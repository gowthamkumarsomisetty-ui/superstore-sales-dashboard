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ME" sheetId="2" state="visible" r:id="rId4"/>
    <sheet name="Data" sheetId="3" state="visible" r:id="rId5"/>
    <sheet name="Calc" sheetId="4" state="visible" r:id="rId6"/>
  </sheets>
  <definedNames>
    <definedName function="false" hidden="false" localSheetId="0" name="_xlnm.Print_Area" vbProcedure="false">Dashboard!$A$1:$T$88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<sst xmlns="http://schemas.openxmlformats.org/spreadsheetml/2006/main" count="10605" uniqueCount="2164">
  <si>
    <t xml:space="preserve">Superstore Sales Performance Dashboard</t>
  </si>
  <si>
    <t xml:space="preserve">Year:</t>
  </si>
  <si>
    <t xml:space="preserve">All</t>
  </si>
  <si>
    <t xml:space="preserve">Region:</t>
  </si>
  <si>
    <t xml:space="preserve">Category:</t>
  </si>
  <si>
    <t xml:space="preserve">Segment:</t>
  </si>
  <si>
    <t xml:space="preserve">Pick 'All' to clear a filter</t>
  </si>
  <si>
    <t xml:space="preserve">TOTAL SALES</t>
  </si>
  <si>
    <t xml:space="preserve">TOTAL PROFIT</t>
  </si>
  <si>
    <t xml:space="preserve">PROFIT MARGIN</t>
  </si>
  <si>
    <t xml:space="preserve">ORDERS</t>
  </si>
  <si>
    <t xml:space="preserve">UNITS SOLD</t>
  </si>
  <si>
    <t xml:space="preserve">AVG DISCOUNT</t>
  </si>
  <si>
    <t xml:space="preserve">Key insights (update automatically with the filters)</t>
  </si>
  <si>
    <t xml:space="preserve">Superstore Sales Dashboard - how to use</t>
  </si>
  <si>
    <t xml:space="preserve">This workbook currently holds about 800 rows of SYNTHETIC demo data (Order IDs start with DEMO-) so you can see the dashboard working. Replace it with the real Kaggle data:</t>
  </si>
  <si>
    <t xml:space="preserve">1. Download the dataset: https://www.kaggle.com/datasets/vivek468/superstore-dataset-final  (free Kaggle login needed). Unzip to get Sample - Superstore.csv.</t>
  </si>
  <si>
    <t xml:space="preserve">2. In a NEW Excel workbook use Data &gt; From Text/CSV. Set File Origin to 1252: Western European (Windows) (or 65001: UTF-8), then Load.</t>
  </si>
  <si>
    <t xml:space="preserve">3. Indian regional settings: the dates in the file are month/day/year (US style). If dates load as text or look wrong, use Transform Data and, for Order Date and Ship Date, Change Type &gt; Using Locale &gt; Date &gt; English (United States).</t>
  </si>
  <si>
    <t xml:space="preserve">4. On the Data sheet of this workbook, select A2:U1000 (the demo rows) and press Delete. Do NOT delete the header row or columns V:Z (they are formulas, pre-filled to row 12,000).</t>
  </si>
  <si>
    <t xml:space="preserve">5. Copy the 21 columns of the real data (same column order as the headers in row 1) and paste them at Data!A2. Press F9 if the numbers do not refresh.</t>
  </si>
  <si>
    <t xml:space="preserve">6. Go to the Dashboard. The amber banner disappears and every figure updates. Use the yellow dropdowns (Year, Region, Category, Segment) to filter.</t>
  </si>
  <si>
    <t xml:space="preserve">Notes and limits</t>
  </si>
  <si>
    <t xml:space="preserve">- Formulas read Data rows 2 to 12,000. The Kaggle file has 9,994 rows, so it fits. Larger files need the ranges extended.</t>
  </si>
  <si>
    <t xml:space="preserve">- The Year dropdown lists 2014-2017 (the years in this dataset). Edit the list via Data &gt; Data Validation if your data differs.</t>
  </si>
  <si>
    <t xml:space="preserve">- The Top 10 states list uses the 49 states that appear in the Kaggle file (Calc sheet, column A).</t>
  </si>
  <si>
    <t xml:space="preserve">- Orders counts each Order ID once (on its first line item). With a Category filter, an order is counted under the category of its first line item.</t>
  </si>
  <si>
    <t xml:space="preserve">- Helper columns V:Z on Data: Year, Month, Discount Band (No discount / Low 1-20% / Medium 21-40% / High &gt;40%), Shipping Days, Order Flag.</t>
  </si>
  <si>
    <t xml:space="preserve">- The Year, Region, Category and Segment charts ignore their own filter so you can still compare all values; every other visual follows all four filters.</t>
  </si>
  <si>
    <t xml:space="preserve">- The dashboard is formula-driven (SUMIFS) rather than PivotTable/slicer-driven, so it works in any Excel version. To add PivotTables and slicers yourself: click any cell in Data A1:Z, Insert &gt; PivotTable, then Insert &gt; Slicer.</t>
  </si>
  <si>
    <t xml:space="preserve">Sheets: Dashboard (what you present) | README | Data (paste the CSV here) | Calc (summary tables feeding the charts)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</si>
  <si>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</si>
  <si>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</si>
  <si>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</si>
  <si>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</si>
  <si>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</si>
  <si>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</si>
  <si>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</si>
  <si>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</si>
  <si>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</si>
  <si>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</si>
  <si>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</si>
  <si>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</si>
  <si>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</si>
  <si>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</si>
  <si>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</si>
  <si>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</si>
  <si>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</si>
  <si>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</si>
  <si>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</si>
  <si>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</si>
  <si>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</si>
  <si>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Year</t>
  </si>
  <si>
    <t xml:space="preserve">Month</t>
  </si>
  <si>
    <t xml:space="preserve">Discount Band</t>
  </si>
  <si>
    <t xml:space="preserve">Shipping Days</t>
  </si>
  <si>
    <t xml:space="preserve">Order Flag</t>
  </si>
  <si>
    <t xml:space="preserve">DEMO-0001</t>
  </si>
  <si>
    <t xml:space="preserve">Second Class</t>
  </si>
  <si>
    <t xml:space="preserve">DC-1025</t>
  </si>
  <si>
    <t xml:space="preserve">Demo Customer 25</t>
  </si>
  <si>
    <t xml:space="preserve">Consumer</t>
  </si>
  <si>
    <t xml:space="preserve">United States</t>
  </si>
  <si>
    <t xml:space="preserve">Demo City</t>
  </si>
  <si>
    <t xml:space="preserve">South Carolina</t>
  </si>
  <si>
    <t xml:space="preserve">South</t>
  </si>
  <si>
    <t xml:space="preserve">DEMO-COP-1254</t>
  </si>
  <si>
    <t xml:space="preserve">Technology</t>
  </si>
  <si>
    <t xml:space="preserve">Copiers</t>
  </si>
  <si>
    <t xml:space="preserve">Demo Copiers item 55</t>
  </si>
  <si>
    <t xml:space="preserve">DEMO-0002</t>
  </si>
  <si>
    <t xml:space="preserve">Standard Class</t>
  </si>
  <si>
    <t xml:space="preserve">DC-1001</t>
  </si>
  <si>
    <t xml:space="preserve">Demo Customer 01</t>
  </si>
  <si>
    <t xml:space="preserve">Alabama</t>
  </si>
  <si>
    <t xml:space="preserve">DEMO-ART-4969</t>
  </si>
  <si>
    <t xml:space="preserve">Office Supplies</t>
  </si>
  <si>
    <t xml:space="preserve">Art</t>
  </si>
  <si>
    <t xml:space="preserve">Demo Art item 58</t>
  </si>
  <si>
    <t xml:space="preserve">DEMO-BIN-9160</t>
  </si>
  <si>
    <t xml:space="preserve">Binders</t>
  </si>
  <si>
    <t xml:space="preserve">Demo Binders item 59</t>
  </si>
  <si>
    <t xml:space="preserve">DEMO-0003</t>
  </si>
  <si>
    <t xml:space="preserve">DC-1043</t>
  </si>
  <si>
    <t xml:space="preserve">Demo Customer 43</t>
  </si>
  <si>
    <t xml:space="preserve">Corporate</t>
  </si>
  <si>
    <t xml:space="preserve">Louisiana</t>
  </si>
  <si>
    <t xml:space="preserve">DEMO-APP-6096</t>
  </si>
  <si>
    <t xml:space="preserve">Appliances</t>
  </si>
  <si>
    <t xml:space="preserve">Demo Appliances item 40</t>
  </si>
  <si>
    <t xml:space="preserve">Same Day</t>
  </si>
  <si>
    <t xml:space="preserve">DEMO-BIN-3727</t>
  </si>
  <si>
    <t xml:space="preserve">Demo Binders item 19</t>
  </si>
  <si>
    <t xml:space="preserve">DEMO-0004</t>
  </si>
  <si>
    <t xml:space="preserve">DC-1052</t>
  </si>
  <si>
    <t xml:space="preserve">Demo Customer 52</t>
  </si>
  <si>
    <t xml:space="preserve">District of Columbia</t>
  </si>
  <si>
    <t xml:space="preserve">East</t>
  </si>
  <si>
    <t xml:space="preserve">DEMO-COP-6470</t>
  </si>
  <si>
    <t xml:space="preserve">Demo Copiers item 38</t>
  </si>
  <si>
    <t xml:space="preserve">DEMO-LAB-7346</t>
  </si>
  <si>
    <t xml:space="preserve">Labels</t>
  </si>
  <si>
    <t xml:space="preserve">Demo Labels item 88</t>
  </si>
  <si>
    <t xml:space="preserve">DEMO-0005</t>
  </si>
  <si>
    <t xml:space="preserve">First Class</t>
  </si>
  <si>
    <t xml:space="preserve">DEMO-PHO-3576</t>
  </si>
  <si>
    <t xml:space="preserve">Phones</t>
  </si>
  <si>
    <t xml:space="preserve">Demo Phones item 76</t>
  </si>
  <si>
    <t xml:space="preserve">DEMO-0006</t>
  </si>
  <si>
    <t xml:space="preserve">DC-1059</t>
  </si>
  <si>
    <t xml:space="preserve">Demo Customer 59</t>
  </si>
  <si>
    <t xml:space="preserve">Wyoming</t>
  </si>
  <si>
    <t xml:space="preserve">West</t>
  </si>
  <si>
    <t xml:space="preserve">DEMO-CHA-9758</t>
  </si>
  <si>
    <t xml:space="preserve">Furniture</t>
  </si>
  <si>
    <t xml:space="preserve">Chairs</t>
  </si>
  <si>
    <t xml:space="preserve">Demo Chairs item 11</t>
  </si>
  <si>
    <t xml:space="preserve">DEMO-0007</t>
  </si>
  <si>
    <t xml:space="preserve">DC-1035</t>
  </si>
  <si>
    <t xml:space="preserve">Demo Customer 35</t>
  </si>
  <si>
    <t xml:space="preserve">Oregon</t>
  </si>
  <si>
    <t xml:space="preserve">DEMO-ENV-4384</t>
  </si>
  <si>
    <t xml:space="preserve">Envelopes</t>
  </si>
  <si>
    <t xml:space="preserve">Demo Envelopes item 33</t>
  </si>
  <si>
    <t xml:space="preserve">DEMO-0008</t>
  </si>
  <si>
    <t xml:space="preserve">DC-1038</t>
  </si>
  <si>
    <t xml:space="preserve">Demo Customer 38</t>
  </si>
  <si>
    <t xml:space="preserve">DEMO-STO-6259</t>
  </si>
  <si>
    <t xml:space="preserve">Storage</t>
  </si>
  <si>
    <t xml:space="preserve">Demo Storage item 62</t>
  </si>
  <si>
    <t xml:space="preserve">DEMO-0009</t>
  </si>
  <si>
    <t xml:space="preserve">DC-1033</t>
  </si>
  <si>
    <t xml:space="preserve">Demo Customer 33</t>
  </si>
  <si>
    <t xml:space="preserve">Rhode Island</t>
  </si>
  <si>
    <t xml:space="preserve">DEMO-CHA-6880</t>
  </si>
  <si>
    <t xml:space="preserve">Demo Chairs item 52</t>
  </si>
  <si>
    <t xml:space="preserve">DEMO-BIN-8592</t>
  </si>
  <si>
    <t xml:space="preserve">Demo Binders item 11</t>
  </si>
  <si>
    <t xml:space="preserve">DEMO-BOO-1550</t>
  </si>
  <si>
    <t xml:space="preserve">Bookcases</t>
  </si>
  <si>
    <t xml:space="preserve">Demo Bookcases item 27</t>
  </si>
  <si>
    <t xml:space="preserve">DEMO-PHO-3144</t>
  </si>
  <si>
    <t xml:space="preserve">Demo Phones item 33</t>
  </si>
  <si>
    <t xml:space="preserve">DEMO-0010</t>
  </si>
  <si>
    <t xml:space="preserve">DC-1054</t>
  </si>
  <si>
    <t xml:space="preserve">Demo Customer 54</t>
  </si>
  <si>
    <t xml:space="preserve">Arkansas</t>
  </si>
  <si>
    <t xml:space="preserve">DEMO-CHA-7056</t>
  </si>
  <si>
    <t xml:space="preserve">Demo Chairs item 91</t>
  </si>
  <si>
    <t xml:space="preserve">DEMO-ART-2471</t>
  </si>
  <si>
    <t xml:space="preserve">Demo Art item 86</t>
  </si>
  <si>
    <t xml:space="preserve">DEMO-0011</t>
  </si>
  <si>
    <t xml:space="preserve">Nebraska</t>
  </si>
  <si>
    <t xml:space="preserve">Central</t>
  </si>
  <si>
    <t xml:space="preserve">DEMO-BIN-1632</t>
  </si>
  <si>
    <t xml:space="preserve">Demo Binders item 33</t>
  </si>
  <si>
    <t xml:space="preserve">DEMO-ACC-2655</t>
  </si>
  <si>
    <t xml:space="preserve">Accessories</t>
  </si>
  <si>
    <t xml:space="preserve">Demo Accessories item 19</t>
  </si>
  <si>
    <t xml:space="preserve">DEMO-0012</t>
  </si>
  <si>
    <t xml:space="preserve">DC-1021</t>
  </si>
  <si>
    <t xml:space="preserve">Demo Customer 21</t>
  </si>
  <si>
    <t xml:space="preserve">Home Office</t>
  </si>
  <si>
    <t xml:space="preserve">DEMO-MAC-5210</t>
  </si>
  <si>
    <t xml:space="preserve">Machines</t>
  </si>
  <si>
    <t xml:space="preserve">Demo Machines item 50</t>
  </si>
  <si>
    <t xml:space="preserve">DEMO-TAB-4196</t>
  </si>
  <si>
    <t xml:space="preserve">Tables</t>
  </si>
  <si>
    <t xml:space="preserve">Demo Tables item 5</t>
  </si>
  <si>
    <t xml:space="preserve">DEMO-CHA-2589</t>
  </si>
  <si>
    <t xml:space="preserve">Demo Chairs item 50</t>
  </si>
  <si>
    <t xml:space="preserve">DEMO-ART-6439</t>
  </si>
  <si>
    <t xml:space="preserve">Demo Art item 29</t>
  </si>
  <si>
    <t xml:space="preserve">DEMO-0013</t>
  </si>
  <si>
    <t xml:space="preserve">DC-1048</t>
  </si>
  <si>
    <t xml:space="preserve">Demo Customer 48</t>
  </si>
  <si>
    <t xml:space="preserve">California</t>
  </si>
  <si>
    <t xml:space="preserve">DEMO-SUP-7746</t>
  </si>
  <si>
    <t xml:space="preserve">Supplies</t>
  </si>
  <si>
    <t xml:space="preserve">Demo Supplies item 32</t>
  </si>
  <si>
    <t xml:space="preserve">DEMO-0014</t>
  </si>
  <si>
    <t xml:space="preserve">DC-1010</t>
  </si>
  <si>
    <t xml:space="preserve">Demo Customer 10</t>
  </si>
  <si>
    <t xml:space="preserve">Arizona</t>
  </si>
  <si>
    <t xml:space="preserve">DEMO-FAS-3512</t>
  </si>
  <si>
    <t xml:space="preserve">Fasteners</t>
  </si>
  <si>
    <t xml:space="preserve">Demo Fasteners item 66</t>
  </si>
  <si>
    <t xml:space="preserve">DEMO-CHA-8078</t>
  </si>
  <si>
    <t xml:space="preserve">Demo Chairs item 34</t>
  </si>
  <si>
    <t xml:space="preserve">DEMO-COP-1262</t>
  </si>
  <si>
    <t xml:space="preserve">Demo Copiers item 57</t>
  </si>
  <si>
    <t xml:space="preserve">DEMO-LAB-6899</t>
  </si>
  <si>
    <t xml:space="preserve">Demo Labels item 56</t>
  </si>
  <si>
    <t xml:space="preserve">DEMO-0015</t>
  </si>
  <si>
    <t xml:space="preserve">DC-1003</t>
  </si>
  <si>
    <t xml:space="preserve">Demo Customer 03</t>
  </si>
  <si>
    <t xml:space="preserve">Nevada</t>
  </si>
  <si>
    <t xml:space="preserve">DEMO-BIN-9117</t>
  </si>
  <si>
    <t xml:space="preserve">Demo Binders item 98</t>
  </si>
  <si>
    <t xml:space="preserve">DEMO-0016</t>
  </si>
  <si>
    <t xml:space="preserve">DC-1018</t>
  </si>
  <si>
    <t xml:space="preserve">Demo Customer 18</t>
  </si>
  <si>
    <t xml:space="preserve">Illinois</t>
  </si>
  <si>
    <t xml:space="preserve">DEMO-CHA-9494</t>
  </si>
  <si>
    <t xml:space="preserve">Demo Chairs item 45</t>
  </si>
  <si>
    <t xml:space="preserve">DEMO-STO-4048</t>
  </si>
  <si>
    <t xml:space="preserve">Demo Storage item 73</t>
  </si>
  <si>
    <t xml:space="preserve">DEMO-0017</t>
  </si>
  <si>
    <t xml:space="preserve">Missouri</t>
  </si>
  <si>
    <t xml:space="preserve">DEMO-FUR-2168</t>
  </si>
  <si>
    <t xml:space="preserve">Furnishings</t>
  </si>
  <si>
    <t xml:space="preserve">Demo Furnishings item 16</t>
  </si>
  <si>
    <t xml:space="preserve">DEMO-0018</t>
  </si>
  <si>
    <t xml:space="preserve">DC-1023</t>
  </si>
  <si>
    <t xml:space="preserve">Demo Customer 23</t>
  </si>
  <si>
    <t xml:space="preserve">Washington</t>
  </si>
  <si>
    <t xml:space="preserve">DEMO-LAB-9410</t>
  </si>
  <si>
    <t xml:space="preserve">Demo Labels item 4</t>
  </si>
  <si>
    <t xml:space="preserve">DEMO-SUP-3988</t>
  </si>
  <si>
    <t xml:space="preserve">Demo Supplies item 22</t>
  </si>
  <si>
    <t xml:space="preserve">DEMO-FUR-8601</t>
  </si>
  <si>
    <t xml:space="preserve">Demo Furnishings item 67</t>
  </si>
  <si>
    <t xml:space="preserve">DEMO-0019</t>
  </si>
  <si>
    <t xml:space="preserve">DC-1016</t>
  </si>
  <si>
    <t xml:space="preserve">Demo Customer 16</t>
  </si>
  <si>
    <t xml:space="preserve">Virginia</t>
  </si>
  <si>
    <t xml:space="preserve">DEMO-BOO-9204</t>
  </si>
  <si>
    <t xml:space="preserve">Demo Bookcases item 98</t>
  </si>
  <si>
    <t xml:space="preserve">DEMO-ART-8570</t>
  </si>
  <si>
    <t xml:space="preserve">Demo Art item 96</t>
  </si>
  <si>
    <t xml:space="preserve">DEMO-APP-1851</t>
  </si>
  <si>
    <t xml:space="preserve">Demo Appliances item 47</t>
  </si>
  <si>
    <t xml:space="preserve">DEMO-0020</t>
  </si>
  <si>
    <t xml:space="preserve">DC-1022</t>
  </si>
  <si>
    <t xml:space="preserve">Demo Customer 22</t>
  </si>
  <si>
    <t xml:space="preserve">DEMO-PAP-7916</t>
  </si>
  <si>
    <t xml:space="preserve">Paper</t>
  </si>
  <si>
    <t xml:space="preserve">Demo Paper item 85</t>
  </si>
  <si>
    <t xml:space="preserve">DEMO-0021</t>
  </si>
  <si>
    <t xml:space="preserve">DC-1041</t>
  </si>
  <si>
    <t xml:space="preserve">Demo Customer 41</t>
  </si>
  <si>
    <t xml:space="preserve">DEMO-CHA-3284</t>
  </si>
  <si>
    <t xml:space="preserve">Demo Chairs item 54</t>
  </si>
  <si>
    <t xml:space="preserve">DEMO-0022</t>
  </si>
  <si>
    <t xml:space="preserve">DC-1026</t>
  </si>
  <si>
    <t xml:space="preserve">Demo Customer 26</t>
  </si>
  <si>
    <t xml:space="preserve">New Mexico</t>
  </si>
  <si>
    <t xml:space="preserve">DEMO-BOO-2646</t>
  </si>
  <si>
    <t xml:space="preserve">Demo Bookcases item 33</t>
  </si>
  <si>
    <t xml:space="preserve">DEMO-BOO-6003</t>
  </si>
  <si>
    <t xml:space="preserve">Demo Bookcases item 45</t>
  </si>
  <si>
    <t xml:space="preserve">DEMO-0023</t>
  </si>
  <si>
    <t xml:space="preserve">DC-1042</t>
  </si>
  <si>
    <t xml:space="preserve">Demo Customer 42</t>
  </si>
  <si>
    <t xml:space="preserve">Idaho</t>
  </si>
  <si>
    <t xml:space="preserve">DEMO-FUR-7660</t>
  </si>
  <si>
    <t xml:space="preserve">Demo Furnishings item 74</t>
  </si>
  <si>
    <t xml:space="preserve">DEMO-0024</t>
  </si>
  <si>
    <t xml:space="preserve">DC-1019</t>
  </si>
  <si>
    <t xml:space="preserve">Demo Customer 19</t>
  </si>
  <si>
    <t xml:space="preserve">Maine</t>
  </si>
  <si>
    <t xml:space="preserve">DEMO-SUP-7334</t>
  </si>
  <si>
    <t xml:space="preserve">Demo Supplies item 26</t>
  </si>
  <si>
    <t xml:space="preserve">DEMO-0025</t>
  </si>
  <si>
    <t xml:space="preserve">DC-1036</t>
  </si>
  <si>
    <t xml:space="preserve">Demo Customer 36</t>
  </si>
  <si>
    <t xml:space="preserve">DEMO-SUP-4093</t>
  </si>
  <si>
    <t xml:space="preserve">Demo Supplies item 66</t>
  </si>
  <si>
    <t xml:space="preserve">DEMO-PAP-6332</t>
  </si>
  <si>
    <t xml:space="preserve">Demo Paper item 63</t>
  </si>
  <si>
    <t xml:space="preserve">DEMO-0026</t>
  </si>
  <si>
    <t xml:space="preserve">Maryland</t>
  </si>
  <si>
    <t xml:space="preserve">DEMO-APP-7355</t>
  </si>
  <si>
    <t xml:space="preserve">Demo Appliances item 57</t>
  </si>
  <si>
    <t xml:space="preserve">DEMO-0027</t>
  </si>
  <si>
    <t xml:space="preserve">Wisconsin</t>
  </si>
  <si>
    <t xml:space="preserve">DEMO-CHA-4317</t>
  </si>
  <si>
    <t xml:space="preserve">Demo Chairs item 79</t>
  </si>
  <si>
    <t xml:space="preserve">DEMO-FAS-2693</t>
  </si>
  <si>
    <t xml:space="preserve">Demo Fasteners item 1</t>
  </si>
  <si>
    <t xml:space="preserve">DEMO-0028</t>
  </si>
  <si>
    <t xml:space="preserve">DC-1027</t>
  </si>
  <si>
    <t xml:space="preserve">Demo Customer 27</t>
  </si>
  <si>
    <t xml:space="preserve">DEMO-TAB-2819</t>
  </si>
  <si>
    <t xml:space="preserve">Demo Tables item 49</t>
  </si>
  <si>
    <t xml:space="preserve">DEMO-0029</t>
  </si>
  <si>
    <t xml:space="preserve">DC-1055</t>
  </si>
  <si>
    <t xml:space="preserve">Demo Customer 55</t>
  </si>
  <si>
    <t xml:space="preserve">New Jersey</t>
  </si>
  <si>
    <t xml:space="preserve">DEMO-LAB-9184</t>
  </si>
  <si>
    <t xml:space="preserve">Demo Labels item 49</t>
  </si>
  <si>
    <t xml:space="preserve">DEMO-BIN-4800</t>
  </si>
  <si>
    <t xml:space="preserve">Demo Binders item 12</t>
  </si>
  <si>
    <t xml:space="preserve">DEMO-0030</t>
  </si>
  <si>
    <t xml:space="preserve">DC-1053</t>
  </si>
  <si>
    <t xml:space="preserve">Demo Customer 53</t>
  </si>
  <si>
    <t xml:space="preserve">Minnesota</t>
  </si>
  <si>
    <t xml:space="preserve">DEMO-COP-5203</t>
  </si>
  <si>
    <t xml:space="preserve">Demo Copiers item 73</t>
  </si>
  <si>
    <t xml:space="preserve">DEMO-MAC-9474</t>
  </si>
  <si>
    <t xml:space="preserve">Demo Machines item 94</t>
  </si>
  <si>
    <t xml:space="preserve">DEMO-PAP-2118</t>
  </si>
  <si>
    <t xml:space="preserve">Demo Paper item 68</t>
  </si>
  <si>
    <t xml:space="preserve">DEMO-TAB-7901</t>
  </si>
  <si>
    <t xml:space="preserve">Demo Tables item 63</t>
  </si>
  <si>
    <t xml:space="preserve">DEMO-0031</t>
  </si>
  <si>
    <t xml:space="preserve">DEMO-LAB-3876</t>
  </si>
  <si>
    <t xml:space="preserve">Demo Labels item 15</t>
  </si>
  <si>
    <t xml:space="preserve">DEMO-0032</t>
  </si>
  <si>
    <t xml:space="preserve">DEMO-SUP-4404</t>
  </si>
  <si>
    <t xml:space="preserve">Demo Supplies item 65</t>
  </si>
  <si>
    <t xml:space="preserve">DEMO-PHO-1175</t>
  </si>
  <si>
    <t xml:space="preserve">Demo Phones item 1</t>
  </si>
  <si>
    <t xml:space="preserve">DEMO-0033</t>
  </si>
  <si>
    <t xml:space="preserve">DC-1020</t>
  </si>
  <si>
    <t xml:space="preserve">Demo Customer 20</t>
  </si>
  <si>
    <t xml:space="preserve">DEMO-FAS-3870</t>
  </si>
  <si>
    <t xml:space="preserve">Demo Fasteners item 64</t>
  </si>
  <si>
    <t xml:space="preserve">DEMO-0034</t>
  </si>
  <si>
    <t xml:space="preserve">DC-1050</t>
  </si>
  <si>
    <t xml:space="preserve">Demo Customer 50</t>
  </si>
  <si>
    <t xml:space="preserve">DEMO-SUP-2640</t>
  </si>
  <si>
    <t xml:space="preserve">Demo Supplies item 10</t>
  </si>
  <si>
    <t xml:space="preserve">DEMO-TAB-1204</t>
  </si>
  <si>
    <t xml:space="preserve">Demo Tables item 88</t>
  </si>
  <si>
    <t xml:space="preserve">DEMO-0035</t>
  </si>
  <si>
    <t xml:space="preserve">DEMO-CHA-4140</t>
  </si>
  <si>
    <t xml:space="preserve">Demo Chairs item 58</t>
  </si>
  <si>
    <t xml:space="preserve">DEMO-APP-1894</t>
  </si>
  <si>
    <t xml:space="preserve">Demo Appliances item 80</t>
  </si>
  <si>
    <t xml:space="preserve">DEMO-CHA-7854</t>
  </si>
  <si>
    <t xml:space="preserve">Demo Chairs item 78</t>
  </si>
  <si>
    <t xml:space="preserve">DEMO-0036</t>
  </si>
  <si>
    <t xml:space="preserve">DC-1017</t>
  </si>
  <si>
    <t xml:space="preserve">Demo Customer 17</t>
  </si>
  <si>
    <t xml:space="preserve">North Carolina</t>
  </si>
  <si>
    <t xml:space="preserve">DEMO-TAB-4987</t>
  </si>
  <si>
    <t xml:space="preserve">Demo Tables item 12</t>
  </si>
  <si>
    <t xml:space="preserve">DEMO-0037</t>
  </si>
  <si>
    <t xml:space="preserve">DC-1012</t>
  </si>
  <si>
    <t xml:space="preserve">Demo Customer 12</t>
  </si>
  <si>
    <t xml:space="preserve">DEMO-APP-7605</t>
  </si>
  <si>
    <t xml:space="preserve">Demo Appliances item 84</t>
  </si>
  <si>
    <t xml:space="preserve">DEMO-BOO-8651</t>
  </si>
  <si>
    <t xml:space="preserve">Demo Bookcases item 37</t>
  </si>
  <si>
    <t xml:space="preserve">DEMO-0038</t>
  </si>
  <si>
    <t xml:space="preserve">Kentucky</t>
  </si>
  <si>
    <t xml:space="preserve">DEMO-BOO-8263</t>
  </si>
  <si>
    <t xml:space="preserve">Demo Bookcases item 60</t>
  </si>
  <si>
    <t xml:space="preserve">DEMO-ENV-4408</t>
  </si>
  <si>
    <t xml:space="preserve">Demo Envelopes item 39</t>
  </si>
  <si>
    <t xml:space="preserve">DEMO-0039</t>
  </si>
  <si>
    <t xml:space="preserve">DC-1031</t>
  </si>
  <si>
    <t xml:space="preserve">Demo Customer 31</t>
  </si>
  <si>
    <t xml:space="preserve">North Dakota</t>
  </si>
  <si>
    <t xml:space="preserve">DEMO-TAB-9359</t>
  </si>
  <si>
    <t xml:space="preserve">Demo Tables item 28</t>
  </si>
  <si>
    <t xml:space="preserve">DEMO-BOO-3376</t>
  </si>
  <si>
    <t xml:space="preserve">Demo Bookcases item 40</t>
  </si>
  <si>
    <t xml:space="preserve">DEMO-0040</t>
  </si>
  <si>
    <t xml:space="preserve">Montana</t>
  </si>
  <si>
    <t xml:space="preserve">DEMO-CHA-5865</t>
  </si>
  <si>
    <t xml:space="preserve">Demo Chairs item 25</t>
  </si>
  <si>
    <t xml:space="preserve">DEMO-FUR-6831</t>
  </si>
  <si>
    <t xml:space="preserve">Demo Furnishings item 52</t>
  </si>
  <si>
    <t xml:space="preserve">DEMO-STO-1413</t>
  </si>
  <si>
    <t xml:space="preserve">Demo Storage item 85</t>
  </si>
  <si>
    <t xml:space="preserve">DEMO-STO-5775</t>
  </si>
  <si>
    <t xml:space="preserve">Demo Storage item 15</t>
  </si>
  <si>
    <t xml:space="preserve">DEMO-0041</t>
  </si>
  <si>
    <t xml:space="preserve">DEMO-BOO-1642</t>
  </si>
  <si>
    <t xml:space="preserve">Demo Bookcases item 71</t>
  </si>
  <si>
    <t xml:space="preserve">DEMO-BIN-6718</t>
  </si>
  <si>
    <t xml:space="preserve">Demo Binders item 1</t>
  </si>
  <si>
    <t xml:space="preserve">DEMO-FUR-6219</t>
  </si>
  <si>
    <t xml:space="preserve">Demo Furnishings item 27</t>
  </si>
  <si>
    <t xml:space="preserve">DEMO-0042</t>
  </si>
  <si>
    <t xml:space="preserve">Mississippi</t>
  </si>
  <si>
    <t xml:space="preserve">DEMO-PHO-2473</t>
  </si>
  <si>
    <t xml:space="preserve">Demo Phones item 45</t>
  </si>
  <si>
    <t xml:space="preserve">DEMO-PHO-1889</t>
  </si>
  <si>
    <t xml:space="preserve">Demo Phones item 87</t>
  </si>
  <si>
    <t xml:space="preserve">DEMO-0043</t>
  </si>
  <si>
    <t xml:space="preserve">DC-1045</t>
  </si>
  <si>
    <t xml:space="preserve">Demo Customer 45</t>
  </si>
  <si>
    <t xml:space="preserve">Iowa</t>
  </si>
  <si>
    <t xml:space="preserve">DEMO-BIN-9952</t>
  </si>
  <si>
    <t xml:space="preserve">Demo Binders item 21</t>
  </si>
  <si>
    <t xml:space="preserve">DEMO-COP-6088</t>
  </si>
  <si>
    <t xml:space="preserve">Demo Copiers item 18</t>
  </si>
  <si>
    <t xml:space="preserve">DEMO-0044</t>
  </si>
  <si>
    <t xml:space="preserve">DC-1009</t>
  </si>
  <si>
    <t xml:space="preserve">Demo Customer 09</t>
  </si>
  <si>
    <t xml:space="preserve">Vermont</t>
  </si>
  <si>
    <t xml:space="preserve">DEMO-STO-6758</t>
  </si>
  <si>
    <t xml:space="preserve">Demo Storage item 90</t>
  </si>
  <si>
    <t xml:space="preserve">DEMO-BIN-3536</t>
  </si>
  <si>
    <t xml:space="preserve">Demo Binders item 77</t>
  </si>
  <si>
    <t xml:space="preserve">DEMO-PHO-8972</t>
  </si>
  <si>
    <t xml:space="preserve">Demo Phones item 27</t>
  </si>
  <si>
    <t xml:space="preserve">DEMO-FUR-8292</t>
  </si>
  <si>
    <t xml:space="preserve">Demo Furnishings item 60</t>
  </si>
  <si>
    <t xml:space="preserve">DEMO-0045</t>
  </si>
  <si>
    <t xml:space="preserve">DC-1037</t>
  </si>
  <si>
    <t xml:space="preserve">Demo Customer 37</t>
  </si>
  <si>
    <t xml:space="preserve">DEMO-BOO-6434</t>
  </si>
  <si>
    <t xml:space="preserve">Demo Bookcases item 95</t>
  </si>
  <si>
    <t xml:space="preserve">DEMO-ART-5685</t>
  </si>
  <si>
    <t xml:space="preserve">Demo Art item 81</t>
  </si>
  <si>
    <t xml:space="preserve">DEMO-FAS-7476</t>
  </si>
  <si>
    <t xml:space="preserve">Demo Fasteners item 19</t>
  </si>
  <si>
    <t xml:space="preserve">DEMO-0046</t>
  </si>
  <si>
    <t xml:space="preserve">DEMO-COP-4772</t>
  </si>
  <si>
    <t xml:space="preserve">Demo Copiers item 48</t>
  </si>
  <si>
    <t xml:space="preserve">DEMO-FUR-7606</t>
  </si>
  <si>
    <t xml:space="preserve">Demo Furnishings item 7</t>
  </si>
  <si>
    <t xml:space="preserve">DEMO-PHO-4727</t>
  </si>
  <si>
    <t xml:space="preserve">Demo Phones item 21</t>
  </si>
  <si>
    <t xml:space="preserve">DEMO-0047</t>
  </si>
  <si>
    <t xml:space="preserve">DEMO-ACC-1045</t>
  </si>
  <si>
    <t xml:space="preserve">Demo Accessories item 5</t>
  </si>
  <si>
    <t xml:space="preserve">DEMO-0048</t>
  </si>
  <si>
    <t xml:space="preserve">South Dakota</t>
  </si>
  <si>
    <t xml:space="preserve">DEMO-SUP-2027</t>
  </si>
  <si>
    <t xml:space="preserve">Demo Supplies item 57</t>
  </si>
  <si>
    <t xml:space="preserve">DEMO-CHA-6703</t>
  </si>
  <si>
    <t xml:space="preserve">Demo Chairs item 73</t>
  </si>
  <si>
    <t xml:space="preserve">DEMO-0049</t>
  </si>
  <si>
    <t xml:space="preserve">DC-1013</t>
  </si>
  <si>
    <t xml:space="preserve">Demo Customer 13</t>
  </si>
  <si>
    <t xml:space="preserve">New York</t>
  </si>
  <si>
    <t xml:space="preserve">DEMO-SUP-2334</t>
  </si>
  <si>
    <t xml:space="preserve">Demo Supplies item 8</t>
  </si>
  <si>
    <t xml:space="preserve">DEMO-LAB-3242</t>
  </si>
  <si>
    <t xml:space="preserve">Demo Labels item 39</t>
  </si>
  <si>
    <t xml:space="preserve">DEMO-0050</t>
  </si>
  <si>
    <t xml:space="preserve">DC-1056</t>
  </si>
  <si>
    <t xml:space="preserve">Demo Customer 56</t>
  </si>
  <si>
    <t xml:space="preserve">DEMO-ACC-7821</t>
  </si>
  <si>
    <t xml:space="preserve">Demo Accessories item 47</t>
  </si>
  <si>
    <t xml:space="preserve">DEMO-STO-9980</t>
  </si>
  <si>
    <t xml:space="preserve">Demo Storage item 96</t>
  </si>
  <si>
    <t xml:space="preserve">DEMO-0051</t>
  </si>
  <si>
    <t xml:space="preserve">DC-1008</t>
  </si>
  <si>
    <t xml:space="preserve">Demo Customer 08</t>
  </si>
  <si>
    <t xml:space="preserve">Kansas</t>
  </si>
  <si>
    <t xml:space="preserve">DEMO-ART-9867</t>
  </si>
  <si>
    <t xml:space="preserve">Demo Art item 74</t>
  </si>
  <si>
    <t xml:space="preserve">DEMO-0052</t>
  </si>
  <si>
    <t xml:space="preserve">DEMO-ART-9243</t>
  </si>
  <si>
    <t xml:space="preserve">Demo Art item 71</t>
  </si>
  <si>
    <t xml:space="preserve">DEMO-ART-8784</t>
  </si>
  <si>
    <t xml:space="preserve">Demo Art item 12</t>
  </si>
  <si>
    <t xml:space="preserve">DEMO-0053</t>
  </si>
  <si>
    <t xml:space="preserve">DEMO-PAP-4491</t>
  </si>
  <si>
    <t xml:space="preserve">Demo Paper item 59</t>
  </si>
  <si>
    <t xml:space="preserve">DEMO-0054</t>
  </si>
  <si>
    <t xml:space="preserve">DEMO-BOO-1190</t>
  </si>
  <si>
    <t xml:space="preserve">DEMO-FUR-6828</t>
  </si>
  <si>
    <t xml:space="preserve">Demo Furnishings item 71</t>
  </si>
  <si>
    <t xml:space="preserve">DEMO-ART-8206</t>
  </si>
  <si>
    <t xml:space="preserve">Demo Art item 15</t>
  </si>
  <si>
    <t xml:space="preserve">DEMO-0055</t>
  </si>
  <si>
    <t xml:space="preserve">DC-1051</t>
  </si>
  <si>
    <t xml:space="preserve">Demo Customer 51</t>
  </si>
  <si>
    <t xml:space="preserve">DEMO-FUR-7239</t>
  </si>
  <si>
    <t xml:space="preserve">Demo Furnishings item 19</t>
  </si>
  <si>
    <t xml:space="preserve">DEMO-0056</t>
  </si>
  <si>
    <t xml:space="preserve">DEMO-MAC-1580</t>
  </si>
  <si>
    <t xml:space="preserve">Demo Machines item 10</t>
  </si>
  <si>
    <t xml:space="preserve">DEMO-0057</t>
  </si>
  <si>
    <t xml:space="preserve">DEMO-PAP-4755</t>
  </si>
  <si>
    <t xml:space="preserve">Demo Paper item 79</t>
  </si>
  <si>
    <t xml:space="preserve">DEMO-LAB-3780</t>
  </si>
  <si>
    <t xml:space="preserve">Demo Labels item 47</t>
  </si>
  <si>
    <t xml:space="preserve">DEMO-0058</t>
  </si>
  <si>
    <t xml:space="preserve">DC-1047</t>
  </si>
  <si>
    <t xml:space="preserve">Demo Customer 47</t>
  </si>
  <si>
    <t xml:space="preserve">DEMO-PAP-4712</t>
  </si>
  <si>
    <t xml:space="preserve">Demo Paper item 3</t>
  </si>
  <si>
    <t xml:space="preserve">DEMO-0059</t>
  </si>
  <si>
    <t xml:space="preserve">DEMO-CHA-9653</t>
  </si>
  <si>
    <t xml:space="preserve">Demo Chairs item 75</t>
  </si>
  <si>
    <t xml:space="preserve">DEMO-0060</t>
  </si>
  <si>
    <t xml:space="preserve">DEMO-ACC-5613</t>
  </si>
  <si>
    <t xml:space="preserve">Demo Accessories item 31</t>
  </si>
  <si>
    <t xml:space="preserve">DEMO-0061</t>
  </si>
  <si>
    <t xml:space="preserve">Georgia</t>
  </si>
  <si>
    <t xml:space="preserve">DEMO-FUR-1990</t>
  </si>
  <si>
    <t xml:space="preserve">Demo Furnishings item 91</t>
  </si>
  <si>
    <t xml:space="preserve">DEMO-LAB-6721</t>
  </si>
  <si>
    <t xml:space="preserve">Demo Labels item 20</t>
  </si>
  <si>
    <t xml:space="preserve">DEMO-0062</t>
  </si>
  <si>
    <t xml:space="preserve">DEMO-PHO-5939</t>
  </si>
  <si>
    <t xml:space="preserve">Demo Phones item 93</t>
  </si>
  <si>
    <t xml:space="preserve">DEMO-0063</t>
  </si>
  <si>
    <t xml:space="preserve">DEMO-LAB-3928</t>
  </si>
  <si>
    <t xml:space="preserve">DEMO-0064</t>
  </si>
  <si>
    <t xml:space="preserve">DEMO-PAP-5391</t>
  </si>
  <si>
    <t xml:space="preserve">Demo Paper item 31</t>
  </si>
  <si>
    <t xml:space="preserve">DEMO-0065</t>
  </si>
  <si>
    <t xml:space="preserve">DC-1046</t>
  </si>
  <si>
    <t xml:space="preserve">Demo Customer 46</t>
  </si>
  <si>
    <t xml:space="preserve">DEMO-TAB-4960</t>
  </si>
  <si>
    <t xml:space="preserve">Demo Tables item 94</t>
  </si>
  <si>
    <t xml:space="preserve">DEMO-CHA-4083</t>
  </si>
  <si>
    <t xml:space="preserve">Demo Chairs item 35</t>
  </si>
  <si>
    <t xml:space="preserve">DEMO-0066</t>
  </si>
  <si>
    <t xml:space="preserve">Texas</t>
  </si>
  <si>
    <t xml:space="preserve">DEMO-APP-8967</t>
  </si>
  <si>
    <t xml:space="preserve">Demo Appliances item 52</t>
  </si>
  <si>
    <t xml:space="preserve">DEMO-LAB-7546</t>
  </si>
  <si>
    <t xml:space="preserve">Demo Labels item 33</t>
  </si>
  <si>
    <t xml:space="preserve">DEMO-ACC-7801</t>
  </si>
  <si>
    <t xml:space="preserve">Demo Accessories item 79</t>
  </si>
  <si>
    <t xml:space="preserve">DEMO-LAB-6926</t>
  </si>
  <si>
    <t xml:space="preserve">Demo Labels item 55</t>
  </si>
  <si>
    <t xml:space="preserve">DEMO-0067</t>
  </si>
  <si>
    <t xml:space="preserve">Oklahoma</t>
  </si>
  <si>
    <t xml:space="preserve">DEMO-SUP-5224</t>
  </si>
  <si>
    <t xml:space="preserve">Demo Supplies item 92</t>
  </si>
  <si>
    <t xml:space="preserve">DEMO-0068</t>
  </si>
  <si>
    <t xml:space="preserve">DEMO-FAS-1148</t>
  </si>
  <si>
    <t xml:space="preserve">Demo Fasteners item 72</t>
  </si>
  <si>
    <t xml:space="preserve">DEMO-0069</t>
  </si>
  <si>
    <t xml:space="preserve">Delaware</t>
  </si>
  <si>
    <t xml:space="preserve">DEMO-LAB-3197</t>
  </si>
  <si>
    <t xml:space="preserve">Demo Labels item 16</t>
  </si>
  <si>
    <t xml:space="preserve">DEMO-0070</t>
  </si>
  <si>
    <t xml:space="preserve">DC-1004</t>
  </si>
  <si>
    <t xml:space="preserve">Demo Customer 04</t>
  </si>
  <si>
    <t xml:space="preserve">DEMO-CHA-1475</t>
  </si>
  <si>
    <t xml:space="preserve">DEMO-ENV-8538</t>
  </si>
  <si>
    <t xml:space="preserve">Demo Envelopes item 28</t>
  </si>
  <si>
    <t xml:space="preserve">DEMO-0071</t>
  </si>
  <si>
    <t xml:space="preserve">DEMO-APP-7160</t>
  </si>
  <si>
    <t xml:space="preserve">Demo Appliances item 53</t>
  </si>
  <si>
    <t xml:space="preserve">DEMO-PHO-4962</t>
  </si>
  <si>
    <t xml:space="preserve">Demo Phones item 30</t>
  </si>
  <si>
    <t xml:space="preserve">DEMO-LAB-5379</t>
  </si>
  <si>
    <t xml:space="preserve">Demo Labels item 97</t>
  </si>
  <si>
    <t xml:space="preserve">DEMO-FUR-3647</t>
  </si>
  <si>
    <t xml:space="preserve">Demo Furnishings item 41</t>
  </si>
  <si>
    <t xml:space="preserve">DEMO-0072</t>
  </si>
  <si>
    <t xml:space="preserve">DC-1044</t>
  </si>
  <si>
    <t xml:space="preserve">Demo Customer 44</t>
  </si>
  <si>
    <t xml:space="preserve">DEMO-COP-8123</t>
  </si>
  <si>
    <t xml:space="preserve">DEMO-0073</t>
  </si>
  <si>
    <t xml:space="preserve">DC-1060</t>
  </si>
  <si>
    <t xml:space="preserve">Demo Customer 60</t>
  </si>
  <si>
    <t xml:space="preserve">Massachusetts</t>
  </si>
  <si>
    <t xml:space="preserve">DEMO-BOO-9235</t>
  </si>
  <si>
    <t xml:space="preserve">DEMO-0074</t>
  </si>
  <si>
    <t xml:space="preserve">DEMO-TAB-4843</t>
  </si>
  <si>
    <t xml:space="preserve">Demo Tables item 26</t>
  </si>
  <si>
    <t xml:space="preserve">DEMO-0075</t>
  </si>
  <si>
    <t xml:space="preserve">Tennessee</t>
  </si>
  <si>
    <t xml:space="preserve">DEMO-CHA-1791</t>
  </si>
  <si>
    <t xml:space="preserve">Demo Chairs item 41</t>
  </si>
  <si>
    <t xml:space="preserve">DEMO-0076</t>
  </si>
  <si>
    <t xml:space="preserve">DC-1005</t>
  </si>
  <si>
    <t xml:space="preserve">Demo Customer 05</t>
  </si>
  <si>
    <t xml:space="preserve">DEMO-COP-6792</t>
  </si>
  <si>
    <t xml:space="preserve">Demo Copiers item 64</t>
  </si>
  <si>
    <t xml:space="preserve">DEMO-0077</t>
  </si>
  <si>
    <t xml:space="preserve">Colorado</t>
  </si>
  <si>
    <t xml:space="preserve">DEMO-COP-5407</t>
  </si>
  <si>
    <t xml:space="preserve">Demo Copiers item 9</t>
  </si>
  <si>
    <t xml:space="preserve">DEMO-0078</t>
  </si>
  <si>
    <t xml:space="preserve">Indiana</t>
  </si>
  <si>
    <t xml:space="preserve">DEMO-FUR-6419</t>
  </si>
  <si>
    <t xml:space="preserve">Demo Furnishings item 89</t>
  </si>
  <si>
    <t xml:space="preserve">DEMO-FAS-3477</t>
  </si>
  <si>
    <t xml:space="preserve">Demo Fasteners item 50</t>
  </si>
  <si>
    <t xml:space="preserve">DEMO-PAP-7176</t>
  </si>
  <si>
    <t xml:space="preserve">DEMO-0079</t>
  </si>
  <si>
    <t xml:space="preserve">DEMO-BOO-8248</t>
  </si>
  <si>
    <t xml:space="preserve">DEMO-STO-7206</t>
  </si>
  <si>
    <t xml:space="preserve">Demo Storage item 46</t>
  </si>
  <si>
    <t xml:space="preserve">DEMO-PAP-9897</t>
  </si>
  <si>
    <t xml:space="preserve">Demo Paper item 86</t>
  </si>
  <si>
    <t xml:space="preserve">DEMO-0080</t>
  </si>
  <si>
    <t xml:space="preserve">DC-1015</t>
  </si>
  <si>
    <t xml:space="preserve">Demo Customer 15</t>
  </si>
  <si>
    <t xml:space="preserve">DEMO-STO-6965</t>
  </si>
  <si>
    <t xml:space="preserve">Demo Storage item 68</t>
  </si>
  <si>
    <t xml:space="preserve">DEMO-CHA-8541</t>
  </si>
  <si>
    <t xml:space="preserve">Demo Chairs item 23</t>
  </si>
  <si>
    <t xml:space="preserve">DEMO-0081</t>
  </si>
  <si>
    <t xml:space="preserve">DEMO-MAC-7146</t>
  </si>
  <si>
    <t xml:space="preserve">Demo Machines item 14</t>
  </si>
  <si>
    <t xml:space="preserve">DEMO-SUP-5759</t>
  </si>
  <si>
    <t xml:space="preserve">Demo Supplies item 58</t>
  </si>
  <si>
    <t xml:space="preserve">DEMO-0082</t>
  </si>
  <si>
    <t xml:space="preserve">DEMO-BIN-7074</t>
  </si>
  <si>
    <t xml:space="preserve">Demo Binders item 67</t>
  </si>
  <si>
    <t xml:space="preserve">DEMO-PAP-5254</t>
  </si>
  <si>
    <t xml:space="preserve">Demo Paper item 8</t>
  </si>
  <si>
    <t xml:space="preserve">DEMO-0083</t>
  </si>
  <si>
    <t xml:space="preserve">DEMO-FAS-4304</t>
  </si>
  <si>
    <t xml:space="preserve">Demo Fasteners item 17</t>
  </si>
  <si>
    <t xml:space="preserve">DEMO-FAS-1684</t>
  </si>
  <si>
    <t xml:space="preserve">Demo Fasteners item 92</t>
  </si>
  <si>
    <t xml:space="preserve">DEMO-0084</t>
  </si>
  <si>
    <t xml:space="preserve">DC-1049</t>
  </si>
  <si>
    <t xml:space="preserve">Demo Customer 49</t>
  </si>
  <si>
    <t xml:space="preserve">DEMO-FAS-7100</t>
  </si>
  <si>
    <t xml:space="preserve">Demo Fasteners item 9</t>
  </si>
  <si>
    <t xml:space="preserve">DEMO-0085</t>
  </si>
  <si>
    <t xml:space="preserve">DEMO-ACC-1419</t>
  </si>
  <si>
    <t xml:space="preserve">Demo Accessories item 14</t>
  </si>
  <si>
    <t xml:space="preserve">DEMO-STO-9048</t>
  </si>
  <si>
    <t xml:space="preserve">Demo Storage item 18</t>
  </si>
  <si>
    <t xml:space="preserve">DEMO-0086</t>
  </si>
  <si>
    <t xml:space="preserve">DEMO-CHA-6409</t>
  </si>
  <si>
    <t xml:space="preserve">Demo Chairs item 99</t>
  </si>
  <si>
    <t xml:space="preserve">DEMO-STO-2445</t>
  </si>
  <si>
    <t xml:space="preserve">Demo Storage item 97</t>
  </si>
  <si>
    <t xml:space="preserve">DEMO-TAB-1897</t>
  </si>
  <si>
    <t xml:space="preserve">Demo Tables item 71</t>
  </si>
  <si>
    <t xml:space="preserve">DEMO-PAP-9490</t>
  </si>
  <si>
    <t xml:space="preserve">Demo Paper item 1</t>
  </si>
  <si>
    <t xml:space="preserve">DEMO-0087</t>
  </si>
  <si>
    <t xml:space="preserve">DEMO-ART-7468</t>
  </si>
  <si>
    <t xml:space="preserve">Demo Art item 66</t>
  </si>
  <si>
    <t xml:space="preserve">DEMO-ACC-4309</t>
  </si>
  <si>
    <t xml:space="preserve">Demo Accessories item 17</t>
  </si>
  <si>
    <t xml:space="preserve">DEMO-FUR-6599</t>
  </si>
  <si>
    <t xml:space="preserve">Demo Furnishings item 26</t>
  </si>
  <si>
    <t xml:space="preserve">DEMO-0088</t>
  </si>
  <si>
    <t xml:space="preserve">DC-1030</t>
  </si>
  <si>
    <t xml:space="preserve">Demo Customer 30</t>
  </si>
  <si>
    <t xml:space="preserve">DEMO-LAB-4599</t>
  </si>
  <si>
    <t xml:space="preserve">Demo Labels item 57</t>
  </si>
  <si>
    <t xml:space="preserve">DEMO-0089</t>
  </si>
  <si>
    <t xml:space="preserve">DEMO-TAB-3951</t>
  </si>
  <si>
    <t xml:space="preserve">Demo Tables item 56</t>
  </si>
  <si>
    <t xml:space="preserve">DEMO-0090</t>
  </si>
  <si>
    <t xml:space="preserve">DEMO-BOO-4617</t>
  </si>
  <si>
    <t xml:space="preserve">Demo Bookcases item 87</t>
  </si>
  <si>
    <t xml:space="preserve">DEMO-FAS-9457</t>
  </si>
  <si>
    <t xml:space="preserve">Demo Fasteners item 13</t>
  </si>
  <si>
    <t xml:space="preserve">DEMO-ENV-7956</t>
  </si>
  <si>
    <t xml:space="preserve">Demo Envelopes item 20</t>
  </si>
  <si>
    <t xml:space="preserve">DEMO-COP-6222</t>
  </si>
  <si>
    <t xml:space="preserve">Demo Copiers item 91</t>
  </si>
  <si>
    <t xml:space="preserve">DEMO-0091</t>
  </si>
  <si>
    <t xml:space="preserve">West Virginia</t>
  </si>
  <si>
    <t xml:space="preserve">DEMO-FAS-1539</t>
  </si>
  <si>
    <t xml:space="preserve">Demo Fasteners item 42</t>
  </si>
  <si>
    <t xml:space="preserve">DEMO-FAS-8609</t>
  </si>
  <si>
    <t xml:space="preserve">Demo Fasteners item 20</t>
  </si>
  <si>
    <t xml:space="preserve">DEMO-PAP-9590</t>
  </si>
  <si>
    <t xml:space="preserve">DEMO-0092</t>
  </si>
  <si>
    <t xml:space="preserve">DEMO-STO-9859</t>
  </si>
  <si>
    <t xml:space="preserve">DEMO-CHA-2649</t>
  </si>
  <si>
    <t xml:space="preserve">Demo Chairs item 1</t>
  </si>
  <si>
    <t xml:space="preserve">DEMO-BIN-8881</t>
  </si>
  <si>
    <t xml:space="preserve">Demo Binders item 32</t>
  </si>
  <si>
    <t xml:space="preserve">DEMO-LAB-2850</t>
  </si>
  <si>
    <t xml:space="preserve">Demo Labels item 21</t>
  </si>
  <si>
    <t xml:space="preserve">DEMO-0093</t>
  </si>
  <si>
    <t xml:space="preserve">DC-1039</t>
  </si>
  <si>
    <t xml:space="preserve">Demo Customer 39</t>
  </si>
  <si>
    <t xml:space="preserve">DEMO-BOO-6781</t>
  </si>
  <si>
    <t xml:space="preserve">Demo Bookcases item 10</t>
  </si>
  <si>
    <t xml:space="preserve">DEMO-BIN-3441</t>
  </si>
  <si>
    <t xml:space="preserve">Demo Binders item 34</t>
  </si>
  <si>
    <t xml:space="preserve">DEMO-CHA-8664</t>
  </si>
  <si>
    <t xml:space="preserve">Demo Chairs item 32</t>
  </si>
  <si>
    <t xml:space="preserve">DEMO-0094</t>
  </si>
  <si>
    <t xml:space="preserve">DC-1011</t>
  </si>
  <si>
    <t xml:space="preserve">Demo Customer 11</t>
  </si>
  <si>
    <t xml:space="preserve">Pennsylvania</t>
  </si>
  <si>
    <t xml:space="preserve">DEMO-FUR-9221</t>
  </si>
  <si>
    <t xml:space="preserve">Demo Furnishings item 31</t>
  </si>
  <si>
    <t xml:space="preserve">DEMO-0095</t>
  </si>
  <si>
    <t xml:space="preserve">DC-1057</t>
  </si>
  <si>
    <t xml:space="preserve">Demo Customer 57</t>
  </si>
  <si>
    <t xml:space="preserve">DEMO-BOO-3806</t>
  </si>
  <si>
    <t xml:space="preserve">Demo Bookcases item 20</t>
  </si>
  <si>
    <t xml:space="preserve">DEMO-APP-4565</t>
  </si>
  <si>
    <t xml:space="preserve">Demo Appliances item 30</t>
  </si>
  <si>
    <t xml:space="preserve">DEMO-0096</t>
  </si>
  <si>
    <t xml:space="preserve">DEMO-APP-4520</t>
  </si>
  <si>
    <t xml:space="preserve">DEMO-BIN-6201</t>
  </si>
  <si>
    <t xml:space="preserve">Demo Binders item 53</t>
  </si>
  <si>
    <t xml:space="preserve">DEMO-APP-6641</t>
  </si>
  <si>
    <t xml:space="preserve">Demo Appliances item 99</t>
  </si>
  <si>
    <t xml:space="preserve">DEMO-CHA-9148</t>
  </si>
  <si>
    <t xml:space="preserve">Demo Chairs item 68</t>
  </si>
  <si>
    <t xml:space="preserve">DEMO-0097</t>
  </si>
  <si>
    <t xml:space="preserve">DEMO-ART-2513</t>
  </si>
  <si>
    <t xml:space="preserve">Demo Art item 84</t>
  </si>
  <si>
    <t xml:space="preserve">DEMO-LAB-8637</t>
  </si>
  <si>
    <t xml:space="preserve">DEMO-0098</t>
  </si>
  <si>
    <t xml:space="preserve">DEMO-SUP-5128</t>
  </si>
  <si>
    <t xml:space="preserve">Demo Supplies item 97</t>
  </si>
  <si>
    <t xml:space="preserve">DEMO-ENV-7468</t>
  </si>
  <si>
    <t xml:space="preserve">Demo Envelopes item 81</t>
  </si>
  <si>
    <t xml:space="preserve">DEMO-LAB-6563</t>
  </si>
  <si>
    <t xml:space="preserve">Demo Labels item 85</t>
  </si>
  <si>
    <t xml:space="preserve">DEMO-PAP-7730</t>
  </si>
  <si>
    <t xml:space="preserve">Demo Paper item 78</t>
  </si>
  <si>
    <t xml:space="preserve">DEMO-0099</t>
  </si>
  <si>
    <t xml:space="preserve">DEMO-ENV-1533</t>
  </si>
  <si>
    <t xml:space="preserve">Demo Envelopes item 38</t>
  </si>
  <si>
    <t xml:space="preserve">DEMO-FAS-1680</t>
  </si>
  <si>
    <t xml:space="preserve">Demo Fasteners item 49</t>
  </si>
  <si>
    <t xml:space="preserve">DEMO-BIN-3742</t>
  </si>
  <si>
    <t xml:space="preserve">Demo Binders item 29</t>
  </si>
  <si>
    <t xml:space="preserve">DEMO-0100</t>
  </si>
  <si>
    <t xml:space="preserve">DEMO-LAB-8447</t>
  </si>
  <si>
    <t xml:space="preserve">Demo Labels item 73</t>
  </si>
  <si>
    <t xml:space="preserve">DEMO-FAS-5150</t>
  </si>
  <si>
    <t xml:space="preserve">Demo Fasteners item 86</t>
  </si>
  <si>
    <t xml:space="preserve">DEMO-SUP-1977</t>
  </si>
  <si>
    <t xml:space="preserve">Demo Supplies item 84</t>
  </si>
  <si>
    <t xml:space="preserve">DEMO-LAB-7179</t>
  </si>
  <si>
    <t xml:space="preserve">Demo Labels item 58</t>
  </si>
  <si>
    <t xml:space="preserve">DEMO-0101</t>
  </si>
  <si>
    <t xml:space="preserve">DEMO-PHO-4074</t>
  </si>
  <si>
    <t xml:space="preserve">DEMO-ACC-4960</t>
  </si>
  <si>
    <t xml:space="preserve">Demo Accessories item 38</t>
  </si>
  <si>
    <t xml:space="preserve">DEMO-0102</t>
  </si>
  <si>
    <t xml:space="preserve">DEMO-PAP-6311</t>
  </si>
  <si>
    <t xml:space="preserve">Demo Paper item 21</t>
  </si>
  <si>
    <t xml:space="preserve">DEMO-STO-9454</t>
  </si>
  <si>
    <t xml:space="preserve">Demo Storage item 8</t>
  </si>
  <si>
    <t xml:space="preserve">DEMO-CHA-5462</t>
  </si>
  <si>
    <t xml:space="preserve">Demo Chairs item 40</t>
  </si>
  <si>
    <t xml:space="preserve">DEMO-0103</t>
  </si>
  <si>
    <t xml:space="preserve">DC-1058</t>
  </si>
  <si>
    <t xml:space="preserve">Demo Customer 58</t>
  </si>
  <si>
    <t xml:space="preserve">DEMO-STO-6236</t>
  </si>
  <si>
    <t xml:space="preserve">Demo Storage item 50</t>
  </si>
  <si>
    <t xml:space="preserve">DEMO-0104</t>
  </si>
  <si>
    <t xml:space="preserve">DEMO-TAB-8704</t>
  </si>
  <si>
    <t xml:space="preserve">Demo Tables item 85</t>
  </si>
  <si>
    <t xml:space="preserve">DEMO-PAP-5724</t>
  </si>
  <si>
    <t xml:space="preserve">Demo Paper item 81</t>
  </si>
  <si>
    <t xml:space="preserve">Demo Tables item 9</t>
  </si>
  <si>
    <t xml:space="preserve">DEMO-0105</t>
  </si>
  <si>
    <t xml:space="preserve">DEMO-PAP-2930</t>
  </si>
  <si>
    <t xml:space="preserve">Demo Paper item 52</t>
  </si>
  <si>
    <t xml:space="preserve">DEMO-LAB-9539</t>
  </si>
  <si>
    <t xml:space="preserve">Demo Labels item 53</t>
  </si>
  <si>
    <t xml:space="preserve">DEMO-0106</t>
  </si>
  <si>
    <t xml:space="preserve">DEMO-BOO-8086</t>
  </si>
  <si>
    <t xml:space="preserve">Demo Bookcases item 52</t>
  </si>
  <si>
    <t xml:space="preserve">DEMO-FUR-1548</t>
  </si>
  <si>
    <t xml:space="preserve">Demo Furnishings item 96</t>
  </si>
  <si>
    <t xml:space="preserve">DEMO-PHO-5506</t>
  </si>
  <si>
    <t xml:space="preserve">Demo Phones item 92</t>
  </si>
  <si>
    <t xml:space="preserve">DEMO-0107</t>
  </si>
  <si>
    <t xml:space="preserve">DEMO-FAS-1382</t>
  </si>
  <si>
    <t xml:space="preserve">Demo Fasteners item 90</t>
  </si>
  <si>
    <t xml:space="preserve">DEMO-0108</t>
  </si>
  <si>
    <t xml:space="preserve">DC-1034</t>
  </si>
  <si>
    <t xml:space="preserve">Demo Customer 34</t>
  </si>
  <si>
    <t xml:space="preserve">DEMO-LAB-5506</t>
  </si>
  <si>
    <t xml:space="preserve">Demo Labels item 65</t>
  </si>
  <si>
    <t xml:space="preserve">DEMO-TAB-6572</t>
  </si>
  <si>
    <t xml:space="preserve">Demo Tables item 43</t>
  </si>
  <si>
    <t xml:space="preserve">DEMO-ENV-9799</t>
  </si>
  <si>
    <t xml:space="preserve">Demo Envelopes item 92</t>
  </si>
  <si>
    <t xml:space="preserve">DEMO-0109</t>
  </si>
  <si>
    <t xml:space="preserve">DC-1002</t>
  </si>
  <si>
    <t xml:space="preserve">Demo Customer 02</t>
  </si>
  <si>
    <t xml:space="preserve">DEMO-FUR-7394</t>
  </si>
  <si>
    <t xml:space="preserve">Demo Furnishings item 66</t>
  </si>
  <si>
    <t xml:space="preserve">DEMO-PHO-9708</t>
  </si>
  <si>
    <t xml:space="preserve">Demo Phones item 43</t>
  </si>
  <si>
    <t xml:space="preserve">DEMO-0110</t>
  </si>
  <si>
    <t xml:space="preserve">DEMO-BIN-4111</t>
  </si>
  <si>
    <t xml:space="preserve">Demo Binders item 15</t>
  </si>
  <si>
    <t xml:space="preserve">DEMO-0111</t>
  </si>
  <si>
    <t xml:space="preserve">DEMO-ART-4296</t>
  </si>
  <si>
    <t xml:space="preserve">Demo Art item 72</t>
  </si>
  <si>
    <t xml:space="preserve">DEMO-0112</t>
  </si>
  <si>
    <t xml:space="preserve">DEMO-ACC-6822</t>
  </si>
  <si>
    <t xml:space="preserve">Demo Accessories item 81</t>
  </si>
  <si>
    <t xml:space="preserve">DEMO-0113</t>
  </si>
  <si>
    <t xml:space="preserve">DEMO-LAB-7897</t>
  </si>
  <si>
    <t xml:space="preserve">DEMO-0114</t>
  </si>
  <si>
    <t xml:space="preserve">DEMO-LAB-6218</t>
  </si>
  <si>
    <t xml:space="preserve">Demo Labels item 61</t>
  </si>
  <si>
    <t xml:space="preserve">DEMO-COP-6796</t>
  </si>
  <si>
    <t xml:space="preserve">Demo Copiers item 33</t>
  </si>
  <si>
    <t xml:space="preserve">DEMO-0115</t>
  </si>
  <si>
    <t xml:space="preserve">DEMO-SUP-2820</t>
  </si>
  <si>
    <t xml:space="preserve">Demo Supplies item 28</t>
  </si>
  <si>
    <t xml:space="preserve">DEMO-0116</t>
  </si>
  <si>
    <t xml:space="preserve">DEMO-APP-9752</t>
  </si>
  <si>
    <t xml:space="preserve">Demo Appliances item 10</t>
  </si>
  <si>
    <t xml:space="preserve">DEMO-0117</t>
  </si>
  <si>
    <t xml:space="preserve">Michigan</t>
  </si>
  <si>
    <t xml:space="preserve">DEMO-STO-2704</t>
  </si>
  <si>
    <t xml:space="preserve">Demo Storage item 13</t>
  </si>
  <si>
    <t xml:space="preserve">DEMO-0118</t>
  </si>
  <si>
    <t xml:space="preserve">Florida</t>
  </si>
  <si>
    <t xml:space="preserve">DEMO-STO-3768</t>
  </si>
  <si>
    <t xml:space="preserve">Demo Storage item 52</t>
  </si>
  <si>
    <t xml:space="preserve">DEMO-ENV-4909</t>
  </si>
  <si>
    <t xml:space="preserve">Demo Envelopes item 30</t>
  </si>
  <si>
    <t xml:space="preserve">DEMO-0119</t>
  </si>
  <si>
    <t xml:space="preserve">DEMO-ENV-1623</t>
  </si>
  <si>
    <t xml:space="preserve">Demo Envelopes item 60</t>
  </si>
  <si>
    <t xml:space="preserve">DEMO-0120</t>
  </si>
  <si>
    <t xml:space="preserve">DEMO-COP-1298</t>
  </si>
  <si>
    <t xml:space="preserve">Demo Copiers item 62</t>
  </si>
  <si>
    <t xml:space="preserve">DEMO-ART-9390</t>
  </si>
  <si>
    <t xml:space="preserve">Demo Art item 42</t>
  </si>
  <si>
    <t xml:space="preserve">DEMO-0121</t>
  </si>
  <si>
    <t xml:space="preserve">DC-1007</t>
  </si>
  <si>
    <t xml:space="preserve">Demo Customer 07</t>
  </si>
  <si>
    <t xml:space="preserve">DEMO-PHO-9936</t>
  </si>
  <si>
    <t xml:space="preserve">Demo Phones item 79</t>
  </si>
  <si>
    <t xml:space="preserve">DEMO-0122</t>
  </si>
  <si>
    <t xml:space="preserve">DEMO-SUP-3001</t>
  </si>
  <si>
    <t xml:space="preserve">Demo Supplies item 91</t>
  </si>
  <si>
    <t xml:space="preserve">DEMO-ENV-4914</t>
  </si>
  <si>
    <t xml:space="preserve">Demo Envelopes item 13</t>
  </si>
  <si>
    <t xml:space="preserve">DEMO-FUR-6486</t>
  </si>
  <si>
    <t xml:space="preserve">Demo Furnishings item 99</t>
  </si>
  <si>
    <t xml:space="preserve">DEMO-0123</t>
  </si>
  <si>
    <t xml:space="preserve">DEMO-BOO-1353</t>
  </si>
  <si>
    <t xml:space="preserve">Demo Bookcases item 8</t>
  </si>
  <si>
    <t xml:space="preserve">DEMO-0124</t>
  </si>
  <si>
    <t xml:space="preserve">DEMO-BIN-5185</t>
  </si>
  <si>
    <t xml:space="preserve">Demo Binders item 91</t>
  </si>
  <si>
    <t xml:space="preserve">DEMO-0125</t>
  </si>
  <si>
    <t xml:space="preserve">DEMO-LAB-6340</t>
  </si>
  <si>
    <t xml:space="preserve">Demo Labels item 36</t>
  </si>
  <si>
    <t xml:space="preserve">DEMO-APP-6845</t>
  </si>
  <si>
    <t xml:space="preserve">Demo Appliances item 43</t>
  </si>
  <si>
    <t xml:space="preserve">DEMO-0126</t>
  </si>
  <si>
    <t xml:space="preserve">DEMO-SUP-2052</t>
  </si>
  <si>
    <t xml:space="preserve">Demo Supplies item 69</t>
  </si>
  <si>
    <t xml:space="preserve">DEMO-0127</t>
  </si>
  <si>
    <t xml:space="preserve">DEMO-BOO-4479</t>
  </si>
  <si>
    <t xml:space="preserve">Demo Bookcases item 28</t>
  </si>
  <si>
    <t xml:space="preserve">DEMO-APP-3726</t>
  </si>
  <si>
    <t xml:space="preserve">Demo Appliances item 89</t>
  </si>
  <si>
    <t xml:space="preserve">DEMO-MAC-4427</t>
  </si>
  <si>
    <t xml:space="preserve">Demo Machines item 83</t>
  </si>
  <si>
    <t xml:space="preserve">DEMO-0128</t>
  </si>
  <si>
    <t xml:space="preserve">DEMO-BIN-1238</t>
  </si>
  <si>
    <t xml:space="preserve">Demo Binders item 10</t>
  </si>
  <si>
    <t xml:space="preserve">DEMO-BIN-3914</t>
  </si>
  <si>
    <t xml:space="preserve">Demo Binders item 13</t>
  </si>
  <si>
    <t xml:space="preserve">DEMO-0129</t>
  </si>
  <si>
    <t xml:space="preserve">DEMO-BIN-7356</t>
  </si>
  <si>
    <t xml:space="preserve">DEMO-CHA-2190</t>
  </si>
  <si>
    <t xml:space="preserve">Demo Chairs item 12</t>
  </si>
  <si>
    <t xml:space="preserve">DEMO-FUR-5160</t>
  </si>
  <si>
    <t xml:space="preserve">Demo Furnishings item 84</t>
  </si>
  <si>
    <t xml:space="preserve">DEMO-0130</t>
  </si>
  <si>
    <t xml:space="preserve">DC-1006</t>
  </si>
  <si>
    <t xml:space="preserve">Demo Customer 06</t>
  </si>
  <si>
    <t xml:space="preserve">DEMO-BOO-6957</t>
  </si>
  <si>
    <t xml:space="preserve">Demo Bookcases item 70</t>
  </si>
  <si>
    <t xml:space="preserve">DEMO-0131</t>
  </si>
  <si>
    <t xml:space="preserve">DEMO-FAS-7238</t>
  </si>
  <si>
    <t xml:space="preserve">Demo Fasteners item 98</t>
  </si>
  <si>
    <t xml:space="preserve">DEMO-0132</t>
  </si>
  <si>
    <t xml:space="preserve">DEMO-CHA-1123</t>
  </si>
  <si>
    <t xml:space="preserve">Demo Chairs item 7</t>
  </si>
  <si>
    <t xml:space="preserve">DEMO-TAB-9063</t>
  </si>
  <si>
    <t xml:space="preserve">DEMO-STO-1994</t>
  </si>
  <si>
    <t xml:space="preserve">Demo Storage item 16</t>
  </si>
  <si>
    <t xml:space="preserve">DEMO-0133</t>
  </si>
  <si>
    <t xml:space="preserve">DEMO-STO-7163</t>
  </si>
  <si>
    <t xml:space="preserve">DEMO-TAB-2662</t>
  </si>
  <si>
    <t xml:space="preserve">Demo Tables item 11</t>
  </si>
  <si>
    <t xml:space="preserve">DEMO-0134</t>
  </si>
  <si>
    <t xml:space="preserve">DEMO-PHO-6918</t>
  </si>
  <si>
    <t xml:space="preserve">Demo Phones item 9</t>
  </si>
  <si>
    <t xml:space="preserve">DEMO-TAB-9432</t>
  </si>
  <si>
    <t xml:space="preserve">Demo Tables item 4</t>
  </si>
  <si>
    <t xml:space="preserve">DEMO-APP-1684</t>
  </si>
  <si>
    <t xml:space="preserve">Demo Appliances item 48</t>
  </si>
  <si>
    <t xml:space="preserve">DEMO-BIN-4554</t>
  </si>
  <si>
    <t xml:space="preserve">Demo Binders item 5</t>
  </si>
  <si>
    <t xml:space="preserve">DEMO-0135</t>
  </si>
  <si>
    <t xml:space="preserve">DEMO-FAS-6896</t>
  </si>
  <si>
    <t xml:space="preserve">Demo Fasteners item 62</t>
  </si>
  <si>
    <t xml:space="preserve">DEMO-TAB-4477</t>
  </si>
  <si>
    <t xml:space="preserve">Demo Tables item 80</t>
  </si>
  <si>
    <t xml:space="preserve">DEMO-0136</t>
  </si>
  <si>
    <t xml:space="preserve">DEMO-ENV-3908</t>
  </si>
  <si>
    <t xml:space="preserve">Demo Envelopes item 44</t>
  </si>
  <si>
    <t xml:space="preserve">DEMO-APP-5224</t>
  </si>
  <si>
    <t xml:space="preserve">Demo Appliances item 78</t>
  </si>
  <si>
    <t xml:space="preserve">DEMO-0137</t>
  </si>
  <si>
    <t xml:space="preserve">DEMO-PAP-9555</t>
  </si>
  <si>
    <t xml:space="preserve">Demo Paper item 18</t>
  </si>
  <si>
    <t xml:space="preserve">DEMO-0138</t>
  </si>
  <si>
    <t xml:space="preserve">DEMO-CHA-5148</t>
  </si>
  <si>
    <t xml:space="preserve">DEMO-0139</t>
  </si>
  <si>
    <t xml:space="preserve">DEMO-FUR-2155</t>
  </si>
  <si>
    <t xml:space="preserve">Demo Furnishings item 37</t>
  </si>
  <si>
    <t xml:space="preserve">DEMO-0140</t>
  </si>
  <si>
    <t xml:space="preserve">DEMO-BOO-4993</t>
  </si>
  <si>
    <t xml:space="preserve">Demo Bookcases item 64</t>
  </si>
  <si>
    <t xml:space="preserve">DEMO-LAB-4875</t>
  </si>
  <si>
    <t xml:space="preserve">DEMO-0141</t>
  </si>
  <si>
    <t xml:space="preserve">DC-1024</t>
  </si>
  <si>
    <t xml:space="preserve">Demo Customer 24</t>
  </si>
  <si>
    <t xml:space="preserve">Ohio</t>
  </si>
  <si>
    <t xml:space="preserve">DEMO-ART-6375</t>
  </si>
  <si>
    <t xml:space="preserve">Demo Art item 2</t>
  </si>
  <si>
    <t xml:space="preserve">DEMO-LAB-4393</t>
  </si>
  <si>
    <t xml:space="preserve">Demo Labels item 70</t>
  </si>
  <si>
    <t xml:space="preserve">DEMO-0142</t>
  </si>
  <si>
    <t xml:space="preserve">DEMO-COP-3090</t>
  </si>
  <si>
    <t xml:space="preserve">Demo Copiers item 29</t>
  </si>
  <si>
    <t xml:space="preserve">DEMO-FAS-8440</t>
  </si>
  <si>
    <t xml:space="preserve">Demo Fasteners item 43</t>
  </si>
  <si>
    <t xml:space="preserve">DEMO-0143</t>
  </si>
  <si>
    <t xml:space="preserve">DEMO-PAP-3636</t>
  </si>
  <si>
    <t xml:space="preserve">Demo Paper item 51</t>
  </si>
  <si>
    <t xml:space="preserve">DEMO-FAS-5190</t>
  </si>
  <si>
    <t xml:space="preserve">Demo Fasteners item 21</t>
  </si>
  <si>
    <t xml:space="preserve">DEMO-0144</t>
  </si>
  <si>
    <t xml:space="preserve">DEMO-APP-5463</t>
  </si>
  <si>
    <t xml:space="preserve">Demo Appliances item 4</t>
  </si>
  <si>
    <t xml:space="preserve">DEMO-0145</t>
  </si>
  <si>
    <t xml:space="preserve">DEMO-CHA-1392</t>
  </si>
  <si>
    <t xml:space="preserve">Demo Chairs item 15</t>
  </si>
  <si>
    <t xml:space="preserve">DEMO-BOO-6716</t>
  </si>
  <si>
    <t xml:space="preserve">Demo Bookcases item 41</t>
  </si>
  <si>
    <t xml:space="preserve">DEMO-0146</t>
  </si>
  <si>
    <t xml:space="preserve">DEMO-FAS-1857</t>
  </si>
  <si>
    <t xml:space="preserve">DEMO-0147</t>
  </si>
  <si>
    <t xml:space="preserve">DEMO-MAC-1839</t>
  </si>
  <si>
    <t xml:space="preserve">Demo Machines item 97</t>
  </si>
  <si>
    <t xml:space="preserve">DEMO-0148</t>
  </si>
  <si>
    <t xml:space="preserve">DEMO-APP-8408</t>
  </si>
  <si>
    <t xml:space="preserve">Demo Appliances item 60</t>
  </si>
  <si>
    <t xml:space="preserve">DEMO-0149</t>
  </si>
  <si>
    <t xml:space="preserve">DEMO-TAB-8492</t>
  </si>
  <si>
    <t xml:space="preserve">Demo Tables item 31</t>
  </si>
  <si>
    <t xml:space="preserve">DEMO-0150</t>
  </si>
  <si>
    <t xml:space="preserve">DEMO-SUP-8442</t>
  </si>
  <si>
    <t xml:space="preserve">Demo Supplies item 79</t>
  </si>
  <si>
    <t xml:space="preserve">DEMO-CHA-3577</t>
  </si>
  <si>
    <t xml:space="preserve">Demo Chairs item 8</t>
  </si>
  <si>
    <t xml:space="preserve">DEMO-0151</t>
  </si>
  <si>
    <t xml:space="preserve">DEMO-FAS-5808</t>
  </si>
  <si>
    <t xml:space="preserve">Demo Fasteners item 7</t>
  </si>
  <si>
    <t xml:space="preserve">DEMO-0152</t>
  </si>
  <si>
    <t xml:space="preserve">DEMO-CHA-9540</t>
  </si>
  <si>
    <t xml:space="preserve">Demo Chairs item 47</t>
  </si>
  <si>
    <t xml:space="preserve">DEMO-0153</t>
  </si>
  <si>
    <t xml:space="preserve">DEMO-ART-9414</t>
  </si>
  <si>
    <t xml:space="preserve">DEMO-0154</t>
  </si>
  <si>
    <t xml:space="preserve">DC-1029</t>
  </si>
  <si>
    <t xml:space="preserve">Demo Customer 29</t>
  </si>
  <si>
    <t xml:space="preserve">DEMO-PAP-1836</t>
  </si>
  <si>
    <t xml:space="preserve">Demo Paper item 14</t>
  </si>
  <si>
    <t xml:space="preserve">DEMO-ART-8632</t>
  </si>
  <si>
    <t xml:space="preserve">Demo Art item 88</t>
  </si>
  <si>
    <t xml:space="preserve">DEMO-0155</t>
  </si>
  <si>
    <t xml:space="preserve">DC-1040</t>
  </si>
  <si>
    <t xml:space="preserve">Demo Customer 40</t>
  </si>
  <si>
    <t xml:space="preserve">DEMO-LAB-1839</t>
  </si>
  <si>
    <t xml:space="preserve">Demo Labels item 5</t>
  </si>
  <si>
    <t xml:space="preserve">DEMO-0156</t>
  </si>
  <si>
    <t xml:space="preserve">Utah</t>
  </si>
  <si>
    <t xml:space="preserve">DEMO-ART-7338</t>
  </si>
  <si>
    <t xml:space="preserve">Demo Art item 98</t>
  </si>
  <si>
    <t xml:space="preserve">DEMO-LAB-2916</t>
  </si>
  <si>
    <t xml:space="preserve">Demo Labels item 12</t>
  </si>
  <si>
    <t xml:space="preserve">DEMO-0157</t>
  </si>
  <si>
    <t xml:space="preserve">DEMO-PHO-4172</t>
  </si>
  <si>
    <t xml:space="preserve">Demo Phones item 63</t>
  </si>
  <si>
    <t xml:space="preserve">DEMO-FUR-6263</t>
  </si>
  <si>
    <t xml:space="preserve">DEMO-0158</t>
  </si>
  <si>
    <t xml:space="preserve">DEMO-ENV-1644</t>
  </si>
  <si>
    <t xml:space="preserve">Demo Envelopes item 5</t>
  </si>
  <si>
    <t xml:space="preserve">DEMO-0159</t>
  </si>
  <si>
    <t xml:space="preserve">DEMO-FAS-7197</t>
  </si>
  <si>
    <t xml:space="preserve">Demo Fasteners item 37</t>
  </si>
  <si>
    <t xml:space="preserve">DEMO-CHA-1855</t>
  </si>
  <si>
    <t xml:space="preserve">Demo Chairs item 94</t>
  </si>
  <si>
    <t xml:space="preserve">DEMO-CHA-8159</t>
  </si>
  <si>
    <t xml:space="preserve">DEMO-0160</t>
  </si>
  <si>
    <t xml:space="preserve">DEMO-APP-8466</t>
  </si>
  <si>
    <t xml:space="preserve">Demo Appliances item 44</t>
  </si>
  <si>
    <t xml:space="preserve">DEMO-0161</t>
  </si>
  <si>
    <t xml:space="preserve">DEMO-ENV-6359</t>
  </si>
  <si>
    <t xml:space="preserve">Demo Envelopes item 4</t>
  </si>
  <si>
    <t xml:space="preserve">DEMO-ACC-7583</t>
  </si>
  <si>
    <t xml:space="preserve">Demo Accessories item 40</t>
  </si>
  <si>
    <t xml:space="preserve">DEMO-PAP-6651</t>
  </si>
  <si>
    <t xml:space="preserve">Demo Paper item 94</t>
  </si>
  <si>
    <t xml:space="preserve">DEMO-0162</t>
  </si>
  <si>
    <t xml:space="preserve">DEMO-ACC-4414</t>
  </si>
  <si>
    <t xml:space="preserve">DEMO-ART-3146</t>
  </si>
  <si>
    <t xml:space="preserve">Demo Art item 55</t>
  </si>
  <si>
    <t xml:space="preserve">DEMO-0163</t>
  </si>
  <si>
    <t xml:space="preserve">DEMO-SUP-8101</t>
  </si>
  <si>
    <t xml:space="preserve">Demo Supplies item 21</t>
  </si>
  <si>
    <t xml:space="preserve">DEMO-0164</t>
  </si>
  <si>
    <t xml:space="preserve">DEMO-TAB-4060</t>
  </si>
  <si>
    <t xml:space="preserve">DEMO-SUP-1287</t>
  </si>
  <si>
    <t xml:space="preserve">DEMO-0165</t>
  </si>
  <si>
    <t xml:space="preserve">DEMO-MAC-4524</t>
  </si>
  <si>
    <t xml:space="preserve">Demo Machines item 66</t>
  </si>
  <si>
    <t xml:space="preserve">DEMO-0166</t>
  </si>
  <si>
    <t xml:space="preserve">DEMO-CHA-7885</t>
  </si>
  <si>
    <t xml:space="preserve">Demo Chairs item 28</t>
  </si>
  <si>
    <t xml:space="preserve">DEMO-STO-4883</t>
  </si>
  <si>
    <t xml:space="preserve">Demo Storage item 69</t>
  </si>
  <si>
    <t xml:space="preserve">DEMO-SUP-4536</t>
  </si>
  <si>
    <t xml:space="preserve">Demo Supplies item 35</t>
  </si>
  <si>
    <t xml:space="preserve">DEMO-PAP-2140</t>
  </si>
  <si>
    <t xml:space="preserve">Demo Paper item 72</t>
  </si>
  <si>
    <t xml:space="preserve">DEMO-0167</t>
  </si>
  <si>
    <t xml:space="preserve">DEMO-BIN-3641</t>
  </si>
  <si>
    <t xml:space="preserve">DEMO-PAP-2392</t>
  </si>
  <si>
    <t xml:space="preserve">Demo Paper item 19</t>
  </si>
  <si>
    <t xml:space="preserve">DEMO-0168</t>
  </si>
  <si>
    <t xml:space="preserve">DEMO-FUR-5539</t>
  </si>
  <si>
    <t xml:space="preserve">Demo Furnishings item 61</t>
  </si>
  <si>
    <t xml:space="preserve">DEMO-STO-7282</t>
  </si>
  <si>
    <t xml:space="preserve">Demo Storage item 9</t>
  </si>
  <si>
    <t xml:space="preserve">DEMO-0169</t>
  </si>
  <si>
    <t xml:space="preserve">DEMO-LAB-8811</t>
  </si>
  <si>
    <t xml:space="preserve">Demo Labels item 46</t>
  </si>
  <si>
    <t xml:space="preserve">DEMO-0170</t>
  </si>
  <si>
    <t xml:space="preserve">DEMO-PHO-3380</t>
  </si>
  <si>
    <t xml:space="preserve">Demo Phones item 81</t>
  </si>
  <si>
    <t xml:space="preserve">DEMO-0171</t>
  </si>
  <si>
    <t xml:space="preserve">DEMO-LAB-2891</t>
  </si>
  <si>
    <t xml:space="preserve">Demo Labels item 18</t>
  </si>
  <si>
    <t xml:space="preserve">DEMO-ACC-9543</t>
  </si>
  <si>
    <t xml:space="preserve">Demo Accessories item 3</t>
  </si>
  <si>
    <t xml:space="preserve">DEMO-0172</t>
  </si>
  <si>
    <t xml:space="preserve">DEMO-LAB-7070</t>
  </si>
  <si>
    <t xml:space="preserve">Demo Labels item 50</t>
  </si>
  <si>
    <t xml:space="preserve">DEMO-BOO-7181</t>
  </si>
  <si>
    <t xml:space="preserve">Demo Bookcases item 3</t>
  </si>
  <si>
    <t xml:space="preserve">DEMO-0173</t>
  </si>
  <si>
    <t xml:space="preserve">DEMO-CHA-2467</t>
  </si>
  <si>
    <t xml:space="preserve">DEMO-PHO-2526</t>
  </si>
  <si>
    <t xml:space="preserve">DEMO-0174</t>
  </si>
  <si>
    <t xml:space="preserve">DEMO-CHA-3760</t>
  </si>
  <si>
    <t xml:space="preserve">DEMO-0175</t>
  </si>
  <si>
    <t xml:space="preserve">DEMO-FUR-7404</t>
  </si>
  <si>
    <t xml:space="preserve">Demo Furnishings item 53</t>
  </si>
  <si>
    <t xml:space="preserve">DEMO-ENV-6751</t>
  </si>
  <si>
    <t xml:space="preserve">DEMO-0176</t>
  </si>
  <si>
    <t xml:space="preserve">DEMO-APP-8192</t>
  </si>
  <si>
    <t xml:space="preserve">Demo Appliances item 3</t>
  </si>
  <si>
    <t xml:space="preserve">DEMO-LAB-3867</t>
  </si>
  <si>
    <t xml:space="preserve">Demo Labels item 89</t>
  </si>
  <si>
    <t xml:space="preserve">DEMO-0177</t>
  </si>
  <si>
    <t xml:space="preserve">DEMO-SUP-7234</t>
  </si>
  <si>
    <t xml:space="preserve">Demo Supplies item 94</t>
  </si>
  <si>
    <t xml:space="preserve">DEMO-0178</t>
  </si>
  <si>
    <t xml:space="preserve">DEMO-COP-6346</t>
  </si>
  <si>
    <t xml:space="preserve">Demo Copiers item 41</t>
  </si>
  <si>
    <t xml:space="preserve">DEMO-SUP-2359</t>
  </si>
  <si>
    <t xml:space="preserve">Demo Supplies item 63</t>
  </si>
  <si>
    <t xml:space="preserve">DEMO-0179</t>
  </si>
  <si>
    <t xml:space="preserve">DEMO-BOO-3188</t>
  </si>
  <si>
    <t xml:space="preserve">Demo Bookcases item 14</t>
  </si>
  <si>
    <t xml:space="preserve">DEMO-ART-8354</t>
  </si>
  <si>
    <t xml:space="preserve">DEMO-APP-9321</t>
  </si>
  <si>
    <t xml:space="preserve">Demo Appliances item 65</t>
  </si>
  <si>
    <t xml:space="preserve">DEMO-0180</t>
  </si>
  <si>
    <t xml:space="preserve">New Hampshire</t>
  </si>
  <si>
    <t xml:space="preserve">DEMO-FAS-8745</t>
  </si>
  <si>
    <t xml:space="preserve">Demo Fasteners item 16</t>
  </si>
  <si>
    <t xml:space="preserve">DEMO-CHA-7168</t>
  </si>
  <si>
    <t xml:space="preserve">DEMO-0181</t>
  </si>
  <si>
    <t xml:space="preserve">DEMO-APP-8611</t>
  </si>
  <si>
    <t xml:space="preserve">Demo Appliances item 77</t>
  </si>
  <si>
    <t xml:space="preserve">DEMO-ART-4046</t>
  </si>
  <si>
    <t xml:space="preserve">Demo Art item 65</t>
  </si>
  <si>
    <t xml:space="preserve">DEMO-0182</t>
  </si>
  <si>
    <t xml:space="preserve">DEMO-CHA-3639</t>
  </si>
  <si>
    <t xml:space="preserve">DEMO-ART-6124</t>
  </si>
  <si>
    <t xml:space="preserve">DEMO-TAB-3629</t>
  </si>
  <si>
    <t xml:space="preserve">Demo Tables item 67</t>
  </si>
  <si>
    <t xml:space="preserve">DEMO-0183</t>
  </si>
  <si>
    <t xml:space="preserve">DEMO-BIN-9150</t>
  </si>
  <si>
    <t xml:space="preserve">DEMO-0184</t>
  </si>
  <si>
    <t xml:space="preserve">DEMO-ART-5630</t>
  </si>
  <si>
    <t xml:space="preserve">Demo Art item 43</t>
  </si>
  <si>
    <t xml:space="preserve">DEMO-SUP-7053</t>
  </si>
  <si>
    <t xml:space="preserve">Demo Supplies item 73</t>
  </si>
  <si>
    <t xml:space="preserve">DEMO-0185</t>
  </si>
  <si>
    <t xml:space="preserve">DEMO-ENV-5801</t>
  </si>
  <si>
    <t xml:space="preserve">Demo Envelopes item 91</t>
  </si>
  <si>
    <t xml:space="preserve">DEMO-0186</t>
  </si>
  <si>
    <t xml:space="preserve">DEMO-BOO-2808</t>
  </si>
  <si>
    <t xml:space="preserve">Demo Bookcases item 88</t>
  </si>
  <si>
    <t xml:space="preserve">DEMO-0187</t>
  </si>
  <si>
    <t xml:space="preserve">DEMO-APP-6128</t>
  </si>
  <si>
    <t xml:space="preserve">Demo Appliances item 73</t>
  </si>
  <si>
    <t xml:space="preserve">DEMO-0188</t>
  </si>
  <si>
    <t xml:space="preserve">DEMO-SUP-4449</t>
  </si>
  <si>
    <t xml:space="preserve">Demo Supplies item 16</t>
  </si>
  <si>
    <t xml:space="preserve">DEMO-0189</t>
  </si>
  <si>
    <t xml:space="preserve">DEMO-LAB-7954</t>
  </si>
  <si>
    <t xml:space="preserve">DEMO-0190</t>
  </si>
  <si>
    <t xml:space="preserve">DEMO-PAP-9705</t>
  </si>
  <si>
    <t xml:space="preserve">Demo Paper item 84</t>
  </si>
  <si>
    <t xml:space="preserve">DEMO-0191</t>
  </si>
  <si>
    <t xml:space="preserve">DEMO-SUP-9905</t>
  </si>
  <si>
    <t xml:space="preserve">Demo Supplies item 19</t>
  </si>
  <si>
    <t xml:space="preserve">DEMO-0192</t>
  </si>
  <si>
    <t xml:space="preserve">DEMO-BOO-9906</t>
  </si>
  <si>
    <t xml:space="preserve">Demo Bookcases item 97</t>
  </si>
  <si>
    <t xml:space="preserve">DEMO-0193</t>
  </si>
  <si>
    <t xml:space="preserve">DEMO-CHA-2516</t>
  </si>
  <si>
    <t xml:space="preserve">Demo Chairs item 62</t>
  </si>
  <si>
    <t xml:space="preserve">DEMO-PAP-9242</t>
  </si>
  <si>
    <t xml:space="preserve">DEMO-COP-6551</t>
  </si>
  <si>
    <t xml:space="preserve">Demo Copiers item 84</t>
  </si>
  <si>
    <t xml:space="preserve">DEMO-0194</t>
  </si>
  <si>
    <t xml:space="preserve">DEMO-SUP-8026</t>
  </si>
  <si>
    <t xml:space="preserve">DEMO-0195</t>
  </si>
  <si>
    <t xml:space="preserve">DEMO-CHA-2678</t>
  </si>
  <si>
    <t xml:space="preserve">Demo Chairs item 67</t>
  </si>
  <si>
    <t xml:space="preserve">DEMO-ENV-4934</t>
  </si>
  <si>
    <t xml:space="preserve">DEMO-0196</t>
  </si>
  <si>
    <t xml:space="preserve">DEMO-ART-6488</t>
  </si>
  <si>
    <t xml:space="preserve">Demo Art item 32</t>
  </si>
  <si>
    <t xml:space="preserve">DEMO-0197</t>
  </si>
  <si>
    <t xml:space="preserve">DEMO-APP-9896</t>
  </si>
  <si>
    <t xml:space="preserve">Demo Appliances item 25</t>
  </si>
  <si>
    <t xml:space="preserve">DEMO-ACC-2625</t>
  </si>
  <si>
    <t xml:space="preserve">Demo Accessories item 86</t>
  </si>
  <si>
    <t xml:space="preserve">DEMO-0198</t>
  </si>
  <si>
    <t xml:space="preserve">DEMO-FAS-3081</t>
  </si>
  <si>
    <t xml:space="preserve">Demo Fasteners item 85</t>
  </si>
  <si>
    <t xml:space="preserve">DEMO-BIN-1880</t>
  </si>
  <si>
    <t xml:space="preserve">DEMO-0199</t>
  </si>
  <si>
    <t xml:space="preserve">DEMO-LAB-9911</t>
  </si>
  <si>
    <t xml:space="preserve">Demo Labels item 93</t>
  </si>
  <si>
    <t xml:space="preserve">DEMO-0200</t>
  </si>
  <si>
    <t xml:space="preserve">DC-1028</t>
  </si>
  <si>
    <t xml:space="preserve">Demo Customer 28</t>
  </si>
  <si>
    <t xml:space="preserve">DEMO-MAC-4620</t>
  </si>
  <si>
    <t xml:space="preserve">Demo Machines item 1</t>
  </si>
  <si>
    <t xml:space="preserve">DEMO-FUR-9735</t>
  </si>
  <si>
    <t xml:space="preserve">DEMO-ENV-4646</t>
  </si>
  <si>
    <t xml:space="preserve">Demo Envelopes item 80</t>
  </si>
  <si>
    <t xml:space="preserve">DEMO-SUP-5803</t>
  </si>
  <si>
    <t xml:space="preserve">Demo Supplies item 36</t>
  </si>
  <si>
    <t xml:space="preserve">DEMO-0201</t>
  </si>
  <si>
    <t xml:space="preserve">DEMO-LAB-5757</t>
  </si>
  <si>
    <t xml:space="preserve">Demo Labels item 38</t>
  </si>
  <si>
    <t xml:space="preserve">DEMO-0202</t>
  </si>
  <si>
    <t xml:space="preserve">DEMO-STO-6889</t>
  </si>
  <si>
    <t xml:space="preserve">Demo Storage item 12</t>
  </si>
  <si>
    <t xml:space="preserve">DEMO-ENV-7003</t>
  </si>
  <si>
    <t xml:space="preserve">Demo Envelopes item 89</t>
  </si>
  <si>
    <t xml:space="preserve">DEMO-BOO-6577</t>
  </si>
  <si>
    <t xml:space="preserve">Demo Bookcases item 44</t>
  </si>
  <si>
    <t xml:space="preserve">DEMO-BIN-1708</t>
  </si>
  <si>
    <t xml:space="preserve">Demo Binders item 92</t>
  </si>
  <si>
    <t xml:space="preserve">DEMO-0203</t>
  </si>
  <si>
    <t xml:space="preserve">DEMO-STO-5602</t>
  </si>
  <si>
    <t xml:space="preserve">DEMO-0204</t>
  </si>
  <si>
    <t xml:space="preserve">DEMO-BOO-7138</t>
  </si>
  <si>
    <t xml:space="preserve">Demo Bookcases item 66</t>
  </si>
  <si>
    <t xml:space="preserve">DEMO-0205</t>
  </si>
  <si>
    <t xml:space="preserve">DEMO-PAP-6260</t>
  </si>
  <si>
    <t xml:space="preserve">Demo Paper item 43</t>
  </si>
  <si>
    <t xml:space="preserve">DEMO-BOO-2610</t>
  </si>
  <si>
    <t xml:space="preserve">Demo Bookcases item 26</t>
  </si>
  <si>
    <t xml:space="preserve">DEMO-0206</t>
  </si>
  <si>
    <t xml:space="preserve">DEMO-LAB-8540</t>
  </si>
  <si>
    <t xml:space="preserve">DEMO-TAB-2900</t>
  </si>
  <si>
    <t xml:space="preserve">DEMO-COP-8690</t>
  </si>
  <si>
    <t xml:space="preserve">Demo Copiers item 92</t>
  </si>
  <si>
    <t xml:space="preserve">DEMO-0207</t>
  </si>
  <si>
    <t xml:space="preserve">DEMO-TAB-8692</t>
  </si>
  <si>
    <t xml:space="preserve">DEMO-0208</t>
  </si>
  <si>
    <t xml:space="preserve">DEMO-MAC-2490</t>
  </si>
  <si>
    <t xml:space="preserve">Demo Machines item 24</t>
  </si>
  <si>
    <t xml:space="preserve">DEMO-0209</t>
  </si>
  <si>
    <t xml:space="preserve">DEMO-STO-9365</t>
  </si>
  <si>
    <t xml:space="preserve">DEMO-LAB-5488</t>
  </si>
  <si>
    <t xml:space="preserve">Demo Labels item 37</t>
  </si>
  <si>
    <t xml:space="preserve">DEMO-LAB-6381</t>
  </si>
  <si>
    <t xml:space="preserve">Demo Labels item 87</t>
  </si>
  <si>
    <t xml:space="preserve">DEMO-0210</t>
  </si>
  <si>
    <t xml:space="preserve">DEMO-BOO-7650</t>
  </si>
  <si>
    <t xml:space="preserve">Demo Bookcases item 34</t>
  </si>
  <si>
    <t xml:space="preserve">DEMO-TAB-7170</t>
  </si>
  <si>
    <t xml:space="preserve">Demo Tables item 29</t>
  </si>
  <si>
    <t xml:space="preserve">DEMO-MAC-3858</t>
  </si>
  <si>
    <t xml:space="preserve">Demo Machines item 89</t>
  </si>
  <si>
    <t xml:space="preserve">DEMO-CHA-9752</t>
  </si>
  <si>
    <t xml:space="preserve">Demo Chairs item 18</t>
  </si>
  <si>
    <t xml:space="preserve">DEMO-0211</t>
  </si>
  <si>
    <t xml:space="preserve">DEMO-BIN-8250</t>
  </si>
  <si>
    <t xml:space="preserve">Demo Binders item 96</t>
  </si>
  <si>
    <t xml:space="preserve">DEMO-BIN-2744</t>
  </si>
  <si>
    <t xml:space="preserve">DEMO-APP-4764</t>
  </si>
  <si>
    <t xml:space="preserve">DEMO-0212</t>
  </si>
  <si>
    <t xml:space="preserve">DEMO-BIN-1426</t>
  </si>
  <si>
    <t xml:space="preserve">Demo Binders item 17</t>
  </si>
  <si>
    <t xml:space="preserve">DEMO-0213</t>
  </si>
  <si>
    <t xml:space="preserve">DEMO-ACC-8212</t>
  </si>
  <si>
    <t xml:space="preserve">Demo Accessories item 78</t>
  </si>
  <si>
    <t xml:space="preserve">DEMO-0214</t>
  </si>
  <si>
    <t xml:space="preserve">DEMO-ACC-3351</t>
  </si>
  <si>
    <t xml:space="preserve">Demo Accessories item 49</t>
  </si>
  <si>
    <t xml:space="preserve">DEMO-STO-5059</t>
  </si>
  <si>
    <t xml:space="preserve">DEMO-0215</t>
  </si>
  <si>
    <t xml:space="preserve">DEMO-BOO-9353</t>
  </si>
  <si>
    <t xml:space="preserve">DEMO-APP-9595</t>
  </si>
  <si>
    <t xml:space="preserve">Demo Appliances item 98</t>
  </si>
  <si>
    <t xml:space="preserve">DEMO-0216</t>
  </si>
  <si>
    <t xml:space="preserve">DEMO-SUP-2545</t>
  </si>
  <si>
    <t xml:space="preserve">Demo Supplies item 34</t>
  </si>
  <si>
    <t xml:space="preserve">DEMO-ART-5958</t>
  </si>
  <si>
    <t xml:space="preserve">Demo Art item 33</t>
  </si>
  <si>
    <t xml:space="preserve">DEMO-0217</t>
  </si>
  <si>
    <t xml:space="preserve">DEMO-BIN-8132</t>
  </si>
  <si>
    <t xml:space="preserve">Demo Binders item 60</t>
  </si>
  <si>
    <t xml:space="preserve">DEMO-PAP-8110</t>
  </si>
  <si>
    <t xml:space="preserve">Demo Paper item 50</t>
  </si>
  <si>
    <t xml:space="preserve">DEMO-0218</t>
  </si>
  <si>
    <t xml:space="preserve">DEMO-CHA-9252</t>
  </si>
  <si>
    <t xml:space="preserve">Demo Chairs item 63</t>
  </si>
  <si>
    <t xml:space="preserve">DEMO-0219</t>
  </si>
  <si>
    <t xml:space="preserve">DEMO-COP-6020</t>
  </si>
  <si>
    <t xml:space="preserve">Demo Copiers item 81</t>
  </si>
  <si>
    <t xml:space="preserve">DEMO-ENV-2068</t>
  </si>
  <si>
    <t xml:space="preserve">Demo Envelopes item 83</t>
  </si>
  <si>
    <t xml:space="preserve">DEMO-FUR-5069</t>
  </si>
  <si>
    <t xml:space="preserve">DEMO-0220</t>
  </si>
  <si>
    <t xml:space="preserve">DEMO-FAS-4656</t>
  </si>
  <si>
    <t xml:space="preserve">Demo Fasteners item 48</t>
  </si>
  <si>
    <t xml:space="preserve">DEMO-TAB-1378</t>
  </si>
  <si>
    <t xml:space="preserve">DEMO-BOO-6119</t>
  </si>
  <si>
    <t xml:space="preserve">Demo Bookcases item 54</t>
  </si>
  <si>
    <t xml:space="preserve">DEMO-0221</t>
  </si>
  <si>
    <t xml:space="preserve">DEMO-STO-7679</t>
  </si>
  <si>
    <t xml:space="preserve">Demo Storage item 28</t>
  </si>
  <si>
    <t xml:space="preserve">DEMO-0222</t>
  </si>
  <si>
    <t xml:space="preserve">DEMO-CHA-1217</t>
  </si>
  <si>
    <t xml:space="preserve">DEMO-0223</t>
  </si>
  <si>
    <t xml:space="preserve">DEMO-CHA-7440</t>
  </si>
  <si>
    <t xml:space="preserve">Demo Chairs item 85</t>
  </si>
  <si>
    <t xml:space="preserve">DEMO-0224</t>
  </si>
  <si>
    <t xml:space="preserve">DEMO-TAB-3099</t>
  </si>
  <si>
    <t xml:space="preserve">Demo Tables item 7</t>
  </si>
  <si>
    <t xml:space="preserve">DEMO-0225</t>
  </si>
  <si>
    <t xml:space="preserve">Connecticut</t>
  </si>
  <si>
    <t xml:space="preserve">DEMO-FUR-1412</t>
  </si>
  <si>
    <t xml:space="preserve">Demo Furnishings item 93</t>
  </si>
  <si>
    <t xml:space="preserve">DEMO-COP-2929</t>
  </si>
  <si>
    <t xml:space="preserve">Demo Copiers item 67</t>
  </si>
  <si>
    <t xml:space="preserve">DEMO-STO-8868</t>
  </si>
  <si>
    <t xml:space="preserve">Demo Storage item 83</t>
  </si>
  <si>
    <t xml:space="preserve">DEMO-PAP-1691</t>
  </si>
  <si>
    <t xml:space="preserve">DEMO-0226</t>
  </si>
  <si>
    <t xml:space="preserve">DEMO-COP-3435</t>
  </si>
  <si>
    <t xml:space="preserve">Demo Copiers item 35</t>
  </si>
  <si>
    <t xml:space="preserve">DEMO-0227</t>
  </si>
  <si>
    <t xml:space="preserve">DEMO-PAP-8206</t>
  </si>
  <si>
    <t xml:space="preserve">Demo Paper item 91</t>
  </si>
  <si>
    <t xml:space="preserve">DEMO-ART-3074</t>
  </si>
  <si>
    <t xml:space="preserve">Demo Art item 61</t>
  </si>
  <si>
    <t xml:space="preserve">DEMO-0228</t>
  </si>
  <si>
    <t xml:space="preserve">DEMO-CHA-5745</t>
  </si>
  <si>
    <t xml:space="preserve">DEMO-0229</t>
  </si>
  <si>
    <t xml:space="preserve">DEMO-BOO-8010</t>
  </si>
  <si>
    <t xml:space="preserve">Demo Bookcases item 9</t>
  </si>
  <si>
    <t xml:space="preserve">DEMO-0230</t>
  </si>
  <si>
    <t xml:space="preserve">DEMO-FAS-5614</t>
  </si>
  <si>
    <t xml:space="preserve">Demo Fasteners item 59</t>
  </si>
  <si>
    <t xml:space="preserve">DEMO-FAS-4749</t>
  </si>
  <si>
    <t xml:space="preserve">DEMO-FUR-4949</t>
  </si>
  <si>
    <t xml:space="preserve">Demo Furnishings item 56</t>
  </si>
  <si>
    <t xml:space="preserve">DEMO-MAC-5216</t>
  </si>
  <si>
    <t xml:space="preserve">Demo Machines item 91</t>
  </si>
  <si>
    <t xml:space="preserve">DEMO-0231</t>
  </si>
  <si>
    <t xml:space="preserve">DEMO-ENV-2711</t>
  </si>
  <si>
    <t xml:space="preserve">Demo Envelopes item 24</t>
  </si>
  <si>
    <t xml:space="preserve">DEMO-0232</t>
  </si>
  <si>
    <t xml:space="preserve">DEMO-PAP-5682</t>
  </si>
  <si>
    <t xml:space="preserve">DEMO-0233</t>
  </si>
  <si>
    <t xml:space="preserve">DEMO-ENV-8628</t>
  </si>
  <si>
    <t xml:space="preserve">DEMO-0234</t>
  </si>
  <si>
    <t xml:space="preserve">DEMO-ART-6119</t>
  </si>
  <si>
    <t xml:space="preserve">Demo Art item 77</t>
  </si>
  <si>
    <t xml:space="preserve">DEMO-BIN-6514</t>
  </si>
  <si>
    <t xml:space="preserve">Demo Binders item 14</t>
  </si>
  <si>
    <t xml:space="preserve">DEMO-BIN-1198</t>
  </si>
  <si>
    <t xml:space="preserve">Demo Binders item 56</t>
  </si>
  <si>
    <t xml:space="preserve">DEMO-0235</t>
  </si>
  <si>
    <t xml:space="preserve">DEMO-TAB-5144</t>
  </si>
  <si>
    <t xml:space="preserve">DEMO-0236</t>
  </si>
  <si>
    <t xml:space="preserve">DEMO-PAP-1344</t>
  </si>
  <si>
    <t xml:space="preserve">DEMO-0237</t>
  </si>
  <si>
    <t xml:space="preserve">DEMO-PHO-6664</t>
  </si>
  <si>
    <t xml:space="preserve">Demo Phones item 52</t>
  </si>
  <si>
    <t xml:space="preserve">DEMO-BOO-9207</t>
  </si>
  <si>
    <t xml:space="preserve">Demo Bookcases item 48</t>
  </si>
  <si>
    <t xml:space="preserve">DEMO-0238</t>
  </si>
  <si>
    <t xml:space="preserve">DEMO-FAS-8565</t>
  </si>
  <si>
    <t xml:space="preserve">Demo Fasteners item 60</t>
  </si>
  <si>
    <t xml:space="preserve">DEMO-LAB-3223</t>
  </si>
  <si>
    <t xml:space="preserve">Demo Labels item 27</t>
  </si>
  <si>
    <t xml:space="preserve">DEMO-0239</t>
  </si>
  <si>
    <t xml:space="preserve">DC-1032</t>
  </si>
  <si>
    <t xml:space="preserve">Demo Customer 32</t>
  </si>
  <si>
    <t xml:space="preserve">DEMO-FUR-3858</t>
  </si>
  <si>
    <t xml:space="preserve">Demo Furnishings item 58</t>
  </si>
  <si>
    <t xml:space="preserve">DEMO-TAB-4800</t>
  </si>
  <si>
    <t xml:space="preserve">Demo Tables item 18</t>
  </si>
  <si>
    <t xml:space="preserve">DEMO-0240</t>
  </si>
  <si>
    <t xml:space="preserve">DEMO-LAB-9279</t>
  </si>
  <si>
    <t xml:space="preserve">Demo Labels item 2</t>
  </si>
  <si>
    <t xml:space="preserve">DEMO-0241</t>
  </si>
  <si>
    <t xml:space="preserve">DEMO-PAP-9026</t>
  </si>
  <si>
    <t xml:space="preserve">Demo Paper item 90</t>
  </si>
  <si>
    <t xml:space="preserve">DEMO-0242</t>
  </si>
  <si>
    <t xml:space="preserve">DEMO-TAB-2072</t>
  </si>
  <si>
    <t xml:space="preserve">Demo Tables item 64</t>
  </si>
  <si>
    <t xml:space="preserve">DEMO-0243</t>
  </si>
  <si>
    <t xml:space="preserve">DEMO-BOO-8694</t>
  </si>
  <si>
    <t xml:space="preserve">Demo Bookcases item 99</t>
  </si>
  <si>
    <t xml:space="preserve">DEMO-0244</t>
  </si>
  <si>
    <t xml:space="preserve">DEMO-TAB-6756</t>
  </si>
  <si>
    <t xml:space="preserve">Demo Tables item 74</t>
  </si>
  <si>
    <t xml:space="preserve">DEMO-ART-7545</t>
  </si>
  <si>
    <t xml:space="preserve">Demo Art item 73</t>
  </si>
  <si>
    <t xml:space="preserve">DEMO-APP-8831</t>
  </si>
  <si>
    <t xml:space="preserve">Demo Appliances item 39</t>
  </si>
  <si>
    <t xml:space="preserve">DEMO-0245</t>
  </si>
  <si>
    <t xml:space="preserve">DEMO-APP-3698</t>
  </si>
  <si>
    <t xml:space="preserve">Demo Appliances item 34</t>
  </si>
  <si>
    <t xml:space="preserve">DEMO-0246</t>
  </si>
  <si>
    <t xml:space="preserve">DEMO-SUP-8198</t>
  </si>
  <si>
    <t xml:space="preserve">Demo Supplies item 67</t>
  </si>
  <si>
    <t xml:space="preserve">DEMO-0247</t>
  </si>
  <si>
    <t xml:space="preserve">DEMO-TAB-1858</t>
  </si>
  <si>
    <t xml:space="preserve">Demo Tables item 16</t>
  </si>
  <si>
    <t xml:space="preserve">DEMO-BOO-6398</t>
  </si>
  <si>
    <t xml:space="preserve">DEMO-0248</t>
  </si>
  <si>
    <t xml:space="preserve">DEMO-ACC-3520</t>
  </si>
  <si>
    <t xml:space="preserve">DEMO-BOO-9546</t>
  </si>
  <si>
    <t xml:space="preserve">Demo Bookcases item 42</t>
  </si>
  <si>
    <t xml:space="preserve">DEMO-0249</t>
  </si>
  <si>
    <t xml:space="preserve">DEMO-PAP-7094</t>
  </si>
  <si>
    <t xml:space="preserve">Demo Paper item 20</t>
  </si>
  <si>
    <t xml:space="preserve">DEMO-0250</t>
  </si>
  <si>
    <t xml:space="preserve">DEMO-BOO-2608</t>
  </si>
  <si>
    <t xml:space="preserve">DEMO-STO-2202</t>
  </si>
  <si>
    <t xml:space="preserve">DEMO-TAB-8366</t>
  </si>
  <si>
    <t xml:space="preserve">Demo Tables item 15</t>
  </si>
  <si>
    <t xml:space="preserve">DEMO-0251</t>
  </si>
  <si>
    <t xml:space="preserve">DEMO-TAB-5799</t>
  </si>
  <si>
    <t xml:space="preserve">Demo Tables item 54</t>
  </si>
  <si>
    <t xml:space="preserve">DEMO-ART-8874</t>
  </si>
  <si>
    <t xml:space="preserve">Demo Art item 39</t>
  </si>
  <si>
    <t xml:space="preserve">DEMO-0252</t>
  </si>
  <si>
    <t xml:space="preserve">DEMO-PHO-4795</t>
  </si>
  <si>
    <t xml:space="preserve">Demo Phones item 65</t>
  </si>
  <si>
    <t xml:space="preserve">DEMO-0253</t>
  </si>
  <si>
    <t xml:space="preserve">DEMO-ENV-3023</t>
  </si>
  <si>
    <t xml:space="preserve">Demo Envelopes item 72</t>
  </si>
  <si>
    <t xml:space="preserve">DEMO-0254</t>
  </si>
  <si>
    <t xml:space="preserve">DEMO-TAB-8831</t>
  </si>
  <si>
    <t xml:space="preserve">Demo Tables item 79</t>
  </si>
  <si>
    <t xml:space="preserve">DEMO-COP-1409</t>
  </si>
  <si>
    <t xml:space="preserve">Demo Copiers item 36</t>
  </si>
  <si>
    <t xml:space="preserve">DEMO-STO-2519</t>
  </si>
  <si>
    <t xml:space="preserve">DEMO-0255</t>
  </si>
  <si>
    <t xml:space="preserve">DEMO-PAP-8099</t>
  </si>
  <si>
    <t xml:space="preserve">Demo Paper item 47</t>
  </si>
  <si>
    <t xml:space="preserve">DEMO-ENV-6750</t>
  </si>
  <si>
    <t xml:space="preserve">Demo Envelopes item 74</t>
  </si>
  <si>
    <t xml:space="preserve">DEMO-BIN-5096</t>
  </si>
  <si>
    <t xml:space="preserve">Demo Binders item 50</t>
  </si>
  <si>
    <t xml:space="preserve">DEMO-0256</t>
  </si>
  <si>
    <t xml:space="preserve">DEMO-STO-4872</t>
  </si>
  <si>
    <t xml:space="preserve">Demo Storage item 64</t>
  </si>
  <si>
    <t xml:space="preserve">DEMO-0257</t>
  </si>
  <si>
    <t xml:space="preserve">DEMO-PHO-4393</t>
  </si>
  <si>
    <t xml:space="preserve">Demo Phones item 89</t>
  </si>
  <si>
    <t xml:space="preserve">DEMO-0258</t>
  </si>
  <si>
    <t xml:space="preserve">DEMO-MAC-2291</t>
  </si>
  <si>
    <t xml:space="preserve">Demo Machines item 63</t>
  </si>
  <si>
    <t xml:space="preserve">DEMO-0259</t>
  </si>
  <si>
    <t xml:space="preserve">DEMO-FAS-8663</t>
  </si>
  <si>
    <t xml:space="preserve">Demo Fasteners item 24</t>
  </si>
  <si>
    <t xml:space="preserve">DEMO-TAB-5975</t>
  </si>
  <si>
    <t xml:space="preserve">Demo Tables item 47</t>
  </si>
  <si>
    <t xml:space="preserve">DEMO-0260</t>
  </si>
  <si>
    <t xml:space="preserve">DEMO-BOO-1155</t>
  </si>
  <si>
    <t xml:space="preserve">Demo Bookcases item 57</t>
  </si>
  <si>
    <t xml:space="preserve">DEMO-PAP-6734</t>
  </si>
  <si>
    <t xml:space="preserve">DEMO-LAB-1487</t>
  </si>
  <si>
    <t xml:space="preserve">Demo Labels item 76</t>
  </si>
  <si>
    <t xml:space="preserve">DEMO-0261</t>
  </si>
  <si>
    <t xml:space="preserve">DEMO-LAB-1599</t>
  </si>
  <si>
    <t xml:space="preserve">DEMO-ENV-3243</t>
  </si>
  <si>
    <t xml:space="preserve">Demo Envelopes item 82</t>
  </si>
  <si>
    <t xml:space="preserve">DEMO-0262</t>
  </si>
  <si>
    <t xml:space="preserve">DEMO-ENV-6619</t>
  </si>
  <si>
    <t xml:space="preserve">Demo Envelopes item 3</t>
  </si>
  <si>
    <t xml:space="preserve">DEMO-0263</t>
  </si>
  <si>
    <t xml:space="preserve">DEMO-COP-7118</t>
  </si>
  <si>
    <t xml:space="preserve">Demo Copiers item 97</t>
  </si>
  <si>
    <t xml:space="preserve">DEMO-0264</t>
  </si>
  <si>
    <t xml:space="preserve">DEMO-SUP-1215</t>
  </si>
  <si>
    <t xml:space="preserve">Demo Supplies item 29</t>
  </si>
  <si>
    <t xml:space="preserve">DEMO-0265</t>
  </si>
  <si>
    <t xml:space="preserve">DEMO-PAP-1222</t>
  </si>
  <si>
    <t xml:space="preserve">Demo Paper item 66</t>
  </si>
  <si>
    <t xml:space="preserve">DEMO-0266</t>
  </si>
  <si>
    <t xml:space="preserve">DEMO-BOO-5997</t>
  </si>
  <si>
    <t xml:space="preserve">Demo Bookcases item 47</t>
  </si>
  <si>
    <t xml:space="preserve">DEMO-APP-3975</t>
  </si>
  <si>
    <t xml:space="preserve">Demo Appliances item 61</t>
  </si>
  <si>
    <t xml:space="preserve">DEMO-0267</t>
  </si>
  <si>
    <t xml:space="preserve">DEMO-FUR-9775</t>
  </si>
  <si>
    <t xml:space="preserve">Demo Furnishings item 88</t>
  </si>
  <si>
    <t xml:space="preserve">DEMO-LAB-4778</t>
  </si>
  <si>
    <t xml:space="preserve">DEMO-STO-3439</t>
  </si>
  <si>
    <t xml:space="preserve">Demo Storage item 66</t>
  </si>
  <si>
    <t xml:space="preserve">DEMO-0268</t>
  </si>
  <si>
    <t xml:space="preserve">DEMO-SUP-6478</t>
  </si>
  <si>
    <t xml:space="preserve">Demo Supplies item 61</t>
  </si>
  <si>
    <t xml:space="preserve">DEMO-TAB-4281</t>
  </si>
  <si>
    <t xml:space="preserve">DEMO-0269</t>
  </si>
  <si>
    <t xml:space="preserve">DEMO-STO-2677</t>
  </si>
  <si>
    <t xml:space="preserve">Demo Storage item 25</t>
  </si>
  <si>
    <t xml:space="preserve">DEMO-LAB-7298</t>
  </si>
  <si>
    <t xml:space="preserve">Demo Labels item 60</t>
  </si>
  <si>
    <t xml:space="preserve">DEMO-LAB-3909</t>
  </si>
  <si>
    <t xml:space="preserve">Demo Labels item 11</t>
  </si>
  <si>
    <t xml:space="preserve">DEMO-0270</t>
  </si>
  <si>
    <t xml:space="preserve">DC-1014</t>
  </si>
  <si>
    <t xml:space="preserve">Demo Customer 14</t>
  </si>
  <si>
    <t xml:space="preserve">DEMO-ENV-9630</t>
  </si>
  <si>
    <t xml:space="preserve">Demo Envelopes item 63</t>
  </si>
  <si>
    <t xml:space="preserve">DEMO-FAS-1673</t>
  </si>
  <si>
    <t xml:space="preserve">Demo Fasteners item 35</t>
  </si>
  <si>
    <t xml:space="preserve">DEMO-0271</t>
  </si>
  <si>
    <t xml:space="preserve">DEMO-ENV-8974</t>
  </si>
  <si>
    <t xml:space="preserve">Demo Envelopes item 53</t>
  </si>
  <si>
    <t xml:space="preserve">DEMO-APP-1692</t>
  </si>
  <si>
    <t xml:space="preserve">DEMO-STO-7880</t>
  </si>
  <si>
    <t xml:space="preserve">Demo Storage item 36</t>
  </si>
  <si>
    <t xml:space="preserve">DEMO-0272</t>
  </si>
  <si>
    <t xml:space="preserve">DEMO-FUR-4525</t>
  </si>
  <si>
    <t xml:space="preserve">Demo Furnishings item 18</t>
  </si>
  <si>
    <t xml:space="preserve">DEMO-FUR-8935</t>
  </si>
  <si>
    <t xml:space="preserve">Demo Furnishings item 85</t>
  </si>
  <si>
    <t xml:space="preserve">DEMO-0273</t>
  </si>
  <si>
    <t xml:space="preserve">DEMO-FAS-3748</t>
  </si>
  <si>
    <t xml:space="preserve">Demo Fasteners item 6</t>
  </si>
  <si>
    <t xml:space="preserve">DEMO-ENV-9521</t>
  </si>
  <si>
    <t xml:space="preserve">Demo Envelopes item 67</t>
  </si>
  <si>
    <t xml:space="preserve">DEMO-0274</t>
  </si>
  <si>
    <t xml:space="preserve">DEMO-ACC-1878</t>
  </si>
  <si>
    <t xml:space="preserve">DEMO-PAP-5280</t>
  </si>
  <si>
    <t xml:space="preserve">Demo Paper item 48</t>
  </si>
  <si>
    <t xml:space="preserve">DEMO-0275</t>
  </si>
  <si>
    <t xml:space="preserve">DEMO-LAB-2964</t>
  </si>
  <si>
    <t xml:space="preserve">DEMO-BOO-4853</t>
  </si>
  <si>
    <t xml:space="preserve">Demo Bookcases item 86</t>
  </si>
  <si>
    <t xml:space="preserve">DEMO-0276</t>
  </si>
  <si>
    <t xml:space="preserve">DEMO-STO-2873</t>
  </si>
  <si>
    <t xml:space="preserve">Demo Storage item 45</t>
  </si>
  <si>
    <t xml:space="preserve">DEMO-0277</t>
  </si>
  <si>
    <t xml:space="preserve">DEMO-BIN-3135</t>
  </si>
  <si>
    <t xml:space="preserve">DEMO-0278</t>
  </si>
  <si>
    <t xml:space="preserve">DEMO-ENV-6320</t>
  </si>
  <si>
    <t xml:space="preserve">Demo Envelopes item 12</t>
  </si>
  <si>
    <t xml:space="preserve">DEMO-BIN-3870</t>
  </si>
  <si>
    <t xml:space="preserve">Demo Binders item 82</t>
  </si>
  <si>
    <t xml:space="preserve">DEMO-APP-6015</t>
  </si>
  <si>
    <t xml:space="preserve">Demo Appliances item 69</t>
  </si>
  <si>
    <t xml:space="preserve">DEMO-0279</t>
  </si>
  <si>
    <t xml:space="preserve">DEMO-FAS-4151</t>
  </si>
  <si>
    <t xml:space="preserve">Demo Fasteners item 57</t>
  </si>
  <si>
    <t xml:space="preserve">DEMO-0280</t>
  </si>
  <si>
    <t xml:space="preserve">DEMO-PAP-6981</t>
  </si>
  <si>
    <t xml:space="preserve">Demo Paper item 7</t>
  </si>
  <si>
    <t xml:space="preserve">DEMO-0281</t>
  </si>
  <si>
    <t xml:space="preserve">DEMO-FUR-9402</t>
  </si>
  <si>
    <t xml:space="preserve">Demo Furnishings item 68</t>
  </si>
  <si>
    <t xml:space="preserve">DEMO-BIN-8096</t>
  </si>
  <si>
    <t xml:space="preserve">Demo Binders item 24</t>
  </si>
  <si>
    <t xml:space="preserve">DEMO-FUR-5589</t>
  </si>
  <si>
    <t xml:space="preserve">Demo Furnishings item 45</t>
  </si>
  <si>
    <t xml:space="preserve">DEMO-APP-5228</t>
  </si>
  <si>
    <t xml:space="preserve">Demo Appliances item 68</t>
  </si>
  <si>
    <t xml:space="preserve">DEMO-0282</t>
  </si>
  <si>
    <t xml:space="preserve">DEMO-COP-5195</t>
  </si>
  <si>
    <t xml:space="preserve">Demo Copiers item 99</t>
  </si>
  <si>
    <t xml:space="preserve">DEMO-FUR-5491</t>
  </si>
  <si>
    <t xml:space="preserve">Demo Furnishings item 35</t>
  </si>
  <si>
    <t xml:space="preserve">DEMO-ENV-5409</t>
  </si>
  <si>
    <t xml:space="preserve">Demo Envelopes item 32</t>
  </si>
  <si>
    <t xml:space="preserve">DEMO-SUP-3852</t>
  </si>
  <si>
    <t xml:space="preserve">Demo Supplies item 4</t>
  </si>
  <si>
    <t xml:space="preserve">DEMO-0283</t>
  </si>
  <si>
    <t xml:space="preserve">DEMO-BIN-6209</t>
  </si>
  <si>
    <t xml:space="preserve">DEMO-BOO-3587</t>
  </si>
  <si>
    <t xml:space="preserve">Demo Bookcases item 53</t>
  </si>
  <si>
    <t xml:space="preserve">DEMO-0284</t>
  </si>
  <si>
    <t xml:space="preserve">DEMO-LAB-3220</t>
  </si>
  <si>
    <t xml:space="preserve">Demo Labels item 71</t>
  </si>
  <si>
    <t xml:space="preserve">DEMO-ENV-6403</t>
  </si>
  <si>
    <t xml:space="preserve">Demo Envelopes item 78</t>
  </si>
  <si>
    <t xml:space="preserve">DEMO-ACC-1309</t>
  </si>
  <si>
    <t xml:space="preserve">Demo Accessories item 69</t>
  </si>
  <si>
    <t xml:space="preserve">DEMO-CHA-3047</t>
  </si>
  <si>
    <t xml:space="preserve">Demo Chairs item 48</t>
  </si>
  <si>
    <t xml:space="preserve">DEMO-0285</t>
  </si>
  <si>
    <t xml:space="preserve">DEMO-TAB-1910</t>
  </si>
  <si>
    <t xml:space="preserve">Demo Tables item 46</t>
  </si>
  <si>
    <t xml:space="preserve">DEMO-0286</t>
  </si>
  <si>
    <t xml:space="preserve">DEMO-LAB-2387</t>
  </si>
  <si>
    <t xml:space="preserve">DEMO-0287</t>
  </si>
  <si>
    <t xml:space="preserve">DEMO-FUR-3273</t>
  </si>
  <si>
    <t xml:space="preserve">Demo Furnishings item 87</t>
  </si>
  <si>
    <t xml:space="preserve">DEMO-APP-7183</t>
  </si>
  <si>
    <t xml:space="preserve">DEMO-0288</t>
  </si>
  <si>
    <t xml:space="preserve">DEMO-PHO-8975</t>
  </si>
  <si>
    <t xml:space="preserve">Demo Phones item 5</t>
  </si>
  <si>
    <t xml:space="preserve">DEMO-BIN-1118</t>
  </si>
  <si>
    <t xml:space="preserve">DEMO-0289</t>
  </si>
  <si>
    <t xml:space="preserve">DEMO-SUP-1450</t>
  </si>
  <si>
    <t xml:space="preserve">DEMO-ART-4812</t>
  </si>
  <si>
    <t xml:space="preserve">Demo Art item 34</t>
  </si>
  <si>
    <t xml:space="preserve">DEMO-ART-9837</t>
  </si>
  <si>
    <t xml:space="preserve">Demo Art item 45</t>
  </si>
  <si>
    <t xml:space="preserve">DEMO-0290</t>
  </si>
  <si>
    <t xml:space="preserve">DEMO-ART-7922</t>
  </si>
  <si>
    <t xml:space="preserve">DEMO-ENV-9653</t>
  </si>
  <si>
    <t xml:space="preserve">Demo Envelopes item 54</t>
  </si>
  <si>
    <t xml:space="preserve">DEMO-0291</t>
  </si>
  <si>
    <t xml:space="preserve">DEMO-FAS-1656</t>
  </si>
  <si>
    <t xml:space="preserve">DEMO-0292</t>
  </si>
  <si>
    <t xml:space="preserve">DEMO-BOO-1102</t>
  </si>
  <si>
    <t xml:space="preserve">Demo Bookcases item 75</t>
  </si>
  <si>
    <t xml:space="preserve">DEMO-LAB-6394</t>
  </si>
  <si>
    <t xml:space="preserve">Demo Labels item 40</t>
  </si>
  <si>
    <t xml:space="preserve">DEMO-BOO-7115</t>
  </si>
  <si>
    <t xml:space="preserve">DEMO-MAC-5321</t>
  </si>
  <si>
    <t xml:space="preserve">Demo Machines item 90</t>
  </si>
  <si>
    <t xml:space="preserve">DEMO-0293</t>
  </si>
  <si>
    <t xml:space="preserve">DEMO-TAB-1808</t>
  </si>
  <si>
    <t xml:space="preserve">Demo Tables item 75</t>
  </si>
  <si>
    <t xml:space="preserve">DEMO-TAB-5174</t>
  </si>
  <si>
    <t xml:space="preserve">Demo Tables item 45</t>
  </si>
  <si>
    <t xml:space="preserve">DEMO-BOO-6572</t>
  </si>
  <si>
    <t xml:space="preserve">Demo Bookcases item 94</t>
  </si>
  <si>
    <t xml:space="preserve">DEMO-0294</t>
  </si>
  <si>
    <t xml:space="preserve">DEMO-PAP-9799</t>
  </si>
  <si>
    <t xml:space="preserve">Demo Paper item 74</t>
  </si>
  <si>
    <t xml:space="preserve">DEMO-TAB-2513</t>
  </si>
  <si>
    <t xml:space="preserve">Demo Tables item 92</t>
  </si>
  <si>
    <t xml:space="preserve">DEMO-0295</t>
  </si>
  <si>
    <t xml:space="preserve">DEMO-BIN-1303</t>
  </si>
  <si>
    <t xml:space="preserve">Demo Binders item 8</t>
  </si>
  <si>
    <t xml:space="preserve">DEMO-0296</t>
  </si>
  <si>
    <t xml:space="preserve">DEMO-BOO-2618</t>
  </si>
  <si>
    <t xml:space="preserve">DEMO-ART-7591</t>
  </si>
  <si>
    <t xml:space="preserve">DEMO-LAB-9094</t>
  </si>
  <si>
    <t xml:space="preserve">Demo Labels item 14</t>
  </si>
  <si>
    <t xml:space="preserve">DEMO-CHA-8741</t>
  </si>
  <si>
    <t xml:space="preserve">Demo Chairs item 49</t>
  </si>
  <si>
    <t xml:space="preserve">DEMO-0297</t>
  </si>
  <si>
    <t xml:space="preserve">DEMO-PHO-7102</t>
  </si>
  <si>
    <t xml:space="preserve">Demo Phones item 29</t>
  </si>
  <si>
    <t xml:space="preserve">DEMO-ENV-9103</t>
  </si>
  <si>
    <t xml:space="preserve">Demo Envelopes item 56</t>
  </si>
  <si>
    <t xml:space="preserve">DEMO-BIN-8806</t>
  </si>
  <si>
    <t xml:space="preserve">DEMO-0298</t>
  </si>
  <si>
    <t xml:space="preserve">DEMO-PHO-8072</t>
  </si>
  <si>
    <t xml:space="preserve">Demo Phones item 25</t>
  </si>
  <si>
    <t xml:space="preserve">DEMO-CHA-5309</t>
  </si>
  <si>
    <t xml:space="preserve">Demo Chairs item 26</t>
  </si>
  <si>
    <t xml:space="preserve">DEMO-APP-5899</t>
  </si>
  <si>
    <t xml:space="preserve">Demo Appliances item 2</t>
  </si>
  <si>
    <t xml:space="preserve">DEMO-ART-8396</t>
  </si>
  <si>
    <t xml:space="preserve">Demo Art item 19</t>
  </si>
  <si>
    <t xml:space="preserve">DEMO-0299</t>
  </si>
  <si>
    <t xml:space="preserve">DEMO-STO-5709</t>
  </si>
  <si>
    <t xml:space="preserve">Demo Storage item 44</t>
  </si>
  <si>
    <t xml:space="preserve">DEMO-0300</t>
  </si>
  <si>
    <t xml:space="preserve">DEMO-BOO-2979</t>
  </si>
  <si>
    <t xml:space="preserve">Demo Bookcases item 35</t>
  </si>
  <si>
    <t xml:space="preserve">DEMO-BOO-6323</t>
  </si>
  <si>
    <t xml:space="preserve">Demo Bookcases item 78</t>
  </si>
  <si>
    <t xml:space="preserve">DEMO-0301</t>
  </si>
  <si>
    <t xml:space="preserve">DEMO-BIN-1988</t>
  </si>
  <si>
    <t xml:space="preserve">Demo Binders item 45</t>
  </si>
  <si>
    <t xml:space="preserve">DEMO-0302</t>
  </si>
  <si>
    <t xml:space="preserve">DEMO-STO-7773</t>
  </si>
  <si>
    <t xml:space="preserve">Demo Storage item 27</t>
  </si>
  <si>
    <t xml:space="preserve">DEMO-0303</t>
  </si>
  <si>
    <t xml:space="preserve">DEMO-COP-7306</t>
  </si>
  <si>
    <t xml:space="preserve">Demo Copiers item 10</t>
  </si>
  <si>
    <t xml:space="preserve">DEMO-0304</t>
  </si>
  <si>
    <t xml:space="preserve">DEMO-ART-1525</t>
  </si>
  <si>
    <t xml:space="preserve">Demo Art item 27</t>
  </si>
  <si>
    <t xml:space="preserve">DEMO-0305</t>
  </si>
  <si>
    <t xml:space="preserve">DEMO-SUP-6562</t>
  </si>
  <si>
    <t xml:space="preserve">Demo Supplies item 81</t>
  </si>
  <si>
    <t xml:space="preserve">DEMO-0306</t>
  </si>
  <si>
    <t xml:space="preserve">DEMO-SUP-4726</t>
  </si>
  <si>
    <t xml:space="preserve">Demo Supplies item 62</t>
  </si>
  <si>
    <t xml:space="preserve">DEMO-SUP-2832</t>
  </si>
  <si>
    <t xml:space="preserve">DEMO-0307</t>
  </si>
  <si>
    <t xml:space="preserve">DEMO-BOO-7261</t>
  </si>
  <si>
    <t xml:space="preserve">DEMO-0308</t>
  </si>
  <si>
    <t xml:space="preserve">DEMO-ENV-6056</t>
  </si>
  <si>
    <t xml:space="preserve">Demo Envelopes item 95</t>
  </si>
  <si>
    <t xml:space="preserve">DEMO-0309</t>
  </si>
  <si>
    <t xml:space="preserve">DEMO-CHA-3224</t>
  </si>
  <si>
    <t xml:space="preserve">Demo Chairs item 16</t>
  </si>
  <si>
    <t xml:space="preserve">DEMO-PHO-2127</t>
  </si>
  <si>
    <t xml:space="preserve">Demo Phones item 85</t>
  </si>
  <si>
    <t xml:space="preserve">DEMO-FUR-4281</t>
  </si>
  <si>
    <t xml:space="preserve">Demo Furnishings item 73</t>
  </si>
  <si>
    <t xml:space="preserve">DEMO-0310</t>
  </si>
  <si>
    <t xml:space="preserve">DEMO-MAC-7958</t>
  </si>
  <si>
    <t xml:space="preserve">Demo Machines item 68</t>
  </si>
  <si>
    <t xml:space="preserve">DEMO-CHA-4436</t>
  </si>
  <si>
    <t xml:space="preserve">Demo Chairs item 64</t>
  </si>
  <si>
    <t xml:space="preserve">DEMO-0311</t>
  </si>
  <si>
    <t xml:space="preserve">DEMO-CHA-2044</t>
  </si>
  <si>
    <t xml:space="preserve">Demo Chairs item 76</t>
  </si>
  <si>
    <t xml:space="preserve">DEMO-0312</t>
  </si>
  <si>
    <t xml:space="preserve">DEMO-BOO-7898</t>
  </si>
  <si>
    <t xml:space="preserve">Demo Bookcases item 68</t>
  </si>
  <si>
    <t xml:space="preserve">DEMO-0313</t>
  </si>
  <si>
    <t xml:space="preserve">DEMO-PAP-4353</t>
  </si>
  <si>
    <t xml:space="preserve">Demo Paper item 28</t>
  </si>
  <si>
    <t xml:space="preserve">DEMO-TAB-2180</t>
  </si>
  <si>
    <t xml:space="preserve">DEMO-0314</t>
  </si>
  <si>
    <t xml:space="preserve">DEMO-FAS-9151</t>
  </si>
  <si>
    <t xml:space="preserve">Demo Fasteners item 46</t>
  </si>
  <si>
    <t xml:space="preserve">DEMO-0315</t>
  </si>
  <si>
    <t xml:space="preserve">DEMO-SUP-2156</t>
  </si>
  <si>
    <t xml:space="preserve">DEMO-LAB-2409</t>
  </si>
  <si>
    <t xml:space="preserve">DEMO-0316</t>
  </si>
  <si>
    <t xml:space="preserve">DEMO-LAB-3173</t>
  </si>
  <si>
    <t xml:space="preserve">DEMO-0317</t>
  </si>
  <si>
    <t xml:space="preserve">DEMO-PAP-1589</t>
  </si>
  <si>
    <t xml:space="preserve">Demo Paper item 93</t>
  </si>
  <si>
    <t xml:space="preserve">DEMO-ACC-7158</t>
  </si>
  <si>
    <t xml:space="preserve">Demo Accessories item 65</t>
  </si>
  <si>
    <t xml:space="preserve">DEMO-FAS-8686</t>
  </si>
  <si>
    <t xml:space="preserve">Demo Fasteners item 10</t>
  </si>
  <si>
    <t xml:space="preserve">DEMO-MAC-9064</t>
  </si>
  <si>
    <t xml:space="preserve">Demo Machines item 29</t>
  </si>
  <si>
    <t xml:space="preserve">DEMO-0318</t>
  </si>
  <si>
    <t xml:space="preserve">DEMO-BIN-3471</t>
  </si>
  <si>
    <t xml:space="preserve">DEMO-STO-5657</t>
  </si>
  <si>
    <t xml:space="preserve">Demo Storage item 14</t>
  </si>
  <si>
    <t xml:space="preserve">DEMO-0319</t>
  </si>
  <si>
    <t xml:space="preserve">DEMO-CHA-8700</t>
  </si>
  <si>
    <t xml:space="preserve">Demo Chairs item 2</t>
  </si>
  <si>
    <t xml:space="preserve">DEMO-FUR-8599</t>
  </si>
  <si>
    <t xml:space="preserve">Demo Furnishings item 9</t>
  </si>
  <si>
    <t xml:space="preserve">DEMO-0320</t>
  </si>
  <si>
    <t xml:space="preserve">DEMO-FAS-2715</t>
  </si>
  <si>
    <t xml:space="preserve">Demo Fasteners item 41</t>
  </si>
  <si>
    <t xml:space="preserve">DEMO-0321</t>
  </si>
  <si>
    <t xml:space="preserve">DEMO-BIN-8915</t>
  </si>
  <si>
    <t xml:space="preserve">DEMO-BOO-2413</t>
  </si>
  <si>
    <t xml:space="preserve">Demo Bookcases item 84</t>
  </si>
  <si>
    <t xml:space="preserve">DEMO-TAB-3048</t>
  </si>
  <si>
    <t xml:space="preserve">Demo Tables item 70</t>
  </si>
  <si>
    <t xml:space="preserve">DEMO-STO-6528</t>
  </si>
  <si>
    <t xml:space="preserve">Demo Storage item 7</t>
  </si>
  <si>
    <t xml:space="preserve">DEMO-0322</t>
  </si>
  <si>
    <t xml:space="preserve">DEMO-APP-9011</t>
  </si>
  <si>
    <t xml:space="preserve">Demo Appliances item 16</t>
  </si>
  <si>
    <t xml:space="preserve">DEMO-0323</t>
  </si>
  <si>
    <t xml:space="preserve">DEMO-CHA-2537</t>
  </si>
  <si>
    <t xml:space="preserve">Demo Chairs item 44</t>
  </si>
  <si>
    <t xml:space="preserve">DEMO-ACC-9474</t>
  </si>
  <si>
    <t xml:space="preserve">DEMO-CHA-7536</t>
  </si>
  <si>
    <t xml:space="preserve">Demo Chairs item 46</t>
  </si>
  <si>
    <t xml:space="preserve">DEMO-0324</t>
  </si>
  <si>
    <t xml:space="preserve">DEMO-ACC-7240</t>
  </si>
  <si>
    <t xml:space="preserve">DEMO-0325</t>
  </si>
  <si>
    <t xml:space="preserve">DEMO-FUR-9166</t>
  </si>
  <si>
    <t xml:space="preserve">DEMO-ACC-4659</t>
  </si>
  <si>
    <t xml:space="preserve">Demo Accessories item 50</t>
  </si>
  <si>
    <t xml:space="preserve">DEMO-0326</t>
  </si>
  <si>
    <t xml:space="preserve">DEMO-FAS-1405</t>
  </si>
  <si>
    <t xml:space="preserve">Demo Fasteners item 4</t>
  </si>
  <si>
    <t xml:space="preserve">DEMO-MAC-7193</t>
  </si>
  <si>
    <t xml:space="preserve">Demo Machines item 47</t>
  </si>
  <si>
    <t xml:space="preserve">DEMO-0327</t>
  </si>
  <si>
    <t xml:space="preserve">DEMO-ART-7897</t>
  </si>
  <si>
    <t xml:space="preserve">DEMO-FUR-1035</t>
  </si>
  <si>
    <t xml:space="preserve">Demo Furnishings item 42</t>
  </si>
  <si>
    <t xml:space="preserve">DEMO-0328</t>
  </si>
  <si>
    <t xml:space="preserve">DEMO-SUP-7241</t>
  </si>
  <si>
    <t xml:space="preserve">Demo Supplies item 77</t>
  </si>
  <si>
    <t xml:space="preserve">DEMO-0329</t>
  </si>
  <si>
    <t xml:space="preserve">DEMO-APP-3404</t>
  </si>
  <si>
    <t xml:space="preserve">Demo Appliances item 6</t>
  </si>
  <si>
    <t xml:space="preserve">DEMO-ART-8593</t>
  </si>
  <si>
    <t xml:space="preserve">Demo Art item 53</t>
  </si>
  <si>
    <t xml:space="preserve">DEMO-0330</t>
  </si>
  <si>
    <t xml:space="preserve">DEMO-FUR-6370</t>
  </si>
  <si>
    <t xml:space="preserve">Demo Furnishings item 24</t>
  </si>
  <si>
    <t xml:space="preserve">DEMO-0331</t>
  </si>
  <si>
    <t xml:space="preserve">DEMO-ACC-9061</t>
  </si>
  <si>
    <t xml:space="preserve">Demo Accessories item 11</t>
  </si>
  <si>
    <t xml:space="preserve">DEMO-0332</t>
  </si>
  <si>
    <t xml:space="preserve">DEMO-SUP-5901</t>
  </si>
  <si>
    <t xml:space="preserve">DEMO-FUR-7208</t>
  </si>
  <si>
    <t xml:space="preserve">DEMO-STO-2405</t>
  </si>
  <si>
    <t xml:space="preserve">DEMO-0333</t>
  </si>
  <si>
    <t xml:space="preserve">DEMO-MAC-8715</t>
  </si>
  <si>
    <t xml:space="preserve">Demo Machines item 17</t>
  </si>
  <si>
    <t xml:space="preserve">DEMO-0334</t>
  </si>
  <si>
    <t xml:space="preserve">DEMO-PHO-6759</t>
  </si>
  <si>
    <t xml:space="preserve">Demo Phones item 49</t>
  </si>
  <si>
    <t xml:space="preserve">DEMO-0335</t>
  </si>
  <si>
    <t xml:space="preserve">DEMO-MAC-5381</t>
  </si>
  <si>
    <t xml:space="preserve">Demo Machines item 38</t>
  </si>
  <si>
    <t xml:space="preserve">DEMO-0336</t>
  </si>
  <si>
    <t xml:space="preserve">DEMO-ENV-2261</t>
  </si>
  <si>
    <t xml:space="preserve">Demo Envelopes item 98</t>
  </si>
  <si>
    <t xml:space="preserve">DEMO-MAC-3396</t>
  </si>
  <si>
    <t xml:space="preserve">Demo Machines item 69</t>
  </si>
  <si>
    <t xml:space="preserve">DEMO-0337</t>
  </si>
  <si>
    <t xml:space="preserve">DEMO-ENV-9428</t>
  </si>
  <si>
    <t xml:space="preserve">Demo Envelopes item 26</t>
  </si>
  <si>
    <t xml:space="preserve">DEMO-FUR-5525</t>
  </si>
  <si>
    <t xml:space="preserve">DEMO-ENV-7967</t>
  </si>
  <si>
    <t xml:space="preserve">Demo Envelopes item 40</t>
  </si>
  <si>
    <t xml:space="preserve">DEMO-0338</t>
  </si>
  <si>
    <t xml:space="preserve">DEMO-LAB-2242</t>
  </si>
  <si>
    <t xml:space="preserve">Demo Labels item 25</t>
  </si>
  <si>
    <t xml:space="preserve">DEMO-MAC-6217</t>
  </si>
  <si>
    <t xml:space="preserve">Demo Machines item 72</t>
  </si>
  <si>
    <t xml:space="preserve">DEMO-0339</t>
  </si>
  <si>
    <t xml:space="preserve">DEMO-FUR-2130</t>
  </si>
  <si>
    <t xml:space="preserve">DEMO-0340</t>
  </si>
  <si>
    <t xml:space="preserve">DEMO-TAB-3871</t>
  </si>
  <si>
    <t xml:space="preserve">DEMO-MAC-9608</t>
  </si>
  <si>
    <t xml:space="preserve">DEMO-BIN-8079</t>
  </si>
  <si>
    <t xml:space="preserve">Demo Binders item 6</t>
  </si>
  <si>
    <t xml:space="preserve">DEMO-0341</t>
  </si>
  <si>
    <t xml:space="preserve">DEMO-ACC-7592</t>
  </si>
  <si>
    <t xml:space="preserve">Demo Accessories item 67</t>
  </si>
  <si>
    <t xml:space="preserve">DEMO-ACC-6689</t>
  </si>
  <si>
    <t xml:space="preserve">Demo Accessories item 6</t>
  </si>
  <si>
    <t xml:space="preserve">DEMO-0342</t>
  </si>
  <si>
    <t xml:space="preserve">DEMO-FAS-6410</t>
  </si>
  <si>
    <t xml:space="preserve">Demo Fasteners item 38</t>
  </si>
  <si>
    <t xml:space="preserve">DEMO-FUR-3403</t>
  </si>
  <si>
    <t xml:space="preserve">DEMO-0343</t>
  </si>
  <si>
    <t xml:space="preserve">DEMO-MAC-2199</t>
  </si>
  <si>
    <t xml:space="preserve">Demo Machines item 87</t>
  </si>
  <si>
    <t xml:space="preserve">DEMO-0344</t>
  </si>
  <si>
    <t xml:space="preserve">DEMO-SUP-2916</t>
  </si>
  <si>
    <t xml:space="preserve">Demo Supplies item 82</t>
  </si>
  <si>
    <t xml:space="preserve">DEMO-TAB-3106</t>
  </si>
  <si>
    <t xml:space="preserve">DEMO-SUP-8094</t>
  </si>
  <si>
    <t xml:space="preserve">DEMO-COP-3387</t>
  </si>
  <si>
    <t xml:space="preserve">Demo Copiers item 86</t>
  </si>
  <si>
    <t xml:space="preserve">DEMO-0345</t>
  </si>
  <si>
    <t xml:space="preserve">DEMO-FUR-5535</t>
  </si>
  <si>
    <t xml:space="preserve">Demo Furnishings item 6</t>
  </si>
  <si>
    <t xml:space="preserve">DEMO-0346</t>
  </si>
  <si>
    <t xml:space="preserve">DEMO-BIN-4037</t>
  </si>
  <si>
    <t xml:space="preserve">Demo Binders item 66</t>
  </si>
  <si>
    <t xml:space="preserve">DEMO-0347</t>
  </si>
  <si>
    <t xml:space="preserve">DEMO-CHA-2846</t>
  </si>
  <si>
    <t xml:space="preserve">Demo Chairs item 66</t>
  </si>
  <si>
    <t xml:space="preserve">DEMO-0348</t>
  </si>
  <si>
    <t xml:space="preserve">DEMO-APP-5659</t>
  </si>
  <si>
    <t xml:space="preserve">Demo Appliances item 24</t>
  </si>
  <si>
    <t xml:space="preserve">DEMO-0349</t>
  </si>
  <si>
    <t xml:space="preserve">DEMO-APP-9277</t>
  </si>
  <si>
    <t xml:space="preserve">DEMO-0350</t>
  </si>
  <si>
    <t xml:space="preserve">DEMO-BOO-8797</t>
  </si>
  <si>
    <t xml:space="preserve">Demo Bookcases item 11</t>
  </si>
  <si>
    <t xml:space="preserve">DEMO-0351</t>
  </si>
  <si>
    <t xml:space="preserve">DEMO-STO-8890</t>
  </si>
  <si>
    <t xml:space="preserve">Demo Storage item 80</t>
  </si>
  <si>
    <t xml:space="preserve">DEMO-TAB-9085</t>
  </si>
  <si>
    <t xml:space="preserve">Demo Tables item 8</t>
  </si>
  <si>
    <t xml:space="preserve">DEMO-COP-8446</t>
  </si>
  <si>
    <t xml:space="preserve">Demo Copiers item 51</t>
  </si>
  <si>
    <t xml:space="preserve">DEMO-0352</t>
  </si>
  <si>
    <t xml:space="preserve">DEMO-ENV-1604</t>
  </si>
  <si>
    <t xml:space="preserve">Demo Envelopes item 76</t>
  </si>
  <si>
    <t xml:space="preserve">DEMO-0353</t>
  </si>
  <si>
    <t xml:space="preserve">DEMO-PAP-7830</t>
  </si>
  <si>
    <t xml:space="preserve">Demo Paper item 60</t>
  </si>
  <si>
    <t xml:space="preserve">DEMO-CHA-2599</t>
  </si>
  <si>
    <t xml:space="preserve">DEMO-CHA-8689</t>
  </si>
  <si>
    <t xml:space="preserve">Demo Chairs item 24</t>
  </si>
  <si>
    <t xml:space="preserve">DEMO-0354</t>
  </si>
  <si>
    <t xml:space="preserve">DEMO-ENV-4663</t>
  </si>
  <si>
    <t xml:space="preserve">Demo Envelopes item 62</t>
  </si>
  <si>
    <t xml:space="preserve">DEMO-STO-6709</t>
  </si>
  <si>
    <t xml:space="preserve">Demo Storage item 37</t>
  </si>
  <si>
    <t xml:space="preserve">DEMO-FAS-3352</t>
  </si>
  <si>
    <t xml:space="preserve">DEMO-0355</t>
  </si>
  <si>
    <t xml:space="preserve">DEMO-FAS-9519</t>
  </si>
  <si>
    <t xml:space="preserve">Demo Fasteners item 2</t>
  </si>
  <si>
    <t xml:space="preserve">DEMO-0356</t>
  </si>
  <si>
    <t xml:space="preserve">DEMO-STO-4039</t>
  </si>
  <si>
    <t xml:space="preserve">Demo Storage item 11</t>
  </si>
  <si>
    <t xml:space="preserve">DEMO-BIN-9371</t>
  </si>
  <si>
    <t xml:space="preserve">Demo Binders item 72</t>
  </si>
  <si>
    <t xml:space="preserve">DEMO-0357</t>
  </si>
  <si>
    <t xml:space="preserve">DEMO-FAS-8825</t>
  </si>
  <si>
    <t xml:space="preserve">DEMO-0358</t>
  </si>
  <si>
    <t xml:space="preserve">DEMO-LAB-3644</t>
  </si>
  <si>
    <t xml:space="preserve">DEMO-APP-2826</t>
  </si>
  <si>
    <t xml:space="preserve">Demo Appliances item 64</t>
  </si>
  <si>
    <t xml:space="preserve">DEMO-SUP-9632</t>
  </si>
  <si>
    <t xml:space="preserve">DEMO-0359</t>
  </si>
  <si>
    <t xml:space="preserve">DEMO-CHA-6899</t>
  </si>
  <si>
    <t xml:space="preserve">Demo Chairs item 37</t>
  </si>
  <si>
    <t xml:space="preserve">DEMO-ENV-4684</t>
  </si>
  <si>
    <t xml:space="preserve">DEMO-0360</t>
  </si>
  <si>
    <t xml:space="preserve">DEMO-FUR-3546</t>
  </si>
  <si>
    <t xml:space="preserve">Demo Furnishings item 34</t>
  </si>
  <si>
    <t xml:space="preserve">DEMO-MAC-6956</t>
  </si>
  <si>
    <t xml:space="preserve">Demo Machines item 96</t>
  </si>
  <si>
    <t xml:space="preserve">DEMO-MAC-9112</t>
  </si>
  <si>
    <t xml:space="preserve">Demo Machines item 61</t>
  </si>
  <si>
    <t xml:space="preserve">DEMO-0361</t>
  </si>
  <si>
    <t xml:space="preserve">DEMO-SUP-5986</t>
  </si>
  <si>
    <t xml:space="preserve">DEMO-PAP-7463</t>
  </si>
  <si>
    <t xml:space="preserve">Demo Paper item 42</t>
  </si>
  <si>
    <t xml:space="preserve">DEMO-0362</t>
  </si>
  <si>
    <t xml:space="preserve">DEMO-PAP-9118</t>
  </si>
  <si>
    <t xml:space="preserve">DEMO-FAS-8157</t>
  </si>
  <si>
    <t xml:space="preserve">Demo Fasteners item 27</t>
  </si>
  <si>
    <t xml:space="preserve">DEMO-APP-5885</t>
  </si>
  <si>
    <t xml:space="preserve">DEMO-0363</t>
  </si>
  <si>
    <t xml:space="preserve">DEMO-TAB-2432</t>
  </si>
  <si>
    <t xml:space="preserve">Demo Tables item 1</t>
  </si>
  <si>
    <t xml:space="preserve">DEMO-0364</t>
  </si>
  <si>
    <t xml:space="preserve">DEMO-CHA-2400</t>
  </si>
  <si>
    <t xml:space="preserve">DEMO-FUR-2509</t>
  </si>
  <si>
    <t xml:space="preserve">DEMO-ACC-3193</t>
  </si>
  <si>
    <t xml:space="preserve">Demo Accessories item 35</t>
  </si>
  <si>
    <t xml:space="preserve">DEMO-COP-5254</t>
  </si>
  <si>
    <t xml:space="preserve">DEMO-0365</t>
  </si>
  <si>
    <t xml:space="preserve">DEMO-ACC-7046</t>
  </si>
  <si>
    <t xml:space="preserve">Demo Accessories item 93</t>
  </si>
  <si>
    <t xml:space="preserve">DEMO-0366</t>
  </si>
  <si>
    <t xml:space="preserve">DEMO-ART-8280</t>
  </si>
  <si>
    <t xml:space="preserve">Demo Art item 37</t>
  </si>
  <si>
    <t xml:space="preserve">DEMO-BIN-6902</t>
  </si>
  <si>
    <t xml:space="preserve">Demo Binders item 3</t>
  </si>
  <si>
    <t xml:space="preserve">DEMO-0367</t>
  </si>
  <si>
    <t xml:space="preserve">DEMO-MAC-3532</t>
  </si>
  <si>
    <t xml:space="preserve">Demo Machines item 16</t>
  </si>
  <si>
    <t xml:space="preserve">DEMO-0368</t>
  </si>
  <si>
    <t xml:space="preserve">DEMO-BOO-5912</t>
  </si>
  <si>
    <t xml:space="preserve">Demo Bookcases item 15</t>
  </si>
  <si>
    <t xml:space="preserve">DEMO-0369</t>
  </si>
  <si>
    <t xml:space="preserve">DEMO-ART-3392</t>
  </si>
  <si>
    <t xml:space="preserve">Demo Art item 97</t>
  </si>
  <si>
    <t xml:space="preserve">DEMO-STO-3823</t>
  </si>
  <si>
    <t xml:space="preserve">DEMO-0370</t>
  </si>
  <si>
    <t xml:space="preserve">DEMO-COP-1080</t>
  </si>
  <si>
    <t xml:space="preserve">DEMO-BIN-9346</t>
  </si>
  <si>
    <t xml:space="preserve">Demo Binders item 89</t>
  </si>
  <si>
    <t xml:space="preserve">DEMO-APP-6802</t>
  </si>
  <si>
    <t xml:space="preserve">Demo Appliances item 28</t>
  </si>
  <si>
    <t xml:space="preserve">DEMO-FAS-9200</t>
  </si>
  <si>
    <t xml:space="preserve">DEMO-0371</t>
  </si>
  <si>
    <t xml:space="preserve">DEMO-PHO-6934</t>
  </si>
  <si>
    <t xml:space="preserve">Demo Phones item 60</t>
  </si>
  <si>
    <t xml:space="preserve">DEMO-0372</t>
  </si>
  <si>
    <t xml:space="preserve">DEMO-MAC-6187</t>
  </si>
  <si>
    <t xml:space="preserve">Demo Machines item 44</t>
  </si>
  <si>
    <t xml:space="preserve">DEMO-PHO-1119</t>
  </si>
  <si>
    <t xml:space="preserve">Demo Phones item 42</t>
  </si>
  <si>
    <t xml:space="preserve">DEMO-0373</t>
  </si>
  <si>
    <t xml:space="preserve">DEMO-FAS-1331</t>
  </si>
  <si>
    <t xml:space="preserve">Demo Fasteners item 71</t>
  </si>
  <si>
    <t xml:space="preserve">DEMO-0374</t>
  </si>
  <si>
    <t xml:space="preserve">DEMO-PAP-5089</t>
  </si>
  <si>
    <t xml:space="preserve">DEMO-BOO-5681</t>
  </si>
  <si>
    <t xml:space="preserve">DEMO-COP-5700</t>
  </si>
  <si>
    <t xml:space="preserve">Demo Copiers item 44</t>
  </si>
  <si>
    <t xml:space="preserve">DEMO-APP-5575</t>
  </si>
  <si>
    <t xml:space="preserve">DEMO-0375</t>
  </si>
  <si>
    <t xml:space="preserve">DEMO-CHA-5157</t>
  </si>
  <si>
    <t xml:space="preserve">Demo Chairs item 6</t>
  </si>
  <si>
    <t xml:space="preserve">DEMO-LAB-3116</t>
  </si>
  <si>
    <t xml:space="preserve">Demo Labels item 84</t>
  </si>
  <si>
    <t xml:space="preserve">DEMO-SUP-7458</t>
  </si>
  <si>
    <t xml:space="preserve">DEMO-FUR-9450</t>
  </si>
  <si>
    <t xml:space="preserve">Demo Furnishings item 28</t>
  </si>
  <si>
    <t xml:space="preserve">DEMO-0376</t>
  </si>
  <si>
    <t xml:space="preserve">DEMO-PHO-3994</t>
  </si>
  <si>
    <t xml:space="preserve">DEMO-0377</t>
  </si>
  <si>
    <t xml:space="preserve">DEMO-CHA-2492</t>
  </si>
  <si>
    <t xml:space="preserve">DEMO-0378</t>
  </si>
  <si>
    <t xml:space="preserve">DEMO-FAS-6193</t>
  </si>
  <si>
    <t xml:space="preserve">Demo Fasteners item 69</t>
  </si>
  <si>
    <t xml:space="preserve">DEMO-0379</t>
  </si>
  <si>
    <t xml:space="preserve">DEMO-ART-9928</t>
  </si>
  <si>
    <t xml:space="preserve">Demo Art item 44</t>
  </si>
  <si>
    <t xml:space="preserve">DEMO-0380</t>
  </si>
  <si>
    <t xml:space="preserve">DEMO-CHA-1002</t>
  </si>
  <si>
    <t xml:space="preserve">DEMO-APP-5910</t>
  </si>
  <si>
    <t xml:space="preserve">Demo Appliances item 74</t>
  </si>
  <si>
    <t xml:space="preserve">DEMO-0381</t>
  </si>
  <si>
    <t xml:space="preserve">DEMO-BOO-3952</t>
  </si>
  <si>
    <t xml:space="preserve">DEMO-0382</t>
  </si>
  <si>
    <t xml:space="preserve">DEMO-APP-1404</t>
  </si>
  <si>
    <t xml:space="preserve">DEMO-PAP-2728</t>
  </si>
  <si>
    <t xml:space="preserve">DEMO-FAS-4784</t>
  </si>
  <si>
    <t xml:space="preserve">Demo Fasteners item 3</t>
  </si>
  <si>
    <t xml:space="preserve">DEMO-BIN-6742</t>
  </si>
  <si>
    <t xml:space="preserve">Demo Binders item 79</t>
  </si>
  <si>
    <t xml:space="preserve">DEMO-0383</t>
  </si>
  <si>
    <t xml:space="preserve">DEMO-APP-3445</t>
  </si>
  <si>
    <t xml:space="preserve">DEMO-TAB-8213</t>
  </si>
  <si>
    <t xml:space="preserve">DEMO-0384</t>
  </si>
  <si>
    <t xml:space="preserve">DEMO-FUR-8347</t>
  </si>
  <si>
    <t xml:space="preserve">Demo Furnishings item 64</t>
  </si>
  <si>
    <t xml:space="preserve">DEMO-0385</t>
  </si>
  <si>
    <t xml:space="preserve">DEMO-COP-6852</t>
  </si>
  <si>
    <t xml:space="preserve">Demo Copiers item 54</t>
  </si>
  <si>
    <t xml:space="preserve">DEMO-COP-7772</t>
  </si>
  <si>
    <t xml:space="preserve">Demo Copiers item 80</t>
  </si>
  <si>
    <t xml:space="preserve">DEMO-APP-8128</t>
  </si>
  <si>
    <t xml:space="preserve">DEMO-0386</t>
  </si>
  <si>
    <t xml:space="preserve">DEMO-CHA-2717</t>
  </si>
  <si>
    <t xml:space="preserve">DEMO-LAB-4759</t>
  </si>
  <si>
    <t xml:space="preserve">Demo Labels item 42</t>
  </si>
  <si>
    <t xml:space="preserve">DEMO-0387</t>
  </si>
  <si>
    <t xml:space="preserve">DEMO-ACC-8428</t>
  </si>
  <si>
    <t xml:space="preserve">Demo Accessories item 82</t>
  </si>
  <si>
    <t xml:space="preserve">DEMO-PHO-1697</t>
  </si>
  <si>
    <t xml:space="preserve">Demo Phones item 56</t>
  </si>
  <si>
    <t xml:space="preserve">DEMO-0388</t>
  </si>
  <si>
    <t xml:space="preserve">DEMO-BIN-6389</t>
  </si>
  <si>
    <t xml:space="preserve">DEMO-ACC-8915</t>
  </si>
  <si>
    <t xml:space="preserve">Demo Accessories item 54</t>
  </si>
  <si>
    <t xml:space="preserve">DEMO-0389</t>
  </si>
  <si>
    <t xml:space="preserve">DEMO-PAP-1403</t>
  </si>
  <si>
    <t xml:space="preserve">DEMO-COP-1826</t>
  </si>
  <si>
    <t xml:space="preserve">DEMO-ACC-1395</t>
  </si>
  <si>
    <t xml:space="preserve">Demo Accessories item 8</t>
  </si>
  <si>
    <t xml:space="preserve">DEMO-ENV-9389</t>
  </si>
  <si>
    <t xml:space="preserve">DEMO-0390</t>
  </si>
  <si>
    <t xml:space="preserve">DEMO-ENV-8688</t>
  </si>
  <si>
    <t xml:space="preserve">Demo Envelopes item 16</t>
  </si>
  <si>
    <t xml:space="preserve">DEMO-0391</t>
  </si>
  <si>
    <t xml:space="preserve">DEMO-FAS-8393</t>
  </si>
  <si>
    <t xml:space="preserve">Demo Fasteners item 91</t>
  </si>
  <si>
    <t xml:space="preserve">DEMO-LAB-4528</t>
  </si>
  <si>
    <t xml:space="preserve">Demo Labels item 26</t>
  </si>
  <si>
    <t xml:space="preserve">DEMO-FUR-3132</t>
  </si>
  <si>
    <t xml:space="preserve">DEMO-PHO-2523</t>
  </si>
  <si>
    <t xml:space="preserve">Demo Phones item 51</t>
  </si>
  <si>
    <t xml:space="preserve">DEMO-0392</t>
  </si>
  <si>
    <t xml:space="preserve">DEMO-BOO-8983</t>
  </si>
  <si>
    <t xml:space="preserve">Demo Bookcases item 5</t>
  </si>
  <si>
    <t xml:space="preserve">DEMO-0393</t>
  </si>
  <si>
    <t xml:space="preserve">DEMO-FUR-8088</t>
  </si>
  <si>
    <t xml:space="preserve">Demo Furnishings item 15</t>
  </si>
  <si>
    <t xml:space="preserve">DEMO-BOO-9581</t>
  </si>
  <si>
    <t xml:space="preserve">Demo Bookcases item 29</t>
  </si>
  <si>
    <t xml:space="preserve">DEMO-APP-6201</t>
  </si>
  <si>
    <t xml:space="preserve">Demo Appliances item 49</t>
  </si>
  <si>
    <t xml:space="preserve">DEMO-APP-7461</t>
  </si>
  <si>
    <t xml:space="preserve">Demo Appliances item 51</t>
  </si>
  <si>
    <t xml:space="preserve">DEMO-0394</t>
  </si>
  <si>
    <t xml:space="preserve">DEMO-CHA-7317</t>
  </si>
  <si>
    <t xml:space="preserve">Demo Chairs item 82</t>
  </si>
  <si>
    <t xml:space="preserve">DEMO-ART-3427</t>
  </si>
  <si>
    <t xml:space="preserve">Demo Art item 23</t>
  </si>
  <si>
    <t xml:space="preserve">DEMO-0395</t>
  </si>
  <si>
    <t xml:space="preserve">DEMO-LAB-2370</t>
  </si>
  <si>
    <t xml:space="preserve">Demo Labels item 54</t>
  </si>
  <si>
    <t xml:space="preserve">DEMO-0396</t>
  </si>
  <si>
    <t xml:space="preserve">DEMO-FAS-3695</t>
  </si>
  <si>
    <t xml:space="preserve">Demo Fasteners item 58</t>
  </si>
  <si>
    <t xml:space="preserve">DEMO-STO-6427</t>
  </si>
  <si>
    <t xml:space="preserve">DEMO-PAP-3115</t>
  </si>
  <si>
    <t xml:space="preserve">DEMO-0397</t>
  </si>
  <si>
    <t xml:space="preserve">DEMO-FAS-6078</t>
  </si>
  <si>
    <t xml:space="preserve">DEMO-TAB-3166</t>
  </si>
  <si>
    <t xml:space="preserve">Demo Tables item 61</t>
  </si>
  <si>
    <t xml:space="preserve">DEMO-0398</t>
  </si>
  <si>
    <t xml:space="preserve">DEMO-COP-5835</t>
  </si>
  <si>
    <t xml:space="preserve">Demo Copiers item 3</t>
  </si>
  <si>
    <t xml:space="preserve">DEMO-0399</t>
  </si>
  <si>
    <t xml:space="preserve">DEMO-LAB-6389</t>
  </si>
  <si>
    <t xml:space="preserve">Demo Labels item 29</t>
  </si>
  <si>
    <t xml:space="preserve">DEMO-PAP-8248</t>
  </si>
  <si>
    <t xml:space="preserve">Demo Paper item 61</t>
  </si>
  <si>
    <t xml:space="preserve">DEMO-0400</t>
  </si>
  <si>
    <t xml:space="preserve">DEMO-PHO-3318</t>
  </si>
  <si>
    <t xml:space="preserve">Demo Phones item 94</t>
  </si>
  <si>
    <t xml:space="preserve">DEMO-0401</t>
  </si>
  <si>
    <t xml:space="preserve">DEMO-FUR-8489</t>
  </si>
  <si>
    <t xml:space="preserve">Demo Furnishings item 38</t>
  </si>
  <si>
    <t xml:space="preserve">DEMO-FUR-8827</t>
  </si>
  <si>
    <t xml:space="preserve">Demo Furnishings item 97</t>
  </si>
  <si>
    <t xml:space="preserve">DEMO-0402</t>
  </si>
  <si>
    <t xml:space="preserve">DEMO-LAB-4447</t>
  </si>
  <si>
    <t xml:space="preserve">DEMO-PAP-5650</t>
  </si>
  <si>
    <t xml:space="preserve">Demo Paper item 67</t>
  </si>
  <si>
    <t xml:space="preserve">DEMO-CHA-2932</t>
  </si>
  <si>
    <t xml:space="preserve">DEMO-0403</t>
  </si>
  <si>
    <t xml:space="preserve">DEMO-ENV-8971</t>
  </si>
  <si>
    <t xml:space="preserve">DEMO-CHA-4195</t>
  </si>
  <si>
    <t xml:space="preserve">DEMO-0404</t>
  </si>
  <si>
    <t xml:space="preserve">DEMO-ART-7323</t>
  </si>
  <si>
    <t xml:space="preserve">Demo Art item 63</t>
  </si>
  <si>
    <t xml:space="preserve">DEMO-PHO-7004</t>
  </si>
  <si>
    <t xml:space="preserve">Demo Phones item 44</t>
  </si>
  <si>
    <t xml:space="preserve">DEMO-CHA-7257</t>
  </si>
  <si>
    <t xml:space="preserve">DEMO-0405</t>
  </si>
  <si>
    <t xml:space="preserve">DEMO-SUP-5603</t>
  </si>
  <si>
    <t xml:space="preserve">Demo Supplies item 24</t>
  </si>
  <si>
    <t xml:space="preserve">DEMO-0406</t>
  </si>
  <si>
    <t xml:space="preserve">DEMO-FAS-7792</t>
  </si>
  <si>
    <t xml:space="preserve">Demo Fasteners item 88</t>
  </si>
  <si>
    <t xml:space="preserve">DEMO-0407</t>
  </si>
  <si>
    <t xml:space="preserve">DEMO-ACC-7690</t>
  </si>
  <si>
    <t xml:space="preserve">Demo Accessories item 77</t>
  </si>
  <si>
    <t xml:space="preserve">DEMO-0408</t>
  </si>
  <si>
    <t xml:space="preserve">DEMO-PAP-5966</t>
  </si>
  <si>
    <t xml:space="preserve">Demo Paper item 35</t>
  </si>
  <si>
    <t xml:space="preserve">DEMO-0409</t>
  </si>
  <si>
    <t xml:space="preserve">DEMO-COP-6186</t>
  </si>
  <si>
    <t xml:space="preserve">Demo Copiers item 46</t>
  </si>
  <si>
    <t xml:space="preserve">DEMO-0410</t>
  </si>
  <si>
    <t xml:space="preserve">DEMO-BOO-6497</t>
  </si>
  <si>
    <t xml:space="preserve">DEMO-0411</t>
  </si>
  <si>
    <t xml:space="preserve">DEMO-TAB-8427</t>
  </si>
  <si>
    <t xml:space="preserve">DEMO-SUP-6508</t>
  </si>
  <si>
    <t xml:space="preserve">Demo Supplies item 56</t>
  </si>
  <si>
    <t xml:space="preserve">DEMO-0412</t>
  </si>
  <si>
    <t xml:space="preserve">DEMO-CHA-8969</t>
  </si>
  <si>
    <t xml:space="preserve">Demo Chairs item 83</t>
  </si>
  <si>
    <t xml:space="preserve">DEMO-0413</t>
  </si>
  <si>
    <t xml:space="preserve">DEMO-ENV-8491</t>
  </si>
  <si>
    <t xml:space="preserve">Demo Envelopes item 93</t>
  </si>
  <si>
    <t xml:space="preserve">DEMO-0414</t>
  </si>
  <si>
    <t xml:space="preserve">DEMO-STO-8984</t>
  </si>
  <si>
    <t xml:space="preserve">Demo Storage item 75</t>
  </si>
  <si>
    <t xml:space="preserve">DEMO-0415</t>
  </si>
  <si>
    <t xml:space="preserve">DEMO-PAP-6920</t>
  </si>
  <si>
    <t xml:space="preserve">Demo Paper item 10</t>
  </si>
  <si>
    <t xml:space="preserve">DEMO-ACC-7741</t>
  </si>
  <si>
    <t xml:space="preserve">DEMO-0416</t>
  </si>
  <si>
    <t xml:space="preserve">DEMO-BOO-4093</t>
  </si>
  <si>
    <t xml:space="preserve">Demo Bookcases item 58</t>
  </si>
  <si>
    <t xml:space="preserve">DEMO-0417</t>
  </si>
  <si>
    <t xml:space="preserve">DEMO-ACC-6459</t>
  </si>
  <si>
    <t xml:space="preserve">Demo Accessories item 21</t>
  </si>
  <si>
    <t xml:space="preserve">DEMO-0418</t>
  </si>
  <si>
    <t xml:space="preserve">DEMO-BOO-9295</t>
  </si>
  <si>
    <t xml:space="preserve">Demo Bookcases item 2</t>
  </si>
  <si>
    <t xml:space="preserve">DEMO-MAC-7567</t>
  </si>
  <si>
    <t xml:space="preserve">Demo Machines item 22</t>
  </si>
  <si>
    <t xml:space="preserve">DEMO-COP-8913</t>
  </si>
  <si>
    <t xml:space="preserve">Demo Copiers item 19</t>
  </si>
  <si>
    <t xml:space="preserve">DEMO-SUP-9384</t>
  </si>
  <si>
    <t xml:space="preserve">DEMO-0419</t>
  </si>
  <si>
    <t xml:space="preserve">DEMO-BOO-6774</t>
  </si>
  <si>
    <t xml:space="preserve">Demo Bookcases item 85</t>
  </si>
  <si>
    <t xml:space="preserve">DEMO-ACC-5766</t>
  </si>
  <si>
    <t xml:space="preserve">Demo Accessories item 98</t>
  </si>
  <si>
    <t xml:space="preserve">DEMO-0420</t>
  </si>
  <si>
    <t xml:space="preserve">DEMO-APP-2935</t>
  </si>
  <si>
    <t xml:space="preserve">Demo Appliances item 42</t>
  </si>
  <si>
    <t xml:space="preserve">DEMO-0421</t>
  </si>
  <si>
    <t xml:space="preserve">DEMO-PHO-3875</t>
  </si>
  <si>
    <t xml:space="preserve">DEMO-PAP-8017</t>
  </si>
  <si>
    <t xml:space="preserve">DEMO-TAB-5914</t>
  </si>
  <si>
    <t xml:space="preserve">DEMO-CHA-2496</t>
  </si>
  <si>
    <t xml:space="preserve">DEMO-0422</t>
  </si>
  <si>
    <t xml:space="preserve">DEMO-SUP-5890</t>
  </si>
  <si>
    <t xml:space="preserve">DEMO-SUP-7347</t>
  </si>
  <si>
    <t xml:space="preserve">Demo Supplies item 2</t>
  </si>
  <si>
    <t xml:space="preserve">DEMO-0423</t>
  </si>
  <si>
    <t xml:space="preserve">DEMO-ART-1747</t>
  </si>
  <si>
    <t xml:space="preserve">Demo Art item 95</t>
  </si>
  <si>
    <t xml:space="preserve">DEMO-0424</t>
  </si>
  <si>
    <t xml:space="preserve">DEMO-STO-9782</t>
  </si>
  <si>
    <t xml:space="preserve">Demo Storage item 55</t>
  </si>
  <si>
    <t xml:space="preserve">DEMO-0425</t>
  </si>
  <si>
    <t xml:space="preserve">DEMO-PAP-8772</t>
  </si>
  <si>
    <t xml:space="preserve">Demo Paper item 70</t>
  </si>
  <si>
    <t xml:space="preserve">DEMO-0426</t>
  </si>
  <si>
    <t xml:space="preserve">DEMO-TAB-4032</t>
  </si>
  <si>
    <t xml:space="preserve">DEMO-ENV-8832</t>
  </si>
  <si>
    <t xml:space="preserve">Demo Envelopes item 68</t>
  </si>
  <si>
    <t xml:space="preserve">DEMO-PAP-9076</t>
  </si>
  <si>
    <t xml:space="preserve">DEMO-PAP-5249</t>
  </si>
  <si>
    <t xml:space="preserve">Demo Paper item 41</t>
  </si>
  <si>
    <t xml:space="preserve">DEMO-0427</t>
  </si>
  <si>
    <t xml:space="preserve">DEMO-ENV-7418</t>
  </si>
  <si>
    <t xml:space="preserve">Demo Envelopes item 97</t>
  </si>
  <si>
    <t xml:space="preserve">DEMO-BOO-1220</t>
  </si>
  <si>
    <t xml:space="preserve">Demo Bookcases item 43</t>
  </si>
  <si>
    <t xml:space="preserve">DEMO-TAB-3379</t>
  </si>
  <si>
    <t xml:space="preserve">DEMO-0428</t>
  </si>
  <si>
    <t xml:space="preserve">DEMO-STO-7980</t>
  </si>
  <si>
    <t xml:space="preserve">Demo Storage item 41</t>
  </si>
  <si>
    <t xml:space="preserve">Calculation sheet - feeds the Dashboard (do not edit)</t>
  </si>
  <si>
    <t xml:space="preserve">Year criterion</t>
  </si>
  <si>
    <t xml:space="preserve">Region criterion</t>
  </si>
  <si>
    <t xml:space="preserve">Category criterion</t>
  </si>
  <si>
    <t xml:space="preserve">Segment criterion</t>
  </si>
  <si>
    <t xml:space="preserve">Monthly trend (follows all filters)</t>
  </si>
  <si>
    <t xml:space="preserve">Margin</t>
  </si>
  <si>
    <t xml:space="preserve">Month #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</si>
  <si>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</si>
  <si>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</si>
  <si>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</si>
  <si>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</si>
  <si>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</si>
  <si>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</si>
  <si>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</si>
  <si>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</si>
  <si>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</si>
  <si>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</si>
  <si>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</si>
  <si>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</si>
  <si>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By year (ignores the Year filter)</t>
  </si>
  <si>
    <t xml:space="preserve">2014</t>
  </si>
  <si>
    <t xml:space="preserve">2015</t>
  </si>
  <si>
    <t xml:space="preserve">2016</t>
  </si>
  <si>
    <t xml:space="preserve">2017</t>
  </si>
  <si>
    <t xml:space="preserve">By region (ignores the Region filter)</t>
  </si>
  <si>
    <t xml:space="preserve">By category (ignores the Category filter)</t>
  </si>
  <si>
    <t xml:space="preserve">By segment (ignores the Segment filter)</t>
  </si>
  <si>
    <t xml:space="preserve">By sub-category (follows all filters)</t>
  </si>
  <si>
    <t xml:space="preserve">By discount band (follows all filters)</t>
  </si>
  <si>
    <t xml:space="preserve">Line items</t>
  </si>
  <si>
    <t xml:space="preserve">No discount</t>
  </si>
  <si>
    <t xml:space="preserve">Low (1-20%)</t>
  </si>
  <si>
    <t xml:space="preserve">Medium (21-40%)</t>
  </si>
  <si>
    <t xml:space="preserve">High (&gt;40%)</t>
  </si>
  <si>
    <t xml:space="preserve">Sales by state (follows all filters)</t>
  </si>
  <si>
    <t xml:space="preserve">Sort key</t>
  </si>
  <si>
    <t xml:space="preserve">Rank</t>
  </si>
  <si>
    <t xml:space="preserve">Top 10 states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</si>
</sst>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\$#,##0;[RED]&quot;-$&quot;#,##0"/>
    <numFmt numFmtId="167" formatCode="0.0%"/>
    <numFmt numFmtId="168" formatCode="#,##0"/>
    <numFmt numFmtId="169" formatCode="0%"/>
    <numFmt numFmtId="170" formatCode="m/d/yyyy"/>
    <numFmt numFmtId="171" formatCode="#,##0.00"/>
    <numFmt numFmtId="172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FF2CC"/>
      </patternFill>
    </fill>
    <fill>
      <patternFill patternType="solid">
        <fgColor rgb="FFF2F4F8"/>
        <bgColor rgb="FFFFFFFF"/>
      </patternFill>
    </fill>
    <fill>
      <patternFill patternType="solid">
        <fgColor rgb="FFFFFFFF"/>
        <bgColor rgb="FFF2F4F8"/>
      </patternFill>
    </fill>
    <fill>
      <patternFill patternType="solid">
        <fgColor rgb="FF7F7F7F"/>
        <bgColor rgb="FF87878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ck">
        <color rgb="FFFFFFFF"/>
      </left>
      <right style="thick">
        <color rgb="FFFFFFFF"/>
      </right>
      <top/>
      <bottom/>
      <diagonal/>
    </border>
    <border diagonalUp="false" diagonalDown="false">
      <left style="thick">
        <color rgb="FFFFFFFF"/>
      </left>
      <right style="thick">
        <color rgb="FFFFFFFF"/>
      </right>
      <top/>
      <bottom style="medium">
        <color rgb="FFED7D3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5700"/>
        <sz val="9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C00000"/>
        <sz val="2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4F81BD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and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Calc!B10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Calc!$B$11:$B$22</c:f>
              <c:numCache>
                <c:formatCode>\$#,##0;[RED]"-$"#,##0</c:formatCode>
                <c:ptCount val="12"/>
                <c:pt idx="0">
                  <c:v>61176.24</c:v>
                </c:pt>
                <c:pt idx="1">
                  <c:v>49436.07</c:v>
                </c:pt>
                <c:pt idx="2">
                  <c:v>43504.47</c:v>
                </c:pt>
                <c:pt idx="3">
                  <c:v>56716.21</c:v>
                </c:pt>
                <c:pt idx="4">
                  <c:v>84377.29</c:v>
                </c:pt>
                <c:pt idx="5">
                  <c:v>75099.47</c:v>
                </c:pt>
                <c:pt idx="6">
                  <c:v>96817.35</c:v>
                </c:pt>
                <c:pt idx="7">
                  <c:v>58955.51</c:v>
                </c:pt>
                <c:pt idx="8">
                  <c:v>57290.21</c:v>
                </c:pt>
                <c:pt idx="9">
                  <c:v>42316.57</c:v>
                </c:pt>
                <c:pt idx="10">
                  <c:v>112563.77</c:v>
                </c:pt>
                <c:pt idx="11">
                  <c:v>96564.46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Calc!C10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Calc!$C$11:$C$22</c:f>
              <c:numCache>
                <c:formatCode>\$#,##0;[RED]"-$"#,##0</c:formatCode>
                <c:ptCount val="12"/>
                <c:pt idx="0">
                  <c:v>9798.36</c:v>
                </c:pt>
                <c:pt idx="1">
                  <c:v>1779.54</c:v>
                </c:pt>
                <c:pt idx="2">
                  <c:v>1159.41</c:v>
                </c:pt>
                <c:pt idx="3">
                  <c:v>5908.59</c:v>
                </c:pt>
                <c:pt idx="4">
                  <c:v>2912.71</c:v>
                </c:pt>
                <c:pt idx="5">
                  <c:v>5246.94</c:v>
                </c:pt>
                <c:pt idx="6">
                  <c:v>6119.41</c:v>
                </c:pt>
                <c:pt idx="7">
                  <c:v>3208.02</c:v>
                </c:pt>
                <c:pt idx="8">
                  <c:v>8047.15</c:v>
                </c:pt>
                <c:pt idx="9">
                  <c:v>3254.64</c:v>
                </c:pt>
                <c:pt idx="10">
                  <c:v>7585.41</c:v>
                </c:pt>
                <c:pt idx="11">
                  <c:v>2190.76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8911394"/>
        <c:axId val="63168121"/>
      </c:lineChart>
      <c:catAx>
        <c:axId val="389113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68121"/>
        <c:crosses val="autoZero"/>
        <c:auto val="1"/>
        <c:lblAlgn val="ctr"/>
        <c:lblOffset val="100"/>
        <c:noMultiLvlLbl val="0"/>
      </c:catAx>
      <c:valAx>
        <c:axId val="631681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9113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Calc!B25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Calc!$A$26:$A$29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Calc!$B$26:$B$29</c:f>
              <c:numCache>
                <c:formatCode>\$#,##0;[RED]"-$"#,##0</c:formatCode>
                <c:ptCount val="4"/>
                <c:pt idx="0">
                  <c:v>194117.95</c:v>
                </c:pt>
                <c:pt idx="1">
                  <c:v>129288.59</c:v>
                </c:pt>
                <c:pt idx="2">
                  <c:v>218844.37</c:v>
                </c:pt>
                <c:pt idx="3">
                  <c:v>292566.71</c:v>
                </c:pt>
              </c:numCache>
            </c:numRef>
          </c:val>
        </c:ser>
        <c:ser>
          <c:idx val="1"/>
          <c:order val="1"/>
          <c:tx>
            <c:strRef>
              <c:f>Calc!C25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Calc!$A$26:$A$29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Calc!$C$26:$C$29</c:f>
              <c:numCache>
                <c:formatCode>\$#,##0;[RED]"-$"#,##0</c:formatCode>
                <c:ptCount val="4"/>
                <c:pt idx="0">
                  <c:v>18956.81</c:v>
                </c:pt>
                <c:pt idx="1">
                  <c:v>6079.76</c:v>
                </c:pt>
                <c:pt idx="2">
                  <c:v>10682.47</c:v>
                </c:pt>
                <c:pt idx="3">
                  <c:v>21491.9</c:v>
                </c:pt>
              </c:numCache>
            </c:numRef>
          </c:val>
        </c:ser>
        <c:gapWidth val="60"/>
        <c:overlap val="0"/>
        <c:axId val="19231619"/>
        <c:axId val="11820055"/>
      </c:barChart>
      <c:catAx>
        <c:axId val="192316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20055"/>
        <c:crosses val="autoZero"/>
        <c:auto val="1"/>
        <c:lblAlgn val="ctr"/>
        <c:lblOffset val="100"/>
        <c:noMultiLvlLbl val="0"/>
      </c:catAx>
      <c:valAx>
        <c:axId val="118200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316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Calc!B32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Calc!$A$33:$A$36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Calc!$B$33:$B$36</c:f>
              <c:numCache>
                <c:formatCode>\$#,##0;[RED]"-$"#,##0</c:formatCode>
                <c:ptCount val="4"/>
                <c:pt idx="0">
                  <c:v>238441.91</c:v>
                </c:pt>
                <c:pt idx="1">
                  <c:v>208079.93</c:v>
                </c:pt>
                <c:pt idx="2">
                  <c:v>235783.76</c:v>
                </c:pt>
                <c:pt idx="3">
                  <c:v>152512.02</c:v>
                </c:pt>
              </c:numCache>
            </c:numRef>
          </c:val>
        </c:ser>
        <c:ser>
          <c:idx val="1"/>
          <c:order val="1"/>
          <c:tx>
            <c:strRef>
              <c:f>Calc!C32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Calc!$A$33:$A$36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Calc!$C$33:$C$36</c:f>
              <c:numCache>
                <c:formatCode>\$#,##0;[RED]"-$"#,##0</c:formatCode>
                <c:ptCount val="4"/>
                <c:pt idx="0">
                  <c:v>12957.22</c:v>
                </c:pt>
                <c:pt idx="1">
                  <c:v>24613.79</c:v>
                </c:pt>
                <c:pt idx="2">
                  <c:v>19988.26</c:v>
                </c:pt>
                <c:pt idx="3">
                  <c:v>-348.33</c:v>
                </c:pt>
              </c:numCache>
            </c:numRef>
          </c:val>
        </c:ser>
        <c:gapWidth val="60"/>
        <c:overlap val="0"/>
        <c:axId val="25270302"/>
        <c:axId val="93222528"/>
      </c:barChart>
      <c:catAx>
        <c:axId val="252703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22528"/>
        <c:crosses val="autoZero"/>
        <c:auto val="1"/>
        <c:lblAlgn val="ctr"/>
        <c:lblOffset val="100"/>
        <c:noMultiLvlLbl val="0"/>
      </c:catAx>
      <c:valAx>
        <c:axId val="932225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703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Calc!B39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Calc!$A$40:$A$42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Calc!$B$40:$B$42</c:f>
              <c:numCache>
                <c:formatCode>\$#,##0;[RED]"-$"#,##0</c:formatCode>
                <c:ptCount val="3"/>
                <c:pt idx="0">
                  <c:v>285063.27</c:v>
                </c:pt>
                <c:pt idx="1">
                  <c:v>125637.52</c:v>
                </c:pt>
                <c:pt idx="2">
                  <c:v>424116.83</c:v>
                </c:pt>
              </c:numCache>
            </c:numRef>
          </c:val>
        </c:ser>
        <c:ser>
          <c:idx val="1"/>
          <c:order val="1"/>
          <c:tx>
            <c:strRef>
              <c:f>Calc!C39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Calc!$A$40:$A$42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Calc!$C$40:$C$42</c:f>
              <c:numCache>
                <c:formatCode>\$#,##0;[RED]"-$"#,##0</c:formatCode>
                <c:ptCount val="3"/>
                <c:pt idx="0">
                  <c:v>-18171.32</c:v>
                </c:pt>
                <c:pt idx="1">
                  <c:v>8769.54</c:v>
                </c:pt>
                <c:pt idx="2">
                  <c:v>66612.72</c:v>
                </c:pt>
              </c:numCache>
            </c:numRef>
          </c:val>
        </c:ser>
        <c:gapWidth val="60"/>
        <c:overlap val="0"/>
        <c:axId val="590881"/>
        <c:axId val="94589085"/>
      </c:barChart>
      <c:catAx>
        <c:axId val="5908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89085"/>
        <c:crosses val="autoZero"/>
        <c:auto val="1"/>
        <c:lblAlgn val="ctr"/>
        <c:lblOffset val="100"/>
        <c:noMultiLvlLbl val="0"/>
      </c:catAx>
      <c:valAx>
        <c:axId val="94589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8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Calc!B51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Calc!$A$52:$A$68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Calc!$B$52:$B$68</c:f>
              <c:numCache>
                <c:formatCode>\$#,##0;[RED]"-$"#,##0</c:formatCode>
                <c:ptCount val="17"/>
                <c:pt idx="0">
                  <c:v>12835.52</c:v>
                </c:pt>
                <c:pt idx="1">
                  <c:v>50593.05</c:v>
                </c:pt>
                <c:pt idx="2">
                  <c:v>5053.24</c:v>
                </c:pt>
                <c:pt idx="3">
                  <c:v>8840.53</c:v>
                </c:pt>
                <c:pt idx="4">
                  <c:v>87890.62</c:v>
                </c:pt>
                <c:pt idx="5">
                  <c:v>83622.56</c:v>
                </c:pt>
                <c:pt idx="6">
                  <c:v>261321.36</c:v>
                </c:pt>
                <c:pt idx="7">
                  <c:v>6017.96</c:v>
                </c:pt>
                <c:pt idx="8">
                  <c:v>2965.95</c:v>
                </c:pt>
                <c:pt idx="9">
                  <c:v>10208.69</c:v>
                </c:pt>
                <c:pt idx="10">
                  <c:v>4756.77</c:v>
                </c:pt>
                <c:pt idx="11">
                  <c:v>91624.1</c:v>
                </c:pt>
                <c:pt idx="12">
                  <c:v>6836.92</c:v>
                </c:pt>
                <c:pt idx="13">
                  <c:v>58335.85</c:v>
                </c:pt>
                <c:pt idx="14">
                  <c:v>20641.01</c:v>
                </c:pt>
                <c:pt idx="15">
                  <c:v>19932.09</c:v>
                </c:pt>
                <c:pt idx="16">
                  <c:v>103341.4</c:v>
                </c:pt>
              </c:numCache>
            </c:numRef>
          </c:val>
        </c:ser>
        <c:ser>
          <c:idx val="1"/>
          <c:order val="1"/>
          <c:tx>
            <c:strRef>
              <c:f>Calc!C51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Calc!$A$52:$A$68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Calc!$C$52:$C$68</c:f>
              <c:numCache>
                <c:formatCode>\$#,##0;[RED]"-$"#,##0</c:formatCode>
                <c:ptCount val="17"/>
                <c:pt idx="0">
                  <c:v>2185.44</c:v>
                </c:pt>
                <c:pt idx="1">
                  <c:v>2632.82</c:v>
                </c:pt>
                <c:pt idx="2">
                  <c:v>720.7</c:v>
                </c:pt>
                <c:pt idx="3">
                  <c:v>2075.94</c:v>
                </c:pt>
                <c:pt idx="4">
                  <c:v>-4246.74</c:v>
                </c:pt>
                <c:pt idx="5">
                  <c:v>3170.16</c:v>
                </c:pt>
                <c:pt idx="6">
                  <c:v>62472.56</c:v>
                </c:pt>
                <c:pt idx="7">
                  <c:v>1656.51</c:v>
                </c:pt>
                <c:pt idx="8">
                  <c:v>659.44</c:v>
                </c:pt>
                <c:pt idx="9">
                  <c:v>692.98</c:v>
                </c:pt>
                <c:pt idx="10">
                  <c:v>1410.12</c:v>
                </c:pt>
                <c:pt idx="11">
                  <c:v>-2262.8</c:v>
                </c:pt>
                <c:pt idx="12">
                  <c:v>1871.46</c:v>
                </c:pt>
                <c:pt idx="13">
                  <c:v>4217.52</c:v>
                </c:pt>
                <c:pt idx="14">
                  <c:v>-344.17</c:v>
                </c:pt>
                <c:pt idx="15">
                  <c:v>-1913.28</c:v>
                </c:pt>
                <c:pt idx="16">
                  <c:v>-17787.72</c:v>
                </c:pt>
              </c:numCache>
            </c:numRef>
          </c:val>
        </c:ser>
        <c:gapWidth val="60"/>
        <c:overlap val="0"/>
        <c:axId val="48839779"/>
        <c:axId val="90150075"/>
      </c:barChart>
      <c:catAx>
        <c:axId val="4883977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150075"/>
        <c:crosses val="autoZero"/>
        <c:auto val="1"/>
        <c:lblAlgn val="ctr"/>
        <c:lblOffset val="100"/>
        <c:noMultiLvlLbl val="0"/>
      </c:catAx>
      <c:valAx>
        <c:axId val="901500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3977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states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Calc!H78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Calc!$G$79:$G$88</c:f>
              <c:strCache>
                <c:ptCount val="10"/>
                <c:pt idx="0">
                  <c:v>Louisiana</c:v>
                </c:pt>
                <c:pt idx="1">
                  <c:v>South Dakota</c:v>
                </c:pt>
                <c:pt idx="2">
                  <c:v>Minnesota</c:v>
                </c:pt>
                <c:pt idx="3">
                  <c:v>District of Columbia</c:v>
                </c:pt>
                <c:pt idx="4">
                  <c:v>Tennessee</c:v>
                </c:pt>
                <c:pt idx="5">
                  <c:v>Delaware</c:v>
                </c:pt>
                <c:pt idx="6">
                  <c:v>South Carolina</c:v>
                </c:pt>
                <c:pt idx="7">
                  <c:v>Missouri</c:v>
                </c:pt>
                <c:pt idx="8">
                  <c:v>Wyoming</c:v>
                </c:pt>
                <c:pt idx="9">
                  <c:v>Georgia</c:v>
                </c:pt>
              </c:strCache>
            </c:strRef>
          </c:cat>
          <c:val>
            <c:numRef>
              <c:f>Calc!$H$79:$H$88</c:f>
              <c:numCache>
                <c:formatCode>\$#,##0;[RED]"-$"#,##0</c:formatCode>
                <c:ptCount val="10"/>
                <c:pt idx="0">
                  <c:v>53391.75</c:v>
                </c:pt>
                <c:pt idx="1">
                  <c:v>36386.35</c:v>
                </c:pt>
                <c:pt idx="2">
                  <c:v>33874.1</c:v>
                </c:pt>
                <c:pt idx="3">
                  <c:v>32914.81</c:v>
                </c:pt>
                <c:pt idx="4">
                  <c:v>29995.93</c:v>
                </c:pt>
                <c:pt idx="5">
                  <c:v>29319.68</c:v>
                </c:pt>
                <c:pt idx="6">
                  <c:v>28403.11</c:v>
                </c:pt>
                <c:pt idx="7">
                  <c:v>28282</c:v>
                </c:pt>
                <c:pt idx="8">
                  <c:v>25844.15</c:v>
                </c:pt>
                <c:pt idx="9">
                  <c:v>25046.29</c:v>
                </c:pt>
              </c:numCache>
            </c:numRef>
          </c:val>
        </c:ser>
        <c:gapWidth val="60"/>
        <c:overlap val="0"/>
        <c:axId val="58768048"/>
        <c:axId val="39439227"/>
      </c:barChart>
      <c:catAx>
        <c:axId val="587680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39227"/>
        <c:crosses val="autoZero"/>
        <c:auto val="1"/>
        <c:lblAlgn val="ctr"/>
        <c:lblOffset val="100"/>
        <c:noMultiLvlLbl val="0"/>
      </c:catAx>
      <c:valAx>
        <c:axId val="394392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68048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Calc!D71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Calc!$A$72:$A$75</c:f>
              <c:strCache>
                <c:ptCount val="4"/>
                <c:pt idx="0">
                  <c:v>No discount</c:v>
                </c:pt>
                <c:pt idx="1">
                  <c:v>Low (1-20%)</c:v>
                </c:pt>
                <c:pt idx="2">
                  <c:v>Medium (21-40%)</c:v>
                </c:pt>
                <c:pt idx="3">
                  <c:v>High (&gt;40%)</c:v>
                </c:pt>
              </c:strCache>
            </c:strRef>
          </c:cat>
          <c:val>
            <c:numRef>
              <c:f>Calc!$D$72:$D$75</c:f>
              <c:numCache>
                <c:formatCode>0.0%</c:formatCode>
                <c:ptCount val="4"/>
                <c:pt idx="0">
                  <c:v>0.145731602086718</c:v>
                </c:pt>
                <c:pt idx="1">
                  <c:v>0.0514526905549966</c:v>
                </c:pt>
                <c:pt idx="2">
                  <c:v>-0.0531458738038529</c:v>
                </c:pt>
                <c:pt idx="3">
                  <c:v>-0.258233401546541</c:v>
                </c:pt>
              </c:numCache>
            </c:numRef>
          </c:val>
        </c:ser>
        <c:gapWidth val="60"/>
        <c:overlap val="0"/>
        <c:axId val="97953756"/>
        <c:axId val="40240921"/>
      </c:barChart>
      <c:catAx>
        <c:axId val="979537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40921"/>
        <c:crosses val="autoZero"/>
        <c:auto val="1"/>
        <c:lblAlgn val="ctr"/>
        <c:lblOffset val="100"/>
        <c:noMultiLvlLbl val="0"/>
      </c:catAx>
      <c:valAx>
        <c:axId val="402409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9537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Calc!B45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2"/>
            <c:spPr>
              <a:solidFill>
                <a:srgbClr val="2e75b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Calc!$A$46:$A$48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Calc!$B$46:$B$48</c:f>
              <c:numCache>
                <c:formatCode>\$#,##0;[RED]"-$"#,##0</c:formatCode>
                <c:ptCount val="3"/>
                <c:pt idx="0">
                  <c:v>442265.17</c:v>
                </c:pt>
                <c:pt idx="1">
                  <c:v>296170.85</c:v>
                </c:pt>
                <c:pt idx="2">
                  <c:v>96381.6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9</xdr:col>
      <xdr:colOff>736560</xdr:colOff>
      <xdr:row>23</xdr:row>
      <xdr:rowOff>104760</xdr:rowOff>
    </xdr:to>
    <xdr:graphicFrame>
      <xdr:nvGraphicFramePr>
        <xdr:cNvPr id="0" name="Chart 1"/>
        <xdr:cNvGraphicFramePr/>
      </xdr:nvGraphicFramePr>
      <xdr:xfrm>
        <a:off x="141120" y="2038320"/>
        <a:ext cx="6659640" cy="27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9</xdr:row>
      <xdr:rowOff>0</xdr:rowOff>
    </xdr:from>
    <xdr:to>
      <xdr:col>18</xdr:col>
      <xdr:colOff>736560</xdr:colOff>
      <xdr:row>23</xdr:row>
      <xdr:rowOff>104760</xdr:rowOff>
    </xdr:to>
    <xdr:graphicFrame>
      <xdr:nvGraphicFramePr>
        <xdr:cNvPr id="1" name="Chart 2"/>
        <xdr:cNvGraphicFramePr/>
      </xdr:nvGraphicFramePr>
      <xdr:xfrm>
        <a:off x="6804720" y="2038320"/>
        <a:ext cx="6659640" cy="27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9</xdr:col>
      <xdr:colOff>736560</xdr:colOff>
      <xdr:row>39</xdr:row>
      <xdr:rowOff>104760</xdr:rowOff>
    </xdr:to>
    <xdr:graphicFrame>
      <xdr:nvGraphicFramePr>
        <xdr:cNvPr id="2" name="Chart 3"/>
        <xdr:cNvGraphicFramePr/>
      </xdr:nvGraphicFramePr>
      <xdr:xfrm>
        <a:off x="141120" y="5086440"/>
        <a:ext cx="6659640" cy="27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25</xdr:row>
      <xdr:rowOff>0</xdr:rowOff>
    </xdr:from>
    <xdr:to>
      <xdr:col>18</xdr:col>
      <xdr:colOff>736560</xdr:colOff>
      <xdr:row>39</xdr:row>
      <xdr:rowOff>104760</xdr:rowOff>
    </xdr:to>
    <xdr:graphicFrame>
      <xdr:nvGraphicFramePr>
        <xdr:cNvPr id="3" name="Chart 4"/>
        <xdr:cNvGraphicFramePr/>
      </xdr:nvGraphicFramePr>
      <xdr:xfrm>
        <a:off x="6804720" y="5086440"/>
        <a:ext cx="6659640" cy="27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9</xdr:col>
      <xdr:colOff>736560</xdr:colOff>
      <xdr:row>60</xdr:row>
      <xdr:rowOff>123840</xdr:rowOff>
    </xdr:to>
    <xdr:graphicFrame>
      <xdr:nvGraphicFramePr>
        <xdr:cNvPr id="4" name="Chart 5"/>
        <xdr:cNvGraphicFramePr/>
      </xdr:nvGraphicFramePr>
      <xdr:xfrm>
        <a:off x="141120" y="8134200"/>
        <a:ext cx="6659640" cy="37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41</xdr:row>
      <xdr:rowOff>0</xdr:rowOff>
    </xdr:from>
    <xdr:to>
      <xdr:col>18</xdr:col>
      <xdr:colOff>736560</xdr:colOff>
      <xdr:row>60</xdr:row>
      <xdr:rowOff>123840</xdr:rowOff>
    </xdr:to>
    <xdr:graphicFrame>
      <xdr:nvGraphicFramePr>
        <xdr:cNvPr id="5" name="Chart 6"/>
        <xdr:cNvGraphicFramePr/>
      </xdr:nvGraphicFramePr>
      <xdr:xfrm>
        <a:off x="6804720" y="8134200"/>
        <a:ext cx="6659640" cy="37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62</xdr:row>
      <xdr:rowOff>0</xdr:rowOff>
    </xdr:from>
    <xdr:to>
      <xdr:col>9</xdr:col>
      <xdr:colOff>736560</xdr:colOff>
      <xdr:row>76</xdr:row>
      <xdr:rowOff>104760</xdr:rowOff>
    </xdr:to>
    <xdr:graphicFrame>
      <xdr:nvGraphicFramePr>
        <xdr:cNvPr id="6" name="Chart 7"/>
        <xdr:cNvGraphicFramePr/>
      </xdr:nvGraphicFramePr>
      <xdr:xfrm>
        <a:off x="141120" y="12134880"/>
        <a:ext cx="6659640" cy="27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62</xdr:row>
      <xdr:rowOff>0</xdr:rowOff>
    </xdr:from>
    <xdr:to>
      <xdr:col>18</xdr:col>
      <xdr:colOff>736560</xdr:colOff>
      <xdr:row>76</xdr:row>
      <xdr:rowOff>104760</xdr:rowOff>
    </xdr:to>
    <xdr:graphicFrame>
      <xdr:nvGraphicFramePr>
        <xdr:cNvPr id="7" name="Chart 8"/>
        <xdr:cNvGraphicFramePr/>
      </xdr:nvGraphicFramePr>
      <xdr:xfrm>
        <a:off x="6804720" y="12134880"/>
        <a:ext cx="6659640" cy="27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S8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10.51"/>
    <col collapsed="false" customWidth="true" hidden="false" outlineLevel="0" max="20" min="20" style="0" width="2"/>
  </cols>
  <sheetData>
    <row r="1" customFormat="false" ht="6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9.5" hidden="false" customHeight="true" outlineLevel="0" collapsed="false">
      <c r="B3" s="2" t="str">
        <f aca="false">IF(LEFT(Data!$B$2,5)="DEMO-","SAMPLE DEMO DATA (synthetic) - paste the Kaggle Superstore data into the Data sheet, see README tab.","Data loaded: "&amp;TEXT(COUNTA(Data!$B$2:$B$12000),"#,##0")&amp;" line items. Use the yellow dropdowns to filter everything.")</f>
        <v>SAMPLE DEMO DATA (synthetic) - paste the Kaggle Superstore data into the Data sheet, see README tab.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6" hidden="false" customHeight="true" outlineLevel="0" collapsed="false"/>
    <row r="5" customFormat="false" ht="24" hidden="false" customHeight="true" outlineLevel="0" collapsed="false">
      <c r="B5" s="3" t="s">
        <v>1</v>
      </c>
      <c r="C5" s="4" t="s">
        <v>2</v>
      </c>
      <c r="E5" s="3" t="s">
        <v>3</v>
      </c>
      <c r="F5" s="4" t="s">
        <v>2</v>
      </c>
      <c r="H5" s="3" t="s">
        <v>4</v>
      </c>
      <c r="I5" s="4" t="s">
        <v>2</v>
      </c>
      <c r="J5" s="4"/>
      <c r="L5" s="3" t="s">
        <v>5</v>
      </c>
      <c r="M5" s="4" t="s">
        <v>2</v>
      </c>
      <c r="N5" s="4"/>
      <c r="P5" s="5" t="s">
        <v>6</v>
      </c>
      <c r="Q5" s="5"/>
      <c r="R5" s="5"/>
      <c r="S5" s="5"/>
    </row>
    <row r="6" customFormat="false" ht="7.5" hidden="false" customHeight="true" outlineLevel="0" collapsed="false"/>
    <row r="7" customFormat="false" ht="18" hidden="false" customHeight="true" outlineLevel="0" collapsed="false">
      <c r="B7" s="6" t="s">
        <v>7</v>
      </c>
      <c r="C7" s="6"/>
      <c r="D7" s="6"/>
      <c r="E7" s="6" t="s">
        <v>8</v>
      </c>
      <c r="F7" s="6"/>
      <c r="G7" s="6"/>
      <c r="H7" s="6" t="s">
        <v>9</v>
      </c>
      <c r="I7" s="6"/>
      <c r="J7" s="6"/>
      <c r="K7" s="6" t="s">
        <v>10</v>
      </c>
      <c r="L7" s="6"/>
      <c r="M7" s="6"/>
      <c r="N7" s="6" t="s">
        <v>11</v>
      </c>
      <c r="O7" s="6"/>
      <c r="P7" s="6"/>
      <c r="Q7" s="6" t="s">
        <v>12</v>
      </c>
      <c r="R7" s="6"/>
      <c r="S7" s="6"/>
    </row>
    <row r="8" customFormat="false" ht="36" hidden="false" customHeight="true" outlineLevel="0" collapsed="false">
      <c r="B8" s="7" t="n">
        <f aca="false">SUMIFS(Data!$R$2:$R$12000,Data!$V$2:$V$12000,Calc!$B$3,Data!$M$2:$M$12000,Calc!$B$4,Data!$O$2:$O$12000,Calc!$B$5,Data!$H$2:$H$12000,Calc!$B$6)</f>
        <v>834817.62</v>
      </c>
      <c r="C8" s="7"/>
      <c r="D8" s="7"/>
      <c r="E8" s="8" t="n">
        <f aca="false">SUMIFS(Data!$U$2:$U$12000,Data!$V$2:$V$12000,Calc!$B$3,Data!$M$2:$M$12000,Calc!$B$4,Data!$O$2:$O$12000,Calc!$B$5,Data!$H$2:$H$12000,Calc!$B$6)</f>
        <v>57210.94</v>
      </c>
      <c r="F8" s="8"/>
      <c r="G8" s="8"/>
      <c r="H8" s="9" t="n">
        <f aca="false">IFERROR(E8/B8,0)</f>
        <v>0.0685310643059978</v>
      </c>
      <c r="I8" s="9"/>
      <c r="J8" s="9"/>
      <c r="K8" s="10" t="n">
        <f aca="false">SUMIFS(Data!$Z$2:$Z$12000,Data!$V$2:$V$12000,Calc!$B$3,Data!$M$2:$M$12000,Calc!$B$4,Data!$O$2:$O$12000,Calc!$B$5,Data!$H$2:$H$12000,Calc!$B$6)</f>
        <v>428</v>
      </c>
      <c r="L8" s="10"/>
      <c r="M8" s="10"/>
      <c r="N8" s="10" t="n">
        <f aca="false">SUMIFS(Data!$S$2:$S$12000,Data!$V$2:$V$12000,Calc!$B$3,Data!$M$2:$M$12000,Calc!$B$4,Data!$O$2:$O$12000,Calc!$B$5,Data!$H$2:$H$12000,Calc!$B$6)</f>
        <v>3666</v>
      </c>
      <c r="O8" s="10"/>
      <c r="P8" s="10"/>
      <c r="Q8" s="9" t="n">
        <f aca="false">IFERROR(AVERAGEIFS(Data!$T$2:$T$12000,Data!$V$2:$V$12000,Calc!$B$3,Data!$M$2:$M$12000,Calc!$B$4,Data!$O$2:$O$12000,Calc!$B$5,Data!$H$2:$H$12000,Calc!$B$6),0)</f>
        <v>0.201125</v>
      </c>
      <c r="R8" s="9"/>
      <c r="S8" s="9"/>
    </row>
    <row r="9" customFormat="false" ht="7.5" hidden="false" customHeight="true" outlineLevel="0" collapsed="false"/>
    <row r="79" customFormat="false" ht="15" hidden="false" customHeight="false" outlineLevel="0" collapsed="false">
      <c r="B79" s="11" t="s">
        <v>13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 customFormat="false" ht="18" hidden="false" customHeight="true" outlineLevel="0" collapsed="false">
      <c r="B80" s="12" t="str">
        <f aca="false">IFERROR(IF(SUM(Calc!$B$33:$B$36)=0,"No data for the current filters.","Top region: "&amp;INDEX(Calc!$A$33:$A$36,MATCH(MAX(Calc!$B$33:$B$36),Calc!$B$33:$B$36,0))&amp;" with "&amp;TEXT(MAX(Calc!$B$33:$B$36),"$#,##0")&amp;" in sales ("&amp;TEXT(MAX(Calc!$B$33:$B$36)/SUM(Calc!$B$33:$B$36),"0%")&amp;" of the total across regions)."),"")</f>
        <v>Top region: Central with $238,442 in sales (29% of the total across regions).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</row>
    <row r="81" customFormat="false" ht="18" hidden="false" customHeight="true" outlineLevel="0" collapsed="false">
      <c r="B81" s="13" t="str">
        <f aca="false">IFERROR(IF(SUM(Calc!$B$11:$B$22)=0,"","Peak month: "&amp;INDEX(Calc!$A$11:$A$22,MATCH(MAX(Calc!$B$11:$B$22),Calc!$B$11:$B$22,0))&amp;" with "&amp;TEXT(MAX(Calc!$B$11:$B$22),"$#,##0")&amp;" in sales."),"")</f>
        <v>Peak month: Nov with $112,564 in sales.</v>
      </c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customFormat="false" ht="18" hidden="false" customHeight="true" outlineLevel="0" collapsed="false">
      <c r="B82" s="12" t="str">
        <f aca="false">IFERROR(IF(Calc!$H$79=0,"","Top state: "&amp;Calc!$G$79&amp;" with "&amp;TEXT(Calc!$H$79,"$#,##0")&amp;" in sales."),"")</f>
        <v>Top state: Louisiana with $53,392 in sales.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 customFormat="false" ht="18" hidden="false" customHeight="true" outlineLevel="0" collapsed="false">
      <c r="B83" s="13" t="str">
        <f aca="false">IFERROR("Lowest-profit sub-category: "&amp;INDEX(Calc!$A$52:$A$68,MATCH(MIN(Calc!$C$52:$C$68),Calc!$C$52:$C$68,0))&amp;" ("&amp;TEXT(MIN(Calc!$C$52:$C$68),"$#,##0;-$#,##0")&amp;" profit).","")</f>
        <v>Lowest-profit sub-category: Tables (-$17,788 profit).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customFormat="false" ht="18" hidden="false" customHeight="true" outlineLevel="0" collapsed="false">
      <c r="B84" s="12" t="str">
        <f aca="false">IFERROR("Lowest profit margin: "&amp;INDEX(Calc!$A$52:$A$68,MATCH(MIN(Calc!$D$52:$D$68),Calc!$D$52:$D$68,0))&amp;" at "&amp;TEXT(MIN(Calc!$D$52:$D$68),"0.0%")&amp;".","")</f>
        <v>Lowest profit margin: Tables at -17.2%.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customFormat="false" ht="18" hidden="false" customHeight="true" outlineLevel="0" collapsed="false">
      <c r="B85" s="13" t="str">
        <f aca="false">IFERROR(IF(OR(Calc!$D$72="",Calc!$D$75=""),"","Profit margin is "&amp;TEXT(Calc!$D$72,"0.0%")&amp;" on undiscounted line items versus "&amp;TEXT(Calc!$D$75,"0.0%")&amp;" on items discounted over 40%."),"")</f>
        <v>Profit margin is 14.6% on undiscounted line items versus -25.8% on items discounted over 40%.</v>
      </c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7" customFormat="false" ht="15" hidden="false" customHeight="false" outlineLevel="0" collapsed="false">
      <c r="B87" s="14" t="str">
        <f aca="false">"Data check: "&amp;COUNTA(Data!$B$2:$B$12000)&amp;" line items loaded; "&amp;(COUNTA(Data!$C$2:$C$12000)-COUNT(Data!$C$2:$C$12000))&amp;" rows have an Order Date Excel cannot read as a date (they are excluded from every figure above)."</f>
        <v>Data check: 800 line items loaded; 0 rows have an Order Date Excel cannot read as a date (they are excluded from every figure above).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</sheetData>
  <mergeCells count="25">
    <mergeCell ref="B2:S2"/>
    <mergeCell ref="B3:S3"/>
    <mergeCell ref="I5:J5"/>
    <mergeCell ref="M5:N5"/>
    <mergeCell ref="P5:S5"/>
    <mergeCell ref="B7:D7"/>
    <mergeCell ref="E7:G7"/>
    <mergeCell ref="H7:J7"/>
    <mergeCell ref="K7:M7"/>
    <mergeCell ref="N7:P7"/>
    <mergeCell ref="Q7:S7"/>
    <mergeCell ref="B8:D8"/>
    <mergeCell ref="E8:G8"/>
    <mergeCell ref="H8:J8"/>
    <mergeCell ref="K8:M8"/>
    <mergeCell ref="N8:P8"/>
    <mergeCell ref="Q8:S8"/>
    <mergeCell ref="B79:S79"/>
    <mergeCell ref="B80:S80"/>
    <mergeCell ref="B81:S81"/>
    <mergeCell ref="B82:S82"/>
    <mergeCell ref="B83:S83"/>
    <mergeCell ref="B84:S84"/>
    <mergeCell ref="B85:S85"/>
    <mergeCell ref="B87:S87"/>
  </mergeCells>
  <conditionalFormatting sqref="B3:S3">
    <cfRule type="expression" priority="2" aboveAverage="0" equalAverage="0" bottom="0" percent="0" rank="0" text="" dxfId="0">
      <formula>LEFT(Data!$B$2,5)="DEMO-"</formula>
    </cfRule>
  </conditionalFormatting>
  <conditionalFormatting sqref="H8">
    <cfRule type="expression" priority="3" aboveAverage="0" equalAverage="0" bottom="0" percent="0" rank="0" text="" dxfId="1">
      <formula>$H$8&lt;0</formula>
    </cfRule>
  </conditionalFormatting>
  <conditionalFormatting sqref="E8">
    <cfRule type="expression" priority="4" aboveAverage="0" equalAverage="0" bottom="0" percent="0" rank="0" text="" dxfId="1">
      <formula>$E$8&lt;0</formula>
    </cfRule>
  </conditionalFormatting>
  <dataValidations count="4">
    <dataValidation allowBlank="false" error="Pick a value from the list" errorStyle="stop" operator="between" showDropDown="false" showErrorMessage="false" showInputMessage="false" sqref="C5" type="list">
      <formula1>"All,2014,2015,2016,2017"</formula1>
      <formula2>0</formula2>
    </dataValidation>
    <dataValidation allowBlank="false" error="Pick a value from the list" errorStyle="stop" operator="between" showDropDown="false" showErrorMessage="false" showInputMessage="false" sqref="F5" type="list">
      <formula1>"All,Central,East,South,West"</formula1>
      <formula2>0</formula2>
    </dataValidation>
    <dataValidation allowBlank="false" error="Pick a value from the list" errorStyle="stop" operator="between" showDropDown="false" showErrorMessage="false" showInputMessage="false" sqref="I5" type="list">
      <formula1>"All,Furniture,Office Supplies,Technology"</formula1>
      <formula2>0</formula2>
    </dataValidation>
    <dataValidation allowBlank="false" error="Pick a value from the list" errorStyle="stop" operator="between" showDropDown="false" showErrorMessage="false" showInputMessage="false" sqref="M5" type="list">
      <formula1>"All,Consumer,Corporate,Home Office"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5" t="s">
        <v>14</v>
      </c>
    </row>
    <row r="2" customFormat="false" ht="15" hidden="false" customHeight="false" outlineLevel="0" collapsed="false">
      <c r="A2" s="16"/>
    </row>
    <row r="3" customFormat="false" ht="23.85" hidden="false" customHeight="false" outlineLevel="0" collapsed="false">
      <c r="A3" s="16" t="s">
        <v>15</v>
      </c>
    </row>
    <row r="4" customFormat="false" ht="15" hidden="false" customHeight="false" outlineLevel="0" collapsed="false">
      <c r="A4" s="16"/>
    </row>
    <row r="5" customFormat="false" ht="15" hidden="false" customHeight="false" outlineLevel="0" collapsed="false">
      <c r="A5" s="16" t="s">
        <v>16</v>
      </c>
    </row>
    <row r="6" customFormat="false" ht="15" hidden="false" customHeight="false" outlineLevel="0" collapsed="false">
      <c r="A6" s="16" t="s">
        <v>17</v>
      </c>
    </row>
    <row r="7" customFormat="false" ht="23.85" hidden="false" customHeight="false" outlineLevel="0" collapsed="false">
      <c r="A7" s="16" t="s">
        <v>18</v>
      </c>
    </row>
    <row r="8" customFormat="false" ht="23.85" hidden="false" customHeight="false" outlineLevel="0" collapsed="false">
      <c r="A8" s="16" t="s">
        <v>19</v>
      </c>
    </row>
    <row r="9" customFormat="false" ht="15" hidden="false" customHeight="false" outlineLevel="0" collapsed="false">
      <c r="A9" s="16" t="s">
        <v>20</v>
      </c>
    </row>
    <row r="10" customFormat="false" ht="15" hidden="false" customHeight="false" outlineLevel="0" collapsed="false">
      <c r="A10" s="16" t="s">
        <v>21</v>
      </c>
    </row>
    <row r="11" customFormat="false" ht="15" hidden="false" customHeight="false" outlineLevel="0" collapsed="false">
      <c r="A11" s="16"/>
    </row>
    <row r="12" customFormat="false" ht="15" hidden="false" customHeight="false" outlineLevel="0" collapsed="false">
      <c r="A12" s="17" t="s">
        <v>22</v>
      </c>
    </row>
    <row r="13" customFormat="false" ht="15" hidden="false" customHeight="false" outlineLevel="0" collapsed="false">
      <c r="A13" s="16" t="s">
        <v>23</v>
      </c>
    </row>
    <row r="14" customFormat="false" ht="15" hidden="false" customHeight="false" outlineLevel="0" collapsed="false">
      <c r="A14" s="16" t="s">
        <v>24</v>
      </c>
    </row>
    <row r="15" customFormat="false" ht="15" hidden="false" customHeight="false" outlineLevel="0" collapsed="false">
      <c r="A15" s="16" t="s">
        <v>25</v>
      </c>
    </row>
    <row r="16" customFormat="false" ht="15" hidden="false" customHeight="false" outlineLevel="0" collapsed="false">
      <c r="A16" s="16" t="s">
        <v>26</v>
      </c>
    </row>
    <row r="17" customFormat="false" ht="15" hidden="false" customHeight="false" outlineLevel="0" collapsed="false">
      <c r="A17" s="16" t="s">
        <v>27</v>
      </c>
    </row>
    <row r="18" customFormat="false" ht="15" hidden="false" customHeight="false" outlineLevel="0" collapsed="false">
      <c r="A18" s="16" t="s">
        <v>28</v>
      </c>
    </row>
    <row r="19" customFormat="false" ht="23.85" hidden="false" customHeight="false" outlineLevel="0" collapsed="false">
      <c r="A19" s="16" t="s">
        <v>29</v>
      </c>
    </row>
    <row r="20" customFormat="false" ht="15" hidden="false" customHeight="false" outlineLevel="0" collapsed="false">
      <c r="A20" s="16"/>
    </row>
    <row r="21" customFormat="false" ht="15" hidden="false" customHeight="false" outlineLevel="0" collapsed="false">
      <c r="A21" s="1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Z12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3" min="12" style="0" width="10"/>
    <col collapsed="false" customWidth="true" hidden="false" outlineLevel="0" max="15" min="14" style="0" width="16"/>
    <col collapsed="false" customWidth="true" hidden="false" outlineLevel="0" max="16" min="16" style="0" width="14"/>
    <col collapsed="false" customWidth="true" hidden="false" outlineLevel="0" max="17" min="17" style="0" width="30"/>
    <col collapsed="false" customWidth="true" hidden="false" outlineLevel="0" max="18" min="18" style="0" width="11"/>
    <col collapsed="false" customWidth="true" hidden="false" outlineLevel="0" max="20" min="19" style="0" width="9"/>
    <col collapsed="false" customWidth="true" hidden="false" outlineLevel="0" max="21" min="21" style="0" width="11"/>
    <col collapsed="false" customWidth="true" hidden="false" outlineLevel="0" max="23" min="22" style="0" width="7"/>
    <col collapsed="false" customWidth="true" hidden="false" outlineLevel="0" max="24" min="24" style="0" width="17"/>
    <col collapsed="false" customWidth="true" hidden="false" outlineLevel="0" max="26" min="25" style="0" width="10"/>
  </cols>
  <sheetData>
    <row r="1" customFormat="false" ht="30" hidden="false" customHeight="true" outlineLevel="0" collapsed="false">
      <c r="A1" s="18" t="s">
        <v>31</v>
      </c>
      <c r="B1" s="18" t="s">
        <v>32</v>
      </c>
      <c r="C1" s="18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18" t="s">
        <v>38</v>
      </c>
      <c r="I1" s="18" t="s">
        <v>39</v>
      </c>
      <c r="J1" s="18" t="s">
        <v>40</v>
      </c>
      <c r="K1" s="18" t="s">
        <v>41</v>
      </c>
      <c r="L1" s="18" t="s">
        <v>42</v>
      </c>
      <c r="M1" s="18" t="s">
        <v>43</v>
      </c>
      <c r="N1" s="18" t="s">
        <v>44</v>
      </c>
      <c r="O1" s="18" t="s">
        <v>45</v>
      </c>
      <c r="P1" s="18" t="s">
        <v>46</v>
      </c>
      <c r="Q1" s="18" t="s">
        <v>47</v>
      </c>
      <c r="R1" s="18" t="s">
        <v>48</v>
      </c>
      <c r="S1" s="18" t="s">
        <v>49</v>
      </c>
      <c r="T1" s="18" t="s">
        <v>50</v>
      </c>
      <c r="U1" s="18" t="s">
        <v>51</v>
      </c>
      <c r="V1" s="19" t="s">
        <v>52</v>
      </c>
      <c r="W1" s="19" t="s">
        <v>53</v>
      </c>
      <c r="X1" s="19" t="s">
        <v>54</v>
      </c>
      <c r="Y1" s="19" t="s">
        <v>55</v>
      </c>
      <c r="Z1" s="19" t="s">
        <v>56</v>
      </c>
    </row>
    <row r="2" customFormat="false" ht="15" hidden="false" customHeight="false" outlineLevel="0" collapsed="false">
      <c r="A2" s="20" t="n">
        <v>1</v>
      </c>
      <c r="B2" s="20" t="s">
        <v>57</v>
      </c>
      <c r="C2" s="21" t="n">
        <v>41641</v>
      </c>
      <c r="D2" s="21" t="n">
        <v>41646</v>
      </c>
      <c r="E2" s="20" t="s">
        <v>58</v>
      </c>
      <c r="F2" s="20" t="s">
        <v>59</v>
      </c>
      <c r="G2" s="20" t="s">
        <v>60</v>
      </c>
      <c r="H2" s="20" t="s">
        <v>61</v>
      </c>
      <c r="I2" s="20" t="s">
        <v>62</v>
      </c>
      <c r="J2" s="20" t="s">
        <v>63</v>
      </c>
      <c r="K2" s="20" t="s">
        <v>64</v>
      </c>
      <c r="L2" s="20" t="n">
        <v>92168</v>
      </c>
      <c r="M2" s="20" t="s">
        <v>65</v>
      </c>
      <c r="N2" s="20" t="s">
        <v>66</v>
      </c>
      <c r="O2" s="20" t="s">
        <v>67</v>
      </c>
      <c r="P2" s="20" t="s">
        <v>68</v>
      </c>
      <c r="Q2" s="20" t="s">
        <v>69</v>
      </c>
      <c r="R2" s="22" t="n">
        <v>11980.88</v>
      </c>
      <c r="S2" s="20" t="n">
        <v>8</v>
      </c>
      <c r="T2" s="20" t="n">
        <v>0.2</v>
      </c>
      <c r="U2" s="22" t="n">
        <v>2743.92</v>
      </c>
      <c r="V2" s="23" t="n">
        <f aca="false">IF(ISNUMBER(C2),YEAR(C2),"")</f>
        <v>2014</v>
      </c>
      <c r="W2" s="23" t="n">
        <f aca="false">IF(ISNUMBER(C2),MONTH(C2),"")</f>
        <v>1</v>
      </c>
      <c r="X2" s="23" t="str">
        <f aca="false">IF(T2="","",IF(T2=0,"No discount",IF(T2&lt;=0.2,"Low (1-20%)",IF(T2&lt;=0.4,"Medium (21-40%)","High (&gt;40%)"))))</f>
        <v>Low (1-20%)</v>
      </c>
      <c r="Y2" s="23" t="n">
        <f aca="false">IF(AND(ISNUMBER(C2),ISNUMBER(D2)),D2-C2,"")</f>
        <v>5</v>
      </c>
      <c r="Z2" s="23" t="n">
        <f aca="false">IF(B2="","",IF(MATCH(B2,$B$2:$B$12000,0)=ROW()-1,1,0))</f>
        <v>1</v>
      </c>
    </row>
    <row r="3" customFormat="false" ht="15" hidden="false" customHeight="false" outlineLevel="0" collapsed="false">
      <c r="A3" s="20" t="n">
        <v>2</v>
      </c>
      <c r="B3" s="20" t="s">
        <v>70</v>
      </c>
      <c r="C3" s="21" t="n">
        <v>41649</v>
      </c>
      <c r="D3" s="21" t="n">
        <v>41655</v>
      </c>
      <c r="E3" s="20" t="s">
        <v>71</v>
      </c>
      <c r="F3" s="20" t="s">
        <v>72</v>
      </c>
      <c r="G3" s="20" t="s">
        <v>73</v>
      </c>
      <c r="H3" s="20" t="s">
        <v>61</v>
      </c>
      <c r="I3" s="20" t="s">
        <v>62</v>
      </c>
      <c r="J3" s="20" t="s">
        <v>63</v>
      </c>
      <c r="K3" s="20" t="s">
        <v>74</v>
      </c>
      <c r="L3" s="20" t="n">
        <v>46103</v>
      </c>
      <c r="M3" s="20" t="s">
        <v>65</v>
      </c>
      <c r="N3" s="20" t="s">
        <v>75</v>
      </c>
      <c r="O3" s="20" t="s">
        <v>76</v>
      </c>
      <c r="P3" s="20" t="s">
        <v>77</v>
      </c>
      <c r="Q3" s="20" t="s">
        <v>78</v>
      </c>
      <c r="R3" s="22" t="n">
        <v>48.37</v>
      </c>
      <c r="S3" s="20" t="n">
        <v>4</v>
      </c>
      <c r="T3" s="20" t="n">
        <v>0</v>
      </c>
      <c r="U3" s="22" t="n">
        <v>13.45</v>
      </c>
      <c r="V3" s="23" t="n">
        <f aca="false">IF(ISNUMBER(C3),YEAR(C3),"")</f>
        <v>2014</v>
      </c>
      <c r="W3" s="23" t="n">
        <f aca="false">IF(ISNUMBER(C3),MONTH(C3),"")</f>
        <v>1</v>
      </c>
      <c r="X3" s="23" t="str">
        <f aca="false">IF(T3="","",IF(T3=0,"No discount",IF(T3&lt;=0.2,"Low (1-20%)",IF(T3&lt;=0.4,"Medium (21-40%)","High (&gt;40%)"))))</f>
        <v>No discount</v>
      </c>
      <c r="Y3" s="23" t="n">
        <f aca="false">IF(AND(ISNUMBER(C3),ISNUMBER(D3)),D3-C3,"")</f>
        <v>6</v>
      </c>
      <c r="Z3" s="23" t="n">
        <f aca="false">IF(B3="","",IF(MATCH(B3,$B$2:$B$12000,0)=ROW()-1,1,0))</f>
        <v>1</v>
      </c>
    </row>
    <row r="4" customFormat="false" ht="15" hidden="false" customHeight="false" outlineLevel="0" collapsed="false">
      <c r="A4" s="20" t="n">
        <v>3</v>
      </c>
      <c r="B4" s="20" t="s">
        <v>70</v>
      </c>
      <c r="C4" s="21" t="n">
        <v>41649</v>
      </c>
      <c r="D4" s="21" t="n">
        <v>41655</v>
      </c>
      <c r="E4" s="20" t="s">
        <v>71</v>
      </c>
      <c r="F4" s="20" t="s">
        <v>72</v>
      </c>
      <c r="G4" s="20" t="s">
        <v>73</v>
      </c>
      <c r="H4" s="20" t="s">
        <v>61</v>
      </c>
      <c r="I4" s="20" t="s">
        <v>62</v>
      </c>
      <c r="J4" s="20" t="s">
        <v>63</v>
      </c>
      <c r="K4" s="20" t="s">
        <v>74</v>
      </c>
      <c r="L4" s="20" t="n">
        <v>48422</v>
      </c>
      <c r="M4" s="20" t="s">
        <v>65</v>
      </c>
      <c r="N4" s="20" t="s">
        <v>79</v>
      </c>
      <c r="O4" s="20" t="s">
        <v>76</v>
      </c>
      <c r="P4" s="20" t="s">
        <v>80</v>
      </c>
      <c r="Q4" s="20" t="s">
        <v>81</v>
      </c>
      <c r="R4" s="22" t="n">
        <v>62.83</v>
      </c>
      <c r="S4" s="20" t="n">
        <v>1</v>
      </c>
      <c r="T4" s="20" t="n">
        <v>0.2</v>
      </c>
      <c r="U4" s="22" t="n">
        <v>9.91</v>
      </c>
      <c r="V4" s="23" t="n">
        <f aca="false">IF(ISNUMBER(C4),YEAR(C4),"")</f>
        <v>2014</v>
      </c>
      <c r="W4" s="23" t="n">
        <f aca="false">IF(ISNUMBER(C4),MONTH(C4),"")</f>
        <v>1</v>
      </c>
      <c r="X4" s="23" t="str">
        <f aca="false">IF(T4="","",IF(T4=0,"No discount",IF(T4&lt;=0.2,"Low (1-20%)",IF(T4&lt;=0.4,"Medium (21-40%)","High (&gt;40%)"))))</f>
        <v>Low (1-20%)</v>
      </c>
      <c r="Y4" s="23" t="n">
        <f aca="false">IF(AND(ISNUMBER(C4),ISNUMBER(D4)),D4-C4,"")</f>
        <v>6</v>
      </c>
      <c r="Z4" s="23" t="n">
        <f aca="false">IF(B4="","",IF(MATCH(B4,$B$2:$B$12000,0)=ROW()-1,1,0))</f>
        <v>0</v>
      </c>
    </row>
    <row r="5" customFormat="false" ht="15" hidden="false" customHeight="false" outlineLevel="0" collapsed="false">
      <c r="A5" s="20" t="n">
        <v>4</v>
      </c>
      <c r="B5" s="20" t="s">
        <v>82</v>
      </c>
      <c r="C5" s="21" t="n">
        <v>41656</v>
      </c>
      <c r="D5" s="21" t="n">
        <v>41657</v>
      </c>
      <c r="E5" s="20" t="s">
        <v>71</v>
      </c>
      <c r="F5" s="20" t="s">
        <v>83</v>
      </c>
      <c r="G5" s="20" t="s">
        <v>84</v>
      </c>
      <c r="H5" s="20" t="s">
        <v>85</v>
      </c>
      <c r="I5" s="20" t="s">
        <v>62</v>
      </c>
      <c r="J5" s="20" t="s">
        <v>63</v>
      </c>
      <c r="K5" s="20" t="s">
        <v>86</v>
      </c>
      <c r="L5" s="20" t="n">
        <v>60980</v>
      </c>
      <c r="M5" s="20" t="s">
        <v>65</v>
      </c>
      <c r="N5" s="20" t="s">
        <v>87</v>
      </c>
      <c r="O5" s="20" t="s">
        <v>76</v>
      </c>
      <c r="P5" s="20" t="s">
        <v>88</v>
      </c>
      <c r="Q5" s="20" t="s">
        <v>89</v>
      </c>
      <c r="R5" s="22" t="n">
        <v>445.17</v>
      </c>
      <c r="S5" s="20" t="n">
        <v>1</v>
      </c>
      <c r="T5" s="20" t="n">
        <v>0</v>
      </c>
      <c r="U5" s="22" t="n">
        <v>24.14</v>
      </c>
      <c r="V5" s="23" t="n">
        <f aca="false">IF(ISNUMBER(C5),YEAR(C5),"")</f>
        <v>2014</v>
      </c>
      <c r="W5" s="23" t="n">
        <f aca="false">IF(ISNUMBER(C5),MONTH(C5),"")</f>
        <v>1</v>
      </c>
      <c r="X5" s="23" t="str">
        <f aca="false">IF(T5="","",IF(T5=0,"No discount",IF(T5&lt;=0.2,"Low (1-20%)",IF(T5&lt;=0.4,"Medium (21-40%)","High (&gt;40%)"))))</f>
        <v>No discount</v>
      </c>
      <c r="Y5" s="23" t="n">
        <f aca="false">IF(AND(ISNUMBER(C5),ISNUMBER(D5)),D5-C5,"")</f>
        <v>1</v>
      </c>
      <c r="Z5" s="23" t="n">
        <f aca="false">IF(B5="","",IF(MATCH(B5,$B$2:$B$12000,0)=ROW()-1,1,0))</f>
        <v>1</v>
      </c>
    </row>
    <row r="6" customFormat="false" ht="15" hidden="false" customHeight="false" outlineLevel="0" collapsed="false">
      <c r="A6" s="20" t="n">
        <v>5</v>
      </c>
      <c r="B6" s="20" t="s">
        <v>82</v>
      </c>
      <c r="C6" s="21" t="n">
        <v>41656</v>
      </c>
      <c r="D6" s="21" t="n">
        <v>41657</v>
      </c>
      <c r="E6" s="20" t="s">
        <v>90</v>
      </c>
      <c r="F6" s="20" t="s">
        <v>83</v>
      </c>
      <c r="G6" s="20" t="s">
        <v>84</v>
      </c>
      <c r="H6" s="20" t="s">
        <v>85</v>
      </c>
      <c r="I6" s="20" t="s">
        <v>62</v>
      </c>
      <c r="J6" s="20" t="s">
        <v>63</v>
      </c>
      <c r="K6" s="20" t="s">
        <v>86</v>
      </c>
      <c r="L6" s="20" t="n">
        <v>71577</v>
      </c>
      <c r="M6" s="20" t="s">
        <v>65</v>
      </c>
      <c r="N6" s="20" t="s">
        <v>91</v>
      </c>
      <c r="O6" s="20" t="s">
        <v>76</v>
      </c>
      <c r="P6" s="20" t="s">
        <v>80</v>
      </c>
      <c r="Q6" s="20" t="s">
        <v>92</v>
      </c>
      <c r="R6" s="22" t="n">
        <v>42.72</v>
      </c>
      <c r="S6" s="20" t="n">
        <v>8</v>
      </c>
      <c r="T6" s="20" t="n">
        <v>0.5</v>
      </c>
      <c r="U6" s="22" t="n">
        <v>-1.88</v>
      </c>
      <c r="V6" s="23" t="n">
        <f aca="false">IF(ISNUMBER(C6),YEAR(C6),"")</f>
        <v>2014</v>
      </c>
      <c r="W6" s="23" t="n">
        <f aca="false">IF(ISNUMBER(C6),MONTH(C6),"")</f>
        <v>1</v>
      </c>
      <c r="X6" s="23" t="str">
        <f aca="false">IF(T6="","",IF(T6=0,"No discount",IF(T6&lt;=0.2,"Low (1-20%)",IF(T6&lt;=0.4,"Medium (21-40%)","High (&gt;40%)"))))</f>
        <v>High (&gt;40%)</v>
      </c>
      <c r="Y6" s="23" t="n">
        <f aca="false">IF(AND(ISNUMBER(C6),ISNUMBER(D6)),D6-C6,"")</f>
        <v>1</v>
      </c>
      <c r="Z6" s="23" t="n">
        <f aca="false">IF(B6="","",IF(MATCH(B6,$B$2:$B$12000,0)=ROW()-1,1,0))</f>
        <v>0</v>
      </c>
    </row>
    <row r="7" customFormat="false" ht="15" hidden="false" customHeight="false" outlineLevel="0" collapsed="false">
      <c r="A7" s="20" t="n">
        <v>6</v>
      </c>
      <c r="B7" s="20" t="s">
        <v>93</v>
      </c>
      <c r="C7" s="21" t="n">
        <v>41657</v>
      </c>
      <c r="D7" s="21" t="n">
        <v>41660</v>
      </c>
      <c r="E7" s="20" t="s">
        <v>90</v>
      </c>
      <c r="F7" s="20" t="s">
        <v>94</v>
      </c>
      <c r="G7" s="20" t="s">
        <v>95</v>
      </c>
      <c r="H7" s="20" t="s">
        <v>61</v>
      </c>
      <c r="I7" s="20" t="s">
        <v>62</v>
      </c>
      <c r="J7" s="20" t="s">
        <v>63</v>
      </c>
      <c r="K7" s="20" t="s">
        <v>96</v>
      </c>
      <c r="L7" s="20" t="n">
        <v>45649</v>
      </c>
      <c r="M7" s="20" t="s">
        <v>97</v>
      </c>
      <c r="N7" s="20" t="s">
        <v>98</v>
      </c>
      <c r="O7" s="20" t="s">
        <v>67</v>
      </c>
      <c r="P7" s="20" t="s">
        <v>68</v>
      </c>
      <c r="Q7" s="20" t="s">
        <v>99</v>
      </c>
      <c r="R7" s="22" t="n">
        <v>7175.28</v>
      </c>
      <c r="S7" s="20" t="n">
        <v>7</v>
      </c>
      <c r="T7" s="20" t="n">
        <v>0.3</v>
      </c>
      <c r="U7" s="22" t="n">
        <v>1208.02</v>
      </c>
      <c r="V7" s="23" t="n">
        <f aca="false">IF(ISNUMBER(C7),YEAR(C7),"")</f>
        <v>2014</v>
      </c>
      <c r="W7" s="23" t="n">
        <f aca="false">IF(ISNUMBER(C7),MONTH(C7),"")</f>
        <v>1</v>
      </c>
      <c r="X7" s="23" t="str">
        <f aca="false">IF(T7="","",IF(T7=0,"No discount",IF(T7&lt;=0.2,"Low (1-20%)",IF(T7&lt;=0.4,"Medium (21-40%)","High (&gt;40%)"))))</f>
        <v>Medium (21-40%)</v>
      </c>
      <c r="Y7" s="23" t="n">
        <f aca="false">IF(AND(ISNUMBER(C7),ISNUMBER(D7)),D7-C7,"")</f>
        <v>3</v>
      </c>
      <c r="Z7" s="23" t="n">
        <f aca="false">IF(B7="","",IF(MATCH(B7,$B$2:$B$12000,0)=ROW()-1,1,0))</f>
        <v>1</v>
      </c>
    </row>
    <row r="8" customFormat="false" ht="15" hidden="false" customHeight="false" outlineLevel="0" collapsed="false">
      <c r="A8" s="20" t="n">
        <v>7</v>
      </c>
      <c r="B8" s="20" t="s">
        <v>93</v>
      </c>
      <c r="C8" s="21" t="n">
        <v>41657</v>
      </c>
      <c r="D8" s="21" t="n">
        <v>41660</v>
      </c>
      <c r="E8" s="20" t="s">
        <v>58</v>
      </c>
      <c r="F8" s="20" t="s">
        <v>94</v>
      </c>
      <c r="G8" s="20" t="s">
        <v>95</v>
      </c>
      <c r="H8" s="20" t="s">
        <v>61</v>
      </c>
      <c r="I8" s="20" t="s">
        <v>62</v>
      </c>
      <c r="J8" s="20" t="s">
        <v>63</v>
      </c>
      <c r="K8" s="20" t="s">
        <v>96</v>
      </c>
      <c r="L8" s="20" t="n">
        <v>59371</v>
      </c>
      <c r="M8" s="20" t="s">
        <v>97</v>
      </c>
      <c r="N8" s="20" t="s">
        <v>100</v>
      </c>
      <c r="O8" s="20" t="s">
        <v>76</v>
      </c>
      <c r="P8" s="20" t="s">
        <v>101</v>
      </c>
      <c r="Q8" s="20" t="s">
        <v>102</v>
      </c>
      <c r="R8" s="22" t="n">
        <v>25.64</v>
      </c>
      <c r="S8" s="20" t="n">
        <v>1</v>
      </c>
      <c r="T8" s="20" t="n">
        <v>0</v>
      </c>
      <c r="U8" s="22" t="n">
        <v>9.77</v>
      </c>
      <c r="V8" s="23" t="n">
        <f aca="false">IF(ISNUMBER(C8),YEAR(C8),"")</f>
        <v>2014</v>
      </c>
      <c r="W8" s="23" t="n">
        <f aca="false">IF(ISNUMBER(C8),MONTH(C8),"")</f>
        <v>1</v>
      </c>
      <c r="X8" s="23" t="str">
        <f aca="false">IF(T8="","",IF(T8=0,"No discount",IF(T8&lt;=0.2,"Low (1-20%)",IF(T8&lt;=0.4,"Medium (21-40%)","High (&gt;40%)"))))</f>
        <v>No discount</v>
      </c>
      <c r="Y8" s="23" t="n">
        <f aca="false">IF(AND(ISNUMBER(C8),ISNUMBER(D8)),D8-C8,"")</f>
        <v>3</v>
      </c>
      <c r="Z8" s="23" t="n">
        <f aca="false">IF(B8="","",IF(MATCH(B8,$B$2:$B$12000,0)=ROW()-1,1,0))</f>
        <v>0</v>
      </c>
    </row>
    <row r="9" customFormat="false" ht="15" hidden="false" customHeight="false" outlineLevel="0" collapsed="false">
      <c r="A9" s="20" t="n">
        <v>8</v>
      </c>
      <c r="B9" s="20" t="s">
        <v>103</v>
      </c>
      <c r="C9" s="21" t="n">
        <v>41660</v>
      </c>
      <c r="D9" s="21" t="n">
        <v>41667</v>
      </c>
      <c r="E9" s="20" t="s">
        <v>104</v>
      </c>
      <c r="F9" s="20" t="s">
        <v>59</v>
      </c>
      <c r="G9" s="20" t="s">
        <v>60</v>
      </c>
      <c r="H9" s="20" t="s">
        <v>61</v>
      </c>
      <c r="I9" s="20" t="s">
        <v>62</v>
      </c>
      <c r="J9" s="20" t="s">
        <v>63</v>
      </c>
      <c r="K9" s="20" t="s">
        <v>64</v>
      </c>
      <c r="L9" s="20" t="n">
        <v>65377</v>
      </c>
      <c r="M9" s="20" t="s">
        <v>65</v>
      </c>
      <c r="N9" s="20" t="s">
        <v>105</v>
      </c>
      <c r="O9" s="20" t="s">
        <v>67</v>
      </c>
      <c r="P9" s="20" t="s">
        <v>106</v>
      </c>
      <c r="Q9" s="20" t="s">
        <v>107</v>
      </c>
      <c r="R9" s="22" t="n">
        <v>1718.26</v>
      </c>
      <c r="S9" s="20" t="n">
        <v>5</v>
      </c>
      <c r="T9" s="20" t="n">
        <v>0</v>
      </c>
      <c r="U9" s="22" t="n">
        <v>342.54</v>
      </c>
      <c r="V9" s="23" t="n">
        <f aca="false">IF(ISNUMBER(C9),YEAR(C9),"")</f>
        <v>2014</v>
      </c>
      <c r="W9" s="23" t="n">
        <f aca="false">IF(ISNUMBER(C9),MONTH(C9),"")</f>
        <v>1</v>
      </c>
      <c r="X9" s="23" t="str">
        <f aca="false">IF(T9="","",IF(T9=0,"No discount",IF(T9&lt;=0.2,"Low (1-20%)",IF(T9&lt;=0.4,"Medium (21-40%)","High (&gt;40%)"))))</f>
        <v>No discount</v>
      </c>
      <c r="Y9" s="23" t="n">
        <f aca="false">IF(AND(ISNUMBER(C9),ISNUMBER(D9)),D9-C9,"")</f>
        <v>7</v>
      </c>
      <c r="Z9" s="23" t="n">
        <f aca="false">IF(B9="","",IF(MATCH(B9,$B$2:$B$12000,0)=ROW()-1,1,0))</f>
        <v>1</v>
      </c>
    </row>
    <row r="10" customFormat="false" ht="15" hidden="false" customHeight="false" outlineLevel="0" collapsed="false">
      <c r="A10" s="20" t="n">
        <v>9</v>
      </c>
      <c r="B10" s="20" t="s">
        <v>108</v>
      </c>
      <c r="C10" s="21" t="n">
        <v>41666</v>
      </c>
      <c r="D10" s="21" t="n">
        <v>41673</v>
      </c>
      <c r="E10" s="20" t="s">
        <v>90</v>
      </c>
      <c r="F10" s="20" t="s">
        <v>109</v>
      </c>
      <c r="G10" s="20" t="s">
        <v>110</v>
      </c>
      <c r="H10" s="20" t="s">
        <v>85</v>
      </c>
      <c r="I10" s="20" t="s">
        <v>62</v>
      </c>
      <c r="J10" s="20" t="s">
        <v>63</v>
      </c>
      <c r="K10" s="20" t="s">
        <v>111</v>
      </c>
      <c r="L10" s="20" t="n">
        <v>55462</v>
      </c>
      <c r="M10" s="20" t="s">
        <v>112</v>
      </c>
      <c r="N10" s="20" t="s">
        <v>113</v>
      </c>
      <c r="O10" s="20" t="s">
        <v>114</v>
      </c>
      <c r="P10" s="20" t="s">
        <v>115</v>
      </c>
      <c r="Q10" s="20" t="s">
        <v>116</v>
      </c>
      <c r="R10" s="22" t="n">
        <v>1850.1</v>
      </c>
      <c r="S10" s="20" t="n">
        <v>3</v>
      </c>
      <c r="T10" s="20" t="n">
        <v>0.1</v>
      </c>
      <c r="U10" s="22" t="n">
        <v>108.11</v>
      </c>
      <c r="V10" s="23" t="n">
        <f aca="false">IF(ISNUMBER(C10),YEAR(C10),"")</f>
        <v>2014</v>
      </c>
      <c r="W10" s="23" t="n">
        <f aca="false">IF(ISNUMBER(C10),MONTH(C10),"")</f>
        <v>1</v>
      </c>
      <c r="X10" s="23" t="str">
        <f aca="false">IF(T10="","",IF(T10=0,"No discount",IF(T10&lt;=0.2,"Low (1-20%)",IF(T10&lt;=0.4,"Medium (21-40%)","High (&gt;40%)"))))</f>
        <v>Low (1-20%)</v>
      </c>
      <c r="Y10" s="23" t="n">
        <f aca="false">IF(AND(ISNUMBER(C10),ISNUMBER(D10)),D10-C10,"")</f>
        <v>7</v>
      </c>
      <c r="Z10" s="23" t="n">
        <f aca="false">IF(B10="","",IF(MATCH(B10,$B$2:$B$12000,0)=ROW()-1,1,0))</f>
        <v>1</v>
      </c>
    </row>
    <row r="11" customFormat="false" ht="15" hidden="false" customHeight="false" outlineLevel="0" collapsed="false">
      <c r="A11" s="20" t="n">
        <v>10</v>
      </c>
      <c r="B11" s="20" t="s">
        <v>117</v>
      </c>
      <c r="C11" s="21" t="n">
        <v>41671</v>
      </c>
      <c r="D11" s="21" t="n">
        <v>41675</v>
      </c>
      <c r="E11" s="20" t="s">
        <v>90</v>
      </c>
      <c r="F11" s="20" t="s">
        <v>118</v>
      </c>
      <c r="G11" s="20" t="s">
        <v>119</v>
      </c>
      <c r="H11" s="20" t="s">
        <v>61</v>
      </c>
      <c r="I11" s="20" t="s">
        <v>62</v>
      </c>
      <c r="J11" s="20" t="s">
        <v>63</v>
      </c>
      <c r="K11" s="20" t="s">
        <v>120</v>
      </c>
      <c r="L11" s="20" t="n">
        <v>70990</v>
      </c>
      <c r="M11" s="20" t="s">
        <v>112</v>
      </c>
      <c r="N11" s="20" t="s">
        <v>121</v>
      </c>
      <c r="O11" s="20" t="s">
        <v>76</v>
      </c>
      <c r="P11" s="20" t="s">
        <v>122</v>
      </c>
      <c r="Q11" s="20" t="s">
        <v>123</v>
      </c>
      <c r="R11" s="22" t="n">
        <v>138.17</v>
      </c>
      <c r="S11" s="20" t="n">
        <v>4</v>
      </c>
      <c r="T11" s="20" t="n">
        <v>0.1</v>
      </c>
      <c r="U11" s="22" t="n">
        <v>31.75</v>
      </c>
      <c r="V11" s="23" t="n">
        <f aca="false">IF(ISNUMBER(C11),YEAR(C11),"")</f>
        <v>2014</v>
      </c>
      <c r="W11" s="23" t="n">
        <f aca="false">IF(ISNUMBER(C11),MONTH(C11),"")</f>
        <v>2</v>
      </c>
      <c r="X11" s="23" t="str">
        <f aca="false">IF(T11="","",IF(T11=0,"No discount",IF(T11&lt;=0.2,"Low (1-20%)",IF(T11&lt;=0.4,"Medium (21-40%)","High (&gt;40%)"))))</f>
        <v>Low (1-20%)</v>
      </c>
      <c r="Y11" s="23" t="n">
        <f aca="false">IF(AND(ISNUMBER(C11),ISNUMBER(D11)),D11-C11,"")</f>
        <v>4</v>
      </c>
      <c r="Z11" s="23" t="n">
        <f aca="false">IF(B11="","",IF(MATCH(B11,$B$2:$B$12000,0)=ROW()-1,1,0))</f>
        <v>1</v>
      </c>
    </row>
    <row r="12" customFormat="false" ht="15" hidden="false" customHeight="false" outlineLevel="0" collapsed="false">
      <c r="A12" s="20" t="n">
        <v>11</v>
      </c>
      <c r="B12" s="20" t="s">
        <v>124</v>
      </c>
      <c r="C12" s="21" t="n">
        <v>41672</v>
      </c>
      <c r="D12" s="21" t="n">
        <v>41673</v>
      </c>
      <c r="E12" s="20" t="s">
        <v>104</v>
      </c>
      <c r="F12" s="20" t="s">
        <v>125</v>
      </c>
      <c r="G12" s="20" t="s">
        <v>126</v>
      </c>
      <c r="H12" s="20" t="s">
        <v>61</v>
      </c>
      <c r="I12" s="20" t="s">
        <v>62</v>
      </c>
      <c r="J12" s="20" t="s">
        <v>63</v>
      </c>
      <c r="K12" s="20" t="s">
        <v>111</v>
      </c>
      <c r="L12" s="20" t="n">
        <v>78401</v>
      </c>
      <c r="M12" s="20" t="s">
        <v>112</v>
      </c>
      <c r="N12" s="20" t="s">
        <v>127</v>
      </c>
      <c r="O12" s="20" t="s">
        <v>76</v>
      </c>
      <c r="P12" s="20" t="s">
        <v>128</v>
      </c>
      <c r="Q12" s="20" t="s">
        <v>129</v>
      </c>
      <c r="R12" s="22" t="n">
        <v>293.85</v>
      </c>
      <c r="S12" s="20" t="n">
        <v>2</v>
      </c>
      <c r="T12" s="20" t="n">
        <v>0.4</v>
      </c>
      <c r="U12" s="22" t="n">
        <v>-39.65</v>
      </c>
      <c r="V12" s="23" t="n">
        <f aca="false">IF(ISNUMBER(C12),YEAR(C12),"")</f>
        <v>2014</v>
      </c>
      <c r="W12" s="23" t="n">
        <f aca="false">IF(ISNUMBER(C12),MONTH(C12),"")</f>
        <v>2</v>
      </c>
      <c r="X12" s="23" t="str">
        <f aca="false">IF(T12="","",IF(T12=0,"No discount",IF(T12&lt;=0.2,"Low (1-20%)",IF(T12&lt;=0.4,"Medium (21-40%)","High (&gt;40%)"))))</f>
        <v>Medium (21-40%)</v>
      </c>
      <c r="Y12" s="23" t="n">
        <f aca="false">IF(AND(ISNUMBER(C12),ISNUMBER(D12)),D12-C12,"")</f>
        <v>1</v>
      </c>
      <c r="Z12" s="23" t="n">
        <f aca="false">IF(B12="","",IF(MATCH(B12,$B$2:$B$12000,0)=ROW()-1,1,0))</f>
        <v>1</v>
      </c>
    </row>
    <row r="13" customFormat="false" ht="15" hidden="false" customHeight="false" outlineLevel="0" collapsed="false">
      <c r="A13" s="20" t="n">
        <v>12</v>
      </c>
      <c r="B13" s="20" t="s">
        <v>130</v>
      </c>
      <c r="C13" s="21" t="n">
        <v>41679</v>
      </c>
      <c r="D13" s="21" t="n">
        <v>41681</v>
      </c>
      <c r="E13" s="20" t="s">
        <v>104</v>
      </c>
      <c r="F13" s="20" t="s">
        <v>131</v>
      </c>
      <c r="G13" s="20" t="s">
        <v>132</v>
      </c>
      <c r="H13" s="20" t="s">
        <v>85</v>
      </c>
      <c r="I13" s="20" t="s">
        <v>62</v>
      </c>
      <c r="J13" s="20" t="s">
        <v>63</v>
      </c>
      <c r="K13" s="20" t="s">
        <v>133</v>
      </c>
      <c r="L13" s="20" t="n">
        <v>57556</v>
      </c>
      <c r="M13" s="20" t="s">
        <v>97</v>
      </c>
      <c r="N13" s="20" t="s">
        <v>134</v>
      </c>
      <c r="O13" s="20" t="s">
        <v>114</v>
      </c>
      <c r="P13" s="20" t="s">
        <v>115</v>
      </c>
      <c r="Q13" s="20" t="s">
        <v>135</v>
      </c>
      <c r="R13" s="22" t="n">
        <v>1167.04</v>
      </c>
      <c r="S13" s="20" t="n">
        <v>2</v>
      </c>
      <c r="T13" s="20" t="n">
        <v>0</v>
      </c>
      <c r="U13" s="22" t="n">
        <v>74.63</v>
      </c>
      <c r="V13" s="23" t="n">
        <f aca="false">IF(ISNUMBER(C13),YEAR(C13),"")</f>
        <v>2014</v>
      </c>
      <c r="W13" s="23" t="n">
        <f aca="false">IF(ISNUMBER(C13),MONTH(C13),"")</f>
        <v>2</v>
      </c>
      <c r="X13" s="23" t="str">
        <f aca="false">IF(T13="","",IF(T13=0,"No discount",IF(T13&lt;=0.2,"Low (1-20%)",IF(T13&lt;=0.4,"Medium (21-40%)","High (&gt;40%)"))))</f>
        <v>No discount</v>
      </c>
      <c r="Y13" s="23" t="n">
        <f aca="false">IF(AND(ISNUMBER(C13),ISNUMBER(D13)),D13-C13,"")</f>
        <v>2</v>
      </c>
      <c r="Z13" s="23" t="n">
        <f aca="false">IF(B13="","",IF(MATCH(B13,$B$2:$B$12000,0)=ROW()-1,1,0))</f>
        <v>1</v>
      </c>
    </row>
    <row r="14" customFormat="false" ht="15" hidden="false" customHeight="false" outlineLevel="0" collapsed="false">
      <c r="A14" s="20" t="n">
        <v>13</v>
      </c>
      <c r="B14" s="20" t="s">
        <v>130</v>
      </c>
      <c r="C14" s="21" t="n">
        <v>41679</v>
      </c>
      <c r="D14" s="21" t="n">
        <v>41681</v>
      </c>
      <c r="E14" s="20" t="s">
        <v>104</v>
      </c>
      <c r="F14" s="20" t="s">
        <v>131</v>
      </c>
      <c r="G14" s="20" t="s">
        <v>132</v>
      </c>
      <c r="H14" s="20" t="s">
        <v>85</v>
      </c>
      <c r="I14" s="20" t="s">
        <v>62</v>
      </c>
      <c r="J14" s="20" t="s">
        <v>63</v>
      </c>
      <c r="K14" s="20" t="s">
        <v>133</v>
      </c>
      <c r="L14" s="20" t="n">
        <v>92934</v>
      </c>
      <c r="M14" s="20" t="s">
        <v>97</v>
      </c>
      <c r="N14" s="20" t="s">
        <v>136</v>
      </c>
      <c r="O14" s="20" t="s">
        <v>76</v>
      </c>
      <c r="P14" s="20" t="s">
        <v>80</v>
      </c>
      <c r="Q14" s="20" t="s">
        <v>137</v>
      </c>
      <c r="R14" s="22" t="n">
        <v>370.59</v>
      </c>
      <c r="S14" s="20" t="n">
        <v>4</v>
      </c>
      <c r="T14" s="20" t="n">
        <v>0</v>
      </c>
      <c r="U14" s="22" t="n">
        <v>74.03</v>
      </c>
      <c r="V14" s="23" t="n">
        <f aca="false">IF(ISNUMBER(C14),YEAR(C14),"")</f>
        <v>2014</v>
      </c>
      <c r="W14" s="23" t="n">
        <f aca="false">IF(ISNUMBER(C14),MONTH(C14),"")</f>
        <v>2</v>
      </c>
      <c r="X14" s="23" t="str">
        <f aca="false">IF(T14="","",IF(T14=0,"No discount",IF(T14&lt;=0.2,"Low (1-20%)",IF(T14&lt;=0.4,"Medium (21-40%)","High (&gt;40%)"))))</f>
        <v>No discount</v>
      </c>
      <c r="Y14" s="23" t="n">
        <f aca="false">IF(AND(ISNUMBER(C14),ISNUMBER(D14)),D14-C14,"")</f>
        <v>2</v>
      </c>
      <c r="Z14" s="23" t="n">
        <f aca="false">IF(B14="","",IF(MATCH(B14,$B$2:$B$12000,0)=ROW()-1,1,0))</f>
        <v>0</v>
      </c>
    </row>
    <row r="15" customFormat="false" ht="15" hidden="false" customHeight="false" outlineLevel="0" collapsed="false">
      <c r="A15" s="20" t="n">
        <v>14</v>
      </c>
      <c r="B15" s="20" t="s">
        <v>130</v>
      </c>
      <c r="C15" s="21" t="n">
        <v>41679</v>
      </c>
      <c r="D15" s="21" t="n">
        <v>41681</v>
      </c>
      <c r="E15" s="20" t="s">
        <v>71</v>
      </c>
      <c r="F15" s="20" t="s">
        <v>131</v>
      </c>
      <c r="G15" s="20" t="s">
        <v>132</v>
      </c>
      <c r="H15" s="20" t="s">
        <v>85</v>
      </c>
      <c r="I15" s="20" t="s">
        <v>62</v>
      </c>
      <c r="J15" s="20" t="s">
        <v>63</v>
      </c>
      <c r="K15" s="20" t="s">
        <v>133</v>
      </c>
      <c r="L15" s="20" t="n">
        <v>22331</v>
      </c>
      <c r="M15" s="20" t="s">
        <v>97</v>
      </c>
      <c r="N15" s="20" t="s">
        <v>138</v>
      </c>
      <c r="O15" s="20" t="s">
        <v>114</v>
      </c>
      <c r="P15" s="20" t="s">
        <v>139</v>
      </c>
      <c r="Q15" s="20" t="s">
        <v>140</v>
      </c>
      <c r="R15" s="22" t="n">
        <v>2072.28</v>
      </c>
      <c r="S15" s="20" t="n">
        <v>6</v>
      </c>
      <c r="T15" s="20" t="n">
        <v>0.1</v>
      </c>
      <c r="U15" s="22" t="n">
        <v>-74.1</v>
      </c>
      <c r="V15" s="23" t="n">
        <f aca="false">IF(ISNUMBER(C15),YEAR(C15),"")</f>
        <v>2014</v>
      </c>
      <c r="W15" s="23" t="n">
        <f aca="false">IF(ISNUMBER(C15),MONTH(C15),"")</f>
        <v>2</v>
      </c>
      <c r="X15" s="23" t="str">
        <f aca="false">IF(T15="","",IF(T15=0,"No discount",IF(T15&lt;=0.2,"Low (1-20%)",IF(T15&lt;=0.4,"Medium (21-40%)","High (&gt;40%)"))))</f>
        <v>Low (1-20%)</v>
      </c>
      <c r="Y15" s="23" t="n">
        <f aca="false">IF(AND(ISNUMBER(C15),ISNUMBER(D15)),D15-C15,"")</f>
        <v>2</v>
      </c>
      <c r="Z15" s="23" t="n">
        <f aca="false">IF(B15="","",IF(MATCH(B15,$B$2:$B$12000,0)=ROW()-1,1,0))</f>
        <v>0</v>
      </c>
    </row>
    <row r="16" customFormat="false" ht="15" hidden="false" customHeight="false" outlineLevel="0" collapsed="false">
      <c r="A16" s="20" t="n">
        <v>15</v>
      </c>
      <c r="B16" s="20" t="s">
        <v>130</v>
      </c>
      <c r="C16" s="21" t="n">
        <v>41679</v>
      </c>
      <c r="D16" s="21" t="n">
        <v>41681</v>
      </c>
      <c r="E16" s="20" t="s">
        <v>90</v>
      </c>
      <c r="F16" s="20" t="s">
        <v>131</v>
      </c>
      <c r="G16" s="20" t="s">
        <v>132</v>
      </c>
      <c r="H16" s="20" t="s">
        <v>85</v>
      </c>
      <c r="I16" s="20" t="s">
        <v>62</v>
      </c>
      <c r="J16" s="20" t="s">
        <v>63</v>
      </c>
      <c r="K16" s="20" t="s">
        <v>133</v>
      </c>
      <c r="L16" s="20" t="n">
        <v>87741</v>
      </c>
      <c r="M16" s="20" t="s">
        <v>97</v>
      </c>
      <c r="N16" s="20" t="s">
        <v>141</v>
      </c>
      <c r="O16" s="20" t="s">
        <v>67</v>
      </c>
      <c r="P16" s="20" t="s">
        <v>106</v>
      </c>
      <c r="Q16" s="20" t="s">
        <v>142</v>
      </c>
      <c r="R16" s="22" t="n">
        <v>3020.06</v>
      </c>
      <c r="S16" s="20" t="n">
        <v>4</v>
      </c>
      <c r="T16" s="20" t="n">
        <v>0.1</v>
      </c>
      <c r="U16" s="22" t="n">
        <v>259.09</v>
      </c>
      <c r="V16" s="23" t="n">
        <f aca="false">IF(ISNUMBER(C16),YEAR(C16),"")</f>
        <v>2014</v>
      </c>
      <c r="W16" s="23" t="n">
        <f aca="false">IF(ISNUMBER(C16),MONTH(C16),"")</f>
        <v>2</v>
      </c>
      <c r="X16" s="23" t="str">
        <f aca="false">IF(T16="","",IF(T16=0,"No discount",IF(T16&lt;=0.2,"Low (1-20%)",IF(T16&lt;=0.4,"Medium (21-40%)","High (&gt;40%)"))))</f>
        <v>Low (1-20%)</v>
      </c>
      <c r="Y16" s="23" t="n">
        <f aca="false">IF(AND(ISNUMBER(C16),ISNUMBER(D16)),D16-C16,"")</f>
        <v>2</v>
      </c>
      <c r="Z16" s="23" t="n">
        <f aca="false">IF(B16="","",IF(MATCH(B16,$B$2:$B$12000,0)=ROW()-1,1,0))</f>
        <v>0</v>
      </c>
    </row>
    <row r="17" customFormat="false" ht="15" hidden="false" customHeight="false" outlineLevel="0" collapsed="false">
      <c r="A17" s="20" t="n">
        <v>16</v>
      </c>
      <c r="B17" s="20" t="s">
        <v>143</v>
      </c>
      <c r="C17" s="21" t="n">
        <v>41682</v>
      </c>
      <c r="D17" s="21" t="n">
        <v>41685</v>
      </c>
      <c r="E17" s="20" t="s">
        <v>71</v>
      </c>
      <c r="F17" s="20" t="s">
        <v>144</v>
      </c>
      <c r="G17" s="20" t="s">
        <v>145</v>
      </c>
      <c r="H17" s="20" t="s">
        <v>85</v>
      </c>
      <c r="I17" s="20" t="s">
        <v>62</v>
      </c>
      <c r="J17" s="20" t="s">
        <v>63</v>
      </c>
      <c r="K17" s="20" t="s">
        <v>146</v>
      </c>
      <c r="L17" s="20" t="n">
        <v>83056</v>
      </c>
      <c r="M17" s="20" t="s">
        <v>65</v>
      </c>
      <c r="N17" s="20" t="s">
        <v>147</v>
      </c>
      <c r="O17" s="20" t="s">
        <v>114</v>
      </c>
      <c r="P17" s="20" t="s">
        <v>115</v>
      </c>
      <c r="Q17" s="20" t="s">
        <v>148</v>
      </c>
      <c r="R17" s="22" t="n">
        <v>815.58</v>
      </c>
      <c r="S17" s="20" t="n">
        <v>7</v>
      </c>
      <c r="T17" s="20" t="n">
        <v>0</v>
      </c>
      <c r="U17" s="22" t="n">
        <v>99.67</v>
      </c>
      <c r="V17" s="23" t="n">
        <f aca="false">IF(ISNUMBER(C17),YEAR(C17),"")</f>
        <v>2014</v>
      </c>
      <c r="W17" s="23" t="n">
        <f aca="false">IF(ISNUMBER(C17),MONTH(C17),"")</f>
        <v>2</v>
      </c>
      <c r="X17" s="23" t="str">
        <f aca="false">IF(T17="","",IF(T17=0,"No discount",IF(T17&lt;=0.2,"Low (1-20%)",IF(T17&lt;=0.4,"Medium (21-40%)","High (&gt;40%)"))))</f>
        <v>No discount</v>
      </c>
      <c r="Y17" s="23" t="n">
        <f aca="false">IF(AND(ISNUMBER(C17),ISNUMBER(D17)),D17-C17,"")</f>
        <v>3</v>
      </c>
      <c r="Z17" s="23" t="n">
        <f aca="false">IF(B17="","",IF(MATCH(B17,$B$2:$B$12000,0)=ROW()-1,1,0))</f>
        <v>1</v>
      </c>
    </row>
    <row r="18" customFormat="false" ht="15" hidden="false" customHeight="false" outlineLevel="0" collapsed="false">
      <c r="A18" s="20" t="n">
        <v>17</v>
      </c>
      <c r="B18" s="20" t="s">
        <v>143</v>
      </c>
      <c r="C18" s="21" t="n">
        <v>41682</v>
      </c>
      <c r="D18" s="21" t="n">
        <v>41685</v>
      </c>
      <c r="E18" s="20" t="s">
        <v>58</v>
      </c>
      <c r="F18" s="20" t="s">
        <v>144</v>
      </c>
      <c r="G18" s="20" t="s">
        <v>145</v>
      </c>
      <c r="H18" s="20" t="s">
        <v>85</v>
      </c>
      <c r="I18" s="20" t="s">
        <v>62</v>
      </c>
      <c r="J18" s="20" t="s">
        <v>63</v>
      </c>
      <c r="K18" s="20" t="s">
        <v>146</v>
      </c>
      <c r="L18" s="20" t="n">
        <v>93969</v>
      </c>
      <c r="M18" s="20" t="s">
        <v>65</v>
      </c>
      <c r="N18" s="20" t="s">
        <v>149</v>
      </c>
      <c r="O18" s="20" t="s">
        <v>76</v>
      </c>
      <c r="P18" s="20" t="s">
        <v>77</v>
      </c>
      <c r="Q18" s="20" t="s">
        <v>150</v>
      </c>
      <c r="R18" s="22" t="n">
        <v>306.95</v>
      </c>
      <c r="S18" s="20" t="n">
        <v>7</v>
      </c>
      <c r="T18" s="20" t="n">
        <v>0</v>
      </c>
      <c r="U18" s="22" t="n">
        <v>88.09</v>
      </c>
      <c r="V18" s="23" t="n">
        <f aca="false">IF(ISNUMBER(C18),YEAR(C18),"")</f>
        <v>2014</v>
      </c>
      <c r="W18" s="23" t="n">
        <f aca="false">IF(ISNUMBER(C18),MONTH(C18),"")</f>
        <v>2</v>
      </c>
      <c r="X18" s="23" t="str">
        <f aca="false">IF(T18="","",IF(T18=0,"No discount",IF(T18&lt;=0.2,"Low (1-20%)",IF(T18&lt;=0.4,"Medium (21-40%)","High (&gt;40%)"))))</f>
        <v>No discount</v>
      </c>
      <c r="Y18" s="23" t="n">
        <f aca="false">IF(AND(ISNUMBER(C18),ISNUMBER(D18)),D18-C18,"")</f>
        <v>3</v>
      </c>
      <c r="Z18" s="23" t="n">
        <f aca="false">IF(B18="","",IF(MATCH(B18,$B$2:$B$12000,0)=ROW()-1,1,0))</f>
        <v>0</v>
      </c>
    </row>
    <row r="19" customFormat="false" ht="15" hidden="false" customHeight="false" outlineLevel="0" collapsed="false">
      <c r="A19" s="20" t="n">
        <v>18</v>
      </c>
      <c r="B19" s="20" t="s">
        <v>151</v>
      </c>
      <c r="C19" s="21" t="n">
        <v>41684</v>
      </c>
      <c r="D19" s="21" t="n">
        <v>41686</v>
      </c>
      <c r="E19" s="20" t="s">
        <v>58</v>
      </c>
      <c r="F19" s="20" t="s">
        <v>131</v>
      </c>
      <c r="G19" s="20" t="s">
        <v>132</v>
      </c>
      <c r="H19" s="20" t="s">
        <v>85</v>
      </c>
      <c r="I19" s="20" t="s">
        <v>62</v>
      </c>
      <c r="J19" s="20" t="s">
        <v>63</v>
      </c>
      <c r="K19" s="20" t="s">
        <v>152</v>
      </c>
      <c r="L19" s="20" t="n">
        <v>32560</v>
      </c>
      <c r="M19" s="20" t="s">
        <v>153</v>
      </c>
      <c r="N19" s="20" t="s">
        <v>154</v>
      </c>
      <c r="O19" s="20" t="s">
        <v>76</v>
      </c>
      <c r="P19" s="20" t="s">
        <v>80</v>
      </c>
      <c r="Q19" s="20" t="s">
        <v>155</v>
      </c>
      <c r="R19" s="22" t="n">
        <v>595.28</v>
      </c>
      <c r="S19" s="20" t="n">
        <v>6</v>
      </c>
      <c r="T19" s="20" t="n">
        <v>0</v>
      </c>
      <c r="U19" s="22" t="n">
        <v>192.55</v>
      </c>
      <c r="V19" s="23" t="n">
        <f aca="false">IF(ISNUMBER(C19),YEAR(C19),"")</f>
        <v>2014</v>
      </c>
      <c r="W19" s="23" t="n">
        <f aca="false">IF(ISNUMBER(C19),MONTH(C19),"")</f>
        <v>2</v>
      </c>
      <c r="X19" s="23" t="str">
        <f aca="false">IF(T19="","",IF(T19=0,"No discount",IF(T19&lt;=0.2,"Low (1-20%)",IF(T19&lt;=0.4,"Medium (21-40%)","High (&gt;40%)"))))</f>
        <v>No discount</v>
      </c>
      <c r="Y19" s="23" t="n">
        <f aca="false">IF(AND(ISNUMBER(C19),ISNUMBER(D19)),D19-C19,"")</f>
        <v>2</v>
      </c>
      <c r="Z19" s="23" t="n">
        <f aca="false">IF(B19="","",IF(MATCH(B19,$B$2:$B$12000,0)=ROW()-1,1,0))</f>
        <v>1</v>
      </c>
    </row>
    <row r="20" customFormat="false" ht="15" hidden="false" customHeight="false" outlineLevel="0" collapsed="false">
      <c r="A20" s="20" t="n">
        <v>19</v>
      </c>
      <c r="B20" s="20" t="s">
        <v>151</v>
      </c>
      <c r="C20" s="21" t="n">
        <v>41684</v>
      </c>
      <c r="D20" s="21" t="n">
        <v>41686</v>
      </c>
      <c r="E20" s="20" t="s">
        <v>90</v>
      </c>
      <c r="F20" s="20" t="s">
        <v>131</v>
      </c>
      <c r="G20" s="20" t="s">
        <v>132</v>
      </c>
      <c r="H20" s="20" t="s">
        <v>85</v>
      </c>
      <c r="I20" s="20" t="s">
        <v>62</v>
      </c>
      <c r="J20" s="20" t="s">
        <v>63</v>
      </c>
      <c r="K20" s="20" t="s">
        <v>152</v>
      </c>
      <c r="L20" s="20" t="n">
        <v>17309</v>
      </c>
      <c r="M20" s="20" t="s">
        <v>153</v>
      </c>
      <c r="N20" s="20" t="s">
        <v>156</v>
      </c>
      <c r="O20" s="20" t="s">
        <v>67</v>
      </c>
      <c r="P20" s="20" t="s">
        <v>157</v>
      </c>
      <c r="Q20" s="20" t="s">
        <v>158</v>
      </c>
      <c r="R20" s="22" t="n">
        <v>71.9</v>
      </c>
      <c r="S20" s="20" t="n">
        <v>1</v>
      </c>
      <c r="T20" s="20" t="n">
        <v>0</v>
      </c>
      <c r="U20" s="22" t="n">
        <v>12.1</v>
      </c>
      <c r="V20" s="23" t="n">
        <f aca="false">IF(ISNUMBER(C20),YEAR(C20),"")</f>
        <v>2014</v>
      </c>
      <c r="W20" s="23" t="n">
        <f aca="false">IF(ISNUMBER(C20),MONTH(C20),"")</f>
        <v>2</v>
      </c>
      <c r="X20" s="23" t="str">
        <f aca="false">IF(T20="","",IF(T20=0,"No discount",IF(T20&lt;=0.2,"Low (1-20%)",IF(T20&lt;=0.4,"Medium (21-40%)","High (&gt;40%)"))))</f>
        <v>No discount</v>
      </c>
      <c r="Y20" s="23" t="n">
        <f aca="false">IF(AND(ISNUMBER(C20),ISNUMBER(D20)),D20-C20,"")</f>
        <v>2</v>
      </c>
      <c r="Z20" s="23" t="n">
        <f aca="false">IF(B20="","",IF(MATCH(B20,$B$2:$B$12000,0)=ROW()-1,1,0))</f>
        <v>0</v>
      </c>
    </row>
    <row r="21" customFormat="false" ht="15" hidden="false" customHeight="false" outlineLevel="0" collapsed="false">
      <c r="A21" s="20" t="n">
        <v>20</v>
      </c>
      <c r="B21" s="20" t="s">
        <v>159</v>
      </c>
      <c r="C21" s="21" t="n">
        <v>41687</v>
      </c>
      <c r="D21" s="21" t="n">
        <v>41688</v>
      </c>
      <c r="E21" s="20" t="s">
        <v>104</v>
      </c>
      <c r="F21" s="20" t="s">
        <v>160</v>
      </c>
      <c r="G21" s="20" t="s">
        <v>161</v>
      </c>
      <c r="H21" s="20" t="s">
        <v>162</v>
      </c>
      <c r="I21" s="20" t="s">
        <v>62</v>
      </c>
      <c r="J21" s="20" t="s">
        <v>63</v>
      </c>
      <c r="K21" s="20" t="s">
        <v>111</v>
      </c>
      <c r="L21" s="20" t="n">
        <v>58717</v>
      </c>
      <c r="M21" s="20" t="s">
        <v>112</v>
      </c>
      <c r="N21" s="20" t="s">
        <v>163</v>
      </c>
      <c r="O21" s="20" t="s">
        <v>67</v>
      </c>
      <c r="P21" s="20" t="s">
        <v>164</v>
      </c>
      <c r="Q21" s="20" t="s">
        <v>165</v>
      </c>
      <c r="R21" s="22" t="n">
        <v>808.91</v>
      </c>
      <c r="S21" s="20" t="n">
        <v>8</v>
      </c>
      <c r="T21" s="20" t="n">
        <v>0.7</v>
      </c>
      <c r="U21" s="22" t="n">
        <v>-304.85</v>
      </c>
      <c r="V21" s="23" t="n">
        <f aca="false">IF(ISNUMBER(C21),YEAR(C21),"")</f>
        <v>2014</v>
      </c>
      <c r="W21" s="23" t="n">
        <f aca="false">IF(ISNUMBER(C21),MONTH(C21),"")</f>
        <v>2</v>
      </c>
      <c r="X21" s="23" t="str">
        <f aca="false">IF(T21="","",IF(T21=0,"No discount",IF(T21&lt;=0.2,"Low (1-20%)",IF(T21&lt;=0.4,"Medium (21-40%)","High (&gt;40%)"))))</f>
        <v>High (&gt;40%)</v>
      </c>
      <c r="Y21" s="23" t="n">
        <f aca="false">IF(AND(ISNUMBER(C21),ISNUMBER(D21)),D21-C21,"")</f>
        <v>1</v>
      </c>
      <c r="Z21" s="23" t="n">
        <f aca="false">IF(B21="","",IF(MATCH(B21,$B$2:$B$12000,0)=ROW()-1,1,0))</f>
        <v>1</v>
      </c>
    </row>
    <row r="22" customFormat="false" ht="15" hidden="false" customHeight="false" outlineLevel="0" collapsed="false">
      <c r="A22" s="20" t="n">
        <v>21</v>
      </c>
      <c r="B22" s="20" t="s">
        <v>159</v>
      </c>
      <c r="C22" s="21" t="n">
        <v>41687</v>
      </c>
      <c r="D22" s="21" t="n">
        <v>41688</v>
      </c>
      <c r="E22" s="20" t="s">
        <v>71</v>
      </c>
      <c r="F22" s="20" t="s">
        <v>160</v>
      </c>
      <c r="G22" s="20" t="s">
        <v>161</v>
      </c>
      <c r="H22" s="20" t="s">
        <v>162</v>
      </c>
      <c r="I22" s="20" t="s">
        <v>62</v>
      </c>
      <c r="J22" s="20" t="s">
        <v>63</v>
      </c>
      <c r="K22" s="20" t="s">
        <v>111</v>
      </c>
      <c r="L22" s="20" t="n">
        <v>71328</v>
      </c>
      <c r="M22" s="20" t="s">
        <v>112</v>
      </c>
      <c r="N22" s="20" t="s">
        <v>166</v>
      </c>
      <c r="O22" s="20" t="s">
        <v>114</v>
      </c>
      <c r="P22" s="20" t="s">
        <v>167</v>
      </c>
      <c r="Q22" s="20" t="s">
        <v>168</v>
      </c>
      <c r="R22" s="22" t="n">
        <v>3562.79</v>
      </c>
      <c r="S22" s="20" t="n">
        <v>7</v>
      </c>
      <c r="T22" s="20" t="n">
        <v>0</v>
      </c>
      <c r="U22" s="22" t="n">
        <v>-145.32</v>
      </c>
      <c r="V22" s="23" t="n">
        <f aca="false">IF(ISNUMBER(C22),YEAR(C22),"")</f>
        <v>2014</v>
      </c>
      <c r="W22" s="23" t="n">
        <f aca="false">IF(ISNUMBER(C22),MONTH(C22),"")</f>
        <v>2</v>
      </c>
      <c r="X22" s="23" t="str">
        <f aca="false">IF(T22="","",IF(T22=0,"No discount",IF(T22&lt;=0.2,"Low (1-20%)",IF(T22&lt;=0.4,"Medium (21-40%)","High (&gt;40%)"))))</f>
        <v>No discount</v>
      </c>
      <c r="Y22" s="23" t="n">
        <f aca="false">IF(AND(ISNUMBER(C22),ISNUMBER(D22)),D22-C22,"")</f>
        <v>1</v>
      </c>
      <c r="Z22" s="23" t="n">
        <f aca="false">IF(B22="","",IF(MATCH(B22,$B$2:$B$12000,0)=ROW()-1,1,0))</f>
        <v>0</v>
      </c>
    </row>
    <row r="23" customFormat="false" ht="15" hidden="false" customHeight="false" outlineLevel="0" collapsed="false">
      <c r="A23" s="20" t="n">
        <v>22</v>
      </c>
      <c r="B23" s="20" t="s">
        <v>159</v>
      </c>
      <c r="C23" s="21" t="n">
        <v>41687</v>
      </c>
      <c r="D23" s="21" t="n">
        <v>41688</v>
      </c>
      <c r="E23" s="20" t="s">
        <v>58</v>
      </c>
      <c r="F23" s="20" t="s">
        <v>160</v>
      </c>
      <c r="G23" s="20" t="s">
        <v>161</v>
      </c>
      <c r="H23" s="20" t="s">
        <v>162</v>
      </c>
      <c r="I23" s="20" t="s">
        <v>62</v>
      </c>
      <c r="J23" s="20" t="s">
        <v>63</v>
      </c>
      <c r="K23" s="20" t="s">
        <v>111</v>
      </c>
      <c r="L23" s="20" t="n">
        <v>68621</v>
      </c>
      <c r="M23" s="20" t="s">
        <v>112</v>
      </c>
      <c r="N23" s="20" t="s">
        <v>169</v>
      </c>
      <c r="O23" s="20" t="s">
        <v>114</v>
      </c>
      <c r="P23" s="20" t="s">
        <v>115</v>
      </c>
      <c r="Q23" s="20" t="s">
        <v>170</v>
      </c>
      <c r="R23" s="22" t="n">
        <v>620.05</v>
      </c>
      <c r="S23" s="20" t="n">
        <v>2</v>
      </c>
      <c r="T23" s="20" t="n">
        <v>0.5</v>
      </c>
      <c r="U23" s="22" t="n">
        <v>-188.29</v>
      </c>
      <c r="V23" s="23" t="n">
        <f aca="false">IF(ISNUMBER(C23),YEAR(C23),"")</f>
        <v>2014</v>
      </c>
      <c r="W23" s="23" t="n">
        <f aca="false">IF(ISNUMBER(C23),MONTH(C23),"")</f>
        <v>2</v>
      </c>
      <c r="X23" s="23" t="str">
        <f aca="false">IF(T23="","",IF(T23=0,"No discount",IF(T23&lt;=0.2,"Low (1-20%)",IF(T23&lt;=0.4,"Medium (21-40%)","High (&gt;40%)"))))</f>
        <v>High (&gt;40%)</v>
      </c>
      <c r="Y23" s="23" t="n">
        <f aca="false">IF(AND(ISNUMBER(C23),ISNUMBER(D23)),D23-C23,"")</f>
        <v>1</v>
      </c>
      <c r="Z23" s="23" t="n">
        <f aca="false">IF(B23="","",IF(MATCH(B23,$B$2:$B$12000,0)=ROW()-1,1,0))</f>
        <v>0</v>
      </c>
    </row>
    <row r="24" customFormat="false" ht="15" hidden="false" customHeight="false" outlineLevel="0" collapsed="false">
      <c r="A24" s="20" t="n">
        <v>23</v>
      </c>
      <c r="B24" s="20" t="s">
        <v>159</v>
      </c>
      <c r="C24" s="21" t="n">
        <v>41687</v>
      </c>
      <c r="D24" s="21" t="n">
        <v>41688</v>
      </c>
      <c r="E24" s="20" t="s">
        <v>104</v>
      </c>
      <c r="F24" s="20" t="s">
        <v>160</v>
      </c>
      <c r="G24" s="20" t="s">
        <v>161</v>
      </c>
      <c r="H24" s="20" t="s">
        <v>162</v>
      </c>
      <c r="I24" s="20" t="s">
        <v>62</v>
      </c>
      <c r="J24" s="20" t="s">
        <v>63</v>
      </c>
      <c r="K24" s="20" t="s">
        <v>111</v>
      </c>
      <c r="L24" s="20" t="n">
        <v>28712</v>
      </c>
      <c r="M24" s="20" t="s">
        <v>112</v>
      </c>
      <c r="N24" s="20" t="s">
        <v>171</v>
      </c>
      <c r="O24" s="20" t="s">
        <v>76</v>
      </c>
      <c r="P24" s="20" t="s">
        <v>77</v>
      </c>
      <c r="Q24" s="20" t="s">
        <v>172</v>
      </c>
      <c r="R24" s="22" t="n">
        <v>145.54</v>
      </c>
      <c r="S24" s="20" t="n">
        <v>8</v>
      </c>
      <c r="T24" s="20" t="n">
        <v>0.2</v>
      </c>
      <c r="U24" s="22" t="n">
        <v>19.28</v>
      </c>
      <c r="V24" s="23" t="n">
        <f aca="false">IF(ISNUMBER(C24),YEAR(C24),"")</f>
        <v>2014</v>
      </c>
      <c r="W24" s="23" t="n">
        <f aca="false">IF(ISNUMBER(C24),MONTH(C24),"")</f>
        <v>2</v>
      </c>
      <c r="X24" s="23" t="str">
        <f aca="false">IF(T24="","",IF(T24=0,"No discount",IF(T24&lt;=0.2,"Low (1-20%)",IF(T24&lt;=0.4,"Medium (21-40%)","High (&gt;40%)"))))</f>
        <v>Low (1-20%)</v>
      </c>
      <c r="Y24" s="23" t="n">
        <f aca="false">IF(AND(ISNUMBER(C24),ISNUMBER(D24)),D24-C24,"")</f>
        <v>1</v>
      </c>
      <c r="Z24" s="23" t="n">
        <f aca="false">IF(B24="","",IF(MATCH(B24,$B$2:$B$12000,0)=ROW()-1,1,0))</f>
        <v>0</v>
      </c>
    </row>
    <row r="25" customFormat="false" ht="15" hidden="false" customHeight="false" outlineLevel="0" collapsed="false">
      <c r="A25" s="20" t="n">
        <v>24</v>
      </c>
      <c r="B25" s="20" t="s">
        <v>173</v>
      </c>
      <c r="C25" s="21" t="n">
        <v>41695</v>
      </c>
      <c r="D25" s="21" t="n">
        <v>41697</v>
      </c>
      <c r="E25" s="20" t="s">
        <v>104</v>
      </c>
      <c r="F25" s="20" t="s">
        <v>174</v>
      </c>
      <c r="G25" s="20" t="s">
        <v>175</v>
      </c>
      <c r="H25" s="20" t="s">
        <v>162</v>
      </c>
      <c r="I25" s="20" t="s">
        <v>62</v>
      </c>
      <c r="J25" s="20" t="s">
        <v>63</v>
      </c>
      <c r="K25" s="20" t="s">
        <v>176</v>
      </c>
      <c r="L25" s="20" t="n">
        <v>64822</v>
      </c>
      <c r="M25" s="20" t="s">
        <v>112</v>
      </c>
      <c r="N25" s="20" t="s">
        <v>177</v>
      </c>
      <c r="O25" s="20" t="s">
        <v>76</v>
      </c>
      <c r="P25" s="20" t="s">
        <v>178</v>
      </c>
      <c r="Q25" s="20" t="s">
        <v>179</v>
      </c>
      <c r="R25" s="22" t="n">
        <v>368.42</v>
      </c>
      <c r="S25" s="20" t="n">
        <v>3</v>
      </c>
      <c r="T25" s="20" t="n">
        <v>0.3</v>
      </c>
      <c r="U25" s="22" t="n">
        <v>-57.23</v>
      </c>
      <c r="V25" s="23" t="n">
        <f aca="false">IF(ISNUMBER(C25),YEAR(C25),"")</f>
        <v>2014</v>
      </c>
      <c r="W25" s="23" t="n">
        <f aca="false">IF(ISNUMBER(C25),MONTH(C25),"")</f>
        <v>2</v>
      </c>
      <c r="X25" s="23" t="str">
        <f aca="false">IF(T25="","",IF(T25=0,"No discount",IF(T25&lt;=0.2,"Low (1-20%)",IF(T25&lt;=0.4,"Medium (21-40%)","High (&gt;40%)"))))</f>
        <v>Medium (21-40%)</v>
      </c>
      <c r="Y25" s="23" t="n">
        <f aca="false">IF(AND(ISNUMBER(C25),ISNUMBER(D25)),D25-C25,"")</f>
        <v>2</v>
      </c>
      <c r="Z25" s="23" t="n">
        <f aca="false">IF(B25="","",IF(MATCH(B25,$B$2:$B$12000,0)=ROW()-1,1,0))</f>
        <v>1</v>
      </c>
    </row>
    <row r="26" customFormat="false" ht="15" hidden="false" customHeight="false" outlineLevel="0" collapsed="false">
      <c r="A26" s="20" t="n">
        <v>25</v>
      </c>
      <c r="B26" s="20" t="s">
        <v>180</v>
      </c>
      <c r="C26" s="21" t="n">
        <v>41700</v>
      </c>
      <c r="D26" s="21" t="n">
        <v>41703</v>
      </c>
      <c r="E26" s="20" t="s">
        <v>90</v>
      </c>
      <c r="F26" s="20" t="s">
        <v>181</v>
      </c>
      <c r="G26" s="20" t="s">
        <v>182</v>
      </c>
      <c r="H26" s="20" t="s">
        <v>61</v>
      </c>
      <c r="I26" s="20" t="s">
        <v>62</v>
      </c>
      <c r="J26" s="20" t="s">
        <v>63</v>
      </c>
      <c r="K26" s="20" t="s">
        <v>183</v>
      </c>
      <c r="L26" s="20" t="n">
        <v>24964</v>
      </c>
      <c r="M26" s="20" t="s">
        <v>112</v>
      </c>
      <c r="N26" s="20" t="s">
        <v>184</v>
      </c>
      <c r="O26" s="20" t="s">
        <v>76</v>
      </c>
      <c r="P26" s="20" t="s">
        <v>185</v>
      </c>
      <c r="Q26" s="20" t="s">
        <v>186</v>
      </c>
      <c r="R26" s="22" t="n">
        <v>52.41</v>
      </c>
      <c r="S26" s="20" t="n">
        <v>6</v>
      </c>
      <c r="T26" s="20" t="n">
        <v>0</v>
      </c>
      <c r="U26" s="22" t="n">
        <v>17.96</v>
      </c>
      <c r="V26" s="23" t="n">
        <f aca="false">IF(ISNUMBER(C26),YEAR(C26),"")</f>
        <v>2014</v>
      </c>
      <c r="W26" s="23" t="n">
        <f aca="false">IF(ISNUMBER(C26),MONTH(C26),"")</f>
        <v>3</v>
      </c>
      <c r="X26" s="23" t="str">
        <f aca="false">IF(T26="","",IF(T26=0,"No discount",IF(T26&lt;=0.2,"Low (1-20%)",IF(T26&lt;=0.4,"Medium (21-40%)","High (&gt;40%)"))))</f>
        <v>No discount</v>
      </c>
      <c r="Y26" s="23" t="n">
        <f aca="false">IF(AND(ISNUMBER(C26),ISNUMBER(D26)),D26-C26,"")</f>
        <v>3</v>
      </c>
      <c r="Z26" s="23" t="n">
        <f aca="false">IF(B26="","",IF(MATCH(B26,$B$2:$B$12000,0)=ROW()-1,1,0))</f>
        <v>1</v>
      </c>
    </row>
    <row r="27" customFormat="false" ht="15" hidden="false" customHeight="false" outlineLevel="0" collapsed="false">
      <c r="A27" s="20" t="n">
        <v>26</v>
      </c>
      <c r="B27" s="20" t="s">
        <v>180</v>
      </c>
      <c r="C27" s="21" t="n">
        <v>41700</v>
      </c>
      <c r="D27" s="21" t="n">
        <v>41703</v>
      </c>
      <c r="E27" s="20" t="s">
        <v>58</v>
      </c>
      <c r="F27" s="20" t="s">
        <v>181</v>
      </c>
      <c r="G27" s="20" t="s">
        <v>182</v>
      </c>
      <c r="H27" s="20" t="s">
        <v>61</v>
      </c>
      <c r="I27" s="20" t="s">
        <v>62</v>
      </c>
      <c r="J27" s="20" t="s">
        <v>63</v>
      </c>
      <c r="K27" s="20" t="s">
        <v>183</v>
      </c>
      <c r="L27" s="20" t="n">
        <v>57746</v>
      </c>
      <c r="M27" s="20" t="s">
        <v>112</v>
      </c>
      <c r="N27" s="20" t="s">
        <v>187</v>
      </c>
      <c r="O27" s="20" t="s">
        <v>114</v>
      </c>
      <c r="P27" s="20" t="s">
        <v>115</v>
      </c>
      <c r="Q27" s="20" t="s">
        <v>188</v>
      </c>
      <c r="R27" s="22" t="n">
        <v>1234.9</v>
      </c>
      <c r="S27" s="20" t="n">
        <v>8</v>
      </c>
      <c r="T27" s="20" t="n">
        <v>0.1</v>
      </c>
      <c r="U27" s="22" t="n">
        <v>92.59</v>
      </c>
      <c r="V27" s="23" t="n">
        <f aca="false">IF(ISNUMBER(C27),YEAR(C27),"")</f>
        <v>2014</v>
      </c>
      <c r="W27" s="23" t="n">
        <f aca="false">IF(ISNUMBER(C27),MONTH(C27),"")</f>
        <v>3</v>
      </c>
      <c r="X27" s="23" t="str">
        <f aca="false">IF(T27="","",IF(T27=0,"No discount",IF(T27&lt;=0.2,"Low (1-20%)",IF(T27&lt;=0.4,"Medium (21-40%)","High (&gt;40%)"))))</f>
        <v>Low (1-20%)</v>
      </c>
      <c r="Y27" s="23" t="n">
        <f aca="false">IF(AND(ISNUMBER(C27),ISNUMBER(D27)),D27-C27,"")</f>
        <v>3</v>
      </c>
      <c r="Z27" s="23" t="n">
        <f aca="false">IF(B27="","",IF(MATCH(B27,$B$2:$B$12000,0)=ROW()-1,1,0))</f>
        <v>0</v>
      </c>
    </row>
    <row r="28" customFormat="false" ht="15" hidden="false" customHeight="false" outlineLevel="0" collapsed="false">
      <c r="A28" s="20" t="n">
        <v>27</v>
      </c>
      <c r="B28" s="20" t="s">
        <v>180</v>
      </c>
      <c r="C28" s="21" t="n">
        <v>41700</v>
      </c>
      <c r="D28" s="21" t="n">
        <v>41703</v>
      </c>
      <c r="E28" s="20" t="s">
        <v>104</v>
      </c>
      <c r="F28" s="20" t="s">
        <v>181</v>
      </c>
      <c r="G28" s="20" t="s">
        <v>182</v>
      </c>
      <c r="H28" s="20" t="s">
        <v>61</v>
      </c>
      <c r="I28" s="20" t="s">
        <v>62</v>
      </c>
      <c r="J28" s="20" t="s">
        <v>63</v>
      </c>
      <c r="K28" s="20" t="s">
        <v>183</v>
      </c>
      <c r="L28" s="20" t="n">
        <v>28920</v>
      </c>
      <c r="M28" s="20" t="s">
        <v>112</v>
      </c>
      <c r="N28" s="20" t="s">
        <v>189</v>
      </c>
      <c r="O28" s="20" t="s">
        <v>67</v>
      </c>
      <c r="P28" s="20" t="s">
        <v>68</v>
      </c>
      <c r="Q28" s="20" t="s">
        <v>190</v>
      </c>
      <c r="R28" s="22" t="n">
        <v>1957.71</v>
      </c>
      <c r="S28" s="20" t="n">
        <v>2</v>
      </c>
      <c r="T28" s="20" t="n">
        <v>0.2</v>
      </c>
      <c r="U28" s="22" t="n">
        <v>379.16</v>
      </c>
      <c r="V28" s="23" t="n">
        <f aca="false">IF(ISNUMBER(C28),YEAR(C28),"")</f>
        <v>2014</v>
      </c>
      <c r="W28" s="23" t="n">
        <f aca="false">IF(ISNUMBER(C28),MONTH(C28),"")</f>
        <v>3</v>
      </c>
      <c r="X28" s="23" t="str">
        <f aca="false">IF(T28="","",IF(T28=0,"No discount",IF(T28&lt;=0.2,"Low (1-20%)",IF(T28&lt;=0.4,"Medium (21-40%)","High (&gt;40%)"))))</f>
        <v>Low (1-20%)</v>
      </c>
      <c r="Y28" s="23" t="n">
        <f aca="false">IF(AND(ISNUMBER(C28),ISNUMBER(D28)),D28-C28,"")</f>
        <v>3</v>
      </c>
      <c r="Z28" s="23" t="n">
        <f aca="false">IF(B28="","",IF(MATCH(B28,$B$2:$B$12000,0)=ROW()-1,1,0))</f>
        <v>0</v>
      </c>
    </row>
    <row r="29" customFormat="false" ht="15" hidden="false" customHeight="false" outlineLevel="0" collapsed="false">
      <c r="A29" s="20" t="n">
        <v>28</v>
      </c>
      <c r="B29" s="20" t="s">
        <v>180</v>
      </c>
      <c r="C29" s="21" t="n">
        <v>41700</v>
      </c>
      <c r="D29" s="21" t="n">
        <v>41703</v>
      </c>
      <c r="E29" s="20" t="s">
        <v>104</v>
      </c>
      <c r="F29" s="20" t="s">
        <v>181</v>
      </c>
      <c r="G29" s="20" t="s">
        <v>182</v>
      </c>
      <c r="H29" s="20" t="s">
        <v>61</v>
      </c>
      <c r="I29" s="20" t="s">
        <v>62</v>
      </c>
      <c r="J29" s="20" t="s">
        <v>63</v>
      </c>
      <c r="K29" s="20" t="s">
        <v>183</v>
      </c>
      <c r="L29" s="20" t="n">
        <v>34355</v>
      </c>
      <c r="M29" s="20" t="s">
        <v>112</v>
      </c>
      <c r="N29" s="20" t="s">
        <v>191</v>
      </c>
      <c r="O29" s="20" t="s">
        <v>76</v>
      </c>
      <c r="P29" s="20" t="s">
        <v>101</v>
      </c>
      <c r="Q29" s="20" t="s">
        <v>192</v>
      </c>
      <c r="R29" s="22" t="n">
        <v>8.55</v>
      </c>
      <c r="S29" s="20" t="n">
        <v>3</v>
      </c>
      <c r="T29" s="20" t="n">
        <v>0.3</v>
      </c>
      <c r="U29" s="22" t="n">
        <v>1.79</v>
      </c>
      <c r="V29" s="23" t="n">
        <f aca="false">IF(ISNUMBER(C29),YEAR(C29),"")</f>
        <v>2014</v>
      </c>
      <c r="W29" s="23" t="n">
        <f aca="false">IF(ISNUMBER(C29),MONTH(C29),"")</f>
        <v>3</v>
      </c>
      <c r="X29" s="23" t="str">
        <f aca="false">IF(T29="","",IF(T29=0,"No discount",IF(T29&lt;=0.2,"Low (1-20%)",IF(T29&lt;=0.4,"Medium (21-40%)","High (&gt;40%)"))))</f>
        <v>Medium (21-40%)</v>
      </c>
      <c r="Y29" s="23" t="n">
        <f aca="false">IF(AND(ISNUMBER(C29),ISNUMBER(D29)),D29-C29,"")</f>
        <v>3</v>
      </c>
      <c r="Z29" s="23" t="n">
        <f aca="false">IF(B29="","",IF(MATCH(B29,$B$2:$B$12000,0)=ROW()-1,1,0))</f>
        <v>0</v>
      </c>
    </row>
    <row r="30" customFormat="false" ht="15" hidden="false" customHeight="false" outlineLevel="0" collapsed="false">
      <c r="A30" s="20" t="n">
        <v>29</v>
      </c>
      <c r="B30" s="20" t="s">
        <v>193</v>
      </c>
      <c r="C30" s="21" t="n">
        <v>41701</v>
      </c>
      <c r="D30" s="21" t="n">
        <v>41703</v>
      </c>
      <c r="E30" s="20" t="s">
        <v>71</v>
      </c>
      <c r="F30" s="20" t="s">
        <v>194</v>
      </c>
      <c r="G30" s="20" t="s">
        <v>195</v>
      </c>
      <c r="H30" s="20" t="s">
        <v>85</v>
      </c>
      <c r="I30" s="20" t="s">
        <v>62</v>
      </c>
      <c r="J30" s="20" t="s">
        <v>63</v>
      </c>
      <c r="K30" s="20" t="s">
        <v>196</v>
      </c>
      <c r="L30" s="20" t="n">
        <v>21458</v>
      </c>
      <c r="M30" s="20" t="s">
        <v>112</v>
      </c>
      <c r="N30" s="20" t="s">
        <v>197</v>
      </c>
      <c r="O30" s="20" t="s">
        <v>76</v>
      </c>
      <c r="P30" s="20" t="s">
        <v>80</v>
      </c>
      <c r="Q30" s="20" t="s">
        <v>198</v>
      </c>
      <c r="R30" s="22" t="n">
        <v>163.67</v>
      </c>
      <c r="S30" s="20" t="n">
        <v>3</v>
      </c>
      <c r="T30" s="20" t="n">
        <v>0</v>
      </c>
      <c r="U30" s="22" t="n">
        <v>49.73</v>
      </c>
      <c r="V30" s="23" t="n">
        <f aca="false">IF(ISNUMBER(C30),YEAR(C30),"")</f>
        <v>2014</v>
      </c>
      <c r="W30" s="23" t="n">
        <f aca="false">IF(ISNUMBER(C30),MONTH(C30),"")</f>
        <v>3</v>
      </c>
      <c r="X30" s="23" t="str">
        <f aca="false">IF(T30="","",IF(T30=0,"No discount",IF(T30&lt;=0.2,"Low (1-20%)",IF(T30&lt;=0.4,"Medium (21-40%)","High (&gt;40%)"))))</f>
        <v>No discount</v>
      </c>
      <c r="Y30" s="23" t="n">
        <f aca="false">IF(AND(ISNUMBER(C30),ISNUMBER(D30)),D30-C30,"")</f>
        <v>2</v>
      </c>
      <c r="Z30" s="23" t="n">
        <f aca="false">IF(B30="","",IF(MATCH(B30,$B$2:$B$12000,0)=ROW()-1,1,0))</f>
        <v>1</v>
      </c>
    </row>
    <row r="31" customFormat="false" ht="15" hidden="false" customHeight="false" outlineLevel="0" collapsed="false">
      <c r="A31" s="20" t="n">
        <v>30</v>
      </c>
      <c r="B31" s="20" t="s">
        <v>199</v>
      </c>
      <c r="C31" s="21" t="n">
        <v>41706</v>
      </c>
      <c r="D31" s="21" t="n">
        <v>41708</v>
      </c>
      <c r="E31" s="20" t="s">
        <v>90</v>
      </c>
      <c r="F31" s="20" t="s">
        <v>200</v>
      </c>
      <c r="G31" s="20" t="s">
        <v>201</v>
      </c>
      <c r="H31" s="20" t="s">
        <v>162</v>
      </c>
      <c r="I31" s="20" t="s">
        <v>62</v>
      </c>
      <c r="J31" s="20" t="s">
        <v>63</v>
      </c>
      <c r="K31" s="20" t="s">
        <v>202</v>
      </c>
      <c r="L31" s="20" t="n">
        <v>17257</v>
      </c>
      <c r="M31" s="20" t="s">
        <v>153</v>
      </c>
      <c r="N31" s="20" t="s">
        <v>203</v>
      </c>
      <c r="O31" s="20" t="s">
        <v>114</v>
      </c>
      <c r="P31" s="20" t="s">
        <v>115</v>
      </c>
      <c r="Q31" s="20" t="s">
        <v>204</v>
      </c>
      <c r="R31" s="22" t="n">
        <v>530.11</v>
      </c>
      <c r="S31" s="20" t="n">
        <v>5</v>
      </c>
      <c r="T31" s="20" t="n">
        <v>0</v>
      </c>
      <c r="U31" s="22" t="n">
        <v>69.36</v>
      </c>
      <c r="V31" s="23" t="n">
        <f aca="false">IF(ISNUMBER(C31),YEAR(C31),"")</f>
        <v>2014</v>
      </c>
      <c r="W31" s="23" t="n">
        <f aca="false">IF(ISNUMBER(C31),MONTH(C31),"")</f>
        <v>3</v>
      </c>
      <c r="X31" s="23" t="str">
        <f aca="false">IF(T31="","",IF(T31=0,"No discount",IF(T31&lt;=0.2,"Low (1-20%)",IF(T31&lt;=0.4,"Medium (21-40%)","High (&gt;40%)"))))</f>
        <v>No discount</v>
      </c>
      <c r="Y31" s="23" t="n">
        <f aca="false">IF(AND(ISNUMBER(C31),ISNUMBER(D31)),D31-C31,"")</f>
        <v>2</v>
      </c>
      <c r="Z31" s="23" t="n">
        <f aca="false">IF(B31="","",IF(MATCH(B31,$B$2:$B$12000,0)=ROW()-1,1,0))</f>
        <v>1</v>
      </c>
    </row>
    <row r="32" customFormat="false" ht="15" hidden="false" customHeight="false" outlineLevel="0" collapsed="false">
      <c r="A32" s="20" t="n">
        <v>31</v>
      </c>
      <c r="B32" s="20" t="s">
        <v>199</v>
      </c>
      <c r="C32" s="21" t="n">
        <v>41706</v>
      </c>
      <c r="D32" s="21" t="n">
        <v>41708</v>
      </c>
      <c r="E32" s="20" t="s">
        <v>104</v>
      </c>
      <c r="F32" s="20" t="s">
        <v>200</v>
      </c>
      <c r="G32" s="20" t="s">
        <v>201</v>
      </c>
      <c r="H32" s="20" t="s">
        <v>162</v>
      </c>
      <c r="I32" s="20" t="s">
        <v>62</v>
      </c>
      <c r="J32" s="20" t="s">
        <v>63</v>
      </c>
      <c r="K32" s="20" t="s">
        <v>202</v>
      </c>
      <c r="L32" s="20" t="n">
        <v>42550</v>
      </c>
      <c r="M32" s="20" t="s">
        <v>153</v>
      </c>
      <c r="N32" s="20" t="s">
        <v>205</v>
      </c>
      <c r="O32" s="20" t="s">
        <v>76</v>
      </c>
      <c r="P32" s="20" t="s">
        <v>128</v>
      </c>
      <c r="Q32" s="20" t="s">
        <v>206</v>
      </c>
      <c r="R32" s="22" t="n">
        <v>263.42</v>
      </c>
      <c r="S32" s="20" t="n">
        <v>2</v>
      </c>
      <c r="T32" s="20" t="n">
        <v>0</v>
      </c>
      <c r="U32" s="22" t="n">
        <v>26.92</v>
      </c>
      <c r="V32" s="23" t="n">
        <f aca="false">IF(ISNUMBER(C32),YEAR(C32),"")</f>
        <v>2014</v>
      </c>
      <c r="W32" s="23" t="n">
        <f aca="false">IF(ISNUMBER(C32),MONTH(C32),"")</f>
        <v>3</v>
      </c>
      <c r="X32" s="23" t="str">
        <f aca="false">IF(T32="","",IF(T32=0,"No discount",IF(T32&lt;=0.2,"Low (1-20%)",IF(T32&lt;=0.4,"Medium (21-40%)","High (&gt;40%)"))))</f>
        <v>No discount</v>
      </c>
      <c r="Y32" s="23" t="n">
        <f aca="false">IF(AND(ISNUMBER(C32),ISNUMBER(D32)),D32-C32,"")</f>
        <v>2</v>
      </c>
      <c r="Z32" s="23" t="n">
        <f aca="false">IF(B32="","",IF(MATCH(B32,$B$2:$B$12000,0)=ROW()-1,1,0))</f>
        <v>0</v>
      </c>
    </row>
    <row r="33" customFormat="false" ht="15" hidden="false" customHeight="false" outlineLevel="0" collapsed="false">
      <c r="A33" s="20" t="n">
        <v>32</v>
      </c>
      <c r="B33" s="20" t="s">
        <v>207</v>
      </c>
      <c r="C33" s="21" t="n">
        <v>41709</v>
      </c>
      <c r="D33" s="21" t="n">
        <v>41710</v>
      </c>
      <c r="E33" s="20" t="s">
        <v>90</v>
      </c>
      <c r="F33" s="20" t="s">
        <v>144</v>
      </c>
      <c r="G33" s="20" t="s">
        <v>145</v>
      </c>
      <c r="H33" s="20" t="s">
        <v>85</v>
      </c>
      <c r="I33" s="20" t="s">
        <v>62</v>
      </c>
      <c r="J33" s="20" t="s">
        <v>63</v>
      </c>
      <c r="K33" s="20" t="s">
        <v>208</v>
      </c>
      <c r="L33" s="20" t="n">
        <v>77584</v>
      </c>
      <c r="M33" s="20" t="s">
        <v>153</v>
      </c>
      <c r="N33" s="20" t="s">
        <v>209</v>
      </c>
      <c r="O33" s="20" t="s">
        <v>114</v>
      </c>
      <c r="P33" s="20" t="s">
        <v>210</v>
      </c>
      <c r="Q33" s="20" t="s">
        <v>211</v>
      </c>
      <c r="R33" s="22" t="n">
        <v>53.74</v>
      </c>
      <c r="S33" s="20" t="n">
        <v>1</v>
      </c>
      <c r="T33" s="20" t="n">
        <v>0.2</v>
      </c>
      <c r="U33" s="22" t="n">
        <v>0.18</v>
      </c>
      <c r="V33" s="23" t="n">
        <f aca="false">IF(ISNUMBER(C33),YEAR(C33),"")</f>
        <v>2014</v>
      </c>
      <c r="W33" s="23" t="n">
        <f aca="false">IF(ISNUMBER(C33),MONTH(C33),"")</f>
        <v>3</v>
      </c>
      <c r="X33" s="23" t="str">
        <f aca="false">IF(T33="","",IF(T33=0,"No discount",IF(T33&lt;=0.2,"Low (1-20%)",IF(T33&lt;=0.4,"Medium (21-40%)","High (&gt;40%)"))))</f>
        <v>Low (1-20%)</v>
      </c>
      <c r="Y33" s="23" t="n">
        <f aca="false">IF(AND(ISNUMBER(C33),ISNUMBER(D33)),D33-C33,"")</f>
        <v>1</v>
      </c>
      <c r="Z33" s="23" t="n">
        <f aca="false">IF(B33="","",IF(MATCH(B33,$B$2:$B$12000,0)=ROW()-1,1,0))</f>
        <v>1</v>
      </c>
    </row>
    <row r="34" customFormat="false" ht="15" hidden="false" customHeight="false" outlineLevel="0" collapsed="false">
      <c r="A34" s="20" t="n">
        <v>33</v>
      </c>
      <c r="B34" s="20" t="s">
        <v>212</v>
      </c>
      <c r="C34" s="21" t="n">
        <v>41713</v>
      </c>
      <c r="D34" s="21" t="n">
        <v>41715</v>
      </c>
      <c r="E34" s="20" t="s">
        <v>90</v>
      </c>
      <c r="F34" s="20" t="s">
        <v>213</v>
      </c>
      <c r="G34" s="20" t="s">
        <v>214</v>
      </c>
      <c r="H34" s="20" t="s">
        <v>162</v>
      </c>
      <c r="I34" s="20" t="s">
        <v>62</v>
      </c>
      <c r="J34" s="20" t="s">
        <v>63</v>
      </c>
      <c r="K34" s="20" t="s">
        <v>215</v>
      </c>
      <c r="L34" s="20" t="n">
        <v>68515</v>
      </c>
      <c r="M34" s="20" t="s">
        <v>112</v>
      </c>
      <c r="N34" s="20" t="s">
        <v>216</v>
      </c>
      <c r="O34" s="20" t="s">
        <v>76</v>
      </c>
      <c r="P34" s="20" t="s">
        <v>101</v>
      </c>
      <c r="Q34" s="20" t="s">
        <v>217</v>
      </c>
      <c r="R34" s="22" t="n">
        <v>108.67</v>
      </c>
      <c r="S34" s="20" t="n">
        <v>7</v>
      </c>
      <c r="T34" s="20" t="n">
        <v>0.5</v>
      </c>
      <c r="U34" s="22" t="n">
        <v>21.1</v>
      </c>
      <c r="V34" s="23" t="n">
        <f aca="false">IF(ISNUMBER(C34),YEAR(C34),"")</f>
        <v>2014</v>
      </c>
      <c r="W34" s="23" t="n">
        <f aca="false">IF(ISNUMBER(C34),MONTH(C34),"")</f>
        <v>3</v>
      </c>
      <c r="X34" s="23" t="str">
        <f aca="false">IF(T34="","",IF(T34=0,"No discount",IF(T34&lt;=0.2,"Low (1-20%)",IF(T34&lt;=0.4,"Medium (21-40%)","High (&gt;40%)"))))</f>
        <v>High (&gt;40%)</v>
      </c>
      <c r="Y34" s="23" t="n">
        <f aca="false">IF(AND(ISNUMBER(C34),ISNUMBER(D34)),D34-C34,"")</f>
        <v>2</v>
      </c>
      <c r="Z34" s="23" t="n">
        <f aca="false">IF(B34="","",IF(MATCH(B34,$B$2:$B$12000,0)=ROW()-1,1,0))</f>
        <v>1</v>
      </c>
    </row>
    <row r="35" customFormat="false" ht="15" hidden="false" customHeight="false" outlineLevel="0" collapsed="false">
      <c r="A35" s="20" t="n">
        <v>34</v>
      </c>
      <c r="B35" s="20" t="s">
        <v>212</v>
      </c>
      <c r="C35" s="21" t="n">
        <v>41713</v>
      </c>
      <c r="D35" s="21" t="n">
        <v>41715</v>
      </c>
      <c r="E35" s="20" t="s">
        <v>71</v>
      </c>
      <c r="F35" s="20" t="s">
        <v>213</v>
      </c>
      <c r="G35" s="20" t="s">
        <v>214</v>
      </c>
      <c r="H35" s="20" t="s">
        <v>162</v>
      </c>
      <c r="I35" s="20" t="s">
        <v>62</v>
      </c>
      <c r="J35" s="20" t="s">
        <v>63</v>
      </c>
      <c r="K35" s="20" t="s">
        <v>215</v>
      </c>
      <c r="L35" s="20" t="n">
        <v>39320</v>
      </c>
      <c r="M35" s="20" t="s">
        <v>112</v>
      </c>
      <c r="N35" s="20" t="s">
        <v>218</v>
      </c>
      <c r="O35" s="20" t="s">
        <v>76</v>
      </c>
      <c r="P35" s="20" t="s">
        <v>178</v>
      </c>
      <c r="Q35" s="20" t="s">
        <v>219</v>
      </c>
      <c r="R35" s="22" t="n">
        <v>168.82</v>
      </c>
      <c r="S35" s="20" t="n">
        <v>3</v>
      </c>
      <c r="T35" s="20" t="n">
        <v>0</v>
      </c>
      <c r="U35" s="22" t="n">
        <v>6.43</v>
      </c>
      <c r="V35" s="23" t="n">
        <f aca="false">IF(ISNUMBER(C35),YEAR(C35),"")</f>
        <v>2014</v>
      </c>
      <c r="W35" s="23" t="n">
        <f aca="false">IF(ISNUMBER(C35),MONTH(C35),"")</f>
        <v>3</v>
      </c>
      <c r="X35" s="23" t="str">
        <f aca="false">IF(T35="","",IF(T35=0,"No discount",IF(T35&lt;=0.2,"Low (1-20%)",IF(T35&lt;=0.4,"Medium (21-40%)","High (&gt;40%)"))))</f>
        <v>No discount</v>
      </c>
      <c r="Y35" s="23" t="n">
        <f aca="false">IF(AND(ISNUMBER(C35),ISNUMBER(D35)),D35-C35,"")</f>
        <v>2</v>
      </c>
      <c r="Z35" s="23" t="n">
        <f aca="false">IF(B35="","",IF(MATCH(B35,$B$2:$B$12000,0)=ROW()-1,1,0))</f>
        <v>0</v>
      </c>
    </row>
    <row r="36" customFormat="false" ht="15" hidden="false" customHeight="false" outlineLevel="0" collapsed="false">
      <c r="A36" s="20" t="n">
        <v>35</v>
      </c>
      <c r="B36" s="20" t="s">
        <v>212</v>
      </c>
      <c r="C36" s="21" t="n">
        <v>41713</v>
      </c>
      <c r="D36" s="21" t="n">
        <v>41715</v>
      </c>
      <c r="E36" s="20" t="s">
        <v>71</v>
      </c>
      <c r="F36" s="20" t="s">
        <v>213</v>
      </c>
      <c r="G36" s="20" t="s">
        <v>214</v>
      </c>
      <c r="H36" s="20" t="s">
        <v>162</v>
      </c>
      <c r="I36" s="20" t="s">
        <v>62</v>
      </c>
      <c r="J36" s="20" t="s">
        <v>63</v>
      </c>
      <c r="K36" s="20" t="s">
        <v>215</v>
      </c>
      <c r="L36" s="20" t="n">
        <v>88564</v>
      </c>
      <c r="M36" s="20" t="s">
        <v>112</v>
      </c>
      <c r="N36" s="20" t="s">
        <v>220</v>
      </c>
      <c r="O36" s="20" t="s">
        <v>114</v>
      </c>
      <c r="P36" s="20" t="s">
        <v>210</v>
      </c>
      <c r="Q36" s="20" t="s">
        <v>221</v>
      </c>
      <c r="R36" s="22" t="n">
        <v>20.61</v>
      </c>
      <c r="S36" s="20" t="n">
        <v>1</v>
      </c>
      <c r="T36" s="20" t="n">
        <v>0</v>
      </c>
      <c r="U36" s="22" t="n">
        <v>2.88</v>
      </c>
      <c r="V36" s="23" t="n">
        <f aca="false">IF(ISNUMBER(C36),YEAR(C36),"")</f>
        <v>2014</v>
      </c>
      <c r="W36" s="23" t="n">
        <f aca="false">IF(ISNUMBER(C36),MONTH(C36),"")</f>
        <v>3</v>
      </c>
      <c r="X36" s="23" t="str">
        <f aca="false">IF(T36="","",IF(T36=0,"No discount",IF(T36&lt;=0.2,"Low (1-20%)",IF(T36&lt;=0.4,"Medium (21-40%)","High (&gt;40%)"))))</f>
        <v>No discount</v>
      </c>
      <c r="Y36" s="23" t="n">
        <f aca="false">IF(AND(ISNUMBER(C36),ISNUMBER(D36)),D36-C36,"")</f>
        <v>2</v>
      </c>
      <c r="Z36" s="23" t="n">
        <f aca="false">IF(B36="","",IF(MATCH(B36,$B$2:$B$12000,0)=ROW()-1,1,0))</f>
        <v>0</v>
      </c>
    </row>
    <row r="37" customFormat="false" ht="15" hidden="false" customHeight="false" outlineLevel="0" collapsed="false">
      <c r="A37" s="20" t="n">
        <v>36</v>
      </c>
      <c r="B37" s="20" t="s">
        <v>222</v>
      </c>
      <c r="C37" s="21" t="n">
        <v>41724</v>
      </c>
      <c r="D37" s="21" t="n">
        <v>41728</v>
      </c>
      <c r="E37" s="20" t="s">
        <v>90</v>
      </c>
      <c r="F37" s="20" t="s">
        <v>223</v>
      </c>
      <c r="G37" s="20" t="s">
        <v>224</v>
      </c>
      <c r="H37" s="20" t="s">
        <v>61</v>
      </c>
      <c r="I37" s="20" t="s">
        <v>62</v>
      </c>
      <c r="J37" s="20" t="s">
        <v>63</v>
      </c>
      <c r="K37" s="20" t="s">
        <v>225</v>
      </c>
      <c r="L37" s="20" t="n">
        <v>74696</v>
      </c>
      <c r="M37" s="20" t="s">
        <v>65</v>
      </c>
      <c r="N37" s="20" t="s">
        <v>226</v>
      </c>
      <c r="O37" s="20" t="s">
        <v>114</v>
      </c>
      <c r="P37" s="20" t="s">
        <v>139</v>
      </c>
      <c r="Q37" s="20" t="s">
        <v>227</v>
      </c>
      <c r="R37" s="22" t="n">
        <v>818.57</v>
      </c>
      <c r="S37" s="20" t="n">
        <v>3</v>
      </c>
      <c r="T37" s="20" t="n">
        <v>0</v>
      </c>
      <c r="U37" s="22" t="n">
        <v>-9.22</v>
      </c>
      <c r="V37" s="23" t="n">
        <f aca="false">IF(ISNUMBER(C37),YEAR(C37),"")</f>
        <v>2014</v>
      </c>
      <c r="W37" s="23" t="n">
        <f aca="false">IF(ISNUMBER(C37),MONTH(C37),"")</f>
        <v>3</v>
      </c>
      <c r="X37" s="23" t="str">
        <f aca="false">IF(T37="","",IF(T37=0,"No discount",IF(T37&lt;=0.2,"Low (1-20%)",IF(T37&lt;=0.4,"Medium (21-40%)","High (&gt;40%)"))))</f>
        <v>No discount</v>
      </c>
      <c r="Y37" s="23" t="n">
        <f aca="false">IF(AND(ISNUMBER(C37),ISNUMBER(D37)),D37-C37,"")</f>
        <v>4</v>
      </c>
      <c r="Z37" s="23" t="n">
        <f aca="false">IF(B37="","",IF(MATCH(B37,$B$2:$B$12000,0)=ROW()-1,1,0))</f>
        <v>1</v>
      </c>
    </row>
    <row r="38" customFormat="false" ht="15" hidden="false" customHeight="false" outlineLevel="0" collapsed="false">
      <c r="A38" s="20" t="n">
        <v>37</v>
      </c>
      <c r="B38" s="20" t="s">
        <v>222</v>
      </c>
      <c r="C38" s="21" t="n">
        <v>41724</v>
      </c>
      <c r="D38" s="21" t="n">
        <v>41728</v>
      </c>
      <c r="E38" s="20" t="s">
        <v>58</v>
      </c>
      <c r="F38" s="20" t="s">
        <v>223</v>
      </c>
      <c r="G38" s="20" t="s">
        <v>224</v>
      </c>
      <c r="H38" s="20" t="s">
        <v>61</v>
      </c>
      <c r="I38" s="20" t="s">
        <v>62</v>
      </c>
      <c r="J38" s="20" t="s">
        <v>63</v>
      </c>
      <c r="K38" s="20" t="s">
        <v>225</v>
      </c>
      <c r="L38" s="20" t="n">
        <v>29296</v>
      </c>
      <c r="M38" s="20" t="s">
        <v>65</v>
      </c>
      <c r="N38" s="20" t="s">
        <v>228</v>
      </c>
      <c r="O38" s="20" t="s">
        <v>76</v>
      </c>
      <c r="P38" s="20" t="s">
        <v>77</v>
      </c>
      <c r="Q38" s="20" t="s">
        <v>229</v>
      </c>
      <c r="R38" s="22" t="n">
        <v>85.83</v>
      </c>
      <c r="S38" s="20" t="n">
        <v>2</v>
      </c>
      <c r="T38" s="20" t="n">
        <v>0.2</v>
      </c>
      <c r="U38" s="22" t="n">
        <v>8.18</v>
      </c>
      <c r="V38" s="23" t="n">
        <f aca="false">IF(ISNUMBER(C38),YEAR(C38),"")</f>
        <v>2014</v>
      </c>
      <c r="W38" s="23" t="n">
        <f aca="false">IF(ISNUMBER(C38),MONTH(C38),"")</f>
        <v>3</v>
      </c>
      <c r="X38" s="23" t="str">
        <f aca="false">IF(T38="","",IF(T38=0,"No discount",IF(T38&lt;=0.2,"Low (1-20%)",IF(T38&lt;=0.4,"Medium (21-40%)","High (&gt;40%)"))))</f>
        <v>Low (1-20%)</v>
      </c>
      <c r="Y38" s="23" t="n">
        <f aca="false">IF(AND(ISNUMBER(C38),ISNUMBER(D38)),D38-C38,"")</f>
        <v>4</v>
      </c>
      <c r="Z38" s="23" t="n">
        <f aca="false">IF(B38="","",IF(MATCH(B38,$B$2:$B$12000,0)=ROW()-1,1,0))</f>
        <v>0</v>
      </c>
    </row>
    <row r="39" customFormat="false" ht="15" hidden="false" customHeight="false" outlineLevel="0" collapsed="false">
      <c r="A39" s="20" t="n">
        <v>38</v>
      </c>
      <c r="B39" s="20" t="s">
        <v>222</v>
      </c>
      <c r="C39" s="21" t="n">
        <v>41724</v>
      </c>
      <c r="D39" s="21" t="n">
        <v>41728</v>
      </c>
      <c r="E39" s="20" t="s">
        <v>71</v>
      </c>
      <c r="F39" s="20" t="s">
        <v>223</v>
      </c>
      <c r="G39" s="20" t="s">
        <v>224</v>
      </c>
      <c r="H39" s="20" t="s">
        <v>61</v>
      </c>
      <c r="I39" s="20" t="s">
        <v>62</v>
      </c>
      <c r="J39" s="20" t="s">
        <v>63</v>
      </c>
      <c r="K39" s="20" t="s">
        <v>225</v>
      </c>
      <c r="L39" s="20" t="n">
        <v>61856</v>
      </c>
      <c r="M39" s="20" t="s">
        <v>65</v>
      </c>
      <c r="N39" s="20" t="s">
        <v>230</v>
      </c>
      <c r="O39" s="20" t="s">
        <v>76</v>
      </c>
      <c r="P39" s="20" t="s">
        <v>88</v>
      </c>
      <c r="Q39" s="20" t="s">
        <v>231</v>
      </c>
      <c r="R39" s="22" t="n">
        <v>1739.41</v>
      </c>
      <c r="S39" s="20" t="n">
        <v>7</v>
      </c>
      <c r="T39" s="20" t="n">
        <v>0.2</v>
      </c>
      <c r="U39" s="22" t="n">
        <v>36.04</v>
      </c>
      <c r="V39" s="23" t="n">
        <f aca="false">IF(ISNUMBER(C39),YEAR(C39),"")</f>
        <v>2014</v>
      </c>
      <c r="W39" s="23" t="n">
        <f aca="false">IF(ISNUMBER(C39),MONTH(C39),"")</f>
        <v>3</v>
      </c>
      <c r="X39" s="23" t="str">
        <f aca="false">IF(T39="","",IF(T39=0,"No discount",IF(T39&lt;=0.2,"Low (1-20%)",IF(T39&lt;=0.4,"Medium (21-40%)","High (&gt;40%)"))))</f>
        <v>Low (1-20%)</v>
      </c>
      <c r="Y39" s="23" t="n">
        <f aca="false">IF(AND(ISNUMBER(C39),ISNUMBER(D39)),D39-C39,"")</f>
        <v>4</v>
      </c>
      <c r="Z39" s="23" t="n">
        <f aca="false">IF(B39="","",IF(MATCH(B39,$B$2:$B$12000,0)=ROW()-1,1,0))</f>
        <v>0</v>
      </c>
    </row>
    <row r="40" customFormat="false" ht="15" hidden="false" customHeight="false" outlineLevel="0" collapsed="false">
      <c r="A40" s="20" t="n">
        <v>39</v>
      </c>
      <c r="B40" s="20" t="s">
        <v>232</v>
      </c>
      <c r="C40" s="21" t="n">
        <v>41724</v>
      </c>
      <c r="D40" s="21" t="n">
        <v>41726</v>
      </c>
      <c r="E40" s="20" t="s">
        <v>104</v>
      </c>
      <c r="F40" s="20" t="s">
        <v>233</v>
      </c>
      <c r="G40" s="20" t="s">
        <v>234</v>
      </c>
      <c r="H40" s="20" t="s">
        <v>61</v>
      </c>
      <c r="I40" s="20" t="s">
        <v>62</v>
      </c>
      <c r="J40" s="20" t="s">
        <v>63</v>
      </c>
      <c r="K40" s="20" t="s">
        <v>152</v>
      </c>
      <c r="L40" s="20" t="n">
        <v>42674</v>
      </c>
      <c r="M40" s="20" t="s">
        <v>153</v>
      </c>
      <c r="N40" s="20" t="s">
        <v>235</v>
      </c>
      <c r="O40" s="20" t="s">
        <v>76</v>
      </c>
      <c r="P40" s="20" t="s">
        <v>236</v>
      </c>
      <c r="Q40" s="20" t="s">
        <v>237</v>
      </c>
      <c r="R40" s="22" t="n">
        <v>329.15</v>
      </c>
      <c r="S40" s="20" t="n">
        <v>6</v>
      </c>
      <c r="T40" s="20" t="n">
        <v>0.2</v>
      </c>
      <c r="U40" s="22" t="n">
        <v>104.33</v>
      </c>
      <c r="V40" s="23" t="n">
        <f aca="false">IF(ISNUMBER(C40),YEAR(C40),"")</f>
        <v>2014</v>
      </c>
      <c r="W40" s="23" t="n">
        <f aca="false">IF(ISNUMBER(C40),MONTH(C40),"")</f>
        <v>3</v>
      </c>
      <c r="X40" s="23" t="str">
        <f aca="false">IF(T40="","",IF(T40=0,"No discount",IF(T40&lt;=0.2,"Low (1-20%)",IF(T40&lt;=0.4,"Medium (21-40%)","High (&gt;40%)"))))</f>
        <v>Low (1-20%)</v>
      </c>
      <c r="Y40" s="23" t="n">
        <f aca="false">IF(AND(ISNUMBER(C40),ISNUMBER(D40)),D40-C40,"")</f>
        <v>2</v>
      </c>
      <c r="Z40" s="23" t="n">
        <f aca="false">IF(B40="","",IF(MATCH(B40,$B$2:$B$12000,0)=ROW()-1,1,0))</f>
        <v>1</v>
      </c>
    </row>
    <row r="41" customFormat="false" ht="15" hidden="false" customHeight="false" outlineLevel="0" collapsed="false">
      <c r="A41" s="20" t="n">
        <v>40</v>
      </c>
      <c r="B41" s="20" t="s">
        <v>238</v>
      </c>
      <c r="C41" s="21" t="n">
        <v>41732</v>
      </c>
      <c r="D41" s="21" t="n">
        <v>41735</v>
      </c>
      <c r="E41" s="20" t="s">
        <v>71</v>
      </c>
      <c r="F41" s="20" t="s">
        <v>239</v>
      </c>
      <c r="G41" s="20" t="s">
        <v>240</v>
      </c>
      <c r="H41" s="20" t="s">
        <v>61</v>
      </c>
      <c r="I41" s="20" t="s">
        <v>62</v>
      </c>
      <c r="J41" s="20" t="s">
        <v>63</v>
      </c>
      <c r="K41" s="20" t="s">
        <v>74</v>
      </c>
      <c r="L41" s="20" t="n">
        <v>39553</v>
      </c>
      <c r="M41" s="20" t="s">
        <v>65</v>
      </c>
      <c r="N41" s="20" t="s">
        <v>241</v>
      </c>
      <c r="O41" s="20" t="s">
        <v>114</v>
      </c>
      <c r="P41" s="20" t="s">
        <v>115</v>
      </c>
      <c r="Q41" s="20" t="s">
        <v>242</v>
      </c>
      <c r="R41" s="22" t="n">
        <v>575.72</v>
      </c>
      <c r="S41" s="20" t="n">
        <v>2</v>
      </c>
      <c r="T41" s="20" t="n">
        <v>0.2</v>
      </c>
      <c r="U41" s="22" t="n">
        <v>-0.04</v>
      </c>
      <c r="V41" s="23" t="n">
        <f aca="false">IF(ISNUMBER(C41),YEAR(C41),"")</f>
        <v>2014</v>
      </c>
      <c r="W41" s="23" t="n">
        <f aca="false">IF(ISNUMBER(C41),MONTH(C41),"")</f>
        <v>4</v>
      </c>
      <c r="X41" s="23" t="str">
        <f aca="false">IF(T41="","",IF(T41=0,"No discount",IF(T41&lt;=0.2,"Low (1-20%)",IF(T41&lt;=0.4,"Medium (21-40%)","High (&gt;40%)"))))</f>
        <v>Low (1-20%)</v>
      </c>
      <c r="Y41" s="23" t="n">
        <f aca="false">IF(AND(ISNUMBER(C41),ISNUMBER(D41)),D41-C41,"")</f>
        <v>3</v>
      </c>
      <c r="Z41" s="23" t="n">
        <f aca="false">IF(B41="","",IF(MATCH(B41,$B$2:$B$12000,0)=ROW()-1,1,0))</f>
        <v>1</v>
      </c>
    </row>
    <row r="42" customFormat="false" ht="15" hidden="false" customHeight="false" outlineLevel="0" collapsed="false">
      <c r="A42" s="20" t="n">
        <v>41</v>
      </c>
      <c r="B42" s="20" t="s">
        <v>243</v>
      </c>
      <c r="C42" s="21" t="n">
        <v>41737</v>
      </c>
      <c r="D42" s="21" t="n">
        <v>41743</v>
      </c>
      <c r="E42" s="20" t="s">
        <v>71</v>
      </c>
      <c r="F42" s="20" t="s">
        <v>244</v>
      </c>
      <c r="G42" s="20" t="s">
        <v>245</v>
      </c>
      <c r="H42" s="20" t="s">
        <v>61</v>
      </c>
      <c r="I42" s="20" t="s">
        <v>62</v>
      </c>
      <c r="J42" s="20" t="s">
        <v>63</v>
      </c>
      <c r="K42" s="20" t="s">
        <v>246</v>
      </c>
      <c r="L42" s="20" t="n">
        <v>91429</v>
      </c>
      <c r="M42" s="20" t="s">
        <v>112</v>
      </c>
      <c r="N42" s="20" t="s">
        <v>247</v>
      </c>
      <c r="O42" s="20" t="s">
        <v>114</v>
      </c>
      <c r="P42" s="20" t="s">
        <v>139</v>
      </c>
      <c r="Q42" s="20" t="s">
        <v>248</v>
      </c>
      <c r="R42" s="22" t="n">
        <v>128.82</v>
      </c>
      <c r="S42" s="20" t="n">
        <v>1</v>
      </c>
      <c r="T42" s="20" t="n">
        <v>0.7</v>
      </c>
      <c r="U42" s="22" t="n">
        <v>-43.7</v>
      </c>
      <c r="V42" s="23" t="n">
        <f aca="false">IF(ISNUMBER(C42),YEAR(C42),"")</f>
        <v>2014</v>
      </c>
      <c r="W42" s="23" t="n">
        <f aca="false">IF(ISNUMBER(C42),MONTH(C42),"")</f>
        <v>4</v>
      </c>
      <c r="X42" s="23" t="str">
        <f aca="false">IF(T42="","",IF(T42=0,"No discount",IF(T42&lt;=0.2,"Low (1-20%)",IF(T42&lt;=0.4,"Medium (21-40%)","High (&gt;40%)"))))</f>
        <v>High (&gt;40%)</v>
      </c>
      <c r="Y42" s="23" t="n">
        <f aca="false">IF(AND(ISNUMBER(C42),ISNUMBER(D42)),D42-C42,"")</f>
        <v>6</v>
      </c>
      <c r="Z42" s="23" t="n">
        <f aca="false">IF(B42="","",IF(MATCH(B42,$B$2:$B$12000,0)=ROW()-1,1,0))</f>
        <v>1</v>
      </c>
    </row>
    <row r="43" customFormat="false" ht="15" hidden="false" customHeight="false" outlineLevel="0" collapsed="false">
      <c r="A43" s="20" t="n">
        <v>42</v>
      </c>
      <c r="B43" s="20" t="s">
        <v>243</v>
      </c>
      <c r="C43" s="21" t="n">
        <v>41737</v>
      </c>
      <c r="D43" s="21" t="n">
        <v>41743</v>
      </c>
      <c r="E43" s="20" t="s">
        <v>104</v>
      </c>
      <c r="F43" s="20" t="s">
        <v>244</v>
      </c>
      <c r="G43" s="20" t="s">
        <v>245</v>
      </c>
      <c r="H43" s="20" t="s">
        <v>61</v>
      </c>
      <c r="I43" s="20" t="s">
        <v>62</v>
      </c>
      <c r="J43" s="20" t="s">
        <v>63</v>
      </c>
      <c r="K43" s="20" t="s">
        <v>246</v>
      </c>
      <c r="L43" s="20" t="n">
        <v>24816</v>
      </c>
      <c r="M43" s="20" t="s">
        <v>112</v>
      </c>
      <c r="N43" s="20" t="s">
        <v>249</v>
      </c>
      <c r="O43" s="20" t="s">
        <v>114</v>
      </c>
      <c r="P43" s="20" t="s">
        <v>139</v>
      </c>
      <c r="Q43" s="20" t="s">
        <v>250</v>
      </c>
      <c r="R43" s="22" t="n">
        <v>4045.23</v>
      </c>
      <c r="S43" s="20" t="n">
        <v>7</v>
      </c>
      <c r="T43" s="20" t="n">
        <v>0</v>
      </c>
      <c r="U43" s="22" t="n">
        <v>-58.5</v>
      </c>
      <c r="V43" s="23" t="n">
        <f aca="false">IF(ISNUMBER(C43),YEAR(C43),"")</f>
        <v>2014</v>
      </c>
      <c r="W43" s="23" t="n">
        <f aca="false">IF(ISNUMBER(C43),MONTH(C43),"")</f>
        <v>4</v>
      </c>
      <c r="X43" s="23" t="str">
        <f aca="false">IF(T43="","",IF(T43=0,"No discount",IF(T43&lt;=0.2,"Low (1-20%)",IF(T43&lt;=0.4,"Medium (21-40%)","High (&gt;40%)"))))</f>
        <v>No discount</v>
      </c>
      <c r="Y43" s="23" t="n">
        <f aca="false">IF(AND(ISNUMBER(C43),ISNUMBER(D43)),D43-C43,"")</f>
        <v>6</v>
      </c>
      <c r="Z43" s="23" t="n">
        <f aca="false">IF(B43="","",IF(MATCH(B43,$B$2:$B$12000,0)=ROW()-1,1,0))</f>
        <v>0</v>
      </c>
    </row>
    <row r="44" customFormat="false" ht="15" hidden="false" customHeight="false" outlineLevel="0" collapsed="false">
      <c r="A44" s="20" t="n">
        <v>43</v>
      </c>
      <c r="B44" s="20" t="s">
        <v>251</v>
      </c>
      <c r="C44" s="21" t="n">
        <v>41742</v>
      </c>
      <c r="D44" s="21" t="n">
        <v>41743</v>
      </c>
      <c r="E44" s="20" t="s">
        <v>58</v>
      </c>
      <c r="F44" s="20" t="s">
        <v>252</v>
      </c>
      <c r="G44" s="20" t="s">
        <v>253</v>
      </c>
      <c r="H44" s="20" t="s">
        <v>61</v>
      </c>
      <c r="I44" s="20" t="s">
        <v>62</v>
      </c>
      <c r="J44" s="20" t="s">
        <v>63</v>
      </c>
      <c r="K44" s="20" t="s">
        <v>254</v>
      </c>
      <c r="L44" s="20" t="n">
        <v>48482</v>
      </c>
      <c r="M44" s="20" t="s">
        <v>112</v>
      </c>
      <c r="N44" s="20" t="s">
        <v>255</v>
      </c>
      <c r="O44" s="20" t="s">
        <v>114</v>
      </c>
      <c r="P44" s="20" t="s">
        <v>210</v>
      </c>
      <c r="Q44" s="20" t="s">
        <v>256</v>
      </c>
      <c r="R44" s="22" t="n">
        <v>104.9</v>
      </c>
      <c r="S44" s="20" t="n">
        <v>2</v>
      </c>
      <c r="T44" s="20" t="n">
        <v>0.3</v>
      </c>
      <c r="U44" s="22" t="n">
        <v>1.99</v>
      </c>
      <c r="V44" s="23" t="n">
        <f aca="false">IF(ISNUMBER(C44),YEAR(C44),"")</f>
        <v>2014</v>
      </c>
      <c r="W44" s="23" t="n">
        <f aca="false">IF(ISNUMBER(C44),MONTH(C44),"")</f>
        <v>4</v>
      </c>
      <c r="X44" s="23" t="str">
        <f aca="false">IF(T44="","",IF(T44=0,"No discount",IF(T44&lt;=0.2,"Low (1-20%)",IF(T44&lt;=0.4,"Medium (21-40%)","High (&gt;40%)"))))</f>
        <v>Medium (21-40%)</v>
      </c>
      <c r="Y44" s="23" t="n">
        <f aca="false">IF(AND(ISNUMBER(C44),ISNUMBER(D44)),D44-C44,"")</f>
        <v>1</v>
      </c>
      <c r="Z44" s="23" t="n">
        <f aca="false">IF(B44="","",IF(MATCH(B44,$B$2:$B$12000,0)=ROW()-1,1,0))</f>
        <v>1</v>
      </c>
    </row>
    <row r="45" customFormat="false" ht="15" hidden="false" customHeight="false" outlineLevel="0" collapsed="false">
      <c r="A45" s="20" t="n">
        <v>44</v>
      </c>
      <c r="B45" s="20" t="s">
        <v>257</v>
      </c>
      <c r="C45" s="21" t="n">
        <v>41745</v>
      </c>
      <c r="D45" s="21" t="n">
        <v>41747</v>
      </c>
      <c r="E45" s="20" t="s">
        <v>58</v>
      </c>
      <c r="F45" s="20" t="s">
        <v>258</v>
      </c>
      <c r="G45" s="20" t="s">
        <v>259</v>
      </c>
      <c r="H45" s="20" t="s">
        <v>85</v>
      </c>
      <c r="I45" s="20" t="s">
        <v>62</v>
      </c>
      <c r="J45" s="20" t="s">
        <v>63</v>
      </c>
      <c r="K45" s="20" t="s">
        <v>260</v>
      </c>
      <c r="L45" s="20" t="n">
        <v>95243</v>
      </c>
      <c r="M45" s="20" t="s">
        <v>97</v>
      </c>
      <c r="N45" s="20" t="s">
        <v>261</v>
      </c>
      <c r="O45" s="20" t="s">
        <v>76</v>
      </c>
      <c r="P45" s="20" t="s">
        <v>178</v>
      </c>
      <c r="Q45" s="20" t="s">
        <v>262</v>
      </c>
      <c r="R45" s="22" t="n">
        <v>440.62</v>
      </c>
      <c r="S45" s="20" t="n">
        <v>5</v>
      </c>
      <c r="T45" s="20" t="n">
        <v>0.3</v>
      </c>
      <c r="U45" s="22" t="n">
        <v>-89.15</v>
      </c>
      <c r="V45" s="23" t="n">
        <f aca="false">IF(ISNUMBER(C45),YEAR(C45),"")</f>
        <v>2014</v>
      </c>
      <c r="W45" s="23" t="n">
        <f aca="false">IF(ISNUMBER(C45),MONTH(C45),"")</f>
        <v>4</v>
      </c>
      <c r="X45" s="23" t="str">
        <f aca="false">IF(T45="","",IF(T45=0,"No discount",IF(T45&lt;=0.2,"Low (1-20%)",IF(T45&lt;=0.4,"Medium (21-40%)","High (&gt;40%)"))))</f>
        <v>Medium (21-40%)</v>
      </c>
      <c r="Y45" s="23" t="n">
        <f aca="false">IF(AND(ISNUMBER(C45),ISNUMBER(D45)),D45-C45,"")</f>
        <v>2</v>
      </c>
      <c r="Z45" s="23" t="n">
        <f aca="false">IF(B45="","",IF(MATCH(B45,$B$2:$B$12000,0)=ROW()-1,1,0))</f>
        <v>1</v>
      </c>
    </row>
    <row r="46" customFormat="false" ht="15" hidden="false" customHeight="false" outlineLevel="0" collapsed="false">
      <c r="A46" s="20" t="n">
        <v>45</v>
      </c>
      <c r="B46" s="20" t="s">
        <v>263</v>
      </c>
      <c r="C46" s="21" t="n">
        <v>41755</v>
      </c>
      <c r="D46" s="21" t="n">
        <v>41758</v>
      </c>
      <c r="E46" s="20" t="s">
        <v>104</v>
      </c>
      <c r="F46" s="20" t="s">
        <v>264</v>
      </c>
      <c r="G46" s="20" t="s">
        <v>265</v>
      </c>
      <c r="H46" s="20" t="s">
        <v>61</v>
      </c>
      <c r="I46" s="20" t="s">
        <v>62</v>
      </c>
      <c r="J46" s="20" t="s">
        <v>63</v>
      </c>
      <c r="K46" s="20" t="s">
        <v>215</v>
      </c>
      <c r="L46" s="20" t="n">
        <v>39043</v>
      </c>
      <c r="M46" s="20" t="s">
        <v>112</v>
      </c>
      <c r="N46" s="20" t="s">
        <v>266</v>
      </c>
      <c r="O46" s="20" t="s">
        <v>76</v>
      </c>
      <c r="P46" s="20" t="s">
        <v>178</v>
      </c>
      <c r="Q46" s="20" t="s">
        <v>267</v>
      </c>
      <c r="R46" s="22" t="n">
        <v>251.98</v>
      </c>
      <c r="S46" s="20" t="n">
        <v>5</v>
      </c>
      <c r="T46" s="20" t="n">
        <v>0.5</v>
      </c>
      <c r="U46" s="22" t="n">
        <v>-74.27</v>
      </c>
      <c r="V46" s="23" t="n">
        <f aca="false">IF(ISNUMBER(C46),YEAR(C46),"")</f>
        <v>2014</v>
      </c>
      <c r="W46" s="23" t="n">
        <f aca="false">IF(ISNUMBER(C46),MONTH(C46),"")</f>
        <v>4</v>
      </c>
      <c r="X46" s="23" t="str">
        <f aca="false">IF(T46="","",IF(T46=0,"No discount",IF(T46&lt;=0.2,"Low (1-20%)",IF(T46&lt;=0.4,"Medium (21-40%)","High (&gt;40%)"))))</f>
        <v>High (&gt;40%)</v>
      </c>
      <c r="Y46" s="23" t="n">
        <f aca="false">IF(AND(ISNUMBER(C46),ISNUMBER(D46)),D46-C46,"")</f>
        <v>3</v>
      </c>
      <c r="Z46" s="23" t="n">
        <f aca="false">IF(B46="","",IF(MATCH(B46,$B$2:$B$12000,0)=ROW()-1,1,0))</f>
        <v>1</v>
      </c>
    </row>
    <row r="47" customFormat="false" ht="15" hidden="false" customHeight="false" outlineLevel="0" collapsed="false">
      <c r="A47" s="20" t="n">
        <v>46</v>
      </c>
      <c r="B47" s="20" t="s">
        <v>263</v>
      </c>
      <c r="C47" s="21" t="n">
        <v>41755</v>
      </c>
      <c r="D47" s="21" t="n">
        <v>41758</v>
      </c>
      <c r="E47" s="20" t="s">
        <v>58</v>
      </c>
      <c r="F47" s="20" t="s">
        <v>264</v>
      </c>
      <c r="G47" s="20" t="s">
        <v>265</v>
      </c>
      <c r="H47" s="20" t="s">
        <v>61</v>
      </c>
      <c r="I47" s="20" t="s">
        <v>62</v>
      </c>
      <c r="J47" s="20" t="s">
        <v>63</v>
      </c>
      <c r="K47" s="20" t="s">
        <v>215</v>
      </c>
      <c r="L47" s="20" t="n">
        <v>52461</v>
      </c>
      <c r="M47" s="20" t="s">
        <v>112</v>
      </c>
      <c r="N47" s="20" t="s">
        <v>268</v>
      </c>
      <c r="O47" s="20" t="s">
        <v>76</v>
      </c>
      <c r="P47" s="20" t="s">
        <v>236</v>
      </c>
      <c r="Q47" s="20" t="s">
        <v>269</v>
      </c>
      <c r="R47" s="22" t="n">
        <v>13.74</v>
      </c>
      <c r="S47" s="20" t="n">
        <v>1</v>
      </c>
      <c r="T47" s="20" t="n">
        <v>0.2</v>
      </c>
      <c r="U47" s="22" t="n">
        <v>3.42</v>
      </c>
      <c r="V47" s="23" t="n">
        <f aca="false">IF(ISNUMBER(C47),YEAR(C47),"")</f>
        <v>2014</v>
      </c>
      <c r="W47" s="23" t="n">
        <f aca="false">IF(ISNUMBER(C47),MONTH(C47),"")</f>
        <v>4</v>
      </c>
      <c r="X47" s="23" t="str">
        <f aca="false">IF(T47="","",IF(T47=0,"No discount",IF(T47&lt;=0.2,"Low (1-20%)",IF(T47&lt;=0.4,"Medium (21-40%)","High (&gt;40%)"))))</f>
        <v>Low (1-20%)</v>
      </c>
      <c r="Y47" s="23" t="n">
        <f aca="false">IF(AND(ISNUMBER(C47),ISNUMBER(D47)),D47-C47,"")</f>
        <v>3</v>
      </c>
      <c r="Z47" s="23" t="n">
        <f aca="false">IF(B47="","",IF(MATCH(B47,$B$2:$B$12000,0)=ROW()-1,1,0))</f>
        <v>0</v>
      </c>
    </row>
    <row r="48" customFormat="false" ht="15" hidden="false" customHeight="false" outlineLevel="0" collapsed="false">
      <c r="A48" s="20" t="n">
        <v>47</v>
      </c>
      <c r="B48" s="20" t="s">
        <v>270</v>
      </c>
      <c r="C48" s="21" t="n">
        <v>41766</v>
      </c>
      <c r="D48" s="21" t="n">
        <v>41768</v>
      </c>
      <c r="E48" s="20" t="s">
        <v>71</v>
      </c>
      <c r="F48" s="20" t="s">
        <v>200</v>
      </c>
      <c r="G48" s="20" t="s">
        <v>201</v>
      </c>
      <c r="H48" s="20" t="s">
        <v>162</v>
      </c>
      <c r="I48" s="20" t="s">
        <v>62</v>
      </c>
      <c r="J48" s="20" t="s">
        <v>63</v>
      </c>
      <c r="K48" s="20" t="s">
        <v>271</v>
      </c>
      <c r="L48" s="20" t="n">
        <v>77763</v>
      </c>
      <c r="M48" s="20" t="s">
        <v>97</v>
      </c>
      <c r="N48" s="20" t="s">
        <v>272</v>
      </c>
      <c r="O48" s="20" t="s">
        <v>76</v>
      </c>
      <c r="P48" s="20" t="s">
        <v>88</v>
      </c>
      <c r="Q48" s="20" t="s">
        <v>273</v>
      </c>
      <c r="R48" s="22" t="n">
        <v>110.51</v>
      </c>
      <c r="S48" s="20" t="n">
        <v>3</v>
      </c>
      <c r="T48" s="20" t="n">
        <v>0.4</v>
      </c>
      <c r="U48" s="22" t="n">
        <v>-5.84</v>
      </c>
      <c r="V48" s="23" t="n">
        <f aca="false">IF(ISNUMBER(C48),YEAR(C48),"")</f>
        <v>2014</v>
      </c>
      <c r="W48" s="23" t="n">
        <f aca="false">IF(ISNUMBER(C48),MONTH(C48),"")</f>
        <v>5</v>
      </c>
      <c r="X48" s="23" t="str">
        <f aca="false">IF(T48="","",IF(T48=0,"No discount",IF(T48&lt;=0.2,"Low (1-20%)",IF(T48&lt;=0.4,"Medium (21-40%)","High (&gt;40%)"))))</f>
        <v>Medium (21-40%)</v>
      </c>
      <c r="Y48" s="23" t="n">
        <f aca="false">IF(AND(ISNUMBER(C48),ISNUMBER(D48)),D48-C48,"")</f>
        <v>2</v>
      </c>
      <c r="Z48" s="23" t="n">
        <f aca="false">IF(B48="","",IF(MATCH(B48,$B$2:$B$12000,0)=ROW()-1,1,0))</f>
        <v>1</v>
      </c>
    </row>
    <row r="49" customFormat="false" ht="15" hidden="false" customHeight="false" outlineLevel="0" collapsed="false">
      <c r="A49" s="20" t="n">
        <v>48</v>
      </c>
      <c r="B49" s="20" t="s">
        <v>274</v>
      </c>
      <c r="C49" s="21" t="n">
        <v>41767</v>
      </c>
      <c r="D49" s="21" t="n">
        <v>41774</v>
      </c>
      <c r="E49" s="20" t="s">
        <v>104</v>
      </c>
      <c r="F49" s="20" t="s">
        <v>213</v>
      </c>
      <c r="G49" s="20" t="s">
        <v>214</v>
      </c>
      <c r="H49" s="20" t="s">
        <v>162</v>
      </c>
      <c r="I49" s="20" t="s">
        <v>62</v>
      </c>
      <c r="J49" s="20" t="s">
        <v>63</v>
      </c>
      <c r="K49" s="20" t="s">
        <v>275</v>
      </c>
      <c r="L49" s="20" t="n">
        <v>28392</v>
      </c>
      <c r="M49" s="20" t="s">
        <v>153</v>
      </c>
      <c r="N49" s="20" t="s">
        <v>276</v>
      </c>
      <c r="O49" s="20" t="s">
        <v>114</v>
      </c>
      <c r="P49" s="20" t="s">
        <v>115</v>
      </c>
      <c r="Q49" s="20" t="s">
        <v>277</v>
      </c>
      <c r="R49" s="22" t="n">
        <v>725.3</v>
      </c>
      <c r="S49" s="20" t="n">
        <v>3</v>
      </c>
      <c r="T49" s="20" t="n">
        <v>0.2</v>
      </c>
      <c r="U49" s="22" t="n">
        <v>-42.76</v>
      </c>
      <c r="V49" s="23" t="n">
        <f aca="false">IF(ISNUMBER(C49),YEAR(C49),"")</f>
        <v>2014</v>
      </c>
      <c r="W49" s="23" t="n">
        <f aca="false">IF(ISNUMBER(C49),MONTH(C49),"")</f>
        <v>5</v>
      </c>
      <c r="X49" s="23" t="str">
        <f aca="false">IF(T49="","",IF(T49=0,"No discount",IF(T49&lt;=0.2,"Low (1-20%)",IF(T49&lt;=0.4,"Medium (21-40%)","High (&gt;40%)"))))</f>
        <v>Low (1-20%)</v>
      </c>
      <c r="Y49" s="23" t="n">
        <f aca="false">IF(AND(ISNUMBER(C49),ISNUMBER(D49)),D49-C49,"")</f>
        <v>7</v>
      </c>
      <c r="Z49" s="23" t="n">
        <f aca="false">IF(B49="","",IF(MATCH(B49,$B$2:$B$12000,0)=ROW()-1,1,0))</f>
        <v>1</v>
      </c>
    </row>
    <row r="50" customFormat="false" ht="15" hidden="false" customHeight="false" outlineLevel="0" collapsed="false">
      <c r="A50" s="20" t="n">
        <v>49</v>
      </c>
      <c r="B50" s="20" t="s">
        <v>274</v>
      </c>
      <c r="C50" s="21" t="n">
        <v>41767</v>
      </c>
      <c r="D50" s="21" t="n">
        <v>41774</v>
      </c>
      <c r="E50" s="20" t="s">
        <v>58</v>
      </c>
      <c r="F50" s="20" t="s">
        <v>213</v>
      </c>
      <c r="G50" s="20" t="s">
        <v>214</v>
      </c>
      <c r="H50" s="20" t="s">
        <v>162</v>
      </c>
      <c r="I50" s="20" t="s">
        <v>62</v>
      </c>
      <c r="J50" s="20" t="s">
        <v>63</v>
      </c>
      <c r="K50" s="20" t="s">
        <v>275</v>
      </c>
      <c r="L50" s="20" t="n">
        <v>64137</v>
      </c>
      <c r="M50" s="20" t="s">
        <v>153</v>
      </c>
      <c r="N50" s="20" t="s">
        <v>278</v>
      </c>
      <c r="O50" s="20" t="s">
        <v>76</v>
      </c>
      <c r="P50" s="20" t="s">
        <v>185</v>
      </c>
      <c r="Q50" s="20" t="s">
        <v>279</v>
      </c>
      <c r="R50" s="22" t="n">
        <v>12.48</v>
      </c>
      <c r="S50" s="20" t="n">
        <v>2</v>
      </c>
      <c r="T50" s="20" t="n">
        <v>0.3</v>
      </c>
      <c r="U50" s="22" t="n">
        <v>0.9</v>
      </c>
      <c r="V50" s="23" t="n">
        <f aca="false">IF(ISNUMBER(C50),YEAR(C50),"")</f>
        <v>2014</v>
      </c>
      <c r="W50" s="23" t="n">
        <f aca="false">IF(ISNUMBER(C50),MONTH(C50),"")</f>
        <v>5</v>
      </c>
      <c r="X50" s="23" t="str">
        <f aca="false">IF(T50="","",IF(T50=0,"No discount",IF(T50&lt;=0.2,"Low (1-20%)",IF(T50&lt;=0.4,"Medium (21-40%)","High (&gt;40%)"))))</f>
        <v>Medium (21-40%)</v>
      </c>
      <c r="Y50" s="23" t="n">
        <f aca="false">IF(AND(ISNUMBER(C50),ISNUMBER(D50)),D50-C50,"")</f>
        <v>7</v>
      </c>
      <c r="Z50" s="23" t="n">
        <f aca="false">IF(B50="","",IF(MATCH(B50,$B$2:$B$12000,0)=ROW()-1,1,0))</f>
        <v>0</v>
      </c>
    </row>
    <row r="51" customFormat="false" ht="15" hidden="false" customHeight="false" outlineLevel="0" collapsed="false">
      <c r="A51" s="20" t="n">
        <v>50</v>
      </c>
      <c r="B51" s="20" t="s">
        <v>280</v>
      </c>
      <c r="C51" s="21" t="n">
        <v>41774</v>
      </c>
      <c r="D51" s="21" t="n">
        <v>41779</v>
      </c>
      <c r="E51" s="20" t="s">
        <v>104</v>
      </c>
      <c r="F51" s="20" t="s">
        <v>281</v>
      </c>
      <c r="G51" s="20" t="s">
        <v>282</v>
      </c>
      <c r="H51" s="20" t="s">
        <v>61</v>
      </c>
      <c r="I51" s="20" t="s">
        <v>62</v>
      </c>
      <c r="J51" s="20" t="s">
        <v>63</v>
      </c>
      <c r="K51" s="20" t="s">
        <v>120</v>
      </c>
      <c r="L51" s="20" t="n">
        <v>91448</v>
      </c>
      <c r="M51" s="20" t="s">
        <v>112</v>
      </c>
      <c r="N51" s="20" t="s">
        <v>283</v>
      </c>
      <c r="O51" s="20" t="s">
        <v>114</v>
      </c>
      <c r="P51" s="20" t="s">
        <v>167</v>
      </c>
      <c r="Q51" s="20" t="s">
        <v>284</v>
      </c>
      <c r="R51" s="22" t="n">
        <v>1907.91</v>
      </c>
      <c r="S51" s="20" t="n">
        <v>3</v>
      </c>
      <c r="T51" s="20" t="n">
        <v>0.2</v>
      </c>
      <c r="U51" s="22" t="n">
        <v>-480.32</v>
      </c>
      <c r="V51" s="23" t="n">
        <f aca="false">IF(ISNUMBER(C51),YEAR(C51),"")</f>
        <v>2014</v>
      </c>
      <c r="W51" s="23" t="n">
        <f aca="false">IF(ISNUMBER(C51),MONTH(C51),"")</f>
        <v>5</v>
      </c>
      <c r="X51" s="23" t="str">
        <f aca="false">IF(T51="","",IF(T51=0,"No discount",IF(T51&lt;=0.2,"Low (1-20%)",IF(T51&lt;=0.4,"Medium (21-40%)","High (&gt;40%)"))))</f>
        <v>Low (1-20%)</v>
      </c>
      <c r="Y51" s="23" t="n">
        <f aca="false">IF(AND(ISNUMBER(C51),ISNUMBER(D51)),D51-C51,"")</f>
        <v>5</v>
      </c>
      <c r="Z51" s="23" t="n">
        <f aca="false">IF(B51="","",IF(MATCH(B51,$B$2:$B$12000,0)=ROW()-1,1,0))</f>
        <v>1</v>
      </c>
    </row>
    <row r="52" customFormat="false" ht="15" hidden="false" customHeight="false" outlineLevel="0" collapsed="false">
      <c r="A52" s="20" t="n">
        <v>51</v>
      </c>
      <c r="B52" s="20" t="s">
        <v>285</v>
      </c>
      <c r="C52" s="21" t="n">
        <v>41785</v>
      </c>
      <c r="D52" s="21" t="n">
        <v>41791</v>
      </c>
      <c r="E52" s="20" t="s">
        <v>104</v>
      </c>
      <c r="F52" s="20" t="s">
        <v>286</v>
      </c>
      <c r="G52" s="20" t="s">
        <v>287</v>
      </c>
      <c r="H52" s="20" t="s">
        <v>61</v>
      </c>
      <c r="I52" s="20" t="s">
        <v>62</v>
      </c>
      <c r="J52" s="20" t="s">
        <v>63</v>
      </c>
      <c r="K52" s="20" t="s">
        <v>288</v>
      </c>
      <c r="L52" s="20" t="n">
        <v>10886</v>
      </c>
      <c r="M52" s="20" t="s">
        <v>97</v>
      </c>
      <c r="N52" s="20" t="s">
        <v>289</v>
      </c>
      <c r="O52" s="20" t="s">
        <v>76</v>
      </c>
      <c r="P52" s="20" t="s">
        <v>101</v>
      </c>
      <c r="Q52" s="20" t="s">
        <v>290</v>
      </c>
      <c r="R52" s="22" t="n">
        <v>72.26</v>
      </c>
      <c r="S52" s="20" t="n">
        <v>5</v>
      </c>
      <c r="T52" s="20" t="n">
        <v>0.2</v>
      </c>
      <c r="U52" s="22" t="n">
        <v>16.89</v>
      </c>
      <c r="V52" s="23" t="n">
        <f aca="false">IF(ISNUMBER(C52),YEAR(C52),"")</f>
        <v>2014</v>
      </c>
      <c r="W52" s="23" t="n">
        <f aca="false">IF(ISNUMBER(C52),MONTH(C52),"")</f>
        <v>5</v>
      </c>
      <c r="X52" s="23" t="str">
        <f aca="false">IF(T52="","",IF(T52=0,"No discount",IF(T52&lt;=0.2,"Low (1-20%)",IF(T52&lt;=0.4,"Medium (21-40%)","High (&gt;40%)"))))</f>
        <v>Low (1-20%)</v>
      </c>
      <c r="Y52" s="23" t="n">
        <f aca="false">IF(AND(ISNUMBER(C52),ISNUMBER(D52)),D52-C52,"")</f>
        <v>6</v>
      </c>
      <c r="Z52" s="23" t="n">
        <f aca="false">IF(B52="","",IF(MATCH(B52,$B$2:$B$12000,0)=ROW()-1,1,0))</f>
        <v>1</v>
      </c>
    </row>
    <row r="53" customFormat="false" ht="15" hidden="false" customHeight="false" outlineLevel="0" collapsed="false">
      <c r="A53" s="20" t="n">
        <v>52</v>
      </c>
      <c r="B53" s="20" t="s">
        <v>285</v>
      </c>
      <c r="C53" s="21" t="n">
        <v>41785</v>
      </c>
      <c r="D53" s="21" t="n">
        <v>41791</v>
      </c>
      <c r="E53" s="20" t="s">
        <v>90</v>
      </c>
      <c r="F53" s="20" t="s">
        <v>286</v>
      </c>
      <c r="G53" s="20" t="s">
        <v>287</v>
      </c>
      <c r="H53" s="20" t="s">
        <v>61</v>
      </c>
      <c r="I53" s="20" t="s">
        <v>62</v>
      </c>
      <c r="J53" s="20" t="s">
        <v>63</v>
      </c>
      <c r="K53" s="20" t="s">
        <v>288</v>
      </c>
      <c r="L53" s="20" t="n">
        <v>86229</v>
      </c>
      <c r="M53" s="20" t="s">
        <v>97</v>
      </c>
      <c r="N53" s="20" t="s">
        <v>291</v>
      </c>
      <c r="O53" s="20" t="s">
        <v>76</v>
      </c>
      <c r="P53" s="20" t="s">
        <v>80</v>
      </c>
      <c r="Q53" s="20" t="s">
        <v>292</v>
      </c>
      <c r="R53" s="22" t="n">
        <v>231.93</v>
      </c>
      <c r="S53" s="20" t="n">
        <v>5</v>
      </c>
      <c r="T53" s="20" t="n">
        <v>0</v>
      </c>
      <c r="U53" s="22" t="n">
        <v>65.69</v>
      </c>
      <c r="V53" s="23" t="n">
        <f aca="false">IF(ISNUMBER(C53),YEAR(C53),"")</f>
        <v>2014</v>
      </c>
      <c r="W53" s="23" t="n">
        <f aca="false">IF(ISNUMBER(C53),MONTH(C53),"")</f>
        <v>5</v>
      </c>
      <c r="X53" s="23" t="str">
        <f aca="false">IF(T53="","",IF(T53=0,"No discount",IF(T53&lt;=0.2,"Low (1-20%)",IF(T53&lt;=0.4,"Medium (21-40%)","High (&gt;40%)"))))</f>
        <v>No discount</v>
      </c>
      <c r="Y53" s="23" t="n">
        <f aca="false">IF(AND(ISNUMBER(C53),ISNUMBER(D53)),D53-C53,"")</f>
        <v>6</v>
      </c>
      <c r="Z53" s="23" t="n">
        <f aca="false">IF(B53="","",IF(MATCH(B53,$B$2:$B$12000,0)=ROW()-1,1,0))</f>
        <v>0</v>
      </c>
    </row>
    <row r="54" customFormat="false" ht="15" hidden="false" customHeight="false" outlineLevel="0" collapsed="false">
      <c r="A54" s="20" t="n">
        <v>53</v>
      </c>
      <c r="B54" s="20" t="s">
        <v>293</v>
      </c>
      <c r="C54" s="21" t="n">
        <v>41791</v>
      </c>
      <c r="D54" s="21" t="n">
        <v>41794</v>
      </c>
      <c r="E54" s="20" t="s">
        <v>71</v>
      </c>
      <c r="F54" s="20" t="s">
        <v>294</v>
      </c>
      <c r="G54" s="20" t="s">
        <v>295</v>
      </c>
      <c r="H54" s="20" t="s">
        <v>61</v>
      </c>
      <c r="I54" s="20" t="s">
        <v>62</v>
      </c>
      <c r="J54" s="20" t="s">
        <v>63</v>
      </c>
      <c r="K54" s="20" t="s">
        <v>296</v>
      </c>
      <c r="L54" s="20" t="n">
        <v>16218</v>
      </c>
      <c r="M54" s="20" t="s">
        <v>153</v>
      </c>
      <c r="N54" s="20" t="s">
        <v>297</v>
      </c>
      <c r="O54" s="20" t="s">
        <v>67</v>
      </c>
      <c r="P54" s="20" t="s">
        <v>68</v>
      </c>
      <c r="Q54" s="20" t="s">
        <v>298</v>
      </c>
      <c r="R54" s="22" t="n">
        <v>17581.81</v>
      </c>
      <c r="S54" s="20" t="n">
        <v>6</v>
      </c>
      <c r="T54" s="20" t="n">
        <v>0</v>
      </c>
      <c r="U54" s="22" t="n">
        <v>6977.98</v>
      </c>
      <c r="V54" s="23" t="n">
        <f aca="false">IF(ISNUMBER(C54),YEAR(C54),"")</f>
        <v>2014</v>
      </c>
      <c r="W54" s="23" t="n">
        <f aca="false">IF(ISNUMBER(C54),MONTH(C54),"")</f>
        <v>6</v>
      </c>
      <c r="X54" s="23" t="str">
        <f aca="false">IF(T54="","",IF(T54=0,"No discount",IF(T54&lt;=0.2,"Low (1-20%)",IF(T54&lt;=0.4,"Medium (21-40%)","High (&gt;40%)"))))</f>
        <v>No discount</v>
      </c>
      <c r="Y54" s="23" t="n">
        <f aca="false">IF(AND(ISNUMBER(C54),ISNUMBER(D54)),D54-C54,"")</f>
        <v>3</v>
      </c>
      <c r="Z54" s="23" t="n">
        <f aca="false">IF(B54="","",IF(MATCH(B54,$B$2:$B$12000,0)=ROW()-1,1,0))</f>
        <v>1</v>
      </c>
    </row>
    <row r="55" customFormat="false" ht="15" hidden="false" customHeight="false" outlineLevel="0" collapsed="false">
      <c r="A55" s="20" t="n">
        <v>54</v>
      </c>
      <c r="B55" s="20" t="s">
        <v>293</v>
      </c>
      <c r="C55" s="21" t="n">
        <v>41791</v>
      </c>
      <c r="D55" s="21" t="n">
        <v>41794</v>
      </c>
      <c r="E55" s="20" t="s">
        <v>90</v>
      </c>
      <c r="F55" s="20" t="s">
        <v>294</v>
      </c>
      <c r="G55" s="20" t="s">
        <v>295</v>
      </c>
      <c r="H55" s="20" t="s">
        <v>61</v>
      </c>
      <c r="I55" s="20" t="s">
        <v>62</v>
      </c>
      <c r="J55" s="20" t="s">
        <v>63</v>
      </c>
      <c r="K55" s="20" t="s">
        <v>296</v>
      </c>
      <c r="L55" s="20" t="n">
        <v>77822</v>
      </c>
      <c r="M55" s="20" t="s">
        <v>153</v>
      </c>
      <c r="N55" s="20" t="s">
        <v>299</v>
      </c>
      <c r="O55" s="20" t="s">
        <v>67</v>
      </c>
      <c r="P55" s="20" t="s">
        <v>164</v>
      </c>
      <c r="Q55" s="20" t="s">
        <v>300</v>
      </c>
      <c r="R55" s="22" t="n">
        <v>3017.97</v>
      </c>
      <c r="S55" s="20" t="n">
        <v>5</v>
      </c>
      <c r="T55" s="20" t="n">
        <v>0.4</v>
      </c>
      <c r="U55" s="22" t="n">
        <v>-811.45</v>
      </c>
      <c r="V55" s="23" t="n">
        <f aca="false">IF(ISNUMBER(C55),YEAR(C55),"")</f>
        <v>2014</v>
      </c>
      <c r="W55" s="23" t="n">
        <f aca="false">IF(ISNUMBER(C55),MONTH(C55),"")</f>
        <v>6</v>
      </c>
      <c r="X55" s="23" t="str">
        <f aca="false">IF(T55="","",IF(T55=0,"No discount",IF(T55&lt;=0.2,"Low (1-20%)",IF(T55&lt;=0.4,"Medium (21-40%)","High (&gt;40%)"))))</f>
        <v>Medium (21-40%)</v>
      </c>
      <c r="Y55" s="23" t="n">
        <f aca="false">IF(AND(ISNUMBER(C55),ISNUMBER(D55)),D55-C55,"")</f>
        <v>3</v>
      </c>
      <c r="Z55" s="23" t="n">
        <f aca="false">IF(B55="","",IF(MATCH(B55,$B$2:$B$12000,0)=ROW()-1,1,0))</f>
        <v>0</v>
      </c>
    </row>
    <row r="56" customFormat="false" ht="15" hidden="false" customHeight="false" outlineLevel="0" collapsed="false">
      <c r="A56" s="20" t="n">
        <v>55</v>
      </c>
      <c r="B56" s="20" t="s">
        <v>293</v>
      </c>
      <c r="C56" s="21" t="n">
        <v>41791</v>
      </c>
      <c r="D56" s="21" t="n">
        <v>41794</v>
      </c>
      <c r="E56" s="20" t="s">
        <v>71</v>
      </c>
      <c r="F56" s="20" t="s">
        <v>294</v>
      </c>
      <c r="G56" s="20" t="s">
        <v>295</v>
      </c>
      <c r="H56" s="20" t="s">
        <v>61</v>
      </c>
      <c r="I56" s="20" t="s">
        <v>62</v>
      </c>
      <c r="J56" s="20" t="s">
        <v>63</v>
      </c>
      <c r="K56" s="20" t="s">
        <v>296</v>
      </c>
      <c r="L56" s="20" t="n">
        <v>98667</v>
      </c>
      <c r="M56" s="20" t="s">
        <v>153</v>
      </c>
      <c r="N56" s="20" t="s">
        <v>301</v>
      </c>
      <c r="O56" s="20" t="s">
        <v>76</v>
      </c>
      <c r="P56" s="20" t="s">
        <v>236</v>
      </c>
      <c r="Q56" s="20" t="s">
        <v>302</v>
      </c>
      <c r="R56" s="22" t="n">
        <v>51.54</v>
      </c>
      <c r="S56" s="20" t="n">
        <v>8</v>
      </c>
      <c r="T56" s="20" t="n">
        <v>0.2</v>
      </c>
      <c r="U56" s="22" t="n">
        <v>12.13</v>
      </c>
      <c r="V56" s="23" t="n">
        <f aca="false">IF(ISNUMBER(C56),YEAR(C56),"")</f>
        <v>2014</v>
      </c>
      <c r="W56" s="23" t="n">
        <f aca="false">IF(ISNUMBER(C56),MONTH(C56),"")</f>
        <v>6</v>
      </c>
      <c r="X56" s="23" t="str">
        <f aca="false">IF(T56="","",IF(T56=0,"No discount",IF(T56&lt;=0.2,"Low (1-20%)",IF(T56&lt;=0.4,"Medium (21-40%)","High (&gt;40%)"))))</f>
        <v>Low (1-20%)</v>
      </c>
      <c r="Y56" s="23" t="n">
        <f aca="false">IF(AND(ISNUMBER(C56),ISNUMBER(D56)),D56-C56,"")</f>
        <v>3</v>
      </c>
      <c r="Z56" s="23" t="n">
        <f aca="false">IF(B56="","",IF(MATCH(B56,$B$2:$B$12000,0)=ROW()-1,1,0))</f>
        <v>0</v>
      </c>
    </row>
    <row r="57" customFormat="false" ht="15" hidden="false" customHeight="false" outlineLevel="0" collapsed="false">
      <c r="A57" s="20" t="n">
        <v>56</v>
      </c>
      <c r="B57" s="20" t="s">
        <v>293</v>
      </c>
      <c r="C57" s="21" t="n">
        <v>41791</v>
      </c>
      <c r="D57" s="21" t="n">
        <v>41794</v>
      </c>
      <c r="E57" s="20" t="s">
        <v>58</v>
      </c>
      <c r="F57" s="20" t="s">
        <v>294</v>
      </c>
      <c r="G57" s="20" t="s">
        <v>295</v>
      </c>
      <c r="H57" s="20" t="s">
        <v>61</v>
      </c>
      <c r="I57" s="20" t="s">
        <v>62</v>
      </c>
      <c r="J57" s="20" t="s">
        <v>63</v>
      </c>
      <c r="K57" s="20" t="s">
        <v>296</v>
      </c>
      <c r="L57" s="20" t="n">
        <v>34669</v>
      </c>
      <c r="M57" s="20" t="s">
        <v>153</v>
      </c>
      <c r="N57" s="20" t="s">
        <v>303</v>
      </c>
      <c r="O57" s="20" t="s">
        <v>114</v>
      </c>
      <c r="P57" s="20" t="s">
        <v>167</v>
      </c>
      <c r="Q57" s="20" t="s">
        <v>304</v>
      </c>
      <c r="R57" s="22" t="n">
        <v>1730.25</v>
      </c>
      <c r="S57" s="20" t="n">
        <v>6</v>
      </c>
      <c r="T57" s="20" t="n">
        <v>0.4</v>
      </c>
      <c r="U57" s="22" t="n">
        <v>-638.69</v>
      </c>
      <c r="V57" s="23" t="n">
        <f aca="false">IF(ISNUMBER(C57),YEAR(C57),"")</f>
        <v>2014</v>
      </c>
      <c r="W57" s="23" t="n">
        <f aca="false">IF(ISNUMBER(C57),MONTH(C57),"")</f>
        <v>6</v>
      </c>
      <c r="X57" s="23" t="str">
        <f aca="false">IF(T57="","",IF(T57=0,"No discount",IF(T57&lt;=0.2,"Low (1-20%)",IF(T57&lt;=0.4,"Medium (21-40%)","High (&gt;40%)"))))</f>
        <v>Medium (21-40%)</v>
      </c>
      <c r="Y57" s="23" t="n">
        <f aca="false">IF(AND(ISNUMBER(C57),ISNUMBER(D57)),D57-C57,"")</f>
        <v>3</v>
      </c>
      <c r="Z57" s="23" t="n">
        <f aca="false">IF(B57="","",IF(MATCH(B57,$B$2:$B$12000,0)=ROW()-1,1,0))</f>
        <v>0</v>
      </c>
    </row>
    <row r="58" customFormat="false" ht="15" hidden="false" customHeight="false" outlineLevel="0" collapsed="false">
      <c r="A58" s="20" t="n">
        <v>57</v>
      </c>
      <c r="B58" s="20" t="s">
        <v>305</v>
      </c>
      <c r="C58" s="21" t="n">
        <v>41792</v>
      </c>
      <c r="D58" s="21" t="n">
        <v>41799</v>
      </c>
      <c r="E58" s="20" t="s">
        <v>104</v>
      </c>
      <c r="F58" s="20" t="s">
        <v>244</v>
      </c>
      <c r="G58" s="20" t="s">
        <v>245</v>
      </c>
      <c r="H58" s="20" t="s">
        <v>61</v>
      </c>
      <c r="I58" s="20" t="s">
        <v>62</v>
      </c>
      <c r="J58" s="20" t="s">
        <v>63</v>
      </c>
      <c r="K58" s="20" t="s">
        <v>288</v>
      </c>
      <c r="L58" s="20" t="n">
        <v>77186</v>
      </c>
      <c r="M58" s="20" t="s">
        <v>97</v>
      </c>
      <c r="N58" s="20" t="s">
        <v>306</v>
      </c>
      <c r="O58" s="20" t="s">
        <v>76</v>
      </c>
      <c r="P58" s="20" t="s">
        <v>101</v>
      </c>
      <c r="Q58" s="20" t="s">
        <v>307</v>
      </c>
      <c r="R58" s="22" t="n">
        <v>34.12</v>
      </c>
      <c r="S58" s="20" t="n">
        <v>2</v>
      </c>
      <c r="T58" s="20" t="n">
        <v>0</v>
      </c>
      <c r="U58" s="22" t="n">
        <v>13.2</v>
      </c>
      <c r="V58" s="23" t="n">
        <f aca="false">IF(ISNUMBER(C58),YEAR(C58),"")</f>
        <v>2014</v>
      </c>
      <c r="W58" s="23" t="n">
        <f aca="false">IF(ISNUMBER(C58),MONTH(C58),"")</f>
        <v>6</v>
      </c>
      <c r="X58" s="23" t="str">
        <f aca="false">IF(T58="","",IF(T58=0,"No discount",IF(T58&lt;=0.2,"Low (1-20%)",IF(T58&lt;=0.4,"Medium (21-40%)","High (&gt;40%)"))))</f>
        <v>No discount</v>
      </c>
      <c r="Y58" s="23" t="n">
        <f aca="false">IF(AND(ISNUMBER(C58),ISNUMBER(D58)),D58-C58,"")</f>
        <v>7</v>
      </c>
      <c r="Z58" s="23" t="n">
        <f aca="false">IF(B58="","",IF(MATCH(B58,$B$2:$B$12000,0)=ROW()-1,1,0))</f>
        <v>1</v>
      </c>
    </row>
    <row r="59" customFormat="false" ht="15" hidden="false" customHeight="false" outlineLevel="0" collapsed="false">
      <c r="A59" s="20" t="n">
        <v>58</v>
      </c>
      <c r="B59" s="20" t="s">
        <v>308</v>
      </c>
      <c r="C59" s="21" t="n">
        <v>41793</v>
      </c>
      <c r="D59" s="21" t="n">
        <v>41799</v>
      </c>
      <c r="E59" s="20" t="s">
        <v>104</v>
      </c>
      <c r="F59" s="20" t="s">
        <v>252</v>
      </c>
      <c r="G59" s="20" t="s">
        <v>253</v>
      </c>
      <c r="H59" s="20" t="s">
        <v>61</v>
      </c>
      <c r="I59" s="20" t="s">
        <v>62</v>
      </c>
      <c r="J59" s="20" t="s">
        <v>63</v>
      </c>
      <c r="K59" s="20" t="s">
        <v>271</v>
      </c>
      <c r="L59" s="20" t="n">
        <v>77057</v>
      </c>
      <c r="M59" s="20" t="s">
        <v>97</v>
      </c>
      <c r="N59" s="20" t="s">
        <v>309</v>
      </c>
      <c r="O59" s="20" t="s">
        <v>76</v>
      </c>
      <c r="P59" s="20" t="s">
        <v>178</v>
      </c>
      <c r="Q59" s="20" t="s">
        <v>310</v>
      </c>
      <c r="R59" s="22" t="n">
        <v>83.4</v>
      </c>
      <c r="S59" s="20" t="n">
        <v>7</v>
      </c>
      <c r="T59" s="20" t="n">
        <v>0.7</v>
      </c>
      <c r="U59" s="22" t="n">
        <v>-33.8</v>
      </c>
      <c r="V59" s="23" t="n">
        <f aca="false">IF(ISNUMBER(C59),YEAR(C59),"")</f>
        <v>2014</v>
      </c>
      <c r="W59" s="23" t="n">
        <f aca="false">IF(ISNUMBER(C59),MONTH(C59),"")</f>
        <v>6</v>
      </c>
      <c r="X59" s="23" t="str">
        <f aca="false">IF(T59="","",IF(T59=0,"No discount",IF(T59&lt;=0.2,"Low (1-20%)",IF(T59&lt;=0.4,"Medium (21-40%)","High (&gt;40%)"))))</f>
        <v>High (&gt;40%)</v>
      </c>
      <c r="Y59" s="23" t="n">
        <f aca="false">IF(AND(ISNUMBER(C59),ISNUMBER(D59)),D59-C59,"")</f>
        <v>6</v>
      </c>
      <c r="Z59" s="23" t="n">
        <f aca="false">IF(B59="","",IF(MATCH(B59,$B$2:$B$12000,0)=ROW()-1,1,0))</f>
        <v>1</v>
      </c>
    </row>
    <row r="60" customFormat="false" ht="15" hidden="false" customHeight="false" outlineLevel="0" collapsed="false">
      <c r="A60" s="20" t="n">
        <v>59</v>
      </c>
      <c r="B60" s="20" t="s">
        <v>308</v>
      </c>
      <c r="C60" s="21" t="n">
        <v>41793</v>
      </c>
      <c r="D60" s="21" t="n">
        <v>41799</v>
      </c>
      <c r="E60" s="20" t="s">
        <v>71</v>
      </c>
      <c r="F60" s="20" t="s">
        <v>252</v>
      </c>
      <c r="G60" s="20" t="s">
        <v>253</v>
      </c>
      <c r="H60" s="20" t="s">
        <v>61</v>
      </c>
      <c r="I60" s="20" t="s">
        <v>62</v>
      </c>
      <c r="J60" s="20" t="s">
        <v>63</v>
      </c>
      <c r="K60" s="20" t="s">
        <v>271</v>
      </c>
      <c r="L60" s="20" t="n">
        <v>63925</v>
      </c>
      <c r="M60" s="20" t="s">
        <v>97</v>
      </c>
      <c r="N60" s="20" t="s">
        <v>311</v>
      </c>
      <c r="O60" s="20" t="s">
        <v>67</v>
      </c>
      <c r="P60" s="20" t="s">
        <v>106</v>
      </c>
      <c r="Q60" s="20" t="s">
        <v>312</v>
      </c>
      <c r="R60" s="22" t="n">
        <v>1790.04</v>
      </c>
      <c r="S60" s="20" t="n">
        <v>3</v>
      </c>
      <c r="T60" s="20" t="n">
        <v>0</v>
      </c>
      <c r="U60" s="22" t="n">
        <v>201.89</v>
      </c>
      <c r="V60" s="23" t="n">
        <f aca="false">IF(ISNUMBER(C60),YEAR(C60),"")</f>
        <v>2014</v>
      </c>
      <c r="W60" s="23" t="n">
        <f aca="false">IF(ISNUMBER(C60),MONTH(C60),"")</f>
        <v>6</v>
      </c>
      <c r="X60" s="23" t="str">
        <f aca="false">IF(T60="","",IF(T60=0,"No discount",IF(T60&lt;=0.2,"Low (1-20%)",IF(T60&lt;=0.4,"Medium (21-40%)","High (&gt;40%)"))))</f>
        <v>No discount</v>
      </c>
      <c r="Y60" s="23" t="n">
        <f aca="false">IF(AND(ISNUMBER(C60),ISNUMBER(D60)),D60-C60,"")</f>
        <v>6</v>
      </c>
      <c r="Z60" s="23" t="n">
        <f aca="false">IF(B60="","",IF(MATCH(B60,$B$2:$B$12000,0)=ROW()-1,1,0))</f>
        <v>0</v>
      </c>
    </row>
    <row r="61" customFormat="false" ht="15" hidden="false" customHeight="false" outlineLevel="0" collapsed="false">
      <c r="A61" s="20" t="n">
        <v>60</v>
      </c>
      <c r="B61" s="20" t="s">
        <v>313</v>
      </c>
      <c r="C61" s="21" t="n">
        <v>41794</v>
      </c>
      <c r="D61" s="21" t="n">
        <v>41800</v>
      </c>
      <c r="E61" s="20" t="s">
        <v>71</v>
      </c>
      <c r="F61" s="20" t="s">
        <v>314</v>
      </c>
      <c r="G61" s="20" t="s">
        <v>315</v>
      </c>
      <c r="H61" s="20" t="s">
        <v>61</v>
      </c>
      <c r="I61" s="20" t="s">
        <v>62</v>
      </c>
      <c r="J61" s="20" t="s">
        <v>63</v>
      </c>
      <c r="K61" s="20" t="s">
        <v>215</v>
      </c>
      <c r="L61" s="20" t="n">
        <v>35775</v>
      </c>
      <c r="M61" s="20" t="s">
        <v>112</v>
      </c>
      <c r="N61" s="20" t="s">
        <v>316</v>
      </c>
      <c r="O61" s="20" t="s">
        <v>76</v>
      </c>
      <c r="P61" s="20" t="s">
        <v>185</v>
      </c>
      <c r="Q61" s="20" t="s">
        <v>317</v>
      </c>
      <c r="R61" s="22" t="n">
        <v>111.27</v>
      </c>
      <c r="S61" s="20" t="n">
        <v>7</v>
      </c>
      <c r="T61" s="20" t="n">
        <v>0</v>
      </c>
      <c r="U61" s="22" t="n">
        <v>30.25</v>
      </c>
      <c r="V61" s="23" t="n">
        <f aca="false">IF(ISNUMBER(C61),YEAR(C61),"")</f>
        <v>2014</v>
      </c>
      <c r="W61" s="23" t="n">
        <f aca="false">IF(ISNUMBER(C61),MONTH(C61),"")</f>
        <v>6</v>
      </c>
      <c r="X61" s="23" t="str">
        <f aca="false">IF(T61="","",IF(T61=0,"No discount",IF(T61&lt;=0.2,"Low (1-20%)",IF(T61&lt;=0.4,"Medium (21-40%)","High (&gt;40%)"))))</f>
        <v>No discount</v>
      </c>
      <c r="Y61" s="23" t="n">
        <f aca="false">IF(AND(ISNUMBER(C61),ISNUMBER(D61)),D61-C61,"")</f>
        <v>6</v>
      </c>
      <c r="Z61" s="23" t="n">
        <f aca="false">IF(B61="","",IF(MATCH(B61,$B$2:$B$12000,0)=ROW()-1,1,0))</f>
        <v>1</v>
      </c>
    </row>
    <row r="62" customFormat="false" ht="15" hidden="false" customHeight="false" outlineLevel="0" collapsed="false">
      <c r="A62" s="20" t="n">
        <v>61</v>
      </c>
      <c r="B62" s="20" t="s">
        <v>318</v>
      </c>
      <c r="C62" s="21" t="n">
        <v>41796</v>
      </c>
      <c r="D62" s="21" t="n">
        <v>41801</v>
      </c>
      <c r="E62" s="20" t="s">
        <v>71</v>
      </c>
      <c r="F62" s="20" t="s">
        <v>319</v>
      </c>
      <c r="G62" s="20" t="s">
        <v>320</v>
      </c>
      <c r="H62" s="20" t="s">
        <v>61</v>
      </c>
      <c r="I62" s="20" t="s">
        <v>62</v>
      </c>
      <c r="J62" s="20" t="s">
        <v>63</v>
      </c>
      <c r="K62" s="20" t="s">
        <v>120</v>
      </c>
      <c r="L62" s="20" t="n">
        <v>13805</v>
      </c>
      <c r="M62" s="20" t="s">
        <v>112</v>
      </c>
      <c r="N62" s="20" t="s">
        <v>321</v>
      </c>
      <c r="O62" s="20" t="s">
        <v>76</v>
      </c>
      <c r="P62" s="20" t="s">
        <v>178</v>
      </c>
      <c r="Q62" s="20" t="s">
        <v>322</v>
      </c>
      <c r="R62" s="22" t="n">
        <v>71.59</v>
      </c>
      <c r="S62" s="20" t="n">
        <v>3</v>
      </c>
      <c r="T62" s="20" t="n">
        <v>0.5</v>
      </c>
      <c r="U62" s="22" t="n">
        <v>-23.09</v>
      </c>
      <c r="V62" s="23" t="n">
        <f aca="false">IF(ISNUMBER(C62),YEAR(C62),"")</f>
        <v>2014</v>
      </c>
      <c r="W62" s="23" t="n">
        <f aca="false">IF(ISNUMBER(C62),MONTH(C62),"")</f>
        <v>6</v>
      </c>
      <c r="X62" s="23" t="str">
        <f aca="false">IF(T62="","",IF(T62=0,"No discount",IF(T62&lt;=0.2,"Low (1-20%)",IF(T62&lt;=0.4,"Medium (21-40%)","High (&gt;40%)"))))</f>
        <v>High (&gt;40%)</v>
      </c>
      <c r="Y62" s="23" t="n">
        <f aca="false">IF(AND(ISNUMBER(C62),ISNUMBER(D62)),D62-C62,"")</f>
        <v>5</v>
      </c>
      <c r="Z62" s="23" t="n">
        <f aca="false">IF(B62="","",IF(MATCH(B62,$B$2:$B$12000,0)=ROW()-1,1,0))</f>
        <v>1</v>
      </c>
    </row>
    <row r="63" customFormat="false" ht="15" hidden="false" customHeight="false" outlineLevel="0" collapsed="false">
      <c r="A63" s="20" t="n">
        <v>62</v>
      </c>
      <c r="B63" s="20" t="s">
        <v>318</v>
      </c>
      <c r="C63" s="21" t="n">
        <v>41796</v>
      </c>
      <c r="D63" s="21" t="n">
        <v>41801</v>
      </c>
      <c r="E63" s="20" t="s">
        <v>71</v>
      </c>
      <c r="F63" s="20" t="s">
        <v>319</v>
      </c>
      <c r="G63" s="20" t="s">
        <v>320</v>
      </c>
      <c r="H63" s="20" t="s">
        <v>61</v>
      </c>
      <c r="I63" s="20" t="s">
        <v>62</v>
      </c>
      <c r="J63" s="20" t="s">
        <v>63</v>
      </c>
      <c r="K63" s="20" t="s">
        <v>120</v>
      </c>
      <c r="L63" s="20" t="n">
        <v>95209</v>
      </c>
      <c r="M63" s="20" t="s">
        <v>112</v>
      </c>
      <c r="N63" s="20" t="s">
        <v>323</v>
      </c>
      <c r="O63" s="20" t="s">
        <v>114</v>
      </c>
      <c r="P63" s="20" t="s">
        <v>167</v>
      </c>
      <c r="Q63" s="20" t="s">
        <v>324</v>
      </c>
      <c r="R63" s="22" t="n">
        <v>2005.74</v>
      </c>
      <c r="S63" s="20" t="n">
        <v>8</v>
      </c>
      <c r="T63" s="20" t="n">
        <v>0.5</v>
      </c>
      <c r="U63" s="22" t="n">
        <v>-795.72</v>
      </c>
      <c r="V63" s="23" t="n">
        <f aca="false">IF(ISNUMBER(C63),YEAR(C63),"")</f>
        <v>2014</v>
      </c>
      <c r="W63" s="23" t="n">
        <f aca="false">IF(ISNUMBER(C63),MONTH(C63),"")</f>
        <v>6</v>
      </c>
      <c r="X63" s="23" t="str">
        <f aca="false">IF(T63="","",IF(T63=0,"No discount",IF(T63&lt;=0.2,"Low (1-20%)",IF(T63&lt;=0.4,"Medium (21-40%)","High (&gt;40%)"))))</f>
        <v>High (&gt;40%)</v>
      </c>
      <c r="Y63" s="23" t="n">
        <f aca="false">IF(AND(ISNUMBER(C63),ISNUMBER(D63)),D63-C63,"")</f>
        <v>5</v>
      </c>
      <c r="Z63" s="23" t="n">
        <f aca="false">IF(B63="","",IF(MATCH(B63,$B$2:$B$12000,0)=ROW()-1,1,0))</f>
        <v>0</v>
      </c>
    </row>
    <row r="64" customFormat="false" ht="15" hidden="false" customHeight="false" outlineLevel="0" collapsed="false">
      <c r="A64" s="20" t="n">
        <v>63</v>
      </c>
      <c r="B64" s="20" t="s">
        <v>325</v>
      </c>
      <c r="C64" s="21" t="n">
        <v>41801</v>
      </c>
      <c r="D64" s="21" t="n">
        <v>41804</v>
      </c>
      <c r="E64" s="20" t="s">
        <v>71</v>
      </c>
      <c r="F64" s="20" t="s">
        <v>319</v>
      </c>
      <c r="G64" s="20" t="s">
        <v>320</v>
      </c>
      <c r="H64" s="20" t="s">
        <v>61</v>
      </c>
      <c r="I64" s="20" t="s">
        <v>62</v>
      </c>
      <c r="J64" s="20" t="s">
        <v>63</v>
      </c>
      <c r="K64" s="20" t="s">
        <v>133</v>
      </c>
      <c r="L64" s="20" t="n">
        <v>55730</v>
      </c>
      <c r="M64" s="20" t="s">
        <v>97</v>
      </c>
      <c r="N64" s="20" t="s">
        <v>326</v>
      </c>
      <c r="O64" s="20" t="s">
        <v>114</v>
      </c>
      <c r="P64" s="20" t="s">
        <v>115</v>
      </c>
      <c r="Q64" s="20" t="s">
        <v>327</v>
      </c>
      <c r="R64" s="22" t="n">
        <v>1088.9</v>
      </c>
      <c r="S64" s="20" t="n">
        <v>6</v>
      </c>
      <c r="T64" s="20" t="n">
        <v>0.1</v>
      </c>
      <c r="U64" s="22" t="n">
        <v>40.96</v>
      </c>
      <c r="V64" s="23" t="n">
        <f aca="false">IF(ISNUMBER(C64),YEAR(C64),"")</f>
        <v>2014</v>
      </c>
      <c r="W64" s="23" t="n">
        <f aca="false">IF(ISNUMBER(C64),MONTH(C64),"")</f>
        <v>6</v>
      </c>
      <c r="X64" s="23" t="str">
        <f aca="false">IF(T64="","",IF(T64=0,"No discount",IF(T64&lt;=0.2,"Low (1-20%)",IF(T64&lt;=0.4,"Medium (21-40%)","High (&gt;40%)"))))</f>
        <v>Low (1-20%)</v>
      </c>
      <c r="Y64" s="23" t="n">
        <f aca="false">IF(AND(ISNUMBER(C64),ISNUMBER(D64)),D64-C64,"")</f>
        <v>3</v>
      </c>
      <c r="Z64" s="23" t="n">
        <f aca="false">IF(B64="","",IF(MATCH(B64,$B$2:$B$12000,0)=ROW()-1,1,0))</f>
        <v>1</v>
      </c>
    </row>
    <row r="65" customFormat="false" ht="15" hidden="false" customHeight="false" outlineLevel="0" collapsed="false">
      <c r="A65" s="20" t="n">
        <v>64</v>
      </c>
      <c r="B65" s="20" t="s">
        <v>325</v>
      </c>
      <c r="C65" s="21" t="n">
        <v>41801</v>
      </c>
      <c r="D65" s="21" t="n">
        <v>41804</v>
      </c>
      <c r="E65" s="20" t="s">
        <v>71</v>
      </c>
      <c r="F65" s="20" t="s">
        <v>319</v>
      </c>
      <c r="G65" s="20" t="s">
        <v>320</v>
      </c>
      <c r="H65" s="20" t="s">
        <v>61</v>
      </c>
      <c r="I65" s="20" t="s">
        <v>62</v>
      </c>
      <c r="J65" s="20" t="s">
        <v>63</v>
      </c>
      <c r="K65" s="20" t="s">
        <v>133</v>
      </c>
      <c r="L65" s="20" t="n">
        <v>67624</v>
      </c>
      <c r="M65" s="20" t="s">
        <v>97</v>
      </c>
      <c r="N65" s="20" t="s">
        <v>328</v>
      </c>
      <c r="O65" s="20" t="s">
        <v>76</v>
      </c>
      <c r="P65" s="20" t="s">
        <v>88</v>
      </c>
      <c r="Q65" s="20" t="s">
        <v>329</v>
      </c>
      <c r="R65" s="22" t="n">
        <v>448.55</v>
      </c>
      <c r="S65" s="20" t="n">
        <v>1</v>
      </c>
      <c r="T65" s="20" t="n">
        <v>0</v>
      </c>
      <c r="U65" s="22" t="n">
        <v>77.49</v>
      </c>
      <c r="V65" s="23" t="n">
        <f aca="false">IF(ISNUMBER(C65),YEAR(C65),"")</f>
        <v>2014</v>
      </c>
      <c r="W65" s="23" t="n">
        <f aca="false">IF(ISNUMBER(C65),MONTH(C65),"")</f>
        <v>6</v>
      </c>
      <c r="X65" s="23" t="str">
        <f aca="false">IF(T65="","",IF(T65=0,"No discount",IF(T65&lt;=0.2,"Low (1-20%)",IF(T65&lt;=0.4,"Medium (21-40%)","High (&gt;40%)"))))</f>
        <v>No discount</v>
      </c>
      <c r="Y65" s="23" t="n">
        <f aca="false">IF(AND(ISNUMBER(C65),ISNUMBER(D65)),D65-C65,"")</f>
        <v>3</v>
      </c>
      <c r="Z65" s="23" t="n">
        <f aca="false">IF(B65="","",IF(MATCH(B65,$B$2:$B$12000,0)=ROW()-1,1,0))</f>
        <v>0</v>
      </c>
    </row>
    <row r="66" customFormat="false" ht="15" hidden="false" customHeight="false" outlineLevel="0" collapsed="false">
      <c r="A66" s="20" t="n">
        <v>65</v>
      </c>
      <c r="B66" s="20" t="s">
        <v>325</v>
      </c>
      <c r="C66" s="21" t="n">
        <v>41801</v>
      </c>
      <c r="D66" s="21" t="n">
        <v>41804</v>
      </c>
      <c r="E66" s="20" t="s">
        <v>90</v>
      </c>
      <c r="F66" s="20" t="s">
        <v>319</v>
      </c>
      <c r="G66" s="20" t="s">
        <v>320</v>
      </c>
      <c r="H66" s="20" t="s">
        <v>61</v>
      </c>
      <c r="I66" s="20" t="s">
        <v>62</v>
      </c>
      <c r="J66" s="20" t="s">
        <v>63</v>
      </c>
      <c r="K66" s="20" t="s">
        <v>133</v>
      </c>
      <c r="L66" s="20" t="n">
        <v>49803</v>
      </c>
      <c r="M66" s="20" t="s">
        <v>97</v>
      </c>
      <c r="N66" s="20" t="s">
        <v>330</v>
      </c>
      <c r="O66" s="20" t="s">
        <v>114</v>
      </c>
      <c r="P66" s="20" t="s">
        <v>115</v>
      </c>
      <c r="Q66" s="20" t="s">
        <v>331</v>
      </c>
      <c r="R66" s="22" t="n">
        <v>658.49</v>
      </c>
      <c r="S66" s="20" t="n">
        <v>1</v>
      </c>
      <c r="T66" s="20" t="n">
        <v>0</v>
      </c>
      <c r="U66" s="22" t="n">
        <v>83.36</v>
      </c>
      <c r="V66" s="23" t="n">
        <f aca="false">IF(ISNUMBER(C66),YEAR(C66),"")</f>
        <v>2014</v>
      </c>
      <c r="W66" s="23" t="n">
        <f aca="false">IF(ISNUMBER(C66),MONTH(C66),"")</f>
        <v>6</v>
      </c>
      <c r="X66" s="23" t="str">
        <f aca="false">IF(T66="","",IF(T66=0,"No discount",IF(T66&lt;=0.2,"Low (1-20%)",IF(T66&lt;=0.4,"Medium (21-40%)","High (&gt;40%)"))))</f>
        <v>No discount</v>
      </c>
      <c r="Y66" s="23" t="n">
        <f aca="false">IF(AND(ISNUMBER(C66),ISNUMBER(D66)),D66-C66,"")</f>
        <v>3</v>
      </c>
      <c r="Z66" s="23" t="n">
        <f aca="false">IF(B66="","",IF(MATCH(B66,$B$2:$B$12000,0)=ROW()-1,1,0))</f>
        <v>0</v>
      </c>
    </row>
    <row r="67" customFormat="false" ht="15" hidden="false" customHeight="false" outlineLevel="0" collapsed="false">
      <c r="A67" s="20" t="n">
        <v>66</v>
      </c>
      <c r="B67" s="20" t="s">
        <v>332</v>
      </c>
      <c r="C67" s="21" t="n">
        <v>41802</v>
      </c>
      <c r="D67" s="21" t="n">
        <v>41803</v>
      </c>
      <c r="E67" s="20" t="s">
        <v>90</v>
      </c>
      <c r="F67" s="20" t="s">
        <v>333</v>
      </c>
      <c r="G67" s="20" t="s">
        <v>334</v>
      </c>
      <c r="H67" s="20" t="s">
        <v>85</v>
      </c>
      <c r="I67" s="20" t="s">
        <v>62</v>
      </c>
      <c r="J67" s="20" t="s">
        <v>63</v>
      </c>
      <c r="K67" s="20" t="s">
        <v>335</v>
      </c>
      <c r="L67" s="20" t="n">
        <v>12939</v>
      </c>
      <c r="M67" s="20" t="s">
        <v>65</v>
      </c>
      <c r="N67" s="20" t="s">
        <v>336</v>
      </c>
      <c r="O67" s="20" t="s">
        <v>114</v>
      </c>
      <c r="P67" s="20" t="s">
        <v>167</v>
      </c>
      <c r="Q67" s="20" t="s">
        <v>337</v>
      </c>
      <c r="R67" s="22" t="n">
        <v>1332.51</v>
      </c>
      <c r="S67" s="20" t="n">
        <v>4</v>
      </c>
      <c r="T67" s="20" t="n">
        <v>0.2</v>
      </c>
      <c r="U67" s="22" t="n">
        <v>-312.34</v>
      </c>
      <c r="V67" s="23" t="n">
        <f aca="false">IF(ISNUMBER(C67),YEAR(C67),"")</f>
        <v>2014</v>
      </c>
      <c r="W67" s="23" t="n">
        <f aca="false">IF(ISNUMBER(C67),MONTH(C67),"")</f>
        <v>6</v>
      </c>
      <c r="X67" s="23" t="str">
        <f aca="false">IF(T67="","",IF(T67=0,"No discount",IF(T67&lt;=0.2,"Low (1-20%)",IF(T67&lt;=0.4,"Medium (21-40%)","High (&gt;40%)"))))</f>
        <v>Low (1-20%)</v>
      </c>
      <c r="Y67" s="23" t="n">
        <f aca="false">IF(AND(ISNUMBER(C67),ISNUMBER(D67)),D67-C67,"")</f>
        <v>1</v>
      </c>
      <c r="Z67" s="23" t="n">
        <f aca="false">IF(B67="","",IF(MATCH(B67,$B$2:$B$12000,0)=ROW()-1,1,0))</f>
        <v>1</v>
      </c>
    </row>
    <row r="68" customFormat="false" ht="15" hidden="false" customHeight="false" outlineLevel="0" collapsed="false">
      <c r="A68" s="20" t="n">
        <v>67</v>
      </c>
      <c r="B68" s="20" t="s">
        <v>338</v>
      </c>
      <c r="C68" s="21" t="n">
        <v>41818</v>
      </c>
      <c r="D68" s="21" t="n">
        <v>41821</v>
      </c>
      <c r="E68" s="20" t="s">
        <v>90</v>
      </c>
      <c r="F68" s="20" t="s">
        <v>339</v>
      </c>
      <c r="G68" s="20" t="s">
        <v>340</v>
      </c>
      <c r="H68" s="20" t="s">
        <v>61</v>
      </c>
      <c r="I68" s="20" t="s">
        <v>62</v>
      </c>
      <c r="J68" s="20" t="s">
        <v>63</v>
      </c>
      <c r="K68" s="20" t="s">
        <v>254</v>
      </c>
      <c r="L68" s="20" t="n">
        <v>54024</v>
      </c>
      <c r="M68" s="20" t="s">
        <v>112</v>
      </c>
      <c r="N68" s="20" t="s">
        <v>341</v>
      </c>
      <c r="O68" s="20" t="s">
        <v>76</v>
      </c>
      <c r="P68" s="20" t="s">
        <v>88</v>
      </c>
      <c r="Q68" s="20" t="s">
        <v>342</v>
      </c>
      <c r="R68" s="22" t="n">
        <v>1175.68</v>
      </c>
      <c r="S68" s="20" t="n">
        <v>5</v>
      </c>
      <c r="T68" s="20" t="n">
        <v>0.2</v>
      </c>
      <c r="U68" s="22" t="n">
        <v>89.78</v>
      </c>
      <c r="V68" s="23" t="n">
        <f aca="false">IF(ISNUMBER(C68),YEAR(C68),"")</f>
        <v>2014</v>
      </c>
      <c r="W68" s="23" t="n">
        <f aca="false">IF(ISNUMBER(C68),MONTH(C68),"")</f>
        <v>6</v>
      </c>
      <c r="X68" s="23" t="str">
        <f aca="false">IF(T68="","",IF(T68=0,"No discount",IF(T68&lt;=0.2,"Low (1-20%)",IF(T68&lt;=0.4,"Medium (21-40%)","High (&gt;40%)"))))</f>
        <v>Low (1-20%)</v>
      </c>
      <c r="Y68" s="23" t="n">
        <f aca="false">IF(AND(ISNUMBER(C68),ISNUMBER(D68)),D68-C68,"")</f>
        <v>3</v>
      </c>
      <c r="Z68" s="23" t="n">
        <f aca="false">IF(B68="","",IF(MATCH(B68,$B$2:$B$12000,0)=ROW()-1,1,0))</f>
        <v>1</v>
      </c>
    </row>
    <row r="69" customFormat="false" ht="15" hidden="false" customHeight="false" outlineLevel="0" collapsed="false">
      <c r="A69" s="20" t="n">
        <v>68</v>
      </c>
      <c r="B69" s="20" t="s">
        <v>338</v>
      </c>
      <c r="C69" s="21" t="n">
        <v>41818</v>
      </c>
      <c r="D69" s="21" t="n">
        <v>41821</v>
      </c>
      <c r="E69" s="20" t="s">
        <v>90</v>
      </c>
      <c r="F69" s="20" t="s">
        <v>339</v>
      </c>
      <c r="G69" s="20" t="s">
        <v>340</v>
      </c>
      <c r="H69" s="20" t="s">
        <v>61</v>
      </c>
      <c r="I69" s="20" t="s">
        <v>62</v>
      </c>
      <c r="J69" s="20" t="s">
        <v>63</v>
      </c>
      <c r="K69" s="20" t="s">
        <v>254</v>
      </c>
      <c r="L69" s="20" t="n">
        <v>35060</v>
      </c>
      <c r="M69" s="20" t="s">
        <v>112</v>
      </c>
      <c r="N69" s="20" t="s">
        <v>343</v>
      </c>
      <c r="O69" s="20" t="s">
        <v>114</v>
      </c>
      <c r="P69" s="20" t="s">
        <v>139</v>
      </c>
      <c r="Q69" s="20" t="s">
        <v>344</v>
      </c>
      <c r="R69" s="22" t="n">
        <v>2235.68</v>
      </c>
      <c r="S69" s="20" t="n">
        <v>7</v>
      </c>
      <c r="T69" s="20" t="n">
        <v>0.2</v>
      </c>
      <c r="U69" s="22" t="n">
        <v>-132.32</v>
      </c>
      <c r="V69" s="23" t="n">
        <f aca="false">IF(ISNUMBER(C69),YEAR(C69),"")</f>
        <v>2014</v>
      </c>
      <c r="W69" s="23" t="n">
        <f aca="false">IF(ISNUMBER(C69),MONTH(C69),"")</f>
        <v>6</v>
      </c>
      <c r="X69" s="23" t="str">
        <f aca="false">IF(T69="","",IF(T69=0,"No discount",IF(T69&lt;=0.2,"Low (1-20%)",IF(T69&lt;=0.4,"Medium (21-40%)","High (&gt;40%)"))))</f>
        <v>Low (1-20%)</v>
      </c>
      <c r="Y69" s="23" t="n">
        <f aca="false">IF(AND(ISNUMBER(C69),ISNUMBER(D69)),D69-C69,"")</f>
        <v>3</v>
      </c>
      <c r="Z69" s="23" t="n">
        <f aca="false">IF(B69="","",IF(MATCH(B69,$B$2:$B$12000,0)=ROW()-1,1,0))</f>
        <v>0</v>
      </c>
    </row>
    <row r="70" customFormat="false" ht="15" hidden="false" customHeight="false" outlineLevel="0" collapsed="false">
      <c r="A70" s="20" t="n">
        <v>69</v>
      </c>
      <c r="B70" s="20" t="s">
        <v>345</v>
      </c>
      <c r="C70" s="21" t="n">
        <v>41823</v>
      </c>
      <c r="D70" s="21" t="n">
        <v>41827</v>
      </c>
      <c r="E70" s="20" t="s">
        <v>58</v>
      </c>
      <c r="F70" s="20" t="s">
        <v>213</v>
      </c>
      <c r="G70" s="20" t="s">
        <v>214</v>
      </c>
      <c r="H70" s="20" t="s">
        <v>162</v>
      </c>
      <c r="I70" s="20" t="s">
        <v>62</v>
      </c>
      <c r="J70" s="20" t="s">
        <v>63</v>
      </c>
      <c r="K70" s="20" t="s">
        <v>346</v>
      </c>
      <c r="L70" s="20" t="n">
        <v>82741</v>
      </c>
      <c r="M70" s="20" t="s">
        <v>65</v>
      </c>
      <c r="N70" s="20" t="s">
        <v>347</v>
      </c>
      <c r="O70" s="20" t="s">
        <v>114</v>
      </c>
      <c r="P70" s="20" t="s">
        <v>139</v>
      </c>
      <c r="Q70" s="20" t="s">
        <v>348</v>
      </c>
      <c r="R70" s="22" t="n">
        <v>1552.86</v>
      </c>
      <c r="S70" s="20" t="n">
        <v>6</v>
      </c>
      <c r="T70" s="20" t="n">
        <v>0</v>
      </c>
      <c r="U70" s="22" t="n">
        <v>66.23</v>
      </c>
      <c r="V70" s="23" t="n">
        <f aca="false">IF(ISNUMBER(C70),YEAR(C70),"")</f>
        <v>2014</v>
      </c>
      <c r="W70" s="23" t="n">
        <f aca="false">IF(ISNUMBER(C70),MONTH(C70),"")</f>
        <v>7</v>
      </c>
      <c r="X70" s="23" t="str">
        <f aca="false">IF(T70="","",IF(T70=0,"No discount",IF(T70&lt;=0.2,"Low (1-20%)",IF(T70&lt;=0.4,"Medium (21-40%)","High (&gt;40%)"))))</f>
        <v>No discount</v>
      </c>
      <c r="Y70" s="23" t="n">
        <f aca="false">IF(AND(ISNUMBER(C70),ISNUMBER(D70)),D70-C70,"")</f>
        <v>4</v>
      </c>
      <c r="Z70" s="23" t="n">
        <f aca="false">IF(B70="","",IF(MATCH(B70,$B$2:$B$12000,0)=ROW()-1,1,0))</f>
        <v>1</v>
      </c>
    </row>
    <row r="71" customFormat="false" ht="15" hidden="false" customHeight="false" outlineLevel="0" collapsed="false">
      <c r="A71" s="20" t="n">
        <v>70</v>
      </c>
      <c r="B71" s="20" t="s">
        <v>345</v>
      </c>
      <c r="C71" s="21" t="n">
        <v>41823</v>
      </c>
      <c r="D71" s="21" t="n">
        <v>41827</v>
      </c>
      <c r="E71" s="20" t="s">
        <v>90</v>
      </c>
      <c r="F71" s="20" t="s">
        <v>213</v>
      </c>
      <c r="G71" s="20" t="s">
        <v>214</v>
      </c>
      <c r="H71" s="20" t="s">
        <v>162</v>
      </c>
      <c r="I71" s="20" t="s">
        <v>62</v>
      </c>
      <c r="J71" s="20" t="s">
        <v>63</v>
      </c>
      <c r="K71" s="20" t="s">
        <v>346</v>
      </c>
      <c r="L71" s="20" t="n">
        <v>59400</v>
      </c>
      <c r="M71" s="20" t="s">
        <v>65</v>
      </c>
      <c r="N71" s="20" t="s">
        <v>349</v>
      </c>
      <c r="O71" s="20" t="s">
        <v>76</v>
      </c>
      <c r="P71" s="20" t="s">
        <v>122</v>
      </c>
      <c r="Q71" s="20" t="s">
        <v>350</v>
      </c>
      <c r="R71" s="22" t="n">
        <v>58.59</v>
      </c>
      <c r="S71" s="20" t="n">
        <v>3</v>
      </c>
      <c r="T71" s="20" t="n">
        <v>0.2</v>
      </c>
      <c r="U71" s="22" t="n">
        <v>14.89</v>
      </c>
      <c r="V71" s="23" t="n">
        <f aca="false">IF(ISNUMBER(C71),YEAR(C71),"")</f>
        <v>2014</v>
      </c>
      <c r="W71" s="23" t="n">
        <f aca="false">IF(ISNUMBER(C71),MONTH(C71),"")</f>
        <v>7</v>
      </c>
      <c r="X71" s="23" t="str">
        <f aca="false">IF(T71="","",IF(T71=0,"No discount",IF(T71&lt;=0.2,"Low (1-20%)",IF(T71&lt;=0.4,"Medium (21-40%)","High (&gt;40%)"))))</f>
        <v>Low (1-20%)</v>
      </c>
      <c r="Y71" s="23" t="n">
        <f aca="false">IF(AND(ISNUMBER(C71),ISNUMBER(D71)),D71-C71,"")</f>
        <v>4</v>
      </c>
      <c r="Z71" s="23" t="n">
        <f aca="false">IF(B71="","",IF(MATCH(B71,$B$2:$B$12000,0)=ROW()-1,1,0))</f>
        <v>0</v>
      </c>
    </row>
    <row r="72" customFormat="false" ht="15" hidden="false" customHeight="false" outlineLevel="0" collapsed="false">
      <c r="A72" s="20" t="n">
        <v>71</v>
      </c>
      <c r="B72" s="20" t="s">
        <v>351</v>
      </c>
      <c r="C72" s="21" t="n">
        <v>41824</v>
      </c>
      <c r="D72" s="21" t="n">
        <v>41826</v>
      </c>
      <c r="E72" s="20" t="s">
        <v>58</v>
      </c>
      <c r="F72" s="20" t="s">
        <v>352</v>
      </c>
      <c r="G72" s="20" t="s">
        <v>353</v>
      </c>
      <c r="H72" s="20" t="s">
        <v>85</v>
      </c>
      <c r="I72" s="20" t="s">
        <v>62</v>
      </c>
      <c r="J72" s="20" t="s">
        <v>63</v>
      </c>
      <c r="K72" s="20" t="s">
        <v>354</v>
      </c>
      <c r="L72" s="20" t="n">
        <v>62972</v>
      </c>
      <c r="M72" s="20" t="s">
        <v>153</v>
      </c>
      <c r="N72" s="20" t="s">
        <v>355</v>
      </c>
      <c r="O72" s="20" t="s">
        <v>114</v>
      </c>
      <c r="P72" s="20" t="s">
        <v>167</v>
      </c>
      <c r="Q72" s="20" t="s">
        <v>356</v>
      </c>
      <c r="R72" s="22" t="n">
        <v>1666.35</v>
      </c>
      <c r="S72" s="20" t="n">
        <v>3</v>
      </c>
      <c r="T72" s="20" t="n">
        <v>0.1</v>
      </c>
      <c r="U72" s="22" t="n">
        <v>-468.52</v>
      </c>
      <c r="V72" s="23" t="n">
        <f aca="false">IF(ISNUMBER(C72),YEAR(C72),"")</f>
        <v>2014</v>
      </c>
      <c r="W72" s="23" t="n">
        <f aca="false">IF(ISNUMBER(C72),MONTH(C72),"")</f>
        <v>7</v>
      </c>
      <c r="X72" s="23" t="str">
        <f aca="false">IF(T72="","",IF(T72=0,"No discount",IF(T72&lt;=0.2,"Low (1-20%)",IF(T72&lt;=0.4,"Medium (21-40%)","High (&gt;40%)"))))</f>
        <v>Low (1-20%)</v>
      </c>
      <c r="Y72" s="23" t="n">
        <f aca="false">IF(AND(ISNUMBER(C72),ISNUMBER(D72)),D72-C72,"")</f>
        <v>2</v>
      </c>
      <c r="Z72" s="23" t="n">
        <f aca="false">IF(B72="","",IF(MATCH(B72,$B$2:$B$12000,0)=ROW()-1,1,0))</f>
        <v>1</v>
      </c>
    </row>
    <row r="73" customFormat="false" ht="15" hidden="false" customHeight="false" outlineLevel="0" collapsed="false">
      <c r="A73" s="20" t="n">
        <v>72</v>
      </c>
      <c r="B73" s="20" t="s">
        <v>351</v>
      </c>
      <c r="C73" s="21" t="n">
        <v>41824</v>
      </c>
      <c r="D73" s="21" t="n">
        <v>41826</v>
      </c>
      <c r="E73" s="20" t="s">
        <v>90</v>
      </c>
      <c r="F73" s="20" t="s">
        <v>352</v>
      </c>
      <c r="G73" s="20" t="s">
        <v>353</v>
      </c>
      <c r="H73" s="20" t="s">
        <v>85</v>
      </c>
      <c r="I73" s="20" t="s">
        <v>62</v>
      </c>
      <c r="J73" s="20" t="s">
        <v>63</v>
      </c>
      <c r="K73" s="20" t="s">
        <v>354</v>
      </c>
      <c r="L73" s="20" t="n">
        <v>13763</v>
      </c>
      <c r="M73" s="20" t="s">
        <v>153</v>
      </c>
      <c r="N73" s="20" t="s">
        <v>357</v>
      </c>
      <c r="O73" s="20" t="s">
        <v>114</v>
      </c>
      <c r="P73" s="20" t="s">
        <v>139</v>
      </c>
      <c r="Q73" s="20" t="s">
        <v>358</v>
      </c>
      <c r="R73" s="22" t="n">
        <v>640</v>
      </c>
      <c r="S73" s="20" t="n">
        <v>2</v>
      </c>
      <c r="T73" s="20" t="n">
        <v>0.4</v>
      </c>
      <c r="U73" s="22" t="n">
        <v>-105.26</v>
      </c>
      <c r="V73" s="23" t="n">
        <f aca="false">IF(ISNUMBER(C73),YEAR(C73),"")</f>
        <v>2014</v>
      </c>
      <c r="W73" s="23" t="n">
        <f aca="false">IF(ISNUMBER(C73),MONTH(C73),"")</f>
        <v>7</v>
      </c>
      <c r="X73" s="23" t="str">
        <f aca="false">IF(T73="","",IF(T73=0,"No discount",IF(T73&lt;=0.2,"Low (1-20%)",IF(T73&lt;=0.4,"Medium (21-40%)","High (&gt;40%)"))))</f>
        <v>Medium (21-40%)</v>
      </c>
      <c r="Y73" s="23" t="n">
        <f aca="false">IF(AND(ISNUMBER(C73),ISNUMBER(D73)),D73-C73,"")</f>
        <v>2</v>
      </c>
      <c r="Z73" s="23" t="n">
        <f aca="false">IF(B73="","",IF(MATCH(B73,$B$2:$B$12000,0)=ROW()-1,1,0))</f>
        <v>0</v>
      </c>
    </row>
    <row r="74" customFormat="false" ht="15" hidden="false" customHeight="false" outlineLevel="0" collapsed="false">
      <c r="A74" s="20" t="n">
        <v>73</v>
      </c>
      <c r="B74" s="20" t="s">
        <v>359</v>
      </c>
      <c r="C74" s="21" t="n">
        <v>41824</v>
      </c>
      <c r="D74" s="21" t="n">
        <v>41830</v>
      </c>
      <c r="E74" s="20" t="s">
        <v>104</v>
      </c>
      <c r="F74" s="20" t="s">
        <v>72</v>
      </c>
      <c r="G74" s="20" t="s">
        <v>73</v>
      </c>
      <c r="H74" s="20" t="s">
        <v>61</v>
      </c>
      <c r="I74" s="20" t="s">
        <v>62</v>
      </c>
      <c r="J74" s="20" t="s">
        <v>63</v>
      </c>
      <c r="K74" s="20" t="s">
        <v>360</v>
      </c>
      <c r="L74" s="20" t="n">
        <v>75583</v>
      </c>
      <c r="M74" s="20" t="s">
        <v>112</v>
      </c>
      <c r="N74" s="20" t="s">
        <v>361</v>
      </c>
      <c r="O74" s="20" t="s">
        <v>114</v>
      </c>
      <c r="P74" s="20" t="s">
        <v>115</v>
      </c>
      <c r="Q74" s="20" t="s">
        <v>362</v>
      </c>
      <c r="R74" s="22" t="n">
        <v>681.56</v>
      </c>
      <c r="S74" s="20" t="n">
        <v>4</v>
      </c>
      <c r="T74" s="20" t="n">
        <v>0.2</v>
      </c>
      <c r="U74" s="22" t="n">
        <v>-3.7</v>
      </c>
      <c r="V74" s="23" t="n">
        <f aca="false">IF(ISNUMBER(C74),YEAR(C74),"")</f>
        <v>2014</v>
      </c>
      <c r="W74" s="23" t="n">
        <f aca="false">IF(ISNUMBER(C74),MONTH(C74),"")</f>
        <v>7</v>
      </c>
      <c r="X74" s="23" t="str">
        <f aca="false">IF(T74="","",IF(T74=0,"No discount",IF(T74&lt;=0.2,"Low (1-20%)",IF(T74&lt;=0.4,"Medium (21-40%)","High (&gt;40%)"))))</f>
        <v>Low (1-20%)</v>
      </c>
      <c r="Y74" s="23" t="n">
        <f aca="false">IF(AND(ISNUMBER(C74),ISNUMBER(D74)),D74-C74,"")</f>
        <v>6</v>
      </c>
      <c r="Z74" s="23" t="n">
        <f aca="false">IF(B74="","",IF(MATCH(B74,$B$2:$B$12000,0)=ROW()-1,1,0))</f>
        <v>1</v>
      </c>
    </row>
    <row r="75" customFormat="false" ht="15" hidden="false" customHeight="false" outlineLevel="0" collapsed="false">
      <c r="A75" s="20" t="n">
        <v>74</v>
      </c>
      <c r="B75" s="20" t="s">
        <v>359</v>
      </c>
      <c r="C75" s="21" t="n">
        <v>41824</v>
      </c>
      <c r="D75" s="21" t="n">
        <v>41830</v>
      </c>
      <c r="E75" s="20" t="s">
        <v>90</v>
      </c>
      <c r="F75" s="20" t="s">
        <v>72</v>
      </c>
      <c r="G75" s="20" t="s">
        <v>73</v>
      </c>
      <c r="H75" s="20" t="s">
        <v>61</v>
      </c>
      <c r="I75" s="20" t="s">
        <v>62</v>
      </c>
      <c r="J75" s="20" t="s">
        <v>63</v>
      </c>
      <c r="K75" s="20" t="s">
        <v>360</v>
      </c>
      <c r="L75" s="20" t="n">
        <v>47010</v>
      </c>
      <c r="M75" s="20" t="s">
        <v>112</v>
      </c>
      <c r="N75" s="20" t="s">
        <v>363</v>
      </c>
      <c r="O75" s="20" t="s">
        <v>114</v>
      </c>
      <c r="P75" s="20" t="s">
        <v>210</v>
      </c>
      <c r="Q75" s="20" t="s">
        <v>364</v>
      </c>
      <c r="R75" s="22" t="n">
        <v>83.49</v>
      </c>
      <c r="S75" s="20" t="n">
        <v>2</v>
      </c>
      <c r="T75" s="20" t="n">
        <v>0</v>
      </c>
      <c r="U75" s="22" t="n">
        <v>11.53</v>
      </c>
      <c r="V75" s="23" t="n">
        <f aca="false">IF(ISNUMBER(C75),YEAR(C75),"")</f>
        <v>2014</v>
      </c>
      <c r="W75" s="23" t="n">
        <f aca="false">IF(ISNUMBER(C75),MONTH(C75),"")</f>
        <v>7</v>
      </c>
      <c r="X75" s="23" t="str">
        <f aca="false">IF(T75="","",IF(T75=0,"No discount",IF(T75&lt;=0.2,"Low (1-20%)",IF(T75&lt;=0.4,"Medium (21-40%)","High (&gt;40%)"))))</f>
        <v>No discount</v>
      </c>
      <c r="Y75" s="23" t="n">
        <f aca="false">IF(AND(ISNUMBER(C75),ISNUMBER(D75)),D75-C75,"")</f>
        <v>6</v>
      </c>
      <c r="Z75" s="23" t="n">
        <f aca="false">IF(B75="","",IF(MATCH(B75,$B$2:$B$12000,0)=ROW()-1,1,0))</f>
        <v>0</v>
      </c>
    </row>
    <row r="76" customFormat="false" ht="15" hidden="false" customHeight="false" outlineLevel="0" collapsed="false">
      <c r="A76" s="20" t="n">
        <v>75</v>
      </c>
      <c r="B76" s="20" t="s">
        <v>359</v>
      </c>
      <c r="C76" s="21" t="n">
        <v>41824</v>
      </c>
      <c r="D76" s="21" t="n">
        <v>41830</v>
      </c>
      <c r="E76" s="20" t="s">
        <v>104</v>
      </c>
      <c r="F76" s="20" t="s">
        <v>72</v>
      </c>
      <c r="G76" s="20" t="s">
        <v>73</v>
      </c>
      <c r="H76" s="20" t="s">
        <v>61</v>
      </c>
      <c r="I76" s="20" t="s">
        <v>62</v>
      </c>
      <c r="J76" s="20" t="s">
        <v>63</v>
      </c>
      <c r="K76" s="20" t="s">
        <v>360</v>
      </c>
      <c r="L76" s="20" t="n">
        <v>64076</v>
      </c>
      <c r="M76" s="20" t="s">
        <v>112</v>
      </c>
      <c r="N76" s="20" t="s">
        <v>365</v>
      </c>
      <c r="O76" s="20" t="s">
        <v>76</v>
      </c>
      <c r="P76" s="20" t="s">
        <v>128</v>
      </c>
      <c r="Q76" s="20" t="s">
        <v>366</v>
      </c>
      <c r="R76" s="22" t="n">
        <v>176.23</v>
      </c>
      <c r="S76" s="20" t="n">
        <v>3</v>
      </c>
      <c r="T76" s="20" t="n">
        <v>0.1</v>
      </c>
      <c r="U76" s="22" t="n">
        <v>-3.51</v>
      </c>
      <c r="V76" s="23" t="n">
        <f aca="false">IF(ISNUMBER(C76),YEAR(C76),"")</f>
        <v>2014</v>
      </c>
      <c r="W76" s="23" t="n">
        <f aca="false">IF(ISNUMBER(C76),MONTH(C76),"")</f>
        <v>7</v>
      </c>
      <c r="X76" s="23" t="str">
        <f aca="false">IF(T76="","",IF(T76=0,"No discount",IF(T76&lt;=0.2,"Low (1-20%)",IF(T76&lt;=0.4,"Medium (21-40%)","High (&gt;40%)"))))</f>
        <v>Low (1-20%)</v>
      </c>
      <c r="Y76" s="23" t="n">
        <f aca="false">IF(AND(ISNUMBER(C76),ISNUMBER(D76)),D76-C76,"")</f>
        <v>6</v>
      </c>
      <c r="Z76" s="23" t="n">
        <f aca="false">IF(B76="","",IF(MATCH(B76,$B$2:$B$12000,0)=ROW()-1,1,0))</f>
        <v>0</v>
      </c>
    </row>
    <row r="77" customFormat="false" ht="15" hidden="false" customHeight="false" outlineLevel="0" collapsed="false">
      <c r="A77" s="20" t="n">
        <v>76</v>
      </c>
      <c r="B77" s="20" t="s">
        <v>359</v>
      </c>
      <c r="C77" s="21" t="n">
        <v>41824</v>
      </c>
      <c r="D77" s="21" t="n">
        <v>41830</v>
      </c>
      <c r="E77" s="20" t="s">
        <v>71</v>
      </c>
      <c r="F77" s="20" t="s">
        <v>72</v>
      </c>
      <c r="G77" s="20" t="s">
        <v>73</v>
      </c>
      <c r="H77" s="20" t="s">
        <v>61</v>
      </c>
      <c r="I77" s="20" t="s">
        <v>62</v>
      </c>
      <c r="J77" s="20" t="s">
        <v>63</v>
      </c>
      <c r="K77" s="20" t="s">
        <v>360</v>
      </c>
      <c r="L77" s="20" t="n">
        <v>33810</v>
      </c>
      <c r="M77" s="20" t="s">
        <v>112</v>
      </c>
      <c r="N77" s="20" t="s">
        <v>367</v>
      </c>
      <c r="O77" s="20" t="s">
        <v>76</v>
      </c>
      <c r="P77" s="20" t="s">
        <v>128</v>
      </c>
      <c r="Q77" s="20" t="s">
        <v>368</v>
      </c>
      <c r="R77" s="22" t="n">
        <v>369.13</v>
      </c>
      <c r="S77" s="20" t="n">
        <v>4</v>
      </c>
      <c r="T77" s="20" t="n">
        <v>0.2</v>
      </c>
      <c r="U77" s="22" t="n">
        <v>17.21</v>
      </c>
      <c r="V77" s="23" t="n">
        <f aca="false">IF(ISNUMBER(C77),YEAR(C77),"")</f>
        <v>2014</v>
      </c>
      <c r="W77" s="23" t="n">
        <f aca="false">IF(ISNUMBER(C77),MONTH(C77),"")</f>
        <v>7</v>
      </c>
      <c r="X77" s="23" t="str">
        <f aca="false">IF(T77="","",IF(T77=0,"No discount",IF(T77&lt;=0.2,"Low (1-20%)",IF(T77&lt;=0.4,"Medium (21-40%)","High (&gt;40%)"))))</f>
        <v>Low (1-20%)</v>
      </c>
      <c r="Y77" s="23" t="n">
        <f aca="false">IF(AND(ISNUMBER(C77),ISNUMBER(D77)),D77-C77,"")</f>
        <v>6</v>
      </c>
      <c r="Z77" s="23" t="n">
        <f aca="false">IF(B77="","",IF(MATCH(B77,$B$2:$B$12000,0)=ROW()-1,1,0))</f>
        <v>0</v>
      </c>
    </row>
    <row r="78" customFormat="false" ht="15" hidden="false" customHeight="false" outlineLevel="0" collapsed="false">
      <c r="A78" s="20" t="n">
        <v>77</v>
      </c>
      <c r="B78" s="20" t="s">
        <v>369</v>
      </c>
      <c r="C78" s="21" t="n">
        <v>41829</v>
      </c>
      <c r="D78" s="21" t="n">
        <v>41835</v>
      </c>
      <c r="E78" s="20" t="s">
        <v>58</v>
      </c>
      <c r="F78" s="20" t="s">
        <v>200</v>
      </c>
      <c r="G78" s="20" t="s">
        <v>201</v>
      </c>
      <c r="H78" s="20" t="s">
        <v>162</v>
      </c>
      <c r="I78" s="20" t="s">
        <v>62</v>
      </c>
      <c r="J78" s="20" t="s">
        <v>63</v>
      </c>
      <c r="K78" s="20" t="s">
        <v>64</v>
      </c>
      <c r="L78" s="20" t="n">
        <v>59904</v>
      </c>
      <c r="M78" s="20" t="s">
        <v>65</v>
      </c>
      <c r="N78" s="20" t="s">
        <v>370</v>
      </c>
      <c r="O78" s="20" t="s">
        <v>114</v>
      </c>
      <c r="P78" s="20" t="s">
        <v>139</v>
      </c>
      <c r="Q78" s="20" t="s">
        <v>371</v>
      </c>
      <c r="R78" s="22" t="n">
        <v>2966.87</v>
      </c>
      <c r="S78" s="20" t="n">
        <v>7</v>
      </c>
      <c r="T78" s="20" t="n">
        <v>0</v>
      </c>
      <c r="U78" s="22" t="n">
        <v>-166.89</v>
      </c>
      <c r="V78" s="23" t="n">
        <f aca="false">IF(ISNUMBER(C78),YEAR(C78),"")</f>
        <v>2014</v>
      </c>
      <c r="W78" s="23" t="n">
        <f aca="false">IF(ISNUMBER(C78),MONTH(C78),"")</f>
        <v>7</v>
      </c>
      <c r="X78" s="23" t="str">
        <f aca="false">IF(T78="","",IF(T78=0,"No discount",IF(T78&lt;=0.2,"Low (1-20%)",IF(T78&lt;=0.4,"Medium (21-40%)","High (&gt;40%)"))))</f>
        <v>No discount</v>
      </c>
      <c r="Y78" s="23" t="n">
        <f aca="false">IF(AND(ISNUMBER(C78),ISNUMBER(D78)),D78-C78,"")</f>
        <v>6</v>
      </c>
      <c r="Z78" s="23" t="n">
        <f aca="false">IF(B78="","",IF(MATCH(B78,$B$2:$B$12000,0)=ROW()-1,1,0))</f>
        <v>1</v>
      </c>
    </row>
    <row r="79" customFormat="false" ht="15" hidden="false" customHeight="false" outlineLevel="0" collapsed="false">
      <c r="A79" s="20" t="n">
        <v>78</v>
      </c>
      <c r="B79" s="20" t="s">
        <v>369</v>
      </c>
      <c r="C79" s="21" t="n">
        <v>41829</v>
      </c>
      <c r="D79" s="21" t="n">
        <v>41835</v>
      </c>
      <c r="E79" s="20" t="s">
        <v>104</v>
      </c>
      <c r="F79" s="20" t="s">
        <v>200</v>
      </c>
      <c r="G79" s="20" t="s">
        <v>201</v>
      </c>
      <c r="H79" s="20" t="s">
        <v>162</v>
      </c>
      <c r="I79" s="20" t="s">
        <v>62</v>
      </c>
      <c r="J79" s="20" t="s">
        <v>63</v>
      </c>
      <c r="K79" s="20" t="s">
        <v>64</v>
      </c>
      <c r="L79" s="20" t="n">
        <v>67007</v>
      </c>
      <c r="M79" s="20" t="s">
        <v>65</v>
      </c>
      <c r="N79" s="20" t="s">
        <v>372</v>
      </c>
      <c r="O79" s="20" t="s">
        <v>76</v>
      </c>
      <c r="P79" s="20" t="s">
        <v>80</v>
      </c>
      <c r="Q79" s="20" t="s">
        <v>373</v>
      </c>
      <c r="R79" s="22" t="n">
        <v>104.6</v>
      </c>
      <c r="S79" s="20" t="n">
        <v>4</v>
      </c>
      <c r="T79" s="20" t="n">
        <v>0.5</v>
      </c>
      <c r="U79" s="22" t="n">
        <v>3.71</v>
      </c>
      <c r="V79" s="23" t="n">
        <f aca="false">IF(ISNUMBER(C79),YEAR(C79),"")</f>
        <v>2014</v>
      </c>
      <c r="W79" s="23" t="n">
        <f aca="false">IF(ISNUMBER(C79),MONTH(C79),"")</f>
        <v>7</v>
      </c>
      <c r="X79" s="23" t="str">
        <f aca="false">IF(T79="","",IF(T79=0,"No discount",IF(T79&lt;=0.2,"Low (1-20%)",IF(T79&lt;=0.4,"Medium (21-40%)","High (&gt;40%)"))))</f>
        <v>High (&gt;40%)</v>
      </c>
      <c r="Y79" s="23" t="n">
        <f aca="false">IF(AND(ISNUMBER(C79),ISNUMBER(D79)),D79-C79,"")</f>
        <v>6</v>
      </c>
      <c r="Z79" s="23" t="n">
        <f aca="false">IF(B79="","",IF(MATCH(B79,$B$2:$B$12000,0)=ROW()-1,1,0))</f>
        <v>0</v>
      </c>
    </row>
    <row r="80" customFormat="false" ht="15" hidden="false" customHeight="false" outlineLevel="0" collapsed="false">
      <c r="A80" s="20" t="n">
        <v>79</v>
      </c>
      <c r="B80" s="20" t="s">
        <v>369</v>
      </c>
      <c r="C80" s="21" t="n">
        <v>41829</v>
      </c>
      <c r="D80" s="21" t="n">
        <v>41835</v>
      </c>
      <c r="E80" s="20" t="s">
        <v>71</v>
      </c>
      <c r="F80" s="20" t="s">
        <v>200</v>
      </c>
      <c r="G80" s="20" t="s">
        <v>201</v>
      </c>
      <c r="H80" s="20" t="s">
        <v>162</v>
      </c>
      <c r="I80" s="20" t="s">
        <v>62</v>
      </c>
      <c r="J80" s="20" t="s">
        <v>63</v>
      </c>
      <c r="K80" s="20" t="s">
        <v>64</v>
      </c>
      <c r="L80" s="20" t="n">
        <v>14866</v>
      </c>
      <c r="M80" s="20" t="s">
        <v>65</v>
      </c>
      <c r="N80" s="20" t="s">
        <v>374</v>
      </c>
      <c r="O80" s="20" t="s">
        <v>114</v>
      </c>
      <c r="P80" s="20" t="s">
        <v>210</v>
      </c>
      <c r="Q80" s="20" t="s">
        <v>375</v>
      </c>
      <c r="R80" s="22" t="n">
        <v>38.41</v>
      </c>
      <c r="S80" s="20" t="n">
        <v>1</v>
      </c>
      <c r="T80" s="20" t="n">
        <v>0.5</v>
      </c>
      <c r="U80" s="22" t="n">
        <v>-4.39</v>
      </c>
      <c r="V80" s="23" t="n">
        <f aca="false">IF(ISNUMBER(C80),YEAR(C80),"")</f>
        <v>2014</v>
      </c>
      <c r="W80" s="23" t="n">
        <f aca="false">IF(ISNUMBER(C80),MONTH(C80),"")</f>
        <v>7</v>
      </c>
      <c r="X80" s="23" t="str">
        <f aca="false">IF(T80="","",IF(T80=0,"No discount",IF(T80&lt;=0.2,"Low (1-20%)",IF(T80&lt;=0.4,"Medium (21-40%)","High (&gt;40%)"))))</f>
        <v>High (&gt;40%)</v>
      </c>
      <c r="Y80" s="23" t="n">
        <f aca="false">IF(AND(ISNUMBER(C80),ISNUMBER(D80)),D80-C80,"")</f>
        <v>6</v>
      </c>
      <c r="Z80" s="23" t="n">
        <f aca="false">IF(B80="","",IF(MATCH(B80,$B$2:$B$12000,0)=ROW()-1,1,0))</f>
        <v>0</v>
      </c>
    </row>
    <row r="81" customFormat="false" ht="15" hidden="false" customHeight="false" outlineLevel="0" collapsed="false">
      <c r="A81" s="20" t="n">
        <v>80</v>
      </c>
      <c r="B81" s="20" t="s">
        <v>376</v>
      </c>
      <c r="C81" s="21" t="n">
        <v>41832</v>
      </c>
      <c r="D81" s="21" t="n">
        <v>41838</v>
      </c>
      <c r="E81" s="20" t="s">
        <v>104</v>
      </c>
      <c r="F81" s="20" t="s">
        <v>319</v>
      </c>
      <c r="G81" s="20" t="s">
        <v>320</v>
      </c>
      <c r="H81" s="20" t="s">
        <v>61</v>
      </c>
      <c r="I81" s="20" t="s">
        <v>62</v>
      </c>
      <c r="J81" s="20" t="s">
        <v>63</v>
      </c>
      <c r="K81" s="20" t="s">
        <v>377</v>
      </c>
      <c r="L81" s="20" t="n">
        <v>79117</v>
      </c>
      <c r="M81" s="20" t="s">
        <v>65</v>
      </c>
      <c r="N81" s="20" t="s">
        <v>378</v>
      </c>
      <c r="O81" s="20" t="s">
        <v>67</v>
      </c>
      <c r="P81" s="20" t="s">
        <v>106</v>
      </c>
      <c r="Q81" s="20" t="s">
        <v>379</v>
      </c>
      <c r="R81" s="22" t="n">
        <v>2658.49</v>
      </c>
      <c r="S81" s="20" t="n">
        <v>7</v>
      </c>
      <c r="T81" s="20" t="n">
        <v>0.5</v>
      </c>
      <c r="U81" s="22" t="n">
        <v>-369.6</v>
      </c>
      <c r="V81" s="23" t="n">
        <f aca="false">IF(ISNUMBER(C81),YEAR(C81),"")</f>
        <v>2014</v>
      </c>
      <c r="W81" s="23" t="n">
        <f aca="false">IF(ISNUMBER(C81),MONTH(C81),"")</f>
        <v>7</v>
      </c>
      <c r="X81" s="23" t="str">
        <f aca="false">IF(T81="","",IF(T81=0,"No discount",IF(T81&lt;=0.2,"Low (1-20%)",IF(T81&lt;=0.4,"Medium (21-40%)","High (&gt;40%)"))))</f>
        <v>High (&gt;40%)</v>
      </c>
      <c r="Y81" s="23" t="n">
        <f aca="false">IF(AND(ISNUMBER(C81),ISNUMBER(D81)),D81-C81,"")</f>
        <v>6</v>
      </c>
      <c r="Z81" s="23" t="n">
        <f aca="false">IF(B81="","",IF(MATCH(B81,$B$2:$B$12000,0)=ROW()-1,1,0))</f>
        <v>1</v>
      </c>
    </row>
    <row r="82" customFormat="false" ht="15" hidden="false" customHeight="false" outlineLevel="0" collapsed="false">
      <c r="A82" s="20" t="n">
        <v>81</v>
      </c>
      <c r="B82" s="20" t="s">
        <v>376</v>
      </c>
      <c r="C82" s="21" t="n">
        <v>41832</v>
      </c>
      <c r="D82" s="21" t="n">
        <v>41838</v>
      </c>
      <c r="E82" s="20" t="s">
        <v>90</v>
      </c>
      <c r="F82" s="20" t="s">
        <v>319</v>
      </c>
      <c r="G82" s="20" t="s">
        <v>320</v>
      </c>
      <c r="H82" s="20" t="s">
        <v>61</v>
      </c>
      <c r="I82" s="20" t="s">
        <v>62</v>
      </c>
      <c r="J82" s="20" t="s">
        <v>63</v>
      </c>
      <c r="K82" s="20" t="s">
        <v>377</v>
      </c>
      <c r="L82" s="20" t="n">
        <v>76670</v>
      </c>
      <c r="M82" s="20" t="s">
        <v>65</v>
      </c>
      <c r="N82" s="20" t="s">
        <v>380</v>
      </c>
      <c r="O82" s="20" t="s">
        <v>67</v>
      </c>
      <c r="P82" s="20" t="s">
        <v>106</v>
      </c>
      <c r="Q82" s="20" t="s">
        <v>381</v>
      </c>
      <c r="R82" s="22" t="n">
        <v>4141.62</v>
      </c>
      <c r="S82" s="20" t="n">
        <v>8</v>
      </c>
      <c r="T82" s="20" t="n">
        <v>0.2</v>
      </c>
      <c r="U82" s="22" t="n">
        <v>96.38</v>
      </c>
      <c r="V82" s="23" t="n">
        <f aca="false">IF(ISNUMBER(C82),YEAR(C82),"")</f>
        <v>2014</v>
      </c>
      <c r="W82" s="23" t="n">
        <f aca="false">IF(ISNUMBER(C82),MONTH(C82),"")</f>
        <v>7</v>
      </c>
      <c r="X82" s="23" t="str">
        <f aca="false">IF(T82="","",IF(T82=0,"No discount",IF(T82&lt;=0.2,"Low (1-20%)",IF(T82&lt;=0.4,"Medium (21-40%)","High (&gt;40%)"))))</f>
        <v>Low (1-20%)</v>
      </c>
      <c r="Y82" s="23" t="n">
        <f aca="false">IF(AND(ISNUMBER(C82),ISNUMBER(D82)),D82-C82,"")</f>
        <v>6</v>
      </c>
      <c r="Z82" s="23" t="n">
        <f aca="false">IF(B82="","",IF(MATCH(B82,$B$2:$B$12000,0)=ROW()-1,1,0))</f>
        <v>0</v>
      </c>
    </row>
    <row r="83" customFormat="false" ht="15" hidden="false" customHeight="false" outlineLevel="0" collapsed="false">
      <c r="A83" s="20" t="n">
        <v>82</v>
      </c>
      <c r="B83" s="20" t="s">
        <v>382</v>
      </c>
      <c r="C83" s="21" t="n">
        <v>41834</v>
      </c>
      <c r="D83" s="21" t="n">
        <v>41838</v>
      </c>
      <c r="E83" s="20" t="s">
        <v>104</v>
      </c>
      <c r="F83" s="20" t="s">
        <v>383</v>
      </c>
      <c r="G83" s="20" t="s">
        <v>384</v>
      </c>
      <c r="H83" s="20" t="s">
        <v>61</v>
      </c>
      <c r="I83" s="20" t="s">
        <v>62</v>
      </c>
      <c r="J83" s="20" t="s">
        <v>63</v>
      </c>
      <c r="K83" s="20" t="s">
        <v>385</v>
      </c>
      <c r="L83" s="20" t="n">
        <v>32876</v>
      </c>
      <c r="M83" s="20" t="s">
        <v>153</v>
      </c>
      <c r="N83" s="20" t="s">
        <v>386</v>
      </c>
      <c r="O83" s="20" t="s">
        <v>76</v>
      </c>
      <c r="P83" s="20" t="s">
        <v>80</v>
      </c>
      <c r="Q83" s="20" t="s">
        <v>387</v>
      </c>
      <c r="R83" s="22" t="n">
        <v>73.21</v>
      </c>
      <c r="S83" s="20" t="n">
        <v>8</v>
      </c>
      <c r="T83" s="20" t="n">
        <v>0</v>
      </c>
      <c r="U83" s="22" t="n">
        <v>15.09</v>
      </c>
      <c r="V83" s="23" t="n">
        <f aca="false">IF(ISNUMBER(C83),YEAR(C83),"")</f>
        <v>2014</v>
      </c>
      <c r="W83" s="23" t="n">
        <f aca="false">IF(ISNUMBER(C83),MONTH(C83),"")</f>
        <v>7</v>
      </c>
      <c r="X83" s="23" t="str">
        <f aca="false">IF(T83="","",IF(T83=0,"No discount",IF(T83&lt;=0.2,"Low (1-20%)",IF(T83&lt;=0.4,"Medium (21-40%)","High (&gt;40%)"))))</f>
        <v>No discount</v>
      </c>
      <c r="Y83" s="23" t="n">
        <f aca="false">IF(AND(ISNUMBER(C83),ISNUMBER(D83)),D83-C83,"")</f>
        <v>4</v>
      </c>
      <c r="Z83" s="23" t="n">
        <f aca="false">IF(B83="","",IF(MATCH(B83,$B$2:$B$12000,0)=ROW()-1,1,0))</f>
        <v>1</v>
      </c>
    </row>
    <row r="84" customFormat="false" ht="15" hidden="false" customHeight="false" outlineLevel="0" collapsed="false">
      <c r="A84" s="20" t="n">
        <v>83</v>
      </c>
      <c r="B84" s="20" t="s">
        <v>382</v>
      </c>
      <c r="C84" s="21" t="n">
        <v>41834</v>
      </c>
      <c r="D84" s="21" t="n">
        <v>41838</v>
      </c>
      <c r="E84" s="20" t="s">
        <v>71</v>
      </c>
      <c r="F84" s="20" t="s">
        <v>383</v>
      </c>
      <c r="G84" s="20" t="s">
        <v>384</v>
      </c>
      <c r="H84" s="20" t="s">
        <v>61</v>
      </c>
      <c r="I84" s="20" t="s">
        <v>62</v>
      </c>
      <c r="J84" s="20" t="s">
        <v>63</v>
      </c>
      <c r="K84" s="20" t="s">
        <v>385</v>
      </c>
      <c r="L84" s="20" t="n">
        <v>36399</v>
      </c>
      <c r="M84" s="20" t="s">
        <v>153</v>
      </c>
      <c r="N84" s="20" t="s">
        <v>388</v>
      </c>
      <c r="O84" s="20" t="s">
        <v>67</v>
      </c>
      <c r="P84" s="20" t="s">
        <v>68</v>
      </c>
      <c r="Q84" s="20" t="s">
        <v>389</v>
      </c>
      <c r="R84" s="22" t="n">
        <v>14545.08</v>
      </c>
      <c r="S84" s="20" t="n">
        <v>5</v>
      </c>
      <c r="T84" s="20" t="n">
        <v>0</v>
      </c>
      <c r="U84" s="22" t="n">
        <v>4694.3</v>
      </c>
      <c r="V84" s="23" t="n">
        <f aca="false">IF(ISNUMBER(C84),YEAR(C84),"")</f>
        <v>2014</v>
      </c>
      <c r="W84" s="23" t="n">
        <f aca="false">IF(ISNUMBER(C84),MONTH(C84),"")</f>
        <v>7</v>
      </c>
      <c r="X84" s="23" t="str">
        <f aca="false">IF(T84="","",IF(T84=0,"No discount",IF(T84&lt;=0.2,"Low (1-20%)",IF(T84&lt;=0.4,"Medium (21-40%)","High (&gt;40%)"))))</f>
        <v>No discount</v>
      </c>
      <c r="Y84" s="23" t="n">
        <f aca="false">IF(AND(ISNUMBER(C84),ISNUMBER(D84)),D84-C84,"")</f>
        <v>4</v>
      </c>
      <c r="Z84" s="23" t="n">
        <f aca="false">IF(B84="","",IF(MATCH(B84,$B$2:$B$12000,0)=ROW()-1,1,0))</f>
        <v>0</v>
      </c>
    </row>
    <row r="85" customFormat="false" ht="15" hidden="false" customHeight="false" outlineLevel="0" collapsed="false">
      <c r="A85" s="20" t="n">
        <v>84</v>
      </c>
      <c r="B85" s="20" t="s">
        <v>390</v>
      </c>
      <c r="C85" s="21" t="n">
        <v>41841</v>
      </c>
      <c r="D85" s="21" t="n">
        <v>41847</v>
      </c>
      <c r="E85" s="20" t="s">
        <v>90</v>
      </c>
      <c r="F85" s="20" t="s">
        <v>391</v>
      </c>
      <c r="G85" s="20" t="s">
        <v>392</v>
      </c>
      <c r="H85" s="20" t="s">
        <v>61</v>
      </c>
      <c r="I85" s="20" t="s">
        <v>62</v>
      </c>
      <c r="J85" s="20" t="s">
        <v>63</v>
      </c>
      <c r="K85" s="20" t="s">
        <v>393</v>
      </c>
      <c r="L85" s="20" t="n">
        <v>27445</v>
      </c>
      <c r="M85" s="20" t="s">
        <v>97</v>
      </c>
      <c r="N85" s="20" t="s">
        <v>394</v>
      </c>
      <c r="O85" s="20" t="s">
        <v>76</v>
      </c>
      <c r="P85" s="20" t="s">
        <v>128</v>
      </c>
      <c r="Q85" s="20" t="s">
        <v>395</v>
      </c>
      <c r="R85" s="22" t="n">
        <v>66.7</v>
      </c>
      <c r="S85" s="20" t="n">
        <v>4</v>
      </c>
      <c r="T85" s="20" t="n">
        <v>0</v>
      </c>
      <c r="U85" s="22" t="n">
        <v>9.35</v>
      </c>
      <c r="V85" s="23" t="n">
        <f aca="false">IF(ISNUMBER(C85),YEAR(C85),"")</f>
        <v>2014</v>
      </c>
      <c r="W85" s="23" t="n">
        <f aca="false">IF(ISNUMBER(C85),MONTH(C85),"")</f>
        <v>7</v>
      </c>
      <c r="X85" s="23" t="str">
        <f aca="false">IF(T85="","",IF(T85=0,"No discount",IF(T85&lt;=0.2,"Low (1-20%)",IF(T85&lt;=0.4,"Medium (21-40%)","High (&gt;40%)"))))</f>
        <v>No discount</v>
      </c>
      <c r="Y85" s="23" t="n">
        <f aca="false">IF(AND(ISNUMBER(C85),ISNUMBER(D85)),D85-C85,"")</f>
        <v>6</v>
      </c>
      <c r="Z85" s="23" t="n">
        <f aca="false">IF(B85="","",IF(MATCH(B85,$B$2:$B$12000,0)=ROW()-1,1,0))</f>
        <v>1</v>
      </c>
    </row>
    <row r="86" customFormat="false" ht="15" hidden="false" customHeight="false" outlineLevel="0" collapsed="false">
      <c r="A86" s="20" t="n">
        <v>85</v>
      </c>
      <c r="B86" s="20" t="s">
        <v>390</v>
      </c>
      <c r="C86" s="21" t="n">
        <v>41841</v>
      </c>
      <c r="D86" s="21" t="n">
        <v>41847</v>
      </c>
      <c r="E86" s="20" t="s">
        <v>58</v>
      </c>
      <c r="F86" s="20" t="s">
        <v>391</v>
      </c>
      <c r="G86" s="20" t="s">
        <v>392</v>
      </c>
      <c r="H86" s="20" t="s">
        <v>61</v>
      </c>
      <c r="I86" s="20" t="s">
        <v>62</v>
      </c>
      <c r="J86" s="20" t="s">
        <v>63</v>
      </c>
      <c r="K86" s="20" t="s">
        <v>393</v>
      </c>
      <c r="L86" s="20" t="n">
        <v>98739</v>
      </c>
      <c r="M86" s="20" t="s">
        <v>97</v>
      </c>
      <c r="N86" s="20" t="s">
        <v>396</v>
      </c>
      <c r="O86" s="20" t="s">
        <v>76</v>
      </c>
      <c r="P86" s="20" t="s">
        <v>80</v>
      </c>
      <c r="Q86" s="20" t="s">
        <v>397</v>
      </c>
      <c r="R86" s="22" t="n">
        <v>207.34</v>
      </c>
      <c r="S86" s="20" t="n">
        <v>4</v>
      </c>
      <c r="T86" s="20" t="n">
        <v>0.2</v>
      </c>
      <c r="U86" s="22" t="n">
        <v>45.36</v>
      </c>
      <c r="V86" s="23" t="n">
        <f aca="false">IF(ISNUMBER(C86),YEAR(C86),"")</f>
        <v>2014</v>
      </c>
      <c r="W86" s="23" t="n">
        <f aca="false">IF(ISNUMBER(C86),MONTH(C86),"")</f>
        <v>7</v>
      </c>
      <c r="X86" s="23" t="str">
        <f aca="false">IF(T86="","",IF(T86=0,"No discount",IF(T86&lt;=0.2,"Low (1-20%)",IF(T86&lt;=0.4,"Medium (21-40%)","High (&gt;40%)"))))</f>
        <v>Low (1-20%)</v>
      </c>
      <c r="Y86" s="23" t="n">
        <f aca="false">IF(AND(ISNUMBER(C86),ISNUMBER(D86)),D86-C86,"")</f>
        <v>6</v>
      </c>
      <c r="Z86" s="23" t="n">
        <f aca="false">IF(B86="","",IF(MATCH(B86,$B$2:$B$12000,0)=ROW()-1,1,0))</f>
        <v>0</v>
      </c>
    </row>
    <row r="87" customFormat="false" ht="15" hidden="false" customHeight="false" outlineLevel="0" collapsed="false">
      <c r="A87" s="20" t="n">
        <v>86</v>
      </c>
      <c r="B87" s="20" t="s">
        <v>390</v>
      </c>
      <c r="C87" s="21" t="n">
        <v>41841</v>
      </c>
      <c r="D87" s="21" t="n">
        <v>41847</v>
      </c>
      <c r="E87" s="20" t="s">
        <v>71</v>
      </c>
      <c r="F87" s="20" t="s">
        <v>391</v>
      </c>
      <c r="G87" s="20" t="s">
        <v>392</v>
      </c>
      <c r="H87" s="20" t="s">
        <v>61</v>
      </c>
      <c r="I87" s="20" t="s">
        <v>62</v>
      </c>
      <c r="J87" s="20" t="s">
        <v>63</v>
      </c>
      <c r="K87" s="20" t="s">
        <v>393</v>
      </c>
      <c r="L87" s="20" t="n">
        <v>57248</v>
      </c>
      <c r="M87" s="20" t="s">
        <v>97</v>
      </c>
      <c r="N87" s="20" t="s">
        <v>398</v>
      </c>
      <c r="O87" s="20" t="s">
        <v>67</v>
      </c>
      <c r="P87" s="20" t="s">
        <v>106</v>
      </c>
      <c r="Q87" s="20" t="s">
        <v>399</v>
      </c>
      <c r="R87" s="22" t="n">
        <v>2583.63</v>
      </c>
      <c r="S87" s="20" t="n">
        <v>4</v>
      </c>
      <c r="T87" s="20" t="n">
        <v>0</v>
      </c>
      <c r="U87" s="22" t="n">
        <v>479.25</v>
      </c>
      <c r="V87" s="23" t="n">
        <f aca="false">IF(ISNUMBER(C87),YEAR(C87),"")</f>
        <v>2014</v>
      </c>
      <c r="W87" s="23" t="n">
        <f aca="false">IF(ISNUMBER(C87),MONTH(C87),"")</f>
        <v>7</v>
      </c>
      <c r="X87" s="23" t="str">
        <f aca="false">IF(T87="","",IF(T87=0,"No discount",IF(T87&lt;=0.2,"Low (1-20%)",IF(T87&lt;=0.4,"Medium (21-40%)","High (&gt;40%)"))))</f>
        <v>No discount</v>
      </c>
      <c r="Y87" s="23" t="n">
        <f aca="false">IF(AND(ISNUMBER(C87),ISNUMBER(D87)),D87-C87,"")</f>
        <v>6</v>
      </c>
      <c r="Z87" s="23" t="n">
        <f aca="false">IF(B87="","",IF(MATCH(B87,$B$2:$B$12000,0)=ROW()-1,1,0))</f>
        <v>0</v>
      </c>
    </row>
    <row r="88" customFormat="false" ht="15" hidden="false" customHeight="false" outlineLevel="0" collapsed="false">
      <c r="A88" s="20" t="n">
        <v>87</v>
      </c>
      <c r="B88" s="20" t="s">
        <v>390</v>
      </c>
      <c r="C88" s="21" t="n">
        <v>41841</v>
      </c>
      <c r="D88" s="21" t="n">
        <v>41847</v>
      </c>
      <c r="E88" s="20" t="s">
        <v>58</v>
      </c>
      <c r="F88" s="20" t="s">
        <v>391</v>
      </c>
      <c r="G88" s="20" t="s">
        <v>392</v>
      </c>
      <c r="H88" s="20" t="s">
        <v>61</v>
      </c>
      <c r="I88" s="20" t="s">
        <v>62</v>
      </c>
      <c r="J88" s="20" t="s">
        <v>63</v>
      </c>
      <c r="K88" s="20" t="s">
        <v>393</v>
      </c>
      <c r="L88" s="20" t="n">
        <v>52529</v>
      </c>
      <c r="M88" s="20" t="s">
        <v>97</v>
      </c>
      <c r="N88" s="20" t="s">
        <v>400</v>
      </c>
      <c r="O88" s="20" t="s">
        <v>114</v>
      </c>
      <c r="P88" s="20" t="s">
        <v>210</v>
      </c>
      <c r="Q88" s="20" t="s">
        <v>401</v>
      </c>
      <c r="R88" s="22" t="n">
        <v>110.83</v>
      </c>
      <c r="S88" s="20" t="n">
        <v>5</v>
      </c>
      <c r="T88" s="20" t="n">
        <v>0</v>
      </c>
      <c r="U88" s="22" t="n">
        <v>11.48</v>
      </c>
      <c r="V88" s="23" t="n">
        <f aca="false">IF(ISNUMBER(C88),YEAR(C88),"")</f>
        <v>2014</v>
      </c>
      <c r="W88" s="23" t="n">
        <f aca="false">IF(ISNUMBER(C88),MONTH(C88),"")</f>
        <v>7</v>
      </c>
      <c r="X88" s="23" t="str">
        <f aca="false">IF(T88="","",IF(T88=0,"No discount",IF(T88&lt;=0.2,"Low (1-20%)",IF(T88&lt;=0.4,"Medium (21-40%)","High (&gt;40%)"))))</f>
        <v>No discount</v>
      </c>
      <c r="Y88" s="23" t="n">
        <f aca="false">IF(AND(ISNUMBER(C88),ISNUMBER(D88)),D88-C88,"")</f>
        <v>6</v>
      </c>
      <c r="Z88" s="23" t="n">
        <f aca="false">IF(B88="","",IF(MATCH(B88,$B$2:$B$12000,0)=ROW()-1,1,0))</f>
        <v>0</v>
      </c>
    </row>
    <row r="89" customFormat="false" ht="15" hidden="false" customHeight="false" outlineLevel="0" collapsed="false">
      <c r="A89" s="20" t="n">
        <v>88</v>
      </c>
      <c r="B89" s="20" t="s">
        <v>402</v>
      </c>
      <c r="C89" s="21" t="n">
        <v>41842</v>
      </c>
      <c r="D89" s="21" t="n">
        <v>41845</v>
      </c>
      <c r="E89" s="20" t="s">
        <v>90</v>
      </c>
      <c r="F89" s="20" t="s">
        <v>403</v>
      </c>
      <c r="G89" s="20" t="s">
        <v>404</v>
      </c>
      <c r="H89" s="20" t="s">
        <v>85</v>
      </c>
      <c r="I89" s="20" t="s">
        <v>62</v>
      </c>
      <c r="J89" s="20" t="s">
        <v>63</v>
      </c>
      <c r="K89" s="20" t="s">
        <v>208</v>
      </c>
      <c r="L89" s="20" t="n">
        <v>21006</v>
      </c>
      <c r="M89" s="20" t="s">
        <v>153</v>
      </c>
      <c r="N89" s="20" t="s">
        <v>405</v>
      </c>
      <c r="O89" s="20" t="s">
        <v>114</v>
      </c>
      <c r="P89" s="20" t="s">
        <v>139</v>
      </c>
      <c r="Q89" s="20" t="s">
        <v>406</v>
      </c>
      <c r="R89" s="22" t="n">
        <v>360.83</v>
      </c>
      <c r="S89" s="20" t="n">
        <v>1</v>
      </c>
      <c r="T89" s="20" t="n">
        <v>0</v>
      </c>
      <c r="U89" s="22" t="n">
        <v>50.39</v>
      </c>
      <c r="V89" s="23" t="n">
        <f aca="false">IF(ISNUMBER(C89),YEAR(C89),"")</f>
        <v>2014</v>
      </c>
      <c r="W89" s="23" t="n">
        <f aca="false">IF(ISNUMBER(C89),MONTH(C89),"")</f>
        <v>7</v>
      </c>
      <c r="X89" s="23" t="str">
        <f aca="false">IF(T89="","",IF(T89=0,"No discount",IF(T89&lt;=0.2,"Low (1-20%)",IF(T89&lt;=0.4,"Medium (21-40%)","High (&gt;40%)"))))</f>
        <v>No discount</v>
      </c>
      <c r="Y89" s="23" t="n">
        <f aca="false">IF(AND(ISNUMBER(C89),ISNUMBER(D89)),D89-C89,"")</f>
        <v>3</v>
      </c>
      <c r="Z89" s="23" t="n">
        <f aca="false">IF(B89="","",IF(MATCH(B89,$B$2:$B$12000,0)=ROW()-1,1,0))</f>
        <v>1</v>
      </c>
    </row>
    <row r="90" customFormat="false" ht="15" hidden="false" customHeight="false" outlineLevel="0" collapsed="false">
      <c r="A90" s="20" t="n">
        <v>89</v>
      </c>
      <c r="B90" s="20" t="s">
        <v>402</v>
      </c>
      <c r="C90" s="21" t="n">
        <v>41842</v>
      </c>
      <c r="D90" s="21" t="n">
        <v>41845</v>
      </c>
      <c r="E90" s="20" t="s">
        <v>104</v>
      </c>
      <c r="F90" s="20" t="s">
        <v>403</v>
      </c>
      <c r="G90" s="20" t="s">
        <v>404</v>
      </c>
      <c r="H90" s="20" t="s">
        <v>85</v>
      </c>
      <c r="I90" s="20" t="s">
        <v>62</v>
      </c>
      <c r="J90" s="20" t="s">
        <v>63</v>
      </c>
      <c r="K90" s="20" t="s">
        <v>208</v>
      </c>
      <c r="L90" s="20" t="n">
        <v>21923</v>
      </c>
      <c r="M90" s="20" t="s">
        <v>153</v>
      </c>
      <c r="N90" s="20" t="s">
        <v>407</v>
      </c>
      <c r="O90" s="20" t="s">
        <v>76</v>
      </c>
      <c r="P90" s="20" t="s">
        <v>77</v>
      </c>
      <c r="Q90" s="20" t="s">
        <v>408</v>
      </c>
      <c r="R90" s="22" t="n">
        <v>203.9</v>
      </c>
      <c r="S90" s="20" t="n">
        <v>8</v>
      </c>
      <c r="T90" s="20" t="n">
        <v>0.2</v>
      </c>
      <c r="U90" s="22" t="n">
        <v>28.4</v>
      </c>
      <c r="V90" s="23" t="n">
        <f aca="false">IF(ISNUMBER(C90),YEAR(C90),"")</f>
        <v>2014</v>
      </c>
      <c r="W90" s="23" t="n">
        <f aca="false">IF(ISNUMBER(C90),MONTH(C90),"")</f>
        <v>7</v>
      </c>
      <c r="X90" s="23" t="str">
        <f aca="false">IF(T90="","",IF(T90=0,"No discount",IF(T90&lt;=0.2,"Low (1-20%)",IF(T90&lt;=0.4,"Medium (21-40%)","High (&gt;40%)"))))</f>
        <v>Low (1-20%)</v>
      </c>
      <c r="Y90" s="23" t="n">
        <f aca="false">IF(AND(ISNUMBER(C90),ISNUMBER(D90)),D90-C90,"")</f>
        <v>3</v>
      </c>
      <c r="Z90" s="23" t="n">
        <f aca="false">IF(B90="","",IF(MATCH(B90,$B$2:$B$12000,0)=ROW()-1,1,0))</f>
        <v>0</v>
      </c>
    </row>
    <row r="91" customFormat="false" ht="15" hidden="false" customHeight="false" outlineLevel="0" collapsed="false">
      <c r="A91" s="20" t="n">
        <v>90</v>
      </c>
      <c r="B91" s="20" t="s">
        <v>402</v>
      </c>
      <c r="C91" s="21" t="n">
        <v>41842</v>
      </c>
      <c r="D91" s="21" t="n">
        <v>41845</v>
      </c>
      <c r="E91" s="20" t="s">
        <v>71</v>
      </c>
      <c r="F91" s="20" t="s">
        <v>403</v>
      </c>
      <c r="G91" s="20" t="s">
        <v>404</v>
      </c>
      <c r="H91" s="20" t="s">
        <v>85</v>
      </c>
      <c r="I91" s="20" t="s">
        <v>62</v>
      </c>
      <c r="J91" s="20" t="s">
        <v>63</v>
      </c>
      <c r="K91" s="20" t="s">
        <v>208</v>
      </c>
      <c r="L91" s="20" t="n">
        <v>13315</v>
      </c>
      <c r="M91" s="20" t="s">
        <v>153</v>
      </c>
      <c r="N91" s="20" t="s">
        <v>409</v>
      </c>
      <c r="O91" s="20" t="s">
        <v>76</v>
      </c>
      <c r="P91" s="20" t="s">
        <v>185</v>
      </c>
      <c r="Q91" s="20" t="s">
        <v>410</v>
      </c>
      <c r="R91" s="22" t="n">
        <v>24.2</v>
      </c>
      <c r="S91" s="20" t="n">
        <v>4</v>
      </c>
      <c r="T91" s="20" t="n">
        <v>0</v>
      </c>
      <c r="U91" s="22" t="n">
        <v>6.22</v>
      </c>
      <c r="V91" s="23" t="n">
        <f aca="false">IF(ISNUMBER(C91),YEAR(C91),"")</f>
        <v>2014</v>
      </c>
      <c r="W91" s="23" t="n">
        <f aca="false">IF(ISNUMBER(C91),MONTH(C91),"")</f>
        <v>7</v>
      </c>
      <c r="X91" s="23" t="str">
        <f aca="false">IF(T91="","",IF(T91=0,"No discount",IF(T91&lt;=0.2,"Low (1-20%)",IF(T91&lt;=0.4,"Medium (21-40%)","High (&gt;40%)"))))</f>
        <v>No discount</v>
      </c>
      <c r="Y91" s="23" t="n">
        <f aca="false">IF(AND(ISNUMBER(C91),ISNUMBER(D91)),D91-C91,"")</f>
        <v>3</v>
      </c>
      <c r="Z91" s="23" t="n">
        <f aca="false">IF(B91="","",IF(MATCH(B91,$B$2:$B$12000,0)=ROW()-1,1,0))</f>
        <v>0</v>
      </c>
    </row>
    <row r="92" customFormat="false" ht="15" hidden="false" customHeight="false" outlineLevel="0" collapsed="false">
      <c r="A92" s="20" t="n">
        <v>91</v>
      </c>
      <c r="B92" s="20" t="s">
        <v>411</v>
      </c>
      <c r="C92" s="21" t="n">
        <v>41843</v>
      </c>
      <c r="D92" s="21" t="n">
        <v>41845</v>
      </c>
      <c r="E92" s="20" t="s">
        <v>104</v>
      </c>
      <c r="F92" s="20" t="s">
        <v>258</v>
      </c>
      <c r="G92" s="20" t="s">
        <v>259</v>
      </c>
      <c r="H92" s="20" t="s">
        <v>85</v>
      </c>
      <c r="I92" s="20" t="s">
        <v>62</v>
      </c>
      <c r="J92" s="20" t="s">
        <v>63</v>
      </c>
      <c r="K92" s="20" t="s">
        <v>208</v>
      </c>
      <c r="L92" s="20" t="n">
        <v>51963</v>
      </c>
      <c r="M92" s="20" t="s">
        <v>153</v>
      </c>
      <c r="N92" s="20" t="s">
        <v>412</v>
      </c>
      <c r="O92" s="20" t="s">
        <v>67</v>
      </c>
      <c r="P92" s="20" t="s">
        <v>68</v>
      </c>
      <c r="Q92" s="20" t="s">
        <v>413</v>
      </c>
      <c r="R92" s="22" t="n">
        <v>4240.45</v>
      </c>
      <c r="S92" s="20" t="n">
        <v>2</v>
      </c>
      <c r="T92" s="20" t="n">
        <v>0.1</v>
      </c>
      <c r="U92" s="22" t="n">
        <v>954.96</v>
      </c>
      <c r="V92" s="23" t="n">
        <f aca="false">IF(ISNUMBER(C92),YEAR(C92),"")</f>
        <v>2014</v>
      </c>
      <c r="W92" s="23" t="n">
        <f aca="false">IF(ISNUMBER(C92),MONTH(C92),"")</f>
        <v>7</v>
      </c>
      <c r="X92" s="23" t="str">
        <f aca="false">IF(T92="","",IF(T92=0,"No discount",IF(T92&lt;=0.2,"Low (1-20%)",IF(T92&lt;=0.4,"Medium (21-40%)","High (&gt;40%)"))))</f>
        <v>Low (1-20%)</v>
      </c>
      <c r="Y92" s="23" t="n">
        <f aca="false">IF(AND(ISNUMBER(C92),ISNUMBER(D92)),D92-C92,"")</f>
        <v>2</v>
      </c>
      <c r="Z92" s="23" t="n">
        <f aca="false">IF(B92="","",IF(MATCH(B92,$B$2:$B$12000,0)=ROW()-1,1,0))</f>
        <v>1</v>
      </c>
    </row>
    <row r="93" customFormat="false" ht="15" hidden="false" customHeight="false" outlineLevel="0" collapsed="false">
      <c r="A93" s="20" t="n">
        <v>92</v>
      </c>
      <c r="B93" s="20" t="s">
        <v>411</v>
      </c>
      <c r="C93" s="21" t="n">
        <v>41843</v>
      </c>
      <c r="D93" s="21" t="n">
        <v>41845</v>
      </c>
      <c r="E93" s="20" t="s">
        <v>71</v>
      </c>
      <c r="F93" s="20" t="s">
        <v>258</v>
      </c>
      <c r="G93" s="20" t="s">
        <v>259</v>
      </c>
      <c r="H93" s="20" t="s">
        <v>85</v>
      </c>
      <c r="I93" s="20" t="s">
        <v>62</v>
      </c>
      <c r="J93" s="20" t="s">
        <v>63</v>
      </c>
      <c r="K93" s="20" t="s">
        <v>208</v>
      </c>
      <c r="L93" s="20" t="n">
        <v>84300</v>
      </c>
      <c r="M93" s="20" t="s">
        <v>153</v>
      </c>
      <c r="N93" s="20" t="s">
        <v>414</v>
      </c>
      <c r="O93" s="20" t="s">
        <v>114</v>
      </c>
      <c r="P93" s="20" t="s">
        <v>210</v>
      </c>
      <c r="Q93" s="20" t="s">
        <v>415</v>
      </c>
      <c r="R93" s="22" t="n">
        <v>81.75</v>
      </c>
      <c r="S93" s="20" t="n">
        <v>5</v>
      </c>
      <c r="T93" s="20" t="n">
        <v>0</v>
      </c>
      <c r="U93" s="22" t="n">
        <v>14.58</v>
      </c>
      <c r="V93" s="23" t="n">
        <f aca="false">IF(ISNUMBER(C93),YEAR(C93),"")</f>
        <v>2014</v>
      </c>
      <c r="W93" s="23" t="n">
        <f aca="false">IF(ISNUMBER(C93),MONTH(C93),"")</f>
        <v>7</v>
      </c>
      <c r="X93" s="23" t="str">
        <f aca="false">IF(T93="","",IF(T93=0,"No discount",IF(T93&lt;=0.2,"Low (1-20%)",IF(T93&lt;=0.4,"Medium (21-40%)","High (&gt;40%)"))))</f>
        <v>No discount</v>
      </c>
      <c r="Y93" s="23" t="n">
        <f aca="false">IF(AND(ISNUMBER(C93),ISNUMBER(D93)),D93-C93,"")</f>
        <v>2</v>
      </c>
      <c r="Z93" s="23" t="n">
        <f aca="false">IF(B93="","",IF(MATCH(B93,$B$2:$B$12000,0)=ROW()-1,1,0))</f>
        <v>0</v>
      </c>
    </row>
    <row r="94" customFormat="false" ht="15" hidden="false" customHeight="false" outlineLevel="0" collapsed="false">
      <c r="A94" s="20" t="n">
        <v>93</v>
      </c>
      <c r="B94" s="20" t="s">
        <v>411</v>
      </c>
      <c r="C94" s="21" t="n">
        <v>41843</v>
      </c>
      <c r="D94" s="21" t="n">
        <v>41845</v>
      </c>
      <c r="E94" s="20" t="s">
        <v>71</v>
      </c>
      <c r="F94" s="20" t="s">
        <v>258</v>
      </c>
      <c r="G94" s="20" t="s">
        <v>259</v>
      </c>
      <c r="H94" s="20" t="s">
        <v>85</v>
      </c>
      <c r="I94" s="20" t="s">
        <v>62</v>
      </c>
      <c r="J94" s="20" t="s">
        <v>63</v>
      </c>
      <c r="K94" s="20" t="s">
        <v>208</v>
      </c>
      <c r="L94" s="20" t="n">
        <v>28597</v>
      </c>
      <c r="M94" s="20" t="s">
        <v>153</v>
      </c>
      <c r="N94" s="20" t="s">
        <v>416</v>
      </c>
      <c r="O94" s="20" t="s">
        <v>67</v>
      </c>
      <c r="P94" s="20" t="s">
        <v>106</v>
      </c>
      <c r="Q94" s="20" t="s">
        <v>417</v>
      </c>
      <c r="R94" s="22" t="n">
        <v>3328.19</v>
      </c>
      <c r="S94" s="20" t="n">
        <v>7</v>
      </c>
      <c r="T94" s="20" t="n">
        <v>0.3</v>
      </c>
      <c r="U94" s="22" t="n">
        <v>126.15</v>
      </c>
      <c r="V94" s="23" t="n">
        <f aca="false">IF(ISNUMBER(C94),YEAR(C94),"")</f>
        <v>2014</v>
      </c>
      <c r="W94" s="23" t="n">
        <f aca="false">IF(ISNUMBER(C94),MONTH(C94),"")</f>
        <v>7</v>
      </c>
      <c r="X94" s="23" t="str">
        <f aca="false">IF(T94="","",IF(T94=0,"No discount",IF(T94&lt;=0.2,"Low (1-20%)",IF(T94&lt;=0.4,"Medium (21-40%)","High (&gt;40%)"))))</f>
        <v>Medium (21-40%)</v>
      </c>
      <c r="Y94" s="23" t="n">
        <f aca="false">IF(AND(ISNUMBER(C94),ISNUMBER(D94)),D94-C94,"")</f>
        <v>2</v>
      </c>
      <c r="Z94" s="23" t="n">
        <f aca="false">IF(B94="","",IF(MATCH(B94,$B$2:$B$12000,0)=ROW()-1,1,0))</f>
        <v>0</v>
      </c>
    </row>
    <row r="95" customFormat="false" ht="15" hidden="false" customHeight="false" outlineLevel="0" collapsed="false">
      <c r="A95" s="20" t="n">
        <v>94</v>
      </c>
      <c r="B95" s="20" t="s">
        <v>418</v>
      </c>
      <c r="C95" s="21" t="n">
        <v>41846</v>
      </c>
      <c r="D95" s="21" t="n">
        <v>41852</v>
      </c>
      <c r="E95" s="20" t="s">
        <v>58</v>
      </c>
      <c r="F95" s="20" t="s">
        <v>391</v>
      </c>
      <c r="G95" s="20" t="s">
        <v>392</v>
      </c>
      <c r="H95" s="20" t="s">
        <v>61</v>
      </c>
      <c r="I95" s="20" t="s">
        <v>62</v>
      </c>
      <c r="J95" s="20" t="s">
        <v>63</v>
      </c>
      <c r="K95" s="20" t="s">
        <v>288</v>
      </c>
      <c r="L95" s="20" t="n">
        <v>58822</v>
      </c>
      <c r="M95" s="20" t="s">
        <v>97</v>
      </c>
      <c r="N95" s="20" t="s">
        <v>419</v>
      </c>
      <c r="O95" s="20" t="s">
        <v>67</v>
      </c>
      <c r="P95" s="20" t="s">
        <v>157</v>
      </c>
      <c r="Q95" s="20" t="s">
        <v>420</v>
      </c>
      <c r="R95" s="22" t="n">
        <v>87.54</v>
      </c>
      <c r="S95" s="20" t="n">
        <v>1</v>
      </c>
      <c r="T95" s="20" t="n">
        <v>0.3</v>
      </c>
      <c r="U95" s="22" t="n">
        <v>5.96</v>
      </c>
      <c r="V95" s="23" t="n">
        <f aca="false">IF(ISNUMBER(C95),YEAR(C95),"")</f>
        <v>2014</v>
      </c>
      <c r="W95" s="23" t="n">
        <f aca="false">IF(ISNUMBER(C95),MONTH(C95),"")</f>
        <v>7</v>
      </c>
      <c r="X95" s="23" t="str">
        <f aca="false">IF(T95="","",IF(T95=0,"No discount",IF(T95&lt;=0.2,"Low (1-20%)",IF(T95&lt;=0.4,"Medium (21-40%)","High (&gt;40%)"))))</f>
        <v>Medium (21-40%)</v>
      </c>
      <c r="Y95" s="23" t="n">
        <f aca="false">IF(AND(ISNUMBER(C95),ISNUMBER(D95)),D95-C95,"")</f>
        <v>6</v>
      </c>
      <c r="Z95" s="23" t="n">
        <f aca="false">IF(B95="","",IF(MATCH(B95,$B$2:$B$12000,0)=ROW()-1,1,0))</f>
        <v>1</v>
      </c>
    </row>
    <row r="96" customFormat="false" ht="15" hidden="false" customHeight="false" outlineLevel="0" collapsed="false">
      <c r="A96" s="20" t="n">
        <v>95</v>
      </c>
      <c r="B96" s="20" t="s">
        <v>421</v>
      </c>
      <c r="C96" s="21" t="n">
        <v>41853</v>
      </c>
      <c r="D96" s="21" t="n">
        <v>41860</v>
      </c>
      <c r="E96" s="20" t="s">
        <v>90</v>
      </c>
      <c r="F96" s="20" t="s">
        <v>144</v>
      </c>
      <c r="G96" s="20" t="s">
        <v>145</v>
      </c>
      <c r="H96" s="20" t="s">
        <v>85</v>
      </c>
      <c r="I96" s="20" t="s">
        <v>62</v>
      </c>
      <c r="J96" s="20" t="s">
        <v>63</v>
      </c>
      <c r="K96" s="20" t="s">
        <v>422</v>
      </c>
      <c r="L96" s="20" t="n">
        <v>54389</v>
      </c>
      <c r="M96" s="20" t="s">
        <v>153</v>
      </c>
      <c r="N96" s="20" t="s">
        <v>423</v>
      </c>
      <c r="O96" s="20" t="s">
        <v>76</v>
      </c>
      <c r="P96" s="20" t="s">
        <v>178</v>
      </c>
      <c r="Q96" s="20" t="s">
        <v>424</v>
      </c>
      <c r="R96" s="22" t="n">
        <v>446.73</v>
      </c>
      <c r="S96" s="20" t="n">
        <v>7</v>
      </c>
      <c r="T96" s="20" t="n">
        <v>0</v>
      </c>
      <c r="U96" s="22" t="n">
        <v>-14.16</v>
      </c>
      <c r="V96" s="23" t="n">
        <f aca="false">IF(ISNUMBER(C96),YEAR(C96),"")</f>
        <v>2014</v>
      </c>
      <c r="W96" s="23" t="n">
        <f aca="false">IF(ISNUMBER(C96),MONTH(C96),"")</f>
        <v>8</v>
      </c>
      <c r="X96" s="23" t="str">
        <f aca="false">IF(T96="","",IF(T96=0,"No discount",IF(T96&lt;=0.2,"Low (1-20%)",IF(T96&lt;=0.4,"Medium (21-40%)","High (&gt;40%)"))))</f>
        <v>No discount</v>
      </c>
      <c r="Y96" s="23" t="n">
        <f aca="false">IF(AND(ISNUMBER(C96),ISNUMBER(D96)),D96-C96,"")</f>
        <v>7</v>
      </c>
      <c r="Z96" s="23" t="n">
        <f aca="false">IF(B96="","",IF(MATCH(B96,$B$2:$B$12000,0)=ROW()-1,1,0))</f>
        <v>1</v>
      </c>
    </row>
    <row r="97" customFormat="false" ht="15" hidden="false" customHeight="false" outlineLevel="0" collapsed="false">
      <c r="A97" s="20" t="n">
        <v>96</v>
      </c>
      <c r="B97" s="20" t="s">
        <v>421</v>
      </c>
      <c r="C97" s="21" t="n">
        <v>41853</v>
      </c>
      <c r="D97" s="21" t="n">
        <v>41860</v>
      </c>
      <c r="E97" s="20" t="s">
        <v>90</v>
      </c>
      <c r="F97" s="20" t="s">
        <v>144</v>
      </c>
      <c r="G97" s="20" t="s">
        <v>145</v>
      </c>
      <c r="H97" s="20" t="s">
        <v>85</v>
      </c>
      <c r="I97" s="20" t="s">
        <v>62</v>
      </c>
      <c r="J97" s="20" t="s">
        <v>63</v>
      </c>
      <c r="K97" s="20" t="s">
        <v>422</v>
      </c>
      <c r="L97" s="20" t="n">
        <v>83842</v>
      </c>
      <c r="M97" s="20" t="s">
        <v>153</v>
      </c>
      <c r="N97" s="20" t="s">
        <v>425</v>
      </c>
      <c r="O97" s="20" t="s">
        <v>114</v>
      </c>
      <c r="P97" s="20" t="s">
        <v>115</v>
      </c>
      <c r="Q97" s="20" t="s">
        <v>426</v>
      </c>
      <c r="R97" s="22" t="n">
        <v>665.87</v>
      </c>
      <c r="S97" s="20" t="n">
        <v>3</v>
      </c>
      <c r="T97" s="20" t="n">
        <v>0.2</v>
      </c>
      <c r="U97" s="22" t="n">
        <v>-47.33</v>
      </c>
      <c r="V97" s="23" t="n">
        <f aca="false">IF(ISNUMBER(C97),YEAR(C97),"")</f>
        <v>2014</v>
      </c>
      <c r="W97" s="23" t="n">
        <f aca="false">IF(ISNUMBER(C97),MONTH(C97),"")</f>
        <v>8</v>
      </c>
      <c r="X97" s="23" t="str">
        <f aca="false">IF(T97="","",IF(T97=0,"No discount",IF(T97&lt;=0.2,"Low (1-20%)",IF(T97&lt;=0.4,"Medium (21-40%)","High (&gt;40%)"))))</f>
        <v>Low (1-20%)</v>
      </c>
      <c r="Y97" s="23" t="n">
        <f aca="false">IF(AND(ISNUMBER(C97),ISNUMBER(D97)),D97-C97,"")</f>
        <v>7</v>
      </c>
      <c r="Z97" s="23" t="n">
        <f aca="false">IF(B97="","",IF(MATCH(B97,$B$2:$B$12000,0)=ROW()-1,1,0))</f>
        <v>0</v>
      </c>
    </row>
    <row r="98" customFormat="false" ht="15" hidden="false" customHeight="false" outlineLevel="0" collapsed="false">
      <c r="A98" s="20" t="n">
        <v>97</v>
      </c>
      <c r="B98" s="20" t="s">
        <v>427</v>
      </c>
      <c r="C98" s="21" t="n">
        <v>41856</v>
      </c>
      <c r="D98" s="21" t="n">
        <v>41857</v>
      </c>
      <c r="E98" s="20" t="s">
        <v>90</v>
      </c>
      <c r="F98" s="20" t="s">
        <v>428</v>
      </c>
      <c r="G98" s="20" t="s">
        <v>429</v>
      </c>
      <c r="H98" s="20" t="s">
        <v>61</v>
      </c>
      <c r="I98" s="20" t="s">
        <v>62</v>
      </c>
      <c r="J98" s="20" t="s">
        <v>63</v>
      </c>
      <c r="K98" s="20" t="s">
        <v>430</v>
      </c>
      <c r="L98" s="20" t="n">
        <v>89832</v>
      </c>
      <c r="M98" s="20" t="s">
        <v>97</v>
      </c>
      <c r="N98" s="20" t="s">
        <v>431</v>
      </c>
      <c r="O98" s="20" t="s">
        <v>76</v>
      </c>
      <c r="P98" s="20" t="s">
        <v>178</v>
      </c>
      <c r="Q98" s="20" t="s">
        <v>432</v>
      </c>
      <c r="R98" s="22" t="n">
        <v>1245.1</v>
      </c>
      <c r="S98" s="20" t="n">
        <v>8</v>
      </c>
      <c r="T98" s="20" t="n">
        <v>0.2</v>
      </c>
      <c r="U98" s="22" t="n">
        <v>-44.68</v>
      </c>
      <c r="V98" s="23" t="n">
        <f aca="false">IF(ISNUMBER(C98),YEAR(C98),"")</f>
        <v>2014</v>
      </c>
      <c r="W98" s="23" t="n">
        <f aca="false">IF(ISNUMBER(C98),MONTH(C98),"")</f>
        <v>8</v>
      </c>
      <c r="X98" s="23" t="str">
        <f aca="false">IF(T98="","",IF(T98=0,"No discount",IF(T98&lt;=0.2,"Low (1-20%)",IF(T98&lt;=0.4,"Medium (21-40%)","High (&gt;40%)"))))</f>
        <v>Low (1-20%)</v>
      </c>
      <c r="Y98" s="23" t="n">
        <f aca="false">IF(AND(ISNUMBER(C98),ISNUMBER(D98)),D98-C98,"")</f>
        <v>1</v>
      </c>
      <c r="Z98" s="23" t="n">
        <f aca="false">IF(B98="","",IF(MATCH(B98,$B$2:$B$12000,0)=ROW()-1,1,0))</f>
        <v>1</v>
      </c>
    </row>
    <row r="99" customFormat="false" ht="15" hidden="false" customHeight="false" outlineLevel="0" collapsed="false">
      <c r="A99" s="20" t="n">
        <v>98</v>
      </c>
      <c r="B99" s="20" t="s">
        <v>427</v>
      </c>
      <c r="C99" s="21" t="n">
        <v>41856</v>
      </c>
      <c r="D99" s="21" t="n">
        <v>41857</v>
      </c>
      <c r="E99" s="20" t="s">
        <v>104</v>
      </c>
      <c r="F99" s="20" t="s">
        <v>428</v>
      </c>
      <c r="G99" s="20" t="s">
        <v>429</v>
      </c>
      <c r="H99" s="20" t="s">
        <v>61</v>
      </c>
      <c r="I99" s="20" t="s">
        <v>62</v>
      </c>
      <c r="J99" s="20" t="s">
        <v>63</v>
      </c>
      <c r="K99" s="20" t="s">
        <v>430</v>
      </c>
      <c r="L99" s="20" t="n">
        <v>73010</v>
      </c>
      <c r="M99" s="20" t="s">
        <v>97</v>
      </c>
      <c r="N99" s="20" t="s">
        <v>433</v>
      </c>
      <c r="O99" s="20" t="s">
        <v>76</v>
      </c>
      <c r="P99" s="20" t="s">
        <v>101</v>
      </c>
      <c r="Q99" s="20" t="s">
        <v>434</v>
      </c>
      <c r="R99" s="22" t="n">
        <v>61.4</v>
      </c>
      <c r="S99" s="20" t="n">
        <v>5</v>
      </c>
      <c r="T99" s="20" t="n">
        <v>0.5</v>
      </c>
      <c r="U99" s="22" t="n">
        <v>2.8</v>
      </c>
      <c r="V99" s="23" t="n">
        <f aca="false">IF(ISNUMBER(C99),YEAR(C99),"")</f>
        <v>2014</v>
      </c>
      <c r="W99" s="23" t="n">
        <f aca="false">IF(ISNUMBER(C99),MONTH(C99),"")</f>
        <v>8</v>
      </c>
      <c r="X99" s="23" t="str">
        <f aca="false">IF(T99="","",IF(T99=0,"No discount",IF(T99&lt;=0.2,"Low (1-20%)",IF(T99&lt;=0.4,"Medium (21-40%)","High (&gt;40%)"))))</f>
        <v>High (&gt;40%)</v>
      </c>
      <c r="Y99" s="23" t="n">
        <f aca="false">IF(AND(ISNUMBER(C99),ISNUMBER(D99)),D99-C99,"")</f>
        <v>1</v>
      </c>
      <c r="Z99" s="23" t="n">
        <f aca="false">IF(B99="","",IF(MATCH(B99,$B$2:$B$12000,0)=ROW()-1,1,0))</f>
        <v>0</v>
      </c>
    </row>
    <row r="100" customFormat="false" ht="15" hidden="false" customHeight="false" outlineLevel="0" collapsed="false">
      <c r="A100" s="20" t="n">
        <v>99</v>
      </c>
      <c r="B100" s="20" t="s">
        <v>435</v>
      </c>
      <c r="C100" s="21" t="n">
        <v>41859</v>
      </c>
      <c r="D100" s="21" t="n">
        <v>41864</v>
      </c>
      <c r="E100" s="20" t="s">
        <v>104</v>
      </c>
      <c r="F100" s="20" t="s">
        <v>436</v>
      </c>
      <c r="G100" s="20" t="s">
        <v>437</v>
      </c>
      <c r="H100" s="20" t="s">
        <v>61</v>
      </c>
      <c r="I100" s="20" t="s">
        <v>62</v>
      </c>
      <c r="J100" s="20" t="s">
        <v>63</v>
      </c>
      <c r="K100" s="20" t="s">
        <v>296</v>
      </c>
      <c r="L100" s="20" t="n">
        <v>82728</v>
      </c>
      <c r="M100" s="20" t="s">
        <v>153</v>
      </c>
      <c r="N100" s="20" t="s">
        <v>438</v>
      </c>
      <c r="O100" s="20" t="s">
        <v>67</v>
      </c>
      <c r="P100" s="20" t="s">
        <v>157</v>
      </c>
      <c r="Q100" s="20" t="s">
        <v>439</v>
      </c>
      <c r="R100" s="22" t="n">
        <v>691.54</v>
      </c>
      <c r="S100" s="20" t="n">
        <v>4</v>
      </c>
      <c r="T100" s="20" t="n">
        <v>0</v>
      </c>
      <c r="U100" s="22" t="n">
        <v>159.08</v>
      </c>
      <c r="V100" s="23" t="n">
        <f aca="false">IF(ISNUMBER(C100),YEAR(C100),"")</f>
        <v>2014</v>
      </c>
      <c r="W100" s="23" t="n">
        <f aca="false">IF(ISNUMBER(C100),MONTH(C100),"")</f>
        <v>8</v>
      </c>
      <c r="X100" s="23" t="str">
        <f aca="false">IF(T100="","",IF(T100=0,"No discount",IF(T100&lt;=0.2,"Low (1-20%)",IF(T100&lt;=0.4,"Medium (21-40%)","High (&gt;40%)"))))</f>
        <v>No discount</v>
      </c>
      <c r="Y100" s="23" t="n">
        <f aca="false">IF(AND(ISNUMBER(C100),ISNUMBER(D100)),D100-C100,"")</f>
        <v>5</v>
      </c>
      <c r="Z100" s="23" t="n">
        <f aca="false">IF(B100="","",IF(MATCH(B100,$B$2:$B$12000,0)=ROW()-1,1,0))</f>
        <v>1</v>
      </c>
    </row>
    <row r="101" customFormat="false" ht="15" hidden="false" customHeight="false" outlineLevel="0" collapsed="false">
      <c r="A101" s="20" t="n">
        <v>100</v>
      </c>
      <c r="B101" s="20" t="s">
        <v>435</v>
      </c>
      <c r="C101" s="21" t="n">
        <v>41859</v>
      </c>
      <c r="D101" s="21" t="n">
        <v>41864</v>
      </c>
      <c r="E101" s="20" t="s">
        <v>58</v>
      </c>
      <c r="F101" s="20" t="s">
        <v>436</v>
      </c>
      <c r="G101" s="20" t="s">
        <v>437</v>
      </c>
      <c r="H101" s="20" t="s">
        <v>61</v>
      </c>
      <c r="I101" s="20" t="s">
        <v>62</v>
      </c>
      <c r="J101" s="20" t="s">
        <v>63</v>
      </c>
      <c r="K101" s="20" t="s">
        <v>296</v>
      </c>
      <c r="L101" s="20" t="n">
        <v>36584</v>
      </c>
      <c r="M101" s="20" t="s">
        <v>153</v>
      </c>
      <c r="N101" s="20" t="s">
        <v>440</v>
      </c>
      <c r="O101" s="20" t="s">
        <v>76</v>
      </c>
      <c r="P101" s="20" t="s">
        <v>128</v>
      </c>
      <c r="Q101" s="20" t="s">
        <v>441</v>
      </c>
      <c r="R101" s="22" t="n">
        <v>299.64</v>
      </c>
      <c r="S101" s="20" t="n">
        <v>7</v>
      </c>
      <c r="T101" s="20" t="n">
        <v>0.1</v>
      </c>
      <c r="U101" s="22" t="n">
        <v>14.04</v>
      </c>
      <c r="V101" s="23" t="n">
        <f aca="false">IF(ISNUMBER(C101),YEAR(C101),"")</f>
        <v>2014</v>
      </c>
      <c r="W101" s="23" t="n">
        <f aca="false">IF(ISNUMBER(C101),MONTH(C101),"")</f>
        <v>8</v>
      </c>
      <c r="X101" s="23" t="str">
        <f aca="false">IF(T101="","",IF(T101=0,"No discount",IF(T101&lt;=0.2,"Low (1-20%)",IF(T101&lt;=0.4,"Medium (21-40%)","High (&gt;40%)"))))</f>
        <v>Low (1-20%)</v>
      </c>
      <c r="Y101" s="23" t="n">
        <f aca="false">IF(AND(ISNUMBER(C101),ISNUMBER(D101)),D101-C101,"")</f>
        <v>5</v>
      </c>
      <c r="Z101" s="23" t="n">
        <f aca="false">IF(B101="","",IF(MATCH(B101,$B$2:$B$12000,0)=ROW()-1,1,0))</f>
        <v>0</v>
      </c>
    </row>
    <row r="102" customFormat="false" ht="15" hidden="false" customHeight="false" outlineLevel="0" collapsed="false">
      <c r="A102" s="20" t="n">
        <v>101</v>
      </c>
      <c r="B102" s="20" t="s">
        <v>442</v>
      </c>
      <c r="C102" s="21" t="n">
        <v>41863</v>
      </c>
      <c r="D102" s="21" t="n">
        <v>41870</v>
      </c>
      <c r="E102" s="20" t="s">
        <v>90</v>
      </c>
      <c r="F102" s="20" t="s">
        <v>443</v>
      </c>
      <c r="G102" s="20" t="s">
        <v>444</v>
      </c>
      <c r="H102" s="20" t="s">
        <v>61</v>
      </c>
      <c r="I102" s="20" t="s">
        <v>62</v>
      </c>
      <c r="J102" s="20" t="s">
        <v>63</v>
      </c>
      <c r="K102" s="20" t="s">
        <v>445</v>
      </c>
      <c r="L102" s="20" t="n">
        <v>39694</v>
      </c>
      <c r="M102" s="20" t="s">
        <v>153</v>
      </c>
      <c r="N102" s="20" t="s">
        <v>446</v>
      </c>
      <c r="O102" s="20" t="s">
        <v>76</v>
      </c>
      <c r="P102" s="20" t="s">
        <v>77</v>
      </c>
      <c r="Q102" s="20" t="s">
        <v>447</v>
      </c>
      <c r="R102" s="22" t="n">
        <v>100.47</v>
      </c>
      <c r="S102" s="20" t="n">
        <v>4</v>
      </c>
      <c r="T102" s="20" t="n">
        <v>0.4</v>
      </c>
      <c r="U102" s="22" t="n">
        <v>0.09</v>
      </c>
      <c r="V102" s="23" t="n">
        <f aca="false">IF(ISNUMBER(C102),YEAR(C102),"")</f>
        <v>2014</v>
      </c>
      <c r="W102" s="23" t="n">
        <f aca="false">IF(ISNUMBER(C102),MONTH(C102),"")</f>
        <v>8</v>
      </c>
      <c r="X102" s="23" t="str">
        <f aca="false">IF(T102="","",IF(T102=0,"No discount",IF(T102&lt;=0.2,"Low (1-20%)",IF(T102&lt;=0.4,"Medium (21-40%)","High (&gt;40%)"))))</f>
        <v>Medium (21-40%)</v>
      </c>
      <c r="Y102" s="23" t="n">
        <f aca="false">IF(AND(ISNUMBER(C102),ISNUMBER(D102)),D102-C102,"")</f>
        <v>7</v>
      </c>
      <c r="Z102" s="23" t="n">
        <f aca="false">IF(B102="","",IF(MATCH(B102,$B$2:$B$12000,0)=ROW()-1,1,0))</f>
        <v>1</v>
      </c>
    </row>
    <row r="103" customFormat="false" ht="15" hidden="false" customHeight="false" outlineLevel="0" collapsed="false">
      <c r="A103" s="20" t="n">
        <v>102</v>
      </c>
      <c r="B103" s="20" t="s">
        <v>448</v>
      </c>
      <c r="C103" s="21" t="n">
        <v>41866</v>
      </c>
      <c r="D103" s="21" t="n">
        <v>41872</v>
      </c>
      <c r="E103" s="20" t="s">
        <v>90</v>
      </c>
      <c r="F103" s="20" t="s">
        <v>383</v>
      </c>
      <c r="G103" s="20" t="s">
        <v>384</v>
      </c>
      <c r="H103" s="20" t="s">
        <v>61</v>
      </c>
      <c r="I103" s="20" t="s">
        <v>62</v>
      </c>
      <c r="J103" s="20" t="s">
        <v>63</v>
      </c>
      <c r="K103" s="20" t="s">
        <v>96</v>
      </c>
      <c r="L103" s="20" t="n">
        <v>27600</v>
      </c>
      <c r="M103" s="20" t="s">
        <v>97</v>
      </c>
      <c r="N103" s="20" t="s">
        <v>449</v>
      </c>
      <c r="O103" s="20" t="s">
        <v>76</v>
      </c>
      <c r="P103" s="20" t="s">
        <v>77</v>
      </c>
      <c r="Q103" s="20" t="s">
        <v>450</v>
      </c>
      <c r="R103" s="22" t="n">
        <v>18.99</v>
      </c>
      <c r="S103" s="20" t="n">
        <v>7</v>
      </c>
      <c r="T103" s="20" t="n">
        <v>0.7</v>
      </c>
      <c r="U103" s="22" t="n">
        <v>-3.89</v>
      </c>
      <c r="V103" s="23" t="n">
        <f aca="false">IF(ISNUMBER(C103),YEAR(C103),"")</f>
        <v>2014</v>
      </c>
      <c r="W103" s="23" t="n">
        <f aca="false">IF(ISNUMBER(C103),MONTH(C103),"")</f>
        <v>8</v>
      </c>
      <c r="X103" s="23" t="str">
        <f aca="false">IF(T103="","",IF(T103=0,"No discount",IF(T103&lt;=0.2,"Low (1-20%)",IF(T103&lt;=0.4,"Medium (21-40%)","High (&gt;40%)"))))</f>
        <v>High (&gt;40%)</v>
      </c>
      <c r="Y103" s="23" t="n">
        <f aca="false">IF(AND(ISNUMBER(C103),ISNUMBER(D103)),D103-C103,"")</f>
        <v>6</v>
      </c>
      <c r="Z103" s="23" t="n">
        <f aca="false">IF(B103="","",IF(MATCH(B103,$B$2:$B$12000,0)=ROW()-1,1,0))</f>
        <v>1</v>
      </c>
    </row>
    <row r="104" customFormat="false" ht="15" hidden="false" customHeight="false" outlineLevel="0" collapsed="false">
      <c r="A104" s="20" t="n">
        <v>103</v>
      </c>
      <c r="B104" s="20" t="s">
        <v>448</v>
      </c>
      <c r="C104" s="21" t="n">
        <v>41866</v>
      </c>
      <c r="D104" s="21" t="n">
        <v>41872</v>
      </c>
      <c r="E104" s="20" t="s">
        <v>58</v>
      </c>
      <c r="F104" s="20" t="s">
        <v>383</v>
      </c>
      <c r="G104" s="20" t="s">
        <v>384</v>
      </c>
      <c r="H104" s="20" t="s">
        <v>61</v>
      </c>
      <c r="I104" s="20" t="s">
        <v>62</v>
      </c>
      <c r="J104" s="20" t="s">
        <v>63</v>
      </c>
      <c r="K104" s="20" t="s">
        <v>96</v>
      </c>
      <c r="L104" s="20" t="n">
        <v>83797</v>
      </c>
      <c r="M104" s="20" t="s">
        <v>97</v>
      </c>
      <c r="N104" s="20" t="s">
        <v>451</v>
      </c>
      <c r="O104" s="20" t="s">
        <v>76</v>
      </c>
      <c r="P104" s="20" t="s">
        <v>77</v>
      </c>
      <c r="Q104" s="20" t="s">
        <v>452</v>
      </c>
      <c r="R104" s="22" t="n">
        <v>70.93</v>
      </c>
      <c r="S104" s="20" t="n">
        <v>2</v>
      </c>
      <c r="T104" s="20" t="n">
        <v>0.3</v>
      </c>
      <c r="U104" s="22" t="n">
        <v>3.27</v>
      </c>
      <c r="V104" s="23" t="n">
        <f aca="false">IF(ISNUMBER(C104),YEAR(C104),"")</f>
        <v>2014</v>
      </c>
      <c r="W104" s="23" t="n">
        <f aca="false">IF(ISNUMBER(C104),MONTH(C104),"")</f>
        <v>8</v>
      </c>
      <c r="X104" s="23" t="str">
        <f aca="false">IF(T104="","",IF(T104=0,"No discount",IF(T104&lt;=0.2,"Low (1-20%)",IF(T104&lt;=0.4,"Medium (21-40%)","High (&gt;40%)"))))</f>
        <v>Medium (21-40%)</v>
      </c>
      <c r="Y104" s="23" t="n">
        <f aca="false">IF(AND(ISNUMBER(C104),ISNUMBER(D104)),D104-C104,"")</f>
        <v>6</v>
      </c>
      <c r="Z104" s="23" t="n">
        <f aca="false">IF(B104="","",IF(MATCH(B104,$B$2:$B$12000,0)=ROW()-1,1,0))</f>
        <v>0</v>
      </c>
    </row>
    <row r="105" customFormat="false" ht="15" hidden="false" customHeight="false" outlineLevel="0" collapsed="false">
      <c r="A105" s="20" t="n">
        <v>104</v>
      </c>
      <c r="B105" s="20" t="s">
        <v>453</v>
      </c>
      <c r="C105" s="21" t="n">
        <v>41866</v>
      </c>
      <c r="D105" s="21" t="n">
        <v>41873</v>
      </c>
      <c r="E105" s="20" t="s">
        <v>71</v>
      </c>
      <c r="F105" s="20" t="s">
        <v>391</v>
      </c>
      <c r="G105" s="20" t="s">
        <v>392</v>
      </c>
      <c r="H105" s="20" t="s">
        <v>61</v>
      </c>
      <c r="I105" s="20" t="s">
        <v>62</v>
      </c>
      <c r="J105" s="20" t="s">
        <v>63</v>
      </c>
      <c r="K105" s="20" t="s">
        <v>208</v>
      </c>
      <c r="L105" s="20" t="n">
        <v>87897</v>
      </c>
      <c r="M105" s="20" t="s">
        <v>153</v>
      </c>
      <c r="N105" s="20" t="s">
        <v>454</v>
      </c>
      <c r="O105" s="20" t="s">
        <v>76</v>
      </c>
      <c r="P105" s="20" t="s">
        <v>236</v>
      </c>
      <c r="Q105" s="20" t="s">
        <v>455</v>
      </c>
      <c r="R105" s="22" t="n">
        <v>131.7</v>
      </c>
      <c r="S105" s="20" t="n">
        <v>4</v>
      </c>
      <c r="T105" s="20" t="n">
        <v>0</v>
      </c>
      <c r="U105" s="22" t="n">
        <v>52.58</v>
      </c>
      <c r="V105" s="23" t="n">
        <f aca="false">IF(ISNUMBER(C105),YEAR(C105),"")</f>
        <v>2014</v>
      </c>
      <c r="W105" s="23" t="n">
        <f aca="false">IF(ISNUMBER(C105),MONTH(C105),"")</f>
        <v>8</v>
      </c>
      <c r="X105" s="23" t="str">
        <f aca="false">IF(T105="","",IF(T105=0,"No discount",IF(T105&lt;=0.2,"Low (1-20%)",IF(T105&lt;=0.4,"Medium (21-40%)","High (&gt;40%)"))))</f>
        <v>No discount</v>
      </c>
      <c r="Y105" s="23" t="n">
        <f aca="false">IF(AND(ISNUMBER(C105),ISNUMBER(D105)),D105-C105,"")</f>
        <v>7</v>
      </c>
      <c r="Z105" s="23" t="n">
        <f aca="false">IF(B105="","",IF(MATCH(B105,$B$2:$B$12000,0)=ROW()-1,1,0))</f>
        <v>1</v>
      </c>
    </row>
    <row r="106" customFormat="false" ht="15" hidden="false" customHeight="false" outlineLevel="0" collapsed="false">
      <c r="A106" s="20" t="n">
        <v>105</v>
      </c>
      <c r="B106" s="20" t="s">
        <v>456</v>
      </c>
      <c r="C106" s="21" t="n">
        <v>41876</v>
      </c>
      <c r="D106" s="21" t="n">
        <v>41882</v>
      </c>
      <c r="E106" s="20" t="s">
        <v>104</v>
      </c>
      <c r="F106" s="20" t="s">
        <v>314</v>
      </c>
      <c r="G106" s="20" t="s">
        <v>315</v>
      </c>
      <c r="H106" s="20" t="s">
        <v>61</v>
      </c>
      <c r="I106" s="20" t="s">
        <v>62</v>
      </c>
      <c r="J106" s="20" t="s">
        <v>63</v>
      </c>
      <c r="K106" s="20" t="s">
        <v>96</v>
      </c>
      <c r="L106" s="20" t="n">
        <v>54747</v>
      </c>
      <c r="M106" s="20" t="s">
        <v>97</v>
      </c>
      <c r="N106" s="20" t="s">
        <v>457</v>
      </c>
      <c r="O106" s="20" t="s">
        <v>114</v>
      </c>
      <c r="P106" s="20" t="s">
        <v>139</v>
      </c>
      <c r="Q106" s="20" t="s">
        <v>248</v>
      </c>
      <c r="R106" s="22" t="n">
        <v>403.24</v>
      </c>
      <c r="S106" s="20" t="n">
        <v>4</v>
      </c>
      <c r="T106" s="20" t="n">
        <v>0.5</v>
      </c>
      <c r="U106" s="22" t="n">
        <v>-115.48</v>
      </c>
      <c r="V106" s="23" t="n">
        <f aca="false">IF(ISNUMBER(C106),YEAR(C106),"")</f>
        <v>2014</v>
      </c>
      <c r="W106" s="23" t="n">
        <f aca="false">IF(ISNUMBER(C106),MONTH(C106),"")</f>
        <v>8</v>
      </c>
      <c r="X106" s="23" t="str">
        <f aca="false">IF(T106="","",IF(T106=0,"No discount",IF(T106&lt;=0.2,"Low (1-20%)",IF(T106&lt;=0.4,"Medium (21-40%)","High (&gt;40%)"))))</f>
        <v>High (&gt;40%)</v>
      </c>
      <c r="Y106" s="23" t="n">
        <f aca="false">IF(AND(ISNUMBER(C106),ISNUMBER(D106)),D106-C106,"")</f>
        <v>6</v>
      </c>
      <c r="Z106" s="23" t="n">
        <f aca="false">IF(B106="","",IF(MATCH(B106,$B$2:$B$12000,0)=ROW()-1,1,0))</f>
        <v>1</v>
      </c>
    </row>
    <row r="107" customFormat="false" ht="15" hidden="false" customHeight="false" outlineLevel="0" collapsed="false">
      <c r="A107" s="20" t="n">
        <v>106</v>
      </c>
      <c r="B107" s="20" t="s">
        <v>456</v>
      </c>
      <c r="C107" s="21" t="n">
        <v>41876</v>
      </c>
      <c r="D107" s="21" t="n">
        <v>41882</v>
      </c>
      <c r="E107" s="20" t="s">
        <v>104</v>
      </c>
      <c r="F107" s="20" t="s">
        <v>314</v>
      </c>
      <c r="G107" s="20" t="s">
        <v>315</v>
      </c>
      <c r="H107" s="20" t="s">
        <v>61</v>
      </c>
      <c r="I107" s="20" t="s">
        <v>62</v>
      </c>
      <c r="J107" s="20" t="s">
        <v>63</v>
      </c>
      <c r="K107" s="20" t="s">
        <v>96</v>
      </c>
      <c r="L107" s="20" t="n">
        <v>23060</v>
      </c>
      <c r="M107" s="20" t="s">
        <v>97</v>
      </c>
      <c r="N107" s="20" t="s">
        <v>458</v>
      </c>
      <c r="O107" s="20" t="s">
        <v>114</v>
      </c>
      <c r="P107" s="20" t="s">
        <v>210</v>
      </c>
      <c r="Q107" s="20" t="s">
        <v>459</v>
      </c>
      <c r="R107" s="22" t="n">
        <v>62.1</v>
      </c>
      <c r="S107" s="20" t="n">
        <v>6</v>
      </c>
      <c r="T107" s="20" t="n">
        <v>0.3</v>
      </c>
      <c r="U107" s="22" t="n">
        <v>-4.74</v>
      </c>
      <c r="V107" s="23" t="n">
        <f aca="false">IF(ISNUMBER(C107),YEAR(C107),"")</f>
        <v>2014</v>
      </c>
      <c r="W107" s="23" t="n">
        <f aca="false">IF(ISNUMBER(C107),MONTH(C107),"")</f>
        <v>8</v>
      </c>
      <c r="X107" s="23" t="str">
        <f aca="false">IF(T107="","",IF(T107=0,"No discount",IF(T107&lt;=0.2,"Low (1-20%)",IF(T107&lt;=0.4,"Medium (21-40%)","High (&gt;40%)"))))</f>
        <v>Medium (21-40%)</v>
      </c>
      <c r="Y107" s="23" t="n">
        <f aca="false">IF(AND(ISNUMBER(C107),ISNUMBER(D107)),D107-C107,"")</f>
        <v>6</v>
      </c>
      <c r="Z107" s="23" t="n">
        <f aca="false">IF(B107="","",IF(MATCH(B107,$B$2:$B$12000,0)=ROW()-1,1,0))</f>
        <v>0</v>
      </c>
    </row>
    <row r="108" customFormat="false" ht="15" hidden="false" customHeight="false" outlineLevel="0" collapsed="false">
      <c r="A108" s="20" t="n">
        <v>107</v>
      </c>
      <c r="B108" s="20" t="s">
        <v>456</v>
      </c>
      <c r="C108" s="21" t="n">
        <v>41876</v>
      </c>
      <c r="D108" s="21" t="n">
        <v>41882</v>
      </c>
      <c r="E108" s="20" t="s">
        <v>71</v>
      </c>
      <c r="F108" s="20" t="s">
        <v>314</v>
      </c>
      <c r="G108" s="20" t="s">
        <v>315</v>
      </c>
      <c r="H108" s="20" t="s">
        <v>61</v>
      </c>
      <c r="I108" s="20" t="s">
        <v>62</v>
      </c>
      <c r="J108" s="20" t="s">
        <v>63</v>
      </c>
      <c r="K108" s="20" t="s">
        <v>96</v>
      </c>
      <c r="L108" s="20" t="n">
        <v>86201</v>
      </c>
      <c r="M108" s="20" t="s">
        <v>97</v>
      </c>
      <c r="N108" s="20" t="s">
        <v>460</v>
      </c>
      <c r="O108" s="20" t="s">
        <v>76</v>
      </c>
      <c r="P108" s="20" t="s">
        <v>77</v>
      </c>
      <c r="Q108" s="20" t="s">
        <v>461</v>
      </c>
      <c r="R108" s="22" t="n">
        <v>5.5</v>
      </c>
      <c r="S108" s="20" t="n">
        <v>1</v>
      </c>
      <c r="T108" s="20" t="n">
        <v>0.7</v>
      </c>
      <c r="U108" s="22" t="n">
        <v>-1.19</v>
      </c>
      <c r="V108" s="23" t="n">
        <f aca="false">IF(ISNUMBER(C108),YEAR(C108),"")</f>
        <v>2014</v>
      </c>
      <c r="W108" s="23" t="n">
        <f aca="false">IF(ISNUMBER(C108),MONTH(C108),"")</f>
        <v>8</v>
      </c>
      <c r="X108" s="23" t="str">
        <f aca="false">IF(T108="","",IF(T108=0,"No discount",IF(T108&lt;=0.2,"Low (1-20%)",IF(T108&lt;=0.4,"Medium (21-40%)","High (&gt;40%)"))))</f>
        <v>High (&gt;40%)</v>
      </c>
      <c r="Y108" s="23" t="n">
        <f aca="false">IF(AND(ISNUMBER(C108),ISNUMBER(D108)),D108-C108,"")</f>
        <v>6</v>
      </c>
      <c r="Z108" s="23" t="n">
        <f aca="false">IF(B108="","",IF(MATCH(B108,$B$2:$B$12000,0)=ROW()-1,1,0))</f>
        <v>0</v>
      </c>
    </row>
    <row r="109" customFormat="false" ht="15" hidden="false" customHeight="false" outlineLevel="0" collapsed="false">
      <c r="A109" s="20" t="n">
        <v>108</v>
      </c>
      <c r="B109" s="20" t="s">
        <v>462</v>
      </c>
      <c r="C109" s="21" t="n">
        <v>41886</v>
      </c>
      <c r="D109" s="21" t="n">
        <v>41890</v>
      </c>
      <c r="E109" s="20" t="s">
        <v>104</v>
      </c>
      <c r="F109" s="20" t="s">
        <v>463</v>
      </c>
      <c r="G109" s="20" t="s">
        <v>464</v>
      </c>
      <c r="H109" s="20" t="s">
        <v>162</v>
      </c>
      <c r="I109" s="20" t="s">
        <v>62</v>
      </c>
      <c r="J109" s="20" t="s">
        <v>63</v>
      </c>
      <c r="K109" s="20" t="s">
        <v>183</v>
      </c>
      <c r="L109" s="20" t="n">
        <v>97761</v>
      </c>
      <c r="M109" s="20" t="s">
        <v>112</v>
      </c>
      <c r="N109" s="20" t="s">
        <v>465</v>
      </c>
      <c r="O109" s="20" t="s">
        <v>114</v>
      </c>
      <c r="P109" s="20" t="s">
        <v>210</v>
      </c>
      <c r="Q109" s="20" t="s">
        <v>466</v>
      </c>
      <c r="R109" s="22" t="n">
        <v>212.9</v>
      </c>
      <c r="S109" s="20" t="n">
        <v>3</v>
      </c>
      <c r="T109" s="20" t="n">
        <v>0</v>
      </c>
      <c r="U109" s="22" t="n">
        <v>44.92</v>
      </c>
      <c r="V109" s="23" t="n">
        <f aca="false">IF(ISNUMBER(C109),YEAR(C109),"")</f>
        <v>2014</v>
      </c>
      <c r="W109" s="23" t="n">
        <f aca="false">IF(ISNUMBER(C109),MONTH(C109),"")</f>
        <v>9</v>
      </c>
      <c r="X109" s="23" t="str">
        <f aca="false">IF(T109="","",IF(T109=0,"No discount",IF(T109&lt;=0.2,"Low (1-20%)",IF(T109&lt;=0.4,"Medium (21-40%)","High (&gt;40%)"))))</f>
        <v>No discount</v>
      </c>
      <c r="Y109" s="23" t="n">
        <f aca="false">IF(AND(ISNUMBER(C109),ISNUMBER(D109)),D109-C109,"")</f>
        <v>4</v>
      </c>
      <c r="Z109" s="23" t="n">
        <f aca="false">IF(B109="","",IF(MATCH(B109,$B$2:$B$12000,0)=ROW()-1,1,0))</f>
        <v>1</v>
      </c>
    </row>
    <row r="110" customFormat="false" ht="15" hidden="false" customHeight="false" outlineLevel="0" collapsed="false">
      <c r="A110" s="20" t="n">
        <v>109</v>
      </c>
      <c r="B110" s="20" t="s">
        <v>467</v>
      </c>
      <c r="C110" s="21" t="n">
        <v>41888</v>
      </c>
      <c r="D110" s="21" t="n">
        <v>41893</v>
      </c>
      <c r="E110" s="20" t="s">
        <v>90</v>
      </c>
      <c r="F110" s="20" t="s">
        <v>125</v>
      </c>
      <c r="G110" s="20" t="s">
        <v>126</v>
      </c>
      <c r="H110" s="20" t="s">
        <v>61</v>
      </c>
      <c r="I110" s="20" t="s">
        <v>62</v>
      </c>
      <c r="J110" s="20" t="s">
        <v>63</v>
      </c>
      <c r="K110" s="20" t="s">
        <v>86</v>
      </c>
      <c r="L110" s="20" t="n">
        <v>14147</v>
      </c>
      <c r="M110" s="20" t="s">
        <v>65</v>
      </c>
      <c r="N110" s="20" t="s">
        <v>468</v>
      </c>
      <c r="O110" s="20" t="s">
        <v>67</v>
      </c>
      <c r="P110" s="20" t="s">
        <v>164</v>
      </c>
      <c r="Q110" s="20" t="s">
        <v>469</v>
      </c>
      <c r="R110" s="22" t="n">
        <v>1857.48</v>
      </c>
      <c r="S110" s="20" t="n">
        <v>8</v>
      </c>
      <c r="T110" s="20" t="n">
        <v>0</v>
      </c>
      <c r="U110" s="22" t="n">
        <v>200.14</v>
      </c>
      <c r="V110" s="23" t="n">
        <f aca="false">IF(ISNUMBER(C110),YEAR(C110),"")</f>
        <v>2014</v>
      </c>
      <c r="W110" s="23" t="n">
        <f aca="false">IF(ISNUMBER(C110),MONTH(C110),"")</f>
        <v>9</v>
      </c>
      <c r="X110" s="23" t="str">
        <f aca="false">IF(T110="","",IF(T110=0,"No discount",IF(T110&lt;=0.2,"Low (1-20%)",IF(T110&lt;=0.4,"Medium (21-40%)","High (&gt;40%)"))))</f>
        <v>No discount</v>
      </c>
      <c r="Y110" s="23" t="n">
        <f aca="false">IF(AND(ISNUMBER(C110),ISNUMBER(D110)),D110-C110,"")</f>
        <v>5</v>
      </c>
      <c r="Z110" s="23" t="n">
        <f aca="false">IF(B110="","",IF(MATCH(B110,$B$2:$B$12000,0)=ROW()-1,1,0))</f>
        <v>1</v>
      </c>
    </row>
    <row r="111" customFormat="false" ht="15" hidden="false" customHeight="false" outlineLevel="0" collapsed="false">
      <c r="A111" s="20" t="n">
        <v>110</v>
      </c>
      <c r="B111" s="20" t="s">
        <v>470</v>
      </c>
      <c r="C111" s="21" t="n">
        <v>41894</v>
      </c>
      <c r="D111" s="21" t="n">
        <v>41901</v>
      </c>
      <c r="E111" s="20" t="s">
        <v>90</v>
      </c>
      <c r="F111" s="20" t="s">
        <v>339</v>
      </c>
      <c r="G111" s="20" t="s">
        <v>340</v>
      </c>
      <c r="H111" s="20" t="s">
        <v>61</v>
      </c>
      <c r="I111" s="20" t="s">
        <v>62</v>
      </c>
      <c r="J111" s="20" t="s">
        <v>63</v>
      </c>
      <c r="K111" s="20" t="s">
        <v>422</v>
      </c>
      <c r="L111" s="20" t="n">
        <v>61565</v>
      </c>
      <c r="M111" s="20" t="s">
        <v>153</v>
      </c>
      <c r="N111" s="20" t="s">
        <v>471</v>
      </c>
      <c r="O111" s="20" t="s">
        <v>76</v>
      </c>
      <c r="P111" s="20" t="s">
        <v>236</v>
      </c>
      <c r="Q111" s="20" t="s">
        <v>472</v>
      </c>
      <c r="R111" s="22" t="n">
        <v>455.75</v>
      </c>
      <c r="S111" s="20" t="n">
        <v>8</v>
      </c>
      <c r="T111" s="20" t="n">
        <v>0</v>
      </c>
      <c r="U111" s="22" t="n">
        <v>172.27</v>
      </c>
      <c r="V111" s="23" t="n">
        <f aca="false">IF(ISNUMBER(C111),YEAR(C111),"")</f>
        <v>2014</v>
      </c>
      <c r="W111" s="23" t="n">
        <f aca="false">IF(ISNUMBER(C111),MONTH(C111),"")</f>
        <v>9</v>
      </c>
      <c r="X111" s="23" t="str">
        <f aca="false">IF(T111="","",IF(T111=0,"No discount",IF(T111&lt;=0.2,"Low (1-20%)",IF(T111&lt;=0.4,"Medium (21-40%)","High (&gt;40%)"))))</f>
        <v>No discount</v>
      </c>
      <c r="Y111" s="23" t="n">
        <f aca="false">IF(AND(ISNUMBER(C111),ISNUMBER(D111)),D111-C111,"")</f>
        <v>7</v>
      </c>
      <c r="Z111" s="23" t="n">
        <f aca="false">IF(B111="","",IF(MATCH(B111,$B$2:$B$12000,0)=ROW()-1,1,0))</f>
        <v>1</v>
      </c>
    </row>
    <row r="112" customFormat="false" ht="15" hidden="false" customHeight="false" outlineLevel="0" collapsed="false">
      <c r="A112" s="20" t="n">
        <v>111</v>
      </c>
      <c r="B112" s="20" t="s">
        <v>470</v>
      </c>
      <c r="C112" s="21" t="n">
        <v>41894</v>
      </c>
      <c r="D112" s="21" t="n">
        <v>41901</v>
      </c>
      <c r="E112" s="20" t="s">
        <v>71</v>
      </c>
      <c r="F112" s="20" t="s">
        <v>339</v>
      </c>
      <c r="G112" s="20" t="s">
        <v>340</v>
      </c>
      <c r="H112" s="20" t="s">
        <v>61</v>
      </c>
      <c r="I112" s="20" t="s">
        <v>62</v>
      </c>
      <c r="J112" s="20" t="s">
        <v>63</v>
      </c>
      <c r="K112" s="20" t="s">
        <v>422</v>
      </c>
      <c r="L112" s="20" t="n">
        <v>37706</v>
      </c>
      <c r="M112" s="20" t="s">
        <v>153</v>
      </c>
      <c r="N112" s="20" t="s">
        <v>473</v>
      </c>
      <c r="O112" s="20" t="s">
        <v>76</v>
      </c>
      <c r="P112" s="20" t="s">
        <v>101</v>
      </c>
      <c r="Q112" s="20" t="s">
        <v>474</v>
      </c>
      <c r="R112" s="22" t="n">
        <v>42.43</v>
      </c>
      <c r="S112" s="20" t="n">
        <v>6</v>
      </c>
      <c r="T112" s="20" t="n">
        <v>0.4</v>
      </c>
      <c r="U112" s="22" t="n">
        <v>9.01</v>
      </c>
      <c r="V112" s="23" t="n">
        <f aca="false">IF(ISNUMBER(C112),YEAR(C112),"")</f>
        <v>2014</v>
      </c>
      <c r="W112" s="23" t="n">
        <f aca="false">IF(ISNUMBER(C112),MONTH(C112),"")</f>
        <v>9</v>
      </c>
      <c r="X112" s="23" t="str">
        <f aca="false">IF(T112="","",IF(T112=0,"No discount",IF(T112&lt;=0.2,"Low (1-20%)",IF(T112&lt;=0.4,"Medium (21-40%)","High (&gt;40%)"))))</f>
        <v>Medium (21-40%)</v>
      </c>
      <c r="Y112" s="23" t="n">
        <f aca="false">IF(AND(ISNUMBER(C112),ISNUMBER(D112)),D112-C112,"")</f>
        <v>7</v>
      </c>
      <c r="Z112" s="23" t="n">
        <f aca="false">IF(B112="","",IF(MATCH(B112,$B$2:$B$12000,0)=ROW()-1,1,0))</f>
        <v>0</v>
      </c>
    </row>
    <row r="113" customFormat="false" ht="15" hidden="false" customHeight="false" outlineLevel="0" collapsed="false">
      <c r="A113" s="20" t="n">
        <v>112</v>
      </c>
      <c r="B113" s="20" t="s">
        <v>475</v>
      </c>
      <c r="C113" s="21" t="n">
        <v>41894</v>
      </c>
      <c r="D113" s="21" t="n">
        <v>41897</v>
      </c>
      <c r="E113" s="20" t="s">
        <v>90</v>
      </c>
      <c r="F113" s="20" t="s">
        <v>476</v>
      </c>
      <c r="G113" s="20" t="s">
        <v>477</v>
      </c>
      <c r="H113" s="20" t="s">
        <v>85</v>
      </c>
      <c r="I113" s="20" t="s">
        <v>62</v>
      </c>
      <c r="J113" s="20" t="s">
        <v>63</v>
      </c>
      <c r="K113" s="20" t="s">
        <v>246</v>
      </c>
      <c r="L113" s="20" t="n">
        <v>53749</v>
      </c>
      <c r="M113" s="20" t="s">
        <v>112</v>
      </c>
      <c r="N113" s="20" t="s">
        <v>478</v>
      </c>
      <c r="O113" s="20" t="s">
        <v>76</v>
      </c>
      <c r="P113" s="20" t="s">
        <v>236</v>
      </c>
      <c r="Q113" s="20" t="s">
        <v>479</v>
      </c>
      <c r="R113" s="22" t="n">
        <v>26.16</v>
      </c>
      <c r="S113" s="20" t="n">
        <v>6</v>
      </c>
      <c r="T113" s="20" t="n">
        <v>0.2</v>
      </c>
      <c r="U113" s="22" t="n">
        <v>5.72</v>
      </c>
      <c r="V113" s="23" t="n">
        <f aca="false">IF(ISNUMBER(C113),YEAR(C113),"")</f>
        <v>2014</v>
      </c>
      <c r="W113" s="23" t="n">
        <f aca="false">IF(ISNUMBER(C113),MONTH(C113),"")</f>
        <v>9</v>
      </c>
      <c r="X113" s="23" t="str">
        <f aca="false">IF(T113="","",IF(T113=0,"No discount",IF(T113&lt;=0.2,"Low (1-20%)",IF(T113&lt;=0.4,"Medium (21-40%)","High (&gt;40%)"))))</f>
        <v>Low (1-20%)</v>
      </c>
      <c r="Y113" s="23" t="n">
        <f aca="false">IF(AND(ISNUMBER(C113),ISNUMBER(D113)),D113-C113,"")</f>
        <v>3</v>
      </c>
      <c r="Z113" s="23" t="n">
        <f aca="false">IF(B113="","",IF(MATCH(B113,$B$2:$B$12000,0)=ROW()-1,1,0))</f>
        <v>1</v>
      </c>
    </row>
    <row r="114" customFormat="false" ht="15" hidden="false" customHeight="false" outlineLevel="0" collapsed="false">
      <c r="A114" s="20" t="n">
        <v>113</v>
      </c>
      <c r="B114" s="20" t="s">
        <v>480</v>
      </c>
      <c r="C114" s="21" t="n">
        <v>41896</v>
      </c>
      <c r="D114" s="21" t="n">
        <v>41901</v>
      </c>
      <c r="E114" s="20" t="s">
        <v>104</v>
      </c>
      <c r="F114" s="20" t="s">
        <v>223</v>
      </c>
      <c r="G114" s="20" t="s">
        <v>224</v>
      </c>
      <c r="H114" s="20" t="s">
        <v>61</v>
      </c>
      <c r="I114" s="20" t="s">
        <v>62</v>
      </c>
      <c r="J114" s="20" t="s">
        <v>63</v>
      </c>
      <c r="K114" s="20" t="s">
        <v>246</v>
      </c>
      <c r="L114" s="20" t="n">
        <v>84574</v>
      </c>
      <c r="M114" s="20" t="s">
        <v>112</v>
      </c>
      <c r="N114" s="20" t="s">
        <v>481</v>
      </c>
      <c r="O114" s="20" t="s">
        <v>114</v>
      </c>
      <c r="P114" s="20" t="s">
        <v>115</v>
      </c>
      <c r="Q114" s="20" t="s">
        <v>482</v>
      </c>
      <c r="R114" s="22" t="n">
        <v>892.78</v>
      </c>
      <c r="S114" s="20" t="n">
        <v>3</v>
      </c>
      <c r="T114" s="20" t="n">
        <v>0.1</v>
      </c>
      <c r="U114" s="22" t="n">
        <v>162.51</v>
      </c>
      <c r="V114" s="23" t="n">
        <f aca="false">IF(ISNUMBER(C114),YEAR(C114),"")</f>
        <v>2014</v>
      </c>
      <c r="W114" s="23" t="n">
        <f aca="false">IF(ISNUMBER(C114),MONTH(C114),"")</f>
        <v>9</v>
      </c>
      <c r="X114" s="23" t="str">
        <f aca="false">IF(T114="","",IF(T114=0,"No discount",IF(T114&lt;=0.2,"Low (1-20%)",IF(T114&lt;=0.4,"Medium (21-40%)","High (&gt;40%)"))))</f>
        <v>Low (1-20%)</v>
      </c>
      <c r="Y114" s="23" t="n">
        <f aca="false">IF(AND(ISNUMBER(C114),ISNUMBER(D114)),D114-C114,"")</f>
        <v>5</v>
      </c>
      <c r="Z114" s="23" t="n">
        <f aca="false">IF(B114="","",IF(MATCH(B114,$B$2:$B$12000,0)=ROW()-1,1,0))</f>
        <v>1</v>
      </c>
    </row>
    <row r="115" customFormat="false" ht="15" hidden="false" customHeight="false" outlineLevel="0" collapsed="false">
      <c r="A115" s="20" t="n">
        <v>114</v>
      </c>
      <c r="B115" s="20" t="s">
        <v>483</v>
      </c>
      <c r="C115" s="21" t="n">
        <v>41897</v>
      </c>
      <c r="D115" s="21" t="n">
        <v>41898</v>
      </c>
      <c r="E115" s="20" t="s">
        <v>71</v>
      </c>
      <c r="F115" s="20" t="s">
        <v>391</v>
      </c>
      <c r="G115" s="20" t="s">
        <v>392</v>
      </c>
      <c r="H115" s="20" t="s">
        <v>61</v>
      </c>
      <c r="I115" s="20" t="s">
        <v>62</v>
      </c>
      <c r="J115" s="20" t="s">
        <v>63</v>
      </c>
      <c r="K115" s="20" t="s">
        <v>225</v>
      </c>
      <c r="L115" s="20" t="n">
        <v>57567</v>
      </c>
      <c r="M115" s="20" t="s">
        <v>65</v>
      </c>
      <c r="N115" s="20" t="s">
        <v>484</v>
      </c>
      <c r="O115" s="20" t="s">
        <v>67</v>
      </c>
      <c r="P115" s="20" t="s">
        <v>157</v>
      </c>
      <c r="Q115" s="20" t="s">
        <v>485</v>
      </c>
      <c r="R115" s="22" t="n">
        <v>518.22</v>
      </c>
      <c r="S115" s="20" t="n">
        <v>4</v>
      </c>
      <c r="T115" s="20" t="n">
        <v>0.2</v>
      </c>
      <c r="U115" s="22" t="n">
        <v>98.39</v>
      </c>
      <c r="V115" s="23" t="n">
        <f aca="false">IF(ISNUMBER(C115),YEAR(C115),"")</f>
        <v>2014</v>
      </c>
      <c r="W115" s="23" t="n">
        <f aca="false">IF(ISNUMBER(C115),MONTH(C115),"")</f>
        <v>9</v>
      </c>
      <c r="X115" s="23" t="str">
        <f aca="false">IF(T115="","",IF(T115=0,"No discount",IF(T115&lt;=0.2,"Low (1-20%)",IF(T115&lt;=0.4,"Medium (21-40%)","High (&gt;40%)"))))</f>
        <v>Low (1-20%)</v>
      </c>
      <c r="Y115" s="23" t="n">
        <f aca="false">IF(AND(ISNUMBER(C115),ISNUMBER(D115)),D115-C115,"")</f>
        <v>1</v>
      </c>
      <c r="Z115" s="23" t="n">
        <f aca="false">IF(B115="","",IF(MATCH(B115,$B$2:$B$12000,0)=ROW()-1,1,0))</f>
        <v>1</v>
      </c>
    </row>
    <row r="116" customFormat="false" ht="15" hidden="false" customHeight="false" outlineLevel="0" collapsed="false">
      <c r="A116" s="20" t="n">
        <v>115</v>
      </c>
      <c r="B116" s="20" t="s">
        <v>486</v>
      </c>
      <c r="C116" s="21" t="n">
        <v>41899</v>
      </c>
      <c r="D116" s="21" t="n">
        <v>41905</v>
      </c>
      <c r="E116" s="20" t="s">
        <v>90</v>
      </c>
      <c r="F116" s="20" t="s">
        <v>436</v>
      </c>
      <c r="G116" s="20" t="s">
        <v>437</v>
      </c>
      <c r="H116" s="20" t="s">
        <v>61</v>
      </c>
      <c r="I116" s="20" t="s">
        <v>62</v>
      </c>
      <c r="J116" s="20" t="s">
        <v>63</v>
      </c>
      <c r="K116" s="20" t="s">
        <v>487</v>
      </c>
      <c r="L116" s="20" t="n">
        <v>53834</v>
      </c>
      <c r="M116" s="20" t="s">
        <v>65</v>
      </c>
      <c r="N116" s="20" t="s">
        <v>488</v>
      </c>
      <c r="O116" s="20" t="s">
        <v>114</v>
      </c>
      <c r="P116" s="20" t="s">
        <v>210</v>
      </c>
      <c r="Q116" s="20" t="s">
        <v>489</v>
      </c>
      <c r="R116" s="22" t="n">
        <v>373.87</v>
      </c>
      <c r="S116" s="20" t="n">
        <v>6</v>
      </c>
      <c r="T116" s="20" t="n">
        <v>0.4</v>
      </c>
      <c r="U116" s="22" t="n">
        <v>-32.5</v>
      </c>
      <c r="V116" s="23" t="n">
        <f aca="false">IF(ISNUMBER(C116),YEAR(C116),"")</f>
        <v>2014</v>
      </c>
      <c r="W116" s="23" t="n">
        <f aca="false">IF(ISNUMBER(C116),MONTH(C116),"")</f>
        <v>9</v>
      </c>
      <c r="X116" s="23" t="str">
        <f aca="false">IF(T116="","",IF(T116=0,"No discount",IF(T116&lt;=0.2,"Low (1-20%)",IF(T116&lt;=0.4,"Medium (21-40%)","High (&gt;40%)"))))</f>
        <v>Medium (21-40%)</v>
      </c>
      <c r="Y116" s="23" t="n">
        <f aca="false">IF(AND(ISNUMBER(C116),ISNUMBER(D116)),D116-C116,"")</f>
        <v>6</v>
      </c>
      <c r="Z116" s="23" t="n">
        <f aca="false">IF(B116="","",IF(MATCH(B116,$B$2:$B$12000,0)=ROW()-1,1,0))</f>
        <v>1</v>
      </c>
    </row>
    <row r="117" customFormat="false" ht="15" hidden="false" customHeight="false" outlineLevel="0" collapsed="false">
      <c r="A117" s="20" t="n">
        <v>116</v>
      </c>
      <c r="B117" s="20" t="s">
        <v>486</v>
      </c>
      <c r="C117" s="21" t="n">
        <v>41899</v>
      </c>
      <c r="D117" s="21" t="n">
        <v>41905</v>
      </c>
      <c r="E117" s="20" t="s">
        <v>58</v>
      </c>
      <c r="F117" s="20" t="s">
        <v>436</v>
      </c>
      <c r="G117" s="20" t="s">
        <v>437</v>
      </c>
      <c r="H117" s="20" t="s">
        <v>61</v>
      </c>
      <c r="I117" s="20" t="s">
        <v>62</v>
      </c>
      <c r="J117" s="20" t="s">
        <v>63</v>
      </c>
      <c r="K117" s="20" t="s">
        <v>487</v>
      </c>
      <c r="L117" s="20" t="n">
        <v>40777</v>
      </c>
      <c r="M117" s="20" t="s">
        <v>65</v>
      </c>
      <c r="N117" s="20" t="s">
        <v>490</v>
      </c>
      <c r="O117" s="20" t="s">
        <v>76</v>
      </c>
      <c r="P117" s="20" t="s">
        <v>101</v>
      </c>
      <c r="Q117" s="20" t="s">
        <v>491</v>
      </c>
      <c r="R117" s="22" t="n">
        <v>82.67</v>
      </c>
      <c r="S117" s="20" t="n">
        <v>8</v>
      </c>
      <c r="T117" s="20" t="n">
        <v>0.4</v>
      </c>
      <c r="U117" s="22" t="n">
        <v>21.62</v>
      </c>
      <c r="V117" s="23" t="n">
        <f aca="false">IF(ISNUMBER(C117),YEAR(C117),"")</f>
        <v>2014</v>
      </c>
      <c r="W117" s="23" t="n">
        <f aca="false">IF(ISNUMBER(C117),MONTH(C117),"")</f>
        <v>9</v>
      </c>
      <c r="X117" s="23" t="str">
        <f aca="false">IF(T117="","",IF(T117=0,"No discount",IF(T117&lt;=0.2,"Low (1-20%)",IF(T117&lt;=0.4,"Medium (21-40%)","High (&gt;40%)"))))</f>
        <v>Medium (21-40%)</v>
      </c>
      <c r="Y117" s="23" t="n">
        <f aca="false">IF(AND(ISNUMBER(C117),ISNUMBER(D117)),D117-C117,"")</f>
        <v>6</v>
      </c>
      <c r="Z117" s="23" t="n">
        <f aca="false">IF(B117="","",IF(MATCH(B117,$B$2:$B$12000,0)=ROW()-1,1,0))</f>
        <v>0</v>
      </c>
    </row>
    <row r="118" customFormat="false" ht="15" hidden="false" customHeight="false" outlineLevel="0" collapsed="false">
      <c r="A118" s="20" t="n">
        <v>117</v>
      </c>
      <c r="B118" s="20" t="s">
        <v>492</v>
      </c>
      <c r="C118" s="21" t="n">
        <v>41902</v>
      </c>
      <c r="D118" s="21" t="n">
        <v>41903</v>
      </c>
      <c r="E118" s="20" t="s">
        <v>71</v>
      </c>
      <c r="F118" s="20" t="s">
        <v>391</v>
      </c>
      <c r="G118" s="20" t="s">
        <v>392</v>
      </c>
      <c r="H118" s="20" t="s">
        <v>61</v>
      </c>
      <c r="I118" s="20" t="s">
        <v>62</v>
      </c>
      <c r="J118" s="20" t="s">
        <v>63</v>
      </c>
      <c r="K118" s="20" t="s">
        <v>385</v>
      </c>
      <c r="L118" s="20" t="n">
        <v>28850</v>
      </c>
      <c r="M118" s="20" t="s">
        <v>153</v>
      </c>
      <c r="N118" s="20" t="s">
        <v>493</v>
      </c>
      <c r="O118" s="20" t="s">
        <v>67</v>
      </c>
      <c r="P118" s="20" t="s">
        <v>106</v>
      </c>
      <c r="Q118" s="20" t="s">
        <v>494</v>
      </c>
      <c r="R118" s="22" t="n">
        <v>1983.43</v>
      </c>
      <c r="S118" s="20" t="n">
        <v>7</v>
      </c>
      <c r="T118" s="20" t="n">
        <v>0.3</v>
      </c>
      <c r="U118" s="22" t="n">
        <v>-27.54</v>
      </c>
      <c r="V118" s="23" t="n">
        <f aca="false">IF(ISNUMBER(C118),YEAR(C118),"")</f>
        <v>2014</v>
      </c>
      <c r="W118" s="23" t="n">
        <f aca="false">IF(ISNUMBER(C118),MONTH(C118),"")</f>
        <v>9</v>
      </c>
      <c r="X118" s="23" t="str">
        <f aca="false">IF(T118="","",IF(T118=0,"No discount",IF(T118&lt;=0.2,"Low (1-20%)",IF(T118&lt;=0.4,"Medium (21-40%)","High (&gt;40%)"))))</f>
        <v>Medium (21-40%)</v>
      </c>
      <c r="Y118" s="23" t="n">
        <f aca="false">IF(AND(ISNUMBER(C118),ISNUMBER(D118)),D118-C118,"")</f>
        <v>1</v>
      </c>
      <c r="Z118" s="23" t="n">
        <f aca="false">IF(B118="","",IF(MATCH(B118,$B$2:$B$12000,0)=ROW()-1,1,0))</f>
        <v>1</v>
      </c>
    </row>
    <row r="119" customFormat="false" ht="15" hidden="false" customHeight="false" outlineLevel="0" collapsed="false">
      <c r="A119" s="20" t="n">
        <v>118</v>
      </c>
      <c r="B119" s="20" t="s">
        <v>495</v>
      </c>
      <c r="C119" s="21" t="n">
        <v>41902</v>
      </c>
      <c r="D119" s="21" t="n">
        <v>41908</v>
      </c>
      <c r="E119" s="20" t="s">
        <v>71</v>
      </c>
      <c r="F119" s="20" t="s">
        <v>314</v>
      </c>
      <c r="G119" s="20" t="s">
        <v>315</v>
      </c>
      <c r="H119" s="20" t="s">
        <v>61</v>
      </c>
      <c r="I119" s="20" t="s">
        <v>62</v>
      </c>
      <c r="J119" s="20" t="s">
        <v>63</v>
      </c>
      <c r="K119" s="20" t="s">
        <v>86</v>
      </c>
      <c r="L119" s="20" t="n">
        <v>86667</v>
      </c>
      <c r="M119" s="20" t="s">
        <v>65</v>
      </c>
      <c r="N119" s="20" t="s">
        <v>496</v>
      </c>
      <c r="O119" s="20" t="s">
        <v>76</v>
      </c>
      <c r="P119" s="20" t="s">
        <v>101</v>
      </c>
      <c r="Q119" s="20" t="s">
        <v>434</v>
      </c>
      <c r="R119" s="22" t="n">
        <v>50</v>
      </c>
      <c r="S119" s="20" t="n">
        <v>2</v>
      </c>
      <c r="T119" s="20" t="n">
        <v>0</v>
      </c>
      <c r="U119" s="22" t="n">
        <v>14.3</v>
      </c>
      <c r="V119" s="23" t="n">
        <f aca="false">IF(ISNUMBER(C119),YEAR(C119),"")</f>
        <v>2014</v>
      </c>
      <c r="W119" s="23" t="n">
        <f aca="false">IF(ISNUMBER(C119),MONTH(C119),"")</f>
        <v>9</v>
      </c>
      <c r="X119" s="23" t="str">
        <f aca="false">IF(T119="","",IF(T119=0,"No discount",IF(T119&lt;=0.2,"Low (1-20%)",IF(T119&lt;=0.4,"Medium (21-40%)","High (&gt;40%)"))))</f>
        <v>No discount</v>
      </c>
      <c r="Y119" s="23" t="n">
        <f aca="false">IF(AND(ISNUMBER(C119),ISNUMBER(D119)),D119-C119,"")</f>
        <v>6</v>
      </c>
      <c r="Z119" s="23" t="n">
        <f aca="false">IF(B119="","",IF(MATCH(B119,$B$2:$B$12000,0)=ROW()-1,1,0))</f>
        <v>1</v>
      </c>
    </row>
    <row r="120" customFormat="false" ht="15" hidden="false" customHeight="false" outlineLevel="0" collapsed="false">
      <c r="A120" s="20" t="n">
        <v>119</v>
      </c>
      <c r="B120" s="20" t="s">
        <v>497</v>
      </c>
      <c r="C120" s="21" t="n">
        <v>41906</v>
      </c>
      <c r="D120" s="21" t="n">
        <v>41910</v>
      </c>
      <c r="E120" s="20" t="s">
        <v>71</v>
      </c>
      <c r="F120" s="20" t="s">
        <v>125</v>
      </c>
      <c r="G120" s="20" t="s">
        <v>126</v>
      </c>
      <c r="H120" s="20" t="s">
        <v>61</v>
      </c>
      <c r="I120" s="20" t="s">
        <v>62</v>
      </c>
      <c r="J120" s="20" t="s">
        <v>63</v>
      </c>
      <c r="K120" s="20" t="s">
        <v>377</v>
      </c>
      <c r="L120" s="20" t="n">
        <v>31569</v>
      </c>
      <c r="M120" s="20" t="s">
        <v>65</v>
      </c>
      <c r="N120" s="20" t="s">
        <v>498</v>
      </c>
      <c r="O120" s="20" t="s">
        <v>76</v>
      </c>
      <c r="P120" s="20" t="s">
        <v>236</v>
      </c>
      <c r="Q120" s="20" t="s">
        <v>499</v>
      </c>
      <c r="R120" s="22" t="n">
        <v>40.52</v>
      </c>
      <c r="S120" s="20" t="n">
        <v>2</v>
      </c>
      <c r="T120" s="20" t="n">
        <v>0.3</v>
      </c>
      <c r="U120" s="22" t="n">
        <v>10.06</v>
      </c>
      <c r="V120" s="23" t="n">
        <f aca="false">IF(ISNUMBER(C120),YEAR(C120),"")</f>
        <v>2014</v>
      </c>
      <c r="W120" s="23" t="n">
        <f aca="false">IF(ISNUMBER(C120),MONTH(C120),"")</f>
        <v>9</v>
      </c>
      <c r="X120" s="23" t="str">
        <f aca="false">IF(T120="","",IF(T120=0,"No discount",IF(T120&lt;=0.2,"Low (1-20%)",IF(T120&lt;=0.4,"Medium (21-40%)","High (&gt;40%)"))))</f>
        <v>Medium (21-40%)</v>
      </c>
      <c r="Y120" s="23" t="n">
        <f aca="false">IF(AND(ISNUMBER(C120),ISNUMBER(D120)),D120-C120,"")</f>
        <v>4</v>
      </c>
      <c r="Z120" s="23" t="n">
        <f aca="false">IF(B120="","",IF(MATCH(B120,$B$2:$B$12000,0)=ROW()-1,1,0))</f>
        <v>1</v>
      </c>
    </row>
    <row r="121" customFormat="false" ht="15" hidden="false" customHeight="false" outlineLevel="0" collapsed="false">
      <c r="A121" s="20" t="n">
        <v>120</v>
      </c>
      <c r="B121" s="20" t="s">
        <v>500</v>
      </c>
      <c r="C121" s="21" t="n">
        <v>41909</v>
      </c>
      <c r="D121" s="21" t="n">
        <v>41911</v>
      </c>
      <c r="E121" s="20" t="s">
        <v>71</v>
      </c>
      <c r="F121" s="20" t="s">
        <v>501</v>
      </c>
      <c r="G121" s="20" t="s">
        <v>502</v>
      </c>
      <c r="H121" s="20" t="s">
        <v>85</v>
      </c>
      <c r="I121" s="20" t="s">
        <v>62</v>
      </c>
      <c r="J121" s="20" t="s">
        <v>63</v>
      </c>
      <c r="K121" s="20" t="s">
        <v>183</v>
      </c>
      <c r="L121" s="20" t="n">
        <v>35783</v>
      </c>
      <c r="M121" s="20" t="s">
        <v>112</v>
      </c>
      <c r="N121" s="20" t="s">
        <v>503</v>
      </c>
      <c r="O121" s="20" t="s">
        <v>114</v>
      </c>
      <c r="P121" s="20" t="s">
        <v>167</v>
      </c>
      <c r="Q121" s="20" t="s">
        <v>504</v>
      </c>
      <c r="R121" s="22" t="n">
        <v>795.69</v>
      </c>
      <c r="S121" s="20" t="n">
        <v>4</v>
      </c>
      <c r="T121" s="20" t="n">
        <v>0.5</v>
      </c>
      <c r="U121" s="22" t="n">
        <v>-226.61</v>
      </c>
      <c r="V121" s="23" t="n">
        <f aca="false">IF(ISNUMBER(C121),YEAR(C121),"")</f>
        <v>2014</v>
      </c>
      <c r="W121" s="23" t="n">
        <f aca="false">IF(ISNUMBER(C121),MONTH(C121),"")</f>
        <v>9</v>
      </c>
      <c r="X121" s="23" t="str">
        <f aca="false">IF(T121="","",IF(T121=0,"No discount",IF(T121&lt;=0.2,"Low (1-20%)",IF(T121&lt;=0.4,"Medium (21-40%)","High (&gt;40%)"))))</f>
        <v>High (&gt;40%)</v>
      </c>
      <c r="Y121" s="23" t="n">
        <f aca="false">IF(AND(ISNUMBER(C121),ISNUMBER(D121)),D121-C121,"")</f>
        <v>2</v>
      </c>
      <c r="Z121" s="23" t="n">
        <f aca="false">IF(B121="","",IF(MATCH(B121,$B$2:$B$12000,0)=ROW()-1,1,0))</f>
        <v>1</v>
      </c>
    </row>
    <row r="122" customFormat="false" ht="15" hidden="false" customHeight="false" outlineLevel="0" collapsed="false">
      <c r="A122" s="20" t="n">
        <v>121</v>
      </c>
      <c r="B122" s="20" t="s">
        <v>500</v>
      </c>
      <c r="C122" s="21" t="n">
        <v>41909</v>
      </c>
      <c r="D122" s="21" t="n">
        <v>41911</v>
      </c>
      <c r="E122" s="20" t="s">
        <v>58</v>
      </c>
      <c r="F122" s="20" t="s">
        <v>501</v>
      </c>
      <c r="G122" s="20" t="s">
        <v>502</v>
      </c>
      <c r="H122" s="20" t="s">
        <v>85</v>
      </c>
      <c r="I122" s="20" t="s">
        <v>62</v>
      </c>
      <c r="J122" s="20" t="s">
        <v>63</v>
      </c>
      <c r="K122" s="20" t="s">
        <v>183</v>
      </c>
      <c r="L122" s="20" t="n">
        <v>10661</v>
      </c>
      <c r="M122" s="20" t="s">
        <v>112</v>
      </c>
      <c r="N122" s="20" t="s">
        <v>505</v>
      </c>
      <c r="O122" s="20" t="s">
        <v>114</v>
      </c>
      <c r="P122" s="20" t="s">
        <v>115</v>
      </c>
      <c r="Q122" s="20" t="s">
        <v>506</v>
      </c>
      <c r="R122" s="22" t="n">
        <v>144.07</v>
      </c>
      <c r="S122" s="20" t="n">
        <v>1</v>
      </c>
      <c r="T122" s="20" t="n">
        <v>0</v>
      </c>
      <c r="U122" s="22" t="n">
        <v>18.23</v>
      </c>
      <c r="V122" s="23" t="n">
        <f aca="false">IF(ISNUMBER(C122),YEAR(C122),"")</f>
        <v>2014</v>
      </c>
      <c r="W122" s="23" t="n">
        <f aca="false">IF(ISNUMBER(C122),MONTH(C122),"")</f>
        <v>9</v>
      </c>
      <c r="X122" s="23" t="str">
        <f aca="false">IF(T122="","",IF(T122=0,"No discount",IF(T122&lt;=0.2,"Low (1-20%)",IF(T122&lt;=0.4,"Medium (21-40%)","High (&gt;40%)"))))</f>
        <v>No discount</v>
      </c>
      <c r="Y122" s="23" t="n">
        <f aca="false">IF(AND(ISNUMBER(C122),ISNUMBER(D122)),D122-C122,"")</f>
        <v>2</v>
      </c>
      <c r="Z122" s="23" t="n">
        <f aca="false">IF(B122="","",IF(MATCH(B122,$B$2:$B$12000,0)=ROW()-1,1,0))</f>
        <v>0</v>
      </c>
    </row>
    <row r="123" customFormat="false" ht="15" hidden="false" customHeight="false" outlineLevel="0" collapsed="false">
      <c r="A123" s="20" t="n">
        <v>122</v>
      </c>
      <c r="B123" s="20" t="s">
        <v>507</v>
      </c>
      <c r="C123" s="21" t="n">
        <v>41916</v>
      </c>
      <c r="D123" s="21" t="n">
        <v>41917</v>
      </c>
      <c r="E123" s="20" t="s">
        <v>71</v>
      </c>
      <c r="F123" s="20" t="s">
        <v>118</v>
      </c>
      <c r="G123" s="20" t="s">
        <v>119</v>
      </c>
      <c r="H123" s="20" t="s">
        <v>61</v>
      </c>
      <c r="I123" s="20" t="s">
        <v>62</v>
      </c>
      <c r="J123" s="20" t="s">
        <v>63</v>
      </c>
      <c r="K123" s="20" t="s">
        <v>508</v>
      </c>
      <c r="L123" s="20" t="n">
        <v>95056</v>
      </c>
      <c r="M123" s="20" t="s">
        <v>153</v>
      </c>
      <c r="N123" s="20" t="s">
        <v>509</v>
      </c>
      <c r="O123" s="20" t="s">
        <v>76</v>
      </c>
      <c r="P123" s="20" t="s">
        <v>88</v>
      </c>
      <c r="Q123" s="20" t="s">
        <v>510</v>
      </c>
      <c r="R123" s="22" t="n">
        <v>587.43</v>
      </c>
      <c r="S123" s="20" t="n">
        <v>4</v>
      </c>
      <c r="T123" s="20" t="n">
        <v>0.2</v>
      </c>
      <c r="U123" s="22" t="n">
        <v>-17.53</v>
      </c>
      <c r="V123" s="23" t="n">
        <f aca="false">IF(ISNUMBER(C123),YEAR(C123),"")</f>
        <v>2014</v>
      </c>
      <c r="W123" s="23" t="n">
        <f aca="false">IF(ISNUMBER(C123),MONTH(C123),"")</f>
        <v>10</v>
      </c>
      <c r="X123" s="23" t="str">
        <f aca="false">IF(T123="","",IF(T123=0,"No discount",IF(T123&lt;=0.2,"Low (1-20%)",IF(T123&lt;=0.4,"Medium (21-40%)","High (&gt;40%)"))))</f>
        <v>Low (1-20%)</v>
      </c>
      <c r="Y123" s="23" t="n">
        <f aca="false">IF(AND(ISNUMBER(C123),ISNUMBER(D123)),D123-C123,"")</f>
        <v>1</v>
      </c>
      <c r="Z123" s="23" t="n">
        <f aca="false">IF(B123="","",IF(MATCH(B123,$B$2:$B$12000,0)=ROW()-1,1,0))</f>
        <v>1</v>
      </c>
    </row>
    <row r="124" customFormat="false" ht="15" hidden="false" customHeight="false" outlineLevel="0" collapsed="false">
      <c r="A124" s="20" t="n">
        <v>123</v>
      </c>
      <c r="B124" s="20" t="s">
        <v>507</v>
      </c>
      <c r="C124" s="21" t="n">
        <v>41916</v>
      </c>
      <c r="D124" s="21" t="n">
        <v>41917</v>
      </c>
      <c r="E124" s="20" t="s">
        <v>104</v>
      </c>
      <c r="F124" s="20" t="s">
        <v>118</v>
      </c>
      <c r="G124" s="20" t="s">
        <v>119</v>
      </c>
      <c r="H124" s="20" t="s">
        <v>61</v>
      </c>
      <c r="I124" s="20" t="s">
        <v>62</v>
      </c>
      <c r="J124" s="20" t="s">
        <v>63</v>
      </c>
      <c r="K124" s="20" t="s">
        <v>508</v>
      </c>
      <c r="L124" s="20" t="n">
        <v>74796</v>
      </c>
      <c r="M124" s="20" t="s">
        <v>153</v>
      </c>
      <c r="N124" s="20" t="s">
        <v>511</v>
      </c>
      <c r="O124" s="20" t="s">
        <v>76</v>
      </c>
      <c r="P124" s="20" t="s">
        <v>101</v>
      </c>
      <c r="Q124" s="20" t="s">
        <v>512</v>
      </c>
      <c r="R124" s="22" t="n">
        <v>105.24</v>
      </c>
      <c r="S124" s="20" t="n">
        <v>3</v>
      </c>
      <c r="T124" s="20" t="n">
        <v>0</v>
      </c>
      <c r="U124" s="22" t="n">
        <v>42.74</v>
      </c>
      <c r="V124" s="23" t="n">
        <f aca="false">IF(ISNUMBER(C124),YEAR(C124),"")</f>
        <v>2014</v>
      </c>
      <c r="W124" s="23" t="n">
        <f aca="false">IF(ISNUMBER(C124),MONTH(C124),"")</f>
        <v>10</v>
      </c>
      <c r="X124" s="23" t="str">
        <f aca="false">IF(T124="","",IF(T124=0,"No discount",IF(T124&lt;=0.2,"Low (1-20%)",IF(T124&lt;=0.4,"Medium (21-40%)","High (&gt;40%)"))))</f>
        <v>No discount</v>
      </c>
      <c r="Y124" s="23" t="n">
        <f aca="false">IF(AND(ISNUMBER(C124),ISNUMBER(D124)),D124-C124,"")</f>
        <v>1</v>
      </c>
      <c r="Z124" s="23" t="n">
        <f aca="false">IF(B124="","",IF(MATCH(B124,$B$2:$B$12000,0)=ROW()-1,1,0))</f>
        <v>0</v>
      </c>
    </row>
    <row r="125" customFormat="false" ht="15" hidden="false" customHeight="false" outlineLevel="0" collapsed="false">
      <c r="A125" s="20" t="n">
        <v>124</v>
      </c>
      <c r="B125" s="20" t="s">
        <v>507</v>
      </c>
      <c r="C125" s="21" t="n">
        <v>41916</v>
      </c>
      <c r="D125" s="21" t="n">
        <v>41917</v>
      </c>
      <c r="E125" s="20" t="s">
        <v>104</v>
      </c>
      <c r="F125" s="20" t="s">
        <v>118</v>
      </c>
      <c r="G125" s="20" t="s">
        <v>119</v>
      </c>
      <c r="H125" s="20" t="s">
        <v>61</v>
      </c>
      <c r="I125" s="20" t="s">
        <v>62</v>
      </c>
      <c r="J125" s="20" t="s">
        <v>63</v>
      </c>
      <c r="K125" s="20" t="s">
        <v>508</v>
      </c>
      <c r="L125" s="20" t="n">
        <v>17342</v>
      </c>
      <c r="M125" s="20" t="s">
        <v>153</v>
      </c>
      <c r="N125" s="20" t="s">
        <v>513</v>
      </c>
      <c r="O125" s="20" t="s">
        <v>67</v>
      </c>
      <c r="P125" s="20" t="s">
        <v>157</v>
      </c>
      <c r="Q125" s="20" t="s">
        <v>514</v>
      </c>
      <c r="R125" s="22" t="n">
        <v>116.31</v>
      </c>
      <c r="S125" s="20" t="n">
        <v>1</v>
      </c>
      <c r="T125" s="20" t="n">
        <v>0.2</v>
      </c>
      <c r="U125" s="22" t="n">
        <v>12.74</v>
      </c>
      <c r="V125" s="23" t="n">
        <f aca="false">IF(ISNUMBER(C125),YEAR(C125),"")</f>
        <v>2014</v>
      </c>
      <c r="W125" s="23" t="n">
        <f aca="false">IF(ISNUMBER(C125),MONTH(C125),"")</f>
        <v>10</v>
      </c>
      <c r="X125" s="23" t="str">
        <f aca="false">IF(T125="","",IF(T125=0,"No discount",IF(T125&lt;=0.2,"Low (1-20%)",IF(T125&lt;=0.4,"Medium (21-40%)","High (&gt;40%)"))))</f>
        <v>Low (1-20%)</v>
      </c>
      <c r="Y125" s="23" t="n">
        <f aca="false">IF(AND(ISNUMBER(C125),ISNUMBER(D125)),D125-C125,"")</f>
        <v>1</v>
      </c>
      <c r="Z125" s="23" t="n">
        <f aca="false">IF(B125="","",IF(MATCH(B125,$B$2:$B$12000,0)=ROW()-1,1,0))</f>
        <v>0</v>
      </c>
    </row>
    <row r="126" customFormat="false" ht="15" hidden="false" customHeight="false" outlineLevel="0" collapsed="false">
      <c r="A126" s="20" t="n">
        <v>125</v>
      </c>
      <c r="B126" s="20" t="s">
        <v>507</v>
      </c>
      <c r="C126" s="21" t="n">
        <v>41916</v>
      </c>
      <c r="D126" s="21" t="n">
        <v>41917</v>
      </c>
      <c r="E126" s="20" t="s">
        <v>71</v>
      </c>
      <c r="F126" s="20" t="s">
        <v>118</v>
      </c>
      <c r="G126" s="20" t="s">
        <v>119</v>
      </c>
      <c r="H126" s="20" t="s">
        <v>61</v>
      </c>
      <c r="I126" s="20" t="s">
        <v>62</v>
      </c>
      <c r="J126" s="20" t="s">
        <v>63</v>
      </c>
      <c r="K126" s="20" t="s">
        <v>508</v>
      </c>
      <c r="L126" s="20" t="n">
        <v>56903</v>
      </c>
      <c r="M126" s="20" t="s">
        <v>153</v>
      </c>
      <c r="N126" s="20" t="s">
        <v>515</v>
      </c>
      <c r="O126" s="20" t="s">
        <v>76</v>
      </c>
      <c r="P126" s="20" t="s">
        <v>101</v>
      </c>
      <c r="Q126" s="20" t="s">
        <v>516</v>
      </c>
      <c r="R126" s="22" t="n">
        <v>14.01</v>
      </c>
      <c r="S126" s="20" t="n">
        <v>3</v>
      </c>
      <c r="T126" s="20" t="n">
        <v>0</v>
      </c>
      <c r="U126" s="22" t="n">
        <v>5.82</v>
      </c>
      <c r="V126" s="23" t="n">
        <f aca="false">IF(ISNUMBER(C126),YEAR(C126),"")</f>
        <v>2014</v>
      </c>
      <c r="W126" s="23" t="n">
        <f aca="false">IF(ISNUMBER(C126),MONTH(C126),"")</f>
        <v>10</v>
      </c>
      <c r="X126" s="23" t="str">
        <f aca="false">IF(T126="","",IF(T126=0,"No discount",IF(T126&lt;=0.2,"Low (1-20%)",IF(T126&lt;=0.4,"Medium (21-40%)","High (&gt;40%)"))))</f>
        <v>No discount</v>
      </c>
      <c r="Y126" s="23" t="n">
        <f aca="false">IF(AND(ISNUMBER(C126),ISNUMBER(D126)),D126-C126,"")</f>
        <v>1</v>
      </c>
      <c r="Z126" s="23" t="n">
        <f aca="false">IF(B126="","",IF(MATCH(B126,$B$2:$B$12000,0)=ROW()-1,1,0))</f>
        <v>0</v>
      </c>
    </row>
    <row r="127" customFormat="false" ht="15" hidden="false" customHeight="false" outlineLevel="0" collapsed="false">
      <c r="A127" s="20" t="n">
        <v>126</v>
      </c>
      <c r="B127" s="20" t="s">
        <v>517</v>
      </c>
      <c r="C127" s="21" t="n">
        <v>41919</v>
      </c>
      <c r="D127" s="21" t="n">
        <v>41925</v>
      </c>
      <c r="E127" s="20" t="s">
        <v>104</v>
      </c>
      <c r="F127" s="20" t="s">
        <v>213</v>
      </c>
      <c r="G127" s="20" t="s">
        <v>214</v>
      </c>
      <c r="H127" s="20" t="s">
        <v>162</v>
      </c>
      <c r="I127" s="20" t="s">
        <v>62</v>
      </c>
      <c r="J127" s="20" t="s">
        <v>63</v>
      </c>
      <c r="K127" s="20" t="s">
        <v>518</v>
      </c>
      <c r="L127" s="20" t="n">
        <v>40146</v>
      </c>
      <c r="M127" s="20" t="s">
        <v>153</v>
      </c>
      <c r="N127" s="20" t="s">
        <v>519</v>
      </c>
      <c r="O127" s="20" t="s">
        <v>76</v>
      </c>
      <c r="P127" s="20" t="s">
        <v>178</v>
      </c>
      <c r="Q127" s="20" t="s">
        <v>520</v>
      </c>
      <c r="R127" s="22" t="n">
        <v>176.82</v>
      </c>
      <c r="S127" s="20" t="n">
        <v>3</v>
      </c>
      <c r="T127" s="20" t="n">
        <v>0.7</v>
      </c>
      <c r="U127" s="22" t="n">
        <v>-63.74</v>
      </c>
      <c r="V127" s="23" t="n">
        <f aca="false">IF(ISNUMBER(C127),YEAR(C127),"")</f>
        <v>2014</v>
      </c>
      <c r="W127" s="23" t="n">
        <f aca="false">IF(ISNUMBER(C127),MONTH(C127),"")</f>
        <v>10</v>
      </c>
      <c r="X127" s="23" t="str">
        <f aca="false">IF(T127="","",IF(T127=0,"No discount",IF(T127&lt;=0.2,"Low (1-20%)",IF(T127&lt;=0.4,"Medium (21-40%)","High (&gt;40%)"))))</f>
        <v>High (&gt;40%)</v>
      </c>
      <c r="Y127" s="23" t="n">
        <f aca="false">IF(AND(ISNUMBER(C127),ISNUMBER(D127)),D127-C127,"")</f>
        <v>6</v>
      </c>
      <c r="Z127" s="23" t="n">
        <f aca="false">IF(B127="","",IF(MATCH(B127,$B$2:$B$12000,0)=ROW()-1,1,0))</f>
        <v>1</v>
      </c>
    </row>
    <row r="128" customFormat="false" ht="15" hidden="false" customHeight="false" outlineLevel="0" collapsed="false">
      <c r="A128" s="20" t="n">
        <v>127</v>
      </c>
      <c r="B128" s="20" t="s">
        <v>521</v>
      </c>
      <c r="C128" s="21" t="n">
        <v>41920</v>
      </c>
      <c r="D128" s="21" t="n">
        <v>41921</v>
      </c>
      <c r="E128" s="20" t="s">
        <v>58</v>
      </c>
      <c r="F128" s="20" t="s">
        <v>352</v>
      </c>
      <c r="G128" s="20" t="s">
        <v>353</v>
      </c>
      <c r="H128" s="20" t="s">
        <v>85</v>
      </c>
      <c r="I128" s="20" t="s">
        <v>62</v>
      </c>
      <c r="J128" s="20" t="s">
        <v>63</v>
      </c>
      <c r="K128" s="20" t="s">
        <v>111</v>
      </c>
      <c r="L128" s="20" t="n">
        <v>43150</v>
      </c>
      <c r="M128" s="20" t="s">
        <v>112</v>
      </c>
      <c r="N128" s="20" t="s">
        <v>522</v>
      </c>
      <c r="O128" s="20" t="s">
        <v>76</v>
      </c>
      <c r="P128" s="20" t="s">
        <v>185</v>
      </c>
      <c r="Q128" s="20" t="s">
        <v>523</v>
      </c>
      <c r="R128" s="22" t="n">
        <v>43.78</v>
      </c>
      <c r="S128" s="20" t="n">
        <v>8</v>
      </c>
      <c r="T128" s="20" t="n">
        <v>0.4</v>
      </c>
      <c r="U128" s="22" t="n">
        <v>-2.52</v>
      </c>
      <c r="V128" s="23" t="n">
        <f aca="false">IF(ISNUMBER(C128),YEAR(C128),"")</f>
        <v>2014</v>
      </c>
      <c r="W128" s="23" t="n">
        <f aca="false">IF(ISNUMBER(C128),MONTH(C128),"")</f>
        <v>10</v>
      </c>
      <c r="X128" s="23" t="str">
        <f aca="false">IF(T128="","",IF(T128=0,"No discount",IF(T128&lt;=0.2,"Low (1-20%)",IF(T128&lt;=0.4,"Medium (21-40%)","High (&gt;40%)"))))</f>
        <v>Medium (21-40%)</v>
      </c>
      <c r="Y128" s="23" t="n">
        <f aca="false">IF(AND(ISNUMBER(C128),ISNUMBER(D128)),D128-C128,"")</f>
        <v>1</v>
      </c>
      <c r="Z128" s="23" t="n">
        <f aca="false">IF(B128="","",IF(MATCH(B128,$B$2:$B$12000,0)=ROW()-1,1,0))</f>
        <v>1</v>
      </c>
    </row>
    <row r="129" customFormat="false" ht="15" hidden="false" customHeight="false" outlineLevel="0" collapsed="false">
      <c r="A129" s="20" t="n">
        <v>128</v>
      </c>
      <c r="B129" s="20" t="s">
        <v>524</v>
      </c>
      <c r="C129" s="21" t="n">
        <v>41921</v>
      </c>
      <c r="D129" s="21" t="n">
        <v>41927</v>
      </c>
      <c r="E129" s="20" t="s">
        <v>71</v>
      </c>
      <c r="F129" s="20" t="s">
        <v>352</v>
      </c>
      <c r="G129" s="20" t="s">
        <v>353</v>
      </c>
      <c r="H129" s="20" t="s">
        <v>85</v>
      </c>
      <c r="I129" s="20" t="s">
        <v>62</v>
      </c>
      <c r="J129" s="20" t="s">
        <v>63</v>
      </c>
      <c r="K129" s="20" t="s">
        <v>525</v>
      </c>
      <c r="L129" s="20" t="n">
        <v>13663</v>
      </c>
      <c r="M129" s="20" t="s">
        <v>97</v>
      </c>
      <c r="N129" s="20" t="s">
        <v>526</v>
      </c>
      <c r="O129" s="20" t="s">
        <v>76</v>
      </c>
      <c r="P129" s="20" t="s">
        <v>101</v>
      </c>
      <c r="Q129" s="20" t="s">
        <v>527</v>
      </c>
      <c r="R129" s="22" t="n">
        <v>10.99</v>
      </c>
      <c r="S129" s="20" t="n">
        <v>3</v>
      </c>
      <c r="T129" s="20" t="n">
        <v>0.7</v>
      </c>
      <c r="U129" s="22" t="n">
        <v>-0.41</v>
      </c>
      <c r="V129" s="23" t="n">
        <f aca="false">IF(ISNUMBER(C129),YEAR(C129),"")</f>
        <v>2014</v>
      </c>
      <c r="W129" s="23" t="n">
        <f aca="false">IF(ISNUMBER(C129),MONTH(C129),"")</f>
        <v>10</v>
      </c>
      <c r="X129" s="23" t="str">
        <f aca="false">IF(T129="","",IF(T129=0,"No discount",IF(T129&lt;=0.2,"Low (1-20%)",IF(T129&lt;=0.4,"Medium (21-40%)","High (&gt;40%)"))))</f>
        <v>High (&gt;40%)</v>
      </c>
      <c r="Y129" s="23" t="n">
        <f aca="false">IF(AND(ISNUMBER(C129),ISNUMBER(D129)),D129-C129,"")</f>
        <v>6</v>
      </c>
      <c r="Z129" s="23" t="n">
        <f aca="false">IF(B129="","",IF(MATCH(B129,$B$2:$B$12000,0)=ROW()-1,1,0))</f>
        <v>1</v>
      </c>
    </row>
    <row r="130" customFormat="false" ht="15" hidden="false" customHeight="false" outlineLevel="0" collapsed="false">
      <c r="A130" s="20" t="n">
        <v>129</v>
      </c>
      <c r="B130" s="20" t="s">
        <v>528</v>
      </c>
      <c r="C130" s="21" t="n">
        <v>41923</v>
      </c>
      <c r="D130" s="21" t="n">
        <v>41928</v>
      </c>
      <c r="E130" s="20" t="s">
        <v>58</v>
      </c>
      <c r="F130" s="20" t="s">
        <v>529</v>
      </c>
      <c r="G130" s="20" t="s">
        <v>530</v>
      </c>
      <c r="H130" s="20" t="s">
        <v>61</v>
      </c>
      <c r="I130" s="20" t="s">
        <v>62</v>
      </c>
      <c r="J130" s="20" t="s">
        <v>63</v>
      </c>
      <c r="K130" s="20" t="s">
        <v>518</v>
      </c>
      <c r="L130" s="20" t="n">
        <v>79271</v>
      </c>
      <c r="M130" s="20" t="s">
        <v>153</v>
      </c>
      <c r="N130" s="20" t="s">
        <v>531</v>
      </c>
      <c r="O130" s="20" t="s">
        <v>114</v>
      </c>
      <c r="P130" s="20" t="s">
        <v>115</v>
      </c>
      <c r="Q130" s="20" t="s">
        <v>204</v>
      </c>
      <c r="R130" s="22" t="n">
        <v>798.41</v>
      </c>
      <c r="S130" s="20" t="n">
        <v>5</v>
      </c>
      <c r="T130" s="20" t="n">
        <v>0.5</v>
      </c>
      <c r="U130" s="22" t="n">
        <v>-144.93</v>
      </c>
      <c r="V130" s="23" t="n">
        <f aca="false">IF(ISNUMBER(C130),YEAR(C130),"")</f>
        <v>2014</v>
      </c>
      <c r="W130" s="23" t="n">
        <f aca="false">IF(ISNUMBER(C130),MONTH(C130),"")</f>
        <v>10</v>
      </c>
      <c r="X130" s="23" t="str">
        <f aca="false">IF(T130="","",IF(T130=0,"No discount",IF(T130&lt;=0.2,"Low (1-20%)",IF(T130&lt;=0.4,"Medium (21-40%)","High (&gt;40%)"))))</f>
        <v>High (&gt;40%)</v>
      </c>
      <c r="Y130" s="23" t="n">
        <f aca="false">IF(AND(ISNUMBER(C130),ISNUMBER(D130)),D130-C130,"")</f>
        <v>5</v>
      </c>
      <c r="Z130" s="23" t="n">
        <f aca="false">IF(B130="","",IF(MATCH(B130,$B$2:$B$12000,0)=ROW()-1,1,0))</f>
        <v>1</v>
      </c>
    </row>
    <row r="131" customFormat="false" ht="15" hidden="false" customHeight="false" outlineLevel="0" collapsed="false">
      <c r="A131" s="20" t="n">
        <v>130</v>
      </c>
      <c r="B131" s="20" t="s">
        <v>528</v>
      </c>
      <c r="C131" s="21" t="n">
        <v>41923</v>
      </c>
      <c r="D131" s="21" t="n">
        <v>41928</v>
      </c>
      <c r="E131" s="20" t="s">
        <v>104</v>
      </c>
      <c r="F131" s="20" t="s">
        <v>529</v>
      </c>
      <c r="G131" s="20" t="s">
        <v>530</v>
      </c>
      <c r="H131" s="20" t="s">
        <v>61</v>
      </c>
      <c r="I131" s="20" t="s">
        <v>62</v>
      </c>
      <c r="J131" s="20" t="s">
        <v>63</v>
      </c>
      <c r="K131" s="20" t="s">
        <v>518</v>
      </c>
      <c r="L131" s="20" t="n">
        <v>60990</v>
      </c>
      <c r="M131" s="20" t="s">
        <v>153</v>
      </c>
      <c r="N131" s="20" t="s">
        <v>532</v>
      </c>
      <c r="O131" s="20" t="s">
        <v>76</v>
      </c>
      <c r="P131" s="20" t="s">
        <v>122</v>
      </c>
      <c r="Q131" s="20" t="s">
        <v>533</v>
      </c>
      <c r="R131" s="22" t="n">
        <v>93.65</v>
      </c>
      <c r="S131" s="20" t="n">
        <v>8</v>
      </c>
      <c r="T131" s="20" t="n">
        <v>0.3</v>
      </c>
      <c r="U131" s="22" t="n">
        <v>18.28</v>
      </c>
      <c r="V131" s="23" t="n">
        <f aca="false">IF(ISNUMBER(C131),YEAR(C131),"")</f>
        <v>2014</v>
      </c>
      <c r="W131" s="23" t="n">
        <f aca="false">IF(ISNUMBER(C131),MONTH(C131),"")</f>
        <v>10</v>
      </c>
      <c r="X131" s="23" t="str">
        <f aca="false">IF(T131="","",IF(T131=0,"No discount",IF(T131&lt;=0.2,"Low (1-20%)",IF(T131&lt;=0.4,"Medium (21-40%)","High (&gt;40%)"))))</f>
        <v>Medium (21-40%)</v>
      </c>
      <c r="Y131" s="23" t="n">
        <f aca="false">IF(AND(ISNUMBER(C131),ISNUMBER(D131)),D131-C131,"")</f>
        <v>5</v>
      </c>
      <c r="Z131" s="23" t="n">
        <f aca="false">IF(B131="","",IF(MATCH(B131,$B$2:$B$12000,0)=ROW()-1,1,0))</f>
        <v>0</v>
      </c>
    </row>
    <row r="132" customFormat="false" ht="15" hidden="false" customHeight="false" outlineLevel="0" collapsed="false">
      <c r="A132" s="20" t="n">
        <v>131</v>
      </c>
      <c r="B132" s="20" t="s">
        <v>534</v>
      </c>
      <c r="C132" s="21" t="n">
        <v>41933</v>
      </c>
      <c r="D132" s="21" t="n">
        <v>41934</v>
      </c>
      <c r="E132" s="20" t="s">
        <v>58</v>
      </c>
      <c r="F132" s="20" t="s">
        <v>160</v>
      </c>
      <c r="G132" s="20" t="s">
        <v>161</v>
      </c>
      <c r="H132" s="20" t="s">
        <v>162</v>
      </c>
      <c r="I132" s="20" t="s">
        <v>62</v>
      </c>
      <c r="J132" s="20" t="s">
        <v>63</v>
      </c>
      <c r="K132" s="20" t="s">
        <v>183</v>
      </c>
      <c r="L132" s="20" t="n">
        <v>83950</v>
      </c>
      <c r="M132" s="20" t="s">
        <v>112</v>
      </c>
      <c r="N132" s="20" t="s">
        <v>535</v>
      </c>
      <c r="O132" s="20" t="s">
        <v>76</v>
      </c>
      <c r="P132" s="20" t="s">
        <v>88</v>
      </c>
      <c r="Q132" s="20" t="s">
        <v>536</v>
      </c>
      <c r="R132" s="22" t="n">
        <v>275.65</v>
      </c>
      <c r="S132" s="20" t="n">
        <v>2</v>
      </c>
      <c r="T132" s="20" t="n">
        <v>0.7</v>
      </c>
      <c r="U132" s="22" t="n">
        <v>-80.3</v>
      </c>
      <c r="V132" s="23" t="n">
        <f aca="false">IF(ISNUMBER(C132),YEAR(C132),"")</f>
        <v>2014</v>
      </c>
      <c r="W132" s="23" t="n">
        <f aca="false">IF(ISNUMBER(C132),MONTH(C132),"")</f>
        <v>10</v>
      </c>
      <c r="X132" s="23" t="str">
        <f aca="false">IF(T132="","",IF(T132=0,"No discount",IF(T132&lt;=0.2,"Low (1-20%)",IF(T132&lt;=0.4,"Medium (21-40%)","High (&gt;40%)"))))</f>
        <v>High (&gt;40%)</v>
      </c>
      <c r="Y132" s="23" t="n">
        <f aca="false">IF(AND(ISNUMBER(C132),ISNUMBER(D132)),D132-C132,"")</f>
        <v>1</v>
      </c>
      <c r="Z132" s="23" t="n">
        <f aca="false">IF(B132="","",IF(MATCH(B132,$B$2:$B$12000,0)=ROW()-1,1,0))</f>
        <v>1</v>
      </c>
    </row>
    <row r="133" customFormat="false" ht="15" hidden="false" customHeight="false" outlineLevel="0" collapsed="false">
      <c r="A133" s="20" t="n">
        <v>132</v>
      </c>
      <c r="B133" s="20" t="s">
        <v>534</v>
      </c>
      <c r="C133" s="21" t="n">
        <v>41933</v>
      </c>
      <c r="D133" s="21" t="n">
        <v>41934</v>
      </c>
      <c r="E133" s="20" t="s">
        <v>104</v>
      </c>
      <c r="F133" s="20" t="s">
        <v>160</v>
      </c>
      <c r="G133" s="20" t="s">
        <v>161</v>
      </c>
      <c r="H133" s="20" t="s">
        <v>162</v>
      </c>
      <c r="I133" s="20" t="s">
        <v>62</v>
      </c>
      <c r="J133" s="20" t="s">
        <v>63</v>
      </c>
      <c r="K133" s="20" t="s">
        <v>183</v>
      </c>
      <c r="L133" s="20" t="n">
        <v>66858</v>
      </c>
      <c r="M133" s="20" t="s">
        <v>112</v>
      </c>
      <c r="N133" s="20" t="s">
        <v>537</v>
      </c>
      <c r="O133" s="20" t="s">
        <v>67</v>
      </c>
      <c r="P133" s="20" t="s">
        <v>106</v>
      </c>
      <c r="Q133" s="20" t="s">
        <v>538</v>
      </c>
      <c r="R133" s="22" t="n">
        <v>1146.33</v>
      </c>
      <c r="S133" s="20" t="n">
        <v>4</v>
      </c>
      <c r="T133" s="20" t="n">
        <v>0</v>
      </c>
      <c r="U133" s="22" t="n">
        <v>124.61</v>
      </c>
      <c r="V133" s="23" t="n">
        <f aca="false">IF(ISNUMBER(C133),YEAR(C133),"")</f>
        <v>2014</v>
      </c>
      <c r="W133" s="23" t="n">
        <f aca="false">IF(ISNUMBER(C133),MONTH(C133),"")</f>
        <v>10</v>
      </c>
      <c r="X133" s="23" t="str">
        <f aca="false">IF(T133="","",IF(T133=0,"No discount",IF(T133&lt;=0.2,"Low (1-20%)",IF(T133&lt;=0.4,"Medium (21-40%)","High (&gt;40%)"))))</f>
        <v>No discount</v>
      </c>
      <c r="Y133" s="23" t="n">
        <f aca="false">IF(AND(ISNUMBER(C133),ISNUMBER(D133)),D133-C133,"")</f>
        <v>1</v>
      </c>
      <c r="Z133" s="23" t="n">
        <f aca="false">IF(B133="","",IF(MATCH(B133,$B$2:$B$12000,0)=ROW()-1,1,0))</f>
        <v>0</v>
      </c>
    </row>
    <row r="134" customFormat="false" ht="15" hidden="false" customHeight="false" outlineLevel="0" collapsed="false">
      <c r="A134" s="20" t="n">
        <v>133</v>
      </c>
      <c r="B134" s="20" t="s">
        <v>534</v>
      </c>
      <c r="C134" s="21" t="n">
        <v>41933</v>
      </c>
      <c r="D134" s="21" t="n">
        <v>41934</v>
      </c>
      <c r="E134" s="20" t="s">
        <v>58</v>
      </c>
      <c r="F134" s="20" t="s">
        <v>160</v>
      </c>
      <c r="G134" s="20" t="s">
        <v>161</v>
      </c>
      <c r="H134" s="20" t="s">
        <v>162</v>
      </c>
      <c r="I134" s="20" t="s">
        <v>62</v>
      </c>
      <c r="J134" s="20" t="s">
        <v>63</v>
      </c>
      <c r="K134" s="20" t="s">
        <v>183</v>
      </c>
      <c r="L134" s="20" t="n">
        <v>72569</v>
      </c>
      <c r="M134" s="20" t="s">
        <v>112</v>
      </c>
      <c r="N134" s="20" t="s">
        <v>539</v>
      </c>
      <c r="O134" s="20" t="s">
        <v>76</v>
      </c>
      <c r="P134" s="20" t="s">
        <v>101</v>
      </c>
      <c r="Q134" s="20" t="s">
        <v>540</v>
      </c>
      <c r="R134" s="22" t="n">
        <v>29.47</v>
      </c>
      <c r="S134" s="20" t="n">
        <v>7</v>
      </c>
      <c r="T134" s="20" t="n">
        <v>0.7</v>
      </c>
      <c r="U134" s="22" t="n">
        <v>0.67</v>
      </c>
      <c r="V134" s="23" t="n">
        <f aca="false">IF(ISNUMBER(C134),YEAR(C134),"")</f>
        <v>2014</v>
      </c>
      <c r="W134" s="23" t="n">
        <f aca="false">IF(ISNUMBER(C134),MONTH(C134),"")</f>
        <v>10</v>
      </c>
      <c r="X134" s="23" t="str">
        <f aca="false">IF(T134="","",IF(T134=0,"No discount",IF(T134&lt;=0.2,"Low (1-20%)",IF(T134&lt;=0.4,"Medium (21-40%)","High (&gt;40%)"))))</f>
        <v>High (&gt;40%)</v>
      </c>
      <c r="Y134" s="23" t="n">
        <f aca="false">IF(AND(ISNUMBER(C134),ISNUMBER(D134)),D134-C134,"")</f>
        <v>1</v>
      </c>
      <c r="Z134" s="23" t="n">
        <f aca="false">IF(B134="","",IF(MATCH(B134,$B$2:$B$12000,0)=ROW()-1,1,0))</f>
        <v>0</v>
      </c>
    </row>
    <row r="135" customFormat="false" ht="15" hidden="false" customHeight="false" outlineLevel="0" collapsed="false">
      <c r="A135" s="20" t="n">
        <v>134</v>
      </c>
      <c r="B135" s="20" t="s">
        <v>534</v>
      </c>
      <c r="C135" s="21" t="n">
        <v>41933</v>
      </c>
      <c r="D135" s="21" t="n">
        <v>41934</v>
      </c>
      <c r="E135" s="20" t="s">
        <v>90</v>
      </c>
      <c r="F135" s="20" t="s">
        <v>160</v>
      </c>
      <c r="G135" s="20" t="s">
        <v>161</v>
      </c>
      <c r="H135" s="20" t="s">
        <v>162</v>
      </c>
      <c r="I135" s="20" t="s">
        <v>62</v>
      </c>
      <c r="J135" s="20" t="s">
        <v>63</v>
      </c>
      <c r="K135" s="20" t="s">
        <v>183</v>
      </c>
      <c r="L135" s="20" t="n">
        <v>42732</v>
      </c>
      <c r="M135" s="20" t="s">
        <v>112</v>
      </c>
      <c r="N135" s="20" t="s">
        <v>541</v>
      </c>
      <c r="O135" s="20" t="s">
        <v>114</v>
      </c>
      <c r="P135" s="20" t="s">
        <v>210</v>
      </c>
      <c r="Q135" s="20" t="s">
        <v>542</v>
      </c>
      <c r="R135" s="22" t="n">
        <v>232.34</v>
      </c>
      <c r="S135" s="20" t="n">
        <v>5</v>
      </c>
      <c r="T135" s="20" t="n">
        <v>0</v>
      </c>
      <c r="U135" s="22" t="n">
        <v>25.47</v>
      </c>
      <c r="V135" s="23" t="n">
        <f aca="false">IF(ISNUMBER(C135),YEAR(C135),"")</f>
        <v>2014</v>
      </c>
      <c r="W135" s="23" t="n">
        <f aca="false">IF(ISNUMBER(C135),MONTH(C135),"")</f>
        <v>10</v>
      </c>
      <c r="X135" s="23" t="str">
        <f aca="false">IF(T135="","",IF(T135=0,"No discount",IF(T135&lt;=0.2,"Low (1-20%)",IF(T135&lt;=0.4,"Medium (21-40%)","High (&gt;40%)"))))</f>
        <v>No discount</v>
      </c>
      <c r="Y135" s="23" t="n">
        <f aca="false">IF(AND(ISNUMBER(C135),ISNUMBER(D135)),D135-C135,"")</f>
        <v>1</v>
      </c>
      <c r="Z135" s="23" t="n">
        <f aca="false">IF(B135="","",IF(MATCH(B135,$B$2:$B$12000,0)=ROW()-1,1,0))</f>
        <v>0</v>
      </c>
    </row>
    <row r="136" customFormat="false" ht="15" hidden="false" customHeight="false" outlineLevel="0" collapsed="false">
      <c r="A136" s="20" t="n">
        <v>135</v>
      </c>
      <c r="B136" s="20" t="s">
        <v>543</v>
      </c>
      <c r="C136" s="21" t="n">
        <v>41933</v>
      </c>
      <c r="D136" s="21" t="n">
        <v>41938</v>
      </c>
      <c r="E136" s="20" t="s">
        <v>90</v>
      </c>
      <c r="F136" s="20" t="s">
        <v>544</v>
      </c>
      <c r="G136" s="20" t="s">
        <v>545</v>
      </c>
      <c r="H136" s="20" t="s">
        <v>85</v>
      </c>
      <c r="I136" s="20" t="s">
        <v>62</v>
      </c>
      <c r="J136" s="20" t="s">
        <v>63</v>
      </c>
      <c r="K136" s="20" t="s">
        <v>422</v>
      </c>
      <c r="L136" s="20" t="n">
        <v>33894</v>
      </c>
      <c r="M136" s="20" t="s">
        <v>153</v>
      </c>
      <c r="N136" s="20" t="s">
        <v>546</v>
      </c>
      <c r="O136" s="20" t="s">
        <v>67</v>
      </c>
      <c r="P136" s="20" t="s">
        <v>68</v>
      </c>
      <c r="Q136" s="20" t="s">
        <v>389</v>
      </c>
      <c r="R136" s="22" t="n">
        <v>2628.37</v>
      </c>
      <c r="S136" s="20" t="n">
        <v>1</v>
      </c>
      <c r="T136" s="20" t="n">
        <v>0</v>
      </c>
      <c r="U136" s="22" t="n">
        <v>784.84</v>
      </c>
      <c r="V136" s="23" t="n">
        <f aca="false">IF(ISNUMBER(C136),YEAR(C136),"")</f>
        <v>2014</v>
      </c>
      <c r="W136" s="23" t="n">
        <f aca="false">IF(ISNUMBER(C136),MONTH(C136),"")</f>
        <v>10</v>
      </c>
      <c r="X136" s="23" t="str">
        <f aca="false">IF(T136="","",IF(T136=0,"No discount",IF(T136&lt;=0.2,"Low (1-20%)",IF(T136&lt;=0.4,"Medium (21-40%)","High (&gt;40%)"))))</f>
        <v>No discount</v>
      </c>
      <c r="Y136" s="23" t="n">
        <f aca="false">IF(AND(ISNUMBER(C136),ISNUMBER(D136)),D136-C136,"")</f>
        <v>5</v>
      </c>
      <c r="Z136" s="23" t="n">
        <f aca="false">IF(B136="","",IF(MATCH(B136,$B$2:$B$12000,0)=ROW()-1,1,0))</f>
        <v>1</v>
      </c>
    </row>
    <row r="137" customFormat="false" ht="15" hidden="false" customHeight="false" outlineLevel="0" collapsed="false">
      <c r="A137" s="20" t="n">
        <v>136</v>
      </c>
      <c r="B137" s="20" t="s">
        <v>547</v>
      </c>
      <c r="C137" s="21" t="n">
        <v>41939</v>
      </c>
      <c r="D137" s="21" t="n">
        <v>41945</v>
      </c>
      <c r="E137" s="20" t="s">
        <v>104</v>
      </c>
      <c r="F137" s="20" t="s">
        <v>548</v>
      </c>
      <c r="G137" s="20" t="s">
        <v>549</v>
      </c>
      <c r="H137" s="20" t="s">
        <v>85</v>
      </c>
      <c r="I137" s="20" t="s">
        <v>62</v>
      </c>
      <c r="J137" s="20" t="s">
        <v>63</v>
      </c>
      <c r="K137" s="20" t="s">
        <v>550</v>
      </c>
      <c r="L137" s="20" t="n">
        <v>29765</v>
      </c>
      <c r="M137" s="20" t="s">
        <v>97</v>
      </c>
      <c r="N137" s="20" t="s">
        <v>551</v>
      </c>
      <c r="O137" s="20" t="s">
        <v>114</v>
      </c>
      <c r="P137" s="20" t="s">
        <v>139</v>
      </c>
      <c r="Q137" s="20" t="s">
        <v>406</v>
      </c>
      <c r="R137" s="22" t="n">
        <v>630.07</v>
      </c>
      <c r="S137" s="20" t="n">
        <v>3</v>
      </c>
      <c r="T137" s="20" t="n">
        <v>0</v>
      </c>
      <c r="U137" s="22" t="n">
        <v>2.95</v>
      </c>
      <c r="V137" s="23" t="n">
        <f aca="false">IF(ISNUMBER(C137),YEAR(C137),"")</f>
        <v>2014</v>
      </c>
      <c r="W137" s="23" t="n">
        <f aca="false">IF(ISNUMBER(C137),MONTH(C137),"")</f>
        <v>10</v>
      </c>
      <c r="X137" s="23" t="str">
        <f aca="false">IF(T137="","",IF(T137=0,"No discount",IF(T137&lt;=0.2,"Low (1-20%)",IF(T137&lt;=0.4,"Medium (21-40%)","High (&gt;40%)"))))</f>
        <v>No discount</v>
      </c>
      <c r="Y137" s="23" t="n">
        <f aca="false">IF(AND(ISNUMBER(C137),ISNUMBER(D137)),D137-C137,"")</f>
        <v>6</v>
      </c>
      <c r="Z137" s="23" t="n">
        <f aca="false">IF(B137="","",IF(MATCH(B137,$B$2:$B$12000,0)=ROW()-1,1,0))</f>
        <v>1</v>
      </c>
    </row>
    <row r="138" customFormat="false" ht="15" hidden="false" customHeight="false" outlineLevel="0" collapsed="false">
      <c r="A138" s="20" t="n">
        <v>137</v>
      </c>
      <c r="B138" s="20" t="s">
        <v>552</v>
      </c>
      <c r="C138" s="21" t="n">
        <v>41947</v>
      </c>
      <c r="D138" s="21" t="n">
        <v>41954</v>
      </c>
      <c r="E138" s="20" t="s">
        <v>104</v>
      </c>
      <c r="F138" s="20" t="s">
        <v>213</v>
      </c>
      <c r="G138" s="20" t="s">
        <v>214</v>
      </c>
      <c r="H138" s="20" t="s">
        <v>162</v>
      </c>
      <c r="I138" s="20" t="s">
        <v>62</v>
      </c>
      <c r="J138" s="20" t="s">
        <v>63</v>
      </c>
      <c r="K138" s="20" t="s">
        <v>525</v>
      </c>
      <c r="L138" s="20" t="n">
        <v>14314</v>
      </c>
      <c r="M138" s="20" t="s">
        <v>97</v>
      </c>
      <c r="N138" s="20" t="s">
        <v>553</v>
      </c>
      <c r="O138" s="20" t="s">
        <v>114</v>
      </c>
      <c r="P138" s="20" t="s">
        <v>167</v>
      </c>
      <c r="Q138" s="20" t="s">
        <v>554</v>
      </c>
      <c r="R138" s="22" t="n">
        <v>700.28</v>
      </c>
      <c r="S138" s="20" t="n">
        <v>2</v>
      </c>
      <c r="T138" s="20" t="n">
        <v>0.2</v>
      </c>
      <c r="U138" s="22" t="n">
        <v>-91.6</v>
      </c>
      <c r="V138" s="23" t="n">
        <f aca="false">IF(ISNUMBER(C138),YEAR(C138),"")</f>
        <v>2014</v>
      </c>
      <c r="W138" s="23" t="n">
        <f aca="false">IF(ISNUMBER(C138),MONTH(C138),"")</f>
        <v>11</v>
      </c>
      <c r="X138" s="23" t="str">
        <f aca="false">IF(T138="","",IF(T138=0,"No discount",IF(T138&lt;=0.2,"Low (1-20%)",IF(T138&lt;=0.4,"Medium (21-40%)","High (&gt;40%)"))))</f>
        <v>Low (1-20%)</v>
      </c>
      <c r="Y138" s="23" t="n">
        <f aca="false">IF(AND(ISNUMBER(C138),ISNUMBER(D138)),D138-C138,"")</f>
        <v>7</v>
      </c>
      <c r="Z138" s="23" t="n">
        <f aca="false">IF(B138="","",IF(MATCH(B138,$B$2:$B$12000,0)=ROW()-1,1,0))</f>
        <v>1</v>
      </c>
    </row>
    <row r="139" customFormat="false" ht="15" hidden="false" customHeight="false" outlineLevel="0" collapsed="false">
      <c r="A139" s="20" t="n">
        <v>138</v>
      </c>
      <c r="B139" s="20" t="s">
        <v>555</v>
      </c>
      <c r="C139" s="21" t="n">
        <v>41948</v>
      </c>
      <c r="D139" s="21" t="n">
        <v>41954</v>
      </c>
      <c r="E139" s="20" t="s">
        <v>71</v>
      </c>
      <c r="F139" s="20" t="s">
        <v>463</v>
      </c>
      <c r="G139" s="20" t="s">
        <v>464</v>
      </c>
      <c r="H139" s="20" t="s">
        <v>162</v>
      </c>
      <c r="I139" s="20" t="s">
        <v>62</v>
      </c>
      <c r="J139" s="20" t="s">
        <v>63</v>
      </c>
      <c r="K139" s="20" t="s">
        <v>556</v>
      </c>
      <c r="L139" s="20" t="n">
        <v>12612</v>
      </c>
      <c r="M139" s="20" t="s">
        <v>65</v>
      </c>
      <c r="N139" s="20" t="s">
        <v>557</v>
      </c>
      <c r="O139" s="20" t="s">
        <v>114</v>
      </c>
      <c r="P139" s="20" t="s">
        <v>115</v>
      </c>
      <c r="Q139" s="20" t="s">
        <v>558</v>
      </c>
      <c r="R139" s="22" t="n">
        <v>716.6</v>
      </c>
      <c r="S139" s="20" t="n">
        <v>4</v>
      </c>
      <c r="T139" s="20" t="n">
        <v>0.5</v>
      </c>
      <c r="U139" s="22" t="n">
        <v>-171.19</v>
      </c>
      <c r="V139" s="23" t="n">
        <f aca="false">IF(ISNUMBER(C139),YEAR(C139),"")</f>
        <v>2014</v>
      </c>
      <c r="W139" s="23" t="n">
        <f aca="false">IF(ISNUMBER(C139),MONTH(C139),"")</f>
        <v>11</v>
      </c>
      <c r="X139" s="23" t="str">
        <f aca="false">IF(T139="","",IF(T139=0,"No discount",IF(T139&lt;=0.2,"Low (1-20%)",IF(T139&lt;=0.4,"Medium (21-40%)","High (&gt;40%)"))))</f>
        <v>High (&gt;40%)</v>
      </c>
      <c r="Y139" s="23" t="n">
        <f aca="false">IF(AND(ISNUMBER(C139),ISNUMBER(D139)),D139-C139,"")</f>
        <v>6</v>
      </c>
      <c r="Z139" s="23" t="n">
        <f aca="false">IF(B139="","",IF(MATCH(B139,$B$2:$B$12000,0)=ROW()-1,1,0))</f>
        <v>1</v>
      </c>
    </row>
    <row r="140" customFormat="false" ht="15" hidden="false" customHeight="false" outlineLevel="0" collapsed="false">
      <c r="A140" s="20" t="n">
        <v>139</v>
      </c>
      <c r="B140" s="20" t="s">
        <v>559</v>
      </c>
      <c r="C140" s="21" t="n">
        <v>41949</v>
      </c>
      <c r="D140" s="21" t="n">
        <v>41950</v>
      </c>
      <c r="E140" s="20" t="s">
        <v>71</v>
      </c>
      <c r="F140" s="20" t="s">
        <v>560</v>
      </c>
      <c r="G140" s="20" t="s">
        <v>561</v>
      </c>
      <c r="H140" s="20" t="s">
        <v>85</v>
      </c>
      <c r="I140" s="20" t="s">
        <v>62</v>
      </c>
      <c r="J140" s="20" t="s">
        <v>63</v>
      </c>
      <c r="K140" s="20" t="s">
        <v>96</v>
      </c>
      <c r="L140" s="20" t="n">
        <v>79459</v>
      </c>
      <c r="M140" s="20" t="s">
        <v>97</v>
      </c>
      <c r="N140" s="20" t="s">
        <v>562</v>
      </c>
      <c r="O140" s="20" t="s">
        <v>67</v>
      </c>
      <c r="P140" s="20" t="s">
        <v>68</v>
      </c>
      <c r="Q140" s="20" t="s">
        <v>563</v>
      </c>
      <c r="R140" s="22" t="n">
        <v>6632.17</v>
      </c>
      <c r="S140" s="20" t="n">
        <v>7</v>
      </c>
      <c r="T140" s="20" t="n">
        <v>0</v>
      </c>
      <c r="U140" s="22" t="n">
        <v>1915.55</v>
      </c>
      <c r="V140" s="23" t="n">
        <f aca="false">IF(ISNUMBER(C140),YEAR(C140),"")</f>
        <v>2014</v>
      </c>
      <c r="W140" s="23" t="n">
        <f aca="false">IF(ISNUMBER(C140),MONTH(C140),"")</f>
        <v>11</v>
      </c>
      <c r="X140" s="23" t="str">
        <f aca="false">IF(T140="","",IF(T140=0,"No discount",IF(T140&lt;=0.2,"Low (1-20%)",IF(T140&lt;=0.4,"Medium (21-40%)","High (&gt;40%)"))))</f>
        <v>No discount</v>
      </c>
      <c r="Y140" s="23" t="n">
        <f aca="false">IF(AND(ISNUMBER(C140),ISNUMBER(D140)),D140-C140,"")</f>
        <v>1</v>
      </c>
      <c r="Z140" s="23" t="n">
        <f aca="false">IF(B140="","",IF(MATCH(B140,$B$2:$B$12000,0)=ROW()-1,1,0))</f>
        <v>1</v>
      </c>
    </row>
    <row r="141" customFormat="false" ht="15" hidden="false" customHeight="false" outlineLevel="0" collapsed="false">
      <c r="A141" s="20" t="n">
        <v>140</v>
      </c>
      <c r="B141" s="20" t="s">
        <v>564</v>
      </c>
      <c r="C141" s="21" t="n">
        <v>41949</v>
      </c>
      <c r="D141" s="21" t="n">
        <v>41952</v>
      </c>
      <c r="E141" s="20" t="s">
        <v>71</v>
      </c>
      <c r="F141" s="20" t="s">
        <v>109</v>
      </c>
      <c r="G141" s="20" t="s">
        <v>110</v>
      </c>
      <c r="H141" s="20" t="s">
        <v>85</v>
      </c>
      <c r="I141" s="20" t="s">
        <v>62</v>
      </c>
      <c r="J141" s="20" t="s">
        <v>63</v>
      </c>
      <c r="K141" s="20" t="s">
        <v>565</v>
      </c>
      <c r="L141" s="20" t="n">
        <v>44687</v>
      </c>
      <c r="M141" s="20" t="s">
        <v>112</v>
      </c>
      <c r="N141" s="20" t="s">
        <v>566</v>
      </c>
      <c r="O141" s="20" t="s">
        <v>67</v>
      </c>
      <c r="P141" s="20" t="s">
        <v>68</v>
      </c>
      <c r="Q141" s="20" t="s">
        <v>567</v>
      </c>
      <c r="R141" s="22" t="n">
        <v>4066.12</v>
      </c>
      <c r="S141" s="20" t="n">
        <v>2</v>
      </c>
      <c r="T141" s="20" t="n">
        <v>0.1</v>
      </c>
      <c r="U141" s="22" t="n">
        <v>870.18</v>
      </c>
      <c r="V141" s="23" t="n">
        <f aca="false">IF(ISNUMBER(C141),YEAR(C141),"")</f>
        <v>2014</v>
      </c>
      <c r="W141" s="23" t="n">
        <f aca="false">IF(ISNUMBER(C141),MONTH(C141),"")</f>
        <v>11</v>
      </c>
      <c r="X141" s="23" t="str">
        <f aca="false">IF(T141="","",IF(T141=0,"No discount",IF(T141&lt;=0.2,"Low (1-20%)",IF(T141&lt;=0.4,"Medium (21-40%)","High (&gt;40%)"))))</f>
        <v>Low (1-20%)</v>
      </c>
      <c r="Y141" s="23" t="n">
        <f aca="false">IF(AND(ISNUMBER(C141),ISNUMBER(D141)),D141-C141,"")</f>
        <v>3</v>
      </c>
      <c r="Z141" s="23" t="n">
        <f aca="false">IF(B141="","",IF(MATCH(B141,$B$2:$B$12000,0)=ROW()-1,1,0))</f>
        <v>1</v>
      </c>
    </row>
    <row r="142" customFormat="false" ht="15" hidden="false" customHeight="false" outlineLevel="0" collapsed="false">
      <c r="A142" s="20" t="n">
        <v>141</v>
      </c>
      <c r="B142" s="20" t="s">
        <v>568</v>
      </c>
      <c r="C142" s="21" t="n">
        <v>41954</v>
      </c>
      <c r="D142" s="21" t="n">
        <v>41959</v>
      </c>
      <c r="E142" s="20" t="s">
        <v>104</v>
      </c>
      <c r="F142" s="20" t="s">
        <v>194</v>
      </c>
      <c r="G142" s="20" t="s">
        <v>195</v>
      </c>
      <c r="H142" s="20" t="s">
        <v>85</v>
      </c>
      <c r="I142" s="20" t="s">
        <v>62</v>
      </c>
      <c r="J142" s="20" t="s">
        <v>63</v>
      </c>
      <c r="K142" s="20" t="s">
        <v>569</v>
      </c>
      <c r="L142" s="20" t="n">
        <v>81933</v>
      </c>
      <c r="M142" s="20" t="s">
        <v>153</v>
      </c>
      <c r="N142" s="20" t="s">
        <v>570</v>
      </c>
      <c r="O142" s="20" t="s">
        <v>114</v>
      </c>
      <c r="P142" s="20" t="s">
        <v>210</v>
      </c>
      <c r="Q142" s="20" t="s">
        <v>571</v>
      </c>
      <c r="R142" s="22" t="n">
        <v>229.14</v>
      </c>
      <c r="S142" s="20" t="n">
        <v>5</v>
      </c>
      <c r="T142" s="20" t="n">
        <v>0</v>
      </c>
      <c r="U142" s="22" t="n">
        <v>46.55</v>
      </c>
      <c r="V142" s="23" t="n">
        <f aca="false">IF(ISNUMBER(C142),YEAR(C142),"")</f>
        <v>2014</v>
      </c>
      <c r="W142" s="23" t="n">
        <f aca="false">IF(ISNUMBER(C142),MONTH(C142),"")</f>
        <v>11</v>
      </c>
      <c r="X142" s="23" t="str">
        <f aca="false">IF(T142="","",IF(T142=0,"No discount",IF(T142&lt;=0.2,"Low (1-20%)",IF(T142&lt;=0.4,"Medium (21-40%)","High (&gt;40%)"))))</f>
        <v>No discount</v>
      </c>
      <c r="Y142" s="23" t="n">
        <f aca="false">IF(AND(ISNUMBER(C142),ISNUMBER(D142)),D142-C142,"")</f>
        <v>5</v>
      </c>
      <c r="Z142" s="23" t="n">
        <f aca="false">IF(B142="","",IF(MATCH(B142,$B$2:$B$12000,0)=ROW()-1,1,0))</f>
        <v>1</v>
      </c>
    </row>
    <row r="143" customFormat="false" ht="15" hidden="false" customHeight="false" outlineLevel="0" collapsed="false">
      <c r="A143" s="20" t="n">
        <v>142</v>
      </c>
      <c r="B143" s="20" t="s">
        <v>568</v>
      </c>
      <c r="C143" s="21" t="n">
        <v>41954</v>
      </c>
      <c r="D143" s="21" t="n">
        <v>41959</v>
      </c>
      <c r="E143" s="20" t="s">
        <v>90</v>
      </c>
      <c r="F143" s="20" t="s">
        <v>194</v>
      </c>
      <c r="G143" s="20" t="s">
        <v>195</v>
      </c>
      <c r="H143" s="20" t="s">
        <v>85</v>
      </c>
      <c r="I143" s="20" t="s">
        <v>62</v>
      </c>
      <c r="J143" s="20" t="s">
        <v>63</v>
      </c>
      <c r="K143" s="20" t="s">
        <v>569</v>
      </c>
      <c r="L143" s="20" t="n">
        <v>60197</v>
      </c>
      <c r="M143" s="20" t="s">
        <v>153</v>
      </c>
      <c r="N143" s="20" t="s">
        <v>572</v>
      </c>
      <c r="O143" s="20" t="s">
        <v>76</v>
      </c>
      <c r="P143" s="20" t="s">
        <v>185</v>
      </c>
      <c r="Q143" s="20" t="s">
        <v>573</v>
      </c>
      <c r="R143" s="22" t="n">
        <v>56.01</v>
      </c>
      <c r="S143" s="20" t="n">
        <v>7</v>
      </c>
      <c r="T143" s="20" t="n">
        <v>0.2</v>
      </c>
      <c r="U143" s="22" t="n">
        <v>10.87</v>
      </c>
      <c r="V143" s="23" t="n">
        <f aca="false">IF(ISNUMBER(C143),YEAR(C143),"")</f>
        <v>2014</v>
      </c>
      <c r="W143" s="23" t="n">
        <f aca="false">IF(ISNUMBER(C143),MONTH(C143),"")</f>
        <v>11</v>
      </c>
      <c r="X143" s="23" t="str">
        <f aca="false">IF(T143="","",IF(T143=0,"No discount",IF(T143&lt;=0.2,"Low (1-20%)",IF(T143&lt;=0.4,"Medium (21-40%)","High (&gt;40%)"))))</f>
        <v>Low (1-20%)</v>
      </c>
      <c r="Y143" s="23" t="n">
        <f aca="false">IF(AND(ISNUMBER(C143),ISNUMBER(D143)),D143-C143,"")</f>
        <v>5</v>
      </c>
      <c r="Z143" s="23" t="n">
        <f aca="false">IF(B143="","",IF(MATCH(B143,$B$2:$B$12000,0)=ROW()-1,1,0))</f>
        <v>0</v>
      </c>
    </row>
    <row r="144" customFormat="false" ht="15" hidden="false" customHeight="false" outlineLevel="0" collapsed="false">
      <c r="A144" s="20" t="n">
        <v>143</v>
      </c>
      <c r="B144" s="20" t="s">
        <v>568</v>
      </c>
      <c r="C144" s="21" t="n">
        <v>41954</v>
      </c>
      <c r="D144" s="21" t="n">
        <v>41959</v>
      </c>
      <c r="E144" s="20" t="s">
        <v>104</v>
      </c>
      <c r="F144" s="20" t="s">
        <v>194</v>
      </c>
      <c r="G144" s="20" t="s">
        <v>195</v>
      </c>
      <c r="H144" s="20" t="s">
        <v>85</v>
      </c>
      <c r="I144" s="20" t="s">
        <v>62</v>
      </c>
      <c r="J144" s="20" t="s">
        <v>63</v>
      </c>
      <c r="K144" s="20" t="s">
        <v>569</v>
      </c>
      <c r="L144" s="20" t="n">
        <v>90072</v>
      </c>
      <c r="M144" s="20" t="s">
        <v>153</v>
      </c>
      <c r="N144" s="20" t="s">
        <v>574</v>
      </c>
      <c r="O144" s="20" t="s">
        <v>76</v>
      </c>
      <c r="P144" s="20" t="s">
        <v>236</v>
      </c>
      <c r="Q144" s="20" t="s">
        <v>499</v>
      </c>
      <c r="R144" s="22" t="n">
        <v>4.85</v>
      </c>
      <c r="S144" s="20" t="n">
        <v>3</v>
      </c>
      <c r="T144" s="20" t="n">
        <v>0.7</v>
      </c>
      <c r="U144" s="22" t="n">
        <v>-0.63</v>
      </c>
      <c r="V144" s="23" t="n">
        <f aca="false">IF(ISNUMBER(C144),YEAR(C144),"")</f>
        <v>2014</v>
      </c>
      <c r="W144" s="23" t="n">
        <f aca="false">IF(ISNUMBER(C144),MONTH(C144),"")</f>
        <v>11</v>
      </c>
      <c r="X144" s="23" t="str">
        <f aca="false">IF(T144="","",IF(T144=0,"No discount",IF(T144&lt;=0.2,"Low (1-20%)",IF(T144&lt;=0.4,"Medium (21-40%)","High (&gt;40%)"))))</f>
        <v>High (&gt;40%)</v>
      </c>
      <c r="Y144" s="23" t="n">
        <f aca="false">IF(AND(ISNUMBER(C144),ISNUMBER(D144)),D144-C144,"")</f>
        <v>5</v>
      </c>
      <c r="Z144" s="23" t="n">
        <f aca="false">IF(B144="","",IF(MATCH(B144,$B$2:$B$12000,0)=ROW()-1,1,0))</f>
        <v>0</v>
      </c>
    </row>
    <row r="145" customFormat="false" ht="15" hidden="false" customHeight="false" outlineLevel="0" collapsed="false">
      <c r="A145" s="20" t="n">
        <v>144</v>
      </c>
      <c r="B145" s="20" t="s">
        <v>575</v>
      </c>
      <c r="C145" s="21" t="n">
        <v>41954</v>
      </c>
      <c r="D145" s="21" t="n">
        <v>41960</v>
      </c>
      <c r="E145" s="20" t="s">
        <v>104</v>
      </c>
      <c r="F145" s="20" t="s">
        <v>294</v>
      </c>
      <c r="G145" s="20" t="s">
        <v>295</v>
      </c>
      <c r="H145" s="20" t="s">
        <v>61</v>
      </c>
      <c r="I145" s="20" t="s">
        <v>62</v>
      </c>
      <c r="J145" s="20" t="s">
        <v>63</v>
      </c>
      <c r="K145" s="20" t="s">
        <v>569</v>
      </c>
      <c r="L145" s="20" t="n">
        <v>99764</v>
      </c>
      <c r="M145" s="20" t="s">
        <v>153</v>
      </c>
      <c r="N145" s="20" t="s">
        <v>576</v>
      </c>
      <c r="O145" s="20" t="s">
        <v>114</v>
      </c>
      <c r="P145" s="20" t="s">
        <v>139</v>
      </c>
      <c r="Q145" s="20" t="s">
        <v>371</v>
      </c>
      <c r="R145" s="22" t="n">
        <v>369.91</v>
      </c>
      <c r="S145" s="20" t="n">
        <v>1</v>
      </c>
      <c r="T145" s="20" t="n">
        <v>0.2</v>
      </c>
      <c r="U145" s="22" t="n">
        <v>-63.47</v>
      </c>
      <c r="V145" s="23" t="n">
        <f aca="false">IF(ISNUMBER(C145),YEAR(C145),"")</f>
        <v>2014</v>
      </c>
      <c r="W145" s="23" t="n">
        <f aca="false">IF(ISNUMBER(C145),MONTH(C145),"")</f>
        <v>11</v>
      </c>
      <c r="X145" s="23" t="str">
        <f aca="false">IF(T145="","",IF(T145=0,"No discount",IF(T145&lt;=0.2,"Low (1-20%)",IF(T145&lt;=0.4,"Medium (21-40%)","High (&gt;40%)"))))</f>
        <v>Low (1-20%)</v>
      </c>
      <c r="Y145" s="23" t="n">
        <f aca="false">IF(AND(ISNUMBER(C145),ISNUMBER(D145)),D145-C145,"")</f>
        <v>6</v>
      </c>
      <c r="Z145" s="23" t="n">
        <f aca="false">IF(B145="","",IF(MATCH(B145,$B$2:$B$12000,0)=ROW()-1,1,0))</f>
        <v>1</v>
      </c>
    </row>
    <row r="146" customFormat="false" ht="15" hidden="false" customHeight="false" outlineLevel="0" collapsed="false">
      <c r="A146" s="20" t="n">
        <v>145</v>
      </c>
      <c r="B146" s="20" t="s">
        <v>575</v>
      </c>
      <c r="C146" s="21" t="n">
        <v>41954</v>
      </c>
      <c r="D146" s="21" t="n">
        <v>41960</v>
      </c>
      <c r="E146" s="20" t="s">
        <v>90</v>
      </c>
      <c r="F146" s="20" t="s">
        <v>294</v>
      </c>
      <c r="G146" s="20" t="s">
        <v>295</v>
      </c>
      <c r="H146" s="20" t="s">
        <v>61</v>
      </c>
      <c r="I146" s="20" t="s">
        <v>62</v>
      </c>
      <c r="J146" s="20" t="s">
        <v>63</v>
      </c>
      <c r="K146" s="20" t="s">
        <v>569</v>
      </c>
      <c r="L146" s="20" t="n">
        <v>40727</v>
      </c>
      <c r="M146" s="20" t="s">
        <v>153</v>
      </c>
      <c r="N146" s="20" t="s">
        <v>577</v>
      </c>
      <c r="O146" s="20" t="s">
        <v>76</v>
      </c>
      <c r="P146" s="20" t="s">
        <v>128</v>
      </c>
      <c r="Q146" s="20" t="s">
        <v>578</v>
      </c>
      <c r="R146" s="22" t="n">
        <v>159.37</v>
      </c>
      <c r="S146" s="20" t="n">
        <v>1</v>
      </c>
      <c r="T146" s="20" t="n">
        <v>0.3</v>
      </c>
      <c r="U146" s="22" t="n">
        <v>-6.99</v>
      </c>
      <c r="V146" s="23" t="n">
        <f aca="false">IF(ISNUMBER(C146),YEAR(C146),"")</f>
        <v>2014</v>
      </c>
      <c r="W146" s="23" t="n">
        <f aca="false">IF(ISNUMBER(C146),MONTH(C146),"")</f>
        <v>11</v>
      </c>
      <c r="X146" s="23" t="str">
        <f aca="false">IF(T146="","",IF(T146=0,"No discount",IF(T146&lt;=0.2,"Low (1-20%)",IF(T146&lt;=0.4,"Medium (21-40%)","High (&gt;40%)"))))</f>
        <v>Medium (21-40%)</v>
      </c>
      <c r="Y146" s="23" t="n">
        <f aca="false">IF(AND(ISNUMBER(C146),ISNUMBER(D146)),D146-C146,"")</f>
        <v>6</v>
      </c>
      <c r="Z146" s="23" t="n">
        <f aca="false">IF(B146="","",IF(MATCH(B146,$B$2:$B$12000,0)=ROW()-1,1,0))</f>
        <v>0</v>
      </c>
    </row>
    <row r="147" customFormat="false" ht="15" hidden="false" customHeight="false" outlineLevel="0" collapsed="false">
      <c r="A147" s="20" t="n">
        <v>146</v>
      </c>
      <c r="B147" s="20" t="s">
        <v>575</v>
      </c>
      <c r="C147" s="21" t="n">
        <v>41954</v>
      </c>
      <c r="D147" s="21" t="n">
        <v>41960</v>
      </c>
      <c r="E147" s="20" t="s">
        <v>104</v>
      </c>
      <c r="F147" s="20" t="s">
        <v>294</v>
      </c>
      <c r="G147" s="20" t="s">
        <v>295</v>
      </c>
      <c r="H147" s="20" t="s">
        <v>61</v>
      </c>
      <c r="I147" s="20" t="s">
        <v>62</v>
      </c>
      <c r="J147" s="20" t="s">
        <v>63</v>
      </c>
      <c r="K147" s="20" t="s">
        <v>569</v>
      </c>
      <c r="L147" s="20" t="n">
        <v>19436</v>
      </c>
      <c r="M147" s="20" t="s">
        <v>153</v>
      </c>
      <c r="N147" s="20" t="s">
        <v>579</v>
      </c>
      <c r="O147" s="20" t="s">
        <v>76</v>
      </c>
      <c r="P147" s="20" t="s">
        <v>236</v>
      </c>
      <c r="Q147" s="20" t="s">
        <v>580</v>
      </c>
      <c r="R147" s="22" t="n">
        <v>136.18</v>
      </c>
      <c r="S147" s="20" t="n">
        <v>5</v>
      </c>
      <c r="T147" s="20" t="n">
        <v>0.5</v>
      </c>
      <c r="U147" s="22" t="n">
        <v>4.42</v>
      </c>
      <c r="V147" s="23" t="n">
        <f aca="false">IF(ISNUMBER(C147),YEAR(C147),"")</f>
        <v>2014</v>
      </c>
      <c r="W147" s="23" t="n">
        <f aca="false">IF(ISNUMBER(C147),MONTH(C147),"")</f>
        <v>11</v>
      </c>
      <c r="X147" s="23" t="str">
        <f aca="false">IF(T147="","",IF(T147=0,"No discount",IF(T147&lt;=0.2,"Low (1-20%)",IF(T147&lt;=0.4,"Medium (21-40%)","High (&gt;40%)"))))</f>
        <v>High (&gt;40%)</v>
      </c>
      <c r="Y147" s="23" t="n">
        <f aca="false">IF(AND(ISNUMBER(C147),ISNUMBER(D147)),D147-C147,"")</f>
        <v>6</v>
      </c>
      <c r="Z147" s="23" t="n">
        <f aca="false">IF(B147="","",IF(MATCH(B147,$B$2:$B$12000,0)=ROW()-1,1,0))</f>
        <v>0</v>
      </c>
    </row>
    <row r="148" customFormat="false" ht="15" hidden="false" customHeight="false" outlineLevel="0" collapsed="false">
      <c r="A148" s="20" t="n">
        <v>147</v>
      </c>
      <c r="B148" s="20" t="s">
        <v>581</v>
      </c>
      <c r="C148" s="21" t="n">
        <v>41958</v>
      </c>
      <c r="D148" s="21" t="n">
        <v>41965</v>
      </c>
      <c r="E148" s="20" t="s">
        <v>71</v>
      </c>
      <c r="F148" s="20" t="s">
        <v>582</v>
      </c>
      <c r="G148" s="20" t="s">
        <v>583</v>
      </c>
      <c r="H148" s="20" t="s">
        <v>61</v>
      </c>
      <c r="I148" s="20" t="s">
        <v>62</v>
      </c>
      <c r="J148" s="20" t="s">
        <v>63</v>
      </c>
      <c r="K148" s="20" t="s">
        <v>422</v>
      </c>
      <c r="L148" s="20" t="n">
        <v>79304</v>
      </c>
      <c r="M148" s="20" t="s">
        <v>153</v>
      </c>
      <c r="N148" s="20" t="s">
        <v>584</v>
      </c>
      <c r="O148" s="20" t="s">
        <v>76</v>
      </c>
      <c r="P148" s="20" t="s">
        <v>128</v>
      </c>
      <c r="Q148" s="20" t="s">
        <v>585</v>
      </c>
      <c r="R148" s="22" t="n">
        <v>658.82</v>
      </c>
      <c r="S148" s="20" t="n">
        <v>6</v>
      </c>
      <c r="T148" s="20" t="n">
        <v>0.4</v>
      </c>
      <c r="U148" s="22" t="n">
        <v>-206.95</v>
      </c>
      <c r="V148" s="23" t="n">
        <f aca="false">IF(ISNUMBER(C148),YEAR(C148),"")</f>
        <v>2014</v>
      </c>
      <c r="W148" s="23" t="n">
        <f aca="false">IF(ISNUMBER(C148),MONTH(C148),"")</f>
        <v>11</v>
      </c>
      <c r="X148" s="23" t="str">
        <f aca="false">IF(T148="","",IF(T148=0,"No discount",IF(T148&lt;=0.2,"Low (1-20%)",IF(T148&lt;=0.4,"Medium (21-40%)","High (&gt;40%)"))))</f>
        <v>Medium (21-40%)</v>
      </c>
      <c r="Y148" s="23" t="n">
        <f aca="false">IF(AND(ISNUMBER(C148),ISNUMBER(D148)),D148-C148,"")</f>
        <v>7</v>
      </c>
      <c r="Z148" s="23" t="n">
        <f aca="false">IF(B148="","",IF(MATCH(B148,$B$2:$B$12000,0)=ROW()-1,1,0))</f>
        <v>1</v>
      </c>
    </row>
    <row r="149" customFormat="false" ht="15" hidden="false" customHeight="false" outlineLevel="0" collapsed="false">
      <c r="A149" s="20" t="n">
        <v>148</v>
      </c>
      <c r="B149" s="20" t="s">
        <v>581</v>
      </c>
      <c r="C149" s="21" t="n">
        <v>41958</v>
      </c>
      <c r="D149" s="21" t="n">
        <v>41965</v>
      </c>
      <c r="E149" s="20" t="s">
        <v>58</v>
      </c>
      <c r="F149" s="20" t="s">
        <v>582</v>
      </c>
      <c r="G149" s="20" t="s">
        <v>583</v>
      </c>
      <c r="H149" s="20" t="s">
        <v>61</v>
      </c>
      <c r="I149" s="20" t="s">
        <v>62</v>
      </c>
      <c r="J149" s="20" t="s">
        <v>63</v>
      </c>
      <c r="K149" s="20" t="s">
        <v>422</v>
      </c>
      <c r="L149" s="20" t="n">
        <v>96745</v>
      </c>
      <c r="M149" s="20" t="s">
        <v>153</v>
      </c>
      <c r="N149" s="20" t="s">
        <v>586</v>
      </c>
      <c r="O149" s="20" t="s">
        <v>114</v>
      </c>
      <c r="P149" s="20" t="s">
        <v>115</v>
      </c>
      <c r="Q149" s="20" t="s">
        <v>587</v>
      </c>
      <c r="R149" s="22" t="n">
        <v>3025.26</v>
      </c>
      <c r="S149" s="20" t="n">
        <v>6</v>
      </c>
      <c r="T149" s="20" t="n">
        <v>0</v>
      </c>
      <c r="U149" s="22" t="n">
        <v>51.79</v>
      </c>
      <c r="V149" s="23" t="n">
        <f aca="false">IF(ISNUMBER(C149),YEAR(C149),"")</f>
        <v>2014</v>
      </c>
      <c r="W149" s="23" t="n">
        <f aca="false">IF(ISNUMBER(C149),MONTH(C149),"")</f>
        <v>11</v>
      </c>
      <c r="X149" s="23" t="str">
        <f aca="false">IF(T149="","",IF(T149=0,"No discount",IF(T149&lt;=0.2,"Low (1-20%)",IF(T149&lt;=0.4,"Medium (21-40%)","High (&gt;40%)"))))</f>
        <v>No discount</v>
      </c>
      <c r="Y149" s="23" t="n">
        <f aca="false">IF(AND(ISNUMBER(C149),ISNUMBER(D149)),D149-C149,"")</f>
        <v>7</v>
      </c>
      <c r="Z149" s="23" t="n">
        <f aca="false">IF(B149="","",IF(MATCH(B149,$B$2:$B$12000,0)=ROW()-1,1,0))</f>
        <v>0</v>
      </c>
    </row>
    <row r="150" customFormat="false" ht="15" hidden="false" customHeight="false" outlineLevel="0" collapsed="false">
      <c r="A150" s="20" t="n">
        <v>149</v>
      </c>
      <c r="B150" s="20" t="s">
        <v>588</v>
      </c>
      <c r="C150" s="21" t="n">
        <v>41959</v>
      </c>
      <c r="D150" s="21" t="n">
        <v>41966</v>
      </c>
      <c r="E150" s="20" t="s">
        <v>58</v>
      </c>
      <c r="F150" s="20" t="s">
        <v>239</v>
      </c>
      <c r="G150" s="20" t="s">
        <v>240</v>
      </c>
      <c r="H150" s="20" t="s">
        <v>61</v>
      </c>
      <c r="I150" s="20" t="s">
        <v>62</v>
      </c>
      <c r="J150" s="20" t="s">
        <v>63</v>
      </c>
      <c r="K150" s="20" t="s">
        <v>508</v>
      </c>
      <c r="L150" s="20" t="n">
        <v>42962</v>
      </c>
      <c r="M150" s="20" t="s">
        <v>153</v>
      </c>
      <c r="N150" s="20" t="s">
        <v>589</v>
      </c>
      <c r="O150" s="20" t="s">
        <v>67</v>
      </c>
      <c r="P150" s="20" t="s">
        <v>164</v>
      </c>
      <c r="Q150" s="20" t="s">
        <v>590</v>
      </c>
      <c r="R150" s="22" t="n">
        <v>7177.84</v>
      </c>
      <c r="S150" s="20" t="n">
        <v>7</v>
      </c>
      <c r="T150" s="20" t="n">
        <v>0.2</v>
      </c>
      <c r="U150" s="22" t="n">
        <v>-426.48</v>
      </c>
      <c r="V150" s="23" t="n">
        <f aca="false">IF(ISNUMBER(C150),YEAR(C150),"")</f>
        <v>2014</v>
      </c>
      <c r="W150" s="23" t="n">
        <f aca="false">IF(ISNUMBER(C150),MONTH(C150),"")</f>
        <v>11</v>
      </c>
      <c r="X150" s="23" t="str">
        <f aca="false">IF(T150="","",IF(T150=0,"No discount",IF(T150&lt;=0.2,"Low (1-20%)",IF(T150&lt;=0.4,"Medium (21-40%)","High (&gt;40%)"))))</f>
        <v>Low (1-20%)</v>
      </c>
      <c r="Y150" s="23" t="n">
        <f aca="false">IF(AND(ISNUMBER(C150),ISNUMBER(D150)),D150-C150,"")</f>
        <v>7</v>
      </c>
      <c r="Z150" s="23" t="n">
        <f aca="false">IF(B150="","",IF(MATCH(B150,$B$2:$B$12000,0)=ROW()-1,1,0))</f>
        <v>1</v>
      </c>
    </row>
    <row r="151" customFormat="false" ht="15" hidden="false" customHeight="false" outlineLevel="0" collapsed="false">
      <c r="A151" s="20" t="n">
        <v>150</v>
      </c>
      <c r="B151" s="20" t="s">
        <v>588</v>
      </c>
      <c r="C151" s="21" t="n">
        <v>41959</v>
      </c>
      <c r="D151" s="21" t="n">
        <v>41966</v>
      </c>
      <c r="E151" s="20" t="s">
        <v>104</v>
      </c>
      <c r="F151" s="20" t="s">
        <v>239</v>
      </c>
      <c r="G151" s="20" t="s">
        <v>240</v>
      </c>
      <c r="H151" s="20" t="s">
        <v>61</v>
      </c>
      <c r="I151" s="20" t="s">
        <v>62</v>
      </c>
      <c r="J151" s="20" t="s">
        <v>63</v>
      </c>
      <c r="K151" s="20" t="s">
        <v>508</v>
      </c>
      <c r="L151" s="20" t="n">
        <v>61845</v>
      </c>
      <c r="M151" s="20" t="s">
        <v>153</v>
      </c>
      <c r="N151" s="20" t="s">
        <v>591</v>
      </c>
      <c r="O151" s="20" t="s">
        <v>76</v>
      </c>
      <c r="P151" s="20" t="s">
        <v>178</v>
      </c>
      <c r="Q151" s="20" t="s">
        <v>592</v>
      </c>
      <c r="R151" s="22" t="n">
        <v>475.39</v>
      </c>
      <c r="S151" s="20" t="n">
        <v>5</v>
      </c>
      <c r="T151" s="20" t="n">
        <v>0.3</v>
      </c>
      <c r="U151" s="22" t="n">
        <v>-96.66</v>
      </c>
      <c r="V151" s="23" t="n">
        <f aca="false">IF(ISNUMBER(C151),YEAR(C151),"")</f>
        <v>2014</v>
      </c>
      <c r="W151" s="23" t="n">
        <f aca="false">IF(ISNUMBER(C151),MONTH(C151),"")</f>
        <v>11</v>
      </c>
      <c r="X151" s="23" t="str">
        <f aca="false">IF(T151="","",IF(T151=0,"No discount",IF(T151&lt;=0.2,"Low (1-20%)",IF(T151&lt;=0.4,"Medium (21-40%)","High (&gt;40%)"))))</f>
        <v>Medium (21-40%)</v>
      </c>
      <c r="Y151" s="23" t="n">
        <f aca="false">IF(AND(ISNUMBER(C151),ISNUMBER(D151)),D151-C151,"")</f>
        <v>7</v>
      </c>
      <c r="Z151" s="23" t="n">
        <f aca="false">IF(B151="","",IF(MATCH(B151,$B$2:$B$12000,0)=ROW()-1,1,0))</f>
        <v>0</v>
      </c>
    </row>
    <row r="152" customFormat="false" ht="15" hidden="false" customHeight="false" outlineLevel="0" collapsed="false">
      <c r="A152" s="20" t="n">
        <v>151</v>
      </c>
      <c r="B152" s="20" t="s">
        <v>593</v>
      </c>
      <c r="C152" s="21" t="n">
        <v>41959</v>
      </c>
      <c r="D152" s="21" t="n">
        <v>41963</v>
      </c>
      <c r="E152" s="20" t="s">
        <v>58</v>
      </c>
      <c r="F152" s="20" t="s">
        <v>383</v>
      </c>
      <c r="G152" s="20" t="s">
        <v>384</v>
      </c>
      <c r="H152" s="20" t="s">
        <v>61</v>
      </c>
      <c r="I152" s="20" t="s">
        <v>62</v>
      </c>
      <c r="J152" s="20" t="s">
        <v>63</v>
      </c>
      <c r="K152" s="20" t="s">
        <v>96</v>
      </c>
      <c r="L152" s="20" t="n">
        <v>91624</v>
      </c>
      <c r="M152" s="20" t="s">
        <v>97</v>
      </c>
      <c r="N152" s="20" t="s">
        <v>594</v>
      </c>
      <c r="O152" s="20" t="s">
        <v>76</v>
      </c>
      <c r="P152" s="20" t="s">
        <v>80</v>
      </c>
      <c r="Q152" s="20" t="s">
        <v>595</v>
      </c>
      <c r="R152" s="22" t="n">
        <v>208.85</v>
      </c>
      <c r="S152" s="20" t="n">
        <v>3</v>
      </c>
      <c r="T152" s="20" t="n">
        <v>0</v>
      </c>
      <c r="U152" s="22" t="n">
        <v>54.17</v>
      </c>
      <c r="V152" s="23" t="n">
        <f aca="false">IF(ISNUMBER(C152),YEAR(C152),"")</f>
        <v>2014</v>
      </c>
      <c r="W152" s="23" t="n">
        <f aca="false">IF(ISNUMBER(C152),MONTH(C152),"")</f>
        <v>11</v>
      </c>
      <c r="X152" s="23" t="str">
        <f aca="false">IF(T152="","",IF(T152=0,"No discount",IF(T152&lt;=0.2,"Low (1-20%)",IF(T152&lt;=0.4,"Medium (21-40%)","High (&gt;40%)"))))</f>
        <v>No discount</v>
      </c>
      <c r="Y152" s="23" t="n">
        <f aca="false">IF(AND(ISNUMBER(C152),ISNUMBER(D152)),D152-C152,"")</f>
        <v>4</v>
      </c>
      <c r="Z152" s="23" t="n">
        <f aca="false">IF(B152="","",IF(MATCH(B152,$B$2:$B$12000,0)=ROW()-1,1,0))</f>
        <v>1</v>
      </c>
    </row>
    <row r="153" customFormat="false" ht="15" hidden="false" customHeight="false" outlineLevel="0" collapsed="false">
      <c r="A153" s="20" t="n">
        <v>152</v>
      </c>
      <c r="B153" s="20" t="s">
        <v>593</v>
      </c>
      <c r="C153" s="21" t="n">
        <v>41959</v>
      </c>
      <c r="D153" s="21" t="n">
        <v>41963</v>
      </c>
      <c r="E153" s="20" t="s">
        <v>71</v>
      </c>
      <c r="F153" s="20" t="s">
        <v>383</v>
      </c>
      <c r="G153" s="20" t="s">
        <v>384</v>
      </c>
      <c r="H153" s="20" t="s">
        <v>61</v>
      </c>
      <c r="I153" s="20" t="s">
        <v>62</v>
      </c>
      <c r="J153" s="20" t="s">
        <v>63</v>
      </c>
      <c r="K153" s="20" t="s">
        <v>96</v>
      </c>
      <c r="L153" s="20" t="n">
        <v>84783</v>
      </c>
      <c r="M153" s="20" t="s">
        <v>97</v>
      </c>
      <c r="N153" s="20" t="s">
        <v>596</v>
      </c>
      <c r="O153" s="20" t="s">
        <v>76</v>
      </c>
      <c r="P153" s="20" t="s">
        <v>236</v>
      </c>
      <c r="Q153" s="20" t="s">
        <v>597</v>
      </c>
      <c r="R153" s="22" t="n">
        <v>233.58</v>
      </c>
      <c r="S153" s="20" t="n">
        <v>5</v>
      </c>
      <c r="T153" s="20" t="n">
        <v>0</v>
      </c>
      <c r="U153" s="22" t="n">
        <v>99.27</v>
      </c>
      <c r="V153" s="23" t="n">
        <f aca="false">IF(ISNUMBER(C153),YEAR(C153),"")</f>
        <v>2014</v>
      </c>
      <c r="W153" s="23" t="n">
        <f aca="false">IF(ISNUMBER(C153),MONTH(C153),"")</f>
        <v>11</v>
      </c>
      <c r="X153" s="23" t="str">
        <f aca="false">IF(T153="","",IF(T153=0,"No discount",IF(T153&lt;=0.2,"Low (1-20%)",IF(T153&lt;=0.4,"Medium (21-40%)","High (&gt;40%)"))))</f>
        <v>No discount</v>
      </c>
      <c r="Y153" s="23" t="n">
        <f aca="false">IF(AND(ISNUMBER(C153),ISNUMBER(D153)),D153-C153,"")</f>
        <v>4</v>
      </c>
      <c r="Z153" s="23" t="n">
        <f aca="false">IF(B153="","",IF(MATCH(B153,$B$2:$B$12000,0)=ROW()-1,1,0))</f>
        <v>0</v>
      </c>
    </row>
    <row r="154" customFormat="false" ht="15" hidden="false" customHeight="false" outlineLevel="0" collapsed="false">
      <c r="A154" s="20" t="n">
        <v>153</v>
      </c>
      <c r="B154" s="20" t="s">
        <v>598</v>
      </c>
      <c r="C154" s="21" t="n">
        <v>41960</v>
      </c>
      <c r="D154" s="21" t="n">
        <v>41963</v>
      </c>
      <c r="E154" s="20" t="s">
        <v>90</v>
      </c>
      <c r="F154" s="20" t="s">
        <v>125</v>
      </c>
      <c r="G154" s="20" t="s">
        <v>126</v>
      </c>
      <c r="H154" s="20" t="s">
        <v>61</v>
      </c>
      <c r="I154" s="20" t="s">
        <v>62</v>
      </c>
      <c r="J154" s="20" t="s">
        <v>63</v>
      </c>
      <c r="K154" s="20" t="s">
        <v>202</v>
      </c>
      <c r="L154" s="20" t="n">
        <v>21643</v>
      </c>
      <c r="M154" s="20" t="s">
        <v>153</v>
      </c>
      <c r="N154" s="20" t="s">
        <v>599</v>
      </c>
      <c r="O154" s="20" t="s">
        <v>76</v>
      </c>
      <c r="P154" s="20" t="s">
        <v>185</v>
      </c>
      <c r="Q154" s="20" t="s">
        <v>600</v>
      </c>
      <c r="R154" s="22" t="n">
        <v>44.93</v>
      </c>
      <c r="S154" s="20" t="n">
        <v>6</v>
      </c>
      <c r="T154" s="20" t="n">
        <v>0.1</v>
      </c>
      <c r="U154" s="22" t="n">
        <v>11.28</v>
      </c>
      <c r="V154" s="23" t="n">
        <f aca="false">IF(ISNUMBER(C154),YEAR(C154),"")</f>
        <v>2014</v>
      </c>
      <c r="W154" s="23" t="n">
        <f aca="false">IF(ISNUMBER(C154),MONTH(C154),"")</f>
        <v>11</v>
      </c>
      <c r="X154" s="23" t="str">
        <f aca="false">IF(T154="","",IF(T154=0,"No discount",IF(T154&lt;=0.2,"Low (1-20%)",IF(T154&lt;=0.4,"Medium (21-40%)","High (&gt;40%)"))))</f>
        <v>Low (1-20%)</v>
      </c>
      <c r="Y154" s="23" t="n">
        <f aca="false">IF(AND(ISNUMBER(C154),ISNUMBER(D154)),D154-C154,"")</f>
        <v>3</v>
      </c>
      <c r="Z154" s="23" t="n">
        <f aca="false">IF(B154="","",IF(MATCH(B154,$B$2:$B$12000,0)=ROW()-1,1,0))</f>
        <v>1</v>
      </c>
    </row>
    <row r="155" customFormat="false" ht="15" hidden="false" customHeight="false" outlineLevel="0" collapsed="false">
      <c r="A155" s="20" t="n">
        <v>154</v>
      </c>
      <c r="B155" s="20" t="s">
        <v>598</v>
      </c>
      <c r="C155" s="21" t="n">
        <v>41960</v>
      </c>
      <c r="D155" s="21" t="n">
        <v>41963</v>
      </c>
      <c r="E155" s="20" t="s">
        <v>90</v>
      </c>
      <c r="F155" s="20" t="s">
        <v>125</v>
      </c>
      <c r="G155" s="20" t="s">
        <v>126</v>
      </c>
      <c r="H155" s="20" t="s">
        <v>61</v>
      </c>
      <c r="I155" s="20" t="s">
        <v>62</v>
      </c>
      <c r="J155" s="20" t="s">
        <v>63</v>
      </c>
      <c r="K155" s="20" t="s">
        <v>202</v>
      </c>
      <c r="L155" s="20" t="n">
        <v>58126</v>
      </c>
      <c r="M155" s="20" t="s">
        <v>153</v>
      </c>
      <c r="N155" s="20" t="s">
        <v>601</v>
      </c>
      <c r="O155" s="20" t="s">
        <v>76</v>
      </c>
      <c r="P155" s="20" t="s">
        <v>185</v>
      </c>
      <c r="Q155" s="20" t="s">
        <v>602</v>
      </c>
      <c r="R155" s="22" t="n">
        <v>112.7</v>
      </c>
      <c r="S155" s="20" t="n">
        <v>6</v>
      </c>
      <c r="T155" s="20" t="n">
        <v>0</v>
      </c>
      <c r="U155" s="22" t="n">
        <v>31.68</v>
      </c>
      <c r="V155" s="23" t="n">
        <f aca="false">IF(ISNUMBER(C155),YEAR(C155),"")</f>
        <v>2014</v>
      </c>
      <c r="W155" s="23" t="n">
        <f aca="false">IF(ISNUMBER(C155),MONTH(C155),"")</f>
        <v>11</v>
      </c>
      <c r="X155" s="23" t="str">
        <f aca="false">IF(T155="","",IF(T155=0,"No discount",IF(T155&lt;=0.2,"Low (1-20%)",IF(T155&lt;=0.4,"Medium (21-40%)","High (&gt;40%)"))))</f>
        <v>No discount</v>
      </c>
      <c r="Y155" s="23" t="n">
        <f aca="false">IF(AND(ISNUMBER(C155),ISNUMBER(D155)),D155-C155,"")</f>
        <v>3</v>
      </c>
      <c r="Z155" s="23" t="n">
        <f aca="false">IF(B155="","",IF(MATCH(B155,$B$2:$B$12000,0)=ROW()-1,1,0))</f>
        <v>0</v>
      </c>
    </row>
    <row r="156" customFormat="false" ht="15" hidden="false" customHeight="false" outlineLevel="0" collapsed="false">
      <c r="A156" s="20" t="n">
        <v>155</v>
      </c>
      <c r="B156" s="20" t="s">
        <v>603</v>
      </c>
      <c r="C156" s="21" t="n">
        <v>41961</v>
      </c>
      <c r="D156" s="21" t="n">
        <v>41965</v>
      </c>
      <c r="E156" s="20" t="s">
        <v>58</v>
      </c>
      <c r="F156" s="20" t="s">
        <v>604</v>
      </c>
      <c r="G156" s="20" t="s">
        <v>605</v>
      </c>
      <c r="H156" s="20" t="s">
        <v>85</v>
      </c>
      <c r="I156" s="20" t="s">
        <v>62</v>
      </c>
      <c r="J156" s="20" t="s">
        <v>63</v>
      </c>
      <c r="K156" s="20" t="s">
        <v>271</v>
      </c>
      <c r="L156" s="20" t="n">
        <v>86049</v>
      </c>
      <c r="M156" s="20" t="s">
        <v>97</v>
      </c>
      <c r="N156" s="20" t="s">
        <v>606</v>
      </c>
      <c r="O156" s="20" t="s">
        <v>76</v>
      </c>
      <c r="P156" s="20" t="s">
        <v>185</v>
      </c>
      <c r="Q156" s="20" t="s">
        <v>607</v>
      </c>
      <c r="R156" s="22" t="n">
        <v>68.87</v>
      </c>
      <c r="S156" s="20" t="n">
        <v>6</v>
      </c>
      <c r="T156" s="20" t="n">
        <v>0</v>
      </c>
      <c r="U156" s="22" t="n">
        <v>13.77</v>
      </c>
      <c r="V156" s="23" t="n">
        <f aca="false">IF(ISNUMBER(C156),YEAR(C156),"")</f>
        <v>2014</v>
      </c>
      <c r="W156" s="23" t="n">
        <f aca="false">IF(ISNUMBER(C156),MONTH(C156),"")</f>
        <v>11</v>
      </c>
      <c r="X156" s="23" t="str">
        <f aca="false">IF(T156="","",IF(T156=0,"No discount",IF(T156&lt;=0.2,"Low (1-20%)",IF(T156&lt;=0.4,"Medium (21-40%)","High (&gt;40%)"))))</f>
        <v>No discount</v>
      </c>
      <c r="Y156" s="23" t="n">
        <f aca="false">IF(AND(ISNUMBER(C156),ISNUMBER(D156)),D156-C156,"")</f>
        <v>4</v>
      </c>
      <c r="Z156" s="23" t="n">
        <f aca="false">IF(B156="","",IF(MATCH(B156,$B$2:$B$12000,0)=ROW()-1,1,0))</f>
        <v>1</v>
      </c>
    </row>
    <row r="157" customFormat="false" ht="15" hidden="false" customHeight="false" outlineLevel="0" collapsed="false">
      <c r="A157" s="20" t="n">
        <v>156</v>
      </c>
      <c r="B157" s="20" t="s">
        <v>608</v>
      </c>
      <c r="C157" s="21" t="n">
        <v>41964</v>
      </c>
      <c r="D157" s="21" t="n">
        <v>41967</v>
      </c>
      <c r="E157" s="20" t="s">
        <v>90</v>
      </c>
      <c r="F157" s="20" t="s">
        <v>83</v>
      </c>
      <c r="G157" s="20" t="s">
        <v>84</v>
      </c>
      <c r="H157" s="20" t="s">
        <v>85</v>
      </c>
      <c r="I157" s="20" t="s">
        <v>62</v>
      </c>
      <c r="J157" s="20" t="s">
        <v>63</v>
      </c>
      <c r="K157" s="20" t="s">
        <v>385</v>
      </c>
      <c r="L157" s="20" t="n">
        <v>75090</v>
      </c>
      <c r="M157" s="20" t="s">
        <v>153</v>
      </c>
      <c r="N157" s="20" t="s">
        <v>609</v>
      </c>
      <c r="O157" s="20" t="s">
        <v>67</v>
      </c>
      <c r="P157" s="20" t="s">
        <v>157</v>
      </c>
      <c r="Q157" s="20" t="s">
        <v>610</v>
      </c>
      <c r="R157" s="22" t="n">
        <v>668.05</v>
      </c>
      <c r="S157" s="20" t="n">
        <v>8</v>
      </c>
      <c r="T157" s="20" t="n">
        <v>0.2</v>
      </c>
      <c r="U157" s="22" t="n">
        <v>50.78</v>
      </c>
      <c r="V157" s="23" t="n">
        <f aca="false">IF(ISNUMBER(C157),YEAR(C157),"")</f>
        <v>2014</v>
      </c>
      <c r="W157" s="23" t="n">
        <f aca="false">IF(ISNUMBER(C157),MONTH(C157),"")</f>
        <v>11</v>
      </c>
      <c r="X157" s="23" t="str">
        <f aca="false">IF(T157="","",IF(T157=0,"No discount",IF(T157&lt;=0.2,"Low (1-20%)",IF(T157&lt;=0.4,"Medium (21-40%)","High (&gt;40%)"))))</f>
        <v>Low (1-20%)</v>
      </c>
      <c r="Y157" s="23" t="n">
        <f aca="false">IF(AND(ISNUMBER(C157),ISNUMBER(D157)),D157-C157,"")</f>
        <v>3</v>
      </c>
      <c r="Z157" s="23" t="n">
        <f aca="false">IF(B157="","",IF(MATCH(B157,$B$2:$B$12000,0)=ROW()-1,1,0))</f>
        <v>1</v>
      </c>
    </row>
    <row r="158" customFormat="false" ht="15" hidden="false" customHeight="false" outlineLevel="0" collapsed="false">
      <c r="A158" s="20" t="n">
        <v>157</v>
      </c>
      <c r="B158" s="20" t="s">
        <v>608</v>
      </c>
      <c r="C158" s="21" t="n">
        <v>41964</v>
      </c>
      <c r="D158" s="21" t="n">
        <v>41967</v>
      </c>
      <c r="E158" s="20" t="s">
        <v>90</v>
      </c>
      <c r="F158" s="20" t="s">
        <v>83</v>
      </c>
      <c r="G158" s="20" t="s">
        <v>84</v>
      </c>
      <c r="H158" s="20" t="s">
        <v>85</v>
      </c>
      <c r="I158" s="20" t="s">
        <v>62</v>
      </c>
      <c r="J158" s="20" t="s">
        <v>63</v>
      </c>
      <c r="K158" s="20" t="s">
        <v>385</v>
      </c>
      <c r="L158" s="20" t="n">
        <v>62116</v>
      </c>
      <c r="M158" s="20" t="s">
        <v>153</v>
      </c>
      <c r="N158" s="20" t="s">
        <v>611</v>
      </c>
      <c r="O158" s="20" t="s">
        <v>76</v>
      </c>
      <c r="P158" s="20" t="s">
        <v>128</v>
      </c>
      <c r="Q158" s="20" t="s">
        <v>612</v>
      </c>
      <c r="R158" s="22" t="n">
        <v>852.76</v>
      </c>
      <c r="S158" s="20" t="n">
        <v>8</v>
      </c>
      <c r="T158" s="20" t="n">
        <v>0.2</v>
      </c>
      <c r="U158" s="22" t="n">
        <v>-105.48</v>
      </c>
      <c r="V158" s="23" t="n">
        <f aca="false">IF(ISNUMBER(C158),YEAR(C158),"")</f>
        <v>2014</v>
      </c>
      <c r="W158" s="23" t="n">
        <f aca="false">IF(ISNUMBER(C158),MONTH(C158),"")</f>
        <v>11</v>
      </c>
      <c r="X158" s="23" t="str">
        <f aca="false">IF(T158="","",IF(T158=0,"No discount",IF(T158&lt;=0.2,"Low (1-20%)",IF(T158&lt;=0.4,"Medium (21-40%)","High (&gt;40%)"))))</f>
        <v>Low (1-20%)</v>
      </c>
      <c r="Y158" s="23" t="n">
        <f aca="false">IF(AND(ISNUMBER(C158),ISNUMBER(D158)),D158-C158,"")</f>
        <v>3</v>
      </c>
      <c r="Z158" s="23" t="n">
        <f aca="false">IF(B158="","",IF(MATCH(B158,$B$2:$B$12000,0)=ROW()-1,1,0))</f>
        <v>0</v>
      </c>
    </row>
    <row r="159" customFormat="false" ht="15" hidden="false" customHeight="false" outlineLevel="0" collapsed="false">
      <c r="A159" s="20" t="n">
        <v>158</v>
      </c>
      <c r="B159" s="20" t="s">
        <v>613</v>
      </c>
      <c r="C159" s="21" t="n">
        <v>41967</v>
      </c>
      <c r="D159" s="21" t="n">
        <v>41974</v>
      </c>
      <c r="E159" s="20" t="s">
        <v>104</v>
      </c>
      <c r="F159" s="20" t="s">
        <v>131</v>
      </c>
      <c r="G159" s="20" t="s">
        <v>132</v>
      </c>
      <c r="H159" s="20" t="s">
        <v>85</v>
      </c>
      <c r="I159" s="20" t="s">
        <v>62</v>
      </c>
      <c r="J159" s="20" t="s">
        <v>63</v>
      </c>
      <c r="K159" s="20" t="s">
        <v>111</v>
      </c>
      <c r="L159" s="20" t="n">
        <v>82594</v>
      </c>
      <c r="M159" s="20" t="s">
        <v>112</v>
      </c>
      <c r="N159" s="20" t="s">
        <v>614</v>
      </c>
      <c r="O159" s="20" t="s">
        <v>114</v>
      </c>
      <c r="P159" s="20" t="s">
        <v>115</v>
      </c>
      <c r="Q159" s="20" t="s">
        <v>615</v>
      </c>
      <c r="R159" s="22" t="n">
        <v>1360</v>
      </c>
      <c r="S159" s="20" t="n">
        <v>4</v>
      </c>
      <c r="T159" s="20" t="n">
        <v>0.2</v>
      </c>
      <c r="U159" s="22" t="n">
        <v>-3.59</v>
      </c>
      <c r="V159" s="23" t="n">
        <f aca="false">IF(ISNUMBER(C159),YEAR(C159),"")</f>
        <v>2014</v>
      </c>
      <c r="W159" s="23" t="n">
        <f aca="false">IF(ISNUMBER(C159),MONTH(C159),"")</f>
        <v>11</v>
      </c>
      <c r="X159" s="23" t="str">
        <f aca="false">IF(T159="","",IF(T159=0,"No discount",IF(T159&lt;=0.2,"Low (1-20%)",IF(T159&lt;=0.4,"Medium (21-40%)","High (&gt;40%)"))))</f>
        <v>Low (1-20%)</v>
      </c>
      <c r="Y159" s="23" t="n">
        <f aca="false">IF(AND(ISNUMBER(C159),ISNUMBER(D159)),D159-C159,"")</f>
        <v>7</v>
      </c>
      <c r="Z159" s="23" t="n">
        <f aca="false">IF(B159="","",IF(MATCH(B159,$B$2:$B$12000,0)=ROW()-1,1,0))</f>
        <v>1</v>
      </c>
    </row>
    <row r="160" customFormat="false" ht="15" hidden="false" customHeight="false" outlineLevel="0" collapsed="false">
      <c r="A160" s="20" t="n">
        <v>159</v>
      </c>
      <c r="B160" s="20" t="s">
        <v>613</v>
      </c>
      <c r="C160" s="21" t="n">
        <v>41967</v>
      </c>
      <c r="D160" s="21" t="n">
        <v>41974</v>
      </c>
      <c r="E160" s="20" t="s">
        <v>71</v>
      </c>
      <c r="F160" s="20" t="s">
        <v>131</v>
      </c>
      <c r="G160" s="20" t="s">
        <v>132</v>
      </c>
      <c r="H160" s="20" t="s">
        <v>85</v>
      </c>
      <c r="I160" s="20" t="s">
        <v>62</v>
      </c>
      <c r="J160" s="20" t="s">
        <v>63</v>
      </c>
      <c r="K160" s="20" t="s">
        <v>111</v>
      </c>
      <c r="L160" s="20" t="n">
        <v>75135</v>
      </c>
      <c r="M160" s="20" t="s">
        <v>112</v>
      </c>
      <c r="N160" s="20" t="s">
        <v>616</v>
      </c>
      <c r="O160" s="20" t="s">
        <v>76</v>
      </c>
      <c r="P160" s="20" t="s">
        <v>128</v>
      </c>
      <c r="Q160" s="20" t="s">
        <v>617</v>
      </c>
      <c r="R160" s="22" t="n">
        <v>155.8</v>
      </c>
      <c r="S160" s="20" t="n">
        <v>2</v>
      </c>
      <c r="T160" s="20" t="n">
        <v>0</v>
      </c>
      <c r="U160" s="22" t="n">
        <v>28.29</v>
      </c>
      <c r="V160" s="23" t="n">
        <f aca="false">IF(ISNUMBER(C160),YEAR(C160),"")</f>
        <v>2014</v>
      </c>
      <c r="W160" s="23" t="n">
        <f aca="false">IF(ISNUMBER(C160),MONTH(C160),"")</f>
        <v>11</v>
      </c>
      <c r="X160" s="23" t="str">
        <f aca="false">IF(T160="","",IF(T160=0,"No discount",IF(T160&lt;=0.2,"Low (1-20%)",IF(T160&lt;=0.4,"Medium (21-40%)","High (&gt;40%)"))))</f>
        <v>No discount</v>
      </c>
      <c r="Y160" s="23" t="n">
        <f aca="false">IF(AND(ISNUMBER(C160),ISNUMBER(D160)),D160-C160,"")</f>
        <v>7</v>
      </c>
      <c r="Z160" s="23" t="n">
        <f aca="false">IF(B160="","",IF(MATCH(B160,$B$2:$B$12000,0)=ROW()-1,1,0))</f>
        <v>0</v>
      </c>
    </row>
    <row r="161" customFormat="false" ht="15" hidden="false" customHeight="false" outlineLevel="0" collapsed="false">
      <c r="A161" s="20" t="n">
        <v>160</v>
      </c>
      <c r="B161" s="20" t="s">
        <v>613</v>
      </c>
      <c r="C161" s="21" t="n">
        <v>41967</v>
      </c>
      <c r="D161" s="21" t="n">
        <v>41974</v>
      </c>
      <c r="E161" s="20" t="s">
        <v>104</v>
      </c>
      <c r="F161" s="20" t="s">
        <v>131</v>
      </c>
      <c r="G161" s="20" t="s">
        <v>132</v>
      </c>
      <c r="H161" s="20" t="s">
        <v>85</v>
      </c>
      <c r="I161" s="20" t="s">
        <v>62</v>
      </c>
      <c r="J161" s="20" t="s">
        <v>63</v>
      </c>
      <c r="K161" s="20" t="s">
        <v>111</v>
      </c>
      <c r="L161" s="20" t="n">
        <v>73280</v>
      </c>
      <c r="M161" s="20" t="s">
        <v>112</v>
      </c>
      <c r="N161" s="20" t="s">
        <v>618</v>
      </c>
      <c r="O161" s="20" t="s">
        <v>114</v>
      </c>
      <c r="P161" s="20" t="s">
        <v>167</v>
      </c>
      <c r="Q161" s="20" t="s">
        <v>619</v>
      </c>
      <c r="R161" s="22" t="n">
        <v>101.97</v>
      </c>
      <c r="S161" s="20" t="n">
        <v>1</v>
      </c>
      <c r="T161" s="20" t="n">
        <v>0.7</v>
      </c>
      <c r="U161" s="22" t="n">
        <v>-46.6</v>
      </c>
      <c r="V161" s="23" t="n">
        <f aca="false">IF(ISNUMBER(C161),YEAR(C161),"")</f>
        <v>2014</v>
      </c>
      <c r="W161" s="23" t="n">
        <f aca="false">IF(ISNUMBER(C161),MONTH(C161),"")</f>
        <v>11</v>
      </c>
      <c r="X161" s="23" t="str">
        <f aca="false">IF(T161="","",IF(T161=0,"No discount",IF(T161&lt;=0.2,"Low (1-20%)",IF(T161&lt;=0.4,"Medium (21-40%)","High (&gt;40%)"))))</f>
        <v>High (&gt;40%)</v>
      </c>
      <c r="Y161" s="23" t="n">
        <f aca="false">IF(AND(ISNUMBER(C161),ISNUMBER(D161)),D161-C161,"")</f>
        <v>7</v>
      </c>
      <c r="Z161" s="23" t="n">
        <f aca="false">IF(B161="","",IF(MATCH(B161,$B$2:$B$12000,0)=ROW()-1,1,0))</f>
        <v>0</v>
      </c>
    </row>
    <row r="162" customFormat="false" ht="15" hidden="false" customHeight="false" outlineLevel="0" collapsed="false">
      <c r="A162" s="20" t="n">
        <v>161</v>
      </c>
      <c r="B162" s="20" t="s">
        <v>613</v>
      </c>
      <c r="C162" s="21" t="n">
        <v>41967</v>
      </c>
      <c r="D162" s="21" t="n">
        <v>41974</v>
      </c>
      <c r="E162" s="20" t="s">
        <v>104</v>
      </c>
      <c r="F162" s="20" t="s">
        <v>131</v>
      </c>
      <c r="G162" s="20" t="s">
        <v>132</v>
      </c>
      <c r="H162" s="20" t="s">
        <v>85</v>
      </c>
      <c r="I162" s="20" t="s">
        <v>62</v>
      </c>
      <c r="J162" s="20" t="s">
        <v>63</v>
      </c>
      <c r="K162" s="20" t="s">
        <v>111</v>
      </c>
      <c r="L162" s="20" t="n">
        <v>34936</v>
      </c>
      <c r="M162" s="20" t="s">
        <v>112</v>
      </c>
      <c r="N162" s="20" t="s">
        <v>620</v>
      </c>
      <c r="O162" s="20" t="s">
        <v>76</v>
      </c>
      <c r="P162" s="20" t="s">
        <v>236</v>
      </c>
      <c r="Q162" s="20" t="s">
        <v>621</v>
      </c>
      <c r="R162" s="22" t="n">
        <v>159.03</v>
      </c>
      <c r="S162" s="20" t="n">
        <v>3</v>
      </c>
      <c r="T162" s="20" t="n">
        <v>0.2</v>
      </c>
      <c r="U162" s="22" t="n">
        <v>44.44</v>
      </c>
      <c r="V162" s="23" t="n">
        <f aca="false">IF(ISNUMBER(C162),YEAR(C162),"")</f>
        <v>2014</v>
      </c>
      <c r="W162" s="23" t="n">
        <f aca="false">IF(ISNUMBER(C162),MONTH(C162),"")</f>
        <v>11</v>
      </c>
      <c r="X162" s="23" t="str">
        <f aca="false">IF(T162="","",IF(T162=0,"No discount",IF(T162&lt;=0.2,"Low (1-20%)",IF(T162&lt;=0.4,"Medium (21-40%)","High (&gt;40%)"))))</f>
        <v>Low (1-20%)</v>
      </c>
      <c r="Y162" s="23" t="n">
        <f aca="false">IF(AND(ISNUMBER(C162),ISNUMBER(D162)),D162-C162,"")</f>
        <v>7</v>
      </c>
      <c r="Z162" s="23" t="n">
        <f aca="false">IF(B162="","",IF(MATCH(B162,$B$2:$B$12000,0)=ROW()-1,1,0))</f>
        <v>0</v>
      </c>
    </row>
    <row r="163" customFormat="false" ht="15" hidden="false" customHeight="false" outlineLevel="0" collapsed="false">
      <c r="A163" s="20" t="n">
        <v>162</v>
      </c>
      <c r="B163" s="20" t="s">
        <v>622</v>
      </c>
      <c r="C163" s="21" t="n">
        <v>41969</v>
      </c>
      <c r="D163" s="21" t="n">
        <v>41972</v>
      </c>
      <c r="E163" s="20" t="s">
        <v>104</v>
      </c>
      <c r="F163" s="20" t="s">
        <v>339</v>
      </c>
      <c r="G163" s="20" t="s">
        <v>340</v>
      </c>
      <c r="H163" s="20" t="s">
        <v>61</v>
      </c>
      <c r="I163" s="20" t="s">
        <v>62</v>
      </c>
      <c r="J163" s="20" t="s">
        <v>63</v>
      </c>
      <c r="K163" s="20" t="s">
        <v>518</v>
      </c>
      <c r="L163" s="20" t="n">
        <v>82835</v>
      </c>
      <c r="M163" s="20" t="s">
        <v>153</v>
      </c>
      <c r="N163" s="20" t="s">
        <v>623</v>
      </c>
      <c r="O163" s="20" t="s">
        <v>76</v>
      </c>
      <c r="P163" s="20" t="s">
        <v>77</v>
      </c>
      <c r="Q163" s="20" t="s">
        <v>624</v>
      </c>
      <c r="R163" s="22" t="n">
        <v>91.33</v>
      </c>
      <c r="S163" s="20" t="n">
        <v>6</v>
      </c>
      <c r="T163" s="20" t="n">
        <v>0.2</v>
      </c>
      <c r="U163" s="22" t="n">
        <v>10.03</v>
      </c>
      <c r="V163" s="23" t="n">
        <f aca="false">IF(ISNUMBER(C163),YEAR(C163),"")</f>
        <v>2014</v>
      </c>
      <c r="W163" s="23" t="n">
        <f aca="false">IF(ISNUMBER(C163),MONTH(C163),"")</f>
        <v>11</v>
      </c>
      <c r="X163" s="23" t="str">
        <f aca="false">IF(T163="","",IF(T163=0,"No discount",IF(T163&lt;=0.2,"Low (1-20%)",IF(T163&lt;=0.4,"Medium (21-40%)","High (&gt;40%)"))))</f>
        <v>Low (1-20%)</v>
      </c>
      <c r="Y163" s="23" t="n">
        <f aca="false">IF(AND(ISNUMBER(C163),ISNUMBER(D163)),D163-C163,"")</f>
        <v>3</v>
      </c>
      <c r="Z163" s="23" t="n">
        <f aca="false">IF(B163="","",IF(MATCH(B163,$B$2:$B$12000,0)=ROW()-1,1,0))</f>
        <v>1</v>
      </c>
    </row>
    <row r="164" customFormat="false" ht="15" hidden="false" customHeight="false" outlineLevel="0" collapsed="false">
      <c r="A164" s="20" t="n">
        <v>163</v>
      </c>
      <c r="B164" s="20" t="s">
        <v>622</v>
      </c>
      <c r="C164" s="21" t="n">
        <v>41969</v>
      </c>
      <c r="D164" s="21" t="n">
        <v>41972</v>
      </c>
      <c r="E164" s="20" t="s">
        <v>104</v>
      </c>
      <c r="F164" s="20" t="s">
        <v>339</v>
      </c>
      <c r="G164" s="20" t="s">
        <v>340</v>
      </c>
      <c r="H164" s="20" t="s">
        <v>61</v>
      </c>
      <c r="I164" s="20" t="s">
        <v>62</v>
      </c>
      <c r="J164" s="20" t="s">
        <v>63</v>
      </c>
      <c r="K164" s="20" t="s">
        <v>518</v>
      </c>
      <c r="L164" s="20" t="n">
        <v>49972</v>
      </c>
      <c r="M164" s="20" t="s">
        <v>153</v>
      </c>
      <c r="N164" s="20" t="s">
        <v>625</v>
      </c>
      <c r="O164" s="20" t="s">
        <v>67</v>
      </c>
      <c r="P164" s="20" t="s">
        <v>157</v>
      </c>
      <c r="Q164" s="20" t="s">
        <v>626</v>
      </c>
      <c r="R164" s="22" t="n">
        <v>313.4</v>
      </c>
      <c r="S164" s="20" t="n">
        <v>5</v>
      </c>
      <c r="T164" s="20" t="n">
        <v>0.1</v>
      </c>
      <c r="U164" s="22" t="n">
        <v>47.3</v>
      </c>
      <c r="V164" s="23" t="n">
        <f aca="false">IF(ISNUMBER(C164),YEAR(C164),"")</f>
        <v>2014</v>
      </c>
      <c r="W164" s="23" t="n">
        <f aca="false">IF(ISNUMBER(C164),MONTH(C164),"")</f>
        <v>11</v>
      </c>
      <c r="X164" s="23" t="str">
        <f aca="false">IF(T164="","",IF(T164=0,"No discount",IF(T164&lt;=0.2,"Low (1-20%)",IF(T164&lt;=0.4,"Medium (21-40%)","High (&gt;40%)"))))</f>
        <v>Low (1-20%)</v>
      </c>
      <c r="Y164" s="23" t="n">
        <f aca="false">IF(AND(ISNUMBER(C164),ISNUMBER(D164)),D164-C164,"")</f>
        <v>3</v>
      </c>
      <c r="Z164" s="23" t="n">
        <f aca="false">IF(B164="","",IF(MATCH(B164,$B$2:$B$12000,0)=ROW()-1,1,0))</f>
        <v>0</v>
      </c>
    </row>
    <row r="165" customFormat="false" ht="15" hidden="false" customHeight="false" outlineLevel="0" collapsed="false">
      <c r="A165" s="20" t="n">
        <v>164</v>
      </c>
      <c r="B165" s="20" t="s">
        <v>622</v>
      </c>
      <c r="C165" s="21" t="n">
        <v>41969</v>
      </c>
      <c r="D165" s="21" t="n">
        <v>41972</v>
      </c>
      <c r="E165" s="20" t="s">
        <v>58</v>
      </c>
      <c r="F165" s="20" t="s">
        <v>339</v>
      </c>
      <c r="G165" s="20" t="s">
        <v>340</v>
      </c>
      <c r="H165" s="20" t="s">
        <v>61</v>
      </c>
      <c r="I165" s="20" t="s">
        <v>62</v>
      </c>
      <c r="J165" s="20" t="s">
        <v>63</v>
      </c>
      <c r="K165" s="20" t="s">
        <v>518</v>
      </c>
      <c r="L165" s="20" t="n">
        <v>57936</v>
      </c>
      <c r="M165" s="20" t="s">
        <v>153</v>
      </c>
      <c r="N165" s="20" t="s">
        <v>627</v>
      </c>
      <c r="O165" s="20" t="s">
        <v>114</v>
      </c>
      <c r="P165" s="20" t="s">
        <v>210</v>
      </c>
      <c r="Q165" s="20" t="s">
        <v>628</v>
      </c>
      <c r="R165" s="22" t="n">
        <v>153.09</v>
      </c>
      <c r="S165" s="20" t="n">
        <v>8</v>
      </c>
      <c r="T165" s="20" t="n">
        <v>0.7</v>
      </c>
      <c r="U165" s="22" t="n">
        <v>-35.73</v>
      </c>
      <c r="V165" s="23" t="n">
        <f aca="false">IF(ISNUMBER(C165),YEAR(C165),"")</f>
        <v>2014</v>
      </c>
      <c r="W165" s="23" t="n">
        <f aca="false">IF(ISNUMBER(C165),MONTH(C165),"")</f>
        <v>11</v>
      </c>
      <c r="X165" s="23" t="str">
        <f aca="false">IF(T165="","",IF(T165=0,"No discount",IF(T165&lt;=0.2,"Low (1-20%)",IF(T165&lt;=0.4,"Medium (21-40%)","High (&gt;40%)"))))</f>
        <v>High (&gt;40%)</v>
      </c>
      <c r="Y165" s="23" t="n">
        <f aca="false">IF(AND(ISNUMBER(C165),ISNUMBER(D165)),D165-C165,"")</f>
        <v>3</v>
      </c>
      <c r="Z165" s="23" t="n">
        <f aca="false">IF(B165="","",IF(MATCH(B165,$B$2:$B$12000,0)=ROW()-1,1,0))</f>
        <v>0</v>
      </c>
    </row>
    <row r="166" customFormat="false" ht="15" hidden="false" customHeight="false" outlineLevel="0" collapsed="false">
      <c r="A166" s="20" t="n">
        <v>165</v>
      </c>
      <c r="B166" s="20" t="s">
        <v>629</v>
      </c>
      <c r="C166" s="21" t="n">
        <v>41978</v>
      </c>
      <c r="D166" s="21" t="n">
        <v>41983</v>
      </c>
      <c r="E166" s="20" t="s">
        <v>71</v>
      </c>
      <c r="F166" s="20" t="s">
        <v>630</v>
      </c>
      <c r="G166" s="20" t="s">
        <v>631</v>
      </c>
      <c r="H166" s="20" t="s">
        <v>85</v>
      </c>
      <c r="I166" s="20" t="s">
        <v>62</v>
      </c>
      <c r="J166" s="20" t="s">
        <v>63</v>
      </c>
      <c r="K166" s="20" t="s">
        <v>215</v>
      </c>
      <c r="L166" s="20" t="n">
        <v>45855</v>
      </c>
      <c r="M166" s="20" t="s">
        <v>112</v>
      </c>
      <c r="N166" s="20" t="s">
        <v>632</v>
      </c>
      <c r="O166" s="20" t="s">
        <v>76</v>
      </c>
      <c r="P166" s="20" t="s">
        <v>101</v>
      </c>
      <c r="Q166" s="20" t="s">
        <v>633</v>
      </c>
      <c r="R166" s="22" t="n">
        <v>3.86</v>
      </c>
      <c r="S166" s="20" t="n">
        <v>1</v>
      </c>
      <c r="T166" s="20" t="n">
        <v>0.4</v>
      </c>
      <c r="U166" s="22" t="n">
        <v>0.96</v>
      </c>
      <c r="V166" s="23" t="n">
        <f aca="false">IF(ISNUMBER(C166),YEAR(C166),"")</f>
        <v>2014</v>
      </c>
      <c r="W166" s="23" t="n">
        <f aca="false">IF(ISNUMBER(C166),MONTH(C166),"")</f>
        <v>12</v>
      </c>
      <c r="X166" s="23" t="str">
        <f aca="false">IF(T166="","",IF(T166=0,"No discount",IF(T166&lt;=0.2,"Low (1-20%)",IF(T166&lt;=0.4,"Medium (21-40%)","High (&gt;40%)"))))</f>
        <v>Medium (21-40%)</v>
      </c>
      <c r="Y166" s="23" t="n">
        <f aca="false">IF(AND(ISNUMBER(C166),ISNUMBER(D166)),D166-C166,"")</f>
        <v>5</v>
      </c>
      <c r="Z166" s="23" t="n">
        <f aca="false">IF(B166="","",IF(MATCH(B166,$B$2:$B$12000,0)=ROW()-1,1,0))</f>
        <v>1</v>
      </c>
    </row>
    <row r="167" customFormat="false" ht="15" hidden="false" customHeight="false" outlineLevel="0" collapsed="false">
      <c r="A167" s="20" t="n">
        <v>166</v>
      </c>
      <c r="B167" s="20" t="s">
        <v>634</v>
      </c>
      <c r="C167" s="21" t="n">
        <v>41978</v>
      </c>
      <c r="D167" s="21" t="n">
        <v>41984</v>
      </c>
      <c r="E167" s="20" t="s">
        <v>58</v>
      </c>
      <c r="F167" s="20" t="s">
        <v>258</v>
      </c>
      <c r="G167" s="20" t="s">
        <v>259</v>
      </c>
      <c r="H167" s="20" t="s">
        <v>85</v>
      </c>
      <c r="I167" s="20" t="s">
        <v>62</v>
      </c>
      <c r="J167" s="20" t="s">
        <v>63</v>
      </c>
      <c r="K167" s="20" t="s">
        <v>569</v>
      </c>
      <c r="L167" s="20" t="n">
        <v>17565</v>
      </c>
      <c r="M167" s="20" t="s">
        <v>153</v>
      </c>
      <c r="N167" s="20" t="s">
        <v>635</v>
      </c>
      <c r="O167" s="20" t="s">
        <v>114</v>
      </c>
      <c r="P167" s="20" t="s">
        <v>167</v>
      </c>
      <c r="Q167" s="20" t="s">
        <v>636</v>
      </c>
      <c r="R167" s="22" t="n">
        <v>1679.24</v>
      </c>
      <c r="S167" s="20" t="n">
        <v>7</v>
      </c>
      <c r="T167" s="20" t="n">
        <v>0.3</v>
      </c>
      <c r="U167" s="22" t="n">
        <v>-483.59</v>
      </c>
      <c r="V167" s="23" t="n">
        <f aca="false">IF(ISNUMBER(C167),YEAR(C167),"")</f>
        <v>2014</v>
      </c>
      <c r="W167" s="23" t="n">
        <f aca="false">IF(ISNUMBER(C167),MONTH(C167),"")</f>
        <v>12</v>
      </c>
      <c r="X167" s="23" t="str">
        <f aca="false">IF(T167="","",IF(T167=0,"No discount",IF(T167&lt;=0.2,"Low (1-20%)",IF(T167&lt;=0.4,"Medium (21-40%)","High (&gt;40%)"))))</f>
        <v>Medium (21-40%)</v>
      </c>
      <c r="Y167" s="23" t="n">
        <f aca="false">IF(AND(ISNUMBER(C167),ISNUMBER(D167)),D167-C167,"")</f>
        <v>6</v>
      </c>
      <c r="Z167" s="23" t="n">
        <f aca="false">IF(B167="","",IF(MATCH(B167,$B$2:$B$12000,0)=ROW()-1,1,0))</f>
        <v>1</v>
      </c>
    </row>
    <row r="168" customFormat="false" ht="15" hidden="false" customHeight="false" outlineLevel="0" collapsed="false">
      <c r="A168" s="20" t="n">
        <v>167</v>
      </c>
      <c r="B168" s="20" t="s">
        <v>637</v>
      </c>
      <c r="C168" s="21" t="n">
        <v>41982</v>
      </c>
      <c r="D168" s="21" t="n">
        <v>41983</v>
      </c>
      <c r="E168" s="20" t="s">
        <v>58</v>
      </c>
      <c r="F168" s="20" t="s">
        <v>286</v>
      </c>
      <c r="G168" s="20" t="s">
        <v>287</v>
      </c>
      <c r="H168" s="20" t="s">
        <v>61</v>
      </c>
      <c r="I168" s="20" t="s">
        <v>62</v>
      </c>
      <c r="J168" s="20" t="s">
        <v>63</v>
      </c>
      <c r="K168" s="20" t="s">
        <v>556</v>
      </c>
      <c r="L168" s="20" t="n">
        <v>75302</v>
      </c>
      <c r="M168" s="20" t="s">
        <v>65</v>
      </c>
      <c r="N168" s="20" t="s">
        <v>638</v>
      </c>
      <c r="O168" s="20" t="s">
        <v>114</v>
      </c>
      <c r="P168" s="20" t="s">
        <v>139</v>
      </c>
      <c r="Q168" s="20" t="s">
        <v>639</v>
      </c>
      <c r="R168" s="22" t="n">
        <v>1251.09</v>
      </c>
      <c r="S168" s="20" t="n">
        <v>8</v>
      </c>
      <c r="T168" s="20" t="n">
        <v>0</v>
      </c>
      <c r="U168" s="22" t="n">
        <v>6.67</v>
      </c>
      <c r="V168" s="23" t="n">
        <f aca="false">IF(ISNUMBER(C168),YEAR(C168),"")</f>
        <v>2014</v>
      </c>
      <c r="W168" s="23" t="n">
        <f aca="false">IF(ISNUMBER(C168),MONTH(C168),"")</f>
        <v>12</v>
      </c>
      <c r="X168" s="23" t="str">
        <f aca="false">IF(T168="","",IF(T168=0,"No discount",IF(T168&lt;=0.2,"Low (1-20%)",IF(T168&lt;=0.4,"Medium (21-40%)","High (&gt;40%)"))))</f>
        <v>No discount</v>
      </c>
      <c r="Y168" s="23" t="n">
        <f aca="false">IF(AND(ISNUMBER(C168),ISNUMBER(D168)),D168-C168,"")</f>
        <v>1</v>
      </c>
      <c r="Z168" s="23" t="n">
        <f aca="false">IF(B168="","",IF(MATCH(B168,$B$2:$B$12000,0)=ROW()-1,1,0))</f>
        <v>1</v>
      </c>
    </row>
    <row r="169" customFormat="false" ht="15" hidden="false" customHeight="false" outlineLevel="0" collapsed="false">
      <c r="A169" s="20" t="n">
        <v>168</v>
      </c>
      <c r="B169" s="20" t="s">
        <v>637</v>
      </c>
      <c r="C169" s="21" t="n">
        <v>41982</v>
      </c>
      <c r="D169" s="21" t="n">
        <v>41983</v>
      </c>
      <c r="E169" s="20" t="s">
        <v>58</v>
      </c>
      <c r="F169" s="20" t="s">
        <v>286</v>
      </c>
      <c r="G169" s="20" t="s">
        <v>287</v>
      </c>
      <c r="H169" s="20" t="s">
        <v>61</v>
      </c>
      <c r="I169" s="20" t="s">
        <v>62</v>
      </c>
      <c r="J169" s="20" t="s">
        <v>63</v>
      </c>
      <c r="K169" s="20" t="s">
        <v>556</v>
      </c>
      <c r="L169" s="20" t="n">
        <v>37119</v>
      </c>
      <c r="M169" s="20" t="s">
        <v>65</v>
      </c>
      <c r="N169" s="20" t="s">
        <v>640</v>
      </c>
      <c r="O169" s="20" t="s">
        <v>76</v>
      </c>
      <c r="P169" s="20" t="s">
        <v>185</v>
      </c>
      <c r="Q169" s="20" t="s">
        <v>641</v>
      </c>
      <c r="R169" s="22" t="n">
        <v>51.46</v>
      </c>
      <c r="S169" s="20" t="n">
        <v>4</v>
      </c>
      <c r="T169" s="20" t="n">
        <v>0.4</v>
      </c>
      <c r="U169" s="22" t="n">
        <v>-1.05</v>
      </c>
      <c r="V169" s="23" t="n">
        <f aca="false">IF(ISNUMBER(C169),YEAR(C169),"")</f>
        <v>2014</v>
      </c>
      <c r="W169" s="23" t="n">
        <f aca="false">IF(ISNUMBER(C169),MONTH(C169),"")</f>
        <v>12</v>
      </c>
      <c r="X169" s="23" t="str">
        <f aca="false">IF(T169="","",IF(T169=0,"No discount",IF(T169&lt;=0.2,"Low (1-20%)",IF(T169&lt;=0.4,"Medium (21-40%)","High (&gt;40%)"))))</f>
        <v>Medium (21-40%)</v>
      </c>
      <c r="Y169" s="23" t="n">
        <f aca="false">IF(AND(ISNUMBER(C169),ISNUMBER(D169)),D169-C169,"")</f>
        <v>1</v>
      </c>
      <c r="Z169" s="23" t="n">
        <f aca="false">IF(B169="","",IF(MATCH(B169,$B$2:$B$12000,0)=ROW()-1,1,0))</f>
        <v>0</v>
      </c>
    </row>
    <row r="170" customFormat="false" ht="15" hidden="false" customHeight="false" outlineLevel="0" collapsed="false">
      <c r="A170" s="20" t="n">
        <v>169</v>
      </c>
      <c r="B170" s="20" t="s">
        <v>637</v>
      </c>
      <c r="C170" s="21" t="n">
        <v>41982</v>
      </c>
      <c r="D170" s="21" t="n">
        <v>41983</v>
      </c>
      <c r="E170" s="20" t="s">
        <v>90</v>
      </c>
      <c r="F170" s="20" t="s">
        <v>286</v>
      </c>
      <c r="G170" s="20" t="s">
        <v>287</v>
      </c>
      <c r="H170" s="20" t="s">
        <v>61</v>
      </c>
      <c r="I170" s="20" t="s">
        <v>62</v>
      </c>
      <c r="J170" s="20" t="s">
        <v>63</v>
      </c>
      <c r="K170" s="20" t="s">
        <v>556</v>
      </c>
      <c r="L170" s="20" t="n">
        <v>99903</v>
      </c>
      <c r="M170" s="20" t="s">
        <v>65</v>
      </c>
      <c r="N170" s="20" t="s">
        <v>642</v>
      </c>
      <c r="O170" s="20" t="s">
        <v>76</v>
      </c>
      <c r="P170" s="20" t="s">
        <v>122</v>
      </c>
      <c r="Q170" s="20" t="s">
        <v>643</v>
      </c>
      <c r="R170" s="22" t="n">
        <v>55.62</v>
      </c>
      <c r="S170" s="20" t="n">
        <v>2</v>
      </c>
      <c r="T170" s="20" t="n">
        <v>0</v>
      </c>
      <c r="U170" s="22" t="n">
        <v>18.3</v>
      </c>
      <c r="V170" s="23" t="n">
        <f aca="false">IF(ISNUMBER(C170),YEAR(C170),"")</f>
        <v>2014</v>
      </c>
      <c r="W170" s="23" t="n">
        <f aca="false">IF(ISNUMBER(C170),MONTH(C170),"")</f>
        <v>12</v>
      </c>
      <c r="X170" s="23" t="str">
        <f aca="false">IF(T170="","",IF(T170=0,"No discount",IF(T170&lt;=0.2,"Low (1-20%)",IF(T170&lt;=0.4,"Medium (21-40%)","High (&gt;40%)"))))</f>
        <v>No discount</v>
      </c>
      <c r="Y170" s="23" t="n">
        <f aca="false">IF(AND(ISNUMBER(C170),ISNUMBER(D170)),D170-C170,"")</f>
        <v>1</v>
      </c>
      <c r="Z170" s="23" t="n">
        <f aca="false">IF(B170="","",IF(MATCH(B170,$B$2:$B$12000,0)=ROW()-1,1,0))</f>
        <v>0</v>
      </c>
    </row>
    <row r="171" customFormat="false" ht="15" hidden="false" customHeight="false" outlineLevel="0" collapsed="false">
      <c r="A171" s="20" t="n">
        <v>170</v>
      </c>
      <c r="B171" s="20" t="s">
        <v>637</v>
      </c>
      <c r="C171" s="21" t="n">
        <v>41982</v>
      </c>
      <c r="D171" s="21" t="n">
        <v>41983</v>
      </c>
      <c r="E171" s="20" t="s">
        <v>104</v>
      </c>
      <c r="F171" s="20" t="s">
        <v>286</v>
      </c>
      <c r="G171" s="20" t="s">
        <v>287</v>
      </c>
      <c r="H171" s="20" t="s">
        <v>61</v>
      </c>
      <c r="I171" s="20" t="s">
        <v>62</v>
      </c>
      <c r="J171" s="20" t="s">
        <v>63</v>
      </c>
      <c r="K171" s="20" t="s">
        <v>556</v>
      </c>
      <c r="L171" s="20" t="n">
        <v>40496</v>
      </c>
      <c r="M171" s="20" t="s">
        <v>65</v>
      </c>
      <c r="N171" s="20" t="s">
        <v>644</v>
      </c>
      <c r="O171" s="20" t="s">
        <v>67</v>
      </c>
      <c r="P171" s="20" t="s">
        <v>68</v>
      </c>
      <c r="Q171" s="20" t="s">
        <v>645</v>
      </c>
      <c r="R171" s="22" t="n">
        <v>2590.32</v>
      </c>
      <c r="S171" s="20" t="n">
        <v>1</v>
      </c>
      <c r="T171" s="20" t="n">
        <v>0</v>
      </c>
      <c r="U171" s="22" t="n">
        <v>693.07</v>
      </c>
      <c r="V171" s="23" t="n">
        <f aca="false">IF(ISNUMBER(C171),YEAR(C171),"")</f>
        <v>2014</v>
      </c>
      <c r="W171" s="23" t="n">
        <f aca="false">IF(ISNUMBER(C171),MONTH(C171),"")</f>
        <v>12</v>
      </c>
      <c r="X171" s="23" t="str">
        <f aca="false">IF(T171="","",IF(T171=0,"No discount",IF(T171&lt;=0.2,"Low (1-20%)",IF(T171&lt;=0.4,"Medium (21-40%)","High (&gt;40%)"))))</f>
        <v>No discount</v>
      </c>
      <c r="Y171" s="23" t="n">
        <f aca="false">IF(AND(ISNUMBER(C171),ISNUMBER(D171)),D171-C171,"")</f>
        <v>1</v>
      </c>
      <c r="Z171" s="23" t="n">
        <f aca="false">IF(B171="","",IF(MATCH(B171,$B$2:$B$12000,0)=ROW()-1,1,0))</f>
        <v>0</v>
      </c>
    </row>
    <row r="172" customFormat="false" ht="15" hidden="false" customHeight="false" outlineLevel="0" collapsed="false">
      <c r="A172" s="20" t="n">
        <v>171</v>
      </c>
      <c r="B172" s="20" t="s">
        <v>646</v>
      </c>
      <c r="C172" s="21" t="n">
        <v>41982</v>
      </c>
      <c r="D172" s="21" t="n">
        <v>41984</v>
      </c>
      <c r="E172" s="20" t="s">
        <v>58</v>
      </c>
      <c r="F172" s="20" t="s">
        <v>264</v>
      </c>
      <c r="G172" s="20" t="s">
        <v>265</v>
      </c>
      <c r="H172" s="20" t="s">
        <v>61</v>
      </c>
      <c r="I172" s="20" t="s">
        <v>62</v>
      </c>
      <c r="J172" s="20" t="s">
        <v>63</v>
      </c>
      <c r="K172" s="20" t="s">
        <v>647</v>
      </c>
      <c r="L172" s="20" t="n">
        <v>61314</v>
      </c>
      <c r="M172" s="20" t="s">
        <v>97</v>
      </c>
      <c r="N172" s="20" t="s">
        <v>648</v>
      </c>
      <c r="O172" s="20" t="s">
        <v>76</v>
      </c>
      <c r="P172" s="20" t="s">
        <v>185</v>
      </c>
      <c r="Q172" s="20" t="s">
        <v>649</v>
      </c>
      <c r="R172" s="22" t="n">
        <v>77.43</v>
      </c>
      <c r="S172" s="20" t="n">
        <v>6</v>
      </c>
      <c r="T172" s="20" t="n">
        <v>0.4</v>
      </c>
      <c r="U172" s="22" t="n">
        <v>8.66</v>
      </c>
      <c r="V172" s="23" t="n">
        <f aca="false">IF(ISNUMBER(C172),YEAR(C172),"")</f>
        <v>2014</v>
      </c>
      <c r="W172" s="23" t="n">
        <f aca="false">IF(ISNUMBER(C172),MONTH(C172),"")</f>
        <v>12</v>
      </c>
      <c r="X172" s="23" t="str">
        <f aca="false">IF(T172="","",IF(T172=0,"No discount",IF(T172&lt;=0.2,"Low (1-20%)",IF(T172&lt;=0.4,"Medium (21-40%)","High (&gt;40%)"))))</f>
        <v>Medium (21-40%)</v>
      </c>
      <c r="Y172" s="23" t="n">
        <f aca="false">IF(AND(ISNUMBER(C172),ISNUMBER(D172)),D172-C172,"")</f>
        <v>2</v>
      </c>
      <c r="Z172" s="23" t="n">
        <f aca="false">IF(B172="","",IF(MATCH(B172,$B$2:$B$12000,0)=ROW()-1,1,0))</f>
        <v>1</v>
      </c>
    </row>
    <row r="173" customFormat="false" ht="15" hidden="false" customHeight="false" outlineLevel="0" collapsed="false">
      <c r="A173" s="20" t="n">
        <v>172</v>
      </c>
      <c r="B173" s="20" t="s">
        <v>646</v>
      </c>
      <c r="C173" s="21" t="n">
        <v>41982</v>
      </c>
      <c r="D173" s="21" t="n">
        <v>41984</v>
      </c>
      <c r="E173" s="20" t="s">
        <v>71</v>
      </c>
      <c r="F173" s="20" t="s">
        <v>264</v>
      </c>
      <c r="G173" s="20" t="s">
        <v>265</v>
      </c>
      <c r="H173" s="20" t="s">
        <v>61</v>
      </c>
      <c r="I173" s="20" t="s">
        <v>62</v>
      </c>
      <c r="J173" s="20" t="s">
        <v>63</v>
      </c>
      <c r="K173" s="20" t="s">
        <v>647</v>
      </c>
      <c r="L173" s="20" t="n">
        <v>35972</v>
      </c>
      <c r="M173" s="20" t="s">
        <v>97</v>
      </c>
      <c r="N173" s="20" t="s">
        <v>650</v>
      </c>
      <c r="O173" s="20" t="s">
        <v>76</v>
      </c>
      <c r="P173" s="20" t="s">
        <v>185</v>
      </c>
      <c r="Q173" s="20" t="s">
        <v>651</v>
      </c>
      <c r="R173" s="22" t="n">
        <v>18.01</v>
      </c>
      <c r="S173" s="20" t="n">
        <v>4</v>
      </c>
      <c r="T173" s="20" t="n">
        <v>0.7</v>
      </c>
      <c r="U173" s="22" t="n">
        <v>-0.84</v>
      </c>
      <c r="V173" s="23" t="n">
        <f aca="false">IF(ISNUMBER(C173),YEAR(C173),"")</f>
        <v>2014</v>
      </c>
      <c r="W173" s="23" t="n">
        <f aca="false">IF(ISNUMBER(C173),MONTH(C173),"")</f>
        <v>12</v>
      </c>
      <c r="X173" s="23" t="str">
        <f aca="false">IF(T173="","",IF(T173=0,"No discount",IF(T173&lt;=0.2,"Low (1-20%)",IF(T173&lt;=0.4,"Medium (21-40%)","High (&gt;40%)"))))</f>
        <v>High (&gt;40%)</v>
      </c>
      <c r="Y173" s="23" t="n">
        <f aca="false">IF(AND(ISNUMBER(C173),ISNUMBER(D173)),D173-C173,"")</f>
        <v>2</v>
      </c>
      <c r="Z173" s="23" t="n">
        <f aca="false">IF(B173="","",IF(MATCH(B173,$B$2:$B$12000,0)=ROW()-1,1,0))</f>
        <v>0</v>
      </c>
    </row>
    <row r="174" customFormat="false" ht="15" hidden="false" customHeight="false" outlineLevel="0" collapsed="false">
      <c r="A174" s="20" t="n">
        <v>173</v>
      </c>
      <c r="B174" s="20" t="s">
        <v>646</v>
      </c>
      <c r="C174" s="21" t="n">
        <v>41982</v>
      </c>
      <c r="D174" s="21" t="n">
        <v>41984</v>
      </c>
      <c r="E174" s="20" t="s">
        <v>58</v>
      </c>
      <c r="F174" s="20" t="s">
        <v>264</v>
      </c>
      <c r="G174" s="20" t="s">
        <v>265</v>
      </c>
      <c r="H174" s="20" t="s">
        <v>61</v>
      </c>
      <c r="I174" s="20" t="s">
        <v>62</v>
      </c>
      <c r="J174" s="20" t="s">
        <v>63</v>
      </c>
      <c r="K174" s="20" t="s">
        <v>647</v>
      </c>
      <c r="L174" s="20" t="n">
        <v>95999</v>
      </c>
      <c r="M174" s="20" t="s">
        <v>97</v>
      </c>
      <c r="N174" s="20" t="s">
        <v>652</v>
      </c>
      <c r="O174" s="20" t="s">
        <v>76</v>
      </c>
      <c r="P174" s="20" t="s">
        <v>236</v>
      </c>
      <c r="Q174" s="20" t="s">
        <v>302</v>
      </c>
      <c r="R174" s="22" t="n">
        <v>63.19</v>
      </c>
      <c r="S174" s="20" t="n">
        <v>6</v>
      </c>
      <c r="T174" s="20" t="n">
        <v>0.7</v>
      </c>
      <c r="U174" s="22" t="n">
        <v>0.33</v>
      </c>
      <c r="V174" s="23" t="n">
        <f aca="false">IF(ISNUMBER(C174),YEAR(C174),"")</f>
        <v>2014</v>
      </c>
      <c r="W174" s="23" t="n">
        <f aca="false">IF(ISNUMBER(C174),MONTH(C174),"")</f>
        <v>12</v>
      </c>
      <c r="X174" s="23" t="str">
        <f aca="false">IF(T174="","",IF(T174=0,"No discount",IF(T174&lt;=0.2,"Low (1-20%)",IF(T174&lt;=0.4,"Medium (21-40%)","High (&gt;40%)"))))</f>
        <v>High (&gt;40%)</v>
      </c>
      <c r="Y174" s="23" t="n">
        <f aca="false">IF(AND(ISNUMBER(C174),ISNUMBER(D174)),D174-C174,"")</f>
        <v>2</v>
      </c>
      <c r="Z174" s="23" t="n">
        <f aca="false">IF(B174="","",IF(MATCH(B174,$B$2:$B$12000,0)=ROW()-1,1,0))</f>
        <v>0</v>
      </c>
    </row>
    <row r="175" customFormat="false" ht="15" hidden="false" customHeight="false" outlineLevel="0" collapsed="false">
      <c r="A175" s="20" t="n">
        <v>174</v>
      </c>
      <c r="B175" s="20" t="s">
        <v>653</v>
      </c>
      <c r="C175" s="21" t="n">
        <v>41983</v>
      </c>
      <c r="D175" s="21" t="n">
        <v>41987</v>
      </c>
      <c r="E175" s="20" t="s">
        <v>104</v>
      </c>
      <c r="F175" s="20" t="s">
        <v>560</v>
      </c>
      <c r="G175" s="20" t="s">
        <v>561</v>
      </c>
      <c r="H175" s="20" t="s">
        <v>85</v>
      </c>
      <c r="I175" s="20" t="s">
        <v>62</v>
      </c>
      <c r="J175" s="20" t="s">
        <v>63</v>
      </c>
      <c r="K175" s="20" t="s">
        <v>271</v>
      </c>
      <c r="L175" s="20" t="n">
        <v>88351</v>
      </c>
      <c r="M175" s="20" t="s">
        <v>97</v>
      </c>
      <c r="N175" s="20" t="s">
        <v>654</v>
      </c>
      <c r="O175" s="20" t="s">
        <v>76</v>
      </c>
      <c r="P175" s="20" t="s">
        <v>128</v>
      </c>
      <c r="Q175" s="20" t="s">
        <v>617</v>
      </c>
      <c r="R175" s="22" t="n">
        <v>306.3</v>
      </c>
      <c r="S175" s="20" t="n">
        <v>2</v>
      </c>
      <c r="T175" s="20" t="n">
        <v>0</v>
      </c>
      <c r="U175" s="22" t="n">
        <v>34.07</v>
      </c>
      <c r="V175" s="23" t="n">
        <f aca="false">IF(ISNUMBER(C175),YEAR(C175),"")</f>
        <v>2014</v>
      </c>
      <c r="W175" s="23" t="n">
        <f aca="false">IF(ISNUMBER(C175),MONTH(C175),"")</f>
        <v>12</v>
      </c>
      <c r="X175" s="23" t="str">
        <f aca="false">IF(T175="","",IF(T175=0,"No discount",IF(T175&lt;=0.2,"Low (1-20%)",IF(T175&lt;=0.4,"Medium (21-40%)","High (&gt;40%)"))))</f>
        <v>No discount</v>
      </c>
      <c r="Y175" s="23" t="n">
        <f aca="false">IF(AND(ISNUMBER(C175),ISNUMBER(D175)),D175-C175,"")</f>
        <v>4</v>
      </c>
      <c r="Z175" s="23" t="n">
        <f aca="false">IF(B175="","",IF(MATCH(B175,$B$2:$B$12000,0)=ROW()-1,1,0))</f>
        <v>1</v>
      </c>
    </row>
    <row r="176" customFormat="false" ht="15" hidden="false" customHeight="false" outlineLevel="0" collapsed="false">
      <c r="A176" s="20" t="n">
        <v>175</v>
      </c>
      <c r="B176" s="20" t="s">
        <v>653</v>
      </c>
      <c r="C176" s="21" t="n">
        <v>41983</v>
      </c>
      <c r="D176" s="21" t="n">
        <v>41987</v>
      </c>
      <c r="E176" s="20" t="s">
        <v>104</v>
      </c>
      <c r="F176" s="20" t="s">
        <v>560</v>
      </c>
      <c r="G176" s="20" t="s">
        <v>561</v>
      </c>
      <c r="H176" s="20" t="s">
        <v>85</v>
      </c>
      <c r="I176" s="20" t="s">
        <v>62</v>
      </c>
      <c r="J176" s="20" t="s">
        <v>63</v>
      </c>
      <c r="K176" s="20" t="s">
        <v>271</v>
      </c>
      <c r="L176" s="20" t="n">
        <v>14247</v>
      </c>
      <c r="M176" s="20" t="s">
        <v>97</v>
      </c>
      <c r="N176" s="20" t="s">
        <v>655</v>
      </c>
      <c r="O176" s="20" t="s">
        <v>114</v>
      </c>
      <c r="P176" s="20" t="s">
        <v>115</v>
      </c>
      <c r="Q176" s="20" t="s">
        <v>656</v>
      </c>
      <c r="R176" s="22" t="n">
        <v>4036.78</v>
      </c>
      <c r="S176" s="20" t="n">
        <v>8</v>
      </c>
      <c r="T176" s="20" t="n">
        <v>0.1</v>
      </c>
      <c r="U176" s="22" t="n">
        <v>202.82</v>
      </c>
      <c r="V176" s="23" t="n">
        <f aca="false">IF(ISNUMBER(C176),YEAR(C176),"")</f>
        <v>2014</v>
      </c>
      <c r="W176" s="23" t="n">
        <f aca="false">IF(ISNUMBER(C176),MONTH(C176),"")</f>
        <v>12</v>
      </c>
      <c r="X176" s="23" t="str">
        <f aca="false">IF(T176="","",IF(T176=0,"No discount",IF(T176&lt;=0.2,"Low (1-20%)",IF(T176&lt;=0.4,"Medium (21-40%)","High (&gt;40%)"))))</f>
        <v>Low (1-20%)</v>
      </c>
      <c r="Y176" s="23" t="n">
        <f aca="false">IF(AND(ISNUMBER(C176),ISNUMBER(D176)),D176-C176,"")</f>
        <v>4</v>
      </c>
      <c r="Z176" s="23" t="n">
        <f aca="false">IF(B176="","",IF(MATCH(B176,$B$2:$B$12000,0)=ROW()-1,1,0))</f>
        <v>0</v>
      </c>
    </row>
    <row r="177" customFormat="false" ht="15" hidden="false" customHeight="false" outlineLevel="0" collapsed="false">
      <c r="A177" s="20" t="n">
        <v>176</v>
      </c>
      <c r="B177" s="20" t="s">
        <v>653</v>
      </c>
      <c r="C177" s="21" t="n">
        <v>41983</v>
      </c>
      <c r="D177" s="21" t="n">
        <v>41987</v>
      </c>
      <c r="E177" s="20" t="s">
        <v>104</v>
      </c>
      <c r="F177" s="20" t="s">
        <v>560</v>
      </c>
      <c r="G177" s="20" t="s">
        <v>561</v>
      </c>
      <c r="H177" s="20" t="s">
        <v>85</v>
      </c>
      <c r="I177" s="20" t="s">
        <v>62</v>
      </c>
      <c r="J177" s="20" t="s">
        <v>63</v>
      </c>
      <c r="K177" s="20" t="s">
        <v>271</v>
      </c>
      <c r="L177" s="20" t="n">
        <v>68933</v>
      </c>
      <c r="M177" s="20" t="s">
        <v>97</v>
      </c>
      <c r="N177" s="20" t="s">
        <v>657</v>
      </c>
      <c r="O177" s="20" t="s">
        <v>76</v>
      </c>
      <c r="P177" s="20" t="s">
        <v>80</v>
      </c>
      <c r="Q177" s="20" t="s">
        <v>658</v>
      </c>
      <c r="R177" s="22" t="n">
        <v>106.69</v>
      </c>
      <c r="S177" s="20" t="n">
        <v>5</v>
      </c>
      <c r="T177" s="20" t="n">
        <v>0</v>
      </c>
      <c r="U177" s="22" t="n">
        <v>20.5</v>
      </c>
      <c r="V177" s="23" t="n">
        <f aca="false">IF(ISNUMBER(C177),YEAR(C177),"")</f>
        <v>2014</v>
      </c>
      <c r="W177" s="23" t="n">
        <f aca="false">IF(ISNUMBER(C177),MONTH(C177),"")</f>
        <v>12</v>
      </c>
      <c r="X177" s="23" t="str">
        <f aca="false">IF(T177="","",IF(T177=0,"No discount",IF(T177&lt;=0.2,"Low (1-20%)",IF(T177&lt;=0.4,"Medium (21-40%)","High (&gt;40%)"))))</f>
        <v>No discount</v>
      </c>
      <c r="Y177" s="23" t="n">
        <f aca="false">IF(AND(ISNUMBER(C177),ISNUMBER(D177)),D177-C177,"")</f>
        <v>4</v>
      </c>
      <c r="Z177" s="23" t="n">
        <f aca="false">IF(B177="","",IF(MATCH(B177,$B$2:$B$12000,0)=ROW()-1,1,0))</f>
        <v>0</v>
      </c>
    </row>
    <row r="178" customFormat="false" ht="15" hidden="false" customHeight="false" outlineLevel="0" collapsed="false">
      <c r="A178" s="20" t="n">
        <v>177</v>
      </c>
      <c r="B178" s="20" t="s">
        <v>653</v>
      </c>
      <c r="C178" s="21" t="n">
        <v>41983</v>
      </c>
      <c r="D178" s="21" t="n">
        <v>41987</v>
      </c>
      <c r="E178" s="20" t="s">
        <v>90</v>
      </c>
      <c r="F178" s="20" t="s">
        <v>560</v>
      </c>
      <c r="G178" s="20" t="s">
        <v>561</v>
      </c>
      <c r="H178" s="20" t="s">
        <v>85</v>
      </c>
      <c r="I178" s="20" t="s">
        <v>62</v>
      </c>
      <c r="J178" s="20" t="s">
        <v>63</v>
      </c>
      <c r="K178" s="20" t="s">
        <v>271</v>
      </c>
      <c r="L178" s="20" t="n">
        <v>22539</v>
      </c>
      <c r="M178" s="20" t="s">
        <v>97</v>
      </c>
      <c r="N178" s="20" t="s">
        <v>659</v>
      </c>
      <c r="O178" s="20" t="s">
        <v>76</v>
      </c>
      <c r="P178" s="20" t="s">
        <v>101</v>
      </c>
      <c r="Q178" s="20" t="s">
        <v>660</v>
      </c>
      <c r="R178" s="22" t="n">
        <v>97.07</v>
      </c>
      <c r="S178" s="20" t="n">
        <v>3</v>
      </c>
      <c r="T178" s="20" t="n">
        <v>0</v>
      </c>
      <c r="U178" s="22" t="n">
        <v>38.28</v>
      </c>
      <c r="V178" s="23" t="n">
        <f aca="false">IF(ISNUMBER(C178),YEAR(C178),"")</f>
        <v>2014</v>
      </c>
      <c r="W178" s="23" t="n">
        <f aca="false">IF(ISNUMBER(C178),MONTH(C178),"")</f>
        <v>12</v>
      </c>
      <c r="X178" s="23" t="str">
        <f aca="false">IF(T178="","",IF(T178=0,"No discount",IF(T178&lt;=0.2,"Low (1-20%)",IF(T178&lt;=0.4,"Medium (21-40%)","High (&gt;40%)"))))</f>
        <v>No discount</v>
      </c>
      <c r="Y178" s="23" t="n">
        <f aca="false">IF(AND(ISNUMBER(C178),ISNUMBER(D178)),D178-C178,"")</f>
        <v>4</v>
      </c>
      <c r="Z178" s="23" t="n">
        <f aca="false">IF(B178="","",IF(MATCH(B178,$B$2:$B$12000,0)=ROW()-1,1,0))</f>
        <v>0</v>
      </c>
    </row>
    <row r="179" customFormat="false" ht="15" hidden="false" customHeight="false" outlineLevel="0" collapsed="false">
      <c r="A179" s="20" t="n">
        <v>178</v>
      </c>
      <c r="B179" s="20" t="s">
        <v>661</v>
      </c>
      <c r="C179" s="21" t="n">
        <v>41984</v>
      </c>
      <c r="D179" s="21" t="n">
        <v>41988</v>
      </c>
      <c r="E179" s="20" t="s">
        <v>58</v>
      </c>
      <c r="F179" s="20" t="s">
        <v>662</v>
      </c>
      <c r="G179" s="20" t="s">
        <v>663</v>
      </c>
      <c r="H179" s="20" t="s">
        <v>61</v>
      </c>
      <c r="I179" s="20" t="s">
        <v>62</v>
      </c>
      <c r="J179" s="20" t="s">
        <v>63</v>
      </c>
      <c r="K179" s="20" t="s">
        <v>152</v>
      </c>
      <c r="L179" s="20" t="n">
        <v>64437</v>
      </c>
      <c r="M179" s="20" t="s">
        <v>153</v>
      </c>
      <c r="N179" s="20" t="s">
        <v>664</v>
      </c>
      <c r="O179" s="20" t="s">
        <v>114</v>
      </c>
      <c r="P179" s="20" t="s">
        <v>139</v>
      </c>
      <c r="Q179" s="20" t="s">
        <v>665</v>
      </c>
      <c r="R179" s="22" t="n">
        <v>705.7</v>
      </c>
      <c r="S179" s="20" t="n">
        <v>2</v>
      </c>
      <c r="T179" s="20" t="n">
        <v>0.2</v>
      </c>
      <c r="U179" s="22" t="n">
        <v>-57.79</v>
      </c>
      <c r="V179" s="23" t="n">
        <f aca="false">IF(ISNUMBER(C179),YEAR(C179),"")</f>
        <v>2014</v>
      </c>
      <c r="W179" s="23" t="n">
        <f aca="false">IF(ISNUMBER(C179),MONTH(C179),"")</f>
        <v>12</v>
      </c>
      <c r="X179" s="23" t="str">
        <f aca="false">IF(T179="","",IF(T179=0,"No discount",IF(T179&lt;=0.2,"Low (1-20%)",IF(T179&lt;=0.4,"Medium (21-40%)","High (&gt;40%)"))))</f>
        <v>Low (1-20%)</v>
      </c>
      <c r="Y179" s="23" t="n">
        <f aca="false">IF(AND(ISNUMBER(C179),ISNUMBER(D179)),D179-C179,"")</f>
        <v>4</v>
      </c>
      <c r="Z179" s="23" t="n">
        <f aca="false">IF(B179="","",IF(MATCH(B179,$B$2:$B$12000,0)=ROW()-1,1,0))</f>
        <v>1</v>
      </c>
    </row>
    <row r="180" customFormat="false" ht="15" hidden="false" customHeight="false" outlineLevel="0" collapsed="false">
      <c r="A180" s="20" t="n">
        <v>179</v>
      </c>
      <c r="B180" s="20" t="s">
        <v>661</v>
      </c>
      <c r="C180" s="21" t="n">
        <v>41984</v>
      </c>
      <c r="D180" s="21" t="n">
        <v>41988</v>
      </c>
      <c r="E180" s="20" t="s">
        <v>90</v>
      </c>
      <c r="F180" s="20" t="s">
        <v>662</v>
      </c>
      <c r="G180" s="20" t="s">
        <v>663</v>
      </c>
      <c r="H180" s="20" t="s">
        <v>61</v>
      </c>
      <c r="I180" s="20" t="s">
        <v>62</v>
      </c>
      <c r="J180" s="20" t="s">
        <v>63</v>
      </c>
      <c r="K180" s="20" t="s">
        <v>152</v>
      </c>
      <c r="L180" s="20" t="n">
        <v>49765</v>
      </c>
      <c r="M180" s="20" t="s">
        <v>153</v>
      </c>
      <c r="N180" s="20" t="s">
        <v>666</v>
      </c>
      <c r="O180" s="20" t="s">
        <v>76</v>
      </c>
      <c r="P180" s="20" t="s">
        <v>80</v>
      </c>
      <c r="Q180" s="20" t="s">
        <v>667</v>
      </c>
      <c r="R180" s="22" t="n">
        <v>407.77</v>
      </c>
      <c r="S180" s="20" t="n">
        <v>6</v>
      </c>
      <c r="T180" s="20" t="n">
        <v>0</v>
      </c>
      <c r="U180" s="22" t="n">
        <v>124.05</v>
      </c>
      <c r="V180" s="23" t="n">
        <f aca="false">IF(ISNUMBER(C180),YEAR(C180),"")</f>
        <v>2014</v>
      </c>
      <c r="W180" s="23" t="n">
        <f aca="false">IF(ISNUMBER(C180),MONTH(C180),"")</f>
        <v>12</v>
      </c>
      <c r="X180" s="23" t="str">
        <f aca="false">IF(T180="","",IF(T180=0,"No discount",IF(T180&lt;=0.2,"Low (1-20%)",IF(T180&lt;=0.4,"Medium (21-40%)","High (&gt;40%)"))))</f>
        <v>No discount</v>
      </c>
      <c r="Y180" s="23" t="n">
        <f aca="false">IF(AND(ISNUMBER(C180),ISNUMBER(D180)),D180-C180,"")</f>
        <v>4</v>
      </c>
      <c r="Z180" s="23" t="n">
        <f aca="false">IF(B180="","",IF(MATCH(B180,$B$2:$B$12000,0)=ROW()-1,1,0))</f>
        <v>0</v>
      </c>
    </row>
    <row r="181" customFormat="false" ht="15" hidden="false" customHeight="false" outlineLevel="0" collapsed="false">
      <c r="A181" s="20" t="n">
        <v>180</v>
      </c>
      <c r="B181" s="20" t="s">
        <v>661</v>
      </c>
      <c r="C181" s="21" t="n">
        <v>41984</v>
      </c>
      <c r="D181" s="21" t="n">
        <v>41988</v>
      </c>
      <c r="E181" s="20" t="s">
        <v>71</v>
      </c>
      <c r="F181" s="20" t="s">
        <v>662</v>
      </c>
      <c r="G181" s="20" t="s">
        <v>663</v>
      </c>
      <c r="H181" s="20" t="s">
        <v>61</v>
      </c>
      <c r="I181" s="20" t="s">
        <v>62</v>
      </c>
      <c r="J181" s="20" t="s">
        <v>63</v>
      </c>
      <c r="K181" s="20" t="s">
        <v>152</v>
      </c>
      <c r="L181" s="20" t="n">
        <v>52502</v>
      </c>
      <c r="M181" s="20" t="s">
        <v>153</v>
      </c>
      <c r="N181" s="20" t="s">
        <v>668</v>
      </c>
      <c r="O181" s="20" t="s">
        <v>114</v>
      </c>
      <c r="P181" s="20" t="s">
        <v>115</v>
      </c>
      <c r="Q181" s="20" t="s">
        <v>669</v>
      </c>
      <c r="R181" s="22" t="n">
        <v>795.35</v>
      </c>
      <c r="S181" s="20" t="n">
        <v>2</v>
      </c>
      <c r="T181" s="20" t="n">
        <v>0</v>
      </c>
      <c r="U181" s="22" t="n">
        <v>81.66</v>
      </c>
      <c r="V181" s="23" t="n">
        <f aca="false">IF(ISNUMBER(C181),YEAR(C181),"")</f>
        <v>2014</v>
      </c>
      <c r="W181" s="23" t="n">
        <f aca="false">IF(ISNUMBER(C181),MONTH(C181),"")</f>
        <v>12</v>
      </c>
      <c r="X181" s="23" t="str">
        <f aca="false">IF(T181="","",IF(T181=0,"No discount",IF(T181&lt;=0.2,"Low (1-20%)",IF(T181&lt;=0.4,"Medium (21-40%)","High (&gt;40%)"))))</f>
        <v>No discount</v>
      </c>
      <c r="Y181" s="23" t="n">
        <f aca="false">IF(AND(ISNUMBER(C181),ISNUMBER(D181)),D181-C181,"")</f>
        <v>4</v>
      </c>
      <c r="Z181" s="23" t="n">
        <f aca="false">IF(B181="","",IF(MATCH(B181,$B$2:$B$12000,0)=ROW()-1,1,0))</f>
        <v>0</v>
      </c>
    </row>
    <row r="182" customFormat="false" ht="15" hidden="false" customHeight="false" outlineLevel="0" collapsed="false">
      <c r="A182" s="20" t="n">
        <v>181</v>
      </c>
      <c r="B182" s="20" t="s">
        <v>670</v>
      </c>
      <c r="C182" s="21" t="n">
        <v>41985</v>
      </c>
      <c r="D182" s="21" t="n">
        <v>41990</v>
      </c>
      <c r="E182" s="20" t="s">
        <v>58</v>
      </c>
      <c r="F182" s="20" t="s">
        <v>671</v>
      </c>
      <c r="G182" s="20" t="s">
        <v>672</v>
      </c>
      <c r="H182" s="20" t="s">
        <v>61</v>
      </c>
      <c r="I182" s="20" t="s">
        <v>62</v>
      </c>
      <c r="J182" s="20" t="s">
        <v>63</v>
      </c>
      <c r="K182" s="20" t="s">
        <v>673</v>
      </c>
      <c r="L182" s="20" t="n">
        <v>80096</v>
      </c>
      <c r="M182" s="20" t="s">
        <v>97</v>
      </c>
      <c r="N182" s="20" t="s">
        <v>674</v>
      </c>
      <c r="O182" s="20" t="s">
        <v>114</v>
      </c>
      <c r="P182" s="20" t="s">
        <v>210</v>
      </c>
      <c r="Q182" s="20" t="s">
        <v>675</v>
      </c>
      <c r="R182" s="22" t="n">
        <v>247.1</v>
      </c>
      <c r="S182" s="20" t="n">
        <v>6</v>
      </c>
      <c r="T182" s="20" t="n">
        <v>0</v>
      </c>
      <c r="U182" s="22" t="n">
        <v>2.5</v>
      </c>
      <c r="V182" s="23" t="n">
        <f aca="false">IF(ISNUMBER(C182),YEAR(C182),"")</f>
        <v>2014</v>
      </c>
      <c r="W182" s="23" t="n">
        <f aca="false">IF(ISNUMBER(C182),MONTH(C182),"")</f>
        <v>12</v>
      </c>
      <c r="X182" s="23" t="str">
        <f aca="false">IF(T182="","",IF(T182=0,"No discount",IF(T182&lt;=0.2,"Low (1-20%)",IF(T182&lt;=0.4,"Medium (21-40%)","High (&gt;40%)"))))</f>
        <v>No discount</v>
      </c>
      <c r="Y182" s="23" t="n">
        <f aca="false">IF(AND(ISNUMBER(C182),ISNUMBER(D182)),D182-C182,"")</f>
        <v>5</v>
      </c>
      <c r="Z182" s="23" t="n">
        <f aca="false">IF(B182="","",IF(MATCH(B182,$B$2:$B$12000,0)=ROW()-1,1,0))</f>
        <v>1</v>
      </c>
    </row>
    <row r="183" customFormat="false" ht="15" hidden="false" customHeight="false" outlineLevel="0" collapsed="false">
      <c r="A183" s="20" t="n">
        <v>182</v>
      </c>
      <c r="B183" s="20" t="s">
        <v>676</v>
      </c>
      <c r="C183" s="21" t="n">
        <v>41995</v>
      </c>
      <c r="D183" s="21" t="n">
        <v>41996</v>
      </c>
      <c r="E183" s="20" t="s">
        <v>58</v>
      </c>
      <c r="F183" s="20" t="s">
        <v>677</v>
      </c>
      <c r="G183" s="20" t="s">
        <v>678</v>
      </c>
      <c r="H183" s="20" t="s">
        <v>61</v>
      </c>
      <c r="I183" s="20" t="s">
        <v>62</v>
      </c>
      <c r="J183" s="20" t="s">
        <v>63</v>
      </c>
      <c r="K183" s="20" t="s">
        <v>525</v>
      </c>
      <c r="L183" s="20" t="n">
        <v>21408</v>
      </c>
      <c r="M183" s="20" t="s">
        <v>97</v>
      </c>
      <c r="N183" s="20" t="s">
        <v>679</v>
      </c>
      <c r="O183" s="20" t="s">
        <v>114</v>
      </c>
      <c r="P183" s="20" t="s">
        <v>139</v>
      </c>
      <c r="Q183" s="20" t="s">
        <v>680</v>
      </c>
      <c r="R183" s="22" t="n">
        <v>979.69</v>
      </c>
      <c r="S183" s="20" t="n">
        <v>8</v>
      </c>
      <c r="T183" s="20" t="n">
        <v>0.5</v>
      </c>
      <c r="U183" s="22" t="n">
        <v>-323.93</v>
      </c>
      <c r="V183" s="23" t="n">
        <f aca="false">IF(ISNUMBER(C183),YEAR(C183),"")</f>
        <v>2014</v>
      </c>
      <c r="W183" s="23" t="n">
        <f aca="false">IF(ISNUMBER(C183),MONTH(C183),"")</f>
        <v>12</v>
      </c>
      <c r="X183" s="23" t="str">
        <f aca="false">IF(T183="","",IF(T183=0,"No discount",IF(T183&lt;=0.2,"Low (1-20%)",IF(T183&lt;=0.4,"Medium (21-40%)","High (&gt;40%)"))))</f>
        <v>High (&gt;40%)</v>
      </c>
      <c r="Y183" s="23" t="n">
        <f aca="false">IF(AND(ISNUMBER(C183),ISNUMBER(D183)),D183-C183,"")</f>
        <v>1</v>
      </c>
      <c r="Z183" s="23" t="n">
        <f aca="false">IF(B183="","",IF(MATCH(B183,$B$2:$B$12000,0)=ROW()-1,1,0))</f>
        <v>1</v>
      </c>
    </row>
    <row r="184" customFormat="false" ht="15" hidden="false" customHeight="false" outlineLevel="0" collapsed="false">
      <c r="A184" s="20" t="n">
        <v>183</v>
      </c>
      <c r="B184" s="20" t="s">
        <v>676</v>
      </c>
      <c r="C184" s="21" t="n">
        <v>41995</v>
      </c>
      <c r="D184" s="21" t="n">
        <v>41996</v>
      </c>
      <c r="E184" s="20" t="s">
        <v>71</v>
      </c>
      <c r="F184" s="20" t="s">
        <v>677</v>
      </c>
      <c r="G184" s="20" t="s">
        <v>678</v>
      </c>
      <c r="H184" s="20" t="s">
        <v>61</v>
      </c>
      <c r="I184" s="20" t="s">
        <v>62</v>
      </c>
      <c r="J184" s="20" t="s">
        <v>63</v>
      </c>
      <c r="K184" s="20" t="s">
        <v>525</v>
      </c>
      <c r="L184" s="20" t="n">
        <v>21052</v>
      </c>
      <c r="M184" s="20" t="s">
        <v>97</v>
      </c>
      <c r="N184" s="20" t="s">
        <v>681</v>
      </c>
      <c r="O184" s="20" t="s">
        <v>76</v>
      </c>
      <c r="P184" s="20" t="s">
        <v>88</v>
      </c>
      <c r="Q184" s="20" t="s">
        <v>682</v>
      </c>
      <c r="R184" s="22" t="n">
        <v>1811</v>
      </c>
      <c r="S184" s="20" t="n">
        <v>7</v>
      </c>
      <c r="T184" s="20" t="n">
        <v>0.2</v>
      </c>
      <c r="U184" s="22" t="n">
        <v>145.13</v>
      </c>
      <c r="V184" s="23" t="n">
        <f aca="false">IF(ISNUMBER(C184),YEAR(C184),"")</f>
        <v>2014</v>
      </c>
      <c r="W184" s="23" t="n">
        <f aca="false">IF(ISNUMBER(C184),MONTH(C184),"")</f>
        <v>12</v>
      </c>
      <c r="X184" s="23" t="str">
        <f aca="false">IF(T184="","",IF(T184=0,"No discount",IF(T184&lt;=0.2,"Low (1-20%)",IF(T184&lt;=0.4,"Medium (21-40%)","High (&gt;40%)"))))</f>
        <v>Low (1-20%)</v>
      </c>
      <c r="Y184" s="23" t="n">
        <f aca="false">IF(AND(ISNUMBER(C184),ISNUMBER(D184)),D184-C184,"")</f>
        <v>1</v>
      </c>
      <c r="Z184" s="23" t="n">
        <f aca="false">IF(B184="","",IF(MATCH(B184,$B$2:$B$12000,0)=ROW()-1,1,0))</f>
        <v>0</v>
      </c>
    </row>
    <row r="185" customFormat="false" ht="15" hidden="false" customHeight="false" outlineLevel="0" collapsed="false">
      <c r="A185" s="20" t="n">
        <v>184</v>
      </c>
      <c r="B185" s="20" t="s">
        <v>683</v>
      </c>
      <c r="C185" s="21" t="n">
        <v>41996</v>
      </c>
      <c r="D185" s="21" t="n">
        <v>42003</v>
      </c>
      <c r="E185" s="20" t="s">
        <v>71</v>
      </c>
      <c r="F185" s="20" t="s">
        <v>223</v>
      </c>
      <c r="G185" s="20" t="s">
        <v>224</v>
      </c>
      <c r="H185" s="20" t="s">
        <v>61</v>
      </c>
      <c r="I185" s="20" t="s">
        <v>62</v>
      </c>
      <c r="J185" s="20" t="s">
        <v>63</v>
      </c>
      <c r="K185" s="20" t="s">
        <v>64</v>
      </c>
      <c r="L185" s="20" t="n">
        <v>15403</v>
      </c>
      <c r="M185" s="20" t="s">
        <v>65</v>
      </c>
      <c r="N185" s="20" t="s">
        <v>684</v>
      </c>
      <c r="O185" s="20" t="s">
        <v>76</v>
      </c>
      <c r="P185" s="20" t="s">
        <v>88</v>
      </c>
      <c r="Q185" s="20" t="s">
        <v>329</v>
      </c>
      <c r="R185" s="22" t="n">
        <v>1246.45</v>
      </c>
      <c r="S185" s="20" t="n">
        <v>4</v>
      </c>
      <c r="T185" s="20" t="n">
        <v>0</v>
      </c>
      <c r="U185" s="22" t="n">
        <v>238.41</v>
      </c>
      <c r="V185" s="23" t="n">
        <f aca="false">IF(ISNUMBER(C185),YEAR(C185),"")</f>
        <v>2014</v>
      </c>
      <c r="W185" s="23" t="n">
        <f aca="false">IF(ISNUMBER(C185),MONTH(C185),"")</f>
        <v>12</v>
      </c>
      <c r="X185" s="23" t="str">
        <f aca="false">IF(T185="","",IF(T185=0,"No discount",IF(T185&lt;=0.2,"Low (1-20%)",IF(T185&lt;=0.4,"Medium (21-40%)","High (&gt;40%)"))))</f>
        <v>No discount</v>
      </c>
      <c r="Y185" s="23" t="n">
        <f aca="false">IF(AND(ISNUMBER(C185),ISNUMBER(D185)),D185-C185,"")</f>
        <v>7</v>
      </c>
      <c r="Z185" s="23" t="n">
        <f aca="false">IF(B185="","",IF(MATCH(B185,$B$2:$B$12000,0)=ROW()-1,1,0))</f>
        <v>1</v>
      </c>
    </row>
    <row r="186" customFormat="false" ht="15" hidden="false" customHeight="false" outlineLevel="0" collapsed="false">
      <c r="A186" s="20" t="n">
        <v>185</v>
      </c>
      <c r="B186" s="20" t="s">
        <v>683</v>
      </c>
      <c r="C186" s="21" t="n">
        <v>41996</v>
      </c>
      <c r="D186" s="21" t="n">
        <v>42003</v>
      </c>
      <c r="E186" s="20" t="s">
        <v>58</v>
      </c>
      <c r="F186" s="20" t="s">
        <v>223</v>
      </c>
      <c r="G186" s="20" t="s">
        <v>224</v>
      </c>
      <c r="H186" s="20" t="s">
        <v>61</v>
      </c>
      <c r="I186" s="20" t="s">
        <v>62</v>
      </c>
      <c r="J186" s="20" t="s">
        <v>63</v>
      </c>
      <c r="K186" s="20" t="s">
        <v>64</v>
      </c>
      <c r="L186" s="20" t="n">
        <v>11411</v>
      </c>
      <c r="M186" s="20" t="s">
        <v>65</v>
      </c>
      <c r="N186" s="20" t="s">
        <v>685</v>
      </c>
      <c r="O186" s="20" t="s">
        <v>76</v>
      </c>
      <c r="P186" s="20" t="s">
        <v>80</v>
      </c>
      <c r="Q186" s="20" t="s">
        <v>686</v>
      </c>
      <c r="R186" s="22" t="n">
        <v>51.92</v>
      </c>
      <c r="S186" s="20" t="n">
        <v>5</v>
      </c>
      <c r="T186" s="20" t="n">
        <v>0.2</v>
      </c>
      <c r="U186" s="22" t="n">
        <v>9.55</v>
      </c>
      <c r="V186" s="23" t="n">
        <f aca="false">IF(ISNUMBER(C186),YEAR(C186),"")</f>
        <v>2014</v>
      </c>
      <c r="W186" s="23" t="n">
        <f aca="false">IF(ISNUMBER(C186),MONTH(C186),"")</f>
        <v>12</v>
      </c>
      <c r="X186" s="23" t="str">
        <f aca="false">IF(T186="","",IF(T186=0,"No discount",IF(T186&lt;=0.2,"Low (1-20%)",IF(T186&lt;=0.4,"Medium (21-40%)","High (&gt;40%)"))))</f>
        <v>Low (1-20%)</v>
      </c>
      <c r="Y186" s="23" t="n">
        <f aca="false">IF(AND(ISNUMBER(C186),ISNUMBER(D186)),D186-C186,"")</f>
        <v>7</v>
      </c>
      <c r="Z186" s="23" t="n">
        <f aca="false">IF(B186="","",IF(MATCH(B186,$B$2:$B$12000,0)=ROW()-1,1,0))</f>
        <v>0</v>
      </c>
    </row>
    <row r="187" customFormat="false" ht="15" hidden="false" customHeight="false" outlineLevel="0" collapsed="false">
      <c r="A187" s="20" t="n">
        <v>186</v>
      </c>
      <c r="B187" s="20" t="s">
        <v>683</v>
      </c>
      <c r="C187" s="21" t="n">
        <v>41996</v>
      </c>
      <c r="D187" s="21" t="n">
        <v>42003</v>
      </c>
      <c r="E187" s="20" t="s">
        <v>58</v>
      </c>
      <c r="F187" s="20" t="s">
        <v>223</v>
      </c>
      <c r="G187" s="20" t="s">
        <v>224</v>
      </c>
      <c r="H187" s="20" t="s">
        <v>61</v>
      </c>
      <c r="I187" s="20" t="s">
        <v>62</v>
      </c>
      <c r="J187" s="20" t="s">
        <v>63</v>
      </c>
      <c r="K187" s="20" t="s">
        <v>64</v>
      </c>
      <c r="L187" s="20" t="n">
        <v>29822</v>
      </c>
      <c r="M187" s="20" t="s">
        <v>65</v>
      </c>
      <c r="N187" s="20" t="s">
        <v>687</v>
      </c>
      <c r="O187" s="20" t="s">
        <v>76</v>
      </c>
      <c r="P187" s="20" t="s">
        <v>88</v>
      </c>
      <c r="Q187" s="20" t="s">
        <v>688</v>
      </c>
      <c r="R187" s="22" t="n">
        <v>199.18</v>
      </c>
      <c r="S187" s="20" t="n">
        <v>2</v>
      </c>
      <c r="T187" s="20" t="n">
        <v>0</v>
      </c>
      <c r="U187" s="22" t="n">
        <v>16.57</v>
      </c>
      <c r="V187" s="23" t="n">
        <f aca="false">IF(ISNUMBER(C187),YEAR(C187),"")</f>
        <v>2014</v>
      </c>
      <c r="W187" s="23" t="n">
        <f aca="false">IF(ISNUMBER(C187),MONTH(C187),"")</f>
        <v>12</v>
      </c>
      <c r="X187" s="23" t="str">
        <f aca="false">IF(T187="","",IF(T187=0,"No discount",IF(T187&lt;=0.2,"Low (1-20%)",IF(T187&lt;=0.4,"Medium (21-40%)","High (&gt;40%)"))))</f>
        <v>No discount</v>
      </c>
      <c r="Y187" s="23" t="n">
        <f aca="false">IF(AND(ISNUMBER(C187),ISNUMBER(D187)),D187-C187,"")</f>
        <v>7</v>
      </c>
      <c r="Z187" s="23" t="n">
        <f aca="false">IF(B187="","",IF(MATCH(B187,$B$2:$B$12000,0)=ROW()-1,1,0))</f>
        <v>0</v>
      </c>
    </row>
    <row r="188" customFormat="false" ht="15" hidden="false" customHeight="false" outlineLevel="0" collapsed="false">
      <c r="A188" s="20" t="n">
        <v>187</v>
      </c>
      <c r="B188" s="20" t="s">
        <v>683</v>
      </c>
      <c r="C188" s="21" t="n">
        <v>41996</v>
      </c>
      <c r="D188" s="21" t="n">
        <v>42003</v>
      </c>
      <c r="E188" s="20" t="s">
        <v>90</v>
      </c>
      <c r="F188" s="20" t="s">
        <v>223</v>
      </c>
      <c r="G188" s="20" t="s">
        <v>224</v>
      </c>
      <c r="H188" s="20" t="s">
        <v>61</v>
      </c>
      <c r="I188" s="20" t="s">
        <v>62</v>
      </c>
      <c r="J188" s="20" t="s">
        <v>63</v>
      </c>
      <c r="K188" s="20" t="s">
        <v>64</v>
      </c>
      <c r="L188" s="20" t="n">
        <v>14945</v>
      </c>
      <c r="M188" s="20" t="s">
        <v>65</v>
      </c>
      <c r="N188" s="20" t="s">
        <v>689</v>
      </c>
      <c r="O188" s="20" t="s">
        <v>114</v>
      </c>
      <c r="P188" s="20" t="s">
        <v>115</v>
      </c>
      <c r="Q188" s="20" t="s">
        <v>690</v>
      </c>
      <c r="R188" s="22" t="n">
        <v>358.36</v>
      </c>
      <c r="S188" s="20" t="n">
        <v>4</v>
      </c>
      <c r="T188" s="20" t="n">
        <v>0.7</v>
      </c>
      <c r="U188" s="22" t="n">
        <v>-53.76</v>
      </c>
      <c r="V188" s="23" t="n">
        <f aca="false">IF(ISNUMBER(C188),YEAR(C188),"")</f>
        <v>2014</v>
      </c>
      <c r="W188" s="23" t="n">
        <f aca="false">IF(ISNUMBER(C188),MONTH(C188),"")</f>
        <v>12</v>
      </c>
      <c r="X188" s="23" t="str">
        <f aca="false">IF(T188="","",IF(T188=0,"No discount",IF(T188&lt;=0.2,"Low (1-20%)",IF(T188&lt;=0.4,"Medium (21-40%)","High (&gt;40%)"))))</f>
        <v>High (&gt;40%)</v>
      </c>
      <c r="Y188" s="23" t="n">
        <f aca="false">IF(AND(ISNUMBER(C188),ISNUMBER(D188)),D188-C188,"")</f>
        <v>7</v>
      </c>
      <c r="Z188" s="23" t="n">
        <f aca="false">IF(B188="","",IF(MATCH(B188,$B$2:$B$12000,0)=ROW()-1,1,0))</f>
        <v>0</v>
      </c>
    </row>
    <row r="189" customFormat="false" ht="15" hidden="false" customHeight="false" outlineLevel="0" collapsed="false">
      <c r="A189" s="20" t="n">
        <v>188</v>
      </c>
      <c r="B189" s="20" t="s">
        <v>691</v>
      </c>
      <c r="C189" s="21" t="n">
        <v>41997</v>
      </c>
      <c r="D189" s="21" t="n">
        <v>41998</v>
      </c>
      <c r="E189" s="20" t="s">
        <v>104</v>
      </c>
      <c r="F189" s="20" t="s">
        <v>319</v>
      </c>
      <c r="G189" s="20" t="s">
        <v>320</v>
      </c>
      <c r="H189" s="20" t="s">
        <v>61</v>
      </c>
      <c r="I189" s="20" t="s">
        <v>62</v>
      </c>
      <c r="J189" s="20" t="s">
        <v>63</v>
      </c>
      <c r="K189" s="20" t="s">
        <v>296</v>
      </c>
      <c r="L189" s="20" t="n">
        <v>63916</v>
      </c>
      <c r="M189" s="20" t="s">
        <v>153</v>
      </c>
      <c r="N189" s="20" t="s">
        <v>692</v>
      </c>
      <c r="O189" s="20" t="s">
        <v>76</v>
      </c>
      <c r="P189" s="20" t="s">
        <v>77</v>
      </c>
      <c r="Q189" s="20" t="s">
        <v>693</v>
      </c>
      <c r="R189" s="22" t="n">
        <v>9.32</v>
      </c>
      <c r="S189" s="20" t="n">
        <v>4</v>
      </c>
      <c r="T189" s="20" t="n">
        <v>0.7</v>
      </c>
      <c r="U189" s="22" t="n">
        <v>-1.83</v>
      </c>
      <c r="V189" s="23" t="n">
        <f aca="false">IF(ISNUMBER(C189),YEAR(C189),"")</f>
        <v>2014</v>
      </c>
      <c r="W189" s="23" t="n">
        <f aca="false">IF(ISNUMBER(C189),MONTH(C189),"")</f>
        <v>12</v>
      </c>
      <c r="X189" s="23" t="str">
        <f aca="false">IF(T189="","",IF(T189=0,"No discount",IF(T189&lt;=0.2,"Low (1-20%)",IF(T189&lt;=0.4,"Medium (21-40%)","High (&gt;40%)"))))</f>
        <v>High (&gt;40%)</v>
      </c>
      <c r="Y189" s="23" t="n">
        <f aca="false">IF(AND(ISNUMBER(C189),ISNUMBER(D189)),D189-C189,"")</f>
        <v>1</v>
      </c>
      <c r="Z189" s="23" t="n">
        <f aca="false">IF(B189="","",IF(MATCH(B189,$B$2:$B$12000,0)=ROW()-1,1,0))</f>
        <v>1</v>
      </c>
    </row>
    <row r="190" customFormat="false" ht="15" hidden="false" customHeight="false" outlineLevel="0" collapsed="false">
      <c r="A190" s="20" t="n">
        <v>189</v>
      </c>
      <c r="B190" s="20" t="s">
        <v>691</v>
      </c>
      <c r="C190" s="21" t="n">
        <v>41997</v>
      </c>
      <c r="D190" s="21" t="n">
        <v>41998</v>
      </c>
      <c r="E190" s="20" t="s">
        <v>104</v>
      </c>
      <c r="F190" s="20" t="s">
        <v>319</v>
      </c>
      <c r="G190" s="20" t="s">
        <v>320</v>
      </c>
      <c r="H190" s="20" t="s">
        <v>61</v>
      </c>
      <c r="I190" s="20" t="s">
        <v>62</v>
      </c>
      <c r="J190" s="20" t="s">
        <v>63</v>
      </c>
      <c r="K190" s="20" t="s">
        <v>296</v>
      </c>
      <c r="L190" s="20" t="n">
        <v>16917</v>
      </c>
      <c r="M190" s="20" t="s">
        <v>153</v>
      </c>
      <c r="N190" s="20" t="s">
        <v>694</v>
      </c>
      <c r="O190" s="20" t="s">
        <v>76</v>
      </c>
      <c r="P190" s="20" t="s">
        <v>101</v>
      </c>
      <c r="Q190" s="20" t="s">
        <v>102</v>
      </c>
      <c r="R190" s="22" t="n">
        <v>59.26</v>
      </c>
      <c r="S190" s="20" t="n">
        <v>3</v>
      </c>
      <c r="T190" s="20" t="n">
        <v>0.3</v>
      </c>
      <c r="U190" s="22" t="n">
        <v>12.99</v>
      </c>
      <c r="V190" s="23" t="n">
        <f aca="false">IF(ISNUMBER(C190),YEAR(C190),"")</f>
        <v>2014</v>
      </c>
      <c r="W190" s="23" t="n">
        <f aca="false">IF(ISNUMBER(C190),MONTH(C190),"")</f>
        <v>12</v>
      </c>
      <c r="X190" s="23" t="str">
        <f aca="false">IF(T190="","",IF(T190=0,"No discount",IF(T190&lt;=0.2,"Low (1-20%)",IF(T190&lt;=0.4,"Medium (21-40%)","High (&gt;40%)"))))</f>
        <v>Medium (21-40%)</v>
      </c>
      <c r="Y190" s="23" t="n">
        <f aca="false">IF(AND(ISNUMBER(C190),ISNUMBER(D190)),D190-C190,"")</f>
        <v>1</v>
      </c>
      <c r="Z190" s="23" t="n">
        <f aca="false">IF(B190="","",IF(MATCH(B190,$B$2:$B$12000,0)=ROW()-1,1,0))</f>
        <v>0</v>
      </c>
    </row>
    <row r="191" customFormat="false" ht="15" hidden="false" customHeight="false" outlineLevel="0" collapsed="false">
      <c r="A191" s="20" t="n">
        <v>190</v>
      </c>
      <c r="B191" s="20" t="s">
        <v>695</v>
      </c>
      <c r="C191" s="21" t="n">
        <v>41997</v>
      </c>
      <c r="D191" s="21" t="n">
        <v>42001</v>
      </c>
      <c r="E191" s="20" t="s">
        <v>71</v>
      </c>
      <c r="F191" s="20" t="s">
        <v>125</v>
      </c>
      <c r="G191" s="20" t="s">
        <v>126</v>
      </c>
      <c r="H191" s="20" t="s">
        <v>61</v>
      </c>
      <c r="I191" s="20" t="s">
        <v>62</v>
      </c>
      <c r="J191" s="20" t="s">
        <v>63</v>
      </c>
      <c r="K191" s="20" t="s">
        <v>254</v>
      </c>
      <c r="L191" s="20" t="n">
        <v>18917</v>
      </c>
      <c r="M191" s="20" t="s">
        <v>112</v>
      </c>
      <c r="N191" s="20" t="s">
        <v>696</v>
      </c>
      <c r="O191" s="20" t="s">
        <v>76</v>
      </c>
      <c r="P191" s="20" t="s">
        <v>178</v>
      </c>
      <c r="Q191" s="20" t="s">
        <v>697</v>
      </c>
      <c r="R191" s="22" t="n">
        <v>277.54</v>
      </c>
      <c r="S191" s="20" t="n">
        <v>5</v>
      </c>
      <c r="T191" s="20" t="n">
        <v>0.5</v>
      </c>
      <c r="U191" s="22" t="n">
        <v>-90.73</v>
      </c>
      <c r="V191" s="23" t="n">
        <f aca="false">IF(ISNUMBER(C191),YEAR(C191),"")</f>
        <v>2014</v>
      </c>
      <c r="W191" s="23" t="n">
        <f aca="false">IF(ISNUMBER(C191),MONTH(C191),"")</f>
        <v>12</v>
      </c>
      <c r="X191" s="23" t="str">
        <f aca="false">IF(T191="","",IF(T191=0,"No discount",IF(T191&lt;=0.2,"Low (1-20%)",IF(T191&lt;=0.4,"Medium (21-40%)","High (&gt;40%)"))))</f>
        <v>High (&gt;40%)</v>
      </c>
      <c r="Y191" s="23" t="n">
        <f aca="false">IF(AND(ISNUMBER(C191),ISNUMBER(D191)),D191-C191,"")</f>
        <v>4</v>
      </c>
      <c r="Z191" s="23" t="n">
        <f aca="false">IF(B191="","",IF(MATCH(B191,$B$2:$B$12000,0)=ROW()-1,1,0))</f>
        <v>1</v>
      </c>
    </row>
    <row r="192" customFormat="false" ht="15" hidden="false" customHeight="false" outlineLevel="0" collapsed="false">
      <c r="A192" s="20" t="n">
        <v>191</v>
      </c>
      <c r="B192" s="20" t="s">
        <v>695</v>
      </c>
      <c r="C192" s="21" t="n">
        <v>41997</v>
      </c>
      <c r="D192" s="21" t="n">
        <v>42001</v>
      </c>
      <c r="E192" s="20" t="s">
        <v>71</v>
      </c>
      <c r="F192" s="20" t="s">
        <v>125</v>
      </c>
      <c r="G192" s="20" t="s">
        <v>126</v>
      </c>
      <c r="H192" s="20" t="s">
        <v>61</v>
      </c>
      <c r="I192" s="20" t="s">
        <v>62</v>
      </c>
      <c r="J192" s="20" t="s">
        <v>63</v>
      </c>
      <c r="K192" s="20" t="s">
        <v>254</v>
      </c>
      <c r="L192" s="20" t="n">
        <v>61381</v>
      </c>
      <c r="M192" s="20" t="s">
        <v>112</v>
      </c>
      <c r="N192" s="20" t="s">
        <v>698</v>
      </c>
      <c r="O192" s="20" t="s">
        <v>76</v>
      </c>
      <c r="P192" s="20" t="s">
        <v>122</v>
      </c>
      <c r="Q192" s="20" t="s">
        <v>699</v>
      </c>
      <c r="R192" s="22" t="n">
        <v>149.28</v>
      </c>
      <c r="S192" s="20" t="n">
        <v>4</v>
      </c>
      <c r="T192" s="20" t="n">
        <v>0</v>
      </c>
      <c r="U192" s="22" t="n">
        <v>38.08</v>
      </c>
      <c r="V192" s="23" t="n">
        <f aca="false">IF(ISNUMBER(C192),YEAR(C192),"")</f>
        <v>2014</v>
      </c>
      <c r="W192" s="23" t="n">
        <f aca="false">IF(ISNUMBER(C192),MONTH(C192),"")</f>
        <v>12</v>
      </c>
      <c r="X192" s="23" t="str">
        <f aca="false">IF(T192="","",IF(T192=0,"No discount",IF(T192&lt;=0.2,"Low (1-20%)",IF(T192&lt;=0.4,"Medium (21-40%)","High (&gt;40%)"))))</f>
        <v>No discount</v>
      </c>
      <c r="Y192" s="23" t="n">
        <f aca="false">IF(AND(ISNUMBER(C192),ISNUMBER(D192)),D192-C192,"")</f>
        <v>4</v>
      </c>
      <c r="Z192" s="23" t="n">
        <f aca="false">IF(B192="","",IF(MATCH(B192,$B$2:$B$12000,0)=ROW()-1,1,0))</f>
        <v>0</v>
      </c>
    </row>
    <row r="193" customFormat="false" ht="15" hidden="false" customHeight="false" outlineLevel="0" collapsed="false">
      <c r="A193" s="20" t="n">
        <v>192</v>
      </c>
      <c r="B193" s="20" t="s">
        <v>695</v>
      </c>
      <c r="C193" s="21" t="n">
        <v>41997</v>
      </c>
      <c r="D193" s="21" t="n">
        <v>42001</v>
      </c>
      <c r="E193" s="20" t="s">
        <v>58</v>
      </c>
      <c r="F193" s="20" t="s">
        <v>125</v>
      </c>
      <c r="G193" s="20" t="s">
        <v>126</v>
      </c>
      <c r="H193" s="20" t="s">
        <v>61</v>
      </c>
      <c r="I193" s="20" t="s">
        <v>62</v>
      </c>
      <c r="J193" s="20" t="s">
        <v>63</v>
      </c>
      <c r="K193" s="20" t="s">
        <v>254</v>
      </c>
      <c r="L193" s="20" t="n">
        <v>95521</v>
      </c>
      <c r="M193" s="20" t="s">
        <v>112</v>
      </c>
      <c r="N193" s="20" t="s">
        <v>700</v>
      </c>
      <c r="O193" s="20" t="s">
        <v>76</v>
      </c>
      <c r="P193" s="20" t="s">
        <v>101</v>
      </c>
      <c r="Q193" s="20" t="s">
        <v>701</v>
      </c>
      <c r="R193" s="22" t="n">
        <v>213.54</v>
      </c>
      <c r="S193" s="20" t="n">
        <v>7</v>
      </c>
      <c r="T193" s="20" t="n">
        <v>0.2</v>
      </c>
      <c r="U193" s="22" t="n">
        <v>51.53</v>
      </c>
      <c r="V193" s="23" t="n">
        <f aca="false">IF(ISNUMBER(C193),YEAR(C193),"")</f>
        <v>2014</v>
      </c>
      <c r="W193" s="23" t="n">
        <f aca="false">IF(ISNUMBER(C193),MONTH(C193),"")</f>
        <v>12</v>
      </c>
      <c r="X193" s="23" t="str">
        <f aca="false">IF(T193="","",IF(T193=0,"No discount",IF(T193&lt;=0.2,"Low (1-20%)",IF(T193&lt;=0.4,"Medium (21-40%)","High (&gt;40%)"))))</f>
        <v>Low (1-20%)</v>
      </c>
      <c r="Y193" s="23" t="n">
        <f aca="false">IF(AND(ISNUMBER(C193),ISNUMBER(D193)),D193-C193,"")</f>
        <v>4</v>
      </c>
      <c r="Z193" s="23" t="n">
        <f aca="false">IF(B193="","",IF(MATCH(B193,$B$2:$B$12000,0)=ROW()-1,1,0))</f>
        <v>0</v>
      </c>
    </row>
    <row r="194" customFormat="false" ht="15" hidden="false" customHeight="false" outlineLevel="0" collapsed="false">
      <c r="A194" s="20" t="n">
        <v>193</v>
      </c>
      <c r="B194" s="20" t="s">
        <v>695</v>
      </c>
      <c r="C194" s="21" t="n">
        <v>41997</v>
      </c>
      <c r="D194" s="21" t="n">
        <v>42001</v>
      </c>
      <c r="E194" s="20" t="s">
        <v>90</v>
      </c>
      <c r="F194" s="20" t="s">
        <v>125</v>
      </c>
      <c r="G194" s="20" t="s">
        <v>126</v>
      </c>
      <c r="H194" s="20" t="s">
        <v>61</v>
      </c>
      <c r="I194" s="20" t="s">
        <v>62</v>
      </c>
      <c r="J194" s="20" t="s">
        <v>63</v>
      </c>
      <c r="K194" s="20" t="s">
        <v>254</v>
      </c>
      <c r="L194" s="20" t="n">
        <v>64874</v>
      </c>
      <c r="M194" s="20" t="s">
        <v>112</v>
      </c>
      <c r="N194" s="20" t="s">
        <v>702</v>
      </c>
      <c r="O194" s="20" t="s">
        <v>76</v>
      </c>
      <c r="P194" s="20" t="s">
        <v>236</v>
      </c>
      <c r="Q194" s="20" t="s">
        <v>703</v>
      </c>
      <c r="R194" s="22" t="n">
        <v>137.68</v>
      </c>
      <c r="S194" s="20" t="n">
        <v>5</v>
      </c>
      <c r="T194" s="20" t="n">
        <v>0</v>
      </c>
      <c r="U194" s="22" t="n">
        <v>38.88</v>
      </c>
      <c r="V194" s="23" t="n">
        <f aca="false">IF(ISNUMBER(C194),YEAR(C194),"")</f>
        <v>2014</v>
      </c>
      <c r="W194" s="23" t="n">
        <f aca="false">IF(ISNUMBER(C194),MONTH(C194),"")</f>
        <v>12</v>
      </c>
      <c r="X194" s="23" t="str">
        <f aca="false">IF(T194="","",IF(T194=0,"No discount",IF(T194&lt;=0.2,"Low (1-20%)",IF(T194&lt;=0.4,"Medium (21-40%)","High (&gt;40%)"))))</f>
        <v>No discount</v>
      </c>
      <c r="Y194" s="23" t="n">
        <f aca="false">IF(AND(ISNUMBER(C194),ISNUMBER(D194)),D194-C194,"")</f>
        <v>4</v>
      </c>
      <c r="Z194" s="23" t="n">
        <f aca="false">IF(B194="","",IF(MATCH(B194,$B$2:$B$12000,0)=ROW()-1,1,0))</f>
        <v>0</v>
      </c>
    </row>
    <row r="195" customFormat="false" ht="15" hidden="false" customHeight="false" outlineLevel="0" collapsed="false">
      <c r="A195" s="20" t="n">
        <v>194</v>
      </c>
      <c r="B195" s="20" t="s">
        <v>704</v>
      </c>
      <c r="C195" s="21" t="n">
        <v>42001</v>
      </c>
      <c r="D195" s="21" t="n">
        <v>42003</v>
      </c>
      <c r="E195" s="20" t="s">
        <v>90</v>
      </c>
      <c r="F195" s="20" t="s">
        <v>314</v>
      </c>
      <c r="G195" s="20" t="s">
        <v>315</v>
      </c>
      <c r="H195" s="20" t="s">
        <v>61</v>
      </c>
      <c r="I195" s="20" t="s">
        <v>62</v>
      </c>
      <c r="J195" s="20" t="s">
        <v>63</v>
      </c>
      <c r="K195" s="20" t="s">
        <v>246</v>
      </c>
      <c r="L195" s="20" t="n">
        <v>91169</v>
      </c>
      <c r="M195" s="20" t="s">
        <v>112</v>
      </c>
      <c r="N195" s="20" t="s">
        <v>705</v>
      </c>
      <c r="O195" s="20" t="s">
        <v>76</v>
      </c>
      <c r="P195" s="20" t="s">
        <v>122</v>
      </c>
      <c r="Q195" s="20" t="s">
        <v>706</v>
      </c>
      <c r="R195" s="22" t="n">
        <v>42.66</v>
      </c>
      <c r="S195" s="20" t="n">
        <v>2</v>
      </c>
      <c r="T195" s="20" t="n">
        <v>0.2</v>
      </c>
      <c r="U195" s="22" t="n">
        <v>6.63</v>
      </c>
      <c r="V195" s="23" t="n">
        <f aca="false">IF(ISNUMBER(C195),YEAR(C195),"")</f>
        <v>2014</v>
      </c>
      <c r="W195" s="23" t="n">
        <f aca="false">IF(ISNUMBER(C195),MONTH(C195),"")</f>
        <v>12</v>
      </c>
      <c r="X195" s="23" t="str">
        <f aca="false">IF(T195="","",IF(T195=0,"No discount",IF(T195&lt;=0.2,"Low (1-20%)",IF(T195&lt;=0.4,"Medium (21-40%)","High (&gt;40%)"))))</f>
        <v>Low (1-20%)</v>
      </c>
      <c r="Y195" s="23" t="n">
        <f aca="false">IF(AND(ISNUMBER(C195),ISNUMBER(D195)),D195-C195,"")</f>
        <v>2</v>
      </c>
      <c r="Z195" s="23" t="n">
        <f aca="false">IF(B195="","",IF(MATCH(B195,$B$2:$B$12000,0)=ROW()-1,1,0))</f>
        <v>1</v>
      </c>
    </row>
    <row r="196" customFormat="false" ht="15" hidden="false" customHeight="false" outlineLevel="0" collapsed="false">
      <c r="A196" s="20" t="n">
        <v>195</v>
      </c>
      <c r="B196" s="20" t="s">
        <v>704</v>
      </c>
      <c r="C196" s="21" t="n">
        <v>42001</v>
      </c>
      <c r="D196" s="21" t="n">
        <v>42003</v>
      </c>
      <c r="E196" s="20" t="s">
        <v>58</v>
      </c>
      <c r="F196" s="20" t="s">
        <v>314</v>
      </c>
      <c r="G196" s="20" t="s">
        <v>315</v>
      </c>
      <c r="H196" s="20" t="s">
        <v>61</v>
      </c>
      <c r="I196" s="20" t="s">
        <v>62</v>
      </c>
      <c r="J196" s="20" t="s">
        <v>63</v>
      </c>
      <c r="K196" s="20" t="s">
        <v>246</v>
      </c>
      <c r="L196" s="20" t="n">
        <v>99515</v>
      </c>
      <c r="M196" s="20" t="s">
        <v>112</v>
      </c>
      <c r="N196" s="20" t="s">
        <v>707</v>
      </c>
      <c r="O196" s="20" t="s">
        <v>76</v>
      </c>
      <c r="P196" s="20" t="s">
        <v>185</v>
      </c>
      <c r="Q196" s="20" t="s">
        <v>708</v>
      </c>
      <c r="R196" s="22" t="n">
        <v>25.12</v>
      </c>
      <c r="S196" s="20" t="n">
        <v>3</v>
      </c>
      <c r="T196" s="20" t="n">
        <v>0.3</v>
      </c>
      <c r="U196" s="22" t="n">
        <v>2.11</v>
      </c>
      <c r="V196" s="23" t="n">
        <f aca="false">IF(ISNUMBER(C196),YEAR(C196),"")</f>
        <v>2014</v>
      </c>
      <c r="W196" s="23" t="n">
        <f aca="false">IF(ISNUMBER(C196),MONTH(C196),"")</f>
        <v>12</v>
      </c>
      <c r="X196" s="23" t="str">
        <f aca="false">IF(T196="","",IF(T196=0,"No discount",IF(T196&lt;=0.2,"Low (1-20%)",IF(T196&lt;=0.4,"Medium (21-40%)","High (&gt;40%)"))))</f>
        <v>Medium (21-40%)</v>
      </c>
      <c r="Y196" s="23" t="n">
        <f aca="false">IF(AND(ISNUMBER(C196),ISNUMBER(D196)),D196-C196,"")</f>
        <v>2</v>
      </c>
      <c r="Z196" s="23" t="n">
        <f aca="false">IF(B196="","",IF(MATCH(B196,$B$2:$B$12000,0)=ROW()-1,1,0))</f>
        <v>0</v>
      </c>
    </row>
    <row r="197" customFormat="false" ht="15" hidden="false" customHeight="false" outlineLevel="0" collapsed="false">
      <c r="A197" s="20" t="n">
        <v>196</v>
      </c>
      <c r="B197" s="20" t="s">
        <v>704</v>
      </c>
      <c r="C197" s="21" t="n">
        <v>42001</v>
      </c>
      <c r="D197" s="21" t="n">
        <v>42003</v>
      </c>
      <c r="E197" s="20" t="s">
        <v>58</v>
      </c>
      <c r="F197" s="20" t="s">
        <v>314</v>
      </c>
      <c r="G197" s="20" t="s">
        <v>315</v>
      </c>
      <c r="H197" s="20" t="s">
        <v>61</v>
      </c>
      <c r="I197" s="20" t="s">
        <v>62</v>
      </c>
      <c r="J197" s="20" t="s">
        <v>63</v>
      </c>
      <c r="K197" s="20" t="s">
        <v>246</v>
      </c>
      <c r="L197" s="20" t="n">
        <v>57497</v>
      </c>
      <c r="M197" s="20" t="s">
        <v>112</v>
      </c>
      <c r="N197" s="20" t="s">
        <v>709</v>
      </c>
      <c r="O197" s="20" t="s">
        <v>76</v>
      </c>
      <c r="P197" s="20" t="s">
        <v>80</v>
      </c>
      <c r="Q197" s="20" t="s">
        <v>710</v>
      </c>
      <c r="R197" s="22" t="n">
        <v>230.6</v>
      </c>
      <c r="S197" s="20" t="n">
        <v>7</v>
      </c>
      <c r="T197" s="20" t="n">
        <v>0.1</v>
      </c>
      <c r="U197" s="22" t="n">
        <v>53.31</v>
      </c>
      <c r="V197" s="23" t="n">
        <f aca="false">IF(ISNUMBER(C197),YEAR(C197),"")</f>
        <v>2014</v>
      </c>
      <c r="W197" s="23" t="n">
        <f aca="false">IF(ISNUMBER(C197),MONTH(C197),"")</f>
        <v>12</v>
      </c>
      <c r="X197" s="23" t="str">
        <f aca="false">IF(T197="","",IF(T197=0,"No discount",IF(T197&lt;=0.2,"Low (1-20%)",IF(T197&lt;=0.4,"Medium (21-40%)","High (&gt;40%)"))))</f>
        <v>Low (1-20%)</v>
      </c>
      <c r="Y197" s="23" t="n">
        <f aca="false">IF(AND(ISNUMBER(C197),ISNUMBER(D197)),D197-C197,"")</f>
        <v>2</v>
      </c>
      <c r="Z197" s="23" t="n">
        <f aca="false">IF(B197="","",IF(MATCH(B197,$B$2:$B$12000,0)=ROW()-1,1,0))</f>
        <v>0</v>
      </c>
    </row>
    <row r="198" customFormat="false" ht="15" hidden="false" customHeight="false" outlineLevel="0" collapsed="false">
      <c r="A198" s="20" t="n">
        <v>197</v>
      </c>
      <c r="B198" s="20" t="s">
        <v>711</v>
      </c>
      <c r="C198" s="21" t="n">
        <v>42013</v>
      </c>
      <c r="D198" s="21" t="n">
        <v>42017</v>
      </c>
      <c r="E198" s="20" t="s">
        <v>71</v>
      </c>
      <c r="F198" s="20" t="s">
        <v>213</v>
      </c>
      <c r="G198" s="20" t="s">
        <v>214</v>
      </c>
      <c r="H198" s="20" t="s">
        <v>162</v>
      </c>
      <c r="I198" s="20" t="s">
        <v>62</v>
      </c>
      <c r="J198" s="20" t="s">
        <v>63</v>
      </c>
      <c r="K198" s="20" t="s">
        <v>422</v>
      </c>
      <c r="L198" s="20" t="n">
        <v>42227</v>
      </c>
      <c r="M198" s="20" t="s">
        <v>153</v>
      </c>
      <c r="N198" s="20" t="s">
        <v>712</v>
      </c>
      <c r="O198" s="20" t="s">
        <v>76</v>
      </c>
      <c r="P198" s="20" t="s">
        <v>101</v>
      </c>
      <c r="Q198" s="20" t="s">
        <v>713</v>
      </c>
      <c r="R198" s="22" t="n">
        <v>72.29</v>
      </c>
      <c r="S198" s="20" t="n">
        <v>4</v>
      </c>
      <c r="T198" s="20" t="n">
        <v>0</v>
      </c>
      <c r="U198" s="22" t="n">
        <v>35.99</v>
      </c>
      <c r="V198" s="23" t="n">
        <f aca="false">IF(ISNUMBER(C198),YEAR(C198),"")</f>
        <v>2015</v>
      </c>
      <c r="W198" s="23" t="n">
        <f aca="false">IF(ISNUMBER(C198),MONTH(C198),"")</f>
        <v>1</v>
      </c>
      <c r="X198" s="23" t="str">
        <f aca="false">IF(T198="","",IF(T198=0,"No discount",IF(T198&lt;=0.2,"Low (1-20%)",IF(T198&lt;=0.4,"Medium (21-40%)","High (&gt;40%)"))))</f>
        <v>No discount</v>
      </c>
      <c r="Y198" s="23" t="n">
        <f aca="false">IF(AND(ISNUMBER(C198),ISNUMBER(D198)),D198-C198,"")</f>
        <v>4</v>
      </c>
      <c r="Z198" s="23" t="n">
        <f aca="false">IF(B198="","",IF(MATCH(B198,$B$2:$B$12000,0)=ROW()-1,1,0))</f>
        <v>1</v>
      </c>
    </row>
    <row r="199" customFormat="false" ht="15" hidden="false" customHeight="false" outlineLevel="0" collapsed="false">
      <c r="A199" s="20" t="n">
        <v>198</v>
      </c>
      <c r="B199" s="20" t="s">
        <v>711</v>
      </c>
      <c r="C199" s="21" t="n">
        <v>42013</v>
      </c>
      <c r="D199" s="21" t="n">
        <v>42017</v>
      </c>
      <c r="E199" s="20" t="s">
        <v>90</v>
      </c>
      <c r="F199" s="20" t="s">
        <v>213</v>
      </c>
      <c r="G199" s="20" t="s">
        <v>214</v>
      </c>
      <c r="H199" s="20" t="s">
        <v>162</v>
      </c>
      <c r="I199" s="20" t="s">
        <v>62</v>
      </c>
      <c r="J199" s="20" t="s">
        <v>63</v>
      </c>
      <c r="K199" s="20" t="s">
        <v>422</v>
      </c>
      <c r="L199" s="20" t="n">
        <v>27699</v>
      </c>
      <c r="M199" s="20" t="s">
        <v>153</v>
      </c>
      <c r="N199" s="20" t="s">
        <v>714</v>
      </c>
      <c r="O199" s="20" t="s">
        <v>76</v>
      </c>
      <c r="P199" s="20" t="s">
        <v>185</v>
      </c>
      <c r="Q199" s="20" t="s">
        <v>715</v>
      </c>
      <c r="R199" s="22" t="n">
        <v>9.4</v>
      </c>
      <c r="S199" s="20" t="n">
        <v>6</v>
      </c>
      <c r="T199" s="20" t="n">
        <v>0.7</v>
      </c>
      <c r="U199" s="22" t="n">
        <v>-1.08</v>
      </c>
      <c r="V199" s="23" t="n">
        <f aca="false">IF(ISNUMBER(C199),YEAR(C199),"")</f>
        <v>2015</v>
      </c>
      <c r="W199" s="23" t="n">
        <f aca="false">IF(ISNUMBER(C199),MONTH(C199),"")</f>
        <v>1</v>
      </c>
      <c r="X199" s="23" t="str">
        <f aca="false">IF(T199="","",IF(T199=0,"No discount",IF(T199&lt;=0.2,"Low (1-20%)",IF(T199&lt;=0.4,"Medium (21-40%)","High (&gt;40%)"))))</f>
        <v>High (&gt;40%)</v>
      </c>
      <c r="Y199" s="23" t="n">
        <f aca="false">IF(AND(ISNUMBER(C199),ISNUMBER(D199)),D199-C199,"")</f>
        <v>4</v>
      </c>
      <c r="Z199" s="23" t="n">
        <f aca="false">IF(B199="","",IF(MATCH(B199,$B$2:$B$12000,0)=ROW()-1,1,0))</f>
        <v>0</v>
      </c>
    </row>
    <row r="200" customFormat="false" ht="15" hidden="false" customHeight="false" outlineLevel="0" collapsed="false">
      <c r="A200" s="20" t="n">
        <v>199</v>
      </c>
      <c r="B200" s="20" t="s">
        <v>711</v>
      </c>
      <c r="C200" s="21" t="n">
        <v>42013</v>
      </c>
      <c r="D200" s="21" t="n">
        <v>42017</v>
      </c>
      <c r="E200" s="20" t="s">
        <v>90</v>
      </c>
      <c r="F200" s="20" t="s">
        <v>213</v>
      </c>
      <c r="G200" s="20" t="s">
        <v>214</v>
      </c>
      <c r="H200" s="20" t="s">
        <v>162</v>
      </c>
      <c r="I200" s="20" t="s">
        <v>62</v>
      </c>
      <c r="J200" s="20" t="s">
        <v>63</v>
      </c>
      <c r="K200" s="20" t="s">
        <v>422</v>
      </c>
      <c r="L200" s="20" t="n">
        <v>78443</v>
      </c>
      <c r="M200" s="20" t="s">
        <v>153</v>
      </c>
      <c r="N200" s="20" t="s">
        <v>716</v>
      </c>
      <c r="O200" s="20" t="s">
        <v>76</v>
      </c>
      <c r="P200" s="20" t="s">
        <v>178</v>
      </c>
      <c r="Q200" s="20" t="s">
        <v>717</v>
      </c>
      <c r="R200" s="22" t="n">
        <v>254.54</v>
      </c>
      <c r="S200" s="20" t="n">
        <v>6</v>
      </c>
      <c r="T200" s="20" t="n">
        <v>0.3</v>
      </c>
      <c r="U200" s="22" t="n">
        <v>-48.9</v>
      </c>
      <c r="V200" s="23" t="n">
        <f aca="false">IF(ISNUMBER(C200),YEAR(C200),"")</f>
        <v>2015</v>
      </c>
      <c r="W200" s="23" t="n">
        <f aca="false">IF(ISNUMBER(C200),MONTH(C200),"")</f>
        <v>1</v>
      </c>
      <c r="X200" s="23" t="str">
        <f aca="false">IF(T200="","",IF(T200=0,"No discount",IF(T200&lt;=0.2,"Low (1-20%)",IF(T200&lt;=0.4,"Medium (21-40%)","High (&gt;40%)"))))</f>
        <v>Medium (21-40%)</v>
      </c>
      <c r="Y200" s="23" t="n">
        <f aca="false">IF(AND(ISNUMBER(C200),ISNUMBER(D200)),D200-C200,"")</f>
        <v>4</v>
      </c>
      <c r="Z200" s="23" t="n">
        <f aca="false">IF(B200="","",IF(MATCH(B200,$B$2:$B$12000,0)=ROW()-1,1,0))</f>
        <v>0</v>
      </c>
    </row>
    <row r="201" customFormat="false" ht="15" hidden="false" customHeight="false" outlineLevel="0" collapsed="false">
      <c r="A201" s="20" t="n">
        <v>200</v>
      </c>
      <c r="B201" s="20" t="s">
        <v>711</v>
      </c>
      <c r="C201" s="21" t="n">
        <v>42013</v>
      </c>
      <c r="D201" s="21" t="n">
        <v>42017</v>
      </c>
      <c r="E201" s="20" t="s">
        <v>71</v>
      </c>
      <c r="F201" s="20" t="s">
        <v>213</v>
      </c>
      <c r="G201" s="20" t="s">
        <v>214</v>
      </c>
      <c r="H201" s="20" t="s">
        <v>162</v>
      </c>
      <c r="I201" s="20" t="s">
        <v>62</v>
      </c>
      <c r="J201" s="20" t="s">
        <v>63</v>
      </c>
      <c r="K201" s="20" t="s">
        <v>422</v>
      </c>
      <c r="L201" s="20" t="n">
        <v>83061</v>
      </c>
      <c r="M201" s="20" t="s">
        <v>153</v>
      </c>
      <c r="N201" s="20" t="s">
        <v>718</v>
      </c>
      <c r="O201" s="20" t="s">
        <v>76</v>
      </c>
      <c r="P201" s="20" t="s">
        <v>101</v>
      </c>
      <c r="Q201" s="20" t="s">
        <v>719</v>
      </c>
      <c r="R201" s="22" t="n">
        <v>35.51</v>
      </c>
      <c r="S201" s="20" t="n">
        <v>1</v>
      </c>
      <c r="T201" s="20" t="n">
        <v>0</v>
      </c>
      <c r="U201" s="22" t="n">
        <v>15.66</v>
      </c>
      <c r="V201" s="23" t="n">
        <f aca="false">IF(ISNUMBER(C201),YEAR(C201),"")</f>
        <v>2015</v>
      </c>
      <c r="W201" s="23" t="n">
        <f aca="false">IF(ISNUMBER(C201),MONTH(C201),"")</f>
        <v>1</v>
      </c>
      <c r="X201" s="23" t="str">
        <f aca="false">IF(T201="","",IF(T201=0,"No discount",IF(T201&lt;=0.2,"Low (1-20%)",IF(T201&lt;=0.4,"Medium (21-40%)","High (&gt;40%)"))))</f>
        <v>No discount</v>
      </c>
      <c r="Y201" s="23" t="n">
        <f aca="false">IF(AND(ISNUMBER(C201),ISNUMBER(D201)),D201-C201,"")</f>
        <v>4</v>
      </c>
      <c r="Z201" s="23" t="n">
        <f aca="false">IF(B201="","",IF(MATCH(B201,$B$2:$B$12000,0)=ROW()-1,1,0))</f>
        <v>0</v>
      </c>
    </row>
    <row r="202" customFormat="false" ht="15" hidden="false" customHeight="false" outlineLevel="0" collapsed="false">
      <c r="A202" s="20" t="n">
        <v>201</v>
      </c>
      <c r="B202" s="20" t="s">
        <v>720</v>
      </c>
      <c r="C202" s="21" t="n">
        <v>42013</v>
      </c>
      <c r="D202" s="21" t="n">
        <v>42018</v>
      </c>
      <c r="E202" s="20" t="s">
        <v>104</v>
      </c>
      <c r="F202" s="20" t="s">
        <v>314</v>
      </c>
      <c r="G202" s="20" t="s">
        <v>315</v>
      </c>
      <c r="H202" s="20" t="s">
        <v>61</v>
      </c>
      <c r="I202" s="20" t="s">
        <v>62</v>
      </c>
      <c r="J202" s="20" t="s">
        <v>63</v>
      </c>
      <c r="K202" s="20" t="s">
        <v>111</v>
      </c>
      <c r="L202" s="20" t="n">
        <v>28943</v>
      </c>
      <c r="M202" s="20" t="s">
        <v>112</v>
      </c>
      <c r="N202" s="20" t="s">
        <v>721</v>
      </c>
      <c r="O202" s="20" t="s">
        <v>67</v>
      </c>
      <c r="P202" s="20" t="s">
        <v>106</v>
      </c>
      <c r="Q202" s="20" t="s">
        <v>107</v>
      </c>
      <c r="R202" s="22" t="n">
        <v>380.5</v>
      </c>
      <c r="S202" s="20" t="n">
        <v>1</v>
      </c>
      <c r="T202" s="20" t="n">
        <v>0.2</v>
      </c>
      <c r="U202" s="22" t="n">
        <v>56.05</v>
      </c>
      <c r="V202" s="23" t="n">
        <f aca="false">IF(ISNUMBER(C202),YEAR(C202),"")</f>
        <v>2015</v>
      </c>
      <c r="W202" s="23" t="n">
        <f aca="false">IF(ISNUMBER(C202),MONTH(C202),"")</f>
        <v>1</v>
      </c>
      <c r="X202" s="23" t="str">
        <f aca="false">IF(T202="","",IF(T202=0,"No discount",IF(T202&lt;=0.2,"Low (1-20%)",IF(T202&lt;=0.4,"Medium (21-40%)","High (&gt;40%)"))))</f>
        <v>Low (1-20%)</v>
      </c>
      <c r="Y202" s="23" t="n">
        <f aca="false">IF(AND(ISNUMBER(C202),ISNUMBER(D202)),D202-C202,"")</f>
        <v>5</v>
      </c>
      <c r="Z202" s="23" t="n">
        <f aca="false">IF(B202="","",IF(MATCH(B202,$B$2:$B$12000,0)=ROW()-1,1,0))</f>
        <v>1</v>
      </c>
    </row>
    <row r="203" customFormat="false" ht="15" hidden="false" customHeight="false" outlineLevel="0" collapsed="false">
      <c r="A203" s="20" t="n">
        <v>202</v>
      </c>
      <c r="B203" s="20" t="s">
        <v>720</v>
      </c>
      <c r="C203" s="21" t="n">
        <v>42013</v>
      </c>
      <c r="D203" s="21" t="n">
        <v>42018</v>
      </c>
      <c r="E203" s="20" t="s">
        <v>104</v>
      </c>
      <c r="F203" s="20" t="s">
        <v>314</v>
      </c>
      <c r="G203" s="20" t="s">
        <v>315</v>
      </c>
      <c r="H203" s="20" t="s">
        <v>61</v>
      </c>
      <c r="I203" s="20" t="s">
        <v>62</v>
      </c>
      <c r="J203" s="20" t="s">
        <v>63</v>
      </c>
      <c r="K203" s="20" t="s">
        <v>111</v>
      </c>
      <c r="L203" s="20" t="n">
        <v>92220</v>
      </c>
      <c r="M203" s="20" t="s">
        <v>112</v>
      </c>
      <c r="N203" s="20" t="s">
        <v>722</v>
      </c>
      <c r="O203" s="20" t="s">
        <v>67</v>
      </c>
      <c r="P203" s="20" t="s">
        <v>157</v>
      </c>
      <c r="Q203" s="20" t="s">
        <v>723</v>
      </c>
      <c r="R203" s="22" t="n">
        <v>1325.59</v>
      </c>
      <c r="S203" s="20" t="n">
        <v>7</v>
      </c>
      <c r="T203" s="20" t="n">
        <v>0</v>
      </c>
      <c r="U203" s="22" t="n">
        <v>338.31</v>
      </c>
      <c r="V203" s="23" t="n">
        <f aca="false">IF(ISNUMBER(C203),YEAR(C203),"")</f>
        <v>2015</v>
      </c>
      <c r="W203" s="23" t="n">
        <f aca="false">IF(ISNUMBER(C203),MONTH(C203),"")</f>
        <v>1</v>
      </c>
      <c r="X203" s="23" t="str">
        <f aca="false">IF(T203="","",IF(T203=0,"No discount",IF(T203&lt;=0.2,"Low (1-20%)",IF(T203&lt;=0.4,"Medium (21-40%)","High (&gt;40%)"))))</f>
        <v>No discount</v>
      </c>
      <c r="Y203" s="23" t="n">
        <f aca="false">IF(AND(ISNUMBER(C203),ISNUMBER(D203)),D203-C203,"")</f>
        <v>5</v>
      </c>
      <c r="Z203" s="23" t="n">
        <f aca="false">IF(B203="","",IF(MATCH(B203,$B$2:$B$12000,0)=ROW()-1,1,0))</f>
        <v>0</v>
      </c>
    </row>
    <row r="204" customFormat="false" ht="15" hidden="false" customHeight="false" outlineLevel="0" collapsed="false">
      <c r="A204" s="20" t="n">
        <v>203</v>
      </c>
      <c r="B204" s="20" t="s">
        <v>724</v>
      </c>
      <c r="C204" s="21" t="n">
        <v>42020</v>
      </c>
      <c r="D204" s="21" t="n">
        <v>42021</v>
      </c>
      <c r="E204" s="20" t="s">
        <v>104</v>
      </c>
      <c r="F204" s="20" t="s">
        <v>319</v>
      </c>
      <c r="G204" s="20" t="s">
        <v>320</v>
      </c>
      <c r="H204" s="20" t="s">
        <v>61</v>
      </c>
      <c r="I204" s="20" t="s">
        <v>62</v>
      </c>
      <c r="J204" s="20" t="s">
        <v>63</v>
      </c>
      <c r="K204" s="20" t="s">
        <v>518</v>
      </c>
      <c r="L204" s="20" t="n">
        <v>46369</v>
      </c>
      <c r="M204" s="20" t="s">
        <v>153</v>
      </c>
      <c r="N204" s="20" t="s">
        <v>725</v>
      </c>
      <c r="O204" s="20" t="s">
        <v>76</v>
      </c>
      <c r="P204" s="20" t="s">
        <v>236</v>
      </c>
      <c r="Q204" s="20" t="s">
        <v>726</v>
      </c>
      <c r="R204" s="22" t="n">
        <v>31.77</v>
      </c>
      <c r="S204" s="20" t="n">
        <v>2</v>
      </c>
      <c r="T204" s="20" t="n">
        <v>0.7</v>
      </c>
      <c r="U204" s="22" t="n">
        <v>-5.57</v>
      </c>
      <c r="V204" s="23" t="n">
        <f aca="false">IF(ISNUMBER(C204),YEAR(C204),"")</f>
        <v>2015</v>
      </c>
      <c r="W204" s="23" t="n">
        <f aca="false">IF(ISNUMBER(C204),MONTH(C204),"")</f>
        <v>1</v>
      </c>
      <c r="X204" s="23" t="str">
        <f aca="false">IF(T204="","",IF(T204=0,"No discount",IF(T204&lt;=0.2,"Low (1-20%)",IF(T204&lt;=0.4,"Medium (21-40%)","High (&gt;40%)"))))</f>
        <v>High (&gt;40%)</v>
      </c>
      <c r="Y204" s="23" t="n">
        <f aca="false">IF(AND(ISNUMBER(C204),ISNUMBER(D204)),D204-C204,"")</f>
        <v>1</v>
      </c>
      <c r="Z204" s="23" t="n">
        <f aca="false">IF(B204="","",IF(MATCH(B204,$B$2:$B$12000,0)=ROW()-1,1,0))</f>
        <v>1</v>
      </c>
    </row>
    <row r="205" customFormat="false" ht="15" hidden="false" customHeight="false" outlineLevel="0" collapsed="false">
      <c r="A205" s="20" t="n">
        <v>204</v>
      </c>
      <c r="B205" s="20" t="s">
        <v>724</v>
      </c>
      <c r="C205" s="21" t="n">
        <v>42020</v>
      </c>
      <c r="D205" s="21" t="n">
        <v>42021</v>
      </c>
      <c r="E205" s="20" t="s">
        <v>58</v>
      </c>
      <c r="F205" s="20" t="s">
        <v>319</v>
      </c>
      <c r="G205" s="20" t="s">
        <v>320</v>
      </c>
      <c r="H205" s="20" t="s">
        <v>61</v>
      </c>
      <c r="I205" s="20" t="s">
        <v>62</v>
      </c>
      <c r="J205" s="20" t="s">
        <v>63</v>
      </c>
      <c r="K205" s="20" t="s">
        <v>518</v>
      </c>
      <c r="L205" s="20" t="n">
        <v>36317</v>
      </c>
      <c r="M205" s="20" t="s">
        <v>153</v>
      </c>
      <c r="N205" s="20" t="s">
        <v>727</v>
      </c>
      <c r="O205" s="20" t="s">
        <v>76</v>
      </c>
      <c r="P205" s="20" t="s">
        <v>128</v>
      </c>
      <c r="Q205" s="20" t="s">
        <v>728</v>
      </c>
      <c r="R205" s="22" t="n">
        <v>68.38</v>
      </c>
      <c r="S205" s="20" t="n">
        <v>1</v>
      </c>
      <c r="T205" s="20" t="n">
        <v>0.4</v>
      </c>
      <c r="U205" s="22" t="n">
        <v>-9.17</v>
      </c>
      <c r="V205" s="23" t="n">
        <f aca="false">IF(ISNUMBER(C205),YEAR(C205),"")</f>
        <v>2015</v>
      </c>
      <c r="W205" s="23" t="n">
        <f aca="false">IF(ISNUMBER(C205),MONTH(C205),"")</f>
        <v>1</v>
      </c>
      <c r="X205" s="23" t="str">
        <f aca="false">IF(T205="","",IF(T205=0,"No discount",IF(T205&lt;=0.2,"Low (1-20%)",IF(T205&lt;=0.4,"Medium (21-40%)","High (&gt;40%)"))))</f>
        <v>Medium (21-40%)</v>
      </c>
      <c r="Y205" s="23" t="n">
        <f aca="false">IF(AND(ISNUMBER(C205),ISNUMBER(D205)),D205-C205,"")</f>
        <v>1</v>
      </c>
      <c r="Z205" s="23" t="n">
        <f aca="false">IF(B205="","",IF(MATCH(B205,$B$2:$B$12000,0)=ROW()-1,1,0))</f>
        <v>0</v>
      </c>
    </row>
    <row r="206" customFormat="false" ht="15" hidden="false" customHeight="false" outlineLevel="0" collapsed="false">
      <c r="A206" s="20" t="n">
        <v>205</v>
      </c>
      <c r="B206" s="20" t="s">
        <v>724</v>
      </c>
      <c r="C206" s="21" t="n">
        <v>42020</v>
      </c>
      <c r="D206" s="21" t="n">
        <v>42021</v>
      </c>
      <c r="E206" s="20" t="s">
        <v>104</v>
      </c>
      <c r="F206" s="20" t="s">
        <v>319</v>
      </c>
      <c r="G206" s="20" t="s">
        <v>320</v>
      </c>
      <c r="H206" s="20" t="s">
        <v>61</v>
      </c>
      <c r="I206" s="20" t="s">
        <v>62</v>
      </c>
      <c r="J206" s="20" t="s">
        <v>63</v>
      </c>
      <c r="K206" s="20" t="s">
        <v>518</v>
      </c>
      <c r="L206" s="20" t="n">
        <v>34529</v>
      </c>
      <c r="M206" s="20" t="s">
        <v>153</v>
      </c>
      <c r="N206" s="20" t="s">
        <v>729</v>
      </c>
      <c r="O206" s="20" t="s">
        <v>114</v>
      </c>
      <c r="P206" s="20" t="s">
        <v>115</v>
      </c>
      <c r="Q206" s="20" t="s">
        <v>730</v>
      </c>
      <c r="R206" s="22" t="n">
        <v>2261.82</v>
      </c>
      <c r="S206" s="20" t="n">
        <v>5</v>
      </c>
      <c r="T206" s="20" t="n">
        <v>0</v>
      </c>
      <c r="U206" s="22" t="n">
        <v>418.98</v>
      </c>
      <c r="V206" s="23" t="n">
        <f aca="false">IF(ISNUMBER(C206),YEAR(C206),"")</f>
        <v>2015</v>
      </c>
      <c r="W206" s="23" t="n">
        <f aca="false">IF(ISNUMBER(C206),MONTH(C206),"")</f>
        <v>1</v>
      </c>
      <c r="X206" s="23" t="str">
        <f aca="false">IF(T206="","",IF(T206=0,"No discount",IF(T206&lt;=0.2,"Low (1-20%)",IF(T206&lt;=0.4,"Medium (21-40%)","High (&gt;40%)"))))</f>
        <v>No discount</v>
      </c>
      <c r="Y206" s="23" t="n">
        <f aca="false">IF(AND(ISNUMBER(C206),ISNUMBER(D206)),D206-C206,"")</f>
        <v>1</v>
      </c>
      <c r="Z206" s="23" t="n">
        <f aca="false">IF(B206="","",IF(MATCH(B206,$B$2:$B$12000,0)=ROW()-1,1,0))</f>
        <v>0</v>
      </c>
    </row>
    <row r="207" customFormat="false" ht="15" hidden="false" customHeight="false" outlineLevel="0" collapsed="false">
      <c r="A207" s="20" t="n">
        <v>206</v>
      </c>
      <c r="B207" s="20" t="s">
        <v>731</v>
      </c>
      <c r="C207" s="21" t="n">
        <v>42020</v>
      </c>
      <c r="D207" s="21" t="n">
        <v>42022</v>
      </c>
      <c r="E207" s="20" t="s">
        <v>104</v>
      </c>
      <c r="F207" s="20" t="s">
        <v>732</v>
      </c>
      <c r="G207" s="20" t="s">
        <v>733</v>
      </c>
      <c r="H207" s="20" t="s">
        <v>85</v>
      </c>
      <c r="I207" s="20" t="s">
        <v>62</v>
      </c>
      <c r="J207" s="20" t="s">
        <v>63</v>
      </c>
      <c r="K207" s="20" t="s">
        <v>430</v>
      </c>
      <c r="L207" s="20" t="n">
        <v>61638</v>
      </c>
      <c r="M207" s="20" t="s">
        <v>97</v>
      </c>
      <c r="N207" s="20" t="s">
        <v>734</v>
      </c>
      <c r="O207" s="20" t="s">
        <v>76</v>
      </c>
      <c r="P207" s="20" t="s">
        <v>128</v>
      </c>
      <c r="Q207" s="20" t="s">
        <v>735</v>
      </c>
      <c r="R207" s="22" t="n">
        <v>1464.7</v>
      </c>
      <c r="S207" s="20" t="n">
        <v>7</v>
      </c>
      <c r="T207" s="20" t="n">
        <v>0</v>
      </c>
      <c r="U207" s="22" t="n">
        <v>123.85</v>
      </c>
      <c r="V207" s="23" t="n">
        <f aca="false">IF(ISNUMBER(C207),YEAR(C207),"")</f>
        <v>2015</v>
      </c>
      <c r="W207" s="23" t="n">
        <f aca="false">IF(ISNUMBER(C207),MONTH(C207),"")</f>
        <v>1</v>
      </c>
      <c r="X207" s="23" t="str">
        <f aca="false">IF(T207="","",IF(T207=0,"No discount",IF(T207&lt;=0.2,"Low (1-20%)",IF(T207&lt;=0.4,"Medium (21-40%)","High (&gt;40%)"))))</f>
        <v>No discount</v>
      </c>
      <c r="Y207" s="23" t="n">
        <f aca="false">IF(AND(ISNUMBER(C207),ISNUMBER(D207)),D207-C207,"")</f>
        <v>2</v>
      </c>
      <c r="Z207" s="23" t="n">
        <f aca="false">IF(B207="","",IF(MATCH(B207,$B$2:$B$12000,0)=ROW()-1,1,0))</f>
        <v>1</v>
      </c>
    </row>
    <row r="208" customFormat="false" ht="15" hidden="false" customHeight="false" outlineLevel="0" collapsed="false">
      <c r="A208" s="20" t="n">
        <v>207</v>
      </c>
      <c r="B208" s="20" t="s">
        <v>736</v>
      </c>
      <c r="C208" s="21" t="n">
        <v>42025</v>
      </c>
      <c r="D208" s="21" t="n">
        <v>42028</v>
      </c>
      <c r="E208" s="20" t="s">
        <v>104</v>
      </c>
      <c r="F208" s="20" t="s">
        <v>463</v>
      </c>
      <c r="G208" s="20" t="s">
        <v>464</v>
      </c>
      <c r="H208" s="20" t="s">
        <v>162</v>
      </c>
      <c r="I208" s="20" t="s">
        <v>62</v>
      </c>
      <c r="J208" s="20" t="s">
        <v>63</v>
      </c>
      <c r="K208" s="20" t="s">
        <v>430</v>
      </c>
      <c r="L208" s="20" t="n">
        <v>80212</v>
      </c>
      <c r="M208" s="20" t="s">
        <v>97</v>
      </c>
      <c r="N208" s="20" t="s">
        <v>737</v>
      </c>
      <c r="O208" s="20" t="s">
        <v>114</v>
      </c>
      <c r="P208" s="20" t="s">
        <v>167</v>
      </c>
      <c r="Q208" s="20" t="s">
        <v>738</v>
      </c>
      <c r="R208" s="22" t="n">
        <v>654.98</v>
      </c>
      <c r="S208" s="20" t="n">
        <v>7</v>
      </c>
      <c r="T208" s="20" t="n">
        <v>0.7</v>
      </c>
      <c r="U208" s="22" t="n">
        <v>-319.83</v>
      </c>
      <c r="V208" s="23" t="n">
        <f aca="false">IF(ISNUMBER(C208),YEAR(C208),"")</f>
        <v>2015</v>
      </c>
      <c r="W208" s="23" t="n">
        <f aca="false">IF(ISNUMBER(C208),MONTH(C208),"")</f>
        <v>1</v>
      </c>
      <c r="X208" s="23" t="str">
        <f aca="false">IF(T208="","",IF(T208=0,"No discount",IF(T208&lt;=0.2,"Low (1-20%)",IF(T208&lt;=0.4,"Medium (21-40%)","High (&gt;40%)"))))</f>
        <v>High (&gt;40%)</v>
      </c>
      <c r="Y208" s="23" t="n">
        <f aca="false">IF(AND(ISNUMBER(C208),ISNUMBER(D208)),D208-C208,"")</f>
        <v>3</v>
      </c>
      <c r="Z208" s="23" t="n">
        <f aca="false">IF(B208="","",IF(MATCH(B208,$B$2:$B$12000,0)=ROW()-1,1,0))</f>
        <v>1</v>
      </c>
    </row>
    <row r="209" customFormat="false" ht="15" hidden="false" customHeight="false" outlineLevel="0" collapsed="false">
      <c r="A209" s="20" t="n">
        <v>208</v>
      </c>
      <c r="B209" s="20" t="s">
        <v>736</v>
      </c>
      <c r="C209" s="21" t="n">
        <v>42025</v>
      </c>
      <c r="D209" s="21" t="n">
        <v>42028</v>
      </c>
      <c r="E209" s="20" t="s">
        <v>90</v>
      </c>
      <c r="F209" s="20" t="s">
        <v>463</v>
      </c>
      <c r="G209" s="20" t="s">
        <v>464</v>
      </c>
      <c r="H209" s="20" t="s">
        <v>162</v>
      </c>
      <c r="I209" s="20" t="s">
        <v>62</v>
      </c>
      <c r="J209" s="20" t="s">
        <v>63</v>
      </c>
      <c r="K209" s="20" t="s">
        <v>430</v>
      </c>
      <c r="L209" s="20" t="n">
        <v>79382</v>
      </c>
      <c r="M209" s="20" t="s">
        <v>97</v>
      </c>
      <c r="N209" s="20" t="s">
        <v>739</v>
      </c>
      <c r="O209" s="20" t="s">
        <v>76</v>
      </c>
      <c r="P209" s="20" t="s">
        <v>236</v>
      </c>
      <c r="Q209" s="20" t="s">
        <v>740</v>
      </c>
      <c r="R209" s="22" t="n">
        <v>61.87</v>
      </c>
      <c r="S209" s="20" t="n">
        <v>2</v>
      </c>
      <c r="T209" s="20" t="n">
        <v>0.1</v>
      </c>
      <c r="U209" s="22" t="n">
        <v>19.22</v>
      </c>
      <c r="V209" s="23" t="n">
        <f aca="false">IF(ISNUMBER(C209),YEAR(C209),"")</f>
        <v>2015</v>
      </c>
      <c r="W209" s="23" t="n">
        <f aca="false">IF(ISNUMBER(C209),MONTH(C209),"")</f>
        <v>1</v>
      </c>
      <c r="X209" s="23" t="str">
        <f aca="false">IF(T209="","",IF(T209=0,"No discount",IF(T209&lt;=0.2,"Low (1-20%)",IF(T209&lt;=0.4,"Medium (21-40%)","High (&gt;40%)"))))</f>
        <v>Low (1-20%)</v>
      </c>
      <c r="Y209" s="23" t="n">
        <f aca="false">IF(AND(ISNUMBER(C209),ISNUMBER(D209)),D209-C209,"")</f>
        <v>3</v>
      </c>
      <c r="Z209" s="23" t="n">
        <f aca="false">IF(B209="","",IF(MATCH(B209,$B$2:$B$12000,0)=ROW()-1,1,0))</f>
        <v>0</v>
      </c>
    </row>
    <row r="210" customFormat="false" ht="15" hidden="false" customHeight="false" outlineLevel="0" collapsed="false">
      <c r="A210" s="20" t="n">
        <v>209</v>
      </c>
      <c r="B210" s="20" t="s">
        <v>736</v>
      </c>
      <c r="C210" s="21" t="n">
        <v>42025</v>
      </c>
      <c r="D210" s="21" t="n">
        <v>42028</v>
      </c>
      <c r="E210" s="20" t="s">
        <v>104</v>
      </c>
      <c r="F210" s="20" t="s">
        <v>463</v>
      </c>
      <c r="G210" s="20" t="s">
        <v>464</v>
      </c>
      <c r="H210" s="20" t="s">
        <v>162</v>
      </c>
      <c r="I210" s="20" t="s">
        <v>62</v>
      </c>
      <c r="J210" s="20" t="s">
        <v>63</v>
      </c>
      <c r="K210" s="20" t="s">
        <v>430</v>
      </c>
      <c r="L210" s="20" t="n">
        <v>44802</v>
      </c>
      <c r="M210" s="20" t="s">
        <v>97</v>
      </c>
      <c r="N210" s="20" t="s">
        <v>336</v>
      </c>
      <c r="O210" s="20" t="s">
        <v>114</v>
      </c>
      <c r="P210" s="20" t="s">
        <v>167</v>
      </c>
      <c r="Q210" s="20" t="s">
        <v>741</v>
      </c>
      <c r="R210" s="22" t="n">
        <v>572.54</v>
      </c>
      <c r="S210" s="20" t="n">
        <v>1</v>
      </c>
      <c r="T210" s="20" t="n">
        <v>0</v>
      </c>
      <c r="U210" s="22" t="n">
        <v>-53.64</v>
      </c>
      <c r="V210" s="23" t="n">
        <f aca="false">IF(ISNUMBER(C210),YEAR(C210),"")</f>
        <v>2015</v>
      </c>
      <c r="W210" s="23" t="n">
        <f aca="false">IF(ISNUMBER(C210),MONTH(C210),"")</f>
        <v>1</v>
      </c>
      <c r="X210" s="23" t="str">
        <f aca="false">IF(T210="","",IF(T210=0,"No discount",IF(T210&lt;=0.2,"Low (1-20%)",IF(T210&lt;=0.4,"Medium (21-40%)","High (&gt;40%)"))))</f>
        <v>No discount</v>
      </c>
      <c r="Y210" s="23" t="n">
        <f aca="false">IF(AND(ISNUMBER(C210),ISNUMBER(D210)),D210-C210,"")</f>
        <v>3</v>
      </c>
      <c r="Z210" s="23" t="n">
        <f aca="false">IF(B210="","",IF(MATCH(B210,$B$2:$B$12000,0)=ROW()-1,1,0))</f>
        <v>0</v>
      </c>
    </row>
    <row r="211" customFormat="false" ht="15" hidden="false" customHeight="false" outlineLevel="0" collapsed="false">
      <c r="A211" s="20" t="n">
        <v>210</v>
      </c>
      <c r="B211" s="20" t="s">
        <v>742</v>
      </c>
      <c r="C211" s="21" t="n">
        <v>42025</v>
      </c>
      <c r="D211" s="21" t="n">
        <v>42026</v>
      </c>
      <c r="E211" s="20" t="s">
        <v>58</v>
      </c>
      <c r="F211" s="20" t="s">
        <v>677</v>
      </c>
      <c r="G211" s="20" t="s">
        <v>678</v>
      </c>
      <c r="H211" s="20" t="s">
        <v>61</v>
      </c>
      <c r="I211" s="20" t="s">
        <v>62</v>
      </c>
      <c r="J211" s="20" t="s">
        <v>63</v>
      </c>
      <c r="K211" s="20" t="s">
        <v>120</v>
      </c>
      <c r="L211" s="20" t="n">
        <v>93087</v>
      </c>
      <c r="M211" s="20" t="s">
        <v>112</v>
      </c>
      <c r="N211" s="20" t="s">
        <v>743</v>
      </c>
      <c r="O211" s="20" t="s">
        <v>76</v>
      </c>
      <c r="P211" s="20" t="s">
        <v>236</v>
      </c>
      <c r="Q211" s="20" t="s">
        <v>744</v>
      </c>
      <c r="R211" s="22" t="n">
        <v>31.4</v>
      </c>
      <c r="S211" s="20" t="n">
        <v>2</v>
      </c>
      <c r="T211" s="20" t="n">
        <v>0.1</v>
      </c>
      <c r="U211" s="22" t="n">
        <v>8.78</v>
      </c>
      <c r="V211" s="23" t="n">
        <f aca="false">IF(ISNUMBER(C211),YEAR(C211),"")</f>
        <v>2015</v>
      </c>
      <c r="W211" s="23" t="n">
        <f aca="false">IF(ISNUMBER(C211),MONTH(C211),"")</f>
        <v>1</v>
      </c>
      <c r="X211" s="23" t="str">
        <f aca="false">IF(T211="","",IF(T211=0,"No discount",IF(T211&lt;=0.2,"Low (1-20%)",IF(T211&lt;=0.4,"Medium (21-40%)","High (&gt;40%)"))))</f>
        <v>Low (1-20%)</v>
      </c>
      <c r="Y211" s="23" t="n">
        <f aca="false">IF(AND(ISNUMBER(C211),ISNUMBER(D211)),D211-C211,"")</f>
        <v>1</v>
      </c>
      <c r="Z211" s="23" t="n">
        <f aca="false">IF(B211="","",IF(MATCH(B211,$B$2:$B$12000,0)=ROW()-1,1,0))</f>
        <v>1</v>
      </c>
    </row>
    <row r="212" customFormat="false" ht="15" hidden="false" customHeight="false" outlineLevel="0" collapsed="false">
      <c r="A212" s="20" t="n">
        <v>211</v>
      </c>
      <c r="B212" s="20" t="s">
        <v>742</v>
      </c>
      <c r="C212" s="21" t="n">
        <v>42025</v>
      </c>
      <c r="D212" s="21" t="n">
        <v>42026</v>
      </c>
      <c r="E212" s="20" t="s">
        <v>58</v>
      </c>
      <c r="F212" s="20" t="s">
        <v>677</v>
      </c>
      <c r="G212" s="20" t="s">
        <v>678</v>
      </c>
      <c r="H212" s="20" t="s">
        <v>61</v>
      </c>
      <c r="I212" s="20" t="s">
        <v>62</v>
      </c>
      <c r="J212" s="20" t="s">
        <v>63</v>
      </c>
      <c r="K212" s="20" t="s">
        <v>120</v>
      </c>
      <c r="L212" s="20" t="n">
        <v>79703</v>
      </c>
      <c r="M212" s="20" t="s">
        <v>112</v>
      </c>
      <c r="N212" s="20" t="s">
        <v>745</v>
      </c>
      <c r="O212" s="20" t="s">
        <v>76</v>
      </c>
      <c r="P212" s="20" t="s">
        <v>101</v>
      </c>
      <c r="Q212" s="20" t="s">
        <v>746</v>
      </c>
      <c r="R212" s="22" t="n">
        <v>123.16</v>
      </c>
      <c r="S212" s="20" t="n">
        <v>7</v>
      </c>
      <c r="T212" s="20" t="n">
        <v>0.2</v>
      </c>
      <c r="U212" s="22" t="n">
        <v>28.09</v>
      </c>
      <c r="V212" s="23" t="n">
        <f aca="false">IF(ISNUMBER(C212),YEAR(C212),"")</f>
        <v>2015</v>
      </c>
      <c r="W212" s="23" t="n">
        <f aca="false">IF(ISNUMBER(C212),MONTH(C212),"")</f>
        <v>1</v>
      </c>
      <c r="X212" s="23" t="str">
        <f aca="false">IF(T212="","",IF(T212=0,"No discount",IF(T212&lt;=0.2,"Low (1-20%)",IF(T212&lt;=0.4,"Medium (21-40%)","High (&gt;40%)"))))</f>
        <v>Low (1-20%)</v>
      </c>
      <c r="Y212" s="23" t="n">
        <f aca="false">IF(AND(ISNUMBER(C212),ISNUMBER(D212)),D212-C212,"")</f>
        <v>1</v>
      </c>
      <c r="Z212" s="23" t="n">
        <f aca="false">IF(B212="","",IF(MATCH(B212,$B$2:$B$12000,0)=ROW()-1,1,0))</f>
        <v>0</v>
      </c>
    </row>
    <row r="213" customFormat="false" ht="15" hidden="false" customHeight="false" outlineLevel="0" collapsed="false">
      <c r="A213" s="20" t="n">
        <v>212</v>
      </c>
      <c r="B213" s="20" t="s">
        <v>747</v>
      </c>
      <c r="C213" s="21" t="n">
        <v>42028</v>
      </c>
      <c r="D213" s="21" t="n">
        <v>42030</v>
      </c>
      <c r="E213" s="20" t="s">
        <v>58</v>
      </c>
      <c r="F213" s="20" t="s">
        <v>83</v>
      </c>
      <c r="G213" s="20" t="s">
        <v>84</v>
      </c>
      <c r="H213" s="20" t="s">
        <v>85</v>
      </c>
      <c r="I213" s="20" t="s">
        <v>62</v>
      </c>
      <c r="J213" s="20" t="s">
        <v>63</v>
      </c>
      <c r="K213" s="20" t="s">
        <v>271</v>
      </c>
      <c r="L213" s="20" t="n">
        <v>85736</v>
      </c>
      <c r="M213" s="20" t="s">
        <v>97</v>
      </c>
      <c r="N213" s="20" t="s">
        <v>748</v>
      </c>
      <c r="O213" s="20" t="s">
        <v>114</v>
      </c>
      <c r="P213" s="20" t="s">
        <v>139</v>
      </c>
      <c r="Q213" s="20" t="s">
        <v>749</v>
      </c>
      <c r="R213" s="22" t="n">
        <v>2631.73</v>
      </c>
      <c r="S213" s="20" t="n">
        <v>7</v>
      </c>
      <c r="T213" s="20" t="n">
        <v>0</v>
      </c>
      <c r="U213" s="22" t="n">
        <v>277.75</v>
      </c>
      <c r="V213" s="23" t="n">
        <f aca="false">IF(ISNUMBER(C213),YEAR(C213),"")</f>
        <v>2015</v>
      </c>
      <c r="W213" s="23" t="n">
        <f aca="false">IF(ISNUMBER(C213),MONTH(C213),"")</f>
        <v>1</v>
      </c>
      <c r="X213" s="23" t="str">
        <f aca="false">IF(T213="","",IF(T213=0,"No discount",IF(T213&lt;=0.2,"Low (1-20%)",IF(T213&lt;=0.4,"Medium (21-40%)","High (&gt;40%)"))))</f>
        <v>No discount</v>
      </c>
      <c r="Y213" s="23" t="n">
        <f aca="false">IF(AND(ISNUMBER(C213),ISNUMBER(D213)),D213-C213,"")</f>
        <v>2</v>
      </c>
      <c r="Z213" s="23" t="n">
        <f aca="false">IF(B213="","",IF(MATCH(B213,$B$2:$B$12000,0)=ROW()-1,1,0))</f>
        <v>1</v>
      </c>
    </row>
    <row r="214" customFormat="false" ht="15" hidden="false" customHeight="false" outlineLevel="0" collapsed="false">
      <c r="A214" s="20" t="n">
        <v>213</v>
      </c>
      <c r="B214" s="20" t="s">
        <v>747</v>
      </c>
      <c r="C214" s="21" t="n">
        <v>42028</v>
      </c>
      <c r="D214" s="21" t="n">
        <v>42030</v>
      </c>
      <c r="E214" s="20" t="s">
        <v>71</v>
      </c>
      <c r="F214" s="20" t="s">
        <v>83</v>
      </c>
      <c r="G214" s="20" t="s">
        <v>84</v>
      </c>
      <c r="H214" s="20" t="s">
        <v>85</v>
      </c>
      <c r="I214" s="20" t="s">
        <v>62</v>
      </c>
      <c r="J214" s="20" t="s">
        <v>63</v>
      </c>
      <c r="K214" s="20" t="s">
        <v>271</v>
      </c>
      <c r="L214" s="20" t="n">
        <v>47041</v>
      </c>
      <c r="M214" s="20" t="s">
        <v>97</v>
      </c>
      <c r="N214" s="20" t="s">
        <v>750</v>
      </c>
      <c r="O214" s="20" t="s">
        <v>114</v>
      </c>
      <c r="P214" s="20" t="s">
        <v>210</v>
      </c>
      <c r="Q214" s="20" t="s">
        <v>751</v>
      </c>
      <c r="R214" s="22" t="n">
        <v>103.32</v>
      </c>
      <c r="S214" s="20" t="n">
        <v>3</v>
      </c>
      <c r="T214" s="20" t="n">
        <v>0</v>
      </c>
      <c r="U214" s="22" t="n">
        <v>17.73</v>
      </c>
      <c r="V214" s="23" t="n">
        <f aca="false">IF(ISNUMBER(C214),YEAR(C214),"")</f>
        <v>2015</v>
      </c>
      <c r="W214" s="23" t="n">
        <f aca="false">IF(ISNUMBER(C214),MONTH(C214),"")</f>
        <v>1</v>
      </c>
      <c r="X214" s="23" t="str">
        <f aca="false">IF(T214="","",IF(T214=0,"No discount",IF(T214&lt;=0.2,"Low (1-20%)",IF(T214&lt;=0.4,"Medium (21-40%)","High (&gt;40%)"))))</f>
        <v>No discount</v>
      </c>
      <c r="Y214" s="23" t="n">
        <f aca="false">IF(AND(ISNUMBER(C214),ISNUMBER(D214)),D214-C214,"")</f>
        <v>2</v>
      </c>
      <c r="Z214" s="23" t="n">
        <f aca="false">IF(B214="","",IF(MATCH(B214,$B$2:$B$12000,0)=ROW()-1,1,0))</f>
        <v>0</v>
      </c>
    </row>
    <row r="215" customFormat="false" ht="15" hidden="false" customHeight="false" outlineLevel="0" collapsed="false">
      <c r="A215" s="20" t="n">
        <v>214</v>
      </c>
      <c r="B215" s="20" t="s">
        <v>747</v>
      </c>
      <c r="C215" s="21" t="n">
        <v>42028</v>
      </c>
      <c r="D215" s="21" t="n">
        <v>42030</v>
      </c>
      <c r="E215" s="20" t="s">
        <v>90</v>
      </c>
      <c r="F215" s="20" t="s">
        <v>83</v>
      </c>
      <c r="G215" s="20" t="s">
        <v>84</v>
      </c>
      <c r="H215" s="20" t="s">
        <v>85</v>
      </c>
      <c r="I215" s="20" t="s">
        <v>62</v>
      </c>
      <c r="J215" s="20" t="s">
        <v>63</v>
      </c>
      <c r="K215" s="20" t="s">
        <v>271</v>
      </c>
      <c r="L215" s="20" t="n">
        <v>90262</v>
      </c>
      <c r="M215" s="20" t="s">
        <v>97</v>
      </c>
      <c r="N215" s="20" t="s">
        <v>752</v>
      </c>
      <c r="O215" s="20" t="s">
        <v>67</v>
      </c>
      <c r="P215" s="20" t="s">
        <v>106</v>
      </c>
      <c r="Q215" s="20" t="s">
        <v>753</v>
      </c>
      <c r="R215" s="22" t="n">
        <v>3054.56</v>
      </c>
      <c r="S215" s="20" t="n">
        <v>5</v>
      </c>
      <c r="T215" s="20" t="n">
        <v>0</v>
      </c>
      <c r="U215" s="22" t="n">
        <v>366.79</v>
      </c>
      <c r="V215" s="23" t="n">
        <f aca="false">IF(ISNUMBER(C215),YEAR(C215),"")</f>
        <v>2015</v>
      </c>
      <c r="W215" s="23" t="n">
        <f aca="false">IF(ISNUMBER(C215),MONTH(C215),"")</f>
        <v>1</v>
      </c>
      <c r="X215" s="23" t="str">
        <f aca="false">IF(T215="","",IF(T215=0,"No discount",IF(T215&lt;=0.2,"Low (1-20%)",IF(T215&lt;=0.4,"Medium (21-40%)","High (&gt;40%)"))))</f>
        <v>No discount</v>
      </c>
      <c r="Y215" s="23" t="n">
        <f aca="false">IF(AND(ISNUMBER(C215),ISNUMBER(D215)),D215-C215,"")</f>
        <v>2</v>
      </c>
      <c r="Z215" s="23" t="n">
        <f aca="false">IF(B215="","",IF(MATCH(B215,$B$2:$B$12000,0)=ROW()-1,1,0))</f>
        <v>0</v>
      </c>
    </row>
    <row r="216" customFormat="false" ht="15" hidden="false" customHeight="false" outlineLevel="0" collapsed="false">
      <c r="A216" s="20" t="n">
        <v>215</v>
      </c>
      <c r="B216" s="20" t="s">
        <v>754</v>
      </c>
      <c r="C216" s="21" t="n">
        <v>42039</v>
      </c>
      <c r="D216" s="21" t="n">
        <v>42044</v>
      </c>
      <c r="E216" s="20" t="s">
        <v>71</v>
      </c>
      <c r="F216" s="20" t="s">
        <v>560</v>
      </c>
      <c r="G216" s="20" t="s">
        <v>561</v>
      </c>
      <c r="H216" s="20" t="s">
        <v>85</v>
      </c>
      <c r="I216" s="20" t="s">
        <v>62</v>
      </c>
      <c r="J216" s="20" t="s">
        <v>63</v>
      </c>
      <c r="K216" s="20" t="s">
        <v>64</v>
      </c>
      <c r="L216" s="20" t="n">
        <v>57148</v>
      </c>
      <c r="M216" s="20" t="s">
        <v>65</v>
      </c>
      <c r="N216" s="20" t="s">
        <v>755</v>
      </c>
      <c r="O216" s="20" t="s">
        <v>76</v>
      </c>
      <c r="P216" s="20" t="s">
        <v>185</v>
      </c>
      <c r="Q216" s="20" t="s">
        <v>756</v>
      </c>
      <c r="R216" s="22" t="n">
        <v>39.21</v>
      </c>
      <c r="S216" s="20" t="n">
        <v>4</v>
      </c>
      <c r="T216" s="20" t="n">
        <v>0</v>
      </c>
      <c r="U216" s="22" t="n">
        <v>10.14</v>
      </c>
      <c r="V216" s="23" t="n">
        <f aca="false">IF(ISNUMBER(C216),YEAR(C216),"")</f>
        <v>2015</v>
      </c>
      <c r="W216" s="23" t="n">
        <f aca="false">IF(ISNUMBER(C216),MONTH(C216),"")</f>
        <v>2</v>
      </c>
      <c r="X216" s="23" t="str">
        <f aca="false">IF(T216="","",IF(T216=0,"No discount",IF(T216&lt;=0.2,"Low (1-20%)",IF(T216&lt;=0.4,"Medium (21-40%)","High (&gt;40%)"))))</f>
        <v>No discount</v>
      </c>
      <c r="Y216" s="23" t="n">
        <f aca="false">IF(AND(ISNUMBER(C216),ISNUMBER(D216)),D216-C216,"")</f>
        <v>5</v>
      </c>
      <c r="Z216" s="23" t="n">
        <f aca="false">IF(B216="","",IF(MATCH(B216,$B$2:$B$12000,0)=ROW()-1,1,0))</f>
        <v>1</v>
      </c>
    </row>
    <row r="217" customFormat="false" ht="15" hidden="false" customHeight="false" outlineLevel="0" collapsed="false">
      <c r="A217" s="20" t="n">
        <v>216</v>
      </c>
      <c r="B217" s="20" t="s">
        <v>757</v>
      </c>
      <c r="C217" s="21" t="n">
        <v>42040</v>
      </c>
      <c r="D217" s="21" t="n">
        <v>42041</v>
      </c>
      <c r="E217" s="20" t="s">
        <v>58</v>
      </c>
      <c r="F217" s="20" t="s">
        <v>758</v>
      </c>
      <c r="G217" s="20" t="s">
        <v>759</v>
      </c>
      <c r="H217" s="20" t="s">
        <v>61</v>
      </c>
      <c r="I217" s="20" t="s">
        <v>62</v>
      </c>
      <c r="J217" s="20" t="s">
        <v>63</v>
      </c>
      <c r="K217" s="20" t="s">
        <v>565</v>
      </c>
      <c r="L217" s="20" t="n">
        <v>68572</v>
      </c>
      <c r="M217" s="20" t="s">
        <v>112</v>
      </c>
      <c r="N217" s="20" t="s">
        <v>760</v>
      </c>
      <c r="O217" s="20" t="s">
        <v>76</v>
      </c>
      <c r="P217" s="20" t="s">
        <v>101</v>
      </c>
      <c r="Q217" s="20" t="s">
        <v>761</v>
      </c>
      <c r="R217" s="22" t="n">
        <v>81.91</v>
      </c>
      <c r="S217" s="20" t="n">
        <v>4</v>
      </c>
      <c r="T217" s="20" t="n">
        <v>0</v>
      </c>
      <c r="U217" s="22" t="n">
        <v>36.86</v>
      </c>
      <c r="V217" s="23" t="n">
        <f aca="false">IF(ISNUMBER(C217),YEAR(C217),"")</f>
        <v>2015</v>
      </c>
      <c r="W217" s="23" t="n">
        <f aca="false">IF(ISNUMBER(C217),MONTH(C217),"")</f>
        <v>2</v>
      </c>
      <c r="X217" s="23" t="str">
        <f aca="false">IF(T217="","",IF(T217=0,"No discount",IF(T217&lt;=0.2,"Low (1-20%)",IF(T217&lt;=0.4,"Medium (21-40%)","High (&gt;40%)"))))</f>
        <v>No discount</v>
      </c>
      <c r="Y217" s="23" t="n">
        <f aca="false">IF(AND(ISNUMBER(C217),ISNUMBER(D217)),D217-C217,"")</f>
        <v>1</v>
      </c>
      <c r="Z217" s="23" t="n">
        <f aca="false">IF(B217="","",IF(MATCH(B217,$B$2:$B$12000,0)=ROW()-1,1,0))</f>
        <v>1</v>
      </c>
    </row>
    <row r="218" customFormat="false" ht="15" hidden="false" customHeight="false" outlineLevel="0" collapsed="false">
      <c r="A218" s="20" t="n">
        <v>217</v>
      </c>
      <c r="B218" s="20" t="s">
        <v>757</v>
      </c>
      <c r="C218" s="21" t="n">
        <v>42040</v>
      </c>
      <c r="D218" s="21" t="n">
        <v>42041</v>
      </c>
      <c r="E218" s="20" t="s">
        <v>104</v>
      </c>
      <c r="F218" s="20" t="s">
        <v>758</v>
      </c>
      <c r="G218" s="20" t="s">
        <v>759</v>
      </c>
      <c r="H218" s="20" t="s">
        <v>61</v>
      </c>
      <c r="I218" s="20" t="s">
        <v>62</v>
      </c>
      <c r="J218" s="20" t="s">
        <v>63</v>
      </c>
      <c r="K218" s="20" t="s">
        <v>565</v>
      </c>
      <c r="L218" s="20" t="n">
        <v>92503</v>
      </c>
      <c r="M218" s="20" t="s">
        <v>112</v>
      </c>
      <c r="N218" s="20" t="s">
        <v>762</v>
      </c>
      <c r="O218" s="20" t="s">
        <v>114</v>
      </c>
      <c r="P218" s="20" t="s">
        <v>167</v>
      </c>
      <c r="Q218" s="20" t="s">
        <v>763</v>
      </c>
      <c r="R218" s="22" t="n">
        <v>576.5</v>
      </c>
      <c r="S218" s="20" t="n">
        <v>1</v>
      </c>
      <c r="T218" s="20" t="n">
        <v>0</v>
      </c>
      <c r="U218" s="22" t="n">
        <v>-78.58</v>
      </c>
      <c r="V218" s="23" t="n">
        <f aca="false">IF(ISNUMBER(C218),YEAR(C218),"")</f>
        <v>2015</v>
      </c>
      <c r="W218" s="23" t="n">
        <f aca="false">IF(ISNUMBER(C218),MONTH(C218),"")</f>
        <v>2</v>
      </c>
      <c r="X218" s="23" t="str">
        <f aca="false">IF(T218="","",IF(T218=0,"No discount",IF(T218&lt;=0.2,"Low (1-20%)",IF(T218&lt;=0.4,"Medium (21-40%)","High (&gt;40%)"))))</f>
        <v>No discount</v>
      </c>
      <c r="Y218" s="23" t="n">
        <f aca="false">IF(AND(ISNUMBER(C218),ISNUMBER(D218)),D218-C218,"")</f>
        <v>1</v>
      </c>
      <c r="Z218" s="23" t="n">
        <f aca="false">IF(B218="","",IF(MATCH(B218,$B$2:$B$12000,0)=ROW()-1,1,0))</f>
        <v>0</v>
      </c>
    </row>
    <row r="219" customFormat="false" ht="15" hidden="false" customHeight="false" outlineLevel="0" collapsed="false">
      <c r="A219" s="20" t="n">
        <v>218</v>
      </c>
      <c r="B219" s="20" t="s">
        <v>757</v>
      </c>
      <c r="C219" s="21" t="n">
        <v>42040</v>
      </c>
      <c r="D219" s="21" t="n">
        <v>42041</v>
      </c>
      <c r="E219" s="20" t="s">
        <v>58</v>
      </c>
      <c r="F219" s="20" t="s">
        <v>758</v>
      </c>
      <c r="G219" s="20" t="s">
        <v>759</v>
      </c>
      <c r="H219" s="20" t="s">
        <v>61</v>
      </c>
      <c r="I219" s="20" t="s">
        <v>62</v>
      </c>
      <c r="J219" s="20" t="s">
        <v>63</v>
      </c>
      <c r="K219" s="20" t="s">
        <v>565</v>
      </c>
      <c r="L219" s="20" t="n">
        <v>46924</v>
      </c>
      <c r="M219" s="20" t="s">
        <v>112</v>
      </c>
      <c r="N219" s="20" t="s">
        <v>764</v>
      </c>
      <c r="O219" s="20" t="s">
        <v>76</v>
      </c>
      <c r="P219" s="20" t="s">
        <v>122</v>
      </c>
      <c r="Q219" s="20" t="s">
        <v>765</v>
      </c>
      <c r="R219" s="22" t="n">
        <v>116.74</v>
      </c>
      <c r="S219" s="20" t="n">
        <v>4</v>
      </c>
      <c r="T219" s="20" t="n">
        <v>0.4</v>
      </c>
      <c r="U219" s="22" t="n">
        <v>14.2</v>
      </c>
      <c r="V219" s="23" t="n">
        <f aca="false">IF(ISNUMBER(C219),YEAR(C219),"")</f>
        <v>2015</v>
      </c>
      <c r="W219" s="23" t="n">
        <f aca="false">IF(ISNUMBER(C219),MONTH(C219),"")</f>
        <v>2</v>
      </c>
      <c r="X219" s="23" t="str">
        <f aca="false">IF(T219="","",IF(T219=0,"No discount",IF(T219&lt;=0.2,"Low (1-20%)",IF(T219&lt;=0.4,"Medium (21-40%)","High (&gt;40%)"))))</f>
        <v>Medium (21-40%)</v>
      </c>
      <c r="Y219" s="23" t="n">
        <f aca="false">IF(AND(ISNUMBER(C219),ISNUMBER(D219)),D219-C219,"")</f>
        <v>1</v>
      </c>
      <c r="Z219" s="23" t="n">
        <f aca="false">IF(B219="","",IF(MATCH(B219,$B$2:$B$12000,0)=ROW()-1,1,0))</f>
        <v>0</v>
      </c>
    </row>
    <row r="220" customFormat="false" ht="15" hidden="false" customHeight="false" outlineLevel="0" collapsed="false">
      <c r="A220" s="20" t="n">
        <v>219</v>
      </c>
      <c r="B220" s="20" t="s">
        <v>766</v>
      </c>
      <c r="C220" s="21" t="n">
        <v>42044</v>
      </c>
      <c r="D220" s="21" t="n">
        <v>42051</v>
      </c>
      <c r="E220" s="20" t="s">
        <v>71</v>
      </c>
      <c r="F220" s="20" t="s">
        <v>767</v>
      </c>
      <c r="G220" s="20" t="s">
        <v>768</v>
      </c>
      <c r="H220" s="20" t="s">
        <v>61</v>
      </c>
      <c r="I220" s="20" t="s">
        <v>62</v>
      </c>
      <c r="J220" s="20" t="s">
        <v>63</v>
      </c>
      <c r="K220" s="20" t="s">
        <v>445</v>
      </c>
      <c r="L220" s="20" t="n">
        <v>62447</v>
      </c>
      <c r="M220" s="20" t="s">
        <v>153</v>
      </c>
      <c r="N220" s="20" t="s">
        <v>769</v>
      </c>
      <c r="O220" s="20" t="s">
        <v>114</v>
      </c>
      <c r="P220" s="20" t="s">
        <v>210</v>
      </c>
      <c r="Q220" s="20" t="s">
        <v>770</v>
      </c>
      <c r="R220" s="22" t="n">
        <v>94.84</v>
      </c>
      <c r="S220" s="20" t="n">
        <v>7</v>
      </c>
      <c r="T220" s="20" t="n">
        <v>0.2</v>
      </c>
      <c r="U220" s="22" t="n">
        <v>-2.37</v>
      </c>
      <c r="V220" s="23" t="n">
        <f aca="false">IF(ISNUMBER(C220),YEAR(C220),"")</f>
        <v>2015</v>
      </c>
      <c r="W220" s="23" t="n">
        <f aca="false">IF(ISNUMBER(C220),MONTH(C220),"")</f>
        <v>2</v>
      </c>
      <c r="X220" s="23" t="str">
        <f aca="false">IF(T220="","",IF(T220=0,"No discount",IF(T220&lt;=0.2,"Low (1-20%)",IF(T220&lt;=0.4,"Medium (21-40%)","High (&gt;40%)"))))</f>
        <v>Low (1-20%)</v>
      </c>
      <c r="Y220" s="23" t="n">
        <f aca="false">IF(AND(ISNUMBER(C220),ISNUMBER(D220)),D220-C220,"")</f>
        <v>7</v>
      </c>
      <c r="Z220" s="23" t="n">
        <f aca="false">IF(B220="","",IF(MATCH(B220,$B$2:$B$12000,0)=ROW()-1,1,0))</f>
        <v>1</v>
      </c>
    </row>
    <row r="221" customFormat="false" ht="15" hidden="false" customHeight="false" outlineLevel="0" collapsed="false">
      <c r="A221" s="20" t="n">
        <v>220</v>
      </c>
      <c r="B221" s="20" t="s">
        <v>766</v>
      </c>
      <c r="C221" s="21" t="n">
        <v>42044</v>
      </c>
      <c r="D221" s="21" t="n">
        <v>42051</v>
      </c>
      <c r="E221" s="20" t="s">
        <v>71</v>
      </c>
      <c r="F221" s="20" t="s">
        <v>767</v>
      </c>
      <c r="G221" s="20" t="s">
        <v>768</v>
      </c>
      <c r="H221" s="20" t="s">
        <v>61</v>
      </c>
      <c r="I221" s="20" t="s">
        <v>62</v>
      </c>
      <c r="J221" s="20" t="s">
        <v>63</v>
      </c>
      <c r="K221" s="20" t="s">
        <v>445</v>
      </c>
      <c r="L221" s="20" t="n">
        <v>58673</v>
      </c>
      <c r="M221" s="20" t="s">
        <v>153</v>
      </c>
      <c r="N221" s="20" t="s">
        <v>771</v>
      </c>
      <c r="O221" s="20" t="s">
        <v>67</v>
      </c>
      <c r="P221" s="20" t="s">
        <v>106</v>
      </c>
      <c r="Q221" s="20" t="s">
        <v>772</v>
      </c>
      <c r="R221" s="22" t="n">
        <v>949.77</v>
      </c>
      <c r="S221" s="20" t="n">
        <v>4</v>
      </c>
      <c r="T221" s="20" t="n">
        <v>0.7</v>
      </c>
      <c r="U221" s="22" t="n">
        <v>-312.03</v>
      </c>
      <c r="V221" s="23" t="n">
        <f aca="false">IF(ISNUMBER(C221),YEAR(C221),"")</f>
        <v>2015</v>
      </c>
      <c r="W221" s="23" t="n">
        <f aca="false">IF(ISNUMBER(C221),MONTH(C221),"")</f>
        <v>2</v>
      </c>
      <c r="X221" s="23" t="str">
        <f aca="false">IF(T221="","",IF(T221=0,"No discount",IF(T221&lt;=0.2,"Low (1-20%)",IF(T221&lt;=0.4,"Medium (21-40%)","High (&gt;40%)"))))</f>
        <v>High (&gt;40%)</v>
      </c>
      <c r="Y221" s="23" t="n">
        <f aca="false">IF(AND(ISNUMBER(C221),ISNUMBER(D221)),D221-C221,"")</f>
        <v>7</v>
      </c>
      <c r="Z221" s="23" t="n">
        <f aca="false">IF(B221="","",IF(MATCH(B221,$B$2:$B$12000,0)=ROW()-1,1,0))</f>
        <v>0</v>
      </c>
    </row>
    <row r="222" customFormat="false" ht="15" hidden="false" customHeight="false" outlineLevel="0" collapsed="false">
      <c r="A222" s="20" t="n">
        <v>221</v>
      </c>
      <c r="B222" s="20" t="s">
        <v>773</v>
      </c>
      <c r="C222" s="21" t="n">
        <v>42044</v>
      </c>
      <c r="D222" s="21" t="n">
        <v>42045</v>
      </c>
      <c r="E222" s="20" t="s">
        <v>58</v>
      </c>
      <c r="F222" s="20" t="s">
        <v>83</v>
      </c>
      <c r="G222" s="20" t="s">
        <v>84</v>
      </c>
      <c r="H222" s="20" t="s">
        <v>85</v>
      </c>
      <c r="I222" s="20" t="s">
        <v>62</v>
      </c>
      <c r="J222" s="20" t="s">
        <v>63</v>
      </c>
      <c r="K222" s="20" t="s">
        <v>86</v>
      </c>
      <c r="L222" s="20" t="n">
        <v>54784</v>
      </c>
      <c r="M222" s="20" t="s">
        <v>65</v>
      </c>
      <c r="N222" s="20" t="s">
        <v>774</v>
      </c>
      <c r="O222" s="20" t="s">
        <v>76</v>
      </c>
      <c r="P222" s="20" t="s">
        <v>80</v>
      </c>
      <c r="Q222" s="20" t="s">
        <v>775</v>
      </c>
      <c r="R222" s="22" t="n">
        <v>475.65</v>
      </c>
      <c r="S222" s="20" t="n">
        <v>7</v>
      </c>
      <c r="T222" s="20" t="n">
        <v>0.3</v>
      </c>
      <c r="U222" s="22" t="n">
        <v>81.17</v>
      </c>
      <c r="V222" s="23" t="n">
        <f aca="false">IF(ISNUMBER(C222),YEAR(C222),"")</f>
        <v>2015</v>
      </c>
      <c r="W222" s="23" t="n">
        <f aca="false">IF(ISNUMBER(C222),MONTH(C222),"")</f>
        <v>2</v>
      </c>
      <c r="X222" s="23" t="str">
        <f aca="false">IF(T222="","",IF(T222=0,"No discount",IF(T222&lt;=0.2,"Low (1-20%)",IF(T222&lt;=0.4,"Medium (21-40%)","High (&gt;40%)"))))</f>
        <v>Medium (21-40%)</v>
      </c>
      <c r="Y222" s="23" t="n">
        <f aca="false">IF(AND(ISNUMBER(C222),ISNUMBER(D222)),D222-C222,"")</f>
        <v>1</v>
      </c>
      <c r="Z222" s="23" t="n">
        <f aca="false">IF(B222="","",IF(MATCH(B222,$B$2:$B$12000,0)=ROW()-1,1,0))</f>
        <v>1</v>
      </c>
    </row>
    <row r="223" customFormat="false" ht="15" hidden="false" customHeight="false" outlineLevel="0" collapsed="false">
      <c r="A223" s="20" t="n">
        <v>222</v>
      </c>
      <c r="B223" s="20" t="s">
        <v>776</v>
      </c>
      <c r="C223" s="21" t="n">
        <v>42047</v>
      </c>
      <c r="D223" s="21" t="n">
        <v>42050</v>
      </c>
      <c r="E223" s="20" t="s">
        <v>58</v>
      </c>
      <c r="F223" s="20" t="s">
        <v>244</v>
      </c>
      <c r="G223" s="20" t="s">
        <v>245</v>
      </c>
      <c r="H223" s="20" t="s">
        <v>61</v>
      </c>
      <c r="I223" s="20" t="s">
        <v>62</v>
      </c>
      <c r="J223" s="20" t="s">
        <v>63</v>
      </c>
      <c r="K223" s="20" t="s">
        <v>254</v>
      </c>
      <c r="L223" s="20" t="n">
        <v>44813</v>
      </c>
      <c r="M223" s="20" t="s">
        <v>112</v>
      </c>
      <c r="N223" s="20" t="s">
        <v>777</v>
      </c>
      <c r="O223" s="20" t="s">
        <v>76</v>
      </c>
      <c r="P223" s="20" t="s">
        <v>77</v>
      </c>
      <c r="Q223" s="20" t="s">
        <v>778</v>
      </c>
      <c r="R223" s="22" t="n">
        <v>33.43</v>
      </c>
      <c r="S223" s="20" t="n">
        <v>1</v>
      </c>
      <c r="T223" s="20" t="n">
        <v>0.3</v>
      </c>
      <c r="U223" s="22" t="n">
        <v>0.76</v>
      </c>
      <c r="V223" s="23" t="n">
        <f aca="false">IF(ISNUMBER(C223),YEAR(C223),"")</f>
        <v>2015</v>
      </c>
      <c r="W223" s="23" t="n">
        <f aca="false">IF(ISNUMBER(C223),MONTH(C223),"")</f>
        <v>2</v>
      </c>
      <c r="X223" s="23" t="str">
        <f aca="false">IF(T223="","",IF(T223=0,"No discount",IF(T223&lt;=0.2,"Low (1-20%)",IF(T223&lt;=0.4,"Medium (21-40%)","High (&gt;40%)"))))</f>
        <v>Medium (21-40%)</v>
      </c>
      <c r="Y223" s="23" t="n">
        <f aca="false">IF(AND(ISNUMBER(C223),ISNUMBER(D223)),D223-C223,"")</f>
        <v>3</v>
      </c>
      <c r="Z223" s="23" t="n">
        <f aca="false">IF(B223="","",IF(MATCH(B223,$B$2:$B$12000,0)=ROW()-1,1,0))</f>
        <v>1</v>
      </c>
    </row>
    <row r="224" customFormat="false" ht="15" hidden="false" customHeight="false" outlineLevel="0" collapsed="false">
      <c r="A224" s="20" t="n">
        <v>223</v>
      </c>
      <c r="B224" s="20" t="s">
        <v>779</v>
      </c>
      <c r="C224" s="21" t="n">
        <v>42060</v>
      </c>
      <c r="D224" s="21" t="n">
        <v>42067</v>
      </c>
      <c r="E224" s="20" t="s">
        <v>104</v>
      </c>
      <c r="F224" s="20" t="s">
        <v>604</v>
      </c>
      <c r="G224" s="20" t="s">
        <v>605</v>
      </c>
      <c r="H224" s="20" t="s">
        <v>85</v>
      </c>
      <c r="I224" s="20" t="s">
        <v>62</v>
      </c>
      <c r="J224" s="20" t="s">
        <v>63</v>
      </c>
      <c r="K224" s="20" t="s">
        <v>225</v>
      </c>
      <c r="L224" s="20" t="n">
        <v>83105</v>
      </c>
      <c r="M224" s="20" t="s">
        <v>65</v>
      </c>
      <c r="N224" s="20" t="s">
        <v>780</v>
      </c>
      <c r="O224" s="20" t="s">
        <v>67</v>
      </c>
      <c r="P224" s="20" t="s">
        <v>157</v>
      </c>
      <c r="Q224" s="20" t="s">
        <v>781</v>
      </c>
      <c r="R224" s="22" t="n">
        <v>94.94</v>
      </c>
      <c r="S224" s="20" t="n">
        <v>1</v>
      </c>
      <c r="T224" s="20" t="n">
        <v>0</v>
      </c>
      <c r="U224" s="22" t="n">
        <v>15.89</v>
      </c>
      <c r="V224" s="23" t="n">
        <f aca="false">IF(ISNUMBER(C224),YEAR(C224),"")</f>
        <v>2015</v>
      </c>
      <c r="W224" s="23" t="n">
        <f aca="false">IF(ISNUMBER(C224),MONTH(C224),"")</f>
        <v>2</v>
      </c>
      <c r="X224" s="23" t="str">
        <f aca="false">IF(T224="","",IF(T224=0,"No discount",IF(T224&lt;=0.2,"Low (1-20%)",IF(T224&lt;=0.4,"Medium (21-40%)","High (&gt;40%)"))))</f>
        <v>No discount</v>
      </c>
      <c r="Y224" s="23" t="n">
        <f aca="false">IF(AND(ISNUMBER(C224),ISNUMBER(D224)),D224-C224,"")</f>
        <v>7</v>
      </c>
      <c r="Z224" s="23" t="n">
        <f aca="false">IF(B224="","",IF(MATCH(B224,$B$2:$B$12000,0)=ROW()-1,1,0))</f>
        <v>1</v>
      </c>
    </row>
    <row r="225" customFormat="false" ht="15" hidden="false" customHeight="false" outlineLevel="0" collapsed="false">
      <c r="A225" s="20" t="n">
        <v>224</v>
      </c>
      <c r="B225" s="20" t="s">
        <v>782</v>
      </c>
      <c r="C225" s="21" t="n">
        <v>42064</v>
      </c>
      <c r="D225" s="21" t="n">
        <v>42070</v>
      </c>
      <c r="E225" s="20" t="s">
        <v>58</v>
      </c>
      <c r="F225" s="20" t="s">
        <v>671</v>
      </c>
      <c r="G225" s="20" t="s">
        <v>672</v>
      </c>
      <c r="H225" s="20" t="s">
        <v>61</v>
      </c>
      <c r="I225" s="20" t="s">
        <v>62</v>
      </c>
      <c r="J225" s="20" t="s">
        <v>63</v>
      </c>
      <c r="K225" s="20" t="s">
        <v>673</v>
      </c>
      <c r="L225" s="20" t="n">
        <v>56564</v>
      </c>
      <c r="M225" s="20" t="s">
        <v>97</v>
      </c>
      <c r="N225" s="20" t="s">
        <v>783</v>
      </c>
      <c r="O225" s="20" t="s">
        <v>76</v>
      </c>
      <c r="P225" s="20" t="s">
        <v>101</v>
      </c>
      <c r="Q225" s="20" t="s">
        <v>217</v>
      </c>
      <c r="R225" s="22" t="n">
        <v>27.96</v>
      </c>
      <c r="S225" s="20" t="n">
        <v>5</v>
      </c>
      <c r="T225" s="20" t="n">
        <v>0</v>
      </c>
      <c r="U225" s="22" t="n">
        <v>12.49</v>
      </c>
      <c r="V225" s="23" t="n">
        <f aca="false">IF(ISNUMBER(C225),YEAR(C225),"")</f>
        <v>2015</v>
      </c>
      <c r="W225" s="23" t="n">
        <f aca="false">IF(ISNUMBER(C225),MONTH(C225),"")</f>
        <v>3</v>
      </c>
      <c r="X225" s="23" t="str">
        <f aca="false">IF(T225="","",IF(T225=0,"No discount",IF(T225&lt;=0.2,"Low (1-20%)",IF(T225&lt;=0.4,"Medium (21-40%)","High (&gt;40%)"))))</f>
        <v>No discount</v>
      </c>
      <c r="Y225" s="23" t="n">
        <f aca="false">IF(AND(ISNUMBER(C225),ISNUMBER(D225)),D225-C225,"")</f>
        <v>6</v>
      </c>
      <c r="Z225" s="23" t="n">
        <f aca="false">IF(B225="","",IF(MATCH(B225,$B$2:$B$12000,0)=ROW()-1,1,0))</f>
        <v>1</v>
      </c>
    </row>
    <row r="226" customFormat="false" ht="15" hidden="false" customHeight="false" outlineLevel="0" collapsed="false">
      <c r="A226" s="20" t="n">
        <v>225</v>
      </c>
      <c r="B226" s="20" t="s">
        <v>784</v>
      </c>
      <c r="C226" s="21" t="n">
        <v>42066</v>
      </c>
      <c r="D226" s="21" t="n">
        <v>42070</v>
      </c>
      <c r="E226" s="20" t="s">
        <v>71</v>
      </c>
      <c r="F226" s="20" t="s">
        <v>94</v>
      </c>
      <c r="G226" s="20" t="s">
        <v>95</v>
      </c>
      <c r="H226" s="20" t="s">
        <v>61</v>
      </c>
      <c r="I226" s="20" t="s">
        <v>62</v>
      </c>
      <c r="J226" s="20" t="s">
        <v>63</v>
      </c>
      <c r="K226" s="20" t="s">
        <v>215</v>
      </c>
      <c r="L226" s="20" t="n">
        <v>54254</v>
      </c>
      <c r="M226" s="20" t="s">
        <v>112</v>
      </c>
      <c r="N226" s="20" t="s">
        <v>785</v>
      </c>
      <c r="O226" s="20" t="s">
        <v>76</v>
      </c>
      <c r="P226" s="20" t="s">
        <v>101</v>
      </c>
      <c r="Q226" s="20" t="s">
        <v>786</v>
      </c>
      <c r="R226" s="22" t="n">
        <v>34.2</v>
      </c>
      <c r="S226" s="20" t="n">
        <v>2</v>
      </c>
      <c r="T226" s="20" t="n">
        <v>0</v>
      </c>
      <c r="U226" s="22" t="n">
        <v>15.15</v>
      </c>
      <c r="V226" s="23" t="n">
        <f aca="false">IF(ISNUMBER(C226),YEAR(C226),"")</f>
        <v>2015</v>
      </c>
      <c r="W226" s="23" t="n">
        <f aca="false">IF(ISNUMBER(C226),MONTH(C226),"")</f>
        <v>3</v>
      </c>
      <c r="X226" s="23" t="str">
        <f aca="false">IF(T226="","",IF(T226=0,"No discount",IF(T226&lt;=0.2,"Low (1-20%)",IF(T226&lt;=0.4,"Medium (21-40%)","High (&gt;40%)"))))</f>
        <v>No discount</v>
      </c>
      <c r="Y226" s="23" t="n">
        <f aca="false">IF(AND(ISNUMBER(C226),ISNUMBER(D226)),D226-C226,"")</f>
        <v>4</v>
      </c>
      <c r="Z226" s="23" t="n">
        <f aca="false">IF(B226="","",IF(MATCH(B226,$B$2:$B$12000,0)=ROW()-1,1,0))</f>
        <v>1</v>
      </c>
    </row>
    <row r="227" customFormat="false" ht="15" hidden="false" customHeight="false" outlineLevel="0" collapsed="false">
      <c r="A227" s="20" t="n">
        <v>226</v>
      </c>
      <c r="B227" s="20" t="s">
        <v>784</v>
      </c>
      <c r="C227" s="21" t="n">
        <v>42066</v>
      </c>
      <c r="D227" s="21" t="n">
        <v>42070</v>
      </c>
      <c r="E227" s="20" t="s">
        <v>90</v>
      </c>
      <c r="F227" s="20" t="s">
        <v>94</v>
      </c>
      <c r="G227" s="20" t="s">
        <v>95</v>
      </c>
      <c r="H227" s="20" t="s">
        <v>61</v>
      </c>
      <c r="I227" s="20" t="s">
        <v>62</v>
      </c>
      <c r="J227" s="20" t="s">
        <v>63</v>
      </c>
      <c r="K227" s="20" t="s">
        <v>215</v>
      </c>
      <c r="L227" s="20" t="n">
        <v>37431</v>
      </c>
      <c r="M227" s="20" t="s">
        <v>112</v>
      </c>
      <c r="N227" s="20" t="s">
        <v>787</v>
      </c>
      <c r="O227" s="20" t="s">
        <v>67</v>
      </c>
      <c r="P227" s="20" t="s">
        <v>68</v>
      </c>
      <c r="Q227" s="20" t="s">
        <v>788</v>
      </c>
      <c r="R227" s="22" t="n">
        <v>2290.25</v>
      </c>
      <c r="S227" s="20" t="n">
        <v>2</v>
      </c>
      <c r="T227" s="20" t="n">
        <v>0.4</v>
      </c>
      <c r="U227" s="22" t="n">
        <v>49.58</v>
      </c>
      <c r="V227" s="23" t="n">
        <f aca="false">IF(ISNUMBER(C227),YEAR(C227),"")</f>
        <v>2015</v>
      </c>
      <c r="W227" s="23" t="n">
        <f aca="false">IF(ISNUMBER(C227),MONTH(C227),"")</f>
        <v>3</v>
      </c>
      <c r="X227" s="23" t="str">
        <f aca="false">IF(T227="","",IF(T227=0,"No discount",IF(T227&lt;=0.2,"Low (1-20%)",IF(T227&lt;=0.4,"Medium (21-40%)","High (&gt;40%)"))))</f>
        <v>Medium (21-40%)</v>
      </c>
      <c r="Y227" s="23" t="n">
        <f aca="false">IF(AND(ISNUMBER(C227),ISNUMBER(D227)),D227-C227,"")</f>
        <v>4</v>
      </c>
      <c r="Z227" s="23" t="n">
        <f aca="false">IF(B227="","",IF(MATCH(B227,$B$2:$B$12000,0)=ROW()-1,1,0))</f>
        <v>0</v>
      </c>
    </row>
    <row r="228" customFormat="false" ht="15" hidden="false" customHeight="false" outlineLevel="0" collapsed="false">
      <c r="A228" s="20" t="n">
        <v>227</v>
      </c>
      <c r="B228" s="20" t="s">
        <v>789</v>
      </c>
      <c r="C228" s="21" t="n">
        <v>42067</v>
      </c>
      <c r="D228" s="21" t="n">
        <v>42069</v>
      </c>
      <c r="E228" s="20" t="s">
        <v>58</v>
      </c>
      <c r="F228" s="20" t="s">
        <v>83</v>
      </c>
      <c r="G228" s="20" t="s">
        <v>84</v>
      </c>
      <c r="H228" s="20" t="s">
        <v>85</v>
      </c>
      <c r="I228" s="20" t="s">
        <v>62</v>
      </c>
      <c r="J228" s="20" t="s">
        <v>63</v>
      </c>
      <c r="K228" s="20" t="s">
        <v>183</v>
      </c>
      <c r="L228" s="20" t="n">
        <v>11687</v>
      </c>
      <c r="M228" s="20" t="s">
        <v>112</v>
      </c>
      <c r="N228" s="20" t="s">
        <v>790</v>
      </c>
      <c r="O228" s="20" t="s">
        <v>76</v>
      </c>
      <c r="P228" s="20" t="s">
        <v>178</v>
      </c>
      <c r="Q228" s="20" t="s">
        <v>791</v>
      </c>
      <c r="R228" s="22" t="n">
        <v>227.26</v>
      </c>
      <c r="S228" s="20" t="n">
        <v>7</v>
      </c>
      <c r="T228" s="20" t="n">
        <v>0.2</v>
      </c>
      <c r="U228" s="22" t="n">
        <v>-17.59</v>
      </c>
      <c r="V228" s="23" t="n">
        <f aca="false">IF(ISNUMBER(C228),YEAR(C228),"")</f>
        <v>2015</v>
      </c>
      <c r="W228" s="23" t="n">
        <f aca="false">IF(ISNUMBER(C228),MONTH(C228),"")</f>
        <v>3</v>
      </c>
      <c r="X228" s="23" t="str">
        <f aca="false">IF(T228="","",IF(T228=0,"No discount",IF(T228&lt;=0.2,"Low (1-20%)",IF(T228&lt;=0.4,"Medium (21-40%)","High (&gt;40%)"))))</f>
        <v>Low (1-20%)</v>
      </c>
      <c r="Y228" s="23" t="n">
        <f aca="false">IF(AND(ISNUMBER(C228),ISNUMBER(D228)),D228-C228,"")</f>
        <v>2</v>
      </c>
      <c r="Z228" s="23" t="n">
        <f aca="false">IF(B228="","",IF(MATCH(B228,$B$2:$B$12000,0)=ROW()-1,1,0))</f>
        <v>1</v>
      </c>
    </row>
    <row r="229" customFormat="false" ht="15" hidden="false" customHeight="false" outlineLevel="0" collapsed="false">
      <c r="A229" s="20" t="n">
        <v>228</v>
      </c>
      <c r="B229" s="20" t="s">
        <v>792</v>
      </c>
      <c r="C229" s="21" t="n">
        <v>42067</v>
      </c>
      <c r="D229" s="21" t="n">
        <v>42072</v>
      </c>
      <c r="E229" s="20" t="s">
        <v>58</v>
      </c>
      <c r="F229" s="20" t="s">
        <v>476</v>
      </c>
      <c r="G229" s="20" t="s">
        <v>477</v>
      </c>
      <c r="H229" s="20" t="s">
        <v>85</v>
      </c>
      <c r="I229" s="20" t="s">
        <v>62</v>
      </c>
      <c r="J229" s="20" t="s">
        <v>63</v>
      </c>
      <c r="K229" s="20" t="s">
        <v>133</v>
      </c>
      <c r="L229" s="20" t="n">
        <v>85082</v>
      </c>
      <c r="M229" s="20" t="s">
        <v>97</v>
      </c>
      <c r="N229" s="20" t="s">
        <v>793</v>
      </c>
      <c r="O229" s="20" t="s">
        <v>76</v>
      </c>
      <c r="P229" s="20" t="s">
        <v>88</v>
      </c>
      <c r="Q229" s="20" t="s">
        <v>794</v>
      </c>
      <c r="R229" s="22" t="n">
        <v>555.48</v>
      </c>
      <c r="S229" s="20" t="n">
        <v>2</v>
      </c>
      <c r="T229" s="20" t="n">
        <v>0.3</v>
      </c>
      <c r="U229" s="22" t="n">
        <v>-34.7</v>
      </c>
      <c r="V229" s="23" t="n">
        <f aca="false">IF(ISNUMBER(C229),YEAR(C229),"")</f>
        <v>2015</v>
      </c>
      <c r="W229" s="23" t="n">
        <f aca="false">IF(ISNUMBER(C229),MONTH(C229),"")</f>
        <v>3</v>
      </c>
      <c r="X229" s="23" t="str">
        <f aca="false">IF(T229="","",IF(T229=0,"No discount",IF(T229&lt;=0.2,"Low (1-20%)",IF(T229&lt;=0.4,"Medium (21-40%)","High (&gt;40%)"))))</f>
        <v>Medium (21-40%)</v>
      </c>
      <c r="Y229" s="23" t="n">
        <f aca="false">IF(AND(ISNUMBER(C229),ISNUMBER(D229)),D229-C229,"")</f>
        <v>5</v>
      </c>
      <c r="Z229" s="23" t="n">
        <f aca="false">IF(B229="","",IF(MATCH(B229,$B$2:$B$12000,0)=ROW()-1,1,0))</f>
        <v>1</v>
      </c>
    </row>
    <row r="230" customFormat="false" ht="15" hidden="false" customHeight="false" outlineLevel="0" collapsed="false">
      <c r="A230" s="20" t="n">
        <v>229</v>
      </c>
      <c r="B230" s="20" t="s">
        <v>795</v>
      </c>
      <c r="C230" s="21" t="n">
        <v>42068</v>
      </c>
      <c r="D230" s="21" t="n">
        <v>42071</v>
      </c>
      <c r="E230" s="20" t="s">
        <v>104</v>
      </c>
      <c r="F230" s="20" t="s">
        <v>286</v>
      </c>
      <c r="G230" s="20" t="s">
        <v>287</v>
      </c>
      <c r="H230" s="20" t="s">
        <v>61</v>
      </c>
      <c r="I230" s="20" t="s">
        <v>62</v>
      </c>
      <c r="J230" s="20" t="s">
        <v>63</v>
      </c>
      <c r="K230" s="20" t="s">
        <v>796</v>
      </c>
      <c r="L230" s="20" t="n">
        <v>60149</v>
      </c>
      <c r="M230" s="20" t="s">
        <v>153</v>
      </c>
      <c r="N230" s="20" t="s">
        <v>797</v>
      </c>
      <c r="O230" s="20" t="s">
        <v>76</v>
      </c>
      <c r="P230" s="20" t="s">
        <v>128</v>
      </c>
      <c r="Q230" s="20" t="s">
        <v>798</v>
      </c>
      <c r="R230" s="22" t="n">
        <v>654.37</v>
      </c>
      <c r="S230" s="20" t="n">
        <v>8</v>
      </c>
      <c r="T230" s="20" t="n">
        <v>0.7</v>
      </c>
      <c r="U230" s="22" t="n">
        <v>-187.29</v>
      </c>
      <c r="V230" s="23" t="n">
        <f aca="false">IF(ISNUMBER(C230),YEAR(C230),"")</f>
        <v>2015</v>
      </c>
      <c r="W230" s="23" t="n">
        <f aca="false">IF(ISNUMBER(C230),MONTH(C230),"")</f>
        <v>3</v>
      </c>
      <c r="X230" s="23" t="str">
        <f aca="false">IF(T230="","",IF(T230=0,"No discount",IF(T230&lt;=0.2,"Low (1-20%)",IF(T230&lt;=0.4,"Medium (21-40%)","High (&gt;40%)"))))</f>
        <v>High (&gt;40%)</v>
      </c>
      <c r="Y230" s="23" t="n">
        <f aca="false">IF(AND(ISNUMBER(C230),ISNUMBER(D230)),D230-C230,"")</f>
        <v>3</v>
      </c>
      <c r="Z230" s="23" t="n">
        <f aca="false">IF(B230="","",IF(MATCH(B230,$B$2:$B$12000,0)=ROW()-1,1,0))</f>
        <v>1</v>
      </c>
    </row>
    <row r="231" customFormat="false" ht="15" hidden="false" customHeight="false" outlineLevel="0" collapsed="false">
      <c r="A231" s="20" t="n">
        <v>230</v>
      </c>
      <c r="B231" s="20" t="s">
        <v>799</v>
      </c>
      <c r="C231" s="21" t="n">
        <v>42071</v>
      </c>
      <c r="D231" s="21" t="n">
        <v>42073</v>
      </c>
      <c r="E231" s="20" t="s">
        <v>71</v>
      </c>
      <c r="F231" s="20" t="s">
        <v>125</v>
      </c>
      <c r="G231" s="20" t="s">
        <v>126</v>
      </c>
      <c r="H231" s="20" t="s">
        <v>61</v>
      </c>
      <c r="I231" s="20" t="s">
        <v>62</v>
      </c>
      <c r="J231" s="20" t="s">
        <v>63</v>
      </c>
      <c r="K231" s="20" t="s">
        <v>800</v>
      </c>
      <c r="L231" s="20" t="n">
        <v>71690</v>
      </c>
      <c r="M231" s="20" t="s">
        <v>65</v>
      </c>
      <c r="N231" s="20" t="s">
        <v>801</v>
      </c>
      <c r="O231" s="20" t="s">
        <v>76</v>
      </c>
      <c r="P231" s="20" t="s">
        <v>128</v>
      </c>
      <c r="Q231" s="20" t="s">
        <v>802</v>
      </c>
      <c r="R231" s="22" t="n">
        <v>221.48</v>
      </c>
      <c r="S231" s="20" t="n">
        <v>2</v>
      </c>
      <c r="T231" s="20" t="n">
        <v>0.5</v>
      </c>
      <c r="U231" s="22" t="n">
        <v>-43.95</v>
      </c>
      <c r="V231" s="23" t="n">
        <f aca="false">IF(ISNUMBER(C231),YEAR(C231),"")</f>
        <v>2015</v>
      </c>
      <c r="W231" s="23" t="n">
        <f aca="false">IF(ISNUMBER(C231),MONTH(C231),"")</f>
        <v>3</v>
      </c>
      <c r="X231" s="23" t="str">
        <f aca="false">IF(T231="","",IF(T231=0,"No discount",IF(T231&lt;=0.2,"Low (1-20%)",IF(T231&lt;=0.4,"Medium (21-40%)","High (&gt;40%)"))))</f>
        <v>High (&gt;40%)</v>
      </c>
      <c r="Y231" s="23" t="n">
        <f aca="false">IF(AND(ISNUMBER(C231),ISNUMBER(D231)),D231-C231,"")</f>
        <v>2</v>
      </c>
      <c r="Z231" s="23" t="n">
        <f aca="false">IF(B231="","",IF(MATCH(B231,$B$2:$B$12000,0)=ROW()-1,1,0))</f>
        <v>1</v>
      </c>
    </row>
    <row r="232" customFormat="false" ht="15" hidden="false" customHeight="false" outlineLevel="0" collapsed="false">
      <c r="A232" s="20" t="n">
        <v>231</v>
      </c>
      <c r="B232" s="20" t="s">
        <v>799</v>
      </c>
      <c r="C232" s="21" t="n">
        <v>42071</v>
      </c>
      <c r="D232" s="21" t="n">
        <v>42073</v>
      </c>
      <c r="E232" s="20" t="s">
        <v>90</v>
      </c>
      <c r="F232" s="20" t="s">
        <v>125</v>
      </c>
      <c r="G232" s="20" t="s">
        <v>126</v>
      </c>
      <c r="H232" s="20" t="s">
        <v>61</v>
      </c>
      <c r="I232" s="20" t="s">
        <v>62</v>
      </c>
      <c r="J232" s="20" t="s">
        <v>63</v>
      </c>
      <c r="K232" s="20" t="s">
        <v>800</v>
      </c>
      <c r="L232" s="20" t="n">
        <v>18223</v>
      </c>
      <c r="M232" s="20" t="s">
        <v>65</v>
      </c>
      <c r="N232" s="20" t="s">
        <v>803</v>
      </c>
      <c r="O232" s="20" t="s">
        <v>76</v>
      </c>
      <c r="P232" s="20" t="s">
        <v>122</v>
      </c>
      <c r="Q232" s="20" t="s">
        <v>804</v>
      </c>
      <c r="R232" s="22" t="n">
        <v>214.62</v>
      </c>
      <c r="S232" s="20" t="n">
        <v>8</v>
      </c>
      <c r="T232" s="20" t="n">
        <v>0.3</v>
      </c>
      <c r="U232" s="22" t="n">
        <v>45.76</v>
      </c>
      <c r="V232" s="23" t="n">
        <f aca="false">IF(ISNUMBER(C232),YEAR(C232),"")</f>
        <v>2015</v>
      </c>
      <c r="W232" s="23" t="n">
        <f aca="false">IF(ISNUMBER(C232),MONTH(C232),"")</f>
        <v>3</v>
      </c>
      <c r="X232" s="23" t="str">
        <f aca="false">IF(T232="","",IF(T232=0,"No discount",IF(T232&lt;=0.2,"Low (1-20%)",IF(T232&lt;=0.4,"Medium (21-40%)","High (&gt;40%)"))))</f>
        <v>Medium (21-40%)</v>
      </c>
      <c r="Y232" s="23" t="n">
        <f aca="false">IF(AND(ISNUMBER(C232),ISNUMBER(D232)),D232-C232,"")</f>
        <v>2</v>
      </c>
      <c r="Z232" s="23" t="n">
        <f aca="false">IF(B232="","",IF(MATCH(B232,$B$2:$B$12000,0)=ROW()-1,1,0))</f>
        <v>0</v>
      </c>
    </row>
    <row r="233" customFormat="false" ht="15" hidden="false" customHeight="false" outlineLevel="0" collapsed="false">
      <c r="A233" s="20" t="n">
        <v>232</v>
      </c>
      <c r="B233" s="20" t="s">
        <v>805</v>
      </c>
      <c r="C233" s="21" t="n">
        <v>42075</v>
      </c>
      <c r="D233" s="21" t="n">
        <v>42080</v>
      </c>
      <c r="E233" s="20" t="s">
        <v>58</v>
      </c>
      <c r="F233" s="20" t="s">
        <v>72</v>
      </c>
      <c r="G233" s="20" t="s">
        <v>73</v>
      </c>
      <c r="H233" s="20" t="s">
        <v>61</v>
      </c>
      <c r="I233" s="20" t="s">
        <v>62</v>
      </c>
      <c r="J233" s="20" t="s">
        <v>63</v>
      </c>
      <c r="K233" s="20" t="s">
        <v>152</v>
      </c>
      <c r="L233" s="20" t="n">
        <v>10123</v>
      </c>
      <c r="M233" s="20" t="s">
        <v>153</v>
      </c>
      <c r="N233" s="20" t="s">
        <v>806</v>
      </c>
      <c r="O233" s="20" t="s">
        <v>76</v>
      </c>
      <c r="P233" s="20" t="s">
        <v>122</v>
      </c>
      <c r="Q233" s="20" t="s">
        <v>807</v>
      </c>
      <c r="R233" s="22" t="n">
        <v>10.16</v>
      </c>
      <c r="S233" s="20" t="n">
        <v>1</v>
      </c>
      <c r="T233" s="20" t="n">
        <v>0</v>
      </c>
      <c r="U233" s="22" t="n">
        <v>3.96</v>
      </c>
      <c r="V233" s="23" t="n">
        <f aca="false">IF(ISNUMBER(C233),YEAR(C233),"")</f>
        <v>2015</v>
      </c>
      <c r="W233" s="23" t="n">
        <f aca="false">IF(ISNUMBER(C233),MONTH(C233),"")</f>
        <v>3</v>
      </c>
      <c r="X233" s="23" t="str">
        <f aca="false">IF(T233="","",IF(T233=0,"No discount",IF(T233&lt;=0.2,"Low (1-20%)",IF(T233&lt;=0.4,"Medium (21-40%)","High (&gt;40%)"))))</f>
        <v>No discount</v>
      </c>
      <c r="Y233" s="23" t="n">
        <f aca="false">IF(AND(ISNUMBER(C233),ISNUMBER(D233)),D233-C233,"")</f>
        <v>5</v>
      </c>
      <c r="Z233" s="23" t="n">
        <f aca="false">IF(B233="","",IF(MATCH(B233,$B$2:$B$12000,0)=ROW()-1,1,0))</f>
        <v>1</v>
      </c>
    </row>
    <row r="234" customFormat="false" ht="15" hidden="false" customHeight="false" outlineLevel="0" collapsed="false">
      <c r="A234" s="20" t="n">
        <v>233</v>
      </c>
      <c r="B234" s="20" t="s">
        <v>808</v>
      </c>
      <c r="C234" s="21" t="n">
        <v>42080</v>
      </c>
      <c r="D234" s="21" t="n">
        <v>42082</v>
      </c>
      <c r="E234" s="20" t="s">
        <v>58</v>
      </c>
      <c r="F234" s="20" t="s">
        <v>529</v>
      </c>
      <c r="G234" s="20" t="s">
        <v>530</v>
      </c>
      <c r="H234" s="20" t="s">
        <v>61</v>
      </c>
      <c r="I234" s="20" t="s">
        <v>62</v>
      </c>
      <c r="J234" s="20" t="s">
        <v>63</v>
      </c>
      <c r="K234" s="20" t="s">
        <v>152</v>
      </c>
      <c r="L234" s="20" t="n">
        <v>71330</v>
      </c>
      <c r="M234" s="20" t="s">
        <v>153</v>
      </c>
      <c r="N234" s="20" t="s">
        <v>809</v>
      </c>
      <c r="O234" s="20" t="s">
        <v>67</v>
      </c>
      <c r="P234" s="20" t="s">
        <v>68</v>
      </c>
      <c r="Q234" s="20" t="s">
        <v>810</v>
      </c>
      <c r="R234" s="22" t="n">
        <v>1257.96</v>
      </c>
      <c r="S234" s="20" t="n">
        <v>1</v>
      </c>
      <c r="T234" s="20" t="n">
        <v>0.4</v>
      </c>
      <c r="U234" s="22" t="n">
        <v>118.43</v>
      </c>
      <c r="V234" s="23" t="n">
        <f aca="false">IF(ISNUMBER(C234),YEAR(C234),"")</f>
        <v>2015</v>
      </c>
      <c r="W234" s="23" t="n">
        <f aca="false">IF(ISNUMBER(C234),MONTH(C234),"")</f>
        <v>3</v>
      </c>
      <c r="X234" s="23" t="str">
        <f aca="false">IF(T234="","",IF(T234=0,"No discount",IF(T234&lt;=0.2,"Low (1-20%)",IF(T234&lt;=0.4,"Medium (21-40%)","High (&gt;40%)"))))</f>
        <v>Medium (21-40%)</v>
      </c>
      <c r="Y234" s="23" t="n">
        <f aca="false">IF(AND(ISNUMBER(C234),ISNUMBER(D234)),D234-C234,"")</f>
        <v>2</v>
      </c>
      <c r="Z234" s="23" t="n">
        <f aca="false">IF(B234="","",IF(MATCH(B234,$B$2:$B$12000,0)=ROW()-1,1,0))</f>
        <v>1</v>
      </c>
    </row>
    <row r="235" customFormat="false" ht="15" hidden="false" customHeight="false" outlineLevel="0" collapsed="false">
      <c r="A235" s="20" t="n">
        <v>234</v>
      </c>
      <c r="B235" s="20" t="s">
        <v>808</v>
      </c>
      <c r="C235" s="21" t="n">
        <v>42080</v>
      </c>
      <c r="D235" s="21" t="n">
        <v>42082</v>
      </c>
      <c r="E235" s="20" t="s">
        <v>58</v>
      </c>
      <c r="F235" s="20" t="s">
        <v>529</v>
      </c>
      <c r="G235" s="20" t="s">
        <v>530</v>
      </c>
      <c r="H235" s="20" t="s">
        <v>61</v>
      </c>
      <c r="I235" s="20" t="s">
        <v>62</v>
      </c>
      <c r="J235" s="20" t="s">
        <v>63</v>
      </c>
      <c r="K235" s="20" t="s">
        <v>152</v>
      </c>
      <c r="L235" s="20" t="n">
        <v>90727</v>
      </c>
      <c r="M235" s="20" t="s">
        <v>153</v>
      </c>
      <c r="N235" s="20" t="s">
        <v>811</v>
      </c>
      <c r="O235" s="20" t="s">
        <v>76</v>
      </c>
      <c r="P235" s="20" t="s">
        <v>77</v>
      </c>
      <c r="Q235" s="20" t="s">
        <v>812</v>
      </c>
      <c r="R235" s="22" t="n">
        <v>25.76</v>
      </c>
      <c r="S235" s="20" t="n">
        <v>2</v>
      </c>
      <c r="T235" s="20" t="n">
        <v>0</v>
      </c>
      <c r="U235" s="22" t="n">
        <v>5.95</v>
      </c>
      <c r="V235" s="23" t="n">
        <f aca="false">IF(ISNUMBER(C235),YEAR(C235),"")</f>
        <v>2015</v>
      </c>
      <c r="W235" s="23" t="n">
        <f aca="false">IF(ISNUMBER(C235),MONTH(C235),"")</f>
        <v>3</v>
      </c>
      <c r="X235" s="23" t="str">
        <f aca="false">IF(T235="","",IF(T235=0,"No discount",IF(T235&lt;=0.2,"Low (1-20%)",IF(T235&lt;=0.4,"Medium (21-40%)","High (&gt;40%)"))))</f>
        <v>No discount</v>
      </c>
      <c r="Y235" s="23" t="n">
        <f aca="false">IF(AND(ISNUMBER(C235),ISNUMBER(D235)),D235-C235,"")</f>
        <v>2</v>
      </c>
      <c r="Z235" s="23" t="n">
        <f aca="false">IF(B235="","",IF(MATCH(B235,$B$2:$B$12000,0)=ROW()-1,1,0))</f>
        <v>0</v>
      </c>
    </row>
    <row r="236" customFormat="false" ht="15" hidden="false" customHeight="false" outlineLevel="0" collapsed="false">
      <c r="A236" s="20" t="n">
        <v>235</v>
      </c>
      <c r="B236" s="20" t="s">
        <v>813</v>
      </c>
      <c r="C236" s="21" t="n">
        <v>42082</v>
      </c>
      <c r="D236" s="21" t="n">
        <v>42089</v>
      </c>
      <c r="E236" s="20" t="s">
        <v>71</v>
      </c>
      <c r="F236" s="20" t="s">
        <v>814</v>
      </c>
      <c r="G236" s="20" t="s">
        <v>815</v>
      </c>
      <c r="H236" s="20" t="s">
        <v>61</v>
      </c>
      <c r="I236" s="20" t="s">
        <v>62</v>
      </c>
      <c r="J236" s="20" t="s">
        <v>63</v>
      </c>
      <c r="K236" s="20" t="s">
        <v>354</v>
      </c>
      <c r="L236" s="20" t="n">
        <v>17109</v>
      </c>
      <c r="M236" s="20" t="s">
        <v>153</v>
      </c>
      <c r="N236" s="20" t="s">
        <v>816</v>
      </c>
      <c r="O236" s="20" t="s">
        <v>67</v>
      </c>
      <c r="P236" s="20" t="s">
        <v>106</v>
      </c>
      <c r="Q236" s="20" t="s">
        <v>817</v>
      </c>
      <c r="R236" s="22" t="n">
        <v>778.16</v>
      </c>
      <c r="S236" s="20" t="n">
        <v>1</v>
      </c>
      <c r="T236" s="20" t="n">
        <v>0</v>
      </c>
      <c r="U236" s="22" t="n">
        <v>48.92</v>
      </c>
      <c r="V236" s="23" t="n">
        <f aca="false">IF(ISNUMBER(C236),YEAR(C236),"")</f>
        <v>2015</v>
      </c>
      <c r="W236" s="23" t="n">
        <f aca="false">IF(ISNUMBER(C236),MONTH(C236),"")</f>
        <v>3</v>
      </c>
      <c r="X236" s="23" t="str">
        <f aca="false">IF(T236="","",IF(T236=0,"No discount",IF(T236&lt;=0.2,"Low (1-20%)",IF(T236&lt;=0.4,"Medium (21-40%)","High (&gt;40%)"))))</f>
        <v>No discount</v>
      </c>
      <c r="Y236" s="23" t="n">
        <f aca="false">IF(AND(ISNUMBER(C236),ISNUMBER(D236)),D236-C236,"")</f>
        <v>7</v>
      </c>
      <c r="Z236" s="23" t="n">
        <f aca="false">IF(B236="","",IF(MATCH(B236,$B$2:$B$12000,0)=ROW()-1,1,0))</f>
        <v>1</v>
      </c>
    </row>
    <row r="237" customFormat="false" ht="15" hidden="false" customHeight="false" outlineLevel="0" collapsed="false">
      <c r="A237" s="20" t="n">
        <v>236</v>
      </c>
      <c r="B237" s="20" t="s">
        <v>818</v>
      </c>
      <c r="C237" s="21" t="n">
        <v>42083</v>
      </c>
      <c r="D237" s="21" t="n">
        <v>42087</v>
      </c>
      <c r="E237" s="20" t="s">
        <v>90</v>
      </c>
      <c r="F237" s="20" t="s">
        <v>258</v>
      </c>
      <c r="G237" s="20" t="s">
        <v>259</v>
      </c>
      <c r="H237" s="20" t="s">
        <v>85</v>
      </c>
      <c r="I237" s="20" t="s">
        <v>62</v>
      </c>
      <c r="J237" s="20" t="s">
        <v>63</v>
      </c>
      <c r="K237" s="20" t="s">
        <v>246</v>
      </c>
      <c r="L237" s="20" t="n">
        <v>37362</v>
      </c>
      <c r="M237" s="20" t="s">
        <v>112</v>
      </c>
      <c r="N237" s="20" t="s">
        <v>819</v>
      </c>
      <c r="O237" s="20" t="s">
        <v>76</v>
      </c>
      <c r="P237" s="20" t="s">
        <v>178</v>
      </c>
      <c r="Q237" s="20" t="s">
        <v>820</v>
      </c>
      <c r="R237" s="22" t="n">
        <v>182.4</v>
      </c>
      <c r="S237" s="20" t="n">
        <v>4</v>
      </c>
      <c r="T237" s="20" t="n">
        <v>0</v>
      </c>
      <c r="U237" s="22" t="n">
        <v>-5.82</v>
      </c>
      <c r="V237" s="23" t="n">
        <f aca="false">IF(ISNUMBER(C237),YEAR(C237),"")</f>
        <v>2015</v>
      </c>
      <c r="W237" s="23" t="n">
        <f aca="false">IF(ISNUMBER(C237),MONTH(C237),"")</f>
        <v>3</v>
      </c>
      <c r="X237" s="23" t="str">
        <f aca="false">IF(T237="","",IF(T237=0,"No discount",IF(T237&lt;=0.2,"Low (1-20%)",IF(T237&lt;=0.4,"Medium (21-40%)","High (&gt;40%)"))))</f>
        <v>No discount</v>
      </c>
      <c r="Y237" s="23" t="n">
        <f aca="false">IF(AND(ISNUMBER(C237),ISNUMBER(D237)),D237-C237,"")</f>
        <v>4</v>
      </c>
      <c r="Z237" s="23" t="n">
        <f aca="false">IF(B237="","",IF(MATCH(B237,$B$2:$B$12000,0)=ROW()-1,1,0))</f>
        <v>1</v>
      </c>
    </row>
    <row r="238" customFormat="false" ht="15" hidden="false" customHeight="false" outlineLevel="0" collapsed="false">
      <c r="A238" s="20" t="n">
        <v>237</v>
      </c>
      <c r="B238" s="20" t="s">
        <v>818</v>
      </c>
      <c r="C238" s="21" t="n">
        <v>42083</v>
      </c>
      <c r="D238" s="21" t="n">
        <v>42087</v>
      </c>
      <c r="E238" s="20" t="s">
        <v>71</v>
      </c>
      <c r="F238" s="20" t="s">
        <v>258</v>
      </c>
      <c r="G238" s="20" t="s">
        <v>259</v>
      </c>
      <c r="H238" s="20" t="s">
        <v>85</v>
      </c>
      <c r="I238" s="20" t="s">
        <v>62</v>
      </c>
      <c r="J238" s="20" t="s">
        <v>63</v>
      </c>
      <c r="K238" s="20" t="s">
        <v>246</v>
      </c>
      <c r="L238" s="20" t="n">
        <v>21513</v>
      </c>
      <c r="M238" s="20" t="s">
        <v>112</v>
      </c>
      <c r="N238" s="20" t="s">
        <v>821</v>
      </c>
      <c r="O238" s="20" t="s">
        <v>76</v>
      </c>
      <c r="P238" s="20" t="s">
        <v>122</v>
      </c>
      <c r="Q238" s="20" t="s">
        <v>822</v>
      </c>
      <c r="R238" s="22" t="n">
        <v>270.88</v>
      </c>
      <c r="S238" s="20" t="n">
        <v>7</v>
      </c>
      <c r="T238" s="20" t="n">
        <v>0</v>
      </c>
      <c r="U238" s="22" t="n">
        <v>108.85</v>
      </c>
      <c r="V238" s="23" t="n">
        <f aca="false">IF(ISNUMBER(C238),YEAR(C238),"")</f>
        <v>2015</v>
      </c>
      <c r="W238" s="23" t="n">
        <f aca="false">IF(ISNUMBER(C238),MONTH(C238),"")</f>
        <v>3</v>
      </c>
      <c r="X238" s="23" t="str">
        <f aca="false">IF(T238="","",IF(T238=0,"No discount",IF(T238&lt;=0.2,"Low (1-20%)",IF(T238&lt;=0.4,"Medium (21-40%)","High (&gt;40%)"))))</f>
        <v>No discount</v>
      </c>
      <c r="Y238" s="23" t="n">
        <f aca="false">IF(AND(ISNUMBER(C238),ISNUMBER(D238)),D238-C238,"")</f>
        <v>4</v>
      </c>
      <c r="Z238" s="23" t="n">
        <f aca="false">IF(B238="","",IF(MATCH(B238,$B$2:$B$12000,0)=ROW()-1,1,0))</f>
        <v>0</v>
      </c>
    </row>
    <row r="239" customFormat="false" ht="15" hidden="false" customHeight="false" outlineLevel="0" collapsed="false">
      <c r="A239" s="20" t="n">
        <v>238</v>
      </c>
      <c r="B239" s="20" t="s">
        <v>818</v>
      </c>
      <c r="C239" s="21" t="n">
        <v>42083</v>
      </c>
      <c r="D239" s="21" t="n">
        <v>42087</v>
      </c>
      <c r="E239" s="20" t="s">
        <v>58</v>
      </c>
      <c r="F239" s="20" t="s">
        <v>258</v>
      </c>
      <c r="G239" s="20" t="s">
        <v>259</v>
      </c>
      <c r="H239" s="20" t="s">
        <v>85</v>
      </c>
      <c r="I239" s="20" t="s">
        <v>62</v>
      </c>
      <c r="J239" s="20" t="s">
        <v>63</v>
      </c>
      <c r="K239" s="20" t="s">
        <v>246</v>
      </c>
      <c r="L239" s="20" t="n">
        <v>74767</v>
      </c>
      <c r="M239" s="20" t="s">
        <v>112</v>
      </c>
      <c r="N239" s="20" t="s">
        <v>823</v>
      </c>
      <c r="O239" s="20" t="s">
        <v>114</v>
      </c>
      <c r="P239" s="20" t="s">
        <v>210</v>
      </c>
      <c r="Q239" s="20" t="s">
        <v>824</v>
      </c>
      <c r="R239" s="22" t="n">
        <v>422.4</v>
      </c>
      <c r="S239" s="20" t="n">
        <v>5</v>
      </c>
      <c r="T239" s="20" t="n">
        <v>0.1</v>
      </c>
      <c r="U239" s="22" t="n">
        <v>51.22</v>
      </c>
      <c r="V239" s="23" t="n">
        <f aca="false">IF(ISNUMBER(C239),YEAR(C239),"")</f>
        <v>2015</v>
      </c>
      <c r="W239" s="23" t="n">
        <f aca="false">IF(ISNUMBER(C239),MONTH(C239),"")</f>
        <v>3</v>
      </c>
      <c r="X239" s="23" t="str">
        <f aca="false">IF(T239="","",IF(T239=0,"No discount",IF(T239&lt;=0.2,"Low (1-20%)",IF(T239&lt;=0.4,"Medium (21-40%)","High (&gt;40%)"))))</f>
        <v>Low (1-20%)</v>
      </c>
      <c r="Y239" s="23" t="n">
        <f aca="false">IF(AND(ISNUMBER(C239),ISNUMBER(D239)),D239-C239,"")</f>
        <v>4</v>
      </c>
      <c r="Z239" s="23" t="n">
        <f aca="false">IF(B239="","",IF(MATCH(B239,$B$2:$B$12000,0)=ROW()-1,1,0))</f>
        <v>0</v>
      </c>
    </row>
    <row r="240" customFormat="false" ht="15" hidden="false" customHeight="false" outlineLevel="0" collapsed="false">
      <c r="A240" s="20" t="n">
        <v>239</v>
      </c>
      <c r="B240" s="20" t="s">
        <v>825</v>
      </c>
      <c r="C240" s="21" t="n">
        <v>42087</v>
      </c>
      <c r="D240" s="21" t="n">
        <v>42088</v>
      </c>
      <c r="E240" s="20" t="s">
        <v>58</v>
      </c>
      <c r="F240" s="20" t="s">
        <v>428</v>
      </c>
      <c r="G240" s="20" t="s">
        <v>429</v>
      </c>
      <c r="H240" s="20" t="s">
        <v>61</v>
      </c>
      <c r="I240" s="20" t="s">
        <v>62</v>
      </c>
      <c r="J240" s="20" t="s">
        <v>63</v>
      </c>
      <c r="K240" s="20" t="s">
        <v>74</v>
      </c>
      <c r="L240" s="20" t="n">
        <v>20460</v>
      </c>
      <c r="M240" s="20" t="s">
        <v>65</v>
      </c>
      <c r="N240" s="20" t="s">
        <v>826</v>
      </c>
      <c r="O240" s="20" t="s">
        <v>114</v>
      </c>
      <c r="P240" s="20" t="s">
        <v>139</v>
      </c>
      <c r="Q240" s="20" t="s">
        <v>827</v>
      </c>
      <c r="R240" s="22" t="n">
        <v>776.2</v>
      </c>
      <c r="S240" s="20" t="n">
        <v>4</v>
      </c>
      <c r="T240" s="20" t="n">
        <v>0.4</v>
      </c>
      <c r="U240" s="22" t="n">
        <v>-83.16</v>
      </c>
      <c r="V240" s="23" t="n">
        <f aca="false">IF(ISNUMBER(C240),YEAR(C240),"")</f>
        <v>2015</v>
      </c>
      <c r="W240" s="23" t="n">
        <f aca="false">IF(ISNUMBER(C240),MONTH(C240),"")</f>
        <v>3</v>
      </c>
      <c r="X240" s="23" t="str">
        <f aca="false">IF(T240="","",IF(T240=0,"No discount",IF(T240&lt;=0.2,"Low (1-20%)",IF(T240&lt;=0.4,"Medium (21-40%)","High (&gt;40%)"))))</f>
        <v>Medium (21-40%)</v>
      </c>
      <c r="Y240" s="23" t="n">
        <f aca="false">IF(AND(ISNUMBER(C240),ISNUMBER(D240)),D240-C240,"")</f>
        <v>1</v>
      </c>
      <c r="Z240" s="23" t="n">
        <f aca="false">IF(B240="","",IF(MATCH(B240,$B$2:$B$12000,0)=ROW()-1,1,0))</f>
        <v>1</v>
      </c>
    </row>
    <row r="241" customFormat="false" ht="15" hidden="false" customHeight="false" outlineLevel="0" collapsed="false">
      <c r="A241" s="20" t="n">
        <v>240</v>
      </c>
      <c r="B241" s="20" t="s">
        <v>828</v>
      </c>
      <c r="C241" s="21" t="n">
        <v>42088</v>
      </c>
      <c r="D241" s="21" t="n">
        <v>42089</v>
      </c>
      <c r="E241" s="20" t="s">
        <v>104</v>
      </c>
      <c r="F241" s="20" t="s">
        <v>501</v>
      </c>
      <c r="G241" s="20" t="s">
        <v>502</v>
      </c>
      <c r="H241" s="20" t="s">
        <v>85</v>
      </c>
      <c r="I241" s="20" t="s">
        <v>62</v>
      </c>
      <c r="J241" s="20" t="s">
        <v>63</v>
      </c>
      <c r="K241" s="20" t="s">
        <v>647</v>
      </c>
      <c r="L241" s="20" t="n">
        <v>67899</v>
      </c>
      <c r="M241" s="20" t="s">
        <v>97</v>
      </c>
      <c r="N241" s="20" t="s">
        <v>829</v>
      </c>
      <c r="O241" s="20" t="s">
        <v>76</v>
      </c>
      <c r="P241" s="20" t="s">
        <v>80</v>
      </c>
      <c r="Q241" s="20" t="s">
        <v>830</v>
      </c>
      <c r="R241" s="22" t="n">
        <v>154.57</v>
      </c>
      <c r="S241" s="20" t="n">
        <v>7</v>
      </c>
      <c r="T241" s="20" t="n">
        <v>0</v>
      </c>
      <c r="U241" s="22" t="n">
        <v>44.58</v>
      </c>
      <c r="V241" s="23" t="n">
        <f aca="false">IF(ISNUMBER(C241),YEAR(C241),"")</f>
        <v>2015</v>
      </c>
      <c r="W241" s="23" t="n">
        <f aca="false">IF(ISNUMBER(C241),MONTH(C241),"")</f>
        <v>3</v>
      </c>
      <c r="X241" s="23" t="str">
        <f aca="false">IF(T241="","",IF(T241=0,"No discount",IF(T241&lt;=0.2,"Low (1-20%)",IF(T241&lt;=0.4,"Medium (21-40%)","High (&gt;40%)"))))</f>
        <v>No discount</v>
      </c>
      <c r="Y241" s="23" t="n">
        <f aca="false">IF(AND(ISNUMBER(C241),ISNUMBER(D241)),D241-C241,"")</f>
        <v>1</v>
      </c>
      <c r="Z241" s="23" t="n">
        <f aca="false">IF(B241="","",IF(MATCH(B241,$B$2:$B$12000,0)=ROW()-1,1,0))</f>
        <v>1</v>
      </c>
    </row>
    <row r="242" customFormat="false" ht="15" hidden="false" customHeight="false" outlineLevel="0" collapsed="false">
      <c r="A242" s="20" t="n">
        <v>241</v>
      </c>
      <c r="B242" s="20" t="s">
        <v>831</v>
      </c>
      <c r="C242" s="21" t="n">
        <v>42091</v>
      </c>
      <c r="D242" s="21" t="n">
        <v>42098</v>
      </c>
      <c r="E242" s="20" t="s">
        <v>90</v>
      </c>
      <c r="F242" s="20" t="s">
        <v>391</v>
      </c>
      <c r="G242" s="20" t="s">
        <v>392</v>
      </c>
      <c r="H242" s="20" t="s">
        <v>61</v>
      </c>
      <c r="I242" s="20" t="s">
        <v>62</v>
      </c>
      <c r="J242" s="20" t="s">
        <v>63</v>
      </c>
      <c r="K242" s="20" t="s">
        <v>86</v>
      </c>
      <c r="L242" s="20" t="n">
        <v>91664</v>
      </c>
      <c r="M242" s="20" t="s">
        <v>65</v>
      </c>
      <c r="N242" s="20" t="s">
        <v>832</v>
      </c>
      <c r="O242" s="20" t="s">
        <v>76</v>
      </c>
      <c r="P242" s="20" t="s">
        <v>101</v>
      </c>
      <c r="Q242" s="20" t="s">
        <v>833</v>
      </c>
      <c r="R242" s="22" t="n">
        <v>14.21</v>
      </c>
      <c r="S242" s="20" t="n">
        <v>1</v>
      </c>
      <c r="T242" s="20" t="n">
        <v>0.2</v>
      </c>
      <c r="U242" s="22" t="n">
        <v>4.2</v>
      </c>
      <c r="V242" s="23" t="n">
        <f aca="false">IF(ISNUMBER(C242),YEAR(C242),"")</f>
        <v>2015</v>
      </c>
      <c r="W242" s="23" t="n">
        <f aca="false">IF(ISNUMBER(C242),MONTH(C242),"")</f>
        <v>3</v>
      </c>
      <c r="X242" s="23" t="str">
        <f aca="false">IF(T242="","",IF(T242=0,"No discount",IF(T242&lt;=0.2,"Low (1-20%)",IF(T242&lt;=0.4,"Medium (21-40%)","High (&gt;40%)"))))</f>
        <v>Low (1-20%)</v>
      </c>
      <c r="Y242" s="23" t="n">
        <f aca="false">IF(AND(ISNUMBER(C242),ISNUMBER(D242)),D242-C242,"")</f>
        <v>7</v>
      </c>
      <c r="Z242" s="23" t="n">
        <f aca="false">IF(B242="","",IF(MATCH(B242,$B$2:$B$12000,0)=ROW()-1,1,0))</f>
        <v>1</v>
      </c>
    </row>
    <row r="243" customFormat="false" ht="15" hidden="false" customHeight="false" outlineLevel="0" collapsed="false">
      <c r="A243" s="20" t="n">
        <v>242</v>
      </c>
      <c r="B243" s="20" t="s">
        <v>831</v>
      </c>
      <c r="C243" s="21" t="n">
        <v>42091</v>
      </c>
      <c r="D243" s="21" t="n">
        <v>42098</v>
      </c>
      <c r="E243" s="20" t="s">
        <v>58</v>
      </c>
      <c r="F243" s="20" t="s">
        <v>391</v>
      </c>
      <c r="G243" s="20" t="s">
        <v>392</v>
      </c>
      <c r="H243" s="20" t="s">
        <v>61</v>
      </c>
      <c r="I243" s="20" t="s">
        <v>62</v>
      </c>
      <c r="J243" s="20" t="s">
        <v>63</v>
      </c>
      <c r="K243" s="20" t="s">
        <v>86</v>
      </c>
      <c r="L243" s="20" t="n">
        <v>81299</v>
      </c>
      <c r="M243" s="20" t="s">
        <v>65</v>
      </c>
      <c r="N243" s="20" t="s">
        <v>834</v>
      </c>
      <c r="O243" s="20" t="s">
        <v>76</v>
      </c>
      <c r="P243" s="20" t="s">
        <v>88</v>
      </c>
      <c r="Q243" s="20" t="s">
        <v>835</v>
      </c>
      <c r="R243" s="22" t="n">
        <v>167.31</v>
      </c>
      <c r="S243" s="20" t="n">
        <v>7</v>
      </c>
      <c r="T243" s="20" t="n">
        <v>0.4</v>
      </c>
      <c r="U243" s="22" t="n">
        <v>-10.81</v>
      </c>
      <c r="V243" s="23" t="n">
        <f aca="false">IF(ISNUMBER(C243),YEAR(C243),"")</f>
        <v>2015</v>
      </c>
      <c r="W243" s="23" t="n">
        <f aca="false">IF(ISNUMBER(C243),MONTH(C243),"")</f>
        <v>3</v>
      </c>
      <c r="X243" s="23" t="str">
        <f aca="false">IF(T243="","",IF(T243=0,"No discount",IF(T243&lt;=0.2,"Low (1-20%)",IF(T243&lt;=0.4,"Medium (21-40%)","High (&gt;40%)"))))</f>
        <v>Medium (21-40%)</v>
      </c>
      <c r="Y243" s="23" t="n">
        <f aca="false">IF(AND(ISNUMBER(C243),ISNUMBER(D243)),D243-C243,"")</f>
        <v>7</v>
      </c>
      <c r="Z243" s="23" t="n">
        <f aca="false">IF(B243="","",IF(MATCH(B243,$B$2:$B$12000,0)=ROW()-1,1,0))</f>
        <v>0</v>
      </c>
    </row>
    <row r="244" customFormat="false" ht="15" hidden="false" customHeight="false" outlineLevel="0" collapsed="false">
      <c r="A244" s="20" t="n">
        <v>243</v>
      </c>
      <c r="B244" s="20" t="s">
        <v>836</v>
      </c>
      <c r="C244" s="21" t="n">
        <v>42101</v>
      </c>
      <c r="D244" s="21" t="n">
        <v>42104</v>
      </c>
      <c r="E244" s="20" t="s">
        <v>104</v>
      </c>
      <c r="F244" s="20" t="s">
        <v>72</v>
      </c>
      <c r="G244" s="20" t="s">
        <v>73</v>
      </c>
      <c r="H244" s="20" t="s">
        <v>61</v>
      </c>
      <c r="I244" s="20" t="s">
        <v>62</v>
      </c>
      <c r="J244" s="20" t="s">
        <v>63</v>
      </c>
      <c r="K244" s="20" t="s">
        <v>346</v>
      </c>
      <c r="L244" s="20" t="n">
        <v>58119</v>
      </c>
      <c r="M244" s="20" t="s">
        <v>65</v>
      </c>
      <c r="N244" s="20" t="s">
        <v>837</v>
      </c>
      <c r="O244" s="20" t="s">
        <v>76</v>
      </c>
      <c r="P244" s="20" t="s">
        <v>178</v>
      </c>
      <c r="Q244" s="20" t="s">
        <v>838</v>
      </c>
      <c r="R244" s="22" t="n">
        <v>50.17</v>
      </c>
      <c r="S244" s="20" t="n">
        <v>3</v>
      </c>
      <c r="T244" s="20" t="n">
        <v>0</v>
      </c>
      <c r="U244" s="22" t="n">
        <v>1.57</v>
      </c>
      <c r="V244" s="23" t="n">
        <f aca="false">IF(ISNUMBER(C244),YEAR(C244),"")</f>
        <v>2015</v>
      </c>
      <c r="W244" s="23" t="n">
        <f aca="false">IF(ISNUMBER(C244),MONTH(C244),"")</f>
        <v>4</v>
      </c>
      <c r="X244" s="23" t="str">
        <f aca="false">IF(T244="","",IF(T244=0,"No discount",IF(T244&lt;=0.2,"Low (1-20%)",IF(T244&lt;=0.4,"Medium (21-40%)","High (&gt;40%)"))))</f>
        <v>No discount</v>
      </c>
      <c r="Y244" s="23" t="n">
        <f aca="false">IF(AND(ISNUMBER(C244),ISNUMBER(D244)),D244-C244,"")</f>
        <v>3</v>
      </c>
      <c r="Z244" s="23" t="n">
        <f aca="false">IF(B244="","",IF(MATCH(B244,$B$2:$B$12000,0)=ROW()-1,1,0))</f>
        <v>1</v>
      </c>
    </row>
    <row r="245" customFormat="false" ht="15" hidden="false" customHeight="false" outlineLevel="0" collapsed="false">
      <c r="A245" s="20" t="n">
        <v>244</v>
      </c>
      <c r="B245" s="20" t="s">
        <v>839</v>
      </c>
      <c r="C245" s="21" t="n">
        <v>42104</v>
      </c>
      <c r="D245" s="21" t="n">
        <v>42106</v>
      </c>
      <c r="E245" s="20" t="s">
        <v>71</v>
      </c>
      <c r="F245" s="20" t="s">
        <v>443</v>
      </c>
      <c r="G245" s="20" t="s">
        <v>444</v>
      </c>
      <c r="H245" s="20" t="s">
        <v>61</v>
      </c>
      <c r="I245" s="20" t="s">
        <v>62</v>
      </c>
      <c r="J245" s="20" t="s">
        <v>63</v>
      </c>
      <c r="K245" s="20" t="s">
        <v>246</v>
      </c>
      <c r="L245" s="20" t="n">
        <v>94907</v>
      </c>
      <c r="M245" s="20" t="s">
        <v>112</v>
      </c>
      <c r="N245" s="20" t="s">
        <v>840</v>
      </c>
      <c r="O245" s="20" t="s">
        <v>114</v>
      </c>
      <c r="P245" s="20" t="s">
        <v>139</v>
      </c>
      <c r="Q245" s="20" t="s">
        <v>841</v>
      </c>
      <c r="R245" s="22" t="n">
        <v>1821.21</v>
      </c>
      <c r="S245" s="20" t="n">
        <v>4</v>
      </c>
      <c r="T245" s="20" t="n">
        <v>0.2</v>
      </c>
      <c r="U245" s="22" t="n">
        <v>-259.13</v>
      </c>
      <c r="V245" s="23" t="n">
        <f aca="false">IF(ISNUMBER(C245),YEAR(C245),"")</f>
        <v>2015</v>
      </c>
      <c r="W245" s="23" t="n">
        <f aca="false">IF(ISNUMBER(C245),MONTH(C245),"")</f>
        <v>4</v>
      </c>
      <c r="X245" s="23" t="str">
        <f aca="false">IF(T245="","",IF(T245=0,"No discount",IF(T245&lt;=0.2,"Low (1-20%)",IF(T245&lt;=0.4,"Medium (21-40%)","High (&gt;40%)"))))</f>
        <v>Low (1-20%)</v>
      </c>
      <c r="Y245" s="23" t="n">
        <f aca="false">IF(AND(ISNUMBER(C245),ISNUMBER(D245)),D245-C245,"")</f>
        <v>2</v>
      </c>
      <c r="Z245" s="23" t="n">
        <f aca="false">IF(B245="","",IF(MATCH(B245,$B$2:$B$12000,0)=ROW()-1,1,0))</f>
        <v>1</v>
      </c>
    </row>
    <row r="246" customFormat="false" ht="15" hidden="false" customHeight="false" outlineLevel="0" collapsed="false">
      <c r="A246" s="20" t="n">
        <v>245</v>
      </c>
      <c r="B246" s="20" t="s">
        <v>839</v>
      </c>
      <c r="C246" s="21" t="n">
        <v>42104</v>
      </c>
      <c r="D246" s="21" t="n">
        <v>42106</v>
      </c>
      <c r="E246" s="20" t="s">
        <v>90</v>
      </c>
      <c r="F246" s="20" t="s">
        <v>443</v>
      </c>
      <c r="G246" s="20" t="s">
        <v>444</v>
      </c>
      <c r="H246" s="20" t="s">
        <v>61</v>
      </c>
      <c r="I246" s="20" t="s">
        <v>62</v>
      </c>
      <c r="J246" s="20" t="s">
        <v>63</v>
      </c>
      <c r="K246" s="20" t="s">
        <v>246</v>
      </c>
      <c r="L246" s="20" t="n">
        <v>90513</v>
      </c>
      <c r="M246" s="20" t="s">
        <v>112</v>
      </c>
      <c r="N246" s="20" t="s">
        <v>842</v>
      </c>
      <c r="O246" s="20" t="s">
        <v>76</v>
      </c>
      <c r="P246" s="20" t="s">
        <v>88</v>
      </c>
      <c r="Q246" s="20" t="s">
        <v>843</v>
      </c>
      <c r="R246" s="22" t="n">
        <v>1465.72</v>
      </c>
      <c r="S246" s="20" t="n">
        <v>5</v>
      </c>
      <c r="T246" s="20" t="n">
        <v>0.2</v>
      </c>
      <c r="U246" s="22" t="n">
        <v>89.52</v>
      </c>
      <c r="V246" s="23" t="n">
        <f aca="false">IF(ISNUMBER(C246),YEAR(C246),"")</f>
        <v>2015</v>
      </c>
      <c r="W246" s="23" t="n">
        <f aca="false">IF(ISNUMBER(C246),MONTH(C246),"")</f>
        <v>4</v>
      </c>
      <c r="X246" s="23" t="str">
        <f aca="false">IF(T246="","",IF(T246=0,"No discount",IF(T246&lt;=0.2,"Low (1-20%)",IF(T246&lt;=0.4,"Medium (21-40%)","High (&gt;40%)"))))</f>
        <v>Low (1-20%)</v>
      </c>
      <c r="Y246" s="23" t="n">
        <f aca="false">IF(AND(ISNUMBER(C246),ISNUMBER(D246)),D246-C246,"")</f>
        <v>2</v>
      </c>
      <c r="Z246" s="23" t="n">
        <f aca="false">IF(B246="","",IF(MATCH(B246,$B$2:$B$12000,0)=ROW()-1,1,0))</f>
        <v>0</v>
      </c>
    </row>
    <row r="247" customFormat="false" ht="15" hidden="false" customHeight="false" outlineLevel="0" collapsed="false">
      <c r="A247" s="20" t="n">
        <v>246</v>
      </c>
      <c r="B247" s="20" t="s">
        <v>839</v>
      </c>
      <c r="C247" s="21" t="n">
        <v>42104</v>
      </c>
      <c r="D247" s="21" t="n">
        <v>42106</v>
      </c>
      <c r="E247" s="20" t="s">
        <v>71</v>
      </c>
      <c r="F247" s="20" t="s">
        <v>443</v>
      </c>
      <c r="G247" s="20" t="s">
        <v>444</v>
      </c>
      <c r="H247" s="20" t="s">
        <v>61</v>
      </c>
      <c r="I247" s="20" t="s">
        <v>62</v>
      </c>
      <c r="J247" s="20" t="s">
        <v>63</v>
      </c>
      <c r="K247" s="20" t="s">
        <v>246</v>
      </c>
      <c r="L247" s="20" t="n">
        <v>22027</v>
      </c>
      <c r="M247" s="20" t="s">
        <v>112</v>
      </c>
      <c r="N247" s="20" t="s">
        <v>844</v>
      </c>
      <c r="O247" s="20" t="s">
        <v>67</v>
      </c>
      <c r="P247" s="20" t="s">
        <v>164</v>
      </c>
      <c r="Q247" s="20" t="s">
        <v>845</v>
      </c>
      <c r="R247" s="22" t="n">
        <v>4509.8</v>
      </c>
      <c r="S247" s="20" t="n">
        <v>7</v>
      </c>
      <c r="T247" s="20" t="n">
        <v>0</v>
      </c>
      <c r="U247" s="22" t="n">
        <v>216.41</v>
      </c>
      <c r="V247" s="23" t="n">
        <f aca="false">IF(ISNUMBER(C247),YEAR(C247),"")</f>
        <v>2015</v>
      </c>
      <c r="W247" s="23" t="n">
        <f aca="false">IF(ISNUMBER(C247),MONTH(C247),"")</f>
        <v>4</v>
      </c>
      <c r="X247" s="23" t="str">
        <f aca="false">IF(T247="","",IF(T247=0,"No discount",IF(T247&lt;=0.2,"Low (1-20%)",IF(T247&lt;=0.4,"Medium (21-40%)","High (&gt;40%)"))))</f>
        <v>No discount</v>
      </c>
      <c r="Y247" s="23" t="n">
        <f aca="false">IF(AND(ISNUMBER(C247),ISNUMBER(D247)),D247-C247,"")</f>
        <v>2</v>
      </c>
      <c r="Z247" s="23" t="n">
        <f aca="false">IF(B247="","",IF(MATCH(B247,$B$2:$B$12000,0)=ROW()-1,1,0))</f>
        <v>0</v>
      </c>
    </row>
    <row r="248" customFormat="false" ht="15" hidden="false" customHeight="false" outlineLevel="0" collapsed="false">
      <c r="A248" s="20" t="n">
        <v>247</v>
      </c>
      <c r="B248" s="20" t="s">
        <v>846</v>
      </c>
      <c r="C248" s="21" t="n">
        <v>42104</v>
      </c>
      <c r="D248" s="21" t="n">
        <v>42110</v>
      </c>
      <c r="E248" s="20" t="s">
        <v>71</v>
      </c>
      <c r="F248" s="20" t="s">
        <v>333</v>
      </c>
      <c r="G248" s="20" t="s">
        <v>334</v>
      </c>
      <c r="H248" s="20" t="s">
        <v>85</v>
      </c>
      <c r="I248" s="20" t="s">
        <v>62</v>
      </c>
      <c r="J248" s="20" t="s">
        <v>63</v>
      </c>
      <c r="K248" s="20" t="s">
        <v>422</v>
      </c>
      <c r="L248" s="20" t="n">
        <v>80212</v>
      </c>
      <c r="M248" s="20" t="s">
        <v>153</v>
      </c>
      <c r="N248" s="20" t="s">
        <v>847</v>
      </c>
      <c r="O248" s="20" t="s">
        <v>76</v>
      </c>
      <c r="P248" s="20" t="s">
        <v>80</v>
      </c>
      <c r="Q248" s="20" t="s">
        <v>848</v>
      </c>
      <c r="R248" s="22" t="n">
        <v>11.45</v>
      </c>
      <c r="S248" s="20" t="n">
        <v>2</v>
      </c>
      <c r="T248" s="20" t="n">
        <v>0.5</v>
      </c>
      <c r="U248" s="22" t="n">
        <v>-0.18</v>
      </c>
      <c r="V248" s="23" t="n">
        <f aca="false">IF(ISNUMBER(C248),YEAR(C248),"")</f>
        <v>2015</v>
      </c>
      <c r="W248" s="23" t="n">
        <f aca="false">IF(ISNUMBER(C248),MONTH(C248),"")</f>
        <v>4</v>
      </c>
      <c r="X248" s="23" t="str">
        <f aca="false">IF(T248="","",IF(T248=0,"No discount",IF(T248&lt;=0.2,"Low (1-20%)",IF(T248&lt;=0.4,"Medium (21-40%)","High (&gt;40%)"))))</f>
        <v>High (&gt;40%)</v>
      </c>
      <c r="Y248" s="23" t="n">
        <f aca="false">IF(AND(ISNUMBER(C248),ISNUMBER(D248)),D248-C248,"")</f>
        <v>6</v>
      </c>
      <c r="Z248" s="23" t="n">
        <f aca="false">IF(B248="","",IF(MATCH(B248,$B$2:$B$12000,0)=ROW()-1,1,0))</f>
        <v>1</v>
      </c>
    </row>
    <row r="249" customFormat="false" ht="15" hidden="false" customHeight="false" outlineLevel="0" collapsed="false">
      <c r="A249" s="20" t="n">
        <v>248</v>
      </c>
      <c r="B249" s="20" t="s">
        <v>846</v>
      </c>
      <c r="C249" s="21" t="n">
        <v>42104</v>
      </c>
      <c r="D249" s="21" t="n">
        <v>42110</v>
      </c>
      <c r="E249" s="20" t="s">
        <v>104</v>
      </c>
      <c r="F249" s="20" t="s">
        <v>333</v>
      </c>
      <c r="G249" s="20" t="s">
        <v>334</v>
      </c>
      <c r="H249" s="20" t="s">
        <v>85</v>
      </c>
      <c r="I249" s="20" t="s">
        <v>62</v>
      </c>
      <c r="J249" s="20" t="s">
        <v>63</v>
      </c>
      <c r="K249" s="20" t="s">
        <v>422</v>
      </c>
      <c r="L249" s="20" t="n">
        <v>68986</v>
      </c>
      <c r="M249" s="20" t="s">
        <v>153</v>
      </c>
      <c r="N249" s="20" t="s">
        <v>849</v>
      </c>
      <c r="O249" s="20" t="s">
        <v>76</v>
      </c>
      <c r="P249" s="20" t="s">
        <v>80</v>
      </c>
      <c r="Q249" s="20" t="s">
        <v>850</v>
      </c>
      <c r="R249" s="22" t="n">
        <v>93.24</v>
      </c>
      <c r="S249" s="20" t="n">
        <v>2</v>
      </c>
      <c r="T249" s="20" t="n">
        <v>0.3</v>
      </c>
      <c r="U249" s="22" t="n">
        <v>12.38</v>
      </c>
      <c r="V249" s="23" t="n">
        <f aca="false">IF(ISNUMBER(C249),YEAR(C249),"")</f>
        <v>2015</v>
      </c>
      <c r="W249" s="23" t="n">
        <f aca="false">IF(ISNUMBER(C249),MONTH(C249),"")</f>
        <v>4</v>
      </c>
      <c r="X249" s="23" t="str">
        <f aca="false">IF(T249="","",IF(T249=0,"No discount",IF(T249&lt;=0.2,"Low (1-20%)",IF(T249&lt;=0.4,"Medium (21-40%)","High (&gt;40%)"))))</f>
        <v>Medium (21-40%)</v>
      </c>
      <c r="Y249" s="23" t="n">
        <f aca="false">IF(AND(ISNUMBER(C249),ISNUMBER(D249)),D249-C249,"")</f>
        <v>6</v>
      </c>
      <c r="Z249" s="23" t="n">
        <f aca="false">IF(B249="","",IF(MATCH(B249,$B$2:$B$12000,0)=ROW()-1,1,0))</f>
        <v>0</v>
      </c>
    </row>
    <row r="250" customFormat="false" ht="15" hidden="false" customHeight="false" outlineLevel="0" collapsed="false">
      <c r="A250" s="20" t="n">
        <v>249</v>
      </c>
      <c r="B250" s="20" t="s">
        <v>851</v>
      </c>
      <c r="C250" s="21" t="n">
        <v>42119</v>
      </c>
      <c r="D250" s="21" t="n">
        <v>42123</v>
      </c>
      <c r="E250" s="20" t="s">
        <v>58</v>
      </c>
      <c r="F250" s="20" t="s">
        <v>333</v>
      </c>
      <c r="G250" s="20" t="s">
        <v>334</v>
      </c>
      <c r="H250" s="20" t="s">
        <v>85</v>
      </c>
      <c r="I250" s="20" t="s">
        <v>62</v>
      </c>
      <c r="J250" s="20" t="s">
        <v>63</v>
      </c>
      <c r="K250" s="20" t="s">
        <v>550</v>
      </c>
      <c r="L250" s="20" t="n">
        <v>14023</v>
      </c>
      <c r="M250" s="20" t="s">
        <v>97</v>
      </c>
      <c r="N250" s="20" t="s">
        <v>852</v>
      </c>
      <c r="O250" s="20" t="s">
        <v>76</v>
      </c>
      <c r="P250" s="20" t="s">
        <v>80</v>
      </c>
      <c r="Q250" s="20" t="s">
        <v>710</v>
      </c>
      <c r="R250" s="22" t="n">
        <v>694.59</v>
      </c>
      <c r="S250" s="20" t="n">
        <v>8</v>
      </c>
      <c r="T250" s="20" t="n">
        <v>0</v>
      </c>
      <c r="U250" s="22" t="n">
        <v>178.65</v>
      </c>
      <c r="V250" s="23" t="n">
        <f aca="false">IF(ISNUMBER(C250),YEAR(C250),"")</f>
        <v>2015</v>
      </c>
      <c r="W250" s="23" t="n">
        <f aca="false">IF(ISNUMBER(C250),MONTH(C250),"")</f>
        <v>4</v>
      </c>
      <c r="X250" s="23" t="str">
        <f aca="false">IF(T250="","",IF(T250=0,"No discount",IF(T250&lt;=0.2,"Low (1-20%)",IF(T250&lt;=0.4,"Medium (21-40%)","High (&gt;40%)"))))</f>
        <v>No discount</v>
      </c>
      <c r="Y250" s="23" t="n">
        <f aca="false">IF(AND(ISNUMBER(C250),ISNUMBER(D250)),D250-C250,"")</f>
        <v>4</v>
      </c>
      <c r="Z250" s="23" t="n">
        <f aca="false">IF(B250="","",IF(MATCH(B250,$B$2:$B$12000,0)=ROW()-1,1,0))</f>
        <v>1</v>
      </c>
    </row>
    <row r="251" customFormat="false" ht="15" hidden="false" customHeight="false" outlineLevel="0" collapsed="false">
      <c r="A251" s="20" t="n">
        <v>250</v>
      </c>
      <c r="B251" s="20" t="s">
        <v>851</v>
      </c>
      <c r="C251" s="21" t="n">
        <v>42119</v>
      </c>
      <c r="D251" s="21" t="n">
        <v>42123</v>
      </c>
      <c r="E251" s="20" t="s">
        <v>71</v>
      </c>
      <c r="F251" s="20" t="s">
        <v>333</v>
      </c>
      <c r="G251" s="20" t="s">
        <v>334</v>
      </c>
      <c r="H251" s="20" t="s">
        <v>85</v>
      </c>
      <c r="I251" s="20" t="s">
        <v>62</v>
      </c>
      <c r="J251" s="20" t="s">
        <v>63</v>
      </c>
      <c r="K251" s="20" t="s">
        <v>550</v>
      </c>
      <c r="L251" s="20" t="n">
        <v>34896</v>
      </c>
      <c r="M251" s="20" t="s">
        <v>97</v>
      </c>
      <c r="N251" s="20" t="s">
        <v>853</v>
      </c>
      <c r="O251" s="20" t="s">
        <v>114</v>
      </c>
      <c r="P251" s="20" t="s">
        <v>115</v>
      </c>
      <c r="Q251" s="20" t="s">
        <v>854</v>
      </c>
      <c r="R251" s="22" t="n">
        <v>542.39</v>
      </c>
      <c r="S251" s="20" t="n">
        <v>6</v>
      </c>
      <c r="T251" s="20" t="n">
        <v>0.7</v>
      </c>
      <c r="U251" s="22" t="n">
        <v>-167.7</v>
      </c>
      <c r="V251" s="23" t="n">
        <f aca="false">IF(ISNUMBER(C251),YEAR(C251),"")</f>
        <v>2015</v>
      </c>
      <c r="W251" s="23" t="n">
        <f aca="false">IF(ISNUMBER(C251),MONTH(C251),"")</f>
        <v>4</v>
      </c>
      <c r="X251" s="23" t="str">
        <f aca="false">IF(T251="","",IF(T251=0,"No discount",IF(T251&lt;=0.2,"Low (1-20%)",IF(T251&lt;=0.4,"Medium (21-40%)","High (&gt;40%)"))))</f>
        <v>High (&gt;40%)</v>
      </c>
      <c r="Y251" s="23" t="n">
        <f aca="false">IF(AND(ISNUMBER(C251),ISNUMBER(D251)),D251-C251,"")</f>
        <v>4</v>
      </c>
      <c r="Z251" s="23" t="n">
        <f aca="false">IF(B251="","",IF(MATCH(B251,$B$2:$B$12000,0)=ROW()-1,1,0))</f>
        <v>0</v>
      </c>
    </row>
    <row r="252" customFormat="false" ht="15" hidden="false" customHeight="false" outlineLevel="0" collapsed="false">
      <c r="A252" s="20" t="n">
        <v>251</v>
      </c>
      <c r="B252" s="20" t="s">
        <v>851</v>
      </c>
      <c r="C252" s="21" t="n">
        <v>42119</v>
      </c>
      <c r="D252" s="21" t="n">
        <v>42123</v>
      </c>
      <c r="E252" s="20" t="s">
        <v>71</v>
      </c>
      <c r="F252" s="20" t="s">
        <v>333</v>
      </c>
      <c r="G252" s="20" t="s">
        <v>334</v>
      </c>
      <c r="H252" s="20" t="s">
        <v>85</v>
      </c>
      <c r="I252" s="20" t="s">
        <v>62</v>
      </c>
      <c r="J252" s="20" t="s">
        <v>63</v>
      </c>
      <c r="K252" s="20" t="s">
        <v>550</v>
      </c>
      <c r="L252" s="20" t="n">
        <v>60202</v>
      </c>
      <c r="M252" s="20" t="s">
        <v>97</v>
      </c>
      <c r="N252" s="20" t="s">
        <v>855</v>
      </c>
      <c r="O252" s="20" t="s">
        <v>114</v>
      </c>
      <c r="P252" s="20" t="s">
        <v>210</v>
      </c>
      <c r="Q252" s="20" t="s">
        <v>856</v>
      </c>
      <c r="R252" s="22" t="n">
        <v>75.11</v>
      </c>
      <c r="S252" s="20" t="n">
        <v>5</v>
      </c>
      <c r="T252" s="20" t="n">
        <v>0</v>
      </c>
      <c r="U252" s="22" t="n">
        <v>4.16</v>
      </c>
      <c r="V252" s="23" t="n">
        <f aca="false">IF(ISNUMBER(C252),YEAR(C252),"")</f>
        <v>2015</v>
      </c>
      <c r="W252" s="23" t="n">
        <f aca="false">IF(ISNUMBER(C252),MONTH(C252),"")</f>
        <v>4</v>
      </c>
      <c r="X252" s="23" t="str">
        <f aca="false">IF(T252="","",IF(T252=0,"No discount",IF(T252&lt;=0.2,"Low (1-20%)",IF(T252&lt;=0.4,"Medium (21-40%)","High (&gt;40%)"))))</f>
        <v>No discount</v>
      </c>
      <c r="Y252" s="23" t="n">
        <f aca="false">IF(AND(ISNUMBER(C252),ISNUMBER(D252)),D252-C252,"")</f>
        <v>4</v>
      </c>
      <c r="Z252" s="23" t="n">
        <f aca="false">IF(B252="","",IF(MATCH(B252,$B$2:$B$12000,0)=ROW()-1,1,0))</f>
        <v>0</v>
      </c>
    </row>
    <row r="253" customFormat="false" ht="15" hidden="false" customHeight="false" outlineLevel="0" collapsed="false">
      <c r="A253" s="20" t="n">
        <v>252</v>
      </c>
      <c r="B253" s="20" t="s">
        <v>857</v>
      </c>
      <c r="C253" s="21" t="n">
        <v>42126</v>
      </c>
      <c r="D253" s="21" t="n">
        <v>42131</v>
      </c>
      <c r="E253" s="20" t="s">
        <v>58</v>
      </c>
      <c r="F253" s="20" t="s">
        <v>858</v>
      </c>
      <c r="G253" s="20" t="s">
        <v>859</v>
      </c>
      <c r="H253" s="20" t="s">
        <v>61</v>
      </c>
      <c r="I253" s="20" t="s">
        <v>62</v>
      </c>
      <c r="J253" s="20" t="s">
        <v>63</v>
      </c>
      <c r="K253" s="20" t="s">
        <v>673</v>
      </c>
      <c r="L253" s="20" t="n">
        <v>56579</v>
      </c>
      <c r="M253" s="20" t="s">
        <v>97</v>
      </c>
      <c r="N253" s="20" t="s">
        <v>860</v>
      </c>
      <c r="O253" s="20" t="s">
        <v>114</v>
      </c>
      <c r="P253" s="20" t="s">
        <v>139</v>
      </c>
      <c r="Q253" s="20" t="s">
        <v>861</v>
      </c>
      <c r="R253" s="22" t="n">
        <v>1353.74</v>
      </c>
      <c r="S253" s="20" t="n">
        <v>5</v>
      </c>
      <c r="T253" s="20" t="n">
        <v>0</v>
      </c>
      <c r="U253" s="22" t="n">
        <v>42.11</v>
      </c>
      <c r="V253" s="23" t="n">
        <f aca="false">IF(ISNUMBER(C253),YEAR(C253),"")</f>
        <v>2015</v>
      </c>
      <c r="W253" s="23" t="n">
        <f aca="false">IF(ISNUMBER(C253),MONTH(C253),"")</f>
        <v>5</v>
      </c>
      <c r="X253" s="23" t="str">
        <f aca="false">IF(T253="","",IF(T253=0,"No discount",IF(T253&lt;=0.2,"Low (1-20%)",IF(T253&lt;=0.4,"Medium (21-40%)","High (&gt;40%)"))))</f>
        <v>No discount</v>
      </c>
      <c r="Y253" s="23" t="n">
        <f aca="false">IF(AND(ISNUMBER(C253),ISNUMBER(D253)),D253-C253,"")</f>
        <v>5</v>
      </c>
      <c r="Z253" s="23" t="n">
        <f aca="false">IF(B253="","",IF(MATCH(B253,$B$2:$B$12000,0)=ROW()-1,1,0))</f>
        <v>1</v>
      </c>
    </row>
    <row r="254" customFormat="false" ht="15" hidden="false" customHeight="false" outlineLevel="0" collapsed="false">
      <c r="A254" s="20" t="n">
        <v>253</v>
      </c>
      <c r="B254" s="20" t="s">
        <v>862</v>
      </c>
      <c r="C254" s="21" t="n">
        <v>42126</v>
      </c>
      <c r="D254" s="21" t="n">
        <v>42128</v>
      </c>
      <c r="E254" s="20" t="s">
        <v>58</v>
      </c>
      <c r="F254" s="20" t="s">
        <v>476</v>
      </c>
      <c r="G254" s="20" t="s">
        <v>477</v>
      </c>
      <c r="H254" s="20" t="s">
        <v>85</v>
      </c>
      <c r="I254" s="20" t="s">
        <v>62</v>
      </c>
      <c r="J254" s="20" t="s">
        <v>63</v>
      </c>
      <c r="K254" s="20" t="s">
        <v>202</v>
      </c>
      <c r="L254" s="20" t="n">
        <v>47392</v>
      </c>
      <c r="M254" s="20" t="s">
        <v>153</v>
      </c>
      <c r="N254" s="20" t="s">
        <v>863</v>
      </c>
      <c r="O254" s="20" t="s">
        <v>76</v>
      </c>
      <c r="P254" s="20" t="s">
        <v>185</v>
      </c>
      <c r="Q254" s="20" t="s">
        <v>864</v>
      </c>
      <c r="R254" s="22" t="n">
        <v>31.95</v>
      </c>
      <c r="S254" s="20" t="n">
        <v>6</v>
      </c>
      <c r="T254" s="20" t="n">
        <v>0.2</v>
      </c>
      <c r="U254" s="22" t="n">
        <v>4.07</v>
      </c>
      <c r="V254" s="23" t="n">
        <f aca="false">IF(ISNUMBER(C254),YEAR(C254),"")</f>
        <v>2015</v>
      </c>
      <c r="W254" s="23" t="n">
        <f aca="false">IF(ISNUMBER(C254),MONTH(C254),"")</f>
        <v>5</v>
      </c>
      <c r="X254" s="23" t="str">
        <f aca="false">IF(T254="","",IF(T254=0,"No discount",IF(T254&lt;=0.2,"Low (1-20%)",IF(T254&lt;=0.4,"Medium (21-40%)","High (&gt;40%)"))))</f>
        <v>Low (1-20%)</v>
      </c>
      <c r="Y254" s="23" t="n">
        <f aca="false">IF(AND(ISNUMBER(C254),ISNUMBER(D254)),D254-C254,"")</f>
        <v>2</v>
      </c>
      <c r="Z254" s="23" t="n">
        <f aca="false">IF(B254="","",IF(MATCH(B254,$B$2:$B$12000,0)=ROW()-1,1,0))</f>
        <v>1</v>
      </c>
    </row>
    <row r="255" customFormat="false" ht="15" hidden="false" customHeight="false" outlineLevel="0" collapsed="false">
      <c r="A255" s="20" t="n">
        <v>254</v>
      </c>
      <c r="B255" s="20" t="s">
        <v>865</v>
      </c>
      <c r="C255" s="21" t="n">
        <v>42126</v>
      </c>
      <c r="D255" s="21" t="n">
        <v>42132</v>
      </c>
      <c r="E255" s="20" t="s">
        <v>90</v>
      </c>
      <c r="F255" s="20" t="s">
        <v>767</v>
      </c>
      <c r="G255" s="20" t="s">
        <v>768</v>
      </c>
      <c r="H255" s="20" t="s">
        <v>61</v>
      </c>
      <c r="I255" s="20" t="s">
        <v>62</v>
      </c>
      <c r="J255" s="20" t="s">
        <v>63</v>
      </c>
      <c r="K255" s="20" t="s">
        <v>445</v>
      </c>
      <c r="L255" s="20" t="n">
        <v>44461</v>
      </c>
      <c r="M255" s="20" t="s">
        <v>153</v>
      </c>
      <c r="N255" s="20" t="s">
        <v>866</v>
      </c>
      <c r="O255" s="20" t="s">
        <v>114</v>
      </c>
      <c r="P255" s="20" t="s">
        <v>115</v>
      </c>
      <c r="Q255" s="20" t="s">
        <v>867</v>
      </c>
      <c r="R255" s="22" t="n">
        <v>1369.34</v>
      </c>
      <c r="S255" s="20" t="n">
        <v>7</v>
      </c>
      <c r="T255" s="20" t="n">
        <v>0.2</v>
      </c>
      <c r="U255" s="22" t="n">
        <v>-146.16</v>
      </c>
      <c r="V255" s="23" t="n">
        <f aca="false">IF(ISNUMBER(C255),YEAR(C255),"")</f>
        <v>2015</v>
      </c>
      <c r="W255" s="23" t="n">
        <f aca="false">IF(ISNUMBER(C255),MONTH(C255),"")</f>
        <v>5</v>
      </c>
      <c r="X255" s="23" t="str">
        <f aca="false">IF(T255="","",IF(T255=0,"No discount",IF(T255&lt;=0.2,"Low (1-20%)",IF(T255&lt;=0.4,"Medium (21-40%)","High (&gt;40%)"))))</f>
        <v>Low (1-20%)</v>
      </c>
      <c r="Y255" s="23" t="n">
        <f aca="false">IF(AND(ISNUMBER(C255),ISNUMBER(D255)),D255-C255,"")</f>
        <v>6</v>
      </c>
      <c r="Z255" s="23" t="n">
        <f aca="false">IF(B255="","",IF(MATCH(B255,$B$2:$B$12000,0)=ROW()-1,1,0))</f>
        <v>1</v>
      </c>
    </row>
    <row r="256" customFormat="false" ht="15" hidden="false" customHeight="false" outlineLevel="0" collapsed="false">
      <c r="A256" s="20" t="n">
        <v>255</v>
      </c>
      <c r="B256" s="20" t="s">
        <v>865</v>
      </c>
      <c r="C256" s="21" t="n">
        <v>42126</v>
      </c>
      <c r="D256" s="21" t="n">
        <v>42132</v>
      </c>
      <c r="E256" s="20" t="s">
        <v>71</v>
      </c>
      <c r="F256" s="20" t="s">
        <v>767</v>
      </c>
      <c r="G256" s="20" t="s">
        <v>768</v>
      </c>
      <c r="H256" s="20" t="s">
        <v>61</v>
      </c>
      <c r="I256" s="20" t="s">
        <v>62</v>
      </c>
      <c r="J256" s="20" t="s">
        <v>63</v>
      </c>
      <c r="K256" s="20" t="s">
        <v>445</v>
      </c>
      <c r="L256" s="20" t="n">
        <v>70286</v>
      </c>
      <c r="M256" s="20" t="s">
        <v>153</v>
      </c>
      <c r="N256" s="20" t="s">
        <v>868</v>
      </c>
      <c r="O256" s="20" t="s">
        <v>114</v>
      </c>
      <c r="P256" s="20" t="s">
        <v>167</v>
      </c>
      <c r="Q256" s="20" t="s">
        <v>337</v>
      </c>
      <c r="R256" s="22" t="n">
        <v>2383.73</v>
      </c>
      <c r="S256" s="20" t="n">
        <v>6</v>
      </c>
      <c r="T256" s="20" t="n">
        <v>0</v>
      </c>
      <c r="U256" s="22" t="n">
        <v>-326.45</v>
      </c>
      <c r="V256" s="23" t="n">
        <f aca="false">IF(ISNUMBER(C256),YEAR(C256),"")</f>
        <v>2015</v>
      </c>
      <c r="W256" s="23" t="n">
        <f aca="false">IF(ISNUMBER(C256),MONTH(C256),"")</f>
        <v>5</v>
      </c>
      <c r="X256" s="23" t="str">
        <f aca="false">IF(T256="","",IF(T256=0,"No discount",IF(T256&lt;=0.2,"Low (1-20%)",IF(T256&lt;=0.4,"Medium (21-40%)","High (&gt;40%)"))))</f>
        <v>No discount</v>
      </c>
      <c r="Y256" s="23" t="n">
        <f aca="false">IF(AND(ISNUMBER(C256),ISNUMBER(D256)),D256-C256,"")</f>
        <v>6</v>
      </c>
      <c r="Z256" s="23" t="n">
        <f aca="false">IF(B256="","",IF(MATCH(B256,$B$2:$B$12000,0)=ROW()-1,1,0))</f>
        <v>0</v>
      </c>
    </row>
    <row r="257" customFormat="false" ht="15" hidden="false" customHeight="false" outlineLevel="0" collapsed="false">
      <c r="A257" s="20" t="n">
        <v>256</v>
      </c>
      <c r="B257" s="20" t="s">
        <v>865</v>
      </c>
      <c r="C257" s="21" t="n">
        <v>42126</v>
      </c>
      <c r="D257" s="21" t="n">
        <v>42132</v>
      </c>
      <c r="E257" s="20" t="s">
        <v>90</v>
      </c>
      <c r="F257" s="20" t="s">
        <v>767</v>
      </c>
      <c r="G257" s="20" t="s">
        <v>768</v>
      </c>
      <c r="H257" s="20" t="s">
        <v>61</v>
      </c>
      <c r="I257" s="20" t="s">
        <v>62</v>
      </c>
      <c r="J257" s="20" t="s">
        <v>63</v>
      </c>
      <c r="K257" s="20" t="s">
        <v>445</v>
      </c>
      <c r="L257" s="20" t="n">
        <v>67706</v>
      </c>
      <c r="M257" s="20" t="s">
        <v>153</v>
      </c>
      <c r="N257" s="20" t="s">
        <v>869</v>
      </c>
      <c r="O257" s="20" t="s">
        <v>76</v>
      </c>
      <c r="P257" s="20" t="s">
        <v>128</v>
      </c>
      <c r="Q257" s="20" t="s">
        <v>870</v>
      </c>
      <c r="R257" s="22" t="n">
        <v>2194.45</v>
      </c>
      <c r="S257" s="20" t="n">
        <v>8</v>
      </c>
      <c r="T257" s="20" t="n">
        <v>0</v>
      </c>
      <c r="U257" s="22" t="n">
        <v>241.19</v>
      </c>
      <c r="V257" s="23" t="n">
        <f aca="false">IF(ISNUMBER(C257),YEAR(C257),"")</f>
        <v>2015</v>
      </c>
      <c r="W257" s="23" t="n">
        <f aca="false">IF(ISNUMBER(C257),MONTH(C257),"")</f>
        <v>5</v>
      </c>
      <c r="X257" s="23" t="str">
        <f aca="false">IF(T257="","",IF(T257=0,"No discount",IF(T257&lt;=0.2,"Low (1-20%)",IF(T257&lt;=0.4,"Medium (21-40%)","High (&gt;40%)"))))</f>
        <v>No discount</v>
      </c>
      <c r="Y257" s="23" t="n">
        <f aca="false">IF(AND(ISNUMBER(C257),ISNUMBER(D257)),D257-C257,"")</f>
        <v>6</v>
      </c>
      <c r="Z257" s="23" t="n">
        <f aca="false">IF(B257="","",IF(MATCH(B257,$B$2:$B$12000,0)=ROW()-1,1,0))</f>
        <v>0</v>
      </c>
    </row>
    <row r="258" customFormat="false" ht="15" hidden="false" customHeight="false" outlineLevel="0" collapsed="false">
      <c r="A258" s="20" t="n">
        <v>257</v>
      </c>
      <c r="B258" s="20" t="s">
        <v>871</v>
      </c>
      <c r="C258" s="21" t="n">
        <v>42128</v>
      </c>
      <c r="D258" s="21" t="n">
        <v>42131</v>
      </c>
      <c r="E258" s="20" t="s">
        <v>58</v>
      </c>
      <c r="F258" s="20" t="s">
        <v>428</v>
      </c>
      <c r="G258" s="20" t="s">
        <v>429</v>
      </c>
      <c r="H258" s="20" t="s">
        <v>61</v>
      </c>
      <c r="I258" s="20" t="s">
        <v>62</v>
      </c>
      <c r="J258" s="20" t="s">
        <v>63</v>
      </c>
      <c r="K258" s="20" t="s">
        <v>565</v>
      </c>
      <c r="L258" s="20" t="n">
        <v>83776</v>
      </c>
      <c r="M258" s="20" t="s">
        <v>112</v>
      </c>
      <c r="N258" s="20" t="s">
        <v>872</v>
      </c>
      <c r="O258" s="20" t="s">
        <v>76</v>
      </c>
      <c r="P258" s="20" t="s">
        <v>128</v>
      </c>
      <c r="Q258" s="20" t="s">
        <v>368</v>
      </c>
      <c r="R258" s="22" t="n">
        <v>553.97</v>
      </c>
      <c r="S258" s="20" t="n">
        <v>4</v>
      </c>
      <c r="T258" s="20" t="n">
        <v>0.2</v>
      </c>
      <c r="U258" s="22" t="n">
        <v>6.62</v>
      </c>
      <c r="V258" s="23" t="n">
        <f aca="false">IF(ISNUMBER(C258),YEAR(C258),"")</f>
        <v>2015</v>
      </c>
      <c r="W258" s="23" t="n">
        <f aca="false">IF(ISNUMBER(C258),MONTH(C258),"")</f>
        <v>5</v>
      </c>
      <c r="X258" s="23" t="str">
        <f aca="false">IF(T258="","",IF(T258=0,"No discount",IF(T258&lt;=0.2,"Low (1-20%)",IF(T258&lt;=0.4,"Medium (21-40%)","High (&gt;40%)"))))</f>
        <v>Low (1-20%)</v>
      </c>
      <c r="Y258" s="23" t="n">
        <f aca="false">IF(AND(ISNUMBER(C258),ISNUMBER(D258)),D258-C258,"")</f>
        <v>3</v>
      </c>
      <c r="Z258" s="23" t="n">
        <f aca="false">IF(B258="","",IF(MATCH(B258,$B$2:$B$12000,0)=ROW()-1,1,0))</f>
        <v>1</v>
      </c>
    </row>
    <row r="259" customFormat="false" ht="15" hidden="false" customHeight="false" outlineLevel="0" collapsed="false">
      <c r="A259" s="20" t="n">
        <v>258</v>
      </c>
      <c r="B259" s="20" t="s">
        <v>871</v>
      </c>
      <c r="C259" s="21" t="n">
        <v>42128</v>
      </c>
      <c r="D259" s="21" t="n">
        <v>42131</v>
      </c>
      <c r="E259" s="20" t="s">
        <v>104</v>
      </c>
      <c r="F259" s="20" t="s">
        <v>428</v>
      </c>
      <c r="G259" s="20" t="s">
        <v>429</v>
      </c>
      <c r="H259" s="20" t="s">
        <v>61</v>
      </c>
      <c r="I259" s="20" t="s">
        <v>62</v>
      </c>
      <c r="J259" s="20" t="s">
        <v>63</v>
      </c>
      <c r="K259" s="20" t="s">
        <v>565</v>
      </c>
      <c r="L259" s="20" t="n">
        <v>37837</v>
      </c>
      <c r="M259" s="20" t="s">
        <v>112</v>
      </c>
      <c r="N259" s="20" t="s">
        <v>873</v>
      </c>
      <c r="O259" s="20" t="s">
        <v>114</v>
      </c>
      <c r="P259" s="20" t="s">
        <v>167</v>
      </c>
      <c r="Q259" s="20" t="s">
        <v>874</v>
      </c>
      <c r="R259" s="22" t="n">
        <v>565.08</v>
      </c>
      <c r="S259" s="20" t="n">
        <v>1</v>
      </c>
      <c r="T259" s="20" t="n">
        <v>0</v>
      </c>
      <c r="U259" s="22" t="n">
        <v>-36.5</v>
      </c>
      <c r="V259" s="23" t="n">
        <f aca="false">IF(ISNUMBER(C259),YEAR(C259),"")</f>
        <v>2015</v>
      </c>
      <c r="W259" s="23" t="n">
        <f aca="false">IF(ISNUMBER(C259),MONTH(C259),"")</f>
        <v>5</v>
      </c>
      <c r="X259" s="23" t="str">
        <f aca="false">IF(T259="","",IF(T259=0,"No discount",IF(T259&lt;=0.2,"Low (1-20%)",IF(T259&lt;=0.4,"Medium (21-40%)","High (&gt;40%)"))))</f>
        <v>No discount</v>
      </c>
      <c r="Y259" s="23" t="n">
        <f aca="false">IF(AND(ISNUMBER(C259),ISNUMBER(D259)),D259-C259,"")</f>
        <v>3</v>
      </c>
      <c r="Z259" s="23" t="n">
        <f aca="false">IF(B259="","",IF(MATCH(B259,$B$2:$B$12000,0)=ROW()-1,1,0))</f>
        <v>0</v>
      </c>
    </row>
    <row r="260" customFormat="false" ht="15" hidden="false" customHeight="false" outlineLevel="0" collapsed="false">
      <c r="A260" s="20" t="n">
        <v>259</v>
      </c>
      <c r="B260" s="20" t="s">
        <v>875</v>
      </c>
      <c r="C260" s="21" t="n">
        <v>42129</v>
      </c>
      <c r="D260" s="21" t="n">
        <v>42133</v>
      </c>
      <c r="E260" s="20" t="s">
        <v>104</v>
      </c>
      <c r="F260" s="20" t="s">
        <v>352</v>
      </c>
      <c r="G260" s="20" t="s">
        <v>353</v>
      </c>
      <c r="H260" s="20" t="s">
        <v>85</v>
      </c>
      <c r="I260" s="20" t="s">
        <v>62</v>
      </c>
      <c r="J260" s="20" t="s">
        <v>63</v>
      </c>
      <c r="K260" s="20" t="s">
        <v>86</v>
      </c>
      <c r="L260" s="20" t="n">
        <v>96892</v>
      </c>
      <c r="M260" s="20" t="s">
        <v>65</v>
      </c>
      <c r="N260" s="20" t="s">
        <v>876</v>
      </c>
      <c r="O260" s="20" t="s">
        <v>67</v>
      </c>
      <c r="P260" s="20" t="s">
        <v>106</v>
      </c>
      <c r="Q260" s="20" t="s">
        <v>877</v>
      </c>
      <c r="R260" s="22" t="n">
        <v>2224.57</v>
      </c>
      <c r="S260" s="20" t="n">
        <v>3</v>
      </c>
      <c r="T260" s="20" t="n">
        <v>0</v>
      </c>
      <c r="U260" s="22" t="n">
        <v>299.35</v>
      </c>
      <c r="V260" s="23" t="n">
        <f aca="false">IF(ISNUMBER(C260),YEAR(C260),"")</f>
        <v>2015</v>
      </c>
      <c r="W260" s="23" t="n">
        <f aca="false">IF(ISNUMBER(C260),MONTH(C260),"")</f>
        <v>5</v>
      </c>
      <c r="X260" s="23" t="str">
        <f aca="false">IF(T260="","",IF(T260=0,"No discount",IF(T260&lt;=0.2,"Low (1-20%)",IF(T260&lt;=0.4,"Medium (21-40%)","High (&gt;40%)"))))</f>
        <v>No discount</v>
      </c>
      <c r="Y260" s="23" t="n">
        <f aca="false">IF(AND(ISNUMBER(C260),ISNUMBER(D260)),D260-C260,"")</f>
        <v>4</v>
      </c>
      <c r="Z260" s="23" t="n">
        <f aca="false">IF(B260="","",IF(MATCH(B260,$B$2:$B$12000,0)=ROW()-1,1,0))</f>
        <v>1</v>
      </c>
    </row>
    <row r="261" customFormat="false" ht="15" hidden="false" customHeight="false" outlineLevel="0" collapsed="false">
      <c r="A261" s="20" t="n">
        <v>260</v>
      </c>
      <c r="B261" s="20" t="s">
        <v>875</v>
      </c>
      <c r="C261" s="21" t="n">
        <v>42129</v>
      </c>
      <c r="D261" s="21" t="n">
        <v>42133</v>
      </c>
      <c r="E261" s="20" t="s">
        <v>71</v>
      </c>
      <c r="F261" s="20" t="s">
        <v>352</v>
      </c>
      <c r="G261" s="20" t="s">
        <v>353</v>
      </c>
      <c r="H261" s="20" t="s">
        <v>85</v>
      </c>
      <c r="I261" s="20" t="s">
        <v>62</v>
      </c>
      <c r="J261" s="20" t="s">
        <v>63</v>
      </c>
      <c r="K261" s="20" t="s">
        <v>86</v>
      </c>
      <c r="L261" s="20" t="n">
        <v>92253</v>
      </c>
      <c r="M261" s="20" t="s">
        <v>65</v>
      </c>
      <c r="N261" s="20" t="s">
        <v>878</v>
      </c>
      <c r="O261" s="20" t="s">
        <v>114</v>
      </c>
      <c r="P261" s="20" t="s">
        <v>167</v>
      </c>
      <c r="Q261" s="20" t="s">
        <v>879</v>
      </c>
      <c r="R261" s="22" t="n">
        <v>2347.06</v>
      </c>
      <c r="S261" s="20" t="n">
        <v>8</v>
      </c>
      <c r="T261" s="20" t="n">
        <v>0.1</v>
      </c>
      <c r="U261" s="22" t="n">
        <v>-367.66</v>
      </c>
      <c r="V261" s="23" t="n">
        <f aca="false">IF(ISNUMBER(C261),YEAR(C261),"")</f>
        <v>2015</v>
      </c>
      <c r="W261" s="23" t="n">
        <f aca="false">IF(ISNUMBER(C261),MONTH(C261),"")</f>
        <v>5</v>
      </c>
      <c r="X261" s="23" t="str">
        <f aca="false">IF(T261="","",IF(T261=0,"No discount",IF(T261&lt;=0.2,"Low (1-20%)",IF(T261&lt;=0.4,"Medium (21-40%)","High (&gt;40%)"))))</f>
        <v>Low (1-20%)</v>
      </c>
      <c r="Y261" s="23" t="n">
        <f aca="false">IF(AND(ISNUMBER(C261),ISNUMBER(D261)),D261-C261,"")</f>
        <v>4</v>
      </c>
      <c r="Z261" s="23" t="n">
        <f aca="false">IF(B261="","",IF(MATCH(B261,$B$2:$B$12000,0)=ROW()-1,1,0))</f>
        <v>0</v>
      </c>
    </row>
    <row r="262" customFormat="false" ht="15" hidden="false" customHeight="false" outlineLevel="0" collapsed="false">
      <c r="A262" s="20" t="n">
        <v>261</v>
      </c>
      <c r="B262" s="20" t="s">
        <v>875</v>
      </c>
      <c r="C262" s="21" t="n">
        <v>42129</v>
      </c>
      <c r="D262" s="21" t="n">
        <v>42133</v>
      </c>
      <c r="E262" s="20" t="s">
        <v>90</v>
      </c>
      <c r="F262" s="20" t="s">
        <v>352</v>
      </c>
      <c r="G262" s="20" t="s">
        <v>353</v>
      </c>
      <c r="H262" s="20" t="s">
        <v>85</v>
      </c>
      <c r="I262" s="20" t="s">
        <v>62</v>
      </c>
      <c r="J262" s="20" t="s">
        <v>63</v>
      </c>
      <c r="K262" s="20" t="s">
        <v>86</v>
      </c>
      <c r="L262" s="20" t="n">
        <v>52206</v>
      </c>
      <c r="M262" s="20" t="s">
        <v>65</v>
      </c>
      <c r="N262" s="20" t="s">
        <v>880</v>
      </c>
      <c r="O262" s="20" t="s">
        <v>76</v>
      </c>
      <c r="P262" s="20" t="s">
        <v>88</v>
      </c>
      <c r="Q262" s="20" t="s">
        <v>881</v>
      </c>
      <c r="R262" s="22" t="n">
        <v>958.42</v>
      </c>
      <c r="S262" s="20" t="n">
        <v>4</v>
      </c>
      <c r="T262" s="20" t="n">
        <v>0.3</v>
      </c>
      <c r="U262" s="22" t="n">
        <v>0.49</v>
      </c>
      <c r="V262" s="23" t="n">
        <f aca="false">IF(ISNUMBER(C262),YEAR(C262),"")</f>
        <v>2015</v>
      </c>
      <c r="W262" s="23" t="n">
        <f aca="false">IF(ISNUMBER(C262),MONTH(C262),"")</f>
        <v>5</v>
      </c>
      <c r="X262" s="23" t="str">
        <f aca="false">IF(T262="","",IF(T262=0,"No discount",IF(T262&lt;=0.2,"Low (1-20%)",IF(T262&lt;=0.4,"Medium (21-40%)","High (&gt;40%)"))))</f>
        <v>Medium (21-40%)</v>
      </c>
      <c r="Y262" s="23" t="n">
        <f aca="false">IF(AND(ISNUMBER(C262),ISNUMBER(D262)),D262-C262,"")</f>
        <v>4</v>
      </c>
      <c r="Z262" s="23" t="n">
        <f aca="false">IF(B262="","",IF(MATCH(B262,$B$2:$B$12000,0)=ROW()-1,1,0))</f>
        <v>0</v>
      </c>
    </row>
    <row r="263" customFormat="false" ht="15" hidden="false" customHeight="false" outlineLevel="0" collapsed="false">
      <c r="A263" s="20" t="n">
        <v>262</v>
      </c>
      <c r="B263" s="20" t="s">
        <v>875</v>
      </c>
      <c r="C263" s="21" t="n">
        <v>42129</v>
      </c>
      <c r="D263" s="21" t="n">
        <v>42133</v>
      </c>
      <c r="E263" s="20" t="s">
        <v>71</v>
      </c>
      <c r="F263" s="20" t="s">
        <v>352</v>
      </c>
      <c r="G263" s="20" t="s">
        <v>353</v>
      </c>
      <c r="H263" s="20" t="s">
        <v>85</v>
      </c>
      <c r="I263" s="20" t="s">
        <v>62</v>
      </c>
      <c r="J263" s="20" t="s">
        <v>63</v>
      </c>
      <c r="K263" s="20" t="s">
        <v>86</v>
      </c>
      <c r="L263" s="20" t="n">
        <v>68901</v>
      </c>
      <c r="M263" s="20" t="s">
        <v>65</v>
      </c>
      <c r="N263" s="20" t="s">
        <v>882</v>
      </c>
      <c r="O263" s="20" t="s">
        <v>76</v>
      </c>
      <c r="P263" s="20" t="s">
        <v>80</v>
      </c>
      <c r="Q263" s="20" t="s">
        <v>883</v>
      </c>
      <c r="R263" s="22" t="n">
        <v>247.22</v>
      </c>
      <c r="S263" s="20" t="n">
        <v>4</v>
      </c>
      <c r="T263" s="20" t="n">
        <v>0</v>
      </c>
      <c r="U263" s="22" t="n">
        <v>83.2</v>
      </c>
      <c r="V263" s="23" t="n">
        <f aca="false">IF(ISNUMBER(C263),YEAR(C263),"")</f>
        <v>2015</v>
      </c>
      <c r="W263" s="23" t="n">
        <f aca="false">IF(ISNUMBER(C263),MONTH(C263),"")</f>
        <v>5</v>
      </c>
      <c r="X263" s="23" t="str">
        <f aca="false">IF(T263="","",IF(T263=0,"No discount",IF(T263&lt;=0.2,"Low (1-20%)",IF(T263&lt;=0.4,"Medium (21-40%)","High (&gt;40%)"))))</f>
        <v>No discount</v>
      </c>
      <c r="Y263" s="23" t="n">
        <f aca="false">IF(AND(ISNUMBER(C263),ISNUMBER(D263)),D263-C263,"")</f>
        <v>4</v>
      </c>
      <c r="Z263" s="23" t="n">
        <f aca="false">IF(B263="","",IF(MATCH(B263,$B$2:$B$12000,0)=ROW()-1,1,0))</f>
        <v>0</v>
      </c>
    </row>
    <row r="264" customFormat="false" ht="15" hidden="false" customHeight="false" outlineLevel="0" collapsed="false">
      <c r="A264" s="20" t="n">
        <v>263</v>
      </c>
      <c r="B264" s="20" t="s">
        <v>884</v>
      </c>
      <c r="C264" s="21" t="n">
        <v>42133</v>
      </c>
      <c r="D264" s="21" t="n">
        <v>42135</v>
      </c>
      <c r="E264" s="20" t="s">
        <v>58</v>
      </c>
      <c r="F264" s="20" t="s">
        <v>258</v>
      </c>
      <c r="G264" s="20" t="s">
        <v>259</v>
      </c>
      <c r="H264" s="20" t="s">
        <v>85</v>
      </c>
      <c r="I264" s="20" t="s">
        <v>62</v>
      </c>
      <c r="J264" s="20" t="s">
        <v>63</v>
      </c>
      <c r="K264" s="20" t="s">
        <v>288</v>
      </c>
      <c r="L264" s="20" t="n">
        <v>11652</v>
      </c>
      <c r="M264" s="20" t="s">
        <v>97</v>
      </c>
      <c r="N264" s="20" t="s">
        <v>885</v>
      </c>
      <c r="O264" s="20" t="s">
        <v>76</v>
      </c>
      <c r="P264" s="20" t="s">
        <v>185</v>
      </c>
      <c r="Q264" s="20" t="s">
        <v>886</v>
      </c>
      <c r="R264" s="22" t="n">
        <v>22.16</v>
      </c>
      <c r="S264" s="20" t="n">
        <v>6</v>
      </c>
      <c r="T264" s="20" t="n">
        <v>0.5</v>
      </c>
      <c r="U264" s="22" t="n">
        <v>0.23</v>
      </c>
      <c r="V264" s="23" t="n">
        <f aca="false">IF(ISNUMBER(C264),YEAR(C264),"")</f>
        <v>2015</v>
      </c>
      <c r="W264" s="23" t="n">
        <f aca="false">IF(ISNUMBER(C264),MONTH(C264),"")</f>
        <v>5</v>
      </c>
      <c r="X264" s="23" t="str">
        <f aca="false">IF(T264="","",IF(T264=0,"No discount",IF(T264&lt;=0.2,"Low (1-20%)",IF(T264&lt;=0.4,"Medium (21-40%)","High (&gt;40%)"))))</f>
        <v>High (&gt;40%)</v>
      </c>
      <c r="Y264" s="23" t="n">
        <f aca="false">IF(AND(ISNUMBER(C264),ISNUMBER(D264)),D264-C264,"")</f>
        <v>2</v>
      </c>
      <c r="Z264" s="23" t="n">
        <f aca="false">IF(B264="","",IF(MATCH(B264,$B$2:$B$12000,0)=ROW()-1,1,0))</f>
        <v>1</v>
      </c>
    </row>
    <row r="265" customFormat="false" ht="15" hidden="false" customHeight="false" outlineLevel="0" collapsed="false">
      <c r="A265" s="20" t="n">
        <v>264</v>
      </c>
      <c r="B265" s="20" t="s">
        <v>884</v>
      </c>
      <c r="C265" s="21" t="n">
        <v>42133</v>
      </c>
      <c r="D265" s="21" t="n">
        <v>42135</v>
      </c>
      <c r="E265" s="20" t="s">
        <v>90</v>
      </c>
      <c r="F265" s="20" t="s">
        <v>258</v>
      </c>
      <c r="G265" s="20" t="s">
        <v>259</v>
      </c>
      <c r="H265" s="20" t="s">
        <v>85</v>
      </c>
      <c r="I265" s="20" t="s">
        <v>62</v>
      </c>
      <c r="J265" s="20" t="s">
        <v>63</v>
      </c>
      <c r="K265" s="20" t="s">
        <v>288</v>
      </c>
      <c r="L265" s="20" t="n">
        <v>98157</v>
      </c>
      <c r="M265" s="20" t="s">
        <v>97</v>
      </c>
      <c r="N265" s="20" t="s">
        <v>887</v>
      </c>
      <c r="O265" s="20" t="s">
        <v>114</v>
      </c>
      <c r="P265" s="20" t="s">
        <v>167</v>
      </c>
      <c r="Q265" s="20" t="s">
        <v>888</v>
      </c>
      <c r="R265" s="22" t="n">
        <v>2870.24</v>
      </c>
      <c r="S265" s="20" t="n">
        <v>6</v>
      </c>
      <c r="T265" s="20" t="n">
        <v>0.4</v>
      </c>
      <c r="U265" s="22" t="n">
        <v>-905.42</v>
      </c>
      <c r="V265" s="23" t="n">
        <f aca="false">IF(ISNUMBER(C265),YEAR(C265),"")</f>
        <v>2015</v>
      </c>
      <c r="W265" s="23" t="n">
        <f aca="false">IF(ISNUMBER(C265),MONTH(C265),"")</f>
        <v>5</v>
      </c>
      <c r="X265" s="23" t="str">
        <f aca="false">IF(T265="","",IF(T265=0,"No discount",IF(T265&lt;=0.2,"Low (1-20%)",IF(T265&lt;=0.4,"Medium (21-40%)","High (&gt;40%)"))))</f>
        <v>Medium (21-40%)</v>
      </c>
      <c r="Y265" s="23" t="n">
        <f aca="false">IF(AND(ISNUMBER(C265),ISNUMBER(D265)),D265-C265,"")</f>
        <v>2</v>
      </c>
      <c r="Z265" s="23" t="n">
        <f aca="false">IF(B265="","",IF(MATCH(B265,$B$2:$B$12000,0)=ROW()-1,1,0))</f>
        <v>0</v>
      </c>
    </row>
    <row r="266" customFormat="false" ht="15" hidden="false" customHeight="false" outlineLevel="0" collapsed="false">
      <c r="A266" s="20" t="n">
        <v>265</v>
      </c>
      <c r="B266" s="20" t="s">
        <v>889</v>
      </c>
      <c r="C266" s="21" t="n">
        <v>42138</v>
      </c>
      <c r="D266" s="21" t="n">
        <v>42140</v>
      </c>
      <c r="E266" s="20" t="s">
        <v>71</v>
      </c>
      <c r="F266" s="20" t="s">
        <v>732</v>
      </c>
      <c r="G266" s="20" t="s">
        <v>733</v>
      </c>
      <c r="H266" s="20" t="s">
        <v>85</v>
      </c>
      <c r="I266" s="20" t="s">
        <v>62</v>
      </c>
      <c r="J266" s="20" t="s">
        <v>63</v>
      </c>
      <c r="K266" s="20" t="s">
        <v>385</v>
      </c>
      <c r="L266" s="20" t="n">
        <v>63343</v>
      </c>
      <c r="M266" s="20" t="s">
        <v>153</v>
      </c>
      <c r="N266" s="20" t="s">
        <v>890</v>
      </c>
      <c r="O266" s="20" t="s">
        <v>76</v>
      </c>
      <c r="P266" s="20" t="s">
        <v>122</v>
      </c>
      <c r="Q266" s="20" t="s">
        <v>891</v>
      </c>
      <c r="R266" s="22" t="n">
        <v>69.66</v>
      </c>
      <c r="S266" s="20" t="n">
        <v>5</v>
      </c>
      <c r="T266" s="20" t="n">
        <v>0.3</v>
      </c>
      <c r="U266" s="22" t="n">
        <v>17.62</v>
      </c>
      <c r="V266" s="23" t="n">
        <f aca="false">IF(ISNUMBER(C266),YEAR(C266),"")</f>
        <v>2015</v>
      </c>
      <c r="W266" s="23" t="n">
        <f aca="false">IF(ISNUMBER(C266),MONTH(C266),"")</f>
        <v>5</v>
      </c>
      <c r="X266" s="23" t="str">
        <f aca="false">IF(T266="","",IF(T266=0,"No discount",IF(T266&lt;=0.2,"Low (1-20%)",IF(T266&lt;=0.4,"Medium (21-40%)","High (&gt;40%)"))))</f>
        <v>Medium (21-40%)</v>
      </c>
      <c r="Y266" s="23" t="n">
        <f aca="false">IF(AND(ISNUMBER(C266),ISNUMBER(D266)),D266-C266,"")</f>
        <v>2</v>
      </c>
      <c r="Z266" s="23" t="n">
        <f aca="false">IF(B266="","",IF(MATCH(B266,$B$2:$B$12000,0)=ROW()-1,1,0))</f>
        <v>1</v>
      </c>
    </row>
    <row r="267" customFormat="false" ht="15" hidden="false" customHeight="false" outlineLevel="0" collapsed="false">
      <c r="A267" s="20" t="n">
        <v>266</v>
      </c>
      <c r="B267" s="20" t="s">
        <v>889</v>
      </c>
      <c r="C267" s="21" t="n">
        <v>42138</v>
      </c>
      <c r="D267" s="21" t="n">
        <v>42140</v>
      </c>
      <c r="E267" s="20" t="s">
        <v>71</v>
      </c>
      <c r="F267" s="20" t="s">
        <v>732</v>
      </c>
      <c r="G267" s="20" t="s">
        <v>733</v>
      </c>
      <c r="H267" s="20" t="s">
        <v>85</v>
      </c>
      <c r="I267" s="20" t="s">
        <v>62</v>
      </c>
      <c r="J267" s="20" t="s">
        <v>63</v>
      </c>
      <c r="K267" s="20" t="s">
        <v>385</v>
      </c>
      <c r="L267" s="20" t="n">
        <v>30291</v>
      </c>
      <c r="M267" s="20" t="s">
        <v>153</v>
      </c>
      <c r="N267" s="20" t="s">
        <v>892</v>
      </c>
      <c r="O267" s="20" t="s">
        <v>76</v>
      </c>
      <c r="P267" s="20" t="s">
        <v>88</v>
      </c>
      <c r="Q267" s="20" t="s">
        <v>893</v>
      </c>
      <c r="R267" s="22" t="n">
        <v>852.38</v>
      </c>
      <c r="S267" s="20" t="n">
        <v>6</v>
      </c>
      <c r="T267" s="20" t="n">
        <v>0</v>
      </c>
      <c r="U267" s="22" t="n">
        <v>116.63</v>
      </c>
      <c r="V267" s="23" t="n">
        <f aca="false">IF(ISNUMBER(C267),YEAR(C267),"")</f>
        <v>2015</v>
      </c>
      <c r="W267" s="23" t="n">
        <f aca="false">IF(ISNUMBER(C267),MONTH(C267),"")</f>
        <v>5</v>
      </c>
      <c r="X267" s="23" t="str">
        <f aca="false">IF(T267="","",IF(T267=0,"No discount",IF(T267&lt;=0.2,"Low (1-20%)",IF(T267&lt;=0.4,"Medium (21-40%)","High (&gt;40%)"))))</f>
        <v>No discount</v>
      </c>
      <c r="Y267" s="23" t="n">
        <f aca="false">IF(AND(ISNUMBER(C267),ISNUMBER(D267)),D267-C267,"")</f>
        <v>2</v>
      </c>
      <c r="Z267" s="23" t="n">
        <f aca="false">IF(B267="","",IF(MATCH(B267,$B$2:$B$12000,0)=ROW()-1,1,0))</f>
        <v>0</v>
      </c>
    </row>
    <row r="268" customFormat="false" ht="15" hidden="false" customHeight="false" outlineLevel="0" collapsed="false">
      <c r="A268" s="20" t="n">
        <v>267</v>
      </c>
      <c r="B268" s="20" t="s">
        <v>894</v>
      </c>
      <c r="C268" s="21" t="n">
        <v>42139</v>
      </c>
      <c r="D268" s="21" t="n">
        <v>42144</v>
      </c>
      <c r="E268" s="20" t="s">
        <v>58</v>
      </c>
      <c r="F268" s="20" t="s">
        <v>630</v>
      </c>
      <c r="G268" s="20" t="s">
        <v>631</v>
      </c>
      <c r="H268" s="20" t="s">
        <v>85</v>
      </c>
      <c r="I268" s="20" t="s">
        <v>62</v>
      </c>
      <c r="J268" s="20" t="s">
        <v>63</v>
      </c>
      <c r="K268" s="20" t="s">
        <v>430</v>
      </c>
      <c r="L268" s="20" t="n">
        <v>27967</v>
      </c>
      <c r="M268" s="20" t="s">
        <v>97</v>
      </c>
      <c r="N268" s="20" t="s">
        <v>895</v>
      </c>
      <c r="O268" s="20" t="s">
        <v>76</v>
      </c>
      <c r="P268" s="20" t="s">
        <v>236</v>
      </c>
      <c r="Q268" s="20" t="s">
        <v>896</v>
      </c>
      <c r="R268" s="22" t="n">
        <v>62.19</v>
      </c>
      <c r="S268" s="20" t="n">
        <v>3</v>
      </c>
      <c r="T268" s="20" t="n">
        <v>0.1</v>
      </c>
      <c r="U268" s="22" t="n">
        <v>25.64</v>
      </c>
      <c r="V268" s="23" t="n">
        <f aca="false">IF(ISNUMBER(C268),YEAR(C268),"")</f>
        <v>2015</v>
      </c>
      <c r="W268" s="23" t="n">
        <f aca="false">IF(ISNUMBER(C268),MONTH(C268),"")</f>
        <v>5</v>
      </c>
      <c r="X268" s="23" t="str">
        <f aca="false">IF(T268="","",IF(T268=0,"No discount",IF(T268&lt;=0.2,"Low (1-20%)",IF(T268&lt;=0.4,"Medium (21-40%)","High (&gt;40%)"))))</f>
        <v>Low (1-20%)</v>
      </c>
      <c r="Y268" s="23" t="n">
        <f aca="false">IF(AND(ISNUMBER(C268),ISNUMBER(D268)),D268-C268,"")</f>
        <v>5</v>
      </c>
      <c r="Z268" s="23" t="n">
        <f aca="false">IF(B268="","",IF(MATCH(B268,$B$2:$B$12000,0)=ROW()-1,1,0))</f>
        <v>1</v>
      </c>
    </row>
    <row r="269" customFormat="false" ht="15" hidden="false" customHeight="false" outlineLevel="0" collapsed="false">
      <c r="A269" s="20" t="n">
        <v>268</v>
      </c>
      <c r="B269" s="20" t="s">
        <v>897</v>
      </c>
      <c r="C269" s="21" t="n">
        <v>42141</v>
      </c>
      <c r="D269" s="21" t="n">
        <v>42148</v>
      </c>
      <c r="E269" s="20" t="s">
        <v>90</v>
      </c>
      <c r="F269" s="20" t="s">
        <v>125</v>
      </c>
      <c r="G269" s="20" t="s">
        <v>126</v>
      </c>
      <c r="H269" s="20" t="s">
        <v>61</v>
      </c>
      <c r="I269" s="20" t="s">
        <v>62</v>
      </c>
      <c r="J269" s="20" t="s">
        <v>63</v>
      </c>
      <c r="K269" s="20" t="s">
        <v>796</v>
      </c>
      <c r="L269" s="20" t="n">
        <v>63599</v>
      </c>
      <c r="M269" s="20" t="s">
        <v>153</v>
      </c>
      <c r="N269" s="20" t="s">
        <v>898</v>
      </c>
      <c r="O269" s="20" t="s">
        <v>114</v>
      </c>
      <c r="P269" s="20" t="s">
        <v>115</v>
      </c>
      <c r="Q269" s="20" t="s">
        <v>426</v>
      </c>
      <c r="R269" s="22" t="n">
        <v>1036.95</v>
      </c>
      <c r="S269" s="20" t="n">
        <v>7</v>
      </c>
      <c r="T269" s="20" t="n">
        <v>0</v>
      </c>
      <c r="U269" s="22" t="n">
        <v>194.16</v>
      </c>
      <c r="V269" s="23" t="n">
        <f aca="false">IF(ISNUMBER(C269),YEAR(C269),"")</f>
        <v>2015</v>
      </c>
      <c r="W269" s="23" t="n">
        <f aca="false">IF(ISNUMBER(C269),MONTH(C269),"")</f>
        <v>5</v>
      </c>
      <c r="X269" s="23" t="str">
        <f aca="false">IF(T269="","",IF(T269=0,"No discount",IF(T269&lt;=0.2,"Low (1-20%)",IF(T269&lt;=0.4,"Medium (21-40%)","High (&gt;40%)"))))</f>
        <v>No discount</v>
      </c>
      <c r="Y269" s="23" t="n">
        <f aca="false">IF(AND(ISNUMBER(C269),ISNUMBER(D269)),D269-C269,"")</f>
        <v>7</v>
      </c>
      <c r="Z269" s="23" t="n">
        <f aca="false">IF(B269="","",IF(MATCH(B269,$B$2:$B$12000,0)=ROW()-1,1,0))</f>
        <v>1</v>
      </c>
    </row>
    <row r="270" customFormat="false" ht="15" hidden="false" customHeight="false" outlineLevel="0" collapsed="false">
      <c r="A270" s="20" t="n">
        <v>269</v>
      </c>
      <c r="B270" s="20" t="s">
        <v>899</v>
      </c>
      <c r="C270" s="21" t="n">
        <v>42160</v>
      </c>
      <c r="D270" s="21" t="n">
        <v>42167</v>
      </c>
      <c r="E270" s="20" t="s">
        <v>71</v>
      </c>
      <c r="F270" s="20" t="s">
        <v>83</v>
      </c>
      <c r="G270" s="20" t="s">
        <v>84</v>
      </c>
      <c r="H270" s="20" t="s">
        <v>85</v>
      </c>
      <c r="I270" s="20" t="s">
        <v>62</v>
      </c>
      <c r="J270" s="20" t="s">
        <v>63</v>
      </c>
      <c r="K270" s="20" t="s">
        <v>445</v>
      </c>
      <c r="L270" s="20" t="n">
        <v>47963</v>
      </c>
      <c r="M270" s="20" t="s">
        <v>153</v>
      </c>
      <c r="N270" s="20" t="s">
        <v>900</v>
      </c>
      <c r="O270" s="20" t="s">
        <v>114</v>
      </c>
      <c r="P270" s="20" t="s">
        <v>210</v>
      </c>
      <c r="Q270" s="20" t="s">
        <v>901</v>
      </c>
      <c r="R270" s="22" t="n">
        <v>109.72</v>
      </c>
      <c r="S270" s="20" t="n">
        <v>7</v>
      </c>
      <c r="T270" s="20" t="n">
        <v>0</v>
      </c>
      <c r="U270" s="22" t="n">
        <v>18.67</v>
      </c>
      <c r="V270" s="23" t="n">
        <f aca="false">IF(ISNUMBER(C270),YEAR(C270),"")</f>
        <v>2015</v>
      </c>
      <c r="W270" s="23" t="n">
        <f aca="false">IF(ISNUMBER(C270),MONTH(C270),"")</f>
        <v>6</v>
      </c>
      <c r="X270" s="23" t="str">
        <f aca="false">IF(T270="","",IF(T270=0,"No discount",IF(T270&lt;=0.2,"Low (1-20%)",IF(T270&lt;=0.4,"Medium (21-40%)","High (&gt;40%)"))))</f>
        <v>No discount</v>
      </c>
      <c r="Y270" s="23" t="n">
        <f aca="false">IF(AND(ISNUMBER(C270),ISNUMBER(D270)),D270-C270,"")</f>
        <v>7</v>
      </c>
      <c r="Z270" s="23" t="n">
        <f aca="false">IF(B270="","",IF(MATCH(B270,$B$2:$B$12000,0)=ROW()-1,1,0))</f>
        <v>1</v>
      </c>
    </row>
    <row r="271" customFormat="false" ht="15" hidden="false" customHeight="false" outlineLevel="0" collapsed="false">
      <c r="A271" s="20" t="n">
        <v>270</v>
      </c>
      <c r="B271" s="20" t="s">
        <v>902</v>
      </c>
      <c r="C271" s="21" t="n">
        <v>42167</v>
      </c>
      <c r="D271" s="21" t="n">
        <v>42174</v>
      </c>
      <c r="E271" s="20" t="s">
        <v>71</v>
      </c>
      <c r="F271" s="20" t="s">
        <v>604</v>
      </c>
      <c r="G271" s="20" t="s">
        <v>605</v>
      </c>
      <c r="H271" s="20" t="s">
        <v>85</v>
      </c>
      <c r="I271" s="20" t="s">
        <v>62</v>
      </c>
      <c r="J271" s="20" t="s">
        <v>63</v>
      </c>
      <c r="K271" s="20" t="s">
        <v>202</v>
      </c>
      <c r="L271" s="20" t="n">
        <v>68494</v>
      </c>
      <c r="M271" s="20" t="s">
        <v>153</v>
      </c>
      <c r="N271" s="20" t="s">
        <v>903</v>
      </c>
      <c r="O271" s="20" t="s">
        <v>114</v>
      </c>
      <c r="P271" s="20" t="s">
        <v>139</v>
      </c>
      <c r="Q271" s="20" t="s">
        <v>904</v>
      </c>
      <c r="R271" s="22" t="n">
        <v>3232.98</v>
      </c>
      <c r="S271" s="20" t="n">
        <v>7</v>
      </c>
      <c r="T271" s="20" t="n">
        <v>0.1</v>
      </c>
      <c r="U271" s="22" t="n">
        <v>-167.99</v>
      </c>
      <c r="V271" s="23" t="n">
        <f aca="false">IF(ISNUMBER(C271),YEAR(C271),"")</f>
        <v>2015</v>
      </c>
      <c r="W271" s="23" t="n">
        <f aca="false">IF(ISNUMBER(C271),MONTH(C271),"")</f>
        <v>6</v>
      </c>
      <c r="X271" s="23" t="str">
        <f aca="false">IF(T271="","",IF(T271=0,"No discount",IF(T271&lt;=0.2,"Low (1-20%)",IF(T271&lt;=0.4,"Medium (21-40%)","High (&gt;40%)"))))</f>
        <v>Low (1-20%)</v>
      </c>
      <c r="Y271" s="23" t="n">
        <f aca="false">IF(AND(ISNUMBER(C271),ISNUMBER(D271)),D271-C271,"")</f>
        <v>7</v>
      </c>
      <c r="Z271" s="23" t="n">
        <f aca="false">IF(B271="","",IF(MATCH(B271,$B$2:$B$12000,0)=ROW()-1,1,0))</f>
        <v>1</v>
      </c>
    </row>
    <row r="272" customFormat="false" ht="15" hidden="false" customHeight="false" outlineLevel="0" collapsed="false">
      <c r="A272" s="20" t="n">
        <v>271</v>
      </c>
      <c r="B272" s="20" t="s">
        <v>902</v>
      </c>
      <c r="C272" s="21" t="n">
        <v>42167</v>
      </c>
      <c r="D272" s="21" t="n">
        <v>42174</v>
      </c>
      <c r="E272" s="20" t="s">
        <v>58</v>
      </c>
      <c r="F272" s="20" t="s">
        <v>604</v>
      </c>
      <c r="G272" s="20" t="s">
        <v>605</v>
      </c>
      <c r="H272" s="20" t="s">
        <v>85</v>
      </c>
      <c r="I272" s="20" t="s">
        <v>62</v>
      </c>
      <c r="J272" s="20" t="s">
        <v>63</v>
      </c>
      <c r="K272" s="20" t="s">
        <v>202</v>
      </c>
      <c r="L272" s="20" t="n">
        <v>43509</v>
      </c>
      <c r="M272" s="20" t="s">
        <v>153</v>
      </c>
      <c r="N272" s="20" t="s">
        <v>905</v>
      </c>
      <c r="O272" s="20" t="s">
        <v>76</v>
      </c>
      <c r="P272" s="20" t="s">
        <v>101</v>
      </c>
      <c r="Q272" s="20" t="s">
        <v>746</v>
      </c>
      <c r="R272" s="22" t="n">
        <v>21.56</v>
      </c>
      <c r="S272" s="20" t="n">
        <v>4</v>
      </c>
      <c r="T272" s="20" t="n">
        <v>0.2</v>
      </c>
      <c r="U272" s="22" t="n">
        <v>7.16</v>
      </c>
      <c r="V272" s="23" t="n">
        <f aca="false">IF(ISNUMBER(C272),YEAR(C272),"")</f>
        <v>2015</v>
      </c>
      <c r="W272" s="23" t="n">
        <f aca="false">IF(ISNUMBER(C272),MONTH(C272),"")</f>
        <v>6</v>
      </c>
      <c r="X272" s="23" t="str">
        <f aca="false">IF(T272="","",IF(T272=0,"No discount",IF(T272&lt;=0.2,"Low (1-20%)",IF(T272&lt;=0.4,"Medium (21-40%)","High (&gt;40%)"))))</f>
        <v>Low (1-20%)</v>
      </c>
      <c r="Y272" s="23" t="n">
        <f aca="false">IF(AND(ISNUMBER(C272),ISNUMBER(D272)),D272-C272,"")</f>
        <v>7</v>
      </c>
      <c r="Z272" s="23" t="n">
        <f aca="false">IF(B272="","",IF(MATCH(B272,$B$2:$B$12000,0)=ROW()-1,1,0))</f>
        <v>0</v>
      </c>
    </row>
    <row r="273" customFormat="false" ht="15" hidden="false" customHeight="false" outlineLevel="0" collapsed="false">
      <c r="A273" s="20" t="n">
        <v>272</v>
      </c>
      <c r="B273" s="20" t="s">
        <v>906</v>
      </c>
      <c r="C273" s="21" t="n">
        <v>42169</v>
      </c>
      <c r="D273" s="21" t="n">
        <v>42172</v>
      </c>
      <c r="E273" s="20" t="s">
        <v>58</v>
      </c>
      <c r="F273" s="20" t="s">
        <v>907</v>
      </c>
      <c r="G273" s="20" t="s">
        <v>908</v>
      </c>
      <c r="H273" s="20" t="s">
        <v>61</v>
      </c>
      <c r="I273" s="20" t="s">
        <v>62</v>
      </c>
      <c r="J273" s="20" t="s">
        <v>63</v>
      </c>
      <c r="K273" s="20" t="s">
        <v>909</v>
      </c>
      <c r="L273" s="20" t="n">
        <v>98094</v>
      </c>
      <c r="M273" s="20" t="s">
        <v>97</v>
      </c>
      <c r="N273" s="20" t="s">
        <v>910</v>
      </c>
      <c r="O273" s="20" t="s">
        <v>76</v>
      </c>
      <c r="P273" s="20" t="s">
        <v>77</v>
      </c>
      <c r="Q273" s="20" t="s">
        <v>911</v>
      </c>
      <c r="R273" s="22" t="n">
        <v>21.27</v>
      </c>
      <c r="S273" s="20" t="n">
        <v>1</v>
      </c>
      <c r="T273" s="20" t="n">
        <v>0.5</v>
      </c>
      <c r="U273" s="22" t="n">
        <v>-1.89</v>
      </c>
      <c r="V273" s="23" t="n">
        <f aca="false">IF(ISNUMBER(C273),YEAR(C273),"")</f>
        <v>2015</v>
      </c>
      <c r="W273" s="23" t="n">
        <f aca="false">IF(ISNUMBER(C273),MONTH(C273),"")</f>
        <v>6</v>
      </c>
      <c r="X273" s="23" t="str">
        <f aca="false">IF(T273="","",IF(T273=0,"No discount",IF(T273&lt;=0.2,"Low (1-20%)",IF(T273&lt;=0.4,"Medium (21-40%)","High (&gt;40%)"))))</f>
        <v>High (&gt;40%)</v>
      </c>
      <c r="Y273" s="23" t="n">
        <f aca="false">IF(AND(ISNUMBER(C273),ISNUMBER(D273)),D273-C273,"")</f>
        <v>3</v>
      </c>
      <c r="Z273" s="23" t="n">
        <f aca="false">IF(B273="","",IF(MATCH(B273,$B$2:$B$12000,0)=ROW()-1,1,0))</f>
        <v>1</v>
      </c>
    </row>
    <row r="274" customFormat="false" ht="15" hidden="false" customHeight="false" outlineLevel="0" collapsed="false">
      <c r="A274" s="20" t="n">
        <v>273</v>
      </c>
      <c r="B274" s="20" t="s">
        <v>906</v>
      </c>
      <c r="C274" s="21" t="n">
        <v>42169</v>
      </c>
      <c r="D274" s="21" t="n">
        <v>42172</v>
      </c>
      <c r="E274" s="20" t="s">
        <v>90</v>
      </c>
      <c r="F274" s="20" t="s">
        <v>907</v>
      </c>
      <c r="G274" s="20" t="s">
        <v>908</v>
      </c>
      <c r="H274" s="20" t="s">
        <v>61</v>
      </c>
      <c r="I274" s="20" t="s">
        <v>62</v>
      </c>
      <c r="J274" s="20" t="s">
        <v>63</v>
      </c>
      <c r="K274" s="20" t="s">
        <v>909</v>
      </c>
      <c r="L274" s="20" t="n">
        <v>21658</v>
      </c>
      <c r="M274" s="20" t="s">
        <v>97</v>
      </c>
      <c r="N274" s="20" t="s">
        <v>912</v>
      </c>
      <c r="O274" s="20" t="s">
        <v>76</v>
      </c>
      <c r="P274" s="20" t="s">
        <v>101</v>
      </c>
      <c r="Q274" s="20" t="s">
        <v>913</v>
      </c>
      <c r="R274" s="22" t="n">
        <v>80.86</v>
      </c>
      <c r="S274" s="20" t="n">
        <v>3</v>
      </c>
      <c r="T274" s="20" t="n">
        <v>0.3</v>
      </c>
      <c r="U274" s="22" t="n">
        <v>18.44</v>
      </c>
      <c r="V274" s="23" t="n">
        <f aca="false">IF(ISNUMBER(C274),YEAR(C274),"")</f>
        <v>2015</v>
      </c>
      <c r="W274" s="23" t="n">
        <f aca="false">IF(ISNUMBER(C274),MONTH(C274),"")</f>
        <v>6</v>
      </c>
      <c r="X274" s="23" t="str">
        <f aca="false">IF(T274="","",IF(T274=0,"No discount",IF(T274&lt;=0.2,"Low (1-20%)",IF(T274&lt;=0.4,"Medium (21-40%)","High (&gt;40%)"))))</f>
        <v>Medium (21-40%)</v>
      </c>
      <c r="Y274" s="23" t="n">
        <f aca="false">IF(AND(ISNUMBER(C274),ISNUMBER(D274)),D274-C274,"")</f>
        <v>3</v>
      </c>
      <c r="Z274" s="23" t="n">
        <f aca="false">IF(B274="","",IF(MATCH(B274,$B$2:$B$12000,0)=ROW()-1,1,0))</f>
        <v>0</v>
      </c>
    </row>
    <row r="275" customFormat="false" ht="15" hidden="false" customHeight="false" outlineLevel="0" collapsed="false">
      <c r="A275" s="20" t="n">
        <v>274</v>
      </c>
      <c r="B275" s="20" t="s">
        <v>914</v>
      </c>
      <c r="C275" s="21" t="n">
        <v>42181</v>
      </c>
      <c r="D275" s="21" t="n">
        <v>42183</v>
      </c>
      <c r="E275" s="20" t="s">
        <v>90</v>
      </c>
      <c r="F275" s="20" t="s">
        <v>281</v>
      </c>
      <c r="G275" s="20" t="s">
        <v>282</v>
      </c>
      <c r="H275" s="20" t="s">
        <v>61</v>
      </c>
      <c r="I275" s="20" t="s">
        <v>62</v>
      </c>
      <c r="J275" s="20" t="s">
        <v>63</v>
      </c>
      <c r="K275" s="20" t="s">
        <v>152</v>
      </c>
      <c r="L275" s="20" t="n">
        <v>57829</v>
      </c>
      <c r="M275" s="20" t="s">
        <v>153</v>
      </c>
      <c r="N275" s="20" t="s">
        <v>915</v>
      </c>
      <c r="O275" s="20" t="s">
        <v>67</v>
      </c>
      <c r="P275" s="20" t="s">
        <v>68</v>
      </c>
      <c r="Q275" s="20" t="s">
        <v>916</v>
      </c>
      <c r="R275" s="22" t="n">
        <v>6961.06</v>
      </c>
      <c r="S275" s="20" t="n">
        <v>6</v>
      </c>
      <c r="T275" s="20" t="n">
        <v>0.2</v>
      </c>
      <c r="U275" s="22" t="n">
        <v>1005.88</v>
      </c>
      <c r="V275" s="23" t="n">
        <f aca="false">IF(ISNUMBER(C275),YEAR(C275),"")</f>
        <v>2015</v>
      </c>
      <c r="W275" s="23" t="n">
        <f aca="false">IF(ISNUMBER(C275),MONTH(C275),"")</f>
        <v>6</v>
      </c>
      <c r="X275" s="23" t="str">
        <f aca="false">IF(T275="","",IF(T275=0,"No discount",IF(T275&lt;=0.2,"Low (1-20%)",IF(T275&lt;=0.4,"Medium (21-40%)","High (&gt;40%)"))))</f>
        <v>Low (1-20%)</v>
      </c>
      <c r="Y275" s="23" t="n">
        <f aca="false">IF(AND(ISNUMBER(C275),ISNUMBER(D275)),D275-C275,"")</f>
        <v>2</v>
      </c>
      <c r="Z275" s="23" t="n">
        <f aca="false">IF(B275="","",IF(MATCH(B275,$B$2:$B$12000,0)=ROW()-1,1,0))</f>
        <v>1</v>
      </c>
    </row>
    <row r="276" customFormat="false" ht="15" hidden="false" customHeight="false" outlineLevel="0" collapsed="false">
      <c r="A276" s="20" t="n">
        <v>275</v>
      </c>
      <c r="B276" s="20" t="s">
        <v>914</v>
      </c>
      <c r="C276" s="21" t="n">
        <v>42181</v>
      </c>
      <c r="D276" s="21" t="n">
        <v>42183</v>
      </c>
      <c r="E276" s="20" t="s">
        <v>71</v>
      </c>
      <c r="F276" s="20" t="s">
        <v>281</v>
      </c>
      <c r="G276" s="20" t="s">
        <v>282</v>
      </c>
      <c r="H276" s="20" t="s">
        <v>61</v>
      </c>
      <c r="I276" s="20" t="s">
        <v>62</v>
      </c>
      <c r="J276" s="20" t="s">
        <v>63</v>
      </c>
      <c r="K276" s="20" t="s">
        <v>152</v>
      </c>
      <c r="L276" s="20" t="n">
        <v>71547</v>
      </c>
      <c r="M276" s="20" t="s">
        <v>153</v>
      </c>
      <c r="N276" s="20" t="s">
        <v>917</v>
      </c>
      <c r="O276" s="20" t="s">
        <v>76</v>
      </c>
      <c r="P276" s="20" t="s">
        <v>185</v>
      </c>
      <c r="Q276" s="20" t="s">
        <v>918</v>
      </c>
      <c r="R276" s="22" t="n">
        <v>28.43</v>
      </c>
      <c r="S276" s="20" t="n">
        <v>2</v>
      </c>
      <c r="T276" s="20" t="n">
        <v>0</v>
      </c>
      <c r="U276" s="22" t="n">
        <v>10</v>
      </c>
      <c r="V276" s="23" t="n">
        <f aca="false">IF(ISNUMBER(C276),YEAR(C276),"")</f>
        <v>2015</v>
      </c>
      <c r="W276" s="23" t="n">
        <f aca="false">IF(ISNUMBER(C276),MONTH(C276),"")</f>
        <v>6</v>
      </c>
      <c r="X276" s="23" t="str">
        <f aca="false">IF(T276="","",IF(T276=0,"No discount",IF(T276&lt;=0.2,"Low (1-20%)",IF(T276&lt;=0.4,"Medium (21-40%)","High (&gt;40%)"))))</f>
        <v>No discount</v>
      </c>
      <c r="Y276" s="23" t="n">
        <f aca="false">IF(AND(ISNUMBER(C276),ISNUMBER(D276)),D276-C276,"")</f>
        <v>2</v>
      </c>
      <c r="Z276" s="23" t="n">
        <f aca="false">IF(B276="","",IF(MATCH(B276,$B$2:$B$12000,0)=ROW()-1,1,0))</f>
        <v>0</v>
      </c>
    </row>
    <row r="277" customFormat="false" ht="15" hidden="false" customHeight="false" outlineLevel="0" collapsed="false">
      <c r="A277" s="20" t="n">
        <v>276</v>
      </c>
      <c r="B277" s="20" t="s">
        <v>919</v>
      </c>
      <c r="C277" s="21" t="n">
        <v>42189</v>
      </c>
      <c r="D277" s="21" t="n">
        <v>42192</v>
      </c>
      <c r="E277" s="20" t="s">
        <v>71</v>
      </c>
      <c r="F277" s="20" t="s">
        <v>403</v>
      </c>
      <c r="G277" s="20" t="s">
        <v>404</v>
      </c>
      <c r="H277" s="20" t="s">
        <v>85</v>
      </c>
      <c r="I277" s="20" t="s">
        <v>62</v>
      </c>
      <c r="J277" s="20" t="s">
        <v>63</v>
      </c>
      <c r="K277" s="20" t="s">
        <v>518</v>
      </c>
      <c r="L277" s="20" t="n">
        <v>98663</v>
      </c>
      <c r="M277" s="20" t="s">
        <v>153</v>
      </c>
      <c r="N277" s="20" t="s">
        <v>920</v>
      </c>
      <c r="O277" s="20" t="s">
        <v>76</v>
      </c>
      <c r="P277" s="20" t="s">
        <v>236</v>
      </c>
      <c r="Q277" s="20" t="s">
        <v>921</v>
      </c>
      <c r="R277" s="22" t="n">
        <v>395.12</v>
      </c>
      <c r="S277" s="20" t="n">
        <v>6</v>
      </c>
      <c r="T277" s="20" t="n">
        <v>0</v>
      </c>
      <c r="U277" s="22" t="n">
        <v>132.01</v>
      </c>
      <c r="V277" s="23" t="n">
        <f aca="false">IF(ISNUMBER(C277),YEAR(C277),"")</f>
        <v>2015</v>
      </c>
      <c r="W277" s="23" t="n">
        <f aca="false">IF(ISNUMBER(C277),MONTH(C277),"")</f>
        <v>7</v>
      </c>
      <c r="X277" s="23" t="str">
        <f aca="false">IF(T277="","",IF(T277=0,"No discount",IF(T277&lt;=0.2,"Low (1-20%)",IF(T277&lt;=0.4,"Medium (21-40%)","High (&gt;40%)"))))</f>
        <v>No discount</v>
      </c>
      <c r="Y277" s="23" t="n">
        <f aca="false">IF(AND(ISNUMBER(C277),ISNUMBER(D277)),D277-C277,"")</f>
        <v>3</v>
      </c>
      <c r="Z277" s="23" t="n">
        <f aca="false">IF(B277="","",IF(MATCH(B277,$B$2:$B$12000,0)=ROW()-1,1,0))</f>
        <v>1</v>
      </c>
    </row>
    <row r="278" customFormat="false" ht="15" hidden="false" customHeight="false" outlineLevel="0" collapsed="false">
      <c r="A278" s="20" t="n">
        <v>277</v>
      </c>
      <c r="B278" s="20" t="s">
        <v>919</v>
      </c>
      <c r="C278" s="21" t="n">
        <v>42189</v>
      </c>
      <c r="D278" s="21" t="n">
        <v>42192</v>
      </c>
      <c r="E278" s="20" t="s">
        <v>104</v>
      </c>
      <c r="F278" s="20" t="s">
        <v>403</v>
      </c>
      <c r="G278" s="20" t="s">
        <v>404</v>
      </c>
      <c r="H278" s="20" t="s">
        <v>85</v>
      </c>
      <c r="I278" s="20" t="s">
        <v>62</v>
      </c>
      <c r="J278" s="20" t="s">
        <v>63</v>
      </c>
      <c r="K278" s="20" t="s">
        <v>518</v>
      </c>
      <c r="L278" s="20" t="n">
        <v>49432</v>
      </c>
      <c r="M278" s="20" t="s">
        <v>153</v>
      </c>
      <c r="N278" s="20" t="s">
        <v>922</v>
      </c>
      <c r="O278" s="20" t="s">
        <v>76</v>
      </c>
      <c r="P278" s="20" t="s">
        <v>185</v>
      </c>
      <c r="Q278" s="20" t="s">
        <v>923</v>
      </c>
      <c r="R278" s="22" t="n">
        <v>10.16</v>
      </c>
      <c r="S278" s="20" t="n">
        <v>4</v>
      </c>
      <c r="T278" s="20" t="n">
        <v>0.7</v>
      </c>
      <c r="U278" s="22" t="n">
        <v>-1.95</v>
      </c>
      <c r="V278" s="23" t="n">
        <f aca="false">IF(ISNUMBER(C278),YEAR(C278),"")</f>
        <v>2015</v>
      </c>
      <c r="W278" s="23" t="n">
        <f aca="false">IF(ISNUMBER(C278),MONTH(C278),"")</f>
        <v>7</v>
      </c>
      <c r="X278" s="23" t="str">
        <f aca="false">IF(T278="","",IF(T278=0,"No discount",IF(T278&lt;=0.2,"Low (1-20%)",IF(T278&lt;=0.4,"Medium (21-40%)","High (&gt;40%)"))))</f>
        <v>High (&gt;40%)</v>
      </c>
      <c r="Y278" s="23" t="n">
        <f aca="false">IF(AND(ISNUMBER(C278),ISNUMBER(D278)),D278-C278,"")</f>
        <v>3</v>
      </c>
      <c r="Z278" s="23" t="n">
        <f aca="false">IF(B278="","",IF(MATCH(B278,$B$2:$B$12000,0)=ROW()-1,1,0))</f>
        <v>0</v>
      </c>
    </row>
    <row r="279" customFormat="false" ht="15" hidden="false" customHeight="false" outlineLevel="0" collapsed="false">
      <c r="A279" s="20" t="n">
        <v>278</v>
      </c>
      <c r="B279" s="20" t="s">
        <v>924</v>
      </c>
      <c r="C279" s="21" t="n">
        <v>42197</v>
      </c>
      <c r="D279" s="21" t="n">
        <v>42202</v>
      </c>
      <c r="E279" s="20" t="s">
        <v>90</v>
      </c>
      <c r="F279" s="20" t="s">
        <v>294</v>
      </c>
      <c r="G279" s="20" t="s">
        <v>295</v>
      </c>
      <c r="H279" s="20" t="s">
        <v>61</v>
      </c>
      <c r="I279" s="20" t="s">
        <v>62</v>
      </c>
      <c r="J279" s="20" t="s">
        <v>63</v>
      </c>
      <c r="K279" s="20" t="s">
        <v>565</v>
      </c>
      <c r="L279" s="20" t="n">
        <v>83486</v>
      </c>
      <c r="M279" s="20" t="s">
        <v>112</v>
      </c>
      <c r="N279" s="20" t="s">
        <v>925</v>
      </c>
      <c r="O279" s="20" t="s">
        <v>76</v>
      </c>
      <c r="P279" s="20" t="s">
        <v>88</v>
      </c>
      <c r="Q279" s="20" t="s">
        <v>926</v>
      </c>
      <c r="R279" s="22" t="n">
        <v>1239.57</v>
      </c>
      <c r="S279" s="20" t="n">
        <v>4</v>
      </c>
      <c r="T279" s="20" t="n">
        <v>0</v>
      </c>
      <c r="U279" s="22" t="n">
        <v>127.87</v>
      </c>
      <c r="V279" s="23" t="n">
        <f aca="false">IF(ISNUMBER(C279),YEAR(C279),"")</f>
        <v>2015</v>
      </c>
      <c r="W279" s="23" t="n">
        <f aca="false">IF(ISNUMBER(C279),MONTH(C279),"")</f>
        <v>7</v>
      </c>
      <c r="X279" s="23" t="str">
        <f aca="false">IF(T279="","",IF(T279=0,"No discount",IF(T279&lt;=0.2,"Low (1-20%)",IF(T279&lt;=0.4,"Medium (21-40%)","High (&gt;40%)"))))</f>
        <v>No discount</v>
      </c>
      <c r="Y279" s="23" t="n">
        <f aca="false">IF(AND(ISNUMBER(C279),ISNUMBER(D279)),D279-C279,"")</f>
        <v>5</v>
      </c>
      <c r="Z279" s="23" t="n">
        <f aca="false">IF(B279="","",IF(MATCH(B279,$B$2:$B$12000,0)=ROW()-1,1,0))</f>
        <v>1</v>
      </c>
    </row>
    <row r="280" customFormat="false" ht="15" hidden="false" customHeight="false" outlineLevel="0" collapsed="false">
      <c r="A280" s="20" t="n">
        <v>279</v>
      </c>
      <c r="B280" s="20" t="s">
        <v>927</v>
      </c>
      <c r="C280" s="21" t="n">
        <v>42200</v>
      </c>
      <c r="D280" s="21" t="n">
        <v>42207</v>
      </c>
      <c r="E280" s="20" t="s">
        <v>58</v>
      </c>
      <c r="F280" s="20" t="s">
        <v>560</v>
      </c>
      <c r="G280" s="20" t="s">
        <v>561</v>
      </c>
      <c r="H280" s="20" t="s">
        <v>85</v>
      </c>
      <c r="I280" s="20" t="s">
        <v>62</v>
      </c>
      <c r="J280" s="20" t="s">
        <v>63</v>
      </c>
      <c r="K280" s="20" t="s">
        <v>74</v>
      </c>
      <c r="L280" s="20" t="n">
        <v>12531</v>
      </c>
      <c r="M280" s="20" t="s">
        <v>65</v>
      </c>
      <c r="N280" s="20" t="s">
        <v>928</v>
      </c>
      <c r="O280" s="20" t="s">
        <v>114</v>
      </c>
      <c r="P280" s="20" t="s">
        <v>115</v>
      </c>
      <c r="Q280" s="20" t="s">
        <v>929</v>
      </c>
      <c r="R280" s="22" t="n">
        <v>237.98</v>
      </c>
      <c r="S280" s="20" t="n">
        <v>1</v>
      </c>
      <c r="T280" s="20" t="n">
        <v>0</v>
      </c>
      <c r="U280" s="22" t="n">
        <v>22.02</v>
      </c>
      <c r="V280" s="23" t="n">
        <f aca="false">IF(ISNUMBER(C280),YEAR(C280),"")</f>
        <v>2015</v>
      </c>
      <c r="W280" s="23" t="n">
        <f aca="false">IF(ISNUMBER(C280),MONTH(C280),"")</f>
        <v>7</v>
      </c>
      <c r="X280" s="23" t="str">
        <f aca="false">IF(T280="","",IF(T280=0,"No discount",IF(T280&lt;=0.2,"Low (1-20%)",IF(T280&lt;=0.4,"Medium (21-40%)","High (&gt;40%)"))))</f>
        <v>No discount</v>
      </c>
      <c r="Y280" s="23" t="n">
        <f aca="false">IF(AND(ISNUMBER(C280),ISNUMBER(D280)),D280-C280,"")</f>
        <v>7</v>
      </c>
      <c r="Z280" s="23" t="n">
        <f aca="false">IF(B280="","",IF(MATCH(B280,$B$2:$B$12000,0)=ROW()-1,1,0))</f>
        <v>1</v>
      </c>
    </row>
    <row r="281" customFormat="false" ht="15" hidden="false" customHeight="false" outlineLevel="0" collapsed="false">
      <c r="A281" s="20" t="n">
        <v>280</v>
      </c>
      <c r="B281" s="20" t="s">
        <v>927</v>
      </c>
      <c r="C281" s="21" t="n">
        <v>42200</v>
      </c>
      <c r="D281" s="21" t="n">
        <v>42207</v>
      </c>
      <c r="E281" s="20" t="s">
        <v>71</v>
      </c>
      <c r="F281" s="20" t="s">
        <v>560</v>
      </c>
      <c r="G281" s="20" t="s">
        <v>561</v>
      </c>
      <c r="H281" s="20" t="s">
        <v>85</v>
      </c>
      <c r="I281" s="20" t="s">
        <v>62</v>
      </c>
      <c r="J281" s="20" t="s">
        <v>63</v>
      </c>
      <c r="K281" s="20" t="s">
        <v>74</v>
      </c>
      <c r="L281" s="20" t="n">
        <v>78462</v>
      </c>
      <c r="M281" s="20" t="s">
        <v>65</v>
      </c>
      <c r="N281" s="20" t="s">
        <v>930</v>
      </c>
      <c r="O281" s="20" t="s">
        <v>114</v>
      </c>
      <c r="P281" s="20" t="s">
        <v>139</v>
      </c>
      <c r="Q281" s="20" t="s">
        <v>931</v>
      </c>
      <c r="R281" s="22" t="n">
        <v>1445.77</v>
      </c>
      <c r="S281" s="20" t="n">
        <v>4</v>
      </c>
      <c r="T281" s="20" t="n">
        <v>0</v>
      </c>
      <c r="U281" s="22" t="n">
        <v>142.32</v>
      </c>
      <c r="V281" s="23" t="n">
        <f aca="false">IF(ISNUMBER(C281),YEAR(C281),"")</f>
        <v>2015</v>
      </c>
      <c r="W281" s="23" t="n">
        <f aca="false">IF(ISNUMBER(C281),MONTH(C281),"")</f>
        <v>7</v>
      </c>
      <c r="X281" s="23" t="str">
        <f aca="false">IF(T281="","",IF(T281=0,"No discount",IF(T281&lt;=0.2,"Low (1-20%)",IF(T281&lt;=0.4,"Medium (21-40%)","High (&gt;40%)"))))</f>
        <v>No discount</v>
      </c>
      <c r="Y281" s="23" t="n">
        <f aca="false">IF(AND(ISNUMBER(C281),ISNUMBER(D281)),D281-C281,"")</f>
        <v>7</v>
      </c>
      <c r="Z281" s="23" t="n">
        <f aca="false">IF(B281="","",IF(MATCH(B281,$B$2:$B$12000,0)=ROW()-1,1,0))</f>
        <v>0</v>
      </c>
    </row>
    <row r="282" customFormat="false" ht="15" hidden="false" customHeight="false" outlineLevel="0" collapsed="false">
      <c r="A282" s="20" t="n">
        <v>281</v>
      </c>
      <c r="B282" s="20" t="s">
        <v>932</v>
      </c>
      <c r="C282" s="21" t="n">
        <v>42201</v>
      </c>
      <c r="D282" s="21" t="n">
        <v>42207</v>
      </c>
      <c r="E282" s="20" t="s">
        <v>71</v>
      </c>
      <c r="F282" s="20" t="s">
        <v>258</v>
      </c>
      <c r="G282" s="20" t="s">
        <v>259</v>
      </c>
      <c r="H282" s="20" t="s">
        <v>85</v>
      </c>
      <c r="I282" s="20" t="s">
        <v>62</v>
      </c>
      <c r="J282" s="20" t="s">
        <v>63</v>
      </c>
      <c r="K282" s="20" t="s">
        <v>196</v>
      </c>
      <c r="L282" s="20" t="n">
        <v>91795</v>
      </c>
      <c r="M282" s="20" t="s">
        <v>112</v>
      </c>
      <c r="N282" s="20" t="s">
        <v>933</v>
      </c>
      <c r="O282" s="20" t="s">
        <v>76</v>
      </c>
      <c r="P282" s="20" t="s">
        <v>185</v>
      </c>
      <c r="Q282" s="20" t="s">
        <v>756</v>
      </c>
      <c r="R282" s="22" t="n">
        <v>140.39</v>
      </c>
      <c r="S282" s="20" t="n">
        <v>6</v>
      </c>
      <c r="T282" s="20" t="n">
        <v>0</v>
      </c>
      <c r="U282" s="22" t="n">
        <v>41.63</v>
      </c>
      <c r="V282" s="23" t="n">
        <f aca="false">IF(ISNUMBER(C282),YEAR(C282),"")</f>
        <v>2015</v>
      </c>
      <c r="W282" s="23" t="n">
        <f aca="false">IF(ISNUMBER(C282),MONTH(C282),"")</f>
        <v>7</v>
      </c>
      <c r="X282" s="23" t="str">
        <f aca="false">IF(T282="","",IF(T282=0,"No discount",IF(T282&lt;=0.2,"Low (1-20%)",IF(T282&lt;=0.4,"Medium (21-40%)","High (&gt;40%)"))))</f>
        <v>No discount</v>
      </c>
      <c r="Y282" s="23" t="n">
        <f aca="false">IF(AND(ISNUMBER(C282),ISNUMBER(D282)),D282-C282,"")</f>
        <v>6</v>
      </c>
      <c r="Z282" s="23" t="n">
        <f aca="false">IF(B282="","",IF(MATCH(B282,$B$2:$B$12000,0)=ROW()-1,1,0))</f>
        <v>1</v>
      </c>
    </row>
    <row r="283" customFormat="false" ht="15" hidden="false" customHeight="false" outlineLevel="0" collapsed="false">
      <c r="A283" s="20" t="n">
        <v>282</v>
      </c>
      <c r="B283" s="20" t="s">
        <v>934</v>
      </c>
      <c r="C283" s="21" t="n">
        <v>42202</v>
      </c>
      <c r="D283" s="21" t="n">
        <v>42209</v>
      </c>
      <c r="E283" s="20" t="s">
        <v>58</v>
      </c>
      <c r="F283" s="20" t="s">
        <v>333</v>
      </c>
      <c r="G283" s="20" t="s">
        <v>334</v>
      </c>
      <c r="H283" s="20" t="s">
        <v>85</v>
      </c>
      <c r="I283" s="20" t="s">
        <v>62</v>
      </c>
      <c r="J283" s="20" t="s">
        <v>63</v>
      </c>
      <c r="K283" s="20" t="s">
        <v>800</v>
      </c>
      <c r="L283" s="20" t="n">
        <v>89321</v>
      </c>
      <c r="M283" s="20" t="s">
        <v>65</v>
      </c>
      <c r="N283" s="20" t="s">
        <v>935</v>
      </c>
      <c r="O283" s="20" t="s">
        <v>67</v>
      </c>
      <c r="P283" s="20" t="s">
        <v>164</v>
      </c>
      <c r="Q283" s="20" t="s">
        <v>936</v>
      </c>
      <c r="R283" s="22" t="n">
        <v>3021.58</v>
      </c>
      <c r="S283" s="20" t="n">
        <v>6</v>
      </c>
      <c r="T283" s="20" t="n">
        <v>0.4</v>
      </c>
      <c r="U283" s="22" t="n">
        <v>-455.86</v>
      </c>
      <c r="V283" s="23" t="n">
        <f aca="false">IF(ISNUMBER(C283),YEAR(C283),"")</f>
        <v>2015</v>
      </c>
      <c r="W283" s="23" t="n">
        <f aca="false">IF(ISNUMBER(C283),MONTH(C283),"")</f>
        <v>7</v>
      </c>
      <c r="X283" s="23" t="str">
        <f aca="false">IF(T283="","",IF(T283=0,"No discount",IF(T283&lt;=0.2,"Low (1-20%)",IF(T283&lt;=0.4,"Medium (21-40%)","High (&gt;40%)"))))</f>
        <v>Medium (21-40%)</v>
      </c>
      <c r="Y283" s="23" t="n">
        <f aca="false">IF(AND(ISNUMBER(C283),ISNUMBER(D283)),D283-C283,"")</f>
        <v>7</v>
      </c>
      <c r="Z283" s="23" t="n">
        <f aca="false">IF(B283="","",IF(MATCH(B283,$B$2:$B$12000,0)=ROW()-1,1,0))</f>
        <v>1</v>
      </c>
    </row>
    <row r="284" customFormat="false" ht="15" hidden="false" customHeight="false" outlineLevel="0" collapsed="false">
      <c r="A284" s="20" t="n">
        <v>283</v>
      </c>
      <c r="B284" s="20" t="s">
        <v>937</v>
      </c>
      <c r="C284" s="21" t="n">
        <v>42207</v>
      </c>
      <c r="D284" s="21" t="n">
        <v>42211</v>
      </c>
      <c r="E284" s="20" t="s">
        <v>58</v>
      </c>
      <c r="F284" s="20" t="s">
        <v>181</v>
      </c>
      <c r="G284" s="20" t="s">
        <v>182</v>
      </c>
      <c r="H284" s="20" t="s">
        <v>61</v>
      </c>
      <c r="I284" s="20" t="s">
        <v>62</v>
      </c>
      <c r="J284" s="20" t="s">
        <v>63</v>
      </c>
      <c r="K284" s="20" t="s">
        <v>225</v>
      </c>
      <c r="L284" s="20" t="n">
        <v>35073</v>
      </c>
      <c r="M284" s="20" t="s">
        <v>65</v>
      </c>
      <c r="N284" s="20" t="s">
        <v>938</v>
      </c>
      <c r="O284" s="20" t="s">
        <v>76</v>
      </c>
      <c r="P284" s="20" t="s">
        <v>88</v>
      </c>
      <c r="Q284" s="20" t="s">
        <v>939</v>
      </c>
      <c r="R284" s="22" t="n">
        <v>1456.78</v>
      </c>
      <c r="S284" s="20" t="n">
        <v>4</v>
      </c>
      <c r="T284" s="20" t="n">
        <v>0.1</v>
      </c>
      <c r="U284" s="22" t="n">
        <v>141.51</v>
      </c>
      <c r="V284" s="23" t="n">
        <f aca="false">IF(ISNUMBER(C284),YEAR(C284),"")</f>
        <v>2015</v>
      </c>
      <c r="W284" s="23" t="n">
        <f aca="false">IF(ISNUMBER(C284),MONTH(C284),"")</f>
        <v>7</v>
      </c>
      <c r="X284" s="23" t="str">
        <f aca="false">IF(T284="","",IF(T284=0,"No discount",IF(T284&lt;=0.2,"Low (1-20%)",IF(T284&lt;=0.4,"Medium (21-40%)","High (&gt;40%)"))))</f>
        <v>Low (1-20%)</v>
      </c>
      <c r="Y284" s="23" t="n">
        <f aca="false">IF(AND(ISNUMBER(C284),ISNUMBER(D284)),D284-C284,"")</f>
        <v>4</v>
      </c>
      <c r="Z284" s="23" t="n">
        <f aca="false">IF(B284="","",IF(MATCH(B284,$B$2:$B$12000,0)=ROW()-1,1,0))</f>
        <v>1</v>
      </c>
    </row>
    <row r="285" customFormat="false" ht="15" hidden="false" customHeight="false" outlineLevel="0" collapsed="false">
      <c r="A285" s="20" t="n">
        <v>284</v>
      </c>
      <c r="B285" s="20" t="s">
        <v>940</v>
      </c>
      <c r="C285" s="21" t="n">
        <v>42211</v>
      </c>
      <c r="D285" s="21" t="n">
        <v>42216</v>
      </c>
      <c r="E285" s="20" t="s">
        <v>58</v>
      </c>
      <c r="F285" s="20" t="s">
        <v>463</v>
      </c>
      <c r="G285" s="20" t="s">
        <v>464</v>
      </c>
      <c r="H285" s="20" t="s">
        <v>162</v>
      </c>
      <c r="I285" s="20" t="s">
        <v>62</v>
      </c>
      <c r="J285" s="20" t="s">
        <v>63</v>
      </c>
      <c r="K285" s="20" t="s">
        <v>445</v>
      </c>
      <c r="L285" s="20" t="n">
        <v>24142</v>
      </c>
      <c r="M285" s="20" t="s">
        <v>153</v>
      </c>
      <c r="N285" s="20" t="s">
        <v>941</v>
      </c>
      <c r="O285" s="20" t="s">
        <v>114</v>
      </c>
      <c r="P285" s="20" t="s">
        <v>167</v>
      </c>
      <c r="Q285" s="20" t="s">
        <v>942</v>
      </c>
      <c r="R285" s="22" t="n">
        <v>1464.43</v>
      </c>
      <c r="S285" s="20" t="n">
        <v>7</v>
      </c>
      <c r="T285" s="20" t="n">
        <v>0</v>
      </c>
      <c r="U285" s="22" t="n">
        <v>-148</v>
      </c>
      <c r="V285" s="23" t="n">
        <f aca="false">IF(ISNUMBER(C285),YEAR(C285),"")</f>
        <v>2015</v>
      </c>
      <c r="W285" s="23" t="n">
        <f aca="false">IF(ISNUMBER(C285),MONTH(C285),"")</f>
        <v>7</v>
      </c>
      <c r="X285" s="23" t="str">
        <f aca="false">IF(T285="","",IF(T285=0,"No discount",IF(T285&lt;=0.2,"Low (1-20%)",IF(T285&lt;=0.4,"Medium (21-40%)","High (&gt;40%)"))))</f>
        <v>No discount</v>
      </c>
      <c r="Y285" s="23" t="n">
        <f aca="false">IF(AND(ISNUMBER(C285),ISNUMBER(D285)),D285-C285,"")</f>
        <v>5</v>
      </c>
      <c r="Z285" s="23" t="n">
        <f aca="false">IF(B285="","",IF(MATCH(B285,$B$2:$B$12000,0)=ROW()-1,1,0))</f>
        <v>1</v>
      </c>
    </row>
    <row r="286" customFormat="false" ht="15" hidden="false" customHeight="false" outlineLevel="0" collapsed="false">
      <c r="A286" s="20" t="n">
        <v>285</v>
      </c>
      <c r="B286" s="20" t="s">
        <v>943</v>
      </c>
      <c r="C286" s="21" t="n">
        <v>42226</v>
      </c>
      <c r="D286" s="21" t="n">
        <v>42231</v>
      </c>
      <c r="E286" s="20" t="s">
        <v>104</v>
      </c>
      <c r="F286" s="20" t="s">
        <v>604</v>
      </c>
      <c r="G286" s="20" t="s">
        <v>605</v>
      </c>
      <c r="H286" s="20" t="s">
        <v>85</v>
      </c>
      <c r="I286" s="20" t="s">
        <v>62</v>
      </c>
      <c r="J286" s="20" t="s">
        <v>63</v>
      </c>
      <c r="K286" s="20" t="s">
        <v>86</v>
      </c>
      <c r="L286" s="20" t="n">
        <v>37717</v>
      </c>
      <c r="M286" s="20" t="s">
        <v>65</v>
      </c>
      <c r="N286" s="20" t="s">
        <v>944</v>
      </c>
      <c r="O286" s="20" t="s">
        <v>76</v>
      </c>
      <c r="P286" s="20" t="s">
        <v>178</v>
      </c>
      <c r="Q286" s="20" t="s">
        <v>945</v>
      </c>
      <c r="R286" s="22" t="n">
        <v>95.23</v>
      </c>
      <c r="S286" s="20" t="n">
        <v>6</v>
      </c>
      <c r="T286" s="20" t="n">
        <v>0</v>
      </c>
      <c r="U286" s="22" t="n">
        <v>-0.54</v>
      </c>
      <c r="V286" s="23" t="n">
        <f aca="false">IF(ISNUMBER(C286),YEAR(C286),"")</f>
        <v>2015</v>
      </c>
      <c r="W286" s="23" t="n">
        <f aca="false">IF(ISNUMBER(C286),MONTH(C286),"")</f>
        <v>8</v>
      </c>
      <c r="X286" s="23" t="str">
        <f aca="false">IF(T286="","",IF(T286=0,"No discount",IF(T286&lt;=0.2,"Low (1-20%)",IF(T286&lt;=0.4,"Medium (21-40%)","High (&gt;40%)"))))</f>
        <v>No discount</v>
      </c>
      <c r="Y286" s="23" t="n">
        <f aca="false">IF(AND(ISNUMBER(C286),ISNUMBER(D286)),D286-C286,"")</f>
        <v>5</v>
      </c>
      <c r="Z286" s="23" t="n">
        <f aca="false">IF(B286="","",IF(MATCH(B286,$B$2:$B$12000,0)=ROW()-1,1,0))</f>
        <v>1</v>
      </c>
    </row>
    <row r="287" customFormat="false" ht="15" hidden="false" customHeight="false" outlineLevel="0" collapsed="false">
      <c r="A287" s="20" t="n">
        <v>286</v>
      </c>
      <c r="B287" s="20" t="s">
        <v>943</v>
      </c>
      <c r="C287" s="21" t="n">
        <v>42226</v>
      </c>
      <c r="D287" s="21" t="n">
        <v>42231</v>
      </c>
      <c r="E287" s="20" t="s">
        <v>104</v>
      </c>
      <c r="F287" s="20" t="s">
        <v>604</v>
      </c>
      <c r="G287" s="20" t="s">
        <v>605</v>
      </c>
      <c r="H287" s="20" t="s">
        <v>85</v>
      </c>
      <c r="I287" s="20" t="s">
        <v>62</v>
      </c>
      <c r="J287" s="20" t="s">
        <v>63</v>
      </c>
      <c r="K287" s="20" t="s">
        <v>86</v>
      </c>
      <c r="L287" s="20" t="n">
        <v>27200</v>
      </c>
      <c r="M287" s="20" t="s">
        <v>65</v>
      </c>
      <c r="N287" s="20" t="s">
        <v>946</v>
      </c>
      <c r="O287" s="20" t="s">
        <v>114</v>
      </c>
      <c r="P287" s="20" t="s">
        <v>115</v>
      </c>
      <c r="Q287" s="20" t="s">
        <v>947</v>
      </c>
      <c r="R287" s="22" t="n">
        <v>2509.94</v>
      </c>
      <c r="S287" s="20" t="n">
        <v>4</v>
      </c>
      <c r="T287" s="20" t="n">
        <v>0.1</v>
      </c>
      <c r="U287" s="22" t="n">
        <v>12.86</v>
      </c>
      <c r="V287" s="23" t="n">
        <f aca="false">IF(ISNUMBER(C287),YEAR(C287),"")</f>
        <v>2015</v>
      </c>
      <c r="W287" s="23" t="n">
        <f aca="false">IF(ISNUMBER(C287),MONTH(C287),"")</f>
        <v>8</v>
      </c>
      <c r="X287" s="23" t="str">
        <f aca="false">IF(T287="","",IF(T287=0,"No discount",IF(T287&lt;=0.2,"Low (1-20%)",IF(T287&lt;=0.4,"Medium (21-40%)","High (&gt;40%)"))))</f>
        <v>Low (1-20%)</v>
      </c>
      <c r="Y287" s="23" t="n">
        <f aca="false">IF(AND(ISNUMBER(C287),ISNUMBER(D287)),D287-C287,"")</f>
        <v>5</v>
      </c>
      <c r="Z287" s="23" t="n">
        <f aca="false">IF(B287="","",IF(MATCH(B287,$B$2:$B$12000,0)=ROW()-1,1,0))</f>
        <v>0</v>
      </c>
    </row>
    <row r="288" customFormat="false" ht="15" hidden="false" customHeight="false" outlineLevel="0" collapsed="false">
      <c r="A288" s="20" t="n">
        <v>287</v>
      </c>
      <c r="B288" s="20" t="s">
        <v>948</v>
      </c>
      <c r="C288" s="21" t="n">
        <v>42227</v>
      </c>
      <c r="D288" s="21" t="n">
        <v>42234</v>
      </c>
      <c r="E288" s="20" t="s">
        <v>104</v>
      </c>
      <c r="F288" s="20" t="s">
        <v>582</v>
      </c>
      <c r="G288" s="20" t="s">
        <v>583</v>
      </c>
      <c r="H288" s="20" t="s">
        <v>61</v>
      </c>
      <c r="I288" s="20" t="s">
        <v>62</v>
      </c>
      <c r="J288" s="20" t="s">
        <v>63</v>
      </c>
      <c r="K288" s="20" t="s">
        <v>246</v>
      </c>
      <c r="L288" s="20" t="n">
        <v>21683</v>
      </c>
      <c r="M288" s="20" t="s">
        <v>112</v>
      </c>
      <c r="N288" s="20" t="s">
        <v>949</v>
      </c>
      <c r="O288" s="20" t="s">
        <v>76</v>
      </c>
      <c r="P288" s="20" t="s">
        <v>185</v>
      </c>
      <c r="Q288" s="20" t="s">
        <v>950</v>
      </c>
      <c r="R288" s="22" t="n">
        <v>81.22</v>
      </c>
      <c r="S288" s="20" t="n">
        <v>7</v>
      </c>
      <c r="T288" s="20" t="n">
        <v>0.2</v>
      </c>
      <c r="U288" s="22" t="n">
        <v>12.19</v>
      </c>
      <c r="V288" s="23" t="n">
        <f aca="false">IF(ISNUMBER(C288),YEAR(C288),"")</f>
        <v>2015</v>
      </c>
      <c r="W288" s="23" t="n">
        <f aca="false">IF(ISNUMBER(C288),MONTH(C288),"")</f>
        <v>8</v>
      </c>
      <c r="X288" s="23" t="str">
        <f aca="false">IF(T288="","",IF(T288=0,"No discount",IF(T288&lt;=0.2,"Low (1-20%)",IF(T288&lt;=0.4,"Medium (21-40%)","High (&gt;40%)"))))</f>
        <v>Low (1-20%)</v>
      </c>
      <c r="Y288" s="23" t="n">
        <f aca="false">IF(AND(ISNUMBER(C288),ISNUMBER(D288)),D288-C288,"")</f>
        <v>7</v>
      </c>
      <c r="Z288" s="23" t="n">
        <f aca="false">IF(B288="","",IF(MATCH(B288,$B$2:$B$12000,0)=ROW()-1,1,0))</f>
        <v>1</v>
      </c>
    </row>
    <row r="289" customFormat="false" ht="15" hidden="false" customHeight="false" outlineLevel="0" collapsed="false">
      <c r="A289" s="20" t="n">
        <v>288</v>
      </c>
      <c r="B289" s="20" t="s">
        <v>951</v>
      </c>
      <c r="C289" s="21" t="n">
        <v>42227</v>
      </c>
      <c r="D289" s="21" t="n">
        <v>42229</v>
      </c>
      <c r="E289" s="20" t="s">
        <v>71</v>
      </c>
      <c r="F289" s="20" t="s">
        <v>160</v>
      </c>
      <c r="G289" s="20" t="s">
        <v>161</v>
      </c>
      <c r="H289" s="20" t="s">
        <v>162</v>
      </c>
      <c r="I289" s="20" t="s">
        <v>62</v>
      </c>
      <c r="J289" s="20" t="s">
        <v>63</v>
      </c>
      <c r="K289" s="20" t="s">
        <v>354</v>
      </c>
      <c r="L289" s="20" t="n">
        <v>76427</v>
      </c>
      <c r="M289" s="20" t="s">
        <v>153</v>
      </c>
      <c r="N289" s="20" t="s">
        <v>952</v>
      </c>
      <c r="O289" s="20" t="s">
        <v>114</v>
      </c>
      <c r="P289" s="20" t="s">
        <v>115</v>
      </c>
      <c r="Q289" s="20" t="s">
        <v>953</v>
      </c>
      <c r="R289" s="22" t="n">
        <v>1749</v>
      </c>
      <c r="S289" s="20" t="n">
        <v>8</v>
      </c>
      <c r="T289" s="20" t="n">
        <v>0</v>
      </c>
      <c r="U289" s="22" t="n">
        <v>316.49</v>
      </c>
      <c r="V289" s="23" t="n">
        <f aca="false">IF(ISNUMBER(C289),YEAR(C289),"")</f>
        <v>2015</v>
      </c>
      <c r="W289" s="23" t="n">
        <f aca="false">IF(ISNUMBER(C289),MONTH(C289),"")</f>
        <v>8</v>
      </c>
      <c r="X289" s="23" t="str">
        <f aca="false">IF(T289="","",IF(T289=0,"No discount",IF(T289&lt;=0.2,"Low (1-20%)",IF(T289&lt;=0.4,"Medium (21-40%)","High (&gt;40%)"))))</f>
        <v>No discount</v>
      </c>
      <c r="Y289" s="23" t="n">
        <f aca="false">IF(AND(ISNUMBER(C289),ISNUMBER(D289)),D289-C289,"")</f>
        <v>2</v>
      </c>
      <c r="Z289" s="23" t="n">
        <f aca="false">IF(B289="","",IF(MATCH(B289,$B$2:$B$12000,0)=ROW()-1,1,0))</f>
        <v>1</v>
      </c>
    </row>
    <row r="290" customFormat="false" ht="15" hidden="false" customHeight="false" outlineLevel="0" collapsed="false">
      <c r="A290" s="20" t="n">
        <v>289</v>
      </c>
      <c r="B290" s="20" t="s">
        <v>954</v>
      </c>
      <c r="C290" s="21" t="n">
        <v>42234</v>
      </c>
      <c r="D290" s="21" t="n">
        <v>42238</v>
      </c>
      <c r="E290" s="20" t="s">
        <v>104</v>
      </c>
      <c r="F290" s="20" t="s">
        <v>544</v>
      </c>
      <c r="G290" s="20" t="s">
        <v>545</v>
      </c>
      <c r="H290" s="20" t="s">
        <v>85</v>
      </c>
      <c r="I290" s="20" t="s">
        <v>62</v>
      </c>
      <c r="J290" s="20" t="s">
        <v>63</v>
      </c>
      <c r="K290" s="20" t="s">
        <v>215</v>
      </c>
      <c r="L290" s="20" t="n">
        <v>97625</v>
      </c>
      <c r="M290" s="20" t="s">
        <v>112</v>
      </c>
      <c r="N290" s="20" t="s">
        <v>955</v>
      </c>
      <c r="O290" s="20" t="s">
        <v>76</v>
      </c>
      <c r="P290" s="20" t="s">
        <v>77</v>
      </c>
      <c r="Q290" s="20" t="s">
        <v>172</v>
      </c>
      <c r="R290" s="22" t="n">
        <v>5.31</v>
      </c>
      <c r="S290" s="20" t="n">
        <v>2</v>
      </c>
      <c r="T290" s="20" t="n">
        <v>0.7</v>
      </c>
      <c r="U290" s="22" t="n">
        <v>-1.13</v>
      </c>
      <c r="V290" s="23" t="n">
        <f aca="false">IF(ISNUMBER(C290),YEAR(C290),"")</f>
        <v>2015</v>
      </c>
      <c r="W290" s="23" t="n">
        <f aca="false">IF(ISNUMBER(C290),MONTH(C290),"")</f>
        <v>8</v>
      </c>
      <c r="X290" s="23" t="str">
        <f aca="false">IF(T290="","",IF(T290=0,"No discount",IF(T290&lt;=0.2,"Low (1-20%)",IF(T290&lt;=0.4,"Medium (21-40%)","High (&gt;40%)"))))</f>
        <v>High (&gt;40%)</v>
      </c>
      <c r="Y290" s="23" t="n">
        <f aca="false">IF(AND(ISNUMBER(C290),ISNUMBER(D290)),D290-C290,"")</f>
        <v>4</v>
      </c>
      <c r="Z290" s="23" t="n">
        <f aca="false">IF(B290="","",IF(MATCH(B290,$B$2:$B$12000,0)=ROW()-1,1,0))</f>
        <v>1</v>
      </c>
    </row>
    <row r="291" customFormat="false" ht="15" hidden="false" customHeight="false" outlineLevel="0" collapsed="false">
      <c r="A291" s="20" t="n">
        <v>290</v>
      </c>
      <c r="B291" s="20" t="s">
        <v>956</v>
      </c>
      <c r="C291" s="21" t="n">
        <v>42236</v>
      </c>
      <c r="D291" s="21" t="n">
        <v>42243</v>
      </c>
      <c r="E291" s="20" t="s">
        <v>104</v>
      </c>
      <c r="F291" s="20" t="s">
        <v>957</v>
      </c>
      <c r="G291" s="20" t="s">
        <v>958</v>
      </c>
      <c r="H291" s="20" t="s">
        <v>61</v>
      </c>
      <c r="I291" s="20" t="s">
        <v>62</v>
      </c>
      <c r="J291" s="20" t="s">
        <v>63</v>
      </c>
      <c r="K291" s="20" t="s">
        <v>796</v>
      </c>
      <c r="L291" s="20" t="n">
        <v>91100</v>
      </c>
      <c r="M291" s="20" t="s">
        <v>153</v>
      </c>
      <c r="N291" s="20" t="s">
        <v>959</v>
      </c>
      <c r="O291" s="20" t="s">
        <v>76</v>
      </c>
      <c r="P291" s="20" t="s">
        <v>236</v>
      </c>
      <c r="Q291" s="20" t="s">
        <v>960</v>
      </c>
      <c r="R291" s="22" t="n">
        <v>138.65</v>
      </c>
      <c r="S291" s="20" t="n">
        <v>6</v>
      </c>
      <c r="T291" s="20" t="n">
        <v>0.4</v>
      </c>
      <c r="U291" s="22" t="n">
        <v>24.6</v>
      </c>
      <c r="V291" s="23" t="n">
        <f aca="false">IF(ISNUMBER(C291),YEAR(C291),"")</f>
        <v>2015</v>
      </c>
      <c r="W291" s="23" t="n">
        <f aca="false">IF(ISNUMBER(C291),MONTH(C291),"")</f>
        <v>8</v>
      </c>
      <c r="X291" s="23" t="str">
        <f aca="false">IF(T291="","",IF(T291=0,"No discount",IF(T291&lt;=0.2,"Low (1-20%)",IF(T291&lt;=0.4,"Medium (21-40%)","High (&gt;40%)"))))</f>
        <v>Medium (21-40%)</v>
      </c>
      <c r="Y291" s="23" t="n">
        <f aca="false">IF(AND(ISNUMBER(C291),ISNUMBER(D291)),D291-C291,"")</f>
        <v>7</v>
      </c>
      <c r="Z291" s="23" t="n">
        <f aca="false">IF(B291="","",IF(MATCH(B291,$B$2:$B$12000,0)=ROW()-1,1,0))</f>
        <v>1</v>
      </c>
    </row>
    <row r="292" customFormat="false" ht="15" hidden="false" customHeight="false" outlineLevel="0" collapsed="false">
      <c r="A292" s="20" t="n">
        <v>291</v>
      </c>
      <c r="B292" s="20" t="s">
        <v>956</v>
      </c>
      <c r="C292" s="21" t="n">
        <v>42236</v>
      </c>
      <c r="D292" s="21" t="n">
        <v>42243</v>
      </c>
      <c r="E292" s="20" t="s">
        <v>58</v>
      </c>
      <c r="F292" s="20" t="s">
        <v>957</v>
      </c>
      <c r="G292" s="20" t="s">
        <v>958</v>
      </c>
      <c r="H292" s="20" t="s">
        <v>61</v>
      </c>
      <c r="I292" s="20" t="s">
        <v>62</v>
      </c>
      <c r="J292" s="20" t="s">
        <v>63</v>
      </c>
      <c r="K292" s="20" t="s">
        <v>796</v>
      </c>
      <c r="L292" s="20" t="n">
        <v>18283</v>
      </c>
      <c r="M292" s="20" t="s">
        <v>153</v>
      </c>
      <c r="N292" s="20" t="s">
        <v>961</v>
      </c>
      <c r="O292" s="20" t="s">
        <v>76</v>
      </c>
      <c r="P292" s="20" t="s">
        <v>77</v>
      </c>
      <c r="Q292" s="20" t="s">
        <v>962</v>
      </c>
      <c r="R292" s="22" t="n">
        <v>35.28</v>
      </c>
      <c r="S292" s="20" t="n">
        <v>5</v>
      </c>
      <c r="T292" s="20" t="n">
        <v>0</v>
      </c>
      <c r="U292" s="22" t="n">
        <v>12.66</v>
      </c>
      <c r="V292" s="23" t="n">
        <f aca="false">IF(ISNUMBER(C292),YEAR(C292),"")</f>
        <v>2015</v>
      </c>
      <c r="W292" s="23" t="n">
        <f aca="false">IF(ISNUMBER(C292),MONTH(C292),"")</f>
        <v>8</v>
      </c>
      <c r="X292" s="23" t="str">
        <f aca="false">IF(T292="","",IF(T292=0,"No discount",IF(T292&lt;=0.2,"Low (1-20%)",IF(T292&lt;=0.4,"Medium (21-40%)","High (&gt;40%)"))))</f>
        <v>No discount</v>
      </c>
      <c r="Y292" s="23" t="n">
        <f aca="false">IF(AND(ISNUMBER(C292),ISNUMBER(D292)),D292-C292,"")</f>
        <v>7</v>
      </c>
      <c r="Z292" s="23" t="n">
        <f aca="false">IF(B292="","",IF(MATCH(B292,$B$2:$B$12000,0)=ROW()-1,1,0))</f>
        <v>0</v>
      </c>
    </row>
    <row r="293" customFormat="false" ht="15" hidden="false" customHeight="false" outlineLevel="0" collapsed="false">
      <c r="A293" s="20" t="n">
        <v>292</v>
      </c>
      <c r="B293" s="20" t="s">
        <v>963</v>
      </c>
      <c r="C293" s="21" t="n">
        <v>42252</v>
      </c>
      <c r="D293" s="21" t="n">
        <v>42255</v>
      </c>
      <c r="E293" s="20" t="s">
        <v>90</v>
      </c>
      <c r="F293" s="20" t="s">
        <v>964</v>
      </c>
      <c r="G293" s="20" t="s">
        <v>965</v>
      </c>
      <c r="H293" s="20" t="s">
        <v>85</v>
      </c>
      <c r="I293" s="20" t="s">
        <v>62</v>
      </c>
      <c r="J293" s="20" t="s">
        <v>63</v>
      </c>
      <c r="K293" s="20" t="s">
        <v>146</v>
      </c>
      <c r="L293" s="20" t="n">
        <v>22326</v>
      </c>
      <c r="M293" s="20" t="s">
        <v>65</v>
      </c>
      <c r="N293" s="20" t="s">
        <v>966</v>
      </c>
      <c r="O293" s="20" t="s">
        <v>76</v>
      </c>
      <c r="P293" s="20" t="s">
        <v>101</v>
      </c>
      <c r="Q293" s="20" t="s">
        <v>967</v>
      </c>
      <c r="R293" s="22" t="n">
        <v>29.76</v>
      </c>
      <c r="S293" s="20" t="n">
        <v>7</v>
      </c>
      <c r="T293" s="20" t="n">
        <v>0.4</v>
      </c>
      <c r="U293" s="22" t="n">
        <v>4.38</v>
      </c>
      <c r="V293" s="23" t="n">
        <f aca="false">IF(ISNUMBER(C293),YEAR(C293),"")</f>
        <v>2015</v>
      </c>
      <c r="W293" s="23" t="n">
        <f aca="false">IF(ISNUMBER(C293),MONTH(C293),"")</f>
        <v>9</v>
      </c>
      <c r="X293" s="23" t="str">
        <f aca="false">IF(T293="","",IF(T293=0,"No discount",IF(T293&lt;=0.2,"Low (1-20%)",IF(T293&lt;=0.4,"Medium (21-40%)","High (&gt;40%)"))))</f>
        <v>Medium (21-40%)</v>
      </c>
      <c r="Y293" s="23" t="n">
        <f aca="false">IF(AND(ISNUMBER(C293),ISNUMBER(D293)),D293-C293,"")</f>
        <v>3</v>
      </c>
      <c r="Z293" s="23" t="n">
        <f aca="false">IF(B293="","",IF(MATCH(B293,$B$2:$B$12000,0)=ROW()-1,1,0))</f>
        <v>1</v>
      </c>
    </row>
    <row r="294" customFormat="false" ht="15" hidden="false" customHeight="false" outlineLevel="0" collapsed="false">
      <c r="A294" s="20" t="n">
        <v>293</v>
      </c>
      <c r="B294" s="20" t="s">
        <v>968</v>
      </c>
      <c r="C294" s="21" t="n">
        <v>42256</v>
      </c>
      <c r="D294" s="21" t="n">
        <v>42258</v>
      </c>
      <c r="E294" s="20" t="s">
        <v>58</v>
      </c>
      <c r="F294" s="20" t="s">
        <v>258</v>
      </c>
      <c r="G294" s="20" t="s">
        <v>259</v>
      </c>
      <c r="H294" s="20" t="s">
        <v>85</v>
      </c>
      <c r="I294" s="20" t="s">
        <v>62</v>
      </c>
      <c r="J294" s="20" t="s">
        <v>63</v>
      </c>
      <c r="K294" s="20" t="s">
        <v>969</v>
      </c>
      <c r="L294" s="20" t="n">
        <v>32765</v>
      </c>
      <c r="M294" s="20" t="s">
        <v>112</v>
      </c>
      <c r="N294" s="20" t="s">
        <v>970</v>
      </c>
      <c r="O294" s="20" t="s">
        <v>76</v>
      </c>
      <c r="P294" s="20" t="s">
        <v>77</v>
      </c>
      <c r="Q294" s="20" t="s">
        <v>971</v>
      </c>
      <c r="R294" s="22" t="n">
        <v>300.12</v>
      </c>
      <c r="S294" s="20" t="n">
        <v>6</v>
      </c>
      <c r="T294" s="20" t="n">
        <v>0</v>
      </c>
      <c r="U294" s="22" t="n">
        <v>62.84</v>
      </c>
      <c r="V294" s="23" t="n">
        <f aca="false">IF(ISNUMBER(C294),YEAR(C294),"")</f>
        <v>2015</v>
      </c>
      <c r="W294" s="23" t="n">
        <f aca="false">IF(ISNUMBER(C294),MONTH(C294),"")</f>
        <v>9</v>
      </c>
      <c r="X294" s="23" t="str">
        <f aca="false">IF(T294="","",IF(T294=0,"No discount",IF(T294&lt;=0.2,"Low (1-20%)",IF(T294&lt;=0.4,"Medium (21-40%)","High (&gt;40%)"))))</f>
        <v>No discount</v>
      </c>
      <c r="Y294" s="23" t="n">
        <f aca="false">IF(AND(ISNUMBER(C294),ISNUMBER(D294)),D294-C294,"")</f>
        <v>2</v>
      </c>
      <c r="Z294" s="23" t="n">
        <f aca="false">IF(B294="","",IF(MATCH(B294,$B$2:$B$12000,0)=ROW()-1,1,0))</f>
        <v>1</v>
      </c>
    </row>
    <row r="295" customFormat="false" ht="15" hidden="false" customHeight="false" outlineLevel="0" collapsed="false">
      <c r="A295" s="20" t="n">
        <v>294</v>
      </c>
      <c r="B295" s="20" t="s">
        <v>968</v>
      </c>
      <c r="C295" s="21" t="n">
        <v>42256</v>
      </c>
      <c r="D295" s="21" t="n">
        <v>42258</v>
      </c>
      <c r="E295" s="20" t="s">
        <v>90</v>
      </c>
      <c r="F295" s="20" t="s">
        <v>258</v>
      </c>
      <c r="G295" s="20" t="s">
        <v>259</v>
      </c>
      <c r="H295" s="20" t="s">
        <v>85</v>
      </c>
      <c r="I295" s="20" t="s">
        <v>62</v>
      </c>
      <c r="J295" s="20" t="s">
        <v>63</v>
      </c>
      <c r="K295" s="20" t="s">
        <v>969</v>
      </c>
      <c r="L295" s="20" t="n">
        <v>82342</v>
      </c>
      <c r="M295" s="20" t="s">
        <v>112</v>
      </c>
      <c r="N295" s="20" t="s">
        <v>972</v>
      </c>
      <c r="O295" s="20" t="s">
        <v>76</v>
      </c>
      <c r="P295" s="20" t="s">
        <v>101</v>
      </c>
      <c r="Q295" s="20" t="s">
        <v>973</v>
      </c>
      <c r="R295" s="22" t="n">
        <v>216.48</v>
      </c>
      <c r="S295" s="20" t="n">
        <v>6</v>
      </c>
      <c r="T295" s="20" t="n">
        <v>0</v>
      </c>
      <c r="U295" s="22" t="n">
        <v>79.89</v>
      </c>
      <c r="V295" s="23" t="n">
        <f aca="false">IF(ISNUMBER(C295),YEAR(C295),"")</f>
        <v>2015</v>
      </c>
      <c r="W295" s="23" t="n">
        <f aca="false">IF(ISNUMBER(C295),MONTH(C295),"")</f>
        <v>9</v>
      </c>
      <c r="X295" s="23" t="str">
        <f aca="false">IF(T295="","",IF(T295=0,"No discount",IF(T295&lt;=0.2,"Low (1-20%)",IF(T295&lt;=0.4,"Medium (21-40%)","High (&gt;40%)"))))</f>
        <v>No discount</v>
      </c>
      <c r="Y295" s="23" t="n">
        <f aca="false">IF(AND(ISNUMBER(C295),ISNUMBER(D295)),D295-C295,"")</f>
        <v>2</v>
      </c>
      <c r="Z295" s="23" t="n">
        <f aca="false">IF(B295="","",IF(MATCH(B295,$B$2:$B$12000,0)=ROW()-1,1,0))</f>
        <v>0</v>
      </c>
    </row>
    <row r="296" customFormat="false" ht="15" hidden="false" customHeight="false" outlineLevel="0" collapsed="false">
      <c r="A296" s="20" t="n">
        <v>295</v>
      </c>
      <c r="B296" s="20" t="s">
        <v>974</v>
      </c>
      <c r="C296" s="21" t="n">
        <v>42256</v>
      </c>
      <c r="D296" s="21" t="n">
        <v>42262</v>
      </c>
      <c r="E296" s="20" t="s">
        <v>58</v>
      </c>
      <c r="F296" s="20" t="s">
        <v>333</v>
      </c>
      <c r="G296" s="20" t="s">
        <v>334</v>
      </c>
      <c r="H296" s="20" t="s">
        <v>85</v>
      </c>
      <c r="I296" s="20" t="s">
        <v>62</v>
      </c>
      <c r="J296" s="20" t="s">
        <v>63</v>
      </c>
      <c r="K296" s="20" t="s">
        <v>275</v>
      </c>
      <c r="L296" s="20" t="n">
        <v>26991</v>
      </c>
      <c r="M296" s="20" t="s">
        <v>153</v>
      </c>
      <c r="N296" s="20" t="s">
        <v>975</v>
      </c>
      <c r="O296" s="20" t="s">
        <v>67</v>
      </c>
      <c r="P296" s="20" t="s">
        <v>106</v>
      </c>
      <c r="Q296" s="20" t="s">
        <v>976</v>
      </c>
      <c r="R296" s="22" t="n">
        <v>2301.29</v>
      </c>
      <c r="S296" s="20" t="n">
        <v>4</v>
      </c>
      <c r="T296" s="20" t="n">
        <v>0</v>
      </c>
      <c r="U296" s="22" t="n">
        <v>314.19</v>
      </c>
      <c r="V296" s="23" t="n">
        <f aca="false">IF(ISNUMBER(C296),YEAR(C296),"")</f>
        <v>2015</v>
      </c>
      <c r="W296" s="23" t="n">
        <f aca="false">IF(ISNUMBER(C296),MONTH(C296),"")</f>
        <v>9</v>
      </c>
      <c r="X296" s="23" t="str">
        <f aca="false">IF(T296="","",IF(T296=0,"No discount",IF(T296&lt;=0.2,"Low (1-20%)",IF(T296&lt;=0.4,"Medium (21-40%)","High (&gt;40%)"))))</f>
        <v>No discount</v>
      </c>
      <c r="Y296" s="23" t="n">
        <f aca="false">IF(AND(ISNUMBER(C296),ISNUMBER(D296)),D296-C296,"")</f>
        <v>6</v>
      </c>
      <c r="Z296" s="23" t="n">
        <f aca="false">IF(B296="","",IF(MATCH(B296,$B$2:$B$12000,0)=ROW()-1,1,0))</f>
        <v>1</v>
      </c>
    </row>
    <row r="297" customFormat="false" ht="15" hidden="false" customHeight="false" outlineLevel="0" collapsed="false">
      <c r="A297" s="20" t="n">
        <v>296</v>
      </c>
      <c r="B297" s="20" t="s">
        <v>974</v>
      </c>
      <c r="C297" s="21" t="n">
        <v>42256</v>
      </c>
      <c r="D297" s="21" t="n">
        <v>42262</v>
      </c>
      <c r="E297" s="20" t="s">
        <v>90</v>
      </c>
      <c r="F297" s="20" t="s">
        <v>333</v>
      </c>
      <c r="G297" s="20" t="s">
        <v>334</v>
      </c>
      <c r="H297" s="20" t="s">
        <v>85</v>
      </c>
      <c r="I297" s="20" t="s">
        <v>62</v>
      </c>
      <c r="J297" s="20" t="s">
        <v>63</v>
      </c>
      <c r="K297" s="20" t="s">
        <v>275</v>
      </c>
      <c r="L297" s="20" t="n">
        <v>29467</v>
      </c>
      <c r="M297" s="20" t="s">
        <v>153</v>
      </c>
      <c r="N297" s="20" t="s">
        <v>977</v>
      </c>
      <c r="O297" s="20" t="s">
        <v>114</v>
      </c>
      <c r="P297" s="20" t="s">
        <v>210</v>
      </c>
      <c r="Q297" s="20" t="s">
        <v>542</v>
      </c>
      <c r="R297" s="22" t="n">
        <v>152.27</v>
      </c>
      <c r="S297" s="20" t="n">
        <v>4</v>
      </c>
      <c r="T297" s="20" t="n">
        <v>0</v>
      </c>
      <c r="U297" s="22" t="n">
        <v>31.11</v>
      </c>
      <c r="V297" s="23" t="n">
        <f aca="false">IF(ISNUMBER(C297),YEAR(C297),"")</f>
        <v>2015</v>
      </c>
      <c r="W297" s="23" t="n">
        <f aca="false">IF(ISNUMBER(C297),MONTH(C297),"")</f>
        <v>9</v>
      </c>
      <c r="X297" s="23" t="str">
        <f aca="false">IF(T297="","",IF(T297=0,"No discount",IF(T297&lt;=0.2,"Low (1-20%)",IF(T297&lt;=0.4,"Medium (21-40%)","High (&gt;40%)"))))</f>
        <v>No discount</v>
      </c>
      <c r="Y297" s="23" t="n">
        <f aca="false">IF(AND(ISNUMBER(C297),ISNUMBER(D297)),D297-C297,"")</f>
        <v>6</v>
      </c>
      <c r="Z297" s="23" t="n">
        <f aca="false">IF(B297="","",IF(MATCH(B297,$B$2:$B$12000,0)=ROW()-1,1,0))</f>
        <v>0</v>
      </c>
    </row>
    <row r="298" customFormat="false" ht="15" hidden="false" customHeight="false" outlineLevel="0" collapsed="false">
      <c r="A298" s="20" t="n">
        <v>297</v>
      </c>
      <c r="B298" s="20" t="s">
        <v>978</v>
      </c>
      <c r="C298" s="21" t="n">
        <v>42260</v>
      </c>
      <c r="D298" s="21" t="n">
        <v>42266</v>
      </c>
      <c r="E298" s="20" t="s">
        <v>71</v>
      </c>
      <c r="F298" s="20" t="s">
        <v>339</v>
      </c>
      <c r="G298" s="20" t="s">
        <v>340</v>
      </c>
      <c r="H298" s="20" t="s">
        <v>61</v>
      </c>
      <c r="I298" s="20" t="s">
        <v>62</v>
      </c>
      <c r="J298" s="20" t="s">
        <v>63</v>
      </c>
      <c r="K298" s="20" t="s">
        <v>647</v>
      </c>
      <c r="L298" s="20" t="n">
        <v>43335</v>
      </c>
      <c r="M298" s="20" t="s">
        <v>97</v>
      </c>
      <c r="N298" s="20" t="s">
        <v>979</v>
      </c>
      <c r="O298" s="20" t="s">
        <v>76</v>
      </c>
      <c r="P298" s="20" t="s">
        <v>122</v>
      </c>
      <c r="Q298" s="20" t="s">
        <v>980</v>
      </c>
      <c r="R298" s="22" t="n">
        <v>351.34</v>
      </c>
      <c r="S298" s="20" t="n">
        <v>7</v>
      </c>
      <c r="T298" s="20" t="n">
        <v>0</v>
      </c>
      <c r="U298" s="22" t="n">
        <v>137.95</v>
      </c>
      <c r="V298" s="23" t="n">
        <f aca="false">IF(ISNUMBER(C298),YEAR(C298),"")</f>
        <v>2015</v>
      </c>
      <c r="W298" s="23" t="n">
        <f aca="false">IF(ISNUMBER(C298),MONTH(C298),"")</f>
        <v>9</v>
      </c>
      <c r="X298" s="23" t="str">
        <f aca="false">IF(T298="","",IF(T298=0,"No discount",IF(T298&lt;=0.2,"Low (1-20%)",IF(T298&lt;=0.4,"Medium (21-40%)","High (&gt;40%)"))))</f>
        <v>No discount</v>
      </c>
      <c r="Y298" s="23" t="n">
        <f aca="false">IF(AND(ISNUMBER(C298),ISNUMBER(D298)),D298-C298,"")</f>
        <v>6</v>
      </c>
      <c r="Z298" s="23" t="n">
        <f aca="false">IF(B298="","",IF(MATCH(B298,$B$2:$B$12000,0)=ROW()-1,1,0))</f>
        <v>1</v>
      </c>
    </row>
    <row r="299" customFormat="false" ht="15" hidden="false" customHeight="false" outlineLevel="0" collapsed="false">
      <c r="A299" s="20" t="n">
        <v>298</v>
      </c>
      <c r="B299" s="20" t="s">
        <v>981</v>
      </c>
      <c r="C299" s="21" t="n">
        <v>42260</v>
      </c>
      <c r="D299" s="21" t="n">
        <v>42267</v>
      </c>
      <c r="E299" s="20" t="s">
        <v>104</v>
      </c>
      <c r="F299" s="20" t="s">
        <v>160</v>
      </c>
      <c r="G299" s="20" t="s">
        <v>161</v>
      </c>
      <c r="H299" s="20" t="s">
        <v>162</v>
      </c>
      <c r="I299" s="20" t="s">
        <v>62</v>
      </c>
      <c r="J299" s="20" t="s">
        <v>63</v>
      </c>
      <c r="K299" s="20" t="s">
        <v>445</v>
      </c>
      <c r="L299" s="20" t="n">
        <v>61696</v>
      </c>
      <c r="M299" s="20" t="s">
        <v>153</v>
      </c>
      <c r="N299" s="20" t="s">
        <v>982</v>
      </c>
      <c r="O299" s="20" t="s">
        <v>76</v>
      </c>
      <c r="P299" s="20" t="s">
        <v>185</v>
      </c>
      <c r="Q299" s="20" t="s">
        <v>983</v>
      </c>
      <c r="R299" s="22" t="n">
        <v>60.71</v>
      </c>
      <c r="S299" s="20" t="n">
        <v>6</v>
      </c>
      <c r="T299" s="20" t="n">
        <v>0.1</v>
      </c>
      <c r="U299" s="22" t="n">
        <v>11.56</v>
      </c>
      <c r="V299" s="23" t="n">
        <f aca="false">IF(ISNUMBER(C299),YEAR(C299),"")</f>
        <v>2015</v>
      </c>
      <c r="W299" s="23" t="n">
        <f aca="false">IF(ISNUMBER(C299),MONTH(C299),"")</f>
        <v>9</v>
      </c>
      <c r="X299" s="23" t="str">
        <f aca="false">IF(T299="","",IF(T299=0,"No discount",IF(T299&lt;=0.2,"Low (1-20%)",IF(T299&lt;=0.4,"Medium (21-40%)","High (&gt;40%)"))))</f>
        <v>Low (1-20%)</v>
      </c>
      <c r="Y299" s="23" t="n">
        <f aca="false">IF(AND(ISNUMBER(C299),ISNUMBER(D299)),D299-C299,"")</f>
        <v>7</v>
      </c>
      <c r="Z299" s="23" t="n">
        <f aca="false">IF(B299="","",IF(MATCH(B299,$B$2:$B$12000,0)=ROW()-1,1,0))</f>
        <v>1</v>
      </c>
    </row>
    <row r="300" customFormat="false" ht="15" hidden="false" customHeight="false" outlineLevel="0" collapsed="false">
      <c r="A300" s="20" t="n">
        <v>299</v>
      </c>
      <c r="B300" s="20" t="s">
        <v>981</v>
      </c>
      <c r="C300" s="21" t="n">
        <v>42260</v>
      </c>
      <c r="D300" s="21" t="n">
        <v>42267</v>
      </c>
      <c r="E300" s="20" t="s">
        <v>58</v>
      </c>
      <c r="F300" s="20" t="s">
        <v>160</v>
      </c>
      <c r="G300" s="20" t="s">
        <v>161</v>
      </c>
      <c r="H300" s="20" t="s">
        <v>162</v>
      </c>
      <c r="I300" s="20" t="s">
        <v>62</v>
      </c>
      <c r="J300" s="20" t="s">
        <v>63</v>
      </c>
      <c r="K300" s="20" t="s">
        <v>445</v>
      </c>
      <c r="L300" s="20" t="n">
        <v>94437</v>
      </c>
      <c r="M300" s="20" t="s">
        <v>153</v>
      </c>
      <c r="N300" s="20" t="s">
        <v>984</v>
      </c>
      <c r="O300" s="20" t="s">
        <v>114</v>
      </c>
      <c r="P300" s="20" t="s">
        <v>115</v>
      </c>
      <c r="Q300" s="20" t="s">
        <v>985</v>
      </c>
      <c r="R300" s="22" t="n">
        <v>103.9</v>
      </c>
      <c r="S300" s="20" t="n">
        <v>1</v>
      </c>
      <c r="T300" s="20" t="n">
        <v>0.7</v>
      </c>
      <c r="U300" s="22" t="n">
        <v>-40.38</v>
      </c>
      <c r="V300" s="23" t="n">
        <f aca="false">IF(ISNUMBER(C300),YEAR(C300),"")</f>
        <v>2015</v>
      </c>
      <c r="W300" s="23" t="n">
        <f aca="false">IF(ISNUMBER(C300),MONTH(C300),"")</f>
        <v>9</v>
      </c>
      <c r="X300" s="23" t="str">
        <f aca="false">IF(T300="","",IF(T300=0,"No discount",IF(T300&lt;=0.2,"Low (1-20%)",IF(T300&lt;=0.4,"Medium (21-40%)","High (&gt;40%)"))))</f>
        <v>High (&gt;40%)</v>
      </c>
      <c r="Y300" s="23" t="n">
        <f aca="false">IF(AND(ISNUMBER(C300),ISNUMBER(D300)),D300-C300,"")</f>
        <v>7</v>
      </c>
      <c r="Z300" s="23" t="n">
        <f aca="false">IF(B300="","",IF(MATCH(B300,$B$2:$B$12000,0)=ROW()-1,1,0))</f>
        <v>0</v>
      </c>
    </row>
    <row r="301" customFormat="false" ht="15" hidden="false" customHeight="false" outlineLevel="0" collapsed="false">
      <c r="A301" s="20" t="n">
        <v>300</v>
      </c>
      <c r="B301" s="20" t="s">
        <v>981</v>
      </c>
      <c r="C301" s="21" t="n">
        <v>42260</v>
      </c>
      <c r="D301" s="21" t="n">
        <v>42267</v>
      </c>
      <c r="E301" s="20" t="s">
        <v>104</v>
      </c>
      <c r="F301" s="20" t="s">
        <v>160</v>
      </c>
      <c r="G301" s="20" t="s">
        <v>161</v>
      </c>
      <c r="H301" s="20" t="s">
        <v>162</v>
      </c>
      <c r="I301" s="20" t="s">
        <v>62</v>
      </c>
      <c r="J301" s="20" t="s">
        <v>63</v>
      </c>
      <c r="K301" s="20" t="s">
        <v>445</v>
      </c>
      <c r="L301" s="20" t="n">
        <v>59895</v>
      </c>
      <c r="M301" s="20" t="s">
        <v>153</v>
      </c>
      <c r="N301" s="20" t="s">
        <v>986</v>
      </c>
      <c r="O301" s="20" t="s">
        <v>114</v>
      </c>
      <c r="P301" s="20" t="s">
        <v>115</v>
      </c>
      <c r="Q301" s="20" t="s">
        <v>730</v>
      </c>
      <c r="R301" s="22" t="n">
        <v>1812.28</v>
      </c>
      <c r="S301" s="20" t="n">
        <v>5</v>
      </c>
      <c r="T301" s="20" t="n">
        <v>0.1</v>
      </c>
      <c r="U301" s="22" t="n">
        <v>-70.17</v>
      </c>
      <c r="V301" s="23" t="n">
        <f aca="false">IF(ISNUMBER(C301),YEAR(C301),"")</f>
        <v>2015</v>
      </c>
      <c r="W301" s="23" t="n">
        <f aca="false">IF(ISNUMBER(C301),MONTH(C301),"")</f>
        <v>9</v>
      </c>
      <c r="X301" s="23" t="str">
        <f aca="false">IF(T301="","",IF(T301=0,"No discount",IF(T301&lt;=0.2,"Low (1-20%)",IF(T301&lt;=0.4,"Medium (21-40%)","High (&gt;40%)"))))</f>
        <v>Low (1-20%)</v>
      </c>
      <c r="Y301" s="23" t="n">
        <f aca="false">IF(AND(ISNUMBER(C301),ISNUMBER(D301)),D301-C301,"")</f>
        <v>7</v>
      </c>
      <c r="Z301" s="23" t="n">
        <f aca="false">IF(B301="","",IF(MATCH(B301,$B$2:$B$12000,0)=ROW()-1,1,0))</f>
        <v>0</v>
      </c>
    </row>
    <row r="302" customFormat="false" ht="15" hidden="false" customHeight="false" outlineLevel="0" collapsed="false">
      <c r="A302" s="20" t="n">
        <v>301</v>
      </c>
      <c r="B302" s="20" t="s">
        <v>987</v>
      </c>
      <c r="C302" s="21" t="n">
        <v>42264</v>
      </c>
      <c r="D302" s="21" t="n">
        <v>42269</v>
      </c>
      <c r="E302" s="20" t="s">
        <v>71</v>
      </c>
      <c r="F302" s="20" t="s">
        <v>391</v>
      </c>
      <c r="G302" s="20" t="s">
        <v>392</v>
      </c>
      <c r="H302" s="20" t="s">
        <v>61</v>
      </c>
      <c r="I302" s="20" t="s">
        <v>62</v>
      </c>
      <c r="J302" s="20" t="s">
        <v>63</v>
      </c>
      <c r="K302" s="20" t="s">
        <v>346</v>
      </c>
      <c r="L302" s="20" t="n">
        <v>81797</v>
      </c>
      <c r="M302" s="20" t="s">
        <v>65</v>
      </c>
      <c r="N302" s="20" t="s">
        <v>988</v>
      </c>
      <c r="O302" s="20" t="s">
        <v>76</v>
      </c>
      <c r="P302" s="20" t="s">
        <v>88</v>
      </c>
      <c r="Q302" s="20" t="s">
        <v>989</v>
      </c>
      <c r="R302" s="22" t="n">
        <v>2571.01</v>
      </c>
      <c r="S302" s="20" t="n">
        <v>6</v>
      </c>
      <c r="T302" s="20" t="n">
        <v>0</v>
      </c>
      <c r="U302" s="22" t="n">
        <v>436.59</v>
      </c>
      <c r="V302" s="23" t="n">
        <f aca="false">IF(ISNUMBER(C302),YEAR(C302),"")</f>
        <v>2015</v>
      </c>
      <c r="W302" s="23" t="n">
        <f aca="false">IF(ISNUMBER(C302),MONTH(C302),"")</f>
        <v>9</v>
      </c>
      <c r="X302" s="23" t="str">
        <f aca="false">IF(T302="","",IF(T302=0,"No discount",IF(T302&lt;=0.2,"Low (1-20%)",IF(T302&lt;=0.4,"Medium (21-40%)","High (&gt;40%)"))))</f>
        <v>No discount</v>
      </c>
      <c r="Y302" s="23" t="n">
        <f aca="false">IF(AND(ISNUMBER(C302),ISNUMBER(D302)),D302-C302,"")</f>
        <v>5</v>
      </c>
      <c r="Z302" s="23" t="n">
        <f aca="false">IF(B302="","",IF(MATCH(B302,$B$2:$B$12000,0)=ROW()-1,1,0))</f>
        <v>1</v>
      </c>
    </row>
    <row r="303" customFormat="false" ht="15" hidden="false" customHeight="false" outlineLevel="0" collapsed="false">
      <c r="A303" s="20" t="n">
        <v>302</v>
      </c>
      <c r="B303" s="20" t="s">
        <v>990</v>
      </c>
      <c r="C303" s="21" t="n">
        <v>42268</v>
      </c>
      <c r="D303" s="21" t="n">
        <v>42275</v>
      </c>
      <c r="E303" s="20" t="s">
        <v>71</v>
      </c>
      <c r="F303" s="20" t="s">
        <v>352</v>
      </c>
      <c r="G303" s="20" t="s">
        <v>353</v>
      </c>
      <c r="H303" s="20" t="s">
        <v>85</v>
      </c>
      <c r="I303" s="20" t="s">
        <v>62</v>
      </c>
      <c r="J303" s="20" t="s">
        <v>63</v>
      </c>
      <c r="K303" s="20" t="s">
        <v>246</v>
      </c>
      <c r="L303" s="20" t="n">
        <v>25512</v>
      </c>
      <c r="M303" s="20" t="s">
        <v>112</v>
      </c>
      <c r="N303" s="20" t="s">
        <v>991</v>
      </c>
      <c r="O303" s="20" t="s">
        <v>76</v>
      </c>
      <c r="P303" s="20" t="s">
        <v>122</v>
      </c>
      <c r="Q303" s="20" t="s">
        <v>992</v>
      </c>
      <c r="R303" s="22" t="n">
        <v>89.83</v>
      </c>
      <c r="S303" s="20" t="n">
        <v>6</v>
      </c>
      <c r="T303" s="20" t="n">
        <v>0.2</v>
      </c>
      <c r="U303" s="22" t="n">
        <v>18.97</v>
      </c>
      <c r="V303" s="23" t="n">
        <f aca="false">IF(ISNUMBER(C303),YEAR(C303),"")</f>
        <v>2015</v>
      </c>
      <c r="W303" s="23" t="n">
        <f aca="false">IF(ISNUMBER(C303),MONTH(C303),"")</f>
        <v>9</v>
      </c>
      <c r="X303" s="23" t="str">
        <f aca="false">IF(T303="","",IF(T303=0,"No discount",IF(T303&lt;=0.2,"Low (1-20%)",IF(T303&lt;=0.4,"Medium (21-40%)","High (&gt;40%)"))))</f>
        <v>Low (1-20%)</v>
      </c>
      <c r="Y303" s="23" t="n">
        <f aca="false">IF(AND(ISNUMBER(C303),ISNUMBER(D303)),D303-C303,"")</f>
        <v>7</v>
      </c>
      <c r="Z303" s="23" t="n">
        <f aca="false">IF(B303="","",IF(MATCH(B303,$B$2:$B$12000,0)=ROW()-1,1,0))</f>
        <v>1</v>
      </c>
    </row>
    <row r="304" customFormat="false" ht="15" hidden="false" customHeight="false" outlineLevel="0" collapsed="false">
      <c r="A304" s="20" t="n">
        <v>303</v>
      </c>
      <c r="B304" s="20" t="s">
        <v>990</v>
      </c>
      <c r="C304" s="21" t="n">
        <v>42268</v>
      </c>
      <c r="D304" s="21" t="n">
        <v>42275</v>
      </c>
      <c r="E304" s="20" t="s">
        <v>58</v>
      </c>
      <c r="F304" s="20" t="s">
        <v>352</v>
      </c>
      <c r="G304" s="20" t="s">
        <v>353</v>
      </c>
      <c r="H304" s="20" t="s">
        <v>85</v>
      </c>
      <c r="I304" s="20" t="s">
        <v>62</v>
      </c>
      <c r="J304" s="20" t="s">
        <v>63</v>
      </c>
      <c r="K304" s="20" t="s">
        <v>246</v>
      </c>
      <c r="L304" s="20" t="n">
        <v>70564</v>
      </c>
      <c r="M304" s="20" t="s">
        <v>112</v>
      </c>
      <c r="N304" s="20" t="s">
        <v>993</v>
      </c>
      <c r="O304" s="20" t="s">
        <v>67</v>
      </c>
      <c r="P304" s="20" t="s">
        <v>157</v>
      </c>
      <c r="Q304" s="20" t="s">
        <v>994</v>
      </c>
      <c r="R304" s="22" t="n">
        <v>86.26</v>
      </c>
      <c r="S304" s="20" t="n">
        <v>4</v>
      </c>
      <c r="T304" s="20" t="n">
        <v>0.2</v>
      </c>
      <c r="U304" s="22" t="n">
        <v>17.67</v>
      </c>
      <c r="V304" s="23" t="n">
        <f aca="false">IF(ISNUMBER(C304),YEAR(C304),"")</f>
        <v>2015</v>
      </c>
      <c r="W304" s="23" t="n">
        <f aca="false">IF(ISNUMBER(C304),MONTH(C304),"")</f>
        <v>9</v>
      </c>
      <c r="X304" s="23" t="str">
        <f aca="false">IF(T304="","",IF(T304=0,"No discount",IF(T304&lt;=0.2,"Low (1-20%)",IF(T304&lt;=0.4,"Medium (21-40%)","High (&gt;40%)"))))</f>
        <v>Low (1-20%)</v>
      </c>
      <c r="Y304" s="23" t="n">
        <f aca="false">IF(AND(ISNUMBER(C304),ISNUMBER(D304)),D304-C304,"")</f>
        <v>7</v>
      </c>
      <c r="Z304" s="23" t="n">
        <f aca="false">IF(B304="","",IF(MATCH(B304,$B$2:$B$12000,0)=ROW()-1,1,0))</f>
        <v>0</v>
      </c>
    </row>
    <row r="305" customFormat="false" ht="15" hidden="false" customHeight="false" outlineLevel="0" collapsed="false">
      <c r="A305" s="20" t="n">
        <v>304</v>
      </c>
      <c r="B305" s="20" t="s">
        <v>990</v>
      </c>
      <c r="C305" s="21" t="n">
        <v>42268</v>
      </c>
      <c r="D305" s="21" t="n">
        <v>42275</v>
      </c>
      <c r="E305" s="20" t="s">
        <v>90</v>
      </c>
      <c r="F305" s="20" t="s">
        <v>352</v>
      </c>
      <c r="G305" s="20" t="s">
        <v>353</v>
      </c>
      <c r="H305" s="20" t="s">
        <v>85</v>
      </c>
      <c r="I305" s="20" t="s">
        <v>62</v>
      </c>
      <c r="J305" s="20" t="s">
        <v>63</v>
      </c>
      <c r="K305" s="20" t="s">
        <v>246</v>
      </c>
      <c r="L305" s="20" t="n">
        <v>51749</v>
      </c>
      <c r="M305" s="20" t="s">
        <v>112</v>
      </c>
      <c r="N305" s="20" t="s">
        <v>995</v>
      </c>
      <c r="O305" s="20" t="s">
        <v>76</v>
      </c>
      <c r="P305" s="20" t="s">
        <v>236</v>
      </c>
      <c r="Q305" s="20" t="s">
        <v>996</v>
      </c>
      <c r="R305" s="22" t="n">
        <v>78.63</v>
      </c>
      <c r="S305" s="20" t="n">
        <v>5</v>
      </c>
      <c r="T305" s="20" t="n">
        <v>0.7</v>
      </c>
      <c r="U305" s="22" t="n">
        <v>-0.48</v>
      </c>
      <c r="V305" s="23" t="n">
        <f aca="false">IF(ISNUMBER(C305),YEAR(C305),"")</f>
        <v>2015</v>
      </c>
      <c r="W305" s="23" t="n">
        <f aca="false">IF(ISNUMBER(C305),MONTH(C305),"")</f>
        <v>9</v>
      </c>
      <c r="X305" s="23" t="str">
        <f aca="false">IF(T305="","",IF(T305=0,"No discount",IF(T305&lt;=0.2,"Low (1-20%)",IF(T305&lt;=0.4,"Medium (21-40%)","High (&gt;40%)"))))</f>
        <v>High (&gt;40%)</v>
      </c>
      <c r="Y305" s="23" t="n">
        <f aca="false">IF(AND(ISNUMBER(C305),ISNUMBER(D305)),D305-C305,"")</f>
        <v>7</v>
      </c>
      <c r="Z305" s="23" t="n">
        <f aca="false">IF(B305="","",IF(MATCH(B305,$B$2:$B$12000,0)=ROW()-1,1,0))</f>
        <v>0</v>
      </c>
    </row>
    <row r="306" customFormat="false" ht="15" hidden="false" customHeight="false" outlineLevel="0" collapsed="false">
      <c r="A306" s="20" t="n">
        <v>305</v>
      </c>
      <c r="B306" s="20" t="s">
        <v>997</v>
      </c>
      <c r="C306" s="21" t="n">
        <v>42268</v>
      </c>
      <c r="D306" s="21" t="n">
        <v>42274</v>
      </c>
      <c r="E306" s="20" t="s">
        <v>58</v>
      </c>
      <c r="F306" s="20" t="s">
        <v>144</v>
      </c>
      <c r="G306" s="20" t="s">
        <v>145</v>
      </c>
      <c r="H306" s="20" t="s">
        <v>85</v>
      </c>
      <c r="I306" s="20" t="s">
        <v>62</v>
      </c>
      <c r="J306" s="20" t="s">
        <v>63</v>
      </c>
      <c r="K306" s="20" t="s">
        <v>550</v>
      </c>
      <c r="L306" s="20" t="n">
        <v>37254</v>
      </c>
      <c r="M306" s="20" t="s">
        <v>97</v>
      </c>
      <c r="N306" s="20" t="s">
        <v>998</v>
      </c>
      <c r="O306" s="20" t="s">
        <v>67</v>
      </c>
      <c r="P306" s="20" t="s">
        <v>157</v>
      </c>
      <c r="Q306" s="20" t="s">
        <v>439</v>
      </c>
      <c r="R306" s="22" t="n">
        <v>163.9</v>
      </c>
      <c r="S306" s="20" t="n">
        <v>2</v>
      </c>
      <c r="T306" s="20" t="n">
        <v>0.3</v>
      </c>
      <c r="U306" s="22" t="n">
        <v>31.88</v>
      </c>
      <c r="V306" s="23" t="n">
        <f aca="false">IF(ISNUMBER(C306),YEAR(C306),"")</f>
        <v>2015</v>
      </c>
      <c r="W306" s="23" t="n">
        <f aca="false">IF(ISNUMBER(C306),MONTH(C306),"")</f>
        <v>9</v>
      </c>
      <c r="X306" s="23" t="str">
        <f aca="false">IF(T306="","",IF(T306=0,"No discount",IF(T306&lt;=0.2,"Low (1-20%)",IF(T306&lt;=0.4,"Medium (21-40%)","High (&gt;40%)"))))</f>
        <v>Medium (21-40%)</v>
      </c>
      <c r="Y306" s="23" t="n">
        <f aca="false">IF(AND(ISNUMBER(C306),ISNUMBER(D306)),D306-C306,"")</f>
        <v>6</v>
      </c>
      <c r="Z306" s="23" t="n">
        <f aca="false">IF(B306="","",IF(MATCH(B306,$B$2:$B$12000,0)=ROW()-1,1,0))</f>
        <v>1</v>
      </c>
    </row>
    <row r="307" customFormat="false" ht="15" hidden="false" customHeight="false" outlineLevel="0" collapsed="false">
      <c r="A307" s="20" t="n">
        <v>306</v>
      </c>
      <c r="B307" s="20" t="s">
        <v>997</v>
      </c>
      <c r="C307" s="21" t="n">
        <v>42268</v>
      </c>
      <c r="D307" s="21" t="n">
        <v>42274</v>
      </c>
      <c r="E307" s="20" t="s">
        <v>90</v>
      </c>
      <c r="F307" s="20" t="s">
        <v>144</v>
      </c>
      <c r="G307" s="20" t="s">
        <v>145</v>
      </c>
      <c r="H307" s="20" t="s">
        <v>85</v>
      </c>
      <c r="I307" s="20" t="s">
        <v>62</v>
      </c>
      <c r="J307" s="20" t="s">
        <v>63</v>
      </c>
      <c r="K307" s="20" t="s">
        <v>550</v>
      </c>
      <c r="L307" s="20" t="n">
        <v>13097</v>
      </c>
      <c r="M307" s="20" t="s">
        <v>97</v>
      </c>
      <c r="N307" s="20" t="s">
        <v>999</v>
      </c>
      <c r="O307" s="20" t="s">
        <v>76</v>
      </c>
      <c r="P307" s="20" t="s">
        <v>77</v>
      </c>
      <c r="Q307" s="20" t="s">
        <v>1000</v>
      </c>
      <c r="R307" s="22" t="n">
        <v>26.25</v>
      </c>
      <c r="S307" s="20" t="n">
        <v>1</v>
      </c>
      <c r="T307" s="20" t="n">
        <v>0.3</v>
      </c>
      <c r="U307" s="22" t="n">
        <v>2.08</v>
      </c>
      <c r="V307" s="23" t="n">
        <f aca="false">IF(ISNUMBER(C307),YEAR(C307),"")</f>
        <v>2015</v>
      </c>
      <c r="W307" s="23" t="n">
        <f aca="false">IF(ISNUMBER(C307),MONTH(C307),"")</f>
        <v>9</v>
      </c>
      <c r="X307" s="23" t="str">
        <f aca="false">IF(T307="","",IF(T307=0,"No discount",IF(T307&lt;=0.2,"Low (1-20%)",IF(T307&lt;=0.4,"Medium (21-40%)","High (&gt;40%)"))))</f>
        <v>Medium (21-40%)</v>
      </c>
      <c r="Y307" s="23" t="n">
        <f aca="false">IF(AND(ISNUMBER(C307),ISNUMBER(D307)),D307-C307,"")</f>
        <v>6</v>
      </c>
      <c r="Z307" s="23" t="n">
        <f aca="false">IF(B307="","",IF(MATCH(B307,$B$2:$B$12000,0)=ROW()-1,1,0))</f>
        <v>0</v>
      </c>
    </row>
    <row r="308" customFormat="false" ht="15" hidden="false" customHeight="false" outlineLevel="0" collapsed="false">
      <c r="A308" s="20" t="n">
        <v>307</v>
      </c>
      <c r="B308" s="20" t="s">
        <v>1001</v>
      </c>
      <c r="C308" s="21" t="n">
        <v>42269</v>
      </c>
      <c r="D308" s="21" t="n">
        <v>42274</v>
      </c>
      <c r="E308" s="20" t="s">
        <v>58</v>
      </c>
      <c r="F308" s="20" t="s">
        <v>858</v>
      </c>
      <c r="G308" s="20" t="s">
        <v>859</v>
      </c>
      <c r="H308" s="20" t="s">
        <v>61</v>
      </c>
      <c r="I308" s="20" t="s">
        <v>62</v>
      </c>
      <c r="J308" s="20" t="s">
        <v>63</v>
      </c>
      <c r="K308" s="20" t="s">
        <v>202</v>
      </c>
      <c r="L308" s="20" t="n">
        <v>58067</v>
      </c>
      <c r="M308" s="20" t="s">
        <v>153</v>
      </c>
      <c r="N308" s="20" t="s">
        <v>1002</v>
      </c>
      <c r="O308" s="20" t="s">
        <v>76</v>
      </c>
      <c r="P308" s="20" t="s">
        <v>178</v>
      </c>
      <c r="Q308" s="20" t="s">
        <v>1003</v>
      </c>
      <c r="R308" s="22" t="n">
        <v>313.45</v>
      </c>
      <c r="S308" s="20" t="n">
        <v>6</v>
      </c>
      <c r="T308" s="20" t="n">
        <v>0</v>
      </c>
      <c r="U308" s="22" t="n">
        <v>-0.92</v>
      </c>
      <c r="V308" s="23" t="n">
        <f aca="false">IF(ISNUMBER(C308),YEAR(C308),"")</f>
        <v>2015</v>
      </c>
      <c r="W308" s="23" t="n">
        <f aca="false">IF(ISNUMBER(C308),MONTH(C308),"")</f>
        <v>9</v>
      </c>
      <c r="X308" s="23" t="str">
        <f aca="false">IF(T308="","",IF(T308=0,"No discount",IF(T308&lt;=0.2,"Low (1-20%)",IF(T308&lt;=0.4,"Medium (21-40%)","High (&gt;40%)"))))</f>
        <v>No discount</v>
      </c>
      <c r="Y308" s="23" t="n">
        <f aca="false">IF(AND(ISNUMBER(C308),ISNUMBER(D308)),D308-C308,"")</f>
        <v>5</v>
      </c>
      <c r="Z308" s="23" t="n">
        <f aca="false">IF(B308="","",IF(MATCH(B308,$B$2:$B$12000,0)=ROW()-1,1,0))</f>
        <v>1</v>
      </c>
    </row>
    <row r="309" customFormat="false" ht="15" hidden="false" customHeight="false" outlineLevel="0" collapsed="false">
      <c r="A309" s="20" t="n">
        <v>308</v>
      </c>
      <c r="B309" s="20" t="s">
        <v>1004</v>
      </c>
      <c r="C309" s="21" t="n">
        <v>42278</v>
      </c>
      <c r="D309" s="21" t="n">
        <v>42284</v>
      </c>
      <c r="E309" s="20" t="s">
        <v>104</v>
      </c>
      <c r="F309" s="20" t="s">
        <v>59</v>
      </c>
      <c r="G309" s="20" t="s">
        <v>60</v>
      </c>
      <c r="H309" s="20" t="s">
        <v>61</v>
      </c>
      <c r="I309" s="20" t="s">
        <v>62</v>
      </c>
      <c r="J309" s="20" t="s">
        <v>63</v>
      </c>
      <c r="K309" s="20" t="s">
        <v>556</v>
      </c>
      <c r="L309" s="20" t="n">
        <v>77572</v>
      </c>
      <c r="M309" s="20" t="s">
        <v>65</v>
      </c>
      <c r="N309" s="20" t="s">
        <v>1005</v>
      </c>
      <c r="O309" s="20" t="s">
        <v>114</v>
      </c>
      <c r="P309" s="20" t="s">
        <v>167</v>
      </c>
      <c r="Q309" s="20" t="s">
        <v>304</v>
      </c>
      <c r="R309" s="22" t="n">
        <v>1315.95</v>
      </c>
      <c r="S309" s="20" t="n">
        <v>4</v>
      </c>
      <c r="T309" s="20" t="n">
        <v>0.2</v>
      </c>
      <c r="U309" s="22" t="n">
        <v>-381.49</v>
      </c>
      <c r="V309" s="23" t="n">
        <f aca="false">IF(ISNUMBER(C309),YEAR(C309),"")</f>
        <v>2015</v>
      </c>
      <c r="W309" s="23" t="n">
        <f aca="false">IF(ISNUMBER(C309),MONTH(C309),"")</f>
        <v>10</v>
      </c>
      <c r="X309" s="23" t="str">
        <f aca="false">IF(T309="","",IF(T309=0,"No discount",IF(T309&lt;=0.2,"Low (1-20%)",IF(T309&lt;=0.4,"Medium (21-40%)","High (&gt;40%)"))))</f>
        <v>Low (1-20%)</v>
      </c>
      <c r="Y309" s="23" t="n">
        <f aca="false">IF(AND(ISNUMBER(C309),ISNUMBER(D309)),D309-C309,"")</f>
        <v>6</v>
      </c>
      <c r="Z309" s="23" t="n">
        <f aca="false">IF(B309="","",IF(MATCH(B309,$B$2:$B$12000,0)=ROW()-1,1,0))</f>
        <v>1</v>
      </c>
    </row>
    <row r="310" customFormat="false" ht="15" hidden="false" customHeight="false" outlineLevel="0" collapsed="false">
      <c r="A310" s="20" t="n">
        <v>309</v>
      </c>
      <c r="B310" s="20" t="s">
        <v>1004</v>
      </c>
      <c r="C310" s="21" t="n">
        <v>42278</v>
      </c>
      <c r="D310" s="21" t="n">
        <v>42284</v>
      </c>
      <c r="E310" s="20" t="s">
        <v>58</v>
      </c>
      <c r="F310" s="20" t="s">
        <v>59</v>
      </c>
      <c r="G310" s="20" t="s">
        <v>60</v>
      </c>
      <c r="H310" s="20" t="s">
        <v>61</v>
      </c>
      <c r="I310" s="20" t="s">
        <v>62</v>
      </c>
      <c r="J310" s="20" t="s">
        <v>63</v>
      </c>
      <c r="K310" s="20" t="s">
        <v>556</v>
      </c>
      <c r="L310" s="20" t="n">
        <v>34031</v>
      </c>
      <c r="M310" s="20" t="s">
        <v>65</v>
      </c>
      <c r="N310" s="20" t="s">
        <v>1006</v>
      </c>
      <c r="O310" s="20" t="s">
        <v>76</v>
      </c>
      <c r="P310" s="20" t="s">
        <v>178</v>
      </c>
      <c r="Q310" s="20" t="s">
        <v>717</v>
      </c>
      <c r="R310" s="22" t="n">
        <v>52.66</v>
      </c>
      <c r="S310" s="20" t="n">
        <v>1</v>
      </c>
      <c r="T310" s="20" t="n">
        <v>0.7</v>
      </c>
      <c r="U310" s="22" t="n">
        <v>-24.15</v>
      </c>
      <c r="V310" s="23" t="n">
        <f aca="false">IF(ISNUMBER(C310),YEAR(C310),"")</f>
        <v>2015</v>
      </c>
      <c r="W310" s="23" t="n">
        <f aca="false">IF(ISNUMBER(C310),MONTH(C310),"")</f>
        <v>10</v>
      </c>
      <c r="X310" s="23" t="str">
        <f aca="false">IF(T310="","",IF(T310=0,"No discount",IF(T310&lt;=0.2,"Low (1-20%)",IF(T310&lt;=0.4,"Medium (21-40%)","High (&gt;40%)"))))</f>
        <v>High (&gt;40%)</v>
      </c>
      <c r="Y310" s="23" t="n">
        <f aca="false">IF(AND(ISNUMBER(C310),ISNUMBER(D310)),D310-C310,"")</f>
        <v>6</v>
      </c>
      <c r="Z310" s="23" t="n">
        <f aca="false">IF(B310="","",IF(MATCH(B310,$B$2:$B$12000,0)=ROW()-1,1,0))</f>
        <v>0</v>
      </c>
    </row>
    <row r="311" customFormat="false" ht="15" hidden="false" customHeight="false" outlineLevel="0" collapsed="false">
      <c r="A311" s="20" t="n">
        <v>310</v>
      </c>
      <c r="B311" s="20" t="s">
        <v>1007</v>
      </c>
      <c r="C311" s="21" t="n">
        <v>42284</v>
      </c>
      <c r="D311" s="21" t="n">
        <v>42285</v>
      </c>
      <c r="E311" s="20" t="s">
        <v>71</v>
      </c>
      <c r="F311" s="20" t="s">
        <v>264</v>
      </c>
      <c r="G311" s="20" t="s">
        <v>265</v>
      </c>
      <c r="H311" s="20" t="s">
        <v>61</v>
      </c>
      <c r="I311" s="20" t="s">
        <v>62</v>
      </c>
      <c r="J311" s="20" t="s">
        <v>63</v>
      </c>
      <c r="K311" s="20" t="s">
        <v>111</v>
      </c>
      <c r="L311" s="20" t="n">
        <v>75850</v>
      </c>
      <c r="M311" s="20" t="s">
        <v>112</v>
      </c>
      <c r="N311" s="20" t="s">
        <v>1008</v>
      </c>
      <c r="O311" s="20" t="s">
        <v>67</v>
      </c>
      <c r="P311" s="20" t="s">
        <v>164</v>
      </c>
      <c r="Q311" s="20" t="s">
        <v>1009</v>
      </c>
      <c r="R311" s="22" t="n">
        <v>469.61</v>
      </c>
      <c r="S311" s="20" t="n">
        <v>1</v>
      </c>
      <c r="T311" s="20" t="n">
        <v>0</v>
      </c>
      <c r="U311" s="22" t="n">
        <v>9.47</v>
      </c>
      <c r="V311" s="23" t="n">
        <f aca="false">IF(ISNUMBER(C311),YEAR(C311),"")</f>
        <v>2015</v>
      </c>
      <c r="W311" s="23" t="n">
        <f aca="false">IF(ISNUMBER(C311),MONTH(C311),"")</f>
        <v>10</v>
      </c>
      <c r="X311" s="23" t="str">
        <f aca="false">IF(T311="","",IF(T311=0,"No discount",IF(T311&lt;=0.2,"Low (1-20%)",IF(T311&lt;=0.4,"Medium (21-40%)","High (&gt;40%)"))))</f>
        <v>No discount</v>
      </c>
      <c r="Y311" s="23" t="n">
        <f aca="false">IF(AND(ISNUMBER(C311),ISNUMBER(D311)),D311-C311,"")</f>
        <v>1</v>
      </c>
      <c r="Z311" s="23" t="n">
        <f aca="false">IF(B311="","",IF(MATCH(B311,$B$2:$B$12000,0)=ROW()-1,1,0))</f>
        <v>1</v>
      </c>
    </row>
    <row r="312" customFormat="false" ht="15" hidden="false" customHeight="false" outlineLevel="0" collapsed="false">
      <c r="A312" s="20" t="n">
        <v>311</v>
      </c>
      <c r="B312" s="20" t="s">
        <v>1010</v>
      </c>
      <c r="C312" s="21" t="n">
        <v>42291</v>
      </c>
      <c r="D312" s="21" t="n">
        <v>42296</v>
      </c>
      <c r="E312" s="20" t="s">
        <v>104</v>
      </c>
      <c r="F312" s="20" t="s">
        <v>630</v>
      </c>
      <c r="G312" s="20" t="s">
        <v>631</v>
      </c>
      <c r="H312" s="20" t="s">
        <v>85</v>
      </c>
      <c r="I312" s="20" t="s">
        <v>62</v>
      </c>
      <c r="J312" s="20" t="s">
        <v>63</v>
      </c>
      <c r="K312" s="20" t="s">
        <v>487</v>
      </c>
      <c r="L312" s="20" t="n">
        <v>40642</v>
      </c>
      <c r="M312" s="20" t="s">
        <v>65</v>
      </c>
      <c r="N312" s="20" t="s">
        <v>1011</v>
      </c>
      <c r="O312" s="20" t="s">
        <v>114</v>
      </c>
      <c r="P312" s="20" t="s">
        <v>115</v>
      </c>
      <c r="Q312" s="20" t="s">
        <v>1012</v>
      </c>
      <c r="R312" s="22" t="n">
        <v>2834.48</v>
      </c>
      <c r="S312" s="20" t="n">
        <v>8</v>
      </c>
      <c r="T312" s="20" t="n">
        <v>0</v>
      </c>
      <c r="U312" s="22" t="n">
        <v>195.51</v>
      </c>
      <c r="V312" s="23" t="n">
        <f aca="false">IF(ISNUMBER(C312),YEAR(C312),"")</f>
        <v>2015</v>
      </c>
      <c r="W312" s="23" t="n">
        <f aca="false">IF(ISNUMBER(C312),MONTH(C312),"")</f>
        <v>10</v>
      </c>
      <c r="X312" s="23" t="str">
        <f aca="false">IF(T312="","",IF(T312=0,"No discount",IF(T312&lt;=0.2,"Low (1-20%)",IF(T312&lt;=0.4,"Medium (21-40%)","High (&gt;40%)"))))</f>
        <v>No discount</v>
      </c>
      <c r="Y312" s="23" t="n">
        <f aca="false">IF(AND(ISNUMBER(C312),ISNUMBER(D312)),D312-C312,"")</f>
        <v>5</v>
      </c>
      <c r="Z312" s="23" t="n">
        <f aca="false">IF(B312="","",IF(MATCH(B312,$B$2:$B$12000,0)=ROW()-1,1,0))</f>
        <v>1</v>
      </c>
    </row>
    <row r="313" customFormat="false" ht="15" hidden="false" customHeight="false" outlineLevel="0" collapsed="false">
      <c r="A313" s="20" t="n">
        <v>312</v>
      </c>
      <c r="B313" s="20" t="s">
        <v>1010</v>
      </c>
      <c r="C313" s="21" t="n">
        <v>42291</v>
      </c>
      <c r="D313" s="21" t="n">
        <v>42296</v>
      </c>
      <c r="E313" s="20" t="s">
        <v>104</v>
      </c>
      <c r="F313" s="20" t="s">
        <v>630</v>
      </c>
      <c r="G313" s="20" t="s">
        <v>631</v>
      </c>
      <c r="H313" s="20" t="s">
        <v>85</v>
      </c>
      <c r="I313" s="20" t="s">
        <v>62</v>
      </c>
      <c r="J313" s="20" t="s">
        <v>63</v>
      </c>
      <c r="K313" s="20" t="s">
        <v>487</v>
      </c>
      <c r="L313" s="20" t="n">
        <v>31683</v>
      </c>
      <c r="M313" s="20" t="s">
        <v>65</v>
      </c>
      <c r="N313" s="20" t="s">
        <v>1013</v>
      </c>
      <c r="O313" s="20" t="s">
        <v>76</v>
      </c>
      <c r="P313" s="20" t="s">
        <v>128</v>
      </c>
      <c r="Q313" s="20" t="s">
        <v>1014</v>
      </c>
      <c r="R313" s="22" t="n">
        <v>235.54</v>
      </c>
      <c r="S313" s="20" t="n">
        <v>1</v>
      </c>
      <c r="T313" s="20" t="n">
        <v>0</v>
      </c>
      <c r="U313" s="22" t="n">
        <v>18.09</v>
      </c>
      <c r="V313" s="23" t="n">
        <f aca="false">IF(ISNUMBER(C313),YEAR(C313),"")</f>
        <v>2015</v>
      </c>
      <c r="W313" s="23" t="n">
        <f aca="false">IF(ISNUMBER(C313),MONTH(C313),"")</f>
        <v>10</v>
      </c>
      <c r="X313" s="23" t="str">
        <f aca="false">IF(T313="","",IF(T313=0,"No discount",IF(T313&lt;=0.2,"Low (1-20%)",IF(T313&lt;=0.4,"Medium (21-40%)","High (&gt;40%)"))))</f>
        <v>No discount</v>
      </c>
      <c r="Y313" s="23" t="n">
        <f aca="false">IF(AND(ISNUMBER(C313),ISNUMBER(D313)),D313-C313,"")</f>
        <v>5</v>
      </c>
      <c r="Z313" s="23" t="n">
        <f aca="false">IF(B313="","",IF(MATCH(B313,$B$2:$B$12000,0)=ROW()-1,1,0))</f>
        <v>0</v>
      </c>
    </row>
    <row r="314" customFormat="false" ht="15" hidden="false" customHeight="false" outlineLevel="0" collapsed="false">
      <c r="A314" s="20" t="n">
        <v>313</v>
      </c>
      <c r="B314" s="20" t="s">
        <v>1010</v>
      </c>
      <c r="C314" s="21" t="n">
        <v>42291</v>
      </c>
      <c r="D314" s="21" t="n">
        <v>42296</v>
      </c>
      <c r="E314" s="20" t="s">
        <v>71</v>
      </c>
      <c r="F314" s="20" t="s">
        <v>630</v>
      </c>
      <c r="G314" s="20" t="s">
        <v>631</v>
      </c>
      <c r="H314" s="20" t="s">
        <v>85</v>
      </c>
      <c r="I314" s="20" t="s">
        <v>62</v>
      </c>
      <c r="J314" s="20" t="s">
        <v>63</v>
      </c>
      <c r="K314" s="20" t="s">
        <v>487</v>
      </c>
      <c r="L314" s="20" t="n">
        <v>70601</v>
      </c>
      <c r="M314" s="20" t="s">
        <v>65</v>
      </c>
      <c r="N314" s="20" t="s">
        <v>1015</v>
      </c>
      <c r="O314" s="20" t="s">
        <v>76</v>
      </c>
      <c r="P314" s="20" t="s">
        <v>178</v>
      </c>
      <c r="Q314" s="20" t="s">
        <v>1016</v>
      </c>
      <c r="R314" s="22" t="n">
        <v>373.67</v>
      </c>
      <c r="S314" s="20" t="n">
        <v>3</v>
      </c>
      <c r="T314" s="20" t="n">
        <v>0</v>
      </c>
      <c r="U314" s="22" t="n">
        <v>10.34</v>
      </c>
      <c r="V314" s="23" t="n">
        <f aca="false">IF(ISNUMBER(C314),YEAR(C314),"")</f>
        <v>2015</v>
      </c>
      <c r="W314" s="23" t="n">
        <f aca="false">IF(ISNUMBER(C314),MONTH(C314),"")</f>
        <v>10</v>
      </c>
      <c r="X314" s="23" t="str">
        <f aca="false">IF(T314="","",IF(T314=0,"No discount",IF(T314&lt;=0.2,"Low (1-20%)",IF(T314&lt;=0.4,"Medium (21-40%)","High (&gt;40%)"))))</f>
        <v>No discount</v>
      </c>
      <c r="Y314" s="23" t="n">
        <f aca="false">IF(AND(ISNUMBER(C314),ISNUMBER(D314)),D314-C314,"")</f>
        <v>5</v>
      </c>
      <c r="Z314" s="23" t="n">
        <f aca="false">IF(B314="","",IF(MATCH(B314,$B$2:$B$12000,0)=ROW()-1,1,0))</f>
        <v>0</v>
      </c>
    </row>
    <row r="315" customFormat="false" ht="15" hidden="false" customHeight="false" outlineLevel="0" collapsed="false">
      <c r="A315" s="20" t="n">
        <v>314</v>
      </c>
      <c r="B315" s="20" t="s">
        <v>1010</v>
      </c>
      <c r="C315" s="21" t="n">
        <v>42291</v>
      </c>
      <c r="D315" s="21" t="n">
        <v>42296</v>
      </c>
      <c r="E315" s="20" t="s">
        <v>90</v>
      </c>
      <c r="F315" s="20" t="s">
        <v>630</v>
      </c>
      <c r="G315" s="20" t="s">
        <v>631</v>
      </c>
      <c r="H315" s="20" t="s">
        <v>85</v>
      </c>
      <c r="I315" s="20" t="s">
        <v>62</v>
      </c>
      <c r="J315" s="20" t="s">
        <v>63</v>
      </c>
      <c r="K315" s="20" t="s">
        <v>487</v>
      </c>
      <c r="L315" s="20" t="n">
        <v>21316</v>
      </c>
      <c r="M315" s="20" t="s">
        <v>65</v>
      </c>
      <c r="N315" s="20" t="s">
        <v>1017</v>
      </c>
      <c r="O315" s="20" t="s">
        <v>76</v>
      </c>
      <c r="P315" s="20" t="s">
        <v>236</v>
      </c>
      <c r="Q315" s="20" t="s">
        <v>1018</v>
      </c>
      <c r="R315" s="22" t="n">
        <v>53.07</v>
      </c>
      <c r="S315" s="20" t="n">
        <v>1</v>
      </c>
      <c r="T315" s="20" t="n">
        <v>0.3</v>
      </c>
      <c r="U315" s="22" t="n">
        <v>9.6</v>
      </c>
      <c r="V315" s="23" t="n">
        <f aca="false">IF(ISNUMBER(C315),YEAR(C315),"")</f>
        <v>2015</v>
      </c>
      <c r="W315" s="23" t="n">
        <f aca="false">IF(ISNUMBER(C315),MONTH(C315),"")</f>
        <v>10</v>
      </c>
      <c r="X315" s="23" t="str">
        <f aca="false">IF(T315="","",IF(T315=0,"No discount",IF(T315&lt;=0.2,"Low (1-20%)",IF(T315&lt;=0.4,"Medium (21-40%)","High (&gt;40%)"))))</f>
        <v>Medium (21-40%)</v>
      </c>
      <c r="Y315" s="23" t="n">
        <f aca="false">IF(AND(ISNUMBER(C315),ISNUMBER(D315)),D315-C315,"")</f>
        <v>5</v>
      </c>
      <c r="Z315" s="23" t="n">
        <f aca="false">IF(B315="","",IF(MATCH(B315,$B$2:$B$12000,0)=ROW()-1,1,0))</f>
        <v>0</v>
      </c>
    </row>
    <row r="316" customFormat="false" ht="15" hidden="false" customHeight="false" outlineLevel="0" collapsed="false">
      <c r="A316" s="20" t="n">
        <v>315</v>
      </c>
      <c r="B316" s="20" t="s">
        <v>1019</v>
      </c>
      <c r="C316" s="21" t="n">
        <v>42294</v>
      </c>
      <c r="D316" s="21" t="n">
        <v>42296</v>
      </c>
      <c r="E316" s="20" t="s">
        <v>58</v>
      </c>
      <c r="F316" s="20" t="s">
        <v>544</v>
      </c>
      <c r="G316" s="20" t="s">
        <v>545</v>
      </c>
      <c r="H316" s="20" t="s">
        <v>85</v>
      </c>
      <c r="I316" s="20" t="s">
        <v>62</v>
      </c>
      <c r="J316" s="20" t="s">
        <v>63</v>
      </c>
      <c r="K316" s="20" t="s">
        <v>196</v>
      </c>
      <c r="L316" s="20" t="n">
        <v>39842</v>
      </c>
      <c r="M316" s="20" t="s">
        <v>112</v>
      </c>
      <c r="N316" s="20" t="s">
        <v>1020</v>
      </c>
      <c r="O316" s="20" t="s">
        <v>76</v>
      </c>
      <c r="P316" s="20" t="s">
        <v>80</v>
      </c>
      <c r="Q316" s="20" t="s">
        <v>686</v>
      </c>
      <c r="R316" s="22" t="n">
        <v>88.62</v>
      </c>
      <c r="S316" s="20" t="n">
        <v>4</v>
      </c>
      <c r="T316" s="20" t="n">
        <v>0.4</v>
      </c>
      <c r="U316" s="22" t="n">
        <v>5.66</v>
      </c>
      <c r="V316" s="23" t="n">
        <f aca="false">IF(ISNUMBER(C316),YEAR(C316),"")</f>
        <v>2015</v>
      </c>
      <c r="W316" s="23" t="n">
        <f aca="false">IF(ISNUMBER(C316),MONTH(C316),"")</f>
        <v>10</v>
      </c>
      <c r="X316" s="23" t="str">
        <f aca="false">IF(T316="","",IF(T316=0,"No discount",IF(T316&lt;=0.2,"Low (1-20%)",IF(T316&lt;=0.4,"Medium (21-40%)","High (&gt;40%)"))))</f>
        <v>Medium (21-40%)</v>
      </c>
      <c r="Y316" s="23" t="n">
        <f aca="false">IF(AND(ISNUMBER(C316),ISNUMBER(D316)),D316-C316,"")</f>
        <v>2</v>
      </c>
      <c r="Z316" s="23" t="n">
        <f aca="false">IF(B316="","",IF(MATCH(B316,$B$2:$B$12000,0)=ROW()-1,1,0))</f>
        <v>1</v>
      </c>
    </row>
    <row r="317" customFormat="false" ht="15" hidden="false" customHeight="false" outlineLevel="0" collapsed="false">
      <c r="A317" s="20" t="n">
        <v>316</v>
      </c>
      <c r="B317" s="20" t="s">
        <v>1019</v>
      </c>
      <c r="C317" s="21" t="n">
        <v>42294</v>
      </c>
      <c r="D317" s="21" t="n">
        <v>42296</v>
      </c>
      <c r="E317" s="20" t="s">
        <v>58</v>
      </c>
      <c r="F317" s="20" t="s">
        <v>544</v>
      </c>
      <c r="G317" s="20" t="s">
        <v>545</v>
      </c>
      <c r="H317" s="20" t="s">
        <v>85</v>
      </c>
      <c r="I317" s="20" t="s">
        <v>62</v>
      </c>
      <c r="J317" s="20" t="s">
        <v>63</v>
      </c>
      <c r="K317" s="20" t="s">
        <v>196</v>
      </c>
      <c r="L317" s="20" t="n">
        <v>68397</v>
      </c>
      <c r="M317" s="20" t="s">
        <v>112</v>
      </c>
      <c r="N317" s="20" t="s">
        <v>1021</v>
      </c>
      <c r="O317" s="20" t="s">
        <v>76</v>
      </c>
      <c r="P317" s="20" t="s">
        <v>236</v>
      </c>
      <c r="Q317" s="20" t="s">
        <v>1022</v>
      </c>
      <c r="R317" s="22" t="n">
        <v>77.15</v>
      </c>
      <c r="S317" s="20" t="n">
        <v>5</v>
      </c>
      <c r="T317" s="20" t="n">
        <v>0.1</v>
      </c>
      <c r="U317" s="22" t="n">
        <v>21.81</v>
      </c>
      <c r="V317" s="23" t="n">
        <f aca="false">IF(ISNUMBER(C317),YEAR(C317),"")</f>
        <v>2015</v>
      </c>
      <c r="W317" s="23" t="n">
        <f aca="false">IF(ISNUMBER(C317),MONTH(C317),"")</f>
        <v>10</v>
      </c>
      <c r="X317" s="23" t="str">
        <f aca="false">IF(T317="","",IF(T317=0,"No discount",IF(T317&lt;=0.2,"Low (1-20%)",IF(T317&lt;=0.4,"Medium (21-40%)","High (&gt;40%)"))))</f>
        <v>Low (1-20%)</v>
      </c>
      <c r="Y317" s="23" t="n">
        <f aca="false">IF(AND(ISNUMBER(C317),ISNUMBER(D317)),D317-C317,"")</f>
        <v>2</v>
      </c>
      <c r="Z317" s="23" t="n">
        <f aca="false">IF(B317="","",IF(MATCH(B317,$B$2:$B$12000,0)=ROW()-1,1,0))</f>
        <v>0</v>
      </c>
    </row>
    <row r="318" customFormat="false" ht="15" hidden="false" customHeight="false" outlineLevel="0" collapsed="false">
      <c r="A318" s="20" t="n">
        <v>317</v>
      </c>
      <c r="B318" s="20" t="s">
        <v>1023</v>
      </c>
      <c r="C318" s="21" t="n">
        <v>42304</v>
      </c>
      <c r="D318" s="21" t="n">
        <v>42307</v>
      </c>
      <c r="E318" s="20" t="s">
        <v>90</v>
      </c>
      <c r="F318" s="20" t="s">
        <v>428</v>
      </c>
      <c r="G318" s="20" t="s">
        <v>429</v>
      </c>
      <c r="H318" s="20" t="s">
        <v>61</v>
      </c>
      <c r="I318" s="20" t="s">
        <v>62</v>
      </c>
      <c r="J318" s="20" t="s">
        <v>63</v>
      </c>
      <c r="K318" s="20" t="s">
        <v>133</v>
      </c>
      <c r="L318" s="20" t="n">
        <v>72005</v>
      </c>
      <c r="M318" s="20" t="s">
        <v>97</v>
      </c>
      <c r="N318" s="20" t="s">
        <v>1024</v>
      </c>
      <c r="O318" s="20" t="s">
        <v>114</v>
      </c>
      <c r="P318" s="20" t="s">
        <v>210</v>
      </c>
      <c r="Q318" s="20" t="s">
        <v>1025</v>
      </c>
      <c r="R318" s="22" t="n">
        <v>150.64</v>
      </c>
      <c r="S318" s="20" t="n">
        <v>3</v>
      </c>
      <c r="T318" s="20" t="n">
        <v>0.2</v>
      </c>
      <c r="U318" s="22" t="n">
        <v>-14.29</v>
      </c>
      <c r="V318" s="23" t="n">
        <f aca="false">IF(ISNUMBER(C318),YEAR(C318),"")</f>
        <v>2015</v>
      </c>
      <c r="W318" s="23" t="n">
        <f aca="false">IF(ISNUMBER(C318),MONTH(C318),"")</f>
        <v>10</v>
      </c>
      <c r="X318" s="23" t="str">
        <f aca="false">IF(T318="","",IF(T318=0,"No discount",IF(T318&lt;=0.2,"Low (1-20%)",IF(T318&lt;=0.4,"Medium (21-40%)","High (&gt;40%)"))))</f>
        <v>Low (1-20%)</v>
      </c>
      <c r="Y318" s="23" t="n">
        <f aca="false">IF(AND(ISNUMBER(C318),ISNUMBER(D318)),D318-C318,"")</f>
        <v>3</v>
      </c>
      <c r="Z318" s="23" t="n">
        <f aca="false">IF(B318="","",IF(MATCH(B318,$B$2:$B$12000,0)=ROW()-1,1,0))</f>
        <v>1</v>
      </c>
    </row>
    <row r="319" customFormat="false" ht="15" hidden="false" customHeight="false" outlineLevel="0" collapsed="false">
      <c r="A319" s="20" t="n">
        <v>318</v>
      </c>
      <c r="B319" s="20" t="s">
        <v>1023</v>
      </c>
      <c r="C319" s="21" t="n">
        <v>42304</v>
      </c>
      <c r="D319" s="21" t="n">
        <v>42307</v>
      </c>
      <c r="E319" s="20" t="s">
        <v>71</v>
      </c>
      <c r="F319" s="20" t="s">
        <v>428</v>
      </c>
      <c r="G319" s="20" t="s">
        <v>429</v>
      </c>
      <c r="H319" s="20" t="s">
        <v>61</v>
      </c>
      <c r="I319" s="20" t="s">
        <v>62</v>
      </c>
      <c r="J319" s="20" t="s">
        <v>63</v>
      </c>
      <c r="K319" s="20" t="s">
        <v>133</v>
      </c>
      <c r="L319" s="20" t="n">
        <v>56108</v>
      </c>
      <c r="M319" s="20" t="s">
        <v>97</v>
      </c>
      <c r="N319" s="20" t="s">
        <v>1026</v>
      </c>
      <c r="O319" s="20" t="s">
        <v>76</v>
      </c>
      <c r="P319" s="20" t="s">
        <v>128</v>
      </c>
      <c r="Q319" s="20" t="s">
        <v>1027</v>
      </c>
      <c r="R319" s="22" t="n">
        <v>113.79</v>
      </c>
      <c r="S319" s="20" t="n">
        <v>3</v>
      </c>
      <c r="T319" s="20" t="n">
        <v>0.4</v>
      </c>
      <c r="U319" s="22" t="n">
        <v>-10.29</v>
      </c>
      <c r="V319" s="23" t="n">
        <f aca="false">IF(ISNUMBER(C319),YEAR(C319),"")</f>
        <v>2015</v>
      </c>
      <c r="W319" s="23" t="n">
        <f aca="false">IF(ISNUMBER(C319),MONTH(C319),"")</f>
        <v>10</v>
      </c>
      <c r="X319" s="23" t="str">
        <f aca="false">IF(T319="","",IF(T319=0,"No discount",IF(T319&lt;=0.2,"Low (1-20%)",IF(T319&lt;=0.4,"Medium (21-40%)","High (&gt;40%)"))))</f>
        <v>Medium (21-40%)</v>
      </c>
      <c r="Y319" s="23" t="n">
        <f aca="false">IF(AND(ISNUMBER(C319),ISNUMBER(D319)),D319-C319,"")</f>
        <v>3</v>
      </c>
      <c r="Z319" s="23" t="n">
        <f aca="false">IF(B319="","",IF(MATCH(B319,$B$2:$B$12000,0)=ROW()-1,1,0))</f>
        <v>0</v>
      </c>
    </row>
    <row r="320" customFormat="false" ht="15" hidden="false" customHeight="false" outlineLevel="0" collapsed="false">
      <c r="A320" s="20" t="n">
        <v>319</v>
      </c>
      <c r="B320" s="20" t="s">
        <v>1028</v>
      </c>
      <c r="C320" s="21" t="n">
        <v>42304</v>
      </c>
      <c r="D320" s="21" t="n">
        <v>42307</v>
      </c>
      <c r="E320" s="20" t="s">
        <v>71</v>
      </c>
      <c r="F320" s="20" t="s">
        <v>244</v>
      </c>
      <c r="G320" s="20" t="s">
        <v>245</v>
      </c>
      <c r="H320" s="20" t="s">
        <v>61</v>
      </c>
      <c r="I320" s="20" t="s">
        <v>62</v>
      </c>
      <c r="J320" s="20" t="s">
        <v>63</v>
      </c>
      <c r="K320" s="20" t="s">
        <v>525</v>
      </c>
      <c r="L320" s="20" t="n">
        <v>15458</v>
      </c>
      <c r="M320" s="20" t="s">
        <v>97</v>
      </c>
      <c r="N320" s="20" t="s">
        <v>1029</v>
      </c>
      <c r="O320" s="20" t="s">
        <v>76</v>
      </c>
      <c r="P320" s="20" t="s">
        <v>101</v>
      </c>
      <c r="Q320" s="20" t="s">
        <v>1030</v>
      </c>
      <c r="R320" s="22" t="n">
        <v>130.74</v>
      </c>
      <c r="S320" s="20" t="n">
        <v>6</v>
      </c>
      <c r="T320" s="20" t="n">
        <v>0.2</v>
      </c>
      <c r="U320" s="22" t="n">
        <v>24.5</v>
      </c>
      <c r="V320" s="23" t="n">
        <f aca="false">IF(ISNUMBER(C320),YEAR(C320),"")</f>
        <v>2015</v>
      </c>
      <c r="W320" s="23" t="n">
        <f aca="false">IF(ISNUMBER(C320),MONTH(C320),"")</f>
        <v>10</v>
      </c>
      <c r="X320" s="23" t="str">
        <f aca="false">IF(T320="","",IF(T320=0,"No discount",IF(T320&lt;=0.2,"Low (1-20%)",IF(T320&lt;=0.4,"Medium (21-40%)","High (&gt;40%)"))))</f>
        <v>Low (1-20%)</v>
      </c>
      <c r="Y320" s="23" t="n">
        <f aca="false">IF(AND(ISNUMBER(C320),ISNUMBER(D320)),D320-C320,"")</f>
        <v>3</v>
      </c>
      <c r="Z320" s="23" t="n">
        <f aca="false">IF(B320="","",IF(MATCH(B320,$B$2:$B$12000,0)=ROW()-1,1,0))</f>
        <v>1</v>
      </c>
    </row>
    <row r="321" customFormat="false" ht="15" hidden="false" customHeight="false" outlineLevel="0" collapsed="false">
      <c r="A321" s="20" t="n">
        <v>320</v>
      </c>
      <c r="B321" s="20" t="s">
        <v>1031</v>
      </c>
      <c r="C321" s="21" t="n">
        <v>42305</v>
      </c>
      <c r="D321" s="21" t="n">
        <v>42311</v>
      </c>
      <c r="E321" s="20" t="s">
        <v>71</v>
      </c>
      <c r="F321" s="20" t="s">
        <v>131</v>
      </c>
      <c r="G321" s="20" t="s">
        <v>132</v>
      </c>
      <c r="H321" s="20" t="s">
        <v>85</v>
      </c>
      <c r="I321" s="20" t="s">
        <v>62</v>
      </c>
      <c r="J321" s="20" t="s">
        <v>63</v>
      </c>
      <c r="K321" s="20" t="s">
        <v>556</v>
      </c>
      <c r="L321" s="20" t="n">
        <v>99980</v>
      </c>
      <c r="M321" s="20" t="s">
        <v>65</v>
      </c>
      <c r="N321" s="20" t="s">
        <v>1032</v>
      </c>
      <c r="O321" s="20" t="s">
        <v>67</v>
      </c>
      <c r="P321" s="20" t="s">
        <v>106</v>
      </c>
      <c r="Q321" s="20" t="s">
        <v>1033</v>
      </c>
      <c r="R321" s="22" t="n">
        <v>1135.9</v>
      </c>
      <c r="S321" s="20" t="n">
        <v>7</v>
      </c>
      <c r="T321" s="20" t="n">
        <v>0.5</v>
      </c>
      <c r="U321" s="22" t="n">
        <v>-147.07</v>
      </c>
      <c r="V321" s="23" t="n">
        <f aca="false">IF(ISNUMBER(C321),YEAR(C321),"")</f>
        <v>2015</v>
      </c>
      <c r="W321" s="23" t="n">
        <f aca="false">IF(ISNUMBER(C321),MONTH(C321),"")</f>
        <v>10</v>
      </c>
      <c r="X321" s="23" t="str">
        <f aca="false">IF(T321="","",IF(T321=0,"No discount",IF(T321&lt;=0.2,"Low (1-20%)",IF(T321&lt;=0.4,"Medium (21-40%)","High (&gt;40%)"))))</f>
        <v>High (&gt;40%)</v>
      </c>
      <c r="Y321" s="23" t="n">
        <f aca="false">IF(AND(ISNUMBER(C321),ISNUMBER(D321)),D321-C321,"")</f>
        <v>6</v>
      </c>
      <c r="Z321" s="23" t="n">
        <f aca="false">IF(B321="","",IF(MATCH(B321,$B$2:$B$12000,0)=ROW()-1,1,0))</f>
        <v>1</v>
      </c>
    </row>
    <row r="322" customFormat="false" ht="15" hidden="false" customHeight="false" outlineLevel="0" collapsed="false">
      <c r="A322" s="20" t="n">
        <v>321</v>
      </c>
      <c r="B322" s="20" t="s">
        <v>1034</v>
      </c>
      <c r="C322" s="21" t="n">
        <v>42310</v>
      </c>
      <c r="D322" s="21" t="n">
        <v>42317</v>
      </c>
      <c r="E322" s="20" t="s">
        <v>58</v>
      </c>
      <c r="F322" s="20" t="s">
        <v>907</v>
      </c>
      <c r="G322" s="20" t="s">
        <v>908</v>
      </c>
      <c r="H322" s="20" t="s">
        <v>61</v>
      </c>
      <c r="I322" s="20" t="s">
        <v>62</v>
      </c>
      <c r="J322" s="20" t="s">
        <v>63</v>
      </c>
      <c r="K322" s="20" t="s">
        <v>393</v>
      </c>
      <c r="L322" s="20" t="n">
        <v>47441</v>
      </c>
      <c r="M322" s="20" t="s">
        <v>97</v>
      </c>
      <c r="N322" s="20" t="s">
        <v>1035</v>
      </c>
      <c r="O322" s="20" t="s">
        <v>76</v>
      </c>
      <c r="P322" s="20" t="s">
        <v>101</v>
      </c>
      <c r="Q322" s="20" t="s">
        <v>1036</v>
      </c>
      <c r="R322" s="22" t="n">
        <v>105.08</v>
      </c>
      <c r="S322" s="20" t="n">
        <v>4</v>
      </c>
      <c r="T322" s="20" t="n">
        <v>0.2</v>
      </c>
      <c r="U322" s="22" t="n">
        <v>33.12</v>
      </c>
      <c r="V322" s="23" t="n">
        <f aca="false">IF(ISNUMBER(C322),YEAR(C322),"")</f>
        <v>2015</v>
      </c>
      <c r="W322" s="23" t="n">
        <f aca="false">IF(ISNUMBER(C322),MONTH(C322),"")</f>
        <v>11</v>
      </c>
      <c r="X322" s="23" t="str">
        <f aca="false">IF(T322="","",IF(T322=0,"No discount",IF(T322&lt;=0.2,"Low (1-20%)",IF(T322&lt;=0.4,"Medium (21-40%)","High (&gt;40%)"))))</f>
        <v>Low (1-20%)</v>
      </c>
      <c r="Y322" s="23" t="n">
        <f aca="false">IF(AND(ISNUMBER(C322),ISNUMBER(D322)),D322-C322,"")</f>
        <v>7</v>
      </c>
      <c r="Z322" s="23" t="n">
        <f aca="false">IF(B322="","",IF(MATCH(B322,$B$2:$B$12000,0)=ROW()-1,1,0))</f>
        <v>1</v>
      </c>
    </row>
    <row r="323" customFormat="false" ht="15" hidden="false" customHeight="false" outlineLevel="0" collapsed="false">
      <c r="A323" s="20" t="n">
        <v>322</v>
      </c>
      <c r="B323" s="20" t="s">
        <v>1034</v>
      </c>
      <c r="C323" s="21" t="n">
        <v>42310</v>
      </c>
      <c r="D323" s="21" t="n">
        <v>42317</v>
      </c>
      <c r="E323" s="20" t="s">
        <v>104</v>
      </c>
      <c r="F323" s="20" t="s">
        <v>907</v>
      </c>
      <c r="G323" s="20" t="s">
        <v>908</v>
      </c>
      <c r="H323" s="20" t="s">
        <v>61</v>
      </c>
      <c r="I323" s="20" t="s">
        <v>62</v>
      </c>
      <c r="J323" s="20" t="s">
        <v>63</v>
      </c>
      <c r="K323" s="20" t="s">
        <v>393</v>
      </c>
      <c r="L323" s="20" t="n">
        <v>57637</v>
      </c>
      <c r="M323" s="20" t="s">
        <v>97</v>
      </c>
      <c r="N323" s="20" t="s">
        <v>1037</v>
      </c>
      <c r="O323" s="20" t="s">
        <v>67</v>
      </c>
      <c r="P323" s="20" t="s">
        <v>157</v>
      </c>
      <c r="Q323" s="20" t="s">
        <v>1038</v>
      </c>
      <c r="R323" s="22" t="n">
        <v>486.34</v>
      </c>
      <c r="S323" s="20" t="n">
        <v>6</v>
      </c>
      <c r="T323" s="20" t="n">
        <v>0.3</v>
      </c>
      <c r="U323" s="22" t="n">
        <v>59.68</v>
      </c>
      <c r="V323" s="23" t="n">
        <f aca="false">IF(ISNUMBER(C323),YEAR(C323),"")</f>
        <v>2015</v>
      </c>
      <c r="W323" s="23" t="n">
        <f aca="false">IF(ISNUMBER(C323),MONTH(C323),"")</f>
        <v>11</v>
      </c>
      <c r="X323" s="23" t="str">
        <f aca="false">IF(T323="","",IF(T323=0,"No discount",IF(T323&lt;=0.2,"Low (1-20%)",IF(T323&lt;=0.4,"Medium (21-40%)","High (&gt;40%)"))))</f>
        <v>Medium (21-40%)</v>
      </c>
      <c r="Y323" s="23" t="n">
        <f aca="false">IF(AND(ISNUMBER(C323),ISNUMBER(D323)),D323-C323,"")</f>
        <v>7</v>
      </c>
      <c r="Z323" s="23" t="n">
        <f aca="false">IF(B323="","",IF(MATCH(B323,$B$2:$B$12000,0)=ROW()-1,1,0))</f>
        <v>0</v>
      </c>
    </row>
    <row r="324" customFormat="false" ht="15" hidden="false" customHeight="false" outlineLevel="0" collapsed="false">
      <c r="A324" s="20" t="n">
        <v>323</v>
      </c>
      <c r="B324" s="20" t="s">
        <v>1039</v>
      </c>
      <c r="C324" s="21" t="n">
        <v>42311</v>
      </c>
      <c r="D324" s="21" t="n">
        <v>42316</v>
      </c>
      <c r="E324" s="20" t="s">
        <v>104</v>
      </c>
      <c r="F324" s="20" t="s">
        <v>213</v>
      </c>
      <c r="G324" s="20" t="s">
        <v>214</v>
      </c>
      <c r="H324" s="20" t="s">
        <v>162</v>
      </c>
      <c r="I324" s="20" t="s">
        <v>62</v>
      </c>
      <c r="J324" s="20" t="s">
        <v>63</v>
      </c>
      <c r="K324" s="20" t="s">
        <v>120</v>
      </c>
      <c r="L324" s="20" t="n">
        <v>12196</v>
      </c>
      <c r="M324" s="20" t="s">
        <v>112</v>
      </c>
      <c r="N324" s="20" t="s">
        <v>1040</v>
      </c>
      <c r="O324" s="20" t="s">
        <v>76</v>
      </c>
      <c r="P324" s="20" t="s">
        <v>101</v>
      </c>
      <c r="Q324" s="20" t="s">
        <v>1041</v>
      </c>
      <c r="R324" s="22" t="n">
        <v>127.79</v>
      </c>
      <c r="S324" s="20" t="n">
        <v>8</v>
      </c>
      <c r="T324" s="20" t="n">
        <v>0</v>
      </c>
      <c r="U324" s="22" t="n">
        <v>44.47</v>
      </c>
      <c r="V324" s="23" t="n">
        <f aca="false">IF(ISNUMBER(C324),YEAR(C324),"")</f>
        <v>2015</v>
      </c>
      <c r="W324" s="23" t="n">
        <f aca="false">IF(ISNUMBER(C324),MONTH(C324),"")</f>
        <v>11</v>
      </c>
      <c r="X324" s="23" t="str">
        <f aca="false">IF(T324="","",IF(T324=0,"No discount",IF(T324&lt;=0.2,"Low (1-20%)",IF(T324&lt;=0.4,"Medium (21-40%)","High (&gt;40%)"))))</f>
        <v>No discount</v>
      </c>
      <c r="Y324" s="23" t="n">
        <f aca="false">IF(AND(ISNUMBER(C324),ISNUMBER(D324)),D324-C324,"")</f>
        <v>5</v>
      </c>
      <c r="Z324" s="23" t="n">
        <f aca="false">IF(B324="","",IF(MATCH(B324,$B$2:$B$12000,0)=ROW()-1,1,0))</f>
        <v>1</v>
      </c>
    </row>
    <row r="325" customFormat="false" ht="15" hidden="false" customHeight="false" outlineLevel="0" collapsed="false">
      <c r="A325" s="20" t="n">
        <v>324</v>
      </c>
      <c r="B325" s="20" t="s">
        <v>1039</v>
      </c>
      <c r="C325" s="21" t="n">
        <v>42311</v>
      </c>
      <c r="D325" s="21" t="n">
        <v>42316</v>
      </c>
      <c r="E325" s="20" t="s">
        <v>90</v>
      </c>
      <c r="F325" s="20" t="s">
        <v>213</v>
      </c>
      <c r="G325" s="20" t="s">
        <v>214</v>
      </c>
      <c r="H325" s="20" t="s">
        <v>162</v>
      </c>
      <c r="I325" s="20" t="s">
        <v>62</v>
      </c>
      <c r="J325" s="20" t="s">
        <v>63</v>
      </c>
      <c r="K325" s="20" t="s">
        <v>120</v>
      </c>
      <c r="L325" s="20" t="n">
        <v>31000</v>
      </c>
      <c r="M325" s="20" t="s">
        <v>112</v>
      </c>
      <c r="N325" s="20" t="s">
        <v>1042</v>
      </c>
      <c r="O325" s="20" t="s">
        <v>114</v>
      </c>
      <c r="P325" s="20" t="s">
        <v>139</v>
      </c>
      <c r="Q325" s="20" t="s">
        <v>1043</v>
      </c>
      <c r="R325" s="22" t="n">
        <v>1118.29</v>
      </c>
      <c r="S325" s="20" t="n">
        <v>5</v>
      </c>
      <c r="T325" s="20" t="n">
        <v>0.2</v>
      </c>
      <c r="U325" s="22" t="n">
        <v>-61.91</v>
      </c>
      <c r="V325" s="23" t="n">
        <f aca="false">IF(ISNUMBER(C325),YEAR(C325),"")</f>
        <v>2015</v>
      </c>
      <c r="W325" s="23" t="n">
        <f aca="false">IF(ISNUMBER(C325),MONTH(C325),"")</f>
        <v>11</v>
      </c>
      <c r="X325" s="23" t="str">
        <f aca="false">IF(T325="","",IF(T325=0,"No discount",IF(T325&lt;=0.2,"Low (1-20%)",IF(T325&lt;=0.4,"Medium (21-40%)","High (&gt;40%)"))))</f>
        <v>Low (1-20%)</v>
      </c>
      <c r="Y325" s="23" t="n">
        <f aca="false">IF(AND(ISNUMBER(C325),ISNUMBER(D325)),D325-C325,"")</f>
        <v>5</v>
      </c>
      <c r="Z325" s="23" t="n">
        <f aca="false">IF(B325="","",IF(MATCH(B325,$B$2:$B$12000,0)=ROW()-1,1,0))</f>
        <v>0</v>
      </c>
    </row>
    <row r="326" customFormat="false" ht="15" hidden="false" customHeight="false" outlineLevel="0" collapsed="false">
      <c r="A326" s="20" t="n">
        <v>325</v>
      </c>
      <c r="B326" s="20" t="s">
        <v>1044</v>
      </c>
      <c r="C326" s="21" t="n">
        <v>42314</v>
      </c>
      <c r="D326" s="21" t="n">
        <v>42316</v>
      </c>
      <c r="E326" s="20" t="s">
        <v>71</v>
      </c>
      <c r="F326" s="20" t="s">
        <v>560</v>
      </c>
      <c r="G326" s="20" t="s">
        <v>561</v>
      </c>
      <c r="H326" s="20" t="s">
        <v>85</v>
      </c>
      <c r="I326" s="20" t="s">
        <v>62</v>
      </c>
      <c r="J326" s="20" t="s">
        <v>63</v>
      </c>
      <c r="K326" s="20" t="s">
        <v>569</v>
      </c>
      <c r="L326" s="20" t="n">
        <v>28863</v>
      </c>
      <c r="M326" s="20" t="s">
        <v>153</v>
      </c>
      <c r="N326" s="20" t="s">
        <v>1045</v>
      </c>
      <c r="O326" s="20" t="s">
        <v>114</v>
      </c>
      <c r="P326" s="20" t="s">
        <v>115</v>
      </c>
      <c r="Q326" s="20" t="s">
        <v>615</v>
      </c>
      <c r="R326" s="22" t="n">
        <v>639.34</v>
      </c>
      <c r="S326" s="20" t="n">
        <v>3</v>
      </c>
      <c r="T326" s="20" t="n">
        <v>0.1</v>
      </c>
      <c r="U326" s="22" t="n">
        <v>48.97</v>
      </c>
      <c r="V326" s="23" t="n">
        <f aca="false">IF(ISNUMBER(C326),YEAR(C326),"")</f>
        <v>2015</v>
      </c>
      <c r="W326" s="23" t="n">
        <f aca="false">IF(ISNUMBER(C326),MONTH(C326),"")</f>
        <v>11</v>
      </c>
      <c r="X326" s="23" t="str">
        <f aca="false">IF(T326="","",IF(T326=0,"No discount",IF(T326&lt;=0.2,"Low (1-20%)",IF(T326&lt;=0.4,"Medium (21-40%)","High (&gt;40%)"))))</f>
        <v>Low (1-20%)</v>
      </c>
      <c r="Y326" s="23" t="n">
        <f aca="false">IF(AND(ISNUMBER(C326),ISNUMBER(D326)),D326-C326,"")</f>
        <v>2</v>
      </c>
      <c r="Z326" s="23" t="n">
        <f aca="false">IF(B326="","",IF(MATCH(B326,$B$2:$B$12000,0)=ROW()-1,1,0))</f>
        <v>1</v>
      </c>
    </row>
    <row r="327" customFormat="false" ht="15" hidden="false" customHeight="false" outlineLevel="0" collapsed="false">
      <c r="A327" s="20" t="n">
        <v>326</v>
      </c>
      <c r="B327" s="20" t="s">
        <v>1044</v>
      </c>
      <c r="C327" s="21" t="n">
        <v>42314</v>
      </c>
      <c r="D327" s="21" t="n">
        <v>42316</v>
      </c>
      <c r="E327" s="20" t="s">
        <v>90</v>
      </c>
      <c r="F327" s="20" t="s">
        <v>560</v>
      </c>
      <c r="G327" s="20" t="s">
        <v>561</v>
      </c>
      <c r="H327" s="20" t="s">
        <v>85</v>
      </c>
      <c r="I327" s="20" t="s">
        <v>62</v>
      </c>
      <c r="J327" s="20" t="s">
        <v>63</v>
      </c>
      <c r="K327" s="20" t="s">
        <v>569</v>
      </c>
      <c r="L327" s="20" t="n">
        <v>65341</v>
      </c>
      <c r="M327" s="20" t="s">
        <v>153</v>
      </c>
      <c r="N327" s="20" t="s">
        <v>1046</v>
      </c>
      <c r="O327" s="20" t="s">
        <v>67</v>
      </c>
      <c r="P327" s="20" t="s">
        <v>106</v>
      </c>
      <c r="Q327" s="20" t="s">
        <v>1033</v>
      </c>
      <c r="R327" s="22" t="n">
        <v>2773.6</v>
      </c>
      <c r="S327" s="20" t="n">
        <v>4</v>
      </c>
      <c r="T327" s="20" t="n">
        <v>0</v>
      </c>
      <c r="U327" s="22" t="n">
        <v>454.46</v>
      </c>
      <c r="V327" s="23" t="n">
        <f aca="false">IF(ISNUMBER(C327),YEAR(C327),"")</f>
        <v>2015</v>
      </c>
      <c r="W327" s="23" t="n">
        <f aca="false">IF(ISNUMBER(C327),MONTH(C327),"")</f>
        <v>11</v>
      </c>
      <c r="X327" s="23" t="str">
        <f aca="false">IF(T327="","",IF(T327=0,"No discount",IF(T327&lt;=0.2,"Low (1-20%)",IF(T327&lt;=0.4,"Medium (21-40%)","High (&gt;40%)"))))</f>
        <v>No discount</v>
      </c>
      <c r="Y327" s="23" t="n">
        <f aca="false">IF(AND(ISNUMBER(C327),ISNUMBER(D327)),D327-C327,"")</f>
        <v>2</v>
      </c>
      <c r="Z327" s="23" t="n">
        <f aca="false">IF(B327="","",IF(MATCH(B327,$B$2:$B$12000,0)=ROW()-1,1,0))</f>
        <v>0</v>
      </c>
    </row>
    <row r="328" customFormat="false" ht="15" hidden="false" customHeight="false" outlineLevel="0" collapsed="false">
      <c r="A328" s="20" t="n">
        <v>327</v>
      </c>
      <c r="B328" s="20" t="s">
        <v>1047</v>
      </c>
      <c r="C328" s="21" t="n">
        <v>42315</v>
      </c>
      <c r="D328" s="21" t="n">
        <v>42322</v>
      </c>
      <c r="E328" s="20" t="s">
        <v>104</v>
      </c>
      <c r="F328" s="20" t="s">
        <v>436</v>
      </c>
      <c r="G328" s="20" t="s">
        <v>437</v>
      </c>
      <c r="H328" s="20" t="s">
        <v>61</v>
      </c>
      <c r="I328" s="20" t="s">
        <v>62</v>
      </c>
      <c r="J328" s="20" t="s">
        <v>63</v>
      </c>
      <c r="K328" s="20" t="s">
        <v>215</v>
      </c>
      <c r="L328" s="20" t="n">
        <v>92588</v>
      </c>
      <c r="M328" s="20" t="s">
        <v>112</v>
      </c>
      <c r="N328" s="20" t="s">
        <v>1048</v>
      </c>
      <c r="O328" s="20" t="s">
        <v>114</v>
      </c>
      <c r="P328" s="20" t="s">
        <v>115</v>
      </c>
      <c r="Q328" s="20" t="s">
        <v>929</v>
      </c>
      <c r="R328" s="22" t="n">
        <v>752.32</v>
      </c>
      <c r="S328" s="20" t="n">
        <v>5</v>
      </c>
      <c r="T328" s="20" t="n">
        <v>0</v>
      </c>
      <c r="U328" s="22" t="n">
        <v>80.89</v>
      </c>
      <c r="V328" s="23" t="n">
        <f aca="false">IF(ISNUMBER(C328),YEAR(C328),"")</f>
        <v>2015</v>
      </c>
      <c r="W328" s="23" t="n">
        <f aca="false">IF(ISNUMBER(C328),MONTH(C328),"")</f>
        <v>11</v>
      </c>
      <c r="X328" s="23" t="str">
        <f aca="false">IF(T328="","",IF(T328=0,"No discount",IF(T328&lt;=0.2,"Low (1-20%)",IF(T328&lt;=0.4,"Medium (21-40%)","High (&gt;40%)"))))</f>
        <v>No discount</v>
      </c>
      <c r="Y328" s="23" t="n">
        <f aca="false">IF(AND(ISNUMBER(C328),ISNUMBER(D328)),D328-C328,"")</f>
        <v>7</v>
      </c>
      <c r="Z328" s="23" t="n">
        <f aca="false">IF(B328="","",IF(MATCH(B328,$B$2:$B$12000,0)=ROW()-1,1,0))</f>
        <v>1</v>
      </c>
    </row>
    <row r="329" customFormat="false" ht="15" hidden="false" customHeight="false" outlineLevel="0" collapsed="false">
      <c r="A329" s="20" t="n">
        <v>328</v>
      </c>
      <c r="B329" s="20" t="s">
        <v>1049</v>
      </c>
      <c r="C329" s="21" t="n">
        <v>42316</v>
      </c>
      <c r="D329" s="21" t="n">
        <v>42317</v>
      </c>
      <c r="E329" s="20" t="s">
        <v>90</v>
      </c>
      <c r="F329" s="20" t="s">
        <v>630</v>
      </c>
      <c r="G329" s="20" t="s">
        <v>631</v>
      </c>
      <c r="H329" s="20" t="s">
        <v>85</v>
      </c>
      <c r="I329" s="20" t="s">
        <v>62</v>
      </c>
      <c r="J329" s="20" t="s">
        <v>63</v>
      </c>
      <c r="K329" s="20" t="s">
        <v>254</v>
      </c>
      <c r="L329" s="20" t="n">
        <v>52636</v>
      </c>
      <c r="M329" s="20" t="s">
        <v>112</v>
      </c>
      <c r="N329" s="20" t="s">
        <v>1050</v>
      </c>
      <c r="O329" s="20" t="s">
        <v>114</v>
      </c>
      <c r="P329" s="20" t="s">
        <v>210</v>
      </c>
      <c r="Q329" s="20" t="s">
        <v>1051</v>
      </c>
      <c r="R329" s="22" t="n">
        <v>74.55</v>
      </c>
      <c r="S329" s="20" t="n">
        <v>4</v>
      </c>
      <c r="T329" s="20" t="n">
        <v>0.2</v>
      </c>
      <c r="U329" s="22" t="n">
        <v>3.13</v>
      </c>
      <c r="V329" s="23" t="n">
        <f aca="false">IF(ISNUMBER(C329),YEAR(C329),"")</f>
        <v>2015</v>
      </c>
      <c r="W329" s="23" t="n">
        <f aca="false">IF(ISNUMBER(C329),MONTH(C329),"")</f>
        <v>11</v>
      </c>
      <c r="X329" s="23" t="str">
        <f aca="false">IF(T329="","",IF(T329=0,"No discount",IF(T329&lt;=0.2,"Low (1-20%)",IF(T329&lt;=0.4,"Medium (21-40%)","High (&gt;40%)"))))</f>
        <v>Low (1-20%)</v>
      </c>
      <c r="Y329" s="23" t="n">
        <f aca="false">IF(AND(ISNUMBER(C329),ISNUMBER(D329)),D329-C329,"")</f>
        <v>1</v>
      </c>
      <c r="Z329" s="23" t="n">
        <f aca="false">IF(B329="","",IF(MATCH(B329,$B$2:$B$12000,0)=ROW()-1,1,0))</f>
        <v>1</v>
      </c>
    </row>
    <row r="330" customFormat="false" ht="15" hidden="false" customHeight="false" outlineLevel="0" collapsed="false">
      <c r="A330" s="20" t="n">
        <v>329</v>
      </c>
      <c r="B330" s="20" t="s">
        <v>1049</v>
      </c>
      <c r="C330" s="21" t="n">
        <v>42316</v>
      </c>
      <c r="D330" s="21" t="n">
        <v>42317</v>
      </c>
      <c r="E330" s="20" t="s">
        <v>58</v>
      </c>
      <c r="F330" s="20" t="s">
        <v>630</v>
      </c>
      <c r="G330" s="20" t="s">
        <v>631</v>
      </c>
      <c r="H330" s="20" t="s">
        <v>85</v>
      </c>
      <c r="I330" s="20" t="s">
        <v>62</v>
      </c>
      <c r="J330" s="20" t="s">
        <v>63</v>
      </c>
      <c r="K330" s="20" t="s">
        <v>254</v>
      </c>
      <c r="L330" s="20" t="n">
        <v>29954</v>
      </c>
      <c r="M330" s="20" t="s">
        <v>112</v>
      </c>
      <c r="N330" s="20" t="s">
        <v>1052</v>
      </c>
      <c r="O330" s="20" t="s">
        <v>76</v>
      </c>
      <c r="P330" s="20" t="s">
        <v>122</v>
      </c>
      <c r="Q330" s="20" t="s">
        <v>699</v>
      </c>
      <c r="R330" s="22" t="n">
        <v>477.75</v>
      </c>
      <c r="S330" s="20" t="n">
        <v>8</v>
      </c>
      <c r="T330" s="20" t="n">
        <v>0</v>
      </c>
      <c r="U330" s="22" t="n">
        <v>163.16</v>
      </c>
      <c r="V330" s="23" t="n">
        <f aca="false">IF(ISNUMBER(C330),YEAR(C330),"")</f>
        <v>2015</v>
      </c>
      <c r="W330" s="23" t="n">
        <f aca="false">IF(ISNUMBER(C330),MONTH(C330),"")</f>
        <v>11</v>
      </c>
      <c r="X330" s="23" t="str">
        <f aca="false">IF(T330="","",IF(T330=0,"No discount",IF(T330&lt;=0.2,"Low (1-20%)",IF(T330&lt;=0.4,"Medium (21-40%)","High (&gt;40%)"))))</f>
        <v>No discount</v>
      </c>
      <c r="Y330" s="23" t="n">
        <f aca="false">IF(AND(ISNUMBER(C330),ISNUMBER(D330)),D330-C330,"")</f>
        <v>1</v>
      </c>
      <c r="Z330" s="23" t="n">
        <f aca="false">IF(B330="","",IF(MATCH(B330,$B$2:$B$12000,0)=ROW()-1,1,0))</f>
        <v>0</v>
      </c>
    </row>
    <row r="331" customFormat="false" ht="15" hidden="false" customHeight="false" outlineLevel="0" collapsed="false">
      <c r="A331" s="20" t="n">
        <v>330</v>
      </c>
      <c r="B331" s="20" t="s">
        <v>1053</v>
      </c>
      <c r="C331" s="21" t="n">
        <v>42316</v>
      </c>
      <c r="D331" s="21" t="n">
        <v>42317</v>
      </c>
      <c r="E331" s="20" t="s">
        <v>71</v>
      </c>
      <c r="F331" s="20" t="s">
        <v>174</v>
      </c>
      <c r="G331" s="20" t="s">
        <v>175</v>
      </c>
      <c r="H331" s="20" t="s">
        <v>162</v>
      </c>
      <c r="I331" s="20" t="s">
        <v>62</v>
      </c>
      <c r="J331" s="20" t="s">
        <v>63</v>
      </c>
      <c r="K331" s="20" t="s">
        <v>508</v>
      </c>
      <c r="L331" s="20" t="n">
        <v>69190</v>
      </c>
      <c r="M331" s="20" t="s">
        <v>153</v>
      </c>
      <c r="N331" s="20" t="s">
        <v>1054</v>
      </c>
      <c r="O331" s="20" t="s">
        <v>76</v>
      </c>
      <c r="P331" s="20" t="s">
        <v>88</v>
      </c>
      <c r="Q331" s="20" t="s">
        <v>1055</v>
      </c>
      <c r="R331" s="22" t="n">
        <v>1928.3</v>
      </c>
      <c r="S331" s="20" t="n">
        <v>8</v>
      </c>
      <c r="T331" s="20" t="n">
        <v>0.4</v>
      </c>
      <c r="U331" s="22" t="n">
        <v>-231.09</v>
      </c>
      <c r="V331" s="23" t="n">
        <f aca="false">IF(ISNUMBER(C331),YEAR(C331),"")</f>
        <v>2015</v>
      </c>
      <c r="W331" s="23" t="n">
        <f aca="false">IF(ISNUMBER(C331),MONTH(C331),"")</f>
        <v>11</v>
      </c>
      <c r="X331" s="23" t="str">
        <f aca="false">IF(T331="","",IF(T331=0,"No discount",IF(T331&lt;=0.2,"Low (1-20%)",IF(T331&lt;=0.4,"Medium (21-40%)","High (&gt;40%)"))))</f>
        <v>Medium (21-40%)</v>
      </c>
      <c r="Y331" s="23" t="n">
        <f aca="false">IF(AND(ISNUMBER(C331),ISNUMBER(D331)),D331-C331,"")</f>
        <v>1</v>
      </c>
      <c r="Z331" s="23" t="n">
        <f aca="false">IF(B331="","",IF(MATCH(B331,$B$2:$B$12000,0)=ROW()-1,1,0))</f>
        <v>1</v>
      </c>
    </row>
    <row r="332" customFormat="false" ht="15" hidden="false" customHeight="false" outlineLevel="0" collapsed="false">
      <c r="A332" s="20" t="n">
        <v>331</v>
      </c>
      <c r="B332" s="20" t="s">
        <v>1053</v>
      </c>
      <c r="C332" s="21" t="n">
        <v>42316</v>
      </c>
      <c r="D332" s="21" t="n">
        <v>42317</v>
      </c>
      <c r="E332" s="20" t="s">
        <v>58</v>
      </c>
      <c r="F332" s="20" t="s">
        <v>174</v>
      </c>
      <c r="G332" s="20" t="s">
        <v>175</v>
      </c>
      <c r="H332" s="20" t="s">
        <v>162</v>
      </c>
      <c r="I332" s="20" t="s">
        <v>62</v>
      </c>
      <c r="J332" s="20" t="s">
        <v>63</v>
      </c>
      <c r="K332" s="20" t="s">
        <v>508</v>
      </c>
      <c r="L332" s="20" t="n">
        <v>75111</v>
      </c>
      <c r="M332" s="20" t="s">
        <v>153</v>
      </c>
      <c r="N332" s="20" t="s">
        <v>1056</v>
      </c>
      <c r="O332" s="20" t="s">
        <v>76</v>
      </c>
      <c r="P332" s="20" t="s">
        <v>101</v>
      </c>
      <c r="Q332" s="20" t="s">
        <v>1057</v>
      </c>
      <c r="R332" s="22" t="n">
        <v>159.44</v>
      </c>
      <c r="S332" s="20" t="n">
        <v>7</v>
      </c>
      <c r="T332" s="20" t="n">
        <v>0.4</v>
      </c>
      <c r="U332" s="22" t="n">
        <v>36.74</v>
      </c>
      <c r="V332" s="23" t="n">
        <f aca="false">IF(ISNUMBER(C332),YEAR(C332),"")</f>
        <v>2015</v>
      </c>
      <c r="W332" s="23" t="n">
        <f aca="false">IF(ISNUMBER(C332),MONTH(C332),"")</f>
        <v>11</v>
      </c>
      <c r="X332" s="23" t="str">
        <f aca="false">IF(T332="","",IF(T332=0,"No discount",IF(T332&lt;=0.2,"Low (1-20%)",IF(T332&lt;=0.4,"Medium (21-40%)","High (&gt;40%)"))))</f>
        <v>Medium (21-40%)</v>
      </c>
      <c r="Y332" s="23" t="n">
        <f aca="false">IF(AND(ISNUMBER(C332),ISNUMBER(D332)),D332-C332,"")</f>
        <v>1</v>
      </c>
      <c r="Z332" s="23" t="n">
        <f aca="false">IF(B332="","",IF(MATCH(B332,$B$2:$B$12000,0)=ROW()-1,1,0))</f>
        <v>0</v>
      </c>
    </row>
    <row r="333" customFormat="false" ht="15" hidden="false" customHeight="false" outlineLevel="0" collapsed="false">
      <c r="A333" s="20" t="n">
        <v>332</v>
      </c>
      <c r="B333" s="20" t="s">
        <v>1058</v>
      </c>
      <c r="C333" s="21" t="n">
        <v>42321</v>
      </c>
      <c r="D333" s="21" t="n">
        <v>42327</v>
      </c>
      <c r="E333" s="20" t="s">
        <v>58</v>
      </c>
      <c r="F333" s="20" t="s">
        <v>59</v>
      </c>
      <c r="G333" s="20" t="s">
        <v>60</v>
      </c>
      <c r="H333" s="20" t="s">
        <v>61</v>
      </c>
      <c r="I333" s="20" t="s">
        <v>62</v>
      </c>
      <c r="J333" s="20" t="s">
        <v>63</v>
      </c>
      <c r="K333" s="20" t="s">
        <v>254</v>
      </c>
      <c r="L333" s="20" t="n">
        <v>84695</v>
      </c>
      <c r="M333" s="20" t="s">
        <v>112</v>
      </c>
      <c r="N333" s="20" t="s">
        <v>1059</v>
      </c>
      <c r="O333" s="20" t="s">
        <v>76</v>
      </c>
      <c r="P333" s="20" t="s">
        <v>178</v>
      </c>
      <c r="Q333" s="20" t="s">
        <v>1060</v>
      </c>
      <c r="R333" s="22" t="n">
        <v>70.94</v>
      </c>
      <c r="S333" s="20" t="n">
        <v>1</v>
      </c>
      <c r="T333" s="20" t="n">
        <v>0.2</v>
      </c>
      <c r="U333" s="22" t="n">
        <v>-14.6</v>
      </c>
      <c r="V333" s="23" t="n">
        <f aca="false">IF(ISNUMBER(C333),YEAR(C333),"")</f>
        <v>2015</v>
      </c>
      <c r="W333" s="23" t="n">
        <f aca="false">IF(ISNUMBER(C333),MONTH(C333),"")</f>
        <v>11</v>
      </c>
      <c r="X333" s="23" t="str">
        <f aca="false">IF(T333="","",IF(T333=0,"No discount",IF(T333&lt;=0.2,"Low (1-20%)",IF(T333&lt;=0.4,"Medium (21-40%)","High (&gt;40%)"))))</f>
        <v>Low (1-20%)</v>
      </c>
      <c r="Y333" s="23" t="n">
        <f aca="false">IF(AND(ISNUMBER(C333),ISNUMBER(D333)),D333-C333,"")</f>
        <v>6</v>
      </c>
      <c r="Z333" s="23" t="n">
        <f aca="false">IF(B333="","",IF(MATCH(B333,$B$2:$B$12000,0)=ROW()-1,1,0))</f>
        <v>1</v>
      </c>
    </row>
    <row r="334" customFormat="false" ht="15" hidden="false" customHeight="false" outlineLevel="0" collapsed="false">
      <c r="A334" s="20" t="n">
        <v>333</v>
      </c>
      <c r="B334" s="20" t="s">
        <v>1061</v>
      </c>
      <c r="C334" s="21" t="n">
        <v>42324</v>
      </c>
      <c r="D334" s="21" t="n">
        <v>42327</v>
      </c>
      <c r="E334" s="20" t="s">
        <v>71</v>
      </c>
      <c r="F334" s="20" t="s">
        <v>83</v>
      </c>
      <c r="G334" s="20" t="s">
        <v>84</v>
      </c>
      <c r="H334" s="20" t="s">
        <v>85</v>
      </c>
      <c r="I334" s="20" t="s">
        <v>62</v>
      </c>
      <c r="J334" s="20" t="s">
        <v>63</v>
      </c>
      <c r="K334" s="20" t="s">
        <v>196</v>
      </c>
      <c r="L334" s="20" t="n">
        <v>86007</v>
      </c>
      <c r="M334" s="20" t="s">
        <v>112</v>
      </c>
      <c r="N334" s="20" t="s">
        <v>1062</v>
      </c>
      <c r="O334" s="20" t="s">
        <v>67</v>
      </c>
      <c r="P334" s="20" t="s">
        <v>68</v>
      </c>
      <c r="Q334" s="20" t="s">
        <v>1063</v>
      </c>
      <c r="R334" s="22" t="n">
        <v>4690.35</v>
      </c>
      <c r="S334" s="20" t="n">
        <v>6</v>
      </c>
      <c r="T334" s="20" t="n">
        <v>0.2</v>
      </c>
      <c r="U334" s="22" t="n">
        <v>1005.57</v>
      </c>
      <c r="V334" s="23" t="n">
        <f aca="false">IF(ISNUMBER(C334),YEAR(C334),"")</f>
        <v>2015</v>
      </c>
      <c r="W334" s="23" t="n">
        <f aca="false">IF(ISNUMBER(C334),MONTH(C334),"")</f>
        <v>11</v>
      </c>
      <c r="X334" s="23" t="str">
        <f aca="false">IF(T334="","",IF(T334=0,"No discount",IF(T334&lt;=0.2,"Low (1-20%)",IF(T334&lt;=0.4,"Medium (21-40%)","High (&gt;40%)"))))</f>
        <v>Low (1-20%)</v>
      </c>
      <c r="Y334" s="23" t="n">
        <f aca="false">IF(AND(ISNUMBER(C334),ISNUMBER(D334)),D334-C334,"")</f>
        <v>3</v>
      </c>
      <c r="Z334" s="23" t="n">
        <f aca="false">IF(B334="","",IF(MATCH(B334,$B$2:$B$12000,0)=ROW()-1,1,0))</f>
        <v>1</v>
      </c>
    </row>
    <row r="335" customFormat="false" ht="15" hidden="false" customHeight="false" outlineLevel="0" collapsed="false">
      <c r="A335" s="20" t="n">
        <v>334</v>
      </c>
      <c r="B335" s="20" t="s">
        <v>1061</v>
      </c>
      <c r="C335" s="21" t="n">
        <v>42324</v>
      </c>
      <c r="D335" s="21" t="n">
        <v>42327</v>
      </c>
      <c r="E335" s="20" t="s">
        <v>90</v>
      </c>
      <c r="F335" s="20" t="s">
        <v>83</v>
      </c>
      <c r="G335" s="20" t="s">
        <v>84</v>
      </c>
      <c r="H335" s="20" t="s">
        <v>85</v>
      </c>
      <c r="I335" s="20" t="s">
        <v>62</v>
      </c>
      <c r="J335" s="20" t="s">
        <v>63</v>
      </c>
      <c r="K335" s="20" t="s">
        <v>196</v>
      </c>
      <c r="L335" s="20" t="n">
        <v>46059</v>
      </c>
      <c r="M335" s="20" t="s">
        <v>112</v>
      </c>
      <c r="N335" s="20" t="s">
        <v>1064</v>
      </c>
      <c r="O335" s="20" t="s">
        <v>76</v>
      </c>
      <c r="P335" s="20" t="s">
        <v>178</v>
      </c>
      <c r="Q335" s="20" t="s">
        <v>1065</v>
      </c>
      <c r="R335" s="22" t="n">
        <v>184.99</v>
      </c>
      <c r="S335" s="20" t="n">
        <v>5</v>
      </c>
      <c r="T335" s="20" t="n">
        <v>0.5</v>
      </c>
      <c r="U335" s="22" t="n">
        <v>-55.76</v>
      </c>
      <c r="V335" s="23" t="n">
        <f aca="false">IF(ISNUMBER(C335),YEAR(C335),"")</f>
        <v>2015</v>
      </c>
      <c r="W335" s="23" t="n">
        <f aca="false">IF(ISNUMBER(C335),MONTH(C335),"")</f>
        <v>11</v>
      </c>
      <c r="X335" s="23" t="str">
        <f aca="false">IF(T335="","",IF(T335=0,"No discount",IF(T335&lt;=0.2,"Low (1-20%)",IF(T335&lt;=0.4,"Medium (21-40%)","High (&gt;40%)"))))</f>
        <v>High (&gt;40%)</v>
      </c>
      <c r="Y335" s="23" t="n">
        <f aca="false">IF(AND(ISNUMBER(C335),ISNUMBER(D335)),D335-C335,"")</f>
        <v>3</v>
      </c>
      <c r="Z335" s="23" t="n">
        <f aca="false">IF(B335="","",IF(MATCH(B335,$B$2:$B$12000,0)=ROW()-1,1,0))</f>
        <v>0</v>
      </c>
    </row>
    <row r="336" customFormat="false" ht="15" hidden="false" customHeight="false" outlineLevel="0" collapsed="false">
      <c r="A336" s="20" t="n">
        <v>335</v>
      </c>
      <c r="B336" s="20" t="s">
        <v>1066</v>
      </c>
      <c r="C336" s="21" t="n">
        <v>42328</v>
      </c>
      <c r="D336" s="21" t="n">
        <v>42329</v>
      </c>
      <c r="E336" s="20" t="s">
        <v>71</v>
      </c>
      <c r="F336" s="20" t="s">
        <v>548</v>
      </c>
      <c r="G336" s="20" t="s">
        <v>549</v>
      </c>
      <c r="H336" s="20" t="s">
        <v>85</v>
      </c>
      <c r="I336" s="20" t="s">
        <v>62</v>
      </c>
      <c r="J336" s="20" t="s">
        <v>63</v>
      </c>
      <c r="K336" s="20" t="s">
        <v>111</v>
      </c>
      <c r="L336" s="20" t="n">
        <v>87197</v>
      </c>
      <c r="M336" s="20" t="s">
        <v>112</v>
      </c>
      <c r="N336" s="20" t="s">
        <v>1067</v>
      </c>
      <c r="O336" s="20" t="s">
        <v>114</v>
      </c>
      <c r="P336" s="20" t="s">
        <v>139</v>
      </c>
      <c r="Q336" s="20" t="s">
        <v>1068</v>
      </c>
      <c r="R336" s="22" t="n">
        <v>2607.79</v>
      </c>
      <c r="S336" s="20" t="n">
        <v>7</v>
      </c>
      <c r="T336" s="20" t="n">
        <v>0.1</v>
      </c>
      <c r="U336" s="22" t="n">
        <v>-376.65</v>
      </c>
      <c r="V336" s="23" t="n">
        <f aca="false">IF(ISNUMBER(C336),YEAR(C336),"")</f>
        <v>2015</v>
      </c>
      <c r="W336" s="23" t="n">
        <f aca="false">IF(ISNUMBER(C336),MONTH(C336),"")</f>
        <v>11</v>
      </c>
      <c r="X336" s="23" t="str">
        <f aca="false">IF(T336="","",IF(T336=0,"No discount",IF(T336&lt;=0.2,"Low (1-20%)",IF(T336&lt;=0.4,"Medium (21-40%)","High (&gt;40%)"))))</f>
        <v>Low (1-20%)</v>
      </c>
      <c r="Y336" s="23" t="n">
        <f aca="false">IF(AND(ISNUMBER(C336),ISNUMBER(D336)),D336-C336,"")</f>
        <v>1</v>
      </c>
      <c r="Z336" s="23" t="n">
        <f aca="false">IF(B336="","",IF(MATCH(B336,$B$2:$B$12000,0)=ROW()-1,1,0))</f>
        <v>1</v>
      </c>
    </row>
    <row r="337" customFormat="false" ht="15" hidden="false" customHeight="false" outlineLevel="0" collapsed="false">
      <c r="A337" s="20" t="n">
        <v>336</v>
      </c>
      <c r="B337" s="20" t="s">
        <v>1066</v>
      </c>
      <c r="C337" s="21" t="n">
        <v>42328</v>
      </c>
      <c r="D337" s="21" t="n">
        <v>42329</v>
      </c>
      <c r="E337" s="20" t="s">
        <v>104</v>
      </c>
      <c r="F337" s="20" t="s">
        <v>548</v>
      </c>
      <c r="G337" s="20" t="s">
        <v>549</v>
      </c>
      <c r="H337" s="20" t="s">
        <v>85</v>
      </c>
      <c r="I337" s="20" t="s">
        <v>62</v>
      </c>
      <c r="J337" s="20" t="s">
        <v>63</v>
      </c>
      <c r="K337" s="20" t="s">
        <v>111</v>
      </c>
      <c r="L337" s="20" t="n">
        <v>20663</v>
      </c>
      <c r="M337" s="20" t="s">
        <v>112</v>
      </c>
      <c r="N337" s="20" t="s">
        <v>1069</v>
      </c>
      <c r="O337" s="20" t="s">
        <v>76</v>
      </c>
      <c r="P337" s="20" t="s">
        <v>77</v>
      </c>
      <c r="Q337" s="20" t="s">
        <v>693</v>
      </c>
      <c r="R337" s="22" t="n">
        <v>262.36</v>
      </c>
      <c r="S337" s="20" t="n">
        <v>7</v>
      </c>
      <c r="T337" s="20" t="n">
        <v>0.3</v>
      </c>
      <c r="U337" s="22" t="n">
        <v>31.83</v>
      </c>
      <c r="V337" s="23" t="n">
        <f aca="false">IF(ISNUMBER(C337),YEAR(C337),"")</f>
        <v>2015</v>
      </c>
      <c r="W337" s="23" t="n">
        <f aca="false">IF(ISNUMBER(C337),MONTH(C337),"")</f>
        <v>11</v>
      </c>
      <c r="X337" s="23" t="str">
        <f aca="false">IF(T337="","",IF(T337=0,"No discount",IF(T337&lt;=0.2,"Low (1-20%)",IF(T337&lt;=0.4,"Medium (21-40%)","High (&gt;40%)"))))</f>
        <v>Medium (21-40%)</v>
      </c>
      <c r="Y337" s="23" t="n">
        <f aca="false">IF(AND(ISNUMBER(C337),ISNUMBER(D337)),D337-C337,"")</f>
        <v>1</v>
      </c>
      <c r="Z337" s="23" t="n">
        <f aca="false">IF(B337="","",IF(MATCH(B337,$B$2:$B$12000,0)=ROW()-1,1,0))</f>
        <v>0</v>
      </c>
    </row>
    <row r="338" customFormat="false" ht="15" hidden="false" customHeight="false" outlineLevel="0" collapsed="false">
      <c r="A338" s="20" t="n">
        <v>337</v>
      </c>
      <c r="B338" s="20" t="s">
        <v>1066</v>
      </c>
      <c r="C338" s="21" t="n">
        <v>42328</v>
      </c>
      <c r="D338" s="21" t="n">
        <v>42329</v>
      </c>
      <c r="E338" s="20" t="s">
        <v>104</v>
      </c>
      <c r="F338" s="20" t="s">
        <v>548</v>
      </c>
      <c r="G338" s="20" t="s">
        <v>549</v>
      </c>
      <c r="H338" s="20" t="s">
        <v>85</v>
      </c>
      <c r="I338" s="20" t="s">
        <v>62</v>
      </c>
      <c r="J338" s="20" t="s">
        <v>63</v>
      </c>
      <c r="K338" s="20" t="s">
        <v>111</v>
      </c>
      <c r="L338" s="20" t="n">
        <v>36960</v>
      </c>
      <c r="M338" s="20" t="s">
        <v>112</v>
      </c>
      <c r="N338" s="20" t="s">
        <v>1070</v>
      </c>
      <c r="O338" s="20" t="s">
        <v>76</v>
      </c>
      <c r="P338" s="20" t="s">
        <v>88</v>
      </c>
      <c r="Q338" s="20" t="s">
        <v>1071</v>
      </c>
      <c r="R338" s="22" t="n">
        <v>941.88</v>
      </c>
      <c r="S338" s="20" t="n">
        <v>8</v>
      </c>
      <c r="T338" s="20" t="n">
        <v>0.1</v>
      </c>
      <c r="U338" s="22" t="n">
        <v>63.27</v>
      </c>
      <c r="V338" s="23" t="n">
        <f aca="false">IF(ISNUMBER(C338),YEAR(C338),"")</f>
        <v>2015</v>
      </c>
      <c r="W338" s="23" t="n">
        <f aca="false">IF(ISNUMBER(C338),MONTH(C338),"")</f>
        <v>11</v>
      </c>
      <c r="X338" s="23" t="str">
        <f aca="false">IF(T338="","",IF(T338=0,"No discount",IF(T338&lt;=0.2,"Low (1-20%)",IF(T338&lt;=0.4,"Medium (21-40%)","High (&gt;40%)"))))</f>
        <v>Low (1-20%)</v>
      </c>
      <c r="Y338" s="23" t="n">
        <f aca="false">IF(AND(ISNUMBER(C338),ISNUMBER(D338)),D338-C338,"")</f>
        <v>1</v>
      </c>
      <c r="Z338" s="23" t="n">
        <f aca="false">IF(B338="","",IF(MATCH(B338,$B$2:$B$12000,0)=ROW()-1,1,0))</f>
        <v>0</v>
      </c>
    </row>
    <row r="339" customFormat="false" ht="15" hidden="false" customHeight="false" outlineLevel="0" collapsed="false">
      <c r="A339" s="20" t="n">
        <v>338</v>
      </c>
      <c r="B339" s="20" t="s">
        <v>1072</v>
      </c>
      <c r="C339" s="21" t="n">
        <v>42329</v>
      </c>
      <c r="D339" s="21" t="n">
        <v>42336</v>
      </c>
      <c r="E339" s="20" t="s">
        <v>90</v>
      </c>
      <c r="F339" s="20" t="s">
        <v>758</v>
      </c>
      <c r="G339" s="20" t="s">
        <v>759</v>
      </c>
      <c r="H339" s="20" t="s">
        <v>61</v>
      </c>
      <c r="I339" s="20" t="s">
        <v>62</v>
      </c>
      <c r="J339" s="20" t="s">
        <v>63</v>
      </c>
      <c r="K339" s="20" t="s">
        <v>1073</v>
      </c>
      <c r="L339" s="20" t="n">
        <v>99578</v>
      </c>
      <c r="M339" s="20" t="s">
        <v>97</v>
      </c>
      <c r="N339" s="20" t="s">
        <v>1074</v>
      </c>
      <c r="O339" s="20" t="s">
        <v>76</v>
      </c>
      <c r="P339" s="20" t="s">
        <v>185</v>
      </c>
      <c r="Q339" s="20" t="s">
        <v>1075</v>
      </c>
      <c r="R339" s="22" t="n">
        <v>52.8</v>
      </c>
      <c r="S339" s="20" t="n">
        <v>8</v>
      </c>
      <c r="T339" s="20" t="n">
        <v>0.7</v>
      </c>
      <c r="U339" s="22" t="n">
        <v>-8.09</v>
      </c>
      <c r="V339" s="23" t="n">
        <f aca="false">IF(ISNUMBER(C339),YEAR(C339),"")</f>
        <v>2015</v>
      </c>
      <c r="W339" s="23" t="n">
        <f aca="false">IF(ISNUMBER(C339),MONTH(C339),"")</f>
        <v>11</v>
      </c>
      <c r="X339" s="23" t="str">
        <f aca="false">IF(T339="","",IF(T339=0,"No discount",IF(T339&lt;=0.2,"Low (1-20%)",IF(T339&lt;=0.4,"Medium (21-40%)","High (&gt;40%)"))))</f>
        <v>High (&gt;40%)</v>
      </c>
      <c r="Y339" s="23" t="n">
        <f aca="false">IF(AND(ISNUMBER(C339),ISNUMBER(D339)),D339-C339,"")</f>
        <v>7</v>
      </c>
      <c r="Z339" s="23" t="n">
        <f aca="false">IF(B339="","",IF(MATCH(B339,$B$2:$B$12000,0)=ROW()-1,1,0))</f>
        <v>1</v>
      </c>
    </row>
    <row r="340" customFormat="false" ht="15" hidden="false" customHeight="false" outlineLevel="0" collapsed="false">
      <c r="A340" s="20" t="n">
        <v>339</v>
      </c>
      <c r="B340" s="20" t="s">
        <v>1072</v>
      </c>
      <c r="C340" s="21" t="n">
        <v>42329</v>
      </c>
      <c r="D340" s="21" t="n">
        <v>42336</v>
      </c>
      <c r="E340" s="20" t="s">
        <v>58</v>
      </c>
      <c r="F340" s="20" t="s">
        <v>758</v>
      </c>
      <c r="G340" s="20" t="s">
        <v>759</v>
      </c>
      <c r="H340" s="20" t="s">
        <v>61</v>
      </c>
      <c r="I340" s="20" t="s">
        <v>62</v>
      </c>
      <c r="J340" s="20" t="s">
        <v>63</v>
      </c>
      <c r="K340" s="20" t="s">
        <v>1073</v>
      </c>
      <c r="L340" s="20" t="n">
        <v>56087</v>
      </c>
      <c r="M340" s="20" t="s">
        <v>97</v>
      </c>
      <c r="N340" s="20" t="s">
        <v>1076</v>
      </c>
      <c r="O340" s="20" t="s">
        <v>114</v>
      </c>
      <c r="P340" s="20" t="s">
        <v>115</v>
      </c>
      <c r="Q340" s="20" t="s">
        <v>669</v>
      </c>
      <c r="R340" s="22" t="n">
        <v>2305.76</v>
      </c>
      <c r="S340" s="20" t="n">
        <v>5</v>
      </c>
      <c r="T340" s="20" t="n">
        <v>0</v>
      </c>
      <c r="U340" s="22" t="n">
        <v>355.14</v>
      </c>
      <c r="V340" s="23" t="n">
        <f aca="false">IF(ISNUMBER(C340),YEAR(C340),"")</f>
        <v>2015</v>
      </c>
      <c r="W340" s="23" t="n">
        <f aca="false">IF(ISNUMBER(C340),MONTH(C340),"")</f>
        <v>11</v>
      </c>
      <c r="X340" s="23" t="str">
        <f aca="false">IF(T340="","",IF(T340=0,"No discount",IF(T340&lt;=0.2,"Low (1-20%)",IF(T340&lt;=0.4,"Medium (21-40%)","High (&gt;40%)"))))</f>
        <v>No discount</v>
      </c>
      <c r="Y340" s="23" t="n">
        <f aca="false">IF(AND(ISNUMBER(C340),ISNUMBER(D340)),D340-C340,"")</f>
        <v>7</v>
      </c>
      <c r="Z340" s="23" t="n">
        <f aca="false">IF(B340="","",IF(MATCH(B340,$B$2:$B$12000,0)=ROW()-1,1,0))</f>
        <v>0</v>
      </c>
    </row>
    <row r="341" customFormat="false" ht="15" hidden="false" customHeight="false" outlineLevel="0" collapsed="false">
      <c r="A341" s="20" t="n">
        <v>340</v>
      </c>
      <c r="B341" s="20" t="s">
        <v>1077</v>
      </c>
      <c r="C341" s="21" t="n">
        <v>42334</v>
      </c>
      <c r="D341" s="21" t="n">
        <v>42335</v>
      </c>
      <c r="E341" s="20" t="s">
        <v>71</v>
      </c>
      <c r="F341" s="20" t="s">
        <v>333</v>
      </c>
      <c r="G341" s="20" t="s">
        <v>334</v>
      </c>
      <c r="H341" s="20" t="s">
        <v>85</v>
      </c>
      <c r="I341" s="20" t="s">
        <v>62</v>
      </c>
      <c r="J341" s="20" t="s">
        <v>63</v>
      </c>
      <c r="K341" s="20" t="s">
        <v>354</v>
      </c>
      <c r="L341" s="20" t="n">
        <v>38234</v>
      </c>
      <c r="M341" s="20" t="s">
        <v>153</v>
      </c>
      <c r="N341" s="20" t="s">
        <v>1078</v>
      </c>
      <c r="O341" s="20" t="s">
        <v>76</v>
      </c>
      <c r="P341" s="20" t="s">
        <v>88</v>
      </c>
      <c r="Q341" s="20" t="s">
        <v>1079</v>
      </c>
      <c r="R341" s="22" t="n">
        <v>860.31</v>
      </c>
      <c r="S341" s="20" t="n">
        <v>2</v>
      </c>
      <c r="T341" s="20" t="n">
        <v>0</v>
      </c>
      <c r="U341" s="22" t="n">
        <v>76.3</v>
      </c>
      <c r="V341" s="23" t="n">
        <f aca="false">IF(ISNUMBER(C341),YEAR(C341),"")</f>
        <v>2015</v>
      </c>
      <c r="W341" s="23" t="n">
        <f aca="false">IF(ISNUMBER(C341),MONTH(C341),"")</f>
        <v>11</v>
      </c>
      <c r="X341" s="23" t="str">
        <f aca="false">IF(T341="","",IF(T341=0,"No discount",IF(T341&lt;=0.2,"Low (1-20%)",IF(T341&lt;=0.4,"Medium (21-40%)","High (&gt;40%)"))))</f>
        <v>No discount</v>
      </c>
      <c r="Y341" s="23" t="n">
        <f aca="false">IF(AND(ISNUMBER(C341),ISNUMBER(D341)),D341-C341,"")</f>
        <v>1</v>
      </c>
      <c r="Z341" s="23" t="n">
        <f aca="false">IF(B341="","",IF(MATCH(B341,$B$2:$B$12000,0)=ROW()-1,1,0))</f>
        <v>1</v>
      </c>
    </row>
    <row r="342" customFormat="false" ht="15" hidden="false" customHeight="false" outlineLevel="0" collapsed="false">
      <c r="A342" s="20" t="n">
        <v>341</v>
      </c>
      <c r="B342" s="20" t="s">
        <v>1077</v>
      </c>
      <c r="C342" s="21" t="n">
        <v>42334</v>
      </c>
      <c r="D342" s="21" t="n">
        <v>42335</v>
      </c>
      <c r="E342" s="20" t="s">
        <v>71</v>
      </c>
      <c r="F342" s="20" t="s">
        <v>333</v>
      </c>
      <c r="G342" s="20" t="s">
        <v>334</v>
      </c>
      <c r="H342" s="20" t="s">
        <v>85</v>
      </c>
      <c r="I342" s="20" t="s">
        <v>62</v>
      </c>
      <c r="J342" s="20" t="s">
        <v>63</v>
      </c>
      <c r="K342" s="20" t="s">
        <v>354</v>
      </c>
      <c r="L342" s="20" t="n">
        <v>94551</v>
      </c>
      <c r="M342" s="20" t="s">
        <v>153</v>
      </c>
      <c r="N342" s="20" t="s">
        <v>1080</v>
      </c>
      <c r="O342" s="20" t="s">
        <v>76</v>
      </c>
      <c r="P342" s="20" t="s">
        <v>77</v>
      </c>
      <c r="Q342" s="20" t="s">
        <v>1081</v>
      </c>
      <c r="R342" s="22" t="n">
        <v>204.78</v>
      </c>
      <c r="S342" s="20" t="n">
        <v>5</v>
      </c>
      <c r="T342" s="20" t="n">
        <v>0.2</v>
      </c>
      <c r="U342" s="22" t="n">
        <v>6.72</v>
      </c>
      <c r="V342" s="23" t="n">
        <f aca="false">IF(ISNUMBER(C342),YEAR(C342),"")</f>
        <v>2015</v>
      </c>
      <c r="W342" s="23" t="n">
        <f aca="false">IF(ISNUMBER(C342),MONTH(C342),"")</f>
        <v>11</v>
      </c>
      <c r="X342" s="23" t="str">
        <f aca="false">IF(T342="","",IF(T342=0,"No discount",IF(T342&lt;=0.2,"Low (1-20%)",IF(T342&lt;=0.4,"Medium (21-40%)","High (&gt;40%)"))))</f>
        <v>Low (1-20%)</v>
      </c>
      <c r="Y342" s="23" t="n">
        <f aca="false">IF(AND(ISNUMBER(C342),ISNUMBER(D342)),D342-C342,"")</f>
        <v>1</v>
      </c>
      <c r="Z342" s="23" t="n">
        <f aca="false">IF(B342="","",IF(MATCH(B342,$B$2:$B$12000,0)=ROW()-1,1,0))</f>
        <v>0</v>
      </c>
    </row>
    <row r="343" customFormat="false" ht="15" hidden="false" customHeight="false" outlineLevel="0" collapsed="false">
      <c r="A343" s="20" t="n">
        <v>342</v>
      </c>
      <c r="B343" s="20" t="s">
        <v>1082</v>
      </c>
      <c r="C343" s="21" t="n">
        <v>42335</v>
      </c>
      <c r="D343" s="21" t="n">
        <v>42337</v>
      </c>
      <c r="E343" s="20" t="s">
        <v>71</v>
      </c>
      <c r="F343" s="20" t="s">
        <v>333</v>
      </c>
      <c r="G343" s="20" t="s">
        <v>334</v>
      </c>
      <c r="H343" s="20" t="s">
        <v>85</v>
      </c>
      <c r="I343" s="20" t="s">
        <v>62</v>
      </c>
      <c r="J343" s="20" t="s">
        <v>63</v>
      </c>
      <c r="K343" s="20" t="s">
        <v>296</v>
      </c>
      <c r="L343" s="20" t="n">
        <v>38987</v>
      </c>
      <c r="M343" s="20" t="s">
        <v>153</v>
      </c>
      <c r="N343" s="20" t="s">
        <v>1083</v>
      </c>
      <c r="O343" s="20" t="s">
        <v>114</v>
      </c>
      <c r="P343" s="20" t="s">
        <v>115</v>
      </c>
      <c r="Q343" s="20" t="s">
        <v>277</v>
      </c>
      <c r="R343" s="22" t="n">
        <v>2000.89</v>
      </c>
      <c r="S343" s="20" t="n">
        <v>8</v>
      </c>
      <c r="T343" s="20" t="n">
        <v>0</v>
      </c>
      <c r="U343" s="22" t="n">
        <v>41.76</v>
      </c>
      <c r="V343" s="23" t="n">
        <f aca="false">IF(ISNUMBER(C343),YEAR(C343),"")</f>
        <v>2015</v>
      </c>
      <c r="W343" s="23" t="n">
        <f aca="false">IF(ISNUMBER(C343),MONTH(C343),"")</f>
        <v>11</v>
      </c>
      <c r="X343" s="23" t="str">
        <f aca="false">IF(T343="","",IF(T343=0,"No discount",IF(T343&lt;=0.2,"Low (1-20%)",IF(T343&lt;=0.4,"Medium (21-40%)","High (&gt;40%)"))))</f>
        <v>No discount</v>
      </c>
      <c r="Y343" s="23" t="n">
        <f aca="false">IF(AND(ISNUMBER(C343),ISNUMBER(D343)),D343-C343,"")</f>
        <v>2</v>
      </c>
      <c r="Z343" s="23" t="n">
        <f aca="false">IF(B343="","",IF(MATCH(B343,$B$2:$B$12000,0)=ROW()-1,1,0))</f>
        <v>1</v>
      </c>
    </row>
    <row r="344" customFormat="false" ht="15" hidden="false" customHeight="false" outlineLevel="0" collapsed="false">
      <c r="A344" s="20" t="n">
        <v>343</v>
      </c>
      <c r="B344" s="20" t="s">
        <v>1082</v>
      </c>
      <c r="C344" s="21" t="n">
        <v>42335</v>
      </c>
      <c r="D344" s="21" t="n">
        <v>42337</v>
      </c>
      <c r="E344" s="20" t="s">
        <v>90</v>
      </c>
      <c r="F344" s="20" t="s">
        <v>333</v>
      </c>
      <c r="G344" s="20" t="s">
        <v>334</v>
      </c>
      <c r="H344" s="20" t="s">
        <v>85</v>
      </c>
      <c r="I344" s="20" t="s">
        <v>62</v>
      </c>
      <c r="J344" s="20" t="s">
        <v>63</v>
      </c>
      <c r="K344" s="20" t="s">
        <v>296</v>
      </c>
      <c r="L344" s="20" t="n">
        <v>71558</v>
      </c>
      <c r="M344" s="20" t="s">
        <v>153</v>
      </c>
      <c r="N344" s="20" t="s">
        <v>1084</v>
      </c>
      <c r="O344" s="20" t="s">
        <v>76</v>
      </c>
      <c r="P344" s="20" t="s">
        <v>77</v>
      </c>
      <c r="Q344" s="20" t="s">
        <v>962</v>
      </c>
      <c r="R344" s="22" t="n">
        <v>165.29</v>
      </c>
      <c r="S344" s="20" t="n">
        <v>7</v>
      </c>
      <c r="T344" s="20" t="n">
        <v>0.4</v>
      </c>
      <c r="U344" s="22" t="n">
        <v>7.25</v>
      </c>
      <c r="V344" s="23" t="n">
        <f aca="false">IF(ISNUMBER(C344),YEAR(C344),"")</f>
        <v>2015</v>
      </c>
      <c r="W344" s="23" t="n">
        <f aca="false">IF(ISNUMBER(C344),MONTH(C344),"")</f>
        <v>11</v>
      </c>
      <c r="X344" s="23" t="str">
        <f aca="false">IF(T344="","",IF(T344=0,"No discount",IF(T344&lt;=0.2,"Low (1-20%)",IF(T344&lt;=0.4,"Medium (21-40%)","High (&gt;40%)"))))</f>
        <v>Medium (21-40%)</v>
      </c>
      <c r="Y344" s="23" t="n">
        <f aca="false">IF(AND(ISNUMBER(C344),ISNUMBER(D344)),D344-C344,"")</f>
        <v>2</v>
      </c>
      <c r="Z344" s="23" t="n">
        <f aca="false">IF(B344="","",IF(MATCH(B344,$B$2:$B$12000,0)=ROW()-1,1,0))</f>
        <v>0</v>
      </c>
    </row>
    <row r="345" customFormat="false" ht="15" hidden="false" customHeight="false" outlineLevel="0" collapsed="false">
      <c r="A345" s="20" t="n">
        <v>344</v>
      </c>
      <c r="B345" s="20" t="s">
        <v>1082</v>
      </c>
      <c r="C345" s="21" t="n">
        <v>42335</v>
      </c>
      <c r="D345" s="21" t="n">
        <v>42337</v>
      </c>
      <c r="E345" s="20" t="s">
        <v>58</v>
      </c>
      <c r="F345" s="20" t="s">
        <v>333</v>
      </c>
      <c r="G345" s="20" t="s">
        <v>334</v>
      </c>
      <c r="H345" s="20" t="s">
        <v>85</v>
      </c>
      <c r="I345" s="20" t="s">
        <v>62</v>
      </c>
      <c r="J345" s="20" t="s">
        <v>63</v>
      </c>
      <c r="K345" s="20" t="s">
        <v>296</v>
      </c>
      <c r="L345" s="20" t="n">
        <v>43921</v>
      </c>
      <c r="M345" s="20" t="s">
        <v>153</v>
      </c>
      <c r="N345" s="20" t="s">
        <v>1085</v>
      </c>
      <c r="O345" s="20" t="s">
        <v>114</v>
      </c>
      <c r="P345" s="20" t="s">
        <v>167</v>
      </c>
      <c r="Q345" s="20" t="s">
        <v>1086</v>
      </c>
      <c r="R345" s="22" t="n">
        <v>629.19</v>
      </c>
      <c r="S345" s="20" t="n">
        <v>4</v>
      </c>
      <c r="T345" s="20" t="n">
        <v>0.7</v>
      </c>
      <c r="U345" s="22" t="n">
        <v>-318.96</v>
      </c>
      <c r="V345" s="23" t="n">
        <f aca="false">IF(ISNUMBER(C345),YEAR(C345),"")</f>
        <v>2015</v>
      </c>
      <c r="W345" s="23" t="n">
        <f aca="false">IF(ISNUMBER(C345),MONTH(C345),"")</f>
        <v>11</v>
      </c>
      <c r="X345" s="23" t="str">
        <f aca="false">IF(T345="","",IF(T345=0,"No discount",IF(T345&lt;=0.2,"Low (1-20%)",IF(T345&lt;=0.4,"Medium (21-40%)","High (&gt;40%)"))))</f>
        <v>High (&gt;40%)</v>
      </c>
      <c r="Y345" s="23" t="n">
        <f aca="false">IF(AND(ISNUMBER(C345),ISNUMBER(D345)),D345-C345,"")</f>
        <v>2</v>
      </c>
      <c r="Z345" s="23" t="n">
        <f aca="false">IF(B345="","",IF(MATCH(B345,$B$2:$B$12000,0)=ROW()-1,1,0))</f>
        <v>0</v>
      </c>
    </row>
    <row r="346" customFormat="false" ht="15" hidden="false" customHeight="false" outlineLevel="0" collapsed="false">
      <c r="A346" s="20" t="n">
        <v>345</v>
      </c>
      <c r="B346" s="20" t="s">
        <v>1087</v>
      </c>
      <c r="C346" s="21" t="n">
        <v>42336</v>
      </c>
      <c r="D346" s="21" t="n">
        <v>42341</v>
      </c>
      <c r="E346" s="20" t="s">
        <v>71</v>
      </c>
      <c r="F346" s="20" t="s">
        <v>544</v>
      </c>
      <c r="G346" s="20" t="s">
        <v>545</v>
      </c>
      <c r="H346" s="20" t="s">
        <v>85</v>
      </c>
      <c r="I346" s="20" t="s">
        <v>62</v>
      </c>
      <c r="J346" s="20" t="s">
        <v>63</v>
      </c>
      <c r="K346" s="20" t="s">
        <v>96</v>
      </c>
      <c r="L346" s="20" t="n">
        <v>82618</v>
      </c>
      <c r="M346" s="20" t="s">
        <v>97</v>
      </c>
      <c r="N346" s="20" t="s">
        <v>1088</v>
      </c>
      <c r="O346" s="20" t="s">
        <v>76</v>
      </c>
      <c r="P346" s="20" t="s">
        <v>80</v>
      </c>
      <c r="Q346" s="20" t="s">
        <v>198</v>
      </c>
      <c r="R346" s="22" t="n">
        <v>104.18</v>
      </c>
      <c r="S346" s="20" t="n">
        <v>3</v>
      </c>
      <c r="T346" s="20" t="n">
        <v>0.3</v>
      </c>
      <c r="U346" s="22" t="n">
        <v>18.62</v>
      </c>
      <c r="V346" s="23" t="n">
        <f aca="false">IF(ISNUMBER(C346),YEAR(C346),"")</f>
        <v>2015</v>
      </c>
      <c r="W346" s="23" t="n">
        <f aca="false">IF(ISNUMBER(C346),MONTH(C346),"")</f>
        <v>11</v>
      </c>
      <c r="X346" s="23" t="str">
        <f aca="false">IF(T346="","",IF(T346=0,"No discount",IF(T346&lt;=0.2,"Low (1-20%)",IF(T346&lt;=0.4,"Medium (21-40%)","High (&gt;40%)"))))</f>
        <v>Medium (21-40%)</v>
      </c>
      <c r="Y346" s="23" t="n">
        <f aca="false">IF(AND(ISNUMBER(C346),ISNUMBER(D346)),D346-C346,"")</f>
        <v>5</v>
      </c>
      <c r="Z346" s="23" t="n">
        <f aca="false">IF(B346="","",IF(MATCH(B346,$B$2:$B$12000,0)=ROW()-1,1,0))</f>
        <v>1</v>
      </c>
    </row>
    <row r="347" customFormat="false" ht="15" hidden="false" customHeight="false" outlineLevel="0" collapsed="false">
      <c r="A347" s="20" t="n">
        <v>346</v>
      </c>
      <c r="B347" s="20" t="s">
        <v>1089</v>
      </c>
      <c r="C347" s="21" t="n">
        <v>42339</v>
      </c>
      <c r="D347" s="21" t="n">
        <v>42341</v>
      </c>
      <c r="E347" s="20" t="s">
        <v>58</v>
      </c>
      <c r="F347" s="20" t="s">
        <v>125</v>
      </c>
      <c r="G347" s="20" t="s">
        <v>126</v>
      </c>
      <c r="H347" s="20" t="s">
        <v>61</v>
      </c>
      <c r="I347" s="20" t="s">
        <v>62</v>
      </c>
      <c r="J347" s="20" t="s">
        <v>63</v>
      </c>
      <c r="K347" s="20" t="s">
        <v>296</v>
      </c>
      <c r="L347" s="20" t="n">
        <v>75361</v>
      </c>
      <c r="M347" s="20" t="s">
        <v>153</v>
      </c>
      <c r="N347" s="20" t="s">
        <v>1090</v>
      </c>
      <c r="O347" s="20" t="s">
        <v>76</v>
      </c>
      <c r="P347" s="20" t="s">
        <v>77</v>
      </c>
      <c r="Q347" s="20" t="s">
        <v>1091</v>
      </c>
      <c r="R347" s="22" t="n">
        <v>277.38</v>
      </c>
      <c r="S347" s="20" t="n">
        <v>6</v>
      </c>
      <c r="T347" s="20" t="n">
        <v>0.2</v>
      </c>
      <c r="U347" s="22" t="n">
        <v>28.79</v>
      </c>
      <c r="V347" s="23" t="n">
        <f aca="false">IF(ISNUMBER(C347),YEAR(C347),"")</f>
        <v>2015</v>
      </c>
      <c r="W347" s="23" t="n">
        <f aca="false">IF(ISNUMBER(C347),MONTH(C347),"")</f>
        <v>12</v>
      </c>
      <c r="X347" s="23" t="str">
        <f aca="false">IF(T347="","",IF(T347=0,"No discount",IF(T347&lt;=0.2,"Low (1-20%)",IF(T347&lt;=0.4,"Medium (21-40%)","High (&gt;40%)"))))</f>
        <v>Low (1-20%)</v>
      </c>
      <c r="Y347" s="23" t="n">
        <f aca="false">IF(AND(ISNUMBER(C347),ISNUMBER(D347)),D347-C347,"")</f>
        <v>2</v>
      </c>
      <c r="Z347" s="23" t="n">
        <f aca="false">IF(B347="","",IF(MATCH(B347,$B$2:$B$12000,0)=ROW()-1,1,0))</f>
        <v>1</v>
      </c>
    </row>
    <row r="348" customFormat="false" ht="15" hidden="false" customHeight="false" outlineLevel="0" collapsed="false">
      <c r="A348" s="20" t="n">
        <v>347</v>
      </c>
      <c r="B348" s="20" t="s">
        <v>1089</v>
      </c>
      <c r="C348" s="21" t="n">
        <v>42339</v>
      </c>
      <c r="D348" s="21" t="n">
        <v>42341</v>
      </c>
      <c r="E348" s="20" t="s">
        <v>104</v>
      </c>
      <c r="F348" s="20" t="s">
        <v>125</v>
      </c>
      <c r="G348" s="20" t="s">
        <v>126</v>
      </c>
      <c r="H348" s="20" t="s">
        <v>61</v>
      </c>
      <c r="I348" s="20" t="s">
        <v>62</v>
      </c>
      <c r="J348" s="20" t="s">
        <v>63</v>
      </c>
      <c r="K348" s="20" t="s">
        <v>296</v>
      </c>
      <c r="L348" s="20" t="n">
        <v>69670</v>
      </c>
      <c r="M348" s="20" t="s">
        <v>153</v>
      </c>
      <c r="N348" s="20" t="s">
        <v>1092</v>
      </c>
      <c r="O348" s="20" t="s">
        <v>76</v>
      </c>
      <c r="P348" s="20" t="s">
        <v>178</v>
      </c>
      <c r="Q348" s="20" t="s">
        <v>1093</v>
      </c>
      <c r="R348" s="22" t="n">
        <v>375.33</v>
      </c>
      <c r="S348" s="20" t="n">
        <v>3</v>
      </c>
      <c r="T348" s="20" t="n">
        <v>0.2</v>
      </c>
      <c r="U348" s="22" t="n">
        <v>-53.63</v>
      </c>
      <c r="V348" s="23" t="n">
        <f aca="false">IF(ISNUMBER(C348),YEAR(C348),"")</f>
        <v>2015</v>
      </c>
      <c r="W348" s="23" t="n">
        <f aca="false">IF(ISNUMBER(C348),MONTH(C348),"")</f>
        <v>12</v>
      </c>
      <c r="X348" s="23" t="str">
        <f aca="false">IF(T348="","",IF(T348=0,"No discount",IF(T348&lt;=0.2,"Low (1-20%)",IF(T348&lt;=0.4,"Medium (21-40%)","High (&gt;40%)"))))</f>
        <v>Low (1-20%)</v>
      </c>
      <c r="Y348" s="23" t="n">
        <f aca="false">IF(AND(ISNUMBER(C348),ISNUMBER(D348)),D348-C348,"")</f>
        <v>2</v>
      </c>
      <c r="Z348" s="23" t="n">
        <f aca="false">IF(B348="","",IF(MATCH(B348,$B$2:$B$12000,0)=ROW()-1,1,0))</f>
        <v>0</v>
      </c>
    </row>
    <row r="349" customFormat="false" ht="15" hidden="false" customHeight="false" outlineLevel="0" collapsed="false">
      <c r="A349" s="20" t="n">
        <v>348</v>
      </c>
      <c r="B349" s="20" t="s">
        <v>1094</v>
      </c>
      <c r="C349" s="21" t="n">
        <v>42340</v>
      </c>
      <c r="D349" s="21" t="n">
        <v>42346</v>
      </c>
      <c r="E349" s="20" t="s">
        <v>58</v>
      </c>
      <c r="F349" s="20" t="s">
        <v>319</v>
      </c>
      <c r="G349" s="20" t="s">
        <v>320</v>
      </c>
      <c r="H349" s="20" t="s">
        <v>61</v>
      </c>
      <c r="I349" s="20" t="s">
        <v>62</v>
      </c>
      <c r="J349" s="20" t="s">
        <v>63</v>
      </c>
      <c r="K349" s="20" t="s">
        <v>393</v>
      </c>
      <c r="L349" s="20" t="n">
        <v>49358</v>
      </c>
      <c r="M349" s="20" t="s">
        <v>97</v>
      </c>
      <c r="N349" s="20" t="s">
        <v>1095</v>
      </c>
      <c r="O349" s="20" t="s">
        <v>76</v>
      </c>
      <c r="P349" s="20" t="s">
        <v>122</v>
      </c>
      <c r="Q349" s="20" t="s">
        <v>1096</v>
      </c>
      <c r="R349" s="22" t="n">
        <v>36.86</v>
      </c>
      <c r="S349" s="20" t="n">
        <v>3</v>
      </c>
      <c r="T349" s="20" t="n">
        <v>0.2</v>
      </c>
      <c r="U349" s="22" t="n">
        <v>10.34</v>
      </c>
      <c r="V349" s="23" t="n">
        <f aca="false">IF(ISNUMBER(C349),YEAR(C349),"")</f>
        <v>2015</v>
      </c>
      <c r="W349" s="23" t="n">
        <f aca="false">IF(ISNUMBER(C349),MONTH(C349),"")</f>
        <v>12</v>
      </c>
      <c r="X349" s="23" t="str">
        <f aca="false">IF(T349="","",IF(T349=0,"No discount",IF(T349&lt;=0.2,"Low (1-20%)",IF(T349&lt;=0.4,"Medium (21-40%)","High (&gt;40%)"))))</f>
        <v>Low (1-20%)</v>
      </c>
      <c r="Y349" s="23" t="n">
        <f aca="false">IF(AND(ISNUMBER(C349),ISNUMBER(D349)),D349-C349,"")</f>
        <v>6</v>
      </c>
      <c r="Z349" s="23" t="n">
        <f aca="false">IF(B349="","",IF(MATCH(B349,$B$2:$B$12000,0)=ROW()-1,1,0))</f>
        <v>1</v>
      </c>
    </row>
    <row r="350" customFormat="false" ht="15" hidden="false" customHeight="false" outlineLevel="0" collapsed="false">
      <c r="A350" s="20" t="n">
        <v>349</v>
      </c>
      <c r="B350" s="20" t="s">
        <v>1097</v>
      </c>
      <c r="C350" s="21" t="n">
        <v>42341</v>
      </c>
      <c r="D350" s="21" t="n">
        <v>42346</v>
      </c>
      <c r="E350" s="20" t="s">
        <v>58</v>
      </c>
      <c r="F350" s="20" t="s">
        <v>223</v>
      </c>
      <c r="G350" s="20" t="s">
        <v>224</v>
      </c>
      <c r="H350" s="20" t="s">
        <v>61</v>
      </c>
      <c r="I350" s="20" t="s">
        <v>62</v>
      </c>
      <c r="J350" s="20" t="s">
        <v>63</v>
      </c>
      <c r="K350" s="20" t="s">
        <v>215</v>
      </c>
      <c r="L350" s="20" t="n">
        <v>97695</v>
      </c>
      <c r="M350" s="20" t="s">
        <v>112</v>
      </c>
      <c r="N350" s="20" t="s">
        <v>1098</v>
      </c>
      <c r="O350" s="20" t="s">
        <v>114</v>
      </c>
      <c r="P350" s="20" t="s">
        <v>139</v>
      </c>
      <c r="Q350" s="20" t="s">
        <v>1099</v>
      </c>
      <c r="R350" s="22" t="n">
        <v>436.59</v>
      </c>
      <c r="S350" s="20" t="n">
        <v>4</v>
      </c>
      <c r="T350" s="20" t="n">
        <v>0.4</v>
      </c>
      <c r="U350" s="22" t="n">
        <v>-128.09</v>
      </c>
      <c r="V350" s="23" t="n">
        <f aca="false">IF(ISNUMBER(C350),YEAR(C350),"")</f>
        <v>2015</v>
      </c>
      <c r="W350" s="23" t="n">
        <f aca="false">IF(ISNUMBER(C350),MONTH(C350),"")</f>
        <v>12</v>
      </c>
      <c r="X350" s="23" t="str">
        <f aca="false">IF(T350="","",IF(T350=0,"No discount",IF(T350&lt;=0.2,"Low (1-20%)",IF(T350&lt;=0.4,"Medium (21-40%)","High (&gt;40%)"))))</f>
        <v>Medium (21-40%)</v>
      </c>
      <c r="Y350" s="23" t="n">
        <f aca="false">IF(AND(ISNUMBER(C350),ISNUMBER(D350)),D350-C350,"")</f>
        <v>5</v>
      </c>
      <c r="Z350" s="23" t="n">
        <f aca="false">IF(B350="","",IF(MATCH(B350,$B$2:$B$12000,0)=ROW()-1,1,0))</f>
        <v>1</v>
      </c>
    </row>
    <row r="351" customFormat="false" ht="15" hidden="false" customHeight="false" outlineLevel="0" collapsed="false">
      <c r="A351" s="20" t="n">
        <v>350</v>
      </c>
      <c r="B351" s="20" t="s">
        <v>1100</v>
      </c>
      <c r="C351" s="21" t="n">
        <v>42341</v>
      </c>
      <c r="D351" s="21" t="n">
        <v>42343</v>
      </c>
      <c r="E351" s="20" t="s">
        <v>71</v>
      </c>
      <c r="F351" s="20" t="s">
        <v>258</v>
      </c>
      <c r="G351" s="20" t="s">
        <v>259</v>
      </c>
      <c r="H351" s="20" t="s">
        <v>85</v>
      </c>
      <c r="I351" s="20" t="s">
        <v>62</v>
      </c>
      <c r="J351" s="20" t="s">
        <v>63</v>
      </c>
      <c r="K351" s="20" t="s">
        <v>525</v>
      </c>
      <c r="L351" s="20" t="n">
        <v>46764</v>
      </c>
      <c r="M351" s="20" t="s">
        <v>97</v>
      </c>
      <c r="N351" s="20" t="s">
        <v>1101</v>
      </c>
      <c r="O351" s="20" t="s">
        <v>76</v>
      </c>
      <c r="P351" s="20" t="s">
        <v>88</v>
      </c>
      <c r="Q351" s="20" t="s">
        <v>1102</v>
      </c>
      <c r="R351" s="22" t="n">
        <v>2441.06</v>
      </c>
      <c r="S351" s="20" t="n">
        <v>5</v>
      </c>
      <c r="T351" s="20" t="n">
        <v>0</v>
      </c>
      <c r="U351" s="22" t="n">
        <v>349.32</v>
      </c>
      <c r="V351" s="23" t="n">
        <f aca="false">IF(ISNUMBER(C351),YEAR(C351),"")</f>
        <v>2015</v>
      </c>
      <c r="W351" s="23" t="n">
        <f aca="false">IF(ISNUMBER(C351),MONTH(C351),"")</f>
        <v>12</v>
      </c>
      <c r="X351" s="23" t="str">
        <f aca="false">IF(T351="","",IF(T351=0,"No discount",IF(T351&lt;=0.2,"Low (1-20%)",IF(T351&lt;=0.4,"Medium (21-40%)","High (&gt;40%)"))))</f>
        <v>No discount</v>
      </c>
      <c r="Y351" s="23" t="n">
        <f aca="false">IF(AND(ISNUMBER(C351),ISNUMBER(D351)),D351-C351,"")</f>
        <v>2</v>
      </c>
      <c r="Z351" s="23" t="n">
        <f aca="false">IF(B351="","",IF(MATCH(B351,$B$2:$B$12000,0)=ROW()-1,1,0))</f>
        <v>1</v>
      </c>
    </row>
    <row r="352" customFormat="false" ht="15" hidden="false" customHeight="false" outlineLevel="0" collapsed="false">
      <c r="A352" s="20" t="n">
        <v>351</v>
      </c>
      <c r="B352" s="20" t="s">
        <v>1103</v>
      </c>
      <c r="C352" s="21" t="n">
        <v>42341</v>
      </c>
      <c r="D352" s="21" t="n">
        <v>42346</v>
      </c>
      <c r="E352" s="20" t="s">
        <v>58</v>
      </c>
      <c r="F352" s="20" t="s">
        <v>383</v>
      </c>
      <c r="G352" s="20" t="s">
        <v>384</v>
      </c>
      <c r="H352" s="20" t="s">
        <v>61</v>
      </c>
      <c r="I352" s="20" t="s">
        <v>62</v>
      </c>
      <c r="J352" s="20" t="s">
        <v>63</v>
      </c>
      <c r="K352" s="20" t="s">
        <v>74</v>
      </c>
      <c r="L352" s="20" t="n">
        <v>23324</v>
      </c>
      <c r="M352" s="20" t="s">
        <v>65</v>
      </c>
      <c r="N352" s="20" t="s">
        <v>1104</v>
      </c>
      <c r="O352" s="20" t="s">
        <v>76</v>
      </c>
      <c r="P352" s="20" t="s">
        <v>178</v>
      </c>
      <c r="Q352" s="20" t="s">
        <v>1105</v>
      </c>
      <c r="R352" s="22" t="n">
        <v>356.66</v>
      </c>
      <c r="S352" s="20" t="n">
        <v>3</v>
      </c>
      <c r="T352" s="20" t="n">
        <v>0</v>
      </c>
      <c r="U352" s="22" t="n">
        <v>38.69</v>
      </c>
      <c r="V352" s="23" t="n">
        <f aca="false">IF(ISNUMBER(C352),YEAR(C352),"")</f>
        <v>2015</v>
      </c>
      <c r="W352" s="23" t="n">
        <f aca="false">IF(ISNUMBER(C352),MONTH(C352),"")</f>
        <v>12</v>
      </c>
      <c r="X352" s="23" t="str">
        <f aca="false">IF(T352="","",IF(T352=0,"No discount",IF(T352&lt;=0.2,"Low (1-20%)",IF(T352&lt;=0.4,"Medium (21-40%)","High (&gt;40%)"))))</f>
        <v>No discount</v>
      </c>
      <c r="Y352" s="23" t="n">
        <f aca="false">IF(AND(ISNUMBER(C352),ISNUMBER(D352)),D352-C352,"")</f>
        <v>5</v>
      </c>
      <c r="Z352" s="23" t="n">
        <f aca="false">IF(B352="","",IF(MATCH(B352,$B$2:$B$12000,0)=ROW()-1,1,0))</f>
        <v>1</v>
      </c>
    </row>
    <row r="353" customFormat="false" ht="15" hidden="false" customHeight="false" outlineLevel="0" collapsed="false">
      <c r="A353" s="20" t="n">
        <v>352</v>
      </c>
      <c r="B353" s="20" t="s">
        <v>1106</v>
      </c>
      <c r="C353" s="21" t="n">
        <v>42343</v>
      </c>
      <c r="D353" s="21" t="n">
        <v>42349</v>
      </c>
      <c r="E353" s="20" t="s">
        <v>71</v>
      </c>
      <c r="F353" s="20" t="s">
        <v>200</v>
      </c>
      <c r="G353" s="20" t="s">
        <v>201</v>
      </c>
      <c r="H353" s="20" t="s">
        <v>162</v>
      </c>
      <c r="I353" s="20" t="s">
        <v>62</v>
      </c>
      <c r="J353" s="20" t="s">
        <v>63</v>
      </c>
      <c r="K353" s="20" t="s">
        <v>133</v>
      </c>
      <c r="L353" s="20" t="n">
        <v>18818</v>
      </c>
      <c r="M353" s="20" t="s">
        <v>97</v>
      </c>
      <c r="N353" s="20" t="s">
        <v>1107</v>
      </c>
      <c r="O353" s="20" t="s">
        <v>76</v>
      </c>
      <c r="P353" s="20" t="s">
        <v>101</v>
      </c>
      <c r="Q353" s="20" t="s">
        <v>307</v>
      </c>
      <c r="R353" s="22" t="n">
        <v>222.52</v>
      </c>
      <c r="S353" s="20" t="n">
        <v>7</v>
      </c>
      <c r="T353" s="20" t="n">
        <v>0.2</v>
      </c>
      <c r="U353" s="22" t="n">
        <v>60.51</v>
      </c>
      <c r="V353" s="23" t="n">
        <f aca="false">IF(ISNUMBER(C353),YEAR(C353),"")</f>
        <v>2015</v>
      </c>
      <c r="W353" s="23" t="n">
        <f aca="false">IF(ISNUMBER(C353),MONTH(C353),"")</f>
        <v>12</v>
      </c>
      <c r="X353" s="23" t="str">
        <f aca="false">IF(T353="","",IF(T353=0,"No discount",IF(T353&lt;=0.2,"Low (1-20%)",IF(T353&lt;=0.4,"Medium (21-40%)","High (&gt;40%)"))))</f>
        <v>Low (1-20%)</v>
      </c>
      <c r="Y353" s="23" t="n">
        <f aca="false">IF(AND(ISNUMBER(C353),ISNUMBER(D353)),D353-C353,"")</f>
        <v>6</v>
      </c>
      <c r="Z353" s="23" t="n">
        <f aca="false">IF(B353="","",IF(MATCH(B353,$B$2:$B$12000,0)=ROW()-1,1,0))</f>
        <v>1</v>
      </c>
    </row>
    <row r="354" customFormat="false" ht="15" hidden="false" customHeight="false" outlineLevel="0" collapsed="false">
      <c r="A354" s="20" t="n">
        <v>353</v>
      </c>
      <c r="B354" s="20" t="s">
        <v>1108</v>
      </c>
      <c r="C354" s="21" t="n">
        <v>42344</v>
      </c>
      <c r="D354" s="21" t="n">
        <v>42347</v>
      </c>
      <c r="E354" s="20" t="s">
        <v>90</v>
      </c>
      <c r="F354" s="20" t="s">
        <v>144</v>
      </c>
      <c r="G354" s="20" t="s">
        <v>145</v>
      </c>
      <c r="H354" s="20" t="s">
        <v>85</v>
      </c>
      <c r="I354" s="20" t="s">
        <v>62</v>
      </c>
      <c r="J354" s="20" t="s">
        <v>63</v>
      </c>
      <c r="K354" s="20" t="s">
        <v>275</v>
      </c>
      <c r="L354" s="20" t="n">
        <v>91695</v>
      </c>
      <c r="M354" s="20" t="s">
        <v>153</v>
      </c>
      <c r="N354" s="20" t="s">
        <v>1109</v>
      </c>
      <c r="O354" s="20" t="s">
        <v>76</v>
      </c>
      <c r="P354" s="20" t="s">
        <v>236</v>
      </c>
      <c r="Q354" s="20" t="s">
        <v>1110</v>
      </c>
      <c r="R354" s="22" t="n">
        <v>11.98</v>
      </c>
      <c r="S354" s="20" t="n">
        <v>6</v>
      </c>
      <c r="T354" s="20" t="n">
        <v>0.7</v>
      </c>
      <c r="U354" s="22" t="n">
        <v>-0.28</v>
      </c>
      <c r="V354" s="23" t="n">
        <f aca="false">IF(ISNUMBER(C354),YEAR(C354),"")</f>
        <v>2015</v>
      </c>
      <c r="W354" s="23" t="n">
        <f aca="false">IF(ISNUMBER(C354),MONTH(C354),"")</f>
        <v>12</v>
      </c>
      <c r="X354" s="23" t="str">
        <f aca="false">IF(T354="","",IF(T354=0,"No discount",IF(T354&lt;=0.2,"Low (1-20%)",IF(T354&lt;=0.4,"Medium (21-40%)","High (&gt;40%)"))))</f>
        <v>High (&gt;40%)</v>
      </c>
      <c r="Y354" s="23" t="n">
        <f aca="false">IF(AND(ISNUMBER(C354),ISNUMBER(D354)),D354-C354,"")</f>
        <v>3</v>
      </c>
      <c r="Z354" s="23" t="n">
        <f aca="false">IF(B354="","",IF(MATCH(B354,$B$2:$B$12000,0)=ROW()-1,1,0))</f>
        <v>1</v>
      </c>
    </row>
    <row r="355" customFormat="false" ht="15" hidden="false" customHeight="false" outlineLevel="0" collapsed="false">
      <c r="A355" s="20" t="n">
        <v>354</v>
      </c>
      <c r="B355" s="20" t="s">
        <v>1111</v>
      </c>
      <c r="C355" s="21" t="n">
        <v>42345</v>
      </c>
      <c r="D355" s="21" t="n">
        <v>42348</v>
      </c>
      <c r="E355" s="20" t="s">
        <v>104</v>
      </c>
      <c r="F355" s="20" t="s">
        <v>59</v>
      </c>
      <c r="G355" s="20" t="s">
        <v>60</v>
      </c>
      <c r="H355" s="20" t="s">
        <v>61</v>
      </c>
      <c r="I355" s="20" t="s">
        <v>62</v>
      </c>
      <c r="J355" s="20" t="s">
        <v>63</v>
      </c>
      <c r="K355" s="20" t="s">
        <v>254</v>
      </c>
      <c r="L355" s="20" t="n">
        <v>43432</v>
      </c>
      <c r="M355" s="20" t="s">
        <v>112</v>
      </c>
      <c r="N355" s="20" t="s">
        <v>1112</v>
      </c>
      <c r="O355" s="20" t="s">
        <v>76</v>
      </c>
      <c r="P355" s="20" t="s">
        <v>178</v>
      </c>
      <c r="Q355" s="20" t="s">
        <v>1113</v>
      </c>
      <c r="R355" s="22" t="n">
        <v>443.12</v>
      </c>
      <c r="S355" s="20" t="n">
        <v>3</v>
      </c>
      <c r="T355" s="20" t="n">
        <v>0.2</v>
      </c>
      <c r="U355" s="22" t="n">
        <v>-51.91</v>
      </c>
      <c r="V355" s="23" t="n">
        <f aca="false">IF(ISNUMBER(C355),YEAR(C355),"")</f>
        <v>2015</v>
      </c>
      <c r="W355" s="23" t="n">
        <f aca="false">IF(ISNUMBER(C355),MONTH(C355),"")</f>
        <v>12</v>
      </c>
      <c r="X355" s="23" t="str">
        <f aca="false">IF(T355="","",IF(T355=0,"No discount",IF(T355&lt;=0.2,"Low (1-20%)",IF(T355&lt;=0.4,"Medium (21-40%)","High (&gt;40%)"))))</f>
        <v>Low (1-20%)</v>
      </c>
      <c r="Y355" s="23" t="n">
        <f aca="false">IF(AND(ISNUMBER(C355),ISNUMBER(D355)),D355-C355,"")</f>
        <v>3</v>
      </c>
      <c r="Z355" s="23" t="n">
        <f aca="false">IF(B355="","",IF(MATCH(B355,$B$2:$B$12000,0)=ROW()-1,1,0))</f>
        <v>1</v>
      </c>
    </row>
    <row r="356" customFormat="false" ht="15" hidden="false" customHeight="false" outlineLevel="0" collapsed="false">
      <c r="A356" s="20" t="n">
        <v>355</v>
      </c>
      <c r="B356" s="20" t="s">
        <v>1114</v>
      </c>
      <c r="C356" s="21" t="n">
        <v>42350</v>
      </c>
      <c r="D356" s="21" t="n">
        <v>42352</v>
      </c>
      <c r="E356" s="20" t="s">
        <v>90</v>
      </c>
      <c r="F356" s="20" t="s">
        <v>671</v>
      </c>
      <c r="G356" s="20" t="s">
        <v>672</v>
      </c>
      <c r="H356" s="20" t="s">
        <v>61</v>
      </c>
      <c r="I356" s="20" t="s">
        <v>62</v>
      </c>
      <c r="J356" s="20" t="s">
        <v>63</v>
      </c>
      <c r="K356" s="20" t="s">
        <v>254</v>
      </c>
      <c r="L356" s="20" t="n">
        <v>70729</v>
      </c>
      <c r="M356" s="20" t="s">
        <v>112</v>
      </c>
      <c r="N356" s="20" t="s">
        <v>1115</v>
      </c>
      <c r="O356" s="20" t="s">
        <v>114</v>
      </c>
      <c r="P356" s="20" t="s">
        <v>139</v>
      </c>
      <c r="Q356" s="20" t="s">
        <v>1116</v>
      </c>
      <c r="R356" s="22" t="n">
        <v>1015.91</v>
      </c>
      <c r="S356" s="20" t="n">
        <v>3</v>
      </c>
      <c r="T356" s="20" t="n">
        <v>0.1</v>
      </c>
      <c r="U356" s="22" t="n">
        <v>-98.77</v>
      </c>
      <c r="V356" s="23" t="n">
        <f aca="false">IF(ISNUMBER(C356),YEAR(C356),"")</f>
        <v>2015</v>
      </c>
      <c r="W356" s="23" t="n">
        <f aca="false">IF(ISNUMBER(C356),MONTH(C356),"")</f>
        <v>12</v>
      </c>
      <c r="X356" s="23" t="str">
        <f aca="false">IF(T356="","",IF(T356=0,"No discount",IF(T356&lt;=0.2,"Low (1-20%)",IF(T356&lt;=0.4,"Medium (21-40%)","High (&gt;40%)"))))</f>
        <v>Low (1-20%)</v>
      </c>
      <c r="Y356" s="23" t="n">
        <f aca="false">IF(AND(ISNUMBER(C356),ISNUMBER(D356)),D356-C356,"")</f>
        <v>2</v>
      </c>
      <c r="Z356" s="23" t="n">
        <f aca="false">IF(B356="","",IF(MATCH(B356,$B$2:$B$12000,0)=ROW()-1,1,0))</f>
        <v>1</v>
      </c>
    </row>
    <row r="357" customFormat="false" ht="15" hidden="false" customHeight="false" outlineLevel="0" collapsed="false">
      <c r="A357" s="20" t="n">
        <v>356</v>
      </c>
      <c r="B357" s="20" t="s">
        <v>1117</v>
      </c>
      <c r="C357" s="21" t="n">
        <v>42351</v>
      </c>
      <c r="D357" s="21" t="n">
        <v>42352</v>
      </c>
      <c r="E357" s="20" t="s">
        <v>104</v>
      </c>
      <c r="F357" s="20" t="s">
        <v>72</v>
      </c>
      <c r="G357" s="20" t="s">
        <v>73</v>
      </c>
      <c r="H357" s="20" t="s">
        <v>61</v>
      </c>
      <c r="I357" s="20" t="s">
        <v>62</v>
      </c>
      <c r="J357" s="20" t="s">
        <v>63</v>
      </c>
      <c r="K357" s="20" t="s">
        <v>647</v>
      </c>
      <c r="L357" s="20" t="n">
        <v>41650</v>
      </c>
      <c r="M357" s="20" t="s">
        <v>97</v>
      </c>
      <c r="N357" s="20" t="s">
        <v>1118</v>
      </c>
      <c r="O357" s="20" t="s">
        <v>114</v>
      </c>
      <c r="P357" s="20" t="s">
        <v>115</v>
      </c>
      <c r="Q357" s="20" t="s">
        <v>1119</v>
      </c>
      <c r="R357" s="22" t="n">
        <v>980.59</v>
      </c>
      <c r="S357" s="20" t="n">
        <v>4</v>
      </c>
      <c r="T357" s="20" t="n">
        <v>0</v>
      </c>
      <c r="U357" s="22" t="n">
        <v>69.72</v>
      </c>
      <c r="V357" s="23" t="n">
        <f aca="false">IF(ISNUMBER(C357),YEAR(C357),"")</f>
        <v>2015</v>
      </c>
      <c r="W357" s="23" t="n">
        <f aca="false">IF(ISNUMBER(C357),MONTH(C357),"")</f>
        <v>12</v>
      </c>
      <c r="X357" s="23" t="str">
        <f aca="false">IF(T357="","",IF(T357=0,"No discount",IF(T357&lt;=0.2,"Low (1-20%)",IF(T357&lt;=0.4,"Medium (21-40%)","High (&gt;40%)"))))</f>
        <v>No discount</v>
      </c>
      <c r="Y357" s="23" t="n">
        <f aca="false">IF(AND(ISNUMBER(C357),ISNUMBER(D357)),D357-C357,"")</f>
        <v>1</v>
      </c>
      <c r="Z357" s="23" t="n">
        <f aca="false">IF(B357="","",IF(MATCH(B357,$B$2:$B$12000,0)=ROW()-1,1,0))</f>
        <v>1</v>
      </c>
    </row>
    <row r="358" customFormat="false" ht="15" hidden="false" customHeight="false" outlineLevel="0" collapsed="false">
      <c r="A358" s="20" t="n">
        <v>357</v>
      </c>
      <c r="B358" s="20" t="s">
        <v>1117</v>
      </c>
      <c r="C358" s="21" t="n">
        <v>42351</v>
      </c>
      <c r="D358" s="21" t="n">
        <v>42352</v>
      </c>
      <c r="E358" s="20" t="s">
        <v>71</v>
      </c>
      <c r="F358" s="20" t="s">
        <v>72</v>
      </c>
      <c r="G358" s="20" t="s">
        <v>73</v>
      </c>
      <c r="H358" s="20" t="s">
        <v>61</v>
      </c>
      <c r="I358" s="20" t="s">
        <v>62</v>
      </c>
      <c r="J358" s="20" t="s">
        <v>63</v>
      </c>
      <c r="K358" s="20" t="s">
        <v>647</v>
      </c>
      <c r="L358" s="20" t="n">
        <v>69326</v>
      </c>
      <c r="M358" s="20" t="s">
        <v>97</v>
      </c>
      <c r="N358" s="20" t="s">
        <v>1120</v>
      </c>
      <c r="O358" s="20" t="s">
        <v>76</v>
      </c>
      <c r="P358" s="20" t="s">
        <v>236</v>
      </c>
      <c r="Q358" s="20" t="s">
        <v>499</v>
      </c>
      <c r="R358" s="22" t="n">
        <v>262.01</v>
      </c>
      <c r="S358" s="20" t="n">
        <v>6</v>
      </c>
      <c r="T358" s="20" t="n">
        <v>0.3</v>
      </c>
      <c r="U358" s="22" t="n">
        <v>55.78</v>
      </c>
      <c r="V358" s="23" t="n">
        <f aca="false">IF(ISNUMBER(C358),YEAR(C358),"")</f>
        <v>2015</v>
      </c>
      <c r="W358" s="23" t="n">
        <f aca="false">IF(ISNUMBER(C358),MONTH(C358),"")</f>
        <v>12</v>
      </c>
      <c r="X358" s="23" t="str">
        <f aca="false">IF(T358="","",IF(T358=0,"No discount",IF(T358&lt;=0.2,"Low (1-20%)",IF(T358&lt;=0.4,"Medium (21-40%)","High (&gt;40%)"))))</f>
        <v>Medium (21-40%)</v>
      </c>
      <c r="Y358" s="23" t="n">
        <f aca="false">IF(AND(ISNUMBER(C358),ISNUMBER(D358)),D358-C358,"")</f>
        <v>1</v>
      </c>
      <c r="Z358" s="23" t="n">
        <f aca="false">IF(B358="","",IF(MATCH(B358,$B$2:$B$12000,0)=ROW()-1,1,0))</f>
        <v>0</v>
      </c>
    </row>
    <row r="359" customFormat="false" ht="15" hidden="false" customHeight="false" outlineLevel="0" collapsed="false">
      <c r="A359" s="20" t="n">
        <v>358</v>
      </c>
      <c r="B359" s="20" t="s">
        <v>1117</v>
      </c>
      <c r="C359" s="21" t="n">
        <v>42351</v>
      </c>
      <c r="D359" s="21" t="n">
        <v>42352</v>
      </c>
      <c r="E359" s="20" t="s">
        <v>104</v>
      </c>
      <c r="F359" s="20" t="s">
        <v>72</v>
      </c>
      <c r="G359" s="20" t="s">
        <v>73</v>
      </c>
      <c r="H359" s="20" t="s">
        <v>61</v>
      </c>
      <c r="I359" s="20" t="s">
        <v>62</v>
      </c>
      <c r="J359" s="20" t="s">
        <v>63</v>
      </c>
      <c r="K359" s="20" t="s">
        <v>647</v>
      </c>
      <c r="L359" s="20" t="n">
        <v>21645</v>
      </c>
      <c r="M359" s="20" t="s">
        <v>97</v>
      </c>
      <c r="N359" s="20" t="s">
        <v>1121</v>
      </c>
      <c r="O359" s="20" t="s">
        <v>67</v>
      </c>
      <c r="P359" s="20" t="s">
        <v>68</v>
      </c>
      <c r="Q359" s="20" t="s">
        <v>1122</v>
      </c>
      <c r="R359" s="22" t="n">
        <v>4598</v>
      </c>
      <c r="S359" s="20" t="n">
        <v>4</v>
      </c>
      <c r="T359" s="20" t="n">
        <v>0</v>
      </c>
      <c r="U359" s="22" t="n">
        <v>1716.58</v>
      </c>
      <c r="V359" s="23" t="n">
        <f aca="false">IF(ISNUMBER(C359),YEAR(C359),"")</f>
        <v>2015</v>
      </c>
      <c r="W359" s="23" t="n">
        <f aca="false">IF(ISNUMBER(C359),MONTH(C359),"")</f>
        <v>12</v>
      </c>
      <c r="X359" s="23" t="str">
        <f aca="false">IF(T359="","",IF(T359=0,"No discount",IF(T359&lt;=0.2,"Low (1-20%)",IF(T359&lt;=0.4,"Medium (21-40%)","High (&gt;40%)"))))</f>
        <v>No discount</v>
      </c>
      <c r="Y359" s="23" t="n">
        <f aca="false">IF(AND(ISNUMBER(C359),ISNUMBER(D359)),D359-C359,"")</f>
        <v>1</v>
      </c>
      <c r="Z359" s="23" t="n">
        <f aca="false">IF(B359="","",IF(MATCH(B359,$B$2:$B$12000,0)=ROW()-1,1,0))</f>
        <v>0</v>
      </c>
    </row>
    <row r="360" customFormat="false" ht="15" hidden="false" customHeight="false" outlineLevel="0" collapsed="false">
      <c r="A360" s="20" t="n">
        <v>359</v>
      </c>
      <c r="B360" s="20" t="s">
        <v>1123</v>
      </c>
      <c r="C360" s="21" t="n">
        <v>42354</v>
      </c>
      <c r="D360" s="21" t="n">
        <v>42361</v>
      </c>
      <c r="E360" s="20" t="s">
        <v>71</v>
      </c>
      <c r="F360" s="20" t="s">
        <v>858</v>
      </c>
      <c r="G360" s="20" t="s">
        <v>859</v>
      </c>
      <c r="H360" s="20" t="s">
        <v>61</v>
      </c>
      <c r="I360" s="20" t="s">
        <v>62</v>
      </c>
      <c r="J360" s="20" t="s">
        <v>63</v>
      </c>
      <c r="K360" s="20" t="s">
        <v>1073</v>
      </c>
      <c r="L360" s="20" t="n">
        <v>77311</v>
      </c>
      <c r="M360" s="20" t="s">
        <v>97</v>
      </c>
      <c r="N360" s="20" t="s">
        <v>1124</v>
      </c>
      <c r="O360" s="20" t="s">
        <v>76</v>
      </c>
      <c r="P360" s="20" t="s">
        <v>178</v>
      </c>
      <c r="Q360" s="20" t="s">
        <v>219</v>
      </c>
      <c r="R360" s="22" t="n">
        <v>1122.9</v>
      </c>
      <c r="S360" s="20" t="n">
        <v>8</v>
      </c>
      <c r="T360" s="20" t="n">
        <v>0</v>
      </c>
      <c r="U360" s="22" t="n">
        <v>28.08</v>
      </c>
      <c r="V360" s="23" t="n">
        <f aca="false">IF(ISNUMBER(C360),YEAR(C360),"")</f>
        <v>2015</v>
      </c>
      <c r="W360" s="23" t="n">
        <f aca="false">IF(ISNUMBER(C360),MONTH(C360),"")</f>
        <v>12</v>
      </c>
      <c r="X360" s="23" t="str">
        <f aca="false">IF(T360="","",IF(T360=0,"No discount",IF(T360&lt;=0.2,"Low (1-20%)",IF(T360&lt;=0.4,"Medium (21-40%)","High (&gt;40%)"))))</f>
        <v>No discount</v>
      </c>
      <c r="Y360" s="23" t="n">
        <f aca="false">IF(AND(ISNUMBER(C360),ISNUMBER(D360)),D360-C360,"")</f>
        <v>7</v>
      </c>
      <c r="Z360" s="23" t="n">
        <f aca="false">IF(B360="","",IF(MATCH(B360,$B$2:$B$12000,0)=ROW()-1,1,0))</f>
        <v>1</v>
      </c>
    </row>
    <row r="361" customFormat="false" ht="15" hidden="false" customHeight="false" outlineLevel="0" collapsed="false">
      <c r="A361" s="20" t="n">
        <v>360</v>
      </c>
      <c r="B361" s="20" t="s">
        <v>1125</v>
      </c>
      <c r="C361" s="21" t="n">
        <v>42356</v>
      </c>
      <c r="D361" s="21" t="n">
        <v>42360</v>
      </c>
      <c r="E361" s="20" t="s">
        <v>104</v>
      </c>
      <c r="F361" s="20" t="s">
        <v>125</v>
      </c>
      <c r="G361" s="20" t="s">
        <v>126</v>
      </c>
      <c r="H361" s="20" t="s">
        <v>61</v>
      </c>
      <c r="I361" s="20" t="s">
        <v>62</v>
      </c>
      <c r="J361" s="20" t="s">
        <v>63</v>
      </c>
      <c r="K361" s="20" t="s">
        <v>146</v>
      </c>
      <c r="L361" s="20" t="n">
        <v>16261</v>
      </c>
      <c r="M361" s="20" t="s">
        <v>65</v>
      </c>
      <c r="N361" s="20" t="s">
        <v>1126</v>
      </c>
      <c r="O361" s="20" t="s">
        <v>114</v>
      </c>
      <c r="P361" s="20" t="s">
        <v>115</v>
      </c>
      <c r="Q361" s="20" t="s">
        <v>1127</v>
      </c>
      <c r="R361" s="22" t="n">
        <v>363.72</v>
      </c>
      <c r="S361" s="20" t="n">
        <v>1</v>
      </c>
      <c r="T361" s="20" t="n">
        <v>0.1</v>
      </c>
      <c r="U361" s="22" t="n">
        <v>31.62</v>
      </c>
      <c r="V361" s="23" t="n">
        <f aca="false">IF(ISNUMBER(C361),YEAR(C361),"")</f>
        <v>2015</v>
      </c>
      <c r="W361" s="23" t="n">
        <f aca="false">IF(ISNUMBER(C361),MONTH(C361),"")</f>
        <v>12</v>
      </c>
      <c r="X361" s="23" t="str">
        <f aca="false">IF(T361="","",IF(T361=0,"No discount",IF(T361&lt;=0.2,"Low (1-20%)",IF(T361&lt;=0.4,"Medium (21-40%)","High (&gt;40%)"))))</f>
        <v>Low (1-20%)</v>
      </c>
      <c r="Y361" s="23" t="n">
        <f aca="false">IF(AND(ISNUMBER(C361),ISNUMBER(D361)),D361-C361,"")</f>
        <v>4</v>
      </c>
      <c r="Z361" s="23" t="n">
        <f aca="false">IF(B361="","",IF(MATCH(B361,$B$2:$B$12000,0)=ROW()-1,1,0))</f>
        <v>1</v>
      </c>
    </row>
    <row r="362" customFormat="false" ht="15" hidden="false" customHeight="false" outlineLevel="0" collapsed="false">
      <c r="A362" s="20" t="n">
        <v>361</v>
      </c>
      <c r="B362" s="20" t="s">
        <v>1125</v>
      </c>
      <c r="C362" s="21" t="n">
        <v>42356</v>
      </c>
      <c r="D362" s="21" t="n">
        <v>42360</v>
      </c>
      <c r="E362" s="20" t="s">
        <v>90</v>
      </c>
      <c r="F362" s="20" t="s">
        <v>125</v>
      </c>
      <c r="G362" s="20" t="s">
        <v>126</v>
      </c>
      <c r="H362" s="20" t="s">
        <v>61</v>
      </c>
      <c r="I362" s="20" t="s">
        <v>62</v>
      </c>
      <c r="J362" s="20" t="s">
        <v>63</v>
      </c>
      <c r="K362" s="20" t="s">
        <v>146</v>
      </c>
      <c r="L362" s="20" t="n">
        <v>21987</v>
      </c>
      <c r="M362" s="20" t="s">
        <v>65</v>
      </c>
      <c r="N362" s="20" t="s">
        <v>1128</v>
      </c>
      <c r="O362" s="20" t="s">
        <v>76</v>
      </c>
      <c r="P362" s="20" t="s">
        <v>122</v>
      </c>
      <c r="Q362" s="20" t="s">
        <v>807</v>
      </c>
      <c r="R362" s="22" t="n">
        <v>123.14</v>
      </c>
      <c r="S362" s="20" t="n">
        <v>7</v>
      </c>
      <c r="T362" s="20" t="n">
        <v>0</v>
      </c>
      <c r="U362" s="22" t="n">
        <v>44.3</v>
      </c>
      <c r="V362" s="23" t="n">
        <f aca="false">IF(ISNUMBER(C362),YEAR(C362),"")</f>
        <v>2015</v>
      </c>
      <c r="W362" s="23" t="n">
        <f aca="false">IF(ISNUMBER(C362),MONTH(C362),"")</f>
        <v>12</v>
      </c>
      <c r="X362" s="23" t="str">
        <f aca="false">IF(T362="","",IF(T362=0,"No discount",IF(T362&lt;=0.2,"Low (1-20%)",IF(T362&lt;=0.4,"Medium (21-40%)","High (&gt;40%)"))))</f>
        <v>No discount</v>
      </c>
      <c r="Y362" s="23" t="n">
        <f aca="false">IF(AND(ISNUMBER(C362),ISNUMBER(D362)),D362-C362,"")</f>
        <v>4</v>
      </c>
      <c r="Z362" s="23" t="n">
        <f aca="false">IF(B362="","",IF(MATCH(B362,$B$2:$B$12000,0)=ROW()-1,1,0))</f>
        <v>0</v>
      </c>
    </row>
    <row r="363" customFormat="false" ht="15" hidden="false" customHeight="false" outlineLevel="0" collapsed="false">
      <c r="A363" s="20" t="n">
        <v>362</v>
      </c>
      <c r="B363" s="20" t="s">
        <v>1129</v>
      </c>
      <c r="C363" s="21" t="n">
        <v>42363</v>
      </c>
      <c r="D363" s="21" t="n">
        <v>42365</v>
      </c>
      <c r="E363" s="20" t="s">
        <v>104</v>
      </c>
      <c r="F363" s="20" t="s">
        <v>72</v>
      </c>
      <c r="G363" s="20" t="s">
        <v>73</v>
      </c>
      <c r="H363" s="20" t="s">
        <v>61</v>
      </c>
      <c r="I363" s="20" t="s">
        <v>62</v>
      </c>
      <c r="J363" s="20" t="s">
        <v>63</v>
      </c>
      <c r="K363" s="20" t="s">
        <v>225</v>
      </c>
      <c r="L363" s="20" t="n">
        <v>57753</v>
      </c>
      <c r="M363" s="20" t="s">
        <v>65</v>
      </c>
      <c r="N363" s="20" t="s">
        <v>1130</v>
      </c>
      <c r="O363" s="20" t="s">
        <v>76</v>
      </c>
      <c r="P363" s="20" t="s">
        <v>77</v>
      </c>
      <c r="Q363" s="20" t="s">
        <v>1131</v>
      </c>
      <c r="R363" s="22" t="n">
        <v>31.45</v>
      </c>
      <c r="S363" s="20" t="n">
        <v>4</v>
      </c>
      <c r="T363" s="20" t="n">
        <v>0.2</v>
      </c>
      <c r="U363" s="22" t="n">
        <v>5.27</v>
      </c>
      <c r="V363" s="23" t="n">
        <f aca="false">IF(ISNUMBER(C363),YEAR(C363),"")</f>
        <v>2015</v>
      </c>
      <c r="W363" s="23" t="n">
        <f aca="false">IF(ISNUMBER(C363),MONTH(C363),"")</f>
        <v>12</v>
      </c>
      <c r="X363" s="23" t="str">
        <f aca="false">IF(T363="","",IF(T363=0,"No discount",IF(T363&lt;=0.2,"Low (1-20%)",IF(T363&lt;=0.4,"Medium (21-40%)","High (&gt;40%)"))))</f>
        <v>Low (1-20%)</v>
      </c>
      <c r="Y363" s="23" t="n">
        <f aca="false">IF(AND(ISNUMBER(C363),ISNUMBER(D363)),D363-C363,"")</f>
        <v>2</v>
      </c>
      <c r="Z363" s="23" t="n">
        <f aca="false">IF(B363="","",IF(MATCH(B363,$B$2:$B$12000,0)=ROW()-1,1,0))</f>
        <v>1</v>
      </c>
    </row>
    <row r="364" customFormat="false" ht="15" hidden="false" customHeight="false" outlineLevel="0" collapsed="false">
      <c r="A364" s="20" t="n">
        <v>363</v>
      </c>
      <c r="B364" s="20" t="s">
        <v>1132</v>
      </c>
      <c r="C364" s="21" t="n">
        <v>42370</v>
      </c>
      <c r="D364" s="21" t="n">
        <v>42376</v>
      </c>
      <c r="E364" s="20" t="s">
        <v>71</v>
      </c>
      <c r="F364" s="20" t="s">
        <v>200</v>
      </c>
      <c r="G364" s="20" t="s">
        <v>201</v>
      </c>
      <c r="H364" s="20" t="s">
        <v>162</v>
      </c>
      <c r="I364" s="20" t="s">
        <v>62</v>
      </c>
      <c r="J364" s="20" t="s">
        <v>63</v>
      </c>
      <c r="K364" s="20" t="s">
        <v>969</v>
      </c>
      <c r="L364" s="20" t="n">
        <v>17451</v>
      </c>
      <c r="M364" s="20" t="s">
        <v>112</v>
      </c>
      <c r="N364" s="20" t="s">
        <v>1133</v>
      </c>
      <c r="O364" s="20" t="s">
        <v>76</v>
      </c>
      <c r="P364" s="20" t="s">
        <v>88</v>
      </c>
      <c r="Q364" s="20" t="s">
        <v>1134</v>
      </c>
      <c r="R364" s="22" t="n">
        <v>1979.94</v>
      </c>
      <c r="S364" s="20" t="n">
        <v>7</v>
      </c>
      <c r="T364" s="20" t="n">
        <v>0.2</v>
      </c>
      <c r="U364" s="22" t="n">
        <v>7.17</v>
      </c>
      <c r="V364" s="23" t="n">
        <f aca="false">IF(ISNUMBER(C364),YEAR(C364),"")</f>
        <v>2016</v>
      </c>
      <c r="W364" s="23" t="n">
        <f aca="false">IF(ISNUMBER(C364),MONTH(C364),"")</f>
        <v>1</v>
      </c>
      <c r="X364" s="23" t="str">
        <f aca="false">IF(T364="","",IF(T364=0,"No discount",IF(T364&lt;=0.2,"Low (1-20%)",IF(T364&lt;=0.4,"Medium (21-40%)","High (&gt;40%)"))))</f>
        <v>Low (1-20%)</v>
      </c>
      <c r="Y364" s="23" t="n">
        <f aca="false">IF(AND(ISNUMBER(C364),ISNUMBER(D364)),D364-C364,"")</f>
        <v>6</v>
      </c>
      <c r="Z364" s="23" t="n">
        <f aca="false">IF(B364="","",IF(MATCH(B364,$B$2:$B$12000,0)=ROW()-1,1,0))</f>
        <v>1</v>
      </c>
    </row>
    <row r="365" customFormat="false" ht="15" hidden="false" customHeight="false" outlineLevel="0" collapsed="false">
      <c r="A365" s="20" t="n">
        <v>364</v>
      </c>
      <c r="B365" s="20" t="s">
        <v>1132</v>
      </c>
      <c r="C365" s="21" t="n">
        <v>42370</v>
      </c>
      <c r="D365" s="21" t="n">
        <v>42376</v>
      </c>
      <c r="E365" s="20" t="s">
        <v>104</v>
      </c>
      <c r="F365" s="20" t="s">
        <v>200</v>
      </c>
      <c r="G365" s="20" t="s">
        <v>201</v>
      </c>
      <c r="H365" s="20" t="s">
        <v>162</v>
      </c>
      <c r="I365" s="20" t="s">
        <v>62</v>
      </c>
      <c r="J365" s="20" t="s">
        <v>63</v>
      </c>
      <c r="K365" s="20" t="s">
        <v>969</v>
      </c>
      <c r="L365" s="20" t="n">
        <v>35430</v>
      </c>
      <c r="M365" s="20" t="s">
        <v>112</v>
      </c>
      <c r="N365" s="20" t="s">
        <v>1135</v>
      </c>
      <c r="O365" s="20" t="s">
        <v>67</v>
      </c>
      <c r="P365" s="20" t="s">
        <v>157</v>
      </c>
      <c r="Q365" s="20" t="s">
        <v>1136</v>
      </c>
      <c r="R365" s="22" t="n">
        <v>727.89</v>
      </c>
      <c r="S365" s="20" t="n">
        <v>7</v>
      </c>
      <c r="T365" s="20" t="n">
        <v>0.4</v>
      </c>
      <c r="U365" s="22" t="n">
        <v>16.21</v>
      </c>
      <c r="V365" s="23" t="n">
        <f aca="false">IF(ISNUMBER(C365),YEAR(C365),"")</f>
        <v>2016</v>
      </c>
      <c r="W365" s="23" t="n">
        <f aca="false">IF(ISNUMBER(C365),MONTH(C365),"")</f>
        <v>1</v>
      </c>
      <c r="X365" s="23" t="str">
        <f aca="false">IF(T365="","",IF(T365=0,"No discount",IF(T365&lt;=0.2,"Low (1-20%)",IF(T365&lt;=0.4,"Medium (21-40%)","High (&gt;40%)"))))</f>
        <v>Medium (21-40%)</v>
      </c>
      <c r="Y365" s="23" t="n">
        <f aca="false">IF(AND(ISNUMBER(C365),ISNUMBER(D365)),D365-C365,"")</f>
        <v>6</v>
      </c>
      <c r="Z365" s="23" t="n">
        <f aca="false">IF(B365="","",IF(MATCH(B365,$B$2:$B$12000,0)=ROW()-1,1,0))</f>
        <v>0</v>
      </c>
    </row>
    <row r="366" customFormat="false" ht="15" hidden="false" customHeight="false" outlineLevel="0" collapsed="false">
      <c r="A366" s="20" t="n">
        <v>365</v>
      </c>
      <c r="B366" s="20" t="s">
        <v>1137</v>
      </c>
      <c r="C366" s="21" t="n">
        <v>42372</v>
      </c>
      <c r="D366" s="21" t="n">
        <v>42377</v>
      </c>
      <c r="E366" s="20" t="s">
        <v>90</v>
      </c>
      <c r="F366" s="20" t="s">
        <v>548</v>
      </c>
      <c r="G366" s="20" t="s">
        <v>549</v>
      </c>
      <c r="H366" s="20" t="s">
        <v>85</v>
      </c>
      <c r="I366" s="20" t="s">
        <v>62</v>
      </c>
      <c r="J366" s="20" t="s">
        <v>63</v>
      </c>
      <c r="K366" s="20" t="s">
        <v>335</v>
      </c>
      <c r="L366" s="20" t="n">
        <v>67321</v>
      </c>
      <c r="M366" s="20" t="s">
        <v>65</v>
      </c>
      <c r="N366" s="20" t="s">
        <v>1138</v>
      </c>
      <c r="O366" s="20" t="s">
        <v>76</v>
      </c>
      <c r="P366" s="20" t="s">
        <v>185</v>
      </c>
      <c r="Q366" s="20" t="s">
        <v>1139</v>
      </c>
      <c r="R366" s="22" t="n">
        <v>20.92</v>
      </c>
      <c r="S366" s="20" t="n">
        <v>2</v>
      </c>
      <c r="T366" s="20" t="n">
        <v>0.5</v>
      </c>
      <c r="U366" s="22" t="n">
        <v>-0.57</v>
      </c>
      <c r="V366" s="23" t="n">
        <f aca="false">IF(ISNUMBER(C366),YEAR(C366),"")</f>
        <v>2016</v>
      </c>
      <c r="W366" s="23" t="n">
        <f aca="false">IF(ISNUMBER(C366),MONTH(C366),"")</f>
        <v>1</v>
      </c>
      <c r="X366" s="23" t="str">
        <f aca="false">IF(T366="","",IF(T366=0,"No discount",IF(T366&lt;=0.2,"Low (1-20%)",IF(T366&lt;=0.4,"Medium (21-40%)","High (&gt;40%)"))))</f>
        <v>High (&gt;40%)</v>
      </c>
      <c r="Y366" s="23" t="n">
        <f aca="false">IF(AND(ISNUMBER(C366),ISNUMBER(D366)),D366-C366,"")</f>
        <v>5</v>
      </c>
      <c r="Z366" s="23" t="n">
        <f aca="false">IF(B366="","",IF(MATCH(B366,$B$2:$B$12000,0)=ROW()-1,1,0))</f>
        <v>1</v>
      </c>
    </row>
    <row r="367" customFormat="false" ht="15" hidden="false" customHeight="false" outlineLevel="0" collapsed="false">
      <c r="A367" s="20" t="n">
        <v>366</v>
      </c>
      <c r="B367" s="20" t="s">
        <v>1137</v>
      </c>
      <c r="C367" s="21" t="n">
        <v>42372</v>
      </c>
      <c r="D367" s="21" t="n">
        <v>42377</v>
      </c>
      <c r="E367" s="20" t="s">
        <v>104</v>
      </c>
      <c r="F367" s="20" t="s">
        <v>548</v>
      </c>
      <c r="G367" s="20" t="s">
        <v>549</v>
      </c>
      <c r="H367" s="20" t="s">
        <v>85</v>
      </c>
      <c r="I367" s="20" t="s">
        <v>62</v>
      </c>
      <c r="J367" s="20" t="s">
        <v>63</v>
      </c>
      <c r="K367" s="20" t="s">
        <v>335</v>
      </c>
      <c r="L367" s="20" t="n">
        <v>41460</v>
      </c>
      <c r="M367" s="20" t="s">
        <v>65</v>
      </c>
      <c r="N367" s="20" t="s">
        <v>1140</v>
      </c>
      <c r="O367" s="20" t="s">
        <v>76</v>
      </c>
      <c r="P367" s="20" t="s">
        <v>80</v>
      </c>
      <c r="Q367" s="20" t="s">
        <v>710</v>
      </c>
      <c r="R367" s="22" t="n">
        <v>15.72</v>
      </c>
      <c r="S367" s="20" t="n">
        <v>1</v>
      </c>
      <c r="T367" s="20" t="n">
        <v>0</v>
      </c>
      <c r="U367" s="22" t="n">
        <v>4.79</v>
      </c>
      <c r="V367" s="23" t="n">
        <f aca="false">IF(ISNUMBER(C367),YEAR(C367),"")</f>
        <v>2016</v>
      </c>
      <c r="W367" s="23" t="n">
        <f aca="false">IF(ISNUMBER(C367),MONTH(C367),"")</f>
        <v>1</v>
      </c>
      <c r="X367" s="23" t="str">
        <f aca="false">IF(T367="","",IF(T367=0,"No discount",IF(T367&lt;=0.2,"Low (1-20%)",IF(T367&lt;=0.4,"Medium (21-40%)","High (&gt;40%)"))))</f>
        <v>No discount</v>
      </c>
      <c r="Y367" s="23" t="n">
        <f aca="false">IF(AND(ISNUMBER(C367),ISNUMBER(D367)),D367-C367,"")</f>
        <v>5</v>
      </c>
      <c r="Z367" s="23" t="n">
        <f aca="false">IF(B367="","",IF(MATCH(B367,$B$2:$B$12000,0)=ROW()-1,1,0))</f>
        <v>0</v>
      </c>
    </row>
    <row r="368" customFormat="false" ht="15" hidden="false" customHeight="false" outlineLevel="0" collapsed="false">
      <c r="A368" s="20" t="n">
        <v>367</v>
      </c>
      <c r="B368" s="20" t="s">
        <v>1141</v>
      </c>
      <c r="C368" s="21" t="n">
        <v>42379</v>
      </c>
      <c r="D368" s="21" t="n">
        <v>42382</v>
      </c>
      <c r="E368" s="20" t="s">
        <v>58</v>
      </c>
      <c r="F368" s="20" t="s">
        <v>125</v>
      </c>
      <c r="G368" s="20" t="s">
        <v>126</v>
      </c>
      <c r="H368" s="20" t="s">
        <v>61</v>
      </c>
      <c r="I368" s="20" t="s">
        <v>62</v>
      </c>
      <c r="J368" s="20" t="s">
        <v>63</v>
      </c>
      <c r="K368" s="20" t="s">
        <v>647</v>
      </c>
      <c r="L368" s="20" t="n">
        <v>21988</v>
      </c>
      <c r="M368" s="20" t="s">
        <v>97</v>
      </c>
      <c r="N368" s="20" t="s">
        <v>1142</v>
      </c>
      <c r="O368" s="20" t="s">
        <v>76</v>
      </c>
      <c r="P368" s="20" t="s">
        <v>101</v>
      </c>
      <c r="Q368" s="20" t="s">
        <v>1143</v>
      </c>
      <c r="R368" s="22" t="n">
        <v>61.9</v>
      </c>
      <c r="S368" s="20" t="n">
        <v>7</v>
      </c>
      <c r="T368" s="20" t="n">
        <v>0.1</v>
      </c>
      <c r="U368" s="22" t="n">
        <v>19.25</v>
      </c>
      <c r="V368" s="23" t="n">
        <f aca="false">IF(ISNUMBER(C368),YEAR(C368),"")</f>
        <v>2016</v>
      </c>
      <c r="W368" s="23" t="n">
        <f aca="false">IF(ISNUMBER(C368),MONTH(C368),"")</f>
        <v>1</v>
      </c>
      <c r="X368" s="23" t="str">
        <f aca="false">IF(T368="","",IF(T368=0,"No discount",IF(T368&lt;=0.2,"Low (1-20%)",IF(T368&lt;=0.4,"Medium (21-40%)","High (&gt;40%)"))))</f>
        <v>Low (1-20%)</v>
      </c>
      <c r="Y368" s="23" t="n">
        <f aca="false">IF(AND(ISNUMBER(C368),ISNUMBER(D368)),D368-C368,"")</f>
        <v>3</v>
      </c>
      <c r="Z368" s="23" t="n">
        <f aca="false">IF(B368="","",IF(MATCH(B368,$B$2:$B$12000,0)=ROW()-1,1,0))</f>
        <v>1</v>
      </c>
    </row>
    <row r="369" customFormat="false" ht="15" hidden="false" customHeight="false" outlineLevel="0" collapsed="false">
      <c r="A369" s="20" t="n">
        <v>368</v>
      </c>
      <c r="B369" s="20" t="s">
        <v>1144</v>
      </c>
      <c r="C369" s="21" t="n">
        <v>42382</v>
      </c>
      <c r="D369" s="21" t="n">
        <v>42388</v>
      </c>
      <c r="E369" s="20" t="s">
        <v>71</v>
      </c>
      <c r="F369" s="20" t="s">
        <v>1145</v>
      </c>
      <c r="G369" s="20" t="s">
        <v>1146</v>
      </c>
      <c r="H369" s="20" t="s">
        <v>85</v>
      </c>
      <c r="I369" s="20" t="s">
        <v>62</v>
      </c>
      <c r="J369" s="20" t="s">
        <v>63</v>
      </c>
      <c r="K369" s="20" t="s">
        <v>346</v>
      </c>
      <c r="L369" s="20" t="n">
        <v>98014</v>
      </c>
      <c r="M369" s="20" t="s">
        <v>65</v>
      </c>
      <c r="N369" s="20" t="s">
        <v>1147</v>
      </c>
      <c r="O369" s="20" t="s">
        <v>67</v>
      </c>
      <c r="P369" s="20" t="s">
        <v>164</v>
      </c>
      <c r="Q369" s="20" t="s">
        <v>1148</v>
      </c>
      <c r="R369" s="22" t="n">
        <v>2500.21</v>
      </c>
      <c r="S369" s="20" t="n">
        <v>2</v>
      </c>
      <c r="T369" s="20" t="n">
        <v>0</v>
      </c>
      <c r="U369" s="22" t="n">
        <v>154.99</v>
      </c>
      <c r="V369" s="23" t="n">
        <f aca="false">IF(ISNUMBER(C369),YEAR(C369),"")</f>
        <v>2016</v>
      </c>
      <c r="W369" s="23" t="n">
        <f aca="false">IF(ISNUMBER(C369),MONTH(C369),"")</f>
        <v>1</v>
      </c>
      <c r="X369" s="23" t="str">
        <f aca="false">IF(T369="","",IF(T369=0,"No discount",IF(T369&lt;=0.2,"Low (1-20%)",IF(T369&lt;=0.4,"Medium (21-40%)","High (&gt;40%)"))))</f>
        <v>No discount</v>
      </c>
      <c r="Y369" s="23" t="n">
        <f aca="false">IF(AND(ISNUMBER(C369),ISNUMBER(D369)),D369-C369,"")</f>
        <v>6</v>
      </c>
      <c r="Z369" s="23" t="n">
        <f aca="false">IF(B369="","",IF(MATCH(B369,$B$2:$B$12000,0)=ROW()-1,1,0))</f>
        <v>1</v>
      </c>
    </row>
    <row r="370" customFormat="false" ht="15" hidden="false" customHeight="false" outlineLevel="0" collapsed="false">
      <c r="A370" s="20" t="n">
        <v>369</v>
      </c>
      <c r="B370" s="20" t="s">
        <v>1144</v>
      </c>
      <c r="C370" s="21" t="n">
        <v>42382</v>
      </c>
      <c r="D370" s="21" t="n">
        <v>42388</v>
      </c>
      <c r="E370" s="20" t="s">
        <v>90</v>
      </c>
      <c r="F370" s="20" t="s">
        <v>1145</v>
      </c>
      <c r="G370" s="20" t="s">
        <v>1146</v>
      </c>
      <c r="H370" s="20" t="s">
        <v>85</v>
      </c>
      <c r="I370" s="20" t="s">
        <v>62</v>
      </c>
      <c r="J370" s="20" t="s">
        <v>63</v>
      </c>
      <c r="K370" s="20" t="s">
        <v>346</v>
      </c>
      <c r="L370" s="20" t="n">
        <v>94423</v>
      </c>
      <c r="M370" s="20" t="s">
        <v>65</v>
      </c>
      <c r="N370" s="20" t="s">
        <v>1149</v>
      </c>
      <c r="O370" s="20" t="s">
        <v>114</v>
      </c>
      <c r="P370" s="20" t="s">
        <v>210</v>
      </c>
      <c r="Q370" s="20" t="s">
        <v>628</v>
      </c>
      <c r="R370" s="22" t="n">
        <v>215.28</v>
      </c>
      <c r="S370" s="20" t="n">
        <v>2</v>
      </c>
      <c r="T370" s="20" t="n">
        <v>0.1</v>
      </c>
      <c r="U370" s="22" t="n">
        <v>9.57</v>
      </c>
      <c r="V370" s="23" t="n">
        <f aca="false">IF(ISNUMBER(C370),YEAR(C370),"")</f>
        <v>2016</v>
      </c>
      <c r="W370" s="23" t="n">
        <f aca="false">IF(ISNUMBER(C370),MONTH(C370),"")</f>
        <v>1</v>
      </c>
      <c r="X370" s="23" t="str">
        <f aca="false">IF(T370="","",IF(T370=0,"No discount",IF(T370&lt;=0.2,"Low (1-20%)",IF(T370&lt;=0.4,"Medium (21-40%)","High (&gt;40%)"))))</f>
        <v>Low (1-20%)</v>
      </c>
      <c r="Y370" s="23" t="n">
        <f aca="false">IF(AND(ISNUMBER(C370),ISNUMBER(D370)),D370-C370,"")</f>
        <v>6</v>
      </c>
      <c r="Z370" s="23" t="n">
        <f aca="false">IF(B370="","",IF(MATCH(B370,$B$2:$B$12000,0)=ROW()-1,1,0))</f>
        <v>0</v>
      </c>
    </row>
    <row r="371" customFormat="false" ht="15" hidden="false" customHeight="false" outlineLevel="0" collapsed="false">
      <c r="A371" s="20" t="n">
        <v>370</v>
      </c>
      <c r="B371" s="20" t="s">
        <v>1144</v>
      </c>
      <c r="C371" s="21" t="n">
        <v>42382</v>
      </c>
      <c r="D371" s="21" t="n">
        <v>42388</v>
      </c>
      <c r="E371" s="20" t="s">
        <v>104</v>
      </c>
      <c r="F371" s="20" t="s">
        <v>1145</v>
      </c>
      <c r="G371" s="20" t="s">
        <v>1146</v>
      </c>
      <c r="H371" s="20" t="s">
        <v>85</v>
      </c>
      <c r="I371" s="20" t="s">
        <v>62</v>
      </c>
      <c r="J371" s="20" t="s">
        <v>63</v>
      </c>
      <c r="K371" s="20" t="s">
        <v>346</v>
      </c>
      <c r="L371" s="20" t="n">
        <v>76911</v>
      </c>
      <c r="M371" s="20" t="s">
        <v>65</v>
      </c>
      <c r="N371" s="20" t="s">
        <v>1150</v>
      </c>
      <c r="O371" s="20" t="s">
        <v>76</v>
      </c>
      <c r="P371" s="20" t="s">
        <v>122</v>
      </c>
      <c r="Q371" s="20" t="s">
        <v>1151</v>
      </c>
      <c r="R371" s="22" t="n">
        <v>76.48</v>
      </c>
      <c r="S371" s="20" t="n">
        <v>8</v>
      </c>
      <c r="T371" s="20" t="n">
        <v>0.2</v>
      </c>
      <c r="U371" s="22" t="n">
        <v>25.2</v>
      </c>
      <c r="V371" s="23" t="n">
        <f aca="false">IF(ISNUMBER(C371),YEAR(C371),"")</f>
        <v>2016</v>
      </c>
      <c r="W371" s="23" t="n">
        <f aca="false">IF(ISNUMBER(C371),MONTH(C371),"")</f>
        <v>1</v>
      </c>
      <c r="X371" s="23" t="str">
        <f aca="false">IF(T371="","",IF(T371=0,"No discount",IF(T371&lt;=0.2,"Low (1-20%)",IF(T371&lt;=0.4,"Medium (21-40%)","High (&gt;40%)"))))</f>
        <v>Low (1-20%)</v>
      </c>
      <c r="Y371" s="23" t="n">
        <f aca="false">IF(AND(ISNUMBER(C371),ISNUMBER(D371)),D371-C371,"")</f>
        <v>6</v>
      </c>
      <c r="Z371" s="23" t="n">
        <f aca="false">IF(B371="","",IF(MATCH(B371,$B$2:$B$12000,0)=ROW()-1,1,0))</f>
        <v>0</v>
      </c>
    </row>
    <row r="372" customFormat="false" ht="15" hidden="false" customHeight="false" outlineLevel="0" collapsed="false">
      <c r="A372" s="20" t="n">
        <v>371</v>
      </c>
      <c r="B372" s="20" t="s">
        <v>1144</v>
      </c>
      <c r="C372" s="21" t="n">
        <v>42382</v>
      </c>
      <c r="D372" s="21" t="n">
        <v>42388</v>
      </c>
      <c r="E372" s="20" t="s">
        <v>71</v>
      </c>
      <c r="F372" s="20" t="s">
        <v>1145</v>
      </c>
      <c r="G372" s="20" t="s">
        <v>1146</v>
      </c>
      <c r="H372" s="20" t="s">
        <v>85</v>
      </c>
      <c r="I372" s="20" t="s">
        <v>62</v>
      </c>
      <c r="J372" s="20" t="s">
        <v>63</v>
      </c>
      <c r="K372" s="20" t="s">
        <v>346</v>
      </c>
      <c r="L372" s="20" t="n">
        <v>79707</v>
      </c>
      <c r="M372" s="20" t="s">
        <v>65</v>
      </c>
      <c r="N372" s="20" t="s">
        <v>1152</v>
      </c>
      <c r="O372" s="20" t="s">
        <v>76</v>
      </c>
      <c r="P372" s="20" t="s">
        <v>178</v>
      </c>
      <c r="Q372" s="20" t="s">
        <v>1153</v>
      </c>
      <c r="R372" s="22" t="n">
        <v>25.65</v>
      </c>
      <c r="S372" s="20" t="n">
        <v>3</v>
      </c>
      <c r="T372" s="20" t="n">
        <v>0.4</v>
      </c>
      <c r="U372" s="22" t="n">
        <v>-7.72</v>
      </c>
      <c r="V372" s="23" t="n">
        <f aca="false">IF(ISNUMBER(C372),YEAR(C372),"")</f>
        <v>2016</v>
      </c>
      <c r="W372" s="23" t="n">
        <f aca="false">IF(ISNUMBER(C372),MONTH(C372),"")</f>
        <v>1</v>
      </c>
      <c r="X372" s="23" t="str">
        <f aca="false">IF(T372="","",IF(T372=0,"No discount",IF(T372&lt;=0.2,"Low (1-20%)",IF(T372&lt;=0.4,"Medium (21-40%)","High (&gt;40%)"))))</f>
        <v>Medium (21-40%)</v>
      </c>
      <c r="Y372" s="23" t="n">
        <f aca="false">IF(AND(ISNUMBER(C372),ISNUMBER(D372)),D372-C372,"")</f>
        <v>6</v>
      </c>
      <c r="Z372" s="23" t="n">
        <f aca="false">IF(B372="","",IF(MATCH(B372,$B$2:$B$12000,0)=ROW()-1,1,0))</f>
        <v>0</v>
      </c>
    </row>
    <row r="373" customFormat="false" ht="15" hidden="false" customHeight="false" outlineLevel="0" collapsed="false">
      <c r="A373" s="20" t="n">
        <v>372</v>
      </c>
      <c r="B373" s="20" t="s">
        <v>1154</v>
      </c>
      <c r="C373" s="21" t="n">
        <v>42386</v>
      </c>
      <c r="D373" s="21" t="n">
        <v>42392</v>
      </c>
      <c r="E373" s="20" t="s">
        <v>90</v>
      </c>
      <c r="F373" s="20" t="s">
        <v>443</v>
      </c>
      <c r="G373" s="20" t="s">
        <v>444</v>
      </c>
      <c r="H373" s="20" t="s">
        <v>61</v>
      </c>
      <c r="I373" s="20" t="s">
        <v>62</v>
      </c>
      <c r="J373" s="20" t="s">
        <v>63</v>
      </c>
      <c r="K373" s="20" t="s">
        <v>556</v>
      </c>
      <c r="L373" s="20" t="n">
        <v>81308</v>
      </c>
      <c r="M373" s="20" t="s">
        <v>65</v>
      </c>
      <c r="N373" s="20" t="s">
        <v>1155</v>
      </c>
      <c r="O373" s="20" t="s">
        <v>76</v>
      </c>
      <c r="P373" s="20" t="s">
        <v>101</v>
      </c>
      <c r="Q373" s="20" t="s">
        <v>1156</v>
      </c>
      <c r="R373" s="22" t="n">
        <v>234.86</v>
      </c>
      <c r="S373" s="20" t="n">
        <v>8</v>
      </c>
      <c r="T373" s="20" t="n">
        <v>0</v>
      </c>
      <c r="U373" s="22" t="n">
        <v>100.72</v>
      </c>
      <c r="V373" s="23" t="n">
        <f aca="false">IF(ISNUMBER(C373),YEAR(C373),"")</f>
        <v>2016</v>
      </c>
      <c r="W373" s="23" t="n">
        <f aca="false">IF(ISNUMBER(C373),MONTH(C373),"")</f>
        <v>1</v>
      </c>
      <c r="X373" s="23" t="str">
        <f aca="false">IF(T373="","",IF(T373=0,"No discount",IF(T373&lt;=0.2,"Low (1-20%)",IF(T373&lt;=0.4,"Medium (21-40%)","High (&gt;40%)"))))</f>
        <v>No discount</v>
      </c>
      <c r="Y373" s="23" t="n">
        <f aca="false">IF(AND(ISNUMBER(C373),ISNUMBER(D373)),D373-C373,"")</f>
        <v>6</v>
      </c>
      <c r="Z373" s="23" t="n">
        <f aca="false">IF(B373="","",IF(MATCH(B373,$B$2:$B$12000,0)=ROW()-1,1,0))</f>
        <v>1</v>
      </c>
    </row>
    <row r="374" customFormat="false" ht="15" hidden="false" customHeight="false" outlineLevel="0" collapsed="false">
      <c r="A374" s="20" t="n">
        <v>373</v>
      </c>
      <c r="B374" s="20" t="s">
        <v>1157</v>
      </c>
      <c r="C374" s="21" t="n">
        <v>42389</v>
      </c>
      <c r="D374" s="21" t="n">
        <v>42390</v>
      </c>
      <c r="E374" s="20" t="s">
        <v>104</v>
      </c>
      <c r="F374" s="20" t="s">
        <v>244</v>
      </c>
      <c r="G374" s="20" t="s">
        <v>245</v>
      </c>
      <c r="H374" s="20" t="s">
        <v>61</v>
      </c>
      <c r="I374" s="20" t="s">
        <v>62</v>
      </c>
      <c r="J374" s="20" t="s">
        <v>63</v>
      </c>
      <c r="K374" s="20" t="s">
        <v>215</v>
      </c>
      <c r="L374" s="20" t="n">
        <v>69639</v>
      </c>
      <c r="M374" s="20" t="s">
        <v>112</v>
      </c>
      <c r="N374" s="20" t="s">
        <v>1158</v>
      </c>
      <c r="O374" s="20" t="s">
        <v>76</v>
      </c>
      <c r="P374" s="20" t="s">
        <v>128</v>
      </c>
      <c r="Q374" s="20" t="s">
        <v>1159</v>
      </c>
      <c r="R374" s="22" t="n">
        <v>136.23</v>
      </c>
      <c r="S374" s="20" t="n">
        <v>6</v>
      </c>
      <c r="T374" s="20" t="n">
        <v>0.7</v>
      </c>
      <c r="U374" s="22" t="n">
        <v>-49.72</v>
      </c>
      <c r="V374" s="23" t="n">
        <f aca="false">IF(ISNUMBER(C374),YEAR(C374),"")</f>
        <v>2016</v>
      </c>
      <c r="W374" s="23" t="n">
        <f aca="false">IF(ISNUMBER(C374),MONTH(C374),"")</f>
        <v>1</v>
      </c>
      <c r="X374" s="23" t="str">
        <f aca="false">IF(T374="","",IF(T374=0,"No discount",IF(T374&lt;=0.2,"Low (1-20%)",IF(T374&lt;=0.4,"Medium (21-40%)","High (&gt;40%)"))))</f>
        <v>High (&gt;40%)</v>
      </c>
      <c r="Y374" s="23" t="n">
        <f aca="false">IF(AND(ISNUMBER(C374),ISNUMBER(D374)),D374-C374,"")</f>
        <v>1</v>
      </c>
      <c r="Z374" s="23" t="n">
        <f aca="false">IF(B374="","",IF(MATCH(B374,$B$2:$B$12000,0)=ROW()-1,1,0))</f>
        <v>1</v>
      </c>
    </row>
    <row r="375" customFormat="false" ht="15" hidden="false" customHeight="false" outlineLevel="0" collapsed="false">
      <c r="A375" s="20" t="n">
        <v>374</v>
      </c>
      <c r="B375" s="20" t="s">
        <v>1157</v>
      </c>
      <c r="C375" s="21" t="n">
        <v>42389</v>
      </c>
      <c r="D375" s="21" t="n">
        <v>42390</v>
      </c>
      <c r="E375" s="20" t="s">
        <v>104</v>
      </c>
      <c r="F375" s="20" t="s">
        <v>244</v>
      </c>
      <c r="G375" s="20" t="s">
        <v>245</v>
      </c>
      <c r="H375" s="20" t="s">
        <v>61</v>
      </c>
      <c r="I375" s="20" t="s">
        <v>62</v>
      </c>
      <c r="J375" s="20" t="s">
        <v>63</v>
      </c>
      <c r="K375" s="20" t="s">
        <v>215</v>
      </c>
      <c r="L375" s="20" t="n">
        <v>93261</v>
      </c>
      <c r="M375" s="20" t="s">
        <v>112</v>
      </c>
      <c r="N375" s="20" t="s">
        <v>1160</v>
      </c>
      <c r="O375" s="20" t="s">
        <v>76</v>
      </c>
      <c r="P375" s="20" t="s">
        <v>122</v>
      </c>
      <c r="Q375" s="20" t="s">
        <v>1161</v>
      </c>
      <c r="R375" s="22" t="n">
        <v>131.21</v>
      </c>
      <c r="S375" s="20" t="n">
        <v>4</v>
      </c>
      <c r="T375" s="20" t="n">
        <v>0.2</v>
      </c>
      <c r="U375" s="22" t="n">
        <v>32.01</v>
      </c>
      <c r="V375" s="23" t="n">
        <f aca="false">IF(ISNUMBER(C375),YEAR(C375),"")</f>
        <v>2016</v>
      </c>
      <c r="W375" s="23" t="n">
        <f aca="false">IF(ISNUMBER(C375),MONTH(C375),"")</f>
        <v>1</v>
      </c>
      <c r="X375" s="23" t="str">
        <f aca="false">IF(T375="","",IF(T375=0,"No discount",IF(T375&lt;=0.2,"Low (1-20%)",IF(T375&lt;=0.4,"Medium (21-40%)","High (&gt;40%)"))))</f>
        <v>Low (1-20%)</v>
      </c>
      <c r="Y375" s="23" t="n">
        <f aca="false">IF(AND(ISNUMBER(C375),ISNUMBER(D375)),D375-C375,"")</f>
        <v>1</v>
      </c>
      <c r="Z375" s="23" t="n">
        <f aca="false">IF(B375="","",IF(MATCH(B375,$B$2:$B$12000,0)=ROW()-1,1,0))</f>
        <v>0</v>
      </c>
    </row>
    <row r="376" customFormat="false" ht="15" hidden="false" customHeight="false" outlineLevel="0" collapsed="false">
      <c r="A376" s="20" t="n">
        <v>375</v>
      </c>
      <c r="B376" s="20" t="s">
        <v>1157</v>
      </c>
      <c r="C376" s="21" t="n">
        <v>42389</v>
      </c>
      <c r="D376" s="21" t="n">
        <v>42390</v>
      </c>
      <c r="E376" s="20" t="s">
        <v>104</v>
      </c>
      <c r="F376" s="20" t="s">
        <v>244</v>
      </c>
      <c r="G376" s="20" t="s">
        <v>245</v>
      </c>
      <c r="H376" s="20" t="s">
        <v>61</v>
      </c>
      <c r="I376" s="20" t="s">
        <v>62</v>
      </c>
      <c r="J376" s="20" t="s">
        <v>63</v>
      </c>
      <c r="K376" s="20" t="s">
        <v>215</v>
      </c>
      <c r="L376" s="20" t="n">
        <v>40055</v>
      </c>
      <c r="M376" s="20" t="s">
        <v>112</v>
      </c>
      <c r="N376" s="20" t="s">
        <v>1162</v>
      </c>
      <c r="O376" s="20" t="s">
        <v>114</v>
      </c>
      <c r="P376" s="20" t="s">
        <v>139</v>
      </c>
      <c r="Q376" s="20" t="s">
        <v>1163</v>
      </c>
      <c r="R376" s="22" t="n">
        <v>1604.8</v>
      </c>
      <c r="S376" s="20" t="n">
        <v>6</v>
      </c>
      <c r="T376" s="20" t="n">
        <v>0.2</v>
      </c>
      <c r="U376" s="22" t="n">
        <v>-261.97</v>
      </c>
      <c r="V376" s="23" t="n">
        <f aca="false">IF(ISNUMBER(C376),YEAR(C376),"")</f>
        <v>2016</v>
      </c>
      <c r="W376" s="23" t="n">
        <f aca="false">IF(ISNUMBER(C376),MONTH(C376),"")</f>
        <v>1</v>
      </c>
      <c r="X376" s="23" t="str">
        <f aca="false">IF(T376="","",IF(T376=0,"No discount",IF(T376&lt;=0.2,"Low (1-20%)",IF(T376&lt;=0.4,"Medium (21-40%)","High (&gt;40%)"))))</f>
        <v>Low (1-20%)</v>
      </c>
      <c r="Y376" s="23" t="n">
        <f aca="false">IF(AND(ISNUMBER(C376),ISNUMBER(D376)),D376-C376,"")</f>
        <v>1</v>
      </c>
      <c r="Z376" s="23" t="n">
        <f aca="false">IF(B376="","",IF(MATCH(B376,$B$2:$B$12000,0)=ROW()-1,1,0))</f>
        <v>0</v>
      </c>
    </row>
    <row r="377" customFormat="false" ht="15" hidden="false" customHeight="false" outlineLevel="0" collapsed="false">
      <c r="A377" s="20" t="n">
        <v>376</v>
      </c>
      <c r="B377" s="20" t="s">
        <v>1157</v>
      </c>
      <c r="C377" s="21" t="n">
        <v>42389</v>
      </c>
      <c r="D377" s="21" t="n">
        <v>42390</v>
      </c>
      <c r="E377" s="20" t="s">
        <v>104</v>
      </c>
      <c r="F377" s="20" t="s">
        <v>244</v>
      </c>
      <c r="G377" s="20" t="s">
        <v>245</v>
      </c>
      <c r="H377" s="20" t="s">
        <v>61</v>
      </c>
      <c r="I377" s="20" t="s">
        <v>62</v>
      </c>
      <c r="J377" s="20" t="s">
        <v>63</v>
      </c>
      <c r="K377" s="20" t="s">
        <v>215</v>
      </c>
      <c r="L377" s="20" t="n">
        <v>73858</v>
      </c>
      <c r="M377" s="20" t="s">
        <v>112</v>
      </c>
      <c r="N377" s="20" t="s">
        <v>1164</v>
      </c>
      <c r="O377" s="20" t="s">
        <v>76</v>
      </c>
      <c r="P377" s="20" t="s">
        <v>80</v>
      </c>
      <c r="Q377" s="20" t="s">
        <v>1165</v>
      </c>
      <c r="R377" s="22" t="n">
        <v>320.64</v>
      </c>
      <c r="S377" s="20" t="n">
        <v>8</v>
      </c>
      <c r="T377" s="20" t="n">
        <v>0</v>
      </c>
      <c r="U377" s="22" t="n">
        <v>104.6</v>
      </c>
      <c r="V377" s="23" t="n">
        <f aca="false">IF(ISNUMBER(C377),YEAR(C377),"")</f>
        <v>2016</v>
      </c>
      <c r="W377" s="23" t="n">
        <f aca="false">IF(ISNUMBER(C377),MONTH(C377),"")</f>
        <v>1</v>
      </c>
      <c r="X377" s="23" t="str">
        <f aca="false">IF(T377="","",IF(T377=0,"No discount",IF(T377&lt;=0.2,"Low (1-20%)",IF(T377&lt;=0.4,"Medium (21-40%)","High (&gt;40%)"))))</f>
        <v>No discount</v>
      </c>
      <c r="Y377" s="23" t="n">
        <f aca="false">IF(AND(ISNUMBER(C377),ISNUMBER(D377)),D377-C377,"")</f>
        <v>1</v>
      </c>
      <c r="Z377" s="23" t="n">
        <f aca="false">IF(B377="","",IF(MATCH(B377,$B$2:$B$12000,0)=ROW()-1,1,0))</f>
        <v>0</v>
      </c>
    </row>
    <row r="378" customFormat="false" ht="15" hidden="false" customHeight="false" outlineLevel="0" collapsed="false">
      <c r="A378" s="20" t="n">
        <v>377</v>
      </c>
      <c r="B378" s="20" t="s">
        <v>1166</v>
      </c>
      <c r="C378" s="21" t="n">
        <v>42393</v>
      </c>
      <c r="D378" s="21" t="n">
        <v>42400</v>
      </c>
      <c r="E378" s="20" t="s">
        <v>58</v>
      </c>
      <c r="F378" s="20" t="s">
        <v>391</v>
      </c>
      <c r="G378" s="20" t="s">
        <v>392</v>
      </c>
      <c r="H378" s="20" t="s">
        <v>61</v>
      </c>
      <c r="I378" s="20" t="s">
        <v>62</v>
      </c>
      <c r="J378" s="20" t="s">
        <v>63</v>
      </c>
      <c r="K378" s="20" t="s">
        <v>296</v>
      </c>
      <c r="L378" s="20" t="n">
        <v>56166</v>
      </c>
      <c r="M378" s="20" t="s">
        <v>153</v>
      </c>
      <c r="N378" s="20" t="s">
        <v>1167</v>
      </c>
      <c r="O378" s="20" t="s">
        <v>76</v>
      </c>
      <c r="P378" s="20" t="s">
        <v>128</v>
      </c>
      <c r="Q378" s="20" t="s">
        <v>728</v>
      </c>
      <c r="R378" s="22" t="n">
        <v>237.14</v>
      </c>
      <c r="S378" s="20" t="n">
        <v>5</v>
      </c>
      <c r="T378" s="20" t="n">
        <v>0.2</v>
      </c>
      <c r="U378" s="22" t="n">
        <v>4.9</v>
      </c>
      <c r="V378" s="23" t="n">
        <f aca="false">IF(ISNUMBER(C378),YEAR(C378),"")</f>
        <v>2016</v>
      </c>
      <c r="W378" s="23" t="n">
        <f aca="false">IF(ISNUMBER(C378),MONTH(C378),"")</f>
        <v>1</v>
      </c>
      <c r="X378" s="23" t="str">
        <f aca="false">IF(T378="","",IF(T378=0,"No discount",IF(T378&lt;=0.2,"Low (1-20%)",IF(T378&lt;=0.4,"Medium (21-40%)","High (&gt;40%)"))))</f>
        <v>Low (1-20%)</v>
      </c>
      <c r="Y378" s="23" t="n">
        <f aca="false">IF(AND(ISNUMBER(C378),ISNUMBER(D378)),D378-C378,"")</f>
        <v>7</v>
      </c>
      <c r="Z378" s="23" t="n">
        <f aca="false">IF(B378="","",IF(MATCH(B378,$B$2:$B$12000,0)=ROW()-1,1,0))</f>
        <v>1</v>
      </c>
    </row>
    <row r="379" customFormat="false" ht="15" hidden="false" customHeight="false" outlineLevel="0" collapsed="false">
      <c r="A379" s="20" t="n">
        <v>378</v>
      </c>
      <c r="B379" s="20" t="s">
        <v>1168</v>
      </c>
      <c r="C379" s="21" t="n">
        <v>42405</v>
      </c>
      <c r="D379" s="21" t="n">
        <v>42412</v>
      </c>
      <c r="E379" s="20" t="s">
        <v>58</v>
      </c>
      <c r="F379" s="20" t="s">
        <v>548</v>
      </c>
      <c r="G379" s="20" t="s">
        <v>549</v>
      </c>
      <c r="H379" s="20" t="s">
        <v>85</v>
      </c>
      <c r="I379" s="20" t="s">
        <v>62</v>
      </c>
      <c r="J379" s="20" t="s">
        <v>63</v>
      </c>
      <c r="K379" s="20" t="s">
        <v>393</v>
      </c>
      <c r="L379" s="20" t="n">
        <v>29967</v>
      </c>
      <c r="M379" s="20" t="s">
        <v>97</v>
      </c>
      <c r="N379" s="20" t="s">
        <v>1169</v>
      </c>
      <c r="O379" s="20" t="s">
        <v>114</v>
      </c>
      <c r="P379" s="20" t="s">
        <v>139</v>
      </c>
      <c r="Q379" s="20" t="s">
        <v>1170</v>
      </c>
      <c r="R379" s="22" t="n">
        <v>1026.75</v>
      </c>
      <c r="S379" s="20" t="n">
        <v>3</v>
      </c>
      <c r="T379" s="20" t="n">
        <v>0</v>
      </c>
      <c r="U379" s="22" t="n">
        <v>81.06</v>
      </c>
      <c r="V379" s="23" t="n">
        <f aca="false">IF(ISNUMBER(C379),YEAR(C379),"")</f>
        <v>2016</v>
      </c>
      <c r="W379" s="23" t="n">
        <f aca="false">IF(ISNUMBER(C379),MONTH(C379),"")</f>
        <v>2</v>
      </c>
      <c r="X379" s="23" t="str">
        <f aca="false">IF(T379="","",IF(T379=0,"No discount",IF(T379&lt;=0.2,"Low (1-20%)",IF(T379&lt;=0.4,"Medium (21-40%)","High (&gt;40%)"))))</f>
        <v>No discount</v>
      </c>
      <c r="Y379" s="23" t="n">
        <f aca="false">IF(AND(ISNUMBER(C379),ISNUMBER(D379)),D379-C379,"")</f>
        <v>7</v>
      </c>
      <c r="Z379" s="23" t="n">
        <f aca="false">IF(B379="","",IF(MATCH(B379,$B$2:$B$12000,0)=ROW()-1,1,0))</f>
        <v>1</v>
      </c>
    </row>
    <row r="380" customFormat="false" ht="15" hidden="false" customHeight="false" outlineLevel="0" collapsed="false">
      <c r="A380" s="20" t="n">
        <v>379</v>
      </c>
      <c r="B380" s="20" t="s">
        <v>1171</v>
      </c>
      <c r="C380" s="21" t="n">
        <v>42408</v>
      </c>
      <c r="D380" s="21" t="n">
        <v>42411</v>
      </c>
      <c r="E380" s="20" t="s">
        <v>104</v>
      </c>
      <c r="F380" s="20" t="s">
        <v>443</v>
      </c>
      <c r="G380" s="20" t="s">
        <v>444</v>
      </c>
      <c r="H380" s="20" t="s">
        <v>61</v>
      </c>
      <c r="I380" s="20" t="s">
        <v>62</v>
      </c>
      <c r="J380" s="20" t="s">
        <v>63</v>
      </c>
      <c r="K380" s="20" t="s">
        <v>96</v>
      </c>
      <c r="L380" s="20" t="n">
        <v>24951</v>
      </c>
      <c r="M380" s="20" t="s">
        <v>97</v>
      </c>
      <c r="N380" s="20" t="s">
        <v>1172</v>
      </c>
      <c r="O380" s="20" t="s">
        <v>76</v>
      </c>
      <c r="P380" s="20" t="s">
        <v>236</v>
      </c>
      <c r="Q380" s="20" t="s">
        <v>1173</v>
      </c>
      <c r="R380" s="22" t="n">
        <v>171.98</v>
      </c>
      <c r="S380" s="20" t="n">
        <v>5</v>
      </c>
      <c r="T380" s="20" t="n">
        <v>0</v>
      </c>
      <c r="U380" s="22" t="n">
        <v>71.24</v>
      </c>
      <c r="V380" s="23" t="n">
        <f aca="false">IF(ISNUMBER(C380),YEAR(C380),"")</f>
        <v>2016</v>
      </c>
      <c r="W380" s="23" t="n">
        <f aca="false">IF(ISNUMBER(C380),MONTH(C380),"")</f>
        <v>2</v>
      </c>
      <c r="X380" s="23" t="str">
        <f aca="false">IF(T380="","",IF(T380=0,"No discount",IF(T380&lt;=0.2,"Low (1-20%)",IF(T380&lt;=0.4,"Medium (21-40%)","High (&gt;40%)"))))</f>
        <v>No discount</v>
      </c>
      <c r="Y380" s="23" t="n">
        <f aca="false">IF(AND(ISNUMBER(C380),ISNUMBER(D380)),D380-C380,"")</f>
        <v>3</v>
      </c>
      <c r="Z380" s="23" t="n">
        <f aca="false">IF(B380="","",IF(MATCH(B380,$B$2:$B$12000,0)=ROW()-1,1,0))</f>
        <v>1</v>
      </c>
    </row>
    <row r="381" customFormat="false" ht="15" hidden="false" customHeight="false" outlineLevel="0" collapsed="false">
      <c r="A381" s="20" t="n">
        <v>380</v>
      </c>
      <c r="B381" s="20" t="s">
        <v>1171</v>
      </c>
      <c r="C381" s="21" t="n">
        <v>42408</v>
      </c>
      <c r="D381" s="21" t="n">
        <v>42411</v>
      </c>
      <c r="E381" s="20" t="s">
        <v>58</v>
      </c>
      <c r="F381" s="20" t="s">
        <v>443</v>
      </c>
      <c r="G381" s="20" t="s">
        <v>444</v>
      </c>
      <c r="H381" s="20" t="s">
        <v>61</v>
      </c>
      <c r="I381" s="20" t="s">
        <v>62</v>
      </c>
      <c r="J381" s="20" t="s">
        <v>63</v>
      </c>
      <c r="K381" s="20" t="s">
        <v>96</v>
      </c>
      <c r="L381" s="20" t="n">
        <v>48508</v>
      </c>
      <c r="M381" s="20" t="s">
        <v>97</v>
      </c>
      <c r="N381" s="20" t="s">
        <v>1174</v>
      </c>
      <c r="O381" s="20" t="s">
        <v>114</v>
      </c>
      <c r="P381" s="20" t="s">
        <v>139</v>
      </c>
      <c r="Q381" s="20" t="s">
        <v>1175</v>
      </c>
      <c r="R381" s="22" t="n">
        <v>636.68</v>
      </c>
      <c r="S381" s="20" t="n">
        <v>4</v>
      </c>
      <c r="T381" s="20" t="n">
        <v>0</v>
      </c>
      <c r="U381" s="22" t="n">
        <v>63.85</v>
      </c>
      <c r="V381" s="23" t="n">
        <f aca="false">IF(ISNUMBER(C381),YEAR(C381),"")</f>
        <v>2016</v>
      </c>
      <c r="W381" s="23" t="n">
        <f aca="false">IF(ISNUMBER(C381),MONTH(C381),"")</f>
        <v>2</v>
      </c>
      <c r="X381" s="23" t="str">
        <f aca="false">IF(T381="","",IF(T381=0,"No discount",IF(T381&lt;=0.2,"Low (1-20%)",IF(T381&lt;=0.4,"Medium (21-40%)","High (&gt;40%)"))))</f>
        <v>No discount</v>
      </c>
      <c r="Y381" s="23" t="n">
        <f aca="false">IF(AND(ISNUMBER(C381),ISNUMBER(D381)),D381-C381,"")</f>
        <v>3</v>
      </c>
      <c r="Z381" s="23" t="n">
        <f aca="false">IF(B381="","",IF(MATCH(B381,$B$2:$B$12000,0)=ROW()-1,1,0))</f>
        <v>0</v>
      </c>
    </row>
    <row r="382" customFormat="false" ht="15" hidden="false" customHeight="false" outlineLevel="0" collapsed="false">
      <c r="A382" s="20" t="n">
        <v>381</v>
      </c>
      <c r="B382" s="20" t="s">
        <v>1176</v>
      </c>
      <c r="C382" s="21" t="n">
        <v>42417</v>
      </c>
      <c r="D382" s="21" t="n">
        <v>42419</v>
      </c>
      <c r="E382" s="20" t="s">
        <v>71</v>
      </c>
      <c r="F382" s="20" t="s">
        <v>501</v>
      </c>
      <c r="G382" s="20" t="s">
        <v>502</v>
      </c>
      <c r="H382" s="20" t="s">
        <v>85</v>
      </c>
      <c r="I382" s="20" t="s">
        <v>62</v>
      </c>
      <c r="J382" s="20" t="s">
        <v>63</v>
      </c>
      <c r="K382" s="20" t="s">
        <v>346</v>
      </c>
      <c r="L382" s="20" t="n">
        <v>76850</v>
      </c>
      <c r="M382" s="20" t="s">
        <v>65</v>
      </c>
      <c r="N382" s="20" t="s">
        <v>1177</v>
      </c>
      <c r="O382" s="20" t="s">
        <v>76</v>
      </c>
      <c r="P382" s="20" t="s">
        <v>101</v>
      </c>
      <c r="Q382" s="20" t="s">
        <v>527</v>
      </c>
      <c r="R382" s="22" t="n">
        <v>49.16</v>
      </c>
      <c r="S382" s="20" t="n">
        <v>2</v>
      </c>
      <c r="T382" s="20" t="n">
        <v>0</v>
      </c>
      <c r="U382" s="22" t="n">
        <v>14.9</v>
      </c>
      <c r="V382" s="23" t="n">
        <f aca="false">IF(ISNUMBER(C382),YEAR(C382),"")</f>
        <v>2016</v>
      </c>
      <c r="W382" s="23" t="n">
        <f aca="false">IF(ISNUMBER(C382),MONTH(C382),"")</f>
        <v>2</v>
      </c>
      <c r="X382" s="23" t="str">
        <f aca="false">IF(T382="","",IF(T382=0,"No discount",IF(T382&lt;=0.2,"Low (1-20%)",IF(T382&lt;=0.4,"Medium (21-40%)","High (&gt;40%)"))))</f>
        <v>No discount</v>
      </c>
      <c r="Y382" s="23" t="n">
        <f aca="false">IF(AND(ISNUMBER(C382),ISNUMBER(D382)),D382-C382,"")</f>
        <v>2</v>
      </c>
      <c r="Z382" s="23" t="n">
        <f aca="false">IF(B382="","",IF(MATCH(B382,$B$2:$B$12000,0)=ROW()-1,1,0))</f>
        <v>1</v>
      </c>
    </row>
    <row r="383" customFormat="false" ht="15" hidden="false" customHeight="false" outlineLevel="0" collapsed="false">
      <c r="A383" s="20" t="n">
        <v>382</v>
      </c>
      <c r="B383" s="20" t="s">
        <v>1176</v>
      </c>
      <c r="C383" s="21" t="n">
        <v>42417</v>
      </c>
      <c r="D383" s="21" t="n">
        <v>42419</v>
      </c>
      <c r="E383" s="20" t="s">
        <v>71</v>
      </c>
      <c r="F383" s="20" t="s">
        <v>501</v>
      </c>
      <c r="G383" s="20" t="s">
        <v>502</v>
      </c>
      <c r="H383" s="20" t="s">
        <v>85</v>
      </c>
      <c r="I383" s="20" t="s">
        <v>62</v>
      </c>
      <c r="J383" s="20" t="s">
        <v>63</v>
      </c>
      <c r="K383" s="20" t="s">
        <v>346</v>
      </c>
      <c r="L383" s="20" t="n">
        <v>39916</v>
      </c>
      <c r="M383" s="20" t="s">
        <v>65</v>
      </c>
      <c r="N383" s="20" t="s">
        <v>1178</v>
      </c>
      <c r="O383" s="20" t="s">
        <v>114</v>
      </c>
      <c r="P383" s="20" t="s">
        <v>167</v>
      </c>
      <c r="Q383" s="20" t="s">
        <v>763</v>
      </c>
      <c r="R383" s="22" t="n">
        <v>3362.42</v>
      </c>
      <c r="S383" s="20" t="n">
        <v>5</v>
      </c>
      <c r="T383" s="20" t="n">
        <v>0.2</v>
      </c>
      <c r="U383" s="22" t="n">
        <v>-705.43</v>
      </c>
      <c r="V383" s="23" t="n">
        <f aca="false">IF(ISNUMBER(C383),YEAR(C383),"")</f>
        <v>2016</v>
      </c>
      <c r="W383" s="23" t="n">
        <f aca="false">IF(ISNUMBER(C383),MONTH(C383),"")</f>
        <v>2</v>
      </c>
      <c r="X383" s="23" t="str">
        <f aca="false">IF(T383="","",IF(T383=0,"No discount",IF(T383&lt;=0.2,"Low (1-20%)",IF(T383&lt;=0.4,"Medium (21-40%)","High (&gt;40%)"))))</f>
        <v>Low (1-20%)</v>
      </c>
      <c r="Y383" s="23" t="n">
        <f aca="false">IF(AND(ISNUMBER(C383),ISNUMBER(D383)),D383-C383,"")</f>
        <v>2</v>
      </c>
      <c r="Z383" s="23" t="n">
        <f aca="false">IF(B383="","",IF(MATCH(B383,$B$2:$B$12000,0)=ROW()-1,1,0))</f>
        <v>0</v>
      </c>
    </row>
    <row r="384" customFormat="false" ht="15" hidden="false" customHeight="false" outlineLevel="0" collapsed="false">
      <c r="A384" s="20" t="n">
        <v>383</v>
      </c>
      <c r="B384" s="20" t="s">
        <v>1176</v>
      </c>
      <c r="C384" s="21" t="n">
        <v>42417</v>
      </c>
      <c r="D384" s="21" t="n">
        <v>42419</v>
      </c>
      <c r="E384" s="20" t="s">
        <v>104</v>
      </c>
      <c r="F384" s="20" t="s">
        <v>501</v>
      </c>
      <c r="G384" s="20" t="s">
        <v>502</v>
      </c>
      <c r="H384" s="20" t="s">
        <v>85</v>
      </c>
      <c r="I384" s="20" t="s">
        <v>62</v>
      </c>
      <c r="J384" s="20" t="s">
        <v>63</v>
      </c>
      <c r="K384" s="20" t="s">
        <v>346</v>
      </c>
      <c r="L384" s="20" t="n">
        <v>45282</v>
      </c>
      <c r="M384" s="20" t="s">
        <v>65</v>
      </c>
      <c r="N384" s="20" t="s">
        <v>1179</v>
      </c>
      <c r="O384" s="20" t="s">
        <v>67</v>
      </c>
      <c r="P384" s="20" t="s">
        <v>68</v>
      </c>
      <c r="Q384" s="20" t="s">
        <v>1180</v>
      </c>
      <c r="R384" s="22" t="n">
        <v>9336.49</v>
      </c>
      <c r="S384" s="20" t="n">
        <v>7</v>
      </c>
      <c r="T384" s="20" t="n">
        <v>0</v>
      </c>
      <c r="U384" s="22" t="n">
        <v>2840.15</v>
      </c>
      <c r="V384" s="23" t="n">
        <f aca="false">IF(ISNUMBER(C384),YEAR(C384),"")</f>
        <v>2016</v>
      </c>
      <c r="W384" s="23" t="n">
        <f aca="false">IF(ISNUMBER(C384),MONTH(C384),"")</f>
        <v>2</v>
      </c>
      <c r="X384" s="23" t="str">
        <f aca="false">IF(T384="","",IF(T384=0,"No discount",IF(T384&lt;=0.2,"Low (1-20%)",IF(T384&lt;=0.4,"Medium (21-40%)","High (&gt;40%)"))))</f>
        <v>No discount</v>
      </c>
      <c r="Y384" s="23" t="n">
        <f aca="false">IF(AND(ISNUMBER(C384),ISNUMBER(D384)),D384-C384,"")</f>
        <v>2</v>
      </c>
      <c r="Z384" s="23" t="n">
        <f aca="false">IF(B384="","",IF(MATCH(B384,$B$2:$B$12000,0)=ROW()-1,1,0))</f>
        <v>0</v>
      </c>
    </row>
    <row r="385" customFormat="false" ht="15" hidden="false" customHeight="false" outlineLevel="0" collapsed="false">
      <c r="A385" s="20" t="n">
        <v>384</v>
      </c>
      <c r="B385" s="20" t="s">
        <v>1181</v>
      </c>
      <c r="C385" s="21" t="n">
        <v>42428</v>
      </c>
      <c r="D385" s="21" t="n">
        <v>42429</v>
      </c>
      <c r="E385" s="20" t="s">
        <v>58</v>
      </c>
      <c r="F385" s="20" t="s">
        <v>352</v>
      </c>
      <c r="G385" s="20" t="s">
        <v>353</v>
      </c>
      <c r="H385" s="20" t="s">
        <v>85</v>
      </c>
      <c r="I385" s="20" t="s">
        <v>62</v>
      </c>
      <c r="J385" s="20" t="s">
        <v>63</v>
      </c>
      <c r="K385" s="20" t="s">
        <v>246</v>
      </c>
      <c r="L385" s="20" t="n">
        <v>88537</v>
      </c>
      <c r="M385" s="20" t="s">
        <v>112</v>
      </c>
      <c r="N385" s="20" t="s">
        <v>1182</v>
      </c>
      <c r="O385" s="20" t="s">
        <v>114</v>
      </c>
      <c r="P385" s="20" t="s">
        <v>167</v>
      </c>
      <c r="Q385" s="20" t="s">
        <v>619</v>
      </c>
      <c r="R385" s="22" t="n">
        <v>4954.53</v>
      </c>
      <c r="S385" s="20" t="n">
        <v>8</v>
      </c>
      <c r="T385" s="20" t="n">
        <v>0</v>
      </c>
      <c r="U385" s="22" t="n">
        <v>-45.9</v>
      </c>
      <c r="V385" s="23" t="n">
        <f aca="false">IF(ISNUMBER(C385),YEAR(C385),"")</f>
        <v>2016</v>
      </c>
      <c r="W385" s="23" t="n">
        <f aca="false">IF(ISNUMBER(C385),MONTH(C385),"")</f>
        <v>2</v>
      </c>
      <c r="X385" s="23" t="str">
        <f aca="false">IF(T385="","",IF(T385=0,"No discount",IF(T385&lt;=0.2,"Low (1-20%)",IF(T385&lt;=0.4,"Medium (21-40%)","High (&gt;40%)"))))</f>
        <v>No discount</v>
      </c>
      <c r="Y385" s="23" t="n">
        <f aca="false">IF(AND(ISNUMBER(C385),ISNUMBER(D385)),D385-C385,"")</f>
        <v>1</v>
      </c>
      <c r="Z385" s="23" t="n">
        <f aca="false">IF(B385="","",IF(MATCH(B385,$B$2:$B$12000,0)=ROW()-1,1,0))</f>
        <v>1</v>
      </c>
    </row>
    <row r="386" customFormat="false" ht="15" hidden="false" customHeight="false" outlineLevel="0" collapsed="false">
      <c r="A386" s="20" t="n">
        <v>385</v>
      </c>
      <c r="B386" s="20" t="s">
        <v>1183</v>
      </c>
      <c r="C386" s="21" t="n">
        <v>42431</v>
      </c>
      <c r="D386" s="21" t="n">
        <v>42438</v>
      </c>
      <c r="E386" s="20" t="s">
        <v>71</v>
      </c>
      <c r="F386" s="20" t="s">
        <v>59</v>
      </c>
      <c r="G386" s="20" t="s">
        <v>60</v>
      </c>
      <c r="H386" s="20" t="s">
        <v>61</v>
      </c>
      <c r="I386" s="20" t="s">
        <v>62</v>
      </c>
      <c r="J386" s="20" t="s">
        <v>63</v>
      </c>
      <c r="K386" s="20" t="s">
        <v>254</v>
      </c>
      <c r="L386" s="20" t="n">
        <v>22255</v>
      </c>
      <c r="M386" s="20" t="s">
        <v>112</v>
      </c>
      <c r="N386" s="20" t="s">
        <v>1184</v>
      </c>
      <c r="O386" s="20" t="s">
        <v>67</v>
      </c>
      <c r="P386" s="20" t="s">
        <v>164</v>
      </c>
      <c r="Q386" s="20" t="s">
        <v>1185</v>
      </c>
      <c r="R386" s="22" t="n">
        <v>4830.95</v>
      </c>
      <c r="S386" s="20" t="n">
        <v>8</v>
      </c>
      <c r="T386" s="20" t="n">
        <v>0</v>
      </c>
      <c r="U386" s="22" t="n">
        <v>497.72</v>
      </c>
      <c r="V386" s="23" t="n">
        <f aca="false">IF(ISNUMBER(C386),YEAR(C386),"")</f>
        <v>2016</v>
      </c>
      <c r="W386" s="23" t="n">
        <f aca="false">IF(ISNUMBER(C386),MONTH(C386),"")</f>
        <v>3</v>
      </c>
      <c r="X386" s="23" t="str">
        <f aca="false">IF(T386="","",IF(T386=0,"No discount",IF(T386&lt;=0.2,"Low (1-20%)",IF(T386&lt;=0.4,"Medium (21-40%)","High (&gt;40%)"))))</f>
        <v>No discount</v>
      </c>
      <c r="Y386" s="23" t="n">
        <f aca="false">IF(AND(ISNUMBER(C386),ISNUMBER(D386)),D386-C386,"")</f>
        <v>7</v>
      </c>
      <c r="Z386" s="23" t="n">
        <f aca="false">IF(B386="","",IF(MATCH(B386,$B$2:$B$12000,0)=ROW()-1,1,0))</f>
        <v>1</v>
      </c>
    </row>
    <row r="387" customFormat="false" ht="15" hidden="false" customHeight="false" outlineLevel="0" collapsed="false">
      <c r="A387" s="20" t="n">
        <v>386</v>
      </c>
      <c r="B387" s="20" t="s">
        <v>1186</v>
      </c>
      <c r="C387" s="21" t="n">
        <v>42437</v>
      </c>
      <c r="D387" s="21" t="n">
        <v>42441</v>
      </c>
      <c r="E387" s="20" t="s">
        <v>58</v>
      </c>
      <c r="F387" s="20" t="s">
        <v>907</v>
      </c>
      <c r="G387" s="20" t="s">
        <v>908</v>
      </c>
      <c r="H387" s="20" t="s">
        <v>61</v>
      </c>
      <c r="I387" s="20" t="s">
        <v>62</v>
      </c>
      <c r="J387" s="20" t="s">
        <v>63</v>
      </c>
      <c r="K387" s="20" t="s">
        <v>74</v>
      </c>
      <c r="L387" s="20" t="n">
        <v>23134</v>
      </c>
      <c r="M387" s="20" t="s">
        <v>65</v>
      </c>
      <c r="N387" s="20" t="s">
        <v>1187</v>
      </c>
      <c r="O387" s="20" t="s">
        <v>76</v>
      </c>
      <c r="P387" s="20" t="s">
        <v>128</v>
      </c>
      <c r="Q387" s="20" t="s">
        <v>585</v>
      </c>
      <c r="R387" s="22" t="n">
        <v>648.36</v>
      </c>
      <c r="S387" s="20" t="n">
        <v>5</v>
      </c>
      <c r="T387" s="20" t="n">
        <v>0.2</v>
      </c>
      <c r="U387" s="22" t="n">
        <v>-49.04</v>
      </c>
      <c r="V387" s="23" t="n">
        <f aca="false">IF(ISNUMBER(C387),YEAR(C387),"")</f>
        <v>2016</v>
      </c>
      <c r="W387" s="23" t="n">
        <f aca="false">IF(ISNUMBER(C387),MONTH(C387),"")</f>
        <v>3</v>
      </c>
      <c r="X387" s="23" t="str">
        <f aca="false">IF(T387="","",IF(T387=0,"No discount",IF(T387&lt;=0.2,"Low (1-20%)",IF(T387&lt;=0.4,"Medium (21-40%)","High (&gt;40%)"))))</f>
        <v>Low (1-20%)</v>
      </c>
      <c r="Y387" s="23" t="n">
        <f aca="false">IF(AND(ISNUMBER(C387),ISNUMBER(D387)),D387-C387,"")</f>
        <v>4</v>
      </c>
      <c r="Z387" s="23" t="n">
        <f aca="false">IF(B387="","",IF(MATCH(B387,$B$2:$B$12000,0)=ROW()-1,1,0))</f>
        <v>1</v>
      </c>
    </row>
    <row r="388" customFormat="false" ht="15" hidden="false" customHeight="false" outlineLevel="0" collapsed="false">
      <c r="A388" s="20" t="n">
        <v>387</v>
      </c>
      <c r="B388" s="20" t="s">
        <v>1186</v>
      </c>
      <c r="C388" s="21" t="n">
        <v>42437</v>
      </c>
      <c r="D388" s="21" t="n">
        <v>42441</v>
      </c>
      <c r="E388" s="20" t="s">
        <v>104</v>
      </c>
      <c r="F388" s="20" t="s">
        <v>907</v>
      </c>
      <c r="G388" s="20" t="s">
        <v>908</v>
      </c>
      <c r="H388" s="20" t="s">
        <v>61</v>
      </c>
      <c r="I388" s="20" t="s">
        <v>62</v>
      </c>
      <c r="J388" s="20" t="s">
        <v>63</v>
      </c>
      <c r="K388" s="20" t="s">
        <v>74</v>
      </c>
      <c r="L388" s="20" t="n">
        <v>88900</v>
      </c>
      <c r="M388" s="20" t="s">
        <v>65</v>
      </c>
      <c r="N388" s="20" t="s">
        <v>1188</v>
      </c>
      <c r="O388" s="20" t="s">
        <v>76</v>
      </c>
      <c r="P388" s="20" t="s">
        <v>101</v>
      </c>
      <c r="Q388" s="20" t="s">
        <v>1189</v>
      </c>
      <c r="R388" s="22" t="n">
        <v>34.63</v>
      </c>
      <c r="S388" s="20" t="n">
        <v>5</v>
      </c>
      <c r="T388" s="20" t="n">
        <v>0.4</v>
      </c>
      <c r="U388" s="22" t="n">
        <v>6.71</v>
      </c>
      <c r="V388" s="23" t="n">
        <f aca="false">IF(ISNUMBER(C388),YEAR(C388),"")</f>
        <v>2016</v>
      </c>
      <c r="W388" s="23" t="n">
        <f aca="false">IF(ISNUMBER(C388),MONTH(C388),"")</f>
        <v>3</v>
      </c>
      <c r="X388" s="23" t="str">
        <f aca="false">IF(T388="","",IF(T388=0,"No discount",IF(T388&lt;=0.2,"Low (1-20%)",IF(T388&lt;=0.4,"Medium (21-40%)","High (&gt;40%)"))))</f>
        <v>Medium (21-40%)</v>
      </c>
      <c r="Y388" s="23" t="n">
        <f aca="false">IF(AND(ISNUMBER(C388),ISNUMBER(D388)),D388-C388,"")</f>
        <v>4</v>
      </c>
      <c r="Z388" s="23" t="n">
        <f aca="false">IF(B388="","",IF(MATCH(B388,$B$2:$B$12000,0)=ROW()-1,1,0))</f>
        <v>0</v>
      </c>
    </row>
    <row r="389" customFormat="false" ht="15" hidden="false" customHeight="false" outlineLevel="0" collapsed="false">
      <c r="A389" s="20" t="n">
        <v>388</v>
      </c>
      <c r="B389" s="20" t="s">
        <v>1186</v>
      </c>
      <c r="C389" s="21" t="n">
        <v>42437</v>
      </c>
      <c r="D389" s="21" t="n">
        <v>42441</v>
      </c>
      <c r="E389" s="20" t="s">
        <v>104</v>
      </c>
      <c r="F389" s="20" t="s">
        <v>907</v>
      </c>
      <c r="G389" s="20" t="s">
        <v>908</v>
      </c>
      <c r="H389" s="20" t="s">
        <v>61</v>
      </c>
      <c r="I389" s="20" t="s">
        <v>62</v>
      </c>
      <c r="J389" s="20" t="s">
        <v>63</v>
      </c>
      <c r="K389" s="20" t="s">
        <v>74</v>
      </c>
      <c r="L389" s="20" t="n">
        <v>28029</v>
      </c>
      <c r="M389" s="20" t="s">
        <v>65</v>
      </c>
      <c r="N389" s="20" t="s">
        <v>1190</v>
      </c>
      <c r="O389" s="20" t="s">
        <v>76</v>
      </c>
      <c r="P389" s="20" t="s">
        <v>101</v>
      </c>
      <c r="Q389" s="20" t="s">
        <v>1191</v>
      </c>
      <c r="R389" s="22" t="n">
        <v>44.21</v>
      </c>
      <c r="S389" s="20" t="n">
        <v>2</v>
      </c>
      <c r="T389" s="20" t="n">
        <v>0.2</v>
      </c>
      <c r="U389" s="22" t="n">
        <v>10.93</v>
      </c>
      <c r="V389" s="23" t="n">
        <f aca="false">IF(ISNUMBER(C389),YEAR(C389),"")</f>
        <v>2016</v>
      </c>
      <c r="W389" s="23" t="n">
        <f aca="false">IF(ISNUMBER(C389),MONTH(C389),"")</f>
        <v>3</v>
      </c>
      <c r="X389" s="23" t="str">
        <f aca="false">IF(T389="","",IF(T389=0,"No discount",IF(T389&lt;=0.2,"Low (1-20%)",IF(T389&lt;=0.4,"Medium (21-40%)","High (&gt;40%)"))))</f>
        <v>Low (1-20%)</v>
      </c>
      <c r="Y389" s="23" t="n">
        <f aca="false">IF(AND(ISNUMBER(C389),ISNUMBER(D389)),D389-C389,"")</f>
        <v>4</v>
      </c>
      <c r="Z389" s="23" t="n">
        <f aca="false">IF(B389="","",IF(MATCH(B389,$B$2:$B$12000,0)=ROW()-1,1,0))</f>
        <v>0</v>
      </c>
    </row>
    <row r="390" customFormat="false" ht="15" hidden="false" customHeight="false" outlineLevel="0" collapsed="false">
      <c r="A390" s="20" t="n">
        <v>389</v>
      </c>
      <c r="B390" s="20" t="s">
        <v>1192</v>
      </c>
      <c r="C390" s="21" t="n">
        <v>42455</v>
      </c>
      <c r="D390" s="21" t="n">
        <v>42458</v>
      </c>
      <c r="E390" s="20" t="s">
        <v>90</v>
      </c>
      <c r="F390" s="20" t="s">
        <v>286</v>
      </c>
      <c r="G390" s="20" t="s">
        <v>287</v>
      </c>
      <c r="H390" s="20" t="s">
        <v>61</v>
      </c>
      <c r="I390" s="20" t="s">
        <v>62</v>
      </c>
      <c r="J390" s="20" t="s">
        <v>63</v>
      </c>
      <c r="K390" s="20" t="s">
        <v>96</v>
      </c>
      <c r="L390" s="20" t="n">
        <v>57278</v>
      </c>
      <c r="M390" s="20" t="s">
        <v>97</v>
      </c>
      <c r="N390" s="20" t="s">
        <v>1193</v>
      </c>
      <c r="O390" s="20" t="s">
        <v>114</v>
      </c>
      <c r="P390" s="20" t="s">
        <v>139</v>
      </c>
      <c r="Q390" s="20" t="s">
        <v>1194</v>
      </c>
      <c r="R390" s="22" t="n">
        <v>1985.47</v>
      </c>
      <c r="S390" s="20" t="n">
        <v>6</v>
      </c>
      <c r="T390" s="20" t="n">
        <v>0</v>
      </c>
      <c r="U390" s="22" t="n">
        <v>116.56</v>
      </c>
      <c r="V390" s="23" t="n">
        <f aca="false">IF(ISNUMBER(C390),YEAR(C390),"")</f>
        <v>2016</v>
      </c>
      <c r="W390" s="23" t="n">
        <f aca="false">IF(ISNUMBER(C390),MONTH(C390),"")</f>
        <v>3</v>
      </c>
      <c r="X390" s="23" t="str">
        <f aca="false">IF(T390="","",IF(T390=0,"No discount",IF(T390&lt;=0.2,"Low (1-20%)",IF(T390&lt;=0.4,"Medium (21-40%)","High (&gt;40%)"))))</f>
        <v>No discount</v>
      </c>
      <c r="Y390" s="23" t="n">
        <f aca="false">IF(AND(ISNUMBER(C390),ISNUMBER(D390)),D390-C390,"")</f>
        <v>3</v>
      </c>
      <c r="Z390" s="23" t="n">
        <f aca="false">IF(B390="","",IF(MATCH(B390,$B$2:$B$12000,0)=ROW()-1,1,0))</f>
        <v>1</v>
      </c>
    </row>
    <row r="391" customFormat="false" ht="15" hidden="false" customHeight="false" outlineLevel="0" collapsed="false">
      <c r="A391" s="20" t="n">
        <v>390</v>
      </c>
      <c r="B391" s="20" t="s">
        <v>1192</v>
      </c>
      <c r="C391" s="21" t="n">
        <v>42455</v>
      </c>
      <c r="D391" s="21" t="n">
        <v>42458</v>
      </c>
      <c r="E391" s="20" t="s">
        <v>71</v>
      </c>
      <c r="F391" s="20" t="s">
        <v>286</v>
      </c>
      <c r="G391" s="20" t="s">
        <v>287</v>
      </c>
      <c r="H391" s="20" t="s">
        <v>61</v>
      </c>
      <c r="I391" s="20" t="s">
        <v>62</v>
      </c>
      <c r="J391" s="20" t="s">
        <v>63</v>
      </c>
      <c r="K391" s="20" t="s">
        <v>96</v>
      </c>
      <c r="L391" s="20" t="n">
        <v>13769</v>
      </c>
      <c r="M391" s="20" t="s">
        <v>97</v>
      </c>
      <c r="N391" s="20" t="s">
        <v>1195</v>
      </c>
      <c r="O391" s="20" t="s">
        <v>114</v>
      </c>
      <c r="P391" s="20" t="s">
        <v>167</v>
      </c>
      <c r="Q391" s="20" t="s">
        <v>1196</v>
      </c>
      <c r="R391" s="22" t="n">
        <v>1849.32</v>
      </c>
      <c r="S391" s="20" t="n">
        <v>3</v>
      </c>
      <c r="T391" s="20" t="n">
        <v>0.2</v>
      </c>
      <c r="U391" s="22" t="n">
        <v>-253.9</v>
      </c>
      <c r="V391" s="23" t="n">
        <f aca="false">IF(ISNUMBER(C391),YEAR(C391),"")</f>
        <v>2016</v>
      </c>
      <c r="W391" s="23" t="n">
        <f aca="false">IF(ISNUMBER(C391),MONTH(C391),"")</f>
        <v>3</v>
      </c>
      <c r="X391" s="23" t="str">
        <f aca="false">IF(T391="","",IF(T391=0,"No discount",IF(T391&lt;=0.2,"Low (1-20%)",IF(T391&lt;=0.4,"Medium (21-40%)","High (&gt;40%)"))))</f>
        <v>Low (1-20%)</v>
      </c>
      <c r="Y391" s="23" t="n">
        <f aca="false">IF(AND(ISNUMBER(C391),ISNUMBER(D391)),D391-C391,"")</f>
        <v>3</v>
      </c>
      <c r="Z391" s="23" t="n">
        <f aca="false">IF(B391="","",IF(MATCH(B391,$B$2:$B$12000,0)=ROW()-1,1,0))</f>
        <v>0</v>
      </c>
    </row>
    <row r="392" customFormat="false" ht="15" hidden="false" customHeight="false" outlineLevel="0" collapsed="false">
      <c r="A392" s="20" t="n">
        <v>391</v>
      </c>
      <c r="B392" s="20" t="s">
        <v>1192</v>
      </c>
      <c r="C392" s="21" t="n">
        <v>42455</v>
      </c>
      <c r="D392" s="21" t="n">
        <v>42458</v>
      </c>
      <c r="E392" s="20" t="s">
        <v>58</v>
      </c>
      <c r="F392" s="20" t="s">
        <v>286</v>
      </c>
      <c r="G392" s="20" t="s">
        <v>287</v>
      </c>
      <c r="H392" s="20" t="s">
        <v>61</v>
      </c>
      <c r="I392" s="20" t="s">
        <v>62</v>
      </c>
      <c r="J392" s="20" t="s">
        <v>63</v>
      </c>
      <c r="K392" s="20" t="s">
        <v>96</v>
      </c>
      <c r="L392" s="20" t="n">
        <v>18843</v>
      </c>
      <c r="M392" s="20" t="s">
        <v>97</v>
      </c>
      <c r="N392" s="20" t="s">
        <v>1197</v>
      </c>
      <c r="O392" s="20" t="s">
        <v>67</v>
      </c>
      <c r="P392" s="20" t="s">
        <v>164</v>
      </c>
      <c r="Q392" s="20" t="s">
        <v>1198</v>
      </c>
      <c r="R392" s="22" t="n">
        <v>535.14</v>
      </c>
      <c r="S392" s="20" t="n">
        <v>7</v>
      </c>
      <c r="T392" s="20" t="n">
        <v>0.7</v>
      </c>
      <c r="U392" s="22" t="n">
        <v>-244.1</v>
      </c>
      <c r="V392" s="23" t="n">
        <f aca="false">IF(ISNUMBER(C392),YEAR(C392),"")</f>
        <v>2016</v>
      </c>
      <c r="W392" s="23" t="n">
        <f aca="false">IF(ISNUMBER(C392),MONTH(C392),"")</f>
        <v>3</v>
      </c>
      <c r="X392" s="23" t="str">
        <f aca="false">IF(T392="","",IF(T392=0,"No discount",IF(T392&lt;=0.2,"Low (1-20%)",IF(T392&lt;=0.4,"Medium (21-40%)","High (&gt;40%)"))))</f>
        <v>High (&gt;40%)</v>
      </c>
      <c r="Y392" s="23" t="n">
        <f aca="false">IF(AND(ISNUMBER(C392),ISNUMBER(D392)),D392-C392,"")</f>
        <v>3</v>
      </c>
      <c r="Z392" s="23" t="n">
        <f aca="false">IF(B392="","",IF(MATCH(B392,$B$2:$B$12000,0)=ROW()-1,1,0))</f>
        <v>0</v>
      </c>
    </row>
    <row r="393" customFormat="false" ht="15" hidden="false" customHeight="false" outlineLevel="0" collapsed="false">
      <c r="A393" s="20" t="n">
        <v>392</v>
      </c>
      <c r="B393" s="20" t="s">
        <v>1192</v>
      </c>
      <c r="C393" s="21" t="n">
        <v>42455</v>
      </c>
      <c r="D393" s="21" t="n">
        <v>42458</v>
      </c>
      <c r="E393" s="20" t="s">
        <v>104</v>
      </c>
      <c r="F393" s="20" t="s">
        <v>286</v>
      </c>
      <c r="G393" s="20" t="s">
        <v>287</v>
      </c>
      <c r="H393" s="20" t="s">
        <v>61</v>
      </c>
      <c r="I393" s="20" t="s">
        <v>62</v>
      </c>
      <c r="J393" s="20" t="s">
        <v>63</v>
      </c>
      <c r="K393" s="20" t="s">
        <v>96</v>
      </c>
      <c r="L393" s="20" t="n">
        <v>48064</v>
      </c>
      <c r="M393" s="20" t="s">
        <v>97</v>
      </c>
      <c r="N393" s="20" t="s">
        <v>1199</v>
      </c>
      <c r="O393" s="20" t="s">
        <v>114</v>
      </c>
      <c r="P393" s="20" t="s">
        <v>115</v>
      </c>
      <c r="Q393" s="20" t="s">
        <v>1200</v>
      </c>
      <c r="R393" s="22" t="n">
        <v>365.15</v>
      </c>
      <c r="S393" s="20" t="n">
        <v>3</v>
      </c>
      <c r="T393" s="20" t="n">
        <v>0.7</v>
      </c>
      <c r="U393" s="22" t="n">
        <v>-126.15</v>
      </c>
      <c r="V393" s="23" t="n">
        <f aca="false">IF(ISNUMBER(C393),YEAR(C393),"")</f>
        <v>2016</v>
      </c>
      <c r="W393" s="23" t="n">
        <f aca="false">IF(ISNUMBER(C393),MONTH(C393),"")</f>
        <v>3</v>
      </c>
      <c r="X393" s="23" t="str">
        <f aca="false">IF(T393="","",IF(T393=0,"No discount",IF(T393&lt;=0.2,"Low (1-20%)",IF(T393&lt;=0.4,"Medium (21-40%)","High (&gt;40%)"))))</f>
        <v>High (&gt;40%)</v>
      </c>
      <c r="Y393" s="23" t="n">
        <f aca="false">IF(AND(ISNUMBER(C393),ISNUMBER(D393)),D393-C393,"")</f>
        <v>3</v>
      </c>
      <c r="Z393" s="23" t="n">
        <f aca="false">IF(B393="","",IF(MATCH(B393,$B$2:$B$12000,0)=ROW()-1,1,0))</f>
        <v>0</v>
      </c>
    </row>
    <row r="394" customFormat="false" ht="15" hidden="false" customHeight="false" outlineLevel="0" collapsed="false">
      <c r="A394" s="20" t="n">
        <v>393</v>
      </c>
      <c r="B394" s="20" t="s">
        <v>1201</v>
      </c>
      <c r="C394" s="21" t="n">
        <v>42456</v>
      </c>
      <c r="D394" s="21" t="n">
        <v>42462</v>
      </c>
      <c r="E394" s="20" t="s">
        <v>58</v>
      </c>
      <c r="F394" s="20" t="s">
        <v>501</v>
      </c>
      <c r="G394" s="20" t="s">
        <v>502</v>
      </c>
      <c r="H394" s="20" t="s">
        <v>85</v>
      </c>
      <c r="I394" s="20" t="s">
        <v>62</v>
      </c>
      <c r="J394" s="20" t="s">
        <v>63</v>
      </c>
      <c r="K394" s="20" t="s">
        <v>430</v>
      </c>
      <c r="L394" s="20" t="n">
        <v>98063</v>
      </c>
      <c r="M394" s="20" t="s">
        <v>97</v>
      </c>
      <c r="N394" s="20" t="s">
        <v>1202</v>
      </c>
      <c r="O394" s="20" t="s">
        <v>76</v>
      </c>
      <c r="P394" s="20" t="s">
        <v>80</v>
      </c>
      <c r="Q394" s="20" t="s">
        <v>1203</v>
      </c>
      <c r="R394" s="22" t="n">
        <v>151.18</v>
      </c>
      <c r="S394" s="20" t="n">
        <v>5</v>
      </c>
      <c r="T394" s="20" t="n">
        <v>0.1</v>
      </c>
      <c r="U394" s="22" t="n">
        <v>42.44</v>
      </c>
      <c r="V394" s="23" t="n">
        <f aca="false">IF(ISNUMBER(C394),YEAR(C394),"")</f>
        <v>2016</v>
      </c>
      <c r="W394" s="23" t="n">
        <f aca="false">IF(ISNUMBER(C394),MONTH(C394),"")</f>
        <v>3</v>
      </c>
      <c r="X394" s="23" t="str">
        <f aca="false">IF(T394="","",IF(T394=0,"No discount",IF(T394&lt;=0.2,"Low (1-20%)",IF(T394&lt;=0.4,"Medium (21-40%)","High (&gt;40%)"))))</f>
        <v>Low (1-20%)</v>
      </c>
      <c r="Y394" s="23" t="n">
        <f aca="false">IF(AND(ISNUMBER(C394),ISNUMBER(D394)),D394-C394,"")</f>
        <v>6</v>
      </c>
      <c r="Z394" s="23" t="n">
        <f aca="false">IF(B394="","",IF(MATCH(B394,$B$2:$B$12000,0)=ROW()-1,1,0))</f>
        <v>1</v>
      </c>
    </row>
    <row r="395" customFormat="false" ht="15" hidden="false" customHeight="false" outlineLevel="0" collapsed="false">
      <c r="A395" s="20" t="n">
        <v>394</v>
      </c>
      <c r="B395" s="20" t="s">
        <v>1201</v>
      </c>
      <c r="C395" s="21" t="n">
        <v>42456</v>
      </c>
      <c r="D395" s="21" t="n">
        <v>42462</v>
      </c>
      <c r="E395" s="20" t="s">
        <v>58</v>
      </c>
      <c r="F395" s="20" t="s">
        <v>501</v>
      </c>
      <c r="G395" s="20" t="s">
        <v>502</v>
      </c>
      <c r="H395" s="20" t="s">
        <v>85</v>
      </c>
      <c r="I395" s="20" t="s">
        <v>62</v>
      </c>
      <c r="J395" s="20" t="s">
        <v>63</v>
      </c>
      <c r="K395" s="20" t="s">
        <v>430</v>
      </c>
      <c r="L395" s="20" t="n">
        <v>17784</v>
      </c>
      <c r="M395" s="20" t="s">
        <v>97</v>
      </c>
      <c r="N395" s="20" t="s">
        <v>1204</v>
      </c>
      <c r="O395" s="20" t="s">
        <v>76</v>
      </c>
      <c r="P395" s="20" t="s">
        <v>80</v>
      </c>
      <c r="Q395" s="20" t="s">
        <v>137</v>
      </c>
      <c r="R395" s="22" t="n">
        <v>199.94</v>
      </c>
      <c r="S395" s="20" t="n">
        <v>6</v>
      </c>
      <c r="T395" s="20" t="n">
        <v>0.3</v>
      </c>
      <c r="U395" s="22" t="n">
        <v>49.68</v>
      </c>
      <c r="V395" s="23" t="n">
        <f aca="false">IF(ISNUMBER(C395),YEAR(C395),"")</f>
        <v>2016</v>
      </c>
      <c r="W395" s="23" t="n">
        <f aca="false">IF(ISNUMBER(C395),MONTH(C395),"")</f>
        <v>3</v>
      </c>
      <c r="X395" s="23" t="str">
        <f aca="false">IF(T395="","",IF(T395=0,"No discount",IF(T395&lt;=0.2,"Low (1-20%)",IF(T395&lt;=0.4,"Medium (21-40%)","High (&gt;40%)"))))</f>
        <v>Medium (21-40%)</v>
      </c>
      <c r="Y395" s="23" t="n">
        <f aca="false">IF(AND(ISNUMBER(C395),ISNUMBER(D395)),D395-C395,"")</f>
        <v>6</v>
      </c>
      <c r="Z395" s="23" t="n">
        <f aca="false">IF(B395="","",IF(MATCH(B395,$B$2:$B$12000,0)=ROW()-1,1,0))</f>
        <v>0</v>
      </c>
    </row>
    <row r="396" customFormat="false" ht="15" hidden="false" customHeight="false" outlineLevel="0" collapsed="false">
      <c r="A396" s="20" t="n">
        <v>395</v>
      </c>
      <c r="B396" s="20" t="s">
        <v>1201</v>
      </c>
      <c r="C396" s="21" t="n">
        <v>42456</v>
      </c>
      <c r="D396" s="21" t="n">
        <v>42462</v>
      </c>
      <c r="E396" s="20" t="s">
        <v>71</v>
      </c>
      <c r="F396" s="20" t="s">
        <v>501</v>
      </c>
      <c r="G396" s="20" t="s">
        <v>502</v>
      </c>
      <c r="H396" s="20" t="s">
        <v>85</v>
      </c>
      <c r="I396" s="20" t="s">
        <v>62</v>
      </c>
      <c r="J396" s="20" t="s">
        <v>63</v>
      </c>
      <c r="K396" s="20" t="s">
        <v>430</v>
      </c>
      <c r="L396" s="20" t="n">
        <v>12065</v>
      </c>
      <c r="M396" s="20" t="s">
        <v>97</v>
      </c>
      <c r="N396" s="20" t="s">
        <v>1205</v>
      </c>
      <c r="O396" s="20" t="s">
        <v>76</v>
      </c>
      <c r="P396" s="20" t="s">
        <v>88</v>
      </c>
      <c r="Q396" s="20" t="s">
        <v>273</v>
      </c>
      <c r="R396" s="22" t="n">
        <v>1104.33</v>
      </c>
      <c r="S396" s="20" t="n">
        <v>3</v>
      </c>
      <c r="T396" s="20" t="n">
        <v>0.1</v>
      </c>
      <c r="U396" s="22" t="n">
        <v>207.9</v>
      </c>
      <c r="V396" s="23" t="n">
        <f aca="false">IF(ISNUMBER(C396),YEAR(C396),"")</f>
        <v>2016</v>
      </c>
      <c r="W396" s="23" t="n">
        <f aca="false">IF(ISNUMBER(C396),MONTH(C396),"")</f>
        <v>3</v>
      </c>
      <c r="X396" s="23" t="str">
        <f aca="false">IF(T396="","",IF(T396=0,"No discount",IF(T396&lt;=0.2,"Low (1-20%)",IF(T396&lt;=0.4,"Medium (21-40%)","High (&gt;40%)"))))</f>
        <v>Low (1-20%)</v>
      </c>
      <c r="Y396" s="23" t="n">
        <f aca="false">IF(AND(ISNUMBER(C396),ISNUMBER(D396)),D396-C396,"")</f>
        <v>6</v>
      </c>
      <c r="Z396" s="23" t="n">
        <f aca="false">IF(B396="","",IF(MATCH(B396,$B$2:$B$12000,0)=ROW()-1,1,0))</f>
        <v>0</v>
      </c>
    </row>
    <row r="397" customFormat="false" ht="15" hidden="false" customHeight="false" outlineLevel="0" collapsed="false">
      <c r="A397" s="20" t="n">
        <v>396</v>
      </c>
      <c r="B397" s="20" t="s">
        <v>1206</v>
      </c>
      <c r="C397" s="21" t="n">
        <v>42456</v>
      </c>
      <c r="D397" s="21" t="n">
        <v>42460</v>
      </c>
      <c r="E397" s="20" t="s">
        <v>104</v>
      </c>
      <c r="F397" s="20" t="s">
        <v>858</v>
      </c>
      <c r="G397" s="20" t="s">
        <v>859</v>
      </c>
      <c r="H397" s="20" t="s">
        <v>61</v>
      </c>
      <c r="I397" s="20" t="s">
        <v>62</v>
      </c>
      <c r="J397" s="20" t="s">
        <v>63</v>
      </c>
      <c r="K397" s="20" t="s">
        <v>225</v>
      </c>
      <c r="L397" s="20" t="n">
        <v>89072</v>
      </c>
      <c r="M397" s="20" t="s">
        <v>65</v>
      </c>
      <c r="N397" s="20" t="s">
        <v>1207</v>
      </c>
      <c r="O397" s="20" t="s">
        <v>76</v>
      </c>
      <c r="P397" s="20" t="s">
        <v>80</v>
      </c>
      <c r="Q397" s="20" t="s">
        <v>1208</v>
      </c>
      <c r="R397" s="22" t="n">
        <v>289.16</v>
      </c>
      <c r="S397" s="20" t="n">
        <v>4</v>
      </c>
      <c r="T397" s="20" t="n">
        <v>0.2</v>
      </c>
      <c r="U397" s="22" t="n">
        <v>65.46</v>
      </c>
      <c r="V397" s="23" t="n">
        <f aca="false">IF(ISNUMBER(C397),YEAR(C397),"")</f>
        <v>2016</v>
      </c>
      <c r="W397" s="23" t="n">
        <f aca="false">IF(ISNUMBER(C397),MONTH(C397),"")</f>
        <v>3</v>
      </c>
      <c r="X397" s="23" t="str">
        <f aca="false">IF(T397="","",IF(T397=0,"No discount",IF(T397&lt;=0.2,"Low (1-20%)",IF(T397&lt;=0.4,"Medium (21-40%)","High (&gt;40%)"))))</f>
        <v>Low (1-20%)</v>
      </c>
      <c r="Y397" s="23" t="n">
        <f aca="false">IF(AND(ISNUMBER(C397),ISNUMBER(D397)),D397-C397,"")</f>
        <v>4</v>
      </c>
      <c r="Z397" s="23" t="n">
        <f aca="false">IF(B397="","",IF(MATCH(B397,$B$2:$B$12000,0)=ROW()-1,1,0))</f>
        <v>1</v>
      </c>
    </row>
    <row r="398" customFormat="false" ht="15" hidden="false" customHeight="false" outlineLevel="0" collapsed="false">
      <c r="A398" s="20" t="n">
        <v>397</v>
      </c>
      <c r="B398" s="20" t="s">
        <v>1209</v>
      </c>
      <c r="C398" s="21" t="n">
        <v>42457</v>
      </c>
      <c r="D398" s="21" t="n">
        <v>42458</v>
      </c>
      <c r="E398" s="20" t="s">
        <v>71</v>
      </c>
      <c r="F398" s="20" t="s">
        <v>233</v>
      </c>
      <c r="G398" s="20" t="s">
        <v>234</v>
      </c>
      <c r="H398" s="20" t="s">
        <v>61</v>
      </c>
      <c r="I398" s="20" t="s">
        <v>62</v>
      </c>
      <c r="J398" s="20" t="s">
        <v>63</v>
      </c>
      <c r="K398" s="20" t="s">
        <v>208</v>
      </c>
      <c r="L398" s="20" t="n">
        <v>36856</v>
      </c>
      <c r="M398" s="20" t="s">
        <v>153</v>
      </c>
      <c r="N398" s="20" t="s">
        <v>1210</v>
      </c>
      <c r="O398" s="20" t="s">
        <v>67</v>
      </c>
      <c r="P398" s="20" t="s">
        <v>157</v>
      </c>
      <c r="Q398" s="20" t="s">
        <v>1211</v>
      </c>
      <c r="R398" s="22" t="n">
        <v>96.65</v>
      </c>
      <c r="S398" s="20" t="n">
        <v>2</v>
      </c>
      <c r="T398" s="20" t="n">
        <v>0</v>
      </c>
      <c r="U398" s="22" t="n">
        <v>23.13</v>
      </c>
      <c r="V398" s="23" t="n">
        <f aca="false">IF(ISNUMBER(C398),YEAR(C398),"")</f>
        <v>2016</v>
      </c>
      <c r="W398" s="23" t="n">
        <f aca="false">IF(ISNUMBER(C398),MONTH(C398),"")</f>
        <v>3</v>
      </c>
      <c r="X398" s="23" t="str">
        <f aca="false">IF(T398="","",IF(T398=0,"No discount",IF(T398&lt;=0.2,"Low (1-20%)",IF(T398&lt;=0.4,"Medium (21-40%)","High (&gt;40%)"))))</f>
        <v>No discount</v>
      </c>
      <c r="Y398" s="23" t="n">
        <f aca="false">IF(AND(ISNUMBER(C398),ISNUMBER(D398)),D398-C398,"")</f>
        <v>1</v>
      </c>
      <c r="Z398" s="23" t="n">
        <f aca="false">IF(B398="","",IF(MATCH(B398,$B$2:$B$12000,0)=ROW()-1,1,0))</f>
        <v>1</v>
      </c>
    </row>
    <row r="399" customFormat="false" ht="15" hidden="false" customHeight="false" outlineLevel="0" collapsed="false">
      <c r="A399" s="20" t="n">
        <v>398</v>
      </c>
      <c r="B399" s="20" t="s">
        <v>1212</v>
      </c>
      <c r="C399" s="21" t="n">
        <v>42463</v>
      </c>
      <c r="D399" s="21" t="n">
        <v>42468</v>
      </c>
      <c r="E399" s="20" t="s">
        <v>90</v>
      </c>
      <c r="F399" s="20" t="s">
        <v>463</v>
      </c>
      <c r="G399" s="20" t="s">
        <v>464</v>
      </c>
      <c r="H399" s="20" t="s">
        <v>162</v>
      </c>
      <c r="I399" s="20" t="s">
        <v>62</v>
      </c>
      <c r="J399" s="20" t="s">
        <v>63</v>
      </c>
      <c r="K399" s="20" t="s">
        <v>260</v>
      </c>
      <c r="L399" s="20" t="n">
        <v>90260</v>
      </c>
      <c r="M399" s="20" t="s">
        <v>97</v>
      </c>
      <c r="N399" s="20" t="s">
        <v>1213</v>
      </c>
      <c r="O399" s="20" t="s">
        <v>67</v>
      </c>
      <c r="P399" s="20" t="s">
        <v>157</v>
      </c>
      <c r="Q399" s="20" t="s">
        <v>1214</v>
      </c>
      <c r="R399" s="22" t="n">
        <v>419.48</v>
      </c>
      <c r="S399" s="20" t="n">
        <v>5</v>
      </c>
      <c r="T399" s="20" t="n">
        <v>0</v>
      </c>
      <c r="U399" s="22" t="n">
        <v>121.22</v>
      </c>
      <c r="V399" s="23" t="n">
        <f aca="false">IF(ISNUMBER(C399),YEAR(C399),"")</f>
        <v>2016</v>
      </c>
      <c r="W399" s="23" t="n">
        <f aca="false">IF(ISNUMBER(C399),MONTH(C399),"")</f>
        <v>4</v>
      </c>
      <c r="X399" s="23" t="str">
        <f aca="false">IF(T399="","",IF(T399=0,"No discount",IF(T399&lt;=0.2,"Low (1-20%)",IF(T399&lt;=0.4,"Medium (21-40%)","High (&gt;40%)"))))</f>
        <v>No discount</v>
      </c>
      <c r="Y399" s="23" t="n">
        <f aca="false">IF(AND(ISNUMBER(C399),ISNUMBER(D399)),D399-C399,"")</f>
        <v>5</v>
      </c>
      <c r="Z399" s="23" t="n">
        <f aca="false">IF(B399="","",IF(MATCH(B399,$B$2:$B$12000,0)=ROW()-1,1,0))</f>
        <v>1</v>
      </c>
    </row>
    <row r="400" customFormat="false" ht="15" hidden="false" customHeight="false" outlineLevel="0" collapsed="false">
      <c r="A400" s="20" t="n">
        <v>399</v>
      </c>
      <c r="B400" s="20" t="s">
        <v>1212</v>
      </c>
      <c r="C400" s="21" t="n">
        <v>42463</v>
      </c>
      <c r="D400" s="21" t="n">
        <v>42468</v>
      </c>
      <c r="E400" s="20" t="s">
        <v>104</v>
      </c>
      <c r="F400" s="20" t="s">
        <v>463</v>
      </c>
      <c r="G400" s="20" t="s">
        <v>464</v>
      </c>
      <c r="H400" s="20" t="s">
        <v>162</v>
      </c>
      <c r="I400" s="20" t="s">
        <v>62</v>
      </c>
      <c r="J400" s="20" t="s">
        <v>63</v>
      </c>
      <c r="K400" s="20" t="s">
        <v>260</v>
      </c>
      <c r="L400" s="20" t="n">
        <v>76910</v>
      </c>
      <c r="M400" s="20" t="s">
        <v>97</v>
      </c>
      <c r="N400" s="20" t="s">
        <v>1215</v>
      </c>
      <c r="O400" s="20" t="s">
        <v>76</v>
      </c>
      <c r="P400" s="20" t="s">
        <v>128</v>
      </c>
      <c r="Q400" s="20" t="s">
        <v>612</v>
      </c>
      <c r="R400" s="22" t="n">
        <v>1231.93</v>
      </c>
      <c r="S400" s="20" t="n">
        <v>7</v>
      </c>
      <c r="T400" s="20" t="n">
        <v>0.3</v>
      </c>
      <c r="U400" s="22" t="n">
        <v>-58.2</v>
      </c>
      <c r="V400" s="23" t="n">
        <f aca="false">IF(ISNUMBER(C400),YEAR(C400),"")</f>
        <v>2016</v>
      </c>
      <c r="W400" s="23" t="n">
        <f aca="false">IF(ISNUMBER(C400),MONTH(C400),"")</f>
        <v>4</v>
      </c>
      <c r="X400" s="23" t="str">
        <f aca="false">IF(T400="","",IF(T400=0,"No discount",IF(T400&lt;=0.2,"Low (1-20%)",IF(T400&lt;=0.4,"Medium (21-40%)","High (&gt;40%)"))))</f>
        <v>Medium (21-40%)</v>
      </c>
      <c r="Y400" s="23" t="n">
        <f aca="false">IF(AND(ISNUMBER(C400),ISNUMBER(D400)),D400-C400,"")</f>
        <v>5</v>
      </c>
      <c r="Z400" s="23" t="n">
        <f aca="false">IF(B400="","",IF(MATCH(B400,$B$2:$B$12000,0)=ROW()-1,1,0))</f>
        <v>0</v>
      </c>
    </row>
    <row r="401" customFormat="false" ht="15" hidden="false" customHeight="false" outlineLevel="0" collapsed="false">
      <c r="A401" s="20" t="n">
        <v>400</v>
      </c>
      <c r="B401" s="20" t="s">
        <v>1216</v>
      </c>
      <c r="C401" s="21" t="n">
        <v>42463</v>
      </c>
      <c r="D401" s="21" t="n">
        <v>42467</v>
      </c>
      <c r="E401" s="20" t="s">
        <v>104</v>
      </c>
      <c r="F401" s="20" t="s">
        <v>383</v>
      </c>
      <c r="G401" s="20" t="s">
        <v>384</v>
      </c>
      <c r="H401" s="20" t="s">
        <v>61</v>
      </c>
      <c r="I401" s="20" t="s">
        <v>62</v>
      </c>
      <c r="J401" s="20" t="s">
        <v>63</v>
      </c>
      <c r="K401" s="20" t="s">
        <v>550</v>
      </c>
      <c r="L401" s="20" t="n">
        <v>70489</v>
      </c>
      <c r="M401" s="20" t="s">
        <v>97</v>
      </c>
      <c r="N401" s="20" t="s">
        <v>1217</v>
      </c>
      <c r="O401" s="20" t="s">
        <v>114</v>
      </c>
      <c r="P401" s="20" t="s">
        <v>139</v>
      </c>
      <c r="Q401" s="20" t="s">
        <v>250</v>
      </c>
      <c r="R401" s="22" t="n">
        <v>1622.11</v>
      </c>
      <c r="S401" s="20" t="n">
        <v>4</v>
      </c>
      <c r="T401" s="20" t="n">
        <v>0.3</v>
      </c>
      <c r="U401" s="22" t="n">
        <v>-280.81</v>
      </c>
      <c r="V401" s="23" t="n">
        <f aca="false">IF(ISNUMBER(C401),YEAR(C401),"")</f>
        <v>2016</v>
      </c>
      <c r="W401" s="23" t="n">
        <f aca="false">IF(ISNUMBER(C401),MONTH(C401),"")</f>
        <v>4</v>
      </c>
      <c r="X401" s="23" t="str">
        <f aca="false">IF(T401="","",IF(T401=0,"No discount",IF(T401&lt;=0.2,"Low (1-20%)",IF(T401&lt;=0.4,"Medium (21-40%)","High (&gt;40%)"))))</f>
        <v>Medium (21-40%)</v>
      </c>
      <c r="Y401" s="23" t="n">
        <f aca="false">IF(AND(ISNUMBER(C401),ISNUMBER(D401)),D401-C401,"")</f>
        <v>4</v>
      </c>
      <c r="Z401" s="23" t="n">
        <f aca="false">IF(B401="","",IF(MATCH(B401,$B$2:$B$12000,0)=ROW()-1,1,0))</f>
        <v>1</v>
      </c>
    </row>
    <row r="402" customFormat="false" ht="15" hidden="false" customHeight="false" outlineLevel="0" collapsed="false">
      <c r="A402" s="20" t="n">
        <v>401</v>
      </c>
      <c r="B402" s="20" t="s">
        <v>1216</v>
      </c>
      <c r="C402" s="21" t="n">
        <v>42463</v>
      </c>
      <c r="D402" s="21" t="n">
        <v>42467</v>
      </c>
      <c r="E402" s="20" t="s">
        <v>90</v>
      </c>
      <c r="F402" s="20" t="s">
        <v>383</v>
      </c>
      <c r="G402" s="20" t="s">
        <v>384</v>
      </c>
      <c r="H402" s="20" t="s">
        <v>61</v>
      </c>
      <c r="I402" s="20" t="s">
        <v>62</v>
      </c>
      <c r="J402" s="20" t="s">
        <v>63</v>
      </c>
      <c r="K402" s="20" t="s">
        <v>550</v>
      </c>
      <c r="L402" s="20" t="n">
        <v>30487</v>
      </c>
      <c r="M402" s="20" t="s">
        <v>97</v>
      </c>
      <c r="N402" s="20" t="s">
        <v>1218</v>
      </c>
      <c r="O402" s="20" t="s">
        <v>76</v>
      </c>
      <c r="P402" s="20" t="s">
        <v>88</v>
      </c>
      <c r="Q402" s="20" t="s">
        <v>1219</v>
      </c>
      <c r="R402" s="22" t="n">
        <v>617.16</v>
      </c>
      <c r="S402" s="20" t="n">
        <v>6</v>
      </c>
      <c r="T402" s="20" t="n">
        <v>0.2</v>
      </c>
      <c r="U402" s="22" t="n">
        <v>-10.27</v>
      </c>
      <c r="V402" s="23" t="n">
        <f aca="false">IF(ISNUMBER(C402),YEAR(C402),"")</f>
        <v>2016</v>
      </c>
      <c r="W402" s="23" t="n">
        <f aca="false">IF(ISNUMBER(C402),MONTH(C402),"")</f>
        <v>4</v>
      </c>
      <c r="X402" s="23" t="str">
        <f aca="false">IF(T402="","",IF(T402=0,"No discount",IF(T402&lt;=0.2,"Low (1-20%)",IF(T402&lt;=0.4,"Medium (21-40%)","High (&gt;40%)"))))</f>
        <v>Low (1-20%)</v>
      </c>
      <c r="Y402" s="23" t="n">
        <f aca="false">IF(AND(ISNUMBER(C402),ISNUMBER(D402)),D402-C402,"")</f>
        <v>4</v>
      </c>
      <c r="Z402" s="23" t="n">
        <f aca="false">IF(B402="","",IF(MATCH(B402,$B$2:$B$12000,0)=ROW()-1,1,0))</f>
        <v>0</v>
      </c>
    </row>
    <row r="403" customFormat="false" ht="15" hidden="false" customHeight="false" outlineLevel="0" collapsed="false">
      <c r="A403" s="20" t="n">
        <v>402</v>
      </c>
      <c r="B403" s="20" t="s">
        <v>1220</v>
      </c>
      <c r="C403" s="21" t="n">
        <v>42466</v>
      </c>
      <c r="D403" s="21" t="n">
        <v>42468</v>
      </c>
      <c r="E403" s="20" t="s">
        <v>58</v>
      </c>
      <c r="F403" s="20" t="s">
        <v>181</v>
      </c>
      <c r="G403" s="20" t="s">
        <v>182</v>
      </c>
      <c r="H403" s="20" t="s">
        <v>61</v>
      </c>
      <c r="I403" s="20" t="s">
        <v>62</v>
      </c>
      <c r="J403" s="20" t="s">
        <v>63</v>
      </c>
      <c r="K403" s="20" t="s">
        <v>1073</v>
      </c>
      <c r="L403" s="20" t="n">
        <v>56306</v>
      </c>
      <c r="M403" s="20" t="s">
        <v>97</v>
      </c>
      <c r="N403" s="20" t="s">
        <v>1221</v>
      </c>
      <c r="O403" s="20" t="s">
        <v>76</v>
      </c>
      <c r="P403" s="20" t="s">
        <v>178</v>
      </c>
      <c r="Q403" s="20" t="s">
        <v>1222</v>
      </c>
      <c r="R403" s="22" t="n">
        <v>536.8</v>
      </c>
      <c r="S403" s="20" t="n">
        <v>4</v>
      </c>
      <c r="T403" s="20" t="n">
        <v>0</v>
      </c>
      <c r="U403" s="22" t="n">
        <v>35.66</v>
      </c>
      <c r="V403" s="23" t="n">
        <f aca="false">IF(ISNUMBER(C403),YEAR(C403),"")</f>
        <v>2016</v>
      </c>
      <c r="W403" s="23" t="n">
        <f aca="false">IF(ISNUMBER(C403),MONTH(C403),"")</f>
        <v>4</v>
      </c>
      <c r="X403" s="23" t="str">
        <f aca="false">IF(T403="","",IF(T403=0,"No discount",IF(T403&lt;=0.2,"Low (1-20%)",IF(T403&lt;=0.4,"Medium (21-40%)","High (&gt;40%)"))))</f>
        <v>No discount</v>
      </c>
      <c r="Y403" s="23" t="n">
        <f aca="false">IF(AND(ISNUMBER(C403),ISNUMBER(D403)),D403-C403,"")</f>
        <v>2</v>
      </c>
      <c r="Z403" s="23" t="n">
        <f aca="false">IF(B403="","",IF(MATCH(B403,$B$2:$B$12000,0)=ROW()-1,1,0))</f>
        <v>1</v>
      </c>
    </row>
    <row r="404" customFormat="false" ht="15" hidden="false" customHeight="false" outlineLevel="0" collapsed="false">
      <c r="A404" s="20" t="n">
        <v>403</v>
      </c>
      <c r="B404" s="20" t="s">
        <v>1220</v>
      </c>
      <c r="C404" s="21" t="n">
        <v>42466</v>
      </c>
      <c r="D404" s="21" t="n">
        <v>42468</v>
      </c>
      <c r="E404" s="20" t="s">
        <v>90</v>
      </c>
      <c r="F404" s="20" t="s">
        <v>181</v>
      </c>
      <c r="G404" s="20" t="s">
        <v>182</v>
      </c>
      <c r="H404" s="20" t="s">
        <v>61</v>
      </c>
      <c r="I404" s="20" t="s">
        <v>62</v>
      </c>
      <c r="J404" s="20" t="s">
        <v>63</v>
      </c>
      <c r="K404" s="20" t="s">
        <v>1073</v>
      </c>
      <c r="L404" s="20" t="n">
        <v>10249</v>
      </c>
      <c r="M404" s="20" t="s">
        <v>97</v>
      </c>
      <c r="N404" s="20" t="s">
        <v>1223</v>
      </c>
      <c r="O404" s="20" t="s">
        <v>76</v>
      </c>
      <c r="P404" s="20" t="s">
        <v>77</v>
      </c>
      <c r="Q404" s="20" t="s">
        <v>1224</v>
      </c>
      <c r="R404" s="22" t="n">
        <v>185.24</v>
      </c>
      <c r="S404" s="20" t="n">
        <v>8</v>
      </c>
      <c r="T404" s="20" t="n">
        <v>0.1</v>
      </c>
      <c r="U404" s="22" t="n">
        <v>29.48</v>
      </c>
      <c r="V404" s="23" t="n">
        <f aca="false">IF(ISNUMBER(C404),YEAR(C404),"")</f>
        <v>2016</v>
      </c>
      <c r="W404" s="23" t="n">
        <f aca="false">IF(ISNUMBER(C404),MONTH(C404),"")</f>
        <v>4</v>
      </c>
      <c r="X404" s="23" t="str">
        <f aca="false">IF(T404="","",IF(T404=0,"No discount",IF(T404&lt;=0.2,"Low (1-20%)",IF(T404&lt;=0.4,"Medium (21-40%)","High (&gt;40%)"))))</f>
        <v>Low (1-20%)</v>
      </c>
      <c r="Y404" s="23" t="n">
        <f aca="false">IF(AND(ISNUMBER(C404),ISNUMBER(D404)),D404-C404,"")</f>
        <v>2</v>
      </c>
      <c r="Z404" s="23" t="n">
        <f aca="false">IF(B404="","",IF(MATCH(B404,$B$2:$B$12000,0)=ROW()-1,1,0))</f>
        <v>0</v>
      </c>
    </row>
    <row r="405" customFormat="false" ht="15" hidden="false" customHeight="false" outlineLevel="0" collapsed="false">
      <c r="A405" s="20" t="n">
        <v>404</v>
      </c>
      <c r="B405" s="20" t="s">
        <v>1225</v>
      </c>
      <c r="C405" s="21" t="n">
        <v>42475</v>
      </c>
      <c r="D405" s="21" t="n">
        <v>42480</v>
      </c>
      <c r="E405" s="20" t="s">
        <v>71</v>
      </c>
      <c r="F405" s="20" t="s">
        <v>463</v>
      </c>
      <c r="G405" s="20" t="s">
        <v>464</v>
      </c>
      <c r="H405" s="20" t="s">
        <v>162</v>
      </c>
      <c r="I405" s="20" t="s">
        <v>62</v>
      </c>
      <c r="J405" s="20" t="s">
        <v>63</v>
      </c>
      <c r="K405" s="20" t="s">
        <v>800</v>
      </c>
      <c r="L405" s="20" t="n">
        <v>98886</v>
      </c>
      <c r="M405" s="20" t="s">
        <v>65</v>
      </c>
      <c r="N405" s="20" t="s">
        <v>1226</v>
      </c>
      <c r="O405" s="20" t="s">
        <v>76</v>
      </c>
      <c r="P405" s="20" t="s">
        <v>80</v>
      </c>
      <c r="Q405" s="20" t="s">
        <v>1227</v>
      </c>
      <c r="R405" s="22" t="n">
        <v>185.93</v>
      </c>
      <c r="S405" s="20" t="n">
        <v>3</v>
      </c>
      <c r="T405" s="20" t="n">
        <v>0.1</v>
      </c>
      <c r="U405" s="22" t="n">
        <v>41.53</v>
      </c>
      <c r="V405" s="23" t="n">
        <f aca="false">IF(ISNUMBER(C405),YEAR(C405),"")</f>
        <v>2016</v>
      </c>
      <c r="W405" s="23" t="n">
        <f aca="false">IF(ISNUMBER(C405),MONTH(C405),"")</f>
        <v>4</v>
      </c>
      <c r="X405" s="23" t="str">
        <f aca="false">IF(T405="","",IF(T405=0,"No discount",IF(T405&lt;=0.2,"Low (1-20%)",IF(T405&lt;=0.4,"Medium (21-40%)","High (&gt;40%)"))))</f>
        <v>Low (1-20%)</v>
      </c>
      <c r="Y405" s="23" t="n">
        <f aca="false">IF(AND(ISNUMBER(C405),ISNUMBER(D405)),D405-C405,"")</f>
        <v>5</v>
      </c>
      <c r="Z405" s="23" t="n">
        <f aca="false">IF(B405="","",IF(MATCH(B405,$B$2:$B$12000,0)=ROW()-1,1,0))</f>
        <v>1</v>
      </c>
    </row>
    <row r="406" customFormat="false" ht="15" hidden="false" customHeight="false" outlineLevel="0" collapsed="false">
      <c r="A406" s="20" t="n">
        <v>405</v>
      </c>
      <c r="B406" s="20" t="s">
        <v>1225</v>
      </c>
      <c r="C406" s="21" t="n">
        <v>42475</v>
      </c>
      <c r="D406" s="21" t="n">
        <v>42480</v>
      </c>
      <c r="E406" s="20" t="s">
        <v>104</v>
      </c>
      <c r="F406" s="20" t="s">
        <v>463</v>
      </c>
      <c r="G406" s="20" t="s">
        <v>464</v>
      </c>
      <c r="H406" s="20" t="s">
        <v>162</v>
      </c>
      <c r="I406" s="20" t="s">
        <v>62</v>
      </c>
      <c r="J406" s="20" t="s">
        <v>63</v>
      </c>
      <c r="K406" s="20" t="s">
        <v>800</v>
      </c>
      <c r="L406" s="20" t="n">
        <v>38991</v>
      </c>
      <c r="M406" s="20" t="s">
        <v>65</v>
      </c>
      <c r="N406" s="20" t="s">
        <v>1228</v>
      </c>
      <c r="O406" s="20" t="s">
        <v>76</v>
      </c>
      <c r="P406" s="20" t="s">
        <v>236</v>
      </c>
      <c r="Q406" s="20" t="s">
        <v>1229</v>
      </c>
      <c r="R406" s="22" t="n">
        <v>66.84</v>
      </c>
      <c r="S406" s="20" t="n">
        <v>4</v>
      </c>
      <c r="T406" s="20" t="n">
        <v>0</v>
      </c>
      <c r="U406" s="22" t="n">
        <v>28.74</v>
      </c>
      <c r="V406" s="23" t="n">
        <f aca="false">IF(ISNUMBER(C406),YEAR(C406),"")</f>
        <v>2016</v>
      </c>
      <c r="W406" s="23" t="n">
        <f aca="false">IF(ISNUMBER(C406),MONTH(C406),"")</f>
        <v>4</v>
      </c>
      <c r="X406" s="23" t="str">
        <f aca="false">IF(T406="","",IF(T406=0,"No discount",IF(T406&lt;=0.2,"Low (1-20%)",IF(T406&lt;=0.4,"Medium (21-40%)","High (&gt;40%)"))))</f>
        <v>No discount</v>
      </c>
      <c r="Y406" s="23" t="n">
        <f aca="false">IF(AND(ISNUMBER(C406),ISNUMBER(D406)),D406-C406,"")</f>
        <v>5</v>
      </c>
      <c r="Z406" s="23" t="n">
        <f aca="false">IF(B406="","",IF(MATCH(B406,$B$2:$B$12000,0)=ROW()-1,1,0))</f>
        <v>0</v>
      </c>
    </row>
    <row r="407" customFormat="false" ht="15" hidden="false" customHeight="false" outlineLevel="0" collapsed="false">
      <c r="A407" s="20" t="n">
        <v>406</v>
      </c>
      <c r="B407" s="20" t="s">
        <v>1230</v>
      </c>
      <c r="C407" s="21" t="n">
        <v>42476</v>
      </c>
      <c r="D407" s="21" t="n">
        <v>42477</v>
      </c>
      <c r="E407" s="20" t="s">
        <v>58</v>
      </c>
      <c r="F407" s="20" t="s">
        <v>200</v>
      </c>
      <c r="G407" s="20" t="s">
        <v>201</v>
      </c>
      <c r="H407" s="20" t="s">
        <v>162</v>
      </c>
      <c r="I407" s="20" t="s">
        <v>62</v>
      </c>
      <c r="J407" s="20" t="s">
        <v>63</v>
      </c>
      <c r="K407" s="20" t="s">
        <v>487</v>
      </c>
      <c r="L407" s="20" t="n">
        <v>67628</v>
      </c>
      <c r="M407" s="20" t="s">
        <v>65</v>
      </c>
      <c r="N407" s="20" t="s">
        <v>1231</v>
      </c>
      <c r="O407" s="20" t="s">
        <v>114</v>
      </c>
      <c r="P407" s="20" t="s">
        <v>115</v>
      </c>
      <c r="Q407" s="20" t="s">
        <v>1232</v>
      </c>
      <c r="R407" s="22" t="n">
        <v>948.85</v>
      </c>
      <c r="S407" s="20" t="n">
        <v>3</v>
      </c>
      <c r="T407" s="20" t="n">
        <v>0.3</v>
      </c>
      <c r="U407" s="22" t="n">
        <v>13.4</v>
      </c>
      <c r="V407" s="23" t="n">
        <f aca="false">IF(ISNUMBER(C407),YEAR(C407),"")</f>
        <v>2016</v>
      </c>
      <c r="W407" s="23" t="n">
        <f aca="false">IF(ISNUMBER(C407),MONTH(C407),"")</f>
        <v>4</v>
      </c>
      <c r="X407" s="23" t="str">
        <f aca="false">IF(T407="","",IF(T407=0,"No discount",IF(T407&lt;=0.2,"Low (1-20%)",IF(T407&lt;=0.4,"Medium (21-40%)","High (&gt;40%)"))))</f>
        <v>Medium (21-40%)</v>
      </c>
      <c r="Y407" s="23" t="n">
        <f aca="false">IF(AND(ISNUMBER(C407),ISNUMBER(D407)),D407-C407,"")</f>
        <v>1</v>
      </c>
      <c r="Z407" s="23" t="n">
        <f aca="false">IF(B407="","",IF(MATCH(B407,$B$2:$B$12000,0)=ROW()-1,1,0))</f>
        <v>1</v>
      </c>
    </row>
    <row r="408" customFormat="false" ht="15" hidden="false" customHeight="false" outlineLevel="0" collapsed="false">
      <c r="A408" s="20" t="n">
        <v>407</v>
      </c>
      <c r="B408" s="20" t="s">
        <v>1233</v>
      </c>
      <c r="C408" s="21" t="n">
        <v>42477</v>
      </c>
      <c r="D408" s="21" t="n">
        <v>42478</v>
      </c>
      <c r="E408" s="20" t="s">
        <v>90</v>
      </c>
      <c r="F408" s="20" t="s">
        <v>144</v>
      </c>
      <c r="G408" s="20" t="s">
        <v>145</v>
      </c>
      <c r="H408" s="20" t="s">
        <v>85</v>
      </c>
      <c r="I408" s="20" t="s">
        <v>62</v>
      </c>
      <c r="J408" s="20" t="s">
        <v>63</v>
      </c>
      <c r="K408" s="20" t="s">
        <v>525</v>
      </c>
      <c r="L408" s="20" t="n">
        <v>38524</v>
      </c>
      <c r="M408" s="20" t="s">
        <v>97</v>
      </c>
      <c r="N408" s="20" t="s">
        <v>1234</v>
      </c>
      <c r="O408" s="20" t="s">
        <v>67</v>
      </c>
      <c r="P408" s="20" t="s">
        <v>68</v>
      </c>
      <c r="Q408" s="20" t="s">
        <v>1235</v>
      </c>
      <c r="R408" s="22" t="n">
        <v>21790.69</v>
      </c>
      <c r="S408" s="20" t="n">
        <v>8</v>
      </c>
      <c r="T408" s="20" t="n">
        <v>0</v>
      </c>
      <c r="U408" s="22" t="n">
        <v>6230.19</v>
      </c>
      <c r="V408" s="23" t="n">
        <f aca="false">IF(ISNUMBER(C408),YEAR(C408),"")</f>
        <v>2016</v>
      </c>
      <c r="W408" s="23" t="n">
        <f aca="false">IF(ISNUMBER(C408),MONTH(C408),"")</f>
        <v>4</v>
      </c>
      <c r="X408" s="23" t="str">
        <f aca="false">IF(T408="","",IF(T408=0,"No discount",IF(T408&lt;=0.2,"Low (1-20%)",IF(T408&lt;=0.4,"Medium (21-40%)","High (&gt;40%)"))))</f>
        <v>No discount</v>
      </c>
      <c r="Y408" s="23" t="n">
        <f aca="false">IF(AND(ISNUMBER(C408),ISNUMBER(D408)),D408-C408,"")</f>
        <v>1</v>
      </c>
      <c r="Z408" s="23" t="n">
        <f aca="false">IF(B408="","",IF(MATCH(B408,$B$2:$B$12000,0)=ROW()-1,1,0))</f>
        <v>1</v>
      </c>
    </row>
    <row r="409" customFormat="false" ht="15" hidden="false" customHeight="false" outlineLevel="0" collapsed="false">
      <c r="A409" s="20" t="n">
        <v>408</v>
      </c>
      <c r="B409" s="20" t="s">
        <v>1233</v>
      </c>
      <c r="C409" s="21" t="n">
        <v>42477</v>
      </c>
      <c r="D409" s="21" t="n">
        <v>42478</v>
      </c>
      <c r="E409" s="20" t="s">
        <v>71</v>
      </c>
      <c r="F409" s="20" t="s">
        <v>144</v>
      </c>
      <c r="G409" s="20" t="s">
        <v>145</v>
      </c>
      <c r="H409" s="20" t="s">
        <v>85</v>
      </c>
      <c r="I409" s="20" t="s">
        <v>62</v>
      </c>
      <c r="J409" s="20" t="s">
        <v>63</v>
      </c>
      <c r="K409" s="20" t="s">
        <v>525</v>
      </c>
      <c r="L409" s="20" t="n">
        <v>72906</v>
      </c>
      <c r="M409" s="20" t="s">
        <v>97</v>
      </c>
      <c r="N409" s="20" t="s">
        <v>1236</v>
      </c>
      <c r="O409" s="20" t="s">
        <v>76</v>
      </c>
      <c r="P409" s="20" t="s">
        <v>122</v>
      </c>
      <c r="Q409" s="20" t="s">
        <v>1237</v>
      </c>
      <c r="R409" s="22" t="n">
        <v>21.66</v>
      </c>
      <c r="S409" s="20" t="n">
        <v>3</v>
      </c>
      <c r="T409" s="20" t="n">
        <v>0.7</v>
      </c>
      <c r="U409" s="22" t="n">
        <v>-1.91</v>
      </c>
      <c r="V409" s="23" t="n">
        <f aca="false">IF(ISNUMBER(C409),YEAR(C409),"")</f>
        <v>2016</v>
      </c>
      <c r="W409" s="23" t="n">
        <f aca="false">IF(ISNUMBER(C409),MONTH(C409),"")</f>
        <v>4</v>
      </c>
      <c r="X409" s="23" t="str">
        <f aca="false">IF(T409="","",IF(T409=0,"No discount",IF(T409&lt;=0.2,"Low (1-20%)",IF(T409&lt;=0.4,"Medium (21-40%)","High (&gt;40%)"))))</f>
        <v>High (&gt;40%)</v>
      </c>
      <c r="Y409" s="23" t="n">
        <f aca="false">IF(AND(ISNUMBER(C409),ISNUMBER(D409)),D409-C409,"")</f>
        <v>1</v>
      </c>
      <c r="Z409" s="23" t="n">
        <f aca="false">IF(B409="","",IF(MATCH(B409,$B$2:$B$12000,0)=ROW()-1,1,0))</f>
        <v>0</v>
      </c>
    </row>
    <row r="410" customFormat="false" ht="15" hidden="false" customHeight="false" outlineLevel="0" collapsed="false">
      <c r="A410" s="20" t="n">
        <v>409</v>
      </c>
      <c r="B410" s="20" t="s">
        <v>1233</v>
      </c>
      <c r="C410" s="21" t="n">
        <v>42477</v>
      </c>
      <c r="D410" s="21" t="n">
        <v>42478</v>
      </c>
      <c r="E410" s="20" t="s">
        <v>71</v>
      </c>
      <c r="F410" s="20" t="s">
        <v>144</v>
      </c>
      <c r="G410" s="20" t="s">
        <v>145</v>
      </c>
      <c r="H410" s="20" t="s">
        <v>85</v>
      </c>
      <c r="I410" s="20" t="s">
        <v>62</v>
      </c>
      <c r="J410" s="20" t="s">
        <v>63</v>
      </c>
      <c r="K410" s="20" t="s">
        <v>525</v>
      </c>
      <c r="L410" s="20" t="n">
        <v>35877</v>
      </c>
      <c r="M410" s="20" t="s">
        <v>97</v>
      </c>
      <c r="N410" s="20" t="s">
        <v>1238</v>
      </c>
      <c r="O410" s="20" t="s">
        <v>114</v>
      </c>
      <c r="P410" s="20" t="s">
        <v>210</v>
      </c>
      <c r="Q410" s="20" t="s">
        <v>375</v>
      </c>
      <c r="R410" s="22" t="n">
        <v>190.55</v>
      </c>
      <c r="S410" s="20" t="n">
        <v>3</v>
      </c>
      <c r="T410" s="20" t="n">
        <v>0.1</v>
      </c>
      <c r="U410" s="22" t="n">
        <v>16.68</v>
      </c>
      <c r="V410" s="23" t="n">
        <f aca="false">IF(ISNUMBER(C410),YEAR(C410),"")</f>
        <v>2016</v>
      </c>
      <c r="W410" s="23" t="n">
        <f aca="false">IF(ISNUMBER(C410),MONTH(C410),"")</f>
        <v>4</v>
      </c>
      <c r="X410" s="23" t="str">
        <f aca="false">IF(T410="","",IF(T410=0,"No discount",IF(T410&lt;=0.2,"Low (1-20%)",IF(T410&lt;=0.4,"Medium (21-40%)","High (&gt;40%)"))))</f>
        <v>Low (1-20%)</v>
      </c>
      <c r="Y410" s="23" t="n">
        <f aca="false">IF(AND(ISNUMBER(C410),ISNUMBER(D410)),D410-C410,"")</f>
        <v>1</v>
      </c>
      <c r="Z410" s="23" t="n">
        <f aca="false">IF(B410="","",IF(MATCH(B410,$B$2:$B$12000,0)=ROW()-1,1,0))</f>
        <v>0</v>
      </c>
    </row>
    <row r="411" customFormat="false" ht="15" hidden="false" customHeight="false" outlineLevel="0" collapsed="false">
      <c r="A411" s="20" t="n">
        <v>410</v>
      </c>
      <c r="B411" s="20" t="s">
        <v>1239</v>
      </c>
      <c r="C411" s="21" t="n">
        <v>42485</v>
      </c>
      <c r="D411" s="21" t="n">
        <v>42488</v>
      </c>
      <c r="E411" s="20" t="s">
        <v>104</v>
      </c>
      <c r="F411" s="20" t="s">
        <v>858</v>
      </c>
      <c r="G411" s="20" t="s">
        <v>859</v>
      </c>
      <c r="H411" s="20" t="s">
        <v>61</v>
      </c>
      <c r="I411" s="20" t="s">
        <v>62</v>
      </c>
      <c r="J411" s="20" t="s">
        <v>63</v>
      </c>
      <c r="K411" s="20" t="s">
        <v>86</v>
      </c>
      <c r="L411" s="20" t="n">
        <v>70490</v>
      </c>
      <c r="M411" s="20" t="s">
        <v>65</v>
      </c>
      <c r="N411" s="20" t="s">
        <v>1240</v>
      </c>
      <c r="O411" s="20" t="s">
        <v>76</v>
      </c>
      <c r="P411" s="20" t="s">
        <v>185</v>
      </c>
      <c r="Q411" s="20" t="s">
        <v>1241</v>
      </c>
      <c r="R411" s="22" t="n">
        <v>68.06</v>
      </c>
      <c r="S411" s="20" t="n">
        <v>8</v>
      </c>
      <c r="T411" s="20" t="n">
        <v>0</v>
      </c>
      <c r="U411" s="22" t="n">
        <v>18.86</v>
      </c>
      <c r="V411" s="23" t="n">
        <f aca="false">IF(ISNUMBER(C411),YEAR(C411),"")</f>
        <v>2016</v>
      </c>
      <c r="W411" s="23" t="n">
        <f aca="false">IF(ISNUMBER(C411),MONTH(C411),"")</f>
        <v>4</v>
      </c>
      <c r="X411" s="23" t="str">
        <f aca="false">IF(T411="","",IF(T411=0,"No discount",IF(T411&lt;=0.2,"Low (1-20%)",IF(T411&lt;=0.4,"Medium (21-40%)","High (&gt;40%)"))))</f>
        <v>No discount</v>
      </c>
      <c r="Y411" s="23" t="n">
        <f aca="false">IF(AND(ISNUMBER(C411),ISNUMBER(D411)),D411-C411,"")</f>
        <v>3</v>
      </c>
      <c r="Z411" s="23" t="n">
        <f aca="false">IF(B411="","",IF(MATCH(B411,$B$2:$B$12000,0)=ROW()-1,1,0))</f>
        <v>1</v>
      </c>
    </row>
    <row r="412" customFormat="false" ht="15" hidden="false" customHeight="false" outlineLevel="0" collapsed="false">
      <c r="A412" s="20" t="n">
        <v>411</v>
      </c>
      <c r="B412" s="20" t="s">
        <v>1239</v>
      </c>
      <c r="C412" s="21" t="n">
        <v>42485</v>
      </c>
      <c r="D412" s="21" t="n">
        <v>42488</v>
      </c>
      <c r="E412" s="20" t="s">
        <v>90</v>
      </c>
      <c r="F412" s="20" t="s">
        <v>858</v>
      </c>
      <c r="G412" s="20" t="s">
        <v>859</v>
      </c>
      <c r="H412" s="20" t="s">
        <v>61</v>
      </c>
      <c r="I412" s="20" t="s">
        <v>62</v>
      </c>
      <c r="J412" s="20" t="s">
        <v>63</v>
      </c>
      <c r="K412" s="20" t="s">
        <v>86</v>
      </c>
      <c r="L412" s="20" t="n">
        <v>74265</v>
      </c>
      <c r="M412" s="20" t="s">
        <v>65</v>
      </c>
      <c r="N412" s="20" t="s">
        <v>1242</v>
      </c>
      <c r="O412" s="20" t="s">
        <v>114</v>
      </c>
      <c r="P412" s="20" t="s">
        <v>167</v>
      </c>
      <c r="Q412" s="20" t="s">
        <v>1196</v>
      </c>
      <c r="R412" s="22" t="n">
        <v>1608.7</v>
      </c>
      <c r="S412" s="20" t="n">
        <v>2</v>
      </c>
      <c r="T412" s="20" t="n">
        <v>0</v>
      </c>
      <c r="U412" s="22" t="n">
        <v>-27.97</v>
      </c>
      <c r="V412" s="23" t="n">
        <f aca="false">IF(ISNUMBER(C412),YEAR(C412),"")</f>
        <v>2016</v>
      </c>
      <c r="W412" s="23" t="n">
        <f aca="false">IF(ISNUMBER(C412),MONTH(C412),"")</f>
        <v>4</v>
      </c>
      <c r="X412" s="23" t="str">
        <f aca="false">IF(T412="","",IF(T412=0,"No discount",IF(T412&lt;=0.2,"Low (1-20%)",IF(T412&lt;=0.4,"Medium (21-40%)","High (&gt;40%)"))))</f>
        <v>No discount</v>
      </c>
      <c r="Y412" s="23" t="n">
        <f aca="false">IF(AND(ISNUMBER(C412),ISNUMBER(D412)),D412-C412,"")</f>
        <v>3</v>
      </c>
      <c r="Z412" s="23" t="n">
        <f aca="false">IF(B412="","",IF(MATCH(B412,$B$2:$B$12000,0)=ROW()-1,1,0))</f>
        <v>0</v>
      </c>
    </row>
    <row r="413" customFormat="false" ht="15" hidden="false" customHeight="false" outlineLevel="0" collapsed="false">
      <c r="A413" s="20" t="n">
        <v>412</v>
      </c>
      <c r="B413" s="20" t="s">
        <v>1239</v>
      </c>
      <c r="C413" s="21" t="n">
        <v>42485</v>
      </c>
      <c r="D413" s="21" t="n">
        <v>42488</v>
      </c>
      <c r="E413" s="20" t="s">
        <v>90</v>
      </c>
      <c r="F413" s="20" t="s">
        <v>858</v>
      </c>
      <c r="G413" s="20" t="s">
        <v>859</v>
      </c>
      <c r="H413" s="20" t="s">
        <v>61</v>
      </c>
      <c r="I413" s="20" t="s">
        <v>62</v>
      </c>
      <c r="J413" s="20" t="s">
        <v>63</v>
      </c>
      <c r="K413" s="20" t="s">
        <v>86</v>
      </c>
      <c r="L413" s="20" t="n">
        <v>39330</v>
      </c>
      <c r="M413" s="20" t="s">
        <v>65</v>
      </c>
      <c r="N413" s="20" t="s">
        <v>1243</v>
      </c>
      <c r="O413" s="20" t="s">
        <v>114</v>
      </c>
      <c r="P413" s="20" t="s">
        <v>139</v>
      </c>
      <c r="Q413" s="20" t="s">
        <v>1244</v>
      </c>
      <c r="R413" s="22" t="n">
        <v>1609.38</v>
      </c>
      <c r="S413" s="20" t="n">
        <v>6</v>
      </c>
      <c r="T413" s="20" t="n">
        <v>0.2</v>
      </c>
      <c r="U413" s="22" t="n">
        <v>-72.72</v>
      </c>
      <c r="V413" s="23" t="n">
        <f aca="false">IF(ISNUMBER(C413),YEAR(C413),"")</f>
        <v>2016</v>
      </c>
      <c r="W413" s="23" t="n">
        <f aca="false">IF(ISNUMBER(C413),MONTH(C413),"")</f>
        <v>4</v>
      </c>
      <c r="X413" s="23" t="str">
        <f aca="false">IF(T413="","",IF(T413=0,"No discount",IF(T413&lt;=0.2,"Low (1-20%)",IF(T413&lt;=0.4,"Medium (21-40%)","High (&gt;40%)"))))</f>
        <v>Low (1-20%)</v>
      </c>
      <c r="Y413" s="23" t="n">
        <f aca="false">IF(AND(ISNUMBER(C413),ISNUMBER(D413)),D413-C413,"")</f>
        <v>3</v>
      </c>
      <c r="Z413" s="23" t="n">
        <f aca="false">IF(B413="","",IF(MATCH(B413,$B$2:$B$12000,0)=ROW()-1,1,0))</f>
        <v>0</v>
      </c>
    </row>
    <row r="414" customFormat="false" ht="15" hidden="false" customHeight="false" outlineLevel="0" collapsed="false">
      <c r="A414" s="20" t="n">
        <v>413</v>
      </c>
      <c r="B414" s="20" t="s">
        <v>1245</v>
      </c>
      <c r="C414" s="21" t="n">
        <v>42493</v>
      </c>
      <c r="D414" s="21" t="n">
        <v>42500</v>
      </c>
      <c r="E414" s="20" t="s">
        <v>58</v>
      </c>
      <c r="F414" s="20" t="s">
        <v>560</v>
      </c>
      <c r="G414" s="20" t="s">
        <v>561</v>
      </c>
      <c r="H414" s="20" t="s">
        <v>85</v>
      </c>
      <c r="I414" s="20" t="s">
        <v>62</v>
      </c>
      <c r="J414" s="20" t="s">
        <v>63</v>
      </c>
      <c r="K414" s="20" t="s">
        <v>422</v>
      </c>
      <c r="L414" s="20" t="n">
        <v>63256</v>
      </c>
      <c r="M414" s="20" t="s">
        <v>153</v>
      </c>
      <c r="N414" s="20" t="s">
        <v>1246</v>
      </c>
      <c r="O414" s="20" t="s">
        <v>76</v>
      </c>
      <c r="P414" s="20" t="s">
        <v>128</v>
      </c>
      <c r="Q414" s="20" t="s">
        <v>1247</v>
      </c>
      <c r="R414" s="22" t="n">
        <v>819.17</v>
      </c>
      <c r="S414" s="20" t="n">
        <v>7</v>
      </c>
      <c r="T414" s="20" t="n">
        <v>0.5</v>
      </c>
      <c r="U414" s="22" t="n">
        <v>-141.19</v>
      </c>
      <c r="V414" s="23" t="n">
        <f aca="false">IF(ISNUMBER(C414),YEAR(C414),"")</f>
        <v>2016</v>
      </c>
      <c r="W414" s="23" t="n">
        <f aca="false">IF(ISNUMBER(C414),MONTH(C414),"")</f>
        <v>5</v>
      </c>
      <c r="X414" s="23" t="str">
        <f aca="false">IF(T414="","",IF(T414=0,"No discount",IF(T414&lt;=0.2,"Low (1-20%)",IF(T414&lt;=0.4,"Medium (21-40%)","High (&gt;40%)"))))</f>
        <v>High (&gt;40%)</v>
      </c>
      <c r="Y414" s="23" t="n">
        <f aca="false">IF(AND(ISNUMBER(C414),ISNUMBER(D414)),D414-C414,"")</f>
        <v>7</v>
      </c>
      <c r="Z414" s="23" t="n">
        <f aca="false">IF(B414="","",IF(MATCH(B414,$B$2:$B$12000,0)=ROW()-1,1,0))</f>
        <v>1</v>
      </c>
    </row>
    <row r="415" customFormat="false" ht="15" hidden="false" customHeight="false" outlineLevel="0" collapsed="false">
      <c r="A415" s="20" t="n">
        <v>414</v>
      </c>
      <c r="B415" s="20" t="s">
        <v>1248</v>
      </c>
      <c r="C415" s="21" t="n">
        <v>42494</v>
      </c>
      <c r="D415" s="21" t="n">
        <v>42499</v>
      </c>
      <c r="E415" s="20" t="s">
        <v>90</v>
      </c>
      <c r="F415" s="20" t="s">
        <v>83</v>
      </c>
      <c r="G415" s="20" t="s">
        <v>84</v>
      </c>
      <c r="H415" s="20" t="s">
        <v>85</v>
      </c>
      <c r="I415" s="20" t="s">
        <v>62</v>
      </c>
      <c r="J415" s="20" t="s">
        <v>63</v>
      </c>
      <c r="K415" s="20" t="s">
        <v>176</v>
      </c>
      <c r="L415" s="20" t="n">
        <v>11166</v>
      </c>
      <c r="M415" s="20" t="s">
        <v>112</v>
      </c>
      <c r="N415" s="20" t="s">
        <v>1249</v>
      </c>
      <c r="O415" s="20" t="s">
        <v>114</v>
      </c>
      <c r="P415" s="20" t="s">
        <v>115</v>
      </c>
      <c r="Q415" s="20" t="s">
        <v>188</v>
      </c>
      <c r="R415" s="22" t="n">
        <v>1021.99</v>
      </c>
      <c r="S415" s="20" t="n">
        <v>2</v>
      </c>
      <c r="T415" s="20" t="n">
        <v>0</v>
      </c>
      <c r="U415" s="22" t="n">
        <v>51.44</v>
      </c>
      <c r="V415" s="23" t="n">
        <f aca="false">IF(ISNUMBER(C415),YEAR(C415),"")</f>
        <v>2016</v>
      </c>
      <c r="W415" s="23" t="n">
        <f aca="false">IF(ISNUMBER(C415),MONTH(C415),"")</f>
        <v>5</v>
      </c>
      <c r="X415" s="23" t="str">
        <f aca="false">IF(T415="","",IF(T415=0,"No discount",IF(T415&lt;=0.2,"Low (1-20%)",IF(T415&lt;=0.4,"Medium (21-40%)","High (&gt;40%)"))))</f>
        <v>No discount</v>
      </c>
      <c r="Y415" s="23" t="n">
        <f aca="false">IF(AND(ISNUMBER(C415),ISNUMBER(D415)),D415-C415,"")</f>
        <v>5</v>
      </c>
      <c r="Z415" s="23" t="n">
        <f aca="false">IF(B415="","",IF(MATCH(B415,$B$2:$B$12000,0)=ROW()-1,1,0))</f>
        <v>1</v>
      </c>
    </row>
    <row r="416" customFormat="false" ht="15" hidden="false" customHeight="false" outlineLevel="0" collapsed="false">
      <c r="A416" s="20" t="n">
        <v>415</v>
      </c>
      <c r="B416" s="20" t="s">
        <v>1250</v>
      </c>
      <c r="C416" s="21" t="n">
        <v>42498</v>
      </c>
      <c r="D416" s="21" t="n">
        <v>42504</v>
      </c>
      <c r="E416" s="20" t="s">
        <v>58</v>
      </c>
      <c r="F416" s="20" t="s">
        <v>239</v>
      </c>
      <c r="G416" s="20" t="s">
        <v>240</v>
      </c>
      <c r="H416" s="20" t="s">
        <v>61</v>
      </c>
      <c r="I416" s="20" t="s">
        <v>62</v>
      </c>
      <c r="J416" s="20" t="s">
        <v>63</v>
      </c>
      <c r="K416" s="20" t="s">
        <v>335</v>
      </c>
      <c r="L416" s="20" t="n">
        <v>28706</v>
      </c>
      <c r="M416" s="20" t="s">
        <v>65</v>
      </c>
      <c r="N416" s="20" t="s">
        <v>1251</v>
      </c>
      <c r="O416" s="20" t="s">
        <v>114</v>
      </c>
      <c r="P416" s="20" t="s">
        <v>115</v>
      </c>
      <c r="Q416" s="20" t="s">
        <v>1252</v>
      </c>
      <c r="R416" s="22" t="n">
        <v>4998.78</v>
      </c>
      <c r="S416" s="20" t="n">
        <v>8</v>
      </c>
      <c r="T416" s="20" t="n">
        <v>0</v>
      </c>
      <c r="U416" s="22" t="n">
        <v>174.83</v>
      </c>
      <c r="V416" s="23" t="n">
        <f aca="false">IF(ISNUMBER(C416),YEAR(C416),"")</f>
        <v>2016</v>
      </c>
      <c r="W416" s="23" t="n">
        <f aca="false">IF(ISNUMBER(C416),MONTH(C416),"")</f>
        <v>5</v>
      </c>
      <c r="X416" s="23" t="str">
        <f aca="false">IF(T416="","",IF(T416=0,"No discount",IF(T416&lt;=0.2,"Low (1-20%)",IF(T416&lt;=0.4,"Medium (21-40%)","High (&gt;40%)"))))</f>
        <v>No discount</v>
      </c>
      <c r="Y416" s="23" t="n">
        <f aca="false">IF(AND(ISNUMBER(C416),ISNUMBER(D416)),D416-C416,"")</f>
        <v>6</v>
      </c>
      <c r="Z416" s="23" t="n">
        <f aca="false">IF(B416="","",IF(MATCH(B416,$B$2:$B$12000,0)=ROW()-1,1,0))</f>
        <v>1</v>
      </c>
    </row>
    <row r="417" customFormat="false" ht="15" hidden="false" customHeight="false" outlineLevel="0" collapsed="false">
      <c r="A417" s="20" t="n">
        <v>416</v>
      </c>
      <c r="B417" s="20" t="s">
        <v>1253</v>
      </c>
      <c r="C417" s="21" t="n">
        <v>42500</v>
      </c>
      <c r="D417" s="21" t="n">
        <v>42503</v>
      </c>
      <c r="E417" s="20" t="s">
        <v>104</v>
      </c>
      <c r="F417" s="20" t="s">
        <v>72</v>
      </c>
      <c r="G417" s="20" t="s">
        <v>73</v>
      </c>
      <c r="H417" s="20" t="s">
        <v>61</v>
      </c>
      <c r="I417" s="20" t="s">
        <v>62</v>
      </c>
      <c r="J417" s="20" t="s">
        <v>63</v>
      </c>
      <c r="K417" s="20" t="s">
        <v>969</v>
      </c>
      <c r="L417" s="20" t="n">
        <v>18898</v>
      </c>
      <c r="M417" s="20" t="s">
        <v>112</v>
      </c>
      <c r="N417" s="20" t="s">
        <v>1254</v>
      </c>
      <c r="O417" s="20" t="s">
        <v>114</v>
      </c>
      <c r="P417" s="20" t="s">
        <v>167</v>
      </c>
      <c r="Q417" s="20" t="s">
        <v>1255</v>
      </c>
      <c r="R417" s="22" t="n">
        <v>2224.96</v>
      </c>
      <c r="S417" s="20" t="n">
        <v>6</v>
      </c>
      <c r="T417" s="20" t="n">
        <v>0.4</v>
      </c>
      <c r="U417" s="22" t="n">
        <v>-648.33</v>
      </c>
      <c r="V417" s="23" t="n">
        <f aca="false">IF(ISNUMBER(C417),YEAR(C417),"")</f>
        <v>2016</v>
      </c>
      <c r="W417" s="23" t="n">
        <f aca="false">IF(ISNUMBER(C417),MONTH(C417),"")</f>
        <v>5</v>
      </c>
      <c r="X417" s="23" t="str">
        <f aca="false">IF(T417="","",IF(T417=0,"No discount",IF(T417&lt;=0.2,"Low (1-20%)",IF(T417&lt;=0.4,"Medium (21-40%)","High (&gt;40%)"))))</f>
        <v>Medium (21-40%)</v>
      </c>
      <c r="Y417" s="23" t="n">
        <f aca="false">IF(AND(ISNUMBER(C417),ISNUMBER(D417)),D417-C417,"")</f>
        <v>3</v>
      </c>
      <c r="Z417" s="23" t="n">
        <f aca="false">IF(B417="","",IF(MATCH(B417,$B$2:$B$12000,0)=ROW()-1,1,0))</f>
        <v>1</v>
      </c>
    </row>
    <row r="418" customFormat="false" ht="15" hidden="false" customHeight="false" outlineLevel="0" collapsed="false">
      <c r="A418" s="20" t="n">
        <v>417</v>
      </c>
      <c r="B418" s="20" t="s">
        <v>1256</v>
      </c>
      <c r="C418" s="21" t="n">
        <v>42501</v>
      </c>
      <c r="D418" s="21" t="n">
        <v>42504</v>
      </c>
      <c r="E418" s="20" t="s">
        <v>71</v>
      </c>
      <c r="F418" s="20" t="s">
        <v>83</v>
      </c>
      <c r="G418" s="20" t="s">
        <v>84</v>
      </c>
      <c r="H418" s="20" t="s">
        <v>85</v>
      </c>
      <c r="I418" s="20" t="s">
        <v>62</v>
      </c>
      <c r="J418" s="20" t="s">
        <v>63</v>
      </c>
      <c r="K418" s="20" t="s">
        <v>1257</v>
      </c>
      <c r="L418" s="20" t="n">
        <v>49191</v>
      </c>
      <c r="M418" s="20" t="s">
        <v>97</v>
      </c>
      <c r="N418" s="20" t="s">
        <v>1258</v>
      </c>
      <c r="O418" s="20" t="s">
        <v>114</v>
      </c>
      <c r="P418" s="20" t="s">
        <v>210</v>
      </c>
      <c r="Q418" s="20" t="s">
        <v>1259</v>
      </c>
      <c r="R418" s="22" t="n">
        <v>257.18</v>
      </c>
      <c r="S418" s="20" t="n">
        <v>5</v>
      </c>
      <c r="T418" s="20" t="n">
        <v>0.4</v>
      </c>
      <c r="U418" s="22" t="n">
        <v>-20.2</v>
      </c>
      <c r="V418" s="23" t="n">
        <f aca="false">IF(ISNUMBER(C418),YEAR(C418),"")</f>
        <v>2016</v>
      </c>
      <c r="W418" s="23" t="n">
        <f aca="false">IF(ISNUMBER(C418),MONTH(C418),"")</f>
        <v>5</v>
      </c>
      <c r="X418" s="23" t="str">
        <f aca="false">IF(T418="","",IF(T418=0,"No discount",IF(T418&lt;=0.2,"Low (1-20%)",IF(T418&lt;=0.4,"Medium (21-40%)","High (&gt;40%)"))))</f>
        <v>Medium (21-40%)</v>
      </c>
      <c r="Y418" s="23" t="n">
        <f aca="false">IF(AND(ISNUMBER(C418),ISNUMBER(D418)),D418-C418,"")</f>
        <v>3</v>
      </c>
      <c r="Z418" s="23" t="n">
        <f aca="false">IF(B418="","",IF(MATCH(B418,$B$2:$B$12000,0)=ROW()-1,1,0))</f>
        <v>1</v>
      </c>
    </row>
    <row r="419" customFormat="false" ht="15" hidden="false" customHeight="false" outlineLevel="0" collapsed="false">
      <c r="A419" s="20" t="n">
        <v>418</v>
      </c>
      <c r="B419" s="20" t="s">
        <v>1256</v>
      </c>
      <c r="C419" s="21" t="n">
        <v>42501</v>
      </c>
      <c r="D419" s="21" t="n">
        <v>42504</v>
      </c>
      <c r="E419" s="20" t="s">
        <v>90</v>
      </c>
      <c r="F419" s="20" t="s">
        <v>83</v>
      </c>
      <c r="G419" s="20" t="s">
        <v>84</v>
      </c>
      <c r="H419" s="20" t="s">
        <v>85</v>
      </c>
      <c r="I419" s="20" t="s">
        <v>62</v>
      </c>
      <c r="J419" s="20" t="s">
        <v>63</v>
      </c>
      <c r="K419" s="20" t="s">
        <v>1257</v>
      </c>
      <c r="L419" s="20" t="n">
        <v>26037</v>
      </c>
      <c r="M419" s="20" t="s">
        <v>97</v>
      </c>
      <c r="N419" s="20" t="s">
        <v>1260</v>
      </c>
      <c r="O419" s="20" t="s">
        <v>67</v>
      </c>
      <c r="P419" s="20" t="s">
        <v>68</v>
      </c>
      <c r="Q419" s="20" t="s">
        <v>1261</v>
      </c>
      <c r="R419" s="22" t="n">
        <v>3681.96</v>
      </c>
      <c r="S419" s="20" t="n">
        <v>7</v>
      </c>
      <c r="T419" s="20" t="n">
        <v>0.7</v>
      </c>
      <c r="U419" s="22" t="n">
        <v>-373.02</v>
      </c>
      <c r="V419" s="23" t="n">
        <f aca="false">IF(ISNUMBER(C419),YEAR(C419),"")</f>
        <v>2016</v>
      </c>
      <c r="W419" s="23" t="n">
        <f aca="false">IF(ISNUMBER(C419),MONTH(C419),"")</f>
        <v>5</v>
      </c>
      <c r="X419" s="23" t="str">
        <f aca="false">IF(T419="","",IF(T419=0,"No discount",IF(T419&lt;=0.2,"Low (1-20%)",IF(T419&lt;=0.4,"Medium (21-40%)","High (&gt;40%)"))))</f>
        <v>High (&gt;40%)</v>
      </c>
      <c r="Y419" s="23" t="n">
        <f aca="false">IF(AND(ISNUMBER(C419),ISNUMBER(D419)),D419-C419,"")</f>
        <v>3</v>
      </c>
      <c r="Z419" s="23" t="n">
        <f aca="false">IF(B419="","",IF(MATCH(B419,$B$2:$B$12000,0)=ROW()-1,1,0))</f>
        <v>0</v>
      </c>
    </row>
    <row r="420" customFormat="false" ht="15" hidden="false" customHeight="false" outlineLevel="0" collapsed="false">
      <c r="A420" s="20" t="n">
        <v>419</v>
      </c>
      <c r="B420" s="20" t="s">
        <v>1256</v>
      </c>
      <c r="C420" s="21" t="n">
        <v>42501</v>
      </c>
      <c r="D420" s="21" t="n">
        <v>42504</v>
      </c>
      <c r="E420" s="20" t="s">
        <v>58</v>
      </c>
      <c r="F420" s="20" t="s">
        <v>83</v>
      </c>
      <c r="G420" s="20" t="s">
        <v>84</v>
      </c>
      <c r="H420" s="20" t="s">
        <v>85</v>
      </c>
      <c r="I420" s="20" t="s">
        <v>62</v>
      </c>
      <c r="J420" s="20" t="s">
        <v>63</v>
      </c>
      <c r="K420" s="20" t="s">
        <v>1257</v>
      </c>
      <c r="L420" s="20" t="n">
        <v>52175</v>
      </c>
      <c r="M420" s="20" t="s">
        <v>97</v>
      </c>
      <c r="N420" s="20" t="s">
        <v>1262</v>
      </c>
      <c r="O420" s="20" t="s">
        <v>76</v>
      </c>
      <c r="P420" s="20" t="s">
        <v>128</v>
      </c>
      <c r="Q420" s="20" t="s">
        <v>1263</v>
      </c>
      <c r="R420" s="22" t="n">
        <v>290.66</v>
      </c>
      <c r="S420" s="20" t="n">
        <v>8</v>
      </c>
      <c r="T420" s="20" t="n">
        <v>0.2</v>
      </c>
      <c r="U420" s="22" t="n">
        <v>6.87</v>
      </c>
      <c r="V420" s="23" t="n">
        <f aca="false">IF(ISNUMBER(C420),YEAR(C420),"")</f>
        <v>2016</v>
      </c>
      <c r="W420" s="23" t="n">
        <f aca="false">IF(ISNUMBER(C420),MONTH(C420),"")</f>
        <v>5</v>
      </c>
      <c r="X420" s="23" t="str">
        <f aca="false">IF(T420="","",IF(T420=0,"No discount",IF(T420&lt;=0.2,"Low (1-20%)",IF(T420&lt;=0.4,"Medium (21-40%)","High (&gt;40%)"))))</f>
        <v>Low (1-20%)</v>
      </c>
      <c r="Y420" s="23" t="n">
        <f aca="false">IF(AND(ISNUMBER(C420),ISNUMBER(D420)),D420-C420,"")</f>
        <v>3</v>
      </c>
      <c r="Z420" s="23" t="n">
        <f aca="false">IF(B420="","",IF(MATCH(B420,$B$2:$B$12000,0)=ROW()-1,1,0))</f>
        <v>0</v>
      </c>
    </row>
    <row r="421" customFormat="false" ht="15" hidden="false" customHeight="false" outlineLevel="0" collapsed="false">
      <c r="A421" s="20" t="n">
        <v>420</v>
      </c>
      <c r="B421" s="20" t="s">
        <v>1256</v>
      </c>
      <c r="C421" s="21" t="n">
        <v>42501</v>
      </c>
      <c r="D421" s="21" t="n">
        <v>42504</v>
      </c>
      <c r="E421" s="20" t="s">
        <v>104</v>
      </c>
      <c r="F421" s="20" t="s">
        <v>83</v>
      </c>
      <c r="G421" s="20" t="s">
        <v>84</v>
      </c>
      <c r="H421" s="20" t="s">
        <v>85</v>
      </c>
      <c r="I421" s="20" t="s">
        <v>62</v>
      </c>
      <c r="J421" s="20" t="s">
        <v>63</v>
      </c>
      <c r="K421" s="20" t="s">
        <v>1257</v>
      </c>
      <c r="L421" s="20" t="n">
        <v>24356</v>
      </c>
      <c r="M421" s="20" t="s">
        <v>97</v>
      </c>
      <c r="N421" s="20" t="s">
        <v>1264</v>
      </c>
      <c r="O421" s="20" t="s">
        <v>76</v>
      </c>
      <c r="P421" s="20" t="s">
        <v>236</v>
      </c>
      <c r="Q421" s="20" t="s">
        <v>1110</v>
      </c>
      <c r="R421" s="22" t="n">
        <v>258.92</v>
      </c>
      <c r="S421" s="20" t="n">
        <v>7</v>
      </c>
      <c r="T421" s="20" t="n">
        <v>0.4</v>
      </c>
      <c r="U421" s="22" t="n">
        <v>30.54</v>
      </c>
      <c r="V421" s="23" t="n">
        <f aca="false">IF(ISNUMBER(C421),YEAR(C421),"")</f>
        <v>2016</v>
      </c>
      <c r="W421" s="23" t="n">
        <f aca="false">IF(ISNUMBER(C421),MONTH(C421),"")</f>
        <v>5</v>
      </c>
      <c r="X421" s="23" t="str">
        <f aca="false">IF(T421="","",IF(T421=0,"No discount",IF(T421&lt;=0.2,"Low (1-20%)",IF(T421&lt;=0.4,"Medium (21-40%)","High (&gt;40%)"))))</f>
        <v>Medium (21-40%)</v>
      </c>
      <c r="Y421" s="23" t="n">
        <f aca="false">IF(AND(ISNUMBER(C421),ISNUMBER(D421)),D421-C421,"")</f>
        <v>3</v>
      </c>
      <c r="Z421" s="23" t="n">
        <f aca="false">IF(B421="","",IF(MATCH(B421,$B$2:$B$12000,0)=ROW()-1,1,0))</f>
        <v>0</v>
      </c>
    </row>
    <row r="422" customFormat="false" ht="15" hidden="false" customHeight="false" outlineLevel="0" collapsed="false">
      <c r="A422" s="20" t="n">
        <v>421</v>
      </c>
      <c r="B422" s="20" t="s">
        <v>1265</v>
      </c>
      <c r="C422" s="21" t="n">
        <v>42504</v>
      </c>
      <c r="D422" s="21" t="n">
        <v>42511</v>
      </c>
      <c r="E422" s="20" t="s">
        <v>58</v>
      </c>
      <c r="F422" s="20" t="s">
        <v>957</v>
      </c>
      <c r="G422" s="20" t="s">
        <v>958</v>
      </c>
      <c r="H422" s="20" t="s">
        <v>61</v>
      </c>
      <c r="I422" s="20" t="s">
        <v>62</v>
      </c>
      <c r="J422" s="20" t="s">
        <v>63</v>
      </c>
      <c r="K422" s="20" t="s">
        <v>86</v>
      </c>
      <c r="L422" s="20" t="n">
        <v>65755</v>
      </c>
      <c r="M422" s="20" t="s">
        <v>65</v>
      </c>
      <c r="N422" s="20" t="s">
        <v>1266</v>
      </c>
      <c r="O422" s="20" t="s">
        <v>67</v>
      </c>
      <c r="P422" s="20" t="s">
        <v>68</v>
      </c>
      <c r="Q422" s="20" t="s">
        <v>1267</v>
      </c>
      <c r="R422" s="22" t="n">
        <v>15405.14</v>
      </c>
      <c r="S422" s="20" t="n">
        <v>8</v>
      </c>
      <c r="T422" s="20" t="n">
        <v>0.2</v>
      </c>
      <c r="U422" s="22" t="n">
        <v>2700.35</v>
      </c>
      <c r="V422" s="23" t="n">
        <f aca="false">IF(ISNUMBER(C422),YEAR(C422),"")</f>
        <v>2016</v>
      </c>
      <c r="W422" s="23" t="n">
        <f aca="false">IF(ISNUMBER(C422),MONTH(C422),"")</f>
        <v>5</v>
      </c>
      <c r="X422" s="23" t="str">
        <f aca="false">IF(T422="","",IF(T422=0,"No discount",IF(T422&lt;=0.2,"Low (1-20%)",IF(T422&lt;=0.4,"Medium (21-40%)","High (&gt;40%)"))))</f>
        <v>Low (1-20%)</v>
      </c>
      <c r="Y422" s="23" t="n">
        <f aca="false">IF(AND(ISNUMBER(C422),ISNUMBER(D422)),D422-C422,"")</f>
        <v>7</v>
      </c>
      <c r="Z422" s="23" t="n">
        <f aca="false">IF(B422="","",IF(MATCH(B422,$B$2:$B$12000,0)=ROW()-1,1,0))</f>
        <v>1</v>
      </c>
    </row>
    <row r="423" customFormat="false" ht="15" hidden="false" customHeight="false" outlineLevel="0" collapsed="false">
      <c r="A423" s="20" t="n">
        <v>422</v>
      </c>
      <c r="B423" s="20" t="s">
        <v>1268</v>
      </c>
      <c r="C423" s="21" t="n">
        <v>42504</v>
      </c>
      <c r="D423" s="21" t="n">
        <v>42505</v>
      </c>
      <c r="E423" s="20" t="s">
        <v>104</v>
      </c>
      <c r="F423" s="20" t="s">
        <v>732</v>
      </c>
      <c r="G423" s="20" t="s">
        <v>733</v>
      </c>
      <c r="H423" s="20" t="s">
        <v>85</v>
      </c>
      <c r="I423" s="20" t="s">
        <v>62</v>
      </c>
      <c r="J423" s="20" t="s">
        <v>63</v>
      </c>
      <c r="K423" s="20" t="s">
        <v>346</v>
      </c>
      <c r="L423" s="20" t="n">
        <v>86824</v>
      </c>
      <c r="M423" s="20" t="s">
        <v>65</v>
      </c>
      <c r="N423" s="20" t="s">
        <v>1269</v>
      </c>
      <c r="O423" s="20" t="s">
        <v>76</v>
      </c>
      <c r="P423" s="20" t="s">
        <v>236</v>
      </c>
      <c r="Q423" s="20" t="s">
        <v>1270</v>
      </c>
      <c r="R423" s="22" t="n">
        <v>102.08</v>
      </c>
      <c r="S423" s="20" t="n">
        <v>2</v>
      </c>
      <c r="T423" s="20" t="n">
        <v>0</v>
      </c>
      <c r="U423" s="22" t="n">
        <v>41.69</v>
      </c>
      <c r="V423" s="23" t="n">
        <f aca="false">IF(ISNUMBER(C423),YEAR(C423),"")</f>
        <v>2016</v>
      </c>
      <c r="W423" s="23" t="n">
        <f aca="false">IF(ISNUMBER(C423),MONTH(C423),"")</f>
        <v>5</v>
      </c>
      <c r="X423" s="23" t="str">
        <f aca="false">IF(T423="","",IF(T423=0,"No discount",IF(T423&lt;=0.2,"Low (1-20%)",IF(T423&lt;=0.4,"Medium (21-40%)","High (&gt;40%)"))))</f>
        <v>No discount</v>
      </c>
      <c r="Y423" s="23" t="n">
        <f aca="false">IF(AND(ISNUMBER(C423),ISNUMBER(D423)),D423-C423,"")</f>
        <v>1</v>
      </c>
      <c r="Z423" s="23" t="n">
        <f aca="false">IF(B423="","",IF(MATCH(B423,$B$2:$B$12000,0)=ROW()-1,1,0))</f>
        <v>1</v>
      </c>
    </row>
    <row r="424" customFormat="false" ht="15" hidden="false" customHeight="false" outlineLevel="0" collapsed="false">
      <c r="A424" s="20" t="n">
        <v>423</v>
      </c>
      <c r="B424" s="20" t="s">
        <v>1268</v>
      </c>
      <c r="C424" s="21" t="n">
        <v>42504</v>
      </c>
      <c r="D424" s="21" t="n">
        <v>42505</v>
      </c>
      <c r="E424" s="20" t="s">
        <v>90</v>
      </c>
      <c r="F424" s="20" t="s">
        <v>732</v>
      </c>
      <c r="G424" s="20" t="s">
        <v>733</v>
      </c>
      <c r="H424" s="20" t="s">
        <v>85</v>
      </c>
      <c r="I424" s="20" t="s">
        <v>62</v>
      </c>
      <c r="J424" s="20" t="s">
        <v>63</v>
      </c>
      <c r="K424" s="20" t="s">
        <v>346</v>
      </c>
      <c r="L424" s="20" t="n">
        <v>57723</v>
      </c>
      <c r="M424" s="20" t="s">
        <v>65</v>
      </c>
      <c r="N424" s="20" t="s">
        <v>1271</v>
      </c>
      <c r="O424" s="20" t="s">
        <v>76</v>
      </c>
      <c r="P424" s="20" t="s">
        <v>77</v>
      </c>
      <c r="Q424" s="20" t="s">
        <v>1272</v>
      </c>
      <c r="R424" s="22" t="n">
        <v>34.54</v>
      </c>
      <c r="S424" s="20" t="n">
        <v>2</v>
      </c>
      <c r="T424" s="20" t="n">
        <v>0.2</v>
      </c>
      <c r="U424" s="22" t="n">
        <v>4.42</v>
      </c>
      <c r="V424" s="23" t="n">
        <f aca="false">IF(ISNUMBER(C424),YEAR(C424),"")</f>
        <v>2016</v>
      </c>
      <c r="W424" s="23" t="n">
        <f aca="false">IF(ISNUMBER(C424),MONTH(C424),"")</f>
        <v>5</v>
      </c>
      <c r="X424" s="23" t="str">
        <f aca="false">IF(T424="","",IF(T424=0,"No discount",IF(T424&lt;=0.2,"Low (1-20%)",IF(T424&lt;=0.4,"Medium (21-40%)","High (&gt;40%)"))))</f>
        <v>Low (1-20%)</v>
      </c>
      <c r="Y424" s="23" t="n">
        <f aca="false">IF(AND(ISNUMBER(C424),ISNUMBER(D424)),D424-C424,"")</f>
        <v>1</v>
      </c>
      <c r="Z424" s="23" t="n">
        <f aca="false">IF(B424="","",IF(MATCH(B424,$B$2:$B$12000,0)=ROW()-1,1,0))</f>
        <v>0</v>
      </c>
    </row>
    <row r="425" customFormat="false" ht="15" hidden="false" customHeight="false" outlineLevel="0" collapsed="false">
      <c r="A425" s="20" t="n">
        <v>424</v>
      </c>
      <c r="B425" s="20" t="s">
        <v>1273</v>
      </c>
      <c r="C425" s="21" t="n">
        <v>42505</v>
      </c>
      <c r="D425" s="21" t="n">
        <v>42506</v>
      </c>
      <c r="E425" s="20" t="s">
        <v>71</v>
      </c>
      <c r="F425" s="20" t="s">
        <v>858</v>
      </c>
      <c r="G425" s="20" t="s">
        <v>859</v>
      </c>
      <c r="H425" s="20" t="s">
        <v>61</v>
      </c>
      <c r="I425" s="20" t="s">
        <v>62</v>
      </c>
      <c r="J425" s="20" t="s">
        <v>63</v>
      </c>
      <c r="K425" s="20" t="s">
        <v>183</v>
      </c>
      <c r="L425" s="20" t="n">
        <v>27950</v>
      </c>
      <c r="M425" s="20" t="s">
        <v>112</v>
      </c>
      <c r="N425" s="20" t="s">
        <v>1274</v>
      </c>
      <c r="O425" s="20" t="s">
        <v>114</v>
      </c>
      <c r="P425" s="20" t="s">
        <v>115</v>
      </c>
      <c r="Q425" s="20" t="s">
        <v>242</v>
      </c>
      <c r="R425" s="22" t="n">
        <v>863.31</v>
      </c>
      <c r="S425" s="20" t="n">
        <v>2</v>
      </c>
      <c r="T425" s="20" t="n">
        <v>0</v>
      </c>
      <c r="U425" s="22" t="n">
        <v>78</v>
      </c>
      <c r="V425" s="23" t="n">
        <f aca="false">IF(ISNUMBER(C425),YEAR(C425),"")</f>
        <v>2016</v>
      </c>
      <c r="W425" s="23" t="n">
        <f aca="false">IF(ISNUMBER(C425),MONTH(C425),"")</f>
        <v>5</v>
      </c>
      <c r="X425" s="23" t="str">
        <f aca="false">IF(T425="","",IF(T425=0,"No discount",IF(T425&lt;=0.2,"Low (1-20%)",IF(T425&lt;=0.4,"Medium (21-40%)","High (&gt;40%)"))))</f>
        <v>No discount</v>
      </c>
      <c r="Y425" s="23" t="n">
        <f aca="false">IF(AND(ISNUMBER(C425),ISNUMBER(D425)),D425-C425,"")</f>
        <v>1</v>
      </c>
      <c r="Z425" s="23" t="n">
        <f aca="false">IF(B425="","",IF(MATCH(B425,$B$2:$B$12000,0)=ROW()-1,1,0))</f>
        <v>1</v>
      </c>
    </row>
    <row r="426" customFormat="false" ht="15" hidden="false" customHeight="false" outlineLevel="0" collapsed="false">
      <c r="A426" s="20" t="n">
        <v>425</v>
      </c>
      <c r="B426" s="20" t="s">
        <v>1275</v>
      </c>
      <c r="C426" s="21" t="n">
        <v>42506</v>
      </c>
      <c r="D426" s="21" t="n">
        <v>42511</v>
      </c>
      <c r="E426" s="20" t="s">
        <v>71</v>
      </c>
      <c r="F426" s="20" t="s">
        <v>957</v>
      </c>
      <c r="G426" s="20" t="s">
        <v>958</v>
      </c>
      <c r="H426" s="20" t="s">
        <v>61</v>
      </c>
      <c r="I426" s="20" t="s">
        <v>62</v>
      </c>
      <c r="J426" s="20" t="s">
        <v>63</v>
      </c>
      <c r="K426" s="20" t="s">
        <v>86</v>
      </c>
      <c r="L426" s="20" t="n">
        <v>23164</v>
      </c>
      <c r="M426" s="20" t="s">
        <v>65</v>
      </c>
      <c r="N426" s="20" t="s">
        <v>1276</v>
      </c>
      <c r="O426" s="20" t="s">
        <v>114</v>
      </c>
      <c r="P426" s="20" t="s">
        <v>139</v>
      </c>
      <c r="Q426" s="20" t="s">
        <v>1277</v>
      </c>
      <c r="R426" s="22" t="n">
        <v>690.06</v>
      </c>
      <c r="S426" s="20" t="n">
        <v>2</v>
      </c>
      <c r="T426" s="20" t="n">
        <v>0.4</v>
      </c>
      <c r="U426" s="22" t="n">
        <v>-190.84</v>
      </c>
      <c r="V426" s="23" t="n">
        <f aca="false">IF(ISNUMBER(C426),YEAR(C426),"")</f>
        <v>2016</v>
      </c>
      <c r="W426" s="23" t="n">
        <f aca="false">IF(ISNUMBER(C426),MONTH(C426),"")</f>
        <v>5</v>
      </c>
      <c r="X426" s="23" t="str">
        <f aca="false">IF(T426="","",IF(T426=0,"No discount",IF(T426&lt;=0.2,"Low (1-20%)",IF(T426&lt;=0.4,"Medium (21-40%)","High (&gt;40%)"))))</f>
        <v>Medium (21-40%)</v>
      </c>
      <c r="Y426" s="23" t="n">
        <f aca="false">IF(AND(ISNUMBER(C426),ISNUMBER(D426)),D426-C426,"")</f>
        <v>5</v>
      </c>
      <c r="Z426" s="23" t="n">
        <f aca="false">IF(B426="","",IF(MATCH(B426,$B$2:$B$12000,0)=ROW()-1,1,0))</f>
        <v>1</v>
      </c>
    </row>
    <row r="427" customFormat="false" ht="15" hidden="false" customHeight="false" outlineLevel="0" collapsed="false">
      <c r="A427" s="20" t="n">
        <v>426</v>
      </c>
      <c r="B427" s="20" t="s">
        <v>1278</v>
      </c>
      <c r="C427" s="21" t="n">
        <v>42522</v>
      </c>
      <c r="D427" s="21" t="n">
        <v>42524</v>
      </c>
      <c r="E427" s="20" t="s">
        <v>90</v>
      </c>
      <c r="F427" s="20" t="s">
        <v>403</v>
      </c>
      <c r="G427" s="20" t="s">
        <v>404</v>
      </c>
      <c r="H427" s="20" t="s">
        <v>85</v>
      </c>
      <c r="I427" s="20" t="s">
        <v>62</v>
      </c>
      <c r="J427" s="20" t="s">
        <v>63</v>
      </c>
      <c r="K427" s="20" t="s">
        <v>225</v>
      </c>
      <c r="L427" s="20" t="n">
        <v>12803</v>
      </c>
      <c r="M427" s="20" t="s">
        <v>65</v>
      </c>
      <c r="N427" s="20" t="s">
        <v>1279</v>
      </c>
      <c r="O427" s="20" t="s">
        <v>76</v>
      </c>
      <c r="P427" s="20" t="s">
        <v>185</v>
      </c>
      <c r="Q427" s="20" t="s">
        <v>1280</v>
      </c>
      <c r="R427" s="22" t="n">
        <v>51.16</v>
      </c>
      <c r="S427" s="20" t="n">
        <v>8</v>
      </c>
      <c r="T427" s="20" t="n">
        <v>0.1</v>
      </c>
      <c r="U427" s="22" t="n">
        <v>14.16</v>
      </c>
      <c r="V427" s="23" t="n">
        <f aca="false">IF(ISNUMBER(C427),YEAR(C427),"")</f>
        <v>2016</v>
      </c>
      <c r="W427" s="23" t="n">
        <f aca="false">IF(ISNUMBER(C427),MONTH(C427),"")</f>
        <v>6</v>
      </c>
      <c r="X427" s="23" t="str">
        <f aca="false">IF(T427="","",IF(T427=0,"No discount",IF(T427&lt;=0.2,"Low (1-20%)",IF(T427&lt;=0.4,"Medium (21-40%)","High (&gt;40%)"))))</f>
        <v>Low (1-20%)</v>
      </c>
      <c r="Y427" s="23" t="n">
        <f aca="false">IF(AND(ISNUMBER(C427),ISNUMBER(D427)),D427-C427,"")</f>
        <v>2</v>
      </c>
      <c r="Z427" s="23" t="n">
        <f aca="false">IF(B427="","",IF(MATCH(B427,$B$2:$B$12000,0)=ROW()-1,1,0))</f>
        <v>1</v>
      </c>
    </row>
    <row r="428" customFormat="false" ht="15" hidden="false" customHeight="false" outlineLevel="0" collapsed="false">
      <c r="A428" s="20" t="n">
        <v>427</v>
      </c>
      <c r="B428" s="20" t="s">
        <v>1278</v>
      </c>
      <c r="C428" s="21" t="n">
        <v>42522</v>
      </c>
      <c r="D428" s="21" t="n">
        <v>42524</v>
      </c>
      <c r="E428" s="20" t="s">
        <v>90</v>
      </c>
      <c r="F428" s="20" t="s">
        <v>403</v>
      </c>
      <c r="G428" s="20" t="s">
        <v>404</v>
      </c>
      <c r="H428" s="20" t="s">
        <v>85</v>
      </c>
      <c r="I428" s="20" t="s">
        <v>62</v>
      </c>
      <c r="J428" s="20" t="s">
        <v>63</v>
      </c>
      <c r="K428" s="20" t="s">
        <v>225</v>
      </c>
      <c r="L428" s="20" t="n">
        <v>54619</v>
      </c>
      <c r="M428" s="20" t="s">
        <v>65</v>
      </c>
      <c r="N428" s="20" t="s">
        <v>1281</v>
      </c>
      <c r="O428" s="20" t="s">
        <v>76</v>
      </c>
      <c r="P428" s="20" t="s">
        <v>185</v>
      </c>
      <c r="Q428" s="20" t="s">
        <v>1241</v>
      </c>
      <c r="R428" s="22" t="n">
        <v>25.7</v>
      </c>
      <c r="S428" s="20" t="n">
        <v>5</v>
      </c>
      <c r="T428" s="20" t="n">
        <v>0.7</v>
      </c>
      <c r="U428" s="22" t="n">
        <v>-1.1</v>
      </c>
      <c r="V428" s="23" t="n">
        <f aca="false">IF(ISNUMBER(C428),YEAR(C428),"")</f>
        <v>2016</v>
      </c>
      <c r="W428" s="23" t="n">
        <f aca="false">IF(ISNUMBER(C428),MONTH(C428),"")</f>
        <v>6</v>
      </c>
      <c r="X428" s="23" t="str">
        <f aca="false">IF(T428="","",IF(T428=0,"No discount",IF(T428&lt;=0.2,"Low (1-20%)",IF(T428&lt;=0.4,"Medium (21-40%)","High (&gt;40%)"))))</f>
        <v>High (&gt;40%)</v>
      </c>
      <c r="Y428" s="23" t="n">
        <f aca="false">IF(AND(ISNUMBER(C428),ISNUMBER(D428)),D428-C428,"")</f>
        <v>2</v>
      </c>
      <c r="Z428" s="23" t="n">
        <f aca="false">IF(B428="","",IF(MATCH(B428,$B$2:$B$12000,0)=ROW()-1,1,0))</f>
        <v>0</v>
      </c>
    </row>
    <row r="429" customFormat="false" ht="15" hidden="false" customHeight="false" outlineLevel="0" collapsed="false">
      <c r="A429" s="20" t="n">
        <v>428</v>
      </c>
      <c r="B429" s="20" t="s">
        <v>1278</v>
      </c>
      <c r="C429" s="21" t="n">
        <v>42522</v>
      </c>
      <c r="D429" s="21" t="n">
        <v>42524</v>
      </c>
      <c r="E429" s="20" t="s">
        <v>104</v>
      </c>
      <c r="F429" s="20" t="s">
        <v>403</v>
      </c>
      <c r="G429" s="20" t="s">
        <v>404</v>
      </c>
      <c r="H429" s="20" t="s">
        <v>85</v>
      </c>
      <c r="I429" s="20" t="s">
        <v>62</v>
      </c>
      <c r="J429" s="20" t="s">
        <v>63</v>
      </c>
      <c r="K429" s="20" t="s">
        <v>225</v>
      </c>
      <c r="L429" s="20" t="n">
        <v>87999</v>
      </c>
      <c r="M429" s="20" t="s">
        <v>65</v>
      </c>
      <c r="N429" s="20" t="s">
        <v>1282</v>
      </c>
      <c r="O429" s="20" t="s">
        <v>114</v>
      </c>
      <c r="P429" s="20" t="s">
        <v>210</v>
      </c>
      <c r="Q429" s="20" t="s">
        <v>1283</v>
      </c>
      <c r="R429" s="22" t="n">
        <v>148.87</v>
      </c>
      <c r="S429" s="20" t="n">
        <v>5</v>
      </c>
      <c r="T429" s="20" t="n">
        <v>0.2</v>
      </c>
      <c r="U429" s="22" t="n">
        <v>11.32</v>
      </c>
      <c r="V429" s="23" t="n">
        <f aca="false">IF(ISNUMBER(C429),YEAR(C429),"")</f>
        <v>2016</v>
      </c>
      <c r="W429" s="23" t="n">
        <f aca="false">IF(ISNUMBER(C429),MONTH(C429),"")</f>
        <v>6</v>
      </c>
      <c r="X429" s="23" t="str">
        <f aca="false">IF(T429="","",IF(T429=0,"No discount",IF(T429&lt;=0.2,"Low (1-20%)",IF(T429&lt;=0.4,"Medium (21-40%)","High (&gt;40%)"))))</f>
        <v>Low (1-20%)</v>
      </c>
      <c r="Y429" s="23" t="n">
        <f aca="false">IF(AND(ISNUMBER(C429),ISNUMBER(D429)),D429-C429,"")</f>
        <v>2</v>
      </c>
      <c r="Z429" s="23" t="n">
        <f aca="false">IF(B429="","",IF(MATCH(B429,$B$2:$B$12000,0)=ROW()-1,1,0))</f>
        <v>0</v>
      </c>
    </row>
    <row r="430" customFormat="false" ht="15" hidden="false" customHeight="false" outlineLevel="0" collapsed="false">
      <c r="A430" s="20" t="n">
        <v>429</v>
      </c>
      <c r="B430" s="20" t="s">
        <v>1278</v>
      </c>
      <c r="C430" s="21" t="n">
        <v>42522</v>
      </c>
      <c r="D430" s="21" t="n">
        <v>42524</v>
      </c>
      <c r="E430" s="20" t="s">
        <v>71</v>
      </c>
      <c r="F430" s="20" t="s">
        <v>403</v>
      </c>
      <c r="G430" s="20" t="s">
        <v>404</v>
      </c>
      <c r="H430" s="20" t="s">
        <v>85</v>
      </c>
      <c r="I430" s="20" t="s">
        <v>62</v>
      </c>
      <c r="J430" s="20" t="s">
        <v>63</v>
      </c>
      <c r="K430" s="20" t="s">
        <v>225</v>
      </c>
      <c r="L430" s="20" t="n">
        <v>20423</v>
      </c>
      <c r="M430" s="20" t="s">
        <v>65</v>
      </c>
      <c r="N430" s="20" t="s">
        <v>1284</v>
      </c>
      <c r="O430" s="20" t="s">
        <v>67</v>
      </c>
      <c r="P430" s="20" t="s">
        <v>164</v>
      </c>
      <c r="Q430" s="20" t="s">
        <v>1285</v>
      </c>
      <c r="R430" s="22" t="n">
        <v>5987.08</v>
      </c>
      <c r="S430" s="20" t="n">
        <v>4</v>
      </c>
      <c r="T430" s="20" t="n">
        <v>0</v>
      </c>
      <c r="U430" s="22" t="n">
        <v>-27.57</v>
      </c>
      <c r="V430" s="23" t="n">
        <f aca="false">IF(ISNUMBER(C430),YEAR(C430),"")</f>
        <v>2016</v>
      </c>
      <c r="W430" s="23" t="n">
        <f aca="false">IF(ISNUMBER(C430),MONTH(C430),"")</f>
        <v>6</v>
      </c>
      <c r="X430" s="23" t="str">
        <f aca="false">IF(T430="","",IF(T430=0,"No discount",IF(T430&lt;=0.2,"Low (1-20%)",IF(T430&lt;=0.4,"Medium (21-40%)","High (&gt;40%)"))))</f>
        <v>No discount</v>
      </c>
      <c r="Y430" s="23" t="n">
        <f aca="false">IF(AND(ISNUMBER(C430),ISNUMBER(D430)),D430-C430,"")</f>
        <v>2</v>
      </c>
      <c r="Z430" s="23" t="n">
        <f aca="false">IF(B430="","",IF(MATCH(B430,$B$2:$B$12000,0)=ROW()-1,1,0))</f>
        <v>0</v>
      </c>
    </row>
    <row r="431" customFormat="false" ht="15" hidden="false" customHeight="false" outlineLevel="0" collapsed="false">
      <c r="A431" s="20" t="n">
        <v>430</v>
      </c>
      <c r="B431" s="20" t="s">
        <v>1286</v>
      </c>
      <c r="C431" s="21" t="n">
        <v>42529</v>
      </c>
      <c r="D431" s="21" t="n">
        <v>42532</v>
      </c>
      <c r="E431" s="20" t="s">
        <v>71</v>
      </c>
      <c r="F431" s="20" t="s">
        <v>339</v>
      </c>
      <c r="G431" s="20" t="s">
        <v>340</v>
      </c>
      <c r="H431" s="20" t="s">
        <v>61</v>
      </c>
      <c r="I431" s="20" t="s">
        <v>62</v>
      </c>
      <c r="J431" s="20" t="s">
        <v>63</v>
      </c>
      <c r="K431" s="20" t="s">
        <v>208</v>
      </c>
      <c r="L431" s="20" t="n">
        <v>49368</v>
      </c>
      <c r="M431" s="20" t="s">
        <v>153</v>
      </c>
      <c r="N431" s="20" t="s">
        <v>1287</v>
      </c>
      <c r="O431" s="20" t="s">
        <v>76</v>
      </c>
      <c r="P431" s="20" t="s">
        <v>122</v>
      </c>
      <c r="Q431" s="20" t="s">
        <v>1288</v>
      </c>
      <c r="R431" s="22" t="n">
        <v>71.39</v>
      </c>
      <c r="S431" s="20" t="n">
        <v>7</v>
      </c>
      <c r="T431" s="20" t="n">
        <v>0.3</v>
      </c>
      <c r="U431" s="22" t="n">
        <v>6.93</v>
      </c>
      <c r="V431" s="23" t="n">
        <f aca="false">IF(ISNUMBER(C431),YEAR(C431),"")</f>
        <v>2016</v>
      </c>
      <c r="W431" s="23" t="n">
        <f aca="false">IF(ISNUMBER(C431),MONTH(C431),"")</f>
        <v>6</v>
      </c>
      <c r="X431" s="23" t="str">
        <f aca="false">IF(T431="","",IF(T431=0,"No discount",IF(T431&lt;=0.2,"Low (1-20%)",IF(T431&lt;=0.4,"Medium (21-40%)","High (&gt;40%)"))))</f>
        <v>Medium (21-40%)</v>
      </c>
      <c r="Y431" s="23" t="n">
        <f aca="false">IF(AND(ISNUMBER(C431),ISNUMBER(D431)),D431-C431,"")</f>
        <v>3</v>
      </c>
      <c r="Z431" s="23" t="n">
        <f aca="false">IF(B431="","",IF(MATCH(B431,$B$2:$B$12000,0)=ROW()-1,1,0))</f>
        <v>1</v>
      </c>
    </row>
    <row r="432" customFormat="false" ht="15" hidden="false" customHeight="false" outlineLevel="0" collapsed="false">
      <c r="A432" s="20" t="n">
        <v>431</v>
      </c>
      <c r="B432" s="20" t="s">
        <v>1289</v>
      </c>
      <c r="C432" s="21" t="n">
        <v>42531</v>
      </c>
      <c r="D432" s="21" t="n">
        <v>42537</v>
      </c>
      <c r="E432" s="20" t="s">
        <v>58</v>
      </c>
      <c r="F432" s="20" t="s">
        <v>352</v>
      </c>
      <c r="G432" s="20" t="s">
        <v>353</v>
      </c>
      <c r="H432" s="20" t="s">
        <v>85</v>
      </c>
      <c r="I432" s="20" t="s">
        <v>62</v>
      </c>
      <c r="J432" s="20" t="s">
        <v>63</v>
      </c>
      <c r="K432" s="20" t="s">
        <v>508</v>
      </c>
      <c r="L432" s="20" t="n">
        <v>59099</v>
      </c>
      <c r="M432" s="20" t="s">
        <v>153</v>
      </c>
      <c r="N432" s="20" t="s">
        <v>1290</v>
      </c>
      <c r="O432" s="20" t="s">
        <v>76</v>
      </c>
      <c r="P432" s="20" t="s">
        <v>236</v>
      </c>
      <c r="Q432" s="20" t="s">
        <v>744</v>
      </c>
      <c r="R432" s="22" t="n">
        <v>76.85</v>
      </c>
      <c r="S432" s="20" t="n">
        <v>1</v>
      </c>
      <c r="T432" s="20" t="n">
        <v>0</v>
      </c>
      <c r="U432" s="22" t="n">
        <v>24.65</v>
      </c>
      <c r="V432" s="23" t="n">
        <f aca="false">IF(ISNUMBER(C432),YEAR(C432),"")</f>
        <v>2016</v>
      </c>
      <c r="W432" s="23" t="n">
        <f aca="false">IF(ISNUMBER(C432),MONTH(C432),"")</f>
        <v>6</v>
      </c>
      <c r="X432" s="23" t="str">
        <f aca="false">IF(T432="","",IF(T432=0,"No discount",IF(T432&lt;=0.2,"Low (1-20%)",IF(T432&lt;=0.4,"Medium (21-40%)","High (&gt;40%)"))))</f>
        <v>No discount</v>
      </c>
      <c r="Y432" s="23" t="n">
        <f aca="false">IF(AND(ISNUMBER(C432),ISNUMBER(D432)),D432-C432,"")</f>
        <v>6</v>
      </c>
      <c r="Z432" s="23" t="n">
        <f aca="false">IF(B432="","",IF(MATCH(B432,$B$2:$B$12000,0)=ROW()-1,1,0))</f>
        <v>1</v>
      </c>
    </row>
    <row r="433" customFormat="false" ht="15" hidden="false" customHeight="false" outlineLevel="0" collapsed="false">
      <c r="A433" s="20" t="n">
        <v>432</v>
      </c>
      <c r="B433" s="20" t="s">
        <v>1291</v>
      </c>
      <c r="C433" s="21" t="n">
        <v>42531</v>
      </c>
      <c r="D433" s="21" t="n">
        <v>42535</v>
      </c>
      <c r="E433" s="20" t="s">
        <v>104</v>
      </c>
      <c r="F433" s="20" t="s">
        <v>83</v>
      </c>
      <c r="G433" s="20" t="s">
        <v>84</v>
      </c>
      <c r="H433" s="20" t="s">
        <v>85</v>
      </c>
      <c r="I433" s="20" t="s">
        <v>62</v>
      </c>
      <c r="J433" s="20" t="s">
        <v>63</v>
      </c>
      <c r="K433" s="20" t="s">
        <v>673</v>
      </c>
      <c r="L433" s="20" t="n">
        <v>82901</v>
      </c>
      <c r="M433" s="20" t="s">
        <v>97</v>
      </c>
      <c r="N433" s="20" t="s">
        <v>1292</v>
      </c>
      <c r="O433" s="20" t="s">
        <v>76</v>
      </c>
      <c r="P433" s="20" t="s">
        <v>122</v>
      </c>
      <c r="Q433" s="20" t="s">
        <v>980</v>
      </c>
      <c r="R433" s="22" t="n">
        <v>406.47</v>
      </c>
      <c r="S433" s="20" t="n">
        <v>7</v>
      </c>
      <c r="T433" s="20" t="n">
        <v>0</v>
      </c>
      <c r="U433" s="22" t="n">
        <v>161.65</v>
      </c>
      <c r="V433" s="23" t="n">
        <f aca="false">IF(ISNUMBER(C433),YEAR(C433),"")</f>
        <v>2016</v>
      </c>
      <c r="W433" s="23" t="n">
        <f aca="false">IF(ISNUMBER(C433),MONTH(C433),"")</f>
        <v>6</v>
      </c>
      <c r="X433" s="23" t="str">
        <f aca="false">IF(T433="","",IF(T433=0,"No discount",IF(T433&lt;=0.2,"Low (1-20%)",IF(T433&lt;=0.4,"Medium (21-40%)","High (&gt;40%)"))))</f>
        <v>No discount</v>
      </c>
      <c r="Y433" s="23" t="n">
        <f aca="false">IF(AND(ISNUMBER(C433),ISNUMBER(D433)),D433-C433,"")</f>
        <v>4</v>
      </c>
      <c r="Z433" s="23" t="n">
        <f aca="false">IF(B433="","",IF(MATCH(B433,$B$2:$B$12000,0)=ROW()-1,1,0))</f>
        <v>1</v>
      </c>
    </row>
    <row r="434" customFormat="false" ht="15" hidden="false" customHeight="false" outlineLevel="0" collapsed="false">
      <c r="A434" s="20" t="n">
        <v>433</v>
      </c>
      <c r="B434" s="20" t="s">
        <v>1293</v>
      </c>
      <c r="C434" s="21" t="n">
        <v>42531</v>
      </c>
      <c r="D434" s="21" t="n">
        <v>42533</v>
      </c>
      <c r="E434" s="20" t="s">
        <v>90</v>
      </c>
      <c r="F434" s="20" t="s">
        <v>144</v>
      </c>
      <c r="G434" s="20" t="s">
        <v>145</v>
      </c>
      <c r="H434" s="20" t="s">
        <v>85</v>
      </c>
      <c r="I434" s="20" t="s">
        <v>62</v>
      </c>
      <c r="J434" s="20" t="s">
        <v>63</v>
      </c>
      <c r="K434" s="20" t="s">
        <v>1257</v>
      </c>
      <c r="L434" s="20" t="n">
        <v>53572</v>
      </c>
      <c r="M434" s="20" t="s">
        <v>97</v>
      </c>
      <c r="N434" s="20" t="s">
        <v>1294</v>
      </c>
      <c r="O434" s="20" t="s">
        <v>76</v>
      </c>
      <c r="P434" s="20" t="s">
        <v>77</v>
      </c>
      <c r="Q434" s="20" t="s">
        <v>1295</v>
      </c>
      <c r="R434" s="22" t="n">
        <v>128.07</v>
      </c>
      <c r="S434" s="20" t="n">
        <v>3</v>
      </c>
      <c r="T434" s="20" t="n">
        <v>0.2</v>
      </c>
      <c r="U434" s="22" t="n">
        <v>15.4</v>
      </c>
      <c r="V434" s="23" t="n">
        <f aca="false">IF(ISNUMBER(C434),YEAR(C434),"")</f>
        <v>2016</v>
      </c>
      <c r="W434" s="23" t="n">
        <f aca="false">IF(ISNUMBER(C434),MONTH(C434),"")</f>
        <v>6</v>
      </c>
      <c r="X434" s="23" t="str">
        <f aca="false">IF(T434="","",IF(T434=0,"No discount",IF(T434&lt;=0.2,"Low (1-20%)",IF(T434&lt;=0.4,"Medium (21-40%)","High (&gt;40%)"))))</f>
        <v>Low (1-20%)</v>
      </c>
      <c r="Y434" s="23" t="n">
        <f aca="false">IF(AND(ISNUMBER(C434),ISNUMBER(D434)),D434-C434,"")</f>
        <v>2</v>
      </c>
      <c r="Z434" s="23" t="n">
        <f aca="false">IF(B434="","",IF(MATCH(B434,$B$2:$B$12000,0)=ROW()-1,1,0))</f>
        <v>1</v>
      </c>
    </row>
    <row r="435" customFormat="false" ht="15" hidden="false" customHeight="false" outlineLevel="0" collapsed="false">
      <c r="A435" s="20" t="n">
        <v>434</v>
      </c>
      <c r="B435" s="20" t="s">
        <v>1293</v>
      </c>
      <c r="C435" s="21" t="n">
        <v>42531</v>
      </c>
      <c r="D435" s="21" t="n">
        <v>42533</v>
      </c>
      <c r="E435" s="20" t="s">
        <v>58</v>
      </c>
      <c r="F435" s="20" t="s">
        <v>144</v>
      </c>
      <c r="G435" s="20" t="s">
        <v>145</v>
      </c>
      <c r="H435" s="20" t="s">
        <v>85</v>
      </c>
      <c r="I435" s="20" t="s">
        <v>62</v>
      </c>
      <c r="J435" s="20" t="s">
        <v>63</v>
      </c>
      <c r="K435" s="20" t="s">
        <v>1257</v>
      </c>
      <c r="L435" s="20" t="n">
        <v>72706</v>
      </c>
      <c r="M435" s="20" t="s">
        <v>97</v>
      </c>
      <c r="N435" s="20" t="s">
        <v>1296</v>
      </c>
      <c r="O435" s="20" t="s">
        <v>76</v>
      </c>
      <c r="P435" s="20" t="s">
        <v>80</v>
      </c>
      <c r="Q435" s="20" t="s">
        <v>1297</v>
      </c>
      <c r="R435" s="22" t="n">
        <v>40.25</v>
      </c>
      <c r="S435" s="20" t="n">
        <v>3</v>
      </c>
      <c r="T435" s="20" t="n">
        <v>0</v>
      </c>
      <c r="U435" s="22" t="n">
        <v>15.59</v>
      </c>
      <c r="V435" s="23" t="n">
        <f aca="false">IF(ISNUMBER(C435),YEAR(C435),"")</f>
        <v>2016</v>
      </c>
      <c r="W435" s="23" t="n">
        <f aca="false">IF(ISNUMBER(C435),MONTH(C435),"")</f>
        <v>6</v>
      </c>
      <c r="X435" s="23" t="str">
        <f aca="false">IF(T435="","",IF(T435=0,"No discount",IF(T435&lt;=0.2,"Low (1-20%)",IF(T435&lt;=0.4,"Medium (21-40%)","High (&gt;40%)"))))</f>
        <v>No discount</v>
      </c>
      <c r="Y435" s="23" t="n">
        <f aca="false">IF(AND(ISNUMBER(C435),ISNUMBER(D435)),D435-C435,"")</f>
        <v>2</v>
      </c>
      <c r="Z435" s="23" t="n">
        <f aca="false">IF(B435="","",IF(MATCH(B435,$B$2:$B$12000,0)=ROW()-1,1,0))</f>
        <v>0</v>
      </c>
    </row>
    <row r="436" customFormat="false" ht="15" hidden="false" customHeight="false" outlineLevel="0" collapsed="false">
      <c r="A436" s="20" t="n">
        <v>435</v>
      </c>
      <c r="B436" s="20" t="s">
        <v>1293</v>
      </c>
      <c r="C436" s="21" t="n">
        <v>42531</v>
      </c>
      <c r="D436" s="21" t="n">
        <v>42533</v>
      </c>
      <c r="E436" s="20" t="s">
        <v>58</v>
      </c>
      <c r="F436" s="20" t="s">
        <v>144</v>
      </c>
      <c r="G436" s="20" t="s">
        <v>145</v>
      </c>
      <c r="H436" s="20" t="s">
        <v>85</v>
      </c>
      <c r="I436" s="20" t="s">
        <v>62</v>
      </c>
      <c r="J436" s="20" t="s">
        <v>63</v>
      </c>
      <c r="K436" s="20" t="s">
        <v>1257</v>
      </c>
      <c r="L436" s="20" t="n">
        <v>61750</v>
      </c>
      <c r="M436" s="20" t="s">
        <v>97</v>
      </c>
      <c r="N436" s="20" t="s">
        <v>1298</v>
      </c>
      <c r="O436" s="20" t="s">
        <v>76</v>
      </c>
      <c r="P436" s="20" t="s">
        <v>80</v>
      </c>
      <c r="Q436" s="20" t="s">
        <v>1299</v>
      </c>
      <c r="R436" s="22" t="n">
        <v>310.98</v>
      </c>
      <c r="S436" s="20" t="n">
        <v>4</v>
      </c>
      <c r="T436" s="20" t="n">
        <v>0.2</v>
      </c>
      <c r="U436" s="22" t="n">
        <v>54.43</v>
      </c>
      <c r="V436" s="23" t="n">
        <f aca="false">IF(ISNUMBER(C436),YEAR(C436),"")</f>
        <v>2016</v>
      </c>
      <c r="W436" s="23" t="n">
        <f aca="false">IF(ISNUMBER(C436),MONTH(C436),"")</f>
        <v>6</v>
      </c>
      <c r="X436" s="23" t="str">
        <f aca="false">IF(T436="","",IF(T436=0,"No discount",IF(T436&lt;=0.2,"Low (1-20%)",IF(T436&lt;=0.4,"Medium (21-40%)","High (&gt;40%)"))))</f>
        <v>Low (1-20%)</v>
      </c>
      <c r="Y436" s="23" t="n">
        <f aca="false">IF(AND(ISNUMBER(C436),ISNUMBER(D436)),D436-C436,"")</f>
        <v>2</v>
      </c>
      <c r="Z436" s="23" t="n">
        <f aca="false">IF(B436="","",IF(MATCH(B436,$B$2:$B$12000,0)=ROW()-1,1,0))</f>
        <v>0</v>
      </c>
    </row>
    <row r="437" customFormat="false" ht="15" hidden="false" customHeight="false" outlineLevel="0" collapsed="false">
      <c r="A437" s="20" t="n">
        <v>436</v>
      </c>
      <c r="B437" s="20" t="s">
        <v>1300</v>
      </c>
      <c r="C437" s="21" t="n">
        <v>42533</v>
      </c>
      <c r="D437" s="21" t="n">
        <v>42537</v>
      </c>
      <c r="E437" s="20" t="s">
        <v>58</v>
      </c>
      <c r="F437" s="20" t="s">
        <v>582</v>
      </c>
      <c r="G437" s="20" t="s">
        <v>583</v>
      </c>
      <c r="H437" s="20" t="s">
        <v>61</v>
      </c>
      <c r="I437" s="20" t="s">
        <v>62</v>
      </c>
      <c r="J437" s="20" t="s">
        <v>63</v>
      </c>
      <c r="K437" s="20" t="s">
        <v>360</v>
      </c>
      <c r="L437" s="20" t="n">
        <v>62843</v>
      </c>
      <c r="M437" s="20" t="s">
        <v>112</v>
      </c>
      <c r="N437" s="20" t="s">
        <v>1301</v>
      </c>
      <c r="O437" s="20" t="s">
        <v>114</v>
      </c>
      <c r="P437" s="20" t="s">
        <v>167</v>
      </c>
      <c r="Q437" s="20" t="s">
        <v>942</v>
      </c>
      <c r="R437" s="22" t="n">
        <v>872.26</v>
      </c>
      <c r="S437" s="20" t="n">
        <v>1</v>
      </c>
      <c r="T437" s="20" t="n">
        <v>0</v>
      </c>
      <c r="U437" s="22" t="n">
        <v>-52.25</v>
      </c>
      <c r="V437" s="23" t="n">
        <f aca="false">IF(ISNUMBER(C437),YEAR(C437),"")</f>
        <v>2016</v>
      </c>
      <c r="W437" s="23" t="n">
        <f aca="false">IF(ISNUMBER(C437),MONTH(C437),"")</f>
        <v>6</v>
      </c>
      <c r="X437" s="23" t="str">
        <f aca="false">IF(T437="","",IF(T437=0,"No discount",IF(T437&lt;=0.2,"Low (1-20%)",IF(T437&lt;=0.4,"Medium (21-40%)","High (&gt;40%)"))))</f>
        <v>No discount</v>
      </c>
      <c r="Y437" s="23" t="n">
        <f aca="false">IF(AND(ISNUMBER(C437),ISNUMBER(D437)),D437-C437,"")</f>
        <v>4</v>
      </c>
      <c r="Z437" s="23" t="n">
        <f aca="false">IF(B437="","",IF(MATCH(B437,$B$2:$B$12000,0)=ROW()-1,1,0))</f>
        <v>1</v>
      </c>
    </row>
    <row r="438" customFormat="false" ht="15" hidden="false" customHeight="false" outlineLevel="0" collapsed="false">
      <c r="A438" s="20" t="n">
        <v>437</v>
      </c>
      <c r="B438" s="20" t="s">
        <v>1302</v>
      </c>
      <c r="C438" s="21" t="n">
        <v>42535</v>
      </c>
      <c r="D438" s="21" t="n">
        <v>42536</v>
      </c>
      <c r="E438" s="20" t="s">
        <v>71</v>
      </c>
      <c r="F438" s="20" t="s">
        <v>767</v>
      </c>
      <c r="G438" s="20" t="s">
        <v>768</v>
      </c>
      <c r="H438" s="20" t="s">
        <v>61</v>
      </c>
      <c r="I438" s="20" t="s">
        <v>62</v>
      </c>
      <c r="J438" s="20" t="s">
        <v>63</v>
      </c>
      <c r="K438" s="20" t="s">
        <v>133</v>
      </c>
      <c r="L438" s="20" t="n">
        <v>26332</v>
      </c>
      <c r="M438" s="20" t="s">
        <v>97</v>
      </c>
      <c r="N438" s="20" t="s">
        <v>1303</v>
      </c>
      <c r="O438" s="20" t="s">
        <v>76</v>
      </c>
      <c r="P438" s="20" t="s">
        <v>236</v>
      </c>
      <c r="Q438" s="20" t="s">
        <v>740</v>
      </c>
      <c r="R438" s="22" t="n">
        <v>77.26</v>
      </c>
      <c r="S438" s="20" t="n">
        <v>2</v>
      </c>
      <c r="T438" s="20" t="n">
        <v>0</v>
      </c>
      <c r="U438" s="22" t="n">
        <v>29.67</v>
      </c>
      <c r="V438" s="23" t="n">
        <f aca="false">IF(ISNUMBER(C438),YEAR(C438),"")</f>
        <v>2016</v>
      </c>
      <c r="W438" s="23" t="n">
        <f aca="false">IF(ISNUMBER(C438),MONTH(C438),"")</f>
        <v>6</v>
      </c>
      <c r="X438" s="23" t="str">
        <f aca="false">IF(T438="","",IF(T438=0,"No discount",IF(T438&lt;=0.2,"Low (1-20%)",IF(T438&lt;=0.4,"Medium (21-40%)","High (&gt;40%)"))))</f>
        <v>No discount</v>
      </c>
      <c r="Y438" s="23" t="n">
        <f aca="false">IF(AND(ISNUMBER(C438),ISNUMBER(D438)),D438-C438,"")</f>
        <v>1</v>
      </c>
      <c r="Z438" s="23" t="n">
        <f aca="false">IF(B438="","",IF(MATCH(B438,$B$2:$B$12000,0)=ROW()-1,1,0))</f>
        <v>1</v>
      </c>
    </row>
    <row r="439" customFormat="false" ht="15" hidden="false" customHeight="false" outlineLevel="0" collapsed="false">
      <c r="A439" s="20" t="n">
        <v>438</v>
      </c>
      <c r="B439" s="20" t="s">
        <v>1304</v>
      </c>
      <c r="C439" s="21" t="n">
        <v>42537</v>
      </c>
      <c r="D439" s="21" t="n">
        <v>42544</v>
      </c>
      <c r="E439" s="20" t="s">
        <v>90</v>
      </c>
      <c r="F439" s="20" t="s">
        <v>501</v>
      </c>
      <c r="G439" s="20" t="s">
        <v>502</v>
      </c>
      <c r="H439" s="20" t="s">
        <v>85</v>
      </c>
      <c r="I439" s="20" t="s">
        <v>62</v>
      </c>
      <c r="J439" s="20" t="s">
        <v>63</v>
      </c>
      <c r="K439" s="20" t="s">
        <v>133</v>
      </c>
      <c r="L439" s="20" t="n">
        <v>44845</v>
      </c>
      <c r="M439" s="20" t="s">
        <v>97</v>
      </c>
      <c r="N439" s="20" t="s">
        <v>1305</v>
      </c>
      <c r="O439" s="20" t="s">
        <v>67</v>
      </c>
      <c r="P439" s="20" t="s">
        <v>106</v>
      </c>
      <c r="Q439" s="20" t="s">
        <v>1306</v>
      </c>
      <c r="R439" s="22" t="n">
        <v>495.82</v>
      </c>
      <c r="S439" s="20" t="n">
        <v>3</v>
      </c>
      <c r="T439" s="20" t="n">
        <v>0.2</v>
      </c>
      <c r="U439" s="22" t="n">
        <v>23.25</v>
      </c>
      <c r="V439" s="23" t="n">
        <f aca="false">IF(ISNUMBER(C439),YEAR(C439),"")</f>
        <v>2016</v>
      </c>
      <c r="W439" s="23" t="n">
        <f aca="false">IF(ISNUMBER(C439),MONTH(C439),"")</f>
        <v>6</v>
      </c>
      <c r="X439" s="23" t="str">
        <f aca="false">IF(T439="","",IF(T439=0,"No discount",IF(T439&lt;=0.2,"Low (1-20%)",IF(T439&lt;=0.4,"Medium (21-40%)","High (&gt;40%)"))))</f>
        <v>Low (1-20%)</v>
      </c>
      <c r="Y439" s="23" t="n">
        <f aca="false">IF(AND(ISNUMBER(C439),ISNUMBER(D439)),D439-C439,"")</f>
        <v>7</v>
      </c>
      <c r="Z439" s="23" t="n">
        <f aca="false">IF(B439="","",IF(MATCH(B439,$B$2:$B$12000,0)=ROW()-1,1,0))</f>
        <v>1</v>
      </c>
    </row>
    <row r="440" customFormat="false" ht="15" hidden="false" customHeight="false" outlineLevel="0" collapsed="false">
      <c r="A440" s="20" t="n">
        <v>439</v>
      </c>
      <c r="B440" s="20" t="s">
        <v>1304</v>
      </c>
      <c r="C440" s="21" t="n">
        <v>42537</v>
      </c>
      <c r="D440" s="21" t="n">
        <v>42544</v>
      </c>
      <c r="E440" s="20" t="s">
        <v>104</v>
      </c>
      <c r="F440" s="20" t="s">
        <v>501</v>
      </c>
      <c r="G440" s="20" t="s">
        <v>502</v>
      </c>
      <c r="H440" s="20" t="s">
        <v>85</v>
      </c>
      <c r="I440" s="20" t="s">
        <v>62</v>
      </c>
      <c r="J440" s="20" t="s">
        <v>63</v>
      </c>
      <c r="K440" s="20" t="s">
        <v>133</v>
      </c>
      <c r="L440" s="20" t="n">
        <v>16213</v>
      </c>
      <c r="M440" s="20" t="s">
        <v>97</v>
      </c>
      <c r="N440" s="20" t="s">
        <v>1307</v>
      </c>
      <c r="O440" s="20" t="s">
        <v>114</v>
      </c>
      <c r="P440" s="20" t="s">
        <v>139</v>
      </c>
      <c r="Q440" s="20" t="s">
        <v>1308</v>
      </c>
      <c r="R440" s="22" t="n">
        <v>1035.51</v>
      </c>
      <c r="S440" s="20" t="n">
        <v>6</v>
      </c>
      <c r="T440" s="20" t="n">
        <v>0.5</v>
      </c>
      <c r="U440" s="22" t="n">
        <v>-275.12</v>
      </c>
      <c r="V440" s="23" t="n">
        <f aca="false">IF(ISNUMBER(C440),YEAR(C440),"")</f>
        <v>2016</v>
      </c>
      <c r="W440" s="23" t="n">
        <f aca="false">IF(ISNUMBER(C440),MONTH(C440),"")</f>
        <v>6</v>
      </c>
      <c r="X440" s="23" t="str">
        <f aca="false">IF(T440="","",IF(T440=0,"No discount",IF(T440&lt;=0.2,"Low (1-20%)",IF(T440&lt;=0.4,"Medium (21-40%)","High (&gt;40%)"))))</f>
        <v>High (&gt;40%)</v>
      </c>
      <c r="Y440" s="23" t="n">
        <f aca="false">IF(AND(ISNUMBER(C440),ISNUMBER(D440)),D440-C440,"")</f>
        <v>7</v>
      </c>
      <c r="Z440" s="23" t="n">
        <f aca="false">IF(B440="","",IF(MATCH(B440,$B$2:$B$12000,0)=ROW()-1,1,0))</f>
        <v>0</v>
      </c>
    </row>
    <row r="441" customFormat="false" ht="15" hidden="false" customHeight="false" outlineLevel="0" collapsed="false">
      <c r="A441" s="20" t="n">
        <v>440</v>
      </c>
      <c r="B441" s="20" t="s">
        <v>1309</v>
      </c>
      <c r="C441" s="21" t="n">
        <v>42542</v>
      </c>
      <c r="D441" s="21" t="n">
        <v>42543</v>
      </c>
      <c r="E441" s="20" t="s">
        <v>90</v>
      </c>
      <c r="F441" s="20" t="s">
        <v>131</v>
      </c>
      <c r="G441" s="20" t="s">
        <v>132</v>
      </c>
      <c r="H441" s="20" t="s">
        <v>85</v>
      </c>
      <c r="I441" s="20" t="s">
        <v>62</v>
      </c>
      <c r="J441" s="20" t="s">
        <v>63</v>
      </c>
      <c r="K441" s="20" t="s">
        <v>525</v>
      </c>
      <c r="L441" s="20" t="n">
        <v>68913</v>
      </c>
      <c r="M441" s="20" t="s">
        <v>97</v>
      </c>
      <c r="N441" s="20" t="s">
        <v>1310</v>
      </c>
      <c r="O441" s="20" t="s">
        <v>76</v>
      </c>
      <c r="P441" s="20" t="s">
        <v>185</v>
      </c>
      <c r="Q441" s="20" t="s">
        <v>1311</v>
      </c>
      <c r="R441" s="22" t="n">
        <v>80.45</v>
      </c>
      <c r="S441" s="20" t="n">
        <v>5</v>
      </c>
      <c r="T441" s="20" t="n">
        <v>0.2</v>
      </c>
      <c r="U441" s="22" t="n">
        <v>17.6</v>
      </c>
      <c r="V441" s="23" t="n">
        <f aca="false">IF(ISNUMBER(C441),YEAR(C441),"")</f>
        <v>2016</v>
      </c>
      <c r="W441" s="23" t="n">
        <f aca="false">IF(ISNUMBER(C441),MONTH(C441),"")</f>
        <v>6</v>
      </c>
      <c r="X441" s="23" t="str">
        <f aca="false">IF(T441="","",IF(T441=0,"No discount",IF(T441&lt;=0.2,"Low (1-20%)",IF(T441&lt;=0.4,"Medium (21-40%)","High (&gt;40%)"))))</f>
        <v>Low (1-20%)</v>
      </c>
      <c r="Y441" s="23" t="n">
        <f aca="false">IF(AND(ISNUMBER(C441),ISNUMBER(D441)),D441-C441,"")</f>
        <v>1</v>
      </c>
      <c r="Z441" s="23" t="n">
        <f aca="false">IF(B441="","",IF(MATCH(B441,$B$2:$B$12000,0)=ROW()-1,1,0))</f>
        <v>1</v>
      </c>
    </row>
    <row r="442" customFormat="false" ht="15" hidden="false" customHeight="false" outlineLevel="0" collapsed="false">
      <c r="A442" s="20" t="n">
        <v>441</v>
      </c>
      <c r="B442" s="20" t="s">
        <v>1309</v>
      </c>
      <c r="C442" s="21" t="n">
        <v>42542</v>
      </c>
      <c r="D442" s="21" t="n">
        <v>42543</v>
      </c>
      <c r="E442" s="20" t="s">
        <v>58</v>
      </c>
      <c r="F442" s="20" t="s">
        <v>131</v>
      </c>
      <c r="G442" s="20" t="s">
        <v>132</v>
      </c>
      <c r="H442" s="20" t="s">
        <v>85</v>
      </c>
      <c r="I442" s="20" t="s">
        <v>62</v>
      </c>
      <c r="J442" s="20" t="s">
        <v>63</v>
      </c>
      <c r="K442" s="20" t="s">
        <v>525</v>
      </c>
      <c r="L442" s="20" t="n">
        <v>37461</v>
      </c>
      <c r="M442" s="20" t="s">
        <v>97</v>
      </c>
      <c r="N442" s="20" t="s">
        <v>1312</v>
      </c>
      <c r="O442" s="20" t="s">
        <v>76</v>
      </c>
      <c r="P442" s="20" t="s">
        <v>101</v>
      </c>
      <c r="Q442" s="20" t="s">
        <v>1313</v>
      </c>
      <c r="R442" s="22" t="n">
        <v>10.31</v>
      </c>
      <c r="S442" s="20" t="n">
        <v>2</v>
      </c>
      <c r="T442" s="20" t="n">
        <v>0.5</v>
      </c>
      <c r="U442" s="22" t="n">
        <v>1.67</v>
      </c>
      <c r="V442" s="23" t="n">
        <f aca="false">IF(ISNUMBER(C442),YEAR(C442),"")</f>
        <v>2016</v>
      </c>
      <c r="W442" s="23" t="n">
        <f aca="false">IF(ISNUMBER(C442),MONTH(C442),"")</f>
        <v>6</v>
      </c>
      <c r="X442" s="23" t="str">
        <f aca="false">IF(T442="","",IF(T442=0,"No discount",IF(T442&lt;=0.2,"Low (1-20%)",IF(T442&lt;=0.4,"Medium (21-40%)","High (&gt;40%)"))))</f>
        <v>High (&gt;40%)</v>
      </c>
      <c r="Y442" s="23" t="n">
        <f aca="false">IF(AND(ISNUMBER(C442),ISNUMBER(D442)),D442-C442,"")</f>
        <v>1</v>
      </c>
      <c r="Z442" s="23" t="n">
        <f aca="false">IF(B442="","",IF(MATCH(B442,$B$2:$B$12000,0)=ROW()-1,1,0))</f>
        <v>0</v>
      </c>
    </row>
    <row r="443" customFormat="false" ht="15" hidden="false" customHeight="false" outlineLevel="0" collapsed="false">
      <c r="A443" s="20" t="n">
        <v>442</v>
      </c>
      <c r="B443" s="20" t="s">
        <v>1314</v>
      </c>
      <c r="C443" s="21" t="n">
        <v>42548</v>
      </c>
      <c r="D443" s="21" t="n">
        <v>42551</v>
      </c>
      <c r="E443" s="20" t="s">
        <v>58</v>
      </c>
      <c r="F443" s="20" t="s">
        <v>1315</v>
      </c>
      <c r="G443" s="20" t="s">
        <v>1316</v>
      </c>
      <c r="H443" s="20" t="s">
        <v>61</v>
      </c>
      <c r="I443" s="20" t="s">
        <v>62</v>
      </c>
      <c r="J443" s="20" t="s">
        <v>63</v>
      </c>
      <c r="K443" s="20" t="s">
        <v>969</v>
      </c>
      <c r="L443" s="20" t="n">
        <v>17584</v>
      </c>
      <c r="M443" s="20" t="s">
        <v>112</v>
      </c>
      <c r="N443" s="20" t="s">
        <v>1317</v>
      </c>
      <c r="O443" s="20" t="s">
        <v>114</v>
      </c>
      <c r="P443" s="20" t="s">
        <v>210</v>
      </c>
      <c r="Q443" s="20" t="s">
        <v>1318</v>
      </c>
      <c r="R443" s="22" t="n">
        <v>544.56</v>
      </c>
      <c r="S443" s="20" t="n">
        <v>8</v>
      </c>
      <c r="T443" s="20" t="n">
        <v>0.3</v>
      </c>
      <c r="U443" s="22" t="n">
        <v>12.99</v>
      </c>
      <c r="V443" s="23" t="n">
        <f aca="false">IF(ISNUMBER(C443),YEAR(C443),"")</f>
        <v>2016</v>
      </c>
      <c r="W443" s="23" t="n">
        <f aca="false">IF(ISNUMBER(C443),MONTH(C443),"")</f>
        <v>6</v>
      </c>
      <c r="X443" s="23" t="str">
        <f aca="false">IF(T443="","",IF(T443=0,"No discount",IF(T443&lt;=0.2,"Low (1-20%)",IF(T443&lt;=0.4,"Medium (21-40%)","High (&gt;40%)"))))</f>
        <v>Medium (21-40%)</v>
      </c>
      <c r="Y443" s="23" t="n">
        <f aca="false">IF(AND(ISNUMBER(C443),ISNUMBER(D443)),D443-C443,"")</f>
        <v>3</v>
      </c>
      <c r="Z443" s="23" t="n">
        <f aca="false">IF(B443="","",IF(MATCH(B443,$B$2:$B$12000,0)=ROW()-1,1,0))</f>
        <v>1</v>
      </c>
    </row>
    <row r="444" customFormat="false" ht="15" hidden="false" customHeight="false" outlineLevel="0" collapsed="false">
      <c r="A444" s="20" t="n">
        <v>443</v>
      </c>
      <c r="B444" s="20" t="s">
        <v>1314</v>
      </c>
      <c r="C444" s="21" t="n">
        <v>42548</v>
      </c>
      <c r="D444" s="21" t="n">
        <v>42551</v>
      </c>
      <c r="E444" s="20" t="s">
        <v>71</v>
      </c>
      <c r="F444" s="20" t="s">
        <v>1315</v>
      </c>
      <c r="G444" s="20" t="s">
        <v>1316</v>
      </c>
      <c r="H444" s="20" t="s">
        <v>61</v>
      </c>
      <c r="I444" s="20" t="s">
        <v>62</v>
      </c>
      <c r="J444" s="20" t="s">
        <v>63</v>
      </c>
      <c r="K444" s="20" t="s">
        <v>969</v>
      </c>
      <c r="L444" s="20" t="n">
        <v>64216</v>
      </c>
      <c r="M444" s="20" t="s">
        <v>112</v>
      </c>
      <c r="N444" s="20" t="s">
        <v>1319</v>
      </c>
      <c r="O444" s="20" t="s">
        <v>114</v>
      </c>
      <c r="P444" s="20" t="s">
        <v>167</v>
      </c>
      <c r="Q444" s="20" t="s">
        <v>1320</v>
      </c>
      <c r="R444" s="22" t="n">
        <v>818.6</v>
      </c>
      <c r="S444" s="20" t="n">
        <v>1</v>
      </c>
      <c r="T444" s="20" t="n">
        <v>0</v>
      </c>
      <c r="U444" s="22" t="n">
        <v>-67.54</v>
      </c>
      <c r="V444" s="23" t="n">
        <f aca="false">IF(ISNUMBER(C444),YEAR(C444),"")</f>
        <v>2016</v>
      </c>
      <c r="W444" s="23" t="n">
        <f aca="false">IF(ISNUMBER(C444),MONTH(C444),"")</f>
        <v>6</v>
      </c>
      <c r="X444" s="23" t="str">
        <f aca="false">IF(T444="","",IF(T444=0,"No discount",IF(T444&lt;=0.2,"Low (1-20%)",IF(T444&lt;=0.4,"Medium (21-40%)","High (&gt;40%)"))))</f>
        <v>No discount</v>
      </c>
      <c r="Y444" s="23" t="n">
        <f aca="false">IF(AND(ISNUMBER(C444),ISNUMBER(D444)),D444-C444,"")</f>
        <v>3</v>
      </c>
      <c r="Z444" s="23" t="n">
        <f aca="false">IF(B444="","",IF(MATCH(B444,$B$2:$B$12000,0)=ROW()-1,1,0))</f>
        <v>0</v>
      </c>
    </row>
    <row r="445" customFormat="false" ht="15" hidden="false" customHeight="false" outlineLevel="0" collapsed="false">
      <c r="A445" s="20" t="n">
        <v>444</v>
      </c>
      <c r="B445" s="20" t="s">
        <v>1321</v>
      </c>
      <c r="C445" s="21" t="n">
        <v>42548</v>
      </c>
      <c r="D445" s="21" t="n">
        <v>42553</v>
      </c>
      <c r="E445" s="20" t="s">
        <v>90</v>
      </c>
      <c r="F445" s="20" t="s">
        <v>319</v>
      </c>
      <c r="G445" s="20" t="s">
        <v>320</v>
      </c>
      <c r="H445" s="20" t="s">
        <v>61</v>
      </c>
      <c r="I445" s="20" t="s">
        <v>62</v>
      </c>
      <c r="J445" s="20" t="s">
        <v>63</v>
      </c>
      <c r="K445" s="20" t="s">
        <v>176</v>
      </c>
      <c r="L445" s="20" t="n">
        <v>17506</v>
      </c>
      <c r="M445" s="20" t="s">
        <v>112</v>
      </c>
      <c r="N445" s="20" t="s">
        <v>1322</v>
      </c>
      <c r="O445" s="20" t="s">
        <v>76</v>
      </c>
      <c r="P445" s="20" t="s">
        <v>101</v>
      </c>
      <c r="Q445" s="20" t="s">
        <v>1323</v>
      </c>
      <c r="R445" s="22" t="n">
        <v>32.54</v>
      </c>
      <c r="S445" s="20" t="n">
        <v>5</v>
      </c>
      <c r="T445" s="20" t="n">
        <v>0.7</v>
      </c>
      <c r="U445" s="22" t="n">
        <v>-2.58</v>
      </c>
      <c r="V445" s="23" t="n">
        <f aca="false">IF(ISNUMBER(C445),YEAR(C445),"")</f>
        <v>2016</v>
      </c>
      <c r="W445" s="23" t="n">
        <f aca="false">IF(ISNUMBER(C445),MONTH(C445),"")</f>
        <v>6</v>
      </c>
      <c r="X445" s="23" t="str">
        <f aca="false">IF(T445="","",IF(T445=0,"No discount",IF(T445&lt;=0.2,"Low (1-20%)",IF(T445&lt;=0.4,"Medium (21-40%)","High (&gt;40%)"))))</f>
        <v>High (&gt;40%)</v>
      </c>
      <c r="Y445" s="23" t="n">
        <f aca="false">IF(AND(ISNUMBER(C445),ISNUMBER(D445)),D445-C445,"")</f>
        <v>5</v>
      </c>
      <c r="Z445" s="23" t="n">
        <f aca="false">IF(B445="","",IF(MATCH(B445,$B$2:$B$12000,0)=ROW()-1,1,0))</f>
        <v>1</v>
      </c>
    </row>
    <row r="446" customFormat="false" ht="15" hidden="false" customHeight="false" outlineLevel="0" collapsed="false">
      <c r="A446" s="20" t="n">
        <v>445</v>
      </c>
      <c r="B446" s="20" t="s">
        <v>1324</v>
      </c>
      <c r="C446" s="21" t="n">
        <v>42552</v>
      </c>
      <c r="D446" s="21" t="n">
        <v>42557</v>
      </c>
      <c r="E446" s="20" t="s">
        <v>71</v>
      </c>
      <c r="F446" s="20" t="s">
        <v>160</v>
      </c>
      <c r="G446" s="20" t="s">
        <v>161</v>
      </c>
      <c r="H446" s="20" t="s">
        <v>162</v>
      </c>
      <c r="I446" s="20" t="s">
        <v>62</v>
      </c>
      <c r="J446" s="20" t="s">
        <v>63</v>
      </c>
      <c r="K446" s="20" t="s">
        <v>146</v>
      </c>
      <c r="L446" s="20" t="n">
        <v>65427</v>
      </c>
      <c r="M446" s="20" t="s">
        <v>65</v>
      </c>
      <c r="N446" s="20" t="s">
        <v>1325</v>
      </c>
      <c r="O446" s="20" t="s">
        <v>76</v>
      </c>
      <c r="P446" s="20" t="s">
        <v>236</v>
      </c>
      <c r="Q446" s="20" t="s">
        <v>1326</v>
      </c>
      <c r="R446" s="22" t="n">
        <v>120.7</v>
      </c>
      <c r="S446" s="20" t="n">
        <v>4</v>
      </c>
      <c r="T446" s="20" t="n">
        <v>0</v>
      </c>
      <c r="U446" s="22" t="n">
        <v>48.54</v>
      </c>
      <c r="V446" s="23" t="n">
        <f aca="false">IF(ISNUMBER(C446),YEAR(C446),"")</f>
        <v>2016</v>
      </c>
      <c r="W446" s="23" t="n">
        <f aca="false">IF(ISNUMBER(C446),MONTH(C446),"")</f>
        <v>7</v>
      </c>
      <c r="X446" s="23" t="str">
        <f aca="false">IF(T446="","",IF(T446=0,"No discount",IF(T446&lt;=0.2,"Low (1-20%)",IF(T446&lt;=0.4,"Medium (21-40%)","High (&gt;40%)"))))</f>
        <v>No discount</v>
      </c>
      <c r="Y446" s="23" t="n">
        <f aca="false">IF(AND(ISNUMBER(C446),ISNUMBER(D446)),D446-C446,"")</f>
        <v>5</v>
      </c>
      <c r="Z446" s="23" t="n">
        <f aca="false">IF(B446="","",IF(MATCH(B446,$B$2:$B$12000,0)=ROW()-1,1,0))</f>
        <v>1</v>
      </c>
    </row>
    <row r="447" customFormat="false" ht="15" hidden="false" customHeight="false" outlineLevel="0" collapsed="false">
      <c r="A447" s="20" t="n">
        <v>446</v>
      </c>
      <c r="B447" s="20" t="s">
        <v>1327</v>
      </c>
      <c r="C447" s="21" t="n">
        <v>42557</v>
      </c>
      <c r="D447" s="21" t="n">
        <v>42564</v>
      </c>
      <c r="E447" s="20" t="s">
        <v>104</v>
      </c>
      <c r="F447" s="20" t="s">
        <v>1315</v>
      </c>
      <c r="G447" s="20" t="s">
        <v>1316</v>
      </c>
      <c r="H447" s="20" t="s">
        <v>61</v>
      </c>
      <c r="I447" s="20" t="s">
        <v>62</v>
      </c>
      <c r="J447" s="20" t="s">
        <v>63</v>
      </c>
      <c r="K447" s="20" t="s">
        <v>208</v>
      </c>
      <c r="L447" s="20" t="n">
        <v>63656</v>
      </c>
      <c r="M447" s="20" t="s">
        <v>153</v>
      </c>
      <c r="N447" s="20" t="s">
        <v>1328</v>
      </c>
      <c r="O447" s="20" t="s">
        <v>114</v>
      </c>
      <c r="P447" s="20" t="s">
        <v>167</v>
      </c>
      <c r="Q447" s="20" t="s">
        <v>1329</v>
      </c>
      <c r="R447" s="22" t="n">
        <v>5226.43</v>
      </c>
      <c r="S447" s="20" t="n">
        <v>6</v>
      </c>
      <c r="T447" s="20" t="n">
        <v>0</v>
      </c>
      <c r="U447" s="22" t="n">
        <v>-409.35</v>
      </c>
      <c r="V447" s="23" t="n">
        <f aca="false">IF(ISNUMBER(C447),YEAR(C447),"")</f>
        <v>2016</v>
      </c>
      <c r="W447" s="23" t="n">
        <f aca="false">IF(ISNUMBER(C447),MONTH(C447),"")</f>
        <v>7</v>
      </c>
      <c r="X447" s="23" t="str">
        <f aca="false">IF(T447="","",IF(T447=0,"No discount",IF(T447&lt;=0.2,"Low (1-20%)",IF(T447&lt;=0.4,"Medium (21-40%)","High (&gt;40%)"))))</f>
        <v>No discount</v>
      </c>
      <c r="Y447" s="23" t="n">
        <f aca="false">IF(AND(ISNUMBER(C447),ISNUMBER(D447)),D447-C447,"")</f>
        <v>7</v>
      </c>
      <c r="Z447" s="23" t="n">
        <f aca="false">IF(B447="","",IF(MATCH(B447,$B$2:$B$12000,0)=ROW()-1,1,0))</f>
        <v>1</v>
      </c>
    </row>
    <row r="448" customFormat="false" ht="15" hidden="false" customHeight="false" outlineLevel="0" collapsed="false">
      <c r="A448" s="20" t="n">
        <v>447</v>
      </c>
      <c r="B448" s="20" t="s">
        <v>1330</v>
      </c>
      <c r="C448" s="21" t="n">
        <v>42560</v>
      </c>
      <c r="D448" s="21" t="n">
        <v>42564</v>
      </c>
      <c r="E448" s="20" t="s">
        <v>71</v>
      </c>
      <c r="F448" s="20" t="s">
        <v>118</v>
      </c>
      <c r="G448" s="20" t="s">
        <v>119</v>
      </c>
      <c r="H448" s="20" t="s">
        <v>61</v>
      </c>
      <c r="I448" s="20" t="s">
        <v>62</v>
      </c>
      <c r="J448" s="20" t="s">
        <v>63</v>
      </c>
      <c r="K448" s="20" t="s">
        <v>909</v>
      </c>
      <c r="L448" s="20" t="n">
        <v>25177</v>
      </c>
      <c r="M448" s="20" t="s">
        <v>97</v>
      </c>
      <c r="N448" s="20" t="s">
        <v>1331</v>
      </c>
      <c r="O448" s="20" t="s">
        <v>114</v>
      </c>
      <c r="P448" s="20" t="s">
        <v>139</v>
      </c>
      <c r="Q448" s="20" t="s">
        <v>1332</v>
      </c>
      <c r="R448" s="22" t="n">
        <v>411.56</v>
      </c>
      <c r="S448" s="20" t="n">
        <v>7</v>
      </c>
      <c r="T448" s="20" t="n">
        <v>0.7</v>
      </c>
      <c r="U448" s="22" t="n">
        <v>-168.91</v>
      </c>
      <c r="V448" s="23" t="n">
        <f aca="false">IF(ISNUMBER(C448),YEAR(C448),"")</f>
        <v>2016</v>
      </c>
      <c r="W448" s="23" t="n">
        <f aca="false">IF(ISNUMBER(C448),MONTH(C448),"")</f>
        <v>7</v>
      </c>
      <c r="X448" s="23" t="str">
        <f aca="false">IF(T448="","",IF(T448=0,"No discount",IF(T448&lt;=0.2,"Low (1-20%)",IF(T448&lt;=0.4,"Medium (21-40%)","High (&gt;40%)"))))</f>
        <v>High (&gt;40%)</v>
      </c>
      <c r="Y448" s="23" t="n">
        <f aca="false">IF(AND(ISNUMBER(C448),ISNUMBER(D448)),D448-C448,"")</f>
        <v>4</v>
      </c>
      <c r="Z448" s="23" t="n">
        <f aca="false">IF(B448="","",IF(MATCH(B448,$B$2:$B$12000,0)=ROW()-1,1,0))</f>
        <v>1</v>
      </c>
    </row>
    <row r="449" customFormat="false" ht="15" hidden="false" customHeight="false" outlineLevel="0" collapsed="false">
      <c r="A449" s="20" t="n">
        <v>448</v>
      </c>
      <c r="B449" s="20" t="s">
        <v>1333</v>
      </c>
      <c r="C449" s="21" t="n">
        <v>42571</v>
      </c>
      <c r="D449" s="21" t="n">
        <v>42574</v>
      </c>
      <c r="E449" s="20" t="s">
        <v>90</v>
      </c>
      <c r="F449" s="20" t="s">
        <v>286</v>
      </c>
      <c r="G449" s="20" t="s">
        <v>287</v>
      </c>
      <c r="H449" s="20" t="s">
        <v>61</v>
      </c>
      <c r="I449" s="20" t="s">
        <v>62</v>
      </c>
      <c r="J449" s="20" t="s">
        <v>63</v>
      </c>
      <c r="K449" s="20" t="s">
        <v>111</v>
      </c>
      <c r="L449" s="20" t="n">
        <v>42441</v>
      </c>
      <c r="M449" s="20" t="s">
        <v>112</v>
      </c>
      <c r="N449" s="20" t="s">
        <v>1334</v>
      </c>
      <c r="O449" s="20" t="s">
        <v>114</v>
      </c>
      <c r="P449" s="20" t="s">
        <v>167</v>
      </c>
      <c r="Q449" s="20" t="s">
        <v>1335</v>
      </c>
      <c r="R449" s="22" t="n">
        <v>1266.08</v>
      </c>
      <c r="S449" s="20" t="n">
        <v>5</v>
      </c>
      <c r="T449" s="20" t="n">
        <v>0.7</v>
      </c>
      <c r="U449" s="22" t="n">
        <v>-745.91</v>
      </c>
      <c r="V449" s="23" t="n">
        <f aca="false">IF(ISNUMBER(C449),YEAR(C449),"")</f>
        <v>2016</v>
      </c>
      <c r="W449" s="23" t="n">
        <f aca="false">IF(ISNUMBER(C449),MONTH(C449),"")</f>
        <v>7</v>
      </c>
      <c r="X449" s="23" t="str">
        <f aca="false">IF(T449="","",IF(T449=0,"No discount",IF(T449&lt;=0.2,"Low (1-20%)",IF(T449&lt;=0.4,"Medium (21-40%)","High (&gt;40%)"))))</f>
        <v>High (&gt;40%)</v>
      </c>
      <c r="Y449" s="23" t="n">
        <f aca="false">IF(AND(ISNUMBER(C449),ISNUMBER(D449)),D449-C449,"")</f>
        <v>3</v>
      </c>
      <c r="Z449" s="23" t="n">
        <f aca="false">IF(B449="","",IF(MATCH(B449,$B$2:$B$12000,0)=ROW()-1,1,0))</f>
        <v>1</v>
      </c>
    </row>
    <row r="450" customFormat="false" ht="15" hidden="false" customHeight="false" outlineLevel="0" collapsed="false">
      <c r="A450" s="20" t="n">
        <v>449</v>
      </c>
      <c r="B450" s="20" t="s">
        <v>1333</v>
      </c>
      <c r="C450" s="21" t="n">
        <v>42571</v>
      </c>
      <c r="D450" s="21" t="n">
        <v>42574</v>
      </c>
      <c r="E450" s="20" t="s">
        <v>58</v>
      </c>
      <c r="F450" s="20" t="s">
        <v>286</v>
      </c>
      <c r="G450" s="20" t="s">
        <v>287</v>
      </c>
      <c r="H450" s="20" t="s">
        <v>61</v>
      </c>
      <c r="I450" s="20" t="s">
        <v>62</v>
      </c>
      <c r="J450" s="20" t="s">
        <v>63</v>
      </c>
      <c r="K450" s="20" t="s">
        <v>111</v>
      </c>
      <c r="L450" s="20" t="n">
        <v>84282</v>
      </c>
      <c r="M450" s="20" t="s">
        <v>112</v>
      </c>
      <c r="N450" s="20" t="s">
        <v>1336</v>
      </c>
      <c r="O450" s="20" t="s">
        <v>76</v>
      </c>
      <c r="P450" s="20" t="s">
        <v>77</v>
      </c>
      <c r="Q450" s="20" t="s">
        <v>1337</v>
      </c>
      <c r="R450" s="22" t="n">
        <v>70.3</v>
      </c>
      <c r="S450" s="20" t="n">
        <v>5</v>
      </c>
      <c r="T450" s="20" t="n">
        <v>0.7</v>
      </c>
      <c r="U450" s="22" t="n">
        <v>-14.3</v>
      </c>
      <c r="V450" s="23" t="n">
        <f aca="false">IF(ISNUMBER(C450),YEAR(C450),"")</f>
        <v>2016</v>
      </c>
      <c r="W450" s="23" t="n">
        <f aca="false">IF(ISNUMBER(C450),MONTH(C450),"")</f>
        <v>7</v>
      </c>
      <c r="X450" s="23" t="str">
        <f aca="false">IF(T450="","",IF(T450=0,"No discount",IF(T450&lt;=0.2,"Low (1-20%)",IF(T450&lt;=0.4,"Medium (21-40%)","High (&gt;40%)"))))</f>
        <v>High (&gt;40%)</v>
      </c>
      <c r="Y450" s="23" t="n">
        <f aca="false">IF(AND(ISNUMBER(C450),ISNUMBER(D450)),D450-C450,"")</f>
        <v>3</v>
      </c>
      <c r="Z450" s="23" t="n">
        <f aca="false">IF(B450="","",IF(MATCH(B450,$B$2:$B$12000,0)=ROW()-1,1,0))</f>
        <v>0</v>
      </c>
    </row>
    <row r="451" customFormat="false" ht="15" hidden="false" customHeight="false" outlineLevel="0" collapsed="false">
      <c r="A451" s="20" t="n">
        <v>450</v>
      </c>
      <c r="B451" s="20" t="s">
        <v>1333</v>
      </c>
      <c r="C451" s="21" t="n">
        <v>42571</v>
      </c>
      <c r="D451" s="21" t="n">
        <v>42574</v>
      </c>
      <c r="E451" s="20" t="s">
        <v>58</v>
      </c>
      <c r="F451" s="20" t="s">
        <v>286</v>
      </c>
      <c r="G451" s="20" t="s">
        <v>287</v>
      </c>
      <c r="H451" s="20" t="s">
        <v>61</v>
      </c>
      <c r="I451" s="20" t="s">
        <v>62</v>
      </c>
      <c r="J451" s="20" t="s">
        <v>63</v>
      </c>
      <c r="K451" s="20" t="s">
        <v>111</v>
      </c>
      <c r="L451" s="20" t="n">
        <v>91696</v>
      </c>
      <c r="M451" s="20" t="s">
        <v>112</v>
      </c>
      <c r="N451" s="20" t="s">
        <v>1338</v>
      </c>
      <c r="O451" s="20" t="s">
        <v>76</v>
      </c>
      <c r="P451" s="20" t="s">
        <v>88</v>
      </c>
      <c r="Q451" s="20" t="s">
        <v>1339</v>
      </c>
      <c r="R451" s="22" t="n">
        <v>2179.99</v>
      </c>
      <c r="S451" s="20" t="n">
        <v>7</v>
      </c>
      <c r="T451" s="20" t="n">
        <v>0.3</v>
      </c>
      <c r="U451" s="22" t="n">
        <v>-130.83</v>
      </c>
      <c r="V451" s="23" t="n">
        <f aca="false">IF(ISNUMBER(C451),YEAR(C451),"")</f>
        <v>2016</v>
      </c>
      <c r="W451" s="23" t="n">
        <f aca="false">IF(ISNUMBER(C451),MONTH(C451),"")</f>
        <v>7</v>
      </c>
      <c r="X451" s="23" t="str">
        <f aca="false">IF(T451="","",IF(T451=0,"No discount",IF(T451&lt;=0.2,"Low (1-20%)",IF(T451&lt;=0.4,"Medium (21-40%)","High (&gt;40%)"))))</f>
        <v>Medium (21-40%)</v>
      </c>
      <c r="Y451" s="23" t="n">
        <f aca="false">IF(AND(ISNUMBER(C451),ISNUMBER(D451)),D451-C451,"")</f>
        <v>3</v>
      </c>
      <c r="Z451" s="23" t="n">
        <f aca="false">IF(B451="","",IF(MATCH(B451,$B$2:$B$12000,0)=ROW()-1,1,0))</f>
        <v>0</v>
      </c>
    </row>
    <row r="452" customFormat="false" ht="15" hidden="false" customHeight="false" outlineLevel="0" collapsed="false">
      <c r="A452" s="20" t="n">
        <v>451</v>
      </c>
      <c r="B452" s="20" t="s">
        <v>1340</v>
      </c>
      <c r="C452" s="21" t="n">
        <v>42577</v>
      </c>
      <c r="D452" s="21" t="n">
        <v>42578</v>
      </c>
      <c r="E452" s="20" t="s">
        <v>58</v>
      </c>
      <c r="F452" s="20" t="s">
        <v>239</v>
      </c>
      <c r="G452" s="20" t="s">
        <v>240</v>
      </c>
      <c r="H452" s="20" t="s">
        <v>61</v>
      </c>
      <c r="I452" s="20" t="s">
        <v>62</v>
      </c>
      <c r="J452" s="20" t="s">
        <v>63</v>
      </c>
      <c r="K452" s="20" t="s">
        <v>518</v>
      </c>
      <c r="L452" s="20" t="n">
        <v>14048</v>
      </c>
      <c r="M452" s="20" t="s">
        <v>153</v>
      </c>
      <c r="N452" s="20" t="s">
        <v>1341</v>
      </c>
      <c r="O452" s="20" t="s">
        <v>76</v>
      </c>
      <c r="P452" s="20" t="s">
        <v>88</v>
      </c>
      <c r="Q452" s="20" t="s">
        <v>1342</v>
      </c>
      <c r="R452" s="22" t="n">
        <v>872.55</v>
      </c>
      <c r="S452" s="20" t="n">
        <v>3</v>
      </c>
      <c r="T452" s="20" t="n">
        <v>0.2</v>
      </c>
      <c r="U452" s="22" t="n">
        <v>3.76</v>
      </c>
      <c r="V452" s="23" t="n">
        <f aca="false">IF(ISNUMBER(C452),YEAR(C452),"")</f>
        <v>2016</v>
      </c>
      <c r="W452" s="23" t="n">
        <f aca="false">IF(ISNUMBER(C452),MONTH(C452),"")</f>
        <v>7</v>
      </c>
      <c r="X452" s="23" t="str">
        <f aca="false">IF(T452="","",IF(T452=0,"No discount",IF(T452&lt;=0.2,"Low (1-20%)",IF(T452&lt;=0.4,"Medium (21-40%)","High (&gt;40%)"))))</f>
        <v>Low (1-20%)</v>
      </c>
      <c r="Y452" s="23" t="n">
        <f aca="false">IF(AND(ISNUMBER(C452),ISNUMBER(D452)),D452-C452,"")</f>
        <v>1</v>
      </c>
      <c r="Z452" s="23" t="n">
        <f aca="false">IF(B452="","",IF(MATCH(B452,$B$2:$B$12000,0)=ROW()-1,1,0))</f>
        <v>1</v>
      </c>
    </row>
    <row r="453" customFormat="false" ht="15" hidden="false" customHeight="false" outlineLevel="0" collapsed="false">
      <c r="A453" s="20" t="n">
        <v>452</v>
      </c>
      <c r="B453" s="20" t="s">
        <v>1343</v>
      </c>
      <c r="C453" s="21" t="n">
        <v>42584</v>
      </c>
      <c r="D453" s="21" t="n">
        <v>42588</v>
      </c>
      <c r="E453" s="20" t="s">
        <v>71</v>
      </c>
      <c r="F453" s="20" t="s">
        <v>223</v>
      </c>
      <c r="G453" s="20" t="s">
        <v>224</v>
      </c>
      <c r="H453" s="20" t="s">
        <v>61</v>
      </c>
      <c r="I453" s="20" t="s">
        <v>62</v>
      </c>
      <c r="J453" s="20" t="s">
        <v>63</v>
      </c>
      <c r="K453" s="20" t="s">
        <v>647</v>
      </c>
      <c r="L453" s="20" t="n">
        <v>42401</v>
      </c>
      <c r="M453" s="20" t="s">
        <v>97</v>
      </c>
      <c r="N453" s="20" t="s">
        <v>1344</v>
      </c>
      <c r="O453" s="20" t="s">
        <v>76</v>
      </c>
      <c r="P453" s="20" t="s">
        <v>178</v>
      </c>
      <c r="Q453" s="20" t="s">
        <v>1345</v>
      </c>
      <c r="R453" s="22" t="n">
        <v>364.42</v>
      </c>
      <c r="S453" s="20" t="n">
        <v>6</v>
      </c>
      <c r="T453" s="20" t="n">
        <v>0.5</v>
      </c>
      <c r="U453" s="22" t="n">
        <v>-138.9</v>
      </c>
      <c r="V453" s="23" t="n">
        <f aca="false">IF(ISNUMBER(C453),YEAR(C453),"")</f>
        <v>2016</v>
      </c>
      <c r="W453" s="23" t="n">
        <f aca="false">IF(ISNUMBER(C453),MONTH(C453),"")</f>
        <v>8</v>
      </c>
      <c r="X453" s="23" t="str">
        <f aca="false">IF(T453="","",IF(T453=0,"No discount",IF(T453&lt;=0.2,"Low (1-20%)",IF(T453&lt;=0.4,"Medium (21-40%)","High (&gt;40%)"))))</f>
        <v>High (&gt;40%)</v>
      </c>
      <c r="Y453" s="23" t="n">
        <f aca="false">IF(AND(ISNUMBER(C453),ISNUMBER(D453)),D453-C453,"")</f>
        <v>4</v>
      </c>
      <c r="Z453" s="23" t="n">
        <f aca="false">IF(B453="","",IF(MATCH(B453,$B$2:$B$12000,0)=ROW()-1,1,0))</f>
        <v>1</v>
      </c>
    </row>
    <row r="454" customFormat="false" ht="15" hidden="false" customHeight="false" outlineLevel="0" collapsed="false">
      <c r="A454" s="20" t="n">
        <v>453</v>
      </c>
      <c r="B454" s="20" t="s">
        <v>1346</v>
      </c>
      <c r="C454" s="21" t="n">
        <v>42592</v>
      </c>
      <c r="D454" s="21" t="n">
        <v>42595</v>
      </c>
      <c r="E454" s="20" t="s">
        <v>104</v>
      </c>
      <c r="F454" s="20" t="s">
        <v>677</v>
      </c>
      <c r="G454" s="20" t="s">
        <v>678</v>
      </c>
      <c r="H454" s="20" t="s">
        <v>61</v>
      </c>
      <c r="I454" s="20" t="s">
        <v>62</v>
      </c>
      <c r="J454" s="20" t="s">
        <v>63</v>
      </c>
      <c r="K454" s="20" t="s">
        <v>360</v>
      </c>
      <c r="L454" s="20" t="n">
        <v>74626</v>
      </c>
      <c r="M454" s="20" t="s">
        <v>112</v>
      </c>
      <c r="N454" s="20" t="s">
        <v>1347</v>
      </c>
      <c r="O454" s="20" t="s">
        <v>114</v>
      </c>
      <c r="P454" s="20" t="s">
        <v>167</v>
      </c>
      <c r="Q454" s="20" t="s">
        <v>1348</v>
      </c>
      <c r="R454" s="22" t="n">
        <v>1572.22</v>
      </c>
      <c r="S454" s="20" t="n">
        <v>3</v>
      </c>
      <c r="T454" s="20" t="n">
        <v>0.4</v>
      </c>
      <c r="U454" s="22" t="n">
        <v>-521.42</v>
      </c>
      <c r="V454" s="23" t="n">
        <f aca="false">IF(ISNUMBER(C454),YEAR(C454),"")</f>
        <v>2016</v>
      </c>
      <c r="W454" s="23" t="n">
        <f aca="false">IF(ISNUMBER(C454),MONTH(C454),"")</f>
        <v>8</v>
      </c>
      <c r="X454" s="23" t="str">
        <f aca="false">IF(T454="","",IF(T454=0,"No discount",IF(T454&lt;=0.2,"Low (1-20%)",IF(T454&lt;=0.4,"Medium (21-40%)","High (&gt;40%)"))))</f>
        <v>Medium (21-40%)</v>
      </c>
      <c r="Y454" s="23" t="n">
        <f aca="false">IF(AND(ISNUMBER(C454),ISNUMBER(D454)),D454-C454,"")</f>
        <v>3</v>
      </c>
      <c r="Z454" s="23" t="n">
        <f aca="false">IF(B454="","",IF(MATCH(B454,$B$2:$B$12000,0)=ROW()-1,1,0))</f>
        <v>1</v>
      </c>
    </row>
    <row r="455" customFormat="false" ht="15" hidden="false" customHeight="false" outlineLevel="0" collapsed="false">
      <c r="A455" s="20" t="n">
        <v>454</v>
      </c>
      <c r="B455" s="20" t="s">
        <v>1346</v>
      </c>
      <c r="C455" s="21" t="n">
        <v>42592</v>
      </c>
      <c r="D455" s="21" t="n">
        <v>42595</v>
      </c>
      <c r="E455" s="20" t="s">
        <v>71</v>
      </c>
      <c r="F455" s="20" t="s">
        <v>677</v>
      </c>
      <c r="G455" s="20" t="s">
        <v>678</v>
      </c>
      <c r="H455" s="20" t="s">
        <v>61</v>
      </c>
      <c r="I455" s="20" t="s">
        <v>62</v>
      </c>
      <c r="J455" s="20" t="s">
        <v>63</v>
      </c>
      <c r="K455" s="20" t="s">
        <v>360</v>
      </c>
      <c r="L455" s="20" t="n">
        <v>52783</v>
      </c>
      <c r="M455" s="20" t="s">
        <v>112</v>
      </c>
      <c r="N455" s="20" t="s">
        <v>1349</v>
      </c>
      <c r="O455" s="20" t="s">
        <v>114</v>
      </c>
      <c r="P455" s="20" t="s">
        <v>139</v>
      </c>
      <c r="Q455" s="20" t="s">
        <v>665</v>
      </c>
      <c r="R455" s="22" t="n">
        <v>1918.19</v>
      </c>
      <c r="S455" s="20" t="n">
        <v>7</v>
      </c>
      <c r="T455" s="20" t="n">
        <v>0.4</v>
      </c>
      <c r="U455" s="22" t="n">
        <v>-332.44</v>
      </c>
      <c r="V455" s="23" t="n">
        <f aca="false">IF(ISNUMBER(C455),YEAR(C455),"")</f>
        <v>2016</v>
      </c>
      <c r="W455" s="23" t="n">
        <f aca="false">IF(ISNUMBER(C455),MONTH(C455),"")</f>
        <v>8</v>
      </c>
      <c r="X455" s="23" t="str">
        <f aca="false">IF(T455="","",IF(T455=0,"No discount",IF(T455&lt;=0.2,"Low (1-20%)",IF(T455&lt;=0.4,"Medium (21-40%)","High (&gt;40%)"))))</f>
        <v>Medium (21-40%)</v>
      </c>
      <c r="Y455" s="23" t="n">
        <f aca="false">IF(AND(ISNUMBER(C455),ISNUMBER(D455)),D455-C455,"")</f>
        <v>3</v>
      </c>
      <c r="Z455" s="23" t="n">
        <f aca="false">IF(B455="","",IF(MATCH(B455,$B$2:$B$12000,0)=ROW()-1,1,0))</f>
        <v>0</v>
      </c>
    </row>
    <row r="456" customFormat="false" ht="15" hidden="false" customHeight="false" outlineLevel="0" collapsed="false">
      <c r="A456" s="20" t="n">
        <v>455</v>
      </c>
      <c r="B456" s="20" t="s">
        <v>1350</v>
      </c>
      <c r="C456" s="21" t="n">
        <v>42596</v>
      </c>
      <c r="D456" s="21" t="n">
        <v>42598</v>
      </c>
      <c r="E456" s="20" t="s">
        <v>71</v>
      </c>
      <c r="F456" s="20" t="s">
        <v>181</v>
      </c>
      <c r="G456" s="20" t="s">
        <v>182</v>
      </c>
      <c r="H456" s="20" t="s">
        <v>61</v>
      </c>
      <c r="I456" s="20" t="s">
        <v>62</v>
      </c>
      <c r="J456" s="20" t="s">
        <v>63</v>
      </c>
      <c r="K456" s="20" t="s">
        <v>360</v>
      </c>
      <c r="L456" s="20" t="n">
        <v>38412</v>
      </c>
      <c r="M456" s="20" t="s">
        <v>112</v>
      </c>
      <c r="N456" s="20" t="s">
        <v>1351</v>
      </c>
      <c r="O456" s="20" t="s">
        <v>67</v>
      </c>
      <c r="P456" s="20" t="s">
        <v>157</v>
      </c>
      <c r="Q456" s="20" t="s">
        <v>994</v>
      </c>
      <c r="R456" s="22" t="n">
        <v>184.45</v>
      </c>
      <c r="S456" s="20" t="n">
        <v>2</v>
      </c>
      <c r="T456" s="20" t="n">
        <v>0.3</v>
      </c>
      <c r="U456" s="22" t="n">
        <v>23.54</v>
      </c>
      <c r="V456" s="23" t="n">
        <f aca="false">IF(ISNUMBER(C456),YEAR(C456),"")</f>
        <v>2016</v>
      </c>
      <c r="W456" s="23" t="n">
        <f aca="false">IF(ISNUMBER(C456),MONTH(C456),"")</f>
        <v>8</v>
      </c>
      <c r="X456" s="23" t="str">
        <f aca="false">IF(T456="","",IF(T456=0,"No discount",IF(T456&lt;=0.2,"Low (1-20%)",IF(T456&lt;=0.4,"Medium (21-40%)","High (&gt;40%)"))))</f>
        <v>Medium (21-40%)</v>
      </c>
      <c r="Y456" s="23" t="n">
        <f aca="false">IF(AND(ISNUMBER(C456),ISNUMBER(D456)),D456-C456,"")</f>
        <v>2</v>
      </c>
      <c r="Z456" s="23" t="n">
        <f aca="false">IF(B456="","",IF(MATCH(B456,$B$2:$B$12000,0)=ROW()-1,1,0))</f>
        <v>1</v>
      </c>
    </row>
    <row r="457" customFormat="false" ht="15" hidden="false" customHeight="false" outlineLevel="0" collapsed="false">
      <c r="A457" s="20" t="n">
        <v>456</v>
      </c>
      <c r="B457" s="20" t="s">
        <v>1350</v>
      </c>
      <c r="C457" s="21" t="n">
        <v>42596</v>
      </c>
      <c r="D457" s="21" t="n">
        <v>42598</v>
      </c>
      <c r="E457" s="20" t="s">
        <v>58</v>
      </c>
      <c r="F457" s="20" t="s">
        <v>181</v>
      </c>
      <c r="G457" s="20" t="s">
        <v>182</v>
      </c>
      <c r="H457" s="20" t="s">
        <v>61</v>
      </c>
      <c r="I457" s="20" t="s">
        <v>62</v>
      </c>
      <c r="J457" s="20" t="s">
        <v>63</v>
      </c>
      <c r="K457" s="20" t="s">
        <v>360</v>
      </c>
      <c r="L457" s="20" t="n">
        <v>67413</v>
      </c>
      <c r="M457" s="20" t="s">
        <v>112</v>
      </c>
      <c r="N457" s="20" t="s">
        <v>1352</v>
      </c>
      <c r="O457" s="20" t="s">
        <v>114</v>
      </c>
      <c r="P457" s="20" t="s">
        <v>139</v>
      </c>
      <c r="Q457" s="20" t="s">
        <v>1353</v>
      </c>
      <c r="R457" s="22" t="n">
        <v>174.52</v>
      </c>
      <c r="S457" s="20" t="n">
        <v>1</v>
      </c>
      <c r="T457" s="20" t="n">
        <v>0.1</v>
      </c>
      <c r="U457" s="22" t="n">
        <v>5.68</v>
      </c>
      <c r="V457" s="23" t="n">
        <f aca="false">IF(ISNUMBER(C457),YEAR(C457),"")</f>
        <v>2016</v>
      </c>
      <c r="W457" s="23" t="n">
        <f aca="false">IF(ISNUMBER(C457),MONTH(C457),"")</f>
        <v>8</v>
      </c>
      <c r="X457" s="23" t="str">
        <f aca="false">IF(T457="","",IF(T457=0,"No discount",IF(T457&lt;=0.2,"Low (1-20%)",IF(T457&lt;=0.4,"Medium (21-40%)","High (&gt;40%)"))))</f>
        <v>Low (1-20%)</v>
      </c>
      <c r="Y457" s="23" t="n">
        <f aca="false">IF(AND(ISNUMBER(C457),ISNUMBER(D457)),D457-C457,"")</f>
        <v>2</v>
      </c>
      <c r="Z457" s="23" t="n">
        <f aca="false">IF(B457="","",IF(MATCH(B457,$B$2:$B$12000,0)=ROW()-1,1,0))</f>
        <v>0</v>
      </c>
    </row>
    <row r="458" customFormat="false" ht="15" hidden="false" customHeight="false" outlineLevel="0" collapsed="false">
      <c r="A458" s="20" t="n">
        <v>457</v>
      </c>
      <c r="B458" s="20" t="s">
        <v>1354</v>
      </c>
      <c r="C458" s="21" t="n">
        <v>42596</v>
      </c>
      <c r="D458" s="21" t="n">
        <v>42598</v>
      </c>
      <c r="E458" s="20" t="s">
        <v>58</v>
      </c>
      <c r="F458" s="20" t="s">
        <v>144</v>
      </c>
      <c r="G458" s="20" t="s">
        <v>145</v>
      </c>
      <c r="H458" s="20" t="s">
        <v>85</v>
      </c>
      <c r="I458" s="20" t="s">
        <v>62</v>
      </c>
      <c r="J458" s="20" t="s">
        <v>63</v>
      </c>
      <c r="K458" s="20" t="s">
        <v>800</v>
      </c>
      <c r="L458" s="20" t="n">
        <v>27739</v>
      </c>
      <c r="M458" s="20" t="s">
        <v>65</v>
      </c>
      <c r="N458" s="20" t="s">
        <v>1355</v>
      </c>
      <c r="O458" s="20" t="s">
        <v>76</v>
      </c>
      <c r="P458" s="20" t="s">
        <v>236</v>
      </c>
      <c r="Q458" s="20" t="s">
        <v>1356</v>
      </c>
      <c r="R458" s="22" t="n">
        <v>42.76</v>
      </c>
      <c r="S458" s="20" t="n">
        <v>3</v>
      </c>
      <c r="T458" s="20" t="n">
        <v>0.7</v>
      </c>
      <c r="U458" s="22" t="n">
        <v>-1.97</v>
      </c>
      <c r="V458" s="23" t="n">
        <f aca="false">IF(ISNUMBER(C458),YEAR(C458),"")</f>
        <v>2016</v>
      </c>
      <c r="W458" s="23" t="n">
        <f aca="false">IF(ISNUMBER(C458),MONTH(C458),"")</f>
        <v>8</v>
      </c>
      <c r="X458" s="23" t="str">
        <f aca="false">IF(T458="","",IF(T458=0,"No discount",IF(T458&lt;=0.2,"Low (1-20%)",IF(T458&lt;=0.4,"Medium (21-40%)","High (&gt;40%)"))))</f>
        <v>High (&gt;40%)</v>
      </c>
      <c r="Y458" s="23" t="n">
        <f aca="false">IF(AND(ISNUMBER(C458),ISNUMBER(D458)),D458-C458,"")</f>
        <v>2</v>
      </c>
      <c r="Z458" s="23" t="n">
        <f aca="false">IF(B458="","",IF(MATCH(B458,$B$2:$B$12000,0)=ROW()-1,1,0))</f>
        <v>1</v>
      </c>
    </row>
    <row r="459" customFormat="false" ht="15" hidden="false" customHeight="false" outlineLevel="0" collapsed="false">
      <c r="A459" s="20" t="n">
        <v>458</v>
      </c>
      <c r="B459" s="20" t="s">
        <v>1357</v>
      </c>
      <c r="C459" s="21" t="n">
        <v>42597</v>
      </c>
      <c r="D459" s="21" t="n">
        <v>42603</v>
      </c>
      <c r="E459" s="20" t="s">
        <v>104</v>
      </c>
      <c r="F459" s="20" t="s">
        <v>223</v>
      </c>
      <c r="G459" s="20" t="s">
        <v>224</v>
      </c>
      <c r="H459" s="20" t="s">
        <v>61</v>
      </c>
      <c r="I459" s="20" t="s">
        <v>62</v>
      </c>
      <c r="J459" s="20" t="s">
        <v>63</v>
      </c>
      <c r="K459" s="20" t="s">
        <v>225</v>
      </c>
      <c r="L459" s="20" t="n">
        <v>52341</v>
      </c>
      <c r="M459" s="20" t="s">
        <v>65</v>
      </c>
      <c r="N459" s="20" t="s">
        <v>1358</v>
      </c>
      <c r="O459" s="20" t="s">
        <v>114</v>
      </c>
      <c r="P459" s="20" t="s">
        <v>139</v>
      </c>
      <c r="Q459" s="20" t="s">
        <v>406</v>
      </c>
      <c r="R459" s="22" t="n">
        <v>1781.45</v>
      </c>
      <c r="S459" s="20" t="n">
        <v>4</v>
      </c>
      <c r="T459" s="20" t="n">
        <v>0.1</v>
      </c>
      <c r="U459" s="22" t="n">
        <v>-4.31</v>
      </c>
      <c r="V459" s="23" t="n">
        <f aca="false">IF(ISNUMBER(C459),YEAR(C459),"")</f>
        <v>2016</v>
      </c>
      <c r="W459" s="23" t="n">
        <f aca="false">IF(ISNUMBER(C459),MONTH(C459),"")</f>
        <v>8</v>
      </c>
      <c r="X459" s="23" t="str">
        <f aca="false">IF(T459="","",IF(T459=0,"No discount",IF(T459&lt;=0.2,"Low (1-20%)",IF(T459&lt;=0.4,"Medium (21-40%)","High (&gt;40%)"))))</f>
        <v>Low (1-20%)</v>
      </c>
      <c r="Y459" s="23" t="n">
        <f aca="false">IF(AND(ISNUMBER(C459),ISNUMBER(D459)),D459-C459,"")</f>
        <v>6</v>
      </c>
      <c r="Z459" s="23" t="n">
        <f aca="false">IF(B459="","",IF(MATCH(B459,$B$2:$B$12000,0)=ROW()-1,1,0))</f>
        <v>1</v>
      </c>
    </row>
    <row r="460" customFormat="false" ht="15" hidden="false" customHeight="false" outlineLevel="0" collapsed="false">
      <c r="A460" s="20" t="n">
        <v>459</v>
      </c>
      <c r="B460" s="20" t="s">
        <v>1357</v>
      </c>
      <c r="C460" s="21" t="n">
        <v>42597</v>
      </c>
      <c r="D460" s="21" t="n">
        <v>42603</v>
      </c>
      <c r="E460" s="20" t="s">
        <v>58</v>
      </c>
      <c r="F460" s="20" t="s">
        <v>223</v>
      </c>
      <c r="G460" s="20" t="s">
        <v>224</v>
      </c>
      <c r="H460" s="20" t="s">
        <v>61</v>
      </c>
      <c r="I460" s="20" t="s">
        <v>62</v>
      </c>
      <c r="J460" s="20" t="s">
        <v>63</v>
      </c>
      <c r="K460" s="20" t="s">
        <v>225</v>
      </c>
      <c r="L460" s="20" t="n">
        <v>37180</v>
      </c>
      <c r="M460" s="20" t="s">
        <v>65</v>
      </c>
      <c r="N460" s="20" t="s">
        <v>1359</v>
      </c>
      <c r="O460" s="20" t="s">
        <v>76</v>
      </c>
      <c r="P460" s="20" t="s">
        <v>128</v>
      </c>
      <c r="Q460" s="20" t="s">
        <v>617</v>
      </c>
      <c r="R460" s="22" t="n">
        <v>95.25</v>
      </c>
      <c r="S460" s="20" t="n">
        <v>3</v>
      </c>
      <c r="T460" s="20" t="n">
        <v>0.3</v>
      </c>
      <c r="U460" s="22" t="n">
        <v>-13.33</v>
      </c>
      <c r="V460" s="23" t="n">
        <f aca="false">IF(ISNUMBER(C460),YEAR(C460),"")</f>
        <v>2016</v>
      </c>
      <c r="W460" s="23" t="n">
        <f aca="false">IF(ISNUMBER(C460),MONTH(C460),"")</f>
        <v>8</v>
      </c>
      <c r="X460" s="23" t="str">
        <f aca="false">IF(T460="","",IF(T460=0,"No discount",IF(T460&lt;=0.2,"Low (1-20%)",IF(T460&lt;=0.4,"Medium (21-40%)","High (&gt;40%)"))))</f>
        <v>Medium (21-40%)</v>
      </c>
      <c r="Y460" s="23" t="n">
        <f aca="false">IF(AND(ISNUMBER(C460),ISNUMBER(D460)),D460-C460,"")</f>
        <v>6</v>
      </c>
      <c r="Z460" s="23" t="n">
        <f aca="false">IF(B460="","",IF(MATCH(B460,$B$2:$B$12000,0)=ROW()-1,1,0))</f>
        <v>0</v>
      </c>
    </row>
    <row r="461" customFormat="false" ht="15" hidden="false" customHeight="false" outlineLevel="0" collapsed="false">
      <c r="A461" s="20" t="n">
        <v>460</v>
      </c>
      <c r="B461" s="20" t="s">
        <v>1357</v>
      </c>
      <c r="C461" s="21" t="n">
        <v>42597</v>
      </c>
      <c r="D461" s="21" t="n">
        <v>42603</v>
      </c>
      <c r="E461" s="20" t="s">
        <v>71</v>
      </c>
      <c r="F461" s="20" t="s">
        <v>223</v>
      </c>
      <c r="G461" s="20" t="s">
        <v>224</v>
      </c>
      <c r="H461" s="20" t="s">
        <v>61</v>
      </c>
      <c r="I461" s="20" t="s">
        <v>62</v>
      </c>
      <c r="J461" s="20" t="s">
        <v>63</v>
      </c>
      <c r="K461" s="20" t="s">
        <v>225</v>
      </c>
      <c r="L461" s="20" t="n">
        <v>63633</v>
      </c>
      <c r="M461" s="20" t="s">
        <v>65</v>
      </c>
      <c r="N461" s="20" t="s">
        <v>1360</v>
      </c>
      <c r="O461" s="20" t="s">
        <v>114</v>
      </c>
      <c r="P461" s="20" t="s">
        <v>167</v>
      </c>
      <c r="Q461" s="20" t="s">
        <v>1361</v>
      </c>
      <c r="R461" s="22" t="n">
        <v>745.59</v>
      </c>
      <c r="S461" s="20" t="n">
        <v>2</v>
      </c>
      <c r="T461" s="20" t="n">
        <v>0</v>
      </c>
      <c r="U461" s="22" t="n">
        <v>2.72</v>
      </c>
      <c r="V461" s="23" t="n">
        <f aca="false">IF(ISNUMBER(C461),YEAR(C461),"")</f>
        <v>2016</v>
      </c>
      <c r="W461" s="23" t="n">
        <f aca="false">IF(ISNUMBER(C461),MONTH(C461),"")</f>
        <v>8</v>
      </c>
      <c r="X461" s="23" t="str">
        <f aca="false">IF(T461="","",IF(T461=0,"No discount",IF(T461&lt;=0.2,"Low (1-20%)",IF(T461&lt;=0.4,"Medium (21-40%)","High (&gt;40%)"))))</f>
        <v>No discount</v>
      </c>
      <c r="Y461" s="23" t="n">
        <f aca="false">IF(AND(ISNUMBER(C461),ISNUMBER(D461)),D461-C461,"")</f>
        <v>6</v>
      </c>
      <c r="Z461" s="23" t="n">
        <f aca="false">IF(B461="","",IF(MATCH(B461,$B$2:$B$12000,0)=ROW()-1,1,0))</f>
        <v>0</v>
      </c>
    </row>
    <row r="462" customFormat="false" ht="15" hidden="false" customHeight="false" outlineLevel="0" collapsed="false">
      <c r="A462" s="20" t="n">
        <v>461</v>
      </c>
      <c r="B462" s="20" t="s">
        <v>1362</v>
      </c>
      <c r="C462" s="21" t="n">
        <v>42599</v>
      </c>
      <c r="D462" s="21" t="n">
        <v>42602</v>
      </c>
      <c r="E462" s="20" t="s">
        <v>90</v>
      </c>
      <c r="F462" s="20" t="s">
        <v>767</v>
      </c>
      <c r="G462" s="20" t="s">
        <v>768</v>
      </c>
      <c r="H462" s="20" t="s">
        <v>61</v>
      </c>
      <c r="I462" s="20" t="s">
        <v>62</v>
      </c>
      <c r="J462" s="20" t="s">
        <v>63</v>
      </c>
      <c r="K462" s="20" t="s">
        <v>152</v>
      </c>
      <c r="L462" s="20" t="n">
        <v>18782</v>
      </c>
      <c r="M462" s="20" t="s">
        <v>153</v>
      </c>
      <c r="N462" s="20" t="s">
        <v>1363</v>
      </c>
      <c r="O462" s="20" t="s">
        <v>114</v>
      </c>
      <c r="P462" s="20" t="s">
        <v>167</v>
      </c>
      <c r="Q462" s="20" t="s">
        <v>1364</v>
      </c>
      <c r="R462" s="22" t="n">
        <v>2403.28</v>
      </c>
      <c r="S462" s="20" t="n">
        <v>6</v>
      </c>
      <c r="T462" s="20" t="n">
        <v>0.3</v>
      </c>
      <c r="U462" s="22" t="n">
        <v>-644.45</v>
      </c>
      <c r="V462" s="23" t="n">
        <f aca="false">IF(ISNUMBER(C462),YEAR(C462),"")</f>
        <v>2016</v>
      </c>
      <c r="W462" s="23" t="n">
        <f aca="false">IF(ISNUMBER(C462),MONTH(C462),"")</f>
        <v>8</v>
      </c>
      <c r="X462" s="23" t="str">
        <f aca="false">IF(T462="","",IF(T462=0,"No discount",IF(T462&lt;=0.2,"Low (1-20%)",IF(T462&lt;=0.4,"Medium (21-40%)","High (&gt;40%)"))))</f>
        <v>Medium (21-40%)</v>
      </c>
      <c r="Y462" s="23" t="n">
        <f aca="false">IF(AND(ISNUMBER(C462),ISNUMBER(D462)),D462-C462,"")</f>
        <v>3</v>
      </c>
      <c r="Z462" s="23" t="n">
        <f aca="false">IF(B462="","",IF(MATCH(B462,$B$2:$B$12000,0)=ROW()-1,1,0))</f>
        <v>1</v>
      </c>
    </row>
    <row r="463" customFormat="false" ht="15" hidden="false" customHeight="false" outlineLevel="0" collapsed="false">
      <c r="A463" s="20" t="n">
        <v>462</v>
      </c>
      <c r="B463" s="20" t="s">
        <v>1362</v>
      </c>
      <c r="C463" s="21" t="n">
        <v>42599</v>
      </c>
      <c r="D463" s="21" t="n">
        <v>42602</v>
      </c>
      <c r="E463" s="20" t="s">
        <v>104</v>
      </c>
      <c r="F463" s="20" t="s">
        <v>767</v>
      </c>
      <c r="G463" s="20" t="s">
        <v>768</v>
      </c>
      <c r="H463" s="20" t="s">
        <v>61</v>
      </c>
      <c r="I463" s="20" t="s">
        <v>62</v>
      </c>
      <c r="J463" s="20" t="s">
        <v>63</v>
      </c>
      <c r="K463" s="20" t="s">
        <v>152</v>
      </c>
      <c r="L463" s="20" t="n">
        <v>34591</v>
      </c>
      <c r="M463" s="20" t="s">
        <v>153</v>
      </c>
      <c r="N463" s="20" t="s">
        <v>1365</v>
      </c>
      <c r="O463" s="20" t="s">
        <v>76</v>
      </c>
      <c r="P463" s="20" t="s">
        <v>77</v>
      </c>
      <c r="Q463" s="20" t="s">
        <v>1366</v>
      </c>
      <c r="R463" s="22" t="n">
        <v>73.26</v>
      </c>
      <c r="S463" s="20" t="n">
        <v>4</v>
      </c>
      <c r="T463" s="20" t="n">
        <v>0.2</v>
      </c>
      <c r="U463" s="22" t="n">
        <v>7.71</v>
      </c>
      <c r="V463" s="23" t="n">
        <f aca="false">IF(ISNUMBER(C463),YEAR(C463),"")</f>
        <v>2016</v>
      </c>
      <c r="W463" s="23" t="n">
        <f aca="false">IF(ISNUMBER(C463),MONTH(C463),"")</f>
        <v>8</v>
      </c>
      <c r="X463" s="23" t="str">
        <f aca="false">IF(T463="","",IF(T463=0,"No discount",IF(T463&lt;=0.2,"Low (1-20%)",IF(T463&lt;=0.4,"Medium (21-40%)","High (&gt;40%)"))))</f>
        <v>Low (1-20%)</v>
      </c>
      <c r="Y463" s="23" t="n">
        <f aca="false">IF(AND(ISNUMBER(C463),ISNUMBER(D463)),D463-C463,"")</f>
        <v>3</v>
      </c>
      <c r="Z463" s="23" t="n">
        <f aca="false">IF(B463="","",IF(MATCH(B463,$B$2:$B$12000,0)=ROW()-1,1,0))</f>
        <v>0</v>
      </c>
    </row>
    <row r="464" customFormat="false" ht="15" hidden="false" customHeight="false" outlineLevel="0" collapsed="false">
      <c r="A464" s="20" t="n">
        <v>463</v>
      </c>
      <c r="B464" s="20" t="s">
        <v>1367</v>
      </c>
      <c r="C464" s="21" t="n">
        <v>42603</v>
      </c>
      <c r="D464" s="21" t="n">
        <v>42604</v>
      </c>
      <c r="E464" s="20" t="s">
        <v>90</v>
      </c>
      <c r="F464" s="20" t="s">
        <v>59</v>
      </c>
      <c r="G464" s="20" t="s">
        <v>60</v>
      </c>
      <c r="H464" s="20" t="s">
        <v>61</v>
      </c>
      <c r="I464" s="20" t="s">
        <v>62</v>
      </c>
      <c r="J464" s="20" t="s">
        <v>63</v>
      </c>
      <c r="K464" s="20" t="s">
        <v>422</v>
      </c>
      <c r="L464" s="20" t="n">
        <v>23515</v>
      </c>
      <c r="M464" s="20" t="s">
        <v>153</v>
      </c>
      <c r="N464" s="20" t="s">
        <v>1368</v>
      </c>
      <c r="O464" s="20" t="s">
        <v>67</v>
      </c>
      <c r="P464" s="20" t="s">
        <v>106</v>
      </c>
      <c r="Q464" s="20" t="s">
        <v>1369</v>
      </c>
      <c r="R464" s="22" t="n">
        <v>444.09</v>
      </c>
      <c r="S464" s="20" t="n">
        <v>2</v>
      </c>
      <c r="T464" s="20" t="n">
        <v>0.5</v>
      </c>
      <c r="U464" s="22" t="n">
        <v>-89.91</v>
      </c>
      <c r="V464" s="23" t="n">
        <f aca="false">IF(ISNUMBER(C464),YEAR(C464),"")</f>
        <v>2016</v>
      </c>
      <c r="W464" s="23" t="n">
        <f aca="false">IF(ISNUMBER(C464),MONTH(C464),"")</f>
        <v>8</v>
      </c>
      <c r="X464" s="23" t="str">
        <f aca="false">IF(T464="","",IF(T464=0,"No discount",IF(T464&lt;=0.2,"Low (1-20%)",IF(T464&lt;=0.4,"Medium (21-40%)","High (&gt;40%)"))))</f>
        <v>High (&gt;40%)</v>
      </c>
      <c r="Y464" s="23" t="n">
        <f aca="false">IF(AND(ISNUMBER(C464),ISNUMBER(D464)),D464-C464,"")</f>
        <v>1</v>
      </c>
      <c r="Z464" s="23" t="n">
        <f aca="false">IF(B464="","",IF(MATCH(B464,$B$2:$B$12000,0)=ROW()-1,1,0))</f>
        <v>1</v>
      </c>
    </row>
    <row r="465" customFormat="false" ht="15" hidden="false" customHeight="false" outlineLevel="0" collapsed="false">
      <c r="A465" s="20" t="n">
        <v>464</v>
      </c>
      <c r="B465" s="20" t="s">
        <v>1370</v>
      </c>
      <c r="C465" s="21" t="n">
        <v>42605</v>
      </c>
      <c r="D465" s="21" t="n">
        <v>42607</v>
      </c>
      <c r="E465" s="20" t="s">
        <v>104</v>
      </c>
      <c r="F465" s="20" t="s">
        <v>383</v>
      </c>
      <c r="G465" s="20" t="s">
        <v>384</v>
      </c>
      <c r="H465" s="20" t="s">
        <v>61</v>
      </c>
      <c r="I465" s="20" t="s">
        <v>62</v>
      </c>
      <c r="J465" s="20" t="s">
        <v>63</v>
      </c>
      <c r="K465" s="20" t="s">
        <v>508</v>
      </c>
      <c r="L465" s="20" t="n">
        <v>59296</v>
      </c>
      <c r="M465" s="20" t="s">
        <v>153</v>
      </c>
      <c r="N465" s="20" t="s">
        <v>1371</v>
      </c>
      <c r="O465" s="20" t="s">
        <v>76</v>
      </c>
      <c r="P465" s="20" t="s">
        <v>122</v>
      </c>
      <c r="Q465" s="20" t="s">
        <v>1372</v>
      </c>
      <c r="R465" s="22" t="n">
        <v>37.39</v>
      </c>
      <c r="S465" s="20" t="n">
        <v>1</v>
      </c>
      <c r="T465" s="20" t="n">
        <v>0.3</v>
      </c>
      <c r="U465" s="22" t="n">
        <v>7.32</v>
      </c>
      <c r="V465" s="23" t="n">
        <f aca="false">IF(ISNUMBER(C465),YEAR(C465),"")</f>
        <v>2016</v>
      </c>
      <c r="W465" s="23" t="n">
        <f aca="false">IF(ISNUMBER(C465),MONTH(C465),"")</f>
        <v>8</v>
      </c>
      <c r="X465" s="23" t="str">
        <f aca="false">IF(T465="","",IF(T465=0,"No discount",IF(T465&lt;=0.2,"Low (1-20%)",IF(T465&lt;=0.4,"Medium (21-40%)","High (&gt;40%)"))))</f>
        <v>Medium (21-40%)</v>
      </c>
      <c r="Y465" s="23" t="n">
        <f aca="false">IF(AND(ISNUMBER(C465),ISNUMBER(D465)),D465-C465,"")</f>
        <v>2</v>
      </c>
      <c r="Z465" s="23" t="n">
        <f aca="false">IF(B465="","",IF(MATCH(B465,$B$2:$B$12000,0)=ROW()-1,1,0))</f>
        <v>1</v>
      </c>
    </row>
    <row r="466" customFormat="false" ht="15" hidden="false" customHeight="false" outlineLevel="0" collapsed="false">
      <c r="A466" s="20" t="n">
        <v>465</v>
      </c>
      <c r="B466" s="20" t="s">
        <v>1373</v>
      </c>
      <c r="C466" s="21" t="n">
        <v>42610</v>
      </c>
      <c r="D466" s="21" t="n">
        <v>42616</v>
      </c>
      <c r="E466" s="20" t="s">
        <v>90</v>
      </c>
      <c r="F466" s="20" t="s">
        <v>239</v>
      </c>
      <c r="G466" s="20" t="s">
        <v>240</v>
      </c>
      <c r="H466" s="20" t="s">
        <v>61</v>
      </c>
      <c r="I466" s="20" t="s">
        <v>62</v>
      </c>
      <c r="J466" s="20" t="s">
        <v>63</v>
      </c>
      <c r="K466" s="20" t="s">
        <v>647</v>
      </c>
      <c r="L466" s="20" t="n">
        <v>47714</v>
      </c>
      <c r="M466" s="20" t="s">
        <v>97</v>
      </c>
      <c r="N466" s="20" t="s">
        <v>1374</v>
      </c>
      <c r="O466" s="20" t="s">
        <v>114</v>
      </c>
      <c r="P466" s="20" t="s">
        <v>167</v>
      </c>
      <c r="Q466" s="20" t="s">
        <v>1375</v>
      </c>
      <c r="R466" s="22" t="n">
        <v>1315.24</v>
      </c>
      <c r="S466" s="20" t="n">
        <v>3</v>
      </c>
      <c r="T466" s="20" t="n">
        <v>0.1</v>
      </c>
      <c r="U466" s="22" t="n">
        <v>-143.8</v>
      </c>
      <c r="V466" s="23" t="n">
        <f aca="false">IF(ISNUMBER(C466),YEAR(C466),"")</f>
        <v>2016</v>
      </c>
      <c r="W466" s="23" t="n">
        <f aca="false">IF(ISNUMBER(C466),MONTH(C466),"")</f>
        <v>8</v>
      </c>
      <c r="X466" s="23" t="str">
        <f aca="false">IF(T466="","",IF(T466=0,"No discount",IF(T466&lt;=0.2,"Low (1-20%)",IF(T466&lt;=0.4,"Medium (21-40%)","High (&gt;40%)"))))</f>
        <v>Low (1-20%)</v>
      </c>
      <c r="Y466" s="23" t="n">
        <f aca="false">IF(AND(ISNUMBER(C466),ISNUMBER(D466)),D466-C466,"")</f>
        <v>6</v>
      </c>
      <c r="Z466" s="23" t="n">
        <f aca="false">IF(B466="","",IF(MATCH(B466,$B$2:$B$12000,0)=ROW()-1,1,0))</f>
        <v>1</v>
      </c>
    </row>
    <row r="467" customFormat="false" ht="15" hidden="false" customHeight="false" outlineLevel="0" collapsed="false">
      <c r="A467" s="20" t="n">
        <v>466</v>
      </c>
      <c r="B467" s="20" t="s">
        <v>1373</v>
      </c>
      <c r="C467" s="21" t="n">
        <v>42610</v>
      </c>
      <c r="D467" s="21" t="n">
        <v>42616</v>
      </c>
      <c r="E467" s="20" t="s">
        <v>71</v>
      </c>
      <c r="F467" s="20" t="s">
        <v>239</v>
      </c>
      <c r="G467" s="20" t="s">
        <v>240</v>
      </c>
      <c r="H467" s="20" t="s">
        <v>61</v>
      </c>
      <c r="I467" s="20" t="s">
        <v>62</v>
      </c>
      <c r="J467" s="20" t="s">
        <v>63</v>
      </c>
      <c r="K467" s="20" t="s">
        <v>647</v>
      </c>
      <c r="L467" s="20" t="n">
        <v>64178</v>
      </c>
      <c r="M467" s="20" t="s">
        <v>97</v>
      </c>
      <c r="N467" s="20" t="s">
        <v>1376</v>
      </c>
      <c r="O467" s="20" t="s">
        <v>67</v>
      </c>
      <c r="P467" s="20" t="s">
        <v>68</v>
      </c>
      <c r="Q467" s="20" t="s">
        <v>1377</v>
      </c>
      <c r="R467" s="22" t="n">
        <v>5671.85</v>
      </c>
      <c r="S467" s="20" t="n">
        <v>3</v>
      </c>
      <c r="T467" s="20" t="n">
        <v>0.1</v>
      </c>
      <c r="U467" s="22" t="n">
        <v>1542.47</v>
      </c>
      <c r="V467" s="23" t="n">
        <f aca="false">IF(ISNUMBER(C467),YEAR(C467),"")</f>
        <v>2016</v>
      </c>
      <c r="W467" s="23" t="n">
        <f aca="false">IF(ISNUMBER(C467),MONTH(C467),"")</f>
        <v>8</v>
      </c>
      <c r="X467" s="23" t="str">
        <f aca="false">IF(T467="","",IF(T467=0,"No discount",IF(T467&lt;=0.2,"Low (1-20%)",IF(T467&lt;=0.4,"Medium (21-40%)","High (&gt;40%)"))))</f>
        <v>Low (1-20%)</v>
      </c>
      <c r="Y467" s="23" t="n">
        <f aca="false">IF(AND(ISNUMBER(C467),ISNUMBER(D467)),D467-C467,"")</f>
        <v>6</v>
      </c>
      <c r="Z467" s="23" t="n">
        <f aca="false">IF(B467="","",IF(MATCH(B467,$B$2:$B$12000,0)=ROW()-1,1,0))</f>
        <v>0</v>
      </c>
    </row>
    <row r="468" customFormat="false" ht="15" hidden="false" customHeight="false" outlineLevel="0" collapsed="false">
      <c r="A468" s="20" t="n">
        <v>467</v>
      </c>
      <c r="B468" s="20" t="s">
        <v>1373</v>
      </c>
      <c r="C468" s="21" t="n">
        <v>42610</v>
      </c>
      <c r="D468" s="21" t="n">
        <v>42616</v>
      </c>
      <c r="E468" s="20" t="s">
        <v>58</v>
      </c>
      <c r="F468" s="20" t="s">
        <v>239</v>
      </c>
      <c r="G468" s="20" t="s">
        <v>240</v>
      </c>
      <c r="H468" s="20" t="s">
        <v>61</v>
      </c>
      <c r="I468" s="20" t="s">
        <v>62</v>
      </c>
      <c r="J468" s="20" t="s">
        <v>63</v>
      </c>
      <c r="K468" s="20" t="s">
        <v>647</v>
      </c>
      <c r="L468" s="20" t="n">
        <v>99439</v>
      </c>
      <c r="M468" s="20" t="s">
        <v>97</v>
      </c>
      <c r="N468" s="20" t="s">
        <v>1378</v>
      </c>
      <c r="O468" s="20" t="s">
        <v>76</v>
      </c>
      <c r="P468" s="20" t="s">
        <v>128</v>
      </c>
      <c r="Q468" s="20" t="s">
        <v>1159</v>
      </c>
      <c r="R468" s="22" t="n">
        <v>820.26</v>
      </c>
      <c r="S468" s="20" t="n">
        <v>6</v>
      </c>
      <c r="T468" s="20" t="n">
        <v>0</v>
      </c>
      <c r="U468" s="22" t="n">
        <v>216.02</v>
      </c>
      <c r="V468" s="23" t="n">
        <f aca="false">IF(ISNUMBER(C468),YEAR(C468),"")</f>
        <v>2016</v>
      </c>
      <c r="W468" s="23" t="n">
        <f aca="false">IF(ISNUMBER(C468),MONTH(C468),"")</f>
        <v>8</v>
      </c>
      <c r="X468" s="23" t="str">
        <f aca="false">IF(T468="","",IF(T468=0,"No discount",IF(T468&lt;=0.2,"Low (1-20%)",IF(T468&lt;=0.4,"Medium (21-40%)","High (&gt;40%)"))))</f>
        <v>No discount</v>
      </c>
      <c r="Y468" s="23" t="n">
        <f aca="false">IF(AND(ISNUMBER(C468),ISNUMBER(D468)),D468-C468,"")</f>
        <v>6</v>
      </c>
      <c r="Z468" s="23" t="n">
        <f aca="false">IF(B468="","",IF(MATCH(B468,$B$2:$B$12000,0)=ROW()-1,1,0))</f>
        <v>0</v>
      </c>
    </row>
    <row r="469" customFormat="false" ht="15" hidden="false" customHeight="false" outlineLevel="0" collapsed="false">
      <c r="A469" s="20" t="n">
        <v>468</v>
      </c>
      <c r="B469" s="20" t="s">
        <v>1379</v>
      </c>
      <c r="C469" s="21" t="n">
        <v>42616</v>
      </c>
      <c r="D469" s="21" t="n">
        <v>42619</v>
      </c>
      <c r="E469" s="20" t="s">
        <v>90</v>
      </c>
      <c r="F469" s="20" t="s">
        <v>239</v>
      </c>
      <c r="G469" s="20" t="s">
        <v>240</v>
      </c>
      <c r="H469" s="20" t="s">
        <v>61</v>
      </c>
      <c r="I469" s="20" t="s">
        <v>62</v>
      </c>
      <c r="J469" s="20" t="s">
        <v>63</v>
      </c>
      <c r="K469" s="20" t="s">
        <v>445</v>
      </c>
      <c r="L469" s="20" t="n">
        <v>92997</v>
      </c>
      <c r="M469" s="20" t="s">
        <v>153</v>
      </c>
      <c r="N469" s="20" t="s">
        <v>1380</v>
      </c>
      <c r="O469" s="20" t="s">
        <v>76</v>
      </c>
      <c r="P469" s="20" t="s">
        <v>236</v>
      </c>
      <c r="Q469" s="20" t="s">
        <v>1381</v>
      </c>
      <c r="R469" s="22" t="n">
        <v>163.95</v>
      </c>
      <c r="S469" s="20" t="n">
        <v>6</v>
      </c>
      <c r="T469" s="20" t="n">
        <v>0.5</v>
      </c>
      <c r="U469" s="22" t="n">
        <v>16.53</v>
      </c>
      <c r="V469" s="23" t="n">
        <f aca="false">IF(ISNUMBER(C469),YEAR(C469),"")</f>
        <v>2016</v>
      </c>
      <c r="W469" s="23" t="n">
        <f aca="false">IF(ISNUMBER(C469),MONTH(C469),"")</f>
        <v>9</v>
      </c>
      <c r="X469" s="23" t="str">
        <f aca="false">IF(T469="","",IF(T469=0,"No discount",IF(T469&lt;=0.2,"Low (1-20%)",IF(T469&lt;=0.4,"Medium (21-40%)","High (&gt;40%)"))))</f>
        <v>High (&gt;40%)</v>
      </c>
      <c r="Y469" s="23" t="n">
        <f aca="false">IF(AND(ISNUMBER(C469),ISNUMBER(D469)),D469-C469,"")</f>
        <v>3</v>
      </c>
      <c r="Z469" s="23" t="n">
        <f aca="false">IF(B469="","",IF(MATCH(B469,$B$2:$B$12000,0)=ROW()-1,1,0))</f>
        <v>1</v>
      </c>
    </row>
    <row r="470" customFormat="false" ht="15" hidden="false" customHeight="false" outlineLevel="0" collapsed="false">
      <c r="A470" s="20" t="n">
        <v>469</v>
      </c>
      <c r="B470" s="20" t="s">
        <v>1379</v>
      </c>
      <c r="C470" s="21" t="n">
        <v>42616</v>
      </c>
      <c r="D470" s="21" t="n">
        <v>42619</v>
      </c>
      <c r="E470" s="20" t="s">
        <v>90</v>
      </c>
      <c r="F470" s="20" t="s">
        <v>239</v>
      </c>
      <c r="G470" s="20" t="s">
        <v>240</v>
      </c>
      <c r="H470" s="20" t="s">
        <v>61</v>
      </c>
      <c r="I470" s="20" t="s">
        <v>62</v>
      </c>
      <c r="J470" s="20" t="s">
        <v>63</v>
      </c>
      <c r="K470" s="20" t="s">
        <v>445</v>
      </c>
      <c r="L470" s="20" t="n">
        <v>96659</v>
      </c>
      <c r="M470" s="20" t="s">
        <v>153</v>
      </c>
      <c r="N470" s="20" t="s">
        <v>1382</v>
      </c>
      <c r="O470" s="20" t="s">
        <v>76</v>
      </c>
      <c r="P470" s="20" t="s">
        <v>122</v>
      </c>
      <c r="Q470" s="20" t="s">
        <v>1383</v>
      </c>
      <c r="R470" s="22" t="n">
        <v>60.37</v>
      </c>
      <c r="S470" s="20" t="n">
        <v>2</v>
      </c>
      <c r="T470" s="20" t="n">
        <v>0.1</v>
      </c>
      <c r="U470" s="22" t="n">
        <v>14.66</v>
      </c>
      <c r="V470" s="23" t="n">
        <f aca="false">IF(ISNUMBER(C470),YEAR(C470),"")</f>
        <v>2016</v>
      </c>
      <c r="W470" s="23" t="n">
        <f aca="false">IF(ISNUMBER(C470),MONTH(C470),"")</f>
        <v>9</v>
      </c>
      <c r="X470" s="23" t="str">
        <f aca="false">IF(T470="","",IF(T470=0,"No discount",IF(T470&lt;=0.2,"Low (1-20%)",IF(T470&lt;=0.4,"Medium (21-40%)","High (&gt;40%)"))))</f>
        <v>Low (1-20%)</v>
      </c>
      <c r="Y470" s="23" t="n">
        <f aca="false">IF(AND(ISNUMBER(C470),ISNUMBER(D470)),D470-C470,"")</f>
        <v>3</v>
      </c>
      <c r="Z470" s="23" t="n">
        <f aca="false">IF(B470="","",IF(MATCH(B470,$B$2:$B$12000,0)=ROW()-1,1,0))</f>
        <v>0</v>
      </c>
    </row>
    <row r="471" customFormat="false" ht="15" hidden="false" customHeight="false" outlineLevel="0" collapsed="false">
      <c r="A471" s="20" t="n">
        <v>470</v>
      </c>
      <c r="B471" s="20" t="s">
        <v>1379</v>
      </c>
      <c r="C471" s="21" t="n">
        <v>42616</v>
      </c>
      <c r="D471" s="21" t="n">
        <v>42619</v>
      </c>
      <c r="E471" s="20" t="s">
        <v>90</v>
      </c>
      <c r="F471" s="20" t="s">
        <v>239</v>
      </c>
      <c r="G471" s="20" t="s">
        <v>240</v>
      </c>
      <c r="H471" s="20" t="s">
        <v>61</v>
      </c>
      <c r="I471" s="20" t="s">
        <v>62</v>
      </c>
      <c r="J471" s="20" t="s">
        <v>63</v>
      </c>
      <c r="K471" s="20" t="s">
        <v>445</v>
      </c>
      <c r="L471" s="20" t="n">
        <v>53188</v>
      </c>
      <c r="M471" s="20" t="s">
        <v>153</v>
      </c>
      <c r="N471" s="20" t="s">
        <v>1384</v>
      </c>
      <c r="O471" s="20" t="s">
        <v>76</v>
      </c>
      <c r="P471" s="20" t="s">
        <v>80</v>
      </c>
      <c r="Q471" s="20" t="s">
        <v>1385</v>
      </c>
      <c r="R471" s="22" t="n">
        <v>73.37</v>
      </c>
      <c r="S471" s="20" t="n">
        <v>4</v>
      </c>
      <c r="T471" s="20" t="n">
        <v>0.7</v>
      </c>
      <c r="U471" s="22" t="n">
        <v>-10.8</v>
      </c>
      <c r="V471" s="23" t="n">
        <f aca="false">IF(ISNUMBER(C471),YEAR(C471),"")</f>
        <v>2016</v>
      </c>
      <c r="W471" s="23" t="n">
        <f aca="false">IF(ISNUMBER(C471),MONTH(C471),"")</f>
        <v>9</v>
      </c>
      <c r="X471" s="23" t="str">
        <f aca="false">IF(T471="","",IF(T471=0,"No discount",IF(T471&lt;=0.2,"Low (1-20%)",IF(T471&lt;=0.4,"Medium (21-40%)","High (&gt;40%)"))))</f>
        <v>High (&gt;40%)</v>
      </c>
      <c r="Y471" s="23" t="n">
        <f aca="false">IF(AND(ISNUMBER(C471),ISNUMBER(D471)),D471-C471,"")</f>
        <v>3</v>
      </c>
      <c r="Z471" s="23" t="n">
        <f aca="false">IF(B471="","",IF(MATCH(B471,$B$2:$B$12000,0)=ROW()-1,1,0))</f>
        <v>0</v>
      </c>
    </row>
    <row r="472" customFormat="false" ht="15" hidden="false" customHeight="false" outlineLevel="0" collapsed="false">
      <c r="A472" s="20" t="n">
        <v>471</v>
      </c>
      <c r="B472" s="20" t="s">
        <v>1386</v>
      </c>
      <c r="C472" s="21" t="n">
        <v>42617</v>
      </c>
      <c r="D472" s="21" t="n">
        <v>42623</v>
      </c>
      <c r="E472" s="20" t="s">
        <v>71</v>
      </c>
      <c r="F472" s="20" t="s">
        <v>160</v>
      </c>
      <c r="G472" s="20" t="s">
        <v>161</v>
      </c>
      <c r="H472" s="20" t="s">
        <v>162</v>
      </c>
      <c r="I472" s="20" t="s">
        <v>62</v>
      </c>
      <c r="J472" s="20" t="s">
        <v>63</v>
      </c>
      <c r="K472" s="20" t="s">
        <v>335</v>
      </c>
      <c r="L472" s="20" t="n">
        <v>38247</v>
      </c>
      <c r="M472" s="20" t="s">
        <v>65</v>
      </c>
      <c r="N472" s="20" t="s">
        <v>1387</v>
      </c>
      <c r="O472" s="20" t="s">
        <v>76</v>
      </c>
      <c r="P472" s="20" t="s">
        <v>128</v>
      </c>
      <c r="Q472" s="20" t="s">
        <v>1388</v>
      </c>
      <c r="R472" s="22" t="n">
        <v>36.36</v>
      </c>
      <c r="S472" s="20" t="n">
        <v>4</v>
      </c>
      <c r="T472" s="20" t="n">
        <v>0.7</v>
      </c>
      <c r="U472" s="22" t="n">
        <v>-10.73</v>
      </c>
      <c r="V472" s="23" t="n">
        <f aca="false">IF(ISNUMBER(C472),YEAR(C472),"")</f>
        <v>2016</v>
      </c>
      <c r="W472" s="23" t="n">
        <f aca="false">IF(ISNUMBER(C472),MONTH(C472),"")</f>
        <v>9</v>
      </c>
      <c r="X472" s="23" t="str">
        <f aca="false">IF(T472="","",IF(T472=0,"No discount",IF(T472&lt;=0.2,"Low (1-20%)",IF(T472&lt;=0.4,"Medium (21-40%)","High (&gt;40%)"))))</f>
        <v>High (&gt;40%)</v>
      </c>
      <c r="Y472" s="23" t="n">
        <f aca="false">IF(AND(ISNUMBER(C472),ISNUMBER(D472)),D472-C472,"")</f>
        <v>6</v>
      </c>
      <c r="Z472" s="23" t="n">
        <f aca="false">IF(B472="","",IF(MATCH(B472,$B$2:$B$12000,0)=ROW()-1,1,0))</f>
        <v>1</v>
      </c>
    </row>
    <row r="473" customFormat="false" ht="15" hidden="false" customHeight="false" outlineLevel="0" collapsed="false">
      <c r="A473" s="20" t="n">
        <v>472</v>
      </c>
      <c r="B473" s="20" t="s">
        <v>1389</v>
      </c>
      <c r="C473" s="21" t="n">
        <v>42620</v>
      </c>
      <c r="D473" s="21" t="n">
        <v>42624</v>
      </c>
      <c r="E473" s="20" t="s">
        <v>58</v>
      </c>
      <c r="F473" s="20" t="s">
        <v>319</v>
      </c>
      <c r="G473" s="20" t="s">
        <v>320</v>
      </c>
      <c r="H473" s="20" t="s">
        <v>61</v>
      </c>
      <c r="I473" s="20" t="s">
        <v>62</v>
      </c>
      <c r="J473" s="20" t="s">
        <v>63</v>
      </c>
      <c r="K473" s="20" t="s">
        <v>550</v>
      </c>
      <c r="L473" s="20" t="n">
        <v>97496</v>
      </c>
      <c r="M473" s="20" t="s">
        <v>97</v>
      </c>
      <c r="N473" s="20" t="s">
        <v>1390</v>
      </c>
      <c r="O473" s="20" t="s">
        <v>67</v>
      </c>
      <c r="P473" s="20" t="s">
        <v>106</v>
      </c>
      <c r="Q473" s="20" t="s">
        <v>1391</v>
      </c>
      <c r="R473" s="22" t="n">
        <v>1360.42</v>
      </c>
      <c r="S473" s="20" t="n">
        <v>2</v>
      </c>
      <c r="T473" s="20" t="n">
        <v>0</v>
      </c>
      <c r="U473" s="22" t="n">
        <v>256.8</v>
      </c>
      <c r="V473" s="23" t="n">
        <f aca="false">IF(ISNUMBER(C473),YEAR(C473),"")</f>
        <v>2016</v>
      </c>
      <c r="W473" s="23" t="n">
        <f aca="false">IF(ISNUMBER(C473),MONTH(C473),"")</f>
        <v>9</v>
      </c>
      <c r="X473" s="23" t="str">
        <f aca="false">IF(T473="","",IF(T473=0,"No discount",IF(T473&lt;=0.2,"Low (1-20%)",IF(T473&lt;=0.4,"Medium (21-40%)","High (&gt;40%)"))))</f>
        <v>No discount</v>
      </c>
      <c r="Y473" s="23" t="n">
        <f aca="false">IF(AND(ISNUMBER(C473),ISNUMBER(D473)),D473-C473,"")</f>
        <v>4</v>
      </c>
      <c r="Z473" s="23" t="n">
        <f aca="false">IF(B473="","",IF(MATCH(B473,$B$2:$B$12000,0)=ROW()-1,1,0))</f>
        <v>1</v>
      </c>
    </row>
    <row r="474" customFormat="false" ht="15" hidden="false" customHeight="false" outlineLevel="0" collapsed="false">
      <c r="A474" s="20" t="n">
        <v>473</v>
      </c>
      <c r="B474" s="20" t="s">
        <v>1392</v>
      </c>
      <c r="C474" s="21" t="n">
        <v>42630</v>
      </c>
      <c r="D474" s="21" t="n">
        <v>42632</v>
      </c>
      <c r="E474" s="20" t="s">
        <v>71</v>
      </c>
      <c r="F474" s="20" t="s">
        <v>858</v>
      </c>
      <c r="G474" s="20" t="s">
        <v>859</v>
      </c>
      <c r="H474" s="20" t="s">
        <v>61</v>
      </c>
      <c r="I474" s="20" t="s">
        <v>62</v>
      </c>
      <c r="J474" s="20" t="s">
        <v>63</v>
      </c>
      <c r="K474" s="20" t="s">
        <v>360</v>
      </c>
      <c r="L474" s="20" t="n">
        <v>15746</v>
      </c>
      <c r="M474" s="20" t="s">
        <v>112</v>
      </c>
      <c r="N474" s="20" t="s">
        <v>1393</v>
      </c>
      <c r="O474" s="20" t="s">
        <v>67</v>
      </c>
      <c r="P474" s="20" t="s">
        <v>164</v>
      </c>
      <c r="Q474" s="20" t="s">
        <v>1394</v>
      </c>
      <c r="R474" s="22" t="n">
        <v>2304.67</v>
      </c>
      <c r="S474" s="20" t="n">
        <v>6</v>
      </c>
      <c r="T474" s="20" t="n">
        <v>0</v>
      </c>
      <c r="U474" s="22" t="n">
        <v>60.14</v>
      </c>
      <c r="V474" s="23" t="n">
        <f aca="false">IF(ISNUMBER(C474),YEAR(C474),"")</f>
        <v>2016</v>
      </c>
      <c r="W474" s="23" t="n">
        <f aca="false">IF(ISNUMBER(C474),MONTH(C474),"")</f>
        <v>9</v>
      </c>
      <c r="X474" s="23" t="str">
        <f aca="false">IF(T474="","",IF(T474=0,"No discount",IF(T474&lt;=0.2,"Low (1-20%)",IF(T474&lt;=0.4,"Medium (21-40%)","High (&gt;40%)"))))</f>
        <v>No discount</v>
      </c>
      <c r="Y474" s="23" t="n">
        <f aca="false">IF(AND(ISNUMBER(C474),ISNUMBER(D474)),D474-C474,"")</f>
        <v>2</v>
      </c>
      <c r="Z474" s="23" t="n">
        <f aca="false">IF(B474="","",IF(MATCH(B474,$B$2:$B$12000,0)=ROW()-1,1,0))</f>
        <v>1</v>
      </c>
    </row>
    <row r="475" customFormat="false" ht="15" hidden="false" customHeight="false" outlineLevel="0" collapsed="false">
      <c r="A475" s="20" t="n">
        <v>474</v>
      </c>
      <c r="B475" s="20" t="s">
        <v>1395</v>
      </c>
      <c r="C475" s="21" t="n">
        <v>42636</v>
      </c>
      <c r="D475" s="21" t="n">
        <v>42643</v>
      </c>
      <c r="E475" s="20" t="s">
        <v>104</v>
      </c>
      <c r="F475" s="20" t="s">
        <v>160</v>
      </c>
      <c r="G475" s="20" t="s">
        <v>161</v>
      </c>
      <c r="H475" s="20" t="s">
        <v>162</v>
      </c>
      <c r="I475" s="20" t="s">
        <v>62</v>
      </c>
      <c r="J475" s="20" t="s">
        <v>63</v>
      </c>
      <c r="K475" s="20" t="s">
        <v>146</v>
      </c>
      <c r="L475" s="20" t="n">
        <v>34370</v>
      </c>
      <c r="M475" s="20" t="s">
        <v>65</v>
      </c>
      <c r="N475" s="20" t="s">
        <v>1396</v>
      </c>
      <c r="O475" s="20" t="s">
        <v>76</v>
      </c>
      <c r="P475" s="20" t="s">
        <v>185</v>
      </c>
      <c r="Q475" s="20" t="s">
        <v>1397</v>
      </c>
      <c r="R475" s="22" t="n">
        <v>103.57</v>
      </c>
      <c r="S475" s="20" t="n">
        <v>6</v>
      </c>
      <c r="T475" s="20" t="n">
        <v>0.3</v>
      </c>
      <c r="U475" s="22" t="n">
        <v>17.31</v>
      </c>
      <c r="V475" s="23" t="n">
        <f aca="false">IF(ISNUMBER(C475),YEAR(C475),"")</f>
        <v>2016</v>
      </c>
      <c r="W475" s="23" t="n">
        <f aca="false">IF(ISNUMBER(C475),MONTH(C475),"")</f>
        <v>9</v>
      </c>
      <c r="X475" s="23" t="str">
        <f aca="false">IF(T475="","",IF(T475=0,"No discount",IF(T475&lt;=0.2,"Low (1-20%)",IF(T475&lt;=0.4,"Medium (21-40%)","High (&gt;40%)"))))</f>
        <v>Medium (21-40%)</v>
      </c>
      <c r="Y475" s="23" t="n">
        <f aca="false">IF(AND(ISNUMBER(C475),ISNUMBER(D475)),D475-C475,"")</f>
        <v>7</v>
      </c>
      <c r="Z475" s="23" t="n">
        <f aca="false">IF(B475="","",IF(MATCH(B475,$B$2:$B$12000,0)=ROW()-1,1,0))</f>
        <v>1</v>
      </c>
    </row>
    <row r="476" customFormat="false" ht="15" hidden="false" customHeight="false" outlineLevel="0" collapsed="false">
      <c r="A476" s="20" t="n">
        <v>475</v>
      </c>
      <c r="B476" s="20" t="s">
        <v>1395</v>
      </c>
      <c r="C476" s="21" t="n">
        <v>42636</v>
      </c>
      <c r="D476" s="21" t="n">
        <v>42643</v>
      </c>
      <c r="E476" s="20" t="s">
        <v>71</v>
      </c>
      <c r="F476" s="20" t="s">
        <v>160</v>
      </c>
      <c r="G476" s="20" t="s">
        <v>161</v>
      </c>
      <c r="H476" s="20" t="s">
        <v>162</v>
      </c>
      <c r="I476" s="20" t="s">
        <v>62</v>
      </c>
      <c r="J476" s="20" t="s">
        <v>63</v>
      </c>
      <c r="K476" s="20" t="s">
        <v>146</v>
      </c>
      <c r="L476" s="20" t="n">
        <v>34987</v>
      </c>
      <c r="M476" s="20" t="s">
        <v>65</v>
      </c>
      <c r="N476" s="20" t="s">
        <v>1398</v>
      </c>
      <c r="O476" s="20" t="s">
        <v>114</v>
      </c>
      <c r="P476" s="20" t="s">
        <v>167</v>
      </c>
      <c r="Q476" s="20" t="s">
        <v>1399</v>
      </c>
      <c r="R476" s="22" t="n">
        <v>3702.53</v>
      </c>
      <c r="S476" s="20" t="n">
        <v>6</v>
      </c>
      <c r="T476" s="20" t="n">
        <v>0</v>
      </c>
      <c r="U476" s="22" t="n">
        <v>-401.05</v>
      </c>
      <c r="V476" s="23" t="n">
        <f aca="false">IF(ISNUMBER(C476),YEAR(C476),"")</f>
        <v>2016</v>
      </c>
      <c r="W476" s="23" t="n">
        <f aca="false">IF(ISNUMBER(C476),MONTH(C476),"")</f>
        <v>9</v>
      </c>
      <c r="X476" s="23" t="str">
        <f aca="false">IF(T476="","",IF(T476=0,"No discount",IF(T476&lt;=0.2,"Low (1-20%)",IF(T476&lt;=0.4,"Medium (21-40%)","High (&gt;40%)"))))</f>
        <v>No discount</v>
      </c>
      <c r="Y476" s="23" t="n">
        <f aca="false">IF(AND(ISNUMBER(C476),ISNUMBER(D476)),D476-C476,"")</f>
        <v>7</v>
      </c>
      <c r="Z476" s="23" t="n">
        <f aca="false">IF(B476="","",IF(MATCH(B476,$B$2:$B$12000,0)=ROW()-1,1,0))</f>
        <v>0</v>
      </c>
    </row>
    <row r="477" customFormat="false" ht="15" hidden="false" customHeight="false" outlineLevel="0" collapsed="false">
      <c r="A477" s="20" t="n">
        <v>476</v>
      </c>
      <c r="B477" s="20" t="s">
        <v>1400</v>
      </c>
      <c r="C477" s="21" t="n">
        <v>42639</v>
      </c>
      <c r="D477" s="21" t="n">
        <v>42644</v>
      </c>
      <c r="E477" s="20" t="s">
        <v>104</v>
      </c>
      <c r="F477" s="20" t="s">
        <v>544</v>
      </c>
      <c r="G477" s="20" t="s">
        <v>545</v>
      </c>
      <c r="H477" s="20" t="s">
        <v>85</v>
      </c>
      <c r="I477" s="20" t="s">
        <v>62</v>
      </c>
      <c r="J477" s="20" t="s">
        <v>63</v>
      </c>
      <c r="K477" s="20" t="s">
        <v>260</v>
      </c>
      <c r="L477" s="20" t="n">
        <v>11689</v>
      </c>
      <c r="M477" s="20" t="s">
        <v>97</v>
      </c>
      <c r="N477" s="20" t="s">
        <v>1401</v>
      </c>
      <c r="O477" s="20" t="s">
        <v>114</v>
      </c>
      <c r="P477" s="20" t="s">
        <v>139</v>
      </c>
      <c r="Q477" s="20" t="s">
        <v>1402</v>
      </c>
      <c r="R477" s="22" t="n">
        <v>1218.22</v>
      </c>
      <c r="S477" s="20" t="n">
        <v>6</v>
      </c>
      <c r="T477" s="20" t="n">
        <v>0.2</v>
      </c>
      <c r="U477" s="22" t="n">
        <v>-171.93</v>
      </c>
      <c r="V477" s="23" t="n">
        <f aca="false">IF(ISNUMBER(C477),YEAR(C477),"")</f>
        <v>2016</v>
      </c>
      <c r="W477" s="23" t="n">
        <f aca="false">IF(ISNUMBER(C477),MONTH(C477),"")</f>
        <v>9</v>
      </c>
      <c r="X477" s="23" t="str">
        <f aca="false">IF(T477="","",IF(T477=0,"No discount",IF(T477&lt;=0.2,"Low (1-20%)",IF(T477&lt;=0.4,"Medium (21-40%)","High (&gt;40%)"))))</f>
        <v>Low (1-20%)</v>
      </c>
      <c r="Y477" s="23" t="n">
        <f aca="false">IF(AND(ISNUMBER(C477),ISNUMBER(D477)),D477-C477,"")</f>
        <v>5</v>
      </c>
      <c r="Z477" s="23" t="n">
        <f aca="false">IF(B477="","",IF(MATCH(B477,$B$2:$B$12000,0)=ROW()-1,1,0))</f>
        <v>1</v>
      </c>
    </row>
    <row r="478" customFormat="false" ht="15" hidden="false" customHeight="false" outlineLevel="0" collapsed="false">
      <c r="A478" s="20" t="n">
        <v>477</v>
      </c>
      <c r="B478" s="20" t="s">
        <v>1400</v>
      </c>
      <c r="C478" s="21" t="n">
        <v>42639</v>
      </c>
      <c r="D478" s="21" t="n">
        <v>42644</v>
      </c>
      <c r="E478" s="20" t="s">
        <v>58</v>
      </c>
      <c r="F478" s="20" t="s">
        <v>544</v>
      </c>
      <c r="G478" s="20" t="s">
        <v>545</v>
      </c>
      <c r="H478" s="20" t="s">
        <v>85</v>
      </c>
      <c r="I478" s="20" t="s">
        <v>62</v>
      </c>
      <c r="J478" s="20" t="s">
        <v>63</v>
      </c>
      <c r="K478" s="20" t="s">
        <v>260</v>
      </c>
      <c r="L478" s="20" t="n">
        <v>93046</v>
      </c>
      <c r="M478" s="20" t="s">
        <v>97</v>
      </c>
      <c r="N478" s="20" t="s">
        <v>1403</v>
      </c>
      <c r="O478" s="20" t="s">
        <v>76</v>
      </c>
      <c r="P478" s="20" t="s">
        <v>236</v>
      </c>
      <c r="Q478" s="20" t="s">
        <v>1018</v>
      </c>
      <c r="R478" s="22" t="n">
        <v>229.15</v>
      </c>
      <c r="S478" s="20" t="n">
        <v>6</v>
      </c>
      <c r="T478" s="20" t="n">
        <v>0.1</v>
      </c>
      <c r="U478" s="22" t="n">
        <v>66.07</v>
      </c>
      <c r="V478" s="23" t="n">
        <f aca="false">IF(ISNUMBER(C478),YEAR(C478),"")</f>
        <v>2016</v>
      </c>
      <c r="W478" s="23" t="n">
        <f aca="false">IF(ISNUMBER(C478),MONTH(C478),"")</f>
        <v>9</v>
      </c>
      <c r="X478" s="23" t="str">
        <f aca="false">IF(T478="","",IF(T478=0,"No discount",IF(T478&lt;=0.2,"Low (1-20%)",IF(T478&lt;=0.4,"Medium (21-40%)","High (&gt;40%)"))))</f>
        <v>Low (1-20%)</v>
      </c>
      <c r="Y478" s="23" t="n">
        <f aca="false">IF(AND(ISNUMBER(C478),ISNUMBER(D478)),D478-C478,"")</f>
        <v>5</v>
      </c>
      <c r="Z478" s="23" t="n">
        <f aca="false">IF(B478="","",IF(MATCH(B478,$B$2:$B$12000,0)=ROW()-1,1,0))</f>
        <v>0</v>
      </c>
    </row>
    <row r="479" customFormat="false" ht="15" hidden="false" customHeight="false" outlineLevel="0" collapsed="false">
      <c r="A479" s="20" t="n">
        <v>478</v>
      </c>
      <c r="B479" s="20" t="s">
        <v>1400</v>
      </c>
      <c r="C479" s="21" t="n">
        <v>42639</v>
      </c>
      <c r="D479" s="21" t="n">
        <v>42644</v>
      </c>
      <c r="E479" s="20" t="s">
        <v>71</v>
      </c>
      <c r="F479" s="20" t="s">
        <v>544</v>
      </c>
      <c r="G479" s="20" t="s">
        <v>545</v>
      </c>
      <c r="H479" s="20" t="s">
        <v>85</v>
      </c>
      <c r="I479" s="20" t="s">
        <v>62</v>
      </c>
      <c r="J479" s="20" t="s">
        <v>63</v>
      </c>
      <c r="K479" s="20" t="s">
        <v>260</v>
      </c>
      <c r="L479" s="20" t="n">
        <v>85407</v>
      </c>
      <c r="M479" s="20" t="s">
        <v>97</v>
      </c>
      <c r="N479" s="20" t="s">
        <v>1404</v>
      </c>
      <c r="O479" s="20" t="s">
        <v>76</v>
      </c>
      <c r="P479" s="20" t="s">
        <v>101</v>
      </c>
      <c r="Q479" s="20" t="s">
        <v>1405</v>
      </c>
      <c r="R479" s="22" t="n">
        <v>276.6</v>
      </c>
      <c r="S479" s="20" t="n">
        <v>7</v>
      </c>
      <c r="T479" s="20" t="n">
        <v>0</v>
      </c>
      <c r="U479" s="22" t="n">
        <v>106.33</v>
      </c>
      <c r="V479" s="23" t="n">
        <f aca="false">IF(ISNUMBER(C479),YEAR(C479),"")</f>
        <v>2016</v>
      </c>
      <c r="W479" s="23" t="n">
        <f aca="false">IF(ISNUMBER(C479),MONTH(C479),"")</f>
        <v>9</v>
      </c>
      <c r="X479" s="23" t="str">
        <f aca="false">IF(T479="","",IF(T479=0,"No discount",IF(T479&lt;=0.2,"Low (1-20%)",IF(T479&lt;=0.4,"Medium (21-40%)","High (&gt;40%)"))))</f>
        <v>No discount</v>
      </c>
      <c r="Y479" s="23" t="n">
        <f aca="false">IF(AND(ISNUMBER(C479),ISNUMBER(D479)),D479-C479,"")</f>
        <v>5</v>
      </c>
      <c r="Z479" s="23" t="n">
        <f aca="false">IF(B479="","",IF(MATCH(B479,$B$2:$B$12000,0)=ROW()-1,1,0))</f>
        <v>0</v>
      </c>
    </row>
    <row r="480" customFormat="false" ht="15" hidden="false" customHeight="false" outlineLevel="0" collapsed="false">
      <c r="A480" s="20" t="n">
        <v>479</v>
      </c>
      <c r="B480" s="20" t="s">
        <v>1406</v>
      </c>
      <c r="C480" s="21" t="n">
        <v>42645</v>
      </c>
      <c r="D480" s="21" t="n">
        <v>42649</v>
      </c>
      <c r="E480" s="20" t="s">
        <v>58</v>
      </c>
      <c r="F480" s="20" t="s">
        <v>118</v>
      </c>
      <c r="G480" s="20" t="s">
        <v>119</v>
      </c>
      <c r="H480" s="20" t="s">
        <v>61</v>
      </c>
      <c r="I480" s="20" t="s">
        <v>62</v>
      </c>
      <c r="J480" s="20" t="s">
        <v>63</v>
      </c>
      <c r="K480" s="20" t="s">
        <v>225</v>
      </c>
      <c r="L480" s="20" t="n">
        <v>74137</v>
      </c>
      <c r="M480" s="20" t="s">
        <v>65</v>
      </c>
      <c r="N480" s="20" t="s">
        <v>1407</v>
      </c>
      <c r="O480" s="20" t="s">
        <v>76</v>
      </c>
      <c r="P480" s="20" t="s">
        <v>101</v>
      </c>
      <c r="Q480" s="20" t="s">
        <v>786</v>
      </c>
      <c r="R480" s="22" t="n">
        <v>157.36</v>
      </c>
      <c r="S480" s="20" t="n">
        <v>8</v>
      </c>
      <c r="T480" s="20" t="n">
        <v>0</v>
      </c>
      <c r="U480" s="22" t="n">
        <v>56.63</v>
      </c>
      <c r="V480" s="23" t="n">
        <f aca="false">IF(ISNUMBER(C480),YEAR(C480),"")</f>
        <v>2016</v>
      </c>
      <c r="W480" s="23" t="n">
        <f aca="false">IF(ISNUMBER(C480),MONTH(C480),"")</f>
        <v>10</v>
      </c>
      <c r="X480" s="23" t="str">
        <f aca="false">IF(T480="","",IF(T480=0,"No discount",IF(T480&lt;=0.2,"Low (1-20%)",IF(T480&lt;=0.4,"Medium (21-40%)","High (&gt;40%)"))))</f>
        <v>No discount</v>
      </c>
      <c r="Y480" s="23" t="n">
        <f aca="false">IF(AND(ISNUMBER(C480),ISNUMBER(D480)),D480-C480,"")</f>
        <v>4</v>
      </c>
      <c r="Z480" s="23" t="n">
        <f aca="false">IF(B480="","",IF(MATCH(B480,$B$2:$B$12000,0)=ROW()-1,1,0))</f>
        <v>1</v>
      </c>
    </row>
    <row r="481" customFormat="false" ht="15" hidden="false" customHeight="false" outlineLevel="0" collapsed="false">
      <c r="A481" s="20" t="n">
        <v>480</v>
      </c>
      <c r="B481" s="20" t="s">
        <v>1406</v>
      </c>
      <c r="C481" s="21" t="n">
        <v>42645</v>
      </c>
      <c r="D481" s="21" t="n">
        <v>42649</v>
      </c>
      <c r="E481" s="20" t="s">
        <v>104</v>
      </c>
      <c r="F481" s="20" t="s">
        <v>118</v>
      </c>
      <c r="G481" s="20" t="s">
        <v>119</v>
      </c>
      <c r="H481" s="20" t="s">
        <v>61</v>
      </c>
      <c r="I481" s="20" t="s">
        <v>62</v>
      </c>
      <c r="J481" s="20" t="s">
        <v>63</v>
      </c>
      <c r="K481" s="20" t="s">
        <v>225</v>
      </c>
      <c r="L481" s="20" t="n">
        <v>48289</v>
      </c>
      <c r="M481" s="20" t="s">
        <v>65</v>
      </c>
      <c r="N481" s="20" t="s">
        <v>1408</v>
      </c>
      <c r="O481" s="20" t="s">
        <v>76</v>
      </c>
      <c r="P481" s="20" t="s">
        <v>122</v>
      </c>
      <c r="Q481" s="20" t="s">
        <v>1409</v>
      </c>
      <c r="R481" s="22" t="n">
        <v>200.59</v>
      </c>
      <c r="S481" s="20" t="n">
        <v>6</v>
      </c>
      <c r="T481" s="20" t="n">
        <v>0.3</v>
      </c>
      <c r="U481" s="22" t="n">
        <v>23.21</v>
      </c>
      <c r="V481" s="23" t="n">
        <f aca="false">IF(ISNUMBER(C481),YEAR(C481),"")</f>
        <v>2016</v>
      </c>
      <c r="W481" s="23" t="n">
        <f aca="false">IF(ISNUMBER(C481),MONTH(C481),"")</f>
        <v>10</v>
      </c>
      <c r="X481" s="23" t="str">
        <f aca="false">IF(T481="","",IF(T481=0,"No discount",IF(T481&lt;=0.2,"Low (1-20%)",IF(T481&lt;=0.4,"Medium (21-40%)","High (&gt;40%)"))))</f>
        <v>Medium (21-40%)</v>
      </c>
      <c r="Y481" s="23" t="n">
        <f aca="false">IF(AND(ISNUMBER(C481),ISNUMBER(D481)),D481-C481,"")</f>
        <v>4</v>
      </c>
      <c r="Z481" s="23" t="n">
        <f aca="false">IF(B481="","",IF(MATCH(B481,$B$2:$B$12000,0)=ROW()-1,1,0))</f>
        <v>0</v>
      </c>
    </row>
    <row r="482" customFormat="false" ht="15" hidden="false" customHeight="false" outlineLevel="0" collapsed="false">
      <c r="A482" s="20" t="n">
        <v>481</v>
      </c>
      <c r="B482" s="20" t="s">
        <v>1410</v>
      </c>
      <c r="C482" s="21" t="n">
        <v>42647</v>
      </c>
      <c r="D482" s="21" t="n">
        <v>42654</v>
      </c>
      <c r="E482" s="20" t="s">
        <v>104</v>
      </c>
      <c r="F482" s="20" t="s">
        <v>604</v>
      </c>
      <c r="G482" s="20" t="s">
        <v>605</v>
      </c>
      <c r="H482" s="20" t="s">
        <v>85</v>
      </c>
      <c r="I482" s="20" t="s">
        <v>62</v>
      </c>
      <c r="J482" s="20" t="s">
        <v>63</v>
      </c>
      <c r="K482" s="20" t="s">
        <v>288</v>
      </c>
      <c r="L482" s="20" t="n">
        <v>62187</v>
      </c>
      <c r="M482" s="20" t="s">
        <v>97</v>
      </c>
      <c r="N482" s="20" t="s">
        <v>1411</v>
      </c>
      <c r="O482" s="20" t="s">
        <v>76</v>
      </c>
      <c r="P482" s="20" t="s">
        <v>122</v>
      </c>
      <c r="Q482" s="20" t="s">
        <v>1412</v>
      </c>
      <c r="R482" s="22" t="n">
        <v>96.14</v>
      </c>
      <c r="S482" s="20" t="n">
        <v>5</v>
      </c>
      <c r="T482" s="20" t="n">
        <v>0.4</v>
      </c>
      <c r="U482" s="22" t="n">
        <v>14.82</v>
      </c>
      <c r="V482" s="23" t="n">
        <f aca="false">IF(ISNUMBER(C482),YEAR(C482),"")</f>
        <v>2016</v>
      </c>
      <c r="W482" s="23" t="n">
        <f aca="false">IF(ISNUMBER(C482),MONTH(C482),"")</f>
        <v>10</v>
      </c>
      <c r="X482" s="23" t="str">
        <f aca="false">IF(T482="","",IF(T482=0,"No discount",IF(T482&lt;=0.2,"Low (1-20%)",IF(T482&lt;=0.4,"Medium (21-40%)","High (&gt;40%)"))))</f>
        <v>Medium (21-40%)</v>
      </c>
      <c r="Y482" s="23" t="n">
        <f aca="false">IF(AND(ISNUMBER(C482),ISNUMBER(D482)),D482-C482,"")</f>
        <v>7</v>
      </c>
      <c r="Z482" s="23" t="n">
        <f aca="false">IF(B482="","",IF(MATCH(B482,$B$2:$B$12000,0)=ROW()-1,1,0))</f>
        <v>1</v>
      </c>
    </row>
    <row r="483" customFormat="false" ht="15" hidden="false" customHeight="false" outlineLevel="0" collapsed="false">
      <c r="A483" s="20" t="n">
        <v>482</v>
      </c>
      <c r="B483" s="20" t="s">
        <v>1413</v>
      </c>
      <c r="C483" s="21" t="n">
        <v>42650</v>
      </c>
      <c r="D483" s="21" t="n">
        <v>42653</v>
      </c>
      <c r="E483" s="20" t="s">
        <v>104</v>
      </c>
      <c r="F483" s="20" t="s">
        <v>814</v>
      </c>
      <c r="G483" s="20" t="s">
        <v>815</v>
      </c>
      <c r="H483" s="20" t="s">
        <v>61</v>
      </c>
      <c r="I483" s="20" t="s">
        <v>62</v>
      </c>
      <c r="J483" s="20" t="s">
        <v>63</v>
      </c>
      <c r="K483" s="20" t="s">
        <v>271</v>
      </c>
      <c r="L483" s="20" t="n">
        <v>25304</v>
      </c>
      <c r="M483" s="20" t="s">
        <v>97</v>
      </c>
      <c r="N483" s="20" t="s">
        <v>1414</v>
      </c>
      <c r="O483" s="20" t="s">
        <v>67</v>
      </c>
      <c r="P483" s="20" t="s">
        <v>68</v>
      </c>
      <c r="Q483" s="20" t="s">
        <v>1415</v>
      </c>
      <c r="R483" s="22" t="n">
        <v>4604.5</v>
      </c>
      <c r="S483" s="20" t="n">
        <v>3</v>
      </c>
      <c r="T483" s="20" t="n">
        <v>0</v>
      </c>
      <c r="U483" s="22" t="n">
        <v>1841.25</v>
      </c>
      <c r="V483" s="23" t="n">
        <f aca="false">IF(ISNUMBER(C483),YEAR(C483),"")</f>
        <v>2016</v>
      </c>
      <c r="W483" s="23" t="n">
        <f aca="false">IF(ISNUMBER(C483),MONTH(C483),"")</f>
        <v>10</v>
      </c>
      <c r="X483" s="23" t="str">
        <f aca="false">IF(T483="","",IF(T483=0,"No discount",IF(T483&lt;=0.2,"Low (1-20%)",IF(T483&lt;=0.4,"Medium (21-40%)","High (&gt;40%)"))))</f>
        <v>No discount</v>
      </c>
      <c r="Y483" s="23" t="n">
        <f aca="false">IF(AND(ISNUMBER(C483),ISNUMBER(D483)),D483-C483,"")</f>
        <v>3</v>
      </c>
      <c r="Z483" s="23" t="n">
        <f aca="false">IF(B483="","",IF(MATCH(B483,$B$2:$B$12000,0)=ROW()-1,1,0))</f>
        <v>1</v>
      </c>
    </row>
    <row r="484" customFormat="false" ht="15" hidden="false" customHeight="false" outlineLevel="0" collapsed="false">
      <c r="A484" s="20" t="n">
        <v>483</v>
      </c>
      <c r="B484" s="20" t="s">
        <v>1416</v>
      </c>
      <c r="C484" s="21" t="n">
        <v>42660</v>
      </c>
      <c r="D484" s="21" t="n">
        <v>42661</v>
      </c>
      <c r="E484" s="20" t="s">
        <v>104</v>
      </c>
      <c r="F484" s="20" t="s">
        <v>125</v>
      </c>
      <c r="G484" s="20" t="s">
        <v>126</v>
      </c>
      <c r="H484" s="20" t="s">
        <v>61</v>
      </c>
      <c r="I484" s="20" t="s">
        <v>62</v>
      </c>
      <c r="J484" s="20" t="s">
        <v>63</v>
      </c>
      <c r="K484" s="20" t="s">
        <v>487</v>
      </c>
      <c r="L484" s="20" t="n">
        <v>43413</v>
      </c>
      <c r="M484" s="20" t="s">
        <v>65</v>
      </c>
      <c r="N484" s="20" t="s">
        <v>1417</v>
      </c>
      <c r="O484" s="20" t="s">
        <v>76</v>
      </c>
      <c r="P484" s="20" t="s">
        <v>178</v>
      </c>
      <c r="Q484" s="20" t="s">
        <v>1418</v>
      </c>
      <c r="R484" s="22" t="n">
        <v>831.95</v>
      </c>
      <c r="S484" s="20" t="n">
        <v>7</v>
      </c>
      <c r="T484" s="20" t="n">
        <v>0.1</v>
      </c>
      <c r="U484" s="22" t="n">
        <v>-134.23</v>
      </c>
      <c r="V484" s="23" t="n">
        <f aca="false">IF(ISNUMBER(C484),YEAR(C484),"")</f>
        <v>2016</v>
      </c>
      <c r="W484" s="23" t="n">
        <f aca="false">IF(ISNUMBER(C484),MONTH(C484),"")</f>
        <v>10</v>
      </c>
      <c r="X484" s="23" t="str">
        <f aca="false">IF(T484="","",IF(T484=0,"No discount",IF(T484&lt;=0.2,"Low (1-20%)",IF(T484&lt;=0.4,"Medium (21-40%)","High (&gt;40%)"))))</f>
        <v>Low (1-20%)</v>
      </c>
      <c r="Y484" s="23" t="n">
        <f aca="false">IF(AND(ISNUMBER(C484),ISNUMBER(D484)),D484-C484,"")</f>
        <v>1</v>
      </c>
      <c r="Z484" s="23" t="n">
        <f aca="false">IF(B484="","",IF(MATCH(B484,$B$2:$B$12000,0)=ROW()-1,1,0))</f>
        <v>1</v>
      </c>
    </row>
    <row r="485" customFormat="false" ht="15" hidden="false" customHeight="false" outlineLevel="0" collapsed="false">
      <c r="A485" s="20" t="n">
        <v>484</v>
      </c>
      <c r="B485" s="20" t="s">
        <v>1419</v>
      </c>
      <c r="C485" s="21" t="n">
        <v>42663</v>
      </c>
      <c r="D485" s="21" t="n">
        <v>42666</v>
      </c>
      <c r="E485" s="20" t="s">
        <v>104</v>
      </c>
      <c r="F485" s="20" t="s">
        <v>233</v>
      </c>
      <c r="G485" s="20" t="s">
        <v>234</v>
      </c>
      <c r="H485" s="20" t="s">
        <v>61</v>
      </c>
      <c r="I485" s="20" t="s">
        <v>62</v>
      </c>
      <c r="J485" s="20" t="s">
        <v>63</v>
      </c>
      <c r="K485" s="20" t="s">
        <v>445</v>
      </c>
      <c r="L485" s="20" t="n">
        <v>46952</v>
      </c>
      <c r="M485" s="20" t="s">
        <v>153</v>
      </c>
      <c r="N485" s="20" t="s">
        <v>1420</v>
      </c>
      <c r="O485" s="20" t="s">
        <v>76</v>
      </c>
      <c r="P485" s="20" t="s">
        <v>236</v>
      </c>
      <c r="Q485" s="20" t="s">
        <v>1421</v>
      </c>
      <c r="R485" s="22" t="n">
        <v>27.17</v>
      </c>
      <c r="S485" s="20" t="n">
        <v>5</v>
      </c>
      <c r="T485" s="20" t="n">
        <v>0.2</v>
      </c>
      <c r="U485" s="22" t="n">
        <v>7.86</v>
      </c>
      <c r="V485" s="23" t="n">
        <f aca="false">IF(ISNUMBER(C485),YEAR(C485),"")</f>
        <v>2016</v>
      </c>
      <c r="W485" s="23" t="n">
        <f aca="false">IF(ISNUMBER(C485),MONTH(C485),"")</f>
        <v>10</v>
      </c>
      <c r="X485" s="23" t="str">
        <f aca="false">IF(T485="","",IF(T485=0,"No discount",IF(T485&lt;=0.2,"Low (1-20%)",IF(T485&lt;=0.4,"Medium (21-40%)","High (&gt;40%)"))))</f>
        <v>Low (1-20%)</v>
      </c>
      <c r="Y485" s="23" t="n">
        <f aca="false">IF(AND(ISNUMBER(C485),ISNUMBER(D485)),D485-C485,"")</f>
        <v>3</v>
      </c>
      <c r="Z485" s="23" t="n">
        <f aca="false">IF(B485="","",IF(MATCH(B485,$B$2:$B$12000,0)=ROW()-1,1,0))</f>
        <v>1</v>
      </c>
    </row>
    <row r="486" customFormat="false" ht="15" hidden="false" customHeight="false" outlineLevel="0" collapsed="false">
      <c r="A486" s="20" t="n">
        <v>485</v>
      </c>
      <c r="B486" s="20" t="s">
        <v>1422</v>
      </c>
      <c r="C486" s="21" t="n">
        <v>42663</v>
      </c>
      <c r="D486" s="21" t="n">
        <v>42665</v>
      </c>
      <c r="E486" s="20" t="s">
        <v>90</v>
      </c>
      <c r="F486" s="20" t="s">
        <v>732</v>
      </c>
      <c r="G486" s="20" t="s">
        <v>733</v>
      </c>
      <c r="H486" s="20" t="s">
        <v>85</v>
      </c>
      <c r="I486" s="20" t="s">
        <v>62</v>
      </c>
      <c r="J486" s="20" t="s">
        <v>63</v>
      </c>
      <c r="K486" s="20" t="s">
        <v>260</v>
      </c>
      <c r="L486" s="20" t="n">
        <v>75381</v>
      </c>
      <c r="M486" s="20" t="s">
        <v>97</v>
      </c>
      <c r="N486" s="20" t="s">
        <v>1423</v>
      </c>
      <c r="O486" s="20" t="s">
        <v>114</v>
      </c>
      <c r="P486" s="20" t="s">
        <v>139</v>
      </c>
      <c r="Q486" s="20" t="s">
        <v>1424</v>
      </c>
      <c r="R486" s="22" t="n">
        <v>978.24</v>
      </c>
      <c r="S486" s="20" t="n">
        <v>6</v>
      </c>
      <c r="T486" s="20" t="n">
        <v>0.2</v>
      </c>
      <c r="U486" s="22" t="n">
        <v>-81.96</v>
      </c>
      <c r="V486" s="23" t="n">
        <f aca="false">IF(ISNUMBER(C486),YEAR(C486),"")</f>
        <v>2016</v>
      </c>
      <c r="W486" s="23" t="n">
        <f aca="false">IF(ISNUMBER(C486),MONTH(C486),"")</f>
        <v>10</v>
      </c>
      <c r="X486" s="23" t="str">
        <f aca="false">IF(T486="","",IF(T486=0,"No discount",IF(T486&lt;=0.2,"Low (1-20%)",IF(T486&lt;=0.4,"Medium (21-40%)","High (&gt;40%)"))))</f>
        <v>Low (1-20%)</v>
      </c>
      <c r="Y486" s="23" t="n">
        <f aca="false">IF(AND(ISNUMBER(C486),ISNUMBER(D486)),D486-C486,"")</f>
        <v>2</v>
      </c>
      <c r="Z486" s="23" t="n">
        <f aca="false">IF(B486="","",IF(MATCH(B486,$B$2:$B$12000,0)=ROW()-1,1,0))</f>
        <v>1</v>
      </c>
    </row>
    <row r="487" customFormat="false" ht="15" hidden="false" customHeight="false" outlineLevel="0" collapsed="false">
      <c r="A487" s="20" t="n">
        <v>486</v>
      </c>
      <c r="B487" s="20" t="s">
        <v>1422</v>
      </c>
      <c r="C487" s="21" t="n">
        <v>42663</v>
      </c>
      <c r="D487" s="21" t="n">
        <v>42665</v>
      </c>
      <c r="E487" s="20" t="s">
        <v>104</v>
      </c>
      <c r="F487" s="20" t="s">
        <v>732</v>
      </c>
      <c r="G487" s="20" t="s">
        <v>733</v>
      </c>
      <c r="H487" s="20" t="s">
        <v>85</v>
      </c>
      <c r="I487" s="20" t="s">
        <v>62</v>
      </c>
      <c r="J487" s="20" t="s">
        <v>63</v>
      </c>
      <c r="K487" s="20" t="s">
        <v>260</v>
      </c>
      <c r="L487" s="20" t="n">
        <v>83631</v>
      </c>
      <c r="M487" s="20" t="s">
        <v>97</v>
      </c>
      <c r="N487" s="20" t="s">
        <v>1425</v>
      </c>
      <c r="O487" s="20" t="s">
        <v>76</v>
      </c>
      <c r="P487" s="20" t="s">
        <v>88</v>
      </c>
      <c r="Q487" s="20" t="s">
        <v>1426</v>
      </c>
      <c r="R487" s="22" t="n">
        <v>2214.99</v>
      </c>
      <c r="S487" s="20" t="n">
        <v>6</v>
      </c>
      <c r="T487" s="20" t="n">
        <v>0.2</v>
      </c>
      <c r="U487" s="22" t="n">
        <v>142.41</v>
      </c>
      <c r="V487" s="23" t="n">
        <f aca="false">IF(ISNUMBER(C487),YEAR(C487),"")</f>
        <v>2016</v>
      </c>
      <c r="W487" s="23" t="n">
        <f aca="false">IF(ISNUMBER(C487),MONTH(C487),"")</f>
        <v>10</v>
      </c>
      <c r="X487" s="23" t="str">
        <f aca="false">IF(T487="","",IF(T487=0,"No discount",IF(T487&lt;=0.2,"Low (1-20%)",IF(T487&lt;=0.4,"Medium (21-40%)","High (&gt;40%)"))))</f>
        <v>Low (1-20%)</v>
      </c>
      <c r="Y487" s="23" t="n">
        <f aca="false">IF(AND(ISNUMBER(C487),ISNUMBER(D487)),D487-C487,"")</f>
        <v>2</v>
      </c>
      <c r="Z487" s="23" t="n">
        <f aca="false">IF(B487="","",IF(MATCH(B487,$B$2:$B$12000,0)=ROW()-1,1,0))</f>
        <v>0</v>
      </c>
    </row>
    <row r="488" customFormat="false" ht="15" hidden="false" customHeight="false" outlineLevel="0" collapsed="false">
      <c r="A488" s="20" t="n">
        <v>487</v>
      </c>
      <c r="B488" s="20" t="s">
        <v>1427</v>
      </c>
      <c r="C488" s="21" t="n">
        <v>42665</v>
      </c>
      <c r="D488" s="21" t="n">
        <v>42667</v>
      </c>
      <c r="E488" s="20" t="s">
        <v>58</v>
      </c>
      <c r="F488" s="20" t="s">
        <v>1315</v>
      </c>
      <c r="G488" s="20" t="s">
        <v>1316</v>
      </c>
      <c r="H488" s="20" t="s">
        <v>61</v>
      </c>
      <c r="I488" s="20" t="s">
        <v>62</v>
      </c>
      <c r="J488" s="20" t="s">
        <v>63</v>
      </c>
      <c r="K488" s="20" t="s">
        <v>296</v>
      </c>
      <c r="L488" s="20" t="n">
        <v>27136</v>
      </c>
      <c r="M488" s="20" t="s">
        <v>153</v>
      </c>
      <c r="N488" s="20" t="s">
        <v>1428</v>
      </c>
      <c r="O488" s="20" t="s">
        <v>114</v>
      </c>
      <c r="P488" s="20" t="s">
        <v>210</v>
      </c>
      <c r="Q488" s="20" t="s">
        <v>1429</v>
      </c>
      <c r="R488" s="22" t="n">
        <v>223.61</v>
      </c>
      <c r="S488" s="20" t="n">
        <v>2</v>
      </c>
      <c r="T488" s="20" t="n">
        <v>0</v>
      </c>
      <c r="U488" s="22" t="n">
        <v>35.76</v>
      </c>
      <c r="V488" s="23" t="n">
        <f aca="false">IF(ISNUMBER(C488),YEAR(C488),"")</f>
        <v>2016</v>
      </c>
      <c r="W488" s="23" t="n">
        <f aca="false">IF(ISNUMBER(C488),MONTH(C488),"")</f>
        <v>10</v>
      </c>
      <c r="X488" s="23" t="str">
        <f aca="false">IF(T488="","",IF(T488=0,"No discount",IF(T488&lt;=0.2,"Low (1-20%)",IF(T488&lt;=0.4,"Medium (21-40%)","High (&gt;40%)"))))</f>
        <v>No discount</v>
      </c>
      <c r="Y488" s="23" t="n">
        <f aca="false">IF(AND(ISNUMBER(C488),ISNUMBER(D488)),D488-C488,"")</f>
        <v>2</v>
      </c>
      <c r="Z488" s="23" t="n">
        <f aca="false">IF(B488="","",IF(MATCH(B488,$B$2:$B$12000,0)=ROW()-1,1,0))</f>
        <v>1</v>
      </c>
    </row>
    <row r="489" customFormat="false" ht="15" hidden="false" customHeight="false" outlineLevel="0" collapsed="false">
      <c r="A489" s="20" t="n">
        <v>488</v>
      </c>
      <c r="B489" s="20" t="s">
        <v>1427</v>
      </c>
      <c r="C489" s="21" t="n">
        <v>42665</v>
      </c>
      <c r="D489" s="21" t="n">
        <v>42667</v>
      </c>
      <c r="E489" s="20" t="s">
        <v>58</v>
      </c>
      <c r="F489" s="20" t="s">
        <v>1315</v>
      </c>
      <c r="G489" s="20" t="s">
        <v>1316</v>
      </c>
      <c r="H489" s="20" t="s">
        <v>61</v>
      </c>
      <c r="I489" s="20" t="s">
        <v>62</v>
      </c>
      <c r="J489" s="20" t="s">
        <v>63</v>
      </c>
      <c r="K489" s="20" t="s">
        <v>296</v>
      </c>
      <c r="L489" s="20" t="n">
        <v>97178</v>
      </c>
      <c r="M489" s="20" t="s">
        <v>153</v>
      </c>
      <c r="N489" s="20" t="s">
        <v>1430</v>
      </c>
      <c r="O489" s="20" t="s">
        <v>76</v>
      </c>
      <c r="P489" s="20" t="s">
        <v>101</v>
      </c>
      <c r="Q489" s="20" t="s">
        <v>516</v>
      </c>
      <c r="R489" s="22" t="n">
        <v>178.88</v>
      </c>
      <c r="S489" s="20" t="n">
        <v>8</v>
      </c>
      <c r="T489" s="20" t="n">
        <v>0.2</v>
      </c>
      <c r="U489" s="22" t="n">
        <v>48.56</v>
      </c>
      <c r="V489" s="23" t="n">
        <f aca="false">IF(ISNUMBER(C489),YEAR(C489),"")</f>
        <v>2016</v>
      </c>
      <c r="W489" s="23" t="n">
        <f aca="false">IF(ISNUMBER(C489),MONTH(C489),"")</f>
        <v>10</v>
      </c>
      <c r="X489" s="23" t="str">
        <f aca="false">IF(T489="","",IF(T489=0,"No discount",IF(T489&lt;=0.2,"Low (1-20%)",IF(T489&lt;=0.4,"Medium (21-40%)","High (&gt;40%)"))))</f>
        <v>Low (1-20%)</v>
      </c>
      <c r="Y489" s="23" t="n">
        <f aca="false">IF(AND(ISNUMBER(C489),ISNUMBER(D489)),D489-C489,"")</f>
        <v>2</v>
      </c>
      <c r="Z489" s="23" t="n">
        <f aca="false">IF(B489="","",IF(MATCH(B489,$B$2:$B$12000,0)=ROW()-1,1,0))</f>
        <v>0</v>
      </c>
    </row>
    <row r="490" customFormat="false" ht="15" hidden="false" customHeight="false" outlineLevel="0" collapsed="false">
      <c r="A490" s="20" t="n">
        <v>489</v>
      </c>
      <c r="B490" s="20" t="s">
        <v>1427</v>
      </c>
      <c r="C490" s="21" t="n">
        <v>42665</v>
      </c>
      <c r="D490" s="21" t="n">
        <v>42667</v>
      </c>
      <c r="E490" s="20" t="s">
        <v>71</v>
      </c>
      <c r="F490" s="20" t="s">
        <v>1315</v>
      </c>
      <c r="G490" s="20" t="s">
        <v>1316</v>
      </c>
      <c r="H490" s="20" t="s">
        <v>61</v>
      </c>
      <c r="I490" s="20" t="s">
        <v>62</v>
      </c>
      <c r="J490" s="20" t="s">
        <v>63</v>
      </c>
      <c r="K490" s="20" t="s">
        <v>296</v>
      </c>
      <c r="L490" s="20" t="n">
        <v>73622</v>
      </c>
      <c r="M490" s="20" t="s">
        <v>153</v>
      </c>
      <c r="N490" s="20" t="s">
        <v>1431</v>
      </c>
      <c r="O490" s="20" t="s">
        <v>76</v>
      </c>
      <c r="P490" s="20" t="s">
        <v>128</v>
      </c>
      <c r="Q490" s="20" t="s">
        <v>1432</v>
      </c>
      <c r="R490" s="22" t="n">
        <v>870.58</v>
      </c>
      <c r="S490" s="20" t="n">
        <v>4</v>
      </c>
      <c r="T490" s="20" t="n">
        <v>0</v>
      </c>
      <c r="U490" s="22" t="n">
        <v>120.74</v>
      </c>
      <c r="V490" s="23" t="n">
        <f aca="false">IF(ISNUMBER(C490),YEAR(C490),"")</f>
        <v>2016</v>
      </c>
      <c r="W490" s="23" t="n">
        <f aca="false">IF(ISNUMBER(C490),MONTH(C490),"")</f>
        <v>10</v>
      </c>
      <c r="X490" s="23" t="str">
        <f aca="false">IF(T490="","",IF(T490=0,"No discount",IF(T490&lt;=0.2,"Low (1-20%)",IF(T490&lt;=0.4,"Medium (21-40%)","High (&gt;40%)"))))</f>
        <v>No discount</v>
      </c>
      <c r="Y490" s="23" t="n">
        <f aca="false">IF(AND(ISNUMBER(C490),ISNUMBER(D490)),D490-C490,"")</f>
        <v>2</v>
      </c>
      <c r="Z490" s="23" t="n">
        <f aca="false">IF(B490="","",IF(MATCH(B490,$B$2:$B$12000,0)=ROW()-1,1,0))</f>
        <v>0</v>
      </c>
    </row>
    <row r="491" customFormat="false" ht="15" hidden="false" customHeight="false" outlineLevel="0" collapsed="false">
      <c r="A491" s="20" t="n">
        <v>490</v>
      </c>
      <c r="B491" s="20" t="s">
        <v>1433</v>
      </c>
      <c r="C491" s="21" t="n">
        <v>42668</v>
      </c>
      <c r="D491" s="21" t="n">
        <v>42675</v>
      </c>
      <c r="E491" s="20" t="s">
        <v>58</v>
      </c>
      <c r="F491" s="20" t="s">
        <v>758</v>
      </c>
      <c r="G491" s="20" t="s">
        <v>759</v>
      </c>
      <c r="H491" s="20" t="s">
        <v>61</v>
      </c>
      <c r="I491" s="20" t="s">
        <v>62</v>
      </c>
      <c r="J491" s="20" t="s">
        <v>63</v>
      </c>
      <c r="K491" s="20" t="s">
        <v>202</v>
      </c>
      <c r="L491" s="20" t="n">
        <v>86370</v>
      </c>
      <c r="M491" s="20" t="s">
        <v>153</v>
      </c>
      <c r="N491" s="20" t="s">
        <v>1434</v>
      </c>
      <c r="O491" s="20" t="s">
        <v>76</v>
      </c>
      <c r="P491" s="20" t="s">
        <v>178</v>
      </c>
      <c r="Q491" s="20" t="s">
        <v>1435</v>
      </c>
      <c r="R491" s="22" t="n">
        <v>81.72</v>
      </c>
      <c r="S491" s="20" t="n">
        <v>3</v>
      </c>
      <c r="T491" s="20" t="n">
        <v>0.2</v>
      </c>
      <c r="U491" s="22" t="n">
        <v>-8.97</v>
      </c>
      <c r="V491" s="23" t="n">
        <f aca="false">IF(ISNUMBER(C491),YEAR(C491),"")</f>
        <v>2016</v>
      </c>
      <c r="W491" s="23" t="n">
        <f aca="false">IF(ISNUMBER(C491),MONTH(C491),"")</f>
        <v>10</v>
      </c>
      <c r="X491" s="23" t="str">
        <f aca="false">IF(T491="","",IF(T491=0,"No discount",IF(T491&lt;=0.2,"Low (1-20%)",IF(T491&lt;=0.4,"Medium (21-40%)","High (&gt;40%)"))))</f>
        <v>Low (1-20%)</v>
      </c>
      <c r="Y491" s="23" t="n">
        <f aca="false">IF(AND(ISNUMBER(C491),ISNUMBER(D491)),D491-C491,"")</f>
        <v>7</v>
      </c>
      <c r="Z491" s="23" t="n">
        <f aca="false">IF(B491="","",IF(MATCH(B491,$B$2:$B$12000,0)=ROW()-1,1,0))</f>
        <v>1</v>
      </c>
    </row>
    <row r="492" customFormat="false" ht="15" hidden="false" customHeight="false" outlineLevel="0" collapsed="false">
      <c r="A492" s="20" t="n">
        <v>491</v>
      </c>
      <c r="B492" s="20" t="s">
        <v>1433</v>
      </c>
      <c r="C492" s="21" t="n">
        <v>42668</v>
      </c>
      <c r="D492" s="21" t="n">
        <v>42675</v>
      </c>
      <c r="E492" s="20" t="s">
        <v>90</v>
      </c>
      <c r="F492" s="20" t="s">
        <v>758</v>
      </c>
      <c r="G492" s="20" t="s">
        <v>759</v>
      </c>
      <c r="H492" s="20" t="s">
        <v>61</v>
      </c>
      <c r="I492" s="20" t="s">
        <v>62</v>
      </c>
      <c r="J492" s="20" t="s">
        <v>63</v>
      </c>
      <c r="K492" s="20" t="s">
        <v>202</v>
      </c>
      <c r="L492" s="20" t="n">
        <v>74007</v>
      </c>
      <c r="M492" s="20" t="s">
        <v>153</v>
      </c>
      <c r="N492" s="20" t="s">
        <v>1436</v>
      </c>
      <c r="O492" s="20" t="s">
        <v>114</v>
      </c>
      <c r="P492" s="20" t="s">
        <v>167</v>
      </c>
      <c r="Q492" s="20" t="s">
        <v>554</v>
      </c>
      <c r="R492" s="22" t="n">
        <v>1656.18</v>
      </c>
      <c r="S492" s="20" t="n">
        <v>6</v>
      </c>
      <c r="T492" s="20" t="n">
        <v>0.2</v>
      </c>
      <c r="U492" s="22" t="n">
        <v>-328.81</v>
      </c>
      <c r="V492" s="23" t="n">
        <f aca="false">IF(ISNUMBER(C492),YEAR(C492),"")</f>
        <v>2016</v>
      </c>
      <c r="W492" s="23" t="n">
        <f aca="false">IF(ISNUMBER(C492),MONTH(C492),"")</f>
        <v>10</v>
      </c>
      <c r="X492" s="23" t="str">
        <f aca="false">IF(T492="","",IF(T492=0,"No discount",IF(T492&lt;=0.2,"Low (1-20%)",IF(T492&lt;=0.4,"Medium (21-40%)","High (&gt;40%)"))))</f>
        <v>Low (1-20%)</v>
      </c>
      <c r="Y492" s="23" t="n">
        <f aca="false">IF(AND(ISNUMBER(C492),ISNUMBER(D492)),D492-C492,"")</f>
        <v>7</v>
      </c>
      <c r="Z492" s="23" t="n">
        <f aca="false">IF(B492="","",IF(MATCH(B492,$B$2:$B$12000,0)=ROW()-1,1,0))</f>
        <v>0</v>
      </c>
    </row>
    <row r="493" customFormat="false" ht="15" hidden="false" customHeight="false" outlineLevel="0" collapsed="false">
      <c r="A493" s="20" t="n">
        <v>492</v>
      </c>
      <c r="B493" s="20" t="s">
        <v>1437</v>
      </c>
      <c r="C493" s="21" t="n">
        <v>42675</v>
      </c>
      <c r="D493" s="21" t="n">
        <v>42676</v>
      </c>
      <c r="E493" s="20" t="s">
        <v>104</v>
      </c>
      <c r="F493" s="20" t="s">
        <v>118</v>
      </c>
      <c r="G493" s="20" t="s">
        <v>119</v>
      </c>
      <c r="H493" s="20" t="s">
        <v>61</v>
      </c>
      <c r="I493" s="20" t="s">
        <v>62</v>
      </c>
      <c r="J493" s="20" t="s">
        <v>63</v>
      </c>
      <c r="K493" s="20" t="s">
        <v>354</v>
      </c>
      <c r="L493" s="20" t="n">
        <v>29611</v>
      </c>
      <c r="M493" s="20" t="s">
        <v>153</v>
      </c>
      <c r="N493" s="20" t="s">
        <v>1438</v>
      </c>
      <c r="O493" s="20" t="s">
        <v>76</v>
      </c>
      <c r="P493" s="20" t="s">
        <v>128</v>
      </c>
      <c r="Q493" s="20" t="s">
        <v>1439</v>
      </c>
      <c r="R493" s="22" t="n">
        <v>465.81</v>
      </c>
      <c r="S493" s="20" t="n">
        <v>4</v>
      </c>
      <c r="T493" s="20" t="n">
        <v>0.5</v>
      </c>
      <c r="U493" s="22" t="n">
        <v>-97.79</v>
      </c>
      <c r="V493" s="23" t="n">
        <f aca="false">IF(ISNUMBER(C493),YEAR(C493),"")</f>
        <v>2016</v>
      </c>
      <c r="W493" s="23" t="n">
        <f aca="false">IF(ISNUMBER(C493),MONTH(C493),"")</f>
        <v>11</v>
      </c>
      <c r="X493" s="23" t="str">
        <f aca="false">IF(T493="","",IF(T493=0,"No discount",IF(T493&lt;=0.2,"Low (1-20%)",IF(T493&lt;=0.4,"Medium (21-40%)","High (&gt;40%)"))))</f>
        <v>High (&gt;40%)</v>
      </c>
      <c r="Y493" s="23" t="n">
        <f aca="false">IF(AND(ISNUMBER(C493),ISNUMBER(D493)),D493-C493,"")</f>
        <v>1</v>
      </c>
      <c r="Z493" s="23" t="n">
        <f aca="false">IF(B493="","",IF(MATCH(B493,$B$2:$B$12000,0)=ROW()-1,1,0))</f>
        <v>1</v>
      </c>
    </row>
    <row r="494" customFormat="false" ht="15" hidden="false" customHeight="false" outlineLevel="0" collapsed="false">
      <c r="A494" s="20" t="n">
        <v>493</v>
      </c>
      <c r="B494" s="20" t="s">
        <v>1437</v>
      </c>
      <c r="C494" s="21" t="n">
        <v>42675</v>
      </c>
      <c r="D494" s="21" t="n">
        <v>42676</v>
      </c>
      <c r="E494" s="20" t="s">
        <v>104</v>
      </c>
      <c r="F494" s="20" t="s">
        <v>118</v>
      </c>
      <c r="G494" s="20" t="s">
        <v>119</v>
      </c>
      <c r="H494" s="20" t="s">
        <v>61</v>
      </c>
      <c r="I494" s="20" t="s">
        <v>62</v>
      </c>
      <c r="J494" s="20" t="s">
        <v>63</v>
      </c>
      <c r="K494" s="20" t="s">
        <v>354</v>
      </c>
      <c r="L494" s="20" t="n">
        <v>91967</v>
      </c>
      <c r="M494" s="20" t="s">
        <v>153</v>
      </c>
      <c r="N494" s="20" t="s">
        <v>1440</v>
      </c>
      <c r="O494" s="20" t="s">
        <v>76</v>
      </c>
      <c r="P494" s="20" t="s">
        <v>101</v>
      </c>
      <c r="Q494" s="20" t="s">
        <v>1441</v>
      </c>
      <c r="R494" s="22" t="n">
        <v>12.27</v>
      </c>
      <c r="S494" s="20" t="n">
        <v>6</v>
      </c>
      <c r="T494" s="20" t="n">
        <v>0.7</v>
      </c>
      <c r="U494" s="22" t="n">
        <v>0.36</v>
      </c>
      <c r="V494" s="23" t="n">
        <f aca="false">IF(ISNUMBER(C494),YEAR(C494),"")</f>
        <v>2016</v>
      </c>
      <c r="W494" s="23" t="n">
        <f aca="false">IF(ISNUMBER(C494),MONTH(C494),"")</f>
        <v>11</v>
      </c>
      <c r="X494" s="23" t="str">
        <f aca="false">IF(T494="","",IF(T494=0,"No discount",IF(T494&lt;=0.2,"Low (1-20%)",IF(T494&lt;=0.4,"Medium (21-40%)","High (&gt;40%)"))))</f>
        <v>High (&gt;40%)</v>
      </c>
      <c r="Y494" s="23" t="n">
        <f aca="false">IF(AND(ISNUMBER(C494),ISNUMBER(D494)),D494-C494,"")</f>
        <v>1</v>
      </c>
      <c r="Z494" s="23" t="n">
        <f aca="false">IF(B494="","",IF(MATCH(B494,$B$2:$B$12000,0)=ROW()-1,1,0))</f>
        <v>0</v>
      </c>
    </row>
    <row r="495" customFormat="false" ht="15" hidden="false" customHeight="false" outlineLevel="0" collapsed="false">
      <c r="A495" s="20" t="n">
        <v>494</v>
      </c>
      <c r="B495" s="20" t="s">
        <v>1437</v>
      </c>
      <c r="C495" s="21" t="n">
        <v>42675</v>
      </c>
      <c r="D495" s="21" t="n">
        <v>42676</v>
      </c>
      <c r="E495" s="20" t="s">
        <v>58</v>
      </c>
      <c r="F495" s="20" t="s">
        <v>118</v>
      </c>
      <c r="G495" s="20" t="s">
        <v>119</v>
      </c>
      <c r="H495" s="20" t="s">
        <v>61</v>
      </c>
      <c r="I495" s="20" t="s">
        <v>62</v>
      </c>
      <c r="J495" s="20" t="s">
        <v>63</v>
      </c>
      <c r="K495" s="20" t="s">
        <v>354</v>
      </c>
      <c r="L495" s="20" t="n">
        <v>74128</v>
      </c>
      <c r="M495" s="20" t="s">
        <v>153</v>
      </c>
      <c r="N495" s="20" t="s">
        <v>1442</v>
      </c>
      <c r="O495" s="20" t="s">
        <v>76</v>
      </c>
      <c r="P495" s="20" t="s">
        <v>101</v>
      </c>
      <c r="Q495" s="20" t="s">
        <v>1443</v>
      </c>
      <c r="R495" s="22" t="n">
        <v>101.72</v>
      </c>
      <c r="S495" s="20" t="n">
        <v>5</v>
      </c>
      <c r="T495" s="20" t="n">
        <v>0.4</v>
      </c>
      <c r="U495" s="22" t="n">
        <v>20.14</v>
      </c>
      <c r="V495" s="23" t="n">
        <f aca="false">IF(ISNUMBER(C495),YEAR(C495),"")</f>
        <v>2016</v>
      </c>
      <c r="W495" s="23" t="n">
        <f aca="false">IF(ISNUMBER(C495),MONTH(C495),"")</f>
        <v>11</v>
      </c>
      <c r="X495" s="23" t="str">
        <f aca="false">IF(T495="","",IF(T495=0,"No discount",IF(T495&lt;=0.2,"Low (1-20%)",IF(T495&lt;=0.4,"Medium (21-40%)","High (&gt;40%)"))))</f>
        <v>Medium (21-40%)</v>
      </c>
      <c r="Y495" s="23" t="n">
        <f aca="false">IF(AND(ISNUMBER(C495),ISNUMBER(D495)),D495-C495,"")</f>
        <v>1</v>
      </c>
      <c r="Z495" s="23" t="n">
        <f aca="false">IF(B495="","",IF(MATCH(B495,$B$2:$B$12000,0)=ROW()-1,1,0))</f>
        <v>0</v>
      </c>
    </row>
    <row r="496" customFormat="false" ht="15" hidden="false" customHeight="false" outlineLevel="0" collapsed="false">
      <c r="A496" s="20" t="n">
        <v>495</v>
      </c>
      <c r="B496" s="20" t="s">
        <v>1444</v>
      </c>
      <c r="C496" s="21" t="n">
        <v>42676</v>
      </c>
      <c r="D496" s="21" t="n">
        <v>42682</v>
      </c>
      <c r="E496" s="20" t="s">
        <v>58</v>
      </c>
      <c r="F496" s="20" t="s">
        <v>1445</v>
      </c>
      <c r="G496" s="20" t="s">
        <v>1446</v>
      </c>
      <c r="H496" s="20" t="s">
        <v>162</v>
      </c>
      <c r="I496" s="20" t="s">
        <v>62</v>
      </c>
      <c r="J496" s="20" t="s">
        <v>63</v>
      </c>
      <c r="K496" s="20" t="s">
        <v>377</v>
      </c>
      <c r="L496" s="20" t="n">
        <v>12070</v>
      </c>
      <c r="M496" s="20" t="s">
        <v>65</v>
      </c>
      <c r="N496" s="20" t="s">
        <v>1447</v>
      </c>
      <c r="O496" s="20" t="s">
        <v>76</v>
      </c>
      <c r="P496" s="20" t="s">
        <v>122</v>
      </c>
      <c r="Q496" s="20" t="s">
        <v>1448</v>
      </c>
      <c r="R496" s="22" t="n">
        <v>5.72</v>
      </c>
      <c r="S496" s="20" t="n">
        <v>2</v>
      </c>
      <c r="T496" s="20" t="n">
        <v>0.7</v>
      </c>
      <c r="U496" s="22" t="n">
        <v>-0.53</v>
      </c>
      <c r="V496" s="23" t="n">
        <f aca="false">IF(ISNUMBER(C496),YEAR(C496),"")</f>
        <v>2016</v>
      </c>
      <c r="W496" s="23" t="n">
        <f aca="false">IF(ISNUMBER(C496),MONTH(C496),"")</f>
        <v>11</v>
      </c>
      <c r="X496" s="23" t="str">
        <f aca="false">IF(T496="","",IF(T496=0,"No discount",IF(T496&lt;=0.2,"Low (1-20%)",IF(T496&lt;=0.4,"Medium (21-40%)","High (&gt;40%)"))))</f>
        <v>High (&gt;40%)</v>
      </c>
      <c r="Y496" s="23" t="n">
        <f aca="false">IF(AND(ISNUMBER(C496),ISNUMBER(D496)),D496-C496,"")</f>
        <v>6</v>
      </c>
      <c r="Z496" s="23" t="n">
        <f aca="false">IF(B496="","",IF(MATCH(B496,$B$2:$B$12000,0)=ROW()-1,1,0))</f>
        <v>1</v>
      </c>
    </row>
    <row r="497" customFormat="false" ht="15" hidden="false" customHeight="false" outlineLevel="0" collapsed="false">
      <c r="A497" s="20" t="n">
        <v>496</v>
      </c>
      <c r="B497" s="20" t="s">
        <v>1444</v>
      </c>
      <c r="C497" s="21" t="n">
        <v>42676</v>
      </c>
      <c r="D497" s="21" t="n">
        <v>42682</v>
      </c>
      <c r="E497" s="20" t="s">
        <v>104</v>
      </c>
      <c r="F497" s="20" t="s">
        <v>1445</v>
      </c>
      <c r="G497" s="20" t="s">
        <v>1446</v>
      </c>
      <c r="H497" s="20" t="s">
        <v>162</v>
      </c>
      <c r="I497" s="20" t="s">
        <v>62</v>
      </c>
      <c r="J497" s="20" t="s">
        <v>63</v>
      </c>
      <c r="K497" s="20" t="s">
        <v>377</v>
      </c>
      <c r="L497" s="20" t="n">
        <v>79232</v>
      </c>
      <c r="M497" s="20" t="s">
        <v>65</v>
      </c>
      <c r="N497" s="20" t="s">
        <v>1449</v>
      </c>
      <c r="O497" s="20" t="s">
        <v>76</v>
      </c>
      <c r="P497" s="20" t="s">
        <v>185</v>
      </c>
      <c r="Q497" s="20" t="s">
        <v>1450</v>
      </c>
      <c r="R497" s="22" t="n">
        <v>60.15</v>
      </c>
      <c r="S497" s="20" t="n">
        <v>5</v>
      </c>
      <c r="T497" s="20" t="n">
        <v>0</v>
      </c>
      <c r="U497" s="22" t="n">
        <v>13.4</v>
      </c>
      <c r="V497" s="23" t="n">
        <f aca="false">IF(ISNUMBER(C497),YEAR(C497),"")</f>
        <v>2016</v>
      </c>
      <c r="W497" s="23" t="n">
        <f aca="false">IF(ISNUMBER(C497),MONTH(C497),"")</f>
        <v>11</v>
      </c>
      <c r="X497" s="23" t="str">
        <f aca="false">IF(T497="","",IF(T497=0,"No discount",IF(T497&lt;=0.2,"Low (1-20%)",IF(T497&lt;=0.4,"Medium (21-40%)","High (&gt;40%)"))))</f>
        <v>No discount</v>
      </c>
      <c r="Y497" s="23" t="n">
        <f aca="false">IF(AND(ISNUMBER(C497),ISNUMBER(D497)),D497-C497,"")</f>
        <v>6</v>
      </c>
      <c r="Z497" s="23" t="n">
        <f aca="false">IF(B497="","",IF(MATCH(B497,$B$2:$B$12000,0)=ROW()-1,1,0))</f>
        <v>0</v>
      </c>
    </row>
    <row r="498" customFormat="false" ht="15" hidden="false" customHeight="false" outlineLevel="0" collapsed="false">
      <c r="A498" s="20" t="n">
        <v>497</v>
      </c>
      <c r="B498" s="20" t="s">
        <v>1451</v>
      </c>
      <c r="C498" s="21" t="n">
        <v>42677</v>
      </c>
      <c r="D498" s="21" t="n">
        <v>42679</v>
      </c>
      <c r="E498" s="20" t="s">
        <v>104</v>
      </c>
      <c r="F498" s="20" t="s">
        <v>391</v>
      </c>
      <c r="G498" s="20" t="s">
        <v>392</v>
      </c>
      <c r="H498" s="20" t="s">
        <v>61</v>
      </c>
      <c r="I498" s="20" t="s">
        <v>62</v>
      </c>
      <c r="J498" s="20" t="s">
        <v>63</v>
      </c>
      <c r="K498" s="20" t="s">
        <v>246</v>
      </c>
      <c r="L498" s="20" t="n">
        <v>27192</v>
      </c>
      <c r="M498" s="20" t="s">
        <v>112</v>
      </c>
      <c r="N498" s="20" t="s">
        <v>1452</v>
      </c>
      <c r="O498" s="20" t="s">
        <v>76</v>
      </c>
      <c r="P498" s="20" t="s">
        <v>122</v>
      </c>
      <c r="Q498" s="20" t="s">
        <v>1453</v>
      </c>
      <c r="R498" s="22" t="n">
        <v>26.14</v>
      </c>
      <c r="S498" s="20" t="n">
        <v>4</v>
      </c>
      <c r="T498" s="20" t="n">
        <v>0</v>
      </c>
      <c r="U498" s="22" t="n">
        <v>7.86</v>
      </c>
      <c r="V498" s="23" t="n">
        <f aca="false">IF(ISNUMBER(C498),YEAR(C498),"")</f>
        <v>2016</v>
      </c>
      <c r="W498" s="23" t="n">
        <f aca="false">IF(ISNUMBER(C498),MONTH(C498),"")</f>
        <v>11</v>
      </c>
      <c r="X498" s="23" t="str">
        <f aca="false">IF(T498="","",IF(T498=0,"No discount",IF(T498&lt;=0.2,"Low (1-20%)",IF(T498&lt;=0.4,"Medium (21-40%)","High (&gt;40%)"))))</f>
        <v>No discount</v>
      </c>
      <c r="Y498" s="23" t="n">
        <f aca="false">IF(AND(ISNUMBER(C498),ISNUMBER(D498)),D498-C498,"")</f>
        <v>2</v>
      </c>
      <c r="Z498" s="23" t="n">
        <f aca="false">IF(B498="","",IF(MATCH(B498,$B$2:$B$12000,0)=ROW()-1,1,0))</f>
        <v>1</v>
      </c>
    </row>
    <row r="499" customFormat="false" ht="15" hidden="false" customHeight="false" outlineLevel="0" collapsed="false">
      <c r="A499" s="20" t="n">
        <v>498</v>
      </c>
      <c r="B499" s="20" t="s">
        <v>1451</v>
      </c>
      <c r="C499" s="21" t="n">
        <v>42677</v>
      </c>
      <c r="D499" s="21" t="n">
        <v>42679</v>
      </c>
      <c r="E499" s="20" t="s">
        <v>71</v>
      </c>
      <c r="F499" s="20" t="s">
        <v>391</v>
      </c>
      <c r="G499" s="20" t="s">
        <v>392</v>
      </c>
      <c r="H499" s="20" t="s">
        <v>61</v>
      </c>
      <c r="I499" s="20" t="s">
        <v>62</v>
      </c>
      <c r="J499" s="20" t="s">
        <v>63</v>
      </c>
      <c r="K499" s="20" t="s">
        <v>246</v>
      </c>
      <c r="L499" s="20" t="n">
        <v>75326</v>
      </c>
      <c r="M499" s="20" t="s">
        <v>112</v>
      </c>
      <c r="N499" s="20" t="s">
        <v>1454</v>
      </c>
      <c r="O499" s="20" t="s">
        <v>76</v>
      </c>
      <c r="P499" s="20" t="s">
        <v>88</v>
      </c>
      <c r="Q499" s="20" t="s">
        <v>510</v>
      </c>
      <c r="R499" s="22" t="n">
        <v>2003.54</v>
      </c>
      <c r="S499" s="20" t="n">
        <v>7</v>
      </c>
      <c r="T499" s="20" t="n">
        <v>0.2</v>
      </c>
      <c r="U499" s="22" t="n">
        <v>-53.05</v>
      </c>
      <c r="V499" s="23" t="n">
        <f aca="false">IF(ISNUMBER(C499),YEAR(C499),"")</f>
        <v>2016</v>
      </c>
      <c r="W499" s="23" t="n">
        <f aca="false">IF(ISNUMBER(C499),MONTH(C499),"")</f>
        <v>11</v>
      </c>
      <c r="X499" s="23" t="str">
        <f aca="false">IF(T499="","",IF(T499=0,"No discount",IF(T499&lt;=0.2,"Low (1-20%)",IF(T499&lt;=0.4,"Medium (21-40%)","High (&gt;40%)"))))</f>
        <v>Low (1-20%)</v>
      </c>
      <c r="Y499" s="23" t="n">
        <f aca="false">IF(AND(ISNUMBER(C499),ISNUMBER(D499)),D499-C499,"")</f>
        <v>2</v>
      </c>
      <c r="Z499" s="23" t="n">
        <f aca="false">IF(B499="","",IF(MATCH(B499,$B$2:$B$12000,0)=ROW()-1,1,0))</f>
        <v>0</v>
      </c>
    </row>
    <row r="500" customFormat="false" ht="15" hidden="false" customHeight="false" outlineLevel="0" collapsed="false">
      <c r="A500" s="20" t="n">
        <v>499</v>
      </c>
      <c r="B500" s="20" t="s">
        <v>1451</v>
      </c>
      <c r="C500" s="21" t="n">
        <v>42677</v>
      </c>
      <c r="D500" s="21" t="n">
        <v>42679</v>
      </c>
      <c r="E500" s="20" t="s">
        <v>58</v>
      </c>
      <c r="F500" s="20" t="s">
        <v>391</v>
      </c>
      <c r="G500" s="20" t="s">
        <v>392</v>
      </c>
      <c r="H500" s="20" t="s">
        <v>61</v>
      </c>
      <c r="I500" s="20" t="s">
        <v>62</v>
      </c>
      <c r="J500" s="20" t="s">
        <v>63</v>
      </c>
      <c r="K500" s="20" t="s">
        <v>246</v>
      </c>
      <c r="L500" s="20" t="n">
        <v>76004</v>
      </c>
      <c r="M500" s="20" t="s">
        <v>112</v>
      </c>
      <c r="N500" s="20" t="s">
        <v>1455</v>
      </c>
      <c r="O500" s="20" t="s">
        <v>76</v>
      </c>
      <c r="P500" s="20" t="s">
        <v>128</v>
      </c>
      <c r="Q500" s="20" t="s">
        <v>1456</v>
      </c>
      <c r="R500" s="22" t="n">
        <v>451.06</v>
      </c>
      <c r="S500" s="20" t="n">
        <v>8</v>
      </c>
      <c r="T500" s="20" t="n">
        <v>0</v>
      </c>
      <c r="U500" s="22" t="n">
        <v>4.64</v>
      </c>
      <c r="V500" s="23" t="n">
        <f aca="false">IF(ISNUMBER(C500),YEAR(C500),"")</f>
        <v>2016</v>
      </c>
      <c r="W500" s="23" t="n">
        <f aca="false">IF(ISNUMBER(C500),MONTH(C500),"")</f>
        <v>11</v>
      </c>
      <c r="X500" s="23" t="str">
        <f aca="false">IF(T500="","",IF(T500=0,"No discount",IF(T500&lt;=0.2,"Low (1-20%)",IF(T500&lt;=0.4,"Medium (21-40%)","High (&gt;40%)"))))</f>
        <v>No discount</v>
      </c>
      <c r="Y500" s="23" t="n">
        <f aca="false">IF(AND(ISNUMBER(C500),ISNUMBER(D500)),D500-C500,"")</f>
        <v>2</v>
      </c>
      <c r="Z500" s="23" t="n">
        <f aca="false">IF(B500="","",IF(MATCH(B500,$B$2:$B$12000,0)=ROW()-1,1,0))</f>
        <v>0</v>
      </c>
    </row>
    <row r="501" customFormat="false" ht="15" hidden="false" customHeight="false" outlineLevel="0" collapsed="false">
      <c r="A501" s="20" t="n">
        <v>500</v>
      </c>
      <c r="B501" s="20" t="s">
        <v>1457</v>
      </c>
      <c r="C501" s="21" t="n">
        <v>42677</v>
      </c>
      <c r="D501" s="21" t="n">
        <v>42679</v>
      </c>
      <c r="E501" s="20" t="s">
        <v>58</v>
      </c>
      <c r="F501" s="20" t="s">
        <v>200</v>
      </c>
      <c r="G501" s="20" t="s">
        <v>201</v>
      </c>
      <c r="H501" s="20" t="s">
        <v>162</v>
      </c>
      <c r="I501" s="20" t="s">
        <v>62</v>
      </c>
      <c r="J501" s="20" t="s">
        <v>63</v>
      </c>
      <c r="K501" s="20" t="s">
        <v>1257</v>
      </c>
      <c r="L501" s="20" t="n">
        <v>77864</v>
      </c>
      <c r="M501" s="20" t="s">
        <v>97</v>
      </c>
      <c r="N501" s="20" t="s">
        <v>1458</v>
      </c>
      <c r="O501" s="20" t="s">
        <v>114</v>
      </c>
      <c r="P501" s="20" t="s">
        <v>210</v>
      </c>
      <c r="Q501" s="20" t="s">
        <v>1459</v>
      </c>
      <c r="R501" s="22" t="n">
        <v>82.6</v>
      </c>
      <c r="S501" s="20" t="n">
        <v>2</v>
      </c>
      <c r="T501" s="20" t="n">
        <v>0.4</v>
      </c>
      <c r="U501" s="22" t="n">
        <v>-8</v>
      </c>
      <c r="V501" s="23" t="n">
        <f aca="false">IF(ISNUMBER(C501),YEAR(C501),"")</f>
        <v>2016</v>
      </c>
      <c r="W501" s="23" t="n">
        <f aca="false">IF(ISNUMBER(C501),MONTH(C501),"")</f>
        <v>11</v>
      </c>
      <c r="X501" s="23" t="str">
        <f aca="false">IF(T501="","",IF(T501=0,"No discount",IF(T501&lt;=0.2,"Low (1-20%)",IF(T501&lt;=0.4,"Medium (21-40%)","High (&gt;40%)"))))</f>
        <v>Medium (21-40%)</v>
      </c>
      <c r="Y501" s="23" t="n">
        <f aca="false">IF(AND(ISNUMBER(C501),ISNUMBER(D501)),D501-C501,"")</f>
        <v>2</v>
      </c>
      <c r="Z501" s="23" t="n">
        <f aca="false">IF(B501="","",IF(MATCH(B501,$B$2:$B$12000,0)=ROW()-1,1,0))</f>
        <v>1</v>
      </c>
    </row>
    <row r="502" customFormat="false" ht="15" hidden="false" customHeight="false" outlineLevel="0" collapsed="false">
      <c r="A502" s="20" t="n">
        <v>501</v>
      </c>
      <c r="B502" s="20" t="s">
        <v>1457</v>
      </c>
      <c r="C502" s="21" t="n">
        <v>42677</v>
      </c>
      <c r="D502" s="21" t="n">
        <v>42679</v>
      </c>
      <c r="E502" s="20" t="s">
        <v>71</v>
      </c>
      <c r="F502" s="20" t="s">
        <v>200</v>
      </c>
      <c r="G502" s="20" t="s">
        <v>201</v>
      </c>
      <c r="H502" s="20" t="s">
        <v>162</v>
      </c>
      <c r="I502" s="20" t="s">
        <v>62</v>
      </c>
      <c r="J502" s="20" t="s">
        <v>63</v>
      </c>
      <c r="K502" s="20" t="s">
        <v>1257</v>
      </c>
      <c r="L502" s="20" t="n">
        <v>72593</v>
      </c>
      <c r="M502" s="20" t="s">
        <v>97</v>
      </c>
      <c r="N502" s="20" t="s">
        <v>1460</v>
      </c>
      <c r="O502" s="20" t="s">
        <v>114</v>
      </c>
      <c r="P502" s="20" t="s">
        <v>210</v>
      </c>
      <c r="Q502" s="20" t="s">
        <v>1461</v>
      </c>
      <c r="R502" s="22" t="n">
        <v>112.44</v>
      </c>
      <c r="S502" s="20" t="n">
        <v>4</v>
      </c>
      <c r="T502" s="20" t="n">
        <v>0.2</v>
      </c>
      <c r="U502" s="22" t="n">
        <v>6.77</v>
      </c>
      <c r="V502" s="23" t="n">
        <f aca="false">IF(ISNUMBER(C502),YEAR(C502),"")</f>
        <v>2016</v>
      </c>
      <c r="W502" s="23" t="n">
        <f aca="false">IF(ISNUMBER(C502),MONTH(C502),"")</f>
        <v>11</v>
      </c>
      <c r="X502" s="23" t="str">
        <f aca="false">IF(T502="","",IF(T502=0,"No discount",IF(T502&lt;=0.2,"Low (1-20%)",IF(T502&lt;=0.4,"Medium (21-40%)","High (&gt;40%)"))))</f>
        <v>Low (1-20%)</v>
      </c>
      <c r="Y502" s="23" t="n">
        <f aca="false">IF(AND(ISNUMBER(C502),ISNUMBER(D502)),D502-C502,"")</f>
        <v>2</v>
      </c>
      <c r="Z502" s="23" t="n">
        <f aca="false">IF(B502="","",IF(MATCH(B502,$B$2:$B$12000,0)=ROW()-1,1,0))</f>
        <v>0</v>
      </c>
    </row>
    <row r="503" customFormat="false" ht="15" hidden="false" customHeight="false" outlineLevel="0" collapsed="false">
      <c r="A503" s="20" t="n">
        <v>502</v>
      </c>
      <c r="B503" s="20" t="s">
        <v>1462</v>
      </c>
      <c r="C503" s="21" t="n">
        <v>42678</v>
      </c>
      <c r="D503" s="21" t="n">
        <v>42680</v>
      </c>
      <c r="E503" s="20" t="s">
        <v>90</v>
      </c>
      <c r="F503" s="20" t="s">
        <v>383</v>
      </c>
      <c r="G503" s="20" t="s">
        <v>384</v>
      </c>
      <c r="H503" s="20" t="s">
        <v>61</v>
      </c>
      <c r="I503" s="20" t="s">
        <v>62</v>
      </c>
      <c r="J503" s="20" t="s">
        <v>63</v>
      </c>
      <c r="K503" s="20" t="s">
        <v>647</v>
      </c>
      <c r="L503" s="20" t="n">
        <v>71634</v>
      </c>
      <c r="M503" s="20" t="s">
        <v>97</v>
      </c>
      <c r="N503" s="20" t="s">
        <v>1463</v>
      </c>
      <c r="O503" s="20" t="s">
        <v>76</v>
      </c>
      <c r="P503" s="20" t="s">
        <v>185</v>
      </c>
      <c r="Q503" s="20" t="s">
        <v>1464</v>
      </c>
      <c r="R503" s="22" t="n">
        <v>60.83</v>
      </c>
      <c r="S503" s="20" t="n">
        <v>4</v>
      </c>
      <c r="T503" s="20" t="n">
        <v>0</v>
      </c>
      <c r="U503" s="22" t="n">
        <v>18.81</v>
      </c>
      <c r="V503" s="23" t="n">
        <f aca="false">IF(ISNUMBER(C503),YEAR(C503),"")</f>
        <v>2016</v>
      </c>
      <c r="W503" s="23" t="n">
        <f aca="false">IF(ISNUMBER(C503),MONTH(C503),"")</f>
        <v>11</v>
      </c>
      <c r="X503" s="23" t="str">
        <f aca="false">IF(T503="","",IF(T503=0,"No discount",IF(T503&lt;=0.2,"Low (1-20%)",IF(T503&lt;=0.4,"Medium (21-40%)","High (&gt;40%)"))))</f>
        <v>No discount</v>
      </c>
      <c r="Y503" s="23" t="n">
        <f aca="false">IF(AND(ISNUMBER(C503),ISNUMBER(D503)),D503-C503,"")</f>
        <v>2</v>
      </c>
      <c r="Z503" s="23" t="n">
        <f aca="false">IF(B503="","",IF(MATCH(B503,$B$2:$B$12000,0)=ROW()-1,1,0))</f>
        <v>1</v>
      </c>
    </row>
    <row r="504" customFormat="false" ht="15" hidden="false" customHeight="false" outlineLevel="0" collapsed="false">
      <c r="A504" s="20" t="n">
        <v>503</v>
      </c>
      <c r="B504" s="20" t="s">
        <v>1462</v>
      </c>
      <c r="C504" s="21" t="n">
        <v>42678</v>
      </c>
      <c r="D504" s="21" t="n">
        <v>42680</v>
      </c>
      <c r="E504" s="20" t="s">
        <v>104</v>
      </c>
      <c r="F504" s="20" t="s">
        <v>383</v>
      </c>
      <c r="G504" s="20" t="s">
        <v>384</v>
      </c>
      <c r="H504" s="20" t="s">
        <v>61</v>
      </c>
      <c r="I504" s="20" t="s">
        <v>62</v>
      </c>
      <c r="J504" s="20" t="s">
        <v>63</v>
      </c>
      <c r="K504" s="20" t="s">
        <v>647</v>
      </c>
      <c r="L504" s="20" t="n">
        <v>94948</v>
      </c>
      <c r="M504" s="20" t="s">
        <v>97</v>
      </c>
      <c r="N504" s="20" t="s">
        <v>1465</v>
      </c>
      <c r="O504" s="20" t="s">
        <v>76</v>
      </c>
      <c r="P504" s="20" t="s">
        <v>122</v>
      </c>
      <c r="Q504" s="20" t="s">
        <v>1466</v>
      </c>
      <c r="R504" s="22" t="n">
        <v>271.49</v>
      </c>
      <c r="S504" s="20" t="n">
        <v>6</v>
      </c>
      <c r="T504" s="20" t="n">
        <v>0</v>
      </c>
      <c r="U504" s="22" t="n">
        <v>88.7</v>
      </c>
      <c r="V504" s="23" t="n">
        <f aca="false">IF(ISNUMBER(C504),YEAR(C504),"")</f>
        <v>2016</v>
      </c>
      <c r="W504" s="23" t="n">
        <f aca="false">IF(ISNUMBER(C504),MONTH(C504),"")</f>
        <v>11</v>
      </c>
      <c r="X504" s="23" t="str">
        <f aca="false">IF(T504="","",IF(T504=0,"No discount",IF(T504&lt;=0.2,"Low (1-20%)",IF(T504&lt;=0.4,"Medium (21-40%)","High (&gt;40%)"))))</f>
        <v>No discount</v>
      </c>
      <c r="Y504" s="23" t="n">
        <f aca="false">IF(AND(ISNUMBER(C504),ISNUMBER(D504)),D504-C504,"")</f>
        <v>2</v>
      </c>
      <c r="Z504" s="23" t="n">
        <f aca="false">IF(B504="","",IF(MATCH(B504,$B$2:$B$12000,0)=ROW()-1,1,0))</f>
        <v>0</v>
      </c>
    </row>
    <row r="505" customFormat="false" ht="15" hidden="false" customHeight="false" outlineLevel="0" collapsed="false">
      <c r="A505" s="20" t="n">
        <v>504</v>
      </c>
      <c r="B505" s="20" t="s">
        <v>1467</v>
      </c>
      <c r="C505" s="21" t="n">
        <v>42680</v>
      </c>
      <c r="D505" s="21" t="n">
        <v>42682</v>
      </c>
      <c r="E505" s="20" t="s">
        <v>90</v>
      </c>
      <c r="F505" s="20" t="s">
        <v>125</v>
      </c>
      <c r="G505" s="20" t="s">
        <v>126</v>
      </c>
      <c r="H505" s="20" t="s">
        <v>61</v>
      </c>
      <c r="I505" s="20" t="s">
        <v>62</v>
      </c>
      <c r="J505" s="20" t="s">
        <v>63</v>
      </c>
      <c r="K505" s="20" t="s">
        <v>120</v>
      </c>
      <c r="L505" s="20" t="n">
        <v>85049</v>
      </c>
      <c r="M505" s="20" t="s">
        <v>112</v>
      </c>
      <c r="N505" s="20" t="s">
        <v>1468</v>
      </c>
      <c r="O505" s="20" t="s">
        <v>67</v>
      </c>
      <c r="P505" s="20" t="s">
        <v>157</v>
      </c>
      <c r="Q505" s="20" t="s">
        <v>626</v>
      </c>
      <c r="R505" s="22" t="n">
        <v>29.32</v>
      </c>
      <c r="S505" s="20" t="n">
        <v>5</v>
      </c>
      <c r="T505" s="20" t="n">
        <v>0.5</v>
      </c>
      <c r="U505" s="22" t="n">
        <v>-1.2</v>
      </c>
      <c r="V505" s="23" t="n">
        <f aca="false">IF(ISNUMBER(C505),YEAR(C505),"")</f>
        <v>2016</v>
      </c>
      <c r="W505" s="23" t="n">
        <f aca="false">IF(ISNUMBER(C505),MONTH(C505),"")</f>
        <v>11</v>
      </c>
      <c r="X505" s="23" t="str">
        <f aca="false">IF(T505="","",IF(T505=0,"No discount",IF(T505&lt;=0.2,"Low (1-20%)",IF(T505&lt;=0.4,"Medium (21-40%)","High (&gt;40%)"))))</f>
        <v>High (&gt;40%)</v>
      </c>
      <c r="Y505" s="23" t="n">
        <f aca="false">IF(AND(ISNUMBER(C505),ISNUMBER(D505)),D505-C505,"")</f>
        <v>2</v>
      </c>
      <c r="Z505" s="23" t="n">
        <f aca="false">IF(B505="","",IF(MATCH(B505,$B$2:$B$12000,0)=ROW()-1,1,0))</f>
        <v>1</v>
      </c>
    </row>
    <row r="506" customFormat="false" ht="15" hidden="false" customHeight="false" outlineLevel="0" collapsed="false">
      <c r="A506" s="20" t="n">
        <v>505</v>
      </c>
      <c r="B506" s="20" t="s">
        <v>1467</v>
      </c>
      <c r="C506" s="21" t="n">
        <v>42680</v>
      </c>
      <c r="D506" s="21" t="n">
        <v>42682</v>
      </c>
      <c r="E506" s="20" t="s">
        <v>58</v>
      </c>
      <c r="F506" s="20" t="s">
        <v>125</v>
      </c>
      <c r="G506" s="20" t="s">
        <v>126</v>
      </c>
      <c r="H506" s="20" t="s">
        <v>61</v>
      </c>
      <c r="I506" s="20" t="s">
        <v>62</v>
      </c>
      <c r="J506" s="20" t="s">
        <v>63</v>
      </c>
      <c r="K506" s="20" t="s">
        <v>120</v>
      </c>
      <c r="L506" s="20" t="n">
        <v>65947</v>
      </c>
      <c r="M506" s="20" t="s">
        <v>112</v>
      </c>
      <c r="N506" s="20" t="s">
        <v>1469</v>
      </c>
      <c r="O506" s="20" t="s">
        <v>76</v>
      </c>
      <c r="P506" s="20" t="s">
        <v>236</v>
      </c>
      <c r="Q506" s="20" t="s">
        <v>1470</v>
      </c>
      <c r="R506" s="22" t="n">
        <v>36.82</v>
      </c>
      <c r="S506" s="20" t="n">
        <v>2</v>
      </c>
      <c r="T506" s="20" t="n">
        <v>0.2</v>
      </c>
      <c r="U506" s="22" t="n">
        <v>7.37</v>
      </c>
      <c r="V506" s="23" t="n">
        <f aca="false">IF(ISNUMBER(C506),YEAR(C506),"")</f>
        <v>2016</v>
      </c>
      <c r="W506" s="23" t="n">
        <f aca="false">IF(ISNUMBER(C506),MONTH(C506),"")</f>
        <v>11</v>
      </c>
      <c r="X506" s="23" t="str">
        <f aca="false">IF(T506="","",IF(T506=0,"No discount",IF(T506&lt;=0.2,"Low (1-20%)",IF(T506&lt;=0.4,"Medium (21-40%)","High (&gt;40%)"))))</f>
        <v>Low (1-20%)</v>
      </c>
      <c r="Y506" s="23" t="n">
        <f aca="false">IF(AND(ISNUMBER(C506),ISNUMBER(D506)),D506-C506,"")</f>
        <v>2</v>
      </c>
      <c r="Z506" s="23" t="n">
        <f aca="false">IF(B506="","",IF(MATCH(B506,$B$2:$B$12000,0)=ROW()-1,1,0))</f>
        <v>0</v>
      </c>
    </row>
    <row r="507" customFormat="false" ht="15" hidden="false" customHeight="false" outlineLevel="0" collapsed="false">
      <c r="A507" s="20" t="n">
        <v>506</v>
      </c>
      <c r="B507" s="20" t="s">
        <v>1471</v>
      </c>
      <c r="C507" s="21" t="n">
        <v>42680</v>
      </c>
      <c r="D507" s="21" t="n">
        <v>42681</v>
      </c>
      <c r="E507" s="20" t="s">
        <v>58</v>
      </c>
      <c r="F507" s="20" t="s">
        <v>314</v>
      </c>
      <c r="G507" s="20" t="s">
        <v>315</v>
      </c>
      <c r="H507" s="20" t="s">
        <v>61</v>
      </c>
      <c r="I507" s="20" t="s">
        <v>62</v>
      </c>
      <c r="J507" s="20" t="s">
        <v>63</v>
      </c>
      <c r="K507" s="20" t="s">
        <v>64</v>
      </c>
      <c r="L507" s="20" t="n">
        <v>87569</v>
      </c>
      <c r="M507" s="20" t="s">
        <v>65</v>
      </c>
      <c r="N507" s="20" t="s">
        <v>1472</v>
      </c>
      <c r="O507" s="20" t="s">
        <v>76</v>
      </c>
      <c r="P507" s="20" t="s">
        <v>101</v>
      </c>
      <c r="Q507" s="20" t="s">
        <v>474</v>
      </c>
      <c r="R507" s="22" t="n">
        <v>34.95</v>
      </c>
      <c r="S507" s="20" t="n">
        <v>2</v>
      </c>
      <c r="T507" s="20" t="n">
        <v>0.2</v>
      </c>
      <c r="U507" s="22" t="n">
        <v>9.53</v>
      </c>
      <c r="V507" s="23" t="n">
        <f aca="false">IF(ISNUMBER(C507),YEAR(C507),"")</f>
        <v>2016</v>
      </c>
      <c r="W507" s="23" t="n">
        <f aca="false">IF(ISNUMBER(C507),MONTH(C507),"")</f>
        <v>11</v>
      </c>
      <c r="X507" s="23" t="str">
        <f aca="false">IF(T507="","",IF(T507=0,"No discount",IF(T507&lt;=0.2,"Low (1-20%)",IF(T507&lt;=0.4,"Medium (21-40%)","High (&gt;40%)"))))</f>
        <v>Low (1-20%)</v>
      </c>
      <c r="Y507" s="23" t="n">
        <f aca="false">IF(AND(ISNUMBER(C507),ISNUMBER(D507)),D507-C507,"")</f>
        <v>1</v>
      </c>
      <c r="Z507" s="23" t="n">
        <f aca="false">IF(B507="","",IF(MATCH(B507,$B$2:$B$12000,0)=ROW()-1,1,0))</f>
        <v>1</v>
      </c>
    </row>
    <row r="508" customFormat="false" ht="15" hidden="false" customHeight="false" outlineLevel="0" collapsed="false">
      <c r="A508" s="20" t="n">
        <v>507</v>
      </c>
      <c r="B508" s="20" t="s">
        <v>1471</v>
      </c>
      <c r="C508" s="21" t="n">
        <v>42680</v>
      </c>
      <c r="D508" s="21" t="n">
        <v>42681</v>
      </c>
      <c r="E508" s="20" t="s">
        <v>104</v>
      </c>
      <c r="F508" s="20" t="s">
        <v>314</v>
      </c>
      <c r="G508" s="20" t="s">
        <v>315</v>
      </c>
      <c r="H508" s="20" t="s">
        <v>61</v>
      </c>
      <c r="I508" s="20" t="s">
        <v>62</v>
      </c>
      <c r="J508" s="20" t="s">
        <v>63</v>
      </c>
      <c r="K508" s="20" t="s">
        <v>64</v>
      </c>
      <c r="L508" s="20" t="n">
        <v>17647</v>
      </c>
      <c r="M508" s="20" t="s">
        <v>65</v>
      </c>
      <c r="N508" s="20" t="s">
        <v>1473</v>
      </c>
      <c r="O508" s="20" t="s">
        <v>114</v>
      </c>
      <c r="P508" s="20" t="s">
        <v>139</v>
      </c>
      <c r="Q508" s="20" t="s">
        <v>1474</v>
      </c>
      <c r="R508" s="22" t="n">
        <v>1717.65</v>
      </c>
      <c r="S508" s="20" t="n">
        <v>3</v>
      </c>
      <c r="T508" s="20" t="n">
        <v>0</v>
      </c>
      <c r="U508" s="22" t="n">
        <v>12.85</v>
      </c>
      <c r="V508" s="23" t="n">
        <f aca="false">IF(ISNUMBER(C508),YEAR(C508),"")</f>
        <v>2016</v>
      </c>
      <c r="W508" s="23" t="n">
        <f aca="false">IF(ISNUMBER(C508),MONTH(C508),"")</f>
        <v>11</v>
      </c>
      <c r="X508" s="23" t="str">
        <f aca="false">IF(T508="","",IF(T508=0,"No discount",IF(T508&lt;=0.2,"Low (1-20%)",IF(T508&lt;=0.4,"Medium (21-40%)","High (&gt;40%)"))))</f>
        <v>No discount</v>
      </c>
      <c r="Y508" s="23" t="n">
        <f aca="false">IF(AND(ISNUMBER(C508),ISNUMBER(D508)),D508-C508,"")</f>
        <v>1</v>
      </c>
      <c r="Z508" s="23" t="n">
        <f aca="false">IF(B508="","",IF(MATCH(B508,$B$2:$B$12000,0)=ROW()-1,1,0))</f>
        <v>0</v>
      </c>
    </row>
    <row r="509" customFormat="false" ht="15" hidden="false" customHeight="false" outlineLevel="0" collapsed="false">
      <c r="A509" s="20" t="n">
        <v>508</v>
      </c>
      <c r="B509" s="20" t="s">
        <v>1475</v>
      </c>
      <c r="C509" s="21" t="n">
        <v>42681</v>
      </c>
      <c r="D509" s="21" t="n">
        <v>42684</v>
      </c>
      <c r="E509" s="20" t="s">
        <v>58</v>
      </c>
      <c r="F509" s="20" t="s">
        <v>223</v>
      </c>
      <c r="G509" s="20" t="s">
        <v>224</v>
      </c>
      <c r="H509" s="20" t="s">
        <v>61</v>
      </c>
      <c r="I509" s="20" t="s">
        <v>62</v>
      </c>
      <c r="J509" s="20" t="s">
        <v>63</v>
      </c>
      <c r="K509" s="20" t="s">
        <v>288</v>
      </c>
      <c r="L509" s="20" t="n">
        <v>57897</v>
      </c>
      <c r="M509" s="20" t="s">
        <v>97</v>
      </c>
      <c r="N509" s="20" t="s">
        <v>1476</v>
      </c>
      <c r="O509" s="20" t="s">
        <v>76</v>
      </c>
      <c r="P509" s="20" t="s">
        <v>128</v>
      </c>
      <c r="Q509" s="20" t="s">
        <v>1477</v>
      </c>
      <c r="R509" s="22" t="n">
        <v>308.89</v>
      </c>
      <c r="S509" s="20" t="n">
        <v>8</v>
      </c>
      <c r="T509" s="20" t="n">
        <v>0.2</v>
      </c>
      <c r="U509" s="22" t="n">
        <v>10.66</v>
      </c>
      <c r="V509" s="23" t="n">
        <f aca="false">IF(ISNUMBER(C509),YEAR(C509),"")</f>
        <v>2016</v>
      </c>
      <c r="W509" s="23" t="n">
        <f aca="false">IF(ISNUMBER(C509),MONTH(C509),"")</f>
        <v>11</v>
      </c>
      <c r="X509" s="23" t="str">
        <f aca="false">IF(T509="","",IF(T509=0,"No discount",IF(T509&lt;=0.2,"Low (1-20%)",IF(T509&lt;=0.4,"Medium (21-40%)","High (&gt;40%)"))))</f>
        <v>Low (1-20%)</v>
      </c>
      <c r="Y509" s="23" t="n">
        <f aca="false">IF(AND(ISNUMBER(C509),ISNUMBER(D509)),D509-C509,"")</f>
        <v>3</v>
      </c>
      <c r="Z509" s="23" t="n">
        <f aca="false">IF(B509="","",IF(MATCH(B509,$B$2:$B$12000,0)=ROW()-1,1,0))</f>
        <v>1</v>
      </c>
    </row>
    <row r="510" customFormat="false" ht="15" hidden="false" customHeight="false" outlineLevel="0" collapsed="false">
      <c r="A510" s="20" t="n">
        <v>509</v>
      </c>
      <c r="B510" s="20" t="s">
        <v>1478</v>
      </c>
      <c r="C510" s="21" t="n">
        <v>42685</v>
      </c>
      <c r="D510" s="21" t="n">
        <v>42691</v>
      </c>
      <c r="E510" s="20" t="s">
        <v>90</v>
      </c>
      <c r="F510" s="20" t="s">
        <v>125</v>
      </c>
      <c r="G510" s="20" t="s">
        <v>126</v>
      </c>
      <c r="H510" s="20" t="s">
        <v>61</v>
      </c>
      <c r="I510" s="20" t="s">
        <v>62</v>
      </c>
      <c r="J510" s="20" t="s">
        <v>63</v>
      </c>
      <c r="K510" s="20" t="s">
        <v>215</v>
      </c>
      <c r="L510" s="20" t="n">
        <v>90817</v>
      </c>
      <c r="M510" s="20" t="s">
        <v>112</v>
      </c>
      <c r="N510" s="20" t="s">
        <v>1479</v>
      </c>
      <c r="O510" s="20" t="s">
        <v>76</v>
      </c>
      <c r="P510" s="20" t="s">
        <v>80</v>
      </c>
      <c r="Q510" s="20" t="s">
        <v>850</v>
      </c>
      <c r="R510" s="22" t="n">
        <v>59.62</v>
      </c>
      <c r="S510" s="20" t="n">
        <v>1</v>
      </c>
      <c r="T510" s="20" t="n">
        <v>0.2</v>
      </c>
      <c r="U510" s="22" t="n">
        <v>15.66</v>
      </c>
      <c r="V510" s="23" t="n">
        <f aca="false">IF(ISNUMBER(C510),YEAR(C510),"")</f>
        <v>2016</v>
      </c>
      <c r="W510" s="23" t="n">
        <f aca="false">IF(ISNUMBER(C510),MONTH(C510),"")</f>
        <v>11</v>
      </c>
      <c r="X510" s="23" t="str">
        <f aca="false">IF(T510="","",IF(T510=0,"No discount",IF(T510&lt;=0.2,"Low (1-20%)",IF(T510&lt;=0.4,"Medium (21-40%)","High (&gt;40%)"))))</f>
        <v>Low (1-20%)</v>
      </c>
      <c r="Y510" s="23" t="n">
        <f aca="false">IF(AND(ISNUMBER(C510),ISNUMBER(D510)),D510-C510,"")</f>
        <v>6</v>
      </c>
      <c r="Z510" s="23" t="n">
        <f aca="false">IF(B510="","",IF(MATCH(B510,$B$2:$B$12000,0)=ROW()-1,1,0))</f>
        <v>1</v>
      </c>
    </row>
    <row r="511" customFormat="false" ht="15" hidden="false" customHeight="false" outlineLevel="0" collapsed="false">
      <c r="A511" s="20" t="n">
        <v>510</v>
      </c>
      <c r="B511" s="20" t="s">
        <v>1480</v>
      </c>
      <c r="C511" s="21" t="n">
        <v>42688</v>
      </c>
      <c r="D511" s="21" t="n">
        <v>42689</v>
      </c>
      <c r="E511" s="20" t="s">
        <v>104</v>
      </c>
      <c r="F511" s="20" t="s">
        <v>383</v>
      </c>
      <c r="G511" s="20" t="s">
        <v>384</v>
      </c>
      <c r="H511" s="20" t="s">
        <v>61</v>
      </c>
      <c r="I511" s="20" t="s">
        <v>62</v>
      </c>
      <c r="J511" s="20" t="s">
        <v>63</v>
      </c>
      <c r="K511" s="20" t="s">
        <v>133</v>
      </c>
      <c r="L511" s="20" t="n">
        <v>38490</v>
      </c>
      <c r="M511" s="20" t="s">
        <v>97</v>
      </c>
      <c r="N511" s="20" t="s">
        <v>1481</v>
      </c>
      <c r="O511" s="20" t="s">
        <v>76</v>
      </c>
      <c r="P511" s="20" t="s">
        <v>122</v>
      </c>
      <c r="Q511" s="20" t="s">
        <v>1482</v>
      </c>
      <c r="R511" s="22" t="n">
        <v>17.59</v>
      </c>
      <c r="S511" s="20" t="n">
        <v>2</v>
      </c>
      <c r="T511" s="20" t="n">
        <v>0.5</v>
      </c>
      <c r="U511" s="22" t="n">
        <v>1.55</v>
      </c>
      <c r="V511" s="23" t="n">
        <f aca="false">IF(ISNUMBER(C511),YEAR(C511),"")</f>
        <v>2016</v>
      </c>
      <c r="W511" s="23" t="n">
        <f aca="false">IF(ISNUMBER(C511),MONTH(C511),"")</f>
        <v>11</v>
      </c>
      <c r="X511" s="23" t="str">
        <f aca="false">IF(T511="","",IF(T511=0,"No discount",IF(T511&lt;=0.2,"Low (1-20%)",IF(T511&lt;=0.4,"Medium (21-40%)","High (&gt;40%)"))))</f>
        <v>High (&gt;40%)</v>
      </c>
      <c r="Y511" s="23" t="n">
        <f aca="false">IF(AND(ISNUMBER(C511),ISNUMBER(D511)),D511-C511,"")</f>
        <v>1</v>
      </c>
      <c r="Z511" s="23" t="n">
        <f aca="false">IF(B511="","",IF(MATCH(B511,$B$2:$B$12000,0)=ROW()-1,1,0))</f>
        <v>1</v>
      </c>
    </row>
    <row r="512" customFormat="false" ht="15" hidden="false" customHeight="false" outlineLevel="0" collapsed="false">
      <c r="A512" s="20" t="n">
        <v>511</v>
      </c>
      <c r="B512" s="20" t="s">
        <v>1480</v>
      </c>
      <c r="C512" s="21" t="n">
        <v>42688</v>
      </c>
      <c r="D512" s="21" t="n">
        <v>42689</v>
      </c>
      <c r="E512" s="20" t="s">
        <v>90</v>
      </c>
      <c r="F512" s="20" t="s">
        <v>383</v>
      </c>
      <c r="G512" s="20" t="s">
        <v>384</v>
      </c>
      <c r="H512" s="20" t="s">
        <v>61</v>
      </c>
      <c r="I512" s="20" t="s">
        <v>62</v>
      </c>
      <c r="J512" s="20" t="s">
        <v>63</v>
      </c>
      <c r="K512" s="20" t="s">
        <v>133</v>
      </c>
      <c r="L512" s="20" t="n">
        <v>91695</v>
      </c>
      <c r="M512" s="20" t="s">
        <v>97</v>
      </c>
      <c r="N512" s="20" t="s">
        <v>1483</v>
      </c>
      <c r="O512" s="20" t="s">
        <v>76</v>
      </c>
      <c r="P512" s="20" t="s">
        <v>80</v>
      </c>
      <c r="Q512" s="20" t="s">
        <v>1484</v>
      </c>
      <c r="R512" s="22" t="n">
        <v>216.65</v>
      </c>
      <c r="S512" s="20" t="n">
        <v>6</v>
      </c>
      <c r="T512" s="20" t="n">
        <v>0</v>
      </c>
      <c r="U512" s="22" t="n">
        <v>60.87</v>
      </c>
      <c r="V512" s="23" t="n">
        <f aca="false">IF(ISNUMBER(C512),YEAR(C512),"")</f>
        <v>2016</v>
      </c>
      <c r="W512" s="23" t="n">
        <f aca="false">IF(ISNUMBER(C512),MONTH(C512),"")</f>
        <v>11</v>
      </c>
      <c r="X512" s="23" t="str">
        <f aca="false">IF(T512="","",IF(T512=0,"No discount",IF(T512&lt;=0.2,"Low (1-20%)",IF(T512&lt;=0.4,"Medium (21-40%)","High (&gt;40%)"))))</f>
        <v>No discount</v>
      </c>
      <c r="Y512" s="23" t="n">
        <f aca="false">IF(AND(ISNUMBER(C512),ISNUMBER(D512)),D512-C512,"")</f>
        <v>1</v>
      </c>
      <c r="Z512" s="23" t="n">
        <f aca="false">IF(B512="","",IF(MATCH(B512,$B$2:$B$12000,0)=ROW()-1,1,0))</f>
        <v>0</v>
      </c>
    </row>
    <row r="513" customFormat="false" ht="15" hidden="false" customHeight="false" outlineLevel="0" collapsed="false">
      <c r="A513" s="20" t="n">
        <v>512</v>
      </c>
      <c r="B513" s="20" t="s">
        <v>1480</v>
      </c>
      <c r="C513" s="21" t="n">
        <v>42688</v>
      </c>
      <c r="D513" s="21" t="n">
        <v>42689</v>
      </c>
      <c r="E513" s="20" t="s">
        <v>58</v>
      </c>
      <c r="F513" s="20" t="s">
        <v>383</v>
      </c>
      <c r="G513" s="20" t="s">
        <v>384</v>
      </c>
      <c r="H513" s="20" t="s">
        <v>61</v>
      </c>
      <c r="I513" s="20" t="s">
        <v>62</v>
      </c>
      <c r="J513" s="20" t="s">
        <v>63</v>
      </c>
      <c r="K513" s="20" t="s">
        <v>133</v>
      </c>
      <c r="L513" s="20" t="n">
        <v>32430</v>
      </c>
      <c r="M513" s="20" t="s">
        <v>97</v>
      </c>
      <c r="N513" s="20" t="s">
        <v>1485</v>
      </c>
      <c r="O513" s="20" t="s">
        <v>76</v>
      </c>
      <c r="P513" s="20" t="s">
        <v>88</v>
      </c>
      <c r="Q513" s="20" t="s">
        <v>1486</v>
      </c>
      <c r="R513" s="22" t="n">
        <v>1450.86</v>
      </c>
      <c r="S513" s="20" t="n">
        <v>8</v>
      </c>
      <c r="T513" s="20" t="n">
        <v>0</v>
      </c>
      <c r="U513" s="22" t="n">
        <v>195.9</v>
      </c>
      <c r="V513" s="23" t="n">
        <f aca="false">IF(ISNUMBER(C513),YEAR(C513),"")</f>
        <v>2016</v>
      </c>
      <c r="W513" s="23" t="n">
        <f aca="false">IF(ISNUMBER(C513),MONTH(C513),"")</f>
        <v>11</v>
      </c>
      <c r="X513" s="23" t="str">
        <f aca="false">IF(T513="","",IF(T513=0,"No discount",IF(T513&lt;=0.2,"Low (1-20%)",IF(T513&lt;=0.4,"Medium (21-40%)","High (&gt;40%)"))))</f>
        <v>No discount</v>
      </c>
      <c r="Y513" s="23" t="n">
        <f aca="false">IF(AND(ISNUMBER(C513),ISNUMBER(D513)),D513-C513,"")</f>
        <v>1</v>
      </c>
      <c r="Z513" s="23" t="n">
        <f aca="false">IF(B513="","",IF(MATCH(B513,$B$2:$B$12000,0)=ROW()-1,1,0))</f>
        <v>0</v>
      </c>
    </row>
    <row r="514" customFormat="false" ht="15" hidden="false" customHeight="false" outlineLevel="0" collapsed="false">
      <c r="A514" s="20" t="n">
        <v>513</v>
      </c>
      <c r="B514" s="20" t="s">
        <v>1487</v>
      </c>
      <c r="C514" s="21" t="n">
        <v>42689</v>
      </c>
      <c r="D514" s="21" t="n">
        <v>42694</v>
      </c>
      <c r="E514" s="20" t="s">
        <v>58</v>
      </c>
      <c r="F514" s="20" t="s">
        <v>964</v>
      </c>
      <c r="G514" s="20" t="s">
        <v>965</v>
      </c>
      <c r="H514" s="20" t="s">
        <v>85</v>
      </c>
      <c r="I514" s="20" t="s">
        <v>62</v>
      </c>
      <c r="J514" s="20" t="s">
        <v>63</v>
      </c>
      <c r="K514" s="20" t="s">
        <v>487</v>
      </c>
      <c r="L514" s="20" t="n">
        <v>86997</v>
      </c>
      <c r="M514" s="20" t="s">
        <v>65</v>
      </c>
      <c r="N514" s="20" t="s">
        <v>1488</v>
      </c>
      <c r="O514" s="20" t="s">
        <v>76</v>
      </c>
      <c r="P514" s="20" t="s">
        <v>185</v>
      </c>
      <c r="Q514" s="20" t="s">
        <v>1489</v>
      </c>
      <c r="R514" s="22" t="n">
        <v>75.6</v>
      </c>
      <c r="S514" s="20" t="n">
        <v>8</v>
      </c>
      <c r="T514" s="20" t="n">
        <v>0</v>
      </c>
      <c r="U514" s="22" t="n">
        <v>21.89</v>
      </c>
      <c r="V514" s="23" t="n">
        <f aca="false">IF(ISNUMBER(C514),YEAR(C514),"")</f>
        <v>2016</v>
      </c>
      <c r="W514" s="23" t="n">
        <f aca="false">IF(ISNUMBER(C514),MONTH(C514),"")</f>
        <v>11</v>
      </c>
      <c r="X514" s="23" t="str">
        <f aca="false">IF(T514="","",IF(T514=0,"No discount",IF(T514&lt;=0.2,"Low (1-20%)",IF(T514&lt;=0.4,"Medium (21-40%)","High (&gt;40%)"))))</f>
        <v>No discount</v>
      </c>
      <c r="Y514" s="23" t="n">
        <f aca="false">IF(AND(ISNUMBER(C514),ISNUMBER(D514)),D514-C514,"")</f>
        <v>5</v>
      </c>
      <c r="Z514" s="23" t="n">
        <f aca="false">IF(B514="","",IF(MATCH(B514,$B$2:$B$12000,0)=ROW()-1,1,0))</f>
        <v>1</v>
      </c>
    </row>
    <row r="515" customFormat="false" ht="15" hidden="false" customHeight="false" outlineLevel="0" collapsed="false">
      <c r="A515" s="20" t="n">
        <v>514</v>
      </c>
      <c r="B515" s="20" t="s">
        <v>1490</v>
      </c>
      <c r="C515" s="21" t="n">
        <v>42690</v>
      </c>
      <c r="D515" s="21" t="n">
        <v>42696</v>
      </c>
      <c r="E515" s="20" t="s">
        <v>90</v>
      </c>
      <c r="F515" s="20" t="s">
        <v>391</v>
      </c>
      <c r="G515" s="20" t="s">
        <v>392</v>
      </c>
      <c r="H515" s="20" t="s">
        <v>61</v>
      </c>
      <c r="I515" s="20" t="s">
        <v>62</v>
      </c>
      <c r="J515" s="20" t="s">
        <v>63</v>
      </c>
      <c r="K515" s="20" t="s">
        <v>385</v>
      </c>
      <c r="L515" s="20" t="n">
        <v>30285</v>
      </c>
      <c r="M515" s="20" t="s">
        <v>153</v>
      </c>
      <c r="N515" s="20" t="s">
        <v>1491</v>
      </c>
      <c r="O515" s="20" t="s">
        <v>76</v>
      </c>
      <c r="P515" s="20" t="s">
        <v>236</v>
      </c>
      <c r="Q515" s="20" t="s">
        <v>1492</v>
      </c>
      <c r="R515" s="22" t="n">
        <v>275.86</v>
      </c>
      <c r="S515" s="20" t="n">
        <v>5</v>
      </c>
      <c r="T515" s="20" t="n">
        <v>0.2</v>
      </c>
      <c r="U515" s="22" t="n">
        <v>62.63</v>
      </c>
      <c r="V515" s="23" t="n">
        <f aca="false">IF(ISNUMBER(C515),YEAR(C515),"")</f>
        <v>2016</v>
      </c>
      <c r="W515" s="23" t="n">
        <f aca="false">IF(ISNUMBER(C515),MONTH(C515),"")</f>
        <v>11</v>
      </c>
      <c r="X515" s="23" t="str">
        <f aca="false">IF(T515="","",IF(T515=0,"No discount",IF(T515&lt;=0.2,"Low (1-20%)",IF(T515&lt;=0.4,"Medium (21-40%)","High (&gt;40%)"))))</f>
        <v>Low (1-20%)</v>
      </c>
      <c r="Y515" s="23" t="n">
        <f aca="false">IF(AND(ISNUMBER(C515),ISNUMBER(D515)),D515-C515,"")</f>
        <v>6</v>
      </c>
      <c r="Z515" s="23" t="n">
        <f aca="false">IF(B515="","",IF(MATCH(B515,$B$2:$B$12000,0)=ROW()-1,1,0))</f>
        <v>1</v>
      </c>
    </row>
    <row r="516" customFormat="false" ht="15" hidden="false" customHeight="false" outlineLevel="0" collapsed="false">
      <c r="A516" s="20" t="n">
        <v>515</v>
      </c>
      <c r="B516" s="20" t="s">
        <v>1493</v>
      </c>
      <c r="C516" s="21" t="n">
        <v>42691</v>
      </c>
      <c r="D516" s="21" t="n">
        <v>42694</v>
      </c>
      <c r="E516" s="20" t="s">
        <v>104</v>
      </c>
      <c r="F516" s="20" t="s">
        <v>1145</v>
      </c>
      <c r="G516" s="20" t="s">
        <v>1146</v>
      </c>
      <c r="H516" s="20" t="s">
        <v>85</v>
      </c>
      <c r="I516" s="20" t="s">
        <v>62</v>
      </c>
      <c r="J516" s="20" t="s">
        <v>63</v>
      </c>
      <c r="K516" s="20" t="s">
        <v>508</v>
      </c>
      <c r="L516" s="20" t="n">
        <v>70389</v>
      </c>
      <c r="M516" s="20" t="s">
        <v>153</v>
      </c>
      <c r="N516" s="20" t="s">
        <v>1494</v>
      </c>
      <c r="O516" s="20" t="s">
        <v>114</v>
      </c>
      <c r="P516" s="20" t="s">
        <v>210</v>
      </c>
      <c r="Q516" s="20" t="s">
        <v>1495</v>
      </c>
      <c r="R516" s="22" t="n">
        <v>377.3</v>
      </c>
      <c r="S516" s="20" t="n">
        <v>4</v>
      </c>
      <c r="T516" s="20" t="n">
        <v>0.2</v>
      </c>
      <c r="U516" s="22" t="n">
        <v>15.86</v>
      </c>
      <c r="V516" s="23" t="n">
        <f aca="false">IF(ISNUMBER(C516),YEAR(C516),"")</f>
        <v>2016</v>
      </c>
      <c r="W516" s="23" t="n">
        <f aca="false">IF(ISNUMBER(C516),MONTH(C516),"")</f>
        <v>11</v>
      </c>
      <c r="X516" s="23" t="str">
        <f aca="false">IF(T516="","",IF(T516=0,"No discount",IF(T516&lt;=0.2,"Low (1-20%)",IF(T516&lt;=0.4,"Medium (21-40%)","High (&gt;40%)"))))</f>
        <v>Low (1-20%)</v>
      </c>
      <c r="Y516" s="23" t="n">
        <f aca="false">IF(AND(ISNUMBER(C516),ISNUMBER(D516)),D516-C516,"")</f>
        <v>3</v>
      </c>
      <c r="Z516" s="23" t="n">
        <f aca="false">IF(B516="","",IF(MATCH(B516,$B$2:$B$12000,0)=ROW()-1,1,0))</f>
        <v>1</v>
      </c>
    </row>
    <row r="517" customFormat="false" ht="15" hidden="false" customHeight="false" outlineLevel="0" collapsed="false">
      <c r="A517" s="20" t="n">
        <v>516</v>
      </c>
      <c r="B517" s="20" t="s">
        <v>1493</v>
      </c>
      <c r="C517" s="21" t="n">
        <v>42691</v>
      </c>
      <c r="D517" s="21" t="n">
        <v>42694</v>
      </c>
      <c r="E517" s="20" t="s">
        <v>104</v>
      </c>
      <c r="F517" s="20" t="s">
        <v>1145</v>
      </c>
      <c r="G517" s="20" t="s">
        <v>1146</v>
      </c>
      <c r="H517" s="20" t="s">
        <v>85</v>
      </c>
      <c r="I517" s="20" t="s">
        <v>62</v>
      </c>
      <c r="J517" s="20" t="s">
        <v>63</v>
      </c>
      <c r="K517" s="20" t="s">
        <v>508</v>
      </c>
      <c r="L517" s="20" t="n">
        <v>10311</v>
      </c>
      <c r="M517" s="20" t="s">
        <v>153</v>
      </c>
      <c r="N517" s="20" t="s">
        <v>1496</v>
      </c>
      <c r="O517" s="20" t="s">
        <v>76</v>
      </c>
      <c r="P517" s="20" t="s">
        <v>80</v>
      </c>
      <c r="Q517" s="20" t="s">
        <v>1497</v>
      </c>
      <c r="R517" s="22" t="n">
        <v>33.25</v>
      </c>
      <c r="S517" s="20" t="n">
        <v>3</v>
      </c>
      <c r="T517" s="20" t="n">
        <v>0.7</v>
      </c>
      <c r="U517" s="22" t="n">
        <v>-4.76</v>
      </c>
      <c r="V517" s="23" t="n">
        <f aca="false">IF(ISNUMBER(C517),YEAR(C517),"")</f>
        <v>2016</v>
      </c>
      <c r="W517" s="23" t="n">
        <f aca="false">IF(ISNUMBER(C517),MONTH(C517),"")</f>
        <v>11</v>
      </c>
      <c r="X517" s="23" t="str">
        <f aca="false">IF(T517="","",IF(T517=0,"No discount",IF(T517&lt;=0.2,"Low (1-20%)",IF(T517&lt;=0.4,"Medium (21-40%)","High (&gt;40%)"))))</f>
        <v>High (&gt;40%)</v>
      </c>
      <c r="Y517" s="23" t="n">
        <f aca="false">IF(AND(ISNUMBER(C517),ISNUMBER(D517)),D517-C517,"")</f>
        <v>3</v>
      </c>
      <c r="Z517" s="23" t="n">
        <f aca="false">IF(B517="","",IF(MATCH(B517,$B$2:$B$12000,0)=ROW()-1,1,0))</f>
        <v>0</v>
      </c>
    </row>
    <row r="518" customFormat="false" ht="15" hidden="false" customHeight="false" outlineLevel="0" collapsed="false">
      <c r="A518" s="20" t="n">
        <v>517</v>
      </c>
      <c r="B518" s="20" t="s">
        <v>1493</v>
      </c>
      <c r="C518" s="21" t="n">
        <v>42691</v>
      </c>
      <c r="D518" s="21" t="n">
        <v>42694</v>
      </c>
      <c r="E518" s="20" t="s">
        <v>58</v>
      </c>
      <c r="F518" s="20" t="s">
        <v>1145</v>
      </c>
      <c r="G518" s="20" t="s">
        <v>1146</v>
      </c>
      <c r="H518" s="20" t="s">
        <v>85</v>
      </c>
      <c r="I518" s="20" t="s">
        <v>62</v>
      </c>
      <c r="J518" s="20" t="s">
        <v>63</v>
      </c>
      <c r="K518" s="20" t="s">
        <v>508</v>
      </c>
      <c r="L518" s="20" t="n">
        <v>48165</v>
      </c>
      <c r="M518" s="20" t="s">
        <v>153</v>
      </c>
      <c r="N518" s="20" t="s">
        <v>1498</v>
      </c>
      <c r="O518" s="20" t="s">
        <v>114</v>
      </c>
      <c r="P518" s="20" t="s">
        <v>210</v>
      </c>
      <c r="Q518" s="20" t="s">
        <v>1499</v>
      </c>
      <c r="R518" s="22" t="n">
        <v>44</v>
      </c>
      <c r="S518" s="20" t="n">
        <v>2</v>
      </c>
      <c r="T518" s="20" t="n">
        <v>0</v>
      </c>
      <c r="U518" s="22" t="n">
        <v>5.85</v>
      </c>
      <c r="V518" s="23" t="n">
        <f aca="false">IF(ISNUMBER(C518),YEAR(C518),"")</f>
        <v>2016</v>
      </c>
      <c r="W518" s="23" t="n">
        <f aca="false">IF(ISNUMBER(C518),MONTH(C518),"")</f>
        <v>11</v>
      </c>
      <c r="X518" s="23" t="str">
        <f aca="false">IF(T518="","",IF(T518=0,"No discount",IF(T518&lt;=0.2,"Low (1-20%)",IF(T518&lt;=0.4,"Medium (21-40%)","High (&gt;40%)"))))</f>
        <v>No discount</v>
      </c>
      <c r="Y518" s="23" t="n">
        <f aca="false">IF(AND(ISNUMBER(C518),ISNUMBER(D518)),D518-C518,"")</f>
        <v>3</v>
      </c>
      <c r="Z518" s="23" t="n">
        <f aca="false">IF(B518="","",IF(MATCH(B518,$B$2:$B$12000,0)=ROW()-1,1,0))</f>
        <v>0</v>
      </c>
    </row>
    <row r="519" customFormat="false" ht="15" hidden="false" customHeight="false" outlineLevel="0" collapsed="false">
      <c r="A519" s="20" t="n">
        <v>518</v>
      </c>
      <c r="B519" s="20" t="s">
        <v>1493</v>
      </c>
      <c r="C519" s="21" t="n">
        <v>42691</v>
      </c>
      <c r="D519" s="21" t="n">
        <v>42694</v>
      </c>
      <c r="E519" s="20" t="s">
        <v>58</v>
      </c>
      <c r="F519" s="20" t="s">
        <v>1145</v>
      </c>
      <c r="G519" s="20" t="s">
        <v>1146</v>
      </c>
      <c r="H519" s="20" t="s">
        <v>85</v>
      </c>
      <c r="I519" s="20" t="s">
        <v>62</v>
      </c>
      <c r="J519" s="20" t="s">
        <v>63</v>
      </c>
      <c r="K519" s="20" t="s">
        <v>508</v>
      </c>
      <c r="L519" s="20" t="n">
        <v>84229</v>
      </c>
      <c r="M519" s="20" t="s">
        <v>153</v>
      </c>
      <c r="N519" s="20" t="s">
        <v>1500</v>
      </c>
      <c r="O519" s="20" t="s">
        <v>76</v>
      </c>
      <c r="P519" s="20" t="s">
        <v>88</v>
      </c>
      <c r="Q519" s="20" t="s">
        <v>1501</v>
      </c>
      <c r="R519" s="22" t="n">
        <v>50.92</v>
      </c>
      <c r="S519" s="20" t="n">
        <v>2</v>
      </c>
      <c r="T519" s="20" t="n">
        <v>0.5</v>
      </c>
      <c r="U519" s="22" t="n">
        <v>-4.77</v>
      </c>
      <c r="V519" s="23" t="n">
        <f aca="false">IF(ISNUMBER(C519),YEAR(C519),"")</f>
        <v>2016</v>
      </c>
      <c r="W519" s="23" t="n">
        <f aca="false">IF(ISNUMBER(C519),MONTH(C519),"")</f>
        <v>11</v>
      </c>
      <c r="X519" s="23" t="str">
        <f aca="false">IF(T519="","",IF(T519=0,"No discount",IF(T519&lt;=0.2,"Low (1-20%)",IF(T519&lt;=0.4,"Medium (21-40%)","High (&gt;40%)"))))</f>
        <v>High (&gt;40%)</v>
      </c>
      <c r="Y519" s="23" t="n">
        <f aca="false">IF(AND(ISNUMBER(C519),ISNUMBER(D519)),D519-C519,"")</f>
        <v>3</v>
      </c>
      <c r="Z519" s="23" t="n">
        <f aca="false">IF(B519="","",IF(MATCH(B519,$B$2:$B$12000,0)=ROW()-1,1,0))</f>
        <v>0</v>
      </c>
    </row>
    <row r="520" customFormat="false" ht="15" hidden="false" customHeight="false" outlineLevel="0" collapsed="false">
      <c r="A520" s="20" t="n">
        <v>519</v>
      </c>
      <c r="B520" s="20" t="s">
        <v>1502</v>
      </c>
      <c r="C520" s="21" t="n">
        <v>42691</v>
      </c>
      <c r="D520" s="21" t="n">
        <v>42696</v>
      </c>
      <c r="E520" s="20" t="s">
        <v>71</v>
      </c>
      <c r="F520" s="20" t="s">
        <v>858</v>
      </c>
      <c r="G520" s="20" t="s">
        <v>859</v>
      </c>
      <c r="H520" s="20" t="s">
        <v>61</v>
      </c>
      <c r="I520" s="20" t="s">
        <v>62</v>
      </c>
      <c r="J520" s="20" t="s">
        <v>63</v>
      </c>
      <c r="K520" s="20" t="s">
        <v>556</v>
      </c>
      <c r="L520" s="20" t="n">
        <v>50014</v>
      </c>
      <c r="M520" s="20" t="s">
        <v>65</v>
      </c>
      <c r="N520" s="20" t="s">
        <v>1503</v>
      </c>
      <c r="O520" s="20" t="s">
        <v>67</v>
      </c>
      <c r="P520" s="20" t="s">
        <v>68</v>
      </c>
      <c r="Q520" s="20" t="s">
        <v>1504</v>
      </c>
      <c r="R520" s="22" t="n">
        <v>8272.02</v>
      </c>
      <c r="S520" s="20" t="n">
        <v>4</v>
      </c>
      <c r="T520" s="20" t="n">
        <v>0.3</v>
      </c>
      <c r="U520" s="22" t="n">
        <v>1000.61</v>
      </c>
      <c r="V520" s="23" t="n">
        <f aca="false">IF(ISNUMBER(C520),YEAR(C520),"")</f>
        <v>2016</v>
      </c>
      <c r="W520" s="23" t="n">
        <f aca="false">IF(ISNUMBER(C520),MONTH(C520),"")</f>
        <v>11</v>
      </c>
      <c r="X520" s="23" t="str">
        <f aca="false">IF(T520="","",IF(T520=0,"No discount",IF(T520&lt;=0.2,"Low (1-20%)",IF(T520&lt;=0.4,"Medium (21-40%)","High (&gt;40%)"))))</f>
        <v>Medium (21-40%)</v>
      </c>
      <c r="Y520" s="23" t="n">
        <f aca="false">IF(AND(ISNUMBER(C520),ISNUMBER(D520)),D520-C520,"")</f>
        <v>5</v>
      </c>
      <c r="Z520" s="23" t="n">
        <f aca="false">IF(B520="","",IF(MATCH(B520,$B$2:$B$12000,0)=ROW()-1,1,0))</f>
        <v>1</v>
      </c>
    </row>
    <row r="521" customFormat="false" ht="15" hidden="false" customHeight="false" outlineLevel="0" collapsed="false">
      <c r="A521" s="20" t="n">
        <v>520</v>
      </c>
      <c r="B521" s="20" t="s">
        <v>1502</v>
      </c>
      <c r="C521" s="21" t="n">
        <v>42691</v>
      </c>
      <c r="D521" s="21" t="n">
        <v>42696</v>
      </c>
      <c r="E521" s="20" t="s">
        <v>104</v>
      </c>
      <c r="F521" s="20" t="s">
        <v>858</v>
      </c>
      <c r="G521" s="20" t="s">
        <v>859</v>
      </c>
      <c r="H521" s="20" t="s">
        <v>61</v>
      </c>
      <c r="I521" s="20" t="s">
        <v>62</v>
      </c>
      <c r="J521" s="20" t="s">
        <v>63</v>
      </c>
      <c r="K521" s="20" t="s">
        <v>556</v>
      </c>
      <c r="L521" s="20" t="n">
        <v>46975</v>
      </c>
      <c r="M521" s="20" t="s">
        <v>65</v>
      </c>
      <c r="N521" s="20" t="s">
        <v>1505</v>
      </c>
      <c r="O521" s="20" t="s">
        <v>114</v>
      </c>
      <c r="P521" s="20" t="s">
        <v>210</v>
      </c>
      <c r="Q521" s="20" t="s">
        <v>1506</v>
      </c>
      <c r="R521" s="22" t="n">
        <v>460.54</v>
      </c>
      <c r="S521" s="20" t="n">
        <v>5</v>
      </c>
      <c r="T521" s="20" t="n">
        <v>0</v>
      </c>
      <c r="U521" s="22" t="n">
        <v>48.05</v>
      </c>
      <c r="V521" s="23" t="n">
        <f aca="false">IF(ISNUMBER(C521),YEAR(C521),"")</f>
        <v>2016</v>
      </c>
      <c r="W521" s="23" t="n">
        <f aca="false">IF(ISNUMBER(C521),MONTH(C521),"")</f>
        <v>11</v>
      </c>
      <c r="X521" s="23" t="str">
        <f aca="false">IF(T521="","",IF(T521=0,"No discount",IF(T521&lt;=0.2,"Low (1-20%)",IF(T521&lt;=0.4,"Medium (21-40%)","High (&gt;40%)"))))</f>
        <v>No discount</v>
      </c>
      <c r="Y521" s="23" t="n">
        <f aca="false">IF(AND(ISNUMBER(C521),ISNUMBER(D521)),D521-C521,"")</f>
        <v>5</v>
      </c>
      <c r="Z521" s="23" t="n">
        <f aca="false">IF(B521="","",IF(MATCH(B521,$B$2:$B$12000,0)=ROW()-1,1,0))</f>
        <v>0</v>
      </c>
    </row>
    <row r="522" customFormat="false" ht="15" hidden="false" customHeight="false" outlineLevel="0" collapsed="false">
      <c r="A522" s="20" t="n">
        <v>521</v>
      </c>
      <c r="B522" s="20" t="s">
        <v>1502</v>
      </c>
      <c r="C522" s="21" t="n">
        <v>42691</v>
      </c>
      <c r="D522" s="21" t="n">
        <v>42696</v>
      </c>
      <c r="E522" s="20" t="s">
        <v>90</v>
      </c>
      <c r="F522" s="20" t="s">
        <v>858</v>
      </c>
      <c r="G522" s="20" t="s">
        <v>859</v>
      </c>
      <c r="H522" s="20" t="s">
        <v>61</v>
      </c>
      <c r="I522" s="20" t="s">
        <v>62</v>
      </c>
      <c r="J522" s="20" t="s">
        <v>63</v>
      </c>
      <c r="K522" s="20" t="s">
        <v>556</v>
      </c>
      <c r="L522" s="20" t="n">
        <v>54526</v>
      </c>
      <c r="M522" s="20" t="s">
        <v>65</v>
      </c>
      <c r="N522" s="20" t="s">
        <v>1507</v>
      </c>
      <c r="O522" s="20" t="s">
        <v>76</v>
      </c>
      <c r="P522" s="20" t="s">
        <v>122</v>
      </c>
      <c r="Q522" s="20" t="s">
        <v>1508</v>
      </c>
      <c r="R522" s="22" t="n">
        <v>38.68</v>
      </c>
      <c r="S522" s="20" t="n">
        <v>1</v>
      </c>
      <c r="T522" s="20" t="n">
        <v>0</v>
      </c>
      <c r="U522" s="22" t="n">
        <v>12.81</v>
      </c>
      <c r="V522" s="23" t="n">
        <f aca="false">IF(ISNUMBER(C522),YEAR(C522),"")</f>
        <v>2016</v>
      </c>
      <c r="W522" s="23" t="n">
        <f aca="false">IF(ISNUMBER(C522),MONTH(C522),"")</f>
        <v>11</v>
      </c>
      <c r="X522" s="23" t="str">
        <f aca="false">IF(T522="","",IF(T522=0,"No discount",IF(T522&lt;=0.2,"Low (1-20%)",IF(T522&lt;=0.4,"Medium (21-40%)","High (&gt;40%)"))))</f>
        <v>No discount</v>
      </c>
      <c r="Y522" s="23" t="n">
        <f aca="false">IF(AND(ISNUMBER(C522),ISNUMBER(D522)),D522-C522,"")</f>
        <v>5</v>
      </c>
      <c r="Z522" s="23" t="n">
        <f aca="false">IF(B522="","",IF(MATCH(B522,$B$2:$B$12000,0)=ROW()-1,1,0))</f>
        <v>0</v>
      </c>
    </row>
    <row r="523" customFormat="false" ht="15" hidden="false" customHeight="false" outlineLevel="0" collapsed="false">
      <c r="A523" s="20" t="n">
        <v>522</v>
      </c>
      <c r="B523" s="20" t="s">
        <v>1502</v>
      </c>
      <c r="C523" s="21" t="n">
        <v>42691</v>
      </c>
      <c r="D523" s="21" t="n">
        <v>42696</v>
      </c>
      <c r="E523" s="20" t="s">
        <v>71</v>
      </c>
      <c r="F523" s="20" t="s">
        <v>858</v>
      </c>
      <c r="G523" s="20" t="s">
        <v>859</v>
      </c>
      <c r="H523" s="20" t="s">
        <v>61</v>
      </c>
      <c r="I523" s="20" t="s">
        <v>62</v>
      </c>
      <c r="J523" s="20" t="s">
        <v>63</v>
      </c>
      <c r="K523" s="20" t="s">
        <v>556</v>
      </c>
      <c r="L523" s="20" t="n">
        <v>82456</v>
      </c>
      <c r="M523" s="20" t="s">
        <v>65</v>
      </c>
      <c r="N523" s="20" t="s">
        <v>1509</v>
      </c>
      <c r="O523" s="20" t="s">
        <v>76</v>
      </c>
      <c r="P523" s="20" t="s">
        <v>178</v>
      </c>
      <c r="Q523" s="20" t="s">
        <v>1510</v>
      </c>
      <c r="R523" s="22" t="n">
        <v>598.46</v>
      </c>
      <c r="S523" s="20" t="n">
        <v>5</v>
      </c>
      <c r="T523" s="20" t="n">
        <v>0</v>
      </c>
      <c r="U523" s="22" t="n">
        <v>15.57</v>
      </c>
      <c r="V523" s="23" t="n">
        <f aca="false">IF(ISNUMBER(C523),YEAR(C523),"")</f>
        <v>2016</v>
      </c>
      <c r="W523" s="23" t="n">
        <f aca="false">IF(ISNUMBER(C523),MONTH(C523),"")</f>
        <v>11</v>
      </c>
      <c r="X523" s="23" t="str">
        <f aca="false">IF(T523="","",IF(T523=0,"No discount",IF(T523&lt;=0.2,"Low (1-20%)",IF(T523&lt;=0.4,"Medium (21-40%)","High (&gt;40%)"))))</f>
        <v>No discount</v>
      </c>
      <c r="Y523" s="23" t="n">
        <f aca="false">IF(AND(ISNUMBER(C523),ISNUMBER(D523)),D523-C523,"")</f>
        <v>5</v>
      </c>
      <c r="Z523" s="23" t="n">
        <f aca="false">IF(B523="","",IF(MATCH(B523,$B$2:$B$12000,0)=ROW()-1,1,0))</f>
        <v>0</v>
      </c>
    </row>
    <row r="524" customFormat="false" ht="15" hidden="false" customHeight="false" outlineLevel="0" collapsed="false">
      <c r="A524" s="20" t="n">
        <v>523</v>
      </c>
      <c r="B524" s="20" t="s">
        <v>1511</v>
      </c>
      <c r="C524" s="21" t="n">
        <v>42692</v>
      </c>
      <c r="D524" s="21" t="n">
        <v>42697</v>
      </c>
      <c r="E524" s="20" t="s">
        <v>71</v>
      </c>
      <c r="F524" s="20" t="s">
        <v>223</v>
      </c>
      <c r="G524" s="20" t="s">
        <v>224</v>
      </c>
      <c r="H524" s="20" t="s">
        <v>61</v>
      </c>
      <c r="I524" s="20" t="s">
        <v>62</v>
      </c>
      <c r="J524" s="20" t="s">
        <v>63</v>
      </c>
      <c r="K524" s="20" t="s">
        <v>208</v>
      </c>
      <c r="L524" s="20" t="n">
        <v>95228</v>
      </c>
      <c r="M524" s="20" t="s">
        <v>153</v>
      </c>
      <c r="N524" s="20" t="s">
        <v>1512</v>
      </c>
      <c r="O524" s="20" t="s">
        <v>76</v>
      </c>
      <c r="P524" s="20" t="s">
        <v>80</v>
      </c>
      <c r="Q524" s="20" t="s">
        <v>92</v>
      </c>
      <c r="R524" s="22" t="n">
        <v>173.22</v>
      </c>
      <c r="S524" s="20" t="n">
        <v>7</v>
      </c>
      <c r="T524" s="20" t="n">
        <v>0.5</v>
      </c>
      <c r="U524" s="22" t="n">
        <v>15.76</v>
      </c>
      <c r="V524" s="23" t="n">
        <f aca="false">IF(ISNUMBER(C524),YEAR(C524),"")</f>
        <v>2016</v>
      </c>
      <c r="W524" s="23" t="n">
        <f aca="false">IF(ISNUMBER(C524),MONTH(C524),"")</f>
        <v>11</v>
      </c>
      <c r="X524" s="23" t="str">
        <f aca="false">IF(T524="","",IF(T524=0,"No discount",IF(T524&lt;=0.2,"Low (1-20%)",IF(T524&lt;=0.4,"Medium (21-40%)","High (&gt;40%)"))))</f>
        <v>High (&gt;40%)</v>
      </c>
      <c r="Y524" s="23" t="n">
        <f aca="false">IF(AND(ISNUMBER(C524),ISNUMBER(D524)),D524-C524,"")</f>
        <v>5</v>
      </c>
      <c r="Z524" s="23" t="n">
        <f aca="false">IF(B524="","",IF(MATCH(B524,$B$2:$B$12000,0)=ROW()-1,1,0))</f>
        <v>1</v>
      </c>
    </row>
    <row r="525" customFormat="false" ht="15" hidden="false" customHeight="false" outlineLevel="0" collapsed="false">
      <c r="A525" s="20" t="n">
        <v>524</v>
      </c>
      <c r="B525" s="20" t="s">
        <v>1511</v>
      </c>
      <c r="C525" s="21" t="n">
        <v>42692</v>
      </c>
      <c r="D525" s="21" t="n">
        <v>42697</v>
      </c>
      <c r="E525" s="20" t="s">
        <v>71</v>
      </c>
      <c r="F525" s="20" t="s">
        <v>223</v>
      </c>
      <c r="G525" s="20" t="s">
        <v>224</v>
      </c>
      <c r="H525" s="20" t="s">
        <v>61</v>
      </c>
      <c r="I525" s="20" t="s">
        <v>62</v>
      </c>
      <c r="J525" s="20" t="s">
        <v>63</v>
      </c>
      <c r="K525" s="20" t="s">
        <v>208</v>
      </c>
      <c r="L525" s="20" t="n">
        <v>76387</v>
      </c>
      <c r="M525" s="20" t="s">
        <v>153</v>
      </c>
      <c r="N525" s="20" t="s">
        <v>1513</v>
      </c>
      <c r="O525" s="20" t="s">
        <v>114</v>
      </c>
      <c r="P525" s="20" t="s">
        <v>139</v>
      </c>
      <c r="Q525" s="20" t="s">
        <v>1514</v>
      </c>
      <c r="R525" s="22" t="n">
        <v>860.9</v>
      </c>
      <c r="S525" s="20" t="n">
        <v>3</v>
      </c>
      <c r="T525" s="20" t="n">
        <v>0</v>
      </c>
      <c r="U525" s="22" t="n">
        <v>38.36</v>
      </c>
      <c r="V525" s="23" t="n">
        <f aca="false">IF(ISNUMBER(C525),YEAR(C525),"")</f>
        <v>2016</v>
      </c>
      <c r="W525" s="23" t="n">
        <f aca="false">IF(ISNUMBER(C525),MONTH(C525),"")</f>
        <v>11</v>
      </c>
      <c r="X525" s="23" t="str">
        <f aca="false">IF(T525="","",IF(T525=0,"No discount",IF(T525&lt;=0.2,"Low (1-20%)",IF(T525&lt;=0.4,"Medium (21-40%)","High (&gt;40%)"))))</f>
        <v>No discount</v>
      </c>
      <c r="Y525" s="23" t="n">
        <f aca="false">IF(AND(ISNUMBER(C525),ISNUMBER(D525)),D525-C525,"")</f>
        <v>5</v>
      </c>
      <c r="Z525" s="23" t="n">
        <f aca="false">IF(B525="","",IF(MATCH(B525,$B$2:$B$12000,0)=ROW()-1,1,0))</f>
        <v>0</v>
      </c>
    </row>
    <row r="526" customFormat="false" ht="15" hidden="false" customHeight="false" outlineLevel="0" collapsed="false">
      <c r="A526" s="20" t="n">
        <v>525</v>
      </c>
      <c r="B526" s="20" t="s">
        <v>1515</v>
      </c>
      <c r="C526" s="21" t="n">
        <v>42696</v>
      </c>
      <c r="D526" s="21" t="n">
        <v>42701</v>
      </c>
      <c r="E526" s="20" t="s">
        <v>104</v>
      </c>
      <c r="F526" s="20" t="s">
        <v>252</v>
      </c>
      <c r="G526" s="20" t="s">
        <v>253</v>
      </c>
      <c r="H526" s="20" t="s">
        <v>61</v>
      </c>
      <c r="I526" s="20" t="s">
        <v>62</v>
      </c>
      <c r="J526" s="20" t="s">
        <v>63</v>
      </c>
      <c r="K526" s="20" t="s">
        <v>487</v>
      </c>
      <c r="L526" s="20" t="n">
        <v>60477</v>
      </c>
      <c r="M526" s="20" t="s">
        <v>65</v>
      </c>
      <c r="N526" s="20" t="s">
        <v>1516</v>
      </c>
      <c r="O526" s="20" t="s">
        <v>76</v>
      </c>
      <c r="P526" s="20" t="s">
        <v>101</v>
      </c>
      <c r="Q526" s="20" t="s">
        <v>1517</v>
      </c>
      <c r="R526" s="22" t="n">
        <v>60.5</v>
      </c>
      <c r="S526" s="20" t="n">
        <v>3</v>
      </c>
      <c r="T526" s="20" t="n">
        <v>0</v>
      </c>
      <c r="U526" s="22" t="n">
        <v>22.4</v>
      </c>
      <c r="V526" s="23" t="n">
        <f aca="false">IF(ISNUMBER(C526),YEAR(C526),"")</f>
        <v>2016</v>
      </c>
      <c r="W526" s="23" t="n">
        <f aca="false">IF(ISNUMBER(C526),MONTH(C526),"")</f>
        <v>11</v>
      </c>
      <c r="X526" s="23" t="str">
        <f aca="false">IF(T526="","",IF(T526=0,"No discount",IF(T526&lt;=0.2,"Low (1-20%)",IF(T526&lt;=0.4,"Medium (21-40%)","High (&gt;40%)"))))</f>
        <v>No discount</v>
      </c>
      <c r="Y526" s="23" t="n">
        <f aca="false">IF(AND(ISNUMBER(C526),ISNUMBER(D526)),D526-C526,"")</f>
        <v>5</v>
      </c>
      <c r="Z526" s="23" t="n">
        <f aca="false">IF(B526="","",IF(MATCH(B526,$B$2:$B$12000,0)=ROW()-1,1,0))</f>
        <v>1</v>
      </c>
    </row>
    <row r="527" customFormat="false" ht="15" hidden="false" customHeight="false" outlineLevel="0" collapsed="false">
      <c r="A527" s="20" t="n">
        <v>526</v>
      </c>
      <c r="B527" s="20" t="s">
        <v>1515</v>
      </c>
      <c r="C527" s="21" t="n">
        <v>42696</v>
      </c>
      <c r="D527" s="21" t="n">
        <v>42701</v>
      </c>
      <c r="E527" s="20" t="s">
        <v>71</v>
      </c>
      <c r="F527" s="20" t="s">
        <v>252</v>
      </c>
      <c r="G527" s="20" t="s">
        <v>253</v>
      </c>
      <c r="H527" s="20" t="s">
        <v>61</v>
      </c>
      <c r="I527" s="20" t="s">
        <v>62</v>
      </c>
      <c r="J527" s="20" t="s">
        <v>63</v>
      </c>
      <c r="K527" s="20" t="s">
        <v>487</v>
      </c>
      <c r="L527" s="20" t="n">
        <v>79374</v>
      </c>
      <c r="M527" s="20" t="s">
        <v>65</v>
      </c>
      <c r="N527" s="20" t="s">
        <v>1518</v>
      </c>
      <c r="O527" s="20" t="s">
        <v>76</v>
      </c>
      <c r="P527" s="20" t="s">
        <v>122</v>
      </c>
      <c r="Q527" s="20" t="s">
        <v>1519</v>
      </c>
      <c r="R527" s="22" t="n">
        <v>274.45</v>
      </c>
      <c r="S527" s="20" t="n">
        <v>7</v>
      </c>
      <c r="T527" s="20" t="n">
        <v>0.2</v>
      </c>
      <c r="U527" s="22" t="n">
        <v>66.04</v>
      </c>
      <c r="V527" s="23" t="n">
        <f aca="false">IF(ISNUMBER(C527),YEAR(C527),"")</f>
        <v>2016</v>
      </c>
      <c r="W527" s="23" t="n">
        <f aca="false">IF(ISNUMBER(C527),MONTH(C527),"")</f>
        <v>11</v>
      </c>
      <c r="X527" s="23" t="str">
        <f aca="false">IF(T527="","",IF(T527=0,"No discount",IF(T527&lt;=0.2,"Low (1-20%)",IF(T527&lt;=0.4,"Medium (21-40%)","High (&gt;40%)"))))</f>
        <v>Low (1-20%)</v>
      </c>
      <c r="Y527" s="23" t="n">
        <f aca="false">IF(AND(ISNUMBER(C527),ISNUMBER(D527)),D527-C527,"")</f>
        <v>5</v>
      </c>
      <c r="Z527" s="23" t="n">
        <f aca="false">IF(B527="","",IF(MATCH(B527,$B$2:$B$12000,0)=ROW()-1,1,0))</f>
        <v>0</v>
      </c>
    </row>
    <row r="528" customFormat="false" ht="15" hidden="false" customHeight="false" outlineLevel="0" collapsed="false">
      <c r="A528" s="20" t="n">
        <v>527</v>
      </c>
      <c r="B528" s="20" t="s">
        <v>1515</v>
      </c>
      <c r="C528" s="21" t="n">
        <v>42696</v>
      </c>
      <c r="D528" s="21" t="n">
        <v>42701</v>
      </c>
      <c r="E528" s="20" t="s">
        <v>104</v>
      </c>
      <c r="F528" s="20" t="s">
        <v>252</v>
      </c>
      <c r="G528" s="20" t="s">
        <v>253</v>
      </c>
      <c r="H528" s="20" t="s">
        <v>61</v>
      </c>
      <c r="I528" s="20" t="s">
        <v>62</v>
      </c>
      <c r="J528" s="20" t="s">
        <v>63</v>
      </c>
      <c r="K528" s="20" t="s">
        <v>487</v>
      </c>
      <c r="L528" s="20" t="n">
        <v>63410</v>
      </c>
      <c r="M528" s="20" t="s">
        <v>65</v>
      </c>
      <c r="N528" s="20" t="s">
        <v>1520</v>
      </c>
      <c r="O528" s="20" t="s">
        <v>67</v>
      </c>
      <c r="P528" s="20" t="s">
        <v>157</v>
      </c>
      <c r="Q528" s="20" t="s">
        <v>1521</v>
      </c>
      <c r="R528" s="22" t="n">
        <v>71.29</v>
      </c>
      <c r="S528" s="20" t="n">
        <v>2</v>
      </c>
      <c r="T528" s="20" t="n">
        <v>0.5</v>
      </c>
      <c r="U528" s="22" t="n">
        <v>2.39</v>
      </c>
      <c r="V528" s="23" t="n">
        <f aca="false">IF(ISNUMBER(C528),YEAR(C528),"")</f>
        <v>2016</v>
      </c>
      <c r="W528" s="23" t="n">
        <f aca="false">IF(ISNUMBER(C528),MONTH(C528),"")</f>
        <v>11</v>
      </c>
      <c r="X528" s="23" t="str">
        <f aca="false">IF(T528="","",IF(T528=0,"No discount",IF(T528&lt;=0.2,"Low (1-20%)",IF(T528&lt;=0.4,"Medium (21-40%)","High (&gt;40%)"))))</f>
        <v>High (&gt;40%)</v>
      </c>
      <c r="Y528" s="23" t="n">
        <f aca="false">IF(AND(ISNUMBER(C528),ISNUMBER(D528)),D528-C528,"")</f>
        <v>5</v>
      </c>
      <c r="Z528" s="23" t="n">
        <f aca="false">IF(B528="","",IF(MATCH(B528,$B$2:$B$12000,0)=ROW()-1,1,0))</f>
        <v>0</v>
      </c>
    </row>
    <row r="529" customFormat="false" ht="15" hidden="false" customHeight="false" outlineLevel="0" collapsed="false">
      <c r="A529" s="20" t="n">
        <v>528</v>
      </c>
      <c r="B529" s="20" t="s">
        <v>1515</v>
      </c>
      <c r="C529" s="21" t="n">
        <v>42696</v>
      </c>
      <c r="D529" s="21" t="n">
        <v>42701</v>
      </c>
      <c r="E529" s="20" t="s">
        <v>58</v>
      </c>
      <c r="F529" s="20" t="s">
        <v>252</v>
      </c>
      <c r="G529" s="20" t="s">
        <v>253</v>
      </c>
      <c r="H529" s="20" t="s">
        <v>61</v>
      </c>
      <c r="I529" s="20" t="s">
        <v>62</v>
      </c>
      <c r="J529" s="20" t="s">
        <v>63</v>
      </c>
      <c r="K529" s="20" t="s">
        <v>487</v>
      </c>
      <c r="L529" s="20" t="n">
        <v>45840</v>
      </c>
      <c r="M529" s="20" t="s">
        <v>65</v>
      </c>
      <c r="N529" s="20" t="s">
        <v>1522</v>
      </c>
      <c r="O529" s="20" t="s">
        <v>114</v>
      </c>
      <c r="P529" s="20" t="s">
        <v>115</v>
      </c>
      <c r="Q529" s="20" t="s">
        <v>1523</v>
      </c>
      <c r="R529" s="22" t="n">
        <v>1829.46</v>
      </c>
      <c r="S529" s="20" t="n">
        <v>7</v>
      </c>
      <c r="T529" s="20" t="n">
        <v>0.1</v>
      </c>
      <c r="U529" s="22" t="n">
        <v>180.4</v>
      </c>
      <c r="V529" s="23" t="n">
        <f aca="false">IF(ISNUMBER(C529),YEAR(C529),"")</f>
        <v>2016</v>
      </c>
      <c r="W529" s="23" t="n">
        <f aca="false">IF(ISNUMBER(C529),MONTH(C529),"")</f>
        <v>11</v>
      </c>
      <c r="X529" s="23" t="str">
        <f aca="false">IF(T529="","",IF(T529=0,"No discount",IF(T529&lt;=0.2,"Low (1-20%)",IF(T529&lt;=0.4,"Medium (21-40%)","High (&gt;40%)"))))</f>
        <v>Low (1-20%)</v>
      </c>
      <c r="Y529" s="23" t="n">
        <f aca="false">IF(AND(ISNUMBER(C529),ISNUMBER(D529)),D529-C529,"")</f>
        <v>5</v>
      </c>
      <c r="Z529" s="23" t="n">
        <f aca="false">IF(B529="","",IF(MATCH(B529,$B$2:$B$12000,0)=ROW()-1,1,0))</f>
        <v>0</v>
      </c>
    </row>
    <row r="530" customFormat="false" ht="15" hidden="false" customHeight="false" outlineLevel="0" collapsed="false">
      <c r="A530" s="20" t="n">
        <v>529</v>
      </c>
      <c r="B530" s="20" t="s">
        <v>1524</v>
      </c>
      <c r="C530" s="21" t="n">
        <v>42699</v>
      </c>
      <c r="D530" s="21" t="n">
        <v>42705</v>
      </c>
      <c r="E530" s="20" t="s">
        <v>71</v>
      </c>
      <c r="F530" s="20" t="s">
        <v>213</v>
      </c>
      <c r="G530" s="20" t="s">
        <v>214</v>
      </c>
      <c r="H530" s="20" t="s">
        <v>162</v>
      </c>
      <c r="I530" s="20" t="s">
        <v>62</v>
      </c>
      <c r="J530" s="20" t="s">
        <v>63</v>
      </c>
      <c r="K530" s="20" t="s">
        <v>296</v>
      </c>
      <c r="L530" s="20" t="n">
        <v>51230</v>
      </c>
      <c r="M530" s="20" t="s">
        <v>153</v>
      </c>
      <c r="N530" s="20" t="s">
        <v>1525</v>
      </c>
      <c r="O530" s="20" t="s">
        <v>114</v>
      </c>
      <c r="P530" s="20" t="s">
        <v>167</v>
      </c>
      <c r="Q530" s="20" t="s">
        <v>1526</v>
      </c>
      <c r="R530" s="22" t="n">
        <v>1844.29</v>
      </c>
      <c r="S530" s="20" t="n">
        <v>8</v>
      </c>
      <c r="T530" s="20" t="n">
        <v>0.7</v>
      </c>
      <c r="U530" s="22" t="n">
        <v>-965.52</v>
      </c>
      <c r="V530" s="23" t="n">
        <f aca="false">IF(ISNUMBER(C530),YEAR(C530),"")</f>
        <v>2016</v>
      </c>
      <c r="W530" s="23" t="n">
        <f aca="false">IF(ISNUMBER(C530),MONTH(C530),"")</f>
        <v>11</v>
      </c>
      <c r="X530" s="23" t="str">
        <f aca="false">IF(T530="","",IF(T530=0,"No discount",IF(T530&lt;=0.2,"Low (1-20%)",IF(T530&lt;=0.4,"Medium (21-40%)","High (&gt;40%)"))))</f>
        <v>High (&gt;40%)</v>
      </c>
      <c r="Y530" s="23" t="n">
        <f aca="false">IF(AND(ISNUMBER(C530),ISNUMBER(D530)),D530-C530,"")</f>
        <v>6</v>
      </c>
      <c r="Z530" s="23" t="n">
        <f aca="false">IF(B530="","",IF(MATCH(B530,$B$2:$B$12000,0)=ROW()-1,1,0))</f>
        <v>1</v>
      </c>
    </row>
    <row r="531" customFormat="false" ht="15" hidden="false" customHeight="false" outlineLevel="0" collapsed="false">
      <c r="A531" s="20" t="n">
        <v>530</v>
      </c>
      <c r="B531" s="20" t="s">
        <v>1527</v>
      </c>
      <c r="C531" s="21" t="n">
        <v>42706</v>
      </c>
      <c r="D531" s="21" t="n">
        <v>42711</v>
      </c>
      <c r="E531" s="20" t="s">
        <v>71</v>
      </c>
      <c r="F531" s="20" t="s">
        <v>501</v>
      </c>
      <c r="G531" s="20" t="s">
        <v>502</v>
      </c>
      <c r="H531" s="20" t="s">
        <v>85</v>
      </c>
      <c r="I531" s="20" t="s">
        <v>62</v>
      </c>
      <c r="J531" s="20" t="s">
        <v>63</v>
      </c>
      <c r="K531" s="20" t="s">
        <v>225</v>
      </c>
      <c r="L531" s="20" t="n">
        <v>49998</v>
      </c>
      <c r="M531" s="20" t="s">
        <v>65</v>
      </c>
      <c r="N531" s="20" t="s">
        <v>1528</v>
      </c>
      <c r="O531" s="20" t="s">
        <v>76</v>
      </c>
      <c r="P531" s="20" t="s">
        <v>101</v>
      </c>
      <c r="Q531" s="20" t="s">
        <v>1057</v>
      </c>
      <c r="R531" s="22" t="n">
        <v>58.19</v>
      </c>
      <c r="S531" s="20" t="n">
        <v>6</v>
      </c>
      <c r="T531" s="20" t="n">
        <v>0.3</v>
      </c>
      <c r="U531" s="22" t="n">
        <v>14.97</v>
      </c>
      <c r="V531" s="23" t="n">
        <f aca="false">IF(ISNUMBER(C531),YEAR(C531),"")</f>
        <v>2016</v>
      </c>
      <c r="W531" s="23" t="n">
        <f aca="false">IF(ISNUMBER(C531),MONTH(C531),"")</f>
        <v>12</v>
      </c>
      <c r="X531" s="23" t="str">
        <f aca="false">IF(T531="","",IF(T531=0,"No discount",IF(T531&lt;=0.2,"Low (1-20%)",IF(T531&lt;=0.4,"Medium (21-40%)","High (&gt;40%)"))))</f>
        <v>Medium (21-40%)</v>
      </c>
      <c r="Y531" s="23" t="n">
        <f aca="false">IF(AND(ISNUMBER(C531),ISNUMBER(D531)),D531-C531,"")</f>
        <v>5</v>
      </c>
      <c r="Z531" s="23" t="n">
        <f aca="false">IF(B531="","",IF(MATCH(B531,$B$2:$B$12000,0)=ROW()-1,1,0))</f>
        <v>1</v>
      </c>
    </row>
    <row r="532" customFormat="false" ht="15" hidden="false" customHeight="false" outlineLevel="0" collapsed="false">
      <c r="A532" s="20" t="n">
        <v>531</v>
      </c>
      <c r="B532" s="20" t="s">
        <v>1529</v>
      </c>
      <c r="C532" s="21" t="n">
        <v>42707</v>
      </c>
      <c r="D532" s="21" t="n">
        <v>42711</v>
      </c>
      <c r="E532" s="20" t="s">
        <v>58</v>
      </c>
      <c r="F532" s="20" t="s">
        <v>428</v>
      </c>
      <c r="G532" s="20" t="s">
        <v>429</v>
      </c>
      <c r="H532" s="20" t="s">
        <v>61</v>
      </c>
      <c r="I532" s="20" t="s">
        <v>62</v>
      </c>
      <c r="J532" s="20" t="s">
        <v>63</v>
      </c>
      <c r="K532" s="20" t="s">
        <v>969</v>
      </c>
      <c r="L532" s="20" t="n">
        <v>23488</v>
      </c>
      <c r="M532" s="20" t="s">
        <v>112</v>
      </c>
      <c r="N532" s="20" t="s">
        <v>1530</v>
      </c>
      <c r="O532" s="20" t="s">
        <v>114</v>
      </c>
      <c r="P532" s="20" t="s">
        <v>210</v>
      </c>
      <c r="Q532" s="20" t="s">
        <v>1531</v>
      </c>
      <c r="R532" s="22" t="n">
        <v>265.17</v>
      </c>
      <c r="S532" s="20" t="n">
        <v>3</v>
      </c>
      <c r="T532" s="20" t="n">
        <v>0.2</v>
      </c>
      <c r="U532" s="22" t="n">
        <v>1.07</v>
      </c>
      <c r="V532" s="23" t="n">
        <f aca="false">IF(ISNUMBER(C532),YEAR(C532),"")</f>
        <v>2016</v>
      </c>
      <c r="W532" s="23" t="n">
        <f aca="false">IF(ISNUMBER(C532),MONTH(C532),"")</f>
        <v>12</v>
      </c>
      <c r="X532" s="23" t="str">
        <f aca="false">IF(T532="","",IF(T532=0,"No discount",IF(T532&lt;=0.2,"Low (1-20%)",IF(T532&lt;=0.4,"Medium (21-40%)","High (&gt;40%)"))))</f>
        <v>Low (1-20%)</v>
      </c>
      <c r="Y532" s="23" t="n">
        <f aca="false">IF(AND(ISNUMBER(C532),ISNUMBER(D532)),D532-C532,"")</f>
        <v>4</v>
      </c>
      <c r="Z532" s="23" t="n">
        <f aca="false">IF(B532="","",IF(MATCH(B532,$B$2:$B$12000,0)=ROW()-1,1,0))</f>
        <v>1</v>
      </c>
    </row>
    <row r="533" customFormat="false" ht="15" hidden="false" customHeight="false" outlineLevel="0" collapsed="false">
      <c r="A533" s="20" t="n">
        <v>532</v>
      </c>
      <c r="B533" s="20" t="s">
        <v>1529</v>
      </c>
      <c r="C533" s="21" t="n">
        <v>42707</v>
      </c>
      <c r="D533" s="21" t="n">
        <v>42711</v>
      </c>
      <c r="E533" s="20" t="s">
        <v>58</v>
      </c>
      <c r="F533" s="20" t="s">
        <v>428</v>
      </c>
      <c r="G533" s="20" t="s">
        <v>429</v>
      </c>
      <c r="H533" s="20" t="s">
        <v>61</v>
      </c>
      <c r="I533" s="20" t="s">
        <v>62</v>
      </c>
      <c r="J533" s="20" t="s">
        <v>63</v>
      </c>
      <c r="K533" s="20" t="s">
        <v>969</v>
      </c>
      <c r="L533" s="20" t="n">
        <v>30009</v>
      </c>
      <c r="M533" s="20" t="s">
        <v>112</v>
      </c>
      <c r="N533" s="20" t="s">
        <v>1532</v>
      </c>
      <c r="O533" s="20" t="s">
        <v>76</v>
      </c>
      <c r="P533" s="20" t="s">
        <v>88</v>
      </c>
      <c r="Q533" s="20" t="s">
        <v>1486</v>
      </c>
      <c r="R533" s="22" t="n">
        <v>543.72</v>
      </c>
      <c r="S533" s="20" t="n">
        <v>4</v>
      </c>
      <c r="T533" s="20" t="n">
        <v>0</v>
      </c>
      <c r="U533" s="22" t="n">
        <v>78.08</v>
      </c>
      <c r="V533" s="23" t="n">
        <f aca="false">IF(ISNUMBER(C533),YEAR(C533),"")</f>
        <v>2016</v>
      </c>
      <c r="W533" s="23" t="n">
        <f aca="false">IF(ISNUMBER(C533),MONTH(C533),"")</f>
        <v>12</v>
      </c>
      <c r="X533" s="23" t="str">
        <f aca="false">IF(T533="","",IF(T533=0,"No discount",IF(T533&lt;=0.2,"Low (1-20%)",IF(T533&lt;=0.4,"Medium (21-40%)","High (&gt;40%)"))))</f>
        <v>No discount</v>
      </c>
      <c r="Y533" s="23" t="n">
        <f aca="false">IF(AND(ISNUMBER(C533),ISNUMBER(D533)),D533-C533,"")</f>
        <v>4</v>
      </c>
      <c r="Z533" s="23" t="n">
        <f aca="false">IF(B533="","",IF(MATCH(B533,$B$2:$B$12000,0)=ROW()-1,1,0))</f>
        <v>0</v>
      </c>
    </row>
    <row r="534" customFormat="false" ht="15" hidden="false" customHeight="false" outlineLevel="0" collapsed="false">
      <c r="A534" s="20" t="n">
        <v>533</v>
      </c>
      <c r="B534" s="20" t="s">
        <v>1533</v>
      </c>
      <c r="C534" s="21" t="n">
        <v>42709</v>
      </c>
      <c r="D534" s="21" t="n">
        <v>42711</v>
      </c>
      <c r="E534" s="20" t="s">
        <v>104</v>
      </c>
      <c r="F534" s="20" t="s">
        <v>677</v>
      </c>
      <c r="G534" s="20" t="s">
        <v>678</v>
      </c>
      <c r="H534" s="20" t="s">
        <v>61</v>
      </c>
      <c r="I534" s="20" t="s">
        <v>62</v>
      </c>
      <c r="J534" s="20" t="s">
        <v>63</v>
      </c>
      <c r="K534" s="20" t="s">
        <v>487</v>
      </c>
      <c r="L534" s="20" t="n">
        <v>49871</v>
      </c>
      <c r="M534" s="20" t="s">
        <v>65</v>
      </c>
      <c r="N534" s="20" t="s">
        <v>1534</v>
      </c>
      <c r="O534" s="20" t="s">
        <v>67</v>
      </c>
      <c r="P534" s="20" t="s">
        <v>106</v>
      </c>
      <c r="Q534" s="20" t="s">
        <v>1535</v>
      </c>
      <c r="R534" s="22" t="n">
        <v>603.59</v>
      </c>
      <c r="S534" s="20" t="n">
        <v>8</v>
      </c>
      <c r="T534" s="20" t="n">
        <v>0.1</v>
      </c>
      <c r="U534" s="22" t="n">
        <v>65.68</v>
      </c>
      <c r="V534" s="23" t="n">
        <f aca="false">IF(ISNUMBER(C534),YEAR(C534),"")</f>
        <v>2016</v>
      </c>
      <c r="W534" s="23" t="n">
        <f aca="false">IF(ISNUMBER(C534),MONTH(C534),"")</f>
        <v>12</v>
      </c>
      <c r="X534" s="23" t="str">
        <f aca="false">IF(T534="","",IF(T534=0,"No discount",IF(T534&lt;=0.2,"Low (1-20%)",IF(T534&lt;=0.4,"Medium (21-40%)","High (&gt;40%)"))))</f>
        <v>Low (1-20%)</v>
      </c>
      <c r="Y534" s="23" t="n">
        <f aca="false">IF(AND(ISNUMBER(C534),ISNUMBER(D534)),D534-C534,"")</f>
        <v>2</v>
      </c>
      <c r="Z534" s="23" t="n">
        <f aca="false">IF(B534="","",IF(MATCH(B534,$B$2:$B$12000,0)=ROW()-1,1,0))</f>
        <v>1</v>
      </c>
    </row>
    <row r="535" customFormat="false" ht="15" hidden="false" customHeight="false" outlineLevel="0" collapsed="false">
      <c r="A535" s="20" t="n">
        <v>534</v>
      </c>
      <c r="B535" s="20" t="s">
        <v>1533</v>
      </c>
      <c r="C535" s="21" t="n">
        <v>42709</v>
      </c>
      <c r="D535" s="21" t="n">
        <v>42711</v>
      </c>
      <c r="E535" s="20" t="s">
        <v>104</v>
      </c>
      <c r="F535" s="20" t="s">
        <v>677</v>
      </c>
      <c r="G535" s="20" t="s">
        <v>678</v>
      </c>
      <c r="H535" s="20" t="s">
        <v>61</v>
      </c>
      <c r="I535" s="20" t="s">
        <v>62</v>
      </c>
      <c r="J535" s="20" t="s">
        <v>63</v>
      </c>
      <c r="K535" s="20" t="s">
        <v>487</v>
      </c>
      <c r="L535" s="20" t="n">
        <v>95343</v>
      </c>
      <c r="M535" s="20" t="s">
        <v>65</v>
      </c>
      <c r="N535" s="20" t="s">
        <v>1536</v>
      </c>
      <c r="O535" s="20" t="s">
        <v>76</v>
      </c>
      <c r="P535" s="20" t="s">
        <v>80</v>
      </c>
      <c r="Q535" s="20" t="s">
        <v>1165</v>
      </c>
      <c r="R535" s="22" t="n">
        <v>467.68</v>
      </c>
      <c r="S535" s="20" t="n">
        <v>8</v>
      </c>
      <c r="T535" s="20" t="n">
        <v>0</v>
      </c>
      <c r="U535" s="22" t="n">
        <v>125.77</v>
      </c>
      <c r="V535" s="23" t="n">
        <f aca="false">IF(ISNUMBER(C535),YEAR(C535),"")</f>
        <v>2016</v>
      </c>
      <c r="W535" s="23" t="n">
        <f aca="false">IF(ISNUMBER(C535),MONTH(C535),"")</f>
        <v>12</v>
      </c>
      <c r="X535" s="23" t="str">
        <f aca="false">IF(T535="","",IF(T535=0,"No discount",IF(T535&lt;=0.2,"Low (1-20%)",IF(T535&lt;=0.4,"Medium (21-40%)","High (&gt;40%)"))))</f>
        <v>No discount</v>
      </c>
      <c r="Y535" s="23" t="n">
        <f aca="false">IF(AND(ISNUMBER(C535),ISNUMBER(D535)),D535-C535,"")</f>
        <v>2</v>
      </c>
      <c r="Z535" s="23" t="n">
        <f aca="false">IF(B535="","",IF(MATCH(B535,$B$2:$B$12000,0)=ROW()-1,1,0))</f>
        <v>0</v>
      </c>
    </row>
    <row r="536" customFormat="false" ht="15" hidden="false" customHeight="false" outlineLevel="0" collapsed="false">
      <c r="A536" s="20" t="n">
        <v>535</v>
      </c>
      <c r="B536" s="20" t="s">
        <v>1537</v>
      </c>
      <c r="C536" s="21" t="n">
        <v>42710</v>
      </c>
      <c r="D536" s="21" t="n">
        <v>42716</v>
      </c>
      <c r="E536" s="20" t="s">
        <v>104</v>
      </c>
      <c r="F536" s="20" t="s">
        <v>732</v>
      </c>
      <c r="G536" s="20" t="s">
        <v>733</v>
      </c>
      <c r="H536" s="20" t="s">
        <v>85</v>
      </c>
      <c r="I536" s="20" t="s">
        <v>62</v>
      </c>
      <c r="J536" s="20" t="s">
        <v>63</v>
      </c>
      <c r="K536" s="20" t="s">
        <v>215</v>
      </c>
      <c r="L536" s="20" t="n">
        <v>84301</v>
      </c>
      <c r="M536" s="20" t="s">
        <v>112</v>
      </c>
      <c r="N536" s="20" t="s">
        <v>1538</v>
      </c>
      <c r="O536" s="20" t="s">
        <v>76</v>
      </c>
      <c r="P536" s="20" t="s">
        <v>178</v>
      </c>
      <c r="Q536" s="20" t="s">
        <v>717</v>
      </c>
      <c r="R536" s="22" t="n">
        <v>222.46</v>
      </c>
      <c r="S536" s="20" t="n">
        <v>3</v>
      </c>
      <c r="T536" s="20" t="n">
        <v>0</v>
      </c>
      <c r="U536" s="22" t="n">
        <v>-4.66</v>
      </c>
      <c r="V536" s="23" t="n">
        <f aca="false">IF(ISNUMBER(C536),YEAR(C536),"")</f>
        <v>2016</v>
      </c>
      <c r="W536" s="23" t="n">
        <f aca="false">IF(ISNUMBER(C536),MONTH(C536),"")</f>
        <v>12</v>
      </c>
      <c r="X536" s="23" t="str">
        <f aca="false">IF(T536="","",IF(T536=0,"No discount",IF(T536&lt;=0.2,"Low (1-20%)",IF(T536&lt;=0.4,"Medium (21-40%)","High (&gt;40%)"))))</f>
        <v>No discount</v>
      </c>
      <c r="Y536" s="23" t="n">
        <f aca="false">IF(AND(ISNUMBER(C536),ISNUMBER(D536)),D536-C536,"")</f>
        <v>6</v>
      </c>
      <c r="Z536" s="23" t="n">
        <f aca="false">IF(B536="","",IF(MATCH(B536,$B$2:$B$12000,0)=ROW()-1,1,0))</f>
        <v>1</v>
      </c>
    </row>
    <row r="537" customFormat="false" ht="15" hidden="false" customHeight="false" outlineLevel="0" collapsed="false">
      <c r="A537" s="20" t="n">
        <v>536</v>
      </c>
      <c r="B537" s="20" t="s">
        <v>1537</v>
      </c>
      <c r="C537" s="21" t="n">
        <v>42710</v>
      </c>
      <c r="D537" s="21" t="n">
        <v>42716</v>
      </c>
      <c r="E537" s="20" t="s">
        <v>90</v>
      </c>
      <c r="F537" s="20" t="s">
        <v>732</v>
      </c>
      <c r="G537" s="20" t="s">
        <v>733</v>
      </c>
      <c r="H537" s="20" t="s">
        <v>85</v>
      </c>
      <c r="I537" s="20" t="s">
        <v>62</v>
      </c>
      <c r="J537" s="20" t="s">
        <v>63</v>
      </c>
      <c r="K537" s="20" t="s">
        <v>215</v>
      </c>
      <c r="L537" s="20" t="n">
        <v>52191</v>
      </c>
      <c r="M537" s="20" t="s">
        <v>112</v>
      </c>
      <c r="N537" s="20" t="s">
        <v>1539</v>
      </c>
      <c r="O537" s="20" t="s">
        <v>76</v>
      </c>
      <c r="P537" s="20" t="s">
        <v>77</v>
      </c>
      <c r="Q537" s="20" t="s">
        <v>1540</v>
      </c>
      <c r="R537" s="22" t="n">
        <v>78.92</v>
      </c>
      <c r="S537" s="20" t="n">
        <v>8</v>
      </c>
      <c r="T537" s="20" t="n">
        <v>0</v>
      </c>
      <c r="U537" s="22" t="n">
        <v>12.57</v>
      </c>
      <c r="V537" s="23" t="n">
        <f aca="false">IF(ISNUMBER(C537),YEAR(C537),"")</f>
        <v>2016</v>
      </c>
      <c r="W537" s="23" t="n">
        <f aca="false">IF(ISNUMBER(C537),MONTH(C537),"")</f>
        <v>12</v>
      </c>
      <c r="X537" s="23" t="str">
        <f aca="false">IF(T537="","",IF(T537=0,"No discount",IF(T537&lt;=0.2,"Low (1-20%)",IF(T537&lt;=0.4,"Medium (21-40%)","High (&gt;40%)"))))</f>
        <v>No discount</v>
      </c>
      <c r="Y537" s="23" t="n">
        <f aca="false">IF(AND(ISNUMBER(C537),ISNUMBER(D537)),D537-C537,"")</f>
        <v>6</v>
      </c>
      <c r="Z537" s="23" t="n">
        <f aca="false">IF(B537="","",IF(MATCH(B537,$B$2:$B$12000,0)=ROW()-1,1,0))</f>
        <v>0</v>
      </c>
    </row>
    <row r="538" customFormat="false" ht="15" hidden="false" customHeight="false" outlineLevel="0" collapsed="false">
      <c r="A538" s="20" t="n">
        <v>537</v>
      </c>
      <c r="B538" s="20" t="s">
        <v>1537</v>
      </c>
      <c r="C538" s="21" t="n">
        <v>42710</v>
      </c>
      <c r="D538" s="21" t="n">
        <v>42716</v>
      </c>
      <c r="E538" s="20" t="s">
        <v>104</v>
      </c>
      <c r="F538" s="20" t="s">
        <v>732</v>
      </c>
      <c r="G538" s="20" t="s">
        <v>733</v>
      </c>
      <c r="H538" s="20" t="s">
        <v>85</v>
      </c>
      <c r="I538" s="20" t="s">
        <v>62</v>
      </c>
      <c r="J538" s="20" t="s">
        <v>63</v>
      </c>
      <c r="K538" s="20" t="s">
        <v>215</v>
      </c>
      <c r="L538" s="20" t="n">
        <v>79508</v>
      </c>
      <c r="M538" s="20" t="s">
        <v>112</v>
      </c>
      <c r="N538" s="20" t="s">
        <v>1541</v>
      </c>
      <c r="O538" s="20" t="s">
        <v>76</v>
      </c>
      <c r="P538" s="20" t="s">
        <v>77</v>
      </c>
      <c r="Q538" s="20" t="s">
        <v>1542</v>
      </c>
      <c r="R538" s="22" t="n">
        <v>245.29</v>
      </c>
      <c r="S538" s="20" t="n">
        <v>8</v>
      </c>
      <c r="T538" s="20" t="n">
        <v>0.4</v>
      </c>
      <c r="U538" s="22" t="n">
        <v>-9.95</v>
      </c>
      <c r="V538" s="23" t="n">
        <f aca="false">IF(ISNUMBER(C538),YEAR(C538),"")</f>
        <v>2016</v>
      </c>
      <c r="W538" s="23" t="n">
        <f aca="false">IF(ISNUMBER(C538),MONTH(C538),"")</f>
        <v>12</v>
      </c>
      <c r="X538" s="23" t="str">
        <f aca="false">IF(T538="","",IF(T538=0,"No discount",IF(T538&lt;=0.2,"Low (1-20%)",IF(T538&lt;=0.4,"Medium (21-40%)","High (&gt;40%)"))))</f>
        <v>Medium (21-40%)</v>
      </c>
      <c r="Y538" s="23" t="n">
        <f aca="false">IF(AND(ISNUMBER(C538),ISNUMBER(D538)),D538-C538,"")</f>
        <v>6</v>
      </c>
      <c r="Z538" s="23" t="n">
        <f aca="false">IF(B538="","",IF(MATCH(B538,$B$2:$B$12000,0)=ROW()-1,1,0))</f>
        <v>0</v>
      </c>
    </row>
    <row r="539" customFormat="false" ht="15" hidden="false" customHeight="false" outlineLevel="0" collapsed="false">
      <c r="A539" s="20" t="n">
        <v>538</v>
      </c>
      <c r="B539" s="20" t="s">
        <v>1543</v>
      </c>
      <c r="C539" s="21" t="n">
        <v>42712</v>
      </c>
      <c r="D539" s="21" t="n">
        <v>42714</v>
      </c>
      <c r="E539" s="20" t="s">
        <v>58</v>
      </c>
      <c r="F539" s="20" t="s">
        <v>1315</v>
      </c>
      <c r="G539" s="20" t="s">
        <v>1316</v>
      </c>
      <c r="H539" s="20" t="s">
        <v>61</v>
      </c>
      <c r="I539" s="20" t="s">
        <v>62</v>
      </c>
      <c r="J539" s="20" t="s">
        <v>63</v>
      </c>
      <c r="K539" s="20" t="s">
        <v>647</v>
      </c>
      <c r="L539" s="20" t="n">
        <v>81074</v>
      </c>
      <c r="M539" s="20" t="s">
        <v>97</v>
      </c>
      <c r="N539" s="20" t="s">
        <v>1544</v>
      </c>
      <c r="O539" s="20" t="s">
        <v>76</v>
      </c>
      <c r="P539" s="20" t="s">
        <v>77</v>
      </c>
      <c r="Q539" s="20" t="s">
        <v>150</v>
      </c>
      <c r="R539" s="22" t="n">
        <v>231.24</v>
      </c>
      <c r="S539" s="20" t="n">
        <v>7</v>
      </c>
      <c r="T539" s="20" t="n">
        <v>0</v>
      </c>
      <c r="U539" s="22" t="n">
        <v>53.29</v>
      </c>
      <c r="V539" s="23" t="n">
        <f aca="false">IF(ISNUMBER(C539),YEAR(C539),"")</f>
        <v>2016</v>
      </c>
      <c r="W539" s="23" t="n">
        <f aca="false">IF(ISNUMBER(C539),MONTH(C539),"")</f>
        <v>12</v>
      </c>
      <c r="X539" s="23" t="str">
        <f aca="false">IF(T539="","",IF(T539=0,"No discount",IF(T539&lt;=0.2,"Low (1-20%)",IF(T539&lt;=0.4,"Medium (21-40%)","High (&gt;40%)"))))</f>
        <v>No discount</v>
      </c>
      <c r="Y539" s="23" t="n">
        <f aca="false">IF(AND(ISNUMBER(C539),ISNUMBER(D539)),D539-C539,"")</f>
        <v>2</v>
      </c>
      <c r="Z539" s="23" t="n">
        <f aca="false">IF(B539="","",IF(MATCH(B539,$B$2:$B$12000,0)=ROW()-1,1,0))</f>
        <v>1</v>
      </c>
    </row>
    <row r="540" customFormat="false" ht="15" hidden="false" customHeight="false" outlineLevel="0" collapsed="false">
      <c r="A540" s="20" t="n">
        <v>539</v>
      </c>
      <c r="B540" s="20" t="s">
        <v>1543</v>
      </c>
      <c r="C540" s="21" t="n">
        <v>42712</v>
      </c>
      <c r="D540" s="21" t="n">
        <v>42714</v>
      </c>
      <c r="E540" s="20" t="s">
        <v>71</v>
      </c>
      <c r="F540" s="20" t="s">
        <v>1315</v>
      </c>
      <c r="G540" s="20" t="s">
        <v>1316</v>
      </c>
      <c r="H540" s="20" t="s">
        <v>61</v>
      </c>
      <c r="I540" s="20" t="s">
        <v>62</v>
      </c>
      <c r="J540" s="20" t="s">
        <v>63</v>
      </c>
      <c r="K540" s="20" t="s">
        <v>647</v>
      </c>
      <c r="L540" s="20" t="n">
        <v>11991</v>
      </c>
      <c r="M540" s="20" t="s">
        <v>97</v>
      </c>
      <c r="N540" s="20" t="s">
        <v>1545</v>
      </c>
      <c r="O540" s="20" t="s">
        <v>76</v>
      </c>
      <c r="P540" s="20" t="s">
        <v>122</v>
      </c>
      <c r="Q540" s="20" t="s">
        <v>1546</v>
      </c>
      <c r="R540" s="22" t="n">
        <v>68.8</v>
      </c>
      <c r="S540" s="20" t="n">
        <v>4</v>
      </c>
      <c r="T540" s="20" t="n">
        <v>0</v>
      </c>
      <c r="U540" s="22" t="n">
        <v>26.8</v>
      </c>
      <c r="V540" s="23" t="n">
        <f aca="false">IF(ISNUMBER(C540),YEAR(C540),"")</f>
        <v>2016</v>
      </c>
      <c r="W540" s="23" t="n">
        <f aca="false">IF(ISNUMBER(C540),MONTH(C540),"")</f>
        <v>12</v>
      </c>
      <c r="X540" s="23" t="str">
        <f aca="false">IF(T540="","",IF(T540=0,"No discount",IF(T540&lt;=0.2,"Low (1-20%)",IF(T540&lt;=0.4,"Medium (21-40%)","High (&gt;40%)"))))</f>
        <v>No discount</v>
      </c>
      <c r="Y540" s="23" t="n">
        <f aca="false">IF(AND(ISNUMBER(C540),ISNUMBER(D540)),D540-C540,"")</f>
        <v>2</v>
      </c>
      <c r="Z540" s="23" t="n">
        <f aca="false">IF(B540="","",IF(MATCH(B540,$B$2:$B$12000,0)=ROW()-1,1,0))</f>
        <v>0</v>
      </c>
    </row>
    <row r="541" customFormat="false" ht="15" hidden="false" customHeight="false" outlineLevel="0" collapsed="false">
      <c r="A541" s="20" t="n">
        <v>540</v>
      </c>
      <c r="B541" s="20" t="s">
        <v>1547</v>
      </c>
      <c r="C541" s="21" t="n">
        <v>42713</v>
      </c>
      <c r="D541" s="21" t="n">
        <v>42720</v>
      </c>
      <c r="E541" s="20" t="s">
        <v>104</v>
      </c>
      <c r="F541" s="20" t="s">
        <v>314</v>
      </c>
      <c r="G541" s="20" t="s">
        <v>315</v>
      </c>
      <c r="H541" s="20" t="s">
        <v>61</v>
      </c>
      <c r="I541" s="20" t="s">
        <v>62</v>
      </c>
      <c r="J541" s="20" t="s">
        <v>63</v>
      </c>
      <c r="K541" s="20" t="s">
        <v>393</v>
      </c>
      <c r="L541" s="20" t="n">
        <v>62592</v>
      </c>
      <c r="M541" s="20" t="s">
        <v>97</v>
      </c>
      <c r="N541" s="20" t="s">
        <v>1548</v>
      </c>
      <c r="O541" s="20" t="s">
        <v>76</v>
      </c>
      <c r="P541" s="20" t="s">
        <v>185</v>
      </c>
      <c r="Q541" s="20" t="s">
        <v>641</v>
      </c>
      <c r="R541" s="22" t="n">
        <v>27.29</v>
      </c>
      <c r="S541" s="20" t="n">
        <v>3</v>
      </c>
      <c r="T541" s="20" t="n">
        <v>0.3</v>
      </c>
      <c r="U541" s="22" t="n">
        <v>3.43</v>
      </c>
      <c r="V541" s="23" t="n">
        <f aca="false">IF(ISNUMBER(C541),YEAR(C541),"")</f>
        <v>2016</v>
      </c>
      <c r="W541" s="23" t="n">
        <f aca="false">IF(ISNUMBER(C541),MONTH(C541),"")</f>
        <v>12</v>
      </c>
      <c r="X541" s="23" t="str">
        <f aca="false">IF(T541="","",IF(T541=0,"No discount",IF(T541&lt;=0.2,"Low (1-20%)",IF(T541&lt;=0.4,"Medium (21-40%)","High (&gt;40%)"))))</f>
        <v>Medium (21-40%)</v>
      </c>
      <c r="Y541" s="23" t="n">
        <f aca="false">IF(AND(ISNUMBER(C541),ISNUMBER(D541)),D541-C541,"")</f>
        <v>7</v>
      </c>
      <c r="Z541" s="23" t="n">
        <f aca="false">IF(B541="","",IF(MATCH(B541,$B$2:$B$12000,0)=ROW()-1,1,0))</f>
        <v>1</v>
      </c>
    </row>
    <row r="542" customFormat="false" ht="15" hidden="false" customHeight="false" outlineLevel="0" collapsed="false">
      <c r="A542" s="20" t="n">
        <v>541</v>
      </c>
      <c r="B542" s="20" t="s">
        <v>1549</v>
      </c>
      <c r="C542" s="21" t="n">
        <v>42713</v>
      </c>
      <c r="D542" s="21" t="n">
        <v>42716</v>
      </c>
      <c r="E542" s="20" t="s">
        <v>71</v>
      </c>
      <c r="F542" s="20" t="s">
        <v>630</v>
      </c>
      <c r="G542" s="20" t="s">
        <v>631</v>
      </c>
      <c r="H542" s="20" t="s">
        <v>85</v>
      </c>
      <c r="I542" s="20" t="s">
        <v>62</v>
      </c>
      <c r="J542" s="20" t="s">
        <v>63</v>
      </c>
      <c r="K542" s="20" t="s">
        <v>422</v>
      </c>
      <c r="L542" s="20" t="n">
        <v>53089</v>
      </c>
      <c r="M542" s="20" t="s">
        <v>153</v>
      </c>
      <c r="N542" s="20" t="s">
        <v>1550</v>
      </c>
      <c r="O542" s="20" t="s">
        <v>114</v>
      </c>
      <c r="P542" s="20" t="s">
        <v>139</v>
      </c>
      <c r="Q542" s="20" t="s">
        <v>1551</v>
      </c>
      <c r="R542" s="22" t="n">
        <v>2031.54</v>
      </c>
      <c r="S542" s="20" t="n">
        <v>8</v>
      </c>
      <c r="T542" s="20" t="n">
        <v>0</v>
      </c>
      <c r="U542" s="22" t="n">
        <v>-54.44</v>
      </c>
      <c r="V542" s="23" t="n">
        <f aca="false">IF(ISNUMBER(C542),YEAR(C542),"")</f>
        <v>2016</v>
      </c>
      <c r="W542" s="23" t="n">
        <f aca="false">IF(ISNUMBER(C542),MONTH(C542),"")</f>
        <v>12</v>
      </c>
      <c r="X542" s="23" t="str">
        <f aca="false">IF(T542="","",IF(T542=0,"No discount",IF(T542&lt;=0.2,"Low (1-20%)",IF(T542&lt;=0.4,"Medium (21-40%)","High (&gt;40%)"))))</f>
        <v>No discount</v>
      </c>
      <c r="Y542" s="23" t="n">
        <f aca="false">IF(AND(ISNUMBER(C542),ISNUMBER(D542)),D542-C542,"")</f>
        <v>3</v>
      </c>
      <c r="Z542" s="23" t="n">
        <f aca="false">IF(B542="","",IF(MATCH(B542,$B$2:$B$12000,0)=ROW()-1,1,0))</f>
        <v>1</v>
      </c>
    </row>
    <row r="543" customFormat="false" ht="15" hidden="false" customHeight="false" outlineLevel="0" collapsed="false">
      <c r="A543" s="20" t="n">
        <v>542</v>
      </c>
      <c r="B543" s="20" t="s">
        <v>1549</v>
      </c>
      <c r="C543" s="21" t="n">
        <v>42713</v>
      </c>
      <c r="D543" s="21" t="n">
        <v>42716</v>
      </c>
      <c r="E543" s="20" t="s">
        <v>104</v>
      </c>
      <c r="F543" s="20" t="s">
        <v>630</v>
      </c>
      <c r="G543" s="20" t="s">
        <v>631</v>
      </c>
      <c r="H543" s="20" t="s">
        <v>85</v>
      </c>
      <c r="I543" s="20" t="s">
        <v>62</v>
      </c>
      <c r="J543" s="20" t="s">
        <v>63</v>
      </c>
      <c r="K543" s="20" t="s">
        <v>422</v>
      </c>
      <c r="L543" s="20" t="n">
        <v>53288</v>
      </c>
      <c r="M543" s="20" t="s">
        <v>153</v>
      </c>
      <c r="N543" s="20" t="s">
        <v>1552</v>
      </c>
      <c r="O543" s="20" t="s">
        <v>76</v>
      </c>
      <c r="P543" s="20" t="s">
        <v>101</v>
      </c>
      <c r="Q543" s="20" t="s">
        <v>1553</v>
      </c>
      <c r="R543" s="22" t="n">
        <v>108.7</v>
      </c>
      <c r="S543" s="20" t="n">
        <v>7</v>
      </c>
      <c r="T543" s="20" t="n">
        <v>0.5</v>
      </c>
      <c r="U543" s="22" t="n">
        <v>16.34</v>
      </c>
      <c r="V543" s="23" t="n">
        <f aca="false">IF(ISNUMBER(C543),YEAR(C543),"")</f>
        <v>2016</v>
      </c>
      <c r="W543" s="23" t="n">
        <f aca="false">IF(ISNUMBER(C543),MONTH(C543),"")</f>
        <v>12</v>
      </c>
      <c r="X543" s="23" t="str">
        <f aca="false">IF(T543="","",IF(T543=0,"No discount",IF(T543&lt;=0.2,"Low (1-20%)",IF(T543&lt;=0.4,"Medium (21-40%)","High (&gt;40%)"))))</f>
        <v>High (&gt;40%)</v>
      </c>
      <c r="Y543" s="23" t="n">
        <f aca="false">IF(AND(ISNUMBER(C543),ISNUMBER(D543)),D543-C543,"")</f>
        <v>3</v>
      </c>
      <c r="Z543" s="23" t="n">
        <f aca="false">IF(B543="","",IF(MATCH(B543,$B$2:$B$12000,0)=ROW()-1,1,0))</f>
        <v>0</v>
      </c>
    </row>
    <row r="544" customFormat="false" ht="15" hidden="false" customHeight="false" outlineLevel="0" collapsed="false">
      <c r="A544" s="20" t="n">
        <v>543</v>
      </c>
      <c r="B544" s="20" t="s">
        <v>1549</v>
      </c>
      <c r="C544" s="21" t="n">
        <v>42713</v>
      </c>
      <c r="D544" s="21" t="n">
        <v>42716</v>
      </c>
      <c r="E544" s="20" t="s">
        <v>71</v>
      </c>
      <c r="F544" s="20" t="s">
        <v>630</v>
      </c>
      <c r="G544" s="20" t="s">
        <v>631</v>
      </c>
      <c r="H544" s="20" t="s">
        <v>85</v>
      </c>
      <c r="I544" s="20" t="s">
        <v>62</v>
      </c>
      <c r="J544" s="20" t="s">
        <v>63</v>
      </c>
      <c r="K544" s="20" t="s">
        <v>422</v>
      </c>
      <c r="L544" s="20" t="n">
        <v>10283</v>
      </c>
      <c r="M544" s="20" t="s">
        <v>153</v>
      </c>
      <c r="N544" s="20" t="s">
        <v>1554</v>
      </c>
      <c r="O544" s="20" t="s">
        <v>114</v>
      </c>
      <c r="P544" s="20" t="s">
        <v>139</v>
      </c>
      <c r="Q544" s="20" t="s">
        <v>841</v>
      </c>
      <c r="R544" s="22" t="n">
        <v>552.04</v>
      </c>
      <c r="S544" s="20" t="n">
        <v>2</v>
      </c>
      <c r="T544" s="20" t="n">
        <v>0.3</v>
      </c>
      <c r="U544" s="22" t="n">
        <v>-96.76</v>
      </c>
      <c r="V544" s="23" t="n">
        <f aca="false">IF(ISNUMBER(C544),YEAR(C544),"")</f>
        <v>2016</v>
      </c>
      <c r="W544" s="23" t="n">
        <f aca="false">IF(ISNUMBER(C544),MONTH(C544),"")</f>
        <v>12</v>
      </c>
      <c r="X544" s="23" t="str">
        <f aca="false">IF(T544="","",IF(T544=0,"No discount",IF(T544&lt;=0.2,"Low (1-20%)",IF(T544&lt;=0.4,"Medium (21-40%)","High (&gt;40%)"))))</f>
        <v>Medium (21-40%)</v>
      </c>
      <c r="Y544" s="23" t="n">
        <f aca="false">IF(AND(ISNUMBER(C544),ISNUMBER(D544)),D544-C544,"")</f>
        <v>3</v>
      </c>
      <c r="Z544" s="23" t="n">
        <f aca="false">IF(B544="","",IF(MATCH(B544,$B$2:$B$12000,0)=ROW()-1,1,0))</f>
        <v>0</v>
      </c>
    </row>
    <row r="545" customFormat="false" ht="15" hidden="false" customHeight="false" outlineLevel="0" collapsed="false">
      <c r="A545" s="20" t="n">
        <v>544</v>
      </c>
      <c r="B545" s="20" t="s">
        <v>1549</v>
      </c>
      <c r="C545" s="21" t="n">
        <v>42713</v>
      </c>
      <c r="D545" s="21" t="n">
        <v>42716</v>
      </c>
      <c r="E545" s="20" t="s">
        <v>71</v>
      </c>
      <c r="F545" s="20" t="s">
        <v>630</v>
      </c>
      <c r="G545" s="20" t="s">
        <v>631</v>
      </c>
      <c r="H545" s="20" t="s">
        <v>85</v>
      </c>
      <c r="I545" s="20" t="s">
        <v>62</v>
      </c>
      <c r="J545" s="20" t="s">
        <v>63</v>
      </c>
      <c r="K545" s="20" t="s">
        <v>422</v>
      </c>
      <c r="L545" s="20" t="n">
        <v>79904</v>
      </c>
      <c r="M545" s="20" t="s">
        <v>153</v>
      </c>
      <c r="N545" s="20" t="s">
        <v>1555</v>
      </c>
      <c r="O545" s="20" t="s">
        <v>67</v>
      </c>
      <c r="P545" s="20" t="s">
        <v>164</v>
      </c>
      <c r="Q545" s="20" t="s">
        <v>1556</v>
      </c>
      <c r="R545" s="22" t="n">
        <v>4835.33</v>
      </c>
      <c r="S545" s="20" t="n">
        <v>6</v>
      </c>
      <c r="T545" s="20" t="n">
        <v>0.1</v>
      </c>
      <c r="U545" s="22" t="n">
        <v>-738.89</v>
      </c>
      <c r="V545" s="23" t="n">
        <f aca="false">IF(ISNUMBER(C545),YEAR(C545),"")</f>
        <v>2016</v>
      </c>
      <c r="W545" s="23" t="n">
        <f aca="false">IF(ISNUMBER(C545),MONTH(C545),"")</f>
        <v>12</v>
      </c>
      <c r="X545" s="23" t="str">
        <f aca="false">IF(T545="","",IF(T545=0,"No discount",IF(T545&lt;=0.2,"Low (1-20%)",IF(T545&lt;=0.4,"Medium (21-40%)","High (&gt;40%)"))))</f>
        <v>Low (1-20%)</v>
      </c>
      <c r="Y545" s="23" t="n">
        <f aca="false">IF(AND(ISNUMBER(C545),ISNUMBER(D545)),D545-C545,"")</f>
        <v>3</v>
      </c>
      <c r="Z545" s="23" t="n">
        <f aca="false">IF(B545="","",IF(MATCH(B545,$B$2:$B$12000,0)=ROW()-1,1,0))</f>
        <v>0</v>
      </c>
    </row>
    <row r="546" customFormat="false" ht="15" hidden="false" customHeight="false" outlineLevel="0" collapsed="false">
      <c r="A546" s="20" t="n">
        <v>545</v>
      </c>
      <c r="B546" s="20" t="s">
        <v>1557</v>
      </c>
      <c r="C546" s="21" t="n">
        <v>42715</v>
      </c>
      <c r="D546" s="21" t="n">
        <v>42718</v>
      </c>
      <c r="E546" s="20" t="s">
        <v>71</v>
      </c>
      <c r="F546" s="20" t="s">
        <v>264</v>
      </c>
      <c r="G546" s="20" t="s">
        <v>265</v>
      </c>
      <c r="H546" s="20" t="s">
        <v>61</v>
      </c>
      <c r="I546" s="20" t="s">
        <v>62</v>
      </c>
      <c r="J546" s="20" t="s">
        <v>63</v>
      </c>
      <c r="K546" s="20" t="s">
        <v>508</v>
      </c>
      <c r="L546" s="20" t="n">
        <v>58131</v>
      </c>
      <c r="M546" s="20" t="s">
        <v>153</v>
      </c>
      <c r="N546" s="20" t="s">
        <v>1558</v>
      </c>
      <c r="O546" s="20" t="s">
        <v>114</v>
      </c>
      <c r="P546" s="20" t="s">
        <v>167</v>
      </c>
      <c r="Q546" s="20" t="s">
        <v>1559</v>
      </c>
      <c r="R546" s="22" t="n">
        <v>2212.03</v>
      </c>
      <c r="S546" s="20" t="n">
        <v>5</v>
      </c>
      <c r="T546" s="20" t="n">
        <v>0</v>
      </c>
      <c r="U546" s="22" t="n">
        <v>-85.52</v>
      </c>
      <c r="V546" s="23" t="n">
        <f aca="false">IF(ISNUMBER(C546),YEAR(C546),"")</f>
        <v>2016</v>
      </c>
      <c r="W546" s="23" t="n">
        <f aca="false">IF(ISNUMBER(C546),MONTH(C546),"")</f>
        <v>12</v>
      </c>
      <c r="X546" s="23" t="str">
        <f aca="false">IF(T546="","",IF(T546=0,"No discount",IF(T546&lt;=0.2,"Low (1-20%)",IF(T546&lt;=0.4,"Medium (21-40%)","High (&gt;40%)"))))</f>
        <v>No discount</v>
      </c>
      <c r="Y546" s="23" t="n">
        <f aca="false">IF(AND(ISNUMBER(C546),ISNUMBER(D546)),D546-C546,"")</f>
        <v>3</v>
      </c>
      <c r="Z546" s="23" t="n">
        <f aca="false">IF(B546="","",IF(MATCH(B546,$B$2:$B$12000,0)=ROW()-1,1,0))</f>
        <v>1</v>
      </c>
    </row>
    <row r="547" customFormat="false" ht="15" hidden="false" customHeight="false" outlineLevel="0" collapsed="false">
      <c r="A547" s="20" t="n">
        <v>546</v>
      </c>
      <c r="B547" s="20" t="s">
        <v>1557</v>
      </c>
      <c r="C547" s="21" t="n">
        <v>42715</v>
      </c>
      <c r="D547" s="21" t="n">
        <v>42718</v>
      </c>
      <c r="E547" s="20" t="s">
        <v>71</v>
      </c>
      <c r="F547" s="20" t="s">
        <v>264</v>
      </c>
      <c r="G547" s="20" t="s">
        <v>265</v>
      </c>
      <c r="H547" s="20" t="s">
        <v>61</v>
      </c>
      <c r="I547" s="20" t="s">
        <v>62</v>
      </c>
      <c r="J547" s="20" t="s">
        <v>63</v>
      </c>
      <c r="K547" s="20" t="s">
        <v>508</v>
      </c>
      <c r="L547" s="20" t="n">
        <v>79780</v>
      </c>
      <c r="M547" s="20" t="s">
        <v>153</v>
      </c>
      <c r="N547" s="20" t="s">
        <v>1560</v>
      </c>
      <c r="O547" s="20" t="s">
        <v>114</v>
      </c>
      <c r="P547" s="20" t="s">
        <v>167</v>
      </c>
      <c r="Q547" s="20" t="s">
        <v>1561</v>
      </c>
      <c r="R547" s="22" t="n">
        <v>844.08</v>
      </c>
      <c r="S547" s="20" t="n">
        <v>2</v>
      </c>
      <c r="T547" s="20" t="n">
        <v>0.5</v>
      </c>
      <c r="U547" s="22" t="n">
        <v>-315.33</v>
      </c>
      <c r="V547" s="23" t="n">
        <f aca="false">IF(ISNUMBER(C547),YEAR(C547),"")</f>
        <v>2016</v>
      </c>
      <c r="W547" s="23" t="n">
        <f aca="false">IF(ISNUMBER(C547),MONTH(C547),"")</f>
        <v>12</v>
      </c>
      <c r="X547" s="23" t="str">
        <f aca="false">IF(T547="","",IF(T547=0,"No discount",IF(T547&lt;=0.2,"Low (1-20%)",IF(T547&lt;=0.4,"Medium (21-40%)","High (&gt;40%)"))))</f>
        <v>High (&gt;40%)</v>
      </c>
      <c r="Y547" s="23" t="n">
        <f aca="false">IF(AND(ISNUMBER(C547),ISNUMBER(D547)),D547-C547,"")</f>
        <v>3</v>
      </c>
      <c r="Z547" s="23" t="n">
        <f aca="false">IF(B547="","",IF(MATCH(B547,$B$2:$B$12000,0)=ROW()-1,1,0))</f>
        <v>0</v>
      </c>
    </row>
    <row r="548" customFormat="false" ht="15" hidden="false" customHeight="false" outlineLevel="0" collapsed="false">
      <c r="A548" s="20" t="n">
        <v>547</v>
      </c>
      <c r="B548" s="20" t="s">
        <v>1557</v>
      </c>
      <c r="C548" s="21" t="n">
        <v>42715</v>
      </c>
      <c r="D548" s="21" t="n">
        <v>42718</v>
      </c>
      <c r="E548" s="20" t="s">
        <v>104</v>
      </c>
      <c r="F548" s="20" t="s">
        <v>264</v>
      </c>
      <c r="G548" s="20" t="s">
        <v>265</v>
      </c>
      <c r="H548" s="20" t="s">
        <v>61</v>
      </c>
      <c r="I548" s="20" t="s">
        <v>62</v>
      </c>
      <c r="J548" s="20" t="s">
        <v>63</v>
      </c>
      <c r="K548" s="20" t="s">
        <v>508</v>
      </c>
      <c r="L548" s="20" t="n">
        <v>77964</v>
      </c>
      <c r="M548" s="20" t="s">
        <v>153</v>
      </c>
      <c r="N548" s="20" t="s">
        <v>1562</v>
      </c>
      <c r="O548" s="20" t="s">
        <v>114</v>
      </c>
      <c r="P548" s="20" t="s">
        <v>139</v>
      </c>
      <c r="Q548" s="20" t="s">
        <v>1563</v>
      </c>
      <c r="R548" s="22" t="n">
        <v>2842.38</v>
      </c>
      <c r="S548" s="20" t="n">
        <v>8</v>
      </c>
      <c r="T548" s="20" t="n">
        <v>0.3</v>
      </c>
      <c r="U548" s="22" t="n">
        <v>-135.97</v>
      </c>
      <c r="V548" s="23" t="n">
        <f aca="false">IF(ISNUMBER(C548),YEAR(C548),"")</f>
        <v>2016</v>
      </c>
      <c r="W548" s="23" t="n">
        <f aca="false">IF(ISNUMBER(C548),MONTH(C548),"")</f>
        <v>12</v>
      </c>
      <c r="X548" s="23" t="str">
        <f aca="false">IF(T548="","",IF(T548=0,"No discount",IF(T548&lt;=0.2,"Low (1-20%)",IF(T548&lt;=0.4,"Medium (21-40%)","High (&gt;40%)"))))</f>
        <v>Medium (21-40%)</v>
      </c>
      <c r="Y548" s="23" t="n">
        <f aca="false">IF(AND(ISNUMBER(C548),ISNUMBER(D548)),D548-C548,"")</f>
        <v>3</v>
      </c>
      <c r="Z548" s="23" t="n">
        <f aca="false">IF(B548="","",IF(MATCH(B548,$B$2:$B$12000,0)=ROW()-1,1,0))</f>
        <v>0</v>
      </c>
    </row>
    <row r="549" customFormat="false" ht="15" hidden="false" customHeight="false" outlineLevel="0" collapsed="false">
      <c r="A549" s="20" t="n">
        <v>548</v>
      </c>
      <c r="B549" s="20" t="s">
        <v>1564</v>
      </c>
      <c r="C549" s="21" t="n">
        <v>42720</v>
      </c>
      <c r="D549" s="21" t="n">
        <v>42727</v>
      </c>
      <c r="E549" s="20" t="s">
        <v>71</v>
      </c>
      <c r="F549" s="20" t="s">
        <v>352</v>
      </c>
      <c r="G549" s="20" t="s">
        <v>353</v>
      </c>
      <c r="H549" s="20" t="s">
        <v>85</v>
      </c>
      <c r="I549" s="20" t="s">
        <v>62</v>
      </c>
      <c r="J549" s="20" t="s">
        <v>63</v>
      </c>
      <c r="K549" s="20" t="s">
        <v>969</v>
      </c>
      <c r="L549" s="20" t="n">
        <v>81116</v>
      </c>
      <c r="M549" s="20" t="s">
        <v>112</v>
      </c>
      <c r="N549" s="20" t="s">
        <v>1565</v>
      </c>
      <c r="O549" s="20" t="s">
        <v>76</v>
      </c>
      <c r="P549" s="20" t="s">
        <v>236</v>
      </c>
      <c r="Q549" s="20" t="s">
        <v>1566</v>
      </c>
      <c r="R549" s="22" t="n">
        <v>277.67</v>
      </c>
      <c r="S549" s="20" t="n">
        <v>4</v>
      </c>
      <c r="T549" s="20" t="n">
        <v>0</v>
      </c>
      <c r="U549" s="22" t="n">
        <v>99.53</v>
      </c>
      <c r="V549" s="23" t="n">
        <f aca="false">IF(ISNUMBER(C549),YEAR(C549),"")</f>
        <v>2016</v>
      </c>
      <c r="W549" s="23" t="n">
        <f aca="false">IF(ISNUMBER(C549),MONTH(C549),"")</f>
        <v>12</v>
      </c>
      <c r="X549" s="23" t="str">
        <f aca="false">IF(T549="","",IF(T549=0,"No discount",IF(T549&lt;=0.2,"Low (1-20%)",IF(T549&lt;=0.4,"Medium (21-40%)","High (&gt;40%)"))))</f>
        <v>No discount</v>
      </c>
      <c r="Y549" s="23" t="n">
        <f aca="false">IF(AND(ISNUMBER(C549),ISNUMBER(D549)),D549-C549,"")</f>
        <v>7</v>
      </c>
      <c r="Z549" s="23" t="n">
        <f aca="false">IF(B549="","",IF(MATCH(B549,$B$2:$B$12000,0)=ROW()-1,1,0))</f>
        <v>1</v>
      </c>
    </row>
    <row r="550" customFormat="false" ht="15" hidden="false" customHeight="false" outlineLevel="0" collapsed="false">
      <c r="A550" s="20" t="n">
        <v>549</v>
      </c>
      <c r="B550" s="20" t="s">
        <v>1564</v>
      </c>
      <c r="C550" s="21" t="n">
        <v>42720</v>
      </c>
      <c r="D550" s="21" t="n">
        <v>42727</v>
      </c>
      <c r="E550" s="20" t="s">
        <v>58</v>
      </c>
      <c r="F550" s="20" t="s">
        <v>352</v>
      </c>
      <c r="G550" s="20" t="s">
        <v>353</v>
      </c>
      <c r="H550" s="20" t="s">
        <v>85</v>
      </c>
      <c r="I550" s="20" t="s">
        <v>62</v>
      </c>
      <c r="J550" s="20" t="s">
        <v>63</v>
      </c>
      <c r="K550" s="20" t="s">
        <v>969</v>
      </c>
      <c r="L550" s="20" t="n">
        <v>10382</v>
      </c>
      <c r="M550" s="20" t="s">
        <v>112</v>
      </c>
      <c r="N550" s="20" t="s">
        <v>1567</v>
      </c>
      <c r="O550" s="20" t="s">
        <v>114</v>
      </c>
      <c r="P550" s="20" t="s">
        <v>167</v>
      </c>
      <c r="Q550" s="20" t="s">
        <v>1568</v>
      </c>
      <c r="R550" s="22" t="n">
        <v>2914.8</v>
      </c>
      <c r="S550" s="20" t="n">
        <v>6</v>
      </c>
      <c r="T550" s="20" t="n">
        <v>0</v>
      </c>
      <c r="U550" s="22" t="n">
        <v>-163.51</v>
      </c>
      <c r="V550" s="23" t="n">
        <f aca="false">IF(ISNUMBER(C550),YEAR(C550),"")</f>
        <v>2016</v>
      </c>
      <c r="W550" s="23" t="n">
        <f aca="false">IF(ISNUMBER(C550),MONTH(C550),"")</f>
        <v>12</v>
      </c>
      <c r="X550" s="23" t="str">
        <f aca="false">IF(T550="","",IF(T550=0,"No discount",IF(T550&lt;=0.2,"Low (1-20%)",IF(T550&lt;=0.4,"Medium (21-40%)","High (&gt;40%)"))))</f>
        <v>No discount</v>
      </c>
      <c r="Y550" s="23" t="n">
        <f aca="false">IF(AND(ISNUMBER(C550),ISNUMBER(D550)),D550-C550,"")</f>
        <v>7</v>
      </c>
      <c r="Z550" s="23" t="n">
        <f aca="false">IF(B550="","",IF(MATCH(B550,$B$2:$B$12000,0)=ROW()-1,1,0))</f>
        <v>0</v>
      </c>
    </row>
    <row r="551" customFormat="false" ht="15" hidden="false" customHeight="false" outlineLevel="0" collapsed="false">
      <c r="A551" s="20" t="n">
        <v>550</v>
      </c>
      <c r="B551" s="20" t="s">
        <v>1569</v>
      </c>
      <c r="C551" s="21" t="n">
        <v>42722</v>
      </c>
      <c r="D551" s="21" t="n">
        <v>42724</v>
      </c>
      <c r="E551" s="20" t="s">
        <v>104</v>
      </c>
      <c r="F551" s="20" t="s">
        <v>118</v>
      </c>
      <c r="G551" s="20" t="s">
        <v>119</v>
      </c>
      <c r="H551" s="20" t="s">
        <v>61</v>
      </c>
      <c r="I551" s="20" t="s">
        <v>62</v>
      </c>
      <c r="J551" s="20" t="s">
        <v>63</v>
      </c>
      <c r="K551" s="20" t="s">
        <v>800</v>
      </c>
      <c r="L551" s="20" t="n">
        <v>51940</v>
      </c>
      <c r="M551" s="20" t="s">
        <v>65</v>
      </c>
      <c r="N551" s="20" t="s">
        <v>1570</v>
      </c>
      <c r="O551" s="20" t="s">
        <v>76</v>
      </c>
      <c r="P551" s="20" t="s">
        <v>80</v>
      </c>
      <c r="Q551" s="20" t="s">
        <v>1571</v>
      </c>
      <c r="R551" s="22" t="n">
        <v>61.9</v>
      </c>
      <c r="S551" s="20" t="n">
        <v>1</v>
      </c>
      <c r="T551" s="20" t="n">
        <v>0</v>
      </c>
      <c r="U551" s="22" t="n">
        <v>16.44</v>
      </c>
      <c r="V551" s="23" t="n">
        <f aca="false">IF(ISNUMBER(C551),YEAR(C551),"")</f>
        <v>2016</v>
      </c>
      <c r="W551" s="23" t="n">
        <f aca="false">IF(ISNUMBER(C551),MONTH(C551),"")</f>
        <v>12</v>
      </c>
      <c r="X551" s="23" t="str">
        <f aca="false">IF(T551="","",IF(T551=0,"No discount",IF(T551&lt;=0.2,"Low (1-20%)",IF(T551&lt;=0.4,"Medium (21-40%)","High (&gt;40%)"))))</f>
        <v>No discount</v>
      </c>
      <c r="Y551" s="23" t="n">
        <f aca="false">IF(AND(ISNUMBER(C551),ISNUMBER(D551)),D551-C551,"")</f>
        <v>2</v>
      </c>
      <c r="Z551" s="23" t="n">
        <f aca="false">IF(B551="","",IF(MATCH(B551,$B$2:$B$12000,0)=ROW()-1,1,0))</f>
        <v>1</v>
      </c>
    </row>
    <row r="552" customFormat="false" ht="15" hidden="false" customHeight="false" outlineLevel="0" collapsed="false">
      <c r="A552" s="20" t="n">
        <v>551</v>
      </c>
      <c r="B552" s="20" t="s">
        <v>1572</v>
      </c>
      <c r="C552" s="21" t="n">
        <v>42723</v>
      </c>
      <c r="D552" s="21" t="n">
        <v>42725</v>
      </c>
      <c r="E552" s="20" t="s">
        <v>58</v>
      </c>
      <c r="F552" s="20" t="s">
        <v>1145</v>
      </c>
      <c r="G552" s="20" t="s">
        <v>1146</v>
      </c>
      <c r="H552" s="20" t="s">
        <v>85</v>
      </c>
      <c r="I552" s="20" t="s">
        <v>62</v>
      </c>
      <c r="J552" s="20" t="s">
        <v>63</v>
      </c>
      <c r="K552" s="20" t="s">
        <v>86</v>
      </c>
      <c r="L552" s="20" t="n">
        <v>39223</v>
      </c>
      <c r="M552" s="20" t="s">
        <v>65</v>
      </c>
      <c r="N552" s="20" t="s">
        <v>1573</v>
      </c>
      <c r="O552" s="20" t="s">
        <v>114</v>
      </c>
      <c r="P552" s="20" t="s">
        <v>139</v>
      </c>
      <c r="Q552" s="20" t="s">
        <v>1402</v>
      </c>
      <c r="R552" s="22" t="n">
        <v>4555.26</v>
      </c>
      <c r="S552" s="20" t="n">
        <v>8</v>
      </c>
      <c r="T552" s="20" t="n">
        <v>0</v>
      </c>
      <c r="U552" s="22" t="n">
        <v>-14.19</v>
      </c>
      <c r="V552" s="23" t="n">
        <f aca="false">IF(ISNUMBER(C552),YEAR(C552),"")</f>
        <v>2016</v>
      </c>
      <c r="W552" s="23" t="n">
        <f aca="false">IF(ISNUMBER(C552),MONTH(C552),"")</f>
        <v>12</v>
      </c>
      <c r="X552" s="23" t="str">
        <f aca="false">IF(T552="","",IF(T552=0,"No discount",IF(T552&lt;=0.2,"Low (1-20%)",IF(T552&lt;=0.4,"Medium (21-40%)","High (&gt;40%)"))))</f>
        <v>No discount</v>
      </c>
      <c r="Y552" s="23" t="n">
        <f aca="false">IF(AND(ISNUMBER(C552),ISNUMBER(D552)),D552-C552,"")</f>
        <v>2</v>
      </c>
      <c r="Z552" s="23" t="n">
        <f aca="false">IF(B552="","",IF(MATCH(B552,$B$2:$B$12000,0)=ROW()-1,1,0))</f>
        <v>1</v>
      </c>
    </row>
    <row r="553" customFormat="false" ht="15" hidden="false" customHeight="false" outlineLevel="0" collapsed="false">
      <c r="A553" s="20" t="n">
        <v>552</v>
      </c>
      <c r="B553" s="20" t="s">
        <v>1572</v>
      </c>
      <c r="C553" s="21" t="n">
        <v>42723</v>
      </c>
      <c r="D553" s="21" t="n">
        <v>42725</v>
      </c>
      <c r="E553" s="20" t="s">
        <v>90</v>
      </c>
      <c r="F553" s="20" t="s">
        <v>1145</v>
      </c>
      <c r="G553" s="20" t="s">
        <v>1146</v>
      </c>
      <c r="H553" s="20" t="s">
        <v>85</v>
      </c>
      <c r="I553" s="20" t="s">
        <v>62</v>
      </c>
      <c r="J553" s="20" t="s">
        <v>63</v>
      </c>
      <c r="K553" s="20" t="s">
        <v>86</v>
      </c>
      <c r="L553" s="20" t="n">
        <v>31276</v>
      </c>
      <c r="M553" s="20" t="s">
        <v>65</v>
      </c>
      <c r="N553" s="20" t="s">
        <v>1574</v>
      </c>
      <c r="O553" s="20" t="s">
        <v>76</v>
      </c>
      <c r="P553" s="20" t="s">
        <v>77</v>
      </c>
      <c r="Q553" s="20" t="s">
        <v>1272</v>
      </c>
      <c r="R553" s="22" t="n">
        <v>107.39</v>
      </c>
      <c r="S553" s="20" t="n">
        <v>6</v>
      </c>
      <c r="T553" s="20" t="n">
        <v>0.2</v>
      </c>
      <c r="U553" s="22" t="n">
        <v>10.98</v>
      </c>
      <c r="V553" s="23" t="n">
        <f aca="false">IF(ISNUMBER(C553),YEAR(C553),"")</f>
        <v>2016</v>
      </c>
      <c r="W553" s="23" t="n">
        <f aca="false">IF(ISNUMBER(C553),MONTH(C553),"")</f>
        <v>12</v>
      </c>
      <c r="X553" s="23" t="str">
        <f aca="false">IF(T553="","",IF(T553=0,"No discount",IF(T553&lt;=0.2,"Low (1-20%)",IF(T553&lt;=0.4,"Medium (21-40%)","High (&gt;40%)"))))</f>
        <v>Low (1-20%)</v>
      </c>
      <c r="Y553" s="23" t="n">
        <f aca="false">IF(AND(ISNUMBER(C553),ISNUMBER(D553)),D553-C553,"")</f>
        <v>2</v>
      </c>
      <c r="Z553" s="23" t="n">
        <f aca="false">IF(B553="","",IF(MATCH(B553,$B$2:$B$12000,0)=ROW()-1,1,0))</f>
        <v>0</v>
      </c>
    </row>
    <row r="554" customFormat="false" ht="15" hidden="false" customHeight="false" outlineLevel="0" collapsed="false">
      <c r="A554" s="20" t="n">
        <v>553</v>
      </c>
      <c r="B554" s="20" t="s">
        <v>1572</v>
      </c>
      <c r="C554" s="21" t="n">
        <v>42723</v>
      </c>
      <c r="D554" s="21" t="n">
        <v>42725</v>
      </c>
      <c r="E554" s="20" t="s">
        <v>90</v>
      </c>
      <c r="F554" s="20" t="s">
        <v>1145</v>
      </c>
      <c r="G554" s="20" t="s">
        <v>1146</v>
      </c>
      <c r="H554" s="20" t="s">
        <v>85</v>
      </c>
      <c r="I554" s="20" t="s">
        <v>62</v>
      </c>
      <c r="J554" s="20" t="s">
        <v>63</v>
      </c>
      <c r="K554" s="20" t="s">
        <v>86</v>
      </c>
      <c r="L554" s="20" t="n">
        <v>83546</v>
      </c>
      <c r="M554" s="20" t="s">
        <v>65</v>
      </c>
      <c r="N554" s="20" t="s">
        <v>1575</v>
      </c>
      <c r="O554" s="20" t="s">
        <v>76</v>
      </c>
      <c r="P554" s="20" t="s">
        <v>101</v>
      </c>
      <c r="Q554" s="20" t="s">
        <v>1576</v>
      </c>
      <c r="R554" s="22" t="n">
        <v>52.12</v>
      </c>
      <c r="S554" s="20" t="n">
        <v>7</v>
      </c>
      <c r="T554" s="20" t="n">
        <v>0.3</v>
      </c>
      <c r="U554" s="22" t="n">
        <v>14.41</v>
      </c>
      <c r="V554" s="23" t="n">
        <f aca="false">IF(ISNUMBER(C554),YEAR(C554),"")</f>
        <v>2016</v>
      </c>
      <c r="W554" s="23" t="n">
        <f aca="false">IF(ISNUMBER(C554),MONTH(C554),"")</f>
        <v>12</v>
      </c>
      <c r="X554" s="23" t="str">
        <f aca="false">IF(T554="","",IF(T554=0,"No discount",IF(T554&lt;=0.2,"Low (1-20%)",IF(T554&lt;=0.4,"Medium (21-40%)","High (&gt;40%)"))))</f>
        <v>Medium (21-40%)</v>
      </c>
      <c r="Y554" s="23" t="n">
        <f aca="false">IF(AND(ISNUMBER(C554),ISNUMBER(D554)),D554-C554,"")</f>
        <v>2</v>
      </c>
      <c r="Z554" s="23" t="n">
        <f aca="false">IF(B554="","",IF(MATCH(B554,$B$2:$B$12000,0)=ROW()-1,1,0))</f>
        <v>0</v>
      </c>
    </row>
    <row r="555" customFormat="false" ht="15" hidden="false" customHeight="false" outlineLevel="0" collapsed="false">
      <c r="A555" s="20" t="n">
        <v>554</v>
      </c>
      <c r="B555" s="20" t="s">
        <v>1572</v>
      </c>
      <c r="C555" s="21" t="n">
        <v>42723</v>
      </c>
      <c r="D555" s="21" t="n">
        <v>42725</v>
      </c>
      <c r="E555" s="20" t="s">
        <v>90</v>
      </c>
      <c r="F555" s="20" t="s">
        <v>1145</v>
      </c>
      <c r="G555" s="20" t="s">
        <v>1146</v>
      </c>
      <c r="H555" s="20" t="s">
        <v>85</v>
      </c>
      <c r="I555" s="20" t="s">
        <v>62</v>
      </c>
      <c r="J555" s="20" t="s">
        <v>63</v>
      </c>
      <c r="K555" s="20" t="s">
        <v>86</v>
      </c>
      <c r="L555" s="20" t="n">
        <v>71949</v>
      </c>
      <c r="M555" s="20" t="s">
        <v>65</v>
      </c>
      <c r="N555" s="20" t="s">
        <v>1577</v>
      </c>
      <c r="O555" s="20" t="s">
        <v>114</v>
      </c>
      <c r="P555" s="20" t="s">
        <v>115</v>
      </c>
      <c r="Q555" s="20" t="s">
        <v>1578</v>
      </c>
      <c r="R555" s="22" t="n">
        <v>902.25</v>
      </c>
      <c r="S555" s="20" t="n">
        <v>6</v>
      </c>
      <c r="T555" s="20" t="n">
        <v>0</v>
      </c>
      <c r="U555" s="22" t="n">
        <v>127.97</v>
      </c>
      <c r="V555" s="23" t="n">
        <f aca="false">IF(ISNUMBER(C555),YEAR(C555),"")</f>
        <v>2016</v>
      </c>
      <c r="W555" s="23" t="n">
        <f aca="false">IF(ISNUMBER(C555),MONTH(C555),"")</f>
        <v>12</v>
      </c>
      <c r="X555" s="23" t="str">
        <f aca="false">IF(T555="","",IF(T555=0,"No discount",IF(T555&lt;=0.2,"Low (1-20%)",IF(T555&lt;=0.4,"Medium (21-40%)","High (&gt;40%)"))))</f>
        <v>No discount</v>
      </c>
      <c r="Y555" s="23" t="n">
        <f aca="false">IF(AND(ISNUMBER(C555),ISNUMBER(D555)),D555-C555,"")</f>
        <v>2</v>
      </c>
      <c r="Z555" s="23" t="n">
        <f aca="false">IF(B555="","",IF(MATCH(B555,$B$2:$B$12000,0)=ROW()-1,1,0))</f>
        <v>0</v>
      </c>
    </row>
    <row r="556" customFormat="false" ht="15" hidden="false" customHeight="false" outlineLevel="0" collapsed="false">
      <c r="A556" s="20" t="n">
        <v>555</v>
      </c>
      <c r="B556" s="20" t="s">
        <v>1579</v>
      </c>
      <c r="C556" s="21" t="n">
        <v>42728</v>
      </c>
      <c r="D556" s="21" t="n">
        <v>42733</v>
      </c>
      <c r="E556" s="20" t="s">
        <v>58</v>
      </c>
      <c r="F556" s="20" t="s">
        <v>544</v>
      </c>
      <c r="G556" s="20" t="s">
        <v>545</v>
      </c>
      <c r="H556" s="20" t="s">
        <v>85</v>
      </c>
      <c r="I556" s="20" t="s">
        <v>62</v>
      </c>
      <c r="J556" s="20" t="s">
        <v>63</v>
      </c>
      <c r="K556" s="20" t="s">
        <v>800</v>
      </c>
      <c r="L556" s="20" t="n">
        <v>53064</v>
      </c>
      <c r="M556" s="20" t="s">
        <v>65</v>
      </c>
      <c r="N556" s="20" t="s">
        <v>1580</v>
      </c>
      <c r="O556" s="20" t="s">
        <v>67</v>
      </c>
      <c r="P556" s="20" t="s">
        <v>106</v>
      </c>
      <c r="Q556" s="20" t="s">
        <v>1581</v>
      </c>
      <c r="R556" s="22" t="n">
        <v>663.63</v>
      </c>
      <c r="S556" s="20" t="n">
        <v>3</v>
      </c>
      <c r="T556" s="20" t="n">
        <v>0.3</v>
      </c>
      <c r="U556" s="22" t="n">
        <v>17.2</v>
      </c>
      <c r="V556" s="23" t="n">
        <f aca="false">IF(ISNUMBER(C556),YEAR(C556),"")</f>
        <v>2016</v>
      </c>
      <c r="W556" s="23" t="n">
        <f aca="false">IF(ISNUMBER(C556),MONTH(C556),"")</f>
        <v>12</v>
      </c>
      <c r="X556" s="23" t="str">
        <f aca="false">IF(T556="","",IF(T556=0,"No discount",IF(T556&lt;=0.2,"Low (1-20%)",IF(T556&lt;=0.4,"Medium (21-40%)","High (&gt;40%)"))))</f>
        <v>Medium (21-40%)</v>
      </c>
      <c r="Y556" s="23" t="n">
        <f aca="false">IF(AND(ISNUMBER(C556),ISNUMBER(D556)),D556-C556,"")</f>
        <v>5</v>
      </c>
      <c r="Z556" s="23" t="n">
        <f aca="false">IF(B556="","",IF(MATCH(B556,$B$2:$B$12000,0)=ROW()-1,1,0))</f>
        <v>1</v>
      </c>
    </row>
    <row r="557" customFormat="false" ht="15" hidden="false" customHeight="false" outlineLevel="0" collapsed="false">
      <c r="A557" s="20" t="n">
        <v>556</v>
      </c>
      <c r="B557" s="20" t="s">
        <v>1579</v>
      </c>
      <c r="C557" s="21" t="n">
        <v>42728</v>
      </c>
      <c r="D557" s="21" t="n">
        <v>42733</v>
      </c>
      <c r="E557" s="20" t="s">
        <v>90</v>
      </c>
      <c r="F557" s="20" t="s">
        <v>544</v>
      </c>
      <c r="G557" s="20" t="s">
        <v>545</v>
      </c>
      <c r="H557" s="20" t="s">
        <v>85</v>
      </c>
      <c r="I557" s="20" t="s">
        <v>62</v>
      </c>
      <c r="J557" s="20" t="s">
        <v>63</v>
      </c>
      <c r="K557" s="20" t="s">
        <v>800</v>
      </c>
      <c r="L557" s="20" t="n">
        <v>76002</v>
      </c>
      <c r="M557" s="20" t="s">
        <v>65</v>
      </c>
      <c r="N557" s="20" t="s">
        <v>1582</v>
      </c>
      <c r="O557" s="20" t="s">
        <v>76</v>
      </c>
      <c r="P557" s="20" t="s">
        <v>122</v>
      </c>
      <c r="Q557" s="20" t="s">
        <v>1583</v>
      </c>
      <c r="R557" s="22" t="n">
        <v>120.31</v>
      </c>
      <c r="S557" s="20" t="n">
        <v>4</v>
      </c>
      <c r="T557" s="20" t="n">
        <v>0.3</v>
      </c>
      <c r="U557" s="22" t="n">
        <v>25.04</v>
      </c>
      <c r="V557" s="23" t="n">
        <f aca="false">IF(ISNUMBER(C557),YEAR(C557),"")</f>
        <v>2016</v>
      </c>
      <c r="W557" s="23" t="n">
        <f aca="false">IF(ISNUMBER(C557),MONTH(C557),"")</f>
        <v>12</v>
      </c>
      <c r="X557" s="23" t="str">
        <f aca="false">IF(T557="","",IF(T557=0,"No discount",IF(T557&lt;=0.2,"Low (1-20%)",IF(T557&lt;=0.4,"Medium (21-40%)","High (&gt;40%)"))))</f>
        <v>Medium (21-40%)</v>
      </c>
      <c r="Y557" s="23" t="n">
        <f aca="false">IF(AND(ISNUMBER(C557),ISNUMBER(D557)),D557-C557,"")</f>
        <v>5</v>
      </c>
      <c r="Z557" s="23" t="n">
        <f aca="false">IF(B557="","",IF(MATCH(B557,$B$2:$B$12000,0)=ROW()-1,1,0))</f>
        <v>0</v>
      </c>
    </row>
    <row r="558" customFormat="false" ht="15" hidden="false" customHeight="false" outlineLevel="0" collapsed="false">
      <c r="A558" s="20" t="n">
        <v>557</v>
      </c>
      <c r="B558" s="20" t="s">
        <v>1579</v>
      </c>
      <c r="C558" s="21" t="n">
        <v>42728</v>
      </c>
      <c r="D558" s="21" t="n">
        <v>42733</v>
      </c>
      <c r="E558" s="20" t="s">
        <v>104</v>
      </c>
      <c r="F558" s="20" t="s">
        <v>544</v>
      </c>
      <c r="G558" s="20" t="s">
        <v>545</v>
      </c>
      <c r="H558" s="20" t="s">
        <v>85</v>
      </c>
      <c r="I558" s="20" t="s">
        <v>62</v>
      </c>
      <c r="J558" s="20" t="s">
        <v>63</v>
      </c>
      <c r="K558" s="20" t="s">
        <v>800</v>
      </c>
      <c r="L558" s="20" t="n">
        <v>25445</v>
      </c>
      <c r="M558" s="20" t="s">
        <v>65</v>
      </c>
      <c r="N558" s="20" t="s">
        <v>1584</v>
      </c>
      <c r="O558" s="20" t="s">
        <v>76</v>
      </c>
      <c r="P558" s="20" t="s">
        <v>80</v>
      </c>
      <c r="Q558" s="20" t="s">
        <v>1497</v>
      </c>
      <c r="R558" s="22" t="n">
        <v>151.3</v>
      </c>
      <c r="S558" s="20" t="n">
        <v>4</v>
      </c>
      <c r="T558" s="20" t="n">
        <v>0</v>
      </c>
      <c r="U558" s="22" t="n">
        <v>48.16</v>
      </c>
      <c r="V558" s="23" t="n">
        <f aca="false">IF(ISNUMBER(C558),YEAR(C558),"")</f>
        <v>2016</v>
      </c>
      <c r="W558" s="23" t="n">
        <f aca="false">IF(ISNUMBER(C558),MONTH(C558),"")</f>
        <v>12</v>
      </c>
      <c r="X558" s="23" t="str">
        <f aca="false">IF(T558="","",IF(T558=0,"No discount",IF(T558&lt;=0.2,"Low (1-20%)",IF(T558&lt;=0.4,"Medium (21-40%)","High (&gt;40%)"))))</f>
        <v>No discount</v>
      </c>
      <c r="Y558" s="23" t="n">
        <f aca="false">IF(AND(ISNUMBER(C558),ISNUMBER(D558)),D558-C558,"")</f>
        <v>5</v>
      </c>
      <c r="Z558" s="23" t="n">
        <f aca="false">IF(B558="","",IF(MATCH(B558,$B$2:$B$12000,0)=ROW()-1,1,0))</f>
        <v>0</v>
      </c>
    </row>
    <row r="559" customFormat="false" ht="15" hidden="false" customHeight="false" outlineLevel="0" collapsed="false">
      <c r="A559" s="20" t="n">
        <v>558</v>
      </c>
      <c r="B559" s="20" t="s">
        <v>1585</v>
      </c>
      <c r="C559" s="21" t="n">
        <v>42728</v>
      </c>
      <c r="D559" s="21" t="n">
        <v>42734</v>
      </c>
      <c r="E559" s="20" t="s">
        <v>71</v>
      </c>
      <c r="F559" s="20" t="s">
        <v>174</v>
      </c>
      <c r="G559" s="20" t="s">
        <v>175</v>
      </c>
      <c r="H559" s="20" t="s">
        <v>162</v>
      </c>
      <c r="I559" s="20" t="s">
        <v>62</v>
      </c>
      <c r="J559" s="20" t="s">
        <v>63</v>
      </c>
      <c r="K559" s="20" t="s">
        <v>246</v>
      </c>
      <c r="L559" s="20" t="n">
        <v>78329</v>
      </c>
      <c r="M559" s="20" t="s">
        <v>112</v>
      </c>
      <c r="N559" s="20" t="s">
        <v>1586</v>
      </c>
      <c r="O559" s="20" t="s">
        <v>67</v>
      </c>
      <c r="P559" s="20" t="s">
        <v>106</v>
      </c>
      <c r="Q559" s="20" t="s">
        <v>1587</v>
      </c>
      <c r="R559" s="22" t="n">
        <v>110.79</v>
      </c>
      <c r="S559" s="20" t="n">
        <v>1</v>
      </c>
      <c r="T559" s="20" t="n">
        <v>0.2</v>
      </c>
      <c r="U559" s="22" t="n">
        <v>3.12</v>
      </c>
      <c r="V559" s="23" t="n">
        <f aca="false">IF(ISNUMBER(C559),YEAR(C559),"")</f>
        <v>2016</v>
      </c>
      <c r="W559" s="23" t="n">
        <f aca="false">IF(ISNUMBER(C559),MONTH(C559),"")</f>
        <v>12</v>
      </c>
      <c r="X559" s="23" t="str">
        <f aca="false">IF(T559="","",IF(T559=0,"No discount",IF(T559&lt;=0.2,"Low (1-20%)",IF(T559&lt;=0.4,"Medium (21-40%)","High (&gt;40%)"))))</f>
        <v>Low (1-20%)</v>
      </c>
      <c r="Y559" s="23" t="n">
        <f aca="false">IF(AND(ISNUMBER(C559),ISNUMBER(D559)),D559-C559,"")</f>
        <v>6</v>
      </c>
      <c r="Z559" s="23" t="n">
        <f aca="false">IF(B559="","",IF(MATCH(B559,$B$2:$B$12000,0)=ROW()-1,1,0))</f>
        <v>1</v>
      </c>
    </row>
    <row r="560" customFormat="false" ht="15" hidden="false" customHeight="false" outlineLevel="0" collapsed="false">
      <c r="A560" s="20" t="n">
        <v>559</v>
      </c>
      <c r="B560" s="20" t="s">
        <v>1585</v>
      </c>
      <c r="C560" s="21" t="n">
        <v>42728</v>
      </c>
      <c r="D560" s="21" t="n">
        <v>42734</v>
      </c>
      <c r="E560" s="20" t="s">
        <v>58</v>
      </c>
      <c r="F560" s="20" t="s">
        <v>174</v>
      </c>
      <c r="G560" s="20" t="s">
        <v>175</v>
      </c>
      <c r="H560" s="20" t="s">
        <v>162</v>
      </c>
      <c r="I560" s="20" t="s">
        <v>62</v>
      </c>
      <c r="J560" s="20" t="s">
        <v>63</v>
      </c>
      <c r="K560" s="20" t="s">
        <v>246</v>
      </c>
      <c r="L560" s="20" t="n">
        <v>81024</v>
      </c>
      <c r="M560" s="20" t="s">
        <v>112</v>
      </c>
      <c r="N560" s="20" t="s">
        <v>1588</v>
      </c>
      <c r="O560" s="20" t="s">
        <v>114</v>
      </c>
      <c r="P560" s="20" t="s">
        <v>115</v>
      </c>
      <c r="Q560" s="20" t="s">
        <v>1589</v>
      </c>
      <c r="R560" s="22" t="n">
        <v>1114.12</v>
      </c>
      <c r="S560" s="20" t="n">
        <v>4</v>
      </c>
      <c r="T560" s="20" t="n">
        <v>0.2</v>
      </c>
      <c r="U560" s="22" t="n">
        <v>28.49</v>
      </c>
      <c r="V560" s="23" t="n">
        <f aca="false">IF(ISNUMBER(C560),YEAR(C560),"")</f>
        <v>2016</v>
      </c>
      <c r="W560" s="23" t="n">
        <f aca="false">IF(ISNUMBER(C560),MONTH(C560),"")</f>
        <v>12</v>
      </c>
      <c r="X560" s="23" t="str">
        <f aca="false">IF(T560="","",IF(T560=0,"No discount",IF(T560&lt;=0.2,"Low (1-20%)",IF(T560&lt;=0.4,"Medium (21-40%)","High (&gt;40%)"))))</f>
        <v>Low (1-20%)</v>
      </c>
      <c r="Y560" s="23" t="n">
        <f aca="false">IF(AND(ISNUMBER(C560),ISNUMBER(D560)),D560-C560,"")</f>
        <v>6</v>
      </c>
      <c r="Z560" s="23" t="n">
        <f aca="false">IF(B560="","",IF(MATCH(B560,$B$2:$B$12000,0)=ROW()-1,1,0))</f>
        <v>0</v>
      </c>
    </row>
    <row r="561" customFormat="false" ht="15" hidden="false" customHeight="false" outlineLevel="0" collapsed="false">
      <c r="A561" s="20" t="n">
        <v>560</v>
      </c>
      <c r="B561" s="20" t="s">
        <v>1585</v>
      </c>
      <c r="C561" s="21" t="n">
        <v>42728</v>
      </c>
      <c r="D561" s="21" t="n">
        <v>42734</v>
      </c>
      <c r="E561" s="20" t="s">
        <v>71</v>
      </c>
      <c r="F561" s="20" t="s">
        <v>174</v>
      </c>
      <c r="G561" s="20" t="s">
        <v>175</v>
      </c>
      <c r="H561" s="20" t="s">
        <v>162</v>
      </c>
      <c r="I561" s="20" t="s">
        <v>62</v>
      </c>
      <c r="J561" s="20" t="s">
        <v>63</v>
      </c>
      <c r="K561" s="20" t="s">
        <v>246</v>
      </c>
      <c r="L561" s="20" t="n">
        <v>14787</v>
      </c>
      <c r="M561" s="20" t="s">
        <v>112</v>
      </c>
      <c r="N561" s="20" t="s">
        <v>1590</v>
      </c>
      <c r="O561" s="20" t="s">
        <v>76</v>
      </c>
      <c r="P561" s="20" t="s">
        <v>88</v>
      </c>
      <c r="Q561" s="20" t="s">
        <v>1591</v>
      </c>
      <c r="R561" s="22" t="n">
        <v>1215.33</v>
      </c>
      <c r="S561" s="20" t="n">
        <v>4</v>
      </c>
      <c r="T561" s="20" t="n">
        <v>0.2</v>
      </c>
      <c r="U561" s="22" t="n">
        <v>22.22</v>
      </c>
      <c r="V561" s="23" t="n">
        <f aca="false">IF(ISNUMBER(C561),YEAR(C561),"")</f>
        <v>2016</v>
      </c>
      <c r="W561" s="23" t="n">
        <f aca="false">IF(ISNUMBER(C561),MONTH(C561),"")</f>
        <v>12</v>
      </c>
      <c r="X561" s="23" t="str">
        <f aca="false">IF(T561="","",IF(T561=0,"No discount",IF(T561&lt;=0.2,"Low (1-20%)",IF(T561&lt;=0.4,"Medium (21-40%)","High (&gt;40%)"))))</f>
        <v>Low (1-20%)</v>
      </c>
      <c r="Y561" s="23" t="n">
        <f aca="false">IF(AND(ISNUMBER(C561),ISNUMBER(D561)),D561-C561,"")</f>
        <v>6</v>
      </c>
      <c r="Z561" s="23" t="n">
        <f aca="false">IF(B561="","",IF(MATCH(B561,$B$2:$B$12000,0)=ROW()-1,1,0))</f>
        <v>0</v>
      </c>
    </row>
    <row r="562" customFormat="false" ht="15" hidden="false" customHeight="false" outlineLevel="0" collapsed="false">
      <c r="A562" s="20" t="n">
        <v>561</v>
      </c>
      <c r="B562" s="20" t="s">
        <v>1585</v>
      </c>
      <c r="C562" s="21" t="n">
        <v>42728</v>
      </c>
      <c r="D562" s="21" t="n">
        <v>42734</v>
      </c>
      <c r="E562" s="20" t="s">
        <v>104</v>
      </c>
      <c r="F562" s="20" t="s">
        <v>174</v>
      </c>
      <c r="G562" s="20" t="s">
        <v>175</v>
      </c>
      <c r="H562" s="20" t="s">
        <v>162</v>
      </c>
      <c r="I562" s="20" t="s">
        <v>62</v>
      </c>
      <c r="J562" s="20" t="s">
        <v>63</v>
      </c>
      <c r="K562" s="20" t="s">
        <v>246</v>
      </c>
      <c r="L562" s="20" t="n">
        <v>12168</v>
      </c>
      <c r="M562" s="20" t="s">
        <v>112</v>
      </c>
      <c r="N562" s="20" t="s">
        <v>1592</v>
      </c>
      <c r="O562" s="20" t="s">
        <v>76</v>
      </c>
      <c r="P562" s="20" t="s">
        <v>77</v>
      </c>
      <c r="Q562" s="20" t="s">
        <v>1593</v>
      </c>
      <c r="R562" s="22" t="n">
        <v>46.86</v>
      </c>
      <c r="S562" s="20" t="n">
        <v>1</v>
      </c>
      <c r="T562" s="20" t="n">
        <v>0.2</v>
      </c>
      <c r="U562" s="22" t="n">
        <v>8.08</v>
      </c>
      <c r="V562" s="23" t="n">
        <f aca="false">IF(ISNUMBER(C562),YEAR(C562),"")</f>
        <v>2016</v>
      </c>
      <c r="W562" s="23" t="n">
        <f aca="false">IF(ISNUMBER(C562),MONTH(C562),"")</f>
        <v>12</v>
      </c>
      <c r="X562" s="23" t="str">
        <f aca="false">IF(T562="","",IF(T562=0,"No discount",IF(T562&lt;=0.2,"Low (1-20%)",IF(T562&lt;=0.4,"Medium (21-40%)","High (&gt;40%)"))))</f>
        <v>Low (1-20%)</v>
      </c>
      <c r="Y562" s="23" t="n">
        <f aca="false">IF(AND(ISNUMBER(C562),ISNUMBER(D562)),D562-C562,"")</f>
        <v>6</v>
      </c>
      <c r="Z562" s="23" t="n">
        <f aca="false">IF(B562="","",IF(MATCH(B562,$B$2:$B$12000,0)=ROW()-1,1,0))</f>
        <v>0</v>
      </c>
    </row>
    <row r="563" customFormat="false" ht="15" hidden="false" customHeight="false" outlineLevel="0" collapsed="false">
      <c r="A563" s="20" t="n">
        <v>562</v>
      </c>
      <c r="B563" s="20" t="s">
        <v>1594</v>
      </c>
      <c r="C563" s="21" t="n">
        <v>42729</v>
      </c>
      <c r="D563" s="21" t="n">
        <v>42731</v>
      </c>
      <c r="E563" s="20" t="s">
        <v>90</v>
      </c>
      <c r="F563" s="20" t="s">
        <v>125</v>
      </c>
      <c r="G563" s="20" t="s">
        <v>126</v>
      </c>
      <c r="H563" s="20" t="s">
        <v>61</v>
      </c>
      <c r="I563" s="20" t="s">
        <v>62</v>
      </c>
      <c r="J563" s="20" t="s">
        <v>63</v>
      </c>
      <c r="K563" s="20" t="s">
        <v>146</v>
      </c>
      <c r="L563" s="20" t="n">
        <v>12593</v>
      </c>
      <c r="M563" s="20" t="s">
        <v>65</v>
      </c>
      <c r="N563" s="20" t="s">
        <v>1595</v>
      </c>
      <c r="O563" s="20" t="s">
        <v>76</v>
      </c>
      <c r="P563" s="20" t="s">
        <v>128</v>
      </c>
      <c r="Q563" s="20" t="s">
        <v>1596</v>
      </c>
      <c r="R563" s="22" t="n">
        <v>273.37</v>
      </c>
      <c r="S563" s="20" t="n">
        <v>6</v>
      </c>
      <c r="T563" s="20" t="n">
        <v>0.5</v>
      </c>
      <c r="U563" s="22" t="n">
        <v>-74.11</v>
      </c>
      <c r="V563" s="23" t="n">
        <f aca="false">IF(ISNUMBER(C563),YEAR(C563),"")</f>
        <v>2016</v>
      </c>
      <c r="W563" s="23" t="n">
        <f aca="false">IF(ISNUMBER(C563),MONTH(C563),"")</f>
        <v>12</v>
      </c>
      <c r="X563" s="23" t="str">
        <f aca="false">IF(T563="","",IF(T563=0,"No discount",IF(T563&lt;=0.2,"Low (1-20%)",IF(T563&lt;=0.4,"Medium (21-40%)","High (&gt;40%)"))))</f>
        <v>High (&gt;40%)</v>
      </c>
      <c r="Y563" s="23" t="n">
        <f aca="false">IF(AND(ISNUMBER(C563),ISNUMBER(D563)),D563-C563,"")</f>
        <v>2</v>
      </c>
      <c r="Z563" s="23" t="n">
        <f aca="false">IF(B563="","",IF(MATCH(B563,$B$2:$B$12000,0)=ROW()-1,1,0))</f>
        <v>1</v>
      </c>
    </row>
    <row r="564" customFormat="false" ht="15" hidden="false" customHeight="false" outlineLevel="0" collapsed="false">
      <c r="A564" s="20" t="n">
        <v>563</v>
      </c>
      <c r="B564" s="20" t="s">
        <v>1597</v>
      </c>
      <c r="C564" s="21" t="n">
        <v>42729</v>
      </c>
      <c r="D564" s="21" t="n">
        <v>42730</v>
      </c>
      <c r="E564" s="20" t="s">
        <v>90</v>
      </c>
      <c r="F564" s="20" t="s">
        <v>732</v>
      </c>
      <c r="G564" s="20" t="s">
        <v>733</v>
      </c>
      <c r="H564" s="20" t="s">
        <v>85</v>
      </c>
      <c r="I564" s="20" t="s">
        <v>62</v>
      </c>
      <c r="J564" s="20" t="s">
        <v>63</v>
      </c>
      <c r="K564" s="20" t="s">
        <v>377</v>
      </c>
      <c r="L564" s="20" t="n">
        <v>21963</v>
      </c>
      <c r="M564" s="20" t="s">
        <v>65</v>
      </c>
      <c r="N564" s="20" t="s">
        <v>1598</v>
      </c>
      <c r="O564" s="20" t="s">
        <v>114</v>
      </c>
      <c r="P564" s="20" t="s">
        <v>139</v>
      </c>
      <c r="Q564" s="20" t="s">
        <v>1599</v>
      </c>
      <c r="R564" s="22" t="n">
        <v>3087.35</v>
      </c>
      <c r="S564" s="20" t="n">
        <v>8</v>
      </c>
      <c r="T564" s="20" t="n">
        <v>0</v>
      </c>
      <c r="U564" s="22" t="n">
        <v>231.11</v>
      </c>
      <c r="V564" s="23" t="n">
        <f aca="false">IF(ISNUMBER(C564),YEAR(C564),"")</f>
        <v>2016</v>
      </c>
      <c r="W564" s="23" t="n">
        <f aca="false">IF(ISNUMBER(C564),MONTH(C564),"")</f>
        <v>12</v>
      </c>
      <c r="X564" s="23" t="str">
        <f aca="false">IF(T564="","",IF(T564=0,"No discount",IF(T564&lt;=0.2,"Low (1-20%)",IF(T564&lt;=0.4,"Medium (21-40%)","High (&gt;40%)"))))</f>
        <v>No discount</v>
      </c>
      <c r="Y564" s="23" t="n">
        <f aca="false">IF(AND(ISNUMBER(C564),ISNUMBER(D564)),D564-C564,"")</f>
        <v>1</v>
      </c>
      <c r="Z564" s="23" t="n">
        <f aca="false">IF(B564="","",IF(MATCH(B564,$B$2:$B$12000,0)=ROW()-1,1,0))</f>
        <v>1</v>
      </c>
    </row>
    <row r="565" customFormat="false" ht="15" hidden="false" customHeight="false" outlineLevel="0" collapsed="false">
      <c r="A565" s="20" t="n">
        <v>564</v>
      </c>
      <c r="B565" s="20" t="s">
        <v>1597</v>
      </c>
      <c r="C565" s="21" t="n">
        <v>42729</v>
      </c>
      <c r="D565" s="21" t="n">
        <v>42730</v>
      </c>
      <c r="E565" s="20" t="s">
        <v>71</v>
      </c>
      <c r="F565" s="20" t="s">
        <v>732</v>
      </c>
      <c r="G565" s="20" t="s">
        <v>733</v>
      </c>
      <c r="H565" s="20" t="s">
        <v>85</v>
      </c>
      <c r="I565" s="20" t="s">
        <v>62</v>
      </c>
      <c r="J565" s="20" t="s">
        <v>63</v>
      </c>
      <c r="K565" s="20" t="s">
        <v>377</v>
      </c>
      <c r="L565" s="20" t="n">
        <v>99951</v>
      </c>
      <c r="M565" s="20" t="s">
        <v>65</v>
      </c>
      <c r="N565" s="20" t="s">
        <v>1600</v>
      </c>
      <c r="O565" s="20" t="s">
        <v>114</v>
      </c>
      <c r="P565" s="20" t="s">
        <v>139</v>
      </c>
      <c r="Q565" s="20" t="s">
        <v>1601</v>
      </c>
      <c r="R565" s="22" t="n">
        <v>1714.03</v>
      </c>
      <c r="S565" s="20" t="n">
        <v>4</v>
      </c>
      <c r="T565" s="20" t="n">
        <v>0.2</v>
      </c>
      <c r="U565" s="22" t="n">
        <v>-289.78</v>
      </c>
      <c r="V565" s="23" t="n">
        <f aca="false">IF(ISNUMBER(C565),YEAR(C565),"")</f>
        <v>2016</v>
      </c>
      <c r="W565" s="23" t="n">
        <f aca="false">IF(ISNUMBER(C565),MONTH(C565),"")</f>
        <v>12</v>
      </c>
      <c r="X565" s="23" t="str">
        <f aca="false">IF(T565="","",IF(T565=0,"No discount",IF(T565&lt;=0.2,"Low (1-20%)",IF(T565&lt;=0.4,"Medium (21-40%)","High (&gt;40%)"))))</f>
        <v>Low (1-20%)</v>
      </c>
      <c r="Y565" s="23" t="n">
        <f aca="false">IF(AND(ISNUMBER(C565),ISNUMBER(D565)),D565-C565,"")</f>
        <v>1</v>
      </c>
      <c r="Z565" s="23" t="n">
        <f aca="false">IF(B565="","",IF(MATCH(B565,$B$2:$B$12000,0)=ROW()-1,1,0))</f>
        <v>0</v>
      </c>
    </row>
    <row r="566" customFormat="false" ht="15" hidden="false" customHeight="false" outlineLevel="0" collapsed="false">
      <c r="A566" s="20" t="n">
        <v>565</v>
      </c>
      <c r="B566" s="20" t="s">
        <v>1602</v>
      </c>
      <c r="C566" s="21" t="n">
        <v>42740</v>
      </c>
      <c r="D566" s="21" t="n">
        <v>42745</v>
      </c>
      <c r="E566" s="20" t="s">
        <v>104</v>
      </c>
      <c r="F566" s="20" t="s">
        <v>72</v>
      </c>
      <c r="G566" s="20" t="s">
        <v>73</v>
      </c>
      <c r="H566" s="20" t="s">
        <v>61</v>
      </c>
      <c r="I566" s="20" t="s">
        <v>62</v>
      </c>
      <c r="J566" s="20" t="s">
        <v>63</v>
      </c>
      <c r="K566" s="20" t="s">
        <v>225</v>
      </c>
      <c r="L566" s="20" t="n">
        <v>61303</v>
      </c>
      <c r="M566" s="20" t="s">
        <v>65</v>
      </c>
      <c r="N566" s="20" t="s">
        <v>1603</v>
      </c>
      <c r="O566" s="20" t="s">
        <v>76</v>
      </c>
      <c r="P566" s="20" t="s">
        <v>80</v>
      </c>
      <c r="Q566" s="20" t="s">
        <v>1604</v>
      </c>
      <c r="R566" s="22" t="n">
        <v>21.74</v>
      </c>
      <c r="S566" s="20" t="n">
        <v>1</v>
      </c>
      <c r="T566" s="20" t="n">
        <v>0</v>
      </c>
      <c r="U566" s="22" t="n">
        <v>6.59</v>
      </c>
      <c r="V566" s="23" t="n">
        <f aca="false">IF(ISNUMBER(C566),YEAR(C566),"")</f>
        <v>2017</v>
      </c>
      <c r="W566" s="23" t="n">
        <f aca="false">IF(ISNUMBER(C566),MONTH(C566),"")</f>
        <v>1</v>
      </c>
      <c r="X566" s="23" t="str">
        <f aca="false">IF(T566="","",IF(T566=0,"No discount",IF(T566&lt;=0.2,"Low (1-20%)",IF(T566&lt;=0.4,"Medium (21-40%)","High (&gt;40%)"))))</f>
        <v>No discount</v>
      </c>
      <c r="Y566" s="23" t="n">
        <f aca="false">IF(AND(ISNUMBER(C566),ISNUMBER(D566)),D566-C566,"")</f>
        <v>5</v>
      </c>
      <c r="Z566" s="23" t="n">
        <f aca="false">IF(B566="","",IF(MATCH(B566,$B$2:$B$12000,0)=ROW()-1,1,0))</f>
        <v>1</v>
      </c>
    </row>
    <row r="567" customFormat="false" ht="15" hidden="false" customHeight="false" outlineLevel="0" collapsed="false">
      <c r="A567" s="20" t="n">
        <v>566</v>
      </c>
      <c r="B567" s="20" t="s">
        <v>1605</v>
      </c>
      <c r="C567" s="21" t="n">
        <v>42741</v>
      </c>
      <c r="D567" s="21" t="n">
        <v>42743</v>
      </c>
      <c r="E567" s="20" t="s">
        <v>58</v>
      </c>
      <c r="F567" s="20" t="s">
        <v>1145</v>
      </c>
      <c r="G567" s="20" t="s">
        <v>1146</v>
      </c>
      <c r="H567" s="20" t="s">
        <v>85</v>
      </c>
      <c r="I567" s="20" t="s">
        <v>62</v>
      </c>
      <c r="J567" s="20" t="s">
        <v>63</v>
      </c>
      <c r="K567" s="20" t="s">
        <v>969</v>
      </c>
      <c r="L567" s="20" t="n">
        <v>54114</v>
      </c>
      <c r="M567" s="20" t="s">
        <v>112</v>
      </c>
      <c r="N567" s="20" t="s">
        <v>1606</v>
      </c>
      <c r="O567" s="20" t="s">
        <v>76</v>
      </c>
      <c r="P567" s="20" t="s">
        <v>128</v>
      </c>
      <c r="Q567" s="20" t="s">
        <v>1607</v>
      </c>
      <c r="R567" s="22" t="n">
        <v>587.65</v>
      </c>
      <c r="S567" s="20" t="n">
        <v>4</v>
      </c>
      <c r="T567" s="20" t="n">
        <v>0.1</v>
      </c>
      <c r="U567" s="22" t="n">
        <v>41.58</v>
      </c>
      <c r="V567" s="23" t="n">
        <f aca="false">IF(ISNUMBER(C567),YEAR(C567),"")</f>
        <v>2017</v>
      </c>
      <c r="W567" s="23" t="n">
        <f aca="false">IF(ISNUMBER(C567),MONTH(C567),"")</f>
        <v>1</v>
      </c>
      <c r="X567" s="23" t="str">
        <f aca="false">IF(T567="","",IF(T567=0,"No discount",IF(T567&lt;=0.2,"Low (1-20%)",IF(T567&lt;=0.4,"Medium (21-40%)","High (&gt;40%)"))))</f>
        <v>Low (1-20%)</v>
      </c>
      <c r="Y567" s="23" t="n">
        <f aca="false">IF(AND(ISNUMBER(C567),ISNUMBER(D567)),D567-C567,"")</f>
        <v>2</v>
      </c>
      <c r="Z567" s="23" t="n">
        <f aca="false">IF(B567="","",IF(MATCH(B567,$B$2:$B$12000,0)=ROW()-1,1,0))</f>
        <v>1</v>
      </c>
    </row>
    <row r="568" customFormat="false" ht="15" hidden="false" customHeight="false" outlineLevel="0" collapsed="false">
      <c r="A568" s="20" t="n">
        <v>567</v>
      </c>
      <c r="B568" s="20" t="s">
        <v>1608</v>
      </c>
      <c r="C568" s="21" t="n">
        <v>42742</v>
      </c>
      <c r="D568" s="21" t="n">
        <v>42748</v>
      </c>
      <c r="E568" s="20" t="s">
        <v>90</v>
      </c>
      <c r="F568" s="20" t="s">
        <v>174</v>
      </c>
      <c r="G568" s="20" t="s">
        <v>175</v>
      </c>
      <c r="H568" s="20" t="s">
        <v>162</v>
      </c>
      <c r="I568" s="20" t="s">
        <v>62</v>
      </c>
      <c r="J568" s="20" t="s">
        <v>63</v>
      </c>
      <c r="K568" s="20" t="s">
        <v>288</v>
      </c>
      <c r="L568" s="20" t="n">
        <v>84318</v>
      </c>
      <c r="M568" s="20" t="s">
        <v>97</v>
      </c>
      <c r="N568" s="20" t="s">
        <v>1609</v>
      </c>
      <c r="O568" s="20" t="s">
        <v>67</v>
      </c>
      <c r="P568" s="20" t="s">
        <v>68</v>
      </c>
      <c r="Q568" s="20" t="s">
        <v>1610</v>
      </c>
      <c r="R568" s="22" t="n">
        <v>13103.18</v>
      </c>
      <c r="S568" s="20" t="n">
        <v>5</v>
      </c>
      <c r="T568" s="20" t="n">
        <v>0</v>
      </c>
      <c r="U568" s="22" t="n">
        <v>3862.25</v>
      </c>
      <c r="V568" s="23" t="n">
        <f aca="false">IF(ISNUMBER(C568),YEAR(C568),"")</f>
        <v>2017</v>
      </c>
      <c r="W568" s="23" t="n">
        <f aca="false">IF(ISNUMBER(C568),MONTH(C568),"")</f>
        <v>1</v>
      </c>
      <c r="X568" s="23" t="str">
        <f aca="false">IF(T568="","",IF(T568=0,"No discount",IF(T568&lt;=0.2,"Low (1-20%)",IF(T568&lt;=0.4,"Medium (21-40%)","High (&gt;40%)"))))</f>
        <v>No discount</v>
      </c>
      <c r="Y568" s="23" t="n">
        <f aca="false">IF(AND(ISNUMBER(C568),ISNUMBER(D568)),D568-C568,"")</f>
        <v>6</v>
      </c>
      <c r="Z568" s="23" t="n">
        <f aca="false">IF(B568="","",IF(MATCH(B568,$B$2:$B$12000,0)=ROW()-1,1,0))</f>
        <v>1</v>
      </c>
    </row>
    <row r="569" customFormat="false" ht="15" hidden="false" customHeight="false" outlineLevel="0" collapsed="false">
      <c r="A569" s="20" t="n">
        <v>568</v>
      </c>
      <c r="B569" s="20" t="s">
        <v>1611</v>
      </c>
      <c r="C569" s="21" t="n">
        <v>42743</v>
      </c>
      <c r="D569" s="21" t="n">
        <v>42744</v>
      </c>
      <c r="E569" s="20" t="s">
        <v>71</v>
      </c>
      <c r="F569" s="20" t="s">
        <v>858</v>
      </c>
      <c r="G569" s="20" t="s">
        <v>859</v>
      </c>
      <c r="H569" s="20" t="s">
        <v>61</v>
      </c>
      <c r="I569" s="20" t="s">
        <v>62</v>
      </c>
      <c r="J569" s="20" t="s">
        <v>63</v>
      </c>
      <c r="K569" s="20" t="s">
        <v>525</v>
      </c>
      <c r="L569" s="20" t="n">
        <v>90710</v>
      </c>
      <c r="M569" s="20" t="s">
        <v>97</v>
      </c>
      <c r="N569" s="20" t="s">
        <v>1612</v>
      </c>
      <c r="O569" s="20" t="s">
        <v>76</v>
      </c>
      <c r="P569" s="20" t="s">
        <v>77</v>
      </c>
      <c r="Q569" s="20" t="s">
        <v>1613</v>
      </c>
      <c r="R569" s="22" t="n">
        <v>420.12</v>
      </c>
      <c r="S569" s="20" t="n">
        <v>8</v>
      </c>
      <c r="T569" s="20" t="n">
        <v>0</v>
      </c>
      <c r="U569" s="22" t="n">
        <v>77.71</v>
      </c>
      <c r="V569" s="23" t="n">
        <f aca="false">IF(ISNUMBER(C569),YEAR(C569),"")</f>
        <v>2017</v>
      </c>
      <c r="W569" s="23" t="n">
        <f aca="false">IF(ISNUMBER(C569),MONTH(C569),"")</f>
        <v>1</v>
      </c>
      <c r="X569" s="23" t="str">
        <f aca="false">IF(T569="","",IF(T569=0,"No discount",IF(T569&lt;=0.2,"Low (1-20%)",IF(T569&lt;=0.4,"Medium (21-40%)","High (&gt;40%)"))))</f>
        <v>No discount</v>
      </c>
      <c r="Y569" s="23" t="n">
        <f aca="false">IF(AND(ISNUMBER(C569),ISNUMBER(D569)),D569-C569,"")</f>
        <v>1</v>
      </c>
      <c r="Z569" s="23" t="n">
        <f aca="false">IF(B569="","",IF(MATCH(B569,$B$2:$B$12000,0)=ROW()-1,1,0))</f>
        <v>1</v>
      </c>
    </row>
    <row r="570" customFormat="false" ht="15" hidden="false" customHeight="false" outlineLevel="0" collapsed="false">
      <c r="A570" s="20" t="n">
        <v>569</v>
      </c>
      <c r="B570" s="20" t="s">
        <v>1614</v>
      </c>
      <c r="C570" s="21" t="n">
        <v>42750</v>
      </c>
      <c r="D570" s="21" t="n">
        <v>42752</v>
      </c>
      <c r="E570" s="20" t="s">
        <v>58</v>
      </c>
      <c r="F570" s="20" t="s">
        <v>194</v>
      </c>
      <c r="G570" s="20" t="s">
        <v>195</v>
      </c>
      <c r="H570" s="20" t="s">
        <v>85</v>
      </c>
      <c r="I570" s="20" t="s">
        <v>62</v>
      </c>
      <c r="J570" s="20" t="s">
        <v>63</v>
      </c>
      <c r="K570" s="20" t="s">
        <v>647</v>
      </c>
      <c r="L570" s="20" t="n">
        <v>94148</v>
      </c>
      <c r="M570" s="20" t="s">
        <v>97</v>
      </c>
      <c r="N570" s="20" t="s">
        <v>1615</v>
      </c>
      <c r="O570" s="20" t="s">
        <v>76</v>
      </c>
      <c r="P570" s="20" t="s">
        <v>178</v>
      </c>
      <c r="Q570" s="20" t="s">
        <v>1616</v>
      </c>
      <c r="R570" s="22" t="n">
        <v>234.55</v>
      </c>
      <c r="S570" s="20" t="n">
        <v>4</v>
      </c>
      <c r="T570" s="20" t="n">
        <v>0.5</v>
      </c>
      <c r="U570" s="22" t="n">
        <v>-77.69</v>
      </c>
      <c r="V570" s="23" t="n">
        <f aca="false">IF(ISNUMBER(C570),YEAR(C570),"")</f>
        <v>2017</v>
      </c>
      <c r="W570" s="23" t="n">
        <f aca="false">IF(ISNUMBER(C570),MONTH(C570),"")</f>
        <v>1</v>
      </c>
      <c r="X570" s="23" t="str">
        <f aca="false">IF(T570="","",IF(T570=0,"No discount",IF(T570&lt;=0.2,"Low (1-20%)",IF(T570&lt;=0.4,"Medium (21-40%)","High (&gt;40%)"))))</f>
        <v>High (&gt;40%)</v>
      </c>
      <c r="Y570" s="23" t="n">
        <f aca="false">IF(AND(ISNUMBER(C570),ISNUMBER(D570)),D570-C570,"")</f>
        <v>2</v>
      </c>
      <c r="Z570" s="23" t="n">
        <f aca="false">IF(B570="","",IF(MATCH(B570,$B$2:$B$12000,0)=ROW()-1,1,0))</f>
        <v>1</v>
      </c>
    </row>
    <row r="571" customFormat="false" ht="15" hidden="false" customHeight="false" outlineLevel="0" collapsed="false">
      <c r="A571" s="20" t="n">
        <v>570</v>
      </c>
      <c r="B571" s="20" t="s">
        <v>1617</v>
      </c>
      <c r="C571" s="21" t="n">
        <v>42756</v>
      </c>
      <c r="D571" s="21" t="n">
        <v>42760</v>
      </c>
      <c r="E571" s="20" t="s">
        <v>58</v>
      </c>
      <c r="F571" s="20" t="s">
        <v>630</v>
      </c>
      <c r="G571" s="20" t="s">
        <v>631</v>
      </c>
      <c r="H571" s="20" t="s">
        <v>85</v>
      </c>
      <c r="I571" s="20" t="s">
        <v>62</v>
      </c>
      <c r="J571" s="20" t="s">
        <v>63</v>
      </c>
      <c r="K571" s="20" t="s">
        <v>202</v>
      </c>
      <c r="L571" s="20" t="n">
        <v>80789</v>
      </c>
      <c r="M571" s="20" t="s">
        <v>153</v>
      </c>
      <c r="N571" s="20" t="s">
        <v>1618</v>
      </c>
      <c r="O571" s="20" t="s">
        <v>76</v>
      </c>
      <c r="P571" s="20" t="s">
        <v>178</v>
      </c>
      <c r="Q571" s="20" t="s">
        <v>1619</v>
      </c>
      <c r="R571" s="22" t="n">
        <v>1381.33</v>
      </c>
      <c r="S571" s="20" t="n">
        <v>8</v>
      </c>
      <c r="T571" s="20" t="n">
        <v>0</v>
      </c>
      <c r="U571" s="22" t="n">
        <v>33.58</v>
      </c>
      <c r="V571" s="23" t="n">
        <f aca="false">IF(ISNUMBER(C571),YEAR(C571),"")</f>
        <v>2017</v>
      </c>
      <c r="W571" s="23" t="n">
        <f aca="false">IF(ISNUMBER(C571),MONTH(C571),"")</f>
        <v>1</v>
      </c>
      <c r="X571" s="23" t="str">
        <f aca="false">IF(T571="","",IF(T571=0,"No discount",IF(T571&lt;=0.2,"Low (1-20%)",IF(T571&lt;=0.4,"Medium (21-40%)","High (&gt;40%)"))))</f>
        <v>No discount</v>
      </c>
      <c r="Y571" s="23" t="n">
        <f aca="false">IF(AND(ISNUMBER(C571),ISNUMBER(D571)),D571-C571,"")</f>
        <v>4</v>
      </c>
      <c r="Z571" s="23" t="n">
        <f aca="false">IF(B571="","",IF(MATCH(B571,$B$2:$B$12000,0)=ROW()-1,1,0))</f>
        <v>1</v>
      </c>
    </row>
    <row r="572" customFormat="false" ht="15" hidden="false" customHeight="false" outlineLevel="0" collapsed="false">
      <c r="A572" s="20" t="n">
        <v>571</v>
      </c>
      <c r="B572" s="20" t="s">
        <v>1617</v>
      </c>
      <c r="C572" s="21" t="n">
        <v>42756</v>
      </c>
      <c r="D572" s="21" t="n">
        <v>42760</v>
      </c>
      <c r="E572" s="20" t="s">
        <v>58</v>
      </c>
      <c r="F572" s="20" t="s">
        <v>630</v>
      </c>
      <c r="G572" s="20" t="s">
        <v>631</v>
      </c>
      <c r="H572" s="20" t="s">
        <v>85</v>
      </c>
      <c r="I572" s="20" t="s">
        <v>62</v>
      </c>
      <c r="J572" s="20" t="s">
        <v>63</v>
      </c>
      <c r="K572" s="20" t="s">
        <v>202</v>
      </c>
      <c r="L572" s="20" t="n">
        <v>19635</v>
      </c>
      <c r="M572" s="20" t="s">
        <v>153</v>
      </c>
      <c r="N572" s="20" t="s">
        <v>1620</v>
      </c>
      <c r="O572" s="20" t="s">
        <v>76</v>
      </c>
      <c r="P572" s="20" t="s">
        <v>178</v>
      </c>
      <c r="Q572" s="20" t="s">
        <v>1418</v>
      </c>
      <c r="R572" s="22" t="n">
        <v>18.21</v>
      </c>
      <c r="S572" s="20" t="n">
        <v>6</v>
      </c>
      <c r="T572" s="20" t="n">
        <v>0.7</v>
      </c>
      <c r="U572" s="22" t="n">
        <v>-6.05</v>
      </c>
      <c r="V572" s="23" t="n">
        <f aca="false">IF(ISNUMBER(C572),YEAR(C572),"")</f>
        <v>2017</v>
      </c>
      <c r="W572" s="23" t="n">
        <f aca="false">IF(ISNUMBER(C572),MONTH(C572),"")</f>
        <v>1</v>
      </c>
      <c r="X572" s="23" t="str">
        <f aca="false">IF(T572="","",IF(T572=0,"No discount",IF(T572&lt;=0.2,"Low (1-20%)",IF(T572&lt;=0.4,"Medium (21-40%)","High (&gt;40%)"))))</f>
        <v>High (&gt;40%)</v>
      </c>
      <c r="Y572" s="23" t="n">
        <f aca="false">IF(AND(ISNUMBER(C572),ISNUMBER(D572)),D572-C572,"")</f>
        <v>4</v>
      </c>
      <c r="Z572" s="23" t="n">
        <f aca="false">IF(B572="","",IF(MATCH(B572,$B$2:$B$12000,0)=ROW()-1,1,0))</f>
        <v>0</v>
      </c>
    </row>
    <row r="573" customFormat="false" ht="15" hidden="false" customHeight="false" outlineLevel="0" collapsed="false">
      <c r="A573" s="20" t="n">
        <v>572</v>
      </c>
      <c r="B573" s="20" t="s">
        <v>1621</v>
      </c>
      <c r="C573" s="21" t="n">
        <v>42759</v>
      </c>
      <c r="D573" s="21" t="n">
        <v>42765</v>
      </c>
      <c r="E573" s="20" t="s">
        <v>104</v>
      </c>
      <c r="F573" s="20" t="s">
        <v>174</v>
      </c>
      <c r="G573" s="20" t="s">
        <v>175</v>
      </c>
      <c r="H573" s="20" t="s">
        <v>162</v>
      </c>
      <c r="I573" s="20" t="s">
        <v>62</v>
      </c>
      <c r="J573" s="20" t="s">
        <v>63</v>
      </c>
      <c r="K573" s="20" t="s">
        <v>969</v>
      </c>
      <c r="L573" s="20" t="n">
        <v>57922</v>
      </c>
      <c r="M573" s="20" t="s">
        <v>112</v>
      </c>
      <c r="N573" s="20" t="s">
        <v>1622</v>
      </c>
      <c r="O573" s="20" t="s">
        <v>114</v>
      </c>
      <c r="P573" s="20" t="s">
        <v>139</v>
      </c>
      <c r="Q573" s="20" t="s">
        <v>140</v>
      </c>
      <c r="R573" s="22" t="n">
        <v>466.5</v>
      </c>
      <c r="S573" s="20" t="n">
        <v>3</v>
      </c>
      <c r="T573" s="20" t="n">
        <v>0.3</v>
      </c>
      <c r="U573" s="22" t="n">
        <v>-79.7</v>
      </c>
      <c r="V573" s="23" t="n">
        <f aca="false">IF(ISNUMBER(C573),YEAR(C573),"")</f>
        <v>2017</v>
      </c>
      <c r="W573" s="23" t="n">
        <f aca="false">IF(ISNUMBER(C573),MONTH(C573),"")</f>
        <v>1</v>
      </c>
      <c r="X573" s="23" t="str">
        <f aca="false">IF(T573="","",IF(T573=0,"No discount",IF(T573&lt;=0.2,"Low (1-20%)",IF(T573&lt;=0.4,"Medium (21-40%)","High (&gt;40%)"))))</f>
        <v>Medium (21-40%)</v>
      </c>
      <c r="Y573" s="23" t="n">
        <f aca="false">IF(AND(ISNUMBER(C573),ISNUMBER(D573)),D573-C573,"")</f>
        <v>6</v>
      </c>
      <c r="Z573" s="23" t="n">
        <f aca="false">IF(B573="","",IF(MATCH(B573,$B$2:$B$12000,0)=ROW()-1,1,0))</f>
        <v>1</v>
      </c>
    </row>
    <row r="574" customFormat="false" ht="15" hidden="false" customHeight="false" outlineLevel="0" collapsed="false">
      <c r="A574" s="20" t="n">
        <v>573</v>
      </c>
      <c r="B574" s="20" t="s">
        <v>1623</v>
      </c>
      <c r="C574" s="21" t="n">
        <v>42763</v>
      </c>
      <c r="D574" s="21" t="n">
        <v>42770</v>
      </c>
      <c r="E574" s="20" t="s">
        <v>71</v>
      </c>
      <c r="F574" s="20" t="s">
        <v>352</v>
      </c>
      <c r="G574" s="20" t="s">
        <v>353</v>
      </c>
      <c r="H574" s="20" t="s">
        <v>85</v>
      </c>
      <c r="I574" s="20" t="s">
        <v>62</v>
      </c>
      <c r="J574" s="20" t="s">
        <v>63</v>
      </c>
      <c r="K574" s="20" t="s">
        <v>74</v>
      </c>
      <c r="L574" s="20" t="n">
        <v>76222</v>
      </c>
      <c r="M574" s="20" t="s">
        <v>65</v>
      </c>
      <c r="N574" s="20" t="s">
        <v>1624</v>
      </c>
      <c r="O574" s="20" t="s">
        <v>76</v>
      </c>
      <c r="P574" s="20" t="s">
        <v>122</v>
      </c>
      <c r="Q574" s="20" t="s">
        <v>1625</v>
      </c>
      <c r="R574" s="22" t="n">
        <v>166.78</v>
      </c>
      <c r="S574" s="20" t="n">
        <v>6</v>
      </c>
      <c r="T574" s="20" t="n">
        <v>0</v>
      </c>
      <c r="U574" s="22" t="n">
        <v>53.67</v>
      </c>
      <c r="V574" s="23" t="n">
        <f aca="false">IF(ISNUMBER(C574),YEAR(C574),"")</f>
        <v>2017</v>
      </c>
      <c r="W574" s="23" t="n">
        <f aca="false">IF(ISNUMBER(C574),MONTH(C574),"")</f>
        <v>1</v>
      </c>
      <c r="X574" s="23" t="str">
        <f aca="false">IF(T574="","",IF(T574=0,"No discount",IF(T574&lt;=0.2,"Low (1-20%)",IF(T574&lt;=0.4,"Medium (21-40%)","High (&gt;40%)"))))</f>
        <v>No discount</v>
      </c>
      <c r="Y574" s="23" t="n">
        <f aca="false">IF(AND(ISNUMBER(C574),ISNUMBER(D574)),D574-C574,"")</f>
        <v>7</v>
      </c>
      <c r="Z574" s="23" t="n">
        <f aca="false">IF(B574="","",IF(MATCH(B574,$B$2:$B$12000,0)=ROW()-1,1,0))</f>
        <v>1</v>
      </c>
    </row>
    <row r="575" customFormat="false" ht="15" hidden="false" customHeight="false" outlineLevel="0" collapsed="false">
      <c r="A575" s="20" t="n">
        <v>574</v>
      </c>
      <c r="B575" s="20" t="s">
        <v>1626</v>
      </c>
      <c r="C575" s="21" t="n">
        <v>42768</v>
      </c>
      <c r="D575" s="21" t="n">
        <v>42774</v>
      </c>
      <c r="E575" s="20" t="s">
        <v>58</v>
      </c>
      <c r="F575" s="20" t="s">
        <v>662</v>
      </c>
      <c r="G575" s="20" t="s">
        <v>663</v>
      </c>
      <c r="H575" s="20" t="s">
        <v>61</v>
      </c>
      <c r="I575" s="20" t="s">
        <v>62</v>
      </c>
      <c r="J575" s="20" t="s">
        <v>63</v>
      </c>
      <c r="K575" s="20" t="s">
        <v>335</v>
      </c>
      <c r="L575" s="20" t="n">
        <v>73460</v>
      </c>
      <c r="M575" s="20" t="s">
        <v>65</v>
      </c>
      <c r="N575" s="20" t="s">
        <v>1627</v>
      </c>
      <c r="O575" s="20" t="s">
        <v>114</v>
      </c>
      <c r="P575" s="20" t="s">
        <v>115</v>
      </c>
      <c r="Q575" s="20" t="s">
        <v>1628</v>
      </c>
      <c r="R575" s="22" t="n">
        <v>524.07</v>
      </c>
      <c r="S575" s="20" t="n">
        <v>2</v>
      </c>
      <c r="T575" s="20" t="n">
        <v>0.3</v>
      </c>
      <c r="U575" s="22" t="n">
        <v>-24.04</v>
      </c>
      <c r="V575" s="23" t="n">
        <f aca="false">IF(ISNUMBER(C575),YEAR(C575),"")</f>
        <v>2017</v>
      </c>
      <c r="W575" s="23" t="n">
        <f aca="false">IF(ISNUMBER(C575),MONTH(C575),"")</f>
        <v>2</v>
      </c>
      <c r="X575" s="23" t="str">
        <f aca="false">IF(T575="","",IF(T575=0,"No discount",IF(T575&lt;=0.2,"Low (1-20%)",IF(T575&lt;=0.4,"Medium (21-40%)","High (&gt;40%)"))))</f>
        <v>Medium (21-40%)</v>
      </c>
      <c r="Y575" s="23" t="n">
        <f aca="false">IF(AND(ISNUMBER(C575),ISNUMBER(D575)),D575-C575,"")</f>
        <v>6</v>
      </c>
      <c r="Z575" s="23" t="n">
        <f aca="false">IF(B575="","",IF(MATCH(B575,$B$2:$B$12000,0)=ROW()-1,1,0))</f>
        <v>1</v>
      </c>
    </row>
    <row r="576" customFormat="false" ht="15" hidden="false" customHeight="false" outlineLevel="0" collapsed="false">
      <c r="A576" s="20" t="n">
        <v>575</v>
      </c>
      <c r="B576" s="20" t="s">
        <v>1626</v>
      </c>
      <c r="C576" s="21" t="n">
        <v>42768</v>
      </c>
      <c r="D576" s="21" t="n">
        <v>42774</v>
      </c>
      <c r="E576" s="20" t="s">
        <v>90</v>
      </c>
      <c r="F576" s="20" t="s">
        <v>662</v>
      </c>
      <c r="G576" s="20" t="s">
        <v>663</v>
      </c>
      <c r="H576" s="20" t="s">
        <v>61</v>
      </c>
      <c r="I576" s="20" t="s">
        <v>62</v>
      </c>
      <c r="J576" s="20" t="s">
        <v>63</v>
      </c>
      <c r="K576" s="20" t="s">
        <v>335</v>
      </c>
      <c r="L576" s="20" t="n">
        <v>79529</v>
      </c>
      <c r="M576" s="20" t="s">
        <v>65</v>
      </c>
      <c r="N576" s="20" t="s">
        <v>1629</v>
      </c>
      <c r="O576" s="20" t="s">
        <v>67</v>
      </c>
      <c r="P576" s="20" t="s">
        <v>106</v>
      </c>
      <c r="Q576" s="20" t="s">
        <v>1630</v>
      </c>
      <c r="R576" s="22" t="n">
        <v>683.74</v>
      </c>
      <c r="S576" s="20" t="n">
        <v>2</v>
      </c>
      <c r="T576" s="20" t="n">
        <v>0</v>
      </c>
      <c r="U576" s="22" t="n">
        <v>64.89</v>
      </c>
      <c r="V576" s="23" t="n">
        <f aca="false">IF(ISNUMBER(C576),YEAR(C576),"")</f>
        <v>2017</v>
      </c>
      <c r="W576" s="23" t="n">
        <f aca="false">IF(ISNUMBER(C576),MONTH(C576),"")</f>
        <v>2</v>
      </c>
      <c r="X576" s="23" t="str">
        <f aca="false">IF(T576="","",IF(T576=0,"No discount",IF(T576&lt;=0.2,"Low (1-20%)",IF(T576&lt;=0.4,"Medium (21-40%)","High (&gt;40%)"))))</f>
        <v>No discount</v>
      </c>
      <c r="Y576" s="23" t="n">
        <f aca="false">IF(AND(ISNUMBER(C576),ISNUMBER(D576)),D576-C576,"")</f>
        <v>6</v>
      </c>
      <c r="Z576" s="23" t="n">
        <f aca="false">IF(B576="","",IF(MATCH(B576,$B$2:$B$12000,0)=ROW()-1,1,0))</f>
        <v>0</v>
      </c>
    </row>
    <row r="577" customFormat="false" ht="15" hidden="false" customHeight="false" outlineLevel="0" collapsed="false">
      <c r="A577" s="20" t="n">
        <v>576</v>
      </c>
      <c r="B577" s="20" t="s">
        <v>1626</v>
      </c>
      <c r="C577" s="21" t="n">
        <v>42768</v>
      </c>
      <c r="D577" s="21" t="n">
        <v>42774</v>
      </c>
      <c r="E577" s="20" t="s">
        <v>104</v>
      </c>
      <c r="F577" s="20" t="s">
        <v>662</v>
      </c>
      <c r="G577" s="20" t="s">
        <v>663</v>
      </c>
      <c r="H577" s="20" t="s">
        <v>61</v>
      </c>
      <c r="I577" s="20" t="s">
        <v>62</v>
      </c>
      <c r="J577" s="20" t="s">
        <v>63</v>
      </c>
      <c r="K577" s="20" t="s">
        <v>335</v>
      </c>
      <c r="L577" s="20" t="n">
        <v>25215</v>
      </c>
      <c r="M577" s="20" t="s">
        <v>65</v>
      </c>
      <c r="N577" s="20" t="s">
        <v>1631</v>
      </c>
      <c r="O577" s="20" t="s">
        <v>114</v>
      </c>
      <c r="P577" s="20" t="s">
        <v>210</v>
      </c>
      <c r="Q577" s="20" t="s">
        <v>1632</v>
      </c>
      <c r="R577" s="22" t="n">
        <v>57.8</v>
      </c>
      <c r="S577" s="20" t="n">
        <v>2</v>
      </c>
      <c r="T577" s="20" t="n">
        <v>0</v>
      </c>
      <c r="U577" s="22" t="n">
        <v>5.74</v>
      </c>
      <c r="V577" s="23" t="n">
        <f aca="false">IF(ISNUMBER(C577),YEAR(C577),"")</f>
        <v>2017</v>
      </c>
      <c r="W577" s="23" t="n">
        <f aca="false">IF(ISNUMBER(C577),MONTH(C577),"")</f>
        <v>2</v>
      </c>
      <c r="X577" s="23" t="str">
        <f aca="false">IF(T577="","",IF(T577=0,"No discount",IF(T577&lt;=0.2,"Low (1-20%)",IF(T577&lt;=0.4,"Medium (21-40%)","High (&gt;40%)"))))</f>
        <v>No discount</v>
      </c>
      <c r="Y577" s="23" t="n">
        <f aca="false">IF(AND(ISNUMBER(C577),ISNUMBER(D577)),D577-C577,"")</f>
        <v>6</v>
      </c>
      <c r="Z577" s="23" t="n">
        <f aca="false">IF(B577="","",IF(MATCH(B577,$B$2:$B$12000,0)=ROW()-1,1,0))</f>
        <v>0</v>
      </c>
    </row>
    <row r="578" customFormat="false" ht="15" hidden="false" customHeight="false" outlineLevel="0" collapsed="false">
      <c r="A578" s="20" t="n">
        <v>577</v>
      </c>
      <c r="B578" s="20" t="s">
        <v>1633</v>
      </c>
      <c r="C578" s="21" t="n">
        <v>42768</v>
      </c>
      <c r="D578" s="21" t="n">
        <v>42771</v>
      </c>
      <c r="E578" s="20" t="s">
        <v>90</v>
      </c>
      <c r="F578" s="20" t="s">
        <v>436</v>
      </c>
      <c r="G578" s="20" t="s">
        <v>437</v>
      </c>
      <c r="H578" s="20" t="s">
        <v>61</v>
      </c>
      <c r="I578" s="20" t="s">
        <v>62</v>
      </c>
      <c r="J578" s="20" t="s">
        <v>63</v>
      </c>
      <c r="K578" s="20" t="s">
        <v>360</v>
      </c>
      <c r="L578" s="20" t="n">
        <v>23135</v>
      </c>
      <c r="M578" s="20" t="s">
        <v>112</v>
      </c>
      <c r="N578" s="20" t="s">
        <v>1634</v>
      </c>
      <c r="O578" s="20" t="s">
        <v>67</v>
      </c>
      <c r="P578" s="20" t="s">
        <v>164</v>
      </c>
      <c r="Q578" s="20" t="s">
        <v>1635</v>
      </c>
      <c r="R578" s="22" t="n">
        <v>1227.69</v>
      </c>
      <c r="S578" s="20" t="n">
        <v>7</v>
      </c>
      <c r="T578" s="20" t="n">
        <v>0.5</v>
      </c>
      <c r="U578" s="22" t="n">
        <v>-347.5</v>
      </c>
      <c r="V578" s="23" t="n">
        <f aca="false">IF(ISNUMBER(C578),YEAR(C578),"")</f>
        <v>2017</v>
      </c>
      <c r="W578" s="23" t="n">
        <f aca="false">IF(ISNUMBER(C578),MONTH(C578),"")</f>
        <v>2</v>
      </c>
      <c r="X578" s="23" t="str">
        <f aca="false">IF(T578="","",IF(T578=0,"No discount",IF(T578&lt;=0.2,"Low (1-20%)",IF(T578&lt;=0.4,"Medium (21-40%)","High (&gt;40%)"))))</f>
        <v>High (&gt;40%)</v>
      </c>
      <c r="Y578" s="23" t="n">
        <f aca="false">IF(AND(ISNUMBER(C578),ISNUMBER(D578)),D578-C578,"")</f>
        <v>3</v>
      </c>
      <c r="Z578" s="23" t="n">
        <f aca="false">IF(B578="","",IF(MATCH(B578,$B$2:$B$12000,0)=ROW()-1,1,0))</f>
        <v>1</v>
      </c>
    </row>
    <row r="579" customFormat="false" ht="15" hidden="false" customHeight="false" outlineLevel="0" collapsed="false">
      <c r="A579" s="20" t="n">
        <v>578</v>
      </c>
      <c r="B579" s="20" t="s">
        <v>1633</v>
      </c>
      <c r="C579" s="21" t="n">
        <v>42768</v>
      </c>
      <c r="D579" s="21" t="n">
        <v>42771</v>
      </c>
      <c r="E579" s="20" t="s">
        <v>58</v>
      </c>
      <c r="F579" s="20" t="s">
        <v>436</v>
      </c>
      <c r="G579" s="20" t="s">
        <v>437</v>
      </c>
      <c r="H579" s="20" t="s">
        <v>61</v>
      </c>
      <c r="I579" s="20" t="s">
        <v>62</v>
      </c>
      <c r="J579" s="20" t="s">
        <v>63</v>
      </c>
      <c r="K579" s="20" t="s">
        <v>360</v>
      </c>
      <c r="L579" s="20" t="n">
        <v>78770</v>
      </c>
      <c r="M579" s="20" t="s">
        <v>112</v>
      </c>
      <c r="N579" s="20" t="s">
        <v>1636</v>
      </c>
      <c r="O579" s="20" t="s">
        <v>114</v>
      </c>
      <c r="P579" s="20" t="s">
        <v>115</v>
      </c>
      <c r="Q579" s="20" t="s">
        <v>1637</v>
      </c>
      <c r="R579" s="22" t="n">
        <v>2420.73</v>
      </c>
      <c r="S579" s="20" t="n">
        <v>5</v>
      </c>
      <c r="T579" s="20" t="n">
        <v>0</v>
      </c>
      <c r="U579" s="22" t="n">
        <v>288.43</v>
      </c>
      <c r="V579" s="23" t="n">
        <f aca="false">IF(ISNUMBER(C579),YEAR(C579),"")</f>
        <v>2017</v>
      </c>
      <c r="W579" s="23" t="n">
        <f aca="false">IF(ISNUMBER(C579),MONTH(C579),"")</f>
        <v>2</v>
      </c>
      <c r="X579" s="23" t="str">
        <f aca="false">IF(T579="","",IF(T579=0,"No discount",IF(T579&lt;=0.2,"Low (1-20%)",IF(T579&lt;=0.4,"Medium (21-40%)","High (&gt;40%)"))))</f>
        <v>No discount</v>
      </c>
      <c r="Y579" s="23" t="n">
        <f aca="false">IF(AND(ISNUMBER(C579),ISNUMBER(D579)),D579-C579,"")</f>
        <v>3</v>
      </c>
      <c r="Z579" s="23" t="n">
        <f aca="false">IF(B579="","",IF(MATCH(B579,$B$2:$B$12000,0)=ROW()-1,1,0))</f>
        <v>0</v>
      </c>
    </row>
    <row r="580" customFormat="false" ht="15" hidden="false" customHeight="false" outlineLevel="0" collapsed="false">
      <c r="A580" s="20" t="n">
        <v>579</v>
      </c>
      <c r="B580" s="20" t="s">
        <v>1638</v>
      </c>
      <c r="C580" s="21" t="n">
        <v>42772</v>
      </c>
      <c r="D580" s="21" t="n">
        <v>42774</v>
      </c>
      <c r="E580" s="20" t="s">
        <v>71</v>
      </c>
      <c r="F580" s="20" t="s">
        <v>118</v>
      </c>
      <c r="G580" s="20" t="s">
        <v>119</v>
      </c>
      <c r="H580" s="20" t="s">
        <v>61</v>
      </c>
      <c r="I580" s="20" t="s">
        <v>62</v>
      </c>
      <c r="J580" s="20" t="s">
        <v>63</v>
      </c>
      <c r="K580" s="20" t="s">
        <v>254</v>
      </c>
      <c r="L580" s="20" t="n">
        <v>38709</v>
      </c>
      <c r="M580" s="20" t="s">
        <v>112</v>
      </c>
      <c r="N580" s="20" t="s">
        <v>1639</v>
      </c>
      <c r="O580" s="20" t="s">
        <v>114</v>
      </c>
      <c r="P580" s="20" t="s">
        <v>115</v>
      </c>
      <c r="Q580" s="20" t="s">
        <v>1640</v>
      </c>
      <c r="R580" s="22" t="n">
        <v>2669.7</v>
      </c>
      <c r="S580" s="20" t="n">
        <v>7</v>
      </c>
      <c r="T580" s="20" t="n">
        <v>0</v>
      </c>
      <c r="U580" s="22" t="n">
        <v>226.85</v>
      </c>
      <c r="V580" s="23" t="n">
        <f aca="false">IF(ISNUMBER(C580),YEAR(C580),"")</f>
        <v>2017</v>
      </c>
      <c r="W580" s="23" t="n">
        <f aca="false">IF(ISNUMBER(C580),MONTH(C580),"")</f>
        <v>2</v>
      </c>
      <c r="X580" s="23" t="str">
        <f aca="false">IF(T580="","",IF(T580=0,"No discount",IF(T580&lt;=0.2,"Low (1-20%)",IF(T580&lt;=0.4,"Medium (21-40%)","High (&gt;40%)"))))</f>
        <v>No discount</v>
      </c>
      <c r="Y580" s="23" t="n">
        <f aca="false">IF(AND(ISNUMBER(C580),ISNUMBER(D580)),D580-C580,"")</f>
        <v>2</v>
      </c>
      <c r="Z580" s="23" t="n">
        <f aca="false">IF(B580="","",IF(MATCH(B580,$B$2:$B$12000,0)=ROW()-1,1,0))</f>
        <v>1</v>
      </c>
    </row>
    <row r="581" customFormat="false" ht="15" hidden="false" customHeight="false" outlineLevel="0" collapsed="false">
      <c r="A581" s="20" t="n">
        <v>580</v>
      </c>
      <c r="B581" s="20" t="s">
        <v>1641</v>
      </c>
      <c r="C581" s="21" t="n">
        <v>42773</v>
      </c>
      <c r="D581" s="21" t="n">
        <v>42774</v>
      </c>
      <c r="E581" s="20" t="s">
        <v>58</v>
      </c>
      <c r="F581" s="20" t="s">
        <v>548</v>
      </c>
      <c r="G581" s="20" t="s">
        <v>549</v>
      </c>
      <c r="H581" s="20" t="s">
        <v>85</v>
      </c>
      <c r="I581" s="20" t="s">
        <v>62</v>
      </c>
      <c r="J581" s="20" t="s">
        <v>63</v>
      </c>
      <c r="K581" s="20" t="s">
        <v>909</v>
      </c>
      <c r="L581" s="20" t="n">
        <v>87234</v>
      </c>
      <c r="M581" s="20" t="s">
        <v>97</v>
      </c>
      <c r="N581" s="20" t="s">
        <v>1642</v>
      </c>
      <c r="O581" s="20" t="s">
        <v>114</v>
      </c>
      <c r="P581" s="20" t="s">
        <v>139</v>
      </c>
      <c r="Q581" s="20" t="s">
        <v>1643</v>
      </c>
      <c r="R581" s="22" t="n">
        <v>995.51</v>
      </c>
      <c r="S581" s="20" t="n">
        <v>2</v>
      </c>
      <c r="T581" s="20" t="n">
        <v>0</v>
      </c>
      <c r="U581" s="22" t="n">
        <v>-21.1</v>
      </c>
      <c r="V581" s="23" t="n">
        <f aca="false">IF(ISNUMBER(C581),YEAR(C581),"")</f>
        <v>2017</v>
      </c>
      <c r="W581" s="23" t="n">
        <f aca="false">IF(ISNUMBER(C581),MONTH(C581),"")</f>
        <v>2</v>
      </c>
      <c r="X581" s="23" t="str">
        <f aca="false">IF(T581="","",IF(T581=0,"No discount",IF(T581&lt;=0.2,"Low (1-20%)",IF(T581&lt;=0.4,"Medium (21-40%)","High (&gt;40%)"))))</f>
        <v>No discount</v>
      </c>
      <c r="Y581" s="23" t="n">
        <f aca="false">IF(AND(ISNUMBER(C581),ISNUMBER(D581)),D581-C581,"")</f>
        <v>1</v>
      </c>
      <c r="Z581" s="23" t="n">
        <f aca="false">IF(B581="","",IF(MATCH(B581,$B$2:$B$12000,0)=ROW()-1,1,0))</f>
        <v>1</v>
      </c>
    </row>
    <row r="582" customFormat="false" ht="15" hidden="false" customHeight="false" outlineLevel="0" collapsed="false">
      <c r="A582" s="20" t="n">
        <v>581</v>
      </c>
      <c r="B582" s="20" t="s">
        <v>1644</v>
      </c>
      <c r="C582" s="21" t="n">
        <v>42777</v>
      </c>
      <c r="D582" s="21" t="n">
        <v>42783</v>
      </c>
      <c r="E582" s="20" t="s">
        <v>71</v>
      </c>
      <c r="F582" s="20" t="s">
        <v>233</v>
      </c>
      <c r="G582" s="20" t="s">
        <v>234</v>
      </c>
      <c r="H582" s="20" t="s">
        <v>61</v>
      </c>
      <c r="I582" s="20" t="s">
        <v>62</v>
      </c>
      <c r="J582" s="20" t="s">
        <v>63</v>
      </c>
      <c r="K582" s="20" t="s">
        <v>208</v>
      </c>
      <c r="L582" s="20" t="n">
        <v>49209</v>
      </c>
      <c r="M582" s="20" t="s">
        <v>153</v>
      </c>
      <c r="N582" s="20" t="s">
        <v>1645</v>
      </c>
      <c r="O582" s="20" t="s">
        <v>76</v>
      </c>
      <c r="P582" s="20" t="s">
        <v>236</v>
      </c>
      <c r="Q582" s="20" t="s">
        <v>1646</v>
      </c>
      <c r="R582" s="22" t="n">
        <v>40.86</v>
      </c>
      <c r="S582" s="20" t="n">
        <v>3</v>
      </c>
      <c r="T582" s="20" t="n">
        <v>0.7</v>
      </c>
      <c r="U582" s="22" t="n">
        <v>-2.24</v>
      </c>
      <c r="V582" s="23" t="n">
        <f aca="false">IF(ISNUMBER(C582),YEAR(C582),"")</f>
        <v>2017</v>
      </c>
      <c r="W582" s="23" t="n">
        <f aca="false">IF(ISNUMBER(C582),MONTH(C582),"")</f>
        <v>2</v>
      </c>
      <c r="X582" s="23" t="str">
        <f aca="false">IF(T582="","",IF(T582=0,"No discount",IF(T582&lt;=0.2,"Low (1-20%)",IF(T582&lt;=0.4,"Medium (21-40%)","High (&gt;40%)"))))</f>
        <v>High (&gt;40%)</v>
      </c>
      <c r="Y582" s="23" t="n">
        <f aca="false">IF(AND(ISNUMBER(C582),ISNUMBER(D582)),D582-C582,"")</f>
        <v>6</v>
      </c>
      <c r="Z582" s="23" t="n">
        <f aca="false">IF(B582="","",IF(MATCH(B582,$B$2:$B$12000,0)=ROW()-1,1,0))</f>
        <v>1</v>
      </c>
    </row>
    <row r="583" customFormat="false" ht="15" hidden="false" customHeight="false" outlineLevel="0" collapsed="false">
      <c r="A583" s="20" t="n">
        <v>582</v>
      </c>
      <c r="B583" s="20" t="s">
        <v>1644</v>
      </c>
      <c r="C583" s="21" t="n">
        <v>42777</v>
      </c>
      <c r="D583" s="21" t="n">
        <v>42783</v>
      </c>
      <c r="E583" s="20" t="s">
        <v>90</v>
      </c>
      <c r="F583" s="20" t="s">
        <v>233</v>
      </c>
      <c r="G583" s="20" t="s">
        <v>234</v>
      </c>
      <c r="H583" s="20" t="s">
        <v>61</v>
      </c>
      <c r="I583" s="20" t="s">
        <v>62</v>
      </c>
      <c r="J583" s="20" t="s">
        <v>63</v>
      </c>
      <c r="K583" s="20" t="s">
        <v>208</v>
      </c>
      <c r="L583" s="20" t="n">
        <v>38986</v>
      </c>
      <c r="M583" s="20" t="s">
        <v>153</v>
      </c>
      <c r="N583" s="20" t="s">
        <v>1647</v>
      </c>
      <c r="O583" s="20" t="s">
        <v>114</v>
      </c>
      <c r="P583" s="20" t="s">
        <v>167</v>
      </c>
      <c r="Q583" s="20" t="s">
        <v>304</v>
      </c>
      <c r="R583" s="22" t="n">
        <v>4011.87</v>
      </c>
      <c r="S583" s="20" t="n">
        <v>8</v>
      </c>
      <c r="T583" s="20" t="n">
        <v>0</v>
      </c>
      <c r="U583" s="22" t="n">
        <v>-600.79</v>
      </c>
      <c r="V583" s="23" t="n">
        <f aca="false">IF(ISNUMBER(C583),YEAR(C583),"")</f>
        <v>2017</v>
      </c>
      <c r="W583" s="23" t="n">
        <f aca="false">IF(ISNUMBER(C583),MONTH(C583),"")</f>
        <v>2</v>
      </c>
      <c r="X583" s="23" t="str">
        <f aca="false">IF(T583="","",IF(T583=0,"No discount",IF(T583&lt;=0.2,"Low (1-20%)",IF(T583&lt;=0.4,"Medium (21-40%)","High (&gt;40%)"))))</f>
        <v>No discount</v>
      </c>
      <c r="Y583" s="23" t="n">
        <f aca="false">IF(AND(ISNUMBER(C583),ISNUMBER(D583)),D583-C583,"")</f>
        <v>6</v>
      </c>
      <c r="Z583" s="23" t="n">
        <f aca="false">IF(B583="","",IF(MATCH(B583,$B$2:$B$12000,0)=ROW()-1,1,0))</f>
        <v>0</v>
      </c>
    </row>
    <row r="584" customFormat="false" ht="15" hidden="false" customHeight="false" outlineLevel="0" collapsed="false">
      <c r="A584" s="20" t="n">
        <v>583</v>
      </c>
      <c r="B584" s="20" t="s">
        <v>1648</v>
      </c>
      <c r="C584" s="21" t="n">
        <v>42783</v>
      </c>
      <c r="D584" s="21" t="n">
        <v>42787</v>
      </c>
      <c r="E584" s="20" t="s">
        <v>71</v>
      </c>
      <c r="F584" s="20" t="s">
        <v>463</v>
      </c>
      <c r="G584" s="20" t="s">
        <v>464</v>
      </c>
      <c r="H584" s="20" t="s">
        <v>162</v>
      </c>
      <c r="I584" s="20" t="s">
        <v>62</v>
      </c>
      <c r="J584" s="20" t="s">
        <v>63</v>
      </c>
      <c r="K584" s="20" t="s">
        <v>1073</v>
      </c>
      <c r="L584" s="20" t="n">
        <v>68596</v>
      </c>
      <c r="M584" s="20" t="s">
        <v>97</v>
      </c>
      <c r="N584" s="20" t="s">
        <v>1649</v>
      </c>
      <c r="O584" s="20" t="s">
        <v>76</v>
      </c>
      <c r="P584" s="20" t="s">
        <v>185</v>
      </c>
      <c r="Q584" s="20" t="s">
        <v>1650</v>
      </c>
      <c r="R584" s="22" t="n">
        <v>117.33</v>
      </c>
      <c r="S584" s="20" t="n">
        <v>7</v>
      </c>
      <c r="T584" s="20" t="n">
        <v>0.1</v>
      </c>
      <c r="U584" s="22" t="n">
        <v>34.09</v>
      </c>
      <c r="V584" s="23" t="n">
        <f aca="false">IF(ISNUMBER(C584),YEAR(C584),"")</f>
        <v>2017</v>
      </c>
      <c r="W584" s="23" t="n">
        <f aca="false">IF(ISNUMBER(C584),MONTH(C584),"")</f>
        <v>2</v>
      </c>
      <c r="X584" s="23" t="str">
        <f aca="false">IF(T584="","",IF(T584=0,"No discount",IF(T584&lt;=0.2,"Low (1-20%)",IF(T584&lt;=0.4,"Medium (21-40%)","High (&gt;40%)"))))</f>
        <v>Low (1-20%)</v>
      </c>
      <c r="Y584" s="23" t="n">
        <f aca="false">IF(AND(ISNUMBER(C584),ISNUMBER(D584)),D584-C584,"")</f>
        <v>4</v>
      </c>
      <c r="Z584" s="23" t="n">
        <f aca="false">IF(B584="","",IF(MATCH(B584,$B$2:$B$12000,0)=ROW()-1,1,0))</f>
        <v>1</v>
      </c>
    </row>
    <row r="585" customFormat="false" ht="15" hidden="false" customHeight="false" outlineLevel="0" collapsed="false">
      <c r="A585" s="20" t="n">
        <v>584</v>
      </c>
      <c r="B585" s="20" t="s">
        <v>1651</v>
      </c>
      <c r="C585" s="21" t="n">
        <v>42787</v>
      </c>
      <c r="D585" s="21" t="n">
        <v>42793</v>
      </c>
      <c r="E585" s="20" t="s">
        <v>90</v>
      </c>
      <c r="F585" s="20" t="s">
        <v>131</v>
      </c>
      <c r="G585" s="20" t="s">
        <v>132</v>
      </c>
      <c r="H585" s="20" t="s">
        <v>85</v>
      </c>
      <c r="I585" s="20" t="s">
        <v>62</v>
      </c>
      <c r="J585" s="20" t="s">
        <v>63</v>
      </c>
      <c r="K585" s="20" t="s">
        <v>183</v>
      </c>
      <c r="L585" s="20" t="n">
        <v>19824</v>
      </c>
      <c r="M585" s="20" t="s">
        <v>112</v>
      </c>
      <c r="N585" s="20" t="s">
        <v>1652</v>
      </c>
      <c r="O585" s="20" t="s">
        <v>76</v>
      </c>
      <c r="P585" s="20" t="s">
        <v>178</v>
      </c>
      <c r="Q585" s="20" t="s">
        <v>219</v>
      </c>
      <c r="R585" s="22" t="n">
        <v>134.97</v>
      </c>
      <c r="S585" s="20" t="n">
        <v>5</v>
      </c>
      <c r="T585" s="20" t="n">
        <v>0.1</v>
      </c>
      <c r="U585" s="22" t="n">
        <v>-15.97</v>
      </c>
      <c r="V585" s="23" t="n">
        <f aca="false">IF(ISNUMBER(C585),YEAR(C585),"")</f>
        <v>2017</v>
      </c>
      <c r="W585" s="23" t="n">
        <f aca="false">IF(ISNUMBER(C585),MONTH(C585),"")</f>
        <v>2</v>
      </c>
      <c r="X585" s="23" t="str">
        <f aca="false">IF(T585="","",IF(T585=0,"No discount",IF(T585&lt;=0.2,"Low (1-20%)",IF(T585&lt;=0.4,"Medium (21-40%)","High (&gt;40%)"))))</f>
        <v>Low (1-20%)</v>
      </c>
      <c r="Y585" s="23" t="n">
        <f aca="false">IF(AND(ISNUMBER(C585),ISNUMBER(D585)),D585-C585,"")</f>
        <v>6</v>
      </c>
      <c r="Z585" s="23" t="n">
        <f aca="false">IF(B585="","",IF(MATCH(B585,$B$2:$B$12000,0)=ROW()-1,1,0))</f>
        <v>1</v>
      </c>
    </row>
    <row r="586" customFormat="false" ht="15" hidden="false" customHeight="false" outlineLevel="0" collapsed="false">
      <c r="A586" s="20" t="n">
        <v>585</v>
      </c>
      <c r="B586" s="20" t="s">
        <v>1651</v>
      </c>
      <c r="C586" s="21" t="n">
        <v>42787</v>
      </c>
      <c r="D586" s="21" t="n">
        <v>42793</v>
      </c>
      <c r="E586" s="20" t="s">
        <v>90</v>
      </c>
      <c r="F586" s="20" t="s">
        <v>131</v>
      </c>
      <c r="G586" s="20" t="s">
        <v>132</v>
      </c>
      <c r="H586" s="20" t="s">
        <v>85</v>
      </c>
      <c r="I586" s="20" t="s">
        <v>62</v>
      </c>
      <c r="J586" s="20" t="s">
        <v>63</v>
      </c>
      <c r="K586" s="20" t="s">
        <v>183</v>
      </c>
      <c r="L586" s="20" t="n">
        <v>12412</v>
      </c>
      <c r="M586" s="20" t="s">
        <v>112</v>
      </c>
      <c r="N586" s="20" t="s">
        <v>1653</v>
      </c>
      <c r="O586" s="20" t="s">
        <v>76</v>
      </c>
      <c r="P586" s="20" t="s">
        <v>101</v>
      </c>
      <c r="Q586" s="20" t="s">
        <v>474</v>
      </c>
      <c r="R586" s="22" t="n">
        <v>67.08</v>
      </c>
      <c r="S586" s="20" t="n">
        <v>8</v>
      </c>
      <c r="T586" s="20" t="n">
        <v>0.4</v>
      </c>
      <c r="U586" s="22" t="n">
        <v>8.28</v>
      </c>
      <c r="V586" s="23" t="n">
        <f aca="false">IF(ISNUMBER(C586),YEAR(C586),"")</f>
        <v>2017</v>
      </c>
      <c r="W586" s="23" t="n">
        <f aca="false">IF(ISNUMBER(C586),MONTH(C586),"")</f>
        <v>2</v>
      </c>
      <c r="X586" s="23" t="str">
        <f aca="false">IF(T586="","",IF(T586=0,"No discount",IF(T586&lt;=0.2,"Low (1-20%)",IF(T586&lt;=0.4,"Medium (21-40%)","High (&gt;40%)"))))</f>
        <v>Medium (21-40%)</v>
      </c>
      <c r="Y586" s="23" t="n">
        <f aca="false">IF(AND(ISNUMBER(C586),ISNUMBER(D586)),D586-C586,"")</f>
        <v>6</v>
      </c>
      <c r="Z586" s="23" t="n">
        <f aca="false">IF(B586="","",IF(MATCH(B586,$B$2:$B$12000,0)=ROW()-1,1,0))</f>
        <v>0</v>
      </c>
    </row>
    <row r="587" customFormat="false" ht="15" hidden="false" customHeight="false" outlineLevel="0" collapsed="false">
      <c r="A587" s="20" t="n">
        <v>586</v>
      </c>
      <c r="B587" s="20" t="s">
        <v>1654</v>
      </c>
      <c r="C587" s="21" t="n">
        <v>42790</v>
      </c>
      <c r="D587" s="21" t="n">
        <v>42793</v>
      </c>
      <c r="E587" s="20" t="s">
        <v>71</v>
      </c>
      <c r="F587" s="20" t="s">
        <v>258</v>
      </c>
      <c r="G587" s="20" t="s">
        <v>259</v>
      </c>
      <c r="H587" s="20" t="s">
        <v>85</v>
      </c>
      <c r="I587" s="20" t="s">
        <v>62</v>
      </c>
      <c r="J587" s="20" t="s">
        <v>63</v>
      </c>
      <c r="K587" s="20" t="s">
        <v>487</v>
      </c>
      <c r="L587" s="20" t="n">
        <v>29548</v>
      </c>
      <c r="M587" s="20" t="s">
        <v>65</v>
      </c>
      <c r="N587" s="20" t="s">
        <v>1655</v>
      </c>
      <c r="O587" s="20" t="s">
        <v>76</v>
      </c>
      <c r="P587" s="20" t="s">
        <v>101</v>
      </c>
      <c r="Q587" s="20" t="s">
        <v>1313</v>
      </c>
      <c r="R587" s="22" t="n">
        <v>126.31</v>
      </c>
      <c r="S587" s="20" t="n">
        <v>7</v>
      </c>
      <c r="T587" s="20" t="n">
        <v>0.3</v>
      </c>
      <c r="U587" s="22" t="n">
        <v>35.24</v>
      </c>
      <c r="V587" s="23" t="n">
        <f aca="false">IF(ISNUMBER(C587),YEAR(C587),"")</f>
        <v>2017</v>
      </c>
      <c r="W587" s="23" t="n">
        <f aca="false">IF(ISNUMBER(C587),MONTH(C587),"")</f>
        <v>2</v>
      </c>
      <c r="X587" s="23" t="str">
        <f aca="false">IF(T587="","",IF(T587=0,"No discount",IF(T587&lt;=0.2,"Low (1-20%)",IF(T587&lt;=0.4,"Medium (21-40%)","High (&gt;40%)"))))</f>
        <v>Medium (21-40%)</v>
      </c>
      <c r="Y587" s="23" t="n">
        <f aca="false">IF(AND(ISNUMBER(C587),ISNUMBER(D587)),D587-C587,"")</f>
        <v>3</v>
      </c>
      <c r="Z587" s="23" t="n">
        <f aca="false">IF(B587="","",IF(MATCH(B587,$B$2:$B$12000,0)=ROW()-1,1,0))</f>
        <v>1</v>
      </c>
    </row>
    <row r="588" customFormat="false" ht="15" hidden="false" customHeight="false" outlineLevel="0" collapsed="false">
      <c r="A588" s="20" t="n">
        <v>587</v>
      </c>
      <c r="B588" s="20" t="s">
        <v>1656</v>
      </c>
      <c r="C588" s="21" t="n">
        <v>42795</v>
      </c>
      <c r="D588" s="21" t="n">
        <v>42797</v>
      </c>
      <c r="E588" s="20" t="s">
        <v>58</v>
      </c>
      <c r="F588" s="20" t="s">
        <v>732</v>
      </c>
      <c r="G588" s="20" t="s">
        <v>733</v>
      </c>
      <c r="H588" s="20" t="s">
        <v>85</v>
      </c>
      <c r="I588" s="20" t="s">
        <v>62</v>
      </c>
      <c r="J588" s="20" t="s">
        <v>63</v>
      </c>
      <c r="K588" s="20" t="s">
        <v>208</v>
      </c>
      <c r="L588" s="20" t="n">
        <v>53831</v>
      </c>
      <c r="M588" s="20" t="s">
        <v>153</v>
      </c>
      <c r="N588" s="20" t="s">
        <v>1657</v>
      </c>
      <c r="O588" s="20" t="s">
        <v>76</v>
      </c>
      <c r="P588" s="20" t="s">
        <v>236</v>
      </c>
      <c r="Q588" s="20" t="s">
        <v>1658</v>
      </c>
      <c r="R588" s="22" t="n">
        <v>56.91</v>
      </c>
      <c r="S588" s="20" t="n">
        <v>3</v>
      </c>
      <c r="T588" s="20" t="n">
        <v>0.5</v>
      </c>
      <c r="U588" s="22" t="n">
        <v>-1.96</v>
      </c>
      <c r="V588" s="23" t="n">
        <f aca="false">IF(ISNUMBER(C588),YEAR(C588),"")</f>
        <v>2017</v>
      </c>
      <c r="W588" s="23" t="n">
        <f aca="false">IF(ISNUMBER(C588),MONTH(C588),"")</f>
        <v>3</v>
      </c>
      <c r="X588" s="23" t="str">
        <f aca="false">IF(T588="","",IF(T588=0,"No discount",IF(T588&lt;=0.2,"Low (1-20%)",IF(T588&lt;=0.4,"Medium (21-40%)","High (&gt;40%)"))))</f>
        <v>High (&gt;40%)</v>
      </c>
      <c r="Y588" s="23" t="n">
        <f aca="false">IF(AND(ISNUMBER(C588),ISNUMBER(D588)),D588-C588,"")</f>
        <v>2</v>
      </c>
      <c r="Z588" s="23" t="n">
        <f aca="false">IF(B588="","",IF(MATCH(B588,$B$2:$B$12000,0)=ROW()-1,1,0))</f>
        <v>1</v>
      </c>
    </row>
    <row r="589" customFormat="false" ht="15" hidden="false" customHeight="false" outlineLevel="0" collapsed="false">
      <c r="A589" s="20" t="n">
        <v>588</v>
      </c>
      <c r="B589" s="20" t="s">
        <v>1656</v>
      </c>
      <c r="C589" s="21" t="n">
        <v>42795</v>
      </c>
      <c r="D589" s="21" t="n">
        <v>42797</v>
      </c>
      <c r="E589" s="20" t="s">
        <v>90</v>
      </c>
      <c r="F589" s="20" t="s">
        <v>732</v>
      </c>
      <c r="G589" s="20" t="s">
        <v>733</v>
      </c>
      <c r="H589" s="20" t="s">
        <v>85</v>
      </c>
      <c r="I589" s="20" t="s">
        <v>62</v>
      </c>
      <c r="J589" s="20" t="s">
        <v>63</v>
      </c>
      <c r="K589" s="20" t="s">
        <v>208</v>
      </c>
      <c r="L589" s="20" t="n">
        <v>47176</v>
      </c>
      <c r="M589" s="20" t="s">
        <v>153</v>
      </c>
      <c r="N589" s="20" t="s">
        <v>1659</v>
      </c>
      <c r="O589" s="20" t="s">
        <v>67</v>
      </c>
      <c r="P589" s="20" t="s">
        <v>157</v>
      </c>
      <c r="Q589" s="20" t="s">
        <v>1660</v>
      </c>
      <c r="R589" s="22" t="n">
        <v>439.84</v>
      </c>
      <c r="S589" s="20" t="n">
        <v>5</v>
      </c>
      <c r="T589" s="20" t="n">
        <v>0.2</v>
      </c>
      <c r="U589" s="22" t="n">
        <v>31.31</v>
      </c>
      <c r="V589" s="23" t="n">
        <f aca="false">IF(ISNUMBER(C589),YEAR(C589),"")</f>
        <v>2017</v>
      </c>
      <c r="W589" s="23" t="n">
        <f aca="false">IF(ISNUMBER(C589),MONTH(C589),"")</f>
        <v>3</v>
      </c>
      <c r="X589" s="23" t="str">
        <f aca="false">IF(T589="","",IF(T589=0,"No discount",IF(T589&lt;=0.2,"Low (1-20%)",IF(T589&lt;=0.4,"Medium (21-40%)","High (&gt;40%)"))))</f>
        <v>Low (1-20%)</v>
      </c>
      <c r="Y589" s="23" t="n">
        <f aca="false">IF(AND(ISNUMBER(C589),ISNUMBER(D589)),D589-C589,"")</f>
        <v>2</v>
      </c>
      <c r="Z589" s="23" t="n">
        <f aca="false">IF(B589="","",IF(MATCH(B589,$B$2:$B$12000,0)=ROW()-1,1,0))</f>
        <v>0</v>
      </c>
    </row>
    <row r="590" customFormat="false" ht="15" hidden="false" customHeight="false" outlineLevel="0" collapsed="false">
      <c r="A590" s="20" t="n">
        <v>589</v>
      </c>
      <c r="B590" s="20" t="s">
        <v>1656</v>
      </c>
      <c r="C590" s="21" t="n">
        <v>42795</v>
      </c>
      <c r="D590" s="21" t="n">
        <v>42797</v>
      </c>
      <c r="E590" s="20" t="s">
        <v>71</v>
      </c>
      <c r="F590" s="20" t="s">
        <v>732</v>
      </c>
      <c r="G590" s="20" t="s">
        <v>733</v>
      </c>
      <c r="H590" s="20" t="s">
        <v>85</v>
      </c>
      <c r="I590" s="20" t="s">
        <v>62</v>
      </c>
      <c r="J590" s="20" t="s">
        <v>63</v>
      </c>
      <c r="K590" s="20" t="s">
        <v>208</v>
      </c>
      <c r="L590" s="20" t="n">
        <v>37575</v>
      </c>
      <c r="M590" s="20" t="s">
        <v>153</v>
      </c>
      <c r="N590" s="20" t="s">
        <v>1661</v>
      </c>
      <c r="O590" s="20" t="s">
        <v>76</v>
      </c>
      <c r="P590" s="20" t="s">
        <v>185</v>
      </c>
      <c r="Q590" s="20" t="s">
        <v>1662</v>
      </c>
      <c r="R590" s="22" t="n">
        <v>54.64</v>
      </c>
      <c r="S590" s="20" t="n">
        <v>4</v>
      </c>
      <c r="T590" s="20" t="n">
        <v>0</v>
      </c>
      <c r="U590" s="22" t="n">
        <v>18.36</v>
      </c>
      <c r="V590" s="23" t="n">
        <f aca="false">IF(ISNUMBER(C590),YEAR(C590),"")</f>
        <v>2017</v>
      </c>
      <c r="W590" s="23" t="n">
        <f aca="false">IF(ISNUMBER(C590),MONTH(C590),"")</f>
        <v>3</v>
      </c>
      <c r="X590" s="23" t="str">
        <f aca="false">IF(T590="","",IF(T590=0,"No discount",IF(T590&lt;=0.2,"Low (1-20%)",IF(T590&lt;=0.4,"Medium (21-40%)","High (&gt;40%)"))))</f>
        <v>No discount</v>
      </c>
      <c r="Y590" s="23" t="n">
        <f aca="false">IF(AND(ISNUMBER(C590),ISNUMBER(D590)),D590-C590,"")</f>
        <v>2</v>
      </c>
      <c r="Z590" s="23" t="n">
        <f aca="false">IF(B590="","",IF(MATCH(B590,$B$2:$B$12000,0)=ROW()-1,1,0))</f>
        <v>0</v>
      </c>
    </row>
    <row r="591" customFormat="false" ht="15" hidden="false" customHeight="false" outlineLevel="0" collapsed="false">
      <c r="A591" s="20" t="n">
        <v>590</v>
      </c>
      <c r="B591" s="20" t="s">
        <v>1656</v>
      </c>
      <c r="C591" s="21" t="n">
        <v>42795</v>
      </c>
      <c r="D591" s="21" t="n">
        <v>42797</v>
      </c>
      <c r="E591" s="20" t="s">
        <v>71</v>
      </c>
      <c r="F591" s="20" t="s">
        <v>732</v>
      </c>
      <c r="G591" s="20" t="s">
        <v>733</v>
      </c>
      <c r="H591" s="20" t="s">
        <v>85</v>
      </c>
      <c r="I591" s="20" t="s">
        <v>62</v>
      </c>
      <c r="J591" s="20" t="s">
        <v>63</v>
      </c>
      <c r="K591" s="20" t="s">
        <v>208</v>
      </c>
      <c r="L591" s="20" t="n">
        <v>56793</v>
      </c>
      <c r="M591" s="20" t="s">
        <v>153</v>
      </c>
      <c r="N591" s="20" t="s">
        <v>1663</v>
      </c>
      <c r="O591" s="20" t="s">
        <v>67</v>
      </c>
      <c r="P591" s="20" t="s">
        <v>164</v>
      </c>
      <c r="Q591" s="20" t="s">
        <v>1664</v>
      </c>
      <c r="R591" s="22" t="n">
        <v>2391.83</v>
      </c>
      <c r="S591" s="20" t="n">
        <v>2</v>
      </c>
      <c r="T591" s="20" t="n">
        <v>0</v>
      </c>
      <c r="U591" s="22" t="n">
        <v>296.93</v>
      </c>
      <c r="V591" s="23" t="n">
        <f aca="false">IF(ISNUMBER(C591),YEAR(C591),"")</f>
        <v>2017</v>
      </c>
      <c r="W591" s="23" t="n">
        <f aca="false">IF(ISNUMBER(C591),MONTH(C591),"")</f>
        <v>3</v>
      </c>
      <c r="X591" s="23" t="str">
        <f aca="false">IF(T591="","",IF(T591=0,"No discount",IF(T591&lt;=0.2,"Low (1-20%)",IF(T591&lt;=0.4,"Medium (21-40%)","High (&gt;40%)"))))</f>
        <v>No discount</v>
      </c>
      <c r="Y591" s="23" t="n">
        <f aca="false">IF(AND(ISNUMBER(C591),ISNUMBER(D591)),D591-C591,"")</f>
        <v>2</v>
      </c>
      <c r="Z591" s="23" t="n">
        <f aca="false">IF(B591="","",IF(MATCH(B591,$B$2:$B$12000,0)=ROW()-1,1,0))</f>
        <v>0</v>
      </c>
    </row>
    <row r="592" customFormat="false" ht="15" hidden="false" customHeight="false" outlineLevel="0" collapsed="false">
      <c r="A592" s="20" t="n">
        <v>591</v>
      </c>
      <c r="B592" s="20" t="s">
        <v>1665</v>
      </c>
      <c r="C592" s="21" t="n">
        <v>42796</v>
      </c>
      <c r="D592" s="21" t="n">
        <v>42800</v>
      </c>
      <c r="E592" s="20" t="s">
        <v>90</v>
      </c>
      <c r="F592" s="20" t="s">
        <v>352</v>
      </c>
      <c r="G592" s="20" t="s">
        <v>353</v>
      </c>
      <c r="H592" s="20" t="s">
        <v>85</v>
      </c>
      <c r="I592" s="20" t="s">
        <v>62</v>
      </c>
      <c r="J592" s="20" t="s">
        <v>63</v>
      </c>
      <c r="K592" s="20" t="s">
        <v>1257</v>
      </c>
      <c r="L592" s="20" t="n">
        <v>88925</v>
      </c>
      <c r="M592" s="20" t="s">
        <v>97</v>
      </c>
      <c r="N592" s="20" t="s">
        <v>1666</v>
      </c>
      <c r="O592" s="20" t="s">
        <v>76</v>
      </c>
      <c r="P592" s="20" t="s">
        <v>80</v>
      </c>
      <c r="Q592" s="20" t="s">
        <v>710</v>
      </c>
      <c r="R592" s="22" t="n">
        <v>77.85</v>
      </c>
      <c r="S592" s="20" t="n">
        <v>8</v>
      </c>
      <c r="T592" s="20" t="n">
        <v>0</v>
      </c>
      <c r="U592" s="22" t="n">
        <v>27.43</v>
      </c>
      <c r="V592" s="23" t="n">
        <f aca="false">IF(ISNUMBER(C592),YEAR(C592),"")</f>
        <v>2017</v>
      </c>
      <c r="W592" s="23" t="n">
        <f aca="false">IF(ISNUMBER(C592),MONTH(C592),"")</f>
        <v>3</v>
      </c>
      <c r="X592" s="23" t="str">
        <f aca="false">IF(T592="","",IF(T592=0,"No discount",IF(T592&lt;=0.2,"Low (1-20%)",IF(T592&lt;=0.4,"Medium (21-40%)","High (&gt;40%)"))))</f>
        <v>No discount</v>
      </c>
      <c r="Y592" s="23" t="n">
        <f aca="false">IF(AND(ISNUMBER(C592),ISNUMBER(D592)),D592-C592,"")</f>
        <v>4</v>
      </c>
      <c r="Z592" s="23" t="n">
        <f aca="false">IF(B592="","",IF(MATCH(B592,$B$2:$B$12000,0)=ROW()-1,1,0))</f>
        <v>1</v>
      </c>
    </row>
    <row r="593" customFormat="false" ht="15" hidden="false" customHeight="false" outlineLevel="0" collapsed="false">
      <c r="A593" s="20" t="n">
        <v>592</v>
      </c>
      <c r="B593" s="20" t="s">
        <v>1665</v>
      </c>
      <c r="C593" s="21" t="n">
        <v>42796</v>
      </c>
      <c r="D593" s="21" t="n">
        <v>42800</v>
      </c>
      <c r="E593" s="20" t="s">
        <v>58</v>
      </c>
      <c r="F593" s="20" t="s">
        <v>352</v>
      </c>
      <c r="G593" s="20" t="s">
        <v>353</v>
      </c>
      <c r="H593" s="20" t="s">
        <v>85</v>
      </c>
      <c r="I593" s="20" t="s">
        <v>62</v>
      </c>
      <c r="J593" s="20" t="s">
        <v>63</v>
      </c>
      <c r="K593" s="20" t="s">
        <v>1257</v>
      </c>
      <c r="L593" s="20" t="n">
        <v>76711</v>
      </c>
      <c r="M593" s="20" t="s">
        <v>97</v>
      </c>
      <c r="N593" s="20" t="s">
        <v>1667</v>
      </c>
      <c r="O593" s="20" t="s">
        <v>76</v>
      </c>
      <c r="P593" s="20" t="s">
        <v>128</v>
      </c>
      <c r="Q593" s="20" t="s">
        <v>1668</v>
      </c>
      <c r="R593" s="22" t="n">
        <v>128.32</v>
      </c>
      <c r="S593" s="20" t="n">
        <v>1</v>
      </c>
      <c r="T593" s="20" t="n">
        <v>0</v>
      </c>
      <c r="U593" s="22" t="n">
        <v>24.05</v>
      </c>
      <c r="V593" s="23" t="n">
        <f aca="false">IF(ISNUMBER(C593),YEAR(C593),"")</f>
        <v>2017</v>
      </c>
      <c r="W593" s="23" t="n">
        <f aca="false">IF(ISNUMBER(C593),MONTH(C593),"")</f>
        <v>3</v>
      </c>
      <c r="X593" s="23" t="str">
        <f aca="false">IF(T593="","",IF(T593=0,"No discount",IF(T593&lt;=0.2,"Low (1-20%)",IF(T593&lt;=0.4,"Medium (21-40%)","High (&gt;40%)"))))</f>
        <v>No discount</v>
      </c>
      <c r="Y593" s="23" t="n">
        <f aca="false">IF(AND(ISNUMBER(C593),ISNUMBER(D593)),D593-C593,"")</f>
        <v>4</v>
      </c>
      <c r="Z593" s="23" t="n">
        <f aca="false">IF(B593="","",IF(MATCH(B593,$B$2:$B$12000,0)=ROW()-1,1,0))</f>
        <v>0</v>
      </c>
    </row>
    <row r="594" customFormat="false" ht="15" hidden="false" customHeight="false" outlineLevel="0" collapsed="false">
      <c r="A594" s="20" t="n">
        <v>593</v>
      </c>
      <c r="B594" s="20" t="s">
        <v>1669</v>
      </c>
      <c r="C594" s="21" t="n">
        <v>42801</v>
      </c>
      <c r="D594" s="21" t="n">
        <v>42808</v>
      </c>
      <c r="E594" s="20" t="s">
        <v>90</v>
      </c>
      <c r="F594" s="20" t="s">
        <v>258</v>
      </c>
      <c r="G594" s="20" t="s">
        <v>259</v>
      </c>
      <c r="H594" s="20" t="s">
        <v>85</v>
      </c>
      <c r="I594" s="20" t="s">
        <v>62</v>
      </c>
      <c r="J594" s="20" t="s">
        <v>63</v>
      </c>
      <c r="K594" s="20" t="s">
        <v>64</v>
      </c>
      <c r="L594" s="20" t="n">
        <v>27522</v>
      </c>
      <c r="M594" s="20" t="s">
        <v>65</v>
      </c>
      <c r="N594" s="20" t="s">
        <v>1670</v>
      </c>
      <c r="O594" s="20" t="s">
        <v>114</v>
      </c>
      <c r="P594" s="20" t="s">
        <v>115</v>
      </c>
      <c r="Q594" s="20" t="s">
        <v>1671</v>
      </c>
      <c r="R594" s="22" t="n">
        <v>218.66</v>
      </c>
      <c r="S594" s="20" t="n">
        <v>4</v>
      </c>
      <c r="T594" s="20" t="n">
        <v>0.7</v>
      </c>
      <c r="U594" s="22" t="n">
        <v>-84.38</v>
      </c>
      <c r="V594" s="23" t="n">
        <f aca="false">IF(ISNUMBER(C594),YEAR(C594),"")</f>
        <v>2017</v>
      </c>
      <c r="W594" s="23" t="n">
        <f aca="false">IF(ISNUMBER(C594),MONTH(C594),"")</f>
        <v>3</v>
      </c>
      <c r="X594" s="23" t="str">
        <f aca="false">IF(T594="","",IF(T594=0,"No discount",IF(T594&lt;=0.2,"Low (1-20%)",IF(T594&lt;=0.4,"Medium (21-40%)","High (&gt;40%)"))))</f>
        <v>High (&gt;40%)</v>
      </c>
      <c r="Y594" s="23" t="n">
        <f aca="false">IF(AND(ISNUMBER(C594),ISNUMBER(D594)),D594-C594,"")</f>
        <v>7</v>
      </c>
      <c r="Z594" s="23" t="n">
        <f aca="false">IF(B594="","",IF(MATCH(B594,$B$2:$B$12000,0)=ROW()-1,1,0))</f>
        <v>1</v>
      </c>
    </row>
    <row r="595" customFormat="false" ht="15" hidden="false" customHeight="false" outlineLevel="0" collapsed="false">
      <c r="A595" s="20" t="n">
        <v>594</v>
      </c>
      <c r="B595" s="20" t="s">
        <v>1669</v>
      </c>
      <c r="C595" s="21" t="n">
        <v>42801</v>
      </c>
      <c r="D595" s="21" t="n">
        <v>42808</v>
      </c>
      <c r="E595" s="20" t="s">
        <v>71</v>
      </c>
      <c r="F595" s="20" t="s">
        <v>258</v>
      </c>
      <c r="G595" s="20" t="s">
        <v>259</v>
      </c>
      <c r="H595" s="20" t="s">
        <v>85</v>
      </c>
      <c r="I595" s="20" t="s">
        <v>62</v>
      </c>
      <c r="J595" s="20" t="s">
        <v>63</v>
      </c>
      <c r="K595" s="20" t="s">
        <v>64</v>
      </c>
      <c r="L595" s="20" t="n">
        <v>51601</v>
      </c>
      <c r="M595" s="20" t="s">
        <v>65</v>
      </c>
      <c r="N595" s="20" t="s">
        <v>1672</v>
      </c>
      <c r="O595" s="20" t="s">
        <v>114</v>
      </c>
      <c r="P595" s="20" t="s">
        <v>210</v>
      </c>
      <c r="Q595" s="20" t="s">
        <v>1673</v>
      </c>
      <c r="R595" s="22" t="n">
        <v>457.63</v>
      </c>
      <c r="S595" s="20" t="n">
        <v>5</v>
      </c>
      <c r="T595" s="20" t="n">
        <v>0.1</v>
      </c>
      <c r="U595" s="22" t="n">
        <v>38.88</v>
      </c>
      <c r="V595" s="23" t="n">
        <f aca="false">IF(ISNUMBER(C595),YEAR(C595),"")</f>
        <v>2017</v>
      </c>
      <c r="W595" s="23" t="n">
        <f aca="false">IF(ISNUMBER(C595),MONTH(C595),"")</f>
        <v>3</v>
      </c>
      <c r="X595" s="23" t="str">
        <f aca="false">IF(T595="","",IF(T595=0,"No discount",IF(T595&lt;=0.2,"Low (1-20%)",IF(T595&lt;=0.4,"Medium (21-40%)","High (&gt;40%)"))))</f>
        <v>Low (1-20%)</v>
      </c>
      <c r="Y595" s="23" t="n">
        <f aca="false">IF(AND(ISNUMBER(C595),ISNUMBER(D595)),D595-C595,"")</f>
        <v>7</v>
      </c>
      <c r="Z595" s="23" t="n">
        <f aca="false">IF(B595="","",IF(MATCH(B595,$B$2:$B$12000,0)=ROW()-1,1,0))</f>
        <v>0</v>
      </c>
    </row>
    <row r="596" customFormat="false" ht="15" hidden="false" customHeight="false" outlineLevel="0" collapsed="false">
      <c r="A596" s="20" t="n">
        <v>595</v>
      </c>
      <c r="B596" s="20" t="s">
        <v>1674</v>
      </c>
      <c r="C596" s="21" t="n">
        <v>42802</v>
      </c>
      <c r="D596" s="21" t="n">
        <v>42805</v>
      </c>
      <c r="E596" s="20" t="s">
        <v>90</v>
      </c>
      <c r="F596" s="20" t="s">
        <v>582</v>
      </c>
      <c r="G596" s="20" t="s">
        <v>583</v>
      </c>
      <c r="H596" s="20" t="s">
        <v>61</v>
      </c>
      <c r="I596" s="20" t="s">
        <v>62</v>
      </c>
      <c r="J596" s="20" t="s">
        <v>63</v>
      </c>
      <c r="K596" s="20" t="s">
        <v>360</v>
      </c>
      <c r="L596" s="20" t="n">
        <v>31890</v>
      </c>
      <c r="M596" s="20" t="s">
        <v>112</v>
      </c>
      <c r="N596" s="20" t="s">
        <v>1675</v>
      </c>
      <c r="O596" s="20" t="s">
        <v>76</v>
      </c>
      <c r="P596" s="20" t="s">
        <v>185</v>
      </c>
      <c r="Q596" s="20" t="s">
        <v>1676</v>
      </c>
      <c r="R596" s="22" t="n">
        <v>16.85</v>
      </c>
      <c r="S596" s="20" t="n">
        <v>2</v>
      </c>
      <c r="T596" s="20" t="n">
        <v>0</v>
      </c>
      <c r="U596" s="22" t="n">
        <v>5.64</v>
      </c>
      <c r="V596" s="23" t="n">
        <f aca="false">IF(ISNUMBER(C596),YEAR(C596),"")</f>
        <v>2017</v>
      </c>
      <c r="W596" s="23" t="n">
        <f aca="false">IF(ISNUMBER(C596),MONTH(C596),"")</f>
        <v>3</v>
      </c>
      <c r="X596" s="23" t="str">
        <f aca="false">IF(T596="","",IF(T596=0,"No discount",IF(T596&lt;=0.2,"Low (1-20%)",IF(T596&lt;=0.4,"Medium (21-40%)","High (&gt;40%)"))))</f>
        <v>No discount</v>
      </c>
      <c r="Y596" s="23" t="n">
        <f aca="false">IF(AND(ISNUMBER(C596),ISNUMBER(D596)),D596-C596,"")</f>
        <v>3</v>
      </c>
      <c r="Z596" s="23" t="n">
        <f aca="false">IF(B596="","",IF(MATCH(B596,$B$2:$B$12000,0)=ROW()-1,1,0))</f>
        <v>1</v>
      </c>
    </row>
    <row r="597" customFormat="false" ht="15" hidden="false" customHeight="false" outlineLevel="0" collapsed="false">
      <c r="A597" s="20" t="n">
        <v>596</v>
      </c>
      <c r="B597" s="20" t="s">
        <v>1677</v>
      </c>
      <c r="C597" s="21" t="n">
        <v>42806</v>
      </c>
      <c r="D597" s="21" t="n">
        <v>42811</v>
      </c>
      <c r="E597" s="20" t="s">
        <v>90</v>
      </c>
      <c r="F597" s="20" t="s">
        <v>630</v>
      </c>
      <c r="G597" s="20" t="s">
        <v>631</v>
      </c>
      <c r="H597" s="20" t="s">
        <v>85</v>
      </c>
      <c r="I597" s="20" t="s">
        <v>62</v>
      </c>
      <c r="J597" s="20" t="s">
        <v>63</v>
      </c>
      <c r="K597" s="20" t="s">
        <v>796</v>
      </c>
      <c r="L597" s="20" t="n">
        <v>11536</v>
      </c>
      <c r="M597" s="20" t="s">
        <v>153</v>
      </c>
      <c r="N597" s="20" t="s">
        <v>1678</v>
      </c>
      <c r="O597" s="20" t="s">
        <v>76</v>
      </c>
      <c r="P597" s="20" t="s">
        <v>80</v>
      </c>
      <c r="Q597" s="20" t="s">
        <v>850</v>
      </c>
      <c r="R597" s="22" t="n">
        <v>94.65</v>
      </c>
      <c r="S597" s="20" t="n">
        <v>3</v>
      </c>
      <c r="T597" s="20" t="n">
        <v>0</v>
      </c>
      <c r="U597" s="22" t="n">
        <v>27.85</v>
      </c>
      <c r="V597" s="23" t="n">
        <f aca="false">IF(ISNUMBER(C597),YEAR(C597),"")</f>
        <v>2017</v>
      </c>
      <c r="W597" s="23" t="n">
        <f aca="false">IF(ISNUMBER(C597),MONTH(C597),"")</f>
        <v>3</v>
      </c>
      <c r="X597" s="23" t="str">
        <f aca="false">IF(T597="","",IF(T597=0,"No discount",IF(T597&lt;=0.2,"Low (1-20%)",IF(T597&lt;=0.4,"Medium (21-40%)","High (&gt;40%)"))))</f>
        <v>No discount</v>
      </c>
      <c r="Y597" s="23" t="n">
        <f aca="false">IF(AND(ISNUMBER(C597),ISNUMBER(D597)),D597-C597,"")</f>
        <v>5</v>
      </c>
      <c r="Z597" s="23" t="n">
        <f aca="false">IF(B597="","",IF(MATCH(B597,$B$2:$B$12000,0)=ROW()-1,1,0))</f>
        <v>1</v>
      </c>
    </row>
    <row r="598" customFormat="false" ht="15" hidden="false" customHeight="false" outlineLevel="0" collapsed="false">
      <c r="A598" s="20" t="n">
        <v>597</v>
      </c>
      <c r="B598" s="20" t="s">
        <v>1677</v>
      </c>
      <c r="C598" s="21" t="n">
        <v>42806</v>
      </c>
      <c r="D598" s="21" t="n">
        <v>42811</v>
      </c>
      <c r="E598" s="20" t="s">
        <v>71</v>
      </c>
      <c r="F598" s="20" t="s">
        <v>630</v>
      </c>
      <c r="G598" s="20" t="s">
        <v>631</v>
      </c>
      <c r="H598" s="20" t="s">
        <v>85</v>
      </c>
      <c r="I598" s="20" t="s">
        <v>62</v>
      </c>
      <c r="J598" s="20" t="s">
        <v>63</v>
      </c>
      <c r="K598" s="20" t="s">
        <v>796</v>
      </c>
      <c r="L598" s="20" t="n">
        <v>52403</v>
      </c>
      <c r="M598" s="20" t="s">
        <v>153</v>
      </c>
      <c r="N598" s="20" t="s">
        <v>1679</v>
      </c>
      <c r="O598" s="20" t="s">
        <v>114</v>
      </c>
      <c r="P598" s="20" t="s">
        <v>139</v>
      </c>
      <c r="Q598" s="20" t="s">
        <v>1680</v>
      </c>
      <c r="R598" s="22" t="n">
        <v>1753.54</v>
      </c>
      <c r="S598" s="20" t="n">
        <v>7</v>
      </c>
      <c r="T598" s="20" t="n">
        <v>0</v>
      </c>
      <c r="U598" s="22" t="n">
        <v>80.31</v>
      </c>
      <c r="V598" s="23" t="n">
        <f aca="false">IF(ISNUMBER(C598),YEAR(C598),"")</f>
        <v>2017</v>
      </c>
      <c r="W598" s="23" t="n">
        <f aca="false">IF(ISNUMBER(C598),MONTH(C598),"")</f>
        <v>3</v>
      </c>
      <c r="X598" s="23" t="str">
        <f aca="false">IF(T598="","",IF(T598=0,"No discount",IF(T598&lt;=0.2,"Low (1-20%)",IF(T598&lt;=0.4,"Medium (21-40%)","High (&gt;40%)"))))</f>
        <v>No discount</v>
      </c>
      <c r="Y598" s="23" t="n">
        <f aca="false">IF(AND(ISNUMBER(C598),ISNUMBER(D598)),D598-C598,"")</f>
        <v>5</v>
      </c>
      <c r="Z598" s="23" t="n">
        <f aca="false">IF(B598="","",IF(MATCH(B598,$B$2:$B$12000,0)=ROW()-1,1,0))</f>
        <v>0</v>
      </c>
    </row>
    <row r="599" customFormat="false" ht="15" hidden="false" customHeight="false" outlineLevel="0" collapsed="false">
      <c r="A599" s="20" t="n">
        <v>598</v>
      </c>
      <c r="B599" s="20" t="s">
        <v>1677</v>
      </c>
      <c r="C599" s="21" t="n">
        <v>42806</v>
      </c>
      <c r="D599" s="21" t="n">
        <v>42811</v>
      </c>
      <c r="E599" s="20" t="s">
        <v>71</v>
      </c>
      <c r="F599" s="20" t="s">
        <v>630</v>
      </c>
      <c r="G599" s="20" t="s">
        <v>631</v>
      </c>
      <c r="H599" s="20" t="s">
        <v>85</v>
      </c>
      <c r="I599" s="20" t="s">
        <v>62</v>
      </c>
      <c r="J599" s="20" t="s">
        <v>63</v>
      </c>
      <c r="K599" s="20" t="s">
        <v>796</v>
      </c>
      <c r="L599" s="20" t="n">
        <v>77611</v>
      </c>
      <c r="M599" s="20" t="s">
        <v>153</v>
      </c>
      <c r="N599" s="20" t="s">
        <v>1681</v>
      </c>
      <c r="O599" s="20" t="s">
        <v>114</v>
      </c>
      <c r="P599" s="20" t="s">
        <v>167</v>
      </c>
      <c r="Q599" s="20" t="s">
        <v>1682</v>
      </c>
      <c r="R599" s="22" t="n">
        <v>4210.37</v>
      </c>
      <c r="S599" s="20" t="n">
        <v>6</v>
      </c>
      <c r="T599" s="20" t="n">
        <v>0</v>
      </c>
      <c r="U599" s="22" t="n">
        <v>-442.13</v>
      </c>
      <c r="V599" s="23" t="n">
        <f aca="false">IF(ISNUMBER(C599),YEAR(C599),"")</f>
        <v>2017</v>
      </c>
      <c r="W599" s="23" t="n">
        <f aca="false">IF(ISNUMBER(C599),MONTH(C599),"")</f>
        <v>3</v>
      </c>
      <c r="X599" s="23" t="str">
        <f aca="false">IF(T599="","",IF(T599=0,"No discount",IF(T599&lt;=0.2,"Low (1-20%)",IF(T599&lt;=0.4,"Medium (21-40%)","High (&gt;40%)"))))</f>
        <v>No discount</v>
      </c>
      <c r="Y599" s="23" t="n">
        <f aca="false">IF(AND(ISNUMBER(C599),ISNUMBER(D599)),D599-C599,"")</f>
        <v>5</v>
      </c>
      <c r="Z599" s="23" t="n">
        <f aca="false">IF(B599="","",IF(MATCH(B599,$B$2:$B$12000,0)=ROW()-1,1,0))</f>
        <v>0</v>
      </c>
    </row>
    <row r="600" customFormat="false" ht="15" hidden="false" customHeight="false" outlineLevel="0" collapsed="false">
      <c r="A600" s="20" t="n">
        <v>599</v>
      </c>
      <c r="B600" s="20" t="s">
        <v>1677</v>
      </c>
      <c r="C600" s="21" t="n">
        <v>42806</v>
      </c>
      <c r="D600" s="21" t="n">
        <v>42811</v>
      </c>
      <c r="E600" s="20" t="s">
        <v>90</v>
      </c>
      <c r="F600" s="20" t="s">
        <v>630</v>
      </c>
      <c r="G600" s="20" t="s">
        <v>631</v>
      </c>
      <c r="H600" s="20" t="s">
        <v>85</v>
      </c>
      <c r="I600" s="20" t="s">
        <v>62</v>
      </c>
      <c r="J600" s="20" t="s">
        <v>63</v>
      </c>
      <c r="K600" s="20" t="s">
        <v>796</v>
      </c>
      <c r="L600" s="20" t="n">
        <v>23910</v>
      </c>
      <c r="M600" s="20" t="s">
        <v>153</v>
      </c>
      <c r="N600" s="20" t="s">
        <v>1683</v>
      </c>
      <c r="O600" s="20" t="s">
        <v>76</v>
      </c>
      <c r="P600" s="20" t="s">
        <v>128</v>
      </c>
      <c r="Q600" s="20" t="s">
        <v>1684</v>
      </c>
      <c r="R600" s="22" t="n">
        <v>266.99</v>
      </c>
      <c r="S600" s="20" t="n">
        <v>8</v>
      </c>
      <c r="T600" s="20" t="n">
        <v>0.2</v>
      </c>
      <c r="U600" s="22" t="n">
        <v>-7.99</v>
      </c>
      <c r="V600" s="23" t="n">
        <f aca="false">IF(ISNUMBER(C600),YEAR(C600),"")</f>
        <v>2017</v>
      </c>
      <c r="W600" s="23" t="n">
        <f aca="false">IF(ISNUMBER(C600),MONTH(C600),"")</f>
        <v>3</v>
      </c>
      <c r="X600" s="23" t="str">
        <f aca="false">IF(T600="","",IF(T600=0,"No discount",IF(T600&lt;=0.2,"Low (1-20%)",IF(T600&lt;=0.4,"Medium (21-40%)","High (&gt;40%)"))))</f>
        <v>Low (1-20%)</v>
      </c>
      <c r="Y600" s="23" t="n">
        <f aca="false">IF(AND(ISNUMBER(C600),ISNUMBER(D600)),D600-C600,"")</f>
        <v>5</v>
      </c>
      <c r="Z600" s="23" t="n">
        <f aca="false">IF(B600="","",IF(MATCH(B600,$B$2:$B$12000,0)=ROW()-1,1,0))</f>
        <v>0</v>
      </c>
    </row>
    <row r="601" customFormat="false" ht="15" hidden="false" customHeight="false" outlineLevel="0" collapsed="false">
      <c r="A601" s="20" t="n">
        <v>600</v>
      </c>
      <c r="B601" s="20" t="s">
        <v>1685</v>
      </c>
      <c r="C601" s="21" t="n">
        <v>42806</v>
      </c>
      <c r="D601" s="21" t="n">
        <v>42811</v>
      </c>
      <c r="E601" s="20" t="s">
        <v>90</v>
      </c>
      <c r="F601" s="20" t="s">
        <v>223</v>
      </c>
      <c r="G601" s="20" t="s">
        <v>224</v>
      </c>
      <c r="H601" s="20" t="s">
        <v>61</v>
      </c>
      <c r="I601" s="20" t="s">
        <v>62</v>
      </c>
      <c r="J601" s="20" t="s">
        <v>63</v>
      </c>
      <c r="K601" s="20" t="s">
        <v>86</v>
      </c>
      <c r="L601" s="20" t="n">
        <v>41894</v>
      </c>
      <c r="M601" s="20" t="s">
        <v>65</v>
      </c>
      <c r="N601" s="20" t="s">
        <v>1686</v>
      </c>
      <c r="O601" s="20" t="s">
        <v>76</v>
      </c>
      <c r="P601" s="20" t="s">
        <v>88</v>
      </c>
      <c r="Q601" s="20" t="s">
        <v>1687</v>
      </c>
      <c r="R601" s="22" t="n">
        <v>424.63</v>
      </c>
      <c r="S601" s="20" t="n">
        <v>6</v>
      </c>
      <c r="T601" s="20" t="n">
        <v>0.2</v>
      </c>
      <c r="U601" s="22" t="n">
        <v>20.69</v>
      </c>
      <c r="V601" s="23" t="n">
        <f aca="false">IF(ISNUMBER(C601),YEAR(C601),"")</f>
        <v>2017</v>
      </c>
      <c r="W601" s="23" t="n">
        <f aca="false">IF(ISNUMBER(C601),MONTH(C601),"")</f>
        <v>3</v>
      </c>
      <c r="X601" s="23" t="str">
        <f aca="false">IF(T601="","",IF(T601=0,"No discount",IF(T601&lt;=0.2,"Low (1-20%)",IF(T601&lt;=0.4,"Medium (21-40%)","High (&gt;40%)"))))</f>
        <v>Low (1-20%)</v>
      </c>
      <c r="Y601" s="23" t="n">
        <f aca="false">IF(AND(ISNUMBER(C601),ISNUMBER(D601)),D601-C601,"")</f>
        <v>5</v>
      </c>
      <c r="Z601" s="23" t="n">
        <f aca="false">IF(B601="","",IF(MATCH(B601,$B$2:$B$12000,0)=ROW()-1,1,0))</f>
        <v>1</v>
      </c>
    </row>
    <row r="602" customFormat="false" ht="15" hidden="false" customHeight="false" outlineLevel="0" collapsed="false">
      <c r="A602" s="20" t="n">
        <v>601</v>
      </c>
      <c r="B602" s="20" t="s">
        <v>1688</v>
      </c>
      <c r="C602" s="21" t="n">
        <v>42810</v>
      </c>
      <c r="D602" s="21" t="n">
        <v>42816</v>
      </c>
      <c r="E602" s="20" t="s">
        <v>58</v>
      </c>
      <c r="F602" s="20" t="s">
        <v>1445</v>
      </c>
      <c r="G602" s="20" t="s">
        <v>1446</v>
      </c>
      <c r="H602" s="20" t="s">
        <v>162</v>
      </c>
      <c r="I602" s="20" t="s">
        <v>62</v>
      </c>
      <c r="J602" s="20" t="s">
        <v>63</v>
      </c>
      <c r="K602" s="20" t="s">
        <v>385</v>
      </c>
      <c r="L602" s="20" t="n">
        <v>24595</v>
      </c>
      <c r="M602" s="20" t="s">
        <v>153</v>
      </c>
      <c r="N602" s="20" t="s">
        <v>1689</v>
      </c>
      <c r="O602" s="20" t="s">
        <v>114</v>
      </c>
      <c r="P602" s="20" t="s">
        <v>115</v>
      </c>
      <c r="Q602" s="20" t="s">
        <v>1690</v>
      </c>
      <c r="R602" s="22" t="n">
        <v>146.38</v>
      </c>
      <c r="S602" s="20" t="n">
        <v>1</v>
      </c>
      <c r="T602" s="20" t="n">
        <v>0</v>
      </c>
      <c r="U602" s="22" t="n">
        <v>18.95</v>
      </c>
      <c r="V602" s="23" t="n">
        <f aca="false">IF(ISNUMBER(C602),YEAR(C602),"")</f>
        <v>2017</v>
      </c>
      <c r="W602" s="23" t="n">
        <f aca="false">IF(ISNUMBER(C602),MONTH(C602),"")</f>
        <v>3</v>
      </c>
      <c r="X602" s="23" t="str">
        <f aca="false">IF(T602="","",IF(T602=0,"No discount",IF(T602&lt;=0.2,"Low (1-20%)",IF(T602&lt;=0.4,"Medium (21-40%)","High (&gt;40%)"))))</f>
        <v>No discount</v>
      </c>
      <c r="Y602" s="23" t="n">
        <f aca="false">IF(AND(ISNUMBER(C602),ISNUMBER(D602)),D602-C602,"")</f>
        <v>6</v>
      </c>
      <c r="Z602" s="23" t="n">
        <f aca="false">IF(B602="","",IF(MATCH(B602,$B$2:$B$12000,0)=ROW()-1,1,0))</f>
        <v>1</v>
      </c>
    </row>
    <row r="603" customFormat="false" ht="15" hidden="false" customHeight="false" outlineLevel="0" collapsed="false">
      <c r="A603" s="20" t="n">
        <v>602</v>
      </c>
      <c r="B603" s="20" t="s">
        <v>1688</v>
      </c>
      <c r="C603" s="21" t="n">
        <v>42810</v>
      </c>
      <c r="D603" s="21" t="n">
        <v>42816</v>
      </c>
      <c r="E603" s="20" t="s">
        <v>90</v>
      </c>
      <c r="F603" s="20" t="s">
        <v>1445</v>
      </c>
      <c r="G603" s="20" t="s">
        <v>1446</v>
      </c>
      <c r="H603" s="20" t="s">
        <v>162</v>
      </c>
      <c r="I603" s="20" t="s">
        <v>62</v>
      </c>
      <c r="J603" s="20" t="s">
        <v>63</v>
      </c>
      <c r="K603" s="20" t="s">
        <v>385</v>
      </c>
      <c r="L603" s="20" t="n">
        <v>76461</v>
      </c>
      <c r="M603" s="20" t="s">
        <v>153</v>
      </c>
      <c r="N603" s="20" t="s">
        <v>1691</v>
      </c>
      <c r="O603" s="20" t="s">
        <v>67</v>
      </c>
      <c r="P603" s="20" t="s">
        <v>157</v>
      </c>
      <c r="Q603" s="20" t="s">
        <v>420</v>
      </c>
      <c r="R603" s="22" t="n">
        <v>85.38</v>
      </c>
      <c r="S603" s="20" t="n">
        <v>3</v>
      </c>
      <c r="T603" s="20" t="n">
        <v>0.5</v>
      </c>
      <c r="U603" s="22" t="n">
        <v>0.71</v>
      </c>
      <c r="V603" s="23" t="n">
        <f aca="false">IF(ISNUMBER(C603),YEAR(C603),"")</f>
        <v>2017</v>
      </c>
      <c r="W603" s="23" t="n">
        <f aca="false">IF(ISNUMBER(C603),MONTH(C603),"")</f>
        <v>3</v>
      </c>
      <c r="X603" s="23" t="str">
        <f aca="false">IF(T603="","",IF(T603=0,"No discount",IF(T603&lt;=0.2,"Low (1-20%)",IF(T603&lt;=0.4,"Medium (21-40%)","High (&gt;40%)"))))</f>
        <v>High (&gt;40%)</v>
      </c>
      <c r="Y603" s="23" t="n">
        <f aca="false">IF(AND(ISNUMBER(C603),ISNUMBER(D603)),D603-C603,"")</f>
        <v>6</v>
      </c>
      <c r="Z603" s="23" t="n">
        <f aca="false">IF(B603="","",IF(MATCH(B603,$B$2:$B$12000,0)=ROW()-1,1,0))</f>
        <v>0</v>
      </c>
    </row>
    <row r="604" customFormat="false" ht="15" hidden="false" customHeight="false" outlineLevel="0" collapsed="false">
      <c r="A604" s="20" t="n">
        <v>603</v>
      </c>
      <c r="B604" s="20" t="s">
        <v>1688</v>
      </c>
      <c r="C604" s="21" t="n">
        <v>42810</v>
      </c>
      <c r="D604" s="21" t="n">
        <v>42816</v>
      </c>
      <c r="E604" s="20" t="s">
        <v>90</v>
      </c>
      <c r="F604" s="20" t="s">
        <v>1445</v>
      </c>
      <c r="G604" s="20" t="s">
        <v>1446</v>
      </c>
      <c r="H604" s="20" t="s">
        <v>162</v>
      </c>
      <c r="I604" s="20" t="s">
        <v>62</v>
      </c>
      <c r="J604" s="20" t="s">
        <v>63</v>
      </c>
      <c r="K604" s="20" t="s">
        <v>385</v>
      </c>
      <c r="L604" s="20" t="n">
        <v>81629</v>
      </c>
      <c r="M604" s="20" t="s">
        <v>153</v>
      </c>
      <c r="N604" s="20" t="s">
        <v>1692</v>
      </c>
      <c r="O604" s="20" t="s">
        <v>114</v>
      </c>
      <c r="P604" s="20" t="s">
        <v>115</v>
      </c>
      <c r="Q604" s="20" t="s">
        <v>1693</v>
      </c>
      <c r="R604" s="22" t="n">
        <v>116.79</v>
      </c>
      <c r="S604" s="20" t="n">
        <v>3</v>
      </c>
      <c r="T604" s="20" t="n">
        <v>0.7</v>
      </c>
      <c r="U604" s="22" t="n">
        <v>-37.66</v>
      </c>
      <c r="V604" s="23" t="n">
        <f aca="false">IF(ISNUMBER(C604),YEAR(C604),"")</f>
        <v>2017</v>
      </c>
      <c r="W604" s="23" t="n">
        <f aca="false">IF(ISNUMBER(C604),MONTH(C604),"")</f>
        <v>3</v>
      </c>
      <c r="X604" s="23" t="str">
        <f aca="false">IF(T604="","",IF(T604=0,"No discount",IF(T604&lt;=0.2,"Low (1-20%)",IF(T604&lt;=0.4,"Medium (21-40%)","High (&gt;40%)"))))</f>
        <v>High (&gt;40%)</v>
      </c>
      <c r="Y604" s="23" t="n">
        <f aca="false">IF(AND(ISNUMBER(C604),ISNUMBER(D604)),D604-C604,"")</f>
        <v>6</v>
      </c>
      <c r="Z604" s="23" t="n">
        <f aca="false">IF(B604="","",IF(MATCH(B604,$B$2:$B$12000,0)=ROW()-1,1,0))</f>
        <v>0</v>
      </c>
    </row>
    <row r="605" customFormat="false" ht="15" hidden="false" customHeight="false" outlineLevel="0" collapsed="false">
      <c r="A605" s="20" t="n">
        <v>604</v>
      </c>
      <c r="B605" s="20" t="s">
        <v>1694</v>
      </c>
      <c r="C605" s="21" t="n">
        <v>42815</v>
      </c>
      <c r="D605" s="21" t="n">
        <v>42820</v>
      </c>
      <c r="E605" s="20" t="s">
        <v>90</v>
      </c>
      <c r="F605" s="20" t="s">
        <v>352</v>
      </c>
      <c r="G605" s="20" t="s">
        <v>353</v>
      </c>
      <c r="H605" s="20" t="s">
        <v>85</v>
      </c>
      <c r="I605" s="20" t="s">
        <v>62</v>
      </c>
      <c r="J605" s="20" t="s">
        <v>63</v>
      </c>
      <c r="K605" s="20" t="s">
        <v>146</v>
      </c>
      <c r="L605" s="20" t="n">
        <v>70766</v>
      </c>
      <c r="M605" s="20" t="s">
        <v>65</v>
      </c>
      <c r="N605" s="20" t="s">
        <v>1695</v>
      </c>
      <c r="O605" s="20" t="s">
        <v>67</v>
      </c>
      <c r="P605" s="20" t="s">
        <v>157</v>
      </c>
      <c r="Q605" s="20" t="s">
        <v>1211</v>
      </c>
      <c r="R605" s="22" t="n">
        <v>787.55</v>
      </c>
      <c r="S605" s="20" t="n">
        <v>8</v>
      </c>
      <c r="T605" s="20" t="n">
        <v>0</v>
      </c>
      <c r="U605" s="22" t="n">
        <v>164.44</v>
      </c>
      <c r="V605" s="23" t="n">
        <f aca="false">IF(ISNUMBER(C605),YEAR(C605),"")</f>
        <v>2017</v>
      </c>
      <c r="W605" s="23" t="n">
        <f aca="false">IF(ISNUMBER(C605),MONTH(C605),"")</f>
        <v>3</v>
      </c>
      <c r="X605" s="23" t="str">
        <f aca="false">IF(T605="","",IF(T605=0,"No discount",IF(T605&lt;=0.2,"Low (1-20%)",IF(T605&lt;=0.4,"Medium (21-40%)","High (&gt;40%)"))))</f>
        <v>No discount</v>
      </c>
      <c r="Y605" s="23" t="n">
        <f aca="false">IF(AND(ISNUMBER(C605),ISNUMBER(D605)),D605-C605,"")</f>
        <v>5</v>
      </c>
      <c r="Z605" s="23" t="n">
        <f aca="false">IF(B605="","",IF(MATCH(B605,$B$2:$B$12000,0)=ROW()-1,1,0))</f>
        <v>1</v>
      </c>
    </row>
    <row r="606" customFormat="false" ht="15" hidden="false" customHeight="false" outlineLevel="0" collapsed="false">
      <c r="A606" s="20" t="n">
        <v>605</v>
      </c>
      <c r="B606" s="20" t="s">
        <v>1696</v>
      </c>
      <c r="C606" s="21" t="n">
        <v>42817</v>
      </c>
      <c r="D606" s="21" t="n">
        <v>42819</v>
      </c>
      <c r="E606" s="20" t="s">
        <v>104</v>
      </c>
      <c r="F606" s="20" t="s">
        <v>239</v>
      </c>
      <c r="G606" s="20" t="s">
        <v>240</v>
      </c>
      <c r="H606" s="20" t="s">
        <v>61</v>
      </c>
      <c r="I606" s="20" t="s">
        <v>62</v>
      </c>
      <c r="J606" s="20" t="s">
        <v>63</v>
      </c>
      <c r="K606" s="20" t="s">
        <v>1073</v>
      </c>
      <c r="L606" s="20" t="n">
        <v>79959</v>
      </c>
      <c r="M606" s="20" t="s">
        <v>97</v>
      </c>
      <c r="N606" s="20" t="s">
        <v>1697</v>
      </c>
      <c r="O606" s="20" t="s">
        <v>114</v>
      </c>
      <c r="P606" s="20" t="s">
        <v>210</v>
      </c>
      <c r="Q606" s="20" t="s">
        <v>401</v>
      </c>
      <c r="R606" s="22" t="n">
        <v>707.41</v>
      </c>
      <c r="S606" s="20" t="n">
        <v>8</v>
      </c>
      <c r="T606" s="20" t="n">
        <v>0</v>
      </c>
      <c r="U606" s="22" t="n">
        <v>147.88</v>
      </c>
      <c r="V606" s="23" t="n">
        <f aca="false">IF(ISNUMBER(C606),YEAR(C606),"")</f>
        <v>2017</v>
      </c>
      <c r="W606" s="23" t="n">
        <f aca="false">IF(ISNUMBER(C606),MONTH(C606),"")</f>
        <v>3</v>
      </c>
      <c r="X606" s="23" t="str">
        <f aca="false">IF(T606="","",IF(T606=0,"No discount",IF(T606&lt;=0.2,"Low (1-20%)",IF(T606&lt;=0.4,"Medium (21-40%)","High (&gt;40%)"))))</f>
        <v>No discount</v>
      </c>
      <c r="Y606" s="23" t="n">
        <f aca="false">IF(AND(ISNUMBER(C606),ISNUMBER(D606)),D606-C606,"")</f>
        <v>2</v>
      </c>
      <c r="Z606" s="23" t="n">
        <f aca="false">IF(B606="","",IF(MATCH(B606,$B$2:$B$12000,0)=ROW()-1,1,0))</f>
        <v>1</v>
      </c>
    </row>
    <row r="607" customFormat="false" ht="15" hidden="false" customHeight="false" outlineLevel="0" collapsed="false">
      <c r="A607" s="20" t="n">
        <v>606</v>
      </c>
      <c r="B607" s="20" t="s">
        <v>1696</v>
      </c>
      <c r="C607" s="21" t="n">
        <v>42817</v>
      </c>
      <c r="D607" s="21" t="n">
        <v>42819</v>
      </c>
      <c r="E607" s="20" t="s">
        <v>71</v>
      </c>
      <c r="F607" s="20" t="s">
        <v>239</v>
      </c>
      <c r="G607" s="20" t="s">
        <v>240</v>
      </c>
      <c r="H607" s="20" t="s">
        <v>61</v>
      </c>
      <c r="I607" s="20" t="s">
        <v>62</v>
      </c>
      <c r="J607" s="20" t="s">
        <v>63</v>
      </c>
      <c r="K607" s="20" t="s">
        <v>1073</v>
      </c>
      <c r="L607" s="20" t="n">
        <v>79800</v>
      </c>
      <c r="M607" s="20" t="s">
        <v>97</v>
      </c>
      <c r="N607" s="20" t="s">
        <v>1698</v>
      </c>
      <c r="O607" s="20" t="s">
        <v>67</v>
      </c>
      <c r="P607" s="20" t="s">
        <v>157</v>
      </c>
      <c r="Q607" s="20" t="s">
        <v>1699</v>
      </c>
      <c r="R607" s="22" t="n">
        <v>357.18</v>
      </c>
      <c r="S607" s="20" t="n">
        <v>5</v>
      </c>
      <c r="T607" s="20" t="n">
        <v>0</v>
      </c>
      <c r="U607" s="22" t="n">
        <v>91.99</v>
      </c>
      <c r="V607" s="23" t="n">
        <f aca="false">IF(ISNUMBER(C607),YEAR(C607),"")</f>
        <v>2017</v>
      </c>
      <c r="W607" s="23" t="n">
        <f aca="false">IF(ISNUMBER(C607),MONTH(C607),"")</f>
        <v>3</v>
      </c>
      <c r="X607" s="23" t="str">
        <f aca="false">IF(T607="","",IF(T607=0,"No discount",IF(T607&lt;=0.2,"Low (1-20%)",IF(T607&lt;=0.4,"Medium (21-40%)","High (&gt;40%)"))))</f>
        <v>No discount</v>
      </c>
      <c r="Y607" s="23" t="n">
        <f aca="false">IF(AND(ISNUMBER(C607),ISNUMBER(D607)),D607-C607,"")</f>
        <v>2</v>
      </c>
      <c r="Z607" s="23" t="n">
        <f aca="false">IF(B607="","",IF(MATCH(B607,$B$2:$B$12000,0)=ROW()-1,1,0))</f>
        <v>0</v>
      </c>
    </row>
    <row r="608" customFormat="false" ht="15" hidden="false" customHeight="false" outlineLevel="0" collapsed="false">
      <c r="A608" s="20" t="n">
        <v>607</v>
      </c>
      <c r="B608" s="20" t="s">
        <v>1700</v>
      </c>
      <c r="C608" s="21" t="n">
        <v>42820</v>
      </c>
      <c r="D608" s="21" t="n">
        <v>42822</v>
      </c>
      <c r="E608" s="20" t="s">
        <v>71</v>
      </c>
      <c r="F608" s="20" t="s">
        <v>604</v>
      </c>
      <c r="G608" s="20" t="s">
        <v>605</v>
      </c>
      <c r="H608" s="20" t="s">
        <v>85</v>
      </c>
      <c r="I608" s="20" t="s">
        <v>62</v>
      </c>
      <c r="J608" s="20" t="s">
        <v>63</v>
      </c>
      <c r="K608" s="20" t="s">
        <v>335</v>
      </c>
      <c r="L608" s="20" t="n">
        <v>86885</v>
      </c>
      <c r="M608" s="20" t="s">
        <v>65</v>
      </c>
      <c r="N608" s="20" t="s">
        <v>1701</v>
      </c>
      <c r="O608" s="20" t="s">
        <v>76</v>
      </c>
      <c r="P608" s="20" t="s">
        <v>185</v>
      </c>
      <c r="Q608" s="20" t="s">
        <v>1702</v>
      </c>
      <c r="R608" s="22" t="n">
        <v>61.68</v>
      </c>
      <c r="S608" s="20" t="n">
        <v>3</v>
      </c>
      <c r="T608" s="20" t="n">
        <v>0.1</v>
      </c>
      <c r="U608" s="22" t="n">
        <v>16.96</v>
      </c>
      <c r="V608" s="23" t="n">
        <f aca="false">IF(ISNUMBER(C608),YEAR(C608),"")</f>
        <v>2017</v>
      </c>
      <c r="W608" s="23" t="n">
        <f aca="false">IF(ISNUMBER(C608),MONTH(C608),"")</f>
        <v>3</v>
      </c>
      <c r="X608" s="23" t="str">
        <f aca="false">IF(T608="","",IF(T608=0,"No discount",IF(T608&lt;=0.2,"Low (1-20%)",IF(T608&lt;=0.4,"Medium (21-40%)","High (&gt;40%)"))))</f>
        <v>Low (1-20%)</v>
      </c>
      <c r="Y608" s="23" t="n">
        <f aca="false">IF(AND(ISNUMBER(C608),ISNUMBER(D608)),D608-C608,"")</f>
        <v>2</v>
      </c>
      <c r="Z608" s="23" t="n">
        <f aca="false">IF(B608="","",IF(MATCH(B608,$B$2:$B$12000,0)=ROW()-1,1,0))</f>
        <v>1</v>
      </c>
    </row>
    <row r="609" customFormat="false" ht="15" hidden="false" customHeight="false" outlineLevel="0" collapsed="false">
      <c r="A609" s="20" t="n">
        <v>608</v>
      </c>
      <c r="B609" s="20" t="s">
        <v>1700</v>
      </c>
      <c r="C609" s="21" t="n">
        <v>42820</v>
      </c>
      <c r="D609" s="21" t="n">
        <v>42822</v>
      </c>
      <c r="E609" s="20" t="s">
        <v>104</v>
      </c>
      <c r="F609" s="20" t="s">
        <v>604</v>
      </c>
      <c r="G609" s="20" t="s">
        <v>605</v>
      </c>
      <c r="H609" s="20" t="s">
        <v>85</v>
      </c>
      <c r="I609" s="20" t="s">
        <v>62</v>
      </c>
      <c r="J609" s="20" t="s">
        <v>63</v>
      </c>
      <c r="K609" s="20" t="s">
        <v>335</v>
      </c>
      <c r="L609" s="20" t="n">
        <v>30997</v>
      </c>
      <c r="M609" s="20" t="s">
        <v>65</v>
      </c>
      <c r="N609" s="20" t="s">
        <v>1703</v>
      </c>
      <c r="O609" s="20" t="s">
        <v>67</v>
      </c>
      <c r="P609" s="20" t="s">
        <v>164</v>
      </c>
      <c r="Q609" s="20" t="s">
        <v>1704</v>
      </c>
      <c r="R609" s="22" t="n">
        <v>2321.57</v>
      </c>
      <c r="S609" s="20" t="n">
        <v>6</v>
      </c>
      <c r="T609" s="20" t="n">
        <v>0.5</v>
      </c>
      <c r="U609" s="22" t="n">
        <v>-613.6</v>
      </c>
      <c r="V609" s="23" t="n">
        <f aca="false">IF(ISNUMBER(C609),YEAR(C609),"")</f>
        <v>2017</v>
      </c>
      <c r="W609" s="23" t="n">
        <f aca="false">IF(ISNUMBER(C609),MONTH(C609),"")</f>
        <v>3</v>
      </c>
      <c r="X609" s="23" t="str">
        <f aca="false">IF(T609="","",IF(T609=0,"No discount",IF(T609&lt;=0.2,"Low (1-20%)",IF(T609&lt;=0.4,"Medium (21-40%)","High (&gt;40%)"))))</f>
        <v>High (&gt;40%)</v>
      </c>
      <c r="Y609" s="23" t="n">
        <f aca="false">IF(AND(ISNUMBER(C609),ISNUMBER(D609)),D609-C609,"")</f>
        <v>2</v>
      </c>
      <c r="Z609" s="23" t="n">
        <f aca="false">IF(B609="","",IF(MATCH(B609,$B$2:$B$12000,0)=ROW()-1,1,0))</f>
        <v>0</v>
      </c>
    </row>
    <row r="610" customFormat="false" ht="15" hidden="false" customHeight="false" outlineLevel="0" collapsed="false">
      <c r="A610" s="20" t="n">
        <v>609</v>
      </c>
      <c r="B610" s="20" t="s">
        <v>1705</v>
      </c>
      <c r="C610" s="21" t="n">
        <v>42821</v>
      </c>
      <c r="D610" s="21" t="n">
        <v>42827</v>
      </c>
      <c r="E610" s="20" t="s">
        <v>90</v>
      </c>
      <c r="F610" s="20" t="s">
        <v>582</v>
      </c>
      <c r="G610" s="20" t="s">
        <v>583</v>
      </c>
      <c r="H610" s="20" t="s">
        <v>61</v>
      </c>
      <c r="I610" s="20" t="s">
        <v>62</v>
      </c>
      <c r="J610" s="20" t="s">
        <v>63</v>
      </c>
      <c r="K610" s="20" t="s">
        <v>1257</v>
      </c>
      <c r="L610" s="20" t="n">
        <v>73549</v>
      </c>
      <c r="M610" s="20" t="s">
        <v>97</v>
      </c>
      <c r="N610" s="20" t="s">
        <v>1706</v>
      </c>
      <c r="O610" s="20" t="s">
        <v>76</v>
      </c>
      <c r="P610" s="20" t="s">
        <v>77</v>
      </c>
      <c r="Q610" s="20" t="s">
        <v>1272</v>
      </c>
      <c r="R610" s="22" t="n">
        <v>66.77</v>
      </c>
      <c r="S610" s="20" t="n">
        <v>2</v>
      </c>
      <c r="T610" s="20" t="n">
        <v>0</v>
      </c>
      <c r="U610" s="22" t="n">
        <v>18.48</v>
      </c>
      <c r="V610" s="23" t="n">
        <f aca="false">IF(ISNUMBER(C610),YEAR(C610),"")</f>
        <v>2017</v>
      </c>
      <c r="W610" s="23" t="n">
        <f aca="false">IF(ISNUMBER(C610),MONTH(C610),"")</f>
        <v>3</v>
      </c>
      <c r="X610" s="23" t="str">
        <f aca="false">IF(T610="","",IF(T610=0,"No discount",IF(T610&lt;=0.2,"Low (1-20%)",IF(T610&lt;=0.4,"Medium (21-40%)","High (&gt;40%)"))))</f>
        <v>No discount</v>
      </c>
      <c r="Y610" s="23" t="n">
        <f aca="false">IF(AND(ISNUMBER(C610),ISNUMBER(D610)),D610-C610,"")</f>
        <v>6</v>
      </c>
      <c r="Z610" s="23" t="n">
        <f aca="false">IF(B610="","",IF(MATCH(B610,$B$2:$B$12000,0)=ROW()-1,1,0))</f>
        <v>1</v>
      </c>
    </row>
    <row r="611" customFormat="false" ht="15" hidden="false" customHeight="false" outlineLevel="0" collapsed="false">
      <c r="A611" s="20" t="n">
        <v>610</v>
      </c>
      <c r="B611" s="20" t="s">
        <v>1705</v>
      </c>
      <c r="C611" s="21" t="n">
        <v>42821</v>
      </c>
      <c r="D611" s="21" t="n">
        <v>42827</v>
      </c>
      <c r="E611" s="20" t="s">
        <v>90</v>
      </c>
      <c r="F611" s="20" t="s">
        <v>582</v>
      </c>
      <c r="G611" s="20" t="s">
        <v>583</v>
      </c>
      <c r="H611" s="20" t="s">
        <v>61</v>
      </c>
      <c r="I611" s="20" t="s">
        <v>62</v>
      </c>
      <c r="J611" s="20" t="s">
        <v>63</v>
      </c>
      <c r="K611" s="20" t="s">
        <v>1257</v>
      </c>
      <c r="L611" s="20" t="n">
        <v>61528</v>
      </c>
      <c r="M611" s="20" t="s">
        <v>97</v>
      </c>
      <c r="N611" s="20" t="s">
        <v>1707</v>
      </c>
      <c r="O611" s="20" t="s">
        <v>114</v>
      </c>
      <c r="P611" s="20" t="s">
        <v>210</v>
      </c>
      <c r="Q611" s="20" t="s">
        <v>1708</v>
      </c>
      <c r="R611" s="22" t="n">
        <v>305.36</v>
      </c>
      <c r="S611" s="20" t="n">
        <v>5</v>
      </c>
      <c r="T611" s="20" t="n">
        <v>0</v>
      </c>
      <c r="U611" s="22" t="n">
        <v>35.73</v>
      </c>
      <c r="V611" s="23" t="n">
        <f aca="false">IF(ISNUMBER(C611),YEAR(C611),"")</f>
        <v>2017</v>
      </c>
      <c r="W611" s="23" t="n">
        <f aca="false">IF(ISNUMBER(C611),MONTH(C611),"")</f>
        <v>3</v>
      </c>
      <c r="X611" s="23" t="str">
        <f aca="false">IF(T611="","",IF(T611=0,"No discount",IF(T611&lt;=0.2,"Low (1-20%)",IF(T611&lt;=0.4,"Medium (21-40%)","High (&gt;40%)"))))</f>
        <v>No discount</v>
      </c>
      <c r="Y611" s="23" t="n">
        <f aca="false">IF(AND(ISNUMBER(C611),ISNUMBER(D611)),D611-C611,"")</f>
        <v>6</v>
      </c>
      <c r="Z611" s="23" t="n">
        <f aca="false">IF(B611="","",IF(MATCH(B611,$B$2:$B$12000,0)=ROW()-1,1,0))</f>
        <v>0</v>
      </c>
    </row>
    <row r="612" customFormat="false" ht="15" hidden="false" customHeight="false" outlineLevel="0" collapsed="false">
      <c r="A612" s="20" t="n">
        <v>611</v>
      </c>
      <c r="B612" s="20" t="s">
        <v>1709</v>
      </c>
      <c r="C612" s="21" t="n">
        <v>42826</v>
      </c>
      <c r="D612" s="21" t="n">
        <v>42827</v>
      </c>
      <c r="E612" s="20" t="s">
        <v>71</v>
      </c>
      <c r="F612" s="20" t="s">
        <v>213</v>
      </c>
      <c r="G612" s="20" t="s">
        <v>214</v>
      </c>
      <c r="H612" s="20" t="s">
        <v>162</v>
      </c>
      <c r="I612" s="20" t="s">
        <v>62</v>
      </c>
      <c r="J612" s="20" t="s">
        <v>63</v>
      </c>
      <c r="K612" s="20" t="s">
        <v>569</v>
      </c>
      <c r="L612" s="20" t="n">
        <v>58950</v>
      </c>
      <c r="M612" s="20" t="s">
        <v>153</v>
      </c>
      <c r="N612" s="20" t="s">
        <v>1710</v>
      </c>
      <c r="O612" s="20" t="s">
        <v>76</v>
      </c>
      <c r="P612" s="20" t="s">
        <v>178</v>
      </c>
      <c r="Q612" s="20" t="s">
        <v>1711</v>
      </c>
      <c r="R612" s="22" t="n">
        <v>1191.38</v>
      </c>
      <c r="S612" s="20" t="n">
        <v>8</v>
      </c>
      <c r="T612" s="20" t="n">
        <v>0.2</v>
      </c>
      <c r="U612" s="22" t="n">
        <v>-140.98</v>
      </c>
      <c r="V612" s="23" t="n">
        <f aca="false">IF(ISNUMBER(C612),YEAR(C612),"")</f>
        <v>2017</v>
      </c>
      <c r="W612" s="23" t="n">
        <f aca="false">IF(ISNUMBER(C612),MONTH(C612),"")</f>
        <v>4</v>
      </c>
      <c r="X612" s="23" t="str">
        <f aca="false">IF(T612="","",IF(T612=0,"No discount",IF(T612&lt;=0.2,"Low (1-20%)",IF(T612&lt;=0.4,"Medium (21-40%)","High (&gt;40%)"))))</f>
        <v>Low (1-20%)</v>
      </c>
      <c r="Y612" s="23" t="n">
        <f aca="false">IF(AND(ISNUMBER(C612),ISNUMBER(D612)),D612-C612,"")</f>
        <v>1</v>
      </c>
      <c r="Z612" s="23" t="n">
        <f aca="false">IF(B612="","",IF(MATCH(B612,$B$2:$B$12000,0)=ROW()-1,1,0))</f>
        <v>1</v>
      </c>
    </row>
    <row r="613" customFormat="false" ht="15" hidden="false" customHeight="false" outlineLevel="0" collapsed="false">
      <c r="A613" s="20" t="n">
        <v>612</v>
      </c>
      <c r="B613" s="20" t="s">
        <v>1712</v>
      </c>
      <c r="C613" s="21" t="n">
        <v>42827</v>
      </c>
      <c r="D613" s="21" t="n">
        <v>42832</v>
      </c>
      <c r="E613" s="20" t="s">
        <v>71</v>
      </c>
      <c r="F613" s="20" t="s">
        <v>814</v>
      </c>
      <c r="G613" s="20" t="s">
        <v>815</v>
      </c>
      <c r="H613" s="20" t="s">
        <v>61</v>
      </c>
      <c r="I613" s="20" t="s">
        <v>62</v>
      </c>
      <c r="J613" s="20" t="s">
        <v>63</v>
      </c>
      <c r="K613" s="20" t="s">
        <v>508</v>
      </c>
      <c r="L613" s="20" t="n">
        <v>88892</v>
      </c>
      <c r="M613" s="20" t="s">
        <v>153</v>
      </c>
      <c r="N613" s="20" t="s">
        <v>1713</v>
      </c>
      <c r="O613" s="20" t="s">
        <v>76</v>
      </c>
      <c r="P613" s="20" t="s">
        <v>88</v>
      </c>
      <c r="Q613" s="20" t="s">
        <v>1714</v>
      </c>
      <c r="R613" s="22" t="n">
        <v>1345.64</v>
      </c>
      <c r="S613" s="20" t="n">
        <v>7</v>
      </c>
      <c r="T613" s="20" t="n">
        <v>0.3</v>
      </c>
      <c r="U613" s="22" t="n">
        <v>-69.04</v>
      </c>
      <c r="V613" s="23" t="n">
        <f aca="false">IF(ISNUMBER(C613),YEAR(C613),"")</f>
        <v>2017</v>
      </c>
      <c r="W613" s="23" t="n">
        <f aca="false">IF(ISNUMBER(C613),MONTH(C613),"")</f>
        <v>4</v>
      </c>
      <c r="X613" s="23" t="str">
        <f aca="false">IF(T613="","",IF(T613=0,"No discount",IF(T613&lt;=0.2,"Low (1-20%)",IF(T613&lt;=0.4,"Medium (21-40%)","High (&gt;40%)"))))</f>
        <v>Medium (21-40%)</v>
      </c>
      <c r="Y613" s="23" t="n">
        <f aca="false">IF(AND(ISNUMBER(C613),ISNUMBER(D613)),D613-C613,"")</f>
        <v>5</v>
      </c>
      <c r="Z613" s="23" t="n">
        <f aca="false">IF(B613="","",IF(MATCH(B613,$B$2:$B$12000,0)=ROW()-1,1,0))</f>
        <v>1</v>
      </c>
    </row>
    <row r="614" customFormat="false" ht="15" hidden="false" customHeight="false" outlineLevel="0" collapsed="false">
      <c r="A614" s="20" t="n">
        <v>613</v>
      </c>
      <c r="B614" s="20" t="s">
        <v>1712</v>
      </c>
      <c r="C614" s="21" t="n">
        <v>42827</v>
      </c>
      <c r="D614" s="21" t="n">
        <v>42832</v>
      </c>
      <c r="E614" s="20" t="s">
        <v>71</v>
      </c>
      <c r="F614" s="20" t="s">
        <v>814</v>
      </c>
      <c r="G614" s="20" t="s">
        <v>815</v>
      </c>
      <c r="H614" s="20" t="s">
        <v>61</v>
      </c>
      <c r="I614" s="20" t="s">
        <v>62</v>
      </c>
      <c r="J614" s="20" t="s">
        <v>63</v>
      </c>
      <c r="K614" s="20" t="s">
        <v>508</v>
      </c>
      <c r="L614" s="20" t="n">
        <v>45213</v>
      </c>
      <c r="M614" s="20" t="s">
        <v>153</v>
      </c>
      <c r="N614" s="20" t="s">
        <v>1715</v>
      </c>
      <c r="O614" s="20" t="s">
        <v>76</v>
      </c>
      <c r="P614" s="20" t="s">
        <v>77</v>
      </c>
      <c r="Q614" s="20" t="s">
        <v>1716</v>
      </c>
      <c r="R614" s="22" t="n">
        <v>131.6</v>
      </c>
      <c r="S614" s="20" t="n">
        <v>3</v>
      </c>
      <c r="T614" s="20" t="n">
        <v>0</v>
      </c>
      <c r="U614" s="22" t="n">
        <v>44.63</v>
      </c>
      <c r="V614" s="23" t="n">
        <f aca="false">IF(ISNUMBER(C614),YEAR(C614),"")</f>
        <v>2017</v>
      </c>
      <c r="W614" s="23" t="n">
        <f aca="false">IF(ISNUMBER(C614),MONTH(C614),"")</f>
        <v>4</v>
      </c>
      <c r="X614" s="23" t="str">
        <f aca="false">IF(T614="","",IF(T614=0,"No discount",IF(T614&lt;=0.2,"Low (1-20%)",IF(T614&lt;=0.4,"Medium (21-40%)","High (&gt;40%)"))))</f>
        <v>No discount</v>
      </c>
      <c r="Y614" s="23" t="n">
        <f aca="false">IF(AND(ISNUMBER(C614),ISNUMBER(D614)),D614-C614,"")</f>
        <v>5</v>
      </c>
      <c r="Z614" s="23" t="n">
        <f aca="false">IF(B614="","",IF(MATCH(B614,$B$2:$B$12000,0)=ROW()-1,1,0))</f>
        <v>0</v>
      </c>
    </row>
    <row r="615" customFormat="false" ht="15" hidden="false" customHeight="false" outlineLevel="0" collapsed="false">
      <c r="A615" s="20" t="n">
        <v>614</v>
      </c>
      <c r="B615" s="20" t="s">
        <v>1717</v>
      </c>
      <c r="C615" s="21" t="n">
        <v>42829</v>
      </c>
      <c r="D615" s="21" t="n">
        <v>42831</v>
      </c>
      <c r="E615" s="20" t="s">
        <v>90</v>
      </c>
      <c r="F615" s="20" t="s">
        <v>233</v>
      </c>
      <c r="G615" s="20" t="s">
        <v>234</v>
      </c>
      <c r="H615" s="20" t="s">
        <v>61</v>
      </c>
      <c r="I615" s="20" t="s">
        <v>62</v>
      </c>
      <c r="J615" s="20" t="s">
        <v>63</v>
      </c>
      <c r="K615" s="20" t="s">
        <v>393</v>
      </c>
      <c r="L615" s="20" t="n">
        <v>23785</v>
      </c>
      <c r="M615" s="20" t="s">
        <v>97</v>
      </c>
      <c r="N615" s="20" t="s">
        <v>1718</v>
      </c>
      <c r="O615" s="20" t="s">
        <v>114</v>
      </c>
      <c r="P615" s="20" t="s">
        <v>210</v>
      </c>
      <c r="Q615" s="20" t="s">
        <v>1719</v>
      </c>
      <c r="R615" s="22" t="n">
        <v>17</v>
      </c>
      <c r="S615" s="20" t="n">
        <v>1</v>
      </c>
      <c r="T615" s="20" t="n">
        <v>0</v>
      </c>
      <c r="U615" s="22" t="n">
        <v>1.78</v>
      </c>
      <c r="V615" s="23" t="n">
        <f aca="false">IF(ISNUMBER(C615),YEAR(C615),"")</f>
        <v>2017</v>
      </c>
      <c r="W615" s="23" t="n">
        <f aca="false">IF(ISNUMBER(C615),MONTH(C615),"")</f>
        <v>4</v>
      </c>
      <c r="X615" s="23" t="str">
        <f aca="false">IF(T615="","",IF(T615=0,"No discount",IF(T615&lt;=0.2,"Low (1-20%)",IF(T615&lt;=0.4,"Medium (21-40%)","High (&gt;40%)"))))</f>
        <v>No discount</v>
      </c>
      <c r="Y615" s="23" t="n">
        <f aca="false">IF(AND(ISNUMBER(C615),ISNUMBER(D615)),D615-C615,"")</f>
        <v>2</v>
      </c>
      <c r="Z615" s="23" t="n">
        <f aca="false">IF(B615="","",IF(MATCH(B615,$B$2:$B$12000,0)=ROW()-1,1,0))</f>
        <v>1</v>
      </c>
    </row>
    <row r="616" customFormat="false" ht="15" hidden="false" customHeight="false" outlineLevel="0" collapsed="false">
      <c r="A616" s="20" t="n">
        <v>615</v>
      </c>
      <c r="B616" s="20" t="s">
        <v>1720</v>
      </c>
      <c r="C616" s="21" t="n">
        <v>42832</v>
      </c>
      <c r="D616" s="21" t="n">
        <v>42834</v>
      </c>
      <c r="E616" s="20" t="s">
        <v>90</v>
      </c>
      <c r="F616" s="20" t="s">
        <v>604</v>
      </c>
      <c r="G616" s="20" t="s">
        <v>605</v>
      </c>
      <c r="H616" s="20" t="s">
        <v>85</v>
      </c>
      <c r="I616" s="20" t="s">
        <v>62</v>
      </c>
      <c r="J616" s="20" t="s">
        <v>63</v>
      </c>
      <c r="K616" s="20" t="s">
        <v>296</v>
      </c>
      <c r="L616" s="20" t="n">
        <v>57202</v>
      </c>
      <c r="M616" s="20" t="s">
        <v>153</v>
      </c>
      <c r="N616" s="20" t="s">
        <v>1721</v>
      </c>
      <c r="O616" s="20" t="s">
        <v>67</v>
      </c>
      <c r="P616" s="20" t="s">
        <v>157</v>
      </c>
      <c r="Q616" s="20" t="s">
        <v>1722</v>
      </c>
      <c r="R616" s="22" t="n">
        <v>777.36</v>
      </c>
      <c r="S616" s="20" t="n">
        <v>4</v>
      </c>
      <c r="T616" s="20" t="n">
        <v>0</v>
      </c>
      <c r="U616" s="22" t="n">
        <v>264.03</v>
      </c>
      <c r="V616" s="23" t="n">
        <f aca="false">IF(ISNUMBER(C616),YEAR(C616),"")</f>
        <v>2017</v>
      </c>
      <c r="W616" s="23" t="n">
        <f aca="false">IF(ISNUMBER(C616),MONTH(C616),"")</f>
        <v>4</v>
      </c>
      <c r="X616" s="23" t="str">
        <f aca="false">IF(T616="","",IF(T616=0,"No discount",IF(T616&lt;=0.2,"Low (1-20%)",IF(T616&lt;=0.4,"Medium (21-40%)","High (&gt;40%)"))))</f>
        <v>No discount</v>
      </c>
      <c r="Y616" s="23" t="n">
        <f aca="false">IF(AND(ISNUMBER(C616),ISNUMBER(D616)),D616-C616,"")</f>
        <v>2</v>
      </c>
      <c r="Z616" s="23" t="n">
        <f aca="false">IF(B616="","",IF(MATCH(B616,$B$2:$B$12000,0)=ROW()-1,1,0))</f>
        <v>1</v>
      </c>
    </row>
    <row r="617" customFormat="false" ht="15" hidden="false" customHeight="false" outlineLevel="0" collapsed="false">
      <c r="A617" s="20" t="n">
        <v>616</v>
      </c>
      <c r="B617" s="20" t="s">
        <v>1723</v>
      </c>
      <c r="C617" s="21" t="n">
        <v>42834</v>
      </c>
      <c r="D617" s="21" t="n">
        <v>42836</v>
      </c>
      <c r="E617" s="20" t="s">
        <v>104</v>
      </c>
      <c r="F617" s="20" t="s">
        <v>160</v>
      </c>
      <c r="G617" s="20" t="s">
        <v>161</v>
      </c>
      <c r="H617" s="20" t="s">
        <v>162</v>
      </c>
      <c r="I617" s="20" t="s">
        <v>62</v>
      </c>
      <c r="J617" s="20" t="s">
        <v>63</v>
      </c>
      <c r="K617" s="20" t="s">
        <v>215</v>
      </c>
      <c r="L617" s="20" t="n">
        <v>96805</v>
      </c>
      <c r="M617" s="20" t="s">
        <v>112</v>
      </c>
      <c r="N617" s="20" t="s">
        <v>1724</v>
      </c>
      <c r="O617" s="20" t="s">
        <v>76</v>
      </c>
      <c r="P617" s="20" t="s">
        <v>178</v>
      </c>
      <c r="Q617" s="20" t="s">
        <v>820</v>
      </c>
      <c r="R617" s="22" t="n">
        <v>236.64</v>
      </c>
      <c r="S617" s="20" t="n">
        <v>3</v>
      </c>
      <c r="T617" s="20" t="n">
        <v>0.3</v>
      </c>
      <c r="U617" s="22" t="n">
        <v>-31.69</v>
      </c>
      <c r="V617" s="23" t="n">
        <f aca="false">IF(ISNUMBER(C617),YEAR(C617),"")</f>
        <v>2017</v>
      </c>
      <c r="W617" s="23" t="n">
        <f aca="false">IF(ISNUMBER(C617),MONTH(C617),"")</f>
        <v>4</v>
      </c>
      <c r="X617" s="23" t="str">
        <f aca="false">IF(T617="","",IF(T617=0,"No discount",IF(T617&lt;=0.2,"Low (1-20%)",IF(T617&lt;=0.4,"Medium (21-40%)","High (&gt;40%)"))))</f>
        <v>Medium (21-40%)</v>
      </c>
      <c r="Y617" s="23" t="n">
        <f aca="false">IF(AND(ISNUMBER(C617),ISNUMBER(D617)),D617-C617,"")</f>
        <v>2</v>
      </c>
      <c r="Z617" s="23" t="n">
        <f aca="false">IF(B617="","",IF(MATCH(B617,$B$2:$B$12000,0)=ROW()-1,1,0))</f>
        <v>1</v>
      </c>
    </row>
    <row r="618" customFormat="false" ht="15" hidden="false" customHeight="false" outlineLevel="0" collapsed="false">
      <c r="A618" s="20" t="n">
        <v>617</v>
      </c>
      <c r="B618" s="20" t="s">
        <v>1723</v>
      </c>
      <c r="C618" s="21" t="n">
        <v>42834</v>
      </c>
      <c r="D618" s="21" t="n">
        <v>42836</v>
      </c>
      <c r="E618" s="20" t="s">
        <v>90</v>
      </c>
      <c r="F618" s="20" t="s">
        <v>160</v>
      </c>
      <c r="G618" s="20" t="s">
        <v>161</v>
      </c>
      <c r="H618" s="20" t="s">
        <v>162</v>
      </c>
      <c r="I618" s="20" t="s">
        <v>62</v>
      </c>
      <c r="J618" s="20" t="s">
        <v>63</v>
      </c>
      <c r="K618" s="20" t="s">
        <v>215</v>
      </c>
      <c r="L618" s="20" t="n">
        <v>57631</v>
      </c>
      <c r="M618" s="20" t="s">
        <v>112</v>
      </c>
      <c r="N618" s="20" t="s">
        <v>1725</v>
      </c>
      <c r="O618" s="20" t="s">
        <v>114</v>
      </c>
      <c r="P618" s="20" t="s">
        <v>210</v>
      </c>
      <c r="Q618" s="20" t="s">
        <v>1673</v>
      </c>
      <c r="R618" s="22" t="n">
        <v>558.31</v>
      </c>
      <c r="S618" s="20" t="n">
        <v>7</v>
      </c>
      <c r="T618" s="20" t="n">
        <v>0.1</v>
      </c>
      <c r="U618" s="22" t="n">
        <v>52.46</v>
      </c>
      <c r="V618" s="23" t="n">
        <f aca="false">IF(ISNUMBER(C618),YEAR(C618),"")</f>
        <v>2017</v>
      </c>
      <c r="W618" s="23" t="n">
        <f aca="false">IF(ISNUMBER(C618),MONTH(C618),"")</f>
        <v>4</v>
      </c>
      <c r="X618" s="23" t="str">
        <f aca="false">IF(T618="","",IF(T618=0,"No discount",IF(T618&lt;=0.2,"Low (1-20%)",IF(T618&lt;=0.4,"Medium (21-40%)","High (&gt;40%)"))))</f>
        <v>Low (1-20%)</v>
      </c>
      <c r="Y618" s="23" t="n">
        <f aca="false">IF(AND(ISNUMBER(C618),ISNUMBER(D618)),D618-C618,"")</f>
        <v>2</v>
      </c>
      <c r="Z618" s="23" t="n">
        <f aca="false">IF(B618="","",IF(MATCH(B618,$B$2:$B$12000,0)=ROW()-1,1,0))</f>
        <v>0</v>
      </c>
    </row>
    <row r="619" customFormat="false" ht="15" hidden="false" customHeight="false" outlineLevel="0" collapsed="false">
      <c r="A619" s="20" t="n">
        <v>618</v>
      </c>
      <c r="B619" s="20" t="s">
        <v>1723</v>
      </c>
      <c r="C619" s="21" t="n">
        <v>42834</v>
      </c>
      <c r="D619" s="21" t="n">
        <v>42836</v>
      </c>
      <c r="E619" s="20" t="s">
        <v>104</v>
      </c>
      <c r="F619" s="20" t="s">
        <v>160</v>
      </c>
      <c r="G619" s="20" t="s">
        <v>161</v>
      </c>
      <c r="H619" s="20" t="s">
        <v>162</v>
      </c>
      <c r="I619" s="20" t="s">
        <v>62</v>
      </c>
      <c r="J619" s="20" t="s">
        <v>63</v>
      </c>
      <c r="K619" s="20" t="s">
        <v>215</v>
      </c>
      <c r="L619" s="20" t="n">
        <v>23926</v>
      </c>
      <c r="M619" s="20" t="s">
        <v>112</v>
      </c>
      <c r="N619" s="20" t="s">
        <v>1726</v>
      </c>
      <c r="O619" s="20" t="s">
        <v>76</v>
      </c>
      <c r="P619" s="20" t="s">
        <v>128</v>
      </c>
      <c r="Q619" s="20" t="s">
        <v>798</v>
      </c>
      <c r="R619" s="22" t="n">
        <v>237.96</v>
      </c>
      <c r="S619" s="20" t="n">
        <v>1</v>
      </c>
      <c r="T619" s="20" t="n">
        <v>0.1</v>
      </c>
      <c r="U619" s="22" t="n">
        <v>16.43</v>
      </c>
      <c r="V619" s="23" t="n">
        <f aca="false">IF(ISNUMBER(C619),YEAR(C619),"")</f>
        <v>2017</v>
      </c>
      <c r="W619" s="23" t="n">
        <f aca="false">IF(ISNUMBER(C619),MONTH(C619),"")</f>
        <v>4</v>
      </c>
      <c r="X619" s="23" t="str">
        <f aca="false">IF(T619="","",IF(T619=0,"No discount",IF(T619&lt;=0.2,"Low (1-20%)",IF(T619&lt;=0.4,"Medium (21-40%)","High (&gt;40%)"))))</f>
        <v>Low (1-20%)</v>
      </c>
      <c r="Y619" s="23" t="n">
        <f aca="false">IF(AND(ISNUMBER(C619),ISNUMBER(D619)),D619-C619,"")</f>
        <v>2</v>
      </c>
      <c r="Z619" s="23" t="n">
        <f aca="false">IF(B619="","",IF(MATCH(B619,$B$2:$B$12000,0)=ROW()-1,1,0))</f>
        <v>0</v>
      </c>
    </row>
    <row r="620" customFormat="false" ht="15" hidden="false" customHeight="false" outlineLevel="0" collapsed="false">
      <c r="A620" s="20" t="n">
        <v>619</v>
      </c>
      <c r="B620" s="20" t="s">
        <v>1727</v>
      </c>
      <c r="C620" s="21" t="n">
        <v>42840</v>
      </c>
      <c r="D620" s="21" t="n">
        <v>42847</v>
      </c>
      <c r="E620" s="20" t="s">
        <v>58</v>
      </c>
      <c r="F620" s="20" t="s">
        <v>1315</v>
      </c>
      <c r="G620" s="20" t="s">
        <v>1316</v>
      </c>
      <c r="H620" s="20" t="s">
        <v>61</v>
      </c>
      <c r="I620" s="20" t="s">
        <v>62</v>
      </c>
      <c r="J620" s="20" t="s">
        <v>63</v>
      </c>
      <c r="K620" s="20" t="s">
        <v>487</v>
      </c>
      <c r="L620" s="20" t="n">
        <v>19623</v>
      </c>
      <c r="M620" s="20" t="s">
        <v>65</v>
      </c>
      <c r="N620" s="20" t="s">
        <v>1728</v>
      </c>
      <c r="O620" s="20" t="s">
        <v>67</v>
      </c>
      <c r="P620" s="20" t="s">
        <v>164</v>
      </c>
      <c r="Q620" s="20" t="s">
        <v>1729</v>
      </c>
      <c r="R620" s="22" t="n">
        <v>378.49</v>
      </c>
      <c r="S620" s="20" t="n">
        <v>1</v>
      </c>
      <c r="T620" s="20" t="n">
        <v>0.5</v>
      </c>
      <c r="U620" s="22" t="n">
        <v>-90.55</v>
      </c>
      <c r="V620" s="23" t="n">
        <f aca="false">IF(ISNUMBER(C620),YEAR(C620),"")</f>
        <v>2017</v>
      </c>
      <c r="W620" s="23" t="n">
        <f aca="false">IF(ISNUMBER(C620),MONTH(C620),"")</f>
        <v>4</v>
      </c>
      <c r="X620" s="23" t="str">
        <f aca="false">IF(T620="","",IF(T620=0,"No discount",IF(T620&lt;=0.2,"Low (1-20%)",IF(T620&lt;=0.4,"Medium (21-40%)","High (&gt;40%)"))))</f>
        <v>High (&gt;40%)</v>
      </c>
      <c r="Y620" s="23" t="n">
        <f aca="false">IF(AND(ISNUMBER(C620),ISNUMBER(D620)),D620-C620,"")</f>
        <v>7</v>
      </c>
      <c r="Z620" s="23" t="n">
        <f aca="false">IF(B620="","",IF(MATCH(B620,$B$2:$B$12000,0)=ROW()-1,1,0))</f>
        <v>1</v>
      </c>
    </row>
    <row r="621" customFormat="false" ht="15" hidden="false" customHeight="false" outlineLevel="0" collapsed="false">
      <c r="A621" s="20" t="n">
        <v>620</v>
      </c>
      <c r="B621" s="20" t="s">
        <v>1730</v>
      </c>
      <c r="C621" s="21" t="n">
        <v>42846</v>
      </c>
      <c r="D621" s="21" t="n">
        <v>42849</v>
      </c>
      <c r="E621" s="20" t="s">
        <v>71</v>
      </c>
      <c r="F621" s="20" t="s">
        <v>83</v>
      </c>
      <c r="G621" s="20" t="s">
        <v>84</v>
      </c>
      <c r="H621" s="20" t="s">
        <v>85</v>
      </c>
      <c r="I621" s="20" t="s">
        <v>62</v>
      </c>
      <c r="J621" s="20" t="s">
        <v>63</v>
      </c>
      <c r="K621" s="20" t="s">
        <v>550</v>
      </c>
      <c r="L621" s="20" t="n">
        <v>98562</v>
      </c>
      <c r="M621" s="20" t="s">
        <v>97</v>
      </c>
      <c r="N621" s="20" t="s">
        <v>1731</v>
      </c>
      <c r="O621" s="20" t="s">
        <v>67</v>
      </c>
      <c r="P621" s="20" t="s">
        <v>106</v>
      </c>
      <c r="Q621" s="20" t="s">
        <v>1732</v>
      </c>
      <c r="R621" s="22" t="n">
        <v>3159.2</v>
      </c>
      <c r="S621" s="20" t="n">
        <v>8</v>
      </c>
      <c r="T621" s="20" t="n">
        <v>0</v>
      </c>
      <c r="U621" s="22" t="n">
        <v>371.51</v>
      </c>
      <c r="V621" s="23" t="n">
        <f aca="false">IF(ISNUMBER(C621),YEAR(C621),"")</f>
        <v>2017</v>
      </c>
      <c r="W621" s="23" t="n">
        <f aca="false">IF(ISNUMBER(C621),MONTH(C621),"")</f>
        <v>4</v>
      </c>
      <c r="X621" s="23" t="str">
        <f aca="false">IF(T621="","",IF(T621=0,"No discount",IF(T621&lt;=0.2,"Low (1-20%)",IF(T621&lt;=0.4,"Medium (21-40%)","High (&gt;40%)"))))</f>
        <v>No discount</v>
      </c>
      <c r="Y621" s="23" t="n">
        <f aca="false">IF(AND(ISNUMBER(C621),ISNUMBER(D621)),D621-C621,"")</f>
        <v>3</v>
      </c>
      <c r="Z621" s="23" t="n">
        <f aca="false">IF(B621="","",IF(MATCH(B621,$B$2:$B$12000,0)=ROW()-1,1,0))</f>
        <v>1</v>
      </c>
    </row>
    <row r="622" customFormat="false" ht="15" hidden="false" customHeight="false" outlineLevel="0" collapsed="false">
      <c r="A622" s="20" t="n">
        <v>621</v>
      </c>
      <c r="B622" s="20" t="s">
        <v>1733</v>
      </c>
      <c r="C622" s="21" t="n">
        <v>42847</v>
      </c>
      <c r="D622" s="21" t="n">
        <v>42852</v>
      </c>
      <c r="E622" s="20" t="s">
        <v>58</v>
      </c>
      <c r="F622" s="20" t="s">
        <v>194</v>
      </c>
      <c r="G622" s="20" t="s">
        <v>195</v>
      </c>
      <c r="H622" s="20" t="s">
        <v>85</v>
      </c>
      <c r="I622" s="20" t="s">
        <v>62</v>
      </c>
      <c r="J622" s="20" t="s">
        <v>63</v>
      </c>
      <c r="K622" s="20" t="s">
        <v>86</v>
      </c>
      <c r="L622" s="20" t="n">
        <v>89292</v>
      </c>
      <c r="M622" s="20" t="s">
        <v>65</v>
      </c>
      <c r="N622" s="20" t="s">
        <v>1734</v>
      </c>
      <c r="O622" s="20" t="s">
        <v>67</v>
      </c>
      <c r="P622" s="20" t="s">
        <v>164</v>
      </c>
      <c r="Q622" s="20" t="s">
        <v>1735</v>
      </c>
      <c r="R622" s="22" t="n">
        <v>2754.56</v>
      </c>
      <c r="S622" s="20" t="n">
        <v>3</v>
      </c>
      <c r="T622" s="20" t="n">
        <v>0.3</v>
      </c>
      <c r="U622" s="22" t="n">
        <v>-409.3</v>
      </c>
      <c r="V622" s="23" t="n">
        <f aca="false">IF(ISNUMBER(C622),YEAR(C622),"")</f>
        <v>2017</v>
      </c>
      <c r="W622" s="23" t="n">
        <f aca="false">IF(ISNUMBER(C622),MONTH(C622),"")</f>
        <v>4</v>
      </c>
      <c r="X622" s="23" t="str">
        <f aca="false">IF(T622="","",IF(T622=0,"No discount",IF(T622&lt;=0.2,"Low (1-20%)",IF(T622&lt;=0.4,"Medium (21-40%)","High (&gt;40%)"))))</f>
        <v>Medium (21-40%)</v>
      </c>
      <c r="Y622" s="23" t="n">
        <f aca="false">IF(AND(ISNUMBER(C622),ISNUMBER(D622)),D622-C622,"")</f>
        <v>5</v>
      </c>
      <c r="Z622" s="23" t="n">
        <f aca="false">IF(B622="","",IF(MATCH(B622,$B$2:$B$12000,0)=ROW()-1,1,0))</f>
        <v>1</v>
      </c>
    </row>
    <row r="623" customFormat="false" ht="15" hidden="false" customHeight="false" outlineLevel="0" collapsed="false">
      <c r="A623" s="20" t="n">
        <v>622</v>
      </c>
      <c r="B623" s="20" t="s">
        <v>1736</v>
      </c>
      <c r="C623" s="21" t="n">
        <v>42857</v>
      </c>
      <c r="D623" s="21" t="n">
        <v>42864</v>
      </c>
      <c r="E623" s="20" t="s">
        <v>104</v>
      </c>
      <c r="F623" s="20" t="s">
        <v>144</v>
      </c>
      <c r="G623" s="20" t="s">
        <v>145</v>
      </c>
      <c r="H623" s="20" t="s">
        <v>85</v>
      </c>
      <c r="I623" s="20" t="s">
        <v>62</v>
      </c>
      <c r="J623" s="20" t="s">
        <v>63</v>
      </c>
      <c r="K623" s="20" t="s">
        <v>518</v>
      </c>
      <c r="L623" s="20" t="n">
        <v>82745</v>
      </c>
      <c r="M623" s="20" t="s">
        <v>153</v>
      </c>
      <c r="N623" s="20" t="s">
        <v>1737</v>
      </c>
      <c r="O623" s="20" t="s">
        <v>76</v>
      </c>
      <c r="P623" s="20" t="s">
        <v>122</v>
      </c>
      <c r="Q623" s="20" t="s">
        <v>1738</v>
      </c>
      <c r="R623" s="22" t="n">
        <v>137.94</v>
      </c>
      <c r="S623" s="20" t="n">
        <v>5</v>
      </c>
      <c r="T623" s="20" t="n">
        <v>0</v>
      </c>
      <c r="U623" s="22" t="n">
        <v>60.48</v>
      </c>
      <c r="V623" s="23" t="n">
        <f aca="false">IF(ISNUMBER(C623),YEAR(C623),"")</f>
        <v>2017</v>
      </c>
      <c r="W623" s="23" t="n">
        <f aca="false">IF(ISNUMBER(C623),MONTH(C623),"")</f>
        <v>5</v>
      </c>
      <c r="X623" s="23" t="str">
        <f aca="false">IF(T623="","",IF(T623=0,"No discount",IF(T623&lt;=0.2,"Low (1-20%)",IF(T623&lt;=0.4,"Medium (21-40%)","High (&gt;40%)"))))</f>
        <v>No discount</v>
      </c>
      <c r="Y623" s="23" t="n">
        <f aca="false">IF(AND(ISNUMBER(C623),ISNUMBER(D623)),D623-C623,"")</f>
        <v>7</v>
      </c>
      <c r="Z623" s="23" t="n">
        <f aca="false">IF(B623="","",IF(MATCH(B623,$B$2:$B$12000,0)=ROW()-1,1,0))</f>
        <v>1</v>
      </c>
    </row>
    <row r="624" customFormat="false" ht="15" hidden="false" customHeight="false" outlineLevel="0" collapsed="false">
      <c r="A624" s="20" t="n">
        <v>623</v>
      </c>
      <c r="B624" s="20" t="s">
        <v>1736</v>
      </c>
      <c r="C624" s="21" t="n">
        <v>42857</v>
      </c>
      <c r="D624" s="21" t="n">
        <v>42864</v>
      </c>
      <c r="E624" s="20" t="s">
        <v>104</v>
      </c>
      <c r="F624" s="20" t="s">
        <v>144</v>
      </c>
      <c r="G624" s="20" t="s">
        <v>145</v>
      </c>
      <c r="H624" s="20" t="s">
        <v>85</v>
      </c>
      <c r="I624" s="20" t="s">
        <v>62</v>
      </c>
      <c r="J624" s="20" t="s">
        <v>63</v>
      </c>
      <c r="K624" s="20" t="s">
        <v>518</v>
      </c>
      <c r="L624" s="20" t="n">
        <v>19493</v>
      </c>
      <c r="M624" s="20" t="s">
        <v>153</v>
      </c>
      <c r="N624" s="20" t="s">
        <v>1739</v>
      </c>
      <c r="O624" s="20" t="s">
        <v>67</v>
      </c>
      <c r="P624" s="20" t="s">
        <v>164</v>
      </c>
      <c r="Q624" s="20" t="s">
        <v>1740</v>
      </c>
      <c r="R624" s="22" t="n">
        <v>5816.88</v>
      </c>
      <c r="S624" s="20" t="n">
        <v>8</v>
      </c>
      <c r="T624" s="20" t="n">
        <v>0.2</v>
      </c>
      <c r="U624" s="22" t="n">
        <v>-326.63</v>
      </c>
      <c r="V624" s="23" t="n">
        <f aca="false">IF(ISNUMBER(C624),YEAR(C624),"")</f>
        <v>2017</v>
      </c>
      <c r="W624" s="23" t="n">
        <f aca="false">IF(ISNUMBER(C624),MONTH(C624),"")</f>
        <v>5</v>
      </c>
      <c r="X624" s="23" t="str">
        <f aca="false">IF(T624="","",IF(T624=0,"No discount",IF(T624&lt;=0.2,"Low (1-20%)",IF(T624&lt;=0.4,"Medium (21-40%)","High (&gt;40%)"))))</f>
        <v>Low (1-20%)</v>
      </c>
      <c r="Y624" s="23" t="n">
        <f aca="false">IF(AND(ISNUMBER(C624),ISNUMBER(D624)),D624-C624,"")</f>
        <v>7</v>
      </c>
      <c r="Z624" s="23" t="n">
        <f aca="false">IF(B624="","",IF(MATCH(B624,$B$2:$B$12000,0)=ROW()-1,1,0))</f>
        <v>0</v>
      </c>
    </row>
    <row r="625" customFormat="false" ht="15" hidden="false" customHeight="false" outlineLevel="0" collapsed="false">
      <c r="A625" s="20" t="n">
        <v>624</v>
      </c>
      <c r="B625" s="20" t="s">
        <v>1741</v>
      </c>
      <c r="C625" s="21" t="n">
        <v>42858</v>
      </c>
      <c r="D625" s="21" t="n">
        <v>42864</v>
      </c>
      <c r="E625" s="20" t="s">
        <v>104</v>
      </c>
      <c r="F625" s="20" t="s">
        <v>529</v>
      </c>
      <c r="G625" s="20" t="s">
        <v>530</v>
      </c>
      <c r="H625" s="20" t="s">
        <v>61</v>
      </c>
      <c r="I625" s="20" t="s">
        <v>62</v>
      </c>
      <c r="J625" s="20" t="s">
        <v>63</v>
      </c>
      <c r="K625" s="20" t="s">
        <v>335</v>
      </c>
      <c r="L625" s="20" t="n">
        <v>46251</v>
      </c>
      <c r="M625" s="20" t="s">
        <v>65</v>
      </c>
      <c r="N625" s="20" t="s">
        <v>1742</v>
      </c>
      <c r="O625" s="20" t="s">
        <v>76</v>
      </c>
      <c r="P625" s="20" t="s">
        <v>122</v>
      </c>
      <c r="Q625" s="20" t="s">
        <v>1743</v>
      </c>
      <c r="R625" s="22" t="n">
        <v>5</v>
      </c>
      <c r="S625" s="20" t="n">
        <v>1</v>
      </c>
      <c r="T625" s="20" t="n">
        <v>0.2</v>
      </c>
      <c r="U625" s="22" t="n">
        <v>1.08</v>
      </c>
      <c r="V625" s="23" t="n">
        <f aca="false">IF(ISNUMBER(C625),YEAR(C625),"")</f>
        <v>2017</v>
      </c>
      <c r="W625" s="23" t="n">
        <f aca="false">IF(ISNUMBER(C625),MONTH(C625),"")</f>
        <v>5</v>
      </c>
      <c r="X625" s="23" t="str">
        <f aca="false">IF(T625="","",IF(T625=0,"No discount",IF(T625&lt;=0.2,"Low (1-20%)",IF(T625&lt;=0.4,"Medium (21-40%)","High (&gt;40%)"))))</f>
        <v>Low (1-20%)</v>
      </c>
      <c r="Y625" s="23" t="n">
        <f aca="false">IF(AND(ISNUMBER(C625),ISNUMBER(D625)),D625-C625,"")</f>
        <v>6</v>
      </c>
      <c r="Z625" s="23" t="n">
        <f aca="false">IF(B625="","",IF(MATCH(B625,$B$2:$B$12000,0)=ROW()-1,1,0))</f>
        <v>1</v>
      </c>
    </row>
    <row r="626" customFormat="false" ht="15" hidden="false" customHeight="false" outlineLevel="0" collapsed="false">
      <c r="A626" s="20" t="n">
        <v>625</v>
      </c>
      <c r="B626" s="20" t="s">
        <v>1741</v>
      </c>
      <c r="C626" s="21" t="n">
        <v>42858</v>
      </c>
      <c r="D626" s="21" t="n">
        <v>42864</v>
      </c>
      <c r="E626" s="20" t="s">
        <v>58</v>
      </c>
      <c r="F626" s="20" t="s">
        <v>529</v>
      </c>
      <c r="G626" s="20" t="s">
        <v>530</v>
      </c>
      <c r="H626" s="20" t="s">
        <v>61</v>
      </c>
      <c r="I626" s="20" t="s">
        <v>62</v>
      </c>
      <c r="J626" s="20" t="s">
        <v>63</v>
      </c>
      <c r="K626" s="20" t="s">
        <v>335</v>
      </c>
      <c r="L626" s="20" t="n">
        <v>57687</v>
      </c>
      <c r="M626" s="20" t="s">
        <v>65</v>
      </c>
      <c r="N626" s="20" t="s">
        <v>1744</v>
      </c>
      <c r="O626" s="20" t="s">
        <v>114</v>
      </c>
      <c r="P626" s="20" t="s">
        <v>210</v>
      </c>
      <c r="Q626" s="20" t="s">
        <v>415</v>
      </c>
      <c r="R626" s="22" t="n">
        <v>347.22</v>
      </c>
      <c r="S626" s="20" t="n">
        <v>5</v>
      </c>
      <c r="T626" s="20" t="n">
        <v>0</v>
      </c>
      <c r="U626" s="22" t="n">
        <v>66.03</v>
      </c>
      <c r="V626" s="23" t="n">
        <f aca="false">IF(ISNUMBER(C626),YEAR(C626),"")</f>
        <v>2017</v>
      </c>
      <c r="W626" s="23" t="n">
        <f aca="false">IF(ISNUMBER(C626),MONTH(C626),"")</f>
        <v>5</v>
      </c>
      <c r="X626" s="23" t="str">
        <f aca="false">IF(T626="","",IF(T626=0,"No discount",IF(T626&lt;=0.2,"Low (1-20%)",IF(T626&lt;=0.4,"Medium (21-40%)","High (&gt;40%)"))))</f>
        <v>No discount</v>
      </c>
      <c r="Y626" s="23" t="n">
        <f aca="false">IF(AND(ISNUMBER(C626),ISNUMBER(D626)),D626-C626,"")</f>
        <v>6</v>
      </c>
      <c r="Z626" s="23" t="n">
        <f aca="false">IF(B626="","",IF(MATCH(B626,$B$2:$B$12000,0)=ROW()-1,1,0))</f>
        <v>0</v>
      </c>
    </row>
    <row r="627" customFormat="false" ht="15" hidden="false" customHeight="false" outlineLevel="0" collapsed="false">
      <c r="A627" s="20" t="n">
        <v>626</v>
      </c>
      <c r="B627" s="20" t="s">
        <v>1741</v>
      </c>
      <c r="C627" s="21" t="n">
        <v>42858</v>
      </c>
      <c r="D627" s="21" t="n">
        <v>42864</v>
      </c>
      <c r="E627" s="20" t="s">
        <v>58</v>
      </c>
      <c r="F627" s="20" t="s">
        <v>529</v>
      </c>
      <c r="G627" s="20" t="s">
        <v>530</v>
      </c>
      <c r="H627" s="20" t="s">
        <v>61</v>
      </c>
      <c r="I627" s="20" t="s">
        <v>62</v>
      </c>
      <c r="J627" s="20" t="s">
        <v>63</v>
      </c>
      <c r="K627" s="20" t="s">
        <v>335</v>
      </c>
      <c r="L627" s="20" t="n">
        <v>60978</v>
      </c>
      <c r="M627" s="20" t="s">
        <v>65</v>
      </c>
      <c r="N627" s="20" t="s">
        <v>1745</v>
      </c>
      <c r="O627" s="20" t="s">
        <v>76</v>
      </c>
      <c r="P627" s="20" t="s">
        <v>122</v>
      </c>
      <c r="Q627" s="20" t="s">
        <v>1746</v>
      </c>
      <c r="R627" s="22" t="n">
        <v>34.39</v>
      </c>
      <c r="S627" s="20" t="n">
        <v>2</v>
      </c>
      <c r="T627" s="20" t="n">
        <v>0.7</v>
      </c>
      <c r="U627" s="22" t="n">
        <v>-1.07</v>
      </c>
      <c r="V627" s="23" t="n">
        <f aca="false">IF(ISNUMBER(C627),YEAR(C627),"")</f>
        <v>2017</v>
      </c>
      <c r="W627" s="23" t="n">
        <f aca="false">IF(ISNUMBER(C627),MONTH(C627),"")</f>
        <v>5</v>
      </c>
      <c r="X627" s="23" t="str">
        <f aca="false">IF(T627="","",IF(T627=0,"No discount",IF(T627&lt;=0.2,"Low (1-20%)",IF(T627&lt;=0.4,"Medium (21-40%)","High (&gt;40%)"))))</f>
        <v>High (&gt;40%)</v>
      </c>
      <c r="Y627" s="23" t="n">
        <f aca="false">IF(AND(ISNUMBER(C627),ISNUMBER(D627)),D627-C627,"")</f>
        <v>6</v>
      </c>
      <c r="Z627" s="23" t="n">
        <f aca="false">IF(B627="","",IF(MATCH(B627,$B$2:$B$12000,0)=ROW()-1,1,0))</f>
        <v>0</v>
      </c>
    </row>
    <row r="628" customFormat="false" ht="15" hidden="false" customHeight="false" outlineLevel="0" collapsed="false">
      <c r="A628" s="20" t="n">
        <v>627</v>
      </c>
      <c r="B628" s="20" t="s">
        <v>1747</v>
      </c>
      <c r="C628" s="21" t="n">
        <v>42863</v>
      </c>
      <c r="D628" s="21" t="n">
        <v>42868</v>
      </c>
      <c r="E628" s="20" t="s">
        <v>71</v>
      </c>
      <c r="F628" s="20" t="s">
        <v>662</v>
      </c>
      <c r="G628" s="20" t="s">
        <v>663</v>
      </c>
      <c r="H628" s="20" t="s">
        <v>61</v>
      </c>
      <c r="I628" s="20" t="s">
        <v>62</v>
      </c>
      <c r="J628" s="20" t="s">
        <v>63</v>
      </c>
      <c r="K628" s="20" t="s">
        <v>208</v>
      </c>
      <c r="L628" s="20" t="n">
        <v>74512</v>
      </c>
      <c r="M628" s="20" t="s">
        <v>153</v>
      </c>
      <c r="N628" s="20" t="s">
        <v>1748</v>
      </c>
      <c r="O628" s="20" t="s">
        <v>76</v>
      </c>
      <c r="P628" s="20" t="s">
        <v>101</v>
      </c>
      <c r="Q628" s="20" t="s">
        <v>1749</v>
      </c>
      <c r="R628" s="22" t="n">
        <v>25.88</v>
      </c>
      <c r="S628" s="20" t="n">
        <v>6</v>
      </c>
      <c r="T628" s="20" t="n">
        <v>0</v>
      </c>
      <c r="U628" s="22" t="n">
        <v>10.69</v>
      </c>
      <c r="V628" s="23" t="n">
        <f aca="false">IF(ISNUMBER(C628),YEAR(C628),"")</f>
        <v>2017</v>
      </c>
      <c r="W628" s="23" t="n">
        <f aca="false">IF(ISNUMBER(C628),MONTH(C628),"")</f>
        <v>5</v>
      </c>
      <c r="X628" s="23" t="str">
        <f aca="false">IF(T628="","",IF(T628=0,"No discount",IF(T628&lt;=0.2,"Low (1-20%)",IF(T628&lt;=0.4,"Medium (21-40%)","High (&gt;40%)"))))</f>
        <v>No discount</v>
      </c>
      <c r="Y628" s="23" t="n">
        <f aca="false">IF(AND(ISNUMBER(C628),ISNUMBER(D628)),D628-C628,"")</f>
        <v>5</v>
      </c>
      <c r="Z628" s="23" t="n">
        <f aca="false">IF(B628="","",IF(MATCH(B628,$B$2:$B$12000,0)=ROW()-1,1,0))</f>
        <v>1</v>
      </c>
    </row>
    <row r="629" customFormat="false" ht="15" hidden="false" customHeight="false" outlineLevel="0" collapsed="false">
      <c r="A629" s="20" t="n">
        <v>628</v>
      </c>
      <c r="B629" s="20" t="s">
        <v>1747</v>
      </c>
      <c r="C629" s="21" t="n">
        <v>42863</v>
      </c>
      <c r="D629" s="21" t="n">
        <v>42868</v>
      </c>
      <c r="E629" s="20" t="s">
        <v>58</v>
      </c>
      <c r="F629" s="20" t="s">
        <v>662</v>
      </c>
      <c r="G629" s="20" t="s">
        <v>663</v>
      </c>
      <c r="H629" s="20" t="s">
        <v>61</v>
      </c>
      <c r="I629" s="20" t="s">
        <v>62</v>
      </c>
      <c r="J629" s="20" t="s">
        <v>63</v>
      </c>
      <c r="K629" s="20" t="s">
        <v>208</v>
      </c>
      <c r="L629" s="20" t="n">
        <v>18065</v>
      </c>
      <c r="M629" s="20" t="s">
        <v>153</v>
      </c>
      <c r="N629" s="20" t="s">
        <v>1750</v>
      </c>
      <c r="O629" s="20" t="s">
        <v>67</v>
      </c>
      <c r="P629" s="20" t="s">
        <v>164</v>
      </c>
      <c r="Q629" s="20" t="s">
        <v>1751</v>
      </c>
      <c r="R629" s="22" t="n">
        <v>3628.37</v>
      </c>
      <c r="S629" s="20" t="n">
        <v>8</v>
      </c>
      <c r="T629" s="20" t="n">
        <v>0</v>
      </c>
      <c r="U629" s="22" t="n">
        <v>-76.39</v>
      </c>
      <c r="V629" s="23" t="n">
        <f aca="false">IF(ISNUMBER(C629),YEAR(C629),"")</f>
        <v>2017</v>
      </c>
      <c r="W629" s="23" t="n">
        <f aca="false">IF(ISNUMBER(C629),MONTH(C629),"")</f>
        <v>5</v>
      </c>
      <c r="X629" s="23" t="str">
        <f aca="false">IF(T629="","",IF(T629=0,"No discount",IF(T629&lt;=0.2,"Low (1-20%)",IF(T629&lt;=0.4,"Medium (21-40%)","High (&gt;40%)"))))</f>
        <v>No discount</v>
      </c>
      <c r="Y629" s="23" t="n">
        <f aca="false">IF(AND(ISNUMBER(C629),ISNUMBER(D629)),D629-C629,"")</f>
        <v>5</v>
      </c>
      <c r="Z629" s="23" t="n">
        <f aca="false">IF(B629="","",IF(MATCH(B629,$B$2:$B$12000,0)=ROW()-1,1,0))</f>
        <v>0</v>
      </c>
    </row>
    <row r="630" customFormat="false" ht="15" hidden="false" customHeight="false" outlineLevel="0" collapsed="false">
      <c r="A630" s="20" t="n">
        <v>629</v>
      </c>
      <c r="B630" s="20" t="s">
        <v>1752</v>
      </c>
      <c r="C630" s="21" t="n">
        <v>42867</v>
      </c>
      <c r="D630" s="21" t="n">
        <v>42872</v>
      </c>
      <c r="E630" s="20" t="s">
        <v>58</v>
      </c>
      <c r="F630" s="20" t="s">
        <v>131</v>
      </c>
      <c r="G630" s="20" t="s">
        <v>132</v>
      </c>
      <c r="H630" s="20" t="s">
        <v>85</v>
      </c>
      <c r="I630" s="20" t="s">
        <v>62</v>
      </c>
      <c r="J630" s="20" t="s">
        <v>63</v>
      </c>
      <c r="K630" s="20" t="s">
        <v>275</v>
      </c>
      <c r="L630" s="20" t="n">
        <v>54350</v>
      </c>
      <c r="M630" s="20" t="s">
        <v>153</v>
      </c>
      <c r="N630" s="20" t="s">
        <v>1753</v>
      </c>
      <c r="O630" s="20" t="s">
        <v>114</v>
      </c>
      <c r="P630" s="20" t="s">
        <v>210</v>
      </c>
      <c r="Q630" s="20" t="s">
        <v>1708</v>
      </c>
      <c r="R630" s="22" t="n">
        <v>213.21</v>
      </c>
      <c r="S630" s="20" t="n">
        <v>3</v>
      </c>
      <c r="T630" s="20" t="n">
        <v>0.2</v>
      </c>
      <c r="U630" s="22" t="n">
        <v>-12.61</v>
      </c>
      <c r="V630" s="23" t="n">
        <f aca="false">IF(ISNUMBER(C630),YEAR(C630),"")</f>
        <v>2017</v>
      </c>
      <c r="W630" s="23" t="n">
        <f aca="false">IF(ISNUMBER(C630),MONTH(C630),"")</f>
        <v>5</v>
      </c>
      <c r="X630" s="23" t="str">
        <f aca="false">IF(T630="","",IF(T630=0,"No discount",IF(T630&lt;=0.2,"Low (1-20%)",IF(T630&lt;=0.4,"Medium (21-40%)","High (&gt;40%)"))))</f>
        <v>Low (1-20%)</v>
      </c>
      <c r="Y630" s="23" t="n">
        <f aca="false">IF(AND(ISNUMBER(C630),ISNUMBER(D630)),D630-C630,"")</f>
        <v>5</v>
      </c>
      <c r="Z630" s="23" t="n">
        <f aca="false">IF(B630="","",IF(MATCH(B630,$B$2:$B$12000,0)=ROW()-1,1,0))</f>
        <v>1</v>
      </c>
    </row>
    <row r="631" customFormat="false" ht="15" hidden="false" customHeight="false" outlineLevel="0" collapsed="false">
      <c r="A631" s="20" t="n">
        <v>630</v>
      </c>
      <c r="B631" s="20" t="s">
        <v>1754</v>
      </c>
      <c r="C631" s="21" t="n">
        <v>42868</v>
      </c>
      <c r="D631" s="21" t="n">
        <v>42875</v>
      </c>
      <c r="E631" s="20" t="s">
        <v>104</v>
      </c>
      <c r="F631" s="20" t="s">
        <v>352</v>
      </c>
      <c r="G631" s="20" t="s">
        <v>353</v>
      </c>
      <c r="H631" s="20" t="s">
        <v>85</v>
      </c>
      <c r="I631" s="20" t="s">
        <v>62</v>
      </c>
      <c r="J631" s="20" t="s">
        <v>63</v>
      </c>
      <c r="K631" s="20" t="s">
        <v>275</v>
      </c>
      <c r="L631" s="20" t="n">
        <v>20123</v>
      </c>
      <c r="M631" s="20" t="s">
        <v>153</v>
      </c>
      <c r="N631" s="20" t="s">
        <v>1755</v>
      </c>
      <c r="O631" s="20" t="s">
        <v>114</v>
      </c>
      <c r="P631" s="20" t="s">
        <v>167</v>
      </c>
      <c r="Q631" s="20" t="s">
        <v>1526</v>
      </c>
      <c r="R631" s="22" t="n">
        <v>243.16</v>
      </c>
      <c r="S631" s="20" t="n">
        <v>1</v>
      </c>
      <c r="T631" s="20" t="n">
        <v>0</v>
      </c>
      <c r="U631" s="22" t="n">
        <v>-26.12</v>
      </c>
      <c r="V631" s="23" t="n">
        <f aca="false">IF(ISNUMBER(C631),YEAR(C631),"")</f>
        <v>2017</v>
      </c>
      <c r="W631" s="23" t="n">
        <f aca="false">IF(ISNUMBER(C631),MONTH(C631),"")</f>
        <v>5</v>
      </c>
      <c r="X631" s="23" t="str">
        <f aca="false">IF(T631="","",IF(T631=0,"No discount",IF(T631&lt;=0.2,"Low (1-20%)",IF(T631&lt;=0.4,"Medium (21-40%)","High (&gt;40%)"))))</f>
        <v>No discount</v>
      </c>
      <c r="Y631" s="23" t="n">
        <f aca="false">IF(AND(ISNUMBER(C631),ISNUMBER(D631)),D631-C631,"")</f>
        <v>7</v>
      </c>
      <c r="Z631" s="23" t="n">
        <f aca="false">IF(B631="","",IF(MATCH(B631,$B$2:$B$12000,0)=ROW()-1,1,0))</f>
        <v>1</v>
      </c>
    </row>
    <row r="632" customFormat="false" ht="15" hidden="false" customHeight="false" outlineLevel="0" collapsed="false">
      <c r="A632" s="20" t="n">
        <v>631</v>
      </c>
      <c r="B632" s="20" t="s">
        <v>1754</v>
      </c>
      <c r="C632" s="21" t="n">
        <v>42868</v>
      </c>
      <c r="D632" s="21" t="n">
        <v>42875</v>
      </c>
      <c r="E632" s="20" t="s">
        <v>104</v>
      </c>
      <c r="F632" s="20" t="s">
        <v>352</v>
      </c>
      <c r="G632" s="20" t="s">
        <v>353</v>
      </c>
      <c r="H632" s="20" t="s">
        <v>85</v>
      </c>
      <c r="I632" s="20" t="s">
        <v>62</v>
      </c>
      <c r="J632" s="20" t="s">
        <v>63</v>
      </c>
      <c r="K632" s="20" t="s">
        <v>275</v>
      </c>
      <c r="L632" s="20" t="n">
        <v>95702</v>
      </c>
      <c r="M632" s="20" t="s">
        <v>153</v>
      </c>
      <c r="N632" s="20" t="s">
        <v>1756</v>
      </c>
      <c r="O632" s="20" t="s">
        <v>67</v>
      </c>
      <c r="P632" s="20" t="s">
        <v>164</v>
      </c>
      <c r="Q632" s="20" t="s">
        <v>1198</v>
      </c>
      <c r="R632" s="22" t="n">
        <v>568.57</v>
      </c>
      <c r="S632" s="20" t="n">
        <v>2</v>
      </c>
      <c r="T632" s="20" t="n">
        <v>0.4</v>
      </c>
      <c r="U632" s="22" t="n">
        <v>-80.78</v>
      </c>
      <c r="V632" s="23" t="n">
        <f aca="false">IF(ISNUMBER(C632),YEAR(C632),"")</f>
        <v>2017</v>
      </c>
      <c r="W632" s="23" t="n">
        <f aca="false">IF(ISNUMBER(C632),MONTH(C632),"")</f>
        <v>5</v>
      </c>
      <c r="X632" s="23" t="str">
        <f aca="false">IF(T632="","",IF(T632=0,"No discount",IF(T632&lt;=0.2,"Low (1-20%)",IF(T632&lt;=0.4,"Medium (21-40%)","High (&gt;40%)"))))</f>
        <v>Medium (21-40%)</v>
      </c>
      <c r="Y632" s="23" t="n">
        <f aca="false">IF(AND(ISNUMBER(C632),ISNUMBER(D632)),D632-C632,"")</f>
        <v>7</v>
      </c>
      <c r="Z632" s="23" t="n">
        <f aca="false">IF(B632="","",IF(MATCH(B632,$B$2:$B$12000,0)=ROW()-1,1,0))</f>
        <v>0</v>
      </c>
    </row>
    <row r="633" customFormat="false" ht="15" hidden="false" customHeight="false" outlineLevel="0" collapsed="false">
      <c r="A633" s="20" t="n">
        <v>632</v>
      </c>
      <c r="B633" s="20" t="s">
        <v>1754</v>
      </c>
      <c r="C633" s="21" t="n">
        <v>42868</v>
      </c>
      <c r="D633" s="21" t="n">
        <v>42875</v>
      </c>
      <c r="E633" s="20" t="s">
        <v>71</v>
      </c>
      <c r="F633" s="20" t="s">
        <v>352</v>
      </c>
      <c r="G633" s="20" t="s">
        <v>353</v>
      </c>
      <c r="H633" s="20" t="s">
        <v>85</v>
      </c>
      <c r="I633" s="20" t="s">
        <v>62</v>
      </c>
      <c r="J633" s="20" t="s">
        <v>63</v>
      </c>
      <c r="K633" s="20" t="s">
        <v>275</v>
      </c>
      <c r="L633" s="20" t="n">
        <v>63238</v>
      </c>
      <c r="M633" s="20" t="s">
        <v>153</v>
      </c>
      <c r="N633" s="20" t="s">
        <v>1757</v>
      </c>
      <c r="O633" s="20" t="s">
        <v>76</v>
      </c>
      <c r="P633" s="20" t="s">
        <v>80</v>
      </c>
      <c r="Q633" s="20" t="s">
        <v>1758</v>
      </c>
      <c r="R633" s="22" t="n">
        <v>221.24</v>
      </c>
      <c r="S633" s="20" t="n">
        <v>4</v>
      </c>
      <c r="T633" s="20" t="n">
        <v>0</v>
      </c>
      <c r="U633" s="22" t="n">
        <v>57.35</v>
      </c>
      <c r="V633" s="23" t="n">
        <f aca="false">IF(ISNUMBER(C633),YEAR(C633),"")</f>
        <v>2017</v>
      </c>
      <c r="W633" s="23" t="n">
        <f aca="false">IF(ISNUMBER(C633),MONTH(C633),"")</f>
        <v>5</v>
      </c>
      <c r="X633" s="23" t="str">
        <f aca="false">IF(T633="","",IF(T633=0,"No discount",IF(T633&lt;=0.2,"Low (1-20%)",IF(T633&lt;=0.4,"Medium (21-40%)","High (&gt;40%)"))))</f>
        <v>No discount</v>
      </c>
      <c r="Y633" s="23" t="n">
        <f aca="false">IF(AND(ISNUMBER(C633),ISNUMBER(D633)),D633-C633,"")</f>
        <v>7</v>
      </c>
      <c r="Z633" s="23" t="n">
        <f aca="false">IF(B633="","",IF(MATCH(B633,$B$2:$B$12000,0)=ROW()-1,1,0))</f>
        <v>0</v>
      </c>
    </row>
    <row r="634" customFormat="false" ht="15" hidden="false" customHeight="false" outlineLevel="0" collapsed="false">
      <c r="A634" s="20" t="n">
        <v>633</v>
      </c>
      <c r="B634" s="20" t="s">
        <v>1759</v>
      </c>
      <c r="C634" s="21" t="n">
        <v>42868</v>
      </c>
      <c r="D634" s="21" t="n">
        <v>42870</v>
      </c>
      <c r="E634" s="20" t="s">
        <v>90</v>
      </c>
      <c r="F634" s="20" t="s">
        <v>529</v>
      </c>
      <c r="G634" s="20" t="s">
        <v>530</v>
      </c>
      <c r="H634" s="20" t="s">
        <v>61</v>
      </c>
      <c r="I634" s="20" t="s">
        <v>62</v>
      </c>
      <c r="J634" s="20" t="s">
        <v>63</v>
      </c>
      <c r="K634" s="20" t="s">
        <v>196</v>
      </c>
      <c r="L634" s="20" t="n">
        <v>52838</v>
      </c>
      <c r="M634" s="20" t="s">
        <v>112</v>
      </c>
      <c r="N634" s="20" t="s">
        <v>1760</v>
      </c>
      <c r="O634" s="20" t="s">
        <v>67</v>
      </c>
      <c r="P634" s="20" t="s">
        <v>157</v>
      </c>
      <c r="Q634" s="20" t="s">
        <v>1761</v>
      </c>
      <c r="R634" s="22" t="n">
        <v>352.6</v>
      </c>
      <c r="S634" s="20" t="n">
        <v>3</v>
      </c>
      <c r="T634" s="20" t="n">
        <v>0.1</v>
      </c>
      <c r="U634" s="22" t="n">
        <v>82.26</v>
      </c>
      <c r="V634" s="23" t="n">
        <f aca="false">IF(ISNUMBER(C634),YEAR(C634),"")</f>
        <v>2017</v>
      </c>
      <c r="W634" s="23" t="n">
        <f aca="false">IF(ISNUMBER(C634),MONTH(C634),"")</f>
        <v>5</v>
      </c>
      <c r="X634" s="23" t="str">
        <f aca="false">IF(T634="","",IF(T634=0,"No discount",IF(T634&lt;=0.2,"Low (1-20%)",IF(T634&lt;=0.4,"Medium (21-40%)","High (&gt;40%)"))))</f>
        <v>Low (1-20%)</v>
      </c>
      <c r="Y634" s="23" t="n">
        <f aca="false">IF(AND(ISNUMBER(C634),ISNUMBER(D634)),D634-C634,"")</f>
        <v>2</v>
      </c>
      <c r="Z634" s="23" t="n">
        <f aca="false">IF(B634="","",IF(MATCH(B634,$B$2:$B$12000,0)=ROW()-1,1,0))</f>
        <v>1</v>
      </c>
    </row>
    <row r="635" customFormat="false" ht="15" hidden="false" customHeight="false" outlineLevel="0" collapsed="false">
      <c r="A635" s="20" t="n">
        <v>634</v>
      </c>
      <c r="B635" s="20" t="s">
        <v>1759</v>
      </c>
      <c r="C635" s="21" t="n">
        <v>42868</v>
      </c>
      <c r="D635" s="21" t="n">
        <v>42870</v>
      </c>
      <c r="E635" s="20" t="s">
        <v>104</v>
      </c>
      <c r="F635" s="20" t="s">
        <v>529</v>
      </c>
      <c r="G635" s="20" t="s">
        <v>530</v>
      </c>
      <c r="H635" s="20" t="s">
        <v>61</v>
      </c>
      <c r="I635" s="20" t="s">
        <v>62</v>
      </c>
      <c r="J635" s="20" t="s">
        <v>63</v>
      </c>
      <c r="K635" s="20" t="s">
        <v>196</v>
      </c>
      <c r="L635" s="20" t="n">
        <v>35344</v>
      </c>
      <c r="M635" s="20" t="s">
        <v>112</v>
      </c>
      <c r="N635" s="20" t="s">
        <v>1762</v>
      </c>
      <c r="O635" s="20" t="s">
        <v>67</v>
      </c>
      <c r="P635" s="20" t="s">
        <v>157</v>
      </c>
      <c r="Q635" s="20" t="s">
        <v>1763</v>
      </c>
      <c r="R635" s="22" t="n">
        <v>789.83</v>
      </c>
      <c r="S635" s="20" t="n">
        <v>4</v>
      </c>
      <c r="T635" s="20" t="n">
        <v>0</v>
      </c>
      <c r="U635" s="22" t="n">
        <v>225.22</v>
      </c>
      <c r="V635" s="23" t="n">
        <f aca="false">IF(ISNUMBER(C635),YEAR(C635),"")</f>
        <v>2017</v>
      </c>
      <c r="W635" s="23" t="n">
        <f aca="false">IF(ISNUMBER(C635),MONTH(C635),"")</f>
        <v>5</v>
      </c>
      <c r="X635" s="23" t="str">
        <f aca="false">IF(T635="","",IF(T635=0,"No discount",IF(T635&lt;=0.2,"Low (1-20%)",IF(T635&lt;=0.4,"Medium (21-40%)","High (&gt;40%)"))))</f>
        <v>No discount</v>
      </c>
      <c r="Y635" s="23" t="n">
        <f aca="false">IF(AND(ISNUMBER(C635),ISNUMBER(D635)),D635-C635,"")</f>
        <v>2</v>
      </c>
      <c r="Z635" s="23" t="n">
        <f aca="false">IF(B635="","",IF(MATCH(B635,$B$2:$B$12000,0)=ROW()-1,1,0))</f>
        <v>0</v>
      </c>
    </row>
    <row r="636" customFormat="false" ht="15" hidden="false" customHeight="false" outlineLevel="0" collapsed="false">
      <c r="A636" s="20" t="n">
        <v>635</v>
      </c>
      <c r="B636" s="20" t="s">
        <v>1764</v>
      </c>
      <c r="C636" s="21" t="n">
        <v>42868</v>
      </c>
      <c r="D636" s="21" t="n">
        <v>42875</v>
      </c>
      <c r="E636" s="20" t="s">
        <v>90</v>
      </c>
      <c r="F636" s="20" t="s">
        <v>213</v>
      </c>
      <c r="G636" s="20" t="s">
        <v>214</v>
      </c>
      <c r="H636" s="20" t="s">
        <v>162</v>
      </c>
      <c r="I636" s="20" t="s">
        <v>62</v>
      </c>
      <c r="J636" s="20" t="s">
        <v>63</v>
      </c>
      <c r="K636" s="20" t="s">
        <v>393</v>
      </c>
      <c r="L636" s="20" t="n">
        <v>63952</v>
      </c>
      <c r="M636" s="20" t="s">
        <v>97</v>
      </c>
      <c r="N636" s="20" t="s">
        <v>1765</v>
      </c>
      <c r="O636" s="20" t="s">
        <v>76</v>
      </c>
      <c r="P636" s="20" t="s">
        <v>185</v>
      </c>
      <c r="Q636" s="20" t="s">
        <v>1766</v>
      </c>
      <c r="R636" s="22" t="n">
        <v>69.89</v>
      </c>
      <c r="S636" s="20" t="n">
        <v>7</v>
      </c>
      <c r="T636" s="20" t="n">
        <v>0</v>
      </c>
      <c r="U636" s="22" t="n">
        <v>18.19</v>
      </c>
      <c r="V636" s="23" t="n">
        <f aca="false">IF(ISNUMBER(C636),YEAR(C636),"")</f>
        <v>2017</v>
      </c>
      <c r="W636" s="23" t="n">
        <f aca="false">IF(ISNUMBER(C636),MONTH(C636),"")</f>
        <v>5</v>
      </c>
      <c r="X636" s="23" t="str">
        <f aca="false">IF(T636="","",IF(T636=0,"No discount",IF(T636&lt;=0.2,"Low (1-20%)",IF(T636&lt;=0.4,"Medium (21-40%)","High (&gt;40%)"))))</f>
        <v>No discount</v>
      </c>
      <c r="Y636" s="23" t="n">
        <f aca="false">IF(AND(ISNUMBER(C636),ISNUMBER(D636)),D636-C636,"")</f>
        <v>7</v>
      </c>
      <c r="Z636" s="23" t="n">
        <f aca="false">IF(B636="","",IF(MATCH(B636,$B$2:$B$12000,0)=ROW()-1,1,0))</f>
        <v>1</v>
      </c>
    </row>
    <row r="637" customFormat="false" ht="15" hidden="false" customHeight="false" outlineLevel="0" collapsed="false">
      <c r="A637" s="20" t="n">
        <v>636</v>
      </c>
      <c r="B637" s="20" t="s">
        <v>1764</v>
      </c>
      <c r="C637" s="21" t="n">
        <v>42868</v>
      </c>
      <c r="D637" s="21" t="n">
        <v>42875</v>
      </c>
      <c r="E637" s="20" t="s">
        <v>71</v>
      </c>
      <c r="F637" s="20" t="s">
        <v>213</v>
      </c>
      <c r="G637" s="20" t="s">
        <v>214</v>
      </c>
      <c r="H637" s="20" t="s">
        <v>162</v>
      </c>
      <c r="I637" s="20" t="s">
        <v>62</v>
      </c>
      <c r="J637" s="20" t="s">
        <v>63</v>
      </c>
      <c r="K637" s="20" t="s">
        <v>393</v>
      </c>
      <c r="L637" s="20" t="n">
        <v>73142</v>
      </c>
      <c r="M637" s="20" t="s">
        <v>97</v>
      </c>
      <c r="N637" s="20" t="s">
        <v>1767</v>
      </c>
      <c r="O637" s="20" t="s">
        <v>114</v>
      </c>
      <c r="P637" s="20" t="s">
        <v>210</v>
      </c>
      <c r="Q637" s="20" t="s">
        <v>1499</v>
      </c>
      <c r="R637" s="22" t="n">
        <v>108.91</v>
      </c>
      <c r="S637" s="20" t="n">
        <v>7</v>
      </c>
      <c r="T637" s="20" t="n">
        <v>0.2</v>
      </c>
      <c r="U637" s="22" t="n">
        <v>2.35</v>
      </c>
      <c r="V637" s="23" t="n">
        <f aca="false">IF(ISNUMBER(C637),YEAR(C637),"")</f>
        <v>2017</v>
      </c>
      <c r="W637" s="23" t="n">
        <f aca="false">IF(ISNUMBER(C637),MONTH(C637),"")</f>
        <v>5</v>
      </c>
      <c r="X637" s="23" t="str">
        <f aca="false">IF(T637="","",IF(T637=0,"No discount",IF(T637&lt;=0.2,"Low (1-20%)",IF(T637&lt;=0.4,"Medium (21-40%)","High (&gt;40%)"))))</f>
        <v>Low (1-20%)</v>
      </c>
      <c r="Y637" s="23" t="n">
        <f aca="false">IF(AND(ISNUMBER(C637),ISNUMBER(D637)),D637-C637,"")</f>
        <v>7</v>
      </c>
      <c r="Z637" s="23" t="n">
        <f aca="false">IF(B637="","",IF(MATCH(B637,$B$2:$B$12000,0)=ROW()-1,1,0))</f>
        <v>0</v>
      </c>
    </row>
    <row r="638" customFormat="false" ht="15" hidden="false" customHeight="false" outlineLevel="0" collapsed="false">
      <c r="A638" s="20" t="n">
        <v>637</v>
      </c>
      <c r="B638" s="20" t="s">
        <v>1768</v>
      </c>
      <c r="C638" s="21" t="n">
        <v>42872</v>
      </c>
      <c r="D638" s="21" t="n">
        <v>42874</v>
      </c>
      <c r="E638" s="20" t="s">
        <v>104</v>
      </c>
      <c r="F638" s="20" t="s">
        <v>339</v>
      </c>
      <c r="G638" s="20" t="s">
        <v>340</v>
      </c>
      <c r="H638" s="20" t="s">
        <v>61</v>
      </c>
      <c r="I638" s="20" t="s">
        <v>62</v>
      </c>
      <c r="J638" s="20" t="s">
        <v>63</v>
      </c>
      <c r="K638" s="20" t="s">
        <v>422</v>
      </c>
      <c r="L638" s="20" t="n">
        <v>20988</v>
      </c>
      <c r="M638" s="20" t="s">
        <v>153</v>
      </c>
      <c r="N638" s="20" t="s">
        <v>1769</v>
      </c>
      <c r="O638" s="20" t="s">
        <v>67</v>
      </c>
      <c r="P638" s="20" t="s">
        <v>164</v>
      </c>
      <c r="Q638" s="20" t="s">
        <v>1770</v>
      </c>
      <c r="R638" s="22" t="n">
        <v>4958.42</v>
      </c>
      <c r="S638" s="20" t="n">
        <v>4</v>
      </c>
      <c r="T638" s="20" t="n">
        <v>0</v>
      </c>
      <c r="U638" s="22" t="n">
        <v>387.83</v>
      </c>
      <c r="V638" s="23" t="n">
        <f aca="false">IF(ISNUMBER(C638),YEAR(C638),"")</f>
        <v>2017</v>
      </c>
      <c r="W638" s="23" t="n">
        <f aca="false">IF(ISNUMBER(C638),MONTH(C638),"")</f>
        <v>5</v>
      </c>
      <c r="X638" s="23" t="str">
        <f aca="false">IF(T638="","",IF(T638=0,"No discount",IF(T638&lt;=0.2,"Low (1-20%)",IF(T638&lt;=0.4,"Medium (21-40%)","High (&gt;40%)"))))</f>
        <v>No discount</v>
      </c>
      <c r="Y638" s="23" t="n">
        <f aca="false">IF(AND(ISNUMBER(C638),ISNUMBER(D638)),D638-C638,"")</f>
        <v>2</v>
      </c>
      <c r="Z638" s="23" t="n">
        <f aca="false">IF(B638="","",IF(MATCH(B638,$B$2:$B$12000,0)=ROW()-1,1,0))</f>
        <v>1</v>
      </c>
    </row>
    <row r="639" customFormat="false" ht="15" hidden="false" customHeight="false" outlineLevel="0" collapsed="false">
      <c r="A639" s="20" t="n">
        <v>638</v>
      </c>
      <c r="B639" s="20" t="s">
        <v>1771</v>
      </c>
      <c r="C639" s="21" t="n">
        <v>42874</v>
      </c>
      <c r="D639" s="21" t="n">
        <v>42881</v>
      </c>
      <c r="E639" s="20" t="s">
        <v>90</v>
      </c>
      <c r="F639" s="20" t="s">
        <v>1315</v>
      </c>
      <c r="G639" s="20" t="s">
        <v>1316</v>
      </c>
      <c r="H639" s="20" t="s">
        <v>61</v>
      </c>
      <c r="I639" s="20" t="s">
        <v>62</v>
      </c>
      <c r="J639" s="20" t="s">
        <v>63</v>
      </c>
      <c r="K639" s="20" t="s">
        <v>1073</v>
      </c>
      <c r="L639" s="20" t="n">
        <v>58949</v>
      </c>
      <c r="M639" s="20" t="s">
        <v>97</v>
      </c>
      <c r="N639" s="20" t="s">
        <v>1772</v>
      </c>
      <c r="O639" s="20" t="s">
        <v>76</v>
      </c>
      <c r="P639" s="20" t="s">
        <v>178</v>
      </c>
      <c r="Q639" s="20" t="s">
        <v>1773</v>
      </c>
      <c r="R639" s="22" t="n">
        <v>1370.06</v>
      </c>
      <c r="S639" s="20" t="n">
        <v>8</v>
      </c>
      <c r="T639" s="20" t="n">
        <v>0</v>
      </c>
      <c r="U639" s="22" t="n">
        <v>-65.91</v>
      </c>
      <c r="V639" s="23" t="n">
        <f aca="false">IF(ISNUMBER(C639),YEAR(C639),"")</f>
        <v>2017</v>
      </c>
      <c r="W639" s="23" t="n">
        <f aca="false">IF(ISNUMBER(C639),MONTH(C639),"")</f>
        <v>5</v>
      </c>
      <c r="X639" s="23" t="str">
        <f aca="false">IF(T639="","",IF(T639=0,"No discount",IF(T639&lt;=0.2,"Low (1-20%)",IF(T639&lt;=0.4,"Medium (21-40%)","High (&gt;40%)"))))</f>
        <v>No discount</v>
      </c>
      <c r="Y639" s="23" t="n">
        <f aca="false">IF(AND(ISNUMBER(C639),ISNUMBER(D639)),D639-C639,"")</f>
        <v>7</v>
      </c>
      <c r="Z639" s="23" t="n">
        <f aca="false">IF(B639="","",IF(MATCH(B639,$B$2:$B$12000,0)=ROW()-1,1,0))</f>
        <v>1</v>
      </c>
    </row>
    <row r="640" customFormat="false" ht="15" hidden="false" customHeight="false" outlineLevel="0" collapsed="false">
      <c r="A640" s="20" t="n">
        <v>639</v>
      </c>
      <c r="B640" s="20" t="s">
        <v>1771</v>
      </c>
      <c r="C640" s="21" t="n">
        <v>42874</v>
      </c>
      <c r="D640" s="21" t="n">
        <v>42881</v>
      </c>
      <c r="E640" s="20" t="s">
        <v>71</v>
      </c>
      <c r="F640" s="20" t="s">
        <v>1315</v>
      </c>
      <c r="G640" s="20" t="s">
        <v>1316</v>
      </c>
      <c r="H640" s="20" t="s">
        <v>61</v>
      </c>
      <c r="I640" s="20" t="s">
        <v>62</v>
      </c>
      <c r="J640" s="20" t="s">
        <v>63</v>
      </c>
      <c r="K640" s="20" t="s">
        <v>1073</v>
      </c>
      <c r="L640" s="20" t="n">
        <v>37508</v>
      </c>
      <c r="M640" s="20" t="s">
        <v>97</v>
      </c>
      <c r="N640" s="20" t="s">
        <v>1774</v>
      </c>
      <c r="O640" s="20" t="s">
        <v>114</v>
      </c>
      <c r="P640" s="20" t="s">
        <v>167</v>
      </c>
      <c r="Q640" s="20" t="s">
        <v>741</v>
      </c>
      <c r="R640" s="22" t="n">
        <v>668.32</v>
      </c>
      <c r="S640" s="20" t="n">
        <v>2</v>
      </c>
      <c r="T640" s="20" t="n">
        <v>0.2</v>
      </c>
      <c r="U640" s="22" t="n">
        <v>-31.42</v>
      </c>
      <c r="V640" s="23" t="n">
        <f aca="false">IF(ISNUMBER(C640),YEAR(C640),"")</f>
        <v>2017</v>
      </c>
      <c r="W640" s="23" t="n">
        <f aca="false">IF(ISNUMBER(C640),MONTH(C640),"")</f>
        <v>5</v>
      </c>
      <c r="X640" s="23" t="str">
        <f aca="false">IF(T640="","",IF(T640=0,"No discount",IF(T640&lt;=0.2,"Low (1-20%)",IF(T640&lt;=0.4,"Medium (21-40%)","High (&gt;40%)"))))</f>
        <v>Low (1-20%)</v>
      </c>
      <c r="Y640" s="23" t="n">
        <f aca="false">IF(AND(ISNUMBER(C640),ISNUMBER(D640)),D640-C640,"")</f>
        <v>7</v>
      </c>
      <c r="Z640" s="23" t="n">
        <f aca="false">IF(B640="","",IF(MATCH(B640,$B$2:$B$12000,0)=ROW()-1,1,0))</f>
        <v>0</v>
      </c>
    </row>
    <row r="641" customFormat="false" ht="15" hidden="false" customHeight="false" outlineLevel="0" collapsed="false">
      <c r="A641" s="20" t="n">
        <v>640</v>
      </c>
      <c r="B641" s="20" t="s">
        <v>1771</v>
      </c>
      <c r="C641" s="21" t="n">
        <v>42874</v>
      </c>
      <c r="D641" s="21" t="n">
        <v>42881</v>
      </c>
      <c r="E641" s="20" t="s">
        <v>90</v>
      </c>
      <c r="F641" s="20" t="s">
        <v>1315</v>
      </c>
      <c r="G641" s="20" t="s">
        <v>1316</v>
      </c>
      <c r="H641" s="20" t="s">
        <v>61</v>
      </c>
      <c r="I641" s="20" t="s">
        <v>62</v>
      </c>
      <c r="J641" s="20" t="s">
        <v>63</v>
      </c>
      <c r="K641" s="20" t="s">
        <v>1073</v>
      </c>
      <c r="L641" s="20" t="n">
        <v>31799</v>
      </c>
      <c r="M641" s="20" t="s">
        <v>97</v>
      </c>
      <c r="N641" s="20" t="s">
        <v>1775</v>
      </c>
      <c r="O641" s="20" t="s">
        <v>76</v>
      </c>
      <c r="P641" s="20" t="s">
        <v>178</v>
      </c>
      <c r="Q641" s="20" t="s">
        <v>1510</v>
      </c>
      <c r="R641" s="22" t="n">
        <v>617.18</v>
      </c>
      <c r="S641" s="20" t="n">
        <v>4</v>
      </c>
      <c r="T641" s="20" t="n">
        <v>0.2</v>
      </c>
      <c r="U641" s="22" t="n">
        <v>-78.23</v>
      </c>
      <c r="V641" s="23" t="n">
        <f aca="false">IF(ISNUMBER(C641),YEAR(C641),"")</f>
        <v>2017</v>
      </c>
      <c r="W641" s="23" t="n">
        <f aca="false">IF(ISNUMBER(C641),MONTH(C641),"")</f>
        <v>5</v>
      </c>
      <c r="X641" s="23" t="str">
        <f aca="false">IF(T641="","",IF(T641=0,"No discount",IF(T641&lt;=0.2,"Low (1-20%)",IF(T641&lt;=0.4,"Medium (21-40%)","High (&gt;40%)"))))</f>
        <v>Low (1-20%)</v>
      </c>
      <c r="Y641" s="23" t="n">
        <f aca="false">IF(AND(ISNUMBER(C641),ISNUMBER(D641)),D641-C641,"")</f>
        <v>7</v>
      </c>
      <c r="Z641" s="23" t="n">
        <f aca="false">IF(B641="","",IF(MATCH(B641,$B$2:$B$12000,0)=ROW()-1,1,0))</f>
        <v>0</v>
      </c>
    </row>
    <row r="642" customFormat="false" ht="15" hidden="false" customHeight="false" outlineLevel="0" collapsed="false">
      <c r="A642" s="20" t="n">
        <v>641</v>
      </c>
      <c r="B642" s="20" t="s">
        <v>1771</v>
      </c>
      <c r="C642" s="21" t="n">
        <v>42874</v>
      </c>
      <c r="D642" s="21" t="n">
        <v>42881</v>
      </c>
      <c r="E642" s="20" t="s">
        <v>90</v>
      </c>
      <c r="F642" s="20" t="s">
        <v>1315</v>
      </c>
      <c r="G642" s="20" t="s">
        <v>1316</v>
      </c>
      <c r="H642" s="20" t="s">
        <v>61</v>
      </c>
      <c r="I642" s="20" t="s">
        <v>62</v>
      </c>
      <c r="J642" s="20" t="s">
        <v>63</v>
      </c>
      <c r="K642" s="20" t="s">
        <v>1073</v>
      </c>
      <c r="L642" s="20" t="n">
        <v>86165</v>
      </c>
      <c r="M642" s="20" t="s">
        <v>97</v>
      </c>
      <c r="N642" s="20" t="s">
        <v>1776</v>
      </c>
      <c r="O642" s="20" t="s">
        <v>67</v>
      </c>
      <c r="P642" s="20" t="s">
        <v>68</v>
      </c>
      <c r="Q642" s="20" t="s">
        <v>1777</v>
      </c>
      <c r="R642" s="22" t="n">
        <v>11013.25</v>
      </c>
      <c r="S642" s="20" t="n">
        <v>6</v>
      </c>
      <c r="T642" s="20" t="n">
        <v>0.1</v>
      </c>
      <c r="U642" s="22" t="n">
        <v>2212.39</v>
      </c>
      <c r="V642" s="23" t="n">
        <f aca="false">IF(ISNUMBER(C642),YEAR(C642),"")</f>
        <v>2017</v>
      </c>
      <c r="W642" s="23" t="n">
        <f aca="false">IF(ISNUMBER(C642),MONTH(C642),"")</f>
        <v>5</v>
      </c>
      <c r="X642" s="23" t="str">
        <f aca="false">IF(T642="","",IF(T642=0,"No discount",IF(T642&lt;=0.2,"Low (1-20%)",IF(T642&lt;=0.4,"Medium (21-40%)","High (&gt;40%)"))))</f>
        <v>Low (1-20%)</v>
      </c>
      <c r="Y642" s="23" t="n">
        <f aca="false">IF(AND(ISNUMBER(C642),ISNUMBER(D642)),D642-C642,"")</f>
        <v>7</v>
      </c>
      <c r="Z642" s="23" t="n">
        <f aca="false">IF(B642="","",IF(MATCH(B642,$B$2:$B$12000,0)=ROW()-1,1,0))</f>
        <v>0</v>
      </c>
    </row>
    <row r="643" customFormat="false" ht="15" hidden="false" customHeight="false" outlineLevel="0" collapsed="false">
      <c r="A643" s="20" t="n">
        <v>642</v>
      </c>
      <c r="B643" s="20" t="s">
        <v>1778</v>
      </c>
      <c r="C643" s="21" t="n">
        <v>42874</v>
      </c>
      <c r="D643" s="21" t="n">
        <v>42877</v>
      </c>
      <c r="E643" s="20" t="s">
        <v>104</v>
      </c>
      <c r="F643" s="20" t="s">
        <v>264</v>
      </c>
      <c r="G643" s="20" t="s">
        <v>265</v>
      </c>
      <c r="H643" s="20" t="s">
        <v>61</v>
      </c>
      <c r="I643" s="20" t="s">
        <v>62</v>
      </c>
      <c r="J643" s="20" t="s">
        <v>63</v>
      </c>
      <c r="K643" s="20" t="s">
        <v>335</v>
      </c>
      <c r="L643" s="20" t="n">
        <v>85599</v>
      </c>
      <c r="M643" s="20" t="s">
        <v>65</v>
      </c>
      <c r="N643" s="20" t="s">
        <v>1779</v>
      </c>
      <c r="O643" s="20" t="s">
        <v>114</v>
      </c>
      <c r="P643" s="20" t="s">
        <v>210</v>
      </c>
      <c r="Q643" s="20" t="s">
        <v>1780</v>
      </c>
      <c r="R643" s="22" t="n">
        <v>259.11</v>
      </c>
      <c r="S643" s="20" t="n">
        <v>7</v>
      </c>
      <c r="T643" s="20" t="n">
        <v>0.5</v>
      </c>
      <c r="U643" s="22" t="n">
        <v>-48.34</v>
      </c>
      <c r="V643" s="23" t="n">
        <f aca="false">IF(ISNUMBER(C643),YEAR(C643),"")</f>
        <v>2017</v>
      </c>
      <c r="W643" s="23" t="n">
        <f aca="false">IF(ISNUMBER(C643),MONTH(C643),"")</f>
        <v>5</v>
      </c>
      <c r="X643" s="23" t="str">
        <f aca="false">IF(T643="","",IF(T643=0,"No discount",IF(T643&lt;=0.2,"Low (1-20%)",IF(T643&lt;=0.4,"Medium (21-40%)","High (&gt;40%)"))))</f>
        <v>High (&gt;40%)</v>
      </c>
      <c r="Y643" s="23" t="n">
        <f aca="false">IF(AND(ISNUMBER(C643),ISNUMBER(D643)),D643-C643,"")</f>
        <v>3</v>
      </c>
      <c r="Z643" s="23" t="n">
        <f aca="false">IF(B643="","",IF(MATCH(B643,$B$2:$B$12000,0)=ROW()-1,1,0))</f>
        <v>1</v>
      </c>
    </row>
    <row r="644" customFormat="false" ht="15" hidden="false" customHeight="false" outlineLevel="0" collapsed="false">
      <c r="A644" s="20" t="n">
        <v>643</v>
      </c>
      <c r="B644" s="20" t="s">
        <v>1781</v>
      </c>
      <c r="C644" s="21" t="n">
        <v>42876</v>
      </c>
      <c r="D644" s="21" t="n">
        <v>42878</v>
      </c>
      <c r="E644" s="20" t="s">
        <v>58</v>
      </c>
      <c r="F644" s="20" t="s">
        <v>144</v>
      </c>
      <c r="G644" s="20" t="s">
        <v>145</v>
      </c>
      <c r="H644" s="20" t="s">
        <v>85</v>
      </c>
      <c r="I644" s="20" t="s">
        <v>62</v>
      </c>
      <c r="J644" s="20" t="s">
        <v>63</v>
      </c>
      <c r="K644" s="20" t="s">
        <v>565</v>
      </c>
      <c r="L644" s="20" t="n">
        <v>59344</v>
      </c>
      <c r="M644" s="20" t="s">
        <v>112</v>
      </c>
      <c r="N644" s="20" t="s">
        <v>1782</v>
      </c>
      <c r="O644" s="20" t="s">
        <v>76</v>
      </c>
      <c r="P644" s="20" t="s">
        <v>80</v>
      </c>
      <c r="Q644" s="20" t="s">
        <v>1783</v>
      </c>
      <c r="R644" s="22" t="n">
        <v>75.61</v>
      </c>
      <c r="S644" s="20" t="n">
        <v>6</v>
      </c>
      <c r="T644" s="20" t="n">
        <v>0</v>
      </c>
      <c r="U644" s="22" t="n">
        <v>18.1</v>
      </c>
      <c r="V644" s="23" t="n">
        <f aca="false">IF(ISNUMBER(C644),YEAR(C644),"")</f>
        <v>2017</v>
      </c>
      <c r="W644" s="23" t="n">
        <f aca="false">IF(ISNUMBER(C644),MONTH(C644),"")</f>
        <v>5</v>
      </c>
      <c r="X644" s="23" t="str">
        <f aca="false">IF(T644="","",IF(T644=0,"No discount",IF(T644&lt;=0.2,"Low (1-20%)",IF(T644&lt;=0.4,"Medium (21-40%)","High (&gt;40%)"))))</f>
        <v>No discount</v>
      </c>
      <c r="Y644" s="23" t="n">
        <f aca="false">IF(AND(ISNUMBER(C644),ISNUMBER(D644)),D644-C644,"")</f>
        <v>2</v>
      </c>
      <c r="Z644" s="23" t="n">
        <f aca="false">IF(B644="","",IF(MATCH(B644,$B$2:$B$12000,0)=ROW()-1,1,0))</f>
        <v>1</v>
      </c>
    </row>
    <row r="645" customFormat="false" ht="15" hidden="false" customHeight="false" outlineLevel="0" collapsed="false">
      <c r="A645" s="20" t="n">
        <v>644</v>
      </c>
      <c r="B645" s="20" t="s">
        <v>1784</v>
      </c>
      <c r="C645" s="21" t="n">
        <v>42894</v>
      </c>
      <c r="D645" s="21" t="n">
        <v>42901</v>
      </c>
      <c r="E645" s="20" t="s">
        <v>90</v>
      </c>
      <c r="F645" s="20" t="s">
        <v>314</v>
      </c>
      <c r="G645" s="20" t="s">
        <v>315</v>
      </c>
      <c r="H645" s="20" t="s">
        <v>61</v>
      </c>
      <c r="I645" s="20" t="s">
        <v>62</v>
      </c>
      <c r="J645" s="20" t="s">
        <v>63</v>
      </c>
      <c r="K645" s="20" t="s">
        <v>569</v>
      </c>
      <c r="L645" s="20" t="n">
        <v>57001</v>
      </c>
      <c r="M645" s="20" t="s">
        <v>153</v>
      </c>
      <c r="N645" s="20" t="s">
        <v>1785</v>
      </c>
      <c r="O645" s="20" t="s">
        <v>114</v>
      </c>
      <c r="P645" s="20" t="s">
        <v>115</v>
      </c>
      <c r="Q645" s="20" t="s">
        <v>1786</v>
      </c>
      <c r="R645" s="22" t="n">
        <v>1219.64</v>
      </c>
      <c r="S645" s="20" t="n">
        <v>3</v>
      </c>
      <c r="T645" s="20" t="n">
        <v>0</v>
      </c>
      <c r="U645" s="22" t="n">
        <v>128.15</v>
      </c>
      <c r="V645" s="23" t="n">
        <f aca="false">IF(ISNUMBER(C645),YEAR(C645),"")</f>
        <v>2017</v>
      </c>
      <c r="W645" s="23" t="n">
        <f aca="false">IF(ISNUMBER(C645),MONTH(C645),"")</f>
        <v>6</v>
      </c>
      <c r="X645" s="23" t="str">
        <f aca="false">IF(T645="","",IF(T645=0,"No discount",IF(T645&lt;=0.2,"Low (1-20%)",IF(T645&lt;=0.4,"Medium (21-40%)","High (&gt;40%)"))))</f>
        <v>No discount</v>
      </c>
      <c r="Y645" s="23" t="n">
        <f aca="false">IF(AND(ISNUMBER(C645),ISNUMBER(D645)),D645-C645,"")</f>
        <v>7</v>
      </c>
      <c r="Z645" s="23" t="n">
        <f aca="false">IF(B645="","",IF(MATCH(B645,$B$2:$B$12000,0)=ROW()-1,1,0))</f>
        <v>1</v>
      </c>
    </row>
    <row r="646" customFormat="false" ht="15" hidden="false" customHeight="false" outlineLevel="0" collapsed="false">
      <c r="A646" s="20" t="n">
        <v>645</v>
      </c>
      <c r="B646" s="20" t="s">
        <v>1787</v>
      </c>
      <c r="C646" s="21" t="n">
        <v>42895</v>
      </c>
      <c r="D646" s="21" t="n">
        <v>42899</v>
      </c>
      <c r="E646" s="20" t="s">
        <v>104</v>
      </c>
      <c r="F646" s="20" t="s">
        <v>352</v>
      </c>
      <c r="G646" s="20" t="s">
        <v>353</v>
      </c>
      <c r="H646" s="20" t="s">
        <v>85</v>
      </c>
      <c r="I646" s="20" t="s">
        <v>62</v>
      </c>
      <c r="J646" s="20" t="s">
        <v>63</v>
      </c>
      <c r="K646" s="20" t="s">
        <v>796</v>
      </c>
      <c r="L646" s="20" t="n">
        <v>15878</v>
      </c>
      <c r="M646" s="20" t="s">
        <v>153</v>
      </c>
      <c r="N646" s="20" t="s">
        <v>1788</v>
      </c>
      <c r="O646" s="20" t="s">
        <v>76</v>
      </c>
      <c r="P646" s="20" t="s">
        <v>88</v>
      </c>
      <c r="Q646" s="20" t="s">
        <v>1789</v>
      </c>
      <c r="R646" s="22" t="n">
        <v>1214.11</v>
      </c>
      <c r="S646" s="20" t="n">
        <v>7</v>
      </c>
      <c r="T646" s="20" t="n">
        <v>0.4</v>
      </c>
      <c r="U646" s="22" t="n">
        <v>-181.38</v>
      </c>
      <c r="V646" s="23" t="n">
        <f aca="false">IF(ISNUMBER(C646),YEAR(C646),"")</f>
        <v>2017</v>
      </c>
      <c r="W646" s="23" t="n">
        <f aca="false">IF(ISNUMBER(C646),MONTH(C646),"")</f>
        <v>6</v>
      </c>
      <c r="X646" s="23" t="str">
        <f aca="false">IF(T646="","",IF(T646=0,"No discount",IF(T646&lt;=0.2,"Low (1-20%)",IF(T646&lt;=0.4,"Medium (21-40%)","High (&gt;40%)"))))</f>
        <v>Medium (21-40%)</v>
      </c>
      <c r="Y646" s="23" t="n">
        <f aca="false">IF(AND(ISNUMBER(C646),ISNUMBER(D646)),D646-C646,"")</f>
        <v>4</v>
      </c>
      <c r="Z646" s="23" t="n">
        <f aca="false">IF(B646="","",IF(MATCH(B646,$B$2:$B$12000,0)=ROW()-1,1,0))</f>
        <v>1</v>
      </c>
    </row>
    <row r="647" customFormat="false" ht="15" hidden="false" customHeight="false" outlineLevel="0" collapsed="false">
      <c r="A647" s="20" t="n">
        <v>646</v>
      </c>
      <c r="B647" s="20" t="s">
        <v>1790</v>
      </c>
      <c r="C647" s="21" t="n">
        <v>42897</v>
      </c>
      <c r="D647" s="21" t="n">
        <v>42904</v>
      </c>
      <c r="E647" s="20" t="s">
        <v>58</v>
      </c>
      <c r="F647" s="20" t="s">
        <v>319</v>
      </c>
      <c r="G647" s="20" t="s">
        <v>320</v>
      </c>
      <c r="H647" s="20" t="s">
        <v>61</v>
      </c>
      <c r="I647" s="20" t="s">
        <v>62</v>
      </c>
      <c r="J647" s="20" t="s">
        <v>63</v>
      </c>
      <c r="K647" s="20" t="s">
        <v>969</v>
      </c>
      <c r="L647" s="20" t="n">
        <v>84055</v>
      </c>
      <c r="M647" s="20" t="s">
        <v>112</v>
      </c>
      <c r="N647" s="20" t="s">
        <v>1791</v>
      </c>
      <c r="O647" s="20" t="s">
        <v>76</v>
      </c>
      <c r="P647" s="20" t="s">
        <v>88</v>
      </c>
      <c r="Q647" s="20" t="s">
        <v>1055</v>
      </c>
      <c r="R647" s="22" t="n">
        <v>109.46</v>
      </c>
      <c r="S647" s="20" t="n">
        <v>4</v>
      </c>
      <c r="T647" s="20" t="n">
        <v>0.4</v>
      </c>
      <c r="U647" s="22" t="n">
        <v>-4.22</v>
      </c>
      <c r="V647" s="23" t="n">
        <f aca="false">IF(ISNUMBER(C647),YEAR(C647),"")</f>
        <v>2017</v>
      </c>
      <c r="W647" s="23" t="n">
        <f aca="false">IF(ISNUMBER(C647),MONTH(C647),"")</f>
        <v>6</v>
      </c>
      <c r="X647" s="23" t="str">
        <f aca="false">IF(T647="","",IF(T647=0,"No discount",IF(T647&lt;=0.2,"Low (1-20%)",IF(T647&lt;=0.4,"Medium (21-40%)","High (&gt;40%)"))))</f>
        <v>Medium (21-40%)</v>
      </c>
      <c r="Y647" s="23" t="n">
        <f aca="false">IF(AND(ISNUMBER(C647),ISNUMBER(D647)),D647-C647,"")</f>
        <v>7</v>
      </c>
      <c r="Z647" s="23" t="n">
        <f aca="false">IF(B647="","",IF(MATCH(B647,$B$2:$B$12000,0)=ROW()-1,1,0))</f>
        <v>1</v>
      </c>
    </row>
    <row r="648" customFormat="false" ht="15" hidden="false" customHeight="false" outlineLevel="0" collapsed="false">
      <c r="A648" s="20" t="n">
        <v>647</v>
      </c>
      <c r="B648" s="20" t="s">
        <v>1792</v>
      </c>
      <c r="C648" s="21" t="n">
        <v>42899</v>
      </c>
      <c r="D648" s="21" t="n">
        <v>42906</v>
      </c>
      <c r="E648" s="20" t="s">
        <v>71</v>
      </c>
      <c r="F648" s="20" t="s">
        <v>59</v>
      </c>
      <c r="G648" s="20" t="s">
        <v>60</v>
      </c>
      <c r="H648" s="20" t="s">
        <v>61</v>
      </c>
      <c r="I648" s="20" t="s">
        <v>62</v>
      </c>
      <c r="J648" s="20" t="s">
        <v>63</v>
      </c>
      <c r="K648" s="20" t="s">
        <v>183</v>
      </c>
      <c r="L648" s="20" t="n">
        <v>38045</v>
      </c>
      <c r="M648" s="20" t="s">
        <v>112</v>
      </c>
      <c r="N648" s="20" t="s">
        <v>1793</v>
      </c>
      <c r="O648" s="20" t="s">
        <v>114</v>
      </c>
      <c r="P648" s="20" t="s">
        <v>139</v>
      </c>
      <c r="Q648" s="20" t="s">
        <v>1794</v>
      </c>
      <c r="R648" s="22" t="n">
        <v>963.67</v>
      </c>
      <c r="S648" s="20" t="n">
        <v>7</v>
      </c>
      <c r="T648" s="20" t="n">
        <v>0.4</v>
      </c>
      <c r="U648" s="22" t="n">
        <v>-283.77</v>
      </c>
      <c r="V648" s="23" t="n">
        <f aca="false">IF(ISNUMBER(C648),YEAR(C648),"")</f>
        <v>2017</v>
      </c>
      <c r="W648" s="23" t="n">
        <f aca="false">IF(ISNUMBER(C648),MONTH(C648),"")</f>
        <v>6</v>
      </c>
      <c r="X648" s="23" t="str">
        <f aca="false">IF(T648="","",IF(T648=0,"No discount",IF(T648&lt;=0.2,"Low (1-20%)",IF(T648&lt;=0.4,"Medium (21-40%)","High (&gt;40%)"))))</f>
        <v>Medium (21-40%)</v>
      </c>
      <c r="Y648" s="23" t="n">
        <f aca="false">IF(AND(ISNUMBER(C648),ISNUMBER(D648)),D648-C648,"")</f>
        <v>7</v>
      </c>
      <c r="Z648" s="23" t="n">
        <f aca="false">IF(B648="","",IF(MATCH(B648,$B$2:$B$12000,0)=ROW()-1,1,0))</f>
        <v>1</v>
      </c>
    </row>
    <row r="649" customFormat="false" ht="15" hidden="false" customHeight="false" outlineLevel="0" collapsed="false">
      <c r="A649" s="20" t="n">
        <v>648</v>
      </c>
      <c r="B649" s="20" t="s">
        <v>1795</v>
      </c>
      <c r="C649" s="21" t="n">
        <v>42907</v>
      </c>
      <c r="D649" s="21" t="n">
        <v>42911</v>
      </c>
      <c r="E649" s="20" t="s">
        <v>58</v>
      </c>
      <c r="F649" s="20" t="s">
        <v>1445</v>
      </c>
      <c r="G649" s="20" t="s">
        <v>1446</v>
      </c>
      <c r="H649" s="20" t="s">
        <v>162</v>
      </c>
      <c r="I649" s="20" t="s">
        <v>62</v>
      </c>
      <c r="J649" s="20" t="s">
        <v>63</v>
      </c>
      <c r="K649" s="20" t="s">
        <v>96</v>
      </c>
      <c r="L649" s="20" t="n">
        <v>61161</v>
      </c>
      <c r="M649" s="20" t="s">
        <v>97</v>
      </c>
      <c r="N649" s="20" t="s">
        <v>1796</v>
      </c>
      <c r="O649" s="20" t="s">
        <v>76</v>
      </c>
      <c r="P649" s="20" t="s">
        <v>128</v>
      </c>
      <c r="Q649" s="20" t="s">
        <v>1797</v>
      </c>
      <c r="R649" s="22" t="n">
        <v>859.89</v>
      </c>
      <c r="S649" s="20" t="n">
        <v>4</v>
      </c>
      <c r="T649" s="20" t="n">
        <v>0</v>
      </c>
      <c r="U649" s="22" t="n">
        <v>126.83</v>
      </c>
      <c r="V649" s="23" t="n">
        <f aca="false">IF(ISNUMBER(C649),YEAR(C649),"")</f>
        <v>2017</v>
      </c>
      <c r="W649" s="23" t="n">
        <f aca="false">IF(ISNUMBER(C649),MONTH(C649),"")</f>
        <v>6</v>
      </c>
      <c r="X649" s="23" t="str">
        <f aca="false">IF(T649="","",IF(T649=0,"No discount",IF(T649&lt;=0.2,"Low (1-20%)",IF(T649&lt;=0.4,"Medium (21-40%)","High (&gt;40%)"))))</f>
        <v>No discount</v>
      </c>
      <c r="Y649" s="23" t="n">
        <f aca="false">IF(AND(ISNUMBER(C649),ISNUMBER(D649)),D649-C649,"")</f>
        <v>4</v>
      </c>
      <c r="Z649" s="23" t="n">
        <f aca="false">IF(B649="","",IF(MATCH(B649,$B$2:$B$12000,0)=ROW()-1,1,0))</f>
        <v>1</v>
      </c>
    </row>
    <row r="650" customFormat="false" ht="15" hidden="false" customHeight="false" outlineLevel="0" collapsed="false">
      <c r="A650" s="20" t="n">
        <v>649</v>
      </c>
      <c r="B650" s="20" t="s">
        <v>1795</v>
      </c>
      <c r="C650" s="21" t="n">
        <v>42907</v>
      </c>
      <c r="D650" s="21" t="n">
        <v>42911</v>
      </c>
      <c r="E650" s="20" t="s">
        <v>58</v>
      </c>
      <c r="F650" s="20" t="s">
        <v>1445</v>
      </c>
      <c r="G650" s="20" t="s">
        <v>1446</v>
      </c>
      <c r="H650" s="20" t="s">
        <v>162</v>
      </c>
      <c r="I650" s="20" t="s">
        <v>62</v>
      </c>
      <c r="J650" s="20" t="s">
        <v>63</v>
      </c>
      <c r="K650" s="20" t="s">
        <v>96</v>
      </c>
      <c r="L650" s="20" t="n">
        <v>44279</v>
      </c>
      <c r="M650" s="20" t="s">
        <v>97</v>
      </c>
      <c r="N650" s="20" t="s">
        <v>1798</v>
      </c>
      <c r="O650" s="20" t="s">
        <v>114</v>
      </c>
      <c r="P650" s="20" t="s">
        <v>167</v>
      </c>
      <c r="Q650" s="20" t="s">
        <v>1799</v>
      </c>
      <c r="R650" s="22" t="n">
        <v>2373.24</v>
      </c>
      <c r="S650" s="20" t="n">
        <v>5</v>
      </c>
      <c r="T650" s="20" t="n">
        <v>0.3</v>
      </c>
      <c r="U650" s="22" t="n">
        <v>-817.86</v>
      </c>
      <c r="V650" s="23" t="n">
        <f aca="false">IF(ISNUMBER(C650),YEAR(C650),"")</f>
        <v>2017</v>
      </c>
      <c r="W650" s="23" t="n">
        <f aca="false">IF(ISNUMBER(C650),MONTH(C650),"")</f>
        <v>6</v>
      </c>
      <c r="X650" s="23" t="str">
        <f aca="false">IF(T650="","",IF(T650=0,"No discount",IF(T650&lt;=0.2,"Low (1-20%)",IF(T650&lt;=0.4,"Medium (21-40%)","High (&gt;40%)"))))</f>
        <v>Medium (21-40%)</v>
      </c>
      <c r="Y650" s="23" t="n">
        <f aca="false">IF(AND(ISNUMBER(C650),ISNUMBER(D650)),D650-C650,"")</f>
        <v>4</v>
      </c>
      <c r="Z650" s="23" t="n">
        <f aca="false">IF(B650="","",IF(MATCH(B650,$B$2:$B$12000,0)=ROW()-1,1,0))</f>
        <v>0</v>
      </c>
    </row>
    <row r="651" customFormat="false" ht="15" hidden="false" customHeight="false" outlineLevel="0" collapsed="false">
      <c r="A651" s="20" t="n">
        <v>650</v>
      </c>
      <c r="B651" s="20" t="s">
        <v>1795</v>
      </c>
      <c r="C651" s="21" t="n">
        <v>42907</v>
      </c>
      <c r="D651" s="21" t="n">
        <v>42911</v>
      </c>
      <c r="E651" s="20" t="s">
        <v>90</v>
      </c>
      <c r="F651" s="20" t="s">
        <v>1445</v>
      </c>
      <c r="G651" s="20" t="s">
        <v>1446</v>
      </c>
      <c r="H651" s="20" t="s">
        <v>162</v>
      </c>
      <c r="I651" s="20" t="s">
        <v>62</v>
      </c>
      <c r="J651" s="20" t="s">
        <v>63</v>
      </c>
      <c r="K651" s="20" t="s">
        <v>96</v>
      </c>
      <c r="L651" s="20" t="n">
        <v>91526</v>
      </c>
      <c r="M651" s="20" t="s">
        <v>97</v>
      </c>
      <c r="N651" s="20" t="s">
        <v>1800</v>
      </c>
      <c r="O651" s="20" t="s">
        <v>67</v>
      </c>
      <c r="P651" s="20" t="s">
        <v>68</v>
      </c>
      <c r="Q651" s="20" t="s">
        <v>1801</v>
      </c>
      <c r="R651" s="22" t="n">
        <v>9197.48</v>
      </c>
      <c r="S651" s="20" t="n">
        <v>6</v>
      </c>
      <c r="T651" s="20" t="n">
        <v>0.4</v>
      </c>
      <c r="U651" s="22" t="n">
        <v>1138.05</v>
      </c>
      <c r="V651" s="23" t="n">
        <f aca="false">IF(ISNUMBER(C651),YEAR(C651),"")</f>
        <v>2017</v>
      </c>
      <c r="W651" s="23" t="n">
        <f aca="false">IF(ISNUMBER(C651),MONTH(C651),"")</f>
        <v>6</v>
      </c>
      <c r="X651" s="23" t="str">
        <f aca="false">IF(T651="","",IF(T651=0,"No discount",IF(T651&lt;=0.2,"Low (1-20%)",IF(T651&lt;=0.4,"Medium (21-40%)","High (&gt;40%)"))))</f>
        <v>Medium (21-40%)</v>
      </c>
      <c r="Y651" s="23" t="n">
        <f aca="false">IF(AND(ISNUMBER(C651),ISNUMBER(D651)),D651-C651,"")</f>
        <v>4</v>
      </c>
      <c r="Z651" s="23" t="n">
        <f aca="false">IF(B651="","",IF(MATCH(B651,$B$2:$B$12000,0)=ROW()-1,1,0))</f>
        <v>0</v>
      </c>
    </row>
    <row r="652" customFormat="false" ht="15" hidden="false" customHeight="false" outlineLevel="0" collapsed="false">
      <c r="A652" s="20" t="n">
        <v>651</v>
      </c>
      <c r="B652" s="20" t="s">
        <v>1802</v>
      </c>
      <c r="C652" s="21" t="n">
        <v>42909</v>
      </c>
      <c r="D652" s="21" t="n">
        <v>42915</v>
      </c>
      <c r="E652" s="20" t="s">
        <v>58</v>
      </c>
      <c r="F652" s="20" t="s">
        <v>258</v>
      </c>
      <c r="G652" s="20" t="s">
        <v>259</v>
      </c>
      <c r="H652" s="20" t="s">
        <v>85</v>
      </c>
      <c r="I652" s="20" t="s">
        <v>62</v>
      </c>
      <c r="J652" s="20" t="s">
        <v>63</v>
      </c>
      <c r="K652" s="20" t="s">
        <v>1073</v>
      </c>
      <c r="L652" s="20" t="n">
        <v>21554</v>
      </c>
      <c r="M652" s="20" t="s">
        <v>97</v>
      </c>
      <c r="N652" s="20" t="s">
        <v>1803</v>
      </c>
      <c r="O652" s="20" t="s">
        <v>76</v>
      </c>
      <c r="P652" s="20" t="s">
        <v>122</v>
      </c>
      <c r="Q652" s="20" t="s">
        <v>1804</v>
      </c>
      <c r="R652" s="22" t="n">
        <v>18.24</v>
      </c>
      <c r="S652" s="20" t="n">
        <v>1</v>
      </c>
      <c r="T652" s="20" t="n">
        <v>0</v>
      </c>
      <c r="U652" s="22" t="n">
        <v>5.5</v>
      </c>
      <c r="V652" s="23" t="n">
        <f aca="false">IF(ISNUMBER(C652),YEAR(C652),"")</f>
        <v>2017</v>
      </c>
      <c r="W652" s="23" t="n">
        <f aca="false">IF(ISNUMBER(C652),MONTH(C652),"")</f>
        <v>6</v>
      </c>
      <c r="X652" s="23" t="str">
        <f aca="false">IF(T652="","",IF(T652=0,"No discount",IF(T652&lt;=0.2,"Low (1-20%)",IF(T652&lt;=0.4,"Medium (21-40%)","High (&gt;40%)"))))</f>
        <v>No discount</v>
      </c>
      <c r="Y652" s="23" t="n">
        <f aca="false">IF(AND(ISNUMBER(C652),ISNUMBER(D652)),D652-C652,"")</f>
        <v>6</v>
      </c>
      <c r="Z652" s="23" t="n">
        <f aca="false">IF(B652="","",IF(MATCH(B652,$B$2:$B$12000,0)=ROW()-1,1,0))</f>
        <v>1</v>
      </c>
    </row>
    <row r="653" customFormat="false" ht="15" hidden="false" customHeight="false" outlineLevel="0" collapsed="false">
      <c r="A653" s="20" t="n">
        <v>652</v>
      </c>
      <c r="B653" s="20" t="s">
        <v>1805</v>
      </c>
      <c r="C653" s="21" t="n">
        <v>42911</v>
      </c>
      <c r="D653" s="21" t="n">
        <v>42913</v>
      </c>
      <c r="E653" s="20" t="s">
        <v>71</v>
      </c>
      <c r="F653" s="20" t="s">
        <v>582</v>
      </c>
      <c r="G653" s="20" t="s">
        <v>583</v>
      </c>
      <c r="H653" s="20" t="s">
        <v>61</v>
      </c>
      <c r="I653" s="20" t="s">
        <v>62</v>
      </c>
      <c r="J653" s="20" t="s">
        <v>63</v>
      </c>
      <c r="K653" s="20" t="s">
        <v>1257</v>
      </c>
      <c r="L653" s="20" t="n">
        <v>80730</v>
      </c>
      <c r="M653" s="20" t="s">
        <v>97</v>
      </c>
      <c r="N653" s="20" t="s">
        <v>1806</v>
      </c>
      <c r="O653" s="20" t="s">
        <v>76</v>
      </c>
      <c r="P653" s="20" t="s">
        <v>236</v>
      </c>
      <c r="Q653" s="20" t="s">
        <v>1807</v>
      </c>
      <c r="R653" s="22" t="n">
        <v>19.2</v>
      </c>
      <c r="S653" s="20" t="n">
        <v>1</v>
      </c>
      <c r="T653" s="20" t="n">
        <v>0.4</v>
      </c>
      <c r="U653" s="22" t="n">
        <v>1.96</v>
      </c>
      <c r="V653" s="23" t="n">
        <f aca="false">IF(ISNUMBER(C653),YEAR(C653),"")</f>
        <v>2017</v>
      </c>
      <c r="W653" s="23" t="n">
        <f aca="false">IF(ISNUMBER(C653),MONTH(C653),"")</f>
        <v>6</v>
      </c>
      <c r="X653" s="23" t="str">
        <f aca="false">IF(T653="","",IF(T653=0,"No discount",IF(T653&lt;=0.2,"Low (1-20%)",IF(T653&lt;=0.4,"Medium (21-40%)","High (&gt;40%)"))))</f>
        <v>Medium (21-40%)</v>
      </c>
      <c r="Y653" s="23" t="n">
        <f aca="false">IF(AND(ISNUMBER(C653),ISNUMBER(D653)),D653-C653,"")</f>
        <v>2</v>
      </c>
      <c r="Z653" s="23" t="n">
        <f aca="false">IF(B653="","",IF(MATCH(B653,$B$2:$B$12000,0)=ROW()-1,1,0))</f>
        <v>1</v>
      </c>
    </row>
    <row r="654" customFormat="false" ht="15" hidden="false" customHeight="false" outlineLevel="0" collapsed="false">
      <c r="A654" s="20" t="n">
        <v>653</v>
      </c>
      <c r="B654" s="20" t="s">
        <v>1805</v>
      </c>
      <c r="C654" s="21" t="n">
        <v>42911</v>
      </c>
      <c r="D654" s="21" t="n">
        <v>42913</v>
      </c>
      <c r="E654" s="20" t="s">
        <v>104</v>
      </c>
      <c r="F654" s="20" t="s">
        <v>582</v>
      </c>
      <c r="G654" s="20" t="s">
        <v>583</v>
      </c>
      <c r="H654" s="20" t="s">
        <v>61</v>
      </c>
      <c r="I654" s="20" t="s">
        <v>62</v>
      </c>
      <c r="J654" s="20" t="s">
        <v>63</v>
      </c>
      <c r="K654" s="20" t="s">
        <v>1257</v>
      </c>
      <c r="L654" s="20" t="n">
        <v>58823</v>
      </c>
      <c r="M654" s="20" t="s">
        <v>97</v>
      </c>
      <c r="N654" s="20" t="s">
        <v>1808</v>
      </c>
      <c r="O654" s="20" t="s">
        <v>114</v>
      </c>
      <c r="P654" s="20" t="s">
        <v>115</v>
      </c>
      <c r="Q654" s="20" t="s">
        <v>277</v>
      </c>
      <c r="R654" s="22" t="n">
        <v>920.03</v>
      </c>
      <c r="S654" s="20" t="n">
        <v>2</v>
      </c>
      <c r="T654" s="20" t="n">
        <v>0.3</v>
      </c>
      <c r="U654" s="22" t="n">
        <v>-69.58</v>
      </c>
      <c r="V654" s="23" t="n">
        <f aca="false">IF(ISNUMBER(C654),YEAR(C654),"")</f>
        <v>2017</v>
      </c>
      <c r="W654" s="23" t="n">
        <f aca="false">IF(ISNUMBER(C654),MONTH(C654),"")</f>
        <v>6</v>
      </c>
      <c r="X654" s="23" t="str">
        <f aca="false">IF(T654="","",IF(T654=0,"No discount",IF(T654&lt;=0.2,"Low (1-20%)",IF(T654&lt;=0.4,"Medium (21-40%)","High (&gt;40%)"))))</f>
        <v>Medium (21-40%)</v>
      </c>
      <c r="Y654" s="23" t="n">
        <f aca="false">IF(AND(ISNUMBER(C654),ISNUMBER(D654)),D654-C654,"")</f>
        <v>2</v>
      </c>
      <c r="Z654" s="23" t="n">
        <f aca="false">IF(B654="","",IF(MATCH(B654,$B$2:$B$12000,0)=ROW()-1,1,0))</f>
        <v>0</v>
      </c>
    </row>
    <row r="655" customFormat="false" ht="15" hidden="false" customHeight="false" outlineLevel="0" collapsed="false">
      <c r="A655" s="20" t="n">
        <v>654</v>
      </c>
      <c r="B655" s="20" t="s">
        <v>1805</v>
      </c>
      <c r="C655" s="21" t="n">
        <v>42911</v>
      </c>
      <c r="D655" s="21" t="n">
        <v>42913</v>
      </c>
      <c r="E655" s="20" t="s">
        <v>90</v>
      </c>
      <c r="F655" s="20" t="s">
        <v>582</v>
      </c>
      <c r="G655" s="20" t="s">
        <v>583</v>
      </c>
      <c r="H655" s="20" t="s">
        <v>61</v>
      </c>
      <c r="I655" s="20" t="s">
        <v>62</v>
      </c>
      <c r="J655" s="20" t="s">
        <v>63</v>
      </c>
      <c r="K655" s="20" t="s">
        <v>1257</v>
      </c>
      <c r="L655" s="20" t="n">
        <v>28970</v>
      </c>
      <c r="M655" s="20" t="s">
        <v>97</v>
      </c>
      <c r="N655" s="20" t="s">
        <v>1809</v>
      </c>
      <c r="O655" s="20" t="s">
        <v>114</v>
      </c>
      <c r="P655" s="20" t="s">
        <v>115</v>
      </c>
      <c r="Q655" s="20" t="s">
        <v>1810</v>
      </c>
      <c r="R655" s="22" t="n">
        <v>2454.05</v>
      </c>
      <c r="S655" s="20" t="n">
        <v>6</v>
      </c>
      <c r="T655" s="20" t="n">
        <v>0.3</v>
      </c>
      <c r="U655" s="22" t="n">
        <v>-349.5</v>
      </c>
      <c r="V655" s="23" t="n">
        <f aca="false">IF(ISNUMBER(C655),YEAR(C655),"")</f>
        <v>2017</v>
      </c>
      <c r="W655" s="23" t="n">
        <f aca="false">IF(ISNUMBER(C655),MONTH(C655),"")</f>
        <v>6</v>
      </c>
      <c r="X655" s="23" t="str">
        <f aca="false">IF(T655="","",IF(T655=0,"No discount",IF(T655&lt;=0.2,"Low (1-20%)",IF(T655&lt;=0.4,"Medium (21-40%)","High (&gt;40%)"))))</f>
        <v>Medium (21-40%)</v>
      </c>
      <c r="Y655" s="23" t="n">
        <f aca="false">IF(AND(ISNUMBER(C655),ISNUMBER(D655)),D655-C655,"")</f>
        <v>2</v>
      </c>
      <c r="Z655" s="23" t="n">
        <f aca="false">IF(B655="","",IF(MATCH(B655,$B$2:$B$12000,0)=ROW()-1,1,0))</f>
        <v>0</v>
      </c>
    </row>
    <row r="656" customFormat="false" ht="15" hidden="false" customHeight="false" outlineLevel="0" collapsed="false">
      <c r="A656" s="20" t="n">
        <v>655</v>
      </c>
      <c r="B656" s="20" t="s">
        <v>1811</v>
      </c>
      <c r="C656" s="21" t="n">
        <v>42913</v>
      </c>
      <c r="D656" s="21" t="n">
        <v>42918</v>
      </c>
      <c r="E656" s="20" t="s">
        <v>90</v>
      </c>
      <c r="F656" s="20" t="s">
        <v>1445</v>
      </c>
      <c r="G656" s="20" t="s">
        <v>1446</v>
      </c>
      <c r="H656" s="20" t="s">
        <v>162</v>
      </c>
      <c r="I656" s="20" t="s">
        <v>62</v>
      </c>
      <c r="J656" s="20" t="s">
        <v>63</v>
      </c>
      <c r="K656" s="20" t="s">
        <v>296</v>
      </c>
      <c r="L656" s="20" t="n">
        <v>62321</v>
      </c>
      <c r="M656" s="20" t="s">
        <v>153</v>
      </c>
      <c r="N656" s="20" t="s">
        <v>1812</v>
      </c>
      <c r="O656" s="20" t="s">
        <v>76</v>
      </c>
      <c r="P656" s="20" t="s">
        <v>122</v>
      </c>
      <c r="Q656" s="20" t="s">
        <v>1813</v>
      </c>
      <c r="R656" s="22" t="n">
        <v>138.36</v>
      </c>
      <c r="S656" s="20" t="n">
        <v>8</v>
      </c>
      <c r="T656" s="20" t="n">
        <v>0.2</v>
      </c>
      <c r="U656" s="22" t="n">
        <v>36.45</v>
      </c>
      <c r="V656" s="23" t="n">
        <f aca="false">IF(ISNUMBER(C656),YEAR(C656),"")</f>
        <v>2017</v>
      </c>
      <c r="W656" s="23" t="n">
        <f aca="false">IF(ISNUMBER(C656),MONTH(C656),"")</f>
        <v>6</v>
      </c>
      <c r="X656" s="23" t="str">
        <f aca="false">IF(T656="","",IF(T656=0,"No discount",IF(T656&lt;=0.2,"Low (1-20%)",IF(T656&lt;=0.4,"Medium (21-40%)","High (&gt;40%)"))))</f>
        <v>Low (1-20%)</v>
      </c>
      <c r="Y656" s="23" t="n">
        <f aca="false">IF(AND(ISNUMBER(C656),ISNUMBER(D656)),D656-C656,"")</f>
        <v>5</v>
      </c>
      <c r="Z656" s="23" t="n">
        <f aca="false">IF(B656="","",IF(MATCH(B656,$B$2:$B$12000,0)=ROW()-1,1,0))</f>
        <v>1</v>
      </c>
    </row>
    <row r="657" customFormat="false" ht="15" hidden="false" customHeight="false" outlineLevel="0" collapsed="false">
      <c r="A657" s="20" t="n">
        <v>656</v>
      </c>
      <c r="B657" s="20" t="s">
        <v>1811</v>
      </c>
      <c r="C657" s="21" t="n">
        <v>42913</v>
      </c>
      <c r="D657" s="21" t="n">
        <v>42918</v>
      </c>
      <c r="E657" s="20" t="s">
        <v>71</v>
      </c>
      <c r="F657" s="20" t="s">
        <v>1445</v>
      </c>
      <c r="G657" s="20" t="s">
        <v>1446</v>
      </c>
      <c r="H657" s="20" t="s">
        <v>162</v>
      </c>
      <c r="I657" s="20" t="s">
        <v>62</v>
      </c>
      <c r="J657" s="20" t="s">
        <v>63</v>
      </c>
      <c r="K657" s="20" t="s">
        <v>296</v>
      </c>
      <c r="L657" s="20" t="n">
        <v>38037</v>
      </c>
      <c r="M657" s="20" t="s">
        <v>153</v>
      </c>
      <c r="N657" s="20" t="s">
        <v>1814</v>
      </c>
      <c r="O657" s="20" t="s">
        <v>76</v>
      </c>
      <c r="P657" s="20" t="s">
        <v>128</v>
      </c>
      <c r="Q657" s="20" t="s">
        <v>1815</v>
      </c>
      <c r="R657" s="22" t="n">
        <v>411.34</v>
      </c>
      <c r="S657" s="20" t="n">
        <v>6</v>
      </c>
      <c r="T657" s="20" t="n">
        <v>0.7</v>
      </c>
      <c r="U657" s="22" t="n">
        <v>-146.85</v>
      </c>
      <c r="V657" s="23" t="n">
        <f aca="false">IF(ISNUMBER(C657),YEAR(C657),"")</f>
        <v>2017</v>
      </c>
      <c r="W657" s="23" t="n">
        <f aca="false">IF(ISNUMBER(C657),MONTH(C657),"")</f>
        <v>6</v>
      </c>
      <c r="X657" s="23" t="str">
        <f aca="false">IF(T657="","",IF(T657=0,"No discount",IF(T657&lt;=0.2,"Low (1-20%)",IF(T657&lt;=0.4,"Medium (21-40%)","High (&gt;40%)"))))</f>
        <v>High (&gt;40%)</v>
      </c>
      <c r="Y657" s="23" t="n">
        <f aca="false">IF(AND(ISNUMBER(C657),ISNUMBER(D657)),D657-C657,"")</f>
        <v>5</v>
      </c>
      <c r="Z657" s="23" t="n">
        <f aca="false">IF(B657="","",IF(MATCH(B657,$B$2:$B$12000,0)=ROW()-1,1,0))</f>
        <v>0</v>
      </c>
    </row>
    <row r="658" customFormat="false" ht="15" hidden="false" customHeight="false" outlineLevel="0" collapsed="false">
      <c r="A658" s="20" t="n">
        <v>657</v>
      </c>
      <c r="B658" s="20" t="s">
        <v>1811</v>
      </c>
      <c r="C658" s="21" t="n">
        <v>42913</v>
      </c>
      <c r="D658" s="21" t="n">
        <v>42918</v>
      </c>
      <c r="E658" s="20" t="s">
        <v>71</v>
      </c>
      <c r="F658" s="20" t="s">
        <v>1445</v>
      </c>
      <c r="G658" s="20" t="s">
        <v>1446</v>
      </c>
      <c r="H658" s="20" t="s">
        <v>162</v>
      </c>
      <c r="I658" s="20" t="s">
        <v>62</v>
      </c>
      <c r="J658" s="20" t="s">
        <v>63</v>
      </c>
      <c r="K658" s="20" t="s">
        <v>296</v>
      </c>
      <c r="L658" s="20" t="n">
        <v>77796</v>
      </c>
      <c r="M658" s="20" t="s">
        <v>153</v>
      </c>
      <c r="N658" s="20" t="s">
        <v>1816</v>
      </c>
      <c r="O658" s="20" t="s">
        <v>76</v>
      </c>
      <c r="P658" s="20" t="s">
        <v>185</v>
      </c>
      <c r="Q658" s="20" t="s">
        <v>1464</v>
      </c>
      <c r="R658" s="22" t="n">
        <v>70.39</v>
      </c>
      <c r="S658" s="20" t="n">
        <v>3</v>
      </c>
      <c r="T658" s="20" t="n">
        <v>0</v>
      </c>
      <c r="U658" s="22" t="n">
        <v>23.88</v>
      </c>
      <c r="V658" s="23" t="n">
        <f aca="false">IF(ISNUMBER(C658),YEAR(C658),"")</f>
        <v>2017</v>
      </c>
      <c r="W658" s="23" t="n">
        <f aca="false">IF(ISNUMBER(C658),MONTH(C658),"")</f>
        <v>6</v>
      </c>
      <c r="X658" s="23" t="str">
        <f aca="false">IF(T658="","",IF(T658=0,"No discount",IF(T658&lt;=0.2,"Low (1-20%)",IF(T658&lt;=0.4,"Medium (21-40%)","High (&gt;40%)"))))</f>
        <v>No discount</v>
      </c>
      <c r="Y658" s="23" t="n">
        <f aca="false">IF(AND(ISNUMBER(C658),ISNUMBER(D658)),D658-C658,"")</f>
        <v>5</v>
      </c>
      <c r="Z658" s="23" t="n">
        <f aca="false">IF(B658="","",IF(MATCH(B658,$B$2:$B$12000,0)=ROW()-1,1,0))</f>
        <v>0</v>
      </c>
    </row>
    <row r="659" customFormat="false" ht="15" hidden="false" customHeight="false" outlineLevel="0" collapsed="false">
      <c r="A659" s="20" t="n">
        <v>658</v>
      </c>
      <c r="B659" s="20" t="s">
        <v>1817</v>
      </c>
      <c r="C659" s="21" t="n">
        <v>42914</v>
      </c>
      <c r="D659" s="21" t="n">
        <v>42919</v>
      </c>
      <c r="E659" s="20" t="s">
        <v>71</v>
      </c>
      <c r="F659" s="20" t="s">
        <v>83</v>
      </c>
      <c r="G659" s="20" t="s">
        <v>84</v>
      </c>
      <c r="H659" s="20" t="s">
        <v>85</v>
      </c>
      <c r="I659" s="20" t="s">
        <v>62</v>
      </c>
      <c r="J659" s="20" t="s">
        <v>63</v>
      </c>
      <c r="K659" s="20" t="s">
        <v>260</v>
      </c>
      <c r="L659" s="20" t="n">
        <v>24781</v>
      </c>
      <c r="M659" s="20" t="s">
        <v>97</v>
      </c>
      <c r="N659" s="20" t="s">
        <v>1818</v>
      </c>
      <c r="O659" s="20" t="s">
        <v>76</v>
      </c>
      <c r="P659" s="20" t="s">
        <v>185</v>
      </c>
      <c r="Q659" s="20" t="s">
        <v>1819</v>
      </c>
      <c r="R659" s="22" t="n">
        <v>42.82</v>
      </c>
      <c r="S659" s="20" t="n">
        <v>4</v>
      </c>
      <c r="T659" s="20" t="n">
        <v>0.3</v>
      </c>
      <c r="U659" s="22" t="n">
        <v>6.23</v>
      </c>
      <c r="V659" s="23" t="n">
        <f aca="false">IF(ISNUMBER(C659),YEAR(C659),"")</f>
        <v>2017</v>
      </c>
      <c r="W659" s="23" t="n">
        <f aca="false">IF(ISNUMBER(C659),MONTH(C659),"")</f>
        <v>6</v>
      </c>
      <c r="X659" s="23" t="str">
        <f aca="false">IF(T659="","",IF(T659=0,"No discount",IF(T659&lt;=0.2,"Low (1-20%)",IF(T659&lt;=0.4,"Medium (21-40%)","High (&gt;40%)"))))</f>
        <v>Medium (21-40%)</v>
      </c>
      <c r="Y659" s="23" t="n">
        <f aca="false">IF(AND(ISNUMBER(C659),ISNUMBER(D659)),D659-C659,"")</f>
        <v>5</v>
      </c>
      <c r="Z659" s="23" t="n">
        <f aca="false">IF(B659="","",IF(MATCH(B659,$B$2:$B$12000,0)=ROW()-1,1,0))</f>
        <v>1</v>
      </c>
    </row>
    <row r="660" customFormat="false" ht="15" hidden="false" customHeight="false" outlineLevel="0" collapsed="false">
      <c r="A660" s="20" t="n">
        <v>659</v>
      </c>
      <c r="B660" s="20" t="s">
        <v>1820</v>
      </c>
      <c r="C660" s="21" t="n">
        <v>42918</v>
      </c>
      <c r="D660" s="21" t="n">
        <v>42919</v>
      </c>
      <c r="E660" s="20" t="s">
        <v>58</v>
      </c>
      <c r="F660" s="20" t="s">
        <v>252</v>
      </c>
      <c r="G660" s="20" t="s">
        <v>253</v>
      </c>
      <c r="H660" s="20" t="s">
        <v>61</v>
      </c>
      <c r="I660" s="20" t="s">
        <v>62</v>
      </c>
      <c r="J660" s="20" t="s">
        <v>63</v>
      </c>
      <c r="K660" s="20" t="s">
        <v>64</v>
      </c>
      <c r="L660" s="20" t="n">
        <v>63986</v>
      </c>
      <c r="M660" s="20" t="s">
        <v>65</v>
      </c>
      <c r="N660" s="20" t="s">
        <v>1821</v>
      </c>
      <c r="O660" s="20" t="s">
        <v>76</v>
      </c>
      <c r="P660" s="20" t="s">
        <v>128</v>
      </c>
      <c r="Q660" s="20" t="s">
        <v>1822</v>
      </c>
      <c r="R660" s="22" t="n">
        <v>681.72</v>
      </c>
      <c r="S660" s="20" t="n">
        <v>5</v>
      </c>
      <c r="T660" s="20" t="n">
        <v>0.4</v>
      </c>
      <c r="U660" s="22" t="n">
        <v>-151.22</v>
      </c>
      <c r="V660" s="23" t="n">
        <f aca="false">IF(ISNUMBER(C660),YEAR(C660),"")</f>
        <v>2017</v>
      </c>
      <c r="W660" s="23" t="n">
        <f aca="false">IF(ISNUMBER(C660),MONTH(C660),"")</f>
        <v>7</v>
      </c>
      <c r="X660" s="23" t="str">
        <f aca="false">IF(T660="","",IF(T660=0,"No discount",IF(T660&lt;=0.2,"Low (1-20%)",IF(T660&lt;=0.4,"Medium (21-40%)","High (&gt;40%)"))))</f>
        <v>Medium (21-40%)</v>
      </c>
      <c r="Y660" s="23" t="n">
        <f aca="false">IF(AND(ISNUMBER(C660),ISNUMBER(D660)),D660-C660,"")</f>
        <v>1</v>
      </c>
      <c r="Z660" s="23" t="n">
        <f aca="false">IF(B660="","",IF(MATCH(B660,$B$2:$B$12000,0)=ROW()-1,1,0))</f>
        <v>1</v>
      </c>
    </row>
    <row r="661" customFormat="false" ht="15" hidden="false" customHeight="false" outlineLevel="0" collapsed="false">
      <c r="A661" s="20" t="n">
        <v>660</v>
      </c>
      <c r="B661" s="20" t="s">
        <v>1820</v>
      </c>
      <c r="C661" s="21" t="n">
        <v>42918</v>
      </c>
      <c r="D661" s="21" t="n">
        <v>42919</v>
      </c>
      <c r="E661" s="20" t="s">
        <v>104</v>
      </c>
      <c r="F661" s="20" t="s">
        <v>252</v>
      </c>
      <c r="G661" s="20" t="s">
        <v>253</v>
      </c>
      <c r="H661" s="20" t="s">
        <v>61</v>
      </c>
      <c r="I661" s="20" t="s">
        <v>62</v>
      </c>
      <c r="J661" s="20" t="s">
        <v>63</v>
      </c>
      <c r="K661" s="20" t="s">
        <v>64</v>
      </c>
      <c r="L661" s="20" t="n">
        <v>71262</v>
      </c>
      <c r="M661" s="20" t="s">
        <v>65</v>
      </c>
      <c r="N661" s="20" t="s">
        <v>1823</v>
      </c>
      <c r="O661" s="20" t="s">
        <v>76</v>
      </c>
      <c r="P661" s="20" t="s">
        <v>80</v>
      </c>
      <c r="Q661" s="20" t="s">
        <v>1824</v>
      </c>
      <c r="R661" s="22" t="n">
        <v>53.53</v>
      </c>
      <c r="S661" s="20" t="n">
        <v>2</v>
      </c>
      <c r="T661" s="20" t="n">
        <v>0.4</v>
      </c>
      <c r="U661" s="22" t="n">
        <v>-0.69</v>
      </c>
      <c r="V661" s="23" t="n">
        <f aca="false">IF(ISNUMBER(C661),YEAR(C661),"")</f>
        <v>2017</v>
      </c>
      <c r="W661" s="23" t="n">
        <f aca="false">IF(ISNUMBER(C661),MONTH(C661),"")</f>
        <v>7</v>
      </c>
      <c r="X661" s="23" t="str">
        <f aca="false">IF(T661="","",IF(T661=0,"No discount",IF(T661&lt;=0.2,"Low (1-20%)",IF(T661&lt;=0.4,"Medium (21-40%)","High (&gt;40%)"))))</f>
        <v>Medium (21-40%)</v>
      </c>
      <c r="Y661" s="23" t="n">
        <f aca="false">IF(AND(ISNUMBER(C661),ISNUMBER(D661)),D661-C661,"")</f>
        <v>1</v>
      </c>
      <c r="Z661" s="23" t="n">
        <f aca="false">IF(B661="","",IF(MATCH(B661,$B$2:$B$12000,0)=ROW()-1,1,0))</f>
        <v>0</v>
      </c>
    </row>
    <row r="662" customFormat="false" ht="15" hidden="false" customHeight="false" outlineLevel="0" collapsed="false">
      <c r="A662" s="20" t="n">
        <v>661</v>
      </c>
      <c r="B662" s="20" t="s">
        <v>1825</v>
      </c>
      <c r="C662" s="21" t="n">
        <v>42919</v>
      </c>
      <c r="D662" s="21" t="n">
        <v>42920</v>
      </c>
      <c r="E662" s="20" t="s">
        <v>58</v>
      </c>
      <c r="F662" s="20" t="s">
        <v>732</v>
      </c>
      <c r="G662" s="20" t="s">
        <v>733</v>
      </c>
      <c r="H662" s="20" t="s">
        <v>85</v>
      </c>
      <c r="I662" s="20" t="s">
        <v>62</v>
      </c>
      <c r="J662" s="20" t="s">
        <v>63</v>
      </c>
      <c r="K662" s="20" t="s">
        <v>275</v>
      </c>
      <c r="L662" s="20" t="n">
        <v>32071</v>
      </c>
      <c r="M662" s="20" t="s">
        <v>153</v>
      </c>
      <c r="N662" s="20" t="s">
        <v>1826</v>
      </c>
      <c r="O662" s="20" t="s">
        <v>76</v>
      </c>
      <c r="P662" s="20" t="s">
        <v>185</v>
      </c>
      <c r="Q662" s="20" t="s">
        <v>923</v>
      </c>
      <c r="R662" s="22" t="n">
        <v>20.75</v>
      </c>
      <c r="S662" s="20" t="n">
        <v>2</v>
      </c>
      <c r="T662" s="20" t="n">
        <v>0.5</v>
      </c>
      <c r="U662" s="22" t="n">
        <v>-0.04</v>
      </c>
      <c r="V662" s="23" t="n">
        <f aca="false">IF(ISNUMBER(C662),YEAR(C662),"")</f>
        <v>2017</v>
      </c>
      <c r="W662" s="23" t="n">
        <f aca="false">IF(ISNUMBER(C662),MONTH(C662),"")</f>
        <v>7</v>
      </c>
      <c r="X662" s="23" t="str">
        <f aca="false">IF(T662="","",IF(T662=0,"No discount",IF(T662&lt;=0.2,"Low (1-20%)",IF(T662&lt;=0.4,"Medium (21-40%)","High (&gt;40%)"))))</f>
        <v>High (&gt;40%)</v>
      </c>
      <c r="Y662" s="23" t="n">
        <f aca="false">IF(AND(ISNUMBER(C662),ISNUMBER(D662)),D662-C662,"")</f>
        <v>1</v>
      </c>
      <c r="Z662" s="23" t="n">
        <f aca="false">IF(B662="","",IF(MATCH(B662,$B$2:$B$12000,0)=ROW()-1,1,0))</f>
        <v>1</v>
      </c>
    </row>
    <row r="663" customFormat="false" ht="15" hidden="false" customHeight="false" outlineLevel="0" collapsed="false">
      <c r="A663" s="20" t="n">
        <v>662</v>
      </c>
      <c r="B663" s="20" t="s">
        <v>1827</v>
      </c>
      <c r="C663" s="21" t="n">
        <v>42920</v>
      </c>
      <c r="D663" s="21" t="n">
        <v>42926</v>
      </c>
      <c r="E663" s="20" t="s">
        <v>71</v>
      </c>
      <c r="F663" s="20" t="s">
        <v>72</v>
      </c>
      <c r="G663" s="20" t="s">
        <v>73</v>
      </c>
      <c r="H663" s="20" t="s">
        <v>61</v>
      </c>
      <c r="I663" s="20" t="s">
        <v>62</v>
      </c>
      <c r="J663" s="20" t="s">
        <v>63</v>
      </c>
      <c r="K663" s="20" t="s">
        <v>796</v>
      </c>
      <c r="L663" s="20" t="n">
        <v>17423</v>
      </c>
      <c r="M663" s="20" t="s">
        <v>153</v>
      </c>
      <c r="N663" s="20" t="s">
        <v>1828</v>
      </c>
      <c r="O663" s="20" t="s">
        <v>76</v>
      </c>
      <c r="P663" s="20" t="s">
        <v>101</v>
      </c>
      <c r="Q663" s="20" t="s">
        <v>1749</v>
      </c>
      <c r="R663" s="22" t="n">
        <v>11.24</v>
      </c>
      <c r="S663" s="20" t="n">
        <v>1</v>
      </c>
      <c r="T663" s="20" t="n">
        <v>0</v>
      </c>
      <c r="U663" s="22" t="n">
        <v>4.72</v>
      </c>
      <c r="V663" s="23" t="n">
        <f aca="false">IF(ISNUMBER(C663),YEAR(C663),"")</f>
        <v>2017</v>
      </c>
      <c r="W663" s="23" t="n">
        <f aca="false">IF(ISNUMBER(C663),MONTH(C663),"")</f>
        <v>7</v>
      </c>
      <c r="X663" s="23" t="str">
        <f aca="false">IF(T663="","",IF(T663=0,"No discount",IF(T663&lt;=0.2,"Low (1-20%)",IF(T663&lt;=0.4,"Medium (21-40%)","High (&gt;40%)"))))</f>
        <v>No discount</v>
      </c>
      <c r="Y663" s="23" t="n">
        <f aca="false">IF(AND(ISNUMBER(C663),ISNUMBER(D663)),D663-C663,"")</f>
        <v>6</v>
      </c>
      <c r="Z663" s="23" t="n">
        <f aca="false">IF(B663="","",IF(MATCH(B663,$B$2:$B$12000,0)=ROW()-1,1,0))</f>
        <v>1</v>
      </c>
    </row>
    <row r="664" customFormat="false" ht="15" hidden="false" customHeight="false" outlineLevel="0" collapsed="false">
      <c r="A664" s="20" t="n">
        <v>663</v>
      </c>
      <c r="B664" s="20" t="s">
        <v>1827</v>
      </c>
      <c r="C664" s="21" t="n">
        <v>42920</v>
      </c>
      <c r="D664" s="21" t="n">
        <v>42926</v>
      </c>
      <c r="E664" s="20" t="s">
        <v>104</v>
      </c>
      <c r="F664" s="20" t="s">
        <v>72</v>
      </c>
      <c r="G664" s="20" t="s">
        <v>73</v>
      </c>
      <c r="H664" s="20" t="s">
        <v>61</v>
      </c>
      <c r="I664" s="20" t="s">
        <v>62</v>
      </c>
      <c r="J664" s="20" t="s">
        <v>63</v>
      </c>
      <c r="K664" s="20" t="s">
        <v>796</v>
      </c>
      <c r="L664" s="20" t="n">
        <v>68144</v>
      </c>
      <c r="M664" s="20" t="s">
        <v>153</v>
      </c>
      <c r="N664" s="20" t="s">
        <v>1829</v>
      </c>
      <c r="O664" s="20" t="s">
        <v>76</v>
      </c>
      <c r="P664" s="20" t="s">
        <v>88</v>
      </c>
      <c r="Q664" s="20" t="s">
        <v>1830</v>
      </c>
      <c r="R664" s="22" t="n">
        <v>396.09</v>
      </c>
      <c r="S664" s="20" t="n">
        <v>2</v>
      </c>
      <c r="T664" s="20" t="n">
        <v>0</v>
      </c>
      <c r="U664" s="22" t="n">
        <v>78.7</v>
      </c>
      <c r="V664" s="23" t="n">
        <f aca="false">IF(ISNUMBER(C664),YEAR(C664),"")</f>
        <v>2017</v>
      </c>
      <c r="W664" s="23" t="n">
        <f aca="false">IF(ISNUMBER(C664),MONTH(C664),"")</f>
        <v>7</v>
      </c>
      <c r="X664" s="23" t="str">
        <f aca="false">IF(T664="","",IF(T664=0,"No discount",IF(T664&lt;=0.2,"Low (1-20%)",IF(T664&lt;=0.4,"Medium (21-40%)","High (&gt;40%)"))))</f>
        <v>No discount</v>
      </c>
      <c r="Y664" s="23" t="n">
        <f aca="false">IF(AND(ISNUMBER(C664),ISNUMBER(D664)),D664-C664,"")</f>
        <v>6</v>
      </c>
      <c r="Z664" s="23" t="n">
        <f aca="false">IF(B664="","",IF(MATCH(B664,$B$2:$B$12000,0)=ROW()-1,1,0))</f>
        <v>0</v>
      </c>
    </row>
    <row r="665" customFormat="false" ht="15" hidden="false" customHeight="false" outlineLevel="0" collapsed="false">
      <c r="A665" s="20" t="n">
        <v>664</v>
      </c>
      <c r="B665" s="20" t="s">
        <v>1827</v>
      </c>
      <c r="C665" s="21" t="n">
        <v>42920</v>
      </c>
      <c r="D665" s="21" t="n">
        <v>42926</v>
      </c>
      <c r="E665" s="20" t="s">
        <v>71</v>
      </c>
      <c r="F665" s="20" t="s">
        <v>72</v>
      </c>
      <c r="G665" s="20" t="s">
        <v>73</v>
      </c>
      <c r="H665" s="20" t="s">
        <v>61</v>
      </c>
      <c r="I665" s="20" t="s">
        <v>62</v>
      </c>
      <c r="J665" s="20" t="s">
        <v>63</v>
      </c>
      <c r="K665" s="20" t="s">
        <v>796</v>
      </c>
      <c r="L665" s="20" t="n">
        <v>40789</v>
      </c>
      <c r="M665" s="20" t="s">
        <v>153</v>
      </c>
      <c r="N665" s="20" t="s">
        <v>1831</v>
      </c>
      <c r="O665" s="20" t="s">
        <v>76</v>
      </c>
      <c r="P665" s="20" t="s">
        <v>178</v>
      </c>
      <c r="Q665" s="20" t="s">
        <v>1003</v>
      </c>
      <c r="R665" s="22" t="n">
        <v>207.91</v>
      </c>
      <c r="S665" s="20" t="n">
        <v>2</v>
      </c>
      <c r="T665" s="20" t="n">
        <v>0</v>
      </c>
      <c r="U665" s="22" t="n">
        <v>5.94</v>
      </c>
      <c r="V665" s="23" t="n">
        <f aca="false">IF(ISNUMBER(C665),YEAR(C665),"")</f>
        <v>2017</v>
      </c>
      <c r="W665" s="23" t="n">
        <f aca="false">IF(ISNUMBER(C665),MONTH(C665),"")</f>
        <v>7</v>
      </c>
      <c r="X665" s="23" t="str">
        <f aca="false">IF(T665="","",IF(T665=0,"No discount",IF(T665&lt;=0.2,"Low (1-20%)",IF(T665&lt;=0.4,"Medium (21-40%)","High (&gt;40%)"))))</f>
        <v>No discount</v>
      </c>
      <c r="Y665" s="23" t="n">
        <f aca="false">IF(AND(ISNUMBER(C665),ISNUMBER(D665)),D665-C665,"")</f>
        <v>6</v>
      </c>
      <c r="Z665" s="23" t="n">
        <f aca="false">IF(B665="","",IF(MATCH(B665,$B$2:$B$12000,0)=ROW()-1,1,0))</f>
        <v>0</v>
      </c>
    </row>
    <row r="666" customFormat="false" ht="15" hidden="false" customHeight="false" outlineLevel="0" collapsed="false">
      <c r="A666" s="20" t="n">
        <v>665</v>
      </c>
      <c r="B666" s="20" t="s">
        <v>1832</v>
      </c>
      <c r="C666" s="21" t="n">
        <v>42922</v>
      </c>
      <c r="D666" s="21" t="n">
        <v>42925</v>
      </c>
      <c r="E666" s="20" t="s">
        <v>104</v>
      </c>
      <c r="F666" s="20" t="s">
        <v>671</v>
      </c>
      <c r="G666" s="20" t="s">
        <v>672</v>
      </c>
      <c r="H666" s="20" t="s">
        <v>61</v>
      </c>
      <c r="I666" s="20" t="s">
        <v>62</v>
      </c>
      <c r="J666" s="20" t="s">
        <v>63</v>
      </c>
      <c r="K666" s="20" t="s">
        <v>385</v>
      </c>
      <c r="L666" s="20" t="n">
        <v>21461</v>
      </c>
      <c r="M666" s="20" t="s">
        <v>153</v>
      </c>
      <c r="N666" s="20" t="s">
        <v>1833</v>
      </c>
      <c r="O666" s="20" t="s">
        <v>114</v>
      </c>
      <c r="P666" s="20" t="s">
        <v>115</v>
      </c>
      <c r="Q666" s="20" t="s">
        <v>1834</v>
      </c>
      <c r="R666" s="22" t="n">
        <v>343.61</v>
      </c>
      <c r="S666" s="20" t="n">
        <v>6</v>
      </c>
      <c r="T666" s="20" t="n">
        <v>0.5</v>
      </c>
      <c r="U666" s="22" t="n">
        <v>-53.71</v>
      </c>
      <c r="V666" s="23" t="n">
        <f aca="false">IF(ISNUMBER(C666),YEAR(C666),"")</f>
        <v>2017</v>
      </c>
      <c r="W666" s="23" t="n">
        <f aca="false">IF(ISNUMBER(C666),MONTH(C666),"")</f>
        <v>7</v>
      </c>
      <c r="X666" s="23" t="str">
        <f aca="false">IF(T666="","",IF(T666=0,"No discount",IF(T666&lt;=0.2,"Low (1-20%)",IF(T666&lt;=0.4,"Medium (21-40%)","High (&gt;40%)"))))</f>
        <v>High (&gt;40%)</v>
      </c>
      <c r="Y666" s="23" t="n">
        <f aca="false">IF(AND(ISNUMBER(C666),ISNUMBER(D666)),D666-C666,"")</f>
        <v>3</v>
      </c>
      <c r="Z666" s="23" t="n">
        <f aca="false">IF(B666="","",IF(MATCH(B666,$B$2:$B$12000,0)=ROW()-1,1,0))</f>
        <v>1</v>
      </c>
    </row>
    <row r="667" customFormat="false" ht="15" hidden="false" customHeight="false" outlineLevel="0" collapsed="false">
      <c r="A667" s="20" t="n">
        <v>666</v>
      </c>
      <c r="B667" s="20" t="s">
        <v>1832</v>
      </c>
      <c r="C667" s="21" t="n">
        <v>42922</v>
      </c>
      <c r="D667" s="21" t="n">
        <v>42925</v>
      </c>
      <c r="E667" s="20" t="s">
        <v>104</v>
      </c>
      <c r="F667" s="20" t="s">
        <v>671</v>
      </c>
      <c r="G667" s="20" t="s">
        <v>672</v>
      </c>
      <c r="H667" s="20" t="s">
        <v>61</v>
      </c>
      <c r="I667" s="20" t="s">
        <v>62</v>
      </c>
      <c r="J667" s="20" t="s">
        <v>63</v>
      </c>
      <c r="K667" s="20" t="s">
        <v>385</v>
      </c>
      <c r="L667" s="20" t="n">
        <v>28368</v>
      </c>
      <c r="M667" s="20" t="s">
        <v>153</v>
      </c>
      <c r="N667" s="20" t="s">
        <v>1835</v>
      </c>
      <c r="O667" s="20" t="s">
        <v>76</v>
      </c>
      <c r="P667" s="20" t="s">
        <v>122</v>
      </c>
      <c r="Q667" s="20" t="s">
        <v>350</v>
      </c>
      <c r="R667" s="22" t="n">
        <v>156.39</v>
      </c>
      <c r="S667" s="20" t="n">
        <v>7</v>
      </c>
      <c r="T667" s="20" t="n">
        <v>0.5</v>
      </c>
      <c r="U667" s="22" t="n">
        <v>10.92</v>
      </c>
      <c r="V667" s="23" t="n">
        <f aca="false">IF(ISNUMBER(C667),YEAR(C667),"")</f>
        <v>2017</v>
      </c>
      <c r="W667" s="23" t="n">
        <f aca="false">IF(ISNUMBER(C667),MONTH(C667),"")</f>
        <v>7</v>
      </c>
      <c r="X667" s="23" t="str">
        <f aca="false">IF(T667="","",IF(T667=0,"No discount",IF(T667&lt;=0.2,"Low (1-20%)",IF(T667&lt;=0.4,"Medium (21-40%)","High (&gt;40%)"))))</f>
        <v>High (&gt;40%)</v>
      </c>
      <c r="Y667" s="23" t="n">
        <f aca="false">IF(AND(ISNUMBER(C667),ISNUMBER(D667)),D667-C667,"")</f>
        <v>3</v>
      </c>
      <c r="Z667" s="23" t="n">
        <f aca="false">IF(B667="","",IF(MATCH(B667,$B$2:$B$12000,0)=ROW()-1,1,0))</f>
        <v>0</v>
      </c>
    </row>
    <row r="668" customFormat="false" ht="15" hidden="false" customHeight="false" outlineLevel="0" collapsed="false">
      <c r="A668" s="20" t="n">
        <v>667</v>
      </c>
      <c r="B668" s="20" t="s">
        <v>1836</v>
      </c>
      <c r="C668" s="21" t="n">
        <v>42926</v>
      </c>
      <c r="D668" s="21" t="n">
        <v>42933</v>
      </c>
      <c r="E668" s="20" t="s">
        <v>71</v>
      </c>
      <c r="F668" s="20" t="s">
        <v>294</v>
      </c>
      <c r="G668" s="20" t="s">
        <v>295</v>
      </c>
      <c r="H668" s="20" t="s">
        <v>61</v>
      </c>
      <c r="I668" s="20" t="s">
        <v>62</v>
      </c>
      <c r="J668" s="20" t="s">
        <v>63</v>
      </c>
      <c r="K668" s="20" t="s">
        <v>111</v>
      </c>
      <c r="L668" s="20" t="n">
        <v>76875</v>
      </c>
      <c r="M668" s="20" t="s">
        <v>112</v>
      </c>
      <c r="N668" s="20" t="s">
        <v>1837</v>
      </c>
      <c r="O668" s="20" t="s">
        <v>114</v>
      </c>
      <c r="P668" s="20" t="s">
        <v>210</v>
      </c>
      <c r="Q668" s="20" t="s">
        <v>1838</v>
      </c>
      <c r="R668" s="22" t="n">
        <v>17.14</v>
      </c>
      <c r="S668" s="20" t="n">
        <v>2</v>
      </c>
      <c r="T668" s="20" t="n">
        <v>0.2</v>
      </c>
      <c r="U668" s="22" t="n">
        <v>-0.58</v>
      </c>
      <c r="V668" s="23" t="n">
        <f aca="false">IF(ISNUMBER(C668),YEAR(C668),"")</f>
        <v>2017</v>
      </c>
      <c r="W668" s="23" t="n">
        <f aca="false">IF(ISNUMBER(C668),MONTH(C668),"")</f>
        <v>7</v>
      </c>
      <c r="X668" s="23" t="str">
        <f aca="false">IF(T668="","",IF(T668=0,"No discount",IF(T668&lt;=0.2,"Low (1-20%)",IF(T668&lt;=0.4,"Medium (21-40%)","High (&gt;40%)"))))</f>
        <v>Low (1-20%)</v>
      </c>
      <c r="Y668" s="23" t="n">
        <f aca="false">IF(AND(ISNUMBER(C668),ISNUMBER(D668)),D668-C668,"")</f>
        <v>7</v>
      </c>
      <c r="Z668" s="23" t="n">
        <f aca="false">IF(B668="","",IF(MATCH(B668,$B$2:$B$12000,0)=ROW()-1,1,0))</f>
        <v>1</v>
      </c>
    </row>
    <row r="669" customFormat="false" ht="15" hidden="false" customHeight="false" outlineLevel="0" collapsed="false">
      <c r="A669" s="20" t="n">
        <v>668</v>
      </c>
      <c r="B669" s="20" t="s">
        <v>1836</v>
      </c>
      <c r="C669" s="21" t="n">
        <v>42926</v>
      </c>
      <c r="D669" s="21" t="n">
        <v>42933</v>
      </c>
      <c r="E669" s="20" t="s">
        <v>90</v>
      </c>
      <c r="F669" s="20" t="s">
        <v>294</v>
      </c>
      <c r="G669" s="20" t="s">
        <v>295</v>
      </c>
      <c r="H669" s="20" t="s">
        <v>61</v>
      </c>
      <c r="I669" s="20" t="s">
        <v>62</v>
      </c>
      <c r="J669" s="20" t="s">
        <v>63</v>
      </c>
      <c r="K669" s="20" t="s">
        <v>111</v>
      </c>
      <c r="L669" s="20" t="n">
        <v>91131</v>
      </c>
      <c r="M669" s="20" t="s">
        <v>112</v>
      </c>
      <c r="N669" s="20" t="s">
        <v>1839</v>
      </c>
      <c r="O669" s="20" t="s">
        <v>67</v>
      </c>
      <c r="P669" s="20" t="s">
        <v>164</v>
      </c>
      <c r="Q669" s="20" t="s">
        <v>1840</v>
      </c>
      <c r="R669" s="22" t="n">
        <v>3279.58</v>
      </c>
      <c r="S669" s="20" t="n">
        <v>8</v>
      </c>
      <c r="T669" s="20" t="n">
        <v>0</v>
      </c>
      <c r="U669" s="22" t="n">
        <v>145</v>
      </c>
      <c r="V669" s="23" t="n">
        <f aca="false">IF(ISNUMBER(C669),YEAR(C669),"")</f>
        <v>2017</v>
      </c>
      <c r="W669" s="23" t="n">
        <f aca="false">IF(ISNUMBER(C669),MONTH(C669),"")</f>
        <v>7</v>
      </c>
      <c r="X669" s="23" t="str">
        <f aca="false">IF(T669="","",IF(T669=0,"No discount",IF(T669&lt;=0.2,"Low (1-20%)",IF(T669&lt;=0.4,"Medium (21-40%)","High (&gt;40%)"))))</f>
        <v>No discount</v>
      </c>
      <c r="Y669" s="23" t="n">
        <f aca="false">IF(AND(ISNUMBER(C669),ISNUMBER(D669)),D669-C669,"")</f>
        <v>7</v>
      </c>
      <c r="Z669" s="23" t="n">
        <f aca="false">IF(B669="","",IF(MATCH(B669,$B$2:$B$12000,0)=ROW()-1,1,0))</f>
        <v>0</v>
      </c>
    </row>
    <row r="670" customFormat="false" ht="15" hidden="false" customHeight="false" outlineLevel="0" collapsed="false">
      <c r="A670" s="20" t="n">
        <v>669</v>
      </c>
      <c r="B670" s="20" t="s">
        <v>1836</v>
      </c>
      <c r="C670" s="21" t="n">
        <v>42926</v>
      </c>
      <c r="D670" s="21" t="n">
        <v>42933</v>
      </c>
      <c r="E670" s="20" t="s">
        <v>71</v>
      </c>
      <c r="F670" s="20" t="s">
        <v>294</v>
      </c>
      <c r="G670" s="20" t="s">
        <v>295</v>
      </c>
      <c r="H670" s="20" t="s">
        <v>61</v>
      </c>
      <c r="I670" s="20" t="s">
        <v>62</v>
      </c>
      <c r="J670" s="20" t="s">
        <v>63</v>
      </c>
      <c r="K670" s="20" t="s">
        <v>111</v>
      </c>
      <c r="L670" s="20" t="n">
        <v>78014</v>
      </c>
      <c r="M670" s="20" t="s">
        <v>112</v>
      </c>
      <c r="N670" s="20" t="s">
        <v>1841</v>
      </c>
      <c r="O670" s="20" t="s">
        <v>67</v>
      </c>
      <c r="P670" s="20" t="s">
        <v>164</v>
      </c>
      <c r="Q670" s="20" t="s">
        <v>1842</v>
      </c>
      <c r="R670" s="22" t="n">
        <v>3537.51</v>
      </c>
      <c r="S670" s="20" t="n">
        <v>5</v>
      </c>
      <c r="T670" s="20" t="n">
        <v>0.4</v>
      </c>
      <c r="U670" s="22" t="n">
        <v>-390.63</v>
      </c>
      <c r="V670" s="23" t="n">
        <f aca="false">IF(ISNUMBER(C670),YEAR(C670),"")</f>
        <v>2017</v>
      </c>
      <c r="W670" s="23" t="n">
        <f aca="false">IF(ISNUMBER(C670),MONTH(C670),"")</f>
        <v>7</v>
      </c>
      <c r="X670" s="23" t="str">
        <f aca="false">IF(T670="","",IF(T670=0,"No discount",IF(T670&lt;=0.2,"Low (1-20%)",IF(T670&lt;=0.4,"Medium (21-40%)","High (&gt;40%)"))))</f>
        <v>Medium (21-40%)</v>
      </c>
      <c r="Y670" s="23" t="n">
        <f aca="false">IF(AND(ISNUMBER(C670),ISNUMBER(D670)),D670-C670,"")</f>
        <v>7</v>
      </c>
      <c r="Z670" s="23" t="n">
        <f aca="false">IF(B670="","",IF(MATCH(B670,$B$2:$B$12000,0)=ROW()-1,1,0))</f>
        <v>0</v>
      </c>
    </row>
    <row r="671" customFormat="false" ht="15" hidden="false" customHeight="false" outlineLevel="0" collapsed="false">
      <c r="A671" s="20" t="n">
        <v>670</v>
      </c>
      <c r="B671" s="20" t="s">
        <v>1843</v>
      </c>
      <c r="C671" s="21" t="n">
        <v>42932</v>
      </c>
      <c r="D671" s="21" t="n">
        <v>42935</v>
      </c>
      <c r="E671" s="20" t="s">
        <v>90</v>
      </c>
      <c r="F671" s="20" t="s">
        <v>83</v>
      </c>
      <c r="G671" s="20" t="s">
        <v>84</v>
      </c>
      <c r="H671" s="20" t="s">
        <v>85</v>
      </c>
      <c r="I671" s="20" t="s">
        <v>62</v>
      </c>
      <c r="J671" s="20" t="s">
        <v>63</v>
      </c>
      <c r="K671" s="20" t="s">
        <v>111</v>
      </c>
      <c r="L671" s="20" t="n">
        <v>27129</v>
      </c>
      <c r="M671" s="20" t="s">
        <v>112</v>
      </c>
      <c r="N671" s="20" t="s">
        <v>1844</v>
      </c>
      <c r="O671" s="20" t="s">
        <v>76</v>
      </c>
      <c r="P671" s="20" t="s">
        <v>178</v>
      </c>
      <c r="Q671" s="20" t="s">
        <v>1222</v>
      </c>
      <c r="R671" s="22" t="n">
        <v>338.65</v>
      </c>
      <c r="S671" s="20" t="n">
        <v>8</v>
      </c>
      <c r="T671" s="20" t="n">
        <v>0</v>
      </c>
      <c r="U671" s="22" t="n">
        <v>-5.01</v>
      </c>
      <c r="V671" s="23" t="n">
        <f aca="false">IF(ISNUMBER(C671),YEAR(C671),"")</f>
        <v>2017</v>
      </c>
      <c r="W671" s="23" t="n">
        <f aca="false">IF(ISNUMBER(C671),MONTH(C671),"")</f>
        <v>7</v>
      </c>
      <c r="X671" s="23" t="str">
        <f aca="false">IF(T671="","",IF(T671=0,"No discount",IF(T671&lt;=0.2,"Low (1-20%)",IF(T671&lt;=0.4,"Medium (21-40%)","High (&gt;40%)"))))</f>
        <v>No discount</v>
      </c>
      <c r="Y671" s="23" t="n">
        <f aca="false">IF(AND(ISNUMBER(C671),ISNUMBER(D671)),D671-C671,"")</f>
        <v>3</v>
      </c>
      <c r="Z671" s="23" t="n">
        <f aca="false">IF(B671="","",IF(MATCH(B671,$B$2:$B$12000,0)=ROW()-1,1,0))</f>
        <v>1</v>
      </c>
    </row>
    <row r="672" customFormat="false" ht="15" hidden="false" customHeight="false" outlineLevel="0" collapsed="false">
      <c r="A672" s="20" t="n">
        <v>671</v>
      </c>
      <c r="B672" s="20" t="s">
        <v>1843</v>
      </c>
      <c r="C672" s="21" t="n">
        <v>42932</v>
      </c>
      <c r="D672" s="21" t="n">
        <v>42935</v>
      </c>
      <c r="E672" s="20" t="s">
        <v>58</v>
      </c>
      <c r="F672" s="20" t="s">
        <v>83</v>
      </c>
      <c r="G672" s="20" t="s">
        <v>84</v>
      </c>
      <c r="H672" s="20" t="s">
        <v>85</v>
      </c>
      <c r="I672" s="20" t="s">
        <v>62</v>
      </c>
      <c r="J672" s="20" t="s">
        <v>63</v>
      </c>
      <c r="K672" s="20" t="s">
        <v>111</v>
      </c>
      <c r="L672" s="20" t="n">
        <v>71034</v>
      </c>
      <c r="M672" s="20" t="s">
        <v>112</v>
      </c>
      <c r="N672" s="20" t="s">
        <v>1845</v>
      </c>
      <c r="O672" s="20" t="s">
        <v>76</v>
      </c>
      <c r="P672" s="20" t="s">
        <v>236</v>
      </c>
      <c r="Q672" s="20" t="s">
        <v>1846</v>
      </c>
      <c r="R672" s="22" t="n">
        <v>65.35</v>
      </c>
      <c r="S672" s="20" t="n">
        <v>1</v>
      </c>
      <c r="T672" s="20" t="n">
        <v>0</v>
      </c>
      <c r="U672" s="22" t="n">
        <v>24.8</v>
      </c>
      <c r="V672" s="23" t="n">
        <f aca="false">IF(ISNUMBER(C672),YEAR(C672),"")</f>
        <v>2017</v>
      </c>
      <c r="W672" s="23" t="n">
        <f aca="false">IF(ISNUMBER(C672),MONTH(C672),"")</f>
        <v>7</v>
      </c>
      <c r="X672" s="23" t="str">
        <f aca="false">IF(T672="","",IF(T672=0,"No discount",IF(T672&lt;=0.2,"Low (1-20%)",IF(T672&lt;=0.4,"Medium (21-40%)","High (&gt;40%)"))))</f>
        <v>No discount</v>
      </c>
      <c r="Y672" s="23" t="n">
        <f aca="false">IF(AND(ISNUMBER(C672),ISNUMBER(D672)),D672-C672,"")</f>
        <v>3</v>
      </c>
      <c r="Z672" s="23" t="n">
        <f aca="false">IF(B672="","",IF(MATCH(B672,$B$2:$B$12000,0)=ROW()-1,1,0))</f>
        <v>0</v>
      </c>
    </row>
    <row r="673" customFormat="false" ht="15" hidden="false" customHeight="false" outlineLevel="0" collapsed="false">
      <c r="A673" s="20" t="n">
        <v>672</v>
      </c>
      <c r="B673" s="20" t="s">
        <v>1847</v>
      </c>
      <c r="C673" s="21" t="n">
        <v>42934</v>
      </c>
      <c r="D673" s="21" t="n">
        <v>42940</v>
      </c>
      <c r="E673" s="20" t="s">
        <v>58</v>
      </c>
      <c r="F673" s="20" t="s">
        <v>403</v>
      </c>
      <c r="G673" s="20" t="s">
        <v>404</v>
      </c>
      <c r="H673" s="20" t="s">
        <v>85</v>
      </c>
      <c r="I673" s="20" t="s">
        <v>62</v>
      </c>
      <c r="J673" s="20" t="s">
        <v>63</v>
      </c>
      <c r="K673" s="20" t="s">
        <v>254</v>
      </c>
      <c r="L673" s="20" t="n">
        <v>44218</v>
      </c>
      <c r="M673" s="20" t="s">
        <v>112</v>
      </c>
      <c r="N673" s="20" t="s">
        <v>1848</v>
      </c>
      <c r="O673" s="20" t="s">
        <v>76</v>
      </c>
      <c r="P673" s="20" t="s">
        <v>236</v>
      </c>
      <c r="Q673" s="20" t="s">
        <v>726</v>
      </c>
      <c r="R673" s="22" t="n">
        <v>206.82</v>
      </c>
      <c r="S673" s="20" t="n">
        <v>8</v>
      </c>
      <c r="T673" s="20" t="n">
        <v>0.4</v>
      </c>
      <c r="U673" s="22" t="n">
        <v>31.56</v>
      </c>
      <c r="V673" s="23" t="n">
        <f aca="false">IF(ISNUMBER(C673),YEAR(C673),"")</f>
        <v>2017</v>
      </c>
      <c r="W673" s="23" t="n">
        <f aca="false">IF(ISNUMBER(C673),MONTH(C673),"")</f>
        <v>7</v>
      </c>
      <c r="X673" s="23" t="str">
        <f aca="false">IF(T673="","",IF(T673=0,"No discount",IF(T673&lt;=0.2,"Low (1-20%)",IF(T673&lt;=0.4,"Medium (21-40%)","High (&gt;40%)"))))</f>
        <v>Medium (21-40%)</v>
      </c>
      <c r="Y673" s="23" t="n">
        <f aca="false">IF(AND(ISNUMBER(C673),ISNUMBER(D673)),D673-C673,"")</f>
        <v>6</v>
      </c>
      <c r="Z673" s="23" t="n">
        <f aca="false">IF(B673="","",IF(MATCH(B673,$B$2:$B$12000,0)=ROW()-1,1,0))</f>
        <v>1</v>
      </c>
    </row>
    <row r="674" customFormat="false" ht="15" hidden="false" customHeight="false" outlineLevel="0" collapsed="false">
      <c r="A674" s="20" t="n">
        <v>673</v>
      </c>
      <c r="B674" s="20" t="s">
        <v>1847</v>
      </c>
      <c r="C674" s="21" t="n">
        <v>42934</v>
      </c>
      <c r="D674" s="21" t="n">
        <v>42940</v>
      </c>
      <c r="E674" s="20" t="s">
        <v>90</v>
      </c>
      <c r="F674" s="20" t="s">
        <v>403</v>
      </c>
      <c r="G674" s="20" t="s">
        <v>404</v>
      </c>
      <c r="H674" s="20" t="s">
        <v>85</v>
      </c>
      <c r="I674" s="20" t="s">
        <v>62</v>
      </c>
      <c r="J674" s="20" t="s">
        <v>63</v>
      </c>
      <c r="K674" s="20" t="s">
        <v>254</v>
      </c>
      <c r="L674" s="20" t="n">
        <v>48803</v>
      </c>
      <c r="M674" s="20" t="s">
        <v>112</v>
      </c>
      <c r="N674" s="20" t="s">
        <v>1849</v>
      </c>
      <c r="O674" s="20" t="s">
        <v>76</v>
      </c>
      <c r="P674" s="20" t="s">
        <v>185</v>
      </c>
      <c r="Q674" s="20" t="s">
        <v>1850</v>
      </c>
      <c r="R674" s="22" t="n">
        <v>20.45</v>
      </c>
      <c r="S674" s="20" t="n">
        <v>2</v>
      </c>
      <c r="T674" s="20" t="n">
        <v>0.4</v>
      </c>
      <c r="U674" s="22" t="n">
        <v>1.75</v>
      </c>
      <c r="V674" s="23" t="n">
        <f aca="false">IF(ISNUMBER(C674),YEAR(C674),"")</f>
        <v>2017</v>
      </c>
      <c r="W674" s="23" t="n">
        <f aca="false">IF(ISNUMBER(C674),MONTH(C674),"")</f>
        <v>7</v>
      </c>
      <c r="X674" s="23" t="str">
        <f aca="false">IF(T674="","",IF(T674=0,"No discount",IF(T674&lt;=0.2,"Low (1-20%)",IF(T674&lt;=0.4,"Medium (21-40%)","High (&gt;40%)"))))</f>
        <v>Medium (21-40%)</v>
      </c>
      <c r="Y674" s="23" t="n">
        <f aca="false">IF(AND(ISNUMBER(C674),ISNUMBER(D674)),D674-C674,"")</f>
        <v>6</v>
      </c>
      <c r="Z674" s="23" t="n">
        <f aca="false">IF(B674="","",IF(MATCH(B674,$B$2:$B$12000,0)=ROW()-1,1,0))</f>
        <v>0</v>
      </c>
    </row>
    <row r="675" customFormat="false" ht="15" hidden="false" customHeight="false" outlineLevel="0" collapsed="false">
      <c r="A675" s="20" t="n">
        <v>674</v>
      </c>
      <c r="B675" s="20" t="s">
        <v>1847</v>
      </c>
      <c r="C675" s="21" t="n">
        <v>42934</v>
      </c>
      <c r="D675" s="21" t="n">
        <v>42940</v>
      </c>
      <c r="E675" s="20" t="s">
        <v>58</v>
      </c>
      <c r="F675" s="20" t="s">
        <v>403</v>
      </c>
      <c r="G675" s="20" t="s">
        <v>404</v>
      </c>
      <c r="H675" s="20" t="s">
        <v>85</v>
      </c>
      <c r="I675" s="20" t="s">
        <v>62</v>
      </c>
      <c r="J675" s="20" t="s">
        <v>63</v>
      </c>
      <c r="K675" s="20" t="s">
        <v>254</v>
      </c>
      <c r="L675" s="20" t="n">
        <v>14293</v>
      </c>
      <c r="M675" s="20" t="s">
        <v>112</v>
      </c>
      <c r="N675" s="20" t="s">
        <v>1851</v>
      </c>
      <c r="O675" s="20" t="s">
        <v>76</v>
      </c>
      <c r="P675" s="20" t="s">
        <v>88</v>
      </c>
      <c r="Q675" s="20" t="s">
        <v>1079</v>
      </c>
      <c r="R675" s="22" t="n">
        <v>269.73</v>
      </c>
      <c r="S675" s="20" t="n">
        <v>2</v>
      </c>
      <c r="T675" s="20" t="n">
        <v>0.1</v>
      </c>
      <c r="U675" s="22" t="n">
        <v>39.06</v>
      </c>
      <c r="V675" s="23" t="n">
        <f aca="false">IF(ISNUMBER(C675),YEAR(C675),"")</f>
        <v>2017</v>
      </c>
      <c r="W675" s="23" t="n">
        <f aca="false">IF(ISNUMBER(C675),MONTH(C675),"")</f>
        <v>7</v>
      </c>
      <c r="X675" s="23" t="str">
        <f aca="false">IF(T675="","",IF(T675=0,"No discount",IF(T675&lt;=0.2,"Low (1-20%)",IF(T675&lt;=0.4,"Medium (21-40%)","High (&gt;40%)"))))</f>
        <v>Low (1-20%)</v>
      </c>
      <c r="Y675" s="23" t="n">
        <f aca="false">IF(AND(ISNUMBER(C675),ISNUMBER(D675)),D675-C675,"")</f>
        <v>6</v>
      </c>
      <c r="Z675" s="23" t="n">
        <f aca="false">IF(B675="","",IF(MATCH(B675,$B$2:$B$12000,0)=ROW()-1,1,0))</f>
        <v>0</v>
      </c>
    </row>
    <row r="676" customFormat="false" ht="15" hidden="false" customHeight="false" outlineLevel="0" collapsed="false">
      <c r="A676" s="20" t="n">
        <v>675</v>
      </c>
      <c r="B676" s="20" t="s">
        <v>1852</v>
      </c>
      <c r="C676" s="21" t="n">
        <v>42937</v>
      </c>
      <c r="D676" s="21" t="n">
        <v>42944</v>
      </c>
      <c r="E676" s="20" t="s">
        <v>71</v>
      </c>
      <c r="F676" s="20" t="s">
        <v>94</v>
      </c>
      <c r="G676" s="20" t="s">
        <v>95</v>
      </c>
      <c r="H676" s="20" t="s">
        <v>61</v>
      </c>
      <c r="I676" s="20" t="s">
        <v>62</v>
      </c>
      <c r="J676" s="20" t="s">
        <v>63</v>
      </c>
      <c r="K676" s="20" t="s">
        <v>196</v>
      </c>
      <c r="L676" s="20" t="n">
        <v>24468</v>
      </c>
      <c r="M676" s="20" t="s">
        <v>112</v>
      </c>
      <c r="N676" s="20" t="s">
        <v>1853</v>
      </c>
      <c r="O676" s="20" t="s">
        <v>114</v>
      </c>
      <c r="P676" s="20" t="s">
        <v>167</v>
      </c>
      <c r="Q676" s="20" t="s">
        <v>1854</v>
      </c>
      <c r="R676" s="22" t="n">
        <v>1854.9</v>
      </c>
      <c r="S676" s="20" t="n">
        <v>6</v>
      </c>
      <c r="T676" s="20" t="n">
        <v>0.4</v>
      </c>
      <c r="U676" s="22" t="n">
        <v>-482.78</v>
      </c>
      <c r="V676" s="23" t="n">
        <f aca="false">IF(ISNUMBER(C676),YEAR(C676),"")</f>
        <v>2017</v>
      </c>
      <c r="W676" s="23" t="n">
        <f aca="false">IF(ISNUMBER(C676),MONTH(C676),"")</f>
        <v>7</v>
      </c>
      <c r="X676" s="23" t="str">
        <f aca="false">IF(T676="","",IF(T676=0,"No discount",IF(T676&lt;=0.2,"Low (1-20%)",IF(T676&lt;=0.4,"Medium (21-40%)","High (&gt;40%)"))))</f>
        <v>Medium (21-40%)</v>
      </c>
      <c r="Y676" s="23" t="n">
        <f aca="false">IF(AND(ISNUMBER(C676),ISNUMBER(D676)),D676-C676,"")</f>
        <v>7</v>
      </c>
      <c r="Z676" s="23" t="n">
        <f aca="false">IF(B676="","",IF(MATCH(B676,$B$2:$B$12000,0)=ROW()-1,1,0))</f>
        <v>1</v>
      </c>
    </row>
    <row r="677" customFormat="false" ht="15" hidden="false" customHeight="false" outlineLevel="0" collapsed="false">
      <c r="A677" s="20" t="n">
        <v>676</v>
      </c>
      <c r="B677" s="20" t="s">
        <v>1855</v>
      </c>
      <c r="C677" s="21" t="n">
        <v>42940</v>
      </c>
      <c r="D677" s="21" t="n">
        <v>42944</v>
      </c>
      <c r="E677" s="20" t="s">
        <v>71</v>
      </c>
      <c r="F677" s="20" t="s">
        <v>476</v>
      </c>
      <c r="G677" s="20" t="s">
        <v>477</v>
      </c>
      <c r="H677" s="20" t="s">
        <v>85</v>
      </c>
      <c r="I677" s="20" t="s">
        <v>62</v>
      </c>
      <c r="J677" s="20" t="s">
        <v>63</v>
      </c>
      <c r="K677" s="20" t="s">
        <v>86</v>
      </c>
      <c r="L677" s="20" t="n">
        <v>15452</v>
      </c>
      <c r="M677" s="20" t="s">
        <v>65</v>
      </c>
      <c r="N677" s="20" t="s">
        <v>1856</v>
      </c>
      <c r="O677" s="20" t="s">
        <v>114</v>
      </c>
      <c r="P677" s="20" t="s">
        <v>115</v>
      </c>
      <c r="Q677" s="20" t="s">
        <v>482</v>
      </c>
      <c r="R677" s="22" t="n">
        <v>1922.23</v>
      </c>
      <c r="S677" s="20" t="n">
        <v>4</v>
      </c>
      <c r="T677" s="20" t="n">
        <v>0.2</v>
      </c>
      <c r="U677" s="22" t="n">
        <v>-75.16</v>
      </c>
      <c r="V677" s="23" t="n">
        <f aca="false">IF(ISNUMBER(C677),YEAR(C677),"")</f>
        <v>2017</v>
      </c>
      <c r="W677" s="23" t="n">
        <f aca="false">IF(ISNUMBER(C677),MONTH(C677),"")</f>
        <v>7</v>
      </c>
      <c r="X677" s="23" t="str">
        <f aca="false">IF(T677="","",IF(T677=0,"No discount",IF(T677&lt;=0.2,"Low (1-20%)",IF(T677&lt;=0.4,"Medium (21-40%)","High (&gt;40%)"))))</f>
        <v>Low (1-20%)</v>
      </c>
      <c r="Y677" s="23" t="n">
        <f aca="false">IF(AND(ISNUMBER(C677),ISNUMBER(D677)),D677-C677,"")</f>
        <v>4</v>
      </c>
      <c r="Z677" s="23" t="n">
        <f aca="false">IF(B677="","",IF(MATCH(B677,$B$2:$B$12000,0)=ROW()-1,1,0))</f>
        <v>1</v>
      </c>
    </row>
    <row r="678" customFormat="false" ht="15" hidden="false" customHeight="false" outlineLevel="0" collapsed="false">
      <c r="A678" s="20" t="n">
        <v>677</v>
      </c>
      <c r="B678" s="20" t="s">
        <v>1855</v>
      </c>
      <c r="C678" s="21" t="n">
        <v>42940</v>
      </c>
      <c r="D678" s="21" t="n">
        <v>42944</v>
      </c>
      <c r="E678" s="20" t="s">
        <v>58</v>
      </c>
      <c r="F678" s="20" t="s">
        <v>476</v>
      </c>
      <c r="G678" s="20" t="s">
        <v>477</v>
      </c>
      <c r="H678" s="20" t="s">
        <v>85</v>
      </c>
      <c r="I678" s="20" t="s">
        <v>62</v>
      </c>
      <c r="J678" s="20" t="s">
        <v>63</v>
      </c>
      <c r="K678" s="20" t="s">
        <v>86</v>
      </c>
      <c r="L678" s="20" t="n">
        <v>27652</v>
      </c>
      <c r="M678" s="20" t="s">
        <v>65</v>
      </c>
      <c r="N678" s="20" t="s">
        <v>1857</v>
      </c>
      <c r="O678" s="20" t="s">
        <v>114</v>
      </c>
      <c r="P678" s="20" t="s">
        <v>210</v>
      </c>
      <c r="Q678" s="20" t="s">
        <v>675</v>
      </c>
      <c r="R678" s="22" t="n">
        <v>420.21</v>
      </c>
      <c r="S678" s="20" t="n">
        <v>4</v>
      </c>
      <c r="T678" s="20" t="n">
        <v>0</v>
      </c>
      <c r="U678" s="22" t="n">
        <v>70.67</v>
      </c>
      <c r="V678" s="23" t="n">
        <f aca="false">IF(ISNUMBER(C678),YEAR(C678),"")</f>
        <v>2017</v>
      </c>
      <c r="W678" s="23" t="n">
        <f aca="false">IF(ISNUMBER(C678),MONTH(C678),"")</f>
        <v>7</v>
      </c>
      <c r="X678" s="23" t="str">
        <f aca="false">IF(T678="","",IF(T678=0,"No discount",IF(T678&lt;=0.2,"Low (1-20%)",IF(T678&lt;=0.4,"Medium (21-40%)","High (&gt;40%)"))))</f>
        <v>No discount</v>
      </c>
      <c r="Y678" s="23" t="n">
        <f aca="false">IF(AND(ISNUMBER(C678),ISNUMBER(D678)),D678-C678,"")</f>
        <v>4</v>
      </c>
      <c r="Z678" s="23" t="n">
        <f aca="false">IF(B678="","",IF(MATCH(B678,$B$2:$B$12000,0)=ROW()-1,1,0))</f>
        <v>0</v>
      </c>
    </row>
    <row r="679" customFormat="false" ht="15" hidden="false" customHeight="false" outlineLevel="0" collapsed="false">
      <c r="A679" s="20" t="n">
        <v>678</v>
      </c>
      <c r="B679" s="20" t="s">
        <v>1855</v>
      </c>
      <c r="C679" s="21" t="n">
        <v>42940</v>
      </c>
      <c r="D679" s="21" t="n">
        <v>42944</v>
      </c>
      <c r="E679" s="20" t="s">
        <v>90</v>
      </c>
      <c r="F679" s="20" t="s">
        <v>476</v>
      </c>
      <c r="G679" s="20" t="s">
        <v>477</v>
      </c>
      <c r="H679" s="20" t="s">
        <v>85</v>
      </c>
      <c r="I679" s="20" t="s">
        <v>62</v>
      </c>
      <c r="J679" s="20" t="s">
        <v>63</v>
      </c>
      <c r="K679" s="20" t="s">
        <v>86</v>
      </c>
      <c r="L679" s="20" t="n">
        <v>97446</v>
      </c>
      <c r="M679" s="20" t="s">
        <v>65</v>
      </c>
      <c r="N679" s="20" t="s">
        <v>1858</v>
      </c>
      <c r="O679" s="20" t="s">
        <v>67</v>
      </c>
      <c r="P679" s="20" t="s">
        <v>157</v>
      </c>
      <c r="Q679" s="20" t="s">
        <v>1859</v>
      </c>
      <c r="R679" s="22" t="n">
        <v>12.45</v>
      </c>
      <c r="S679" s="20" t="n">
        <v>1</v>
      </c>
      <c r="T679" s="20" t="n">
        <v>0.4</v>
      </c>
      <c r="U679" s="22" t="n">
        <v>-0.5</v>
      </c>
      <c r="V679" s="23" t="n">
        <f aca="false">IF(ISNUMBER(C679),YEAR(C679),"")</f>
        <v>2017</v>
      </c>
      <c r="W679" s="23" t="n">
        <f aca="false">IF(ISNUMBER(C679),MONTH(C679),"")</f>
        <v>7</v>
      </c>
      <c r="X679" s="23" t="str">
        <f aca="false">IF(T679="","",IF(T679=0,"No discount",IF(T679&lt;=0.2,"Low (1-20%)",IF(T679&lt;=0.4,"Medium (21-40%)","High (&gt;40%)"))))</f>
        <v>Medium (21-40%)</v>
      </c>
      <c r="Y679" s="23" t="n">
        <f aca="false">IF(AND(ISNUMBER(C679),ISNUMBER(D679)),D679-C679,"")</f>
        <v>4</v>
      </c>
      <c r="Z679" s="23" t="n">
        <f aca="false">IF(B679="","",IF(MATCH(B679,$B$2:$B$12000,0)=ROW()-1,1,0))</f>
        <v>0</v>
      </c>
    </row>
    <row r="680" customFormat="false" ht="15" hidden="false" customHeight="false" outlineLevel="0" collapsed="false">
      <c r="A680" s="20" t="n">
        <v>679</v>
      </c>
      <c r="B680" s="20" t="s">
        <v>1855</v>
      </c>
      <c r="C680" s="21" t="n">
        <v>42940</v>
      </c>
      <c r="D680" s="21" t="n">
        <v>42944</v>
      </c>
      <c r="E680" s="20" t="s">
        <v>90</v>
      </c>
      <c r="F680" s="20" t="s">
        <v>476</v>
      </c>
      <c r="G680" s="20" t="s">
        <v>477</v>
      </c>
      <c r="H680" s="20" t="s">
        <v>85</v>
      </c>
      <c r="I680" s="20" t="s">
        <v>62</v>
      </c>
      <c r="J680" s="20" t="s">
        <v>63</v>
      </c>
      <c r="K680" s="20" t="s">
        <v>86</v>
      </c>
      <c r="L680" s="20" t="n">
        <v>77071</v>
      </c>
      <c r="M680" s="20" t="s">
        <v>65</v>
      </c>
      <c r="N680" s="20" t="s">
        <v>1860</v>
      </c>
      <c r="O680" s="20" t="s">
        <v>67</v>
      </c>
      <c r="P680" s="20" t="s">
        <v>68</v>
      </c>
      <c r="Q680" s="20" t="s">
        <v>99</v>
      </c>
      <c r="R680" s="22" t="n">
        <v>11424.33</v>
      </c>
      <c r="S680" s="20" t="n">
        <v>6</v>
      </c>
      <c r="T680" s="20" t="n">
        <v>0.2</v>
      </c>
      <c r="U680" s="22" t="n">
        <v>1890.05</v>
      </c>
      <c r="V680" s="23" t="n">
        <f aca="false">IF(ISNUMBER(C680),YEAR(C680),"")</f>
        <v>2017</v>
      </c>
      <c r="W680" s="23" t="n">
        <f aca="false">IF(ISNUMBER(C680),MONTH(C680),"")</f>
        <v>7</v>
      </c>
      <c r="X680" s="23" t="str">
        <f aca="false">IF(T680="","",IF(T680=0,"No discount",IF(T680&lt;=0.2,"Low (1-20%)",IF(T680&lt;=0.4,"Medium (21-40%)","High (&gt;40%)"))))</f>
        <v>Low (1-20%)</v>
      </c>
      <c r="Y680" s="23" t="n">
        <f aca="false">IF(AND(ISNUMBER(C680),ISNUMBER(D680)),D680-C680,"")</f>
        <v>4</v>
      </c>
      <c r="Z680" s="23" t="n">
        <f aca="false">IF(B680="","",IF(MATCH(B680,$B$2:$B$12000,0)=ROW()-1,1,0))</f>
        <v>0</v>
      </c>
    </row>
    <row r="681" customFormat="false" ht="15" hidden="false" customHeight="false" outlineLevel="0" collapsed="false">
      <c r="A681" s="20" t="n">
        <v>680</v>
      </c>
      <c r="B681" s="20" t="s">
        <v>1861</v>
      </c>
      <c r="C681" s="21" t="n">
        <v>42940</v>
      </c>
      <c r="D681" s="21" t="n">
        <v>42944</v>
      </c>
      <c r="E681" s="20" t="s">
        <v>71</v>
      </c>
      <c r="F681" s="20" t="s">
        <v>314</v>
      </c>
      <c r="G681" s="20" t="s">
        <v>315</v>
      </c>
      <c r="H681" s="20" t="s">
        <v>61</v>
      </c>
      <c r="I681" s="20" t="s">
        <v>62</v>
      </c>
      <c r="J681" s="20" t="s">
        <v>63</v>
      </c>
      <c r="K681" s="20" t="s">
        <v>969</v>
      </c>
      <c r="L681" s="20" t="n">
        <v>47792</v>
      </c>
      <c r="M681" s="20" t="s">
        <v>112</v>
      </c>
      <c r="N681" s="20" t="s">
        <v>1862</v>
      </c>
      <c r="O681" s="20" t="s">
        <v>67</v>
      </c>
      <c r="P681" s="20" t="s">
        <v>157</v>
      </c>
      <c r="Q681" s="20" t="s">
        <v>1863</v>
      </c>
      <c r="R681" s="22" t="n">
        <v>222.91</v>
      </c>
      <c r="S681" s="20" t="n">
        <v>3</v>
      </c>
      <c r="T681" s="20" t="n">
        <v>0.7</v>
      </c>
      <c r="U681" s="22" t="n">
        <v>-39.57</v>
      </c>
      <c r="V681" s="23" t="n">
        <f aca="false">IF(ISNUMBER(C681),YEAR(C681),"")</f>
        <v>2017</v>
      </c>
      <c r="W681" s="23" t="n">
        <f aca="false">IF(ISNUMBER(C681),MONTH(C681),"")</f>
        <v>7</v>
      </c>
      <c r="X681" s="23" t="str">
        <f aca="false">IF(T681="","",IF(T681=0,"No discount",IF(T681&lt;=0.2,"Low (1-20%)",IF(T681&lt;=0.4,"Medium (21-40%)","High (&gt;40%)"))))</f>
        <v>High (&gt;40%)</v>
      </c>
      <c r="Y681" s="23" t="n">
        <f aca="false">IF(AND(ISNUMBER(C681),ISNUMBER(D681)),D681-C681,"")</f>
        <v>4</v>
      </c>
      <c r="Z681" s="23" t="n">
        <f aca="false">IF(B681="","",IF(MATCH(B681,$B$2:$B$12000,0)=ROW()-1,1,0))</f>
        <v>1</v>
      </c>
    </row>
    <row r="682" customFormat="false" ht="15" hidden="false" customHeight="false" outlineLevel="0" collapsed="false">
      <c r="A682" s="20" t="n">
        <v>681</v>
      </c>
      <c r="B682" s="20" t="s">
        <v>1864</v>
      </c>
      <c r="C682" s="21" t="n">
        <v>42944</v>
      </c>
      <c r="D682" s="21" t="n">
        <v>42950</v>
      </c>
      <c r="E682" s="20" t="s">
        <v>58</v>
      </c>
      <c r="F682" s="20" t="s">
        <v>319</v>
      </c>
      <c r="G682" s="20" t="s">
        <v>320</v>
      </c>
      <c r="H682" s="20" t="s">
        <v>61</v>
      </c>
      <c r="I682" s="20" t="s">
        <v>62</v>
      </c>
      <c r="J682" s="20" t="s">
        <v>63</v>
      </c>
      <c r="K682" s="20" t="s">
        <v>377</v>
      </c>
      <c r="L682" s="20" t="n">
        <v>80504</v>
      </c>
      <c r="M682" s="20" t="s">
        <v>65</v>
      </c>
      <c r="N682" s="20" t="s">
        <v>1865</v>
      </c>
      <c r="O682" s="20" t="s">
        <v>76</v>
      </c>
      <c r="P682" s="20" t="s">
        <v>77</v>
      </c>
      <c r="Q682" s="20" t="s">
        <v>1866</v>
      </c>
      <c r="R682" s="22" t="n">
        <v>262.72</v>
      </c>
      <c r="S682" s="20" t="n">
        <v>8</v>
      </c>
      <c r="T682" s="20" t="n">
        <v>0.1</v>
      </c>
      <c r="U682" s="22" t="n">
        <v>61.18</v>
      </c>
      <c r="V682" s="23" t="n">
        <f aca="false">IF(ISNUMBER(C682),YEAR(C682),"")</f>
        <v>2017</v>
      </c>
      <c r="W682" s="23" t="n">
        <f aca="false">IF(ISNUMBER(C682),MONTH(C682),"")</f>
        <v>7</v>
      </c>
      <c r="X682" s="23" t="str">
        <f aca="false">IF(T682="","",IF(T682=0,"No discount",IF(T682&lt;=0.2,"Low (1-20%)",IF(T682&lt;=0.4,"Medium (21-40%)","High (&gt;40%)"))))</f>
        <v>Low (1-20%)</v>
      </c>
      <c r="Y682" s="23" t="n">
        <f aca="false">IF(AND(ISNUMBER(C682),ISNUMBER(D682)),D682-C682,"")</f>
        <v>6</v>
      </c>
      <c r="Z682" s="23" t="n">
        <f aca="false">IF(B682="","",IF(MATCH(B682,$B$2:$B$12000,0)=ROW()-1,1,0))</f>
        <v>1</v>
      </c>
    </row>
    <row r="683" customFormat="false" ht="15" hidden="false" customHeight="false" outlineLevel="0" collapsed="false">
      <c r="A683" s="20" t="n">
        <v>682</v>
      </c>
      <c r="B683" s="20" t="s">
        <v>1864</v>
      </c>
      <c r="C683" s="21" t="n">
        <v>42944</v>
      </c>
      <c r="D683" s="21" t="n">
        <v>42950</v>
      </c>
      <c r="E683" s="20" t="s">
        <v>58</v>
      </c>
      <c r="F683" s="20" t="s">
        <v>319</v>
      </c>
      <c r="G683" s="20" t="s">
        <v>320</v>
      </c>
      <c r="H683" s="20" t="s">
        <v>61</v>
      </c>
      <c r="I683" s="20" t="s">
        <v>62</v>
      </c>
      <c r="J683" s="20" t="s">
        <v>63</v>
      </c>
      <c r="K683" s="20" t="s">
        <v>377</v>
      </c>
      <c r="L683" s="20" t="n">
        <v>26500</v>
      </c>
      <c r="M683" s="20" t="s">
        <v>65</v>
      </c>
      <c r="N683" s="20" t="s">
        <v>1867</v>
      </c>
      <c r="O683" s="20" t="s">
        <v>76</v>
      </c>
      <c r="P683" s="20" t="s">
        <v>80</v>
      </c>
      <c r="Q683" s="20" t="s">
        <v>1868</v>
      </c>
      <c r="R683" s="22" t="n">
        <v>102.83</v>
      </c>
      <c r="S683" s="20" t="n">
        <v>2</v>
      </c>
      <c r="T683" s="20" t="n">
        <v>0.4</v>
      </c>
      <c r="U683" s="22" t="n">
        <v>4.97</v>
      </c>
      <c r="V683" s="23" t="n">
        <f aca="false">IF(ISNUMBER(C683),YEAR(C683),"")</f>
        <v>2017</v>
      </c>
      <c r="W683" s="23" t="n">
        <f aca="false">IF(ISNUMBER(C683),MONTH(C683),"")</f>
        <v>7</v>
      </c>
      <c r="X683" s="23" t="str">
        <f aca="false">IF(T683="","",IF(T683=0,"No discount",IF(T683&lt;=0.2,"Low (1-20%)",IF(T683&lt;=0.4,"Medium (21-40%)","High (&gt;40%)"))))</f>
        <v>Medium (21-40%)</v>
      </c>
      <c r="Y683" s="23" t="n">
        <f aca="false">IF(AND(ISNUMBER(C683),ISNUMBER(D683)),D683-C683,"")</f>
        <v>6</v>
      </c>
      <c r="Z683" s="23" t="n">
        <f aca="false">IF(B683="","",IF(MATCH(B683,$B$2:$B$12000,0)=ROW()-1,1,0))</f>
        <v>0</v>
      </c>
    </row>
    <row r="684" customFormat="false" ht="15" hidden="false" customHeight="false" outlineLevel="0" collapsed="false">
      <c r="A684" s="20" t="n">
        <v>683</v>
      </c>
      <c r="B684" s="20" t="s">
        <v>1869</v>
      </c>
      <c r="C684" s="21" t="n">
        <v>42944</v>
      </c>
      <c r="D684" s="21" t="n">
        <v>42947</v>
      </c>
      <c r="E684" s="20" t="s">
        <v>104</v>
      </c>
      <c r="F684" s="20" t="s">
        <v>732</v>
      </c>
      <c r="G684" s="20" t="s">
        <v>733</v>
      </c>
      <c r="H684" s="20" t="s">
        <v>85</v>
      </c>
      <c r="I684" s="20" t="s">
        <v>62</v>
      </c>
      <c r="J684" s="20" t="s">
        <v>63</v>
      </c>
      <c r="K684" s="20" t="s">
        <v>518</v>
      </c>
      <c r="L684" s="20" t="n">
        <v>71986</v>
      </c>
      <c r="M684" s="20" t="s">
        <v>153</v>
      </c>
      <c r="N684" s="20" t="s">
        <v>1870</v>
      </c>
      <c r="O684" s="20" t="s">
        <v>67</v>
      </c>
      <c r="P684" s="20" t="s">
        <v>164</v>
      </c>
      <c r="Q684" s="20" t="s">
        <v>1871</v>
      </c>
      <c r="R684" s="22" t="n">
        <v>10377.06</v>
      </c>
      <c r="S684" s="20" t="n">
        <v>8</v>
      </c>
      <c r="T684" s="20" t="n">
        <v>0</v>
      </c>
      <c r="U684" s="22" t="n">
        <v>835.86</v>
      </c>
      <c r="V684" s="23" t="n">
        <f aca="false">IF(ISNUMBER(C684),YEAR(C684),"")</f>
        <v>2017</v>
      </c>
      <c r="W684" s="23" t="n">
        <f aca="false">IF(ISNUMBER(C684),MONTH(C684),"")</f>
        <v>7</v>
      </c>
      <c r="X684" s="23" t="str">
        <f aca="false">IF(T684="","",IF(T684=0,"No discount",IF(T684&lt;=0.2,"Low (1-20%)",IF(T684&lt;=0.4,"Medium (21-40%)","High (&gt;40%)"))))</f>
        <v>No discount</v>
      </c>
      <c r="Y684" s="23" t="n">
        <f aca="false">IF(AND(ISNUMBER(C684),ISNUMBER(D684)),D684-C684,"")</f>
        <v>3</v>
      </c>
      <c r="Z684" s="23" t="n">
        <f aca="false">IF(B684="","",IF(MATCH(B684,$B$2:$B$12000,0)=ROW()-1,1,0))</f>
        <v>1</v>
      </c>
    </row>
    <row r="685" customFormat="false" ht="15" hidden="false" customHeight="false" outlineLevel="0" collapsed="false">
      <c r="A685" s="20" t="n">
        <v>684</v>
      </c>
      <c r="B685" s="20" t="s">
        <v>1872</v>
      </c>
      <c r="C685" s="21" t="n">
        <v>42948</v>
      </c>
      <c r="D685" s="21" t="n">
        <v>42949</v>
      </c>
      <c r="E685" s="20" t="s">
        <v>58</v>
      </c>
      <c r="F685" s="20" t="s">
        <v>131</v>
      </c>
      <c r="G685" s="20" t="s">
        <v>132</v>
      </c>
      <c r="H685" s="20" t="s">
        <v>85</v>
      </c>
      <c r="I685" s="20" t="s">
        <v>62</v>
      </c>
      <c r="J685" s="20" t="s">
        <v>63</v>
      </c>
      <c r="K685" s="20" t="s">
        <v>296</v>
      </c>
      <c r="L685" s="20" t="n">
        <v>95318</v>
      </c>
      <c r="M685" s="20" t="s">
        <v>153</v>
      </c>
      <c r="N685" s="20" t="s">
        <v>1873</v>
      </c>
      <c r="O685" s="20" t="s">
        <v>114</v>
      </c>
      <c r="P685" s="20" t="s">
        <v>139</v>
      </c>
      <c r="Q685" s="20" t="s">
        <v>1874</v>
      </c>
      <c r="R685" s="22" t="n">
        <v>256</v>
      </c>
      <c r="S685" s="20" t="n">
        <v>1</v>
      </c>
      <c r="T685" s="20" t="n">
        <v>0.5</v>
      </c>
      <c r="U685" s="22" t="n">
        <v>-34.6</v>
      </c>
      <c r="V685" s="23" t="n">
        <f aca="false">IF(ISNUMBER(C685),YEAR(C685),"")</f>
        <v>2017</v>
      </c>
      <c r="W685" s="23" t="n">
        <f aca="false">IF(ISNUMBER(C685),MONTH(C685),"")</f>
        <v>8</v>
      </c>
      <c r="X685" s="23" t="str">
        <f aca="false">IF(T685="","",IF(T685=0,"No discount",IF(T685&lt;=0.2,"Low (1-20%)",IF(T685&lt;=0.4,"Medium (21-40%)","High (&gt;40%)"))))</f>
        <v>High (&gt;40%)</v>
      </c>
      <c r="Y685" s="23" t="n">
        <f aca="false">IF(AND(ISNUMBER(C685),ISNUMBER(D685)),D685-C685,"")</f>
        <v>1</v>
      </c>
      <c r="Z685" s="23" t="n">
        <f aca="false">IF(B685="","",IF(MATCH(B685,$B$2:$B$12000,0)=ROW()-1,1,0))</f>
        <v>1</v>
      </c>
    </row>
    <row r="686" customFormat="false" ht="15" hidden="false" customHeight="false" outlineLevel="0" collapsed="false">
      <c r="A686" s="20" t="n">
        <v>685</v>
      </c>
      <c r="B686" s="20" t="s">
        <v>1875</v>
      </c>
      <c r="C686" s="21" t="n">
        <v>42951</v>
      </c>
      <c r="D686" s="21" t="n">
        <v>42952</v>
      </c>
      <c r="E686" s="20" t="s">
        <v>71</v>
      </c>
      <c r="F686" s="20" t="s">
        <v>294</v>
      </c>
      <c r="G686" s="20" t="s">
        <v>295</v>
      </c>
      <c r="H686" s="20" t="s">
        <v>61</v>
      </c>
      <c r="I686" s="20" t="s">
        <v>62</v>
      </c>
      <c r="J686" s="20" t="s">
        <v>63</v>
      </c>
      <c r="K686" s="20" t="s">
        <v>152</v>
      </c>
      <c r="L686" s="20" t="n">
        <v>65585</v>
      </c>
      <c r="M686" s="20" t="s">
        <v>153</v>
      </c>
      <c r="N686" s="20" t="s">
        <v>1876</v>
      </c>
      <c r="O686" s="20" t="s">
        <v>76</v>
      </c>
      <c r="P686" s="20" t="s">
        <v>77</v>
      </c>
      <c r="Q686" s="20" t="s">
        <v>1877</v>
      </c>
      <c r="R686" s="22" t="n">
        <v>71.77</v>
      </c>
      <c r="S686" s="20" t="n">
        <v>6</v>
      </c>
      <c r="T686" s="20" t="n">
        <v>0</v>
      </c>
      <c r="U686" s="22" t="n">
        <v>20.02</v>
      </c>
      <c r="V686" s="23" t="n">
        <f aca="false">IF(ISNUMBER(C686),YEAR(C686),"")</f>
        <v>2017</v>
      </c>
      <c r="W686" s="23" t="n">
        <f aca="false">IF(ISNUMBER(C686),MONTH(C686),"")</f>
        <v>8</v>
      </c>
      <c r="X686" s="23" t="str">
        <f aca="false">IF(T686="","",IF(T686=0,"No discount",IF(T686&lt;=0.2,"Low (1-20%)",IF(T686&lt;=0.4,"Medium (21-40%)","High (&gt;40%)"))))</f>
        <v>No discount</v>
      </c>
      <c r="Y686" s="23" t="n">
        <f aca="false">IF(AND(ISNUMBER(C686),ISNUMBER(D686)),D686-C686,"")</f>
        <v>1</v>
      </c>
      <c r="Z686" s="23" t="n">
        <f aca="false">IF(B686="","",IF(MATCH(B686,$B$2:$B$12000,0)=ROW()-1,1,0))</f>
        <v>1</v>
      </c>
    </row>
    <row r="687" customFormat="false" ht="15" hidden="false" customHeight="false" outlineLevel="0" collapsed="false">
      <c r="A687" s="20" t="n">
        <v>686</v>
      </c>
      <c r="B687" s="20" t="s">
        <v>1875</v>
      </c>
      <c r="C687" s="21" t="n">
        <v>42951</v>
      </c>
      <c r="D687" s="21" t="n">
        <v>42952</v>
      </c>
      <c r="E687" s="20" t="s">
        <v>58</v>
      </c>
      <c r="F687" s="20" t="s">
        <v>294</v>
      </c>
      <c r="G687" s="20" t="s">
        <v>295</v>
      </c>
      <c r="H687" s="20" t="s">
        <v>61</v>
      </c>
      <c r="I687" s="20" t="s">
        <v>62</v>
      </c>
      <c r="J687" s="20" t="s">
        <v>63</v>
      </c>
      <c r="K687" s="20" t="s">
        <v>152</v>
      </c>
      <c r="L687" s="20" t="n">
        <v>60656</v>
      </c>
      <c r="M687" s="20" t="s">
        <v>153</v>
      </c>
      <c r="N687" s="20" t="s">
        <v>1878</v>
      </c>
      <c r="O687" s="20" t="s">
        <v>76</v>
      </c>
      <c r="P687" s="20" t="s">
        <v>128</v>
      </c>
      <c r="Q687" s="20" t="s">
        <v>728</v>
      </c>
      <c r="R687" s="22" t="n">
        <v>482.64</v>
      </c>
      <c r="S687" s="20" t="n">
        <v>4</v>
      </c>
      <c r="T687" s="20" t="n">
        <v>0.2</v>
      </c>
      <c r="U687" s="22" t="n">
        <v>-44.56</v>
      </c>
      <c r="V687" s="23" t="n">
        <f aca="false">IF(ISNUMBER(C687),YEAR(C687),"")</f>
        <v>2017</v>
      </c>
      <c r="W687" s="23" t="n">
        <f aca="false">IF(ISNUMBER(C687),MONTH(C687),"")</f>
        <v>8</v>
      </c>
      <c r="X687" s="23" t="str">
        <f aca="false">IF(T687="","",IF(T687=0,"No discount",IF(T687&lt;=0.2,"Low (1-20%)",IF(T687&lt;=0.4,"Medium (21-40%)","High (&gt;40%)"))))</f>
        <v>Low (1-20%)</v>
      </c>
      <c r="Y687" s="23" t="n">
        <f aca="false">IF(AND(ISNUMBER(C687),ISNUMBER(D687)),D687-C687,"")</f>
        <v>1</v>
      </c>
      <c r="Z687" s="23" t="n">
        <f aca="false">IF(B687="","",IF(MATCH(B687,$B$2:$B$12000,0)=ROW()-1,1,0))</f>
        <v>0</v>
      </c>
    </row>
    <row r="688" customFormat="false" ht="15" hidden="false" customHeight="false" outlineLevel="0" collapsed="false">
      <c r="A688" s="20" t="n">
        <v>687</v>
      </c>
      <c r="B688" s="20" t="s">
        <v>1879</v>
      </c>
      <c r="C688" s="21" t="n">
        <v>42951</v>
      </c>
      <c r="D688" s="21" t="n">
        <v>42958</v>
      </c>
      <c r="E688" s="20" t="s">
        <v>58</v>
      </c>
      <c r="F688" s="20" t="s">
        <v>233</v>
      </c>
      <c r="G688" s="20" t="s">
        <v>234</v>
      </c>
      <c r="H688" s="20" t="s">
        <v>61</v>
      </c>
      <c r="I688" s="20" t="s">
        <v>62</v>
      </c>
      <c r="J688" s="20" t="s">
        <v>63</v>
      </c>
      <c r="K688" s="20" t="s">
        <v>422</v>
      </c>
      <c r="L688" s="20" t="n">
        <v>69998</v>
      </c>
      <c r="M688" s="20" t="s">
        <v>153</v>
      </c>
      <c r="N688" s="20" t="s">
        <v>1880</v>
      </c>
      <c r="O688" s="20" t="s">
        <v>67</v>
      </c>
      <c r="P688" s="20" t="s">
        <v>68</v>
      </c>
      <c r="Q688" s="20" t="s">
        <v>1801</v>
      </c>
      <c r="R688" s="22" t="n">
        <v>8797.25</v>
      </c>
      <c r="S688" s="20" t="n">
        <v>8</v>
      </c>
      <c r="T688" s="20" t="n">
        <v>0.4</v>
      </c>
      <c r="U688" s="22" t="n">
        <v>435.98</v>
      </c>
      <c r="V688" s="23" t="n">
        <f aca="false">IF(ISNUMBER(C688),YEAR(C688),"")</f>
        <v>2017</v>
      </c>
      <c r="W688" s="23" t="n">
        <f aca="false">IF(ISNUMBER(C688),MONTH(C688),"")</f>
        <v>8</v>
      </c>
      <c r="X688" s="23" t="str">
        <f aca="false">IF(T688="","",IF(T688=0,"No discount",IF(T688&lt;=0.2,"Low (1-20%)",IF(T688&lt;=0.4,"Medium (21-40%)","High (&gt;40%)"))))</f>
        <v>Medium (21-40%)</v>
      </c>
      <c r="Y688" s="23" t="n">
        <f aca="false">IF(AND(ISNUMBER(C688),ISNUMBER(D688)),D688-C688,"")</f>
        <v>7</v>
      </c>
      <c r="Z688" s="23" t="n">
        <f aca="false">IF(B688="","",IF(MATCH(B688,$B$2:$B$12000,0)=ROW()-1,1,0))</f>
        <v>1</v>
      </c>
    </row>
    <row r="689" customFormat="false" ht="15" hidden="false" customHeight="false" outlineLevel="0" collapsed="false">
      <c r="A689" s="20" t="n">
        <v>688</v>
      </c>
      <c r="B689" s="20" t="s">
        <v>1879</v>
      </c>
      <c r="C689" s="21" t="n">
        <v>42951</v>
      </c>
      <c r="D689" s="21" t="n">
        <v>42958</v>
      </c>
      <c r="E689" s="20" t="s">
        <v>71</v>
      </c>
      <c r="F689" s="20" t="s">
        <v>233</v>
      </c>
      <c r="G689" s="20" t="s">
        <v>234</v>
      </c>
      <c r="H689" s="20" t="s">
        <v>61</v>
      </c>
      <c r="I689" s="20" t="s">
        <v>62</v>
      </c>
      <c r="J689" s="20" t="s">
        <v>63</v>
      </c>
      <c r="K689" s="20" t="s">
        <v>422</v>
      </c>
      <c r="L689" s="20" t="n">
        <v>70298</v>
      </c>
      <c r="M689" s="20" t="s">
        <v>153</v>
      </c>
      <c r="N689" s="20" t="s">
        <v>1881</v>
      </c>
      <c r="O689" s="20" t="s">
        <v>76</v>
      </c>
      <c r="P689" s="20" t="s">
        <v>80</v>
      </c>
      <c r="Q689" s="20" t="s">
        <v>1882</v>
      </c>
      <c r="R689" s="22" t="n">
        <v>127.89</v>
      </c>
      <c r="S689" s="20" t="n">
        <v>4</v>
      </c>
      <c r="T689" s="20" t="n">
        <v>0.4</v>
      </c>
      <c r="U689" s="22" t="n">
        <v>15.26</v>
      </c>
      <c r="V689" s="23" t="n">
        <f aca="false">IF(ISNUMBER(C689),YEAR(C689),"")</f>
        <v>2017</v>
      </c>
      <c r="W689" s="23" t="n">
        <f aca="false">IF(ISNUMBER(C689),MONTH(C689),"")</f>
        <v>8</v>
      </c>
      <c r="X689" s="23" t="str">
        <f aca="false">IF(T689="","",IF(T689=0,"No discount",IF(T689&lt;=0.2,"Low (1-20%)",IF(T689&lt;=0.4,"Medium (21-40%)","High (&gt;40%)"))))</f>
        <v>Medium (21-40%)</v>
      </c>
      <c r="Y689" s="23" t="n">
        <f aca="false">IF(AND(ISNUMBER(C689),ISNUMBER(D689)),D689-C689,"")</f>
        <v>7</v>
      </c>
      <c r="Z689" s="23" t="n">
        <f aca="false">IF(B689="","",IF(MATCH(B689,$B$2:$B$12000,0)=ROW()-1,1,0))</f>
        <v>0</v>
      </c>
    </row>
    <row r="690" customFormat="false" ht="15" hidden="false" customHeight="false" outlineLevel="0" collapsed="false">
      <c r="A690" s="20" t="n">
        <v>689</v>
      </c>
      <c r="B690" s="20" t="s">
        <v>1879</v>
      </c>
      <c r="C690" s="21" t="n">
        <v>42951</v>
      </c>
      <c r="D690" s="21" t="n">
        <v>42958</v>
      </c>
      <c r="E690" s="20" t="s">
        <v>104</v>
      </c>
      <c r="F690" s="20" t="s">
        <v>233</v>
      </c>
      <c r="G690" s="20" t="s">
        <v>234</v>
      </c>
      <c r="H690" s="20" t="s">
        <v>61</v>
      </c>
      <c r="I690" s="20" t="s">
        <v>62</v>
      </c>
      <c r="J690" s="20" t="s">
        <v>63</v>
      </c>
      <c r="K690" s="20" t="s">
        <v>422</v>
      </c>
      <c r="L690" s="20" t="n">
        <v>47526</v>
      </c>
      <c r="M690" s="20" t="s">
        <v>153</v>
      </c>
      <c r="N690" s="20" t="s">
        <v>1883</v>
      </c>
      <c r="O690" s="20" t="s">
        <v>76</v>
      </c>
      <c r="P690" s="20" t="s">
        <v>88</v>
      </c>
      <c r="Q690" s="20" t="s">
        <v>1884</v>
      </c>
      <c r="R690" s="22" t="n">
        <v>349.61</v>
      </c>
      <c r="S690" s="20" t="n">
        <v>1</v>
      </c>
      <c r="T690" s="20" t="n">
        <v>0</v>
      </c>
      <c r="U690" s="22" t="n">
        <v>62.33</v>
      </c>
      <c r="V690" s="23" t="n">
        <f aca="false">IF(ISNUMBER(C690),YEAR(C690),"")</f>
        <v>2017</v>
      </c>
      <c r="W690" s="23" t="n">
        <f aca="false">IF(ISNUMBER(C690),MONTH(C690),"")</f>
        <v>8</v>
      </c>
      <c r="X690" s="23" t="str">
        <f aca="false">IF(T690="","",IF(T690=0,"No discount",IF(T690&lt;=0.2,"Low (1-20%)",IF(T690&lt;=0.4,"Medium (21-40%)","High (&gt;40%)"))))</f>
        <v>No discount</v>
      </c>
      <c r="Y690" s="23" t="n">
        <f aca="false">IF(AND(ISNUMBER(C690),ISNUMBER(D690)),D690-C690,"")</f>
        <v>7</v>
      </c>
      <c r="Z690" s="23" t="n">
        <f aca="false">IF(B690="","",IF(MATCH(B690,$B$2:$B$12000,0)=ROW()-1,1,0))</f>
        <v>0</v>
      </c>
    </row>
    <row r="691" customFormat="false" ht="15" hidden="false" customHeight="false" outlineLevel="0" collapsed="false">
      <c r="A691" s="20" t="n">
        <v>690</v>
      </c>
      <c r="B691" s="20" t="s">
        <v>1879</v>
      </c>
      <c r="C691" s="21" t="n">
        <v>42951</v>
      </c>
      <c r="D691" s="21" t="n">
        <v>42958</v>
      </c>
      <c r="E691" s="20" t="s">
        <v>104</v>
      </c>
      <c r="F691" s="20" t="s">
        <v>233</v>
      </c>
      <c r="G691" s="20" t="s">
        <v>234</v>
      </c>
      <c r="H691" s="20" t="s">
        <v>61</v>
      </c>
      <c r="I691" s="20" t="s">
        <v>62</v>
      </c>
      <c r="J691" s="20" t="s">
        <v>63</v>
      </c>
      <c r="K691" s="20" t="s">
        <v>422</v>
      </c>
      <c r="L691" s="20" t="n">
        <v>80147</v>
      </c>
      <c r="M691" s="20" t="s">
        <v>153</v>
      </c>
      <c r="N691" s="20" t="s">
        <v>1885</v>
      </c>
      <c r="O691" s="20" t="s">
        <v>76</v>
      </c>
      <c r="P691" s="20" t="s">
        <v>185</v>
      </c>
      <c r="Q691" s="20" t="s">
        <v>1676</v>
      </c>
      <c r="R691" s="22" t="n">
        <v>153.2</v>
      </c>
      <c r="S691" s="20" t="n">
        <v>8</v>
      </c>
      <c r="T691" s="20" t="n">
        <v>0</v>
      </c>
      <c r="U691" s="22" t="n">
        <v>50.01</v>
      </c>
      <c r="V691" s="23" t="n">
        <f aca="false">IF(ISNUMBER(C691),YEAR(C691),"")</f>
        <v>2017</v>
      </c>
      <c r="W691" s="23" t="n">
        <f aca="false">IF(ISNUMBER(C691),MONTH(C691),"")</f>
        <v>8</v>
      </c>
      <c r="X691" s="23" t="str">
        <f aca="false">IF(T691="","",IF(T691=0,"No discount",IF(T691&lt;=0.2,"Low (1-20%)",IF(T691&lt;=0.4,"Medium (21-40%)","High (&gt;40%)"))))</f>
        <v>No discount</v>
      </c>
      <c r="Y691" s="23" t="n">
        <f aca="false">IF(AND(ISNUMBER(C691),ISNUMBER(D691)),D691-C691,"")</f>
        <v>7</v>
      </c>
      <c r="Z691" s="23" t="n">
        <f aca="false">IF(B691="","",IF(MATCH(B691,$B$2:$B$12000,0)=ROW()-1,1,0))</f>
        <v>0</v>
      </c>
    </row>
    <row r="692" customFormat="false" ht="15" hidden="false" customHeight="false" outlineLevel="0" collapsed="false">
      <c r="A692" s="20" t="n">
        <v>691</v>
      </c>
      <c r="B692" s="20" t="s">
        <v>1886</v>
      </c>
      <c r="C692" s="21" t="n">
        <v>42953</v>
      </c>
      <c r="D692" s="21" t="n">
        <v>42956</v>
      </c>
      <c r="E692" s="20" t="s">
        <v>90</v>
      </c>
      <c r="F692" s="20" t="s">
        <v>671</v>
      </c>
      <c r="G692" s="20" t="s">
        <v>672</v>
      </c>
      <c r="H692" s="20" t="s">
        <v>61</v>
      </c>
      <c r="I692" s="20" t="s">
        <v>62</v>
      </c>
      <c r="J692" s="20" t="s">
        <v>63</v>
      </c>
      <c r="K692" s="20" t="s">
        <v>556</v>
      </c>
      <c r="L692" s="20" t="n">
        <v>55909</v>
      </c>
      <c r="M692" s="20" t="s">
        <v>65</v>
      </c>
      <c r="N692" s="20" t="s">
        <v>1887</v>
      </c>
      <c r="O692" s="20" t="s">
        <v>67</v>
      </c>
      <c r="P692" s="20" t="s">
        <v>106</v>
      </c>
      <c r="Q692" s="20" t="s">
        <v>1888</v>
      </c>
      <c r="R692" s="22" t="n">
        <v>1039.09</v>
      </c>
      <c r="S692" s="20" t="n">
        <v>2</v>
      </c>
      <c r="T692" s="20" t="n">
        <v>0.2</v>
      </c>
      <c r="U692" s="22" t="n">
        <v>-38.24</v>
      </c>
      <c r="V692" s="23" t="n">
        <f aca="false">IF(ISNUMBER(C692),YEAR(C692),"")</f>
        <v>2017</v>
      </c>
      <c r="W692" s="23" t="n">
        <f aca="false">IF(ISNUMBER(C692),MONTH(C692),"")</f>
        <v>8</v>
      </c>
      <c r="X692" s="23" t="str">
        <f aca="false">IF(T692="","",IF(T692=0,"No discount",IF(T692&lt;=0.2,"Low (1-20%)",IF(T692&lt;=0.4,"Medium (21-40%)","High (&gt;40%)"))))</f>
        <v>Low (1-20%)</v>
      </c>
      <c r="Y692" s="23" t="n">
        <f aca="false">IF(AND(ISNUMBER(C692),ISNUMBER(D692)),D692-C692,"")</f>
        <v>3</v>
      </c>
      <c r="Z692" s="23" t="n">
        <f aca="false">IF(B692="","",IF(MATCH(B692,$B$2:$B$12000,0)=ROW()-1,1,0))</f>
        <v>1</v>
      </c>
    </row>
    <row r="693" customFormat="false" ht="15" hidden="false" customHeight="false" outlineLevel="0" collapsed="false">
      <c r="A693" s="20" t="n">
        <v>692</v>
      </c>
      <c r="B693" s="20" t="s">
        <v>1889</v>
      </c>
      <c r="C693" s="21" t="n">
        <v>42954</v>
      </c>
      <c r="D693" s="21" t="n">
        <v>42958</v>
      </c>
      <c r="E693" s="20" t="s">
        <v>71</v>
      </c>
      <c r="F693" s="20" t="s">
        <v>604</v>
      </c>
      <c r="G693" s="20" t="s">
        <v>605</v>
      </c>
      <c r="H693" s="20" t="s">
        <v>85</v>
      </c>
      <c r="I693" s="20" t="s">
        <v>62</v>
      </c>
      <c r="J693" s="20" t="s">
        <v>63</v>
      </c>
      <c r="K693" s="20" t="s">
        <v>647</v>
      </c>
      <c r="L693" s="20" t="n">
        <v>36295</v>
      </c>
      <c r="M693" s="20" t="s">
        <v>97</v>
      </c>
      <c r="N693" s="20" t="s">
        <v>1890</v>
      </c>
      <c r="O693" s="20" t="s">
        <v>67</v>
      </c>
      <c r="P693" s="20" t="s">
        <v>164</v>
      </c>
      <c r="Q693" s="20" t="s">
        <v>1891</v>
      </c>
      <c r="R693" s="22" t="n">
        <v>916.8</v>
      </c>
      <c r="S693" s="20" t="n">
        <v>3</v>
      </c>
      <c r="T693" s="20" t="n">
        <v>0.2</v>
      </c>
      <c r="U693" s="22" t="n">
        <v>-53.98</v>
      </c>
      <c r="V693" s="23" t="n">
        <f aca="false">IF(ISNUMBER(C693),YEAR(C693),"")</f>
        <v>2017</v>
      </c>
      <c r="W693" s="23" t="n">
        <f aca="false">IF(ISNUMBER(C693),MONTH(C693),"")</f>
        <v>8</v>
      </c>
      <c r="X693" s="23" t="str">
        <f aca="false">IF(T693="","",IF(T693=0,"No discount",IF(T693&lt;=0.2,"Low (1-20%)",IF(T693&lt;=0.4,"Medium (21-40%)","High (&gt;40%)"))))</f>
        <v>Low (1-20%)</v>
      </c>
      <c r="Y693" s="23" t="n">
        <f aca="false">IF(AND(ISNUMBER(C693),ISNUMBER(D693)),D693-C693,"")</f>
        <v>4</v>
      </c>
      <c r="Z693" s="23" t="n">
        <f aca="false">IF(B693="","",IF(MATCH(B693,$B$2:$B$12000,0)=ROW()-1,1,0))</f>
        <v>1</v>
      </c>
    </row>
    <row r="694" customFormat="false" ht="15" hidden="false" customHeight="false" outlineLevel="0" collapsed="false">
      <c r="A694" s="20" t="n">
        <v>693</v>
      </c>
      <c r="B694" s="20" t="s">
        <v>1889</v>
      </c>
      <c r="C694" s="21" t="n">
        <v>42954</v>
      </c>
      <c r="D694" s="21" t="n">
        <v>42958</v>
      </c>
      <c r="E694" s="20" t="s">
        <v>104</v>
      </c>
      <c r="F694" s="20" t="s">
        <v>604</v>
      </c>
      <c r="G694" s="20" t="s">
        <v>605</v>
      </c>
      <c r="H694" s="20" t="s">
        <v>85</v>
      </c>
      <c r="I694" s="20" t="s">
        <v>62</v>
      </c>
      <c r="J694" s="20" t="s">
        <v>63</v>
      </c>
      <c r="K694" s="20" t="s">
        <v>647</v>
      </c>
      <c r="L694" s="20" t="n">
        <v>99898</v>
      </c>
      <c r="M694" s="20" t="s">
        <v>97</v>
      </c>
      <c r="N694" s="20" t="s">
        <v>1892</v>
      </c>
      <c r="O694" s="20" t="s">
        <v>67</v>
      </c>
      <c r="P694" s="20" t="s">
        <v>106</v>
      </c>
      <c r="Q694" s="20" t="s">
        <v>1893</v>
      </c>
      <c r="R694" s="22" t="n">
        <v>5317.25</v>
      </c>
      <c r="S694" s="20" t="n">
        <v>8</v>
      </c>
      <c r="T694" s="20" t="n">
        <v>0</v>
      </c>
      <c r="U694" s="22" t="n">
        <v>693.78</v>
      </c>
      <c r="V694" s="23" t="n">
        <f aca="false">IF(ISNUMBER(C694),YEAR(C694),"")</f>
        <v>2017</v>
      </c>
      <c r="W694" s="23" t="n">
        <f aca="false">IF(ISNUMBER(C694),MONTH(C694),"")</f>
        <v>8</v>
      </c>
      <c r="X694" s="23" t="str">
        <f aca="false">IF(T694="","",IF(T694=0,"No discount",IF(T694&lt;=0.2,"Low (1-20%)",IF(T694&lt;=0.4,"Medium (21-40%)","High (&gt;40%)"))))</f>
        <v>No discount</v>
      </c>
      <c r="Y694" s="23" t="n">
        <f aca="false">IF(AND(ISNUMBER(C694),ISNUMBER(D694)),D694-C694,"")</f>
        <v>4</v>
      </c>
      <c r="Z694" s="23" t="n">
        <f aca="false">IF(B694="","",IF(MATCH(B694,$B$2:$B$12000,0)=ROW()-1,1,0))</f>
        <v>0</v>
      </c>
    </row>
    <row r="695" customFormat="false" ht="15" hidden="false" customHeight="false" outlineLevel="0" collapsed="false">
      <c r="A695" s="20" t="n">
        <v>694</v>
      </c>
      <c r="B695" s="20" t="s">
        <v>1894</v>
      </c>
      <c r="C695" s="21" t="n">
        <v>42960</v>
      </c>
      <c r="D695" s="21" t="n">
        <v>42967</v>
      </c>
      <c r="E695" s="20" t="s">
        <v>58</v>
      </c>
      <c r="F695" s="20" t="s">
        <v>200</v>
      </c>
      <c r="G695" s="20" t="s">
        <v>201</v>
      </c>
      <c r="H695" s="20" t="s">
        <v>162</v>
      </c>
      <c r="I695" s="20" t="s">
        <v>62</v>
      </c>
      <c r="J695" s="20" t="s">
        <v>63</v>
      </c>
      <c r="K695" s="20" t="s">
        <v>183</v>
      </c>
      <c r="L695" s="20" t="n">
        <v>10217</v>
      </c>
      <c r="M695" s="20" t="s">
        <v>112</v>
      </c>
      <c r="N695" s="20" t="s">
        <v>1895</v>
      </c>
      <c r="O695" s="20" t="s">
        <v>76</v>
      </c>
      <c r="P695" s="20" t="s">
        <v>185</v>
      </c>
      <c r="Q695" s="20" t="s">
        <v>1896</v>
      </c>
      <c r="R695" s="22" t="n">
        <v>91.6</v>
      </c>
      <c r="S695" s="20" t="n">
        <v>5</v>
      </c>
      <c r="T695" s="20" t="n">
        <v>0</v>
      </c>
      <c r="U695" s="22" t="n">
        <v>24.74</v>
      </c>
      <c r="V695" s="23" t="n">
        <f aca="false">IF(ISNUMBER(C695),YEAR(C695),"")</f>
        <v>2017</v>
      </c>
      <c r="W695" s="23" t="n">
        <f aca="false">IF(ISNUMBER(C695),MONTH(C695),"")</f>
        <v>8</v>
      </c>
      <c r="X695" s="23" t="str">
        <f aca="false">IF(T695="","",IF(T695=0,"No discount",IF(T695&lt;=0.2,"Low (1-20%)",IF(T695&lt;=0.4,"Medium (21-40%)","High (&gt;40%)"))))</f>
        <v>No discount</v>
      </c>
      <c r="Y695" s="23" t="n">
        <f aca="false">IF(AND(ISNUMBER(C695),ISNUMBER(D695)),D695-C695,"")</f>
        <v>7</v>
      </c>
      <c r="Z695" s="23" t="n">
        <f aca="false">IF(B695="","",IF(MATCH(B695,$B$2:$B$12000,0)=ROW()-1,1,0))</f>
        <v>1</v>
      </c>
    </row>
    <row r="696" customFormat="false" ht="15" hidden="false" customHeight="false" outlineLevel="0" collapsed="false">
      <c r="A696" s="20" t="n">
        <v>695</v>
      </c>
      <c r="B696" s="20" t="s">
        <v>1897</v>
      </c>
      <c r="C696" s="21" t="n">
        <v>42960</v>
      </c>
      <c r="D696" s="21" t="n">
        <v>42961</v>
      </c>
      <c r="E696" s="20" t="s">
        <v>58</v>
      </c>
      <c r="F696" s="20" t="s">
        <v>582</v>
      </c>
      <c r="G696" s="20" t="s">
        <v>583</v>
      </c>
      <c r="H696" s="20" t="s">
        <v>61</v>
      </c>
      <c r="I696" s="20" t="s">
        <v>62</v>
      </c>
      <c r="J696" s="20" t="s">
        <v>63</v>
      </c>
      <c r="K696" s="20" t="s">
        <v>176</v>
      </c>
      <c r="L696" s="20" t="n">
        <v>33556</v>
      </c>
      <c r="M696" s="20" t="s">
        <v>112</v>
      </c>
      <c r="N696" s="20" t="s">
        <v>1898</v>
      </c>
      <c r="O696" s="20" t="s">
        <v>76</v>
      </c>
      <c r="P696" s="20" t="s">
        <v>236</v>
      </c>
      <c r="Q696" s="20" t="s">
        <v>499</v>
      </c>
      <c r="R696" s="22" t="n">
        <v>74.07</v>
      </c>
      <c r="S696" s="20" t="n">
        <v>3</v>
      </c>
      <c r="T696" s="20" t="n">
        <v>0.5</v>
      </c>
      <c r="U696" s="22" t="n">
        <v>14.64</v>
      </c>
      <c r="V696" s="23" t="n">
        <f aca="false">IF(ISNUMBER(C696),YEAR(C696),"")</f>
        <v>2017</v>
      </c>
      <c r="W696" s="23" t="n">
        <f aca="false">IF(ISNUMBER(C696),MONTH(C696),"")</f>
        <v>8</v>
      </c>
      <c r="X696" s="23" t="str">
        <f aca="false">IF(T696="","",IF(T696=0,"No discount",IF(T696&lt;=0.2,"Low (1-20%)",IF(T696&lt;=0.4,"Medium (21-40%)","High (&gt;40%)"))))</f>
        <v>High (&gt;40%)</v>
      </c>
      <c r="Y696" s="23" t="n">
        <f aca="false">IF(AND(ISNUMBER(C696),ISNUMBER(D696)),D696-C696,"")</f>
        <v>1</v>
      </c>
      <c r="Z696" s="23" t="n">
        <f aca="false">IF(B696="","",IF(MATCH(B696,$B$2:$B$12000,0)=ROW()-1,1,0))</f>
        <v>1</v>
      </c>
    </row>
    <row r="697" customFormat="false" ht="15" hidden="false" customHeight="false" outlineLevel="0" collapsed="false">
      <c r="A697" s="20" t="n">
        <v>696</v>
      </c>
      <c r="B697" s="20" t="s">
        <v>1897</v>
      </c>
      <c r="C697" s="21" t="n">
        <v>42960</v>
      </c>
      <c r="D697" s="21" t="n">
        <v>42961</v>
      </c>
      <c r="E697" s="20" t="s">
        <v>71</v>
      </c>
      <c r="F697" s="20" t="s">
        <v>582</v>
      </c>
      <c r="G697" s="20" t="s">
        <v>583</v>
      </c>
      <c r="H697" s="20" t="s">
        <v>61</v>
      </c>
      <c r="I697" s="20" t="s">
        <v>62</v>
      </c>
      <c r="J697" s="20" t="s">
        <v>63</v>
      </c>
      <c r="K697" s="20" t="s">
        <v>176</v>
      </c>
      <c r="L697" s="20" t="n">
        <v>21479</v>
      </c>
      <c r="M697" s="20" t="s">
        <v>112</v>
      </c>
      <c r="N697" s="20" t="s">
        <v>1899</v>
      </c>
      <c r="O697" s="20" t="s">
        <v>114</v>
      </c>
      <c r="P697" s="20" t="s">
        <v>139</v>
      </c>
      <c r="Q697" s="20" t="s">
        <v>680</v>
      </c>
      <c r="R697" s="22" t="n">
        <v>2133.62</v>
      </c>
      <c r="S697" s="20" t="n">
        <v>4</v>
      </c>
      <c r="T697" s="20" t="n">
        <v>0</v>
      </c>
      <c r="U697" s="22" t="n">
        <v>176.15</v>
      </c>
      <c r="V697" s="23" t="n">
        <f aca="false">IF(ISNUMBER(C697),YEAR(C697),"")</f>
        <v>2017</v>
      </c>
      <c r="W697" s="23" t="n">
        <f aca="false">IF(ISNUMBER(C697),MONTH(C697),"")</f>
        <v>8</v>
      </c>
      <c r="X697" s="23" t="str">
        <f aca="false">IF(T697="","",IF(T697=0,"No discount",IF(T697&lt;=0.2,"Low (1-20%)",IF(T697&lt;=0.4,"Medium (21-40%)","High (&gt;40%)"))))</f>
        <v>No discount</v>
      </c>
      <c r="Y697" s="23" t="n">
        <f aca="false">IF(AND(ISNUMBER(C697),ISNUMBER(D697)),D697-C697,"")</f>
        <v>1</v>
      </c>
      <c r="Z697" s="23" t="n">
        <f aca="false">IF(B697="","",IF(MATCH(B697,$B$2:$B$12000,0)=ROW()-1,1,0))</f>
        <v>0</v>
      </c>
    </row>
    <row r="698" customFormat="false" ht="15" hidden="false" customHeight="false" outlineLevel="0" collapsed="false">
      <c r="A698" s="20" t="n">
        <v>697</v>
      </c>
      <c r="B698" s="20" t="s">
        <v>1897</v>
      </c>
      <c r="C698" s="21" t="n">
        <v>42960</v>
      </c>
      <c r="D698" s="21" t="n">
        <v>42961</v>
      </c>
      <c r="E698" s="20" t="s">
        <v>71</v>
      </c>
      <c r="F698" s="20" t="s">
        <v>582</v>
      </c>
      <c r="G698" s="20" t="s">
        <v>583</v>
      </c>
      <c r="H698" s="20" t="s">
        <v>61</v>
      </c>
      <c r="I698" s="20" t="s">
        <v>62</v>
      </c>
      <c r="J698" s="20" t="s">
        <v>63</v>
      </c>
      <c r="K698" s="20" t="s">
        <v>176</v>
      </c>
      <c r="L698" s="20" t="n">
        <v>81313</v>
      </c>
      <c r="M698" s="20" t="s">
        <v>112</v>
      </c>
      <c r="N698" s="20" t="s">
        <v>1900</v>
      </c>
      <c r="O698" s="20" t="s">
        <v>67</v>
      </c>
      <c r="P698" s="20" t="s">
        <v>68</v>
      </c>
      <c r="Q698" s="20" t="s">
        <v>1901</v>
      </c>
      <c r="R698" s="22" t="n">
        <v>4359.53</v>
      </c>
      <c r="S698" s="20" t="n">
        <v>3</v>
      </c>
      <c r="T698" s="20" t="n">
        <v>0</v>
      </c>
      <c r="U698" s="22" t="n">
        <v>1341.83</v>
      </c>
      <c r="V698" s="23" t="n">
        <f aca="false">IF(ISNUMBER(C698),YEAR(C698),"")</f>
        <v>2017</v>
      </c>
      <c r="W698" s="23" t="n">
        <f aca="false">IF(ISNUMBER(C698),MONTH(C698),"")</f>
        <v>8</v>
      </c>
      <c r="X698" s="23" t="str">
        <f aca="false">IF(T698="","",IF(T698=0,"No discount",IF(T698&lt;=0.2,"Low (1-20%)",IF(T698&lt;=0.4,"Medium (21-40%)","High (&gt;40%)"))))</f>
        <v>No discount</v>
      </c>
      <c r="Y698" s="23" t="n">
        <f aca="false">IF(AND(ISNUMBER(C698),ISNUMBER(D698)),D698-C698,"")</f>
        <v>1</v>
      </c>
      <c r="Z698" s="23" t="n">
        <f aca="false">IF(B698="","",IF(MATCH(B698,$B$2:$B$12000,0)=ROW()-1,1,0))</f>
        <v>0</v>
      </c>
    </row>
    <row r="699" customFormat="false" ht="15" hidden="false" customHeight="false" outlineLevel="0" collapsed="false">
      <c r="A699" s="20" t="n">
        <v>698</v>
      </c>
      <c r="B699" s="20" t="s">
        <v>1897</v>
      </c>
      <c r="C699" s="21" t="n">
        <v>42960</v>
      </c>
      <c r="D699" s="21" t="n">
        <v>42961</v>
      </c>
      <c r="E699" s="20" t="s">
        <v>58</v>
      </c>
      <c r="F699" s="20" t="s">
        <v>582</v>
      </c>
      <c r="G699" s="20" t="s">
        <v>583</v>
      </c>
      <c r="H699" s="20" t="s">
        <v>61</v>
      </c>
      <c r="I699" s="20" t="s">
        <v>62</v>
      </c>
      <c r="J699" s="20" t="s">
        <v>63</v>
      </c>
      <c r="K699" s="20" t="s">
        <v>176</v>
      </c>
      <c r="L699" s="20" t="n">
        <v>59381</v>
      </c>
      <c r="M699" s="20" t="s">
        <v>112</v>
      </c>
      <c r="N699" s="20" t="s">
        <v>1902</v>
      </c>
      <c r="O699" s="20" t="s">
        <v>76</v>
      </c>
      <c r="P699" s="20" t="s">
        <v>88</v>
      </c>
      <c r="Q699" s="20" t="s">
        <v>843</v>
      </c>
      <c r="R699" s="22" t="n">
        <v>443.89</v>
      </c>
      <c r="S699" s="20" t="n">
        <v>2</v>
      </c>
      <c r="T699" s="20" t="n">
        <v>0.4</v>
      </c>
      <c r="U699" s="22" t="n">
        <v>-49.45</v>
      </c>
      <c r="V699" s="23" t="n">
        <f aca="false">IF(ISNUMBER(C699),YEAR(C699),"")</f>
        <v>2017</v>
      </c>
      <c r="W699" s="23" t="n">
        <f aca="false">IF(ISNUMBER(C699),MONTH(C699),"")</f>
        <v>8</v>
      </c>
      <c r="X699" s="23" t="str">
        <f aca="false">IF(T699="","",IF(T699=0,"No discount",IF(T699&lt;=0.2,"Low (1-20%)",IF(T699&lt;=0.4,"Medium (21-40%)","High (&gt;40%)"))))</f>
        <v>Medium (21-40%)</v>
      </c>
      <c r="Y699" s="23" t="n">
        <f aca="false">IF(AND(ISNUMBER(C699),ISNUMBER(D699)),D699-C699,"")</f>
        <v>1</v>
      </c>
      <c r="Z699" s="23" t="n">
        <f aca="false">IF(B699="","",IF(MATCH(B699,$B$2:$B$12000,0)=ROW()-1,1,0))</f>
        <v>0</v>
      </c>
    </row>
    <row r="700" customFormat="false" ht="15" hidden="false" customHeight="false" outlineLevel="0" collapsed="false">
      <c r="A700" s="20" t="n">
        <v>699</v>
      </c>
      <c r="B700" s="20" t="s">
        <v>1903</v>
      </c>
      <c r="C700" s="21" t="n">
        <v>42962</v>
      </c>
      <c r="D700" s="21" t="n">
        <v>42968</v>
      </c>
      <c r="E700" s="20" t="s">
        <v>71</v>
      </c>
      <c r="F700" s="20" t="s">
        <v>1445</v>
      </c>
      <c r="G700" s="20" t="s">
        <v>1446</v>
      </c>
      <c r="H700" s="20" t="s">
        <v>162</v>
      </c>
      <c r="I700" s="20" t="s">
        <v>62</v>
      </c>
      <c r="J700" s="20" t="s">
        <v>63</v>
      </c>
      <c r="K700" s="20" t="s">
        <v>225</v>
      </c>
      <c r="L700" s="20" t="n">
        <v>35858</v>
      </c>
      <c r="M700" s="20" t="s">
        <v>65</v>
      </c>
      <c r="N700" s="20" t="s">
        <v>1904</v>
      </c>
      <c r="O700" s="20" t="s">
        <v>114</v>
      </c>
      <c r="P700" s="20" t="s">
        <v>115</v>
      </c>
      <c r="Q700" s="20" t="s">
        <v>1905</v>
      </c>
      <c r="R700" s="22" t="n">
        <v>189.94</v>
      </c>
      <c r="S700" s="20" t="n">
        <v>1</v>
      </c>
      <c r="T700" s="20" t="n">
        <v>0.5</v>
      </c>
      <c r="U700" s="22" t="n">
        <v>-38.71</v>
      </c>
      <c r="V700" s="23" t="n">
        <f aca="false">IF(ISNUMBER(C700),YEAR(C700),"")</f>
        <v>2017</v>
      </c>
      <c r="W700" s="23" t="n">
        <f aca="false">IF(ISNUMBER(C700),MONTH(C700),"")</f>
        <v>8</v>
      </c>
      <c r="X700" s="23" t="str">
        <f aca="false">IF(T700="","",IF(T700=0,"No discount",IF(T700&lt;=0.2,"Low (1-20%)",IF(T700&lt;=0.4,"Medium (21-40%)","High (&gt;40%)"))))</f>
        <v>High (&gt;40%)</v>
      </c>
      <c r="Y700" s="23" t="n">
        <f aca="false">IF(AND(ISNUMBER(C700),ISNUMBER(D700)),D700-C700,"")</f>
        <v>6</v>
      </c>
      <c r="Z700" s="23" t="n">
        <f aca="false">IF(B700="","",IF(MATCH(B700,$B$2:$B$12000,0)=ROW()-1,1,0))</f>
        <v>1</v>
      </c>
    </row>
    <row r="701" customFormat="false" ht="15" hidden="false" customHeight="false" outlineLevel="0" collapsed="false">
      <c r="A701" s="20" t="n">
        <v>700</v>
      </c>
      <c r="B701" s="20" t="s">
        <v>1903</v>
      </c>
      <c r="C701" s="21" t="n">
        <v>42962</v>
      </c>
      <c r="D701" s="21" t="n">
        <v>42968</v>
      </c>
      <c r="E701" s="20" t="s">
        <v>104</v>
      </c>
      <c r="F701" s="20" t="s">
        <v>1445</v>
      </c>
      <c r="G701" s="20" t="s">
        <v>1446</v>
      </c>
      <c r="H701" s="20" t="s">
        <v>162</v>
      </c>
      <c r="I701" s="20" t="s">
        <v>62</v>
      </c>
      <c r="J701" s="20" t="s">
        <v>63</v>
      </c>
      <c r="K701" s="20" t="s">
        <v>225</v>
      </c>
      <c r="L701" s="20" t="n">
        <v>78031</v>
      </c>
      <c r="M701" s="20" t="s">
        <v>65</v>
      </c>
      <c r="N701" s="20" t="s">
        <v>1906</v>
      </c>
      <c r="O701" s="20" t="s">
        <v>76</v>
      </c>
      <c r="P701" s="20" t="s">
        <v>101</v>
      </c>
      <c r="Q701" s="20" t="s">
        <v>1907</v>
      </c>
      <c r="R701" s="22" t="n">
        <v>79.16</v>
      </c>
      <c r="S701" s="20" t="n">
        <v>8</v>
      </c>
      <c r="T701" s="20" t="n">
        <v>0</v>
      </c>
      <c r="U701" s="22" t="n">
        <v>38.39</v>
      </c>
      <c r="V701" s="23" t="n">
        <f aca="false">IF(ISNUMBER(C701),YEAR(C701),"")</f>
        <v>2017</v>
      </c>
      <c r="W701" s="23" t="n">
        <f aca="false">IF(ISNUMBER(C701),MONTH(C701),"")</f>
        <v>8</v>
      </c>
      <c r="X701" s="23" t="str">
        <f aca="false">IF(T701="","",IF(T701=0,"No discount",IF(T701&lt;=0.2,"Low (1-20%)",IF(T701&lt;=0.4,"Medium (21-40%)","High (&gt;40%)"))))</f>
        <v>No discount</v>
      </c>
      <c r="Y701" s="23" t="n">
        <f aca="false">IF(AND(ISNUMBER(C701),ISNUMBER(D701)),D701-C701,"")</f>
        <v>6</v>
      </c>
      <c r="Z701" s="23" t="n">
        <f aca="false">IF(B701="","",IF(MATCH(B701,$B$2:$B$12000,0)=ROW()-1,1,0))</f>
        <v>0</v>
      </c>
    </row>
    <row r="702" customFormat="false" ht="15" hidden="false" customHeight="false" outlineLevel="0" collapsed="false">
      <c r="A702" s="20" t="n">
        <v>701</v>
      </c>
      <c r="B702" s="20" t="s">
        <v>1903</v>
      </c>
      <c r="C702" s="21" t="n">
        <v>42962</v>
      </c>
      <c r="D702" s="21" t="n">
        <v>42968</v>
      </c>
      <c r="E702" s="20" t="s">
        <v>58</v>
      </c>
      <c r="F702" s="20" t="s">
        <v>1445</v>
      </c>
      <c r="G702" s="20" t="s">
        <v>1446</v>
      </c>
      <c r="H702" s="20" t="s">
        <v>162</v>
      </c>
      <c r="I702" s="20" t="s">
        <v>62</v>
      </c>
      <c r="J702" s="20" t="s">
        <v>63</v>
      </c>
      <c r="K702" s="20" t="s">
        <v>225</v>
      </c>
      <c r="L702" s="20" t="n">
        <v>53929</v>
      </c>
      <c r="M702" s="20" t="s">
        <v>65</v>
      </c>
      <c r="N702" s="20" t="s">
        <v>1908</v>
      </c>
      <c r="O702" s="20" t="s">
        <v>76</v>
      </c>
      <c r="P702" s="20" t="s">
        <v>178</v>
      </c>
      <c r="Q702" s="20" t="s">
        <v>1510</v>
      </c>
      <c r="R702" s="22" t="n">
        <v>1081.33</v>
      </c>
      <c r="S702" s="20" t="n">
        <v>8</v>
      </c>
      <c r="T702" s="20" t="n">
        <v>0.3</v>
      </c>
      <c r="U702" s="22" t="n">
        <v>-170.64</v>
      </c>
      <c r="V702" s="23" t="n">
        <f aca="false">IF(ISNUMBER(C702),YEAR(C702),"")</f>
        <v>2017</v>
      </c>
      <c r="W702" s="23" t="n">
        <f aca="false">IF(ISNUMBER(C702),MONTH(C702),"")</f>
        <v>8</v>
      </c>
      <c r="X702" s="23" t="str">
        <f aca="false">IF(T702="","",IF(T702=0,"No discount",IF(T702&lt;=0.2,"Low (1-20%)",IF(T702&lt;=0.4,"Medium (21-40%)","High (&gt;40%)"))))</f>
        <v>Medium (21-40%)</v>
      </c>
      <c r="Y702" s="23" t="n">
        <f aca="false">IF(AND(ISNUMBER(C702),ISNUMBER(D702)),D702-C702,"")</f>
        <v>6</v>
      </c>
      <c r="Z702" s="23" t="n">
        <f aca="false">IF(B702="","",IF(MATCH(B702,$B$2:$B$12000,0)=ROW()-1,1,0))</f>
        <v>0</v>
      </c>
    </row>
    <row r="703" customFormat="false" ht="15" hidden="false" customHeight="false" outlineLevel="0" collapsed="false">
      <c r="A703" s="20" t="n">
        <v>702</v>
      </c>
      <c r="B703" s="20" t="s">
        <v>1903</v>
      </c>
      <c r="C703" s="21" t="n">
        <v>42962</v>
      </c>
      <c r="D703" s="21" t="n">
        <v>42968</v>
      </c>
      <c r="E703" s="20" t="s">
        <v>58</v>
      </c>
      <c r="F703" s="20" t="s">
        <v>1445</v>
      </c>
      <c r="G703" s="20" t="s">
        <v>1446</v>
      </c>
      <c r="H703" s="20" t="s">
        <v>162</v>
      </c>
      <c r="I703" s="20" t="s">
        <v>62</v>
      </c>
      <c r="J703" s="20" t="s">
        <v>63</v>
      </c>
      <c r="K703" s="20" t="s">
        <v>225</v>
      </c>
      <c r="L703" s="20" t="n">
        <v>21245</v>
      </c>
      <c r="M703" s="20" t="s">
        <v>65</v>
      </c>
      <c r="N703" s="20" t="s">
        <v>1909</v>
      </c>
      <c r="O703" s="20" t="s">
        <v>114</v>
      </c>
      <c r="P703" s="20" t="s">
        <v>210</v>
      </c>
      <c r="Q703" s="20" t="s">
        <v>1910</v>
      </c>
      <c r="R703" s="22" t="n">
        <v>72.25</v>
      </c>
      <c r="S703" s="20" t="n">
        <v>4</v>
      </c>
      <c r="T703" s="20" t="n">
        <v>0.7</v>
      </c>
      <c r="U703" s="22" t="n">
        <v>-15.59</v>
      </c>
      <c r="V703" s="23" t="n">
        <f aca="false">IF(ISNUMBER(C703),YEAR(C703),"")</f>
        <v>2017</v>
      </c>
      <c r="W703" s="23" t="n">
        <f aca="false">IF(ISNUMBER(C703),MONTH(C703),"")</f>
        <v>8</v>
      </c>
      <c r="X703" s="23" t="str">
        <f aca="false">IF(T703="","",IF(T703=0,"No discount",IF(T703&lt;=0.2,"Low (1-20%)",IF(T703&lt;=0.4,"Medium (21-40%)","High (&gt;40%)"))))</f>
        <v>High (&gt;40%)</v>
      </c>
      <c r="Y703" s="23" t="n">
        <f aca="false">IF(AND(ISNUMBER(C703),ISNUMBER(D703)),D703-C703,"")</f>
        <v>6</v>
      </c>
      <c r="Z703" s="23" t="n">
        <f aca="false">IF(B703="","",IF(MATCH(B703,$B$2:$B$12000,0)=ROW()-1,1,0))</f>
        <v>0</v>
      </c>
    </row>
    <row r="704" customFormat="false" ht="15" hidden="false" customHeight="false" outlineLevel="0" collapsed="false">
      <c r="A704" s="20" t="n">
        <v>703</v>
      </c>
      <c r="B704" s="20" t="s">
        <v>1911</v>
      </c>
      <c r="C704" s="21" t="n">
        <v>42965</v>
      </c>
      <c r="D704" s="21" t="n">
        <v>42972</v>
      </c>
      <c r="E704" s="20" t="s">
        <v>71</v>
      </c>
      <c r="F704" s="20" t="s">
        <v>174</v>
      </c>
      <c r="G704" s="20" t="s">
        <v>175</v>
      </c>
      <c r="H704" s="20" t="s">
        <v>162</v>
      </c>
      <c r="I704" s="20" t="s">
        <v>62</v>
      </c>
      <c r="J704" s="20" t="s">
        <v>63</v>
      </c>
      <c r="K704" s="20" t="s">
        <v>525</v>
      </c>
      <c r="L704" s="20" t="n">
        <v>84762</v>
      </c>
      <c r="M704" s="20" t="s">
        <v>97</v>
      </c>
      <c r="N704" s="20" t="s">
        <v>1912</v>
      </c>
      <c r="O704" s="20" t="s">
        <v>67</v>
      </c>
      <c r="P704" s="20" t="s">
        <v>106</v>
      </c>
      <c r="Q704" s="20" t="s">
        <v>1306</v>
      </c>
      <c r="R704" s="22" t="n">
        <v>732.14</v>
      </c>
      <c r="S704" s="20" t="n">
        <v>3</v>
      </c>
      <c r="T704" s="20" t="n">
        <v>0.5</v>
      </c>
      <c r="U704" s="22" t="n">
        <v>-50.89</v>
      </c>
      <c r="V704" s="23" t="n">
        <f aca="false">IF(ISNUMBER(C704),YEAR(C704),"")</f>
        <v>2017</v>
      </c>
      <c r="W704" s="23" t="n">
        <f aca="false">IF(ISNUMBER(C704),MONTH(C704),"")</f>
        <v>8</v>
      </c>
      <c r="X704" s="23" t="str">
        <f aca="false">IF(T704="","",IF(T704=0,"No discount",IF(T704&lt;=0.2,"Low (1-20%)",IF(T704&lt;=0.4,"Medium (21-40%)","High (&gt;40%)"))))</f>
        <v>High (&gt;40%)</v>
      </c>
      <c r="Y704" s="23" t="n">
        <f aca="false">IF(AND(ISNUMBER(C704),ISNUMBER(D704)),D704-C704,"")</f>
        <v>7</v>
      </c>
      <c r="Z704" s="23" t="n">
        <f aca="false">IF(B704="","",IF(MATCH(B704,$B$2:$B$12000,0)=ROW()-1,1,0))</f>
        <v>1</v>
      </c>
    </row>
    <row r="705" customFormat="false" ht="15" hidden="false" customHeight="false" outlineLevel="0" collapsed="false">
      <c r="A705" s="20" t="n">
        <v>704</v>
      </c>
      <c r="B705" s="20" t="s">
        <v>1913</v>
      </c>
      <c r="C705" s="21" t="n">
        <v>42965</v>
      </c>
      <c r="D705" s="21" t="n">
        <v>42971</v>
      </c>
      <c r="E705" s="20" t="s">
        <v>58</v>
      </c>
      <c r="F705" s="20" t="s">
        <v>286</v>
      </c>
      <c r="G705" s="20" t="s">
        <v>287</v>
      </c>
      <c r="H705" s="20" t="s">
        <v>61</v>
      </c>
      <c r="I705" s="20" t="s">
        <v>62</v>
      </c>
      <c r="J705" s="20" t="s">
        <v>63</v>
      </c>
      <c r="K705" s="20" t="s">
        <v>550</v>
      </c>
      <c r="L705" s="20" t="n">
        <v>34862</v>
      </c>
      <c r="M705" s="20" t="s">
        <v>97</v>
      </c>
      <c r="N705" s="20" t="s">
        <v>1914</v>
      </c>
      <c r="O705" s="20" t="s">
        <v>114</v>
      </c>
      <c r="P705" s="20" t="s">
        <v>115</v>
      </c>
      <c r="Q705" s="20" t="s">
        <v>188</v>
      </c>
      <c r="R705" s="22" t="n">
        <v>664.7</v>
      </c>
      <c r="S705" s="20" t="n">
        <v>3</v>
      </c>
      <c r="T705" s="20" t="n">
        <v>0.5</v>
      </c>
      <c r="U705" s="22" t="n">
        <v>-97.72</v>
      </c>
      <c r="V705" s="23" t="n">
        <f aca="false">IF(ISNUMBER(C705),YEAR(C705),"")</f>
        <v>2017</v>
      </c>
      <c r="W705" s="23" t="n">
        <f aca="false">IF(ISNUMBER(C705),MONTH(C705),"")</f>
        <v>8</v>
      </c>
      <c r="X705" s="23" t="str">
        <f aca="false">IF(T705="","",IF(T705=0,"No discount",IF(T705&lt;=0.2,"Low (1-20%)",IF(T705&lt;=0.4,"Medium (21-40%)","High (&gt;40%)"))))</f>
        <v>High (&gt;40%)</v>
      </c>
      <c r="Y705" s="23" t="n">
        <f aca="false">IF(AND(ISNUMBER(C705),ISNUMBER(D705)),D705-C705,"")</f>
        <v>6</v>
      </c>
      <c r="Z705" s="23" t="n">
        <f aca="false">IF(B705="","",IF(MATCH(B705,$B$2:$B$12000,0)=ROW()-1,1,0))</f>
        <v>1</v>
      </c>
    </row>
    <row r="706" customFormat="false" ht="15" hidden="false" customHeight="false" outlineLevel="0" collapsed="false">
      <c r="A706" s="20" t="n">
        <v>705</v>
      </c>
      <c r="B706" s="20" t="s">
        <v>1915</v>
      </c>
      <c r="C706" s="21" t="n">
        <v>42969</v>
      </c>
      <c r="D706" s="21" t="n">
        <v>42976</v>
      </c>
      <c r="E706" s="20" t="s">
        <v>71</v>
      </c>
      <c r="F706" s="20" t="s">
        <v>501</v>
      </c>
      <c r="G706" s="20" t="s">
        <v>502</v>
      </c>
      <c r="H706" s="20" t="s">
        <v>85</v>
      </c>
      <c r="I706" s="20" t="s">
        <v>62</v>
      </c>
      <c r="J706" s="20" t="s">
        <v>63</v>
      </c>
      <c r="K706" s="20" t="s">
        <v>647</v>
      </c>
      <c r="L706" s="20" t="n">
        <v>11736</v>
      </c>
      <c r="M706" s="20" t="s">
        <v>97</v>
      </c>
      <c r="N706" s="20" t="s">
        <v>1916</v>
      </c>
      <c r="O706" s="20" t="s">
        <v>76</v>
      </c>
      <c r="P706" s="20" t="s">
        <v>185</v>
      </c>
      <c r="Q706" s="20" t="s">
        <v>1917</v>
      </c>
      <c r="R706" s="22" t="n">
        <v>123.07</v>
      </c>
      <c r="S706" s="20" t="n">
        <v>8</v>
      </c>
      <c r="T706" s="20" t="n">
        <v>0.1</v>
      </c>
      <c r="U706" s="22" t="n">
        <v>31.78</v>
      </c>
      <c r="V706" s="23" t="n">
        <f aca="false">IF(ISNUMBER(C706),YEAR(C706),"")</f>
        <v>2017</v>
      </c>
      <c r="W706" s="23" t="n">
        <f aca="false">IF(ISNUMBER(C706),MONTH(C706),"")</f>
        <v>8</v>
      </c>
      <c r="X706" s="23" t="str">
        <f aca="false">IF(T706="","",IF(T706=0,"No discount",IF(T706&lt;=0.2,"Low (1-20%)",IF(T706&lt;=0.4,"Medium (21-40%)","High (&gt;40%)"))))</f>
        <v>Low (1-20%)</v>
      </c>
      <c r="Y706" s="23" t="n">
        <f aca="false">IF(AND(ISNUMBER(C706),ISNUMBER(D706)),D706-C706,"")</f>
        <v>7</v>
      </c>
      <c r="Z706" s="23" t="n">
        <f aca="false">IF(B706="","",IF(MATCH(B706,$B$2:$B$12000,0)=ROW()-1,1,0))</f>
        <v>1</v>
      </c>
    </row>
    <row r="707" customFormat="false" ht="15" hidden="false" customHeight="false" outlineLevel="0" collapsed="false">
      <c r="A707" s="20" t="n">
        <v>706</v>
      </c>
      <c r="B707" s="20" t="s">
        <v>1918</v>
      </c>
      <c r="C707" s="21" t="n">
        <v>42969</v>
      </c>
      <c r="D707" s="21" t="n">
        <v>42972</v>
      </c>
      <c r="E707" s="20" t="s">
        <v>71</v>
      </c>
      <c r="F707" s="20" t="s">
        <v>732</v>
      </c>
      <c r="G707" s="20" t="s">
        <v>733</v>
      </c>
      <c r="H707" s="20" t="s">
        <v>85</v>
      </c>
      <c r="I707" s="20" t="s">
        <v>62</v>
      </c>
      <c r="J707" s="20" t="s">
        <v>63</v>
      </c>
      <c r="K707" s="20" t="s">
        <v>565</v>
      </c>
      <c r="L707" s="20" t="n">
        <v>93322</v>
      </c>
      <c r="M707" s="20" t="s">
        <v>112</v>
      </c>
      <c r="N707" s="20" t="s">
        <v>1919</v>
      </c>
      <c r="O707" s="20" t="s">
        <v>76</v>
      </c>
      <c r="P707" s="20" t="s">
        <v>77</v>
      </c>
      <c r="Q707" s="20" t="s">
        <v>1920</v>
      </c>
      <c r="R707" s="22" t="n">
        <v>45.07</v>
      </c>
      <c r="S707" s="20" t="n">
        <v>2</v>
      </c>
      <c r="T707" s="20" t="n">
        <v>0.4</v>
      </c>
      <c r="U707" s="22" t="n">
        <v>-0.07</v>
      </c>
      <c r="V707" s="23" t="n">
        <f aca="false">IF(ISNUMBER(C707),YEAR(C707),"")</f>
        <v>2017</v>
      </c>
      <c r="W707" s="23" t="n">
        <f aca="false">IF(ISNUMBER(C707),MONTH(C707),"")</f>
        <v>8</v>
      </c>
      <c r="X707" s="23" t="str">
        <f aca="false">IF(T707="","",IF(T707=0,"No discount",IF(T707&lt;=0.2,"Low (1-20%)",IF(T707&lt;=0.4,"Medium (21-40%)","High (&gt;40%)"))))</f>
        <v>Medium (21-40%)</v>
      </c>
      <c r="Y707" s="23" t="n">
        <f aca="false">IF(AND(ISNUMBER(C707),ISNUMBER(D707)),D707-C707,"")</f>
        <v>3</v>
      </c>
      <c r="Z707" s="23" t="n">
        <f aca="false">IF(B707="","",IF(MATCH(B707,$B$2:$B$12000,0)=ROW()-1,1,0))</f>
        <v>1</v>
      </c>
    </row>
    <row r="708" customFormat="false" ht="15" hidden="false" customHeight="false" outlineLevel="0" collapsed="false">
      <c r="A708" s="20" t="n">
        <v>707</v>
      </c>
      <c r="B708" s="20" t="s">
        <v>1921</v>
      </c>
      <c r="C708" s="21" t="n">
        <v>42970</v>
      </c>
      <c r="D708" s="21" t="n">
        <v>42977</v>
      </c>
      <c r="E708" s="20" t="s">
        <v>90</v>
      </c>
      <c r="F708" s="20" t="s">
        <v>758</v>
      </c>
      <c r="G708" s="20" t="s">
        <v>759</v>
      </c>
      <c r="H708" s="20" t="s">
        <v>61</v>
      </c>
      <c r="I708" s="20" t="s">
        <v>62</v>
      </c>
      <c r="J708" s="20" t="s">
        <v>63</v>
      </c>
      <c r="K708" s="20" t="s">
        <v>385</v>
      </c>
      <c r="L708" s="20" t="n">
        <v>65948</v>
      </c>
      <c r="M708" s="20" t="s">
        <v>153</v>
      </c>
      <c r="N708" s="20" t="s">
        <v>1922</v>
      </c>
      <c r="O708" s="20" t="s">
        <v>114</v>
      </c>
      <c r="P708" s="20" t="s">
        <v>115</v>
      </c>
      <c r="Q708" s="20" t="s">
        <v>116</v>
      </c>
      <c r="R708" s="22" t="n">
        <v>3669.78</v>
      </c>
      <c r="S708" s="20" t="n">
        <v>7</v>
      </c>
      <c r="T708" s="20" t="n">
        <v>0</v>
      </c>
      <c r="U708" s="22" t="n">
        <v>583.38</v>
      </c>
      <c r="V708" s="23" t="n">
        <f aca="false">IF(ISNUMBER(C708),YEAR(C708),"")</f>
        <v>2017</v>
      </c>
      <c r="W708" s="23" t="n">
        <f aca="false">IF(ISNUMBER(C708),MONTH(C708),"")</f>
        <v>8</v>
      </c>
      <c r="X708" s="23" t="str">
        <f aca="false">IF(T708="","",IF(T708=0,"No discount",IF(T708&lt;=0.2,"Low (1-20%)",IF(T708&lt;=0.4,"Medium (21-40%)","High (&gt;40%)"))))</f>
        <v>No discount</v>
      </c>
      <c r="Y708" s="23" t="n">
        <f aca="false">IF(AND(ISNUMBER(C708),ISNUMBER(D708)),D708-C708,"")</f>
        <v>7</v>
      </c>
      <c r="Z708" s="23" t="n">
        <f aca="false">IF(B708="","",IF(MATCH(B708,$B$2:$B$12000,0)=ROW()-1,1,0))</f>
        <v>1</v>
      </c>
    </row>
    <row r="709" customFormat="false" ht="15" hidden="false" customHeight="false" outlineLevel="0" collapsed="false">
      <c r="A709" s="20" t="n">
        <v>708</v>
      </c>
      <c r="B709" s="20" t="s">
        <v>1921</v>
      </c>
      <c r="C709" s="21" t="n">
        <v>42970</v>
      </c>
      <c r="D709" s="21" t="n">
        <v>42977</v>
      </c>
      <c r="E709" s="20" t="s">
        <v>58</v>
      </c>
      <c r="F709" s="20" t="s">
        <v>758</v>
      </c>
      <c r="G709" s="20" t="s">
        <v>759</v>
      </c>
      <c r="H709" s="20" t="s">
        <v>61</v>
      </c>
      <c r="I709" s="20" t="s">
        <v>62</v>
      </c>
      <c r="J709" s="20" t="s">
        <v>63</v>
      </c>
      <c r="K709" s="20" t="s">
        <v>385</v>
      </c>
      <c r="L709" s="20" t="n">
        <v>25000</v>
      </c>
      <c r="M709" s="20" t="s">
        <v>153</v>
      </c>
      <c r="N709" s="20" t="s">
        <v>1923</v>
      </c>
      <c r="O709" s="20" t="s">
        <v>76</v>
      </c>
      <c r="P709" s="20" t="s">
        <v>88</v>
      </c>
      <c r="Q709" s="20" t="s">
        <v>1924</v>
      </c>
      <c r="R709" s="22" t="n">
        <v>937.31</v>
      </c>
      <c r="S709" s="20" t="n">
        <v>2</v>
      </c>
      <c r="T709" s="20" t="n">
        <v>0</v>
      </c>
      <c r="U709" s="22" t="n">
        <v>117.43</v>
      </c>
      <c r="V709" s="23" t="n">
        <f aca="false">IF(ISNUMBER(C709),YEAR(C709),"")</f>
        <v>2017</v>
      </c>
      <c r="W709" s="23" t="n">
        <f aca="false">IF(ISNUMBER(C709),MONTH(C709),"")</f>
        <v>8</v>
      </c>
      <c r="X709" s="23" t="str">
        <f aca="false">IF(T709="","",IF(T709=0,"No discount",IF(T709&lt;=0.2,"Low (1-20%)",IF(T709&lt;=0.4,"Medium (21-40%)","High (&gt;40%)"))))</f>
        <v>No discount</v>
      </c>
      <c r="Y709" s="23" t="n">
        <f aca="false">IF(AND(ISNUMBER(C709),ISNUMBER(D709)),D709-C709,"")</f>
        <v>7</v>
      </c>
      <c r="Z709" s="23" t="n">
        <f aca="false">IF(B709="","",IF(MATCH(B709,$B$2:$B$12000,0)=ROW()-1,1,0))</f>
        <v>0</v>
      </c>
    </row>
    <row r="710" customFormat="false" ht="15" hidden="false" customHeight="false" outlineLevel="0" collapsed="false">
      <c r="A710" s="20" t="n">
        <v>709</v>
      </c>
      <c r="B710" s="20" t="s">
        <v>1925</v>
      </c>
      <c r="C710" s="21" t="n">
        <v>42972</v>
      </c>
      <c r="D710" s="21" t="n">
        <v>42977</v>
      </c>
      <c r="E710" s="20" t="s">
        <v>104</v>
      </c>
      <c r="F710" s="20" t="s">
        <v>758</v>
      </c>
      <c r="G710" s="20" t="s">
        <v>759</v>
      </c>
      <c r="H710" s="20" t="s">
        <v>61</v>
      </c>
      <c r="I710" s="20" t="s">
        <v>62</v>
      </c>
      <c r="J710" s="20" t="s">
        <v>63</v>
      </c>
      <c r="K710" s="20" t="s">
        <v>796</v>
      </c>
      <c r="L710" s="20" t="n">
        <v>16281</v>
      </c>
      <c r="M710" s="20" t="s">
        <v>153</v>
      </c>
      <c r="N710" s="20" t="s">
        <v>1926</v>
      </c>
      <c r="O710" s="20" t="s">
        <v>114</v>
      </c>
      <c r="P710" s="20" t="s">
        <v>139</v>
      </c>
      <c r="Q710" s="20" t="s">
        <v>1794</v>
      </c>
      <c r="R710" s="22" t="n">
        <v>284.49</v>
      </c>
      <c r="S710" s="20" t="n">
        <v>4</v>
      </c>
      <c r="T710" s="20" t="n">
        <v>0.7</v>
      </c>
      <c r="U710" s="22" t="n">
        <v>-95.7</v>
      </c>
      <c r="V710" s="23" t="n">
        <f aca="false">IF(ISNUMBER(C710),YEAR(C710),"")</f>
        <v>2017</v>
      </c>
      <c r="W710" s="23" t="n">
        <f aca="false">IF(ISNUMBER(C710),MONTH(C710),"")</f>
        <v>8</v>
      </c>
      <c r="X710" s="23" t="str">
        <f aca="false">IF(T710="","",IF(T710=0,"No discount",IF(T710&lt;=0.2,"Low (1-20%)",IF(T710&lt;=0.4,"Medium (21-40%)","High (&gt;40%)"))))</f>
        <v>High (&gt;40%)</v>
      </c>
      <c r="Y710" s="23" t="n">
        <f aca="false">IF(AND(ISNUMBER(C710),ISNUMBER(D710)),D710-C710,"")</f>
        <v>5</v>
      </c>
      <c r="Z710" s="23" t="n">
        <f aca="false">IF(B710="","",IF(MATCH(B710,$B$2:$B$12000,0)=ROW()-1,1,0))</f>
        <v>1</v>
      </c>
    </row>
    <row r="711" customFormat="false" ht="15" hidden="false" customHeight="false" outlineLevel="0" collapsed="false">
      <c r="A711" s="20" t="n">
        <v>710</v>
      </c>
      <c r="B711" s="20" t="s">
        <v>1927</v>
      </c>
      <c r="C711" s="21" t="n">
        <v>42988</v>
      </c>
      <c r="D711" s="21" t="n">
        <v>42993</v>
      </c>
      <c r="E711" s="20" t="s">
        <v>104</v>
      </c>
      <c r="F711" s="20" t="s">
        <v>560</v>
      </c>
      <c r="G711" s="20" t="s">
        <v>561</v>
      </c>
      <c r="H711" s="20" t="s">
        <v>85</v>
      </c>
      <c r="I711" s="20" t="s">
        <v>62</v>
      </c>
      <c r="J711" s="20" t="s">
        <v>63</v>
      </c>
      <c r="K711" s="20" t="s">
        <v>133</v>
      </c>
      <c r="L711" s="20" t="n">
        <v>43024</v>
      </c>
      <c r="M711" s="20" t="s">
        <v>97</v>
      </c>
      <c r="N711" s="20" t="s">
        <v>1928</v>
      </c>
      <c r="O711" s="20" t="s">
        <v>76</v>
      </c>
      <c r="P711" s="20" t="s">
        <v>88</v>
      </c>
      <c r="Q711" s="20" t="s">
        <v>893</v>
      </c>
      <c r="R711" s="22" t="n">
        <v>1001.23</v>
      </c>
      <c r="S711" s="20" t="n">
        <v>7</v>
      </c>
      <c r="T711" s="20" t="n">
        <v>0</v>
      </c>
      <c r="U711" s="22" t="n">
        <v>166.95</v>
      </c>
      <c r="V711" s="23" t="n">
        <f aca="false">IF(ISNUMBER(C711),YEAR(C711),"")</f>
        <v>2017</v>
      </c>
      <c r="W711" s="23" t="n">
        <f aca="false">IF(ISNUMBER(C711),MONTH(C711),"")</f>
        <v>9</v>
      </c>
      <c r="X711" s="23" t="str">
        <f aca="false">IF(T711="","",IF(T711=0,"No discount",IF(T711&lt;=0.2,"Low (1-20%)",IF(T711&lt;=0.4,"Medium (21-40%)","High (&gt;40%)"))))</f>
        <v>No discount</v>
      </c>
      <c r="Y711" s="23" t="n">
        <f aca="false">IF(AND(ISNUMBER(C711),ISNUMBER(D711)),D711-C711,"")</f>
        <v>5</v>
      </c>
      <c r="Z711" s="23" t="n">
        <f aca="false">IF(B711="","",IF(MATCH(B711,$B$2:$B$12000,0)=ROW()-1,1,0))</f>
        <v>1</v>
      </c>
    </row>
    <row r="712" customFormat="false" ht="15" hidden="false" customHeight="false" outlineLevel="0" collapsed="false">
      <c r="A712" s="20" t="n">
        <v>711</v>
      </c>
      <c r="B712" s="20" t="s">
        <v>1927</v>
      </c>
      <c r="C712" s="21" t="n">
        <v>42988</v>
      </c>
      <c r="D712" s="21" t="n">
        <v>42993</v>
      </c>
      <c r="E712" s="20" t="s">
        <v>90</v>
      </c>
      <c r="F712" s="20" t="s">
        <v>560</v>
      </c>
      <c r="G712" s="20" t="s">
        <v>561</v>
      </c>
      <c r="H712" s="20" t="s">
        <v>85</v>
      </c>
      <c r="I712" s="20" t="s">
        <v>62</v>
      </c>
      <c r="J712" s="20" t="s">
        <v>63</v>
      </c>
      <c r="K712" s="20" t="s">
        <v>133</v>
      </c>
      <c r="L712" s="20" t="n">
        <v>27184</v>
      </c>
      <c r="M712" s="20" t="s">
        <v>97</v>
      </c>
      <c r="N712" s="20" t="s">
        <v>1929</v>
      </c>
      <c r="O712" s="20" t="s">
        <v>76</v>
      </c>
      <c r="P712" s="20" t="s">
        <v>236</v>
      </c>
      <c r="Q712" s="20" t="s">
        <v>744</v>
      </c>
      <c r="R712" s="22" t="n">
        <v>139.29</v>
      </c>
      <c r="S712" s="20" t="n">
        <v>5</v>
      </c>
      <c r="T712" s="20" t="n">
        <v>0.4</v>
      </c>
      <c r="U712" s="22" t="n">
        <v>26.05</v>
      </c>
      <c r="V712" s="23" t="n">
        <f aca="false">IF(ISNUMBER(C712),YEAR(C712),"")</f>
        <v>2017</v>
      </c>
      <c r="W712" s="23" t="n">
        <f aca="false">IF(ISNUMBER(C712),MONTH(C712),"")</f>
        <v>9</v>
      </c>
      <c r="X712" s="23" t="str">
        <f aca="false">IF(T712="","",IF(T712=0,"No discount",IF(T712&lt;=0.2,"Low (1-20%)",IF(T712&lt;=0.4,"Medium (21-40%)","High (&gt;40%)"))))</f>
        <v>Medium (21-40%)</v>
      </c>
      <c r="Y712" s="23" t="n">
        <f aca="false">IF(AND(ISNUMBER(C712),ISNUMBER(D712)),D712-C712,"")</f>
        <v>5</v>
      </c>
      <c r="Z712" s="23" t="n">
        <f aca="false">IF(B712="","",IF(MATCH(B712,$B$2:$B$12000,0)=ROW()-1,1,0))</f>
        <v>0</v>
      </c>
    </row>
    <row r="713" customFormat="false" ht="15" hidden="false" customHeight="false" outlineLevel="0" collapsed="false">
      <c r="A713" s="20" t="n">
        <v>712</v>
      </c>
      <c r="B713" s="20" t="s">
        <v>1927</v>
      </c>
      <c r="C713" s="21" t="n">
        <v>42988</v>
      </c>
      <c r="D713" s="21" t="n">
        <v>42993</v>
      </c>
      <c r="E713" s="20" t="s">
        <v>58</v>
      </c>
      <c r="F713" s="20" t="s">
        <v>560</v>
      </c>
      <c r="G713" s="20" t="s">
        <v>561</v>
      </c>
      <c r="H713" s="20" t="s">
        <v>85</v>
      </c>
      <c r="I713" s="20" t="s">
        <v>62</v>
      </c>
      <c r="J713" s="20" t="s">
        <v>63</v>
      </c>
      <c r="K713" s="20" t="s">
        <v>133</v>
      </c>
      <c r="L713" s="20" t="n">
        <v>41963</v>
      </c>
      <c r="M713" s="20" t="s">
        <v>97</v>
      </c>
      <c r="N713" s="20" t="s">
        <v>1930</v>
      </c>
      <c r="O713" s="20" t="s">
        <v>76</v>
      </c>
      <c r="P713" s="20" t="s">
        <v>185</v>
      </c>
      <c r="Q713" s="20" t="s">
        <v>1931</v>
      </c>
      <c r="R713" s="22" t="n">
        <v>79.71</v>
      </c>
      <c r="S713" s="20" t="n">
        <v>7</v>
      </c>
      <c r="T713" s="20" t="n">
        <v>0</v>
      </c>
      <c r="U713" s="22" t="n">
        <v>25.28</v>
      </c>
      <c r="V713" s="23" t="n">
        <f aca="false">IF(ISNUMBER(C713),YEAR(C713),"")</f>
        <v>2017</v>
      </c>
      <c r="W713" s="23" t="n">
        <f aca="false">IF(ISNUMBER(C713),MONTH(C713),"")</f>
        <v>9</v>
      </c>
      <c r="X713" s="23" t="str">
        <f aca="false">IF(T713="","",IF(T713=0,"No discount",IF(T713&lt;=0.2,"Low (1-20%)",IF(T713&lt;=0.4,"Medium (21-40%)","High (&gt;40%)"))))</f>
        <v>No discount</v>
      </c>
      <c r="Y713" s="23" t="n">
        <f aca="false">IF(AND(ISNUMBER(C713),ISNUMBER(D713)),D713-C713,"")</f>
        <v>5</v>
      </c>
      <c r="Z713" s="23" t="n">
        <f aca="false">IF(B713="","",IF(MATCH(B713,$B$2:$B$12000,0)=ROW()-1,1,0))</f>
        <v>0</v>
      </c>
    </row>
    <row r="714" customFormat="false" ht="15" hidden="false" customHeight="false" outlineLevel="0" collapsed="false">
      <c r="A714" s="20" t="n">
        <v>713</v>
      </c>
      <c r="B714" s="20" t="s">
        <v>1927</v>
      </c>
      <c r="C714" s="21" t="n">
        <v>42988</v>
      </c>
      <c r="D714" s="21" t="n">
        <v>42993</v>
      </c>
      <c r="E714" s="20" t="s">
        <v>71</v>
      </c>
      <c r="F714" s="20" t="s">
        <v>560</v>
      </c>
      <c r="G714" s="20" t="s">
        <v>561</v>
      </c>
      <c r="H714" s="20" t="s">
        <v>85</v>
      </c>
      <c r="I714" s="20" t="s">
        <v>62</v>
      </c>
      <c r="J714" s="20" t="s">
        <v>63</v>
      </c>
      <c r="K714" s="20" t="s">
        <v>133</v>
      </c>
      <c r="L714" s="20" t="n">
        <v>23054</v>
      </c>
      <c r="M714" s="20" t="s">
        <v>97</v>
      </c>
      <c r="N714" s="20" t="s">
        <v>1932</v>
      </c>
      <c r="O714" s="20" t="s">
        <v>76</v>
      </c>
      <c r="P714" s="20" t="s">
        <v>80</v>
      </c>
      <c r="Q714" s="20" t="s">
        <v>1933</v>
      </c>
      <c r="R714" s="22" t="n">
        <v>373.06</v>
      </c>
      <c r="S714" s="20" t="n">
        <v>5</v>
      </c>
      <c r="T714" s="20" t="n">
        <v>0.2</v>
      </c>
      <c r="U714" s="22" t="n">
        <v>95.23</v>
      </c>
      <c r="V714" s="23" t="n">
        <f aca="false">IF(ISNUMBER(C714),YEAR(C714),"")</f>
        <v>2017</v>
      </c>
      <c r="W714" s="23" t="n">
        <f aca="false">IF(ISNUMBER(C714),MONTH(C714),"")</f>
        <v>9</v>
      </c>
      <c r="X714" s="23" t="str">
        <f aca="false">IF(T714="","",IF(T714=0,"No discount",IF(T714&lt;=0.2,"Low (1-20%)",IF(T714&lt;=0.4,"Medium (21-40%)","High (&gt;40%)"))))</f>
        <v>Low (1-20%)</v>
      </c>
      <c r="Y714" s="23" t="n">
        <f aca="false">IF(AND(ISNUMBER(C714),ISNUMBER(D714)),D714-C714,"")</f>
        <v>5</v>
      </c>
      <c r="Z714" s="23" t="n">
        <f aca="false">IF(B714="","",IF(MATCH(B714,$B$2:$B$12000,0)=ROW()-1,1,0))</f>
        <v>0</v>
      </c>
    </row>
    <row r="715" customFormat="false" ht="15" hidden="false" customHeight="false" outlineLevel="0" collapsed="false">
      <c r="A715" s="20" t="n">
        <v>714</v>
      </c>
      <c r="B715" s="20" t="s">
        <v>1934</v>
      </c>
      <c r="C715" s="21" t="n">
        <v>42996</v>
      </c>
      <c r="D715" s="21" t="n">
        <v>43001</v>
      </c>
      <c r="E715" s="20" t="s">
        <v>104</v>
      </c>
      <c r="F715" s="20" t="s">
        <v>144</v>
      </c>
      <c r="G715" s="20" t="s">
        <v>145</v>
      </c>
      <c r="H715" s="20" t="s">
        <v>85</v>
      </c>
      <c r="I715" s="20" t="s">
        <v>62</v>
      </c>
      <c r="J715" s="20" t="s">
        <v>63</v>
      </c>
      <c r="K715" s="20" t="s">
        <v>565</v>
      </c>
      <c r="L715" s="20" t="n">
        <v>51872</v>
      </c>
      <c r="M715" s="20" t="s">
        <v>112</v>
      </c>
      <c r="N715" s="20" t="s">
        <v>1935</v>
      </c>
      <c r="O715" s="20" t="s">
        <v>76</v>
      </c>
      <c r="P715" s="20" t="s">
        <v>88</v>
      </c>
      <c r="Q715" s="20" t="s">
        <v>1591</v>
      </c>
      <c r="R715" s="22" t="n">
        <v>397</v>
      </c>
      <c r="S715" s="20" t="n">
        <v>1</v>
      </c>
      <c r="T715" s="20" t="n">
        <v>0</v>
      </c>
      <c r="U715" s="22" t="n">
        <v>87.19</v>
      </c>
      <c r="V715" s="23" t="n">
        <f aca="false">IF(ISNUMBER(C715),YEAR(C715),"")</f>
        <v>2017</v>
      </c>
      <c r="W715" s="23" t="n">
        <f aca="false">IF(ISNUMBER(C715),MONTH(C715),"")</f>
        <v>9</v>
      </c>
      <c r="X715" s="23" t="str">
        <f aca="false">IF(T715="","",IF(T715=0,"No discount",IF(T715&lt;=0.2,"Low (1-20%)",IF(T715&lt;=0.4,"Medium (21-40%)","High (&gt;40%)"))))</f>
        <v>No discount</v>
      </c>
      <c r="Y715" s="23" t="n">
        <f aca="false">IF(AND(ISNUMBER(C715),ISNUMBER(D715)),D715-C715,"")</f>
        <v>5</v>
      </c>
      <c r="Z715" s="23" t="n">
        <f aca="false">IF(B715="","",IF(MATCH(B715,$B$2:$B$12000,0)=ROW()-1,1,0))</f>
        <v>1</v>
      </c>
    </row>
    <row r="716" customFormat="false" ht="15" hidden="false" customHeight="false" outlineLevel="0" collapsed="false">
      <c r="A716" s="20" t="n">
        <v>715</v>
      </c>
      <c r="B716" s="20" t="s">
        <v>1934</v>
      </c>
      <c r="C716" s="21" t="n">
        <v>42996</v>
      </c>
      <c r="D716" s="21" t="n">
        <v>43001</v>
      </c>
      <c r="E716" s="20" t="s">
        <v>58</v>
      </c>
      <c r="F716" s="20" t="s">
        <v>144</v>
      </c>
      <c r="G716" s="20" t="s">
        <v>145</v>
      </c>
      <c r="H716" s="20" t="s">
        <v>85</v>
      </c>
      <c r="I716" s="20" t="s">
        <v>62</v>
      </c>
      <c r="J716" s="20" t="s">
        <v>63</v>
      </c>
      <c r="K716" s="20" t="s">
        <v>565</v>
      </c>
      <c r="L716" s="20" t="n">
        <v>53741</v>
      </c>
      <c r="M716" s="20" t="s">
        <v>112</v>
      </c>
      <c r="N716" s="20" t="s">
        <v>1936</v>
      </c>
      <c r="O716" s="20" t="s">
        <v>114</v>
      </c>
      <c r="P716" s="20" t="s">
        <v>167</v>
      </c>
      <c r="Q716" s="20" t="s">
        <v>1364</v>
      </c>
      <c r="R716" s="22" t="n">
        <v>6219.01</v>
      </c>
      <c r="S716" s="20" t="n">
        <v>7</v>
      </c>
      <c r="T716" s="20" t="n">
        <v>0</v>
      </c>
      <c r="U716" s="22" t="n">
        <v>-623.85</v>
      </c>
      <c r="V716" s="23" t="n">
        <f aca="false">IF(ISNUMBER(C716),YEAR(C716),"")</f>
        <v>2017</v>
      </c>
      <c r="W716" s="23" t="n">
        <f aca="false">IF(ISNUMBER(C716),MONTH(C716),"")</f>
        <v>9</v>
      </c>
      <c r="X716" s="23" t="str">
        <f aca="false">IF(T716="","",IF(T716=0,"No discount",IF(T716&lt;=0.2,"Low (1-20%)",IF(T716&lt;=0.4,"Medium (21-40%)","High (&gt;40%)"))))</f>
        <v>No discount</v>
      </c>
      <c r="Y716" s="23" t="n">
        <f aca="false">IF(AND(ISNUMBER(C716),ISNUMBER(D716)),D716-C716,"")</f>
        <v>5</v>
      </c>
      <c r="Z716" s="23" t="n">
        <f aca="false">IF(B716="","",IF(MATCH(B716,$B$2:$B$12000,0)=ROW()-1,1,0))</f>
        <v>0</v>
      </c>
    </row>
    <row r="717" customFormat="false" ht="15" hidden="false" customHeight="false" outlineLevel="0" collapsed="false">
      <c r="A717" s="20" t="n">
        <v>716</v>
      </c>
      <c r="B717" s="20" t="s">
        <v>1937</v>
      </c>
      <c r="C717" s="21" t="n">
        <v>42997</v>
      </c>
      <c r="D717" s="21" t="n">
        <v>42998</v>
      </c>
      <c r="E717" s="20" t="s">
        <v>90</v>
      </c>
      <c r="F717" s="20" t="s">
        <v>630</v>
      </c>
      <c r="G717" s="20" t="s">
        <v>631</v>
      </c>
      <c r="H717" s="20" t="s">
        <v>85</v>
      </c>
      <c r="I717" s="20" t="s">
        <v>62</v>
      </c>
      <c r="J717" s="20" t="s">
        <v>63</v>
      </c>
      <c r="K717" s="20" t="s">
        <v>422</v>
      </c>
      <c r="L717" s="20" t="n">
        <v>83802</v>
      </c>
      <c r="M717" s="20" t="s">
        <v>153</v>
      </c>
      <c r="N717" s="20" t="s">
        <v>1938</v>
      </c>
      <c r="O717" s="20" t="s">
        <v>114</v>
      </c>
      <c r="P717" s="20" t="s">
        <v>210</v>
      </c>
      <c r="Q717" s="20" t="s">
        <v>1939</v>
      </c>
      <c r="R717" s="22" t="n">
        <v>104.66</v>
      </c>
      <c r="S717" s="20" t="n">
        <v>3</v>
      </c>
      <c r="T717" s="20" t="n">
        <v>0.3</v>
      </c>
      <c r="U717" s="22" t="n">
        <v>-0.17</v>
      </c>
      <c r="V717" s="23" t="n">
        <f aca="false">IF(ISNUMBER(C717),YEAR(C717),"")</f>
        <v>2017</v>
      </c>
      <c r="W717" s="23" t="n">
        <f aca="false">IF(ISNUMBER(C717),MONTH(C717),"")</f>
        <v>9</v>
      </c>
      <c r="X717" s="23" t="str">
        <f aca="false">IF(T717="","",IF(T717=0,"No discount",IF(T717&lt;=0.2,"Low (1-20%)",IF(T717&lt;=0.4,"Medium (21-40%)","High (&gt;40%)"))))</f>
        <v>Medium (21-40%)</v>
      </c>
      <c r="Y717" s="23" t="n">
        <f aca="false">IF(AND(ISNUMBER(C717),ISNUMBER(D717)),D717-C717,"")</f>
        <v>1</v>
      </c>
      <c r="Z717" s="23" t="n">
        <f aca="false">IF(B717="","",IF(MATCH(B717,$B$2:$B$12000,0)=ROW()-1,1,0))</f>
        <v>1</v>
      </c>
    </row>
    <row r="718" customFormat="false" ht="15" hidden="false" customHeight="false" outlineLevel="0" collapsed="false">
      <c r="A718" s="20" t="n">
        <v>717</v>
      </c>
      <c r="B718" s="20" t="s">
        <v>1940</v>
      </c>
      <c r="C718" s="21" t="n">
        <v>42998</v>
      </c>
      <c r="D718" s="21" t="n">
        <v>43003</v>
      </c>
      <c r="E718" s="20" t="s">
        <v>58</v>
      </c>
      <c r="F718" s="20" t="s">
        <v>223</v>
      </c>
      <c r="G718" s="20" t="s">
        <v>224</v>
      </c>
      <c r="H718" s="20" t="s">
        <v>61</v>
      </c>
      <c r="I718" s="20" t="s">
        <v>62</v>
      </c>
      <c r="J718" s="20" t="s">
        <v>63</v>
      </c>
      <c r="K718" s="20" t="s">
        <v>74</v>
      </c>
      <c r="L718" s="20" t="n">
        <v>79105</v>
      </c>
      <c r="M718" s="20" t="s">
        <v>65</v>
      </c>
      <c r="N718" s="20" t="s">
        <v>1941</v>
      </c>
      <c r="O718" s="20" t="s">
        <v>67</v>
      </c>
      <c r="P718" s="20" t="s">
        <v>68</v>
      </c>
      <c r="Q718" s="20" t="s">
        <v>1942</v>
      </c>
      <c r="R718" s="22" t="n">
        <v>1673.4</v>
      </c>
      <c r="S718" s="20" t="n">
        <v>1</v>
      </c>
      <c r="T718" s="20" t="n">
        <v>0.2</v>
      </c>
      <c r="U718" s="22" t="n">
        <v>254.85</v>
      </c>
      <c r="V718" s="23" t="n">
        <f aca="false">IF(ISNUMBER(C718),YEAR(C718),"")</f>
        <v>2017</v>
      </c>
      <c r="W718" s="23" t="n">
        <f aca="false">IF(ISNUMBER(C718),MONTH(C718),"")</f>
        <v>9</v>
      </c>
      <c r="X718" s="23" t="str">
        <f aca="false">IF(T718="","",IF(T718=0,"No discount",IF(T718&lt;=0.2,"Low (1-20%)",IF(T718&lt;=0.4,"Medium (21-40%)","High (&gt;40%)"))))</f>
        <v>Low (1-20%)</v>
      </c>
      <c r="Y718" s="23" t="n">
        <f aca="false">IF(AND(ISNUMBER(C718),ISNUMBER(D718)),D718-C718,"")</f>
        <v>5</v>
      </c>
      <c r="Z718" s="23" t="n">
        <f aca="false">IF(B718="","",IF(MATCH(B718,$B$2:$B$12000,0)=ROW()-1,1,0))</f>
        <v>1</v>
      </c>
    </row>
    <row r="719" customFormat="false" ht="15" hidden="false" customHeight="false" outlineLevel="0" collapsed="false">
      <c r="A719" s="20" t="n">
        <v>718</v>
      </c>
      <c r="B719" s="20" t="s">
        <v>1940</v>
      </c>
      <c r="C719" s="21" t="n">
        <v>42998</v>
      </c>
      <c r="D719" s="21" t="n">
        <v>43003</v>
      </c>
      <c r="E719" s="20" t="s">
        <v>90</v>
      </c>
      <c r="F719" s="20" t="s">
        <v>223</v>
      </c>
      <c r="G719" s="20" t="s">
        <v>224</v>
      </c>
      <c r="H719" s="20" t="s">
        <v>61</v>
      </c>
      <c r="I719" s="20" t="s">
        <v>62</v>
      </c>
      <c r="J719" s="20" t="s">
        <v>63</v>
      </c>
      <c r="K719" s="20" t="s">
        <v>74</v>
      </c>
      <c r="L719" s="20" t="n">
        <v>53851</v>
      </c>
      <c r="M719" s="20" t="s">
        <v>65</v>
      </c>
      <c r="N719" s="20" t="s">
        <v>1943</v>
      </c>
      <c r="O719" s="20" t="s">
        <v>67</v>
      </c>
      <c r="P719" s="20" t="s">
        <v>68</v>
      </c>
      <c r="Q719" s="20" t="s">
        <v>1944</v>
      </c>
      <c r="R719" s="22" t="n">
        <v>17267.5</v>
      </c>
      <c r="S719" s="20" t="n">
        <v>6</v>
      </c>
      <c r="T719" s="20" t="n">
        <v>0</v>
      </c>
      <c r="U719" s="22" t="n">
        <v>5944.13</v>
      </c>
      <c r="V719" s="23" t="n">
        <f aca="false">IF(ISNUMBER(C719),YEAR(C719),"")</f>
        <v>2017</v>
      </c>
      <c r="W719" s="23" t="n">
        <f aca="false">IF(ISNUMBER(C719),MONTH(C719),"")</f>
        <v>9</v>
      </c>
      <c r="X719" s="23" t="str">
        <f aca="false">IF(T719="","",IF(T719=0,"No discount",IF(T719&lt;=0.2,"Low (1-20%)",IF(T719&lt;=0.4,"Medium (21-40%)","High (&gt;40%)"))))</f>
        <v>No discount</v>
      </c>
      <c r="Y719" s="23" t="n">
        <f aca="false">IF(AND(ISNUMBER(C719),ISNUMBER(D719)),D719-C719,"")</f>
        <v>5</v>
      </c>
      <c r="Z719" s="23" t="n">
        <f aca="false">IF(B719="","",IF(MATCH(B719,$B$2:$B$12000,0)=ROW()-1,1,0))</f>
        <v>0</v>
      </c>
    </row>
    <row r="720" customFormat="false" ht="15" hidden="false" customHeight="false" outlineLevel="0" collapsed="false">
      <c r="A720" s="20" t="n">
        <v>719</v>
      </c>
      <c r="B720" s="20" t="s">
        <v>1940</v>
      </c>
      <c r="C720" s="21" t="n">
        <v>42998</v>
      </c>
      <c r="D720" s="21" t="n">
        <v>43003</v>
      </c>
      <c r="E720" s="20" t="s">
        <v>90</v>
      </c>
      <c r="F720" s="20" t="s">
        <v>223</v>
      </c>
      <c r="G720" s="20" t="s">
        <v>224</v>
      </c>
      <c r="H720" s="20" t="s">
        <v>61</v>
      </c>
      <c r="I720" s="20" t="s">
        <v>62</v>
      </c>
      <c r="J720" s="20" t="s">
        <v>63</v>
      </c>
      <c r="K720" s="20" t="s">
        <v>74</v>
      </c>
      <c r="L720" s="20" t="n">
        <v>27712</v>
      </c>
      <c r="M720" s="20" t="s">
        <v>65</v>
      </c>
      <c r="N720" s="20" t="s">
        <v>1945</v>
      </c>
      <c r="O720" s="20" t="s">
        <v>76</v>
      </c>
      <c r="P720" s="20" t="s">
        <v>88</v>
      </c>
      <c r="Q720" s="20" t="s">
        <v>231</v>
      </c>
      <c r="R720" s="22" t="n">
        <v>1225.49</v>
      </c>
      <c r="S720" s="20" t="n">
        <v>4</v>
      </c>
      <c r="T720" s="20" t="n">
        <v>0</v>
      </c>
      <c r="U720" s="22" t="n">
        <v>170.24</v>
      </c>
      <c r="V720" s="23" t="n">
        <f aca="false">IF(ISNUMBER(C720),YEAR(C720),"")</f>
        <v>2017</v>
      </c>
      <c r="W720" s="23" t="n">
        <f aca="false">IF(ISNUMBER(C720),MONTH(C720),"")</f>
        <v>9</v>
      </c>
      <c r="X720" s="23" t="str">
        <f aca="false">IF(T720="","",IF(T720=0,"No discount",IF(T720&lt;=0.2,"Low (1-20%)",IF(T720&lt;=0.4,"Medium (21-40%)","High (&gt;40%)"))))</f>
        <v>No discount</v>
      </c>
      <c r="Y720" s="23" t="n">
        <f aca="false">IF(AND(ISNUMBER(C720),ISNUMBER(D720)),D720-C720,"")</f>
        <v>5</v>
      </c>
      <c r="Z720" s="23" t="n">
        <f aca="false">IF(B720="","",IF(MATCH(B720,$B$2:$B$12000,0)=ROW()-1,1,0))</f>
        <v>0</v>
      </c>
    </row>
    <row r="721" customFormat="false" ht="15" hidden="false" customHeight="false" outlineLevel="0" collapsed="false">
      <c r="A721" s="20" t="n">
        <v>720</v>
      </c>
      <c r="B721" s="20" t="s">
        <v>1946</v>
      </c>
      <c r="C721" s="21" t="n">
        <v>43002</v>
      </c>
      <c r="D721" s="21" t="n">
        <v>43005</v>
      </c>
      <c r="E721" s="20" t="s">
        <v>71</v>
      </c>
      <c r="F721" s="20" t="s">
        <v>529</v>
      </c>
      <c r="G721" s="20" t="s">
        <v>530</v>
      </c>
      <c r="H721" s="20" t="s">
        <v>61</v>
      </c>
      <c r="I721" s="20" t="s">
        <v>62</v>
      </c>
      <c r="J721" s="20" t="s">
        <v>63</v>
      </c>
      <c r="K721" s="20" t="s">
        <v>64</v>
      </c>
      <c r="L721" s="20" t="n">
        <v>81451</v>
      </c>
      <c r="M721" s="20" t="s">
        <v>65</v>
      </c>
      <c r="N721" s="20" t="s">
        <v>1947</v>
      </c>
      <c r="O721" s="20" t="s">
        <v>114</v>
      </c>
      <c r="P721" s="20" t="s">
        <v>115</v>
      </c>
      <c r="Q721" s="20" t="s">
        <v>1232</v>
      </c>
      <c r="R721" s="22" t="n">
        <v>353.83</v>
      </c>
      <c r="S721" s="20" t="n">
        <v>4</v>
      </c>
      <c r="T721" s="20" t="n">
        <v>0.7</v>
      </c>
      <c r="U721" s="22" t="n">
        <v>-119.87</v>
      </c>
      <c r="V721" s="23" t="n">
        <f aca="false">IF(ISNUMBER(C721),YEAR(C721),"")</f>
        <v>2017</v>
      </c>
      <c r="W721" s="23" t="n">
        <f aca="false">IF(ISNUMBER(C721),MONTH(C721),"")</f>
        <v>9</v>
      </c>
      <c r="X721" s="23" t="str">
        <f aca="false">IF(T721="","",IF(T721=0,"No discount",IF(T721&lt;=0.2,"Low (1-20%)",IF(T721&lt;=0.4,"Medium (21-40%)","High (&gt;40%)"))))</f>
        <v>High (&gt;40%)</v>
      </c>
      <c r="Y721" s="23" t="n">
        <f aca="false">IF(AND(ISNUMBER(C721),ISNUMBER(D721)),D721-C721,"")</f>
        <v>3</v>
      </c>
      <c r="Z721" s="23" t="n">
        <f aca="false">IF(B721="","",IF(MATCH(B721,$B$2:$B$12000,0)=ROW()-1,1,0))</f>
        <v>1</v>
      </c>
    </row>
    <row r="722" customFormat="false" ht="15" hidden="false" customHeight="false" outlineLevel="0" collapsed="false">
      <c r="A722" s="20" t="n">
        <v>721</v>
      </c>
      <c r="B722" s="20" t="s">
        <v>1946</v>
      </c>
      <c r="C722" s="21" t="n">
        <v>43002</v>
      </c>
      <c r="D722" s="21" t="n">
        <v>43005</v>
      </c>
      <c r="E722" s="20" t="s">
        <v>104</v>
      </c>
      <c r="F722" s="20" t="s">
        <v>529</v>
      </c>
      <c r="G722" s="20" t="s">
        <v>530</v>
      </c>
      <c r="H722" s="20" t="s">
        <v>61</v>
      </c>
      <c r="I722" s="20" t="s">
        <v>62</v>
      </c>
      <c r="J722" s="20" t="s">
        <v>63</v>
      </c>
      <c r="K722" s="20" t="s">
        <v>64</v>
      </c>
      <c r="L722" s="20" t="n">
        <v>33751</v>
      </c>
      <c r="M722" s="20" t="s">
        <v>65</v>
      </c>
      <c r="N722" s="20" t="s">
        <v>1948</v>
      </c>
      <c r="O722" s="20" t="s">
        <v>76</v>
      </c>
      <c r="P722" s="20" t="s">
        <v>101</v>
      </c>
      <c r="Q722" s="20" t="s">
        <v>1949</v>
      </c>
      <c r="R722" s="22" t="n">
        <v>14.92</v>
      </c>
      <c r="S722" s="20" t="n">
        <v>1</v>
      </c>
      <c r="T722" s="20" t="n">
        <v>0.2</v>
      </c>
      <c r="U722" s="22" t="n">
        <v>3.69</v>
      </c>
      <c r="V722" s="23" t="n">
        <f aca="false">IF(ISNUMBER(C722),YEAR(C722),"")</f>
        <v>2017</v>
      </c>
      <c r="W722" s="23" t="n">
        <f aca="false">IF(ISNUMBER(C722),MONTH(C722),"")</f>
        <v>9</v>
      </c>
      <c r="X722" s="23" t="str">
        <f aca="false">IF(T722="","",IF(T722=0,"No discount",IF(T722&lt;=0.2,"Low (1-20%)",IF(T722&lt;=0.4,"Medium (21-40%)","High (&gt;40%)"))))</f>
        <v>Low (1-20%)</v>
      </c>
      <c r="Y722" s="23" t="n">
        <f aca="false">IF(AND(ISNUMBER(C722),ISNUMBER(D722)),D722-C722,"")</f>
        <v>3</v>
      </c>
      <c r="Z722" s="23" t="n">
        <f aca="false">IF(B722="","",IF(MATCH(B722,$B$2:$B$12000,0)=ROW()-1,1,0))</f>
        <v>0</v>
      </c>
    </row>
    <row r="723" customFormat="false" ht="15" hidden="false" customHeight="false" outlineLevel="0" collapsed="false">
      <c r="A723" s="20" t="n">
        <v>722</v>
      </c>
      <c r="B723" s="20" t="s">
        <v>1950</v>
      </c>
      <c r="C723" s="21" t="n">
        <v>43004</v>
      </c>
      <c r="D723" s="21" t="n">
        <v>43008</v>
      </c>
      <c r="E723" s="20" t="s">
        <v>90</v>
      </c>
      <c r="F723" s="20" t="s">
        <v>1315</v>
      </c>
      <c r="G723" s="20" t="s">
        <v>1316</v>
      </c>
      <c r="H723" s="20" t="s">
        <v>61</v>
      </c>
      <c r="I723" s="20" t="s">
        <v>62</v>
      </c>
      <c r="J723" s="20" t="s">
        <v>63</v>
      </c>
      <c r="K723" s="20" t="s">
        <v>208</v>
      </c>
      <c r="L723" s="20" t="n">
        <v>25229</v>
      </c>
      <c r="M723" s="20" t="s">
        <v>153</v>
      </c>
      <c r="N723" s="20" t="s">
        <v>1951</v>
      </c>
      <c r="O723" s="20" t="s">
        <v>67</v>
      </c>
      <c r="P723" s="20" t="s">
        <v>157</v>
      </c>
      <c r="Q723" s="20" t="s">
        <v>1952</v>
      </c>
      <c r="R723" s="22" t="n">
        <v>1449.64</v>
      </c>
      <c r="S723" s="20" t="n">
        <v>7</v>
      </c>
      <c r="T723" s="20" t="n">
        <v>0</v>
      </c>
      <c r="U723" s="22" t="n">
        <v>365.54</v>
      </c>
      <c r="V723" s="23" t="n">
        <f aca="false">IF(ISNUMBER(C723),YEAR(C723),"")</f>
        <v>2017</v>
      </c>
      <c r="W723" s="23" t="n">
        <f aca="false">IF(ISNUMBER(C723),MONTH(C723),"")</f>
        <v>9</v>
      </c>
      <c r="X723" s="23" t="str">
        <f aca="false">IF(T723="","",IF(T723=0,"No discount",IF(T723&lt;=0.2,"Low (1-20%)",IF(T723&lt;=0.4,"Medium (21-40%)","High (&gt;40%)"))))</f>
        <v>No discount</v>
      </c>
      <c r="Y723" s="23" t="n">
        <f aca="false">IF(AND(ISNUMBER(C723),ISNUMBER(D723)),D723-C723,"")</f>
        <v>4</v>
      </c>
      <c r="Z723" s="23" t="n">
        <f aca="false">IF(B723="","",IF(MATCH(B723,$B$2:$B$12000,0)=ROW()-1,1,0))</f>
        <v>1</v>
      </c>
    </row>
    <row r="724" customFormat="false" ht="15" hidden="false" customHeight="false" outlineLevel="0" collapsed="false">
      <c r="A724" s="20" t="n">
        <v>723</v>
      </c>
      <c r="B724" s="20" t="s">
        <v>1950</v>
      </c>
      <c r="C724" s="21" t="n">
        <v>43004</v>
      </c>
      <c r="D724" s="21" t="n">
        <v>43008</v>
      </c>
      <c r="E724" s="20" t="s">
        <v>58</v>
      </c>
      <c r="F724" s="20" t="s">
        <v>1315</v>
      </c>
      <c r="G724" s="20" t="s">
        <v>1316</v>
      </c>
      <c r="H724" s="20" t="s">
        <v>61</v>
      </c>
      <c r="I724" s="20" t="s">
        <v>62</v>
      </c>
      <c r="J724" s="20" t="s">
        <v>63</v>
      </c>
      <c r="K724" s="20" t="s">
        <v>208</v>
      </c>
      <c r="L724" s="20" t="n">
        <v>90614</v>
      </c>
      <c r="M724" s="20" t="s">
        <v>153</v>
      </c>
      <c r="N724" s="20" t="s">
        <v>1953</v>
      </c>
      <c r="O724" s="20" t="s">
        <v>67</v>
      </c>
      <c r="P724" s="20" t="s">
        <v>106</v>
      </c>
      <c r="Q724" s="20" t="s">
        <v>1954</v>
      </c>
      <c r="R724" s="22" t="n">
        <v>1328.81</v>
      </c>
      <c r="S724" s="20" t="n">
        <v>8</v>
      </c>
      <c r="T724" s="20" t="n">
        <v>0</v>
      </c>
      <c r="U724" s="22" t="n">
        <v>200.88</v>
      </c>
      <c r="V724" s="23" t="n">
        <f aca="false">IF(ISNUMBER(C724),YEAR(C724),"")</f>
        <v>2017</v>
      </c>
      <c r="W724" s="23" t="n">
        <f aca="false">IF(ISNUMBER(C724),MONTH(C724),"")</f>
        <v>9</v>
      </c>
      <c r="X724" s="23" t="str">
        <f aca="false">IF(T724="","",IF(T724=0,"No discount",IF(T724&lt;=0.2,"Low (1-20%)",IF(T724&lt;=0.4,"Medium (21-40%)","High (&gt;40%)"))))</f>
        <v>No discount</v>
      </c>
      <c r="Y724" s="23" t="n">
        <f aca="false">IF(AND(ISNUMBER(C724),ISNUMBER(D724)),D724-C724,"")</f>
        <v>4</v>
      </c>
      <c r="Z724" s="23" t="n">
        <f aca="false">IF(B724="","",IF(MATCH(B724,$B$2:$B$12000,0)=ROW()-1,1,0))</f>
        <v>0</v>
      </c>
    </row>
    <row r="725" customFormat="false" ht="15" hidden="false" customHeight="false" outlineLevel="0" collapsed="false">
      <c r="A725" s="20" t="n">
        <v>724</v>
      </c>
      <c r="B725" s="20" t="s">
        <v>1955</v>
      </c>
      <c r="C725" s="21" t="n">
        <v>43012</v>
      </c>
      <c r="D725" s="21" t="n">
        <v>43016</v>
      </c>
      <c r="E725" s="20" t="s">
        <v>104</v>
      </c>
      <c r="F725" s="20" t="s">
        <v>428</v>
      </c>
      <c r="G725" s="20" t="s">
        <v>429</v>
      </c>
      <c r="H725" s="20" t="s">
        <v>61</v>
      </c>
      <c r="I725" s="20" t="s">
        <v>62</v>
      </c>
      <c r="J725" s="20" t="s">
        <v>63</v>
      </c>
      <c r="K725" s="20" t="s">
        <v>260</v>
      </c>
      <c r="L725" s="20" t="n">
        <v>54067</v>
      </c>
      <c r="M725" s="20" t="s">
        <v>97</v>
      </c>
      <c r="N725" s="20" t="s">
        <v>1956</v>
      </c>
      <c r="O725" s="20" t="s">
        <v>76</v>
      </c>
      <c r="P725" s="20" t="s">
        <v>80</v>
      </c>
      <c r="Q725" s="20" t="s">
        <v>1868</v>
      </c>
      <c r="R725" s="22" t="n">
        <v>213.82</v>
      </c>
      <c r="S725" s="20" t="n">
        <v>3</v>
      </c>
      <c r="T725" s="20" t="n">
        <v>0.1</v>
      </c>
      <c r="U725" s="22" t="n">
        <v>38.38</v>
      </c>
      <c r="V725" s="23" t="n">
        <f aca="false">IF(ISNUMBER(C725),YEAR(C725),"")</f>
        <v>2017</v>
      </c>
      <c r="W725" s="23" t="n">
        <f aca="false">IF(ISNUMBER(C725),MONTH(C725),"")</f>
        <v>10</v>
      </c>
      <c r="X725" s="23" t="str">
        <f aca="false">IF(T725="","",IF(T725=0,"No discount",IF(T725&lt;=0.2,"Low (1-20%)",IF(T725&lt;=0.4,"Medium (21-40%)","High (&gt;40%)"))))</f>
        <v>Low (1-20%)</v>
      </c>
      <c r="Y725" s="23" t="n">
        <f aca="false">IF(AND(ISNUMBER(C725),ISNUMBER(D725)),D725-C725,"")</f>
        <v>4</v>
      </c>
      <c r="Z725" s="23" t="n">
        <f aca="false">IF(B725="","",IF(MATCH(B725,$B$2:$B$12000,0)=ROW()-1,1,0))</f>
        <v>1</v>
      </c>
    </row>
    <row r="726" customFormat="false" ht="15" hidden="false" customHeight="false" outlineLevel="0" collapsed="false">
      <c r="A726" s="20" t="n">
        <v>725</v>
      </c>
      <c r="B726" s="20" t="s">
        <v>1955</v>
      </c>
      <c r="C726" s="21" t="n">
        <v>43012</v>
      </c>
      <c r="D726" s="21" t="n">
        <v>43016</v>
      </c>
      <c r="E726" s="20" t="s">
        <v>58</v>
      </c>
      <c r="F726" s="20" t="s">
        <v>428</v>
      </c>
      <c r="G726" s="20" t="s">
        <v>429</v>
      </c>
      <c r="H726" s="20" t="s">
        <v>61</v>
      </c>
      <c r="I726" s="20" t="s">
        <v>62</v>
      </c>
      <c r="J726" s="20" t="s">
        <v>63</v>
      </c>
      <c r="K726" s="20" t="s">
        <v>260</v>
      </c>
      <c r="L726" s="20" t="n">
        <v>16630</v>
      </c>
      <c r="M726" s="20" t="s">
        <v>97</v>
      </c>
      <c r="N726" s="20" t="s">
        <v>1957</v>
      </c>
      <c r="O726" s="20" t="s">
        <v>67</v>
      </c>
      <c r="P726" s="20" t="s">
        <v>157</v>
      </c>
      <c r="Q726" s="20" t="s">
        <v>1958</v>
      </c>
      <c r="R726" s="22" t="n">
        <v>320.33</v>
      </c>
      <c r="S726" s="20" t="n">
        <v>5</v>
      </c>
      <c r="T726" s="20" t="n">
        <v>0.7</v>
      </c>
      <c r="U726" s="22" t="n">
        <v>-35.25</v>
      </c>
      <c r="V726" s="23" t="n">
        <f aca="false">IF(ISNUMBER(C726),YEAR(C726),"")</f>
        <v>2017</v>
      </c>
      <c r="W726" s="23" t="n">
        <f aca="false">IF(ISNUMBER(C726),MONTH(C726),"")</f>
        <v>10</v>
      </c>
      <c r="X726" s="23" t="str">
        <f aca="false">IF(T726="","",IF(T726=0,"No discount",IF(T726&lt;=0.2,"Low (1-20%)",IF(T726&lt;=0.4,"Medium (21-40%)","High (&gt;40%)"))))</f>
        <v>High (&gt;40%)</v>
      </c>
      <c r="Y726" s="23" t="n">
        <f aca="false">IF(AND(ISNUMBER(C726),ISNUMBER(D726)),D726-C726,"")</f>
        <v>4</v>
      </c>
      <c r="Z726" s="23" t="n">
        <f aca="false">IF(B726="","",IF(MATCH(B726,$B$2:$B$12000,0)=ROW()-1,1,0))</f>
        <v>0</v>
      </c>
    </row>
    <row r="727" customFormat="false" ht="15" hidden="false" customHeight="false" outlineLevel="0" collapsed="false">
      <c r="A727" s="20" t="n">
        <v>726</v>
      </c>
      <c r="B727" s="20" t="s">
        <v>1959</v>
      </c>
      <c r="C727" s="21" t="n">
        <v>43018</v>
      </c>
      <c r="D727" s="21" t="n">
        <v>43019</v>
      </c>
      <c r="E727" s="20" t="s">
        <v>71</v>
      </c>
      <c r="F727" s="20" t="s">
        <v>1445</v>
      </c>
      <c r="G727" s="20" t="s">
        <v>1446</v>
      </c>
      <c r="H727" s="20" t="s">
        <v>162</v>
      </c>
      <c r="I727" s="20" t="s">
        <v>62</v>
      </c>
      <c r="J727" s="20" t="s">
        <v>63</v>
      </c>
      <c r="K727" s="20" t="s">
        <v>202</v>
      </c>
      <c r="L727" s="20" t="n">
        <v>71911</v>
      </c>
      <c r="M727" s="20" t="s">
        <v>153</v>
      </c>
      <c r="N727" s="20" t="s">
        <v>1960</v>
      </c>
      <c r="O727" s="20" t="s">
        <v>76</v>
      </c>
      <c r="P727" s="20" t="s">
        <v>236</v>
      </c>
      <c r="Q727" s="20" t="s">
        <v>1356</v>
      </c>
      <c r="R727" s="22" t="n">
        <v>79.27</v>
      </c>
      <c r="S727" s="20" t="n">
        <v>3</v>
      </c>
      <c r="T727" s="20" t="n">
        <v>0</v>
      </c>
      <c r="U727" s="22" t="n">
        <v>33.68</v>
      </c>
      <c r="V727" s="23" t="n">
        <f aca="false">IF(ISNUMBER(C727),YEAR(C727),"")</f>
        <v>2017</v>
      </c>
      <c r="W727" s="23" t="n">
        <f aca="false">IF(ISNUMBER(C727),MONTH(C727),"")</f>
        <v>10</v>
      </c>
      <c r="X727" s="23" t="str">
        <f aca="false">IF(T727="","",IF(T727=0,"No discount",IF(T727&lt;=0.2,"Low (1-20%)",IF(T727&lt;=0.4,"Medium (21-40%)","High (&gt;40%)"))))</f>
        <v>No discount</v>
      </c>
      <c r="Y727" s="23" t="n">
        <f aca="false">IF(AND(ISNUMBER(C727),ISNUMBER(D727)),D727-C727,"")</f>
        <v>1</v>
      </c>
      <c r="Z727" s="23" t="n">
        <f aca="false">IF(B727="","",IF(MATCH(B727,$B$2:$B$12000,0)=ROW()-1,1,0))</f>
        <v>1</v>
      </c>
    </row>
    <row r="728" customFormat="false" ht="15" hidden="false" customHeight="false" outlineLevel="0" collapsed="false">
      <c r="A728" s="20" t="n">
        <v>727</v>
      </c>
      <c r="B728" s="20" t="s">
        <v>1959</v>
      </c>
      <c r="C728" s="21" t="n">
        <v>43018</v>
      </c>
      <c r="D728" s="21" t="n">
        <v>43019</v>
      </c>
      <c r="E728" s="20" t="s">
        <v>58</v>
      </c>
      <c r="F728" s="20" t="s">
        <v>1445</v>
      </c>
      <c r="G728" s="20" t="s">
        <v>1446</v>
      </c>
      <c r="H728" s="20" t="s">
        <v>162</v>
      </c>
      <c r="I728" s="20" t="s">
        <v>62</v>
      </c>
      <c r="J728" s="20" t="s">
        <v>63</v>
      </c>
      <c r="K728" s="20" t="s">
        <v>202</v>
      </c>
      <c r="L728" s="20" t="n">
        <v>79417</v>
      </c>
      <c r="M728" s="20" t="s">
        <v>153</v>
      </c>
      <c r="N728" s="20" t="s">
        <v>1961</v>
      </c>
      <c r="O728" s="20" t="s">
        <v>67</v>
      </c>
      <c r="P728" s="20" t="s">
        <v>68</v>
      </c>
      <c r="Q728" s="20" t="s">
        <v>1063</v>
      </c>
      <c r="R728" s="22" t="n">
        <v>6289.21</v>
      </c>
      <c r="S728" s="20" t="n">
        <v>5</v>
      </c>
      <c r="T728" s="20" t="n">
        <v>0</v>
      </c>
      <c r="U728" s="22" t="n">
        <v>1145.04</v>
      </c>
      <c r="V728" s="23" t="n">
        <f aca="false">IF(ISNUMBER(C728),YEAR(C728),"")</f>
        <v>2017</v>
      </c>
      <c r="W728" s="23" t="n">
        <f aca="false">IF(ISNUMBER(C728),MONTH(C728),"")</f>
        <v>10</v>
      </c>
      <c r="X728" s="23" t="str">
        <f aca="false">IF(T728="","",IF(T728=0,"No discount",IF(T728&lt;=0.2,"Low (1-20%)",IF(T728&lt;=0.4,"Medium (21-40%)","High (&gt;40%)"))))</f>
        <v>No discount</v>
      </c>
      <c r="Y728" s="23" t="n">
        <f aca="false">IF(AND(ISNUMBER(C728),ISNUMBER(D728)),D728-C728,"")</f>
        <v>1</v>
      </c>
      <c r="Z728" s="23" t="n">
        <f aca="false">IF(B728="","",IF(MATCH(B728,$B$2:$B$12000,0)=ROW()-1,1,0))</f>
        <v>0</v>
      </c>
    </row>
    <row r="729" customFormat="false" ht="15" hidden="false" customHeight="false" outlineLevel="0" collapsed="false">
      <c r="A729" s="20" t="n">
        <v>728</v>
      </c>
      <c r="B729" s="20" t="s">
        <v>1959</v>
      </c>
      <c r="C729" s="21" t="n">
        <v>43018</v>
      </c>
      <c r="D729" s="21" t="n">
        <v>43019</v>
      </c>
      <c r="E729" s="20" t="s">
        <v>58</v>
      </c>
      <c r="F729" s="20" t="s">
        <v>1445</v>
      </c>
      <c r="G729" s="20" t="s">
        <v>1446</v>
      </c>
      <c r="H729" s="20" t="s">
        <v>162</v>
      </c>
      <c r="I729" s="20" t="s">
        <v>62</v>
      </c>
      <c r="J729" s="20" t="s">
        <v>63</v>
      </c>
      <c r="K729" s="20" t="s">
        <v>202</v>
      </c>
      <c r="L729" s="20" t="n">
        <v>66556</v>
      </c>
      <c r="M729" s="20" t="s">
        <v>153</v>
      </c>
      <c r="N729" s="20" t="s">
        <v>1962</v>
      </c>
      <c r="O729" s="20" t="s">
        <v>67</v>
      </c>
      <c r="P729" s="20" t="s">
        <v>157</v>
      </c>
      <c r="Q729" s="20" t="s">
        <v>1963</v>
      </c>
      <c r="R729" s="22" t="n">
        <v>24.83</v>
      </c>
      <c r="S729" s="20" t="n">
        <v>1</v>
      </c>
      <c r="T729" s="20" t="n">
        <v>0.3</v>
      </c>
      <c r="U729" s="22" t="n">
        <v>2.37</v>
      </c>
      <c r="V729" s="23" t="n">
        <f aca="false">IF(ISNUMBER(C729),YEAR(C729),"")</f>
        <v>2017</v>
      </c>
      <c r="W729" s="23" t="n">
        <f aca="false">IF(ISNUMBER(C729),MONTH(C729),"")</f>
        <v>10</v>
      </c>
      <c r="X729" s="23" t="str">
        <f aca="false">IF(T729="","",IF(T729=0,"No discount",IF(T729&lt;=0.2,"Low (1-20%)",IF(T729&lt;=0.4,"Medium (21-40%)","High (&gt;40%)"))))</f>
        <v>Medium (21-40%)</v>
      </c>
      <c r="Y729" s="23" t="n">
        <f aca="false">IF(AND(ISNUMBER(C729),ISNUMBER(D729)),D729-C729,"")</f>
        <v>1</v>
      </c>
      <c r="Z729" s="23" t="n">
        <f aca="false">IF(B729="","",IF(MATCH(B729,$B$2:$B$12000,0)=ROW()-1,1,0))</f>
        <v>0</v>
      </c>
    </row>
    <row r="730" customFormat="false" ht="15" hidden="false" customHeight="false" outlineLevel="0" collapsed="false">
      <c r="A730" s="20" t="n">
        <v>729</v>
      </c>
      <c r="B730" s="20" t="s">
        <v>1959</v>
      </c>
      <c r="C730" s="21" t="n">
        <v>43018</v>
      </c>
      <c r="D730" s="21" t="n">
        <v>43019</v>
      </c>
      <c r="E730" s="20" t="s">
        <v>71</v>
      </c>
      <c r="F730" s="20" t="s">
        <v>1445</v>
      </c>
      <c r="G730" s="20" t="s">
        <v>1446</v>
      </c>
      <c r="H730" s="20" t="s">
        <v>162</v>
      </c>
      <c r="I730" s="20" t="s">
        <v>62</v>
      </c>
      <c r="J730" s="20" t="s">
        <v>63</v>
      </c>
      <c r="K730" s="20" t="s">
        <v>202</v>
      </c>
      <c r="L730" s="20" t="n">
        <v>96711</v>
      </c>
      <c r="M730" s="20" t="s">
        <v>153</v>
      </c>
      <c r="N730" s="20" t="s">
        <v>1964</v>
      </c>
      <c r="O730" s="20" t="s">
        <v>76</v>
      </c>
      <c r="P730" s="20" t="s">
        <v>122</v>
      </c>
      <c r="Q730" s="20" t="s">
        <v>1519</v>
      </c>
      <c r="R730" s="22" t="n">
        <v>153.64</v>
      </c>
      <c r="S730" s="20" t="n">
        <v>8</v>
      </c>
      <c r="T730" s="20" t="n">
        <v>0.2</v>
      </c>
      <c r="U730" s="22" t="n">
        <v>34.26</v>
      </c>
      <c r="V730" s="23" t="n">
        <f aca="false">IF(ISNUMBER(C730),YEAR(C730),"")</f>
        <v>2017</v>
      </c>
      <c r="W730" s="23" t="n">
        <f aca="false">IF(ISNUMBER(C730),MONTH(C730),"")</f>
        <v>10</v>
      </c>
      <c r="X730" s="23" t="str">
        <f aca="false">IF(T730="","",IF(T730=0,"No discount",IF(T730&lt;=0.2,"Low (1-20%)",IF(T730&lt;=0.4,"Medium (21-40%)","High (&gt;40%)"))))</f>
        <v>Low (1-20%)</v>
      </c>
      <c r="Y730" s="23" t="n">
        <f aca="false">IF(AND(ISNUMBER(C730),ISNUMBER(D730)),D730-C730,"")</f>
        <v>1</v>
      </c>
      <c r="Z730" s="23" t="n">
        <f aca="false">IF(B730="","",IF(MATCH(B730,$B$2:$B$12000,0)=ROW()-1,1,0))</f>
        <v>0</v>
      </c>
    </row>
    <row r="731" customFormat="false" ht="15" hidden="false" customHeight="false" outlineLevel="0" collapsed="false">
      <c r="A731" s="20" t="n">
        <v>730</v>
      </c>
      <c r="B731" s="20" t="s">
        <v>1965</v>
      </c>
      <c r="C731" s="21" t="n">
        <v>43018</v>
      </c>
      <c r="D731" s="21" t="n">
        <v>43019</v>
      </c>
      <c r="E731" s="20" t="s">
        <v>104</v>
      </c>
      <c r="F731" s="20" t="s">
        <v>223</v>
      </c>
      <c r="G731" s="20" t="s">
        <v>224</v>
      </c>
      <c r="H731" s="20" t="s">
        <v>61</v>
      </c>
      <c r="I731" s="20" t="s">
        <v>62</v>
      </c>
      <c r="J731" s="20" t="s">
        <v>63</v>
      </c>
      <c r="K731" s="20" t="s">
        <v>275</v>
      </c>
      <c r="L731" s="20" t="n">
        <v>69169</v>
      </c>
      <c r="M731" s="20" t="s">
        <v>153</v>
      </c>
      <c r="N731" s="20" t="s">
        <v>1966</v>
      </c>
      <c r="O731" s="20" t="s">
        <v>76</v>
      </c>
      <c r="P731" s="20" t="s">
        <v>122</v>
      </c>
      <c r="Q731" s="20" t="s">
        <v>1967</v>
      </c>
      <c r="R731" s="22" t="n">
        <v>108.39</v>
      </c>
      <c r="S731" s="20" t="n">
        <v>3</v>
      </c>
      <c r="T731" s="20" t="n">
        <v>0</v>
      </c>
      <c r="U731" s="22" t="n">
        <v>42.83</v>
      </c>
      <c r="V731" s="23" t="n">
        <f aca="false">IF(ISNUMBER(C731),YEAR(C731),"")</f>
        <v>2017</v>
      </c>
      <c r="W731" s="23" t="n">
        <f aca="false">IF(ISNUMBER(C731),MONTH(C731),"")</f>
        <v>10</v>
      </c>
      <c r="X731" s="23" t="str">
        <f aca="false">IF(T731="","",IF(T731=0,"No discount",IF(T731&lt;=0.2,"Low (1-20%)",IF(T731&lt;=0.4,"Medium (21-40%)","High (&gt;40%)"))))</f>
        <v>No discount</v>
      </c>
      <c r="Y731" s="23" t="n">
        <f aca="false">IF(AND(ISNUMBER(C731),ISNUMBER(D731)),D731-C731,"")</f>
        <v>1</v>
      </c>
      <c r="Z731" s="23" t="n">
        <f aca="false">IF(B731="","",IF(MATCH(B731,$B$2:$B$12000,0)=ROW()-1,1,0))</f>
        <v>1</v>
      </c>
    </row>
    <row r="732" customFormat="false" ht="15" hidden="false" customHeight="false" outlineLevel="0" collapsed="false">
      <c r="A732" s="20" t="n">
        <v>731</v>
      </c>
      <c r="B732" s="20" t="s">
        <v>1968</v>
      </c>
      <c r="C732" s="21" t="n">
        <v>43021</v>
      </c>
      <c r="D732" s="21" t="n">
        <v>43022</v>
      </c>
      <c r="E732" s="20" t="s">
        <v>90</v>
      </c>
      <c r="F732" s="20" t="s">
        <v>72</v>
      </c>
      <c r="G732" s="20" t="s">
        <v>73</v>
      </c>
      <c r="H732" s="20" t="s">
        <v>61</v>
      </c>
      <c r="I732" s="20" t="s">
        <v>62</v>
      </c>
      <c r="J732" s="20" t="s">
        <v>63</v>
      </c>
      <c r="K732" s="20" t="s">
        <v>120</v>
      </c>
      <c r="L732" s="20" t="n">
        <v>43363</v>
      </c>
      <c r="M732" s="20" t="s">
        <v>112</v>
      </c>
      <c r="N732" s="20" t="s">
        <v>1969</v>
      </c>
      <c r="O732" s="20" t="s">
        <v>76</v>
      </c>
      <c r="P732" s="20" t="s">
        <v>185</v>
      </c>
      <c r="Q732" s="20" t="s">
        <v>1970</v>
      </c>
      <c r="R732" s="22" t="n">
        <v>79.69</v>
      </c>
      <c r="S732" s="20" t="n">
        <v>6</v>
      </c>
      <c r="T732" s="20" t="n">
        <v>0.2</v>
      </c>
      <c r="U732" s="22" t="n">
        <v>14.26</v>
      </c>
      <c r="V732" s="23" t="n">
        <f aca="false">IF(ISNUMBER(C732),YEAR(C732),"")</f>
        <v>2017</v>
      </c>
      <c r="W732" s="23" t="n">
        <f aca="false">IF(ISNUMBER(C732),MONTH(C732),"")</f>
        <v>10</v>
      </c>
      <c r="X732" s="23" t="str">
        <f aca="false">IF(T732="","",IF(T732=0,"No discount",IF(T732&lt;=0.2,"Low (1-20%)",IF(T732&lt;=0.4,"Medium (21-40%)","High (&gt;40%)"))))</f>
        <v>Low (1-20%)</v>
      </c>
      <c r="Y732" s="23" t="n">
        <f aca="false">IF(AND(ISNUMBER(C732),ISNUMBER(D732)),D732-C732,"")</f>
        <v>1</v>
      </c>
      <c r="Z732" s="23" t="n">
        <f aca="false">IF(B732="","",IF(MATCH(B732,$B$2:$B$12000,0)=ROW()-1,1,0))</f>
        <v>1</v>
      </c>
    </row>
    <row r="733" customFormat="false" ht="15" hidden="false" customHeight="false" outlineLevel="0" collapsed="false">
      <c r="A733" s="20" t="n">
        <v>732</v>
      </c>
      <c r="B733" s="20" t="s">
        <v>1968</v>
      </c>
      <c r="C733" s="21" t="n">
        <v>43021</v>
      </c>
      <c r="D733" s="21" t="n">
        <v>43022</v>
      </c>
      <c r="E733" s="20" t="s">
        <v>104</v>
      </c>
      <c r="F733" s="20" t="s">
        <v>72</v>
      </c>
      <c r="G733" s="20" t="s">
        <v>73</v>
      </c>
      <c r="H733" s="20" t="s">
        <v>61</v>
      </c>
      <c r="I733" s="20" t="s">
        <v>62</v>
      </c>
      <c r="J733" s="20" t="s">
        <v>63</v>
      </c>
      <c r="K733" s="20" t="s">
        <v>120</v>
      </c>
      <c r="L733" s="20" t="n">
        <v>97668</v>
      </c>
      <c r="M733" s="20" t="s">
        <v>112</v>
      </c>
      <c r="N733" s="20" t="s">
        <v>1971</v>
      </c>
      <c r="O733" s="20" t="s">
        <v>76</v>
      </c>
      <c r="P733" s="20" t="s">
        <v>101</v>
      </c>
      <c r="Q733" s="20" t="s">
        <v>1972</v>
      </c>
      <c r="R733" s="22" t="n">
        <v>215.03</v>
      </c>
      <c r="S733" s="20" t="n">
        <v>6</v>
      </c>
      <c r="T733" s="20" t="n">
        <v>0</v>
      </c>
      <c r="U733" s="22" t="n">
        <v>66.2</v>
      </c>
      <c r="V733" s="23" t="n">
        <f aca="false">IF(ISNUMBER(C733),YEAR(C733),"")</f>
        <v>2017</v>
      </c>
      <c r="W733" s="23" t="n">
        <f aca="false">IF(ISNUMBER(C733),MONTH(C733),"")</f>
        <v>10</v>
      </c>
      <c r="X733" s="23" t="str">
        <f aca="false">IF(T733="","",IF(T733=0,"No discount",IF(T733&lt;=0.2,"Low (1-20%)",IF(T733&lt;=0.4,"Medium (21-40%)","High (&gt;40%)"))))</f>
        <v>No discount</v>
      </c>
      <c r="Y733" s="23" t="n">
        <f aca="false">IF(AND(ISNUMBER(C733),ISNUMBER(D733)),D733-C733,"")</f>
        <v>1</v>
      </c>
      <c r="Z733" s="23" t="n">
        <f aca="false">IF(B733="","",IF(MATCH(B733,$B$2:$B$12000,0)=ROW()-1,1,0))</f>
        <v>0</v>
      </c>
    </row>
    <row r="734" customFormat="false" ht="15" hidden="false" customHeight="false" outlineLevel="0" collapsed="false">
      <c r="A734" s="20" t="n">
        <v>733</v>
      </c>
      <c r="B734" s="20" t="s">
        <v>1968</v>
      </c>
      <c r="C734" s="21" t="n">
        <v>43021</v>
      </c>
      <c r="D734" s="21" t="n">
        <v>43022</v>
      </c>
      <c r="E734" s="20" t="s">
        <v>58</v>
      </c>
      <c r="F734" s="20" t="s">
        <v>72</v>
      </c>
      <c r="G734" s="20" t="s">
        <v>73</v>
      </c>
      <c r="H734" s="20" t="s">
        <v>61</v>
      </c>
      <c r="I734" s="20" t="s">
        <v>62</v>
      </c>
      <c r="J734" s="20" t="s">
        <v>63</v>
      </c>
      <c r="K734" s="20" t="s">
        <v>120</v>
      </c>
      <c r="L734" s="20" t="n">
        <v>74172</v>
      </c>
      <c r="M734" s="20" t="s">
        <v>112</v>
      </c>
      <c r="N734" s="20" t="s">
        <v>1973</v>
      </c>
      <c r="O734" s="20" t="s">
        <v>114</v>
      </c>
      <c r="P734" s="20" t="s">
        <v>210</v>
      </c>
      <c r="Q734" s="20" t="s">
        <v>1283</v>
      </c>
      <c r="R734" s="22" t="n">
        <v>145.54</v>
      </c>
      <c r="S734" s="20" t="n">
        <v>3</v>
      </c>
      <c r="T734" s="20" t="n">
        <v>0.2</v>
      </c>
      <c r="U734" s="22" t="n">
        <v>14.92</v>
      </c>
      <c r="V734" s="23" t="n">
        <f aca="false">IF(ISNUMBER(C734),YEAR(C734),"")</f>
        <v>2017</v>
      </c>
      <c r="W734" s="23" t="n">
        <f aca="false">IF(ISNUMBER(C734),MONTH(C734),"")</f>
        <v>10</v>
      </c>
      <c r="X734" s="23" t="str">
        <f aca="false">IF(T734="","",IF(T734=0,"No discount",IF(T734&lt;=0.2,"Low (1-20%)",IF(T734&lt;=0.4,"Medium (21-40%)","High (&gt;40%)"))))</f>
        <v>Low (1-20%)</v>
      </c>
      <c r="Y734" s="23" t="n">
        <f aca="false">IF(AND(ISNUMBER(C734),ISNUMBER(D734)),D734-C734,"")</f>
        <v>1</v>
      </c>
      <c r="Z734" s="23" t="n">
        <f aca="false">IF(B734="","",IF(MATCH(B734,$B$2:$B$12000,0)=ROW()-1,1,0))</f>
        <v>0</v>
      </c>
    </row>
    <row r="735" customFormat="false" ht="15" hidden="false" customHeight="false" outlineLevel="0" collapsed="false">
      <c r="A735" s="20" t="n">
        <v>734</v>
      </c>
      <c r="B735" s="20" t="s">
        <v>1968</v>
      </c>
      <c r="C735" s="21" t="n">
        <v>43021</v>
      </c>
      <c r="D735" s="21" t="n">
        <v>43022</v>
      </c>
      <c r="E735" s="20" t="s">
        <v>71</v>
      </c>
      <c r="F735" s="20" t="s">
        <v>72</v>
      </c>
      <c r="G735" s="20" t="s">
        <v>73</v>
      </c>
      <c r="H735" s="20" t="s">
        <v>61</v>
      </c>
      <c r="I735" s="20" t="s">
        <v>62</v>
      </c>
      <c r="J735" s="20" t="s">
        <v>63</v>
      </c>
      <c r="K735" s="20" t="s">
        <v>120</v>
      </c>
      <c r="L735" s="20" t="n">
        <v>17880</v>
      </c>
      <c r="M735" s="20" t="s">
        <v>112</v>
      </c>
      <c r="N735" s="20" t="s">
        <v>1974</v>
      </c>
      <c r="O735" s="20" t="s">
        <v>67</v>
      </c>
      <c r="P735" s="20" t="s">
        <v>106</v>
      </c>
      <c r="Q735" s="20" t="s">
        <v>1975</v>
      </c>
      <c r="R735" s="22" t="n">
        <v>911.46</v>
      </c>
      <c r="S735" s="20" t="n">
        <v>3</v>
      </c>
      <c r="T735" s="20" t="n">
        <v>0.4</v>
      </c>
      <c r="U735" s="22" t="n">
        <v>-54.65</v>
      </c>
      <c r="V735" s="23" t="n">
        <f aca="false">IF(ISNUMBER(C735),YEAR(C735),"")</f>
        <v>2017</v>
      </c>
      <c r="W735" s="23" t="n">
        <f aca="false">IF(ISNUMBER(C735),MONTH(C735),"")</f>
        <v>10</v>
      </c>
      <c r="X735" s="23" t="str">
        <f aca="false">IF(T735="","",IF(T735=0,"No discount",IF(T735&lt;=0.2,"Low (1-20%)",IF(T735&lt;=0.4,"Medium (21-40%)","High (&gt;40%)"))))</f>
        <v>Medium (21-40%)</v>
      </c>
      <c r="Y735" s="23" t="n">
        <f aca="false">IF(AND(ISNUMBER(C735),ISNUMBER(D735)),D735-C735,"")</f>
        <v>1</v>
      </c>
      <c r="Z735" s="23" t="n">
        <f aca="false">IF(B735="","",IF(MATCH(B735,$B$2:$B$12000,0)=ROW()-1,1,0))</f>
        <v>0</v>
      </c>
    </row>
    <row r="736" customFormat="false" ht="15" hidden="false" customHeight="false" outlineLevel="0" collapsed="false">
      <c r="A736" s="20" t="n">
        <v>735</v>
      </c>
      <c r="B736" s="20" t="s">
        <v>1976</v>
      </c>
      <c r="C736" s="21" t="n">
        <v>43024</v>
      </c>
      <c r="D736" s="21" t="n">
        <v>43025</v>
      </c>
      <c r="E736" s="20" t="s">
        <v>90</v>
      </c>
      <c r="F736" s="20" t="s">
        <v>677</v>
      </c>
      <c r="G736" s="20" t="s">
        <v>678</v>
      </c>
      <c r="H736" s="20" t="s">
        <v>61</v>
      </c>
      <c r="I736" s="20" t="s">
        <v>62</v>
      </c>
      <c r="J736" s="20" t="s">
        <v>63</v>
      </c>
      <c r="K736" s="20" t="s">
        <v>288</v>
      </c>
      <c r="L736" s="20" t="n">
        <v>10470</v>
      </c>
      <c r="M736" s="20" t="s">
        <v>97</v>
      </c>
      <c r="N736" s="20" t="s">
        <v>1977</v>
      </c>
      <c r="O736" s="20" t="s">
        <v>114</v>
      </c>
      <c r="P736" s="20" t="s">
        <v>139</v>
      </c>
      <c r="Q736" s="20" t="s">
        <v>1978</v>
      </c>
      <c r="R736" s="22" t="n">
        <v>652.72</v>
      </c>
      <c r="S736" s="20" t="n">
        <v>4</v>
      </c>
      <c r="T736" s="20" t="n">
        <v>0.4</v>
      </c>
      <c r="U736" s="22" t="n">
        <v>-101.95</v>
      </c>
      <c r="V736" s="23" t="n">
        <f aca="false">IF(ISNUMBER(C736),YEAR(C736),"")</f>
        <v>2017</v>
      </c>
      <c r="W736" s="23" t="n">
        <f aca="false">IF(ISNUMBER(C736),MONTH(C736),"")</f>
        <v>10</v>
      </c>
      <c r="X736" s="23" t="str">
        <f aca="false">IF(T736="","",IF(T736=0,"No discount",IF(T736&lt;=0.2,"Low (1-20%)",IF(T736&lt;=0.4,"Medium (21-40%)","High (&gt;40%)"))))</f>
        <v>Medium (21-40%)</v>
      </c>
      <c r="Y736" s="23" t="n">
        <f aca="false">IF(AND(ISNUMBER(C736),ISNUMBER(D736)),D736-C736,"")</f>
        <v>1</v>
      </c>
      <c r="Z736" s="23" t="n">
        <f aca="false">IF(B736="","",IF(MATCH(B736,$B$2:$B$12000,0)=ROW()-1,1,0))</f>
        <v>1</v>
      </c>
    </row>
    <row r="737" customFormat="false" ht="15" hidden="false" customHeight="false" outlineLevel="0" collapsed="false">
      <c r="A737" s="20" t="n">
        <v>736</v>
      </c>
      <c r="B737" s="20" t="s">
        <v>1979</v>
      </c>
      <c r="C737" s="21" t="n">
        <v>43025</v>
      </c>
      <c r="D737" s="21" t="n">
        <v>43032</v>
      </c>
      <c r="E737" s="20" t="s">
        <v>58</v>
      </c>
      <c r="F737" s="20" t="s">
        <v>1315</v>
      </c>
      <c r="G737" s="20" t="s">
        <v>1316</v>
      </c>
      <c r="H737" s="20" t="s">
        <v>61</v>
      </c>
      <c r="I737" s="20" t="s">
        <v>62</v>
      </c>
      <c r="J737" s="20" t="s">
        <v>63</v>
      </c>
      <c r="K737" s="20" t="s">
        <v>64</v>
      </c>
      <c r="L737" s="20" t="n">
        <v>99352</v>
      </c>
      <c r="M737" s="20" t="s">
        <v>65</v>
      </c>
      <c r="N737" s="20" t="s">
        <v>1980</v>
      </c>
      <c r="O737" s="20" t="s">
        <v>114</v>
      </c>
      <c r="P737" s="20" t="s">
        <v>210</v>
      </c>
      <c r="Q737" s="20" t="s">
        <v>1981</v>
      </c>
      <c r="R737" s="22" t="n">
        <v>115.85</v>
      </c>
      <c r="S737" s="20" t="n">
        <v>4</v>
      </c>
      <c r="T737" s="20" t="n">
        <v>0.7</v>
      </c>
      <c r="U737" s="22" t="n">
        <v>-17.96</v>
      </c>
      <c r="V737" s="23" t="n">
        <f aca="false">IF(ISNUMBER(C737),YEAR(C737),"")</f>
        <v>2017</v>
      </c>
      <c r="W737" s="23" t="n">
        <f aca="false">IF(ISNUMBER(C737),MONTH(C737),"")</f>
        <v>10</v>
      </c>
      <c r="X737" s="23" t="str">
        <f aca="false">IF(T737="","",IF(T737=0,"No discount",IF(T737&lt;=0.2,"Low (1-20%)",IF(T737&lt;=0.4,"Medium (21-40%)","High (&gt;40%)"))))</f>
        <v>High (&gt;40%)</v>
      </c>
      <c r="Y737" s="23" t="n">
        <f aca="false">IF(AND(ISNUMBER(C737),ISNUMBER(D737)),D737-C737,"")</f>
        <v>7</v>
      </c>
      <c r="Z737" s="23" t="n">
        <f aca="false">IF(B737="","",IF(MATCH(B737,$B$2:$B$12000,0)=ROW()-1,1,0))</f>
        <v>1</v>
      </c>
    </row>
    <row r="738" customFormat="false" ht="15" hidden="false" customHeight="false" outlineLevel="0" collapsed="false">
      <c r="A738" s="20" t="n">
        <v>737</v>
      </c>
      <c r="B738" s="20" t="s">
        <v>1979</v>
      </c>
      <c r="C738" s="21" t="n">
        <v>43025</v>
      </c>
      <c r="D738" s="21" t="n">
        <v>43032</v>
      </c>
      <c r="E738" s="20" t="s">
        <v>90</v>
      </c>
      <c r="F738" s="20" t="s">
        <v>1315</v>
      </c>
      <c r="G738" s="20" t="s">
        <v>1316</v>
      </c>
      <c r="H738" s="20" t="s">
        <v>61</v>
      </c>
      <c r="I738" s="20" t="s">
        <v>62</v>
      </c>
      <c r="J738" s="20" t="s">
        <v>63</v>
      </c>
      <c r="K738" s="20" t="s">
        <v>64</v>
      </c>
      <c r="L738" s="20" t="n">
        <v>17219</v>
      </c>
      <c r="M738" s="20" t="s">
        <v>65</v>
      </c>
      <c r="N738" s="20" t="s">
        <v>1982</v>
      </c>
      <c r="O738" s="20" t="s">
        <v>114</v>
      </c>
      <c r="P738" s="20" t="s">
        <v>139</v>
      </c>
      <c r="Q738" s="20" t="s">
        <v>1983</v>
      </c>
      <c r="R738" s="22" t="n">
        <v>3047.55</v>
      </c>
      <c r="S738" s="20" t="n">
        <v>6</v>
      </c>
      <c r="T738" s="20" t="n">
        <v>0.1</v>
      </c>
      <c r="U738" s="22" t="n">
        <v>-19.59</v>
      </c>
      <c r="V738" s="23" t="n">
        <f aca="false">IF(ISNUMBER(C738),YEAR(C738),"")</f>
        <v>2017</v>
      </c>
      <c r="W738" s="23" t="n">
        <f aca="false">IF(ISNUMBER(C738),MONTH(C738),"")</f>
        <v>10</v>
      </c>
      <c r="X738" s="23" t="str">
        <f aca="false">IF(T738="","",IF(T738=0,"No discount",IF(T738&lt;=0.2,"Low (1-20%)",IF(T738&lt;=0.4,"Medium (21-40%)","High (&gt;40%)"))))</f>
        <v>Low (1-20%)</v>
      </c>
      <c r="Y738" s="23" t="n">
        <f aca="false">IF(AND(ISNUMBER(C738),ISNUMBER(D738)),D738-C738,"")</f>
        <v>7</v>
      </c>
      <c r="Z738" s="23" t="n">
        <f aca="false">IF(B738="","",IF(MATCH(B738,$B$2:$B$12000,0)=ROW()-1,1,0))</f>
        <v>0</v>
      </c>
    </row>
    <row r="739" customFormat="false" ht="15" hidden="false" customHeight="false" outlineLevel="0" collapsed="false">
      <c r="A739" s="20" t="n">
        <v>738</v>
      </c>
      <c r="B739" s="20" t="s">
        <v>1979</v>
      </c>
      <c r="C739" s="21" t="n">
        <v>43025</v>
      </c>
      <c r="D739" s="21" t="n">
        <v>43032</v>
      </c>
      <c r="E739" s="20" t="s">
        <v>71</v>
      </c>
      <c r="F739" s="20" t="s">
        <v>1315</v>
      </c>
      <c r="G739" s="20" t="s">
        <v>1316</v>
      </c>
      <c r="H739" s="20" t="s">
        <v>61</v>
      </c>
      <c r="I739" s="20" t="s">
        <v>62</v>
      </c>
      <c r="J739" s="20" t="s">
        <v>63</v>
      </c>
      <c r="K739" s="20" t="s">
        <v>64</v>
      </c>
      <c r="L739" s="20" t="n">
        <v>54837</v>
      </c>
      <c r="M739" s="20" t="s">
        <v>65</v>
      </c>
      <c r="N739" s="20" t="s">
        <v>1984</v>
      </c>
      <c r="O739" s="20" t="s">
        <v>76</v>
      </c>
      <c r="P739" s="20" t="s">
        <v>88</v>
      </c>
      <c r="Q739" s="20" t="s">
        <v>1985</v>
      </c>
      <c r="R739" s="22" t="n">
        <v>1338.92</v>
      </c>
      <c r="S739" s="20" t="n">
        <v>6</v>
      </c>
      <c r="T739" s="20" t="n">
        <v>0.4</v>
      </c>
      <c r="U739" s="22" t="n">
        <v>-288.97</v>
      </c>
      <c r="V739" s="23" t="n">
        <f aca="false">IF(ISNUMBER(C739),YEAR(C739),"")</f>
        <v>2017</v>
      </c>
      <c r="W739" s="23" t="n">
        <f aca="false">IF(ISNUMBER(C739),MONTH(C739),"")</f>
        <v>10</v>
      </c>
      <c r="X739" s="23" t="str">
        <f aca="false">IF(T739="","",IF(T739=0,"No discount",IF(T739&lt;=0.2,"Low (1-20%)",IF(T739&lt;=0.4,"Medium (21-40%)","High (&gt;40%)"))))</f>
        <v>Medium (21-40%)</v>
      </c>
      <c r="Y739" s="23" t="n">
        <f aca="false">IF(AND(ISNUMBER(C739),ISNUMBER(D739)),D739-C739,"")</f>
        <v>7</v>
      </c>
      <c r="Z739" s="23" t="n">
        <f aca="false">IF(B739="","",IF(MATCH(B739,$B$2:$B$12000,0)=ROW()-1,1,0))</f>
        <v>0</v>
      </c>
    </row>
    <row r="740" customFormat="false" ht="15" hidden="false" customHeight="false" outlineLevel="0" collapsed="false">
      <c r="A740" s="20" t="n">
        <v>739</v>
      </c>
      <c r="B740" s="20" t="s">
        <v>1979</v>
      </c>
      <c r="C740" s="21" t="n">
        <v>43025</v>
      </c>
      <c r="D740" s="21" t="n">
        <v>43032</v>
      </c>
      <c r="E740" s="20" t="s">
        <v>104</v>
      </c>
      <c r="F740" s="20" t="s">
        <v>1315</v>
      </c>
      <c r="G740" s="20" t="s">
        <v>1316</v>
      </c>
      <c r="H740" s="20" t="s">
        <v>61</v>
      </c>
      <c r="I740" s="20" t="s">
        <v>62</v>
      </c>
      <c r="J740" s="20" t="s">
        <v>63</v>
      </c>
      <c r="K740" s="20" t="s">
        <v>64</v>
      </c>
      <c r="L740" s="20" t="n">
        <v>47500</v>
      </c>
      <c r="M740" s="20" t="s">
        <v>65</v>
      </c>
      <c r="N740" s="20" t="s">
        <v>1986</v>
      </c>
      <c r="O740" s="20" t="s">
        <v>76</v>
      </c>
      <c r="P740" s="20" t="s">
        <v>88</v>
      </c>
      <c r="Q740" s="20" t="s">
        <v>1987</v>
      </c>
      <c r="R740" s="22" t="n">
        <v>1663.76</v>
      </c>
      <c r="S740" s="20" t="n">
        <v>6</v>
      </c>
      <c r="T740" s="20" t="n">
        <v>0</v>
      </c>
      <c r="U740" s="22" t="n">
        <v>91.49</v>
      </c>
      <c r="V740" s="23" t="n">
        <f aca="false">IF(ISNUMBER(C740),YEAR(C740),"")</f>
        <v>2017</v>
      </c>
      <c r="W740" s="23" t="n">
        <f aca="false">IF(ISNUMBER(C740),MONTH(C740),"")</f>
        <v>10</v>
      </c>
      <c r="X740" s="23" t="str">
        <f aca="false">IF(T740="","",IF(T740=0,"No discount",IF(T740&lt;=0.2,"Low (1-20%)",IF(T740&lt;=0.4,"Medium (21-40%)","High (&gt;40%)"))))</f>
        <v>No discount</v>
      </c>
      <c r="Y740" s="23" t="n">
        <f aca="false">IF(AND(ISNUMBER(C740),ISNUMBER(D740)),D740-C740,"")</f>
        <v>7</v>
      </c>
      <c r="Z740" s="23" t="n">
        <f aca="false">IF(B740="","",IF(MATCH(B740,$B$2:$B$12000,0)=ROW()-1,1,0))</f>
        <v>0</v>
      </c>
    </row>
    <row r="741" customFormat="false" ht="15" hidden="false" customHeight="false" outlineLevel="0" collapsed="false">
      <c r="A741" s="20" t="n">
        <v>740</v>
      </c>
      <c r="B741" s="20" t="s">
        <v>1988</v>
      </c>
      <c r="C741" s="21" t="n">
        <v>43031</v>
      </c>
      <c r="D741" s="21" t="n">
        <v>43035</v>
      </c>
      <c r="E741" s="20" t="s">
        <v>71</v>
      </c>
      <c r="F741" s="20" t="s">
        <v>964</v>
      </c>
      <c r="G741" s="20" t="s">
        <v>965</v>
      </c>
      <c r="H741" s="20" t="s">
        <v>85</v>
      </c>
      <c r="I741" s="20" t="s">
        <v>62</v>
      </c>
      <c r="J741" s="20" t="s">
        <v>63</v>
      </c>
      <c r="K741" s="20" t="s">
        <v>508</v>
      </c>
      <c r="L741" s="20" t="n">
        <v>45005</v>
      </c>
      <c r="M741" s="20" t="s">
        <v>153</v>
      </c>
      <c r="N741" s="20" t="s">
        <v>1989</v>
      </c>
      <c r="O741" s="20" t="s">
        <v>114</v>
      </c>
      <c r="P741" s="20" t="s">
        <v>115</v>
      </c>
      <c r="Q741" s="20" t="s">
        <v>1990</v>
      </c>
      <c r="R741" s="22" t="n">
        <v>694.85</v>
      </c>
      <c r="S741" s="20" t="n">
        <v>2</v>
      </c>
      <c r="T741" s="20" t="n">
        <v>0</v>
      </c>
      <c r="U741" s="22" t="n">
        <v>76.17</v>
      </c>
      <c r="V741" s="23" t="n">
        <f aca="false">IF(ISNUMBER(C741),YEAR(C741),"")</f>
        <v>2017</v>
      </c>
      <c r="W741" s="23" t="n">
        <f aca="false">IF(ISNUMBER(C741),MONTH(C741),"")</f>
        <v>10</v>
      </c>
      <c r="X741" s="23" t="str">
        <f aca="false">IF(T741="","",IF(T741=0,"No discount",IF(T741&lt;=0.2,"Low (1-20%)",IF(T741&lt;=0.4,"Medium (21-40%)","High (&gt;40%)"))))</f>
        <v>No discount</v>
      </c>
      <c r="Y741" s="23" t="n">
        <f aca="false">IF(AND(ISNUMBER(C741),ISNUMBER(D741)),D741-C741,"")</f>
        <v>4</v>
      </c>
      <c r="Z741" s="23" t="n">
        <f aca="false">IF(B741="","",IF(MATCH(B741,$B$2:$B$12000,0)=ROW()-1,1,0))</f>
        <v>1</v>
      </c>
    </row>
    <row r="742" customFormat="false" ht="15" hidden="false" customHeight="false" outlineLevel="0" collapsed="false">
      <c r="A742" s="20" t="n">
        <v>741</v>
      </c>
      <c r="B742" s="20" t="s">
        <v>1988</v>
      </c>
      <c r="C742" s="21" t="n">
        <v>43031</v>
      </c>
      <c r="D742" s="21" t="n">
        <v>43035</v>
      </c>
      <c r="E742" s="20" t="s">
        <v>58</v>
      </c>
      <c r="F742" s="20" t="s">
        <v>964</v>
      </c>
      <c r="G742" s="20" t="s">
        <v>965</v>
      </c>
      <c r="H742" s="20" t="s">
        <v>85</v>
      </c>
      <c r="I742" s="20" t="s">
        <v>62</v>
      </c>
      <c r="J742" s="20" t="s">
        <v>63</v>
      </c>
      <c r="K742" s="20" t="s">
        <v>508</v>
      </c>
      <c r="L742" s="20" t="n">
        <v>54206</v>
      </c>
      <c r="M742" s="20" t="s">
        <v>153</v>
      </c>
      <c r="N742" s="20" t="s">
        <v>1991</v>
      </c>
      <c r="O742" s="20" t="s">
        <v>76</v>
      </c>
      <c r="P742" s="20" t="s">
        <v>77</v>
      </c>
      <c r="Q742" s="20" t="s">
        <v>1992</v>
      </c>
      <c r="R742" s="22" t="n">
        <v>186.44</v>
      </c>
      <c r="S742" s="20" t="n">
        <v>5</v>
      </c>
      <c r="T742" s="20" t="n">
        <v>0</v>
      </c>
      <c r="U742" s="22" t="n">
        <v>44.43</v>
      </c>
      <c r="V742" s="23" t="n">
        <f aca="false">IF(ISNUMBER(C742),YEAR(C742),"")</f>
        <v>2017</v>
      </c>
      <c r="W742" s="23" t="n">
        <f aca="false">IF(ISNUMBER(C742),MONTH(C742),"")</f>
        <v>10</v>
      </c>
      <c r="X742" s="23" t="str">
        <f aca="false">IF(T742="","",IF(T742=0,"No discount",IF(T742&lt;=0.2,"Low (1-20%)",IF(T742&lt;=0.4,"Medium (21-40%)","High (&gt;40%)"))))</f>
        <v>No discount</v>
      </c>
      <c r="Y742" s="23" t="n">
        <f aca="false">IF(AND(ISNUMBER(C742),ISNUMBER(D742)),D742-C742,"")</f>
        <v>4</v>
      </c>
      <c r="Z742" s="23" t="n">
        <f aca="false">IF(B742="","",IF(MATCH(B742,$B$2:$B$12000,0)=ROW()-1,1,0))</f>
        <v>0</v>
      </c>
    </row>
    <row r="743" customFormat="false" ht="15" hidden="false" customHeight="false" outlineLevel="0" collapsed="false">
      <c r="A743" s="20" t="n">
        <v>742</v>
      </c>
      <c r="B743" s="20" t="s">
        <v>1993</v>
      </c>
      <c r="C743" s="21" t="n">
        <v>43035</v>
      </c>
      <c r="D743" s="21" t="n">
        <v>43037</v>
      </c>
      <c r="E743" s="20" t="s">
        <v>104</v>
      </c>
      <c r="F743" s="20" t="s">
        <v>582</v>
      </c>
      <c r="G743" s="20" t="s">
        <v>583</v>
      </c>
      <c r="H743" s="20" t="s">
        <v>61</v>
      </c>
      <c r="I743" s="20" t="s">
        <v>62</v>
      </c>
      <c r="J743" s="20" t="s">
        <v>63</v>
      </c>
      <c r="K743" s="20" t="s">
        <v>335</v>
      </c>
      <c r="L743" s="20" t="n">
        <v>91624</v>
      </c>
      <c r="M743" s="20" t="s">
        <v>65</v>
      </c>
      <c r="N743" s="20" t="s">
        <v>1994</v>
      </c>
      <c r="O743" s="20" t="s">
        <v>76</v>
      </c>
      <c r="P743" s="20" t="s">
        <v>101</v>
      </c>
      <c r="Q743" s="20" t="s">
        <v>1995</v>
      </c>
      <c r="R743" s="22" t="n">
        <v>32.67</v>
      </c>
      <c r="S743" s="20" t="n">
        <v>6</v>
      </c>
      <c r="T743" s="20" t="n">
        <v>0.4</v>
      </c>
      <c r="U743" s="22" t="n">
        <v>5.33</v>
      </c>
      <c r="V743" s="23" t="n">
        <f aca="false">IF(ISNUMBER(C743),YEAR(C743),"")</f>
        <v>2017</v>
      </c>
      <c r="W743" s="23" t="n">
        <f aca="false">IF(ISNUMBER(C743),MONTH(C743),"")</f>
        <v>10</v>
      </c>
      <c r="X743" s="23" t="str">
        <f aca="false">IF(T743="","",IF(T743=0,"No discount",IF(T743&lt;=0.2,"Low (1-20%)",IF(T743&lt;=0.4,"Medium (21-40%)","High (&gt;40%)"))))</f>
        <v>Medium (21-40%)</v>
      </c>
      <c r="Y743" s="23" t="n">
        <f aca="false">IF(AND(ISNUMBER(C743),ISNUMBER(D743)),D743-C743,"")</f>
        <v>2</v>
      </c>
      <c r="Z743" s="23" t="n">
        <f aca="false">IF(B743="","",IF(MATCH(B743,$B$2:$B$12000,0)=ROW()-1,1,0))</f>
        <v>1</v>
      </c>
    </row>
    <row r="744" customFormat="false" ht="15" hidden="false" customHeight="false" outlineLevel="0" collapsed="false">
      <c r="A744" s="20" t="n">
        <v>743</v>
      </c>
      <c r="B744" s="20" t="s">
        <v>1996</v>
      </c>
      <c r="C744" s="21" t="n">
        <v>43042</v>
      </c>
      <c r="D744" s="21" t="n">
        <v>43046</v>
      </c>
      <c r="E744" s="20" t="s">
        <v>71</v>
      </c>
      <c r="F744" s="20" t="s">
        <v>83</v>
      </c>
      <c r="G744" s="20" t="s">
        <v>84</v>
      </c>
      <c r="H744" s="20" t="s">
        <v>85</v>
      </c>
      <c r="I744" s="20" t="s">
        <v>62</v>
      </c>
      <c r="J744" s="20" t="s">
        <v>63</v>
      </c>
      <c r="K744" s="20" t="s">
        <v>215</v>
      </c>
      <c r="L744" s="20" t="n">
        <v>75020</v>
      </c>
      <c r="M744" s="20" t="s">
        <v>112</v>
      </c>
      <c r="N744" s="20" t="s">
        <v>1997</v>
      </c>
      <c r="O744" s="20" t="s">
        <v>76</v>
      </c>
      <c r="P744" s="20" t="s">
        <v>185</v>
      </c>
      <c r="Q744" s="20" t="s">
        <v>1998</v>
      </c>
      <c r="R744" s="22" t="n">
        <v>95.97</v>
      </c>
      <c r="S744" s="20" t="n">
        <v>7</v>
      </c>
      <c r="T744" s="20" t="n">
        <v>0.2</v>
      </c>
      <c r="U744" s="22" t="n">
        <v>22.81</v>
      </c>
      <c r="V744" s="23" t="n">
        <f aca="false">IF(ISNUMBER(C744),YEAR(C744),"")</f>
        <v>2017</v>
      </c>
      <c r="W744" s="23" t="n">
        <f aca="false">IF(ISNUMBER(C744),MONTH(C744),"")</f>
        <v>11</v>
      </c>
      <c r="X744" s="23" t="str">
        <f aca="false">IF(T744="","",IF(T744=0,"No discount",IF(T744&lt;=0.2,"Low (1-20%)",IF(T744&lt;=0.4,"Medium (21-40%)","High (&gt;40%)"))))</f>
        <v>Low (1-20%)</v>
      </c>
      <c r="Y744" s="23" t="n">
        <f aca="false">IF(AND(ISNUMBER(C744),ISNUMBER(D744)),D744-C744,"")</f>
        <v>4</v>
      </c>
      <c r="Z744" s="23" t="n">
        <f aca="false">IF(B744="","",IF(MATCH(B744,$B$2:$B$12000,0)=ROW()-1,1,0))</f>
        <v>1</v>
      </c>
    </row>
    <row r="745" customFormat="false" ht="15" hidden="false" customHeight="false" outlineLevel="0" collapsed="false">
      <c r="A745" s="20" t="n">
        <v>744</v>
      </c>
      <c r="B745" s="20" t="s">
        <v>1996</v>
      </c>
      <c r="C745" s="21" t="n">
        <v>43042</v>
      </c>
      <c r="D745" s="21" t="n">
        <v>43046</v>
      </c>
      <c r="E745" s="20" t="s">
        <v>58</v>
      </c>
      <c r="F745" s="20" t="s">
        <v>83</v>
      </c>
      <c r="G745" s="20" t="s">
        <v>84</v>
      </c>
      <c r="H745" s="20" t="s">
        <v>85</v>
      </c>
      <c r="I745" s="20" t="s">
        <v>62</v>
      </c>
      <c r="J745" s="20" t="s">
        <v>63</v>
      </c>
      <c r="K745" s="20" t="s">
        <v>215</v>
      </c>
      <c r="L745" s="20" t="n">
        <v>92195</v>
      </c>
      <c r="M745" s="20" t="s">
        <v>112</v>
      </c>
      <c r="N745" s="20" t="s">
        <v>1999</v>
      </c>
      <c r="O745" s="20" t="s">
        <v>76</v>
      </c>
      <c r="P745" s="20" t="s">
        <v>128</v>
      </c>
      <c r="Q745" s="20" t="s">
        <v>1684</v>
      </c>
      <c r="R745" s="22" t="n">
        <v>483.31</v>
      </c>
      <c r="S745" s="20" t="n">
        <v>6</v>
      </c>
      <c r="T745" s="20" t="n">
        <v>0</v>
      </c>
      <c r="U745" s="22" t="n">
        <v>52.02</v>
      </c>
      <c r="V745" s="23" t="n">
        <f aca="false">IF(ISNUMBER(C745),YEAR(C745),"")</f>
        <v>2017</v>
      </c>
      <c r="W745" s="23" t="n">
        <f aca="false">IF(ISNUMBER(C745),MONTH(C745),"")</f>
        <v>11</v>
      </c>
      <c r="X745" s="23" t="str">
        <f aca="false">IF(T745="","",IF(T745=0,"No discount",IF(T745&lt;=0.2,"Low (1-20%)",IF(T745&lt;=0.4,"Medium (21-40%)","High (&gt;40%)"))))</f>
        <v>No discount</v>
      </c>
      <c r="Y745" s="23" t="n">
        <f aca="false">IF(AND(ISNUMBER(C745),ISNUMBER(D745)),D745-C745,"")</f>
        <v>4</v>
      </c>
      <c r="Z745" s="23" t="n">
        <f aca="false">IF(B745="","",IF(MATCH(B745,$B$2:$B$12000,0)=ROW()-1,1,0))</f>
        <v>0</v>
      </c>
    </row>
    <row r="746" customFormat="false" ht="15" hidden="false" customHeight="false" outlineLevel="0" collapsed="false">
      <c r="A746" s="20" t="n">
        <v>745</v>
      </c>
      <c r="B746" s="20" t="s">
        <v>1996</v>
      </c>
      <c r="C746" s="21" t="n">
        <v>43042</v>
      </c>
      <c r="D746" s="21" t="n">
        <v>43046</v>
      </c>
      <c r="E746" s="20" t="s">
        <v>58</v>
      </c>
      <c r="F746" s="20" t="s">
        <v>83</v>
      </c>
      <c r="G746" s="20" t="s">
        <v>84</v>
      </c>
      <c r="H746" s="20" t="s">
        <v>85</v>
      </c>
      <c r="I746" s="20" t="s">
        <v>62</v>
      </c>
      <c r="J746" s="20" t="s">
        <v>63</v>
      </c>
      <c r="K746" s="20" t="s">
        <v>215</v>
      </c>
      <c r="L746" s="20" t="n">
        <v>61794</v>
      </c>
      <c r="M746" s="20" t="s">
        <v>112</v>
      </c>
      <c r="N746" s="20" t="s">
        <v>2000</v>
      </c>
      <c r="O746" s="20" t="s">
        <v>76</v>
      </c>
      <c r="P746" s="20" t="s">
        <v>236</v>
      </c>
      <c r="Q746" s="20" t="s">
        <v>1381</v>
      </c>
      <c r="R746" s="22" t="n">
        <v>94.53</v>
      </c>
      <c r="S746" s="20" t="n">
        <v>5</v>
      </c>
      <c r="T746" s="20" t="n">
        <v>0.3</v>
      </c>
      <c r="U746" s="22" t="n">
        <v>14.88</v>
      </c>
      <c r="V746" s="23" t="n">
        <f aca="false">IF(ISNUMBER(C746),YEAR(C746),"")</f>
        <v>2017</v>
      </c>
      <c r="W746" s="23" t="n">
        <f aca="false">IF(ISNUMBER(C746),MONTH(C746),"")</f>
        <v>11</v>
      </c>
      <c r="X746" s="23" t="str">
        <f aca="false">IF(T746="","",IF(T746=0,"No discount",IF(T746&lt;=0.2,"Low (1-20%)",IF(T746&lt;=0.4,"Medium (21-40%)","High (&gt;40%)"))))</f>
        <v>Medium (21-40%)</v>
      </c>
      <c r="Y746" s="23" t="n">
        <f aca="false">IF(AND(ISNUMBER(C746),ISNUMBER(D746)),D746-C746,"")</f>
        <v>4</v>
      </c>
      <c r="Z746" s="23" t="n">
        <f aca="false">IF(B746="","",IF(MATCH(B746,$B$2:$B$12000,0)=ROW()-1,1,0))</f>
        <v>0</v>
      </c>
    </row>
    <row r="747" customFormat="false" ht="15" hidden="false" customHeight="false" outlineLevel="0" collapsed="false">
      <c r="A747" s="20" t="n">
        <v>746</v>
      </c>
      <c r="B747" s="20" t="s">
        <v>2001</v>
      </c>
      <c r="C747" s="21" t="n">
        <v>43045</v>
      </c>
      <c r="D747" s="21" t="n">
        <v>43047</v>
      </c>
      <c r="E747" s="20" t="s">
        <v>71</v>
      </c>
      <c r="F747" s="20" t="s">
        <v>582</v>
      </c>
      <c r="G747" s="20" t="s">
        <v>583</v>
      </c>
      <c r="H747" s="20" t="s">
        <v>61</v>
      </c>
      <c r="I747" s="20" t="s">
        <v>62</v>
      </c>
      <c r="J747" s="20" t="s">
        <v>63</v>
      </c>
      <c r="K747" s="20" t="s">
        <v>360</v>
      </c>
      <c r="L747" s="20" t="n">
        <v>67143</v>
      </c>
      <c r="M747" s="20" t="s">
        <v>112</v>
      </c>
      <c r="N747" s="20" t="s">
        <v>2002</v>
      </c>
      <c r="O747" s="20" t="s">
        <v>76</v>
      </c>
      <c r="P747" s="20" t="s">
        <v>185</v>
      </c>
      <c r="Q747" s="20" t="s">
        <v>886</v>
      </c>
      <c r="R747" s="22" t="n">
        <v>2.15</v>
      </c>
      <c r="S747" s="20" t="n">
        <v>2</v>
      </c>
      <c r="T747" s="20" t="n">
        <v>0.7</v>
      </c>
      <c r="U747" s="22" t="n">
        <v>-0.31</v>
      </c>
      <c r="V747" s="23" t="n">
        <f aca="false">IF(ISNUMBER(C747),YEAR(C747),"")</f>
        <v>2017</v>
      </c>
      <c r="W747" s="23" t="n">
        <f aca="false">IF(ISNUMBER(C747),MONTH(C747),"")</f>
        <v>11</v>
      </c>
      <c r="X747" s="23" t="str">
        <f aca="false">IF(T747="","",IF(T747=0,"No discount",IF(T747&lt;=0.2,"Low (1-20%)",IF(T747&lt;=0.4,"Medium (21-40%)","High (&gt;40%)"))))</f>
        <v>High (&gt;40%)</v>
      </c>
      <c r="Y747" s="23" t="n">
        <f aca="false">IF(AND(ISNUMBER(C747),ISNUMBER(D747)),D747-C747,"")</f>
        <v>2</v>
      </c>
      <c r="Z747" s="23" t="n">
        <f aca="false">IF(B747="","",IF(MATCH(B747,$B$2:$B$12000,0)=ROW()-1,1,0))</f>
        <v>1</v>
      </c>
    </row>
    <row r="748" customFormat="false" ht="15" hidden="false" customHeight="false" outlineLevel="0" collapsed="false">
      <c r="A748" s="20" t="n">
        <v>747</v>
      </c>
      <c r="B748" s="20" t="s">
        <v>2001</v>
      </c>
      <c r="C748" s="21" t="n">
        <v>43045</v>
      </c>
      <c r="D748" s="21" t="n">
        <v>43047</v>
      </c>
      <c r="E748" s="20" t="s">
        <v>71</v>
      </c>
      <c r="F748" s="20" t="s">
        <v>582</v>
      </c>
      <c r="G748" s="20" t="s">
        <v>583</v>
      </c>
      <c r="H748" s="20" t="s">
        <v>61</v>
      </c>
      <c r="I748" s="20" t="s">
        <v>62</v>
      </c>
      <c r="J748" s="20" t="s">
        <v>63</v>
      </c>
      <c r="K748" s="20" t="s">
        <v>360</v>
      </c>
      <c r="L748" s="20" t="n">
        <v>65119</v>
      </c>
      <c r="M748" s="20" t="s">
        <v>112</v>
      </c>
      <c r="N748" s="20" t="s">
        <v>2003</v>
      </c>
      <c r="O748" s="20" t="s">
        <v>114</v>
      </c>
      <c r="P748" s="20" t="s">
        <v>167</v>
      </c>
      <c r="Q748" s="20" t="s">
        <v>2004</v>
      </c>
      <c r="R748" s="22" t="n">
        <v>1677.3</v>
      </c>
      <c r="S748" s="20" t="n">
        <v>4</v>
      </c>
      <c r="T748" s="20" t="n">
        <v>0.2</v>
      </c>
      <c r="U748" s="22" t="n">
        <v>-368.86</v>
      </c>
      <c r="V748" s="23" t="n">
        <f aca="false">IF(ISNUMBER(C748),YEAR(C748),"")</f>
        <v>2017</v>
      </c>
      <c r="W748" s="23" t="n">
        <f aca="false">IF(ISNUMBER(C748),MONTH(C748),"")</f>
        <v>11</v>
      </c>
      <c r="X748" s="23" t="str">
        <f aca="false">IF(T748="","",IF(T748=0,"No discount",IF(T748&lt;=0.2,"Low (1-20%)",IF(T748&lt;=0.4,"Medium (21-40%)","High (&gt;40%)"))))</f>
        <v>Low (1-20%)</v>
      </c>
      <c r="Y748" s="23" t="n">
        <f aca="false">IF(AND(ISNUMBER(C748),ISNUMBER(D748)),D748-C748,"")</f>
        <v>2</v>
      </c>
      <c r="Z748" s="23" t="n">
        <f aca="false">IF(B748="","",IF(MATCH(B748,$B$2:$B$12000,0)=ROW()-1,1,0))</f>
        <v>0</v>
      </c>
    </row>
    <row r="749" customFormat="false" ht="15" hidden="false" customHeight="false" outlineLevel="0" collapsed="false">
      <c r="A749" s="20" t="n">
        <v>748</v>
      </c>
      <c r="B749" s="20" t="s">
        <v>2005</v>
      </c>
      <c r="C749" s="21" t="n">
        <v>43047</v>
      </c>
      <c r="D749" s="21" t="n">
        <v>43048</v>
      </c>
      <c r="E749" s="20" t="s">
        <v>71</v>
      </c>
      <c r="F749" s="20" t="s">
        <v>964</v>
      </c>
      <c r="G749" s="20" t="s">
        <v>965</v>
      </c>
      <c r="H749" s="20" t="s">
        <v>85</v>
      </c>
      <c r="I749" s="20" t="s">
        <v>62</v>
      </c>
      <c r="J749" s="20" t="s">
        <v>63</v>
      </c>
      <c r="K749" s="20" t="s">
        <v>487</v>
      </c>
      <c r="L749" s="20" t="n">
        <v>18822</v>
      </c>
      <c r="M749" s="20" t="s">
        <v>65</v>
      </c>
      <c r="N749" s="20" t="s">
        <v>2006</v>
      </c>
      <c r="O749" s="20" t="s">
        <v>67</v>
      </c>
      <c r="P749" s="20" t="s">
        <v>68</v>
      </c>
      <c r="Q749" s="20" t="s">
        <v>2007</v>
      </c>
      <c r="R749" s="22" t="n">
        <v>8263.78</v>
      </c>
      <c r="S749" s="20" t="n">
        <v>3</v>
      </c>
      <c r="T749" s="20" t="n">
        <v>0</v>
      </c>
      <c r="U749" s="22" t="n">
        <v>1875.4</v>
      </c>
      <c r="V749" s="23" t="n">
        <f aca="false">IF(ISNUMBER(C749),YEAR(C749),"")</f>
        <v>2017</v>
      </c>
      <c r="W749" s="23" t="n">
        <f aca="false">IF(ISNUMBER(C749),MONTH(C749),"")</f>
        <v>11</v>
      </c>
      <c r="X749" s="23" t="str">
        <f aca="false">IF(T749="","",IF(T749=0,"No discount",IF(T749&lt;=0.2,"Low (1-20%)",IF(T749&lt;=0.4,"Medium (21-40%)","High (&gt;40%)"))))</f>
        <v>No discount</v>
      </c>
      <c r="Y749" s="23" t="n">
        <f aca="false">IF(AND(ISNUMBER(C749),ISNUMBER(D749)),D749-C749,"")</f>
        <v>1</v>
      </c>
      <c r="Z749" s="23" t="n">
        <f aca="false">IF(B749="","",IF(MATCH(B749,$B$2:$B$12000,0)=ROW()-1,1,0))</f>
        <v>1</v>
      </c>
    </row>
    <row r="750" customFormat="false" ht="15" hidden="false" customHeight="false" outlineLevel="0" collapsed="false">
      <c r="A750" s="20" t="n">
        <v>749</v>
      </c>
      <c r="B750" s="20" t="s">
        <v>2008</v>
      </c>
      <c r="C750" s="21" t="n">
        <v>43048</v>
      </c>
      <c r="D750" s="21" t="n">
        <v>43051</v>
      </c>
      <c r="E750" s="20" t="s">
        <v>104</v>
      </c>
      <c r="F750" s="20" t="s">
        <v>814</v>
      </c>
      <c r="G750" s="20" t="s">
        <v>815</v>
      </c>
      <c r="H750" s="20" t="s">
        <v>61</v>
      </c>
      <c r="I750" s="20" t="s">
        <v>62</v>
      </c>
      <c r="J750" s="20" t="s">
        <v>63</v>
      </c>
      <c r="K750" s="20" t="s">
        <v>275</v>
      </c>
      <c r="L750" s="20" t="n">
        <v>57976</v>
      </c>
      <c r="M750" s="20" t="s">
        <v>153</v>
      </c>
      <c r="N750" s="20" t="s">
        <v>2009</v>
      </c>
      <c r="O750" s="20" t="s">
        <v>76</v>
      </c>
      <c r="P750" s="20" t="s">
        <v>101</v>
      </c>
      <c r="Q750" s="20" t="s">
        <v>2010</v>
      </c>
      <c r="R750" s="22" t="n">
        <v>87.16</v>
      </c>
      <c r="S750" s="20" t="n">
        <v>6</v>
      </c>
      <c r="T750" s="20" t="n">
        <v>0</v>
      </c>
      <c r="U750" s="22" t="n">
        <v>40.49</v>
      </c>
      <c r="V750" s="23" t="n">
        <f aca="false">IF(ISNUMBER(C750),YEAR(C750),"")</f>
        <v>2017</v>
      </c>
      <c r="W750" s="23" t="n">
        <f aca="false">IF(ISNUMBER(C750),MONTH(C750),"")</f>
        <v>11</v>
      </c>
      <c r="X750" s="23" t="str">
        <f aca="false">IF(T750="","",IF(T750=0,"No discount",IF(T750&lt;=0.2,"Low (1-20%)",IF(T750&lt;=0.4,"Medium (21-40%)","High (&gt;40%)"))))</f>
        <v>No discount</v>
      </c>
      <c r="Y750" s="23" t="n">
        <f aca="false">IF(AND(ISNUMBER(C750),ISNUMBER(D750)),D750-C750,"")</f>
        <v>3</v>
      </c>
      <c r="Z750" s="23" t="n">
        <f aca="false">IF(B750="","",IF(MATCH(B750,$B$2:$B$12000,0)=ROW()-1,1,0))</f>
        <v>1</v>
      </c>
    </row>
    <row r="751" customFormat="false" ht="15" hidden="false" customHeight="false" outlineLevel="0" collapsed="false">
      <c r="A751" s="20" t="n">
        <v>750</v>
      </c>
      <c r="B751" s="20" t="s">
        <v>2008</v>
      </c>
      <c r="C751" s="21" t="n">
        <v>43048</v>
      </c>
      <c r="D751" s="21" t="n">
        <v>43051</v>
      </c>
      <c r="E751" s="20" t="s">
        <v>90</v>
      </c>
      <c r="F751" s="20" t="s">
        <v>814</v>
      </c>
      <c r="G751" s="20" t="s">
        <v>815</v>
      </c>
      <c r="H751" s="20" t="s">
        <v>61</v>
      </c>
      <c r="I751" s="20" t="s">
        <v>62</v>
      </c>
      <c r="J751" s="20" t="s">
        <v>63</v>
      </c>
      <c r="K751" s="20" t="s">
        <v>275</v>
      </c>
      <c r="L751" s="20" t="n">
        <v>87590</v>
      </c>
      <c r="M751" s="20" t="s">
        <v>153</v>
      </c>
      <c r="N751" s="20" t="s">
        <v>2011</v>
      </c>
      <c r="O751" s="20" t="s">
        <v>76</v>
      </c>
      <c r="P751" s="20" t="s">
        <v>236</v>
      </c>
      <c r="Q751" s="20" t="s">
        <v>2012</v>
      </c>
      <c r="R751" s="22" t="n">
        <v>119.55</v>
      </c>
      <c r="S751" s="20" t="n">
        <v>6</v>
      </c>
      <c r="T751" s="20" t="n">
        <v>0</v>
      </c>
      <c r="U751" s="22" t="n">
        <v>50.59</v>
      </c>
      <c r="V751" s="23" t="n">
        <f aca="false">IF(ISNUMBER(C751),YEAR(C751),"")</f>
        <v>2017</v>
      </c>
      <c r="W751" s="23" t="n">
        <f aca="false">IF(ISNUMBER(C751),MONTH(C751),"")</f>
        <v>11</v>
      </c>
      <c r="X751" s="23" t="str">
        <f aca="false">IF(T751="","",IF(T751=0,"No discount",IF(T751&lt;=0.2,"Low (1-20%)",IF(T751&lt;=0.4,"Medium (21-40%)","High (&gt;40%)"))))</f>
        <v>No discount</v>
      </c>
      <c r="Y751" s="23" t="n">
        <f aca="false">IF(AND(ISNUMBER(C751),ISNUMBER(D751)),D751-C751,"")</f>
        <v>3</v>
      </c>
      <c r="Z751" s="23" t="n">
        <f aca="false">IF(B751="","",IF(MATCH(B751,$B$2:$B$12000,0)=ROW()-1,1,0))</f>
        <v>0</v>
      </c>
    </row>
    <row r="752" customFormat="false" ht="15" hidden="false" customHeight="false" outlineLevel="0" collapsed="false">
      <c r="A752" s="20" t="n">
        <v>751</v>
      </c>
      <c r="B752" s="20" t="s">
        <v>2013</v>
      </c>
      <c r="C752" s="21" t="n">
        <v>43049</v>
      </c>
      <c r="D752" s="21" t="n">
        <v>43051</v>
      </c>
      <c r="E752" s="20" t="s">
        <v>104</v>
      </c>
      <c r="F752" s="20" t="s">
        <v>314</v>
      </c>
      <c r="G752" s="20" t="s">
        <v>315</v>
      </c>
      <c r="H752" s="20" t="s">
        <v>61</v>
      </c>
      <c r="I752" s="20" t="s">
        <v>62</v>
      </c>
      <c r="J752" s="20" t="s">
        <v>63</v>
      </c>
      <c r="K752" s="20" t="s">
        <v>647</v>
      </c>
      <c r="L752" s="20" t="n">
        <v>58999</v>
      </c>
      <c r="M752" s="20" t="s">
        <v>97</v>
      </c>
      <c r="N752" s="20" t="s">
        <v>2014</v>
      </c>
      <c r="O752" s="20" t="s">
        <v>67</v>
      </c>
      <c r="P752" s="20" t="s">
        <v>106</v>
      </c>
      <c r="Q752" s="20" t="s">
        <v>2015</v>
      </c>
      <c r="R752" s="22" t="n">
        <v>1633.58</v>
      </c>
      <c r="S752" s="20" t="n">
        <v>4</v>
      </c>
      <c r="T752" s="20" t="n">
        <v>0</v>
      </c>
      <c r="U752" s="22" t="n">
        <v>115.27</v>
      </c>
      <c r="V752" s="23" t="n">
        <f aca="false">IF(ISNUMBER(C752),YEAR(C752),"")</f>
        <v>2017</v>
      </c>
      <c r="W752" s="23" t="n">
        <f aca="false">IF(ISNUMBER(C752),MONTH(C752),"")</f>
        <v>11</v>
      </c>
      <c r="X752" s="23" t="str">
        <f aca="false">IF(T752="","",IF(T752=0,"No discount",IF(T752&lt;=0.2,"Low (1-20%)",IF(T752&lt;=0.4,"Medium (21-40%)","High (&gt;40%)"))))</f>
        <v>No discount</v>
      </c>
      <c r="Y752" s="23" t="n">
        <f aca="false">IF(AND(ISNUMBER(C752),ISNUMBER(D752)),D752-C752,"")</f>
        <v>2</v>
      </c>
      <c r="Z752" s="23" t="n">
        <f aca="false">IF(B752="","",IF(MATCH(B752,$B$2:$B$12000,0)=ROW()-1,1,0))</f>
        <v>1</v>
      </c>
    </row>
    <row r="753" customFormat="false" ht="15" hidden="false" customHeight="false" outlineLevel="0" collapsed="false">
      <c r="A753" s="20" t="n">
        <v>752</v>
      </c>
      <c r="B753" s="20" t="s">
        <v>2016</v>
      </c>
      <c r="C753" s="21" t="n">
        <v>43052</v>
      </c>
      <c r="D753" s="21" t="n">
        <v>43054</v>
      </c>
      <c r="E753" s="20" t="s">
        <v>71</v>
      </c>
      <c r="F753" s="20" t="s">
        <v>118</v>
      </c>
      <c r="G753" s="20" t="s">
        <v>119</v>
      </c>
      <c r="H753" s="20" t="s">
        <v>61</v>
      </c>
      <c r="I753" s="20" t="s">
        <v>62</v>
      </c>
      <c r="J753" s="20" t="s">
        <v>63</v>
      </c>
      <c r="K753" s="20" t="s">
        <v>360</v>
      </c>
      <c r="L753" s="20" t="n">
        <v>50299</v>
      </c>
      <c r="M753" s="20" t="s">
        <v>112</v>
      </c>
      <c r="N753" s="20" t="s">
        <v>2017</v>
      </c>
      <c r="O753" s="20" t="s">
        <v>114</v>
      </c>
      <c r="P753" s="20" t="s">
        <v>210</v>
      </c>
      <c r="Q753" s="20" t="s">
        <v>2018</v>
      </c>
      <c r="R753" s="22" t="n">
        <v>162.65</v>
      </c>
      <c r="S753" s="20" t="n">
        <v>6</v>
      </c>
      <c r="T753" s="20" t="n">
        <v>0</v>
      </c>
      <c r="U753" s="22" t="n">
        <v>31.28</v>
      </c>
      <c r="V753" s="23" t="n">
        <f aca="false">IF(ISNUMBER(C753),YEAR(C753),"")</f>
        <v>2017</v>
      </c>
      <c r="W753" s="23" t="n">
        <f aca="false">IF(ISNUMBER(C753),MONTH(C753),"")</f>
        <v>11</v>
      </c>
      <c r="X753" s="23" t="str">
        <f aca="false">IF(T753="","",IF(T753=0,"No discount",IF(T753&lt;=0.2,"Low (1-20%)",IF(T753&lt;=0.4,"Medium (21-40%)","High (&gt;40%)"))))</f>
        <v>No discount</v>
      </c>
      <c r="Y753" s="23" t="n">
        <f aca="false">IF(AND(ISNUMBER(C753),ISNUMBER(D753)),D753-C753,"")</f>
        <v>2</v>
      </c>
      <c r="Z753" s="23" t="n">
        <f aca="false">IF(B753="","",IF(MATCH(B753,$B$2:$B$12000,0)=ROW()-1,1,0))</f>
        <v>1</v>
      </c>
    </row>
    <row r="754" customFormat="false" ht="15" hidden="false" customHeight="false" outlineLevel="0" collapsed="false">
      <c r="A754" s="20" t="n">
        <v>753</v>
      </c>
      <c r="B754" s="20" t="s">
        <v>2016</v>
      </c>
      <c r="C754" s="21" t="n">
        <v>43052</v>
      </c>
      <c r="D754" s="21" t="n">
        <v>43054</v>
      </c>
      <c r="E754" s="20" t="s">
        <v>58</v>
      </c>
      <c r="F754" s="20" t="s">
        <v>118</v>
      </c>
      <c r="G754" s="20" t="s">
        <v>119</v>
      </c>
      <c r="H754" s="20" t="s">
        <v>61</v>
      </c>
      <c r="I754" s="20" t="s">
        <v>62</v>
      </c>
      <c r="J754" s="20" t="s">
        <v>63</v>
      </c>
      <c r="K754" s="20" t="s">
        <v>360</v>
      </c>
      <c r="L754" s="20" t="n">
        <v>84399</v>
      </c>
      <c r="M754" s="20" t="s">
        <v>112</v>
      </c>
      <c r="N754" s="20" t="s">
        <v>2019</v>
      </c>
      <c r="O754" s="20" t="s">
        <v>114</v>
      </c>
      <c r="P754" s="20" t="s">
        <v>210</v>
      </c>
      <c r="Q754" s="20" t="s">
        <v>2020</v>
      </c>
      <c r="R754" s="22" t="n">
        <v>29.21</v>
      </c>
      <c r="S754" s="20" t="n">
        <v>1</v>
      </c>
      <c r="T754" s="20" t="n">
        <v>0.7</v>
      </c>
      <c r="U754" s="22" t="n">
        <v>-9.29</v>
      </c>
      <c r="V754" s="23" t="n">
        <f aca="false">IF(ISNUMBER(C754),YEAR(C754),"")</f>
        <v>2017</v>
      </c>
      <c r="W754" s="23" t="n">
        <f aca="false">IF(ISNUMBER(C754),MONTH(C754),"")</f>
        <v>11</v>
      </c>
      <c r="X754" s="23" t="str">
        <f aca="false">IF(T754="","",IF(T754=0,"No discount",IF(T754&lt;=0.2,"Low (1-20%)",IF(T754&lt;=0.4,"Medium (21-40%)","High (&gt;40%)"))))</f>
        <v>High (&gt;40%)</v>
      </c>
      <c r="Y754" s="23" t="n">
        <f aca="false">IF(AND(ISNUMBER(C754),ISNUMBER(D754)),D754-C754,"")</f>
        <v>2</v>
      </c>
      <c r="Z754" s="23" t="n">
        <f aca="false">IF(B754="","",IF(MATCH(B754,$B$2:$B$12000,0)=ROW()-1,1,0))</f>
        <v>0</v>
      </c>
    </row>
    <row r="755" customFormat="false" ht="15" hidden="false" customHeight="false" outlineLevel="0" collapsed="false">
      <c r="A755" s="20" t="n">
        <v>754</v>
      </c>
      <c r="B755" s="20" t="s">
        <v>2021</v>
      </c>
      <c r="C755" s="21" t="n">
        <v>43053</v>
      </c>
      <c r="D755" s="21" t="n">
        <v>43060</v>
      </c>
      <c r="E755" s="20" t="s">
        <v>90</v>
      </c>
      <c r="F755" s="20" t="s">
        <v>264</v>
      </c>
      <c r="G755" s="20" t="s">
        <v>265</v>
      </c>
      <c r="H755" s="20" t="s">
        <v>61</v>
      </c>
      <c r="I755" s="20" t="s">
        <v>62</v>
      </c>
      <c r="J755" s="20" t="s">
        <v>63</v>
      </c>
      <c r="K755" s="20" t="s">
        <v>254</v>
      </c>
      <c r="L755" s="20" t="n">
        <v>53882</v>
      </c>
      <c r="M755" s="20" t="s">
        <v>112</v>
      </c>
      <c r="N755" s="20" t="s">
        <v>2022</v>
      </c>
      <c r="O755" s="20" t="s">
        <v>76</v>
      </c>
      <c r="P755" s="20" t="s">
        <v>101</v>
      </c>
      <c r="Q755" s="20" t="s">
        <v>290</v>
      </c>
      <c r="R755" s="22" t="n">
        <v>85.77</v>
      </c>
      <c r="S755" s="20" t="n">
        <v>8</v>
      </c>
      <c r="T755" s="20" t="n">
        <v>0.5</v>
      </c>
      <c r="U755" s="22" t="n">
        <v>15.11</v>
      </c>
      <c r="V755" s="23" t="n">
        <f aca="false">IF(ISNUMBER(C755),YEAR(C755),"")</f>
        <v>2017</v>
      </c>
      <c r="W755" s="23" t="n">
        <f aca="false">IF(ISNUMBER(C755),MONTH(C755),"")</f>
        <v>11</v>
      </c>
      <c r="X755" s="23" t="str">
        <f aca="false">IF(T755="","",IF(T755=0,"No discount",IF(T755&lt;=0.2,"Low (1-20%)",IF(T755&lt;=0.4,"Medium (21-40%)","High (&gt;40%)"))))</f>
        <v>High (&gt;40%)</v>
      </c>
      <c r="Y755" s="23" t="n">
        <f aca="false">IF(AND(ISNUMBER(C755),ISNUMBER(D755)),D755-C755,"")</f>
        <v>7</v>
      </c>
      <c r="Z755" s="23" t="n">
        <f aca="false">IF(B755="","",IF(MATCH(B755,$B$2:$B$12000,0)=ROW()-1,1,0))</f>
        <v>1</v>
      </c>
    </row>
    <row r="756" customFormat="false" ht="15" hidden="false" customHeight="false" outlineLevel="0" collapsed="false">
      <c r="A756" s="20" t="n">
        <v>755</v>
      </c>
      <c r="B756" s="20" t="s">
        <v>2021</v>
      </c>
      <c r="C756" s="21" t="n">
        <v>43053</v>
      </c>
      <c r="D756" s="21" t="n">
        <v>43060</v>
      </c>
      <c r="E756" s="20" t="s">
        <v>71</v>
      </c>
      <c r="F756" s="20" t="s">
        <v>264</v>
      </c>
      <c r="G756" s="20" t="s">
        <v>265</v>
      </c>
      <c r="H756" s="20" t="s">
        <v>61</v>
      </c>
      <c r="I756" s="20" t="s">
        <v>62</v>
      </c>
      <c r="J756" s="20" t="s">
        <v>63</v>
      </c>
      <c r="K756" s="20" t="s">
        <v>254</v>
      </c>
      <c r="L756" s="20" t="n">
        <v>81481</v>
      </c>
      <c r="M756" s="20" t="s">
        <v>112</v>
      </c>
      <c r="N756" s="20" t="s">
        <v>2023</v>
      </c>
      <c r="O756" s="20" t="s">
        <v>76</v>
      </c>
      <c r="P756" s="20" t="s">
        <v>236</v>
      </c>
      <c r="Q756" s="20" t="s">
        <v>2024</v>
      </c>
      <c r="R756" s="22" t="n">
        <v>33.59</v>
      </c>
      <c r="S756" s="20" t="n">
        <v>1</v>
      </c>
      <c r="T756" s="20" t="n">
        <v>0</v>
      </c>
      <c r="U756" s="22" t="n">
        <v>11.7</v>
      </c>
      <c r="V756" s="23" t="n">
        <f aca="false">IF(ISNUMBER(C756),YEAR(C756),"")</f>
        <v>2017</v>
      </c>
      <c r="W756" s="23" t="n">
        <f aca="false">IF(ISNUMBER(C756),MONTH(C756),"")</f>
        <v>11</v>
      </c>
      <c r="X756" s="23" t="str">
        <f aca="false">IF(T756="","",IF(T756=0,"No discount",IF(T756&lt;=0.2,"Low (1-20%)",IF(T756&lt;=0.4,"Medium (21-40%)","High (&gt;40%)"))))</f>
        <v>No discount</v>
      </c>
      <c r="Y756" s="23" t="n">
        <f aca="false">IF(AND(ISNUMBER(C756),ISNUMBER(D756)),D756-C756,"")</f>
        <v>7</v>
      </c>
      <c r="Z756" s="23" t="n">
        <f aca="false">IF(B756="","",IF(MATCH(B756,$B$2:$B$12000,0)=ROW()-1,1,0))</f>
        <v>0</v>
      </c>
    </row>
    <row r="757" customFormat="false" ht="15" hidden="false" customHeight="false" outlineLevel="0" collapsed="false">
      <c r="A757" s="20" t="n">
        <v>756</v>
      </c>
      <c r="B757" s="20" t="s">
        <v>2021</v>
      </c>
      <c r="C757" s="21" t="n">
        <v>43053</v>
      </c>
      <c r="D757" s="21" t="n">
        <v>43060</v>
      </c>
      <c r="E757" s="20" t="s">
        <v>90</v>
      </c>
      <c r="F757" s="20" t="s">
        <v>264</v>
      </c>
      <c r="G757" s="20" t="s">
        <v>265</v>
      </c>
      <c r="H757" s="20" t="s">
        <v>61</v>
      </c>
      <c r="I757" s="20" t="s">
        <v>62</v>
      </c>
      <c r="J757" s="20" t="s">
        <v>63</v>
      </c>
      <c r="K757" s="20" t="s">
        <v>254</v>
      </c>
      <c r="L757" s="20" t="n">
        <v>65203</v>
      </c>
      <c r="M757" s="20" t="s">
        <v>112</v>
      </c>
      <c r="N757" s="20" t="s">
        <v>2025</v>
      </c>
      <c r="O757" s="20" t="s">
        <v>114</v>
      </c>
      <c r="P757" s="20" t="s">
        <v>115</v>
      </c>
      <c r="Q757" s="20" t="s">
        <v>362</v>
      </c>
      <c r="R757" s="22" t="n">
        <v>2550.22</v>
      </c>
      <c r="S757" s="20" t="n">
        <v>6</v>
      </c>
      <c r="T757" s="20" t="n">
        <v>0.2</v>
      </c>
      <c r="U757" s="22" t="n">
        <v>58.29</v>
      </c>
      <c r="V757" s="23" t="n">
        <f aca="false">IF(ISNUMBER(C757),YEAR(C757),"")</f>
        <v>2017</v>
      </c>
      <c r="W757" s="23" t="n">
        <f aca="false">IF(ISNUMBER(C757),MONTH(C757),"")</f>
        <v>11</v>
      </c>
      <c r="X757" s="23" t="str">
        <f aca="false">IF(T757="","",IF(T757=0,"No discount",IF(T757&lt;=0.2,"Low (1-20%)",IF(T757&lt;=0.4,"Medium (21-40%)","High (&gt;40%)"))))</f>
        <v>Low (1-20%)</v>
      </c>
      <c r="Y757" s="23" t="n">
        <f aca="false">IF(AND(ISNUMBER(C757),ISNUMBER(D757)),D757-C757,"")</f>
        <v>7</v>
      </c>
      <c r="Z757" s="23" t="n">
        <f aca="false">IF(B757="","",IF(MATCH(B757,$B$2:$B$12000,0)=ROW()-1,1,0))</f>
        <v>0</v>
      </c>
    </row>
    <row r="758" customFormat="false" ht="15" hidden="false" customHeight="false" outlineLevel="0" collapsed="false">
      <c r="A758" s="20" t="n">
        <v>757</v>
      </c>
      <c r="B758" s="20" t="s">
        <v>2026</v>
      </c>
      <c r="C758" s="21" t="n">
        <v>43053</v>
      </c>
      <c r="D758" s="21" t="n">
        <v>43055</v>
      </c>
      <c r="E758" s="20" t="s">
        <v>90</v>
      </c>
      <c r="F758" s="20" t="s">
        <v>286</v>
      </c>
      <c r="G758" s="20" t="s">
        <v>287</v>
      </c>
      <c r="H758" s="20" t="s">
        <v>61</v>
      </c>
      <c r="I758" s="20" t="s">
        <v>62</v>
      </c>
      <c r="J758" s="20" t="s">
        <v>63</v>
      </c>
      <c r="K758" s="20" t="s">
        <v>518</v>
      </c>
      <c r="L758" s="20" t="n">
        <v>66212</v>
      </c>
      <c r="M758" s="20" t="s">
        <v>153</v>
      </c>
      <c r="N758" s="20" t="s">
        <v>2027</v>
      </c>
      <c r="O758" s="20" t="s">
        <v>76</v>
      </c>
      <c r="P758" s="20" t="s">
        <v>122</v>
      </c>
      <c r="Q758" s="20" t="s">
        <v>699</v>
      </c>
      <c r="R758" s="22" t="n">
        <v>186.47</v>
      </c>
      <c r="S758" s="20" t="n">
        <v>8</v>
      </c>
      <c r="T758" s="20" t="n">
        <v>0.3</v>
      </c>
      <c r="U758" s="22" t="n">
        <v>24.6</v>
      </c>
      <c r="V758" s="23" t="n">
        <f aca="false">IF(ISNUMBER(C758),YEAR(C758),"")</f>
        <v>2017</v>
      </c>
      <c r="W758" s="23" t="n">
        <f aca="false">IF(ISNUMBER(C758),MONTH(C758),"")</f>
        <v>11</v>
      </c>
      <c r="X758" s="23" t="str">
        <f aca="false">IF(T758="","",IF(T758=0,"No discount",IF(T758&lt;=0.2,"Low (1-20%)",IF(T758&lt;=0.4,"Medium (21-40%)","High (&gt;40%)"))))</f>
        <v>Medium (21-40%)</v>
      </c>
      <c r="Y758" s="23" t="n">
        <f aca="false">IF(AND(ISNUMBER(C758),ISNUMBER(D758)),D758-C758,"")</f>
        <v>2</v>
      </c>
      <c r="Z758" s="23" t="n">
        <f aca="false">IF(B758="","",IF(MATCH(B758,$B$2:$B$12000,0)=ROW()-1,1,0))</f>
        <v>1</v>
      </c>
    </row>
    <row r="759" customFormat="false" ht="15" hidden="false" customHeight="false" outlineLevel="0" collapsed="false">
      <c r="A759" s="20" t="n">
        <v>758</v>
      </c>
      <c r="B759" s="20" t="s">
        <v>2026</v>
      </c>
      <c r="C759" s="21" t="n">
        <v>43053</v>
      </c>
      <c r="D759" s="21" t="n">
        <v>43055</v>
      </c>
      <c r="E759" s="20" t="s">
        <v>104</v>
      </c>
      <c r="F759" s="20" t="s">
        <v>286</v>
      </c>
      <c r="G759" s="20" t="s">
        <v>287</v>
      </c>
      <c r="H759" s="20" t="s">
        <v>61</v>
      </c>
      <c r="I759" s="20" t="s">
        <v>62</v>
      </c>
      <c r="J759" s="20" t="s">
        <v>63</v>
      </c>
      <c r="K759" s="20" t="s">
        <v>518</v>
      </c>
      <c r="L759" s="20" t="n">
        <v>49419</v>
      </c>
      <c r="M759" s="20" t="s">
        <v>153</v>
      </c>
      <c r="N759" s="20" t="s">
        <v>2028</v>
      </c>
      <c r="O759" s="20" t="s">
        <v>114</v>
      </c>
      <c r="P759" s="20" t="s">
        <v>115</v>
      </c>
      <c r="Q759" s="20" t="s">
        <v>1523</v>
      </c>
      <c r="R759" s="22" t="n">
        <v>1314.7</v>
      </c>
      <c r="S759" s="20" t="n">
        <v>4</v>
      </c>
      <c r="T759" s="20" t="n">
        <v>0</v>
      </c>
      <c r="U759" s="22" t="n">
        <v>188.95</v>
      </c>
      <c r="V759" s="23" t="n">
        <f aca="false">IF(ISNUMBER(C759),YEAR(C759),"")</f>
        <v>2017</v>
      </c>
      <c r="W759" s="23" t="n">
        <f aca="false">IF(ISNUMBER(C759),MONTH(C759),"")</f>
        <v>11</v>
      </c>
      <c r="X759" s="23" t="str">
        <f aca="false">IF(T759="","",IF(T759=0,"No discount",IF(T759&lt;=0.2,"Low (1-20%)",IF(T759&lt;=0.4,"Medium (21-40%)","High (&gt;40%)"))))</f>
        <v>No discount</v>
      </c>
      <c r="Y759" s="23" t="n">
        <f aca="false">IF(AND(ISNUMBER(C759),ISNUMBER(D759)),D759-C759,"")</f>
        <v>2</v>
      </c>
      <c r="Z759" s="23" t="n">
        <f aca="false">IF(B759="","",IF(MATCH(B759,$B$2:$B$12000,0)=ROW()-1,1,0))</f>
        <v>0</v>
      </c>
    </row>
    <row r="760" customFormat="false" ht="15" hidden="false" customHeight="false" outlineLevel="0" collapsed="false">
      <c r="A760" s="20" t="n">
        <v>759</v>
      </c>
      <c r="B760" s="20" t="s">
        <v>2029</v>
      </c>
      <c r="C760" s="21" t="n">
        <v>43055</v>
      </c>
      <c r="D760" s="21" t="n">
        <v>43060</v>
      </c>
      <c r="E760" s="20" t="s">
        <v>58</v>
      </c>
      <c r="F760" s="20" t="s">
        <v>144</v>
      </c>
      <c r="G760" s="20" t="s">
        <v>145</v>
      </c>
      <c r="H760" s="20" t="s">
        <v>85</v>
      </c>
      <c r="I760" s="20" t="s">
        <v>62</v>
      </c>
      <c r="J760" s="20" t="s">
        <v>63</v>
      </c>
      <c r="K760" s="20" t="s">
        <v>335</v>
      </c>
      <c r="L760" s="20" t="n">
        <v>97037</v>
      </c>
      <c r="M760" s="20" t="s">
        <v>65</v>
      </c>
      <c r="N760" s="20" t="s">
        <v>2030</v>
      </c>
      <c r="O760" s="20" t="s">
        <v>76</v>
      </c>
      <c r="P760" s="20" t="s">
        <v>77</v>
      </c>
      <c r="Q760" s="20" t="s">
        <v>2031</v>
      </c>
      <c r="R760" s="22" t="n">
        <v>26.31</v>
      </c>
      <c r="S760" s="20" t="n">
        <v>5</v>
      </c>
      <c r="T760" s="20" t="n">
        <v>0</v>
      </c>
      <c r="U760" s="22" t="n">
        <v>7.85</v>
      </c>
      <c r="V760" s="23" t="n">
        <f aca="false">IF(ISNUMBER(C760),YEAR(C760),"")</f>
        <v>2017</v>
      </c>
      <c r="W760" s="23" t="n">
        <f aca="false">IF(ISNUMBER(C760),MONTH(C760),"")</f>
        <v>11</v>
      </c>
      <c r="X760" s="23" t="str">
        <f aca="false">IF(T760="","",IF(T760=0,"No discount",IF(T760&lt;=0.2,"Low (1-20%)",IF(T760&lt;=0.4,"Medium (21-40%)","High (&gt;40%)"))))</f>
        <v>No discount</v>
      </c>
      <c r="Y760" s="23" t="n">
        <f aca="false">IF(AND(ISNUMBER(C760),ISNUMBER(D760)),D760-C760,"")</f>
        <v>5</v>
      </c>
      <c r="Z760" s="23" t="n">
        <f aca="false">IF(B760="","",IF(MATCH(B760,$B$2:$B$12000,0)=ROW()-1,1,0))</f>
        <v>1</v>
      </c>
    </row>
    <row r="761" customFormat="false" ht="15" hidden="false" customHeight="false" outlineLevel="0" collapsed="false">
      <c r="A761" s="20" t="n">
        <v>760</v>
      </c>
      <c r="B761" s="20" t="s">
        <v>2029</v>
      </c>
      <c r="C761" s="21" t="n">
        <v>43055</v>
      </c>
      <c r="D761" s="21" t="n">
        <v>43060</v>
      </c>
      <c r="E761" s="20" t="s">
        <v>90</v>
      </c>
      <c r="F761" s="20" t="s">
        <v>144</v>
      </c>
      <c r="G761" s="20" t="s">
        <v>145</v>
      </c>
      <c r="H761" s="20" t="s">
        <v>85</v>
      </c>
      <c r="I761" s="20" t="s">
        <v>62</v>
      </c>
      <c r="J761" s="20" t="s">
        <v>63</v>
      </c>
      <c r="K761" s="20" t="s">
        <v>335</v>
      </c>
      <c r="L761" s="20" t="n">
        <v>47841</v>
      </c>
      <c r="M761" s="20" t="s">
        <v>65</v>
      </c>
      <c r="N761" s="20" t="s">
        <v>2032</v>
      </c>
      <c r="O761" s="20" t="s">
        <v>67</v>
      </c>
      <c r="P761" s="20" t="s">
        <v>106</v>
      </c>
      <c r="Q761" s="20" t="s">
        <v>2033</v>
      </c>
      <c r="R761" s="22" t="n">
        <v>3019.79</v>
      </c>
      <c r="S761" s="20" t="n">
        <v>8</v>
      </c>
      <c r="T761" s="20" t="n">
        <v>0</v>
      </c>
      <c r="U761" s="22" t="n">
        <v>340.64</v>
      </c>
      <c r="V761" s="23" t="n">
        <f aca="false">IF(ISNUMBER(C761),YEAR(C761),"")</f>
        <v>2017</v>
      </c>
      <c r="W761" s="23" t="n">
        <f aca="false">IF(ISNUMBER(C761),MONTH(C761),"")</f>
        <v>11</v>
      </c>
      <c r="X761" s="23" t="str">
        <f aca="false">IF(T761="","",IF(T761=0,"No discount",IF(T761&lt;=0.2,"Low (1-20%)",IF(T761&lt;=0.4,"Medium (21-40%)","High (&gt;40%)"))))</f>
        <v>No discount</v>
      </c>
      <c r="Y761" s="23" t="n">
        <f aca="false">IF(AND(ISNUMBER(C761),ISNUMBER(D761)),D761-C761,"")</f>
        <v>5</v>
      </c>
      <c r="Z761" s="23" t="n">
        <f aca="false">IF(B761="","",IF(MATCH(B761,$B$2:$B$12000,0)=ROW()-1,1,0))</f>
        <v>0</v>
      </c>
    </row>
    <row r="762" customFormat="false" ht="15" hidden="false" customHeight="false" outlineLevel="0" collapsed="false">
      <c r="A762" s="20" t="n">
        <v>761</v>
      </c>
      <c r="B762" s="20" t="s">
        <v>2029</v>
      </c>
      <c r="C762" s="21" t="n">
        <v>43055</v>
      </c>
      <c r="D762" s="21" t="n">
        <v>43060</v>
      </c>
      <c r="E762" s="20" t="s">
        <v>104</v>
      </c>
      <c r="F762" s="20" t="s">
        <v>144</v>
      </c>
      <c r="G762" s="20" t="s">
        <v>145</v>
      </c>
      <c r="H762" s="20" t="s">
        <v>85</v>
      </c>
      <c r="I762" s="20" t="s">
        <v>62</v>
      </c>
      <c r="J762" s="20" t="s">
        <v>63</v>
      </c>
      <c r="K762" s="20" t="s">
        <v>335</v>
      </c>
      <c r="L762" s="20" t="n">
        <v>27676</v>
      </c>
      <c r="M762" s="20" t="s">
        <v>65</v>
      </c>
      <c r="N762" s="20" t="s">
        <v>2034</v>
      </c>
      <c r="O762" s="20" t="s">
        <v>114</v>
      </c>
      <c r="P762" s="20" t="s">
        <v>115</v>
      </c>
      <c r="Q762" s="20" t="s">
        <v>1637</v>
      </c>
      <c r="R762" s="22" t="n">
        <v>693.58</v>
      </c>
      <c r="S762" s="20" t="n">
        <v>1</v>
      </c>
      <c r="T762" s="20" t="n">
        <v>0</v>
      </c>
      <c r="U762" s="22" t="n">
        <v>80.56</v>
      </c>
      <c r="V762" s="23" t="n">
        <f aca="false">IF(ISNUMBER(C762),YEAR(C762),"")</f>
        <v>2017</v>
      </c>
      <c r="W762" s="23" t="n">
        <f aca="false">IF(ISNUMBER(C762),MONTH(C762),"")</f>
        <v>11</v>
      </c>
      <c r="X762" s="23" t="str">
        <f aca="false">IF(T762="","",IF(T762=0,"No discount",IF(T762&lt;=0.2,"Low (1-20%)",IF(T762&lt;=0.4,"Medium (21-40%)","High (&gt;40%)"))))</f>
        <v>No discount</v>
      </c>
      <c r="Y762" s="23" t="n">
        <f aca="false">IF(AND(ISNUMBER(C762),ISNUMBER(D762)),D762-C762,"")</f>
        <v>5</v>
      </c>
      <c r="Z762" s="23" t="n">
        <f aca="false">IF(B762="","",IF(MATCH(B762,$B$2:$B$12000,0)=ROW()-1,1,0))</f>
        <v>0</v>
      </c>
    </row>
    <row r="763" customFormat="false" ht="15" hidden="false" customHeight="false" outlineLevel="0" collapsed="false">
      <c r="A763" s="20" t="n">
        <v>762</v>
      </c>
      <c r="B763" s="20" t="s">
        <v>2035</v>
      </c>
      <c r="C763" s="21" t="n">
        <v>43056</v>
      </c>
      <c r="D763" s="21" t="n">
        <v>43063</v>
      </c>
      <c r="E763" s="20" t="s">
        <v>71</v>
      </c>
      <c r="F763" s="20" t="s">
        <v>463</v>
      </c>
      <c r="G763" s="20" t="s">
        <v>464</v>
      </c>
      <c r="H763" s="20" t="s">
        <v>162</v>
      </c>
      <c r="I763" s="20" t="s">
        <v>62</v>
      </c>
      <c r="J763" s="20" t="s">
        <v>63</v>
      </c>
      <c r="K763" s="20" t="s">
        <v>445</v>
      </c>
      <c r="L763" s="20" t="n">
        <v>56822</v>
      </c>
      <c r="M763" s="20" t="s">
        <v>153</v>
      </c>
      <c r="N763" s="20" t="s">
        <v>2036</v>
      </c>
      <c r="O763" s="20" t="s">
        <v>76</v>
      </c>
      <c r="P763" s="20" t="s">
        <v>178</v>
      </c>
      <c r="Q763" s="20" t="s">
        <v>2037</v>
      </c>
      <c r="R763" s="22" t="n">
        <v>323.31</v>
      </c>
      <c r="S763" s="20" t="n">
        <v>8</v>
      </c>
      <c r="T763" s="20" t="n">
        <v>0.7</v>
      </c>
      <c r="U763" s="22" t="n">
        <v>-155.82</v>
      </c>
      <c r="V763" s="23" t="n">
        <f aca="false">IF(ISNUMBER(C763),YEAR(C763),"")</f>
        <v>2017</v>
      </c>
      <c r="W763" s="23" t="n">
        <f aca="false">IF(ISNUMBER(C763),MONTH(C763),"")</f>
        <v>11</v>
      </c>
      <c r="X763" s="23" t="str">
        <f aca="false">IF(T763="","",IF(T763=0,"No discount",IF(T763&lt;=0.2,"Low (1-20%)",IF(T763&lt;=0.4,"Medium (21-40%)","High (&gt;40%)"))))</f>
        <v>High (&gt;40%)</v>
      </c>
      <c r="Y763" s="23" t="n">
        <f aca="false">IF(AND(ISNUMBER(C763),ISNUMBER(D763)),D763-C763,"")</f>
        <v>7</v>
      </c>
      <c r="Z763" s="23" t="n">
        <f aca="false">IF(B763="","",IF(MATCH(B763,$B$2:$B$12000,0)=ROW()-1,1,0))</f>
        <v>1</v>
      </c>
    </row>
    <row r="764" customFormat="false" ht="15" hidden="false" customHeight="false" outlineLevel="0" collapsed="false">
      <c r="A764" s="20" t="n">
        <v>763</v>
      </c>
      <c r="B764" s="20" t="s">
        <v>2038</v>
      </c>
      <c r="C764" s="21" t="n">
        <v>43060</v>
      </c>
      <c r="D764" s="21" t="n">
        <v>43061</v>
      </c>
      <c r="E764" s="20" t="s">
        <v>71</v>
      </c>
      <c r="F764" s="20" t="s">
        <v>529</v>
      </c>
      <c r="G764" s="20" t="s">
        <v>530</v>
      </c>
      <c r="H764" s="20" t="s">
        <v>61</v>
      </c>
      <c r="I764" s="20" t="s">
        <v>62</v>
      </c>
      <c r="J764" s="20" t="s">
        <v>63</v>
      </c>
      <c r="K764" s="20" t="s">
        <v>518</v>
      </c>
      <c r="L764" s="20" t="n">
        <v>82289</v>
      </c>
      <c r="M764" s="20" t="s">
        <v>153</v>
      </c>
      <c r="N764" s="20" t="s">
        <v>2039</v>
      </c>
      <c r="O764" s="20" t="s">
        <v>76</v>
      </c>
      <c r="P764" s="20" t="s">
        <v>185</v>
      </c>
      <c r="Q764" s="20" t="s">
        <v>2040</v>
      </c>
      <c r="R764" s="22" t="n">
        <v>116.93</v>
      </c>
      <c r="S764" s="20" t="n">
        <v>6</v>
      </c>
      <c r="T764" s="20" t="n">
        <v>0</v>
      </c>
      <c r="U764" s="22" t="n">
        <v>34.03</v>
      </c>
      <c r="V764" s="23" t="n">
        <f aca="false">IF(ISNUMBER(C764),YEAR(C764),"")</f>
        <v>2017</v>
      </c>
      <c r="W764" s="23" t="n">
        <f aca="false">IF(ISNUMBER(C764),MONTH(C764),"")</f>
        <v>11</v>
      </c>
      <c r="X764" s="23" t="str">
        <f aca="false">IF(T764="","",IF(T764=0,"No discount",IF(T764&lt;=0.2,"Low (1-20%)",IF(T764&lt;=0.4,"Medium (21-40%)","High (&gt;40%)"))))</f>
        <v>No discount</v>
      </c>
      <c r="Y764" s="23" t="n">
        <f aca="false">IF(AND(ISNUMBER(C764),ISNUMBER(D764)),D764-C764,"")</f>
        <v>1</v>
      </c>
      <c r="Z764" s="23" t="n">
        <f aca="false">IF(B764="","",IF(MATCH(B764,$B$2:$B$12000,0)=ROW()-1,1,0))</f>
        <v>1</v>
      </c>
    </row>
    <row r="765" customFormat="false" ht="15" hidden="false" customHeight="false" outlineLevel="0" collapsed="false">
      <c r="A765" s="20" t="n">
        <v>764</v>
      </c>
      <c r="B765" s="20" t="s">
        <v>2041</v>
      </c>
      <c r="C765" s="21" t="n">
        <v>43060</v>
      </c>
      <c r="D765" s="21" t="n">
        <v>43066</v>
      </c>
      <c r="E765" s="20" t="s">
        <v>104</v>
      </c>
      <c r="F765" s="20" t="s">
        <v>319</v>
      </c>
      <c r="G765" s="20" t="s">
        <v>320</v>
      </c>
      <c r="H765" s="20" t="s">
        <v>61</v>
      </c>
      <c r="I765" s="20" t="s">
        <v>62</v>
      </c>
      <c r="J765" s="20" t="s">
        <v>63</v>
      </c>
      <c r="K765" s="20" t="s">
        <v>120</v>
      </c>
      <c r="L765" s="20" t="n">
        <v>41049</v>
      </c>
      <c r="M765" s="20" t="s">
        <v>112</v>
      </c>
      <c r="N765" s="20" t="s">
        <v>2042</v>
      </c>
      <c r="O765" s="20" t="s">
        <v>67</v>
      </c>
      <c r="P765" s="20" t="s">
        <v>157</v>
      </c>
      <c r="Q765" s="20" t="s">
        <v>2043</v>
      </c>
      <c r="R765" s="22" t="n">
        <v>516.77</v>
      </c>
      <c r="S765" s="20" t="n">
        <v>7</v>
      </c>
      <c r="T765" s="20" t="n">
        <v>0.5</v>
      </c>
      <c r="U765" s="22" t="n">
        <v>-21.22</v>
      </c>
      <c r="V765" s="23" t="n">
        <f aca="false">IF(ISNUMBER(C765),YEAR(C765),"")</f>
        <v>2017</v>
      </c>
      <c r="W765" s="23" t="n">
        <f aca="false">IF(ISNUMBER(C765),MONTH(C765),"")</f>
        <v>11</v>
      </c>
      <c r="X765" s="23" t="str">
        <f aca="false">IF(T765="","",IF(T765=0,"No discount",IF(T765&lt;=0.2,"Low (1-20%)",IF(T765&lt;=0.4,"Medium (21-40%)","High (&gt;40%)"))))</f>
        <v>High (&gt;40%)</v>
      </c>
      <c r="Y765" s="23" t="n">
        <f aca="false">IF(AND(ISNUMBER(C765),ISNUMBER(D765)),D765-C765,"")</f>
        <v>6</v>
      </c>
      <c r="Z765" s="23" t="n">
        <f aca="false">IF(B765="","",IF(MATCH(B765,$B$2:$B$12000,0)=ROW()-1,1,0))</f>
        <v>1</v>
      </c>
    </row>
    <row r="766" customFormat="false" ht="15" hidden="false" customHeight="false" outlineLevel="0" collapsed="false">
      <c r="A766" s="20" t="n">
        <v>765</v>
      </c>
      <c r="B766" s="20" t="s">
        <v>2044</v>
      </c>
      <c r="C766" s="21" t="n">
        <v>43063</v>
      </c>
      <c r="D766" s="21" t="n">
        <v>43070</v>
      </c>
      <c r="E766" s="20" t="s">
        <v>71</v>
      </c>
      <c r="F766" s="20" t="s">
        <v>339</v>
      </c>
      <c r="G766" s="20" t="s">
        <v>340</v>
      </c>
      <c r="H766" s="20" t="s">
        <v>61</v>
      </c>
      <c r="I766" s="20" t="s">
        <v>62</v>
      </c>
      <c r="J766" s="20" t="s">
        <v>63</v>
      </c>
      <c r="K766" s="20" t="s">
        <v>74</v>
      </c>
      <c r="L766" s="20" t="n">
        <v>23972</v>
      </c>
      <c r="M766" s="20" t="s">
        <v>65</v>
      </c>
      <c r="N766" s="20" t="s">
        <v>2045</v>
      </c>
      <c r="O766" s="20" t="s">
        <v>76</v>
      </c>
      <c r="P766" s="20" t="s">
        <v>236</v>
      </c>
      <c r="Q766" s="20" t="s">
        <v>2046</v>
      </c>
      <c r="R766" s="22" t="n">
        <v>143.49</v>
      </c>
      <c r="S766" s="20" t="n">
        <v>3</v>
      </c>
      <c r="T766" s="20" t="n">
        <v>0.3</v>
      </c>
      <c r="U766" s="22" t="n">
        <v>26.67</v>
      </c>
      <c r="V766" s="23" t="n">
        <f aca="false">IF(ISNUMBER(C766),YEAR(C766),"")</f>
        <v>2017</v>
      </c>
      <c r="W766" s="23" t="n">
        <f aca="false">IF(ISNUMBER(C766),MONTH(C766),"")</f>
        <v>11</v>
      </c>
      <c r="X766" s="23" t="str">
        <f aca="false">IF(T766="","",IF(T766=0,"No discount",IF(T766&lt;=0.2,"Low (1-20%)",IF(T766&lt;=0.4,"Medium (21-40%)","High (&gt;40%)"))))</f>
        <v>Medium (21-40%)</v>
      </c>
      <c r="Y766" s="23" t="n">
        <f aca="false">IF(AND(ISNUMBER(C766),ISNUMBER(D766)),D766-C766,"")</f>
        <v>7</v>
      </c>
      <c r="Z766" s="23" t="n">
        <f aca="false">IF(B766="","",IF(MATCH(B766,$B$2:$B$12000,0)=ROW()-1,1,0))</f>
        <v>1</v>
      </c>
    </row>
    <row r="767" customFormat="false" ht="15" hidden="false" customHeight="false" outlineLevel="0" collapsed="false">
      <c r="A767" s="20" t="n">
        <v>766</v>
      </c>
      <c r="B767" s="20" t="s">
        <v>2047</v>
      </c>
      <c r="C767" s="21" t="n">
        <v>43063</v>
      </c>
      <c r="D767" s="21" t="n">
        <v>43070</v>
      </c>
      <c r="E767" s="20" t="s">
        <v>71</v>
      </c>
      <c r="F767" s="20" t="s">
        <v>160</v>
      </c>
      <c r="G767" s="20" t="s">
        <v>161</v>
      </c>
      <c r="H767" s="20" t="s">
        <v>162</v>
      </c>
      <c r="I767" s="20" t="s">
        <v>62</v>
      </c>
      <c r="J767" s="20" t="s">
        <v>63</v>
      </c>
      <c r="K767" s="20" t="s">
        <v>909</v>
      </c>
      <c r="L767" s="20" t="n">
        <v>93889</v>
      </c>
      <c r="M767" s="20" t="s">
        <v>97</v>
      </c>
      <c r="N767" s="20" t="s">
        <v>2048</v>
      </c>
      <c r="O767" s="20" t="s">
        <v>67</v>
      </c>
      <c r="P767" s="20" t="s">
        <v>68</v>
      </c>
      <c r="Q767" s="20" t="s">
        <v>2049</v>
      </c>
      <c r="R767" s="22" t="n">
        <v>4746.3</v>
      </c>
      <c r="S767" s="20" t="n">
        <v>8</v>
      </c>
      <c r="T767" s="20" t="n">
        <v>0.1</v>
      </c>
      <c r="U767" s="22" t="n">
        <v>1306.74</v>
      </c>
      <c r="V767" s="23" t="n">
        <f aca="false">IF(ISNUMBER(C767),YEAR(C767),"")</f>
        <v>2017</v>
      </c>
      <c r="W767" s="23" t="n">
        <f aca="false">IF(ISNUMBER(C767),MONTH(C767),"")</f>
        <v>11</v>
      </c>
      <c r="X767" s="23" t="str">
        <f aca="false">IF(T767="","",IF(T767=0,"No discount",IF(T767&lt;=0.2,"Low (1-20%)",IF(T767&lt;=0.4,"Medium (21-40%)","High (&gt;40%)"))))</f>
        <v>Low (1-20%)</v>
      </c>
      <c r="Y767" s="23" t="n">
        <f aca="false">IF(AND(ISNUMBER(C767),ISNUMBER(D767)),D767-C767,"")</f>
        <v>7</v>
      </c>
      <c r="Z767" s="23" t="n">
        <f aca="false">IF(B767="","",IF(MATCH(B767,$B$2:$B$12000,0)=ROW()-1,1,0))</f>
        <v>1</v>
      </c>
    </row>
    <row r="768" customFormat="false" ht="15" hidden="false" customHeight="false" outlineLevel="0" collapsed="false">
      <c r="A768" s="20" t="n">
        <v>767</v>
      </c>
      <c r="B768" s="20" t="s">
        <v>2050</v>
      </c>
      <c r="C768" s="21" t="n">
        <v>43064</v>
      </c>
      <c r="D768" s="21" t="n">
        <v>43069</v>
      </c>
      <c r="E768" s="20" t="s">
        <v>104</v>
      </c>
      <c r="F768" s="20" t="s">
        <v>463</v>
      </c>
      <c r="G768" s="20" t="s">
        <v>464</v>
      </c>
      <c r="H768" s="20" t="s">
        <v>162</v>
      </c>
      <c r="I768" s="20" t="s">
        <v>62</v>
      </c>
      <c r="J768" s="20" t="s">
        <v>63</v>
      </c>
      <c r="K768" s="20" t="s">
        <v>969</v>
      </c>
      <c r="L768" s="20" t="n">
        <v>97659</v>
      </c>
      <c r="M768" s="20" t="s">
        <v>112</v>
      </c>
      <c r="N768" s="20" t="s">
        <v>2051</v>
      </c>
      <c r="O768" s="20" t="s">
        <v>114</v>
      </c>
      <c r="P768" s="20" t="s">
        <v>139</v>
      </c>
      <c r="Q768" s="20" t="s">
        <v>1277</v>
      </c>
      <c r="R768" s="22" t="n">
        <v>1309.48</v>
      </c>
      <c r="S768" s="20" t="n">
        <v>7</v>
      </c>
      <c r="T768" s="20" t="n">
        <v>0.5</v>
      </c>
      <c r="U768" s="22" t="n">
        <v>-266.61</v>
      </c>
      <c r="V768" s="23" t="n">
        <f aca="false">IF(ISNUMBER(C768),YEAR(C768),"")</f>
        <v>2017</v>
      </c>
      <c r="W768" s="23" t="n">
        <f aca="false">IF(ISNUMBER(C768),MONTH(C768),"")</f>
        <v>11</v>
      </c>
      <c r="X768" s="23" t="str">
        <f aca="false">IF(T768="","",IF(T768=0,"No discount",IF(T768&lt;=0.2,"Low (1-20%)",IF(T768&lt;=0.4,"Medium (21-40%)","High (&gt;40%)"))))</f>
        <v>High (&gt;40%)</v>
      </c>
      <c r="Y768" s="23" t="n">
        <f aca="false">IF(AND(ISNUMBER(C768),ISNUMBER(D768)),D768-C768,"")</f>
        <v>5</v>
      </c>
      <c r="Z768" s="23" t="n">
        <f aca="false">IF(B768="","",IF(MATCH(B768,$B$2:$B$12000,0)=ROW()-1,1,0))</f>
        <v>1</v>
      </c>
    </row>
    <row r="769" customFormat="false" ht="15" hidden="false" customHeight="false" outlineLevel="0" collapsed="false">
      <c r="A769" s="20" t="n">
        <v>768</v>
      </c>
      <c r="B769" s="20" t="s">
        <v>2052</v>
      </c>
      <c r="C769" s="21" t="n">
        <v>43066</v>
      </c>
      <c r="D769" s="21" t="n">
        <v>43072</v>
      </c>
      <c r="E769" s="20" t="s">
        <v>104</v>
      </c>
      <c r="F769" s="20" t="s">
        <v>200</v>
      </c>
      <c r="G769" s="20" t="s">
        <v>201</v>
      </c>
      <c r="H769" s="20" t="s">
        <v>162</v>
      </c>
      <c r="I769" s="20" t="s">
        <v>62</v>
      </c>
      <c r="J769" s="20" t="s">
        <v>63</v>
      </c>
      <c r="K769" s="20" t="s">
        <v>487</v>
      </c>
      <c r="L769" s="20" t="n">
        <v>14535</v>
      </c>
      <c r="M769" s="20" t="s">
        <v>65</v>
      </c>
      <c r="N769" s="20" t="s">
        <v>2053</v>
      </c>
      <c r="O769" s="20" t="s">
        <v>114</v>
      </c>
      <c r="P769" s="20" t="s">
        <v>167</v>
      </c>
      <c r="Q769" s="20" t="s">
        <v>1559</v>
      </c>
      <c r="R769" s="22" t="n">
        <v>5967.77</v>
      </c>
      <c r="S769" s="20" t="n">
        <v>7</v>
      </c>
      <c r="T769" s="20" t="n">
        <v>0</v>
      </c>
      <c r="U769" s="22" t="n">
        <v>-123.9</v>
      </c>
      <c r="V769" s="23" t="n">
        <f aca="false">IF(ISNUMBER(C769),YEAR(C769),"")</f>
        <v>2017</v>
      </c>
      <c r="W769" s="23" t="n">
        <f aca="false">IF(ISNUMBER(C769),MONTH(C769),"")</f>
        <v>11</v>
      </c>
      <c r="X769" s="23" t="str">
        <f aca="false">IF(T769="","",IF(T769=0,"No discount",IF(T769&lt;=0.2,"Low (1-20%)",IF(T769&lt;=0.4,"Medium (21-40%)","High (&gt;40%)"))))</f>
        <v>No discount</v>
      </c>
      <c r="Y769" s="23" t="n">
        <f aca="false">IF(AND(ISNUMBER(C769),ISNUMBER(D769)),D769-C769,"")</f>
        <v>6</v>
      </c>
      <c r="Z769" s="23" t="n">
        <f aca="false">IF(B769="","",IF(MATCH(B769,$B$2:$B$12000,0)=ROW()-1,1,0))</f>
        <v>1</v>
      </c>
    </row>
    <row r="770" customFormat="false" ht="15" hidden="false" customHeight="false" outlineLevel="0" collapsed="false">
      <c r="A770" s="20" t="n">
        <v>769</v>
      </c>
      <c r="B770" s="20" t="s">
        <v>2052</v>
      </c>
      <c r="C770" s="21" t="n">
        <v>43066</v>
      </c>
      <c r="D770" s="21" t="n">
        <v>43072</v>
      </c>
      <c r="E770" s="20" t="s">
        <v>104</v>
      </c>
      <c r="F770" s="20" t="s">
        <v>200</v>
      </c>
      <c r="G770" s="20" t="s">
        <v>201</v>
      </c>
      <c r="H770" s="20" t="s">
        <v>162</v>
      </c>
      <c r="I770" s="20" t="s">
        <v>62</v>
      </c>
      <c r="J770" s="20" t="s">
        <v>63</v>
      </c>
      <c r="K770" s="20" t="s">
        <v>487</v>
      </c>
      <c r="L770" s="20" t="n">
        <v>55166</v>
      </c>
      <c r="M770" s="20" t="s">
        <v>65</v>
      </c>
      <c r="N770" s="20" t="s">
        <v>2054</v>
      </c>
      <c r="O770" s="20" t="s">
        <v>76</v>
      </c>
      <c r="P770" s="20" t="s">
        <v>178</v>
      </c>
      <c r="Q770" s="20" t="s">
        <v>2055</v>
      </c>
      <c r="R770" s="22" t="n">
        <v>1193.27</v>
      </c>
      <c r="S770" s="20" t="n">
        <v>8</v>
      </c>
      <c r="T770" s="20" t="n">
        <v>0.2</v>
      </c>
      <c r="U770" s="22" t="n">
        <v>-109.89</v>
      </c>
      <c r="V770" s="23" t="n">
        <f aca="false">IF(ISNUMBER(C770),YEAR(C770),"")</f>
        <v>2017</v>
      </c>
      <c r="W770" s="23" t="n">
        <f aca="false">IF(ISNUMBER(C770),MONTH(C770),"")</f>
        <v>11</v>
      </c>
      <c r="X770" s="23" t="str">
        <f aca="false">IF(T770="","",IF(T770=0,"No discount",IF(T770&lt;=0.2,"Low (1-20%)",IF(T770&lt;=0.4,"Medium (21-40%)","High (&gt;40%)"))))</f>
        <v>Low (1-20%)</v>
      </c>
      <c r="Y770" s="23" t="n">
        <f aca="false">IF(AND(ISNUMBER(C770),ISNUMBER(D770)),D770-C770,"")</f>
        <v>6</v>
      </c>
      <c r="Z770" s="23" t="n">
        <f aca="false">IF(B770="","",IF(MATCH(B770,$B$2:$B$12000,0)=ROW()-1,1,0))</f>
        <v>0</v>
      </c>
    </row>
    <row r="771" customFormat="false" ht="15" hidden="false" customHeight="false" outlineLevel="0" collapsed="false">
      <c r="A771" s="20" t="n">
        <v>770</v>
      </c>
      <c r="B771" s="20" t="s">
        <v>2056</v>
      </c>
      <c r="C771" s="21" t="n">
        <v>43066</v>
      </c>
      <c r="D771" s="21" t="n">
        <v>43068</v>
      </c>
      <c r="E771" s="20" t="s">
        <v>58</v>
      </c>
      <c r="F771" s="20" t="s">
        <v>436</v>
      </c>
      <c r="G771" s="20" t="s">
        <v>437</v>
      </c>
      <c r="H771" s="20" t="s">
        <v>61</v>
      </c>
      <c r="I771" s="20" t="s">
        <v>62</v>
      </c>
      <c r="J771" s="20" t="s">
        <v>63</v>
      </c>
      <c r="K771" s="20" t="s">
        <v>152</v>
      </c>
      <c r="L771" s="20" t="n">
        <v>25145</v>
      </c>
      <c r="M771" s="20" t="s">
        <v>153</v>
      </c>
      <c r="N771" s="20" t="s">
        <v>2057</v>
      </c>
      <c r="O771" s="20" t="s">
        <v>114</v>
      </c>
      <c r="P771" s="20" t="s">
        <v>115</v>
      </c>
      <c r="Q771" s="20" t="s">
        <v>2058</v>
      </c>
      <c r="R771" s="22" t="n">
        <v>2163.36</v>
      </c>
      <c r="S771" s="20" t="n">
        <v>8</v>
      </c>
      <c r="T771" s="20" t="n">
        <v>0</v>
      </c>
      <c r="U771" s="22" t="n">
        <v>-3.66</v>
      </c>
      <c r="V771" s="23" t="n">
        <f aca="false">IF(ISNUMBER(C771),YEAR(C771),"")</f>
        <v>2017</v>
      </c>
      <c r="W771" s="23" t="n">
        <f aca="false">IF(ISNUMBER(C771),MONTH(C771),"")</f>
        <v>11</v>
      </c>
      <c r="X771" s="23" t="str">
        <f aca="false">IF(T771="","",IF(T771=0,"No discount",IF(T771&lt;=0.2,"Low (1-20%)",IF(T771&lt;=0.4,"Medium (21-40%)","High (&gt;40%)"))))</f>
        <v>No discount</v>
      </c>
      <c r="Y771" s="23" t="n">
        <f aca="false">IF(AND(ISNUMBER(C771),ISNUMBER(D771)),D771-C771,"")</f>
        <v>2</v>
      </c>
      <c r="Z771" s="23" t="n">
        <f aca="false">IF(B771="","",IF(MATCH(B771,$B$2:$B$12000,0)=ROW()-1,1,0))</f>
        <v>1</v>
      </c>
    </row>
    <row r="772" customFormat="false" ht="15" hidden="false" customHeight="false" outlineLevel="0" collapsed="false">
      <c r="A772" s="20" t="n">
        <v>771</v>
      </c>
      <c r="B772" s="20" t="s">
        <v>2059</v>
      </c>
      <c r="C772" s="21" t="n">
        <v>43070</v>
      </c>
      <c r="D772" s="21" t="n">
        <v>43076</v>
      </c>
      <c r="E772" s="20" t="s">
        <v>104</v>
      </c>
      <c r="F772" s="20" t="s">
        <v>428</v>
      </c>
      <c r="G772" s="20" t="s">
        <v>429</v>
      </c>
      <c r="H772" s="20" t="s">
        <v>61</v>
      </c>
      <c r="I772" s="20" t="s">
        <v>62</v>
      </c>
      <c r="J772" s="20" t="s">
        <v>63</v>
      </c>
      <c r="K772" s="20" t="s">
        <v>346</v>
      </c>
      <c r="L772" s="20" t="n">
        <v>61631</v>
      </c>
      <c r="M772" s="20" t="s">
        <v>65</v>
      </c>
      <c r="N772" s="20" t="s">
        <v>2060</v>
      </c>
      <c r="O772" s="20" t="s">
        <v>76</v>
      </c>
      <c r="P772" s="20" t="s">
        <v>122</v>
      </c>
      <c r="Q772" s="20" t="s">
        <v>2061</v>
      </c>
      <c r="R772" s="22" t="n">
        <v>286.5</v>
      </c>
      <c r="S772" s="20" t="n">
        <v>8</v>
      </c>
      <c r="T772" s="20" t="n">
        <v>0</v>
      </c>
      <c r="U772" s="22" t="n">
        <v>132.66</v>
      </c>
      <c r="V772" s="23" t="n">
        <f aca="false">IF(ISNUMBER(C772),YEAR(C772),"")</f>
        <v>2017</v>
      </c>
      <c r="W772" s="23" t="n">
        <f aca="false">IF(ISNUMBER(C772),MONTH(C772),"")</f>
        <v>12</v>
      </c>
      <c r="X772" s="23" t="str">
        <f aca="false">IF(T772="","",IF(T772=0,"No discount",IF(T772&lt;=0.2,"Low (1-20%)",IF(T772&lt;=0.4,"Medium (21-40%)","High (&gt;40%)"))))</f>
        <v>No discount</v>
      </c>
      <c r="Y772" s="23" t="n">
        <f aca="false">IF(AND(ISNUMBER(C772),ISNUMBER(D772)),D772-C772,"")</f>
        <v>6</v>
      </c>
      <c r="Z772" s="23" t="n">
        <f aca="false">IF(B772="","",IF(MATCH(B772,$B$2:$B$12000,0)=ROW()-1,1,0))</f>
        <v>1</v>
      </c>
    </row>
    <row r="773" customFormat="false" ht="15" hidden="false" customHeight="false" outlineLevel="0" collapsed="false">
      <c r="A773" s="20" t="n">
        <v>772</v>
      </c>
      <c r="B773" s="20" t="s">
        <v>2062</v>
      </c>
      <c r="C773" s="21" t="n">
        <v>43070</v>
      </c>
      <c r="D773" s="21" t="n">
        <v>43074</v>
      </c>
      <c r="E773" s="20" t="s">
        <v>104</v>
      </c>
      <c r="F773" s="20" t="s">
        <v>428</v>
      </c>
      <c r="G773" s="20" t="s">
        <v>429</v>
      </c>
      <c r="H773" s="20" t="s">
        <v>61</v>
      </c>
      <c r="I773" s="20" t="s">
        <v>62</v>
      </c>
      <c r="J773" s="20" t="s">
        <v>63</v>
      </c>
      <c r="K773" s="20" t="s">
        <v>647</v>
      </c>
      <c r="L773" s="20" t="n">
        <v>78715</v>
      </c>
      <c r="M773" s="20" t="s">
        <v>97</v>
      </c>
      <c r="N773" s="20" t="s">
        <v>2063</v>
      </c>
      <c r="O773" s="20" t="s">
        <v>76</v>
      </c>
      <c r="P773" s="20" t="s">
        <v>128</v>
      </c>
      <c r="Q773" s="20" t="s">
        <v>2064</v>
      </c>
      <c r="R773" s="22" t="n">
        <v>264.64</v>
      </c>
      <c r="S773" s="20" t="n">
        <v>2</v>
      </c>
      <c r="T773" s="20" t="n">
        <v>0.2</v>
      </c>
      <c r="U773" s="22" t="n">
        <v>-19.52</v>
      </c>
      <c r="V773" s="23" t="n">
        <f aca="false">IF(ISNUMBER(C773),YEAR(C773),"")</f>
        <v>2017</v>
      </c>
      <c r="W773" s="23" t="n">
        <f aca="false">IF(ISNUMBER(C773),MONTH(C773),"")</f>
        <v>12</v>
      </c>
      <c r="X773" s="23" t="str">
        <f aca="false">IF(T773="","",IF(T773=0,"No discount",IF(T773&lt;=0.2,"Low (1-20%)",IF(T773&lt;=0.4,"Medium (21-40%)","High (&gt;40%)"))))</f>
        <v>Low (1-20%)</v>
      </c>
      <c r="Y773" s="23" t="n">
        <f aca="false">IF(AND(ISNUMBER(C773),ISNUMBER(D773)),D773-C773,"")</f>
        <v>4</v>
      </c>
      <c r="Z773" s="23" t="n">
        <f aca="false">IF(B773="","",IF(MATCH(B773,$B$2:$B$12000,0)=ROW()-1,1,0))</f>
        <v>1</v>
      </c>
    </row>
    <row r="774" customFormat="false" ht="15" hidden="false" customHeight="false" outlineLevel="0" collapsed="false">
      <c r="A774" s="20" t="n">
        <v>773</v>
      </c>
      <c r="B774" s="20" t="s">
        <v>2065</v>
      </c>
      <c r="C774" s="21" t="n">
        <v>43072</v>
      </c>
      <c r="D774" s="21" t="n">
        <v>43078</v>
      </c>
      <c r="E774" s="20" t="s">
        <v>58</v>
      </c>
      <c r="F774" s="20" t="s">
        <v>529</v>
      </c>
      <c r="G774" s="20" t="s">
        <v>530</v>
      </c>
      <c r="H774" s="20" t="s">
        <v>61</v>
      </c>
      <c r="I774" s="20" t="s">
        <v>62</v>
      </c>
      <c r="J774" s="20" t="s">
        <v>63</v>
      </c>
      <c r="K774" s="20" t="s">
        <v>569</v>
      </c>
      <c r="L774" s="20" t="n">
        <v>74680</v>
      </c>
      <c r="M774" s="20" t="s">
        <v>153</v>
      </c>
      <c r="N774" s="20" t="s">
        <v>2066</v>
      </c>
      <c r="O774" s="20" t="s">
        <v>76</v>
      </c>
      <c r="P774" s="20" t="s">
        <v>236</v>
      </c>
      <c r="Q774" s="20" t="s">
        <v>2067</v>
      </c>
      <c r="R774" s="22" t="n">
        <v>303.88</v>
      </c>
      <c r="S774" s="20" t="n">
        <v>8</v>
      </c>
      <c r="T774" s="20" t="n">
        <v>0.1</v>
      </c>
      <c r="U774" s="22" t="n">
        <v>91.94</v>
      </c>
      <c r="V774" s="23" t="n">
        <f aca="false">IF(ISNUMBER(C774),YEAR(C774),"")</f>
        <v>2017</v>
      </c>
      <c r="W774" s="23" t="n">
        <f aca="false">IF(ISNUMBER(C774),MONTH(C774),"")</f>
        <v>12</v>
      </c>
      <c r="X774" s="23" t="str">
        <f aca="false">IF(T774="","",IF(T774=0,"No discount",IF(T774&lt;=0.2,"Low (1-20%)",IF(T774&lt;=0.4,"Medium (21-40%)","High (&gt;40%)"))))</f>
        <v>Low (1-20%)</v>
      </c>
      <c r="Y774" s="23" t="n">
        <f aca="false">IF(AND(ISNUMBER(C774),ISNUMBER(D774)),D774-C774,"")</f>
        <v>6</v>
      </c>
      <c r="Z774" s="23" t="n">
        <f aca="false">IF(B774="","",IF(MATCH(B774,$B$2:$B$12000,0)=ROW()-1,1,0))</f>
        <v>1</v>
      </c>
    </row>
    <row r="775" customFormat="false" ht="15" hidden="false" customHeight="false" outlineLevel="0" collapsed="false">
      <c r="A775" s="20" t="n">
        <v>774</v>
      </c>
      <c r="B775" s="20" t="s">
        <v>2065</v>
      </c>
      <c r="C775" s="21" t="n">
        <v>43072</v>
      </c>
      <c r="D775" s="21" t="n">
        <v>43078</v>
      </c>
      <c r="E775" s="20" t="s">
        <v>90</v>
      </c>
      <c r="F775" s="20" t="s">
        <v>529</v>
      </c>
      <c r="G775" s="20" t="s">
        <v>530</v>
      </c>
      <c r="H775" s="20" t="s">
        <v>61</v>
      </c>
      <c r="I775" s="20" t="s">
        <v>62</v>
      </c>
      <c r="J775" s="20" t="s">
        <v>63</v>
      </c>
      <c r="K775" s="20" t="s">
        <v>569</v>
      </c>
      <c r="L775" s="20" t="n">
        <v>69785</v>
      </c>
      <c r="M775" s="20" t="s">
        <v>153</v>
      </c>
      <c r="N775" s="20" t="s">
        <v>2068</v>
      </c>
      <c r="O775" s="20" t="s">
        <v>67</v>
      </c>
      <c r="P775" s="20" t="s">
        <v>157</v>
      </c>
      <c r="Q775" s="20" t="s">
        <v>610</v>
      </c>
      <c r="R775" s="22" t="n">
        <v>33.78</v>
      </c>
      <c r="S775" s="20" t="n">
        <v>2</v>
      </c>
      <c r="T775" s="20" t="n">
        <v>0.5</v>
      </c>
      <c r="U775" s="22" t="n">
        <v>1</v>
      </c>
      <c r="V775" s="23" t="n">
        <f aca="false">IF(ISNUMBER(C775),YEAR(C775),"")</f>
        <v>2017</v>
      </c>
      <c r="W775" s="23" t="n">
        <f aca="false">IF(ISNUMBER(C775),MONTH(C775),"")</f>
        <v>12</v>
      </c>
      <c r="X775" s="23" t="str">
        <f aca="false">IF(T775="","",IF(T775=0,"No discount",IF(T775&lt;=0.2,"Low (1-20%)",IF(T775&lt;=0.4,"Medium (21-40%)","High (&gt;40%)"))))</f>
        <v>High (&gt;40%)</v>
      </c>
      <c r="Y775" s="23" t="n">
        <f aca="false">IF(AND(ISNUMBER(C775),ISNUMBER(D775)),D775-C775,"")</f>
        <v>6</v>
      </c>
      <c r="Z775" s="23" t="n">
        <f aca="false">IF(B775="","",IF(MATCH(B775,$B$2:$B$12000,0)=ROW()-1,1,0))</f>
        <v>0</v>
      </c>
    </row>
    <row r="776" customFormat="false" ht="15" hidden="false" customHeight="false" outlineLevel="0" collapsed="false">
      <c r="A776" s="20" t="n">
        <v>775</v>
      </c>
      <c r="B776" s="20" t="s">
        <v>2069</v>
      </c>
      <c r="C776" s="21" t="n">
        <v>43075</v>
      </c>
      <c r="D776" s="21" t="n">
        <v>43078</v>
      </c>
      <c r="E776" s="20" t="s">
        <v>71</v>
      </c>
      <c r="F776" s="20" t="s">
        <v>436</v>
      </c>
      <c r="G776" s="20" t="s">
        <v>437</v>
      </c>
      <c r="H776" s="20" t="s">
        <v>61</v>
      </c>
      <c r="I776" s="20" t="s">
        <v>62</v>
      </c>
      <c r="J776" s="20" t="s">
        <v>63</v>
      </c>
      <c r="K776" s="20" t="s">
        <v>422</v>
      </c>
      <c r="L776" s="20" t="n">
        <v>40158</v>
      </c>
      <c r="M776" s="20" t="s">
        <v>153</v>
      </c>
      <c r="N776" s="20" t="s">
        <v>2070</v>
      </c>
      <c r="O776" s="20" t="s">
        <v>114</v>
      </c>
      <c r="P776" s="20" t="s">
        <v>139</v>
      </c>
      <c r="Q776" s="20" t="s">
        <v>2071</v>
      </c>
      <c r="R776" s="22" t="n">
        <v>4146.8</v>
      </c>
      <c r="S776" s="20" t="n">
        <v>8</v>
      </c>
      <c r="T776" s="20" t="n">
        <v>0</v>
      </c>
      <c r="U776" s="22" t="n">
        <v>78.47</v>
      </c>
      <c r="V776" s="23" t="n">
        <f aca="false">IF(ISNUMBER(C776),YEAR(C776),"")</f>
        <v>2017</v>
      </c>
      <c r="W776" s="23" t="n">
        <f aca="false">IF(ISNUMBER(C776),MONTH(C776),"")</f>
        <v>12</v>
      </c>
      <c r="X776" s="23" t="str">
        <f aca="false">IF(T776="","",IF(T776=0,"No discount",IF(T776&lt;=0.2,"Low (1-20%)",IF(T776&lt;=0.4,"Medium (21-40%)","High (&gt;40%)"))))</f>
        <v>No discount</v>
      </c>
      <c r="Y776" s="23" t="n">
        <f aca="false">IF(AND(ISNUMBER(C776),ISNUMBER(D776)),D776-C776,"")</f>
        <v>3</v>
      </c>
      <c r="Z776" s="23" t="n">
        <f aca="false">IF(B776="","",IF(MATCH(B776,$B$2:$B$12000,0)=ROW()-1,1,0))</f>
        <v>1</v>
      </c>
    </row>
    <row r="777" customFormat="false" ht="15" hidden="false" customHeight="false" outlineLevel="0" collapsed="false">
      <c r="A777" s="20" t="n">
        <v>776</v>
      </c>
      <c r="B777" s="20" t="s">
        <v>2072</v>
      </c>
      <c r="C777" s="21" t="n">
        <v>43075</v>
      </c>
      <c r="D777" s="21" t="n">
        <v>43076</v>
      </c>
      <c r="E777" s="20" t="s">
        <v>71</v>
      </c>
      <c r="F777" s="20" t="s">
        <v>294</v>
      </c>
      <c r="G777" s="20" t="s">
        <v>295</v>
      </c>
      <c r="H777" s="20" t="s">
        <v>61</v>
      </c>
      <c r="I777" s="20" t="s">
        <v>62</v>
      </c>
      <c r="J777" s="20" t="s">
        <v>63</v>
      </c>
      <c r="K777" s="20" t="s">
        <v>254</v>
      </c>
      <c r="L777" s="20" t="n">
        <v>19974</v>
      </c>
      <c r="M777" s="20" t="s">
        <v>112</v>
      </c>
      <c r="N777" s="20" t="s">
        <v>2073</v>
      </c>
      <c r="O777" s="20" t="s">
        <v>67</v>
      </c>
      <c r="P777" s="20" t="s">
        <v>157</v>
      </c>
      <c r="Q777" s="20" t="s">
        <v>2074</v>
      </c>
      <c r="R777" s="22" t="n">
        <v>363.72</v>
      </c>
      <c r="S777" s="20" t="n">
        <v>4</v>
      </c>
      <c r="T777" s="20" t="n">
        <v>0.5</v>
      </c>
      <c r="U777" s="22" t="n">
        <v>3.37</v>
      </c>
      <c r="V777" s="23" t="n">
        <f aca="false">IF(ISNUMBER(C777),YEAR(C777),"")</f>
        <v>2017</v>
      </c>
      <c r="W777" s="23" t="n">
        <f aca="false">IF(ISNUMBER(C777),MONTH(C777),"")</f>
        <v>12</v>
      </c>
      <c r="X777" s="23" t="str">
        <f aca="false">IF(T777="","",IF(T777=0,"No discount",IF(T777&lt;=0.2,"Low (1-20%)",IF(T777&lt;=0.4,"Medium (21-40%)","High (&gt;40%)"))))</f>
        <v>High (&gt;40%)</v>
      </c>
      <c r="Y777" s="23" t="n">
        <f aca="false">IF(AND(ISNUMBER(C777),ISNUMBER(D777)),D777-C777,"")</f>
        <v>1</v>
      </c>
      <c r="Z777" s="23" t="n">
        <f aca="false">IF(B777="","",IF(MATCH(B777,$B$2:$B$12000,0)=ROW()-1,1,0))</f>
        <v>1</v>
      </c>
    </row>
    <row r="778" customFormat="false" ht="15" hidden="false" customHeight="false" outlineLevel="0" collapsed="false">
      <c r="A778" s="20" t="n">
        <v>777</v>
      </c>
      <c r="B778" s="20" t="s">
        <v>2075</v>
      </c>
      <c r="C778" s="21" t="n">
        <v>43078</v>
      </c>
      <c r="D778" s="21" t="n">
        <v>43082</v>
      </c>
      <c r="E778" s="20" t="s">
        <v>104</v>
      </c>
      <c r="F778" s="20" t="s">
        <v>544</v>
      </c>
      <c r="G778" s="20" t="s">
        <v>545</v>
      </c>
      <c r="H778" s="20" t="s">
        <v>85</v>
      </c>
      <c r="I778" s="20" t="s">
        <v>62</v>
      </c>
      <c r="J778" s="20" t="s">
        <v>63</v>
      </c>
      <c r="K778" s="20" t="s">
        <v>556</v>
      </c>
      <c r="L778" s="20" t="n">
        <v>70891</v>
      </c>
      <c r="M778" s="20" t="s">
        <v>65</v>
      </c>
      <c r="N778" s="20" t="s">
        <v>2076</v>
      </c>
      <c r="O778" s="20" t="s">
        <v>114</v>
      </c>
      <c r="P778" s="20" t="s">
        <v>139</v>
      </c>
      <c r="Q778" s="20" t="s">
        <v>2077</v>
      </c>
      <c r="R778" s="22" t="n">
        <v>1070.67</v>
      </c>
      <c r="S778" s="20" t="n">
        <v>2</v>
      </c>
      <c r="T778" s="20" t="n">
        <v>0</v>
      </c>
      <c r="U778" s="22" t="n">
        <v>67.52</v>
      </c>
      <c r="V778" s="23" t="n">
        <f aca="false">IF(ISNUMBER(C778),YEAR(C778),"")</f>
        <v>2017</v>
      </c>
      <c r="W778" s="23" t="n">
        <f aca="false">IF(ISNUMBER(C778),MONTH(C778),"")</f>
        <v>12</v>
      </c>
      <c r="X778" s="23" t="str">
        <f aca="false">IF(T778="","",IF(T778=0,"No discount",IF(T778&lt;=0.2,"Low (1-20%)",IF(T778&lt;=0.4,"Medium (21-40%)","High (&gt;40%)"))))</f>
        <v>No discount</v>
      </c>
      <c r="Y778" s="23" t="n">
        <f aca="false">IF(AND(ISNUMBER(C778),ISNUMBER(D778)),D778-C778,"")</f>
        <v>4</v>
      </c>
      <c r="Z778" s="23" t="n">
        <f aca="false">IF(B778="","",IF(MATCH(B778,$B$2:$B$12000,0)=ROW()-1,1,0))</f>
        <v>1</v>
      </c>
    </row>
    <row r="779" customFormat="false" ht="15" hidden="false" customHeight="false" outlineLevel="0" collapsed="false">
      <c r="A779" s="20" t="n">
        <v>778</v>
      </c>
      <c r="B779" s="20" t="s">
        <v>2075</v>
      </c>
      <c r="C779" s="21" t="n">
        <v>43078</v>
      </c>
      <c r="D779" s="21" t="n">
        <v>43082</v>
      </c>
      <c r="E779" s="20" t="s">
        <v>71</v>
      </c>
      <c r="F779" s="20" t="s">
        <v>544</v>
      </c>
      <c r="G779" s="20" t="s">
        <v>545</v>
      </c>
      <c r="H779" s="20" t="s">
        <v>85</v>
      </c>
      <c r="I779" s="20" t="s">
        <v>62</v>
      </c>
      <c r="J779" s="20" t="s">
        <v>63</v>
      </c>
      <c r="K779" s="20" t="s">
        <v>556</v>
      </c>
      <c r="L779" s="20" t="n">
        <v>29782</v>
      </c>
      <c r="M779" s="20" t="s">
        <v>65</v>
      </c>
      <c r="N779" s="20" t="s">
        <v>2078</v>
      </c>
      <c r="O779" s="20" t="s">
        <v>67</v>
      </c>
      <c r="P779" s="20" t="s">
        <v>164</v>
      </c>
      <c r="Q779" s="20" t="s">
        <v>2079</v>
      </c>
      <c r="R779" s="22" t="n">
        <v>7610.2</v>
      </c>
      <c r="S779" s="20" t="n">
        <v>6</v>
      </c>
      <c r="T779" s="20" t="n">
        <v>0</v>
      </c>
      <c r="U779" s="22" t="n">
        <v>331.27</v>
      </c>
      <c r="V779" s="23" t="n">
        <f aca="false">IF(ISNUMBER(C779),YEAR(C779),"")</f>
        <v>2017</v>
      </c>
      <c r="W779" s="23" t="n">
        <f aca="false">IF(ISNUMBER(C779),MONTH(C779),"")</f>
        <v>12</v>
      </c>
      <c r="X779" s="23" t="str">
        <f aca="false">IF(T779="","",IF(T779=0,"No discount",IF(T779&lt;=0.2,"Low (1-20%)",IF(T779&lt;=0.4,"Medium (21-40%)","High (&gt;40%)"))))</f>
        <v>No discount</v>
      </c>
      <c r="Y779" s="23" t="n">
        <f aca="false">IF(AND(ISNUMBER(C779),ISNUMBER(D779)),D779-C779,"")</f>
        <v>4</v>
      </c>
      <c r="Z779" s="23" t="n">
        <f aca="false">IF(B779="","",IF(MATCH(B779,$B$2:$B$12000,0)=ROW()-1,1,0))</f>
        <v>0</v>
      </c>
    </row>
    <row r="780" customFormat="false" ht="15" hidden="false" customHeight="false" outlineLevel="0" collapsed="false">
      <c r="A780" s="20" t="n">
        <v>779</v>
      </c>
      <c r="B780" s="20" t="s">
        <v>2075</v>
      </c>
      <c r="C780" s="21" t="n">
        <v>43078</v>
      </c>
      <c r="D780" s="21" t="n">
        <v>43082</v>
      </c>
      <c r="E780" s="20" t="s">
        <v>71</v>
      </c>
      <c r="F780" s="20" t="s">
        <v>544</v>
      </c>
      <c r="G780" s="20" t="s">
        <v>545</v>
      </c>
      <c r="H780" s="20" t="s">
        <v>85</v>
      </c>
      <c r="I780" s="20" t="s">
        <v>62</v>
      </c>
      <c r="J780" s="20" t="s">
        <v>63</v>
      </c>
      <c r="K780" s="20" t="s">
        <v>556</v>
      </c>
      <c r="L780" s="20" t="n">
        <v>28385</v>
      </c>
      <c r="M780" s="20" t="s">
        <v>65</v>
      </c>
      <c r="N780" s="20" t="s">
        <v>2080</v>
      </c>
      <c r="O780" s="20" t="s">
        <v>67</v>
      </c>
      <c r="P780" s="20" t="s">
        <v>68</v>
      </c>
      <c r="Q780" s="20" t="s">
        <v>2081</v>
      </c>
      <c r="R780" s="22" t="n">
        <v>3227.69</v>
      </c>
      <c r="S780" s="20" t="n">
        <v>2</v>
      </c>
      <c r="T780" s="20" t="n">
        <v>0.4</v>
      </c>
      <c r="U780" s="22" t="n">
        <v>165.83</v>
      </c>
      <c r="V780" s="23" t="n">
        <f aca="false">IF(ISNUMBER(C780),YEAR(C780),"")</f>
        <v>2017</v>
      </c>
      <c r="W780" s="23" t="n">
        <f aca="false">IF(ISNUMBER(C780),MONTH(C780),"")</f>
        <v>12</v>
      </c>
      <c r="X780" s="23" t="str">
        <f aca="false">IF(T780="","",IF(T780=0,"No discount",IF(T780&lt;=0.2,"Low (1-20%)",IF(T780&lt;=0.4,"Medium (21-40%)","High (&gt;40%)"))))</f>
        <v>Medium (21-40%)</v>
      </c>
      <c r="Y780" s="23" t="n">
        <f aca="false">IF(AND(ISNUMBER(C780),ISNUMBER(D780)),D780-C780,"")</f>
        <v>4</v>
      </c>
      <c r="Z780" s="23" t="n">
        <f aca="false">IF(B780="","",IF(MATCH(B780,$B$2:$B$12000,0)=ROW()-1,1,0))</f>
        <v>0</v>
      </c>
    </row>
    <row r="781" customFormat="false" ht="15" hidden="false" customHeight="false" outlineLevel="0" collapsed="false">
      <c r="A781" s="20" t="n">
        <v>780</v>
      </c>
      <c r="B781" s="20" t="s">
        <v>2075</v>
      </c>
      <c r="C781" s="21" t="n">
        <v>43078</v>
      </c>
      <c r="D781" s="21" t="n">
        <v>43082</v>
      </c>
      <c r="E781" s="20" t="s">
        <v>90</v>
      </c>
      <c r="F781" s="20" t="s">
        <v>544</v>
      </c>
      <c r="G781" s="20" t="s">
        <v>545</v>
      </c>
      <c r="H781" s="20" t="s">
        <v>85</v>
      </c>
      <c r="I781" s="20" t="s">
        <v>62</v>
      </c>
      <c r="J781" s="20" t="s">
        <v>63</v>
      </c>
      <c r="K781" s="20" t="s">
        <v>556</v>
      </c>
      <c r="L781" s="20" t="n">
        <v>14346</v>
      </c>
      <c r="M781" s="20" t="s">
        <v>65</v>
      </c>
      <c r="N781" s="20" t="s">
        <v>2082</v>
      </c>
      <c r="O781" s="20" t="s">
        <v>76</v>
      </c>
      <c r="P781" s="20" t="s">
        <v>178</v>
      </c>
      <c r="Q781" s="20" t="s">
        <v>1065</v>
      </c>
      <c r="R781" s="22" t="n">
        <v>274.12</v>
      </c>
      <c r="S781" s="20" t="n">
        <v>2</v>
      </c>
      <c r="T781" s="20" t="n">
        <v>0.2</v>
      </c>
      <c r="U781" s="22" t="n">
        <v>-28.16</v>
      </c>
      <c r="V781" s="23" t="n">
        <f aca="false">IF(ISNUMBER(C781),YEAR(C781),"")</f>
        <v>2017</v>
      </c>
      <c r="W781" s="23" t="n">
        <f aca="false">IF(ISNUMBER(C781),MONTH(C781),"")</f>
        <v>12</v>
      </c>
      <c r="X781" s="23" t="str">
        <f aca="false">IF(T781="","",IF(T781=0,"No discount",IF(T781&lt;=0.2,"Low (1-20%)",IF(T781&lt;=0.4,"Medium (21-40%)","High (&gt;40%)"))))</f>
        <v>Low (1-20%)</v>
      </c>
      <c r="Y781" s="23" t="n">
        <f aca="false">IF(AND(ISNUMBER(C781),ISNUMBER(D781)),D781-C781,"")</f>
        <v>4</v>
      </c>
      <c r="Z781" s="23" t="n">
        <f aca="false">IF(B781="","",IF(MATCH(B781,$B$2:$B$12000,0)=ROW()-1,1,0))</f>
        <v>0</v>
      </c>
    </row>
    <row r="782" customFormat="false" ht="15" hidden="false" customHeight="false" outlineLevel="0" collapsed="false">
      <c r="A782" s="20" t="n">
        <v>781</v>
      </c>
      <c r="B782" s="20" t="s">
        <v>2083</v>
      </c>
      <c r="C782" s="21" t="n">
        <v>43079</v>
      </c>
      <c r="D782" s="21" t="n">
        <v>43083</v>
      </c>
      <c r="E782" s="20" t="s">
        <v>104</v>
      </c>
      <c r="F782" s="20" t="s">
        <v>286</v>
      </c>
      <c r="G782" s="20" t="s">
        <v>287</v>
      </c>
      <c r="H782" s="20" t="s">
        <v>61</v>
      </c>
      <c r="I782" s="20" t="s">
        <v>62</v>
      </c>
      <c r="J782" s="20" t="s">
        <v>63</v>
      </c>
      <c r="K782" s="20" t="s">
        <v>800</v>
      </c>
      <c r="L782" s="20" t="n">
        <v>37462</v>
      </c>
      <c r="M782" s="20" t="s">
        <v>65</v>
      </c>
      <c r="N782" s="20" t="s">
        <v>2084</v>
      </c>
      <c r="O782" s="20" t="s">
        <v>114</v>
      </c>
      <c r="P782" s="20" t="s">
        <v>139</v>
      </c>
      <c r="Q782" s="20" t="s">
        <v>2085</v>
      </c>
      <c r="R782" s="22" t="n">
        <v>217.68</v>
      </c>
      <c r="S782" s="20" t="n">
        <v>1</v>
      </c>
      <c r="T782" s="20" t="n">
        <v>0.1</v>
      </c>
      <c r="U782" s="22" t="n">
        <v>7.2</v>
      </c>
      <c r="V782" s="23" t="n">
        <f aca="false">IF(ISNUMBER(C782),YEAR(C782),"")</f>
        <v>2017</v>
      </c>
      <c r="W782" s="23" t="n">
        <f aca="false">IF(ISNUMBER(C782),MONTH(C782),"")</f>
        <v>12</v>
      </c>
      <c r="X782" s="23" t="str">
        <f aca="false">IF(T782="","",IF(T782=0,"No discount",IF(T782&lt;=0.2,"Low (1-20%)",IF(T782&lt;=0.4,"Medium (21-40%)","High (&gt;40%)"))))</f>
        <v>Low (1-20%)</v>
      </c>
      <c r="Y782" s="23" t="n">
        <f aca="false">IF(AND(ISNUMBER(C782),ISNUMBER(D782)),D782-C782,"")</f>
        <v>4</v>
      </c>
      <c r="Z782" s="23" t="n">
        <f aca="false">IF(B782="","",IF(MATCH(B782,$B$2:$B$12000,0)=ROW()-1,1,0))</f>
        <v>1</v>
      </c>
    </row>
    <row r="783" customFormat="false" ht="15" hidden="false" customHeight="false" outlineLevel="0" collapsed="false">
      <c r="A783" s="20" t="n">
        <v>782</v>
      </c>
      <c r="B783" s="20" t="s">
        <v>2083</v>
      </c>
      <c r="C783" s="21" t="n">
        <v>43079</v>
      </c>
      <c r="D783" s="21" t="n">
        <v>43083</v>
      </c>
      <c r="E783" s="20" t="s">
        <v>104</v>
      </c>
      <c r="F783" s="20" t="s">
        <v>286</v>
      </c>
      <c r="G783" s="20" t="s">
        <v>287</v>
      </c>
      <c r="H783" s="20" t="s">
        <v>61</v>
      </c>
      <c r="I783" s="20" t="s">
        <v>62</v>
      </c>
      <c r="J783" s="20" t="s">
        <v>63</v>
      </c>
      <c r="K783" s="20" t="s">
        <v>800</v>
      </c>
      <c r="L783" s="20" t="n">
        <v>47173</v>
      </c>
      <c r="M783" s="20" t="s">
        <v>65</v>
      </c>
      <c r="N783" s="20" t="s">
        <v>2086</v>
      </c>
      <c r="O783" s="20" t="s">
        <v>67</v>
      </c>
      <c r="P783" s="20" t="s">
        <v>157</v>
      </c>
      <c r="Q783" s="20" t="s">
        <v>2087</v>
      </c>
      <c r="R783" s="22" t="n">
        <v>148.28</v>
      </c>
      <c r="S783" s="20" t="n">
        <v>7</v>
      </c>
      <c r="T783" s="20" t="n">
        <v>0.4</v>
      </c>
      <c r="U783" s="22" t="n">
        <v>14.67</v>
      </c>
      <c r="V783" s="23" t="n">
        <f aca="false">IF(ISNUMBER(C783),YEAR(C783),"")</f>
        <v>2017</v>
      </c>
      <c r="W783" s="23" t="n">
        <f aca="false">IF(ISNUMBER(C783),MONTH(C783),"")</f>
        <v>12</v>
      </c>
      <c r="X783" s="23" t="str">
        <f aca="false">IF(T783="","",IF(T783=0,"No discount",IF(T783&lt;=0.2,"Low (1-20%)",IF(T783&lt;=0.4,"Medium (21-40%)","High (&gt;40%)"))))</f>
        <v>Medium (21-40%)</v>
      </c>
      <c r="Y783" s="23" t="n">
        <f aca="false">IF(AND(ISNUMBER(C783),ISNUMBER(D783)),D783-C783,"")</f>
        <v>4</v>
      </c>
      <c r="Z783" s="23" t="n">
        <f aca="false">IF(B783="","",IF(MATCH(B783,$B$2:$B$12000,0)=ROW()-1,1,0))</f>
        <v>0</v>
      </c>
    </row>
    <row r="784" customFormat="false" ht="15" hidden="false" customHeight="false" outlineLevel="0" collapsed="false">
      <c r="A784" s="20" t="n">
        <v>783</v>
      </c>
      <c r="B784" s="20" t="s">
        <v>2088</v>
      </c>
      <c r="C784" s="21" t="n">
        <v>43080</v>
      </c>
      <c r="D784" s="21" t="n">
        <v>43085</v>
      </c>
      <c r="E784" s="20" t="s">
        <v>104</v>
      </c>
      <c r="F784" s="20" t="s">
        <v>181</v>
      </c>
      <c r="G784" s="20" t="s">
        <v>182</v>
      </c>
      <c r="H784" s="20" t="s">
        <v>61</v>
      </c>
      <c r="I784" s="20" t="s">
        <v>62</v>
      </c>
      <c r="J784" s="20" t="s">
        <v>63</v>
      </c>
      <c r="K784" s="20" t="s">
        <v>196</v>
      </c>
      <c r="L784" s="20" t="n">
        <v>66250</v>
      </c>
      <c r="M784" s="20" t="s">
        <v>112</v>
      </c>
      <c r="N784" s="20" t="s">
        <v>2089</v>
      </c>
      <c r="O784" s="20" t="s">
        <v>76</v>
      </c>
      <c r="P784" s="20" t="s">
        <v>88</v>
      </c>
      <c r="Q784" s="20" t="s">
        <v>2090</v>
      </c>
      <c r="R784" s="22" t="n">
        <v>1765.6</v>
      </c>
      <c r="S784" s="20" t="n">
        <v>5</v>
      </c>
      <c r="T784" s="20" t="n">
        <v>0</v>
      </c>
      <c r="U784" s="22" t="n">
        <v>284.49</v>
      </c>
      <c r="V784" s="23" t="n">
        <f aca="false">IF(ISNUMBER(C784),YEAR(C784),"")</f>
        <v>2017</v>
      </c>
      <c r="W784" s="23" t="n">
        <f aca="false">IF(ISNUMBER(C784),MONTH(C784),"")</f>
        <v>12</v>
      </c>
      <c r="X784" s="23" t="str">
        <f aca="false">IF(T784="","",IF(T784=0,"No discount",IF(T784&lt;=0.2,"Low (1-20%)",IF(T784&lt;=0.4,"Medium (21-40%)","High (&gt;40%)"))))</f>
        <v>No discount</v>
      </c>
      <c r="Y784" s="23" t="n">
        <f aca="false">IF(AND(ISNUMBER(C784),ISNUMBER(D784)),D784-C784,"")</f>
        <v>5</v>
      </c>
      <c r="Z784" s="23" t="n">
        <f aca="false">IF(B784="","",IF(MATCH(B784,$B$2:$B$12000,0)=ROW()-1,1,0))</f>
        <v>1</v>
      </c>
    </row>
    <row r="785" customFormat="false" ht="15" hidden="false" customHeight="false" outlineLevel="0" collapsed="false">
      <c r="A785" s="20" t="n">
        <v>784</v>
      </c>
      <c r="B785" s="20" t="s">
        <v>2091</v>
      </c>
      <c r="C785" s="21" t="n">
        <v>43081</v>
      </c>
      <c r="D785" s="21" t="n">
        <v>43082</v>
      </c>
      <c r="E785" s="20" t="s">
        <v>71</v>
      </c>
      <c r="F785" s="20" t="s">
        <v>264</v>
      </c>
      <c r="G785" s="20" t="s">
        <v>265</v>
      </c>
      <c r="H785" s="20" t="s">
        <v>61</v>
      </c>
      <c r="I785" s="20" t="s">
        <v>62</v>
      </c>
      <c r="J785" s="20" t="s">
        <v>63</v>
      </c>
      <c r="K785" s="20" t="s">
        <v>271</v>
      </c>
      <c r="L785" s="20" t="n">
        <v>62074</v>
      </c>
      <c r="M785" s="20" t="s">
        <v>97</v>
      </c>
      <c r="N785" s="20" t="s">
        <v>2092</v>
      </c>
      <c r="O785" s="20" t="s">
        <v>67</v>
      </c>
      <c r="P785" s="20" t="s">
        <v>106</v>
      </c>
      <c r="Q785" s="20" t="s">
        <v>1587</v>
      </c>
      <c r="R785" s="22" t="n">
        <v>864.05</v>
      </c>
      <c r="S785" s="20" t="n">
        <v>2</v>
      </c>
      <c r="T785" s="20" t="n">
        <v>0.3</v>
      </c>
      <c r="U785" s="22" t="n">
        <v>-15.24</v>
      </c>
      <c r="V785" s="23" t="n">
        <f aca="false">IF(ISNUMBER(C785),YEAR(C785),"")</f>
        <v>2017</v>
      </c>
      <c r="W785" s="23" t="n">
        <f aca="false">IF(ISNUMBER(C785),MONTH(C785),"")</f>
        <v>12</v>
      </c>
      <c r="X785" s="23" t="str">
        <f aca="false">IF(T785="","",IF(T785=0,"No discount",IF(T785&lt;=0.2,"Low (1-20%)",IF(T785&lt;=0.4,"Medium (21-40%)","High (&gt;40%)"))))</f>
        <v>Medium (21-40%)</v>
      </c>
      <c r="Y785" s="23" t="n">
        <f aca="false">IF(AND(ISNUMBER(C785),ISNUMBER(D785)),D785-C785,"")</f>
        <v>1</v>
      </c>
      <c r="Z785" s="23" t="n">
        <f aca="false">IF(B785="","",IF(MATCH(B785,$B$2:$B$12000,0)=ROW()-1,1,0))</f>
        <v>1</v>
      </c>
    </row>
    <row r="786" customFormat="false" ht="15" hidden="false" customHeight="false" outlineLevel="0" collapsed="false">
      <c r="A786" s="20" t="n">
        <v>785</v>
      </c>
      <c r="B786" s="20" t="s">
        <v>2091</v>
      </c>
      <c r="C786" s="21" t="n">
        <v>43081</v>
      </c>
      <c r="D786" s="21" t="n">
        <v>43082</v>
      </c>
      <c r="E786" s="20" t="s">
        <v>90</v>
      </c>
      <c r="F786" s="20" t="s">
        <v>264</v>
      </c>
      <c r="G786" s="20" t="s">
        <v>265</v>
      </c>
      <c r="H786" s="20" t="s">
        <v>61</v>
      </c>
      <c r="I786" s="20" t="s">
        <v>62</v>
      </c>
      <c r="J786" s="20" t="s">
        <v>63</v>
      </c>
      <c r="K786" s="20" t="s">
        <v>271</v>
      </c>
      <c r="L786" s="20" t="n">
        <v>37735</v>
      </c>
      <c r="M786" s="20" t="s">
        <v>97</v>
      </c>
      <c r="N786" s="20" t="s">
        <v>2093</v>
      </c>
      <c r="O786" s="20" t="s">
        <v>76</v>
      </c>
      <c r="P786" s="20" t="s">
        <v>236</v>
      </c>
      <c r="Q786" s="20" t="s">
        <v>479</v>
      </c>
      <c r="R786" s="22" t="n">
        <v>82.46</v>
      </c>
      <c r="S786" s="20" t="n">
        <v>2</v>
      </c>
      <c r="T786" s="20" t="n">
        <v>0.1</v>
      </c>
      <c r="U786" s="22" t="n">
        <v>32.67</v>
      </c>
      <c r="V786" s="23" t="n">
        <f aca="false">IF(ISNUMBER(C786),YEAR(C786),"")</f>
        <v>2017</v>
      </c>
      <c r="W786" s="23" t="n">
        <f aca="false">IF(ISNUMBER(C786),MONTH(C786),"")</f>
        <v>12</v>
      </c>
      <c r="X786" s="23" t="str">
        <f aca="false">IF(T786="","",IF(T786=0,"No discount",IF(T786&lt;=0.2,"Low (1-20%)",IF(T786&lt;=0.4,"Medium (21-40%)","High (&gt;40%)"))))</f>
        <v>Low (1-20%)</v>
      </c>
      <c r="Y786" s="23" t="n">
        <f aca="false">IF(AND(ISNUMBER(C786),ISNUMBER(D786)),D786-C786,"")</f>
        <v>1</v>
      </c>
      <c r="Z786" s="23" t="n">
        <f aca="false">IF(B786="","",IF(MATCH(B786,$B$2:$B$12000,0)=ROW()-1,1,0))</f>
        <v>0</v>
      </c>
    </row>
    <row r="787" customFormat="false" ht="15" hidden="false" customHeight="false" outlineLevel="0" collapsed="false">
      <c r="A787" s="20" t="n">
        <v>786</v>
      </c>
      <c r="B787" s="20" t="s">
        <v>2091</v>
      </c>
      <c r="C787" s="21" t="n">
        <v>43081</v>
      </c>
      <c r="D787" s="21" t="n">
        <v>43082</v>
      </c>
      <c r="E787" s="20" t="s">
        <v>71</v>
      </c>
      <c r="F787" s="20" t="s">
        <v>264</v>
      </c>
      <c r="G787" s="20" t="s">
        <v>265</v>
      </c>
      <c r="H787" s="20" t="s">
        <v>61</v>
      </c>
      <c r="I787" s="20" t="s">
        <v>62</v>
      </c>
      <c r="J787" s="20" t="s">
        <v>63</v>
      </c>
      <c r="K787" s="20" t="s">
        <v>271</v>
      </c>
      <c r="L787" s="20" t="n">
        <v>97123</v>
      </c>
      <c r="M787" s="20" t="s">
        <v>97</v>
      </c>
      <c r="N787" s="20" t="s">
        <v>2094</v>
      </c>
      <c r="O787" s="20" t="s">
        <v>114</v>
      </c>
      <c r="P787" s="20" t="s">
        <v>167</v>
      </c>
      <c r="Q787" s="20" t="s">
        <v>324</v>
      </c>
      <c r="R787" s="22" t="n">
        <v>1281.61</v>
      </c>
      <c r="S787" s="20" t="n">
        <v>6</v>
      </c>
      <c r="T787" s="20" t="n">
        <v>0.5</v>
      </c>
      <c r="U787" s="22" t="n">
        <v>-410.07</v>
      </c>
      <c r="V787" s="23" t="n">
        <f aca="false">IF(ISNUMBER(C787),YEAR(C787),"")</f>
        <v>2017</v>
      </c>
      <c r="W787" s="23" t="n">
        <f aca="false">IF(ISNUMBER(C787),MONTH(C787),"")</f>
        <v>12</v>
      </c>
      <c r="X787" s="23" t="str">
        <f aca="false">IF(T787="","",IF(T787=0,"No discount",IF(T787&lt;=0.2,"Low (1-20%)",IF(T787&lt;=0.4,"Medium (21-40%)","High (&gt;40%)"))))</f>
        <v>High (&gt;40%)</v>
      </c>
      <c r="Y787" s="23" t="n">
        <f aca="false">IF(AND(ISNUMBER(C787),ISNUMBER(D787)),D787-C787,"")</f>
        <v>1</v>
      </c>
      <c r="Z787" s="23" t="n">
        <f aca="false">IF(B787="","",IF(MATCH(B787,$B$2:$B$12000,0)=ROW()-1,1,0))</f>
        <v>0</v>
      </c>
    </row>
    <row r="788" customFormat="false" ht="15" hidden="false" customHeight="false" outlineLevel="0" collapsed="false">
      <c r="A788" s="20" t="n">
        <v>787</v>
      </c>
      <c r="B788" s="20" t="s">
        <v>2091</v>
      </c>
      <c r="C788" s="21" t="n">
        <v>43081</v>
      </c>
      <c r="D788" s="21" t="n">
        <v>43082</v>
      </c>
      <c r="E788" s="20" t="s">
        <v>104</v>
      </c>
      <c r="F788" s="20" t="s">
        <v>264</v>
      </c>
      <c r="G788" s="20" t="s">
        <v>265</v>
      </c>
      <c r="H788" s="20" t="s">
        <v>61</v>
      </c>
      <c r="I788" s="20" t="s">
        <v>62</v>
      </c>
      <c r="J788" s="20" t="s">
        <v>63</v>
      </c>
      <c r="K788" s="20" t="s">
        <v>271</v>
      </c>
      <c r="L788" s="20" t="n">
        <v>32081</v>
      </c>
      <c r="M788" s="20" t="s">
        <v>97</v>
      </c>
      <c r="N788" s="20" t="s">
        <v>2095</v>
      </c>
      <c r="O788" s="20" t="s">
        <v>114</v>
      </c>
      <c r="P788" s="20" t="s">
        <v>115</v>
      </c>
      <c r="Q788" s="20" t="s">
        <v>730</v>
      </c>
      <c r="R788" s="22" t="n">
        <v>2085.87</v>
      </c>
      <c r="S788" s="20" t="n">
        <v>5</v>
      </c>
      <c r="T788" s="20" t="n">
        <v>0</v>
      </c>
      <c r="U788" s="22" t="n">
        <v>152.23</v>
      </c>
      <c r="V788" s="23" t="n">
        <f aca="false">IF(ISNUMBER(C788),YEAR(C788),"")</f>
        <v>2017</v>
      </c>
      <c r="W788" s="23" t="n">
        <f aca="false">IF(ISNUMBER(C788),MONTH(C788),"")</f>
        <v>12</v>
      </c>
      <c r="X788" s="23" t="str">
        <f aca="false">IF(T788="","",IF(T788=0,"No discount",IF(T788&lt;=0.2,"Low (1-20%)",IF(T788&lt;=0.4,"Medium (21-40%)","High (&gt;40%)"))))</f>
        <v>No discount</v>
      </c>
      <c r="Y788" s="23" t="n">
        <f aca="false">IF(AND(ISNUMBER(C788),ISNUMBER(D788)),D788-C788,"")</f>
        <v>1</v>
      </c>
      <c r="Z788" s="23" t="n">
        <f aca="false">IF(B788="","",IF(MATCH(B788,$B$2:$B$12000,0)=ROW()-1,1,0))</f>
        <v>0</v>
      </c>
    </row>
    <row r="789" customFormat="false" ht="15" hidden="false" customHeight="false" outlineLevel="0" collapsed="false">
      <c r="A789" s="20" t="n">
        <v>788</v>
      </c>
      <c r="B789" s="20" t="s">
        <v>2096</v>
      </c>
      <c r="C789" s="21" t="n">
        <v>43082</v>
      </c>
      <c r="D789" s="21" t="n">
        <v>43085</v>
      </c>
      <c r="E789" s="20" t="s">
        <v>90</v>
      </c>
      <c r="F789" s="20" t="s">
        <v>732</v>
      </c>
      <c r="G789" s="20" t="s">
        <v>733</v>
      </c>
      <c r="H789" s="20" t="s">
        <v>85</v>
      </c>
      <c r="I789" s="20" t="s">
        <v>62</v>
      </c>
      <c r="J789" s="20" t="s">
        <v>63</v>
      </c>
      <c r="K789" s="20" t="s">
        <v>422</v>
      </c>
      <c r="L789" s="20" t="n">
        <v>84592</v>
      </c>
      <c r="M789" s="20" t="s">
        <v>153</v>
      </c>
      <c r="N789" s="20" t="s">
        <v>2097</v>
      </c>
      <c r="O789" s="20" t="s">
        <v>76</v>
      </c>
      <c r="P789" s="20" t="s">
        <v>178</v>
      </c>
      <c r="Q789" s="20" t="s">
        <v>262</v>
      </c>
      <c r="R789" s="22" t="n">
        <v>541.89</v>
      </c>
      <c r="S789" s="20" t="n">
        <v>8</v>
      </c>
      <c r="T789" s="20" t="n">
        <v>0</v>
      </c>
      <c r="U789" s="22" t="n">
        <v>-46.88</v>
      </c>
      <c r="V789" s="23" t="n">
        <f aca="false">IF(ISNUMBER(C789),YEAR(C789),"")</f>
        <v>2017</v>
      </c>
      <c r="W789" s="23" t="n">
        <f aca="false">IF(ISNUMBER(C789),MONTH(C789),"")</f>
        <v>12</v>
      </c>
      <c r="X789" s="23" t="str">
        <f aca="false">IF(T789="","",IF(T789=0,"No discount",IF(T789&lt;=0.2,"Low (1-20%)",IF(T789&lt;=0.4,"Medium (21-40%)","High (&gt;40%)"))))</f>
        <v>No discount</v>
      </c>
      <c r="Y789" s="23" t="n">
        <f aca="false">IF(AND(ISNUMBER(C789),ISNUMBER(D789)),D789-C789,"")</f>
        <v>3</v>
      </c>
      <c r="Z789" s="23" t="n">
        <f aca="false">IF(B789="","",IF(MATCH(B789,$B$2:$B$12000,0)=ROW()-1,1,0))</f>
        <v>1</v>
      </c>
    </row>
    <row r="790" customFormat="false" ht="15" hidden="false" customHeight="false" outlineLevel="0" collapsed="false">
      <c r="A790" s="20" t="n">
        <v>789</v>
      </c>
      <c r="B790" s="20" t="s">
        <v>2096</v>
      </c>
      <c r="C790" s="21" t="n">
        <v>43082</v>
      </c>
      <c r="D790" s="21" t="n">
        <v>43085</v>
      </c>
      <c r="E790" s="20" t="s">
        <v>104</v>
      </c>
      <c r="F790" s="20" t="s">
        <v>732</v>
      </c>
      <c r="G790" s="20" t="s">
        <v>733</v>
      </c>
      <c r="H790" s="20" t="s">
        <v>85</v>
      </c>
      <c r="I790" s="20" t="s">
        <v>62</v>
      </c>
      <c r="J790" s="20" t="s">
        <v>63</v>
      </c>
      <c r="K790" s="20" t="s">
        <v>422</v>
      </c>
      <c r="L790" s="20" t="n">
        <v>30833</v>
      </c>
      <c r="M790" s="20" t="s">
        <v>153</v>
      </c>
      <c r="N790" s="20" t="s">
        <v>2098</v>
      </c>
      <c r="O790" s="20" t="s">
        <v>76</v>
      </c>
      <c r="P790" s="20" t="s">
        <v>178</v>
      </c>
      <c r="Q790" s="20" t="s">
        <v>2099</v>
      </c>
      <c r="R790" s="22" t="n">
        <v>16.1</v>
      </c>
      <c r="S790" s="20" t="n">
        <v>1</v>
      </c>
      <c r="T790" s="20" t="n">
        <v>0</v>
      </c>
      <c r="U790" s="22" t="n">
        <v>-0.41</v>
      </c>
      <c r="V790" s="23" t="n">
        <f aca="false">IF(ISNUMBER(C790),YEAR(C790),"")</f>
        <v>2017</v>
      </c>
      <c r="W790" s="23" t="n">
        <f aca="false">IF(ISNUMBER(C790),MONTH(C790),"")</f>
        <v>12</v>
      </c>
      <c r="X790" s="23" t="str">
        <f aca="false">IF(T790="","",IF(T790=0,"No discount",IF(T790&lt;=0.2,"Low (1-20%)",IF(T790&lt;=0.4,"Medium (21-40%)","High (&gt;40%)"))))</f>
        <v>No discount</v>
      </c>
      <c r="Y790" s="23" t="n">
        <f aca="false">IF(AND(ISNUMBER(C790),ISNUMBER(D790)),D790-C790,"")</f>
        <v>3</v>
      </c>
      <c r="Z790" s="23" t="n">
        <f aca="false">IF(B790="","",IF(MATCH(B790,$B$2:$B$12000,0)=ROW()-1,1,0))</f>
        <v>0</v>
      </c>
    </row>
    <row r="791" customFormat="false" ht="15" hidden="false" customHeight="false" outlineLevel="0" collapsed="false">
      <c r="A791" s="20" t="n">
        <v>790</v>
      </c>
      <c r="B791" s="20" t="s">
        <v>2100</v>
      </c>
      <c r="C791" s="21" t="n">
        <v>43082</v>
      </c>
      <c r="D791" s="21" t="n">
        <v>43089</v>
      </c>
      <c r="E791" s="20" t="s">
        <v>71</v>
      </c>
      <c r="F791" s="20" t="s">
        <v>294</v>
      </c>
      <c r="G791" s="20" t="s">
        <v>295</v>
      </c>
      <c r="H791" s="20" t="s">
        <v>61</v>
      </c>
      <c r="I791" s="20" t="s">
        <v>62</v>
      </c>
      <c r="J791" s="20" t="s">
        <v>63</v>
      </c>
      <c r="K791" s="20" t="s">
        <v>152</v>
      </c>
      <c r="L791" s="20" t="n">
        <v>84035</v>
      </c>
      <c r="M791" s="20" t="s">
        <v>153</v>
      </c>
      <c r="N791" s="20" t="s">
        <v>2101</v>
      </c>
      <c r="O791" s="20" t="s">
        <v>76</v>
      </c>
      <c r="P791" s="20" t="s">
        <v>77</v>
      </c>
      <c r="Q791" s="20" t="s">
        <v>2102</v>
      </c>
      <c r="R791" s="22" t="n">
        <v>165.52</v>
      </c>
      <c r="S791" s="20" t="n">
        <v>8</v>
      </c>
      <c r="T791" s="20" t="n">
        <v>0.4</v>
      </c>
      <c r="U791" s="22" t="n">
        <v>3.78</v>
      </c>
      <c r="V791" s="23" t="n">
        <f aca="false">IF(ISNUMBER(C791),YEAR(C791),"")</f>
        <v>2017</v>
      </c>
      <c r="W791" s="23" t="n">
        <f aca="false">IF(ISNUMBER(C791),MONTH(C791),"")</f>
        <v>12</v>
      </c>
      <c r="X791" s="23" t="str">
        <f aca="false">IF(T791="","",IF(T791=0,"No discount",IF(T791&lt;=0.2,"Low (1-20%)",IF(T791&lt;=0.4,"Medium (21-40%)","High (&gt;40%)"))))</f>
        <v>Medium (21-40%)</v>
      </c>
      <c r="Y791" s="23" t="n">
        <f aca="false">IF(AND(ISNUMBER(C791),ISNUMBER(D791)),D791-C791,"")</f>
        <v>7</v>
      </c>
      <c r="Z791" s="23" t="n">
        <f aca="false">IF(B791="","",IF(MATCH(B791,$B$2:$B$12000,0)=ROW()-1,1,0))</f>
        <v>1</v>
      </c>
    </row>
    <row r="792" customFormat="false" ht="15" hidden="false" customHeight="false" outlineLevel="0" collapsed="false">
      <c r="A792" s="20" t="n">
        <v>791</v>
      </c>
      <c r="B792" s="20" t="s">
        <v>2103</v>
      </c>
      <c r="C792" s="21" t="n">
        <v>43084</v>
      </c>
      <c r="D792" s="21" t="n">
        <v>43090</v>
      </c>
      <c r="E792" s="20" t="s">
        <v>104</v>
      </c>
      <c r="F792" s="20" t="s">
        <v>443</v>
      </c>
      <c r="G792" s="20" t="s">
        <v>444</v>
      </c>
      <c r="H792" s="20" t="s">
        <v>61</v>
      </c>
      <c r="I792" s="20" t="s">
        <v>62</v>
      </c>
      <c r="J792" s="20" t="s">
        <v>63</v>
      </c>
      <c r="K792" s="20" t="s">
        <v>215</v>
      </c>
      <c r="L792" s="20" t="n">
        <v>72016</v>
      </c>
      <c r="M792" s="20" t="s">
        <v>112</v>
      </c>
      <c r="N792" s="20" t="s">
        <v>2104</v>
      </c>
      <c r="O792" s="20" t="s">
        <v>76</v>
      </c>
      <c r="P792" s="20" t="s">
        <v>128</v>
      </c>
      <c r="Q792" s="20" t="s">
        <v>2105</v>
      </c>
      <c r="R792" s="22" t="n">
        <v>109.69</v>
      </c>
      <c r="S792" s="20" t="n">
        <v>2</v>
      </c>
      <c r="T792" s="20" t="n">
        <v>0</v>
      </c>
      <c r="U792" s="22" t="n">
        <v>18.82</v>
      </c>
      <c r="V792" s="23" t="n">
        <f aca="false">IF(ISNUMBER(C792),YEAR(C792),"")</f>
        <v>2017</v>
      </c>
      <c r="W792" s="23" t="n">
        <f aca="false">IF(ISNUMBER(C792),MONTH(C792),"")</f>
        <v>12</v>
      </c>
      <c r="X792" s="23" t="str">
        <f aca="false">IF(T792="","",IF(T792=0,"No discount",IF(T792&lt;=0.2,"Low (1-20%)",IF(T792&lt;=0.4,"Medium (21-40%)","High (&gt;40%)"))))</f>
        <v>No discount</v>
      </c>
      <c r="Y792" s="23" t="n">
        <f aca="false">IF(AND(ISNUMBER(C792),ISNUMBER(D792)),D792-C792,"")</f>
        <v>6</v>
      </c>
      <c r="Z792" s="23" t="n">
        <f aca="false">IF(B792="","",IF(MATCH(B792,$B$2:$B$12000,0)=ROW()-1,1,0))</f>
        <v>1</v>
      </c>
    </row>
    <row r="793" customFormat="false" ht="15" hidden="false" customHeight="false" outlineLevel="0" collapsed="false">
      <c r="A793" s="20" t="n">
        <v>792</v>
      </c>
      <c r="B793" s="20" t="s">
        <v>2106</v>
      </c>
      <c r="C793" s="21" t="n">
        <v>43085</v>
      </c>
      <c r="D793" s="21" t="n">
        <v>43086</v>
      </c>
      <c r="E793" s="20" t="s">
        <v>90</v>
      </c>
      <c r="F793" s="20" t="s">
        <v>383</v>
      </c>
      <c r="G793" s="20" t="s">
        <v>384</v>
      </c>
      <c r="H793" s="20" t="s">
        <v>61</v>
      </c>
      <c r="I793" s="20" t="s">
        <v>62</v>
      </c>
      <c r="J793" s="20" t="s">
        <v>63</v>
      </c>
      <c r="K793" s="20" t="s">
        <v>508</v>
      </c>
      <c r="L793" s="20" t="n">
        <v>28481</v>
      </c>
      <c r="M793" s="20" t="s">
        <v>153</v>
      </c>
      <c r="N793" s="20" t="s">
        <v>2107</v>
      </c>
      <c r="O793" s="20" t="s">
        <v>76</v>
      </c>
      <c r="P793" s="20" t="s">
        <v>236</v>
      </c>
      <c r="Q793" s="20" t="s">
        <v>2108</v>
      </c>
      <c r="R793" s="22" t="n">
        <v>25.86</v>
      </c>
      <c r="S793" s="20" t="n">
        <v>3</v>
      </c>
      <c r="T793" s="20" t="n">
        <v>0.2</v>
      </c>
      <c r="U793" s="22" t="n">
        <v>6.23</v>
      </c>
      <c r="V793" s="23" t="n">
        <f aca="false">IF(ISNUMBER(C793),YEAR(C793),"")</f>
        <v>2017</v>
      </c>
      <c r="W793" s="23" t="n">
        <f aca="false">IF(ISNUMBER(C793),MONTH(C793),"")</f>
        <v>12</v>
      </c>
      <c r="X793" s="23" t="str">
        <f aca="false">IF(T793="","",IF(T793=0,"No discount",IF(T793&lt;=0.2,"Low (1-20%)",IF(T793&lt;=0.4,"Medium (21-40%)","High (&gt;40%)"))))</f>
        <v>Low (1-20%)</v>
      </c>
      <c r="Y793" s="23" t="n">
        <f aca="false">IF(AND(ISNUMBER(C793),ISNUMBER(D793)),D793-C793,"")</f>
        <v>1</v>
      </c>
      <c r="Z793" s="23" t="n">
        <f aca="false">IF(B793="","",IF(MATCH(B793,$B$2:$B$12000,0)=ROW()-1,1,0))</f>
        <v>1</v>
      </c>
    </row>
    <row r="794" customFormat="false" ht="15" hidden="false" customHeight="false" outlineLevel="0" collapsed="false">
      <c r="A794" s="20" t="n">
        <v>793</v>
      </c>
      <c r="B794" s="20" t="s">
        <v>2109</v>
      </c>
      <c r="C794" s="21" t="n">
        <v>43086</v>
      </c>
      <c r="D794" s="21" t="n">
        <v>43092</v>
      </c>
      <c r="E794" s="20" t="s">
        <v>90</v>
      </c>
      <c r="F794" s="20" t="s">
        <v>814</v>
      </c>
      <c r="G794" s="20" t="s">
        <v>815</v>
      </c>
      <c r="H794" s="20" t="s">
        <v>61</v>
      </c>
      <c r="I794" s="20" t="s">
        <v>62</v>
      </c>
      <c r="J794" s="20" t="s">
        <v>63</v>
      </c>
      <c r="K794" s="20" t="s">
        <v>296</v>
      </c>
      <c r="L794" s="20" t="n">
        <v>90703</v>
      </c>
      <c r="M794" s="20" t="s">
        <v>153</v>
      </c>
      <c r="N794" s="20" t="s">
        <v>2110</v>
      </c>
      <c r="O794" s="20" t="s">
        <v>114</v>
      </c>
      <c r="P794" s="20" t="s">
        <v>167</v>
      </c>
      <c r="Q794" s="20" t="s">
        <v>888</v>
      </c>
      <c r="R794" s="22" t="n">
        <v>1283.77</v>
      </c>
      <c r="S794" s="20" t="n">
        <v>2</v>
      </c>
      <c r="T794" s="20" t="n">
        <v>0</v>
      </c>
      <c r="U794" s="22" t="n">
        <v>-129.22</v>
      </c>
      <c r="V794" s="23" t="n">
        <f aca="false">IF(ISNUMBER(C794),YEAR(C794),"")</f>
        <v>2017</v>
      </c>
      <c r="W794" s="23" t="n">
        <f aca="false">IF(ISNUMBER(C794),MONTH(C794),"")</f>
        <v>12</v>
      </c>
      <c r="X794" s="23" t="str">
        <f aca="false">IF(T794="","",IF(T794=0,"No discount",IF(T794&lt;=0.2,"Low (1-20%)",IF(T794&lt;=0.4,"Medium (21-40%)","High (&gt;40%)"))))</f>
        <v>No discount</v>
      </c>
      <c r="Y794" s="23" t="n">
        <f aca="false">IF(AND(ISNUMBER(C794),ISNUMBER(D794)),D794-C794,"")</f>
        <v>6</v>
      </c>
      <c r="Z794" s="23" t="n">
        <f aca="false">IF(B794="","",IF(MATCH(B794,$B$2:$B$12000,0)=ROW()-1,1,0))</f>
        <v>1</v>
      </c>
    </row>
    <row r="795" customFormat="false" ht="15" hidden="false" customHeight="false" outlineLevel="0" collapsed="false">
      <c r="A795" s="20" t="n">
        <v>794</v>
      </c>
      <c r="B795" s="20" t="s">
        <v>2109</v>
      </c>
      <c r="C795" s="21" t="n">
        <v>43086</v>
      </c>
      <c r="D795" s="21" t="n">
        <v>43092</v>
      </c>
      <c r="E795" s="20" t="s">
        <v>71</v>
      </c>
      <c r="F795" s="20" t="s">
        <v>814</v>
      </c>
      <c r="G795" s="20" t="s">
        <v>815</v>
      </c>
      <c r="H795" s="20" t="s">
        <v>61</v>
      </c>
      <c r="I795" s="20" t="s">
        <v>62</v>
      </c>
      <c r="J795" s="20" t="s">
        <v>63</v>
      </c>
      <c r="K795" s="20" t="s">
        <v>296</v>
      </c>
      <c r="L795" s="20" t="n">
        <v>87253</v>
      </c>
      <c r="M795" s="20" t="s">
        <v>153</v>
      </c>
      <c r="N795" s="20" t="s">
        <v>2111</v>
      </c>
      <c r="O795" s="20" t="s">
        <v>76</v>
      </c>
      <c r="P795" s="20" t="s">
        <v>122</v>
      </c>
      <c r="Q795" s="20" t="s">
        <v>2112</v>
      </c>
      <c r="R795" s="22" t="n">
        <v>256.1</v>
      </c>
      <c r="S795" s="20" t="n">
        <v>6</v>
      </c>
      <c r="T795" s="20" t="n">
        <v>0.2</v>
      </c>
      <c r="U795" s="22" t="n">
        <v>52.21</v>
      </c>
      <c r="V795" s="23" t="n">
        <f aca="false">IF(ISNUMBER(C795),YEAR(C795),"")</f>
        <v>2017</v>
      </c>
      <c r="W795" s="23" t="n">
        <f aca="false">IF(ISNUMBER(C795),MONTH(C795),"")</f>
        <v>12</v>
      </c>
      <c r="X795" s="23" t="str">
        <f aca="false">IF(T795="","",IF(T795=0,"No discount",IF(T795&lt;=0.2,"Low (1-20%)",IF(T795&lt;=0.4,"Medium (21-40%)","High (&gt;40%)"))))</f>
        <v>Low (1-20%)</v>
      </c>
      <c r="Y795" s="23" t="n">
        <f aca="false">IF(AND(ISNUMBER(C795),ISNUMBER(D795)),D795-C795,"")</f>
        <v>6</v>
      </c>
      <c r="Z795" s="23" t="n">
        <f aca="false">IF(B795="","",IF(MATCH(B795,$B$2:$B$12000,0)=ROW()-1,1,0))</f>
        <v>0</v>
      </c>
    </row>
    <row r="796" customFormat="false" ht="15" hidden="false" customHeight="false" outlineLevel="0" collapsed="false">
      <c r="A796" s="20" t="n">
        <v>795</v>
      </c>
      <c r="B796" s="20" t="s">
        <v>2109</v>
      </c>
      <c r="C796" s="21" t="n">
        <v>43086</v>
      </c>
      <c r="D796" s="21" t="n">
        <v>43092</v>
      </c>
      <c r="E796" s="20" t="s">
        <v>90</v>
      </c>
      <c r="F796" s="20" t="s">
        <v>814</v>
      </c>
      <c r="G796" s="20" t="s">
        <v>815</v>
      </c>
      <c r="H796" s="20" t="s">
        <v>61</v>
      </c>
      <c r="I796" s="20" t="s">
        <v>62</v>
      </c>
      <c r="J796" s="20" t="s">
        <v>63</v>
      </c>
      <c r="K796" s="20" t="s">
        <v>296</v>
      </c>
      <c r="L796" s="20" t="n">
        <v>69184</v>
      </c>
      <c r="M796" s="20" t="s">
        <v>153</v>
      </c>
      <c r="N796" s="20" t="s">
        <v>2113</v>
      </c>
      <c r="O796" s="20" t="s">
        <v>76</v>
      </c>
      <c r="P796" s="20" t="s">
        <v>236</v>
      </c>
      <c r="Q796" s="20" t="s">
        <v>1492</v>
      </c>
      <c r="R796" s="22" t="n">
        <v>51.46</v>
      </c>
      <c r="S796" s="20" t="n">
        <v>1</v>
      </c>
      <c r="T796" s="20" t="n">
        <v>0</v>
      </c>
      <c r="U796" s="22" t="n">
        <v>20.32</v>
      </c>
      <c r="V796" s="23" t="n">
        <f aca="false">IF(ISNUMBER(C796),YEAR(C796),"")</f>
        <v>2017</v>
      </c>
      <c r="W796" s="23" t="n">
        <f aca="false">IF(ISNUMBER(C796),MONTH(C796),"")</f>
        <v>12</v>
      </c>
      <c r="X796" s="23" t="str">
        <f aca="false">IF(T796="","",IF(T796=0,"No discount",IF(T796&lt;=0.2,"Low (1-20%)",IF(T796&lt;=0.4,"Medium (21-40%)","High (&gt;40%)"))))</f>
        <v>No discount</v>
      </c>
      <c r="Y796" s="23" t="n">
        <f aca="false">IF(AND(ISNUMBER(C796),ISNUMBER(D796)),D796-C796,"")</f>
        <v>6</v>
      </c>
      <c r="Z796" s="23" t="n">
        <f aca="false">IF(B796="","",IF(MATCH(B796,$B$2:$B$12000,0)=ROW()-1,1,0))</f>
        <v>0</v>
      </c>
    </row>
    <row r="797" customFormat="false" ht="15" hidden="false" customHeight="false" outlineLevel="0" collapsed="false">
      <c r="A797" s="20" t="n">
        <v>796</v>
      </c>
      <c r="B797" s="20" t="s">
        <v>2109</v>
      </c>
      <c r="C797" s="21" t="n">
        <v>43086</v>
      </c>
      <c r="D797" s="21" t="n">
        <v>43092</v>
      </c>
      <c r="E797" s="20" t="s">
        <v>58</v>
      </c>
      <c r="F797" s="20" t="s">
        <v>814</v>
      </c>
      <c r="G797" s="20" t="s">
        <v>815</v>
      </c>
      <c r="H797" s="20" t="s">
        <v>61</v>
      </c>
      <c r="I797" s="20" t="s">
        <v>62</v>
      </c>
      <c r="J797" s="20" t="s">
        <v>63</v>
      </c>
      <c r="K797" s="20" t="s">
        <v>296</v>
      </c>
      <c r="L797" s="20" t="n">
        <v>20049</v>
      </c>
      <c r="M797" s="20" t="s">
        <v>153</v>
      </c>
      <c r="N797" s="20" t="s">
        <v>2114</v>
      </c>
      <c r="O797" s="20" t="s">
        <v>76</v>
      </c>
      <c r="P797" s="20" t="s">
        <v>236</v>
      </c>
      <c r="Q797" s="20" t="s">
        <v>2115</v>
      </c>
      <c r="R797" s="22" t="n">
        <v>385.41</v>
      </c>
      <c r="S797" s="20" t="n">
        <v>6</v>
      </c>
      <c r="T797" s="20" t="n">
        <v>0</v>
      </c>
      <c r="U797" s="22" t="n">
        <v>116.55</v>
      </c>
      <c r="V797" s="23" t="n">
        <f aca="false">IF(ISNUMBER(C797),YEAR(C797),"")</f>
        <v>2017</v>
      </c>
      <c r="W797" s="23" t="n">
        <f aca="false">IF(ISNUMBER(C797),MONTH(C797),"")</f>
        <v>12</v>
      </c>
      <c r="X797" s="23" t="str">
        <f aca="false">IF(T797="","",IF(T797=0,"No discount",IF(T797&lt;=0.2,"Low (1-20%)",IF(T797&lt;=0.4,"Medium (21-40%)","High (&gt;40%)"))))</f>
        <v>No discount</v>
      </c>
      <c r="Y797" s="23" t="n">
        <f aca="false">IF(AND(ISNUMBER(C797),ISNUMBER(D797)),D797-C797,"")</f>
        <v>6</v>
      </c>
      <c r="Z797" s="23" t="n">
        <f aca="false">IF(B797="","",IF(MATCH(B797,$B$2:$B$12000,0)=ROW()-1,1,0))</f>
        <v>0</v>
      </c>
    </row>
    <row r="798" customFormat="false" ht="15" hidden="false" customHeight="false" outlineLevel="0" collapsed="false">
      <c r="A798" s="20" t="n">
        <v>797</v>
      </c>
      <c r="B798" s="20" t="s">
        <v>2116</v>
      </c>
      <c r="C798" s="21" t="n">
        <v>43091</v>
      </c>
      <c r="D798" s="21" t="n">
        <v>43098</v>
      </c>
      <c r="E798" s="20" t="s">
        <v>90</v>
      </c>
      <c r="F798" s="20" t="s">
        <v>213</v>
      </c>
      <c r="G798" s="20" t="s">
        <v>214</v>
      </c>
      <c r="H798" s="20" t="s">
        <v>162</v>
      </c>
      <c r="I798" s="20" t="s">
        <v>62</v>
      </c>
      <c r="J798" s="20" t="s">
        <v>63</v>
      </c>
      <c r="K798" s="20" t="s">
        <v>909</v>
      </c>
      <c r="L798" s="20" t="n">
        <v>27082</v>
      </c>
      <c r="M798" s="20" t="s">
        <v>97</v>
      </c>
      <c r="N798" s="20" t="s">
        <v>2117</v>
      </c>
      <c r="O798" s="20" t="s">
        <v>76</v>
      </c>
      <c r="P798" s="20" t="s">
        <v>122</v>
      </c>
      <c r="Q798" s="20" t="s">
        <v>2118</v>
      </c>
      <c r="R798" s="22" t="n">
        <v>145.93</v>
      </c>
      <c r="S798" s="20" t="n">
        <v>6</v>
      </c>
      <c r="T798" s="20" t="n">
        <v>0.5</v>
      </c>
      <c r="U798" s="22" t="n">
        <v>-2.28</v>
      </c>
      <c r="V798" s="23" t="n">
        <f aca="false">IF(ISNUMBER(C798),YEAR(C798),"")</f>
        <v>2017</v>
      </c>
      <c r="W798" s="23" t="n">
        <f aca="false">IF(ISNUMBER(C798),MONTH(C798),"")</f>
        <v>12</v>
      </c>
      <c r="X798" s="23" t="str">
        <f aca="false">IF(T798="","",IF(T798=0,"No discount",IF(T798&lt;=0.2,"Low (1-20%)",IF(T798&lt;=0.4,"Medium (21-40%)","High (&gt;40%)"))))</f>
        <v>High (&gt;40%)</v>
      </c>
      <c r="Y798" s="23" t="n">
        <f aca="false">IF(AND(ISNUMBER(C798),ISNUMBER(D798)),D798-C798,"")</f>
        <v>7</v>
      </c>
      <c r="Z798" s="23" t="n">
        <f aca="false">IF(B798="","",IF(MATCH(B798,$B$2:$B$12000,0)=ROW()-1,1,0))</f>
        <v>1</v>
      </c>
    </row>
    <row r="799" customFormat="false" ht="15" hidden="false" customHeight="false" outlineLevel="0" collapsed="false">
      <c r="A799" s="20" t="n">
        <v>798</v>
      </c>
      <c r="B799" s="20" t="s">
        <v>2116</v>
      </c>
      <c r="C799" s="21" t="n">
        <v>43091</v>
      </c>
      <c r="D799" s="21" t="n">
        <v>43098</v>
      </c>
      <c r="E799" s="20" t="s">
        <v>104</v>
      </c>
      <c r="F799" s="20" t="s">
        <v>213</v>
      </c>
      <c r="G799" s="20" t="s">
        <v>214</v>
      </c>
      <c r="H799" s="20" t="s">
        <v>162</v>
      </c>
      <c r="I799" s="20" t="s">
        <v>62</v>
      </c>
      <c r="J799" s="20" t="s">
        <v>63</v>
      </c>
      <c r="K799" s="20" t="s">
        <v>909</v>
      </c>
      <c r="L799" s="20" t="n">
        <v>25527</v>
      </c>
      <c r="M799" s="20" t="s">
        <v>97</v>
      </c>
      <c r="N799" s="20" t="s">
        <v>2119</v>
      </c>
      <c r="O799" s="20" t="s">
        <v>114</v>
      </c>
      <c r="P799" s="20" t="s">
        <v>139</v>
      </c>
      <c r="Q799" s="20" t="s">
        <v>2120</v>
      </c>
      <c r="R799" s="22" t="n">
        <v>937.25</v>
      </c>
      <c r="S799" s="20" t="n">
        <v>5</v>
      </c>
      <c r="T799" s="20" t="n">
        <v>0.2</v>
      </c>
      <c r="U799" s="22" t="n">
        <v>-132.75</v>
      </c>
      <c r="V799" s="23" t="n">
        <f aca="false">IF(ISNUMBER(C799),YEAR(C799),"")</f>
        <v>2017</v>
      </c>
      <c r="W799" s="23" t="n">
        <f aca="false">IF(ISNUMBER(C799),MONTH(C799),"")</f>
        <v>12</v>
      </c>
      <c r="X799" s="23" t="str">
        <f aca="false">IF(T799="","",IF(T799=0,"No discount",IF(T799&lt;=0.2,"Low (1-20%)",IF(T799&lt;=0.4,"Medium (21-40%)","High (&gt;40%)"))))</f>
        <v>Low (1-20%)</v>
      </c>
      <c r="Y799" s="23" t="n">
        <f aca="false">IF(AND(ISNUMBER(C799),ISNUMBER(D799)),D799-C799,"")</f>
        <v>7</v>
      </c>
      <c r="Z799" s="23" t="n">
        <f aca="false">IF(B799="","",IF(MATCH(B799,$B$2:$B$12000,0)=ROW()-1,1,0))</f>
        <v>0</v>
      </c>
    </row>
    <row r="800" customFormat="false" ht="15" hidden="false" customHeight="false" outlineLevel="0" collapsed="false">
      <c r="A800" s="20" t="n">
        <v>799</v>
      </c>
      <c r="B800" s="20" t="s">
        <v>2116</v>
      </c>
      <c r="C800" s="21" t="n">
        <v>43091</v>
      </c>
      <c r="D800" s="21" t="n">
        <v>43098</v>
      </c>
      <c r="E800" s="20" t="s">
        <v>104</v>
      </c>
      <c r="F800" s="20" t="s">
        <v>213</v>
      </c>
      <c r="G800" s="20" t="s">
        <v>214</v>
      </c>
      <c r="H800" s="20" t="s">
        <v>162</v>
      </c>
      <c r="I800" s="20" t="s">
        <v>62</v>
      </c>
      <c r="J800" s="20" t="s">
        <v>63</v>
      </c>
      <c r="K800" s="20" t="s">
        <v>909</v>
      </c>
      <c r="L800" s="20" t="n">
        <v>32871</v>
      </c>
      <c r="M800" s="20" t="s">
        <v>97</v>
      </c>
      <c r="N800" s="20" t="s">
        <v>2121</v>
      </c>
      <c r="O800" s="20" t="s">
        <v>114</v>
      </c>
      <c r="P800" s="20" t="s">
        <v>167</v>
      </c>
      <c r="Q800" s="20" t="s">
        <v>1561</v>
      </c>
      <c r="R800" s="22" t="n">
        <v>3294.11</v>
      </c>
      <c r="S800" s="20" t="n">
        <v>6</v>
      </c>
      <c r="T800" s="20" t="n">
        <v>0.2</v>
      </c>
      <c r="U800" s="22" t="n">
        <v>-581.61</v>
      </c>
      <c r="V800" s="23" t="n">
        <f aca="false">IF(ISNUMBER(C800),YEAR(C800),"")</f>
        <v>2017</v>
      </c>
      <c r="W800" s="23" t="n">
        <f aca="false">IF(ISNUMBER(C800),MONTH(C800),"")</f>
        <v>12</v>
      </c>
      <c r="X800" s="23" t="str">
        <f aca="false">IF(T800="","",IF(T800=0,"No discount",IF(T800&lt;=0.2,"Low (1-20%)",IF(T800&lt;=0.4,"Medium (21-40%)","High (&gt;40%)"))))</f>
        <v>Low (1-20%)</v>
      </c>
      <c r="Y800" s="23" t="n">
        <f aca="false">IF(AND(ISNUMBER(C800),ISNUMBER(D800)),D800-C800,"")</f>
        <v>7</v>
      </c>
      <c r="Z800" s="23" t="n">
        <f aca="false">IF(B800="","",IF(MATCH(B800,$B$2:$B$12000,0)=ROW()-1,1,0))</f>
        <v>0</v>
      </c>
    </row>
    <row r="801" customFormat="false" ht="15" hidden="false" customHeight="false" outlineLevel="0" collapsed="false">
      <c r="A801" s="20" t="n">
        <v>800</v>
      </c>
      <c r="B801" s="20" t="s">
        <v>2122</v>
      </c>
      <c r="C801" s="21" t="n">
        <v>43097</v>
      </c>
      <c r="D801" s="21" t="n">
        <v>43098</v>
      </c>
      <c r="E801" s="20" t="s">
        <v>71</v>
      </c>
      <c r="F801" s="20" t="s">
        <v>964</v>
      </c>
      <c r="G801" s="20" t="s">
        <v>965</v>
      </c>
      <c r="H801" s="20" t="s">
        <v>85</v>
      </c>
      <c r="I801" s="20" t="s">
        <v>62</v>
      </c>
      <c r="J801" s="20" t="s">
        <v>63</v>
      </c>
      <c r="K801" s="20" t="s">
        <v>215</v>
      </c>
      <c r="L801" s="20" t="n">
        <v>88414</v>
      </c>
      <c r="M801" s="20" t="s">
        <v>112</v>
      </c>
      <c r="N801" s="20" t="s">
        <v>2123</v>
      </c>
      <c r="O801" s="20" t="s">
        <v>76</v>
      </c>
      <c r="P801" s="20" t="s">
        <v>128</v>
      </c>
      <c r="Q801" s="20" t="s">
        <v>2124</v>
      </c>
      <c r="R801" s="22" t="n">
        <v>333.09</v>
      </c>
      <c r="S801" s="20" t="n">
        <v>2</v>
      </c>
      <c r="T801" s="20" t="n">
        <v>0.4</v>
      </c>
      <c r="U801" s="22" t="n">
        <v>-29.83</v>
      </c>
      <c r="V801" s="23" t="n">
        <f aca="false">IF(ISNUMBER(C801),YEAR(C801),"")</f>
        <v>2017</v>
      </c>
      <c r="W801" s="23" t="n">
        <f aca="false">IF(ISNUMBER(C801),MONTH(C801),"")</f>
        <v>12</v>
      </c>
      <c r="X801" s="23" t="str">
        <f aca="false">IF(T801="","",IF(T801=0,"No discount",IF(T801&lt;=0.2,"Low (1-20%)",IF(T801&lt;=0.4,"Medium (21-40%)","High (&gt;40%)"))))</f>
        <v>Medium (21-40%)</v>
      </c>
      <c r="Y801" s="23" t="n">
        <f aca="false">IF(AND(ISNUMBER(C801),ISNUMBER(D801)),D801-C801,"")</f>
        <v>1</v>
      </c>
      <c r="Z801" s="23" t="n">
        <f aca="false">IF(B801="","",IF(MATCH(B801,$B$2:$B$12000,0)=ROW()-1,1,0))</f>
        <v>1</v>
      </c>
    </row>
    <row r="802" customFormat="false" ht="15" hidden="false" customHeight="false" outlineLevel="0" collapsed="false">
      <c r="V802" s="23" t="str">
        <f aca="false">IF(ISNUMBER(C802),YEAR(C802),"")</f>
        <v/>
      </c>
      <c r="W802" s="23" t="str">
        <f aca="false">IF(ISNUMBER(C802),MONTH(C802),"")</f>
        <v/>
      </c>
      <c r="X802" s="23" t="str">
        <f aca="false">IF(T802="","",IF(T802=0,"No discount",IF(T802&lt;=0.2,"Low (1-20%)",IF(T802&lt;=0.4,"Medium (21-40%)","High (&gt;40%)"))))</f>
        <v/>
      </c>
      <c r="Y802" s="23" t="str">
        <f aca="false">IF(AND(ISNUMBER(C802),ISNUMBER(D802)),D802-C802,"")</f>
        <v/>
      </c>
      <c r="Z802" s="23" t="str">
        <f aca="false">IF(B802="","",IF(MATCH(B802,$B$2:$B$12000,0)=ROW()-1,1,0))</f>
        <v/>
      </c>
    </row>
    <row r="803" customFormat="false" ht="15" hidden="false" customHeight="false" outlineLevel="0" collapsed="false">
      <c r="V803" s="23" t="str">
        <f aca="false">IF(ISNUMBER(C803),YEAR(C803),"")</f>
        <v/>
      </c>
      <c r="W803" s="23" t="str">
        <f aca="false">IF(ISNUMBER(C803),MONTH(C803),"")</f>
        <v/>
      </c>
      <c r="X803" s="23" t="str">
        <f aca="false">IF(T803="","",IF(T803=0,"No discount",IF(T803&lt;=0.2,"Low (1-20%)",IF(T803&lt;=0.4,"Medium (21-40%)","High (&gt;40%)"))))</f>
        <v/>
      </c>
      <c r="Y803" s="23" t="str">
        <f aca="false">IF(AND(ISNUMBER(C803),ISNUMBER(D803)),D803-C803,"")</f>
        <v/>
      </c>
      <c r="Z803" s="23" t="str">
        <f aca="false">IF(B803="","",IF(MATCH(B803,$B$2:$B$12000,0)=ROW()-1,1,0))</f>
        <v/>
      </c>
    </row>
    <row r="804" customFormat="false" ht="15" hidden="false" customHeight="false" outlineLevel="0" collapsed="false">
      <c r="V804" s="23" t="str">
        <f aca="false">IF(ISNUMBER(C804),YEAR(C804),"")</f>
        <v/>
      </c>
      <c r="W804" s="23" t="str">
        <f aca="false">IF(ISNUMBER(C804),MONTH(C804),"")</f>
        <v/>
      </c>
      <c r="X804" s="23" t="str">
        <f aca="false">IF(T804="","",IF(T804=0,"No discount",IF(T804&lt;=0.2,"Low (1-20%)",IF(T804&lt;=0.4,"Medium (21-40%)","High (&gt;40%)"))))</f>
        <v/>
      </c>
      <c r="Y804" s="23" t="str">
        <f aca="false">IF(AND(ISNUMBER(C804),ISNUMBER(D804)),D804-C804,"")</f>
        <v/>
      </c>
      <c r="Z804" s="23" t="str">
        <f aca="false">IF(B804="","",IF(MATCH(B804,$B$2:$B$12000,0)=ROW()-1,1,0))</f>
        <v/>
      </c>
    </row>
    <row r="805" customFormat="false" ht="15" hidden="false" customHeight="false" outlineLevel="0" collapsed="false">
      <c r="V805" s="23" t="str">
        <f aca="false">IF(ISNUMBER(C805),YEAR(C805),"")</f>
        <v/>
      </c>
      <c r="W805" s="23" t="str">
        <f aca="false">IF(ISNUMBER(C805),MONTH(C805),"")</f>
        <v/>
      </c>
      <c r="X805" s="23" t="str">
        <f aca="false">IF(T805="","",IF(T805=0,"No discount",IF(T805&lt;=0.2,"Low (1-20%)",IF(T805&lt;=0.4,"Medium (21-40%)","High (&gt;40%)"))))</f>
        <v/>
      </c>
      <c r="Y805" s="23" t="str">
        <f aca="false">IF(AND(ISNUMBER(C805),ISNUMBER(D805)),D805-C805,"")</f>
        <v/>
      </c>
      <c r="Z805" s="23" t="str">
        <f aca="false">IF(B805="","",IF(MATCH(B805,$B$2:$B$12000,0)=ROW()-1,1,0))</f>
        <v/>
      </c>
    </row>
    <row r="806" customFormat="false" ht="15" hidden="false" customHeight="false" outlineLevel="0" collapsed="false">
      <c r="V806" s="23" t="str">
        <f aca="false">IF(ISNUMBER(C806),YEAR(C806),"")</f>
        <v/>
      </c>
      <c r="W806" s="23" t="str">
        <f aca="false">IF(ISNUMBER(C806),MONTH(C806),"")</f>
        <v/>
      </c>
      <c r="X806" s="23" t="str">
        <f aca="false">IF(T806="","",IF(T806=0,"No discount",IF(T806&lt;=0.2,"Low (1-20%)",IF(T806&lt;=0.4,"Medium (21-40%)","High (&gt;40%)"))))</f>
        <v/>
      </c>
      <c r="Y806" s="23" t="str">
        <f aca="false">IF(AND(ISNUMBER(C806),ISNUMBER(D806)),D806-C806,"")</f>
        <v/>
      </c>
      <c r="Z806" s="23" t="str">
        <f aca="false">IF(B806="","",IF(MATCH(B806,$B$2:$B$12000,0)=ROW()-1,1,0))</f>
        <v/>
      </c>
    </row>
    <row r="807" customFormat="false" ht="15" hidden="false" customHeight="false" outlineLevel="0" collapsed="false">
      <c r="V807" s="23" t="str">
        <f aca="false">IF(ISNUMBER(C807),YEAR(C807),"")</f>
        <v/>
      </c>
      <c r="W807" s="23" t="str">
        <f aca="false">IF(ISNUMBER(C807),MONTH(C807),"")</f>
        <v/>
      </c>
      <c r="X807" s="23" t="str">
        <f aca="false">IF(T807="","",IF(T807=0,"No discount",IF(T807&lt;=0.2,"Low (1-20%)",IF(T807&lt;=0.4,"Medium (21-40%)","High (&gt;40%)"))))</f>
        <v/>
      </c>
      <c r="Y807" s="23" t="str">
        <f aca="false">IF(AND(ISNUMBER(C807),ISNUMBER(D807)),D807-C807,"")</f>
        <v/>
      </c>
      <c r="Z807" s="23" t="str">
        <f aca="false">IF(B807="","",IF(MATCH(B807,$B$2:$B$12000,0)=ROW()-1,1,0))</f>
        <v/>
      </c>
    </row>
    <row r="808" customFormat="false" ht="15" hidden="false" customHeight="false" outlineLevel="0" collapsed="false">
      <c r="V808" s="23" t="str">
        <f aca="false">IF(ISNUMBER(C808),YEAR(C808),"")</f>
        <v/>
      </c>
      <c r="W808" s="23" t="str">
        <f aca="false">IF(ISNUMBER(C808),MONTH(C808),"")</f>
        <v/>
      </c>
      <c r="X808" s="23" t="str">
        <f aca="false">IF(T808="","",IF(T808=0,"No discount",IF(T808&lt;=0.2,"Low (1-20%)",IF(T808&lt;=0.4,"Medium (21-40%)","High (&gt;40%)"))))</f>
        <v/>
      </c>
      <c r="Y808" s="23" t="str">
        <f aca="false">IF(AND(ISNUMBER(C808),ISNUMBER(D808)),D808-C808,"")</f>
        <v/>
      </c>
      <c r="Z808" s="23" t="str">
        <f aca="false">IF(B808="","",IF(MATCH(B808,$B$2:$B$12000,0)=ROW()-1,1,0))</f>
        <v/>
      </c>
    </row>
    <row r="809" customFormat="false" ht="15" hidden="false" customHeight="false" outlineLevel="0" collapsed="false">
      <c r="V809" s="23" t="str">
        <f aca="false">IF(ISNUMBER(C809),YEAR(C809),"")</f>
        <v/>
      </c>
      <c r="W809" s="23" t="str">
        <f aca="false">IF(ISNUMBER(C809),MONTH(C809),"")</f>
        <v/>
      </c>
      <c r="X809" s="23" t="str">
        <f aca="false">IF(T809="","",IF(T809=0,"No discount",IF(T809&lt;=0.2,"Low (1-20%)",IF(T809&lt;=0.4,"Medium (21-40%)","High (&gt;40%)"))))</f>
        <v/>
      </c>
      <c r="Y809" s="23" t="str">
        <f aca="false">IF(AND(ISNUMBER(C809),ISNUMBER(D809)),D809-C809,"")</f>
        <v/>
      </c>
      <c r="Z809" s="23" t="str">
        <f aca="false">IF(B809="","",IF(MATCH(B809,$B$2:$B$12000,0)=ROW()-1,1,0))</f>
        <v/>
      </c>
    </row>
    <row r="810" customFormat="false" ht="15" hidden="false" customHeight="false" outlineLevel="0" collapsed="false">
      <c r="V810" s="23" t="str">
        <f aca="false">IF(ISNUMBER(C810),YEAR(C810),"")</f>
        <v/>
      </c>
      <c r="W810" s="23" t="str">
        <f aca="false">IF(ISNUMBER(C810),MONTH(C810),"")</f>
        <v/>
      </c>
      <c r="X810" s="23" t="str">
        <f aca="false">IF(T810="","",IF(T810=0,"No discount",IF(T810&lt;=0.2,"Low (1-20%)",IF(T810&lt;=0.4,"Medium (21-40%)","High (&gt;40%)"))))</f>
        <v/>
      </c>
      <c r="Y810" s="23" t="str">
        <f aca="false">IF(AND(ISNUMBER(C810),ISNUMBER(D810)),D810-C810,"")</f>
        <v/>
      </c>
      <c r="Z810" s="23" t="str">
        <f aca="false">IF(B810="","",IF(MATCH(B810,$B$2:$B$12000,0)=ROW()-1,1,0))</f>
        <v/>
      </c>
    </row>
    <row r="811" customFormat="false" ht="15" hidden="false" customHeight="false" outlineLevel="0" collapsed="false">
      <c r="V811" s="23" t="str">
        <f aca="false">IF(ISNUMBER(C811),YEAR(C811),"")</f>
        <v/>
      </c>
      <c r="W811" s="23" t="str">
        <f aca="false">IF(ISNUMBER(C811),MONTH(C811),"")</f>
        <v/>
      </c>
      <c r="X811" s="23" t="str">
        <f aca="false">IF(T811="","",IF(T811=0,"No discount",IF(T811&lt;=0.2,"Low (1-20%)",IF(T811&lt;=0.4,"Medium (21-40%)","High (&gt;40%)"))))</f>
        <v/>
      </c>
      <c r="Y811" s="23" t="str">
        <f aca="false">IF(AND(ISNUMBER(C811),ISNUMBER(D811)),D811-C811,"")</f>
        <v/>
      </c>
      <c r="Z811" s="23" t="str">
        <f aca="false">IF(B811="","",IF(MATCH(B811,$B$2:$B$12000,0)=ROW()-1,1,0))</f>
        <v/>
      </c>
    </row>
    <row r="812" customFormat="false" ht="15" hidden="false" customHeight="false" outlineLevel="0" collapsed="false">
      <c r="V812" s="23" t="str">
        <f aca="false">IF(ISNUMBER(C812),YEAR(C812),"")</f>
        <v/>
      </c>
      <c r="W812" s="23" t="str">
        <f aca="false">IF(ISNUMBER(C812),MONTH(C812),"")</f>
        <v/>
      </c>
      <c r="X812" s="23" t="str">
        <f aca="false">IF(T812="","",IF(T812=0,"No discount",IF(T812&lt;=0.2,"Low (1-20%)",IF(T812&lt;=0.4,"Medium (21-40%)","High (&gt;40%)"))))</f>
        <v/>
      </c>
      <c r="Y812" s="23" t="str">
        <f aca="false">IF(AND(ISNUMBER(C812),ISNUMBER(D812)),D812-C812,"")</f>
        <v/>
      </c>
      <c r="Z812" s="23" t="str">
        <f aca="false">IF(B812="","",IF(MATCH(B812,$B$2:$B$12000,0)=ROW()-1,1,0))</f>
        <v/>
      </c>
    </row>
    <row r="813" customFormat="false" ht="15" hidden="false" customHeight="false" outlineLevel="0" collapsed="false">
      <c r="V813" s="23" t="str">
        <f aca="false">IF(ISNUMBER(C813),YEAR(C813),"")</f>
        <v/>
      </c>
      <c r="W813" s="23" t="str">
        <f aca="false">IF(ISNUMBER(C813),MONTH(C813),"")</f>
        <v/>
      </c>
      <c r="X813" s="23" t="str">
        <f aca="false">IF(T813="","",IF(T813=0,"No discount",IF(T813&lt;=0.2,"Low (1-20%)",IF(T813&lt;=0.4,"Medium (21-40%)","High (&gt;40%)"))))</f>
        <v/>
      </c>
      <c r="Y813" s="23" t="str">
        <f aca="false">IF(AND(ISNUMBER(C813),ISNUMBER(D813)),D813-C813,"")</f>
        <v/>
      </c>
      <c r="Z813" s="23" t="str">
        <f aca="false">IF(B813="","",IF(MATCH(B813,$B$2:$B$12000,0)=ROW()-1,1,0))</f>
        <v/>
      </c>
    </row>
    <row r="814" customFormat="false" ht="15" hidden="false" customHeight="false" outlineLevel="0" collapsed="false">
      <c r="V814" s="23" t="str">
        <f aca="false">IF(ISNUMBER(C814),YEAR(C814),"")</f>
        <v/>
      </c>
      <c r="W814" s="23" t="str">
        <f aca="false">IF(ISNUMBER(C814),MONTH(C814),"")</f>
        <v/>
      </c>
      <c r="X814" s="23" t="str">
        <f aca="false">IF(T814="","",IF(T814=0,"No discount",IF(T814&lt;=0.2,"Low (1-20%)",IF(T814&lt;=0.4,"Medium (21-40%)","High (&gt;40%)"))))</f>
        <v/>
      </c>
      <c r="Y814" s="23" t="str">
        <f aca="false">IF(AND(ISNUMBER(C814),ISNUMBER(D814)),D814-C814,"")</f>
        <v/>
      </c>
      <c r="Z814" s="23" t="str">
        <f aca="false">IF(B814="","",IF(MATCH(B814,$B$2:$B$12000,0)=ROW()-1,1,0))</f>
        <v/>
      </c>
    </row>
    <row r="815" customFormat="false" ht="15" hidden="false" customHeight="false" outlineLevel="0" collapsed="false">
      <c r="V815" s="23" t="str">
        <f aca="false">IF(ISNUMBER(C815),YEAR(C815),"")</f>
        <v/>
      </c>
      <c r="W815" s="23" t="str">
        <f aca="false">IF(ISNUMBER(C815),MONTH(C815),"")</f>
        <v/>
      </c>
      <c r="X815" s="23" t="str">
        <f aca="false">IF(T815="","",IF(T815=0,"No discount",IF(T815&lt;=0.2,"Low (1-20%)",IF(T815&lt;=0.4,"Medium (21-40%)","High (&gt;40%)"))))</f>
        <v/>
      </c>
      <c r="Y815" s="23" t="str">
        <f aca="false">IF(AND(ISNUMBER(C815),ISNUMBER(D815)),D815-C815,"")</f>
        <v/>
      </c>
      <c r="Z815" s="23" t="str">
        <f aca="false">IF(B815="","",IF(MATCH(B815,$B$2:$B$12000,0)=ROW()-1,1,0))</f>
        <v/>
      </c>
    </row>
    <row r="816" customFormat="false" ht="15" hidden="false" customHeight="false" outlineLevel="0" collapsed="false">
      <c r="V816" s="23" t="str">
        <f aca="false">IF(ISNUMBER(C816),YEAR(C816),"")</f>
        <v/>
      </c>
      <c r="W816" s="23" t="str">
        <f aca="false">IF(ISNUMBER(C816),MONTH(C816),"")</f>
        <v/>
      </c>
      <c r="X816" s="23" t="str">
        <f aca="false">IF(T816="","",IF(T816=0,"No discount",IF(T816&lt;=0.2,"Low (1-20%)",IF(T816&lt;=0.4,"Medium (21-40%)","High (&gt;40%)"))))</f>
        <v/>
      </c>
      <c r="Y816" s="23" t="str">
        <f aca="false">IF(AND(ISNUMBER(C816),ISNUMBER(D816)),D816-C816,"")</f>
        <v/>
      </c>
      <c r="Z816" s="23" t="str">
        <f aca="false">IF(B816="","",IF(MATCH(B816,$B$2:$B$12000,0)=ROW()-1,1,0))</f>
        <v/>
      </c>
    </row>
    <row r="817" customFormat="false" ht="15" hidden="false" customHeight="false" outlineLevel="0" collapsed="false">
      <c r="V817" s="23" t="str">
        <f aca="false">IF(ISNUMBER(C817),YEAR(C817),"")</f>
        <v/>
      </c>
      <c r="W817" s="23" t="str">
        <f aca="false">IF(ISNUMBER(C817),MONTH(C817),"")</f>
        <v/>
      </c>
      <c r="X817" s="23" t="str">
        <f aca="false">IF(T817="","",IF(T817=0,"No discount",IF(T817&lt;=0.2,"Low (1-20%)",IF(T817&lt;=0.4,"Medium (21-40%)","High (&gt;40%)"))))</f>
        <v/>
      </c>
      <c r="Y817" s="23" t="str">
        <f aca="false">IF(AND(ISNUMBER(C817),ISNUMBER(D817)),D817-C817,"")</f>
        <v/>
      </c>
      <c r="Z817" s="23" t="str">
        <f aca="false">IF(B817="","",IF(MATCH(B817,$B$2:$B$12000,0)=ROW()-1,1,0))</f>
        <v/>
      </c>
    </row>
    <row r="818" customFormat="false" ht="15" hidden="false" customHeight="false" outlineLevel="0" collapsed="false">
      <c r="V818" s="23" t="str">
        <f aca="false">IF(ISNUMBER(C818),YEAR(C818),"")</f>
        <v/>
      </c>
      <c r="W818" s="23" t="str">
        <f aca="false">IF(ISNUMBER(C818),MONTH(C818),"")</f>
        <v/>
      </c>
      <c r="X818" s="23" t="str">
        <f aca="false">IF(T818="","",IF(T818=0,"No discount",IF(T818&lt;=0.2,"Low (1-20%)",IF(T818&lt;=0.4,"Medium (21-40%)","High (&gt;40%)"))))</f>
        <v/>
      </c>
      <c r="Y818" s="23" t="str">
        <f aca="false">IF(AND(ISNUMBER(C818),ISNUMBER(D818)),D818-C818,"")</f>
        <v/>
      </c>
      <c r="Z818" s="23" t="str">
        <f aca="false">IF(B818="","",IF(MATCH(B818,$B$2:$B$12000,0)=ROW()-1,1,0))</f>
        <v/>
      </c>
    </row>
    <row r="819" customFormat="false" ht="15" hidden="false" customHeight="false" outlineLevel="0" collapsed="false">
      <c r="V819" s="23" t="str">
        <f aca="false">IF(ISNUMBER(C819),YEAR(C819),"")</f>
        <v/>
      </c>
      <c r="W819" s="23" t="str">
        <f aca="false">IF(ISNUMBER(C819),MONTH(C819),"")</f>
        <v/>
      </c>
      <c r="X819" s="23" t="str">
        <f aca="false">IF(T819="","",IF(T819=0,"No discount",IF(T819&lt;=0.2,"Low (1-20%)",IF(T819&lt;=0.4,"Medium (21-40%)","High (&gt;40%)"))))</f>
        <v/>
      </c>
      <c r="Y819" s="23" t="str">
        <f aca="false">IF(AND(ISNUMBER(C819),ISNUMBER(D819)),D819-C819,"")</f>
        <v/>
      </c>
      <c r="Z819" s="23" t="str">
        <f aca="false">IF(B819="","",IF(MATCH(B819,$B$2:$B$12000,0)=ROW()-1,1,0))</f>
        <v/>
      </c>
    </row>
    <row r="820" customFormat="false" ht="15" hidden="false" customHeight="false" outlineLevel="0" collapsed="false">
      <c r="V820" s="23" t="str">
        <f aca="false">IF(ISNUMBER(C820),YEAR(C820),"")</f>
        <v/>
      </c>
      <c r="W820" s="23" t="str">
        <f aca="false">IF(ISNUMBER(C820),MONTH(C820),"")</f>
        <v/>
      </c>
      <c r="X820" s="23" t="str">
        <f aca="false">IF(T820="","",IF(T820=0,"No discount",IF(T820&lt;=0.2,"Low (1-20%)",IF(T820&lt;=0.4,"Medium (21-40%)","High (&gt;40%)"))))</f>
        <v/>
      </c>
      <c r="Y820" s="23" t="str">
        <f aca="false">IF(AND(ISNUMBER(C820),ISNUMBER(D820)),D820-C820,"")</f>
        <v/>
      </c>
      <c r="Z820" s="23" t="str">
        <f aca="false">IF(B820="","",IF(MATCH(B820,$B$2:$B$12000,0)=ROW()-1,1,0))</f>
        <v/>
      </c>
    </row>
    <row r="821" customFormat="false" ht="15" hidden="false" customHeight="false" outlineLevel="0" collapsed="false">
      <c r="V821" s="23" t="str">
        <f aca="false">IF(ISNUMBER(C821),YEAR(C821),"")</f>
        <v/>
      </c>
      <c r="W821" s="23" t="str">
        <f aca="false">IF(ISNUMBER(C821),MONTH(C821),"")</f>
        <v/>
      </c>
      <c r="X821" s="23" t="str">
        <f aca="false">IF(T821="","",IF(T821=0,"No discount",IF(T821&lt;=0.2,"Low (1-20%)",IF(T821&lt;=0.4,"Medium (21-40%)","High (&gt;40%)"))))</f>
        <v/>
      </c>
      <c r="Y821" s="23" t="str">
        <f aca="false">IF(AND(ISNUMBER(C821),ISNUMBER(D821)),D821-C821,"")</f>
        <v/>
      </c>
      <c r="Z821" s="23" t="str">
        <f aca="false">IF(B821="","",IF(MATCH(B821,$B$2:$B$12000,0)=ROW()-1,1,0))</f>
        <v/>
      </c>
    </row>
    <row r="822" customFormat="false" ht="15" hidden="false" customHeight="false" outlineLevel="0" collapsed="false">
      <c r="V822" s="23" t="str">
        <f aca="false">IF(ISNUMBER(C822),YEAR(C822),"")</f>
        <v/>
      </c>
      <c r="W822" s="23" t="str">
        <f aca="false">IF(ISNUMBER(C822),MONTH(C822),"")</f>
        <v/>
      </c>
      <c r="X822" s="23" t="str">
        <f aca="false">IF(T822="","",IF(T822=0,"No discount",IF(T822&lt;=0.2,"Low (1-20%)",IF(T822&lt;=0.4,"Medium (21-40%)","High (&gt;40%)"))))</f>
        <v/>
      </c>
      <c r="Y822" s="23" t="str">
        <f aca="false">IF(AND(ISNUMBER(C822),ISNUMBER(D822)),D822-C822,"")</f>
        <v/>
      </c>
      <c r="Z822" s="23" t="str">
        <f aca="false">IF(B822="","",IF(MATCH(B822,$B$2:$B$12000,0)=ROW()-1,1,0))</f>
        <v/>
      </c>
    </row>
    <row r="823" customFormat="false" ht="15" hidden="false" customHeight="false" outlineLevel="0" collapsed="false">
      <c r="V823" s="23" t="str">
        <f aca="false">IF(ISNUMBER(C823),YEAR(C823),"")</f>
        <v/>
      </c>
      <c r="W823" s="23" t="str">
        <f aca="false">IF(ISNUMBER(C823),MONTH(C823),"")</f>
        <v/>
      </c>
      <c r="X823" s="23" t="str">
        <f aca="false">IF(T823="","",IF(T823=0,"No discount",IF(T823&lt;=0.2,"Low (1-20%)",IF(T823&lt;=0.4,"Medium (21-40%)","High (&gt;40%)"))))</f>
        <v/>
      </c>
      <c r="Y823" s="23" t="str">
        <f aca="false">IF(AND(ISNUMBER(C823),ISNUMBER(D823)),D823-C823,"")</f>
        <v/>
      </c>
      <c r="Z823" s="23" t="str">
        <f aca="false">IF(B823="","",IF(MATCH(B823,$B$2:$B$12000,0)=ROW()-1,1,0))</f>
        <v/>
      </c>
    </row>
    <row r="824" customFormat="false" ht="15" hidden="false" customHeight="false" outlineLevel="0" collapsed="false">
      <c r="V824" s="23" t="str">
        <f aca="false">IF(ISNUMBER(C824),YEAR(C824),"")</f>
        <v/>
      </c>
      <c r="W824" s="23" t="str">
        <f aca="false">IF(ISNUMBER(C824),MONTH(C824),"")</f>
        <v/>
      </c>
      <c r="X824" s="23" t="str">
        <f aca="false">IF(T824="","",IF(T824=0,"No discount",IF(T824&lt;=0.2,"Low (1-20%)",IF(T824&lt;=0.4,"Medium (21-40%)","High (&gt;40%)"))))</f>
        <v/>
      </c>
      <c r="Y824" s="23" t="str">
        <f aca="false">IF(AND(ISNUMBER(C824),ISNUMBER(D824)),D824-C824,"")</f>
        <v/>
      </c>
      <c r="Z824" s="23" t="str">
        <f aca="false">IF(B824="","",IF(MATCH(B824,$B$2:$B$12000,0)=ROW()-1,1,0))</f>
        <v/>
      </c>
    </row>
    <row r="825" customFormat="false" ht="15" hidden="false" customHeight="false" outlineLevel="0" collapsed="false">
      <c r="V825" s="23" t="str">
        <f aca="false">IF(ISNUMBER(C825),YEAR(C825),"")</f>
        <v/>
      </c>
      <c r="W825" s="23" t="str">
        <f aca="false">IF(ISNUMBER(C825),MONTH(C825),"")</f>
        <v/>
      </c>
      <c r="X825" s="23" t="str">
        <f aca="false">IF(T825="","",IF(T825=0,"No discount",IF(T825&lt;=0.2,"Low (1-20%)",IF(T825&lt;=0.4,"Medium (21-40%)","High (&gt;40%)"))))</f>
        <v/>
      </c>
      <c r="Y825" s="23" t="str">
        <f aca="false">IF(AND(ISNUMBER(C825),ISNUMBER(D825)),D825-C825,"")</f>
        <v/>
      </c>
      <c r="Z825" s="23" t="str">
        <f aca="false">IF(B825="","",IF(MATCH(B825,$B$2:$B$12000,0)=ROW()-1,1,0))</f>
        <v/>
      </c>
    </row>
    <row r="826" customFormat="false" ht="15" hidden="false" customHeight="false" outlineLevel="0" collapsed="false">
      <c r="V826" s="23" t="str">
        <f aca="false">IF(ISNUMBER(C826),YEAR(C826),"")</f>
        <v/>
      </c>
      <c r="W826" s="23" t="str">
        <f aca="false">IF(ISNUMBER(C826),MONTH(C826),"")</f>
        <v/>
      </c>
      <c r="X826" s="23" t="str">
        <f aca="false">IF(T826="","",IF(T826=0,"No discount",IF(T826&lt;=0.2,"Low (1-20%)",IF(T826&lt;=0.4,"Medium (21-40%)","High (&gt;40%)"))))</f>
        <v/>
      </c>
      <c r="Y826" s="23" t="str">
        <f aca="false">IF(AND(ISNUMBER(C826),ISNUMBER(D826)),D826-C826,"")</f>
        <v/>
      </c>
      <c r="Z826" s="23" t="str">
        <f aca="false">IF(B826="","",IF(MATCH(B826,$B$2:$B$12000,0)=ROW()-1,1,0))</f>
        <v/>
      </c>
    </row>
    <row r="827" customFormat="false" ht="15" hidden="false" customHeight="false" outlineLevel="0" collapsed="false">
      <c r="V827" s="23" t="str">
        <f aca="false">IF(ISNUMBER(C827),YEAR(C827),"")</f>
        <v/>
      </c>
      <c r="W827" s="23" t="str">
        <f aca="false">IF(ISNUMBER(C827),MONTH(C827),"")</f>
        <v/>
      </c>
      <c r="X827" s="23" t="str">
        <f aca="false">IF(T827="","",IF(T827=0,"No discount",IF(T827&lt;=0.2,"Low (1-20%)",IF(T827&lt;=0.4,"Medium (21-40%)","High (&gt;40%)"))))</f>
        <v/>
      </c>
      <c r="Y827" s="23" t="str">
        <f aca="false">IF(AND(ISNUMBER(C827),ISNUMBER(D827)),D827-C827,"")</f>
        <v/>
      </c>
      <c r="Z827" s="23" t="str">
        <f aca="false">IF(B827="","",IF(MATCH(B827,$B$2:$B$12000,0)=ROW()-1,1,0))</f>
        <v/>
      </c>
    </row>
    <row r="828" customFormat="false" ht="15" hidden="false" customHeight="false" outlineLevel="0" collapsed="false">
      <c r="V828" s="23" t="str">
        <f aca="false">IF(ISNUMBER(C828),YEAR(C828),"")</f>
        <v/>
      </c>
      <c r="W828" s="23" t="str">
        <f aca="false">IF(ISNUMBER(C828),MONTH(C828),"")</f>
        <v/>
      </c>
      <c r="X828" s="23" t="str">
        <f aca="false">IF(T828="","",IF(T828=0,"No discount",IF(T828&lt;=0.2,"Low (1-20%)",IF(T828&lt;=0.4,"Medium (21-40%)","High (&gt;40%)"))))</f>
        <v/>
      </c>
      <c r="Y828" s="23" t="str">
        <f aca="false">IF(AND(ISNUMBER(C828),ISNUMBER(D828)),D828-C828,"")</f>
        <v/>
      </c>
      <c r="Z828" s="23" t="str">
        <f aca="false">IF(B828="","",IF(MATCH(B828,$B$2:$B$12000,0)=ROW()-1,1,0))</f>
        <v/>
      </c>
    </row>
    <row r="829" customFormat="false" ht="15" hidden="false" customHeight="false" outlineLevel="0" collapsed="false">
      <c r="V829" s="23" t="str">
        <f aca="false">IF(ISNUMBER(C829),YEAR(C829),"")</f>
        <v/>
      </c>
      <c r="W829" s="23" t="str">
        <f aca="false">IF(ISNUMBER(C829),MONTH(C829),"")</f>
        <v/>
      </c>
      <c r="X829" s="23" t="str">
        <f aca="false">IF(T829="","",IF(T829=0,"No discount",IF(T829&lt;=0.2,"Low (1-20%)",IF(T829&lt;=0.4,"Medium (21-40%)","High (&gt;40%)"))))</f>
        <v/>
      </c>
      <c r="Y829" s="23" t="str">
        <f aca="false">IF(AND(ISNUMBER(C829),ISNUMBER(D829)),D829-C829,"")</f>
        <v/>
      </c>
      <c r="Z829" s="23" t="str">
        <f aca="false">IF(B829="","",IF(MATCH(B829,$B$2:$B$12000,0)=ROW()-1,1,0))</f>
        <v/>
      </c>
    </row>
    <row r="830" customFormat="false" ht="15" hidden="false" customHeight="false" outlineLevel="0" collapsed="false">
      <c r="V830" s="23" t="str">
        <f aca="false">IF(ISNUMBER(C830),YEAR(C830),"")</f>
        <v/>
      </c>
      <c r="W830" s="23" t="str">
        <f aca="false">IF(ISNUMBER(C830),MONTH(C830),"")</f>
        <v/>
      </c>
      <c r="X830" s="23" t="str">
        <f aca="false">IF(T830="","",IF(T830=0,"No discount",IF(T830&lt;=0.2,"Low (1-20%)",IF(T830&lt;=0.4,"Medium (21-40%)","High (&gt;40%)"))))</f>
        <v/>
      </c>
      <c r="Y830" s="23" t="str">
        <f aca="false">IF(AND(ISNUMBER(C830),ISNUMBER(D830)),D830-C830,"")</f>
        <v/>
      </c>
      <c r="Z830" s="23" t="str">
        <f aca="false">IF(B830="","",IF(MATCH(B830,$B$2:$B$12000,0)=ROW()-1,1,0))</f>
        <v/>
      </c>
    </row>
    <row r="831" customFormat="false" ht="15" hidden="false" customHeight="false" outlineLevel="0" collapsed="false">
      <c r="V831" s="23" t="str">
        <f aca="false">IF(ISNUMBER(C831),YEAR(C831),"")</f>
        <v/>
      </c>
      <c r="W831" s="23" t="str">
        <f aca="false">IF(ISNUMBER(C831),MONTH(C831),"")</f>
        <v/>
      </c>
      <c r="X831" s="23" t="str">
        <f aca="false">IF(T831="","",IF(T831=0,"No discount",IF(T831&lt;=0.2,"Low (1-20%)",IF(T831&lt;=0.4,"Medium (21-40%)","High (&gt;40%)"))))</f>
        <v/>
      </c>
      <c r="Y831" s="23" t="str">
        <f aca="false">IF(AND(ISNUMBER(C831),ISNUMBER(D831)),D831-C831,"")</f>
        <v/>
      </c>
      <c r="Z831" s="23" t="str">
        <f aca="false">IF(B831="","",IF(MATCH(B831,$B$2:$B$12000,0)=ROW()-1,1,0))</f>
        <v/>
      </c>
    </row>
    <row r="832" customFormat="false" ht="15" hidden="false" customHeight="false" outlineLevel="0" collapsed="false">
      <c r="V832" s="23" t="str">
        <f aca="false">IF(ISNUMBER(C832),YEAR(C832),"")</f>
        <v/>
      </c>
      <c r="W832" s="23" t="str">
        <f aca="false">IF(ISNUMBER(C832),MONTH(C832),"")</f>
        <v/>
      </c>
      <c r="X832" s="23" t="str">
        <f aca="false">IF(T832="","",IF(T832=0,"No discount",IF(T832&lt;=0.2,"Low (1-20%)",IF(T832&lt;=0.4,"Medium (21-40%)","High (&gt;40%)"))))</f>
        <v/>
      </c>
      <c r="Y832" s="23" t="str">
        <f aca="false">IF(AND(ISNUMBER(C832),ISNUMBER(D832)),D832-C832,"")</f>
        <v/>
      </c>
      <c r="Z832" s="23" t="str">
        <f aca="false">IF(B832="","",IF(MATCH(B832,$B$2:$B$12000,0)=ROW()-1,1,0))</f>
        <v/>
      </c>
    </row>
    <row r="833" customFormat="false" ht="15" hidden="false" customHeight="false" outlineLevel="0" collapsed="false">
      <c r="V833" s="23" t="str">
        <f aca="false">IF(ISNUMBER(C833),YEAR(C833),"")</f>
        <v/>
      </c>
      <c r="W833" s="23" t="str">
        <f aca="false">IF(ISNUMBER(C833),MONTH(C833),"")</f>
        <v/>
      </c>
      <c r="X833" s="23" t="str">
        <f aca="false">IF(T833="","",IF(T833=0,"No discount",IF(T833&lt;=0.2,"Low (1-20%)",IF(T833&lt;=0.4,"Medium (21-40%)","High (&gt;40%)"))))</f>
        <v/>
      </c>
      <c r="Y833" s="23" t="str">
        <f aca="false">IF(AND(ISNUMBER(C833),ISNUMBER(D833)),D833-C833,"")</f>
        <v/>
      </c>
      <c r="Z833" s="23" t="str">
        <f aca="false">IF(B833="","",IF(MATCH(B833,$B$2:$B$12000,0)=ROW()-1,1,0))</f>
        <v/>
      </c>
    </row>
    <row r="834" customFormat="false" ht="15" hidden="false" customHeight="false" outlineLevel="0" collapsed="false">
      <c r="V834" s="23" t="str">
        <f aca="false">IF(ISNUMBER(C834),YEAR(C834),"")</f>
        <v/>
      </c>
      <c r="W834" s="23" t="str">
        <f aca="false">IF(ISNUMBER(C834),MONTH(C834),"")</f>
        <v/>
      </c>
      <c r="X834" s="23" t="str">
        <f aca="false">IF(T834="","",IF(T834=0,"No discount",IF(T834&lt;=0.2,"Low (1-20%)",IF(T834&lt;=0.4,"Medium (21-40%)","High (&gt;40%)"))))</f>
        <v/>
      </c>
      <c r="Y834" s="23" t="str">
        <f aca="false">IF(AND(ISNUMBER(C834),ISNUMBER(D834)),D834-C834,"")</f>
        <v/>
      </c>
      <c r="Z834" s="23" t="str">
        <f aca="false">IF(B834="","",IF(MATCH(B834,$B$2:$B$12000,0)=ROW()-1,1,0))</f>
        <v/>
      </c>
    </row>
    <row r="835" customFormat="false" ht="15" hidden="false" customHeight="false" outlineLevel="0" collapsed="false">
      <c r="V835" s="23" t="str">
        <f aca="false">IF(ISNUMBER(C835),YEAR(C835),"")</f>
        <v/>
      </c>
      <c r="W835" s="23" t="str">
        <f aca="false">IF(ISNUMBER(C835),MONTH(C835),"")</f>
        <v/>
      </c>
      <c r="X835" s="23" t="str">
        <f aca="false">IF(T835="","",IF(T835=0,"No discount",IF(T835&lt;=0.2,"Low (1-20%)",IF(T835&lt;=0.4,"Medium (21-40%)","High (&gt;40%)"))))</f>
        <v/>
      </c>
      <c r="Y835" s="23" t="str">
        <f aca="false">IF(AND(ISNUMBER(C835),ISNUMBER(D835)),D835-C835,"")</f>
        <v/>
      </c>
      <c r="Z835" s="23" t="str">
        <f aca="false">IF(B835="","",IF(MATCH(B835,$B$2:$B$12000,0)=ROW()-1,1,0))</f>
        <v/>
      </c>
    </row>
    <row r="836" customFormat="false" ht="15" hidden="false" customHeight="false" outlineLevel="0" collapsed="false">
      <c r="V836" s="23" t="str">
        <f aca="false">IF(ISNUMBER(C836),YEAR(C836),"")</f>
        <v/>
      </c>
      <c r="W836" s="23" t="str">
        <f aca="false">IF(ISNUMBER(C836),MONTH(C836),"")</f>
        <v/>
      </c>
      <c r="X836" s="23" t="str">
        <f aca="false">IF(T836="","",IF(T836=0,"No discount",IF(T836&lt;=0.2,"Low (1-20%)",IF(T836&lt;=0.4,"Medium (21-40%)","High (&gt;40%)"))))</f>
        <v/>
      </c>
      <c r="Y836" s="23" t="str">
        <f aca="false">IF(AND(ISNUMBER(C836),ISNUMBER(D836)),D836-C836,"")</f>
        <v/>
      </c>
      <c r="Z836" s="23" t="str">
        <f aca="false">IF(B836="","",IF(MATCH(B836,$B$2:$B$12000,0)=ROW()-1,1,0))</f>
        <v/>
      </c>
    </row>
    <row r="837" customFormat="false" ht="15" hidden="false" customHeight="false" outlineLevel="0" collapsed="false">
      <c r="V837" s="23" t="str">
        <f aca="false">IF(ISNUMBER(C837),YEAR(C837),"")</f>
        <v/>
      </c>
      <c r="W837" s="23" t="str">
        <f aca="false">IF(ISNUMBER(C837),MONTH(C837),"")</f>
        <v/>
      </c>
      <c r="X837" s="23" t="str">
        <f aca="false">IF(T837="","",IF(T837=0,"No discount",IF(T837&lt;=0.2,"Low (1-20%)",IF(T837&lt;=0.4,"Medium (21-40%)","High (&gt;40%)"))))</f>
        <v/>
      </c>
      <c r="Y837" s="23" t="str">
        <f aca="false">IF(AND(ISNUMBER(C837),ISNUMBER(D837)),D837-C837,"")</f>
        <v/>
      </c>
      <c r="Z837" s="23" t="str">
        <f aca="false">IF(B837="","",IF(MATCH(B837,$B$2:$B$12000,0)=ROW()-1,1,0))</f>
        <v/>
      </c>
    </row>
    <row r="838" customFormat="false" ht="15" hidden="false" customHeight="false" outlineLevel="0" collapsed="false">
      <c r="V838" s="23" t="str">
        <f aca="false">IF(ISNUMBER(C838),YEAR(C838),"")</f>
        <v/>
      </c>
      <c r="W838" s="23" t="str">
        <f aca="false">IF(ISNUMBER(C838),MONTH(C838),"")</f>
        <v/>
      </c>
      <c r="X838" s="23" t="str">
        <f aca="false">IF(T838="","",IF(T838=0,"No discount",IF(T838&lt;=0.2,"Low (1-20%)",IF(T838&lt;=0.4,"Medium (21-40%)","High (&gt;40%)"))))</f>
        <v/>
      </c>
      <c r="Y838" s="23" t="str">
        <f aca="false">IF(AND(ISNUMBER(C838),ISNUMBER(D838)),D838-C838,"")</f>
        <v/>
      </c>
      <c r="Z838" s="23" t="str">
        <f aca="false">IF(B838="","",IF(MATCH(B838,$B$2:$B$12000,0)=ROW()-1,1,0))</f>
        <v/>
      </c>
    </row>
    <row r="839" customFormat="false" ht="15" hidden="false" customHeight="false" outlineLevel="0" collapsed="false">
      <c r="V839" s="23" t="str">
        <f aca="false">IF(ISNUMBER(C839),YEAR(C839),"")</f>
        <v/>
      </c>
      <c r="W839" s="23" t="str">
        <f aca="false">IF(ISNUMBER(C839),MONTH(C839),"")</f>
        <v/>
      </c>
      <c r="X839" s="23" t="str">
        <f aca="false">IF(T839="","",IF(T839=0,"No discount",IF(T839&lt;=0.2,"Low (1-20%)",IF(T839&lt;=0.4,"Medium (21-40%)","High (&gt;40%)"))))</f>
        <v/>
      </c>
      <c r="Y839" s="23" t="str">
        <f aca="false">IF(AND(ISNUMBER(C839),ISNUMBER(D839)),D839-C839,"")</f>
        <v/>
      </c>
      <c r="Z839" s="23" t="str">
        <f aca="false">IF(B839="","",IF(MATCH(B839,$B$2:$B$12000,0)=ROW()-1,1,0))</f>
        <v/>
      </c>
    </row>
    <row r="840" customFormat="false" ht="15" hidden="false" customHeight="false" outlineLevel="0" collapsed="false">
      <c r="V840" s="23" t="str">
        <f aca="false">IF(ISNUMBER(C840),YEAR(C840),"")</f>
        <v/>
      </c>
      <c r="W840" s="23" t="str">
        <f aca="false">IF(ISNUMBER(C840),MONTH(C840),"")</f>
        <v/>
      </c>
      <c r="X840" s="23" t="str">
        <f aca="false">IF(T840="","",IF(T840=0,"No discount",IF(T840&lt;=0.2,"Low (1-20%)",IF(T840&lt;=0.4,"Medium (21-40%)","High (&gt;40%)"))))</f>
        <v/>
      </c>
      <c r="Y840" s="23" t="str">
        <f aca="false">IF(AND(ISNUMBER(C840),ISNUMBER(D840)),D840-C840,"")</f>
        <v/>
      </c>
      <c r="Z840" s="23" t="str">
        <f aca="false">IF(B840="","",IF(MATCH(B840,$B$2:$B$12000,0)=ROW()-1,1,0))</f>
        <v/>
      </c>
    </row>
    <row r="841" customFormat="false" ht="15" hidden="false" customHeight="false" outlineLevel="0" collapsed="false">
      <c r="V841" s="23" t="str">
        <f aca="false">IF(ISNUMBER(C841),YEAR(C841),"")</f>
        <v/>
      </c>
      <c r="W841" s="23" t="str">
        <f aca="false">IF(ISNUMBER(C841),MONTH(C841),"")</f>
        <v/>
      </c>
      <c r="X841" s="23" t="str">
        <f aca="false">IF(T841="","",IF(T841=0,"No discount",IF(T841&lt;=0.2,"Low (1-20%)",IF(T841&lt;=0.4,"Medium (21-40%)","High (&gt;40%)"))))</f>
        <v/>
      </c>
      <c r="Y841" s="23" t="str">
        <f aca="false">IF(AND(ISNUMBER(C841),ISNUMBER(D841)),D841-C841,"")</f>
        <v/>
      </c>
      <c r="Z841" s="23" t="str">
        <f aca="false">IF(B841="","",IF(MATCH(B841,$B$2:$B$12000,0)=ROW()-1,1,0))</f>
        <v/>
      </c>
    </row>
    <row r="842" customFormat="false" ht="15" hidden="false" customHeight="false" outlineLevel="0" collapsed="false">
      <c r="V842" s="23" t="str">
        <f aca="false">IF(ISNUMBER(C842),YEAR(C842),"")</f>
        <v/>
      </c>
      <c r="W842" s="23" t="str">
        <f aca="false">IF(ISNUMBER(C842),MONTH(C842),"")</f>
        <v/>
      </c>
      <c r="X842" s="23" t="str">
        <f aca="false">IF(T842="","",IF(T842=0,"No discount",IF(T842&lt;=0.2,"Low (1-20%)",IF(T842&lt;=0.4,"Medium (21-40%)","High (&gt;40%)"))))</f>
        <v/>
      </c>
      <c r="Y842" s="23" t="str">
        <f aca="false">IF(AND(ISNUMBER(C842),ISNUMBER(D842)),D842-C842,"")</f>
        <v/>
      </c>
      <c r="Z842" s="23" t="str">
        <f aca="false">IF(B842="","",IF(MATCH(B842,$B$2:$B$12000,0)=ROW()-1,1,0))</f>
        <v/>
      </c>
    </row>
    <row r="843" customFormat="false" ht="15" hidden="false" customHeight="false" outlineLevel="0" collapsed="false">
      <c r="V843" s="23" t="str">
        <f aca="false">IF(ISNUMBER(C843),YEAR(C843),"")</f>
        <v/>
      </c>
      <c r="W843" s="23" t="str">
        <f aca="false">IF(ISNUMBER(C843),MONTH(C843),"")</f>
        <v/>
      </c>
      <c r="X843" s="23" t="str">
        <f aca="false">IF(T843="","",IF(T843=0,"No discount",IF(T843&lt;=0.2,"Low (1-20%)",IF(T843&lt;=0.4,"Medium (21-40%)","High (&gt;40%)"))))</f>
        <v/>
      </c>
      <c r="Y843" s="23" t="str">
        <f aca="false">IF(AND(ISNUMBER(C843),ISNUMBER(D843)),D843-C843,"")</f>
        <v/>
      </c>
      <c r="Z843" s="23" t="str">
        <f aca="false">IF(B843="","",IF(MATCH(B843,$B$2:$B$12000,0)=ROW()-1,1,0))</f>
        <v/>
      </c>
    </row>
    <row r="844" customFormat="false" ht="15" hidden="false" customHeight="false" outlineLevel="0" collapsed="false">
      <c r="V844" s="23" t="str">
        <f aca="false">IF(ISNUMBER(C844),YEAR(C844),"")</f>
        <v/>
      </c>
      <c r="W844" s="23" t="str">
        <f aca="false">IF(ISNUMBER(C844),MONTH(C844),"")</f>
        <v/>
      </c>
      <c r="X844" s="23" t="str">
        <f aca="false">IF(T844="","",IF(T844=0,"No discount",IF(T844&lt;=0.2,"Low (1-20%)",IF(T844&lt;=0.4,"Medium (21-40%)","High (&gt;40%)"))))</f>
        <v/>
      </c>
      <c r="Y844" s="23" t="str">
        <f aca="false">IF(AND(ISNUMBER(C844),ISNUMBER(D844)),D844-C844,"")</f>
        <v/>
      </c>
      <c r="Z844" s="23" t="str">
        <f aca="false">IF(B844="","",IF(MATCH(B844,$B$2:$B$12000,0)=ROW()-1,1,0))</f>
        <v/>
      </c>
    </row>
    <row r="845" customFormat="false" ht="15" hidden="false" customHeight="false" outlineLevel="0" collapsed="false">
      <c r="V845" s="23" t="str">
        <f aca="false">IF(ISNUMBER(C845),YEAR(C845),"")</f>
        <v/>
      </c>
      <c r="W845" s="23" t="str">
        <f aca="false">IF(ISNUMBER(C845),MONTH(C845),"")</f>
        <v/>
      </c>
      <c r="X845" s="23" t="str">
        <f aca="false">IF(T845="","",IF(T845=0,"No discount",IF(T845&lt;=0.2,"Low (1-20%)",IF(T845&lt;=0.4,"Medium (21-40%)","High (&gt;40%)"))))</f>
        <v/>
      </c>
      <c r="Y845" s="23" t="str">
        <f aca="false">IF(AND(ISNUMBER(C845),ISNUMBER(D845)),D845-C845,"")</f>
        <v/>
      </c>
      <c r="Z845" s="23" t="str">
        <f aca="false">IF(B845="","",IF(MATCH(B845,$B$2:$B$12000,0)=ROW()-1,1,0))</f>
        <v/>
      </c>
    </row>
    <row r="846" customFormat="false" ht="15" hidden="false" customHeight="false" outlineLevel="0" collapsed="false">
      <c r="V846" s="23" t="str">
        <f aca="false">IF(ISNUMBER(C846),YEAR(C846),"")</f>
        <v/>
      </c>
      <c r="W846" s="23" t="str">
        <f aca="false">IF(ISNUMBER(C846),MONTH(C846),"")</f>
        <v/>
      </c>
      <c r="X846" s="23" t="str">
        <f aca="false">IF(T846="","",IF(T846=0,"No discount",IF(T846&lt;=0.2,"Low (1-20%)",IF(T846&lt;=0.4,"Medium (21-40%)","High (&gt;40%)"))))</f>
        <v/>
      </c>
      <c r="Y846" s="23" t="str">
        <f aca="false">IF(AND(ISNUMBER(C846),ISNUMBER(D846)),D846-C846,"")</f>
        <v/>
      </c>
      <c r="Z846" s="23" t="str">
        <f aca="false">IF(B846="","",IF(MATCH(B846,$B$2:$B$12000,0)=ROW()-1,1,0))</f>
        <v/>
      </c>
    </row>
    <row r="847" customFormat="false" ht="15" hidden="false" customHeight="false" outlineLevel="0" collapsed="false">
      <c r="V847" s="23" t="str">
        <f aca="false">IF(ISNUMBER(C847),YEAR(C847),"")</f>
        <v/>
      </c>
      <c r="W847" s="23" t="str">
        <f aca="false">IF(ISNUMBER(C847),MONTH(C847),"")</f>
        <v/>
      </c>
      <c r="X847" s="23" t="str">
        <f aca="false">IF(T847="","",IF(T847=0,"No discount",IF(T847&lt;=0.2,"Low (1-20%)",IF(T847&lt;=0.4,"Medium (21-40%)","High (&gt;40%)"))))</f>
        <v/>
      </c>
      <c r="Y847" s="23" t="str">
        <f aca="false">IF(AND(ISNUMBER(C847),ISNUMBER(D847)),D847-C847,"")</f>
        <v/>
      </c>
      <c r="Z847" s="23" t="str">
        <f aca="false">IF(B847="","",IF(MATCH(B847,$B$2:$B$12000,0)=ROW()-1,1,0))</f>
        <v/>
      </c>
    </row>
    <row r="848" customFormat="false" ht="15" hidden="false" customHeight="false" outlineLevel="0" collapsed="false">
      <c r="V848" s="23" t="str">
        <f aca="false">IF(ISNUMBER(C848),YEAR(C848),"")</f>
        <v/>
      </c>
      <c r="W848" s="23" t="str">
        <f aca="false">IF(ISNUMBER(C848),MONTH(C848),"")</f>
        <v/>
      </c>
      <c r="X848" s="23" t="str">
        <f aca="false">IF(T848="","",IF(T848=0,"No discount",IF(T848&lt;=0.2,"Low (1-20%)",IF(T848&lt;=0.4,"Medium (21-40%)","High (&gt;40%)"))))</f>
        <v/>
      </c>
      <c r="Y848" s="23" t="str">
        <f aca="false">IF(AND(ISNUMBER(C848),ISNUMBER(D848)),D848-C848,"")</f>
        <v/>
      </c>
      <c r="Z848" s="23" t="str">
        <f aca="false">IF(B848="","",IF(MATCH(B848,$B$2:$B$12000,0)=ROW()-1,1,0))</f>
        <v/>
      </c>
    </row>
    <row r="849" customFormat="false" ht="15" hidden="false" customHeight="false" outlineLevel="0" collapsed="false">
      <c r="V849" s="23" t="str">
        <f aca="false">IF(ISNUMBER(C849),YEAR(C849),"")</f>
        <v/>
      </c>
      <c r="W849" s="23" t="str">
        <f aca="false">IF(ISNUMBER(C849),MONTH(C849),"")</f>
        <v/>
      </c>
      <c r="X849" s="23" t="str">
        <f aca="false">IF(T849="","",IF(T849=0,"No discount",IF(T849&lt;=0.2,"Low (1-20%)",IF(T849&lt;=0.4,"Medium (21-40%)","High (&gt;40%)"))))</f>
        <v/>
      </c>
      <c r="Y849" s="23" t="str">
        <f aca="false">IF(AND(ISNUMBER(C849),ISNUMBER(D849)),D849-C849,"")</f>
        <v/>
      </c>
      <c r="Z849" s="23" t="str">
        <f aca="false">IF(B849="","",IF(MATCH(B849,$B$2:$B$12000,0)=ROW()-1,1,0))</f>
        <v/>
      </c>
    </row>
    <row r="850" customFormat="false" ht="15" hidden="false" customHeight="false" outlineLevel="0" collapsed="false">
      <c r="V850" s="23" t="str">
        <f aca="false">IF(ISNUMBER(C850),YEAR(C850),"")</f>
        <v/>
      </c>
      <c r="W850" s="23" t="str">
        <f aca="false">IF(ISNUMBER(C850),MONTH(C850),"")</f>
        <v/>
      </c>
      <c r="X850" s="23" t="str">
        <f aca="false">IF(T850="","",IF(T850=0,"No discount",IF(T850&lt;=0.2,"Low (1-20%)",IF(T850&lt;=0.4,"Medium (21-40%)","High (&gt;40%)"))))</f>
        <v/>
      </c>
      <c r="Y850" s="23" t="str">
        <f aca="false">IF(AND(ISNUMBER(C850),ISNUMBER(D850)),D850-C850,"")</f>
        <v/>
      </c>
      <c r="Z850" s="23" t="str">
        <f aca="false">IF(B850="","",IF(MATCH(B850,$B$2:$B$12000,0)=ROW()-1,1,0))</f>
        <v/>
      </c>
    </row>
    <row r="851" customFormat="false" ht="15" hidden="false" customHeight="false" outlineLevel="0" collapsed="false">
      <c r="V851" s="23" t="str">
        <f aca="false">IF(ISNUMBER(C851),YEAR(C851),"")</f>
        <v/>
      </c>
      <c r="W851" s="23" t="str">
        <f aca="false">IF(ISNUMBER(C851),MONTH(C851),"")</f>
        <v/>
      </c>
      <c r="X851" s="23" t="str">
        <f aca="false">IF(T851="","",IF(T851=0,"No discount",IF(T851&lt;=0.2,"Low (1-20%)",IF(T851&lt;=0.4,"Medium (21-40%)","High (&gt;40%)"))))</f>
        <v/>
      </c>
      <c r="Y851" s="23" t="str">
        <f aca="false">IF(AND(ISNUMBER(C851),ISNUMBER(D851)),D851-C851,"")</f>
        <v/>
      </c>
      <c r="Z851" s="23" t="str">
        <f aca="false">IF(B851="","",IF(MATCH(B851,$B$2:$B$12000,0)=ROW()-1,1,0))</f>
        <v/>
      </c>
    </row>
    <row r="852" customFormat="false" ht="15" hidden="false" customHeight="false" outlineLevel="0" collapsed="false">
      <c r="V852" s="23" t="str">
        <f aca="false">IF(ISNUMBER(C852),YEAR(C852),"")</f>
        <v/>
      </c>
      <c r="W852" s="23" t="str">
        <f aca="false">IF(ISNUMBER(C852),MONTH(C852),"")</f>
        <v/>
      </c>
      <c r="X852" s="23" t="str">
        <f aca="false">IF(T852="","",IF(T852=0,"No discount",IF(T852&lt;=0.2,"Low (1-20%)",IF(T852&lt;=0.4,"Medium (21-40%)","High (&gt;40%)"))))</f>
        <v/>
      </c>
      <c r="Y852" s="23" t="str">
        <f aca="false">IF(AND(ISNUMBER(C852),ISNUMBER(D852)),D852-C852,"")</f>
        <v/>
      </c>
      <c r="Z852" s="23" t="str">
        <f aca="false">IF(B852="","",IF(MATCH(B852,$B$2:$B$12000,0)=ROW()-1,1,0))</f>
        <v/>
      </c>
    </row>
    <row r="853" customFormat="false" ht="15" hidden="false" customHeight="false" outlineLevel="0" collapsed="false">
      <c r="V853" s="23" t="str">
        <f aca="false">IF(ISNUMBER(C853),YEAR(C853),"")</f>
        <v/>
      </c>
      <c r="W853" s="23" t="str">
        <f aca="false">IF(ISNUMBER(C853),MONTH(C853),"")</f>
        <v/>
      </c>
      <c r="X853" s="23" t="str">
        <f aca="false">IF(T853="","",IF(T853=0,"No discount",IF(T853&lt;=0.2,"Low (1-20%)",IF(T853&lt;=0.4,"Medium (21-40%)","High (&gt;40%)"))))</f>
        <v/>
      </c>
      <c r="Y853" s="23" t="str">
        <f aca="false">IF(AND(ISNUMBER(C853),ISNUMBER(D853)),D853-C853,"")</f>
        <v/>
      </c>
      <c r="Z853" s="23" t="str">
        <f aca="false">IF(B853="","",IF(MATCH(B853,$B$2:$B$12000,0)=ROW()-1,1,0))</f>
        <v/>
      </c>
    </row>
    <row r="854" customFormat="false" ht="15" hidden="false" customHeight="false" outlineLevel="0" collapsed="false">
      <c r="V854" s="23" t="str">
        <f aca="false">IF(ISNUMBER(C854),YEAR(C854),"")</f>
        <v/>
      </c>
      <c r="W854" s="23" t="str">
        <f aca="false">IF(ISNUMBER(C854),MONTH(C854),"")</f>
        <v/>
      </c>
      <c r="X854" s="23" t="str">
        <f aca="false">IF(T854="","",IF(T854=0,"No discount",IF(T854&lt;=0.2,"Low (1-20%)",IF(T854&lt;=0.4,"Medium (21-40%)","High (&gt;40%)"))))</f>
        <v/>
      </c>
      <c r="Y854" s="23" t="str">
        <f aca="false">IF(AND(ISNUMBER(C854),ISNUMBER(D854)),D854-C854,"")</f>
        <v/>
      </c>
      <c r="Z854" s="23" t="str">
        <f aca="false">IF(B854="","",IF(MATCH(B854,$B$2:$B$12000,0)=ROW()-1,1,0))</f>
        <v/>
      </c>
    </row>
    <row r="855" customFormat="false" ht="15" hidden="false" customHeight="false" outlineLevel="0" collapsed="false">
      <c r="V855" s="23" t="str">
        <f aca="false">IF(ISNUMBER(C855),YEAR(C855),"")</f>
        <v/>
      </c>
      <c r="W855" s="23" t="str">
        <f aca="false">IF(ISNUMBER(C855),MONTH(C855),"")</f>
        <v/>
      </c>
      <c r="X855" s="23" t="str">
        <f aca="false">IF(T855="","",IF(T855=0,"No discount",IF(T855&lt;=0.2,"Low (1-20%)",IF(T855&lt;=0.4,"Medium (21-40%)","High (&gt;40%)"))))</f>
        <v/>
      </c>
      <c r="Y855" s="23" t="str">
        <f aca="false">IF(AND(ISNUMBER(C855),ISNUMBER(D855)),D855-C855,"")</f>
        <v/>
      </c>
      <c r="Z855" s="23" t="str">
        <f aca="false">IF(B855="","",IF(MATCH(B855,$B$2:$B$12000,0)=ROW()-1,1,0))</f>
        <v/>
      </c>
    </row>
    <row r="856" customFormat="false" ht="15" hidden="false" customHeight="false" outlineLevel="0" collapsed="false">
      <c r="V856" s="23" t="str">
        <f aca="false">IF(ISNUMBER(C856),YEAR(C856),"")</f>
        <v/>
      </c>
      <c r="W856" s="23" t="str">
        <f aca="false">IF(ISNUMBER(C856),MONTH(C856),"")</f>
        <v/>
      </c>
      <c r="X856" s="23" t="str">
        <f aca="false">IF(T856="","",IF(T856=0,"No discount",IF(T856&lt;=0.2,"Low (1-20%)",IF(T856&lt;=0.4,"Medium (21-40%)","High (&gt;40%)"))))</f>
        <v/>
      </c>
      <c r="Y856" s="23" t="str">
        <f aca="false">IF(AND(ISNUMBER(C856),ISNUMBER(D856)),D856-C856,"")</f>
        <v/>
      </c>
      <c r="Z856" s="23" t="str">
        <f aca="false">IF(B856="","",IF(MATCH(B856,$B$2:$B$12000,0)=ROW()-1,1,0))</f>
        <v/>
      </c>
    </row>
    <row r="857" customFormat="false" ht="15" hidden="false" customHeight="false" outlineLevel="0" collapsed="false">
      <c r="V857" s="23" t="str">
        <f aca="false">IF(ISNUMBER(C857),YEAR(C857),"")</f>
        <v/>
      </c>
      <c r="W857" s="23" t="str">
        <f aca="false">IF(ISNUMBER(C857),MONTH(C857),"")</f>
        <v/>
      </c>
      <c r="X857" s="23" t="str">
        <f aca="false">IF(T857="","",IF(T857=0,"No discount",IF(T857&lt;=0.2,"Low (1-20%)",IF(T857&lt;=0.4,"Medium (21-40%)","High (&gt;40%)"))))</f>
        <v/>
      </c>
      <c r="Y857" s="23" t="str">
        <f aca="false">IF(AND(ISNUMBER(C857),ISNUMBER(D857)),D857-C857,"")</f>
        <v/>
      </c>
      <c r="Z857" s="23" t="str">
        <f aca="false">IF(B857="","",IF(MATCH(B857,$B$2:$B$12000,0)=ROW()-1,1,0))</f>
        <v/>
      </c>
    </row>
    <row r="858" customFormat="false" ht="15" hidden="false" customHeight="false" outlineLevel="0" collapsed="false">
      <c r="V858" s="23" t="str">
        <f aca="false">IF(ISNUMBER(C858),YEAR(C858),"")</f>
        <v/>
      </c>
      <c r="W858" s="23" t="str">
        <f aca="false">IF(ISNUMBER(C858),MONTH(C858),"")</f>
        <v/>
      </c>
      <c r="X858" s="23" t="str">
        <f aca="false">IF(T858="","",IF(T858=0,"No discount",IF(T858&lt;=0.2,"Low (1-20%)",IF(T858&lt;=0.4,"Medium (21-40%)","High (&gt;40%)"))))</f>
        <v/>
      </c>
      <c r="Y858" s="23" t="str">
        <f aca="false">IF(AND(ISNUMBER(C858),ISNUMBER(D858)),D858-C858,"")</f>
        <v/>
      </c>
      <c r="Z858" s="23" t="str">
        <f aca="false">IF(B858="","",IF(MATCH(B858,$B$2:$B$12000,0)=ROW()-1,1,0))</f>
        <v/>
      </c>
    </row>
    <row r="859" customFormat="false" ht="15" hidden="false" customHeight="false" outlineLevel="0" collapsed="false">
      <c r="V859" s="23" t="str">
        <f aca="false">IF(ISNUMBER(C859),YEAR(C859),"")</f>
        <v/>
      </c>
      <c r="W859" s="23" t="str">
        <f aca="false">IF(ISNUMBER(C859),MONTH(C859),"")</f>
        <v/>
      </c>
      <c r="X859" s="23" t="str">
        <f aca="false">IF(T859="","",IF(T859=0,"No discount",IF(T859&lt;=0.2,"Low (1-20%)",IF(T859&lt;=0.4,"Medium (21-40%)","High (&gt;40%)"))))</f>
        <v/>
      </c>
      <c r="Y859" s="23" t="str">
        <f aca="false">IF(AND(ISNUMBER(C859),ISNUMBER(D859)),D859-C859,"")</f>
        <v/>
      </c>
      <c r="Z859" s="23" t="str">
        <f aca="false">IF(B859="","",IF(MATCH(B859,$B$2:$B$12000,0)=ROW()-1,1,0))</f>
        <v/>
      </c>
    </row>
    <row r="860" customFormat="false" ht="15" hidden="false" customHeight="false" outlineLevel="0" collapsed="false">
      <c r="V860" s="23" t="str">
        <f aca="false">IF(ISNUMBER(C860),YEAR(C860),"")</f>
        <v/>
      </c>
      <c r="W860" s="23" t="str">
        <f aca="false">IF(ISNUMBER(C860),MONTH(C860),"")</f>
        <v/>
      </c>
      <c r="X860" s="23" t="str">
        <f aca="false">IF(T860="","",IF(T860=0,"No discount",IF(T860&lt;=0.2,"Low (1-20%)",IF(T860&lt;=0.4,"Medium (21-40%)","High (&gt;40%)"))))</f>
        <v/>
      </c>
      <c r="Y860" s="23" t="str">
        <f aca="false">IF(AND(ISNUMBER(C860),ISNUMBER(D860)),D860-C860,"")</f>
        <v/>
      </c>
      <c r="Z860" s="23" t="str">
        <f aca="false">IF(B860="","",IF(MATCH(B860,$B$2:$B$12000,0)=ROW()-1,1,0))</f>
        <v/>
      </c>
    </row>
    <row r="861" customFormat="false" ht="15" hidden="false" customHeight="false" outlineLevel="0" collapsed="false">
      <c r="V861" s="23" t="str">
        <f aca="false">IF(ISNUMBER(C861),YEAR(C861),"")</f>
        <v/>
      </c>
      <c r="W861" s="23" t="str">
        <f aca="false">IF(ISNUMBER(C861),MONTH(C861),"")</f>
        <v/>
      </c>
      <c r="X861" s="23" t="str">
        <f aca="false">IF(T861="","",IF(T861=0,"No discount",IF(T861&lt;=0.2,"Low (1-20%)",IF(T861&lt;=0.4,"Medium (21-40%)","High (&gt;40%)"))))</f>
        <v/>
      </c>
      <c r="Y861" s="23" t="str">
        <f aca="false">IF(AND(ISNUMBER(C861),ISNUMBER(D861)),D861-C861,"")</f>
        <v/>
      </c>
      <c r="Z861" s="23" t="str">
        <f aca="false">IF(B861="","",IF(MATCH(B861,$B$2:$B$12000,0)=ROW()-1,1,0))</f>
        <v/>
      </c>
    </row>
    <row r="862" customFormat="false" ht="15" hidden="false" customHeight="false" outlineLevel="0" collapsed="false">
      <c r="V862" s="23" t="str">
        <f aca="false">IF(ISNUMBER(C862),YEAR(C862),"")</f>
        <v/>
      </c>
      <c r="W862" s="23" t="str">
        <f aca="false">IF(ISNUMBER(C862),MONTH(C862),"")</f>
        <v/>
      </c>
      <c r="X862" s="23" t="str">
        <f aca="false">IF(T862="","",IF(T862=0,"No discount",IF(T862&lt;=0.2,"Low (1-20%)",IF(T862&lt;=0.4,"Medium (21-40%)","High (&gt;40%)"))))</f>
        <v/>
      </c>
      <c r="Y862" s="23" t="str">
        <f aca="false">IF(AND(ISNUMBER(C862),ISNUMBER(D862)),D862-C862,"")</f>
        <v/>
      </c>
      <c r="Z862" s="23" t="str">
        <f aca="false">IF(B862="","",IF(MATCH(B862,$B$2:$B$12000,0)=ROW()-1,1,0))</f>
        <v/>
      </c>
    </row>
    <row r="863" customFormat="false" ht="15" hidden="false" customHeight="false" outlineLevel="0" collapsed="false">
      <c r="V863" s="23" t="str">
        <f aca="false">IF(ISNUMBER(C863),YEAR(C863),"")</f>
        <v/>
      </c>
      <c r="W863" s="23" t="str">
        <f aca="false">IF(ISNUMBER(C863),MONTH(C863),"")</f>
        <v/>
      </c>
      <c r="X863" s="23" t="str">
        <f aca="false">IF(T863="","",IF(T863=0,"No discount",IF(T863&lt;=0.2,"Low (1-20%)",IF(T863&lt;=0.4,"Medium (21-40%)","High (&gt;40%)"))))</f>
        <v/>
      </c>
      <c r="Y863" s="23" t="str">
        <f aca="false">IF(AND(ISNUMBER(C863),ISNUMBER(D863)),D863-C863,"")</f>
        <v/>
      </c>
      <c r="Z863" s="23" t="str">
        <f aca="false">IF(B863="","",IF(MATCH(B863,$B$2:$B$12000,0)=ROW()-1,1,0))</f>
        <v/>
      </c>
    </row>
    <row r="864" customFormat="false" ht="15" hidden="false" customHeight="false" outlineLevel="0" collapsed="false">
      <c r="V864" s="23" t="str">
        <f aca="false">IF(ISNUMBER(C864),YEAR(C864),"")</f>
        <v/>
      </c>
      <c r="W864" s="23" t="str">
        <f aca="false">IF(ISNUMBER(C864),MONTH(C864),"")</f>
        <v/>
      </c>
      <c r="X864" s="23" t="str">
        <f aca="false">IF(T864="","",IF(T864=0,"No discount",IF(T864&lt;=0.2,"Low (1-20%)",IF(T864&lt;=0.4,"Medium (21-40%)","High (&gt;40%)"))))</f>
        <v/>
      </c>
      <c r="Y864" s="23" t="str">
        <f aca="false">IF(AND(ISNUMBER(C864),ISNUMBER(D864)),D864-C864,"")</f>
        <v/>
      </c>
      <c r="Z864" s="23" t="str">
        <f aca="false">IF(B864="","",IF(MATCH(B864,$B$2:$B$12000,0)=ROW()-1,1,0))</f>
        <v/>
      </c>
    </row>
    <row r="865" customFormat="false" ht="15" hidden="false" customHeight="false" outlineLevel="0" collapsed="false">
      <c r="V865" s="23" t="str">
        <f aca="false">IF(ISNUMBER(C865),YEAR(C865),"")</f>
        <v/>
      </c>
      <c r="W865" s="23" t="str">
        <f aca="false">IF(ISNUMBER(C865),MONTH(C865),"")</f>
        <v/>
      </c>
      <c r="X865" s="23" t="str">
        <f aca="false">IF(T865="","",IF(T865=0,"No discount",IF(T865&lt;=0.2,"Low (1-20%)",IF(T865&lt;=0.4,"Medium (21-40%)","High (&gt;40%)"))))</f>
        <v/>
      </c>
      <c r="Y865" s="23" t="str">
        <f aca="false">IF(AND(ISNUMBER(C865),ISNUMBER(D865)),D865-C865,"")</f>
        <v/>
      </c>
      <c r="Z865" s="23" t="str">
        <f aca="false">IF(B865="","",IF(MATCH(B865,$B$2:$B$12000,0)=ROW()-1,1,0))</f>
        <v/>
      </c>
    </row>
    <row r="866" customFormat="false" ht="15" hidden="false" customHeight="false" outlineLevel="0" collapsed="false">
      <c r="V866" s="23" t="str">
        <f aca="false">IF(ISNUMBER(C866),YEAR(C866),"")</f>
        <v/>
      </c>
      <c r="W866" s="23" t="str">
        <f aca="false">IF(ISNUMBER(C866),MONTH(C866),"")</f>
        <v/>
      </c>
      <c r="X866" s="23" t="str">
        <f aca="false">IF(T866="","",IF(T866=0,"No discount",IF(T866&lt;=0.2,"Low (1-20%)",IF(T866&lt;=0.4,"Medium (21-40%)","High (&gt;40%)"))))</f>
        <v/>
      </c>
      <c r="Y866" s="23" t="str">
        <f aca="false">IF(AND(ISNUMBER(C866),ISNUMBER(D866)),D866-C866,"")</f>
        <v/>
      </c>
      <c r="Z866" s="23" t="str">
        <f aca="false">IF(B866="","",IF(MATCH(B866,$B$2:$B$12000,0)=ROW()-1,1,0))</f>
        <v/>
      </c>
    </row>
    <row r="867" customFormat="false" ht="15" hidden="false" customHeight="false" outlineLevel="0" collapsed="false">
      <c r="V867" s="23" t="str">
        <f aca="false">IF(ISNUMBER(C867),YEAR(C867),"")</f>
        <v/>
      </c>
      <c r="W867" s="23" t="str">
        <f aca="false">IF(ISNUMBER(C867),MONTH(C867),"")</f>
        <v/>
      </c>
      <c r="X867" s="23" t="str">
        <f aca="false">IF(T867="","",IF(T867=0,"No discount",IF(T867&lt;=0.2,"Low (1-20%)",IF(T867&lt;=0.4,"Medium (21-40%)","High (&gt;40%)"))))</f>
        <v/>
      </c>
      <c r="Y867" s="23" t="str">
        <f aca="false">IF(AND(ISNUMBER(C867),ISNUMBER(D867)),D867-C867,"")</f>
        <v/>
      </c>
      <c r="Z867" s="23" t="str">
        <f aca="false">IF(B867="","",IF(MATCH(B867,$B$2:$B$12000,0)=ROW()-1,1,0))</f>
        <v/>
      </c>
    </row>
    <row r="868" customFormat="false" ht="15" hidden="false" customHeight="false" outlineLevel="0" collapsed="false">
      <c r="V868" s="23" t="str">
        <f aca="false">IF(ISNUMBER(C868),YEAR(C868),"")</f>
        <v/>
      </c>
      <c r="W868" s="23" t="str">
        <f aca="false">IF(ISNUMBER(C868),MONTH(C868),"")</f>
        <v/>
      </c>
      <c r="X868" s="23" t="str">
        <f aca="false">IF(T868="","",IF(T868=0,"No discount",IF(T868&lt;=0.2,"Low (1-20%)",IF(T868&lt;=0.4,"Medium (21-40%)","High (&gt;40%)"))))</f>
        <v/>
      </c>
      <c r="Y868" s="23" t="str">
        <f aca="false">IF(AND(ISNUMBER(C868),ISNUMBER(D868)),D868-C868,"")</f>
        <v/>
      </c>
      <c r="Z868" s="23" t="str">
        <f aca="false">IF(B868="","",IF(MATCH(B868,$B$2:$B$12000,0)=ROW()-1,1,0))</f>
        <v/>
      </c>
    </row>
    <row r="869" customFormat="false" ht="15" hidden="false" customHeight="false" outlineLevel="0" collapsed="false">
      <c r="V869" s="23" t="str">
        <f aca="false">IF(ISNUMBER(C869),YEAR(C869),"")</f>
        <v/>
      </c>
      <c r="W869" s="23" t="str">
        <f aca="false">IF(ISNUMBER(C869),MONTH(C869),"")</f>
        <v/>
      </c>
      <c r="X869" s="23" t="str">
        <f aca="false">IF(T869="","",IF(T869=0,"No discount",IF(T869&lt;=0.2,"Low (1-20%)",IF(T869&lt;=0.4,"Medium (21-40%)","High (&gt;40%)"))))</f>
        <v/>
      </c>
      <c r="Y869" s="23" t="str">
        <f aca="false">IF(AND(ISNUMBER(C869),ISNUMBER(D869)),D869-C869,"")</f>
        <v/>
      </c>
      <c r="Z869" s="23" t="str">
        <f aca="false">IF(B869="","",IF(MATCH(B869,$B$2:$B$12000,0)=ROW()-1,1,0))</f>
        <v/>
      </c>
    </row>
    <row r="870" customFormat="false" ht="15" hidden="false" customHeight="false" outlineLevel="0" collapsed="false">
      <c r="V870" s="23" t="str">
        <f aca="false">IF(ISNUMBER(C870),YEAR(C870),"")</f>
        <v/>
      </c>
      <c r="W870" s="23" t="str">
        <f aca="false">IF(ISNUMBER(C870),MONTH(C870),"")</f>
        <v/>
      </c>
      <c r="X870" s="23" t="str">
        <f aca="false">IF(T870="","",IF(T870=0,"No discount",IF(T870&lt;=0.2,"Low (1-20%)",IF(T870&lt;=0.4,"Medium (21-40%)","High (&gt;40%)"))))</f>
        <v/>
      </c>
      <c r="Y870" s="23" t="str">
        <f aca="false">IF(AND(ISNUMBER(C870),ISNUMBER(D870)),D870-C870,"")</f>
        <v/>
      </c>
      <c r="Z870" s="23" t="str">
        <f aca="false">IF(B870="","",IF(MATCH(B870,$B$2:$B$12000,0)=ROW()-1,1,0))</f>
        <v/>
      </c>
    </row>
    <row r="871" customFormat="false" ht="15" hidden="false" customHeight="false" outlineLevel="0" collapsed="false">
      <c r="V871" s="23" t="str">
        <f aca="false">IF(ISNUMBER(C871),YEAR(C871),"")</f>
        <v/>
      </c>
      <c r="W871" s="23" t="str">
        <f aca="false">IF(ISNUMBER(C871),MONTH(C871),"")</f>
        <v/>
      </c>
      <c r="X871" s="23" t="str">
        <f aca="false">IF(T871="","",IF(T871=0,"No discount",IF(T871&lt;=0.2,"Low (1-20%)",IF(T871&lt;=0.4,"Medium (21-40%)","High (&gt;40%)"))))</f>
        <v/>
      </c>
      <c r="Y871" s="23" t="str">
        <f aca="false">IF(AND(ISNUMBER(C871),ISNUMBER(D871)),D871-C871,"")</f>
        <v/>
      </c>
      <c r="Z871" s="23" t="str">
        <f aca="false">IF(B871="","",IF(MATCH(B871,$B$2:$B$12000,0)=ROW()-1,1,0))</f>
        <v/>
      </c>
    </row>
    <row r="872" customFormat="false" ht="15" hidden="false" customHeight="false" outlineLevel="0" collapsed="false">
      <c r="V872" s="23" t="str">
        <f aca="false">IF(ISNUMBER(C872),YEAR(C872),"")</f>
        <v/>
      </c>
      <c r="W872" s="23" t="str">
        <f aca="false">IF(ISNUMBER(C872),MONTH(C872),"")</f>
        <v/>
      </c>
      <c r="X872" s="23" t="str">
        <f aca="false">IF(T872="","",IF(T872=0,"No discount",IF(T872&lt;=0.2,"Low (1-20%)",IF(T872&lt;=0.4,"Medium (21-40%)","High (&gt;40%)"))))</f>
        <v/>
      </c>
      <c r="Y872" s="23" t="str">
        <f aca="false">IF(AND(ISNUMBER(C872),ISNUMBER(D872)),D872-C872,"")</f>
        <v/>
      </c>
      <c r="Z872" s="23" t="str">
        <f aca="false">IF(B872="","",IF(MATCH(B872,$B$2:$B$12000,0)=ROW()-1,1,0))</f>
        <v/>
      </c>
    </row>
    <row r="873" customFormat="false" ht="15" hidden="false" customHeight="false" outlineLevel="0" collapsed="false">
      <c r="V873" s="23" t="str">
        <f aca="false">IF(ISNUMBER(C873),YEAR(C873),"")</f>
        <v/>
      </c>
      <c r="W873" s="23" t="str">
        <f aca="false">IF(ISNUMBER(C873),MONTH(C873),"")</f>
        <v/>
      </c>
      <c r="X873" s="23" t="str">
        <f aca="false">IF(T873="","",IF(T873=0,"No discount",IF(T873&lt;=0.2,"Low (1-20%)",IF(T873&lt;=0.4,"Medium (21-40%)","High (&gt;40%)"))))</f>
        <v/>
      </c>
      <c r="Y873" s="23" t="str">
        <f aca="false">IF(AND(ISNUMBER(C873),ISNUMBER(D873)),D873-C873,"")</f>
        <v/>
      </c>
      <c r="Z873" s="23" t="str">
        <f aca="false">IF(B873="","",IF(MATCH(B873,$B$2:$B$12000,0)=ROW()-1,1,0))</f>
        <v/>
      </c>
    </row>
    <row r="874" customFormat="false" ht="15" hidden="false" customHeight="false" outlineLevel="0" collapsed="false">
      <c r="V874" s="23" t="str">
        <f aca="false">IF(ISNUMBER(C874),YEAR(C874),"")</f>
        <v/>
      </c>
      <c r="W874" s="23" t="str">
        <f aca="false">IF(ISNUMBER(C874),MONTH(C874),"")</f>
        <v/>
      </c>
      <c r="X874" s="23" t="str">
        <f aca="false">IF(T874="","",IF(T874=0,"No discount",IF(T874&lt;=0.2,"Low (1-20%)",IF(T874&lt;=0.4,"Medium (21-40%)","High (&gt;40%)"))))</f>
        <v/>
      </c>
      <c r="Y874" s="23" t="str">
        <f aca="false">IF(AND(ISNUMBER(C874),ISNUMBER(D874)),D874-C874,"")</f>
        <v/>
      </c>
      <c r="Z874" s="23" t="str">
        <f aca="false">IF(B874="","",IF(MATCH(B874,$B$2:$B$12000,0)=ROW()-1,1,0))</f>
        <v/>
      </c>
    </row>
    <row r="875" customFormat="false" ht="15" hidden="false" customHeight="false" outlineLevel="0" collapsed="false">
      <c r="V875" s="23" t="str">
        <f aca="false">IF(ISNUMBER(C875),YEAR(C875),"")</f>
        <v/>
      </c>
      <c r="W875" s="23" t="str">
        <f aca="false">IF(ISNUMBER(C875),MONTH(C875),"")</f>
        <v/>
      </c>
      <c r="X875" s="23" t="str">
        <f aca="false">IF(T875="","",IF(T875=0,"No discount",IF(T875&lt;=0.2,"Low (1-20%)",IF(T875&lt;=0.4,"Medium (21-40%)","High (&gt;40%)"))))</f>
        <v/>
      </c>
      <c r="Y875" s="23" t="str">
        <f aca="false">IF(AND(ISNUMBER(C875),ISNUMBER(D875)),D875-C875,"")</f>
        <v/>
      </c>
      <c r="Z875" s="23" t="str">
        <f aca="false">IF(B875="","",IF(MATCH(B875,$B$2:$B$12000,0)=ROW()-1,1,0))</f>
        <v/>
      </c>
    </row>
    <row r="876" customFormat="false" ht="15" hidden="false" customHeight="false" outlineLevel="0" collapsed="false">
      <c r="V876" s="23" t="str">
        <f aca="false">IF(ISNUMBER(C876),YEAR(C876),"")</f>
        <v/>
      </c>
      <c r="W876" s="23" t="str">
        <f aca="false">IF(ISNUMBER(C876),MONTH(C876),"")</f>
        <v/>
      </c>
      <c r="X876" s="23" t="str">
        <f aca="false">IF(T876="","",IF(T876=0,"No discount",IF(T876&lt;=0.2,"Low (1-20%)",IF(T876&lt;=0.4,"Medium (21-40%)","High (&gt;40%)"))))</f>
        <v/>
      </c>
      <c r="Y876" s="23" t="str">
        <f aca="false">IF(AND(ISNUMBER(C876),ISNUMBER(D876)),D876-C876,"")</f>
        <v/>
      </c>
      <c r="Z876" s="23" t="str">
        <f aca="false">IF(B876="","",IF(MATCH(B876,$B$2:$B$12000,0)=ROW()-1,1,0))</f>
        <v/>
      </c>
    </row>
    <row r="877" customFormat="false" ht="15" hidden="false" customHeight="false" outlineLevel="0" collapsed="false">
      <c r="V877" s="23" t="str">
        <f aca="false">IF(ISNUMBER(C877),YEAR(C877),"")</f>
        <v/>
      </c>
      <c r="W877" s="23" t="str">
        <f aca="false">IF(ISNUMBER(C877),MONTH(C877),"")</f>
        <v/>
      </c>
      <c r="X877" s="23" t="str">
        <f aca="false">IF(T877="","",IF(T877=0,"No discount",IF(T877&lt;=0.2,"Low (1-20%)",IF(T877&lt;=0.4,"Medium (21-40%)","High (&gt;40%)"))))</f>
        <v/>
      </c>
      <c r="Y877" s="23" t="str">
        <f aca="false">IF(AND(ISNUMBER(C877),ISNUMBER(D877)),D877-C877,"")</f>
        <v/>
      </c>
      <c r="Z877" s="23" t="str">
        <f aca="false">IF(B877="","",IF(MATCH(B877,$B$2:$B$12000,0)=ROW()-1,1,0))</f>
        <v/>
      </c>
    </row>
    <row r="878" customFormat="false" ht="15" hidden="false" customHeight="false" outlineLevel="0" collapsed="false">
      <c r="V878" s="23" t="str">
        <f aca="false">IF(ISNUMBER(C878),YEAR(C878),"")</f>
        <v/>
      </c>
      <c r="W878" s="23" t="str">
        <f aca="false">IF(ISNUMBER(C878),MONTH(C878),"")</f>
        <v/>
      </c>
      <c r="X878" s="23" t="str">
        <f aca="false">IF(T878="","",IF(T878=0,"No discount",IF(T878&lt;=0.2,"Low (1-20%)",IF(T878&lt;=0.4,"Medium (21-40%)","High (&gt;40%)"))))</f>
        <v/>
      </c>
      <c r="Y878" s="23" t="str">
        <f aca="false">IF(AND(ISNUMBER(C878),ISNUMBER(D878)),D878-C878,"")</f>
        <v/>
      </c>
      <c r="Z878" s="23" t="str">
        <f aca="false">IF(B878="","",IF(MATCH(B878,$B$2:$B$12000,0)=ROW()-1,1,0))</f>
        <v/>
      </c>
    </row>
    <row r="879" customFormat="false" ht="15" hidden="false" customHeight="false" outlineLevel="0" collapsed="false">
      <c r="V879" s="23" t="str">
        <f aca="false">IF(ISNUMBER(C879),YEAR(C879),"")</f>
        <v/>
      </c>
      <c r="W879" s="23" t="str">
        <f aca="false">IF(ISNUMBER(C879),MONTH(C879),"")</f>
        <v/>
      </c>
      <c r="X879" s="23" t="str">
        <f aca="false">IF(T879="","",IF(T879=0,"No discount",IF(T879&lt;=0.2,"Low (1-20%)",IF(T879&lt;=0.4,"Medium (21-40%)","High (&gt;40%)"))))</f>
        <v/>
      </c>
      <c r="Y879" s="23" t="str">
        <f aca="false">IF(AND(ISNUMBER(C879),ISNUMBER(D879)),D879-C879,"")</f>
        <v/>
      </c>
      <c r="Z879" s="23" t="str">
        <f aca="false">IF(B879="","",IF(MATCH(B879,$B$2:$B$12000,0)=ROW()-1,1,0))</f>
        <v/>
      </c>
    </row>
    <row r="880" customFormat="false" ht="15" hidden="false" customHeight="false" outlineLevel="0" collapsed="false">
      <c r="V880" s="23" t="str">
        <f aca="false">IF(ISNUMBER(C880),YEAR(C880),"")</f>
        <v/>
      </c>
      <c r="W880" s="23" t="str">
        <f aca="false">IF(ISNUMBER(C880),MONTH(C880),"")</f>
        <v/>
      </c>
      <c r="X880" s="23" t="str">
        <f aca="false">IF(T880="","",IF(T880=0,"No discount",IF(T880&lt;=0.2,"Low (1-20%)",IF(T880&lt;=0.4,"Medium (21-40%)","High (&gt;40%)"))))</f>
        <v/>
      </c>
      <c r="Y880" s="23" t="str">
        <f aca="false">IF(AND(ISNUMBER(C880),ISNUMBER(D880)),D880-C880,"")</f>
        <v/>
      </c>
      <c r="Z880" s="23" t="str">
        <f aca="false">IF(B880="","",IF(MATCH(B880,$B$2:$B$12000,0)=ROW()-1,1,0))</f>
        <v/>
      </c>
    </row>
    <row r="881" customFormat="false" ht="15" hidden="false" customHeight="false" outlineLevel="0" collapsed="false">
      <c r="V881" s="23" t="str">
        <f aca="false">IF(ISNUMBER(C881),YEAR(C881),"")</f>
        <v/>
      </c>
      <c r="W881" s="23" t="str">
        <f aca="false">IF(ISNUMBER(C881),MONTH(C881),"")</f>
        <v/>
      </c>
      <c r="X881" s="23" t="str">
        <f aca="false">IF(T881="","",IF(T881=0,"No discount",IF(T881&lt;=0.2,"Low (1-20%)",IF(T881&lt;=0.4,"Medium (21-40%)","High (&gt;40%)"))))</f>
        <v/>
      </c>
      <c r="Y881" s="23" t="str">
        <f aca="false">IF(AND(ISNUMBER(C881),ISNUMBER(D881)),D881-C881,"")</f>
        <v/>
      </c>
      <c r="Z881" s="23" t="str">
        <f aca="false">IF(B881="","",IF(MATCH(B881,$B$2:$B$12000,0)=ROW()-1,1,0))</f>
        <v/>
      </c>
    </row>
    <row r="882" customFormat="false" ht="15" hidden="false" customHeight="false" outlineLevel="0" collapsed="false">
      <c r="V882" s="23" t="str">
        <f aca="false">IF(ISNUMBER(C882),YEAR(C882),"")</f>
        <v/>
      </c>
      <c r="W882" s="23" t="str">
        <f aca="false">IF(ISNUMBER(C882),MONTH(C882),"")</f>
        <v/>
      </c>
      <c r="X882" s="23" t="str">
        <f aca="false">IF(T882="","",IF(T882=0,"No discount",IF(T882&lt;=0.2,"Low (1-20%)",IF(T882&lt;=0.4,"Medium (21-40%)","High (&gt;40%)"))))</f>
        <v/>
      </c>
      <c r="Y882" s="23" t="str">
        <f aca="false">IF(AND(ISNUMBER(C882),ISNUMBER(D882)),D882-C882,"")</f>
        <v/>
      </c>
      <c r="Z882" s="23" t="str">
        <f aca="false">IF(B882="","",IF(MATCH(B882,$B$2:$B$12000,0)=ROW()-1,1,0))</f>
        <v/>
      </c>
    </row>
    <row r="883" customFormat="false" ht="15" hidden="false" customHeight="false" outlineLevel="0" collapsed="false">
      <c r="V883" s="23" t="str">
        <f aca="false">IF(ISNUMBER(C883),YEAR(C883),"")</f>
        <v/>
      </c>
      <c r="W883" s="23" t="str">
        <f aca="false">IF(ISNUMBER(C883),MONTH(C883),"")</f>
        <v/>
      </c>
      <c r="X883" s="23" t="str">
        <f aca="false">IF(T883="","",IF(T883=0,"No discount",IF(T883&lt;=0.2,"Low (1-20%)",IF(T883&lt;=0.4,"Medium (21-40%)","High (&gt;40%)"))))</f>
        <v/>
      </c>
      <c r="Y883" s="23" t="str">
        <f aca="false">IF(AND(ISNUMBER(C883),ISNUMBER(D883)),D883-C883,"")</f>
        <v/>
      </c>
      <c r="Z883" s="23" t="str">
        <f aca="false">IF(B883="","",IF(MATCH(B883,$B$2:$B$12000,0)=ROW()-1,1,0))</f>
        <v/>
      </c>
    </row>
    <row r="884" customFormat="false" ht="15" hidden="false" customHeight="false" outlineLevel="0" collapsed="false">
      <c r="V884" s="23" t="str">
        <f aca="false">IF(ISNUMBER(C884),YEAR(C884),"")</f>
        <v/>
      </c>
      <c r="W884" s="23" t="str">
        <f aca="false">IF(ISNUMBER(C884),MONTH(C884),"")</f>
        <v/>
      </c>
      <c r="X884" s="23" t="str">
        <f aca="false">IF(T884="","",IF(T884=0,"No discount",IF(T884&lt;=0.2,"Low (1-20%)",IF(T884&lt;=0.4,"Medium (21-40%)","High (&gt;40%)"))))</f>
        <v/>
      </c>
      <c r="Y884" s="23" t="str">
        <f aca="false">IF(AND(ISNUMBER(C884),ISNUMBER(D884)),D884-C884,"")</f>
        <v/>
      </c>
      <c r="Z884" s="23" t="str">
        <f aca="false">IF(B884="","",IF(MATCH(B884,$B$2:$B$12000,0)=ROW()-1,1,0))</f>
        <v/>
      </c>
    </row>
    <row r="885" customFormat="false" ht="15" hidden="false" customHeight="false" outlineLevel="0" collapsed="false">
      <c r="V885" s="23" t="str">
        <f aca="false">IF(ISNUMBER(C885),YEAR(C885),"")</f>
        <v/>
      </c>
      <c r="W885" s="23" t="str">
        <f aca="false">IF(ISNUMBER(C885),MONTH(C885),"")</f>
        <v/>
      </c>
      <c r="X885" s="23" t="str">
        <f aca="false">IF(T885="","",IF(T885=0,"No discount",IF(T885&lt;=0.2,"Low (1-20%)",IF(T885&lt;=0.4,"Medium (21-40%)","High (&gt;40%)"))))</f>
        <v/>
      </c>
      <c r="Y885" s="23" t="str">
        <f aca="false">IF(AND(ISNUMBER(C885),ISNUMBER(D885)),D885-C885,"")</f>
        <v/>
      </c>
      <c r="Z885" s="23" t="str">
        <f aca="false">IF(B885="","",IF(MATCH(B885,$B$2:$B$12000,0)=ROW()-1,1,0))</f>
        <v/>
      </c>
    </row>
    <row r="886" customFormat="false" ht="15" hidden="false" customHeight="false" outlineLevel="0" collapsed="false">
      <c r="V886" s="23" t="str">
        <f aca="false">IF(ISNUMBER(C886),YEAR(C886),"")</f>
        <v/>
      </c>
      <c r="W886" s="23" t="str">
        <f aca="false">IF(ISNUMBER(C886),MONTH(C886),"")</f>
        <v/>
      </c>
      <c r="X886" s="23" t="str">
        <f aca="false">IF(T886="","",IF(T886=0,"No discount",IF(T886&lt;=0.2,"Low (1-20%)",IF(T886&lt;=0.4,"Medium (21-40%)","High (&gt;40%)"))))</f>
        <v/>
      </c>
      <c r="Y886" s="23" t="str">
        <f aca="false">IF(AND(ISNUMBER(C886),ISNUMBER(D886)),D886-C886,"")</f>
        <v/>
      </c>
      <c r="Z886" s="23" t="str">
        <f aca="false">IF(B886="","",IF(MATCH(B886,$B$2:$B$12000,0)=ROW()-1,1,0))</f>
        <v/>
      </c>
    </row>
    <row r="887" customFormat="false" ht="15" hidden="false" customHeight="false" outlineLevel="0" collapsed="false">
      <c r="V887" s="23" t="str">
        <f aca="false">IF(ISNUMBER(C887),YEAR(C887),"")</f>
        <v/>
      </c>
      <c r="W887" s="23" t="str">
        <f aca="false">IF(ISNUMBER(C887),MONTH(C887),"")</f>
        <v/>
      </c>
      <c r="X887" s="23" t="str">
        <f aca="false">IF(T887="","",IF(T887=0,"No discount",IF(T887&lt;=0.2,"Low (1-20%)",IF(T887&lt;=0.4,"Medium (21-40%)","High (&gt;40%)"))))</f>
        <v/>
      </c>
      <c r="Y887" s="23" t="str">
        <f aca="false">IF(AND(ISNUMBER(C887),ISNUMBER(D887)),D887-C887,"")</f>
        <v/>
      </c>
      <c r="Z887" s="23" t="str">
        <f aca="false">IF(B887="","",IF(MATCH(B887,$B$2:$B$12000,0)=ROW()-1,1,0))</f>
        <v/>
      </c>
    </row>
    <row r="888" customFormat="false" ht="15" hidden="false" customHeight="false" outlineLevel="0" collapsed="false">
      <c r="V888" s="23" t="str">
        <f aca="false">IF(ISNUMBER(C888),YEAR(C888),"")</f>
        <v/>
      </c>
      <c r="W888" s="23" t="str">
        <f aca="false">IF(ISNUMBER(C888),MONTH(C888),"")</f>
        <v/>
      </c>
      <c r="X888" s="23" t="str">
        <f aca="false">IF(T888="","",IF(T888=0,"No discount",IF(T888&lt;=0.2,"Low (1-20%)",IF(T888&lt;=0.4,"Medium (21-40%)","High (&gt;40%)"))))</f>
        <v/>
      </c>
      <c r="Y888" s="23" t="str">
        <f aca="false">IF(AND(ISNUMBER(C888),ISNUMBER(D888)),D888-C888,"")</f>
        <v/>
      </c>
      <c r="Z888" s="23" t="str">
        <f aca="false">IF(B888="","",IF(MATCH(B888,$B$2:$B$12000,0)=ROW()-1,1,0))</f>
        <v/>
      </c>
    </row>
    <row r="889" customFormat="false" ht="15" hidden="false" customHeight="false" outlineLevel="0" collapsed="false">
      <c r="V889" s="23" t="str">
        <f aca="false">IF(ISNUMBER(C889),YEAR(C889),"")</f>
        <v/>
      </c>
      <c r="W889" s="23" t="str">
        <f aca="false">IF(ISNUMBER(C889),MONTH(C889),"")</f>
        <v/>
      </c>
      <c r="X889" s="23" t="str">
        <f aca="false">IF(T889="","",IF(T889=0,"No discount",IF(T889&lt;=0.2,"Low (1-20%)",IF(T889&lt;=0.4,"Medium (21-40%)","High (&gt;40%)"))))</f>
        <v/>
      </c>
      <c r="Y889" s="23" t="str">
        <f aca="false">IF(AND(ISNUMBER(C889),ISNUMBER(D889)),D889-C889,"")</f>
        <v/>
      </c>
      <c r="Z889" s="23" t="str">
        <f aca="false">IF(B889="","",IF(MATCH(B889,$B$2:$B$12000,0)=ROW()-1,1,0))</f>
        <v/>
      </c>
    </row>
    <row r="890" customFormat="false" ht="15" hidden="false" customHeight="false" outlineLevel="0" collapsed="false">
      <c r="V890" s="23" t="str">
        <f aca="false">IF(ISNUMBER(C890),YEAR(C890),"")</f>
        <v/>
      </c>
      <c r="W890" s="23" t="str">
        <f aca="false">IF(ISNUMBER(C890),MONTH(C890),"")</f>
        <v/>
      </c>
      <c r="X890" s="23" t="str">
        <f aca="false">IF(T890="","",IF(T890=0,"No discount",IF(T890&lt;=0.2,"Low (1-20%)",IF(T890&lt;=0.4,"Medium (21-40%)","High (&gt;40%)"))))</f>
        <v/>
      </c>
      <c r="Y890" s="23" t="str">
        <f aca="false">IF(AND(ISNUMBER(C890),ISNUMBER(D890)),D890-C890,"")</f>
        <v/>
      </c>
      <c r="Z890" s="23" t="str">
        <f aca="false">IF(B890="","",IF(MATCH(B890,$B$2:$B$12000,0)=ROW()-1,1,0))</f>
        <v/>
      </c>
    </row>
    <row r="891" customFormat="false" ht="15" hidden="false" customHeight="false" outlineLevel="0" collapsed="false">
      <c r="V891" s="23" t="str">
        <f aca="false">IF(ISNUMBER(C891),YEAR(C891),"")</f>
        <v/>
      </c>
      <c r="W891" s="23" t="str">
        <f aca="false">IF(ISNUMBER(C891),MONTH(C891),"")</f>
        <v/>
      </c>
      <c r="X891" s="23" t="str">
        <f aca="false">IF(T891="","",IF(T891=0,"No discount",IF(T891&lt;=0.2,"Low (1-20%)",IF(T891&lt;=0.4,"Medium (21-40%)","High (&gt;40%)"))))</f>
        <v/>
      </c>
      <c r="Y891" s="23" t="str">
        <f aca="false">IF(AND(ISNUMBER(C891),ISNUMBER(D891)),D891-C891,"")</f>
        <v/>
      </c>
      <c r="Z891" s="23" t="str">
        <f aca="false">IF(B891="","",IF(MATCH(B891,$B$2:$B$12000,0)=ROW()-1,1,0))</f>
        <v/>
      </c>
    </row>
    <row r="892" customFormat="false" ht="15" hidden="false" customHeight="false" outlineLevel="0" collapsed="false">
      <c r="V892" s="23" t="str">
        <f aca="false">IF(ISNUMBER(C892),YEAR(C892),"")</f>
        <v/>
      </c>
      <c r="W892" s="23" t="str">
        <f aca="false">IF(ISNUMBER(C892),MONTH(C892),"")</f>
        <v/>
      </c>
      <c r="X892" s="23" t="str">
        <f aca="false">IF(T892="","",IF(T892=0,"No discount",IF(T892&lt;=0.2,"Low (1-20%)",IF(T892&lt;=0.4,"Medium (21-40%)","High (&gt;40%)"))))</f>
        <v/>
      </c>
      <c r="Y892" s="23" t="str">
        <f aca="false">IF(AND(ISNUMBER(C892),ISNUMBER(D892)),D892-C892,"")</f>
        <v/>
      </c>
      <c r="Z892" s="23" t="str">
        <f aca="false">IF(B892="","",IF(MATCH(B892,$B$2:$B$12000,0)=ROW()-1,1,0))</f>
        <v/>
      </c>
    </row>
    <row r="893" customFormat="false" ht="15" hidden="false" customHeight="false" outlineLevel="0" collapsed="false">
      <c r="V893" s="23" t="str">
        <f aca="false">IF(ISNUMBER(C893),YEAR(C893),"")</f>
        <v/>
      </c>
      <c r="W893" s="23" t="str">
        <f aca="false">IF(ISNUMBER(C893),MONTH(C893),"")</f>
        <v/>
      </c>
      <c r="X893" s="23" t="str">
        <f aca="false">IF(T893="","",IF(T893=0,"No discount",IF(T893&lt;=0.2,"Low (1-20%)",IF(T893&lt;=0.4,"Medium (21-40%)","High (&gt;40%)"))))</f>
        <v/>
      </c>
      <c r="Y893" s="23" t="str">
        <f aca="false">IF(AND(ISNUMBER(C893),ISNUMBER(D893)),D893-C893,"")</f>
        <v/>
      </c>
      <c r="Z893" s="23" t="str">
        <f aca="false">IF(B893="","",IF(MATCH(B893,$B$2:$B$12000,0)=ROW()-1,1,0))</f>
        <v/>
      </c>
    </row>
    <row r="894" customFormat="false" ht="15" hidden="false" customHeight="false" outlineLevel="0" collapsed="false">
      <c r="V894" s="23" t="str">
        <f aca="false">IF(ISNUMBER(C894),YEAR(C894),"")</f>
        <v/>
      </c>
      <c r="W894" s="23" t="str">
        <f aca="false">IF(ISNUMBER(C894),MONTH(C894),"")</f>
        <v/>
      </c>
      <c r="X894" s="23" t="str">
        <f aca="false">IF(T894="","",IF(T894=0,"No discount",IF(T894&lt;=0.2,"Low (1-20%)",IF(T894&lt;=0.4,"Medium (21-40%)","High (&gt;40%)"))))</f>
        <v/>
      </c>
      <c r="Y894" s="23" t="str">
        <f aca="false">IF(AND(ISNUMBER(C894),ISNUMBER(D894)),D894-C894,"")</f>
        <v/>
      </c>
      <c r="Z894" s="23" t="str">
        <f aca="false">IF(B894="","",IF(MATCH(B894,$B$2:$B$12000,0)=ROW()-1,1,0))</f>
        <v/>
      </c>
    </row>
    <row r="895" customFormat="false" ht="15" hidden="false" customHeight="false" outlineLevel="0" collapsed="false">
      <c r="V895" s="23" t="str">
        <f aca="false">IF(ISNUMBER(C895),YEAR(C895),"")</f>
        <v/>
      </c>
      <c r="W895" s="23" t="str">
        <f aca="false">IF(ISNUMBER(C895),MONTH(C895),"")</f>
        <v/>
      </c>
      <c r="X895" s="23" t="str">
        <f aca="false">IF(T895="","",IF(T895=0,"No discount",IF(T895&lt;=0.2,"Low (1-20%)",IF(T895&lt;=0.4,"Medium (21-40%)","High (&gt;40%)"))))</f>
        <v/>
      </c>
      <c r="Y895" s="23" t="str">
        <f aca="false">IF(AND(ISNUMBER(C895),ISNUMBER(D895)),D895-C895,"")</f>
        <v/>
      </c>
      <c r="Z895" s="23" t="str">
        <f aca="false">IF(B895="","",IF(MATCH(B895,$B$2:$B$12000,0)=ROW()-1,1,0))</f>
        <v/>
      </c>
    </row>
    <row r="896" customFormat="false" ht="15" hidden="false" customHeight="false" outlineLevel="0" collapsed="false">
      <c r="V896" s="23" t="str">
        <f aca="false">IF(ISNUMBER(C896),YEAR(C896),"")</f>
        <v/>
      </c>
      <c r="W896" s="23" t="str">
        <f aca="false">IF(ISNUMBER(C896),MONTH(C896),"")</f>
        <v/>
      </c>
      <c r="X896" s="23" t="str">
        <f aca="false">IF(T896="","",IF(T896=0,"No discount",IF(T896&lt;=0.2,"Low (1-20%)",IF(T896&lt;=0.4,"Medium (21-40%)","High (&gt;40%)"))))</f>
        <v/>
      </c>
      <c r="Y896" s="23" t="str">
        <f aca="false">IF(AND(ISNUMBER(C896),ISNUMBER(D896)),D896-C896,"")</f>
        <v/>
      </c>
      <c r="Z896" s="23" t="str">
        <f aca="false">IF(B896="","",IF(MATCH(B896,$B$2:$B$12000,0)=ROW()-1,1,0))</f>
        <v/>
      </c>
    </row>
    <row r="897" customFormat="false" ht="15" hidden="false" customHeight="false" outlineLevel="0" collapsed="false">
      <c r="V897" s="23" t="str">
        <f aca="false">IF(ISNUMBER(C897),YEAR(C897),"")</f>
        <v/>
      </c>
      <c r="W897" s="23" t="str">
        <f aca="false">IF(ISNUMBER(C897),MONTH(C897),"")</f>
        <v/>
      </c>
      <c r="X897" s="23" t="str">
        <f aca="false">IF(T897="","",IF(T897=0,"No discount",IF(T897&lt;=0.2,"Low (1-20%)",IF(T897&lt;=0.4,"Medium (21-40%)","High (&gt;40%)"))))</f>
        <v/>
      </c>
      <c r="Y897" s="23" t="str">
        <f aca="false">IF(AND(ISNUMBER(C897),ISNUMBER(D897)),D897-C897,"")</f>
        <v/>
      </c>
      <c r="Z897" s="23" t="str">
        <f aca="false">IF(B897="","",IF(MATCH(B897,$B$2:$B$12000,0)=ROW()-1,1,0))</f>
        <v/>
      </c>
    </row>
    <row r="898" customFormat="false" ht="15" hidden="false" customHeight="false" outlineLevel="0" collapsed="false">
      <c r="V898" s="23" t="str">
        <f aca="false">IF(ISNUMBER(C898),YEAR(C898),"")</f>
        <v/>
      </c>
      <c r="W898" s="23" t="str">
        <f aca="false">IF(ISNUMBER(C898),MONTH(C898),"")</f>
        <v/>
      </c>
      <c r="X898" s="23" t="str">
        <f aca="false">IF(T898="","",IF(T898=0,"No discount",IF(T898&lt;=0.2,"Low (1-20%)",IF(T898&lt;=0.4,"Medium (21-40%)","High (&gt;40%)"))))</f>
        <v/>
      </c>
      <c r="Y898" s="23" t="str">
        <f aca="false">IF(AND(ISNUMBER(C898),ISNUMBER(D898)),D898-C898,"")</f>
        <v/>
      </c>
      <c r="Z898" s="23" t="str">
        <f aca="false">IF(B898="","",IF(MATCH(B898,$B$2:$B$12000,0)=ROW()-1,1,0))</f>
        <v/>
      </c>
    </row>
    <row r="899" customFormat="false" ht="15" hidden="false" customHeight="false" outlineLevel="0" collapsed="false">
      <c r="V899" s="23" t="str">
        <f aca="false">IF(ISNUMBER(C899),YEAR(C899),"")</f>
        <v/>
      </c>
      <c r="W899" s="23" t="str">
        <f aca="false">IF(ISNUMBER(C899),MONTH(C899),"")</f>
        <v/>
      </c>
      <c r="X899" s="23" t="str">
        <f aca="false">IF(T899="","",IF(T899=0,"No discount",IF(T899&lt;=0.2,"Low (1-20%)",IF(T899&lt;=0.4,"Medium (21-40%)","High (&gt;40%)"))))</f>
        <v/>
      </c>
      <c r="Y899" s="23" t="str">
        <f aca="false">IF(AND(ISNUMBER(C899),ISNUMBER(D899)),D899-C899,"")</f>
        <v/>
      </c>
      <c r="Z899" s="23" t="str">
        <f aca="false">IF(B899="","",IF(MATCH(B899,$B$2:$B$12000,0)=ROW()-1,1,0))</f>
        <v/>
      </c>
    </row>
    <row r="900" customFormat="false" ht="15" hidden="false" customHeight="false" outlineLevel="0" collapsed="false">
      <c r="V900" s="23" t="str">
        <f aca="false">IF(ISNUMBER(C900),YEAR(C900),"")</f>
        <v/>
      </c>
      <c r="W900" s="23" t="str">
        <f aca="false">IF(ISNUMBER(C900),MONTH(C900),"")</f>
        <v/>
      </c>
      <c r="X900" s="23" t="str">
        <f aca="false">IF(T900="","",IF(T900=0,"No discount",IF(T900&lt;=0.2,"Low (1-20%)",IF(T900&lt;=0.4,"Medium (21-40%)","High (&gt;40%)"))))</f>
        <v/>
      </c>
      <c r="Y900" s="23" t="str">
        <f aca="false">IF(AND(ISNUMBER(C900),ISNUMBER(D900)),D900-C900,"")</f>
        <v/>
      </c>
      <c r="Z900" s="23" t="str">
        <f aca="false">IF(B900="","",IF(MATCH(B900,$B$2:$B$12000,0)=ROW()-1,1,0))</f>
        <v/>
      </c>
    </row>
    <row r="901" customFormat="false" ht="15" hidden="false" customHeight="false" outlineLevel="0" collapsed="false">
      <c r="V901" s="23" t="str">
        <f aca="false">IF(ISNUMBER(C901),YEAR(C901),"")</f>
        <v/>
      </c>
      <c r="W901" s="23" t="str">
        <f aca="false">IF(ISNUMBER(C901),MONTH(C901),"")</f>
        <v/>
      </c>
      <c r="X901" s="23" t="str">
        <f aca="false">IF(T901="","",IF(T901=0,"No discount",IF(T901&lt;=0.2,"Low (1-20%)",IF(T901&lt;=0.4,"Medium (21-40%)","High (&gt;40%)"))))</f>
        <v/>
      </c>
      <c r="Y901" s="23" t="str">
        <f aca="false">IF(AND(ISNUMBER(C901),ISNUMBER(D901)),D901-C901,"")</f>
        <v/>
      </c>
      <c r="Z901" s="23" t="str">
        <f aca="false">IF(B901="","",IF(MATCH(B901,$B$2:$B$12000,0)=ROW()-1,1,0))</f>
        <v/>
      </c>
    </row>
    <row r="902" customFormat="false" ht="15" hidden="false" customHeight="false" outlineLevel="0" collapsed="false">
      <c r="V902" s="23" t="str">
        <f aca="false">IF(ISNUMBER(C902),YEAR(C902),"")</f>
        <v/>
      </c>
      <c r="W902" s="23" t="str">
        <f aca="false">IF(ISNUMBER(C902),MONTH(C902),"")</f>
        <v/>
      </c>
      <c r="X902" s="23" t="str">
        <f aca="false">IF(T902="","",IF(T902=0,"No discount",IF(T902&lt;=0.2,"Low (1-20%)",IF(T902&lt;=0.4,"Medium (21-40%)","High (&gt;40%)"))))</f>
        <v/>
      </c>
      <c r="Y902" s="23" t="str">
        <f aca="false">IF(AND(ISNUMBER(C902),ISNUMBER(D902)),D902-C902,"")</f>
        <v/>
      </c>
      <c r="Z902" s="23" t="str">
        <f aca="false">IF(B902="","",IF(MATCH(B902,$B$2:$B$12000,0)=ROW()-1,1,0))</f>
        <v/>
      </c>
    </row>
    <row r="903" customFormat="false" ht="15" hidden="false" customHeight="false" outlineLevel="0" collapsed="false">
      <c r="V903" s="23" t="str">
        <f aca="false">IF(ISNUMBER(C903),YEAR(C903),"")</f>
        <v/>
      </c>
      <c r="W903" s="23" t="str">
        <f aca="false">IF(ISNUMBER(C903),MONTH(C903),"")</f>
        <v/>
      </c>
      <c r="X903" s="23" t="str">
        <f aca="false">IF(T903="","",IF(T903=0,"No discount",IF(T903&lt;=0.2,"Low (1-20%)",IF(T903&lt;=0.4,"Medium (21-40%)","High (&gt;40%)"))))</f>
        <v/>
      </c>
      <c r="Y903" s="23" t="str">
        <f aca="false">IF(AND(ISNUMBER(C903),ISNUMBER(D903)),D903-C903,"")</f>
        <v/>
      </c>
      <c r="Z903" s="23" t="str">
        <f aca="false">IF(B903="","",IF(MATCH(B903,$B$2:$B$12000,0)=ROW()-1,1,0))</f>
        <v/>
      </c>
    </row>
    <row r="904" customFormat="false" ht="15" hidden="false" customHeight="false" outlineLevel="0" collapsed="false">
      <c r="V904" s="23" t="str">
        <f aca="false">IF(ISNUMBER(C904),YEAR(C904),"")</f>
        <v/>
      </c>
      <c r="W904" s="23" t="str">
        <f aca="false">IF(ISNUMBER(C904),MONTH(C904),"")</f>
        <v/>
      </c>
      <c r="X904" s="23" t="str">
        <f aca="false">IF(T904="","",IF(T904=0,"No discount",IF(T904&lt;=0.2,"Low (1-20%)",IF(T904&lt;=0.4,"Medium (21-40%)","High (&gt;40%)"))))</f>
        <v/>
      </c>
      <c r="Y904" s="23" t="str">
        <f aca="false">IF(AND(ISNUMBER(C904),ISNUMBER(D904)),D904-C904,"")</f>
        <v/>
      </c>
      <c r="Z904" s="23" t="str">
        <f aca="false">IF(B904="","",IF(MATCH(B904,$B$2:$B$12000,0)=ROW()-1,1,0))</f>
        <v/>
      </c>
    </row>
    <row r="905" customFormat="false" ht="15" hidden="false" customHeight="false" outlineLevel="0" collapsed="false">
      <c r="V905" s="23" t="str">
        <f aca="false">IF(ISNUMBER(C905),YEAR(C905),"")</f>
        <v/>
      </c>
      <c r="W905" s="23" t="str">
        <f aca="false">IF(ISNUMBER(C905),MONTH(C905),"")</f>
        <v/>
      </c>
      <c r="X905" s="23" t="str">
        <f aca="false">IF(T905="","",IF(T905=0,"No discount",IF(T905&lt;=0.2,"Low (1-20%)",IF(T905&lt;=0.4,"Medium (21-40%)","High (&gt;40%)"))))</f>
        <v/>
      </c>
      <c r="Y905" s="23" t="str">
        <f aca="false">IF(AND(ISNUMBER(C905),ISNUMBER(D905)),D905-C905,"")</f>
        <v/>
      </c>
      <c r="Z905" s="23" t="str">
        <f aca="false">IF(B905="","",IF(MATCH(B905,$B$2:$B$12000,0)=ROW()-1,1,0))</f>
        <v/>
      </c>
    </row>
    <row r="906" customFormat="false" ht="15" hidden="false" customHeight="false" outlineLevel="0" collapsed="false">
      <c r="V906" s="23" t="str">
        <f aca="false">IF(ISNUMBER(C906),YEAR(C906),"")</f>
        <v/>
      </c>
      <c r="W906" s="23" t="str">
        <f aca="false">IF(ISNUMBER(C906),MONTH(C906),"")</f>
        <v/>
      </c>
      <c r="X906" s="23" t="str">
        <f aca="false">IF(T906="","",IF(T906=0,"No discount",IF(T906&lt;=0.2,"Low (1-20%)",IF(T906&lt;=0.4,"Medium (21-40%)","High (&gt;40%)"))))</f>
        <v/>
      </c>
      <c r="Y906" s="23" t="str">
        <f aca="false">IF(AND(ISNUMBER(C906),ISNUMBER(D906)),D906-C906,"")</f>
        <v/>
      </c>
      <c r="Z906" s="23" t="str">
        <f aca="false">IF(B906="","",IF(MATCH(B906,$B$2:$B$12000,0)=ROW()-1,1,0))</f>
        <v/>
      </c>
    </row>
    <row r="907" customFormat="false" ht="15" hidden="false" customHeight="false" outlineLevel="0" collapsed="false">
      <c r="V907" s="23" t="str">
        <f aca="false">IF(ISNUMBER(C907),YEAR(C907),"")</f>
        <v/>
      </c>
      <c r="W907" s="23" t="str">
        <f aca="false">IF(ISNUMBER(C907),MONTH(C907),"")</f>
        <v/>
      </c>
      <c r="X907" s="23" t="str">
        <f aca="false">IF(T907="","",IF(T907=0,"No discount",IF(T907&lt;=0.2,"Low (1-20%)",IF(T907&lt;=0.4,"Medium (21-40%)","High (&gt;40%)"))))</f>
        <v/>
      </c>
      <c r="Y907" s="23" t="str">
        <f aca="false">IF(AND(ISNUMBER(C907),ISNUMBER(D907)),D907-C907,"")</f>
        <v/>
      </c>
      <c r="Z907" s="23" t="str">
        <f aca="false">IF(B907="","",IF(MATCH(B907,$B$2:$B$12000,0)=ROW()-1,1,0))</f>
        <v/>
      </c>
    </row>
    <row r="908" customFormat="false" ht="15" hidden="false" customHeight="false" outlineLevel="0" collapsed="false">
      <c r="V908" s="23" t="str">
        <f aca="false">IF(ISNUMBER(C908),YEAR(C908),"")</f>
        <v/>
      </c>
      <c r="W908" s="23" t="str">
        <f aca="false">IF(ISNUMBER(C908),MONTH(C908),"")</f>
        <v/>
      </c>
      <c r="X908" s="23" t="str">
        <f aca="false">IF(T908="","",IF(T908=0,"No discount",IF(T908&lt;=0.2,"Low (1-20%)",IF(T908&lt;=0.4,"Medium (21-40%)","High (&gt;40%)"))))</f>
        <v/>
      </c>
      <c r="Y908" s="23" t="str">
        <f aca="false">IF(AND(ISNUMBER(C908),ISNUMBER(D908)),D908-C908,"")</f>
        <v/>
      </c>
      <c r="Z908" s="23" t="str">
        <f aca="false">IF(B908="","",IF(MATCH(B908,$B$2:$B$12000,0)=ROW()-1,1,0))</f>
        <v/>
      </c>
    </row>
    <row r="909" customFormat="false" ht="15" hidden="false" customHeight="false" outlineLevel="0" collapsed="false">
      <c r="V909" s="23" t="str">
        <f aca="false">IF(ISNUMBER(C909),YEAR(C909),"")</f>
        <v/>
      </c>
      <c r="W909" s="23" t="str">
        <f aca="false">IF(ISNUMBER(C909),MONTH(C909),"")</f>
        <v/>
      </c>
      <c r="X909" s="23" t="str">
        <f aca="false">IF(T909="","",IF(T909=0,"No discount",IF(T909&lt;=0.2,"Low (1-20%)",IF(T909&lt;=0.4,"Medium (21-40%)","High (&gt;40%)"))))</f>
        <v/>
      </c>
      <c r="Y909" s="23" t="str">
        <f aca="false">IF(AND(ISNUMBER(C909),ISNUMBER(D909)),D909-C909,"")</f>
        <v/>
      </c>
      <c r="Z909" s="23" t="str">
        <f aca="false">IF(B909="","",IF(MATCH(B909,$B$2:$B$12000,0)=ROW()-1,1,0))</f>
        <v/>
      </c>
    </row>
    <row r="910" customFormat="false" ht="15" hidden="false" customHeight="false" outlineLevel="0" collapsed="false">
      <c r="V910" s="23" t="str">
        <f aca="false">IF(ISNUMBER(C910),YEAR(C910),"")</f>
        <v/>
      </c>
      <c r="W910" s="23" t="str">
        <f aca="false">IF(ISNUMBER(C910),MONTH(C910),"")</f>
        <v/>
      </c>
      <c r="X910" s="23" t="str">
        <f aca="false">IF(T910="","",IF(T910=0,"No discount",IF(T910&lt;=0.2,"Low (1-20%)",IF(T910&lt;=0.4,"Medium (21-40%)","High (&gt;40%)"))))</f>
        <v/>
      </c>
      <c r="Y910" s="23" t="str">
        <f aca="false">IF(AND(ISNUMBER(C910),ISNUMBER(D910)),D910-C910,"")</f>
        <v/>
      </c>
      <c r="Z910" s="23" t="str">
        <f aca="false">IF(B910="","",IF(MATCH(B910,$B$2:$B$12000,0)=ROW()-1,1,0))</f>
        <v/>
      </c>
    </row>
    <row r="911" customFormat="false" ht="15" hidden="false" customHeight="false" outlineLevel="0" collapsed="false">
      <c r="V911" s="23" t="str">
        <f aca="false">IF(ISNUMBER(C911),YEAR(C911),"")</f>
        <v/>
      </c>
      <c r="W911" s="23" t="str">
        <f aca="false">IF(ISNUMBER(C911),MONTH(C911),"")</f>
        <v/>
      </c>
      <c r="X911" s="23" t="str">
        <f aca="false">IF(T911="","",IF(T911=0,"No discount",IF(T911&lt;=0.2,"Low (1-20%)",IF(T911&lt;=0.4,"Medium (21-40%)","High (&gt;40%)"))))</f>
        <v/>
      </c>
      <c r="Y911" s="23" t="str">
        <f aca="false">IF(AND(ISNUMBER(C911),ISNUMBER(D911)),D911-C911,"")</f>
        <v/>
      </c>
      <c r="Z911" s="23" t="str">
        <f aca="false">IF(B911="","",IF(MATCH(B911,$B$2:$B$12000,0)=ROW()-1,1,0))</f>
        <v/>
      </c>
    </row>
    <row r="912" customFormat="false" ht="15" hidden="false" customHeight="false" outlineLevel="0" collapsed="false">
      <c r="V912" s="23" t="str">
        <f aca="false">IF(ISNUMBER(C912),YEAR(C912),"")</f>
        <v/>
      </c>
      <c r="W912" s="23" t="str">
        <f aca="false">IF(ISNUMBER(C912),MONTH(C912),"")</f>
        <v/>
      </c>
      <c r="X912" s="23" t="str">
        <f aca="false">IF(T912="","",IF(T912=0,"No discount",IF(T912&lt;=0.2,"Low (1-20%)",IF(T912&lt;=0.4,"Medium (21-40%)","High (&gt;40%)"))))</f>
        <v/>
      </c>
      <c r="Y912" s="23" t="str">
        <f aca="false">IF(AND(ISNUMBER(C912),ISNUMBER(D912)),D912-C912,"")</f>
        <v/>
      </c>
      <c r="Z912" s="23" t="str">
        <f aca="false">IF(B912="","",IF(MATCH(B912,$B$2:$B$12000,0)=ROW()-1,1,0))</f>
        <v/>
      </c>
    </row>
    <row r="913" customFormat="false" ht="15" hidden="false" customHeight="false" outlineLevel="0" collapsed="false">
      <c r="V913" s="23" t="str">
        <f aca="false">IF(ISNUMBER(C913),YEAR(C913),"")</f>
        <v/>
      </c>
      <c r="W913" s="23" t="str">
        <f aca="false">IF(ISNUMBER(C913),MONTH(C913),"")</f>
        <v/>
      </c>
      <c r="X913" s="23" t="str">
        <f aca="false">IF(T913="","",IF(T913=0,"No discount",IF(T913&lt;=0.2,"Low (1-20%)",IF(T913&lt;=0.4,"Medium (21-40%)","High (&gt;40%)"))))</f>
        <v/>
      </c>
      <c r="Y913" s="23" t="str">
        <f aca="false">IF(AND(ISNUMBER(C913),ISNUMBER(D913)),D913-C913,"")</f>
        <v/>
      </c>
      <c r="Z913" s="23" t="str">
        <f aca="false">IF(B913="","",IF(MATCH(B913,$B$2:$B$12000,0)=ROW()-1,1,0))</f>
        <v/>
      </c>
    </row>
    <row r="914" customFormat="false" ht="15" hidden="false" customHeight="false" outlineLevel="0" collapsed="false">
      <c r="V914" s="23" t="str">
        <f aca="false">IF(ISNUMBER(C914),YEAR(C914),"")</f>
        <v/>
      </c>
      <c r="W914" s="23" t="str">
        <f aca="false">IF(ISNUMBER(C914),MONTH(C914),"")</f>
        <v/>
      </c>
      <c r="X914" s="23" t="str">
        <f aca="false">IF(T914="","",IF(T914=0,"No discount",IF(T914&lt;=0.2,"Low (1-20%)",IF(T914&lt;=0.4,"Medium (21-40%)","High (&gt;40%)"))))</f>
        <v/>
      </c>
      <c r="Y914" s="23" t="str">
        <f aca="false">IF(AND(ISNUMBER(C914),ISNUMBER(D914)),D914-C914,"")</f>
        <v/>
      </c>
      <c r="Z914" s="23" t="str">
        <f aca="false">IF(B914="","",IF(MATCH(B914,$B$2:$B$12000,0)=ROW()-1,1,0))</f>
        <v/>
      </c>
    </row>
    <row r="915" customFormat="false" ht="15" hidden="false" customHeight="false" outlineLevel="0" collapsed="false">
      <c r="V915" s="23" t="str">
        <f aca="false">IF(ISNUMBER(C915),YEAR(C915),"")</f>
        <v/>
      </c>
      <c r="W915" s="23" t="str">
        <f aca="false">IF(ISNUMBER(C915),MONTH(C915),"")</f>
        <v/>
      </c>
      <c r="X915" s="23" t="str">
        <f aca="false">IF(T915="","",IF(T915=0,"No discount",IF(T915&lt;=0.2,"Low (1-20%)",IF(T915&lt;=0.4,"Medium (21-40%)","High (&gt;40%)"))))</f>
        <v/>
      </c>
      <c r="Y915" s="23" t="str">
        <f aca="false">IF(AND(ISNUMBER(C915),ISNUMBER(D915)),D915-C915,"")</f>
        <v/>
      </c>
      <c r="Z915" s="23" t="str">
        <f aca="false">IF(B915="","",IF(MATCH(B915,$B$2:$B$12000,0)=ROW()-1,1,0))</f>
        <v/>
      </c>
    </row>
    <row r="916" customFormat="false" ht="15" hidden="false" customHeight="false" outlineLevel="0" collapsed="false">
      <c r="V916" s="23" t="str">
        <f aca="false">IF(ISNUMBER(C916),YEAR(C916),"")</f>
        <v/>
      </c>
      <c r="W916" s="23" t="str">
        <f aca="false">IF(ISNUMBER(C916),MONTH(C916),"")</f>
        <v/>
      </c>
      <c r="X916" s="23" t="str">
        <f aca="false">IF(T916="","",IF(T916=0,"No discount",IF(T916&lt;=0.2,"Low (1-20%)",IF(T916&lt;=0.4,"Medium (21-40%)","High (&gt;40%)"))))</f>
        <v/>
      </c>
      <c r="Y916" s="23" t="str">
        <f aca="false">IF(AND(ISNUMBER(C916),ISNUMBER(D916)),D916-C916,"")</f>
        <v/>
      </c>
      <c r="Z916" s="23" t="str">
        <f aca="false">IF(B916="","",IF(MATCH(B916,$B$2:$B$12000,0)=ROW()-1,1,0))</f>
        <v/>
      </c>
    </row>
    <row r="917" customFormat="false" ht="15" hidden="false" customHeight="false" outlineLevel="0" collapsed="false">
      <c r="V917" s="23" t="str">
        <f aca="false">IF(ISNUMBER(C917),YEAR(C917),"")</f>
        <v/>
      </c>
      <c r="W917" s="23" t="str">
        <f aca="false">IF(ISNUMBER(C917),MONTH(C917),"")</f>
        <v/>
      </c>
      <c r="X917" s="23" t="str">
        <f aca="false">IF(T917="","",IF(T917=0,"No discount",IF(T917&lt;=0.2,"Low (1-20%)",IF(T917&lt;=0.4,"Medium (21-40%)","High (&gt;40%)"))))</f>
        <v/>
      </c>
      <c r="Y917" s="23" t="str">
        <f aca="false">IF(AND(ISNUMBER(C917),ISNUMBER(D917)),D917-C917,"")</f>
        <v/>
      </c>
      <c r="Z917" s="23" t="str">
        <f aca="false">IF(B917="","",IF(MATCH(B917,$B$2:$B$12000,0)=ROW()-1,1,0))</f>
        <v/>
      </c>
    </row>
    <row r="918" customFormat="false" ht="15" hidden="false" customHeight="false" outlineLevel="0" collapsed="false">
      <c r="V918" s="23" t="str">
        <f aca="false">IF(ISNUMBER(C918),YEAR(C918),"")</f>
        <v/>
      </c>
      <c r="W918" s="23" t="str">
        <f aca="false">IF(ISNUMBER(C918),MONTH(C918),"")</f>
        <v/>
      </c>
      <c r="X918" s="23" t="str">
        <f aca="false">IF(T918="","",IF(T918=0,"No discount",IF(T918&lt;=0.2,"Low (1-20%)",IF(T918&lt;=0.4,"Medium (21-40%)","High (&gt;40%)"))))</f>
        <v/>
      </c>
      <c r="Y918" s="23" t="str">
        <f aca="false">IF(AND(ISNUMBER(C918),ISNUMBER(D918)),D918-C918,"")</f>
        <v/>
      </c>
      <c r="Z918" s="23" t="str">
        <f aca="false">IF(B918="","",IF(MATCH(B918,$B$2:$B$12000,0)=ROW()-1,1,0))</f>
        <v/>
      </c>
    </row>
    <row r="919" customFormat="false" ht="15" hidden="false" customHeight="false" outlineLevel="0" collapsed="false">
      <c r="V919" s="23" t="str">
        <f aca="false">IF(ISNUMBER(C919),YEAR(C919),"")</f>
        <v/>
      </c>
      <c r="W919" s="23" t="str">
        <f aca="false">IF(ISNUMBER(C919),MONTH(C919),"")</f>
        <v/>
      </c>
      <c r="X919" s="23" t="str">
        <f aca="false">IF(T919="","",IF(T919=0,"No discount",IF(T919&lt;=0.2,"Low (1-20%)",IF(T919&lt;=0.4,"Medium (21-40%)","High (&gt;40%)"))))</f>
        <v/>
      </c>
      <c r="Y919" s="23" t="str">
        <f aca="false">IF(AND(ISNUMBER(C919),ISNUMBER(D919)),D919-C919,"")</f>
        <v/>
      </c>
      <c r="Z919" s="23" t="str">
        <f aca="false">IF(B919="","",IF(MATCH(B919,$B$2:$B$12000,0)=ROW()-1,1,0))</f>
        <v/>
      </c>
    </row>
    <row r="920" customFormat="false" ht="15" hidden="false" customHeight="false" outlineLevel="0" collapsed="false">
      <c r="V920" s="23" t="str">
        <f aca="false">IF(ISNUMBER(C920),YEAR(C920),"")</f>
        <v/>
      </c>
      <c r="W920" s="23" t="str">
        <f aca="false">IF(ISNUMBER(C920),MONTH(C920),"")</f>
        <v/>
      </c>
      <c r="X920" s="23" t="str">
        <f aca="false">IF(T920="","",IF(T920=0,"No discount",IF(T920&lt;=0.2,"Low (1-20%)",IF(T920&lt;=0.4,"Medium (21-40%)","High (&gt;40%)"))))</f>
        <v/>
      </c>
      <c r="Y920" s="23" t="str">
        <f aca="false">IF(AND(ISNUMBER(C920),ISNUMBER(D920)),D920-C920,"")</f>
        <v/>
      </c>
      <c r="Z920" s="23" t="str">
        <f aca="false">IF(B920="","",IF(MATCH(B920,$B$2:$B$12000,0)=ROW()-1,1,0))</f>
        <v/>
      </c>
    </row>
    <row r="921" customFormat="false" ht="15" hidden="false" customHeight="false" outlineLevel="0" collapsed="false">
      <c r="V921" s="23" t="str">
        <f aca="false">IF(ISNUMBER(C921),YEAR(C921),"")</f>
        <v/>
      </c>
      <c r="W921" s="23" t="str">
        <f aca="false">IF(ISNUMBER(C921),MONTH(C921),"")</f>
        <v/>
      </c>
      <c r="X921" s="23" t="str">
        <f aca="false">IF(T921="","",IF(T921=0,"No discount",IF(T921&lt;=0.2,"Low (1-20%)",IF(T921&lt;=0.4,"Medium (21-40%)","High (&gt;40%)"))))</f>
        <v/>
      </c>
      <c r="Y921" s="23" t="str">
        <f aca="false">IF(AND(ISNUMBER(C921),ISNUMBER(D921)),D921-C921,"")</f>
        <v/>
      </c>
      <c r="Z921" s="23" t="str">
        <f aca="false">IF(B921="","",IF(MATCH(B921,$B$2:$B$12000,0)=ROW()-1,1,0))</f>
        <v/>
      </c>
    </row>
    <row r="922" customFormat="false" ht="15" hidden="false" customHeight="false" outlineLevel="0" collapsed="false">
      <c r="V922" s="23" t="str">
        <f aca="false">IF(ISNUMBER(C922),YEAR(C922),"")</f>
        <v/>
      </c>
      <c r="W922" s="23" t="str">
        <f aca="false">IF(ISNUMBER(C922),MONTH(C922),"")</f>
        <v/>
      </c>
      <c r="X922" s="23" t="str">
        <f aca="false">IF(T922="","",IF(T922=0,"No discount",IF(T922&lt;=0.2,"Low (1-20%)",IF(T922&lt;=0.4,"Medium (21-40%)","High (&gt;40%)"))))</f>
        <v/>
      </c>
      <c r="Y922" s="23" t="str">
        <f aca="false">IF(AND(ISNUMBER(C922),ISNUMBER(D922)),D922-C922,"")</f>
        <v/>
      </c>
      <c r="Z922" s="23" t="str">
        <f aca="false">IF(B922="","",IF(MATCH(B922,$B$2:$B$12000,0)=ROW()-1,1,0))</f>
        <v/>
      </c>
    </row>
    <row r="923" customFormat="false" ht="15" hidden="false" customHeight="false" outlineLevel="0" collapsed="false">
      <c r="V923" s="23" t="str">
        <f aca="false">IF(ISNUMBER(C923),YEAR(C923),"")</f>
        <v/>
      </c>
      <c r="W923" s="23" t="str">
        <f aca="false">IF(ISNUMBER(C923),MONTH(C923),"")</f>
        <v/>
      </c>
      <c r="X923" s="23" t="str">
        <f aca="false">IF(T923="","",IF(T923=0,"No discount",IF(T923&lt;=0.2,"Low (1-20%)",IF(T923&lt;=0.4,"Medium (21-40%)","High (&gt;40%)"))))</f>
        <v/>
      </c>
      <c r="Y923" s="23" t="str">
        <f aca="false">IF(AND(ISNUMBER(C923),ISNUMBER(D923)),D923-C923,"")</f>
        <v/>
      </c>
      <c r="Z923" s="23" t="str">
        <f aca="false">IF(B923="","",IF(MATCH(B923,$B$2:$B$12000,0)=ROW()-1,1,0))</f>
        <v/>
      </c>
    </row>
    <row r="924" customFormat="false" ht="15" hidden="false" customHeight="false" outlineLevel="0" collapsed="false">
      <c r="V924" s="23" t="str">
        <f aca="false">IF(ISNUMBER(C924),YEAR(C924),"")</f>
        <v/>
      </c>
      <c r="W924" s="23" t="str">
        <f aca="false">IF(ISNUMBER(C924),MONTH(C924),"")</f>
        <v/>
      </c>
      <c r="X924" s="23" t="str">
        <f aca="false">IF(T924="","",IF(T924=0,"No discount",IF(T924&lt;=0.2,"Low (1-20%)",IF(T924&lt;=0.4,"Medium (21-40%)","High (&gt;40%)"))))</f>
        <v/>
      </c>
      <c r="Y924" s="23" t="str">
        <f aca="false">IF(AND(ISNUMBER(C924),ISNUMBER(D924)),D924-C924,"")</f>
        <v/>
      </c>
      <c r="Z924" s="23" t="str">
        <f aca="false">IF(B924="","",IF(MATCH(B924,$B$2:$B$12000,0)=ROW()-1,1,0))</f>
        <v/>
      </c>
    </row>
    <row r="925" customFormat="false" ht="15" hidden="false" customHeight="false" outlineLevel="0" collapsed="false">
      <c r="V925" s="23" t="str">
        <f aca="false">IF(ISNUMBER(C925),YEAR(C925),"")</f>
        <v/>
      </c>
      <c r="W925" s="23" t="str">
        <f aca="false">IF(ISNUMBER(C925),MONTH(C925),"")</f>
        <v/>
      </c>
      <c r="X925" s="23" t="str">
        <f aca="false">IF(T925="","",IF(T925=0,"No discount",IF(T925&lt;=0.2,"Low (1-20%)",IF(T925&lt;=0.4,"Medium (21-40%)","High (&gt;40%)"))))</f>
        <v/>
      </c>
      <c r="Y925" s="23" t="str">
        <f aca="false">IF(AND(ISNUMBER(C925),ISNUMBER(D925)),D925-C925,"")</f>
        <v/>
      </c>
      <c r="Z925" s="23" t="str">
        <f aca="false">IF(B925="","",IF(MATCH(B925,$B$2:$B$12000,0)=ROW()-1,1,0))</f>
        <v/>
      </c>
    </row>
    <row r="926" customFormat="false" ht="15" hidden="false" customHeight="false" outlineLevel="0" collapsed="false">
      <c r="V926" s="23" t="str">
        <f aca="false">IF(ISNUMBER(C926),YEAR(C926),"")</f>
        <v/>
      </c>
      <c r="W926" s="23" t="str">
        <f aca="false">IF(ISNUMBER(C926),MONTH(C926),"")</f>
        <v/>
      </c>
      <c r="X926" s="23" t="str">
        <f aca="false">IF(T926="","",IF(T926=0,"No discount",IF(T926&lt;=0.2,"Low (1-20%)",IF(T926&lt;=0.4,"Medium (21-40%)","High (&gt;40%)"))))</f>
        <v/>
      </c>
      <c r="Y926" s="23" t="str">
        <f aca="false">IF(AND(ISNUMBER(C926),ISNUMBER(D926)),D926-C926,"")</f>
        <v/>
      </c>
      <c r="Z926" s="23" t="str">
        <f aca="false">IF(B926="","",IF(MATCH(B926,$B$2:$B$12000,0)=ROW()-1,1,0))</f>
        <v/>
      </c>
    </row>
    <row r="927" customFormat="false" ht="15" hidden="false" customHeight="false" outlineLevel="0" collapsed="false">
      <c r="V927" s="23" t="str">
        <f aca="false">IF(ISNUMBER(C927),YEAR(C927),"")</f>
        <v/>
      </c>
      <c r="W927" s="23" t="str">
        <f aca="false">IF(ISNUMBER(C927),MONTH(C927),"")</f>
        <v/>
      </c>
      <c r="X927" s="23" t="str">
        <f aca="false">IF(T927="","",IF(T927=0,"No discount",IF(T927&lt;=0.2,"Low (1-20%)",IF(T927&lt;=0.4,"Medium (21-40%)","High (&gt;40%)"))))</f>
        <v/>
      </c>
      <c r="Y927" s="23" t="str">
        <f aca="false">IF(AND(ISNUMBER(C927),ISNUMBER(D927)),D927-C927,"")</f>
        <v/>
      </c>
      <c r="Z927" s="23" t="str">
        <f aca="false">IF(B927="","",IF(MATCH(B927,$B$2:$B$12000,0)=ROW()-1,1,0))</f>
        <v/>
      </c>
    </row>
    <row r="928" customFormat="false" ht="15" hidden="false" customHeight="false" outlineLevel="0" collapsed="false">
      <c r="V928" s="23" t="str">
        <f aca="false">IF(ISNUMBER(C928),YEAR(C928),"")</f>
        <v/>
      </c>
      <c r="W928" s="23" t="str">
        <f aca="false">IF(ISNUMBER(C928),MONTH(C928),"")</f>
        <v/>
      </c>
      <c r="X928" s="23" t="str">
        <f aca="false">IF(T928="","",IF(T928=0,"No discount",IF(T928&lt;=0.2,"Low (1-20%)",IF(T928&lt;=0.4,"Medium (21-40%)","High (&gt;40%)"))))</f>
        <v/>
      </c>
      <c r="Y928" s="23" t="str">
        <f aca="false">IF(AND(ISNUMBER(C928),ISNUMBER(D928)),D928-C928,"")</f>
        <v/>
      </c>
      <c r="Z928" s="23" t="str">
        <f aca="false">IF(B928="","",IF(MATCH(B928,$B$2:$B$12000,0)=ROW()-1,1,0))</f>
        <v/>
      </c>
    </row>
    <row r="929" customFormat="false" ht="15" hidden="false" customHeight="false" outlineLevel="0" collapsed="false">
      <c r="V929" s="23" t="str">
        <f aca="false">IF(ISNUMBER(C929),YEAR(C929),"")</f>
        <v/>
      </c>
      <c r="W929" s="23" t="str">
        <f aca="false">IF(ISNUMBER(C929),MONTH(C929),"")</f>
        <v/>
      </c>
      <c r="X929" s="23" t="str">
        <f aca="false">IF(T929="","",IF(T929=0,"No discount",IF(T929&lt;=0.2,"Low (1-20%)",IF(T929&lt;=0.4,"Medium (21-40%)","High (&gt;40%)"))))</f>
        <v/>
      </c>
      <c r="Y929" s="23" t="str">
        <f aca="false">IF(AND(ISNUMBER(C929),ISNUMBER(D929)),D929-C929,"")</f>
        <v/>
      </c>
      <c r="Z929" s="23" t="str">
        <f aca="false">IF(B929="","",IF(MATCH(B929,$B$2:$B$12000,0)=ROW()-1,1,0))</f>
        <v/>
      </c>
    </row>
    <row r="930" customFormat="false" ht="15" hidden="false" customHeight="false" outlineLevel="0" collapsed="false">
      <c r="V930" s="23" t="str">
        <f aca="false">IF(ISNUMBER(C930),YEAR(C930),"")</f>
        <v/>
      </c>
      <c r="W930" s="23" t="str">
        <f aca="false">IF(ISNUMBER(C930),MONTH(C930),"")</f>
        <v/>
      </c>
      <c r="X930" s="23" t="str">
        <f aca="false">IF(T930="","",IF(T930=0,"No discount",IF(T930&lt;=0.2,"Low (1-20%)",IF(T930&lt;=0.4,"Medium (21-40%)","High (&gt;40%)"))))</f>
        <v/>
      </c>
      <c r="Y930" s="23" t="str">
        <f aca="false">IF(AND(ISNUMBER(C930),ISNUMBER(D930)),D930-C930,"")</f>
        <v/>
      </c>
      <c r="Z930" s="23" t="str">
        <f aca="false">IF(B930="","",IF(MATCH(B930,$B$2:$B$12000,0)=ROW()-1,1,0))</f>
        <v/>
      </c>
    </row>
    <row r="931" customFormat="false" ht="15" hidden="false" customHeight="false" outlineLevel="0" collapsed="false">
      <c r="V931" s="23" t="str">
        <f aca="false">IF(ISNUMBER(C931),YEAR(C931),"")</f>
        <v/>
      </c>
      <c r="W931" s="23" t="str">
        <f aca="false">IF(ISNUMBER(C931),MONTH(C931),"")</f>
        <v/>
      </c>
      <c r="X931" s="23" t="str">
        <f aca="false">IF(T931="","",IF(T931=0,"No discount",IF(T931&lt;=0.2,"Low (1-20%)",IF(T931&lt;=0.4,"Medium (21-40%)","High (&gt;40%)"))))</f>
        <v/>
      </c>
      <c r="Y931" s="23" t="str">
        <f aca="false">IF(AND(ISNUMBER(C931),ISNUMBER(D931)),D931-C931,"")</f>
        <v/>
      </c>
      <c r="Z931" s="23" t="str">
        <f aca="false">IF(B931="","",IF(MATCH(B931,$B$2:$B$12000,0)=ROW()-1,1,0))</f>
        <v/>
      </c>
    </row>
    <row r="932" customFormat="false" ht="15" hidden="false" customHeight="false" outlineLevel="0" collapsed="false">
      <c r="V932" s="23" t="str">
        <f aca="false">IF(ISNUMBER(C932),YEAR(C932),"")</f>
        <v/>
      </c>
      <c r="W932" s="23" t="str">
        <f aca="false">IF(ISNUMBER(C932),MONTH(C932),"")</f>
        <v/>
      </c>
      <c r="X932" s="23" t="str">
        <f aca="false">IF(T932="","",IF(T932=0,"No discount",IF(T932&lt;=0.2,"Low (1-20%)",IF(T932&lt;=0.4,"Medium (21-40%)","High (&gt;40%)"))))</f>
        <v/>
      </c>
      <c r="Y932" s="23" t="str">
        <f aca="false">IF(AND(ISNUMBER(C932),ISNUMBER(D932)),D932-C932,"")</f>
        <v/>
      </c>
      <c r="Z932" s="23" t="str">
        <f aca="false">IF(B932="","",IF(MATCH(B932,$B$2:$B$12000,0)=ROW()-1,1,0))</f>
        <v/>
      </c>
    </row>
    <row r="933" customFormat="false" ht="15" hidden="false" customHeight="false" outlineLevel="0" collapsed="false">
      <c r="V933" s="23" t="str">
        <f aca="false">IF(ISNUMBER(C933),YEAR(C933),"")</f>
        <v/>
      </c>
      <c r="W933" s="23" t="str">
        <f aca="false">IF(ISNUMBER(C933),MONTH(C933),"")</f>
        <v/>
      </c>
      <c r="X933" s="23" t="str">
        <f aca="false">IF(T933="","",IF(T933=0,"No discount",IF(T933&lt;=0.2,"Low (1-20%)",IF(T933&lt;=0.4,"Medium (21-40%)","High (&gt;40%)"))))</f>
        <v/>
      </c>
      <c r="Y933" s="23" t="str">
        <f aca="false">IF(AND(ISNUMBER(C933),ISNUMBER(D933)),D933-C933,"")</f>
        <v/>
      </c>
      <c r="Z933" s="23" t="str">
        <f aca="false">IF(B933="","",IF(MATCH(B933,$B$2:$B$12000,0)=ROW()-1,1,0))</f>
        <v/>
      </c>
    </row>
    <row r="934" customFormat="false" ht="15" hidden="false" customHeight="false" outlineLevel="0" collapsed="false">
      <c r="V934" s="23" t="str">
        <f aca="false">IF(ISNUMBER(C934),YEAR(C934),"")</f>
        <v/>
      </c>
      <c r="W934" s="23" t="str">
        <f aca="false">IF(ISNUMBER(C934),MONTH(C934),"")</f>
        <v/>
      </c>
      <c r="X934" s="23" t="str">
        <f aca="false">IF(T934="","",IF(T934=0,"No discount",IF(T934&lt;=0.2,"Low (1-20%)",IF(T934&lt;=0.4,"Medium (21-40%)","High (&gt;40%)"))))</f>
        <v/>
      </c>
      <c r="Y934" s="23" t="str">
        <f aca="false">IF(AND(ISNUMBER(C934),ISNUMBER(D934)),D934-C934,"")</f>
        <v/>
      </c>
      <c r="Z934" s="23" t="str">
        <f aca="false">IF(B934="","",IF(MATCH(B934,$B$2:$B$12000,0)=ROW()-1,1,0))</f>
        <v/>
      </c>
    </row>
    <row r="935" customFormat="false" ht="15" hidden="false" customHeight="false" outlineLevel="0" collapsed="false">
      <c r="V935" s="23" t="str">
        <f aca="false">IF(ISNUMBER(C935),YEAR(C935),"")</f>
        <v/>
      </c>
      <c r="W935" s="23" t="str">
        <f aca="false">IF(ISNUMBER(C935),MONTH(C935),"")</f>
        <v/>
      </c>
      <c r="X935" s="23" t="str">
        <f aca="false">IF(T935="","",IF(T935=0,"No discount",IF(T935&lt;=0.2,"Low (1-20%)",IF(T935&lt;=0.4,"Medium (21-40%)","High (&gt;40%)"))))</f>
        <v/>
      </c>
      <c r="Y935" s="23" t="str">
        <f aca="false">IF(AND(ISNUMBER(C935),ISNUMBER(D935)),D935-C935,"")</f>
        <v/>
      </c>
      <c r="Z935" s="23" t="str">
        <f aca="false">IF(B935="","",IF(MATCH(B935,$B$2:$B$12000,0)=ROW()-1,1,0))</f>
        <v/>
      </c>
    </row>
    <row r="936" customFormat="false" ht="15" hidden="false" customHeight="false" outlineLevel="0" collapsed="false">
      <c r="V936" s="23" t="str">
        <f aca="false">IF(ISNUMBER(C936),YEAR(C936),"")</f>
        <v/>
      </c>
      <c r="W936" s="23" t="str">
        <f aca="false">IF(ISNUMBER(C936),MONTH(C936),"")</f>
        <v/>
      </c>
      <c r="X936" s="23" t="str">
        <f aca="false">IF(T936="","",IF(T936=0,"No discount",IF(T936&lt;=0.2,"Low (1-20%)",IF(T936&lt;=0.4,"Medium (21-40%)","High (&gt;40%)"))))</f>
        <v/>
      </c>
      <c r="Y936" s="23" t="str">
        <f aca="false">IF(AND(ISNUMBER(C936),ISNUMBER(D936)),D936-C936,"")</f>
        <v/>
      </c>
      <c r="Z936" s="23" t="str">
        <f aca="false">IF(B936="","",IF(MATCH(B936,$B$2:$B$12000,0)=ROW()-1,1,0))</f>
        <v/>
      </c>
    </row>
    <row r="937" customFormat="false" ht="15" hidden="false" customHeight="false" outlineLevel="0" collapsed="false">
      <c r="V937" s="23" t="str">
        <f aca="false">IF(ISNUMBER(C937),YEAR(C937),"")</f>
        <v/>
      </c>
      <c r="W937" s="23" t="str">
        <f aca="false">IF(ISNUMBER(C937),MONTH(C937),"")</f>
        <v/>
      </c>
      <c r="X937" s="23" t="str">
        <f aca="false">IF(T937="","",IF(T937=0,"No discount",IF(T937&lt;=0.2,"Low (1-20%)",IF(T937&lt;=0.4,"Medium (21-40%)","High (&gt;40%)"))))</f>
        <v/>
      </c>
      <c r="Y937" s="23" t="str">
        <f aca="false">IF(AND(ISNUMBER(C937),ISNUMBER(D937)),D937-C937,"")</f>
        <v/>
      </c>
      <c r="Z937" s="23" t="str">
        <f aca="false">IF(B937="","",IF(MATCH(B937,$B$2:$B$12000,0)=ROW()-1,1,0))</f>
        <v/>
      </c>
    </row>
    <row r="938" customFormat="false" ht="15" hidden="false" customHeight="false" outlineLevel="0" collapsed="false">
      <c r="V938" s="23" t="str">
        <f aca="false">IF(ISNUMBER(C938),YEAR(C938),"")</f>
        <v/>
      </c>
      <c r="W938" s="23" t="str">
        <f aca="false">IF(ISNUMBER(C938),MONTH(C938),"")</f>
        <v/>
      </c>
      <c r="X938" s="23" t="str">
        <f aca="false">IF(T938="","",IF(T938=0,"No discount",IF(T938&lt;=0.2,"Low (1-20%)",IF(T938&lt;=0.4,"Medium (21-40%)","High (&gt;40%)"))))</f>
        <v/>
      </c>
      <c r="Y938" s="23" t="str">
        <f aca="false">IF(AND(ISNUMBER(C938),ISNUMBER(D938)),D938-C938,"")</f>
        <v/>
      </c>
      <c r="Z938" s="23" t="str">
        <f aca="false">IF(B938="","",IF(MATCH(B938,$B$2:$B$12000,0)=ROW()-1,1,0))</f>
        <v/>
      </c>
    </row>
    <row r="939" customFormat="false" ht="15" hidden="false" customHeight="false" outlineLevel="0" collapsed="false">
      <c r="V939" s="23" t="str">
        <f aca="false">IF(ISNUMBER(C939),YEAR(C939),"")</f>
        <v/>
      </c>
      <c r="W939" s="23" t="str">
        <f aca="false">IF(ISNUMBER(C939),MONTH(C939),"")</f>
        <v/>
      </c>
      <c r="X939" s="23" t="str">
        <f aca="false">IF(T939="","",IF(T939=0,"No discount",IF(T939&lt;=0.2,"Low (1-20%)",IF(T939&lt;=0.4,"Medium (21-40%)","High (&gt;40%)"))))</f>
        <v/>
      </c>
      <c r="Y939" s="23" t="str">
        <f aca="false">IF(AND(ISNUMBER(C939),ISNUMBER(D939)),D939-C939,"")</f>
        <v/>
      </c>
      <c r="Z939" s="23" t="str">
        <f aca="false">IF(B939="","",IF(MATCH(B939,$B$2:$B$12000,0)=ROW()-1,1,0))</f>
        <v/>
      </c>
    </row>
    <row r="940" customFormat="false" ht="15" hidden="false" customHeight="false" outlineLevel="0" collapsed="false">
      <c r="V940" s="23" t="str">
        <f aca="false">IF(ISNUMBER(C940),YEAR(C940),"")</f>
        <v/>
      </c>
      <c r="W940" s="23" t="str">
        <f aca="false">IF(ISNUMBER(C940),MONTH(C940),"")</f>
        <v/>
      </c>
      <c r="X940" s="23" t="str">
        <f aca="false">IF(T940="","",IF(T940=0,"No discount",IF(T940&lt;=0.2,"Low (1-20%)",IF(T940&lt;=0.4,"Medium (21-40%)","High (&gt;40%)"))))</f>
        <v/>
      </c>
      <c r="Y940" s="23" t="str">
        <f aca="false">IF(AND(ISNUMBER(C940),ISNUMBER(D940)),D940-C940,"")</f>
        <v/>
      </c>
      <c r="Z940" s="23" t="str">
        <f aca="false">IF(B940="","",IF(MATCH(B940,$B$2:$B$12000,0)=ROW()-1,1,0))</f>
        <v/>
      </c>
    </row>
    <row r="941" customFormat="false" ht="15" hidden="false" customHeight="false" outlineLevel="0" collapsed="false">
      <c r="V941" s="23" t="str">
        <f aca="false">IF(ISNUMBER(C941),YEAR(C941),"")</f>
        <v/>
      </c>
      <c r="W941" s="23" t="str">
        <f aca="false">IF(ISNUMBER(C941),MONTH(C941),"")</f>
        <v/>
      </c>
      <c r="X941" s="23" t="str">
        <f aca="false">IF(T941="","",IF(T941=0,"No discount",IF(T941&lt;=0.2,"Low (1-20%)",IF(T941&lt;=0.4,"Medium (21-40%)","High (&gt;40%)"))))</f>
        <v/>
      </c>
      <c r="Y941" s="23" t="str">
        <f aca="false">IF(AND(ISNUMBER(C941),ISNUMBER(D941)),D941-C941,"")</f>
        <v/>
      </c>
      <c r="Z941" s="23" t="str">
        <f aca="false">IF(B941="","",IF(MATCH(B941,$B$2:$B$12000,0)=ROW()-1,1,0))</f>
        <v/>
      </c>
    </row>
    <row r="942" customFormat="false" ht="15" hidden="false" customHeight="false" outlineLevel="0" collapsed="false">
      <c r="V942" s="23" t="str">
        <f aca="false">IF(ISNUMBER(C942),YEAR(C942),"")</f>
        <v/>
      </c>
      <c r="W942" s="23" t="str">
        <f aca="false">IF(ISNUMBER(C942),MONTH(C942),"")</f>
        <v/>
      </c>
      <c r="X942" s="23" t="str">
        <f aca="false">IF(T942="","",IF(T942=0,"No discount",IF(T942&lt;=0.2,"Low (1-20%)",IF(T942&lt;=0.4,"Medium (21-40%)","High (&gt;40%)"))))</f>
        <v/>
      </c>
      <c r="Y942" s="23" t="str">
        <f aca="false">IF(AND(ISNUMBER(C942),ISNUMBER(D942)),D942-C942,"")</f>
        <v/>
      </c>
      <c r="Z942" s="23" t="str">
        <f aca="false">IF(B942="","",IF(MATCH(B942,$B$2:$B$12000,0)=ROW()-1,1,0))</f>
        <v/>
      </c>
    </row>
    <row r="943" customFormat="false" ht="15" hidden="false" customHeight="false" outlineLevel="0" collapsed="false">
      <c r="V943" s="23" t="str">
        <f aca="false">IF(ISNUMBER(C943),YEAR(C943),"")</f>
        <v/>
      </c>
      <c r="W943" s="23" t="str">
        <f aca="false">IF(ISNUMBER(C943),MONTH(C943),"")</f>
        <v/>
      </c>
      <c r="X943" s="23" t="str">
        <f aca="false">IF(T943="","",IF(T943=0,"No discount",IF(T943&lt;=0.2,"Low (1-20%)",IF(T943&lt;=0.4,"Medium (21-40%)","High (&gt;40%)"))))</f>
        <v/>
      </c>
      <c r="Y943" s="23" t="str">
        <f aca="false">IF(AND(ISNUMBER(C943),ISNUMBER(D943)),D943-C943,"")</f>
        <v/>
      </c>
      <c r="Z943" s="23" t="str">
        <f aca="false">IF(B943="","",IF(MATCH(B943,$B$2:$B$12000,0)=ROW()-1,1,0))</f>
        <v/>
      </c>
    </row>
    <row r="944" customFormat="false" ht="15" hidden="false" customHeight="false" outlineLevel="0" collapsed="false">
      <c r="V944" s="23" t="str">
        <f aca="false">IF(ISNUMBER(C944),YEAR(C944),"")</f>
        <v/>
      </c>
      <c r="W944" s="23" t="str">
        <f aca="false">IF(ISNUMBER(C944),MONTH(C944),"")</f>
        <v/>
      </c>
      <c r="X944" s="23" t="str">
        <f aca="false">IF(T944="","",IF(T944=0,"No discount",IF(T944&lt;=0.2,"Low (1-20%)",IF(T944&lt;=0.4,"Medium (21-40%)","High (&gt;40%)"))))</f>
        <v/>
      </c>
      <c r="Y944" s="23" t="str">
        <f aca="false">IF(AND(ISNUMBER(C944),ISNUMBER(D944)),D944-C944,"")</f>
        <v/>
      </c>
      <c r="Z944" s="23" t="str">
        <f aca="false">IF(B944="","",IF(MATCH(B944,$B$2:$B$12000,0)=ROW()-1,1,0))</f>
        <v/>
      </c>
    </row>
    <row r="945" customFormat="false" ht="15" hidden="false" customHeight="false" outlineLevel="0" collapsed="false">
      <c r="V945" s="23" t="str">
        <f aca="false">IF(ISNUMBER(C945),YEAR(C945),"")</f>
        <v/>
      </c>
      <c r="W945" s="23" t="str">
        <f aca="false">IF(ISNUMBER(C945),MONTH(C945),"")</f>
        <v/>
      </c>
      <c r="X945" s="23" t="str">
        <f aca="false">IF(T945="","",IF(T945=0,"No discount",IF(T945&lt;=0.2,"Low (1-20%)",IF(T945&lt;=0.4,"Medium (21-40%)","High (&gt;40%)"))))</f>
        <v/>
      </c>
      <c r="Y945" s="23" t="str">
        <f aca="false">IF(AND(ISNUMBER(C945),ISNUMBER(D945)),D945-C945,"")</f>
        <v/>
      </c>
      <c r="Z945" s="23" t="str">
        <f aca="false">IF(B945="","",IF(MATCH(B945,$B$2:$B$12000,0)=ROW()-1,1,0))</f>
        <v/>
      </c>
    </row>
    <row r="946" customFormat="false" ht="15" hidden="false" customHeight="false" outlineLevel="0" collapsed="false">
      <c r="V946" s="23" t="str">
        <f aca="false">IF(ISNUMBER(C946),YEAR(C946),"")</f>
        <v/>
      </c>
      <c r="W946" s="23" t="str">
        <f aca="false">IF(ISNUMBER(C946),MONTH(C946),"")</f>
        <v/>
      </c>
      <c r="X946" s="23" t="str">
        <f aca="false">IF(T946="","",IF(T946=0,"No discount",IF(T946&lt;=0.2,"Low (1-20%)",IF(T946&lt;=0.4,"Medium (21-40%)","High (&gt;40%)"))))</f>
        <v/>
      </c>
      <c r="Y946" s="23" t="str">
        <f aca="false">IF(AND(ISNUMBER(C946),ISNUMBER(D946)),D946-C946,"")</f>
        <v/>
      </c>
      <c r="Z946" s="23" t="str">
        <f aca="false">IF(B946="","",IF(MATCH(B946,$B$2:$B$12000,0)=ROW()-1,1,0))</f>
        <v/>
      </c>
    </row>
    <row r="947" customFormat="false" ht="15" hidden="false" customHeight="false" outlineLevel="0" collapsed="false">
      <c r="V947" s="23" t="str">
        <f aca="false">IF(ISNUMBER(C947),YEAR(C947),"")</f>
        <v/>
      </c>
      <c r="W947" s="23" t="str">
        <f aca="false">IF(ISNUMBER(C947),MONTH(C947),"")</f>
        <v/>
      </c>
      <c r="X947" s="23" t="str">
        <f aca="false">IF(T947="","",IF(T947=0,"No discount",IF(T947&lt;=0.2,"Low (1-20%)",IF(T947&lt;=0.4,"Medium (21-40%)","High (&gt;40%)"))))</f>
        <v/>
      </c>
      <c r="Y947" s="23" t="str">
        <f aca="false">IF(AND(ISNUMBER(C947),ISNUMBER(D947)),D947-C947,"")</f>
        <v/>
      </c>
      <c r="Z947" s="23" t="str">
        <f aca="false">IF(B947="","",IF(MATCH(B947,$B$2:$B$12000,0)=ROW()-1,1,0))</f>
        <v/>
      </c>
    </row>
    <row r="948" customFormat="false" ht="15" hidden="false" customHeight="false" outlineLevel="0" collapsed="false">
      <c r="V948" s="23" t="str">
        <f aca="false">IF(ISNUMBER(C948),YEAR(C948),"")</f>
        <v/>
      </c>
      <c r="W948" s="23" t="str">
        <f aca="false">IF(ISNUMBER(C948),MONTH(C948),"")</f>
        <v/>
      </c>
      <c r="X948" s="23" t="str">
        <f aca="false">IF(T948="","",IF(T948=0,"No discount",IF(T948&lt;=0.2,"Low (1-20%)",IF(T948&lt;=0.4,"Medium (21-40%)","High (&gt;40%)"))))</f>
        <v/>
      </c>
      <c r="Y948" s="23" t="str">
        <f aca="false">IF(AND(ISNUMBER(C948),ISNUMBER(D948)),D948-C948,"")</f>
        <v/>
      </c>
      <c r="Z948" s="23" t="str">
        <f aca="false">IF(B948="","",IF(MATCH(B948,$B$2:$B$12000,0)=ROW()-1,1,0))</f>
        <v/>
      </c>
    </row>
    <row r="949" customFormat="false" ht="15" hidden="false" customHeight="false" outlineLevel="0" collapsed="false">
      <c r="V949" s="23" t="str">
        <f aca="false">IF(ISNUMBER(C949),YEAR(C949),"")</f>
        <v/>
      </c>
      <c r="W949" s="23" t="str">
        <f aca="false">IF(ISNUMBER(C949),MONTH(C949),"")</f>
        <v/>
      </c>
      <c r="X949" s="23" t="str">
        <f aca="false">IF(T949="","",IF(T949=0,"No discount",IF(T949&lt;=0.2,"Low (1-20%)",IF(T949&lt;=0.4,"Medium (21-40%)","High (&gt;40%)"))))</f>
        <v/>
      </c>
      <c r="Y949" s="23" t="str">
        <f aca="false">IF(AND(ISNUMBER(C949),ISNUMBER(D949)),D949-C949,"")</f>
        <v/>
      </c>
      <c r="Z949" s="23" t="str">
        <f aca="false">IF(B949="","",IF(MATCH(B949,$B$2:$B$12000,0)=ROW()-1,1,0))</f>
        <v/>
      </c>
    </row>
    <row r="950" customFormat="false" ht="15" hidden="false" customHeight="false" outlineLevel="0" collapsed="false">
      <c r="V950" s="23" t="str">
        <f aca="false">IF(ISNUMBER(C950),YEAR(C950),"")</f>
        <v/>
      </c>
      <c r="W950" s="23" t="str">
        <f aca="false">IF(ISNUMBER(C950),MONTH(C950),"")</f>
        <v/>
      </c>
      <c r="X950" s="23" t="str">
        <f aca="false">IF(T950="","",IF(T950=0,"No discount",IF(T950&lt;=0.2,"Low (1-20%)",IF(T950&lt;=0.4,"Medium (21-40%)","High (&gt;40%)"))))</f>
        <v/>
      </c>
      <c r="Y950" s="23" t="str">
        <f aca="false">IF(AND(ISNUMBER(C950),ISNUMBER(D950)),D950-C950,"")</f>
        <v/>
      </c>
      <c r="Z950" s="23" t="str">
        <f aca="false">IF(B950="","",IF(MATCH(B950,$B$2:$B$12000,0)=ROW()-1,1,0))</f>
        <v/>
      </c>
    </row>
    <row r="951" customFormat="false" ht="15" hidden="false" customHeight="false" outlineLevel="0" collapsed="false">
      <c r="V951" s="23" t="str">
        <f aca="false">IF(ISNUMBER(C951),YEAR(C951),"")</f>
        <v/>
      </c>
      <c r="W951" s="23" t="str">
        <f aca="false">IF(ISNUMBER(C951),MONTH(C951),"")</f>
        <v/>
      </c>
      <c r="X951" s="23" t="str">
        <f aca="false">IF(T951="","",IF(T951=0,"No discount",IF(T951&lt;=0.2,"Low (1-20%)",IF(T951&lt;=0.4,"Medium (21-40%)","High (&gt;40%)"))))</f>
        <v/>
      </c>
      <c r="Y951" s="23" t="str">
        <f aca="false">IF(AND(ISNUMBER(C951),ISNUMBER(D951)),D951-C951,"")</f>
        <v/>
      </c>
      <c r="Z951" s="23" t="str">
        <f aca="false">IF(B951="","",IF(MATCH(B951,$B$2:$B$12000,0)=ROW()-1,1,0))</f>
        <v/>
      </c>
    </row>
    <row r="952" customFormat="false" ht="15" hidden="false" customHeight="false" outlineLevel="0" collapsed="false">
      <c r="V952" s="23" t="str">
        <f aca="false">IF(ISNUMBER(C952),YEAR(C952),"")</f>
        <v/>
      </c>
      <c r="W952" s="23" t="str">
        <f aca="false">IF(ISNUMBER(C952),MONTH(C952),"")</f>
        <v/>
      </c>
      <c r="X952" s="23" t="str">
        <f aca="false">IF(T952="","",IF(T952=0,"No discount",IF(T952&lt;=0.2,"Low (1-20%)",IF(T952&lt;=0.4,"Medium (21-40%)","High (&gt;40%)"))))</f>
        <v/>
      </c>
      <c r="Y952" s="23" t="str">
        <f aca="false">IF(AND(ISNUMBER(C952),ISNUMBER(D952)),D952-C952,"")</f>
        <v/>
      </c>
      <c r="Z952" s="23" t="str">
        <f aca="false">IF(B952="","",IF(MATCH(B952,$B$2:$B$12000,0)=ROW()-1,1,0))</f>
        <v/>
      </c>
    </row>
    <row r="953" customFormat="false" ht="15" hidden="false" customHeight="false" outlineLevel="0" collapsed="false">
      <c r="V953" s="23" t="str">
        <f aca="false">IF(ISNUMBER(C953),YEAR(C953),"")</f>
        <v/>
      </c>
      <c r="W953" s="23" t="str">
        <f aca="false">IF(ISNUMBER(C953),MONTH(C953),"")</f>
        <v/>
      </c>
      <c r="X953" s="23" t="str">
        <f aca="false">IF(T953="","",IF(T953=0,"No discount",IF(T953&lt;=0.2,"Low (1-20%)",IF(T953&lt;=0.4,"Medium (21-40%)","High (&gt;40%)"))))</f>
        <v/>
      </c>
      <c r="Y953" s="23" t="str">
        <f aca="false">IF(AND(ISNUMBER(C953),ISNUMBER(D953)),D953-C953,"")</f>
        <v/>
      </c>
      <c r="Z953" s="23" t="str">
        <f aca="false">IF(B953="","",IF(MATCH(B953,$B$2:$B$12000,0)=ROW()-1,1,0))</f>
        <v/>
      </c>
    </row>
    <row r="954" customFormat="false" ht="15" hidden="false" customHeight="false" outlineLevel="0" collapsed="false">
      <c r="V954" s="23" t="str">
        <f aca="false">IF(ISNUMBER(C954),YEAR(C954),"")</f>
        <v/>
      </c>
      <c r="W954" s="23" t="str">
        <f aca="false">IF(ISNUMBER(C954),MONTH(C954),"")</f>
        <v/>
      </c>
      <c r="X954" s="23" t="str">
        <f aca="false">IF(T954="","",IF(T954=0,"No discount",IF(T954&lt;=0.2,"Low (1-20%)",IF(T954&lt;=0.4,"Medium (21-40%)","High (&gt;40%)"))))</f>
        <v/>
      </c>
      <c r="Y954" s="23" t="str">
        <f aca="false">IF(AND(ISNUMBER(C954),ISNUMBER(D954)),D954-C954,"")</f>
        <v/>
      </c>
      <c r="Z954" s="23" t="str">
        <f aca="false">IF(B954="","",IF(MATCH(B954,$B$2:$B$12000,0)=ROW()-1,1,0))</f>
        <v/>
      </c>
    </row>
    <row r="955" customFormat="false" ht="15" hidden="false" customHeight="false" outlineLevel="0" collapsed="false">
      <c r="V955" s="23" t="str">
        <f aca="false">IF(ISNUMBER(C955),YEAR(C955),"")</f>
        <v/>
      </c>
      <c r="W955" s="23" t="str">
        <f aca="false">IF(ISNUMBER(C955),MONTH(C955),"")</f>
        <v/>
      </c>
      <c r="X955" s="23" t="str">
        <f aca="false">IF(T955="","",IF(T955=0,"No discount",IF(T955&lt;=0.2,"Low (1-20%)",IF(T955&lt;=0.4,"Medium (21-40%)","High (&gt;40%)"))))</f>
        <v/>
      </c>
      <c r="Y955" s="23" t="str">
        <f aca="false">IF(AND(ISNUMBER(C955),ISNUMBER(D955)),D955-C955,"")</f>
        <v/>
      </c>
      <c r="Z955" s="23" t="str">
        <f aca="false">IF(B955="","",IF(MATCH(B955,$B$2:$B$12000,0)=ROW()-1,1,0))</f>
        <v/>
      </c>
    </row>
    <row r="956" customFormat="false" ht="15" hidden="false" customHeight="false" outlineLevel="0" collapsed="false">
      <c r="V956" s="23" t="str">
        <f aca="false">IF(ISNUMBER(C956),YEAR(C956),"")</f>
        <v/>
      </c>
      <c r="W956" s="23" t="str">
        <f aca="false">IF(ISNUMBER(C956),MONTH(C956),"")</f>
        <v/>
      </c>
      <c r="X956" s="23" t="str">
        <f aca="false">IF(T956="","",IF(T956=0,"No discount",IF(T956&lt;=0.2,"Low (1-20%)",IF(T956&lt;=0.4,"Medium (21-40%)","High (&gt;40%)"))))</f>
        <v/>
      </c>
      <c r="Y956" s="23" t="str">
        <f aca="false">IF(AND(ISNUMBER(C956),ISNUMBER(D956)),D956-C956,"")</f>
        <v/>
      </c>
      <c r="Z956" s="23" t="str">
        <f aca="false">IF(B956="","",IF(MATCH(B956,$B$2:$B$12000,0)=ROW()-1,1,0))</f>
        <v/>
      </c>
    </row>
    <row r="957" customFormat="false" ht="15" hidden="false" customHeight="false" outlineLevel="0" collapsed="false">
      <c r="V957" s="23" t="str">
        <f aca="false">IF(ISNUMBER(C957),YEAR(C957),"")</f>
        <v/>
      </c>
      <c r="W957" s="23" t="str">
        <f aca="false">IF(ISNUMBER(C957),MONTH(C957),"")</f>
        <v/>
      </c>
      <c r="X957" s="23" t="str">
        <f aca="false">IF(T957="","",IF(T957=0,"No discount",IF(T957&lt;=0.2,"Low (1-20%)",IF(T957&lt;=0.4,"Medium (21-40%)","High (&gt;40%)"))))</f>
        <v/>
      </c>
      <c r="Y957" s="23" t="str">
        <f aca="false">IF(AND(ISNUMBER(C957),ISNUMBER(D957)),D957-C957,"")</f>
        <v/>
      </c>
      <c r="Z957" s="23" t="str">
        <f aca="false">IF(B957="","",IF(MATCH(B957,$B$2:$B$12000,0)=ROW()-1,1,0))</f>
        <v/>
      </c>
    </row>
    <row r="958" customFormat="false" ht="15" hidden="false" customHeight="false" outlineLevel="0" collapsed="false">
      <c r="V958" s="23" t="str">
        <f aca="false">IF(ISNUMBER(C958),YEAR(C958),"")</f>
        <v/>
      </c>
      <c r="W958" s="23" t="str">
        <f aca="false">IF(ISNUMBER(C958),MONTH(C958),"")</f>
        <v/>
      </c>
      <c r="X958" s="23" t="str">
        <f aca="false">IF(T958="","",IF(T958=0,"No discount",IF(T958&lt;=0.2,"Low (1-20%)",IF(T958&lt;=0.4,"Medium (21-40%)","High (&gt;40%)"))))</f>
        <v/>
      </c>
      <c r="Y958" s="23" t="str">
        <f aca="false">IF(AND(ISNUMBER(C958),ISNUMBER(D958)),D958-C958,"")</f>
        <v/>
      </c>
      <c r="Z958" s="23" t="str">
        <f aca="false">IF(B958="","",IF(MATCH(B958,$B$2:$B$12000,0)=ROW()-1,1,0))</f>
        <v/>
      </c>
    </row>
    <row r="959" customFormat="false" ht="15" hidden="false" customHeight="false" outlineLevel="0" collapsed="false">
      <c r="V959" s="23" t="str">
        <f aca="false">IF(ISNUMBER(C959),YEAR(C959),"")</f>
        <v/>
      </c>
      <c r="W959" s="23" t="str">
        <f aca="false">IF(ISNUMBER(C959),MONTH(C959),"")</f>
        <v/>
      </c>
      <c r="X959" s="23" t="str">
        <f aca="false">IF(T959="","",IF(T959=0,"No discount",IF(T959&lt;=0.2,"Low (1-20%)",IF(T959&lt;=0.4,"Medium (21-40%)","High (&gt;40%)"))))</f>
        <v/>
      </c>
      <c r="Y959" s="23" t="str">
        <f aca="false">IF(AND(ISNUMBER(C959),ISNUMBER(D959)),D959-C959,"")</f>
        <v/>
      </c>
      <c r="Z959" s="23" t="str">
        <f aca="false">IF(B959="","",IF(MATCH(B959,$B$2:$B$12000,0)=ROW()-1,1,0))</f>
        <v/>
      </c>
    </row>
    <row r="960" customFormat="false" ht="15" hidden="false" customHeight="false" outlineLevel="0" collapsed="false">
      <c r="V960" s="23" t="str">
        <f aca="false">IF(ISNUMBER(C960),YEAR(C960),"")</f>
        <v/>
      </c>
      <c r="W960" s="23" t="str">
        <f aca="false">IF(ISNUMBER(C960),MONTH(C960),"")</f>
        <v/>
      </c>
      <c r="X960" s="23" t="str">
        <f aca="false">IF(T960="","",IF(T960=0,"No discount",IF(T960&lt;=0.2,"Low (1-20%)",IF(T960&lt;=0.4,"Medium (21-40%)","High (&gt;40%)"))))</f>
        <v/>
      </c>
      <c r="Y960" s="23" t="str">
        <f aca="false">IF(AND(ISNUMBER(C960),ISNUMBER(D960)),D960-C960,"")</f>
        <v/>
      </c>
      <c r="Z960" s="23" t="str">
        <f aca="false">IF(B960="","",IF(MATCH(B960,$B$2:$B$12000,0)=ROW()-1,1,0))</f>
        <v/>
      </c>
    </row>
    <row r="961" customFormat="false" ht="15" hidden="false" customHeight="false" outlineLevel="0" collapsed="false">
      <c r="V961" s="23" t="str">
        <f aca="false">IF(ISNUMBER(C961),YEAR(C961),"")</f>
        <v/>
      </c>
      <c r="W961" s="23" t="str">
        <f aca="false">IF(ISNUMBER(C961),MONTH(C961),"")</f>
        <v/>
      </c>
      <c r="X961" s="23" t="str">
        <f aca="false">IF(T961="","",IF(T961=0,"No discount",IF(T961&lt;=0.2,"Low (1-20%)",IF(T961&lt;=0.4,"Medium (21-40%)","High (&gt;40%)"))))</f>
        <v/>
      </c>
      <c r="Y961" s="23" t="str">
        <f aca="false">IF(AND(ISNUMBER(C961),ISNUMBER(D961)),D961-C961,"")</f>
        <v/>
      </c>
      <c r="Z961" s="23" t="str">
        <f aca="false">IF(B961="","",IF(MATCH(B961,$B$2:$B$12000,0)=ROW()-1,1,0))</f>
        <v/>
      </c>
    </row>
    <row r="962" customFormat="false" ht="15" hidden="false" customHeight="false" outlineLevel="0" collapsed="false">
      <c r="V962" s="23" t="str">
        <f aca="false">IF(ISNUMBER(C962),YEAR(C962),"")</f>
        <v/>
      </c>
      <c r="W962" s="23" t="str">
        <f aca="false">IF(ISNUMBER(C962),MONTH(C962),"")</f>
        <v/>
      </c>
      <c r="X962" s="23" t="str">
        <f aca="false">IF(T962="","",IF(T962=0,"No discount",IF(T962&lt;=0.2,"Low (1-20%)",IF(T962&lt;=0.4,"Medium (21-40%)","High (&gt;40%)"))))</f>
        <v/>
      </c>
      <c r="Y962" s="23" t="str">
        <f aca="false">IF(AND(ISNUMBER(C962),ISNUMBER(D962)),D962-C962,"")</f>
        <v/>
      </c>
      <c r="Z962" s="23" t="str">
        <f aca="false">IF(B962="","",IF(MATCH(B962,$B$2:$B$12000,0)=ROW()-1,1,0))</f>
        <v/>
      </c>
    </row>
    <row r="963" customFormat="false" ht="15" hidden="false" customHeight="false" outlineLevel="0" collapsed="false">
      <c r="V963" s="23" t="str">
        <f aca="false">IF(ISNUMBER(C963),YEAR(C963),"")</f>
        <v/>
      </c>
      <c r="W963" s="23" t="str">
        <f aca="false">IF(ISNUMBER(C963),MONTH(C963),"")</f>
        <v/>
      </c>
      <c r="X963" s="23" t="str">
        <f aca="false">IF(T963="","",IF(T963=0,"No discount",IF(T963&lt;=0.2,"Low (1-20%)",IF(T963&lt;=0.4,"Medium (21-40%)","High (&gt;40%)"))))</f>
        <v/>
      </c>
      <c r="Y963" s="23" t="str">
        <f aca="false">IF(AND(ISNUMBER(C963),ISNUMBER(D963)),D963-C963,"")</f>
        <v/>
      </c>
      <c r="Z963" s="23" t="str">
        <f aca="false">IF(B963="","",IF(MATCH(B963,$B$2:$B$12000,0)=ROW()-1,1,0))</f>
        <v/>
      </c>
    </row>
    <row r="964" customFormat="false" ht="15" hidden="false" customHeight="false" outlineLevel="0" collapsed="false">
      <c r="V964" s="23" t="str">
        <f aca="false">IF(ISNUMBER(C964),YEAR(C964),"")</f>
        <v/>
      </c>
      <c r="W964" s="23" t="str">
        <f aca="false">IF(ISNUMBER(C964),MONTH(C964),"")</f>
        <v/>
      </c>
      <c r="X964" s="23" t="str">
        <f aca="false">IF(T964="","",IF(T964=0,"No discount",IF(T964&lt;=0.2,"Low (1-20%)",IF(T964&lt;=0.4,"Medium (21-40%)","High (&gt;40%)"))))</f>
        <v/>
      </c>
      <c r="Y964" s="23" t="str">
        <f aca="false">IF(AND(ISNUMBER(C964),ISNUMBER(D964)),D964-C964,"")</f>
        <v/>
      </c>
      <c r="Z964" s="23" t="str">
        <f aca="false">IF(B964="","",IF(MATCH(B964,$B$2:$B$12000,0)=ROW()-1,1,0))</f>
        <v/>
      </c>
    </row>
    <row r="965" customFormat="false" ht="15" hidden="false" customHeight="false" outlineLevel="0" collapsed="false">
      <c r="V965" s="23" t="str">
        <f aca="false">IF(ISNUMBER(C965),YEAR(C965),"")</f>
        <v/>
      </c>
      <c r="W965" s="23" t="str">
        <f aca="false">IF(ISNUMBER(C965),MONTH(C965),"")</f>
        <v/>
      </c>
      <c r="X965" s="23" t="str">
        <f aca="false">IF(T965="","",IF(T965=0,"No discount",IF(T965&lt;=0.2,"Low (1-20%)",IF(T965&lt;=0.4,"Medium (21-40%)","High (&gt;40%)"))))</f>
        <v/>
      </c>
      <c r="Y965" s="23" t="str">
        <f aca="false">IF(AND(ISNUMBER(C965),ISNUMBER(D965)),D965-C965,"")</f>
        <v/>
      </c>
      <c r="Z965" s="23" t="str">
        <f aca="false">IF(B965="","",IF(MATCH(B965,$B$2:$B$12000,0)=ROW()-1,1,0))</f>
        <v/>
      </c>
    </row>
    <row r="966" customFormat="false" ht="15" hidden="false" customHeight="false" outlineLevel="0" collapsed="false">
      <c r="V966" s="23" t="str">
        <f aca="false">IF(ISNUMBER(C966),YEAR(C966),"")</f>
        <v/>
      </c>
      <c r="W966" s="23" t="str">
        <f aca="false">IF(ISNUMBER(C966),MONTH(C966),"")</f>
        <v/>
      </c>
      <c r="X966" s="23" t="str">
        <f aca="false">IF(T966="","",IF(T966=0,"No discount",IF(T966&lt;=0.2,"Low (1-20%)",IF(T966&lt;=0.4,"Medium (21-40%)","High (&gt;40%)"))))</f>
        <v/>
      </c>
      <c r="Y966" s="23" t="str">
        <f aca="false">IF(AND(ISNUMBER(C966),ISNUMBER(D966)),D966-C966,"")</f>
        <v/>
      </c>
      <c r="Z966" s="23" t="str">
        <f aca="false">IF(B966="","",IF(MATCH(B966,$B$2:$B$12000,0)=ROW()-1,1,0))</f>
        <v/>
      </c>
    </row>
    <row r="967" customFormat="false" ht="15" hidden="false" customHeight="false" outlineLevel="0" collapsed="false">
      <c r="V967" s="23" t="str">
        <f aca="false">IF(ISNUMBER(C967),YEAR(C967),"")</f>
        <v/>
      </c>
      <c r="W967" s="23" t="str">
        <f aca="false">IF(ISNUMBER(C967),MONTH(C967),"")</f>
        <v/>
      </c>
      <c r="X967" s="23" t="str">
        <f aca="false">IF(T967="","",IF(T967=0,"No discount",IF(T967&lt;=0.2,"Low (1-20%)",IF(T967&lt;=0.4,"Medium (21-40%)","High (&gt;40%)"))))</f>
        <v/>
      </c>
      <c r="Y967" s="23" t="str">
        <f aca="false">IF(AND(ISNUMBER(C967),ISNUMBER(D967)),D967-C967,"")</f>
        <v/>
      </c>
      <c r="Z967" s="23" t="str">
        <f aca="false">IF(B967="","",IF(MATCH(B967,$B$2:$B$12000,0)=ROW()-1,1,0))</f>
        <v/>
      </c>
    </row>
    <row r="968" customFormat="false" ht="15" hidden="false" customHeight="false" outlineLevel="0" collapsed="false">
      <c r="V968" s="23" t="str">
        <f aca="false">IF(ISNUMBER(C968),YEAR(C968),"")</f>
        <v/>
      </c>
      <c r="W968" s="23" t="str">
        <f aca="false">IF(ISNUMBER(C968),MONTH(C968),"")</f>
        <v/>
      </c>
      <c r="X968" s="23" t="str">
        <f aca="false">IF(T968="","",IF(T968=0,"No discount",IF(T968&lt;=0.2,"Low (1-20%)",IF(T968&lt;=0.4,"Medium (21-40%)","High (&gt;40%)"))))</f>
        <v/>
      </c>
      <c r="Y968" s="23" t="str">
        <f aca="false">IF(AND(ISNUMBER(C968),ISNUMBER(D968)),D968-C968,"")</f>
        <v/>
      </c>
      <c r="Z968" s="23" t="str">
        <f aca="false">IF(B968="","",IF(MATCH(B968,$B$2:$B$12000,0)=ROW()-1,1,0))</f>
        <v/>
      </c>
    </row>
    <row r="969" customFormat="false" ht="15" hidden="false" customHeight="false" outlineLevel="0" collapsed="false">
      <c r="V969" s="23" t="str">
        <f aca="false">IF(ISNUMBER(C969),YEAR(C969),"")</f>
        <v/>
      </c>
      <c r="W969" s="23" t="str">
        <f aca="false">IF(ISNUMBER(C969),MONTH(C969),"")</f>
        <v/>
      </c>
      <c r="X969" s="23" t="str">
        <f aca="false">IF(T969="","",IF(T969=0,"No discount",IF(T969&lt;=0.2,"Low (1-20%)",IF(T969&lt;=0.4,"Medium (21-40%)","High (&gt;40%)"))))</f>
        <v/>
      </c>
      <c r="Y969" s="23" t="str">
        <f aca="false">IF(AND(ISNUMBER(C969),ISNUMBER(D969)),D969-C969,"")</f>
        <v/>
      </c>
      <c r="Z969" s="23" t="str">
        <f aca="false">IF(B969="","",IF(MATCH(B969,$B$2:$B$12000,0)=ROW()-1,1,0))</f>
        <v/>
      </c>
    </row>
    <row r="970" customFormat="false" ht="15" hidden="false" customHeight="false" outlineLevel="0" collapsed="false">
      <c r="V970" s="23" t="str">
        <f aca="false">IF(ISNUMBER(C970),YEAR(C970),"")</f>
        <v/>
      </c>
      <c r="W970" s="23" t="str">
        <f aca="false">IF(ISNUMBER(C970),MONTH(C970),"")</f>
        <v/>
      </c>
      <c r="X970" s="23" t="str">
        <f aca="false">IF(T970="","",IF(T970=0,"No discount",IF(T970&lt;=0.2,"Low (1-20%)",IF(T970&lt;=0.4,"Medium (21-40%)","High (&gt;40%)"))))</f>
        <v/>
      </c>
      <c r="Y970" s="23" t="str">
        <f aca="false">IF(AND(ISNUMBER(C970),ISNUMBER(D970)),D970-C970,"")</f>
        <v/>
      </c>
      <c r="Z970" s="23" t="str">
        <f aca="false">IF(B970="","",IF(MATCH(B970,$B$2:$B$12000,0)=ROW()-1,1,0))</f>
        <v/>
      </c>
    </row>
    <row r="971" customFormat="false" ht="15" hidden="false" customHeight="false" outlineLevel="0" collapsed="false">
      <c r="V971" s="23" t="str">
        <f aca="false">IF(ISNUMBER(C971),YEAR(C971),"")</f>
        <v/>
      </c>
      <c r="W971" s="23" t="str">
        <f aca="false">IF(ISNUMBER(C971),MONTH(C971),"")</f>
        <v/>
      </c>
      <c r="X971" s="23" t="str">
        <f aca="false">IF(T971="","",IF(T971=0,"No discount",IF(T971&lt;=0.2,"Low (1-20%)",IF(T971&lt;=0.4,"Medium (21-40%)","High (&gt;40%)"))))</f>
        <v/>
      </c>
      <c r="Y971" s="23" t="str">
        <f aca="false">IF(AND(ISNUMBER(C971),ISNUMBER(D971)),D971-C971,"")</f>
        <v/>
      </c>
      <c r="Z971" s="23" t="str">
        <f aca="false">IF(B971="","",IF(MATCH(B971,$B$2:$B$12000,0)=ROW()-1,1,0))</f>
        <v/>
      </c>
    </row>
    <row r="972" customFormat="false" ht="15" hidden="false" customHeight="false" outlineLevel="0" collapsed="false">
      <c r="V972" s="23" t="str">
        <f aca="false">IF(ISNUMBER(C972),YEAR(C972),"")</f>
        <v/>
      </c>
      <c r="W972" s="23" t="str">
        <f aca="false">IF(ISNUMBER(C972),MONTH(C972),"")</f>
        <v/>
      </c>
      <c r="X972" s="23" t="str">
        <f aca="false">IF(T972="","",IF(T972=0,"No discount",IF(T972&lt;=0.2,"Low (1-20%)",IF(T972&lt;=0.4,"Medium (21-40%)","High (&gt;40%)"))))</f>
        <v/>
      </c>
      <c r="Y972" s="23" t="str">
        <f aca="false">IF(AND(ISNUMBER(C972),ISNUMBER(D972)),D972-C972,"")</f>
        <v/>
      </c>
      <c r="Z972" s="23" t="str">
        <f aca="false">IF(B972="","",IF(MATCH(B972,$B$2:$B$12000,0)=ROW()-1,1,0))</f>
        <v/>
      </c>
    </row>
    <row r="973" customFormat="false" ht="15" hidden="false" customHeight="false" outlineLevel="0" collapsed="false">
      <c r="V973" s="23" t="str">
        <f aca="false">IF(ISNUMBER(C973),YEAR(C973),"")</f>
        <v/>
      </c>
      <c r="W973" s="23" t="str">
        <f aca="false">IF(ISNUMBER(C973),MONTH(C973),"")</f>
        <v/>
      </c>
      <c r="X973" s="23" t="str">
        <f aca="false">IF(T973="","",IF(T973=0,"No discount",IF(T973&lt;=0.2,"Low (1-20%)",IF(T973&lt;=0.4,"Medium (21-40%)","High (&gt;40%)"))))</f>
        <v/>
      </c>
      <c r="Y973" s="23" t="str">
        <f aca="false">IF(AND(ISNUMBER(C973),ISNUMBER(D973)),D973-C973,"")</f>
        <v/>
      </c>
      <c r="Z973" s="23" t="str">
        <f aca="false">IF(B973="","",IF(MATCH(B973,$B$2:$B$12000,0)=ROW()-1,1,0))</f>
        <v/>
      </c>
    </row>
    <row r="974" customFormat="false" ht="15" hidden="false" customHeight="false" outlineLevel="0" collapsed="false">
      <c r="V974" s="23" t="str">
        <f aca="false">IF(ISNUMBER(C974),YEAR(C974),"")</f>
        <v/>
      </c>
      <c r="W974" s="23" t="str">
        <f aca="false">IF(ISNUMBER(C974),MONTH(C974),"")</f>
        <v/>
      </c>
      <c r="X974" s="23" t="str">
        <f aca="false">IF(T974="","",IF(T974=0,"No discount",IF(T974&lt;=0.2,"Low (1-20%)",IF(T974&lt;=0.4,"Medium (21-40%)","High (&gt;40%)"))))</f>
        <v/>
      </c>
      <c r="Y974" s="23" t="str">
        <f aca="false">IF(AND(ISNUMBER(C974),ISNUMBER(D974)),D974-C974,"")</f>
        <v/>
      </c>
      <c r="Z974" s="23" t="str">
        <f aca="false">IF(B974="","",IF(MATCH(B974,$B$2:$B$12000,0)=ROW()-1,1,0))</f>
        <v/>
      </c>
    </row>
    <row r="975" customFormat="false" ht="15" hidden="false" customHeight="false" outlineLevel="0" collapsed="false">
      <c r="V975" s="23" t="str">
        <f aca="false">IF(ISNUMBER(C975),YEAR(C975),"")</f>
        <v/>
      </c>
      <c r="W975" s="23" t="str">
        <f aca="false">IF(ISNUMBER(C975),MONTH(C975),"")</f>
        <v/>
      </c>
      <c r="X975" s="23" t="str">
        <f aca="false">IF(T975="","",IF(T975=0,"No discount",IF(T975&lt;=0.2,"Low (1-20%)",IF(T975&lt;=0.4,"Medium (21-40%)","High (&gt;40%)"))))</f>
        <v/>
      </c>
      <c r="Y975" s="23" t="str">
        <f aca="false">IF(AND(ISNUMBER(C975),ISNUMBER(D975)),D975-C975,"")</f>
        <v/>
      </c>
      <c r="Z975" s="23" t="str">
        <f aca="false">IF(B975="","",IF(MATCH(B975,$B$2:$B$12000,0)=ROW()-1,1,0))</f>
        <v/>
      </c>
    </row>
    <row r="976" customFormat="false" ht="15" hidden="false" customHeight="false" outlineLevel="0" collapsed="false">
      <c r="V976" s="23" t="str">
        <f aca="false">IF(ISNUMBER(C976),YEAR(C976),"")</f>
        <v/>
      </c>
      <c r="W976" s="23" t="str">
        <f aca="false">IF(ISNUMBER(C976),MONTH(C976),"")</f>
        <v/>
      </c>
      <c r="X976" s="23" t="str">
        <f aca="false">IF(T976="","",IF(T976=0,"No discount",IF(T976&lt;=0.2,"Low (1-20%)",IF(T976&lt;=0.4,"Medium (21-40%)","High (&gt;40%)"))))</f>
        <v/>
      </c>
      <c r="Y976" s="23" t="str">
        <f aca="false">IF(AND(ISNUMBER(C976),ISNUMBER(D976)),D976-C976,"")</f>
        <v/>
      </c>
      <c r="Z976" s="23" t="str">
        <f aca="false">IF(B976="","",IF(MATCH(B976,$B$2:$B$12000,0)=ROW()-1,1,0))</f>
        <v/>
      </c>
    </row>
    <row r="977" customFormat="false" ht="15" hidden="false" customHeight="false" outlineLevel="0" collapsed="false">
      <c r="V977" s="23" t="str">
        <f aca="false">IF(ISNUMBER(C977),YEAR(C977),"")</f>
        <v/>
      </c>
      <c r="W977" s="23" t="str">
        <f aca="false">IF(ISNUMBER(C977),MONTH(C977),"")</f>
        <v/>
      </c>
      <c r="X977" s="23" t="str">
        <f aca="false">IF(T977="","",IF(T977=0,"No discount",IF(T977&lt;=0.2,"Low (1-20%)",IF(T977&lt;=0.4,"Medium (21-40%)","High (&gt;40%)"))))</f>
        <v/>
      </c>
      <c r="Y977" s="23" t="str">
        <f aca="false">IF(AND(ISNUMBER(C977),ISNUMBER(D977)),D977-C977,"")</f>
        <v/>
      </c>
      <c r="Z977" s="23" t="str">
        <f aca="false">IF(B977="","",IF(MATCH(B977,$B$2:$B$12000,0)=ROW()-1,1,0))</f>
        <v/>
      </c>
    </row>
    <row r="978" customFormat="false" ht="15" hidden="false" customHeight="false" outlineLevel="0" collapsed="false">
      <c r="V978" s="23" t="str">
        <f aca="false">IF(ISNUMBER(C978),YEAR(C978),"")</f>
        <v/>
      </c>
      <c r="W978" s="23" t="str">
        <f aca="false">IF(ISNUMBER(C978),MONTH(C978),"")</f>
        <v/>
      </c>
      <c r="X978" s="23" t="str">
        <f aca="false">IF(T978="","",IF(T978=0,"No discount",IF(T978&lt;=0.2,"Low (1-20%)",IF(T978&lt;=0.4,"Medium (21-40%)","High (&gt;40%)"))))</f>
        <v/>
      </c>
      <c r="Y978" s="23" t="str">
        <f aca="false">IF(AND(ISNUMBER(C978),ISNUMBER(D978)),D978-C978,"")</f>
        <v/>
      </c>
      <c r="Z978" s="23" t="str">
        <f aca="false">IF(B978="","",IF(MATCH(B978,$B$2:$B$12000,0)=ROW()-1,1,0))</f>
        <v/>
      </c>
    </row>
    <row r="979" customFormat="false" ht="15" hidden="false" customHeight="false" outlineLevel="0" collapsed="false">
      <c r="V979" s="23" t="str">
        <f aca="false">IF(ISNUMBER(C979),YEAR(C979),"")</f>
        <v/>
      </c>
      <c r="W979" s="23" t="str">
        <f aca="false">IF(ISNUMBER(C979),MONTH(C979),"")</f>
        <v/>
      </c>
      <c r="X979" s="23" t="str">
        <f aca="false">IF(T979="","",IF(T979=0,"No discount",IF(T979&lt;=0.2,"Low (1-20%)",IF(T979&lt;=0.4,"Medium (21-40%)","High (&gt;40%)"))))</f>
        <v/>
      </c>
      <c r="Y979" s="23" t="str">
        <f aca="false">IF(AND(ISNUMBER(C979),ISNUMBER(D979)),D979-C979,"")</f>
        <v/>
      </c>
      <c r="Z979" s="23" t="str">
        <f aca="false">IF(B979="","",IF(MATCH(B979,$B$2:$B$12000,0)=ROW()-1,1,0))</f>
        <v/>
      </c>
    </row>
    <row r="980" customFormat="false" ht="15" hidden="false" customHeight="false" outlineLevel="0" collapsed="false">
      <c r="V980" s="23" t="str">
        <f aca="false">IF(ISNUMBER(C980),YEAR(C980),"")</f>
        <v/>
      </c>
      <c r="W980" s="23" t="str">
        <f aca="false">IF(ISNUMBER(C980),MONTH(C980),"")</f>
        <v/>
      </c>
      <c r="X980" s="23" t="str">
        <f aca="false">IF(T980="","",IF(T980=0,"No discount",IF(T980&lt;=0.2,"Low (1-20%)",IF(T980&lt;=0.4,"Medium (21-40%)","High (&gt;40%)"))))</f>
        <v/>
      </c>
      <c r="Y980" s="23" t="str">
        <f aca="false">IF(AND(ISNUMBER(C980),ISNUMBER(D980)),D980-C980,"")</f>
        <v/>
      </c>
      <c r="Z980" s="23" t="str">
        <f aca="false">IF(B980="","",IF(MATCH(B980,$B$2:$B$12000,0)=ROW()-1,1,0))</f>
        <v/>
      </c>
    </row>
    <row r="981" customFormat="false" ht="15" hidden="false" customHeight="false" outlineLevel="0" collapsed="false">
      <c r="V981" s="23" t="str">
        <f aca="false">IF(ISNUMBER(C981),YEAR(C981),"")</f>
        <v/>
      </c>
      <c r="W981" s="23" t="str">
        <f aca="false">IF(ISNUMBER(C981),MONTH(C981),"")</f>
        <v/>
      </c>
      <c r="X981" s="23" t="str">
        <f aca="false">IF(T981="","",IF(T981=0,"No discount",IF(T981&lt;=0.2,"Low (1-20%)",IF(T981&lt;=0.4,"Medium (21-40%)","High (&gt;40%)"))))</f>
        <v/>
      </c>
      <c r="Y981" s="23" t="str">
        <f aca="false">IF(AND(ISNUMBER(C981),ISNUMBER(D981)),D981-C981,"")</f>
        <v/>
      </c>
      <c r="Z981" s="23" t="str">
        <f aca="false">IF(B981="","",IF(MATCH(B981,$B$2:$B$12000,0)=ROW()-1,1,0))</f>
        <v/>
      </c>
    </row>
    <row r="982" customFormat="false" ht="15" hidden="false" customHeight="false" outlineLevel="0" collapsed="false">
      <c r="V982" s="23" t="str">
        <f aca="false">IF(ISNUMBER(C982),YEAR(C982),"")</f>
        <v/>
      </c>
      <c r="W982" s="23" t="str">
        <f aca="false">IF(ISNUMBER(C982),MONTH(C982),"")</f>
        <v/>
      </c>
      <c r="X982" s="23" t="str">
        <f aca="false">IF(T982="","",IF(T982=0,"No discount",IF(T982&lt;=0.2,"Low (1-20%)",IF(T982&lt;=0.4,"Medium (21-40%)","High (&gt;40%)"))))</f>
        <v/>
      </c>
      <c r="Y982" s="23" t="str">
        <f aca="false">IF(AND(ISNUMBER(C982),ISNUMBER(D982)),D982-C982,"")</f>
        <v/>
      </c>
      <c r="Z982" s="23" t="str">
        <f aca="false">IF(B982="","",IF(MATCH(B982,$B$2:$B$12000,0)=ROW()-1,1,0))</f>
        <v/>
      </c>
    </row>
    <row r="983" customFormat="false" ht="15" hidden="false" customHeight="false" outlineLevel="0" collapsed="false">
      <c r="V983" s="23" t="str">
        <f aca="false">IF(ISNUMBER(C983),YEAR(C983),"")</f>
        <v/>
      </c>
      <c r="W983" s="23" t="str">
        <f aca="false">IF(ISNUMBER(C983),MONTH(C983),"")</f>
        <v/>
      </c>
      <c r="X983" s="23" t="str">
        <f aca="false">IF(T983="","",IF(T983=0,"No discount",IF(T983&lt;=0.2,"Low (1-20%)",IF(T983&lt;=0.4,"Medium (21-40%)","High (&gt;40%)"))))</f>
        <v/>
      </c>
      <c r="Y983" s="23" t="str">
        <f aca="false">IF(AND(ISNUMBER(C983),ISNUMBER(D983)),D983-C983,"")</f>
        <v/>
      </c>
      <c r="Z983" s="23" t="str">
        <f aca="false">IF(B983="","",IF(MATCH(B983,$B$2:$B$12000,0)=ROW()-1,1,0))</f>
        <v/>
      </c>
    </row>
    <row r="984" customFormat="false" ht="15" hidden="false" customHeight="false" outlineLevel="0" collapsed="false">
      <c r="V984" s="23" t="str">
        <f aca="false">IF(ISNUMBER(C984),YEAR(C984),"")</f>
        <v/>
      </c>
      <c r="W984" s="23" t="str">
        <f aca="false">IF(ISNUMBER(C984),MONTH(C984),"")</f>
        <v/>
      </c>
      <c r="X984" s="23" t="str">
        <f aca="false">IF(T984="","",IF(T984=0,"No discount",IF(T984&lt;=0.2,"Low (1-20%)",IF(T984&lt;=0.4,"Medium (21-40%)","High (&gt;40%)"))))</f>
        <v/>
      </c>
      <c r="Y984" s="23" t="str">
        <f aca="false">IF(AND(ISNUMBER(C984),ISNUMBER(D984)),D984-C984,"")</f>
        <v/>
      </c>
      <c r="Z984" s="23" t="str">
        <f aca="false">IF(B984="","",IF(MATCH(B984,$B$2:$B$12000,0)=ROW()-1,1,0))</f>
        <v/>
      </c>
    </row>
    <row r="985" customFormat="false" ht="15" hidden="false" customHeight="false" outlineLevel="0" collapsed="false">
      <c r="V985" s="23" t="str">
        <f aca="false">IF(ISNUMBER(C985),YEAR(C985),"")</f>
        <v/>
      </c>
      <c r="W985" s="23" t="str">
        <f aca="false">IF(ISNUMBER(C985),MONTH(C985),"")</f>
        <v/>
      </c>
      <c r="X985" s="23" t="str">
        <f aca="false">IF(T985="","",IF(T985=0,"No discount",IF(T985&lt;=0.2,"Low (1-20%)",IF(T985&lt;=0.4,"Medium (21-40%)","High (&gt;40%)"))))</f>
        <v/>
      </c>
      <c r="Y985" s="23" t="str">
        <f aca="false">IF(AND(ISNUMBER(C985),ISNUMBER(D985)),D985-C985,"")</f>
        <v/>
      </c>
      <c r="Z985" s="23" t="str">
        <f aca="false">IF(B985="","",IF(MATCH(B985,$B$2:$B$12000,0)=ROW()-1,1,0))</f>
        <v/>
      </c>
    </row>
    <row r="986" customFormat="false" ht="15" hidden="false" customHeight="false" outlineLevel="0" collapsed="false">
      <c r="V986" s="23" t="str">
        <f aca="false">IF(ISNUMBER(C986),YEAR(C986),"")</f>
        <v/>
      </c>
      <c r="W986" s="23" t="str">
        <f aca="false">IF(ISNUMBER(C986),MONTH(C986),"")</f>
        <v/>
      </c>
      <c r="X986" s="23" t="str">
        <f aca="false">IF(T986="","",IF(T986=0,"No discount",IF(T986&lt;=0.2,"Low (1-20%)",IF(T986&lt;=0.4,"Medium (21-40%)","High (&gt;40%)"))))</f>
        <v/>
      </c>
      <c r="Y986" s="23" t="str">
        <f aca="false">IF(AND(ISNUMBER(C986),ISNUMBER(D986)),D986-C986,"")</f>
        <v/>
      </c>
      <c r="Z986" s="23" t="str">
        <f aca="false">IF(B986="","",IF(MATCH(B986,$B$2:$B$12000,0)=ROW()-1,1,0))</f>
        <v/>
      </c>
    </row>
    <row r="987" customFormat="false" ht="15" hidden="false" customHeight="false" outlineLevel="0" collapsed="false">
      <c r="V987" s="23" t="str">
        <f aca="false">IF(ISNUMBER(C987),YEAR(C987),"")</f>
        <v/>
      </c>
      <c r="W987" s="23" t="str">
        <f aca="false">IF(ISNUMBER(C987),MONTH(C987),"")</f>
        <v/>
      </c>
      <c r="X987" s="23" t="str">
        <f aca="false">IF(T987="","",IF(T987=0,"No discount",IF(T987&lt;=0.2,"Low (1-20%)",IF(T987&lt;=0.4,"Medium (21-40%)","High (&gt;40%)"))))</f>
        <v/>
      </c>
      <c r="Y987" s="23" t="str">
        <f aca="false">IF(AND(ISNUMBER(C987),ISNUMBER(D987)),D987-C987,"")</f>
        <v/>
      </c>
      <c r="Z987" s="23" t="str">
        <f aca="false">IF(B987="","",IF(MATCH(B987,$B$2:$B$12000,0)=ROW()-1,1,0))</f>
        <v/>
      </c>
    </row>
    <row r="988" customFormat="false" ht="15" hidden="false" customHeight="false" outlineLevel="0" collapsed="false">
      <c r="V988" s="23" t="str">
        <f aca="false">IF(ISNUMBER(C988),YEAR(C988),"")</f>
        <v/>
      </c>
      <c r="W988" s="23" t="str">
        <f aca="false">IF(ISNUMBER(C988),MONTH(C988),"")</f>
        <v/>
      </c>
      <c r="X988" s="23" t="str">
        <f aca="false">IF(T988="","",IF(T988=0,"No discount",IF(T988&lt;=0.2,"Low (1-20%)",IF(T988&lt;=0.4,"Medium (21-40%)","High (&gt;40%)"))))</f>
        <v/>
      </c>
      <c r="Y988" s="23" t="str">
        <f aca="false">IF(AND(ISNUMBER(C988),ISNUMBER(D988)),D988-C988,"")</f>
        <v/>
      </c>
      <c r="Z988" s="23" t="str">
        <f aca="false">IF(B988="","",IF(MATCH(B988,$B$2:$B$12000,0)=ROW()-1,1,0))</f>
        <v/>
      </c>
    </row>
    <row r="989" customFormat="false" ht="15" hidden="false" customHeight="false" outlineLevel="0" collapsed="false">
      <c r="V989" s="23" t="str">
        <f aca="false">IF(ISNUMBER(C989),YEAR(C989),"")</f>
        <v/>
      </c>
      <c r="W989" s="23" t="str">
        <f aca="false">IF(ISNUMBER(C989),MONTH(C989),"")</f>
        <v/>
      </c>
      <c r="X989" s="23" t="str">
        <f aca="false">IF(T989="","",IF(T989=0,"No discount",IF(T989&lt;=0.2,"Low (1-20%)",IF(T989&lt;=0.4,"Medium (21-40%)","High (&gt;40%)"))))</f>
        <v/>
      </c>
      <c r="Y989" s="23" t="str">
        <f aca="false">IF(AND(ISNUMBER(C989),ISNUMBER(D989)),D989-C989,"")</f>
        <v/>
      </c>
      <c r="Z989" s="23" t="str">
        <f aca="false">IF(B989="","",IF(MATCH(B989,$B$2:$B$12000,0)=ROW()-1,1,0))</f>
        <v/>
      </c>
    </row>
    <row r="990" customFormat="false" ht="15" hidden="false" customHeight="false" outlineLevel="0" collapsed="false">
      <c r="V990" s="23" t="str">
        <f aca="false">IF(ISNUMBER(C990),YEAR(C990),"")</f>
        <v/>
      </c>
      <c r="W990" s="23" t="str">
        <f aca="false">IF(ISNUMBER(C990),MONTH(C990),"")</f>
        <v/>
      </c>
      <c r="X990" s="23" t="str">
        <f aca="false">IF(T990="","",IF(T990=0,"No discount",IF(T990&lt;=0.2,"Low (1-20%)",IF(T990&lt;=0.4,"Medium (21-40%)","High (&gt;40%)"))))</f>
        <v/>
      </c>
      <c r="Y990" s="23" t="str">
        <f aca="false">IF(AND(ISNUMBER(C990),ISNUMBER(D990)),D990-C990,"")</f>
        <v/>
      </c>
      <c r="Z990" s="23" t="str">
        <f aca="false">IF(B990="","",IF(MATCH(B990,$B$2:$B$12000,0)=ROW()-1,1,0))</f>
        <v/>
      </c>
    </row>
    <row r="991" customFormat="false" ht="15" hidden="false" customHeight="false" outlineLevel="0" collapsed="false">
      <c r="V991" s="23" t="str">
        <f aca="false">IF(ISNUMBER(C991),YEAR(C991),"")</f>
        <v/>
      </c>
      <c r="W991" s="23" t="str">
        <f aca="false">IF(ISNUMBER(C991),MONTH(C991),"")</f>
        <v/>
      </c>
      <c r="X991" s="23" t="str">
        <f aca="false">IF(T991="","",IF(T991=0,"No discount",IF(T991&lt;=0.2,"Low (1-20%)",IF(T991&lt;=0.4,"Medium (21-40%)","High (&gt;40%)"))))</f>
        <v/>
      </c>
      <c r="Y991" s="23" t="str">
        <f aca="false">IF(AND(ISNUMBER(C991),ISNUMBER(D991)),D991-C991,"")</f>
        <v/>
      </c>
      <c r="Z991" s="23" t="str">
        <f aca="false">IF(B991="","",IF(MATCH(B991,$B$2:$B$12000,0)=ROW()-1,1,0))</f>
        <v/>
      </c>
    </row>
    <row r="992" customFormat="false" ht="15" hidden="false" customHeight="false" outlineLevel="0" collapsed="false">
      <c r="V992" s="23" t="str">
        <f aca="false">IF(ISNUMBER(C992),YEAR(C992),"")</f>
        <v/>
      </c>
      <c r="W992" s="23" t="str">
        <f aca="false">IF(ISNUMBER(C992),MONTH(C992),"")</f>
        <v/>
      </c>
      <c r="X992" s="23" t="str">
        <f aca="false">IF(T992="","",IF(T992=0,"No discount",IF(T992&lt;=0.2,"Low (1-20%)",IF(T992&lt;=0.4,"Medium (21-40%)","High (&gt;40%)"))))</f>
        <v/>
      </c>
      <c r="Y992" s="23" t="str">
        <f aca="false">IF(AND(ISNUMBER(C992),ISNUMBER(D992)),D992-C992,"")</f>
        <v/>
      </c>
      <c r="Z992" s="23" t="str">
        <f aca="false">IF(B992="","",IF(MATCH(B992,$B$2:$B$12000,0)=ROW()-1,1,0))</f>
        <v/>
      </c>
    </row>
    <row r="993" customFormat="false" ht="15" hidden="false" customHeight="false" outlineLevel="0" collapsed="false">
      <c r="V993" s="23" t="str">
        <f aca="false">IF(ISNUMBER(C993),YEAR(C993),"")</f>
        <v/>
      </c>
      <c r="W993" s="23" t="str">
        <f aca="false">IF(ISNUMBER(C993),MONTH(C993),"")</f>
        <v/>
      </c>
      <c r="X993" s="23" t="str">
        <f aca="false">IF(T993="","",IF(T993=0,"No discount",IF(T993&lt;=0.2,"Low (1-20%)",IF(T993&lt;=0.4,"Medium (21-40%)","High (&gt;40%)"))))</f>
        <v/>
      </c>
      <c r="Y993" s="23" t="str">
        <f aca="false">IF(AND(ISNUMBER(C993),ISNUMBER(D993)),D993-C993,"")</f>
        <v/>
      </c>
      <c r="Z993" s="23" t="str">
        <f aca="false">IF(B993="","",IF(MATCH(B993,$B$2:$B$12000,0)=ROW()-1,1,0))</f>
        <v/>
      </c>
    </row>
    <row r="994" customFormat="false" ht="15" hidden="false" customHeight="false" outlineLevel="0" collapsed="false">
      <c r="V994" s="23" t="str">
        <f aca="false">IF(ISNUMBER(C994),YEAR(C994),"")</f>
        <v/>
      </c>
      <c r="W994" s="23" t="str">
        <f aca="false">IF(ISNUMBER(C994),MONTH(C994),"")</f>
        <v/>
      </c>
      <c r="X994" s="23" t="str">
        <f aca="false">IF(T994="","",IF(T994=0,"No discount",IF(T994&lt;=0.2,"Low (1-20%)",IF(T994&lt;=0.4,"Medium (21-40%)","High (&gt;40%)"))))</f>
        <v/>
      </c>
      <c r="Y994" s="23" t="str">
        <f aca="false">IF(AND(ISNUMBER(C994),ISNUMBER(D994)),D994-C994,"")</f>
        <v/>
      </c>
      <c r="Z994" s="23" t="str">
        <f aca="false">IF(B994="","",IF(MATCH(B994,$B$2:$B$12000,0)=ROW()-1,1,0))</f>
        <v/>
      </c>
    </row>
    <row r="995" customFormat="false" ht="15" hidden="false" customHeight="false" outlineLevel="0" collapsed="false">
      <c r="V995" s="23" t="str">
        <f aca="false">IF(ISNUMBER(C995),YEAR(C995),"")</f>
        <v/>
      </c>
      <c r="W995" s="23" t="str">
        <f aca="false">IF(ISNUMBER(C995),MONTH(C995),"")</f>
        <v/>
      </c>
      <c r="X995" s="23" t="str">
        <f aca="false">IF(T995="","",IF(T995=0,"No discount",IF(T995&lt;=0.2,"Low (1-20%)",IF(T995&lt;=0.4,"Medium (21-40%)","High (&gt;40%)"))))</f>
        <v/>
      </c>
      <c r="Y995" s="23" t="str">
        <f aca="false">IF(AND(ISNUMBER(C995),ISNUMBER(D995)),D995-C995,"")</f>
        <v/>
      </c>
      <c r="Z995" s="23" t="str">
        <f aca="false">IF(B995="","",IF(MATCH(B995,$B$2:$B$12000,0)=ROW()-1,1,0))</f>
        <v/>
      </c>
    </row>
    <row r="996" customFormat="false" ht="15" hidden="false" customHeight="false" outlineLevel="0" collapsed="false">
      <c r="V996" s="23" t="str">
        <f aca="false">IF(ISNUMBER(C996),YEAR(C996),"")</f>
        <v/>
      </c>
      <c r="W996" s="23" t="str">
        <f aca="false">IF(ISNUMBER(C996),MONTH(C996),"")</f>
        <v/>
      </c>
      <c r="X996" s="23" t="str">
        <f aca="false">IF(T996="","",IF(T996=0,"No discount",IF(T996&lt;=0.2,"Low (1-20%)",IF(T996&lt;=0.4,"Medium (21-40%)","High (&gt;40%)"))))</f>
        <v/>
      </c>
      <c r="Y996" s="23" t="str">
        <f aca="false">IF(AND(ISNUMBER(C996),ISNUMBER(D996)),D996-C996,"")</f>
        <v/>
      </c>
      <c r="Z996" s="23" t="str">
        <f aca="false">IF(B996="","",IF(MATCH(B996,$B$2:$B$12000,0)=ROW()-1,1,0))</f>
        <v/>
      </c>
    </row>
    <row r="997" customFormat="false" ht="15" hidden="false" customHeight="false" outlineLevel="0" collapsed="false">
      <c r="V997" s="23" t="str">
        <f aca="false">IF(ISNUMBER(C997),YEAR(C997),"")</f>
        <v/>
      </c>
      <c r="W997" s="23" t="str">
        <f aca="false">IF(ISNUMBER(C997),MONTH(C997),"")</f>
        <v/>
      </c>
      <c r="X997" s="23" t="str">
        <f aca="false">IF(T997="","",IF(T997=0,"No discount",IF(T997&lt;=0.2,"Low (1-20%)",IF(T997&lt;=0.4,"Medium (21-40%)","High (&gt;40%)"))))</f>
        <v/>
      </c>
      <c r="Y997" s="23" t="str">
        <f aca="false">IF(AND(ISNUMBER(C997),ISNUMBER(D997)),D997-C997,"")</f>
        <v/>
      </c>
      <c r="Z997" s="23" t="str">
        <f aca="false">IF(B997="","",IF(MATCH(B997,$B$2:$B$12000,0)=ROW()-1,1,0))</f>
        <v/>
      </c>
    </row>
    <row r="998" customFormat="false" ht="15" hidden="false" customHeight="false" outlineLevel="0" collapsed="false">
      <c r="V998" s="23" t="str">
        <f aca="false">IF(ISNUMBER(C998),YEAR(C998),"")</f>
        <v/>
      </c>
      <c r="W998" s="23" t="str">
        <f aca="false">IF(ISNUMBER(C998),MONTH(C998),"")</f>
        <v/>
      </c>
      <c r="X998" s="23" t="str">
        <f aca="false">IF(T998="","",IF(T998=0,"No discount",IF(T998&lt;=0.2,"Low (1-20%)",IF(T998&lt;=0.4,"Medium (21-40%)","High (&gt;40%)"))))</f>
        <v/>
      </c>
      <c r="Y998" s="23" t="str">
        <f aca="false">IF(AND(ISNUMBER(C998),ISNUMBER(D998)),D998-C998,"")</f>
        <v/>
      </c>
      <c r="Z998" s="23" t="str">
        <f aca="false">IF(B998="","",IF(MATCH(B998,$B$2:$B$12000,0)=ROW()-1,1,0))</f>
        <v/>
      </c>
    </row>
    <row r="999" customFormat="false" ht="15" hidden="false" customHeight="false" outlineLevel="0" collapsed="false">
      <c r="V999" s="23" t="str">
        <f aca="false">IF(ISNUMBER(C999),YEAR(C999),"")</f>
        <v/>
      </c>
      <c r="W999" s="23" t="str">
        <f aca="false">IF(ISNUMBER(C999),MONTH(C999),"")</f>
        <v/>
      </c>
      <c r="X999" s="23" t="str">
        <f aca="false">IF(T999="","",IF(T999=0,"No discount",IF(T999&lt;=0.2,"Low (1-20%)",IF(T999&lt;=0.4,"Medium (21-40%)","High (&gt;40%)"))))</f>
        <v/>
      </c>
      <c r="Y999" s="23" t="str">
        <f aca="false">IF(AND(ISNUMBER(C999),ISNUMBER(D999)),D999-C999,"")</f>
        <v/>
      </c>
      <c r="Z999" s="23" t="str">
        <f aca="false">IF(B999="","",IF(MATCH(B999,$B$2:$B$12000,0)=ROW()-1,1,0))</f>
        <v/>
      </c>
    </row>
    <row r="1000" customFormat="false" ht="15" hidden="false" customHeight="false" outlineLevel="0" collapsed="false">
      <c r="V1000" s="23" t="str">
        <f aca="false">IF(ISNUMBER(C1000),YEAR(C1000),"")</f>
        <v/>
      </c>
      <c r="W1000" s="23" t="str">
        <f aca="false">IF(ISNUMBER(C1000),MONTH(C1000),"")</f>
        <v/>
      </c>
      <c r="X1000" s="23" t="str">
        <f aca="false">IF(T1000="","",IF(T1000=0,"No discount",IF(T1000&lt;=0.2,"Low (1-20%)",IF(T1000&lt;=0.4,"Medium (21-40%)","High (&gt;40%)"))))</f>
        <v/>
      </c>
      <c r="Y1000" s="23" t="str">
        <f aca="false">IF(AND(ISNUMBER(C1000),ISNUMBER(D1000)),D1000-C1000,"")</f>
        <v/>
      </c>
      <c r="Z1000" s="23" t="str">
        <f aca="false">IF(B1000="","",IF(MATCH(B1000,$B$2:$B$12000,0)=ROW()-1,1,0))</f>
        <v/>
      </c>
    </row>
    <row r="1001" customFormat="false" ht="15" hidden="false" customHeight="false" outlineLevel="0" collapsed="false">
      <c r="V1001" s="23" t="str">
        <f aca="false">IF(ISNUMBER(C1001),YEAR(C1001),"")</f>
        <v/>
      </c>
      <c r="W1001" s="23" t="str">
        <f aca="false">IF(ISNUMBER(C1001),MONTH(C1001),"")</f>
        <v/>
      </c>
      <c r="X1001" s="23" t="str">
        <f aca="false">IF(T1001="","",IF(T1001=0,"No discount",IF(T1001&lt;=0.2,"Low (1-20%)",IF(T1001&lt;=0.4,"Medium (21-40%)","High (&gt;40%)"))))</f>
        <v/>
      </c>
      <c r="Y1001" s="23" t="str">
        <f aca="false">IF(AND(ISNUMBER(C1001),ISNUMBER(D1001)),D1001-C1001,"")</f>
        <v/>
      </c>
      <c r="Z1001" s="23" t="str">
        <f aca="false">IF(B1001="","",IF(MATCH(B1001,$B$2:$B$12000,0)=ROW()-1,1,0))</f>
        <v/>
      </c>
    </row>
    <row r="1002" customFormat="false" ht="15" hidden="false" customHeight="false" outlineLevel="0" collapsed="false">
      <c r="V1002" s="23" t="str">
        <f aca="false">IF(ISNUMBER(C1002),YEAR(C1002),"")</f>
        <v/>
      </c>
      <c r="W1002" s="23" t="str">
        <f aca="false">IF(ISNUMBER(C1002),MONTH(C1002),"")</f>
        <v/>
      </c>
      <c r="X1002" s="23" t="str">
        <f aca="false">IF(T1002="","",IF(T1002=0,"No discount",IF(T1002&lt;=0.2,"Low (1-20%)",IF(T1002&lt;=0.4,"Medium (21-40%)","High (&gt;40%)"))))</f>
        <v/>
      </c>
      <c r="Y1002" s="23" t="str">
        <f aca="false">IF(AND(ISNUMBER(C1002),ISNUMBER(D1002)),D1002-C1002,"")</f>
        <v/>
      </c>
      <c r="Z1002" s="23" t="str">
        <f aca="false">IF(B1002="","",IF(MATCH(B1002,$B$2:$B$12000,0)=ROW()-1,1,0))</f>
        <v/>
      </c>
    </row>
    <row r="1003" customFormat="false" ht="15" hidden="false" customHeight="false" outlineLevel="0" collapsed="false">
      <c r="V1003" s="23" t="str">
        <f aca="false">IF(ISNUMBER(C1003),YEAR(C1003),"")</f>
        <v/>
      </c>
      <c r="W1003" s="23" t="str">
        <f aca="false">IF(ISNUMBER(C1003),MONTH(C1003),"")</f>
        <v/>
      </c>
      <c r="X1003" s="23" t="str">
        <f aca="false">IF(T1003="","",IF(T1003=0,"No discount",IF(T1003&lt;=0.2,"Low (1-20%)",IF(T1003&lt;=0.4,"Medium (21-40%)","High (&gt;40%)"))))</f>
        <v/>
      </c>
      <c r="Y1003" s="23" t="str">
        <f aca="false">IF(AND(ISNUMBER(C1003),ISNUMBER(D1003)),D1003-C1003,"")</f>
        <v/>
      </c>
      <c r="Z1003" s="23" t="str">
        <f aca="false">IF(B1003="","",IF(MATCH(B1003,$B$2:$B$12000,0)=ROW()-1,1,0))</f>
        <v/>
      </c>
    </row>
    <row r="1004" customFormat="false" ht="15" hidden="false" customHeight="false" outlineLevel="0" collapsed="false">
      <c r="V1004" s="23" t="str">
        <f aca="false">IF(ISNUMBER(C1004),YEAR(C1004),"")</f>
        <v/>
      </c>
      <c r="W1004" s="23" t="str">
        <f aca="false">IF(ISNUMBER(C1004),MONTH(C1004),"")</f>
        <v/>
      </c>
      <c r="X1004" s="23" t="str">
        <f aca="false">IF(T1004="","",IF(T1004=0,"No discount",IF(T1004&lt;=0.2,"Low (1-20%)",IF(T1004&lt;=0.4,"Medium (21-40%)","High (&gt;40%)"))))</f>
        <v/>
      </c>
      <c r="Y1004" s="23" t="str">
        <f aca="false">IF(AND(ISNUMBER(C1004),ISNUMBER(D1004)),D1004-C1004,"")</f>
        <v/>
      </c>
      <c r="Z1004" s="23" t="str">
        <f aca="false">IF(B1004="","",IF(MATCH(B1004,$B$2:$B$12000,0)=ROW()-1,1,0))</f>
        <v/>
      </c>
    </row>
    <row r="1005" customFormat="false" ht="15" hidden="false" customHeight="false" outlineLevel="0" collapsed="false">
      <c r="V1005" s="23" t="str">
        <f aca="false">IF(ISNUMBER(C1005),YEAR(C1005),"")</f>
        <v/>
      </c>
      <c r="W1005" s="23" t="str">
        <f aca="false">IF(ISNUMBER(C1005),MONTH(C1005),"")</f>
        <v/>
      </c>
      <c r="X1005" s="23" t="str">
        <f aca="false">IF(T1005="","",IF(T1005=0,"No discount",IF(T1005&lt;=0.2,"Low (1-20%)",IF(T1005&lt;=0.4,"Medium (21-40%)","High (&gt;40%)"))))</f>
        <v/>
      </c>
      <c r="Y1005" s="23" t="str">
        <f aca="false">IF(AND(ISNUMBER(C1005),ISNUMBER(D1005)),D1005-C1005,"")</f>
        <v/>
      </c>
      <c r="Z1005" s="23" t="str">
        <f aca="false">IF(B1005="","",IF(MATCH(B1005,$B$2:$B$12000,0)=ROW()-1,1,0))</f>
        <v/>
      </c>
    </row>
    <row r="1006" customFormat="false" ht="15" hidden="false" customHeight="false" outlineLevel="0" collapsed="false">
      <c r="V1006" s="23" t="str">
        <f aca="false">IF(ISNUMBER(C1006),YEAR(C1006),"")</f>
        <v/>
      </c>
      <c r="W1006" s="23" t="str">
        <f aca="false">IF(ISNUMBER(C1006),MONTH(C1006),"")</f>
        <v/>
      </c>
      <c r="X1006" s="23" t="str">
        <f aca="false">IF(T1006="","",IF(T1006=0,"No discount",IF(T1006&lt;=0.2,"Low (1-20%)",IF(T1006&lt;=0.4,"Medium (21-40%)","High (&gt;40%)"))))</f>
        <v/>
      </c>
      <c r="Y1006" s="23" t="str">
        <f aca="false">IF(AND(ISNUMBER(C1006),ISNUMBER(D1006)),D1006-C1006,"")</f>
        <v/>
      </c>
      <c r="Z1006" s="23" t="str">
        <f aca="false">IF(B1006="","",IF(MATCH(B1006,$B$2:$B$12000,0)=ROW()-1,1,0))</f>
        <v/>
      </c>
    </row>
    <row r="1007" customFormat="false" ht="15" hidden="false" customHeight="false" outlineLevel="0" collapsed="false">
      <c r="V1007" s="23" t="str">
        <f aca="false">IF(ISNUMBER(C1007),YEAR(C1007),"")</f>
        <v/>
      </c>
      <c r="W1007" s="23" t="str">
        <f aca="false">IF(ISNUMBER(C1007),MONTH(C1007),"")</f>
        <v/>
      </c>
      <c r="X1007" s="23" t="str">
        <f aca="false">IF(T1007="","",IF(T1007=0,"No discount",IF(T1007&lt;=0.2,"Low (1-20%)",IF(T1007&lt;=0.4,"Medium (21-40%)","High (&gt;40%)"))))</f>
        <v/>
      </c>
      <c r="Y1007" s="23" t="str">
        <f aca="false">IF(AND(ISNUMBER(C1007),ISNUMBER(D1007)),D1007-C1007,"")</f>
        <v/>
      </c>
      <c r="Z1007" s="23" t="str">
        <f aca="false">IF(B1007="","",IF(MATCH(B1007,$B$2:$B$12000,0)=ROW()-1,1,0))</f>
        <v/>
      </c>
    </row>
    <row r="1008" customFormat="false" ht="15" hidden="false" customHeight="false" outlineLevel="0" collapsed="false">
      <c r="V1008" s="23" t="str">
        <f aca="false">IF(ISNUMBER(C1008),YEAR(C1008),"")</f>
        <v/>
      </c>
      <c r="W1008" s="23" t="str">
        <f aca="false">IF(ISNUMBER(C1008),MONTH(C1008),"")</f>
        <v/>
      </c>
      <c r="X1008" s="23" t="str">
        <f aca="false">IF(T1008="","",IF(T1008=0,"No discount",IF(T1008&lt;=0.2,"Low (1-20%)",IF(T1008&lt;=0.4,"Medium (21-40%)","High (&gt;40%)"))))</f>
        <v/>
      </c>
      <c r="Y1008" s="23" t="str">
        <f aca="false">IF(AND(ISNUMBER(C1008),ISNUMBER(D1008)),D1008-C1008,"")</f>
        <v/>
      </c>
      <c r="Z1008" s="23" t="str">
        <f aca="false">IF(B1008="","",IF(MATCH(B1008,$B$2:$B$12000,0)=ROW()-1,1,0))</f>
        <v/>
      </c>
    </row>
    <row r="1009" customFormat="false" ht="15" hidden="false" customHeight="false" outlineLevel="0" collapsed="false">
      <c r="V1009" s="23" t="str">
        <f aca="false">IF(ISNUMBER(C1009),YEAR(C1009),"")</f>
        <v/>
      </c>
      <c r="W1009" s="23" t="str">
        <f aca="false">IF(ISNUMBER(C1009),MONTH(C1009),"")</f>
        <v/>
      </c>
      <c r="X1009" s="23" t="str">
        <f aca="false">IF(T1009="","",IF(T1009=0,"No discount",IF(T1009&lt;=0.2,"Low (1-20%)",IF(T1009&lt;=0.4,"Medium (21-40%)","High (&gt;40%)"))))</f>
        <v/>
      </c>
      <c r="Y1009" s="23" t="str">
        <f aca="false">IF(AND(ISNUMBER(C1009),ISNUMBER(D1009)),D1009-C1009,"")</f>
        <v/>
      </c>
      <c r="Z1009" s="23" t="str">
        <f aca="false">IF(B1009="","",IF(MATCH(B1009,$B$2:$B$12000,0)=ROW()-1,1,0))</f>
        <v/>
      </c>
    </row>
    <row r="1010" customFormat="false" ht="15" hidden="false" customHeight="false" outlineLevel="0" collapsed="false">
      <c r="V1010" s="23" t="str">
        <f aca="false">IF(ISNUMBER(C1010),YEAR(C1010),"")</f>
        <v/>
      </c>
      <c r="W1010" s="23" t="str">
        <f aca="false">IF(ISNUMBER(C1010),MONTH(C1010),"")</f>
        <v/>
      </c>
      <c r="X1010" s="23" t="str">
        <f aca="false">IF(T1010="","",IF(T1010=0,"No discount",IF(T1010&lt;=0.2,"Low (1-20%)",IF(T1010&lt;=0.4,"Medium (21-40%)","High (&gt;40%)"))))</f>
        <v/>
      </c>
      <c r="Y1010" s="23" t="str">
        <f aca="false">IF(AND(ISNUMBER(C1010),ISNUMBER(D1010)),D1010-C1010,"")</f>
        <v/>
      </c>
      <c r="Z1010" s="23" t="str">
        <f aca="false">IF(B1010="","",IF(MATCH(B1010,$B$2:$B$12000,0)=ROW()-1,1,0))</f>
        <v/>
      </c>
    </row>
    <row r="1011" customFormat="false" ht="15" hidden="false" customHeight="false" outlineLevel="0" collapsed="false">
      <c r="V1011" s="23" t="str">
        <f aca="false">IF(ISNUMBER(C1011),YEAR(C1011),"")</f>
        <v/>
      </c>
      <c r="W1011" s="23" t="str">
        <f aca="false">IF(ISNUMBER(C1011),MONTH(C1011),"")</f>
        <v/>
      </c>
      <c r="X1011" s="23" t="str">
        <f aca="false">IF(T1011="","",IF(T1011=0,"No discount",IF(T1011&lt;=0.2,"Low (1-20%)",IF(T1011&lt;=0.4,"Medium (21-40%)","High (&gt;40%)"))))</f>
        <v/>
      </c>
      <c r="Y1011" s="23" t="str">
        <f aca="false">IF(AND(ISNUMBER(C1011),ISNUMBER(D1011)),D1011-C1011,"")</f>
        <v/>
      </c>
      <c r="Z1011" s="23" t="str">
        <f aca="false">IF(B1011="","",IF(MATCH(B1011,$B$2:$B$12000,0)=ROW()-1,1,0))</f>
        <v/>
      </c>
    </row>
    <row r="1012" customFormat="false" ht="15" hidden="false" customHeight="false" outlineLevel="0" collapsed="false">
      <c r="V1012" s="23" t="str">
        <f aca="false">IF(ISNUMBER(C1012),YEAR(C1012),"")</f>
        <v/>
      </c>
      <c r="W1012" s="23" t="str">
        <f aca="false">IF(ISNUMBER(C1012),MONTH(C1012),"")</f>
        <v/>
      </c>
      <c r="X1012" s="23" t="str">
        <f aca="false">IF(T1012="","",IF(T1012=0,"No discount",IF(T1012&lt;=0.2,"Low (1-20%)",IF(T1012&lt;=0.4,"Medium (21-40%)","High (&gt;40%)"))))</f>
        <v/>
      </c>
      <c r="Y1012" s="23" t="str">
        <f aca="false">IF(AND(ISNUMBER(C1012),ISNUMBER(D1012)),D1012-C1012,"")</f>
        <v/>
      </c>
      <c r="Z1012" s="23" t="str">
        <f aca="false">IF(B1012="","",IF(MATCH(B1012,$B$2:$B$12000,0)=ROW()-1,1,0))</f>
        <v/>
      </c>
    </row>
    <row r="1013" customFormat="false" ht="15" hidden="false" customHeight="false" outlineLevel="0" collapsed="false">
      <c r="V1013" s="23" t="str">
        <f aca="false">IF(ISNUMBER(C1013),YEAR(C1013),"")</f>
        <v/>
      </c>
      <c r="W1013" s="23" t="str">
        <f aca="false">IF(ISNUMBER(C1013),MONTH(C1013),"")</f>
        <v/>
      </c>
      <c r="X1013" s="23" t="str">
        <f aca="false">IF(T1013="","",IF(T1013=0,"No discount",IF(T1013&lt;=0.2,"Low (1-20%)",IF(T1013&lt;=0.4,"Medium (21-40%)","High (&gt;40%)"))))</f>
        <v/>
      </c>
      <c r="Y1013" s="23" t="str">
        <f aca="false">IF(AND(ISNUMBER(C1013),ISNUMBER(D1013)),D1013-C1013,"")</f>
        <v/>
      </c>
      <c r="Z1013" s="23" t="str">
        <f aca="false">IF(B1013="","",IF(MATCH(B1013,$B$2:$B$12000,0)=ROW()-1,1,0))</f>
        <v/>
      </c>
    </row>
    <row r="1014" customFormat="false" ht="15" hidden="false" customHeight="false" outlineLevel="0" collapsed="false">
      <c r="V1014" s="23" t="str">
        <f aca="false">IF(ISNUMBER(C1014),YEAR(C1014),"")</f>
        <v/>
      </c>
      <c r="W1014" s="23" t="str">
        <f aca="false">IF(ISNUMBER(C1014),MONTH(C1014),"")</f>
        <v/>
      </c>
      <c r="X1014" s="23" t="str">
        <f aca="false">IF(T1014="","",IF(T1014=0,"No discount",IF(T1014&lt;=0.2,"Low (1-20%)",IF(T1014&lt;=0.4,"Medium (21-40%)","High (&gt;40%)"))))</f>
        <v/>
      </c>
      <c r="Y1014" s="23" t="str">
        <f aca="false">IF(AND(ISNUMBER(C1014),ISNUMBER(D1014)),D1014-C1014,"")</f>
        <v/>
      </c>
      <c r="Z1014" s="23" t="str">
        <f aca="false">IF(B1014="","",IF(MATCH(B1014,$B$2:$B$12000,0)=ROW()-1,1,0))</f>
        <v/>
      </c>
    </row>
    <row r="1015" customFormat="false" ht="15" hidden="false" customHeight="false" outlineLevel="0" collapsed="false">
      <c r="V1015" s="23" t="str">
        <f aca="false">IF(ISNUMBER(C1015),YEAR(C1015),"")</f>
        <v/>
      </c>
      <c r="W1015" s="23" t="str">
        <f aca="false">IF(ISNUMBER(C1015),MONTH(C1015),"")</f>
        <v/>
      </c>
      <c r="X1015" s="23" t="str">
        <f aca="false">IF(T1015="","",IF(T1015=0,"No discount",IF(T1015&lt;=0.2,"Low (1-20%)",IF(T1015&lt;=0.4,"Medium (21-40%)","High (&gt;40%)"))))</f>
        <v/>
      </c>
      <c r="Y1015" s="23" t="str">
        <f aca="false">IF(AND(ISNUMBER(C1015),ISNUMBER(D1015)),D1015-C1015,"")</f>
        <v/>
      </c>
      <c r="Z1015" s="23" t="str">
        <f aca="false">IF(B1015="","",IF(MATCH(B1015,$B$2:$B$12000,0)=ROW()-1,1,0))</f>
        <v/>
      </c>
    </row>
    <row r="1016" customFormat="false" ht="15" hidden="false" customHeight="false" outlineLevel="0" collapsed="false">
      <c r="V1016" s="23" t="str">
        <f aca="false">IF(ISNUMBER(C1016),YEAR(C1016),"")</f>
        <v/>
      </c>
      <c r="W1016" s="23" t="str">
        <f aca="false">IF(ISNUMBER(C1016),MONTH(C1016),"")</f>
        <v/>
      </c>
      <c r="X1016" s="23" t="str">
        <f aca="false">IF(T1016="","",IF(T1016=0,"No discount",IF(T1016&lt;=0.2,"Low (1-20%)",IF(T1016&lt;=0.4,"Medium (21-40%)","High (&gt;40%)"))))</f>
        <v/>
      </c>
      <c r="Y1016" s="23" t="str">
        <f aca="false">IF(AND(ISNUMBER(C1016),ISNUMBER(D1016)),D1016-C1016,"")</f>
        <v/>
      </c>
      <c r="Z1016" s="23" t="str">
        <f aca="false">IF(B1016="","",IF(MATCH(B1016,$B$2:$B$12000,0)=ROW()-1,1,0))</f>
        <v/>
      </c>
    </row>
    <row r="1017" customFormat="false" ht="15" hidden="false" customHeight="false" outlineLevel="0" collapsed="false">
      <c r="V1017" s="23" t="str">
        <f aca="false">IF(ISNUMBER(C1017),YEAR(C1017),"")</f>
        <v/>
      </c>
      <c r="W1017" s="23" t="str">
        <f aca="false">IF(ISNUMBER(C1017),MONTH(C1017),"")</f>
        <v/>
      </c>
      <c r="X1017" s="23" t="str">
        <f aca="false">IF(T1017="","",IF(T1017=0,"No discount",IF(T1017&lt;=0.2,"Low (1-20%)",IF(T1017&lt;=0.4,"Medium (21-40%)","High (&gt;40%)"))))</f>
        <v/>
      </c>
      <c r="Y1017" s="23" t="str">
        <f aca="false">IF(AND(ISNUMBER(C1017),ISNUMBER(D1017)),D1017-C1017,"")</f>
        <v/>
      </c>
      <c r="Z1017" s="23" t="str">
        <f aca="false">IF(B1017="","",IF(MATCH(B1017,$B$2:$B$12000,0)=ROW()-1,1,0))</f>
        <v/>
      </c>
    </row>
    <row r="1018" customFormat="false" ht="15" hidden="false" customHeight="false" outlineLevel="0" collapsed="false">
      <c r="V1018" s="23" t="str">
        <f aca="false">IF(ISNUMBER(C1018),YEAR(C1018),"")</f>
        <v/>
      </c>
      <c r="W1018" s="23" t="str">
        <f aca="false">IF(ISNUMBER(C1018),MONTH(C1018),"")</f>
        <v/>
      </c>
      <c r="X1018" s="23" t="str">
        <f aca="false">IF(T1018="","",IF(T1018=0,"No discount",IF(T1018&lt;=0.2,"Low (1-20%)",IF(T1018&lt;=0.4,"Medium (21-40%)","High (&gt;40%)"))))</f>
        <v/>
      </c>
      <c r="Y1018" s="23" t="str">
        <f aca="false">IF(AND(ISNUMBER(C1018),ISNUMBER(D1018)),D1018-C1018,"")</f>
        <v/>
      </c>
      <c r="Z1018" s="23" t="str">
        <f aca="false">IF(B1018="","",IF(MATCH(B1018,$B$2:$B$12000,0)=ROW()-1,1,0))</f>
        <v/>
      </c>
    </row>
    <row r="1019" customFormat="false" ht="15" hidden="false" customHeight="false" outlineLevel="0" collapsed="false">
      <c r="V1019" s="23" t="str">
        <f aca="false">IF(ISNUMBER(C1019),YEAR(C1019),"")</f>
        <v/>
      </c>
      <c r="W1019" s="23" t="str">
        <f aca="false">IF(ISNUMBER(C1019),MONTH(C1019),"")</f>
        <v/>
      </c>
      <c r="X1019" s="23" t="str">
        <f aca="false">IF(T1019="","",IF(T1019=0,"No discount",IF(T1019&lt;=0.2,"Low (1-20%)",IF(T1019&lt;=0.4,"Medium (21-40%)","High (&gt;40%)"))))</f>
        <v/>
      </c>
      <c r="Y1019" s="23" t="str">
        <f aca="false">IF(AND(ISNUMBER(C1019),ISNUMBER(D1019)),D1019-C1019,"")</f>
        <v/>
      </c>
      <c r="Z1019" s="23" t="str">
        <f aca="false">IF(B1019="","",IF(MATCH(B1019,$B$2:$B$12000,0)=ROW()-1,1,0))</f>
        <v/>
      </c>
    </row>
    <row r="1020" customFormat="false" ht="15" hidden="false" customHeight="false" outlineLevel="0" collapsed="false">
      <c r="V1020" s="23" t="str">
        <f aca="false">IF(ISNUMBER(C1020),YEAR(C1020),"")</f>
        <v/>
      </c>
      <c r="W1020" s="23" t="str">
        <f aca="false">IF(ISNUMBER(C1020),MONTH(C1020),"")</f>
        <v/>
      </c>
      <c r="X1020" s="23" t="str">
        <f aca="false">IF(T1020="","",IF(T1020=0,"No discount",IF(T1020&lt;=0.2,"Low (1-20%)",IF(T1020&lt;=0.4,"Medium (21-40%)","High (&gt;40%)"))))</f>
        <v/>
      </c>
      <c r="Y1020" s="23" t="str">
        <f aca="false">IF(AND(ISNUMBER(C1020),ISNUMBER(D1020)),D1020-C1020,"")</f>
        <v/>
      </c>
      <c r="Z1020" s="23" t="str">
        <f aca="false">IF(B1020="","",IF(MATCH(B1020,$B$2:$B$12000,0)=ROW()-1,1,0))</f>
        <v/>
      </c>
    </row>
    <row r="1021" customFormat="false" ht="15" hidden="false" customHeight="false" outlineLevel="0" collapsed="false">
      <c r="V1021" s="23" t="str">
        <f aca="false">IF(ISNUMBER(C1021),YEAR(C1021),"")</f>
        <v/>
      </c>
      <c r="W1021" s="23" t="str">
        <f aca="false">IF(ISNUMBER(C1021),MONTH(C1021),"")</f>
        <v/>
      </c>
      <c r="X1021" s="23" t="str">
        <f aca="false">IF(T1021="","",IF(T1021=0,"No discount",IF(T1021&lt;=0.2,"Low (1-20%)",IF(T1021&lt;=0.4,"Medium (21-40%)","High (&gt;40%)"))))</f>
        <v/>
      </c>
      <c r="Y1021" s="23" t="str">
        <f aca="false">IF(AND(ISNUMBER(C1021),ISNUMBER(D1021)),D1021-C1021,"")</f>
        <v/>
      </c>
      <c r="Z1021" s="23" t="str">
        <f aca="false">IF(B1021="","",IF(MATCH(B1021,$B$2:$B$12000,0)=ROW()-1,1,0))</f>
        <v/>
      </c>
    </row>
    <row r="1022" customFormat="false" ht="15" hidden="false" customHeight="false" outlineLevel="0" collapsed="false">
      <c r="V1022" s="23" t="str">
        <f aca="false">IF(ISNUMBER(C1022),YEAR(C1022),"")</f>
        <v/>
      </c>
      <c r="W1022" s="23" t="str">
        <f aca="false">IF(ISNUMBER(C1022),MONTH(C1022),"")</f>
        <v/>
      </c>
      <c r="X1022" s="23" t="str">
        <f aca="false">IF(T1022="","",IF(T1022=0,"No discount",IF(T1022&lt;=0.2,"Low (1-20%)",IF(T1022&lt;=0.4,"Medium (21-40%)","High (&gt;40%)"))))</f>
        <v/>
      </c>
      <c r="Y1022" s="23" t="str">
        <f aca="false">IF(AND(ISNUMBER(C1022),ISNUMBER(D1022)),D1022-C1022,"")</f>
        <v/>
      </c>
      <c r="Z1022" s="23" t="str">
        <f aca="false">IF(B1022="","",IF(MATCH(B1022,$B$2:$B$12000,0)=ROW()-1,1,0))</f>
        <v/>
      </c>
    </row>
    <row r="1023" customFormat="false" ht="15" hidden="false" customHeight="false" outlineLevel="0" collapsed="false">
      <c r="V1023" s="23" t="str">
        <f aca="false">IF(ISNUMBER(C1023),YEAR(C1023),"")</f>
        <v/>
      </c>
      <c r="W1023" s="23" t="str">
        <f aca="false">IF(ISNUMBER(C1023),MONTH(C1023),"")</f>
        <v/>
      </c>
      <c r="X1023" s="23" t="str">
        <f aca="false">IF(T1023="","",IF(T1023=0,"No discount",IF(T1023&lt;=0.2,"Low (1-20%)",IF(T1023&lt;=0.4,"Medium (21-40%)","High (&gt;40%)"))))</f>
        <v/>
      </c>
      <c r="Y1023" s="23" t="str">
        <f aca="false">IF(AND(ISNUMBER(C1023),ISNUMBER(D1023)),D1023-C1023,"")</f>
        <v/>
      </c>
      <c r="Z1023" s="23" t="str">
        <f aca="false">IF(B1023="","",IF(MATCH(B1023,$B$2:$B$12000,0)=ROW()-1,1,0))</f>
        <v/>
      </c>
    </row>
    <row r="1024" customFormat="false" ht="15" hidden="false" customHeight="false" outlineLevel="0" collapsed="false">
      <c r="V1024" s="23" t="str">
        <f aca="false">IF(ISNUMBER(C1024),YEAR(C1024),"")</f>
        <v/>
      </c>
      <c r="W1024" s="23" t="str">
        <f aca="false">IF(ISNUMBER(C1024),MONTH(C1024),"")</f>
        <v/>
      </c>
      <c r="X1024" s="23" t="str">
        <f aca="false">IF(T1024="","",IF(T1024=0,"No discount",IF(T1024&lt;=0.2,"Low (1-20%)",IF(T1024&lt;=0.4,"Medium (21-40%)","High (&gt;40%)"))))</f>
        <v/>
      </c>
      <c r="Y1024" s="23" t="str">
        <f aca="false">IF(AND(ISNUMBER(C1024),ISNUMBER(D1024)),D1024-C1024,"")</f>
        <v/>
      </c>
      <c r="Z1024" s="23" t="str">
        <f aca="false">IF(B1024="","",IF(MATCH(B1024,$B$2:$B$12000,0)=ROW()-1,1,0))</f>
        <v/>
      </c>
    </row>
    <row r="1025" customFormat="false" ht="15" hidden="false" customHeight="false" outlineLevel="0" collapsed="false">
      <c r="V1025" s="23" t="str">
        <f aca="false">IF(ISNUMBER(C1025),YEAR(C1025),"")</f>
        <v/>
      </c>
      <c r="W1025" s="23" t="str">
        <f aca="false">IF(ISNUMBER(C1025),MONTH(C1025),"")</f>
        <v/>
      </c>
      <c r="X1025" s="23" t="str">
        <f aca="false">IF(T1025="","",IF(T1025=0,"No discount",IF(T1025&lt;=0.2,"Low (1-20%)",IF(T1025&lt;=0.4,"Medium (21-40%)","High (&gt;40%)"))))</f>
        <v/>
      </c>
      <c r="Y1025" s="23" t="str">
        <f aca="false">IF(AND(ISNUMBER(C1025),ISNUMBER(D1025)),D1025-C1025,"")</f>
        <v/>
      </c>
      <c r="Z1025" s="23" t="str">
        <f aca="false">IF(B1025="","",IF(MATCH(B1025,$B$2:$B$12000,0)=ROW()-1,1,0))</f>
        <v/>
      </c>
    </row>
    <row r="1026" customFormat="false" ht="15" hidden="false" customHeight="false" outlineLevel="0" collapsed="false">
      <c r="V1026" s="23" t="str">
        <f aca="false">IF(ISNUMBER(C1026),YEAR(C1026),"")</f>
        <v/>
      </c>
      <c r="W1026" s="23" t="str">
        <f aca="false">IF(ISNUMBER(C1026),MONTH(C1026),"")</f>
        <v/>
      </c>
      <c r="X1026" s="23" t="str">
        <f aca="false">IF(T1026="","",IF(T1026=0,"No discount",IF(T1026&lt;=0.2,"Low (1-20%)",IF(T1026&lt;=0.4,"Medium (21-40%)","High (&gt;40%)"))))</f>
        <v/>
      </c>
      <c r="Y1026" s="23" t="str">
        <f aca="false">IF(AND(ISNUMBER(C1026),ISNUMBER(D1026)),D1026-C1026,"")</f>
        <v/>
      </c>
      <c r="Z1026" s="23" t="str">
        <f aca="false">IF(B1026="","",IF(MATCH(B1026,$B$2:$B$12000,0)=ROW()-1,1,0))</f>
        <v/>
      </c>
    </row>
    <row r="1027" customFormat="false" ht="15" hidden="false" customHeight="false" outlineLevel="0" collapsed="false">
      <c r="V1027" s="23" t="str">
        <f aca="false">IF(ISNUMBER(C1027),YEAR(C1027),"")</f>
        <v/>
      </c>
      <c r="W1027" s="23" t="str">
        <f aca="false">IF(ISNUMBER(C1027),MONTH(C1027),"")</f>
        <v/>
      </c>
      <c r="X1027" s="23" t="str">
        <f aca="false">IF(T1027="","",IF(T1027=0,"No discount",IF(T1027&lt;=0.2,"Low (1-20%)",IF(T1027&lt;=0.4,"Medium (21-40%)","High (&gt;40%)"))))</f>
        <v/>
      </c>
      <c r="Y1027" s="23" t="str">
        <f aca="false">IF(AND(ISNUMBER(C1027),ISNUMBER(D1027)),D1027-C1027,"")</f>
        <v/>
      </c>
      <c r="Z1027" s="23" t="str">
        <f aca="false">IF(B1027="","",IF(MATCH(B1027,$B$2:$B$12000,0)=ROW()-1,1,0))</f>
        <v/>
      </c>
    </row>
    <row r="1028" customFormat="false" ht="15" hidden="false" customHeight="false" outlineLevel="0" collapsed="false">
      <c r="V1028" s="23" t="str">
        <f aca="false">IF(ISNUMBER(C1028),YEAR(C1028),"")</f>
        <v/>
      </c>
      <c r="W1028" s="23" t="str">
        <f aca="false">IF(ISNUMBER(C1028),MONTH(C1028),"")</f>
        <v/>
      </c>
      <c r="X1028" s="23" t="str">
        <f aca="false">IF(T1028="","",IF(T1028=0,"No discount",IF(T1028&lt;=0.2,"Low (1-20%)",IF(T1028&lt;=0.4,"Medium (21-40%)","High (&gt;40%)"))))</f>
        <v/>
      </c>
      <c r="Y1028" s="23" t="str">
        <f aca="false">IF(AND(ISNUMBER(C1028),ISNUMBER(D1028)),D1028-C1028,"")</f>
        <v/>
      </c>
      <c r="Z1028" s="23" t="str">
        <f aca="false">IF(B1028="","",IF(MATCH(B1028,$B$2:$B$12000,0)=ROW()-1,1,0))</f>
        <v/>
      </c>
    </row>
    <row r="1029" customFormat="false" ht="15" hidden="false" customHeight="false" outlineLevel="0" collapsed="false">
      <c r="V1029" s="23" t="str">
        <f aca="false">IF(ISNUMBER(C1029),YEAR(C1029),"")</f>
        <v/>
      </c>
      <c r="W1029" s="23" t="str">
        <f aca="false">IF(ISNUMBER(C1029),MONTH(C1029),"")</f>
        <v/>
      </c>
      <c r="X1029" s="23" t="str">
        <f aca="false">IF(T1029="","",IF(T1029=0,"No discount",IF(T1029&lt;=0.2,"Low (1-20%)",IF(T1029&lt;=0.4,"Medium (21-40%)","High (&gt;40%)"))))</f>
        <v/>
      </c>
      <c r="Y1029" s="23" t="str">
        <f aca="false">IF(AND(ISNUMBER(C1029),ISNUMBER(D1029)),D1029-C1029,"")</f>
        <v/>
      </c>
      <c r="Z1029" s="23" t="str">
        <f aca="false">IF(B1029="","",IF(MATCH(B1029,$B$2:$B$12000,0)=ROW()-1,1,0))</f>
        <v/>
      </c>
    </row>
    <row r="1030" customFormat="false" ht="15" hidden="false" customHeight="false" outlineLevel="0" collapsed="false">
      <c r="V1030" s="23" t="str">
        <f aca="false">IF(ISNUMBER(C1030),YEAR(C1030),"")</f>
        <v/>
      </c>
      <c r="W1030" s="23" t="str">
        <f aca="false">IF(ISNUMBER(C1030),MONTH(C1030),"")</f>
        <v/>
      </c>
      <c r="X1030" s="23" t="str">
        <f aca="false">IF(T1030="","",IF(T1030=0,"No discount",IF(T1030&lt;=0.2,"Low (1-20%)",IF(T1030&lt;=0.4,"Medium (21-40%)","High (&gt;40%)"))))</f>
        <v/>
      </c>
      <c r="Y1030" s="23" t="str">
        <f aca="false">IF(AND(ISNUMBER(C1030),ISNUMBER(D1030)),D1030-C1030,"")</f>
        <v/>
      </c>
      <c r="Z1030" s="23" t="str">
        <f aca="false">IF(B1030="","",IF(MATCH(B1030,$B$2:$B$12000,0)=ROW()-1,1,0))</f>
        <v/>
      </c>
    </row>
    <row r="1031" customFormat="false" ht="15" hidden="false" customHeight="false" outlineLevel="0" collapsed="false">
      <c r="V1031" s="23" t="str">
        <f aca="false">IF(ISNUMBER(C1031),YEAR(C1031),"")</f>
        <v/>
      </c>
      <c r="W1031" s="23" t="str">
        <f aca="false">IF(ISNUMBER(C1031),MONTH(C1031),"")</f>
        <v/>
      </c>
      <c r="X1031" s="23" t="str">
        <f aca="false">IF(T1031="","",IF(T1031=0,"No discount",IF(T1031&lt;=0.2,"Low (1-20%)",IF(T1031&lt;=0.4,"Medium (21-40%)","High (&gt;40%)"))))</f>
        <v/>
      </c>
      <c r="Y1031" s="23" t="str">
        <f aca="false">IF(AND(ISNUMBER(C1031),ISNUMBER(D1031)),D1031-C1031,"")</f>
        <v/>
      </c>
      <c r="Z1031" s="23" t="str">
        <f aca="false">IF(B1031="","",IF(MATCH(B1031,$B$2:$B$12000,0)=ROW()-1,1,0))</f>
        <v/>
      </c>
    </row>
    <row r="1032" customFormat="false" ht="15" hidden="false" customHeight="false" outlineLevel="0" collapsed="false">
      <c r="V1032" s="23" t="str">
        <f aca="false">IF(ISNUMBER(C1032),YEAR(C1032),"")</f>
        <v/>
      </c>
      <c r="W1032" s="23" t="str">
        <f aca="false">IF(ISNUMBER(C1032),MONTH(C1032),"")</f>
        <v/>
      </c>
      <c r="X1032" s="23" t="str">
        <f aca="false">IF(T1032="","",IF(T1032=0,"No discount",IF(T1032&lt;=0.2,"Low (1-20%)",IF(T1032&lt;=0.4,"Medium (21-40%)","High (&gt;40%)"))))</f>
        <v/>
      </c>
      <c r="Y1032" s="23" t="str">
        <f aca="false">IF(AND(ISNUMBER(C1032),ISNUMBER(D1032)),D1032-C1032,"")</f>
        <v/>
      </c>
      <c r="Z1032" s="23" t="str">
        <f aca="false">IF(B1032="","",IF(MATCH(B1032,$B$2:$B$12000,0)=ROW()-1,1,0))</f>
        <v/>
      </c>
    </row>
    <row r="1033" customFormat="false" ht="15" hidden="false" customHeight="false" outlineLevel="0" collapsed="false">
      <c r="V1033" s="23" t="str">
        <f aca="false">IF(ISNUMBER(C1033),YEAR(C1033),"")</f>
        <v/>
      </c>
      <c r="W1033" s="23" t="str">
        <f aca="false">IF(ISNUMBER(C1033),MONTH(C1033),"")</f>
        <v/>
      </c>
      <c r="X1033" s="23" t="str">
        <f aca="false">IF(T1033="","",IF(T1033=0,"No discount",IF(T1033&lt;=0.2,"Low (1-20%)",IF(T1033&lt;=0.4,"Medium (21-40%)","High (&gt;40%)"))))</f>
        <v/>
      </c>
      <c r="Y1033" s="23" t="str">
        <f aca="false">IF(AND(ISNUMBER(C1033),ISNUMBER(D1033)),D1033-C1033,"")</f>
        <v/>
      </c>
      <c r="Z1033" s="23" t="str">
        <f aca="false">IF(B1033="","",IF(MATCH(B1033,$B$2:$B$12000,0)=ROW()-1,1,0))</f>
        <v/>
      </c>
    </row>
    <row r="1034" customFormat="false" ht="15" hidden="false" customHeight="false" outlineLevel="0" collapsed="false">
      <c r="V1034" s="23" t="str">
        <f aca="false">IF(ISNUMBER(C1034),YEAR(C1034),"")</f>
        <v/>
      </c>
      <c r="W1034" s="23" t="str">
        <f aca="false">IF(ISNUMBER(C1034),MONTH(C1034),"")</f>
        <v/>
      </c>
      <c r="X1034" s="23" t="str">
        <f aca="false">IF(T1034="","",IF(T1034=0,"No discount",IF(T1034&lt;=0.2,"Low (1-20%)",IF(T1034&lt;=0.4,"Medium (21-40%)","High (&gt;40%)"))))</f>
        <v/>
      </c>
      <c r="Y1034" s="23" t="str">
        <f aca="false">IF(AND(ISNUMBER(C1034),ISNUMBER(D1034)),D1034-C1034,"")</f>
        <v/>
      </c>
      <c r="Z1034" s="23" t="str">
        <f aca="false">IF(B1034="","",IF(MATCH(B1034,$B$2:$B$12000,0)=ROW()-1,1,0))</f>
        <v/>
      </c>
    </row>
    <row r="1035" customFormat="false" ht="15" hidden="false" customHeight="false" outlineLevel="0" collapsed="false">
      <c r="V1035" s="23" t="str">
        <f aca="false">IF(ISNUMBER(C1035),YEAR(C1035),"")</f>
        <v/>
      </c>
      <c r="W1035" s="23" t="str">
        <f aca="false">IF(ISNUMBER(C1035),MONTH(C1035),"")</f>
        <v/>
      </c>
      <c r="X1035" s="23" t="str">
        <f aca="false">IF(T1035="","",IF(T1035=0,"No discount",IF(T1035&lt;=0.2,"Low (1-20%)",IF(T1035&lt;=0.4,"Medium (21-40%)","High (&gt;40%)"))))</f>
        <v/>
      </c>
      <c r="Y1035" s="23" t="str">
        <f aca="false">IF(AND(ISNUMBER(C1035),ISNUMBER(D1035)),D1035-C1035,"")</f>
        <v/>
      </c>
      <c r="Z1035" s="23" t="str">
        <f aca="false">IF(B1035="","",IF(MATCH(B1035,$B$2:$B$12000,0)=ROW()-1,1,0))</f>
        <v/>
      </c>
    </row>
    <row r="1036" customFormat="false" ht="15" hidden="false" customHeight="false" outlineLevel="0" collapsed="false">
      <c r="V1036" s="23" t="str">
        <f aca="false">IF(ISNUMBER(C1036),YEAR(C1036),"")</f>
        <v/>
      </c>
      <c r="W1036" s="23" t="str">
        <f aca="false">IF(ISNUMBER(C1036),MONTH(C1036),"")</f>
        <v/>
      </c>
      <c r="X1036" s="23" t="str">
        <f aca="false">IF(T1036="","",IF(T1036=0,"No discount",IF(T1036&lt;=0.2,"Low (1-20%)",IF(T1036&lt;=0.4,"Medium (21-40%)","High (&gt;40%)"))))</f>
        <v/>
      </c>
      <c r="Y1036" s="23" t="str">
        <f aca="false">IF(AND(ISNUMBER(C1036),ISNUMBER(D1036)),D1036-C1036,"")</f>
        <v/>
      </c>
      <c r="Z1036" s="23" t="str">
        <f aca="false">IF(B1036="","",IF(MATCH(B1036,$B$2:$B$12000,0)=ROW()-1,1,0))</f>
        <v/>
      </c>
    </row>
    <row r="1037" customFormat="false" ht="15" hidden="false" customHeight="false" outlineLevel="0" collapsed="false">
      <c r="V1037" s="23" t="str">
        <f aca="false">IF(ISNUMBER(C1037),YEAR(C1037),"")</f>
        <v/>
      </c>
      <c r="W1037" s="23" t="str">
        <f aca="false">IF(ISNUMBER(C1037),MONTH(C1037),"")</f>
        <v/>
      </c>
      <c r="X1037" s="23" t="str">
        <f aca="false">IF(T1037="","",IF(T1037=0,"No discount",IF(T1037&lt;=0.2,"Low (1-20%)",IF(T1037&lt;=0.4,"Medium (21-40%)","High (&gt;40%)"))))</f>
        <v/>
      </c>
      <c r="Y1037" s="23" t="str">
        <f aca="false">IF(AND(ISNUMBER(C1037),ISNUMBER(D1037)),D1037-C1037,"")</f>
        <v/>
      </c>
      <c r="Z1037" s="23" t="str">
        <f aca="false">IF(B1037="","",IF(MATCH(B1037,$B$2:$B$12000,0)=ROW()-1,1,0))</f>
        <v/>
      </c>
    </row>
    <row r="1038" customFormat="false" ht="15" hidden="false" customHeight="false" outlineLevel="0" collapsed="false">
      <c r="V1038" s="23" t="str">
        <f aca="false">IF(ISNUMBER(C1038),YEAR(C1038),"")</f>
        <v/>
      </c>
      <c r="W1038" s="23" t="str">
        <f aca="false">IF(ISNUMBER(C1038),MONTH(C1038),"")</f>
        <v/>
      </c>
      <c r="X1038" s="23" t="str">
        <f aca="false">IF(T1038="","",IF(T1038=0,"No discount",IF(T1038&lt;=0.2,"Low (1-20%)",IF(T1038&lt;=0.4,"Medium (21-40%)","High (&gt;40%)"))))</f>
        <v/>
      </c>
      <c r="Y1038" s="23" t="str">
        <f aca="false">IF(AND(ISNUMBER(C1038),ISNUMBER(D1038)),D1038-C1038,"")</f>
        <v/>
      </c>
      <c r="Z1038" s="23" t="str">
        <f aca="false">IF(B1038="","",IF(MATCH(B1038,$B$2:$B$12000,0)=ROW()-1,1,0))</f>
        <v/>
      </c>
    </row>
    <row r="1039" customFormat="false" ht="15" hidden="false" customHeight="false" outlineLevel="0" collapsed="false">
      <c r="V1039" s="23" t="str">
        <f aca="false">IF(ISNUMBER(C1039),YEAR(C1039),"")</f>
        <v/>
      </c>
      <c r="W1039" s="23" t="str">
        <f aca="false">IF(ISNUMBER(C1039),MONTH(C1039),"")</f>
        <v/>
      </c>
      <c r="X1039" s="23" t="str">
        <f aca="false">IF(T1039="","",IF(T1039=0,"No discount",IF(T1039&lt;=0.2,"Low (1-20%)",IF(T1039&lt;=0.4,"Medium (21-40%)","High (&gt;40%)"))))</f>
        <v/>
      </c>
      <c r="Y1039" s="23" t="str">
        <f aca="false">IF(AND(ISNUMBER(C1039),ISNUMBER(D1039)),D1039-C1039,"")</f>
        <v/>
      </c>
      <c r="Z1039" s="23" t="str">
        <f aca="false">IF(B1039="","",IF(MATCH(B1039,$B$2:$B$12000,0)=ROW()-1,1,0))</f>
        <v/>
      </c>
    </row>
    <row r="1040" customFormat="false" ht="15" hidden="false" customHeight="false" outlineLevel="0" collapsed="false">
      <c r="V1040" s="23" t="str">
        <f aca="false">IF(ISNUMBER(C1040),YEAR(C1040),"")</f>
        <v/>
      </c>
      <c r="W1040" s="23" t="str">
        <f aca="false">IF(ISNUMBER(C1040),MONTH(C1040),"")</f>
        <v/>
      </c>
      <c r="X1040" s="23" t="str">
        <f aca="false">IF(T1040="","",IF(T1040=0,"No discount",IF(T1040&lt;=0.2,"Low (1-20%)",IF(T1040&lt;=0.4,"Medium (21-40%)","High (&gt;40%)"))))</f>
        <v/>
      </c>
      <c r="Y1040" s="23" t="str">
        <f aca="false">IF(AND(ISNUMBER(C1040),ISNUMBER(D1040)),D1040-C1040,"")</f>
        <v/>
      </c>
      <c r="Z1040" s="23" t="str">
        <f aca="false">IF(B1040="","",IF(MATCH(B1040,$B$2:$B$12000,0)=ROW()-1,1,0))</f>
        <v/>
      </c>
    </row>
    <row r="1041" customFormat="false" ht="15" hidden="false" customHeight="false" outlineLevel="0" collapsed="false">
      <c r="V1041" s="23" t="str">
        <f aca="false">IF(ISNUMBER(C1041),YEAR(C1041),"")</f>
        <v/>
      </c>
      <c r="W1041" s="23" t="str">
        <f aca="false">IF(ISNUMBER(C1041),MONTH(C1041),"")</f>
        <v/>
      </c>
      <c r="X1041" s="23" t="str">
        <f aca="false">IF(T1041="","",IF(T1041=0,"No discount",IF(T1041&lt;=0.2,"Low (1-20%)",IF(T1041&lt;=0.4,"Medium (21-40%)","High (&gt;40%)"))))</f>
        <v/>
      </c>
      <c r="Y1041" s="23" t="str">
        <f aca="false">IF(AND(ISNUMBER(C1041),ISNUMBER(D1041)),D1041-C1041,"")</f>
        <v/>
      </c>
      <c r="Z1041" s="23" t="str">
        <f aca="false">IF(B1041="","",IF(MATCH(B1041,$B$2:$B$12000,0)=ROW()-1,1,0))</f>
        <v/>
      </c>
    </row>
    <row r="1042" customFormat="false" ht="15" hidden="false" customHeight="false" outlineLevel="0" collapsed="false">
      <c r="V1042" s="23" t="str">
        <f aca="false">IF(ISNUMBER(C1042),YEAR(C1042),"")</f>
        <v/>
      </c>
      <c r="W1042" s="23" t="str">
        <f aca="false">IF(ISNUMBER(C1042),MONTH(C1042),"")</f>
        <v/>
      </c>
      <c r="X1042" s="23" t="str">
        <f aca="false">IF(T1042="","",IF(T1042=0,"No discount",IF(T1042&lt;=0.2,"Low (1-20%)",IF(T1042&lt;=0.4,"Medium (21-40%)","High (&gt;40%)"))))</f>
        <v/>
      </c>
      <c r="Y1042" s="23" t="str">
        <f aca="false">IF(AND(ISNUMBER(C1042),ISNUMBER(D1042)),D1042-C1042,"")</f>
        <v/>
      </c>
      <c r="Z1042" s="23" t="str">
        <f aca="false">IF(B1042="","",IF(MATCH(B1042,$B$2:$B$12000,0)=ROW()-1,1,0))</f>
        <v/>
      </c>
    </row>
    <row r="1043" customFormat="false" ht="15" hidden="false" customHeight="false" outlineLevel="0" collapsed="false">
      <c r="V1043" s="23" t="str">
        <f aca="false">IF(ISNUMBER(C1043),YEAR(C1043),"")</f>
        <v/>
      </c>
      <c r="W1043" s="23" t="str">
        <f aca="false">IF(ISNUMBER(C1043),MONTH(C1043),"")</f>
        <v/>
      </c>
      <c r="X1043" s="23" t="str">
        <f aca="false">IF(T1043="","",IF(T1043=0,"No discount",IF(T1043&lt;=0.2,"Low (1-20%)",IF(T1043&lt;=0.4,"Medium (21-40%)","High (&gt;40%)"))))</f>
        <v/>
      </c>
      <c r="Y1043" s="23" t="str">
        <f aca="false">IF(AND(ISNUMBER(C1043),ISNUMBER(D1043)),D1043-C1043,"")</f>
        <v/>
      </c>
      <c r="Z1043" s="23" t="str">
        <f aca="false">IF(B1043="","",IF(MATCH(B1043,$B$2:$B$12000,0)=ROW()-1,1,0))</f>
        <v/>
      </c>
    </row>
    <row r="1044" customFormat="false" ht="15" hidden="false" customHeight="false" outlineLevel="0" collapsed="false">
      <c r="V1044" s="23" t="str">
        <f aca="false">IF(ISNUMBER(C1044),YEAR(C1044),"")</f>
        <v/>
      </c>
      <c r="W1044" s="23" t="str">
        <f aca="false">IF(ISNUMBER(C1044),MONTH(C1044),"")</f>
        <v/>
      </c>
      <c r="X1044" s="23" t="str">
        <f aca="false">IF(T1044="","",IF(T1044=0,"No discount",IF(T1044&lt;=0.2,"Low (1-20%)",IF(T1044&lt;=0.4,"Medium (21-40%)","High (&gt;40%)"))))</f>
        <v/>
      </c>
      <c r="Y1044" s="23" t="str">
        <f aca="false">IF(AND(ISNUMBER(C1044),ISNUMBER(D1044)),D1044-C1044,"")</f>
        <v/>
      </c>
      <c r="Z1044" s="23" t="str">
        <f aca="false">IF(B1044="","",IF(MATCH(B1044,$B$2:$B$12000,0)=ROW()-1,1,0))</f>
        <v/>
      </c>
    </row>
    <row r="1045" customFormat="false" ht="15" hidden="false" customHeight="false" outlineLevel="0" collapsed="false">
      <c r="V1045" s="23" t="str">
        <f aca="false">IF(ISNUMBER(C1045),YEAR(C1045),"")</f>
        <v/>
      </c>
      <c r="W1045" s="23" t="str">
        <f aca="false">IF(ISNUMBER(C1045),MONTH(C1045),"")</f>
        <v/>
      </c>
      <c r="X1045" s="23" t="str">
        <f aca="false">IF(T1045="","",IF(T1045=0,"No discount",IF(T1045&lt;=0.2,"Low (1-20%)",IF(T1045&lt;=0.4,"Medium (21-40%)","High (&gt;40%)"))))</f>
        <v/>
      </c>
      <c r="Y1045" s="23" t="str">
        <f aca="false">IF(AND(ISNUMBER(C1045),ISNUMBER(D1045)),D1045-C1045,"")</f>
        <v/>
      </c>
      <c r="Z1045" s="23" t="str">
        <f aca="false">IF(B1045="","",IF(MATCH(B1045,$B$2:$B$12000,0)=ROW()-1,1,0))</f>
        <v/>
      </c>
    </row>
    <row r="1046" customFormat="false" ht="15" hidden="false" customHeight="false" outlineLevel="0" collapsed="false">
      <c r="V1046" s="23" t="str">
        <f aca="false">IF(ISNUMBER(C1046),YEAR(C1046),"")</f>
        <v/>
      </c>
      <c r="W1046" s="23" t="str">
        <f aca="false">IF(ISNUMBER(C1046),MONTH(C1046),"")</f>
        <v/>
      </c>
      <c r="X1046" s="23" t="str">
        <f aca="false">IF(T1046="","",IF(T1046=0,"No discount",IF(T1046&lt;=0.2,"Low (1-20%)",IF(T1046&lt;=0.4,"Medium (21-40%)","High (&gt;40%)"))))</f>
        <v/>
      </c>
      <c r="Y1046" s="23" t="str">
        <f aca="false">IF(AND(ISNUMBER(C1046),ISNUMBER(D1046)),D1046-C1046,"")</f>
        <v/>
      </c>
      <c r="Z1046" s="23" t="str">
        <f aca="false">IF(B1046="","",IF(MATCH(B1046,$B$2:$B$12000,0)=ROW()-1,1,0))</f>
        <v/>
      </c>
    </row>
    <row r="1047" customFormat="false" ht="15" hidden="false" customHeight="false" outlineLevel="0" collapsed="false">
      <c r="V1047" s="23" t="str">
        <f aca="false">IF(ISNUMBER(C1047),YEAR(C1047),"")</f>
        <v/>
      </c>
      <c r="W1047" s="23" t="str">
        <f aca="false">IF(ISNUMBER(C1047),MONTH(C1047),"")</f>
        <v/>
      </c>
      <c r="X1047" s="23" t="str">
        <f aca="false">IF(T1047="","",IF(T1047=0,"No discount",IF(T1047&lt;=0.2,"Low (1-20%)",IF(T1047&lt;=0.4,"Medium (21-40%)","High (&gt;40%)"))))</f>
        <v/>
      </c>
      <c r="Y1047" s="23" t="str">
        <f aca="false">IF(AND(ISNUMBER(C1047),ISNUMBER(D1047)),D1047-C1047,"")</f>
        <v/>
      </c>
      <c r="Z1047" s="23" t="str">
        <f aca="false">IF(B1047="","",IF(MATCH(B1047,$B$2:$B$12000,0)=ROW()-1,1,0))</f>
        <v/>
      </c>
    </row>
    <row r="1048" customFormat="false" ht="15" hidden="false" customHeight="false" outlineLevel="0" collapsed="false">
      <c r="V1048" s="23" t="str">
        <f aca="false">IF(ISNUMBER(C1048),YEAR(C1048),"")</f>
        <v/>
      </c>
      <c r="W1048" s="23" t="str">
        <f aca="false">IF(ISNUMBER(C1048),MONTH(C1048),"")</f>
        <v/>
      </c>
      <c r="X1048" s="23" t="str">
        <f aca="false">IF(T1048="","",IF(T1048=0,"No discount",IF(T1048&lt;=0.2,"Low (1-20%)",IF(T1048&lt;=0.4,"Medium (21-40%)","High (&gt;40%)"))))</f>
        <v/>
      </c>
      <c r="Y1048" s="23" t="str">
        <f aca="false">IF(AND(ISNUMBER(C1048),ISNUMBER(D1048)),D1048-C1048,"")</f>
        <v/>
      </c>
      <c r="Z1048" s="23" t="str">
        <f aca="false">IF(B1048="","",IF(MATCH(B1048,$B$2:$B$12000,0)=ROW()-1,1,0))</f>
        <v/>
      </c>
    </row>
    <row r="1049" customFormat="false" ht="15" hidden="false" customHeight="false" outlineLevel="0" collapsed="false">
      <c r="V1049" s="23" t="str">
        <f aca="false">IF(ISNUMBER(C1049),YEAR(C1049),"")</f>
        <v/>
      </c>
      <c r="W1049" s="23" t="str">
        <f aca="false">IF(ISNUMBER(C1049),MONTH(C1049),"")</f>
        <v/>
      </c>
      <c r="X1049" s="23" t="str">
        <f aca="false">IF(T1049="","",IF(T1049=0,"No discount",IF(T1049&lt;=0.2,"Low (1-20%)",IF(T1049&lt;=0.4,"Medium (21-40%)","High (&gt;40%)"))))</f>
        <v/>
      </c>
      <c r="Y1049" s="23" t="str">
        <f aca="false">IF(AND(ISNUMBER(C1049),ISNUMBER(D1049)),D1049-C1049,"")</f>
        <v/>
      </c>
      <c r="Z1049" s="23" t="str">
        <f aca="false">IF(B1049="","",IF(MATCH(B1049,$B$2:$B$12000,0)=ROW()-1,1,0))</f>
        <v/>
      </c>
    </row>
    <row r="1050" customFormat="false" ht="15" hidden="false" customHeight="false" outlineLevel="0" collapsed="false">
      <c r="V1050" s="23" t="str">
        <f aca="false">IF(ISNUMBER(C1050),YEAR(C1050),"")</f>
        <v/>
      </c>
      <c r="W1050" s="23" t="str">
        <f aca="false">IF(ISNUMBER(C1050),MONTH(C1050),"")</f>
        <v/>
      </c>
      <c r="X1050" s="23" t="str">
        <f aca="false">IF(T1050="","",IF(T1050=0,"No discount",IF(T1050&lt;=0.2,"Low (1-20%)",IF(T1050&lt;=0.4,"Medium (21-40%)","High (&gt;40%)"))))</f>
        <v/>
      </c>
      <c r="Y1050" s="23" t="str">
        <f aca="false">IF(AND(ISNUMBER(C1050),ISNUMBER(D1050)),D1050-C1050,"")</f>
        <v/>
      </c>
      <c r="Z1050" s="23" t="str">
        <f aca="false">IF(B1050="","",IF(MATCH(B1050,$B$2:$B$12000,0)=ROW()-1,1,0))</f>
        <v/>
      </c>
    </row>
    <row r="1051" customFormat="false" ht="15" hidden="false" customHeight="false" outlineLevel="0" collapsed="false">
      <c r="V1051" s="23" t="str">
        <f aca="false">IF(ISNUMBER(C1051),YEAR(C1051),"")</f>
        <v/>
      </c>
      <c r="W1051" s="23" t="str">
        <f aca="false">IF(ISNUMBER(C1051),MONTH(C1051),"")</f>
        <v/>
      </c>
      <c r="X1051" s="23" t="str">
        <f aca="false">IF(T1051="","",IF(T1051=0,"No discount",IF(T1051&lt;=0.2,"Low (1-20%)",IF(T1051&lt;=0.4,"Medium (21-40%)","High (&gt;40%)"))))</f>
        <v/>
      </c>
      <c r="Y1051" s="23" t="str">
        <f aca="false">IF(AND(ISNUMBER(C1051),ISNUMBER(D1051)),D1051-C1051,"")</f>
        <v/>
      </c>
      <c r="Z1051" s="23" t="str">
        <f aca="false">IF(B1051="","",IF(MATCH(B1051,$B$2:$B$12000,0)=ROW()-1,1,0))</f>
        <v/>
      </c>
    </row>
    <row r="1052" customFormat="false" ht="15" hidden="false" customHeight="false" outlineLevel="0" collapsed="false">
      <c r="V1052" s="23" t="str">
        <f aca="false">IF(ISNUMBER(C1052),YEAR(C1052),"")</f>
        <v/>
      </c>
      <c r="W1052" s="23" t="str">
        <f aca="false">IF(ISNUMBER(C1052),MONTH(C1052),"")</f>
        <v/>
      </c>
      <c r="X1052" s="23" t="str">
        <f aca="false">IF(T1052="","",IF(T1052=0,"No discount",IF(T1052&lt;=0.2,"Low (1-20%)",IF(T1052&lt;=0.4,"Medium (21-40%)","High (&gt;40%)"))))</f>
        <v/>
      </c>
      <c r="Y1052" s="23" t="str">
        <f aca="false">IF(AND(ISNUMBER(C1052),ISNUMBER(D1052)),D1052-C1052,"")</f>
        <v/>
      </c>
      <c r="Z1052" s="23" t="str">
        <f aca="false">IF(B1052="","",IF(MATCH(B1052,$B$2:$B$12000,0)=ROW()-1,1,0))</f>
        <v/>
      </c>
    </row>
    <row r="1053" customFormat="false" ht="15" hidden="false" customHeight="false" outlineLevel="0" collapsed="false">
      <c r="V1053" s="23" t="str">
        <f aca="false">IF(ISNUMBER(C1053),YEAR(C1053),"")</f>
        <v/>
      </c>
      <c r="W1053" s="23" t="str">
        <f aca="false">IF(ISNUMBER(C1053),MONTH(C1053),"")</f>
        <v/>
      </c>
      <c r="X1053" s="23" t="str">
        <f aca="false">IF(T1053="","",IF(T1053=0,"No discount",IF(T1053&lt;=0.2,"Low (1-20%)",IF(T1053&lt;=0.4,"Medium (21-40%)","High (&gt;40%)"))))</f>
        <v/>
      </c>
      <c r="Y1053" s="23" t="str">
        <f aca="false">IF(AND(ISNUMBER(C1053),ISNUMBER(D1053)),D1053-C1053,"")</f>
        <v/>
      </c>
      <c r="Z1053" s="23" t="str">
        <f aca="false">IF(B1053="","",IF(MATCH(B1053,$B$2:$B$12000,0)=ROW()-1,1,0))</f>
        <v/>
      </c>
    </row>
    <row r="1054" customFormat="false" ht="15" hidden="false" customHeight="false" outlineLevel="0" collapsed="false">
      <c r="V1054" s="23" t="str">
        <f aca="false">IF(ISNUMBER(C1054),YEAR(C1054),"")</f>
        <v/>
      </c>
      <c r="W1054" s="23" t="str">
        <f aca="false">IF(ISNUMBER(C1054),MONTH(C1054),"")</f>
        <v/>
      </c>
      <c r="X1054" s="23" t="str">
        <f aca="false">IF(T1054="","",IF(T1054=0,"No discount",IF(T1054&lt;=0.2,"Low (1-20%)",IF(T1054&lt;=0.4,"Medium (21-40%)","High (&gt;40%)"))))</f>
        <v/>
      </c>
      <c r="Y1054" s="23" t="str">
        <f aca="false">IF(AND(ISNUMBER(C1054),ISNUMBER(D1054)),D1054-C1054,"")</f>
        <v/>
      </c>
      <c r="Z1054" s="23" t="str">
        <f aca="false">IF(B1054="","",IF(MATCH(B1054,$B$2:$B$12000,0)=ROW()-1,1,0))</f>
        <v/>
      </c>
    </row>
    <row r="1055" customFormat="false" ht="15" hidden="false" customHeight="false" outlineLevel="0" collapsed="false">
      <c r="V1055" s="23" t="str">
        <f aca="false">IF(ISNUMBER(C1055),YEAR(C1055),"")</f>
        <v/>
      </c>
      <c r="W1055" s="23" t="str">
        <f aca="false">IF(ISNUMBER(C1055),MONTH(C1055),"")</f>
        <v/>
      </c>
      <c r="X1055" s="23" t="str">
        <f aca="false">IF(T1055="","",IF(T1055=0,"No discount",IF(T1055&lt;=0.2,"Low (1-20%)",IF(T1055&lt;=0.4,"Medium (21-40%)","High (&gt;40%)"))))</f>
        <v/>
      </c>
      <c r="Y1055" s="23" t="str">
        <f aca="false">IF(AND(ISNUMBER(C1055),ISNUMBER(D1055)),D1055-C1055,"")</f>
        <v/>
      </c>
      <c r="Z1055" s="23" t="str">
        <f aca="false">IF(B1055="","",IF(MATCH(B1055,$B$2:$B$12000,0)=ROW()-1,1,0))</f>
        <v/>
      </c>
    </row>
    <row r="1056" customFormat="false" ht="15" hidden="false" customHeight="false" outlineLevel="0" collapsed="false">
      <c r="V1056" s="23" t="str">
        <f aca="false">IF(ISNUMBER(C1056),YEAR(C1056),"")</f>
        <v/>
      </c>
      <c r="W1056" s="23" t="str">
        <f aca="false">IF(ISNUMBER(C1056),MONTH(C1056),"")</f>
        <v/>
      </c>
      <c r="X1056" s="23" t="str">
        <f aca="false">IF(T1056="","",IF(T1056=0,"No discount",IF(T1056&lt;=0.2,"Low (1-20%)",IF(T1056&lt;=0.4,"Medium (21-40%)","High (&gt;40%)"))))</f>
        <v/>
      </c>
      <c r="Y1056" s="23" t="str">
        <f aca="false">IF(AND(ISNUMBER(C1056),ISNUMBER(D1056)),D1056-C1056,"")</f>
        <v/>
      </c>
      <c r="Z1056" s="23" t="str">
        <f aca="false">IF(B1056="","",IF(MATCH(B1056,$B$2:$B$12000,0)=ROW()-1,1,0))</f>
        <v/>
      </c>
    </row>
    <row r="1057" customFormat="false" ht="15" hidden="false" customHeight="false" outlineLevel="0" collapsed="false">
      <c r="V1057" s="23" t="str">
        <f aca="false">IF(ISNUMBER(C1057),YEAR(C1057),"")</f>
        <v/>
      </c>
      <c r="W1057" s="23" t="str">
        <f aca="false">IF(ISNUMBER(C1057),MONTH(C1057),"")</f>
        <v/>
      </c>
      <c r="X1057" s="23" t="str">
        <f aca="false">IF(T1057="","",IF(T1057=0,"No discount",IF(T1057&lt;=0.2,"Low (1-20%)",IF(T1057&lt;=0.4,"Medium (21-40%)","High (&gt;40%)"))))</f>
        <v/>
      </c>
      <c r="Y1057" s="23" t="str">
        <f aca="false">IF(AND(ISNUMBER(C1057),ISNUMBER(D1057)),D1057-C1057,"")</f>
        <v/>
      </c>
      <c r="Z1057" s="23" t="str">
        <f aca="false">IF(B1057="","",IF(MATCH(B1057,$B$2:$B$12000,0)=ROW()-1,1,0))</f>
        <v/>
      </c>
    </row>
    <row r="1058" customFormat="false" ht="15" hidden="false" customHeight="false" outlineLevel="0" collapsed="false">
      <c r="V1058" s="23" t="str">
        <f aca="false">IF(ISNUMBER(C1058),YEAR(C1058),"")</f>
        <v/>
      </c>
      <c r="W1058" s="23" t="str">
        <f aca="false">IF(ISNUMBER(C1058),MONTH(C1058),"")</f>
        <v/>
      </c>
      <c r="X1058" s="23" t="str">
        <f aca="false">IF(T1058="","",IF(T1058=0,"No discount",IF(T1058&lt;=0.2,"Low (1-20%)",IF(T1058&lt;=0.4,"Medium (21-40%)","High (&gt;40%)"))))</f>
        <v/>
      </c>
      <c r="Y1058" s="23" t="str">
        <f aca="false">IF(AND(ISNUMBER(C1058),ISNUMBER(D1058)),D1058-C1058,"")</f>
        <v/>
      </c>
      <c r="Z1058" s="23" t="str">
        <f aca="false">IF(B1058="","",IF(MATCH(B1058,$B$2:$B$12000,0)=ROW()-1,1,0))</f>
        <v/>
      </c>
    </row>
    <row r="1059" customFormat="false" ht="15" hidden="false" customHeight="false" outlineLevel="0" collapsed="false">
      <c r="V1059" s="23" t="str">
        <f aca="false">IF(ISNUMBER(C1059),YEAR(C1059),"")</f>
        <v/>
      </c>
      <c r="W1059" s="23" t="str">
        <f aca="false">IF(ISNUMBER(C1059),MONTH(C1059),"")</f>
        <v/>
      </c>
      <c r="X1059" s="23" t="str">
        <f aca="false">IF(T1059="","",IF(T1059=0,"No discount",IF(T1059&lt;=0.2,"Low (1-20%)",IF(T1059&lt;=0.4,"Medium (21-40%)","High (&gt;40%)"))))</f>
        <v/>
      </c>
      <c r="Y1059" s="23" t="str">
        <f aca="false">IF(AND(ISNUMBER(C1059),ISNUMBER(D1059)),D1059-C1059,"")</f>
        <v/>
      </c>
      <c r="Z1059" s="23" t="str">
        <f aca="false">IF(B1059="","",IF(MATCH(B1059,$B$2:$B$12000,0)=ROW()-1,1,0))</f>
        <v/>
      </c>
    </row>
    <row r="1060" customFormat="false" ht="15" hidden="false" customHeight="false" outlineLevel="0" collapsed="false">
      <c r="V1060" s="23" t="str">
        <f aca="false">IF(ISNUMBER(C1060),YEAR(C1060),"")</f>
        <v/>
      </c>
      <c r="W1060" s="23" t="str">
        <f aca="false">IF(ISNUMBER(C1060),MONTH(C1060),"")</f>
        <v/>
      </c>
      <c r="X1060" s="23" t="str">
        <f aca="false">IF(T1060="","",IF(T1060=0,"No discount",IF(T1060&lt;=0.2,"Low (1-20%)",IF(T1060&lt;=0.4,"Medium (21-40%)","High (&gt;40%)"))))</f>
        <v/>
      </c>
      <c r="Y1060" s="23" t="str">
        <f aca="false">IF(AND(ISNUMBER(C1060),ISNUMBER(D1060)),D1060-C1060,"")</f>
        <v/>
      </c>
      <c r="Z1060" s="23" t="str">
        <f aca="false">IF(B1060="","",IF(MATCH(B1060,$B$2:$B$12000,0)=ROW()-1,1,0))</f>
        <v/>
      </c>
    </row>
    <row r="1061" customFormat="false" ht="15" hidden="false" customHeight="false" outlineLevel="0" collapsed="false">
      <c r="V1061" s="23" t="str">
        <f aca="false">IF(ISNUMBER(C1061),YEAR(C1061),"")</f>
        <v/>
      </c>
      <c r="W1061" s="23" t="str">
        <f aca="false">IF(ISNUMBER(C1061),MONTH(C1061),"")</f>
        <v/>
      </c>
      <c r="X1061" s="23" t="str">
        <f aca="false">IF(T1061="","",IF(T1061=0,"No discount",IF(T1061&lt;=0.2,"Low (1-20%)",IF(T1061&lt;=0.4,"Medium (21-40%)","High (&gt;40%)"))))</f>
        <v/>
      </c>
      <c r="Y1061" s="23" t="str">
        <f aca="false">IF(AND(ISNUMBER(C1061),ISNUMBER(D1061)),D1061-C1061,"")</f>
        <v/>
      </c>
      <c r="Z1061" s="23" t="str">
        <f aca="false">IF(B1061="","",IF(MATCH(B1061,$B$2:$B$12000,0)=ROW()-1,1,0))</f>
        <v/>
      </c>
    </row>
    <row r="1062" customFormat="false" ht="15" hidden="false" customHeight="false" outlineLevel="0" collapsed="false">
      <c r="V1062" s="23" t="str">
        <f aca="false">IF(ISNUMBER(C1062),YEAR(C1062),"")</f>
        <v/>
      </c>
      <c r="W1062" s="23" t="str">
        <f aca="false">IF(ISNUMBER(C1062),MONTH(C1062),"")</f>
        <v/>
      </c>
      <c r="X1062" s="23" t="str">
        <f aca="false">IF(T1062="","",IF(T1062=0,"No discount",IF(T1062&lt;=0.2,"Low (1-20%)",IF(T1062&lt;=0.4,"Medium (21-40%)","High (&gt;40%)"))))</f>
        <v/>
      </c>
      <c r="Y1062" s="23" t="str">
        <f aca="false">IF(AND(ISNUMBER(C1062),ISNUMBER(D1062)),D1062-C1062,"")</f>
        <v/>
      </c>
      <c r="Z1062" s="23" t="str">
        <f aca="false">IF(B1062="","",IF(MATCH(B1062,$B$2:$B$12000,0)=ROW()-1,1,0))</f>
        <v/>
      </c>
    </row>
    <row r="1063" customFormat="false" ht="15" hidden="false" customHeight="false" outlineLevel="0" collapsed="false">
      <c r="V1063" s="23" t="str">
        <f aca="false">IF(ISNUMBER(C1063),YEAR(C1063),"")</f>
        <v/>
      </c>
      <c r="W1063" s="23" t="str">
        <f aca="false">IF(ISNUMBER(C1063),MONTH(C1063),"")</f>
        <v/>
      </c>
      <c r="X1063" s="23" t="str">
        <f aca="false">IF(T1063="","",IF(T1063=0,"No discount",IF(T1063&lt;=0.2,"Low (1-20%)",IF(T1063&lt;=0.4,"Medium (21-40%)","High (&gt;40%)"))))</f>
        <v/>
      </c>
      <c r="Y1063" s="23" t="str">
        <f aca="false">IF(AND(ISNUMBER(C1063),ISNUMBER(D1063)),D1063-C1063,"")</f>
        <v/>
      </c>
      <c r="Z1063" s="23" t="str">
        <f aca="false">IF(B1063="","",IF(MATCH(B1063,$B$2:$B$12000,0)=ROW()-1,1,0))</f>
        <v/>
      </c>
    </row>
    <row r="1064" customFormat="false" ht="15" hidden="false" customHeight="false" outlineLevel="0" collapsed="false">
      <c r="V1064" s="23" t="str">
        <f aca="false">IF(ISNUMBER(C1064),YEAR(C1064),"")</f>
        <v/>
      </c>
      <c r="W1064" s="23" t="str">
        <f aca="false">IF(ISNUMBER(C1064),MONTH(C1064),"")</f>
        <v/>
      </c>
      <c r="X1064" s="23" t="str">
        <f aca="false">IF(T1064="","",IF(T1064=0,"No discount",IF(T1064&lt;=0.2,"Low (1-20%)",IF(T1064&lt;=0.4,"Medium (21-40%)","High (&gt;40%)"))))</f>
        <v/>
      </c>
      <c r="Y1064" s="23" t="str">
        <f aca="false">IF(AND(ISNUMBER(C1064),ISNUMBER(D1064)),D1064-C1064,"")</f>
        <v/>
      </c>
      <c r="Z1064" s="23" t="str">
        <f aca="false">IF(B1064="","",IF(MATCH(B1064,$B$2:$B$12000,0)=ROW()-1,1,0))</f>
        <v/>
      </c>
    </row>
    <row r="1065" customFormat="false" ht="15" hidden="false" customHeight="false" outlineLevel="0" collapsed="false">
      <c r="V1065" s="23" t="str">
        <f aca="false">IF(ISNUMBER(C1065),YEAR(C1065),"")</f>
        <v/>
      </c>
      <c r="W1065" s="23" t="str">
        <f aca="false">IF(ISNUMBER(C1065),MONTH(C1065),"")</f>
        <v/>
      </c>
      <c r="X1065" s="23" t="str">
        <f aca="false">IF(T1065="","",IF(T1065=0,"No discount",IF(T1065&lt;=0.2,"Low (1-20%)",IF(T1065&lt;=0.4,"Medium (21-40%)","High (&gt;40%)"))))</f>
        <v/>
      </c>
      <c r="Y1065" s="23" t="str">
        <f aca="false">IF(AND(ISNUMBER(C1065),ISNUMBER(D1065)),D1065-C1065,"")</f>
        <v/>
      </c>
      <c r="Z1065" s="23" t="str">
        <f aca="false">IF(B1065="","",IF(MATCH(B1065,$B$2:$B$12000,0)=ROW()-1,1,0))</f>
        <v/>
      </c>
    </row>
    <row r="1066" customFormat="false" ht="15" hidden="false" customHeight="false" outlineLevel="0" collapsed="false">
      <c r="V1066" s="23" t="str">
        <f aca="false">IF(ISNUMBER(C1066),YEAR(C1066),"")</f>
        <v/>
      </c>
      <c r="W1066" s="23" t="str">
        <f aca="false">IF(ISNUMBER(C1066),MONTH(C1066),"")</f>
        <v/>
      </c>
      <c r="X1066" s="23" t="str">
        <f aca="false">IF(T1066="","",IF(T1066=0,"No discount",IF(T1066&lt;=0.2,"Low (1-20%)",IF(T1066&lt;=0.4,"Medium (21-40%)","High (&gt;40%)"))))</f>
        <v/>
      </c>
      <c r="Y1066" s="23" t="str">
        <f aca="false">IF(AND(ISNUMBER(C1066),ISNUMBER(D1066)),D1066-C1066,"")</f>
        <v/>
      </c>
      <c r="Z1066" s="23" t="str">
        <f aca="false">IF(B1066="","",IF(MATCH(B1066,$B$2:$B$12000,0)=ROW()-1,1,0))</f>
        <v/>
      </c>
    </row>
    <row r="1067" customFormat="false" ht="15" hidden="false" customHeight="false" outlineLevel="0" collapsed="false">
      <c r="V1067" s="23" t="str">
        <f aca="false">IF(ISNUMBER(C1067),YEAR(C1067),"")</f>
        <v/>
      </c>
      <c r="W1067" s="23" t="str">
        <f aca="false">IF(ISNUMBER(C1067),MONTH(C1067),"")</f>
        <v/>
      </c>
      <c r="X1067" s="23" t="str">
        <f aca="false">IF(T1067="","",IF(T1067=0,"No discount",IF(T1067&lt;=0.2,"Low (1-20%)",IF(T1067&lt;=0.4,"Medium (21-40%)","High (&gt;40%)"))))</f>
        <v/>
      </c>
      <c r="Y1067" s="23" t="str">
        <f aca="false">IF(AND(ISNUMBER(C1067),ISNUMBER(D1067)),D1067-C1067,"")</f>
        <v/>
      </c>
      <c r="Z1067" s="23" t="str">
        <f aca="false">IF(B1067="","",IF(MATCH(B1067,$B$2:$B$12000,0)=ROW()-1,1,0))</f>
        <v/>
      </c>
    </row>
    <row r="1068" customFormat="false" ht="15" hidden="false" customHeight="false" outlineLevel="0" collapsed="false">
      <c r="V1068" s="23" t="str">
        <f aca="false">IF(ISNUMBER(C1068),YEAR(C1068),"")</f>
        <v/>
      </c>
      <c r="W1068" s="23" t="str">
        <f aca="false">IF(ISNUMBER(C1068),MONTH(C1068),"")</f>
        <v/>
      </c>
      <c r="X1068" s="23" t="str">
        <f aca="false">IF(T1068="","",IF(T1068=0,"No discount",IF(T1068&lt;=0.2,"Low (1-20%)",IF(T1068&lt;=0.4,"Medium (21-40%)","High (&gt;40%)"))))</f>
        <v/>
      </c>
      <c r="Y1068" s="23" t="str">
        <f aca="false">IF(AND(ISNUMBER(C1068),ISNUMBER(D1068)),D1068-C1068,"")</f>
        <v/>
      </c>
      <c r="Z1068" s="23" t="str">
        <f aca="false">IF(B1068="","",IF(MATCH(B1068,$B$2:$B$12000,0)=ROW()-1,1,0))</f>
        <v/>
      </c>
    </row>
    <row r="1069" customFormat="false" ht="15" hidden="false" customHeight="false" outlineLevel="0" collapsed="false">
      <c r="V1069" s="23" t="str">
        <f aca="false">IF(ISNUMBER(C1069),YEAR(C1069),"")</f>
        <v/>
      </c>
      <c r="W1069" s="23" t="str">
        <f aca="false">IF(ISNUMBER(C1069),MONTH(C1069),"")</f>
        <v/>
      </c>
      <c r="X1069" s="23" t="str">
        <f aca="false">IF(T1069="","",IF(T1069=0,"No discount",IF(T1069&lt;=0.2,"Low (1-20%)",IF(T1069&lt;=0.4,"Medium (21-40%)","High (&gt;40%)"))))</f>
        <v/>
      </c>
      <c r="Y1069" s="23" t="str">
        <f aca="false">IF(AND(ISNUMBER(C1069),ISNUMBER(D1069)),D1069-C1069,"")</f>
        <v/>
      </c>
      <c r="Z1069" s="23" t="str">
        <f aca="false">IF(B1069="","",IF(MATCH(B1069,$B$2:$B$12000,0)=ROW()-1,1,0))</f>
        <v/>
      </c>
    </row>
    <row r="1070" customFormat="false" ht="15" hidden="false" customHeight="false" outlineLevel="0" collapsed="false">
      <c r="V1070" s="23" t="str">
        <f aca="false">IF(ISNUMBER(C1070),YEAR(C1070),"")</f>
        <v/>
      </c>
      <c r="W1070" s="23" t="str">
        <f aca="false">IF(ISNUMBER(C1070),MONTH(C1070),"")</f>
        <v/>
      </c>
      <c r="X1070" s="23" t="str">
        <f aca="false">IF(T1070="","",IF(T1070=0,"No discount",IF(T1070&lt;=0.2,"Low (1-20%)",IF(T1070&lt;=0.4,"Medium (21-40%)","High (&gt;40%)"))))</f>
        <v/>
      </c>
      <c r="Y1070" s="23" t="str">
        <f aca="false">IF(AND(ISNUMBER(C1070),ISNUMBER(D1070)),D1070-C1070,"")</f>
        <v/>
      </c>
      <c r="Z1070" s="23" t="str">
        <f aca="false">IF(B1070="","",IF(MATCH(B1070,$B$2:$B$12000,0)=ROW()-1,1,0))</f>
        <v/>
      </c>
    </row>
    <row r="1071" customFormat="false" ht="15" hidden="false" customHeight="false" outlineLevel="0" collapsed="false">
      <c r="V1071" s="23" t="str">
        <f aca="false">IF(ISNUMBER(C1071),YEAR(C1071),"")</f>
        <v/>
      </c>
      <c r="W1071" s="23" t="str">
        <f aca="false">IF(ISNUMBER(C1071),MONTH(C1071),"")</f>
        <v/>
      </c>
      <c r="X1071" s="23" t="str">
        <f aca="false">IF(T1071="","",IF(T1071=0,"No discount",IF(T1071&lt;=0.2,"Low (1-20%)",IF(T1071&lt;=0.4,"Medium (21-40%)","High (&gt;40%)"))))</f>
        <v/>
      </c>
      <c r="Y1071" s="23" t="str">
        <f aca="false">IF(AND(ISNUMBER(C1071),ISNUMBER(D1071)),D1071-C1071,"")</f>
        <v/>
      </c>
      <c r="Z1071" s="23" t="str">
        <f aca="false">IF(B1071="","",IF(MATCH(B1071,$B$2:$B$12000,0)=ROW()-1,1,0))</f>
        <v/>
      </c>
    </row>
    <row r="1072" customFormat="false" ht="15" hidden="false" customHeight="false" outlineLevel="0" collapsed="false">
      <c r="V1072" s="23" t="str">
        <f aca="false">IF(ISNUMBER(C1072),YEAR(C1072),"")</f>
        <v/>
      </c>
      <c r="W1072" s="23" t="str">
        <f aca="false">IF(ISNUMBER(C1072),MONTH(C1072),"")</f>
        <v/>
      </c>
      <c r="X1072" s="23" t="str">
        <f aca="false">IF(T1072="","",IF(T1072=0,"No discount",IF(T1072&lt;=0.2,"Low (1-20%)",IF(T1072&lt;=0.4,"Medium (21-40%)","High (&gt;40%)"))))</f>
        <v/>
      </c>
      <c r="Y1072" s="23" t="str">
        <f aca="false">IF(AND(ISNUMBER(C1072),ISNUMBER(D1072)),D1072-C1072,"")</f>
        <v/>
      </c>
      <c r="Z1072" s="23" t="str">
        <f aca="false">IF(B1072="","",IF(MATCH(B1072,$B$2:$B$12000,0)=ROW()-1,1,0))</f>
        <v/>
      </c>
    </row>
    <row r="1073" customFormat="false" ht="15" hidden="false" customHeight="false" outlineLevel="0" collapsed="false">
      <c r="V1073" s="23" t="str">
        <f aca="false">IF(ISNUMBER(C1073),YEAR(C1073),"")</f>
        <v/>
      </c>
      <c r="W1073" s="23" t="str">
        <f aca="false">IF(ISNUMBER(C1073),MONTH(C1073),"")</f>
        <v/>
      </c>
      <c r="X1073" s="23" t="str">
        <f aca="false">IF(T1073="","",IF(T1073=0,"No discount",IF(T1073&lt;=0.2,"Low (1-20%)",IF(T1073&lt;=0.4,"Medium (21-40%)","High (&gt;40%)"))))</f>
        <v/>
      </c>
      <c r="Y1073" s="23" t="str">
        <f aca="false">IF(AND(ISNUMBER(C1073),ISNUMBER(D1073)),D1073-C1073,"")</f>
        <v/>
      </c>
      <c r="Z1073" s="23" t="str">
        <f aca="false">IF(B1073="","",IF(MATCH(B1073,$B$2:$B$12000,0)=ROW()-1,1,0))</f>
        <v/>
      </c>
    </row>
    <row r="1074" customFormat="false" ht="15" hidden="false" customHeight="false" outlineLevel="0" collapsed="false">
      <c r="V1074" s="23" t="str">
        <f aca="false">IF(ISNUMBER(C1074),YEAR(C1074),"")</f>
        <v/>
      </c>
      <c r="W1074" s="23" t="str">
        <f aca="false">IF(ISNUMBER(C1074),MONTH(C1074),"")</f>
        <v/>
      </c>
      <c r="X1074" s="23" t="str">
        <f aca="false">IF(T1074="","",IF(T1074=0,"No discount",IF(T1074&lt;=0.2,"Low (1-20%)",IF(T1074&lt;=0.4,"Medium (21-40%)","High (&gt;40%)"))))</f>
        <v/>
      </c>
      <c r="Y1074" s="23" t="str">
        <f aca="false">IF(AND(ISNUMBER(C1074),ISNUMBER(D1074)),D1074-C1074,"")</f>
        <v/>
      </c>
      <c r="Z1074" s="23" t="str">
        <f aca="false">IF(B1074="","",IF(MATCH(B1074,$B$2:$B$12000,0)=ROW()-1,1,0))</f>
        <v/>
      </c>
    </row>
    <row r="1075" customFormat="false" ht="15" hidden="false" customHeight="false" outlineLevel="0" collapsed="false">
      <c r="V1075" s="23" t="str">
        <f aca="false">IF(ISNUMBER(C1075),YEAR(C1075),"")</f>
        <v/>
      </c>
      <c r="W1075" s="23" t="str">
        <f aca="false">IF(ISNUMBER(C1075),MONTH(C1075),"")</f>
        <v/>
      </c>
      <c r="X1075" s="23" t="str">
        <f aca="false">IF(T1075="","",IF(T1075=0,"No discount",IF(T1075&lt;=0.2,"Low (1-20%)",IF(T1075&lt;=0.4,"Medium (21-40%)","High (&gt;40%)"))))</f>
        <v/>
      </c>
      <c r="Y1075" s="23" t="str">
        <f aca="false">IF(AND(ISNUMBER(C1075),ISNUMBER(D1075)),D1075-C1075,"")</f>
        <v/>
      </c>
      <c r="Z1075" s="23" t="str">
        <f aca="false">IF(B1075="","",IF(MATCH(B1075,$B$2:$B$12000,0)=ROW()-1,1,0))</f>
        <v/>
      </c>
    </row>
    <row r="1076" customFormat="false" ht="15" hidden="false" customHeight="false" outlineLevel="0" collapsed="false">
      <c r="V1076" s="23" t="str">
        <f aca="false">IF(ISNUMBER(C1076),YEAR(C1076),"")</f>
        <v/>
      </c>
      <c r="W1076" s="23" t="str">
        <f aca="false">IF(ISNUMBER(C1076),MONTH(C1076),"")</f>
        <v/>
      </c>
      <c r="X1076" s="23" t="str">
        <f aca="false">IF(T1076="","",IF(T1076=0,"No discount",IF(T1076&lt;=0.2,"Low (1-20%)",IF(T1076&lt;=0.4,"Medium (21-40%)","High (&gt;40%)"))))</f>
        <v/>
      </c>
      <c r="Y1076" s="23" t="str">
        <f aca="false">IF(AND(ISNUMBER(C1076),ISNUMBER(D1076)),D1076-C1076,"")</f>
        <v/>
      </c>
      <c r="Z1076" s="23" t="str">
        <f aca="false">IF(B1076="","",IF(MATCH(B1076,$B$2:$B$12000,0)=ROW()-1,1,0))</f>
        <v/>
      </c>
    </row>
    <row r="1077" customFormat="false" ht="15" hidden="false" customHeight="false" outlineLevel="0" collapsed="false">
      <c r="V1077" s="23" t="str">
        <f aca="false">IF(ISNUMBER(C1077),YEAR(C1077),"")</f>
        <v/>
      </c>
      <c r="W1077" s="23" t="str">
        <f aca="false">IF(ISNUMBER(C1077),MONTH(C1077),"")</f>
        <v/>
      </c>
      <c r="X1077" s="23" t="str">
        <f aca="false">IF(T1077="","",IF(T1077=0,"No discount",IF(T1077&lt;=0.2,"Low (1-20%)",IF(T1077&lt;=0.4,"Medium (21-40%)","High (&gt;40%)"))))</f>
        <v/>
      </c>
      <c r="Y1077" s="23" t="str">
        <f aca="false">IF(AND(ISNUMBER(C1077),ISNUMBER(D1077)),D1077-C1077,"")</f>
        <v/>
      </c>
      <c r="Z1077" s="23" t="str">
        <f aca="false">IF(B1077="","",IF(MATCH(B1077,$B$2:$B$12000,0)=ROW()-1,1,0))</f>
        <v/>
      </c>
    </row>
    <row r="1078" customFormat="false" ht="15" hidden="false" customHeight="false" outlineLevel="0" collapsed="false">
      <c r="V1078" s="23" t="str">
        <f aca="false">IF(ISNUMBER(C1078),YEAR(C1078),"")</f>
        <v/>
      </c>
      <c r="W1078" s="23" t="str">
        <f aca="false">IF(ISNUMBER(C1078),MONTH(C1078),"")</f>
        <v/>
      </c>
      <c r="X1078" s="23" t="str">
        <f aca="false">IF(T1078="","",IF(T1078=0,"No discount",IF(T1078&lt;=0.2,"Low (1-20%)",IF(T1078&lt;=0.4,"Medium (21-40%)","High (&gt;40%)"))))</f>
        <v/>
      </c>
      <c r="Y1078" s="23" t="str">
        <f aca="false">IF(AND(ISNUMBER(C1078),ISNUMBER(D1078)),D1078-C1078,"")</f>
        <v/>
      </c>
      <c r="Z1078" s="23" t="str">
        <f aca="false">IF(B1078="","",IF(MATCH(B1078,$B$2:$B$12000,0)=ROW()-1,1,0))</f>
        <v/>
      </c>
    </row>
    <row r="1079" customFormat="false" ht="15" hidden="false" customHeight="false" outlineLevel="0" collapsed="false">
      <c r="V1079" s="23" t="str">
        <f aca="false">IF(ISNUMBER(C1079),YEAR(C1079),"")</f>
        <v/>
      </c>
      <c r="W1079" s="23" t="str">
        <f aca="false">IF(ISNUMBER(C1079),MONTH(C1079),"")</f>
        <v/>
      </c>
      <c r="X1079" s="23" t="str">
        <f aca="false">IF(T1079="","",IF(T1079=0,"No discount",IF(T1079&lt;=0.2,"Low (1-20%)",IF(T1079&lt;=0.4,"Medium (21-40%)","High (&gt;40%)"))))</f>
        <v/>
      </c>
      <c r="Y1079" s="23" t="str">
        <f aca="false">IF(AND(ISNUMBER(C1079),ISNUMBER(D1079)),D1079-C1079,"")</f>
        <v/>
      </c>
      <c r="Z1079" s="23" t="str">
        <f aca="false">IF(B1079="","",IF(MATCH(B1079,$B$2:$B$12000,0)=ROW()-1,1,0))</f>
        <v/>
      </c>
    </row>
    <row r="1080" customFormat="false" ht="15" hidden="false" customHeight="false" outlineLevel="0" collapsed="false">
      <c r="V1080" s="23" t="str">
        <f aca="false">IF(ISNUMBER(C1080),YEAR(C1080),"")</f>
        <v/>
      </c>
      <c r="W1080" s="23" t="str">
        <f aca="false">IF(ISNUMBER(C1080),MONTH(C1080),"")</f>
        <v/>
      </c>
      <c r="X1080" s="23" t="str">
        <f aca="false">IF(T1080="","",IF(T1080=0,"No discount",IF(T1080&lt;=0.2,"Low (1-20%)",IF(T1080&lt;=0.4,"Medium (21-40%)","High (&gt;40%)"))))</f>
        <v/>
      </c>
      <c r="Y1080" s="23" t="str">
        <f aca="false">IF(AND(ISNUMBER(C1080),ISNUMBER(D1080)),D1080-C1080,"")</f>
        <v/>
      </c>
      <c r="Z1080" s="23" t="str">
        <f aca="false">IF(B1080="","",IF(MATCH(B1080,$B$2:$B$12000,0)=ROW()-1,1,0))</f>
        <v/>
      </c>
    </row>
    <row r="1081" customFormat="false" ht="15" hidden="false" customHeight="false" outlineLevel="0" collapsed="false">
      <c r="V1081" s="23" t="str">
        <f aca="false">IF(ISNUMBER(C1081),YEAR(C1081),"")</f>
        <v/>
      </c>
      <c r="W1081" s="23" t="str">
        <f aca="false">IF(ISNUMBER(C1081),MONTH(C1081),"")</f>
        <v/>
      </c>
      <c r="X1081" s="23" t="str">
        <f aca="false">IF(T1081="","",IF(T1081=0,"No discount",IF(T1081&lt;=0.2,"Low (1-20%)",IF(T1081&lt;=0.4,"Medium (21-40%)","High (&gt;40%)"))))</f>
        <v/>
      </c>
      <c r="Y1081" s="23" t="str">
        <f aca="false">IF(AND(ISNUMBER(C1081),ISNUMBER(D1081)),D1081-C1081,"")</f>
        <v/>
      </c>
      <c r="Z1081" s="23" t="str">
        <f aca="false">IF(B1081="","",IF(MATCH(B1081,$B$2:$B$12000,0)=ROW()-1,1,0))</f>
        <v/>
      </c>
    </row>
    <row r="1082" customFormat="false" ht="15" hidden="false" customHeight="false" outlineLevel="0" collapsed="false">
      <c r="V1082" s="23" t="str">
        <f aca="false">IF(ISNUMBER(C1082),YEAR(C1082),"")</f>
        <v/>
      </c>
      <c r="W1082" s="23" t="str">
        <f aca="false">IF(ISNUMBER(C1082),MONTH(C1082),"")</f>
        <v/>
      </c>
      <c r="X1082" s="23" t="str">
        <f aca="false">IF(T1082="","",IF(T1082=0,"No discount",IF(T1082&lt;=0.2,"Low (1-20%)",IF(T1082&lt;=0.4,"Medium (21-40%)","High (&gt;40%)"))))</f>
        <v/>
      </c>
      <c r="Y1082" s="23" t="str">
        <f aca="false">IF(AND(ISNUMBER(C1082),ISNUMBER(D1082)),D1082-C1082,"")</f>
        <v/>
      </c>
      <c r="Z1082" s="23" t="str">
        <f aca="false">IF(B1082="","",IF(MATCH(B1082,$B$2:$B$12000,0)=ROW()-1,1,0))</f>
        <v/>
      </c>
    </row>
    <row r="1083" customFormat="false" ht="15" hidden="false" customHeight="false" outlineLevel="0" collapsed="false">
      <c r="V1083" s="23" t="str">
        <f aca="false">IF(ISNUMBER(C1083),YEAR(C1083),"")</f>
        <v/>
      </c>
      <c r="W1083" s="23" t="str">
        <f aca="false">IF(ISNUMBER(C1083),MONTH(C1083),"")</f>
        <v/>
      </c>
      <c r="X1083" s="23" t="str">
        <f aca="false">IF(T1083="","",IF(T1083=0,"No discount",IF(T1083&lt;=0.2,"Low (1-20%)",IF(T1083&lt;=0.4,"Medium (21-40%)","High (&gt;40%)"))))</f>
        <v/>
      </c>
      <c r="Y1083" s="23" t="str">
        <f aca="false">IF(AND(ISNUMBER(C1083),ISNUMBER(D1083)),D1083-C1083,"")</f>
        <v/>
      </c>
      <c r="Z1083" s="23" t="str">
        <f aca="false">IF(B1083="","",IF(MATCH(B1083,$B$2:$B$12000,0)=ROW()-1,1,0))</f>
        <v/>
      </c>
    </row>
    <row r="1084" customFormat="false" ht="15" hidden="false" customHeight="false" outlineLevel="0" collapsed="false">
      <c r="V1084" s="23" t="str">
        <f aca="false">IF(ISNUMBER(C1084),YEAR(C1084),"")</f>
        <v/>
      </c>
      <c r="W1084" s="23" t="str">
        <f aca="false">IF(ISNUMBER(C1084),MONTH(C1084),"")</f>
        <v/>
      </c>
      <c r="X1084" s="23" t="str">
        <f aca="false">IF(T1084="","",IF(T1084=0,"No discount",IF(T1084&lt;=0.2,"Low (1-20%)",IF(T1084&lt;=0.4,"Medium (21-40%)","High (&gt;40%)"))))</f>
        <v/>
      </c>
      <c r="Y1084" s="23" t="str">
        <f aca="false">IF(AND(ISNUMBER(C1084),ISNUMBER(D1084)),D1084-C1084,"")</f>
        <v/>
      </c>
      <c r="Z1084" s="23" t="str">
        <f aca="false">IF(B1084="","",IF(MATCH(B1084,$B$2:$B$12000,0)=ROW()-1,1,0))</f>
        <v/>
      </c>
    </row>
    <row r="1085" customFormat="false" ht="15" hidden="false" customHeight="false" outlineLevel="0" collapsed="false">
      <c r="V1085" s="23" t="str">
        <f aca="false">IF(ISNUMBER(C1085),YEAR(C1085),"")</f>
        <v/>
      </c>
      <c r="W1085" s="23" t="str">
        <f aca="false">IF(ISNUMBER(C1085),MONTH(C1085),"")</f>
        <v/>
      </c>
      <c r="X1085" s="23" t="str">
        <f aca="false">IF(T1085="","",IF(T1085=0,"No discount",IF(T1085&lt;=0.2,"Low (1-20%)",IF(T1085&lt;=0.4,"Medium (21-40%)","High (&gt;40%)"))))</f>
        <v/>
      </c>
      <c r="Y1085" s="23" t="str">
        <f aca="false">IF(AND(ISNUMBER(C1085),ISNUMBER(D1085)),D1085-C1085,"")</f>
        <v/>
      </c>
      <c r="Z1085" s="23" t="str">
        <f aca="false">IF(B1085="","",IF(MATCH(B1085,$B$2:$B$12000,0)=ROW()-1,1,0))</f>
        <v/>
      </c>
    </row>
    <row r="1086" customFormat="false" ht="15" hidden="false" customHeight="false" outlineLevel="0" collapsed="false">
      <c r="V1086" s="23" t="str">
        <f aca="false">IF(ISNUMBER(C1086),YEAR(C1086),"")</f>
        <v/>
      </c>
      <c r="W1086" s="23" t="str">
        <f aca="false">IF(ISNUMBER(C1086),MONTH(C1086),"")</f>
        <v/>
      </c>
      <c r="X1086" s="23" t="str">
        <f aca="false">IF(T1086="","",IF(T1086=0,"No discount",IF(T1086&lt;=0.2,"Low (1-20%)",IF(T1086&lt;=0.4,"Medium (21-40%)","High (&gt;40%)"))))</f>
        <v/>
      </c>
      <c r="Y1086" s="23" t="str">
        <f aca="false">IF(AND(ISNUMBER(C1086),ISNUMBER(D1086)),D1086-C1086,"")</f>
        <v/>
      </c>
      <c r="Z1086" s="23" t="str">
        <f aca="false">IF(B1086="","",IF(MATCH(B1086,$B$2:$B$12000,0)=ROW()-1,1,0))</f>
        <v/>
      </c>
    </row>
    <row r="1087" customFormat="false" ht="15" hidden="false" customHeight="false" outlineLevel="0" collapsed="false">
      <c r="V1087" s="23" t="str">
        <f aca="false">IF(ISNUMBER(C1087),YEAR(C1087),"")</f>
        <v/>
      </c>
      <c r="W1087" s="23" t="str">
        <f aca="false">IF(ISNUMBER(C1087),MONTH(C1087),"")</f>
        <v/>
      </c>
      <c r="X1087" s="23" t="str">
        <f aca="false">IF(T1087="","",IF(T1087=0,"No discount",IF(T1087&lt;=0.2,"Low (1-20%)",IF(T1087&lt;=0.4,"Medium (21-40%)","High (&gt;40%)"))))</f>
        <v/>
      </c>
      <c r="Y1087" s="23" t="str">
        <f aca="false">IF(AND(ISNUMBER(C1087),ISNUMBER(D1087)),D1087-C1087,"")</f>
        <v/>
      </c>
      <c r="Z1087" s="23" t="str">
        <f aca="false">IF(B1087="","",IF(MATCH(B1087,$B$2:$B$12000,0)=ROW()-1,1,0))</f>
        <v/>
      </c>
    </row>
    <row r="1088" customFormat="false" ht="15" hidden="false" customHeight="false" outlineLevel="0" collapsed="false">
      <c r="V1088" s="23" t="str">
        <f aca="false">IF(ISNUMBER(C1088),YEAR(C1088),"")</f>
        <v/>
      </c>
      <c r="W1088" s="23" t="str">
        <f aca="false">IF(ISNUMBER(C1088),MONTH(C1088),"")</f>
        <v/>
      </c>
      <c r="X1088" s="23" t="str">
        <f aca="false">IF(T1088="","",IF(T1088=0,"No discount",IF(T1088&lt;=0.2,"Low (1-20%)",IF(T1088&lt;=0.4,"Medium (21-40%)","High (&gt;40%)"))))</f>
        <v/>
      </c>
      <c r="Y1088" s="23" t="str">
        <f aca="false">IF(AND(ISNUMBER(C1088),ISNUMBER(D1088)),D1088-C1088,"")</f>
        <v/>
      </c>
      <c r="Z1088" s="23" t="str">
        <f aca="false">IF(B1088="","",IF(MATCH(B1088,$B$2:$B$12000,0)=ROW()-1,1,0))</f>
        <v/>
      </c>
    </row>
    <row r="1089" customFormat="false" ht="15" hidden="false" customHeight="false" outlineLevel="0" collapsed="false">
      <c r="V1089" s="23" t="str">
        <f aca="false">IF(ISNUMBER(C1089),YEAR(C1089),"")</f>
        <v/>
      </c>
      <c r="W1089" s="23" t="str">
        <f aca="false">IF(ISNUMBER(C1089),MONTH(C1089),"")</f>
        <v/>
      </c>
      <c r="X1089" s="23" t="str">
        <f aca="false">IF(T1089="","",IF(T1089=0,"No discount",IF(T1089&lt;=0.2,"Low (1-20%)",IF(T1089&lt;=0.4,"Medium (21-40%)","High (&gt;40%)"))))</f>
        <v/>
      </c>
      <c r="Y1089" s="23" t="str">
        <f aca="false">IF(AND(ISNUMBER(C1089),ISNUMBER(D1089)),D1089-C1089,"")</f>
        <v/>
      </c>
      <c r="Z1089" s="23" t="str">
        <f aca="false">IF(B1089="","",IF(MATCH(B1089,$B$2:$B$12000,0)=ROW()-1,1,0))</f>
        <v/>
      </c>
    </row>
    <row r="1090" customFormat="false" ht="15" hidden="false" customHeight="false" outlineLevel="0" collapsed="false">
      <c r="V1090" s="23" t="str">
        <f aca="false">IF(ISNUMBER(C1090),YEAR(C1090),"")</f>
        <v/>
      </c>
      <c r="W1090" s="23" t="str">
        <f aca="false">IF(ISNUMBER(C1090),MONTH(C1090),"")</f>
        <v/>
      </c>
      <c r="X1090" s="23" t="str">
        <f aca="false">IF(T1090="","",IF(T1090=0,"No discount",IF(T1090&lt;=0.2,"Low (1-20%)",IF(T1090&lt;=0.4,"Medium (21-40%)","High (&gt;40%)"))))</f>
        <v/>
      </c>
      <c r="Y1090" s="23" t="str">
        <f aca="false">IF(AND(ISNUMBER(C1090),ISNUMBER(D1090)),D1090-C1090,"")</f>
        <v/>
      </c>
      <c r="Z1090" s="23" t="str">
        <f aca="false">IF(B1090="","",IF(MATCH(B1090,$B$2:$B$12000,0)=ROW()-1,1,0))</f>
        <v/>
      </c>
    </row>
    <row r="1091" customFormat="false" ht="15" hidden="false" customHeight="false" outlineLevel="0" collapsed="false">
      <c r="V1091" s="23" t="str">
        <f aca="false">IF(ISNUMBER(C1091),YEAR(C1091),"")</f>
        <v/>
      </c>
      <c r="W1091" s="23" t="str">
        <f aca="false">IF(ISNUMBER(C1091),MONTH(C1091),"")</f>
        <v/>
      </c>
      <c r="X1091" s="23" t="str">
        <f aca="false">IF(T1091="","",IF(T1091=0,"No discount",IF(T1091&lt;=0.2,"Low (1-20%)",IF(T1091&lt;=0.4,"Medium (21-40%)","High (&gt;40%)"))))</f>
        <v/>
      </c>
      <c r="Y1091" s="23" t="str">
        <f aca="false">IF(AND(ISNUMBER(C1091),ISNUMBER(D1091)),D1091-C1091,"")</f>
        <v/>
      </c>
      <c r="Z1091" s="23" t="str">
        <f aca="false">IF(B1091="","",IF(MATCH(B1091,$B$2:$B$12000,0)=ROW()-1,1,0))</f>
        <v/>
      </c>
    </row>
    <row r="1092" customFormat="false" ht="15" hidden="false" customHeight="false" outlineLevel="0" collapsed="false">
      <c r="V1092" s="23" t="str">
        <f aca="false">IF(ISNUMBER(C1092),YEAR(C1092),"")</f>
        <v/>
      </c>
      <c r="W1092" s="23" t="str">
        <f aca="false">IF(ISNUMBER(C1092),MONTH(C1092),"")</f>
        <v/>
      </c>
      <c r="X1092" s="23" t="str">
        <f aca="false">IF(T1092="","",IF(T1092=0,"No discount",IF(T1092&lt;=0.2,"Low (1-20%)",IF(T1092&lt;=0.4,"Medium (21-40%)","High (&gt;40%)"))))</f>
        <v/>
      </c>
      <c r="Y1092" s="23" t="str">
        <f aca="false">IF(AND(ISNUMBER(C1092),ISNUMBER(D1092)),D1092-C1092,"")</f>
        <v/>
      </c>
      <c r="Z1092" s="23" t="str">
        <f aca="false">IF(B1092="","",IF(MATCH(B1092,$B$2:$B$12000,0)=ROW()-1,1,0))</f>
        <v/>
      </c>
    </row>
    <row r="1093" customFormat="false" ht="15" hidden="false" customHeight="false" outlineLevel="0" collapsed="false">
      <c r="V1093" s="23" t="str">
        <f aca="false">IF(ISNUMBER(C1093),YEAR(C1093),"")</f>
        <v/>
      </c>
      <c r="W1093" s="23" t="str">
        <f aca="false">IF(ISNUMBER(C1093),MONTH(C1093),"")</f>
        <v/>
      </c>
      <c r="X1093" s="23" t="str">
        <f aca="false">IF(T1093="","",IF(T1093=0,"No discount",IF(T1093&lt;=0.2,"Low (1-20%)",IF(T1093&lt;=0.4,"Medium (21-40%)","High (&gt;40%)"))))</f>
        <v/>
      </c>
      <c r="Y1093" s="23" t="str">
        <f aca="false">IF(AND(ISNUMBER(C1093),ISNUMBER(D1093)),D1093-C1093,"")</f>
        <v/>
      </c>
      <c r="Z1093" s="23" t="str">
        <f aca="false">IF(B1093="","",IF(MATCH(B1093,$B$2:$B$12000,0)=ROW()-1,1,0))</f>
        <v/>
      </c>
    </row>
    <row r="1094" customFormat="false" ht="15" hidden="false" customHeight="false" outlineLevel="0" collapsed="false">
      <c r="V1094" s="23" t="str">
        <f aca="false">IF(ISNUMBER(C1094),YEAR(C1094),"")</f>
        <v/>
      </c>
      <c r="W1094" s="23" t="str">
        <f aca="false">IF(ISNUMBER(C1094),MONTH(C1094),"")</f>
        <v/>
      </c>
      <c r="X1094" s="23" t="str">
        <f aca="false">IF(T1094="","",IF(T1094=0,"No discount",IF(T1094&lt;=0.2,"Low (1-20%)",IF(T1094&lt;=0.4,"Medium (21-40%)","High (&gt;40%)"))))</f>
        <v/>
      </c>
      <c r="Y1094" s="23" t="str">
        <f aca="false">IF(AND(ISNUMBER(C1094),ISNUMBER(D1094)),D1094-C1094,"")</f>
        <v/>
      </c>
      <c r="Z1094" s="23" t="str">
        <f aca="false">IF(B1094="","",IF(MATCH(B1094,$B$2:$B$12000,0)=ROW()-1,1,0))</f>
        <v/>
      </c>
    </row>
    <row r="1095" customFormat="false" ht="15" hidden="false" customHeight="false" outlineLevel="0" collapsed="false">
      <c r="V1095" s="23" t="str">
        <f aca="false">IF(ISNUMBER(C1095),YEAR(C1095),"")</f>
        <v/>
      </c>
      <c r="W1095" s="23" t="str">
        <f aca="false">IF(ISNUMBER(C1095),MONTH(C1095),"")</f>
        <v/>
      </c>
      <c r="X1095" s="23" t="str">
        <f aca="false">IF(T1095="","",IF(T1095=0,"No discount",IF(T1095&lt;=0.2,"Low (1-20%)",IF(T1095&lt;=0.4,"Medium (21-40%)","High (&gt;40%)"))))</f>
        <v/>
      </c>
      <c r="Y1095" s="23" t="str">
        <f aca="false">IF(AND(ISNUMBER(C1095),ISNUMBER(D1095)),D1095-C1095,"")</f>
        <v/>
      </c>
      <c r="Z1095" s="23" t="str">
        <f aca="false">IF(B1095="","",IF(MATCH(B1095,$B$2:$B$12000,0)=ROW()-1,1,0))</f>
        <v/>
      </c>
    </row>
    <row r="1096" customFormat="false" ht="15" hidden="false" customHeight="false" outlineLevel="0" collapsed="false">
      <c r="V1096" s="23" t="str">
        <f aca="false">IF(ISNUMBER(C1096),YEAR(C1096),"")</f>
        <v/>
      </c>
      <c r="W1096" s="23" t="str">
        <f aca="false">IF(ISNUMBER(C1096),MONTH(C1096),"")</f>
        <v/>
      </c>
      <c r="X1096" s="23" t="str">
        <f aca="false">IF(T1096="","",IF(T1096=0,"No discount",IF(T1096&lt;=0.2,"Low (1-20%)",IF(T1096&lt;=0.4,"Medium (21-40%)","High (&gt;40%)"))))</f>
        <v/>
      </c>
      <c r="Y1096" s="23" t="str">
        <f aca="false">IF(AND(ISNUMBER(C1096),ISNUMBER(D1096)),D1096-C1096,"")</f>
        <v/>
      </c>
      <c r="Z1096" s="23" t="str">
        <f aca="false">IF(B1096="","",IF(MATCH(B1096,$B$2:$B$12000,0)=ROW()-1,1,0))</f>
        <v/>
      </c>
    </row>
    <row r="1097" customFormat="false" ht="15" hidden="false" customHeight="false" outlineLevel="0" collapsed="false">
      <c r="V1097" s="23" t="str">
        <f aca="false">IF(ISNUMBER(C1097),YEAR(C1097),"")</f>
        <v/>
      </c>
      <c r="W1097" s="23" t="str">
        <f aca="false">IF(ISNUMBER(C1097),MONTH(C1097),"")</f>
        <v/>
      </c>
      <c r="X1097" s="23" t="str">
        <f aca="false">IF(T1097="","",IF(T1097=0,"No discount",IF(T1097&lt;=0.2,"Low (1-20%)",IF(T1097&lt;=0.4,"Medium (21-40%)","High (&gt;40%)"))))</f>
        <v/>
      </c>
      <c r="Y1097" s="23" t="str">
        <f aca="false">IF(AND(ISNUMBER(C1097),ISNUMBER(D1097)),D1097-C1097,"")</f>
        <v/>
      </c>
      <c r="Z1097" s="23" t="str">
        <f aca="false">IF(B1097="","",IF(MATCH(B1097,$B$2:$B$12000,0)=ROW()-1,1,0))</f>
        <v/>
      </c>
    </row>
    <row r="1098" customFormat="false" ht="15" hidden="false" customHeight="false" outlineLevel="0" collapsed="false">
      <c r="V1098" s="23" t="str">
        <f aca="false">IF(ISNUMBER(C1098),YEAR(C1098),"")</f>
        <v/>
      </c>
      <c r="W1098" s="23" t="str">
        <f aca="false">IF(ISNUMBER(C1098),MONTH(C1098),"")</f>
        <v/>
      </c>
      <c r="X1098" s="23" t="str">
        <f aca="false">IF(T1098="","",IF(T1098=0,"No discount",IF(T1098&lt;=0.2,"Low (1-20%)",IF(T1098&lt;=0.4,"Medium (21-40%)","High (&gt;40%)"))))</f>
        <v/>
      </c>
      <c r="Y1098" s="23" t="str">
        <f aca="false">IF(AND(ISNUMBER(C1098),ISNUMBER(D1098)),D1098-C1098,"")</f>
        <v/>
      </c>
      <c r="Z1098" s="23" t="str">
        <f aca="false">IF(B1098="","",IF(MATCH(B1098,$B$2:$B$12000,0)=ROW()-1,1,0))</f>
        <v/>
      </c>
    </row>
    <row r="1099" customFormat="false" ht="15" hidden="false" customHeight="false" outlineLevel="0" collapsed="false">
      <c r="V1099" s="23" t="str">
        <f aca="false">IF(ISNUMBER(C1099),YEAR(C1099),"")</f>
        <v/>
      </c>
      <c r="W1099" s="23" t="str">
        <f aca="false">IF(ISNUMBER(C1099),MONTH(C1099),"")</f>
        <v/>
      </c>
      <c r="X1099" s="23" t="str">
        <f aca="false">IF(T1099="","",IF(T1099=0,"No discount",IF(T1099&lt;=0.2,"Low (1-20%)",IF(T1099&lt;=0.4,"Medium (21-40%)","High (&gt;40%)"))))</f>
        <v/>
      </c>
      <c r="Y1099" s="23" t="str">
        <f aca="false">IF(AND(ISNUMBER(C1099),ISNUMBER(D1099)),D1099-C1099,"")</f>
        <v/>
      </c>
      <c r="Z1099" s="23" t="str">
        <f aca="false">IF(B1099="","",IF(MATCH(B1099,$B$2:$B$12000,0)=ROW()-1,1,0))</f>
        <v/>
      </c>
    </row>
    <row r="1100" customFormat="false" ht="15" hidden="false" customHeight="false" outlineLevel="0" collapsed="false">
      <c r="V1100" s="23" t="str">
        <f aca="false">IF(ISNUMBER(C1100),YEAR(C1100),"")</f>
        <v/>
      </c>
      <c r="W1100" s="23" t="str">
        <f aca="false">IF(ISNUMBER(C1100),MONTH(C1100),"")</f>
        <v/>
      </c>
      <c r="X1100" s="23" t="str">
        <f aca="false">IF(T1100="","",IF(T1100=0,"No discount",IF(T1100&lt;=0.2,"Low (1-20%)",IF(T1100&lt;=0.4,"Medium (21-40%)","High (&gt;40%)"))))</f>
        <v/>
      </c>
      <c r="Y1100" s="23" t="str">
        <f aca="false">IF(AND(ISNUMBER(C1100),ISNUMBER(D1100)),D1100-C1100,"")</f>
        <v/>
      </c>
      <c r="Z1100" s="23" t="str">
        <f aca="false">IF(B1100="","",IF(MATCH(B1100,$B$2:$B$12000,0)=ROW()-1,1,0))</f>
        <v/>
      </c>
    </row>
    <row r="1101" customFormat="false" ht="15" hidden="false" customHeight="false" outlineLevel="0" collapsed="false">
      <c r="V1101" s="23" t="str">
        <f aca="false">IF(ISNUMBER(C1101),YEAR(C1101),"")</f>
        <v/>
      </c>
      <c r="W1101" s="23" t="str">
        <f aca="false">IF(ISNUMBER(C1101),MONTH(C1101),"")</f>
        <v/>
      </c>
      <c r="X1101" s="23" t="str">
        <f aca="false">IF(T1101="","",IF(T1101=0,"No discount",IF(T1101&lt;=0.2,"Low (1-20%)",IF(T1101&lt;=0.4,"Medium (21-40%)","High (&gt;40%)"))))</f>
        <v/>
      </c>
      <c r="Y1101" s="23" t="str">
        <f aca="false">IF(AND(ISNUMBER(C1101),ISNUMBER(D1101)),D1101-C1101,"")</f>
        <v/>
      </c>
      <c r="Z1101" s="23" t="str">
        <f aca="false">IF(B1101="","",IF(MATCH(B1101,$B$2:$B$12000,0)=ROW()-1,1,0))</f>
        <v/>
      </c>
    </row>
    <row r="1102" customFormat="false" ht="15" hidden="false" customHeight="false" outlineLevel="0" collapsed="false">
      <c r="V1102" s="23" t="str">
        <f aca="false">IF(ISNUMBER(C1102),YEAR(C1102),"")</f>
        <v/>
      </c>
      <c r="W1102" s="23" t="str">
        <f aca="false">IF(ISNUMBER(C1102),MONTH(C1102),"")</f>
        <v/>
      </c>
      <c r="X1102" s="23" t="str">
        <f aca="false">IF(T1102="","",IF(T1102=0,"No discount",IF(T1102&lt;=0.2,"Low (1-20%)",IF(T1102&lt;=0.4,"Medium (21-40%)","High (&gt;40%)"))))</f>
        <v/>
      </c>
      <c r="Y1102" s="23" t="str">
        <f aca="false">IF(AND(ISNUMBER(C1102),ISNUMBER(D1102)),D1102-C1102,"")</f>
        <v/>
      </c>
      <c r="Z1102" s="23" t="str">
        <f aca="false">IF(B1102="","",IF(MATCH(B1102,$B$2:$B$12000,0)=ROW()-1,1,0))</f>
        <v/>
      </c>
    </row>
    <row r="1103" customFormat="false" ht="15" hidden="false" customHeight="false" outlineLevel="0" collapsed="false">
      <c r="V1103" s="23" t="str">
        <f aca="false">IF(ISNUMBER(C1103),YEAR(C1103),"")</f>
        <v/>
      </c>
      <c r="W1103" s="23" t="str">
        <f aca="false">IF(ISNUMBER(C1103),MONTH(C1103),"")</f>
        <v/>
      </c>
      <c r="X1103" s="23" t="str">
        <f aca="false">IF(T1103="","",IF(T1103=0,"No discount",IF(T1103&lt;=0.2,"Low (1-20%)",IF(T1103&lt;=0.4,"Medium (21-40%)","High (&gt;40%)"))))</f>
        <v/>
      </c>
      <c r="Y1103" s="23" t="str">
        <f aca="false">IF(AND(ISNUMBER(C1103),ISNUMBER(D1103)),D1103-C1103,"")</f>
        <v/>
      </c>
      <c r="Z1103" s="23" t="str">
        <f aca="false">IF(B1103="","",IF(MATCH(B1103,$B$2:$B$12000,0)=ROW()-1,1,0))</f>
        <v/>
      </c>
    </row>
    <row r="1104" customFormat="false" ht="15" hidden="false" customHeight="false" outlineLevel="0" collapsed="false">
      <c r="V1104" s="23" t="str">
        <f aca="false">IF(ISNUMBER(C1104),YEAR(C1104),"")</f>
        <v/>
      </c>
      <c r="W1104" s="23" t="str">
        <f aca="false">IF(ISNUMBER(C1104),MONTH(C1104),"")</f>
        <v/>
      </c>
      <c r="X1104" s="23" t="str">
        <f aca="false">IF(T1104="","",IF(T1104=0,"No discount",IF(T1104&lt;=0.2,"Low (1-20%)",IF(T1104&lt;=0.4,"Medium (21-40%)","High (&gt;40%)"))))</f>
        <v/>
      </c>
      <c r="Y1104" s="23" t="str">
        <f aca="false">IF(AND(ISNUMBER(C1104),ISNUMBER(D1104)),D1104-C1104,"")</f>
        <v/>
      </c>
      <c r="Z1104" s="23" t="str">
        <f aca="false">IF(B1104="","",IF(MATCH(B1104,$B$2:$B$12000,0)=ROW()-1,1,0))</f>
        <v/>
      </c>
    </row>
    <row r="1105" customFormat="false" ht="15" hidden="false" customHeight="false" outlineLevel="0" collapsed="false">
      <c r="V1105" s="23" t="str">
        <f aca="false">IF(ISNUMBER(C1105),YEAR(C1105),"")</f>
        <v/>
      </c>
      <c r="W1105" s="23" t="str">
        <f aca="false">IF(ISNUMBER(C1105),MONTH(C1105),"")</f>
        <v/>
      </c>
      <c r="X1105" s="23" t="str">
        <f aca="false">IF(T1105="","",IF(T1105=0,"No discount",IF(T1105&lt;=0.2,"Low (1-20%)",IF(T1105&lt;=0.4,"Medium (21-40%)","High (&gt;40%)"))))</f>
        <v/>
      </c>
      <c r="Y1105" s="23" t="str">
        <f aca="false">IF(AND(ISNUMBER(C1105),ISNUMBER(D1105)),D1105-C1105,"")</f>
        <v/>
      </c>
      <c r="Z1105" s="23" t="str">
        <f aca="false">IF(B1105="","",IF(MATCH(B1105,$B$2:$B$12000,0)=ROW()-1,1,0))</f>
        <v/>
      </c>
    </row>
    <row r="1106" customFormat="false" ht="15" hidden="false" customHeight="false" outlineLevel="0" collapsed="false">
      <c r="V1106" s="23" t="str">
        <f aca="false">IF(ISNUMBER(C1106),YEAR(C1106),"")</f>
        <v/>
      </c>
      <c r="W1106" s="23" t="str">
        <f aca="false">IF(ISNUMBER(C1106),MONTH(C1106),"")</f>
        <v/>
      </c>
      <c r="X1106" s="23" t="str">
        <f aca="false">IF(T1106="","",IF(T1106=0,"No discount",IF(T1106&lt;=0.2,"Low (1-20%)",IF(T1106&lt;=0.4,"Medium (21-40%)","High (&gt;40%)"))))</f>
        <v/>
      </c>
      <c r="Y1106" s="23" t="str">
        <f aca="false">IF(AND(ISNUMBER(C1106),ISNUMBER(D1106)),D1106-C1106,"")</f>
        <v/>
      </c>
      <c r="Z1106" s="23" t="str">
        <f aca="false">IF(B1106="","",IF(MATCH(B1106,$B$2:$B$12000,0)=ROW()-1,1,0))</f>
        <v/>
      </c>
    </row>
    <row r="1107" customFormat="false" ht="15" hidden="false" customHeight="false" outlineLevel="0" collapsed="false">
      <c r="V1107" s="23" t="str">
        <f aca="false">IF(ISNUMBER(C1107),YEAR(C1107),"")</f>
        <v/>
      </c>
      <c r="W1107" s="23" t="str">
        <f aca="false">IF(ISNUMBER(C1107),MONTH(C1107),"")</f>
        <v/>
      </c>
      <c r="X1107" s="23" t="str">
        <f aca="false">IF(T1107="","",IF(T1107=0,"No discount",IF(T1107&lt;=0.2,"Low (1-20%)",IF(T1107&lt;=0.4,"Medium (21-40%)","High (&gt;40%)"))))</f>
        <v/>
      </c>
      <c r="Y1107" s="23" t="str">
        <f aca="false">IF(AND(ISNUMBER(C1107),ISNUMBER(D1107)),D1107-C1107,"")</f>
        <v/>
      </c>
      <c r="Z1107" s="23" t="str">
        <f aca="false">IF(B1107="","",IF(MATCH(B1107,$B$2:$B$12000,0)=ROW()-1,1,0))</f>
        <v/>
      </c>
    </row>
    <row r="1108" customFormat="false" ht="15" hidden="false" customHeight="false" outlineLevel="0" collapsed="false">
      <c r="V1108" s="23" t="str">
        <f aca="false">IF(ISNUMBER(C1108),YEAR(C1108),"")</f>
        <v/>
      </c>
      <c r="W1108" s="23" t="str">
        <f aca="false">IF(ISNUMBER(C1108),MONTH(C1108),"")</f>
        <v/>
      </c>
      <c r="X1108" s="23" t="str">
        <f aca="false">IF(T1108="","",IF(T1108=0,"No discount",IF(T1108&lt;=0.2,"Low (1-20%)",IF(T1108&lt;=0.4,"Medium (21-40%)","High (&gt;40%)"))))</f>
        <v/>
      </c>
      <c r="Y1108" s="23" t="str">
        <f aca="false">IF(AND(ISNUMBER(C1108),ISNUMBER(D1108)),D1108-C1108,"")</f>
        <v/>
      </c>
      <c r="Z1108" s="23" t="str">
        <f aca="false">IF(B1108="","",IF(MATCH(B1108,$B$2:$B$12000,0)=ROW()-1,1,0))</f>
        <v/>
      </c>
    </row>
    <row r="1109" customFormat="false" ht="15" hidden="false" customHeight="false" outlineLevel="0" collapsed="false">
      <c r="V1109" s="23" t="str">
        <f aca="false">IF(ISNUMBER(C1109),YEAR(C1109),"")</f>
        <v/>
      </c>
      <c r="W1109" s="23" t="str">
        <f aca="false">IF(ISNUMBER(C1109),MONTH(C1109),"")</f>
        <v/>
      </c>
      <c r="X1109" s="23" t="str">
        <f aca="false">IF(T1109="","",IF(T1109=0,"No discount",IF(T1109&lt;=0.2,"Low (1-20%)",IF(T1109&lt;=0.4,"Medium (21-40%)","High (&gt;40%)"))))</f>
        <v/>
      </c>
      <c r="Y1109" s="23" t="str">
        <f aca="false">IF(AND(ISNUMBER(C1109),ISNUMBER(D1109)),D1109-C1109,"")</f>
        <v/>
      </c>
      <c r="Z1109" s="23" t="str">
        <f aca="false">IF(B1109="","",IF(MATCH(B1109,$B$2:$B$12000,0)=ROW()-1,1,0))</f>
        <v/>
      </c>
    </row>
    <row r="1110" customFormat="false" ht="15" hidden="false" customHeight="false" outlineLevel="0" collapsed="false">
      <c r="V1110" s="23" t="str">
        <f aca="false">IF(ISNUMBER(C1110),YEAR(C1110),"")</f>
        <v/>
      </c>
      <c r="W1110" s="23" t="str">
        <f aca="false">IF(ISNUMBER(C1110),MONTH(C1110),"")</f>
        <v/>
      </c>
      <c r="X1110" s="23" t="str">
        <f aca="false">IF(T1110="","",IF(T1110=0,"No discount",IF(T1110&lt;=0.2,"Low (1-20%)",IF(T1110&lt;=0.4,"Medium (21-40%)","High (&gt;40%)"))))</f>
        <v/>
      </c>
      <c r="Y1110" s="23" t="str">
        <f aca="false">IF(AND(ISNUMBER(C1110),ISNUMBER(D1110)),D1110-C1110,"")</f>
        <v/>
      </c>
      <c r="Z1110" s="23" t="str">
        <f aca="false">IF(B1110="","",IF(MATCH(B1110,$B$2:$B$12000,0)=ROW()-1,1,0))</f>
        <v/>
      </c>
    </row>
    <row r="1111" customFormat="false" ht="15" hidden="false" customHeight="false" outlineLevel="0" collapsed="false">
      <c r="V1111" s="23" t="str">
        <f aca="false">IF(ISNUMBER(C1111),YEAR(C1111),"")</f>
        <v/>
      </c>
      <c r="W1111" s="23" t="str">
        <f aca="false">IF(ISNUMBER(C1111),MONTH(C1111),"")</f>
        <v/>
      </c>
      <c r="X1111" s="23" t="str">
        <f aca="false">IF(T1111="","",IF(T1111=0,"No discount",IF(T1111&lt;=0.2,"Low (1-20%)",IF(T1111&lt;=0.4,"Medium (21-40%)","High (&gt;40%)"))))</f>
        <v/>
      </c>
      <c r="Y1111" s="23" t="str">
        <f aca="false">IF(AND(ISNUMBER(C1111),ISNUMBER(D1111)),D1111-C1111,"")</f>
        <v/>
      </c>
      <c r="Z1111" s="23" t="str">
        <f aca="false">IF(B1111="","",IF(MATCH(B1111,$B$2:$B$12000,0)=ROW()-1,1,0))</f>
        <v/>
      </c>
    </row>
    <row r="1112" customFormat="false" ht="15" hidden="false" customHeight="false" outlineLevel="0" collapsed="false">
      <c r="V1112" s="23" t="str">
        <f aca="false">IF(ISNUMBER(C1112),YEAR(C1112),"")</f>
        <v/>
      </c>
      <c r="W1112" s="23" t="str">
        <f aca="false">IF(ISNUMBER(C1112),MONTH(C1112),"")</f>
        <v/>
      </c>
      <c r="X1112" s="23" t="str">
        <f aca="false">IF(T1112="","",IF(T1112=0,"No discount",IF(T1112&lt;=0.2,"Low (1-20%)",IF(T1112&lt;=0.4,"Medium (21-40%)","High (&gt;40%)"))))</f>
        <v/>
      </c>
      <c r="Y1112" s="23" t="str">
        <f aca="false">IF(AND(ISNUMBER(C1112),ISNUMBER(D1112)),D1112-C1112,"")</f>
        <v/>
      </c>
      <c r="Z1112" s="23" t="str">
        <f aca="false">IF(B1112="","",IF(MATCH(B1112,$B$2:$B$12000,0)=ROW()-1,1,0))</f>
        <v/>
      </c>
    </row>
    <row r="1113" customFormat="false" ht="15" hidden="false" customHeight="false" outlineLevel="0" collapsed="false">
      <c r="V1113" s="23" t="str">
        <f aca="false">IF(ISNUMBER(C1113),YEAR(C1113),"")</f>
        <v/>
      </c>
      <c r="W1113" s="23" t="str">
        <f aca="false">IF(ISNUMBER(C1113),MONTH(C1113),"")</f>
        <v/>
      </c>
      <c r="X1113" s="23" t="str">
        <f aca="false">IF(T1113="","",IF(T1113=0,"No discount",IF(T1113&lt;=0.2,"Low (1-20%)",IF(T1113&lt;=0.4,"Medium (21-40%)","High (&gt;40%)"))))</f>
        <v/>
      </c>
      <c r="Y1113" s="23" t="str">
        <f aca="false">IF(AND(ISNUMBER(C1113),ISNUMBER(D1113)),D1113-C1113,"")</f>
        <v/>
      </c>
      <c r="Z1113" s="23" t="str">
        <f aca="false">IF(B1113="","",IF(MATCH(B1113,$B$2:$B$12000,0)=ROW()-1,1,0))</f>
        <v/>
      </c>
    </row>
    <row r="1114" customFormat="false" ht="15" hidden="false" customHeight="false" outlineLevel="0" collapsed="false">
      <c r="V1114" s="23" t="str">
        <f aca="false">IF(ISNUMBER(C1114),YEAR(C1114),"")</f>
        <v/>
      </c>
      <c r="W1114" s="23" t="str">
        <f aca="false">IF(ISNUMBER(C1114),MONTH(C1114),"")</f>
        <v/>
      </c>
      <c r="X1114" s="23" t="str">
        <f aca="false">IF(T1114="","",IF(T1114=0,"No discount",IF(T1114&lt;=0.2,"Low (1-20%)",IF(T1114&lt;=0.4,"Medium (21-40%)","High (&gt;40%)"))))</f>
        <v/>
      </c>
      <c r="Y1114" s="23" t="str">
        <f aca="false">IF(AND(ISNUMBER(C1114),ISNUMBER(D1114)),D1114-C1114,"")</f>
        <v/>
      </c>
      <c r="Z1114" s="23" t="str">
        <f aca="false">IF(B1114="","",IF(MATCH(B1114,$B$2:$B$12000,0)=ROW()-1,1,0))</f>
        <v/>
      </c>
    </row>
    <row r="1115" customFormat="false" ht="15" hidden="false" customHeight="false" outlineLevel="0" collapsed="false">
      <c r="V1115" s="23" t="str">
        <f aca="false">IF(ISNUMBER(C1115),YEAR(C1115),"")</f>
        <v/>
      </c>
      <c r="W1115" s="23" t="str">
        <f aca="false">IF(ISNUMBER(C1115),MONTH(C1115),"")</f>
        <v/>
      </c>
      <c r="X1115" s="23" t="str">
        <f aca="false">IF(T1115="","",IF(T1115=0,"No discount",IF(T1115&lt;=0.2,"Low (1-20%)",IF(T1115&lt;=0.4,"Medium (21-40%)","High (&gt;40%)"))))</f>
        <v/>
      </c>
      <c r="Y1115" s="23" t="str">
        <f aca="false">IF(AND(ISNUMBER(C1115),ISNUMBER(D1115)),D1115-C1115,"")</f>
        <v/>
      </c>
      <c r="Z1115" s="23" t="str">
        <f aca="false">IF(B1115="","",IF(MATCH(B1115,$B$2:$B$12000,0)=ROW()-1,1,0))</f>
        <v/>
      </c>
    </row>
    <row r="1116" customFormat="false" ht="15" hidden="false" customHeight="false" outlineLevel="0" collapsed="false">
      <c r="V1116" s="23" t="str">
        <f aca="false">IF(ISNUMBER(C1116),YEAR(C1116),"")</f>
        <v/>
      </c>
      <c r="W1116" s="23" t="str">
        <f aca="false">IF(ISNUMBER(C1116),MONTH(C1116),"")</f>
        <v/>
      </c>
      <c r="X1116" s="23" t="str">
        <f aca="false">IF(T1116="","",IF(T1116=0,"No discount",IF(T1116&lt;=0.2,"Low (1-20%)",IF(T1116&lt;=0.4,"Medium (21-40%)","High (&gt;40%)"))))</f>
        <v/>
      </c>
      <c r="Y1116" s="23" t="str">
        <f aca="false">IF(AND(ISNUMBER(C1116),ISNUMBER(D1116)),D1116-C1116,"")</f>
        <v/>
      </c>
      <c r="Z1116" s="23" t="str">
        <f aca="false">IF(B1116="","",IF(MATCH(B1116,$B$2:$B$12000,0)=ROW()-1,1,0))</f>
        <v/>
      </c>
    </row>
    <row r="1117" customFormat="false" ht="15" hidden="false" customHeight="false" outlineLevel="0" collapsed="false">
      <c r="V1117" s="23" t="str">
        <f aca="false">IF(ISNUMBER(C1117),YEAR(C1117),"")</f>
        <v/>
      </c>
      <c r="W1117" s="23" t="str">
        <f aca="false">IF(ISNUMBER(C1117),MONTH(C1117),"")</f>
        <v/>
      </c>
      <c r="X1117" s="23" t="str">
        <f aca="false">IF(T1117="","",IF(T1117=0,"No discount",IF(T1117&lt;=0.2,"Low (1-20%)",IF(T1117&lt;=0.4,"Medium (21-40%)","High (&gt;40%)"))))</f>
        <v/>
      </c>
      <c r="Y1117" s="23" t="str">
        <f aca="false">IF(AND(ISNUMBER(C1117),ISNUMBER(D1117)),D1117-C1117,"")</f>
        <v/>
      </c>
      <c r="Z1117" s="23" t="str">
        <f aca="false">IF(B1117="","",IF(MATCH(B1117,$B$2:$B$12000,0)=ROW()-1,1,0))</f>
        <v/>
      </c>
    </row>
    <row r="1118" customFormat="false" ht="15" hidden="false" customHeight="false" outlineLevel="0" collapsed="false">
      <c r="V1118" s="23" t="str">
        <f aca="false">IF(ISNUMBER(C1118),YEAR(C1118),"")</f>
        <v/>
      </c>
      <c r="W1118" s="23" t="str">
        <f aca="false">IF(ISNUMBER(C1118),MONTH(C1118),"")</f>
        <v/>
      </c>
      <c r="X1118" s="23" t="str">
        <f aca="false">IF(T1118="","",IF(T1118=0,"No discount",IF(T1118&lt;=0.2,"Low (1-20%)",IF(T1118&lt;=0.4,"Medium (21-40%)","High (&gt;40%)"))))</f>
        <v/>
      </c>
      <c r="Y1118" s="23" t="str">
        <f aca="false">IF(AND(ISNUMBER(C1118),ISNUMBER(D1118)),D1118-C1118,"")</f>
        <v/>
      </c>
      <c r="Z1118" s="23" t="str">
        <f aca="false">IF(B1118="","",IF(MATCH(B1118,$B$2:$B$12000,0)=ROW()-1,1,0))</f>
        <v/>
      </c>
    </row>
    <row r="1119" customFormat="false" ht="15" hidden="false" customHeight="false" outlineLevel="0" collapsed="false">
      <c r="V1119" s="23" t="str">
        <f aca="false">IF(ISNUMBER(C1119),YEAR(C1119),"")</f>
        <v/>
      </c>
      <c r="W1119" s="23" t="str">
        <f aca="false">IF(ISNUMBER(C1119),MONTH(C1119),"")</f>
        <v/>
      </c>
      <c r="X1119" s="23" t="str">
        <f aca="false">IF(T1119="","",IF(T1119=0,"No discount",IF(T1119&lt;=0.2,"Low (1-20%)",IF(T1119&lt;=0.4,"Medium (21-40%)","High (&gt;40%)"))))</f>
        <v/>
      </c>
      <c r="Y1119" s="23" t="str">
        <f aca="false">IF(AND(ISNUMBER(C1119),ISNUMBER(D1119)),D1119-C1119,"")</f>
        <v/>
      </c>
      <c r="Z1119" s="23" t="str">
        <f aca="false">IF(B1119="","",IF(MATCH(B1119,$B$2:$B$12000,0)=ROW()-1,1,0))</f>
        <v/>
      </c>
    </row>
    <row r="1120" customFormat="false" ht="15" hidden="false" customHeight="false" outlineLevel="0" collapsed="false">
      <c r="V1120" s="23" t="str">
        <f aca="false">IF(ISNUMBER(C1120),YEAR(C1120),"")</f>
        <v/>
      </c>
      <c r="W1120" s="23" t="str">
        <f aca="false">IF(ISNUMBER(C1120),MONTH(C1120),"")</f>
        <v/>
      </c>
      <c r="X1120" s="23" t="str">
        <f aca="false">IF(T1120="","",IF(T1120=0,"No discount",IF(T1120&lt;=0.2,"Low (1-20%)",IF(T1120&lt;=0.4,"Medium (21-40%)","High (&gt;40%)"))))</f>
        <v/>
      </c>
      <c r="Y1120" s="23" t="str">
        <f aca="false">IF(AND(ISNUMBER(C1120),ISNUMBER(D1120)),D1120-C1120,"")</f>
        <v/>
      </c>
      <c r="Z1120" s="23" t="str">
        <f aca="false">IF(B1120="","",IF(MATCH(B1120,$B$2:$B$12000,0)=ROW()-1,1,0))</f>
        <v/>
      </c>
    </row>
    <row r="1121" customFormat="false" ht="15" hidden="false" customHeight="false" outlineLevel="0" collapsed="false">
      <c r="V1121" s="23" t="str">
        <f aca="false">IF(ISNUMBER(C1121),YEAR(C1121),"")</f>
        <v/>
      </c>
      <c r="W1121" s="23" t="str">
        <f aca="false">IF(ISNUMBER(C1121),MONTH(C1121),"")</f>
        <v/>
      </c>
      <c r="X1121" s="23" t="str">
        <f aca="false">IF(T1121="","",IF(T1121=0,"No discount",IF(T1121&lt;=0.2,"Low (1-20%)",IF(T1121&lt;=0.4,"Medium (21-40%)","High (&gt;40%)"))))</f>
        <v/>
      </c>
      <c r="Y1121" s="23" t="str">
        <f aca="false">IF(AND(ISNUMBER(C1121),ISNUMBER(D1121)),D1121-C1121,"")</f>
        <v/>
      </c>
      <c r="Z1121" s="23" t="str">
        <f aca="false">IF(B1121="","",IF(MATCH(B1121,$B$2:$B$12000,0)=ROW()-1,1,0))</f>
        <v/>
      </c>
    </row>
    <row r="1122" customFormat="false" ht="15" hidden="false" customHeight="false" outlineLevel="0" collapsed="false">
      <c r="V1122" s="23" t="str">
        <f aca="false">IF(ISNUMBER(C1122),YEAR(C1122),"")</f>
        <v/>
      </c>
      <c r="W1122" s="23" t="str">
        <f aca="false">IF(ISNUMBER(C1122),MONTH(C1122),"")</f>
        <v/>
      </c>
      <c r="X1122" s="23" t="str">
        <f aca="false">IF(T1122="","",IF(T1122=0,"No discount",IF(T1122&lt;=0.2,"Low (1-20%)",IF(T1122&lt;=0.4,"Medium (21-40%)","High (&gt;40%)"))))</f>
        <v/>
      </c>
      <c r="Y1122" s="23" t="str">
        <f aca="false">IF(AND(ISNUMBER(C1122),ISNUMBER(D1122)),D1122-C1122,"")</f>
        <v/>
      </c>
      <c r="Z1122" s="23" t="str">
        <f aca="false">IF(B1122="","",IF(MATCH(B1122,$B$2:$B$12000,0)=ROW()-1,1,0))</f>
        <v/>
      </c>
    </row>
    <row r="1123" customFormat="false" ht="15" hidden="false" customHeight="false" outlineLevel="0" collapsed="false">
      <c r="V1123" s="23" t="str">
        <f aca="false">IF(ISNUMBER(C1123),YEAR(C1123),"")</f>
        <v/>
      </c>
      <c r="W1123" s="23" t="str">
        <f aca="false">IF(ISNUMBER(C1123),MONTH(C1123),"")</f>
        <v/>
      </c>
      <c r="X1123" s="23" t="str">
        <f aca="false">IF(T1123="","",IF(T1123=0,"No discount",IF(T1123&lt;=0.2,"Low (1-20%)",IF(T1123&lt;=0.4,"Medium (21-40%)","High (&gt;40%)"))))</f>
        <v/>
      </c>
      <c r="Y1123" s="23" t="str">
        <f aca="false">IF(AND(ISNUMBER(C1123),ISNUMBER(D1123)),D1123-C1123,"")</f>
        <v/>
      </c>
      <c r="Z1123" s="23" t="str">
        <f aca="false">IF(B1123="","",IF(MATCH(B1123,$B$2:$B$12000,0)=ROW()-1,1,0))</f>
        <v/>
      </c>
    </row>
    <row r="1124" customFormat="false" ht="15" hidden="false" customHeight="false" outlineLevel="0" collapsed="false">
      <c r="V1124" s="23" t="str">
        <f aca="false">IF(ISNUMBER(C1124),YEAR(C1124),"")</f>
        <v/>
      </c>
      <c r="W1124" s="23" t="str">
        <f aca="false">IF(ISNUMBER(C1124),MONTH(C1124),"")</f>
        <v/>
      </c>
      <c r="X1124" s="23" t="str">
        <f aca="false">IF(T1124="","",IF(T1124=0,"No discount",IF(T1124&lt;=0.2,"Low (1-20%)",IF(T1124&lt;=0.4,"Medium (21-40%)","High (&gt;40%)"))))</f>
        <v/>
      </c>
      <c r="Y1124" s="23" t="str">
        <f aca="false">IF(AND(ISNUMBER(C1124),ISNUMBER(D1124)),D1124-C1124,"")</f>
        <v/>
      </c>
      <c r="Z1124" s="23" t="str">
        <f aca="false">IF(B1124="","",IF(MATCH(B1124,$B$2:$B$12000,0)=ROW()-1,1,0))</f>
        <v/>
      </c>
    </row>
    <row r="1125" customFormat="false" ht="15" hidden="false" customHeight="false" outlineLevel="0" collapsed="false">
      <c r="V1125" s="23" t="str">
        <f aca="false">IF(ISNUMBER(C1125),YEAR(C1125),"")</f>
        <v/>
      </c>
      <c r="W1125" s="23" t="str">
        <f aca="false">IF(ISNUMBER(C1125),MONTH(C1125),"")</f>
        <v/>
      </c>
      <c r="X1125" s="23" t="str">
        <f aca="false">IF(T1125="","",IF(T1125=0,"No discount",IF(T1125&lt;=0.2,"Low (1-20%)",IF(T1125&lt;=0.4,"Medium (21-40%)","High (&gt;40%)"))))</f>
        <v/>
      </c>
      <c r="Y1125" s="23" t="str">
        <f aca="false">IF(AND(ISNUMBER(C1125),ISNUMBER(D1125)),D1125-C1125,"")</f>
        <v/>
      </c>
      <c r="Z1125" s="23" t="str">
        <f aca="false">IF(B1125="","",IF(MATCH(B1125,$B$2:$B$12000,0)=ROW()-1,1,0))</f>
        <v/>
      </c>
    </row>
    <row r="1126" customFormat="false" ht="15" hidden="false" customHeight="false" outlineLevel="0" collapsed="false">
      <c r="V1126" s="23" t="str">
        <f aca="false">IF(ISNUMBER(C1126),YEAR(C1126),"")</f>
        <v/>
      </c>
      <c r="W1126" s="23" t="str">
        <f aca="false">IF(ISNUMBER(C1126),MONTH(C1126),"")</f>
        <v/>
      </c>
      <c r="X1126" s="23" t="str">
        <f aca="false">IF(T1126="","",IF(T1126=0,"No discount",IF(T1126&lt;=0.2,"Low (1-20%)",IF(T1126&lt;=0.4,"Medium (21-40%)","High (&gt;40%)"))))</f>
        <v/>
      </c>
      <c r="Y1126" s="23" t="str">
        <f aca="false">IF(AND(ISNUMBER(C1126),ISNUMBER(D1126)),D1126-C1126,"")</f>
        <v/>
      </c>
      <c r="Z1126" s="23" t="str">
        <f aca="false">IF(B1126="","",IF(MATCH(B1126,$B$2:$B$12000,0)=ROW()-1,1,0))</f>
        <v/>
      </c>
    </row>
    <row r="1127" customFormat="false" ht="15" hidden="false" customHeight="false" outlineLevel="0" collapsed="false">
      <c r="V1127" s="23" t="str">
        <f aca="false">IF(ISNUMBER(C1127),YEAR(C1127),"")</f>
        <v/>
      </c>
      <c r="W1127" s="23" t="str">
        <f aca="false">IF(ISNUMBER(C1127),MONTH(C1127),"")</f>
        <v/>
      </c>
      <c r="X1127" s="23" t="str">
        <f aca="false">IF(T1127="","",IF(T1127=0,"No discount",IF(T1127&lt;=0.2,"Low (1-20%)",IF(T1127&lt;=0.4,"Medium (21-40%)","High (&gt;40%)"))))</f>
        <v/>
      </c>
      <c r="Y1127" s="23" t="str">
        <f aca="false">IF(AND(ISNUMBER(C1127),ISNUMBER(D1127)),D1127-C1127,"")</f>
        <v/>
      </c>
      <c r="Z1127" s="23" t="str">
        <f aca="false">IF(B1127="","",IF(MATCH(B1127,$B$2:$B$12000,0)=ROW()-1,1,0))</f>
        <v/>
      </c>
    </row>
    <row r="1128" customFormat="false" ht="15" hidden="false" customHeight="false" outlineLevel="0" collapsed="false">
      <c r="V1128" s="23" t="str">
        <f aca="false">IF(ISNUMBER(C1128),YEAR(C1128),"")</f>
        <v/>
      </c>
      <c r="W1128" s="23" t="str">
        <f aca="false">IF(ISNUMBER(C1128),MONTH(C1128),"")</f>
        <v/>
      </c>
      <c r="X1128" s="23" t="str">
        <f aca="false">IF(T1128="","",IF(T1128=0,"No discount",IF(T1128&lt;=0.2,"Low (1-20%)",IF(T1128&lt;=0.4,"Medium (21-40%)","High (&gt;40%)"))))</f>
        <v/>
      </c>
      <c r="Y1128" s="23" t="str">
        <f aca="false">IF(AND(ISNUMBER(C1128),ISNUMBER(D1128)),D1128-C1128,"")</f>
        <v/>
      </c>
      <c r="Z1128" s="23" t="str">
        <f aca="false">IF(B1128="","",IF(MATCH(B1128,$B$2:$B$12000,0)=ROW()-1,1,0))</f>
        <v/>
      </c>
    </row>
    <row r="1129" customFormat="false" ht="15" hidden="false" customHeight="false" outlineLevel="0" collapsed="false">
      <c r="V1129" s="23" t="str">
        <f aca="false">IF(ISNUMBER(C1129),YEAR(C1129),"")</f>
        <v/>
      </c>
      <c r="W1129" s="23" t="str">
        <f aca="false">IF(ISNUMBER(C1129),MONTH(C1129),"")</f>
        <v/>
      </c>
      <c r="X1129" s="23" t="str">
        <f aca="false">IF(T1129="","",IF(T1129=0,"No discount",IF(T1129&lt;=0.2,"Low (1-20%)",IF(T1129&lt;=0.4,"Medium (21-40%)","High (&gt;40%)"))))</f>
        <v/>
      </c>
      <c r="Y1129" s="23" t="str">
        <f aca="false">IF(AND(ISNUMBER(C1129),ISNUMBER(D1129)),D1129-C1129,"")</f>
        <v/>
      </c>
      <c r="Z1129" s="23" t="str">
        <f aca="false">IF(B1129="","",IF(MATCH(B1129,$B$2:$B$12000,0)=ROW()-1,1,0))</f>
        <v/>
      </c>
    </row>
    <row r="1130" customFormat="false" ht="15" hidden="false" customHeight="false" outlineLevel="0" collapsed="false">
      <c r="V1130" s="23" t="str">
        <f aca="false">IF(ISNUMBER(C1130),YEAR(C1130),"")</f>
        <v/>
      </c>
      <c r="W1130" s="23" t="str">
        <f aca="false">IF(ISNUMBER(C1130),MONTH(C1130),"")</f>
        <v/>
      </c>
      <c r="X1130" s="23" t="str">
        <f aca="false">IF(T1130="","",IF(T1130=0,"No discount",IF(T1130&lt;=0.2,"Low (1-20%)",IF(T1130&lt;=0.4,"Medium (21-40%)","High (&gt;40%)"))))</f>
        <v/>
      </c>
      <c r="Y1130" s="23" t="str">
        <f aca="false">IF(AND(ISNUMBER(C1130),ISNUMBER(D1130)),D1130-C1130,"")</f>
        <v/>
      </c>
      <c r="Z1130" s="23" t="str">
        <f aca="false">IF(B1130="","",IF(MATCH(B1130,$B$2:$B$12000,0)=ROW()-1,1,0))</f>
        <v/>
      </c>
    </row>
    <row r="1131" customFormat="false" ht="15" hidden="false" customHeight="false" outlineLevel="0" collapsed="false">
      <c r="V1131" s="23" t="str">
        <f aca="false">IF(ISNUMBER(C1131),YEAR(C1131),"")</f>
        <v/>
      </c>
      <c r="W1131" s="23" t="str">
        <f aca="false">IF(ISNUMBER(C1131),MONTH(C1131),"")</f>
        <v/>
      </c>
      <c r="X1131" s="23" t="str">
        <f aca="false">IF(T1131="","",IF(T1131=0,"No discount",IF(T1131&lt;=0.2,"Low (1-20%)",IF(T1131&lt;=0.4,"Medium (21-40%)","High (&gt;40%)"))))</f>
        <v/>
      </c>
      <c r="Y1131" s="23" t="str">
        <f aca="false">IF(AND(ISNUMBER(C1131),ISNUMBER(D1131)),D1131-C1131,"")</f>
        <v/>
      </c>
      <c r="Z1131" s="23" t="str">
        <f aca="false">IF(B1131="","",IF(MATCH(B1131,$B$2:$B$12000,0)=ROW()-1,1,0))</f>
        <v/>
      </c>
    </row>
    <row r="1132" customFormat="false" ht="15" hidden="false" customHeight="false" outlineLevel="0" collapsed="false">
      <c r="V1132" s="23" t="str">
        <f aca="false">IF(ISNUMBER(C1132),YEAR(C1132),"")</f>
        <v/>
      </c>
      <c r="W1132" s="23" t="str">
        <f aca="false">IF(ISNUMBER(C1132),MONTH(C1132),"")</f>
        <v/>
      </c>
      <c r="X1132" s="23" t="str">
        <f aca="false">IF(T1132="","",IF(T1132=0,"No discount",IF(T1132&lt;=0.2,"Low (1-20%)",IF(T1132&lt;=0.4,"Medium (21-40%)","High (&gt;40%)"))))</f>
        <v/>
      </c>
      <c r="Y1132" s="23" t="str">
        <f aca="false">IF(AND(ISNUMBER(C1132),ISNUMBER(D1132)),D1132-C1132,"")</f>
        <v/>
      </c>
      <c r="Z1132" s="23" t="str">
        <f aca="false">IF(B1132="","",IF(MATCH(B1132,$B$2:$B$12000,0)=ROW()-1,1,0))</f>
        <v/>
      </c>
    </row>
    <row r="1133" customFormat="false" ht="15" hidden="false" customHeight="false" outlineLevel="0" collapsed="false">
      <c r="V1133" s="23" t="str">
        <f aca="false">IF(ISNUMBER(C1133),YEAR(C1133),"")</f>
        <v/>
      </c>
      <c r="W1133" s="23" t="str">
        <f aca="false">IF(ISNUMBER(C1133),MONTH(C1133),"")</f>
        <v/>
      </c>
      <c r="X1133" s="23" t="str">
        <f aca="false">IF(T1133="","",IF(T1133=0,"No discount",IF(T1133&lt;=0.2,"Low (1-20%)",IF(T1133&lt;=0.4,"Medium (21-40%)","High (&gt;40%)"))))</f>
        <v/>
      </c>
      <c r="Y1133" s="23" t="str">
        <f aca="false">IF(AND(ISNUMBER(C1133),ISNUMBER(D1133)),D1133-C1133,"")</f>
        <v/>
      </c>
      <c r="Z1133" s="23" t="str">
        <f aca="false">IF(B1133="","",IF(MATCH(B1133,$B$2:$B$12000,0)=ROW()-1,1,0))</f>
        <v/>
      </c>
    </row>
    <row r="1134" customFormat="false" ht="15" hidden="false" customHeight="false" outlineLevel="0" collapsed="false">
      <c r="V1134" s="23" t="str">
        <f aca="false">IF(ISNUMBER(C1134),YEAR(C1134),"")</f>
        <v/>
      </c>
      <c r="W1134" s="23" t="str">
        <f aca="false">IF(ISNUMBER(C1134),MONTH(C1134),"")</f>
        <v/>
      </c>
      <c r="X1134" s="23" t="str">
        <f aca="false">IF(T1134="","",IF(T1134=0,"No discount",IF(T1134&lt;=0.2,"Low (1-20%)",IF(T1134&lt;=0.4,"Medium (21-40%)","High (&gt;40%)"))))</f>
        <v/>
      </c>
      <c r="Y1134" s="23" t="str">
        <f aca="false">IF(AND(ISNUMBER(C1134),ISNUMBER(D1134)),D1134-C1134,"")</f>
        <v/>
      </c>
      <c r="Z1134" s="23" t="str">
        <f aca="false">IF(B1134="","",IF(MATCH(B1134,$B$2:$B$12000,0)=ROW()-1,1,0))</f>
        <v/>
      </c>
    </row>
    <row r="1135" customFormat="false" ht="15" hidden="false" customHeight="false" outlineLevel="0" collapsed="false">
      <c r="V1135" s="23" t="str">
        <f aca="false">IF(ISNUMBER(C1135),YEAR(C1135),"")</f>
        <v/>
      </c>
      <c r="W1135" s="23" t="str">
        <f aca="false">IF(ISNUMBER(C1135),MONTH(C1135),"")</f>
        <v/>
      </c>
      <c r="X1135" s="23" t="str">
        <f aca="false">IF(T1135="","",IF(T1135=0,"No discount",IF(T1135&lt;=0.2,"Low (1-20%)",IF(T1135&lt;=0.4,"Medium (21-40%)","High (&gt;40%)"))))</f>
        <v/>
      </c>
      <c r="Y1135" s="23" t="str">
        <f aca="false">IF(AND(ISNUMBER(C1135),ISNUMBER(D1135)),D1135-C1135,"")</f>
        <v/>
      </c>
      <c r="Z1135" s="23" t="str">
        <f aca="false">IF(B1135="","",IF(MATCH(B1135,$B$2:$B$12000,0)=ROW()-1,1,0))</f>
        <v/>
      </c>
    </row>
    <row r="1136" customFormat="false" ht="15" hidden="false" customHeight="false" outlineLevel="0" collapsed="false">
      <c r="V1136" s="23" t="str">
        <f aca="false">IF(ISNUMBER(C1136),YEAR(C1136),"")</f>
        <v/>
      </c>
      <c r="W1136" s="23" t="str">
        <f aca="false">IF(ISNUMBER(C1136),MONTH(C1136),"")</f>
        <v/>
      </c>
      <c r="X1136" s="23" t="str">
        <f aca="false">IF(T1136="","",IF(T1136=0,"No discount",IF(T1136&lt;=0.2,"Low (1-20%)",IF(T1136&lt;=0.4,"Medium (21-40%)","High (&gt;40%)"))))</f>
        <v/>
      </c>
      <c r="Y1136" s="23" t="str">
        <f aca="false">IF(AND(ISNUMBER(C1136),ISNUMBER(D1136)),D1136-C1136,"")</f>
        <v/>
      </c>
      <c r="Z1136" s="23" t="str">
        <f aca="false">IF(B1136="","",IF(MATCH(B1136,$B$2:$B$12000,0)=ROW()-1,1,0))</f>
        <v/>
      </c>
    </row>
    <row r="1137" customFormat="false" ht="15" hidden="false" customHeight="false" outlineLevel="0" collapsed="false">
      <c r="V1137" s="23" t="str">
        <f aca="false">IF(ISNUMBER(C1137),YEAR(C1137),"")</f>
        <v/>
      </c>
      <c r="W1137" s="23" t="str">
        <f aca="false">IF(ISNUMBER(C1137),MONTH(C1137),"")</f>
        <v/>
      </c>
      <c r="X1137" s="23" t="str">
        <f aca="false">IF(T1137="","",IF(T1137=0,"No discount",IF(T1137&lt;=0.2,"Low (1-20%)",IF(T1137&lt;=0.4,"Medium (21-40%)","High (&gt;40%)"))))</f>
        <v/>
      </c>
      <c r="Y1137" s="23" t="str">
        <f aca="false">IF(AND(ISNUMBER(C1137),ISNUMBER(D1137)),D1137-C1137,"")</f>
        <v/>
      </c>
      <c r="Z1137" s="23" t="str">
        <f aca="false">IF(B1137="","",IF(MATCH(B1137,$B$2:$B$12000,0)=ROW()-1,1,0))</f>
        <v/>
      </c>
    </row>
    <row r="1138" customFormat="false" ht="15" hidden="false" customHeight="false" outlineLevel="0" collapsed="false">
      <c r="V1138" s="23" t="str">
        <f aca="false">IF(ISNUMBER(C1138),YEAR(C1138),"")</f>
        <v/>
      </c>
      <c r="W1138" s="23" t="str">
        <f aca="false">IF(ISNUMBER(C1138),MONTH(C1138),"")</f>
        <v/>
      </c>
      <c r="X1138" s="23" t="str">
        <f aca="false">IF(T1138="","",IF(T1138=0,"No discount",IF(T1138&lt;=0.2,"Low (1-20%)",IF(T1138&lt;=0.4,"Medium (21-40%)","High (&gt;40%)"))))</f>
        <v/>
      </c>
      <c r="Y1138" s="23" t="str">
        <f aca="false">IF(AND(ISNUMBER(C1138),ISNUMBER(D1138)),D1138-C1138,"")</f>
        <v/>
      </c>
      <c r="Z1138" s="23" t="str">
        <f aca="false">IF(B1138="","",IF(MATCH(B1138,$B$2:$B$12000,0)=ROW()-1,1,0))</f>
        <v/>
      </c>
    </row>
    <row r="1139" customFormat="false" ht="15" hidden="false" customHeight="false" outlineLevel="0" collapsed="false">
      <c r="V1139" s="23" t="str">
        <f aca="false">IF(ISNUMBER(C1139),YEAR(C1139),"")</f>
        <v/>
      </c>
      <c r="W1139" s="23" t="str">
        <f aca="false">IF(ISNUMBER(C1139),MONTH(C1139),"")</f>
        <v/>
      </c>
      <c r="X1139" s="23" t="str">
        <f aca="false">IF(T1139="","",IF(T1139=0,"No discount",IF(T1139&lt;=0.2,"Low (1-20%)",IF(T1139&lt;=0.4,"Medium (21-40%)","High (&gt;40%)"))))</f>
        <v/>
      </c>
      <c r="Y1139" s="23" t="str">
        <f aca="false">IF(AND(ISNUMBER(C1139),ISNUMBER(D1139)),D1139-C1139,"")</f>
        <v/>
      </c>
      <c r="Z1139" s="23" t="str">
        <f aca="false">IF(B1139="","",IF(MATCH(B1139,$B$2:$B$12000,0)=ROW()-1,1,0))</f>
        <v/>
      </c>
    </row>
    <row r="1140" customFormat="false" ht="15" hidden="false" customHeight="false" outlineLevel="0" collapsed="false">
      <c r="V1140" s="23" t="str">
        <f aca="false">IF(ISNUMBER(C1140),YEAR(C1140),"")</f>
        <v/>
      </c>
      <c r="W1140" s="23" t="str">
        <f aca="false">IF(ISNUMBER(C1140),MONTH(C1140),"")</f>
        <v/>
      </c>
      <c r="X1140" s="23" t="str">
        <f aca="false">IF(T1140="","",IF(T1140=0,"No discount",IF(T1140&lt;=0.2,"Low (1-20%)",IF(T1140&lt;=0.4,"Medium (21-40%)","High (&gt;40%)"))))</f>
        <v/>
      </c>
      <c r="Y1140" s="23" t="str">
        <f aca="false">IF(AND(ISNUMBER(C1140),ISNUMBER(D1140)),D1140-C1140,"")</f>
        <v/>
      </c>
      <c r="Z1140" s="23" t="str">
        <f aca="false">IF(B1140="","",IF(MATCH(B1140,$B$2:$B$12000,0)=ROW()-1,1,0))</f>
        <v/>
      </c>
    </row>
    <row r="1141" customFormat="false" ht="15" hidden="false" customHeight="false" outlineLevel="0" collapsed="false">
      <c r="V1141" s="23" t="str">
        <f aca="false">IF(ISNUMBER(C1141),YEAR(C1141),"")</f>
        <v/>
      </c>
      <c r="W1141" s="23" t="str">
        <f aca="false">IF(ISNUMBER(C1141),MONTH(C1141),"")</f>
        <v/>
      </c>
      <c r="X1141" s="23" t="str">
        <f aca="false">IF(T1141="","",IF(T1141=0,"No discount",IF(T1141&lt;=0.2,"Low (1-20%)",IF(T1141&lt;=0.4,"Medium (21-40%)","High (&gt;40%)"))))</f>
        <v/>
      </c>
      <c r="Y1141" s="23" t="str">
        <f aca="false">IF(AND(ISNUMBER(C1141),ISNUMBER(D1141)),D1141-C1141,"")</f>
        <v/>
      </c>
      <c r="Z1141" s="23" t="str">
        <f aca="false">IF(B1141="","",IF(MATCH(B1141,$B$2:$B$12000,0)=ROW()-1,1,0))</f>
        <v/>
      </c>
    </row>
    <row r="1142" customFormat="false" ht="15" hidden="false" customHeight="false" outlineLevel="0" collapsed="false">
      <c r="V1142" s="23" t="str">
        <f aca="false">IF(ISNUMBER(C1142),YEAR(C1142),"")</f>
        <v/>
      </c>
      <c r="W1142" s="23" t="str">
        <f aca="false">IF(ISNUMBER(C1142),MONTH(C1142),"")</f>
        <v/>
      </c>
      <c r="X1142" s="23" t="str">
        <f aca="false">IF(T1142="","",IF(T1142=0,"No discount",IF(T1142&lt;=0.2,"Low (1-20%)",IF(T1142&lt;=0.4,"Medium (21-40%)","High (&gt;40%)"))))</f>
        <v/>
      </c>
      <c r="Y1142" s="23" t="str">
        <f aca="false">IF(AND(ISNUMBER(C1142),ISNUMBER(D1142)),D1142-C1142,"")</f>
        <v/>
      </c>
      <c r="Z1142" s="23" t="str">
        <f aca="false">IF(B1142="","",IF(MATCH(B1142,$B$2:$B$12000,0)=ROW()-1,1,0))</f>
        <v/>
      </c>
    </row>
    <row r="1143" customFormat="false" ht="15" hidden="false" customHeight="false" outlineLevel="0" collapsed="false">
      <c r="V1143" s="23" t="str">
        <f aca="false">IF(ISNUMBER(C1143),YEAR(C1143),"")</f>
        <v/>
      </c>
      <c r="W1143" s="23" t="str">
        <f aca="false">IF(ISNUMBER(C1143),MONTH(C1143),"")</f>
        <v/>
      </c>
      <c r="X1143" s="23" t="str">
        <f aca="false">IF(T1143="","",IF(T1143=0,"No discount",IF(T1143&lt;=0.2,"Low (1-20%)",IF(T1143&lt;=0.4,"Medium (21-40%)","High (&gt;40%)"))))</f>
        <v/>
      </c>
      <c r="Y1143" s="23" t="str">
        <f aca="false">IF(AND(ISNUMBER(C1143),ISNUMBER(D1143)),D1143-C1143,"")</f>
        <v/>
      </c>
      <c r="Z1143" s="23" t="str">
        <f aca="false">IF(B1143="","",IF(MATCH(B1143,$B$2:$B$12000,0)=ROW()-1,1,0))</f>
        <v/>
      </c>
    </row>
    <row r="1144" customFormat="false" ht="15" hidden="false" customHeight="false" outlineLevel="0" collapsed="false">
      <c r="V1144" s="23" t="str">
        <f aca="false">IF(ISNUMBER(C1144),YEAR(C1144),"")</f>
        <v/>
      </c>
      <c r="W1144" s="23" t="str">
        <f aca="false">IF(ISNUMBER(C1144),MONTH(C1144),"")</f>
        <v/>
      </c>
      <c r="X1144" s="23" t="str">
        <f aca="false">IF(T1144="","",IF(T1144=0,"No discount",IF(T1144&lt;=0.2,"Low (1-20%)",IF(T1144&lt;=0.4,"Medium (21-40%)","High (&gt;40%)"))))</f>
        <v/>
      </c>
      <c r="Y1144" s="23" t="str">
        <f aca="false">IF(AND(ISNUMBER(C1144),ISNUMBER(D1144)),D1144-C1144,"")</f>
        <v/>
      </c>
      <c r="Z1144" s="23" t="str">
        <f aca="false">IF(B1144="","",IF(MATCH(B1144,$B$2:$B$12000,0)=ROW()-1,1,0))</f>
        <v/>
      </c>
    </row>
    <row r="1145" customFormat="false" ht="15" hidden="false" customHeight="false" outlineLevel="0" collapsed="false">
      <c r="V1145" s="23" t="str">
        <f aca="false">IF(ISNUMBER(C1145),YEAR(C1145),"")</f>
        <v/>
      </c>
      <c r="W1145" s="23" t="str">
        <f aca="false">IF(ISNUMBER(C1145),MONTH(C1145),"")</f>
        <v/>
      </c>
      <c r="X1145" s="23" t="str">
        <f aca="false">IF(T1145="","",IF(T1145=0,"No discount",IF(T1145&lt;=0.2,"Low (1-20%)",IF(T1145&lt;=0.4,"Medium (21-40%)","High (&gt;40%)"))))</f>
        <v/>
      </c>
      <c r="Y1145" s="23" t="str">
        <f aca="false">IF(AND(ISNUMBER(C1145),ISNUMBER(D1145)),D1145-C1145,"")</f>
        <v/>
      </c>
      <c r="Z1145" s="23" t="str">
        <f aca="false">IF(B1145="","",IF(MATCH(B1145,$B$2:$B$12000,0)=ROW()-1,1,0))</f>
        <v/>
      </c>
    </row>
    <row r="1146" customFormat="false" ht="15" hidden="false" customHeight="false" outlineLevel="0" collapsed="false">
      <c r="V1146" s="23" t="str">
        <f aca="false">IF(ISNUMBER(C1146),YEAR(C1146),"")</f>
        <v/>
      </c>
      <c r="W1146" s="23" t="str">
        <f aca="false">IF(ISNUMBER(C1146),MONTH(C1146),"")</f>
        <v/>
      </c>
      <c r="X1146" s="23" t="str">
        <f aca="false">IF(T1146="","",IF(T1146=0,"No discount",IF(T1146&lt;=0.2,"Low (1-20%)",IF(T1146&lt;=0.4,"Medium (21-40%)","High (&gt;40%)"))))</f>
        <v/>
      </c>
      <c r="Y1146" s="23" t="str">
        <f aca="false">IF(AND(ISNUMBER(C1146),ISNUMBER(D1146)),D1146-C1146,"")</f>
        <v/>
      </c>
      <c r="Z1146" s="23" t="str">
        <f aca="false">IF(B1146="","",IF(MATCH(B1146,$B$2:$B$12000,0)=ROW()-1,1,0))</f>
        <v/>
      </c>
    </row>
    <row r="1147" customFormat="false" ht="15" hidden="false" customHeight="false" outlineLevel="0" collapsed="false">
      <c r="V1147" s="23" t="str">
        <f aca="false">IF(ISNUMBER(C1147),YEAR(C1147),"")</f>
        <v/>
      </c>
      <c r="W1147" s="23" t="str">
        <f aca="false">IF(ISNUMBER(C1147),MONTH(C1147),"")</f>
        <v/>
      </c>
      <c r="X1147" s="23" t="str">
        <f aca="false">IF(T1147="","",IF(T1147=0,"No discount",IF(T1147&lt;=0.2,"Low (1-20%)",IF(T1147&lt;=0.4,"Medium (21-40%)","High (&gt;40%)"))))</f>
        <v/>
      </c>
      <c r="Y1147" s="23" t="str">
        <f aca="false">IF(AND(ISNUMBER(C1147),ISNUMBER(D1147)),D1147-C1147,"")</f>
        <v/>
      </c>
      <c r="Z1147" s="23" t="str">
        <f aca="false">IF(B1147="","",IF(MATCH(B1147,$B$2:$B$12000,0)=ROW()-1,1,0))</f>
        <v/>
      </c>
    </row>
    <row r="1148" customFormat="false" ht="15" hidden="false" customHeight="false" outlineLevel="0" collapsed="false">
      <c r="V1148" s="23" t="str">
        <f aca="false">IF(ISNUMBER(C1148),YEAR(C1148),"")</f>
        <v/>
      </c>
      <c r="W1148" s="23" t="str">
        <f aca="false">IF(ISNUMBER(C1148),MONTH(C1148),"")</f>
        <v/>
      </c>
      <c r="X1148" s="23" t="str">
        <f aca="false">IF(T1148="","",IF(T1148=0,"No discount",IF(T1148&lt;=0.2,"Low (1-20%)",IF(T1148&lt;=0.4,"Medium (21-40%)","High (&gt;40%)"))))</f>
        <v/>
      </c>
      <c r="Y1148" s="23" t="str">
        <f aca="false">IF(AND(ISNUMBER(C1148),ISNUMBER(D1148)),D1148-C1148,"")</f>
        <v/>
      </c>
      <c r="Z1148" s="23" t="str">
        <f aca="false">IF(B1148="","",IF(MATCH(B1148,$B$2:$B$12000,0)=ROW()-1,1,0))</f>
        <v/>
      </c>
    </row>
    <row r="1149" customFormat="false" ht="15" hidden="false" customHeight="false" outlineLevel="0" collapsed="false">
      <c r="V1149" s="23" t="str">
        <f aca="false">IF(ISNUMBER(C1149),YEAR(C1149),"")</f>
        <v/>
      </c>
      <c r="W1149" s="23" t="str">
        <f aca="false">IF(ISNUMBER(C1149),MONTH(C1149),"")</f>
        <v/>
      </c>
      <c r="X1149" s="23" t="str">
        <f aca="false">IF(T1149="","",IF(T1149=0,"No discount",IF(T1149&lt;=0.2,"Low (1-20%)",IF(T1149&lt;=0.4,"Medium (21-40%)","High (&gt;40%)"))))</f>
        <v/>
      </c>
      <c r="Y1149" s="23" t="str">
        <f aca="false">IF(AND(ISNUMBER(C1149),ISNUMBER(D1149)),D1149-C1149,"")</f>
        <v/>
      </c>
      <c r="Z1149" s="23" t="str">
        <f aca="false">IF(B1149="","",IF(MATCH(B1149,$B$2:$B$12000,0)=ROW()-1,1,0))</f>
        <v/>
      </c>
    </row>
    <row r="1150" customFormat="false" ht="15" hidden="false" customHeight="false" outlineLevel="0" collapsed="false">
      <c r="V1150" s="23" t="str">
        <f aca="false">IF(ISNUMBER(C1150),YEAR(C1150),"")</f>
        <v/>
      </c>
      <c r="W1150" s="23" t="str">
        <f aca="false">IF(ISNUMBER(C1150),MONTH(C1150),"")</f>
        <v/>
      </c>
      <c r="X1150" s="23" t="str">
        <f aca="false">IF(T1150="","",IF(T1150=0,"No discount",IF(T1150&lt;=0.2,"Low (1-20%)",IF(T1150&lt;=0.4,"Medium (21-40%)","High (&gt;40%)"))))</f>
        <v/>
      </c>
      <c r="Y1150" s="23" t="str">
        <f aca="false">IF(AND(ISNUMBER(C1150),ISNUMBER(D1150)),D1150-C1150,"")</f>
        <v/>
      </c>
      <c r="Z1150" s="23" t="str">
        <f aca="false">IF(B1150="","",IF(MATCH(B1150,$B$2:$B$12000,0)=ROW()-1,1,0))</f>
        <v/>
      </c>
    </row>
    <row r="1151" customFormat="false" ht="15" hidden="false" customHeight="false" outlineLevel="0" collapsed="false">
      <c r="V1151" s="23" t="str">
        <f aca="false">IF(ISNUMBER(C1151),YEAR(C1151),"")</f>
        <v/>
      </c>
      <c r="W1151" s="23" t="str">
        <f aca="false">IF(ISNUMBER(C1151),MONTH(C1151),"")</f>
        <v/>
      </c>
      <c r="X1151" s="23" t="str">
        <f aca="false">IF(T1151="","",IF(T1151=0,"No discount",IF(T1151&lt;=0.2,"Low (1-20%)",IF(T1151&lt;=0.4,"Medium (21-40%)","High (&gt;40%)"))))</f>
        <v/>
      </c>
      <c r="Y1151" s="23" t="str">
        <f aca="false">IF(AND(ISNUMBER(C1151),ISNUMBER(D1151)),D1151-C1151,"")</f>
        <v/>
      </c>
      <c r="Z1151" s="23" t="str">
        <f aca="false">IF(B1151="","",IF(MATCH(B1151,$B$2:$B$12000,0)=ROW()-1,1,0))</f>
        <v/>
      </c>
    </row>
    <row r="1152" customFormat="false" ht="15" hidden="false" customHeight="false" outlineLevel="0" collapsed="false">
      <c r="V1152" s="23" t="str">
        <f aca="false">IF(ISNUMBER(C1152),YEAR(C1152),"")</f>
        <v/>
      </c>
      <c r="W1152" s="23" t="str">
        <f aca="false">IF(ISNUMBER(C1152),MONTH(C1152),"")</f>
        <v/>
      </c>
      <c r="X1152" s="23" t="str">
        <f aca="false">IF(T1152="","",IF(T1152=0,"No discount",IF(T1152&lt;=0.2,"Low (1-20%)",IF(T1152&lt;=0.4,"Medium (21-40%)","High (&gt;40%)"))))</f>
        <v/>
      </c>
      <c r="Y1152" s="23" t="str">
        <f aca="false">IF(AND(ISNUMBER(C1152),ISNUMBER(D1152)),D1152-C1152,"")</f>
        <v/>
      </c>
      <c r="Z1152" s="23" t="str">
        <f aca="false">IF(B1152="","",IF(MATCH(B1152,$B$2:$B$12000,0)=ROW()-1,1,0))</f>
        <v/>
      </c>
    </row>
    <row r="1153" customFormat="false" ht="15" hidden="false" customHeight="false" outlineLevel="0" collapsed="false">
      <c r="V1153" s="23" t="str">
        <f aca="false">IF(ISNUMBER(C1153),YEAR(C1153),"")</f>
        <v/>
      </c>
      <c r="W1153" s="23" t="str">
        <f aca="false">IF(ISNUMBER(C1153),MONTH(C1153),"")</f>
        <v/>
      </c>
      <c r="X1153" s="23" t="str">
        <f aca="false">IF(T1153="","",IF(T1153=0,"No discount",IF(T1153&lt;=0.2,"Low (1-20%)",IF(T1153&lt;=0.4,"Medium (21-40%)","High (&gt;40%)"))))</f>
        <v/>
      </c>
      <c r="Y1153" s="23" t="str">
        <f aca="false">IF(AND(ISNUMBER(C1153),ISNUMBER(D1153)),D1153-C1153,"")</f>
        <v/>
      </c>
      <c r="Z1153" s="23" t="str">
        <f aca="false">IF(B1153="","",IF(MATCH(B1153,$B$2:$B$12000,0)=ROW()-1,1,0))</f>
        <v/>
      </c>
    </row>
    <row r="1154" customFormat="false" ht="15" hidden="false" customHeight="false" outlineLevel="0" collapsed="false">
      <c r="V1154" s="23" t="str">
        <f aca="false">IF(ISNUMBER(C1154),YEAR(C1154),"")</f>
        <v/>
      </c>
      <c r="W1154" s="23" t="str">
        <f aca="false">IF(ISNUMBER(C1154),MONTH(C1154),"")</f>
        <v/>
      </c>
      <c r="X1154" s="23" t="str">
        <f aca="false">IF(T1154="","",IF(T1154=0,"No discount",IF(T1154&lt;=0.2,"Low (1-20%)",IF(T1154&lt;=0.4,"Medium (21-40%)","High (&gt;40%)"))))</f>
        <v/>
      </c>
      <c r="Y1154" s="23" t="str">
        <f aca="false">IF(AND(ISNUMBER(C1154),ISNUMBER(D1154)),D1154-C1154,"")</f>
        <v/>
      </c>
      <c r="Z1154" s="23" t="str">
        <f aca="false">IF(B1154="","",IF(MATCH(B1154,$B$2:$B$12000,0)=ROW()-1,1,0))</f>
        <v/>
      </c>
    </row>
    <row r="1155" customFormat="false" ht="15" hidden="false" customHeight="false" outlineLevel="0" collapsed="false">
      <c r="V1155" s="23" t="str">
        <f aca="false">IF(ISNUMBER(C1155),YEAR(C1155),"")</f>
        <v/>
      </c>
      <c r="W1155" s="23" t="str">
        <f aca="false">IF(ISNUMBER(C1155),MONTH(C1155),"")</f>
        <v/>
      </c>
      <c r="X1155" s="23" t="str">
        <f aca="false">IF(T1155="","",IF(T1155=0,"No discount",IF(T1155&lt;=0.2,"Low (1-20%)",IF(T1155&lt;=0.4,"Medium (21-40%)","High (&gt;40%)"))))</f>
        <v/>
      </c>
      <c r="Y1155" s="23" t="str">
        <f aca="false">IF(AND(ISNUMBER(C1155),ISNUMBER(D1155)),D1155-C1155,"")</f>
        <v/>
      </c>
      <c r="Z1155" s="23" t="str">
        <f aca="false">IF(B1155="","",IF(MATCH(B1155,$B$2:$B$12000,0)=ROW()-1,1,0))</f>
        <v/>
      </c>
    </row>
    <row r="1156" customFormat="false" ht="15" hidden="false" customHeight="false" outlineLevel="0" collapsed="false">
      <c r="V1156" s="23" t="str">
        <f aca="false">IF(ISNUMBER(C1156),YEAR(C1156),"")</f>
        <v/>
      </c>
      <c r="W1156" s="23" t="str">
        <f aca="false">IF(ISNUMBER(C1156),MONTH(C1156),"")</f>
        <v/>
      </c>
      <c r="X1156" s="23" t="str">
        <f aca="false">IF(T1156="","",IF(T1156=0,"No discount",IF(T1156&lt;=0.2,"Low (1-20%)",IF(T1156&lt;=0.4,"Medium (21-40%)","High (&gt;40%)"))))</f>
        <v/>
      </c>
      <c r="Y1156" s="23" t="str">
        <f aca="false">IF(AND(ISNUMBER(C1156),ISNUMBER(D1156)),D1156-C1156,"")</f>
        <v/>
      </c>
      <c r="Z1156" s="23" t="str">
        <f aca="false">IF(B1156="","",IF(MATCH(B1156,$B$2:$B$12000,0)=ROW()-1,1,0))</f>
        <v/>
      </c>
    </row>
    <row r="1157" customFormat="false" ht="15" hidden="false" customHeight="false" outlineLevel="0" collapsed="false">
      <c r="V1157" s="23" t="str">
        <f aca="false">IF(ISNUMBER(C1157),YEAR(C1157),"")</f>
        <v/>
      </c>
      <c r="W1157" s="23" t="str">
        <f aca="false">IF(ISNUMBER(C1157),MONTH(C1157),"")</f>
        <v/>
      </c>
      <c r="X1157" s="23" t="str">
        <f aca="false">IF(T1157="","",IF(T1157=0,"No discount",IF(T1157&lt;=0.2,"Low (1-20%)",IF(T1157&lt;=0.4,"Medium (21-40%)","High (&gt;40%)"))))</f>
        <v/>
      </c>
      <c r="Y1157" s="23" t="str">
        <f aca="false">IF(AND(ISNUMBER(C1157),ISNUMBER(D1157)),D1157-C1157,"")</f>
        <v/>
      </c>
      <c r="Z1157" s="23" t="str">
        <f aca="false">IF(B1157="","",IF(MATCH(B1157,$B$2:$B$12000,0)=ROW()-1,1,0))</f>
        <v/>
      </c>
    </row>
    <row r="1158" customFormat="false" ht="15" hidden="false" customHeight="false" outlineLevel="0" collapsed="false">
      <c r="V1158" s="23" t="str">
        <f aca="false">IF(ISNUMBER(C1158),YEAR(C1158),"")</f>
        <v/>
      </c>
      <c r="W1158" s="23" t="str">
        <f aca="false">IF(ISNUMBER(C1158),MONTH(C1158),"")</f>
        <v/>
      </c>
      <c r="X1158" s="23" t="str">
        <f aca="false">IF(T1158="","",IF(T1158=0,"No discount",IF(T1158&lt;=0.2,"Low (1-20%)",IF(T1158&lt;=0.4,"Medium (21-40%)","High (&gt;40%)"))))</f>
        <v/>
      </c>
      <c r="Y1158" s="23" t="str">
        <f aca="false">IF(AND(ISNUMBER(C1158),ISNUMBER(D1158)),D1158-C1158,"")</f>
        <v/>
      </c>
      <c r="Z1158" s="23" t="str">
        <f aca="false">IF(B1158="","",IF(MATCH(B1158,$B$2:$B$12000,0)=ROW()-1,1,0))</f>
        <v/>
      </c>
    </row>
    <row r="1159" customFormat="false" ht="15" hidden="false" customHeight="false" outlineLevel="0" collapsed="false">
      <c r="V1159" s="23" t="str">
        <f aca="false">IF(ISNUMBER(C1159),YEAR(C1159),"")</f>
        <v/>
      </c>
      <c r="W1159" s="23" t="str">
        <f aca="false">IF(ISNUMBER(C1159),MONTH(C1159),"")</f>
        <v/>
      </c>
      <c r="X1159" s="23" t="str">
        <f aca="false">IF(T1159="","",IF(T1159=0,"No discount",IF(T1159&lt;=0.2,"Low (1-20%)",IF(T1159&lt;=0.4,"Medium (21-40%)","High (&gt;40%)"))))</f>
        <v/>
      </c>
      <c r="Y1159" s="23" t="str">
        <f aca="false">IF(AND(ISNUMBER(C1159),ISNUMBER(D1159)),D1159-C1159,"")</f>
        <v/>
      </c>
      <c r="Z1159" s="23" t="str">
        <f aca="false">IF(B1159="","",IF(MATCH(B1159,$B$2:$B$12000,0)=ROW()-1,1,0))</f>
        <v/>
      </c>
    </row>
    <row r="1160" customFormat="false" ht="15" hidden="false" customHeight="false" outlineLevel="0" collapsed="false">
      <c r="V1160" s="23" t="str">
        <f aca="false">IF(ISNUMBER(C1160),YEAR(C1160),"")</f>
        <v/>
      </c>
      <c r="W1160" s="23" t="str">
        <f aca="false">IF(ISNUMBER(C1160),MONTH(C1160),"")</f>
        <v/>
      </c>
      <c r="X1160" s="23" t="str">
        <f aca="false">IF(T1160="","",IF(T1160=0,"No discount",IF(T1160&lt;=0.2,"Low (1-20%)",IF(T1160&lt;=0.4,"Medium (21-40%)","High (&gt;40%)"))))</f>
        <v/>
      </c>
      <c r="Y1160" s="23" t="str">
        <f aca="false">IF(AND(ISNUMBER(C1160),ISNUMBER(D1160)),D1160-C1160,"")</f>
        <v/>
      </c>
      <c r="Z1160" s="23" t="str">
        <f aca="false">IF(B1160="","",IF(MATCH(B1160,$B$2:$B$12000,0)=ROW()-1,1,0))</f>
        <v/>
      </c>
    </row>
    <row r="1161" customFormat="false" ht="15" hidden="false" customHeight="false" outlineLevel="0" collapsed="false">
      <c r="V1161" s="23" t="str">
        <f aca="false">IF(ISNUMBER(C1161),YEAR(C1161),"")</f>
        <v/>
      </c>
      <c r="W1161" s="23" t="str">
        <f aca="false">IF(ISNUMBER(C1161),MONTH(C1161),"")</f>
        <v/>
      </c>
      <c r="X1161" s="23" t="str">
        <f aca="false">IF(T1161="","",IF(T1161=0,"No discount",IF(T1161&lt;=0.2,"Low (1-20%)",IF(T1161&lt;=0.4,"Medium (21-40%)","High (&gt;40%)"))))</f>
        <v/>
      </c>
      <c r="Y1161" s="23" t="str">
        <f aca="false">IF(AND(ISNUMBER(C1161),ISNUMBER(D1161)),D1161-C1161,"")</f>
        <v/>
      </c>
      <c r="Z1161" s="23" t="str">
        <f aca="false">IF(B1161="","",IF(MATCH(B1161,$B$2:$B$12000,0)=ROW()-1,1,0))</f>
        <v/>
      </c>
    </row>
    <row r="1162" customFormat="false" ht="15" hidden="false" customHeight="false" outlineLevel="0" collapsed="false">
      <c r="V1162" s="23" t="str">
        <f aca="false">IF(ISNUMBER(C1162),YEAR(C1162),"")</f>
        <v/>
      </c>
      <c r="W1162" s="23" t="str">
        <f aca="false">IF(ISNUMBER(C1162),MONTH(C1162),"")</f>
        <v/>
      </c>
      <c r="X1162" s="23" t="str">
        <f aca="false">IF(T1162="","",IF(T1162=0,"No discount",IF(T1162&lt;=0.2,"Low (1-20%)",IF(T1162&lt;=0.4,"Medium (21-40%)","High (&gt;40%)"))))</f>
        <v/>
      </c>
      <c r="Y1162" s="23" t="str">
        <f aca="false">IF(AND(ISNUMBER(C1162),ISNUMBER(D1162)),D1162-C1162,"")</f>
        <v/>
      </c>
      <c r="Z1162" s="23" t="str">
        <f aca="false">IF(B1162="","",IF(MATCH(B1162,$B$2:$B$12000,0)=ROW()-1,1,0))</f>
        <v/>
      </c>
    </row>
    <row r="1163" customFormat="false" ht="15" hidden="false" customHeight="false" outlineLevel="0" collapsed="false">
      <c r="V1163" s="23" t="str">
        <f aca="false">IF(ISNUMBER(C1163),YEAR(C1163),"")</f>
        <v/>
      </c>
      <c r="W1163" s="23" t="str">
        <f aca="false">IF(ISNUMBER(C1163),MONTH(C1163),"")</f>
        <v/>
      </c>
      <c r="X1163" s="23" t="str">
        <f aca="false">IF(T1163="","",IF(T1163=0,"No discount",IF(T1163&lt;=0.2,"Low (1-20%)",IF(T1163&lt;=0.4,"Medium (21-40%)","High (&gt;40%)"))))</f>
        <v/>
      </c>
      <c r="Y1163" s="23" t="str">
        <f aca="false">IF(AND(ISNUMBER(C1163),ISNUMBER(D1163)),D1163-C1163,"")</f>
        <v/>
      </c>
      <c r="Z1163" s="23" t="str">
        <f aca="false">IF(B1163="","",IF(MATCH(B1163,$B$2:$B$12000,0)=ROW()-1,1,0))</f>
        <v/>
      </c>
    </row>
    <row r="1164" customFormat="false" ht="15" hidden="false" customHeight="false" outlineLevel="0" collapsed="false">
      <c r="V1164" s="23" t="str">
        <f aca="false">IF(ISNUMBER(C1164),YEAR(C1164),"")</f>
        <v/>
      </c>
      <c r="W1164" s="23" t="str">
        <f aca="false">IF(ISNUMBER(C1164),MONTH(C1164),"")</f>
        <v/>
      </c>
      <c r="X1164" s="23" t="str">
        <f aca="false">IF(T1164="","",IF(T1164=0,"No discount",IF(T1164&lt;=0.2,"Low (1-20%)",IF(T1164&lt;=0.4,"Medium (21-40%)","High (&gt;40%)"))))</f>
        <v/>
      </c>
      <c r="Y1164" s="23" t="str">
        <f aca="false">IF(AND(ISNUMBER(C1164),ISNUMBER(D1164)),D1164-C1164,"")</f>
        <v/>
      </c>
      <c r="Z1164" s="23" t="str">
        <f aca="false">IF(B1164="","",IF(MATCH(B1164,$B$2:$B$12000,0)=ROW()-1,1,0))</f>
        <v/>
      </c>
    </row>
    <row r="1165" customFormat="false" ht="15" hidden="false" customHeight="false" outlineLevel="0" collapsed="false">
      <c r="V1165" s="23" t="str">
        <f aca="false">IF(ISNUMBER(C1165),YEAR(C1165),"")</f>
        <v/>
      </c>
      <c r="W1165" s="23" t="str">
        <f aca="false">IF(ISNUMBER(C1165),MONTH(C1165),"")</f>
        <v/>
      </c>
      <c r="X1165" s="23" t="str">
        <f aca="false">IF(T1165="","",IF(T1165=0,"No discount",IF(T1165&lt;=0.2,"Low (1-20%)",IF(T1165&lt;=0.4,"Medium (21-40%)","High (&gt;40%)"))))</f>
        <v/>
      </c>
      <c r="Y1165" s="23" t="str">
        <f aca="false">IF(AND(ISNUMBER(C1165),ISNUMBER(D1165)),D1165-C1165,"")</f>
        <v/>
      </c>
      <c r="Z1165" s="23" t="str">
        <f aca="false">IF(B1165="","",IF(MATCH(B1165,$B$2:$B$12000,0)=ROW()-1,1,0))</f>
        <v/>
      </c>
    </row>
    <row r="1166" customFormat="false" ht="15" hidden="false" customHeight="false" outlineLevel="0" collapsed="false">
      <c r="V1166" s="23" t="str">
        <f aca="false">IF(ISNUMBER(C1166),YEAR(C1166),"")</f>
        <v/>
      </c>
      <c r="W1166" s="23" t="str">
        <f aca="false">IF(ISNUMBER(C1166),MONTH(C1166),"")</f>
        <v/>
      </c>
      <c r="X1166" s="23" t="str">
        <f aca="false">IF(T1166="","",IF(T1166=0,"No discount",IF(T1166&lt;=0.2,"Low (1-20%)",IF(T1166&lt;=0.4,"Medium (21-40%)","High (&gt;40%)"))))</f>
        <v/>
      </c>
      <c r="Y1166" s="23" t="str">
        <f aca="false">IF(AND(ISNUMBER(C1166),ISNUMBER(D1166)),D1166-C1166,"")</f>
        <v/>
      </c>
      <c r="Z1166" s="23" t="str">
        <f aca="false">IF(B1166="","",IF(MATCH(B1166,$B$2:$B$12000,0)=ROW()-1,1,0))</f>
        <v/>
      </c>
    </row>
    <row r="1167" customFormat="false" ht="15" hidden="false" customHeight="false" outlineLevel="0" collapsed="false">
      <c r="V1167" s="23" t="str">
        <f aca="false">IF(ISNUMBER(C1167),YEAR(C1167),"")</f>
        <v/>
      </c>
      <c r="W1167" s="23" t="str">
        <f aca="false">IF(ISNUMBER(C1167),MONTH(C1167),"")</f>
        <v/>
      </c>
      <c r="X1167" s="23" t="str">
        <f aca="false">IF(T1167="","",IF(T1167=0,"No discount",IF(T1167&lt;=0.2,"Low (1-20%)",IF(T1167&lt;=0.4,"Medium (21-40%)","High (&gt;40%)"))))</f>
        <v/>
      </c>
      <c r="Y1167" s="23" t="str">
        <f aca="false">IF(AND(ISNUMBER(C1167),ISNUMBER(D1167)),D1167-C1167,"")</f>
        <v/>
      </c>
      <c r="Z1167" s="23" t="str">
        <f aca="false">IF(B1167="","",IF(MATCH(B1167,$B$2:$B$12000,0)=ROW()-1,1,0))</f>
        <v/>
      </c>
    </row>
    <row r="1168" customFormat="false" ht="15" hidden="false" customHeight="false" outlineLevel="0" collapsed="false">
      <c r="V1168" s="23" t="str">
        <f aca="false">IF(ISNUMBER(C1168),YEAR(C1168),"")</f>
        <v/>
      </c>
      <c r="W1168" s="23" t="str">
        <f aca="false">IF(ISNUMBER(C1168),MONTH(C1168),"")</f>
        <v/>
      </c>
      <c r="X1168" s="23" t="str">
        <f aca="false">IF(T1168="","",IF(T1168=0,"No discount",IF(T1168&lt;=0.2,"Low (1-20%)",IF(T1168&lt;=0.4,"Medium (21-40%)","High (&gt;40%)"))))</f>
        <v/>
      </c>
      <c r="Y1168" s="23" t="str">
        <f aca="false">IF(AND(ISNUMBER(C1168),ISNUMBER(D1168)),D1168-C1168,"")</f>
        <v/>
      </c>
      <c r="Z1168" s="23" t="str">
        <f aca="false">IF(B1168="","",IF(MATCH(B1168,$B$2:$B$12000,0)=ROW()-1,1,0))</f>
        <v/>
      </c>
    </row>
    <row r="1169" customFormat="false" ht="15" hidden="false" customHeight="false" outlineLevel="0" collapsed="false">
      <c r="V1169" s="23" t="str">
        <f aca="false">IF(ISNUMBER(C1169),YEAR(C1169),"")</f>
        <v/>
      </c>
      <c r="W1169" s="23" t="str">
        <f aca="false">IF(ISNUMBER(C1169),MONTH(C1169),"")</f>
        <v/>
      </c>
      <c r="X1169" s="23" t="str">
        <f aca="false">IF(T1169="","",IF(T1169=0,"No discount",IF(T1169&lt;=0.2,"Low (1-20%)",IF(T1169&lt;=0.4,"Medium (21-40%)","High (&gt;40%)"))))</f>
        <v/>
      </c>
      <c r="Y1169" s="23" t="str">
        <f aca="false">IF(AND(ISNUMBER(C1169),ISNUMBER(D1169)),D1169-C1169,"")</f>
        <v/>
      </c>
      <c r="Z1169" s="23" t="str">
        <f aca="false">IF(B1169="","",IF(MATCH(B1169,$B$2:$B$12000,0)=ROW()-1,1,0))</f>
        <v/>
      </c>
    </row>
    <row r="1170" customFormat="false" ht="15" hidden="false" customHeight="false" outlineLevel="0" collapsed="false">
      <c r="V1170" s="23" t="str">
        <f aca="false">IF(ISNUMBER(C1170),YEAR(C1170),"")</f>
        <v/>
      </c>
      <c r="W1170" s="23" t="str">
        <f aca="false">IF(ISNUMBER(C1170),MONTH(C1170),"")</f>
        <v/>
      </c>
      <c r="X1170" s="23" t="str">
        <f aca="false">IF(T1170="","",IF(T1170=0,"No discount",IF(T1170&lt;=0.2,"Low (1-20%)",IF(T1170&lt;=0.4,"Medium (21-40%)","High (&gt;40%)"))))</f>
        <v/>
      </c>
      <c r="Y1170" s="23" t="str">
        <f aca="false">IF(AND(ISNUMBER(C1170),ISNUMBER(D1170)),D1170-C1170,"")</f>
        <v/>
      </c>
      <c r="Z1170" s="23" t="str">
        <f aca="false">IF(B1170="","",IF(MATCH(B1170,$B$2:$B$12000,0)=ROW()-1,1,0))</f>
        <v/>
      </c>
    </row>
    <row r="1171" customFormat="false" ht="15" hidden="false" customHeight="false" outlineLevel="0" collapsed="false">
      <c r="V1171" s="23" t="str">
        <f aca="false">IF(ISNUMBER(C1171),YEAR(C1171),"")</f>
        <v/>
      </c>
      <c r="W1171" s="23" t="str">
        <f aca="false">IF(ISNUMBER(C1171),MONTH(C1171),"")</f>
        <v/>
      </c>
      <c r="X1171" s="23" t="str">
        <f aca="false">IF(T1171="","",IF(T1171=0,"No discount",IF(T1171&lt;=0.2,"Low (1-20%)",IF(T1171&lt;=0.4,"Medium (21-40%)","High (&gt;40%)"))))</f>
        <v/>
      </c>
      <c r="Y1171" s="23" t="str">
        <f aca="false">IF(AND(ISNUMBER(C1171),ISNUMBER(D1171)),D1171-C1171,"")</f>
        <v/>
      </c>
      <c r="Z1171" s="23" t="str">
        <f aca="false">IF(B1171="","",IF(MATCH(B1171,$B$2:$B$12000,0)=ROW()-1,1,0))</f>
        <v/>
      </c>
    </row>
    <row r="1172" customFormat="false" ht="15" hidden="false" customHeight="false" outlineLevel="0" collapsed="false">
      <c r="V1172" s="23" t="str">
        <f aca="false">IF(ISNUMBER(C1172),YEAR(C1172),"")</f>
        <v/>
      </c>
      <c r="W1172" s="23" t="str">
        <f aca="false">IF(ISNUMBER(C1172),MONTH(C1172),"")</f>
        <v/>
      </c>
      <c r="X1172" s="23" t="str">
        <f aca="false">IF(T1172="","",IF(T1172=0,"No discount",IF(T1172&lt;=0.2,"Low (1-20%)",IF(T1172&lt;=0.4,"Medium (21-40%)","High (&gt;40%)"))))</f>
        <v/>
      </c>
      <c r="Y1172" s="23" t="str">
        <f aca="false">IF(AND(ISNUMBER(C1172),ISNUMBER(D1172)),D1172-C1172,"")</f>
        <v/>
      </c>
      <c r="Z1172" s="23" t="str">
        <f aca="false">IF(B1172="","",IF(MATCH(B1172,$B$2:$B$12000,0)=ROW()-1,1,0))</f>
        <v/>
      </c>
    </row>
    <row r="1173" customFormat="false" ht="15" hidden="false" customHeight="false" outlineLevel="0" collapsed="false">
      <c r="V1173" s="23" t="str">
        <f aca="false">IF(ISNUMBER(C1173),YEAR(C1173),"")</f>
        <v/>
      </c>
      <c r="W1173" s="23" t="str">
        <f aca="false">IF(ISNUMBER(C1173),MONTH(C1173),"")</f>
        <v/>
      </c>
      <c r="X1173" s="23" t="str">
        <f aca="false">IF(T1173="","",IF(T1173=0,"No discount",IF(T1173&lt;=0.2,"Low (1-20%)",IF(T1173&lt;=0.4,"Medium (21-40%)","High (&gt;40%)"))))</f>
        <v/>
      </c>
      <c r="Y1173" s="23" t="str">
        <f aca="false">IF(AND(ISNUMBER(C1173),ISNUMBER(D1173)),D1173-C1173,"")</f>
        <v/>
      </c>
      <c r="Z1173" s="23" t="str">
        <f aca="false">IF(B1173="","",IF(MATCH(B1173,$B$2:$B$12000,0)=ROW()-1,1,0))</f>
        <v/>
      </c>
    </row>
    <row r="1174" customFormat="false" ht="15" hidden="false" customHeight="false" outlineLevel="0" collapsed="false">
      <c r="V1174" s="23" t="str">
        <f aca="false">IF(ISNUMBER(C1174),YEAR(C1174),"")</f>
        <v/>
      </c>
      <c r="W1174" s="23" t="str">
        <f aca="false">IF(ISNUMBER(C1174),MONTH(C1174),"")</f>
        <v/>
      </c>
      <c r="X1174" s="23" t="str">
        <f aca="false">IF(T1174="","",IF(T1174=0,"No discount",IF(T1174&lt;=0.2,"Low (1-20%)",IF(T1174&lt;=0.4,"Medium (21-40%)","High (&gt;40%)"))))</f>
        <v/>
      </c>
      <c r="Y1174" s="23" t="str">
        <f aca="false">IF(AND(ISNUMBER(C1174),ISNUMBER(D1174)),D1174-C1174,"")</f>
        <v/>
      </c>
      <c r="Z1174" s="23" t="str">
        <f aca="false">IF(B1174="","",IF(MATCH(B1174,$B$2:$B$12000,0)=ROW()-1,1,0))</f>
        <v/>
      </c>
    </row>
    <row r="1175" customFormat="false" ht="15" hidden="false" customHeight="false" outlineLevel="0" collapsed="false">
      <c r="V1175" s="23" t="str">
        <f aca="false">IF(ISNUMBER(C1175),YEAR(C1175),"")</f>
        <v/>
      </c>
      <c r="W1175" s="23" t="str">
        <f aca="false">IF(ISNUMBER(C1175),MONTH(C1175),"")</f>
        <v/>
      </c>
      <c r="X1175" s="23" t="str">
        <f aca="false">IF(T1175="","",IF(T1175=0,"No discount",IF(T1175&lt;=0.2,"Low (1-20%)",IF(T1175&lt;=0.4,"Medium (21-40%)","High (&gt;40%)"))))</f>
        <v/>
      </c>
      <c r="Y1175" s="23" t="str">
        <f aca="false">IF(AND(ISNUMBER(C1175),ISNUMBER(D1175)),D1175-C1175,"")</f>
        <v/>
      </c>
      <c r="Z1175" s="23" t="str">
        <f aca="false">IF(B1175="","",IF(MATCH(B1175,$B$2:$B$12000,0)=ROW()-1,1,0))</f>
        <v/>
      </c>
    </row>
    <row r="1176" customFormat="false" ht="15" hidden="false" customHeight="false" outlineLevel="0" collapsed="false">
      <c r="V1176" s="23" t="str">
        <f aca="false">IF(ISNUMBER(C1176),YEAR(C1176),"")</f>
        <v/>
      </c>
      <c r="W1176" s="23" t="str">
        <f aca="false">IF(ISNUMBER(C1176),MONTH(C1176),"")</f>
        <v/>
      </c>
      <c r="X1176" s="23" t="str">
        <f aca="false">IF(T1176="","",IF(T1176=0,"No discount",IF(T1176&lt;=0.2,"Low (1-20%)",IF(T1176&lt;=0.4,"Medium (21-40%)","High (&gt;40%)"))))</f>
        <v/>
      </c>
      <c r="Y1176" s="23" t="str">
        <f aca="false">IF(AND(ISNUMBER(C1176),ISNUMBER(D1176)),D1176-C1176,"")</f>
        <v/>
      </c>
      <c r="Z1176" s="23" t="str">
        <f aca="false">IF(B1176="","",IF(MATCH(B1176,$B$2:$B$12000,0)=ROW()-1,1,0))</f>
        <v/>
      </c>
    </row>
    <row r="1177" customFormat="false" ht="15" hidden="false" customHeight="false" outlineLevel="0" collapsed="false">
      <c r="V1177" s="23" t="str">
        <f aca="false">IF(ISNUMBER(C1177),YEAR(C1177),"")</f>
        <v/>
      </c>
      <c r="W1177" s="23" t="str">
        <f aca="false">IF(ISNUMBER(C1177),MONTH(C1177),"")</f>
        <v/>
      </c>
      <c r="X1177" s="23" t="str">
        <f aca="false">IF(T1177="","",IF(T1177=0,"No discount",IF(T1177&lt;=0.2,"Low (1-20%)",IF(T1177&lt;=0.4,"Medium (21-40%)","High (&gt;40%)"))))</f>
        <v/>
      </c>
      <c r="Y1177" s="23" t="str">
        <f aca="false">IF(AND(ISNUMBER(C1177),ISNUMBER(D1177)),D1177-C1177,"")</f>
        <v/>
      </c>
      <c r="Z1177" s="23" t="str">
        <f aca="false">IF(B1177="","",IF(MATCH(B1177,$B$2:$B$12000,0)=ROW()-1,1,0))</f>
        <v/>
      </c>
    </row>
    <row r="1178" customFormat="false" ht="15" hidden="false" customHeight="false" outlineLevel="0" collapsed="false">
      <c r="V1178" s="23" t="str">
        <f aca="false">IF(ISNUMBER(C1178),YEAR(C1178),"")</f>
        <v/>
      </c>
      <c r="W1178" s="23" t="str">
        <f aca="false">IF(ISNUMBER(C1178),MONTH(C1178),"")</f>
        <v/>
      </c>
      <c r="X1178" s="23" t="str">
        <f aca="false">IF(T1178="","",IF(T1178=0,"No discount",IF(T1178&lt;=0.2,"Low (1-20%)",IF(T1178&lt;=0.4,"Medium (21-40%)","High (&gt;40%)"))))</f>
        <v/>
      </c>
      <c r="Y1178" s="23" t="str">
        <f aca="false">IF(AND(ISNUMBER(C1178),ISNUMBER(D1178)),D1178-C1178,"")</f>
        <v/>
      </c>
      <c r="Z1178" s="23" t="str">
        <f aca="false">IF(B1178="","",IF(MATCH(B1178,$B$2:$B$12000,0)=ROW()-1,1,0))</f>
        <v/>
      </c>
    </row>
    <row r="1179" customFormat="false" ht="15" hidden="false" customHeight="false" outlineLevel="0" collapsed="false">
      <c r="V1179" s="23" t="str">
        <f aca="false">IF(ISNUMBER(C1179),YEAR(C1179),"")</f>
        <v/>
      </c>
      <c r="W1179" s="23" t="str">
        <f aca="false">IF(ISNUMBER(C1179),MONTH(C1179),"")</f>
        <v/>
      </c>
      <c r="X1179" s="23" t="str">
        <f aca="false">IF(T1179="","",IF(T1179=0,"No discount",IF(T1179&lt;=0.2,"Low (1-20%)",IF(T1179&lt;=0.4,"Medium (21-40%)","High (&gt;40%)"))))</f>
        <v/>
      </c>
      <c r="Y1179" s="23" t="str">
        <f aca="false">IF(AND(ISNUMBER(C1179),ISNUMBER(D1179)),D1179-C1179,"")</f>
        <v/>
      </c>
      <c r="Z1179" s="23" t="str">
        <f aca="false">IF(B1179="","",IF(MATCH(B1179,$B$2:$B$12000,0)=ROW()-1,1,0))</f>
        <v/>
      </c>
    </row>
    <row r="1180" customFormat="false" ht="15" hidden="false" customHeight="false" outlineLevel="0" collapsed="false">
      <c r="V1180" s="23" t="str">
        <f aca="false">IF(ISNUMBER(C1180),YEAR(C1180),"")</f>
        <v/>
      </c>
      <c r="W1180" s="23" t="str">
        <f aca="false">IF(ISNUMBER(C1180),MONTH(C1180),"")</f>
        <v/>
      </c>
      <c r="X1180" s="23" t="str">
        <f aca="false">IF(T1180="","",IF(T1180=0,"No discount",IF(T1180&lt;=0.2,"Low (1-20%)",IF(T1180&lt;=0.4,"Medium (21-40%)","High (&gt;40%)"))))</f>
        <v/>
      </c>
      <c r="Y1180" s="23" t="str">
        <f aca="false">IF(AND(ISNUMBER(C1180),ISNUMBER(D1180)),D1180-C1180,"")</f>
        <v/>
      </c>
      <c r="Z1180" s="23" t="str">
        <f aca="false">IF(B1180="","",IF(MATCH(B1180,$B$2:$B$12000,0)=ROW()-1,1,0))</f>
        <v/>
      </c>
    </row>
    <row r="1181" customFormat="false" ht="15" hidden="false" customHeight="false" outlineLevel="0" collapsed="false">
      <c r="V1181" s="23" t="str">
        <f aca="false">IF(ISNUMBER(C1181),YEAR(C1181),"")</f>
        <v/>
      </c>
      <c r="W1181" s="23" t="str">
        <f aca="false">IF(ISNUMBER(C1181),MONTH(C1181),"")</f>
        <v/>
      </c>
      <c r="X1181" s="23" t="str">
        <f aca="false">IF(T1181="","",IF(T1181=0,"No discount",IF(T1181&lt;=0.2,"Low (1-20%)",IF(T1181&lt;=0.4,"Medium (21-40%)","High (&gt;40%)"))))</f>
        <v/>
      </c>
      <c r="Y1181" s="23" t="str">
        <f aca="false">IF(AND(ISNUMBER(C1181),ISNUMBER(D1181)),D1181-C1181,"")</f>
        <v/>
      </c>
      <c r="Z1181" s="23" t="str">
        <f aca="false">IF(B1181="","",IF(MATCH(B1181,$B$2:$B$12000,0)=ROW()-1,1,0))</f>
        <v/>
      </c>
    </row>
    <row r="1182" customFormat="false" ht="15" hidden="false" customHeight="false" outlineLevel="0" collapsed="false">
      <c r="V1182" s="23" t="str">
        <f aca="false">IF(ISNUMBER(C1182),YEAR(C1182),"")</f>
        <v/>
      </c>
      <c r="W1182" s="23" t="str">
        <f aca="false">IF(ISNUMBER(C1182),MONTH(C1182),"")</f>
        <v/>
      </c>
      <c r="X1182" s="23" t="str">
        <f aca="false">IF(T1182="","",IF(T1182=0,"No discount",IF(T1182&lt;=0.2,"Low (1-20%)",IF(T1182&lt;=0.4,"Medium (21-40%)","High (&gt;40%)"))))</f>
        <v/>
      </c>
      <c r="Y1182" s="23" t="str">
        <f aca="false">IF(AND(ISNUMBER(C1182),ISNUMBER(D1182)),D1182-C1182,"")</f>
        <v/>
      </c>
      <c r="Z1182" s="23" t="str">
        <f aca="false">IF(B1182="","",IF(MATCH(B1182,$B$2:$B$12000,0)=ROW()-1,1,0))</f>
        <v/>
      </c>
    </row>
    <row r="1183" customFormat="false" ht="15" hidden="false" customHeight="false" outlineLevel="0" collapsed="false">
      <c r="V1183" s="23" t="str">
        <f aca="false">IF(ISNUMBER(C1183),YEAR(C1183),"")</f>
        <v/>
      </c>
      <c r="W1183" s="23" t="str">
        <f aca="false">IF(ISNUMBER(C1183),MONTH(C1183),"")</f>
        <v/>
      </c>
      <c r="X1183" s="23" t="str">
        <f aca="false">IF(T1183="","",IF(T1183=0,"No discount",IF(T1183&lt;=0.2,"Low (1-20%)",IF(T1183&lt;=0.4,"Medium (21-40%)","High (&gt;40%)"))))</f>
        <v/>
      </c>
      <c r="Y1183" s="23" t="str">
        <f aca="false">IF(AND(ISNUMBER(C1183),ISNUMBER(D1183)),D1183-C1183,"")</f>
        <v/>
      </c>
      <c r="Z1183" s="23" t="str">
        <f aca="false">IF(B1183="","",IF(MATCH(B1183,$B$2:$B$12000,0)=ROW()-1,1,0))</f>
        <v/>
      </c>
    </row>
    <row r="1184" customFormat="false" ht="15" hidden="false" customHeight="false" outlineLevel="0" collapsed="false">
      <c r="V1184" s="23" t="str">
        <f aca="false">IF(ISNUMBER(C1184),YEAR(C1184),"")</f>
        <v/>
      </c>
      <c r="W1184" s="23" t="str">
        <f aca="false">IF(ISNUMBER(C1184),MONTH(C1184),"")</f>
        <v/>
      </c>
      <c r="X1184" s="23" t="str">
        <f aca="false">IF(T1184="","",IF(T1184=0,"No discount",IF(T1184&lt;=0.2,"Low (1-20%)",IF(T1184&lt;=0.4,"Medium (21-40%)","High (&gt;40%)"))))</f>
        <v/>
      </c>
      <c r="Y1184" s="23" t="str">
        <f aca="false">IF(AND(ISNUMBER(C1184),ISNUMBER(D1184)),D1184-C1184,"")</f>
        <v/>
      </c>
      <c r="Z1184" s="23" t="str">
        <f aca="false">IF(B1184="","",IF(MATCH(B1184,$B$2:$B$12000,0)=ROW()-1,1,0))</f>
        <v/>
      </c>
    </row>
    <row r="1185" customFormat="false" ht="15" hidden="false" customHeight="false" outlineLevel="0" collapsed="false">
      <c r="V1185" s="23" t="str">
        <f aca="false">IF(ISNUMBER(C1185),YEAR(C1185),"")</f>
        <v/>
      </c>
      <c r="W1185" s="23" t="str">
        <f aca="false">IF(ISNUMBER(C1185),MONTH(C1185),"")</f>
        <v/>
      </c>
      <c r="X1185" s="23" t="str">
        <f aca="false">IF(T1185="","",IF(T1185=0,"No discount",IF(T1185&lt;=0.2,"Low (1-20%)",IF(T1185&lt;=0.4,"Medium (21-40%)","High (&gt;40%)"))))</f>
        <v/>
      </c>
      <c r="Y1185" s="23" t="str">
        <f aca="false">IF(AND(ISNUMBER(C1185),ISNUMBER(D1185)),D1185-C1185,"")</f>
        <v/>
      </c>
      <c r="Z1185" s="23" t="str">
        <f aca="false">IF(B1185="","",IF(MATCH(B1185,$B$2:$B$12000,0)=ROW()-1,1,0))</f>
        <v/>
      </c>
    </row>
    <row r="1186" customFormat="false" ht="15" hidden="false" customHeight="false" outlineLevel="0" collapsed="false">
      <c r="V1186" s="23" t="str">
        <f aca="false">IF(ISNUMBER(C1186),YEAR(C1186),"")</f>
        <v/>
      </c>
      <c r="W1186" s="23" t="str">
        <f aca="false">IF(ISNUMBER(C1186),MONTH(C1186),"")</f>
        <v/>
      </c>
      <c r="X1186" s="23" t="str">
        <f aca="false">IF(T1186="","",IF(T1186=0,"No discount",IF(T1186&lt;=0.2,"Low (1-20%)",IF(T1186&lt;=0.4,"Medium (21-40%)","High (&gt;40%)"))))</f>
        <v/>
      </c>
      <c r="Y1186" s="23" t="str">
        <f aca="false">IF(AND(ISNUMBER(C1186),ISNUMBER(D1186)),D1186-C1186,"")</f>
        <v/>
      </c>
      <c r="Z1186" s="23" t="str">
        <f aca="false">IF(B1186="","",IF(MATCH(B1186,$B$2:$B$12000,0)=ROW()-1,1,0))</f>
        <v/>
      </c>
    </row>
    <row r="1187" customFormat="false" ht="15" hidden="false" customHeight="false" outlineLevel="0" collapsed="false">
      <c r="V1187" s="23" t="str">
        <f aca="false">IF(ISNUMBER(C1187),YEAR(C1187),"")</f>
        <v/>
      </c>
      <c r="W1187" s="23" t="str">
        <f aca="false">IF(ISNUMBER(C1187),MONTH(C1187),"")</f>
        <v/>
      </c>
      <c r="X1187" s="23" t="str">
        <f aca="false">IF(T1187="","",IF(T1187=0,"No discount",IF(T1187&lt;=0.2,"Low (1-20%)",IF(T1187&lt;=0.4,"Medium (21-40%)","High (&gt;40%)"))))</f>
        <v/>
      </c>
      <c r="Y1187" s="23" t="str">
        <f aca="false">IF(AND(ISNUMBER(C1187),ISNUMBER(D1187)),D1187-C1187,"")</f>
        <v/>
      </c>
      <c r="Z1187" s="23" t="str">
        <f aca="false">IF(B1187="","",IF(MATCH(B1187,$B$2:$B$12000,0)=ROW()-1,1,0))</f>
        <v/>
      </c>
    </row>
    <row r="1188" customFormat="false" ht="15" hidden="false" customHeight="false" outlineLevel="0" collapsed="false">
      <c r="V1188" s="23" t="str">
        <f aca="false">IF(ISNUMBER(C1188),YEAR(C1188),"")</f>
        <v/>
      </c>
      <c r="W1188" s="23" t="str">
        <f aca="false">IF(ISNUMBER(C1188),MONTH(C1188),"")</f>
        <v/>
      </c>
      <c r="X1188" s="23" t="str">
        <f aca="false">IF(T1188="","",IF(T1188=0,"No discount",IF(T1188&lt;=0.2,"Low (1-20%)",IF(T1188&lt;=0.4,"Medium (21-40%)","High (&gt;40%)"))))</f>
        <v/>
      </c>
      <c r="Y1188" s="23" t="str">
        <f aca="false">IF(AND(ISNUMBER(C1188),ISNUMBER(D1188)),D1188-C1188,"")</f>
        <v/>
      </c>
      <c r="Z1188" s="23" t="str">
        <f aca="false">IF(B1188="","",IF(MATCH(B1188,$B$2:$B$12000,0)=ROW()-1,1,0))</f>
        <v/>
      </c>
    </row>
    <row r="1189" customFormat="false" ht="15" hidden="false" customHeight="false" outlineLevel="0" collapsed="false">
      <c r="V1189" s="23" t="str">
        <f aca="false">IF(ISNUMBER(C1189),YEAR(C1189),"")</f>
        <v/>
      </c>
      <c r="W1189" s="23" t="str">
        <f aca="false">IF(ISNUMBER(C1189),MONTH(C1189),"")</f>
        <v/>
      </c>
      <c r="X1189" s="23" t="str">
        <f aca="false">IF(T1189="","",IF(T1189=0,"No discount",IF(T1189&lt;=0.2,"Low (1-20%)",IF(T1189&lt;=0.4,"Medium (21-40%)","High (&gt;40%)"))))</f>
        <v/>
      </c>
      <c r="Y1189" s="23" t="str">
        <f aca="false">IF(AND(ISNUMBER(C1189),ISNUMBER(D1189)),D1189-C1189,"")</f>
        <v/>
      </c>
      <c r="Z1189" s="23" t="str">
        <f aca="false">IF(B1189="","",IF(MATCH(B1189,$B$2:$B$12000,0)=ROW()-1,1,0))</f>
        <v/>
      </c>
    </row>
    <row r="1190" customFormat="false" ht="15" hidden="false" customHeight="false" outlineLevel="0" collapsed="false">
      <c r="V1190" s="23" t="str">
        <f aca="false">IF(ISNUMBER(C1190),YEAR(C1190),"")</f>
        <v/>
      </c>
      <c r="W1190" s="23" t="str">
        <f aca="false">IF(ISNUMBER(C1190),MONTH(C1190),"")</f>
        <v/>
      </c>
      <c r="X1190" s="23" t="str">
        <f aca="false">IF(T1190="","",IF(T1190=0,"No discount",IF(T1190&lt;=0.2,"Low (1-20%)",IF(T1190&lt;=0.4,"Medium (21-40%)","High (&gt;40%)"))))</f>
        <v/>
      </c>
      <c r="Y1190" s="23" t="str">
        <f aca="false">IF(AND(ISNUMBER(C1190),ISNUMBER(D1190)),D1190-C1190,"")</f>
        <v/>
      </c>
      <c r="Z1190" s="23" t="str">
        <f aca="false">IF(B1190="","",IF(MATCH(B1190,$B$2:$B$12000,0)=ROW()-1,1,0))</f>
        <v/>
      </c>
    </row>
    <row r="1191" customFormat="false" ht="15" hidden="false" customHeight="false" outlineLevel="0" collapsed="false">
      <c r="V1191" s="23" t="str">
        <f aca="false">IF(ISNUMBER(C1191),YEAR(C1191),"")</f>
        <v/>
      </c>
      <c r="W1191" s="23" t="str">
        <f aca="false">IF(ISNUMBER(C1191),MONTH(C1191),"")</f>
        <v/>
      </c>
      <c r="X1191" s="23" t="str">
        <f aca="false">IF(T1191="","",IF(T1191=0,"No discount",IF(T1191&lt;=0.2,"Low (1-20%)",IF(T1191&lt;=0.4,"Medium (21-40%)","High (&gt;40%)"))))</f>
        <v/>
      </c>
      <c r="Y1191" s="23" t="str">
        <f aca="false">IF(AND(ISNUMBER(C1191),ISNUMBER(D1191)),D1191-C1191,"")</f>
        <v/>
      </c>
      <c r="Z1191" s="23" t="str">
        <f aca="false">IF(B1191="","",IF(MATCH(B1191,$B$2:$B$12000,0)=ROW()-1,1,0))</f>
        <v/>
      </c>
    </row>
    <row r="1192" customFormat="false" ht="15" hidden="false" customHeight="false" outlineLevel="0" collapsed="false">
      <c r="V1192" s="23" t="str">
        <f aca="false">IF(ISNUMBER(C1192),YEAR(C1192),"")</f>
        <v/>
      </c>
      <c r="W1192" s="23" t="str">
        <f aca="false">IF(ISNUMBER(C1192),MONTH(C1192),"")</f>
        <v/>
      </c>
      <c r="X1192" s="23" t="str">
        <f aca="false">IF(T1192="","",IF(T1192=0,"No discount",IF(T1192&lt;=0.2,"Low (1-20%)",IF(T1192&lt;=0.4,"Medium (21-40%)","High (&gt;40%)"))))</f>
        <v/>
      </c>
      <c r="Y1192" s="23" t="str">
        <f aca="false">IF(AND(ISNUMBER(C1192),ISNUMBER(D1192)),D1192-C1192,"")</f>
        <v/>
      </c>
      <c r="Z1192" s="23" t="str">
        <f aca="false">IF(B1192="","",IF(MATCH(B1192,$B$2:$B$12000,0)=ROW()-1,1,0))</f>
        <v/>
      </c>
    </row>
    <row r="1193" customFormat="false" ht="15" hidden="false" customHeight="false" outlineLevel="0" collapsed="false">
      <c r="V1193" s="23" t="str">
        <f aca="false">IF(ISNUMBER(C1193),YEAR(C1193),"")</f>
        <v/>
      </c>
      <c r="W1193" s="23" t="str">
        <f aca="false">IF(ISNUMBER(C1193),MONTH(C1193),"")</f>
        <v/>
      </c>
      <c r="X1193" s="23" t="str">
        <f aca="false">IF(T1193="","",IF(T1193=0,"No discount",IF(T1193&lt;=0.2,"Low (1-20%)",IF(T1193&lt;=0.4,"Medium (21-40%)","High (&gt;40%)"))))</f>
        <v/>
      </c>
      <c r="Y1193" s="23" t="str">
        <f aca="false">IF(AND(ISNUMBER(C1193),ISNUMBER(D1193)),D1193-C1193,"")</f>
        <v/>
      </c>
      <c r="Z1193" s="23" t="str">
        <f aca="false">IF(B1193="","",IF(MATCH(B1193,$B$2:$B$12000,0)=ROW()-1,1,0))</f>
        <v/>
      </c>
    </row>
    <row r="1194" customFormat="false" ht="15" hidden="false" customHeight="false" outlineLevel="0" collapsed="false">
      <c r="V1194" s="23" t="str">
        <f aca="false">IF(ISNUMBER(C1194),YEAR(C1194),"")</f>
        <v/>
      </c>
      <c r="W1194" s="23" t="str">
        <f aca="false">IF(ISNUMBER(C1194),MONTH(C1194),"")</f>
        <v/>
      </c>
      <c r="X1194" s="23" t="str">
        <f aca="false">IF(T1194="","",IF(T1194=0,"No discount",IF(T1194&lt;=0.2,"Low (1-20%)",IF(T1194&lt;=0.4,"Medium (21-40%)","High (&gt;40%)"))))</f>
        <v/>
      </c>
      <c r="Y1194" s="23" t="str">
        <f aca="false">IF(AND(ISNUMBER(C1194),ISNUMBER(D1194)),D1194-C1194,"")</f>
        <v/>
      </c>
      <c r="Z1194" s="23" t="str">
        <f aca="false">IF(B1194="","",IF(MATCH(B1194,$B$2:$B$12000,0)=ROW()-1,1,0))</f>
        <v/>
      </c>
    </row>
    <row r="1195" customFormat="false" ht="15" hidden="false" customHeight="false" outlineLevel="0" collapsed="false">
      <c r="V1195" s="23" t="str">
        <f aca="false">IF(ISNUMBER(C1195),YEAR(C1195),"")</f>
        <v/>
      </c>
      <c r="W1195" s="23" t="str">
        <f aca="false">IF(ISNUMBER(C1195),MONTH(C1195),"")</f>
        <v/>
      </c>
      <c r="X1195" s="23" t="str">
        <f aca="false">IF(T1195="","",IF(T1195=0,"No discount",IF(T1195&lt;=0.2,"Low (1-20%)",IF(T1195&lt;=0.4,"Medium (21-40%)","High (&gt;40%)"))))</f>
        <v/>
      </c>
      <c r="Y1195" s="23" t="str">
        <f aca="false">IF(AND(ISNUMBER(C1195),ISNUMBER(D1195)),D1195-C1195,"")</f>
        <v/>
      </c>
      <c r="Z1195" s="23" t="str">
        <f aca="false">IF(B1195="","",IF(MATCH(B1195,$B$2:$B$12000,0)=ROW()-1,1,0))</f>
        <v/>
      </c>
    </row>
    <row r="1196" customFormat="false" ht="15" hidden="false" customHeight="false" outlineLevel="0" collapsed="false">
      <c r="V1196" s="23" t="str">
        <f aca="false">IF(ISNUMBER(C1196),YEAR(C1196),"")</f>
        <v/>
      </c>
      <c r="W1196" s="23" t="str">
        <f aca="false">IF(ISNUMBER(C1196),MONTH(C1196),"")</f>
        <v/>
      </c>
      <c r="X1196" s="23" t="str">
        <f aca="false">IF(T1196="","",IF(T1196=0,"No discount",IF(T1196&lt;=0.2,"Low (1-20%)",IF(T1196&lt;=0.4,"Medium (21-40%)","High (&gt;40%)"))))</f>
        <v/>
      </c>
      <c r="Y1196" s="23" t="str">
        <f aca="false">IF(AND(ISNUMBER(C1196),ISNUMBER(D1196)),D1196-C1196,"")</f>
        <v/>
      </c>
      <c r="Z1196" s="23" t="str">
        <f aca="false">IF(B1196="","",IF(MATCH(B1196,$B$2:$B$12000,0)=ROW()-1,1,0))</f>
        <v/>
      </c>
    </row>
    <row r="1197" customFormat="false" ht="15" hidden="false" customHeight="false" outlineLevel="0" collapsed="false">
      <c r="V1197" s="23" t="str">
        <f aca="false">IF(ISNUMBER(C1197),YEAR(C1197),"")</f>
        <v/>
      </c>
      <c r="W1197" s="23" t="str">
        <f aca="false">IF(ISNUMBER(C1197),MONTH(C1197),"")</f>
        <v/>
      </c>
      <c r="X1197" s="23" t="str">
        <f aca="false">IF(T1197="","",IF(T1197=0,"No discount",IF(T1197&lt;=0.2,"Low (1-20%)",IF(T1197&lt;=0.4,"Medium (21-40%)","High (&gt;40%)"))))</f>
        <v/>
      </c>
      <c r="Y1197" s="23" t="str">
        <f aca="false">IF(AND(ISNUMBER(C1197),ISNUMBER(D1197)),D1197-C1197,"")</f>
        <v/>
      </c>
      <c r="Z1197" s="23" t="str">
        <f aca="false">IF(B1197="","",IF(MATCH(B1197,$B$2:$B$12000,0)=ROW()-1,1,0))</f>
        <v/>
      </c>
    </row>
    <row r="1198" customFormat="false" ht="15" hidden="false" customHeight="false" outlineLevel="0" collapsed="false">
      <c r="V1198" s="23" t="str">
        <f aca="false">IF(ISNUMBER(C1198),YEAR(C1198),"")</f>
        <v/>
      </c>
      <c r="W1198" s="23" t="str">
        <f aca="false">IF(ISNUMBER(C1198),MONTH(C1198),"")</f>
        <v/>
      </c>
      <c r="X1198" s="23" t="str">
        <f aca="false">IF(T1198="","",IF(T1198=0,"No discount",IF(T1198&lt;=0.2,"Low (1-20%)",IF(T1198&lt;=0.4,"Medium (21-40%)","High (&gt;40%)"))))</f>
        <v/>
      </c>
      <c r="Y1198" s="23" t="str">
        <f aca="false">IF(AND(ISNUMBER(C1198),ISNUMBER(D1198)),D1198-C1198,"")</f>
        <v/>
      </c>
      <c r="Z1198" s="23" t="str">
        <f aca="false">IF(B1198="","",IF(MATCH(B1198,$B$2:$B$12000,0)=ROW()-1,1,0))</f>
        <v/>
      </c>
    </row>
    <row r="1199" customFormat="false" ht="15" hidden="false" customHeight="false" outlineLevel="0" collapsed="false">
      <c r="V1199" s="23" t="str">
        <f aca="false">IF(ISNUMBER(C1199),YEAR(C1199),"")</f>
        <v/>
      </c>
      <c r="W1199" s="23" t="str">
        <f aca="false">IF(ISNUMBER(C1199),MONTH(C1199),"")</f>
        <v/>
      </c>
      <c r="X1199" s="23" t="str">
        <f aca="false">IF(T1199="","",IF(T1199=0,"No discount",IF(T1199&lt;=0.2,"Low (1-20%)",IF(T1199&lt;=0.4,"Medium (21-40%)","High (&gt;40%)"))))</f>
        <v/>
      </c>
      <c r="Y1199" s="23" t="str">
        <f aca="false">IF(AND(ISNUMBER(C1199),ISNUMBER(D1199)),D1199-C1199,"")</f>
        <v/>
      </c>
      <c r="Z1199" s="23" t="str">
        <f aca="false">IF(B1199="","",IF(MATCH(B1199,$B$2:$B$12000,0)=ROW()-1,1,0))</f>
        <v/>
      </c>
    </row>
    <row r="1200" customFormat="false" ht="15" hidden="false" customHeight="false" outlineLevel="0" collapsed="false">
      <c r="V1200" s="23" t="str">
        <f aca="false">IF(ISNUMBER(C1200),YEAR(C1200),"")</f>
        <v/>
      </c>
      <c r="W1200" s="23" t="str">
        <f aca="false">IF(ISNUMBER(C1200),MONTH(C1200),"")</f>
        <v/>
      </c>
      <c r="X1200" s="23" t="str">
        <f aca="false">IF(T1200="","",IF(T1200=0,"No discount",IF(T1200&lt;=0.2,"Low (1-20%)",IF(T1200&lt;=0.4,"Medium (21-40%)","High (&gt;40%)"))))</f>
        <v/>
      </c>
      <c r="Y1200" s="23" t="str">
        <f aca="false">IF(AND(ISNUMBER(C1200),ISNUMBER(D1200)),D1200-C1200,"")</f>
        <v/>
      </c>
      <c r="Z1200" s="23" t="str">
        <f aca="false">IF(B1200="","",IF(MATCH(B1200,$B$2:$B$12000,0)=ROW()-1,1,0))</f>
        <v/>
      </c>
    </row>
    <row r="1201" customFormat="false" ht="15" hidden="false" customHeight="false" outlineLevel="0" collapsed="false">
      <c r="V1201" s="23" t="str">
        <f aca="false">IF(ISNUMBER(C1201),YEAR(C1201),"")</f>
        <v/>
      </c>
      <c r="W1201" s="23" t="str">
        <f aca="false">IF(ISNUMBER(C1201),MONTH(C1201),"")</f>
        <v/>
      </c>
      <c r="X1201" s="23" t="str">
        <f aca="false">IF(T1201="","",IF(T1201=0,"No discount",IF(T1201&lt;=0.2,"Low (1-20%)",IF(T1201&lt;=0.4,"Medium (21-40%)","High (&gt;40%)"))))</f>
        <v/>
      </c>
      <c r="Y1201" s="23" t="str">
        <f aca="false">IF(AND(ISNUMBER(C1201),ISNUMBER(D1201)),D1201-C1201,"")</f>
        <v/>
      </c>
      <c r="Z1201" s="23" t="str">
        <f aca="false">IF(B1201="","",IF(MATCH(B1201,$B$2:$B$12000,0)=ROW()-1,1,0))</f>
        <v/>
      </c>
    </row>
    <row r="1202" customFormat="false" ht="15" hidden="false" customHeight="false" outlineLevel="0" collapsed="false">
      <c r="V1202" s="23" t="str">
        <f aca="false">IF(ISNUMBER(C1202),YEAR(C1202),"")</f>
        <v/>
      </c>
      <c r="W1202" s="23" t="str">
        <f aca="false">IF(ISNUMBER(C1202),MONTH(C1202),"")</f>
        <v/>
      </c>
      <c r="X1202" s="23" t="str">
        <f aca="false">IF(T1202="","",IF(T1202=0,"No discount",IF(T1202&lt;=0.2,"Low (1-20%)",IF(T1202&lt;=0.4,"Medium (21-40%)","High (&gt;40%)"))))</f>
        <v/>
      </c>
      <c r="Y1202" s="23" t="str">
        <f aca="false">IF(AND(ISNUMBER(C1202),ISNUMBER(D1202)),D1202-C1202,"")</f>
        <v/>
      </c>
      <c r="Z1202" s="23" t="str">
        <f aca="false">IF(B1202="","",IF(MATCH(B1202,$B$2:$B$12000,0)=ROW()-1,1,0))</f>
        <v/>
      </c>
    </row>
    <row r="1203" customFormat="false" ht="15" hidden="false" customHeight="false" outlineLevel="0" collapsed="false">
      <c r="V1203" s="23" t="str">
        <f aca="false">IF(ISNUMBER(C1203),YEAR(C1203),"")</f>
        <v/>
      </c>
      <c r="W1203" s="23" t="str">
        <f aca="false">IF(ISNUMBER(C1203),MONTH(C1203),"")</f>
        <v/>
      </c>
      <c r="X1203" s="23" t="str">
        <f aca="false">IF(T1203="","",IF(T1203=0,"No discount",IF(T1203&lt;=0.2,"Low (1-20%)",IF(T1203&lt;=0.4,"Medium (21-40%)","High (&gt;40%)"))))</f>
        <v/>
      </c>
      <c r="Y1203" s="23" t="str">
        <f aca="false">IF(AND(ISNUMBER(C1203),ISNUMBER(D1203)),D1203-C1203,"")</f>
        <v/>
      </c>
      <c r="Z1203" s="23" t="str">
        <f aca="false">IF(B1203="","",IF(MATCH(B1203,$B$2:$B$12000,0)=ROW()-1,1,0))</f>
        <v/>
      </c>
    </row>
    <row r="1204" customFormat="false" ht="15" hidden="false" customHeight="false" outlineLevel="0" collapsed="false">
      <c r="V1204" s="23" t="str">
        <f aca="false">IF(ISNUMBER(C1204),YEAR(C1204),"")</f>
        <v/>
      </c>
      <c r="W1204" s="23" t="str">
        <f aca="false">IF(ISNUMBER(C1204),MONTH(C1204),"")</f>
        <v/>
      </c>
      <c r="X1204" s="23" t="str">
        <f aca="false">IF(T1204="","",IF(T1204=0,"No discount",IF(T1204&lt;=0.2,"Low (1-20%)",IF(T1204&lt;=0.4,"Medium (21-40%)","High (&gt;40%)"))))</f>
        <v/>
      </c>
      <c r="Y1204" s="23" t="str">
        <f aca="false">IF(AND(ISNUMBER(C1204),ISNUMBER(D1204)),D1204-C1204,"")</f>
        <v/>
      </c>
      <c r="Z1204" s="23" t="str">
        <f aca="false">IF(B1204="","",IF(MATCH(B1204,$B$2:$B$12000,0)=ROW()-1,1,0))</f>
        <v/>
      </c>
    </row>
    <row r="1205" customFormat="false" ht="15" hidden="false" customHeight="false" outlineLevel="0" collapsed="false">
      <c r="V1205" s="23" t="str">
        <f aca="false">IF(ISNUMBER(C1205),YEAR(C1205),"")</f>
        <v/>
      </c>
      <c r="W1205" s="23" t="str">
        <f aca="false">IF(ISNUMBER(C1205),MONTH(C1205),"")</f>
        <v/>
      </c>
      <c r="X1205" s="23" t="str">
        <f aca="false">IF(T1205="","",IF(T1205=0,"No discount",IF(T1205&lt;=0.2,"Low (1-20%)",IF(T1205&lt;=0.4,"Medium (21-40%)","High (&gt;40%)"))))</f>
        <v/>
      </c>
      <c r="Y1205" s="23" t="str">
        <f aca="false">IF(AND(ISNUMBER(C1205),ISNUMBER(D1205)),D1205-C1205,"")</f>
        <v/>
      </c>
      <c r="Z1205" s="23" t="str">
        <f aca="false">IF(B1205="","",IF(MATCH(B1205,$B$2:$B$12000,0)=ROW()-1,1,0))</f>
        <v/>
      </c>
    </row>
    <row r="1206" customFormat="false" ht="15" hidden="false" customHeight="false" outlineLevel="0" collapsed="false">
      <c r="V1206" s="23" t="str">
        <f aca="false">IF(ISNUMBER(C1206),YEAR(C1206),"")</f>
        <v/>
      </c>
      <c r="W1206" s="23" t="str">
        <f aca="false">IF(ISNUMBER(C1206),MONTH(C1206),"")</f>
        <v/>
      </c>
      <c r="X1206" s="23" t="str">
        <f aca="false">IF(T1206="","",IF(T1206=0,"No discount",IF(T1206&lt;=0.2,"Low (1-20%)",IF(T1206&lt;=0.4,"Medium (21-40%)","High (&gt;40%)"))))</f>
        <v/>
      </c>
      <c r="Y1206" s="23" t="str">
        <f aca="false">IF(AND(ISNUMBER(C1206),ISNUMBER(D1206)),D1206-C1206,"")</f>
        <v/>
      </c>
      <c r="Z1206" s="23" t="str">
        <f aca="false">IF(B1206="","",IF(MATCH(B1206,$B$2:$B$12000,0)=ROW()-1,1,0))</f>
        <v/>
      </c>
    </row>
    <row r="1207" customFormat="false" ht="15" hidden="false" customHeight="false" outlineLevel="0" collapsed="false">
      <c r="V1207" s="23" t="str">
        <f aca="false">IF(ISNUMBER(C1207),YEAR(C1207),"")</f>
        <v/>
      </c>
      <c r="W1207" s="23" t="str">
        <f aca="false">IF(ISNUMBER(C1207),MONTH(C1207),"")</f>
        <v/>
      </c>
      <c r="X1207" s="23" t="str">
        <f aca="false">IF(T1207="","",IF(T1207=0,"No discount",IF(T1207&lt;=0.2,"Low (1-20%)",IF(T1207&lt;=0.4,"Medium (21-40%)","High (&gt;40%)"))))</f>
        <v/>
      </c>
      <c r="Y1207" s="23" t="str">
        <f aca="false">IF(AND(ISNUMBER(C1207),ISNUMBER(D1207)),D1207-C1207,"")</f>
        <v/>
      </c>
      <c r="Z1207" s="23" t="str">
        <f aca="false">IF(B1207="","",IF(MATCH(B1207,$B$2:$B$12000,0)=ROW()-1,1,0))</f>
        <v/>
      </c>
    </row>
    <row r="1208" customFormat="false" ht="15" hidden="false" customHeight="false" outlineLevel="0" collapsed="false">
      <c r="V1208" s="23" t="str">
        <f aca="false">IF(ISNUMBER(C1208),YEAR(C1208),"")</f>
        <v/>
      </c>
      <c r="W1208" s="23" t="str">
        <f aca="false">IF(ISNUMBER(C1208),MONTH(C1208),"")</f>
        <v/>
      </c>
      <c r="X1208" s="23" t="str">
        <f aca="false">IF(T1208="","",IF(T1208=0,"No discount",IF(T1208&lt;=0.2,"Low (1-20%)",IF(T1208&lt;=0.4,"Medium (21-40%)","High (&gt;40%)"))))</f>
        <v/>
      </c>
      <c r="Y1208" s="23" t="str">
        <f aca="false">IF(AND(ISNUMBER(C1208),ISNUMBER(D1208)),D1208-C1208,"")</f>
        <v/>
      </c>
      <c r="Z1208" s="23" t="str">
        <f aca="false">IF(B1208="","",IF(MATCH(B1208,$B$2:$B$12000,0)=ROW()-1,1,0))</f>
        <v/>
      </c>
    </row>
    <row r="1209" customFormat="false" ht="15" hidden="false" customHeight="false" outlineLevel="0" collapsed="false">
      <c r="V1209" s="23" t="str">
        <f aca="false">IF(ISNUMBER(C1209),YEAR(C1209),"")</f>
        <v/>
      </c>
      <c r="W1209" s="23" t="str">
        <f aca="false">IF(ISNUMBER(C1209),MONTH(C1209),"")</f>
        <v/>
      </c>
      <c r="X1209" s="23" t="str">
        <f aca="false">IF(T1209="","",IF(T1209=0,"No discount",IF(T1209&lt;=0.2,"Low (1-20%)",IF(T1209&lt;=0.4,"Medium (21-40%)","High (&gt;40%)"))))</f>
        <v/>
      </c>
      <c r="Y1209" s="23" t="str">
        <f aca="false">IF(AND(ISNUMBER(C1209),ISNUMBER(D1209)),D1209-C1209,"")</f>
        <v/>
      </c>
      <c r="Z1209" s="23" t="str">
        <f aca="false">IF(B1209="","",IF(MATCH(B1209,$B$2:$B$12000,0)=ROW()-1,1,0))</f>
        <v/>
      </c>
    </row>
    <row r="1210" customFormat="false" ht="15" hidden="false" customHeight="false" outlineLevel="0" collapsed="false">
      <c r="V1210" s="23" t="str">
        <f aca="false">IF(ISNUMBER(C1210),YEAR(C1210),"")</f>
        <v/>
      </c>
      <c r="W1210" s="23" t="str">
        <f aca="false">IF(ISNUMBER(C1210),MONTH(C1210),"")</f>
        <v/>
      </c>
      <c r="X1210" s="23" t="str">
        <f aca="false">IF(T1210="","",IF(T1210=0,"No discount",IF(T1210&lt;=0.2,"Low (1-20%)",IF(T1210&lt;=0.4,"Medium (21-40%)","High (&gt;40%)"))))</f>
        <v/>
      </c>
      <c r="Y1210" s="23" t="str">
        <f aca="false">IF(AND(ISNUMBER(C1210),ISNUMBER(D1210)),D1210-C1210,"")</f>
        <v/>
      </c>
      <c r="Z1210" s="23" t="str">
        <f aca="false">IF(B1210="","",IF(MATCH(B1210,$B$2:$B$12000,0)=ROW()-1,1,0))</f>
        <v/>
      </c>
    </row>
    <row r="1211" customFormat="false" ht="15" hidden="false" customHeight="false" outlineLevel="0" collapsed="false">
      <c r="V1211" s="23" t="str">
        <f aca="false">IF(ISNUMBER(C1211),YEAR(C1211),"")</f>
        <v/>
      </c>
      <c r="W1211" s="23" t="str">
        <f aca="false">IF(ISNUMBER(C1211),MONTH(C1211),"")</f>
        <v/>
      </c>
      <c r="X1211" s="23" t="str">
        <f aca="false">IF(T1211="","",IF(T1211=0,"No discount",IF(T1211&lt;=0.2,"Low (1-20%)",IF(T1211&lt;=0.4,"Medium (21-40%)","High (&gt;40%)"))))</f>
        <v/>
      </c>
      <c r="Y1211" s="23" t="str">
        <f aca="false">IF(AND(ISNUMBER(C1211),ISNUMBER(D1211)),D1211-C1211,"")</f>
        <v/>
      </c>
      <c r="Z1211" s="23" t="str">
        <f aca="false">IF(B1211="","",IF(MATCH(B1211,$B$2:$B$12000,0)=ROW()-1,1,0))</f>
        <v/>
      </c>
    </row>
    <row r="1212" customFormat="false" ht="15" hidden="false" customHeight="false" outlineLevel="0" collapsed="false">
      <c r="V1212" s="23" t="str">
        <f aca="false">IF(ISNUMBER(C1212),YEAR(C1212),"")</f>
        <v/>
      </c>
      <c r="W1212" s="23" t="str">
        <f aca="false">IF(ISNUMBER(C1212),MONTH(C1212),"")</f>
        <v/>
      </c>
      <c r="X1212" s="23" t="str">
        <f aca="false">IF(T1212="","",IF(T1212=0,"No discount",IF(T1212&lt;=0.2,"Low (1-20%)",IF(T1212&lt;=0.4,"Medium (21-40%)","High (&gt;40%)"))))</f>
        <v/>
      </c>
      <c r="Y1212" s="23" t="str">
        <f aca="false">IF(AND(ISNUMBER(C1212),ISNUMBER(D1212)),D1212-C1212,"")</f>
        <v/>
      </c>
      <c r="Z1212" s="23" t="str">
        <f aca="false">IF(B1212="","",IF(MATCH(B1212,$B$2:$B$12000,0)=ROW()-1,1,0))</f>
        <v/>
      </c>
    </row>
    <row r="1213" customFormat="false" ht="15" hidden="false" customHeight="false" outlineLevel="0" collapsed="false">
      <c r="V1213" s="23" t="str">
        <f aca="false">IF(ISNUMBER(C1213),YEAR(C1213),"")</f>
        <v/>
      </c>
      <c r="W1213" s="23" t="str">
        <f aca="false">IF(ISNUMBER(C1213),MONTH(C1213),"")</f>
        <v/>
      </c>
      <c r="X1213" s="23" t="str">
        <f aca="false">IF(T1213="","",IF(T1213=0,"No discount",IF(T1213&lt;=0.2,"Low (1-20%)",IF(T1213&lt;=0.4,"Medium (21-40%)","High (&gt;40%)"))))</f>
        <v/>
      </c>
      <c r="Y1213" s="23" t="str">
        <f aca="false">IF(AND(ISNUMBER(C1213),ISNUMBER(D1213)),D1213-C1213,"")</f>
        <v/>
      </c>
      <c r="Z1213" s="23" t="str">
        <f aca="false">IF(B1213="","",IF(MATCH(B1213,$B$2:$B$12000,0)=ROW()-1,1,0))</f>
        <v/>
      </c>
    </row>
    <row r="1214" customFormat="false" ht="15" hidden="false" customHeight="false" outlineLevel="0" collapsed="false">
      <c r="V1214" s="23" t="str">
        <f aca="false">IF(ISNUMBER(C1214),YEAR(C1214),"")</f>
        <v/>
      </c>
      <c r="W1214" s="23" t="str">
        <f aca="false">IF(ISNUMBER(C1214),MONTH(C1214),"")</f>
        <v/>
      </c>
      <c r="X1214" s="23" t="str">
        <f aca="false">IF(T1214="","",IF(T1214=0,"No discount",IF(T1214&lt;=0.2,"Low (1-20%)",IF(T1214&lt;=0.4,"Medium (21-40%)","High (&gt;40%)"))))</f>
        <v/>
      </c>
      <c r="Y1214" s="23" t="str">
        <f aca="false">IF(AND(ISNUMBER(C1214),ISNUMBER(D1214)),D1214-C1214,"")</f>
        <v/>
      </c>
      <c r="Z1214" s="23" t="str">
        <f aca="false">IF(B1214="","",IF(MATCH(B1214,$B$2:$B$12000,0)=ROW()-1,1,0))</f>
        <v/>
      </c>
    </row>
    <row r="1215" customFormat="false" ht="15" hidden="false" customHeight="false" outlineLevel="0" collapsed="false">
      <c r="V1215" s="23" t="str">
        <f aca="false">IF(ISNUMBER(C1215),YEAR(C1215),"")</f>
        <v/>
      </c>
      <c r="W1215" s="23" t="str">
        <f aca="false">IF(ISNUMBER(C1215),MONTH(C1215),"")</f>
        <v/>
      </c>
      <c r="X1215" s="23" t="str">
        <f aca="false">IF(T1215="","",IF(T1215=0,"No discount",IF(T1215&lt;=0.2,"Low (1-20%)",IF(T1215&lt;=0.4,"Medium (21-40%)","High (&gt;40%)"))))</f>
        <v/>
      </c>
      <c r="Y1215" s="23" t="str">
        <f aca="false">IF(AND(ISNUMBER(C1215),ISNUMBER(D1215)),D1215-C1215,"")</f>
        <v/>
      </c>
      <c r="Z1215" s="23" t="str">
        <f aca="false">IF(B1215="","",IF(MATCH(B1215,$B$2:$B$12000,0)=ROW()-1,1,0))</f>
        <v/>
      </c>
    </row>
    <row r="1216" customFormat="false" ht="15" hidden="false" customHeight="false" outlineLevel="0" collapsed="false">
      <c r="V1216" s="23" t="str">
        <f aca="false">IF(ISNUMBER(C1216),YEAR(C1216),"")</f>
        <v/>
      </c>
      <c r="W1216" s="23" t="str">
        <f aca="false">IF(ISNUMBER(C1216),MONTH(C1216),"")</f>
        <v/>
      </c>
      <c r="X1216" s="23" t="str">
        <f aca="false">IF(T1216="","",IF(T1216=0,"No discount",IF(T1216&lt;=0.2,"Low (1-20%)",IF(T1216&lt;=0.4,"Medium (21-40%)","High (&gt;40%)"))))</f>
        <v/>
      </c>
      <c r="Y1216" s="23" t="str">
        <f aca="false">IF(AND(ISNUMBER(C1216),ISNUMBER(D1216)),D1216-C1216,"")</f>
        <v/>
      </c>
      <c r="Z1216" s="23" t="str">
        <f aca="false">IF(B1216="","",IF(MATCH(B1216,$B$2:$B$12000,0)=ROW()-1,1,0))</f>
        <v/>
      </c>
    </row>
    <row r="1217" customFormat="false" ht="15" hidden="false" customHeight="false" outlineLevel="0" collapsed="false">
      <c r="V1217" s="23" t="str">
        <f aca="false">IF(ISNUMBER(C1217),YEAR(C1217),"")</f>
        <v/>
      </c>
      <c r="W1217" s="23" t="str">
        <f aca="false">IF(ISNUMBER(C1217),MONTH(C1217),"")</f>
        <v/>
      </c>
      <c r="X1217" s="23" t="str">
        <f aca="false">IF(T1217="","",IF(T1217=0,"No discount",IF(T1217&lt;=0.2,"Low (1-20%)",IF(T1217&lt;=0.4,"Medium (21-40%)","High (&gt;40%)"))))</f>
        <v/>
      </c>
      <c r="Y1217" s="23" t="str">
        <f aca="false">IF(AND(ISNUMBER(C1217),ISNUMBER(D1217)),D1217-C1217,"")</f>
        <v/>
      </c>
      <c r="Z1217" s="23" t="str">
        <f aca="false">IF(B1217="","",IF(MATCH(B1217,$B$2:$B$12000,0)=ROW()-1,1,0))</f>
        <v/>
      </c>
    </row>
    <row r="1218" customFormat="false" ht="15" hidden="false" customHeight="false" outlineLevel="0" collapsed="false">
      <c r="V1218" s="23" t="str">
        <f aca="false">IF(ISNUMBER(C1218),YEAR(C1218),"")</f>
        <v/>
      </c>
      <c r="W1218" s="23" t="str">
        <f aca="false">IF(ISNUMBER(C1218),MONTH(C1218),"")</f>
        <v/>
      </c>
      <c r="X1218" s="23" t="str">
        <f aca="false">IF(T1218="","",IF(T1218=0,"No discount",IF(T1218&lt;=0.2,"Low (1-20%)",IF(T1218&lt;=0.4,"Medium (21-40%)","High (&gt;40%)"))))</f>
        <v/>
      </c>
      <c r="Y1218" s="23" t="str">
        <f aca="false">IF(AND(ISNUMBER(C1218),ISNUMBER(D1218)),D1218-C1218,"")</f>
        <v/>
      </c>
      <c r="Z1218" s="23" t="str">
        <f aca="false">IF(B1218="","",IF(MATCH(B1218,$B$2:$B$12000,0)=ROW()-1,1,0))</f>
        <v/>
      </c>
    </row>
    <row r="1219" customFormat="false" ht="15" hidden="false" customHeight="false" outlineLevel="0" collapsed="false">
      <c r="V1219" s="23" t="str">
        <f aca="false">IF(ISNUMBER(C1219),YEAR(C1219),"")</f>
        <v/>
      </c>
      <c r="W1219" s="23" t="str">
        <f aca="false">IF(ISNUMBER(C1219),MONTH(C1219),"")</f>
        <v/>
      </c>
      <c r="X1219" s="23" t="str">
        <f aca="false">IF(T1219="","",IF(T1219=0,"No discount",IF(T1219&lt;=0.2,"Low (1-20%)",IF(T1219&lt;=0.4,"Medium (21-40%)","High (&gt;40%)"))))</f>
        <v/>
      </c>
      <c r="Y1219" s="23" t="str">
        <f aca="false">IF(AND(ISNUMBER(C1219),ISNUMBER(D1219)),D1219-C1219,"")</f>
        <v/>
      </c>
      <c r="Z1219" s="23" t="str">
        <f aca="false">IF(B1219="","",IF(MATCH(B1219,$B$2:$B$12000,0)=ROW()-1,1,0))</f>
        <v/>
      </c>
    </row>
    <row r="1220" customFormat="false" ht="15" hidden="false" customHeight="false" outlineLevel="0" collapsed="false">
      <c r="V1220" s="23" t="str">
        <f aca="false">IF(ISNUMBER(C1220),YEAR(C1220),"")</f>
        <v/>
      </c>
      <c r="W1220" s="23" t="str">
        <f aca="false">IF(ISNUMBER(C1220),MONTH(C1220),"")</f>
        <v/>
      </c>
      <c r="X1220" s="23" t="str">
        <f aca="false">IF(T1220="","",IF(T1220=0,"No discount",IF(T1220&lt;=0.2,"Low (1-20%)",IF(T1220&lt;=0.4,"Medium (21-40%)","High (&gt;40%)"))))</f>
        <v/>
      </c>
      <c r="Y1220" s="23" t="str">
        <f aca="false">IF(AND(ISNUMBER(C1220),ISNUMBER(D1220)),D1220-C1220,"")</f>
        <v/>
      </c>
      <c r="Z1220" s="23" t="str">
        <f aca="false">IF(B1220="","",IF(MATCH(B1220,$B$2:$B$12000,0)=ROW()-1,1,0))</f>
        <v/>
      </c>
    </row>
    <row r="1221" customFormat="false" ht="15" hidden="false" customHeight="false" outlineLevel="0" collapsed="false">
      <c r="V1221" s="23" t="str">
        <f aca="false">IF(ISNUMBER(C1221),YEAR(C1221),"")</f>
        <v/>
      </c>
      <c r="W1221" s="23" t="str">
        <f aca="false">IF(ISNUMBER(C1221),MONTH(C1221),"")</f>
        <v/>
      </c>
      <c r="X1221" s="23" t="str">
        <f aca="false">IF(T1221="","",IF(T1221=0,"No discount",IF(T1221&lt;=0.2,"Low (1-20%)",IF(T1221&lt;=0.4,"Medium (21-40%)","High (&gt;40%)"))))</f>
        <v/>
      </c>
      <c r="Y1221" s="23" t="str">
        <f aca="false">IF(AND(ISNUMBER(C1221),ISNUMBER(D1221)),D1221-C1221,"")</f>
        <v/>
      </c>
      <c r="Z1221" s="23" t="str">
        <f aca="false">IF(B1221="","",IF(MATCH(B1221,$B$2:$B$12000,0)=ROW()-1,1,0))</f>
        <v/>
      </c>
    </row>
    <row r="1222" customFormat="false" ht="15" hidden="false" customHeight="false" outlineLevel="0" collapsed="false">
      <c r="V1222" s="23" t="str">
        <f aca="false">IF(ISNUMBER(C1222),YEAR(C1222),"")</f>
        <v/>
      </c>
      <c r="W1222" s="23" t="str">
        <f aca="false">IF(ISNUMBER(C1222),MONTH(C1222),"")</f>
        <v/>
      </c>
      <c r="X1222" s="23" t="str">
        <f aca="false">IF(T1222="","",IF(T1222=0,"No discount",IF(T1222&lt;=0.2,"Low (1-20%)",IF(T1222&lt;=0.4,"Medium (21-40%)","High (&gt;40%)"))))</f>
        <v/>
      </c>
      <c r="Y1222" s="23" t="str">
        <f aca="false">IF(AND(ISNUMBER(C1222),ISNUMBER(D1222)),D1222-C1222,"")</f>
        <v/>
      </c>
      <c r="Z1222" s="23" t="str">
        <f aca="false">IF(B1222="","",IF(MATCH(B1222,$B$2:$B$12000,0)=ROW()-1,1,0))</f>
        <v/>
      </c>
    </row>
    <row r="1223" customFormat="false" ht="15" hidden="false" customHeight="false" outlineLevel="0" collapsed="false">
      <c r="V1223" s="23" t="str">
        <f aca="false">IF(ISNUMBER(C1223),YEAR(C1223),"")</f>
        <v/>
      </c>
      <c r="W1223" s="23" t="str">
        <f aca="false">IF(ISNUMBER(C1223),MONTH(C1223),"")</f>
        <v/>
      </c>
      <c r="X1223" s="23" t="str">
        <f aca="false">IF(T1223="","",IF(T1223=0,"No discount",IF(T1223&lt;=0.2,"Low (1-20%)",IF(T1223&lt;=0.4,"Medium (21-40%)","High (&gt;40%)"))))</f>
        <v/>
      </c>
      <c r="Y1223" s="23" t="str">
        <f aca="false">IF(AND(ISNUMBER(C1223),ISNUMBER(D1223)),D1223-C1223,"")</f>
        <v/>
      </c>
      <c r="Z1223" s="23" t="str">
        <f aca="false">IF(B1223="","",IF(MATCH(B1223,$B$2:$B$12000,0)=ROW()-1,1,0))</f>
        <v/>
      </c>
    </row>
    <row r="1224" customFormat="false" ht="15" hidden="false" customHeight="false" outlineLevel="0" collapsed="false">
      <c r="V1224" s="23" t="str">
        <f aca="false">IF(ISNUMBER(C1224),YEAR(C1224),"")</f>
        <v/>
      </c>
      <c r="W1224" s="23" t="str">
        <f aca="false">IF(ISNUMBER(C1224),MONTH(C1224),"")</f>
        <v/>
      </c>
      <c r="X1224" s="23" t="str">
        <f aca="false">IF(T1224="","",IF(T1224=0,"No discount",IF(T1224&lt;=0.2,"Low (1-20%)",IF(T1224&lt;=0.4,"Medium (21-40%)","High (&gt;40%)"))))</f>
        <v/>
      </c>
      <c r="Y1224" s="23" t="str">
        <f aca="false">IF(AND(ISNUMBER(C1224),ISNUMBER(D1224)),D1224-C1224,"")</f>
        <v/>
      </c>
      <c r="Z1224" s="23" t="str">
        <f aca="false">IF(B1224="","",IF(MATCH(B1224,$B$2:$B$12000,0)=ROW()-1,1,0))</f>
        <v/>
      </c>
    </row>
    <row r="1225" customFormat="false" ht="15" hidden="false" customHeight="false" outlineLevel="0" collapsed="false">
      <c r="V1225" s="23" t="str">
        <f aca="false">IF(ISNUMBER(C1225),YEAR(C1225),"")</f>
        <v/>
      </c>
      <c r="W1225" s="23" t="str">
        <f aca="false">IF(ISNUMBER(C1225),MONTH(C1225),"")</f>
        <v/>
      </c>
      <c r="X1225" s="23" t="str">
        <f aca="false">IF(T1225="","",IF(T1225=0,"No discount",IF(T1225&lt;=0.2,"Low (1-20%)",IF(T1225&lt;=0.4,"Medium (21-40%)","High (&gt;40%)"))))</f>
        <v/>
      </c>
      <c r="Y1225" s="23" t="str">
        <f aca="false">IF(AND(ISNUMBER(C1225),ISNUMBER(D1225)),D1225-C1225,"")</f>
        <v/>
      </c>
      <c r="Z1225" s="23" t="str">
        <f aca="false">IF(B1225="","",IF(MATCH(B1225,$B$2:$B$12000,0)=ROW()-1,1,0))</f>
        <v/>
      </c>
    </row>
    <row r="1226" customFormat="false" ht="15" hidden="false" customHeight="false" outlineLevel="0" collapsed="false">
      <c r="V1226" s="23" t="str">
        <f aca="false">IF(ISNUMBER(C1226),YEAR(C1226),"")</f>
        <v/>
      </c>
      <c r="W1226" s="23" t="str">
        <f aca="false">IF(ISNUMBER(C1226),MONTH(C1226),"")</f>
        <v/>
      </c>
      <c r="X1226" s="23" t="str">
        <f aca="false">IF(T1226="","",IF(T1226=0,"No discount",IF(T1226&lt;=0.2,"Low (1-20%)",IF(T1226&lt;=0.4,"Medium (21-40%)","High (&gt;40%)"))))</f>
        <v/>
      </c>
      <c r="Y1226" s="23" t="str">
        <f aca="false">IF(AND(ISNUMBER(C1226),ISNUMBER(D1226)),D1226-C1226,"")</f>
        <v/>
      </c>
      <c r="Z1226" s="23" t="str">
        <f aca="false">IF(B1226="","",IF(MATCH(B1226,$B$2:$B$12000,0)=ROW()-1,1,0))</f>
        <v/>
      </c>
    </row>
    <row r="1227" customFormat="false" ht="15" hidden="false" customHeight="false" outlineLevel="0" collapsed="false">
      <c r="V1227" s="23" t="str">
        <f aca="false">IF(ISNUMBER(C1227),YEAR(C1227),"")</f>
        <v/>
      </c>
      <c r="W1227" s="23" t="str">
        <f aca="false">IF(ISNUMBER(C1227),MONTH(C1227),"")</f>
        <v/>
      </c>
      <c r="X1227" s="23" t="str">
        <f aca="false">IF(T1227="","",IF(T1227=0,"No discount",IF(T1227&lt;=0.2,"Low (1-20%)",IF(T1227&lt;=0.4,"Medium (21-40%)","High (&gt;40%)"))))</f>
        <v/>
      </c>
      <c r="Y1227" s="23" t="str">
        <f aca="false">IF(AND(ISNUMBER(C1227),ISNUMBER(D1227)),D1227-C1227,"")</f>
        <v/>
      </c>
      <c r="Z1227" s="23" t="str">
        <f aca="false">IF(B1227="","",IF(MATCH(B1227,$B$2:$B$12000,0)=ROW()-1,1,0))</f>
        <v/>
      </c>
    </row>
    <row r="1228" customFormat="false" ht="15" hidden="false" customHeight="false" outlineLevel="0" collapsed="false">
      <c r="V1228" s="23" t="str">
        <f aca="false">IF(ISNUMBER(C1228),YEAR(C1228),"")</f>
        <v/>
      </c>
      <c r="W1228" s="23" t="str">
        <f aca="false">IF(ISNUMBER(C1228),MONTH(C1228),"")</f>
        <v/>
      </c>
      <c r="X1228" s="23" t="str">
        <f aca="false">IF(T1228="","",IF(T1228=0,"No discount",IF(T1228&lt;=0.2,"Low (1-20%)",IF(T1228&lt;=0.4,"Medium (21-40%)","High (&gt;40%)"))))</f>
        <v/>
      </c>
      <c r="Y1228" s="23" t="str">
        <f aca="false">IF(AND(ISNUMBER(C1228),ISNUMBER(D1228)),D1228-C1228,"")</f>
        <v/>
      </c>
      <c r="Z1228" s="23" t="str">
        <f aca="false">IF(B1228="","",IF(MATCH(B1228,$B$2:$B$12000,0)=ROW()-1,1,0))</f>
        <v/>
      </c>
    </row>
    <row r="1229" customFormat="false" ht="15" hidden="false" customHeight="false" outlineLevel="0" collapsed="false">
      <c r="V1229" s="23" t="str">
        <f aca="false">IF(ISNUMBER(C1229),YEAR(C1229),"")</f>
        <v/>
      </c>
      <c r="W1229" s="23" t="str">
        <f aca="false">IF(ISNUMBER(C1229),MONTH(C1229),"")</f>
        <v/>
      </c>
      <c r="X1229" s="23" t="str">
        <f aca="false">IF(T1229="","",IF(T1229=0,"No discount",IF(T1229&lt;=0.2,"Low (1-20%)",IF(T1229&lt;=0.4,"Medium (21-40%)","High (&gt;40%)"))))</f>
        <v/>
      </c>
      <c r="Y1229" s="23" t="str">
        <f aca="false">IF(AND(ISNUMBER(C1229),ISNUMBER(D1229)),D1229-C1229,"")</f>
        <v/>
      </c>
      <c r="Z1229" s="23" t="str">
        <f aca="false">IF(B1229="","",IF(MATCH(B1229,$B$2:$B$12000,0)=ROW()-1,1,0))</f>
        <v/>
      </c>
    </row>
    <row r="1230" customFormat="false" ht="15" hidden="false" customHeight="false" outlineLevel="0" collapsed="false">
      <c r="V1230" s="23" t="str">
        <f aca="false">IF(ISNUMBER(C1230),YEAR(C1230),"")</f>
        <v/>
      </c>
      <c r="W1230" s="23" t="str">
        <f aca="false">IF(ISNUMBER(C1230),MONTH(C1230),"")</f>
        <v/>
      </c>
      <c r="X1230" s="23" t="str">
        <f aca="false">IF(T1230="","",IF(T1230=0,"No discount",IF(T1230&lt;=0.2,"Low (1-20%)",IF(T1230&lt;=0.4,"Medium (21-40%)","High (&gt;40%)"))))</f>
        <v/>
      </c>
      <c r="Y1230" s="23" t="str">
        <f aca="false">IF(AND(ISNUMBER(C1230),ISNUMBER(D1230)),D1230-C1230,"")</f>
        <v/>
      </c>
      <c r="Z1230" s="23" t="str">
        <f aca="false">IF(B1230="","",IF(MATCH(B1230,$B$2:$B$12000,0)=ROW()-1,1,0))</f>
        <v/>
      </c>
    </row>
    <row r="1231" customFormat="false" ht="15" hidden="false" customHeight="false" outlineLevel="0" collapsed="false">
      <c r="V1231" s="23" t="str">
        <f aca="false">IF(ISNUMBER(C1231),YEAR(C1231),"")</f>
        <v/>
      </c>
      <c r="W1231" s="23" t="str">
        <f aca="false">IF(ISNUMBER(C1231),MONTH(C1231),"")</f>
        <v/>
      </c>
      <c r="X1231" s="23" t="str">
        <f aca="false">IF(T1231="","",IF(T1231=0,"No discount",IF(T1231&lt;=0.2,"Low (1-20%)",IF(T1231&lt;=0.4,"Medium (21-40%)","High (&gt;40%)"))))</f>
        <v/>
      </c>
      <c r="Y1231" s="23" t="str">
        <f aca="false">IF(AND(ISNUMBER(C1231),ISNUMBER(D1231)),D1231-C1231,"")</f>
        <v/>
      </c>
      <c r="Z1231" s="23" t="str">
        <f aca="false">IF(B1231="","",IF(MATCH(B1231,$B$2:$B$12000,0)=ROW()-1,1,0))</f>
        <v/>
      </c>
    </row>
    <row r="1232" customFormat="false" ht="15" hidden="false" customHeight="false" outlineLevel="0" collapsed="false">
      <c r="V1232" s="23" t="str">
        <f aca="false">IF(ISNUMBER(C1232),YEAR(C1232),"")</f>
        <v/>
      </c>
      <c r="W1232" s="23" t="str">
        <f aca="false">IF(ISNUMBER(C1232),MONTH(C1232),"")</f>
        <v/>
      </c>
      <c r="X1232" s="23" t="str">
        <f aca="false">IF(T1232="","",IF(T1232=0,"No discount",IF(T1232&lt;=0.2,"Low (1-20%)",IF(T1232&lt;=0.4,"Medium (21-40%)","High (&gt;40%)"))))</f>
        <v/>
      </c>
      <c r="Y1232" s="23" t="str">
        <f aca="false">IF(AND(ISNUMBER(C1232),ISNUMBER(D1232)),D1232-C1232,"")</f>
        <v/>
      </c>
      <c r="Z1232" s="23" t="str">
        <f aca="false">IF(B1232="","",IF(MATCH(B1232,$B$2:$B$12000,0)=ROW()-1,1,0))</f>
        <v/>
      </c>
    </row>
    <row r="1233" customFormat="false" ht="15" hidden="false" customHeight="false" outlineLevel="0" collapsed="false">
      <c r="V1233" s="23" t="str">
        <f aca="false">IF(ISNUMBER(C1233),YEAR(C1233),"")</f>
        <v/>
      </c>
      <c r="W1233" s="23" t="str">
        <f aca="false">IF(ISNUMBER(C1233),MONTH(C1233),"")</f>
        <v/>
      </c>
      <c r="X1233" s="23" t="str">
        <f aca="false">IF(T1233="","",IF(T1233=0,"No discount",IF(T1233&lt;=0.2,"Low (1-20%)",IF(T1233&lt;=0.4,"Medium (21-40%)","High (&gt;40%)"))))</f>
        <v/>
      </c>
      <c r="Y1233" s="23" t="str">
        <f aca="false">IF(AND(ISNUMBER(C1233),ISNUMBER(D1233)),D1233-C1233,"")</f>
        <v/>
      </c>
      <c r="Z1233" s="23" t="str">
        <f aca="false">IF(B1233="","",IF(MATCH(B1233,$B$2:$B$12000,0)=ROW()-1,1,0))</f>
        <v/>
      </c>
    </row>
    <row r="1234" customFormat="false" ht="15" hidden="false" customHeight="false" outlineLevel="0" collapsed="false">
      <c r="V1234" s="23" t="str">
        <f aca="false">IF(ISNUMBER(C1234),YEAR(C1234),"")</f>
        <v/>
      </c>
      <c r="W1234" s="23" t="str">
        <f aca="false">IF(ISNUMBER(C1234),MONTH(C1234),"")</f>
        <v/>
      </c>
      <c r="X1234" s="23" t="str">
        <f aca="false">IF(T1234="","",IF(T1234=0,"No discount",IF(T1234&lt;=0.2,"Low (1-20%)",IF(T1234&lt;=0.4,"Medium (21-40%)","High (&gt;40%)"))))</f>
        <v/>
      </c>
      <c r="Y1234" s="23" t="str">
        <f aca="false">IF(AND(ISNUMBER(C1234),ISNUMBER(D1234)),D1234-C1234,"")</f>
        <v/>
      </c>
      <c r="Z1234" s="23" t="str">
        <f aca="false">IF(B1234="","",IF(MATCH(B1234,$B$2:$B$12000,0)=ROW()-1,1,0))</f>
        <v/>
      </c>
    </row>
    <row r="1235" customFormat="false" ht="15" hidden="false" customHeight="false" outlineLevel="0" collapsed="false">
      <c r="V1235" s="23" t="str">
        <f aca="false">IF(ISNUMBER(C1235),YEAR(C1235),"")</f>
        <v/>
      </c>
      <c r="W1235" s="23" t="str">
        <f aca="false">IF(ISNUMBER(C1235),MONTH(C1235),"")</f>
        <v/>
      </c>
      <c r="X1235" s="23" t="str">
        <f aca="false">IF(T1235="","",IF(T1235=0,"No discount",IF(T1235&lt;=0.2,"Low (1-20%)",IF(T1235&lt;=0.4,"Medium (21-40%)","High (&gt;40%)"))))</f>
        <v/>
      </c>
      <c r="Y1235" s="23" t="str">
        <f aca="false">IF(AND(ISNUMBER(C1235),ISNUMBER(D1235)),D1235-C1235,"")</f>
        <v/>
      </c>
      <c r="Z1235" s="23" t="str">
        <f aca="false">IF(B1235="","",IF(MATCH(B1235,$B$2:$B$12000,0)=ROW()-1,1,0))</f>
        <v/>
      </c>
    </row>
    <row r="1236" customFormat="false" ht="15" hidden="false" customHeight="false" outlineLevel="0" collapsed="false">
      <c r="V1236" s="23" t="str">
        <f aca="false">IF(ISNUMBER(C1236),YEAR(C1236),"")</f>
        <v/>
      </c>
      <c r="W1236" s="23" t="str">
        <f aca="false">IF(ISNUMBER(C1236),MONTH(C1236),"")</f>
        <v/>
      </c>
      <c r="X1236" s="23" t="str">
        <f aca="false">IF(T1236="","",IF(T1236=0,"No discount",IF(T1236&lt;=0.2,"Low (1-20%)",IF(T1236&lt;=0.4,"Medium (21-40%)","High (&gt;40%)"))))</f>
        <v/>
      </c>
      <c r="Y1236" s="23" t="str">
        <f aca="false">IF(AND(ISNUMBER(C1236),ISNUMBER(D1236)),D1236-C1236,"")</f>
        <v/>
      </c>
      <c r="Z1236" s="23" t="str">
        <f aca="false">IF(B1236="","",IF(MATCH(B1236,$B$2:$B$12000,0)=ROW()-1,1,0))</f>
        <v/>
      </c>
    </row>
    <row r="1237" customFormat="false" ht="15" hidden="false" customHeight="false" outlineLevel="0" collapsed="false">
      <c r="V1237" s="23" t="str">
        <f aca="false">IF(ISNUMBER(C1237),YEAR(C1237),"")</f>
        <v/>
      </c>
      <c r="W1237" s="23" t="str">
        <f aca="false">IF(ISNUMBER(C1237),MONTH(C1237),"")</f>
        <v/>
      </c>
      <c r="X1237" s="23" t="str">
        <f aca="false">IF(T1237="","",IF(T1237=0,"No discount",IF(T1237&lt;=0.2,"Low (1-20%)",IF(T1237&lt;=0.4,"Medium (21-40%)","High (&gt;40%)"))))</f>
        <v/>
      </c>
      <c r="Y1237" s="23" t="str">
        <f aca="false">IF(AND(ISNUMBER(C1237),ISNUMBER(D1237)),D1237-C1237,"")</f>
        <v/>
      </c>
      <c r="Z1237" s="23" t="str">
        <f aca="false">IF(B1237="","",IF(MATCH(B1237,$B$2:$B$12000,0)=ROW()-1,1,0))</f>
        <v/>
      </c>
    </row>
    <row r="1238" customFormat="false" ht="15" hidden="false" customHeight="false" outlineLevel="0" collapsed="false">
      <c r="V1238" s="23" t="str">
        <f aca="false">IF(ISNUMBER(C1238),YEAR(C1238),"")</f>
        <v/>
      </c>
      <c r="W1238" s="23" t="str">
        <f aca="false">IF(ISNUMBER(C1238),MONTH(C1238),"")</f>
        <v/>
      </c>
      <c r="X1238" s="23" t="str">
        <f aca="false">IF(T1238="","",IF(T1238=0,"No discount",IF(T1238&lt;=0.2,"Low (1-20%)",IF(T1238&lt;=0.4,"Medium (21-40%)","High (&gt;40%)"))))</f>
        <v/>
      </c>
      <c r="Y1238" s="23" t="str">
        <f aca="false">IF(AND(ISNUMBER(C1238),ISNUMBER(D1238)),D1238-C1238,"")</f>
        <v/>
      </c>
      <c r="Z1238" s="23" t="str">
        <f aca="false">IF(B1238="","",IF(MATCH(B1238,$B$2:$B$12000,0)=ROW()-1,1,0))</f>
        <v/>
      </c>
    </row>
    <row r="1239" customFormat="false" ht="15" hidden="false" customHeight="false" outlineLevel="0" collapsed="false">
      <c r="V1239" s="23" t="str">
        <f aca="false">IF(ISNUMBER(C1239),YEAR(C1239),"")</f>
        <v/>
      </c>
      <c r="W1239" s="23" t="str">
        <f aca="false">IF(ISNUMBER(C1239),MONTH(C1239),"")</f>
        <v/>
      </c>
      <c r="X1239" s="23" t="str">
        <f aca="false">IF(T1239="","",IF(T1239=0,"No discount",IF(T1239&lt;=0.2,"Low (1-20%)",IF(T1239&lt;=0.4,"Medium (21-40%)","High (&gt;40%)"))))</f>
        <v/>
      </c>
      <c r="Y1239" s="23" t="str">
        <f aca="false">IF(AND(ISNUMBER(C1239),ISNUMBER(D1239)),D1239-C1239,"")</f>
        <v/>
      </c>
      <c r="Z1239" s="23" t="str">
        <f aca="false">IF(B1239="","",IF(MATCH(B1239,$B$2:$B$12000,0)=ROW()-1,1,0))</f>
        <v/>
      </c>
    </row>
    <row r="1240" customFormat="false" ht="15" hidden="false" customHeight="false" outlineLevel="0" collapsed="false">
      <c r="V1240" s="23" t="str">
        <f aca="false">IF(ISNUMBER(C1240),YEAR(C1240),"")</f>
        <v/>
      </c>
      <c r="W1240" s="23" t="str">
        <f aca="false">IF(ISNUMBER(C1240),MONTH(C1240),"")</f>
        <v/>
      </c>
      <c r="X1240" s="23" t="str">
        <f aca="false">IF(T1240="","",IF(T1240=0,"No discount",IF(T1240&lt;=0.2,"Low (1-20%)",IF(T1240&lt;=0.4,"Medium (21-40%)","High (&gt;40%)"))))</f>
        <v/>
      </c>
      <c r="Y1240" s="23" t="str">
        <f aca="false">IF(AND(ISNUMBER(C1240),ISNUMBER(D1240)),D1240-C1240,"")</f>
        <v/>
      </c>
      <c r="Z1240" s="23" t="str">
        <f aca="false">IF(B1240="","",IF(MATCH(B1240,$B$2:$B$12000,0)=ROW()-1,1,0))</f>
        <v/>
      </c>
    </row>
    <row r="1241" customFormat="false" ht="15" hidden="false" customHeight="false" outlineLevel="0" collapsed="false">
      <c r="V1241" s="23" t="str">
        <f aca="false">IF(ISNUMBER(C1241),YEAR(C1241),"")</f>
        <v/>
      </c>
      <c r="W1241" s="23" t="str">
        <f aca="false">IF(ISNUMBER(C1241),MONTH(C1241),"")</f>
        <v/>
      </c>
      <c r="X1241" s="23" t="str">
        <f aca="false">IF(T1241="","",IF(T1241=0,"No discount",IF(T1241&lt;=0.2,"Low (1-20%)",IF(T1241&lt;=0.4,"Medium (21-40%)","High (&gt;40%)"))))</f>
        <v/>
      </c>
      <c r="Y1241" s="23" t="str">
        <f aca="false">IF(AND(ISNUMBER(C1241),ISNUMBER(D1241)),D1241-C1241,"")</f>
        <v/>
      </c>
      <c r="Z1241" s="23" t="str">
        <f aca="false">IF(B1241="","",IF(MATCH(B1241,$B$2:$B$12000,0)=ROW()-1,1,0))</f>
        <v/>
      </c>
    </row>
    <row r="1242" customFormat="false" ht="15" hidden="false" customHeight="false" outlineLevel="0" collapsed="false">
      <c r="V1242" s="23" t="str">
        <f aca="false">IF(ISNUMBER(C1242),YEAR(C1242),"")</f>
        <v/>
      </c>
      <c r="W1242" s="23" t="str">
        <f aca="false">IF(ISNUMBER(C1242),MONTH(C1242),"")</f>
        <v/>
      </c>
      <c r="X1242" s="23" t="str">
        <f aca="false">IF(T1242="","",IF(T1242=0,"No discount",IF(T1242&lt;=0.2,"Low (1-20%)",IF(T1242&lt;=0.4,"Medium (21-40%)","High (&gt;40%)"))))</f>
        <v/>
      </c>
      <c r="Y1242" s="23" t="str">
        <f aca="false">IF(AND(ISNUMBER(C1242),ISNUMBER(D1242)),D1242-C1242,"")</f>
        <v/>
      </c>
      <c r="Z1242" s="23" t="str">
        <f aca="false">IF(B1242="","",IF(MATCH(B1242,$B$2:$B$12000,0)=ROW()-1,1,0))</f>
        <v/>
      </c>
    </row>
    <row r="1243" customFormat="false" ht="15" hidden="false" customHeight="false" outlineLevel="0" collapsed="false">
      <c r="V1243" s="23" t="str">
        <f aca="false">IF(ISNUMBER(C1243),YEAR(C1243),"")</f>
        <v/>
      </c>
      <c r="W1243" s="23" t="str">
        <f aca="false">IF(ISNUMBER(C1243),MONTH(C1243),"")</f>
        <v/>
      </c>
      <c r="X1243" s="23" t="str">
        <f aca="false">IF(T1243="","",IF(T1243=0,"No discount",IF(T1243&lt;=0.2,"Low (1-20%)",IF(T1243&lt;=0.4,"Medium (21-40%)","High (&gt;40%)"))))</f>
        <v/>
      </c>
      <c r="Y1243" s="23" t="str">
        <f aca="false">IF(AND(ISNUMBER(C1243),ISNUMBER(D1243)),D1243-C1243,"")</f>
        <v/>
      </c>
      <c r="Z1243" s="23" t="str">
        <f aca="false">IF(B1243="","",IF(MATCH(B1243,$B$2:$B$12000,0)=ROW()-1,1,0))</f>
        <v/>
      </c>
    </row>
    <row r="1244" customFormat="false" ht="15" hidden="false" customHeight="false" outlineLevel="0" collapsed="false">
      <c r="V1244" s="23" t="str">
        <f aca="false">IF(ISNUMBER(C1244),YEAR(C1244),"")</f>
        <v/>
      </c>
      <c r="W1244" s="23" t="str">
        <f aca="false">IF(ISNUMBER(C1244),MONTH(C1244),"")</f>
        <v/>
      </c>
      <c r="X1244" s="23" t="str">
        <f aca="false">IF(T1244="","",IF(T1244=0,"No discount",IF(T1244&lt;=0.2,"Low (1-20%)",IF(T1244&lt;=0.4,"Medium (21-40%)","High (&gt;40%)"))))</f>
        <v/>
      </c>
      <c r="Y1244" s="23" t="str">
        <f aca="false">IF(AND(ISNUMBER(C1244),ISNUMBER(D1244)),D1244-C1244,"")</f>
        <v/>
      </c>
      <c r="Z1244" s="23" t="str">
        <f aca="false">IF(B1244="","",IF(MATCH(B1244,$B$2:$B$12000,0)=ROW()-1,1,0))</f>
        <v/>
      </c>
    </row>
    <row r="1245" customFormat="false" ht="15" hidden="false" customHeight="false" outlineLevel="0" collapsed="false">
      <c r="V1245" s="23" t="str">
        <f aca="false">IF(ISNUMBER(C1245),YEAR(C1245),"")</f>
        <v/>
      </c>
      <c r="W1245" s="23" t="str">
        <f aca="false">IF(ISNUMBER(C1245),MONTH(C1245),"")</f>
        <v/>
      </c>
      <c r="X1245" s="23" t="str">
        <f aca="false">IF(T1245="","",IF(T1245=0,"No discount",IF(T1245&lt;=0.2,"Low (1-20%)",IF(T1245&lt;=0.4,"Medium (21-40%)","High (&gt;40%)"))))</f>
        <v/>
      </c>
      <c r="Y1245" s="23" t="str">
        <f aca="false">IF(AND(ISNUMBER(C1245),ISNUMBER(D1245)),D1245-C1245,"")</f>
        <v/>
      </c>
      <c r="Z1245" s="23" t="str">
        <f aca="false">IF(B1245="","",IF(MATCH(B1245,$B$2:$B$12000,0)=ROW()-1,1,0))</f>
        <v/>
      </c>
    </row>
    <row r="1246" customFormat="false" ht="15" hidden="false" customHeight="false" outlineLevel="0" collapsed="false">
      <c r="V1246" s="23" t="str">
        <f aca="false">IF(ISNUMBER(C1246),YEAR(C1246),"")</f>
        <v/>
      </c>
      <c r="W1246" s="23" t="str">
        <f aca="false">IF(ISNUMBER(C1246),MONTH(C1246),"")</f>
        <v/>
      </c>
      <c r="X1246" s="23" t="str">
        <f aca="false">IF(T1246="","",IF(T1246=0,"No discount",IF(T1246&lt;=0.2,"Low (1-20%)",IF(T1246&lt;=0.4,"Medium (21-40%)","High (&gt;40%)"))))</f>
        <v/>
      </c>
      <c r="Y1246" s="23" t="str">
        <f aca="false">IF(AND(ISNUMBER(C1246),ISNUMBER(D1246)),D1246-C1246,"")</f>
        <v/>
      </c>
      <c r="Z1246" s="23" t="str">
        <f aca="false">IF(B1246="","",IF(MATCH(B1246,$B$2:$B$12000,0)=ROW()-1,1,0))</f>
        <v/>
      </c>
    </row>
    <row r="1247" customFormat="false" ht="15" hidden="false" customHeight="false" outlineLevel="0" collapsed="false">
      <c r="V1247" s="23" t="str">
        <f aca="false">IF(ISNUMBER(C1247),YEAR(C1247),"")</f>
        <v/>
      </c>
      <c r="W1247" s="23" t="str">
        <f aca="false">IF(ISNUMBER(C1247),MONTH(C1247),"")</f>
        <v/>
      </c>
      <c r="X1247" s="23" t="str">
        <f aca="false">IF(T1247="","",IF(T1247=0,"No discount",IF(T1247&lt;=0.2,"Low (1-20%)",IF(T1247&lt;=0.4,"Medium (21-40%)","High (&gt;40%)"))))</f>
        <v/>
      </c>
      <c r="Y1247" s="23" t="str">
        <f aca="false">IF(AND(ISNUMBER(C1247),ISNUMBER(D1247)),D1247-C1247,"")</f>
        <v/>
      </c>
      <c r="Z1247" s="23" t="str">
        <f aca="false">IF(B1247="","",IF(MATCH(B1247,$B$2:$B$12000,0)=ROW()-1,1,0))</f>
        <v/>
      </c>
    </row>
    <row r="1248" customFormat="false" ht="15" hidden="false" customHeight="false" outlineLevel="0" collapsed="false">
      <c r="V1248" s="23" t="str">
        <f aca="false">IF(ISNUMBER(C1248),YEAR(C1248),"")</f>
        <v/>
      </c>
      <c r="W1248" s="23" t="str">
        <f aca="false">IF(ISNUMBER(C1248),MONTH(C1248),"")</f>
        <v/>
      </c>
      <c r="X1248" s="23" t="str">
        <f aca="false">IF(T1248="","",IF(T1248=0,"No discount",IF(T1248&lt;=0.2,"Low (1-20%)",IF(T1248&lt;=0.4,"Medium (21-40%)","High (&gt;40%)"))))</f>
        <v/>
      </c>
      <c r="Y1248" s="23" t="str">
        <f aca="false">IF(AND(ISNUMBER(C1248),ISNUMBER(D1248)),D1248-C1248,"")</f>
        <v/>
      </c>
      <c r="Z1248" s="23" t="str">
        <f aca="false">IF(B1248="","",IF(MATCH(B1248,$B$2:$B$12000,0)=ROW()-1,1,0))</f>
        <v/>
      </c>
    </row>
    <row r="1249" customFormat="false" ht="15" hidden="false" customHeight="false" outlineLevel="0" collapsed="false">
      <c r="V1249" s="23" t="str">
        <f aca="false">IF(ISNUMBER(C1249),YEAR(C1249),"")</f>
        <v/>
      </c>
      <c r="W1249" s="23" t="str">
        <f aca="false">IF(ISNUMBER(C1249),MONTH(C1249),"")</f>
        <v/>
      </c>
      <c r="X1249" s="23" t="str">
        <f aca="false">IF(T1249="","",IF(T1249=0,"No discount",IF(T1249&lt;=0.2,"Low (1-20%)",IF(T1249&lt;=0.4,"Medium (21-40%)","High (&gt;40%)"))))</f>
        <v/>
      </c>
      <c r="Y1249" s="23" t="str">
        <f aca="false">IF(AND(ISNUMBER(C1249),ISNUMBER(D1249)),D1249-C1249,"")</f>
        <v/>
      </c>
      <c r="Z1249" s="23" t="str">
        <f aca="false">IF(B1249="","",IF(MATCH(B1249,$B$2:$B$12000,0)=ROW()-1,1,0))</f>
        <v/>
      </c>
    </row>
    <row r="1250" customFormat="false" ht="15" hidden="false" customHeight="false" outlineLevel="0" collapsed="false">
      <c r="V1250" s="23" t="str">
        <f aca="false">IF(ISNUMBER(C1250),YEAR(C1250),"")</f>
        <v/>
      </c>
      <c r="W1250" s="23" t="str">
        <f aca="false">IF(ISNUMBER(C1250),MONTH(C1250),"")</f>
        <v/>
      </c>
      <c r="X1250" s="23" t="str">
        <f aca="false">IF(T1250="","",IF(T1250=0,"No discount",IF(T1250&lt;=0.2,"Low (1-20%)",IF(T1250&lt;=0.4,"Medium (21-40%)","High (&gt;40%)"))))</f>
        <v/>
      </c>
      <c r="Y1250" s="23" t="str">
        <f aca="false">IF(AND(ISNUMBER(C1250),ISNUMBER(D1250)),D1250-C1250,"")</f>
        <v/>
      </c>
      <c r="Z1250" s="23" t="str">
        <f aca="false">IF(B1250="","",IF(MATCH(B1250,$B$2:$B$12000,0)=ROW()-1,1,0))</f>
        <v/>
      </c>
    </row>
    <row r="1251" customFormat="false" ht="15" hidden="false" customHeight="false" outlineLevel="0" collapsed="false">
      <c r="V1251" s="23" t="str">
        <f aca="false">IF(ISNUMBER(C1251),YEAR(C1251),"")</f>
        <v/>
      </c>
      <c r="W1251" s="23" t="str">
        <f aca="false">IF(ISNUMBER(C1251),MONTH(C1251),"")</f>
        <v/>
      </c>
      <c r="X1251" s="23" t="str">
        <f aca="false">IF(T1251="","",IF(T1251=0,"No discount",IF(T1251&lt;=0.2,"Low (1-20%)",IF(T1251&lt;=0.4,"Medium (21-40%)","High (&gt;40%)"))))</f>
        <v/>
      </c>
      <c r="Y1251" s="23" t="str">
        <f aca="false">IF(AND(ISNUMBER(C1251),ISNUMBER(D1251)),D1251-C1251,"")</f>
        <v/>
      </c>
      <c r="Z1251" s="23" t="str">
        <f aca="false">IF(B1251="","",IF(MATCH(B1251,$B$2:$B$12000,0)=ROW()-1,1,0))</f>
        <v/>
      </c>
    </row>
    <row r="1252" customFormat="false" ht="15" hidden="false" customHeight="false" outlineLevel="0" collapsed="false">
      <c r="V1252" s="23" t="str">
        <f aca="false">IF(ISNUMBER(C1252),YEAR(C1252),"")</f>
        <v/>
      </c>
      <c r="W1252" s="23" t="str">
        <f aca="false">IF(ISNUMBER(C1252),MONTH(C1252),"")</f>
        <v/>
      </c>
      <c r="X1252" s="23" t="str">
        <f aca="false">IF(T1252="","",IF(T1252=0,"No discount",IF(T1252&lt;=0.2,"Low (1-20%)",IF(T1252&lt;=0.4,"Medium (21-40%)","High (&gt;40%)"))))</f>
        <v/>
      </c>
      <c r="Y1252" s="23" t="str">
        <f aca="false">IF(AND(ISNUMBER(C1252),ISNUMBER(D1252)),D1252-C1252,"")</f>
        <v/>
      </c>
      <c r="Z1252" s="23" t="str">
        <f aca="false">IF(B1252="","",IF(MATCH(B1252,$B$2:$B$12000,0)=ROW()-1,1,0))</f>
        <v/>
      </c>
    </row>
    <row r="1253" customFormat="false" ht="15" hidden="false" customHeight="false" outlineLevel="0" collapsed="false">
      <c r="V1253" s="23" t="str">
        <f aca="false">IF(ISNUMBER(C1253),YEAR(C1253),"")</f>
        <v/>
      </c>
      <c r="W1253" s="23" t="str">
        <f aca="false">IF(ISNUMBER(C1253),MONTH(C1253),"")</f>
        <v/>
      </c>
      <c r="X1253" s="23" t="str">
        <f aca="false">IF(T1253="","",IF(T1253=0,"No discount",IF(T1253&lt;=0.2,"Low (1-20%)",IF(T1253&lt;=0.4,"Medium (21-40%)","High (&gt;40%)"))))</f>
        <v/>
      </c>
      <c r="Y1253" s="23" t="str">
        <f aca="false">IF(AND(ISNUMBER(C1253),ISNUMBER(D1253)),D1253-C1253,"")</f>
        <v/>
      </c>
      <c r="Z1253" s="23" t="str">
        <f aca="false">IF(B1253="","",IF(MATCH(B1253,$B$2:$B$12000,0)=ROW()-1,1,0))</f>
        <v/>
      </c>
    </row>
    <row r="1254" customFormat="false" ht="15" hidden="false" customHeight="false" outlineLevel="0" collapsed="false">
      <c r="V1254" s="23" t="str">
        <f aca="false">IF(ISNUMBER(C1254),YEAR(C1254),"")</f>
        <v/>
      </c>
      <c r="W1254" s="23" t="str">
        <f aca="false">IF(ISNUMBER(C1254),MONTH(C1254),"")</f>
        <v/>
      </c>
      <c r="X1254" s="23" t="str">
        <f aca="false">IF(T1254="","",IF(T1254=0,"No discount",IF(T1254&lt;=0.2,"Low (1-20%)",IF(T1254&lt;=0.4,"Medium (21-40%)","High (&gt;40%)"))))</f>
        <v/>
      </c>
      <c r="Y1254" s="23" t="str">
        <f aca="false">IF(AND(ISNUMBER(C1254),ISNUMBER(D1254)),D1254-C1254,"")</f>
        <v/>
      </c>
      <c r="Z1254" s="23" t="str">
        <f aca="false">IF(B1254="","",IF(MATCH(B1254,$B$2:$B$12000,0)=ROW()-1,1,0))</f>
        <v/>
      </c>
    </row>
    <row r="1255" customFormat="false" ht="15" hidden="false" customHeight="false" outlineLevel="0" collapsed="false">
      <c r="V1255" s="23" t="str">
        <f aca="false">IF(ISNUMBER(C1255),YEAR(C1255),"")</f>
        <v/>
      </c>
      <c r="W1255" s="23" t="str">
        <f aca="false">IF(ISNUMBER(C1255),MONTH(C1255),"")</f>
        <v/>
      </c>
      <c r="X1255" s="23" t="str">
        <f aca="false">IF(T1255="","",IF(T1255=0,"No discount",IF(T1255&lt;=0.2,"Low (1-20%)",IF(T1255&lt;=0.4,"Medium (21-40%)","High (&gt;40%)"))))</f>
        <v/>
      </c>
      <c r="Y1255" s="23" t="str">
        <f aca="false">IF(AND(ISNUMBER(C1255),ISNUMBER(D1255)),D1255-C1255,"")</f>
        <v/>
      </c>
      <c r="Z1255" s="23" t="str">
        <f aca="false">IF(B1255="","",IF(MATCH(B1255,$B$2:$B$12000,0)=ROW()-1,1,0))</f>
        <v/>
      </c>
    </row>
    <row r="1256" customFormat="false" ht="15" hidden="false" customHeight="false" outlineLevel="0" collapsed="false">
      <c r="V1256" s="23" t="str">
        <f aca="false">IF(ISNUMBER(C1256),YEAR(C1256),"")</f>
        <v/>
      </c>
      <c r="W1256" s="23" t="str">
        <f aca="false">IF(ISNUMBER(C1256),MONTH(C1256),"")</f>
        <v/>
      </c>
      <c r="X1256" s="23" t="str">
        <f aca="false">IF(T1256="","",IF(T1256=0,"No discount",IF(T1256&lt;=0.2,"Low (1-20%)",IF(T1256&lt;=0.4,"Medium (21-40%)","High (&gt;40%)"))))</f>
        <v/>
      </c>
      <c r="Y1256" s="23" t="str">
        <f aca="false">IF(AND(ISNUMBER(C1256),ISNUMBER(D1256)),D1256-C1256,"")</f>
        <v/>
      </c>
      <c r="Z1256" s="23" t="str">
        <f aca="false">IF(B1256="","",IF(MATCH(B1256,$B$2:$B$12000,0)=ROW()-1,1,0))</f>
        <v/>
      </c>
    </row>
    <row r="1257" customFormat="false" ht="15" hidden="false" customHeight="false" outlineLevel="0" collapsed="false">
      <c r="V1257" s="23" t="str">
        <f aca="false">IF(ISNUMBER(C1257),YEAR(C1257),"")</f>
        <v/>
      </c>
      <c r="W1257" s="23" t="str">
        <f aca="false">IF(ISNUMBER(C1257),MONTH(C1257),"")</f>
        <v/>
      </c>
      <c r="X1257" s="23" t="str">
        <f aca="false">IF(T1257="","",IF(T1257=0,"No discount",IF(T1257&lt;=0.2,"Low (1-20%)",IF(T1257&lt;=0.4,"Medium (21-40%)","High (&gt;40%)"))))</f>
        <v/>
      </c>
      <c r="Y1257" s="23" t="str">
        <f aca="false">IF(AND(ISNUMBER(C1257),ISNUMBER(D1257)),D1257-C1257,"")</f>
        <v/>
      </c>
      <c r="Z1257" s="23" t="str">
        <f aca="false">IF(B1257="","",IF(MATCH(B1257,$B$2:$B$12000,0)=ROW()-1,1,0))</f>
        <v/>
      </c>
    </row>
    <row r="1258" customFormat="false" ht="15" hidden="false" customHeight="false" outlineLevel="0" collapsed="false">
      <c r="V1258" s="23" t="str">
        <f aca="false">IF(ISNUMBER(C1258),YEAR(C1258),"")</f>
        <v/>
      </c>
      <c r="W1258" s="23" t="str">
        <f aca="false">IF(ISNUMBER(C1258),MONTH(C1258),"")</f>
        <v/>
      </c>
      <c r="X1258" s="23" t="str">
        <f aca="false">IF(T1258="","",IF(T1258=0,"No discount",IF(T1258&lt;=0.2,"Low (1-20%)",IF(T1258&lt;=0.4,"Medium (21-40%)","High (&gt;40%)"))))</f>
        <v/>
      </c>
      <c r="Y1258" s="23" t="str">
        <f aca="false">IF(AND(ISNUMBER(C1258),ISNUMBER(D1258)),D1258-C1258,"")</f>
        <v/>
      </c>
      <c r="Z1258" s="23" t="str">
        <f aca="false">IF(B1258="","",IF(MATCH(B1258,$B$2:$B$12000,0)=ROW()-1,1,0))</f>
        <v/>
      </c>
    </row>
    <row r="1259" customFormat="false" ht="15" hidden="false" customHeight="false" outlineLevel="0" collapsed="false">
      <c r="V1259" s="23" t="str">
        <f aca="false">IF(ISNUMBER(C1259),YEAR(C1259),"")</f>
        <v/>
      </c>
      <c r="W1259" s="23" t="str">
        <f aca="false">IF(ISNUMBER(C1259),MONTH(C1259),"")</f>
        <v/>
      </c>
      <c r="X1259" s="23" t="str">
        <f aca="false">IF(T1259="","",IF(T1259=0,"No discount",IF(T1259&lt;=0.2,"Low (1-20%)",IF(T1259&lt;=0.4,"Medium (21-40%)","High (&gt;40%)"))))</f>
        <v/>
      </c>
      <c r="Y1259" s="23" t="str">
        <f aca="false">IF(AND(ISNUMBER(C1259),ISNUMBER(D1259)),D1259-C1259,"")</f>
        <v/>
      </c>
      <c r="Z1259" s="23" t="str">
        <f aca="false">IF(B1259="","",IF(MATCH(B1259,$B$2:$B$12000,0)=ROW()-1,1,0))</f>
        <v/>
      </c>
    </row>
    <row r="1260" customFormat="false" ht="15" hidden="false" customHeight="false" outlineLevel="0" collapsed="false">
      <c r="V1260" s="23" t="str">
        <f aca="false">IF(ISNUMBER(C1260),YEAR(C1260),"")</f>
        <v/>
      </c>
      <c r="W1260" s="23" t="str">
        <f aca="false">IF(ISNUMBER(C1260),MONTH(C1260),"")</f>
        <v/>
      </c>
      <c r="X1260" s="23" t="str">
        <f aca="false">IF(T1260="","",IF(T1260=0,"No discount",IF(T1260&lt;=0.2,"Low (1-20%)",IF(T1260&lt;=0.4,"Medium (21-40%)","High (&gt;40%)"))))</f>
        <v/>
      </c>
      <c r="Y1260" s="23" t="str">
        <f aca="false">IF(AND(ISNUMBER(C1260),ISNUMBER(D1260)),D1260-C1260,"")</f>
        <v/>
      </c>
      <c r="Z1260" s="23" t="str">
        <f aca="false">IF(B1260="","",IF(MATCH(B1260,$B$2:$B$12000,0)=ROW()-1,1,0))</f>
        <v/>
      </c>
    </row>
    <row r="1261" customFormat="false" ht="15" hidden="false" customHeight="false" outlineLevel="0" collapsed="false">
      <c r="V1261" s="23" t="str">
        <f aca="false">IF(ISNUMBER(C1261),YEAR(C1261),"")</f>
        <v/>
      </c>
      <c r="W1261" s="23" t="str">
        <f aca="false">IF(ISNUMBER(C1261),MONTH(C1261),"")</f>
        <v/>
      </c>
      <c r="X1261" s="23" t="str">
        <f aca="false">IF(T1261="","",IF(T1261=0,"No discount",IF(T1261&lt;=0.2,"Low (1-20%)",IF(T1261&lt;=0.4,"Medium (21-40%)","High (&gt;40%)"))))</f>
        <v/>
      </c>
      <c r="Y1261" s="23" t="str">
        <f aca="false">IF(AND(ISNUMBER(C1261),ISNUMBER(D1261)),D1261-C1261,"")</f>
        <v/>
      </c>
      <c r="Z1261" s="23" t="str">
        <f aca="false">IF(B1261="","",IF(MATCH(B1261,$B$2:$B$12000,0)=ROW()-1,1,0))</f>
        <v/>
      </c>
    </row>
    <row r="1262" customFormat="false" ht="15" hidden="false" customHeight="false" outlineLevel="0" collapsed="false">
      <c r="V1262" s="23" t="str">
        <f aca="false">IF(ISNUMBER(C1262),YEAR(C1262),"")</f>
        <v/>
      </c>
      <c r="W1262" s="23" t="str">
        <f aca="false">IF(ISNUMBER(C1262),MONTH(C1262),"")</f>
        <v/>
      </c>
      <c r="X1262" s="23" t="str">
        <f aca="false">IF(T1262="","",IF(T1262=0,"No discount",IF(T1262&lt;=0.2,"Low (1-20%)",IF(T1262&lt;=0.4,"Medium (21-40%)","High (&gt;40%)"))))</f>
        <v/>
      </c>
      <c r="Y1262" s="23" t="str">
        <f aca="false">IF(AND(ISNUMBER(C1262),ISNUMBER(D1262)),D1262-C1262,"")</f>
        <v/>
      </c>
      <c r="Z1262" s="23" t="str">
        <f aca="false">IF(B1262="","",IF(MATCH(B1262,$B$2:$B$12000,0)=ROW()-1,1,0))</f>
        <v/>
      </c>
    </row>
    <row r="1263" customFormat="false" ht="15" hidden="false" customHeight="false" outlineLevel="0" collapsed="false">
      <c r="V1263" s="23" t="str">
        <f aca="false">IF(ISNUMBER(C1263),YEAR(C1263),"")</f>
        <v/>
      </c>
      <c r="W1263" s="23" t="str">
        <f aca="false">IF(ISNUMBER(C1263),MONTH(C1263),"")</f>
        <v/>
      </c>
      <c r="X1263" s="23" t="str">
        <f aca="false">IF(T1263="","",IF(T1263=0,"No discount",IF(T1263&lt;=0.2,"Low (1-20%)",IF(T1263&lt;=0.4,"Medium (21-40%)","High (&gt;40%)"))))</f>
        <v/>
      </c>
      <c r="Y1263" s="23" t="str">
        <f aca="false">IF(AND(ISNUMBER(C1263),ISNUMBER(D1263)),D1263-C1263,"")</f>
        <v/>
      </c>
      <c r="Z1263" s="23" t="str">
        <f aca="false">IF(B1263="","",IF(MATCH(B1263,$B$2:$B$12000,0)=ROW()-1,1,0))</f>
        <v/>
      </c>
    </row>
    <row r="1264" customFormat="false" ht="15" hidden="false" customHeight="false" outlineLevel="0" collapsed="false">
      <c r="V1264" s="23" t="str">
        <f aca="false">IF(ISNUMBER(C1264),YEAR(C1264),"")</f>
        <v/>
      </c>
      <c r="W1264" s="23" t="str">
        <f aca="false">IF(ISNUMBER(C1264),MONTH(C1264),"")</f>
        <v/>
      </c>
      <c r="X1264" s="23" t="str">
        <f aca="false">IF(T1264="","",IF(T1264=0,"No discount",IF(T1264&lt;=0.2,"Low (1-20%)",IF(T1264&lt;=0.4,"Medium (21-40%)","High (&gt;40%)"))))</f>
        <v/>
      </c>
      <c r="Y1264" s="23" t="str">
        <f aca="false">IF(AND(ISNUMBER(C1264),ISNUMBER(D1264)),D1264-C1264,"")</f>
        <v/>
      </c>
      <c r="Z1264" s="23" t="str">
        <f aca="false">IF(B1264="","",IF(MATCH(B1264,$B$2:$B$12000,0)=ROW()-1,1,0))</f>
        <v/>
      </c>
    </row>
    <row r="1265" customFormat="false" ht="15" hidden="false" customHeight="false" outlineLevel="0" collapsed="false">
      <c r="V1265" s="23" t="str">
        <f aca="false">IF(ISNUMBER(C1265),YEAR(C1265),"")</f>
        <v/>
      </c>
      <c r="W1265" s="23" t="str">
        <f aca="false">IF(ISNUMBER(C1265),MONTH(C1265),"")</f>
        <v/>
      </c>
      <c r="X1265" s="23" t="str">
        <f aca="false">IF(T1265="","",IF(T1265=0,"No discount",IF(T1265&lt;=0.2,"Low (1-20%)",IF(T1265&lt;=0.4,"Medium (21-40%)","High (&gt;40%)"))))</f>
        <v/>
      </c>
      <c r="Y1265" s="23" t="str">
        <f aca="false">IF(AND(ISNUMBER(C1265),ISNUMBER(D1265)),D1265-C1265,"")</f>
        <v/>
      </c>
      <c r="Z1265" s="23" t="str">
        <f aca="false">IF(B1265="","",IF(MATCH(B1265,$B$2:$B$12000,0)=ROW()-1,1,0))</f>
        <v/>
      </c>
    </row>
    <row r="1266" customFormat="false" ht="15" hidden="false" customHeight="false" outlineLevel="0" collapsed="false">
      <c r="V1266" s="23" t="str">
        <f aca="false">IF(ISNUMBER(C1266),YEAR(C1266),"")</f>
        <v/>
      </c>
      <c r="W1266" s="23" t="str">
        <f aca="false">IF(ISNUMBER(C1266),MONTH(C1266),"")</f>
        <v/>
      </c>
      <c r="X1266" s="23" t="str">
        <f aca="false">IF(T1266="","",IF(T1266=0,"No discount",IF(T1266&lt;=0.2,"Low (1-20%)",IF(T1266&lt;=0.4,"Medium (21-40%)","High (&gt;40%)"))))</f>
        <v/>
      </c>
      <c r="Y1266" s="23" t="str">
        <f aca="false">IF(AND(ISNUMBER(C1266),ISNUMBER(D1266)),D1266-C1266,"")</f>
        <v/>
      </c>
      <c r="Z1266" s="23" t="str">
        <f aca="false">IF(B1266="","",IF(MATCH(B1266,$B$2:$B$12000,0)=ROW()-1,1,0))</f>
        <v/>
      </c>
    </row>
    <row r="1267" customFormat="false" ht="15" hidden="false" customHeight="false" outlineLevel="0" collapsed="false">
      <c r="V1267" s="23" t="str">
        <f aca="false">IF(ISNUMBER(C1267),YEAR(C1267),"")</f>
        <v/>
      </c>
      <c r="W1267" s="23" t="str">
        <f aca="false">IF(ISNUMBER(C1267),MONTH(C1267),"")</f>
        <v/>
      </c>
      <c r="X1267" s="23" t="str">
        <f aca="false">IF(T1267="","",IF(T1267=0,"No discount",IF(T1267&lt;=0.2,"Low (1-20%)",IF(T1267&lt;=0.4,"Medium (21-40%)","High (&gt;40%)"))))</f>
        <v/>
      </c>
      <c r="Y1267" s="23" t="str">
        <f aca="false">IF(AND(ISNUMBER(C1267),ISNUMBER(D1267)),D1267-C1267,"")</f>
        <v/>
      </c>
      <c r="Z1267" s="23" t="str">
        <f aca="false">IF(B1267="","",IF(MATCH(B1267,$B$2:$B$12000,0)=ROW()-1,1,0))</f>
        <v/>
      </c>
    </row>
    <row r="1268" customFormat="false" ht="15" hidden="false" customHeight="false" outlineLevel="0" collapsed="false">
      <c r="V1268" s="23" t="str">
        <f aca="false">IF(ISNUMBER(C1268),YEAR(C1268),"")</f>
        <v/>
      </c>
      <c r="W1268" s="23" t="str">
        <f aca="false">IF(ISNUMBER(C1268),MONTH(C1268),"")</f>
        <v/>
      </c>
      <c r="X1268" s="23" t="str">
        <f aca="false">IF(T1268="","",IF(T1268=0,"No discount",IF(T1268&lt;=0.2,"Low (1-20%)",IF(T1268&lt;=0.4,"Medium (21-40%)","High (&gt;40%)"))))</f>
        <v/>
      </c>
      <c r="Y1268" s="23" t="str">
        <f aca="false">IF(AND(ISNUMBER(C1268),ISNUMBER(D1268)),D1268-C1268,"")</f>
        <v/>
      </c>
      <c r="Z1268" s="23" t="str">
        <f aca="false">IF(B1268="","",IF(MATCH(B1268,$B$2:$B$12000,0)=ROW()-1,1,0))</f>
        <v/>
      </c>
    </row>
    <row r="1269" customFormat="false" ht="15" hidden="false" customHeight="false" outlineLevel="0" collapsed="false">
      <c r="V1269" s="23" t="str">
        <f aca="false">IF(ISNUMBER(C1269),YEAR(C1269),"")</f>
        <v/>
      </c>
      <c r="W1269" s="23" t="str">
        <f aca="false">IF(ISNUMBER(C1269),MONTH(C1269),"")</f>
        <v/>
      </c>
      <c r="X1269" s="23" t="str">
        <f aca="false">IF(T1269="","",IF(T1269=0,"No discount",IF(T1269&lt;=0.2,"Low (1-20%)",IF(T1269&lt;=0.4,"Medium (21-40%)","High (&gt;40%)"))))</f>
        <v/>
      </c>
      <c r="Y1269" s="23" t="str">
        <f aca="false">IF(AND(ISNUMBER(C1269),ISNUMBER(D1269)),D1269-C1269,"")</f>
        <v/>
      </c>
      <c r="Z1269" s="23" t="str">
        <f aca="false">IF(B1269="","",IF(MATCH(B1269,$B$2:$B$12000,0)=ROW()-1,1,0))</f>
        <v/>
      </c>
    </row>
    <row r="1270" customFormat="false" ht="15" hidden="false" customHeight="false" outlineLevel="0" collapsed="false">
      <c r="V1270" s="23" t="str">
        <f aca="false">IF(ISNUMBER(C1270),YEAR(C1270),"")</f>
        <v/>
      </c>
      <c r="W1270" s="23" t="str">
        <f aca="false">IF(ISNUMBER(C1270),MONTH(C1270),"")</f>
        <v/>
      </c>
      <c r="X1270" s="23" t="str">
        <f aca="false">IF(T1270="","",IF(T1270=0,"No discount",IF(T1270&lt;=0.2,"Low (1-20%)",IF(T1270&lt;=0.4,"Medium (21-40%)","High (&gt;40%)"))))</f>
        <v/>
      </c>
      <c r="Y1270" s="23" t="str">
        <f aca="false">IF(AND(ISNUMBER(C1270),ISNUMBER(D1270)),D1270-C1270,"")</f>
        <v/>
      </c>
      <c r="Z1270" s="23" t="str">
        <f aca="false">IF(B1270="","",IF(MATCH(B1270,$B$2:$B$12000,0)=ROW()-1,1,0))</f>
        <v/>
      </c>
    </row>
    <row r="1271" customFormat="false" ht="15" hidden="false" customHeight="false" outlineLevel="0" collapsed="false">
      <c r="V1271" s="23" t="str">
        <f aca="false">IF(ISNUMBER(C1271),YEAR(C1271),"")</f>
        <v/>
      </c>
      <c r="W1271" s="23" t="str">
        <f aca="false">IF(ISNUMBER(C1271),MONTH(C1271),"")</f>
        <v/>
      </c>
      <c r="X1271" s="23" t="str">
        <f aca="false">IF(T1271="","",IF(T1271=0,"No discount",IF(T1271&lt;=0.2,"Low (1-20%)",IF(T1271&lt;=0.4,"Medium (21-40%)","High (&gt;40%)"))))</f>
        <v/>
      </c>
      <c r="Y1271" s="23" t="str">
        <f aca="false">IF(AND(ISNUMBER(C1271),ISNUMBER(D1271)),D1271-C1271,"")</f>
        <v/>
      </c>
      <c r="Z1271" s="23" t="str">
        <f aca="false">IF(B1271="","",IF(MATCH(B1271,$B$2:$B$12000,0)=ROW()-1,1,0))</f>
        <v/>
      </c>
    </row>
    <row r="1272" customFormat="false" ht="15" hidden="false" customHeight="false" outlineLevel="0" collapsed="false">
      <c r="V1272" s="23" t="str">
        <f aca="false">IF(ISNUMBER(C1272),YEAR(C1272),"")</f>
        <v/>
      </c>
      <c r="W1272" s="23" t="str">
        <f aca="false">IF(ISNUMBER(C1272),MONTH(C1272),"")</f>
        <v/>
      </c>
      <c r="X1272" s="23" t="str">
        <f aca="false">IF(T1272="","",IF(T1272=0,"No discount",IF(T1272&lt;=0.2,"Low (1-20%)",IF(T1272&lt;=0.4,"Medium (21-40%)","High (&gt;40%)"))))</f>
        <v/>
      </c>
      <c r="Y1272" s="23" t="str">
        <f aca="false">IF(AND(ISNUMBER(C1272),ISNUMBER(D1272)),D1272-C1272,"")</f>
        <v/>
      </c>
      <c r="Z1272" s="23" t="str">
        <f aca="false">IF(B1272="","",IF(MATCH(B1272,$B$2:$B$12000,0)=ROW()-1,1,0))</f>
        <v/>
      </c>
    </row>
    <row r="1273" customFormat="false" ht="15" hidden="false" customHeight="false" outlineLevel="0" collapsed="false">
      <c r="V1273" s="23" t="str">
        <f aca="false">IF(ISNUMBER(C1273),YEAR(C1273),"")</f>
        <v/>
      </c>
      <c r="W1273" s="23" t="str">
        <f aca="false">IF(ISNUMBER(C1273),MONTH(C1273),"")</f>
        <v/>
      </c>
      <c r="X1273" s="23" t="str">
        <f aca="false">IF(T1273="","",IF(T1273=0,"No discount",IF(T1273&lt;=0.2,"Low (1-20%)",IF(T1273&lt;=0.4,"Medium (21-40%)","High (&gt;40%)"))))</f>
        <v/>
      </c>
      <c r="Y1273" s="23" t="str">
        <f aca="false">IF(AND(ISNUMBER(C1273),ISNUMBER(D1273)),D1273-C1273,"")</f>
        <v/>
      </c>
      <c r="Z1273" s="23" t="str">
        <f aca="false">IF(B1273="","",IF(MATCH(B1273,$B$2:$B$12000,0)=ROW()-1,1,0))</f>
        <v/>
      </c>
    </row>
    <row r="1274" customFormat="false" ht="15" hidden="false" customHeight="false" outlineLevel="0" collapsed="false">
      <c r="V1274" s="23" t="str">
        <f aca="false">IF(ISNUMBER(C1274),YEAR(C1274),"")</f>
        <v/>
      </c>
      <c r="W1274" s="23" t="str">
        <f aca="false">IF(ISNUMBER(C1274),MONTH(C1274),"")</f>
        <v/>
      </c>
      <c r="X1274" s="23" t="str">
        <f aca="false">IF(T1274="","",IF(T1274=0,"No discount",IF(T1274&lt;=0.2,"Low (1-20%)",IF(T1274&lt;=0.4,"Medium (21-40%)","High (&gt;40%)"))))</f>
        <v/>
      </c>
      <c r="Y1274" s="23" t="str">
        <f aca="false">IF(AND(ISNUMBER(C1274),ISNUMBER(D1274)),D1274-C1274,"")</f>
        <v/>
      </c>
      <c r="Z1274" s="23" t="str">
        <f aca="false">IF(B1274="","",IF(MATCH(B1274,$B$2:$B$12000,0)=ROW()-1,1,0))</f>
        <v/>
      </c>
    </row>
    <row r="1275" customFormat="false" ht="15" hidden="false" customHeight="false" outlineLevel="0" collapsed="false">
      <c r="V1275" s="23" t="str">
        <f aca="false">IF(ISNUMBER(C1275),YEAR(C1275),"")</f>
        <v/>
      </c>
      <c r="W1275" s="23" t="str">
        <f aca="false">IF(ISNUMBER(C1275),MONTH(C1275),"")</f>
        <v/>
      </c>
      <c r="X1275" s="23" t="str">
        <f aca="false">IF(T1275="","",IF(T1275=0,"No discount",IF(T1275&lt;=0.2,"Low (1-20%)",IF(T1275&lt;=0.4,"Medium (21-40%)","High (&gt;40%)"))))</f>
        <v/>
      </c>
      <c r="Y1275" s="23" t="str">
        <f aca="false">IF(AND(ISNUMBER(C1275),ISNUMBER(D1275)),D1275-C1275,"")</f>
        <v/>
      </c>
      <c r="Z1275" s="23" t="str">
        <f aca="false">IF(B1275="","",IF(MATCH(B1275,$B$2:$B$12000,0)=ROW()-1,1,0))</f>
        <v/>
      </c>
    </row>
    <row r="1276" customFormat="false" ht="15" hidden="false" customHeight="false" outlineLevel="0" collapsed="false">
      <c r="V1276" s="23" t="str">
        <f aca="false">IF(ISNUMBER(C1276),YEAR(C1276),"")</f>
        <v/>
      </c>
      <c r="W1276" s="23" t="str">
        <f aca="false">IF(ISNUMBER(C1276),MONTH(C1276),"")</f>
        <v/>
      </c>
      <c r="X1276" s="23" t="str">
        <f aca="false">IF(T1276="","",IF(T1276=0,"No discount",IF(T1276&lt;=0.2,"Low (1-20%)",IF(T1276&lt;=0.4,"Medium (21-40%)","High (&gt;40%)"))))</f>
        <v/>
      </c>
      <c r="Y1276" s="23" t="str">
        <f aca="false">IF(AND(ISNUMBER(C1276),ISNUMBER(D1276)),D1276-C1276,"")</f>
        <v/>
      </c>
      <c r="Z1276" s="23" t="str">
        <f aca="false">IF(B1276="","",IF(MATCH(B1276,$B$2:$B$12000,0)=ROW()-1,1,0))</f>
        <v/>
      </c>
    </row>
    <row r="1277" customFormat="false" ht="15" hidden="false" customHeight="false" outlineLevel="0" collapsed="false">
      <c r="V1277" s="23" t="str">
        <f aca="false">IF(ISNUMBER(C1277),YEAR(C1277),"")</f>
        <v/>
      </c>
      <c r="W1277" s="23" t="str">
        <f aca="false">IF(ISNUMBER(C1277),MONTH(C1277),"")</f>
        <v/>
      </c>
      <c r="X1277" s="23" t="str">
        <f aca="false">IF(T1277="","",IF(T1277=0,"No discount",IF(T1277&lt;=0.2,"Low (1-20%)",IF(T1277&lt;=0.4,"Medium (21-40%)","High (&gt;40%)"))))</f>
        <v/>
      </c>
      <c r="Y1277" s="23" t="str">
        <f aca="false">IF(AND(ISNUMBER(C1277),ISNUMBER(D1277)),D1277-C1277,"")</f>
        <v/>
      </c>
      <c r="Z1277" s="23" t="str">
        <f aca="false">IF(B1277="","",IF(MATCH(B1277,$B$2:$B$12000,0)=ROW()-1,1,0))</f>
        <v/>
      </c>
    </row>
    <row r="1278" customFormat="false" ht="15" hidden="false" customHeight="false" outlineLevel="0" collapsed="false">
      <c r="V1278" s="23" t="str">
        <f aca="false">IF(ISNUMBER(C1278),YEAR(C1278),"")</f>
        <v/>
      </c>
      <c r="W1278" s="23" t="str">
        <f aca="false">IF(ISNUMBER(C1278),MONTH(C1278),"")</f>
        <v/>
      </c>
      <c r="X1278" s="23" t="str">
        <f aca="false">IF(T1278="","",IF(T1278=0,"No discount",IF(T1278&lt;=0.2,"Low (1-20%)",IF(T1278&lt;=0.4,"Medium (21-40%)","High (&gt;40%)"))))</f>
        <v/>
      </c>
      <c r="Y1278" s="23" t="str">
        <f aca="false">IF(AND(ISNUMBER(C1278),ISNUMBER(D1278)),D1278-C1278,"")</f>
        <v/>
      </c>
      <c r="Z1278" s="23" t="str">
        <f aca="false">IF(B1278="","",IF(MATCH(B1278,$B$2:$B$12000,0)=ROW()-1,1,0))</f>
        <v/>
      </c>
    </row>
    <row r="1279" customFormat="false" ht="15" hidden="false" customHeight="false" outlineLevel="0" collapsed="false">
      <c r="V1279" s="23" t="str">
        <f aca="false">IF(ISNUMBER(C1279),YEAR(C1279),"")</f>
        <v/>
      </c>
      <c r="W1279" s="23" t="str">
        <f aca="false">IF(ISNUMBER(C1279),MONTH(C1279),"")</f>
        <v/>
      </c>
      <c r="X1279" s="23" t="str">
        <f aca="false">IF(T1279="","",IF(T1279=0,"No discount",IF(T1279&lt;=0.2,"Low (1-20%)",IF(T1279&lt;=0.4,"Medium (21-40%)","High (&gt;40%)"))))</f>
        <v/>
      </c>
      <c r="Y1279" s="23" t="str">
        <f aca="false">IF(AND(ISNUMBER(C1279),ISNUMBER(D1279)),D1279-C1279,"")</f>
        <v/>
      </c>
      <c r="Z1279" s="23" t="str">
        <f aca="false">IF(B1279="","",IF(MATCH(B1279,$B$2:$B$12000,0)=ROW()-1,1,0))</f>
        <v/>
      </c>
    </row>
    <row r="1280" customFormat="false" ht="15" hidden="false" customHeight="false" outlineLevel="0" collapsed="false">
      <c r="V1280" s="23" t="str">
        <f aca="false">IF(ISNUMBER(C1280),YEAR(C1280),"")</f>
        <v/>
      </c>
      <c r="W1280" s="23" t="str">
        <f aca="false">IF(ISNUMBER(C1280),MONTH(C1280),"")</f>
        <v/>
      </c>
      <c r="X1280" s="23" t="str">
        <f aca="false">IF(T1280="","",IF(T1280=0,"No discount",IF(T1280&lt;=0.2,"Low (1-20%)",IF(T1280&lt;=0.4,"Medium (21-40%)","High (&gt;40%)"))))</f>
        <v/>
      </c>
      <c r="Y1280" s="23" t="str">
        <f aca="false">IF(AND(ISNUMBER(C1280),ISNUMBER(D1280)),D1280-C1280,"")</f>
        <v/>
      </c>
      <c r="Z1280" s="23" t="str">
        <f aca="false">IF(B1280="","",IF(MATCH(B1280,$B$2:$B$12000,0)=ROW()-1,1,0))</f>
        <v/>
      </c>
    </row>
    <row r="1281" customFormat="false" ht="15" hidden="false" customHeight="false" outlineLevel="0" collapsed="false">
      <c r="V1281" s="23" t="str">
        <f aca="false">IF(ISNUMBER(C1281),YEAR(C1281),"")</f>
        <v/>
      </c>
      <c r="W1281" s="23" t="str">
        <f aca="false">IF(ISNUMBER(C1281),MONTH(C1281),"")</f>
        <v/>
      </c>
      <c r="X1281" s="23" t="str">
        <f aca="false">IF(T1281="","",IF(T1281=0,"No discount",IF(T1281&lt;=0.2,"Low (1-20%)",IF(T1281&lt;=0.4,"Medium (21-40%)","High (&gt;40%)"))))</f>
        <v/>
      </c>
      <c r="Y1281" s="23" t="str">
        <f aca="false">IF(AND(ISNUMBER(C1281),ISNUMBER(D1281)),D1281-C1281,"")</f>
        <v/>
      </c>
      <c r="Z1281" s="23" t="str">
        <f aca="false">IF(B1281="","",IF(MATCH(B1281,$B$2:$B$12000,0)=ROW()-1,1,0))</f>
        <v/>
      </c>
    </row>
    <row r="1282" customFormat="false" ht="15" hidden="false" customHeight="false" outlineLevel="0" collapsed="false">
      <c r="V1282" s="23" t="str">
        <f aca="false">IF(ISNUMBER(C1282),YEAR(C1282),"")</f>
        <v/>
      </c>
      <c r="W1282" s="23" t="str">
        <f aca="false">IF(ISNUMBER(C1282),MONTH(C1282),"")</f>
        <v/>
      </c>
      <c r="X1282" s="23" t="str">
        <f aca="false">IF(T1282="","",IF(T1282=0,"No discount",IF(T1282&lt;=0.2,"Low (1-20%)",IF(T1282&lt;=0.4,"Medium (21-40%)","High (&gt;40%)"))))</f>
        <v/>
      </c>
      <c r="Y1282" s="23" t="str">
        <f aca="false">IF(AND(ISNUMBER(C1282),ISNUMBER(D1282)),D1282-C1282,"")</f>
        <v/>
      </c>
      <c r="Z1282" s="23" t="str">
        <f aca="false">IF(B1282="","",IF(MATCH(B1282,$B$2:$B$12000,0)=ROW()-1,1,0))</f>
        <v/>
      </c>
    </row>
    <row r="1283" customFormat="false" ht="15" hidden="false" customHeight="false" outlineLevel="0" collapsed="false">
      <c r="V1283" s="23" t="str">
        <f aca="false">IF(ISNUMBER(C1283),YEAR(C1283),"")</f>
        <v/>
      </c>
      <c r="W1283" s="23" t="str">
        <f aca="false">IF(ISNUMBER(C1283),MONTH(C1283),"")</f>
        <v/>
      </c>
      <c r="X1283" s="23" t="str">
        <f aca="false">IF(T1283="","",IF(T1283=0,"No discount",IF(T1283&lt;=0.2,"Low (1-20%)",IF(T1283&lt;=0.4,"Medium (21-40%)","High (&gt;40%)"))))</f>
        <v/>
      </c>
      <c r="Y1283" s="23" t="str">
        <f aca="false">IF(AND(ISNUMBER(C1283),ISNUMBER(D1283)),D1283-C1283,"")</f>
        <v/>
      </c>
      <c r="Z1283" s="23" t="str">
        <f aca="false">IF(B1283="","",IF(MATCH(B1283,$B$2:$B$12000,0)=ROW()-1,1,0))</f>
        <v/>
      </c>
    </row>
    <row r="1284" customFormat="false" ht="15" hidden="false" customHeight="false" outlineLevel="0" collapsed="false">
      <c r="V1284" s="23" t="str">
        <f aca="false">IF(ISNUMBER(C1284),YEAR(C1284),"")</f>
        <v/>
      </c>
      <c r="W1284" s="23" t="str">
        <f aca="false">IF(ISNUMBER(C1284),MONTH(C1284),"")</f>
        <v/>
      </c>
      <c r="X1284" s="23" t="str">
        <f aca="false">IF(T1284="","",IF(T1284=0,"No discount",IF(T1284&lt;=0.2,"Low (1-20%)",IF(T1284&lt;=0.4,"Medium (21-40%)","High (&gt;40%)"))))</f>
        <v/>
      </c>
      <c r="Y1284" s="23" t="str">
        <f aca="false">IF(AND(ISNUMBER(C1284),ISNUMBER(D1284)),D1284-C1284,"")</f>
        <v/>
      </c>
      <c r="Z1284" s="23" t="str">
        <f aca="false">IF(B1284="","",IF(MATCH(B1284,$B$2:$B$12000,0)=ROW()-1,1,0))</f>
        <v/>
      </c>
    </row>
    <row r="1285" customFormat="false" ht="15" hidden="false" customHeight="false" outlineLevel="0" collapsed="false">
      <c r="V1285" s="23" t="str">
        <f aca="false">IF(ISNUMBER(C1285),YEAR(C1285),"")</f>
        <v/>
      </c>
      <c r="W1285" s="23" t="str">
        <f aca="false">IF(ISNUMBER(C1285),MONTH(C1285),"")</f>
        <v/>
      </c>
      <c r="X1285" s="23" t="str">
        <f aca="false">IF(T1285="","",IF(T1285=0,"No discount",IF(T1285&lt;=0.2,"Low (1-20%)",IF(T1285&lt;=0.4,"Medium (21-40%)","High (&gt;40%)"))))</f>
        <v/>
      </c>
      <c r="Y1285" s="23" t="str">
        <f aca="false">IF(AND(ISNUMBER(C1285),ISNUMBER(D1285)),D1285-C1285,"")</f>
        <v/>
      </c>
      <c r="Z1285" s="23" t="str">
        <f aca="false">IF(B1285="","",IF(MATCH(B1285,$B$2:$B$12000,0)=ROW()-1,1,0))</f>
        <v/>
      </c>
    </row>
    <row r="1286" customFormat="false" ht="15" hidden="false" customHeight="false" outlineLevel="0" collapsed="false">
      <c r="V1286" s="23" t="str">
        <f aca="false">IF(ISNUMBER(C1286),YEAR(C1286),"")</f>
        <v/>
      </c>
      <c r="W1286" s="23" t="str">
        <f aca="false">IF(ISNUMBER(C1286),MONTH(C1286),"")</f>
        <v/>
      </c>
      <c r="X1286" s="23" t="str">
        <f aca="false">IF(T1286="","",IF(T1286=0,"No discount",IF(T1286&lt;=0.2,"Low (1-20%)",IF(T1286&lt;=0.4,"Medium (21-40%)","High (&gt;40%)"))))</f>
        <v/>
      </c>
      <c r="Y1286" s="23" t="str">
        <f aca="false">IF(AND(ISNUMBER(C1286),ISNUMBER(D1286)),D1286-C1286,"")</f>
        <v/>
      </c>
      <c r="Z1286" s="23" t="str">
        <f aca="false">IF(B1286="","",IF(MATCH(B1286,$B$2:$B$12000,0)=ROW()-1,1,0))</f>
        <v/>
      </c>
    </row>
    <row r="1287" customFormat="false" ht="15" hidden="false" customHeight="false" outlineLevel="0" collapsed="false">
      <c r="V1287" s="23" t="str">
        <f aca="false">IF(ISNUMBER(C1287),YEAR(C1287),"")</f>
        <v/>
      </c>
      <c r="W1287" s="23" t="str">
        <f aca="false">IF(ISNUMBER(C1287),MONTH(C1287),"")</f>
        <v/>
      </c>
      <c r="X1287" s="23" t="str">
        <f aca="false">IF(T1287="","",IF(T1287=0,"No discount",IF(T1287&lt;=0.2,"Low (1-20%)",IF(T1287&lt;=0.4,"Medium (21-40%)","High (&gt;40%)"))))</f>
        <v/>
      </c>
      <c r="Y1287" s="23" t="str">
        <f aca="false">IF(AND(ISNUMBER(C1287),ISNUMBER(D1287)),D1287-C1287,"")</f>
        <v/>
      </c>
      <c r="Z1287" s="23" t="str">
        <f aca="false">IF(B1287="","",IF(MATCH(B1287,$B$2:$B$12000,0)=ROW()-1,1,0))</f>
        <v/>
      </c>
    </row>
    <row r="1288" customFormat="false" ht="15" hidden="false" customHeight="false" outlineLevel="0" collapsed="false">
      <c r="V1288" s="23" t="str">
        <f aca="false">IF(ISNUMBER(C1288),YEAR(C1288),"")</f>
        <v/>
      </c>
      <c r="W1288" s="23" t="str">
        <f aca="false">IF(ISNUMBER(C1288),MONTH(C1288),"")</f>
        <v/>
      </c>
      <c r="X1288" s="23" t="str">
        <f aca="false">IF(T1288="","",IF(T1288=0,"No discount",IF(T1288&lt;=0.2,"Low (1-20%)",IF(T1288&lt;=0.4,"Medium (21-40%)","High (&gt;40%)"))))</f>
        <v/>
      </c>
      <c r="Y1288" s="23" t="str">
        <f aca="false">IF(AND(ISNUMBER(C1288),ISNUMBER(D1288)),D1288-C1288,"")</f>
        <v/>
      </c>
      <c r="Z1288" s="23" t="str">
        <f aca="false">IF(B1288="","",IF(MATCH(B1288,$B$2:$B$12000,0)=ROW()-1,1,0))</f>
        <v/>
      </c>
    </row>
    <row r="1289" customFormat="false" ht="15" hidden="false" customHeight="false" outlineLevel="0" collapsed="false">
      <c r="V1289" s="23" t="str">
        <f aca="false">IF(ISNUMBER(C1289),YEAR(C1289),"")</f>
        <v/>
      </c>
      <c r="W1289" s="23" t="str">
        <f aca="false">IF(ISNUMBER(C1289),MONTH(C1289),"")</f>
        <v/>
      </c>
      <c r="X1289" s="23" t="str">
        <f aca="false">IF(T1289="","",IF(T1289=0,"No discount",IF(T1289&lt;=0.2,"Low (1-20%)",IF(T1289&lt;=0.4,"Medium (21-40%)","High (&gt;40%)"))))</f>
        <v/>
      </c>
      <c r="Y1289" s="23" t="str">
        <f aca="false">IF(AND(ISNUMBER(C1289),ISNUMBER(D1289)),D1289-C1289,"")</f>
        <v/>
      </c>
      <c r="Z1289" s="23" t="str">
        <f aca="false">IF(B1289="","",IF(MATCH(B1289,$B$2:$B$12000,0)=ROW()-1,1,0))</f>
        <v/>
      </c>
    </row>
    <row r="1290" customFormat="false" ht="15" hidden="false" customHeight="false" outlineLevel="0" collapsed="false">
      <c r="V1290" s="23" t="str">
        <f aca="false">IF(ISNUMBER(C1290),YEAR(C1290),"")</f>
        <v/>
      </c>
      <c r="W1290" s="23" t="str">
        <f aca="false">IF(ISNUMBER(C1290),MONTH(C1290),"")</f>
        <v/>
      </c>
      <c r="X1290" s="23" t="str">
        <f aca="false">IF(T1290="","",IF(T1290=0,"No discount",IF(T1290&lt;=0.2,"Low (1-20%)",IF(T1290&lt;=0.4,"Medium (21-40%)","High (&gt;40%)"))))</f>
        <v/>
      </c>
      <c r="Y1290" s="23" t="str">
        <f aca="false">IF(AND(ISNUMBER(C1290),ISNUMBER(D1290)),D1290-C1290,"")</f>
        <v/>
      </c>
      <c r="Z1290" s="23" t="str">
        <f aca="false">IF(B1290="","",IF(MATCH(B1290,$B$2:$B$12000,0)=ROW()-1,1,0))</f>
        <v/>
      </c>
    </row>
    <row r="1291" customFormat="false" ht="15" hidden="false" customHeight="false" outlineLevel="0" collapsed="false">
      <c r="V1291" s="23" t="str">
        <f aca="false">IF(ISNUMBER(C1291),YEAR(C1291),"")</f>
        <v/>
      </c>
      <c r="W1291" s="23" t="str">
        <f aca="false">IF(ISNUMBER(C1291),MONTH(C1291),"")</f>
        <v/>
      </c>
      <c r="X1291" s="23" t="str">
        <f aca="false">IF(T1291="","",IF(T1291=0,"No discount",IF(T1291&lt;=0.2,"Low (1-20%)",IF(T1291&lt;=0.4,"Medium (21-40%)","High (&gt;40%)"))))</f>
        <v/>
      </c>
      <c r="Y1291" s="23" t="str">
        <f aca="false">IF(AND(ISNUMBER(C1291),ISNUMBER(D1291)),D1291-C1291,"")</f>
        <v/>
      </c>
      <c r="Z1291" s="23" t="str">
        <f aca="false">IF(B1291="","",IF(MATCH(B1291,$B$2:$B$12000,0)=ROW()-1,1,0))</f>
        <v/>
      </c>
    </row>
    <row r="1292" customFormat="false" ht="15" hidden="false" customHeight="false" outlineLevel="0" collapsed="false">
      <c r="V1292" s="23" t="str">
        <f aca="false">IF(ISNUMBER(C1292),YEAR(C1292),"")</f>
        <v/>
      </c>
      <c r="W1292" s="23" t="str">
        <f aca="false">IF(ISNUMBER(C1292),MONTH(C1292),"")</f>
        <v/>
      </c>
      <c r="X1292" s="23" t="str">
        <f aca="false">IF(T1292="","",IF(T1292=0,"No discount",IF(T1292&lt;=0.2,"Low (1-20%)",IF(T1292&lt;=0.4,"Medium (21-40%)","High (&gt;40%)"))))</f>
        <v/>
      </c>
      <c r="Y1292" s="23" t="str">
        <f aca="false">IF(AND(ISNUMBER(C1292),ISNUMBER(D1292)),D1292-C1292,"")</f>
        <v/>
      </c>
      <c r="Z1292" s="23" t="str">
        <f aca="false">IF(B1292="","",IF(MATCH(B1292,$B$2:$B$12000,0)=ROW()-1,1,0))</f>
        <v/>
      </c>
    </row>
    <row r="1293" customFormat="false" ht="15" hidden="false" customHeight="false" outlineLevel="0" collapsed="false">
      <c r="V1293" s="23" t="str">
        <f aca="false">IF(ISNUMBER(C1293),YEAR(C1293),"")</f>
        <v/>
      </c>
      <c r="W1293" s="23" t="str">
        <f aca="false">IF(ISNUMBER(C1293),MONTH(C1293),"")</f>
        <v/>
      </c>
      <c r="X1293" s="23" t="str">
        <f aca="false">IF(T1293="","",IF(T1293=0,"No discount",IF(T1293&lt;=0.2,"Low (1-20%)",IF(T1293&lt;=0.4,"Medium (21-40%)","High (&gt;40%)"))))</f>
        <v/>
      </c>
      <c r="Y1293" s="23" t="str">
        <f aca="false">IF(AND(ISNUMBER(C1293),ISNUMBER(D1293)),D1293-C1293,"")</f>
        <v/>
      </c>
      <c r="Z1293" s="23" t="str">
        <f aca="false">IF(B1293="","",IF(MATCH(B1293,$B$2:$B$12000,0)=ROW()-1,1,0))</f>
        <v/>
      </c>
    </row>
    <row r="1294" customFormat="false" ht="15" hidden="false" customHeight="false" outlineLevel="0" collapsed="false">
      <c r="V1294" s="23" t="str">
        <f aca="false">IF(ISNUMBER(C1294),YEAR(C1294),"")</f>
        <v/>
      </c>
      <c r="W1294" s="23" t="str">
        <f aca="false">IF(ISNUMBER(C1294),MONTH(C1294),"")</f>
        <v/>
      </c>
      <c r="X1294" s="23" t="str">
        <f aca="false">IF(T1294="","",IF(T1294=0,"No discount",IF(T1294&lt;=0.2,"Low (1-20%)",IF(T1294&lt;=0.4,"Medium (21-40%)","High (&gt;40%)"))))</f>
        <v/>
      </c>
      <c r="Y1294" s="23" t="str">
        <f aca="false">IF(AND(ISNUMBER(C1294),ISNUMBER(D1294)),D1294-C1294,"")</f>
        <v/>
      </c>
      <c r="Z1294" s="23" t="str">
        <f aca="false">IF(B1294="","",IF(MATCH(B1294,$B$2:$B$12000,0)=ROW()-1,1,0))</f>
        <v/>
      </c>
    </row>
    <row r="1295" customFormat="false" ht="15" hidden="false" customHeight="false" outlineLevel="0" collapsed="false">
      <c r="V1295" s="23" t="str">
        <f aca="false">IF(ISNUMBER(C1295),YEAR(C1295),"")</f>
        <v/>
      </c>
      <c r="W1295" s="23" t="str">
        <f aca="false">IF(ISNUMBER(C1295),MONTH(C1295),"")</f>
        <v/>
      </c>
      <c r="X1295" s="23" t="str">
        <f aca="false">IF(T1295="","",IF(T1295=0,"No discount",IF(T1295&lt;=0.2,"Low (1-20%)",IF(T1295&lt;=0.4,"Medium (21-40%)","High (&gt;40%)"))))</f>
        <v/>
      </c>
      <c r="Y1295" s="23" t="str">
        <f aca="false">IF(AND(ISNUMBER(C1295),ISNUMBER(D1295)),D1295-C1295,"")</f>
        <v/>
      </c>
      <c r="Z1295" s="23" t="str">
        <f aca="false">IF(B1295="","",IF(MATCH(B1295,$B$2:$B$12000,0)=ROW()-1,1,0))</f>
        <v/>
      </c>
    </row>
    <row r="1296" customFormat="false" ht="15" hidden="false" customHeight="false" outlineLevel="0" collapsed="false">
      <c r="V1296" s="23" t="str">
        <f aca="false">IF(ISNUMBER(C1296),YEAR(C1296),"")</f>
        <v/>
      </c>
      <c r="W1296" s="23" t="str">
        <f aca="false">IF(ISNUMBER(C1296),MONTH(C1296),"")</f>
        <v/>
      </c>
      <c r="X1296" s="23" t="str">
        <f aca="false">IF(T1296="","",IF(T1296=0,"No discount",IF(T1296&lt;=0.2,"Low (1-20%)",IF(T1296&lt;=0.4,"Medium (21-40%)","High (&gt;40%)"))))</f>
        <v/>
      </c>
      <c r="Y1296" s="23" t="str">
        <f aca="false">IF(AND(ISNUMBER(C1296),ISNUMBER(D1296)),D1296-C1296,"")</f>
        <v/>
      </c>
      <c r="Z1296" s="23" t="str">
        <f aca="false">IF(B1296="","",IF(MATCH(B1296,$B$2:$B$12000,0)=ROW()-1,1,0))</f>
        <v/>
      </c>
    </row>
    <row r="1297" customFormat="false" ht="15" hidden="false" customHeight="false" outlineLevel="0" collapsed="false">
      <c r="V1297" s="23" t="str">
        <f aca="false">IF(ISNUMBER(C1297),YEAR(C1297),"")</f>
        <v/>
      </c>
      <c r="W1297" s="23" t="str">
        <f aca="false">IF(ISNUMBER(C1297),MONTH(C1297),"")</f>
        <v/>
      </c>
      <c r="X1297" s="23" t="str">
        <f aca="false">IF(T1297="","",IF(T1297=0,"No discount",IF(T1297&lt;=0.2,"Low (1-20%)",IF(T1297&lt;=0.4,"Medium (21-40%)","High (&gt;40%)"))))</f>
        <v/>
      </c>
      <c r="Y1297" s="23" t="str">
        <f aca="false">IF(AND(ISNUMBER(C1297),ISNUMBER(D1297)),D1297-C1297,"")</f>
        <v/>
      </c>
      <c r="Z1297" s="23" t="str">
        <f aca="false">IF(B1297="","",IF(MATCH(B1297,$B$2:$B$12000,0)=ROW()-1,1,0))</f>
        <v/>
      </c>
    </row>
    <row r="1298" customFormat="false" ht="15" hidden="false" customHeight="false" outlineLevel="0" collapsed="false">
      <c r="V1298" s="23" t="str">
        <f aca="false">IF(ISNUMBER(C1298),YEAR(C1298),"")</f>
        <v/>
      </c>
      <c r="W1298" s="23" t="str">
        <f aca="false">IF(ISNUMBER(C1298),MONTH(C1298),"")</f>
        <v/>
      </c>
      <c r="X1298" s="23" t="str">
        <f aca="false">IF(T1298="","",IF(T1298=0,"No discount",IF(T1298&lt;=0.2,"Low (1-20%)",IF(T1298&lt;=0.4,"Medium (21-40%)","High (&gt;40%)"))))</f>
        <v/>
      </c>
      <c r="Y1298" s="23" t="str">
        <f aca="false">IF(AND(ISNUMBER(C1298),ISNUMBER(D1298)),D1298-C1298,"")</f>
        <v/>
      </c>
      <c r="Z1298" s="23" t="str">
        <f aca="false">IF(B1298="","",IF(MATCH(B1298,$B$2:$B$12000,0)=ROW()-1,1,0))</f>
        <v/>
      </c>
    </row>
    <row r="1299" customFormat="false" ht="15" hidden="false" customHeight="false" outlineLevel="0" collapsed="false">
      <c r="V1299" s="23" t="str">
        <f aca="false">IF(ISNUMBER(C1299),YEAR(C1299),"")</f>
        <v/>
      </c>
      <c r="W1299" s="23" t="str">
        <f aca="false">IF(ISNUMBER(C1299),MONTH(C1299),"")</f>
        <v/>
      </c>
      <c r="X1299" s="23" t="str">
        <f aca="false">IF(T1299="","",IF(T1299=0,"No discount",IF(T1299&lt;=0.2,"Low (1-20%)",IF(T1299&lt;=0.4,"Medium (21-40%)","High (&gt;40%)"))))</f>
        <v/>
      </c>
      <c r="Y1299" s="23" t="str">
        <f aca="false">IF(AND(ISNUMBER(C1299),ISNUMBER(D1299)),D1299-C1299,"")</f>
        <v/>
      </c>
      <c r="Z1299" s="23" t="str">
        <f aca="false">IF(B1299="","",IF(MATCH(B1299,$B$2:$B$12000,0)=ROW()-1,1,0))</f>
        <v/>
      </c>
    </row>
    <row r="1300" customFormat="false" ht="15" hidden="false" customHeight="false" outlineLevel="0" collapsed="false">
      <c r="V1300" s="23" t="str">
        <f aca="false">IF(ISNUMBER(C1300),YEAR(C1300),"")</f>
        <v/>
      </c>
      <c r="W1300" s="23" t="str">
        <f aca="false">IF(ISNUMBER(C1300),MONTH(C1300),"")</f>
        <v/>
      </c>
      <c r="X1300" s="23" t="str">
        <f aca="false">IF(T1300="","",IF(T1300=0,"No discount",IF(T1300&lt;=0.2,"Low (1-20%)",IF(T1300&lt;=0.4,"Medium (21-40%)","High (&gt;40%)"))))</f>
        <v/>
      </c>
      <c r="Y1300" s="23" t="str">
        <f aca="false">IF(AND(ISNUMBER(C1300),ISNUMBER(D1300)),D1300-C1300,"")</f>
        <v/>
      </c>
      <c r="Z1300" s="23" t="str">
        <f aca="false">IF(B1300="","",IF(MATCH(B1300,$B$2:$B$12000,0)=ROW()-1,1,0))</f>
        <v/>
      </c>
    </row>
    <row r="1301" customFormat="false" ht="15" hidden="false" customHeight="false" outlineLevel="0" collapsed="false">
      <c r="V1301" s="23" t="str">
        <f aca="false">IF(ISNUMBER(C1301),YEAR(C1301),"")</f>
        <v/>
      </c>
      <c r="W1301" s="23" t="str">
        <f aca="false">IF(ISNUMBER(C1301),MONTH(C1301),"")</f>
        <v/>
      </c>
      <c r="X1301" s="23" t="str">
        <f aca="false">IF(T1301="","",IF(T1301=0,"No discount",IF(T1301&lt;=0.2,"Low (1-20%)",IF(T1301&lt;=0.4,"Medium (21-40%)","High (&gt;40%)"))))</f>
        <v/>
      </c>
      <c r="Y1301" s="23" t="str">
        <f aca="false">IF(AND(ISNUMBER(C1301),ISNUMBER(D1301)),D1301-C1301,"")</f>
        <v/>
      </c>
      <c r="Z1301" s="23" t="str">
        <f aca="false">IF(B1301="","",IF(MATCH(B1301,$B$2:$B$12000,0)=ROW()-1,1,0))</f>
        <v/>
      </c>
    </row>
    <row r="1302" customFormat="false" ht="15" hidden="false" customHeight="false" outlineLevel="0" collapsed="false">
      <c r="V1302" s="23" t="str">
        <f aca="false">IF(ISNUMBER(C1302),YEAR(C1302),"")</f>
        <v/>
      </c>
      <c r="W1302" s="23" t="str">
        <f aca="false">IF(ISNUMBER(C1302),MONTH(C1302),"")</f>
        <v/>
      </c>
      <c r="X1302" s="23" t="str">
        <f aca="false">IF(T1302="","",IF(T1302=0,"No discount",IF(T1302&lt;=0.2,"Low (1-20%)",IF(T1302&lt;=0.4,"Medium (21-40%)","High (&gt;40%)"))))</f>
        <v/>
      </c>
      <c r="Y1302" s="23" t="str">
        <f aca="false">IF(AND(ISNUMBER(C1302),ISNUMBER(D1302)),D1302-C1302,"")</f>
        <v/>
      </c>
      <c r="Z1302" s="23" t="str">
        <f aca="false">IF(B1302="","",IF(MATCH(B1302,$B$2:$B$12000,0)=ROW()-1,1,0))</f>
        <v/>
      </c>
    </row>
    <row r="1303" customFormat="false" ht="15" hidden="false" customHeight="false" outlineLevel="0" collapsed="false">
      <c r="V1303" s="23" t="str">
        <f aca="false">IF(ISNUMBER(C1303),YEAR(C1303),"")</f>
        <v/>
      </c>
      <c r="W1303" s="23" t="str">
        <f aca="false">IF(ISNUMBER(C1303),MONTH(C1303),"")</f>
        <v/>
      </c>
      <c r="X1303" s="23" t="str">
        <f aca="false">IF(T1303="","",IF(T1303=0,"No discount",IF(T1303&lt;=0.2,"Low (1-20%)",IF(T1303&lt;=0.4,"Medium (21-40%)","High (&gt;40%)"))))</f>
        <v/>
      </c>
      <c r="Y1303" s="23" t="str">
        <f aca="false">IF(AND(ISNUMBER(C1303),ISNUMBER(D1303)),D1303-C1303,"")</f>
        <v/>
      </c>
      <c r="Z1303" s="23" t="str">
        <f aca="false">IF(B1303="","",IF(MATCH(B1303,$B$2:$B$12000,0)=ROW()-1,1,0))</f>
        <v/>
      </c>
    </row>
    <row r="1304" customFormat="false" ht="15" hidden="false" customHeight="false" outlineLevel="0" collapsed="false">
      <c r="V1304" s="23" t="str">
        <f aca="false">IF(ISNUMBER(C1304),YEAR(C1304),"")</f>
        <v/>
      </c>
      <c r="W1304" s="23" t="str">
        <f aca="false">IF(ISNUMBER(C1304),MONTH(C1304),"")</f>
        <v/>
      </c>
      <c r="X1304" s="23" t="str">
        <f aca="false">IF(T1304="","",IF(T1304=0,"No discount",IF(T1304&lt;=0.2,"Low (1-20%)",IF(T1304&lt;=0.4,"Medium (21-40%)","High (&gt;40%)"))))</f>
        <v/>
      </c>
      <c r="Y1304" s="23" t="str">
        <f aca="false">IF(AND(ISNUMBER(C1304),ISNUMBER(D1304)),D1304-C1304,"")</f>
        <v/>
      </c>
      <c r="Z1304" s="23" t="str">
        <f aca="false">IF(B1304="","",IF(MATCH(B1304,$B$2:$B$12000,0)=ROW()-1,1,0))</f>
        <v/>
      </c>
    </row>
    <row r="1305" customFormat="false" ht="15" hidden="false" customHeight="false" outlineLevel="0" collapsed="false">
      <c r="V1305" s="23" t="str">
        <f aca="false">IF(ISNUMBER(C1305),YEAR(C1305),"")</f>
        <v/>
      </c>
      <c r="W1305" s="23" t="str">
        <f aca="false">IF(ISNUMBER(C1305),MONTH(C1305),"")</f>
        <v/>
      </c>
      <c r="X1305" s="23" t="str">
        <f aca="false">IF(T1305="","",IF(T1305=0,"No discount",IF(T1305&lt;=0.2,"Low (1-20%)",IF(T1305&lt;=0.4,"Medium (21-40%)","High (&gt;40%)"))))</f>
        <v/>
      </c>
      <c r="Y1305" s="23" t="str">
        <f aca="false">IF(AND(ISNUMBER(C1305),ISNUMBER(D1305)),D1305-C1305,"")</f>
        <v/>
      </c>
      <c r="Z1305" s="23" t="str">
        <f aca="false">IF(B1305="","",IF(MATCH(B1305,$B$2:$B$12000,0)=ROW()-1,1,0))</f>
        <v/>
      </c>
    </row>
    <row r="1306" customFormat="false" ht="15" hidden="false" customHeight="false" outlineLevel="0" collapsed="false">
      <c r="V1306" s="23" t="str">
        <f aca="false">IF(ISNUMBER(C1306),YEAR(C1306),"")</f>
        <v/>
      </c>
      <c r="W1306" s="23" t="str">
        <f aca="false">IF(ISNUMBER(C1306),MONTH(C1306),"")</f>
        <v/>
      </c>
      <c r="X1306" s="23" t="str">
        <f aca="false">IF(T1306="","",IF(T1306=0,"No discount",IF(T1306&lt;=0.2,"Low (1-20%)",IF(T1306&lt;=0.4,"Medium (21-40%)","High (&gt;40%)"))))</f>
        <v/>
      </c>
      <c r="Y1306" s="23" t="str">
        <f aca="false">IF(AND(ISNUMBER(C1306),ISNUMBER(D1306)),D1306-C1306,"")</f>
        <v/>
      </c>
      <c r="Z1306" s="23" t="str">
        <f aca="false">IF(B1306="","",IF(MATCH(B1306,$B$2:$B$12000,0)=ROW()-1,1,0))</f>
        <v/>
      </c>
    </row>
    <row r="1307" customFormat="false" ht="15" hidden="false" customHeight="false" outlineLevel="0" collapsed="false">
      <c r="V1307" s="23" t="str">
        <f aca="false">IF(ISNUMBER(C1307),YEAR(C1307),"")</f>
        <v/>
      </c>
      <c r="W1307" s="23" t="str">
        <f aca="false">IF(ISNUMBER(C1307),MONTH(C1307),"")</f>
        <v/>
      </c>
      <c r="X1307" s="23" t="str">
        <f aca="false">IF(T1307="","",IF(T1307=0,"No discount",IF(T1307&lt;=0.2,"Low (1-20%)",IF(T1307&lt;=0.4,"Medium (21-40%)","High (&gt;40%)"))))</f>
        <v/>
      </c>
      <c r="Y1307" s="23" t="str">
        <f aca="false">IF(AND(ISNUMBER(C1307),ISNUMBER(D1307)),D1307-C1307,"")</f>
        <v/>
      </c>
      <c r="Z1307" s="23" t="str">
        <f aca="false">IF(B1307="","",IF(MATCH(B1307,$B$2:$B$12000,0)=ROW()-1,1,0))</f>
        <v/>
      </c>
    </row>
    <row r="1308" customFormat="false" ht="15" hidden="false" customHeight="false" outlineLevel="0" collapsed="false">
      <c r="V1308" s="23" t="str">
        <f aca="false">IF(ISNUMBER(C1308),YEAR(C1308),"")</f>
        <v/>
      </c>
      <c r="W1308" s="23" t="str">
        <f aca="false">IF(ISNUMBER(C1308),MONTH(C1308),"")</f>
        <v/>
      </c>
      <c r="X1308" s="23" t="str">
        <f aca="false">IF(T1308="","",IF(T1308=0,"No discount",IF(T1308&lt;=0.2,"Low (1-20%)",IF(T1308&lt;=0.4,"Medium (21-40%)","High (&gt;40%)"))))</f>
        <v/>
      </c>
      <c r="Y1308" s="23" t="str">
        <f aca="false">IF(AND(ISNUMBER(C1308),ISNUMBER(D1308)),D1308-C1308,"")</f>
        <v/>
      </c>
      <c r="Z1308" s="23" t="str">
        <f aca="false">IF(B1308="","",IF(MATCH(B1308,$B$2:$B$12000,0)=ROW()-1,1,0))</f>
        <v/>
      </c>
    </row>
    <row r="1309" customFormat="false" ht="15" hidden="false" customHeight="false" outlineLevel="0" collapsed="false">
      <c r="V1309" s="23" t="str">
        <f aca="false">IF(ISNUMBER(C1309),YEAR(C1309),"")</f>
        <v/>
      </c>
      <c r="W1309" s="23" t="str">
        <f aca="false">IF(ISNUMBER(C1309),MONTH(C1309),"")</f>
        <v/>
      </c>
      <c r="X1309" s="23" t="str">
        <f aca="false">IF(T1309="","",IF(T1309=0,"No discount",IF(T1309&lt;=0.2,"Low (1-20%)",IF(T1309&lt;=0.4,"Medium (21-40%)","High (&gt;40%)"))))</f>
        <v/>
      </c>
      <c r="Y1309" s="23" t="str">
        <f aca="false">IF(AND(ISNUMBER(C1309),ISNUMBER(D1309)),D1309-C1309,"")</f>
        <v/>
      </c>
      <c r="Z1309" s="23" t="str">
        <f aca="false">IF(B1309="","",IF(MATCH(B1309,$B$2:$B$12000,0)=ROW()-1,1,0))</f>
        <v/>
      </c>
    </row>
    <row r="1310" customFormat="false" ht="15" hidden="false" customHeight="false" outlineLevel="0" collapsed="false">
      <c r="V1310" s="23" t="str">
        <f aca="false">IF(ISNUMBER(C1310),YEAR(C1310),"")</f>
        <v/>
      </c>
      <c r="W1310" s="23" t="str">
        <f aca="false">IF(ISNUMBER(C1310),MONTH(C1310),"")</f>
        <v/>
      </c>
      <c r="X1310" s="23" t="str">
        <f aca="false">IF(T1310="","",IF(T1310=0,"No discount",IF(T1310&lt;=0.2,"Low (1-20%)",IF(T1310&lt;=0.4,"Medium (21-40%)","High (&gt;40%)"))))</f>
        <v/>
      </c>
      <c r="Y1310" s="23" t="str">
        <f aca="false">IF(AND(ISNUMBER(C1310),ISNUMBER(D1310)),D1310-C1310,"")</f>
        <v/>
      </c>
      <c r="Z1310" s="23" t="str">
        <f aca="false">IF(B1310="","",IF(MATCH(B1310,$B$2:$B$12000,0)=ROW()-1,1,0))</f>
        <v/>
      </c>
    </row>
    <row r="1311" customFormat="false" ht="15" hidden="false" customHeight="false" outlineLevel="0" collapsed="false">
      <c r="V1311" s="23" t="str">
        <f aca="false">IF(ISNUMBER(C1311),YEAR(C1311),"")</f>
        <v/>
      </c>
      <c r="W1311" s="23" t="str">
        <f aca="false">IF(ISNUMBER(C1311),MONTH(C1311),"")</f>
        <v/>
      </c>
      <c r="X1311" s="23" t="str">
        <f aca="false">IF(T1311="","",IF(T1311=0,"No discount",IF(T1311&lt;=0.2,"Low (1-20%)",IF(T1311&lt;=0.4,"Medium (21-40%)","High (&gt;40%)"))))</f>
        <v/>
      </c>
      <c r="Y1311" s="23" t="str">
        <f aca="false">IF(AND(ISNUMBER(C1311),ISNUMBER(D1311)),D1311-C1311,"")</f>
        <v/>
      </c>
      <c r="Z1311" s="23" t="str">
        <f aca="false">IF(B1311="","",IF(MATCH(B1311,$B$2:$B$12000,0)=ROW()-1,1,0))</f>
        <v/>
      </c>
    </row>
    <row r="1312" customFormat="false" ht="15" hidden="false" customHeight="false" outlineLevel="0" collapsed="false">
      <c r="V1312" s="23" t="str">
        <f aca="false">IF(ISNUMBER(C1312),YEAR(C1312),"")</f>
        <v/>
      </c>
      <c r="W1312" s="23" t="str">
        <f aca="false">IF(ISNUMBER(C1312),MONTH(C1312),"")</f>
        <v/>
      </c>
      <c r="X1312" s="23" t="str">
        <f aca="false">IF(T1312="","",IF(T1312=0,"No discount",IF(T1312&lt;=0.2,"Low (1-20%)",IF(T1312&lt;=0.4,"Medium (21-40%)","High (&gt;40%)"))))</f>
        <v/>
      </c>
      <c r="Y1312" s="23" t="str">
        <f aca="false">IF(AND(ISNUMBER(C1312),ISNUMBER(D1312)),D1312-C1312,"")</f>
        <v/>
      </c>
      <c r="Z1312" s="23" t="str">
        <f aca="false">IF(B1312="","",IF(MATCH(B1312,$B$2:$B$12000,0)=ROW()-1,1,0))</f>
        <v/>
      </c>
    </row>
    <row r="1313" customFormat="false" ht="15" hidden="false" customHeight="false" outlineLevel="0" collapsed="false">
      <c r="V1313" s="23" t="str">
        <f aca="false">IF(ISNUMBER(C1313),YEAR(C1313),"")</f>
        <v/>
      </c>
      <c r="W1313" s="23" t="str">
        <f aca="false">IF(ISNUMBER(C1313),MONTH(C1313),"")</f>
        <v/>
      </c>
      <c r="X1313" s="23" t="str">
        <f aca="false">IF(T1313="","",IF(T1313=0,"No discount",IF(T1313&lt;=0.2,"Low (1-20%)",IF(T1313&lt;=0.4,"Medium (21-40%)","High (&gt;40%)"))))</f>
        <v/>
      </c>
      <c r="Y1313" s="23" t="str">
        <f aca="false">IF(AND(ISNUMBER(C1313),ISNUMBER(D1313)),D1313-C1313,"")</f>
        <v/>
      </c>
      <c r="Z1313" s="23" t="str">
        <f aca="false">IF(B1313="","",IF(MATCH(B1313,$B$2:$B$12000,0)=ROW()-1,1,0))</f>
        <v/>
      </c>
    </row>
    <row r="1314" customFormat="false" ht="15" hidden="false" customHeight="false" outlineLevel="0" collapsed="false">
      <c r="V1314" s="23" t="str">
        <f aca="false">IF(ISNUMBER(C1314),YEAR(C1314),"")</f>
        <v/>
      </c>
      <c r="W1314" s="23" t="str">
        <f aca="false">IF(ISNUMBER(C1314),MONTH(C1314),"")</f>
        <v/>
      </c>
      <c r="X1314" s="23" t="str">
        <f aca="false">IF(T1314="","",IF(T1314=0,"No discount",IF(T1314&lt;=0.2,"Low (1-20%)",IF(T1314&lt;=0.4,"Medium (21-40%)","High (&gt;40%)"))))</f>
        <v/>
      </c>
      <c r="Y1314" s="23" t="str">
        <f aca="false">IF(AND(ISNUMBER(C1314),ISNUMBER(D1314)),D1314-C1314,"")</f>
        <v/>
      </c>
      <c r="Z1314" s="23" t="str">
        <f aca="false">IF(B1314="","",IF(MATCH(B1314,$B$2:$B$12000,0)=ROW()-1,1,0))</f>
        <v/>
      </c>
    </row>
    <row r="1315" customFormat="false" ht="15" hidden="false" customHeight="false" outlineLevel="0" collapsed="false">
      <c r="V1315" s="23" t="str">
        <f aca="false">IF(ISNUMBER(C1315),YEAR(C1315),"")</f>
        <v/>
      </c>
      <c r="W1315" s="23" t="str">
        <f aca="false">IF(ISNUMBER(C1315),MONTH(C1315),"")</f>
        <v/>
      </c>
      <c r="X1315" s="23" t="str">
        <f aca="false">IF(T1315="","",IF(T1315=0,"No discount",IF(T1315&lt;=0.2,"Low (1-20%)",IF(T1315&lt;=0.4,"Medium (21-40%)","High (&gt;40%)"))))</f>
        <v/>
      </c>
      <c r="Y1315" s="23" t="str">
        <f aca="false">IF(AND(ISNUMBER(C1315),ISNUMBER(D1315)),D1315-C1315,"")</f>
        <v/>
      </c>
      <c r="Z1315" s="23" t="str">
        <f aca="false">IF(B1315="","",IF(MATCH(B1315,$B$2:$B$12000,0)=ROW()-1,1,0))</f>
        <v/>
      </c>
    </row>
    <row r="1316" customFormat="false" ht="15" hidden="false" customHeight="false" outlineLevel="0" collapsed="false">
      <c r="V1316" s="23" t="str">
        <f aca="false">IF(ISNUMBER(C1316),YEAR(C1316),"")</f>
        <v/>
      </c>
      <c r="W1316" s="23" t="str">
        <f aca="false">IF(ISNUMBER(C1316),MONTH(C1316),"")</f>
        <v/>
      </c>
      <c r="X1316" s="23" t="str">
        <f aca="false">IF(T1316="","",IF(T1316=0,"No discount",IF(T1316&lt;=0.2,"Low (1-20%)",IF(T1316&lt;=0.4,"Medium (21-40%)","High (&gt;40%)"))))</f>
        <v/>
      </c>
      <c r="Y1316" s="23" t="str">
        <f aca="false">IF(AND(ISNUMBER(C1316),ISNUMBER(D1316)),D1316-C1316,"")</f>
        <v/>
      </c>
      <c r="Z1316" s="23" t="str">
        <f aca="false">IF(B1316="","",IF(MATCH(B1316,$B$2:$B$12000,0)=ROW()-1,1,0))</f>
        <v/>
      </c>
    </row>
    <row r="1317" customFormat="false" ht="15" hidden="false" customHeight="false" outlineLevel="0" collapsed="false">
      <c r="V1317" s="23" t="str">
        <f aca="false">IF(ISNUMBER(C1317),YEAR(C1317),"")</f>
        <v/>
      </c>
      <c r="W1317" s="23" t="str">
        <f aca="false">IF(ISNUMBER(C1317),MONTH(C1317),"")</f>
        <v/>
      </c>
      <c r="X1317" s="23" t="str">
        <f aca="false">IF(T1317="","",IF(T1317=0,"No discount",IF(T1317&lt;=0.2,"Low (1-20%)",IF(T1317&lt;=0.4,"Medium (21-40%)","High (&gt;40%)"))))</f>
        <v/>
      </c>
      <c r="Y1317" s="23" t="str">
        <f aca="false">IF(AND(ISNUMBER(C1317),ISNUMBER(D1317)),D1317-C1317,"")</f>
        <v/>
      </c>
      <c r="Z1317" s="23" t="str">
        <f aca="false">IF(B1317="","",IF(MATCH(B1317,$B$2:$B$12000,0)=ROW()-1,1,0))</f>
        <v/>
      </c>
    </row>
    <row r="1318" customFormat="false" ht="15" hidden="false" customHeight="false" outlineLevel="0" collapsed="false">
      <c r="V1318" s="23" t="str">
        <f aca="false">IF(ISNUMBER(C1318),YEAR(C1318),"")</f>
        <v/>
      </c>
      <c r="W1318" s="23" t="str">
        <f aca="false">IF(ISNUMBER(C1318),MONTH(C1318),"")</f>
        <v/>
      </c>
      <c r="X1318" s="23" t="str">
        <f aca="false">IF(T1318="","",IF(T1318=0,"No discount",IF(T1318&lt;=0.2,"Low (1-20%)",IF(T1318&lt;=0.4,"Medium (21-40%)","High (&gt;40%)"))))</f>
        <v/>
      </c>
      <c r="Y1318" s="23" t="str">
        <f aca="false">IF(AND(ISNUMBER(C1318),ISNUMBER(D1318)),D1318-C1318,"")</f>
        <v/>
      </c>
      <c r="Z1318" s="23" t="str">
        <f aca="false">IF(B1318="","",IF(MATCH(B1318,$B$2:$B$12000,0)=ROW()-1,1,0))</f>
        <v/>
      </c>
    </row>
    <row r="1319" customFormat="false" ht="15" hidden="false" customHeight="false" outlineLevel="0" collapsed="false">
      <c r="V1319" s="23" t="str">
        <f aca="false">IF(ISNUMBER(C1319),YEAR(C1319),"")</f>
        <v/>
      </c>
      <c r="W1319" s="23" t="str">
        <f aca="false">IF(ISNUMBER(C1319),MONTH(C1319),"")</f>
        <v/>
      </c>
      <c r="X1319" s="23" t="str">
        <f aca="false">IF(T1319="","",IF(T1319=0,"No discount",IF(T1319&lt;=0.2,"Low (1-20%)",IF(T1319&lt;=0.4,"Medium (21-40%)","High (&gt;40%)"))))</f>
        <v/>
      </c>
      <c r="Y1319" s="23" t="str">
        <f aca="false">IF(AND(ISNUMBER(C1319),ISNUMBER(D1319)),D1319-C1319,"")</f>
        <v/>
      </c>
      <c r="Z1319" s="23" t="str">
        <f aca="false">IF(B1319="","",IF(MATCH(B1319,$B$2:$B$12000,0)=ROW()-1,1,0))</f>
        <v/>
      </c>
    </row>
    <row r="1320" customFormat="false" ht="15" hidden="false" customHeight="false" outlineLevel="0" collapsed="false">
      <c r="V1320" s="23" t="str">
        <f aca="false">IF(ISNUMBER(C1320),YEAR(C1320),"")</f>
        <v/>
      </c>
      <c r="W1320" s="23" t="str">
        <f aca="false">IF(ISNUMBER(C1320),MONTH(C1320),"")</f>
        <v/>
      </c>
      <c r="X1320" s="23" t="str">
        <f aca="false">IF(T1320="","",IF(T1320=0,"No discount",IF(T1320&lt;=0.2,"Low (1-20%)",IF(T1320&lt;=0.4,"Medium (21-40%)","High (&gt;40%)"))))</f>
        <v/>
      </c>
      <c r="Y1320" s="23" t="str">
        <f aca="false">IF(AND(ISNUMBER(C1320),ISNUMBER(D1320)),D1320-C1320,"")</f>
        <v/>
      </c>
      <c r="Z1320" s="23" t="str">
        <f aca="false">IF(B1320="","",IF(MATCH(B1320,$B$2:$B$12000,0)=ROW()-1,1,0))</f>
        <v/>
      </c>
    </row>
    <row r="1321" customFormat="false" ht="15" hidden="false" customHeight="false" outlineLevel="0" collapsed="false">
      <c r="V1321" s="23" t="str">
        <f aca="false">IF(ISNUMBER(C1321),YEAR(C1321),"")</f>
        <v/>
      </c>
      <c r="W1321" s="23" t="str">
        <f aca="false">IF(ISNUMBER(C1321),MONTH(C1321),"")</f>
        <v/>
      </c>
      <c r="X1321" s="23" t="str">
        <f aca="false">IF(T1321="","",IF(T1321=0,"No discount",IF(T1321&lt;=0.2,"Low (1-20%)",IF(T1321&lt;=0.4,"Medium (21-40%)","High (&gt;40%)"))))</f>
        <v/>
      </c>
      <c r="Y1321" s="23" t="str">
        <f aca="false">IF(AND(ISNUMBER(C1321),ISNUMBER(D1321)),D1321-C1321,"")</f>
        <v/>
      </c>
      <c r="Z1321" s="23" t="str">
        <f aca="false">IF(B1321="","",IF(MATCH(B1321,$B$2:$B$12000,0)=ROW()-1,1,0))</f>
        <v/>
      </c>
    </row>
    <row r="1322" customFormat="false" ht="15" hidden="false" customHeight="false" outlineLevel="0" collapsed="false">
      <c r="V1322" s="23" t="str">
        <f aca="false">IF(ISNUMBER(C1322),YEAR(C1322),"")</f>
        <v/>
      </c>
      <c r="W1322" s="23" t="str">
        <f aca="false">IF(ISNUMBER(C1322),MONTH(C1322),"")</f>
        <v/>
      </c>
      <c r="X1322" s="23" t="str">
        <f aca="false">IF(T1322="","",IF(T1322=0,"No discount",IF(T1322&lt;=0.2,"Low (1-20%)",IF(T1322&lt;=0.4,"Medium (21-40%)","High (&gt;40%)"))))</f>
        <v/>
      </c>
      <c r="Y1322" s="23" t="str">
        <f aca="false">IF(AND(ISNUMBER(C1322),ISNUMBER(D1322)),D1322-C1322,"")</f>
        <v/>
      </c>
      <c r="Z1322" s="23" t="str">
        <f aca="false">IF(B1322="","",IF(MATCH(B1322,$B$2:$B$12000,0)=ROW()-1,1,0))</f>
        <v/>
      </c>
    </row>
    <row r="1323" customFormat="false" ht="15" hidden="false" customHeight="false" outlineLevel="0" collapsed="false">
      <c r="V1323" s="23" t="str">
        <f aca="false">IF(ISNUMBER(C1323),YEAR(C1323),"")</f>
        <v/>
      </c>
      <c r="W1323" s="23" t="str">
        <f aca="false">IF(ISNUMBER(C1323),MONTH(C1323),"")</f>
        <v/>
      </c>
      <c r="X1323" s="23" t="str">
        <f aca="false">IF(T1323="","",IF(T1323=0,"No discount",IF(T1323&lt;=0.2,"Low (1-20%)",IF(T1323&lt;=0.4,"Medium (21-40%)","High (&gt;40%)"))))</f>
        <v/>
      </c>
      <c r="Y1323" s="23" t="str">
        <f aca="false">IF(AND(ISNUMBER(C1323),ISNUMBER(D1323)),D1323-C1323,"")</f>
        <v/>
      </c>
      <c r="Z1323" s="23" t="str">
        <f aca="false">IF(B1323="","",IF(MATCH(B1323,$B$2:$B$12000,0)=ROW()-1,1,0))</f>
        <v/>
      </c>
    </row>
    <row r="1324" customFormat="false" ht="15" hidden="false" customHeight="false" outlineLevel="0" collapsed="false">
      <c r="V1324" s="23" t="str">
        <f aca="false">IF(ISNUMBER(C1324),YEAR(C1324),"")</f>
        <v/>
      </c>
      <c r="W1324" s="23" t="str">
        <f aca="false">IF(ISNUMBER(C1324),MONTH(C1324),"")</f>
        <v/>
      </c>
      <c r="X1324" s="23" t="str">
        <f aca="false">IF(T1324="","",IF(T1324=0,"No discount",IF(T1324&lt;=0.2,"Low (1-20%)",IF(T1324&lt;=0.4,"Medium (21-40%)","High (&gt;40%)"))))</f>
        <v/>
      </c>
      <c r="Y1324" s="23" t="str">
        <f aca="false">IF(AND(ISNUMBER(C1324),ISNUMBER(D1324)),D1324-C1324,"")</f>
        <v/>
      </c>
      <c r="Z1324" s="23" t="str">
        <f aca="false">IF(B1324="","",IF(MATCH(B1324,$B$2:$B$12000,0)=ROW()-1,1,0))</f>
        <v/>
      </c>
    </row>
    <row r="1325" customFormat="false" ht="15" hidden="false" customHeight="false" outlineLevel="0" collapsed="false">
      <c r="V1325" s="23" t="str">
        <f aca="false">IF(ISNUMBER(C1325),YEAR(C1325),"")</f>
        <v/>
      </c>
      <c r="W1325" s="23" t="str">
        <f aca="false">IF(ISNUMBER(C1325),MONTH(C1325),"")</f>
        <v/>
      </c>
      <c r="X1325" s="23" t="str">
        <f aca="false">IF(T1325="","",IF(T1325=0,"No discount",IF(T1325&lt;=0.2,"Low (1-20%)",IF(T1325&lt;=0.4,"Medium (21-40%)","High (&gt;40%)"))))</f>
        <v/>
      </c>
      <c r="Y1325" s="23" t="str">
        <f aca="false">IF(AND(ISNUMBER(C1325),ISNUMBER(D1325)),D1325-C1325,"")</f>
        <v/>
      </c>
      <c r="Z1325" s="23" t="str">
        <f aca="false">IF(B1325="","",IF(MATCH(B1325,$B$2:$B$12000,0)=ROW()-1,1,0))</f>
        <v/>
      </c>
    </row>
    <row r="1326" customFormat="false" ht="15" hidden="false" customHeight="false" outlineLevel="0" collapsed="false">
      <c r="V1326" s="23" t="str">
        <f aca="false">IF(ISNUMBER(C1326),YEAR(C1326),"")</f>
        <v/>
      </c>
      <c r="W1326" s="23" t="str">
        <f aca="false">IF(ISNUMBER(C1326),MONTH(C1326),"")</f>
        <v/>
      </c>
      <c r="X1326" s="23" t="str">
        <f aca="false">IF(T1326="","",IF(T1326=0,"No discount",IF(T1326&lt;=0.2,"Low (1-20%)",IF(T1326&lt;=0.4,"Medium (21-40%)","High (&gt;40%)"))))</f>
        <v/>
      </c>
      <c r="Y1326" s="23" t="str">
        <f aca="false">IF(AND(ISNUMBER(C1326),ISNUMBER(D1326)),D1326-C1326,"")</f>
        <v/>
      </c>
      <c r="Z1326" s="23" t="str">
        <f aca="false">IF(B1326="","",IF(MATCH(B1326,$B$2:$B$12000,0)=ROW()-1,1,0))</f>
        <v/>
      </c>
    </row>
    <row r="1327" customFormat="false" ht="15" hidden="false" customHeight="false" outlineLevel="0" collapsed="false">
      <c r="V1327" s="23" t="str">
        <f aca="false">IF(ISNUMBER(C1327),YEAR(C1327),"")</f>
        <v/>
      </c>
      <c r="W1327" s="23" t="str">
        <f aca="false">IF(ISNUMBER(C1327),MONTH(C1327),"")</f>
        <v/>
      </c>
      <c r="X1327" s="23" t="str">
        <f aca="false">IF(T1327="","",IF(T1327=0,"No discount",IF(T1327&lt;=0.2,"Low (1-20%)",IF(T1327&lt;=0.4,"Medium (21-40%)","High (&gt;40%)"))))</f>
        <v/>
      </c>
      <c r="Y1327" s="23" t="str">
        <f aca="false">IF(AND(ISNUMBER(C1327),ISNUMBER(D1327)),D1327-C1327,"")</f>
        <v/>
      </c>
      <c r="Z1327" s="23" t="str">
        <f aca="false">IF(B1327="","",IF(MATCH(B1327,$B$2:$B$12000,0)=ROW()-1,1,0))</f>
        <v/>
      </c>
    </row>
    <row r="1328" customFormat="false" ht="15" hidden="false" customHeight="false" outlineLevel="0" collapsed="false">
      <c r="V1328" s="23" t="str">
        <f aca="false">IF(ISNUMBER(C1328),YEAR(C1328),"")</f>
        <v/>
      </c>
      <c r="W1328" s="23" t="str">
        <f aca="false">IF(ISNUMBER(C1328),MONTH(C1328),"")</f>
        <v/>
      </c>
      <c r="X1328" s="23" t="str">
        <f aca="false">IF(T1328="","",IF(T1328=0,"No discount",IF(T1328&lt;=0.2,"Low (1-20%)",IF(T1328&lt;=0.4,"Medium (21-40%)","High (&gt;40%)"))))</f>
        <v/>
      </c>
      <c r="Y1328" s="23" t="str">
        <f aca="false">IF(AND(ISNUMBER(C1328),ISNUMBER(D1328)),D1328-C1328,"")</f>
        <v/>
      </c>
      <c r="Z1328" s="23" t="str">
        <f aca="false">IF(B1328="","",IF(MATCH(B1328,$B$2:$B$12000,0)=ROW()-1,1,0))</f>
        <v/>
      </c>
    </row>
    <row r="1329" customFormat="false" ht="15" hidden="false" customHeight="false" outlineLevel="0" collapsed="false">
      <c r="V1329" s="23" t="str">
        <f aca="false">IF(ISNUMBER(C1329),YEAR(C1329),"")</f>
        <v/>
      </c>
      <c r="W1329" s="23" t="str">
        <f aca="false">IF(ISNUMBER(C1329),MONTH(C1329),"")</f>
        <v/>
      </c>
      <c r="X1329" s="23" t="str">
        <f aca="false">IF(T1329="","",IF(T1329=0,"No discount",IF(T1329&lt;=0.2,"Low (1-20%)",IF(T1329&lt;=0.4,"Medium (21-40%)","High (&gt;40%)"))))</f>
        <v/>
      </c>
      <c r="Y1329" s="23" t="str">
        <f aca="false">IF(AND(ISNUMBER(C1329),ISNUMBER(D1329)),D1329-C1329,"")</f>
        <v/>
      </c>
      <c r="Z1329" s="23" t="str">
        <f aca="false">IF(B1329="","",IF(MATCH(B1329,$B$2:$B$12000,0)=ROW()-1,1,0))</f>
        <v/>
      </c>
    </row>
    <row r="1330" customFormat="false" ht="15" hidden="false" customHeight="false" outlineLevel="0" collapsed="false">
      <c r="V1330" s="23" t="str">
        <f aca="false">IF(ISNUMBER(C1330),YEAR(C1330),"")</f>
        <v/>
      </c>
      <c r="W1330" s="23" t="str">
        <f aca="false">IF(ISNUMBER(C1330),MONTH(C1330),"")</f>
        <v/>
      </c>
      <c r="X1330" s="23" t="str">
        <f aca="false">IF(T1330="","",IF(T1330=0,"No discount",IF(T1330&lt;=0.2,"Low (1-20%)",IF(T1330&lt;=0.4,"Medium (21-40%)","High (&gt;40%)"))))</f>
        <v/>
      </c>
      <c r="Y1330" s="23" t="str">
        <f aca="false">IF(AND(ISNUMBER(C1330),ISNUMBER(D1330)),D1330-C1330,"")</f>
        <v/>
      </c>
      <c r="Z1330" s="23" t="str">
        <f aca="false">IF(B1330="","",IF(MATCH(B1330,$B$2:$B$12000,0)=ROW()-1,1,0))</f>
        <v/>
      </c>
    </row>
    <row r="1331" customFormat="false" ht="15" hidden="false" customHeight="false" outlineLevel="0" collapsed="false">
      <c r="V1331" s="23" t="str">
        <f aca="false">IF(ISNUMBER(C1331),YEAR(C1331),"")</f>
        <v/>
      </c>
      <c r="W1331" s="23" t="str">
        <f aca="false">IF(ISNUMBER(C1331),MONTH(C1331),"")</f>
        <v/>
      </c>
      <c r="X1331" s="23" t="str">
        <f aca="false">IF(T1331="","",IF(T1331=0,"No discount",IF(T1331&lt;=0.2,"Low (1-20%)",IF(T1331&lt;=0.4,"Medium (21-40%)","High (&gt;40%)"))))</f>
        <v/>
      </c>
      <c r="Y1331" s="23" t="str">
        <f aca="false">IF(AND(ISNUMBER(C1331),ISNUMBER(D1331)),D1331-C1331,"")</f>
        <v/>
      </c>
      <c r="Z1331" s="23" t="str">
        <f aca="false">IF(B1331="","",IF(MATCH(B1331,$B$2:$B$12000,0)=ROW()-1,1,0))</f>
        <v/>
      </c>
    </row>
    <row r="1332" customFormat="false" ht="15" hidden="false" customHeight="false" outlineLevel="0" collapsed="false">
      <c r="V1332" s="23" t="str">
        <f aca="false">IF(ISNUMBER(C1332),YEAR(C1332),"")</f>
        <v/>
      </c>
      <c r="W1332" s="23" t="str">
        <f aca="false">IF(ISNUMBER(C1332),MONTH(C1332),"")</f>
        <v/>
      </c>
      <c r="X1332" s="23" t="str">
        <f aca="false">IF(T1332="","",IF(T1332=0,"No discount",IF(T1332&lt;=0.2,"Low (1-20%)",IF(T1332&lt;=0.4,"Medium (21-40%)","High (&gt;40%)"))))</f>
        <v/>
      </c>
      <c r="Y1332" s="23" t="str">
        <f aca="false">IF(AND(ISNUMBER(C1332),ISNUMBER(D1332)),D1332-C1332,"")</f>
        <v/>
      </c>
      <c r="Z1332" s="23" t="str">
        <f aca="false">IF(B1332="","",IF(MATCH(B1332,$B$2:$B$12000,0)=ROW()-1,1,0))</f>
        <v/>
      </c>
    </row>
    <row r="1333" customFormat="false" ht="15" hidden="false" customHeight="false" outlineLevel="0" collapsed="false">
      <c r="V1333" s="23" t="str">
        <f aca="false">IF(ISNUMBER(C1333),YEAR(C1333),"")</f>
        <v/>
      </c>
      <c r="W1333" s="23" t="str">
        <f aca="false">IF(ISNUMBER(C1333),MONTH(C1333),"")</f>
        <v/>
      </c>
      <c r="X1333" s="23" t="str">
        <f aca="false">IF(T1333="","",IF(T1333=0,"No discount",IF(T1333&lt;=0.2,"Low (1-20%)",IF(T1333&lt;=0.4,"Medium (21-40%)","High (&gt;40%)"))))</f>
        <v/>
      </c>
      <c r="Y1333" s="23" t="str">
        <f aca="false">IF(AND(ISNUMBER(C1333),ISNUMBER(D1333)),D1333-C1333,"")</f>
        <v/>
      </c>
      <c r="Z1333" s="23" t="str">
        <f aca="false">IF(B1333="","",IF(MATCH(B1333,$B$2:$B$12000,0)=ROW()-1,1,0))</f>
        <v/>
      </c>
    </row>
    <row r="1334" customFormat="false" ht="15" hidden="false" customHeight="false" outlineLevel="0" collapsed="false">
      <c r="V1334" s="23" t="str">
        <f aca="false">IF(ISNUMBER(C1334),YEAR(C1334),"")</f>
        <v/>
      </c>
      <c r="W1334" s="23" t="str">
        <f aca="false">IF(ISNUMBER(C1334),MONTH(C1334),"")</f>
        <v/>
      </c>
      <c r="X1334" s="23" t="str">
        <f aca="false">IF(T1334="","",IF(T1334=0,"No discount",IF(T1334&lt;=0.2,"Low (1-20%)",IF(T1334&lt;=0.4,"Medium (21-40%)","High (&gt;40%)"))))</f>
        <v/>
      </c>
      <c r="Y1334" s="23" t="str">
        <f aca="false">IF(AND(ISNUMBER(C1334),ISNUMBER(D1334)),D1334-C1334,"")</f>
        <v/>
      </c>
      <c r="Z1334" s="23" t="str">
        <f aca="false">IF(B1334="","",IF(MATCH(B1334,$B$2:$B$12000,0)=ROW()-1,1,0))</f>
        <v/>
      </c>
    </row>
    <row r="1335" customFormat="false" ht="15" hidden="false" customHeight="false" outlineLevel="0" collapsed="false">
      <c r="V1335" s="23" t="str">
        <f aca="false">IF(ISNUMBER(C1335),YEAR(C1335),"")</f>
        <v/>
      </c>
      <c r="W1335" s="23" t="str">
        <f aca="false">IF(ISNUMBER(C1335),MONTH(C1335),"")</f>
        <v/>
      </c>
      <c r="X1335" s="23" t="str">
        <f aca="false">IF(T1335="","",IF(T1335=0,"No discount",IF(T1335&lt;=0.2,"Low (1-20%)",IF(T1335&lt;=0.4,"Medium (21-40%)","High (&gt;40%)"))))</f>
        <v/>
      </c>
      <c r="Y1335" s="23" t="str">
        <f aca="false">IF(AND(ISNUMBER(C1335),ISNUMBER(D1335)),D1335-C1335,"")</f>
        <v/>
      </c>
      <c r="Z1335" s="23" t="str">
        <f aca="false">IF(B1335="","",IF(MATCH(B1335,$B$2:$B$12000,0)=ROW()-1,1,0))</f>
        <v/>
      </c>
    </row>
    <row r="1336" customFormat="false" ht="15" hidden="false" customHeight="false" outlineLevel="0" collapsed="false">
      <c r="V1336" s="23" t="str">
        <f aca="false">IF(ISNUMBER(C1336),YEAR(C1336),"")</f>
        <v/>
      </c>
      <c r="W1336" s="23" t="str">
        <f aca="false">IF(ISNUMBER(C1336),MONTH(C1336),"")</f>
        <v/>
      </c>
      <c r="X1336" s="23" t="str">
        <f aca="false">IF(T1336="","",IF(T1336=0,"No discount",IF(T1336&lt;=0.2,"Low (1-20%)",IF(T1336&lt;=0.4,"Medium (21-40%)","High (&gt;40%)"))))</f>
        <v/>
      </c>
      <c r="Y1336" s="23" t="str">
        <f aca="false">IF(AND(ISNUMBER(C1336),ISNUMBER(D1336)),D1336-C1336,"")</f>
        <v/>
      </c>
      <c r="Z1336" s="23" t="str">
        <f aca="false">IF(B1336="","",IF(MATCH(B1336,$B$2:$B$12000,0)=ROW()-1,1,0))</f>
        <v/>
      </c>
    </row>
    <row r="1337" customFormat="false" ht="15" hidden="false" customHeight="false" outlineLevel="0" collapsed="false">
      <c r="V1337" s="23" t="str">
        <f aca="false">IF(ISNUMBER(C1337),YEAR(C1337),"")</f>
        <v/>
      </c>
      <c r="W1337" s="23" t="str">
        <f aca="false">IF(ISNUMBER(C1337),MONTH(C1337),"")</f>
        <v/>
      </c>
      <c r="X1337" s="23" t="str">
        <f aca="false">IF(T1337="","",IF(T1337=0,"No discount",IF(T1337&lt;=0.2,"Low (1-20%)",IF(T1337&lt;=0.4,"Medium (21-40%)","High (&gt;40%)"))))</f>
        <v/>
      </c>
      <c r="Y1337" s="23" t="str">
        <f aca="false">IF(AND(ISNUMBER(C1337),ISNUMBER(D1337)),D1337-C1337,"")</f>
        <v/>
      </c>
      <c r="Z1337" s="23" t="str">
        <f aca="false">IF(B1337="","",IF(MATCH(B1337,$B$2:$B$12000,0)=ROW()-1,1,0))</f>
        <v/>
      </c>
    </row>
    <row r="1338" customFormat="false" ht="15" hidden="false" customHeight="false" outlineLevel="0" collapsed="false">
      <c r="V1338" s="23" t="str">
        <f aca="false">IF(ISNUMBER(C1338),YEAR(C1338),"")</f>
        <v/>
      </c>
      <c r="W1338" s="23" t="str">
        <f aca="false">IF(ISNUMBER(C1338),MONTH(C1338),"")</f>
        <v/>
      </c>
      <c r="X1338" s="23" t="str">
        <f aca="false">IF(T1338="","",IF(T1338=0,"No discount",IF(T1338&lt;=0.2,"Low (1-20%)",IF(T1338&lt;=0.4,"Medium (21-40%)","High (&gt;40%)"))))</f>
        <v/>
      </c>
      <c r="Y1338" s="23" t="str">
        <f aca="false">IF(AND(ISNUMBER(C1338),ISNUMBER(D1338)),D1338-C1338,"")</f>
        <v/>
      </c>
      <c r="Z1338" s="23" t="str">
        <f aca="false">IF(B1338="","",IF(MATCH(B1338,$B$2:$B$12000,0)=ROW()-1,1,0))</f>
        <v/>
      </c>
    </row>
    <row r="1339" customFormat="false" ht="15" hidden="false" customHeight="false" outlineLevel="0" collapsed="false">
      <c r="V1339" s="23" t="str">
        <f aca="false">IF(ISNUMBER(C1339),YEAR(C1339),"")</f>
        <v/>
      </c>
      <c r="W1339" s="23" t="str">
        <f aca="false">IF(ISNUMBER(C1339),MONTH(C1339),"")</f>
        <v/>
      </c>
      <c r="X1339" s="23" t="str">
        <f aca="false">IF(T1339="","",IF(T1339=0,"No discount",IF(T1339&lt;=0.2,"Low (1-20%)",IF(T1339&lt;=0.4,"Medium (21-40%)","High (&gt;40%)"))))</f>
        <v/>
      </c>
      <c r="Y1339" s="23" t="str">
        <f aca="false">IF(AND(ISNUMBER(C1339),ISNUMBER(D1339)),D1339-C1339,"")</f>
        <v/>
      </c>
      <c r="Z1339" s="23" t="str">
        <f aca="false">IF(B1339="","",IF(MATCH(B1339,$B$2:$B$12000,0)=ROW()-1,1,0))</f>
        <v/>
      </c>
    </row>
    <row r="1340" customFormat="false" ht="15" hidden="false" customHeight="false" outlineLevel="0" collapsed="false">
      <c r="V1340" s="23" t="str">
        <f aca="false">IF(ISNUMBER(C1340),YEAR(C1340),"")</f>
        <v/>
      </c>
      <c r="W1340" s="23" t="str">
        <f aca="false">IF(ISNUMBER(C1340),MONTH(C1340),"")</f>
        <v/>
      </c>
      <c r="X1340" s="23" t="str">
        <f aca="false">IF(T1340="","",IF(T1340=0,"No discount",IF(T1340&lt;=0.2,"Low (1-20%)",IF(T1340&lt;=0.4,"Medium (21-40%)","High (&gt;40%)"))))</f>
        <v/>
      </c>
      <c r="Y1340" s="23" t="str">
        <f aca="false">IF(AND(ISNUMBER(C1340),ISNUMBER(D1340)),D1340-C1340,"")</f>
        <v/>
      </c>
      <c r="Z1340" s="23" t="str">
        <f aca="false">IF(B1340="","",IF(MATCH(B1340,$B$2:$B$12000,0)=ROW()-1,1,0))</f>
        <v/>
      </c>
    </row>
    <row r="1341" customFormat="false" ht="15" hidden="false" customHeight="false" outlineLevel="0" collapsed="false">
      <c r="V1341" s="23" t="str">
        <f aca="false">IF(ISNUMBER(C1341),YEAR(C1341),"")</f>
        <v/>
      </c>
      <c r="W1341" s="23" t="str">
        <f aca="false">IF(ISNUMBER(C1341),MONTH(C1341),"")</f>
        <v/>
      </c>
      <c r="X1341" s="23" t="str">
        <f aca="false">IF(T1341="","",IF(T1341=0,"No discount",IF(T1341&lt;=0.2,"Low (1-20%)",IF(T1341&lt;=0.4,"Medium (21-40%)","High (&gt;40%)"))))</f>
        <v/>
      </c>
      <c r="Y1341" s="23" t="str">
        <f aca="false">IF(AND(ISNUMBER(C1341),ISNUMBER(D1341)),D1341-C1341,"")</f>
        <v/>
      </c>
      <c r="Z1341" s="23" t="str">
        <f aca="false">IF(B1341="","",IF(MATCH(B1341,$B$2:$B$12000,0)=ROW()-1,1,0))</f>
        <v/>
      </c>
    </row>
    <row r="1342" customFormat="false" ht="15" hidden="false" customHeight="false" outlineLevel="0" collapsed="false">
      <c r="V1342" s="23" t="str">
        <f aca="false">IF(ISNUMBER(C1342),YEAR(C1342),"")</f>
        <v/>
      </c>
      <c r="W1342" s="23" t="str">
        <f aca="false">IF(ISNUMBER(C1342),MONTH(C1342),"")</f>
        <v/>
      </c>
      <c r="X1342" s="23" t="str">
        <f aca="false">IF(T1342="","",IF(T1342=0,"No discount",IF(T1342&lt;=0.2,"Low (1-20%)",IF(T1342&lt;=0.4,"Medium (21-40%)","High (&gt;40%)"))))</f>
        <v/>
      </c>
      <c r="Y1342" s="23" t="str">
        <f aca="false">IF(AND(ISNUMBER(C1342),ISNUMBER(D1342)),D1342-C1342,"")</f>
        <v/>
      </c>
      <c r="Z1342" s="23" t="str">
        <f aca="false">IF(B1342="","",IF(MATCH(B1342,$B$2:$B$12000,0)=ROW()-1,1,0))</f>
        <v/>
      </c>
    </row>
    <row r="1343" customFormat="false" ht="15" hidden="false" customHeight="false" outlineLevel="0" collapsed="false">
      <c r="V1343" s="23" t="str">
        <f aca="false">IF(ISNUMBER(C1343),YEAR(C1343),"")</f>
        <v/>
      </c>
      <c r="W1343" s="23" t="str">
        <f aca="false">IF(ISNUMBER(C1343),MONTH(C1343),"")</f>
        <v/>
      </c>
      <c r="X1343" s="23" t="str">
        <f aca="false">IF(T1343="","",IF(T1343=0,"No discount",IF(T1343&lt;=0.2,"Low (1-20%)",IF(T1343&lt;=0.4,"Medium (21-40%)","High (&gt;40%)"))))</f>
        <v/>
      </c>
      <c r="Y1343" s="23" t="str">
        <f aca="false">IF(AND(ISNUMBER(C1343),ISNUMBER(D1343)),D1343-C1343,"")</f>
        <v/>
      </c>
      <c r="Z1343" s="23" t="str">
        <f aca="false">IF(B1343="","",IF(MATCH(B1343,$B$2:$B$12000,0)=ROW()-1,1,0))</f>
        <v/>
      </c>
    </row>
    <row r="1344" customFormat="false" ht="15" hidden="false" customHeight="false" outlineLevel="0" collapsed="false">
      <c r="V1344" s="23" t="str">
        <f aca="false">IF(ISNUMBER(C1344),YEAR(C1344),"")</f>
        <v/>
      </c>
      <c r="W1344" s="23" t="str">
        <f aca="false">IF(ISNUMBER(C1344),MONTH(C1344),"")</f>
        <v/>
      </c>
      <c r="X1344" s="23" t="str">
        <f aca="false">IF(T1344="","",IF(T1344=0,"No discount",IF(T1344&lt;=0.2,"Low (1-20%)",IF(T1344&lt;=0.4,"Medium (21-40%)","High (&gt;40%)"))))</f>
        <v/>
      </c>
      <c r="Y1344" s="23" t="str">
        <f aca="false">IF(AND(ISNUMBER(C1344),ISNUMBER(D1344)),D1344-C1344,"")</f>
        <v/>
      </c>
      <c r="Z1344" s="23" t="str">
        <f aca="false">IF(B1344="","",IF(MATCH(B1344,$B$2:$B$12000,0)=ROW()-1,1,0))</f>
        <v/>
      </c>
    </row>
    <row r="1345" customFormat="false" ht="15" hidden="false" customHeight="false" outlineLevel="0" collapsed="false">
      <c r="V1345" s="23" t="str">
        <f aca="false">IF(ISNUMBER(C1345),YEAR(C1345),"")</f>
        <v/>
      </c>
      <c r="W1345" s="23" t="str">
        <f aca="false">IF(ISNUMBER(C1345),MONTH(C1345),"")</f>
        <v/>
      </c>
      <c r="X1345" s="23" t="str">
        <f aca="false">IF(T1345="","",IF(T1345=0,"No discount",IF(T1345&lt;=0.2,"Low (1-20%)",IF(T1345&lt;=0.4,"Medium (21-40%)","High (&gt;40%)"))))</f>
        <v/>
      </c>
      <c r="Y1345" s="23" t="str">
        <f aca="false">IF(AND(ISNUMBER(C1345),ISNUMBER(D1345)),D1345-C1345,"")</f>
        <v/>
      </c>
      <c r="Z1345" s="23" t="str">
        <f aca="false">IF(B1345="","",IF(MATCH(B1345,$B$2:$B$12000,0)=ROW()-1,1,0))</f>
        <v/>
      </c>
    </row>
    <row r="1346" customFormat="false" ht="15" hidden="false" customHeight="false" outlineLevel="0" collapsed="false">
      <c r="V1346" s="23" t="str">
        <f aca="false">IF(ISNUMBER(C1346),YEAR(C1346),"")</f>
        <v/>
      </c>
      <c r="W1346" s="23" t="str">
        <f aca="false">IF(ISNUMBER(C1346),MONTH(C1346),"")</f>
        <v/>
      </c>
      <c r="X1346" s="23" t="str">
        <f aca="false">IF(T1346="","",IF(T1346=0,"No discount",IF(T1346&lt;=0.2,"Low (1-20%)",IF(T1346&lt;=0.4,"Medium (21-40%)","High (&gt;40%)"))))</f>
        <v/>
      </c>
      <c r="Y1346" s="23" t="str">
        <f aca="false">IF(AND(ISNUMBER(C1346),ISNUMBER(D1346)),D1346-C1346,"")</f>
        <v/>
      </c>
      <c r="Z1346" s="23" t="str">
        <f aca="false">IF(B1346="","",IF(MATCH(B1346,$B$2:$B$12000,0)=ROW()-1,1,0))</f>
        <v/>
      </c>
    </row>
    <row r="1347" customFormat="false" ht="15" hidden="false" customHeight="false" outlineLevel="0" collapsed="false">
      <c r="V1347" s="23" t="str">
        <f aca="false">IF(ISNUMBER(C1347),YEAR(C1347),"")</f>
        <v/>
      </c>
      <c r="W1347" s="23" t="str">
        <f aca="false">IF(ISNUMBER(C1347),MONTH(C1347),"")</f>
        <v/>
      </c>
      <c r="X1347" s="23" t="str">
        <f aca="false">IF(T1347="","",IF(T1347=0,"No discount",IF(T1347&lt;=0.2,"Low (1-20%)",IF(T1347&lt;=0.4,"Medium (21-40%)","High (&gt;40%)"))))</f>
        <v/>
      </c>
      <c r="Y1347" s="23" t="str">
        <f aca="false">IF(AND(ISNUMBER(C1347),ISNUMBER(D1347)),D1347-C1347,"")</f>
        <v/>
      </c>
      <c r="Z1347" s="23" t="str">
        <f aca="false">IF(B1347="","",IF(MATCH(B1347,$B$2:$B$12000,0)=ROW()-1,1,0))</f>
        <v/>
      </c>
    </row>
    <row r="1348" customFormat="false" ht="15" hidden="false" customHeight="false" outlineLevel="0" collapsed="false">
      <c r="V1348" s="23" t="str">
        <f aca="false">IF(ISNUMBER(C1348),YEAR(C1348),"")</f>
        <v/>
      </c>
      <c r="W1348" s="23" t="str">
        <f aca="false">IF(ISNUMBER(C1348),MONTH(C1348),"")</f>
        <v/>
      </c>
      <c r="X1348" s="23" t="str">
        <f aca="false">IF(T1348="","",IF(T1348=0,"No discount",IF(T1348&lt;=0.2,"Low (1-20%)",IF(T1348&lt;=0.4,"Medium (21-40%)","High (&gt;40%)"))))</f>
        <v/>
      </c>
      <c r="Y1348" s="23" t="str">
        <f aca="false">IF(AND(ISNUMBER(C1348),ISNUMBER(D1348)),D1348-C1348,"")</f>
        <v/>
      </c>
      <c r="Z1348" s="23" t="str">
        <f aca="false">IF(B1348="","",IF(MATCH(B1348,$B$2:$B$12000,0)=ROW()-1,1,0))</f>
        <v/>
      </c>
    </row>
    <row r="1349" customFormat="false" ht="15" hidden="false" customHeight="false" outlineLevel="0" collapsed="false">
      <c r="V1349" s="23" t="str">
        <f aca="false">IF(ISNUMBER(C1349),YEAR(C1349),"")</f>
        <v/>
      </c>
      <c r="W1349" s="23" t="str">
        <f aca="false">IF(ISNUMBER(C1349),MONTH(C1349),"")</f>
        <v/>
      </c>
      <c r="X1349" s="23" t="str">
        <f aca="false">IF(T1349="","",IF(T1349=0,"No discount",IF(T1349&lt;=0.2,"Low (1-20%)",IF(T1349&lt;=0.4,"Medium (21-40%)","High (&gt;40%)"))))</f>
        <v/>
      </c>
      <c r="Y1349" s="23" t="str">
        <f aca="false">IF(AND(ISNUMBER(C1349),ISNUMBER(D1349)),D1349-C1349,"")</f>
        <v/>
      </c>
      <c r="Z1349" s="23" t="str">
        <f aca="false">IF(B1349="","",IF(MATCH(B1349,$B$2:$B$12000,0)=ROW()-1,1,0))</f>
        <v/>
      </c>
    </row>
    <row r="1350" customFormat="false" ht="15" hidden="false" customHeight="false" outlineLevel="0" collapsed="false">
      <c r="V1350" s="23" t="str">
        <f aca="false">IF(ISNUMBER(C1350),YEAR(C1350),"")</f>
        <v/>
      </c>
      <c r="W1350" s="23" t="str">
        <f aca="false">IF(ISNUMBER(C1350),MONTH(C1350),"")</f>
        <v/>
      </c>
      <c r="X1350" s="23" t="str">
        <f aca="false">IF(T1350="","",IF(T1350=0,"No discount",IF(T1350&lt;=0.2,"Low (1-20%)",IF(T1350&lt;=0.4,"Medium (21-40%)","High (&gt;40%)"))))</f>
        <v/>
      </c>
      <c r="Y1350" s="23" t="str">
        <f aca="false">IF(AND(ISNUMBER(C1350),ISNUMBER(D1350)),D1350-C1350,"")</f>
        <v/>
      </c>
      <c r="Z1350" s="23" t="str">
        <f aca="false">IF(B1350="","",IF(MATCH(B1350,$B$2:$B$12000,0)=ROW()-1,1,0))</f>
        <v/>
      </c>
    </row>
    <row r="1351" customFormat="false" ht="15" hidden="false" customHeight="false" outlineLevel="0" collapsed="false">
      <c r="V1351" s="23" t="str">
        <f aca="false">IF(ISNUMBER(C1351),YEAR(C1351),"")</f>
        <v/>
      </c>
      <c r="W1351" s="23" t="str">
        <f aca="false">IF(ISNUMBER(C1351),MONTH(C1351),"")</f>
        <v/>
      </c>
      <c r="X1351" s="23" t="str">
        <f aca="false">IF(T1351="","",IF(T1351=0,"No discount",IF(T1351&lt;=0.2,"Low (1-20%)",IF(T1351&lt;=0.4,"Medium (21-40%)","High (&gt;40%)"))))</f>
        <v/>
      </c>
      <c r="Y1351" s="23" t="str">
        <f aca="false">IF(AND(ISNUMBER(C1351),ISNUMBER(D1351)),D1351-C1351,"")</f>
        <v/>
      </c>
      <c r="Z1351" s="23" t="str">
        <f aca="false">IF(B1351="","",IF(MATCH(B1351,$B$2:$B$12000,0)=ROW()-1,1,0))</f>
        <v/>
      </c>
    </row>
    <row r="1352" customFormat="false" ht="15" hidden="false" customHeight="false" outlineLevel="0" collapsed="false">
      <c r="V1352" s="23" t="str">
        <f aca="false">IF(ISNUMBER(C1352),YEAR(C1352),"")</f>
        <v/>
      </c>
      <c r="W1352" s="23" t="str">
        <f aca="false">IF(ISNUMBER(C1352),MONTH(C1352),"")</f>
        <v/>
      </c>
      <c r="X1352" s="23" t="str">
        <f aca="false">IF(T1352="","",IF(T1352=0,"No discount",IF(T1352&lt;=0.2,"Low (1-20%)",IF(T1352&lt;=0.4,"Medium (21-40%)","High (&gt;40%)"))))</f>
        <v/>
      </c>
      <c r="Y1352" s="23" t="str">
        <f aca="false">IF(AND(ISNUMBER(C1352),ISNUMBER(D1352)),D1352-C1352,"")</f>
        <v/>
      </c>
      <c r="Z1352" s="23" t="str">
        <f aca="false">IF(B1352="","",IF(MATCH(B1352,$B$2:$B$12000,0)=ROW()-1,1,0))</f>
        <v/>
      </c>
    </row>
    <row r="1353" customFormat="false" ht="15" hidden="false" customHeight="false" outlineLevel="0" collapsed="false">
      <c r="V1353" s="23" t="str">
        <f aca="false">IF(ISNUMBER(C1353),YEAR(C1353),"")</f>
        <v/>
      </c>
      <c r="W1353" s="23" t="str">
        <f aca="false">IF(ISNUMBER(C1353),MONTH(C1353),"")</f>
        <v/>
      </c>
      <c r="X1353" s="23" t="str">
        <f aca="false">IF(T1353="","",IF(T1353=0,"No discount",IF(T1353&lt;=0.2,"Low (1-20%)",IF(T1353&lt;=0.4,"Medium (21-40%)","High (&gt;40%)"))))</f>
        <v/>
      </c>
      <c r="Y1353" s="23" t="str">
        <f aca="false">IF(AND(ISNUMBER(C1353),ISNUMBER(D1353)),D1353-C1353,"")</f>
        <v/>
      </c>
      <c r="Z1353" s="23" t="str">
        <f aca="false">IF(B1353="","",IF(MATCH(B1353,$B$2:$B$12000,0)=ROW()-1,1,0))</f>
        <v/>
      </c>
    </row>
    <row r="1354" customFormat="false" ht="15" hidden="false" customHeight="false" outlineLevel="0" collapsed="false">
      <c r="V1354" s="23" t="str">
        <f aca="false">IF(ISNUMBER(C1354),YEAR(C1354),"")</f>
        <v/>
      </c>
      <c r="W1354" s="23" t="str">
        <f aca="false">IF(ISNUMBER(C1354),MONTH(C1354),"")</f>
        <v/>
      </c>
      <c r="X1354" s="23" t="str">
        <f aca="false">IF(T1354="","",IF(T1354=0,"No discount",IF(T1354&lt;=0.2,"Low (1-20%)",IF(T1354&lt;=0.4,"Medium (21-40%)","High (&gt;40%)"))))</f>
        <v/>
      </c>
      <c r="Y1354" s="23" t="str">
        <f aca="false">IF(AND(ISNUMBER(C1354),ISNUMBER(D1354)),D1354-C1354,"")</f>
        <v/>
      </c>
      <c r="Z1354" s="23" t="str">
        <f aca="false">IF(B1354="","",IF(MATCH(B1354,$B$2:$B$12000,0)=ROW()-1,1,0))</f>
        <v/>
      </c>
    </row>
    <row r="1355" customFormat="false" ht="15" hidden="false" customHeight="false" outlineLevel="0" collapsed="false">
      <c r="V1355" s="23" t="str">
        <f aca="false">IF(ISNUMBER(C1355),YEAR(C1355),"")</f>
        <v/>
      </c>
      <c r="W1355" s="23" t="str">
        <f aca="false">IF(ISNUMBER(C1355),MONTH(C1355),"")</f>
        <v/>
      </c>
      <c r="X1355" s="23" t="str">
        <f aca="false">IF(T1355="","",IF(T1355=0,"No discount",IF(T1355&lt;=0.2,"Low (1-20%)",IF(T1355&lt;=0.4,"Medium (21-40%)","High (&gt;40%)"))))</f>
        <v/>
      </c>
      <c r="Y1355" s="23" t="str">
        <f aca="false">IF(AND(ISNUMBER(C1355),ISNUMBER(D1355)),D1355-C1355,"")</f>
        <v/>
      </c>
      <c r="Z1355" s="23" t="str">
        <f aca="false">IF(B1355="","",IF(MATCH(B1355,$B$2:$B$12000,0)=ROW()-1,1,0))</f>
        <v/>
      </c>
    </row>
    <row r="1356" customFormat="false" ht="15" hidden="false" customHeight="false" outlineLevel="0" collapsed="false">
      <c r="V1356" s="23" t="str">
        <f aca="false">IF(ISNUMBER(C1356),YEAR(C1356),"")</f>
        <v/>
      </c>
      <c r="W1356" s="23" t="str">
        <f aca="false">IF(ISNUMBER(C1356),MONTH(C1356),"")</f>
        <v/>
      </c>
      <c r="X1356" s="23" t="str">
        <f aca="false">IF(T1356="","",IF(T1356=0,"No discount",IF(T1356&lt;=0.2,"Low (1-20%)",IF(T1356&lt;=0.4,"Medium (21-40%)","High (&gt;40%)"))))</f>
        <v/>
      </c>
      <c r="Y1356" s="23" t="str">
        <f aca="false">IF(AND(ISNUMBER(C1356),ISNUMBER(D1356)),D1356-C1356,"")</f>
        <v/>
      </c>
      <c r="Z1356" s="23" t="str">
        <f aca="false">IF(B1356="","",IF(MATCH(B1356,$B$2:$B$12000,0)=ROW()-1,1,0))</f>
        <v/>
      </c>
    </row>
    <row r="1357" customFormat="false" ht="15" hidden="false" customHeight="false" outlineLevel="0" collapsed="false">
      <c r="V1357" s="23" t="str">
        <f aca="false">IF(ISNUMBER(C1357),YEAR(C1357),"")</f>
        <v/>
      </c>
      <c r="W1357" s="23" t="str">
        <f aca="false">IF(ISNUMBER(C1357),MONTH(C1357),"")</f>
        <v/>
      </c>
      <c r="X1357" s="23" t="str">
        <f aca="false">IF(T1357="","",IF(T1357=0,"No discount",IF(T1357&lt;=0.2,"Low (1-20%)",IF(T1357&lt;=0.4,"Medium (21-40%)","High (&gt;40%)"))))</f>
        <v/>
      </c>
      <c r="Y1357" s="23" t="str">
        <f aca="false">IF(AND(ISNUMBER(C1357),ISNUMBER(D1357)),D1357-C1357,"")</f>
        <v/>
      </c>
      <c r="Z1357" s="23" t="str">
        <f aca="false">IF(B1357="","",IF(MATCH(B1357,$B$2:$B$12000,0)=ROW()-1,1,0))</f>
        <v/>
      </c>
    </row>
    <row r="1358" customFormat="false" ht="15" hidden="false" customHeight="false" outlineLevel="0" collapsed="false">
      <c r="V1358" s="23" t="str">
        <f aca="false">IF(ISNUMBER(C1358),YEAR(C1358),"")</f>
        <v/>
      </c>
      <c r="W1358" s="23" t="str">
        <f aca="false">IF(ISNUMBER(C1358),MONTH(C1358),"")</f>
        <v/>
      </c>
      <c r="X1358" s="23" t="str">
        <f aca="false">IF(T1358="","",IF(T1358=0,"No discount",IF(T1358&lt;=0.2,"Low (1-20%)",IF(T1358&lt;=0.4,"Medium (21-40%)","High (&gt;40%)"))))</f>
        <v/>
      </c>
      <c r="Y1358" s="23" t="str">
        <f aca="false">IF(AND(ISNUMBER(C1358),ISNUMBER(D1358)),D1358-C1358,"")</f>
        <v/>
      </c>
      <c r="Z1358" s="23" t="str">
        <f aca="false">IF(B1358="","",IF(MATCH(B1358,$B$2:$B$12000,0)=ROW()-1,1,0))</f>
        <v/>
      </c>
    </row>
    <row r="1359" customFormat="false" ht="15" hidden="false" customHeight="false" outlineLevel="0" collapsed="false">
      <c r="V1359" s="23" t="str">
        <f aca="false">IF(ISNUMBER(C1359),YEAR(C1359),"")</f>
        <v/>
      </c>
      <c r="W1359" s="23" t="str">
        <f aca="false">IF(ISNUMBER(C1359),MONTH(C1359),"")</f>
        <v/>
      </c>
      <c r="X1359" s="23" t="str">
        <f aca="false">IF(T1359="","",IF(T1359=0,"No discount",IF(T1359&lt;=0.2,"Low (1-20%)",IF(T1359&lt;=0.4,"Medium (21-40%)","High (&gt;40%)"))))</f>
        <v/>
      </c>
      <c r="Y1359" s="23" t="str">
        <f aca="false">IF(AND(ISNUMBER(C1359),ISNUMBER(D1359)),D1359-C1359,"")</f>
        <v/>
      </c>
      <c r="Z1359" s="23" t="str">
        <f aca="false">IF(B1359="","",IF(MATCH(B1359,$B$2:$B$12000,0)=ROW()-1,1,0))</f>
        <v/>
      </c>
    </row>
    <row r="1360" customFormat="false" ht="15" hidden="false" customHeight="false" outlineLevel="0" collapsed="false">
      <c r="V1360" s="23" t="str">
        <f aca="false">IF(ISNUMBER(C1360),YEAR(C1360),"")</f>
        <v/>
      </c>
      <c r="W1360" s="23" t="str">
        <f aca="false">IF(ISNUMBER(C1360),MONTH(C1360),"")</f>
        <v/>
      </c>
      <c r="X1360" s="23" t="str">
        <f aca="false">IF(T1360="","",IF(T1360=0,"No discount",IF(T1360&lt;=0.2,"Low (1-20%)",IF(T1360&lt;=0.4,"Medium (21-40%)","High (&gt;40%)"))))</f>
        <v/>
      </c>
      <c r="Y1360" s="23" t="str">
        <f aca="false">IF(AND(ISNUMBER(C1360),ISNUMBER(D1360)),D1360-C1360,"")</f>
        <v/>
      </c>
      <c r="Z1360" s="23" t="str">
        <f aca="false">IF(B1360="","",IF(MATCH(B1360,$B$2:$B$12000,0)=ROW()-1,1,0))</f>
        <v/>
      </c>
    </row>
    <row r="1361" customFormat="false" ht="15" hidden="false" customHeight="false" outlineLevel="0" collapsed="false">
      <c r="V1361" s="23" t="str">
        <f aca="false">IF(ISNUMBER(C1361),YEAR(C1361),"")</f>
        <v/>
      </c>
      <c r="W1361" s="23" t="str">
        <f aca="false">IF(ISNUMBER(C1361),MONTH(C1361),"")</f>
        <v/>
      </c>
      <c r="X1361" s="23" t="str">
        <f aca="false">IF(T1361="","",IF(T1361=0,"No discount",IF(T1361&lt;=0.2,"Low (1-20%)",IF(T1361&lt;=0.4,"Medium (21-40%)","High (&gt;40%)"))))</f>
        <v/>
      </c>
      <c r="Y1361" s="23" t="str">
        <f aca="false">IF(AND(ISNUMBER(C1361),ISNUMBER(D1361)),D1361-C1361,"")</f>
        <v/>
      </c>
      <c r="Z1361" s="23" t="str">
        <f aca="false">IF(B1361="","",IF(MATCH(B1361,$B$2:$B$12000,0)=ROW()-1,1,0))</f>
        <v/>
      </c>
    </row>
    <row r="1362" customFormat="false" ht="15" hidden="false" customHeight="false" outlineLevel="0" collapsed="false">
      <c r="V1362" s="23" t="str">
        <f aca="false">IF(ISNUMBER(C1362),YEAR(C1362),"")</f>
        <v/>
      </c>
      <c r="W1362" s="23" t="str">
        <f aca="false">IF(ISNUMBER(C1362),MONTH(C1362),"")</f>
        <v/>
      </c>
      <c r="X1362" s="23" t="str">
        <f aca="false">IF(T1362="","",IF(T1362=0,"No discount",IF(T1362&lt;=0.2,"Low (1-20%)",IF(T1362&lt;=0.4,"Medium (21-40%)","High (&gt;40%)"))))</f>
        <v/>
      </c>
      <c r="Y1362" s="23" t="str">
        <f aca="false">IF(AND(ISNUMBER(C1362),ISNUMBER(D1362)),D1362-C1362,"")</f>
        <v/>
      </c>
      <c r="Z1362" s="23" t="str">
        <f aca="false">IF(B1362="","",IF(MATCH(B1362,$B$2:$B$12000,0)=ROW()-1,1,0))</f>
        <v/>
      </c>
    </row>
    <row r="1363" customFormat="false" ht="15" hidden="false" customHeight="false" outlineLevel="0" collapsed="false">
      <c r="V1363" s="23" t="str">
        <f aca="false">IF(ISNUMBER(C1363),YEAR(C1363),"")</f>
        <v/>
      </c>
      <c r="W1363" s="23" t="str">
        <f aca="false">IF(ISNUMBER(C1363),MONTH(C1363),"")</f>
        <v/>
      </c>
      <c r="X1363" s="23" t="str">
        <f aca="false">IF(T1363="","",IF(T1363=0,"No discount",IF(T1363&lt;=0.2,"Low (1-20%)",IF(T1363&lt;=0.4,"Medium (21-40%)","High (&gt;40%)"))))</f>
        <v/>
      </c>
      <c r="Y1363" s="23" t="str">
        <f aca="false">IF(AND(ISNUMBER(C1363),ISNUMBER(D1363)),D1363-C1363,"")</f>
        <v/>
      </c>
      <c r="Z1363" s="23" t="str">
        <f aca="false">IF(B1363="","",IF(MATCH(B1363,$B$2:$B$12000,0)=ROW()-1,1,0))</f>
        <v/>
      </c>
    </row>
    <row r="1364" customFormat="false" ht="15" hidden="false" customHeight="false" outlineLevel="0" collapsed="false">
      <c r="V1364" s="23" t="str">
        <f aca="false">IF(ISNUMBER(C1364),YEAR(C1364),"")</f>
        <v/>
      </c>
      <c r="W1364" s="23" t="str">
        <f aca="false">IF(ISNUMBER(C1364),MONTH(C1364),"")</f>
        <v/>
      </c>
      <c r="X1364" s="23" t="str">
        <f aca="false">IF(T1364="","",IF(T1364=0,"No discount",IF(T1364&lt;=0.2,"Low (1-20%)",IF(T1364&lt;=0.4,"Medium (21-40%)","High (&gt;40%)"))))</f>
        <v/>
      </c>
      <c r="Y1364" s="23" t="str">
        <f aca="false">IF(AND(ISNUMBER(C1364),ISNUMBER(D1364)),D1364-C1364,"")</f>
        <v/>
      </c>
      <c r="Z1364" s="23" t="str">
        <f aca="false">IF(B1364="","",IF(MATCH(B1364,$B$2:$B$12000,0)=ROW()-1,1,0))</f>
        <v/>
      </c>
    </row>
    <row r="1365" customFormat="false" ht="15" hidden="false" customHeight="false" outlineLevel="0" collapsed="false">
      <c r="V1365" s="23" t="str">
        <f aca="false">IF(ISNUMBER(C1365),YEAR(C1365),"")</f>
        <v/>
      </c>
      <c r="W1365" s="23" t="str">
        <f aca="false">IF(ISNUMBER(C1365),MONTH(C1365),"")</f>
        <v/>
      </c>
      <c r="X1365" s="23" t="str">
        <f aca="false">IF(T1365="","",IF(T1365=0,"No discount",IF(T1365&lt;=0.2,"Low (1-20%)",IF(T1365&lt;=0.4,"Medium (21-40%)","High (&gt;40%)"))))</f>
        <v/>
      </c>
      <c r="Y1365" s="23" t="str">
        <f aca="false">IF(AND(ISNUMBER(C1365),ISNUMBER(D1365)),D1365-C1365,"")</f>
        <v/>
      </c>
      <c r="Z1365" s="23" t="str">
        <f aca="false">IF(B1365="","",IF(MATCH(B1365,$B$2:$B$12000,0)=ROW()-1,1,0))</f>
        <v/>
      </c>
    </row>
    <row r="1366" customFormat="false" ht="15" hidden="false" customHeight="false" outlineLevel="0" collapsed="false">
      <c r="V1366" s="23" t="str">
        <f aca="false">IF(ISNUMBER(C1366),YEAR(C1366),"")</f>
        <v/>
      </c>
      <c r="W1366" s="23" t="str">
        <f aca="false">IF(ISNUMBER(C1366),MONTH(C1366),"")</f>
        <v/>
      </c>
      <c r="X1366" s="23" t="str">
        <f aca="false">IF(T1366="","",IF(T1366=0,"No discount",IF(T1366&lt;=0.2,"Low (1-20%)",IF(T1366&lt;=0.4,"Medium (21-40%)","High (&gt;40%)"))))</f>
        <v/>
      </c>
      <c r="Y1366" s="23" t="str">
        <f aca="false">IF(AND(ISNUMBER(C1366),ISNUMBER(D1366)),D1366-C1366,"")</f>
        <v/>
      </c>
      <c r="Z1366" s="23" t="str">
        <f aca="false">IF(B1366="","",IF(MATCH(B1366,$B$2:$B$12000,0)=ROW()-1,1,0))</f>
        <v/>
      </c>
    </row>
    <row r="1367" customFormat="false" ht="15" hidden="false" customHeight="false" outlineLevel="0" collapsed="false">
      <c r="V1367" s="23" t="str">
        <f aca="false">IF(ISNUMBER(C1367),YEAR(C1367),"")</f>
        <v/>
      </c>
      <c r="W1367" s="23" t="str">
        <f aca="false">IF(ISNUMBER(C1367),MONTH(C1367),"")</f>
        <v/>
      </c>
      <c r="X1367" s="23" t="str">
        <f aca="false">IF(T1367="","",IF(T1367=0,"No discount",IF(T1367&lt;=0.2,"Low (1-20%)",IF(T1367&lt;=0.4,"Medium (21-40%)","High (&gt;40%)"))))</f>
        <v/>
      </c>
      <c r="Y1367" s="23" t="str">
        <f aca="false">IF(AND(ISNUMBER(C1367),ISNUMBER(D1367)),D1367-C1367,"")</f>
        <v/>
      </c>
      <c r="Z1367" s="23" t="str">
        <f aca="false">IF(B1367="","",IF(MATCH(B1367,$B$2:$B$12000,0)=ROW()-1,1,0))</f>
        <v/>
      </c>
    </row>
    <row r="1368" customFormat="false" ht="15" hidden="false" customHeight="false" outlineLevel="0" collapsed="false">
      <c r="V1368" s="23" t="str">
        <f aca="false">IF(ISNUMBER(C1368),YEAR(C1368),"")</f>
        <v/>
      </c>
      <c r="W1368" s="23" t="str">
        <f aca="false">IF(ISNUMBER(C1368),MONTH(C1368),"")</f>
        <v/>
      </c>
      <c r="X1368" s="23" t="str">
        <f aca="false">IF(T1368="","",IF(T1368=0,"No discount",IF(T1368&lt;=0.2,"Low (1-20%)",IF(T1368&lt;=0.4,"Medium (21-40%)","High (&gt;40%)"))))</f>
        <v/>
      </c>
      <c r="Y1368" s="23" t="str">
        <f aca="false">IF(AND(ISNUMBER(C1368),ISNUMBER(D1368)),D1368-C1368,"")</f>
        <v/>
      </c>
      <c r="Z1368" s="23" t="str">
        <f aca="false">IF(B1368="","",IF(MATCH(B1368,$B$2:$B$12000,0)=ROW()-1,1,0))</f>
        <v/>
      </c>
    </row>
    <row r="1369" customFormat="false" ht="15" hidden="false" customHeight="false" outlineLevel="0" collapsed="false">
      <c r="V1369" s="23" t="str">
        <f aca="false">IF(ISNUMBER(C1369),YEAR(C1369),"")</f>
        <v/>
      </c>
      <c r="W1369" s="23" t="str">
        <f aca="false">IF(ISNUMBER(C1369),MONTH(C1369),"")</f>
        <v/>
      </c>
      <c r="X1369" s="23" t="str">
        <f aca="false">IF(T1369="","",IF(T1369=0,"No discount",IF(T1369&lt;=0.2,"Low (1-20%)",IF(T1369&lt;=0.4,"Medium (21-40%)","High (&gt;40%)"))))</f>
        <v/>
      </c>
      <c r="Y1369" s="23" t="str">
        <f aca="false">IF(AND(ISNUMBER(C1369),ISNUMBER(D1369)),D1369-C1369,"")</f>
        <v/>
      </c>
      <c r="Z1369" s="23" t="str">
        <f aca="false">IF(B1369="","",IF(MATCH(B1369,$B$2:$B$12000,0)=ROW()-1,1,0))</f>
        <v/>
      </c>
    </row>
    <row r="1370" customFormat="false" ht="15" hidden="false" customHeight="false" outlineLevel="0" collapsed="false">
      <c r="V1370" s="23" t="str">
        <f aca="false">IF(ISNUMBER(C1370),YEAR(C1370),"")</f>
        <v/>
      </c>
      <c r="W1370" s="23" t="str">
        <f aca="false">IF(ISNUMBER(C1370),MONTH(C1370),"")</f>
        <v/>
      </c>
      <c r="X1370" s="23" t="str">
        <f aca="false">IF(T1370="","",IF(T1370=0,"No discount",IF(T1370&lt;=0.2,"Low (1-20%)",IF(T1370&lt;=0.4,"Medium (21-40%)","High (&gt;40%)"))))</f>
        <v/>
      </c>
      <c r="Y1370" s="23" t="str">
        <f aca="false">IF(AND(ISNUMBER(C1370),ISNUMBER(D1370)),D1370-C1370,"")</f>
        <v/>
      </c>
      <c r="Z1370" s="23" t="str">
        <f aca="false">IF(B1370="","",IF(MATCH(B1370,$B$2:$B$12000,0)=ROW()-1,1,0))</f>
        <v/>
      </c>
    </row>
    <row r="1371" customFormat="false" ht="15" hidden="false" customHeight="false" outlineLevel="0" collapsed="false">
      <c r="V1371" s="23" t="str">
        <f aca="false">IF(ISNUMBER(C1371),YEAR(C1371),"")</f>
        <v/>
      </c>
      <c r="W1371" s="23" t="str">
        <f aca="false">IF(ISNUMBER(C1371),MONTH(C1371),"")</f>
        <v/>
      </c>
      <c r="X1371" s="23" t="str">
        <f aca="false">IF(T1371="","",IF(T1371=0,"No discount",IF(T1371&lt;=0.2,"Low (1-20%)",IF(T1371&lt;=0.4,"Medium (21-40%)","High (&gt;40%)"))))</f>
        <v/>
      </c>
      <c r="Y1371" s="23" t="str">
        <f aca="false">IF(AND(ISNUMBER(C1371),ISNUMBER(D1371)),D1371-C1371,"")</f>
        <v/>
      </c>
      <c r="Z1371" s="23" t="str">
        <f aca="false">IF(B1371="","",IF(MATCH(B1371,$B$2:$B$12000,0)=ROW()-1,1,0))</f>
        <v/>
      </c>
    </row>
    <row r="1372" customFormat="false" ht="15" hidden="false" customHeight="false" outlineLevel="0" collapsed="false">
      <c r="V1372" s="23" t="str">
        <f aca="false">IF(ISNUMBER(C1372),YEAR(C1372),"")</f>
        <v/>
      </c>
      <c r="W1372" s="23" t="str">
        <f aca="false">IF(ISNUMBER(C1372),MONTH(C1372),"")</f>
        <v/>
      </c>
      <c r="X1372" s="23" t="str">
        <f aca="false">IF(T1372="","",IF(T1372=0,"No discount",IF(T1372&lt;=0.2,"Low (1-20%)",IF(T1372&lt;=0.4,"Medium (21-40%)","High (&gt;40%)"))))</f>
        <v/>
      </c>
      <c r="Y1372" s="23" t="str">
        <f aca="false">IF(AND(ISNUMBER(C1372),ISNUMBER(D1372)),D1372-C1372,"")</f>
        <v/>
      </c>
      <c r="Z1372" s="23" t="str">
        <f aca="false">IF(B1372="","",IF(MATCH(B1372,$B$2:$B$12000,0)=ROW()-1,1,0))</f>
        <v/>
      </c>
    </row>
    <row r="1373" customFormat="false" ht="15" hidden="false" customHeight="false" outlineLevel="0" collapsed="false">
      <c r="V1373" s="23" t="str">
        <f aca="false">IF(ISNUMBER(C1373),YEAR(C1373),"")</f>
        <v/>
      </c>
      <c r="W1373" s="23" t="str">
        <f aca="false">IF(ISNUMBER(C1373),MONTH(C1373),"")</f>
        <v/>
      </c>
      <c r="X1373" s="23" t="str">
        <f aca="false">IF(T1373="","",IF(T1373=0,"No discount",IF(T1373&lt;=0.2,"Low (1-20%)",IF(T1373&lt;=0.4,"Medium (21-40%)","High (&gt;40%)"))))</f>
        <v/>
      </c>
      <c r="Y1373" s="23" t="str">
        <f aca="false">IF(AND(ISNUMBER(C1373),ISNUMBER(D1373)),D1373-C1373,"")</f>
        <v/>
      </c>
      <c r="Z1373" s="23" t="str">
        <f aca="false">IF(B1373="","",IF(MATCH(B1373,$B$2:$B$12000,0)=ROW()-1,1,0))</f>
        <v/>
      </c>
    </row>
    <row r="1374" customFormat="false" ht="15" hidden="false" customHeight="false" outlineLevel="0" collapsed="false">
      <c r="V1374" s="23" t="str">
        <f aca="false">IF(ISNUMBER(C1374),YEAR(C1374),"")</f>
        <v/>
      </c>
      <c r="W1374" s="23" t="str">
        <f aca="false">IF(ISNUMBER(C1374),MONTH(C1374),"")</f>
        <v/>
      </c>
      <c r="X1374" s="23" t="str">
        <f aca="false">IF(T1374="","",IF(T1374=0,"No discount",IF(T1374&lt;=0.2,"Low (1-20%)",IF(T1374&lt;=0.4,"Medium (21-40%)","High (&gt;40%)"))))</f>
        <v/>
      </c>
      <c r="Y1374" s="23" t="str">
        <f aca="false">IF(AND(ISNUMBER(C1374),ISNUMBER(D1374)),D1374-C1374,"")</f>
        <v/>
      </c>
      <c r="Z1374" s="23" t="str">
        <f aca="false">IF(B1374="","",IF(MATCH(B1374,$B$2:$B$12000,0)=ROW()-1,1,0))</f>
        <v/>
      </c>
    </row>
    <row r="1375" customFormat="false" ht="15" hidden="false" customHeight="false" outlineLevel="0" collapsed="false">
      <c r="V1375" s="23" t="str">
        <f aca="false">IF(ISNUMBER(C1375),YEAR(C1375),"")</f>
        <v/>
      </c>
      <c r="W1375" s="23" t="str">
        <f aca="false">IF(ISNUMBER(C1375),MONTH(C1375),"")</f>
        <v/>
      </c>
      <c r="X1375" s="23" t="str">
        <f aca="false">IF(T1375="","",IF(T1375=0,"No discount",IF(T1375&lt;=0.2,"Low (1-20%)",IF(T1375&lt;=0.4,"Medium (21-40%)","High (&gt;40%)"))))</f>
        <v/>
      </c>
      <c r="Y1375" s="23" t="str">
        <f aca="false">IF(AND(ISNUMBER(C1375),ISNUMBER(D1375)),D1375-C1375,"")</f>
        <v/>
      </c>
      <c r="Z1375" s="23" t="str">
        <f aca="false">IF(B1375="","",IF(MATCH(B1375,$B$2:$B$12000,0)=ROW()-1,1,0))</f>
        <v/>
      </c>
    </row>
    <row r="1376" customFormat="false" ht="15" hidden="false" customHeight="false" outlineLevel="0" collapsed="false">
      <c r="V1376" s="23" t="str">
        <f aca="false">IF(ISNUMBER(C1376),YEAR(C1376),"")</f>
        <v/>
      </c>
      <c r="W1376" s="23" t="str">
        <f aca="false">IF(ISNUMBER(C1376),MONTH(C1376),"")</f>
        <v/>
      </c>
      <c r="X1376" s="23" t="str">
        <f aca="false">IF(T1376="","",IF(T1376=0,"No discount",IF(T1376&lt;=0.2,"Low (1-20%)",IF(T1376&lt;=0.4,"Medium (21-40%)","High (&gt;40%)"))))</f>
        <v/>
      </c>
      <c r="Y1376" s="23" t="str">
        <f aca="false">IF(AND(ISNUMBER(C1376),ISNUMBER(D1376)),D1376-C1376,"")</f>
        <v/>
      </c>
      <c r="Z1376" s="23" t="str">
        <f aca="false">IF(B1376="","",IF(MATCH(B1376,$B$2:$B$12000,0)=ROW()-1,1,0))</f>
        <v/>
      </c>
    </row>
    <row r="1377" customFormat="false" ht="15" hidden="false" customHeight="false" outlineLevel="0" collapsed="false">
      <c r="V1377" s="23" t="str">
        <f aca="false">IF(ISNUMBER(C1377),YEAR(C1377),"")</f>
        <v/>
      </c>
      <c r="W1377" s="23" t="str">
        <f aca="false">IF(ISNUMBER(C1377),MONTH(C1377),"")</f>
        <v/>
      </c>
      <c r="X1377" s="23" t="str">
        <f aca="false">IF(T1377="","",IF(T1377=0,"No discount",IF(T1377&lt;=0.2,"Low (1-20%)",IF(T1377&lt;=0.4,"Medium (21-40%)","High (&gt;40%)"))))</f>
        <v/>
      </c>
      <c r="Y1377" s="23" t="str">
        <f aca="false">IF(AND(ISNUMBER(C1377),ISNUMBER(D1377)),D1377-C1377,"")</f>
        <v/>
      </c>
      <c r="Z1377" s="23" t="str">
        <f aca="false">IF(B1377="","",IF(MATCH(B1377,$B$2:$B$12000,0)=ROW()-1,1,0))</f>
        <v/>
      </c>
    </row>
    <row r="1378" customFormat="false" ht="15" hidden="false" customHeight="false" outlineLevel="0" collapsed="false">
      <c r="V1378" s="23" t="str">
        <f aca="false">IF(ISNUMBER(C1378),YEAR(C1378),"")</f>
        <v/>
      </c>
      <c r="W1378" s="23" t="str">
        <f aca="false">IF(ISNUMBER(C1378),MONTH(C1378),"")</f>
        <v/>
      </c>
      <c r="X1378" s="23" t="str">
        <f aca="false">IF(T1378="","",IF(T1378=0,"No discount",IF(T1378&lt;=0.2,"Low (1-20%)",IF(T1378&lt;=0.4,"Medium (21-40%)","High (&gt;40%)"))))</f>
        <v/>
      </c>
      <c r="Y1378" s="23" t="str">
        <f aca="false">IF(AND(ISNUMBER(C1378),ISNUMBER(D1378)),D1378-C1378,"")</f>
        <v/>
      </c>
      <c r="Z1378" s="23" t="str">
        <f aca="false">IF(B1378="","",IF(MATCH(B1378,$B$2:$B$12000,0)=ROW()-1,1,0))</f>
        <v/>
      </c>
    </row>
    <row r="1379" customFormat="false" ht="15" hidden="false" customHeight="false" outlineLevel="0" collapsed="false">
      <c r="V1379" s="23" t="str">
        <f aca="false">IF(ISNUMBER(C1379),YEAR(C1379),"")</f>
        <v/>
      </c>
      <c r="W1379" s="23" t="str">
        <f aca="false">IF(ISNUMBER(C1379),MONTH(C1379),"")</f>
        <v/>
      </c>
      <c r="X1379" s="23" t="str">
        <f aca="false">IF(T1379="","",IF(T1379=0,"No discount",IF(T1379&lt;=0.2,"Low (1-20%)",IF(T1379&lt;=0.4,"Medium (21-40%)","High (&gt;40%)"))))</f>
        <v/>
      </c>
      <c r="Y1379" s="23" t="str">
        <f aca="false">IF(AND(ISNUMBER(C1379),ISNUMBER(D1379)),D1379-C1379,"")</f>
        <v/>
      </c>
      <c r="Z1379" s="23" t="str">
        <f aca="false">IF(B1379="","",IF(MATCH(B1379,$B$2:$B$12000,0)=ROW()-1,1,0))</f>
        <v/>
      </c>
    </row>
    <row r="1380" customFormat="false" ht="15" hidden="false" customHeight="false" outlineLevel="0" collapsed="false">
      <c r="V1380" s="23" t="str">
        <f aca="false">IF(ISNUMBER(C1380),YEAR(C1380),"")</f>
        <v/>
      </c>
      <c r="W1380" s="23" t="str">
        <f aca="false">IF(ISNUMBER(C1380),MONTH(C1380),"")</f>
        <v/>
      </c>
      <c r="X1380" s="23" t="str">
        <f aca="false">IF(T1380="","",IF(T1380=0,"No discount",IF(T1380&lt;=0.2,"Low (1-20%)",IF(T1380&lt;=0.4,"Medium (21-40%)","High (&gt;40%)"))))</f>
        <v/>
      </c>
      <c r="Y1380" s="23" t="str">
        <f aca="false">IF(AND(ISNUMBER(C1380),ISNUMBER(D1380)),D1380-C1380,"")</f>
        <v/>
      </c>
      <c r="Z1380" s="23" t="str">
        <f aca="false">IF(B1380="","",IF(MATCH(B1380,$B$2:$B$12000,0)=ROW()-1,1,0))</f>
        <v/>
      </c>
    </row>
    <row r="1381" customFormat="false" ht="15" hidden="false" customHeight="false" outlineLevel="0" collapsed="false">
      <c r="V1381" s="23" t="str">
        <f aca="false">IF(ISNUMBER(C1381),YEAR(C1381),"")</f>
        <v/>
      </c>
      <c r="W1381" s="23" t="str">
        <f aca="false">IF(ISNUMBER(C1381),MONTH(C1381),"")</f>
        <v/>
      </c>
      <c r="X1381" s="23" t="str">
        <f aca="false">IF(T1381="","",IF(T1381=0,"No discount",IF(T1381&lt;=0.2,"Low (1-20%)",IF(T1381&lt;=0.4,"Medium (21-40%)","High (&gt;40%)"))))</f>
        <v/>
      </c>
      <c r="Y1381" s="23" t="str">
        <f aca="false">IF(AND(ISNUMBER(C1381),ISNUMBER(D1381)),D1381-C1381,"")</f>
        <v/>
      </c>
      <c r="Z1381" s="23" t="str">
        <f aca="false">IF(B1381="","",IF(MATCH(B1381,$B$2:$B$12000,0)=ROW()-1,1,0))</f>
        <v/>
      </c>
    </row>
    <row r="1382" customFormat="false" ht="15" hidden="false" customHeight="false" outlineLevel="0" collapsed="false">
      <c r="V1382" s="23" t="str">
        <f aca="false">IF(ISNUMBER(C1382),YEAR(C1382),"")</f>
        <v/>
      </c>
      <c r="W1382" s="23" t="str">
        <f aca="false">IF(ISNUMBER(C1382),MONTH(C1382),"")</f>
        <v/>
      </c>
      <c r="X1382" s="23" t="str">
        <f aca="false">IF(T1382="","",IF(T1382=0,"No discount",IF(T1382&lt;=0.2,"Low (1-20%)",IF(T1382&lt;=0.4,"Medium (21-40%)","High (&gt;40%)"))))</f>
        <v/>
      </c>
      <c r="Y1382" s="23" t="str">
        <f aca="false">IF(AND(ISNUMBER(C1382),ISNUMBER(D1382)),D1382-C1382,"")</f>
        <v/>
      </c>
      <c r="Z1382" s="23" t="str">
        <f aca="false">IF(B1382="","",IF(MATCH(B1382,$B$2:$B$12000,0)=ROW()-1,1,0))</f>
        <v/>
      </c>
    </row>
    <row r="1383" customFormat="false" ht="15" hidden="false" customHeight="false" outlineLevel="0" collapsed="false">
      <c r="V1383" s="23" t="str">
        <f aca="false">IF(ISNUMBER(C1383),YEAR(C1383),"")</f>
        <v/>
      </c>
      <c r="W1383" s="23" t="str">
        <f aca="false">IF(ISNUMBER(C1383),MONTH(C1383),"")</f>
        <v/>
      </c>
      <c r="X1383" s="23" t="str">
        <f aca="false">IF(T1383="","",IF(T1383=0,"No discount",IF(T1383&lt;=0.2,"Low (1-20%)",IF(T1383&lt;=0.4,"Medium (21-40%)","High (&gt;40%)"))))</f>
        <v/>
      </c>
      <c r="Y1383" s="23" t="str">
        <f aca="false">IF(AND(ISNUMBER(C1383),ISNUMBER(D1383)),D1383-C1383,"")</f>
        <v/>
      </c>
      <c r="Z1383" s="23" t="str">
        <f aca="false">IF(B1383="","",IF(MATCH(B1383,$B$2:$B$12000,0)=ROW()-1,1,0))</f>
        <v/>
      </c>
    </row>
    <row r="1384" customFormat="false" ht="15" hidden="false" customHeight="false" outlineLevel="0" collapsed="false">
      <c r="V1384" s="23" t="str">
        <f aca="false">IF(ISNUMBER(C1384),YEAR(C1384),"")</f>
        <v/>
      </c>
      <c r="W1384" s="23" t="str">
        <f aca="false">IF(ISNUMBER(C1384),MONTH(C1384),"")</f>
        <v/>
      </c>
      <c r="X1384" s="23" t="str">
        <f aca="false">IF(T1384="","",IF(T1384=0,"No discount",IF(T1384&lt;=0.2,"Low (1-20%)",IF(T1384&lt;=0.4,"Medium (21-40%)","High (&gt;40%)"))))</f>
        <v/>
      </c>
      <c r="Y1384" s="23" t="str">
        <f aca="false">IF(AND(ISNUMBER(C1384),ISNUMBER(D1384)),D1384-C1384,"")</f>
        <v/>
      </c>
      <c r="Z1384" s="23" t="str">
        <f aca="false">IF(B1384="","",IF(MATCH(B1384,$B$2:$B$12000,0)=ROW()-1,1,0))</f>
        <v/>
      </c>
    </row>
    <row r="1385" customFormat="false" ht="15" hidden="false" customHeight="false" outlineLevel="0" collapsed="false">
      <c r="V1385" s="23" t="str">
        <f aca="false">IF(ISNUMBER(C1385),YEAR(C1385),"")</f>
        <v/>
      </c>
      <c r="W1385" s="23" t="str">
        <f aca="false">IF(ISNUMBER(C1385),MONTH(C1385),"")</f>
        <v/>
      </c>
      <c r="X1385" s="23" t="str">
        <f aca="false">IF(T1385="","",IF(T1385=0,"No discount",IF(T1385&lt;=0.2,"Low (1-20%)",IF(T1385&lt;=0.4,"Medium (21-40%)","High (&gt;40%)"))))</f>
        <v/>
      </c>
      <c r="Y1385" s="23" t="str">
        <f aca="false">IF(AND(ISNUMBER(C1385),ISNUMBER(D1385)),D1385-C1385,"")</f>
        <v/>
      </c>
      <c r="Z1385" s="23" t="str">
        <f aca="false">IF(B1385="","",IF(MATCH(B1385,$B$2:$B$12000,0)=ROW()-1,1,0))</f>
        <v/>
      </c>
    </row>
    <row r="1386" customFormat="false" ht="15" hidden="false" customHeight="false" outlineLevel="0" collapsed="false">
      <c r="V1386" s="23" t="str">
        <f aca="false">IF(ISNUMBER(C1386),YEAR(C1386),"")</f>
        <v/>
      </c>
      <c r="W1386" s="23" t="str">
        <f aca="false">IF(ISNUMBER(C1386),MONTH(C1386),"")</f>
        <v/>
      </c>
      <c r="X1386" s="23" t="str">
        <f aca="false">IF(T1386="","",IF(T1386=0,"No discount",IF(T1386&lt;=0.2,"Low (1-20%)",IF(T1386&lt;=0.4,"Medium (21-40%)","High (&gt;40%)"))))</f>
        <v/>
      </c>
      <c r="Y1386" s="23" t="str">
        <f aca="false">IF(AND(ISNUMBER(C1386),ISNUMBER(D1386)),D1386-C1386,"")</f>
        <v/>
      </c>
      <c r="Z1386" s="23" t="str">
        <f aca="false">IF(B1386="","",IF(MATCH(B1386,$B$2:$B$12000,0)=ROW()-1,1,0))</f>
        <v/>
      </c>
    </row>
    <row r="1387" customFormat="false" ht="15" hidden="false" customHeight="false" outlineLevel="0" collapsed="false">
      <c r="V1387" s="23" t="str">
        <f aca="false">IF(ISNUMBER(C1387),YEAR(C1387),"")</f>
        <v/>
      </c>
      <c r="W1387" s="23" t="str">
        <f aca="false">IF(ISNUMBER(C1387),MONTH(C1387),"")</f>
        <v/>
      </c>
      <c r="X1387" s="23" t="str">
        <f aca="false">IF(T1387="","",IF(T1387=0,"No discount",IF(T1387&lt;=0.2,"Low (1-20%)",IF(T1387&lt;=0.4,"Medium (21-40%)","High (&gt;40%)"))))</f>
        <v/>
      </c>
      <c r="Y1387" s="23" t="str">
        <f aca="false">IF(AND(ISNUMBER(C1387),ISNUMBER(D1387)),D1387-C1387,"")</f>
        <v/>
      </c>
      <c r="Z1387" s="23" t="str">
        <f aca="false">IF(B1387="","",IF(MATCH(B1387,$B$2:$B$12000,0)=ROW()-1,1,0))</f>
        <v/>
      </c>
    </row>
    <row r="1388" customFormat="false" ht="15" hidden="false" customHeight="false" outlineLevel="0" collapsed="false">
      <c r="V1388" s="23" t="str">
        <f aca="false">IF(ISNUMBER(C1388),YEAR(C1388),"")</f>
        <v/>
      </c>
      <c r="W1388" s="23" t="str">
        <f aca="false">IF(ISNUMBER(C1388),MONTH(C1388),"")</f>
        <v/>
      </c>
      <c r="X1388" s="23" t="str">
        <f aca="false">IF(T1388="","",IF(T1388=0,"No discount",IF(T1388&lt;=0.2,"Low (1-20%)",IF(T1388&lt;=0.4,"Medium (21-40%)","High (&gt;40%)"))))</f>
        <v/>
      </c>
      <c r="Y1388" s="23" t="str">
        <f aca="false">IF(AND(ISNUMBER(C1388),ISNUMBER(D1388)),D1388-C1388,"")</f>
        <v/>
      </c>
      <c r="Z1388" s="23" t="str">
        <f aca="false">IF(B1388="","",IF(MATCH(B1388,$B$2:$B$12000,0)=ROW()-1,1,0))</f>
        <v/>
      </c>
    </row>
    <row r="1389" customFormat="false" ht="15" hidden="false" customHeight="false" outlineLevel="0" collapsed="false">
      <c r="V1389" s="23" t="str">
        <f aca="false">IF(ISNUMBER(C1389),YEAR(C1389),"")</f>
        <v/>
      </c>
      <c r="W1389" s="23" t="str">
        <f aca="false">IF(ISNUMBER(C1389),MONTH(C1389),"")</f>
        <v/>
      </c>
      <c r="X1389" s="23" t="str">
        <f aca="false">IF(T1389="","",IF(T1389=0,"No discount",IF(T1389&lt;=0.2,"Low (1-20%)",IF(T1389&lt;=0.4,"Medium (21-40%)","High (&gt;40%)"))))</f>
        <v/>
      </c>
      <c r="Y1389" s="23" t="str">
        <f aca="false">IF(AND(ISNUMBER(C1389),ISNUMBER(D1389)),D1389-C1389,"")</f>
        <v/>
      </c>
      <c r="Z1389" s="23" t="str">
        <f aca="false">IF(B1389="","",IF(MATCH(B1389,$B$2:$B$12000,0)=ROW()-1,1,0))</f>
        <v/>
      </c>
    </row>
    <row r="1390" customFormat="false" ht="15" hidden="false" customHeight="false" outlineLevel="0" collapsed="false">
      <c r="V1390" s="23" t="str">
        <f aca="false">IF(ISNUMBER(C1390),YEAR(C1390),"")</f>
        <v/>
      </c>
      <c r="W1390" s="23" t="str">
        <f aca="false">IF(ISNUMBER(C1390),MONTH(C1390),"")</f>
        <v/>
      </c>
      <c r="X1390" s="23" t="str">
        <f aca="false">IF(T1390="","",IF(T1390=0,"No discount",IF(T1390&lt;=0.2,"Low (1-20%)",IF(T1390&lt;=0.4,"Medium (21-40%)","High (&gt;40%)"))))</f>
        <v/>
      </c>
      <c r="Y1390" s="23" t="str">
        <f aca="false">IF(AND(ISNUMBER(C1390),ISNUMBER(D1390)),D1390-C1390,"")</f>
        <v/>
      </c>
      <c r="Z1390" s="23" t="str">
        <f aca="false">IF(B1390="","",IF(MATCH(B1390,$B$2:$B$12000,0)=ROW()-1,1,0))</f>
        <v/>
      </c>
    </row>
    <row r="1391" customFormat="false" ht="15" hidden="false" customHeight="false" outlineLevel="0" collapsed="false">
      <c r="V1391" s="23" t="str">
        <f aca="false">IF(ISNUMBER(C1391),YEAR(C1391),"")</f>
        <v/>
      </c>
      <c r="W1391" s="23" t="str">
        <f aca="false">IF(ISNUMBER(C1391),MONTH(C1391),"")</f>
        <v/>
      </c>
      <c r="X1391" s="23" t="str">
        <f aca="false">IF(T1391="","",IF(T1391=0,"No discount",IF(T1391&lt;=0.2,"Low (1-20%)",IF(T1391&lt;=0.4,"Medium (21-40%)","High (&gt;40%)"))))</f>
        <v/>
      </c>
      <c r="Y1391" s="23" t="str">
        <f aca="false">IF(AND(ISNUMBER(C1391),ISNUMBER(D1391)),D1391-C1391,"")</f>
        <v/>
      </c>
      <c r="Z1391" s="23" t="str">
        <f aca="false">IF(B1391="","",IF(MATCH(B1391,$B$2:$B$12000,0)=ROW()-1,1,0))</f>
        <v/>
      </c>
    </row>
    <row r="1392" customFormat="false" ht="15" hidden="false" customHeight="false" outlineLevel="0" collapsed="false">
      <c r="V1392" s="23" t="str">
        <f aca="false">IF(ISNUMBER(C1392),YEAR(C1392),"")</f>
        <v/>
      </c>
      <c r="W1392" s="23" t="str">
        <f aca="false">IF(ISNUMBER(C1392),MONTH(C1392),"")</f>
        <v/>
      </c>
      <c r="X1392" s="23" t="str">
        <f aca="false">IF(T1392="","",IF(T1392=0,"No discount",IF(T1392&lt;=0.2,"Low (1-20%)",IF(T1392&lt;=0.4,"Medium (21-40%)","High (&gt;40%)"))))</f>
        <v/>
      </c>
      <c r="Y1392" s="23" t="str">
        <f aca="false">IF(AND(ISNUMBER(C1392),ISNUMBER(D1392)),D1392-C1392,"")</f>
        <v/>
      </c>
      <c r="Z1392" s="23" t="str">
        <f aca="false">IF(B1392="","",IF(MATCH(B1392,$B$2:$B$12000,0)=ROW()-1,1,0))</f>
        <v/>
      </c>
    </row>
    <row r="1393" customFormat="false" ht="15" hidden="false" customHeight="false" outlineLevel="0" collapsed="false">
      <c r="V1393" s="23" t="str">
        <f aca="false">IF(ISNUMBER(C1393),YEAR(C1393),"")</f>
        <v/>
      </c>
      <c r="W1393" s="23" t="str">
        <f aca="false">IF(ISNUMBER(C1393),MONTH(C1393),"")</f>
        <v/>
      </c>
      <c r="X1393" s="23" t="str">
        <f aca="false">IF(T1393="","",IF(T1393=0,"No discount",IF(T1393&lt;=0.2,"Low (1-20%)",IF(T1393&lt;=0.4,"Medium (21-40%)","High (&gt;40%)"))))</f>
        <v/>
      </c>
      <c r="Y1393" s="23" t="str">
        <f aca="false">IF(AND(ISNUMBER(C1393),ISNUMBER(D1393)),D1393-C1393,"")</f>
        <v/>
      </c>
      <c r="Z1393" s="23" t="str">
        <f aca="false">IF(B1393="","",IF(MATCH(B1393,$B$2:$B$12000,0)=ROW()-1,1,0))</f>
        <v/>
      </c>
    </row>
    <row r="1394" customFormat="false" ht="15" hidden="false" customHeight="false" outlineLevel="0" collapsed="false">
      <c r="V1394" s="23" t="str">
        <f aca="false">IF(ISNUMBER(C1394),YEAR(C1394),"")</f>
        <v/>
      </c>
      <c r="W1394" s="23" t="str">
        <f aca="false">IF(ISNUMBER(C1394),MONTH(C1394),"")</f>
        <v/>
      </c>
      <c r="X1394" s="23" t="str">
        <f aca="false">IF(T1394="","",IF(T1394=0,"No discount",IF(T1394&lt;=0.2,"Low (1-20%)",IF(T1394&lt;=0.4,"Medium (21-40%)","High (&gt;40%)"))))</f>
        <v/>
      </c>
      <c r="Y1394" s="23" t="str">
        <f aca="false">IF(AND(ISNUMBER(C1394),ISNUMBER(D1394)),D1394-C1394,"")</f>
        <v/>
      </c>
      <c r="Z1394" s="23" t="str">
        <f aca="false">IF(B1394="","",IF(MATCH(B1394,$B$2:$B$12000,0)=ROW()-1,1,0))</f>
        <v/>
      </c>
    </row>
    <row r="1395" customFormat="false" ht="15" hidden="false" customHeight="false" outlineLevel="0" collapsed="false">
      <c r="V1395" s="23" t="str">
        <f aca="false">IF(ISNUMBER(C1395),YEAR(C1395),"")</f>
        <v/>
      </c>
      <c r="W1395" s="23" t="str">
        <f aca="false">IF(ISNUMBER(C1395),MONTH(C1395),"")</f>
        <v/>
      </c>
      <c r="X1395" s="23" t="str">
        <f aca="false">IF(T1395="","",IF(T1395=0,"No discount",IF(T1395&lt;=0.2,"Low (1-20%)",IF(T1395&lt;=0.4,"Medium (21-40%)","High (&gt;40%)"))))</f>
        <v/>
      </c>
      <c r="Y1395" s="23" t="str">
        <f aca="false">IF(AND(ISNUMBER(C1395),ISNUMBER(D1395)),D1395-C1395,"")</f>
        <v/>
      </c>
      <c r="Z1395" s="23" t="str">
        <f aca="false">IF(B1395="","",IF(MATCH(B1395,$B$2:$B$12000,0)=ROW()-1,1,0))</f>
        <v/>
      </c>
    </row>
    <row r="1396" customFormat="false" ht="15" hidden="false" customHeight="false" outlineLevel="0" collapsed="false">
      <c r="V1396" s="23" t="str">
        <f aca="false">IF(ISNUMBER(C1396),YEAR(C1396),"")</f>
        <v/>
      </c>
      <c r="W1396" s="23" t="str">
        <f aca="false">IF(ISNUMBER(C1396),MONTH(C1396),"")</f>
        <v/>
      </c>
      <c r="X1396" s="23" t="str">
        <f aca="false">IF(T1396="","",IF(T1396=0,"No discount",IF(T1396&lt;=0.2,"Low (1-20%)",IF(T1396&lt;=0.4,"Medium (21-40%)","High (&gt;40%)"))))</f>
        <v/>
      </c>
      <c r="Y1396" s="23" t="str">
        <f aca="false">IF(AND(ISNUMBER(C1396),ISNUMBER(D1396)),D1396-C1396,"")</f>
        <v/>
      </c>
      <c r="Z1396" s="23" t="str">
        <f aca="false">IF(B1396="","",IF(MATCH(B1396,$B$2:$B$12000,0)=ROW()-1,1,0))</f>
        <v/>
      </c>
    </row>
    <row r="1397" customFormat="false" ht="15" hidden="false" customHeight="false" outlineLevel="0" collapsed="false">
      <c r="V1397" s="23" t="str">
        <f aca="false">IF(ISNUMBER(C1397),YEAR(C1397),"")</f>
        <v/>
      </c>
      <c r="W1397" s="23" t="str">
        <f aca="false">IF(ISNUMBER(C1397),MONTH(C1397),"")</f>
        <v/>
      </c>
      <c r="X1397" s="23" t="str">
        <f aca="false">IF(T1397="","",IF(T1397=0,"No discount",IF(T1397&lt;=0.2,"Low (1-20%)",IF(T1397&lt;=0.4,"Medium (21-40%)","High (&gt;40%)"))))</f>
        <v/>
      </c>
      <c r="Y1397" s="23" t="str">
        <f aca="false">IF(AND(ISNUMBER(C1397),ISNUMBER(D1397)),D1397-C1397,"")</f>
        <v/>
      </c>
      <c r="Z1397" s="23" t="str">
        <f aca="false">IF(B1397="","",IF(MATCH(B1397,$B$2:$B$12000,0)=ROW()-1,1,0))</f>
        <v/>
      </c>
    </row>
    <row r="1398" customFormat="false" ht="15" hidden="false" customHeight="false" outlineLevel="0" collapsed="false">
      <c r="V1398" s="23" t="str">
        <f aca="false">IF(ISNUMBER(C1398),YEAR(C1398),"")</f>
        <v/>
      </c>
      <c r="W1398" s="23" t="str">
        <f aca="false">IF(ISNUMBER(C1398),MONTH(C1398),"")</f>
        <v/>
      </c>
      <c r="X1398" s="23" t="str">
        <f aca="false">IF(T1398="","",IF(T1398=0,"No discount",IF(T1398&lt;=0.2,"Low (1-20%)",IF(T1398&lt;=0.4,"Medium (21-40%)","High (&gt;40%)"))))</f>
        <v/>
      </c>
      <c r="Y1398" s="23" t="str">
        <f aca="false">IF(AND(ISNUMBER(C1398),ISNUMBER(D1398)),D1398-C1398,"")</f>
        <v/>
      </c>
      <c r="Z1398" s="23" t="str">
        <f aca="false">IF(B1398="","",IF(MATCH(B1398,$B$2:$B$12000,0)=ROW()-1,1,0))</f>
        <v/>
      </c>
    </row>
    <row r="1399" customFormat="false" ht="15" hidden="false" customHeight="false" outlineLevel="0" collapsed="false">
      <c r="V1399" s="23" t="str">
        <f aca="false">IF(ISNUMBER(C1399),YEAR(C1399),"")</f>
        <v/>
      </c>
      <c r="W1399" s="23" t="str">
        <f aca="false">IF(ISNUMBER(C1399),MONTH(C1399),"")</f>
        <v/>
      </c>
      <c r="X1399" s="23" t="str">
        <f aca="false">IF(T1399="","",IF(T1399=0,"No discount",IF(T1399&lt;=0.2,"Low (1-20%)",IF(T1399&lt;=0.4,"Medium (21-40%)","High (&gt;40%)"))))</f>
        <v/>
      </c>
      <c r="Y1399" s="23" t="str">
        <f aca="false">IF(AND(ISNUMBER(C1399),ISNUMBER(D1399)),D1399-C1399,"")</f>
        <v/>
      </c>
      <c r="Z1399" s="23" t="str">
        <f aca="false">IF(B1399="","",IF(MATCH(B1399,$B$2:$B$12000,0)=ROW()-1,1,0))</f>
        <v/>
      </c>
    </row>
    <row r="1400" customFormat="false" ht="15" hidden="false" customHeight="false" outlineLevel="0" collapsed="false">
      <c r="V1400" s="23" t="str">
        <f aca="false">IF(ISNUMBER(C1400),YEAR(C1400),"")</f>
        <v/>
      </c>
      <c r="W1400" s="23" t="str">
        <f aca="false">IF(ISNUMBER(C1400),MONTH(C1400),"")</f>
        <v/>
      </c>
      <c r="X1400" s="23" t="str">
        <f aca="false">IF(T1400="","",IF(T1400=0,"No discount",IF(T1400&lt;=0.2,"Low (1-20%)",IF(T1400&lt;=0.4,"Medium (21-40%)","High (&gt;40%)"))))</f>
        <v/>
      </c>
      <c r="Y1400" s="23" t="str">
        <f aca="false">IF(AND(ISNUMBER(C1400),ISNUMBER(D1400)),D1400-C1400,"")</f>
        <v/>
      </c>
      <c r="Z1400" s="23" t="str">
        <f aca="false">IF(B1400="","",IF(MATCH(B1400,$B$2:$B$12000,0)=ROW()-1,1,0))</f>
        <v/>
      </c>
    </row>
    <row r="1401" customFormat="false" ht="15" hidden="false" customHeight="false" outlineLevel="0" collapsed="false">
      <c r="V1401" s="23" t="str">
        <f aca="false">IF(ISNUMBER(C1401),YEAR(C1401),"")</f>
        <v/>
      </c>
      <c r="W1401" s="23" t="str">
        <f aca="false">IF(ISNUMBER(C1401),MONTH(C1401),"")</f>
        <v/>
      </c>
      <c r="X1401" s="23" t="str">
        <f aca="false">IF(T1401="","",IF(T1401=0,"No discount",IF(T1401&lt;=0.2,"Low (1-20%)",IF(T1401&lt;=0.4,"Medium (21-40%)","High (&gt;40%)"))))</f>
        <v/>
      </c>
      <c r="Y1401" s="23" t="str">
        <f aca="false">IF(AND(ISNUMBER(C1401),ISNUMBER(D1401)),D1401-C1401,"")</f>
        <v/>
      </c>
      <c r="Z1401" s="23" t="str">
        <f aca="false">IF(B1401="","",IF(MATCH(B1401,$B$2:$B$12000,0)=ROW()-1,1,0))</f>
        <v/>
      </c>
    </row>
    <row r="1402" customFormat="false" ht="15" hidden="false" customHeight="false" outlineLevel="0" collapsed="false">
      <c r="V1402" s="23" t="str">
        <f aca="false">IF(ISNUMBER(C1402),YEAR(C1402),"")</f>
        <v/>
      </c>
      <c r="W1402" s="23" t="str">
        <f aca="false">IF(ISNUMBER(C1402),MONTH(C1402),"")</f>
        <v/>
      </c>
      <c r="X1402" s="23" t="str">
        <f aca="false">IF(T1402="","",IF(T1402=0,"No discount",IF(T1402&lt;=0.2,"Low (1-20%)",IF(T1402&lt;=0.4,"Medium (21-40%)","High (&gt;40%)"))))</f>
        <v/>
      </c>
      <c r="Y1402" s="23" t="str">
        <f aca="false">IF(AND(ISNUMBER(C1402),ISNUMBER(D1402)),D1402-C1402,"")</f>
        <v/>
      </c>
      <c r="Z1402" s="23" t="str">
        <f aca="false">IF(B1402="","",IF(MATCH(B1402,$B$2:$B$12000,0)=ROW()-1,1,0))</f>
        <v/>
      </c>
    </row>
    <row r="1403" customFormat="false" ht="15" hidden="false" customHeight="false" outlineLevel="0" collapsed="false">
      <c r="V1403" s="23" t="str">
        <f aca="false">IF(ISNUMBER(C1403),YEAR(C1403),"")</f>
        <v/>
      </c>
      <c r="W1403" s="23" t="str">
        <f aca="false">IF(ISNUMBER(C1403),MONTH(C1403),"")</f>
        <v/>
      </c>
      <c r="X1403" s="23" t="str">
        <f aca="false">IF(T1403="","",IF(T1403=0,"No discount",IF(T1403&lt;=0.2,"Low (1-20%)",IF(T1403&lt;=0.4,"Medium (21-40%)","High (&gt;40%)"))))</f>
        <v/>
      </c>
      <c r="Y1403" s="23" t="str">
        <f aca="false">IF(AND(ISNUMBER(C1403),ISNUMBER(D1403)),D1403-C1403,"")</f>
        <v/>
      </c>
      <c r="Z1403" s="23" t="str">
        <f aca="false">IF(B1403="","",IF(MATCH(B1403,$B$2:$B$12000,0)=ROW()-1,1,0))</f>
        <v/>
      </c>
    </row>
    <row r="1404" customFormat="false" ht="15" hidden="false" customHeight="false" outlineLevel="0" collapsed="false">
      <c r="V1404" s="23" t="str">
        <f aca="false">IF(ISNUMBER(C1404),YEAR(C1404),"")</f>
        <v/>
      </c>
      <c r="W1404" s="23" t="str">
        <f aca="false">IF(ISNUMBER(C1404),MONTH(C1404),"")</f>
        <v/>
      </c>
      <c r="X1404" s="23" t="str">
        <f aca="false">IF(T1404="","",IF(T1404=0,"No discount",IF(T1404&lt;=0.2,"Low (1-20%)",IF(T1404&lt;=0.4,"Medium (21-40%)","High (&gt;40%)"))))</f>
        <v/>
      </c>
      <c r="Y1404" s="23" t="str">
        <f aca="false">IF(AND(ISNUMBER(C1404),ISNUMBER(D1404)),D1404-C1404,"")</f>
        <v/>
      </c>
      <c r="Z1404" s="23" t="str">
        <f aca="false">IF(B1404="","",IF(MATCH(B1404,$B$2:$B$12000,0)=ROW()-1,1,0))</f>
        <v/>
      </c>
    </row>
    <row r="1405" customFormat="false" ht="15" hidden="false" customHeight="false" outlineLevel="0" collapsed="false">
      <c r="V1405" s="23" t="str">
        <f aca="false">IF(ISNUMBER(C1405),YEAR(C1405),"")</f>
        <v/>
      </c>
      <c r="W1405" s="23" t="str">
        <f aca="false">IF(ISNUMBER(C1405),MONTH(C1405),"")</f>
        <v/>
      </c>
      <c r="X1405" s="23" t="str">
        <f aca="false">IF(T1405="","",IF(T1405=0,"No discount",IF(T1405&lt;=0.2,"Low (1-20%)",IF(T1405&lt;=0.4,"Medium (21-40%)","High (&gt;40%)"))))</f>
        <v/>
      </c>
      <c r="Y1405" s="23" t="str">
        <f aca="false">IF(AND(ISNUMBER(C1405),ISNUMBER(D1405)),D1405-C1405,"")</f>
        <v/>
      </c>
      <c r="Z1405" s="23" t="str">
        <f aca="false">IF(B1405="","",IF(MATCH(B1405,$B$2:$B$12000,0)=ROW()-1,1,0))</f>
        <v/>
      </c>
    </row>
    <row r="1406" customFormat="false" ht="15" hidden="false" customHeight="false" outlineLevel="0" collapsed="false">
      <c r="V1406" s="23" t="str">
        <f aca="false">IF(ISNUMBER(C1406),YEAR(C1406),"")</f>
        <v/>
      </c>
      <c r="W1406" s="23" t="str">
        <f aca="false">IF(ISNUMBER(C1406),MONTH(C1406),"")</f>
        <v/>
      </c>
      <c r="X1406" s="23" t="str">
        <f aca="false">IF(T1406="","",IF(T1406=0,"No discount",IF(T1406&lt;=0.2,"Low (1-20%)",IF(T1406&lt;=0.4,"Medium (21-40%)","High (&gt;40%)"))))</f>
        <v/>
      </c>
      <c r="Y1406" s="23" t="str">
        <f aca="false">IF(AND(ISNUMBER(C1406),ISNUMBER(D1406)),D1406-C1406,"")</f>
        <v/>
      </c>
      <c r="Z1406" s="23" t="str">
        <f aca="false">IF(B1406="","",IF(MATCH(B1406,$B$2:$B$12000,0)=ROW()-1,1,0))</f>
        <v/>
      </c>
    </row>
    <row r="1407" customFormat="false" ht="15" hidden="false" customHeight="false" outlineLevel="0" collapsed="false">
      <c r="V1407" s="23" t="str">
        <f aca="false">IF(ISNUMBER(C1407),YEAR(C1407),"")</f>
        <v/>
      </c>
      <c r="W1407" s="23" t="str">
        <f aca="false">IF(ISNUMBER(C1407),MONTH(C1407),"")</f>
        <v/>
      </c>
      <c r="X1407" s="23" t="str">
        <f aca="false">IF(T1407="","",IF(T1407=0,"No discount",IF(T1407&lt;=0.2,"Low (1-20%)",IF(T1407&lt;=0.4,"Medium (21-40%)","High (&gt;40%)"))))</f>
        <v/>
      </c>
      <c r="Y1407" s="23" t="str">
        <f aca="false">IF(AND(ISNUMBER(C1407),ISNUMBER(D1407)),D1407-C1407,"")</f>
        <v/>
      </c>
      <c r="Z1407" s="23" t="str">
        <f aca="false">IF(B1407="","",IF(MATCH(B1407,$B$2:$B$12000,0)=ROW()-1,1,0))</f>
        <v/>
      </c>
    </row>
    <row r="1408" customFormat="false" ht="15" hidden="false" customHeight="false" outlineLevel="0" collapsed="false">
      <c r="V1408" s="23" t="str">
        <f aca="false">IF(ISNUMBER(C1408),YEAR(C1408),"")</f>
        <v/>
      </c>
      <c r="W1408" s="23" t="str">
        <f aca="false">IF(ISNUMBER(C1408),MONTH(C1408),"")</f>
        <v/>
      </c>
      <c r="X1408" s="23" t="str">
        <f aca="false">IF(T1408="","",IF(T1408=0,"No discount",IF(T1408&lt;=0.2,"Low (1-20%)",IF(T1408&lt;=0.4,"Medium (21-40%)","High (&gt;40%)"))))</f>
        <v/>
      </c>
      <c r="Y1408" s="23" t="str">
        <f aca="false">IF(AND(ISNUMBER(C1408),ISNUMBER(D1408)),D1408-C1408,"")</f>
        <v/>
      </c>
      <c r="Z1408" s="23" t="str">
        <f aca="false">IF(B1408="","",IF(MATCH(B1408,$B$2:$B$12000,0)=ROW()-1,1,0))</f>
        <v/>
      </c>
    </row>
    <row r="1409" customFormat="false" ht="15" hidden="false" customHeight="false" outlineLevel="0" collapsed="false">
      <c r="V1409" s="23" t="str">
        <f aca="false">IF(ISNUMBER(C1409),YEAR(C1409),"")</f>
        <v/>
      </c>
      <c r="W1409" s="23" t="str">
        <f aca="false">IF(ISNUMBER(C1409),MONTH(C1409),"")</f>
        <v/>
      </c>
      <c r="X1409" s="23" t="str">
        <f aca="false">IF(T1409="","",IF(T1409=0,"No discount",IF(T1409&lt;=0.2,"Low (1-20%)",IF(T1409&lt;=0.4,"Medium (21-40%)","High (&gt;40%)"))))</f>
        <v/>
      </c>
      <c r="Y1409" s="23" t="str">
        <f aca="false">IF(AND(ISNUMBER(C1409),ISNUMBER(D1409)),D1409-C1409,"")</f>
        <v/>
      </c>
      <c r="Z1409" s="23" t="str">
        <f aca="false">IF(B1409="","",IF(MATCH(B1409,$B$2:$B$12000,0)=ROW()-1,1,0))</f>
        <v/>
      </c>
    </row>
    <row r="1410" customFormat="false" ht="15" hidden="false" customHeight="false" outlineLevel="0" collapsed="false">
      <c r="V1410" s="23" t="str">
        <f aca="false">IF(ISNUMBER(C1410),YEAR(C1410),"")</f>
        <v/>
      </c>
      <c r="W1410" s="23" t="str">
        <f aca="false">IF(ISNUMBER(C1410),MONTH(C1410),"")</f>
        <v/>
      </c>
      <c r="X1410" s="23" t="str">
        <f aca="false">IF(T1410="","",IF(T1410=0,"No discount",IF(T1410&lt;=0.2,"Low (1-20%)",IF(T1410&lt;=0.4,"Medium (21-40%)","High (&gt;40%)"))))</f>
        <v/>
      </c>
      <c r="Y1410" s="23" t="str">
        <f aca="false">IF(AND(ISNUMBER(C1410),ISNUMBER(D1410)),D1410-C1410,"")</f>
        <v/>
      </c>
      <c r="Z1410" s="23" t="str">
        <f aca="false">IF(B1410="","",IF(MATCH(B1410,$B$2:$B$12000,0)=ROW()-1,1,0))</f>
        <v/>
      </c>
    </row>
    <row r="1411" customFormat="false" ht="15" hidden="false" customHeight="false" outlineLevel="0" collapsed="false">
      <c r="V1411" s="23" t="str">
        <f aca="false">IF(ISNUMBER(C1411),YEAR(C1411),"")</f>
        <v/>
      </c>
      <c r="W1411" s="23" t="str">
        <f aca="false">IF(ISNUMBER(C1411),MONTH(C1411),"")</f>
        <v/>
      </c>
      <c r="X1411" s="23" t="str">
        <f aca="false">IF(T1411="","",IF(T1411=0,"No discount",IF(T1411&lt;=0.2,"Low (1-20%)",IF(T1411&lt;=0.4,"Medium (21-40%)","High (&gt;40%)"))))</f>
        <v/>
      </c>
      <c r="Y1411" s="23" t="str">
        <f aca="false">IF(AND(ISNUMBER(C1411),ISNUMBER(D1411)),D1411-C1411,"")</f>
        <v/>
      </c>
      <c r="Z1411" s="23" t="str">
        <f aca="false">IF(B1411="","",IF(MATCH(B1411,$B$2:$B$12000,0)=ROW()-1,1,0))</f>
        <v/>
      </c>
    </row>
    <row r="1412" customFormat="false" ht="15" hidden="false" customHeight="false" outlineLevel="0" collapsed="false">
      <c r="V1412" s="23" t="str">
        <f aca="false">IF(ISNUMBER(C1412),YEAR(C1412),"")</f>
        <v/>
      </c>
      <c r="W1412" s="23" t="str">
        <f aca="false">IF(ISNUMBER(C1412),MONTH(C1412),"")</f>
        <v/>
      </c>
      <c r="X1412" s="23" t="str">
        <f aca="false">IF(T1412="","",IF(T1412=0,"No discount",IF(T1412&lt;=0.2,"Low (1-20%)",IF(T1412&lt;=0.4,"Medium (21-40%)","High (&gt;40%)"))))</f>
        <v/>
      </c>
      <c r="Y1412" s="23" t="str">
        <f aca="false">IF(AND(ISNUMBER(C1412),ISNUMBER(D1412)),D1412-C1412,"")</f>
        <v/>
      </c>
      <c r="Z1412" s="23" t="str">
        <f aca="false">IF(B1412="","",IF(MATCH(B1412,$B$2:$B$12000,0)=ROW()-1,1,0))</f>
        <v/>
      </c>
    </row>
    <row r="1413" customFormat="false" ht="15" hidden="false" customHeight="false" outlineLevel="0" collapsed="false">
      <c r="V1413" s="23" t="str">
        <f aca="false">IF(ISNUMBER(C1413),YEAR(C1413),"")</f>
        <v/>
      </c>
      <c r="W1413" s="23" t="str">
        <f aca="false">IF(ISNUMBER(C1413),MONTH(C1413),"")</f>
        <v/>
      </c>
      <c r="X1413" s="23" t="str">
        <f aca="false">IF(T1413="","",IF(T1413=0,"No discount",IF(T1413&lt;=0.2,"Low (1-20%)",IF(T1413&lt;=0.4,"Medium (21-40%)","High (&gt;40%)"))))</f>
        <v/>
      </c>
      <c r="Y1413" s="23" t="str">
        <f aca="false">IF(AND(ISNUMBER(C1413),ISNUMBER(D1413)),D1413-C1413,"")</f>
        <v/>
      </c>
      <c r="Z1413" s="23" t="str">
        <f aca="false">IF(B1413="","",IF(MATCH(B1413,$B$2:$B$12000,0)=ROW()-1,1,0))</f>
        <v/>
      </c>
    </row>
    <row r="1414" customFormat="false" ht="15" hidden="false" customHeight="false" outlineLevel="0" collapsed="false">
      <c r="V1414" s="23" t="str">
        <f aca="false">IF(ISNUMBER(C1414),YEAR(C1414),"")</f>
        <v/>
      </c>
      <c r="W1414" s="23" t="str">
        <f aca="false">IF(ISNUMBER(C1414),MONTH(C1414),"")</f>
        <v/>
      </c>
      <c r="X1414" s="23" t="str">
        <f aca="false">IF(T1414="","",IF(T1414=0,"No discount",IF(T1414&lt;=0.2,"Low (1-20%)",IF(T1414&lt;=0.4,"Medium (21-40%)","High (&gt;40%)"))))</f>
        <v/>
      </c>
      <c r="Y1414" s="23" t="str">
        <f aca="false">IF(AND(ISNUMBER(C1414),ISNUMBER(D1414)),D1414-C1414,"")</f>
        <v/>
      </c>
      <c r="Z1414" s="23" t="str">
        <f aca="false">IF(B1414="","",IF(MATCH(B1414,$B$2:$B$12000,0)=ROW()-1,1,0))</f>
        <v/>
      </c>
    </row>
    <row r="1415" customFormat="false" ht="15" hidden="false" customHeight="false" outlineLevel="0" collapsed="false">
      <c r="V1415" s="23" t="str">
        <f aca="false">IF(ISNUMBER(C1415),YEAR(C1415),"")</f>
        <v/>
      </c>
      <c r="W1415" s="23" t="str">
        <f aca="false">IF(ISNUMBER(C1415),MONTH(C1415),"")</f>
        <v/>
      </c>
      <c r="X1415" s="23" t="str">
        <f aca="false">IF(T1415="","",IF(T1415=0,"No discount",IF(T1415&lt;=0.2,"Low (1-20%)",IF(T1415&lt;=0.4,"Medium (21-40%)","High (&gt;40%)"))))</f>
        <v/>
      </c>
      <c r="Y1415" s="23" t="str">
        <f aca="false">IF(AND(ISNUMBER(C1415),ISNUMBER(D1415)),D1415-C1415,"")</f>
        <v/>
      </c>
      <c r="Z1415" s="23" t="str">
        <f aca="false">IF(B1415="","",IF(MATCH(B1415,$B$2:$B$12000,0)=ROW()-1,1,0))</f>
        <v/>
      </c>
    </row>
    <row r="1416" customFormat="false" ht="15" hidden="false" customHeight="false" outlineLevel="0" collapsed="false">
      <c r="V1416" s="23" t="str">
        <f aca="false">IF(ISNUMBER(C1416),YEAR(C1416),"")</f>
        <v/>
      </c>
      <c r="W1416" s="23" t="str">
        <f aca="false">IF(ISNUMBER(C1416),MONTH(C1416),"")</f>
        <v/>
      </c>
      <c r="X1416" s="23" t="str">
        <f aca="false">IF(T1416="","",IF(T1416=0,"No discount",IF(T1416&lt;=0.2,"Low (1-20%)",IF(T1416&lt;=0.4,"Medium (21-40%)","High (&gt;40%)"))))</f>
        <v/>
      </c>
      <c r="Y1416" s="23" t="str">
        <f aca="false">IF(AND(ISNUMBER(C1416),ISNUMBER(D1416)),D1416-C1416,"")</f>
        <v/>
      </c>
      <c r="Z1416" s="23" t="str">
        <f aca="false">IF(B1416="","",IF(MATCH(B1416,$B$2:$B$12000,0)=ROW()-1,1,0))</f>
        <v/>
      </c>
    </row>
    <row r="1417" customFormat="false" ht="15" hidden="false" customHeight="false" outlineLevel="0" collapsed="false">
      <c r="V1417" s="23" t="str">
        <f aca="false">IF(ISNUMBER(C1417),YEAR(C1417),"")</f>
        <v/>
      </c>
      <c r="W1417" s="23" t="str">
        <f aca="false">IF(ISNUMBER(C1417),MONTH(C1417),"")</f>
        <v/>
      </c>
      <c r="X1417" s="23" t="str">
        <f aca="false">IF(T1417="","",IF(T1417=0,"No discount",IF(T1417&lt;=0.2,"Low (1-20%)",IF(T1417&lt;=0.4,"Medium (21-40%)","High (&gt;40%)"))))</f>
        <v/>
      </c>
      <c r="Y1417" s="23" t="str">
        <f aca="false">IF(AND(ISNUMBER(C1417),ISNUMBER(D1417)),D1417-C1417,"")</f>
        <v/>
      </c>
      <c r="Z1417" s="23" t="str">
        <f aca="false">IF(B1417="","",IF(MATCH(B1417,$B$2:$B$12000,0)=ROW()-1,1,0))</f>
        <v/>
      </c>
    </row>
    <row r="1418" customFormat="false" ht="15" hidden="false" customHeight="false" outlineLevel="0" collapsed="false">
      <c r="V1418" s="23" t="str">
        <f aca="false">IF(ISNUMBER(C1418),YEAR(C1418),"")</f>
        <v/>
      </c>
      <c r="W1418" s="23" t="str">
        <f aca="false">IF(ISNUMBER(C1418),MONTH(C1418),"")</f>
        <v/>
      </c>
      <c r="X1418" s="23" t="str">
        <f aca="false">IF(T1418="","",IF(T1418=0,"No discount",IF(T1418&lt;=0.2,"Low (1-20%)",IF(T1418&lt;=0.4,"Medium (21-40%)","High (&gt;40%)"))))</f>
        <v/>
      </c>
      <c r="Y1418" s="23" t="str">
        <f aca="false">IF(AND(ISNUMBER(C1418),ISNUMBER(D1418)),D1418-C1418,"")</f>
        <v/>
      </c>
      <c r="Z1418" s="23" t="str">
        <f aca="false">IF(B1418="","",IF(MATCH(B1418,$B$2:$B$12000,0)=ROW()-1,1,0))</f>
        <v/>
      </c>
    </row>
    <row r="1419" customFormat="false" ht="15" hidden="false" customHeight="false" outlineLevel="0" collapsed="false">
      <c r="V1419" s="23" t="str">
        <f aca="false">IF(ISNUMBER(C1419),YEAR(C1419),"")</f>
        <v/>
      </c>
      <c r="W1419" s="23" t="str">
        <f aca="false">IF(ISNUMBER(C1419),MONTH(C1419),"")</f>
        <v/>
      </c>
      <c r="X1419" s="23" t="str">
        <f aca="false">IF(T1419="","",IF(T1419=0,"No discount",IF(T1419&lt;=0.2,"Low (1-20%)",IF(T1419&lt;=0.4,"Medium (21-40%)","High (&gt;40%)"))))</f>
        <v/>
      </c>
      <c r="Y1419" s="23" t="str">
        <f aca="false">IF(AND(ISNUMBER(C1419),ISNUMBER(D1419)),D1419-C1419,"")</f>
        <v/>
      </c>
      <c r="Z1419" s="23" t="str">
        <f aca="false">IF(B1419="","",IF(MATCH(B1419,$B$2:$B$12000,0)=ROW()-1,1,0))</f>
        <v/>
      </c>
    </row>
    <row r="1420" customFormat="false" ht="15" hidden="false" customHeight="false" outlineLevel="0" collapsed="false">
      <c r="V1420" s="23" t="str">
        <f aca="false">IF(ISNUMBER(C1420),YEAR(C1420),"")</f>
        <v/>
      </c>
      <c r="W1420" s="23" t="str">
        <f aca="false">IF(ISNUMBER(C1420),MONTH(C1420),"")</f>
        <v/>
      </c>
      <c r="X1420" s="23" t="str">
        <f aca="false">IF(T1420="","",IF(T1420=0,"No discount",IF(T1420&lt;=0.2,"Low (1-20%)",IF(T1420&lt;=0.4,"Medium (21-40%)","High (&gt;40%)"))))</f>
        <v/>
      </c>
      <c r="Y1420" s="23" t="str">
        <f aca="false">IF(AND(ISNUMBER(C1420),ISNUMBER(D1420)),D1420-C1420,"")</f>
        <v/>
      </c>
      <c r="Z1420" s="23" t="str">
        <f aca="false">IF(B1420="","",IF(MATCH(B1420,$B$2:$B$12000,0)=ROW()-1,1,0))</f>
        <v/>
      </c>
    </row>
    <row r="1421" customFormat="false" ht="15" hidden="false" customHeight="false" outlineLevel="0" collapsed="false">
      <c r="V1421" s="23" t="str">
        <f aca="false">IF(ISNUMBER(C1421),YEAR(C1421),"")</f>
        <v/>
      </c>
      <c r="W1421" s="23" t="str">
        <f aca="false">IF(ISNUMBER(C1421),MONTH(C1421),"")</f>
        <v/>
      </c>
      <c r="X1421" s="23" t="str">
        <f aca="false">IF(T1421="","",IF(T1421=0,"No discount",IF(T1421&lt;=0.2,"Low (1-20%)",IF(T1421&lt;=0.4,"Medium (21-40%)","High (&gt;40%)"))))</f>
        <v/>
      </c>
      <c r="Y1421" s="23" t="str">
        <f aca="false">IF(AND(ISNUMBER(C1421),ISNUMBER(D1421)),D1421-C1421,"")</f>
        <v/>
      </c>
      <c r="Z1421" s="23" t="str">
        <f aca="false">IF(B1421="","",IF(MATCH(B1421,$B$2:$B$12000,0)=ROW()-1,1,0))</f>
        <v/>
      </c>
    </row>
    <row r="1422" customFormat="false" ht="15" hidden="false" customHeight="false" outlineLevel="0" collapsed="false">
      <c r="V1422" s="23" t="str">
        <f aca="false">IF(ISNUMBER(C1422),YEAR(C1422),"")</f>
        <v/>
      </c>
      <c r="W1422" s="23" t="str">
        <f aca="false">IF(ISNUMBER(C1422),MONTH(C1422),"")</f>
        <v/>
      </c>
      <c r="X1422" s="23" t="str">
        <f aca="false">IF(T1422="","",IF(T1422=0,"No discount",IF(T1422&lt;=0.2,"Low (1-20%)",IF(T1422&lt;=0.4,"Medium (21-40%)","High (&gt;40%)"))))</f>
        <v/>
      </c>
      <c r="Y1422" s="23" t="str">
        <f aca="false">IF(AND(ISNUMBER(C1422),ISNUMBER(D1422)),D1422-C1422,"")</f>
        <v/>
      </c>
      <c r="Z1422" s="23" t="str">
        <f aca="false">IF(B1422="","",IF(MATCH(B1422,$B$2:$B$12000,0)=ROW()-1,1,0))</f>
        <v/>
      </c>
    </row>
    <row r="1423" customFormat="false" ht="15" hidden="false" customHeight="false" outlineLevel="0" collapsed="false">
      <c r="V1423" s="23" t="str">
        <f aca="false">IF(ISNUMBER(C1423),YEAR(C1423),"")</f>
        <v/>
      </c>
      <c r="W1423" s="23" t="str">
        <f aca="false">IF(ISNUMBER(C1423),MONTH(C1423),"")</f>
        <v/>
      </c>
      <c r="X1423" s="23" t="str">
        <f aca="false">IF(T1423="","",IF(T1423=0,"No discount",IF(T1423&lt;=0.2,"Low (1-20%)",IF(T1423&lt;=0.4,"Medium (21-40%)","High (&gt;40%)"))))</f>
        <v/>
      </c>
      <c r="Y1423" s="23" t="str">
        <f aca="false">IF(AND(ISNUMBER(C1423),ISNUMBER(D1423)),D1423-C1423,"")</f>
        <v/>
      </c>
      <c r="Z1423" s="23" t="str">
        <f aca="false">IF(B1423="","",IF(MATCH(B1423,$B$2:$B$12000,0)=ROW()-1,1,0))</f>
        <v/>
      </c>
    </row>
    <row r="1424" customFormat="false" ht="15" hidden="false" customHeight="false" outlineLevel="0" collapsed="false">
      <c r="V1424" s="23" t="str">
        <f aca="false">IF(ISNUMBER(C1424),YEAR(C1424),"")</f>
        <v/>
      </c>
      <c r="W1424" s="23" t="str">
        <f aca="false">IF(ISNUMBER(C1424),MONTH(C1424),"")</f>
        <v/>
      </c>
      <c r="X1424" s="23" t="str">
        <f aca="false">IF(T1424="","",IF(T1424=0,"No discount",IF(T1424&lt;=0.2,"Low (1-20%)",IF(T1424&lt;=0.4,"Medium (21-40%)","High (&gt;40%)"))))</f>
        <v/>
      </c>
      <c r="Y1424" s="23" t="str">
        <f aca="false">IF(AND(ISNUMBER(C1424),ISNUMBER(D1424)),D1424-C1424,"")</f>
        <v/>
      </c>
      <c r="Z1424" s="23" t="str">
        <f aca="false">IF(B1424="","",IF(MATCH(B1424,$B$2:$B$12000,0)=ROW()-1,1,0))</f>
        <v/>
      </c>
    </row>
    <row r="1425" customFormat="false" ht="15" hidden="false" customHeight="false" outlineLevel="0" collapsed="false">
      <c r="V1425" s="23" t="str">
        <f aca="false">IF(ISNUMBER(C1425),YEAR(C1425),"")</f>
        <v/>
      </c>
      <c r="W1425" s="23" t="str">
        <f aca="false">IF(ISNUMBER(C1425),MONTH(C1425),"")</f>
        <v/>
      </c>
      <c r="X1425" s="23" t="str">
        <f aca="false">IF(T1425="","",IF(T1425=0,"No discount",IF(T1425&lt;=0.2,"Low (1-20%)",IF(T1425&lt;=0.4,"Medium (21-40%)","High (&gt;40%)"))))</f>
        <v/>
      </c>
      <c r="Y1425" s="23" t="str">
        <f aca="false">IF(AND(ISNUMBER(C1425),ISNUMBER(D1425)),D1425-C1425,"")</f>
        <v/>
      </c>
      <c r="Z1425" s="23" t="str">
        <f aca="false">IF(B1425="","",IF(MATCH(B1425,$B$2:$B$12000,0)=ROW()-1,1,0))</f>
        <v/>
      </c>
    </row>
    <row r="1426" customFormat="false" ht="15" hidden="false" customHeight="false" outlineLevel="0" collapsed="false">
      <c r="V1426" s="23" t="str">
        <f aca="false">IF(ISNUMBER(C1426),YEAR(C1426),"")</f>
        <v/>
      </c>
      <c r="W1426" s="23" t="str">
        <f aca="false">IF(ISNUMBER(C1426),MONTH(C1426),"")</f>
        <v/>
      </c>
      <c r="X1426" s="23" t="str">
        <f aca="false">IF(T1426="","",IF(T1426=0,"No discount",IF(T1426&lt;=0.2,"Low (1-20%)",IF(T1426&lt;=0.4,"Medium (21-40%)","High (&gt;40%)"))))</f>
        <v/>
      </c>
      <c r="Y1426" s="23" t="str">
        <f aca="false">IF(AND(ISNUMBER(C1426),ISNUMBER(D1426)),D1426-C1426,"")</f>
        <v/>
      </c>
      <c r="Z1426" s="23" t="str">
        <f aca="false">IF(B1426="","",IF(MATCH(B1426,$B$2:$B$12000,0)=ROW()-1,1,0))</f>
        <v/>
      </c>
    </row>
    <row r="1427" customFormat="false" ht="15" hidden="false" customHeight="false" outlineLevel="0" collapsed="false">
      <c r="V1427" s="23" t="str">
        <f aca="false">IF(ISNUMBER(C1427),YEAR(C1427),"")</f>
        <v/>
      </c>
      <c r="W1427" s="23" t="str">
        <f aca="false">IF(ISNUMBER(C1427),MONTH(C1427),"")</f>
        <v/>
      </c>
      <c r="X1427" s="23" t="str">
        <f aca="false">IF(T1427="","",IF(T1427=0,"No discount",IF(T1427&lt;=0.2,"Low (1-20%)",IF(T1427&lt;=0.4,"Medium (21-40%)","High (&gt;40%)"))))</f>
        <v/>
      </c>
      <c r="Y1427" s="23" t="str">
        <f aca="false">IF(AND(ISNUMBER(C1427),ISNUMBER(D1427)),D1427-C1427,"")</f>
        <v/>
      </c>
      <c r="Z1427" s="23" t="str">
        <f aca="false">IF(B1427="","",IF(MATCH(B1427,$B$2:$B$12000,0)=ROW()-1,1,0))</f>
        <v/>
      </c>
    </row>
    <row r="1428" customFormat="false" ht="15" hidden="false" customHeight="false" outlineLevel="0" collapsed="false">
      <c r="V1428" s="23" t="str">
        <f aca="false">IF(ISNUMBER(C1428),YEAR(C1428),"")</f>
        <v/>
      </c>
      <c r="W1428" s="23" t="str">
        <f aca="false">IF(ISNUMBER(C1428),MONTH(C1428),"")</f>
        <v/>
      </c>
      <c r="X1428" s="23" t="str">
        <f aca="false">IF(T1428="","",IF(T1428=0,"No discount",IF(T1428&lt;=0.2,"Low (1-20%)",IF(T1428&lt;=0.4,"Medium (21-40%)","High (&gt;40%)"))))</f>
        <v/>
      </c>
      <c r="Y1428" s="23" t="str">
        <f aca="false">IF(AND(ISNUMBER(C1428),ISNUMBER(D1428)),D1428-C1428,"")</f>
        <v/>
      </c>
      <c r="Z1428" s="23" t="str">
        <f aca="false">IF(B1428="","",IF(MATCH(B1428,$B$2:$B$12000,0)=ROW()-1,1,0))</f>
        <v/>
      </c>
    </row>
    <row r="1429" customFormat="false" ht="15" hidden="false" customHeight="false" outlineLevel="0" collapsed="false">
      <c r="V1429" s="23" t="str">
        <f aca="false">IF(ISNUMBER(C1429),YEAR(C1429),"")</f>
        <v/>
      </c>
      <c r="W1429" s="23" t="str">
        <f aca="false">IF(ISNUMBER(C1429),MONTH(C1429),"")</f>
        <v/>
      </c>
      <c r="X1429" s="23" t="str">
        <f aca="false">IF(T1429="","",IF(T1429=0,"No discount",IF(T1429&lt;=0.2,"Low (1-20%)",IF(T1429&lt;=0.4,"Medium (21-40%)","High (&gt;40%)"))))</f>
        <v/>
      </c>
      <c r="Y1429" s="23" t="str">
        <f aca="false">IF(AND(ISNUMBER(C1429),ISNUMBER(D1429)),D1429-C1429,"")</f>
        <v/>
      </c>
      <c r="Z1429" s="23" t="str">
        <f aca="false">IF(B1429="","",IF(MATCH(B1429,$B$2:$B$12000,0)=ROW()-1,1,0))</f>
        <v/>
      </c>
    </row>
    <row r="1430" customFormat="false" ht="15" hidden="false" customHeight="false" outlineLevel="0" collapsed="false">
      <c r="V1430" s="23" t="str">
        <f aca="false">IF(ISNUMBER(C1430),YEAR(C1430),"")</f>
        <v/>
      </c>
      <c r="W1430" s="23" t="str">
        <f aca="false">IF(ISNUMBER(C1430),MONTH(C1430),"")</f>
        <v/>
      </c>
      <c r="X1430" s="23" t="str">
        <f aca="false">IF(T1430="","",IF(T1430=0,"No discount",IF(T1430&lt;=0.2,"Low (1-20%)",IF(T1430&lt;=0.4,"Medium (21-40%)","High (&gt;40%)"))))</f>
        <v/>
      </c>
      <c r="Y1430" s="23" t="str">
        <f aca="false">IF(AND(ISNUMBER(C1430),ISNUMBER(D1430)),D1430-C1430,"")</f>
        <v/>
      </c>
      <c r="Z1430" s="23" t="str">
        <f aca="false">IF(B1430="","",IF(MATCH(B1430,$B$2:$B$12000,0)=ROW()-1,1,0))</f>
        <v/>
      </c>
    </row>
    <row r="1431" customFormat="false" ht="15" hidden="false" customHeight="false" outlineLevel="0" collapsed="false">
      <c r="V1431" s="23" t="str">
        <f aca="false">IF(ISNUMBER(C1431),YEAR(C1431),"")</f>
        <v/>
      </c>
      <c r="W1431" s="23" t="str">
        <f aca="false">IF(ISNUMBER(C1431),MONTH(C1431),"")</f>
        <v/>
      </c>
      <c r="X1431" s="23" t="str">
        <f aca="false">IF(T1431="","",IF(T1431=0,"No discount",IF(T1431&lt;=0.2,"Low (1-20%)",IF(T1431&lt;=0.4,"Medium (21-40%)","High (&gt;40%)"))))</f>
        <v/>
      </c>
      <c r="Y1431" s="23" t="str">
        <f aca="false">IF(AND(ISNUMBER(C1431),ISNUMBER(D1431)),D1431-C1431,"")</f>
        <v/>
      </c>
      <c r="Z1431" s="23" t="str">
        <f aca="false">IF(B1431="","",IF(MATCH(B1431,$B$2:$B$12000,0)=ROW()-1,1,0))</f>
        <v/>
      </c>
    </row>
    <row r="1432" customFormat="false" ht="15" hidden="false" customHeight="false" outlineLevel="0" collapsed="false">
      <c r="V1432" s="23" t="str">
        <f aca="false">IF(ISNUMBER(C1432),YEAR(C1432),"")</f>
        <v/>
      </c>
      <c r="W1432" s="23" t="str">
        <f aca="false">IF(ISNUMBER(C1432),MONTH(C1432),"")</f>
        <v/>
      </c>
      <c r="X1432" s="23" t="str">
        <f aca="false">IF(T1432="","",IF(T1432=0,"No discount",IF(T1432&lt;=0.2,"Low (1-20%)",IF(T1432&lt;=0.4,"Medium (21-40%)","High (&gt;40%)"))))</f>
        <v/>
      </c>
      <c r="Y1432" s="23" t="str">
        <f aca="false">IF(AND(ISNUMBER(C1432),ISNUMBER(D1432)),D1432-C1432,"")</f>
        <v/>
      </c>
      <c r="Z1432" s="23" t="str">
        <f aca="false">IF(B1432="","",IF(MATCH(B1432,$B$2:$B$12000,0)=ROW()-1,1,0))</f>
        <v/>
      </c>
    </row>
    <row r="1433" customFormat="false" ht="15" hidden="false" customHeight="false" outlineLevel="0" collapsed="false">
      <c r="V1433" s="23" t="str">
        <f aca="false">IF(ISNUMBER(C1433),YEAR(C1433),"")</f>
        <v/>
      </c>
      <c r="W1433" s="23" t="str">
        <f aca="false">IF(ISNUMBER(C1433),MONTH(C1433),"")</f>
        <v/>
      </c>
      <c r="X1433" s="23" t="str">
        <f aca="false">IF(T1433="","",IF(T1433=0,"No discount",IF(T1433&lt;=0.2,"Low (1-20%)",IF(T1433&lt;=0.4,"Medium (21-40%)","High (&gt;40%)"))))</f>
        <v/>
      </c>
      <c r="Y1433" s="23" t="str">
        <f aca="false">IF(AND(ISNUMBER(C1433),ISNUMBER(D1433)),D1433-C1433,"")</f>
        <v/>
      </c>
      <c r="Z1433" s="23" t="str">
        <f aca="false">IF(B1433="","",IF(MATCH(B1433,$B$2:$B$12000,0)=ROW()-1,1,0))</f>
        <v/>
      </c>
    </row>
    <row r="1434" customFormat="false" ht="15" hidden="false" customHeight="false" outlineLevel="0" collapsed="false">
      <c r="V1434" s="23" t="str">
        <f aca="false">IF(ISNUMBER(C1434),YEAR(C1434),"")</f>
        <v/>
      </c>
      <c r="W1434" s="23" t="str">
        <f aca="false">IF(ISNUMBER(C1434),MONTH(C1434),"")</f>
        <v/>
      </c>
      <c r="X1434" s="23" t="str">
        <f aca="false">IF(T1434="","",IF(T1434=0,"No discount",IF(T1434&lt;=0.2,"Low (1-20%)",IF(T1434&lt;=0.4,"Medium (21-40%)","High (&gt;40%)"))))</f>
        <v/>
      </c>
      <c r="Y1434" s="23" t="str">
        <f aca="false">IF(AND(ISNUMBER(C1434),ISNUMBER(D1434)),D1434-C1434,"")</f>
        <v/>
      </c>
      <c r="Z1434" s="23" t="str">
        <f aca="false">IF(B1434="","",IF(MATCH(B1434,$B$2:$B$12000,0)=ROW()-1,1,0))</f>
        <v/>
      </c>
    </row>
    <row r="1435" customFormat="false" ht="15" hidden="false" customHeight="false" outlineLevel="0" collapsed="false">
      <c r="V1435" s="23" t="str">
        <f aca="false">IF(ISNUMBER(C1435),YEAR(C1435),"")</f>
        <v/>
      </c>
      <c r="W1435" s="23" t="str">
        <f aca="false">IF(ISNUMBER(C1435),MONTH(C1435),"")</f>
        <v/>
      </c>
      <c r="X1435" s="23" t="str">
        <f aca="false">IF(T1435="","",IF(T1435=0,"No discount",IF(T1435&lt;=0.2,"Low (1-20%)",IF(T1435&lt;=0.4,"Medium (21-40%)","High (&gt;40%)"))))</f>
        <v/>
      </c>
      <c r="Y1435" s="23" t="str">
        <f aca="false">IF(AND(ISNUMBER(C1435),ISNUMBER(D1435)),D1435-C1435,"")</f>
        <v/>
      </c>
      <c r="Z1435" s="23" t="str">
        <f aca="false">IF(B1435="","",IF(MATCH(B1435,$B$2:$B$12000,0)=ROW()-1,1,0))</f>
        <v/>
      </c>
    </row>
    <row r="1436" customFormat="false" ht="15" hidden="false" customHeight="false" outlineLevel="0" collapsed="false">
      <c r="V1436" s="23" t="str">
        <f aca="false">IF(ISNUMBER(C1436),YEAR(C1436),"")</f>
        <v/>
      </c>
      <c r="W1436" s="23" t="str">
        <f aca="false">IF(ISNUMBER(C1436),MONTH(C1436),"")</f>
        <v/>
      </c>
      <c r="X1436" s="23" t="str">
        <f aca="false">IF(T1436="","",IF(T1436=0,"No discount",IF(T1436&lt;=0.2,"Low (1-20%)",IF(T1436&lt;=0.4,"Medium (21-40%)","High (&gt;40%)"))))</f>
        <v/>
      </c>
      <c r="Y1436" s="23" t="str">
        <f aca="false">IF(AND(ISNUMBER(C1436),ISNUMBER(D1436)),D1436-C1436,"")</f>
        <v/>
      </c>
      <c r="Z1436" s="23" t="str">
        <f aca="false">IF(B1436="","",IF(MATCH(B1436,$B$2:$B$12000,0)=ROW()-1,1,0))</f>
        <v/>
      </c>
    </row>
    <row r="1437" customFormat="false" ht="15" hidden="false" customHeight="false" outlineLevel="0" collapsed="false">
      <c r="V1437" s="23" t="str">
        <f aca="false">IF(ISNUMBER(C1437),YEAR(C1437),"")</f>
        <v/>
      </c>
      <c r="W1437" s="23" t="str">
        <f aca="false">IF(ISNUMBER(C1437),MONTH(C1437),"")</f>
        <v/>
      </c>
      <c r="X1437" s="23" t="str">
        <f aca="false">IF(T1437="","",IF(T1437=0,"No discount",IF(T1437&lt;=0.2,"Low (1-20%)",IF(T1437&lt;=0.4,"Medium (21-40%)","High (&gt;40%)"))))</f>
        <v/>
      </c>
      <c r="Y1437" s="23" t="str">
        <f aca="false">IF(AND(ISNUMBER(C1437),ISNUMBER(D1437)),D1437-C1437,"")</f>
        <v/>
      </c>
      <c r="Z1437" s="23" t="str">
        <f aca="false">IF(B1437="","",IF(MATCH(B1437,$B$2:$B$12000,0)=ROW()-1,1,0))</f>
        <v/>
      </c>
    </row>
    <row r="1438" customFormat="false" ht="15" hidden="false" customHeight="false" outlineLevel="0" collapsed="false">
      <c r="V1438" s="23" t="str">
        <f aca="false">IF(ISNUMBER(C1438),YEAR(C1438),"")</f>
        <v/>
      </c>
      <c r="W1438" s="23" t="str">
        <f aca="false">IF(ISNUMBER(C1438),MONTH(C1438),"")</f>
        <v/>
      </c>
      <c r="X1438" s="23" t="str">
        <f aca="false">IF(T1438="","",IF(T1438=0,"No discount",IF(T1438&lt;=0.2,"Low (1-20%)",IF(T1438&lt;=0.4,"Medium (21-40%)","High (&gt;40%)"))))</f>
        <v/>
      </c>
      <c r="Y1438" s="23" t="str">
        <f aca="false">IF(AND(ISNUMBER(C1438),ISNUMBER(D1438)),D1438-C1438,"")</f>
        <v/>
      </c>
      <c r="Z1438" s="23" t="str">
        <f aca="false">IF(B1438="","",IF(MATCH(B1438,$B$2:$B$12000,0)=ROW()-1,1,0))</f>
        <v/>
      </c>
    </row>
    <row r="1439" customFormat="false" ht="15" hidden="false" customHeight="false" outlineLevel="0" collapsed="false">
      <c r="V1439" s="23" t="str">
        <f aca="false">IF(ISNUMBER(C1439),YEAR(C1439),"")</f>
        <v/>
      </c>
      <c r="W1439" s="23" t="str">
        <f aca="false">IF(ISNUMBER(C1439),MONTH(C1439),"")</f>
        <v/>
      </c>
      <c r="X1439" s="23" t="str">
        <f aca="false">IF(T1439="","",IF(T1439=0,"No discount",IF(T1439&lt;=0.2,"Low (1-20%)",IF(T1439&lt;=0.4,"Medium (21-40%)","High (&gt;40%)"))))</f>
        <v/>
      </c>
      <c r="Y1439" s="23" t="str">
        <f aca="false">IF(AND(ISNUMBER(C1439),ISNUMBER(D1439)),D1439-C1439,"")</f>
        <v/>
      </c>
      <c r="Z1439" s="23" t="str">
        <f aca="false">IF(B1439="","",IF(MATCH(B1439,$B$2:$B$12000,0)=ROW()-1,1,0))</f>
        <v/>
      </c>
    </row>
    <row r="1440" customFormat="false" ht="15" hidden="false" customHeight="false" outlineLevel="0" collapsed="false">
      <c r="V1440" s="23" t="str">
        <f aca="false">IF(ISNUMBER(C1440),YEAR(C1440),"")</f>
        <v/>
      </c>
      <c r="W1440" s="23" t="str">
        <f aca="false">IF(ISNUMBER(C1440),MONTH(C1440),"")</f>
        <v/>
      </c>
      <c r="X1440" s="23" t="str">
        <f aca="false">IF(T1440="","",IF(T1440=0,"No discount",IF(T1440&lt;=0.2,"Low (1-20%)",IF(T1440&lt;=0.4,"Medium (21-40%)","High (&gt;40%)"))))</f>
        <v/>
      </c>
      <c r="Y1440" s="23" t="str">
        <f aca="false">IF(AND(ISNUMBER(C1440),ISNUMBER(D1440)),D1440-C1440,"")</f>
        <v/>
      </c>
      <c r="Z1440" s="23" t="str">
        <f aca="false">IF(B1440="","",IF(MATCH(B1440,$B$2:$B$12000,0)=ROW()-1,1,0))</f>
        <v/>
      </c>
    </row>
    <row r="1441" customFormat="false" ht="15" hidden="false" customHeight="false" outlineLevel="0" collapsed="false">
      <c r="V1441" s="23" t="str">
        <f aca="false">IF(ISNUMBER(C1441),YEAR(C1441),"")</f>
        <v/>
      </c>
      <c r="W1441" s="23" t="str">
        <f aca="false">IF(ISNUMBER(C1441),MONTH(C1441),"")</f>
        <v/>
      </c>
      <c r="X1441" s="23" t="str">
        <f aca="false">IF(T1441="","",IF(T1441=0,"No discount",IF(T1441&lt;=0.2,"Low (1-20%)",IF(T1441&lt;=0.4,"Medium (21-40%)","High (&gt;40%)"))))</f>
        <v/>
      </c>
      <c r="Y1441" s="23" t="str">
        <f aca="false">IF(AND(ISNUMBER(C1441),ISNUMBER(D1441)),D1441-C1441,"")</f>
        <v/>
      </c>
      <c r="Z1441" s="23" t="str">
        <f aca="false">IF(B1441="","",IF(MATCH(B1441,$B$2:$B$12000,0)=ROW()-1,1,0))</f>
        <v/>
      </c>
    </row>
    <row r="1442" customFormat="false" ht="15" hidden="false" customHeight="false" outlineLevel="0" collapsed="false">
      <c r="V1442" s="23" t="str">
        <f aca="false">IF(ISNUMBER(C1442),YEAR(C1442),"")</f>
        <v/>
      </c>
      <c r="W1442" s="23" t="str">
        <f aca="false">IF(ISNUMBER(C1442),MONTH(C1442),"")</f>
        <v/>
      </c>
      <c r="X1442" s="23" t="str">
        <f aca="false">IF(T1442="","",IF(T1442=0,"No discount",IF(T1442&lt;=0.2,"Low (1-20%)",IF(T1442&lt;=0.4,"Medium (21-40%)","High (&gt;40%)"))))</f>
        <v/>
      </c>
      <c r="Y1442" s="23" t="str">
        <f aca="false">IF(AND(ISNUMBER(C1442),ISNUMBER(D1442)),D1442-C1442,"")</f>
        <v/>
      </c>
      <c r="Z1442" s="23" t="str">
        <f aca="false">IF(B1442="","",IF(MATCH(B1442,$B$2:$B$12000,0)=ROW()-1,1,0))</f>
        <v/>
      </c>
    </row>
    <row r="1443" customFormat="false" ht="15" hidden="false" customHeight="false" outlineLevel="0" collapsed="false">
      <c r="V1443" s="23" t="str">
        <f aca="false">IF(ISNUMBER(C1443),YEAR(C1443),"")</f>
        <v/>
      </c>
      <c r="W1443" s="23" t="str">
        <f aca="false">IF(ISNUMBER(C1443),MONTH(C1443),"")</f>
        <v/>
      </c>
      <c r="X1443" s="23" t="str">
        <f aca="false">IF(T1443="","",IF(T1443=0,"No discount",IF(T1443&lt;=0.2,"Low (1-20%)",IF(T1443&lt;=0.4,"Medium (21-40%)","High (&gt;40%)"))))</f>
        <v/>
      </c>
      <c r="Y1443" s="23" t="str">
        <f aca="false">IF(AND(ISNUMBER(C1443),ISNUMBER(D1443)),D1443-C1443,"")</f>
        <v/>
      </c>
      <c r="Z1443" s="23" t="str">
        <f aca="false">IF(B1443="","",IF(MATCH(B1443,$B$2:$B$12000,0)=ROW()-1,1,0))</f>
        <v/>
      </c>
    </row>
    <row r="1444" customFormat="false" ht="15" hidden="false" customHeight="false" outlineLevel="0" collapsed="false">
      <c r="V1444" s="23" t="str">
        <f aca="false">IF(ISNUMBER(C1444),YEAR(C1444),"")</f>
        <v/>
      </c>
      <c r="W1444" s="23" t="str">
        <f aca="false">IF(ISNUMBER(C1444),MONTH(C1444),"")</f>
        <v/>
      </c>
      <c r="X1444" s="23" t="str">
        <f aca="false">IF(T1444="","",IF(T1444=0,"No discount",IF(T1444&lt;=0.2,"Low (1-20%)",IF(T1444&lt;=0.4,"Medium (21-40%)","High (&gt;40%)"))))</f>
        <v/>
      </c>
      <c r="Y1444" s="23" t="str">
        <f aca="false">IF(AND(ISNUMBER(C1444),ISNUMBER(D1444)),D1444-C1444,"")</f>
        <v/>
      </c>
      <c r="Z1444" s="23" t="str">
        <f aca="false">IF(B1444="","",IF(MATCH(B1444,$B$2:$B$12000,0)=ROW()-1,1,0))</f>
        <v/>
      </c>
    </row>
    <row r="1445" customFormat="false" ht="15" hidden="false" customHeight="false" outlineLevel="0" collapsed="false">
      <c r="V1445" s="23" t="str">
        <f aca="false">IF(ISNUMBER(C1445),YEAR(C1445),"")</f>
        <v/>
      </c>
      <c r="W1445" s="23" t="str">
        <f aca="false">IF(ISNUMBER(C1445),MONTH(C1445),"")</f>
        <v/>
      </c>
      <c r="X1445" s="23" t="str">
        <f aca="false">IF(T1445="","",IF(T1445=0,"No discount",IF(T1445&lt;=0.2,"Low (1-20%)",IF(T1445&lt;=0.4,"Medium (21-40%)","High (&gt;40%)"))))</f>
        <v/>
      </c>
      <c r="Y1445" s="23" t="str">
        <f aca="false">IF(AND(ISNUMBER(C1445),ISNUMBER(D1445)),D1445-C1445,"")</f>
        <v/>
      </c>
      <c r="Z1445" s="23" t="str">
        <f aca="false">IF(B1445="","",IF(MATCH(B1445,$B$2:$B$12000,0)=ROW()-1,1,0))</f>
        <v/>
      </c>
    </row>
    <row r="1446" customFormat="false" ht="15" hidden="false" customHeight="false" outlineLevel="0" collapsed="false">
      <c r="V1446" s="23" t="str">
        <f aca="false">IF(ISNUMBER(C1446),YEAR(C1446),"")</f>
        <v/>
      </c>
      <c r="W1446" s="23" t="str">
        <f aca="false">IF(ISNUMBER(C1446),MONTH(C1446),"")</f>
        <v/>
      </c>
      <c r="X1446" s="23" t="str">
        <f aca="false">IF(T1446="","",IF(T1446=0,"No discount",IF(T1446&lt;=0.2,"Low (1-20%)",IF(T1446&lt;=0.4,"Medium (21-40%)","High (&gt;40%)"))))</f>
        <v/>
      </c>
      <c r="Y1446" s="23" t="str">
        <f aca="false">IF(AND(ISNUMBER(C1446),ISNUMBER(D1446)),D1446-C1446,"")</f>
        <v/>
      </c>
      <c r="Z1446" s="23" t="str">
        <f aca="false">IF(B1446="","",IF(MATCH(B1446,$B$2:$B$12000,0)=ROW()-1,1,0))</f>
        <v/>
      </c>
    </row>
    <row r="1447" customFormat="false" ht="15" hidden="false" customHeight="false" outlineLevel="0" collapsed="false">
      <c r="V1447" s="23" t="str">
        <f aca="false">IF(ISNUMBER(C1447),YEAR(C1447),"")</f>
        <v/>
      </c>
      <c r="W1447" s="23" t="str">
        <f aca="false">IF(ISNUMBER(C1447),MONTH(C1447),"")</f>
        <v/>
      </c>
      <c r="X1447" s="23" t="str">
        <f aca="false">IF(T1447="","",IF(T1447=0,"No discount",IF(T1447&lt;=0.2,"Low (1-20%)",IF(T1447&lt;=0.4,"Medium (21-40%)","High (&gt;40%)"))))</f>
        <v/>
      </c>
      <c r="Y1447" s="23" t="str">
        <f aca="false">IF(AND(ISNUMBER(C1447),ISNUMBER(D1447)),D1447-C1447,"")</f>
        <v/>
      </c>
      <c r="Z1447" s="23" t="str">
        <f aca="false">IF(B1447="","",IF(MATCH(B1447,$B$2:$B$12000,0)=ROW()-1,1,0))</f>
        <v/>
      </c>
    </row>
    <row r="1448" customFormat="false" ht="15" hidden="false" customHeight="false" outlineLevel="0" collapsed="false">
      <c r="V1448" s="23" t="str">
        <f aca="false">IF(ISNUMBER(C1448),YEAR(C1448),"")</f>
        <v/>
      </c>
      <c r="W1448" s="23" t="str">
        <f aca="false">IF(ISNUMBER(C1448),MONTH(C1448),"")</f>
        <v/>
      </c>
      <c r="X1448" s="23" t="str">
        <f aca="false">IF(T1448="","",IF(T1448=0,"No discount",IF(T1448&lt;=0.2,"Low (1-20%)",IF(T1448&lt;=0.4,"Medium (21-40%)","High (&gt;40%)"))))</f>
        <v/>
      </c>
      <c r="Y1448" s="23" t="str">
        <f aca="false">IF(AND(ISNUMBER(C1448),ISNUMBER(D1448)),D1448-C1448,"")</f>
        <v/>
      </c>
      <c r="Z1448" s="23" t="str">
        <f aca="false">IF(B1448="","",IF(MATCH(B1448,$B$2:$B$12000,0)=ROW()-1,1,0))</f>
        <v/>
      </c>
    </row>
    <row r="1449" customFormat="false" ht="15" hidden="false" customHeight="false" outlineLevel="0" collapsed="false">
      <c r="V1449" s="23" t="str">
        <f aca="false">IF(ISNUMBER(C1449),YEAR(C1449),"")</f>
        <v/>
      </c>
      <c r="W1449" s="23" t="str">
        <f aca="false">IF(ISNUMBER(C1449),MONTH(C1449),"")</f>
        <v/>
      </c>
      <c r="X1449" s="23" t="str">
        <f aca="false">IF(T1449="","",IF(T1449=0,"No discount",IF(T1449&lt;=0.2,"Low (1-20%)",IF(T1449&lt;=0.4,"Medium (21-40%)","High (&gt;40%)"))))</f>
        <v/>
      </c>
      <c r="Y1449" s="23" t="str">
        <f aca="false">IF(AND(ISNUMBER(C1449),ISNUMBER(D1449)),D1449-C1449,"")</f>
        <v/>
      </c>
      <c r="Z1449" s="23" t="str">
        <f aca="false">IF(B1449="","",IF(MATCH(B1449,$B$2:$B$12000,0)=ROW()-1,1,0))</f>
        <v/>
      </c>
    </row>
    <row r="1450" customFormat="false" ht="15" hidden="false" customHeight="false" outlineLevel="0" collapsed="false">
      <c r="V1450" s="23" t="str">
        <f aca="false">IF(ISNUMBER(C1450),YEAR(C1450),"")</f>
        <v/>
      </c>
      <c r="W1450" s="23" t="str">
        <f aca="false">IF(ISNUMBER(C1450),MONTH(C1450),"")</f>
        <v/>
      </c>
      <c r="X1450" s="23" t="str">
        <f aca="false">IF(T1450="","",IF(T1450=0,"No discount",IF(T1450&lt;=0.2,"Low (1-20%)",IF(T1450&lt;=0.4,"Medium (21-40%)","High (&gt;40%)"))))</f>
        <v/>
      </c>
      <c r="Y1450" s="23" t="str">
        <f aca="false">IF(AND(ISNUMBER(C1450),ISNUMBER(D1450)),D1450-C1450,"")</f>
        <v/>
      </c>
      <c r="Z1450" s="23" t="str">
        <f aca="false">IF(B1450="","",IF(MATCH(B1450,$B$2:$B$12000,0)=ROW()-1,1,0))</f>
        <v/>
      </c>
    </row>
    <row r="1451" customFormat="false" ht="15" hidden="false" customHeight="false" outlineLevel="0" collapsed="false">
      <c r="V1451" s="23" t="str">
        <f aca="false">IF(ISNUMBER(C1451),YEAR(C1451),"")</f>
        <v/>
      </c>
      <c r="W1451" s="23" t="str">
        <f aca="false">IF(ISNUMBER(C1451),MONTH(C1451),"")</f>
        <v/>
      </c>
      <c r="X1451" s="23" t="str">
        <f aca="false">IF(T1451="","",IF(T1451=0,"No discount",IF(T1451&lt;=0.2,"Low (1-20%)",IF(T1451&lt;=0.4,"Medium (21-40%)","High (&gt;40%)"))))</f>
        <v/>
      </c>
      <c r="Y1451" s="23" t="str">
        <f aca="false">IF(AND(ISNUMBER(C1451),ISNUMBER(D1451)),D1451-C1451,"")</f>
        <v/>
      </c>
      <c r="Z1451" s="23" t="str">
        <f aca="false">IF(B1451="","",IF(MATCH(B1451,$B$2:$B$12000,0)=ROW()-1,1,0))</f>
        <v/>
      </c>
    </row>
    <row r="1452" customFormat="false" ht="15" hidden="false" customHeight="false" outlineLevel="0" collapsed="false">
      <c r="V1452" s="23" t="str">
        <f aca="false">IF(ISNUMBER(C1452),YEAR(C1452),"")</f>
        <v/>
      </c>
      <c r="W1452" s="23" t="str">
        <f aca="false">IF(ISNUMBER(C1452),MONTH(C1452),"")</f>
        <v/>
      </c>
      <c r="X1452" s="23" t="str">
        <f aca="false">IF(T1452="","",IF(T1452=0,"No discount",IF(T1452&lt;=0.2,"Low (1-20%)",IF(T1452&lt;=0.4,"Medium (21-40%)","High (&gt;40%)"))))</f>
        <v/>
      </c>
      <c r="Y1452" s="23" t="str">
        <f aca="false">IF(AND(ISNUMBER(C1452),ISNUMBER(D1452)),D1452-C1452,"")</f>
        <v/>
      </c>
      <c r="Z1452" s="23" t="str">
        <f aca="false">IF(B1452="","",IF(MATCH(B1452,$B$2:$B$12000,0)=ROW()-1,1,0))</f>
        <v/>
      </c>
    </row>
    <row r="1453" customFormat="false" ht="15" hidden="false" customHeight="false" outlineLevel="0" collapsed="false">
      <c r="V1453" s="23" t="str">
        <f aca="false">IF(ISNUMBER(C1453),YEAR(C1453),"")</f>
        <v/>
      </c>
      <c r="W1453" s="23" t="str">
        <f aca="false">IF(ISNUMBER(C1453),MONTH(C1453),"")</f>
        <v/>
      </c>
      <c r="X1453" s="23" t="str">
        <f aca="false">IF(T1453="","",IF(T1453=0,"No discount",IF(T1453&lt;=0.2,"Low (1-20%)",IF(T1453&lt;=0.4,"Medium (21-40%)","High (&gt;40%)"))))</f>
        <v/>
      </c>
      <c r="Y1453" s="23" t="str">
        <f aca="false">IF(AND(ISNUMBER(C1453),ISNUMBER(D1453)),D1453-C1453,"")</f>
        <v/>
      </c>
      <c r="Z1453" s="23" t="str">
        <f aca="false">IF(B1453="","",IF(MATCH(B1453,$B$2:$B$12000,0)=ROW()-1,1,0))</f>
        <v/>
      </c>
    </row>
    <row r="1454" customFormat="false" ht="15" hidden="false" customHeight="false" outlineLevel="0" collapsed="false">
      <c r="V1454" s="23" t="str">
        <f aca="false">IF(ISNUMBER(C1454),YEAR(C1454),"")</f>
        <v/>
      </c>
      <c r="W1454" s="23" t="str">
        <f aca="false">IF(ISNUMBER(C1454),MONTH(C1454),"")</f>
        <v/>
      </c>
      <c r="X1454" s="23" t="str">
        <f aca="false">IF(T1454="","",IF(T1454=0,"No discount",IF(T1454&lt;=0.2,"Low (1-20%)",IF(T1454&lt;=0.4,"Medium (21-40%)","High (&gt;40%)"))))</f>
        <v/>
      </c>
      <c r="Y1454" s="23" t="str">
        <f aca="false">IF(AND(ISNUMBER(C1454),ISNUMBER(D1454)),D1454-C1454,"")</f>
        <v/>
      </c>
      <c r="Z1454" s="23" t="str">
        <f aca="false">IF(B1454="","",IF(MATCH(B1454,$B$2:$B$12000,0)=ROW()-1,1,0))</f>
        <v/>
      </c>
    </row>
    <row r="1455" customFormat="false" ht="15" hidden="false" customHeight="false" outlineLevel="0" collapsed="false">
      <c r="V1455" s="23" t="str">
        <f aca="false">IF(ISNUMBER(C1455),YEAR(C1455),"")</f>
        <v/>
      </c>
      <c r="W1455" s="23" t="str">
        <f aca="false">IF(ISNUMBER(C1455),MONTH(C1455),"")</f>
        <v/>
      </c>
      <c r="X1455" s="23" t="str">
        <f aca="false">IF(T1455="","",IF(T1455=0,"No discount",IF(T1455&lt;=0.2,"Low (1-20%)",IF(T1455&lt;=0.4,"Medium (21-40%)","High (&gt;40%)"))))</f>
        <v/>
      </c>
      <c r="Y1455" s="23" t="str">
        <f aca="false">IF(AND(ISNUMBER(C1455),ISNUMBER(D1455)),D1455-C1455,"")</f>
        <v/>
      </c>
      <c r="Z1455" s="23" t="str">
        <f aca="false">IF(B1455="","",IF(MATCH(B1455,$B$2:$B$12000,0)=ROW()-1,1,0))</f>
        <v/>
      </c>
    </row>
    <row r="1456" customFormat="false" ht="15" hidden="false" customHeight="false" outlineLevel="0" collapsed="false">
      <c r="V1456" s="23" t="str">
        <f aca="false">IF(ISNUMBER(C1456),YEAR(C1456),"")</f>
        <v/>
      </c>
      <c r="W1456" s="23" t="str">
        <f aca="false">IF(ISNUMBER(C1456),MONTH(C1456),"")</f>
        <v/>
      </c>
      <c r="X1456" s="23" t="str">
        <f aca="false">IF(T1456="","",IF(T1456=0,"No discount",IF(T1456&lt;=0.2,"Low (1-20%)",IF(T1456&lt;=0.4,"Medium (21-40%)","High (&gt;40%)"))))</f>
        <v/>
      </c>
      <c r="Y1456" s="23" t="str">
        <f aca="false">IF(AND(ISNUMBER(C1456),ISNUMBER(D1456)),D1456-C1456,"")</f>
        <v/>
      </c>
      <c r="Z1456" s="23" t="str">
        <f aca="false">IF(B1456="","",IF(MATCH(B1456,$B$2:$B$12000,0)=ROW()-1,1,0))</f>
        <v/>
      </c>
    </row>
    <row r="1457" customFormat="false" ht="15" hidden="false" customHeight="false" outlineLevel="0" collapsed="false">
      <c r="V1457" s="23" t="str">
        <f aca="false">IF(ISNUMBER(C1457),YEAR(C1457),"")</f>
        <v/>
      </c>
      <c r="W1457" s="23" t="str">
        <f aca="false">IF(ISNUMBER(C1457),MONTH(C1457),"")</f>
        <v/>
      </c>
      <c r="X1457" s="23" t="str">
        <f aca="false">IF(T1457="","",IF(T1457=0,"No discount",IF(T1457&lt;=0.2,"Low (1-20%)",IF(T1457&lt;=0.4,"Medium (21-40%)","High (&gt;40%)"))))</f>
        <v/>
      </c>
      <c r="Y1457" s="23" t="str">
        <f aca="false">IF(AND(ISNUMBER(C1457),ISNUMBER(D1457)),D1457-C1457,"")</f>
        <v/>
      </c>
      <c r="Z1457" s="23" t="str">
        <f aca="false">IF(B1457="","",IF(MATCH(B1457,$B$2:$B$12000,0)=ROW()-1,1,0))</f>
        <v/>
      </c>
    </row>
    <row r="1458" customFormat="false" ht="15" hidden="false" customHeight="false" outlineLevel="0" collapsed="false">
      <c r="V1458" s="23" t="str">
        <f aca="false">IF(ISNUMBER(C1458),YEAR(C1458),"")</f>
        <v/>
      </c>
      <c r="W1458" s="23" t="str">
        <f aca="false">IF(ISNUMBER(C1458),MONTH(C1458),"")</f>
        <v/>
      </c>
      <c r="X1458" s="23" t="str">
        <f aca="false">IF(T1458="","",IF(T1458=0,"No discount",IF(T1458&lt;=0.2,"Low (1-20%)",IF(T1458&lt;=0.4,"Medium (21-40%)","High (&gt;40%)"))))</f>
        <v/>
      </c>
      <c r="Y1458" s="23" t="str">
        <f aca="false">IF(AND(ISNUMBER(C1458),ISNUMBER(D1458)),D1458-C1458,"")</f>
        <v/>
      </c>
      <c r="Z1458" s="23" t="str">
        <f aca="false">IF(B1458="","",IF(MATCH(B1458,$B$2:$B$12000,0)=ROW()-1,1,0))</f>
        <v/>
      </c>
    </row>
    <row r="1459" customFormat="false" ht="15" hidden="false" customHeight="false" outlineLevel="0" collapsed="false">
      <c r="V1459" s="23" t="str">
        <f aca="false">IF(ISNUMBER(C1459),YEAR(C1459),"")</f>
        <v/>
      </c>
      <c r="W1459" s="23" t="str">
        <f aca="false">IF(ISNUMBER(C1459),MONTH(C1459),"")</f>
        <v/>
      </c>
      <c r="X1459" s="23" t="str">
        <f aca="false">IF(T1459="","",IF(T1459=0,"No discount",IF(T1459&lt;=0.2,"Low (1-20%)",IF(T1459&lt;=0.4,"Medium (21-40%)","High (&gt;40%)"))))</f>
        <v/>
      </c>
      <c r="Y1459" s="23" t="str">
        <f aca="false">IF(AND(ISNUMBER(C1459),ISNUMBER(D1459)),D1459-C1459,"")</f>
        <v/>
      </c>
      <c r="Z1459" s="23" t="str">
        <f aca="false">IF(B1459="","",IF(MATCH(B1459,$B$2:$B$12000,0)=ROW()-1,1,0))</f>
        <v/>
      </c>
    </row>
    <row r="1460" customFormat="false" ht="15" hidden="false" customHeight="false" outlineLevel="0" collapsed="false">
      <c r="V1460" s="23" t="str">
        <f aca="false">IF(ISNUMBER(C1460),YEAR(C1460),"")</f>
        <v/>
      </c>
      <c r="W1460" s="23" t="str">
        <f aca="false">IF(ISNUMBER(C1460),MONTH(C1460),"")</f>
        <v/>
      </c>
      <c r="X1460" s="23" t="str">
        <f aca="false">IF(T1460="","",IF(T1460=0,"No discount",IF(T1460&lt;=0.2,"Low (1-20%)",IF(T1460&lt;=0.4,"Medium (21-40%)","High (&gt;40%)"))))</f>
        <v/>
      </c>
      <c r="Y1460" s="23" t="str">
        <f aca="false">IF(AND(ISNUMBER(C1460),ISNUMBER(D1460)),D1460-C1460,"")</f>
        <v/>
      </c>
      <c r="Z1460" s="23" t="str">
        <f aca="false">IF(B1460="","",IF(MATCH(B1460,$B$2:$B$12000,0)=ROW()-1,1,0))</f>
        <v/>
      </c>
    </row>
    <row r="1461" customFormat="false" ht="15" hidden="false" customHeight="false" outlineLevel="0" collapsed="false">
      <c r="V1461" s="23" t="str">
        <f aca="false">IF(ISNUMBER(C1461),YEAR(C1461),"")</f>
        <v/>
      </c>
      <c r="W1461" s="23" t="str">
        <f aca="false">IF(ISNUMBER(C1461),MONTH(C1461),"")</f>
        <v/>
      </c>
      <c r="X1461" s="23" t="str">
        <f aca="false">IF(T1461="","",IF(T1461=0,"No discount",IF(T1461&lt;=0.2,"Low (1-20%)",IF(T1461&lt;=0.4,"Medium (21-40%)","High (&gt;40%)"))))</f>
        <v/>
      </c>
      <c r="Y1461" s="23" t="str">
        <f aca="false">IF(AND(ISNUMBER(C1461),ISNUMBER(D1461)),D1461-C1461,"")</f>
        <v/>
      </c>
      <c r="Z1461" s="23" t="str">
        <f aca="false">IF(B1461="","",IF(MATCH(B1461,$B$2:$B$12000,0)=ROW()-1,1,0))</f>
        <v/>
      </c>
    </row>
    <row r="1462" customFormat="false" ht="15" hidden="false" customHeight="false" outlineLevel="0" collapsed="false">
      <c r="V1462" s="23" t="str">
        <f aca="false">IF(ISNUMBER(C1462),YEAR(C1462),"")</f>
        <v/>
      </c>
      <c r="W1462" s="23" t="str">
        <f aca="false">IF(ISNUMBER(C1462),MONTH(C1462),"")</f>
        <v/>
      </c>
      <c r="X1462" s="23" t="str">
        <f aca="false">IF(T1462="","",IF(T1462=0,"No discount",IF(T1462&lt;=0.2,"Low (1-20%)",IF(T1462&lt;=0.4,"Medium (21-40%)","High (&gt;40%)"))))</f>
        <v/>
      </c>
      <c r="Y1462" s="23" t="str">
        <f aca="false">IF(AND(ISNUMBER(C1462),ISNUMBER(D1462)),D1462-C1462,"")</f>
        <v/>
      </c>
      <c r="Z1462" s="23" t="str">
        <f aca="false">IF(B1462="","",IF(MATCH(B1462,$B$2:$B$12000,0)=ROW()-1,1,0))</f>
        <v/>
      </c>
    </row>
    <row r="1463" customFormat="false" ht="15" hidden="false" customHeight="false" outlineLevel="0" collapsed="false">
      <c r="V1463" s="23" t="str">
        <f aca="false">IF(ISNUMBER(C1463),YEAR(C1463),"")</f>
        <v/>
      </c>
      <c r="W1463" s="23" t="str">
        <f aca="false">IF(ISNUMBER(C1463),MONTH(C1463),"")</f>
        <v/>
      </c>
      <c r="X1463" s="23" t="str">
        <f aca="false">IF(T1463="","",IF(T1463=0,"No discount",IF(T1463&lt;=0.2,"Low (1-20%)",IF(T1463&lt;=0.4,"Medium (21-40%)","High (&gt;40%)"))))</f>
        <v/>
      </c>
      <c r="Y1463" s="23" t="str">
        <f aca="false">IF(AND(ISNUMBER(C1463),ISNUMBER(D1463)),D1463-C1463,"")</f>
        <v/>
      </c>
      <c r="Z1463" s="23" t="str">
        <f aca="false">IF(B1463="","",IF(MATCH(B1463,$B$2:$B$12000,0)=ROW()-1,1,0))</f>
        <v/>
      </c>
    </row>
    <row r="1464" customFormat="false" ht="15" hidden="false" customHeight="false" outlineLevel="0" collapsed="false">
      <c r="V1464" s="23" t="str">
        <f aca="false">IF(ISNUMBER(C1464),YEAR(C1464),"")</f>
        <v/>
      </c>
      <c r="W1464" s="23" t="str">
        <f aca="false">IF(ISNUMBER(C1464),MONTH(C1464),"")</f>
        <v/>
      </c>
      <c r="X1464" s="23" t="str">
        <f aca="false">IF(T1464="","",IF(T1464=0,"No discount",IF(T1464&lt;=0.2,"Low (1-20%)",IF(T1464&lt;=0.4,"Medium (21-40%)","High (&gt;40%)"))))</f>
        <v/>
      </c>
      <c r="Y1464" s="23" t="str">
        <f aca="false">IF(AND(ISNUMBER(C1464),ISNUMBER(D1464)),D1464-C1464,"")</f>
        <v/>
      </c>
      <c r="Z1464" s="23" t="str">
        <f aca="false">IF(B1464="","",IF(MATCH(B1464,$B$2:$B$12000,0)=ROW()-1,1,0))</f>
        <v/>
      </c>
    </row>
    <row r="1465" customFormat="false" ht="15" hidden="false" customHeight="false" outlineLevel="0" collapsed="false">
      <c r="V1465" s="23" t="str">
        <f aca="false">IF(ISNUMBER(C1465),YEAR(C1465),"")</f>
        <v/>
      </c>
      <c r="W1465" s="23" t="str">
        <f aca="false">IF(ISNUMBER(C1465),MONTH(C1465),"")</f>
        <v/>
      </c>
      <c r="X1465" s="23" t="str">
        <f aca="false">IF(T1465="","",IF(T1465=0,"No discount",IF(T1465&lt;=0.2,"Low (1-20%)",IF(T1465&lt;=0.4,"Medium (21-40%)","High (&gt;40%)"))))</f>
        <v/>
      </c>
      <c r="Y1465" s="23" t="str">
        <f aca="false">IF(AND(ISNUMBER(C1465),ISNUMBER(D1465)),D1465-C1465,"")</f>
        <v/>
      </c>
      <c r="Z1465" s="23" t="str">
        <f aca="false">IF(B1465="","",IF(MATCH(B1465,$B$2:$B$12000,0)=ROW()-1,1,0))</f>
        <v/>
      </c>
    </row>
    <row r="1466" customFormat="false" ht="15" hidden="false" customHeight="false" outlineLevel="0" collapsed="false">
      <c r="V1466" s="23" t="str">
        <f aca="false">IF(ISNUMBER(C1466),YEAR(C1466),"")</f>
        <v/>
      </c>
      <c r="W1466" s="23" t="str">
        <f aca="false">IF(ISNUMBER(C1466),MONTH(C1466),"")</f>
        <v/>
      </c>
      <c r="X1466" s="23" t="str">
        <f aca="false">IF(T1466="","",IF(T1466=0,"No discount",IF(T1466&lt;=0.2,"Low (1-20%)",IF(T1466&lt;=0.4,"Medium (21-40%)","High (&gt;40%)"))))</f>
        <v/>
      </c>
      <c r="Y1466" s="23" t="str">
        <f aca="false">IF(AND(ISNUMBER(C1466),ISNUMBER(D1466)),D1466-C1466,"")</f>
        <v/>
      </c>
      <c r="Z1466" s="23" t="str">
        <f aca="false">IF(B1466="","",IF(MATCH(B1466,$B$2:$B$12000,0)=ROW()-1,1,0))</f>
        <v/>
      </c>
    </row>
    <row r="1467" customFormat="false" ht="15" hidden="false" customHeight="false" outlineLevel="0" collapsed="false">
      <c r="V1467" s="23" t="str">
        <f aca="false">IF(ISNUMBER(C1467),YEAR(C1467),"")</f>
        <v/>
      </c>
      <c r="W1467" s="23" t="str">
        <f aca="false">IF(ISNUMBER(C1467),MONTH(C1467),"")</f>
        <v/>
      </c>
      <c r="X1467" s="23" t="str">
        <f aca="false">IF(T1467="","",IF(T1467=0,"No discount",IF(T1467&lt;=0.2,"Low (1-20%)",IF(T1467&lt;=0.4,"Medium (21-40%)","High (&gt;40%)"))))</f>
        <v/>
      </c>
      <c r="Y1467" s="23" t="str">
        <f aca="false">IF(AND(ISNUMBER(C1467),ISNUMBER(D1467)),D1467-C1467,"")</f>
        <v/>
      </c>
      <c r="Z1467" s="23" t="str">
        <f aca="false">IF(B1467="","",IF(MATCH(B1467,$B$2:$B$12000,0)=ROW()-1,1,0))</f>
        <v/>
      </c>
    </row>
    <row r="1468" customFormat="false" ht="15" hidden="false" customHeight="false" outlineLevel="0" collapsed="false">
      <c r="V1468" s="23" t="str">
        <f aca="false">IF(ISNUMBER(C1468),YEAR(C1468),"")</f>
        <v/>
      </c>
      <c r="W1468" s="23" t="str">
        <f aca="false">IF(ISNUMBER(C1468),MONTH(C1468),"")</f>
        <v/>
      </c>
      <c r="X1468" s="23" t="str">
        <f aca="false">IF(T1468="","",IF(T1468=0,"No discount",IF(T1468&lt;=0.2,"Low (1-20%)",IF(T1468&lt;=0.4,"Medium (21-40%)","High (&gt;40%)"))))</f>
        <v/>
      </c>
      <c r="Y1468" s="23" t="str">
        <f aca="false">IF(AND(ISNUMBER(C1468),ISNUMBER(D1468)),D1468-C1468,"")</f>
        <v/>
      </c>
      <c r="Z1468" s="23" t="str">
        <f aca="false">IF(B1468="","",IF(MATCH(B1468,$B$2:$B$12000,0)=ROW()-1,1,0))</f>
        <v/>
      </c>
    </row>
    <row r="1469" customFormat="false" ht="15" hidden="false" customHeight="false" outlineLevel="0" collapsed="false">
      <c r="V1469" s="23" t="str">
        <f aca="false">IF(ISNUMBER(C1469),YEAR(C1469),"")</f>
        <v/>
      </c>
      <c r="W1469" s="23" t="str">
        <f aca="false">IF(ISNUMBER(C1469),MONTH(C1469),"")</f>
        <v/>
      </c>
      <c r="X1469" s="23" t="str">
        <f aca="false">IF(T1469="","",IF(T1469=0,"No discount",IF(T1469&lt;=0.2,"Low (1-20%)",IF(T1469&lt;=0.4,"Medium (21-40%)","High (&gt;40%)"))))</f>
        <v/>
      </c>
      <c r="Y1469" s="23" t="str">
        <f aca="false">IF(AND(ISNUMBER(C1469),ISNUMBER(D1469)),D1469-C1469,"")</f>
        <v/>
      </c>
      <c r="Z1469" s="23" t="str">
        <f aca="false">IF(B1469="","",IF(MATCH(B1469,$B$2:$B$12000,0)=ROW()-1,1,0))</f>
        <v/>
      </c>
    </row>
    <row r="1470" customFormat="false" ht="15" hidden="false" customHeight="false" outlineLevel="0" collapsed="false">
      <c r="V1470" s="23" t="str">
        <f aca="false">IF(ISNUMBER(C1470),YEAR(C1470),"")</f>
        <v/>
      </c>
      <c r="W1470" s="23" t="str">
        <f aca="false">IF(ISNUMBER(C1470),MONTH(C1470),"")</f>
        <v/>
      </c>
      <c r="X1470" s="23" t="str">
        <f aca="false">IF(T1470="","",IF(T1470=0,"No discount",IF(T1470&lt;=0.2,"Low (1-20%)",IF(T1470&lt;=0.4,"Medium (21-40%)","High (&gt;40%)"))))</f>
        <v/>
      </c>
      <c r="Y1470" s="23" t="str">
        <f aca="false">IF(AND(ISNUMBER(C1470),ISNUMBER(D1470)),D1470-C1470,"")</f>
        <v/>
      </c>
      <c r="Z1470" s="23" t="str">
        <f aca="false">IF(B1470="","",IF(MATCH(B1470,$B$2:$B$12000,0)=ROW()-1,1,0))</f>
        <v/>
      </c>
    </row>
    <row r="1471" customFormat="false" ht="15" hidden="false" customHeight="false" outlineLevel="0" collapsed="false">
      <c r="V1471" s="23" t="str">
        <f aca="false">IF(ISNUMBER(C1471),YEAR(C1471),"")</f>
        <v/>
      </c>
      <c r="W1471" s="23" t="str">
        <f aca="false">IF(ISNUMBER(C1471),MONTH(C1471),"")</f>
        <v/>
      </c>
      <c r="X1471" s="23" t="str">
        <f aca="false">IF(T1471="","",IF(T1471=0,"No discount",IF(T1471&lt;=0.2,"Low (1-20%)",IF(T1471&lt;=0.4,"Medium (21-40%)","High (&gt;40%)"))))</f>
        <v/>
      </c>
      <c r="Y1471" s="23" t="str">
        <f aca="false">IF(AND(ISNUMBER(C1471),ISNUMBER(D1471)),D1471-C1471,"")</f>
        <v/>
      </c>
      <c r="Z1471" s="23" t="str">
        <f aca="false">IF(B1471="","",IF(MATCH(B1471,$B$2:$B$12000,0)=ROW()-1,1,0))</f>
        <v/>
      </c>
    </row>
    <row r="1472" customFormat="false" ht="15" hidden="false" customHeight="false" outlineLevel="0" collapsed="false">
      <c r="V1472" s="23" t="str">
        <f aca="false">IF(ISNUMBER(C1472),YEAR(C1472),"")</f>
        <v/>
      </c>
      <c r="W1472" s="23" t="str">
        <f aca="false">IF(ISNUMBER(C1472),MONTH(C1472),"")</f>
        <v/>
      </c>
      <c r="X1472" s="23" t="str">
        <f aca="false">IF(T1472="","",IF(T1472=0,"No discount",IF(T1472&lt;=0.2,"Low (1-20%)",IF(T1472&lt;=0.4,"Medium (21-40%)","High (&gt;40%)"))))</f>
        <v/>
      </c>
      <c r="Y1472" s="23" t="str">
        <f aca="false">IF(AND(ISNUMBER(C1472),ISNUMBER(D1472)),D1472-C1472,"")</f>
        <v/>
      </c>
      <c r="Z1472" s="23" t="str">
        <f aca="false">IF(B1472="","",IF(MATCH(B1472,$B$2:$B$12000,0)=ROW()-1,1,0))</f>
        <v/>
      </c>
    </row>
    <row r="1473" customFormat="false" ht="15" hidden="false" customHeight="false" outlineLevel="0" collapsed="false">
      <c r="V1473" s="23" t="str">
        <f aca="false">IF(ISNUMBER(C1473),YEAR(C1473),"")</f>
        <v/>
      </c>
      <c r="W1473" s="23" t="str">
        <f aca="false">IF(ISNUMBER(C1473),MONTH(C1473),"")</f>
        <v/>
      </c>
      <c r="X1473" s="23" t="str">
        <f aca="false">IF(T1473="","",IF(T1473=0,"No discount",IF(T1473&lt;=0.2,"Low (1-20%)",IF(T1473&lt;=0.4,"Medium (21-40%)","High (&gt;40%)"))))</f>
        <v/>
      </c>
      <c r="Y1473" s="23" t="str">
        <f aca="false">IF(AND(ISNUMBER(C1473),ISNUMBER(D1473)),D1473-C1473,"")</f>
        <v/>
      </c>
      <c r="Z1473" s="23" t="str">
        <f aca="false">IF(B1473="","",IF(MATCH(B1473,$B$2:$B$12000,0)=ROW()-1,1,0))</f>
        <v/>
      </c>
    </row>
    <row r="1474" customFormat="false" ht="15" hidden="false" customHeight="false" outlineLevel="0" collapsed="false">
      <c r="V1474" s="23" t="str">
        <f aca="false">IF(ISNUMBER(C1474),YEAR(C1474),"")</f>
        <v/>
      </c>
      <c r="W1474" s="23" t="str">
        <f aca="false">IF(ISNUMBER(C1474),MONTH(C1474),"")</f>
        <v/>
      </c>
      <c r="X1474" s="23" t="str">
        <f aca="false">IF(T1474="","",IF(T1474=0,"No discount",IF(T1474&lt;=0.2,"Low (1-20%)",IF(T1474&lt;=0.4,"Medium (21-40%)","High (&gt;40%)"))))</f>
        <v/>
      </c>
      <c r="Y1474" s="23" t="str">
        <f aca="false">IF(AND(ISNUMBER(C1474),ISNUMBER(D1474)),D1474-C1474,"")</f>
        <v/>
      </c>
      <c r="Z1474" s="23" t="str">
        <f aca="false">IF(B1474="","",IF(MATCH(B1474,$B$2:$B$12000,0)=ROW()-1,1,0))</f>
        <v/>
      </c>
    </row>
    <row r="1475" customFormat="false" ht="15" hidden="false" customHeight="false" outlineLevel="0" collapsed="false">
      <c r="V1475" s="23" t="str">
        <f aca="false">IF(ISNUMBER(C1475),YEAR(C1475),"")</f>
        <v/>
      </c>
      <c r="W1475" s="23" t="str">
        <f aca="false">IF(ISNUMBER(C1475),MONTH(C1475),"")</f>
        <v/>
      </c>
      <c r="X1475" s="23" t="str">
        <f aca="false">IF(T1475="","",IF(T1475=0,"No discount",IF(T1475&lt;=0.2,"Low (1-20%)",IF(T1475&lt;=0.4,"Medium (21-40%)","High (&gt;40%)"))))</f>
        <v/>
      </c>
      <c r="Y1475" s="23" t="str">
        <f aca="false">IF(AND(ISNUMBER(C1475),ISNUMBER(D1475)),D1475-C1475,"")</f>
        <v/>
      </c>
      <c r="Z1475" s="23" t="str">
        <f aca="false">IF(B1475="","",IF(MATCH(B1475,$B$2:$B$12000,0)=ROW()-1,1,0))</f>
        <v/>
      </c>
    </row>
    <row r="1476" customFormat="false" ht="15" hidden="false" customHeight="false" outlineLevel="0" collapsed="false">
      <c r="V1476" s="23" t="str">
        <f aca="false">IF(ISNUMBER(C1476),YEAR(C1476),"")</f>
        <v/>
      </c>
      <c r="W1476" s="23" t="str">
        <f aca="false">IF(ISNUMBER(C1476),MONTH(C1476),"")</f>
        <v/>
      </c>
      <c r="X1476" s="23" t="str">
        <f aca="false">IF(T1476="","",IF(T1476=0,"No discount",IF(T1476&lt;=0.2,"Low (1-20%)",IF(T1476&lt;=0.4,"Medium (21-40%)","High (&gt;40%)"))))</f>
        <v/>
      </c>
      <c r="Y1476" s="23" t="str">
        <f aca="false">IF(AND(ISNUMBER(C1476),ISNUMBER(D1476)),D1476-C1476,"")</f>
        <v/>
      </c>
      <c r="Z1476" s="23" t="str">
        <f aca="false">IF(B1476="","",IF(MATCH(B1476,$B$2:$B$12000,0)=ROW()-1,1,0))</f>
        <v/>
      </c>
    </row>
    <row r="1477" customFormat="false" ht="15" hidden="false" customHeight="false" outlineLevel="0" collapsed="false">
      <c r="V1477" s="23" t="str">
        <f aca="false">IF(ISNUMBER(C1477),YEAR(C1477),"")</f>
        <v/>
      </c>
      <c r="W1477" s="23" t="str">
        <f aca="false">IF(ISNUMBER(C1477),MONTH(C1477),"")</f>
        <v/>
      </c>
      <c r="X1477" s="23" t="str">
        <f aca="false">IF(T1477="","",IF(T1477=0,"No discount",IF(T1477&lt;=0.2,"Low (1-20%)",IF(T1477&lt;=0.4,"Medium (21-40%)","High (&gt;40%)"))))</f>
        <v/>
      </c>
      <c r="Y1477" s="23" t="str">
        <f aca="false">IF(AND(ISNUMBER(C1477),ISNUMBER(D1477)),D1477-C1477,"")</f>
        <v/>
      </c>
      <c r="Z1477" s="23" t="str">
        <f aca="false">IF(B1477="","",IF(MATCH(B1477,$B$2:$B$12000,0)=ROW()-1,1,0))</f>
        <v/>
      </c>
    </row>
    <row r="1478" customFormat="false" ht="15" hidden="false" customHeight="false" outlineLevel="0" collapsed="false">
      <c r="V1478" s="23" t="str">
        <f aca="false">IF(ISNUMBER(C1478),YEAR(C1478),"")</f>
        <v/>
      </c>
      <c r="W1478" s="23" t="str">
        <f aca="false">IF(ISNUMBER(C1478),MONTH(C1478),"")</f>
        <v/>
      </c>
      <c r="X1478" s="23" t="str">
        <f aca="false">IF(T1478="","",IF(T1478=0,"No discount",IF(T1478&lt;=0.2,"Low (1-20%)",IF(T1478&lt;=0.4,"Medium (21-40%)","High (&gt;40%)"))))</f>
        <v/>
      </c>
      <c r="Y1478" s="23" t="str">
        <f aca="false">IF(AND(ISNUMBER(C1478),ISNUMBER(D1478)),D1478-C1478,"")</f>
        <v/>
      </c>
      <c r="Z1478" s="23" t="str">
        <f aca="false">IF(B1478="","",IF(MATCH(B1478,$B$2:$B$12000,0)=ROW()-1,1,0))</f>
        <v/>
      </c>
    </row>
    <row r="1479" customFormat="false" ht="15" hidden="false" customHeight="false" outlineLevel="0" collapsed="false">
      <c r="V1479" s="23" t="str">
        <f aca="false">IF(ISNUMBER(C1479),YEAR(C1479),"")</f>
        <v/>
      </c>
      <c r="W1479" s="23" t="str">
        <f aca="false">IF(ISNUMBER(C1479),MONTH(C1479),"")</f>
        <v/>
      </c>
      <c r="X1479" s="23" t="str">
        <f aca="false">IF(T1479="","",IF(T1479=0,"No discount",IF(T1479&lt;=0.2,"Low (1-20%)",IF(T1479&lt;=0.4,"Medium (21-40%)","High (&gt;40%)"))))</f>
        <v/>
      </c>
      <c r="Y1479" s="23" t="str">
        <f aca="false">IF(AND(ISNUMBER(C1479),ISNUMBER(D1479)),D1479-C1479,"")</f>
        <v/>
      </c>
      <c r="Z1479" s="23" t="str">
        <f aca="false">IF(B1479="","",IF(MATCH(B1479,$B$2:$B$12000,0)=ROW()-1,1,0))</f>
        <v/>
      </c>
    </row>
    <row r="1480" customFormat="false" ht="15" hidden="false" customHeight="false" outlineLevel="0" collapsed="false">
      <c r="V1480" s="23" t="str">
        <f aca="false">IF(ISNUMBER(C1480),YEAR(C1480),"")</f>
        <v/>
      </c>
      <c r="W1480" s="23" t="str">
        <f aca="false">IF(ISNUMBER(C1480),MONTH(C1480),"")</f>
        <v/>
      </c>
      <c r="X1480" s="23" t="str">
        <f aca="false">IF(T1480="","",IF(T1480=0,"No discount",IF(T1480&lt;=0.2,"Low (1-20%)",IF(T1480&lt;=0.4,"Medium (21-40%)","High (&gt;40%)"))))</f>
        <v/>
      </c>
      <c r="Y1480" s="23" t="str">
        <f aca="false">IF(AND(ISNUMBER(C1480),ISNUMBER(D1480)),D1480-C1480,"")</f>
        <v/>
      </c>
      <c r="Z1480" s="23" t="str">
        <f aca="false">IF(B1480="","",IF(MATCH(B1480,$B$2:$B$12000,0)=ROW()-1,1,0))</f>
        <v/>
      </c>
    </row>
    <row r="1481" customFormat="false" ht="15" hidden="false" customHeight="false" outlineLevel="0" collapsed="false">
      <c r="V1481" s="23" t="str">
        <f aca="false">IF(ISNUMBER(C1481),YEAR(C1481),"")</f>
        <v/>
      </c>
      <c r="W1481" s="23" t="str">
        <f aca="false">IF(ISNUMBER(C1481),MONTH(C1481),"")</f>
        <v/>
      </c>
      <c r="X1481" s="23" t="str">
        <f aca="false">IF(T1481="","",IF(T1481=0,"No discount",IF(T1481&lt;=0.2,"Low (1-20%)",IF(T1481&lt;=0.4,"Medium (21-40%)","High (&gt;40%)"))))</f>
        <v/>
      </c>
      <c r="Y1481" s="23" t="str">
        <f aca="false">IF(AND(ISNUMBER(C1481),ISNUMBER(D1481)),D1481-C1481,"")</f>
        <v/>
      </c>
      <c r="Z1481" s="23" t="str">
        <f aca="false">IF(B1481="","",IF(MATCH(B1481,$B$2:$B$12000,0)=ROW()-1,1,0))</f>
        <v/>
      </c>
    </row>
    <row r="1482" customFormat="false" ht="15" hidden="false" customHeight="false" outlineLevel="0" collapsed="false">
      <c r="V1482" s="23" t="str">
        <f aca="false">IF(ISNUMBER(C1482),YEAR(C1482),"")</f>
        <v/>
      </c>
      <c r="W1482" s="23" t="str">
        <f aca="false">IF(ISNUMBER(C1482),MONTH(C1482),"")</f>
        <v/>
      </c>
      <c r="X1482" s="23" t="str">
        <f aca="false">IF(T1482="","",IF(T1482=0,"No discount",IF(T1482&lt;=0.2,"Low (1-20%)",IF(T1482&lt;=0.4,"Medium (21-40%)","High (&gt;40%)"))))</f>
        <v/>
      </c>
      <c r="Y1482" s="23" t="str">
        <f aca="false">IF(AND(ISNUMBER(C1482),ISNUMBER(D1482)),D1482-C1482,"")</f>
        <v/>
      </c>
      <c r="Z1482" s="23" t="str">
        <f aca="false">IF(B1482="","",IF(MATCH(B1482,$B$2:$B$12000,0)=ROW()-1,1,0))</f>
        <v/>
      </c>
    </row>
    <row r="1483" customFormat="false" ht="15" hidden="false" customHeight="false" outlineLevel="0" collapsed="false">
      <c r="V1483" s="23" t="str">
        <f aca="false">IF(ISNUMBER(C1483),YEAR(C1483),"")</f>
        <v/>
      </c>
      <c r="W1483" s="23" t="str">
        <f aca="false">IF(ISNUMBER(C1483),MONTH(C1483),"")</f>
        <v/>
      </c>
      <c r="X1483" s="23" t="str">
        <f aca="false">IF(T1483="","",IF(T1483=0,"No discount",IF(T1483&lt;=0.2,"Low (1-20%)",IF(T1483&lt;=0.4,"Medium (21-40%)","High (&gt;40%)"))))</f>
        <v/>
      </c>
      <c r="Y1483" s="23" t="str">
        <f aca="false">IF(AND(ISNUMBER(C1483),ISNUMBER(D1483)),D1483-C1483,"")</f>
        <v/>
      </c>
      <c r="Z1483" s="23" t="str">
        <f aca="false">IF(B1483="","",IF(MATCH(B1483,$B$2:$B$12000,0)=ROW()-1,1,0))</f>
        <v/>
      </c>
    </row>
    <row r="1484" customFormat="false" ht="15" hidden="false" customHeight="false" outlineLevel="0" collapsed="false">
      <c r="V1484" s="23" t="str">
        <f aca="false">IF(ISNUMBER(C1484),YEAR(C1484),"")</f>
        <v/>
      </c>
      <c r="W1484" s="23" t="str">
        <f aca="false">IF(ISNUMBER(C1484),MONTH(C1484),"")</f>
        <v/>
      </c>
      <c r="X1484" s="23" t="str">
        <f aca="false">IF(T1484="","",IF(T1484=0,"No discount",IF(T1484&lt;=0.2,"Low (1-20%)",IF(T1484&lt;=0.4,"Medium (21-40%)","High (&gt;40%)"))))</f>
        <v/>
      </c>
      <c r="Y1484" s="23" t="str">
        <f aca="false">IF(AND(ISNUMBER(C1484),ISNUMBER(D1484)),D1484-C1484,"")</f>
        <v/>
      </c>
      <c r="Z1484" s="23" t="str">
        <f aca="false">IF(B1484="","",IF(MATCH(B1484,$B$2:$B$12000,0)=ROW()-1,1,0))</f>
        <v/>
      </c>
    </row>
    <row r="1485" customFormat="false" ht="15" hidden="false" customHeight="false" outlineLevel="0" collapsed="false">
      <c r="V1485" s="23" t="str">
        <f aca="false">IF(ISNUMBER(C1485),YEAR(C1485),"")</f>
        <v/>
      </c>
      <c r="W1485" s="23" t="str">
        <f aca="false">IF(ISNUMBER(C1485),MONTH(C1485),"")</f>
        <v/>
      </c>
      <c r="X1485" s="23" t="str">
        <f aca="false">IF(T1485="","",IF(T1485=0,"No discount",IF(T1485&lt;=0.2,"Low (1-20%)",IF(T1485&lt;=0.4,"Medium (21-40%)","High (&gt;40%)"))))</f>
        <v/>
      </c>
      <c r="Y1485" s="23" t="str">
        <f aca="false">IF(AND(ISNUMBER(C1485),ISNUMBER(D1485)),D1485-C1485,"")</f>
        <v/>
      </c>
      <c r="Z1485" s="23" t="str">
        <f aca="false">IF(B1485="","",IF(MATCH(B1485,$B$2:$B$12000,0)=ROW()-1,1,0))</f>
        <v/>
      </c>
    </row>
    <row r="1486" customFormat="false" ht="15" hidden="false" customHeight="false" outlineLevel="0" collapsed="false">
      <c r="V1486" s="23" t="str">
        <f aca="false">IF(ISNUMBER(C1486),YEAR(C1486),"")</f>
        <v/>
      </c>
      <c r="W1486" s="23" t="str">
        <f aca="false">IF(ISNUMBER(C1486),MONTH(C1486),"")</f>
        <v/>
      </c>
      <c r="X1486" s="23" t="str">
        <f aca="false">IF(T1486="","",IF(T1486=0,"No discount",IF(T1486&lt;=0.2,"Low (1-20%)",IF(T1486&lt;=0.4,"Medium (21-40%)","High (&gt;40%)"))))</f>
        <v/>
      </c>
      <c r="Y1486" s="23" t="str">
        <f aca="false">IF(AND(ISNUMBER(C1486),ISNUMBER(D1486)),D1486-C1486,"")</f>
        <v/>
      </c>
      <c r="Z1486" s="23" t="str">
        <f aca="false">IF(B1486="","",IF(MATCH(B1486,$B$2:$B$12000,0)=ROW()-1,1,0))</f>
        <v/>
      </c>
    </row>
    <row r="1487" customFormat="false" ht="15" hidden="false" customHeight="false" outlineLevel="0" collapsed="false">
      <c r="V1487" s="23" t="str">
        <f aca="false">IF(ISNUMBER(C1487),YEAR(C1487),"")</f>
        <v/>
      </c>
      <c r="W1487" s="23" t="str">
        <f aca="false">IF(ISNUMBER(C1487),MONTH(C1487),"")</f>
        <v/>
      </c>
      <c r="X1487" s="23" t="str">
        <f aca="false">IF(T1487="","",IF(T1487=0,"No discount",IF(T1487&lt;=0.2,"Low (1-20%)",IF(T1487&lt;=0.4,"Medium (21-40%)","High (&gt;40%)"))))</f>
        <v/>
      </c>
      <c r="Y1487" s="23" t="str">
        <f aca="false">IF(AND(ISNUMBER(C1487),ISNUMBER(D1487)),D1487-C1487,"")</f>
        <v/>
      </c>
      <c r="Z1487" s="23" t="str">
        <f aca="false">IF(B1487="","",IF(MATCH(B1487,$B$2:$B$12000,0)=ROW()-1,1,0))</f>
        <v/>
      </c>
    </row>
    <row r="1488" customFormat="false" ht="15" hidden="false" customHeight="false" outlineLevel="0" collapsed="false">
      <c r="V1488" s="23" t="str">
        <f aca="false">IF(ISNUMBER(C1488),YEAR(C1488),"")</f>
        <v/>
      </c>
      <c r="W1488" s="23" t="str">
        <f aca="false">IF(ISNUMBER(C1488),MONTH(C1488),"")</f>
        <v/>
      </c>
      <c r="X1488" s="23" t="str">
        <f aca="false">IF(T1488="","",IF(T1488=0,"No discount",IF(T1488&lt;=0.2,"Low (1-20%)",IF(T1488&lt;=0.4,"Medium (21-40%)","High (&gt;40%)"))))</f>
        <v/>
      </c>
      <c r="Y1488" s="23" t="str">
        <f aca="false">IF(AND(ISNUMBER(C1488),ISNUMBER(D1488)),D1488-C1488,"")</f>
        <v/>
      </c>
      <c r="Z1488" s="23" t="str">
        <f aca="false">IF(B1488="","",IF(MATCH(B1488,$B$2:$B$12000,0)=ROW()-1,1,0))</f>
        <v/>
      </c>
    </row>
    <row r="1489" customFormat="false" ht="15" hidden="false" customHeight="false" outlineLevel="0" collapsed="false">
      <c r="V1489" s="23" t="str">
        <f aca="false">IF(ISNUMBER(C1489),YEAR(C1489),"")</f>
        <v/>
      </c>
      <c r="W1489" s="23" t="str">
        <f aca="false">IF(ISNUMBER(C1489),MONTH(C1489),"")</f>
        <v/>
      </c>
      <c r="X1489" s="23" t="str">
        <f aca="false">IF(T1489="","",IF(T1489=0,"No discount",IF(T1489&lt;=0.2,"Low (1-20%)",IF(T1489&lt;=0.4,"Medium (21-40%)","High (&gt;40%)"))))</f>
        <v/>
      </c>
      <c r="Y1489" s="23" t="str">
        <f aca="false">IF(AND(ISNUMBER(C1489),ISNUMBER(D1489)),D1489-C1489,"")</f>
        <v/>
      </c>
      <c r="Z1489" s="23" t="str">
        <f aca="false">IF(B1489="","",IF(MATCH(B1489,$B$2:$B$12000,0)=ROW()-1,1,0))</f>
        <v/>
      </c>
    </row>
    <row r="1490" customFormat="false" ht="15" hidden="false" customHeight="false" outlineLevel="0" collapsed="false">
      <c r="V1490" s="23" t="str">
        <f aca="false">IF(ISNUMBER(C1490),YEAR(C1490),"")</f>
        <v/>
      </c>
      <c r="W1490" s="23" t="str">
        <f aca="false">IF(ISNUMBER(C1490),MONTH(C1490),"")</f>
        <v/>
      </c>
      <c r="X1490" s="23" t="str">
        <f aca="false">IF(T1490="","",IF(T1490=0,"No discount",IF(T1490&lt;=0.2,"Low (1-20%)",IF(T1490&lt;=0.4,"Medium (21-40%)","High (&gt;40%)"))))</f>
        <v/>
      </c>
      <c r="Y1490" s="23" t="str">
        <f aca="false">IF(AND(ISNUMBER(C1490),ISNUMBER(D1490)),D1490-C1490,"")</f>
        <v/>
      </c>
      <c r="Z1490" s="23" t="str">
        <f aca="false">IF(B1490="","",IF(MATCH(B1490,$B$2:$B$12000,0)=ROW()-1,1,0))</f>
        <v/>
      </c>
    </row>
    <row r="1491" customFormat="false" ht="15" hidden="false" customHeight="false" outlineLevel="0" collapsed="false">
      <c r="V1491" s="23" t="str">
        <f aca="false">IF(ISNUMBER(C1491),YEAR(C1491),"")</f>
        <v/>
      </c>
      <c r="W1491" s="23" t="str">
        <f aca="false">IF(ISNUMBER(C1491),MONTH(C1491),"")</f>
        <v/>
      </c>
      <c r="X1491" s="23" t="str">
        <f aca="false">IF(T1491="","",IF(T1491=0,"No discount",IF(T1491&lt;=0.2,"Low (1-20%)",IF(T1491&lt;=0.4,"Medium (21-40%)","High (&gt;40%)"))))</f>
        <v/>
      </c>
      <c r="Y1491" s="23" t="str">
        <f aca="false">IF(AND(ISNUMBER(C1491),ISNUMBER(D1491)),D1491-C1491,"")</f>
        <v/>
      </c>
      <c r="Z1491" s="23" t="str">
        <f aca="false">IF(B1491="","",IF(MATCH(B1491,$B$2:$B$12000,0)=ROW()-1,1,0))</f>
        <v/>
      </c>
    </row>
    <row r="1492" customFormat="false" ht="15" hidden="false" customHeight="false" outlineLevel="0" collapsed="false">
      <c r="V1492" s="23" t="str">
        <f aca="false">IF(ISNUMBER(C1492),YEAR(C1492),"")</f>
        <v/>
      </c>
      <c r="W1492" s="23" t="str">
        <f aca="false">IF(ISNUMBER(C1492),MONTH(C1492),"")</f>
        <v/>
      </c>
      <c r="X1492" s="23" t="str">
        <f aca="false">IF(T1492="","",IF(T1492=0,"No discount",IF(T1492&lt;=0.2,"Low (1-20%)",IF(T1492&lt;=0.4,"Medium (21-40%)","High (&gt;40%)"))))</f>
        <v/>
      </c>
      <c r="Y1492" s="23" t="str">
        <f aca="false">IF(AND(ISNUMBER(C1492),ISNUMBER(D1492)),D1492-C1492,"")</f>
        <v/>
      </c>
      <c r="Z1492" s="23" t="str">
        <f aca="false">IF(B1492="","",IF(MATCH(B1492,$B$2:$B$12000,0)=ROW()-1,1,0))</f>
        <v/>
      </c>
    </row>
    <row r="1493" customFormat="false" ht="15" hidden="false" customHeight="false" outlineLevel="0" collapsed="false">
      <c r="V1493" s="23" t="str">
        <f aca="false">IF(ISNUMBER(C1493),YEAR(C1493),"")</f>
        <v/>
      </c>
      <c r="W1493" s="23" t="str">
        <f aca="false">IF(ISNUMBER(C1493),MONTH(C1493),"")</f>
        <v/>
      </c>
      <c r="X1493" s="23" t="str">
        <f aca="false">IF(T1493="","",IF(T1493=0,"No discount",IF(T1493&lt;=0.2,"Low (1-20%)",IF(T1493&lt;=0.4,"Medium (21-40%)","High (&gt;40%)"))))</f>
        <v/>
      </c>
      <c r="Y1493" s="23" t="str">
        <f aca="false">IF(AND(ISNUMBER(C1493),ISNUMBER(D1493)),D1493-C1493,"")</f>
        <v/>
      </c>
      <c r="Z1493" s="23" t="str">
        <f aca="false">IF(B1493="","",IF(MATCH(B1493,$B$2:$B$12000,0)=ROW()-1,1,0))</f>
        <v/>
      </c>
    </row>
    <row r="1494" customFormat="false" ht="15" hidden="false" customHeight="false" outlineLevel="0" collapsed="false">
      <c r="V1494" s="23" t="str">
        <f aca="false">IF(ISNUMBER(C1494),YEAR(C1494),"")</f>
        <v/>
      </c>
      <c r="W1494" s="23" t="str">
        <f aca="false">IF(ISNUMBER(C1494),MONTH(C1494),"")</f>
        <v/>
      </c>
      <c r="X1494" s="23" t="str">
        <f aca="false">IF(T1494="","",IF(T1494=0,"No discount",IF(T1494&lt;=0.2,"Low (1-20%)",IF(T1494&lt;=0.4,"Medium (21-40%)","High (&gt;40%)"))))</f>
        <v/>
      </c>
      <c r="Y1494" s="23" t="str">
        <f aca="false">IF(AND(ISNUMBER(C1494),ISNUMBER(D1494)),D1494-C1494,"")</f>
        <v/>
      </c>
      <c r="Z1494" s="23" t="str">
        <f aca="false">IF(B1494="","",IF(MATCH(B1494,$B$2:$B$12000,0)=ROW()-1,1,0))</f>
        <v/>
      </c>
    </row>
    <row r="1495" customFormat="false" ht="15" hidden="false" customHeight="false" outlineLevel="0" collapsed="false">
      <c r="V1495" s="23" t="str">
        <f aca="false">IF(ISNUMBER(C1495),YEAR(C1495),"")</f>
        <v/>
      </c>
      <c r="W1495" s="23" t="str">
        <f aca="false">IF(ISNUMBER(C1495),MONTH(C1495),"")</f>
        <v/>
      </c>
      <c r="X1495" s="23" t="str">
        <f aca="false">IF(T1495="","",IF(T1495=0,"No discount",IF(T1495&lt;=0.2,"Low (1-20%)",IF(T1495&lt;=0.4,"Medium (21-40%)","High (&gt;40%)"))))</f>
        <v/>
      </c>
      <c r="Y1495" s="23" t="str">
        <f aca="false">IF(AND(ISNUMBER(C1495),ISNUMBER(D1495)),D1495-C1495,"")</f>
        <v/>
      </c>
      <c r="Z1495" s="23" t="str">
        <f aca="false">IF(B1495="","",IF(MATCH(B1495,$B$2:$B$12000,0)=ROW()-1,1,0))</f>
        <v/>
      </c>
    </row>
    <row r="1496" customFormat="false" ht="15" hidden="false" customHeight="false" outlineLevel="0" collapsed="false">
      <c r="V1496" s="23" t="str">
        <f aca="false">IF(ISNUMBER(C1496),YEAR(C1496),"")</f>
        <v/>
      </c>
      <c r="W1496" s="23" t="str">
        <f aca="false">IF(ISNUMBER(C1496),MONTH(C1496),"")</f>
        <v/>
      </c>
      <c r="X1496" s="23" t="str">
        <f aca="false">IF(T1496="","",IF(T1496=0,"No discount",IF(T1496&lt;=0.2,"Low (1-20%)",IF(T1496&lt;=0.4,"Medium (21-40%)","High (&gt;40%)"))))</f>
        <v/>
      </c>
      <c r="Y1496" s="23" t="str">
        <f aca="false">IF(AND(ISNUMBER(C1496),ISNUMBER(D1496)),D1496-C1496,"")</f>
        <v/>
      </c>
      <c r="Z1496" s="23" t="str">
        <f aca="false">IF(B1496="","",IF(MATCH(B1496,$B$2:$B$12000,0)=ROW()-1,1,0))</f>
        <v/>
      </c>
    </row>
    <row r="1497" customFormat="false" ht="15" hidden="false" customHeight="false" outlineLevel="0" collapsed="false">
      <c r="V1497" s="23" t="str">
        <f aca="false">IF(ISNUMBER(C1497),YEAR(C1497),"")</f>
        <v/>
      </c>
      <c r="W1497" s="23" t="str">
        <f aca="false">IF(ISNUMBER(C1497),MONTH(C1497),"")</f>
        <v/>
      </c>
      <c r="X1497" s="23" t="str">
        <f aca="false">IF(T1497="","",IF(T1497=0,"No discount",IF(T1497&lt;=0.2,"Low (1-20%)",IF(T1497&lt;=0.4,"Medium (21-40%)","High (&gt;40%)"))))</f>
        <v/>
      </c>
      <c r="Y1497" s="23" t="str">
        <f aca="false">IF(AND(ISNUMBER(C1497),ISNUMBER(D1497)),D1497-C1497,"")</f>
        <v/>
      </c>
      <c r="Z1497" s="23" t="str">
        <f aca="false">IF(B1497="","",IF(MATCH(B1497,$B$2:$B$12000,0)=ROW()-1,1,0))</f>
        <v/>
      </c>
    </row>
    <row r="1498" customFormat="false" ht="15" hidden="false" customHeight="false" outlineLevel="0" collapsed="false">
      <c r="V1498" s="23" t="str">
        <f aca="false">IF(ISNUMBER(C1498),YEAR(C1498),"")</f>
        <v/>
      </c>
      <c r="W1498" s="23" t="str">
        <f aca="false">IF(ISNUMBER(C1498),MONTH(C1498),"")</f>
        <v/>
      </c>
      <c r="X1498" s="23" t="str">
        <f aca="false">IF(T1498="","",IF(T1498=0,"No discount",IF(T1498&lt;=0.2,"Low (1-20%)",IF(T1498&lt;=0.4,"Medium (21-40%)","High (&gt;40%)"))))</f>
        <v/>
      </c>
      <c r="Y1498" s="23" t="str">
        <f aca="false">IF(AND(ISNUMBER(C1498),ISNUMBER(D1498)),D1498-C1498,"")</f>
        <v/>
      </c>
      <c r="Z1498" s="23" t="str">
        <f aca="false">IF(B1498="","",IF(MATCH(B1498,$B$2:$B$12000,0)=ROW()-1,1,0))</f>
        <v/>
      </c>
    </row>
    <row r="1499" customFormat="false" ht="15" hidden="false" customHeight="false" outlineLevel="0" collapsed="false">
      <c r="V1499" s="23" t="str">
        <f aca="false">IF(ISNUMBER(C1499),YEAR(C1499),"")</f>
        <v/>
      </c>
      <c r="W1499" s="23" t="str">
        <f aca="false">IF(ISNUMBER(C1499),MONTH(C1499),"")</f>
        <v/>
      </c>
      <c r="X1499" s="23" t="str">
        <f aca="false">IF(T1499="","",IF(T1499=0,"No discount",IF(T1499&lt;=0.2,"Low (1-20%)",IF(T1499&lt;=0.4,"Medium (21-40%)","High (&gt;40%)"))))</f>
        <v/>
      </c>
      <c r="Y1499" s="23" t="str">
        <f aca="false">IF(AND(ISNUMBER(C1499),ISNUMBER(D1499)),D1499-C1499,"")</f>
        <v/>
      </c>
      <c r="Z1499" s="23" t="str">
        <f aca="false">IF(B1499="","",IF(MATCH(B1499,$B$2:$B$12000,0)=ROW()-1,1,0))</f>
        <v/>
      </c>
    </row>
    <row r="1500" customFormat="false" ht="15" hidden="false" customHeight="false" outlineLevel="0" collapsed="false">
      <c r="V1500" s="23" t="str">
        <f aca="false">IF(ISNUMBER(C1500),YEAR(C1500),"")</f>
        <v/>
      </c>
      <c r="W1500" s="23" t="str">
        <f aca="false">IF(ISNUMBER(C1500),MONTH(C1500),"")</f>
        <v/>
      </c>
      <c r="X1500" s="23" t="str">
        <f aca="false">IF(T1500="","",IF(T1500=0,"No discount",IF(T1500&lt;=0.2,"Low (1-20%)",IF(T1500&lt;=0.4,"Medium (21-40%)","High (&gt;40%)"))))</f>
        <v/>
      </c>
      <c r="Y1500" s="23" t="str">
        <f aca="false">IF(AND(ISNUMBER(C1500),ISNUMBER(D1500)),D1500-C1500,"")</f>
        <v/>
      </c>
      <c r="Z1500" s="23" t="str">
        <f aca="false">IF(B1500="","",IF(MATCH(B1500,$B$2:$B$12000,0)=ROW()-1,1,0))</f>
        <v/>
      </c>
    </row>
    <row r="1501" customFormat="false" ht="15" hidden="false" customHeight="false" outlineLevel="0" collapsed="false">
      <c r="V1501" s="23" t="str">
        <f aca="false">IF(ISNUMBER(C1501),YEAR(C1501),"")</f>
        <v/>
      </c>
      <c r="W1501" s="23" t="str">
        <f aca="false">IF(ISNUMBER(C1501),MONTH(C1501),"")</f>
        <v/>
      </c>
      <c r="X1501" s="23" t="str">
        <f aca="false">IF(T1501="","",IF(T1501=0,"No discount",IF(T1501&lt;=0.2,"Low (1-20%)",IF(T1501&lt;=0.4,"Medium (21-40%)","High (&gt;40%)"))))</f>
        <v/>
      </c>
      <c r="Y1501" s="23" t="str">
        <f aca="false">IF(AND(ISNUMBER(C1501),ISNUMBER(D1501)),D1501-C1501,"")</f>
        <v/>
      </c>
      <c r="Z1501" s="23" t="str">
        <f aca="false">IF(B1501="","",IF(MATCH(B1501,$B$2:$B$12000,0)=ROW()-1,1,0))</f>
        <v/>
      </c>
    </row>
    <row r="1502" customFormat="false" ht="15" hidden="false" customHeight="false" outlineLevel="0" collapsed="false">
      <c r="V1502" s="23" t="str">
        <f aca="false">IF(ISNUMBER(C1502),YEAR(C1502),"")</f>
        <v/>
      </c>
      <c r="W1502" s="23" t="str">
        <f aca="false">IF(ISNUMBER(C1502),MONTH(C1502),"")</f>
        <v/>
      </c>
      <c r="X1502" s="23" t="str">
        <f aca="false">IF(T1502="","",IF(T1502=0,"No discount",IF(T1502&lt;=0.2,"Low (1-20%)",IF(T1502&lt;=0.4,"Medium (21-40%)","High (&gt;40%)"))))</f>
        <v/>
      </c>
      <c r="Y1502" s="23" t="str">
        <f aca="false">IF(AND(ISNUMBER(C1502),ISNUMBER(D1502)),D1502-C1502,"")</f>
        <v/>
      </c>
      <c r="Z1502" s="23" t="str">
        <f aca="false">IF(B1502="","",IF(MATCH(B1502,$B$2:$B$12000,0)=ROW()-1,1,0))</f>
        <v/>
      </c>
    </row>
    <row r="1503" customFormat="false" ht="15" hidden="false" customHeight="false" outlineLevel="0" collapsed="false">
      <c r="V1503" s="23" t="str">
        <f aca="false">IF(ISNUMBER(C1503),YEAR(C1503),"")</f>
        <v/>
      </c>
      <c r="W1503" s="23" t="str">
        <f aca="false">IF(ISNUMBER(C1503),MONTH(C1503),"")</f>
        <v/>
      </c>
      <c r="X1503" s="23" t="str">
        <f aca="false">IF(T1503="","",IF(T1503=0,"No discount",IF(T1503&lt;=0.2,"Low (1-20%)",IF(T1503&lt;=0.4,"Medium (21-40%)","High (&gt;40%)"))))</f>
        <v/>
      </c>
      <c r="Y1503" s="23" t="str">
        <f aca="false">IF(AND(ISNUMBER(C1503),ISNUMBER(D1503)),D1503-C1503,"")</f>
        <v/>
      </c>
      <c r="Z1503" s="23" t="str">
        <f aca="false">IF(B1503="","",IF(MATCH(B1503,$B$2:$B$12000,0)=ROW()-1,1,0))</f>
        <v/>
      </c>
    </row>
    <row r="1504" customFormat="false" ht="15" hidden="false" customHeight="false" outlineLevel="0" collapsed="false">
      <c r="V1504" s="23" t="str">
        <f aca="false">IF(ISNUMBER(C1504),YEAR(C1504),"")</f>
        <v/>
      </c>
      <c r="W1504" s="23" t="str">
        <f aca="false">IF(ISNUMBER(C1504),MONTH(C1504),"")</f>
        <v/>
      </c>
      <c r="X1504" s="23" t="str">
        <f aca="false">IF(T1504="","",IF(T1504=0,"No discount",IF(T1504&lt;=0.2,"Low (1-20%)",IF(T1504&lt;=0.4,"Medium (21-40%)","High (&gt;40%)"))))</f>
        <v/>
      </c>
      <c r="Y1504" s="23" t="str">
        <f aca="false">IF(AND(ISNUMBER(C1504),ISNUMBER(D1504)),D1504-C1504,"")</f>
        <v/>
      </c>
      <c r="Z1504" s="23" t="str">
        <f aca="false">IF(B1504="","",IF(MATCH(B1504,$B$2:$B$12000,0)=ROW()-1,1,0))</f>
        <v/>
      </c>
    </row>
    <row r="1505" customFormat="false" ht="15" hidden="false" customHeight="false" outlineLevel="0" collapsed="false">
      <c r="V1505" s="23" t="str">
        <f aca="false">IF(ISNUMBER(C1505),YEAR(C1505),"")</f>
        <v/>
      </c>
      <c r="W1505" s="23" t="str">
        <f aca="false">IF(ISNUMBER(C1505),MONTH(C1505),"")</f>
        <v/>
      </c>
      <c r="X1505" s="23" t="str">
        <f aca="false">IF(T1505="","",IF(T1505=0,"No discount",IF(T1505&lt;=0.2,"Low (1-20%)",IF(T1505&lt;=0.4,"Medium (21-40%)","High (&gt;40%)"))))</f>
        <v/>
      </c>
      <c r="Y1505" s="23" t="str">
        <f aca="false">IF(AND(ISNUMBER(C1505),ISNUMBER(D1505)),D1505-C1505,"")</f>
        <v/>
      </c>
      <c r="Z1505" s="23" t="str">
        <f aca="false">IF(B1505="","",IF(MATCH(B1505,$B$2:$B$12000,0)=ROW()-1,1,0))</f>
        <v/>
      </c>
    </row>
    <row r="1506" customFormat="false" ht="15" hidden="false" customHeight="false" outlineLevel="0" collapsed="false">
      <c r="V1506" s="23" t="str">
        <f aca="false">IF(ISNUMBER(C1506),YEAR(C1506),"")</f>
        <v/>
      </c>
      <c r="W1506" s="23" t="str">
        <f aca="false">IF(ISNUMBER(C1506),MONTH(C1506),"")</f>
        <v/>
      </c>
      <c r="X1506" s="23" t="str">
        <f aca="false">IF(T1506="","",IF(T1506=0,"No discount",IF(T1506&lt;=0.2,"Low (1-20%)",IF(T1506&lt;=0.4,"Medium (21-40%)","High (&gt;40%)"))))</f>
        <v/>
      </c>
      <c r="Y1506" s="23" t="str">
        <f aca="false">IF(AND(ISNUMBER(C1506),ISNUMBER(D1506)),D1506-C1506,"")</f>
        <v/>
      </c>
      <c r="Z1506" s="23" t="str">
        <f aca="false">IF(B1506="","",IF(MATCH(B1506,$B$2:$B$12000,0)=ROW()-1,1,0))</f>
        <v/>
      </c>
    </row>
    <row r="1507" customFormat="false" ht="15" hidden="false" customHeight="false" outlineLevel="0" collapsed="false">
      <c r="V1507" s="23" t="str">
        <f aca="false">IF(ISNUMBER(C1507),YEAR(C1507),"")</f>
        <v/>
      </c>
      <c r="W1507" s="23" t="str">
        <f aca="false">IF(ISNUMBER(C1507),MONTH(C1507),"")</f>
        <v/>
      </c>
      <c r="X1507" s="23" t="str">
        <f aca="false">IF(T1507="","",IF(T1507=0,"No discount",IF(T1507&lt;=0.2,"Low (1-20%)",IF(T1507&lt;=0.4,"Medium (21-40%)","High (&gt;40%)"))))</f>
        <v/>
      </c>
      <c r="Y1507" s="23" t="str">
        <f aca="false">IF(AND(ISNUMBER(C1507),ISNUMBER(D1507)),D1507-C1507,"")</f>
        <v/>
      </c>
      <c r="Z1507" s="23" t="str">
        <f aca="false">IF(B1507="","",IF(MATCH(B1507,$B$2:$B$12000,0)=ROW()-1,1,0))</f>
        <v/>
      </c>
    </row>
    <row r="1508" customFormat="false" ht="15" hidden="false" customHeight="false" outlineLevel="0" collapsed="false">
      <c r="V1508" s="23" t="str">
        <f aca="false">IF(ISNUMBER(C1508),YEAR(C1508),"")</f>
        <v/>
      </c>
      <c r="W1508" s="23" t="str">
        <f aca="false">IF(ISNUMBER(C1508),MONTH(C1508),"")</f>
        <v/>
      </c>
      <c r="X1508" s="23" t="str">
        <f aca="false">IF(T1508="","",IF(T1508=0,"No discount",IF(T1508&lt;=0.2,"Low (1-20%)",IF(T1508&lt;=0.4,"Medium (21-40%)","High (&gt;40%)"))))</f>
        <v/>
      </c>
      <c r="Y1508" s="23" t="str">
        <f aca="false">IF(AND(ISNUMBER(C1508),ISNUMBER(D1508)),D1508-C1508,"")</f>
        <v/>
      </c>
      <c r="Z1508" s="23" t="str">
        <f aca="false">IF(B1508="","",IF(MATCH(B1508,$B$2:$B$12000,0)=ROW()-1,1,0))</f>
        <v/>
      </c>
    </row>
    <row r="1509" customFormat="false" ht="15" hidden="false" customHeight="false" outlineLevel="0" collapsed="false">
      <c r="V1509" s="23" t="str">
        <f aca="false">IF(ISNUMBER(C1509),YEAR(C1509),"")</f>
        <v/>
      </c>
      <c r="W1509" s="23" t="str">
        <f aca="false">IF(ISNUMBER(C1509),MONTH(C1509),"")</f>
        <v/>
      </c>
      <c r="X1509" s="23" t="str">
        <f aca="false">IF(T1509="","",IF(T1509=0,"No discount",IF(T1509&lt;=0.2,"Low (1-20%)",IF(T1509&lt;=0.4,"Medium (21-40%)","High (&gt;40%)"))))</f>
        <v/>
      </c>
      <c r="Y1509" s="23" t="str">
        <f aca="false">IF(AND(ISNUMBER(C1509),ISNUMBER(D1509)),D1509-C1509,"")</f>
        <v/>
      </c>
      <c r="Z1509" s="23" t="str">
        <f aca="false">IF(B1509="","",IF(MATCH(B1509,$B$2:$B$12000,0)=ROW()-1,1,0))</f>
        <v/>
      </c>
    </row>
    <row r="1510" customFormat="false" ht="15" hidden="false" customHeight="false" outlineLevel="0" collapsed="false">
      <c r="V1510" s="23" t="str">
        <f aca="false">IF(ISNUMBER(C1510),YEAR(C1510),"")</f>
        <v/>
      </c>
      <c r="W1510" s="23" t="str">
        <f aca="false">IF(ISNUMBER(C1510),MONTH(C1510),"")</f>
        <v/>
      </c>
      <c r="X1510" s="23" t="str">
        <f aca="false">IF(T1510="","",IF(T1510=0,"No discount",IF(T1510&lt;=0.2,"Low (1-20%)",IF(T1510&lt;=0.4,"Medium (21-40%)","High (&gt;40%)"))))</f>
        <v/>
      </c>
      <c r="Y1510" s="23" t="str">
        <f aca="false">IF(AND(ISNUMBER(C1510),ISNUMBER(D1510)),D1510-C1510,"")</f>
        <v/>
      </c>
      <c r="Z1510" s="23" t="str">
        <f aca="false">IF(B1510="","",IF(MATCH(B1510,$B$2:$B$12000,0)=ROW()-1,1,0))</f>
        <v/>
      </c>
    </row>
    <row r="1511" customFormat="false" ht="15" hidden="false" customHeight="false" outlineLevel="0" collapsed="false">
      <c r="V1511" s="23" t="str">
        <f aca="false">IF(ISNUMBER(C1511),YEAR(C1511),"")</f>
        <v/>
      </c>
      <c r="W1511" s="23" t="str">
        <f aca="false">IF(ISNUMBER(C1511),MONTH(C1511),"")</f>
        <v/>
      </c>
      <c r="X1511" s="23" t="str">
        <f aca="false">IF(T1511="","",IF(T1511=0,"No discount",IF(T1511&lt;=0.2,"Low (1-20%)",IF(T1511&lt;=0.4,"Medium (21-40%)","High (&gt;40%)"))))</f>
        <v/>
      </c>
      <c r="Y1511" s="23" t="str">
        <f aca="false">IF(AND(ISNUMBER(C1511),ISNUMBER(D1511)),D1511-C1511,"")</f>
        <v/>
      </c>
      <c r="Z1511" s="23" t="str">
        <f aca="false">IF(B1511="","",IF(MATCH(B1511,$B$2:$B$12000,0)=ROW()-1,1,0))</f>
        <v/>
      </c>
    </row>
    <row r="1512" customFormat="false" ht="15" hidden="false" customHeight="false" outlineLevel="0" collapsed="false">
      <c r="V1512" s="23" t="str">
        <f aca="false">IF(ISNUMBER(C1512),YEAR(C1512),"")</f>
        <v/>
      </c>
      <c r="W1512" s="23" t="str">
        <f aca="false">IF(ISNUMBER(C1512),MONTH(C1512),"")</f>
        <v/>
      </c>
      <c r="X1512" s="23" t="str">
        <f aca="false">IF(T1512="","",IF(T1512=0,"No discount",IF(T1512&lt;=0.2,"Low (1-20%)",IF(T1512&lt;=0.4,"Medium (21-40%)","High (&gt;40%)"))))</f>
        <v/>
      </c>
      <c r="Y1512" s="23" t="str">
        <f aca="false">IF(AND(ISNUMBER(C1512),ISNUMBER(D1512)),D1512-C1512,"")</f>
        <v/>
      </c>
      <c r="Z1512" s="23" t="str">
        <f aca="false">IF(B1512="","",IF(MATCH(B1512,$B$2:$B$12000,0)=ROW()-1,1,0))</f>
        <v/>
      </c>
    </row>
    <row r="1513" customFormat="false" ht="15" hidden="false" customHeight="false" outlineLevel="0" collapsed="false">
      <c r="V1513" s="23" t="str">
        <f aca="false">IF(ISNUMBER(C1513),YEAR(C1513),"")</f>
        <v/>
      </c>
      <c r="W1513" s="23" t="str">
        <f aca="false">IF(ISNUMBER(C1513),MONTH(C1513),"")</f>
        <v/>
      </c>
      <c r="X1513" s="23" t="str">
        <f aca="false">IF(T1513="","",IF(T1513=0,"No discount",IF(T1513&lt;=0.2,"Low (1-20%)",IF(T1513&lt;=0.4,"Medium (21-40%)","High (&gt;40%)"))))</f>
        <v/>
      </c>
      <c r="Y1513" s="23" t="str">
        <f aca="false">IF(AND(ISNUMBER(C1513),ISNUMBER(D1513)),D1513-C1513,"")</f>
        <v/>
      </c>
      <c r="Z1513" s="23" t="str">
        <f aca="false">IF(B1513="","",IF(MATCH(B1513,$B$2:$B$12000,0)=ROW()-1,1,0))</f>
        <v/>
      </c>
    </row>
    <row r="1514" customFormat="false" ht="15" hidden="false" customHeight="false" outlineLevel="0" collapsed="false">
      <c r="V1514" s="23" t="str">
        <f aca="false">IF(ISNUMBER(C1514),YEAR(C1514),"")</f>
        <v/>
      </c>
      <c r="W1514" s="23" t="str">
        <f aca="false">IF(ISNUMBER(C1514),MONTH(C1514),"")</f>
        <v/>
      </c>
      <c r="X1514" s="23" t="str">
        <f aca="false">IF(T1514="","",IF(T1514=0,"No discount",IF(T1514&lt;=0.2,"Low (1-20%)",IF(T1514&lt;=0.4,"Medium (21-40%)","High (&gt;40%)"))))</f>
        <v/>
      </c>
      <c r="Y1514" s="23" t="str">
        <f aca="false">IF(AND(ISNUMBER(C1514),ISNUMBER(D1514)),D1514-C1514,"")</f>
        <v/>
      </c>
      <c r="Z1514" s="23" t="str">
        <f aca="false">IF(B1514="","",IF(MATCH(B1514,$B$2:$B$12000,0)=ROW()-1,1,0))</f>
        <v/>
      </c>
    </row>
    <row r="1515" customFormat="false" ht="15" hidden="false" customHeight="false" outlineLevel="0" collapsed="false">
      <c r="V1515" s="23" t="str">
        <f aca="false">IF(ISNUMBER(C1515),YEAR(C1515),"")</f>
        <v/>
      </c>
      <c r="W1515" s="23" t="str">
        <f aca="false">IF(ISNUMBER(C1515),MONTH(C1515),"")</f>
        <v/>
      </c>
      <c r="X1515" s="23" t="str">
        <f aca="false">IF(T1515="","",IF(T1515=0,"No discount",IF(T1515&lt;=0.2,"Low (1-20%)",IF(T1515&lt;=0.4,"Medium (21-40%)","High (&gt;40%)"))))</f>
        <v/>
      </c>
      <c r="Y1515" s="23" t="str">
        <f aca="false">IF(AND(ISNUMBER(C1515),ISNUMBER(D1515)),D1515-C1515,"")</f>
        <v/>
      </c>
      <c r="Z1515" s="23" t="str">
        <f aca="false">IF(B1515="","",IF(MATCH(B1515,$B$2:$B$12000,0)=ROW()-1,1,0))</f>
        <v/>
      </c>
    </row>
    <row r="1516" customFormat="false" ht="15" hidden="false" customHeight="false" outlineLevel="0" collapsed="false">
      <c r="V1516" s="23" t="str">
        <f aca="false">IF(ISNUMBER(C1516),YEAR(C1516),"")</f>
        <v/>
      </c>
      <c r="W1516" s="23" t="str">
        <f aca="false">IF(ISNUMBER(C1516),MONTH(C1516),"")</f>
        <v/>
      </c>
      <c r="X1516" s="23" t="str">
        <f aca="false">IF(T1516="","",IF(T1516=0,"No discount",IF(T1516&lt;=0.2,"Low (1-20%)",IF(T1516&lt;=0.4,"Medium (21-40%)","High (&gt;40%)"))))</f>
        <v/>
      </c>
      <c r="Y1516" s="23" t="str">
        <f aca="false">IF(AND(ISNUMBER(C1516),ISNUMBER(D1516)),D1516-C1516,"")</f>
        <v/>
      </c>
      <c r="Z1516" s="23" t="str">
        <f aca="false">IF(B1516="","",IF(MATCH(B1516,$B$2:$B$12000,0)=ROW()-1,1,0))</f>
        <v/>
      </c>
    </row>
    <row r="1517" customFormat="false" ht="15" hidden="false" customHeight="false" outlineLevel="0" collapsed="false">
      <c r="V1517" s="23" t="str">
        <f aca="false">IF(ISNUMBER(C1517),YEAR(C1517),"")</f>
        <v/>
      </c>
      <c r="W1517" s="23" t="str">
        <f aca="false">IF(ISNUMBER(C1517),MONTH(C1517),"")</f>
        <v/>
      </c>
      <c r="X1517" s="23" t="str">
        <f aca="false">IF(T1517="","",IF(T1517=0,"No discount",IF(T1517&lt;=0.2,"Low (1-20%)",IF(T1517&lt;=0.4,"Medium (21-40%)","High (&gt;40%)"))))</f>
        <v/>
      </c>
      <c r="Y1517" s="23" t="str">
        <f aca="false">IF(AND(ISNUMBER(C1517),ISNUMBER(D1517)),D1517-C1517,"")</f>
        <v/>
      </c>
      <c r="Z1517" s="23" t="str">
        <f aca="false">IF(B1517="","",IF(MATCH(B1517,$B$2:$B$12000,0)=ROW()-1,1,0))</f>
        <v/>
      </c>
    </row>
    <row r="1518" customFormat="false" ht="15" hidden="false" customHeight="false" outlineLevel="0" collapsed="false">
      <c r="V1518" s="23" t="str">
        <f aca="false">IF(ISNUMBER(C1518),YEAR(C1518),"")</f>
        <v/>
      </c>
      <c r="W1518" s="23" t="str">
        <f aca="false">IF(ISNUMBER(C1518),MONTH(C1518),"")</f>
        <v/>
      </c>
      <c r="X1518" s="23" t="str">
        <f aca="false">IF(T1518="","",IF(T1518=0,"No discount",IF(T1518&lt;=0.2,"Low (1-20%)",IF(T1518&lt;=0.4,"Medium (21-40%)","High (&gt;40%)"))))</f>
        <v/>
      </c>
      <c r="Y1518" s="23" t="str">
        <f aca="false">IF(AND(ISNUMBER(C1518),ISNUMBER(D1518)),D1518-C1518,"")</f>
        <v/>
      </c>
      <c r="Z1518" s="23" t="str">
        <f aca="false">IF(B1518="","",IF(MATCH(B1518,$B$2:$B$12000,0)=ROW()-1,1,0))</f>
        <v/>
      </c>
    </row>
    <row r="1519" customFormat="false" ht="15" hidden="false" customHeight="false" outlineLevel="0" collapsed="false">
      <c r="V1519" s="23" t="str">
        <f aca="false">IF(ISNUMBER(C1519),YEAR(C1519),"")</f>
        <v/>
      </c>
      <c r="W1519" s="23" t="str">
        <f aca="false">IF(ISNUMBER(C1519),MONTH(C1519),"")</f>
        <v/>
      </c>
      <c r="X1519" s="23" t="str">
        <f aca="false">IF(T1519="","",IF(T1519=0,"No discount",IF(T1519&lt;=0.2,"Low (1-20%)",IF(T1519&lt;=0.4,"Medium (21-40%)","High (&gt;40%)"))))</f>
        <v/>
      </c>
      <c r="Y1519" s="23" t="str">
        <f aca="false">IF(AND(ISNUMBER(C1519),ISNUMBER(D1519)),D1519-C1519,"")</f>
        <v/>
      </c>
      <c r="Z1519" s="23" t="str">
        <f aca="false">IF(B1519="","",IF(MATCH(B1519,$B$2:$B$12000,0)=ROW()-1,1,0))</f>
        <v/>
      </c>
    </row>
    <row r="1520" customFormat="false" ht="15" hidden="false" customHeight="false" outlineLevel="0" collapsed="false">
      <c r="V1520" s="23" t="str">
        <f aca="false">IF(ISNUMBER(C1520),YEAR(C1520),"")</f>
        <v/>
      </c>
      <c r="W1520" s="23" t="str">
        <f aca="false">IF(ISNUMBER(C1520),MONTH(C1520),"")</f>
        <v/>
      </c>
      <c r="X1520" s="23" t="str">
        <f aca="false">IF(T1520="","",IF(T1520=0,"No discount",IF(T1520&lt;=0.2,"Low (1-20%)",IF(T1520&lt;=0.4,"Medium (21-40%)","High (&gt;40%)"))))</f>
        <v/>
      </c>
      <c r="Y1520" s="23" t="str">
        <f aca="false">IF(AND(ISNUMBER(C1520),ISNUMBER(D1520)),D1520-C1520,"")</f>
        <v/>
      </c>
      <c r="Z1520" s="23" t="str">
        <f aca="false">IF(B1520="","",IF(MATCH(B1520,$B$2:$B$12000,0)=ROW()-1,1,0))</f>
        <v/>
      </c>
    </row>
    <row r="1521" customFormat="false" ht="15" hidden="false" customHeight="false" outlineLevel="0" collapsed="false">
      <c r="V1521" s="23" t="str">
        <f aca="false">IF(ISNUMBER(C1521),YEAR(C1521),"")</f>
        <v/>
      </c>
      <c r="W1521" s="23" t="str">
        <f aca="false">IF(ISNUMBER(C1521),MONTH(C1521),"")</f>
        <v/>
      </c>
      <c r="X1521" s="23" t="str">
        <f aca="false">IF(T1521="","",IF(T1521=0,"No discount",IF(T1521&lt;=0.2,"Low (1-20%)",IF(T1521&lt;=0.4,"Medium (21-40%)","High (&gt;40%)"))))</f>
        <v/>
      </c>
      <c r="Y1521" s="23" t="str">
        <f aca="false">IF(AND(ISNUMBER(C1521),ISNUMBER(D1521)),D1521-C1521,"")</f>
        <v/>
      </c>
      <c r="Z1521" s="23" t="str">
        <f aca="false">IF(B1521="","",IF(MATCH(B1521,$B$2:$B$12000,0)=ROW()-1,1,0))</f>
        <v/>
      </c>
    </row>
    <row r="1522" customFormat="false" ht="15" hidden="false" customHeight="false" outlineLevel="0" collapsed="false">
      <c r="V1522" s="23" t="str">
        <f aca="false">IF(ISNUMBER(C1522),YEAR(C1522),"")</f>
        <v/>
      </c>
      <c r="W1522" s="23" t="str">
        <f aca="false">IF(ISNUMBER(C1522),MONTH(C1522),"")</f>
        <v/>
      </c>
      <c r="X1522" s="23" t="str">
        <f aca="false">IF(T1522="","",IF(T1522=0,"No discount",IF(T1522&lt;=0.2,"Low (1-20%)",IF(T1522&lt;=0.4,"Medium (21-40%)","High (&gt;40%)"))))</f>
        <v/>
      </c>
      <c r="Y1522" s="23" t="str">
        <f aca="false">IF(AND(ISNUMBER(C1522),ISNUMBER(D1522)),D1522-C1522,"")</f>
        <v/>
      </c>
      <c r="Z1522" s="23" t="str">
        <f aca="false">IF(B1522="","",IF(MATCH(B1522,$B$2:$B$12000,0)=ROW()-1,1,0))</f>
        <v/>
      </c>
    </row>
    <row r="1523" customFormat="false" ht="15" hidden="false" customHeight="false" outlineLevel="0" collapsed="false">
      <c r="V1523" s="23" t="str">
        <f aca="false">IF(ISNUMBER(C1523),YEAR(C1523),"")</f>
        <v/>
      </c>
      <c r="W1523" s="23" t="str">
        <f aca="false">IF(ISNUMBER(C1523),MONTH(C1523),"")</f>
        <v/>
      </c>
      <c r="X1523" s="23" t="str">
        <f aca="false">IF(T1523="","",IF(T1523=0,"No discount",IF(T1523&lt;=0.2,"Low (1-20%)",IF(T1523&lt;=0.4,"Medium (21-40%)","High (&gt;40%)"))))</f>
        <v/>
      </c>
      <c r="Y1523" s="23" t="str">
        <f aca="false">IF(AND(ISNUMBER(C1523),ISNUMBER(D1523)),D1523-C1523,"")</f>
        <v/>
      </c>
      <c r="Z1523" s="23" t="str">
        <f aca="false">IF(B1523="","",IF(MATCH(B1523,$B$2:$B$12000,0)=ROW()-1,1,0))</f>
        <v/>
      </c>
    </row>
    <row r="1524" customFormat="false" ht="15" hidden="false" customHeight="false" outlineLevel="0" collapsed="false">
      <c r="V1524" s="23" t="str">
        <f aca="false">IF(ISNUMBER(C1524),YEAR(C1524),"")</f>
        <v/>
      </c>
      <c r="W1524" s="23" t="str">
        <f aca="false">IF(ISNUMBER(C1524),MONTH(C1524),"")</f>
        <v/>
      </c>
      <c r="X1524" s="23" t="str">
        <f aca="false">IF(T1524="","",IF(T1524=0,"No discount",IF(T1524&lt;=0.2,"Low (1-20%)",IF(T1524&lt;=0.4,"Medium (21-40%)","High (&gt;40%)"))))</f>
        <v/>
      </c>
      <c r="Y1524" s="23" t="str">
        <f aca="false">IF(AND(ISNUMBER(C1524),ISNUMBER(D1524)),D1524-C1524,"")</f>
        <v/>
      </c>
      <c r="Z1524" s="23" t="str">
        <f aca="false">IF(B1524="","",IF(MATCH(B1524,$B$2:$B$12000,0)=ROW()-1,1,0))</f>
        <v/>
      </c>
    </row>
    <row r="1525" customFormat="false" ht="15" hidden="false" customHeight="false" outlineLevel="0" collapsed="false">
      <c r="V1525" s="23" t="str">
        <f aca="false">IF(ISNUMBER(C1525),YEAR(C1525),"")</f>
        <v/>
      </c>
      <c r="W1525" s="23" t="str">
        <f aca="false">IF(ISNUMBER(C1525),MONTH(C1525),"")</f>
        <v/>
      </c>
      <c r="X1525" s="23" t="str">
        <f aca="false">IF(T1525="","",IF(T1525=0,"No discount",IF(T1525&lt;=0.2,"Low (1-20%)",IF(T1525&lt;=0.4,"Medium (21-40%)","High (&gt;40%)"))))</f>
        <v/>
      </c>
      <c r="Y1525" s="23" t="str">
        <f aca="false">IF(AND(ISNUMBER(C1525),ISNUMBER(D1525)),D1525-C1525,"")</f>
        <v/>
      </c>
      <c r="Z1525" s="23" t="str">
        <f aca="false">IF(B1525="","",IF(MATCH(B1525,$B$2:$B$12000,0)=ROW()-1,1,0))</f>
        <v/>
      </c>
    </row>
    <row r="1526" customFormat="false" ht="15" hidden="false" customHeight="false" outlineLevel="0" collapsed="false">
      <c r="V1526" s="23" t="str">
        <f aca="false">IF(ISNUMBER(C1526),YEAR(C1526),"")</f>
        <v/>
      </c>
      <c r="W1526" s="23" t="str">
        <f aca="false">IF(ISNUMBER(C1526),MONTH(C1526),"")</f>
        <v/>
      </c>
      <c r="X1526" s="23" t="str">
        <f aca="false">IF(T1526="","",IF(T1526=0,"No discount",IF(T1526&lt;=0.2,"Low (1-20%)",IF(T1526&lt;=0.4,"Medium (21-40%)","High (&gt;40%)"))))</f>
        <v/>
      </c>
      <c r="Y1526" s="23" t="str">
        <f aca="false">IF(AND(ISNUMBER(C1526),ISNUMBER(D1526)),D1526-C1526,"")</f>
        <v/>
      </c>
      <c r="Z1526" s="23" t="str">
        <f aca="false">IF(B1526="","",IF(MATCH(B1526,$B$2:$B$12000,0)=ROW()-1,1,0))</f>
        <v/>
      </c>
    </row>
    <row r="1527" customFormat="false" ht="15" hidden="false" customHeight="false" outlineLevel="0" collapsed="false">
      <c r="V1527" s="23" t="str">
        <f aca="false">IF(ISNUMBER(C1527),YEAR(C1527),"")</f>
        <v/>
      </c>
      <c r="W1527" s="23" t="str">
        <f aca="false">IF(ISNUMBER(C1527),MONTH(C1527),"")</f>
        <v/>
      </c>
      <c r="X1527" s="23" t="str">
        <f aca="false">IF(T1527="","",IF(T1527=0,"No discount",IF(T1527&lt;=0.2,"Low (1-20%)",IF(T1527&lt;=0.4,"Medium (21-40%)","High (&gt;40%)"))))</f>
        <v/>
      </c>
      <c r="Y1527" s="23" t="str">
        <f aca="false">IF(AND(ISNUMBER(C1527),ISNUMBER(D1527)),D1527-C1527,"")</f>
        <v/>
      </c>
      <c r="Z1527" s="23" t="str">
        <f aca="false">IF(B1527="","",IF(MATCH(B1527,$B$2:$B$12000,0)=ROW()-1,1,0))</f>
        <v/>
      </c>
    </row>
    <row r="1528" customFormat="false" ht="15" hidden="false" customHeight="false" outlineLevel="0" collapsed="false">
      <c r="V1528" s="23" t="str">
        <f aca="false">IF(ISNUMBER(C1528),YEAR(C1528),"")</f>
        <v/>
      </c>
      <c r="W1528" s="23" t="str">
        <f aca="false">IF(ISNUMBER(C1528),MONTH(C1528),"")</f>
        <v/>
      </c>
      <c r="X1528" s="23" t="str">
        <f aca="false">IF(T1528="","",IF(T1528=0,"No discount",IF(T1528&lt;=0.2,"Low (1-20%)",IF(T1528&lt;=0.4,"Medium (21-40%)","High (&gt;40%)"))))</f>
        <v/>
      </c>
      <c r="Y1528" s="23" t="str">
        <f aca="false">IF(AND(ISNUMBER(C1528),ISNUMBER(D1528)),D1528-C1528,"")</f>
        <v/>
      </c>
      <c r="Z1528" s="23" t="str">
        <f aca="false">IF(B1528="","",IF(MATCH(B1528,$B$2:$B$12000,0)=ROW()-1,1,0))</f>
        <v/>
      </c>
    </row>
    <row r="1529" customFormat="false" ht="15" hidden="false" customHeight="false" outlineLevel="0" collapsed="false">
      <c r="V1529" s="23" t="str">
        <f aca="false">IF(ISNUMBER(C1529),YEAR(C1529),"")</f>
        <v/>
      </c>
      <c r="W1529" s="23" t="str">
        <f aca="false">IF(ISNUMBER(C1529),MONTH(C1529),"")</f>
        <v/>
      </c>
      <c r="X1529" s="23" t="str">
        <f aca="false">IF(T1529="","",IF(T1529=0,"No discount",IF(T1529&lt;=0.2,"Low (1-20%)",IF(T1529&lt;=0.4,"Medium (21-40%)","High (&gt;40%)"))))</f>
        <v/>
      </c>
      <c r="Y1529" s="23" t="str">
        <f aca="false">IF(AND(ISNUMBER(C1529),ISNUMBER(D1529)),D1529-C1529,"")</f>
        <v/>
      </c>
      <c r="Z1529" s="23" t="str">
        <f aca="false">IF(B1529="","",IF(MATCH(B1529,$B$2:$B$12000,0)=ROW()-1,1,0))</f>
        <v/>
      </c>
    </row>
    <row r="1530" customFormat="false" ht="15" hidden="false" customHeight="false" outlineLevel="0" collapsed="false">
      <c r="V1530" s="23" t="str">
        <f aca="false">IF(ISNUMBER(C1530),YEAR(C1530),"")</f>
        <v/>
      </c>
      <c r="W1530" s="23" t="str">
        <f aca="false">IF(ISNUMBER(C1530),MONTH(C1530),"")</f>
        <v/>
      </c>
      <c r="X1530" s="23" t="str">
        <f aca="false">IF(T1530="","",IF(T1530=0,"No discount",IF(T1530&lt;=0.2,"Low (1-20%)",IF(T1530&lt;=0.4,"Medium (21-40%)","High (&gt;40%)"))))</f>
        <v/>
      </c>
      <c r="Y1530" s="23" t="str">
        <f aca="false">IF(AND(ISNUMBER(C1530),ISNUMBER(D1530)),D1530-C1530,"")</f>
        <v/>
      </c>
      <c r="Z1530" s="23" t="str">
        <f aca="false">IF(B1530="","",IF(MATCH(B1530,$B$2:$B$12000,0)=ROW()-1,1,0))</f>
        <v/>
      </c>
    </row>
    <row r="1531" customFormat="false" ht="15" hidden="false" customHeight="false" outlineLevel="0" collapsed="false">
      <c r="V1531" s="23" t="str">
        <f aca="false">IF(ISNUMBER(C1531),YEAR(C1531),"")</f>
        <v/>
      </c>
      <c r="W1531" s="23" t="str">
        <f aca="false">IF(ISNUMBER(C1531),MONTH(C1531),"")</f>
        <v/>
      </c>
      <c r="X1531" s="23" t="str">
        <f aca="false">IF(T1531="","",IF(T1531=0,"No discount",IF(T1531&lt;=0.2,"Low (1-20%)",IF(T1531&lt;=0.4,"Medium (21-40%)","High (&gt;40%)"))))</f>
        <v/>
      </c>
      <c r="Y1531" s="23" t="str">
        <f aca="false">IF(AND(ISNUMBER(C1531),ISNUMBER(D1531)),D1531-C1531,"")</f>
        <v/>
      </c>
      <c r="Z1531" s="23" t="str">
        <f aca="false">IF(B1531="","",IF(MATCH(B1531,$B$2:$B$12000,0)=ROW()-1,1,0))</f>
        <v/>
      </c>
    </row>
    <row r="1532" customFormat="false" ht="15" hidden="false" customHeight="false" outlineLevel="0" collapsed="false">
      <c r="V1532" s="23" t="str">
        <f aca="false">IF(ISNUMBER(C1532),YEAR(C1532),"")</f>
        <v/>
      </c>
      <c r="W1532" s="23" t="str">
        <f aca="false">IF(ISNUMBER(C1532),MONTH(C1532),"")</f>
        <v/>
      </c>
      <c r="X1532" s="23" t="str">
        <f aca="false">IF(T1532="","",IF(T1532=0,"No discount",IF(T1532&lt;=0.2,"Low (1-20%)",IF(T1532&lt;=0.4,"Medium (21-40%)","High (&gt;40%)"))))</f>
        <v/>
      </c>
      <c r="Y1532" s="23" t="str">
        <f aca="false">IF(AND(ISNUMBER(C1532),ISNUMBER(D1532)),D1532-C1532,"")</f>
        <v/>
      </c>
      <c r="Z1532" s="23" t="str">
        <f aca="false">IF(B1532="","",IF(MATCH(B1532,$B$2:$B$12000,0)=ROW()-1,1,0))</f>
        <v/>
      </c>
    </row>
    <row r="1533" customFormat="false" ht="15" hidden="false" customHeight="false" outlineLevel="0" collapsed="false">
      <c r="V1533" s="23" t="str">
        <f aca="false">IF(ISNUMBER(C1533),YEAR(C1533),"")</f>
        <v/>
      </c>
      <c r="W1533" s="23" t="str">
        <f aca="false">IF(ISNUMBER(C1533),MONTH(C1533),"")</f>
        <v/>
      </c>
      <c r="X1533" s="23" t="str">
        <f aca="false">IF(T1533="","",IF(T1533=0,"No discount",IF(T1533&lt;=0.2,"Low (1-20%)",IF(T1533&lt;=0.4,"Medium (21-40%)","High (&gt;40%)"))))</f>
        <v/>
      </c>
      <c r="Y1533" s="23" t="str">
        <f aca="false">IF(AND(ISNUMBER(C1533),ISNUMBER(D1533)),D1533-C1533,"")</f>
        <v/>
      </c>
      <c r="Z1533" s="23" t="str">
        <f aca="false">IF(B1533="","",IF(MATCH(B1533,$B$2:$B$12000,0)=ROW()-1,1,0))</f>
        <v/>
      </c>
    </row>
    <row r="1534" customFormat="false" ht="15" hidden="false" customHeight="false" outlineLevel="0" collapsed="false">
      <c r="V1534" s="23" t="str">
        <f aca="false">IF(ISNUMBER(C1534),YEAR(C1534),"")</f>
        <v/>
      </c>
      <c r="W1534" s="23" t="str">
        <f aca="false">IF(ISNUMBER(C1534),MONTH(C1534),"")</f>
        <v/>
      </c>
      <c r="X1534" s="23" t="str">
        <f aca="false">IF(T1534="","",IF(T1534=0,"No discount",IF(T1534&lt;=0.2,"Low (1-20%)",IF(T1534&lt;=0.4,"Medium (21-40%)","High (&gt;40%)"))))</f>
        <v/>
      </c>
      <c r="Y1534" s="23" t="str">
        <f aca="false">IF(AND(ISNUMBER(C1534),ISNUMBER(D1534)),D1534-C1534,"")</f>
        <v/>
      </c>
      <c r="Z1534" s="23" t="str">
        <f aca="false">IF(B1534="","",IF(MATCH(B1534,$B$2:$B$12000,0)=ROW()-1,1,0))</f>
        <v/>
      </c>
    </row>
    <row r="1535" customFormat="false" ht="15" hidden="false" customHeight="false" outlineLevel="0" collapsed="false">
      <c r="V1535" s="23" t="str">
        <f aca="false">IF(ISNUMBER(C1535),YEAR(C1535),"")</f>
        <v/>
      </c>
      <c r="W1535" s="23" t="str">
        <f aca="false">IF(ISNUMBER(C1535),MONTH(C1535),"")</f>
        <v/>
      </c>
      <c r="X1535" s="23" t="str">
        <f aca="false">IF(T1535="","",IF(T1535=0,"No discount",IF(T1535&lt;=0.2,"Low (1-20%)",IF(T1535&lt;=0.4,"Medium (21-40%)","High (&gt;40%)"))))</f>
        <v/>
      </c>
      <c r="Y1535" s="23" t="str">
        <f aca="false">IF(AND(ISNUMBER(C1535),ISNUMBER(D1535)),D1535-C1535,"")</f>
        <v/>
      </c>
      <c r="Z1535" s="23" t="str">
        <f aca="false">IF(B1535="","",IF(MATCH(B1535,$B$2:$B$12000,0)=ROW()-1,1,0))</f>
        <v/>
      </c>
    </row>
    <row r="1536" customFormat="false" ht="15" hidden="false" customHeight="false" outlineLevel="0" collapsed="false">
      <c r="V1536" s="23" t="str">
        <f aca="false">IF(ISNUMBER(C1536),YEAR(C1536),"")</f>
        <v/>
      </c>
      <c r="W1536" s="23" t="str">
        <f aca="false">IF(ISNUMBER(C1536),MONTH(C1536),"")</f>
        <v/>
      </c>
      <c r="X1536" s="23" t="str">
        <f aca="false">IF(T1536="","",IF(T1536=0,"No discount",IF(T1536&lt;=0.2,"Low (1-20%)",IF(T1536&lt;=0.4,"Medium (21-40%)","High (&gt;40%)"))))</f>
        <v/>
      </c>
      <c r="Y1536" s="23" t="str">
        <f aca="false">IF(AND(ISNUMBER(C1536),ISNUMBER(D1536)),D1536-C1536,"")</f>
        <v/>
      </c>
      <c r="Z1536" s="23" t="str">
        <f aca="false">IF(B1536="","",IF(MATCH(B1536,$B$2:$B$12000,0)=ROW()-1,1,0))</f>
        <v/>
      </c>
    </row>
    <row r="1537" customFormat="false" ht="15" hidden="false" customHeight="false" outlineLevel="0" collapsed="false">
      <c r="V1537" s="23" t="str">
        <f aca="false">IF(ISNUMBER(C1537),YEAR(C1537),"")</f>
        <v/>
      </c>
      <c r="W1537" s="23" t="str">
        <f aca="false">IF(ISNUMBER(C1537),MONTH(C1537),"")</f>
        <v/>
      </c>
      <c r="X1537" s="23" t="str">
        <f aca="false">IF(T1537="","",IF(T1537=0,"No discount",IF(T1537&lt;=0.2,"Low (1-20%)",IF(T1537&lt;=0.4,"Medium (21-40%)","High (&gt;40%)"))))</f>
        <v/>
      </c>
      <c r="Y1537" s="23" t="str">
        <f aca="false">IF(AND(ISNUMBER(C1537),ISNUMBER(D1537)),D1537-C1537,"")</f>
        <v/>
      </c>
      <c r="Z1537" s="23" t="str">
        <f aca="false">IF(B1537="","",IF(MATCH(B1537,$B$2:$B$12000,0)=ROW()-1,1,0))</f>
        <v/>
      </c>
    </row>
    <row r="1538" customFormat="false" ht="15" hidden="false" customHeight="false" outlineLevel="0" collapsed="false">
      <c r="V1538" s="23" t="str">
        <f aca="false">IF(ISNUMBER(C1538),YEAR(C1538),"")</f>
        <v/>
      </c>
      <c r="W1538" s="23" t="str">
        <f aca="false">IF(ISNUMBER(C1538),MONTH(C1538),"")</f>
        <v/>
      </c>
      <c r="X1538" s="23" t="str">
        <f aca="false">IF(T1538="","",IF(T1538=0,"No discount",IF(T1538&lt;=0.2,"Low (1-20%)",IF(T1538&lt;=0.4,"Medium (21-40%)","High (&gt;40%)"))))</f>
        <v/>
      </c>
      <c r="Y1538" s="23" t="str">
        <f aca="false">IF(AND(ISNUMBER(C1538),ISNUMBER(D1538)),D1538-C1538,"")</f>
        <v/>
      </c>
      <c r="Z1538" s="23" t="str">
        <f aca="false">IF(B1538="","",IF(MATCH(B1538,$B$2:$B$12000,0)=ROW()-1,1,0))</f>
        <v/>
      </c>
    </row>
    <row r="1539" customFormat="false" ht="15" hidden="false" customHeight="false" outlineLevel="0" collapsed="false">
      <c r="V1539" s="23" t="str">
        <f aca="false">IF(ISNUMBER(C1539),YEAR(C1539),"")</f>
        <v/>
      </c>
      <c r="W1539" s="23" t="str">
        <f aca="false">IF(ISNUMBER(C1539),MONTH(C1539),"")</f>
        <v/>
      </c>
      <c r="X1539" s="23" t="str">
        <f aca="false">IF(T1539="","",IF(T1539=0,"No discount",IF(T1539&lt;=0.2,"Low (1-20%)",IF(T1539&lt;=0.4,"Medium (21-40%)","High (&gt;40%)"))))</f>
        <v/>
      </c>
      <c r="Y1539" s="23" t="str">
        <f aca="false">IF(AND(ISNUMBER(C1539),ISNUMBER(D1539)),D1539-C1539,"")</f>
        <v/>
      </c>
      <c r="Z1539" s="23" t="str">
        <f aca="false">IF(B1539="","",IF(MATCH(B1539,$B$2:$B$12000,0)=ROW()-1,1,0))</f>
        <v/>
      </c>
    </row>
    <row r="1540" customFormat="false" ht="15" hidden="false" customHeight="false" outlineLevel="0" collapsed="false">
      <c r="V1540" s="23" t="str">
        <f aca="false">IF(ISNUMBER(C1540),YEAR(C1540),"")</f>
        <v/>
      </c>
      <c r="W1540" s="23" t="str">
        <f aca="false">IF(ISNUMBER(C1540),MONTH(C1540),"")</f>
        <v/>
      </c>
      <c r="X1540" s="23" t="str">
        <f aca="false">IF(T1540="","",IF(T1540=0,"No discount",IF(T1540&lt;=0.2,"Low (1-20%)",IF(T1540&lt;=0.4,"Medium (21-40%)","High (&gt;40%)"))))</f>
        <v/>
      </c>
      <c r="Y1540" s="23" t="str">
        <f aca="false">IF(AND(ISNUMBER(C1540),ISNUMBER(D1540)),D1540-C1540,"")</f>
        <v/>
      </c>
      <c r="Z1540" s="23" t="str">
        <f aca="false">IF(B1540="","",IF(MATCH(B1540,$B$2:$B$12000,0)=ROW()-1,1,0))</f>
        <v/>
      </c>
    </row>
    <row r="1541" customFormat="false" ht="15" hidden="false" customHeight="false" outlineLevel="0" collapsed="false">
      <c r="V1541" s="23" t="str">
        <f aca="false">IF(ISNUMBER(C1541),YEAR(C1541),"")</f>
        <v/>
      </c>
      <c r="W1541" s="23" t="str">
        <f aca="false">IF(ISNUMBER(C1541),MONTH(C1541),"")</f>
        <v/>
      </c>
      <c r="X1541" s="23" t="str">
        <f aca="false">IF(T1541="","",IF(T1541=0,"No discount",IF(T1541&lt;=0.2,"Low (1-20%)",IF(T1541&lt;=0.4,"Medium (21-40%)","High (&gt;40%)"))))</f>
        <v/>
      </c>
      <c r="Y1541" s="23" t="str">
        <f aca="false">IF(AND(ISNUMBER(C1541),ISNUMBER(D1541)),D1541-C1541,"")</f>
        <v/>
      </c>
      <c r="Z1541" s="23" t="str">
        <f aca="false">IF(B1541="","",IF(MATCH(B1541,$B$2:$B$12000,0)=ROW()-1,1,0))</f>
        <v/>
      </c>
    </row>
    <row r="1542" customFormat="false" ht="15" hidden="false" customHeight="false" outlineLevel="0" collapsed="false">
      <c r="V1542" s="23" t="str">
        <f aca="false">IF(ISNUMBER(C1542),YEAR(C1542),"")</f>
        <v/>
      </c>
      <c r="W1542" s="23" t="str">
        <f aca="false">IF(ISNUMBER(C1542),MONTH(C1542),"")</f>
        <v/>
      </c>
      <c r="X1542" s="23" t="str">
        <f aca="false">IF(T1542="","",IF(T1542=0,"No discount",IF(T1542&lt;=0.2,"Low (1-20%)",IF(T1542&lt;=0.4,"Medium (21-40%)","High (&gt;40%)"))))</f>
        <v/>
      </c>
      <c r="Y1542" s="23" t="str">
        <f aca="false">IF(AND(ISNUMBER(C1542),ISNUMBER(D1542)),D1542-C1542,"")</f>
        <v/>
      </c>
      <c r="Z1542" s="23" t="str">
        <f aca="false">IF(B1542="","",IF(MATCH(B1542,$B$2:$B$12000,0)=ROW()-1,1,0))</f>
        <v/>
      </c>
    </row>
    <row r="1543" customFormat="false" ht="15" hidden="false" customHeight="false" outlineLevel="0" collapsed="false">
      <c r="V1543" s="23" t="str">
        <f aca="false">IF(ISNUMBER(C1543),YEAR(C1543),"")</f>
        <v/>
      </c>
      <c r="W1543" s="23" t="str">
        <f aca="false">IF(ISNUMBER(C1543),MONTH(C1543),"")</f>
        <v/>
      </c>
      <c r="X1543" s="23" t="str">
        <f aca="false">IF(T1543="","",IF(T1543=0,"No discount",IF(T1543&lt;=0.2,"Low (1-20%)",IF(T1543&lt;=0.4,"Medium (21-40%)","High (&gt;40%)"))))</f>
        <v/>
      </c>
      <c r="Y1543" s="23" t="str">
        <f aca="false">IF(AND(ISNUMBER(C1543),ISNUMBER(D1543)),D1543-C1543,"")</f>
        <v/>
      </c>
      <c r="Z1543" s="23" t="str">
        <f aca="false">IF(B1543="","",IF(MATCH(B1543,$B$2:$B$12000,0)=ROW()-1,1,0))</f>
        <v/>
      </c>
    </row>
    <row r="1544" customFormat="false" ht="15" hidden="false" customHeight="false" outlineLevel="0" collapsed="false">
      <c r="V1544" s="23" t="str">
        <f aca="false">IF(ISNUMBER(C1544),YEAR(C1544),"")</f>
        <v/>
      </c>
      <c r="W1544" s="23" t="str">
        <f aca="false">IF(ISNUMBER(C1544),MONTH(C1544),"")</f>
        <v/>
      </c>
      <c r="X1544" s="23" t="str">
        <f aca="false">IF(T1544="","",IF(T1544=0,"No discount",IF(T1544&lt;=0.2,"Low (1-20%)",IF(T1544&lt;=0.4,"Medium (21-40%)","High (&gt;40%)"))))</f>
        <v/>
      </c>
      <c r="Y1544" s="23" t="str">
        <f aca="false">IF(AND(ISNUMBER(C1544),ISNUMBER(D1544)),D1544-C1544,"")</f>
        <v/>
      </c>
      <c r="Z1544" s="23" t="str">
        <f aca="false">IF(B1544="","",IF(MATCH(B1544,$B$2:$B$12000,0)=ROW()-1,1,0))</f>
        <v/>
      </c>
    </row>
    <row r="1545" customFormat="false" ht="15" hidden="false" customHeight="false" outlineLevel="0" collapsed="false">
      <c r="V1545" s="23" t="str">
        <f aca="false">IF(ISNUMBER(C1545),YEAR(C1545),"")</f>
        <v/>
      </c>
      <c r="W1545" s="23" t="str">
        <f aca="false">IF(ISNUMBER(C1545),MONTH(C1545),"")</f>
        <v/>
      </c>
      <c r="X1545" s="23" t="str">
        <f aca="false">IF(T1545="","",IF(T1545=0,"No discount",IF(T1545&lt;=0.2,"Low (1-20%)",IF(T1545&lt;=0.4,"Medium (21-40%)","High (&gt;40%)"))))</f>
        <v/>
      </c>
      <c r="Y1545" s="23" t="str">
        <f aca="false">IF(AND(ISNUMBER(C1545),ISNUMBER(D1545)),D1545-C1545,"")</f>
        <v/>
      </c>
      <c r="Z1545" s="23" t="str">
        <f aca="false">IF(B1545="","",IF(MATCH(B1545,$B$2:$B$12000,0)=ROW()-1,1,0))</f>
        <v/>
      </c>
    </row>
    <row r="1546" customFormat="false" ht="15" hidden="false" customHeight="false" outlineLevel="0" collapsed="false">
      <c r="V1546" s="23" t="str">
        <f aca="false">IF(ISNUMBER(C1546),YEAR(C1546),"")</f>
        <v/>
      </c>
      <c r="W1546" s="23" t="str">
        <f aca="false">IF(ISNUMBER(C1546),MONTH(C1546),"")</f>
        <v/>
      </c>
      <c r="X1546" s="23" t="str">
        <f aca="false">IF(T1546="","",IF(T1546=0,"No discount",IF(T1546&lt;=0.2,"Low (1-20%)",IF(T1546&lt;=0.4,"Medium (21-40%)","High (&gt;40%)"))))</f>
        <v/>
      </c>
      <c r="Y1546" s="23" t="str">
        <f aca="false">IF(AND(ISNUMBER(C1546),ISNUMBER(D1546)),D1546-C1546,"")</f>
        <v/>
      </c>
      <c r="Z1546" s="23" t="str">
        <f aca="false">IF(B1546="","",IF(MATCH(B1546,$B$2:$B$12000,0)=ROW()-1,1,0))</f>
        <v/>
      </c>
    </row>
    <row r="1547" customFormat="false" ht="15" hidden="false" customHeight="false" outlineLevel="0" collapsed="false">
      <c r="V1547" s="23" t="str">
        <f aca="false">IF(ISNUMBER(C1547),YEAR(C1547),"")</f>
        <v/>
      </c>
      <c r="W1547" s="23" t="str">
        <f aca="false">IF(ISNUMBER(C1547),MONTH(C1547),"")</f>
        <v/>
      </c>
      <c r="X1547" s="23" t="str">
        <f aca="false">IF(T1547="","",IF(T1547=0,"No discount",IF(T1547&lt;=0.2,"Low (1-20%)",IF(T1547&lt;=0.4,"Medium (21-40%)","High (&gt;40%)"))))</f>
        <v/>
      </c>
      <c r="Y1547" s="23" t="str">
        <f aca="false">IF(AND(ISNUMBER(C1547),ISNUMBER(D1547)),D1547-C1547,"")</f>
        <v/>
      </c>
      <c r="Z1547" s="23" t="str">
        <f aca="false">IF(B1547="","",IF(MATCH(B1547,$B$2:$B$12000,0)=ROW()-1,1,0))</f>
        <v/>
      </c>
    </row>
    <row r="1548" customFormat="false" ht="15" hidden="false" customHeight="false" outlineLevel="0" collapsed="false">
      <c r="V1548" s="23" t="str">
        <f aca="false">IF(ISNUMBER(C1548),YEAR(C1548),"")</f>
        <v/>
      </c>
      <c r="W1548" s="23" t="str">
        <f aca="false">IF(ISNUMBER(C1548),MONTH(C1548),"")</f>
        <v/>
      </c>
      <c r="X1548" s="23" t="str">
        <f aca="false">IF(T1548="","",IF(T1548=0,"No discount",IF(T1548&lt;=0.2,"Low (1-20%)",IF(T1548&lt;=0.4,"Medium (21-40%)","High (&gt;40%)"))))</f>
        <v/>
      </c>
      <c r="Y1548" s="23" t="str">
        <f aca="false">IF(AND(ISNUMBER(C1548),ISNUMBER(D1548)),D1548-C1548,"")</f>
        <v/>
      </c>
      <c r="Z1548" s="23" t="str">
        <f aca="false">IF(B1548="","",IF(MATCH(B1548,$B$2:$B$12000,0)=ROW()-1,1,0))</f>
        <v/>
      </c>
    </row>
    <row r="1549" customFormat="false" ht="15" hidden="false" customHeight="false" outlineLevel="0" collapsed="false">
      <c r="V1549" s="23" t="str">
        <f aca="false">IF(ISNUMBER(C1549),YEAR(C1549),"")</f>
        <v/>
      </c>
      <c r="W1549" s="23" t="str">
        <f aca="false">IF(ISNUMBER(C1549),MONTH(C1549),"")</f>
        <v/>
      </c>
      <c r="X1549" s="23" t="str">
        <f aca="false">IF(T1549="","",IF(T1549=0,"No discount",IF(T1549&lt;=0.2,"Low (1-20%)",IF(T1549&lt;=0.4,"Medium (21-40%)","High (&gt;40%)"))))</f>
        <v/>
      </c>
      <c r="Y1549" s="23" t="str">
        <f aca="false">IF(AND(ISNUMBER(C1549),ISNUMBER(D1549)),D1549-C1549,"")</f>
        <v/>
      </c>
      <c r="Z1549" s="23" t="str">
        <f aca="false">IF(B1549="","",IF(MATCH(B1549,$B$2:$B$12000,0)=ROW()-1,1,0))</f>
        <v/>
      </c>
    </row>
    <row r="1550" customFormat="false" ht="15" hidden="false" customHeight="false" outlineLevel="0" collapsed="false">
      <c r="V1550" s="23" t="str">
        <f aca="false">IF(ISNUMBER(C1550),YEAR(C1550),"")</f>
        <v/>
      </c>
      <c r="W1550" s="23" t="str">
        <f aca="false">IF(ISNUMBER(C1550),MONTH(C1550),"")</f>
        <v/>
      </c>
      <c r="X1550" s="23" t="str">
        <f aca="false">IF(T1550="","",IF(T1550=0,"No discount",IF(T1550&lt;=0.2,"Low (1-20%)",IF(T1550&lt;=0.4,"Medium (21-40%)","High (&gt;40%)"))))</f>
        <v/>
      </c>
      <c r="Y1550" s="23" t="str">
        <f aca="false">IF(AND(ISNUMBER(C1550),ISNUMBER(D1550)),D1550-C1550,"")</f>
        <v/>
      </c>
      <c r="Z1550" s="23" t="str">
        <f aca="false">IF(B1550="","",IF(MATCH(B1550,$B$2:$B$12000,0)=ROW()-1,1,0))</f>
        <v/>
      </c>
    </row>
    <row r="1551" customFormat="false" ht="15" hidden="false" customHeight="false" outlineLevel="0" collapsed="false">
      <c r="V1551" s="23" t="str">
        <f aca="false">IF(ISNUMBER(C1551),YEAR(C1551),"")</f>
        <v/>
      </c>
      <c r="W1551" s="23" t="str">
        <f aca="false">IF(ISNUMBER(C1551),MONTH(C1551),"")</f>
        <v/>
      </c>
      <c r="X1551" s="23" t="str">
        <f aca="false">IF(T1551="","",IF(T1551=0,"No discount",IF(T1551&lt;=0.2,"Low (1-20%)",IF(T1551&lt;=0.4,"Medium (21-40%)","High (&gt;40%)"))))</f>
        <v/>
      </c>
      <c r="Y1551" s="23" t="str">
        <f aca="false">IF(AND(ISNUMBER(C1551),ISNUMBER(D1551)),D1551-C1551,"")</f>
        <v/>
      </c>
      <c r="Z1551" s="23" t="str">
        <f aca="false">IF(B1551="","",IF(MATCH(B1551,$B$2:$B$12000,0)=ROW()-1,1,0))</f>
        <v/>
      </c>
    </row>
    <row r="1552" customFormat="false" ht="15" hidden="false" customHeight="false" outlineLevel="0" collapsed="false">
      <c r="V1552" s="23" t="str">
        <f aca="false">IF(ISNUMBER(C1552),YEAR(C1552),"")</f>
        <v/>
      </c>
      <c r="W1552" s="23" t="str">
        <f aca="false">IF(ISNUMBER(C1552),MONTH(C1552),"")</f>
        <v/>
      </c>
      <c r="X1552" s="23" t="str">
        <f aca="false">IF(T1552="","",IF(T1552=0,"No discount",IF(T1552&lt;=0.2,"Low (1-20%)",IF(T1552&lt;=0.4,"Medium (21-40%)","High (&gt;40%)"))))</f>
        <v/>
      </c>
      <c r="Y1552" s="23" t="str">
        <f aca="false">IF(AND(ISNUMBER(C1552),ISNUMBER(D1552)),D1552-C1552,"")</f>
        <v/>
      </c>
      <c r="Z1552" s="23" t="str">
        <f aca="false">IF(B1552="","",IF(MATCH(B1552,$B$2:$B$12000,0)=ROW()-1,1,0))</f>
        <v/>
      </c>
    </row>
    <row r="1553" customFormat="false" ht="15" hidden="false" customHeight="false" outlineLevel="0" collapsed="false">
      <c r="V1553" s="23" t="str">
        <f aca="false">IF(ISNUMBER(C1553),YEAR(C1553),"")</f>
        <v/>
      </c>
      <c r="W1553" s="23" t="str">
        <f aca="false">IF(ISNUMBER(C1553),MONTH(C1553),"")</f>
        <v/>
      </c>
      <c r="X1553" s="23" t="str">
        <f aca="false">IF(T1553="","",IF(T1553=0,"No discount",IF(T1553&lt;=0.2,"Low (1-20%)",IF(T1553&lt;=0.4,"Medium (21-40%)","High (&gt;40%)"))))</f>
        <v/>
      </c>
      <c r="Y1553" s="23" t="str">
        <f aca="false">IF(AND(ISNUMBER(C1553),ISNUMBER(D1553)),D1553-C1553,"")</f>
        <v/>
      </c>
      <c r="Z1553" s="23" t="str">
        <f aca="false">IF(B1553="","",IF(MATCH(B1553,$B$2:$B$12000,0)=ROW()-1,1,0))</f>
        <v/>
      </c>
    </row>
    <row r="1554" customFormat="false" ht="15" hidden="false" customHeight="false" outlineLevel="0" collapsed="false">
      <c r="V1554" s="23" t="str">
        <f aca="false">IF(ISNUMBER(C1554),YEAR(C1554),"")</f>
        <v/>
      </c>
      <c r="W1554" s="23" t="str">
        <f aca="false">IF(ISNUMBER(C1554),MONTH(C1554),"")</f>
        <v/>
      </c>
      <c r="X1554" s="23" t="str">
        <f aca="false">IF(T1554="","",IF(T1554=0,"No discount",IF(T1554&lt;=0.2,"Low (1-20%)",IF(T1554&lt;=0.4,"Medium (21-40%)","High (&gt;40%)"))))</f>
        <v/>
      </c>
      <c r="Y1554" s="23" t="str">
        <f aca="false">IF(AND(ISNUMBER(C1554),ISNUMBER(D1554)),D1554-C1554,"")</f>
        <v/>
      </c>
      <c r="Z1554" s="23" t="str">
        <f aca="false">IF(B1554="","",IF(MATCH(B1554,$B$2:$B$12000,0)=ROW()-1,1,0))</f>
        <v/>
      </c>
    </row>
    <row r="1555" customFormat="false" ht="15" hidden="false" customHeight="false" outlineLevel="0" collapsed="false">
      <c r="V1555" s="23" t="str">
        <f aca="false">IF(ISNUMBER(C1555),YEAR(C1555),"")</f>
        <v/>
      </c>
      <c r="W1555" s="23" t="str">
        <f aca="false">IF(ISNUMBER(C1555),MONTH(C1555),"")</f>
        <v/>
      </c>
      <c r="X1555" s="23" t="str">
        <f aca="false">IF(T1555="","",IF(T1555=0,"No discount",IF(T1555&lt;=0.2,"Low (1-20%)",IF(T1555&lt;=0.4,"Medium (21-40%)","High (&gt;40%)"))))</f>
        <v/>
      </c>
      <c r="Y1555" s="23" t="str">
        <f aca="false">IF(AND(ISNUMBER(C1555),ISNUMBER(D1555)),D1555-C1555,"")</f>
        <v/>
      </c>
      <c r="Z1555" s="23" t="str">
        <f aca="false">IF(B1555="","",IF(MATCH(B1555,$B$2:$B$12000,0)=ROW()-1,1,0))</f>
        <v/>
      </c>
    </row>
    <row r="1556" customFormat="false" ht="15" hidden="false" customHeight="false" outlineLevel="0" collapsed="false">
      <c r="V1556" s="23" t="str">
        <f aca="false">IF(ISNUMBER(C1556),YEAR(C1556),"")</f>
        <v/>
      </c>
      <c r="W1556" s="23" t="str">
        <f aca="false">IF(ISNUMBER(C1556),MONTH(C1556),"")</f>
        <v/>
      </c>
      <c r="X1556" s="23" t="str">
        <f aca="false">IF(T1556="","",IF(T1556=0,"No discount",IF(T1556&lt;=0.2,"Low (1-20%)",IF(T1556&lt;=0.4,"Medium (21-40%)","High (&gt;40%)"))))</f>
        <v/>
      </c>
      <c r="Y1556" s="23" t="str">
        <f aca="false">IF(AND(ISNUMBER(C1556),ISNUMBER(D1556)),D1556-C1556,"")</f>
        <v/>
      </c>
      <c r="Z1556" s="23" t="str">
        <f aca="false">IF(B1556="","",IF(MATCH(B1556,$B$2:$B$12000,0)=ROW()-1,1,0))</f>
        <v/>
      </c>
    </row>
    <row r="1557" customFormat="false" ht="15" hidden="false" customHeight="false" outlineLevel="0" collapsed="false">
      <c r="V1557" s="23" t="str">
        <f aca="false">IF(ISNUMBER(C1557),YEAR(C1557),"")</f>
        <v/>
      </c>
      <c r="W1557" s="23" t="str">
        <f aca="false">IF(ISNUMBER(C1557),MONTH(C1557),"")</f>
        <v/>
      </c>
      <c r="X1557" s="23" t="str">
        <f aca="false">IF(T1557="","",IF(T1557=0,"No discount",IF(T1557&lt;=0.2,"Low (1-20%)",IF(T1557&lt;=0.4,"Medium (21-40%)","High (&gt;40%)"))))</f>
        <v/>
      </c>
      <c r="Y1557" s="23" t="str">
        <f aca="false">IF(AND(ISNUMBER(C1557),ISNUMBER(D1557)),D1557-C1557,"")</f>
        <v/>
      </c>
      <c r="Z1557" s="23" t="str">
        <f aca="false">IF(B1557="","",IF(MATCH(B1557,$B$2:$B$12000,0)=ROW()-1,1,0))</f>
        <v/>
      </c>
    </row>
    <row r="1558" customFormat="false" ht="15" hidden="false" customHeight="false" outlineLevel="0" collapsed="false">
      <c r="V1558" s="23" t="str">
        <f aca="false">IF(ISNUMBER(C1558),YEAR(C1558),"")</f>
        <v/>
      </c>
      <c r="W1558" s="23" t="str">
        <f aca="false">IF(ISNUMBER(C1558),MONTH(C1558),"")</f>
        <v/>
      </c>
      <c r="X1558" s="23" t="str">
        <f aca="false">IF(T1558="","",IF(T1558=0,"No discount",IF(T1558&lt;=0.2,"Low (1-20%)",IF(T1558&lt;=0.4,"Medium (21-40%)","High (&gt;40%)"))))</f>
        <v/>
      </c>
      <c r="Y1558" s="23" t="str">
        <f aca="false">IF(AND(ISNUMBER(C1558),ISNUMBER(D1558)),D1558-C1558,"")</f>
        <v/>
      </c>
      <c r="Z1558" s="23" t="str">
        <f aca="false">IF(B1558="","",IF(MATCH(B1558,$B$2:$B$12000,0)=ROW()-1,1,0))</f>
        <v/>
      </c>
    </row>
    <row r="1559" customFormat="false" ht="15" hidden="false" customHeight="false" outlineLevel="0" collapsed="false">
      <c r="V1559" s="23" t="str">
        <f aca="false">IF(ISNUMBER(C1559),YEAR(C1559),"")</f>
        <v/>
      </c>
      <c r="W1559" s="23" t="str">
        <f aca="false">IF(ISNUMBER(C1559),MONTH(C1559),"")</f>
        <v/>
      </c>
      <c r="X1559" s="23" t="str">
        <f aca="false">IF(T1559="","",IF(T1559=0,"No discount",IF(T1559&lt;=0.2,"Low (1-20%)",IF(T1559&lt;=0.4,"Medium (21-40%)","High (&gt;40%)"))))</f>
        <v/>
      </c>
      <c r="Y1559" s="23" t="str">
        <f aca="false">IF(AND(ISNUMBER(C1559),ISNUMBER(D1559)),D1559-C1559,"")</f>
        <v/>
      </c>
      <c r="Z1559" s="23" t="str">
        <f aca="false">IF(B1559="","",IF(MATCH(B1559,$B$2:$B$12000,0)=ROW()-1,1,0))</f>
        <v/>
      </c>
    </row>
    <row r="1560" customFormat="false" ht="15" hidden="false" customHeight="false" outlineLevel="0" collapsed="false">
      <c r="V1560" s="23" t="str">
        <f aca="false">IF(ISNUMBER(C1560),YEAR(C1560),"")</f>
        <v/>
      </c>
      <c r="W1560" s="23" t="str">
        <f aca="false">IF(ISNUMBER(C1560),MONTH(C1560),"")</f>
        <v/>
      </c>
      <c r="X1560" s="23" t="str">
        <f aca="false">IF(T1560="","",IF(T1560=0,"No discount",IF(T1560&lt;=0.2,"Low (1-20%)",IF(T1560&lt;=0.4,"Medium (21-40%)","High (&gt;40%)"))))</f>
        <v/>
      </c>
      <c r="Y1560" s="23" t="str">
        <f aca="false">IF(AND(ISNUMBER(C1560),ISNUMBER(D1560)),D1560-C1560,"")</f>
        <v/>
      </c>
      <c r="Z1560" s="23" t="str">
        <f aca="false">IF(B1560="","",IF(MATCH(B1560,$B$2:$B$12000,0)=ROW()-1,1,0))</f>
        <v/>
      </c>
    </row>
    <row r="1561" customFormat="false" ht="15" hidden="false" customHeight="false" outlineLevel="0" collapsed="false">
      <c r="V1561" s="23" t="str">
        <f aca="false">IF(ISNUMBER(C1561),YEAR(C1561),"")</f>
        <v/>
      </c>
      <c r="W1561" s="23" t="str">
        <f aca="false">IF(ISNUMBER(C1561),MONTH(C1561),"")</f>
        <v/>
      </c>
      <c r="X1561" s="23" t="str">
        <f aca="false">IF(T1561="","",IF(T1561=0,"No discount",IF(T1561&lt;=0.2,"Low (1-20%)",IF(T1561&lt;=0.4,"Medium (21-40%)","High (&gt;40%)"))))</f>
        <v/>
      </c>
      <c r="Y1561" s="23" t="str">
        <f aca="false">IF(AND(ISNUMBER(C1561),ISNUMBER(D1561)),D1561-C1561,"")</f>
        <v/>
      </c>
      <c r="Z1561" s="23" t="str">
        <f aca="false">IF(B1561="","",IF(MATCH(B1561,$B$2:$B$12000,0)=ROW()-1,1,0))</f>
        <v/>
      </c>
    </row>
    <row r="1562" customFormat="false" ht="15" hidden="false" customHeight="false" outlineLevel="0" collapsed="false">
      <c r="V1562" s="23" t="str">
        <f aca="false">IF(ISNUMBER(C1562),YEAR(C1562),"")</f>
        <v/>
      </c>
      <c r="W1562" s="23" t="str">
        <f aca="false">IF(ISNUMBER(C1562),MONTH(C1562),"")</f>
        <v/>
      </c>
      <c r="X1562" s="23" t="str">
        <f aca="false">IF(T1562="","",IF(T1562=0,"No discount",IF(T1562&lt;=0.2,"Low (1-20%)",IF(T1562&lt;=0.4,"Medium (21-40%)","High (&gt;40%)"))))</f>
        <v/>
      </c>
      <c r="Y1562" s="23" t="str">
        <f aca="false">IF(AND(ISNUMBER(C1562),ISNUMBER(D1562)),D1562-C1562,"")</f>
        <v/>
      </c>
      <c r="Z1562" s="23" t="str">
        <f aca="false">IF(B1562="","",IF(MATCH(B1562,$B$2:$B$12000,0)=ROW()-1,1,0))</f>
        <v/>
      </c>
    </row>
    <row r="1563" customFormat="false" ht="15" hidden="false" customHeight="false" outlineLevel="0" collapsed="false">
      <c r="V1563" s="23" t="str">
        <f aca="false">IF(ISNUMBER(C1563),YEAR(C1563),"")</f>
        <v/>
      </c>
      <c r="W1563" s="23" t="str">
        <f aca="false">IF(ISNUMBER(C1563),MONTH(C1563),"")</f>
        <v/>
      </c>
      <c r="X1563" s="23" t="str">
        <f aca="false">IF(T1563="","",IF(T1563=0,"No discount",IF(T1563&lt;=0.2,"Low (1-20%)",IF(T1563&lt;=0.4,"Medium (21-40%)","High (&gt;40%)"))))</f>
        <v/>
      </c>
      <c r="Y1563" s="23" t="str">
        <f aca="false">IF(AND(ISNUMBER(C1563),ISNUMBER(D1563)),D1563-C1563,"")</f>
        <v/>
      </c>
      <c r="Z1563" s="23" t="str">
        <f aca="false">IF(B1563="","",IF(MATCH(B1563,$B$2:$B$12000,0)=ROW()-1,1,0))</f>
        <v/>
      </c>
    </row>
    <row r="1564" customFormat="false" ht="15" hidden="false" customHeight="false" outlineLevel="0" collapsed="false">
      <c r="V1564" s="23" t="str">
        <f aca="false">IF(ISNUMBER(C1564),YEAR(C1564),"")</f>
        <v/>
      </c>
      <c r="W1564" s="23" t="str">
        <f aca="false">IF(ISNUMBER(C1564),MONTH(C1564),"")</f>
        <v/>
      </c>
      <c r="X1564" s="23" t="str">
        <f aca="false">IF(T1564="","",IF(T1564=0,"No discount",IF(T1564&lt;=0.2,"Low (1-20%)",IF(T1564&lt;=0.4,"Medium (21-40%)","High (&gt;40%)"))))</f>
        <v/>
      </c>
      <c r="Y1564" s="23" t="str">
        <f aca="false">IF(AND(ISNUMBER(C1564),ISNUMBER(D1564)),D1564-C1564,"")</f>
        <v/>
      </c>
      <c r="Z1564" s="23" t="str">
        <f aca="false">IF(B1564="","",IF(MATCH(B1564,$B$2:$B$12000,0)=ROW()-1,1,0))</f>
        <v/>
      </c>
    </row>
    <row r="1565" customFormat="false" ht="15" hidden="false" customHeight="false" outlineLevel="0" collapsed="false">
      <c r="V1565" s="23" t="str">
        <f aca="false">IF(ISNUMBER(C1565),YEAR(C1565),"")</f>
        <v/>
      </c>
      <c r="W1565" s="23" t="str">
        <f aca="false">IF(ISNUMBER(C1565),MONTH(C1565),"")</f>
        <v/>
      </c>
      <c r="X1565" s="23" t="str">
        <f aca="false">IF(T1565="","",IF(T1565=0,"No discount",IF(T1565&lt;=0.2,"Low (1-20%)",IF(T1565&lt;=0.4,"Medium (21-40%)","High (&gt;40%)"))))</f>
        <v/>
      </c>
      <c r="Y1565" s="23" t="str">
        <f aca="false">IF(AND(ISNUMBER(C1565),ISNUMBER(D1565)),D1565-C1565,"")</f>
        <v/>
      </c>
      <c r="Z1565" s="23" t="str">
        <f aca="false">IF(B1565="","",IF(MATCH(B1565,$B$2:$B$12000,0)=ROW()-1,1,0))</f>
        <v/>
      </c>
    </row>
    <row r="1566" customFormat="false" ht="15" hidden="false" customHeight="false" outlineLevel="0" collapsed="false">
      <c r="V1566" s="23" t="str">
        <f aca="false">IF(ISNUMBER(C1566),YEAR(C1566),"")</f>
        <v/>
      </c>
      <c r="W1566" s="23" t="str">
        <f aca="false">IF(ISNUMBER(C1566),MONTH(C1566),"")</f>
        <v/>
      </c>
      <c r="X1566" s="23" t="str">
        <f aca="false">IF(T1566="","",IF(T1566=0,"No discount",IF(T1566&lt;=0.2,"Low (1-20%)",IF(T1566&lt;=0.4,"Medium (21-40%)","High (&gt;40%)"))))</f>
        <v/>
      </c>
      <c r="Y1566" s="23" t="str">
        <f aca="false">IF(AND(ISNUMBER(C1566),ISNUMBER(D1566)),D1566-C1566,"")</f>
        <v/>
      </c>
      <c r="Z1566" s="23" t="str">
        <f aca="false">IF(B1566="","",IF(MATCH(B1566,$B$2:$B$12000,0)=ROW()-1,1,0))</f>
        <v/>
      </c>
    </row>
    <row r="1567" customFormat="false" ht="15" hidden="false" customHeight="false" outlineLevel="0" collapsed="false">
      <c r="V1567" s="23" t="str">
        <f aca="false">IF(ISNUMBER(C1567),YEAR(C1567),"")</f>
        <v/>
      </c>
      <c r="W1567" s="23" t="str">
        <f aca="false">IF(ISNUMBER(C1567),MONTH(C1567),"")</f>
        <v/>
      </c>
      <c r="X1567" s="23" t="str">
        <f aca="false">IF(T1567="","",IF(T1567=0,"No discount",IF(T1567&lt;=0.2,"Low (1-20%)",IF(T1567&lt;=0.4,"Medium (21-40%)","High (&gt;40%)"))))</f>
        <v/>
      </c>
      <c r="Y1567" s="23" t="str">
        <f aca="false">IF(AND(ISNUMBER(C1567),ISNUMBER(D1567)),D1567-C1567,"")</f>
        <v/>
      </c>
      <c r="Z1567" s="23" t="str">
        <f aca="false">IF(B1567="","",IF(MATCH(B1567,$B$2:$B$12000,0)=ROW()-1,1,0))</f>
        <v/>
      </c>
    </row>
    <row r="1568" customFormat="false" ht="15" hidden="false" customHeight="false" outlineLevel="0" collapsed="false">
      <c r="V1568" s="23" t="str">
        <f aca="false">IF(ISNUMBER(C1568),YEAR(C1568),"")</f>
        <v/>
      </c>
      <c r="W1568" s="23" t="str">
        <f aca="false">IF(ISNUMBER(C1568),MONTH(C1568),"")</f>
        <v/>
      </c>
      <c r="X1568" s="23" t="str">
        <f aca="false">IF(T1568="","",IF(T1568=0,"No discount",IF(T1568&lt;=0.2,"Low (1-20%)",IF(T1568&lt;=0.4,"Medium (21-40%)","High (&gt;40%)"))))</f>
        <v/>
      </c>
      <c r="Y1568" s="23" t="str">
        <f aca="false">IF(AND(ISNUMBER(C1568),ISNUMBER(D1568)),D1568-C1568,"")</f>
        <v/>
      </c>
      <c r="Z1568" s="23" t="str">
        <f aca="false">IF(B1568="","",IF(MATCH(B1568,$B$2:$B$12000,0)=ROW()-1,1,0))</f>
        <v/>
      </c>
    </row>
    <row r="1569" customFormat="false" ht="15" hidden="false" customHeight="false" outlineLevel="0" collapsed="false">
      <c r="V1569" s="23" t="str">
        <f aca="false">IF(ISNUMBER(C1569),YEAR(C1569),"")</f>
        <v/>
      </c>
      <c r="W1569" s="23" t="str">
        <f aca="false">IF(ISNUMBER(C1569),MONTH(C1569),"")</f>
        <v/>
      </c>
      <c r="X1569" s="23" t="str">
        <f aca="false">IF(T1569="","",IF(T1569=0,"No discount",IF(T1569&lt;=0.2,"Low (1-20%)",IF(T1569&lt;=0.4,"Medium (21-40%)","High (&gt;40%)"))))</f>
        <v/>
      </c>
      <c r="Y1569" s="23" t="str">
        <f aca="false">IF(AND(ISNUMBER(C1569),ISNUMBER(D1569)),D1569-C1569,"")</f>
        <v/>
      </c>
      <c r="Z1569" s="23" t="str">
        <f aca="false">IF(B1569="","",IF(MATCH(B1569,$B$2:$B$12000,0)=ROW()-1,1,0))</f>
        <v/>
      </c>
    </row>
    <row r="1570" customFormat="false" ht="15" hidden="false" customHeight="false" outlineLevel="0" collapsed="false">
      <c r="V1570" s="23" t="str">
        <f aca="false">IF(ISNUMBER(C1570),YEAR(C1570),"")</f>
        <v/>
      </c>
      <c r="W1570" s="23" t="str">
        <f aca="false">IF(ISNUMBER(C1570),MONTH(C1570),"")</f>
        <v/>
      </c>
      <c r="X1570" s="23" t="str">
        <f aca="false">IF(T1570="","",IF(T1570=0,"No discount",IF(T1570&lt;=0.2,"Low (1-20%)",IF(T1570&lt;=0.4,"Medium (21-40%)","High (&gt;40%)"))))</f>
        <v/>
      </c>
      <c r="Y1570" s="23" t="str">
        <f aca="false">IF(AND(ISNUMBER(C1570),ISNUMBER(D1570)),D1570-C1570,"")</f>
        <v/>
      </c>
      <c r="Z1570" s="23" t="str">
        <f aca="false">IF(B1570="","",IF(MATCH(B1570,$B$2:$B$12000,0)=ROW()-1,1,0))</f>
        <v/>
      </c>
    </row>
    <row r="1571" customFormat="false" ht="15" hidden="false" customHeight="false" outlineLevel="0" collapsed="false">
      <c r="V1571" s="23" t="str">
        <f aca="false">IF(ISNUMBER(C1571),YEAR(C1571),"")</f>
        <v/>
      </c>
      <c r="W1571" s="23" t="str">
        <f aca="false">IF(ISNUMBER(C1571),MONTH(C1571),"")</f>
        <v/>
      </c>
      <c r="X1571" s="23" t="str">
        <f aca="false">IF(T1571="","",IF(T1571=0,"No discount",IF(T1571&lt;=0.2,"Low (1-20%)",IF(T1571&lt;=0.4,"Medium (21-40%)","High (&gt;40%)"))))</f>
        <v/>
      </c>
      <c r="Y1571" s="23" t="str">
        <f aca="false">IF(AND(ISNUMBER(C1571),ISNUMBER(D1571)),D1571-C1571,"")</f>
        <v/>
      </c>
      <c r="Z1571" s="23" t="str">
        <f aca="false">IF(B1571="","",IF(MATCH(B1571,$B$2:$B$12000,0)=ROW()-1,1,0))</f>
        <v/>
      </c>
    </row>
    <row r="1572" customFormat="false" ht="15" hidden="false" customHeight="false" outlineLevel="0" collapsed="false">
      <c r="V1572" s="23" t="str">
        <f aca="false">IF(ISNUMBER(C1572),YEAR(C1572),"")</f>
        <v/>
      </c>
      <c r="W1572" s="23" t="str">
        <f aca="false">IF(ISNUMBER(C1572),MONTH(C1572),"")</f>
        <v/>
      </c>
      <c r="X1572" s="23" t="str">
        <f aca="false">IF(T1572="","",IF(T1572=0,"No discount",IF(T1572&lt;=0.2,"Low (1-20%)",IF(T1572&lt;=0.4,"Medium (21-40%)","High (&gt;40%)"))))</f>
        <v/>
      </c>
      <c r="Y1572" s="23" t="str">
        <f aca="false">IF(AND(ISNUMBER(C1572),ISNUMBER(D1572)),D1572-C1572,"")</f>
        <v/>
      </c>
      <c r="Z1572" s="23" t="str">
        <f aca="false">IF(B1572="","",IF(MATCH(B1572,$B$2:$B$12000,0)=ROW()-1,1,0))</f>
        <v/>
      </c>
    </row>
    <row r="1573" customFormat="false" ht="15" hidden="false" customHeight="false" outlineLevel="0" collapsed="false">
      <c r="V1573" s="23" t="str">
        <f aca="false">IF(ISNUMBER(C1573),YEAR(C1573),"")</f>
        <v/>
      </c>
      <c r="W1573" s="23" t="str">
        <f aca="false">IF(ISNUMBER(C1573),MONTH(C1573),"")</f>
        <v/>
      </c>
      <c r="X1573" s="23" t="str">
        <f aca="false">IF(T1573="","",IF(T1573=0,"No discount",IF(T1573&lt;=0.2,"Low (1-20%)",IF(T1573&lt;=0.4,"Medium (21-40%)","High (&gt;40%)"))))</f>
        <v/>
      </c>
      <c r="Y1573" s="23" t="str">
        <f aca="false">IF(AND(ISNUMBER(C1573),ISNUMBER(D1573)),D1573-C1573,"")</f>
        <v/>
      </c>
      <c r="Z1573" s="23" t="str">
        <f aca="false">IF(B1573="","",IF(MATCH(B1573,$B$2:$B$12000,0)=ROW()-1,1,0))</f>
        <v/>
      </c>
    </row>
    <row r="1574" customFormat="false" ht="15" hidden="false" customHeight="false" outlineLevel="0" collapsed="false">
      <c r="V1574" s="23" t="str">
        <f aca="false">IF(ISNUMBER(C1574),YEAR(C1574),"")</f>
        <v/>
      </c>
      <c r="W1574" s="23" t="str">
        <f aca="false">IF(ISNUMBER(C1574),MONTH(C1574),"")</f>
        <v/>
      </c>
      <c r="X1574" s="23" t="str">
        <f aca="false">IF(T1574="","",IF(T1574=0,"No discount",IF(T1574&lt;=0.2,"Low (1-20%)",IF(T1574&lt;=0.4,"Medium (21-40%)","High (&gt;40%)"))))</f>
        <v/>
      </c>
      <c r="Y1574" s="23" t="str">
        <f aca="false">IF(AND(ISNUMBER(C1574),ISNUMBER(D1574)),D1574-C1574,"")</f>
        <v/>
      </c>
      <c r="Z1574" s="23" t="str">
        <f aca="false">IF(B1574="","",IF(MATCH(B1574,$B$2:$B$12000,0)=ROW()-1,1,0))</f>
        <v/>
      </c>
    </row>
    <row r="1575" customFormat="false" ht="15" hidden="false" customHeight="false" outlineLevel="0" collapsed="false">
      <c r="V1575" s="23" t="str">
        <f aca="false">IF(ISNUMBER(C1575),YEAR(C1575),"")</f>
        <v/>
      </c>
      <c r="W1575" s="23" t="str">
        <f aca="false">IF(ISNUMBER(C1575),MONTH(C1575),"")</f>
        <v/>
      </c>
      <c r="X1575" s="23" t="str">
        <f aca="false">IF(T1575="","",IF(T1575=0,"No discount",IF(T1575&lt;=0.2,"Low (1-20%)",IF(T1575&lt;=0.4,"Medium (21-40%)","High (&gt;40%)"))))</f>
        <v/>
      </c>
      <c r="Y1575" s="23" t="str">
        <f aca="false">IF(AND(ISNUMBER(C1575),ISNUMBER(D1575)),D1575-C1575,"")</f>
        <v/>
      </c>
      <c r="Z1575" s="23" t="str">
        <f aca="false">IF(B1575="","",IF(MATCH(B1575,$B$2:$B$12000,0)=ROW()-1,1,0))</f>
        <v/>
      </c>
    </row>
    <row r="1576" customFormat="false" ht="15" hidden="false" customHeight="false" outlineLevel="0" collapsed="false">
      <c r="V1576" s="23" t="str">
        <f aca="false">IF(ISNUMBER(C1576),YEAR(C1576),"")</f>
        <v/>
      </c>
      <c r="W1576" s="23" t="str">
        <f aca="false">IF(ISNUMBER(C1576),MONTH(C1576),"")</f>
        <v/>
      </c>
      <c r="X1576" s="23" t="str">
        <f aca="false">IF(T1576="","",IF(T1576=0,"No discount",IF(T1576&lt;=0.2,"Low (1-20%)",IF(T1576&lt;=0.4,"Medium (21-40%)","High (&gt;40%)"))))</f>
        <v/>
      </c>
      <c r="Y1576" s="23" t="str">
        <f aca="false">IF(AND(ISNUMBER(C1576),ISNUMBER(D1576)),D1576-C1576,"")</f>
        <v/>
      </c>
      <c r="Z1576" s="23" t="str">
        <f aca="false">IF(B1576="","",IF(MATCH(B1576,$B$2:$B$12000,0)=ROW()-1,1,0))</f>
        <v/>
      </c>
    </row>
    <row r="1577" customFormat="false" ht="15" hidden="false" customHeight="false" outlineLevel="0" collapsed="false">
      <c r="V1577" s="23" t="str">
        <f aca="false">IF(ISNUMBER(C1577),YEAR(C1577),"")</f>
        <v/>
      </c>
      <c r="W1577" s="23" t="str">
        <f aca="false">IF(ISNUMBER(C1577),MONTH(C1577),"")</f>
        <v/>
      </c>
      <c r="X1577" s="23" t="str">
        <f aca="false">IF(T1577="","",IF(T1577=0,"No discount",IF(T1577&lt;=0.2,"Low (1-20%)",IF(T1577&lt;=0.4,"Medium (21-40%)","High (&gt;40%)"))))</f>
        <v/>
      </c>
      <c r="Y1577" s="23" t="str">
        <f aca="false">IF(AND(ISNUMBER(C1577),ISNUMBER(D1577)),D1577-C1577,"")</f>
        <v/>
      </c>
      <c r="Z1577" s="23" t="str">
        <f aca="false">IF(B1577="","",IF(MATCH(B1577,$B$2:$B$12000,0)=ROW()-1,1,0))</f>
        <v/>
      </c>
    </row>
    <row r="1578" customFormat="false" ht="15" hidden="false" customHeight="false" outlineLevel="0" collapsed="false">
      <c r="V1578" s="23" t="str">
        <f aca="false">IF(ISNUMBER(C1578),YEAR(C1578),"")</f>
        <v/>
      </c>
      <c r="W1578" s="23" t="str">
        <f aca="false">IF(ISNUMBER(C1578),MONTH(C1578),"")</f>
        <v/>
      </c>
      <c r="X1578" s="23" t="str">
        <f aca="false">IF(T1578="","",IF(T1578=0,"No discount",IF(T1578&lt;=0.2,"Low (1-20%)",IF(T1578&lt;=0.4,"Medium (21-40%)","High (&gt;40%)"))))</f>
        <v/>
      </c>
      <c r="Y1578" s="23" t="str">
        <f aca="false">IF(AND(ISNUMBER(C1578),ISNUMBER(D1578)),D1578-C1578,"")</f>
        <v/>
      </c>
      <c r="Z1578" s="23" t="str">
        <f aca="false">IF(B1578="","",IF(MATCH(B1578,$B$2:$B$12000,0)=ROW()-1,1,0))</f>
        <v/>
      </c>
    </row>
    <row r="1579" customFormat="false" ht="15" hidden="false" customHeight="false" outlineLevel="0" collapsed="false">
      <c r="V1579" s="23" t="str">
        <f aca="false">IF(ISNUMBER(C1579),YEAR(C1579),"")</f>
        <v/>
      </c>
      <c r="W1579" s="23" t="str">
        <f aca="false">IF(ISNUMBER(C1579),MONTH(C1579),"")</f>
        <v/>
      </c>
      <c r="X1579" s="23" t="str">
        <f aca="false">IF(T1579="","",IF(T1579=0,"No discount",IF(T1579&lt;=0.2,"Low (1-20%)",IF(T1579&lt;=0.4,"Medium (21-40%)","High (&gt;40%)"))))</f>
        <v/>
      </c>
      <c r="Y1579" s="23" t="str">
        <f aca="false">IF(AND(ISNUMBER(C1579),ISNUMBER(D1579)),D1579-C1579,"")</f>
        <v/>
      </c>
      <c r="Z1579" s="23" t="str">
        <f aca="false">IF(B1579="","",IF(MATCH(B1579,$B$2:$B$12000,0)=ROW()-1,1,0))</f>
        <v/>
      </c>
    </row>
    <row r="1580" customFormat="false" ht="15" hidden="false" customHeight="false" outlineLevel="0" collapsed="false">
      <c r="V1580" s="23" t="str">
        <f aca="false">IF(ISNUMBER(C1580),YEAR(C1580),"")</f>
        <v/>
      </c>
      <c r="W1580" s="23" t="str">
        <f aca="false">IF(ISNUMBER(C1580),MONTH(C1580),"")</f>
        <v/>
      </c>
      <c r="X1580" s="23" t="str">
        <f aca="false">IF(T1580="","",IF(T1580=0,"No discount",IF(T1580&lt;=0.2,"Low (1-20%)",IF(T1580&lt;=0.4,"Medium (21-40%)","High (&gt;40%)"))))</f>
        <v/>
      </c>
      <c r="Y1580" s="23" t="str">
        <f aca="false">IF(AND(ISNUMBER(C1580),ISNUMBER(D1580)),D1580-C1580,"")</f>
        <v/>
      </c>
      <c r="Z1580" s="23" t="str">
        <f aca="false">IF(B1580="","",IF(MATCH(B1580,$B$2:$B$12000,0)=ROW()-1,1,0))</f>
        <v/>
      </c>
    </row>
    <row r="1581" customFormat="false" ht="15" hidden="false" customHeight="false" outlineLevel="0" collapsed="false">
      <c r="V1581" s="23" t="str">
        <f aca="false">IF(ISNUMBER(C1581),YEAR(C1581),"")</f>
        <v/>
      </c>
      <c r="W1581" s="23" t="str">
        <f aca="false">IF(ISNUMBER(C1581),MONTH(C1581),"")</f>
        <v/>
      </c>
      <c r="X1581" s="23" t="str">
        <f aca="false">IF(T1581="","",IF(T1581=0,"No discount",IF(T1581&lt;=0.2,"Low (1-20%)",IF(T1581&lt;=0.4,"Medium (21-40%)","High (&gt;40%)"))))</f>
        <v/>
      </c>
      <c r="Y1581" s="23" t="str">
        <f aca="false">IF(AND(ISNUMBER(C1581),ISNUMBER(D1581)),D1581-C1581,"")</f>
        <v/>
      </c>
      <c r="Z1581" s="23" t="str">
        <f aca="false">IF(B1581="","",IF(MATCH(B1581,$B$2:$B$12000,0)=ROW()-1,1,0))</f>
        <v/>
      </c>
    </row>
    <row r="1582" customFormat="false" ht="15" hidden="false" customHeight="false" outlineLevel="0" collapsed="false">
      <c r="V1582" s="23" t="str">
        <f aca="false">IF(ISNUMBER(C1582),YEAR(C1582),"")</f>
        <v/>
      </c>
      <c r="W1582" s="23" t="str">
        <f aca="false">IF(ISNUMBER(C1582),MONTH(C1582),"")</f>
        <v/>
      </c>
      <c r="X1582" s="23" t="str">
        <f aca="false">IF(T1582="","",IF(T1582=0,"No discount",IF(T1582&lt;=0.2,"Low (1-20%)",IF(T1582&lt;=0.4,"Medium (21-40%)","High (&gt;40%)"))))</f>
        <v/>
      </c>
      <c r="Y1582" s="23" t="str">
        <f aca="false">IF(AND(ISNUMBER(C1582),ISNUMBER(D1582)),D1582-C1582,"")</f>
        <v/>
      </c>
      <c r="Z1582" s="23" t="str">
        <f aca="false">IF(B1582="","",IF(MATCH(B1582,$B$2:$B$12000,0)=ROW()-1,1,0))</f>
        <v/>
      </c>
    </row>
    <row r="1583" customFormat="false" ht="15" hidden="false" customHeight="false" outlineLevel="0" collapsed="false">
      <c r="V1583" s="23" t="str">
        <f aca="false">IF(ISNUMBER(C1583),YEAR(C1583),"")</f>
        <v/>
      </c>
      <c r="W1583" s="23" t="str">
        <f aca="false">IF(ISNUMBER(C1583),MONTH(C1583),"")</f>
        <v/>
      </c>
      <c r="X1583" s="23" t="str">
        <f aca="false">IF(T1583="","",IF(T1583=0,"No discount",IF(T1583&lt;=0.2,"Low (1-20%)",IF(T1583&lt;=0.4,"Medium (21-40%)","High (&gt;40%)"))))</f>
        <v/>
      </c>
      <c r="Y1583" s="23" t="str">
        <f aca="false">IF(AND(ISNUMBER(C1583),ISNUMBER(D1583)),D1583-C1583,"")</f>
        <v/>
      </c>
      <c r="Z1583" s="23" t="str">
        <f aca="false">IF(B1583="","",IF(MATCH(B1583,$B$2:$B$12000,0)=ROW()-1,1,0))</f>
        <v/>
      </c>
    </row>
    <row r="1584" customFormat="false" ht="15" hidden="false" customHeight="false" outlineLevel="0" collapsed="false">
      <c r="V1584" s="23" t="str">
        <f aca="false">IF(ISNUMBER(C1584),YEAR(C1584),"")</f>
        <v/>
      </c>
      <c r="W1584" s="23" t="str">
        <f aca="false">IF(ISNUMBER(C1584),MONTH(C1584),"")</f>
        <v/>
      </c>
      <c r="X1584" s="23" t="str">
        <f aca="false">IF(T1584="","",IF(T1584=0,"No discount",IF(T1584&lt;=0.2,"Low (1-20%)",IF(T1584&lt;=0.4,"Medium (21-40%)","High (&gt;40%)"))))</f>
        <v/>
      </c>
      <c r="Y1584" s="23" t="str">
        <f aca="false">IF(AND(ISNUMBER(C1584),ISNUMBER(D1584)),D1584-C1584,"")</f>
        <v/>
      </c>
      <c r="Z1584" s="23" t="str">
        <f aca="false">IF(B1584="","",IF(MATCH(B1584,$B$2:$B$12000,0)=ROW()-1,1,0))</f>
        <v/>
      </c>
    </row>
    <row r="1585" customFormat="false" ht="15" hidden="false" customHeight="false" outlineLevel="0" collapsed="false">
      <c r="V1585" s="23" t="str">
        <f aca="false">IF(ISNUMBER(C1585),YEAR(C1585),"")</f>
        <v/>
      </c>
      <c r="W1585" s="23" t="str">
        <f aca="false">IF(ISNUMBER(C1585),MONTH(C1585),"")</f>
        <v/>
      </c>
      <c r="X1585" s="23" t="str">
        <f aca="false">IF(T1585="","",IF(T1585=0,"No discount",IF(T1585&lt;=0.2,"Low (1-20%)",IF(T1585&lt;=0.4,"Medium (21-40%)","High (&gt;40%)"))))</f>
        <v/>
      </c>
      <c r="Y1585" s="23" t="str">
        <f aca="false">IF(AND(ISNUMBER(C1585),ISNUMBER(D1585)),D1585-C1585,"")</f>
        <v/>
      </c>
      <c r="Z1585" s="23" t="str">
        <f aca="false">IF(B1585="","",IF(MATCH(B1585,$B$2:$B$12000,0)=ROW()-1,1,0))</f>
        <v/>
      </c>
    </row>
    <row r="1586" customFormat="false" ht="15" hidden="false" customHeight="false" outlineLevel="0" collapsed="false">
      <c r="V1586" s="23" t="str">
        <f aca="false">IF(ISNUMBER(C1586),YEAR(C1586),"")</f>
        <v/>
      </c>
      <c r="W1586" s="23" t="str">
        <f aca="false">IF(ISNUMBER(C1586),MONTH(C1586),"")</f>
        <v/>
      </c>
      <c r="X1586" s="23" t="str">
        <f aca="false">IF(T1586="","",IF(T1586=0,"No discount",IF(T1586&lt;=0.2,"Low (1-20%)",IF(T1586&lt;=0.4,"Medium (21-40%)","High (&gt;40%)"))))</f>
        <v/>
      </c>
      <c r="Y1586" s="23" t="str">
        <f aca="false">IF(AND(ISNUMBER(C1586),ISNUMBER(D1586)),D1586-C1586,"")</f>
        <v/>
      </c>
      <c r="Z1586" s="23" t="str">
        <f aca="false">IF(B1586="","",IF(MATCH(B1586,$B$2:$B$12000,0)=ROW()-1,1,0))</f>
        <v/>
      </c>
    </row>
    <row r="1587" customFormat="false" ht="15" hidden="false" customHeight="false" outlineLevel="0" collapsed="false">
      <c r="V1587" s="23" t="str">
        <f aca="false">IF(ISNUMBER(C1587),YEAR(C1587),"")</f>
        <v/>
      </c>
      <c r="W1587" s="23" t="str">
        <f aca="false">IF(ISNUMBER(C1587),MONTH(C1587),"")</f>
        <v/>
      </c>
      <c r="X1587" s="23" t="str">
        <f aca="false">IF(T1587="","",IF(T1587=0,"No discount",IF(T1587&lt;=0.2,"Low (1-20%)",IF(T1587&lt;=0.4,"Medium (21-40%)","High (&gt;40%)"))))</f>
        <v/>
      </c>
      <c r="Y1587" s="23" t="str">
        <f aca="false">IF(AND(ISNUMBER(C1587),ISNUMBER(D1587)),D1587-C1587,"")</f>
        <v/>
      </c>
      <c r="Z1587" s="23" t="str">
        <f aca="false">IF(B1587="","",IF(MATCH(B1587,$B$2:$B$12000,0)=ROW()-1,1,0))</f>
        <v/>
      </c>
    </row>
    <row r="1588" customFormat="false" ht="15" hidden="false" customHeight="false" outlineLevel="0" collapsed="false">
      <c r="V1588" s="23" t="str">
        <f aca="false">IF(ISNUMBER(C1588),YEAR(C1588),"")</f>
        <v/>
      </c>
      <c r="W1588" s="23" t="str">
        <f aca="false">IF(ISNUMBER(C1588),MONTH(C1588),"")</f>
        <v/>
      </c>
      <c r="X1588" s="23" t="str">
        <f aca="false">IF(T1588="","",IF(T1588=0,"No discount",IF(T1588&lt;=0.2,"Low (1-20%)",IF(T1588&lt;=0.4,"Medium (21-40%)","High (&gt;40%)"))))</f>
        <v/>
      </c>
      <c r="Y1588" s="23" t="str">
        <f aca="false">IF(AND(ISNUMBER(C1588),ISNUMBER(D1588)),D1588-C1588,"")</f>
        <v/>
      </c>
      <c r="Z1588" s="23" t="str">
        <f aca="false">IF(B1588="","",IF(MATCH(B1588,$B$2:$B$12000,0)=ROW()-1,1,0))</f>
        <v/>
      </c>
    </row>
    <row r="1589" customFormat="false" ht="15" hidden="false" customHeight="false" outlineLevel="0" collapsed="false">
      <c r="V1589" s="23" t="str">
        <f aca="false">IF(ISNUMBER(C1589),YEAR(C1589),"")</f>
        <v/>
      </c>
      <c r="W1589" s="23" t="str">
        <f aca="false">IF(ISNUMBER(C1589),MONTH(C1589),"")</f>
        <v/>
      </c>
      <c r="X1589" s="23" t="str">
        <f aca="false">IF(T1589="","",IF(T1589=0,"No discount",IF(T1589&lt;=0.2,"Low (1-20%)",IF(T1589&lt;=0.4,"Medium (21-40%)","High (&gt;40%)"))))</f>
        <v/>
      </c>
      <c r="Y1589" s="23" t="str">
        <f aca="false">IF(AND(ISNUMBER(C1589),ISNUMBER(D1589)),D1589-C1589,"")</f>
        <v/>
      </c>
      <c r="Z1589" s="23" t="str">
        <f aca="false">IF(B1589="","",IF(MATCH(B1589,$B$2:$B$12000,0)=ROW()-1,1,0))</f>
        <v/>
      </c>
    </row>
    <row r="1590" customFormat="false" ht="15" hidden="false" customHeight="false" outlineLevel="0" collapsed="false">
      <c r="V1590" s="23" t="str">
        <f aca="false">IF(ISNUMBER(C1590),YEAR(C1590),"")</f>
        <v/>
      </c>
      <c r="W1590" s="23" t="str">
        <f aca="false">IF(ISNUMBER(C1590),MONTH(C1590),"")</f>
        <v/>
      </c>
      <c r="X1590" s="23" t="str">
        <f aca="false">IF(T1590="","",IF(T1590=0,"No discount",IF(T1590&lt;=0.2,"Low (1-20%)",IF(T1590&lt;=0.4,"Medium (21-40%)","High (&gt;40%)"))))</f>
        <v/>
      </c>
      <c r="Y1590" s="23" t="str">
        <f aca="false">IF(AND(ISNUMBER(C1590),ISNUMBER(D1590)),D1590-C1590,"")</f>
        <v/>
      </c>
      <c r="Z1590" s="23" t="str">
        <f aca="false">IF(B1590="","",IF(MATCH(B1590,$B$2:$B$12000,0)=ROW()-1,1,0))</f>
        <v/>
      </c>
    </row>
    <row r="1591" customFormat="false" ht="15" hidden="false" customHeight="false" outlineLevel="0" collapsed="false">
      <c r="V1591" s="23" t="str">
        <f aca="false">IF(ISNUMBER(C1591),YEAR(C1591),"")</f>
        <v/>
      </c>
      <c r="W1591" s="23" t="str">
        <f aca="false">IF(ISNUMBER(C1591),MONTH(C1591),"")</f>
        <v/>
      </c>
      <c r="X1591" s="23" t="str">
        <f aca="false">IF(T1591="","",IF(T1591=0,"No discount",IF(T1591&lt;=0.2,"Low (1-20%)",IF(T1591&lt;=0.4,"Medium (21-40%)","High (&gt;40%)"))))</f>
        <v/>
      </c>
      <c r="Y1591" s="23" t="str">
        <f aca="false">IF(AND(ISNUMBER(C1591),ISNUMBER(D1591)),D1591-C1591,"")</f>
        <v/>
      </c>
      <c r="Z1591" s="23" t="str">
        <f aca="false">IF(B1591="","",IF(MATCH(B1591,$B$2:$B$12000,0)=ROW()-1,1,0))</f>
        <v/>
      </c>
    </row>
    <row r="1592" customFormat="false" ht="15" hidden="false" customHeight="false" outlineLevel="0" collapsed="false">
      <c r="V1592" s="23" t="str">
        <f aca="false">IF(ISNUMBER(C1592),YEAR(C1592),"")</f>
        <v/>
      </c>
      <c r="W1592" s="23" t="str">
        <f aca="false">IF(ISNUMBER(C1592),MONTH(C1592),"")</f>
        <v/>
      </c>
      <c r="X1592" s="23" t="str">
        <f aca="false">IF(T1592="","",IF(T1592=0,"No discount",IF(T1592&lt;=0.2,"Low (1-20%)",IF(T1592&lt;=0.4,"Medium (21-40%)","High (&gt;40%)"))))</f>
        <v/>
      </c>
      <c r="Y1592" s="23" t="str">
        <f aca="false">IF(AND(ISNUMBER(C1592),ISNUMBER(D1592)),D1592-C1592,"")</f>
        <v/>
      </c>
      <c r="Z1592" s="23" t="str">
        <f aca="false">IF(B1592="","",IF(MATCH(B1592,$B$2:$B$12000,0)=ROW()-1,1,0))</f>
        <v/>
      </c>
    </row>
    <row r="1593" customFormat="false" ht="15" hidden="false" customHeight="false" outlineLevel="0" collapsed="false">
      <c r="V1593" s="23" t="str">
        <f aca="false">IF(ISNUMBER(C1593),YEAR(C1593),"")</f>
        <v/>
      </c>
      <c r="W1593" s="23" t="str">
        <f aca="false">IF(ISNUMBER(C1593),MONTH(C1593),"")</f>
        <v/>
      </c>
      <c r="X1593" s="23" t="str">
        <f aca="false">IF(T1593="","",IF(T1593=0,"No discount",IF(T1593&lt;=0.2,"Low (1-20%)",IF(T1593&lt;=0.4,"Medium (21-40%)","High (&gt;40%)"))))</f>
        <v/>
      </c>
      <c r="Y1593" s="23" t="str">
        <f aca="false">IF(AND(ISNUMBER(C1593),ISNUMBER(D1593)),D1593-C1593,"")</f>
        <v/>
      </c>
      <c r="Z1593" s="23" t="str">
        <f aca="false">IF(B1593="","",IF(MATCH(B1593,$B$2:$B$12000,0)=ROW()-1,1,0))</f>
        <v/>
      </c>
    </row>
    <row r="1594" customFormat="false" ht="15" hidden="false" customHeight="false" outlineLevel="0" collapsed="false">
      <c r="V1594" s="23" t="str">
        <f aca="false">IF(ISNUMBER(C1594),YEAR(C1594),"")</f>
        <v/>
      </c>
      <c r="W1594" s="23" t="str">
        <f aca="false">IF(ISNUMBER(C1594),MONTH(C1594),"")</f>
        <v/>
      </c>
      <c r="X1594" s="23" t="str">
        <f aca="false">IF(T1594="","",IF(T1594=0,"No discount",IF(T1594&lt;=0.2,"Low (1-20%)",IF(T1594&lt;=0.4,"Medium (21-40%)","High (&gt;40%)"))))</f>
        <v/>
      </c>
      <c r="Y1594" s="23" t="str">
        <f aca="false">IF(AND(ISNUMBER(C1594),ISNUMBER(D1594)),D1594-C1594,"")</f>
        <v/>
      </c>
      <c r="Z1594" s="23" t="str">
        <f aca="false">IF(B1594="","",IF(MATCH(B1594,$B$2:$B$12000,0)=ROW()-1,1,0))</f>
        <v/>
      </c>
    </row>
    <row r="1595" customFormat="false" ht="15" hidden="false" customHeight="false" outlineLevel="0" collapsed="false">
      <c r="V1595" s="23" t="str">
        <f aca="false">IF(ISNUMBER(C1595),YEAR(C1595),"")</f>
        <v/>
      </c>
      <c r="W1595" s="23" t="str">
        <f aca="false">IF(ISNUMBER(C1595),MONTH(C1595),"")</f>
        <v/>
      </c>
      <c r="X1595" s="23" t="str">
        <f aca="false">IF(T1595="","",IF(T1595=0,"No discount",IF(T1595&lt;=0.2,"Low (1-20%)",IF(T1595&lt;=0.4,"Medium (21-40%)","High (&gt;40%)"))))</f>
        <v/>
      </c>
      <c r="Y1595" s="23" t="str">
        <f aca="false">IF(AND(ISNUMBER(C1595),ISNUMBER(D1595)),D1595-C1595,"")</f>
        <v/>
      </c>
      <c r="Z1595" s="23" t="str">
        <f aca="false">IF(B1595="","",IF(MATCH(B1595,$B$2:$B$12000,0)=ROW()-1,1,0))</f>
        <v/>
      </c>
    </row>
    <row r="1596" customFormat="false" ht="15" hidden="false" customHeight="false" outlineLevel="0" collapsed="false">
      <c r="V1596" s="23" t="str">
        <f aca="false">IF(ISNUMBER(C1596),YEAR(C1596),"")</f>
        <v/>
      </c>
      <c r="W1596" s="23" t="str">
        <f aca="false">IF(ISNUMBER(C1596),MONTH(C1596),"")</f>
        <v/>
      </c>
      <c r="X1596" s="23" t="str">
        <f aca="false">IF(T1596="","",IF(T1596=0,"No discount",IF(T1596&lt;=0.2,"Low (1-20%)",IF(T1596&lt;=0.4,"Medium (21-40%)","High (&gt;40%)"))))</f>
        <v/>
      </c>
      <c r="Y1596" s="23" t="str">
        <f aca="false">IF(AND(ISNUMBER(C1596),ISNUMBER(D1596)),D1596-C1596,"")</f>
        <v/>
      </c>
      <c r="Z1596" s="23" t="str">
        <f aca="false">IF(B1596="","",IF(MATCH(B1596,$B$2:$B$12000,0)=ROW()-1,1,0))</f>
        <v/>
      </c>
    </row>
    <row r="1597" customFormat="false" ht="15" hidden="false" customHeight="false" outlineLevel="0" collapsed="false">
      <c r="V1597" s="23" t="str">
        <f aca="false">IF(ISNUMBER(C1597),YEAR(C1597),"")</f>
        <v/>
      </c>
      <c r="W1597" s="23" t="str">
        <f aca="false">IF(ISNUMBER(C1597),MONTH(C1597),"")</f>
        <v/>
      </c>
      <c r="X1597" s="23" t="str">
        <f aca="false">IF(T1597="","",IF(T1597=0,"No discount",IF(T1597&lt;=0.2,"Low (1-20%)",IF(T1597&lt;=0.4,"Medium (21-40%)","High (&gt;40%)"))))</f>
        <v/>
      </c>
      <c r="Y1597" s="23" t="str">
        <f aca="false">IF(AND(ISNUMBER(C1597),ISNUMBER(D1597)),D1597-C1597,"")</f>
        <v/>
      </c>
      <c r="Z1597" s="23" t="str">
        <f aca="false">IF(B1597="","",IF(MATCH(B1597,$B$2:$B$12000,0)=ROW()-1,1,0))</f>
        <v/>
      </c>
    </row>
    <row r="1598" customFormat="false" ht="15" hidden="false" customHeight="false" outlineLevel="0" collapsed="false">
      <c r="V1598" s="23" t="str">
        <f aca="false">IF(ISNUMBER(C1598),YEAR(C1598),"")</f>
        <v/>
      </c>
      <c r="W1598" s="23" t="str">
        <f aca="false">IF(ISNUMBER(C1598),MONTH(C1598),"")</f>
        <v/>
      </c>
      <c r="X1598" s="23" t="str">
        <f aca="false">IF(T1598="","",IF(T1598=0,"No discount",IF(T1598&lt;=0.2,"Low (1-20%)",IF(T1598&lt;=0.4,"Medium (21-40%)","High (&gt;40%)"))))</f>
        <v/>
      </c>
      <c r="Y1598" s="23" t="str">
        <f aca="false">IF(AND(ISNUMBER(C1598),ISNUMBER(D1598)),D1598-C1598,"")</f>
        <v/>
      </c>
      <c r="Z1598" s="23" t="str">
        <f aca="false">IF(B1598="","",IF(MATCH(B1598,$B$2:$B$12000,0)=ROW()-1,1,0))</f>
        <v/>
      </c>
    </row>
    <row r="1599" customFormat="false" ht="15" hidden="false" customHeight="false" outlineLevel="0" collapsed="false">
      <c r="V1599" s="23" t="str">
        <f aca="false">IF(ISNUMBER(C1599),YEAR(C1599),"")</f>
        <v/>
      </c>
      <c r="W1599" s="23" t="str">
        <f aca="false">IF(ISNUMBER(C1599),MONTH(C1599),"")</f>
        <v/>
      </c>
      <c r="X1599" s="23" t="str">
        <f aca="false">IF(T1599="","",IF(T1599=0,"No discount",IF(T1599&lt;=0.2,"Low (1-20%)",IF(T1599&lt;=0.4,"Medium (21-40%)","High (&gt;40%)"))))</f>
        <v/>
      </c>
      <c r="Y1599" s="23" t="str">
        <f aca="false">IF(AND(ISNUMBER(C1599),ISNUMBER(D1599)),D1599-C1599,"")</f>
        <v/>
      </c>
      <c r="Z1599" s="23" t="str">
        <f aca="false">IF(B1599="","",IF(MATCH(B1599,$B$2:$B$12000,0)=ROW()-1,1,0))</f>
        <v/>
      </c>
    </row>
    <row r="1600" customFormat="false" ht="15" hidden="false" customHeight="false" outlineLevel="0" collapsed="false">
      <c r="V1600" s="23" t="str">
        <f aca="false">IF(ISNUMBER(C1600),YEAR(C1600),"")</f>
        <v/>
      </c>
      <c r="W1600" s="23" t="str">
        <f aca="false">IF(ISNUMBER(C1600),MONTH(C1600),"")</f>
        <v/>
      </c>
      <c r="X1600" s="23" t="str">
        <f aca="false">IF(T1600="","",IF(T1600=0,"No discount",IF(T1600&lt;=0.2,"Low (1-20%)",IF(T1600&lt;=0.4,"Medium (21-40%)","High (&gt;40%)"))))</f>
        <v/>
      </c>
      <c r="Y1600" s="23" t="str">
        <f aca="false">IF(AND(ISNUMBER(C1600),ISNUMBER(D1600)),D1600-C1600,"")</f>
        <v/>
      </c>
      <c r="Z1600" s="23" t="str">
        <f aca="false">IF(B1600="","",IF(MATCH(B1600,$B$2:$B$12000,0)=ROW()-1,1,0))</f>
        <v/>
      </c>
    </row>
    <row r="1601" customFormat="false" ht="15" hidden="false" customHeight="false" outlineLevel="0" collapsed="false">
      <c r="V1601" s="23" t="str">
        <f aca="false">IF(ISNUMBER(C1601),YEAR(C1601),"")</f>
        <v/>
      </c>
      <c r="W1601" s="23" t="str">
        <f aca="false">IF(ISNUMBER(C1601),MONTH(C1601),"")</f>
        <v/>
      </c>
      <c r="X1601" s="23" t="str">
        <f aca="false">IF(T1601="","",IF(T1601=0,"No discount",IF(T1601&lt;=0.2,"Low (1-20%)",IF(T1601&lt;=0.4,"Medium (21-40%)","High (&gt;40%)"))))</f>
        <v/>
      </c>
      <c r="Y1601" s="23" t="str">
        <f aca="false">IF(AND(ISNUMBER(C1601),ISNUMBER(D1601)),D1601-C1601,"")</f>
        <v/>
      </c>
      <c r="Z1601" s="23" t="str">
        <f aca="false">IF(B1601="","",IF(MATCH(B1601,$B$2:$B$12000,0)=ROW()-1,1,0))</f>
        <v/>
      </c>
    </row>
    <row r="1602" customFormat="false" ht="15" hidden="false" customHeight="false" outlineLevel="0" collapsed="false">
      <c r="V1602" s="23" t="str">
        <f aca="false">IF(ISNUMBER(C1602),YEAR(C1602),"")</f>
        <v/>
      </c>
      <c r="W1602" s="23" t="str">
        <f aca="false">IF(ISNUMBER(C1602),MONTH(C1602),"")</f>
        <v/>
      </c>
      <c r="X1602" s="23" t="str">
        <f aca="false">IF(T1602="","",IF(T1602=0,"No discount",IF(T1602&lt;=0.2,"Low (1-20%)",IF(T1602&lt;=0.4,"Medium (21-40%)","High (&gt;40%)"))))</f>
        <v/>
      </c>
      <c r="Y1602" s="23" t="str">
        <f aca="false">IF(AND(ISNUMBER(C1602),ISNUMBER(D1602)),D1602-C1602,"")</f>
        <v/>
      </c>
      <c r="Z1602" s="23" t="str">
        <f aca="false">IF(B1602="","",IF(MATCH(B1602,$B$2:$B$12000,0)=ROW()-1,1,0))</f>
        <v/>
      </c>
    </row>
    <row r="1603" customFormat="false" ht="15" hidden="false" customHeight="false" outlineLevel="0" collapsed="false">
      <c r="V1603" s="23" t="str">
        <f aca="false">IF(ISNUMBER(C1603),YEAR(C1603),"")</f>
        <v/>
      </c>
      <c r="W1603" s="23" t="str">
        <f aca="false">IF(ISNUMBER(C1603),MONTH(C1603),"")</f>
        <v/>
      </c>
      <c r="X1603" s="23" t="str">
        <f aca="false">IF(T1603="","",IF(T1603=0,"No discount",IF(T1603&lt;=0.2,"Low (1-20%)",IF(T1603&lt;=0.4,"Medium (21-40%)","High (&gt;40%)"))))</f>
        <v/>
      </c>
      <c r="Y1603" s="23" t="str">
        <f aca="false">IF(AND(ISNUMBER(C1603),ISNUMBER(D1603)),D1603-C1603,"")</f>
        <v/>
      </c>
      <c r="Z1603" s="23" t="str">
        <f aca="false">IF(B1603="","",IF(MATCH(B1603,$B$2:$B$12000,0)=ROW()-1,1,0))</f>
        <v/>
      </c>
    </row>
    <row r="1604" customFormat="false" ht="15" hidden="false" customHeight="false" outlineLevel="0" collapsed="false">
      <c r="V1604" s="23" t="str">
        <f aca="false">IF(ISNUMBER(C1604),YEAR(C1604),"")</f>
        <v/>
      </c>
      <c r="W1604" s="23" t="str">
        <f aca="false">IF(ISNUMBER(C1604),MONTH(C1604),"")</f>
        <v/>
      </c>
      <c r="X1604" s="23" t="str">
        <f aca="false">IF(T1604="","",IF(T1604=0,"No discount",IF(T1604&lt;=0.2,"Low (1-20%)",IF(T1604&lt;=0.4,"Medium (21-40%)","High (&gt;40%)"))))</f>
        <v/>
      </c>
      <c r="Y1604" s="23" t="str">
        <f aca="false">IF(AND(ISNUMBER(C1604),ISNUMBER(D1604)),D1604-C1604,"")</f>
        <v/>
      </c>
      <c r="Z1604" s="23" t="str">
        <f aca="false">IF(B1604="","",IF(MATCH(B1604,$B$2:$B$12000,0)=ROW()-1,1,0))</f>
        <v/>
      </c>
    </row>
    <row r="1605" customFormat="false" ht="15" hidden="false" customHeight="false" outlineLevel="0" collapsed="false">
      <c r="V1605" s="23" t="str">
        <f aca="false">IF(ISNUMBER(C1605),YEAR(C1605),"")</f>
        <v/>
      </c>
      <c r="W1605" s="23" t="str">
        <f aca="false">IF(ISNUMBER(C1605),MONTH(C1605),"")</f>
        <v/>
      </c>
      <c r="X1605" s="23" t="str">
        <f aca="false">IF(T1605="","",IF(T1605=0,"No discount",IF(T1605&lt;=0.2,"Low (1-20%)",IF(T1605&lt;=0.4,"Medium (21-40%)","High (&gt;40%)"))))</f>
        <v/>
      </c>
      <c r="Y1605" s="23" t="str">
        <f aca="false">IF(AND(ISNUMBER(C1605),ISNUMBER(D1605)),D1605-C1605,"")</f>
        <v/>
      </c>
      <c r="Z1605" s="23" t="str">
        <f aca="false">IF(B1605="","",IF(MATCH(B1605,$B$2:$B$12000,0)=ROW()-1,1,0))</f>
        <v/>
      </c>
    </row>
    <row r="1606" customFormat="false" ht="15" hidden="false" customHeight="false" outlineLevel="0" collapsed="false">
      <c r="V1606" s="23" t="str">
        <f aca="false">IF(ISNUMBER(C1606),YEAR(C1606),"")</f>
        <v/>
      </c>
      <c r="W1606" s="23" t="str">
        <f aca="false">IF(ISNUMBER(C1606),MONTH(C1606),"")</f>
        <v/>
      </c>
      <c r="X1606" s="23" t="str">
        <f aca="false">IF(T1606="","",IF(T1606=0,"No discount",IF(T1606&lt;=0.2,"Low (1-20%)",IF(T1606&lt;=0.4,"Medium (21-40%)","High (&gt;40%)"))))</f>
        <v/>
      </c>
      <c r="Y1606" s="23" t="str">
        <f aca="false">IF(AND(ISNUMBER(C1606),ISNUMBER(D1606)),D1606-C1606,"")</f>
        <v/>
      </c>
      <c r="Z1606" s="23" t="str">
        <f aca="false">IF(B1606="","",IF(MATCH(B1606,$B$2:$B$12000,0)=ROW()-1,1,0))</f>
        <v/>
      </c>
    </row>
    <row r="1607" customFormat="false" ht="15" hidden="false" customHeight="false" outlineLevel="0" collapsed="false">
      <c r="V1607" s="23" t="str">
        <f aca="false">IF(ISNUMBER(C1607),YEAR(C1607),"")</f>
        <v/>
      </c>
      <c r="W1607" s="23" t="str">
        <f aca="false">IF(ISNUMBER(C1607),MONTH(C1607),"")</f>
        <v/>
      </c>
      <c r="X1607" s="23" t="str">
        <f aca="false">IF(T1607="","",IF(T1607=0,"No discount",IF(T1607&lt;=0.2,"Low (1-20%)",IF(T1607&lt;=0.4,"Medium (21-40%)","High (&gt;40%)"))))</f>
        <v/>
      </c>
      <c r="Y1607" s="23" t="str">
        <f aca="false">IF(AND(ISNUMBER(C1607),ISNUMBER(D1607)),D1607-C1607,"")</f>
        <v/>
      </c>
      <c r="Z1607" s="23" t="str">
        <f aca="false">IF(B1607="","",IF(MATCH(B1607,$B$2:$B$12000,0)=ROW()-1,1,0))</f>
        <v/>
      </c>
    </row>
    <row r="1608" customFormat="false" ht="15" hidden="false" customHeight="false" outlineLevel="0" collapsed="false">
      <c r="V1608" s="23" t="str">
        <f aca="false">IF(ISNUMBER(C1608),YEAR(C1608),"")</f>
        <v/>
      </c>
      <c r="W1608" s="23" t="str">
        <f aca="false">IF(ISNUMBER(C1608),MONTH(C1608),"")</f>
        <v/>
      </c>
      <c r="X1608" s="23" t="str">
        <f aca="false">IF(T1608="","",IF(T1608=0,"No discount",IF(T1608&lt;=0.2,"Low (1-20%)",IF(T1608&lt;=0.4,"Medium (21-40%)","High (&gt;40%)"))))</f>
        <v/>
      </c>
      <c r="Y1608" s="23" t="str">
        <f aca="false">IF(AND(ISNUMBER(C1608),ISNUMBER(D1608)),D1608-C1608,"")</f>
        <v/>
      </c>
      <c r="Z1608" s="23" t="str">
        <f aca="false">IF(B1608="","",IF(MATCH(B1608,$B$2:$B$12000,0)=ROW()-1,1,0))</f>
        <v/>
      </c>
    </row>
    <row r="1609" customFormat="false" ht="15" hidden="false" customHeight="false" outlineLevel="0" collapsed="false">
      <c r="V1609" s="23" t="str">
        <f aca="false">IF(ISNUMBER(C1609),YEAR(C1609),"")</f>
        <v/>
      </c>
      <c r="W1609" s="23" t="str">
        <f aca="false">IF(ISNUMBER(C1609),MONTH(C1609),"")</f>
        <v/>
      </c>
      <c r="X1609" s="23" t="str">
        <f aca="false">IF(T1609="","",IF(T1609=0,"No discount",IF(T1609&lt;=0.2,"Low (1-20%)",IF(T1609&lt;=0.4,"Medium (21-40%)","High (&gt;40%)"))))</f>
        <v/>
      </c>
      <c r="Y1609" s="23" t="str">
        <f aca="false">IF(AND(ISNUMBER(C1609),ISNUMBER(D1609)),D1609-C1609,"")</f>
        <v/>
      </c>
      <c r="Z1609" s="23" t="str">
        <f aca="false">IF(B1609="","",IF(MATCH(B1609,$B$2:$B$12000,0)=ROW()-1,1,0))</f>
        <v/>
      </c>
    </row>
    <row r="1610" customFormat="false" ht="15" hidden="false" customHeight="false" outlineLevel="0" collapsed="false">
      <c r="V1610" s="23" t="str">
        <f aca="false">IF(ISNUMBER(C1610),YEAR(C1610),"")</f>
        <v/>
      </c>
      <c r="W1610" s="23" t="str">
        <f aca="false">IF(ISNUMBER(C1610),MONTH(C1610),"")</f>
        <v/>
      </c>
      <c r="X1610" s="23" t="str">
        <f aca="false">IF(T1610="","",IF(T1610=0,"No discount",IF(T1610&lt;=0.2,"Low (1-20%)",IF(T1610&lt;=0.4,"Medium (21-40%)","High (&gt;40%)"))))</f>
        <v/>
      </c>
      <c r="Y1610" s="23" t="str">
        <f aca="false">IF(AND(ISNUMBER(C1610),ISNUMBER(D1610)),D1610-C1610,"")</f>
        <v/>
      </c>
      <c r="Z1610" s="23" t="str">
        <f aca="false">IF(B1610="","",IF(MATCH(B1610,$B$2:$B$12000,0)=ROW()-1,1,0))</f>
        <v/>
      </c>
    </row>
    <row r="1611" customFormat="false" ht="15" hidden="false" customHeight="false" outlineLevel="0" collapsed="false">
      <c r="V1611" s="23" t="str">
        <f aca="false">IF(ISNUMBER(C1611),YEAR(C1611),"")</f>
        <v/>
      </c>
      <c r="W1611" s="23" t="str">
        <f aca="false">IF(ISNUMBER(C1611),MONTH(C1611),"")</f>
        <v/>
      </c>
      <c r="X1611" s="23" t="str">
        <f aca="false">IF(T1611="","",IF(T1611=0,"No discount",IF(T1611&lt;=0.2,"Low (1-20%)",IF(T1611&lt;=0.4,"Medium (21-40%)","High (&gt;40%)"))))</f>
        <v/>
      </c>
      <c r="Y1611" s="23" t="str">
        <f aca="false">IF(AND(ISNUMBER(C1611),ISNUMBER(D1611)),D1611-C1611,"")</f>
        <v/>
      </c>
      <c r="Z1611" s="23" t="str">
        <f aca="false">IF(B1611="","",IF(MATCH(B1611,$B$2:$B$12000,0)=ROW()-1,1,0))</f>
        <v/>
      </c>
    </row>
    <row r="1612" customFormat="false" ht="15" hidden="false" customHeight="false" outlineLevel="0" collapsed="false">
      <c r="V1612" s="23" t="str">
        <f aca="false">IF(ISNUMBER(C1612),YEAR(C1612),"")</f>
        <v/>
      </c>
      <c r="W1612" s="23" t="str">
        <f aca="false">IF(ISNUMBER(C1612),MONTH(C1612),"")</f>
        <v/>
      </c>
      <c r="X1612" s="23" t="str">
        <f aca="false">IF(T1612="","",IF(T1612=0,"No discount",IF(T1612&lt;=0.2,"Low (1-20%)",IF(T1612&lt;=0.4,"Medium (21-40%)","High (&gt;40%)"))))</f>
        <v/>
      </c>
      <c r="Y1612" s="23" t="str">
        <f aca="false">IF(AND(ISNUMBER(C1612),ISNUMBER(D1612)),D1612-C1612,"")</f>
        <v/>
      </c>
      <c r="Z1612" s="23" t="str">
        <f aca="false">IF(B1612="","",IF(MATCH(B1612,$B$2:$B$12000,0)=ROW()-1,1,0))</f>
        <v/>
      </c>
    </row>
    <row r="1613" customFormat="false" ht="15" hidden="false" customHeight="false" outlineLevel="0" collapsed="false">
      <c r="V1613" s="23" t="str">
        <f aca="false">IF(ISNUMBER(C1613),YEAR(C1613),"")</f>
        <v/>
      </c>
      <c r="W1613" s="23" t="str">
        <f aca="false">IF(ISNUMBER(C1613),MONTH(C1613),"")</f>
        <v/>
      </c>
      <c r="X1613" s="23" t="str">
        <f aca="false">IF(T1613="","",IF(T1613=0,"No discount",IF(T1613&lt;=0.2,"Low (1-20%)",IF(T1613&lt;=0.4,"Medium (21-40%)","High (&gt;40%)"))))</f>
        <v/>
      </c>
      <c r="Y1613" s="23" t="str">
        <f aca="false">IF(AND(ISNUMBER(C1613),ISNUMBER(D1613)),D1613-C1613,"")</f>
        <v/>
      </c>
      <c r="Z1613" s="23" t="str">
        <f aca="false">IF(B1613="","",IF(MATCH(B1613,$B$2:$B$12000,0)=ROW()-1,1,0))</f>
        <v/>
      </c>
    </row>
    <row r="1614" customFormat="false" ht="15" hidden="false" customHeight="false" outlineLevel="0" collapsed="false">
      <c r="V1614" s="23" t="str">
        <f aca="false">IF(ISNUMBER(C1614),YEAR(C1614),"")</f>
        <v/>
      </c>
      <c r="W1614" s="23" t="str">
        <f aca="false">IF(ISNUMBER(C1614),MONTH(C1614),"")</f>
        <v/>
      </c>
      <c r="X1614" s="23" t="str">
        <f aca="false">IF(T1614="","",IF(T1614=0,"No discount",IF(T1614&lt;=0.2,"Low (1-20%)",IF(T1614&lt;=0.4,"Medium (21-40%)","High (&gt;40%)"))))</f>
        <v/>
      </c>
      <c r="Y1614" s="23" t="str">
        <f aca="false">IF(AND(ISNUMBER(C1614),ISNUMBER(D1614)),D1614-C1614,"")</f>
        <v/>
      </c>
      <c r="Z1614" s="23" t="str">
        <f aca="false">IF(B1614="","",IF(MATCH(B1614,$B$2:$B$12000,0)=ROW()-1,1,0))</f>
        <v/>
      </c>
    </row>
    <row r="1615" customFormat="false" ht="15" hidden="false" customHeight="false" outlineLevel="0" collapsed="false">
      <c r="V1615" s="23" t="str">
        <f aca="false">IF(ISNUMBER(C1615),YEAR(C1615),"")</f>
        <v/>
      </c>
      <c r="W1615" s="23" t="str">
        <f aca="false">IF(ISNUMBER(C1615),MONTH(C1615),"")</f>
        <v/>
      </c>
      <c r="X1615" s="23" t="str">
        <f aca="false">IF(T1615="","",IF(T1615=0,"No discount",IF(T1615&lt;=0.2,"Low (1-20%)",IF(T1615&lt;=0.4,"Medium (21-40%)","High (&gt;40%)"))))</f>
        <v/>
      </c>
      <c r="Y1615" s="23" t="str">
        <f aca="false">IF(AND(ISNUMBER(C1615),ISNUMBER(D1615)),D1615-C1615,"")</f>
        <v/>
      </c>
      <c r="Z1615" s="23" t="str">
        <f aca="false">IF(B1615="","",IF(MATCH(B1615,$B$2:$B$12000,0)=ROW()-1,1,0))</f>
        <v/>
      </c>
    </row>
    <row r="1616" customFormat="false" ht="15" hidden="false" customHeight="false" outlineLevel="0" collapsed="false">
      <c r="V1616" s="23" t="str">
        <f aca="false">IF(ISNUMBER(C1616),YEAR(C1616),"")</f>
        <v/>
      </c>
      <c r="W1616" s="23" t="str">
        <f aca="false">IF(ISNUMBER(C1616),MONTH(C1616),"")</f>
        <v/>
      </c>
      <c r="X1616" s="23" t="str">
        <f aca="false">IF(T1616="","",IF(T1616=0,"No discount",IF(T1616&lt;=0.2,"Low (1-20%)",IF(T1616&lt;=0.4,"Medium (21-40%)","High (&gt;40%)"))))</f>
        <v/>
      </c>
      <c r="Y1616" s="23" t="str">
        <f aca="false">IF(AND(ISNUMBER(C1616),ISNUMBER(D1616)),D1616-C1616,"")</f>
        <v/>
      </c>
      <c r="Z1616" s="23" t="str">
        <f aca="false">IF(B1616="","",IF(MATCH(B1616,$B$2:$B$12000,0)=ROW()-1,1,0))</f>
        <v/>
      </c>
    </row>
    <row r="1617" customFormat="false" ht="15" hidden="false" customHeight="false" outlineLevel="0" collapsed="false">
      <c r="V1617" s="23" t="str">
        <f aca="false">IF(ISNUMBER(C1617),YEAR(C1617),"")</f>
        <v/>
      </c>
      <c r="W1617" s="23" t="str">
        <f aca="false">IF(ISNUMBER(C1617),MONTH(C1617),"")</f>
        <v/>
      </c>
      <c r="X1617" s="23" t="str">
        <f aca="false">IF(T1617="","",IF(T1617=0,"No discount",IF(T1617&lt;=0.2,"Low (1-20%)",IF(T1617&lt;=0.4,"Medium (21-40%)","High (&gt;40%)"))))</f>
        <v/>
      </c>
      <c r="Y1617" s="23" t="str">
        <f aca="false">IF(AND(ISNUMBER(C1617),ISNUMBER(D1617)),D1617-C1617,"")</f>
        <v/>
      </c>
      <c r="Z1617" s="23" t="str">
        <f aca="false">IF(B1617="","",IF(MATCH(B1617,$B$2:$B$12000,0)=ROW()-1,1,0))</f>
        <v/>
      </c>
    </row>
    <row r="1618" customFormat="false" ht="15" hidden="false" customHeight="false" outlineLevel="0" collapsed="false">
      <c r="V1618" s="23" t="str">
        <f aca="false">IF(ISNUMBER(C1618),YEAR(C1618),"")</f>
        <v/>
      </c>
      <c r="W1618" s="23" t="str">
        <f aca="false">IF(ISNUMBER(C1618),MONTH(C1618),"")</f>
        <v/>
      </c>
      <c r="X1618" s="23" t="str">
        <f aca="false">IF(T1618="","",IF(T1618=0,"No discount",IF(T1618&lt;=0.2,"Low (1-20%)",IF(T1618&lt;=0.4,"Medium (21-40%)","High (&gt;40%)"))))</f>
        <v/>
      </c>
      <c r="Y1618" s="23" t="str">
        <f aca="false">IF(AND(ISNUMBER(C1618),ISNUMBER(D1618)),D1618-C1618,"")</f>
        <v/>
      </c>
      <c r="Z1618" s="23" t="str">
        <f aca="false">IF(B1618="","",IF(MATCH(B1618,$B$2:$B$12000,0)=ROW()-1,1,0))</f>
        <v/>
      </c>
    </row>
    <row r="1619" customFormat="false" ht="15" hidden="false" customHeight="false" outlineLevel="0" collapsed="false">
      <c r="V1619" s="23" t="str">
        <f aca="false">IF(ISNUMBER(C1619),YEAR(C1619),"")</f>
        <v/>
      </c>
      <c r="W1619" s="23" t="str">
        <f aca="false">IF(ISNUMBER(C1619),MONTH(C1619),"")</f>
        <v/>
      </c>
      <c r="X1619" s="23" t="str">
        <f aca="false">IF(T1619="","",IF(T1619=0,"No discount",IF(T1619&lt;=0.2,"Low (1-20%)",IF(T1619&lt;=0.4,"Medium (21-40%)","High (&gt;40%)"))))</f>
        <v/>
      </c>
      <c r="Y1619" s="23" t="str">
        <f aca="false">IF(AND(ISNUMBER(C1619),ISNUMBER(D1619)),D1619-C1619,"")</f>
        <v/>
      </c>
      <c r="Z1619" s="23" t="str">
        <f aca="false">IF(B1619="","",IF(MATCH(B1619,$B$2:$B$12000,0)=ROW()-1,1,0))</f>
        <v/>
      </c>
    </row>
    <row r="1620" customFormat="false" ht="15" hidden="false" customHeight="false" outlineLevel="0" collapsed="false">
      <c r="V1620" s="23" t="str">
        <f aca="false">IF(ISNUMBER(C1620),YEAR(C1620),"")</f>
        <v/>
      </c>
      <c r="W1620" s="23" t="str">
        <f aca="false">IF(ISNUMBER(C1620),MONTH(C1620),"")</f>
        <v/>
      </c>
      <c r="X1620" s="23" t="str">
        <f aca="false">IF(T1620="","",IF(T1620=0,"No discount",IF(T1620&lt;=0.2,"Low (1-20%)",IF(T1620&lt;=0.4,"Medium (21-40%)","High (&gt;40%)"))))</f>
        <v/>
      </c>
      <c r="Y1620" s="23" t="str">
        <f aca="false">IF(AND(ISNUMBER(C1620),ISNUMBER(D1620)),D1620-C1620,"")</f>
        <v/>
      </c>
      <c r="Z1620" s="23" t="str">
        <f aca="false">IF(B1620="","",IF(MATCH(B1620,$B$2:$B$12000,0)=ROW()-1,1,0))</f>
        <v/>
      </c>
    </row>
    <row r="1621" customFormat="false" ht="15" hidden="false" customHeight="false" outlineLevel="0" collapsed="false">
      <c r="V1621" s="23" t="str">
        <f aca="false">IF(ISNUMBER(C1621),YEAR(C1621),"")</f>
        <v/>
      </c>
      <c r="W1621" s="23" t="str">
        <f aca="false">IF(ISNUMBER(C1621),MONTH(C1621),"")</f>
        <v/>
      </c>
      <c r="X1621" s="23" t="str">
        <f aca="false">IF(T1621="","",IF(T1621=0,"No discount",IF(T1621&lt;=0.2,"Low (1-20%)",IF(T1621&lt;=0.4,"Medium (21-40%)","High (&gt;40%)"))))</f>
        <v/>
      </c>
      <c r="Y1621" s="23" t="str">
        <f aca="false">IF(AND(ISNUMBER(C1621),ISNUMBER(D1621)),D1621-C1621,"")</f>
        <v/>
      </c>
      <c r="Z1621" s="23" t="str">
        <f aca="false">IF(B1621="","",IF(MATCH(B1621,$B$2:$B$12000,0)=ROW()-1,1,0))</f>
        <v/>
      </c>
    </row>
    <row r="1622" customFormat="false" ht="15" hidden="false" customHeight="false" outlineLevel="0" collapsed="false">
      <c r="V1622" s="23" t="str">
        <f aca="false">IF(ISNUMBER(C1622),YEAR(C1622),"")</f>
        <v/>
      </c>
      <c r="W1622" s="23" t="str">
        <f aca="false">IF(ISNUMBER(C1622),MONTH(C1622),"")</f>
        <v/>
      </c>
      <c r="X1622" s="23" t="str">
        <f aca="false">IF(T1622="","",IF(T1622=0,"No discount",IF(T1622&lt;=0.2,"Low (1-20%)",IF(T1622&lt;=0.4,"Medium (21-40%)","High (&gt;40%)"))))</f>
        <v/>
      </c>
      <c r="Y1622" s="23" t="str">
        <f aca="false">IF(AND(ISNUMBER(C1622),ISNUMBER(D1622)),D1622-C1622,"")</f>
        <v/>
      </c>
      <c r="Z1622" s="23" t="str">
        <f aca="false">IF(B1622="","",IF(MATCH(B1622,$B$2:$B$12000,0)=ROW()-1,1,0))</f>
        <v/>
      </c>
    </row>
    <row r="1623" customFormat="false" ht="15" hidden="false" customHeight="false" outlineLevel="0" collapsed="false">
      <c r="V1623" s="23" t="str">
        <f aca="false">IF(ISNUMBER(C1623),YEAR(C1623),"")</f>
        <v/>
      </c>
      <c r="W1623" s="23" t="str">
        <f aca="false">IF(ISNUMBER(C1623),MONTH(C1623),"")</f>
        <v/>
      </c>
      <c r="X1623" s="23" t="str">
        <f aca="false">IF(T1623="","",IF(T1623=0,"No discount",IF(T1623&lt;=0.2,"Low (1-20%)",IF(T1623&lt;=0.4,"Medium (21-40%)","High (&gt;40%)"))))</f>
        <v/>
      </c>
      <c r="Y1623" s="23" t="str">
        <f aca="false">IF(AND(ISNUMBER(C1623),ISNUMBER(D1623)),D1623-C1623,"")</f>
        <v/>
      </c>
      <c r="Z1623" s="23" t="str">
        <f aca="false">IF(B1623="","",IF(MATCH(B1623,$B$2:$B$12000,0)=ROW()-1,1,0))</f>
        <v/>
      </c>
    </row>
    <row r="1624" customFormat="false" ht="15" hidden="false" customHeight="false" outlineLevel="0" collapsed="false">
      <c r="V1624" s="23" t="str">
        <f aca="false">IF(ISNUMBER(C1624),YEAR(C1624),"")</f>
        <v/>
      </c>
      <c r="W1624" s="23" t="str">
        <f aca="false">IF(ISNUMBER(C1624),MONTH(C1624),"")</f>
        <v/>
      </c>
      <c r="X1624" s="23" t="str">
        <f aca="false">IF(T1624="","",IF(T1624=0,"No discount",IF(T1624&lt;=0.2,"Low (1-20%)",IF(T1624&lt;=0.4,"Medium (21-40%)","High (&gt;40%)"))))</f>
        <v/>
      </c>
      <c r="Y1624" s="23" t="str">
        <f aca="false">IF(AND(ISNUMBER(C1624),ISNUMBER(D1624)),D1624-C1624,"")</f>
        <v/>
      </c>
      <c r="Z1624" s="23" t="str">
        <f aca="false">IF(B1624="","",IF(MATCH(B1624,$B$2:$B$12000,0)=ROW()-1,1,0))</f>
        <v/>
      </c>
    </row>
    <row r="1625" customFormat="false" ht="15" hidden="false" customHeight="false" outlineLevel="0" collapsed="false">
      <c r="V1625" s="23" t="str">
        <f aca="false">IF(ISNUMBER(C1625),YEAR(C1625),"")</f>
        <v/>
      </c>
      <c r="W1625" s="23" t="str">
        <f aca="false">IF(ISNUMBER(C1625),MONTH(C1625),"")</f>
        <v/>
      </c>
      <c r="X1625" s="23" t="str">
        <f aca="false">IF(T1625="","",IF(T1625=0,"No discount",IF(T1625&lt;=0.2,"Low (1-20%)",IF(T1625&lt;=0.4,"Medium (21-40%)","High (&gt;40%)"))))</f>
        <v/>
      </c>
      <c r="Y1625" s="23" t="str">
        <f aca="false">IF(AND(ISNUMBER(C1625),ISNUMBER(D1625)),D1625-C1625,"")</f>
        <v/>
      </c>
      <c r="Z1625" s="23" t="str">
        <f aca="false">IF(B1625="","",IF(MATCH(B1625,$B$2:$B$12000,0)=ROW()-1,1,0))</f>
        <v/>
      </c>
    </row>
    <row r="1626" customFormat="false" ht="15" hidden="false" customHeight="false" outlineLevel="0" collapsed="false">
      <c r="V1626" s="23" t="str">
        <f aca="false">IF(ISNUMBER(C1626),YEAR(C1626),"")</f>
        <v/>
      </c>
      <c r="W1626" s="23" t="str">
        <f aca="false">IF(ISNUMBER(C1626),MONTH(C1626),"")</f>
        <v/>
      </c>
      <c r="X1626" s="23" t="str">
        <f aca="false">IF(T1626="","",IF(T1626=0,"No discount",IF(T1626&lt;=0.2,"Low (1-20%)",IF(T1626&lt;=0.4,"Medium (21-40%)","High (&gt;40%)"))))</f>
        <v/>
      </c>
      <c r="Y1626" s="23" t="str">
        <f aca="false">IF(AND(ISNUMBER(C1626),ISNUMBER(D1626)),D1626-C1626,"")</f>
        <v/>
      </c>
      <c r="Z1626" s="23" t="str">
        <f aca="false">IF(B1626="","",IF(MATCH(B1626,$B$2:$B$12000,0)=ROW()-1,1,0))</f>
        <v/>
      </c>
    </row>
    <row r="1627" customFormat="false" ht="15" hidden="false" customHeight="false" outlineLevel="0" collapsed="false">
      <c r="V1627" s="23" t="str">
        <f aca="false">IF(ISNUMBER(C1627),YEAR(C1627),"")</f>
        <v/>
      </c>
      <c r="W1627" s="23" t="str">
        <f aca="false">IF(ISNUMBER(C1627),MONTH(C1627),"")</f>
        <v/>
      </c>
      <c r="X1627" s="23" t="str">
        <f aca="false">IF(T1627="","",IF(T1627=0,"No discount",IF(T1627&lt;=0.2,"Low (1-20%)",IF(T1627&lt;=0.4,"Medium (21-40%)","High (&gt;40%)"))))</f>
        <v/>
      </c>
      <c r="Y1627" s="23" t="str">
        <f aca="false">IF(AND(ISNUMBER(C1627),ISNUMBER(D1627)),D1627-C1627,"")</f>
        <v/>
      </c>
      <c r="Z1627" s="23" t="str">
        <f aca="false">IF(B1627="","",IF(MATCH(B1627,$B$2:$B$12000,0)=ROW()-1,1,0))</f>
        <v/>
      </c>
    </row>
    <row r="1628" customFormat="false" ht="15" hidden="false" customHeight="false" outlineLevel="0" collapsed="false">
      <c r="V1628" s="23" t="str">
        <f aca="false">IF(ISNUMBER(C1628),YEAR(C1628),"")</f>
        <v/>
      </c>
      <c r="W1628" s="23" t="str">
        <f aca="false">IF(ISNUMBER(C1628),MONTH(C1628),"")</f>
        <v/>
      </c>
      <c r="X1628" s="23" t="str">
        <f aca="false">IF(T1628="","",IF(T1628=0,"No discount",IF(T1628&lt;=0.2,"Low (1-20%)",IF(T1628&lt;=0.4,"Medium (21-40%)","High (&gt;40%)"))))</f>
        <v/>
      </c>
      <c r="Y1628" s="23" t="str">
        <f aca="false">IF(AND(ISNUMBER(C1628),ISNUMBER(D1628)),D1628-C1628,"")</f>
        <v/>
      </c>
      <c r="Z1628" s="23" t="str">
        <f aca="false">IF(B1628="","",IF(MATCH(B1628,$B$2:$B$12000,0)=ROW()-1,1,0))</f>
        <v/>
      </c>
    </row>
    <row r="1629" customFormat="false" ht="15" hidden="false" customHeight="false" outlineLevel="0" collapsed="false">
      <c r="V1629" s="23" t="str">
        <f aca="false">IF(ISNUMBER(C1629),YEAR(C1629),"")</f>
        <v/>
      </c>
      <c r="W1629" s="23" t="str">
        <f aca="false">IF(ISNUMBER(C1629),MONTH(C1629),"")</f>
        <v/>
      </c>
      <c r="X1629" s="23" t="str">
        <f aca="false">IF(T1629="","",IF(T1629=0,"No discount",IF(T1629&lt;=0.2,"Low (1-20%)",IF(T1629&lt;=0.4,"Medium (21-40%)","High (&gt;40%)"))))</f>
        <v/>
      </c>
      <c r="Y1629" s="23" t="str">
        <f aca="false">IF(AND(ISNUMBER(C1629),ISNUMBER(D1629)),D1629-C1629,"")</f>
        <v/>
      </c>
      <c r="Z1629" s="23" t="str">
        <f aca="false">IF(B1629="","",IF(MATCH(B1629,$B$2:$B$12000,0)=ROW()-1,1,0))</f>
        <v/>
      </c>
    </row>
    <row r="1630" customFormat="false" ht="15" hidden="false" customHeight="false" outlineLevel="0" collapsed="false">
      <c r="V1630" s="23" t="str">
        <f aca="false">IF(ISNUMBER(C1630),YEAR(C1630),"")</f>
        <v/>
      </c>
      <c r="W1630" s="23" t="str">
        <f aca="false">IF(ISNUMBER(C1630),MONTH(C1630),"")</f>
        <v/>
      </c>
      <c r="X1630" s="23" t="str">
        <f aca="false">IF(T1630="","",IF(T1630=0,"No discount",IF(T1630&lt;=0.2,"Low (1-20%)",IF(T1630&lt;=0.4,"Medium (21-40%)","High (&gt;40%)"))))</f>
        <v/>
      </c>
      <c r="Y1630" s="23" t="str">
        <f aca="false">IF(AND(ISNUMBER(C1630),ISNUMBER(D1630)),D1630-C1630,"")</f>
        <v/>
      </c>
      <c r="Z1630" s="23" t="str">
        <f aca="false">IF(B1630="","",IF(MATCH(B1630,$B$2:$B$12000,0)=ROW()-1,1,0))</f>
        <v/>
      </c>
    </row>
    <row r="1631" customFormat="false" ht="15" hidden="false" customHeight="false" outlineLevel="0" collapsed="false">
      <c r="V1631" s="23" t="str">
        <f aca="false">IF(ISNUMBER(C1631),YEAR(C1631),"")</f>
        <v/>
      </c>
      <c r="W1631" s="23" t="str">
        <f aca="false">IF(ISNUMBER(C1631),MONTH(C1631),"")</f>
        <v/>
      </c>
      <c r="X1631" s="23" t="str">
        <f aca="false">IF(T1631="","",IF(T1631=0,"No discount",IF(T1631&lt;=0.2,"Low (1-20%)",IF(T1631&lt;=0.4,"Medium (21-40%)","High (&gt;40%)"))))</f>
        <v/>
      </c>
      <c r="Y1631" s="23" t="str">
        <f aca="false">IF(AND(ISNUMBER(C1631),ISNUMBER(D1631)),D1631-C1631,"")</f>
        <v/>
      </c>
      <c r="Z1631" s="23" t="str">
        <f aca="false">IF(B1631="","",IF(MATCH(B1631,$B$2:$B$12000,0)=ROW()-1,1,0))</f>
        <v/>
      </c>
    </row>
    <row r="1632" customFormat="false" ht="15" hidden="false" customHeight="false" outlineLevel="0" collapsed="false">
      <c r="V1632" s="23" t="str">
        <f aca="false">IF(ISNUMBER(C1632),YEAR(C1632),"")</f>
        <v/>
      </c>
      <c r="W1632" s="23" t="str">
        <f aca="false">IF(ISNUMBER(C1632),MONTH(C1632),"")</f>
        <v/>
      </c>
      <c r="X1632" s="23" t="str">
        <f aca="false">IF(T1632="","",IF(T1632=0,"No discount",IF(T1632&lt;=0.2,"Low (1-20%)",IF(T1632&lt;=0.4,"Medium (21-40%)","High (&gt;40%)"))))</f>
        <v/>
      </c>
      <c r="Y1632" s="23" t="str">
        <f aca="false">IF(AND(ISNUMBER(C1632),ISNUMBER(D1632)),D1632-C1632,"")</f>
        <v/>
      </c>
      <c r="Z1632" s="23" t="str">
        <f aca="false">IF(B1632="","",IF(MATCH(B1632,$B$2:$B$12000,0)=ROW()-1,1,0))</f>
        <v/>
      </c>
    </row>
    <row r="1633" customFormat="false" ht="15" hidden="false" customHeight="false" outlineLevel="0" collapsed="false">
      <c r="V1633" s="23" t="str">
        <f aca="false">IF(ISNUMBER(C1633),YEAR(C1633),"")</f>
        <v/>
      </c>
      <c r="W1633" s="23" t="str">
        <f aca="false">IF(ISNUMBER(C1633),MONTH(C1633),"")</f>
        <v/>
      </c>
      <c r="X1633" s="23" t="str">
        <f aca="false">IF(T1633="","",IF(T1633=0,"No discount",IF(T1633&lt;=0.2,"Low (1-20%)",IF(T1633&lt;=0.4,"Medium (21-40%)","High (&gt;40%)"))))</f>
        <v/>
      </c>
      <c r="Y1633" s="23" t="str">
        <f aca="false">IF(AND(ISNUMBER(C1633),ISNUMBER(D1633)),D1633-C1633,"")</f>
        <v/>
      </c>
      <c r="Z1633" s="23" t="str">
        <f aca="false">IF(B1633="","",IF(MATCH(B1633,$B$2:$B$12000,0)=ROW()-1,1,0))</f>
        <v/>
      </c>
    </row>
    <row r="1634" customFormat="false" ht="15" hidden="false" customHeight="false" outlineLevel="0" collapsed="false">
      <c r="V1634" s="23" t="str">
        <f aca="false">IF(ISNUMBER(C1634),YEAR(C1634),"")</f>
        <v/>
      </c>
      <c r="W1634" s="23" t="str">
        <f aca="false">IF(ISNUMBER(C1634),MONTH(C1634),"")</f>
        <v/>
      </c>
      <c r="X1634" s="23" t="str">
        <f aca="false">IF(T1634="","",IF(T1634=0,"No discount",IF(T1634&lt;=0.2,"Low (1-20%)",IF(T1634&lt;=0.4,"Medium (21-40%)","High (&gt;40%)"))))</f>
        <v/>
      </c>
      <c r="Y1634" s="23" t="str">
        <f aca="false">IF(AND(ISNUMBER(C1634),ISNUMBER(D1634)),D1634-C1634,"")</f>
        <v/>
      </c>
      <c r="Z1634" s="23" t="str">
        <f aca="false">IF(B1634="","",IF(MATCH(B1634,$B$2:$B$12000,0)=ROW()-1,1,0))</f>
        <v/>
      </c>
    </row>
    <row r="1635" customFormat="false" ht="15" hidden="false" customHeight="false" outlineLevel="0" collapsed="false">
      <c r="V1635" s="23" t="str">
        <f aca="false">IF(ISNUMBER(C1635),YEAR(C1635),"")</f>
        <v/>
      </c>
      <c r="W1635" s="23" t="str">
        <f aca="false">IF(ISNUMBER(C1635),MONTH(C1635),"")</f>
        <v/>
      </c>
      <c r="X1635" s="23" t="str">
        <f aca="false">IF(T1635="","",IF(T1635=0,"No discount",IF(T1635&lt;=0.2,"Low (1-20%)",IF(T1635&lt;=0.4,"Medium (21-40%)","High (&gt;40%)"))))</f>
        <v/>
      </c>
      <c r="Y1635" s="23" t="str">
        <f aca="false">IF(AND(ISNUMBER(C1635),ISNUMBER(D1635)),D1635-C1635,"")</f>
        <v/>
      </c>
      <c r="Z1635" s="23" t="str">
        <f aca="false">IF(B1635="","",IF(MATCH(B1635,$B$2:$B$12000,0)=ROW()-1,1,0))</f>
        <v/>
      </c>
    </row>
    <row r="1636" customFormat="false" ht="15" hidden="false" customHeight="false" outlineLevel="0" collapsed="false">
      <c r="V1636" s="23" t="str">
        <f aca="false">IF(ISNUMBER(C1636),YEAR(C1636),"")</f>
        <v/>
      </c>
      <c r="W1636" s="23" t="str">
        <f aca="false">IF(ISNUMBER(C1636),MONTH(C1636),"")</f>
        <v/>
      </c>
      <c r="X1636" s="23" t="str">
        <f aca="false">IF(T1636="","",IF(T1636=0,"No discount",IF(T1636&lt;=0.2,"Low (1-20%)",IF(T1636&lt;=0.4,"Medium (21-40%)","High (&gt;40%)"))))</f>
        <v/>
      </c>
      <c r="Y1636" s="23" t="str">
        <f aca="false">IF(AND(ISNUMBER(C1636),ISNUMBER(D1636)),D1636-C1636,"")</f>
        <v/>
      </c>
      <c r="Z1636" s="23" t="str">
        <f aca="false">IF(B1636="","",IF(MATCH(B1636,$B$2:$B$12000,0)=ROW()-1,1,0))</f>
        <v/>
      </c>
    </row>
    <row r="1637" customFormat="false" ht="15" hidden="false" customHeight="false" outlineLevel="0" collapsed="false">
      <c r="V1637" s="23" t="str">
        <f aca="false">IF(ISNUMBER(C1637),YEAR(C1637),"")</f>
        <v/>
      </c>
      <c r="W1637" s="23" t="str">
        <f aca="false">IF(ISNUMBER(C1637),MONTH(C1637),"")</f>
        <v/>
      </c>
      <c r="X1637" s="23" t="str">
        <f aca="false">IF(T1637="","",IF(T1637=0,"No discount",IF(T1637&lt;=0.2,"Low (1-20%)",IF(T1637&lt;=0.4,"Medium (21-40%)","High (&gt;40%)"))))</f>
        <v/>
      </c>
      <c r="Y1637" s="23" t="str">
        <f aca="false">IF(AND(ISNUMBER(C1637),ISNUMBER(D1637)),D1637-C1637,"")</f>
        <v/>
      </c>
      <c r="Z1637" s="23" t="str">
        <f aca="false">IF(B1637="","",IF(MATCH(B1637,$B$2:$B$12000,0)=ROW()-1,1,0))</f>
        <v/>
      </c>
    </row>
    <row r="1638" customFormat="false" ht="15" hidden="false" customHeight="false" outlineLevel="0" collapsed="false">
      <c r="V1638" s="23" t="str">
        <f aca="false">IF(ISNUMBER(C1638),YEAR(C1638),"")</f>
        <v/>
      </c>
      <c r="W1638" s="23" t="str">
        <f aca="false">IF(ISNUMBER(C1638),MONTH(C1638),"")</f>
        <v/>
      </c>
      <c r="X1638" s="23" t="str">
        <f aca="false">IF(T1638="","",IF(T1638=0,"No discount",IF(T1638&lt;=0.2,"Low (1-20%)",IF(T1638&lt;=0.4,"Medium (21-40%)","High (&gt;40%)"))))</f>
        <v/>
      </c>
      <c r="Y1638" s="23" t="str">
        <f aca="false">IF(AND(ISNUMBER(C1638),ISNUMBER(D1638)),D1638-C1638,"")</f>
        <v/>
      </c>
      <c r="Z1638" s="23" t="str">
        <f aca="false">IF(B1638="","",IF(MATCH(B1638,$B$2:$B$12000,0)=ROW()-1,1,0))</f>
        <v/>
      </c>
    </row>
    <row r="1639" customFormat="false" ht="15" hidden="false" customHeight="false" outlineLevel="0" collapsed="false">
      <c r="V1639" s="23" t="str">
        <f aca="false">IF(ISNUMBER(C1639),YEAR(C1639),"")</f>
        <v/>
      </c>
      <c r="W1639" s="23" t="str">
        <f aca="false">IF(ISNUMBER(C1639),MONTH(C1639),"")</f>
        <v/>
      </c>
      <c r="X1639" s="23" t="str">
        <f aca="false">IF(T1639="","",IF(T1639=0,"No discount",IF(T1639&lt;=0.2,"Low (1-20%)",IF(T1639&lt;=0.4,"Medium (21-40%)","High (&gt;40%)"))))</f>
        <v/>
      </c>
      <c r="Y1639" s="23" t="str">
        <f aca="false">IF(AND(ISNUMBER(C1639),ISNUMBER(D1639)),D1639-C1639,"")</f>
        <v/>
      </c>
      <c r="Z1639" s="23" t="str">
        <f aca="false">IF(B1639="","",IF(MATCH(B1639,$B$2:$B$12000,0)=ROW()-1,1,0))</f>
        <v/>
      </c>
    </row>
    <row r="1640" customFormat="false" ht="15" hidden="false" customHeight="false" outlineLevel="0" collapsed="false">
      <c r="V1640" s="23" t="str">
        <f aca="false">IF(ISNUMBER(C1640),YEAR(C1640),"")</f>
        <v/>
      </c>
      <c r="W1640" s="23" t="str">
        <f aca="false">IF(ISNUMBER(C1640),MONTH(C1640),"")</f>
        <v/>
      </c>
      <c r="X1640" s="23" t="str">
        <f aca="false">IF(T1640="","",IF(T1640=0,"No discount",IF(T1640&lt;=0.2,"Low (1-20%)",IF(T1640&lt;=0.4,"Medium (21-40%)","High (&gt;40%)"))))</f>
        <v/>
      </c>
      <c r="Y1640" s="23" t="str">
        <f aca="false">IF(AND(ISNUMBER(C1640),ISNUMBER(D1640)),D1640-C1640,"")</f>
        <v/>
      </c>
      <c r="Z1640" s="23" t="str">
        <f aca="false">IF(B1640="","",IF(MATCH(B1640,$B$2:$B$12000,0)=ROW()-1,1,0))</f>
        <v/>
      </c>
    </row>
    <row r="1641" customFormat="false" ht="15" hidden="false" customHeight="false" outlineLevel="0" collapsed="false">
      <c r="V1641" s="23" t="str">
        <f aca="false">IF(ISNUMBER(C1641),YEAR(C1641),"")</f>
        <v/>
      </c>
      <c r="W1641" s="23" t="str">
        <f aca="false">IF(ISNUMBER(C1641),MONTH(C1641),"")</f>
        <v/>
      </c>
      <c r="X1641" s="23" t="str">
        <f aca="false">IF(T1641="","",IF(T1641=0,"No discount",IF(T1641&lt;=0.2,"Low (1-20%)",IF(T1641&lt;=0.4,"Medium (21-40%)","High (&gt;40%)"))))</f>
        <v/>
      </c>
      <c r="Y1641" s="23" t="str">
        <f aca="false">IF(AND(ISNUMBER(C1641),ISNUMBER(D1641)),D1641-C1641,"")</f>
        <v/>
      </c>
      <c r="Z1641" s="23" t="str">
        <f aca="false">IF(B1641="","",IF(MATCH(B1641,$B$2:$B$12000,0)=ROW()-1,1,0))</f>
        <v/>
      </c>
    </row>
    <row r="1642" customFormat="false" ht="15" hidden="false" customHeight="false" outlineLevel="0" collapsed="false">
      <c r="V1642" s="23" t="str">
        <f aca="false">IF(ISNUMBER(C1642),YEAR(C1642),"")</f>
        <v/>
      </c>
      <c r="W1642" s="23" t="str">
        <f aca="false">IF(ISNUMBER(C1642),MONTH(C1642),"")</f>
        <v/>
      </c>
      <c r="X1642" s="23" t="str">
        <f aca="false">IF(T1642="","",IF(T1642=0,"No discount",IF(T1642&lt;=0.2,"Low (1-20%)",IF(T1642&lt;=0.4,"Medium (21-40%)","High (&gt;40%)"))))</f>
        <v/>
      </c>
      <c r="Y1642" s="23" t="str">
        <f aca="false">IF(AND(ISNUMBER(C1642),ISNUMBER(D1642)),D1642-C1642,"")</f>
        <v/>
      </c>
      <c r="Z1642" s="23" t="str">
        <f aca="false">IF(B1642="","",IF(MATCH(B1642,$B$2:$B$12000,0)=ROW()-1,1,0))</f>
        <v/>
      </c>
    </row>
    <row r="1643" customFormat="false" ht="15" hidden="false" customHeight="false" outlineLevel="0" collapsed="false">
      <c r="V1643" s="23" t="str">
        <f aca="false">IF(ISNUMBER(C1643),YEAR(C1643),"")</f>
        <v/>
      </c>
      <c r="W1643" s="23" t="str">
        <f aca="false">IF(ISNUMBER(C1643),MONTH(C1643),"")</f>
        <v/>
      </c>
      <c r="X1643" s="23" t="str">
        <f aca="false">IF(T1643="","",IF(T1643=0,"No discount",IF(T1643&lt;=0.2,"Low (1-20%)",IF(T1643&lt;=0.4,"Medium (21-40%)","High (&gt;40%)"))))</f>
        <v/>
      </c>
      <c r="Y1643" s="23" t="str">
        <f aca="false">IF(AND(ISNUMBER(C1643),ISNUMBER(D1643)),D1643-C1643,"")</f>
        <v/>
      </c>
      <c r="Z1643" s="23" t="str">
        <f aca="false">IF(B1643="","",IF(MATCH(B1643,$B$2:$B$12000,0)=ROW()-1,1,0))</f>
        <v/>
      </c>
    </row>
    <row r="1644" customFormat="false" ht="15" hidden="false" customHeight="false" outlineLevel="0" collapsed="false">
      <c r="V1644" s="23" t="str">
        <f aca="false">IF(ISNUMBER(C1644),YEAR(C1644),"")</f>
        <v/>
      </c>
      <c r="W1644" s="23" t="str">
        <f aca="false">IF(ISNUMBER(C1644),MONTH(C1644),"")</f>
        <v/>
      </c>
      <c r="X1644" s="23" t="str">
        <f aca="false">IF(T1644="","",IF(T1644=0,"No discount",IF(T1644&lt;=0.2,"Low (1-20%)",IF(T1644&lt;=0.4,"Medium (21-40%)","High (&gt;40%)"))))</f>
        <v/>
      </c>
      <c r="Y1644" s="23" t="str">
        <f aca="false">IF(AND(ISNUMBER(C1644),ISNUMBER(D1644)),D1644-C1644,"")</f>
        <v/>
      </c>
      <c r="Z1644" s="23" t="str">
        <f aca="false">IF(B1644="","",IF(MATCH(B1644,$B$2:$B$12000,0)=ROW()-1,1,0))</f>
        <v/>
      </c>
    </row>
    <row r="1645" customFormat="false" ht="15" hidden="false" customHeight="false" outlineLevel="0" collapsed="false">
      <c r="V1645" s="23" t="str">
        <f aca="false">IF(ISNUMBER(C1645),YEAR(C1645),"")</f>
        <v/>
      </c>
      <c r="W1645" s="23" t="str">
        <f aca="false">IF(ISNUMBER(C1645),MONTH(C1645),"")</f>
        <v/>
      </c>
      <c r="X1645" s="23" t="str">
        <f aca="false">IF(T1645="","",IF(T1645=0,"No discount",IF(T1645&lt;=0.2,"Low (1-20%)",IF(T1645&lt;=0.4,"Medium (21-40%)","High (&gt;40%)"))))</f>
        <v/>
      </c>
      <c r="Y1645" s="23" t="str">
        <f aca="false">IF(AND(ISNUMBER(C1645),ISNUMBER(D1645)),D1645-C1645,"")</f>
        <v/>
      </c>
      <c r="Z1645" s="23" t="str">
        <f aca="false">IF(B1645="","",IF(MATCH(B1645,$B$2:$B$12000,0)=ROW()-1,1,0))</f>
        <v/>
      </c>
    </row>
    <row r="1646" customFormat="false" ht="15" hidden="false" customHeight="false" outlineLevel="0" collapsed="false">
      <c r="V1646" s="23" t="str">
        <f aca="false">IF(ISNUMBER(C1646),YEAR(C1646),"")</f>
        <v/>
      </c>
      <c r="W1646" s="23" t="str">
        <f aca="false">IF(ISNUMBER(C1646),MONTH(C1646),"")</f>
        <v/>
      </c>
      <c r="X1646" s="23" t="str">
        <f aca="false">IF(T1646="","",IF(T1646=0,"No discount",IF(T1646&lt;=0.2,"Low (1-20%)",IF(T1646&lt;=0.4,"Medium (21-40%)","High (&gt;40%)"))))</f>
        <v/>
      </c>
      <c r="Y1646" s="23" t="str">
        <f aca="false">IF(AND(ISNUMBER(C1646),ISNUMBER(D1646)),D1646-C1646,"")</f>
        <v/>
      </c>
      <c r="Z1646" s="23" t="str">
        <f aca="false">IF(B1646="","",IF(MATCH(B1646,$B$2:$B$12000,0)=ROW()-1,1,0))</f>
        <v/>
      </c>
    </row>
    <row r="1647" customFormat="false" ht="15" hidden="false" customHeight="false" outlineLevel="0" collapsed="false">
      <c r="V1647" s="23" t="str">
        <f aca="false">IF(ISNUMBER(C1647),YEAR(C1647),"")</f>
        <v/>
      </c>
      <c r="W1647" s="23" t="str">
        <f aca="false">IF(ISNUMBER(C1647),MONTH(C1647),"")</f>
        <v/>
      </c>
      <c r="X1647" s="23" t="str">
        <f aca="false">IF(T1647="","",IF(T1647=0,"No discount",IF(T1647&lt;=0.2,"Low (1-20%)",IF(T1647&lt;=0.4,"Medium (21-40%)","High (&gt;40%)"))))</f>
        <v/>
      </c>
      <c r="Y1647" s="23" t="str">
        <f aca="false">IF(AND(ISNUMBER(C1647),ISNUMBER(D1647)),D1647-C1647,"")</f>
        <v/>
      </c>
      <c r="Z1647" s="23" t="str">
        <f aca="false">IF(B1647="","",IF(MATCH(B1647,$B$2:$B$12000,0)=ROW()-1,1,0))</f>
        <v/>
      </c>
    </row>
    <row r="1648" customFormat="false" ht="15" hidden="false" customHeight="false" outlineLevel="0" collapsed="false">
      <c r="V1648" s="23" t="str">
        <f aca="false">IF(ISNUMBER(C1648),YEAR(C1648),"")</f>
        <v/>
      </c>
      <c r="W1648" s="23" t="str">
        <f aca="false">IF(ISNUMBER(C1648),MONTH(C1648),"")</f>
        <v/>
      </c>
      <c r="X1648" s="23" t="str">
        <f aca="false">IF(T1648="","",IF(T1648=0,"No discount",IF(T1648&lt;=0.2,"Low (1-20%)",IF(T1648&lt;=0.4,"Medium (21-40%)","High (&gt;40%)"))))</f>
        <v/>
      </c>
      <c r="Y1648" s="23" t="str">
        <f aca="false">IF(AND(ISNUMBER(C1648),ISNUMBER(D1648)),D1648-C1648,"")</f>
        <v/>
      </c>
      <c r="Z1648" s="23" t="str">
        <f aca="false">IF(B1648="","",IF(MATCH(B1648,$B$2:$B$12000,0)=ROW()-1,1,0))</f>
        <v/>
      </c>
    </row>
    <row r="1649" customFormat="false" ht="15" hidden="false" customHeight="false" outlineLevel="0" collapsed="false">
      <c r="V1649" s="23" t="str">
        <f aca="false">IF(ISNUMBER(C1649),YEAR(C1649),"")</f>
        <v/>
      </c>
      <c r="W1649" s="23" t="str">
        <f aca="false">IF(ISNUMBER(C1649),MONTH(C1649),"")</f>
        <v/>
      </c>
      <c r="X1649" s="23" t="str">
        <f aca="false">IF(T1649="","",IF(T1649=0,"No discount",IF(T1649&lt;=0.2,"Low (1-20%)",IF(T1649&lt;=0.4,"Medium (21-40%)","High (&gt;40%)"))))</f>
        <v/>
      </c>
      <c r="Y1649" s="23" t="str">
        <f aca="false">IF(AND(ISNUMBER(C1649),ISNUMBER(D1649)),D1649-C1649,"")</f>
        <v/>
      </c>
      <c r="Z1649" s="23" t="str">
        <f aca="false">IF(B1649="","",IF(MATCH(B1649,$B$2:$B$12000,0)=ROW()-1,1,0))</f>
        <v/>
      </c>
    </row>
    <row r="1650" customFormat="false" ht="15" hidden="false" customHeight="false" outlineLevel="0" collapsed="false">
      <c r="V1650" s="23" t="str">
        <f aca="false">IF(ISNUMBER(C1650),YEAR(C1650),"")</f>
        <v/>
      </c>
      <c r="W1650" s="23" t="str">
        <f aca="false">IF(ISNUMBER(C1650),MONTH(C1650),"")</f>
        <v/>
      </c>
      <c r="X1650" s="23" t="str">
        <f aca="false">IF(T1650="","",IF(T1650=0,"No discount",IF(T1650&lt;=0.2,"Low (1-20%)",IF(T1650&lt;=0.4,"Medium (21-40%)","High (&gt;40%)"))))</f>
        <v/>
      </c>
      <c r="Y1650" s="23" t="str">
        <f aca="false">IF(AND(ISNUMBER(C1650),ISNUMBER(D1650)),D1650-C1650,"")</f>
        <v/>
      </c>
      <c r="Z1650" s="23" t="str">
        <f aca="false">IF(B1650="","",IF(MATCH(B1650,$B$2:$B$12000,0)=ROW()-1,1,0))</f>
        <v/>
      </c>
    </row>
    <row r="1651" customFormat="false" ht="15" hidden="false" customHeight="false" outlineLevel="0" collapsed="false">
      <c r="V1651" s="23" t="str">
        <f aca="false">IF(ISNUMBER(C1651),YEAR(C1651),"")</f>
        <v/>
      </c>
      <c r="W1651" s="23" t="str">
        <f aca="false">IF(ISNUMBER(C1651),MONTH(C1651),"")</f>
        <v/>
      </c>
      <c r="X1651" s="23" t="str">
        <f aca="false">IF(T1651="","",IF(T1651=0,"No discount",IF(T1651&lt;=0.2,"Low (1-20%)",IF(T1651&lt;=0.4,"Medium (21-40%)","High (&gt;40%)"))))</f>
        <v/>
      </c>
      <c r="Y1651" s="23" t="str">
        <f aca="false">IF(AND(ISNUMBER(C1651),ISNUMBER(D1651)),D1651-C1651,"")</f>
        <v/>
      </c>
      <c r="Z1651" s="23" t="str">
        <f aca="false">IF(B1651="","",IF(MATCH(B1651,$B$2:$B$12000,0)=ROW()-1,1,0))</f>
        <v/>
      </c>
    </row>
    <row r="1652" customFormat="false" ht="15" hidden="false" customHeight="false" outlineLevel="0" collapsed="false">
      <c r="V1652" s="23" t="str">
        <f aca="false">IF(ISNUMBER(C1652),YEAR(C1652),"")</f>
        <v/>
      </c>
      <c r="W1652" s="23" t="str">
        <f aca="false">IF(ISNUMBER(C1652),MONTH(C1652),"")</f>
        <v/>
      </c>
      <c r="X1652" s="23" t="str">
        <f aca="false">IF(T1652="","",IF(T1652=0,"No discount",IF(T1652&lt;=0.2,"Low (1-20%)",IF(T1652&lt;=0.4,"Medium (21-40%)","High (&gt;40%)"))))</f>
        <v/>
      </c>
      <c r="Y1652" s="23" t="str">
        <f aca="false">IF(AND(ISNUMBER(C1652),ISNUMBER(D1652)),D1652-C1652,"")</f>
        <v/>
      </c>
      <c r="Z1652" s="23" t="str">
        <f aca="false">IF(B1652="","",IF(MATCH(B1652,$B$2:$B$12000,0)=ROW()-1,1,0))</f>
        <v/>
      </c>
    </row>
    <row r="1653" customFormat="false" ht="15" hidden="false" customHeight="false" outlineLevel="0" collapsed="false">
      <c r="V1653" s="23" t="str">
        <f aca="false">IF(ISNUMBER(C1653),YEAR(C1653),"")</f>
        <v/>
      </c>
      <c r="W1653" s="23" t="str">
        <f aca="false">IF(ISNUMBER(C1653),MONTH(C1653),"")</f>
        <v/>
      </c>
      <c r="X1653" s="23" t="str">
        <f aca="false">IF(T1653="","",IF(T1653=0,"No discount",IF(T1653&lt;=0.2,"Low (1-20%)",IF(T1653&lt;=0.4,"Medium (21-40%)","High (&gt;40%)"))))</f>
        <v/>
      </c>
      <c r="Y1653" s="23" t="str">
        <f aca="false">IF(AND(ISNUMBER(C1653),ISNUMBER(D1653)),D1653-C1653,"")</f>
        <v/>
      </c>
      <c r="Z1653" s="23" t="str">
        <f aca="false">IF(B1653="","",IF(MATCH(B1653,$B$2:$B$12000,0)=ROW()-1,1,0))</f>
        <v/>
      </c>
    </row>
    <row r="1654" customFormat="false" ht="15" hidden="false" customHeight="false" outlineLevel="0" collapsed="false">
      <c r="V1654" s="23" t="str">
        <f aca="false">IF(ISNUMBER(C1654),YEAR(C1654),"")</f>
        <v/>
      </c>
      <c r="W1654" s="23" t="str">
        <f aca="false">IF(ISNUMBER(C1654),MONTH(C1654),"")</f>
        <v/>
      </c>
      <c r="X1654" s="23" t="str">
        <f aca="false">IF(T1654="","",IF(T1654=0,"No discount",IF(T1654&lt;=0.2,"Low (1-20%)",IF(T1654&lt;=0.4,"Medium (21-40%)","High (&gt;40%)"))))</f>
        <v/>
      </c>
      <c r="Y1654" s="23" t="str">
        <f aca="false">IF(AND(ISNUMBER(C1654),ISNUMBER(D1654)),D1654-C1654,"")</f>
        <v/>
      </c>
      <c r="Z1654" s="23" t="str">
        <f aca="false">IF(B1654="","",IF(MATCH(B1654,$B$2:$B$12000,0)=ROW()-1,1,0))</f>
        <v/>
      </c>
    </row>
    <row r="1655" customFormat="false" ht="15" hidden="false" customHeight="false" outlineLevel="0" collapsed="false">
      <c r="V1655" s="23" t="str">
        <f aca="false">IF(ISNUMBER(C1655),YEAR(C1655),"")</f>
        <v/>
      </c>
      <c r="W1655" s="23" t="str">
        <f aca="false">IF(ISNUMBER(C1655),MONTH(C1655),"")</f>
        <v/>
      </c>
      <c r="X1655" s="23" t="str">
        <f aca="false">IF(T1655="","",IF(T1655=0,"No discount",IF(T1655&lt;=0.2,"Low (1-20%)",IF(T1655&lt;=0.4,"Medium (21-40%)","High (&gt;40%)"))))</f>
        <v/>
      </c>
      <c r="Y1655" s="23" t="str">
        <f aca="false">IF(AND(ISNUMBER(C1655),ISNUMBER(D1655)),D1655-C1655,"")</f>
        <v/>
      </c>
      <c r="Z1655" s="23" t="str">
        <f aca="false">IF(B1655="","",IF(MATCH(B1655,$B$2:$B$12000,0)=ROW()-1,1,0))</f>
        <v/>
      </c>
    </row>
    <row r="1656" customFormat="false" ht="15" hidden="false" customHeight="false" outlineLevel="0" collapsed="false">
      <c r="V1656" s="23" t="str">
        <f aca="false">IF(ISNUMBER(C1656),YEAR(C1656),"")</f>
        <v/>
      </c>
      <c r="W1656" s="23" t="str">
        <f aca="false">IF(ISNUMBER(C1656),MONTH(C1656),"")</f>
        <v/>
      </c>
      <c r="X1656" s="23" t="str">
        <f aca="false">IF(T1656="","",IF(T1656=0,"No discount",IF(T1656&lt;=0.2,"Low (1-20%)",IF(T1656&lt;=0.4,"Medium (21-40%)","High (&gt;40%)"))))</f>
        <v/>
      </c>
      <c r="Y1656" s="23" t="str">
        <f aca="false">IF(AND(ISNUMBER(C1656),ISNUMBER(D1656)),D1656-C1656,"")</f>
        <v/>
      </c>
      <c r="Z1656" s="23" t="str">
        <f aca="false">IF(B1656="","",IF(MATCH(B1656,$B$2:$B$12000,0)=ROW()-1,1,0))</f>
        <v/>
      </c>
    </row>
    <row r="1657" customFormat="false" ht="15" hidden="false" customHeight="false" outlineLevel="0" collapsed="false">
      <c r="V1657" s="23" t="str">
        <f aca="false">IF(ISNUMBER(C1657),YEAR(C1657),"")</f>
        <v/>
      </c>
      <c r="W1657" s="23" t="str">
        <f aca="false">IF(ISNUMBER(C1657),MONTH(C1657),"")</f>
        <v/>
      </c>
      <c r="X1657" s="23" t="str">
        <f aca="false">IF(T1657="","",IF(T1657=0,"No discount",IF(T1657&lt;=0.2,"Low (1-20%)",IF(T1657&lt;=0.4,"Medium (21-40%)","High (&gt;40%)"))))</f>
        <v/>
      </c>
      <c r="Y1657" s="23" t="str">
        <f aca="false">IF(AND(ISNUMBER(C1657),ISNUMBER(D1657)),D1657-C1657,"")</f>
        <v/>
      </c>
      <c r="Z1657" s="23" t="str">
        <f aca="false">IF(B1657="","",IF(MATCH(B1657,$B$2:$B$12000,0)=ROW()-1,1,0))</f>
        <v/>
      </c>
    </row>
    <row r="1658" customFormat="false" ht="15" hidden="false" customHeight="false" outlineLevel="0" collapsed="false">
      <c r="V1658" s="23" t="str">
        <f aca="false">IF(ISNUMBER(C1658),YEAR(C1658),"")</f>
        <v/>
      </c>
      <c r="W1658" s="23" t="str">
        <f aca="false">IF(ISNUMBER(C1658),MONTH(C1658),"")</f>
        <v/>
      </c>
      <c r="X1658" s="23" t="str">
        <f aca="false">IF(T1658="","",IF(T1658=0,"No discount",IF(T1658&lt;=0.2,"Low (1-20%)",IF(T1658&lt;=0.4,"Medium (21-40%)","High (&gt;40%)"))))</f>
        <v/>
      </c>
      <c r="Y1658" s="23" t="str">
        <f aca="false">IF(AND(ISNUMBER(C1658),ISNUMBER(D1658)),D1658-C1658,"")</f>
        <v/>
      </c>
      <c r="Z1658" s="23" t="str">
        <f aca="false">IF(B1658="","",IF(MATCH(B1658,$B$2:$B$12000,0)=ROW()-1,1,0))</f>
        <v/>
      </c>
    </row>
    <row r="1659" customFormat="false" ht="15" hidden="false" customHeight="false" outlineLevel="0" collapsed="false">
      <c r="V1659" s="23" t="str">
        <f aca="false">IF(ISNUMBER(C1659),YEAR(C1659),"")</f>
        <v/>
      </c>
      <c r="W1659" s="23" t="str">
        <f aca="false">IF(ISNUMBER(C1659),MONTH(C1659),"")</f>
        <v/>
      </c>
      <c r="X1659" s="23" t="str">
        <f aca="false">IF(T1659="","",IF(T1659=0,"No discount",IF(T1659&lt;=0.2,"Low (1-20%)",IF(T1659&lt;=0.4,"Medium (21-40%)","High (&gt;40%)"))))</f>
        <v/>
      </c>
      <c r="Y1659" s="23" t="str">
        <f aca="false">IF(AND(ISNUMBER(C1659),ISNUMBER(D1659)),D1659-C1659,"")</f>
        <v/>
      </c>
      <c r="Z1659" s="23" t="str">
        <f aca="false">IF(B1659="","",IF(MATCH(B1659,$B$2:$B$12000,0)=ROW()-1,1,0))</f>
        <v/>
      </c>
    </row>
    <row r="1660" customFormat="false" ht="15" hidden="false" customHeight="false" outlineLevel="0" collapsed="false">
      <c r="V1660" s="23" t="str">
        <f aca="false">IF(ISNUMBER(C1660),YEAR(C1660),"")</f>
        <v/>
      </c>
      <c r="W1660" s="23" t="str">
        <f aca="false">IF(ISNUMBER(C1660),MONTH(C1660),"")</f>
        <v/>
      </c>
      <c r="X1660" s="23" t="str">
        <f aca="false">IF(T1660="","",IF(T1660=0,"No discount",IF(T1660&lt;=0.2,"Low (1-20%)",IF(T1660&lt;=0.4,"Medium (21-40%)","High (&gt;40%)"))))</f>
        <v/>
      </c>
      <c r="Y1660" s="23" t="str">
        <f aca="false">IF(AND(ISNUMBER(C1660),ISNUMBER(D1660)),D1660-C1660,"")</f>
        <v/>
      </c>
      <c r="Z1660" s="23" t="str">
        <f aca="false">IF(B1660="","",IF(MATCH(B1660,$B$2:$B$12000,0)=ROW()-1,1,0))</f>
        <v/>
      </c>
    </row>
    <row r="1661" customFormat="false" ht="15" hidden="false" customHeight="false" outlineLevel="0" collapsed="false">
      <c r="V1661" s="23" t="str">
        <f aca="false">IF(ISNUMBER(C1661),YEAR(C1661),"")</f>
        <v/>
      </c>
      <c r="W1661" s="23" t="str">
        <f aca="false">IF(ISNUMBER(C1661),MONTH(C1661),"")</f>
        <v/>
      </c>
      <c r="X1661" s="23" t="str">
        <f aca="false">IF(T1661="","",IF(T1661=0,"No discount",IF(T1661&lt;=0.2,"Low (1-20%)",IF(T1661&lt;=0.4,"Medium (21-40%)","High (&gt;40%)"))))</f>
        <v/>
      </c>
      <c r="Y1661" s="23" t="str">
        <f aca="false">IF(AND(ISNUMBER(C1661),ISNUMBER(D1661)),D1661-C1661,"")</f>
        <v/>
      </c>
      <c r="Z1661" s="23" t="str">
        <f aca="false">IF(B1661="","",IF(MATCH(B1661,$B$2:$B$12000,0)=ROW()-1,1,0))</f>
        <v/>
      </c>
    </row>
    <row r="1662" customFormat="false" ht="15" hidden="false" customHeight="false" outlineLevel="0" collapsed="false">
      <c r="V1662" s="23" t="str">
        <f aca="false">IF(ISNUMBER(C1662),YEAR(C1662),"")</f>
        <v/>
      </c>
      <c r="W1662" s="23" t="str">
        <f aca="false">IF(ISNUMBER(C1662),MONTH(C1662),"")</f>
        <v/>
      </c>
      <c r="X1662" s="23" t="str">
        <f aca="false">IF(T1662="","",IF(T1662=0,"No discount",IF(T1662&lt;=0.2,"Low (1-20%)",IF(T1662&lt;=0.4,"Medium (21-40%)","High (&gt;40%)"))))</f>
        <v/>
      </c>
      <c r="Y1662" s="23" t="str">
        <f aca="false">IF(AND(ISNUMBER(C1662),ISNUMBER(D1662)),D1662-C1662,"")</f>
        <v/>
      </c>
      <c r="Z1662" s="23" t="str">
        <f aca="false">IF(B1662="","",IF(MATCH(B1662,$B$2:$B$12000,0)=ROW()-1,1,0))</f>
        <v/>
      </c>
    </row>
    <row r="1663" customFormat="false" ht="15" hidden="false" customHeight="false" outlineLevel="0" collapsed="false">
      <c r="V1663" s="23" t="str">
        <f aca="false">IF(ISNUMBER(C1663),YEAR(C1663),"")</f>
        <v/>
      </c>
      <c r="W1663" s="23" t="str">
        <f aca="false">IF(ISNUMBER(C1663),MONTH(C1663),"")</f>
        <v/>
      </c>
      <c r="X1663" s="23" t="str">
        <f aca="false">IF(T1663="","",IF(T1663=0,"No discount",IF(T1663&lt;=0.2,"Low (1-20%)",IF(T1663&lt;=0.4,"Medium (21-40%)","High (&gt;40%)"))))</f>
        <v/>
      </c>
      <c r="Y1663" s="23" t="str">
        <f aca="false">IF(AND(ISNUMBER(C1663),ISNUMBER(D1663)),D1663-C1663,"")</f>
        <v/>
      </c>
      <c r="Z1663" s="23" t="str">
        <f aca="false">IF(B1663="","",IF(MATCH(B1663,$B$2:$B$12000,0)=ROW()-1,1,0))</f>
        <v/>
      </c>
    </row>
    <row r="1664" customFormat="false" ht="15" hidden="false" customHeight="false" outlineLevel="0" collapsed="false">
      <c r="V1664" s="23" t="str">
        <f aca="false">IF(ISNUMBER(C1664),YEAR(C1664),"")</f>
        <v/>
      </c>
      <c r="W1664" s="23" t="str">
        <f aca="false">IF(ISNUMBER(C1664),MONTH(C1664),"")</f>
        <v/>
      </c>
      <c r="X1664" s="23" t="str">
        <f aca="false">IF(T1664="","",IF(T1664=0,"No discount",IF(T1664&lt;=0.2,"Low (1-20%)",IF(T1664&lt;=0.4,"Medium (21-40%)","High (&gt;40%)"))))</f>
        <v/>
      </c>
      <c r="Y1664" s="23" t="str">
        <f aca="false">IF(AND(ISNUMBER(C1664),ISNUMBER(D1664)),D1664-C1664,"")</f>
        <v/>
      </c>
      <c r="Z1664" s="23" t="str">
        <f aca="false">IF(B1664="","",IF(MATCH(B1664,$B$2:$B$12000,0)=ROW()-1,1,0))</f>
        <v/>
      </c>
    </row>
    <row r="1665" customFormat="false" ht="15" hidden="false" customHeight="false" outlineLevel="0" collapsed="false">
      <c r="V1665" s="23" t="str">
        <f aca="false">IF(ISNUMBER(C1665),YEAR(C1665),"")</f>
        <v/>
      </c>
      <c r="W1665" s="23" t="str">
        <f aca="false">IF(ISNUMBER(C1665),MONTH(C1665),"")</f>
        <v/>
      </c>
      <c r="X1665" s="23" t="str">
        <f aca="false">IF(T1665="","",IF(T1665=0,"No discount",IF(T1665&lt;=0.2,"Low (1-20%)",IF(T1665&lt;=0.4,"Medium (21-40%)","High (&gt;40%)"))))</f>
        <v/>
      </c>
      <c r="Y1665" s="23" t="str">
        <f aca="false">IF(AND(ISNUMBER(C1665),ISNUMBER(D1665)),D1665-C1665,"")</f>
        <v/>
      </c>
      <c r="Z1665" s="23" t="str">
        <f aca="false">IF(B1665="","",IF(MATCH(B1665,$B$2:$B$12000,0)=ROW()-1,1,0))</f>
        <v/>
      </c>
    </row>
    <row r="1666" customFormat="false" ht="15" hidden="false" customHeight="false" outlineLevel="0" collapsed="false">
      <c r="V1666" s="23" t="str">
        <f aca="false">IF(ISNUMBER(C1666),YEAR(C1666),"")</f>
        <v/>
      </c>
      <c r="W1666" s="23" t="str">
        <f aca="false">IF(ISNUMBER(C1666),MONTH(C1666),"")</f>
        <v/>
      </c>
      <c r="X1666" s="23" t="str">
        <f aca="false">IF(T1666="","",IF(T1666=0,"No discount",IF(T1666&lt;=0.2,"Low (1-20%)",IF(T1666&lt;=0.4,"Medium (21-40%)","High (&gt;40%)"))))</f>
        <v/>
      </c>
      <c r="Y1666" s="23" t="str">
        <f aca="false">IF(AND(ISNUMBER(C1666),ISNUMBER(D1666)),D1666-C1666,"")</f>
        <v/>
      </c>
      <c r="Z1666" s="23" t="str">
        <f aca="false">IF(B1666="","",IF(MATCH(B1666,$B$2:$B$12000,0)=ROW()-1,1,0))</f>
        <v/>
      </c>
    </row>
    <row r="1667" customFormat="false" ht="15" hidden="false" customHeight="false" outlineLevel="0" collapsed="false">
      <c r="V1667" s="23" t="str">
        <f aca="false">IF(ISNUMBER(C1667),YEAR(C1667),"")</f>
        <v/>
      </c>
      <c r="W1667" s="23" t="str">
        <f aca="false">IF(ISNUMBER(C1667),MONTH(C1667),"")</f>
        <v/>
      </c>
      <c r="X1667" s="23" t="str">
        <f aca="false">IF(T1667="","",IF(T1667=0,"No discount",IF(T1667&lt;=0.2,"Low (1-20%)",IF(T1667&lt;=0.4,"Medium (21-40%)","High (&gt;40%)"))))</f>
        <v/>
      </c>
      <c r="Y1667" s="23" t="str">
        <f aca="false">IF(AND(ISNUMBER(C1667),ISNUMBER(D1667)),D1667-C1667,"")</f>
        <v/>
      </c>
      <c r="Z1667" s="23" t="str">
        <f aca="false">IF(B1667="","",IF(MATCH(B1667,$B$2:$B$12000,0)=ROW()-1,1,0))</f>
        <v/>
      </c>
    </row>
    <row r="1668" customFormat="false" ht="15" hidden="false" customHeight="false" outlineLevel="0" collapsed="false">
      <c r="V1668" s="23" t="str">
        <f aca="false">IF(ISNUMBER(C1668),YEAR(C1668),"")</f>
        <v/>
      </c>
      <c r="W1668" s="23" t="str">
        <f aca="false">IF(ISNUMBER(C1668),MONTH(C1668),"")</f>
        <v/>
      </c>
      <c r="X1668" s="23" t="str">
        <f aca="false">IF(T1668="","",IF(T1668=0,"No discount",IF(T1668&lt;=0.2,"Low (1-20%)",IF(T1668&lt;=0.4,"Medium (21-40%)","High (&gt;40%)"))))</f>
        <v/>
      </c>
      <c r="Y1668" s="23" t="str">
        <f aca="false">IF(AND(ISNUMBER(C1668),ISNUMBER(D1668)),D1668-C1668,"")</f>
        <v/>
      </c>
      <c r="Z1668" s="23" t="str">
        <f aca="false">IF(B1668="","",IF(MATCH(B1668,$B$2:$B$12000,0)=ROW()-1,1,0))</f>
        <v/>
      </c>
    </row>
    <row r="1669" customFormat="false" ht="15" hidden="false" customHeight="false" outlineLevel="0" collapsed="false">
      <c r="V1669" s="23" t="str">
        <f aca="false">IF(ISNUMBER(C1669),YEAR(C1669),"")</f>
        <v/>
      </c>
      <c r="W1669" s="23" t="str">
        <f aca="false">IF(ISNUMBER(C1669),MONTH(C1669),"")</f>
        <v/>
      </c>
      <c r="X1669" s="23" t="str">
        <f aca="false">IF(T1669="","",IF(T1669=0,"No discount",IF(T1669&lt;=0.2,"Low (1-20%)",IF(T1669&lt;=0.4,"Medium (21-40%)","High (&gt;40%)"))))</f>
        <v/>
      </c>
      <c r="Y1669" s="23" t="str">
        <f aca="false">IF(AND(ISNUMBER(C1669),ISNUMBER(D1669)),D1669-C1669,"")</f>
        <v/>
      </c>
      <c r="Z1669" s="23" t="str">
        <f aca="false">IF(B1669="","",IF(MATCH(B1669,$B$2:$B$12000,0)=ROW()-1,1,0))</f>
        <v/>
      </c>
    </row>
    <row r="1670" customFormat="false" ht="15" hidden="false" customHeight="false" outlineLevel="0" collapsed="false">
      <c r="V1670" s="23" t="str">
        <f aca="false">IF(ISNUMBER(C1670),YEAR(C1670),"")</f>
        <v/>
      </c>
      <c r="W1670" s="23" t="str">
        <f aca="false">IF(ISNUMBER(C1670),MONTH(C1670),"")</f>
        <v/>
      </c>
      <c r="X1670" s="23" t="str">
        <f aca="false">IF(T1670="","",IF(T1670=0,"No discount",IF(T1670&lt;=0.2,"Low (1-20%)",IF(T1670&lt;=0.4,"Medium (21-40%)","High (&gt;40%)"))))</f>
        <v/>
      </c>
      <c r="Y1670" s="23" t="str">
        <f aca="false">IF(AND(ISNUMBER(C1670),ISNUMBER(D1670)),D1670-C1670,"")</f>
        <v/>
      </c>
      <c r="Z1670" s="23" t="str">
        <f aca="false">IF(B1670="","",IF(MATCH(B1670,$B$2:$B$12000,0)=ROW()-1,1,0))</f>
        <v/>
      </c>
    </row>
    <row r="1671" customFormat="false" ht="15" hidden="false" customHeight="false" outlineLevel="0" collapsed="false">
      <c r="V1671" s="23" t="str">
        <f aca="false">IF(ISNUMBER(C1671),YEAR(C1671),"")</f>
        <v/>
      </c>
      <c r="W1671" s="23" t="str">
        <f aca="false">IF(ISNUMBER(C1671),MONTH(C1671),"")</f>
        <v/>
      </c>
      <c r="X1671" s="23" t="str">
        <f aca="false">IF(T1671="","",IF(T1671=0,"No discount",IF(T1671&lt;=0.2,"Low (1-20%)",IF(T1671&lt;=0.4,"Medium (21-40%)","High (&gt;40%)"))))</f>
        <v/>
      </c>
      <c r="Y1671" s="23" t="str">
        <f aca="false">IF(AND(ISNUMBER(C1671),ISNUMBER(D1671)),D1671-C1671,"")</f>
        <v/>
      </c>
      <c r="Z1671" s="23" t="str">
        <f aca="false">IF(B1671="","",IF(MATCH(B1671,$B$2:$B$12000,0)=ROW()-1,1,0))</f>
        <v/>
      </c>
    </row>
    <row r="1672" customFormat="false" ht="15" hidden="false" customHeight="false" outlineLevel="0" collapsed="false">
      <c r="V1672" s="23" t="str">
        <f aca="false">IF(ISNUMBER(C1672),YEAR(C1672),"")</f>
        <v/>
      </c>
      <c r="W1672" s="23" t="str">
        <f aca="false">IF(ISNUMBER(C1672),MONTH(C1672),"")</f>
        <v/>
      </c>
      <c r="X1672" s="23" t="str">
        <f aca="false">IF(T1672="","",IF(T1672=0,"No discount",IF(T1672&lt;=0.2,"Low (1-20%)",IF(T1672&lt;=0.4,"Medium (21-40%)","High (&gt;40%)"))))</f>
        <v/>
      </c>
      <c r="Y1672" s="23" t="str">
        <f aca="false">IF(AND(ISNUMBER(C1672),ISNUMBER(D1672)),D1672-C1672,"")</f>
        <v/>
      </c>
      <c r="Z1672" s="23" t="str">
        <f aca="false">IF(B1672="","",IF(MATCH(B1672,$B$2:$B$12000,0)=ROW()-1,1,0))</f>
        <v/>
      </c>
    </row>
    <row r="1673" customFormat="false" ht="15" hidden="false" customHeight="false" outlineLevel="0" collapsed="false">
      <c r="V1673" s="23" t="str">
        <f aca="false">IF(ISNUMBER(C1673),YEAR(C1673),"")</f>
        <v/>
      </c>
      <c r="W1673" s="23" t="str">
        <f aca="false">IF(ISNUMBER(C1673),MONTH(C1673),"")</f>
        <v/>
      </c>
      <c r="X1673" s="23" t="str">
        <f aca="false">IF(T1673="","",IF(T1673=0,"No discount",IF(T1673&lt;=0.2,"Low (1-20%)",IF(T1673&lt;=0.4,"Medium (21-40%)","High (&gt;40%)"))))</f>
        <v/>
      </c>
      <c r="Y1673" s="23" t="str">
        <f aca="false">IF(AND(ISNUMBER(C1673),ISNUMBER(D1673)),D1673-C1673,"")</f>
        <v/>
      </c>
      <c r="Z1673" s="23" t="str">
        <f aca="false">IF(B1673="","",IF(MATCH(B1673,$B$2:$B$12000,0)=ROW()-1,1,0))</f>
        <v/>
      </c>
    </row>
    <row r="1674" customFormat="false" ht="15" hidden="false" customHeight="false" outlineLevel="0" collapsed="false">
      <c r="V1674" s="23" t="str">
        <f aca="false">IF(ISNUMBER(C1674),YEAR(C1674),"")</f>
        <v/>
      </c>
      <c r="W1674" s="23" t="str">
        <f aca="false">IF(ISNUMBER(C1674),MONTH(C1674),"")</f>
        <v/>
      </c>
      <c r="X1674" s="23" t="str">
        <f aca="false">IF(T1674="","",IF(T1674=0,"No discount",IF(T1674&lt;=0.2,"Low (1-20%)",IF(T1674&lt;=0.4,"Medium (21-40%)","High (&gt;40%)"))))</f>
        <v/>
      </c>
      <c r="Y1674" s="23" t="str">
        <f aca="false">IF(AND(ISNUMBER(C1674),ISNUMBER(D1674)),D1674-C1674,"")</f>
        <v/>
      </c>
      <c r="Z1674" s="23" t="str">
        <f aca="false">IF(B1674="","",IF(MATCH(B1674,$B$2:$B$12000,0)=ROW()-1,1,0))</f>
        <v/>
      </c>
    </row>
    <row r="1675" customFormat="false" ht="15" hidden="false" customHeight="false" outlineLevel="0" collapsed="false">
      <c r="V1675" s="23" t="str">
        <f aca="false">IF(ISNUMBER(C1675),YEAR(C1675),"")</f>
        <v/>
      </c>
      <c r="W1675" s="23" t="str">
        <f aca="false">IF(ISNUMBER(C1675),MONTH(C1675),"")</f>
        <v/>
      </c>
      <c r="X1675" s="23" t="str">
        <f aca="false">IF(T1675="","",IF(T1675=0,"No discount",IF(T1675&lt;=0.2,"Low (1-20%)",IF(T1675&lt;=0.4,"Medium (21-40%)","High (&gt;40%)"))))</f>
        <v/>
      </c>
      <c r="Y1675" s="23" t="str">
        <f aca="false">IF(AND(ISNUMBER(C1675),ISNUMBER(D1675)),D1675-C1675,"")</f>
        <v/>
      </c>
      <c r="Z1675" s="23" t="str">
        <f aca="false">IF(B1675="","",IF(MATCH(B1675,$B$2:$B$12000,0)=ROW()-1,1,0))</f>
        <v/>
      </c>
    </row>
    <row r="1676" customFormat="false" ht="15" hidden="false" customHeight="false" outlineLevel="0" collapsed="false">
      <c r="V1676" s="23" t="str">
        <f aca="false">IF(ISNUMBER(C1676),YEAR(C1676),"")</f>
        <v/>
      </c>
      <c r="W1676" s="23" t="str">
        <f aca="false">IF(ISNUMBER(C1676),MONTH(C1676),"")</f>
        <v/>
      </c>
      <c r="X1676" s="23" t="str">
        <f aca="false">IF(T1676="","",IF(T1676=0,"No discount",IF(T1676&lt;=0.2,"Low (1-20%)",IF(T1676&lt;=0.4,"Medium (21-40%)","High (&gt;40%)"))))</f>
        <v/>
      </c>
      <c r="Y1676" s="23" t="str">
        <f aca="false">IF(AND(ISNUMBER(C1676),ISNUMBER(D1676)),D1676-C1676,"")</f>
        <v/>
      </c>
      <c r="Z1676" s="23" t="str">
        <f aca="false">IF(B1676="","",IF(MATCH(B1676,$B$2:$B$12000,0)=ROW()-1,1,0))</f>
        <v/>
      </c>
    </row>
    <row r="1677" customFormat="false" ht="15" hidden="false" customHeight="false" outlineLevel="0" collapsed="false">
      <c r="V1677" s="23" t="str">
        <f aca="false">IF(ISNUMBER(C1677),YEAR(C1677),"")</f>
        <v/>
      </c>
      <c r="W1677" s="23" t="str">
        <f aca="false">IF(ISNUMBER(C1677),MONTH(C1677),"")</f>
        <v/>
      </c>
      <c r="X1677" s="23" t="str">
        <f aca="false">IF(T1677="","",IF(T1677=0,"No discount",IF(T1677&lt;=0.2,"Low (1-20%)",IF(T1677&lt;=0.4,"Medium (21-40%)","High (&gt;40%)"))))</f>
        <v/>
      </c>
      <c r="Y1677" s="23" t="str">
        <f aca="false">IF(AND(ISNUMBER(C1677),ISNUMBER(D1677)),D1677-C1677,"")</f>
        <v/>
      </c>
      <c r="Z1677" s="23" t="str">
        <f aca="false">IF(B1677="","",IF(MATCH(B1677,$B$2:$B$12000,0)=ROW()-1,1,0))</f>
        <v/>
      </c>
    </row>
    <row r="1678" customFormat="false" ht="15" hidden="false" customHeight="false" outlineLevel="0" collapsed="false">
      <c r="V1678" s="23" t="str">
        <f aca="false">IF(ISNUMBER(C1678),YEAR(C1678),"")</f>
        <v/>
      </c>
      <c r="W1678" s="23" t="str">
        <f aca="false">IF(ISNUMBER(C1678),MONTH(C1678),"")</f>
        <v/>
      </c>
      <c r="X1678" s="23" t="str">
        <f aca="false">IF(T1678="","",IF(T1678=0,"No discount",IF(T1678&lt;=0.2,"Low (1-20%)",IF(T1678&lt;=0.4,"Medium (21-40%)","High (&gt;40%)"))))</f>
        <v/>
      </c>
      <c r="Y1678" s="23" t="str">
        <f aca="false">IF(AND(ISNUMBER(C1678),ISNUMBER(D1678)),D1678-C1678,"")</f>
        <v/>
      </c>
      <c r="Z1678" s="23" t="str">
        <f aca="false">IF(B1678="","",IF(MATCH(B1678,$B$2:$B$12000,0)=ROW()-1,1,0))</f>
        <v/>
      </c>
    </row>
    <row r="1679" customFormat="false" ht="15" hidden="false" customHeight="false" outlineLevel="0" collapsed="false">
      <c r="V1679" s="23" t="str">
        <f aca="false">IF(ISNUMBER(C1679),YEAR(C1679),"")</f>
        <v/>
      </c>
      <c r="W1679" s="23" t="str">
        <f aca="false">IF(ISNUMBER(C1679),MONTH(C1679),"")</f>
        <v/>
      </c>
      <c r="X1679" s="23" t="str">
        <f aca="false">IF(T1679="","",IF(T1679=0,"No discount",IF(T1679&lt;=0.2,"Low (1-20%)",IF(T1679&lt;=0.4,"Medium (21-40%)","High (&gt;40%)"))))</f>
        <v/>
      </c>
      <c r="Y1679" s="23" t="str">
        <f aca="false">IF(AND(ISNUMBER(C1679),ISNUMBER(D1679)),D1679-C1679,"")</f>
        <v/>
      </c>
      <c r="Z1679" s="23" t="str">
        <f aca="false">IF(B1679="","",IF(MATCH(B1679,$B$2:$B$12000,0)=ROW()-1,1,0))</f>
        <v/>
      </c>
    </row>
    <row r="1680" customFormat="false" ht="15" hidden="false" customHeight="false" outlineLevel="0" collapsed="false">
      <c r="V1680" s="23" t="str">
        <f aca="false">IF(ISNUMBER(C1680),YEAR(C1680),"")</f>
        <v/>
      </c>
      <c r="W1680" s="23" t="str">
        <f aca="false">IF(ISNUMBER(C1680),MONTH(C1680),"")</f>
        <v/>
      </c>
      <c r="X1680" s="23" t="str">
        <f aca="false">IF(T1680="","",IF(T1680=0,"No discount",IF(T1680&lt;=0.2,"Low (1-20%)",IF(T1680&lt;=0.4,"Medium (21-40%)","High (&gt;40%)"))))</f>
        <v/>
      </c>
      <c r="Y1680" s="23" t="str">
        <f aca="false">IF(AND(ISNUMBER(C1680),ISNUMBER(D1680)),D1680-C1680,"")</f>
        <v/>
      </c>
      <c r="Z1680" s="23" t="str">
        <f aca="false">IF(B1680="","",IF(MATCH(B1680,$B$2:$B$12000,0)=ROW()-1,1,0))</f>
        <v/>
      </c>
    </row>
    <row r="1681" customFormat="false" ht="15" hidden="false" customHeight="false" outlineLevel="0" collapsed="false">
      <c r="V1681" s="23" t="str">
        <f aca="false">IF(ISNUMBER(C1681),YEAR(C1681),"")</f>
        <v/>
      </c>
      <c r="W1681" s="23" t="str">
        <f aca="false">IF(ISNUMBER(C1681),MONTH(C1681),"")</f>
        <v/>
      </c>
      <c r="X1681" s="23" t="str">
        <f aca="false">IF(T1681="","",IF(T1681=0,"No discount",IF(T1681&lt;=0.2,"Low (1-20%)",IF(T1681&lt;=0.4,"Medium (21-40%)","High (&gt;40%)"))))</f>
        <v/>
      </c>
      <c r="Y1681" s="23" t="str">
        <f aca="false">IF(AND(ISNUMBER(C1681),ISNUMBER(D1681)),D1681-C1681,"")</f>
        <v/>
      </c>
      <c r="Z1681" s="23" t="str">
        <f aca="false">IF(B1681="","",IF(MATCH(B1681,$B$2:$B$12000,0)=ROW()-1,1,0))</f>
        <v/>
      </c>
    </row>
    <row r="1682" customFormat="false" ht="15" hidden="false" customHeight="false" outlineLevel="0" collapsed="false">
      <c r="V1682" s="23" t="str">
        <f aca="false">IF(ISNUMBER(C1682),YEAR(C1682),"")</f>
        <v/>
      </c>
      <c r="W1682" s="23" t="str">
        <f aca="false">IF(ISNUMBER(C1682),MONTH(C1682),"")</f>
        <v/>
      </c>
      <c r="X1682" s="23" t="str">
        <f aca="false">IF(T1682="","",IF(T1682=0,"No discount",IF(T1682&lt;=0.2,"Low (1-20%)",IF(T1682&lt;=0.4,"Medium (21-40%)","High (&gt;40%)"))))</f>
        <v/>
      </c>
      <c r="Y1682" s="23" t="str">
        <f aca="false">IF(AND(ISNUMBER(C1682),ISNUMBER(D1682)),D1682-C1682,"")</f>
        <v/>
      </c>
      <c r="Z1682" s="23" t="str">
        <f aca="false">IF(B1682="","",IF(MATCH(B1682,$B$2:$B$12000,0)=ROW()-1,1,0))</f>
        <v/>
      </c>
    </row>
    <row r="1683" customFormat="false" ht="15" hidden="false" customHeight="false" outlineLevel="0" collapsed="false">
      <c r="V1683" s="23" t="str">
        <f aca="false">IF(ISNUMBER(C1683),YEAR(C1683),"")</f>
        <v/>
      </c>
      <c r="W1683" s="23" t="str">
        <f aca="false">IF(ISNUMBER(C1683),MONTH(C1683),"")</f>
        <v/>
      </c>
      <c r="X1683" s="23" t="str">
        <f aca="false">IF(T1683="","",IF(T1683=0,"No discount",IF(T1683&lt;=0.2,"Low (1-20%)",IF(T1683&lt;=0.4,"Medium (21-40%)","High (&gt;40%)"))))</f>
        <v/>
      </c>
      <c r="Y1683" s="23" t="str">
        <f aca="false">IF(AND(ISNUMBER(C1683),ISNUMBER(D1683)),D1683-C1683,"")</f>
        <v/>
      </c>
      <c r="Z1683" s="23" t="str">
        <f aca="false">IF(B1683="","",IF(MATCH(B1683,$B$2:$B$12000,0)=ROW()-1,1,0))</f>
        <v/>
      </c>
    </row>
    <row r="1684" customFormat="false" ht="15" hidden="false" customHeight="false" outlineLevel="0" collapsed="false">
      <c r="V1684" s="23" t="str">
        <f aca="false">IF(ISNUMBER(C1684),YEAR(C1684),"")</f>
        <v/>
      </c>
      <c r="W1684" s="23" t="str">
        <f aca="false">IF(ISNUMBER(C1684),MONTH(C1684),"")</f>
        <v/>
      </c>
      <c r="X1684" s="23" t="str">
        <f aca="false">IF(T1684="","",IF(T1684=0,"No discount",IF(T1684&lt;=0.2,"Low (1-20%)",IF(T1684&lt;=0.4,"Medium (21-40%)","High (&gt;40%)"))))</f>
        <v/>
      </c>
      <c r="Y1684" s="23" t="str">
        <f aca="false">IF(AND(ISNUMBER(C1684),ISNUMBER(D1684)),D1684-C1684,"")</f>
        <v/>
      </c>
      <c r="Z1684" s="23" t="str">
        <f aca="false">IF(B1684="","",IF(MATCH(B1684,$B$2:$B$12000,0)=ROW()-1,1,0))</f>
        <v/>
      </c>
    </row>
    <row r="1685" customFormat="false" ht="15" hidden="false" customHeight="false" outlineLevel="0" collapsed="false">
      <c r="V1685" s="23" t="str">
        <f aca="false">IF(ISNUMBER(C1685),YEAR(C1685),"")</f>
        <v/>
      </c>
      <c r="W1685" s="23" t="str">
        <f aca="false">IF(ISNUMBER(C1685),MONTH(C1685),"")</f>
        <v/>
      </c>
      <c r="X1685" s="23" t="str">
        <f aca="false">IF(T1685="","",IF(T1685=0,"No discount",IF(T1685&lt;=0.2,"Low (1-20%)",IF(T1685&lt;=0.4,"Medium (21-40%)","High (&gt;40%)"))))</f>
        <v/>
      </c>
      <c r="Y1685" s="23" t="str">
        <f aca="false">IF(AND(ISNUMBER(C1685),ISNUMBER(D1685)),D1685-C1685,"")</f>
        <v/>
      </c>
      <c r="Z1685" s="23" t="str">
        <f aca="false">IF(B1685="","",IF(MATCH(B1685,$B$2:$B$12000,0)=ROW()-1,1,0))</f>
        <v/>
      </c>
    </row>
    <row r="1686" customFormat="false" ht="15" hidden="false" customHeight="false" outlineLevel="0" collapsed="false">
      <c r="V1686" s="23" t="str">
        <f aca="false">IF(ISNUMBER(C1686),YEAR(C1686),"")</f>
        <v/>
      </c>
      <c r="W1686" s="23" t="str">
        <f aca="false">IF(ISNUMBER(C1686),MONTH(C1686),"")</f>
        <v/>
      </c>
      <c r="X1686" s="23" t="str">
        <f aca="false">IF(T1686="","",IF(T1686=0,"No discount",IF(T1686&lt;=0.2,"Low (1-20%)",IF(T1686&lt;=0.4,"Medium (21-40%)","High (&gt;40%)"))))</f>
        <v/>
      </c>
      <c r="Y1686" s="23" t="str">
        <f aca="false">IF(AND(ISNUMBER(C1686),ISNUMBER(D1686)),D1686-C1686,"")</f>
        <v/>
      </c>
      <c r="Z1686" s="23" t="str">
        <f aca="false">IF(B1686="","",IF(MATCH(B1686,$B$2:$B$12000,0)=ROW()-1,1,0))</f>
        <v/>
      </c>
    </row>
    <row r="1687" customFormat="false" ht="15" hidden="false" customHeight="false" outlineLevel="0" collapsed="false">
      <c r="V1687" s="23" t="str">
        <f aca="false">IF(ISNUMBER(C1687),YEAR(C1687),"")</f>
        <v/>
      </c>
      <c r="W1687" s="23" t="str">
        <f aca="false">IF(ISNUMBER(C1687),MONTH(C1687),"")</f>
        <v/>
      </c>
      <c r="X1687" s="23" t="str">
        <f aca="false">IF(T1687="","",IF(T1687=0,"No discount",IF(T1687&lt;=0.2,"Low (1-20%)",IF(T1687&lt;=0.4,"Medium (21-40%)","High (&gt;40%)"))))</f>
        <v/>
      </c>
      <c r="Y1687" s="23" t="str">
        <f aca="false">IF(AND(ISNUMBER(C1687),ISNUMBER(D1687)),D1687-C1687,"")</f>
        <v/>
      </c>
      <c r="Z1687" s="23" t="str">
        <f aca="false">IF(B1687="","",IF(MATCH(B1687,$B$2:$B$12000,0)=ROW()-1,1,0))</f>
        <v/>
      </c>
    </row>
    <row r="1688" customFormat="false" ht="15" hidden="false" customHeight="false" outlineLevel="0" collapsed="false">
      <c r="V1688" s="23" t="str">
        <f aca="false">IF(ISNUMBER(C1688),YEAR(C1688),"")</f>
        <v/>
      </c>
      <c r="W1688" s="23" t="str">
        <f aca="false">IF(ISNUMBER(C1688),MONTH(C1688),"")</f>
        <v/>
      </c>
      <c r="X1688" s="23" t="str">
        <f aca="false">IF(T1688="","",IF(T1688=0,"No discount",IF(T1688&lt;=0.2,"Low (1-20%)",IF(T1688&lt;=0.4,"Medium (21-40%)","High (&gt;40%)"))))</f>
        <v/>
      </c>
      <c r="Y1688" s="23" t="str">
        <f aca="false">IF(AND(ISNUMBER(C1688),ISNUMBER(D1688)),D1688-C1688,"")</f>
        <v/>
      </c>
      <c r="Z1688" s="23" t="str">
        <f aca="false">IF(B1688="","",IF(MATCH(B1688,$B$2:$B$12000,0)=ROW()-1,1,0))</f>
        <v/>
      </c>
    </row>
    <row r="1689" customFormat="false" ht="15" hidden="false" customHeight="false" outlineLevel="0" collapsed="false">
      <c r="V1689" s="23" t="str">
        <f aca="false">IF(ISNUMBER(C1689),YEAR(C1689),"")</f>
        <v/>
      </c>
      <c r="W1689" s="23" t="str">
        <f aca="false">IF(ISNUMBER(C1689),MONTH(C1689),"")</f>
        <v/>
      </c>
      <c r="X1689" s="23" t="str">
        <f aca="false">IF(T1689="","",IF(T1689=0,"No discount",IF(T1689&lt;=0.2,"Low (1-20%)",IF(T1689&lt;=0.4,"Medium (21-40%)","High (&gt;40%)"))))</f>
        <v/>
      </c>
      <c r="Y1689" s="23" t="str">
        <f aca="false">IF(AND(ISNUMBER(C1689),ISNUMBER(D1689)),D1689-C1689,"")</f>
        <v/>
      </c>
      <c r="Z1689" s="23" t="str">
        <f aca="false">IF(B1689="","",IF(MATCH(B1689,$B$2:$B$12000,0)=ROW()-1,1,0))</f>
        <v/>
      </c>
    </row>
    <row r="1690" customFormat="false" ht="15" hidden="false" customHeight="false" outlineLevel="0" collapsed="false">
      <c r="V1690" s="23" t="str">
        <f aca="false">IF(ISNUMBER(C1690),YEAR(C1690),"")</f>
        <v/>
      </c>
      <c r="W1690" s="23" t="str">
        <f aca="false">IF(ISNUMBER(C1690),MONTH(C1690),"")</f>
        <v/>
      </c>
      <c r="X1690" s="23" t="str">
        <f aca="false">IF(T1690="","",IF(T1690=0,"No discount",IF(T1690&lt;=0.2,"Low (1-20%)",IF(T1690&lt;=0.4,"Medium (21-40%)","High (&gt;40%)"))))</f>
        <v/>
      </c>
      <c r="Y1690" s="23" t="str">
        <f aca="false">IF(AND(ISNUMBER(C1690),ISNUMBER(D1690)),D1690-C1690,"")</f>
        <v/>
      </c>
      <c r="Z1690" s="23" t="str">
        <f aca="false">IF(B1690="","",IF(MATCH(B1690,$B$2:$B$12000,0)=ROW()-1,1,0))</f>
        <v/>
      </c>
    </row>
    <row r="1691" customFormat="false" ht="15" hidden="false" customHeight="false" outlineLevel="0" collapsed="false">
      <c r="V1691" s="23" t="str">
        <f aca="false">IF(ISNUMBER(C1691),YEAR(C1691),"")</f>
        <v/>
      </c>
      <c r="W1691" s="23" t="str">
        <f aca="false">IF(ISNUMBER(C1691),MONTH(C1691),"")</f>
        <v/>
      </c>
      <c r="X1691" s="23" t="str">
        <f aca="false">IF(T1691="","",IF(T1691=0,"No discount",IF(T1691&lt;=0.2,"Low (1-20%)",IF(T1691&lt;=0.4,"Medium (21-40%)","High (&gt;40%)"))))</f>
        <v/>
      </c>
      <c r="Y1691" s="23" t="str">
        <f aca="false">IF(AND(ISNUMBER(C1691),ISNUMBER(D1691)),D1691-C1691,"")</f>
        <v/>
      </c>
      <c r="Z1691" s="23" t="str">
        <f aca="false">IF(B1691="","",IF(MATCH(B1691,$B$2:$B$12000,0)=ROW()-1,1,0))</f>
        <v/>
      </c>
    </row>
    <row r="1692" customFormat="false" ht="15" hidden="false" customHeight="false" outlineLevel="0" collapsed="false">
      <c r="V1692" s="23" t="str">
        <f aca="false">IF(ISNUMBER(C1692),YEAR(C1692),"")</f>
        <v/>
      </c>
      <c r="W1692" s="23" t="str">
        <f aca="false">IF(ISNUMBER(C1692),MONTH(C1692),"")</f>
        <v/>
      </c>
      <c r="X1692" s="23" t="str">
        <f aca="false">IF(T1692="","",IF(T1692=0,"No discount",IF(T1692&lt;=0.2,"Low (1-20%)",IF(T1692&lt;=0.4,"Medium (21-40%)","High (&gt;40%)"))))</f>
        <v/>
      </c>
      <c r="Y1692" s="23" t="str">
        <f aca="false">IF(AND(ISNUMBER(C1692),ISNUMBER(D1692)),D1692-C1692,"")</f>
        <v/>
      </c>
      <c r="Z1692" s="23" t="str">
        <f aca="false">IF(B1692="","",IF(MATCH(B1692,$B$2:$B$12000,0)=ROW()-1,1,0))</f>
        <v/>
      </c>
    </row>
    <row r="1693" customFormat="false" ht="15" hidden="false" customHeight="false" outlineLevel="0" collapsed="false">
      <c r="V1693" s="23" t="str">
        <f aca="false">IF(ISNUMBER(C1693),YEAR(C1693),"")</f>
        <v/>
      </c>
      <c r="W1693" s="23" t="str">
        <f aca="false">IF(ISNUMBER(C1693),MONTH(C1693),"")</f>
        <v/>
      </c>
      <c r="X1693" s="23" t="str">
        <f aca="false">IF(T1693="","",IF(T1693=0,"No discount",IF(T1693&lt;=0.2,"Low (1-20%)",IF(T1693&lt;=0.4,"Medium (21-40%)","High (&gt;40%)"))))</f>
        <v/>
      </c>
      <c r="Y1693" s="23" t="str">
        <f aca="false">IF(AND(ISNUMBER(C1693),ISNUMBER(D1693)),D1693-C1693,"")</f>
        <v/>
      </c>
      <c r="Z1693" s="23" t="str">
        <f aca="false">IF(B1693="","",IF(MATCH(B1693,$B$2:$B$12000,0)=ROW()-1,1,0))</f>
        <v/>
      </c>
    </row>
    <row r="1694" customFormat="false" ht="15" hidden="false" customHeight="false" outlineLevel="0" collapsed="false">
      <c r="V1694" s="23" t="str">
        <f aca="false">IF(ISNUMBER(C1694),YEAR(C1694),"")</f>
        <v/>
      </c>
      <c r="W1694" s="23" t="str">
        <f aca="false">IF(ISNUMBER(C1694),MONTH(C1694),"")</f>
        <v/>
      </c>
      <c r="X1694" s="23" t="str">
        <f aca="false">IF(T1694="","",IF(T1694=0,"No discount",IF(T1694&lt;=0.2,"Low (1-20%)",IF(T1694&lt;=0.4,"Medium (21-40%)","High (&gt;40%)"))))</f>
        <v/>
      </c>
      <c r="Y1694" s="23" t="str">
        <f aca="false">IF(AND(ISNUMBER(C1694),ISNUMBER(D1694)),D1694-C1694,"")</f>
        <v/>
      </c>
      <c r="Z1694" s="23" t="str">
        <f aca="false">IF(B1694="","",IF(MATCH(B1694,$B$2:$B$12000,0)=ROW()-1,1,0))</f>
        <v/>
      </c>
    </row>
    <row r="1695" customFormat="false" ht="15" hidden="false" customHeight="false" outlineLevel="0" collapsed="false">
      <c r="V1695" s="23" t="str">
        <f aca="false">IF(ISNUMBER(C1695),YEAR(C1695),"")</f>
        <v/>
      </c>
      <c r="W1695" s="23" t="str">
        <f aca="false">IF(ISNUMBER(C1695),MONTH(C1695),"")</f>
        <v/>
      </c>
      <c r="X1695" s="23" t="str">
        <f aca="false">IF(T1695="","",IF(T1695=0,"No discount",IF(T1695&lt;=0.2,"Low (1-20%)",IF(T1695&lt;=0.4,"Medium (21-40%)","High (&gt;40%)"))))</f>
        <v/>
      </c>
      <c r="Y1695" s="23" t="str">
        <f aca="false">IF(AND(ISNUMBER(C1695),ISNUMBER(D1695)),D1695-C1695,"")</f>
        <v/>
      </c>
      <c r="Z1695" s="23" t="str">
        <f aca="false">IF(B1695="","",IF(MATCH(B1695,$B$2:$B$12000,0)=ROW()-1,1,0))</f>
        <v/>
      </c>
    </row>
    <row r="1696" customFormat="false" ht="15" hidden="false" customHeight="false" outlineLevel="0" collapsed="false">
      <c r="V1696" s="23" t="str">
        <f aca="false">IF(ISNUMBER(C1696),YEAR(C1696),"")</f>
        <v/>
      </c>
      <c r="W1696" s="23" t="str">
        <f aca="false">IF(ISNUMBER(C1696),MONTH(C1696),"")</f>
        <v/>
      </c>
      <c r="X1696" s="23" t="str">
        <f aca="false">IF(T1696="","",IF(T1696=0,"No discount",IF(T1696&lt;=0.2,"Low (1-20%)",IF(T1696&lt;=0.4,"Medium (21-40%)","High (&gt;40%)"))))</f>
        <v/>
      </c>
      <c r="Y1696" s="23" t="str">
        <f aca="false">IF(AND(ISNUMBER(C1696),ISNUMBER(D1696)),D1696-C1696,"")</f>
        <v/>
      </c>
      <c r="Z1696" s="23" t="str">
        <f aca="false">IF(B1696="","",IF(MATCH(B1696,$B$2:$B$12000,0)=ROW()-1,1,0))</f>
        <v/>
      </c>
    </row>
    <row r="1697" customFormat="false" ht="15" hidden="false" customHeight="false" outlineLevel="0" collapsed="false">
      <c r="V1697" s="23" t="str">
        <f aca="false">IF(ISNUMBER(C1697),YEAR(C1697),"")</f>
        <v/>
      </c>
      <c r="W1697" s="23" t="str">
        <f aca="false">IF(ISNUMBER(C1697),MONTH(C1697),"")</f>
        <v/>
      </c>
      <c r="X1697" s="23" t="str">
        <f aca="false">IF(T1697="","",IF(T1697=0,"No discount",IF(T1697&lt;=0.2,"Low (1-20%)",IF(T1697&lt;=0.4,"Medium (21-40%)","High (&gt;40%)"))))</f>
        <v/>
      </c>
      <c r="Y1697" s="23" t="str">
        <f aca="false">IF(AND(ISNUMBER(C1697),ISNUMBER(D1697)),D1697-C1697,"")</f>
        <v/>
      </c>
      <c r="Z1697" s="23" t="str">
        <f aca="false">IF(B1697="","",IF(MATCH(B1697,$B$2:$B$12000,0)=ROW()-1,1,0))</f>
        <v/>
      </c>
    </row>
    <row r="1698" customFormat="false" ht="15" hidden="false" customHeight="false" outlineLevel="0" collapsed="false">
      <c r="V1698" s="23" t="str">
        <f aca="false">IF(ISNUMBER(C1698),YEAR(C1698),"")</f>
        <v/>
      </c>
      <c r="W1698" s="23" t="str">
        <f aca="false">IF(ISNUMBER(C1698),MONTH(C1698),"")</f>
        <v/>
      </c>
      <c r="X1698" s="23" t="str">
        <f aca="false">IF(T1698="","",IF(T1698=0,"No discount",IF(T1698&lt;=0.2,"Low (1-20%)",IF(T1698&lt;=0.4,"Medium (21-40%)","High (&gt;40%)"))))</f>
        <v/>
      </c>
      <c r="Y1698" s="23" t="str">
        <f aca="false">IF(AND(ISNUMBER(C1698),ISNUMBER(D1698)),D1698-C1698,"")</f>
        <v/>
      </c>
      <c r="Z1698" s="23" t="str">
        <f aca="false">IF(B1698="","",IF(MATCH(B1698,$B$2:$B$12000,0)=ROW()-1,1,0))</f>
        <v/>
      </c>
    </row>
    <row r="1699" customFormat="false" ht="15" hidden="false" customHeight="false" outlineLevel="0" collapsed="false">
      <c r="V1699" s="23" t="str">
        <f aca="false">IF(ISNUMBER(C1699),YEAR(C1699),"")</f>
        <v/>
      </c>
      <c r="W1699" s="23" t="str">
        <f aca="false">IF(ISNUMBER(C1699),MONTH(C1699),"")</f>
        <v/>
      </c>
      <c r="X1699" s="23" t="str">
        <f aca="false">IF(T1699="","",IF(T1699=0,"No discount",IF(T1699&lt;=0.2,"Low (1-20%)",IF(T1699&lt;=0.4,"Medium (21-40%)","High (&gt;40%)"))))</f>
        <v/>
      </c>
      <c r="Y1699" s="23" t="str">
        <f aca="false">IF(AND(ISNUMBER(C1699),ISNUMBER(D1699)),D1699-C1699,"")</f>
        <v/>
      </c>
      <c r="Z1699" s="23" t="str">
        <f aca="false">IF(B1699="","",IF(MATCH(B1699,$B$2:$B$12000,0)=ROW()-1,1,0))</f>
        <v/>
      </c>
    </row>
    <row r="1700" customFormat="false" ht="15" hidden="false" customHeight="false" outlineLevel="0" collapsed="false">
      <c r="V1700" s="23" t="str">
        <f aca="false">IF(ISNUMBER(C1700),YEAR(C1700),"")</f>
        <v/>
      </c>
      <c r="W1700" s="23" t="str">
        <f aca="false">IF(ISNUMBER(C1700),MONTH(C1700),"")</f>
        <v/>
      </c>
      <c r="X1700" s="23" t="str">
        <f aca="false">IF(T1700="","",IF(T1700=0,"No discount",IF(T1700&lt;=0.2,"Low (1-20%)",IF(T1700&lt;=0.4,"Medium (21-40%)","High (&gt;40%)"))))</f>
        <v/>
      </c>
      <c r="Y1700" s="23" t="str">
        <f aca="false">IF(AND(ISNUMBER(C1700),ISNUMBER(D1700)),D1700-C1700,"")</f>
        <v/>
      </c>
      <c r="Z1700" s="23" t="str">
        <f aca="false">IF(B1700="","",IF(MATCH(B1700,$B$2:$B$12000,0)=ROW()-1,1,0))</f>
        <v/>
      </c>
    </row>
    <row r="1701" customFormat="false" ht="15" hidden="false" customHeight="false" outlineLevel="0" collapsed="false">
      <c r="V1701" s="23" t="str">
        <f aca="false">IF(ISNUMBER(C1701),YEAR(C1701),"")</f>
        <v/>
      </c>
      <c r="W1701" s="23" t="str">
        <f aca="false">IF(ISNUMBER(C1701),MONTH(C1701),"")</f>
        <v/>
      </c>
      <c r="X1701" s="23" t="str">
        <f aca="false">IF(T1701="","",IF(T1701=0,"No discount",IF(T1701&lt;=0.2,"Low (1-20%)",IF(T1701&lt;=0.4,"Medium (21-40%)","High (&gt;40%)"))))</f>
        <v/>
      </c>
      <c r="Y1701" s="23" t="str">
        <f aca="false">IF(AND(ISNUMBER(C1701),ISNUMBER(D1701)),D1701-C1701,"")</f>
        <v/>
      </c>
      <c r="Z1701" s="23" t="str">
        <f aca="false">IF(B1701="","",IF(MATCH(B1701,$B$2:$B$12000,0)=ROW()-1,1,0))</f>
        <v/>
      </c>
    </row>
    <row r="1702" customFormat="false" ht="15" hidden="false" customHeight="false" outlineLevel="0" collapsed="false">
      <c r="V1702" s="23" t="str">
        <f aca="false">IF(ISNUMBER(C1702),YEAR(C1702),"")</f>
        <v/>
      </c>
      <c r="W1702" s="23" t="str">
        <f aca="false">IF(ISNUMBER(C1702),MONTH(C1702),"")</f>
        <v/>
      </c>
      <c r="X1702" s="23" t="str">
        <f aca="false">IF(T1702="","",IF(T1702=0,"No discount",IF(T1702&lt;=0.2,"Low (1-20%)",IF(T1702&lt;=0.4,"Medium (21-40%)","High (&gt;40%)"))))</f>
        <v/>
      </c>
      <c r="Y1702" s="23" t="str">
        <f aca="false">IF(AND(ISNUMBER(C1702),ISNUMBER(D1702)),D1702-C1702,"")</f>
        <v/>
      </c>
      <c r="Z1702" s="23" t="str">
        <f aca="false">IF(B1702="","",IF(MATCH(B1702,$B$2:$B$12000,0)=ROW()-1,1,0))</f>
        <v/>
      </c>
    </row>
    <row r="1703" customFormat="false" ht="15" hidden="false" customHeight="false" outlineLevel="0" collapsed="false">
      <c r="V1703" s="23" t="str">
        <f aca="false">IF(ISNUMBER(C1703),YEAR(C1703),"")</f>
        <v/>
      </c>
      <c r="W1703" s="23" t="str">
        <f aca="false">IF(ISNUMBER(C1703),MONTH(C1703),"")</f>
        <v/>
      </c>
      <c r="X1703" s="23" t="str">
        <f aca="false">IF(T1703="","",IF(T1703=0,"No discount",IF(T1703&lt;=0.2,"Low (1-20%)",IF(T1703&lt;=0.4,"Medium (21-40%)","High (&gt;40%)"))))</f>
        <v/>
      </c>
      <c r="Y1703" s="23" t="str">
        <f aca="false">IF(AND(ISNUMBER(C1703),ISNUMBER(D1703)),D1703-C1703,"")</f>
        <v/>
      </c>
      <c r="Z1703" s="23" t="str">
        <f aca="false">IF(B1703="","",IF(MATCH(B1703,$B$2:$B$12000,0)=ROW()-1,1,0))</f>
        <v/>
      </c>
    </row>
    <row r="1704" customFormat="false" ht="15" hidden="false" customHeight="false" outlineLevel="0" collapsed="false">
      <c r="V1704" s="23" t="str">
        <f aca="false">IF(ISNUMBER(C1704),YEAR(C1704),"")</f>
        <v/>
      </c>
      <c r="W1704" s="23" t="str">
        <f aca="false">IF(ISNUMBER(C1704),MONTH(C1704),"")</f>
        <v/>
      </c>
      <c r="X1704" s="23" t="str">
        <f aca="false">IF(T1704="","",IF(T1704=0,"No discount",IF(T1704&lt;=0.2,"Low (1-20%)",IF(T1704&lt;=0.4,"Medium (21-40%)","High (&gt;40%)"))))</f>
        <v/>
      </c>
      <c r="Y1704" s="23" t="str">
        <f aca="false">IF(AND(ISNUMBER(C1704),ISNUMBER(D1704)),D1704-C1704,"")</f>
        <v/>
      </c>
      <c r="Z1704" s="23" t="str">
        <f aca="false">IF(B1704="","",IF(MATCH(B1704,$B$2:$B$12000,0)=ROW()-1,1,0))</f>
        <v/>
      </c>
    </row>
    <row r="1705" customFormat="false" ht="15" hidden="false" customHeight="false" outlineLevel="0" collapsed="false">
      <c r="V1705" s="23" t="str">
        <f aca="false">IF(ISNUMBER(C1705),YEAR(C1705),"")</f>
        <v/>
      </c>
      <c r="W1705" s="23" t="str">
        <f aca="false">IF(ISNUMBER(C1705),MONTH(C1705),"")</f>
        <v/>
      </c>
      <c r="X1705" s="23" t="str">
        <f aca="false">IF(T1705="","",IF(T1705=0,"No discount",IF(T1705&lt;=0.2,"Low (1-20%)",IF(T1705&lt;=0.4,"Medium (21-40%)","High (&gt;40%)"))))</f>
        <v/>
      </c>
      <c r="Y1705" s="23" t="str">
        <f aca="false">IF(AND(ISNUMBER(C1705),ISNUMBER(D1705)),D1705-C1705,"")</f>
        <v/>
      </c>
      <c r="Z1705" s="23" t="str">
        <f aca="false">IF(B1705="","",IF(MATCH(B1705,$B$2:$B$12000,0)=ROW()-1,1,0))</f>
        <v/>
      </c>
    </row>
    <row r="1706" customFormat="false" ht="15" hidden="false" customHeight="false" outlineLevel="0" collapsed="false">
      <c r="V1706" s="23" t="str">
        <f aca="false">IF(ISNUMBER(C1706),YEAR(C1706),"")</f>
        <v/>
      </c>
      <c r="W1706" s="23" t="str">
        <f aca="false">IF(ISNUMBER(C1706),MONTH(C1706),"")</f>
        <v/>
      </c>
      <c r="X1706" s="23" t="str">
        <f aca="false">IF(T1706="","",IF(T1706=0,"No discount",IF(T1706&lt;=0.2,"Low (1-20%)",IF(T1706&lt;=0.4,"Medium (21-40%)","High (&gt;40%)"))))</f>
        <v/>
      </c>
      <c r="Y1706" s="23" t="str">
        <f aca="false">IF(AND(ISNUMBER(C1706),ISNUMBER(D1706)),D1706-C1706,"")</f>
        <v/>
      </c>
      <c r="Z1706" s="23" t="str">
        <f aca="false">IF(B1706="","",IF(MATCH(B1706,$B$2:$B$12000,0)=ROW()-1,1,0))</f>
        <v/>
      </c>
    </row>
    <row r="1707" customFormat="false" ht="15" hidden="false" customHeight="false" outlineLevel="0" collapsed="false">
      <c r="V1707" s="23" t="str">
        <f aca="false">IF(ISNUMBER(C1707),YEAR(C1707),"")</f>
        <v/>
      </c>
      <c r="W1707" s="23" t="str">
        <f aca="false">IF(ISNUMBER(C1707),MONTH(C1707),"")</f>
        <v/>
      </c>
      <c r="X1707" s="23" t="str">
        <f aca="false">IF(T1707="","",IF(T1707=0,"No discount",IF(T1707&lt;=0.2,"Low (1-20%)",IF(T1707&lt;=0.4,"Medium (21-40%)","High (&gt;40%)"))))</f>
        <v/>
      </c>
      <c r="Y1707" s="23" t="str">
        <f aca="false">IF(AND(ISNUMBER(C1707),ISNUMBER(D1707)),D1707-C1707,"")</f>
        <v/>
      </c>
      <c r="Z1707" s="23" t="str">
        <f aca="false">IF(B1707="","",IF(MATCH(B1707,$B$2:$B$12000,0)=ROW()-1,1,0))</f>
        <v/>
      </c>
    </row>
    <row r="1708" customFormat="false" ht="15" hidden="false" customHeight="false" outlineLevel="0" collapsed="false">
      <c r="V1708" s="23" t="str">
        <f aca="false">IF(ISNUMBER(C1708),YEAR(C1708),"")</f>
        <v/>
      </c>
      <c r="W1708" s="23" t="str">
        <f aca="false">IF(ISNUMBER(C1708),MONTH(C1708),"")</f>
        <v/>
      </c>
      <c r="X1708" s="23" t="str">
        <f aca="false">IF(T1708="","",IF(T1708=0,"No discount",IF(T1708&lt;=0.2,"Low (1-20%)",IF(T1708&lt;=0.4,"Medium (21-40%)","High (&gt;40%)"))))</f>
        <v/>
      </c>
      <c r="Y1708" s="23" t="str">
        <f aca="false">IF(AND(ISNUMBER(C1708),ISNUMBER(D1708)),D1708-C1708,"")</f>
        <v/>
      </c>
      <c r="Z1708" s="23" t="str">
        <f aca="false">IF(B1708="","",IF(MATCH(B1708,$B$2:$B$12000,0)=ROW()-1,1,0))</f>
        <v/>
      </c>
    </row>
    <row r="1709" customFormat="false" ht="15" hidden="false" customHeight="false" outlineLevel="0" collapsed="false">
      <c r="V1709" s="23" t="str">
        <f aca="false">IF(ISNUMBER(C1709),YEAR(C1709),"")</f>
        <v/>
      </c>
      <c r="W1709" s="23" t="str">
        <f aca="false">IF(ISNUMBER(C1709),MONTH(C1709),"")</f>
        <v/>
      </c>
      <c r="X1709" s="23" t="str">
        <f aca="false">IF(T1709="","",IF(T1709=0,"No discount",IF(T1709&lt;=0.2,"Low (1-20%)",IF(T1709&lt;=0.4,"Medium (21-40%)","High (&gt;40%)"))))</f>
        <v/>
      </c>
      <c r="Y1709" s="23" t="str">
        <f aca="false">IF(AND(ISNUMBER(C1709),ISNUMBER(D1709)),D1709-C1709,"")</f>
        <v/>
      </c>
      <c r="Z1709" s="23" t="str">
        <f aca="false">IF(B1709="","",IF(MATCH(B1709,$B$2:$B$12000,0)=ROW()-1,1,0))</f>
        <v/>
      </c>
    </row>
    <row r="1710" customFormat="false" ht="15" hidden="false" customHeight="false" outlineLevel="0" collapsed="false">
      <c r="V1710" s="23" t="str">
        <f aca="false">IF(ISNUMBER(C1710),YEAR(C1710),"")</f>
        <v/>
      </c>
      <c r="W1710" s="23" t="str">
        <f aca="false">IF(ISNUMBER(C1710),MONTH(C1710),"")</f>
        <v/>
      </c>
      <c r="X1710" s="23" t="str">
        <f aca="false">IF(T1710="","",IF(T1710=0,"No discount",IF(T1710&lt;=0.2,"Low (1-20%)",IF(T1710&lt;=0.4,"Medium (21-40%)","High (&gt;40%)"))))</f>
        <v/>
      </c>
      <c r="Y1710" s="23" t="str">
        <f aca="false">IF(AND(ISNUMBER(C1710),ISNUMBER(D1710)),D1710-C1710,"")</f>
        <v/>
      </c>
      <c r="Z1710" s="23" t="str">
        <f aca="false">IF(B1710="","",IF(MATCH(B1710,$B$2:$B$12000,0)=ROW()-1,1,0))</f>
        <v/>
      </c>
    </row>
    <row r="1711" customFormat="false" ht="15" hidden="false" customHeight="false" outlineLevel="0" collapsed="false">
      <c r="V1711" s="23" t="str">
        <f aca="false">IF(ISNUMBER(C1711),YEAR(C1711),"")</f>
        <v/>
      </c>
      <c r="W1711" s="23" t="str">
        <f aca="false">IF(ISNUMBER(C1711),MONTH(C1711),"")</f>
        <v/>
      </c>
      <c r="X1711" s="23" t="str">
        <f aca="false">IF(T1711="","",IF(T1711=0,"No discount",IF(T1711&lt;=0.2,"Low (1-20%)",IF(T1711&lt;=0.4,"Medium (21-40%)","High (&gt;40%)"))))</f>
        <v/>
      </c>
      <c r="Y1711" s="23" t="str">
        <f aca="false">IF(AND(ISNUMBER(C1711),ISNUMBER(D1711)),D1711-C1711,"")</f>
        <v/>
      </c>
      <c r="Z1711" s="23" t="str">
        <f aca="false">IF(B1711="","",IF(MATCH(B1711,$B$2:$B$12000,0)=ROW()-1,1,0))</f>
        <v/>
      </c>
    </row>
    <row r="1712" customFormat="false" ht="15" hidden="false" customHeight="false" outlineLevel="0" collapsed="false">
      <c r="V1712" s="23" t="str">
        <f aca="false">IF(ISNUMBER(C1712),YEAR(C1712),"")</f>
        <v/>
      </c>
      <c r="W1712" s="23" t="str">
        <f aca="false">IF(ISNUMBER(C1712),MONTH(C1712),"")</f>
        <v/>
      </c>
      <c r="X1712" s="23" t="str">
        <f aca="false">IF(T1712="","",IF(T1712=0,"No discount",IF(T1712&lt;=0.2,"Low (1-20%)",IF(T1712&lt;=0.4,"Medium (21-40%)","High (&gt;40%)"))))</f>
        <v/>
      </c>
      <c r="Y1712" s="23" t="str">
        <f aca="false">IF(AND(ISNUMBER(C1712),ISNUMBER(D1712)),D1712-C1712,"")</f>
        <v/>
      </c>
      <c r="Z1712" s="23" t="str">
        <f aca="false">IF(B1712="","",IF(MATCH(B1712,$B$2:$B$12000,0)=ROW()-1,1,0))</f>
        <v/>
      </c>
    </row>
    <row r="1713" customFormat="false" ht="15" hidden="false" customHeight="false" outlineLevel="0" collapsed="false">
      <c r="V1713" s="23" t="str">
        <f aca="false">IF(ISNUMBER(C1713),YEAR(C1713),"")</f>
        <v/>
      </c>
      <c r="W1713" s="23" t="str">
        <f aca="false">IF(ISNUMBER(C1713),MONTH(C1713),"")</f>
        <v/>
      </c>
      <c r="X1713" s="23" t="str">
        <f aca="false">IF(T1713="","",IF(T1713=0,"No discount",IF(T1713&lt;=0.2,"Low (1-20%)",IF(T1713&lt;=0.4,"Medium (21-40%)","High (&gt;40%)"))))</f>
        <v/>
      </c>
      <c r="Y1713" s="23" t="str">
        <f aca="false">IF(AND(ISNUMBER(C1713),ISNUMBER(D1713)),D1713-C1713,"")</f>
        <v/>
      </c>
      <c r="Z1713" s="23" t="str">
        <f aca="false">IF(B1713="","",IF(MATCH(B1713,$B$2:$B$12000,0)=ROW()-1,1,0))</f>
        <v/>
      </c>
    </row>
    <row r="1714" customFormat="false" ht="15" hidden="false" customHeight="false" outlineLevel="0" collapsed="false">
      <c r="V1714" s="23" t="str">
        <f aca="false">IF(ISNUMBER(C1714),YEAR(C1714),"")</f>
        <v/>
      </c>
      <c r="W1714" s="23" t="str">
        <f aca="false">IF(ISNUMBER(C1714),MONTH(C1714),"")</f>
        <v/>
      </c>
      <c r="X1714" s="23" t="str">
        <f aca="false">IF(T1714="","",IF(T1714=0,"No discount",IF(T1714&lt;=0.2,"Low (1-20%)",IF(T1714&lt;=0.4,"Medium (21-40%)","High (&gt;40%)"))))</f>
        <v/>
      </c>
      <c r="Y1714" s="23" t="str">
        <f aca="false">IF(AND(ISNUMBER(C1714),ISNUMBER(D1714)),D1714-C1714,"")</f>
        <v/>
      </c>
      <c r="Z1714" s="23" t="str">
        <f aca="false">IF(B1714="","",IF(MATCH(B1714,$B$2:$B$12000,0)=ROW()-1,1,0))</f>
        <v/>
      </c>
    </row>
    <row r="1715" customFormat="false" ht="15" hidden="false" customHeight="false" outlineLevel="0" collapsed="false">
      <c r="V1715" s="23" t="str">
        <f aca="false">IF(ISNUMBER(C1715),YEAR(C1715),"")</f>
        <v/>
      </c>
      <c r="W1715" s="23" t="str">
        <f aca="false">IF(ISNUMBER(C1715),MONTH(C1715),"")</f>
        <v/>
      </c>
      <c r="X1715" s="23" t="str">
        <f aca="false">IF(T1715="","",IF(T1715=0,"No discount",IF(T1715&lt;=0.2,"Low (1-20%)",IF(T1715&lt;=0.4,"Medium (21-40%)","High (&gt;40%)"))))</f>
        <v/>
      </c>
      <c r="Y1715" s="23" t="str">
        <f aca="false">IF(AND(ISNUMBER(C1715),ISNUMBER(D1715)),D1715-C1715,"")</f>
        <v/>
      </c>
      <c r="Z1715" s="23" t="str">
        <f aca="false">IF(B1715="","",IF(MATCH(B1715,$B$2:$B$12000,0)=ROW()-1,1,0))</f>
        <v/>
      </c>
    </row>
    <row r="1716" customFormat="false" ht="15" hidden="false" customHeight="false" outlineLevel="0" collapsed="false">
      <c r="V1716" s="23" t="str">
        <f aca="false">IF(ISNUMBER(C1716),YEAR(C1716),"")</f>
        <v/>
      </c>
      <c r="W1716" s="23" t="str">
        <f aca="false">IF(ISNUMBER(C1716),MONTH(C1716),"")</f>
        <v/>
      </c>
      <c r="X1716" s="23" t="str">
        <f aca="false">IF(T1716="","",IF(T1716=0,"No discount",IF(T1716&lt;=0.2,"Low (1-20%)",IF(T1716&lt;=0.4,"Medium (21-40%)","High (&gt;40%)"))))</f>
        <v/>
      </c>
      <c r="Y1716" s="23" t="str">
        <f aca="false">IF(AND(ISNUMBER(C1716),ISNUMBER(D1716)),D1716-C1716,"")</f>
        <v/>
      </c>
      <c r="Z1716" s="23" t="str">
        <f aca="false">IF(B1716="","",IF(MATCH(B1716,$B$2:$B$12000,0)=ROW()-1,1,0))</f>
        <v/>
      </c>
    </row>
    <row r="1717" customFormat="false" ht="15" hidden="false" customHeight="false" outlineLevel="0" collapsed="false">
      <c r="V1717" s="23" t="str">
        <f aca="false">IF(ISNUMBER(C1717),YEAR(C1717),"")</f>
        <v/>
      </c>
      <c r="W1717" s="23" t="str">
        <f aca="false">IF(ISNUMBER(C1717),MONTH(C1717),"")</f>
        <v/>
      </c>
      <c r="X1717" s="23" t="str">
        <f aca="false">IF(T1717="","",IF(T1717=0,"No discount",IF(T1717&lt;=0.2,"Low (1-20%)",IF(T1717&lt;=0.4,"Medium (21-40%)","High (&gt;40%)"))))</f>
        <v/>
      </c>
      <c r="Y1717" s="23" t="str">
        <f aca="false">IF(AND(ISNUMBER(C1717),ISNUMBER(D1717)),D1717-C1717,"")</f>
        <v/>
      </c>
      <c r="Z1717" s="23" t="str">
        <f aca="false">IF(B1717="","",IF(MATCH(B1717,$B$2:$B$12000,0)=ROW()-1,1,0))</f>
        <v/>
      </c>
    </row>
    <row r="1718" customFormat="false" ht="15" hidden="false" customHeight="false" outlineLevel="0" collapsed="false">
      <c r="V1718" s="23" t="str">
        <f aca="false">IF(ISNUMBER(C1718),YEAR(C1718),"")</f>
        <v/>
      </c>
      <c r="W1718" s="23" t="str">
        <f aca="false">IF(ISNUMBER(C1718),MONTH(C1718),"")</f>
        <v/>
      </c>
      <c r="X1718" s="23" t="str">
        <f aca="false">IF(T1718="","",IF(T1718=0,"No discount",IF(T1718&lt;=0.2,"Low (1-20%)",IF(T1718&lt;=0.4,"Medium (21-40%)","High (&gt;40%)"))))</f>
        <v/>
      </c>
      <c r="Y1718" s="23" t="str">
        <f aca="false">IF(AND(ISNUMBER(C1718),ISNUMBER(D1718)),D1718-C1718,"")</f>
        <v/>
      </c>
      <c r="Z1718" s="23" t="str">
        <f aca="false">IF(B1718="","",IF(MATCH(B1718,$B$2:$B$12000,0)=ROW()-1,1,0))</f>
        <v/>
      </c>
    </row>
    <row r="1719" customFormat="false" ht="15" hidden="false" customHeight="false" outlineLevel="0" collapsed="false">
      <c r="V1719" s="23" t="str">
        <f aca="false">IF(ISNUMBER(C1719),YEAR(C1719),"")</f>
        <v/>
      </c>
      <c r="W1719" s="23" t="str">
        <f aca="false">IF(ISNUMBER(C1719),MONTH(C1719),"")</f>
        <v/>
      </c>
      <c r="X1719" s="23" t="str">
        <f aca="false">IF(T1719="","",IF(T1719=0,"No discount",IF(T1719&lt;=0.2,"Low (1-20%)",IF(T1719&lt;=0.4,"Medium (21-40%)","High (&gt;40%)"))))</f>
        <v/>
      </c>
      <c r="Y1719" s="23" t="str">
        <f aca="false">IF(AND(ISNUMBER(C1719),ISNUMBER(D1719)),D1719-C1719,"")</f>
        <v/>
      </c>
      <c r="Z1719" s="23" t="str">
        <f aca="false">IF(B1719="","",IF(MATCH(B1719,$B$2:$B$12000,0)=ROW()-1,1,0))</f>
        <v/>
      </c>
    </row>
    <row r="1720" customFormat="false" ht="15" hidden="false" customHeight="false" outlineLevel="0" collapsed="false">
      <c r="V1720" s="23" t="str">
        <f aca="false">IF(ISNUMBER(C1720),YEAR(C1720),"")</f>
        <v/>
      </c>
      <c r="W1720" s="23" t="str">
        <f aca="false">IF(ISNUMBER(C1720),MONTH(C1720),"")</f>
        <v/>
      </c>
      <c r="X1720" s="23" t="str">
        <f aca="false">IF(T1720="","",IF(T1720=0,"No discount",IF(T1720&lt;=0.2,"Low (1-20%)",IF(T1720&lt;=0.4,"Medium (21-40%)","High (&gt;40%)"))))</f>
        <v/>
      </c>
      <c r="Y1720" s="23" t="str">
        <f aca="false">IF(AND(ISNUMBER(C1720),ISNUMBER(D1720)),D1720-C1720,"")</f>
        <v/>
      </c>
      <c r="Z1720" s="23" t="str">
        <f aca="false">IF(B1720="","",IF(MATCH(B1720,$B$2:$B$12000,0)=ROW()-1,1,0))</f>
        <v/>
      </c>
    </row>
    <row r="1721" customFormat="false" ht="15" hidden="false" customHeight="false" outlineLevel="0" collapsed="false">
      <c r="V1721" s="23" t="str">
        <f aca="false">IF(ISNUMBER(C1721),YEAR(C1721),"")</f>
        <v/>
      </c>
      <c r="W1721" s="23" t="str">
        <f aca="false">IF(ISNUMBER(C1721),MONTH(C1721),"")</f>
        <v/>
      </c>
      <c r="X1721" s="23" t="str">
        <f aca="false">IF(T1721="","",IF(T1721=0,"No discount",IF(T1721&lt;=0.2,"Low (1-20%)",IF(T1721&lt;=0.4,"Medium (21-40%)","High (&gt;40%)"))))</f>
        <v/>
      </c>
      <c r="Y1721" s="23" t="str">
        <f aca="false">IF(AND(ISNUMBER(C1721),ISNUMBER(D1721)),D1721-C1721,"")</f>
        <v/>
      </c>
      <c r="Z1721" s="23" t="str">
        <f aca="false">IF(B1721="","",IF(MATCH(B1721,$B$2:$B$12000,0)=ROW()-1,1,0))</f>
        <v/>
      </c>
    </row>
    <row r="1722" customFormat="false" ht="15" hidden="false" customHeight="false" outlineLevel="0" collapsed="false">
      <c r="V1722" s="23" t="str">
        <f aca="false">IF(ISNUMBER(C1722),YEAR(C1722),"")</f>
        <v/>
      </c>
      <c r="W1722" s="23" t="str">
        <f aca="false">IF(ISNUMBER(C1722),MONTH(C1722),"")</f>
        <v/>
      </c>
      <c r="X1722" s="23" t="str">
        <f aca="false">IF(T1722="","",IF(T1722=0,"No discount",IF(T1722&lt;=0.2,"Low (1-20%)",IF(T1722&lt;=0.4,"Medium (21-40%)","High (&gt;40%)"))))</f>
        <v/>
      </c>
      <c r="Y1722" s="23" t="str">
        <f aca="false">IF(AND(ISNUMBER(C1722),ISNUMBER(D1722)),D1722-C1722,"")</f>
        <v/>
      </c>
      <c r="Z1722" s="23" t="str">
        <f aca="false">IF(B1722="","",IF(MATCH(B1722,$B$2:$B$12000,0)=ROW()-1,1,0))</f>
        <v/>
      </c>
    </row>
    <row r="1723" customFormat="false" ht="15" hidden="false" customHeight="false" outlineLevel="0" collapsed="false">
      <c r="V1723" s="23" t="str">
        <f aca="false">IF(ISNUMBER(C1723),YEAR(C1723),"")</f>
        <v/>
      </c>
      <c r="W1723" s="23" t="str">
        <f aca="false">IF(ISNUMBER(C1723),MONTH(C1723),"")</f>
        <v/>
      </c>
      <c r="X1723" s="23" t="str">
        <f aca="false">IF(T1723="","",IF(T1723=0,"No discount",IF(T1723&lt;=0.2,"Low (1-20%)",IF(T1723&lt;=0.4,"Medium (21-40%)","High (&gt;40%)"))))</f>
        <v/>
      </c>
      <c r="Y1723" s="23" t="str">
        <f aca="false">IF(AND(ISNUMBER(C1723),ISNUMBER(D1723)),D1723-C1723,"")</f>
        <v/>
      </c>
      <c r="Z1723" s="23" t="str">
        <f aca="false">IF(B1723="","",IF(MATCH(B1723,$B$2:$B$12000,0)=ROW()-1,1,0))</f>
        <v/>
      </c>
    </row>
    <row r="1724" customFormat="false" ht="15" hidden="false" customHeight="false" outlineLevel="0" collapsed="false">
      <c r="V1724" s="23" t="str">
        <f aca="false">IF(ISNUMBER(C1724),YEAR(C1724),"")</f>
        <v/>
      </c>
      <c r="W1724" s="23" t="str">
        <f aca="false">IF(ISNUMBER(C1724),MONTH(C1724),"")</f>
        <v/>
      </c>
      <c r="X1724" s="23" t="str">
        <f aca="false">IF(T1724="","",IF(T1724=0,"No discount",IF(T1724&lt;=0.2,"Low (1-20%)",IF(T1724&lt;=0.4,"Medium (21-40%)","High (&gt;40%)"))))</f>
        <v/>
      </c>
      <c r="Y1724" s="23" t="str">
        <f aca="false">IF(AND(ISNUMBER(C1724),ISNUMBER(D1724)),D1724-C1724,"")</f>
        <v/>
      </c>
      <c r="Z1724" s="23" t="str">
        <f aca="false">IF(B1724="","",IF(MATCH(B1724,$B$2:$B$12000,0)=ROW()-1,1,0))</f>
        <v/>
      </c>
    </row>
    <row r="1725" customFormat="false" ht="15" hidden="false" customHeight="false" outlineLevel="0" collapsed="false">
      <c r="V1725" s="23" t="str">
        <f aca="false">IF(ISNUMBER(C1725),YEAR(C1725),"")</f>
        <v/>
      </c>
      <c r="W1725" s="23" t="str">
        <f aca="false">IF(ISNUMBER(C1725),MONTH(C1725),"")</f>
        <v/>
      </c>
      <c r="X1725" s="23" t="str">
        <f aca="false">IF(T1725="","",IF(T1725=0,"No discount",IF(T1725&lt;=0.2,"Low (1-20%)",IF(T1725&lt;=0.4,"Medium (21-40%)","High (&gt;40%)"))))</f>
        <v/>
      </c>
      <c r="Y1725" s="23" t="str">
        <f aca="false">IF(AND(ISNUMBER(C1725),ISNUMBER(D1725)),D1725-C1725,"")</f>
        <v/>
      </c>
      <c r="Z1725" s="23" t="str">
        <f aca="false">IF(B1725="","",IF(MATCH(B1725,$B$2:$B$12000,0)=ROW()-1,1,0))</f>
        <v/>
      </c>
    </row>
    <row r="1726" customFormat="false" ht="15" hidden="false" customHeight="false" outlineLevel="0" collapsed="false">
      <c r="V1726" s="23" t="str">
        <f aca="false">IF(ISNUMBER(C1726),YEAR(C1726),"")</f>
        <v/>
      </c>
      <c r="W1726" s="23" t="str">
        <f aca="false">IF(ISNUMBER(C1726),MONTH(C1726),"")</f>
        <v/>
      </c>
      <c r="X1726" s="23" t="str">
        <f aca="false">IF(T1726="","",IF(T1726=0,"No discount",IF(T1726&lt;=0.2,"Low (1-20%)",IF(T1726&lt;=0.4,"Medium (21-40%)","High (&gt;40%)"))))</f>
        <v/>
      </c>
      <c r="Y1726" s="23" t="str">
        <f aca="false">IF(AND(ISNUMBER(C1726),ISNUMBER(D1726)),D1726-C1726,"")</f>
        <v/>
      </c>
      <c r="Z1726" s="23" t="str">
        <f aca="false">IF(B1726="","",IF(MATCH(B1726,$B$2:$B$12000,0)=ROW()-1,1,0))</f>
        <v/>
      </c>
    </row>
    <row r="1727" customFormat="false" ht="15" hidden="false" customHeight="false" outlineLevel="0" collapsed="false">
      <c r="V1727" s="23" t="str">
        <f aca="false">IF(ISNUMBER(C1727),YEAR(C1727),"")</f>
        <v/>
      </c>
      <c r="W1727" s="23" t="str">
        <f aca="false">IF(ISNUMBER(C1727),MONTH(C1727),"")</f>
        <v/>
      </c>
      <c r="X1727" s="23" t="str">
        <f aca="false">IF(T1727="","",IF(T1727=0,"No discount",IF(T1727&lt;=0.2,"Low (1-20%)",IF(T1727&lt;=0.4,"Medium (21-40%)","High (&gt;40%)"))))</f>
        <v/>
      </c>
      <c r="Y1727" s="23" t="str">
        <f aca="false">IF(AND(ISNUMBER(C1727),ISNUMBER(D1727)),D1727-C1727,"")</f>
        <v/>
      </c>
      <c r="Z1727" s="23" t="str">
        <f aca="false">IF(B1727="","",IF(MATCH(B1727,$B$2:$B$12000,0)=ROW()-1,1,0))</f>
        <v/>
      </c>
    </row>
    <row r="1728" customFormat="false" ht="15" hidden="false" customHeight="false" outlineLevel="0" collapsed="false">
      <c r="V1728" s="23" t="str">
        <f aca="false">IF(ISNUMBER(C1728),YEAR(C1728),"")</f>
        <v/>
      </c>
      <c r="W1728" s="23" t="str">
        <f aca="false">IF(ISNUMBER(C1728),MONTH(C1728),"")</f>
        <v/>
      </c>
      <c r="X1728" s="23" t="str">
        <f aca="false">IF(T1728="","",IF(T1728=0,"No discount",IF(T1728&lt;=0.2,"Low (1-20%)",IF(T1728&lt;=0.4,"Medium (21-40%)","High (&gt;40%)"))))</f>
        <v/>
      </c>
      <c r="Y1728" s="23" t="str">
        <f aca="false">IF(AND(ISNUMBER(C1728),ISNUMBER(D1728)),D1728-C1728,"")</f>
        <v/>
      </c>
      <c r="Z1728" s="23" t="str">
        <f aca="false">IF(B1728="","",IF(MATCH(B1728,$B$2:$B$12000,0)=ROW()-1,1,0))</f>
        <v/>
      </c>
    </row>
    <row r="1729" customFormat="false" ht="15" hidden="false" customHeight="false" outlineLevel="0" collapsed="false">
      <c r="V1729" s="23" t="str">
        <f aca="false">IF(ISNUMBER(C1729),YEAR(C1729),"")</f>
        <v/>
      </c>
      <c r="W1729" s="23" t="str">
        <f aca="false">IF(ISNUMBER(C1729),MONTH(C1729),"")</f>
        <v/>
      </c>
      <c r="X1729" s="23" t="str">
        <f aca="false">IF(T1729="","",IF(T1729=0,"No discount",IF(T1729&lt;=0.2,"Low (1-20%)",IF(T1729&lt;=0.4,"Medium (21-40%)","High (&gt;40%)"))))</f>
        <v/>
      </c>
      <c r="Y1729" s="23" t="str">
        <f aca="false">IF(AND(ISNUMBER(C1729),ISNUMBER(D1729)),D1729-C1729,"")</f>
        <v/>
      </c>
      <c r="Z1729" s="23" t="str">
        <f aca="false">IF(B1729="","",IF(MATCH(B1729,$B$2:$B$12000,0)=ROW()-1,1,0))</f>
        <v/>
      </c>
    </row>
    <row r="1730" customFormat="false" ht="15" hidden="false" customHeight="false" outlineLevel="0" collapsed="false">
      <c r="V1730" s="23" t="str">
        <f aca="false">IF(ISNUMBER(C1730),YEAR(C1730),"")</f>
        <v/>
      </c>
      <c r="W1730" s="23" t="str">
        <f aca="false">IF(ISNUMBER(C1730),MONTH(C1730),"")</f>
        <v/>
      </c>
      <c r="X1730" s="23" t="str">
        <f aca="false">IF(T1730="","",IF(T1730=0,"No discount",IF(T1730&lt;=0.2,"Low (1-20%)",IF(T1730&lt;=0.4,"Medium (21-40%)","High (&gt;40%)"))))</f>
        <v/>
      </c>
      <c r="Y1730" s="23" t="str">
        <f aca="false">IF(AND(ISNUMBER(C1730),ISNUMBER(D1730)),D1730-C1730,"")</f>
        <v/>
      </c>
      <c r="Z1730" s="23" t="str">
        <f aca="false">IF(B1730="","",IF(MATCH(B1730,$B$2:$B$12000,0)=ROW()-1,1,0))</f>
        <v/>
      </c>
    </row>
    <row r="1731" customFormat="false" ht="15" hidden="false" customHeight="false" outlineLevel="0" collapsed="false">
      <c r="V1731" s="23" t="str">
        <f aca="false">IF(ISNUMBER(C1731),YEAR(C1731),"")</f>
        <v/>
      </c>
      <c r="W1731" s="23" t="str">
        <f aca="false">IF(ISNUMBER(C1731),MONTH(C1731),"")</f>
        <v/>
      </c>
      <c r="X1731" s="23" t="str">
        <f aca="false">IF(T1731="","",IF(T1731=0,"No discount",IF(T1731&lt;=0.2,"Low (1-20%)",IF(T1731&lt;=0.4,"Medium (21-40%)","High (&gt;40%)"))))</f>
        <v/>
      </c>
      <c r="Y1731" s="23" t="str">
        <f aca="false">IF(AND(ISNUMBER(C1731),ISNUMBER(D1731)),D1731-C1731,"")</f>
        <v/>
      </c>
      <c r="Z1731" s="23" t="str">
        <f aca="false">IF(B1731="","",IF(MATCH(B1731,$B$2:$B$12000,0)=ROW()-1,1,0))</f>
        <v/>
      </c>
    </row>
    <row r="1732" customFormat="false" ht="15" hidden="false" customHeight="false" outlineLevel="0" collapsed="false">
      <c r="V1732" s="23" t="str">
        <f aca="false">IF(ISNUMBER(C1732),YEAR(C1732),"")</f>
        <v/>
      </c>
      <c r="W1732" s="23" t="str">
        <f aca="false">IF(ISNUMBER(C1732),MONTH(C1732),"")</f>
        <v/>
      </c>
      <c r="X1732" s="23" t="str">
        <f aca="false">IF(T1732="","",IF(T1732=0,"No discount",IF(T1732&lt;=0.2,"Low (1-20%)",IF(T1732&lt;=0.4,"Medium (21-40%)","High (&gt;40%)"))))</f>
        <v/>
      </c>
      <c r="Y1732" s="23" t="str">
        <f aca="false">IF(AND(ISNUMBER(C1732),ISNUMBER(D1732)),D1732-C1732,"")</f>
        <v/>
      </c>
      <c r="Z1732" s="23" t="str">
        <f aca="false">IF(B1732="","",IF(MATCH(B1732,$B$2:$B$12000,0)=ROW()-1,1,0))</f>
        <v/>
      </c>
    </row>
    <row r="1733" customFormat="false" ht="15" hidden="false" customHeight="false" outlineLevel="0" collapsed="false">
      <c r="V1733" s="23" t="str">
        <f aca="false">IF(ISNUMBER(C1733),YEAR(C1733),"")</f>
        <v/>
      </c>
      <c r="W1733" s="23" t="str">
        <f aca="false">IF(ISNUMBER(C1733),MONTH(C1733),"")</f>
        <v/>
      </c>
      <c r="X1733" s="23" t="str">
        <f aca="false">IF(T1733="","",IF(T1733=0,"No discount",IF(T1733&lt;=0.2,"Low (1-20%)",IF(T1733&lt;=0.4,"Medium (21-40%)","High (&gt;40%)"))))</f>
        <v/>
      </c>
      <c r="Y1733" s="23" t="str">
        <f aca="false">IF(AND(ISNUMBER(C1733),ISNUMBER(D1733)),D1733-C1733,"")</f>
        <v/>
      </c>
      <c r="Z1733" s="23" t="str">
        <f aca="false">IF(B1733="","",IF(MATCH(B1733,$B$2:$B$12000,0)=ROW()-1,1,0))</f>
        <v/>
      </c>
    </row>
    <row r="1734" customFormat="false" ht="15" hidden="false" customHeight="false" outlineLevel="0" collapsed="false">
      <c r="V1734" s="23" t="str">
        <f aca="false">IF(ISNUMBER(C1734),YEAR(C1734),"")</f>
        <v/>
      </c>
      <c r="W1734" s="23" t="str">
        <f aca="false">IF(ISNUMBER(C1734),MONTH(C1734),"")</f>
        <v/>
      </c>
      <c r="X1734" s="23" t="str">
        <f aca="false">IF(T1734="","",IF(T1734=0,"No discount",IF(T1734&lt;=0.2,"Low (1-20%)",IF(T1734&lt;=0.4,"Medium (21-40%)","High (&gt;40%)"))))</f>
        <v/>
      </c>
      <c r="Y1734" s="23" t="str">
        <f aca="false">IF(AND(ISNUMBER(C1734),ISNUMBER(D1734)),D1734-C1734,"")</f>
        <v/>
      </c>
      <c r="Z1734" s="23" t="str">
        <f aca="false">IF(B1734="","",IF(MATCH(B1734,$B$2:$B$12000,0)=ROW()-1,1,0))</f>
        <v/>
      </c>
    </row>
    <row r="1735" customFormat="false" ht="15" hidden="false" customHeight="false" outlineLevel="0" collapsed="false">
      <c r="V1735" s="23" t="str">
        <f aca="false">IF(ISNUMBER(C1735),YEAR(C1735),"")</f>
        <v/>
      </c>
      <c r="W1735" s="23" t="str">
        <f aca="false">IF(ISNUMBER(C1735),MONTH(C1735),"")</f>
        <v/>
      </c>
      <c r="X1735" s="23" t="str">
        <f aca="false">IF(T1735="","",IF(T1735=0,"No discount",IF(T1735&lt;=0.2,"Low (1-20%)",IF(T1735&lt;=0.4,"Medium (21-40%)","High (&gt;40%)"))))</f>
        <v/>
      </c>
      <c r="Y1735" s="23" t="str">
        <f aca="false">IF(AND(ISNUMBER(C1735),ISNUMBER(D1735)),D1735-C1735,"")</f>
        <v/>
      </c>
      <c r="Z1735" s="23" t="str">
        <f aca="false">IF(B1735="","",IF(MATCH(B1735,$B$2:$B$12000,0)=ROW()-1,1,0))</f>
        <v/>
      </c>
    </row>
    <row r="1736" customFormat="false" ht="15" hidden="false" customHeight="false" outlineLevel="0" collapsed="false">
      <c r="V1736" s="23" t="str">
        <f aca="false">IF(ISNUMBER(C1736),YEAR(C1736),"")</f>
        <v/>
      </c>
      <c r="W1736" s="23" t="str">
        <f aca="false">IF(ISNUMBER(C1736),MONTH(C1736),"")</f>
        <v/>
      </c>
      <c r="X1736" s="23" t="str">
        <f aca="false">IF(T1736="","",IF(T1736=0,"No discount",IF(T1736&lt;=0.2,"Low (1-20%)",IF(T1736&lt;=0.4,"Medium (21-40%)","High (&gt;40%)"))))</f>
        <v/>
      </c>
      <c r="Y1736" s="23" t="str">
        <f aca="false">IF(AND(ISNUMBER(C1736),ISNUMBER(D1736)),D1736-C1736,"")</f>
        <v/>
      </c>
      <c r="Z1736" s="23" t="str">
        <f aca="false">IF(B1736="","",IF(MATCH(B1736,$B$2:$B$12000,0)=ROW()-1,1,0))</f>
        <v/>
      </c>
    </row>
    <row r="1737" customFormat="false" ht="15" hidden="false" customHeight="false" outlineLevel="0" collapsed="false">
      <c r="V1737" s="23" t="str">
        <f aca="false">IF(ISNUMBER(C1737),YEAR(C1737),"")</f>
        <v/>
      </c>
      <c r="W1737" s="23" t="str">
        <f aca="false">IF(ISNUMBER(C1737),MONTH(C1737),"")</f>
        <v/>
      </c>
      <c r="X1737" s="23" t="str">
        <f aca="false">IF(T1737="","",IF(T1737=0,"No discount",IF(T1737&lt;=0.2,"Low (1-20%)",IF(T1737&lt;=0.4,"Medium (21-40%)","High (&gt;40%)"))))</f>
        <v/>
      </c>
      <c r="Y1737" s="23" t="str">
        <f aca="false">IF(AND(ISNUMBER(C1737),ISNUMBER(D1737)),D1737-C1737,"")</f>
        <v/>
      </c>
      <c r="Z1737" s="23" t="str">
        <f aca="false">IF(B1737="","",IF(MATCH(B1737,$B$2:$B$12000,0)=ROW()-1,1,0))</f>
        <v/>
      </c>
    </row>
    <row r="1738" customFormat="false" ht="15" hidden="false" customHeight="false" outlineLevel="0" collapsed="false">
      <c r="V1738" s="23" t="str">
        <f aca="false">IF(ISNUMBER(C1738),YEAR(C1738),"")</f>
        <v/>
      </c>
      <c r="W1738" s="23" t="str">
        <f aca="false">IF(ISNUMBER(C1738),MONTH(C1738),"")</f>
        <v/>
      </c>
      <c r="X1738" s="23" t="str">
        <f aca="false">IF(T1738="","",IF(T1738=0,"No discount",IF(T1738&lt;=0.2,"Low (1-20%)",IF(T1738&lt;=0.4,"Medium (21-40%)","High (&gt;40%)"))))</f>
        <v/>
      </c>
      <c r="Y1738" s="23" t="str">
        <f aca="false">IF(AND(ISNUMBER(C1738),ISNUMBER(D1738)),D1738-C1738,"")</f>
        <v/>
      </c>
      <c r="Z1738" s="23" t="str">
        <f aca="false">IF(B1738="","",IF(MATCH(B1738,$B$2:$B$12000,0)=ROW()-1,1,0))</f>
        <v/>
      </c>
    </row>
    <row r="1739" customFormat="false" ht="15" hidden="false" customHeight="false" outlineLevel="0" collapsed="false">
      <c r="V1739" s="23" t="str">
        <f aca="false">IF(ISNUMBER(C1739),YEAR(C1739),"")</f>
        <v/>
      </c>
      <c r="W1739" s="23" t="str">
        <f aca="false">IF(ISNUMBER(C1739),MONTH(C1739),"")</f>
        <v/>
      </c>
      <c r="X1739" s="23" t="str">
        <f aca="false">IF(T1739="","",IF(T1739=0,"No discount",IF(T1739&lt;=0.2,"Low (1-20%)",IF(T1739&lt;=0.4,"Medium (21-40%)","High (&gt;40%)"))))</f>
        <v/>
      </c>
      <c r="Y1739" s="23" t="str">
        <f aca="false">IF(AND(ISNUMBER(C1739),ISNUMBER(D1739)),D1739-C1739,"")</f>
        <v/>
      </c>
      <c r="Z1739" s="23" t="str">
        <f aca="false">IF(B1739="","",IF(MATCH(B1739,$B$2:$B$12000,0)=ROW()-1,1,0))</f>
        <v/>
      </c>
    </row>
    <row r="1740" customFormat="false" ht="15" hidden="false" customHeight="false" outlineLevel="0" collapsed="false">
      <c r="V1740" s="23" t="str">
        <f aca="false">IF(ISNUMBER(C1740),YEAR(C1740),"")</f>
        <v/>
      </c>
      <c r="W1740" s="23" t="str">
        <f aca="false">IF(ISNUMBER(C1740),MONTH(C1740),"")</f>
        <v/>
      </c>
      <c r="X1740" s="23" t="str">
        <f aca="false">IF(T1740="","",IF(T1740=0,"No discount",IF(T1740&lt;=0.2,"Low (1-20%)",IF(T1740&lt;=0.4,"Medium (21-40%)","High (&gt;40%)"))))</f>
        <v/>
      </c>
      <c r="Y1740" s="23" t="str">
        <f aca="false">IF(AND(ISNUMBER(C1740),ISNUMBER(D1740)),D1740-C1740,"")</f>
        <v/>
      </c>
      <c r="Z1740" s="23" t="str">
        <f aca="false">IF(B1740="","",IF(MATCH(B1740,$B$2:$B$12000,0)=ROW()-1,1,0))</f>
        <v/>
      </c>
    </row>
    <row r="1741" customFormat="false" ht="15" hidden="false" customHeight="false" outlineLevel="0" collapsed="false">
      <c r="V1741" s="23" t="str">
        <f aca="false">IF(ISNUMBER(C1741),YEAR(C1741),"")</f>
        <v/>
      </c>
      <c r="W1741" s="23" t="str">
        <f aca="false">IF(ISNUMBER(C1741),MONTH(C1741),"")</f>
        <v/>
      </c>
      <c r="X1741" s="23" t="str">
        <f aca="false">IF(T1741="","",IF(T1741=0,"No discount",IF(T1741&lt;=0.2,"Low (1-20%)",IF(T1741&lt;=0.4,"Medium (21-40%)","High (&gt;40%)"))))</f>
        <v/>
      </c>
      <c r="Y1741" s="23" t="str">
        <f aca="false">IF(AND(ISNUMBER(C1741),ISNUMBER(D1741)),D1741-C1741,"")</f>
        <v/>
      </c>
      <c r="Z1741" s="23" t="str">
        <f aca="false">IF(B1741="","",IF(MATCH(B1741,$B$2:$B$12000,0)=ROW()-1,1,0))</f>
        <v/>
      </c>
    </row>
    <row r="1742" customFormat="false" ht="15" hidden="false" customHeight="false" outlineLevel="0" collapsed="false">
      <c r="V1742" s="23" t="str">
        <f aca="false">IF(ISNUMBER(C1742),YEAR(C1742),"")</f>
        <v/>
      </c>
      <c r="W1742" s="23" t="str">
        <f aca="false">IF(ISNUMBER(C1742),MONTH(C1742),"")</f>
        <v/>
      </c>
      <c r="X1742" s="23" t="str">
        <f aca="false">IF(T1742="","",IF(T1742=0,"No discount",IF(T1742&lt;=0.2,"Low (1-20%)",IF(T1742&lt;=0.4,"Medium (21-40%)","High (&gt;40%)"))))</f>
        <v/>
      </c>
      <c r="Y1742" s="23" t="str">
        <f aca="false">IF(AND(ISNUMBER(C1742),ISNUMBER(D1742)),D1742-C1742,"")</f>
        <v/>
      </c>
      <c r="Z1742" s="23" t="str">
        <f aca="false">IF(B1742="","",IF(MATCH(B1742,$B$2:$B$12000,0)=ROW()-1,1,0))</f>
        <v/>
      </c>
    </row>
    <row r="1743" customFormat="false" ht="15" hidden="false" customHeight="false" outlineLevel="0" collapsed="false">
      <c r="V1743" s="23" t="str">
        <f aca="false">IF(ISNUMBER(C1743),YEAR(C1743),"")</f>
        <v/>
      </c>
      <c r="W1743" s="23" t="str">
        <f aca="false">IF(ISNUMBER(C1743),MONTH(C1743),"")</f>
        <v/>
      </c>
      <c r="X1743" s="23" t="str">
        <f aca="false">IF(T1743="","",IF(T1743=0,"No discount",IF(T1743&lt;=0.2,"Low (1-20%)",IF(T1743&lt;=0.4,"Medium (21-40%)","High (&gt;40%)"))))</f>
        <v/>
      </c>
      <c r="Y1743" s="23" t="str">
        <f aca="false">IF(AND(ISNUMBER(C1743),ISNUMBER(D1743)),D1743-C1743,"")</f>
        <v/>
      </c>
      <c r="Z1743" s="23" t="str">
        <f aca="false">IF(B1743="","",IF(MATCH(B1743,$B$2:$B$12000,0)=ROW()-1,1,0))</f>
        <v/>
      </c>
    </row>
    <row r="1744" customFormat="false" ht="15" hidden="false" customHeight="false" outlineLevel="0" collapsed="false">
      <c r="V1744" s="23" t="str">
        <f aca="false">IF(ISNUMBER(C1744),YEAR(C1744),"")</f>
        <v/>
      </c>
      <c r="W1744" s="23" t="str">
        <f aca="false">IF(ISNUMBER(C1744),MONTH(C1744),"")</f>
        <v/>
      </c>
      <c r="X1744" s="23" t="str">
        <f aca="false">IF(T1744="","",IF(T1744=0,"No discount",IF(T1744&lt;=0.2,"Low (1-20%)",IF(T1744&lt;=0.4,"Medium (21-40%)","High (&gt;40%)"))))</f>
        <v/>
      </c>
      <c r="Y1744" s="23" t="str">
        <f aca="false">IF(AND(ISNUMBER(C1744),ISNUMBER(D1744)),D1744-C1744,"")</f>
        <v/>
      </c>
      <c r="Z1744" s="23" t="str">
        <f aca="false">IF(B1744="","",IF(MATCH(B1744,$B$2:$B$12000,0)=ROW()-1,1,0))</f>
        <v/>
      </c>
    </row>
    <row r="1745" customFormat="false" ht="15" hidden="false" customHeight="false" outlineLevel="0" collapsed="false">
      <c r="V1745" s="23" t="str">
        <f aca="false">IF(ISNUMBER(C1745),YEAR(C1745),"")</f>
        <v/>
      </c>
      <c r="W1745" s="23" t="str">
        <f aca="false">IF(ISNUMBER(C1745),MONTH(C1745),"")</f>
        <v/>
      </c>
      <c r="X1745" s="23" t="str">
        <f aca="false">IF(T1745="","",IF(T1745=0,"No discount",IF(T1745&lt;=0.2,"Low (1-20%)",IF(T1745&lt;=0.4,"Medium (21-40%)","High (&gt;40%)"))))</f>
        <v/>
      </c>
      <c r="Y1745" s="23" t="str">
        <f aca="false">IF(AND(ISNUMBER(C1745),ISNUMBER(D1745)),D1745-C1745,"")</f>
        <v/>
      </c>
      <c r="Z1745" s="23" t="str">
        <f aca="false">IF(B1745="","",IF(MATCH(B1745,$B$2:$B$12000,0)=ROW()-1,1,0))</f>
        <v/>
      </c>
    </row>
    <row r="1746" customFormat="false" ht="15" hidden="false" customHeight="false" outlineLevel="0" collapsed="false">
      <c r="V1746" s="23" t="str">
        <f aca="false">IF(ISNUMBER(C1746),YEAR(C1746),"")</f>
        <v/>
      </c>
      <c r="W1746" s="23" t="str">
        <f aca="false">IF(ISNUMBER(C1746),MONTH(C1746),"")</f>
        <v/>
      </c>
      <c r="X1746" s="23" t="str">
        <f aca="false">IF(T1746="","",IF(T1746=0,"No discount",IF(T1746&lt;=0.2,"Low (1-20%)",IF(T1746&lt;=0.4,"Medium (21-40%)","High (&gt;40%)"))))</f>
        <v/>
      </c>
      <c r="Y1746" s="23" t="str">
        <f aca="false">IF(AND(ISNUMBER(C1746),ISNUMBER(D1746)),D1746-C1746,"")</f>
        <v/>
      </c>
      <c r="Z1746" s="23" t="str">
        <f aca="false">IF(B1746="","",IF(MATCH(B1746,$B$2:$B$12000,0)=ROW()-1,1,0))</f>
        <v/>
      </c>
    </row>
    <row r="1747" customFormat="false" ht="15" hidden="false" customHeight="false" outlineLevel="0" collapsed="false">
      <c r="V1747" s="23" t="str">
        <f aca="false">IF(ISNUMBER(C1747),YEAR(C1747),"")</f>
        <v/>
      </c>
      <c r="W1747" s="23" t="str">
        <f aca="false">IF(ISNUMBER(C1747),MONTH(C1747),"")</f>
        <v/>
      </c>
      <c r="X1747" s="23" t="str">
        <f aca="false">IF(T1747="","",IF(T1747=0,"No discount",IF(T1747&lt;=0.2,"Low (1-20%)",IF(T1747&lt;=0.4,"Medium (21-40%)","High (&gt;40%)"))))</f>
        <v/>
      </c>
      <c r="Y1747" s="23" t="str">
        <f aca="false">IF(AND(ISNUMBER(C1747),ISNUMBER(D1747)),D1747-C1747,"")</f>
        <v/>
      </c>
      <c r="Z1747" s="23" t="str">
        <f aca="false">IF(B1747="","",IF(MATCH(B1747,$B$2:$B$12000,0)=ROW()-1,1,0))</f>
        <v/>
      </c>
    </row>
    <row r="1748" customFormat="false" ht="15" hidden="false" customHeight="false" outlineLevel="0" collapsed="false">
      <c r="V1748" s="23" t="str">
        <f aca="false">IF(ISNUMBER(C1748),YEAR(C1748),"")</f>
        <v/>
      </c>
      <c r="W1748" s="23" t="str">
        <f aca="false">IF(ISNUMBER(C1748),MONTH(C1748),"")</f>
        <v/>
      </c>
      <c r="X1748" s="23" t="str">
        <f aca="false">IF(T1748="","",IF(T1748=0,"No discount",IF(T1748&lt;=0.2,"Low (1-20%)",IF(T1748&lt;=0.4,"Medium (21-40%)","High (&gt;40%)"))))</f>
        <v/>
      </c>
      <c r="Y1748" s="23" t="str">
        <f aca="false">IF(AND(ISNUMBER(C1748),ISNUMBER(D1748)),D1748-C1748,"")</f>
        <v/>
      </c>
      <c r="Z1748" s="23" t="str">
        <f aca="false">IF(B1748="","",IF(MATCH(B1748,$B$2:$B$12000,0)=ROW()-1,1,0))</f>
        <v/>
      </c>
    </row>
    <row r="1749" customFormat="false" ht="15" hidden="false" customHeight="false" outlineLevel="0" collapsed="false">
      <c r="V1749" s="23" t="str">
        <f aca="false">IF(ISNUMBER(C1749),YEAR(C1749),"")</f>
        <v/>
      </c>
      <c r="W1749" s="23" t="str">
        <f aca="false">IF(ISNUMBER(C1749),MONTH(C1749),"")</f>
        <v/>
      </c>
      <c r="X1749" s="23" t="str">
        <f aca="false">IF(T1749="","",IF(T1749=0,"No discount",IF(T1749&lt;=0.2,"Low (1-20%)",IF(T1749&lt;=0.4,"Medium (21-40%)","High (&gt;40%)"))))</f>
        <v/>
      </c>
      <c r="Y1749" s="23" t="str">
        <f aca="false">IF(AND(ISNUMBER(C1749),ISNUMBER(D1749)),D1749-C1749,"")</f>
        <v/>
      </c>
      <c r="Z1749" s="23" t="str">
        <f aca="false">IF(B1749="","",IF(MATCH(B1749,$B$2:$B$12000,0)=ROW()-1,1,0))</f>
        <v/>
      </c>
    </row>
    <row r="1750" customFormat="false" ht="15" hidden="false" customHeight="false" outlineLevel="0" collapsed="false">
      <c r="V1750" s="23" t="str">
        <f aca="false">IF(ISNUMBER(C1750),YEAR(C1750),"")</f>
        <v/>
      </c>
      <c r="W1750" s="23" t="str">
        <f aca="false">IF(ISNUMBER(C1750),MONTH(C1750),"")</f>
        <v/>
      </c>
      <c r="X1750" s="23" t="str">
        <f aca="false">IF(T1750="","",IF(T1750=0,"No discount",IF(T1750&lt;=0.2,"Low (1-20%)",IF(T1750&lt;=0.4,"Medium (21-40%)","High (&gt;40%)"))))</f>
        <v/>
      </c>
      <c r="Y1750" s="23" t="str">
        <f aca="false">IF(AND(ISNUMBER(C1750),ISNUMBER(D1750)),D1750-C1750,"")</f>
        <v/>
      </c>
      <c r="Z1750" s="23" t="str">
        <f aca="false">IF(B1750="","",IF(MATCH(B1750,$B$2:$B$12000,0)=ROW()-1,1,0))</f>
        <v/>
      </c>
    </row>
    <row r="1751" customFormat="false" ht="15" hidden="false" customHeight="false" outlineLevel="0" collapsed="false">
      <c r="V1751" s="23" t="str">
        <f aca="false">IF(ISNUMBER(C1751),YEAR(C1751),"")</f>
        <v/>
      </c>
      <c r="W1751" s="23" t="str">
        <f aca="false">IF(ISNUMBER(C1751),MONTH(C1751),"")</f>
        <v/>
      </c>
      <c r="X1751" s="23" t="str">
        <f aca="false">IF(T1751="","",IF(T1751=0,"No discount",IF(T1751&lt;=0.2,"Low (1-20%)",IF(T1751&lt;=0.4,"Medium (21-40%)","High (&gt;40%)"))))</f>
        <v/>
      </c>
      <c r="Y1751" s="23" t="str">
        <f aca="false">IF(AND(ISNUMBER(C1751),ISNUMBER(D1751)),D1751-C1751,"")</f>
        <v/>
      </c>
      <c r="Z1751" s="23" t="str">
        <f aca="false">IF(B1751="","",IF(MATCH(B1751,$B$2:$B$12000,0)=ROW()-1,1,0))</f>
        <v/>
      </c>
    </row>
    <row r="1752" customFormat="false" ht="15" hidden="false" customHeight="false" outlineLevel="0" collapsed="false">
      <c r="V1752" s="23" t="str">
        <f aca="false">IF(ISNUMBER(C1752),YEAR(C1752),"")</f>
        <v/>
      </c>
      <c r="W1752" s="23" t="str">
        <f aca="false">IF(ISNUMBER(C1752),MONTH(C1752),"")</f>
        <v/>
      </c>
      <c r="X1752" s="23" t="str">
        <f aca="false">IF(T1752="","",IF(T1752=0,"No discount",IF(T1752&lt;=0.2,"Low (1-20%)",IF(T1752&lt;=0.4,"Medium (21-40%)","High (&gt;40%)"))))</f>
        <v/>
      </c>
      <c r="Y1752" s="23" t="str">
        <f aca="false">IF(AND(ISNUMBER(C1752),ISNUMBER(D1752)),D1752-C1752,"")</f>
        <v/>
      </c>
      <c r="Z1752" s="23" t="str">
        <f aca="false">IF(B1752="","",IF(MATCH(B1752,$B$2:$B$12000,0)=ROW()-1,1,0))</f>
        <v/>
      </c>
    </row>
    <row r="1753" customFormat="false" ht="15" hidden="false" customHeight="false" outlineLevel="0" collapsed="false">
      <c r="V1753" s="23" t="str">
        <f aca="false">IF(ISNUMBER(C1753),YEAR(C1753),"")</f>
        <v/>
      </c>
      <c r="W1753" s="23" t="str">
        <f aca="false">IF(ISNUMBER(C1753),MONTH(C1753),"")</f>
        <v/>
      </c>
      <c r="X1753" s="23" t="str">
        <f aca="false">IF(T1753="","",IF(T1753=0,"No discount",IF(T1753&lt;=0.2,"Low (1-20%)",IF(T1753&lt;=0.4,"Medium (21-40%)","High (&gt;40%)"))))</f>
        <v/>
      </c>
      <c r="Y1753" s="23" t="str">
        <f aca="false">IF(AND(ISNUMBER(C1753),ISNUMBER(D1753)),D1753-C1753,"")</f>
        <v/>
      </c>
      <c r="Z1753" s="23" t="str">
        <f aca="false">IF(B1753="","",IF(MATCH(B1753,$B$2:$B$12000,0)=ROW()-1,1,0))</f>
        <v/>
      </c>
    </row>
    <row r="1754" customFormat="false" ht="15" hidden="false" customHeight="false" outlineLevel="0" collapsed="false">
      <c r="V1754" s="23" t="str">
        <f aca="false">IF(ISNUMBER(C1754),YEAR(C1754),"")</f>
        <v/>
      </c>
      <c r="W1754" s="23" t="str">
        <f aca="false">IF(ISNUMBER(C1754),MONTH(C1754),"")</f>
        <v/>
      </c>
      <c r="X1754" s="23" t="str">
        <f aca="false">IF(T1754="","",IF(T1754=0,"No discount",IF(T1754&lt;=0.2,"Low (1-20%)",IF(T1754&lt;=0.4,"Medium (21-40%)","High (&gt;40%)"))))</f>
        <v/>
      </c>
      <c r="Y1754" s="23" t="str">
        <f aca="false">IF(AND(ISNUMBER(C1754),ISNUMBER(D1754)),D1754-C1754,"")</f>
        <v/>
      </c>
      <c r="Z1754" s="23" t="str">
        <f aca="false">IF(B1754="","",IF(MATCH(B1754,$B$2:$B$12000,0)=ROW()-1,1,0))</f>
        <v/>
      </c>
    </row>
    <row r="1755" customFormat="false" ht="15" hidden="false" customHeight="false" outlineLevel="0" collapsed="false">
      <c r="V1755" s="23" t="str">
        <f aca="false">IF(ISNUMBER(C1755),YEAR(C1755),"")</f>
        <v/>
      </c>
      <c r="W1755" s="23" t="str">
        <f aca="false">IF(ISNUMBER(C1755),MONTH(C1755),"")</f>
        <v/>
      </c>
      <c r="X1755" s="23" t="str">
        <f aca="false">IF(T1755="","",IF(T1755=0,"No discount",IF(T1755&lt;=0.2,"Low (1-20%)",IF(T1755&lt;=0.4,"Medium (21-40%)","High (&gt;40%)"))))</f>
        <v/>
      </c>
      <c r="Y1755" s="23" t="str">
        <f aca="false">IF(AND(ISNUMBER(C1755),ISNUMBER(D1755)),D1755-C1755,"")</f>
        <v/>
      </c>
      <c r="Z1755" s="23" t="str">
        <f aca="false">IF(B1755="","",IF(MATCH(B1755,$B$2:$B$12000,0)=ROW()-1,1,0))</f>
        <v/>
      </c>
    </row>
    <row r="1756" customFormat="false" ht="15" hidden="false" customHeight="false" outlineLevel="0" collapsed="false">
      <c r="V1756" s="23" t="str">
        <f aca="false">IF(ISNUMBER(C1756),YEAR(C1756),"")</f>
        <v/>
      </c>
      <c r="W1756" s="23" t="str">
        <f aca="false">IF(ISNUMBER(C1756),MONTH(C1756),"")</f>
        <v/>
      </c>
      <c r="X1756" s="23" t="str">
        <f aca="false">IF(T1756="","",IF(T1756=0,"No discount",IF(T1756&lt;=0.2,"Low (1-20%)",IF(T1756&lt;=0.4,"Medium (21-40%)","High (&gt;40%)"))))</f>
        <v/>
      </c>
      <c r="Y1756" s="23" t="str">
        <f aca="false">IF(AND(ISNUMBER(C1756),ISNUMBER(D1756)),D1756-C1756,"")</f>
        <v/>
      </c>
      <c r="Z1756" s="23" t="str">
        <f aca="false">IF(B1756="","",IF(MATCH(B1756,$B$2:$B$12000,0)=ROW()-1,1,0))</f>
        <v/>
      </c>
    </row>
    <row r="1757" customFormat="false" ht="15" hidden="false" customHeight="false" outlineLevel="0" collapsed="false">
      <c r="V1757" s="23" t="str">
        <f aca="false">IF(ISNUMBER(C1757),YEAR(C1757),"")</f>
        <v/>
      </c>
      <c r="W1757" s="23" t="str">
        <f aca="false">IF(ISNUMBER(C1757),MONTH(C1757),"")</f>
        <v/>
      </c>
      <c r="X1757" s="23" t="str">
        <f aca="false">IF(T1757="","",IF(T1757=0,"No discount",IF(T1757&lt;=0.2,"Low (1-20%)",IF(T1757&lt;=0.4,"Medium (21-40%)","High (&gt;40%)"))))</f>
        <v/>
      </c>
      <c r="Y1757" s="23" t="str">
        <f aca="false">IF(AND(ISNUMBER(C1757),ISNUMBER(D1757)),D1757-C1757,"")</f>
        <v/>
      </c>
      <c r="Z1757" s="23" t="str">
        <f aca="false">IF(B1757="","",IF(MATCH(B1757,$B$2:$B$12000,0)=ROW()-1,1,0))</f>
        <v/>
      </c>
    </row>
    <row r="1758" customFormat="false" ht="15" hidden="false" customHeight="false" outlineLevel="0" collapsed="false">
      <c r="V1758" s="23" t="str">
        <f aca="false">IF(ISNUMBER(C1758),YEAR(C1758),"")</f>
        <v/>
      </c>
      <c r="W1758" s="23" t="str">
        <f aca="false">IF(ISNUMBER(C1758),MONTH(C1758),"")</f>
        <v/>
      </c>
      <c r="X1758" s="23" t="str">
        <f aca="false">IF(T1758="","",IF(T1758=0,"No discount",IF(T1758&lt;=0.2,"Low (1-20%)",IF(T1758&lt;=0.4,"Medium (21-40%)","High (&gt;40%)"))))</f>
        <v/>
      </c>
      <c r="Y1758" s="23" t="str">
        <f aca="false">IF(AND(ISNUMBER(C1758),ISNUMBER(D1758)),D1758-C1758,"")</f>
        <v/>
      </c>
      <c r="Z1758" s="23" t="str">
        <f aca="false">IF(B1758="","",IF(MATCH(B1758,$B$2:$B$12000,0)=ROW()-1,1,0))</f>
        <v/>
      </c>
    </row>
    <row r="1759" customFormat="false" ht="15" hidden="false" customHeight="false" outlineLevel="0" collapsed="false">
      <c r="V1759" s="23" t="str">
        <f aca="false">IF(ISNUMBER(C1759),YEAR(C1759),"")</f>
        <v/>
      </c>
      <c r="W1759" s="23" t="str">
        <f aca="false">IF(ISNUMBER(C1759),MONTH(C1759),"")</f>
        <v/>
      </c>
      <c r="X1759" s="23" t="str">
        <f aca="false">IF(T1759="","",IF(T1759=0,"No discount",IF(T1759&lt;=0.2,"Low (1-20%)",IF(T1759&lt;=0.4,"Medium (21-40%)","High (&gt;40%)"))))</f>
        <v/>
      </c>
      <c r="Y1759" s="23" t="str">
        <f aca="false">IF(AND(ISNUMBER(C1759),ISNUMBER(D1759)),D1759-C1759,"")</f>
        <v/>
      </c>
      <c r="Z1759" s="23" t="str">
        <f aca="false">IF(B1759="","",IF(MATCH(B1759,$B$2:$B$12000,0)=ROW()-1,1,0))</f>
        <v/>
      </c>
    </row>
    <row r="1760" customFormat="false" ht="15" hidden="false" customHeight="false" outlineLevel="0" collapsed="false">
      <c r="V1760" s="23" t="str">
        <f aca="false">IF(ISNUMBER(C1760),YEAR(C1760),"")</f>
        <v/>
      </c>
      <c r="W1760" s="23" t="str">
        <f aca="false">IF(ISNUMBER(C1760),MONTH(C1760),"")</f>
        <v/>
      </c>
      <c r="X1760" s="23" t="str">
        <f aca="false">IF(T1760="","",IF(T1760=0,"No discount",IF(T1760&lt;=0.2,"Low (1-20%)",IF(T1760&lt;=0.4,"Medium (21-40%)","High (&gt;40%)"))))</f>
        <v/>
      </c>
      <c r="Y1760" s="23" t="str">
        <f aca="false">IF(AND(ISNUMBER(C1760),ISNUMBER(D1760)),D1760-C1760,"")</f>
        <v/>
      </c>
      <c r="Z1760" s="23" t="str">
        <f aca="false">IF(B1760="","",IF(MATCH(B1760,$B$2:$B$12000,0)=ROW()-1,1,0))</f>
        <v/>
      </c>
    </row>
    <row r="1761" customFormat="false" ht="15" hidden="false" customHeight="false" outlineLevel="0" collapsed="false">
      <c r="V1761" s="23" t="str">
        <f aca="false">IF(ISNUMBER(C1761),YEAR(C1761),"")</f>
        <v/>
      </c>
      <c r="W1761" s="23" t="str">
        <f aca="false">IF(ISNUMBER(C1761),MONTH(C1761),"")</f>
        <v/>
      </c>
      <c r="X1761" s="23" t="str">
        <f aca="false">IF(T1761="","",IF(T1761=0,"No discount",IF(T1761&lt;=0.2,"Low (1-20%)",IF(T1761&lt;=0.4,"Medium (21-40%)","High (&gt;40%)"))))</f>
        <v/>
      </c>
      <c r="Y1761" s="23" t="str">
        <f aca="false">IF(AND(ISNUMBER(C1761),ISNUMBER(D1761)),D1761-C1761,"")</f>
        <v/>
      </c>
      <c r="Z1761" s="23" t="str">
        <f aca="false">IF(B1761="","",IF(MATCH(B1761,$B$2:$B$12000,0)=ROW()-1,1,0))</f>
        <v/>
      </c>
    </row>
    <row r="1762" customFormat="false" ht="15" hidden="false" customHeight="false" outlineLevel="0" collapsed="false">
      <c r="V1762" s="23" t="str">
        <f aca="false">IF(ISNUMBER(C1762),YEAR(C1762),"")</f>
        <v/>
      </c>
      <c r="W1762" s="23" t="str">
        <f aca="false">IF(ISNUMBER(C1762),MONTH(C1762),"")</f>
        <v/>
      </c>
      <c r="X1762" s="23" t="str">
        <f aca="false">IF(T1762="","",IF(T1762=0,"No discount",IF(T1762&lt;=0.2,"Low (1-20%)",IF(T1762&lt;=0.4,"Medium (21-40%)","High (&gt;40%)"))))</f>
        <v/>
      </c>
      <c r="Y1762" s="23" t="str">
        <f aca="false">IF(AND(ISNUMBER(C1762),ISNUMBER(D1762)),D1762-C1762,"")</f>
        <v/>
      </c>
      <c r="Z1762" s="23" t="str">
        <f aca="false">IF(B1762="","",IF(MATCH(B1762,$B$2:$B$12000,0)=ROW()-1,1,0))</f>
        <v/>
      </c>
    </row>
    <row r="1763" customFormat="false" ht="15" hidden="false" customHeight="false" outlineLevel="0" collapsed="false">
      <c r="V1763" s="23" t="str">
        <f aca="false">IF(ISNUMBER(C1763),YEAR(C1763),"")</f>
        <v/>
      </c>
      <c r="W1763" s="23" t="str">
        <f aca="false">IF(ISNUMBER(C1763),MONTH(C1763),"")</f>
        <v/>
      </c>
      <c r="X1763" s="23" t="str">
        <f aca="false">IF(T1763="","",IF(T1763=0,"No discount",IF(T1763&lt;=0.2,"Low (1-20%)",IF(T1763&lt;=0.4,"Medium (21-40%)","High (&gt;40%)"))))</f>
        <v/>
      </c>
      <c r="Y1763" s="23" t="str">
        <f aca="false">IF(AND(ISNUMBER(C1763),ISNUMBER(D1763)),D1763-C1763,"")</f>
        <v/>
      </c>
      <c r="Z1763" s="23" t="str">
        <f aca="false">IF(B1763="","",IF(MATCH(B1763,$B$2:$B$12000,0)=ROW()-1,1,0))</f>
        <v/>
      </c>
    </row>
    <row r="1764" customFormat="false" ht="15" hidden="false" customHeight="false" outlineLevel="0" collapsed="false">
      <c r="V1764" s="23" t="str">
        <f aca="false">IF(ISNUMBER(C1764),YEAR(C1764),"")</f>
        <v/>
      </c>
      <c r="W1764" s="23" t="str">
        <f aca="false">IF(ISNUMBER(C1764),MONTH(C1764),"")</f>
        <v/>
      </c>
      <c r="X1764" s="23" t="str">
        <f aca="false">IF(T1764="","",IF(T1764=0,"No discount",IF(T1764&lt;=0.2,"Low (1-20%)",IF(T1764&lt;=0.4,"Medium (21-40%)","High (&gt;40%)"))))</f>
        <v/>
      </c>
      <c r="Y1764" s="23" t="str">
        <f aca="false">IF(AND(ISNUMBER(C1764),ISNUMBER(D1764)),D1764-C1764,"")</f>
        <v/>
      </c>
      <c r="Z1764" s="23" t="str">
        <f aca="false">IF(B1764="","",IF(MATCH(B1764,$B$2:$B$12000,0)=ROW()-1,1,0))</f>
        <v/>
      </c>
    </row>
    <row r="1765" customFormat="false" ht="15" hidden="false" customHeight="false" outlineLevel="0" collapsed="false">
      <c r="V1765" s="23" t="str">
        <f aca="false">IF(ISNUMBER(C1765),YEAR(C1765),"")</f>
        <v/>
      </c>
      <c r="W1765" s="23" t="str">
        <f aca="false">IF(ISNUMBER(C1765),MONTH(C1765),"")</f>
        <v/>
      </c>
      <c r="X1765" s="23" t="str">
        <f aca="false">IF(T1765="","",IF(T1765=0,"No discount",IF(T1765&lt;=0.2,"Low (1-20%)",IF(T1765&lt;=0.4,"Medium (21-40%)","High (&gt;40%)"))))</f>
        <v/>
      </c>
      <c r="Y1765" s="23" t="str">
        <f aca="false">IF(AND(ISNUMBER(C1765),ISNUMBER(D1765)),D1765-C1765,"")</f>
        <v/>
      </c>
      <c r="Z1765" s="23" t="str">
        <f aca="false">IF(B1765="","",IF(MATCH(B1765,$B$2:$B$12000,0)=ROW()-1,1,0))</f>
        <v/>
      </c>
    </row>
    <row r="1766" customFormat="false" ht="15" hidden="false" customHeight="false" outlineLevel="0" collapsed="false">
      <c r="V1766" s="23" t="str">
        <f aca="false">IF(ISNUMBER(C1766),YEAR(C1766),"")</f>
        <v/>
      </c>
      <c r="W1766" s="23" t="str">
        <f aca="false">IF(ISNUMBER(C1766),MONTH(C1766),"")</f>
        <v/>
      </c>
      <c r="X1766" s="23" t="str">
        <f aca="false">IF(T1766="","",IF(T1766=0,"No discount",IF(T1766&lt;=0.2,"Low (1-20%)",IF(T1766&lt;=0.4,"Medium (21-40%)","High (&gt;40%)"))))</f>
        <v/>
      </c>
      <c r="Y1766" s="23" t="str">
        <f aca="false">IF(AND(ISNUMBER(C1766),ISNUMBER(D1766)),D1766-C1766,"")</f>
        <v/>
      </c>
      <c r="Z1766" s="23" t="str">
        <f aca="false">IF(B1766="","",IF(MATCH(B1766,$B$2:$B$12000,0)=ROW()-1,1,0))</f>
        <v/>
      </c>
    </row>
    <row r="1767" customFormat="false" ht="15" hidden="false" customHeight="false" outlineLevel="0" collapsed="false">
      <c r="V1767" s="23" t="str">
        <f aca="false">IF(ISNUMBER(C1767),YEAR(C1767),"")</f>
        <v/>
      </c>
      <c r="W1767" s="23" t="str">
        <f aca="false">IF(ISNUMBER(C1767),MONTH(C1767),"")</f>
        <v/>
      </c>
      <c r="X1767" s="23" t="str">
        <f aca="false">IF(T1767="","",IF(T1767=0,"No discount",IF(T1767&lt;=0.2,"Low (1-20%)",IF(T1767&lt;=0.4,"Medium (21-40%)","High (&gt;40%)"))))</f>
        <v/>
      </c>
      <c r="Y1767" s="23" t="str">
        <f aca="false">IF(AND(ISNUMBER(C1767),ISNUMBER(D1767)),D1767-C1767,"")</f>
        <v/>
      </c>
      <c r="Z1767" s="23" t="str">
        <f aca="false">IF(B1767="","",IF(MATCH(B1767,$B$2:$B$12000,0)=ROW()-1,1,0))</f>
        <v/>
      </c>
    </row>
    <row r="1768" customFormat="false" ht="15" hidden="false" customHeight="false" outlineLevel="0" collapsed="false">
      <c r="V1768" s="23" t="str">
        <f aca="false">IF(ISNUMBER(C1768),YEAR(C1768),"")</f>
        <v/>
      </c>
      <c r="W1768" s="23" t="str">
        <f aca="false">IF(ISNUMBER(C1768),MONTH(C1768),"")</f>
        <v/>
      </c>
      <c r="X1768" s="23" t="str">
        <f aca="false">IF(T1768="","",IF(T1768=0,"No discount",IF(T1768&lt;=0.2,"Low (1-20%)",IF(T1768&lt;=0.4,"Medium (21-40%)","High (&gt;40%)"))))</f>
        <v/>
      </c>
      <c r="Y1768" s="23" t="str">
        <f aca="false">IF(AND(ISNUMBER(C1768),ISNUMBER(D1768)),D1768-C1768,"")</f>
        <v/>
      </c>
      <c r="Z1768" s="23" t="str">
        <f aca="false">IF(B1768="","",IF(MATCH(B1768,$B$2:$B$12000,0)=ROW()-1,1,0))</f>
        <v/>
      </c>
    </row>
    <row r="1769" customFormat="false" ht="15" hidden="false" customHeight="false" outlineLevel="0" collapsed="false">
      <c r="V1769" s="23" t="str">
        <f aca="false">IF(ISNUMBER(C1769),YEAR(C1769),"")</f>
        <v/>
      </c>
      <c r="W1769" s="23" t="str">
        <f aca="false">IF(ISNUMBER(C1769),MONTH(C1769),"")</f>
        <v/>
      </c>
      <c r="X1769" s="23" t="str">
        <f aca="false">IF(T1769="","",IF(T1769=0,"No discount",IF(T1769&lt;=0.2,"Low (1-20%)",IF(T1769&lt;=0.4,"Medium (21-40%)","High (&gt;40%)"))))</f>
        <v/>
      </c>
      <c r="Y1769" s="23" t="str">
        <f aca="false">IF(AND(ISNUMBER(C1769),ISNUMBER(D1769)),D1769-C1769,"")</f>
        <v/>
      </c>
      <c r="Z1769" s="23" t="str">
        <f aca="false">IF(B1769="","",IF(MATCH(B1769,$B$2:$B$12000,0)=ROW()-1,1,0))</f>
        <v/>
      </c>
    </row>
    <row r="1770" customFormat="false" ht="15" hidden="false" customHeight="false" outlineLevel="0" collapsed="false">
      <c r="V1770" s="23" t="str">
        <f aca="false">IF(ISNUMBER(C1770),YEAR(C1770),"")</f>
        <v/>
      </c>
      <c r="W1770" s="23" t="str">
        <f aca="false">IF(ISNUMBER(C1770),MONTH(C1770),"")</f>
        <v/>
      </c>
      <c r="X1770" s="23" t="str">
        <f aca="false">IF(T1770="","",IF(T1770=0,"No discount",IF(T1770&lt;=0.2,"Low (1-20%)",IF(T1770&lt;=0.4,"Medium (21-40%)","High (&gt;40%)"))))</f>
        <v/>
      </c>
      <c r="Y1770" s="23" t="str">
        <f aca="false">IF(AND(ISNUMBER(C1770),ISNUMBER(D1770)),D1770-C1770,"")</f>
        <v/>
      </c>
      <c r="Z1770" s="23" t="str">
        <f aca="false">IF(B1770="","",IF(MATCH(B1770,$B$2:$B$12000,0)=ROW()-1,1,0))</f>
        <v/>
      </c>
    </row>
    <row r="1771" customFormat="false" ht="15" hidden="false" customHeight="false" outlineLevel="0" collapsed="false">
      <c r="V1771" s="23" t="str">
        <f aca="false">IF(ISNUMBER(C1771),YEAR(C1771),"")</f>
        <v/>
      </c>
      <c r="W1771" s="23" t="str">
        <f aca="false">IF(ISNUMBER(C1771),MONTH(C1771),"")</f>
        <v/>
      </c>
      <c r="X1771" s="23" t="str">
        <f aca="false">IF(T1771="","",IF(T1771=0,"No discount",IF(T1771&lt;=0.2,"Low (1-20%)",IF(T1771&lt;=0.4,"Medium (21-40%)","High (&gt;40%)"))))</f>
        <v/>
      </c>
      <c r="Y1771" s="23" t="str">
        <f aca="false">IF(AND(ISNUMBER(C1771),ISNUMBER(D1771)),D1771-C1771,"")</f>
        <v/>
      </c>
      <c r="Z1771" s="23" t="str">
        <f aca="false">IF(B1771="","",IF(MATCH(B1771,$B$2:$B$12000,0)=ROW()-1,1,0))</f>
        <v/>
      </c>
    </row>
    <row r="1772" customFormat="false" ht="15" hidden="false" customHeight="false" outlineLevel="0" collapsed="false">
      <c r="V1772" s="23" t="str">
        <f aca="false">IF(ISNUMBER(C1772),YEAR(C1772),"")</f>
        <v/>
      </c>
      <c r="W1772" s="23" t="str">
        <f aca="false">IF(ISNUMBER(C1772),MONTH(C1772),"")</f>
        <v/>
      </c>
      <c r="X1772" s="23" t="str">
        <f aca="false">IF(T1772="","",IF(T1772=0,"No discount",IF(T1772&lt;=0.2,"Low (1-20%)",IF(T1772&lt;=0.4,"Medium (21-40%)","High (&gt;40%)"))))</f>
        <v/>
      </c>
      <c r="Y1772" s="23" t="str">
        <f aca="false">IF(AND(ISNUMBER(C1772),ISNUMBER(D1772)),D1772-C1772,"")</f>
        <v/>
      </c>
      <c r="Z1772" s="23" t="str">
        <f aca="false">IF(B1772="","",IF(MATCH(B1772,$B$2:$B$12000,0)=ROW()-1,1,0))</f>
        <v/>
      </c>
    </row>
    <row r="1773" customFormat="false" ht="15" hidden="false" customHeight="false" outlineLevel="0" collapsed="false">
      <c r="V1773" s="23" t="str">
        <f aca="false">IF(ISNUMBER(C1773),YEAR(C1773),"")</f>
        <v/>
      </c>
      <c r="W1773" s="23" t="str">
        <f aca="false">IF(ISNUMBER(C1773),MONTH(C1773),"")</f>
        <v/>
      </c>
      <c r="X1773" s="23" t="str">
        <f aca="false">IF(T1773="","",IF(T1773=0,"No discount",IF(T1773&lt;=0.2,"Low (1-20%)",IF(T1773&lt;=0.4,"Medium (21-40%)","High (&gt;40%)"))))</f>
        <v/>
      </c>
      <c r="Y1773" s="23" t="str">
        <f aca="false">IF(AND(ISNUMBER(C1773),ISNUMBER(D1773)),D1773-C1773,"")</f>
        <v/>
      </c>
      <c r="Z1773" s="23" t="str">
        <f aca="false">IF(B1773="","",IF(MATCH(B1773,$B$2:$B$12000,0)=ROW()-1,1,0))</f>
        <v/>
      </c>
    </row>
    <row r="1774" customFormat="false" ht="15" hidden="false" customHeight="false" outlineLevel="0" collapsed="false">
      <c r="V1774" s="23" t="str">
        <f aca="false">IF(ISNUMBER(C1774),YEAR(C1774),"")</f>
        <v/>
      </c>
      <c r="W1774" s="23" t="str">
        <f aca="false">IF(ISNUMBER(C1774),MONTH(C1774),"")</f>
        <v/>
      </c>
      <c r="X1774" s="23" t="str">
        <f aca="false">IF(T1774="","",IF(T1774=0,"No discount",IF(T1774&lt;=0.2,"Low (1-20%)",IF(T1774&lt;=0.4,"Medium (21-40%)","High (&gt;40%)"))))</f>
        <v/>
      </c>
      <c r="Y1774" s="23" t="str">
        <f aca="false">IF(AND(ISNUMBER(C1774),ISNUMBER(D1774)),D1774-C1774,"")</f>
        <v/>
      </c>
      <c r="Z1774" s="23" t="str">
        <f aca="false">IF(B1774="","",IF(MATCH(B1774,$B$2:$B$12000,0)=ROW()-1,1,0))</f>
        <v/>
      </c>
    </row>
    <row r="1775" customFormat="false" ht="15" hidden="false" customHeight="false" outlineLevel="0" collapsed="false">
      <c r="V1775" s="23" t="str">
        <f aca="false">IF(ISNUMBER(C1775),YEAR(C1775),"")</f>
        <v/>
      </c>
      <c r="W1775" s="23" t="str">
        <f aca="false">IF(ISNUMBER(C1775),MONTH(C1775),"")</f>
        <v/>
      </c>
      <c r="X1775" s="23" t="str">
        <f aca="false">IF(T1775="","",IF(T1775=0,"No discount",IF(T1775&lt;=0.2,"Low (1-20%)",IF(T1775&lt;=0.4,"Medium (21-40%)","High (&gt;40%)"))))</f>
        <v/>
      </c>
      <c r="Y1775" s="23" t="str">
        <f aca="false">IF(AND(ISNUMBER(C1775),ISNUMBER(D1775)),D1775-C1775,"")</f>
        <v/>
      </c>
      <c r="Z1775" s="23" t="str">
        <f aca="false">IF(B1775="","",IF(MATCH(B1775,$B$2:$B$12000,0)=ROW()-1,1,0))</f>
        <v/>
      </c>
    </row>
    <row r="1776" customFormat="false" ht="15" hidden="false" customHeight="false" outlineLevel="0" collapsed="false">
      <c r="V1776" s="23" t="str">
        <f aca="false">IF(ISNUMBER(C1776),YEAR(C1776),"")</f>
        <v/>
      </c>
      <c r="W1776" s="23" t="str">
        <f aca="false">IF(ISNUMBER(C1776),MONTH(C1776),"")</f>
        <v/>
      </c>
      <c r="X1776" s="23" t="str">
        <f aca="false">IF(T1776="","",IF(T1776=0,"No discount",IF(T1776&lt;=0.2,"Low (1-20%)",IF(T1776&lt;=0.4,"Medium (21-40%)","High (&gt;40%)"))))</f>
        <v/>
      </c>
      <c r="Y1776" s="23" t="str">
        <f aca="false">IF(AND(ISNUMBER(C1776),ISNUMBER(D1776)),D1776-C1776,"")</f>
        <v/>
      </c>
      <c r="Z1776" s="23" t="str">
        <f aca="false">IF(B1776="","",IF(MATCH(B1776,$B$2:$B$12000,0)=ROW()-1,1,0))</f>
        <v/>
      </c>
    </row>
    <row r="1777" customFormat="false" ht="15" hidden="false" customHeight="false" outlineLevel="0" collapsed="false">
      <c r="V1777" s="23" t="str">
        <f aca="false">IF(ISNUMBER(C1777),YEAR(C1777),"")</f>
        <v/>
      </c>
      <c r="W1777" s="23" t="str">
        <f aca="false">IF(ISNUMBER(C1777),MONTH(C1777),"")</f>
        <v/>
      </c>
      <c r="X1777" s="23" t="str">
        <f aca="false">IF(T1777="","",IF(T1777=0,"No discount",IF(T1777&lt;=0.2,"Low (1-20%)",IF(T1777&lt;=0.4,"Medium (21-40%)","High (&gt;40%)"))))</f>
        <v/>
      </c>
      <c r="Y1777" s="23" t="str">
        <f aca="false">IF(AND(ISNUMBER(C1777),ISNUMBER(D1777)),D1777-C1777,"")</f>
        <v/>
      </c>
      <c r="Z1777" s="23" t="str">
        <f aca="false">IF(B1777="","",IF(MATCH(B1777,$B$2:$B$12000,0)=ROW()-1,1,0))</f>
        <v/>
      </c>
    </row>
    <row r="1778" customFormat="false" ht="15" hidden="false" customHeight="false" outlineLevel="0" collapsed="false">
      <c r="V1778" s="23" t="str">
        <f aca="false">IF(ISNUMBER(C1778),YEAR(C1778),"")</f>
        <v/>
      </c>
      <c r="W1778" s="23" t="str">
        <f aca="false">IF(ISNUMBER(C1778),MONTH(C1778),"")</f>
        <v/>
      </c>
      <c r="X1778" s="23" t="str">
        <f aca="false">IF(T1778="","",IF(T1778=0,"No discount",IF(T1778&lt;=0.2,"Low (1-20%)",IF(T1778&lt;=0.4,"Medium (21-40%)","High (&gt;40%)"))))</f>
        <v/>
      </c>
      <c r="Y1778" s="23" t="str">
        <f aca="false">IF(AND(ISNUMBER(C1778),ISNUMBER(D1778)),D1778-C1778,"")</f>
        <v/>
      </c>
      <c r="Z1778" s="23" t="str">
        <f aca="false">IF(B1778="","",IF(MATCH(B1778,$B$2:$B$12000,0)=ROW()-1,1,0))</f>
        <v/>
      </c>
    </row>
    <row r="1779" customFormat="false" ht="15" hidden="false" customHeight="false" outlineLevel="0" collapsed="false">
      <c r="V1779" s="23" t="str">
        <f aca="false">IF(ISNUMBER(C1779),YEAR(C1779),"")</f>
        <v/>
      </c>
      <c r="W1779" s="23" t="str">
        <f aca="false">IF(ISNUMBER(C1779),MONTH(C1779),"")</f>
        <v/>
      </c>
      <c r="X1779" s="23" t="str">
        <f aca="false">IF(T1779="","",IF(T1779=0,"No discount",IF(T1779&lt;=0.2,"Low (1-20%)",IF(T1779&lt;=0.4,"Medium (21-40%)","High (&gt;40%)"))))</f>
        <v/>
      </c>
      <c r="Y1779" s="23" t="str">
        <f aca="false">IF(AND(ISNUMBER(C1779),ISNUMBER(D1779)),D1779-C1779,"")</f>
        <v/>
      </c>
      <c r="Z1779" s="23" t="str">
        <f aca="false">IF(B1779="","",IF(MATCH(B1779,$B$2:$B$12000,0)=ROW()-1,1,0))</f>
        <v/>
      </c>
    </row>
    <row r="1780" customFormat="false" ht="15" hidden="false" customHeight="false" outlineLevel="0" collapsed="false">
      <c r="V1780" s="23" t="str">
        <f aca="false">IF(ISNUMBER(C1780),YEAR(C1780),"")</f>
        <v/>
      </c>
      <c r="W1780" s="23" t="str">
        <f aca="false">IF(ISNUMBER(C1780),MONTH(C1780),"")</f>
        <v/>
      </c>
      <c r="X1780" s="23" t="str">
        <f aca="false">IF(T1780="","",IF(T1780=0,"No discount",IF(T1780&lt;=0.2,"Low (1-20%)",IF(T1780&lt;=0.4,"Medium (21-40%)","High (&gt;40%)"))))</f>
        <v/>
      </c>
      <c r="Y1780" s="23" t="str">
        <f aca="false">IF(AND(ISNUMBER(C1780),ISNUMBER(D1780)),D1780-C1780,"")</f>
        <v/>
      </c>
      <c r="Z1780" s="23" t="str">
        <f aca="false">IF(B1780="","",IF(MATCH(B1780,$B$2:$B$12000,0)=ROW()-1,1,0))</f>
        <v/>
      </c>
    </row>
    <row r="1781" customFormat="false" ht="15" hidden="false" customHeight="false" outlineLevel="0" collapsed="false">
      <c r="V1781" s="23" t="str">
        <f aca="false">IF(ISNUMBER(C1781),YEAR(C1781),"")</f>
        <v/>
      </c>
      <c r="W1781" s="23" t="str">
        <f aca="false">IF(ISNUMBER(C1781),MONTH(C1781),"")</f>
        <v/>
      </c>
      <c r="X1781" s="23" t="str">
        <f aca="false">IF(T1781="","",IF(T1781=0,"No discount",IF(T1781&lt;=0.2,"Low (1-20%)",IF(T1781&lt;=0.4,"Medium (21-40%)","High (&gt;40%)"))))</f>
        <v/>
      </c>
      <c r="Y1781" s="23" t="str">
        <f aca="false">IF(AND(ISNUMBER(C1781),ISNUMBER(D1781)),D1781-C1781,"")</f>
        <v/>
      </c>
      <c r="Z1781" s="23" t="str">
        <f aca="false">IF(B1781="","",IF(MATCH(B1781,$B$2:$B$12000,0)=ROW()-1,1,0))</f>
        <v/>
      </c>
    </row>
    <row r="1782" customFormat="false" ht="15" hidden="false" customHeight="false" outlineLevel="0" collapsed="false">
      <c r="V1782" s="23" t="str">
        <f aca="false">IF(ISNUMBER(C1782),YEAR(C1782),"")</f>
        <v/>
      </c>
      <c r="W1782" s="23" t="str">
        <f aca="false">IF(ISNUMBER(C1782),MONTH(C1782),"")</f>
        <v/>
      </c>
      <c r="X1782" s="23" t="str">
        <f aca="false">IF(T1782="","",IF(T1782=0,"No discount",IF(T1782&lt;=0.2,"Low (1-20%)",IF(T1782&lt;=0.4,"Medium (21-40%)","High (&gt;40%)"))))</f>
        <v/>
      </c>
      <c r="Y1782" s="23" t="str">
        <f aca="false">IF(AND(ISNUMBER(C1782),ISNUMBER(D1782)),D1782-C1782,"")</f>
        <v/>
      </c>
      <c r="Z1782" s="23" t="str">
        <f aca="false">IF(B1782="","",IF(MATCH(B1782,$B$2:$B$12000,0)=ROW()-1,1,0))</f>
        <v/>
      </c>
    </row>
    <row r="1783" customFormat="false" ht="15" hidden="false" customHeight="false" outlineLevel="0" collapsed="false">
      <c r="V1783" s="23" t="str">
        <f aca="false">IF(ISNUMBER(C1783),YEAR(C1783),"")</f>
        <v/>
      </c>
      <c r="W1783" s="23" t="str">
        <f aca="false">IF(ISNUMBER(C1783),MONTH(C1783),"")</f>
        <v/>
      </c>
      <c r="X1783" s="23" t="str">
        <f aca="false">IF(T1783="","",IF(T1783=0,"No discount",IF(T1783&lt;=0.2,"Low (1-20%)",IF(T1783&lt;=0.4,"Medium (21-40%)","High (&gt;40%)"))))</f>
        <v/>
      </c>
      <c r="Y1783" s="23" t="str">
        <f aca="false">IF(AND(ISNUMBER(C1783),ISNUMBER(D1783)),D1783-C1783,"")</f>
        <v/>
      </c>
      <c r="Z1783" s="23" t="str">
        <f aca="false">IF(B1783="","",IF(MATCH(B1783,$B$2:$B$12000,0)=ROW()-1,1,0))</f>
        <v/>
      </c>
    </row>
    <row r="1784" customFormat="false" ht="15" hidden="false" customHeight="false" outlineLevel="0" collapsed="false">
      <c r="V1784" s="23" t="str">
        <f aca="false">IF(ISNUMBER(C1784),YEAR(C1784),"")</f>
        <v/>
      </c>
      <c r="W1784" s="23" t="str">
        <f aca="false">IF(ISNUMBER(C1784),MONTH(C1784),"")</f>
        <v/>
      </c>
      <c r="X1784" s="23" t="str">
        <f aca="false">IF(T1784="","",IF(T1784=0,"No discount",IF(T1784&lt;=0.2,"Low (1-20%)",IF(T1784&lt;=0.4,"Medium (21-40%)","High (&gt;40%)"))))</f>
        <v/>
      </c>
      <c r="Y1784" s="23" t="str">
        <f aca="false">IF(AND(ISNUMBER(C1784),ISNUMBER(D1784)),D1784-C1784,"")</f>
        <v/>
      </c>
      <c r="Z1784" s="23" t="str">
        <f aca="false">IF(B1784="","",IF(MATCH(B1784,$B$2:$B$12000,0)=ROW()-1,1,0))</f>
        <v/>
      </c>
    </row>
    <row r="1785" customFormat="false" ht="15" hidden="false" customHeight="false" outlineLevel="0" collapsed="false">
      <c r="V1785" s="23" t="str">
        <f aca="false">IF(ISNUMBER(C1785),YEAR(C1785),"")</f>
        <v/>
      </c>
      <c r="W1785" s="23" t="str">
        <f aca="false">IF(ISNUMBER(C1785),MONTH(C1785),"")</f>
        <v/>
      </c>
      <c r="X1785" s="23" t="str">
        <f aca="false">IF(T1785="","",IF(T1785=0,"No discount",IF(T1785&lt;=0.2,"Low (1-20%)",IF(T1785&lt;=0.4,"Medium (21-40%)","High (&gt;40%)"))))</f>
        <v/>
      </c>
      <c r="Y1785" s="23" t="str">
        <f aca="false">IF(AND(ISNUMBER(C1785),ISNUMBER(D1785)),D1785-C1785,"")</f>
        <v/>
      </c>
      <c r="Z1785" s="23" t="str">
        <f aca="false">IF(B1785="","",IF(MATCH(B1785,$B$2:$B$12000,0)=ROW()-1,1,0))</f>
        <v/>
      </c>
    </row>
    <row r="1786" customFormat="false" ht="15" hidden="false" customHeight="false" outlineLevel="0" collapsed="false">
      <c r="V1786" s="23" t="str">
        <f aca="false">IF(ISNUMBER(C1786),YEAR(C1786),"")</f>
        <v/>
      </c>
      <c r="W1786" s="23" t="str">
        <f aca="false">IF(ISNUMBER(C1786),MONTH(C1786),"")</f>
        <v/>
      </c>
      <c r="X1786" s="23" t="str">
        <f aca="false">IF(T1786="","",IF(T1786=0,"No discount",IF(T1786&lt;=0.2,"Low (1-20%)",IF(T1786&lt;=0.4,"Medium (21-40%)","High (&gt;40%)"))))</f>
        <v/>
      </c>
      <c r="Y1786" s="23" t="str">
        <f aca="false">IF(AND(ISNUMBER(C1786),ISNUMBER(D1786)),D1786-C1786,"")</f>
        <v/>
      </c>
      <c r="Z1786" s="23" t="str">
        <f aca="false">IF(B1786="","",IF(MATCH(B1786,$B$2:$B$12000,0)=ROW()-1,1,0))</f>
        <v/>
      </c>
    </row>
    <row r="1787" customFormat="false" ht="15" hidden="false" customHeight="false" outlineLevel="0" collapsed="false">
      <c r="V1787" s="23" t="str">
        <f aca="false">IF(ISNUMBER(C1787),YEAR(C1787),"")</f>
        <v/>
      </c>
      <c r="W1787" s="23" t="str">
        <f aca="false">IF(ISNUMBER(C1787),MONTH(C1787),"")</f>
        <v/>
      </c>
      <c r="X1787" s="23" t="str">
        <f aca="false">IF(T1787="","",IF(T1787=0,"No discount",IF(T1787&lt;=0.2,"Low (1-20%)",IF(T1787&lt;=0.4,"Medium (21-40%)","High (&gt;40%)"))))</f>
        <v/>
      </c>
      <c r="Y1787" s="23" t="str">
        <f aca="false">IF(AND(ISNUMBER(C1787),ISNUMBER(D1787)),D1787-C1787,"")</f>
        <v/>
      </c>
      <c r="Z1787" s="23" t="str">
        <f aca="false">IF(B1787="","",IF(MATCH(B1787,$B$2:$B$12000,0)=ROW()-1,1,0))</f>
        <v/>
      </c>
    </row>
    <row r="1788" customFormat="false" ht="15" hidden="false" customHeight="false" outlineLevel="0" collapsed="false">
      <c r="V1788" s="23" t="str">
        <f aca="false">IF(ISNUMBER(C1788),YEAR(C1788),"")</f>
        <v/>
      </c>
      <c r="W1788" s="23" t="str">
        <f aca="false">IF(ISNUMBER(C1788),MONTH(C1788),"")</f>
        <v/>
      </c>
      <c r="X1788" s="23" t="str">
        <f aca="false">IF(T1788="","",IF(T1788=0,"No discount",IF(T1788&lt;=0.2,"Low (1-20%)",IF(T1788&lt;=0.4,"Medium (21-40%)","High (&gt;40%)"))))</f>
        <v/>
      </c>
      <c r="Y1788" s="23" t="str">
        <f aca="false">IF(AND(ISNUMBER(C1788),ISNUMBER(D1788)),D1788-C1788,"")</f>
        <v/>
      </c>
      <c r="Z1788" s="23" t="str">
        <f aca="false">IF(B1788="","",IF(MATCH(B1788,$B$2:$B$12000,0)=ROW()-1,1,0))</f>
        <v/>
      </c>
    </row>
    <row r="1789" customFormat="false" ht="15" hidden="false" customHeight="false" outlineLevel="0" collapsed="false">
      <c r="V1789" s="23" t="str">
        <f aca="false">IF(ISNUMBER(C1789),YEAR(C1789),"")</f>
        <v/>
      </c>
      <c r="W1789" s="23" t="str">
        <f aca="false">IF(ISNUMBER(C1789),MONTH(C1789),"")</f>
        <v/>
      </c>
      <c r="X1789" s="23" t="str">
        <f aca="false">IF(T1789="","",IF(T1789=0,"No discount",IF(T1789&lt;=0.2,"Low (1-20%)",IF(T1789&lt;=0.4,"Medium (21-40%)","High (&gt;40%)"))))</f>
        <v/>
      </c>
      <c r="Y1789" s="23" t="str">
        <f aca="false">IF(AND(ISNUMBER(C1789),ISNUMBER(D1789)),D1789-C1789,"")</f>
        <v/>
      </c>
      <c r="Z1789" s="23" t="str">
        <f aca="false">IF(B1789="","",IF(MATCH(B1789,$B$2:$B$12000,0)=ROW()-1,1,0))</f>
        <v/>
      </c>
    </row>
    <row r="1790" customFormat="false" ht="15" hidden="false" customHeight="false" outlineLevel="0" collapsed="false">
      <c r="V1790" s="23" t="str">
        <f aca="false">IF(ISNUMBER(C1790),YEAR(C1790),"")</f>
        <v/>
      </c>
      <c r="W1790" s="23" t="str">
        <f aca="false">IF(ISNUMBER(C1790),MONTH(C1790),"")</f>
        <v/>
      </c>
      <c r="X1790" s="23" t="str">
        <f aca="false">IF(T1790="","",IF(T1790=0,"No discount",IF(T1790&lt;=0.2,"Low (1-20%)",IF(T1790&lt;=0.4,"Medium (21-40%)","High (&gt;40%)"))))</f>
        <v/>
      </c>
      <c r="Y1790" s="23" t="str">
        <f aca="false">IF(AND(ISNUMBER(C1790),ISNUMBER(D1790)),D1790-C1790,"")</f>
        <v/>
      </c>
      <c r="Z1790" s="23" t="str">
        <f aca="false">IF(B1790="","",IF(MATCH(B1790,$B$2:$B$12000,0)=ROW()-1,1,0))</f>
        <v/>
      </c>
    </row>
    <row r="1791" customFormat="false" ht="15" hidden="false" customHeight="false" outlineLevel="0" collapsed="false">
      <c r="V1791" s="23" t="str">
        <f aca="false">IF(ISNUMBER(C1791),YEAR(C1791),"")</f>
        <v/>
      </c>
      <c r="W1791" s="23" t="str">
        <f aca="false">IF(ISNUMBER(C1791),MONTH(C1791),"")</f>
        <v/>
      </c>
      <c r="X1791" s="23" t="str">
        <f aca="false">IF(T1791="","",IF(T1791=0,"No discount",IF(T1791&lt;=0.2,"Low (1-20%)",IF(T1791&lt;=0.4,"Medium (21-40%)","High (&gt;40%)"))))</f>
        <v/>
      </c>
      <c r="Y1791" s="23" t="str">
        <f aca="false">IF(AND(ISNUMBER(C1791),ISNUMBER(D1791)),D1791-C1791,"")</f>
        <v/>
      </c>
      <c r="Z1791" s="23" t="str">
        <f aca="false">IF(B1791="","",IF(MATCH(B1791,$B$2:$B$12000,0)=ROW()-1,1,0))</f>
        <v/>
      </c>
    </row>
    <row r="1792" customFormat="false" ht="15" hidden="false" customHeight="false" outlineLevel="0" collapsed="false">
      <c r="V1792" s="23" t="str">
        <f aca="false">IF(ISNUMBER(C1792),YEAR(C1792),"")</f>
        <v/>
      </c>
      <c r="W1792" s="23" t="str">
        <f aca="false">IF(ISNUMBER(C1792),MONTH(C1792),"")</f>
        <v/>
      </c>
      <c r="X1792" s="23" t="str">
        <f aca="false">IF(T1792="","",IF(T1792=0,"No discount",IF(T1792&lt;=0.2,"Low (1-20%)",IF(T1792&lt;=0.4,"Medium (21-40%)","High (&gt;40%)"))))</f>
        <v/>
      </c>
      <c r="Y1792" s="23" t="str">
        <f aca="false">IF(AND(ISNUMBER(C1792),ISNUMBER(D1792)),D1792-C1792,"")</f>
        <v/>
      </c>
      <c r="Z1792" s="23" t="str">
        <f aca="false">IF(B1792="","",IF(MATCH(B1792,$B$2:$B$12000,0)=ROW()-1,1,0))</f>
        <v/>
      </c>
    </row>
    <row r="1793" customFormat="false" ht="15" hidden="false" customHeight="false" outlineLevel="0" collapsed="false">
      <c r="V1793" s="23" t="str">
        <f aca="false">IF(ISNUMBER(C1793),YEAR(C1793),"")</f>
        <v/>
      </c>
      <c r="W1793" s="23" t="str">
        <f aca="false">IF(ISNUMBER(C1793),MONTH(C1793),"")</f>
        <v/>
      </c>
      <c r="X1793" s="23" t="str">
        <f aca="false">IF(T1793="","",IF(T1793=0,"No discount",IF(T1793&lt;=0.2,"Low (1-20%)",IF(T1793&lt;=0.4,"Medium (21-40%)","High (&gt;40%)"))))</f>
        <v/>
      </c>
      <c r="Y1793" s="23" t="str">
        <f aca="false">IF(AND(ISNUMBER(C1793),ISNUMBER(D1793)),D1793-C1793,"")</f>
        <v/>
      </c>
      <c r="Z1793" s="23" t="str">
        <f aca="false">IF(B1793="","",IF(MATCH(B1793,$B$2:$B$12000,0)=ROW()-1,1,0))</f>
        <v/>
      </c>
    </row>
    <row r="1794" customFormat="false" ht="15" hidden="false" customHeight="false" outlineLevel="0" collapsed="false">
      <c r="V1794" s="23" t="str">
        <f aca="false">IF(ISNUMBER(C1794),YEAR(C1794),"")</f>
        <v/>
      </c>
      <c r="W1794" s="23" t="str">
        <f aca="false">IF(ISNUMBER(C1794),MONTH(C1794),"")</f>
        <v/>
      </c>
      <c r="X1794" s="23" t="str">
        <f aca="false">IF(T1794="","",IF(T1794=0,"No discount",IF(T1794&lt;=0.2,"Low (1-20%)",IF(T1794&lt;=0.4,"Medium (21-40%)","High (&gt;40%)"))))</f>
        <v/>
      </c>
      <c r="Y1794" s="23" t="str">
        <f aca="false">IF(AND(ISNUMBER(C1794),ISNUMBER(D1794)),D1794-C1794,"")</f>
        <v/>
      </c>
      <c r="Z1794" s="23" t="str">
        <f aca="false">IF(B1794="","",IF(MATCH(B1794,$B$2:$B$12000,0)=ROW()-1,1,0))</f>
        <v/>
      </c>
    </row>
    <row r="1795" customFormat="false" ht="15" hidden="false" customHeight="false" outlineLevel="0" collapsed="false">
      <c r="V1795" s="23" t="str">
        <f aca="false">IF(ISNUMBER(C1795),YEAR(C1795),"")</f>
        <v/>
      </c>
      <c r="W1795" s="23" t="str">
        <f aca="false">IF(ISNUMBER(C1795),MONTH(C1795),"")</f>
        <v/>
      </c>
      <c r="X1795" s="23" t="str">
        <f aca="false">IF(T1795="","",IF(T1795=0,"No discount",IF(T1795&lt;=0.2,"Low (1-20%)",IF(T1795&lt;=0.4,"Medium (21-40%)","High (&gt;40%)"))))</f>
        <v/>
      </c>
      <c r="Y1795" s="23" t="str">
        <f aca="false">IF(AND(ISNUMBER(C1795),ISNUMBER(D1795)),D1795-C1795,"")</f>
        <v/>
      </c>
      <c r="Z1795" s="23" t="str">
        <f aca="false">IF(B1795="","",IF(MATCH(B1795,$B$2:$B$12000,0)=ROW()-1,1,0))</f>
        <v/>
      </c>
    </row>
    <row r="1796" customFormat="false" ht="15" hidden="false" customHeight="false" outlineLevel="0" collapsed="false">
      <c r="V1796" s="23" t="str">
        <f aca="false">IF(ISNUMBER(C1796),YEAR(C1796),"")</f>
        <v/>
      </c>
      <c r="W1796" s="23" t="str">
        <f aca="false">IF(ISNUMBER(C1796),MONTH(C1796),"")</f>
        <v/>
      </c>
      <c r="X1796" s="23" t="str">
        <f aca="false">IF(T1796="","",IF(T1796=0,"No discount",IF(T1796&lt;=0.2,"Low (1-20%)",IF(T1796&lt;=0.4,"Medium (21-40%)","High (&gt;40%)"))))</f>
        <v/>
      </c>
      <c r="Y1796" s="23" t="str">
        <f aca="false">IF(AND(ISNUMBER(C1796),ISNUMBER(D1796)),D1796-C1796,"")</f>
        <v/>
      </c>
      <c r="Z1796" s="23" t="str">
        <f aca="false">IF(B1796="","",IF(MATCH(B1796,$B$2:$B$12000,0)=ROW()-1,1,0))</f>
        <v/>
      </c>
    </row>
    <row r="1797" customFormat="false" ht="15" hidden="false" customHeight="false" outlineLevel="0" collapsed="false">
      <c r="V1797" s="23" t="str">
        <f aca="false">IF(ISNUMBER(C1797),YEAR(C1797),"")</f>
        <v/>
      </c>
      <c r="W1797" s="23" t="str">
        <f aca="false">IF(ISNUMBER(C1797),MONTH(C1797),"")</f>
        <v/>
      </c>
      <c r="X1797" s="23" t="str">
        <f aca="false">IF(T1797="","",IF(T1797=0,"No discount",IF(T1797&lt;=0.2,"Low (1-20%)",IF(T1797&lt;=0.4,"Medium (21-40%)","High (&gt;40%)"))))</f>
        <v/>
      </c>
      <c r="Y1797" s="23" t="str">
        <f aca="false">IF(AND(ISNUMBER(C1797),ISNUMBER(D1797)),D1797-C1797,"")</f>
        <v/>
      </c>
      <c r="Z1797" s="23" t="str">
        <f aca="false">IF(B1797="","",IF(MATCH(B1797,$B$2:$B$12000,0)=ROW()-1,1,0))</f>
        <v/>
      </c>
    </row>
    <row r="1798" customFormat="false" ht="15" hidden="false" customHeight="false" outlineLevel="0" collapsed="false">
      <c r="V1798" s="23" t="str">
        <f aca="false">IF(ISNUMBER(C1798),YEAR(C1798),"")</f>
        <v/>
      </c>
      <c r="W1798" s="23" t="str">
        <f aca="false">IF(ISNUMBER(C1798),MONTH(C1798),"")</f>
        <v/>
      </c>
      <c r="X1798" s="23" t="str">
        <f aca="false">IF(T1798="","",IF(T1798=0,"No discount",IF(T1798&lt;=0.2,"Low (1-20%)",IF(T1798&lt;=0.4,"Medium (21-40%)","High (&gt;40%)"))))</f>
        <v/>
      </c>
      <c r="Y1798" s="23" t="str">
        <f aca="false">IF(AND(ISNUMBER(C1798),ISNUMBER(D1798)),D1798-C1798,"")</f>
        <v/>
      </c>
      <c r="Z1798" s="23" t="str">
        <f aca="false">IF(B1798="","",IF(MATCH(B1798,$B$2:$B$12000,0)=ROW()-1,1,0))</f>
        <v/>
      </c>
    </row>
    <row r="1799" customFormat="false" ht="15" hidden="false" customHeight="false" outlineLevel="0" collapsed="false">
      <c r="V1799" s="23" t="str">
        <f aca="false">IF(ISNUMBER(C1799),YEAR(C1799),"")</f>
        <v/>
      </c>
      <c r="W1799" s="23" t="str">
        <f aca="false">IF(ISNUMBER(C1799),MONTH(C1799),"")</f>
        <v/>
      </c>
      <c r="X1799" s="23" t="str">
        <f aca="false">IF(T1799="","",IF(T1799=0,"No discount",IF(T1799&lt;=0.2,"Low (1-20%)",IF(T1799&lt;=0.4,"Medium (21-40%)","High (&gt;40%)"))))</f>
        <v/>
      </c>
      <c r="Y1799" s="23" t="str">
        <f aca="false">IF(AND(ISNUMBER(C1799),ISNUMBER(D1799)),D1799-C1799,"")</f>
        <v/>
      </c>
      <c r="Z1799" s="23" t="str">
        <f aca="false">IF(B1799="","",IF(MATCH(B1799,$B$2:$B$12000,0)=ROW()-1,1,0))</f>
        <v/>
      </c>
    </row>
    <row r="1800" customFormat="false" ht="15" hidden="false" customHeight="false" outlineLevel="0" collapsed="false">
      <c r="V1800" s="23" t="str">
        <f aca="false">IF(ISNUMBER(C1800),YEAR(C1800),"")</f>
        <v/>
      </c>
      <c r="W1800" s="23" t="str">
        <f aca="false">IF(ISNUMBER(C1800),MONTH(C1800),"")</f>
        <v/>
      </c>
      <c r="X1800" s="23" t="str">
        <f aca="false">IF(T1800="","",IF(T1800=0,"No discount",IF(T1800&lt;=0.2,"Low (1-20%)",IF(T1800&lt;=0.4,"Medium (21-40%)","High (&gt;40%)"))))</f>
        <v/>
      </c>
      <c r="Y1800" s="23" t="str">
        <f aca="false">IF(AND(ISNUMBER(C1800),ISNUMBER(D1800)),D1800-C1800,"")</f>
        <v/>
      </c>
      <c r="Z1800" s="23" t="str">
        <f aca="false">IF(B1800="","",IF(MATCH(B1800,$B$2:$B$12000,0)=ROW()-1,1,0))</f>
        <v/>
      </c>
    </row>
    <row r="1801" customFormat="false" ht="15" hidden="false" customHeight="false" outlineLevel="0" collapsed="false">
      <c r="V1801" s="23" t="str">
        <f aca="false">IF(ISNUMBER(C1801),YEAR(C1801),"")</f>
        <v/>
      </c>
      <c r="W1801" s="23" t="str">
        <f aca="false">IF(ISNUMBER(C1801),MONTH(C1801),"")</f>
        <v/>
      </c>
      <c r="X1801" s="23" t="str">
        <f aca="false">IF(T1801="","",IF(T1801=0,"No discount",IF(T1801&lt;=0.2,"Low (1-20%)",IF(T1801&lt;=0.4,"Medium (21-40%)","High (&gt;40%)"))))</f>
        <v/>
      </c>
      <c r="Y1801" s="23" t="str">
        <f aca="false">IF(AND(ISNUMBER(C1801),ISNUMBER(D1801)),D1801-C1801,"")</f>
        <v/>
      </c>
      <c r="Z1801" s="23" t="str">
        <f aca="false">IF(B1801="","",IF(MATCH(B1801,$B$2:$B$12000,0)=ROW()-1,1,0))</f>
        <v/>
      </c>
    </row>
    <row r="1802" customFormat="false" ht="15" hidden="false" customHeight="false" outlineLevel="0" collapsed="false">
      <c r="V1802" s="23" t="str">
        <f aca="false">IF(ISNUMBER(C1802),YEAR(C1802),"")</f>
        <v/>
      </c>
      <c r="W1802" s="23" t="str">
        <f aca="false">IF(ISNUMBER(C1802),MONTH(C1802),"")</f>
        <v/>
      </c>
      <c r="X1802" s="23" t="str">
        <f aca="false">IF(T1802="","",IF(T1802=0,"No discount",IF(T1802&lt;=0.2,"Low (1-20%)",IF(T1802&lt;=0.4,"Medium (21-40%)","High (&gt;40%)"))))</f>
        <v/>
      </c>
      <c r="Y1802" s="23" t="str">
        <f aca="false">IF(AND(ISNUMBER(C1802),ISNUMBER(D1802)),D1802-C1802,"")</f>
        <v/>
      </c>
      <c r="Z1802" s="23" t="str">
        <f aca="false">IF(B1802="","",IF(MATCH(B1802,$B$2:$B$12000,0)=ROW()-1,1,0))</f>
        <v/>
      </c>
    </row>
    <row r="1803" customFormat="false" ht="15" hidden="false" customHeight="false" outlineLevel="0" collapsed="false">
      <c r="V1803" s="23" t="str">
        <f aca="false">IF(ISNUMBER(C1803),YEAR(C1803),"")</f>
        <v/>
      </c>
      <c r="W1803" s="23" t="str">
        <f aca="false">IF(ISNUMBER(C1803),MONTH(C1803),"")</f>
        <v/>
      </c>
      <c r="X1803" s="23" t="str">
        <f aca="false">IF(T1803="","",IF(T1803=0,"No discount",IF(T1803&lt;=0.2,"Low (1-20%)",IF(T1803&lt;=0.4,"Medium (21-40%)","High (&gt;40%)"))))</f>
        <v/>
      </c>
      <c r="Y1803" s="23" t="str">
        <f aca="false">IF(AND(ISNUMBER(C1803),ISNUMBER(D1803)),D1803-C1803,"")</f>
        <v/>
      </c>
      <c r="Z1803" s="23" t="str">
        <f aca="false">IF(B1803="","",IF(MATCH(B1803,$B$2:$B$12000,0)=ROW()-1,1,0))</f>
        <v/>
      </c>
    </row>
    <row r="1804" customFormat="false" ht="15" hidden="false" customHeight="false" outlineLevel="0" collapsed="false">
      <c r="V1804" s="23" t="str">
        <f aca="false">IF(ISNUMBER(C1804),YEAR(C1804),"")</f>
        <v/>
      </c>
      <c r="W1804" s="23" t="str">
        <f aca="false">IF(ISNUMBER(C1804),MONTH(C1804),"")</f>
        <v/>
      </c>
      <c r="X1804" s="23" t="str">
        <f aca="false">IF(T1804="","",IF(T1804=0,"No discount",IF(T1804&lt;=0.2,"Low (1-20%)",IF(T1804&lt;=0.4,"Medium (21-40%)","High (&gt;40%)"))))</f>
        <v/>
      </c>
      <c r="Y1804" s="23" t="str">
        <f aca="false">IF(AND(ISNUMBER(C1804),ISNUMBER(D1804)),D1804-C1804,"")</f>
        <v/>
      </c>
      <c r="Z1804" s="23" t="str">
        <f aca="false">IF(B1804="","",IF(MATCH(B1804,$B$2:$B$12000,0)=ROW()-1,1,0))</f>
        <v/>
      </c>
    </row>
    <row r="1805" customFormat="false" ht="15" hidden="false" customHeight="false" outlineLevel="0" collapsed="false">
      <c r="V1805" s="23" t="str">
        <f aca="false">IF(ISNUMBER(C1805),YEAR(C1805),"")</f>
        <v/>
      </c>
      <c r="W1805" s="23" t="str">
        <f aca="false">IF(ISNUMBER(C1805),MONTH(C1805),"")</f>
        <v/>
      </c>
      <c r="X1805" s="23" t="str">
        <f aca="false">IF(T1805="","",IF(T1805=0,"No discount",IF(T1805&lt;=0.2,"Low (1-20%)",IF(T1805&lt;=0.4,"Medium (21-40%)","High (&gt;40%)"))))</f>
        <v/>
      </c>
      <c r="Y1805" s="23" t="str">
        <f aca="false">IF(AND(ISNUMBER(C1805),ISNUMBER(D1805)),D1805-C1805,"")</f>
        <v/>
      </c>
      <c r="Z1805" s="23" t="str">
        <f aca="false">IF(B1805="","",IF(MATCH(B1805,$B$2:$B$12000,0)=ROW()-1,1,0))</f>
        <v/>
      </c>
    </row>
    <row r="1806" customFormat="false" ht="15" hidden="false" customHeight="false" outlineLevel="0" collapsed="false">
      <c r="V1806" s="23" t="str">
        <f aca="false">IF(ISNUMBER(C1806),YEAR(C1806),"")</f>
        <v/>
      </c>
      <c r="W1806" s="23" t="str">
        <f aca="false">IF(ISNUMBER(C1806),MONTH(C1806),"")</f>
        <v/>
      </c>
      <c r="X1806" s="23" t="str">
        <f aca="false">IF(T1806="","",IF(T1806=0,"No discount",IF(T1806&lt;=0.2,"Low (1-20%)",IF(T1806&lt;=0.4,"Medium (21-40%)","High (&gt;40%)"))))</f>
        <v/>
      </c>
      <c r="Y1806" s="23" t="str">
        <f aca="false">IF(AND(ISNUMBER(C1806),ISNUMBER(D1806)),D1806-C1806,"")</f>
        <v/>
      </c>
      <c r="Z1806" s="23" t="str">
        <f aca="false">IF(B1806="","",IF(MATCH(B1806,$B$2:$B$12000,0)=ROW()-1,1,0))</f>
        <v/>
      </c>
    </row>
    <row r="1807" customFormat="false" ht="15" hidden="false" customHeight="false" outlineLevel="0" collapsed="false">
      <c r="V1807" s="23" t="str">
        <f aca="false">IF(ISNUMBER(C1807),YEAR(C1807),"")</f>
        <v/>
      </c>
      <c r="W1807" s="23" t="str">
        <f aca="false">IF(ISNUMBER(C1807),MONTH(C1807),"")</f>
        <v/>
      </c>
      <c r="X1807" s="23" t="str">
        <f aca="false">IF(T1807="","",IF(T1807=0,"No discount",IF(T1807&lt;=0.2,"Low (1-20%)",IF(T1807&lt;=0.4,"Medium (21-40%)","High (&gt;40%)"))))</f>
        <v/>
      </c>
      <c r="Y1807" s="23" t="str">
        <f aca="false">IF(AND(ISNUMBER(C1807),ISNUMBER(D1807)),D1807-C1807,"")</f>
        <v/>
      </c>
      <c r="Z1807" s="23" t="str">
        <f aca="false">IF(B1807="","",IF(MATCH(B1807,$B$2:$B$12000,0)=ROW()-1,1,0))</f>
        <v/>
      </c>
    </row>
    <row r="1808" customFormat="false" ht="15" hidden="false" customHeight="false" outlineLevel="0" collapsed="false">
      <c r="V1808" s="23" t="str">
        <f aca="false">IF(ISNUMBER(C1808),YEAR(C1808),"")</f>
        <v/>
      </c>
      <c r="W1808" s="23" t="str">
        <f aca="false">IF(ISNUMBER(C1808),MONTH(C1808),"")</f>
        <v/>
      </c>
      <c r="X1808" s="23" t="str">
        <f aca="false">IF(T1808="","",IF(T1808=0,"No discount",IF(T1808&lt;=0.2,"Low (1-20%)",IF(T1808&lt;=0.4,"Medium (21-40%)","High (&gt;40%)"))))</f>
        <v/>
      </c>
      <c r="Y1808" s="23" t="str">
        <f aca="false">IF(AND(ISNUMBER(C1808),ISNUMBER(D1808)),D1808-C1808,"")</f>
        <v/>
      </c>
      <c r="Z1808" s="23" t="str">
        <f aca="false">IF(B1808="","",IF(MATCH(B1808,$B$2:$B$12000,0)=ROW()-1,1,0))</f>
        <v/>
      </c>
    </row>
    <row r="1809" customFormat="false" ht="15" hidden="false" customHeight="false" outlineLevel="0" collapsed="false">
      <c r="V1809" s="23" t="str">
        <f aca="false">IF(ISNUMBER(C1809),YEAR(C1809),"")</f>
        <v/>
      </c>
      <c r="W1809" s="23" t="str">
        <f aca="false">IF(ISNUMBER(C1809),MONTH(C1809),"")</f>
        <v/>
      </c>
      <c r="X1809" s="23" t="str">
        <f aca="false">IF(T1809="","",IF(T1809=0,"No discount",IF(T1809&lt;=0.2,"Low (1-20%)",IF(T1809&lt;=0.4,"Medium (21-40%)","High (&gt;40%)"))))</f>
        <v/>
      </c>
      <c r="Y1809" s="23" t="str">
        <f aca="false">IF(AND(ISNUMBER(C1809),ISNUMBER(D1809)),D1809-C1809,"")</f>
        <v/>
      </c>
      <c r="Z1809" s="23" t="str">
        <f aca="false">IF(B1809="","",IF(MATCH(B1809,$B$2:$B$12000,0)=ROW()-1,1,0))</f>
        <v/>
      </c>
    </row>
    <row r="1810" customFormat="false" ht="15" hidden="false" customHeight="false" outlineLevel="0" collapsed="false">
      <c r="V1810" s="23" t="str">
        <f aca="false">IF(ISNUMBER(C1810),YEAR(C1810),"")</f>
        <v/>
      </c>
      <c r="W1810" s="23" t="str">
        <f aca="false">IF(ISNUMBER(C1810),MONTH(C1810),"")</f>
        <v/>
      </c>
      <c r="X1810" s="23" t="str">
        <f aca="false">IF(T1810="","",IF(T1810=0,"No discount",IF(T1810&lt;=0.2,"Low (1-20%)",IF(T1810&lt;=0.4,"Medium (21-40%)","High (&gt;40%)"))))</f>
        <v/>
      </c>
      <c r="Y1810" s="23" t="str">
        <f aca="false">IF(AND(ISNUMBER(C1810),ISNUMBER(D1810)),D1810-C1810,"")</f>
        <v/>
      </c>
      <c r="Z1810" s="23" t="str">
        <f aca="false">IF(B1810="","",IF(MATCH(B1810,$B$2:$B$12000,0)=ROW()-1,1,0))</f>
        <v/>
      </c>
    </row>
    <row r="1811" customFormat="false" ht="15" hidden="false" customHeight="false" outlineLevel="0" collapsed="false">
      <c r="V1811" s="23" t="str">
        <f aca="false">IF(ISNUMBER(C1811),YEAR(C1811),"")</f>
        <v/>
      </c>
      <c r="W1811" s="23" t="str">
        <f aca="false">IF(ISNUMBER(C1811),MONTH(C1811),"")</f>
        <v/>
      </c>
      <c r="X1811" s="23" t="str">
        <f aca="false">IF(T1811="","",IF(T1811=0,"No discount",IF(T1811&lt;=0.2,"Low (1-20%)",IF(T1811&lt;=0.4,"Medium (21-40%)","High (&gt;40%)"))))</f>
        <v/>
      </c>
      <c r="Y1811" s="23" t="str">
        <f aca="false">IF(AND(ISNUMBER(C1811),ISNUMBER(D1811)),D1811-C1811,"")</f>
        <v/>
      </c>
      <c r="Z1811" s="23" t="str">
        <f aca="false">IF(B1811="","",IF(MATCH(B1811,$B$2:$B$12000,0)=ROW()-1,1,0))</f>
        <v/>
      </c>
    </row>
    <row r="1812" customFormat="false" ht="15" hidden="false" customHeight="false" outlineLevel="0" collapsed="false">
      <c r="V1812" s="23" t="str">
        <f aca="false">IF(ISNUMBER(C1812),YEAR(C1812),"")</f>
        <v/>
      </c>
      <c r="W1812" s="23" t="str">
        <f aca="false">IF(ISNUMBER(C1812),MONTH(C1812),"")</f>
        <v/>
      </c>
      <c r="X1812" s="23" t="str">
        <f aca="false">IF(T1812="","",IF(T1812=0,"No discount",IF(T1812&lt;=0.2,"Low (1-20%)",IF(T1812&lt;=0.4,"Medium (21-40%)","High (&gt;40%)"))))</f>
        <v/>
      </c>
      <c r="Y1812" s="23" t="str">
        <f aca="false">IF(AND(ISNUMBER(C1812),ISNUMBER(D1812)),D1812-C1812,"")</f>
        <v/>
      </c>
      <c r="Z1812" s="23" t="str">
        <f aca="false">IF(B1812="","",IF(MATCH(B1812,$B$2:$B$12000,0)=ROW()-1,1,0))</f>
        <v/>
      </c>
    </row>
    <row r="1813" customFormat="false" ht="15" hidden="false" customHeight="false" outlineLevel="0" collapsed="false">
      <c r="V1813" s="23" t="str">
        <f aca="false">IF(ISNUMBER(C1813),YEAR(C1813),"")</f>
        <v/>
      </c>
      <c r="W1813" s="23" t="str">
        <f aca="false">IF(ISNUMBER(C1813),MONTH(C1813),"")</f>
        <v/>
      </c>
      <c r="X1813" s="23" t="str">
        <f aca="false">IF(T1813="","",IF(T1813=0,"No discount",IF(T1813&lt;=0.2,"Low (1-20%)",IF(T1813&lt;=0.4,"Medium (21-40%)","High (&gt;40%)"))))</f>
        <v/>
      </c>
      <c r="Y1813" s="23" t="str">
        <f aca="false">IF(AND(ISNUMBER(C1813),ISNUMBER(D1813)),D1813-C1813,"")</f>
        <v/>
      </c>
      <c r="Z1813" s="23" t="str">
        <f aca="false">IF(B1813="","",IF(MATCH(B1813,$B$2:$B$12000,0)=ROW()-1,1,0))</f>
        <v/>
      </c>
    </row>
    <row r="1814" customFormat="false" ht="15" hidden="false" customHeight="false" outlineLevel="0" collapsed="false">
      <c r="V1814" s="23" t="str">
        <f aca="false">IF(ISNUMBER(C1814),YEAR(C1814),"")</f>
        <v/>
      </c>
      <c r="W1814" s="23" t="str">
        <f aca="false">IF(ISNUMBER(C1814),MONTH(C1814),"")</f>
        <v/>
      </c>
      <c r="X1814" s="23" t="str">
        <f aca="false">IF(T1814="","",IF(T1814=0,"No discount",IF(T1814&lt;=0.2,"Low (1-20%)",IF(T1814&lt;=0.4,"Medium (21-40%)","High (&gt;40%)"))))</f>
        <v/>
      </c>
      <c r="Y1814" s="23" t="str">
        <f aca="false">IF(AND(ISNUMBER(C1814),ISNUMBER(D1814)),D1814-C1814,"")</f>
        <v/>
      </c>
      <c r="Z1814" s="23" t="str">
        <f aca="false">IF(B1814="","",IF(MATCH(B1814,$B$2:$B$12000,0)=ROW()-1,1,0))</f>
        <v/>
      </c>
    </row>
    <row r="1815" customFormat="false" ht="15" hidden="false" customHeight="false" outlineLevel="0" collapsed="false">
      <c r="V1815" s="23" t="str">
        <f aca="false">IF(ISNUMBER(C1815),YEAR(C1815),"")</f>
        <v/>
      </c>
      <c r="W1815" s="23" t="str">
        <f aca="false">IF(ISNUMBER(C1815),MONTH(C1815),"")</f>
        <v/>
      </c>
      <c r="X1815" s="23" t="str">
        <f aca="false">IF(T1815="","",IF(T1815=0,"No discount",IF(T1815&lt;=0.2,"Low (1-20%)",IF(T1815&lt;=0.4,"Medium (21-40%)","High (&gt;40%)"))))</f>
        <v/>
      </c>
      <c r="Y1815" s="23" t="str">
        <f aca="false">IF(AND(ISNUMBER(C1815),ISNUMBER(D1815)),D1815-C1815,"")</f>
        <v/>
      </c>
      <c r="Z1815" s="23" t="str">
        <f aca="false">IF(B1815="","",IF(MATCH(B1815,$B$2:$B$12000,0)=ROW()-1,1,0))</f>
        <v/>
      </c>
    </row>
    <row r="1816" customFormat="false" ht="15" hidden="false" customHeight="false" outlineLevel="0" collapsed="false">
      <c r="V1816" s="23" t="str">
        <f aca="false">IF(ISNUMBER(C1816),YEAR(C1816),"")</f>
        <v/>
      </c>
      <c r="W1816" s="23" t="str">
        <f aca="false">IF(ISNUMBER(C1816),MONTH(C1816),"")</f>
        <v/>
      </c>
      <c r="X1816" s="23" t="str">
        <f aca="false">IF(T1816="","",IF(T1816=0,"No discount",IF(T1816&lt;=0.2,"Low (1-20%)",IF(T1816&lt;=0.4,"Medium (21-40%)","High (&gt;40%)"))))</f>
        <v/>
      </c>
      <c r="Y1816" s="23" t="str">
        <f aca="false">IF(AND(ISNUMBER(C1816),ISNUMBER(D1816)),D1816-C1816,"")</f>
        <v/>
      </c>
      <c r="Z1816" s="23" t="str">
        <f aca="false">IF(B1816="","",IF(MATCH(B1816,$B$2:$B$12000,0)=ROW()-1,1,0))</f>
        <v/>
      </c>
    </row>
    <row r="1817" customFormat="false" ht="15" hidden="false" customHeight="false" outlineLevel="0" collapsed="false">
      <c r="V1817" s="23" t="str">
        <f aca="false">IF(ISNUMBER(C1817),YEAR(C1817),"")</f>
        <v/>
      </c>
      <c r="W1817" s="23" t="str">
        <f aca="false">IF(ISNUMBER(C1817),MONTH(C1817),"")</f>
        <v/>
      </c>
      <c r="X1817" s="23" t="str">
        <f aca="false">IF(T1817="","",IF(T1817=0,"No discount",IF(T1817&lt;=0.2,"Low (1-20%)",IF(T1817&lt;=0.4,"Medium (21-40%)","High (&gt;40%)"))))</f>
        <v/>
      </c>
      <c r="Y1817" s="23" t="str">
        <f aca="false">IF(AND(ISNUMBER(C1817),ISNUMBER(D1817)),D1817-C1817,"")</f>
        <v/>
      </c>
      <c r="Z1817" s="23" t="str">
        <f aca="false">IF(B1817="","",IF(MATCH(B1817,$B$2:$B$12000,0)=ROW()-1,1,0))</f>
        <v/>
      </c>
    </row>
    <row r="1818" customFormat="false" ht="15" hidden="false" customHeight="false" outlineLevel="0" collapsed="false">
      <c r="V1818" s="23" t="str">
        <f aca="false">IF(ISNUMBER(C1818),YEAR(C1818),"")</f>
        <v/>
      </c>
      <c r="W1818" s="23" t="str">
        <f aca="false">IF(ISNUMBER(C1818),MONTH(C1818),"")</f>
        <v/>
      </c>
      <c r="X1818" s="23" t="str">
        <f aca="false">IF(T1818="","",IF(T1818=0,"No discount",IF(T1818&lt;=0.2,"Low (1-20%)",IF(T1818&lt;=0.4,"Medium (21-40%)","High (&gt;40%)"))))</f>
        <v/>
      </c>
      <c r="Y1818" s="23" t="str">
        <f aca="false">IF(AND(ISNUMBER(C1818),ISNUMBER(D1818)),D1818-C1818,"")</f>
        <v/>
      </c>
      <c r="Z1818" s="23" t="str">
        <f aca="false">IF(B1818="","",IF(MATCH(B1818,$B$2:$B$12000,0)=ROW()-1,1,0))</f>
        <v/>
      </c>
    </row>
    <row r="1819" customFormat="false" ht="15" hidden="false" customHeight="false" outlineLevel="0" collapsed="false">
      <c r="V1819" s="23" t="str">
        <f aca="false">IF(ISNUMBER(C1819),YEAR(C1819),"")</f>
        <v/>
      </c>
      <c r="W1819" s="23" t="str">
        <f aca="false">IF(ISNUMBER(C1819),MONTH(C1819),"")</f>
        <v/>
      </c>
      <c r="X1819" s="23" t="str">
        <f aca="false">IF(T1819="","",IF(T1819=0,"No discount",IF(T1819&lt;=0.2,"Low (1-20%)",IF(T1819&lt;=0.4,"Medium (21-40%)","High (&gt;40%)"))))</f>
        <v/>
      </c>
      <c r="Y1819" s="23" t="str">
        <f aca="false">IF(AND(ISNUMBER(C1819),ISNUMBER(D1819)),D1819-C1819,"")</f>
        <v/>
      </c>
      <c r="Z1819" s="23" t="str">
        <f aca="false">IF(B1819="","",IF(MATCH(B1819,$B$2:$B$12000,0)=ROW()-1,1,0))</f>
        <v/>
      </c>
    </row>
    <row r="1820" customFormat="false" ht="15" hidden="false" customHeight="false" outlineLevel="0" collapsed="false">
      <c r="V1820" s="23" t="str">
        <f aca="false">IF(ISNUMBER(C1820),YEAR(C1820),"")</f>
        <v/>
      </c>
      <c r="W1820" s="23" t="str">
        <f aca="false">IF(ISNUMBER(C1820),MONTH(C1820),"")</f>
        <v/>
      </c>
      <c r="X1820" s="23" t="str">
        <f aca="false">IF(T1820="","",IF(T1820=0,"No discount",IF(T1820&lt;=0.2,"Low (1-20%)",IF(T1820&lt;=0.4,"Medium (21-40%)","High (&gt;40%)"))))</f>
        <v/>
      </c>
      <c r="Y1820" s="23" t="str">
        <f aca="false">IF(AND(ISNUMBER(C1820),ISNUMBER(D1820)),D1820-C1820,"")</f>
        <v/>
      </c>
      <c r="Z1820" s="23" t="str">
        <f aca="false">IF(B1820="","",IF(MATCH(B1820,$B$2:$B$12000,0)=ROW()-1,1,0))</f>
        <v/>
      </c>
    </row>
    <row r="1821" customFormat="false" ht="15" hidden="false" customHeight="false" outlineLevel="0" collapsed="false">
      <c r="V1821" s="23" t="str">
        <f aca="false">IF(ISNUMBER(C1821),YEAR(C1821),"")</f>
        <v/>
      </c>
      <c r="W1821" s="23" t="str">
        <f aca="false">IF(ISNUMBER(C1821),MONTH(C1821),"")</f>
        <v/>
      </c>
      <c r="X1821" s="23" t="str">
        <f aca="false">IF(T1821="","",IF(T1821=0,"No discount",IF(T1821&lt;=0.2,"Low (1-20%)",IF(T1821&lt;=0.4,"Medium (21-40%)","High (&gt;40%)"))))</f>
        <v/>
      </c>
      <c r="Y1821" s="23" t="str">
        <f aca="false">IF(AND(ISNUMBER(C1821),ISNUMBER(D1821)),D1821-C1821,"")</f>
        <v/>
      </c>
      <c r="Z1821" s="23" t="str">
        <f aca="false">IF(B1821="","",IF(MATCH(B1821,$B$2:$B$12000,0)=ROW()-1,1,0))</f>
        <v/>
      </c>
    </row>
    <row r="1822" customFormat="false" ht="15" hidden="false" customHeight="false" outlineLevel="0" collapsed="false">
      <c r="V1822" s="23" t="str">
        <f aca="false">IF(ISNUMBER(C1822),YEAR(C1822),"")</f>
        <v/>
      </c>
      <c r="W1822" s="23" t="str">
        <f aca="false">IF(ISNUMBER(C1822),MONTH(C1822),"")</f>
        <v/>
      </c>
      <c r="X1822" s="23" t="str">
        <f aca="false">IF(T1822="","",IF(T1822=0,"No discount",IF(T1822&lt;=0.2,"Low (1-20%)",IF(T1822&lt;=0.4,"Medium (21-40%)","High (&gt;40%)"))))</f>
        <v/>
      </c>
      <c r="Y1822" s="23" t="str">
        <f aca="false">IF(AND(ISNUMBER(C1822),ISNUMBER(D1822)),D1822-C1822,"")</f>
        <v/>
      </c>
      <c r="Z1822" s="23" t="str">
        <f aca="false">IF(B1822="","",IF(MATCH(B1822,$B$2:$B$12000,0)=ROW()-1,1,0))</f>
        <v/>
      </c>
    </row>
    <row r="1823" customFormat="false" ht="15" hidden="false" customHeight="false" outlineLevel="0" collapsed="false">
      <c r="V1823" s="23" t="str">
        <f aca="false">IF(ISNUMBER(C1823),YEAR(C1823),"")</f>
        <v/>
      </c>
      <c r="W1823" s="23" t="str">
        <f aca="false">IF(ISNUMBER(C1823),MONTH(C1823),"")</f>
        <v/>
      </c>
      <c r="X1823" s="23" t="str">
        <f aca="false">IF(T1823="","",IF(T1823=0,"No discount",IF(T1823&lt;=0.2,"Low (1-20%)",IF(T1823&lt;=0.4,"Medium (21-40%)","High (&gt;40%)"))))</f>
        <v/>
      </c>
      <c r="Y1823" s="23" t="str">
        <f aca="false">IF(AND(ISNUMBER(C1823),ISNUMBER(D1823)),D1823-C1823,"")</f>
        <v/>
      </c>
      <c r="Z1823" s="23" t="str">
        <f aca="false">IF(B1823="","",IF(MATCH(B1823,$B$2:$B$12000,0)=ROW()-1,1,0))</f>
        <v/>
      </c>
    </row>
    <row r="1824" customFormat="false" ht="15" hidden="false" customHeight="false" outlineLevel="0" collapsed="false">
      <c r="V1824" s="23" t="str">
        <f aca="false">IF(ISNUMBER(C1824),YEAR(C1824),"")</f>
        <v/>
      </c>
      <c r="W1824" s="23" t="str">
        <f aca="false">IF(ISNUMBER(C1824),MONTH(C1824),"")</f>
        <v/>
      </c>
      <c r="X1824" s="23" t="str">
        <f aca="false">IF(T1824="","",IF(T1824=0,"No discount",IF(T1824&lt;=0.2,"Low (1-20%)",IF(T1824&lt;=0.4,"Medium (21-40%)","High (&gt;40%)"))))</f>
        <v/>
      </c>
      <c r="Y1824" s="23" t="str">
        <f aca="false">IF(AND(ISNUMBER(C1824),ISNUMBER(D1824)),D1824-C1824,"")</f>
        <v/>
      </c>
      <c r="Z1824" s="23" t="str">
        <f aca="false">IF(B1824="","",IF(MATCH(B1824,$B$2:$B$12000,0)=ROW()-1,1,0))</f>
        <v/>
      </c>
    </row>
    <row r="1825" customFormat="false" ht="15" hidden="false" customHeight="false" outlineLevel="0" collapsed="false">
      <c r="V1825" s="23" t="str">
        <f aca="false">IF(ISNUMBER(C1825),YEAR(C1825),"")</f>
        <v/>
      </c>
      <c r="W1825" s="23" t="str">
        <f aca="false">IF(ISNUMBER(C1825),MONTH(C1825),"")</f>
        <v/>
      </c>
      <c r="X1825" s="23" t="str">
        <f aca="false">IF(T1825="","",IF(T1825=0,"No discount",IF(T1825&lt;=0.2,"Low (1-20%)",IF(T1825&lt;=0.4,"Medium (21-40%)","High (&gt;40%)"))))</f>
        <v/>
      </c>
      <c r="Y1825" s="23" t="str">
        <f aca="false">IF(AND(ISNUMBER(C1825),ISNUMBER(D1825)),D1825-C1825,"")</f>
        <v/>
      </c>
      <c r="Z1825" s="23" t="str">
        <f aca="false">IF(B1825="","",IF(MATCH(B1825,$B$2:$B$12000,0)=ROW()-1,1,0))</f>
        <v/>
      </c>
    </row>
    <row r="1826" customFormat="false" ht="15" hidden="false" customHeight="false" outlineLevel="0" collapsed="false">
      <c r="V1826" s="23" t="str">
        <f aca="false">IF(ISNUMBER(C1826),YEAR(C1826),"")</f>
        <v/>
      </c>
      <c r="W1826" s="23" t="str">
        <f aca="false">IF(ISNUMBER(C1826),MONTH(C1826),"")</f>
        <v/>
      </c>
      <c r="X1826" s="23" t="str">
        <f aca="false">IF(T1826="","",IF(T1826=0,"No discount",IF(T1826&lt;=0.2,"Low (1-20%)",IF(T1826&lt;=0.4,"Medium (21-40%)","High (&gt;40%)"))))</f>
        <v/>
      </c>
      <c r="Y1826" s="23" t="str">
        <f aca="false">IF(AND(ISNUMBER(C1826),ISNUMBER(D1826)),D1826-C1826,"")</f>
        <v/>
      </c>
      <c r="Z1826" s="23" t="str">
        <f aca="false">IF(B1826="","",IF(MATCH(B1826,$B$2:$B$12000,0)=ROW()-1,1,0))</f>
        <v/>
      </c>
    </row>
    <row r="1827" customFormat="false" ht="15" hidden="false" customHeight="false" outlineLevel="0" collapsed="false">
      <c r="V1827" s="23" t="str">
        <f aca="false">IF(ISNUMBER(C1827),YEAR(C1827),"")</f>
        <v/>
      </c>
      <c r="W1827" s="23" t="str">
        <f aca="false">IF(ISNUMBER(C1827),MONTH(C1827),"")</f>
        <v/>
      </c>
      <c r="X1827" s="23" t="str">
        <f aca="false">IF(T1827="","",IF(T1827=0,"No discount",IF(T1827&lt;=0.2,"Low (1-20%)",IF(T1827&lt;=0.4,"Medium (21-40%)","High (&gt;40%)"))))</f>
        <v/>
      </c>
      <c r="Y1827" s="23" t="str">
        <f aca="false">IF(AND(ISNUMBER(C1827),ISNUMBER(D1827)),D1827-C1827,"")</f>
        <v/>
      </c>
      <c r="Z1827" s="23" t="str">
        <f aca="false">IF(B1827="","",IF(MATCH(B1827,$B$2:$B$12000,0)=ROW()-1,1,0))</f>
        <v/>
      </c>
    </row>
    <row r="1828" customFormat="false" ht="15" hidden="false" customHeight="false" outlineLevel="0" collapsed="false">
      <c r="V1828" s="23" t="str">
        <f aca="false">IF(ISNUMBER(C1828),YEAR(C1828),"")</f>
        <v/>
      </c>
      <c r="W1828" s="23" t="str">
        <f aca="false">IF(ISNUMBER(C1828),MONTH(C1828),"")</f>
        <v/>
      </c>
      <c r="X1828" s="23" t="str">
        <f aca="false">IF(T1828="","",IF(T1828=0,"No discount",IF(T1828&lt;=0.2,"Low (1-20%)",IF(T1828&lt;=0.4,"Medium (21-40%)","High (&gt;40%)"))))</f>
        <v/>
      </c>
      <c r="Y1828" s="23" t="str">
        <f aca="false">IF(AND(ISNUMBER(C1828),ISNUMBER(D1828)),D1828-C1828,"")</f>
        <v/>
      </c>
      <c r="Z1828" s="23" t="str">
        <f aca="false">IF(B1828="","",IF(MATCH(B1828,$B$2:$B$12000,0)=ROW()-1,1,0))</f>
        <v/>
      </c>
    </row>
    <row r="1829" customFormat="false" ht="15" hidden="false" customHeight="false" outlineLevel="0" collapsed="false">
      <c r="V1829" s="23" t="str">
        <f aca="false">IF(ISNUMBER(C1829),YEAR(C1829),"")</f>
        <v/>
      </c>
      <c r="W1829" s="23" t="str">
        <f aca="false">IF(ISNUMBER(C1829),MONTH(C1829),"")</f>
        <v/>
      </c>
      <c r="X1829" s="23" t="str">
        <f aca="false">IF(T1829="","",IF(T1829=0,"No discount",IF(T1829&lt;=0.2,"Low (1-20%)",IF(T1829&lt;=0.4,"Medium (21-40%)","High (&gt;40%)"))))</f>
        <v/>
      </c>
      <c r="Y1829" s="23" t="str">
        <f aca="false">IF(AND(ISNUMBER(C1829),ISNUMBER(D1829)),D1829-C1829,"")</f>
        <v/>
      </c>
      <c r="Z1829" s="23" t="str">
        <f aca="false">IF(B1829="","",IF(MATCH(B1829,$B$2:$B$12000,0)=ROW()-1,1,0))</f>
        <v/>
      </c>
    </row>
    <row r="1830" customFormat="false" ht="15" hidden="false" customHeight="false" outlineLevel="0" collapsed="false">
      <c r="V1830" s="23" t="str">
        <f aca="false">IF(ISNUMBER(C1830),YEAR(C1830),"")</f>
        <v/>
      </c>
      <c r="W1830" s="23" t="str">
        <f aca="false">IF(ISNUMBER(C1830),MONTH(C1830),"")</f>
        <v/>
      </c>
      <c r="X1830" s="23" t="str">
        <f aca="false">IF(T1830="","",IF(T1830=0,"No discount",IF(T1830&lt;=0.2,"Low (1-20%)",IF(T1830&lt;=0.4,"Medium (21-40%)","High (&gt;40%)"))))</f>
        <v/>
      </c>
      <c r="Y1830" s="23" t="str">
        <f aca="false">IF(AND(ISNUMBER(C1830),ISNUMBER(D1830)),D1830-C1830,"")</f>
        <v/>
      </c>
      <c r="Z1830" s="23" t="str">
        <f aca="false">IF(B1830="","",IF(MATCH(B1830,$B$2:$B$12000,0)=ROW()-1,1,0))</f>
        <v/>
      </c>
    </row>
    <row r="1831" customFormat="false" ht="15" hidden="false" customHeight="false" outlineLevel="0" collapsed="false">
      <c r="V1831" s="23" t="str">
        <f aca="false">IF(ISNUMBER(C1831),YEAR(C1831),"")</f>
        <v/>
      </c>
      <c r="W1831" s="23" t="str">
        <f aca="false">IF(ISNUMBER(C1831),MONTH(C1831),"")</f>
        <v/>
      </c>
      <c r="X1831" s="23" t="str">
        <f aca="false">IF(T1831="","",IF(T1831=0,"No discount",IF(T1831&lt;=0.2,"Low (1-20%)",IF(T1831&lt;=0.4,"Medium (21-40%)","High (&gt;40%)"))))</f>
        <v/>
      </c>
      <c r="Y1831" s="23" t="str">
        <f aca="false">IF(AND(ISNUMBER(C1831),ISNUMBER(D1831)),D1831-C1831,"")</f>
        <v/>
      </c>
      <c r="Z1831" s="23" t="str">
        <f aca="false">IF(B1831="","",IF(MATCH(B1831,$B$2:$B$12000,0)=ROW()-1,1,0))</f>
        <v/>
      </c>
    </row>
    <row r="1832" customFormat="false" ht="15" hidden="false" customHeight="false" outlineLevel="0" collapsed="false">
      <c r="V1832" s="23" t="str">
        <f aca="false">IF(ISNUMBER(C1832),YEAR(C1832),"")</f>
        <v/>
      </c>
      <c r="W1832" s="23" t="str">
        <f aca="false">IF(ISNUMBER(C1832),MONTH(C1832),"")</f>
        <v/>
      </c>
      <c r="X1832" s="23" t="str">
        <f aca="false">IF(T1832="","",IF(T1832=0,"No discount",IF(T1832&lt;=0.2,"Low (1-20%)",IF(T1832&lt;=0.4,"Medium (21-40%)","High (&gt;40%)"))))</f>
        <v/>
      </c>
      <c r="Y1832" s="23" t="str">
        <f aca="false">IF(AND(ISNUMBER(C1832),ISNUMBER(D1832)),D1832-C1832,"")</f>
        <v/>
      </c>
      <c r="Z1832" s="23" t="str">
        <f aca="false">IF(B1832="","",IF(MATCH(B1832,$B$2:$B$12000,0)=ROW()-1,1,0))</f>
        <v/>
      </c>
    </row>
    <row r="1833" customFormat="false" ht="15" hidden="false" customHeight="false" outlineLevel="0" collapsed="false">
      <c r="V1833" s="23" t="str">
        <f aca="false">IF(ISNUMBER(C1833),YEAR(C1833),"")</f>
        <v/>
      </c>
      <c r="W1833" s="23" t="str">
        <f aca="false">IF(ISNUMBER(C1833),MONTH(C1833),"")</f>
        <v/>
      </c>
      <c r="X1833" s="23" t="str">
        <f aca="false">IF(T1833="","",IF(T1833=0,"No discount",IF(T1833&lt;=0.2,"Low (1-20%)",IF(T1833&lt;=0.4,"Medium (21-40%)","High (&gt;40%)"))))</f>
        <v/>
      </c>
      <c r="Y1833" s="23" t="str">
        <f aca="false">IF(AND(ISNUMBER(C1833),ISNUMBER(D1833)),D1833-C1833,"")</f>
        <v/>
      </c>
      <c r="Z1833" s="23" t="str">
        <f aca="false">IF(B1833="","",IF(MATCH(B1833,$B$2:$B$12000,0)=ROW()-1,1,0))</f>
        <v/>
      </c>
    </row>
    <row r="1834" customFormat="false" ht="15" hidden="false" customHeight="false" outlineLevel="0" collapsed="false">
      <c r="V1834" s="23" t="str">
        <f aca="false">IF(ISNUMBER(C1834),YEAR(C1834),"")</f>
        <v/>
      </c>
      <c r="W1834" s="23" t="str">
        <f aca="false">IF(ISNUMBER(C1834),MONTH(C1834),"")</f>
        <v/>
      </c>
      <c r="X1834" s="23" t="str">
        <f aca="false">IF(T1834="","",IF(T1834=0,"No discount",IF(T1834&lt;=0.2,"Low (1-20%)",IF(T1834&lt;=0.4,"Medium (21-40%)","High (&gt;40%)"))))</f>
        <v/>
      </c>
      <c r="Y1834" s="23" t="str">
        <f aca="false">IF(AND(ISNUMBER(C1834),ISNUMBER(D1834)),D1834-C1834,"")</f>
        <v/>
      </c>
      <c r="Z1834" s="23" t="str">
        <f aca="false">IF(B1834="","",IF(MATCH(B1834,$B$2:$B$12000,0)=ROW()-1,1,0))</f>
        <v/>
      </c>
    </row>
    <row r="1835" customFormat="false" ht="15" hidden="false" customHeight="false" outlineLevel="0" collapsed="false">
      <c r="V1835" s="23" t="str">
        <f aca="false">IF(ISNUMBER(C1835),YEAR(C1835),"")</f>
        <v/>
      </c>
      <c r="W1835" s="23" t="str">
        <f aca="false">IF(ISNUMBER(C1835),MONTH(C1835),"")</f>
        <v/>
      </c>
      <c r="X1835" s="23" t="str">
        <f aca="false">IF(T1835="","",IF(T1835=0,"No discount",IF(T1835&lt;=0.2,"Low (1-20%)",IF(T1835&lt;=0.4,"Medium (21-40%)","High (&gt;40%)"))))</f>
        <v/>
      </c>
      <c r="Y1835" s="23" t="str">
        <f aca="false">IF(AND(ISNUMBER(C1835),ISNUMBER(D1835)),D1835-C1835,"")</f>
        <v/>
      </c>
      <c r="Z1835" s="23" t="str">
        <f aca="false">IF(B1835="","",IF(MATCH(B1835,$B$2:$B$12000,0)=ROW()-1,1,0))</f>
        <v/>
      </c>
    </row>
    <row r="1836" customFormat="false" ht="15" hidden="false" customHeight="false" outlineLevel="0" collapsed="false">
      <c r="V1836" s="23" t="str">
        <f aca="false">IF(ISNUMBER(C1836),YEAR(C1836),"")</f>
        <v/>
      </c>
      <c r="W1836" s="23" t="str">
        <f aca="false">IF(ISNUMBER(C1836),MONTH(C1836),"")</f>
        <v/>
      </c>
      <c r="X1836" s="23" t="str">
        <f aca="false">IF(T1836="","",IF(T1836=0,"No discount",IF(T1836&lt;=0.2,"Low (1-20%)",IF(T1836&lt;=0.4,"Medium (21-40%)","High (&gt;40%)"))))</f>
        <v/>
      </c>
      <c r="Y1836" s="23" t="str">
        <f aca="false">IF(AND(ISNUMBER(C1836),ISNUMBER(D1836)),D1836-C1836,"")</f>
        <v/>
      </c>
      <c r="Z1836" s="23" t="str">
        <f aca="false">IF(B1836="","",IF(MATCH(B1836,$B$2:$B$12000,0)=ROW()-1,1,0))</f>
        <v/>
      </c>
    </row>
    <row r="1837" customFormat="false" ht="15" hidden="false" customHeight="false" outlineLevel="0" collapsed="false">
      <c r="V1837" s="23" t="str">
        <f aca="false">IF(ISNUMBER(C1837),YEAR(C1837),"")</f>
        <v/>
      </c>
      <c r="W1837" s="23" t="str">
        <f aca="false">IF(ISNUMBER(C1837),MONTH(C1837),"")</f>
        <v/>
      </c>
      <c r="X1837" s="23" t="str">
        <f aca="false">IF(T1837="","",IF(T1837=0,"No discount",IF(T1837&lt;=0.2,"Low (1-20%)",IF(T1837&lt;=0.4,"Medium (21-40%)","High (&gt;40%)"))))</f>
        <v/>
      </c>
      <c r="Y1837" s="23" t="str">
        <f aca="false">IF(AND(ISNUMBER(C1837),ISNUMBER(D1837)),D1837-C1837,"")</f>
        <v/>
      </c>
      <c r="Z1837" s="23" t="str">
        <f aca="false">IF(B1837="","",IF(MATCH(B1837,$B$2:$B$12000,0)=ROW()-1,1,0))</f>
        <v/>
      </c>
    </row>
    <row r="1838" customFormat="false" ht="15" hidden="false" customHeight="false" outlineLevel="0" collapsed="false">
      <c r="V1838" s="23" t="str">
        <f aca="false">IF(ISNUMBER(C1838),YEAR(C1838),"")</f>
        <v/>
      </c>
      <c r="W1838" s="23" t="str">
        <f aca="false">IF(ISNUMBER(C1838),MONTH(C1838),"")</f>
        <v/>
      </c>
      <c r="X1838" s="23" t="str">
        <f aca="false">IF(T1838="","",IF(T1838=0,"No discount",IF(T1838&lt;=0.2,"Low (1-20%)",IF(T1838&lt;=0.4,"Medium (21-40%)","High (&gt;40%)"))))</f>
        <v/>
      </c>
      <c r="Y1838" s="23" t="str">
        <f aca="false">IF(AND(ISNUMBER(C1838),ISNUMBER(D1838)),D1838-C1838,"")</f>
        <v/>
      </c>
      <c r="Z1838" s="23" t="str">
        <f aca="false">IF(B1838="","",IF(MATCH(B1838,$B$2:$B$12000,0)=ROW()-1,1,0))</f>
        <v/>
      </c>
    </row>
    <row r="1839" customFormat="false" ht="15" hidden="false" customHeight="false" outlineLevel="0" collapsed="false">
      <c r="V1839" s="23" t="str">
        <f aca="false">IF(ISNUMBER(C1839),YEAR(C1839),"")</f>
        <v/>
      </c>
      <c r="W1839" s="23" t="str">
        <f aca="false">IF(ISNUMBER(C1839),MONTH(C1839),"")</f>
        <v/>
      </c>
      <c r="X1839" s="23" t="str">
        <f aca="false">IF(T1839="","",IF(T1839=0,"No discount",IF(T1839&lt;=0.2,"Low (1-20%)",IF(T1839&lt;=0.4,"Medium (21-40%)","High (&gt;40%)"))))</f>
        <v/>
      </c>
      <c r="Y1839" s="23" t="str">
        <f aca="false">IF(AND(ISNUMBER(C1839),ISNUMBER(D1839)),D1839-C1839,"")</f>
        <v/>
      </c>
      <c r="Z1839" s="23" t="str">
        <f aca="false">IF(B1839="","",IF(MATCH(B1839,$B$2:$B$12000,0)=ROW()-1,1,0))</f>
        <v/>
      </c>
    </row>
    <row r="1840" customFormat="false" ht="15" hidden="false" customHeight="false" outlineLevel="0" collapsed="false">
      <c r="V1840" s="23" t="str">
        <f aca="false">IF(ISNUMBER(C1840),YEAR(C1840),"")</f>
        <v/>
      </c>
      <c r="W1840" s="23" t="str">
        <f aca="false">IF(ISNUMBER(C1840),MONTH(C1840),"")</f>
        <v/>
      </c>
      <c r="X1840" s="23" t="str">
        <f aca="false">IF(T1840="","",IF(T1840=0,"No discount",IF(T1840&lt;=0.2,"Low (1-20%)",IF(T1840&lt;=0.4,"Medium (21-40%)","High (&gt;40%)"))))</f>
        <v/>
      </c>
      <c r="Y1840" s="23" t="str">
        <f aca="false">IF(AND(ISNUMBER(C1840),ISNUMBER(D1840)),D1840-C1840,"")</f>
        <v/>
      </c>
      <c r="Z1840" s="23" t="str">
        <f aca="false">IF(B1840="","",IF(MATCH(B1840,$B$2:$B$12000,0)=ROW()-1,1,0))</f>
        <v/>
      </c>
    </row>
    <row r="1841" customFormat="false" ht="15" hidden="false" customHeight="false" outlineLevel="0" collapsed="false">
      <c r="V1841" s="23" t="str">
        <f aca="false">IF(ISNUMBER(C1841),YEAR(C1841),"")</f>
        <v/>
      </c>
      <c r="W1841" s="23" t="str">
        <f aca="false">IF(ISNUMBER(C1841),MONTH(C1841),"")</f>
        <v/>
      </c>
      <c r="X1841" s="23" t="str">
        <f aca="false">IF(T1841="","",IF(T1841=0,"No discount",IF(T1841&lt;=0.2,"Low (1-20%)",IF(T1841&lt;=0.4,"Medium (21-40%)","High (&gt;40%)"))))</f>
        <v/>
      </c>
      <c r="Y1841" s="23" t="str">
        <f aca="false">IF(AND(ISNUMBER(C1841),ISNUMBER(D1841)),D1841-C1841,"")</f>
        <v/>
      </c>
      <c r="Z1841" s="23" t="str">
        <f aca="false">IF(B1841="","",IF(MATCH(B1841,$B$2:$B$12000,0)=ROW()-1,1,0))</f>
        <v/>
      </c>
    </row>
    <row r="1842" customFormat="false" ht="15" hidden="false" customHeight="false" outlineLevel="0" collapsed="false">
      <c r="V1842" s="23" t="str">
        <f aca="false">IF(ISNUMBER(C1842),YEAR(C1842),"")</f>
        <v/>
      </c>
      <c r="W1842" s="23" t="str">
        <f aca="false">IF(ISNUMBER(C1842),MONTH(C1842),"")</f>
        <v/>
      </c>
      <c r="X1842" s="23" t="str">
        <f aca="false">IF(T1842="","",IF(T1842=0,"No discount",IF(T1842&lt;=0.2,"Low (1-20%)",IF(T1842&lt;=0.4,"Medium (21-40%)","High (&gt;40%)"))))</f>
        <v/>
      </c>
      <c r="Y1842" s="23" t="str">
        <f aca="false">IF(AND(ISNUMBER(C1842),ISNUMBER(D1842)),D1842-C1842,"")</f>
        <v/>
      </c>
      <c r="Z1842" s="23" t="str">
        <f aca="false">IF(B1842="","",IF(MATCH(B1842,$B$2:$B$12000,0)=ROW()-1,1,0))</f>
        <v/>
      </c>
    </row>
    <row r="1843" customFormat="false" ht="15" hidden="false" customHeight="false" outlineLevel="0" collapsed="false">
      <c r="V1843" s="23" t="str">
        <f aca="false">IF(ISNUMBER(C1843),YEAR(C1843),"")</f>
        <v/>
      </c>
      <c r="W1843" s="23" t="str">
        <f aca="false">IF(ISNUMBER(C1843),MONTH(C1843),"")</f>
        <v/>
      </c>
      <c r="X1843" s="23" t="str">
        <f aca="false">IF(T1843="","",IF(T1843=0,"No discount",IF(T1843&lt;=0.2,"Low (1-20%)",IF(T1843&lt;=0.4,"Medium (21-40%)","High (&gt;40%)"))))</f>
        <v/>
      </c>
      <c r="Y1843" s="23" t="str">
        <f aca="false">IF(AND(ISNUMBER(C1843),ISNUMBER(D1843)),D1843-C1843,"")</f>
        <v/>
      </c>
      <c r="Z1843" s="23" t="str">
        <f aca="false">IF(B1843="","",IF(MATCH(B1843,$B$2:$B$12000,0)=ROW()-1,1,0))</f>
        <v/>
      </c>
    </row>
    <row r="1844" customFormat="false" ht="15" hidden="false" customHeight="false" outlineLevel="0" collapsed="false">
      <c r="V1844" s="23" t="str">
        <f aca="false">IF(ISNUMBER(C1844),YEAR(C1844),"")</f>
        <v/>
      </c>
      <c r="W1844" s="23" t="str">
        <f aca="false">IF(ISNUMBER(C1844),MONTH(C1844),"")</f>
        <v/>
      </c>
      <c r="X1844" s="23" t="str">
        <f aca="false">IF(T1844="","",IF(T1844=0,"No discount",IF(T1844&lt;=0.2,"Low (1-20%)",IF(T1844&lt;=0.4,"Medium (21-40%)","High (&gt;40%)"))))</f>
        <v/>
      </c>
      <c r="Y1844" s="23" t="str">
        <f aca="false">IF(AND(ISNUMBER(C1844),ISNUMBER(D1844)),D1844-C1844,"")</f>
        <v/>
      </c>
      <c r="Z1844" s="23" t="str">
        <f aca="false">IF(B1844="","",IF(MATCH(B1844,$B$2:$B$12000,0)=ROW()-1,1,0))</f>
        <v/>
      </c>
    </row>
    <row r="1845" customFormat="false" ht="15" hidden="false" customHeight="false" outlineLevel="0" collapsed="false">
      <c r="V1845" s="23" t="str">
        <f aca="false">IF(ISNUMBER(C1845),YEAR(C1845),"")</f>
        <v/>
      </c>
      <c r="W1845" s="23" t="str">
        <f aca="false">IF(ISNUMBER(C1845),MONTH(C1845),"")</f>
        <v/>
      </c>
      <c r="X1845" s="23" t="str">
        <f aca="false">IF(T1845="","",IF(T1845=0,"No discount",IF(T1845&lt;=0.2,"Low (1-20%)",IF(T1845&lt;=0.4,"Medium (21-40%)","High (&gt;40%)"))))</f>
        <v/>
      </c>
      <c r="Y1845" s="23" t="str">
        <f aca="false">IF(AND(ISNUMBER(C1845),ISNUMBER(D1845)),D1845-C1845,"")</f>
        <v/>
      </c>
      <c r="Z1845" s="23" t="str">
        <f aca="false">IF(B1845="","",IF(MATCH(B1845,$B$2:$B$12000,0)=ROW()-1,1,0))</f>
        <v/>
      </c>
    </row>
    <row r="1846" customFormat="false" ht="15" hidden="false" customHeight="false" outlineLevel="0" collapsed="false">
      <c r="V1846" s="23" t="str">
        <f aca="false">IF(ISNUMBER(C1846),YEAR(C1846),"")</f>
        <v/>
      </c>
      <c r="W1846" s="23" t="str">
        <f aca="false">IF(ISNUMBER(C1846),MONTH(C1846),"")</f>
        <v/>
      </c>
      <c r="X1846" s="23" t="str">
        <f aca="false">IF(T1846="","",IF(T1846=0,"No discount",IF(T1846&lt;=0.2,"Low (1-20%)",IF(T1846&lt;=0.4,"Medium (21-40%)","High (&gt;40%)"))))</f>
        <v/>
      </c>
      <c r="Y1846" s="23" t="str">
        <f aca="false">IF(AND(ISNUMBER(C1846),ISNUMBER(D1846)),D1846-C1846,"")</f>
        <v/>
      </c>
      <c r="Z1846" s="23" t="str">
        <f aca="false">IF(B1846="","",IF(MATCH(B1846,$B$2:$B$12000,0)=ROW()-1,1,0))</f>
        <v/>
      </c>
    </row>
    <row r="1847" customFormat="false" ht="15" hidden="false" customHeight="false" outlineLevel="0" collapsed="false">
      <c r="V1847" s="23" t="str">
        <f aca="false">IF(ISNUMBER(C1847),YEAR(C1847),"")</f>
        <v/>
      </c>
      <c r="W1847" s="23" t="str">
        <f aca="false">IF(ISNUMBER(C1847),MONTH(C1847),"")</f>
        <v/>
      </c>
      <c r="X1847" s="23" t="str">
        <f aca="false">IF(T1847="","",IF(T1847=0,"No discount",IF(T1847&lt;=0.2,"Low (1-20%)",IF(T1847&lt;=0.4,"Medium (21-40%)","High (&gt;40%)"))))</f>
        <v/>
      </c>
      <c r="Y1847" s="23" t="str">
        <f aca="false">IF(AND(ISNUMBER(C1847),ISNUMBER(D1847)),D1847-C1847,"")</f>
        <v/>
      </c>
      <c r="Z1847" s="23" t="str">
        <f aca="false">IF(B1847="","",IF(MATCH(B1847,$B$2:$B$12000,0)=ROW()-1,1,0))</f>
        <v/>
      </c>
    </row>
    <row r="1848" customFormat="false" ht="15" hidden="false" customHeight="false" outlineLevel="0" collapsed="false">
      <c r="V1848" s="23" t="str">
        <f aca="false">IF(ISNUMBER(C1848),YEAR(C1848),"")</f>
        <v/>
      </c>
      <c r="W1848" s="23" t="str">
        <f aca="false">IF(ISNUMBER(C1848),MONTH(C1848),"")</f>
        <v/>
      </c>
      <c r="X1848" s="23" t="str">
        <f aca="false">IF(T1848="","",IF(T1848=0,"No discount",IF(T1848&lt;=0.2,"Low (1-20%)",IF(T1848&lt;=0.4,"Medium (21-40%)","High (&gt;40%)"))))</f>
        <v/>
      </c>
      <c r="Y1848" s="23" t="str">
        <f aca="false">IF(AND(ISNUMBER(C1848),ISNUMBER(D1848)),D1848-C1848,"")</f>
        <v/>
      </c>
      <c r="Z1848" s="23" t="str">
        <f aca="false">IF(B1848="","",IF(MATCH(B1848,$B$2:$B$12000,0)=ROW()-1,1,0))</f>
        <v/>
      </c>
    </row>
    <row r="1849" customFormat="false" ht="15" hidden="false" customHeight="false" outlineLevel="0" collapsed="false">
      <c r="V1849" s="23" t="str">
        <f aca="false">IF(ISNUMBER(C1849),YEAR(C1849),"")</f>
        <v/>
      </c>
      <c r="W1849" s="23" t="str">
        <f aca="false">IF(ISNUMBER(C1849),MONTH(C1849),"")</f>
        <v/>
      </c>
      <c r="X1849" s="23" t="str">
        <f aca="false">IF(T1849="","",IF(T1849=0,"No discount",IF(T1849&lt;=0.2,"Low (1-20%)",IF(T1849&lt;=0.4,"Medium (21-40%)","High (&gt;40%)"))))</f>
        <v/>
      </c>
      <c r="Y1849" s="23" t="str">
        <f aca="false">IF(AND(ISNUMBER(C1849),ISNUMBER(D1849)),D1849-C1849,"")</f>
        <v/>
      </c>
      <c r="Z1849" s="23" t="str">
        <f aca="false">IF(B1849="","",IF(MATCH(B1849,$B$2:$B$12000,0)=ROW()-1,1,0))</f>
        <v/>
      </c>
    </row>
    <row r="1850" customFormat="false" ht="15" hidden="false" customHeight="false" outlineLevel="0" collapsed="false">
      <c r="V1850" s="23" t="str">
        <f aca="false">IF(ISNUMBER(C1850),YEAR(C1850),"")</f>
        <v/>
      </c>
      <c r="W1850" s="23" t="str">
        <f aca="false">IF(ISNUMBER(C1850),MONTH(C1850),"")</f>
        <v/>
      </c>
      <c r="X1850" s="23" t="str">
        <f aca="false">IF(T1850="","",IF(T1850=0,"No discount",IF(T1850&lt;=0.2,"Low (1-20%)",IF(T1850&lt;=0.4,"Medium (21-40%)","High (&gt;40%)"))))</f>
        <v/>
      </c>
      <c r="Y1850" s="23" t="str">
        <f aca="false">IF(AND(ISNUMBER(C1850),ISNUMBER(D1850)),D1850-C1850,"")</f>
        <v/>
      </c>
      <c r="Z1850" s="23" t="str">
        <f aca="false">IF(B1850="","",IF(MATCH(B1850,$B$2:$B$12000,0)=ROW()-1,1,0))</f>
        <v/>
      </c>
    </row>
    <row r="1851" customFormat="false" ht="15" hidden="false" customHeight="false" outlineLevel="0" collapsed="false">
      <c r="V1851" s="23" t="str">
        <f aca="false">IF(ISNUMBER(C1851),YEAR(C1851),"")</f>
        <v/>
      </c>
      <c r="W1851" s="23" t="str">
        <f aca="false">IF(ISNUMBER(C1851),MONTH(C1851),"")</f>
        <v/>
      </c>
      <c r="X1851" s="23" t="str">
        <f aca="false">IF(T1851="","",IF(T1851=0,"No discount",IF(T1851&lt;=0.2,"Low (1-20%)",IF(T1851&lt;=0.4,"Medium (21-40%)","High (&gt;40%)"))))</f>
        <v/>
      </c>
      <c r="Y1851" s="23" t="str">
        <f aca="false">IF(AND(ISNUMBER(C1851),ISNUMBER(D1851)),D1851-C1851,"")</f>
        <v/>
      </c>
      <c r="Z1851" s="23" t="str">
        <f aca="false">IF(B1851="","",IF(MATCH(B1851,$B$2:$B$12000,0)=ROW()-1,1,0))</f>
        <v/>
      </c>
    </row>
    <row r="1852" customFormat="false" ht="15" hidden="false" customHeight="false" outlineLevel="0" collapsed="false">
      <c r="V1852" s="23" t="str">
        <f aca="false">IF(ISNUMBER(C1852),YEAR(C1852),"")</f>
        <v/>
      </c>
      <c r="W1852" s="23" t="str">
        <f aca="false">IF(ISNUMBER(C1852),MONTH(C1852),"")</f>
        <v/>
      </c>
      <c r="X1852" s="23" t="str">
        <f aca="false">IF(T1852="","",IF(T1852=0,"No discount",IF(T1852&lt;=0.2,"Low (1-20%)",IF(T1852&lt;=0.4,"Medium (21-40%)","High (&gt;40%)"))))</f>
        <v/>
      </c>
      <c r="Y1852" s="23" t="str">
        <f aca="false">IF(AND(ISNUMBER(C1852),ISNUMBER(D1852)),D1852-C1852,"")</f>
        <v/>
      </c>
      <c r="Z1852" s="23" t="str">
        <f aca="false">IF(B1852="","",IF(MATCH(B1852,$B$2:$B$12000,0)=ROW()-1,1,0))</f>
        <v/>
      </c>
    </row>
    <row r="1853" customFormat="false" ht="15" hidden="false" customHeight="false" outlineLevel="0" collapsed="false">
      <c r="V1853" s="23" t="str">
        <f aca="false">IF(ISNUMBER(C1853),YEAR(C1853),"")</f>
        <v/>
      </c>
      <c r="W1853" s="23" t="str">
        <f aca="false">IF(ISNUMBER(C1853),MONTH(C1853),"")</f>
        <v/>
      </c>
      <c r="X1853" s="23" t="str">
        <f aca="false">IF(T1853="","",IF(T1853=0,"No discount",IF(T1853&lt;=0.2,"Low (1-20%)",IF(T1853&lt;=0.4,"Medium (21-40%)","High (&gt;40%)"))))</f>
        <v/>
      </c>
      <c r="Y1853" s="23" t="str">
        <f aca="false">IF(AND(ISNUMBER(C1853),ISNUMBER(D1853)),D1853-C1853,"")</f>
        <v/>
      </c>
      <c r="Z1853" s="23" t="str">
        <f aca="false">IF(B1853="","",IF(MATCH(B1853,$B$2:$B$12000,0)=ROW()-1,1,0))</f>
        <v/>
      </c>
    </row>
    <row r="1854" customFormat="false" ht="15" hidden="false" customHeight="false" outlineLevel="0" collapsed="false">
      <c r="V1854" s="23" t="str">
        <f aca="false">IF(ISNUMBER(C1854),YEAR(C1854),"")</f>
        <v/>
      </c>
      <c r="W1854" s="23" t="str">
        <f aca="false">IF(ISNUMBER(C1854),MONTH(C1854),"")</f>
        <v/>
      </c>
      <c r="X1854" s="23" t="str">
        <f aca="false">IF(T1854="","",IF(T1854=0,"No discount",IF(T1854&lt;=0.2,"Low (1-20%)",IF(T1854&lt;=0.4,"Medium (21-40%)","High (&gt;40%)"))))</f>
        <v/>
      </c>
      <c r="Y1854" s="23" t="str">
        <f aca="false">IF(AND(ISNUMBER(C1854),ISNUMBER(D1854)),D1854-C1854,"")</f>
        <v/>
      </c>
      <c r="Z1854" s="23" t="str">
        <f aca="false">IF(B1854="","",IF(MATCH(B1854,$B$2:$B$12000,0)=ROW()-1,1,0))</f>
        <v/>
      </c>
    </row>
    <row r="1855" customFormat="false" ht="15" hidden="false" customHeight="false" outlineLevel="0" collapsed="false">
      <c r="V1855" s="23" t="str">
        <f aca="false">IF(ISNUMBER(C1855),YEAR(C1855),"")</f>
        <v/>
      </c>
      <c r="W1855" s="23" t="str">
        <f aca="false">IF(ISNUMBER(C1855),MONTH(C1855),"")</f>
        <v/>
      </c>
      <c r="X1855" s="23" t="str">
        <f aca="false">IF(T1855="","",IF(T1855=0,"No discount",IF(T1855&lt;=0.2,"Low (1-20%)",IF(T1855&lt;=0.4,"Medium (21-40%)","High (&gt;40%)"))))</f>
        <v/>
      </c>
      <c r="Y1855" s="23" t="str">
        <f aca="false">IF(AND(ISNUMBER(C1855),ISNUMBER(D1855)),D1855-C1855,"")</f>
        <v/>
      </c>
      <c r="Z1855" s="23" t="str">
        <f aca="false">IF(B1855="","",IF(MATCH(B1855,$B$2:$B$12000,0)=ROW()-1,1,0))</f>
        <v/>
      </c>
    </row>
    <row r="1856" customFormat="false" ht="15" hidden="false" customHeight="false" outlineLevel="0" collapsed="false">
      <c r="V1856" s="23" t="str">
        <f aca="false">IF(ISNUMBER(C1856),YEAR(C1856),"")</f>
        <v/>
      </c>
      <c r="W1856" s="23" t="str">
        <f aca="false">IF(ISNUMBER(C1856),MONTH(C1856),"")</f>
        <v/>
      </c>
      <c r="X1856" s="23" t="str">
        <f aca="false">IF(T1856="","",IF(T1856=0,"No discount",IF(T1856&lt;=0.2,"Low (1-20%)",IF(T1856&lt;=0.4,"Medium (21-40%)","High (&gt;40%)"))))</f>
        <v/>
      </c>
      <c r="Y1856" s="23" t="str">
        <f aca="false">IF(AND(ISNUMBER(C1856),ISNUMBER(D1856)),D1856-C1856,"")</f>
        <v/>
      </c>
      <c r="Z1856" s="23" t="str">
        <f aca="false">IF(B1856="","",IF(MATCH(B1856,$B$2:$B$12000,0)=ROW()-1,1,0))</f>
        <v/>
      </c>
    </row>
    <row r="1857" customFormat="false" ht="15" hidden="false" customHeight="false" outlineLevel="0" collapsed="false">
      <c r="V1857" s="23" t="str">
        <f aca="false">IF(ISNUMBER(C1857),YEAR(C1857),"")</f>
        <v/>
      </c>
      <c r="W1857" s="23" t="str">
        <f aca="false">IF(ISNUMBER(C1857),MONTH(C1857),"")</f>
        <v/>
      </c>
      <c r="X1857" s="23" t="str">
        <f aca="false">IF(T1857="","",IF(T1857=0,"No discount",IF(T1857&lt;=0.2,"Low (1-20%)",IF(T1857&lt;=0.4,"Medium (21-40%)","High (&gt;40%)"))))</f>
        <v/>
      </c>
      <c r="Y1857" s="23" t="str">
        <f aca="false">IF(AND(ISNUMBER(C1857),ISNUMBER(D1857)),D1857-C1857,"")</f>
        <v/>
      </c>
      <c r="Z1857" s="23" t="str">
        <f aca="false">IF(B1857="","",IF(MATCH(B1857,$B$2:$B$12000,0)=ROW()-1,1,0))</f>
        <v/>
      </c>
    </row>
    <row r="1858" customFormat="false" ht="15" hidden="false" customHeight="false" outlineLevel="0" collapsed="false">
      <c r="V1858" s="23" t="str">
        <f aca="false">IF(ISNUMBER(C1858),YEAR(C1858),"")</f>
        <v/>
      </c>
      <c r="W1858" s="23" t="str">
        <f aca="false">IF(ISNUMBER(C1858),MONTH(C1858),"")</f>
        <v/>
      </c>
      <c r="X1858" s="23" t="str">
        <f aca="false">IF(T1858="","",IF(T1858=0,"No discount",IF(T1858&lt;=0.2,"Low (1-20%)",IF(T1858&lt;=0.4,"Medium (21-40%)","High (&gt;40%)"))))</f>
        <v/>
      </c>
      <c r="Y1858" s="23" t="str">
        <f aca="false">IF(AND(ISNUMBER(C1858),ISNUMBER(D1858)),D1858-C1858,"")</f>
        <v/>
      </c>
      <c r="Z1858" s="23" t="str">
        <f aca="false">IF(B1858="","",IF(MATCH(B1858,$B$2:$B$12000,0)=ROW()-1,1,0))</f>
        <v/>
      </c>
    </row>
    <row r="1859" customFormat="false" ht="15" hidden="false" customHeight="false" outlineLevel="0" collapsed="false">
      <c r="V1859" s="23" t="str">
        <f aca="false">IF(ISNUMBER(C1859),YEAR(C1859),"")</f>
        <v/>
      </c>
      <c r="W1859" s="23" t="str">
        <f aca="false">IF(ISNUMBER(C1859),MONTH(C1859),"")</f>
        <v/>
      </c>
      <c r="X1859" s="23" t="str">
        <f aca="false">IF(T1859="","",IF(T1859=0,"No discount",IF(T1859&lt;=0.2,"Low (1-20%)",IF(T1859&lt;=0.4,"Medium (21-40%)","High (&gt;40%)"))))</f>
        <v/>
      </c>
      <c r="Y1859" s="23" t="str">
        <f aca="false">IF(AND(ISNUMBER(C1859),ISNUMBER(D1859)),D1859-C1859,"")</f>
        <v/>
      </c>
      <c r="Z1859" s="23" t="str">
        <f aca="false">IF(B1859="","",IF(MATCH(B1859,$B$2:$B$12000,0)=ROW()-1,1,0))</f>
        <v/>
      </c>
    </row>
    <row r="1860" customFormat="false" ht="15" hidden="false" customHeight="false" outlineLevel="0" collapsed="false">
      <c r="V1860" s="23" t="str">
        <f aca="false">IF(ISNUMBER(C1860),YEAR(C1860),"")</f>
        <v/>
      </c>
      <c r="W1860" s="23" t="str">
        <f aca="false">IF(ISNUMBER(C1860),MONTH(C1860),"")</f>
        <v/>
      </c>
      <c r="X1860" s="23" t="str">
        <f aca="false">IF(T1860="","",IF(T1860=0,"No discount",IF(T1860&lt;=0.2,"Low (1-20%)",IF(T1860&lt;=0.4,"Medium (21-40%)","High (&gt;40%)"))))</f>
        <v/>
      </c>
      <c r="Y1860" s="23" t="str">
        <f aca="false">IF(AND(ISNUMBER(C1860),ISNUMBER(D1860)),D1860-C1860,"")</f>
        <v/>
      </c>
      <c r="Z1860" s="23" t="str">
        <f aca="false">IF(B1860="","",IF(MATCH(B1860,$B$2:$B$12000,0)=ROW()-1,1,0))</f>
        <v/>
      </c>
    </row>
    <row r="1861" customFormat="false" ht="15" hidden="false" customHeight="false" outlineLevel="0" collapsed="false">
      <c r="V1861" s="23" t="str">
        <f aca="false">IF(ISNUMBER(C1861),YEAR(C1861),"")</f>
        <v/>
      </c>
      <c r="W1861" s="23" t="str">
        <f aca="false">IF(ISNUMBER(C1861),MONTH(C1861),"")</f>
        <v/>
      </c>
      <c r="X1861" s="23" t="str">
        <f aca="false">IF(T1861="","",IF(T1861=0,"No discount",IF(T1861&lt;=0.2,"Low (1-20%)",IF(T1861&lt;=0.4,"Medium (21-40%)","High (&gt;40%)"))))</f>
        <v/>
      </c>
      <c r="Y1861" s="23" t="str">
        <f aca="false">IF(AND(ISNUMBER(C1861),ISNUMBER(D1861)),D1861-C1861,"")</f>
        <v/>
      </c>
      <c r="Z1861" s="23" t="str">
        <f aca="false">IF(B1861="","",IF(MATCH(B1861,$B$2:$B$12000,0)=ROW()-1,1,0))</f>
        <v/>
      </c>
    </row>
    <row r="1862" customFormat="false" ht="15" hidden="false" customHeight="false" outlineLevel="0" collapsed="false">
      <c r="V1862" s="23" t="str">
        <f aca="false">IF(ISNUMBER(C1862),YEAR(C1862),"")</f>
        <v/>
      </c>
      <c r="W1862" s="23" t="str">
        <f aca="false">IF(ISNUMBER(C1862),MONTH(C1862),"")</f>
        <v/>
      </c>
      <c r="X1862" s="23" t="str">
        <f aca="false">IF(T1862="","",IF(T1862=0,"No discount",IF(T1862&lt;=0.2,"Low (1-20%)",IF(T1862&lt;=0.4,"Medium (21-40%)","High (&gt;40%)"))))</f>
        <v/>
      </c>
      <c r="Y1862" s="23" t="str">
        <f aca="false">IF(AND(ISNUMBER(C1862),ISNUMBER(D1862)),D1862-C1862,"")</f>
        <v/>
      </c>
      <c r="Z1862" s="23" t="str">
        <f aca="false">IF(B1862="","",IF(MATCH(B1862,$B$2:$B$12000,0)=ROW()-1,1,0))</f>
        <v/>
      </c>
    </row>
    <row r="1863" customFormat="false" ht="15" hidden="false" customHeight="false" outlineLevel="0" collapsed="false">
      <c r="V1863" s="23" t="str">
        <f aca="false">IF(ISNUMBER(C1863),YEAR(C1863),"")</f>
        <v/>
      </c>
      <c r="W1863" s="23" t="str">
        <f aca="false">IF(ISNUMBER(C1863),MONTH(C1863),"")</f>
        <v/>
      </c>
      <c r="X1863" s="23" t="str">
        <f aca="false">IF(T1863="","",IF(T1863=0,"No discount",IF(T1863&lt;=0.2,"Low (1-20%)",IF(T1863&lt;=0.4,"Medium (21-40%)","High (&gt;40%)"))))</f>
        <v/>
      </c>
      <c r="Y1863" s="23" t="str">
        <f aca="false">IF(AND(ISNUMBER(C1863),ISNUMBER(D1863)),D1863-C1863,"")</f>
        <v/>
      </c>
      <c r="Z1863" s="23" t="str">
        <f aca="false">IF(B1863="","",IF(MATCH(B1863,$B$2:$B$12000,0)=ROW()-1,1,0))</f>
        <v/>
      </c>
    </row>
    <row r="1864" customFormat="false" ht="15" hidden="false" customHeight="false" outlineLevel="0" collapsed="false">
      <c r="V1864" s="23" t="str">
        <f aca="false">IF(ISNUMBER(C1864),YEAR(C1864),"")</f>
        <v/>
      </c>
      <c r="W1864" s="23" t="str">
        <f aca="false">IF(ISNUMBER(C1864),MONTH(C1864),"")</f>
        <v/>
      </c>
      <c r="X1864" s="23" t="str">
        <f aca="false">IF(T1864="","",IF(T1864=0,"No discount",IF(T1864&lt;=0.2,"Low (1-20%)",IF(T1864&lt;=0.4,"Medium (21-40%)","High (&gt;40%)"))))</f>
        <v/>
      </c>
      <c r="Y1864" s="23" t="str">
        <f aca="false">IF(AND(ISNUMBER(C1864),ISNUMBER(D1864)),D1864-C1864,"")</f>
        <v/>
      </c>
      <c r="Z1864" s="23" t="str">
        <f aca="false">IF(B1864="","",IF(MATCH(B1864,$B$2:$B$12000,0)=ROW()-1,1,0))</f>
        <v/>
      </c>
    </row>
    <row r="1865" customFormat="false" ht="15" hidden="false" customHeight="false" outlineLevel="0" collapsed="false">
      <c r="V1865" s="23" t="str">
        <f aca="false">IF(ISNUMBER(C1865),YEAR(C1865),"")</f>
        <v/>
      </c>
      <c r="W1865" s="23" t="str">
        <f aca="false">IF(ISNUMBER(C1865),MONTH(C1865),"")</f>
        <v/>
      </c>
      <c r="X1865" s="23" t="str">
        <f aca="false">IF(T1865="","",IF(T1865=0,"No discount",IF(T1865&lt;=0.2,"Low (1-20%)",IF(T1865&lt;=0.4,"Medium (21-40%)","High (&gt;40%)"))))</f>
        <v/>
      </c>
      <c r="Y1865" s="23" t="str">
        <f aca="false">IF(AND(ISNUMBER(C1865),ISNUMBER(D1865)),D1865-C1865,"")</f>
        <v/>
      </c>
      <c r="Z1865" s="23" t="str">
        <f aca="false">IF(B1865="","",IF(MATCH(B1865,$B$2:$B$12000,0)=ROW()-1,1,0))</f>
        <v/>
      </c>
    </row>
    <row r="1866" customFormat="false" ht="15" hidden="false" customHeight="false" outlineLevel="0" collapsed="false">
      <c r="V1866" s="23" t="str">
        <f aca="false">IF(ISNUMBER(C1866),YEAR(C1866),"")</f>
        <v/>
      </c>
      <c r="W1866" s="23" t="str">
        <f aca="false">IF(ISNUMBER(C1866),MONTH(C1866),"")</f>
        <v/>
      </c>
      <c r="X1866" s="23" t="str">
        <f aca="false">IF(T1866="","",IF(T1866=0,"No discount",IF(T1866&lt;=0.2,"Low (1-20%)",IF(T1866&lt;=0.4,"Medium (21-40%)","High (&gt;40%)"))))</f>
        <v/>
      </c>
      <c r="Y1866" s="23" t="str">
        <f aca="false">IF(AND(ISNUMBER(C1866),ISNUMBER(D1866)),D1866-C1866,"")</f>
        <v/>
      </c>
      <c r="Z1866" s="23" t="str">
        <f aca="false">IF(B1866="","",IF(MATCH(B1866,$B$2:$B$12000,0)=ROW()-1,1,0))</f>
        <v/>
      </c>
    </row>
    <row r="1867" customFormat="false" ht="15" hidden="false" customHeight="false" outlineLevel="0" collapsed="false">
      <c r="V1867" s="23" t="str">
        <f aca="false">IF(ISNUMBER(C1867),YEAR(C1867),"")</f>
        <v/>
      </c>
      <c r="W1867" s="23" t="str">
        <f aca="false">IF(ISNUMBER(C1867),MONTH(C1867),"")</f>
        <v/>
      </c>
      <c r="X1867" s="23" t="str">
        <f aca="false">IF(T1867="","",IF(T1867=0,"No discount",IF(T1867&lt;=0.2,"Low (1-20%)",IF(T1867&lt;=0.4,"Medium (21-40%)","High (&gt;40%)"))))</f>
        <v/>
      </c>
      <c r="Y1867" s="23" t="str">
        <f aca="false">IF(AND(ISNUMBER(C1867),ISNUMBER(D1867)),D1867-C1867,"")</f>
        <v/>
      </c>
      <c r="Z1867" s="23" t="str">
        <f aca="false">IF(B1867="","",IF(MATCH(B1867,$B$2:$B$12000,0)=ROW()-1,1,0))</f>
        <v/>
      </c>
    </row>
    <row r="1868" customFormat="false" ht="15" hidden="false" customHeight="false" outlineLevel="0" collapsed="false">
      <c r="V1868" s="23" t="str">
        <f aca="false">IF(ISNUMBER(C1868),YEAR(C1868),"")</f>
        <v/>
      </c>
      <c r="W1868" s="23" t="str">
        <f aca="false">IF(ISNUMBER(C1868),MONTH(C1868),"")</f>
        <v/>
      </c>
      <c r="X1868" s="23" t="str">
        <f aca="false">IF(T1868="","",IF(T1868=0,"No discount",IF(T1868&lt;=0.2,"Low (1-20%)",IF(T1868&lt;=0.4,"Medium (21-40%)","High (&gt;40%)"))))</f>
        <v/>
      </c>
      <c r="Y1868" s="23" t="str">
        <f aca="false">IF(AND(ISNUMBER(C1868),ISNUMBER(D1868)),D1868-C1868,"")</f>
        <v/>
      </c>
      <c r="Z1868" s="23" t="str">
        <f aca="false">IF(B1868="","",IF(MATCH(B1868,$B$2:$B$12000,0)=ROW()-1,1,0))</f>
        <v/>
      </c>
    </row>
    <row r="1869" customFormat="false" ht="15" hidden="false" customHeight="false" outlineLevel="0" collapsed="false">
      <c r="V1869" s="23" t="str">
        <f aca="false">IF(ISNUMBER(C1869),YEAR(C1869),"")</f>
        <v/>
      </c>
      <c r="W1869" s="23" t="str">
        <f aca="false">IF(ISNUMBER(C1869),MONTH(C1869),"")</f>
        <v/>
      </c>
      <c r="X1869" s="23" t="str">
        <f aca="false">IF(T1869="","",IF(T1869=0,"No discount",IF(T1869&lt;=0.2,"Low (1-20%)",IF(T1869&lt;=0.4,"Medium (21-40%)","High (&gt;40%)"))))</f>
        <v/>
      </c>
      <c r="Y1869" s="23" t="str">
        <f aca="false">IF(AND(ISNUMBER(C1869),ISNUMBER(D1869)),D1869-C1869,"")</f>
        <v/>
      </c>
      <c r="Z1869" s="23" t="str">
        <f aca="false">IF(B1869="","",IF(MATCH(B1869,$B$2:$B$12000,0)=ROW()-1,1,0))</f>
        <v/>
      </c>
    </row>
    <row r="1870" customFormat="false" ht="15" hidden="false" customHeight="false" outlineLevel="0" collapsed="false">
      <c r="V1870" s="23" t="str">
        <f aca="false">IF(ISNUMBER(C1870),YEAR(C1870),"")</f>
        <v/>
      </c>
      <c r="W1870" s="23" t="str">
        <f aca="false">IF(ISNUMBER(C1870),MONTH(C1870),"")</f>
        <v/>
      </c>
      <c r="X1870" s="23" t="str">
        <f aca="false">IF(T1870="","",IF(T1870=0,"No discount",IF(T1870&lt;=0.2,"Low (1-20%)",IF(T1870&lt;=0.4,"Medium (21-40%)","High (&gt;40%)"))))</f>
        <v/>
      </c>
      <c r="Y1870" s="23" t="str">
        <f aca="false">IF(AND(ISNUMBER(C1870),ISNUMBER(D1870)),D1870-C1870,"")</f>
        <v/>
      </c>
      <c r="Z1870" s="23" t="str">
        <f aca="false">IF(B1870="","",IF(MATCH(B1870,$B$2:$B$12000,0)=ROW()-1,1,0))</f>
        <v/>
      </c>
    </row>
    <row r="1871" customFormat="false" ht="15" hidden="false" customHeight="false" outlineLevel="0" collapsed="false">
      <c r="V1871" s="23" t="str">
        <f aca="false">IF(ISNUMBER(C1871),YEAR(C1871),"")</f>
        <v/>
      </c>
      <c r="W1871" s="23" t="str">
        <f aca="false">IF(ISNUMBER(C1871),MONTH(C1871),"")</f>
        <v/>
      </c>
      <c r="X1871" s="23" t="str">
        <f aca="false">IF(T1871="","",IF(T1871=0,"No discount",IF(T1871&lt;=0.2,"Low (1-20%)",IF(T1871&lt;=0.4,"Medium (21-40%)","High (&gt;40%)"))))</f>
        <v/>
      </c>
      <c r="Y1871" s="23" t="str">
        <f aca="false">IF(AND(ISNUMBER(C1871),ISNUMBER(D1871)),D1871-C1871,"")</f>
        <v/>
      </c>
      <c r="Z1871" s="23" t="str">
        <f aca="false">IF(B1871="","",IF(MATCH(B1871,$B$2:$B$12000,0)=ROW()-1,1,0))</f>
        <v/>
      </c>
    </row>
    <row r="1872" customFormat="false" ht="15" hidden="false" customHeight="false" outlineLevel="0" collapsed="false">
      <c r="V1872" s="23" t="str">
        <f aca="false">IF(ISNUMBER(C1872),YEAR(C1872),"")</f>
        <v/>
      </c>
      <c r="W1872" s="23" t="str">
        <f aca="false">IF(ISNUMBER(C1872),MONTH(C1872),"")</f>
        <v/>
      </c>
      <c r="X1872" s="23" t="str">
        <f aca="false">IF(T1872="","",IF(T1872=0,"No discount",IF(T1872&lt;=0.2,"Low (1-20%)",IF(T1872&lt;=0.4,"Medium (21-40%)","High (&gt;40%)"))))</f>
        <v/>
      </c>
      <c r="Y1872" s="23" t="str">
        <f aca="false">IF(AND(ISNUMBER(C1872),ISNUMBER(D1872)),D1872-C1872,"")</f>
        <v/>
      </c>
      <c r="Z1872" s="23" t="str">
        <f aca="false">IF(B1872="","",IF(MATCH(B1872,$B$2:$B$12000,0)=ROW()-1,1,0))</f>
        <v/>
      </c>
    </row>
    <row r="1873" customFormat="false" ht="15" hidden="false" customHeight="false" outlineLevel="0" collapsed="false">
      <c r="V1873" s="23" t="str">
        <f aca="false">IF(ISNUMBER(C1873),YEAR(C1873),"")</f>
        <v/>
      </c>
      <c r="W1873" s="23" t="str">
        <f aca="false">IF(ISNUMBER(C1873),MONTH(C1873),"")</f>
        <v/>
      </c>
      <c r="X1873" s="23" t="str">
        <f aca="false">IF(T1873="","",IF(T1873=0,"No discount",IF(T1873&lt;=0.2,"Low (1-20%)",IF(T1873&lt;=0.4,"Medium (21-40%)","High (&gt;40%)"))))</f>
        <v/>
      </c>
      <c r="Y1873" s="23" t="str">
        <f aca="false">IF(AND(ISNUMBER(C1873),ISNUMBER(D1873)),D1873-C1873,"")</f>
        <v/>
      </c>
      <c r="Z1873" s="23" t="str">
        <f aca="false">IF(B1873="","",IF(MATCH(B1873,$B$2:$B$12000,0)=ROW()-1,1,0))</f>
        <v/>
      </c>
    </row>
    <row r="1874" customFormat="false" ht="15" hidden="false" customHeight="false" outlineLevel="0" collapsed="false">
      <c r="V1874" s="23" t="str">
        <f aca="false">IF(ISNUMBER(C1874),YEAR(C1874),"")</f>
        <v/>
      </c>
      <c r="W1874" s="23" t="str">
        <f aca="false">IF(ISNUMBER(C1874),MONTH(C1874),"")</f>
        <v/>
      </c>
      <c r="X1874" s="23" t="str">
        <f aca="false">IF(T1874="","",IF(T1874=0,"No discount",IF(T1874&lt;=0.2,"Low (1-20%)",IF(T1874&lt;=0.4,"Medium (21-40%)","High (&gt;40%)"))))</f>
        <v/>
      </c>
      <c r="Y1874" s="23" t="str">
        <f aca="false">IF(AND(ISNUMBER(C1874),ISNUMBER(D1874)),D1874-C1874,"")</f>
        <v/>
      </c>
      <c r="Z1874" s="23" t="str">
        <f aca="false">IF(B1874="","",IF(MATCH(B1874,$B$2:$B$12000,0)=ROW()-1,1,0))</f>
        <v/>
      </c>
    </row>
    <row r="1875" customFormat="false" ht="15" hidden="false" customHeight="false" outlineLevel="0" collapsed="false">
      <c r="V1875" s="23" t="str">
        <f aca="false">IF(ISNUMBER(C1875),YEAR(C1875),"")</f>
        <v/>
      </c>
      <c r="W1875" s="23" t="str">
        <f aca="false">IF(ISNUMBER(C1875),MONTH(C1875),"")</f>
        <v/>
      </c>
      <c r="X1875" s="23" t="str">
        <f aca="false">IF(T1875="","",IF(T1875=0,"No discount",IF(T1875&lt;=0.2,"Low (1-20%)",IF(T1875&lt;=0.4,"Medium (21-40%)","High (&gt;40%)"))))</f>
        <v/>
      </c>
      <c r="Y1875" s="23" t="str">
        <f aca="false">IF(AND(ISNUMBER(C1875),ISNUMBER(D1875)),D1875-C1875,"")</f>
        <v/>
      </c>
      <c r="Z1875" s="23" t="str">
        <f aca="false">IF(B1875="","",IF(MATCH(B1875,$B$2:$B$12000,0)=ROW()-1,1,0))</f>
        <v/>
      </c>
    </row>
    <row r="1876" customFormat="false" ht="15" hidden="false" customHeight="false" outlineLevel="0" collapsed="false">
      <c r="V1876" s="23" t="str">
        <f aca="false">IF(ISNUMBER(C1876),YEAR(C1876),"")</f>
        <v/>
      </c>
      <c r="W1876" s="23" t="str">
        <f aca="false">IF(ISNUMBER(C1876),MONTH(C1876),"")</f>
        <v/>
      </c>
      <c r="X1876" s="23" t="str">
        <f aca="false">IF(T1876="","",IF(T1876=0,"No discount",IF(T1876&lt;=0.2,"Low (1-20%)",IF(T1876&lt;=0.4,"Medium (21-40%)","High (&gt;40%)"))))</f>
        <v/>
      </c>
      <c r="Y1876" s="23" t="str">
        <f aca="false">IF(AND(ISNUMBER(C1876),ISNUMBER(D1876)),D1876-C1876,"")</f>
        <v/>
      </c>
      <c r="Z1876" s="23" t="str">
        <f aca="false">IF(B1876="","",IF(MATCH(B1876,$B$2:$B$12000,0)=ROW()-1,1,0))</f>
        <v/>
      </c>
    </row>
    <row r="1877" customFormat="false" ht="15" hidden="false" customHeight="false" outlineLevel="0" collapsed="false">
      <c r="V1877" s="23" t="str">
        <f aca="false">IF(ISNUMBER(C1877),YEAR(C1877),"")</f>
        <v/>
      </c>
      <c r="W1877" s="23" t="str">
        <f aca="false">IF(ISNUMBER(C1877),MONTH(C1877),"")</f>
        <v/>
      </c>
      <c r="X1877" s="23" t="str">
        <f aca="false">IF(T1877="","",IF(T1877=0,"No discount",IF(T1877&lt;=0.2,"Low (1-20%)",IF(T1877&lt;=0.4,"Medium (21-40%)","High (&gt;40%)"))))</f>
        <v/>
      </c>
      <c r="Y1877" s="23" t="str">
        <f aca="false">IF(AND(ISNUMBER(C1877),ISNUMBER(D1877)),D1877-C1877,"")</f>
        <v/>
      </c>
      <c r="Z1877" s="23" t="str">
        <f aca="false">IF(B1877="","",IF(MATCH(B1877,$B$2:$B$12000,0)=ROW()-1,1,0))</f>
        <v/>
      </c>
    </row>
    <row r="1878" customFormat="false" ht="15" hidden="false" customHeight="false" outlineLevel="0" collapsed="false">
      <c r="V1878" s="23" t="str">
        <f aca="false">IF(ISNUMBER(C1878),YEAR(C1878),"")</f>
        <v/>
      </c>
      <c r="W1878" s="23" t="str">
        <f aca="false">IF(ISNUMBER(C1878),MONTH(C1878),"")</f>
        <v/>
      </c>
      <c r="X1878" s="23" t="str">
        <f aca="false">IF(T1878="","",IF(T1878=0,"No discount",IF(T1878&lt;=0.2,"Low (1-20%)",IF(T1878&lt;=0.4,"Medium (21-40%)","High (&gt;40%)"))))</f>
        <v/>
      </c>
      <c r="Y1878" s="23" t="str">
        <f aca="false">IF(AND(ISNUMBER(C1878),ISNUMBER(D1878)),D1878-C1878,"")</f>
        <v/>
      </c>
      <c r="Z1878" s="23" t="str">
        <f aca="false">IF(B1878="","",IF(MATCH(B1878,$B$2:$B$12000,0)=ROW()-1,1,0))</f>
        <v/>
      </c>
    </row>
    <row r="1879" customFormat="false" ht="15" hidden="false" customHeight="false" outlineLevel="0" collapsed="false">
      <c r="V1879" s="23" t="str">
        <f aca="false">IF(ISNUMBER(C1879),YEAR(C1879),"")</f>
        <v/>
      </c>
      <c r="W1879" s="23" t="str">
        <f aca="false">IF(ISNUMBER(C1879),MONTH(C1879),"")</f>
        <v/>
      </c>
      <c r="X1879" s="23" t="str">
        <f aca="false">IF(T1879="","",IF(T1879=0,"No discount",IF(T1879&lt;=0.2,"Low (1-20%)",IF(T1879&lt;=0.4,"Medium (21-40%)","High (&gt;40%)"))))</f>
        <v/>
      </c>
      <c r="Y1879" s="23" t="str">
        <f aca="false">IF(AND(ISNUMBER(C1879),ISNUMBER(D1879)),D1879-C1879,"")</f>
        <v/>
      </c>
      <c r="Z1879" s="23" t="str">
        <f aca="false">IF(B1879="","",IF(MATCH(B1879,$B$2:$B$12000,0)=ROW()-1,1,0))</f>
        <v/>
      </c>
    </row>
    <row r="1880" customFormat="false" ht="15" hidden="false" customHeight="false" outlineLevel="0" collapsed="false">
      <c r="V1880" s="23" t="str">
        <f aca="false">IF(ISNUMBER(C1880),YEAR(C1880),"")</f>
        <v/>
      </c>
      <c r="W1880" s="23" t="str">
        <f aca="false">IF(ISNUMBER(C1880),MONTH(C1880),"")</f>
        <v/>
      </c>
      <c r="X1880" s="23" t="str">
        <f aca="false">IF(T1880="","",IF(T1880=0,"No discount",IF(T1880&lt;=0.2,"Low (1-20%)",IF(T1880&lt;=0.4,"Medium (21-40%)","High (&gt;40%)"))))</f>
        <v/>
      </c>
      <c r="Y1880" s="23" t="str">
        <f aca="false">IF(AND(ISNUMBER(C1880),ISNUMBER(D1880)),D1880-C1880,"")</f>
        <v/>
      </c>
      <c r="Z1880" s="23" t="str">
        <f aca="false">IF(B1880="","",IF(MATCH(B1880,$B$2:$B$12000,0)=ROW()-1,1,0))</f>
        <v/>
      </c>
    </row>
    <row r="1881" customFormat="false" ht="15" hidden="false" customHeight="false" outlineLevel="0" collapsed="false">
      <c r="V1881" s="23" t="str">
        <f aca="false">IF(ISNUMBER(C1881),YEAR(C1881),"")</f>
        <v/>
      </c>
      <c r="W1881" s="23" t="str">
        <f aca="false">IF(ISNUMBER(C1881),MONTH(C1881),"")</f>
        <v/>
      </c>
      <c r="X1881" s="23" t="str">
        <f aca="false">IF(T1881="","",IF(T1881=0,"No discount",IF(T1881&lt;=0.2,"Low (1-20%)",IF(T1881&lt;=0.4,"Medium (21-40%)","High (&gt;40%)"))))</f>
        <v/>
      </c>
      <c r="Y1881" s="23" t="str">
        <f aca="false">IF(AND(ISNUMBER(C1881),ISNUMBER(D1881)),D1881-C1881,"")</f>
        <v/>
      </c>
      <c r="Z1881" s="23" t="str">
        <f aca="false">IF(B1881="","",IF(MATCH(B1881,$B$2:$B$12000,0)=ROW()-1,1,0))</f>
        <v/>
      </c>
    </row>
    <row r="1882" customFormat="false" ht="15" hidden="false" customHeight="false" outlineLevel="0" collapsed="false">
      <c r="V1882" s="23" t="str">
        <f aca="false">IF(ISNUMBER(C1882),YEAR(C1882),"")</f>
        <v/>
      </c>
      <c r="W1882" s="23" t="str">
        <f aca="false">IF(ISNUMBER(C1882),MONTH(C1882),"")</f>
        <v/>
      </c>
      <c r="X1882" s="23" t="str">
        <f aca="false">IF(T1882="","",IF(T1882=0,"No discount",IF(T1882&lt;=0.2,"Low (1-20%)",IF(T1882&lt;=0.4,"Medium (21-40%)","High (&gt;40%)"))))</f>
        <v/>
      </c>
      <c r="Y1882" s="23" t="str">
        <f aca="false">IF(AND(ISNUMBER(C1882),ISNUMBER(D1882)),D1882-C1882,"")</f>
        <v/>
      </c>
      <c r="Z1882" s="23" t="str">
        <f aca="false">IF(B1882="","",IF(MATCH(B1882,$B$2:$B$12000,0)=ROW()-1,1,0))</f>
        <v/>
      </c>
    </row>
    <row r="1883" customFormat="false" ht="15" hidden="false" customHeight="false" outlineLevel="0" collapsed="false">
      <c r="V1883" s="23" t="str">
        <f aca="false">IF(ISNUMBER(C1883),YEAR(C1883),"")</f>
        <v/>
      </c>
      <c r="W1883" s="23" t="str">
        <f aca="false">IF(ISNUMBER(C1883),MONTH(C1883),"")</f>
        <v/>
      </c>
      <c r="X1883" s="23" t="str">
        <f aca="false">IF(T1883="","",IF(T1883=0,"No discount",IF(T1883&lt;=0.2,"Low (1-20%)",IF(T1883&lt;=0.4,"Medium (21-40%)","High (&gt;40%)"))))</f>
        <v/>
      </c>
      <c r="Y1883" s="23" t="str">
        <f aca="false">IF(AND(ISNUMBER(C1883),ISNUMBER(D1883)),D1883-C1883,"")</f>
        <v/>
      </c>
      <c r="Z1883" s="23" t="str">
        <f aca="false">IF(B1883="","",IF(MATCH(B1883,$B$2:$B$12000,0)=ROW()-1,1,0))</f>
        <v/>
      </c>
    </row>
    <row r="1884" customFormat="false" ht="15" hidden="false" customHeight="false" outlineLevel="0" collapsed="false">
      <c r="V1884" s="23" t="str">
        <f aca="false">IF(ISNUMBER(C1884),YEAR(C1884),"")</f>
        <v/>
      </c>
      <c r="W1884" s="23" t="str">
        <f aca="false">IF(ISNUMBER(C1884),MONTH(C1884),"")</f>
        <v/>
      </c>
      <c r="X1884" s="23" t="str">
        <f aca="false">IF(T1884="","",IF(T1884=0,"No discount",IF(T1884&lt;=0.2,"Low (1-20%)",IF(T1884&lt;=0.4,"Medium (21-40%)","High (&gt;40%)"))))</f>
        <v/>
      </c>
      <c r="Y1884" s="23" t="str">
        <f aca="false">IF(AND(ISNUMBER(C1884),ISNUMBER(D1884)),D1884-C1884,"")</f>
        <v/>
      </c>
      <c r="Z1884" s="23" t="str">
        <f aca="false">IF(B1884="","",IF(MATCH(B1884,$B$2:$B$12000,0)=ROW()-1,1,0))</f>
        <v/>
      </c>
    </row>
    <row r="1885" customFormat="false" ht="15" hidden="false" customHeight="false" outlineLevel="0" collapsed="false">
      <c r="V1885" s="23" t="str">
        <f aca="false">IF(ISNUMBER(C1885),YEAR(C1885),"")</f>
        <v/>
      </c>
      <c r="W1885" s="23" t="str">
        <f aca="false">IF(ISNUMBER(C1885),MONTH(C1885),"")</f>
        <v/>
      </c>
      <c r="X1885" s="23" t="str">
        <f aca="false">IF(T1885="","",IF(T1885=0,"No discount",IF(T1885&lt;=0.2,"Low (1-20%)",IF(T1885&lt;=0.4,"Medium (21-40%)","High (&gt;40%)"))))</f>
        <v/>
      </c>
      <c r="Y1885" s="23" t="str">
        <f aca="false">IF(AND(ISNUMBER(C1885),ISNUMBER(D1885)),D1885-C1885,"")</f>
        <v/>
      </c>
      <c r="Z1885" s="23" t="str">
        <f aca="false">IF(B1885="","",IF(MATCH(B1885,$B$2:$B$12000,0)=ROW()-1,1,0))</f>
        <v/>
      </c>
    </row>
    <row r="1886" customFormat="false" ht="15" hidden="false" customHeight="false" outlineLevel="0" collapsed="false">
      <c r="V1886" s="23" t="str">
        <f aca="false">IF(ISNUMBER(C1886),YEAR(C1886),"")</f>
        <v/>
      </c>
      <c r="W1886" s="23" t="str">
        <f aca="false">IF(ISNUMBER(C1886),MONTH(C1886),"")</f>
        <v/>
      </c>
      <c r="X1886" s="23" t="str">
        <f aca="false">IF(T1886="","",IF(T1886=0,"No discount",IF(T1886&lt;=0.2,"Low (1-20%)",IF(T1886&lt;=0.4,"Medium (21-40%)","High (&gt;40%)"))))</f>
        <v/>
      </c>
      <c r="Y1886" s="23" t="str">
        <f aca="false">IF(AND(ISNUMBER(C1886),ISNUMBER(D1886)),D1886-C1886,"")</f>
        <v/>
      </c>
      <c r="Z1886" s="23" t="str">
        <f aca="false">IF(B1886="","",IF(MATCH(B1886,$B$2:$B$12000,0)=ROW()-1,1,0))</f>
        <v/>
      </c>
    </row>
    <row r="1887" customFormat="false" ht="15" hidden="false" customHeight="false" outlineLevel="0" collapsed="false">
      <c r="V1887" s="23" t="str">
        <f aca="false">IF(ISNUMBER(C1887),YEAR(C1887),"")</f>
        <v/>
      </c>
      <c r="W1887" s="23" t="str">
        <f aca="false">IF(ISNUMBER(C1887),MONTH(C1887),"")</f>
        <v/>
      </c>
      <c r="X1887" s="23" t="str">
        <f aca="false">IF(T1887="","",IF(T1887=0,"No discount",IF(T1887&lt;=0.2,"Low (1-20%)",IF(T1887&lt;=0.4,"Medium (21-40%)","High (&gt;40%)"))))</f>
        <v/>
      </c>
      <c r="Y1887" s="23" t="str">
        <f aca="false">IF(AND(ISNUMBER(C1887),ISNUMBER(D1887)),D1887-C1887,"")</f>
        <v/>
      </c>
      <c r="Z1887" s="23" t="str">
        <f aca="false">IF(B1887="","",IF(MATCH(B1887,$B$2:$B$12000,0)=ROW()-1,1,0))</f>
        <v/>
      </c>
    </row>
    <row r="1888" customFormat="false" ht="15" hidden="false" customHeight="false" outlineLevel="0" collapsed="false">
      <c r="V1888" s="23" t="str">
        <f aca="false">IF(ISNUMBER(C1888),YEAR(C1888),"")</f>
        <v/>
      </c>
      <c r="W1888" s="23" t="str">
        <f aca="false">IF(ISNUMBER(C1888),MONTH(C1888),"")</f>
        <v/>
      </c>
      <c r="X1888" s="23" t="str">
        <f aca="false">IF(T1888="","",IF(T1888=0,"No discount",IF(T1888&lt;=0.2,"Low (1-20%)",IF(T1888&lt;=0.4,"Medium (21-40%)","High (&gt;40%)"))))</f>
        <v/>
      </c>
      <c r="Y1888" s="23" t="str">
        <f aca="false">IF(AND(ISNUMBER(C1888),ISNUMBER(D1888)),D1888-C1888,"")</f>
        <v/>
      </c>
      <c r="Z1888" s="23" t="str">
        <f aca="false">IF(B1888="","",IF(MATCH(B1888,$B$2:$B$12000,0)=ROW()-1,1,0))</f>
        <v/>
      </c>
    </row>
    <row r="1889" customFormat="false" ht="15" hidden="false" customHeight="false" outlineLevel="0" collapsed="false">
      <c r="V1889" s="23" t="str">
        <f aca="false">IF(ISNUMBER(C1889),YEAR(C1889),"")</f>
        <v/>
      </c>
      <c r="W1889" s="23" t="str">
        <f aca="false">IF(ISNUMBER(C1889),MONTH(C1889),"")</f>
        <v/>
      </c>
      <c r="X1889" s="23" t="str">
        <f aca="false">IF(T1889="","",IF(T1889=0,"No discount",IF(T1889&lt;=0.2,"Low (1-20%)",IF(T1889&lt;=0.4,"Medium (21-40%)","High (&gt;40%)"))))</f>
        <v/>
      </c>
      <c r="Y1889" s="23" t="str">
        <f aca="false">IF(AND(ISNUMBER(C1889),ISNUMBER(D1889)),D1889-C1889,"")</f>
        <v/>
      </c>
      <c r="Z1889" s="23" t="str">
        <f aca="false">IF(B1889="","",IF(MATCH(B1889,$B$2:$B$12000,0)=ROW()-1,1,0))</f>
        <v/>
      </c>
    </row>
    <row r="1890" customFormat="false" ht="15" hidden="false" customHeight="false" outlineLevel="0" collapsed="false">
      <c r="V1890" s="23" t="str">
        <f aca="false">IF(ISNUMBER(C1890),YEAR(C1890),"")</f>
        <v/>
      </c>
      <c r="W1890" s="23" t="str">
        <f aca="false">IF(ISNUMBER(C1890),MONTH(C1890),"")</f>
        <v/>
      </c>
      <c r="X1890" s="23" t="str">
        <f aca="false">IF(T1890="","",IF(T1890=0,"No discount",IF(T1890&lt;=0.2,"Low (1-20%)",IF(T1890&lt;=0.4,"Medium (21-40%)","High (&gt;40%)"))))</f>
        <v/>
      </c>
      <c r="Y1890" s="23" t="str">
        <f aca="false">IF(AND(ISNUMBER(C1890),ISNUMBER(D1890)),D1890-C1890,"")</f>
        <v/>
      </c>
      <c r="Z1890" s="23" t="str">
        <f aca="false">IF(B1890="","",IF(MATCH(B1890,$B$2:$B$12000,0)=ROW()-1,1,0))</f>
        <v/>
      </c>
    </row>
    <row r="1891" customFormat="false" ht="15" hidden="false" customHeight="false" outlineLevel="0" collapsed="false">
      <c r="V1891" s="23" t="str">
        <f aca="false">IF(ISNUMBER(C1891),YEAR(C1891),"")</f>
        <v/>
      </c>
      <c r="W1891" s="23" t="str">
        <f aca="false">IF(ISNUMBER(C1891),MONTH(C1891),"")</f>
        <v/>
      </c>
      <c r="X1891" s="23" t="str">
        <f aca="false">IF(T1891="","",IF(T1891=0,"No discount",IF(T1891&lt;=0.2,"Low (1-20%)",IF(T1891&lt;=0.4,"Medium (21-40%)","High (&gt;40%)"))))</f>
        <v/>
      </c>
      <c r="Y1891" s="23" t="str">
        <f aca="false">IF(AND(ISNUMBER(C1891),ISNUMBER(D1891)),D1891-C1891,"")</f>
        <v/>
      </c>
      <c r="Z1891" s="23" t="str">
        <f aca="false">IF(B1891="","",IF(MATCH(B1891,$B$2:$B$12000,0)=ROW()-1,1,0))</f>
        <v/>
      </c>
    </row>
    <row r="1892" customFormat="false" ht="15" hidden="false" customHeight="false" outlineLevel="0" collapsed="false">
      <c r="V1892" s="23" t="str">
        <f aca="false">IF(ISNUMBER(C1892),YEAR(C1892),"")</f>
        <v/>
      </c>
      <c r="W1892" s="23" t="str">
        <f aca="false">IF(ISNUMBER(C1892),MONTH(C1892),"")</f>
        <v/>
      </c>
      <c r="X1892" s="23" t="str">
        <f aca="false">IF(T1892="","",IF(T1892=0,"No discount",IF(T1892&lt;=0.2,"Low (1-20%)",IF(T1892&lt;=0.4,"Medium (21-40%)","High (&gt;40%)"))))</f>
        <v/>
      </c>
      <c r="Y1892" s="23" t="str">
        <f aca="false">IF(AND(ISNUMBER(C1892),ISNUMBER(D1892)),D1892-C1892,"")</f>
        <v/>
      </c>
      <c r="Z1892" s="23" t="str">
        <f aca="false">IF(B1892="","",IF(MATCH(B1892,$B$2:$B$12000,0)=ROW()-1,1,0))</f>
        <v/>
      </c>
    </row>
    <row r="1893" customFormat="false" ht="15" hidden="false" customHeight="false" outlineLevel="0" collapsed="false">
      <c r="V1893" s="23" t="str">
        <f aca="false">IF(ISNUMBER(C1893),YEAR(C1893),"")</f>
        <v/>
      </c>
      <c r="W1893" s="23" t="str">
        <f aca="false">IF(ISNUMBER(C1893),MONTH(C1893),"")</f>
        <v/>
      </c>
      <c r="X1893" s="23" t="str">
        <f aca="false">IF(T1893="","",IF(T1893=0,"No discount",IF(T1893&lt;=0.2,"Low (1-20%)",IF(T1893&lt;=0.4,"Medium (21-40%)","High (&gt;40%)"))))</f>
        <v/>
      </c>
      <c r="Y1893" s="23" t="str">
        <f aca="false">IF(AND(ISNUMBER(C1893),ISNUMBER(D1893)),D1893-C1893,"")</f>
        <v/>
      </c>
      <c r="Z1893" s="23" t="str">
        <f aca="false">IF(B1893="","",IF(MATCH(B1893,$B$2:$B$12000,0)=ROW()-1,1,0))</f>
        <v/>
      </c>
    </row>
    <row r="1894" customFormat="false" ht="15" hidden="false" customHeight="false" outlineLevel="0" collapsed="false">
      <c r="V1894" s="23" t="str">
        <f aca="false">IF(ISNUMBER(C1894),YEAR(C1894),"")</f>
        <v/>
      </c>
      <c r="W1894" s="23" t="str">
        <f aca="false">IF(ISNUMBER(C1894),MONTH(C1894),"")</f>
        <v/>
      </c>
      <c r="X1894" s="23" t="str">
        <f aca="false">IF(T1894="","",IF(T1894=0,"No discount",IF(T1894&lt;=0.2,"Low (1-20%)",IF(T1894&lt;=0.4,"Medium (21-40%)","High (&gt;40%)"))))</f>
        <v/>
      </c>
      <c r="Y1894" s="23" t="str">
        <f aca="false">IF(AND(ISNUMBER(C1894),ISNUMBER(D1894)),D1894-C1894,"")</f>
        <v/>
      </c>
      <c r="Z1894" s="23" t="str">
        <f aca="false">IF(B1894="","",IF(MATCH(B1894,$B$2:$B$12000,0)=ROW()-1,1,0))</f>
        <v/>
      </c>
    </row>
    <row r="1895" customFormat="false" ht="15" hidden="false" customHeight="false" outlineLevel="0" collapsed="false">
      <c r="V1895" s="23" t="str">
        <f aca="false">IF(ISNUMBER(C1895),YEAR(C1895),"")</f>
        <v/>
      </c>
      <c r="W1895" s="23" t="str">
        <f aca="false">IF(ISNUMBER(C1895),MONTH(C1895),"")</f>
        <v/>
      </c>
      <c r="X1895" s="23" t="str">
        <f aca="false">IF(T1895="","",IF(T1895=0,"No discount",IF(T1895&lt;=0.2,"Low (1-20%)",IF(T1895&lt;=0.4,"Medium (21-40%)","High (&gt;40%)"))))</f>
        <v/>
      </c>
      <c r="Y1895" s="23" t="str">
        <f aca="false">IF(AND(ISNUMBER(C1895),ISNUMBER(D1895)),D1895-C1895,"")</f>
        <v/>
      </c>
      <c r="Z1895" s="23" t="str">
        <f aca="false">IF(B1895="","",IF(MATCH(B1895,$B$2:$B$12000,0)=ROW()-1,1,0))</f>
        <v/>
      </c>
    </row>
    <row r="1896" customFormat="false" ht="15" hidden="false" customHeight="false" outlineLevel="0" collapsed="false">
      <c r="V1896" s="23" t="str">
        <f aca="false">IF(ISNUMBER(C1896),YEAR(C1896),"")</f>
        <v/>
      </c>
      <c r="W1896" s="23" t="str">
        <f aca="false">IF(ISNUMBER(C1896),MONTH(C1896),"")</f>
        <v/>
      </c>
      <c r="X1896" s="23" t="str">
        <f aca="false">IF(T1896="","",IF(T1896=0,"No discount",IF(T1896&lt;=0.2,"Low (1-20%)",IF(T1896&lt;=0.4,"Medium (21-40%)","High (&gt;40%)"))))</f>
        <v/>
      </c>
      <c r="Y1896" s="23" t="str">
        <f aca="false">IF(AND(ISNUMBER(C1896),ISNUMBER(D1896)),D1896-C1896,"")</f>
        <v/>
      </c>
      <c r="Z1896" s="23" t="str">
        <f aca="false">IF(B1896="","",IF(MATCH(B1896,$B$2:$B$12000,0)=ROW()-1,1,0))</f>
        <v/>
      </c>
    </row>
    <row r="1897" customFormat="false" ht="15" hidden="false" customHeight="false" outlineLevel="0" collapsed="false">
      <c r="V1897" s="23" t="str">
        <f aca="false">IF(ISNUMBER(C1897),YEAR(C1897),"")</f>
        <v/>
      </c>
      <c r="W1897" s="23" t="str">
        <f aca="false">IF(ISNUMBER(C1897),MONTH(C1897),"")</f>
        <v/>
      </c>
      <c r="X1897" s="23" t="str">
        <f aca="false">IF(T1897="","",IF(T1897=0,"No discount",IF(T1897&lt;=0.2,"Low (1-20%)",IF(T1897&lt;=0.4,"Medium (21-40%)","High (&gt;40%)"))))</f>
        <v/>
      </c>
      <c r="Y1897" s="23" t="str">
        <f aca="false">IF(AND(ISNUMBER(C1897),ISNUMBER(D1897)),D1897-C1897,"")</f>
        <v/>
      </c>
      <c r="Z1897" s="23" t="str">
        <f aca="false">IF(B1897="","",IF(MATCH(B1897,$B$2:$B$12000,0)=ROW()-1,1,0))</f>
        <v/>
      </c>
    </row>
    <row r="1898" customFormat="false" ht="15" hidden="false" customHeight="false" outlineLevel="0" collapsed="false">
      <c r="V1898" s="23" t="str">
        <f aca="false">IF(ISNUMBER(C1898),YEAR(C1898),"")</f>
        <v/>
      </c>
      <c r="W1898" s="23" t="str">
        <f aca="false">IF(ISNUMBER(C1898),MONTH(C1898),"")</f>
        <v/>
      </c>
      <c r="X1898" s="23" t="str">
        <f aca="false">IF(T1898="","",IF(T1898=0,"No discount",IF(T1898&lt;=0.2,"Low (1-20%)",IF(T1898&lt;=0.4,"Medium (21-40%)","High (&gt;40%)"))))</f>
        <v/>
      </c>
      <c r="Y1898" s="23" t="str">
        <f aca="false">IF(AND(ISNUMBER(C1898),ISNUMBER(D1898)),D1898-C1898,"")</f>
        <v/>
      </c>
      <c r="Z1898" s="23" t="str">
        <f aca="false">IF(B1898="","",IF(MATCH(B1898,$B$2:$B$12000,0)=ROW()-1,1,0))</f>
        <v/>
      </c>
    </row>
    <row r="1899" customFormat="false" ht="15" hidden="false" customHeight="false" outlineLevel="0" collapsed="false">
      <c r="V1899" s="23" t="str">
        <f aca="false">IF(ISNUMBER(C1899),YEAR(C1899),"")</f>
        <v/>
      </c>
      <c r="W1899" s="23" t="str">
        <f aca="false">IF(ISNUMBER(C1899),MONTH(C1899),"")</f>
        <v/>
      </c>
      <c r="X1899" s="23" t="str">
        <f aca="false">IF(T1899="","",IF(T1899=0,"No discount",IF(T1899&lt;=0.2,"Low (1-20%)",IF(T1899&lt;=0.4,"Medium (21-40%)","High (&gt;40%)"))))</f>
        <v/>
      </c>
      <c r="Y1899" s="23" t="str">
        <f aca="false">IF(AND(ISNUMBER(C1899),ISNUMBER(D1899)),D1899-C1899,"")</f>
        <v/>
      </c>
      <c r="Z1899" s="23" t="str">
        <f aca="false">IF(B1899="","",IF(MATCH(B1899,$B$2:$B$12000,0)=ROW()-1,1,0))</f>
        <v/>
      </c>
    </row>
    <row r="1900" customFormat="false" ht="15" hidden="false" customHeight="false" outlineLevel="0" collapsed="false">
      <c r="V1900" s="23" t="str">
        <f aca="false">IF(ISNUMBER(C1900),YEAR(C1900),"")</f>
        <v/>
      </c>
      <c r="W1900" s="23" t="str">
        <f aca="false">IF(ISNUMBER(C1900),MONTH(C1900),"")</f>
        <v/>
      </c>
      <c r="X1900" s="23" t="str">
        <f aca="false">IF(T1900="","",IF(T1900=0,"No discount",IF(T1900&lt;=0.2,"Low (1-20%)",IF(T1900&lt;=0.4,"Medium (21-40%)","High (&gt;40%)"))))</f>
        <v/>
      </c>
      <c r="Y1900" s="23" t="str">
        <f aca="false">IF(AND(ISNUMBER(C1900),ISNUMBER(D1900)),D1900-C1900,"")</f>
        <v/>
      </c>
      <c r="Z1900" s="23" t="str">
        <f aca="false">IF(B1900="","",IF(MATCH(B1900,$B$2:$B$12000,0)=ROW()-1,1,0))</f>
        <v/>
      </c>
    </row>
    <row r="1901" customFormat="false" ht="15" hidden="false" customHeight="false" outlineLevel="0" collapsed="false">
      <c r="V1901" s="23" t="str">
        <f aca="false">IF(ISNUMBER(C1901),YEAR(C1901),"")</f>
        <v/>
      </c>
      <c r="W1901" s="23" t="str">
        <f aca="false">IF(ISNUMBER(C1901),MONTH(C1901),"")</f>
        <v/>
      </c>
      <c r="X1901" s="23" t="str">
        <f aca="false">IF(T1901="","",IF(T1901=0,"No discount",IF(T1901&lt;=0.2,"Low (1-20%)",IF(T1901&lt;=0.4,"Medium (21-40%)","High (&gt;40%)"))))</f>
        <v/>
      </c>
      <c r="Y1901" s="23" t="str">
        <f aca="false">IF(AND(ISNUMBER(C1901),ISNUMBER(D1901)),D1901-C1901,"")</f>
        <v/>
      </c>
      <c r="Z1901" s="23" t="str">
        <f aca="false">IF(B1901="","",IF(MATCH(B1901,$B$2:$B$12000,0)=ROW()-1,1,0))</f>
        <v/>
      </c>
    </row>
    <row r="1902" customFormat="false" ht="15" hidden="false" customHeight="false" outlineLevel="0" collapsed="false">
      <c r="V1902" s="23" t="str">
        <f aca="false">IF(ISNUMBER(C1902),YEAR(C1902),"")</f>
        <v/>
      </c>
      <c r="W1902" s="23" t="str">
        <f aca="false">IF(ISNUMBER(C1902),MONTH(C1902),"")</f>
        <v/>
      </c>
      <c r="X1902" s="23" t="str">
        <f aca="false">IF(T1902="","",IF(T1902=0,"No discount",IF(T1902&lt;=0.2,"Low (1-20%)",IF(T1902&lt;=0.4,"Medium (21-40%)","High (&gt;40%)"))))</f>
        <v/>
      </c>
      <c r="Y1902" s="23" t="str">
        <f aca="false">IF(AND(ISNUMBER(C1902),ISNUMBER(D1902)),D1902-C1902,"")</f>
        <v/>
      </c>
      <c r="Z1902" s="23" t="str">
        <f aca="false">IF(B1902="","",IF(MATCH(B1902,$B$2:$B$12000,0)=ROW()-1,1,0))</f>
        <v/>
      </c>
    </row>
    <row r="1903" customFormat="false" ht="15" hidden="false" customHeight="false" outlineLevel="0" collapsed="false">
      <c r="V1903" s="23" t="str">
        <f aca="false">IF(ISNUMBER(C1903),YEAR(C1903),"")</f>
        <v/>
      </c>
      <c r="W1903" s="23" t="str">
        <f aca="false">IF(ISNUMBER(C1903),MONTH(C1903),"")</f>
        <v/>
      </c>
      <c r="X1903" s="23" t="str">
        <f aca="false">IF(T1903="","",IF(T1903=0,"No discount",IF(T1903&lt;=0.2,"Low (1-20%)",IF(T1903&lt;=0.4,"Medium (21-40%)","High (&gt;40%)"))))</f>
        <v/>
      </c>
      <c r="Y1903" s="23" t="str">
        <f aca="false">IF(AND(ISNUMBER(C1903),ISNUMBER(D1903)),D1903-C1903,"")</f>
        <v/>
      </c>
      <c r="Z1903" s="23" t="str">
        <f aca="false">IF(B1903="","",IF(MATCH(B1903,$B$2:$B$12000,0)=ROW()-1,1,0))</f>
        <v/>
      </c>
    </row>
    <row r="1904" customFormat="false" ht="15" hidden="false" customHeight="false" outlineLevel="0" collapsed="false">
      <c r="V1904" s="23" t="str">
        <f aca="false">IF(ISNUMBER(C1904),YEAR(C1904),"")</f>
        <v/>
      </c>
      <c r="W1904" s="23" t="str">
        <f aca="false">IF(ISNUMBER(C1904),MONTH(C1904),"")</f>
        <v/>
      </c>
      <c r="X1904" s="23" t="str">
        <f aca="false">IF(T1904="","",IF(T1904=0,"No discount",IF(T1904&lt;=0.2,"Low (1-20%)",IF(T1904&lt;=0.4,"Medium (21-40%)","High (&gt;40%)"))))</f>
        <v/>
      </c>
      <c r="Y1904" s="23" t="str">
        <f aca="false">IF(AND(ISNUMBER(C1904),ISNUMBER(D1904)),D1904-C1904,"")</f>
        <v/>
      </c>
      <c r="Z1904" s="23" t="str">
        <f aca="false">IF(B1904="","",IF(MATCH(B1904,$B$2:$B$12000,0)=ROW()-1,1,0))</f>
        <v/>
      </c>
    </row>
    <row r="1905" customFormat="false" ht="15" hidden="false" customHeight="false" outlineLevel="0" collapsed="false">
      <c r="V1905" s="23" t="str">
        <f aca="false">IF(ISNUMBER(C1905),YEAR(C1905),"")</f>
        <v/>
      </c>
      <c r="W1905" s="23" t="str">
        <f aca="false">IF(ISNUMBER(C1905),MONTH(C1905),"")</f>
        <v/>
      </c>
      <c r="X1905" s="23" t="str">
        <f aca="false">IF(T1905="","",IF(T1905=0,"No discount",IF(T1905&lt;=0.2,"Low (1-20%)",IF(T1905&lt;=0.4,"Medium (21-40%)","High (&gt;40%)"))))</f>
        <v/>
      </c>
      <c r="Y1905" s="23" t="str">
        <f aca="false">IF(AND(ISNUMBER(C1905),ISNUMBER(D1905)),D1905-C1905,"")</f>
        <v/>
      </c>
      <c r="Z1905" s="23" t="str">
        <f aca="false">IF(B1905="","",IF(MATCH(B1905,$B$2:$B$12000,0)=ROW()-1,1,0))</f>
        <v/>
      </c>
    </row>
    <row r="1906" customFormat="false" ht="15" hidden="false" customHeight="false" outlineLevel="0" collapsed="false">
      <c r="V1906" s="23" t="str">
        <f aca="false">IF(ISNUMBER(C1906),YEAR(C1906),"")</f>
        <v/>
      </c>
      <c r="W1906" s="23" t="str">
        <f aca="false">IF(ISNUMBER(C1906),MONTH(C1906),"")</f>
        <v/>
      </c>
      <c r="X1906" s="23" t="str">
        <f aca="false">IF(T1906="","",IF(T1906=0,"No discount",IF(T1906&lt;=0.2,"Low (1-20%)",IF(T1906&lt;=0.4,"Medium (21-40%)","High (&gt;40%)"))))</f>
        <v/>
      </c>
      <c r="Y1906" s="23" t="str">
        <f aca="false">IF(AND(ISNUMBER(C1906),ISNUMBER(D1906)),D1906-C1906,"")</f>
        <v/>
      </c>
      <c r="Z1906" s="23" t="str">
        <f aca="false">IF(B1906="","",IF(MATCH(B1906,$B$2:$B$12000,0)=ROW()-1,1,0))</f>
        <v/>
      </c>
    </row>
    <row r="1907" customFormat="false" ht="15" hidden="false" customHeight="false" outlineLevel="0" collapsed="false">
      <c r="V1907" s="23" t="str">
        <f aca="false">IF(ISNUMBER(C1907),YEAR(C1907),"")</f>
        <v/>
      </c>
      <c r="W1907" s="23" t="str">
        <f aca="false">IF(ISNUMBER(C1907),MONTH(C1907),"")</f>
        <v/>
      </c>
      <c r="X1907" s="23" t="str">
        <f aca="false">IF(T1907="","",IF(T1907=0,"No discount",IF(T1907&lt;=0.2,"Low (1-20%)",IF(T1907&lt;=0.4,"Medium (21-40%)","High (&gt;40%)"))))</f>
        <v/>
      </c>
      <c r="Y1907" s="23" t="str">
        <f aca="false">IF(AND(ISNUMBER(C1907),ISNUMBER(D1907)),D1907-C1907,"")</f>
        <v/>
      </c>
      <c r="Z1907" s="23" t="str">
        <f aca="false">IF(B1907="","",IF(MATCH(B1907,$B$2:$B$12000,0)=ROW()-1,1,0))</f>
        <v/>
      </c>
    </row>
    <row r="1908" customFormat="false" ht="15" hidden="false" customHeight="false" outlineLevel="0" collapsed="false">
      <c r="V1908" s="23" t="str">
        <f aca="false">IF(ISNUMBER(C1908),YEAR(C1908),"")</f>
        <v/>
      </c>
      <c r="W1908" s="23" t="str">
        <f aca="false">IF(ISNUMBER(C1908),MONTH(C1908),"")</f>
        <v/>
      </c>
      <c r="X1908" s="23" t="str">
        <f aca="false">IF(T1908="","",IF(T1908=0,"No discount",IF(T1908&lt;=0.2,"Low (1-20%)",IF(T1908&lt;=0.4,"Medium (21-40%)","High (&gt;40%)"))))</f>
        <v/>
      </c>
      <c r="Y1908" s="23" t="str">
        <f aca="false">IF(AND(ISNUMBER(C1908),ISNUMBER(D1908)),D1908-C1908,"")</f>
        <v/>
      </c>
      <c r="Z1908" s="23" t="str">
        <f aca="false">IF(B1908="","",IF(MATCH(B1908,$B$2:$B$12000,0)=ROW()-1,1,0))</f>
        <v/>
      </c>
    </row>
    <row r="1909" customFormat="false" ht="15" hidden="false" customHeight="false" outlineLevel="0" collapsed="false">
      <c r="V1909" s="23" t="str">
        <f aca="false">IF(ISNUMBER(C1909),YEAR(C1909),"")</f>
        <v/>
      </c>
      <c r="W1909" s="23" t="str">
        <f aca="false">IF(ISNUMBER(C1909),MONTH(C1909),"")</f>
        <v/>
      </c>
      <c r="X1909" s="23" t="str">
        <f aca="false">IF(T1909="","",IF(T1909=0,"No discount",IF(T1909&lt;=0.2,"Low (1-20%)",IF(T1909&lt;=0.4,"Medium (21-40%)","High (&gt;40%)"))))</f>
        <v/>
      </c>
      <c r="Y1909" s="23" t="str">
        <f aca="false">IF(AND(ISNUMBER(C1909),ISNUMBER(D1909)),D1909-C1909,"")</f>
        <v/>
      </c>
      <c r="Z1909" s="23" t="str">
        <f aca="false">IF(B1909="","",IF(MATCH(B1909,$B$2:$B$12000,0)=ROW()-1,1,0))</f>
        <v/>
      </c>
    </row>
    <row r="1910" customFormat="false" ht="15" hidden="false" customHeight="false" outlineLevel="0" collapsed="false">
      <c r="V1910" s="23" t="str">
        <f aca="false">IF(ISNUMBER(C1910),YEAR(C1910),"")</f>
        <v/>
      </c>
      <c r="W1910" s="23" t="str">
        <f aca="false">IF(ISNUMBER(C1910),MONTH(C1910),"")</f>
        <v/>
      </c>
      <c r="X1910" s="23" t="str">
        <f aca="false">IF(T1910="","",IF(T1910=0,"No discount",IF(T1910&lt;=0.2,"Low (1-20%)",IF(T1910&lt;=0.4,"Medium (21-40%)","High (&gt;40%)"))))</f>
        <v/>
      </c>
      <c r="Y1910" s="23" t="str">
        <f aca="false">IF(AND(ISNUMBER(C1910),ISNUMBER(D1910)),D1910-C1910,"")</f>
        <v/>
      </c>
      <c r="Z1910" s="23" t="str">
        <f aca="false">IF(B1910="","",IF(MATCH(B1910,$B$2:$B$12000,0)=ROW()-1,1,0))</f>
        <v/>
      </c>
    </row>
    <row r="1911" customFormat="false" ht="15" hidden="false" customHeight="false" outlineLevel="0" collapsed="false">
      <c r="V1911" s="23" t="str">
        <f aca="false">IF(ISNUMBER(C1911),YEAR(C1911),"")</f>
        <v/>
      </c>
      <c r="W1911" s="23" t="str">
        <f aca="false">IF(ISNUMBER(C1911),MONTH(C1911),"")</f>
        <v/>
      </c>
      <c r="X1911" s="23" t="str">
        <f aca="false">IF(T1911="","",IF(T1911=0,"No discount",IF(T1911&lt;=0.2,"Low (1-20%)",IF(T1911&lt;=0.4,"Medium (21-40%)","High (&gt;40%)"))))</f>
        <v/>
      </c>
      <c r="Y1911" s="23" t="str">
        <f aca="false">IF(AND(ISNUMBER(C1911),ISNUMBER(D1911)),D1911-C1911,"")</f>
        <v/>
      </c>
      <c r="Z1911" s="23" t="str">
        <f aca="false">IF(B1911="","",IF(MATCH(B1911,$B$2:$B$12000,0)=ROW()-1,1,0))</f>
        <v/>
      </c>
    </row>
    <row r="1912" customFormat="false" ht="15" hidden="false" customHeight="false" outlineLevel="0" collapsed="false">
      <c r="V1912" s="23" t="str">
        <f aca="false">IF(ISNUMBER(C1912),YEAR(C1912),"")</f>
        <v/>
      </c>
      <c r="W1912" s="23" t="str">
        <f aca="false">IF(ISNUMBER(C1912),MONTH(C1912),"")</f>
        <v/>
      </c>
      <c r="X1912" s="23" t="str">
        <f aca="false">IF(T1912="","",IF(T1912=0,"No discount",IF(T1912&lt;=0.2,"Low (1-20%)",IF(T1912&lt;=0.4,"Medium (21-40%)","High (&gt;40%)"))))</f>
        <v/>
      </c>
      <c r="Y1912" s="23" t="str">
        <f aca="false">IF(AND(ISNUMBER(C1912),ISNUMBER(D1912)),D1912-C1912,"")</f>
        <v/>
      </c>
      <c r="Z1912" s="23" t="str">
        <f aca="false">IF(B1912="","",IF(MATCH(B1912,$B$2:$B$12000,0)=ROW()-1,1,0))</f>
        <v/>
      </c>
    </row>
    <row r="1913" customFormat="false" ht="15" hidden="false" customHeight="false" outlineLevel="0" collapsed="false">
      <c r="V1913" s="23" t="str">
        <f aca="false">IF(ISNUMBER(C1913),YEAR(C1913),"")</f>
        <v/>
      </c>
      <c r="W1913" s="23" t="str">
        <f aca="false">IF(ISNUMBER(C1913),MONTH(C1913),"")</f>
        <v/>
      </c>
      <c r="X1913" s="23" t="str">
        <f aca="false">IF(T1913="","",IF(T1913=0,"No discount",IF(T1913&lt;=0.2,"Low (1-20%)",IF(T1913&lt;=0.4,"Medium (21-40%)","High (&gt;40%)"))))</f>
        <v/>
      </c>
      <c r="Y1913" s="23" t="str">
        <f aca="false">IF(AND(ISNUMBER(C1913),ISNUMBER(D1913)),D1913-C1913,"")</f>
        <v/>
      </c>
      <c r="Z1913" s="23" t="str">
        <f aca="false">IF(B1913="","",IF(MATCH(B1913,$B$2:$B$12000,0)=ROW()-1,1,0))</f>
        <v/>
      </c>
    </row>
    <row r="1914" customFormat="false" ht="15" hidden="false" customHeight="false" outlineLevel="0" collapsed="false">
      <c r="V1914" s="23" t="str">
        <f aca="false">IF(ISNUMBER(C1914),YEAR(C1914),"")</f>
        <v/>
      </c>
      <c r="W1914" s="23" t="str">
        <f aca="false">IF(ISNUMBER(C1914),MONTH(C1914),"")</f>
        <v/>
      </c>
      <c r="X1914" s="23" t="str">
        <f aca="false">IF(T1914="","",IF(T1914=0,"No discount",IF(T1914&lt;=0.2,"Low (1-20%)",IF(T1914&lt;=0.4,"Medium (21-40%)","High (&gt;40%)"))))</f>
        <v/>
      </c>
      <c r="Y1914" s="23" t="str">
        <f aca="false">IF(AND(ISNUMBER(C1914),ISNUMBER(D1914)),D1914-C1914,"")</f>
        <v/>
      </c>
      <c r="Z1914" s="23" t="str">
        <f aca="false">IF(B1914="","",IF(MATCH(B1914,$B$2:$B$12000,0)=ROW()-1,1,0))</f>
        <v/>
      </c>
    </row>
    <row r="1915" customFormat="false" ht="15" hidden="false" customHeight="false" outlineLevel="0" collapsed="false">
      <c r="V1915" s="23" t="str">
        <f aca="false">IF(ISNUMBER(C1915),YEAR(C1915),"")</f>
        <v/>
      </c>
      <c r="W1915" s="23" t="str">
        <f aca="false">IF(ISNUMBER(C1915),MONTH(C1915),"")</f>
        <v/>
      </c>
      <c r="X1915" s="23" t="str">
        <f aca="false">IF(T1915="","",IF(T1915=0,"No discount",IF(T1915&lt;=0.2,"Low (1-20%)",IF(T1915&lt;=0.4,"Medium (21-40%)","High (&gt;40%)"))))</f>
        <v/>
      </c>
      <c r="Y1915" s="23" t="str">
        <f aca="false">IF(AND(ISNUMBER(C1915),ISNUMBER(D1915)),D1915-C1915,"")</f>
        <v/>
      </c>
      <c r="Z1915" s="23" t="str">
        <f aca="false">IF(B1915="","",IF(MATCH(B1915,$B$2:$B$12000,0)=ROW()-1,1,0))</f>
        <v/>
      </c>
    </row>
    <row r="1916" customFormat="false" ht="15" hidden="false" customHeight="false" outlineLevel="0" collapsed="false">
      <c r="V1916" s="23" t="str">
        <f aca="false">IF(ISNUMBER(C1916),YEAR(C1916),"")</f>
        <v/>
      </c>
      <c r="W1916" s="23" t="str">
        <f aca="false">IF(ISNUMBER(C1916),MONTH(C1916),"")</f>
        <v/>
      </c>
      <c r="X1916" s="23" t="str">
        <f aca="false">IF(T1916="","",IF(T1916=0,"No discount",IF(T1916&lt;=0.2,"Low (1-20%)",IF(T1916&lt;=0.4,"Medium (21-40%)","High (&gt;40%)"))))</f>
        <v/>
      </c>
      <c r="Y1916" s="23" t="str">
        <f aca="false">IF(AND(ISNUMBER(C1916),ISNUMBER(D1916)),D1916-C1916,"")</f>
        <v/>
      </c>
      <c r="Z1916" s="23" t="str">
        <f aca="false">IF(B1916="","",IF(MATCH(B1916,$B$2:$B$12000,0)=ROW()-1,1,0))</f>
        <v/>
      </c>
    </row>
    <row r="1917" customFormat="false" ht="15" hidden="false" customHeight="false" outlineLevel="0" collapsed="false">
      <c r="V1917" s="23" t="str">
        <f aca="false">IF(ISNUMBER(C1917),YEAR(C1917),"")</f>
        <v/>
      </c>
      <c r="W1917" s="23" t="str">
        <f aca="false">IF(ISNUMBER(C1917),MONTH(C1917),"")</f>
        <v/>
      </c>
      <c r="X1917" s="23" t="str">
        <f aca="false">IF(T1917="","",IF(T1917=0,"No discount",IF(T1917&lt;=0.2,"Low (1-20%)",IF(T1917&lt;=0.4,"Medium (21-40%)","High (&gt;40%)"))))</f>
        <v/>
      </c>
      <c r="Y1917" s="23" t="str">
        <f aca="false">IF(AND(ISNUMBER(C1917),ISNUMBER(D1917)),D1917-C1917,"")</f>
        <v/>
      </c>
      <c r="Z1917" s="23" t="str">
        <f aca="false">IF(B1917="","",IF(MATCH(B1917,$B$2:$B$12000,0)=ROW()-1,1,0))</f>
        <v/>
      </c>
    </row>
    <row r="1918" customFormat="false" ht="15" hidden="false" customHeight="false" outlineLevel="0" collapsed="false">
      <c r="V1918" s="23" t="str">
        <f aca="false">IF(ISNUMBER(C1918),YEAR(C1918),"")</f>
        <v/>
      </c>
      <c r="W1918" s="23" t="str">
        <f aca="false">IF(ISNUMBER(C1918),MONTH(C1918),"")</f>
        <v/>
      </c>
      <c r="X1918" s="23" t="str">
        <f aca="false">IF(T1918="","",IF(T1918=0,"No discount",IF(T1918&lt;=0.2,"Low (1-20%)",IF(T1918&lt;=0.4,"Medium (21-40%)","High (&gt;40%)"))))</f>
        <v/>
      </c>
      <c r="Y1918" s="23" t="str">
        <f aca="false">IF(AND(ISNUMBER(C1918),ISNUMBER(D1918)),D1918-C1918,"")</f>
        <v/>
      </c>
      <c r="Z1918" s="23" t="str">
        <f aca="false">IF(B1918="","",IF(MATCH(B1918,$B$2:$B$12000,0)=ROW()-1,1,0))</f>
        <v/>
      </c>
    </row>
    <row r="1919" customFormat="false" ht="15" hidden="false" customHeight="false" outlineLevel="0" collapsed="false">
      <c r="V1919" s="23" t="str">
        <f aca="false">IF(ISNUMBER(C1919),YEAR(C1919),"")</f>
        <v/>
      </c>
      <c r="W1919" s="23" t="str">
        <f aca="false">IF(ISNUMBER(C1919),MONTH(C1919),"")</f>
        <v/>
      </c>
      <c r="X1919" s="23" t="str">
        <f aca="false">IF(T1919="","",IF(T1919=0,"No discount",IF(T1919&lt;=0.2,"Low (1-20%)",IF(T1919&lt;=0.4,"Medium (21-40%)","High (&gt;40%)"))))</f>
        <v/>
      </c>
      <c r="Y1919" s="23" t="str">
        <f aca="false">IF(AND(ISNUMBER(C1919),ISNUMBER(D1919)),D1919-C1919,"")</f>
        <v/>
      </c>
      <c r="Z1919" s="23" t="str">
        <f aca="false">IF(B1919="","",IF(MATCH(B1919,$B$2:$B$12000,0)=ROW()-1,1,0))</f>
        <v/>
      </c>
    </row>
    <row r="1920" customFormat="false" ht="15" hidden="false" customHeight="false" outlineLevel="0" collapsed="false">
      <c r="V1920" s="23" t="str">
        <f aca="false">IF(ISNUMBER(C1920),YEAR(C1920),"")</f>
        <v/>
      </c>
      <c r="W1920" s="23" t="str">
        <f aca="false">IF(ISNUMBER(C1920),MONTH(C1920),"")</f>
        <v/>
      </c>
      <c r="X1920" s="23" t="str">
        <f aca="false">IF(T1920="","",IF(T1920=0,"No discount",IF(T1920&lt;=0.2,"Low (1-20%)",IF(T1920&lt;=0.4,"Medium (21-40%)","High (&gt;40%)"))))</f>
        <v/>
      </c>
      <c r="Y1920" s="23" t="str">
        <f aca="false">IF(AND(ISNUMBER(C1920),ISNUMBER(D1920)),D1920-C1920,"")</f>
        <v/>
      </c>
      <c r="Z1920" s="23" t="str">
        <f aca="false">IF(B1920="","",IF(MATCH(B1920,$B$2:$B$12000,0)=ROW()-1,1,0))</f>
        <v/>
      </c>
    </row>
    <row r="1921" customFormat="false" ht="15" hidden="false" customHeight="false" outlineLevel="0" collapsed="false">
      <c r="V1921" s="23" t="str">
        <f aca="false">IF(ISNUMBER(C1921),YEAR(C1921),"")</f>
        <v/>
      </c>
      <c r="W1921" s="23" t="str">
        <f aca="false">IF(ISNUMBER(C1921),MONTH(C1921),"")</f>
        <v/>
      </c>
      <c r="X1921" s="23" t="str">
        <f aca="false">IF(T1921="","",IF(T1921=0,"No discount",IF(T1921&lt;=0.2,"Low (1-20%)",IF(T1921&lt;=0.4,"Medium (21-40%)","High (&gt;40%)"))))</f>
        <v/>
      </c>
      <c r="Y1921" s="23" t="str">
        <f aca="false">IF(AND(ISNUMBER(C1921),ISNUMBER(D1921)),D1921-C1921,"")</f>
        <v/>
      </c>
      <c r="Z1921" s="23" t="str">
        <f aca="false">IF(B1921="","",IF(MATCH(B1921,$B$2:$B$12000,0)=ROW()-1,1,0))</f>
        <v/>
      </c>
    </row>
    <row r="1922" customFormat="false" ht="15" hidden="false" customHeight="false" outlineLevel="0" collapsed="false">
      <c r="V1922" s="23" t="str">
        <f aca="false">IF(ISNUMBER(C1922),YEAR(C1922),"")</f>
        <v/>
      </c>
      <c r="W1922" s="23" t="str">
        <f aca="false">IF(ISNUMBER(C1922),MONTH(C1922),"")</f>
        <v/>
      </c>
      <c r="X1922" s="23" t="str">
        <f aca="false">IF(T1922="","",IF(T1922=0,"No discount",IF(T1922&lt;=0.2,"Low (1-20%)",IF(T1922&lt;=0.4,"Medium (21-40%)","High (&gt;40%)"))))</f>
        <v/>
      </c>
      <c r="Y1922" s="23" t="str">
        <f aca="false">IF(AND(ISNUMBER(C1922),ISNUMBER(D1922)),D1922-C1922,"")</f>
        <v/>
      </c>
      <c r="Z1922" s="23" t="str">
        <f aca="false">IF(B1922="","",IF(MATCH(B1922,$B$2:$B$12000,0)=ROW()-1,1,0))</f>
        <v/>
      </c>
    </row>
    <row r="1923" customFormat="false" ht="15" hidden="false" customHeight="false" outlineLevel="0" collapsed="false">
      <c r="V1923" s="23" t="str">
        <f aca="false">IF(ISNUMBER(C1923),YEAR(C1923),"")</f>
        <v/>
      </c>
      <c r="W1923" s="23" t="str">
        <f aca="false">IF(ISNUMBER(C1923),MONTH(C1923),"")</f>
        <v/>
      </c>
      <c r="X1923" s="23" t="str">
        <f aca="false">IF(T1923="","",IF(T1923=0,"No discount",IF(T1923&lt;=0.2,"Low (1-20%)",IF(T1923&lt;=0.4,"Medium (21-40%)","High (&gt;40%)"))))</f>
        <v/>
      </c>
      <c r="Y1923" s="23" t="str">
        <f aca="false">IF(AND(ISNUMBER(C1923),ISNUMBER(D1923)),D1923-C1923,"")</f>
        <v/>
      </c>
      <c r="Z1923" s="23" t="str">
        <f aca="false">IF(B1923="","",IF(MATCH(B1923,$B$2:$B$12000,0)=ROW()-1,1,0))</f>
        <v/>
      </c>
    </row>
    <row r="1924" customFormat="false" ht="15" hidden="false" customHeight="false" outlineLevel="0" collapsed="false">
      <c r="V1924" s="23" t="str">
        <f aca="false">IF(ISNUMBER(C1924),YEAR(C1924),"")</f>
        <v/>
      </c>
      <c r="W1924" s="23" t="str">
        <f aca="false">IF(ISNUMBER(C1924),MONTH(C1924),"")</f>
        <v/>
      </c>
      <c r="X1924" s="23" t="str">
        <f aca="false">IF(T1924="","",IF(T1924=0,"No discount",IF(T1924&lt;=0.2,"Low (1-20%)",IF(T1924&lt;=0.4,"Medium (21-40%)","High (&gt;40%)"))))</f>
        <v/>
      </c>
      <c r="Y1924" s="23" t="str">
        <f aca="false">IF(AND(ISNUMBER(C1924),ISNUMBER(D1924)),D1924-C1924,"")</f>
        <v/>
      </c>
      <c r="Z1924" s="23" t="str">
        <f aca="false">IF(B1924="","",IF(MATCH(B1924,$B$2:$B$12000,0)=ROW()-1,1,0))</f>
        <v/>
      </c>
    </row>
    <row r="1925" customFormat="false" ht="15" hidden="false" customHeight="false" outlineLevel="0" collapsed="false">
      <c r="V1925" s="23" t="str">
        <f aca="false">IF(ISNUMBER(C1925),YEAR(C1925),"")</f>
        <v/>
      </c>
      <c r="W1925" s="23" t="str">
        <f aca="false">IF(ISNUMBER(C1925),MONTH(C1925),"")</f>
        <v/>
      </c>
      <c r="X1925" s="23" t="str">
        <f aca="false">IF(T1925="","",IF(T1925=0,"No discount",IF(T1925&lt;=0.2,"Low (1-20%)",IF(T1925&lt;=0.4,"Medium (21-40%)","High (&gt;40%)"))))</f>
        <v/>
      </c>
      <c r="Y1925" s="23" t="str">
        <f aca="false">IF(AND(ISNUMBER(C1925),ISNUMBER(D1925)),D1925-C1925,"")</f>
        <v/>
      </c>
      <c r="Z1925" s="23" t="str">
        <f aca="false">IF(B1925="","",IF(MATCH(B1925,$B$2:$B$12000,0)=ROW()-1,1,0))</f>
        <v/>
      </c>
    </row>
    <row r="1926" customFormat="false" ht="15" hidden="false" customHeight="false" outlineLevel="0" collapsed="false">
      <c r="V1926" s="23" t="str">
        <f aca="false">IF(ISNUMBER(C1926),YEAR(C1926),"")</f>
        <v/>
      </c>
      <c r="W1926" s="23" t="str">
        <f aca="false">IF(ISNUMBER(C1926),MONTH(C1926),"")</f>
        <v/>
      </c>
      <c r="X1926" s="23" t="str">
        <f aca="false">IF(T1926="","",IF(T1926=0,"No discount",IF(T1926&lt;=0.2,"Low (1-20%)",IF(T1926&lt;=0.4,"Medium (21-40%)","High (&gt;40%)"))))</f>
        <v/>
      </c>
      <c r="Y1926" s="23" t="str">
        <f aca="false">IF(AND(ISNUMBER(C1926),ISNUMBER(D1926)),D1926-C1926,"")</f>
        <v/>
      </c>
      <c r="Z1926" s="23" t="str">
        <f aca="false">IF(B1926="","",IF(MATCH(B1926,$B$2:$B$12000,0)=ROW()-1,1,0))</f>
        <v/>
      </c>
    </row>
    <row r="1927" customFormat="false" ht="15" hidden="false" customHeight="false" outlineLevel="0" collapsed="false">
      <c r="V1927" s="23" t="str">
        <f aca="false">IF(ISNUMBER(C1927),YEAR(C1927),"")</f>
        <v/>
      </c>
      <c r="W1927" s="23" t="str">
        <f aca="false">IF(ISNUMBER(C1927),MONTH(C1927),"")</f>
        <v/>
      </c>
      <c r="X1927" s="23" t="str">
        <f aca="false">IF(T1927="","",IF(T1927=0,"No discount",IF(T1927&lt;=0.2,"Low (1-20%)",IF(T1927&lt;=0.4,"Medium (21-40%)","High (&gt;40%)"))))</f>
        <v/>
      </c>
      <c r="Y1927" s="23" t="str">
        <f aca="false">IF(AND(ISNUMBER(C1927),ISNUMBER(D1927)),D1927-C1927,"")</f>
        <v/>
      </c>
      <c r="Z1927" s="23" t="str">
        <f aca="false">IF(B1927="","",IF(MATCH(B1927,$B$2:$B$12000,0)=ROW()-1,1,0))</f>
        <v/>
      </c>
    </row>
    <row r="1928" customFormat="false" ht="15" hidden="false" customHeight="false" outlineLevel="0" collapsed="false">
      <c r="V1928" s="23" t="str">
        <f aca="false">IF(ISNUMBER(C1928),YEAR(C1928),"")</f>
        <v/>
      </c>
      <c r="W1928" s="23" t="str">
        <f aca="false">IF(ISNUMBER(C1928),MONTH(C1928),"")</f>
        <v/>
      </c>
      <c r="X1928" s="23" t="str">
        <f aca="false">IF(T1928="","",IF(T1928=0,"No discount",IF(T1928&lt;=0.2,"Low (1-20%)",IF(T1928&lt;=0.4,"Medium (21-40%)","High (&gt;40%)"))))</f>
        <v/>
      </c>
      <c r="Y1928" s="23" t="str">
        <f aca="false">IF(AND(ISNUMBER(C1928),ISNUMBER(D1928)),D1928-C1928,"")</f>
        <v/>
      </c>
      <c r="Z1928" s="23" t="str">
        <f aca="false">IF(B1928="","",IF(MATCH(B1928,$B$2:$B$12000,0)=ROW()-1,1,0))</f>
        <v/>
      </c>
    </row>
    <row r="1929" customFormat="false" ht="15" hidden="false" customHeight="false" outlineLevel="0" collapsed="false">
      <c r="V1929" s="23" t="str">
        <f aca="false">IF(ISNUMBER(C1929),YEAR(C1929),"")</f>
        <v/>
      </c>
      <c r="W1929" s="23" t="str">
        <f aca="false">IF(ISNUMBER(C1929),MONTH(C1929),"")</f>
        <v/>
      </c>
      <c r="X1929" s="23" t="str">
        <f aca="false">IF(T1929="","",IF(T1929=0,"No discount",IF(T1929&lt;=0.2,"Low (1-20%)",IF(T1929&lt;=0.4,"Medium (21-40%)","High (&gt;40%)"))))</f>
        <v/>
      </c>
      <c r="Y1929" s="23" t="str">
        <f aca="false">IF(AND(ISNUMBER(C1929),ISNUMBER(D1929)),D1929-C1929,"")</f>
        <v/>
      </c>
      <c r="Z1929" s="23" t="str">
        <f aca="false">IF(B1929="","",IF(MATCH(B1929,$B$2:$B$12000,0)=ROW()-1,1,0))</f>
        <v/>
      </c>
    </row>
    <row r="1930" customFormat="false" ht="15" hidden="false" customHeight="false" outlineLevel="0" collapsed="false">
      <c r="V1930" s="23" t="str">
        <f aca="false">IF(ISNUMBER(C1930),YEAR(C1930),"")</f>
        <v/>
      </c>
      <c r="W1930" s="23" t="str">
        <f aca="false">IF(ISNUMBER(C1930),MONTH(C1930),"")</f>
        <v/>
      </c>
      <c r="X1930" s="23" t="str">
        <f aca="false">IF(T1930="","",IF(T1930=0,"No discount",IF(T1930&lt;=0.2,"Low (1-20%)",IF(T1930&lt;=0.4,"Medium (21-40%)","High (&gt;40%)"))))</f>
        <v/>
      </c>
      <c r="Y1930" s="23" t="str">
        <f aca="false">IF(AND(ISNUMBER(C1930),ISNUMBER(D1930)),D1930-C1930,"")</f>
        <v/>
      </c>
      <c r="Z1930" s="23" t="str">
        <f aca="false">IF(B1930="","",IF(MATCH(B1930,$B$2:$B$12000,0)=ROW()-1,1,0))</f>
        <v/>
      </c>
    </row>
    <row r="1931" customFormat="false" ht="15" hidden="false" customHeight="false" outlineLevel="0" collapsed="false">
      <c r="V1931" s="23" t="str">
        <f aca="false">IF(ISNUMBER(C1931),YEAR(C1931),"")</f>
        <v/>
      </c>
      <c r="W1931" s="23" t="str">
        <f aca="false">IF(ISNUMBER(C1931),MONTH(C1931),"")</f>
        <v/>
      </c>
      <c r="X1931" s="23" t="str">
        <f aca="false">IF(T1931="","",IF(T1931=0,"No discount",IF(T1931&lt;=0.2,"Low (1-20%)",IF(T1931&lt;=0.4,"Medium (21-40%)","High (&gt;40%)"))))</f>
        <v/>
      </c>
      <c r="Y1931" s="23" t="str">
        <f aca="false">IF(AND(ISNUMBER(C1931),ISNUMBER(D1931)),D1931-C1931,"")</f>
        <v/>
      </c>
      <c r="Z1931" s="23" t="str">
        <f aca="false">IF(B1931="","",IF(MATCH(B1931,$B$2:$B$12000,0)=ROW()-1,1,0))</f>
        <v/>
      </c>
    </row>
    <row r="1932" customFormat="false" ht="15" hidden="false" customHeight="false" outlineLevel="0" collapsed="false">
      <c r="V1932" s="23" t="str">
        <f aca="false">IF(ISNUMBER(C1932),YEAR(C1932),"")</f>
        <v/>
      </c>
      <c r="W1932" s="23" t="str">
        <f aca="false">IF(ISNUMBER(C1932),MONTH(C1932),"")</f>
        <v/>
      </c>
      <c r="X1932" s="23" t="str">
        <f aca="false">IF(T1932="","",IF(T1932=0,"No discount",IF(T1932&lt;=0.2,"Low (1-20%)",IF(T1932&lt;=0.4,"Medium (21-40%)","High (&gt;40%)"))))</f>
        <v/>
      </c>
      <c r="Y1932" s="23" t="str">
        <f aca="false">IF(AND(ISNUMBER(C1932),ISNUMBER(D1932)),D1932-C1932,"")</f>
        <v/>
      </c>
      <c r="Z1932" s="23" t="str">
        <f aca="false">IF(B1932="","",IF(MATCH(B1932,$B$2:$B$12000,0)=ROW()-1,1,0))</f>
        <v/>
      </c>
    </row>
    <row r="1933" customFormat="false" ht="15" hidden="false" customHeight="false" outlineLevel="0" collapsed="false">
      <c r="V1933" s="23" t="str">
        <f aca="false">IF(ISNUMBER(C1933),YEAR(C1933),"")</f>
        <v/>
      </c>
      <c r="W1933" s="23" t="str">
        <f aca="false">IF(ISNUMBER(C1933),MONTH(C1933),"")</f>
        <v/>
      </c>
      <c r="X1933" s="23" t="str">
        <f aca="false">IF(T1933="","",IF(T1933=0,"No discount",IF(T1933&lt;=0.2,"Low (1-20%)",IF(T1933&lt;=0.4,"Medium (21-40%)","High (&gt;40%)"))))</f>
        <v/>
      </c>
      <c r="Y1933" s="23" t="str">
        <f aca="false">IF(AND(ISNUMBER(C1933),ISNUMBER(D1933)),D1933-C1933,"")</f>
        <v/>
      </c>
      <c r="Z1933" s="23" t="str">
        <f aca="false">IF(B1933="","",IF(MATCH(B1933,$B$2:$B$12000,0)=ROW()-1,1,0))</f>
        <v/>
      </c>
    </row>
    <row r="1934" customFormat="false" ht="15" hidden="false" customHeight="false" outlineLevel="0" collapsed="false">
      <c r="V1934" s="23" t="str">
        <f aca="false">IF(ISNUMBER(C1934),YEAR(C1934),"")</f>
        <v/>
      </c>
      <c r="W1934" s="23" t="str">
        <f aca="false">IF(ISNUMBER(C1934),MONTH(C1934),"")</f>
        <v/>
      </c>
      <c r="X1934" s="23" t="str">
        <f aca="false">IF(T1934="","",IF(T1934=0,"No discount",IF(T1934&lt;=0.2,"Low (1-20%)",IF(T1934&lt;=0.4,"Medium (21-40%)","High (&gt;40%)"))))</f>
        <v/>
      </c>
      <c r="Y1934" s="23" t="str">
        <f aca="false">IF(AND(ISNUMBER(C1934),ISNUMBER(D1934)),D1934-C1934,"")</f>
        <v/>
      </c>
      <c r="Z1934" s="23" t="str">
        <f aca="false">IF(B1934="","",IF(MATCH(B1934,$B$2:$B$12000,0)=ROW()-1,1,0))</f>
        <v/>
      </c>
    </row>
    <row r="1935" customFormat="false" ht="15" hidden="false" customHeight="false" outlineLevel="0" collapsed="false">
      <c r="V1935" s="23" t="str">
        <f aca="false">IF(ISNUMBER(C1935),YEAR(C1935),"")</f>
        <v/>
      </c>
      <c r="W1935" s="23" t="str">
        <f aca="false">IF(ISNUMBER(C1935),MONTH(C1935),"")</f>
        <v/>
      </c>
      <c r="X1935" s="23" t="str">
        <f aca="false">IF(T1935="","",IF(T1935=0,"No discount",IF(T1935&lt;=0.2,"Low (1-20%)",IF(T1935&lt;=0.4,"Medium (21-40%)","High (&gt;40%)"))))</f>
        <v/>
      </c>
      <c r="Y1935" s="23" t="str">
        <f aca="false">IF(AND(ISNUMBER(C1935),ISNUMBER(D1935)),D1935-C1935,"")</f>
        <v/>
      </c>
      <c r="Z1935" s="23" t="str">
        <f aca="false">IF(B1935="","",IF(MATCH(B1935,$B$2:$B$12000,0)=ROW()-1,1,0))</f>
        <v/>
      </c>
    </row>
    <row r="1936" customFormat="false" ht="15" hidden="false" customHeight="false" outlineLevel="0" collapsed="false">
      <c r="V1936" s="23" t="str">
        <f aca="false">IF(ISNUMBER(C1936),YEAR(C1936),"")</f>
        <v/>
      </c>
      <c r="W1936" s="23" t="str">
        <f aca="false">IF(ISNUMBER(C1936),MONTH(C1936),"")</f>
        <v/>
      </c>
      <c r="X1936" s="23" t="str">
        <f aca="false">IF(T1936="","",IF(T1936=0,"No discount",IF(T1936&lt;=0.2,"Low (1-20%)",IF(T1936&lt;=0.4,"Medium (21-40%)","High (&gt;40%)"))))</f>
        <v/>
      </c>
      <c r="Y1936" s="23" t="str">
        <f aca="false">IF(AND(ISNUMBER(C1936),ISNUMBER(D1936)),D1936-C1936,"")</f>
        <v/>
      </c>
      <c r="Z1936" s="23" t="str">
        <f aca="false">IF(B1936="","",IF(MATCH(B1936,$B$2:$B$12000,0)=ROW()-1,1,0))</f>
        <v/>
      </c>
    </row>
    <row r="1937" customFormat="false" ht="15" hidden="false" customHeight="false" outlineLevel="0" collapsed="false">
      <c r="V1937" s="23" t="str">
        <f aca="false">IF(ISNUMBER(C1937),YEAR(C1937),"")</f>
        <v/>
      </c>
      <c r="W1937" s="23" t="str">
        <f aca="false">IF(ISNUMBER(C1937),MONTH(C1937),"")</f>
        <v/>
      </c>
      <c r="X1937" s="23" t="str">
        <f aca="false">IF(T1937="","",IF(T1937=0,"No discount",IF(T1937&lt;=0.2,"Low (1-20%)",IF(T1937&lt;=0.4,"Medium (21-40%)","High (&gt;40%)"))))</f>
        <v/>
      </c>
      <c r="Y1937" s="23" t="str">
        <f aca="false">IF(AND(ISNUMBER(C1937),ISNUMBER(D1937)),D1937-C1937,"")</f>
        <v/>
      </c>
      <c r="Z1937" s="23" t="str">
        <f aca="false">IF(B1937="","",IF(MATCH(B1937,$B$2:$B$12000,0)=ROW()-1,1,0))</f>
        <v/>
      </c>
    </row>
    <row r="1938" customFormat="false" ht="15" hidden="false" customHeight="false" outlineLevel="0" collapsed="false">
      <c r="V1938" s="23" t="str">
        <f aca="false">IF(ISNUMBER(C1938),YEAR(C1938),"")</f>
        <v/>
      </c>
      <c r="W1938" s="23" t="str">
        <f aca="false">IF(ISNUMBER(C1938),MONTH(C1938),"")</f>
        <v/>
      </c>
      <c r="X1938" s="23" t="str">
        <f aca="false">IF(T1938="","",IF(T1938=0,"No discount",IF(T1938&lt;=0.2,"Low (1-20%)",IF(T1938&lt;=0.4,"Medium (21-40%)","High (&gt;40%)"))))</f>
        <v/>
      </c>
      <c r="Y1938" s="23" t="str">
        <f aca="false">IF(AND(ISNUMBER(C1938),ISNUMBER(D1938)),D1938-C1938,"")</f>
        <v/>
      </c>
      <c r="Z1938" s="23" t="str">
        <f aca="false">IF(B1938="","",IF(MATCH(B1938,$B$2:$B$12000,0)=ROW()-1,1,0))</f>
        <v/>
      </c>
    </row>
    <row r="1939" customFormat="false" ht="15" hidden="false" customHeight="false" outlineLevel="0" collapsed="false">
      <c r="V1939" s="23" t="str">
        <f aca="false">IF(ISNUMBER(C1939),YEAR(C1939),"")</f>
        <v/>
      </c>
      <c r="W1939" s="23" t="str">
        <f aca="false">IF(ISNUMBER(C1939),MONTH(C1939),"")</f>
        <v/>
      </c>
      <c r="X1939" s="23" t="str">
        <f aca="false">IF(T1939="","",IF(T1939=0,"No discount",IF(T1939&lt;=0.2,"Low (1-20%)",IF(T1939&lt;=0.4,"Medium (21-40%)","High (&gt;40%)"))))</f>
        <v/>
      </c>
      <c r="Y1939" s="23" t="str">
        <f aca="false">IF(AND(ISNUMBER(C1939),ISNUMBER(D1939)),D1939-C1939,"")</f>
        <v/>
      </c>
      <c r="Z1939" s="23" t="str">
        <f aca="false">IF(B1939="","",IF(MATCH(B1939,$B$2:$B$12000,0)=ROW()-1,1,0))</f>
        <v/>
      </c>
    </row>
    <row r="1940" customFormat="false" ht="15" hidden="false" customHeight="false" outlineLevel="0" collapsed="false">
      <c r="V1940" s="23" t="str">
        <f aca="false">IF(ISNUMBER(C1940),YEAR(C1940),"")</f>
        <v/>
      </c>
      <c r="W1940" s="23" t="str">
        <f aca="false">IF(ISNUMBER(C1940),MONTH(C1940),"")</f>
        <v/>
      </c>
      <c r="X1940" s="23" t="str">
        <f aca="false">IF(T1940="","",IF(T1940=0,"No discount",IF(T1940&lt;=0.2,"Low (1-20%)",IF(T1940&lt;=0.4,"Medium (21-40%)","High (&gt;40%)"))))</f>
        <v/>
      </c>
      <c r="Y1940" s="23" t="str">
        <f aca="false">IF(AND(ISNUMBER(C1940),ISNUMBER(D1940)),D1940-C1940,"")</f>
        <v/>
      </c>
      <c r="Z1940" s="23" t="str">
        <f aca="false">IF(B1940="","",IF(MATCH(B1940,$B$2:$B$12000,0)=ROW()-1,1,0))</f>
        <v/>
      </c>
    </row>
    <row r="1941" customFormat="false" ht="15" hidden="false" customHeight="false" outlineLevel="0" collapsed="false">
      <c r="V1941" s="23" t="str">
        <f aca="false">IF(ISNUMBER(C1941),YEAR(C1941),"")</f>
        <v/>
      </c>
      <c r="W1941" s="23" t="str">
        <f aca="false">IF(ISNUMBER(C1941),MONTH(C1941),"")</f>
        <v/>
      </c>
      <c r="X1941" s="23" t="str">
        <f aca="false">IF(T1941="","",IF(T1941=0,"No discount",IF(T1941&lt;=0.2,"Low (1-20%)",IF(T1941&lt;=0.4,"Medium (21-40%)","High (&gt;40%)"))))</f>
        <v/>
      </c>
      <c r="Y1941" s="23" t="str">
        <f aca="false">IF(AND(ISNUMBER(C1941),ISNUMBER(D1941)),D1941-C1941,"")</f>
        <v/>
      </c>
      <c r="Z1941" s="23" t="str">
        <f aca="false">IF(B1941="","",IF(MATCH(B1941,$B$2:$B$12000,0)=ROW()-1,1,0))</f>
        <v/>
      </c>
    </row>
    <row r="1942" customFormat="false" ht="15" hidden="false" customHeight="false" outlineLevel="0" collapsed="false">
      <c r="V1942" s="23" t="str">
        <f aca="false">IF(ISNUMBER(C1942),YEAR(C1942),"")</f>
        <v/>
      </c>
      <c r="W1942" s="23" t="str">
        <f aca="false">IF(ISNUMBER(C1942),MONTH(C1942),"")</f>
        <v/>
      </c>
      <c r="X1942" s="23" t="str">
        <f aca="false">IF(T1942="","",IF(T1942=0,"No discount",IF(T1942&lt;=0.2,"Low (1-20%)",IF(T1942&lt;=0.4,"Medium (21-40%)","High (&gt;40%)"))))</f>
        <v/>
      </c>
      <c r="Y1942" s="23" t="str">
        <f aca="false">IF(AND(ISNUMBER(C1942),ISNUMBER(D1942)),D1942-C1942,"")</f>
        <v/>
      </c>
      <c r="Z1942" s="23" t="str">
        <f aca="false">IF(B1942="","",IF(MATCH(B1942,$B$2:$B$12000,0)=ROW()-1,1,0))</f>
        <v/>
      </c>
    </row>
    <row r="1943" customFormat="false" ht="15" hidden="false" customHeight="false" outlineLevel="0" collapsed="false">
      <c r="V1943" s="23" t="str">
        <f aca="false">IF(ISNUMBER(C1943),YEAR(C1943),"")</f>
        <v/>
      </c>
      <c r="W1943" s="23" t="str">
        <f aca="false">IF(ISNUMBER(C1943),MONTH(C1943),"")</f>
        <v/>
      </c>
      <c r="X1943" s="23" t="str">
        <f aca="false">IF(T1943="","",IF(T1943=0,"No discount",IF(T1943&lt;=0.2,"Low (1-20%)",IF(T1943&lt;=0.4,"Medium (21-40%)","High (&gt;40%)"))))</f>
        <v/>
      </c>
      <c r="Y1943" s="23" t="str">
        <f aca="false">IF(AND(ISNUMBER(C1943),ISNUMBER(D1943)),D1943-C1943,"")</f>
        <v/>
      </c>
      <c r="Z1943" s="23" t="str">
        <f aca="false">IF(B1943="","",IF(MATCH(B1943,$B$2:$B$12000,0)=ROW()-1,1,0))</f>
        <v/>
      </c>
    </row>
    <row r="1944" customFormat="false" ht="15" hidden="false" customHeight="false" outlineLevel="0" collapsed="false">
      <c r="V1944" s="23" t="str">
        <f aca="false">IF(ISNUMBER(C1944),YEAR(C1944),"")</f>
        <v/>
      </c>
      <c r="W1944" s="23" t="str">
        <f aca="false">IF(ISNUMBER(C1944),MONTH(C1944),"")</f>
        <v/>
      </c>
      <c r="X1944" s="23" t="str">
        <f aca="false">IF(T1944="","",IF(T1944=0,"No discount",IF(T1944&lt;=0.2,"Low (1-20%)",IF(T1944&lt;=0.4,"Medium (21-40%)","High (&gt;40%)"))))</f>
        <v/>
      </c>
      <c r="Y1944" s="23" t="str">
        <f aca="false">IF(AND(ISNUMBER(C1944),ISNUMBER(D1944)),D1944-C1944,"")</f>
        <v/>
      </c>
      <c r="Z1944" s="23" t="str">
        <f aca="false">IF(B1944="","",IF(MATCH(B1944,$B$2:$B$12000,0)=ROW()-1,1,0))</f>
        <v/>
      </c>
    </row>
    <row r="1945" customFormat="false" ht="15" hidden="false" customHeight="false" outlineLevel="0" collapsed="false">
      <c r="V1945" s="23" t="str">
        <f aca="false">IF(ISNUMBER(C1945),YEAR(C1945),"")</f>
        <v/>
      </c>
      <c r="W1945" s="23" t="str">
        <f aca="false">IF(ISNUMBER(C1945),MONTH(C1945),"")</f>
        <v/>
      </c>
      <c r="X1945" s="23" t="str">
        <f aca="false">IF(T1945="","",IF(T1945=0,"No discount",IF(T1945&lt;=0.2,"Low (1-20%)",IF(T1945&lt;=0.4,"Medium (21-40%)","High (&gt;40%)"))))</f>
        <v/>
      </c>
      <c r="Y1945" s="23" t="str">
        <f aca="false">IF(AND(ISNUMBER(C1945),ISNUMBER(D1945)),D1945-C1945,"")</f>
        <v/>
      </c>
      <c r="Z1945" s="23" t="str">
        <f aca="false">IF(B1945="","",IF(MATCH(B1945,$B$2:$B$12000,0)=ROW()-1,1,0))</f>
        <v/>
      </c>
    </row>
    <row r="1946" customFormat="false" ht="15" hidden="false" customHeight="false" outlineLevel="0" collapsed="false">
      <c r="V1946" s="23" t="str">
        <f aca="false">IF(ISNUMBER(C1946),YEAR(C1946),"")</f>
        <v/>
      </c>
      <c r="W1946" s="23" t="str">
        <f aca="false">IF(ISNUMBER(C1946),MONTH(C1946),"")</f>
        <v/>
      </c>
      <c r="X1946" s="23" t="str">
        <f aca="false">IF(T1946="","",IF(T1946=0,"No discount",IF(T1946&lt;=0.2,"Low (1-20%)",IF(T1946&lt;=0.4,"Medium (21-40%)","High (&gt;40%)"))))</f>
        <v/>
      </c>
      <c r="Y1946" s="23" t="str">
        <f aca="false">IF(AND(ISNUMBER(C1946),ISNUMBER(D1946)),D1946-C1946,"")</f>
        <v/>
      </c>
      <c r="Z1946" s="23" t="str">
        <f aca="false">IF(B1946="","",IF(MATCH(B1946,$B$2:$B$12000,0)=ROW()-1,1,0))</f>
        <v/>
      </c>
    </row>
    <row r="1947" customFormat="false" ht="15" hidden="false" customHeight="false" outlineLevel="0" collapsed="false">
      <c r="V1947" s="23" t="str">
        <f aca="false">IF(ISNUMBER(C1947),YEAR(C1947),"")</f>
        <v/>
      </c>
      <c r="W1947" s="23" t="str">
        <f aca="false">IF(ISNUMBER(C1947),MONTH(C1947),"")</f>
        <v/>
      </c>
      <c r="X1947" s="23" t="str">
        <f aca="false">IF(T1947="","",IF(T1947=0,"No discount",IF(T1947&lt;=0.2,"Low (1-20%)",IF(T1947&lt;=0.4,"Medium (21-40%)","High (&gt;40%)"))))</f>
        <v/>
      </c>
      <c r="Y1947" s="23" t="str">
        <f aca="false">IF(AND(ISNUMBER(C1947),ISNUMBER(D1947)),D1947-C1947,"")</f>
        <v/>
      </c>
      <c r="Z1947" s="23" t="str">
        <f aca="false">IF(B1947="","",IF(MATCH(B1947,$B$2:$B$12000,0)=ROW()-1,1,0))</f>
        <v/>
      </c>
    </row>
    <row r="1948" customFormat="false" ht="15" hidden="false" customHeight="false" outlineLevel="0" collapsed="false">
      <c r="V1948" s="23" t="str">
        <f aca="false">IF(ISNUMBER(C1948),YEAR(C1948),"")</f>
        <v/>
      </c>
      <c r="W1948" s="23" t="str">
        <f aca="false">IF(ISNUMBER(C1948),MONTH(C1948),"")</f>
        <v/>
      </c>
      <c r="X1948" s="23" t="str">
        <f aca="false">IF(T1948="","",IF(T1948=0,"No discount",IF(T1948&lt;=0.2,"Low (1-20%)",IF(T1948&lt;=0.4,"Medium (21-40%)","High (&gt;40%)"))))</f>
        <v/>
      </c>
      <c r="Y1948" s="23" t="str">
        <f aca="false">IF(AND(ISNUMBER(C1948),ISNUMBER(D1948)),D1948-C1948,"")</f>
        <v/>
      </c>
      <c r="Z1948" s="23" t="str">
        <f aca="false">IF(B1948="","",IF(MATCH(B1948,$B$2:$B$12000,0)=ROW()-1,1,0))</f>
        <v/>
      </c>
    </row>
    <row r="1949" customFormat="false" ht="15" hidden="false" customHeight="false" outlineLevel="0" collapsed="false">
      <c r="V1949" s="23" t="str">
        <f aca="false">IF(ISNUMBER(C1949),YEAR(C1949),"")</f>
        <v/>
      </c>
      <c r="W1949" s="23" t="str">
        <f aca="false">IF(ISNUMBER(C1949),MONTH(C1949),"")</f>
        <v/>
      </c>
      <c r="X1949" s="23" t="str">
        <f aca="false">IF(T1949="","",IF(T1949=0,"No discount",IF(T1949&lt;=0.2,"Low (1-20%)",IF(T1949&lt;=0.4,"Medium (21-40%)","High (&gt;40%)"))))</f>
        <v/>
      </c>
      <c r="Y1949" s="23" t="str">
        <f aca="false">IF(AND(ISNUMBER(C1949),ISNUMBER(D1949)),D1949-C1949,"")</f>
        <v/>
      </c>
      <c r="Z1949" s="23" t="str">
        <f aca="false">IF(B1949="","",IF(MATCH(B1949,$B$2:$B$12000,0)=ROW()-1,1,0))</f>
        <v/>
      </c>
    </row>
    <row r="1950" customFormat="false" ht="15" hidden="false" customHeight="false" outlineLevel="0" collapsed="false">
      <c r="V1950" s="23" t="str">
        <f aca="false">IF(ISNUMBER(C1950),YEAR(C1950),"")</f>
        <v/>
      </c>
      <c r="W1950" s="23" t="str">
        <f aca="false">IF(ISNUMBER(C1950),MONTH(C1950),"")</f>
        <v/>
      </c>
      <c r="X1950" s="23" t="str">
        <f aca="false">IF(T1950="","",IF(T1950=0,"No discount",IF(T1950&lt;=0.2,"Low (1-20%)",IF(T1950&lt;=0.4,"Medium (21-40%)","High (&gt;40%)"))))</f>
        <v/>
      </c>
      <c r="Y1950" s="23" t="str">
        <f aca="false">IF(AND(ISNUMBER(C1950),ISNUMBER(D1950)),D1950-C1950,"")</f>
        <v/>
      </c>
      <c r="Z1950" s="23" t="str">
        <f aca="false">IF(B1950="","",IF(MATCH(B1950,$B$2:$B$12000,0)=ROW()-1,1,0))</f>
        <v/>
      </c>
    </row>
    <row r="1951" customFormat="false" ht="15" hidden="false" customHeight="false" outlineLevel="0" collapsed="false">
      <c r="V1951" s="23" t="str">
        <f aca="false">IF(ISNUMBER(C1951),YEAR(C1951),"")</f>
        <v/>
      </c>
      <c r="W1951" s="23" t="str">
        <f aca="false">IF(ISNUMBER(C1951),MONTH(C1951),"")</f>
        <v/>
      </c>
      <c r="X1951" s="23" t="str">
        <f aca="false">IF(T1951="","",IF(T1951=0,"No discount",IF(T1951&lt;=0.2,"Low (1-20%)",IF(T1951&lt;=0.4,"Medium (21-40%)","High (&gt;40%)"))))</f>
        <v/>
      </c>
      <c r="Y1951" s="23" t="str">
        <f aca="false">IF(AND(ISNUMBER(C1951),ISNUMBER(D1951)),D1951-C1951,"")</f>
        <v/>
      </c>
      <c r="Z1951" s="23" t="str">
        <f aca="false">IF(B1951="","",IF(MATCH(B1951,$B$2:$B$12000,0)=ROW()-1,1,0))</f>
        <v/>
      </c>
    </row>
    <row r="1952" customFormat="false" ht="15" hidden="false" customHeight="false" outlineLevel="0" collapsed="false">
      <c r="V1952" s="23" t="str">
        <f aca="false">IF(ISNUMBER(C1952),YEAR(C1952),"")</f>
        <v/>
      </c>
      <c r="W1952" s="23" t="str">
        <f aca="false">IF(ISNUMBER(C1952),MONTH(C1952),"")</f>
        <v/>
      </c>
      <c r="X1952" s="23" t="str">
        <f aca="false">IF(T1952="","",IF(T1952=0,"No discount",IF(T1952&lt;=0.2,"Low (1-20%)",IF(T1952&lt;=0.4,"Medium (21-40%)","High (&gt;40%)"))))</f>
        <v/>
      </c>
      <c r="Y1952" s="23" t="str">
        <f aca="false">IF(AND(ISNUMBER(C1952),ISNUMBER(D1952)),D1952-C1952,"")</f>
        <v/>
      </c>
      <c r="Z1952" s="23" t="str">
        <f aca="false">IF(B1952="","",IF(MATCH(B1952,$B$2:$B$12000,0)=ROW()-1,1,0))</f>
        <v/>
      </c>
    </row>
    <row r="1953" customFormat="false" ht="15" hidden="false" customHeight="false" outlineLevel="0" collapsed="false">
      <c r="V1953" s="23" t="str">
        <f aca="false">IF(ISNUMBER(C1953),YEAR(C1953),"")</f>
        <v/>
      </c>
      <c r="W1953" s="23" t="str">
        <f aca="false">IF(ISNUMBER(C1953),MONTH(C1953),"")</f>
        <v/>
      </c>
      <c r="X1953" s="23" t="str">
        <f aca="false">IF(T1953="","",IF(T1953=0,"No discount",IF(T1953&lt;=0.2,"Low (1-20%)",IF(T1953&lt;=0.4,"Medium (21-40%)","High (&gt;40%)"))))</f>
        <v/>
      </c>
      <c r="Y1953" s="23" t="str">
        <f aca="false">IF(AND(ISNUMBER(C1953),ISNUMBER(D1953)),D1953-C1953,"")</f>
        <v/>
      </c>
      <c r="Z1953" s="23" t="str">
        <f aca="false">IF(B1953="","",IF(MATCH(B1953,$B$2:$B$12000,0)=ROW()-1,1,0))</f>
        <v/>
      </c>
    </row>
    <row r="1954" customFormat="false" ht="15" hidden="false" customHeight="false" outlineLevel="0" collapsed="false">
      <c r="V1954" s="23" t="str">
        <f aca="false">IF(ISNUMBER(C1954),YEAR(C1954),"")</f>
        <v/>
      </c>
      <c r="W1954" s="23" t="str">
        <f aca="false">IF(ISNUMBER(C1954),MONTH(C1954),"")</f>
        <v/>
      </c>
      <c r="X1954" s="23" t="str">
        <f aca="false">IF(T1954="","",IF(T1954=0,"No discount",IF(T1954&lt;=0.2,"Low (1-20%)",IF(T1954&lt;=0.4,"Medium (21-40%)","High (&gt;40%)"))))</f>
        <v/>
      </c>
      <c r="Y1954" s="23" t="str">
        <f aca="false">IF(AND(ISNUMBER(C1954),ISNUMBER(D1954)),D1954-C1954,"")</f>
        <v/>
      </c>
      <c r="Z1954" s="23" t="str">
        <f aca="false">IF(B1954="","",IF(MATCH(B1954,$B$2:$B$12000,0)=ROW()-1,1,0))</f>
        <v/>
      </c>
    </row>
    <row r="1955" customFormat="false" ht="15" hidden="false" customHeight="false" outlineLevel="0" collapsed="false">
      <c r="V1955" s="23" t="str">
        <f aca="false">IF(ISNUMBER(C1955),YEAR(C1955),"")</f>
        <v/>
      </c>
      <c r="W1955" s="23" t="str">
        <f aca="false">IF(ISNUMBER(C1955),MONTH(C1955),"")</f>
        <v/>
      </c>
      <c r="X1955" s="23" t="str">
        <f aca="false">IF(T1955="","",IF(T1955=0,"No discount",IF(T1955&lt;=0.2,"Low (1-20%)",IF(T1955&lt;=0.4,"Medium (21-40%)","High (&gt;40%)"))))</f>
        <v/>
      </c>
      <c r="Y1955" s="23" t="str">
        <f aca="false">IF(AND(ISNUMBER(C1955),ISNUMBER(D1955)),D1955-C1955,"")</f>
        <v/>
      </c>
      <c r="Z1955" s="23" t="str">
        <f aca="false">IF(B1955="","",IF(MATCH(B1955,$B$2:$B$12000,0)=ROW()-1,1,0))</f>
        <v/>
      </c>
    </row>
    <row r="1956" customFormat="false" ht="15" hidden="false" customHeight="false" outlineLevel="0" collapsed="false">
      <c r="V1956" s="23" t="str">
        <f aca="false">IF(ISNUMBER(C1956),YEAR(C1956),"")</f>
        <v/>
      </c>
      <c r="W1956" s="23" t="str">
        <f aca="false">IF(ISNUMBER(C1956),MONTH(C1956),"")</f>
        <v/>
      </c>
      <c r="X1956" s="23" t="str">
        <f aca="false">IF(T1956="","",IF(T1956=0,"No discount",IF(T1956&lt;=0.2,"Low (1-20%)",IF(T1956&lt;=0.4,"Medium (21-40%)","High (&gt;40%)"))))</f>
        <v/>
      </c>
      <c r="Y1956" s="23" t="str">
        <f aca="false">IF(AND(ISNUMBER(C1956),ISNUMBER(D1956)),D1956-C1956,"")</f>
        <v/>
      </c>
      <c r="Z1956" s="23" t="str">
        <f aca="false">IF(B1956="","",IF(MATCH(B1956,$B$2:$B$12000,0)=ROW()-1,1,0))</f>
        <v/>
      </c>
    </row>
    <row r="1957" customFormat="false" ht="15" hidden="false" customHeight="false" outlineLevel="0" collapsed="false">
      <c r="V1957" s="23" t="str">
        <f aca="false">IF(ISNUMBER(C1957),YEAR(C1957),"")</f>
        <v/>
      </c>
      <c r="W1957" s="23" t="str">
        <f aca="false">IF(ISNUMBER(C1957),MONTH(C1957),"")</f>
        <v/>
      </c>
      <c r="X1957" s="23" t="str">
        <f aca="false">IF(T1957="","",IF(T1957=0,"No discount",IF(T1957&lt;=0.2,"Low (1-20%)",IF(T1957&lt;=0.4,"Medium (21-40%)","High (&gt;40%)"))))</f>
        <v/>
      </c>
      <c r="Y1957" s="23" t="str">
        <f aca="false">IF(AND(ISNUMBER(C1957),ISNUMBER(D1957)),D1957-C1957,"")</f>
        <v/>
      </c>
      <c r="Z1957" s="23" t="str">
        <f aca="false">IF(B1957="","",IF(MATCH(B1957,$B$2:$B$12000,0)=ROW()-1,1,0))</f>
        <v/>
      </c>
    </row>
    <row r="1958" customFormat="false" ht="15" hidden="false" customHeight="false" outlineLevel="0" collapsed="false">
      <c r="V1958" s="23" t="str">
        <f aca="false">IF(ISNUMBER(C1958),YEAR(C1958),"")</f>
        <v/>
      </c>
      <c r="W1958" s="23" t="str">
        <f aca="false">IF(ISNUMBER(C1958),MONTH(C1958),"")</f>
        <v/>
      </c>
      <c r="X1958" s="23" t="str">
        <f aca="false">IF(T1958="","",IF(T1958=0,"No discount",IF(T1958&lt;=0.2,"Low (1-20%)",IF(T1958&lt;=0.4,"Medium (21-40%)","High (&gt;40%)"))))</f>
        <v/>
      </c>
      <c r="Y1958" s="23" t="str">
        <f aca="false">IF(AND(ISNUMBER(C1958),ISNUMBER(D1958)),D1958-C1958,"")</f>
        <v/>
      </c>
      <c r="Z1958" s="23" t="str">
        <f aca="false">IF(B1958="","",IF(MATCH(B1958,$B$2:$B$12000,0)=ROW()-1,1,0))</f>
        <v/>
      </c>
    </row>
    <row r="1959" customFormat="false" ht="15" hidden="false" customHeight="false" outlineLevel="0" collapsed="false">
      <c r="V1959" s="23" t="str">
        <f aca="false">IF(ISNUMBER(C1959),YEAR(C1959),"")</f>
        <v/>
      </c>
      <c r="W1959" s="23" t="str">
        <f aca="false">IF(ISNUMBER(C1959),MONTH(C1959),"")</f>
        <v/>
      </c>
      <c r="X1959" s="23" t="str">
        <f aca="false">IF(T1959="","",IF(T1959=0,"No discount",IF(T1959&lt;=0.2,"Low (1-20%)",IF(T1959&lt;=0.4,"Medium (21-40%)","High (&gt;40%)"))))</f>
        <v/>
      </c>
      <c r="Y1959" s="23" t="str">
        <f aca="false">IF(AND(ISNUMBER(C1959),ISNUMBER(D1959)),D1959-C1959,"")</f>
        <v/>
      </c>
      <c r="Z1959" s="23" t="str">
        <f aca="false">IF(B1959="","",IF(MATCH(B1959,$B$2:$B$12000,0)=ROW()-1,1,0))</f>
        <v/>
      </c>
    </row>
    <row r="1960" customFormat="false" ht="15" hidden="false" customHeight="false" outlineLevel="0" collapsed="false">
      <c r="V1960" s="23" t="str">
        <f aca="false">IF(ISNUMBER(C1960),YEAR(C1960),"")</f>
        <v/>
      </c>
      <c r="W1960" s="23" t="str">
        <f aca="false">IF(ISNUMBER(C1960),MONTH(C1960),"")</f>
        <v/>
      </c>
      <c r="X1960" s="23" t="str">
        <f aca="false">IF(T1960="","",IF(T1960=0,"No discount",IF(T1960&lt;=0.2,"Low (1-20%)",IF(T1960&lt;=0.4,"Medium (21-40%)","High (&gt;40%)"))))</f>
        <v/>
      </c>
      <c r="Y1960" s="23" t="str">
        <f aca="false">IF(AND(ISNUMBER(C1960),ISNUMBER(D1960)),D1960-C1960,"")</f>
        <v/>
      </c>
      <c r="Z1960" s="23" t="str">
        <f aca="false">IF(B1960="","",IF(MATCH(B1960,$B$2:$B$12000,0)=ROW()-1,1,0))</f>
        <v/>
      </c>
    </row>
    <row r="1961" customFormat="false" ht="15" hidden="false" customHeight="false" outlineLevel="0" collapsed="false">
      <c r="V1961" s="23" t="str">
        <f aca="false">IF(ISNUMBER(C1961),YEAR(C1961),"")</f>
        <v/>
      </c>
      <c r="W1961" s="23" t="str">
        <f aca="false">IF(ISNUMBER(C1961),MONTH(C1961),"")</f>
        <v/>
      </c>
      <c r="X1961" s="23" t="str">
        <f aca="false">IF(T1961="","",IF(T1961=0,"No discount",IF(T1961&lt;=0.2,"Low (1-20%)",IF(T1961&lt;=0.4,"Medium (21-40%)","High (&gt;40%)"))))</f>
        <v/>
      </c>
      <c r="Y1961" s="23" t="str">
        <f aca="false">IF(AND(ISNUMBER(C1961),ISNUMBER(D1961)),D1961-C1961,"")</f>
        <v/>
      </c>
      <c r="Z1961" s="23" t="str">
        <f aca="false">IF(B1961="","",IF(MATCH(B1961,$B$2:$B$12000,0)=ROW()-1,1,0))</f>
        <v/>
      </c>
    </row>
    <row r="1962" customFormat="false" ht="15" hidden="false" customHeight="false" outlineLevel="0" collapsed="false">
      <c r="V1962" s="23" t="str">
        <f aca="false">IF(ISNUMBER(C1962),YEAR(C1962),"")</f>
        <v/>
      </c>
      <c r="W1962" s="23" t="str">
        <f aca="false">IF(ISNUMBER(C1962),MONTH(C1962),"")</f>
        <v/>
      </c>
      <c r="X1962" s="23" t="str">
        <f aca="false">IF(T1962="","",IF(T1962=0,"No discount",IF(T1962&lt;=0.2,"Low (1-20%)",IF(T1962&lt;=0.4,"Medium (21-40%)","High (&gt;40%)"))))</f>
        <v/>
      </c>
      <c r="Y1962" s="23" t="str">
        <f aca="false">IF(AND(ISNUMBER(C1962),ISNUMBER(D1962)),D1962-C1962,"")</f>
        <v/>
      </c>
      <c r="Z1962" s="23" t="str">
        <f aca="false">IF(B1962="","",IF(MATCH(B1962,$B$2:$B$12000,0)=ROW()-1,1,0))</f>
        <v/>
      </c>
    </row>
    <row r="1963" customFormat="false" ht="15" hidden="false" customHeight="false" outlineLevel="0" collapsed="false">
      <c r="V1963" s="23" t="str">
        <f aca="false">IF(ISNUMBER(C1963),YEAR(C1963),"")</f>
        <v/>
      </c>
      <c r="W1963" s="23" t="str">
        <f aca="false">IF(ISNUMBER(C1963),MONTH(C1963),"")</f>
        <v/>
      </c>
      <c r="X1963" s="23" t="str">
        <f aca="false">IF(T1963="","",IF(T1963=0,"No discount",IF(T1963&lt;=0.2,"Low (1-20%)",IF(T1963&lt;=0.4,"Medium (21-40%)","High (&gt;40%)"))))</f>
        <v/>
      </c>
      <c r="Y1963" s="23" t="str">
        <f aca="false">IF(AND(ISNUMBER(C1963),ISNUMBER(D1963)),D1963-C1963,"")</f>
        <v/>
      </c>
      <c r="Z1963" s="23" t="str">
        <f aca="false">IF(B1963="","",IF(MATCH(B1963,$B$2:$B$12000,0)=ROW()-1,1,0))</f>
        <v/>
      </c>
    </row>
    <row r="1964" customFormat="false" ht="15" hidden="false" customHeight="false" outlineLevel="0" collapsed="false">
      <c r="V1964" s="23" t="str">
        <f aca="false">IF(ISNUMBER(C1964),YEAR(C1964),"")</f>
        <v/>
      </c>
      <c r="W1964" s="23" t="str">
        <f aca="false">IF(ISNUMBER(C1964),MONTH(C1964),"")</f>
        <v/>
      </c>
      <c r="X1964" s="23" t="str">
        <f aca="false">IF(T1964="","",IF(T1964=0,"No discount",IF(T1964&lt;=0.2,"Low (1-20%)",IF(T1964&lt;=0.4,"Medium (21-40%)","High (&gt;40%)"))))</f>
        <v/>
      </c>
      <c r="Y1964" s="23" t="str">
        <f aca="false">IF(AND(ISNUMBER(C1964),ISNUMBER(D1964)),D1964-C1964,"")</f>
        <v/>
      </c>
      <c r="Z1964" s="23" t="str">
        <f aca="false">IF(B1964="","",IF(MATCH(B1964,$B$2:$B$12000,0)=ROW()-1,1,0))</f>
        <v/>
      </c>
    </row>
    <row r="1965" customFormat="false" ht="15" hidden="false" customHeight="false" outlineLevel="0" collapsed="false">
      <c r="V1965" s="23" t="str">
        <f aca="false">IF(ISNUMBER(C1965),YEAR(C1965),"")</f>
        <v/>
      </c>
      <c r="W1965" s="23" t="str">
        <f aca="false">IF(ISNUMBER(C1965),MONTH(C1965),"")</f>
        <v/>
      </c>
      <c r="X1965" s="23" t="str">
        <f aca="false">IF(T1965="","",IF(T1965=0,"No discount",IF(T1965&lt;=0.2,"Low (1-20%)",IF(T1965&lt;=0.4,"Medium (21-40%)","High (&gt;40%)"))))</f>
        <v/>
      </c>
      <c r="Y1965" s="23" t="str">
        <f aca="false">IF(AND(ISNUMBER(C1965),ISNUMBER(D1965)),D1965-C1965,"")</f>
        <v/>
      </c>
      <c r="Z1965" s="23" t="str">
        <f aca="false">IF(B1965="","",IF(MATCH(B1965,$B$2:$B$12000,0)=ROW()-1,1,0))</f>
        <v/>
      </c>
    </row>
    <row r="1966" customFormat="false" ht="15" hidden="false" customHeight="false" outlineLevel="0" collapsed="false">
      <c r="V1966" s="23" t="str">
        <f aca="false">IF(ISNUMBER(C1966),YEAR(C1966),"")</f>
        <v/>
      </c>
      <c r="W1966" s="23" t="str">
        <f aca="false">IF(ISNUMBER(C1966),MONTH(C1966),"")</f>
        <v/>
      </c>
      <c r="X1966" s="23" t="str">
        <f aca="false">IF(T1966="","",IF(T1966=0,"No discount",IF(T1966&lt;=0.2,"Low (1-20%)",IF(T1966&lt;=0.4,"Medium (21-40%)","High (&gt;40%)"))))</f>
        <v/>
      </c>
      <c r="Y1966" s="23" t="str">
        <f aca="false">IF(AND(ISNUMBER(C1966),ISNUMBER(D1966)),D1966-C1966,"")</f>
        <v/>
      </c>
      <c r="Z1966" s="23" t="str">
        <f aca="false">IF(B1966="","",IF(MATCH(B1966,$B$2:$B$12000,0)=ROW()-1,1,0))</f>
        <v/>
      </c>
    </row>
    <row r="1967" customFormat="false" ht="15" hidden="false" customHeight="false" outlineLevel="0" collapsed="false">
      <c r="V1967" s="23" t="str">
        <f aca="false">IF(ISNUMBER(C1967),YEAR(C1967),"")</f>
        <v/>
      </c>
      <c r="W1967" s="23" t="str">
        <f aca="false">IF(ISNUMBER(C1967),MONTH(C1967),"")</f>
        <v/>
      </c>
      <c r="X1967" s="23" t="str">
        <f aca="false">IF(T1967="","",IF(T1967=0,"No discount",IF(T1967&lt;=0.2,"Low (1-20%)",IF(T1967&lt;=0.4,"Medium (21-40%)","High (&gt;40%)"))))</f>
        <v/>
      </c>
      <c r="Y1967" s="23" t="str">
        <f aca="false">IF(AND(ISNUMBER(C1967),ISNUMBER(D1967)),D1967-C1967,"")</f>
        <v/>
      </c>
      <c r="Z1967" s="23" t="str">
        <f aca="false">IF(B1967="","",IF(MATCH(B1967,$B$2:$B$12000,0)=ROW()-1,1,0))</f>
        <v/>
      </c>
    </row>
    <row r="1968" customFormat="false" ht="15" hidden="false" customHeight="false" outlineLevel="0" collapsed="false">
      <c r="V1968" s="23" t="str">
        <f aca="false">IF(ISNUMBER(C1968),YEAR(C1968),"")</f>
        <v/>
      </c>
      <c r="W1968" s="23" t="str">
        <f aca="false">IF(ISNUMBER(C1968),MONTH(C1968),"")</f>
        <v/>
      </c>
      <c r="X1968" s="23" t="str">
        <f aca="false">IF(T1968="","",IF(T1968=0,"No discount",IF(T1968&lt;=0.2,"Low (1-20%)",IF(T1968&lt;=0.4,"Medium (21-40%)","High (&gt;40%)"))))</f>
        <v/>
      </c>
      <c r="Y1968" s="23" t="str">
        <f aca="false">IF(AND(ISNUMBER(C1968),ISNUMBER(D1968)),D1968-C1968,"")</f>
        <v/>
      </c>
      <c r="Z1968" s="23" t="str">
        <f aca="false">IF(B1968="","",IF(MATCH(B1968,$B$2:$B$12000,0)=ROW()-1,1,0))</f>
        <v/>
      </c>
    </row>
    <row r="1969" customFormat="false" ht="15" hidden="false" customHeight="false" outlineLevel="0" collapsed="false">
      <c r="V1969" s="23" t="str">
        <f aca="false">IF(ISNUMBER(C1969),YEAR(C1969),"")</f>
        <v/>
      </c>
      <c r="W1969" s="23" t="str">
        <f aca="false">IF(ISNUMBER(C1969),MONTH(C1969),"")</f>
        <v/>
      </c>
      <c r="X1969" s="23" t="str">
        <f aca="false">IF(T1969="","",IF(T1969=0,"No discount",IF(T1969&lt;=0.2,"Low (1-20%)",IF(T1969&lt;=0.4,"Medium (21-40%)","High (&gt;40%)"))))</f>
        <v/>
      </c>
      <c r="Y1969" s="23" t="str">
        <f aca="false">IF(AND(ISNUMBER(C1969),ISNUMBER(D1969)),D1969-C1969,"")</f>
        <v/>
      </c>
      <c r="Z1969" s="23" t="str">
        <f aca="false">IF(B1969="","",IF(MATCH(B1969,$B$2:$B$12000,0)=ROW()-1,1,0))</f>
        <v/>
      </c>
    </row>
    <row r="1970" customFormat="false" ht="15" hidden="false" customHeight="false" outlineLevel="0" collapsed="false">
      <c r="V1970" s="23" t="str">
        <f aca="false">IF(ISNUMBER(C1970),YEAR(C1970),"")</f>
        <v/>
      </c>
      <c r="W1970" s="23" t="str">
        <f aca="false">IF(ISNUMBER(C1970),MONTH(C1970),"")</f>
        <v/>
      </c>
      <c r="X1970" s="23" t="str">
        <f aca="false">IF(T1970="","",IF(T1970=0,"No discount",IF(T1970&lt;=0.2,"Low (1-20%)",IF(T1970&lt;=0.4,"Medium (21-40%)","High (&gt;40%)"))))</f>
        <v/>
      </c>
      <c r="Y1970" s="23" t="str">
        <f aca="false">IF(AND(ISNUMBER(C1970),ISNUMBER(D1970)),D1970-C1970,"")</f>
        <v/>
      </c>
      <c r="Z1970" s="23" t="str">
        <f aca="false">IF(B1970="","",IF(MATCH(B1970,$B$2:$B$12000,0)=ROW()-1,1,0))</f>
        <v/>
      </c>
    </row>
    <row r="1971" customFormat="false" ht="15" hidden="false" customHeight="false" outlineLevel="0" collapsed="false">
      <c r="V1971" s="23" t="str">
        <f aca="false">IF(ISNUMBER(C1971),YEAR(C1971),"")</f>
        <v/>
      </c>
      <c r="W1971" s="23" t="str">
        <f aca="false">IF(ISNUMBER(C1971),MONTH(C1971),"")</f>
        <v/>
      </c>
      <c r="X1971" s="23" t="str">
        <f aca="false">IF(T1971="","",IF(T1971=0,"No discount",IF(T1971&lt;=0.2,"Low (1-20%)",IF(T1971&lt;=0.4,"Medium (21-40%)","High (&gt;40%)"))))</f>
        <v/>
      </c>
      <c r="Y1971" s="23" t="str">
        <f aca="false">IF(AND(ISNUMBER(C1971),ISNUMBER(D1971)),D1971-C1971,"")</f>
        <v/>
      </c>
      <c r="Z1971" s="23" t="str">
        <f aca="false">IF(B1971="","",IF(MATCH(B1971,$B$2:$B$12000,0)=ROW()-1,1,0))</f>
        <v/>
      </c>
    </row>
    <row r="1972" customFormat="false" ht="15" hidden="false" customHeight="false" outlineLevel="0" collapsed="false">
      <c r="V1972" s="23" t="str">
        <f aca="false">IF(ISNUMBER(C1972),YEAR(C1972),"")</f>
        <v/>
      </c>
      <c r="W1972" s="23" t="str">
        <f aca="false">IF(ISNUMBER(C1972),MONTH(C1972),"")</f>
        <v/>
      </c>
      <c r="X1972" s="23" t="str">
        <f aca="false">IF(T1972="","",IF(T1972=0,"No discount",IF(T1972&lt;=0.2,"Low (1-20%)",IF(T1972&lt;=0.4,"Medium (21-40%)","High (&gt;40%)"))))</f>
        <v/>
      </c>
      <c r="Y1972" s="23" t="str">
        <f aca="false">IF(AND(ISNUMBER(C1972),ISNUMBER(D1972)),D1972-C1972,"")</f>
        <v/>
      </c>
      <c r="Z1972" s="23" t="str">
        <f aca="false">IF(B1972="","",IF(MATCH(B1972,$B$2:$B$12000,0)=ROW()-1,1,0))</f>
        <v/>
      </c>
    </row>
    <row r="1973" customFormat="false" ht="15" hidden="false" customHeight="false" outlineLevel="0" collapsed="false">
      <c r="V1973" s="23" t="str">
        <f aca="false">IF(ISNUMBER(C1973),YEAR(C1973),"")</f>
        <v/>
      </c>
      <c r="W1973" s="23" t="str">
        <f aca="false">IF(ISNUMBER(C1973),MONTH(C1973),"")</f>
        <v/>
      </c>
      <c r="X1973" s="23" t="str">
        <f aca="false">IF(T1973="","",IF(T1973=0,"No discount",IF(T1973&lt;=0.2,"Low (1-20%)",IF(T1973&lt;=0.4,"Medium (21-40%)","High (&gt;40%)"))))</f>
        <v/>
      </c>
      <c r="Y1973" s="23" t="str">
        <f aca="false">IF(AND(ISNUMBER(C1973),ISNUMBER(D1973)),D1973-C1973,"")</f>
        <v/>
      </c>
      <c r="Z1973" s="23" t="str">
        <f aca="false">IF(B1973="","",IF(MATCH(B1973,$B$2:$B$12000,0)=ROW()-1,1,0))</f>
        <v/>
      </c>
    </row>
    <row r="1974" customFormat="false" ht="15" hidden="false" customHeight="false" outlineLevel="0" collapsed="false">
      <c r="V1974" s="23" t="str">
        <f aca="false">IF(ISNUMBER(C1974),YEAR(C1974),"")</f>
        <v/>
      </c>
      <c r="W1974" s="23" t="str">
        <f aca="false">IF(ISNUMBER(C1974),MONTH(C1974),"")</f>
        <v/>
      </c>
      <c r="X1974" s="23" t="str">
        <f aca="false">IF(T1974="","",IF(T1974=0,"No discount",IF(T1974&lt;=0.2,"Low (1-20%)",IF(T1974&lt;=0.4,"Medium (21-40%)","High (&gt;40%)"))))</f>
        <v/>
      </c>
      <c r="Y1974" s="23" t="str">
        <f aca="false">IF(AND(ISNUMBER(C1974),ISNUMBER(D1974)),D1974-C1974,"")</f>
        <v/>
      </c>
      <c r="Z1974" s="23" t="str">
        <f aca="false">IF(B1974="","",IF(MATCH(B1974,$B$2:$B$12000,0)=ROW()-1,1,0))</f>
        <v/>
      </c>
    </row>
    <row r="1975" customFormat="false" ht="15" hidden="false" customHeight="false" outlineLevel="0" collapsed="false">
      <c r="V1975" s="23" t="str">
        <f aca="false">IF(ISNUMBER(C1975),YEAR(C1975),"")</f>
        <v/>
      </c>
      <c r="W1975" s="23" t="str">
        <f aca="false">IF(ISNUMBER(C1975),MONTH(C1975),"")</f>
        <v/>
      </c>
      <c r="X1975" s="23" t="str">
        <f aca="false">IF(T1975="","",IF(T1975=0,"No discount",IF(T1975&lt;=0.2,"Low (1-20%)",IF(T1975&lt;=0.4,"Medium (21-40%)","High (&gt;40%)"))))</f>
        <v/>
      </c>
      <c r="Y1975" s="23" t="str">
        <f aca="false">IF(AND(ISNUMBER(C1975),ISNUMBER(D1975)),D1975-C1975,"")</f>
        <v/>
      </c>
      <c r="Z1975" s="23" t="str">
        <f aca="false">IF(B1975="","",IF(MATCH(B1975,$B$2:$B$12000,0)=ROW()-1,1,0))</f>
        <v/>
      </c>
    </row>
    <row r="1976" customFormat="false" ht="15" hidden="false" customHeight="false" outlineLevel="0" collapsed="false">
      <c r="V1976" s="23" t="str">
        <f aca="false">IF(ISNUMBER(C1976),YEAR(C1976),"")</f>
        <v/>
      </c>
      <c r="W1976" s="23" t="str">
        <f aca="false">IF(ISNUMBER(C1976),MONTH(C1976),"")</f>
        <v/>
      </c>
      <c r="X1976" s="23" t="str">
        <f aca="false">IF(T1976="","",IF(T1976=0,"No discount",IF(T1976&lt;=0.2,"Low (1-20%)",IF(T1976&lt;=0.4,"Medium (21-40%)","High (&gt;40%)"))))</f>
        <v/>
      </c>
      <c r="Y1976" s="23" t="str">
        <f aca="false">IF(AND(ISNUMBER(C1976),ISNUMBER(D1976)),D1976-C1976,"")</f>
        <v/>
      </c>
      <c r="Z1976" s="23" t="str">
        <f aca="false">IF(B1976="","",IF(MATCH(B1976,$B$2:$B$12000,0)=ROW()-1,1,0))</f>
        <v/>
      </c>
    </row>
    <row r="1977" customFormat="false" ht="15" hidden="false" customHeight="false" outlineLevel="0" collapsed="false">
      <c r="V1977" s="23" t="str">
        <f aca="false">IF(ISNUMBER(C1977),YEAR(C1977),"")</f>
        <v/>
      </c>
      <c r="W1977" s="23" t="str">
        <f aca="false">IF(ISNUMBER(C1977),MONTH(C1977),"")</f>
        <v/>
      </c>
      <c r="X1977" s="23" t="str">
        <f aca="false">IF(T1977="","",IF(T1977=0,"No discount",IF(T1977&lt;=0.2,"Low (1-20%)",IF(T1977&lt;=0.4,"Medium (21-40%)","High (&gt;40%)"))))</f>
        <v/>
      </c>
      <c r="Y1977" s="23" t="str">
        <f aca="false">IF(AND(ISNUMBER(C1977),ISNUMBER(D1977)),D1977-C1977,"")</f>
        <v/>
      </c>
      <c r="Z1977" s="23" t="str">
        <f aca="false">IF(B1977="","",IF(MATCH(B1977,$B$2:$B$12000,0)=ROW()-1,1,0))</f>
        <v/>
      </c>
    </row>
    <row r="1978" customFormat="false" ht="15" hidden="false" customHeight="false" outlineLevel="0" collapsed="false">
      <c r="V1978" s="23" t="str">
        <f aca="false">IF(ISNUMBER(C1978),YEAR(C1978),"")</f>
        <v/>
      </c>
      <c r="W1978" s="23" t="str">
        <f aca="false">IF(ISNUMBER(C1978),MONTH(C1978),"")</f>
        <v/>
      </c>
      <c r="X1978" s="23" t="str">
        <f aca="false">IF(T1978="","",IF(T1978=0,"No discount",IF(T1978&lt;=0.2,"Low (1-20%)",IF(T1978&lt;=0.4,"Medium (21-40%)","High (&gt;40%)"))))</f>
        <v/>
      </c>
      <c r="Y1978" s="23" t="str">
        <f aca="false">IF(AND(ISNUMBER(C1978),ISNUMBER(D1978)),D1978-C1978,"")</f>
        <v/>
      </c>
      <c r="Z1978" s="23" t="str">
        <f aca="false">IF(B1978="","",IF(MATCH(B1978,$B$2:$B$12000,0)=ROW()-1,1,0))</f>
        <v/>
      </c>
    </row>
    <row r="1979" customFormat="false" ht="15" hidden="false" customHeight="false" outlineLevel="0" collapsed="false">
      <c r="V1979" s="23" t="str">
        <f aca="false">IF(ISNUMBER(C1979),YEAR(C1979),"")</f>
        <v/>
      </c>
      <c r="W1979" s="23" t="str">
        <f aca="false">IF(ISNUMBER(C1979),MONTH(C1979),"")</f>
        <v/>
      </c>
      <c r="X1979" s="23" t="str">
        <f aca="false">IF(T1979="","",IF(T1979=0,"No discount",IF(T1979&lt;=0.2,"Low (1-20%)",IF(T1979&lt;=0.4,"Medium (21-40%)","High (&gt;40%)"))))</f>
        <v/>
      </c>
      <c r="Y1979" s="23" t="str">
        <f aca="false">IF(AND(ISNUMBER(C1979),ISNUMBER(D1979)),D1979-C1979,"")</f>
        <v/>
      </c>
      <c r="Z1979" s="23" t="str">
        <f aca="false">IF(B1979="","",IF(MATCH(B1979,$B$2:$B$12000,0)=ROW()-1,1,0))</f>
        <v/>
      </c>
    </row>
    <row r="1980" customFormat="false" ht="15" hidden="false" customHeight="false" outlineLevel="0" collapsed="false">
      <c r="V1980" s="23" t="str">
        <f aca="false">IF(ISNUMBER(C1980),YEAR(C1980),"")</f>
        <v/>
      </c>
      <c r="W1980" s="23" t="str">
        <f aca="false">IF(ISNUMBER(C1980),MONTH(C1980),"")</f>
        <v/>
      </c>
      <c r="X1980" s="23" t="str">
        <f aca="false">IF(T1980="","",IF(T1980=0,"No discount",IF(T1980&lt;=0.2,"Low (1-20%)",IF(T1980&lt;=0.4,"Medium (21-40%)","High (&gt;40%)"))))</f>
        <v/>
      </c>
      <c r="Y1980" s="23" t="str">
        <f aca="false">IF(AND(ISNUMBER(C1980),ISNUMBER(D1980)),D1980-C1980,"")</f>
        <v/>
      </c>
      <c r="Z1980" s="23" t="str">
        <f aca="false">IF(B1980="","",IF(MATCH(B1980,$B$2:$B$12000,0)=ROW()-1,1,0))</f>
        <v/>
      </c>
    </row>
    <row r="1981" customFormat="false" ht="15" hidden="false" customHeight="false" outlineLevel="0" collapsed="false">
      <c r="V1981" s="23" t="str">
        <f aca="false">IF(ISNUMBER(C1981),YEAR(C1981),"")</f>
        <v/>
      </c>
      <c r="W1981" s="23" t="str">
        <f aca="false">IF(ISNUMBER(C1981),MONTH(C1981),"")</f>
        <v/>
      </c>
      <c r="X1981" s="23" t="str">
        <f aca="false">IF(T1981="","",IF(T1981=0,"No discount",IF(T1981&lt;=0.2,"Low (1-20%)",IF(T1981&lt;=0.4,"Medium (21-40%)","High (&gt;40%)"))))</f>
        <v/>
      </c>
      <c r="Y1981" s="23" t="str">
        <f aca="false">IF(AND(ISNUMBER(C1981),ISNUMBER(D1981)),D1981-C1981,"")</f>
        <v/>
      </c>
      <c r="Z1981" s="23" t="str">
        <f aca="false">IF(B1981="","",IF(MATCH(B1981,$B$2:$B$12000,0)=ROW()-1,1,0))</f>
        <v/>
      </c>
    </row>
    <row r="1982" customFormat="false" ht="15" hidden="false" customHeight="false" outlineLevel="0" collapsed="false">
      <c r="V1982" s="23" t="str">
        <f aca="false">IF(ISNUMBER(C1982),YEAR(C1982),"")</f>
        <v/>
      </c>
      <c r="W1982" s="23" t="str">
        <f aca="false">IF(ISNUMBER(C1982),MONTH(C1982),"")</f>
        <v/>
      </c>
      <c r="X1982" s="23" t="str">
        <f aca="false">IF(T1982="","",IF(T1982=0,"No discount",IF(T1982&lt;=0.2,"Low (1-20%)",IF(T1982&lt;=0.4,"Medium (21-40%)","High (&gt;40%)"))))</f>
        <v/>
      </c>
      <c r="Y1982" s="23" t="str">
        <f aca="false">IF(AND(ISNUMBER(C1982),ISNUMBER(D1982)),D1982-C1982,"")</f>
        <v/>
      </c>
      <c r="Z1982" s="23" t="str">
        <f aca="false">IF(B1982="","",IF(MATCH(B1982,$B$2:$B$12000,0)=ROW()-1,1,0))</f>
        <v/>
      </c>
    </row>
    <row r="1983" customFormat="false" ht="15" hidden="false" customHeight="false" outlineLevel="0" collapsed="false">
      <c r="V1983" s="23" t="str">
        <f aca="false">IF(ISNUMBER(C1983),YEAR(C1983),"")</f>
        <v/>
      </c>
      <c r="W1983" s="23" t="str">
        <f aca="false">IF(ISNUMBER(C1983),MONTH(C1983),"")</f>
        <v/>
      </c>
      <c r="X1983" s="23" t="str">
        <f aca="false">IF(T1983="","",IF(T1983=0,"No discount",IF(T1983&lt;=0.2,"Low (1-20%)",IF(T1983&lt;=0.4,"Medium (21-40%)","High (&gt;40%)"))))</f>
        <v/>
      </c>
      <c r="Y1983" s="23" t="str">
        <f aca="false">IF(AND(ISNUMBER(C1983),ISNUMBER(D1983)),D1983-C1983,"")</f>
        <v/>
      </c>
      <c r="Z1983" s="23" t="str">
        <f aca="false">IF(B1983="","",IF(MATCH(B1983,$B$2:$B$12000,0)=ROW()-1,1,0))</f>
        <v/>
      </c>
    </row>
    <row r="1984" customFormat="false" ht="15" hidden="false" customHeight="false" outlineLevel="0" collapsed="false">
      <c r="V1984" s="23" t="str">
        <f aca="false">IF(ISNUMBER(C1984),YEAR(C1984),"")</f>
        <v/>
      </c>
      <c r="W1984" s="23" t="str">
        <f aca="false">IF(ISNUMBER(C1984),MONTH(C1984),"")</f>
        <v/>
      </c>
      <c r="X1984" s="23" t="str">
        <f aca="false">IF(T1984="","",IF(T1984=0,"No discount",IF(T1984&lt;=0.2,"Low (1-20%)",IF(T1984&lt;=0.4,"Medium (21-40%)","High (&gt;40%)"))))</f>
        <v/>
      </c>
      <c r="Y1984" s="23" t="str">
        <f aca="false">IF(AND(ISNUMBER(C1984),ISNUMBER(D1984)),D1984-C1984,"")</f>
        <v/>
      </c>
      <c r="Z1984" s="23" t="str">
        <f aca="false">IF(B1984="","",IF(MATCH(B1984,$B$2:$B$12000,0)=ROW()-1,1,0))</f>
        <v/>
      </c>
    </row>
    <row r="1985" customFormat="false" ht="15" hidden="false" customHeight="false" outlineLevel="0" collapsed="false">
      <c r="V1985" s="23" t="str">
        <f aca="false">IF(ISNUMBER(C1985),YEAR(C1985),"")</f>
        <v/>
      </c>
      <c r="W1985" s="23" t="str">
        <f aca="false">IF(ISNUMBER(C1985),MONTH(C1985),"")</f>
        <v/>
      </c>
      <c r="X1985" s="23" t="str">
        <f aca="false">IF(T1985="","",IF(T1985=0,"No discount",IF(T1985&lt;=0.2,"Low (1-20%)",IF(T1985&lt;=0.4,"Medium (21-40%)","High (&gt;40%)"))))</f>
        <v/>
      </c>
      <c r="Y1985" s="23" t="str">
        <f aca="false">IF(AND(ISNUMBER(C1985),ISNUMBER(D1985)),D1985-C1985,"")</f>
        <v/>
      </c>
      <c r="Z1985" s="23" t="str">
        <f aca="false">IF(B1985="","",IF(MATCH(B1985,$B$2:$B$12000,0)=ROW()-1,1,0))</f>
        <v/>
      </c>
    </row>
    <row r="1986" customFormat="false" ht="15" hidden="false" customHeight="false" outlineLevel="0" collapsed="false">
      <c r="V1986" s="23" t="str">
        <f aca="false">IF(ISNUMBER(C1986),YEAR(C1986),"")</f>
        <v/>
      </c>
      <c r="W1986" s="23" t="str">
        <f aca="false">IF(ISNUMBER(C1986),MONTH(C1986),"")</f>
        <v/>
      </c>
      <c r="X1986" s="23" t="str">
        <f aca="false">IF(T1986="","",IF(T1986=0,"No discount",IF(T1986&lt;=0.2,"Low (1-20%)",IF(T1986&lt;=0.4,"Medium (21-40%)","High (&gt;40%)"))))</f>
        <v/>
      </c>
      <c r="Y1986" s="23" t="str">
        <f aca="false">IF(AND(ISNUMBER(C1986),ISNUMBER(D1986)),D1986-C1986,"")</f>
        <v/>
      </c>
      <c r="Z1986" s="23" t="str">
        <f aca="false">IF(B1986="","",IF(MATCH(B1986,$B$2:$B$12000,0)=ROW()-1,1,0))</f>
        <v/>
      </c>
    </row>
    <row r="1987" customFormat="false" ht="15" hidden="false" customHeight="false" outlineLevel="0" collapsed="false">
      <c r="V1987" s="23" t="str">
        <f aca="false">IF(ISNUMBER(C1987),YEAR(C1987),"")</f>
        <v/>
      </c>
      <c r="W1987" s="23" t="str">
        <f aca="false">IF(ISNUMBER(C1987),MONTH(C1987),"")</f>
        <v/>
      </c>
      <c r="X1987" s="23" t="str">
        <f aca="false">IF(T1987="","",IF(T1987=0,"No discount",IF(T1987&lt;=0.2,"Low (1-20%)",IF(T1987&lt;=0.4,"Medium (21-40%)","High (&gt;40%)"))))</f>
        <v/>
      </c>
      <c r="Y1987" s="23" t="str">
        <f aca="false">IF(AND(ISNUMBER(C1987),ISNUMBER(D1987)),D1987-C1987,"")</f>
        <v/>
      </c>
      <c r="Z1987" s="23" t="str">
        <f aca="false">IF(B1987="","",IF(MATCH(B1987,$B$2:$B$12000,0)=ROW()-1,1,0))</f>
        <v/>
      </c>
    </row>
    <row r="1988" customFormat="false" ht="15" hidden="false" customHeight="false" outlineLevel="0" collapsed="false">
      <c r="V1988" s="23" t="str">
        <f aca="false">IF(ISNUMBER(C1988),YEAR(C1988),"")</f>
        <v/>
      </c>
      <c r="W1988" s="23" t="str">
        <f aca="false">IF(ISNUMBER(C1988),MONTH(C1988),"")</f>
        <v/>
      </c>
      <c r="X1988" s="23" t="str">
        <f aca="false">IF(T1988="","",IF(T1988=0,"No discount",IF(T1988&lt;=0.2,"Low (1-20%)",IF(T1988&lt;=0.4,"Medium (21-40%)","High (&gt;40%)"))))</f>
        <v/>
      </c>
      <c r="Y1988" s="23" t="str">
        <f aca="false">IF(AND(ISNUMBER(C1988),ISNUMBER(D1988)),D1988-C1988,"")</f>
        <v/>
      </c>
      <c r="Z1988" s="23" t="str">
        <f aca="false">IF(B1988="","",IF(MATCH(B1988,$B$2:$B$12000,0)=ROW()-1,1,0))</f>
        <v/>
      </c>
    </row>
    <row r="1989" customFormat="false" ht="15" hidden="false" customHeight="false" outlineLevel="0" collapsed="false">
      <c r="V1989" s="23" t="str">
        <f aca="false">IF(ISNUMBER(C1989),YEAR(C1989),"")</f>
        <v/>
      </c>
      <c r="W1989" s="23" t="str">
        <f aca="false">IF(ISNUMBER(C1989),MONTH(C1989),"")</f>
        <v/>
      </c>
      <c r="X1989" s="23" t="str">
        <f aca="false">IF(T1989="","",IF(T1989=0,"No discount",IF(T1989&lt;=0.2,"Low (1-20%)",IF(T1989&lt;=0.4,"Medium (21-40%)","High (&gt;40%)"))))</f>
        <v/>
      </c>
      <c r="Y1989" s="23" t="str">
        <f aca="false">IF(AND(ISNUMBER(C1989),ISNUMBER(D1989)),D1989-C1989,"")</f>
        <v/>
      </c>
      <c r="Z1989" s="23" t="str">
        <f aca="false">IF(B1989="","",IF(MATCH(B1989,$B$2:$B$12000,0)=ROW()-1,1,0))</f>
        <v/>
      </c>
    </row>
    <row r="1990" customFormat="false" ht="15" hidden="false" customHeight="false" outlineLevel="0" collapsed="false">
      <c r="V1990" s="23" t="str">
        <f aca="false">IF(ISNUMBER(C1990),YEAR(C1990),"")</f>
        <v/>
      </c>
      <c r="W1990" s="23" t="str">
        <f aca="false">IF(ISNUMBER(C1990),MONTH(C1990),"")</f>
        <v/>
      </c>
      <c r="X1990" s="23" t="str">
        <f aca="false">IF(T1990="","",IF(T1990=0,"No discount",IF(T1990&lt;=0.2,"Low (1-20%)",IF(T1990&lt;=0.4,"Medium (21-40%)","High (&gt;40%)"))))</f>
        <v/>
      </c>
      <c r="Y1990" s="23" t="str">
        <f aca="false">IF(AND(ISNUMBER(C1990),ISNUMBER(D1990)),D1990-C1990,"")</f>
        <v/>
      </c>
      <c r="Z1990" s="23" t="str">
        <f aca="false">IF(B1990="","",IF(MATCH(B1990,$B$2:$B$12000,0)=ROW()-1,1,0))</f>
        <v/>
      </c>
    </row>
    <row r="1991" customFormat="false" ht="15" hidden="false" customHeight="false" outlineLevel="0" collapsed="false">
      <c r="V1991" s="23" t="str">
        <f aca="false">IF(ISNUMBER(C1991),YEAR(C1991),"")</f>
        <v/>
      </c>
      <c r="W1991" s="23" t="str">
        <f aca="false">IF(ISNUMBER(C1991),MONTH(C1991),"")</f>
        <v/>
      </c>
      <c r="X1991" s="23" t="str">
        <f aca="false">IF(T1991="","",IF(T1991=0,"No discount",IF(T1991&lt;=0.2,"Low (1-20%)",IF(T1991&lt;=0.4,"Medium (21-40%)","High (&gt;40%)"))))</f>
        <v/>
      </c>
      <c r="Y1991" s="23" t="str">
        <f aca="false">IF(AND(ISNUMBER(C1991),ISNUMBER(D1991)),D1991-C1991,"")</f>
        <v/>
      </c>
      <c r="Z1991" s="23" t="str">
        <f aca="false">IF(B1991="","",IF(MATCH(B1991,$B$2:$B$12000,0)=ROW()-1,1,0))</f>
        <v/>
      </c>
    </row>
    <row r="1992" customFormat="false" ht="15" hidden="false" customHeight="false" outlineLevel="0" collapsed="false">
      <c r="V1992" s="23" t="str">
        <f aca="false">IF(ISNUMBER(C1992),YEAR(C1992),"")</f>
        <v/>
      </c>
      <c r="W1992" s="23" t="str">
        <f aca="false">IF(ISNUMBER(C1992),MONTH(C1992),"")</f>
        <v/>
      </c>
      <c r="X1992" s="23" t="str">
        <f aca="false">IF(T1992="","",IF(T1992=0,"No discount",IF(T1992&lt;=0.2,"Low (1-20%)",IF(T1992&lt;=0.4,"Medium (21-40%)","High (&gt;40%)"))))</f>
        <v/>
      </c>
      <c r="Y1992" s="23" t="str">
        <f aca="false">IF(AND(ISNUMBER(C1992),ISNUMBER(D1992)),D1992-C1992,"")</f>
        <v/>
      </c>
      <c r="Z1992" s="23" t="str">
        <f aca="false">IF(B1992="","",IF(MATCH(B1992,$B$2:$B$12000,0)=ROW()-1,1,0))</f>
        <v/>
      </c>
    </row>
    <row r="1993" customFormat="false" ht="15" hidden="false" customHeight="false" outlineLevel="0" collapsed="false">
      <c r="V1993" s="23" t="str">
        <f aca="false">IF(ISNUMBER(C1993),YEAR(C1993),"")</f>
        <v/>
      </c>
      <c r="W1993" s="23" t="str">
        <f aca="false">IF(ISNUMBER(C1993),MONTH(C1993),"")</f>
        <v/>
      </c>
      <c r="X1993" s="23" t="str">
        <f aca="false">IF(T1993="","",IF(T1993=0,"No discount",IF(T1993&lt;=0.2,"Low (1-20%)",IF(T1993&lt;=0.4,"Medium (21-40%)","High (&gt;40%)"))))</f>
        <v/>
      </c>
      <c r="Y1993" s="23" t="str">
        <f aca="false">IF(AND(ISNUMBER(C1993),ISNUMBER(D1993)),D1993-C1993,"")</f>
        <v/>
      </c>
      <c r="Z1993" s="23" t="str">
        <f aca="false">IF(B1993="","",IF(MATCH(B1993,$B$2:$B$12000,0)=ROW()-1,1,0))</f>
        <v/>
      </c>
    </row>
    <row r="1994" customFormat="false" ht="15" hidden="false" customHeight="false" outlineLevel="0" collapsed="false">
      <c r="V1994" s="23" t="str">
        <f aca="false">IF(ISNUMBER(C1994),YEAR(C1994),"")</f>
        <v/>
      </c>
      <c r="W1994" s="23" t="str">
        <f aca="false">IF(ISNUMBER(C1994),MONTH(C1994),"")</f>
        <v/>
      </c>
      <c r="X1994" s="23" t="str">
        <f aca="false">IF(T1994="","",IF(T1994=0,"No discount",IF(T1994&lt;=0.2,"Low (1-20%)",IF(T1994&lt;=0.4,"Medium (21-40%)","High (&gt;40%)"))))</f>
        <v/>
      </c>
      <c r="Y1994" s="23" t="str">
        <f aca="false">IF(AND(ISNUMBER(C1994),ISNUMBER(D1994)),D1994-C1994,"")</f>
        <v/>
      </c>
      <c r="Z1994" s="23" t="str">
        <f aca="false">IF(B1994="","",IF(MATCH(B1994,$B$2:$B$12000,0)=ROW()-1,1,0))</f>
        <v/>
      </c>
    </row>
    <row r="1995" customFormat="false" ht="15" hidden="false" customHeight="false" outlineLevel="0" collapsed="false">
      <c r="V1995" s="23" t="str">
        <f aca="false">IF(ISNUMBER(C1995),YEAR(C1995),"")</f>
        <v/>
      </c>
      <c r="W1995" s="23" t="str">
        <f aca="false">IF(ISNUMBER(C1995),MONTH(C1995),"")</f>
        <v/>
      </c>
      <c r="X1995" s="23" t="str">
        <f aca="false">IF(T1995="","",IF(T1995=0,"No discount",IF(T1995&lt;=0.2,"Low (1-20%)",IF(T1995&lt;=0.4,"Medium (21-40%)","High (&gt;40%)"))))</f>
        <v/>
      </c>
      <c r="Y1995" s="23" t="str">
        <f aca="false">IF(AND(ISNUMBER(C1995),ISNUMBER(D1995)),D1995-C1995,"")</f>
        <v/>
      </c>
      <c r="Z1995" s="23" t="str">
        <f aca="false">IF(B1995="","",IF(MATCH(B1995,$B$2:$B$12000,0)=ROW()-1,1,0))</f>
        <v/>
      </c>
    </row>
    <row r="1996" customFormat="false" ht="15" hidden="false" customHeight="false" outlineLevel="0" collapsed="false">
      <c r="V1996" s="23" t="str">
        <f aca="false">IF(ISNUMBER(C1996),YEAR(C1996),"")</f>
        <v/>
      </c>
      <c r="W1996" s="23" t="str">
        <f aca="false">IF(ISNUMBER(C1996),MONTH(C1996),"")</f>
        <v/>
      </c>
      <c r="X1996" s="23" t="str">
        <f aca="false">IF(T1996="","",IF(T1996=0,"No discount",IF(T1996&lt;=0.2,"Low (1-20%)",IF(T1996&lt;=0.4,"Medium (21-40%)","High (&gt;40%)"))))</f>
        <v/>
      </c>
      <c r="Y1996" s="23" t="str">
        <f aca="false">IF(AND(ISNUMBER(C1996),ISNUMBER(D1996)),D1996-C1996,"")</f>
        <v/>
      </c>
      <c r="Z1996" s="23" t="str">
        <f aca="false">IF(B1996="","",IF(MATCH(B1996,$B$2:$B$12000,0)=ROW()-1,1,0))</f>
        <v/>
      </c>
    </row>
    <row r="1997" customFormat="false" ht="15" hidden="false" customHeight="false" outlineLevel="0" collapsed="false">
      <c r="V1997" s="23" t="str">
        <f aca="false">IF(ISNUMBER(C1997),YEAR(C1997),"")</f>
        <v/>
      </c>
      <c r="W1997" s="23" t="str">
        <f aca="false">IF(ISNUMBER(C1997),MONTH(C1997),"")</f>
        <v/>
      </c>
      <c r="X1997" s="23" t="str">
        <f aca="false">IF(T1997="","",IF(T1997=0,"No discount",IF(T1997&lt;=0.2,"Low (1-20%)",IF(T1997&lt;=0.4,"Medium (21-40%)","High (&gt;40%)"))))</f>
        <v/>
      </c>
      <c r="Y1997" s="23" t="str">
        <f aca="false">IF(AND(ISNUMBER(C1997),ISNUMBER(D1997)),D1997-C1997,"")</f>
        <v/>
      </c>
      <c r="Z1997" s="23" t="str">
        <f aca="false">IF(B1997="","",IF(MATCH(B1997,$B$2:$B$12000,0)=ROW()-1,1,0))</f>
        <v/>
      </c>
    </row>
    <row r="1998" customFormat="false" ht="15" hidden="false" customHeight="false" outlineLevel="0" collapsed="false">
      <c r="V1998" s="23" t="str">
        <f aca="false">IF(ISNUMBER(C1998),YEAR(C1998),"")</f>
        <v/>
      </c>
      <c r="W1998" s="23" t="str">
        <f aca="false">IF(ISNUMBER(C1998),MONTH(C1998),"")</f>
        <v/>
      </c>
      <c r="X1998" s="23" t="str">
        <f aca="false">IF(T1998="","",IF(T1998=0,"No discount",IF(T1998&lt;=0.2,"Low (1-20%)",IF(T1998&lt;=0.4,"Medium (21-40%)","High (&gt;40%)"))))</f>
        <v/>
      </c>
      <c r="Y1998" s="23" t="str">
        <f aca="false">IF(AND(ISNUMBER(C1998),ISNUMBER(D1998)),D1998-C1998,"")</f>
        <v/>
      </c>
      <c r="Z1998" s="23" t="str">
        <f aca="false">IF(B1998="","",IF(MATCH(B1998,$B$2:$B$12000,0)=ROW()-1,1,0))</f>
        <v/>
      </c>
    </row>
    <row r="1999" customFormat="false" ht="15" hidden="false" customHeight="false" outlineLevel="0" collapsed="false">
      <c r="V1999" s="23" t="str">
        <f aca="false">IF(ISNUMBER(C1999),YEAR(C1999),"")</f>
        <v/>
      </c>
      <c r="W1999" s="23" t="str">
        <f aca="false">IF(ISNUMBER(C1999),MONTH(C1999),"")</f>
        <v/>
      </c>
      <c r="X1999" s="23" t="str">
        <f aca="false">IF(T1999="","",IF(T1999=0,"No discount",IF(T1999&lt;=0.2,"Low (1-20%)",IF(T1999&lt;=0.4,"Medium (21-40%)","High (&gt;40%)"))))</f>
        <v/>
      </c>
      <c r="Y1999" s="23" t="str">
        <f aca="false">IF(AND(ISNUMBER(C1999),ISNUMBER(D1999)),D1999-C1999,"")</f>
        <v/>
      </c>
      <c r="Z1999" s="23" t="str">
        <f aca="false">IF(B1999="","",IF(MATCH(B1999,$B$2:$B$12000,0)=ROW()-1,1,0))</f>
        <v/>
      </c>
    </row>
    <row r="2000" customFormat="false" ht="15" hidden="false" customHeight="false" outlineLevel="0" collapsed="false">
      <c r="V2000" s="23" t="str">
        <f aca="false">IF(ISNUMBER(C2000),YEAR(C2000),"")</f>
        <v/>
      </c>
      <c r="W2000" s="23" t="str">
        <f aca="false">IF(ISNUMBER(C2000),MONTH(C2000),"")</f>
        <v/>
      </c>
      <c r="X2000" s="23" t="str">
        <f aca="false">IF(T2000="","",IF(T2000=0,"No discount",IF(T2000&lt;=0.2,"Low (1-20%)",IF(T2000&lt;=0.4,"Medium (21-40%)","High (&gt;40%)"))))</f>
        <v/>
      </c>
      <c r="Y2000" s="23" t="str">
        <f aca="false">IF(AND(ISNUMBER(C2000),ISNUMBER(D2000)),D2000-C2000,"")</f>
        <v/>
      </c>
      <c r="Z2000" s="23" t="str">
        <f aca="false">IF(B2000="","",IF(MATCH(B2000,$B$2:$B$12000,0)=ROW()-1,1,0))</f>
        <v/>
      </c>
    </row>
    <row r="2001" customFormat="false" ht="15" hidden="false" customHeight="false" outlineLevel="0" collapsed="false">
      <c r="V2001" s="23" t="str">
        <f aca="false">IF(ISNUMBER(C2001),YEAR(C2001),"")</f>
        <v/>
      </c>
      <c r="W2001" s="23" t="str">
        <f aca="false">IF(ISNUMBER(C2001),MONTH(C2001),"")</f>
        <v/>
      </c>
      <c r="X2001" s="23" t="str">
        <f aca="false">IF(T2001="","",IF(T2001=0,"No discount",IF(T2001&lt;=0.2,"Low (1-20%)",IF(T2001&lt;=0.4,"Medium (21-40%)","High (&gt;40%)"))))</f>
        <v/>
      </c>
      <c r="Y2001" s="23" t="str">
        <f aca="false">IF(AND(ISNUMBER(C2001),ISNUMBER(D2001)),D2001-C2001,"")</f>
        <v/>
      </c>
      <c r="Z2001" s="23" t="str">
        <f aca="false">IF(B2001="","",IF(MATCH(B2001,$B$2:$B$12000,0)=ROW()-1,1,0))</f>
        <v/>
      </c>
    </row>
    <row r="2002" customFormat="false" ht="15" hidden="false" customHeight="false" outlineLevel="0" collapsed="false">
      <c r="V2002" s="23" t="str">
        <f aca="false">IF(ISNUMBER(C2002),YEAR(C2002),"")</f>
        <v/>
      </c>
      <c r="W2002" s="23" t="str">
        <f aca="false">IF(ISNUMBER(C2002),MONTH(C2002),"")</f>
        <v/>
      </c>
      <c r="X2002" s="23" t="str">
        <f aca="false">IF(T2002="","",IF(T2002=0,"No discount",IF(T2002&lt;=0.2,"Low (1-20%)",IF(T2002&lt;=0.4,"Medium (21-40%)","High (&gt;40%)"))))</f>
        <v/>
      </c>
      <c r="Y2002" s="23" t="str">
        <f aca="false">IF(AND(ISNUMBER(C2002),ISNUMBER(D2002)),D2002-C2002,"")</f>
        <v/>
      </c>
      <c r="Z2002" s="23" t="str">
        <f aca="false">IF(B2002="","",IF(MATCH(B2002,$B$2:$B$12000,0)=ROW()-1,1,0))</f>
        <v/>
      </c>
    </row>
    <row r="2003" customFormat="false" ht="15" hidden="false" customHeight="false" outlineLevel="0" collapsed="false">
      <c r="V2003" s="23" t="str">
        <f aca="false">IF(ISNUMBER(C2003),YEAR(C2003),"")</f>
        <v/>
      </c>
      <c r="W2003" s="23" t="str">
        <f aca="false">IF(ISNUMBER(C2003),MONTH(C2003),"")</f>
        <v/>
      </c>
      <c r="X2003" s="23" t="str">
        <f aca="false">IF(T2003="","",IF(T2003=0,"No discount",IF(T2003&lt;=0.2,"Low (1-20%)",IF(T2003&lt;=0.4,"Medium (21-40%)","High (&gt;40%)"))))</f>
        <v/>
      </c>
      <c r="Y2003" s="23" t="str">
        <f aca="false">IF(AND(ISNUMBER(C2003),ISNUMBER(D2003)),D2003-C2003,"")</f>
        <v/>
      </c>
      <c r="Z2003" s="23" t="str">
        <f aca="false">IF(B2003="","",IF(MATCH(B2003,$B$2:$B$12000,0)=ROW()-1,1,0))</f>
        <v/>
      </c>
    </row>
    <row r="2004" customFormat="false" ht="15" hidden="false" customHeight="false" outlineLevel="0" collapsed="false">
      <c r="V2004" s="23" t="str">
        <f aca="false">IF(ISNUMBER(C2004),YEAR(C2004),"")</f>
        <v/>
      </c>
      <c r="W2004" s="23" t="str">
        <f aca="false">IF(ISNUMBER(C2004),MONTH(C2004),"")</f>
        <v/>
      </c>
      <c r="X2004" s="23" t="str">
        <f aca="false">IF(T2004="","",IF(T2004=0,"No discount",IF(T2004&lt;=0.2,"Low (1-20%)",IF(T2004&lt;=0.4,"Medium (21-40%)","High (&gt;40%)"))))</f>
        <v/>
      </c>
      <c r="Y2004" s="23" t="str">
        <f aca="false">IF(AND(ISNUMBER(C2004),ISNUMBER(D2004)),D2004-C2004,"")</f>
        <v/>
      </c>
      <c r="Z2004" s="23" t="str">
        <f aca="false">IF(B2004="","",IF(MATCH(B2004,$B$2:$B$12000,0)=ROW()-1,1,0))</f>
        <v/>
      </c>
    </row>
    <row r="2005" customFormat="false" ht="15" hidden="false" customHeight="false" outlineLevel="0" collapsed="false">
      <c r="V2005" s="23" t="str">
        <f aca="false">IF(ISNUMBER(C2005),YEAR(C2005),"")</f>
        <v/>
      </c>
      <c r="W2005" s="23" t="str">
        <f aca="false">IF(ISNUMBER(C2005),MONTH(C2005),"")</f>
        <v/>
      </c>
      <c r="X2005" s="23" t="str">
        <f aca="false">IF(T2005="","",IF(T2005=0,"No discount",IF(T2005&lt;=0.2,"Low (1-20%)",IF(T2005&lt;=0.4,"Medium (21-40%)","High (&gt;40%)"))))</f>
        <v/>
      </c>
      <c r="Y2005" s="23" t="str">
        <f aca="false">IF(AND(ISNUMBER(C2005),ISNUMBER(D2005)),D2005-C2005,"")</f>
        <v/>
      </c>
      <c r="Z2005" s="23" t="str">
        <f aca="false">IF(B2005="","",IF(MATCH(B2005,$B$2:$B$12000,0)=ROW()-1,1,0))</f>
        <v/>
      </c>
    </row>
    <row r="2006" customFormat="false" ht="15" hidden="false" customHeight="false" outlineLevel="0" collapsed="false">
      <c r="V2006" s="23" t="str">
        <f aca="false">IF(ISNUMBER(C2006),YEAR(C2006),"")</f>
        <v/>
      </c>
      <c r="W2006" s="23" t="str">
        <f aca="false">IF(ISNUMBER(C2006),MONTH(C2006),"")</f>
        <v/>
      </c>
      <c r="X2006" s="23" t="str">
        <f aca="false">IF(T2006="","",IF(T2006=0,"No discount",IF(T2006&lt;=0.2,"Low (1-20%)",IF(T2006&lt;=0.4,"Medium (21-40%)","High (&gt;40%)"))))</f>
        <v/>
      </c>
      <c r="Y2006" s="23" t="str">
        <f aca="false">IF(AND(ISNUMBER(C2006),ISNUMBER(D2006)),D2006-C2006,"")</f>
        <v/>
      </c>
      <c r="Z2006" s="23" t="str">
        <f aca="false">IF(B2006="","",IF(MATCH(B2006,$B$2:$B$12000,0)=ROW()-1,1,0))</f>
        <v/>
      </c>
    </row>
    <row r="2007" customFormat="false" ht="15" hidden="false" customHeight="false" outlineLevel="0" collapsed="false">
      <c r="V2007" s="23" t="str">
        <f aca="false">IF(ISNUMBER(C2007),YEAR(C2007),"")</f>
        <v/>
      </c>
      <c r="W2007" s="23" t="str">
        <f aca="false">IF(ISNUMBER(C2007),MONTH(C2007),"")</f>
        <v/>
      </c>
      <c r="X2007" s="23" t="str">
        <f aca="false">IF(T2007="","",IF(T2007=0,"No discount",IF(T2007&lt;=0.2,"Low (1-20%)",IF(T2007&lt;=0.4,"Medium (21-40%)","High (&gt;40%)"))))</f>
        <v/>
      </c>
      <c r="Y2007" s="23" t="str">
        <f aca="false">IF(AND(ISNUMBER(C2007),ISNUMBER(D2007)),D2007-C2007,"")</f>
        <v/>
      </c>
      <c r="Z2007" s="23" t="str">
        <f aca="false">IF(B2007="","",IF(MATCH(B2007,$B$2:$B$12000,0)=ROW()-1,1,0))</f>
        <v/>
      </c>
    </row>
    <row r="2008" customFormat="false" ht="15" hidden="false" customHeight="false" outlineLevel="0" collapsed="false">
      <c r="V2008" s="23" t="str">
        <f aca="false">IF(ISNUMBER(C2008),YEAR(C2008),"")</f>
        <v/>
      </c>
      <c r="W2008" s="23" t="str">
        <f aca="false">IF(ISNUMBER(C2008),MONTH(C2008),"")</f>
        <v/>
      </c>
      <c r="X2008" s="23" t="str">
        <f aca="false">IF(T2008="","",IF(T2008=0,"No discount",IF(T2008&lt;=0.2,"Low (1-20%)",IF(T2008&lt;=0.4,"Medium (21-40%)","High (&gt;40%)"))))</f>
        <v/>
      </c>
      <c r="Y2008" s="23" t="str">
        <f aca="false">IF(AND(ISNUMBER(C2008),ISNUMBER(D2008)),D2008-C2008,"")</f>
        <v/>
      </c>
      <c r="Z2008" s="23" t="str">
        <f aca="false">IF(B2008="","",IF(MATCH(B2008,$B$2:$B$12000,0)=ROW()-1,1,0))</f>
        <v/>
      </c>
    </row>
    <row r="2009" customFormat="false" ht="15" hidden="false" customHeight="false" outlineLevel="0" collapsed="false">
      <c r="V2009" s="23" t="str">
        <f aca="false">IF(ISNUMBER(C2009),YEAR(C2009),"")</f>
        <v/>
      </c>
      <c r="W2009" s="23" t="str">
        <f aca="false">IF(ISNUMBER(C2009),MONTH(C2009),"")</f>
        <v/>
      </c>
      <c r="X2009" s="23" t="str">
        <f aca="false">IF(T2009="","",IF(T2009=0,"No discount",IF(T2009&lt;=0.2,"Low (1-20%)",IF(T2009&lt;=0.4,"Medium (21-40%)","High (&gt;40%)"))))</f>
        <v/>
      </c>
      <c r="Y2009" s="23" t="str">
        <f aca="false">IF(AND(ISNUMBER(C2009),ISNUMBER(D2009)),D2009-C2009,"")</f>
        <v/>
      </c>
      <c r="Z2009" s="23" t="str">
        <f aca="false">IF(B2009="","",IF(MATCH(B2009,$B$2:$B$12000,0)=ROW()-1,1,0))</f>
        <v/>
      </c>
    </row>
    <row r="2010" customFormat="false" ht="15" hidden="false" customHeight="false" outlineLevel="0" collapsed="false">
      <c r="V2010" s="23" t="str">
        <f aca="false">IF(ISNUMBER(C2010),YEAR(C2010),"")</f>
        <v/>
      </c>
      <c r="W2010" s="23" t="str">
        <f aca="false">IF(ISNUMBER(C2010),MONTH(C2010),"")</f>
        <v/>
      </c>
      <c r="X2010" s="23" t="str">
        <f aca="false">IF(T2010="","",IF(T2010=0,"No discount",IF(T2010&lt;=0.2,"Low (1-20%)",IF(T2010&lt;=0.4,"Medium (21-40%)","High (&gt;40%)"))))</f>
        <v/>
      </c>
      <c r="Y2010" s="23" t="str">
        <f aca="false">IF(AND(ISNUMBER(C2010),ISNUMBER(D2010)),D2010-C2010,"")</f>
        <v/>
      </c>
      <c r="Z2010" s="23" t="str">
        <f aca="false">IF(B2010="","",IF(MATCH(B2010,$B$2:$B$12000,0)=ROW()-1,1,0))</f>
        <v/>
      </c>
    </row>
    <row r="2011" customFormat="false" ht="15" hidden="false" customHeight="false" outlineLevel="0" collapsed="false">
      <c r="V2011" s="23" t="str">
        <f aca="false">IF(ISNUMBER(C2011),YEAR(C2011),"")</f>
        <v/>
      </c>
      <c r="W2011" s="23" t="str">
        <f aca="false">IF(ISNUMBER(C2011),MONTH(C2011),"")</f>
        <v/>
      </c>
      <c r="X2011" s="23" t="str">
        <f aca="false">IF(T2011="","",IF(T2011=0,"No discount",IF(T2011&lt;=0.2,"Low (1-20%)",IF(T2011&lt;=0.4,"Medium (21-40%)","High (&gt;40%)"))))</f>
        <v/>
      </c>
      <c r="Y2011" s="23" t="str">
        <f aca="false">IF(AND(ISNUMBER(C2011),ISNUMBER(D2011)),D2011-C2011,"")</f>
        <v/>
      </c>
      <c r="Z2011" s="23" t="str">
        <f aca="false">IF(B2011="","",IF(MATCH(B2011,$B$2:$B$12000,0)=ROW()-1,1,0))</f>
        <v/>
      </c>
    </row>
    <row r="2012" customFormat="false" ht="15" hidden="false" customHeight="false" outlineLevel="0" collapsed="false">
      <c r="V2012" s="23" t="str">
        <f aca="false">IF(ISNUMBER(C2012),YEAR(C2012),"")</f>
        <v/>
      </c>
      <c r="W2012" s="23" t="str">
        <f aca="false">IF(ISNUMBER(C2012),MONTH(C2012),"")</f>
        <v/>
      </c>
      <c r="X2012" s="23" t="str">
        <f aca="false">IF(T2012="","",IF(T2012=0,"No discount",IF(T2012&lt;=0.2,"Low (1-20%)",IF(T2012&lt;=0.4,"Medium (21-40%)","High (&gt;40%)"))))</f>
        <v/>
      </c>
      <c r="Y2012" s="23" t="str">
        <f aca="false">IF(AND(ISNUMBER(C2012),ISNUMBER(D2012)),D2012-C2012,"")</f>
        <v/>
      </c>
      <c r="Z2012" s="23" t="str">
        <f aca="false">IF(B2012="","",IF(MATCH(B2012,$B$2:$B$12000,0)=ROW()-1,1,0))</f>
        <v/>
      </c>
    </row>
    <row r="2013" customFormat="false" ht="15" hidden="false" customHeight="false" outlineLevel="0" collapsed="false">
      <c r="V2013" s="23" t="str">
        <f aca="false">IF(ISNUMBER(C2013),YEAR(C2013),"")</f>
        <v/>
      </c>
      <c r="W2013" s="23" t="str">
        <f aca="false">IF(ISNUMBER(C2013),MONTH(C2013),"")</f>
        <v/>
      </c>
      <c r="X2013" s="23" t="str">
        <f aca="false">IF(T2013="","",IF(T2013=0,"No discount",IF(T2013&lt;=0.2,"Low (1-20%)",IF(T2013&lt;=0.4,"Medium (21-40%)","High (&gt;40%)"))))</f>
        <v/>
      </c>
      <c r="Y2013" s="23" t="str">
        <f aca="false">IF(AND(ISNUMBER(C2013),ISNUMBER(D2013)),D2013-C2013,"")</f>
        <v/>
      </c>
      <c r="Z2013" s="23" t="str">
        <f aca="false">IF(B2013="","",IF(MATCH(B2013,$B$2:$B$12000,0)=ROW()-1,1,0))</f>
        <v/>
      </c>
    </row>
    <row r="2014" customFormat="false" ht="15" hidden="false" customHeight="false" outlineLevel="0" collapsed="false">
      <c r="V2014" s="23" t="str">
        <f aca="false">IF(ISNUMBER(C2014),YEAR(C2014),"")</f>
        <v/>
      </c>
      <c r="W2014" s="23" t="str">
        <f aca="false">IF(ISNUMBER(C2014),MONTH(C2014),"")</f>
        <v/>
      </c>
      <c r="X2014" s="23" t="str">
        <f aca="false">IF(T2014="","",IF(T2014=0,"No discount",IF(T2014&lt;=0.2,"Low (1-20%)",IF(T2014&lt;=0.4,"Medium (21-40%)","High (&gt;40%)"))))</f>
        <v/>
      </c>
      <c r="Y2014" s="23" t="str">
        <f aca="false">IF(AND(ISNUMBER(C2014),ISNUMBER(D2014)),D2014-C2014,"")</f>
        <v/>
      </c>
      <c r="Z2014" s="23" t="str">
        <f aca="false">IF(B2014="","",IF(MATCH(B2014,$B$2:$B$12000,0)=ROW()-1,1,0))</f>
        <v/>
      </c>
    </row>
    <row r="2015" customFormat="false" ht="15" hidden="false" customHeight="false" outlineLevel="0" collapsed="false">
      <c r="V2015" s="23" t="str">
        <f aca="false">IF(ISNUMBER(C2015),YEAR(C2015),"")</f>
        <v/>
      </c>
      <c r="W2015" s="23" t="str">
        <f aca="false">IF(ISNUMBER(C2015),MONTH(C2015),"")</f>
        <v/>
      </c>
      <c r="X2015" s="23" t="str">
        <f aca="false">IF(T2015="","",IF(T2015=0,"No discount",IF(T2015&lt;=0.2,"Low (1-20%)",IF(T2015&lt;=0.4,"Medium (21-40%)","High (&gt;40%)"))))</f>
        <v/>
      </c>
      <c r="Y2015" s="23" t="str">
        <f aca="false">IF(AND(ISNUMBER(C2015),ISNUMBER(D2015)),D2015-C2015,"")</f>
        <v/>
      </c>
      <c r="Z2015" s="23" t="str">
        <f aca="false">IF(B2015="","",IF(MATCH(B2015,$B$2:$B$12000,0)=ROW()-1,1,0))</f>
        <v/>
      </c>
    </row>
    <row r="2016" customFormat="false" ht="15" hidden="false" customHeight="false" outlineLevel="0" collapsed="false">
      <c r="V2016" s="23" t="str">
        <f aca="false">IF(ISNUMBER(C2016),YEAR(C2016),"")</f>
        <v/>
      </c>
      <c r="W2016" s="23" t="str">
        <f aca="false">IF(ISNUMBER(C2016),MONTH(C2016),"")</f>
        <v/>
      </c>
      <c r="X2016" s="23" t="str">
        <f aca="false">IF(T2016="","",IF(T2016=0,"No discount",IF(T2016&lt;=0.2,"Low (1-20%)",IF(T2016&lt;=0.4,"Medium (21-40%)","High (&gt;40%)"))))</f>
        <v/>
      </c>
      <c r="Y2016" s="23" t="str">
        <f aca="false">IF(AND(ISNUMBER(C2016),ISNUMBER(D2016)),D2016-C2016,"")</f>
        <v/>
      </c>
      <c r="Z2016" s="23" t="str">
        <f aca="false">IF(B2016="","",IF(MATCH(B2016,$B$2:$B$12000,0)=ROW()-1,1,0))</f>
        <v/>
      </c>
    </row>
    <row r="2017" customFormat="false" ht="15" hidden="false" customHeight="false" outlineLevel="0" collapsed="false">
      <c r="V2017" s="23" t="str">
        <f aca="false">IF(ISNUMBER(C2017),YEAR(C2017),"")</f>
        <v/>
      </c>
      <c r="W2017" s="23" t="str">
        <f aca="false">IF(ISNUMBER(C2017),MONTH(C2017),"")</f>
        <v/>
      </c>
      <c r="X2017" s="23" t="str">
        <f aca="false">IF(T2017="","",IF(T2017=0,"No discount",IF(T2017&lt;=0.2,"Low (1-20%)",IF(T2017&lt;=0.4,"Medium (21-40%)","High (&gt;40%)"))))</f>
        <v/>
      </c>
      <c r="Y2017" s="23" t="str">
        <f aca="false">IF(AND(ISNUMBER(C2017),ISNUMBER(D2017)),D2017-C2017,"")</f>
        <v/>
      </c>
      <c r="Z2017" s="23" t="str">
        <f aca="false">IF(B2017="","",IF(MATCH(B2017,$B$2:$B$12000,0)=ROW()-1,1,0))</f>
        <v/>
      </c>
    </row>
    <row r="2018" customFormat="false" ht="15" hidden="false" customHeight="false" outlineLevel="0" collapsed="false">
      <c r="V2018" s="23" t="str">
        <f aca="false">IF(ISNUMBER(C2018),YEAR(C2018),"")</f>
        <v/>
      </c>
      <c r="W2018" s="23" t="str">
        <f aca="false">IF(ISNUMBER(C2018),MONTH(C2018),"")</f>
        <v/>
      </c>
      <c r="X2018" s="23" t="str">
        <f aca="false">IF(T2018="","",IF(T2018=0,"No discount",IF(T2018&lt;=0.2,"Low (1-20%)",IF(T2018&lt;=0.4,"Medium (21-40%)","High (&gt;40%)"))))</f>
        <v/>
      </c>
      <c r="Y2018" s="23" t="str">
        <f aca="false">IF(AND(ISNUMBER(C2018),ISNUMBER(D2018)),D2018-C2018,"")</f>
        <v/>
      </c>
      <c r="Z2018" s="23" t="str">
        <f aca="false">IF(B2018="","",IF(MATCH(B2018,$B$2:$B$12000,0)=ROW()-1,1,0))</f>
        <v/>
      </c>
    </row>
    <row r="2019" customFormat="false" ht="15" hidden="false" customHeight="false" outlineLevel="0" collapsed="false">
      <c r="V2019" s="23" t="str">
        <f aca="false">IF(ISNUMBER(C2019),YEAR(C2019),"")</f>
        <v/>
      </c>
      <c r="W2019" s="23" t="str">
        <f aca="false">IF(ISNUMBER(C2019),MONTH(C2019),"")</f>
        <v/>
      </c>
      <c r="X2019" s="23" t="str">
        <f aca="false">IF(T2019="","",IF(T2019=0,"No discount",IF(T2019&lt;=0.2,"Low (1-20%)",IF(T2019&lt;=0.4,"Medium (21-40%)","High (&gt;40%)"))))</f>
        <v/>
      </c>
      <c r="Y2019" s="23" t="str">
        <f aca="false">IF(AND(ISNUMBER(C2019),ISNUMBER(D2019)),D2019-C2019,"")</f>
        <v/>
      </c>
      <c r="Z2019" s="23" t="str">
        <f aca="false">IF(B2019="","",IF(MATCH(B2019,$B$2:$B$12000,0)=ROW()-1,1,0))</f>
        <v/>
      </c>
    </row>
    <row r="2020" customFormat="false" ht="15" hidden="false" customHeight="false" outlineLevel="0" collapsed="false">
      <c r="V2020" s="23" t="str">
        <f aca="false">IF(ISNUMBER(C2020),YEAR(C2020),"")</f>
        <v/>
      </c>
      <c r="W2020" s="23" t="str">
        <f aca="false">IF(ISNUMBER(C2020),MONTH(C2020),"")</f>
        <v/>
      </c>
      <c r="X2020" s="23" t="str">
        <f aca="false">IF(T2020="","",IF(T2020=0,"No discount",IF(T2020&lt;=0.2,"Low (1-20%)",IF(T2020&lt;=0.4,"Medium (21-40%)","High (&gt;40%)"))))</f>
        <v/>
      </c>
      <c r="Y2020" s="23" t="str">
        <f aca="false">IF(AND(ISNUMBER(C2020),ISNUMBER(D2020)),D2020-C2020,"")</f>
        <v/>
      </c>
      <c r="Z2020" s="23" t="str">
        <f aca="false">IF(B2020="","",IF(MATCH(B2020,$B$2:$B$12000,0)=ROW()-1,1,0))</f>
        <v/>
      </c>
    </row>
    <row r="2021" customFormat="false" ht="15" hidden="false" customHeight="false" outlineLevel="0" collapsed="false">
      <c r="V2021" s="23" t="str">
        <f aca="false">IF(ISNUMBER(C2021),YEAR(C2021),"")</f>
        <v/>
      </c>
      <c r="W2021" s="23" t="str">
        <f aca="false">IF(ISNUMBER(C2021),MONTH(C2021),"")</f>
        <v/>
      </c>
      <c r="X2021" s="23" t="str">
        <f aca="false">IF(T2021="","",IF(T2021=0,"No discount",IF(T2021&lt;=0.2,"Low (1-20%)",IF(T2021&lt;=0.4,"Medium (21-40%)","High (&gt;40%)"))))</f>
        <v/>
      </c>
      <c r="Y2021" s="23" t="str">
        <f aca="false">IF(AND(ISNUMBER(C2021),ISNUMBER(D2021)),D2021-C2021,"")</f>
        <v/>
      </c>
      <c r="Z2021" s="23" t="str">
        <f aca="false">IF(B2021="","",IF(MATCH(B2021,$B$2:$B$12000,0)=ROW()-1,1,0))</f>
        <v/>
      </c>
    </row>
    <row r="2022" customFormat="false" ht="15" hidden="false" customHeight="false" outlineLevel="0" collapsed="false">
      <c r="V2022" s="23" t="str">
        <f aca="false">IF(ISNUMBER(C2022),YEAR(C2022),"")</f>
        <v/>
      </c>
      <c r="W2022" s="23" t="str">
        <f aca="false">IF(ISNUMBER(C2022),MONTH(C2022),"")</f>
        <v/>
      </c>
      <c r="X2022" s="23" t="str">
        <f aca="false">IF(T2022="","",IF(T2022=0,"No discount",IF(T2022&lt;=0.2,"Low (1-20%)",IF(T2022&lt;=0.4,"Medium (21-40%)","High (&gt;40%)"))))</f>
        <v/>
      </c>
      <c r="Y2022" s="23" t="str">
        <f aca="false">IF(AND(ISNUMBER(C2022),ISNUMBER(D2022)),D2022-C2022,"")</f>
        <v/>
      </c>
      <c r="Z2022" s="23" t="str">
        <f aca="false">IF(B2022="","",IF(MATCH(B2022,$B$2:$B$12000,0)=ROW()-1,1,0))</f>
        <v/>
      </c>
    </row>
    <row r="2023" customFormat="false" ht="15" hidden="false" customHeight="false" outlineLevel="0" collapsed="false">
      <c r="V2023" s="23" t="str">
        <f aca="false">IF(ISNUMBER(C2023),YEAR(C2023),"")</f>
        <v/>
      </c>
      <c r="W2023" s="23" t="str">
        <f aca="false">IF(ISNUMBER(C2023),MONTH(C2023),"")</f>
        <v/>
      </c>
      <c r="X2023" s="23" t="str">
        <f aca="false">IF(T2023="","",IF(T2023=0,"No discount",IF(T2023&lt;=0.2,"Low (1-20%)",IF(T2023&lt;=0.4,"Medium (21-40%)","High (&gt;40%)"))))</f>
        <v/>
      </c>
      <c r="Y2023" s="23" t="str">
        <f aca="false">IF(AND(ISNUMBER(C2023),ISNUMBER(D2023)),D2023-C2023,"")</f>
        <v/>
      </c>
      <c r="Z2023" s="23" t="str">
        <f aca="false">IF(B2023="","",IF(MATCH(B2023,$B$2:$B$12000,0)=ROW()-1,1,0))</f>
        <v/>
      </c>
    </row>
    <row r="2024" customFormat="false" ht="15" hidden="false" customHeight="false" outlineLevel="0" collapsed="false">
      <c r="V2024" s="23" t="str">
        <f aca="false">IF(ISNUMBER(C2024),YEAR(C2024),"")</f>
        <v/>
      </c>
      <c r="W2024" s="23" t="str">
        <f aca="false">IF(ISNUMBER(C2024),MONTH(C2024),"")</f>
        <v/>
      </c>
      <c r="X2024" s="23" t="str">
        <f aca="false">IF(T2024="","",IF(T2024=0,"No discount",IF(T2024&lt;=0.2,"Low (1-20%)",IF(T2024&lt;=0.4,"Medium (21-40%)","High (&gt;40%)"))))</f>
        <v/>
      </c>
      <c r="Y2024" s="23" t="str">
        <f aca="false">IF(AND(ISNUMBER(C2024),ISNUMBER(D2024)),D2024-C2024,"")</f>
        <v/>
      </c>
      <c r="Z2024" s="23" t="str">
        <f aca="false">IF(B2024="","",IF(MATCH(B2024,$B$2:$B$12000,0)=ROW()-1,1,0))</f>
        <v/>
      </c>
    </row>
    <row r="2025" customFormat="false" ht="15" hidden="false" customHeight="false" outlineLevel="0" collapsed="false">
      <c r="V2025" s="23" t="str">
        <f aca="false">IF(ISNUMBER(C2025),YEAR(C2025),"")</f>
        <v/>
      </c>
      <c r="W2025" s="23" t="str">
        <f aca="false">IF(ISNUMBER(C2025),MONTH(C2025),"")</f>
        <v/>
      </c>
      <c r="X2025" s="23" t="str">
        <f aca="false">IF(T2025="","",IF(T2025=0,"No discount",IF(T2025&lt;=0.2,"Low (1-20%)",IF(T2025&lt;=0.4,"Medium (21-40%)","High (&gt;40%)"))))</f>
        <v/>
      </c>
      <c r="Y2025" s="23" t="str">
        <f aca="false">IF(AND(ISNUMBER(C2025),ISNUMBER(D2025)),D2025-C2025,"")</f>
        <v/>
      </c>
      <c r="Z2025" s="23" t="str">
        <f aca="false">IF(B2025="","",IF(MATCH(B2025,$B$2:$B$12000,0)=ROW()-1,1,0))</f>
        <v/>
      </c>
    </row>
    <row r="2026" customFormat="false" ht="15" hidden="false" customHeight="false" outlineLevel="0" collapsed="false">
      <c r="V2026" s="23" t="str">
        <f aca="false">IF(ISNUMBER(C2026),YEAR(C2026),"")</f>
        <v/>
      </c>
      <c r="W2026" s="23" t="str">
        <f aca="false">IF(ISNUMBER(C2026),MONTH(C2026),"")</f>
        <v/>
      </c>
      <c r="X2026" s="23" t="str">
        <f aca="false">IF(T2026="","",IF(T2026=0,"No discount",IF(T2026&lt;=0.2,"Low (1-20%)",IF(T2026&lt;=0.4,"Medium (21-40%)","High (&gt;40%)"))))</f>
        <v/>
      </c>
      <c r="Y2026" s="23" t="str">
        <f aca="false">IF(AND(ISNUMBER(C2026),ISNUMBER(D2026)),D2026-C2026,"")</f>
        <v/>
      </c>
      <c r="Z2026" s="23" t="str">
        <f aca="false">IF(B2026="","",IF(MATCH(B2026,$B$2:$B$12000,0)=ROW()-1,1,0))</f>
        <v/>
      </c>
    </row>
    <row r="2027" customFormat="false" ht="15" hidden="false" customHeight="false" outlineLevel="0" collapsed="false">
      <c r="V2027" s="23" t="str">
        <f aca="false">IF(ISNUMBER(C2027),YEAR(C2027),"")</f>
        <v/>
      </c>
      <c r="W2027" s="23" t="str">
        <f aca="false">IF(ISNUMBER(C2027),MONTH(C2027),"")</f>
        <v/>
      </c>
      <c r="X2027" s="23" t="str">
        <f aca="false">IF(T2027="","",IF(T2027=0,"No discount",IF(T2027&lt;=0.2,"Low (1-20%)",IF(T2027&lt;=0.4,"Medium (21-40%)","High (&gt;40%)"))))</f>
        <v/>
      </c>
      <c r="Y2027" s="23" t="str">
        <f aca="false">IF(AND(ISNUMBER(C2027),ISNUMBER(D2027)),D2027-C2027,"")</f>
        <v/>
      </c>
      <c r="Z2027" s="23" t="str">
        <f aca="false">IF(B2027="","",IF(MATCH(B2027,$B$2:$B$12000,0)=ROW()-1,1,0))</f>
        <v/>
      </c>
    </row>
    <row r="2028" customFormat="false" ht="15" hidden="false" customHeight="false" outlineLevel="0" collapsed="false">
      <c r="V2028" s="23" t="str">
        <f aca="false">IF(ISNUMBER(C2028),YEAR(C2028),"")</f>
        <v/>
      </c>
      <c r="W2028" s="23" t="str">
        <f aca="false">IF(ISNUMBER(C2028),MONTH(C2028),"")</f>
        <v/>
      </c>
      <c r="X2028" s="23" t="str">
        <f aca="false">IF(T2028="","",IF(T2028=0,"No discount",IF(T2028&lt;=0.2,"Low (1-20%)",IF(T2028&lt;=0.4,"Medium (21-40%)","High (&gt;40%)"))))</f>
        <v/>
      </c>
      <c r="Y2028" s="23" t="str">
        <f aca="false">IF(AND(ISNUMBER(C2028),ISNUMBER(D2028)),D2028-C2028,"")</f>
        <v/>
      </c>
      <c r="Z2028" s="23" t="str">
        <f aca="false">IF(B2028="","",IF(MATCH(B2028,$B$2:$B$12000,0)=ROW()-1,1,0))</f>
        <v/>
      </c>
    </row>
    <row r="2029" customFormat="false" ht="15" hidden="false" customHeight="false" outlineLevel="0" collapsed="false">
      <c r="V2029" s="23" t="str">
        <f aca="false">IF(ISNUMBER(C2029),YEAR(C2029),"")</f>
        <v/>
      </c>
      <c r="W2029" s="23" t="str">
        <f aca="false">IF(ISNUMBER(C2029),MONTH(C2029),"")</f>
        <v/>
      </c>
      <c r="X2029" s="23" t="str">
        <f aca="false">IF(T2029="","",IF(T2029=0,"No discount",IF(T2029&lt;=0.2,"Low (1-20%)",IF(T2029&lt;=0.4,"Medium (21-40%)","High (&gt;40%)"))))</f>
        <v/>
      </c>
      <c r="Y2029" s="23" t="str">
        <f aca="false">IF(AND(ISNUMBER(C2029),ISNUMBER(D2029)),D2029-C2029,"")</f>
        <v/>
      </c>
      <c r="Z2029" s="23" t="str">
        <f aca="false">IF(B2029="","",IF(MATCH(B2029,$B$2:$B$12000,0)=ROW()-1,1,0))</f>
        <v/>
      </c>
    </row>
    <row r="2030" customFormat="false" ht="15" hidden="false" customHeight="false" outlineLevel="0" collapsed="false">
      <c r="V2030" s="23" t="str">
        <f aca="false">IF(ISNUMBER(C2030),YEAR(C2030),"")</f>
        <v/>
      </c>
      <c r="W2030" s="23" t="str">
        <f aca="false">IF(ISNUMBER(C2030),MONTH(C2030),"")</f>
        <v/>
      </c>
      <c r="X2030" s="23" t="str">
        <f aca="false">IF(T2030="","",IF(T2030=0,"No discount",IF(T2030&lt;=0.2,"Low (1-20%)",IF(T2030&lt;=0.4,"Medium (21-40%)","High (&gt;40%)"))))</f>
        <v/>
      </c>
      <c r="Y2030" s="23" t="str">
        <f aca="false">IF(AND(ISNUMBER(C2030),ISNUMBER(D2030)),D2030-C2030,"")</f>
        <v/>
      </c>
      <c r="Z2030" s="23" t="str">
        <f aca="false">IF(B2030="","",IF(MATCH(B2030,$B$2:$B$12000,0)=ROW()-1,1,0))</f>
        <v/>
      </c>
    </row>
    <row r="2031" customFormat="false" ht="15" hidden="false" customHeight="false" outlineLevel="0" collapsed="false">
      <c r="V2031" s="23" t="str">
        <f aca="false">IF(ISNUMBER(C2031),YEAR(C2031),"")</f>
        <v/>
      </c>
      <c r="W2031" s="23" t="str">
        <f aca="false">IF(ISNUMBER(C2031),MONTH(C2031),"")</f>
        <v/>
      </c>
      <c r="X2031" s="23" t="str">
        <f aca="false">IF(T2031="","",IF(T2031=0,"No discount",IF(T2031&lt;=0.2,"Low (1-20%)",IF(T2031&lt;=0.4,"Medium (21-40%)","High (&gt;40%)"))))</f>
        <v/>
      </c>
      <c r="Y2031" s="23" t="str">
        <f aca="false">IF(AND(ISNUMBER(C2031),ISNUMBER(D2031)),D2031-C2031,"")</f>
        <v/>
      </c>
      <c r="Z2031" s="23" t="str">
        <f aca="false">IF(B2031="","",IF(MATCH(B2031,$B$2:$B$12000,0)=ROW()-1,1,0))</f>
        <v/>
      </c>
    </row>
    <row r="2032" customFormat="false" ht="15" hidden="false" customHeight="false" outlineLevel="0" collapsed="false">
      <c r="V2032" s="23" t="str">
        <f aca="false">IF(ISNUMBER(C2032),YEAR(C2032),"")</f>
        <v/>
      </c>
      <c r="W2032" s="23" t="str">
        <f aca="false">IF(ISNUMBER(C2032),MONTH(C2032),"")</f>
        <v/>
      </c>
      <c r="X2032" s="23" t="str">
        <f aca="false">IF(T2032="","",IF(T2032=0,"No discount",IF(T2032&lt;=0.2,"Low (1-20%)",IF(T2032&lt;=0.4,"Medium (21-40%)","High (&gt;40%)"))))</f>
        <v/>
      </c>
      <c r="Y2032" s="23" t="str">
        <f aca="false">IF(AND(ISNUMBER(C2032),ISNUMBER(D2032)),D2032-C2032,"")</f>
        <v/>
      </c>
      <c r="Z2032" s="23" t="str">
        <f aca="false">IF(B2032="","",IF(MATCH(B2032,$B$2:$B$12000,0)=ROW()-1,1,0))</f>
        <v/>
      </c>
    </row>
    <row r="2033" customFormat="false" ht="15" hidden="false" customHeight="false" outlineLevel="0" collapsed="false">
      <c r="V2033" s="23" t="str">
        <f aca="false">IF(ISNUMBER(C2033),YEAR(C2033),"")</f>
        <v/>
      </c>
      <c r="W2033" s="23" t="str">
        <f aca="false">IF(ISNUMBER(C2033),MONTH(C2033),"")</f>
        <v/>
      </c>
      <c r="X2033" s="23" t="str">
        <f aca="false">IF(T2033="","",IF(T2033=0,"No discount",IF(T2033&lt;=0.2,"Low (1-20%)",IF(T2033&lt;=0.4,"Medium (21-40%)","High (&gt;40%)"))))</f>
        <v/>
      </c>
      <c r="Y2033" s="23" t="str">
        <f aca="false">IF(AND(ISNUMBER(C2033),ISNUMBER(D2033)),D2033-C2033,"")</f>
        <v/>
      </c>
      <c r="Z2033" s="23" t="str">
        <f aca="false">IF(B2033="","",IF(MATCH(B2033,$B$2:$B$12000,0)=ROW()-1,1,0))</f>
        <v/>
      </c>
    </row>
    <row r="2034" customFormat="false" ht="15" hidden="false" customHeight="false" outlineLevel="0" collapsed="false">
      <c r="V2034" s="23" t="str">
        <f aca="false">IF(ISNUMBER(C2034),YEAR(C2034),"")</f>
        <v/>
      </c>
      <c r="W2034" s="23" t="str">
        <f aca="false">IF(ISNUMBER(C2034),MONTH(C2034),"")</f>
        <v/>
      </c>
      <c r="X2034" s="23" t="str">
        <f aca="false">IF(T2034="","",IF(T2034=0,"No discount",IF(T2034&lt;=0.2,"Low (1-20%)",IF(T2034&lt;=0.4,"Medium (21-40%)","High (&gt;40%)"))))</f>
        <v/>
      </c>
      <c r="Y2034" s="23" t="str">
        <f aca="false">IF(AND(ISNUMBER(C2034),ISNUMBER(D2034)),D2034-C2034,"")</f>
        <v/>
      </c>
      <c r="Z2034" s="23" t="str">
        <f aca="false">IF(B2034="","",IF(MATCH(B2034,$B$2:$B$12000,0)=ROW()-1,1,0))</f>
        <v/>
      </c>
    </row>
    <row r="2035" customFormat="false" ht="15" hidden="false" customHeight="false" outlineLevel="0" collapsed="false">
      <c r="V2035" s="23" t="str">
        <f aca="false">IF(ISNUMBER(C2035),YEAR(C2035),"")</f>
        <v/>
      </c>
      <c r="W2035" s="23" t="str">
        <f aca="false">IF(ISNUMBER(C2035),MONTH(C2035),"")</f>
        <v/>
      </c>
      <c r="X2035" s="23" t="str">
        <f aca="false">IF(T2035="","",IF(T2035=0,"No discount",IF(T2035&lt;=0.2,"Low (1-20%)",IF(T2035&lt;=0.4,"Medium (21-40%)","High (&gt;40%)"))))</f>
        <v/>
      </c>
      <c r="Y2035" s="23" t="str">
        <f aca="false">IF(AND(ISNUMBER(C2035),ISNUMBER(D2035)),D2035-C2035,"")</f>
        <v/>
      </c>
      <c r="Z2035" s="23" t="str">
        <f aca="false">IF(B2035="","",IF(MATCH(B2035,$B$2:$B$12000,0)=ROW()-1,1,0))</f>
        <v/>
      </c>
    </row>
    <row r="2036" customFormat="false" ht="15" hidden="false" customHeight="false" outlineLevel="0" collapsed="false">
      <c r="V2036" s="23" t="str">
        <f aca="false">IF(ISNUMBER(C2036),YEAR(C2036),"")</f>
        <v/>
      </c>
      <c r="W2036" s="23" t="str">
        <f aca="false">IF(ISNUMBER(C2036),MONTH(C2036),"")</f>
        <v/>
      </c>
      <c r="X2036" s="23" t="str">
        <f aca="false">IF(T2036="","",IF(T2036=0,"No discount",IF(T2036&lt;=0.2,"Low (1-20%)",IF(T2036&lt;=0.4,"Medium (21-40%)","High (&gt;40%)"))))</f>
        <v/>
      </c>
      <c r="Y2036" s="23" t="str">
        <f aca="false">IF(AND(ISNUMBER(C2036),ISNUMBER(D2036)),D2036-C2036,"")</f>
        <v/>
      </c>
      <c r="Z2036" s="23" t="str">
        <f aca="false">IF(B2036="","",IF(MATCH(B2036,$B$2:$B$12000,0)=ROW()-1,1,0))</f>
        <v/>
      </c>
    </row>
    <row r="2037" customFormat="false" ht="15" hidden="false" customHeight="false" outlineLevel="0" collapsed="false">
      <c r="V2037" s="23" t="str">
        <f aca="false">IF(ISNUMBER(C2037),YEAR(C2037),"")</f>
        <v/>
      </c>
      <c r="W2037" s="23" t="str">
        <f aca="false">IF(ISNUMBER(C2037),MONTH(C2037),"")</f>
        <v/>
      </c>
      <c r="X2037" s="23" t="str">
        <f aca="false">IF(T2037="","",IF(T2037=0,"No discount",IF(T2037&lt;=0.2,"Low (1-20%)",IF(T2037&lt;=0.4,"Medium (21-40%)","High (&gt;40%)"))))</f>
        <v/>
      </c>
      <c r="Y2037" s="23" t="str">
        <f aca="false">IF(AND(ISNUMBER(C2037),ISNUMBER(D2037)),D2037-C2037,"")</f>
        <v/>
      </c>
      <c r="Z2037" s="23" t="str">
        <f aca="false">IF(B2037="","",IF(MATCH(B2037,$B$2:$B$12000,0)=ROW()-1,1,0))</f>
        <v/>
      </c>
    </row>
    <row r="2038" customFormat="false" ht="15" hidden="false" customHeight="false" outlineLevel="0" collapsed="false">
      <c r="V2038" s="23" t="str">
        <f aca="false">IF(ISNUMBER(C2038),YEAR(C2038),"")</f>
        <v/>
      </c>
      <c r="W2038" s="23" t="str">
        <f aca="false">IF(ISNUMBER(C2038),MONTH(C2038),"")</f>
        <v/>
      </c>
      <c r="X2038" s="23" t="str">
        <f aca="false">IF(T2038="","",IF(T2038=0,"No discount",IF(T2038&lt;=0.2,"Low (1-20%)",IF(T2038&lt;=0.4,"Medium (21-40%)","High (&gt;40%)"))))</f>
        <v/>
      </c>
      <c r="Y2038" s="23" t="str">
        <f aca="false">IF(AND(ISNUMBER(C2038),ISNUMBER(D2038)),D2038-C2038,"")</f>
        <v/>
      </c>
      <c r="Z2038" s="23" t="str">
        <f aca="false">IF(B2038="","",IF(MATCH(B2038,$B$2:$B$12000,0)=ROW()-1,1,0))</f>
        <v/>
      </c>
    </row>
    <row r="2039" customFormat="false" ht="15" hidden="false" customHeight="false" outlineLevel="0" collapsed="false">
      <c r="V2039" s="23" t="str">
        <f aca="false">IF(ISNUMBER(C2039),YEAR(C2039),"")</f>
        <v/>
      </c>
      <c r="W2039" s="23" t="str">
        <f aca="false">IF(ISNUMBER(C2039),MONTH(C2039),"")</f>
        <v/>
      </c>
      <c r="X2039" s="23" t="str">
        <f aca="false">IF(T2039="","",IF(T2039=0,"No discount",IF(T2039&lt;=0.2,"Low (1-20%)",IF(T2039&lt;=0.4,"Medium (21-40%)","High (&gt;40%)"))))</f>
        <v/>
      </c>
      <c r="Y2039" s="23" t="str">
        <f aca="false">IF(AND(ISNUMBER(C2039),ISNUMBER(D2039)),D2039-C2039,"")</f>
        <v/>
      </c>
      <c r="Z2039" s="23" t="str">
        <f aca="false">IF(B2039="","",IF(MATCH(B2039,$B$2:$B$12000,0)=ROW()-1,1,0))</f>
        <v/>
      </c>
    </row>
    <row r="2040" customFormat="false" ht="15" hidden="false" customHeight="false" outlineLevel="0" collapsed="false">
      <c r="V2040" s="23" t="str">
        <f aca="false">IF(ISNUMBER(C2040),YEAR(C2040),"")</f>
        <v/>
      </c>
      <c r="W2040" s="23" t="str">
        <f aca="false">IF(ISNUMBER(C2040),MONTH(C2040),"")</f>
        <v/>
      </c>
      <c r="X2040" s="23" t="str">
        <f aca="false">IF(T2040="","",IF(T2040=0,"No discount",IF(T2040&lt;=0.2,"Low (1-20%)",IF(T2040&lt;=0.4,"Medium (21-40%)","High (&gt;40%)"))))</f>
        <v/>
      </c>
      <c r="Y2040" s="23" t="str">
        <f aca="false">IF(AND(ISNUMBER(C2040),ISNUMBER(D2040)),D2040-C2040,"")</f>
        <v/>
      </c>
      <c r="Z2040" s="23" t="str">
        <f aca="false">IF(B2040="","",IF(MATCH(B2040,$B$2:$B$12000,0)=ROW()-1,1,0))</f>
        <v/>
      </c>
    </row>
    <row r="2041" customFormat="false" ht="15" hidden="false" customHeight="false" outlineLevel="0" collapsed="false">
      <c r="V2041" s="23" t="str">
        <f aca="false">IF(ISNUMBER(C2041),YEAR(C2041),"")</f>
        <v/>
      </c>
      <c r="W2041" s="23" t="str">
        <f aca="false">IF(ISNUMBER(C2041),MONTH(C2041),"")</f>
        <v/>
      </c>
      <c r="X2041" s="23" t="str">
        <f aca="false">IF(T2041="","",IF(T2041=0,"No discount",IF(T2041&lt;=0.2,"Low (1-20%)",IF(T2041&lt;=0.4,"Medium (21-40%)","High (&gt;40%)"))))</f>
        <v/>
      </c>
      <c r="Y2041" s="23" t="str">
        <f aca="false">IF(AND(ISNUMBER(C2041),ISNUMBER(D2041)),D2041-C2041,"")</f>
        <v/>
      </c>
      <c r="Z2041" s="23" t="str">
        <f aca="false">IF(B2041="","",IF(MATCH(B2041,$B$2:$B$12000,0)=ROW()-1,1,0))</f>
        <v/>
      </c>
    </row>
    <row r="2042" customFormat="false" ht="15" hidden="false" customHeight="false" outlineLevel="0" collapsed="false">
      <c r="V2042" s="23" t="str">
        <f aca="false">IF(ISNUMBER(C2042),YEAR(C2042),"")</f>
        <v/>
      </c>
      <c r="W2042" s="23" t="str">
        <f aca="false">IF(ISNUMBER(C2042),MONTH(C2042),"")</f>
        <v/>
      </c>
      <c r="X2042" s="23" t="str">
        <f aca="false">IF(T2042="","",IF(T2042=0,"No discount",IF(T2042&lt;=0.2,"Low (1-20%)",IF(T2042&lt;=0.4,"Medium (21-40%)","High (&gt;40%)"))))</f>
        <v/>
      </c>
      <c r="Y2042" s="23" t="str">
        <f aca="false">IF(AND(ISNUMBER(C2042),ISNUMBER(D2042)),D2042-C2042,"")</f>
        <v/>
      </c>
      <c r="Z2042" s="23" t="str">
        <f aca="false">IF(B2042="","",IF(MATCH(B2042,$B$2:$B$12000,0)=ROW()-1,1,0))</f>
        <v/>
      </c>
    </row>
    <row r="2043" customFormat="false" ht="15" hidden="false" customHeight="false" outlineLevel="0" collapsed="false">
      <c r="V2043" s="23" t="str">
        <f aca="false">IF(ISNUMBER(C2043),YEAR(C2043),"")</f>
        <v/>
      </c>
      <c r="W2043" s="23" t="str">
        <f aca="false">IF(ISNUMBER(C2043),MONTH(C2043),"")</f>
        <v/>
      </c>
      <c r="X2043" s="23" t="str">
        <f aca="false">IF(T2043="","",IF(T2043=0,"No discount",IF(T2043&lt;=0.2,"Low (1-20%)",IF(T2043&lt;=0.4,"Medium (21-40%)","High (&gt;40%)"))))</f>
        <v/>
      </c>
      <c r="Y2043" s="23" t="str">
        <f aca="false">IF(AND(ISNUMBER(C2043),ISNUMBER(D2043)),D2043-C2043,"")</f>
        <v/>
      </c>
      <c r="Z2043" s="23" t="str">
        <f aca="false">IF(B2043="","",IF(MATCH(B2043,$B$2:$B$12000,0)=ROW()-1,1,0))</f>
        <v/>
      </c>
    </row>
    <row r="2044" customFormat="false" ht="15" hidden="false" customHeight="false" outlineLevel="0" collapsed="false">
      <c r="V2044" s="23" t="str">
        <f aca="false">IF(ISNUMBER(C2044),YEAR(C2044),"")</f>
        <v/>
      </c>
      <c r="W2044" s="23" t="str">
        <f aca="false">IF(ISNUMBER(C2044),MONTH(C2044),"")</f>
        <v/>
      </c>
      <c r="X2044" s="23" t="str">
        <f aca="false">IF(T2044="","",IF(T2044=0,"No discount",IF(T2044&lt;=0.2,"Low (1-20%)",IF(T2044&lt;=0.4,"Medium (21-40%)","High (&gt;40%)"))))</f>
        <v/>
      </c>
      <c r="Y2044" s="23" t="str">
        <f aca="false">IF(AND(ISNUMBER(C2044),ISNUMBER(D2044)),D2044-C2044,"")</f>
        <v/>
      </c>
      <c r="Z2044" s="23" t="str">
        <f aca="false">IF(B2044="","",IF(MATCH(B2044,$B$2:$B$12000,0)=ROW()-1,1,0))</f>
        <v/>
      </c>
    </row>
    <row r="2045" customFormat="false" ht="15" hidden="false" customHeight="false" outlineLevel="0" collapsed="false">
      <c r="V2045" s="23" t="str">
        <f aca="false">IF(ISNUMBER(C2045),YEAR(C2045),"")</f>
        <v/>
      </c>
      <c r="W2045" s="23" t="str">
        <f aca="false">IF(ISNUMBER(C2045),MONTH(C2045),"")</f>
        <v/>
      </c>
      <c r="X2045" s="23" t="str">
        <f aca="false">IF(T2045="","",IF(T2045=0,"No discount",IF(T2045&lt;=0.2,"Low (1-20%)",IF(T2045&lt;=0.4,"Medium (21-40%)","High (&gt;40%)"))))</f>
        <v/>
      </c>
      <c r="Y2045" s="23" t="str">
        <f aca="false">IF(AND(ISNUMBER(C2045),ISNUMBER(D2045)),D2045-C2045,"")</f>
        <v/>
      </c>
      <c r="Z2045" s="23" t="str">
        <f aca="false">IF(B2045="","",IF(MATCH(B2045,$B$2:$B$12000,0)=ROW()-1,1,0))</f>
        <v/>
      </c>
    </row>
    <row r="2046" customFormat="false" ht="15" hidden="false" customHeight="false" outlineLevel="0" collapsed="false">
      <c r="V2046" s="23" t="str">
        <f aca="false">IF(ISNUMBER(C2046),YEAR(C2046),"")</f>
        <v/>
      </c>
      <c r="W2046" s="23" t="str">
        <f aca="false">IF(ISNUMBER(C2046),MONTH(C2046),"")</f>
        <v/>
      </c>
      <c r="X2046" s="23" t="str">
        <f aca="false">IF(T2046="","",IF(T2046=0,"No discount",IF(T2046&lt;=0.2,"Low (1-20%)",IF(T2046&lt;=0.4,"Medium (21-40%)","High (&gt;40%)"))))</f>
        <v/>
      </c>
      <c r="Y2046" s="23" t="str">
        <f aca="false">IF(AND(ISNUMBER(C2046),ISNUMBER(D2046)),D2046-C2046,"")</f>
        <v/>
      </c>
      <c r="Z2046" s="23" t="str">
        <f aca="false">IF(B2046="","",IF(MATCH(B2046,$B$2:$B$12000,0)=ROW()-1,1,0))</f>
        <v/>
      </c>
    </row>
    <row r="2047" customFormat="false" ht="15" hidden="false" customHeight="false" outlineLevel="0" collapsed="false">
      <c r="V2047" s="23" t="str">
        <f aca="false">IF(ISNUMBER(C2047),YEAR(C2047),"")</f>
        <v/>
      </c>
      <c r="W2047" s="23" t="str">
        <f aca="false">IF(ISNUMBER(C2047),MONTH(C2047),"")</f>
        <v/>
      </c>
      <c r="X2047" s="23" t="str">
        <f aca="false">IF(T2047="","",IF(T2047=0,"No discount",IF(T2047&lt;=0.2,"Low (1-20%)",IF(T2047&lt;=0.4,"Medium (21-40%)","High (&gt;40%)"))))</f>
        <v/>
      </c>
      <c r="Y2047" s="23" t="str">
        <f aca="false">IF(AND(ISNUMBER(C2047),ISNUMBER(D2047)),D2047-C2047,"")</f>
        <v/>
      </c>
      <c r="Z2047" s="23" t="str">
        <f aca="false">IF(B2047="","",IF(MATCH(B2047,$B$2:$B$12000,0)=ROW()-1,1,0))</f>
        <v/>
      </c>
    </row>
    <row r="2048" customFormat="false" ht="15" hidden="false" customHeight="false" outlineLevel="0" collapsed="false">
      <c r="V2048" s="23" t="str">
        <f aca="false">IF(ISNUMBER(C2048),YEAR(C2048),"")</f>
        <v/>
      </c>
      <c r="W2048" s="23" t="str">
        <f aca="false">IF(ISNUMBER(C2048),MONTH(C2048),"")</f>
        <v/>
      </c>
      <c r="X2048" s="23" t="str">
        <f aca="false">IF(T2048="","",IF(T2048=0,"No discount",IF(T2048&lt;=0.2,"Low (1-20%)",IF(T2048&lt;=0.4,"Medium (21-40%)","High (&gt;40%)"))))</f>
        <v/>
      </c>
      <c r="Y2048" s="23" t="str">
        <f aca="false">IF(AND(ISNUMBER(C2048),ISNUMBER(D2048)),D2048-C2048,"")</f>
        <v/>
      </c>
      <c r="Z2048" s="23" t="str">
        <f aca="false">IF(B2048="","",IF(MATCH(B2048,$B$2:$B$12000,0)=ROW()-1,1,0))</f>
        <v/>
      </c>
    </row>
    <row r="2049" customFormat="false" ht="15" hidden="false" customHeight="false" outlineLevel="0" collapsed="false">
      <c r="V2049" s="23" t="str">
        <f aca="false">IF(ISNUMBER(C2049),YEAR(C2049),"")</f>
        <v/>
      </c>
      <c r="W2049" s="23" t="str">
        <f aca="false">IF(ISNUMBER(C2049),MONTH(C2049),"")</f>
        <v/>
      </c>
      <c r="X2049" s="23" t="str">
        <f aca="false">IF(T2049="","",IF(T2049=0,"No discount",IF(T2049&lt;=0.2,"Low (1-20%)",IF(T2049&lt;=0.4,"Medium (21-40%)","High (&gt;40%)"))))</f>
        <v/>
      </c>
      <c r="Y2049" s="23" t="str">
        <f aca="false">IF(AND(ISNUMBER(C2049),ISNUMBER(D2049)),D2049-C2049,"")</f>
        <v/>
      </c>
      <c r="Z2049" s="23" t="str">
        <f aca="false">IF(B2049="","",IF(MATCH(B2049,$B$2:$B$12000,0)=ROW()-1,1,0))</f>
        <v/>
      </c>
    </row>
    <row r="2050" customFormat="false" ht="15" hidden="false" customHeight="false" outlineLevel="0" collapsed="false">
      <c r="V2050" s="23" t="str">
        <f aca="false">IF(ISNUMBER(C2050),YEAR(C2050),"")</f>
        <v/>
      </c>
      <c r="W2050" s="23" t="str">
        <f aca="false">IF(ISNUMBER(C2050),MONTH(C2050),"")</f>
        <v/>
      </c>
      <c r="X2050" s="23" t="str">
        <f aca="false">IF(T2050="","",IF(T2050=0,"No discount",IF(T2050&lt;=0.2,"Low (1-20%)",IF(T2050&lt;=0.4,"Medium (21-40%)","High (&gt;40%)"))))</f>
        <v/>
      </c>
      <c r="Y2050" s="23" t="str">
        <f aca="false">IF(AND(ISNUMBER(C2050),ISNUMBER(D2050)),D2050-C2050,"")</f>
        <v/>
      </c>
      <c r="Z2050" s="23" t="str">
        <f aca="false">IF(B2050="","",IF(MATCH(B2050,$B$2:$B$12000,0)=ROW()-1,1,0))</f>
        <v/>
      </c>
    </row>
    <row r="2051" customFormat="false" ht="15" hidden="false" customHeight="false" outlineLevel="0" collapsed="false">
      <c r="V2051" s="23" t="str">
        <f aca="false">IF(ISNUMBER(C2051),YEAR(C2051),"")</f>
        <v/>
      </c>
      <c r="W2051" s="23" t="str">
        <f aca="false">IF(ISNUMBER(C2051),MONTH(C2051),"")</f>
        <v/>
      </c>
      <c r="X2051" s="23" t="str">
        <f aca="false">IF(T2051="","",IF(T2051=0,"No discount",IF(T2051&lt;=0.2,"Low (1-20%)",IF(T2051&lt;=0.4,"Medium (21-40%)","High (&gt;40%)"))))</f>
        <v/>
      </c>
      <c r="Y2051" s="23" t="str">
        <f aca="false">IF(AND(ISNUMBER(C2051),ISNUMBER(D2051)),D2051-C2051,"")</f>
        <v/>
      </c>
      <c r="Z2051" s="23" t="str">
        <f aca="false">IF(B2051="","",IF(MATCH(B2051,$B$2:$B$12000,0)=ROW()-1,1,0))</f>
        <v/>
      </c>
    </row>
    <row r="2052" customFormat="false" ht="15" hidden="false" customHeight="false" outlineLevel="0" collapsed="false">
      <c r="V2052" s="23" t="str">
        <f aca="false">IF(ISNUMBER(C2052),YEAR(C2052),"")</f>
        <v/>
      </c>
      <c r="W2052" s="23" t="str">
        <f aca="false">IF(ISNUMBER(C2052),MONTH(C2052),"")</f>
        <v/>
      </c>
      <c r="X2052" s="23" t="str">
        <f aca="false">IF(T2052="","",IF(T2052=0,"No discount",IF(T2052&lt;=0.2,"Low (1-20%)",IF(T2052&lt;=0.4,"Medium (21-40%)","High (&gt;40%)"))))</f>
        <v/>
      </c>
      <c r="Y2052" s="23" t="str">
        <f aca="false">IF(AND(ISNUMBER(C2052),ISNUMBER(D2052)),D2052-C2052,"")</f>
        <v/>
      </c>
      <c r="Z2052" s="23" t="str">
        <f aca="false">IF(B2052="","",IF(MATCH(B2052,$B$2:$B$12000,0)=ROW()-1,1,0))</f>
        <v/>
      </c>
    </row>
    <row r="2053" customFormat="false" ht="15" hidden="false" customHeight="false" outlineLevel="0" collapsed="false">
      <c r="V2053" s="23" t="str">
        <f aca="false">IF(ISNUMBER(C2053),YEAR(C2053),"")</f>
        <v/>
      </c>
      <c r="W2053" s="23" t="str">
        <f aca="false">IF(ISNUMBER(C2053),MONTH(C2053),"")</f>
        <v/>
      </c>
      <c r="X2053" s="23" t="str">
        <f aca="false">IF(T2053="","",IF(T2053=0,"No discount",IF(T2053&lt;=0.2,"Low (1-20%)",IF(T2053&lt;=0.4,"Medium (21-40%)","High (&gt;40%)"))))</f>
        <v/>
      </c>
      <c r="Y2053" s="23" t="str">
        <f aca="false">IF(AND(ISNUMBER(C2053),ISNUMBER(D2053)),D2053-C2053,"")</f>
        <v/>
      </c>
      <c r="Z2053" s="23" t="str">
        <f aca="false">IF(B2053="","",IF(MATCH(B2053,$B$2:$B$12000,0)=ROW()-1,1,0))</f>
        <v/>
      </c>
    </row>
    <row r="2054" customFormat="false" ht="15" hidden="false" customHeight="false" outlineLevel="0" collapsed="false">
      <c r="V2054" s="23" t="str">
        <f aca="false">IF(ISNUMBER(C2054),YEAR(C2054),"")</f>
        <v/>
      </c>
      <c r="W2054" s="23" t="str">
        <f aca="false">IF(ISNUMBER(C2054),MONTH(C2054),"")</f>
        <v/>
      </c>
      <c r="X2054" s="23" t="str">
        <f aca="false">IF(T2054="","",IF(T2054=0,"No discount",IF(T2054&lt;=0.2,"Low (1-20%)",IF(T2054&lt;=0.4,"Medium (21-40%)","High (&gt;40%)"))))</f>
        <v/>
      </c>
      <c r="Y2054" s="23" t="str">
        <f aca="false">IF(AND(ISNUMBER(C2054),ISNUMBER(D2054)),D2054-C2054,"")</f>
        <v/>
      </c>
      <c r="Z2054" s="23" t="str">
        <f aca="false">IF(B2054="","",IF(MATCH(B2054,$B$2:$B$12000,0)=ROW()-1,1,0))</f>
        <v/>
      </c>
    </row>
    <row r="2055" customFormat="false" ht="15" hidden="false" customHeight="false" outlineLevel="0" collapsed="false">
      <c r="V2055" s="23" t="str">
        <f aca="false">IF(ISNUMBER(C2055),YEAR(C2055),"")</f>
        <v/>
      </c>
      <c r="W2055" s="23" t="str">
        <f aca="false">IF(ISNUMBER(C2055),MONTH(C2055),"")</f>
        <v/>
      </c>
      <c r="X2055" s="23" t="str">
        <f aca="false">IF(T2055="","",IF(T2055=0,"No discount",IF(T2055&lt;=0.2,"Low (1-20%)",IF(T2055&lt;=0.4,"Medium (21-40%)","High (&gt;40%)"))))</f>
        <v/>
      </c>
      <c r="Y2055" s="23" t="str">
        <f aca="false">IF(AND(ISNUMBER(C2055),ISNUMBER(D2055)),D2055-C2055,"")</f>
        <v/>
      </c>
      <c r="Z2055" s="23" t="str">
        <f aca="false">IF(B2055="","",IF(MATCH(B2055,$B$2:$B$12000,0)=ROW()-1,1,0))</f>
        <v/>
      </c>
    </row>
    <row r="2056" customFormat="false" ht="15" hidden="false" customHeight="false" outlineLevel="0" collapsed="false">
      <c r="V2056" s="23" t="str">
        <f aca="false">IF(ISNUMBER(C2056),YEAR(C2056),"")</f>
        <v/>
      </c>
      <c r="W2056" s="23" t="str">
        <f aca="false">IF(ISNUMBER(C2056),MONTH(C2056),"")</f>
        <v/>
      </c>
      <c r="X2056" s="23" t="str">
        <f aca="false">IF(T2056="","",IF(T2056=0,"No discount",IF(T2056&lt;=0.2,"Low (1-20%)",IF(T2056&lt;=0.4,"Medium (21-40%)","High (&gt;40%)"))))</f>
        <v/>
      </c>
      <c r="Y2056" s="23" t="str">
        <f aca="false">IF(AND(ISNUMBER(C2056),ISNUMBER(D2056)),D2056-C2056,"")</f>
        <v/>
      </c>
      <c r="Z2056" s="23" t="str">
        <f aca="false">IF(B2056="","",IF(MATCH(B2056,$B$2:$B$12000,0)=ROW()-1,1,0))</f>
        <v/>
      </c>
    </row>
    <row r="2057" customFormat="false" ht="15" hidden="false" customHeight="false" outlineLevel="0" collapsed="false">
      <c r="V2057" s="23" t="str">
        <f aca="false">IF(ISNUMBER(C2057),YEAR(C2057),"")</f>
        <v/>
      </c>
      <c r="W2057" s="23" t="str">
        <f aca="false">IF(ISNUMBER(C2057),MONTH(C2057),"")</f>
        <v/>
      </c>
      <c r="X2057" s="23" t="str">
        <f aca="false">IF(T2057="","",IF(T2057=0,"No discount",IF(T2057&lt;=0.2,"Low (1-20%)",IF(T2057&lt;=0.4,"Medium (21-40%)","High (&gt;40%)"))))</f>
        <v/>
      </c>
      <c r="Y2057" s="23" t="str">
        <f aca="false">IF(AND(ISNUMBER(C2057),ISNUMBER(D2057)),D2057-C2057,"")</f>
        <v/>
      </c>
      <c r="Z2057" s="23" t="str">
        <f aca="false">IF(B2057="","",IF(MATCH(B2057,$B$2:$B$12000,0)=ROW()-1,1,0))</f>
        <v/>
      </c>
    </row>
    <row r="2058" customFormat="false" ht="15" hidden="false" customHeight="false" outlineLevel="0" collapsed="false">
      <c r="V2058" s="23" t="str">
        <f aca="false">IF(ISNUMBER(C2058),YEAR(C2058),"")</f>
        <v/>
      </c>
      <c r="W2058" s="23" t="str">
        <f aca="false">IF(ISNUMBER(C2058),MONTH(C2058),"")</f>
        <v/>
      </c>
      <c r="X2058" s="23" t="str">
        <f aca="false">IF(T2058="","",IF(T2058=0,"No discount",IF(T2058&lt;=0.2,"Low (1-20%)",IF(T2058&lt;=0.4,"Medium (21-40%)","High (&gt;40%)"))))</f>
        <v/>
      </c>
      <c r="Y2058" s="23" t="str">
        <f aca="false">IF(AND(ISNUMBER(C2058),ISNUMBER(D2058)),D2058-C2058,"")</f>
        <v/>
      </c>
      <c r="Z2058" s="23" t="str">
        <f aca="false">IF(B2058="","",IF(MATCH(B2058,$B$2:$B$12000,0)=ROW()-1,1,0))</f>
        <v/>
      </c>
    </row>
    <row r="2059" customFormat="false" ht="15" hidden="false" customHeight="false" outlineLevel="0" collapsed="false">
      <c r="V2059" s="23" t="str">
        <f aca="false">IF(ISNUMBER(C2059),YEAR(C2059),"")</f>
        <v/>
      </c>
      <c r="W2059" s="23" t="str">
        <f aca="false">IF(ISNUMBER(C2059),MONTH(C2059),"")</f>
        <v/>
      </c>
      <c r="X2059" s="23" t="str">
        <f aca="false">IF(T2059="","",IF(T2059=0,"No discount",IF(T2059&lt;=0.2,"Low (1-20%)",IF(T2059&lt;=0.4,"Medium (21-40%)","High (&gt;40%)"))))</f>
        <v/>
      </c>
      <c r="Y2059" s="23" t="str">
        <f aca="false">IF(AND(ISNUMBER(C2059),ISNUMBER(D2059)),D2059-C2059,"")</f>
        <v/>
      </c>
      <c r="Z2059" s="23" t="str">
        <f aca="false">IF(B2059="","",IF(MATCH(B2059,$B$2:$B$12000,0)=ROW()-1,1,0))</f>
        <v/>
      </c>
    </row>
    <row r="2060" customFormat="false" ht="15" hidden="false" customHeight="false" outlineLevel="0" collapsed="false">
      <c r="V2060" s="23" t="str">
        <f aca="false">IF(ISNUMBER(C2060),YEAR(C2060),"")</f>
        <v/>
      </c>
      <c r="W2060" s="23" t="str">
        <f aca="false">IF(ISNUMBER(C2060),MONTH(C2060),"")</f>
        <v/>
      </c>
      <c r="X2060" s="23" t="str">
        <f aca="false">IF(T2060="","",IF(T2060=0,"No discount",IF(T2060&lt;=0.2,"Low (1-20%)",IF(T2060&lt;=0.4,"Medium (21-40%)","High (&gt;40%)"))))</f>
        <v/>
      </c>
      <c r="Y2060" s="23" t="str">
        <f aca="false">IF(AND(ISNUMBER(C2060),ISNUMBER(D2060)),D2060-C2060,"")</f>
        <v/>
      </c>
      <c r="Z2060" s="23" t="str">
        <f aca="false">IF(B2060="","",IF(MATCH(B2060,$B$2:$B$12000,0)=ROW()-1,1,0))</f>
        <v/>
      </c>
    </row>
    <row r="2061" customFormat="false" ht="15" hidden="false" customHeight="false" outlineLevel="0" collapsed="false">
      <c r="V2061" s="23" t="str">
        <f aca="false">IF(ISNUMBER(C2061),YEAR(C2061),"")</f>
        <v/>
      </c>
      <c r="W2061" s="23" t="str">
        <f aca="false">IF(ISNUMBER(C2061),MONTH(C2061),"")</f>
        <v/>
      </c>
      <c r="X2061" s="23" t="str">
        <f aca="false">IF(T2061="","",IF(T2061=0,"No discount",IF(T2061&lt;=0.2,"Low (1-20%)",IF(T2061&lt;=0.4,"Medium (21-40%)","High (&gt;40%)"))))</f>
        <v/>
      </c>
      <c r="Y2061" s="23" t="str">
        <f aca="false">IF(AND(ISNUMBER(C2061),ISNUMBER(D2061)),D2061-C2061,"")</f>
        <v/>
      </c>
      <c r="Z2061" s="23" t="str">
        <f aca="false">IF(B2061="","",IF(MATCH(B2061,$B$2:$B$12000,0)=ROW()-1,1,0))</f>
        <v/>
      </c>
    </row>
    <row r="2062" customFormat="false" ht="15" hidden="false" customHeight="false" outlineLevel="0" collapsed="false">
      <c r="V2062" s="23" t="str">
        <f aca="false">IF(ISNUMBER(C2062),YEAR(C2062),"")</f>
        <v/>
      </c>
      <c r="W2062" s="23" t="str">
        <f aca="false">IF(ISNUMBER(C2062),MONTH(C2062),"")</f>
        <v/>
      </c>
      <c r="X2062" s="23" t="str">
        <f aca="false">IF(T2062="","",IF(T2062=0,"No discount",IF(T2062&lt;=0.2,"Low (1-20%)",IF(T2062&lt;=0.4,"Medium (21-40%)","High (&gt;40%)"))))</f>
        <v/>
      </c>
      <c r="Y2062" s="23" t="str">
        <f aca="false">IF(AND(ISNUMBER(C2062),ISNUMBER(D2062)),D2062-C2062,"")</f>
        <v/>
      </c>
      <c r="Z2062" s="23" t="str">
        <f aca="false">IF(B2062="","",IF(MATCH(B2062,$B$2:$B$12000,0)=ROW()-1,1,0))</f>
        <v/>
      </c>
    </row>
    <row r="2063" customFormat="false" ht="15" hidden="false" customHeight="false" outlineLevel="0" collapsed="false">
      <c r="V2063" s="23" t="str">
        <f aca="false">IF(ISNUMBER(C2063),YEAR(C2063),"")</f>
        <v/>
      </c>
      <c r="W2063" s="23" t="str">
        <f aca="false">IF(ISNUMBER(C2063),MONTH(C2063),"")</f>
        <v/>
      </c>
      <c r="X2063" s="23" t="str">
        <f aca="false">IF(T2063="","",IF(T2063=0,"No discount",IF(T2063&lt;=0.2,"Low (1-20%)",IF(T2063&lt;=0.4,"Medium (21-40%)","High (&gt;40%)"))))</f>
        <v/>
      </c>
      <c r="Y2063" s="23" t="str">
        <f aca="false">IF(AND(ISNUMBER(C2063),ISNUMBER(D2063)),D2063-C2063,"")</f>
        <v/>
      </c>
      <c r="Z2063" s="23" t="str">
        <f aca="false">IF(B2063="","",IF(MATCH(B2063,$B$2:$B$12000,0)=ROW()-1,1,0))</f>
        <v/>
      </c>
    </row>
    <row r="2064" customFormat="false" ht="15" hidden="false" customHeight="false" outlineLevel="0" collapsed="false">
      <c r="V2064" s="23" t="str">
        <f aca="false">IF(ISNUMBER(C2064),YEAR(C2064),"")</f>
        <v/>
      </c>
      <c r="W2064" s="23" t="str">
        <f aca="false">IF(ISNUMBER(C2064),MONTH(C2064),"")</f>
        <v/>
      </c>
      <c r="X2064" s="23" t="str">
        <f aca="false">IF(T2064="","",IF(T2064=0,"No discount",IF(T2064&lt;=0.2,"Low (1-20%)",IF(T2064&lt;=0.4,"Medium (21-40%)","High (&gt;40%)"))))</f>
        <v/>
      </c>
      <c r="Y2064" s="23" t="str">
        <f aca="false">IF(AND(ISNUMBER(C2064),ISNUMBER(D2064)),D2064-C2064,"")</f>
        <v/>
      </c>
      <c r="Z2064" s="23" t="str">
        <f aca="false">IF(B2064="","",IF(MATCH(B2064,$B$2:$B$12000,0)=ROW()-1,1,0))</f>
        <v/>
      </c>
    </row>
    <row r="2065" customFormat="false" ht="15" hidden="false" customHeight="false" outlineLevel="0" collapsed="false">
      <c r="V2065" s="23" t="str">
        <f aca="false">IF(ISNUMBER(C2065),YEAR(C2065),"")</f>
        <v/>
      </c>
      <c r="W2065" s="23" t="str">
        <f aca="false">IF(ISNUMBER(C2065),MONTH(C2065),"")</f>
        <v/>
      </c>
      <c r="X2065" s="23" t="str">
        <f aca="false">IF(T2065="","",IF(T2065=0,"No discount",IF(T2065&lt;=0.2,"Low (1-20%)",IF(T2065&lt;=0.4,"Medium (21-40%)","High (&gt;40%)"))))</f>
        <v/>
      </c>
      <c r="Y2065" s="23" t="str">
        <f aca="false">IF(AND(ISNUMBER(C2065),ISNUMBER(D2065)),D2065-C2065,"")</f>
        <v/>
      </c>
      <c r="Z2065" s="23" t="str">
        <f aca="false">IF(B2065="","",IF(MATCH(B2065,$B$2:$B$12000,0)=ROW()-1,1,0))</f>
        <v/>
      </c>
    </row>
    <row r="2066" customFormat="false" ht="15" hidden="false" customHeight="false" outlineLevel="0" collapsed="false">
      <c r="V2066" s="23" t="str">
        <f aca="false">IF(ISNUMBER(C2066),YEAR(C2066),"")</f>
        <v/>
      </c>
      <c r="W2066" s="23" t="str">
        <f aca="false">IF(ISNUMBER(C2066),MONTH(C2066),"")</f>
        <v/>
      </c>
      <c r="X2066" s="23" t="str">
        <f aca="false">IF(T2066="","",IF(T2066=0,"No discount",IF(T2066&lt;=0.2,"Low (1-20%)",IF(T2066&lt;=0.4,"Medium (21-40%)","High (&gt;40%)"))))</f>
        <v/>
      </c>
      <c r="Y2066" s="23" t="str">
        <f aca="false">IF(AND(ISNUMBER(C2066),ISNUMBER(D2066)),D2066-C2066,"")</f>
        <v/>
      </c>
      <c r="Z2066" s="23" t="str">
        <f aca="false">IF(B2066="","",IF(MATCH(B2066,$B$2:$B$12000,0)=ROW()-1,1,0))</f>
        <v/>
      </c>
    </row>
    <row r="2067" customFormat="false" ht="15" hidden="false" customHeight="false" outlineLevel="0" collapsed="false">
      <c r="V2067" s="23" t="str">
        <f aca="false">IF(ISNUMBER(C2067),YEAR(C2067),"")</f>
        <v/>
      </c>
      <c r="W2067" s="23" t="str">
        <f aca="false">IF(ISNUMBER(C2067),MONTH(C2067),"")</f>
        <v/>
      </c>
      <c r="X2067" s="23" t="str">
        <f aca="false">IF(T2067="","",IF(T2067=0,"No discount",IF(T2067&lt;=0.2,"Low (1-20%)",IF(T2067&lt;=0.4,"Medium (21-40%)","High (&gt;40%)"))))</f>
        <v/>
      </c>
      <c r="Y2067" s="23" t="str">
        <f aca="false">IF(AND(ISNUMBER(C2067),ISNUMBER(D2067)),D2067-C2067,"")</f>
        <v/>
      </c>
      <c r="Z2067" s="23" t="str">
        <f aca="false">IF(B2067="","",IF(MATCH(B2067,$B$2:$B$12000,0)=ROW()-1,1,0))</f>
        <v/>
      </c>
    </row>
    <row r="2068" customFormat="false" ht="15" hidden="false" customHeight="false" outlineLevel="0" collapsed="false">
      <c r="V2068" s="23" t="str">
        <f aca="false">IF(ISNUMBER(C2068),YEAR(C2068),"")</f>
        <v/>
      </c>
      <c r="W2068" s="23" t="str">
        <f aca="false">IF(ISNUMBER(C2068),MONTH(C2068),"")</f>
        <v/>
      </c>
      <c r="X2068" s="23" t="str">
        <f aca="false">IF(T2068="","",IF(T2068=0,"No discount",IF(T2068&lt;=0.2,"Low (1-20%)",IF(T2068&lt;=0.4,"Medium (21-40%)","High (&gt;40%)"))))</f>
        <v/>
      </c>
      <c r="Y2068" s="23" t="str">
        <f aca="false">IF(AND(ISNUMBER(C2068),ISNUMBER(D2068)),D2068-C2068,"")</f>
        <v/>
      </c>
      <c r="Z2068" s="23" t="str">
        <f aca="false">IF(B2068="","",IF(MATCH(B2068,$B$2:$B$12000,0)=ROW()-1,1,0))</f>
        <v/>
      </c>
    </row>
    <row r="2069" customFormat="false" ht="15" hidden="false" customHeight="false" outlineLevel="0" collapsed="false">
      <c r="V2069" s="23" t="str">
        <f aca="false">IF(ISNUMBER(C2069),YEAR(C2069),"")</f>
        <v/>
      </c>
      <c r="W2069" s="23" t="str">
        <f aca="false">IF(ISNUMBER(C2069),MONTH(C2069),"")</f>
        <v/>
      </c>
      <c r="X2069" s="23" t="str">
        <f aca="false">IF(T2069="","",IF(T2069=0,"No discount",IF(T2069&lt;=0.2,"Low (1-20%)",IF(T2069&lt;=0.4,"Medium (21-40%)","High (&gt;40%)"))))</f>
        <v/>
      </c>
      <c r="Y2069" s="23" t="str">
        <f aca="false">IF(AND(ISNUMBER(C2069),ISNUMBER(D2069)),D2069-C2069,"")</f>
        <v/>
      </c>
      <c r="Z2069" s="23" t="str">
        <f aca="false">IF(B2069="","",IF(MATCH(B2069,$B$2:$B$12000,0)=ROW()-1,1,0))</f>
        <v/>
      </c>
    </row>
    <row r="2070" customFormat="false" ht="15" hidden="false" customHeight="false" outlineLevel="0" collapsed="false">
      <c r="V2070" s="23" t="str">
        <f aca="false">IF(ISNUMBER(C2070),YEAR(C2070),"")</f>
        <v/>
      </c>
      <c r="W2070" s="23" t="str">
        <f aca="false">IF(ISNUMBER(C2070),MONTH(C2070),"")</f>
        <v/>
      </c>
      <c r="X2070" s="23" t="str">
        <f aca="false">IF(T2070="","",IF(T2070=0,"No discount",IF(T2070&lt;=0.2,"Low (1-20%)",IF(T2070&lt;=0.4,"Medium (21-40%)","High (&gt;40%)"))))</f>
        <v/>
      </c>
      <c r="Y2070" s="23" t="str">
        <f aca="false">IF(AND(ISNUMBER(C2070),ISNUMBER(D2070)),D2070-C2070,"")</f>
        <v/>
      </c>
      <c r="Z2070" s="23" t="str">
        <f aca="false">IF(B2070="","",IF(MATCH(B2070,$B$2:$B$12000,0)=ROW()-1,1,0))</f>
        <v/>
      </c>
    </row>
    <row r="2071" customFormat="false" ht="15" hidden="false" customHeight="false" outlineLevel="0" collapsed="false">
      <c r="V2071" s="23" t="str">
        <f aca="false">IF(ISNUMBER(C2071),YEAR(C2071),"")</f>
        <v/>
      </c>
      <c r="W2071" s="23" t="str">
        <f aca="false">IF(ISNUMBER(C2071),MONTH(C2071),"")</f>
        <v/>
      </c>
      <c r="X2071" s="23" t="str">
        <f aca="false">IF(T2071="","",IF(T2071=0,"No discount",IF(T2071&lt;=0.2,"Low (1-20%)",IF(T2071&lt;=0.4,"Medium (21-40%)","High (&gt;40%)"))))</f>
        <v/>
      </c>
      <c r="Y2071" s="23" t="str">
        <f aca="false">IF(AND(ISNUMBER(C2071),ISNUMBER(D2071)),D2071-C2071,"")</f>
        <v/>
      </c>
      <c r="Z2071" s="23" t="str">
        <f aca="false">IF(B2071="","",IF(MATCH(B2071,$B$2:$B$12000,0)=ROW()-1,1,0))</f>
        <v/>
      </c>
    </row>
    <row r="2072" customFormat="false" ht="15" hidden="false" customHeight="false" outlineLevel="0" collapsed="false">
      <c r="V2072" s="23" t="str">
        <f aca="false">IF(ISNUMBER(C2072),YEAR(C2072),"")</f>
        <v/>
      </c>
      <c r="W2072" s="23" t="str">
        <f aca="false">IF(ISNUMBER(C2072),MONTH(C2072),"")</f>
        <v/>
      </c>
      <c r="X2072" s="23" t="str">
        <f aca="false">IF(T2072="","",IF(T2072=0,"No discount",IF(T2072&lt;=0.2,"Low (1-20%)",IF(T2072&lt;=0.4,"Medium (21-40%)","High (&gt;40%)"))))</f>
        <v/>
      </c>
      <c r="Y2072" s="23" t="str">
        <f aca="false">IF(AND(ISNUMBER(C2072),ISNUMBER(D2072)),D2072-C2072,"")</f>
        <v/>
      </c>
      <c r="Z2072" s="23" t="str">
        <f aca="false">IF(B2072="","",IF(MATCH(B2072,$B$2:$B$12000,0)=ROW()-1,1,0))</f>
        <v/>
      </c>
    </row>
    <row r="2073" customFormat="false" ht="15" hidden="false" customHeight="false" outlineLevel="0" collapsed="false">
      <c r="V2073" s="23" t="str">
        <f aca="false">IF(ISNUMBER(C2073),YEAR(C2073),"")</f>
        <v/>
      </c>
      <c r="W2073" s="23" t="str">
        <f aca="false">IF(ISNUMBER(C2073),MONTH(C2073),"")</f>
        <v/>
      </c>
      <c r="X2073" s="23" t="str">
        <f aca="false">IF(T2073="","",IF(T2073=0,"No discount",IF(T2073&lt;=0.2,"Low (1-20%)",IF(T2073&lt;=0.4,"Medium (21-40%)","High (&gt;40%)"))))</f>
        <v/>
      </c>
      <c r="Y2073" s="23" t="str">
        <f aca="false">IF(AND(ISNUMBER(C2073),ISNUMBER(D2073)),D2073-C2073,"")</f>
        <v/>
      </c>
      <c r="Z2073" s="23" t="str">
        <f aca="false">IF(B2073="","",IF(MATCH(B2073,$B$2:$B$12000,0)=ROW()-1,1,0))</f>
        <v/>
      </c>
    </row>
    <row r="2074" customFormat="false" ht="15" hidden="false" customHeight="false" outlineLevel="0" collapsed="false">
      <c r="V2074" s="23" t="str">
        <f aca="false">IF(ISNUMBER(C2074),YEAR(C2074),"")</f>
        <v/>
      </c>
      <c r="W2074" s="23" t="str">
        <f aca="false">IF(ISNUMBER(C2074),MONTH(C2074),"")</f>
        <v/>
      </c>
      <c r="X2074" s="23" t="str">
        <f aca="false">IF(T2074="","",IF(T2074=0,"No discount",IF(T2074&lt;=0.2,"Low (1-20%)",IF(T2074&lt;=0.4,"Medium (21-40%)","High (&gt;40%)"))))</f>
        <v/>
      </c>
      <c r="Y2074" s="23" t="str">
        <f aca="false">IF(AND(ISNUMBER(C2074),ISNUMBER(D2074)),D2074-C2074,"")</f>
        <v/>
      </c>
      <c r="Z2074" s="23" t="str">
        <f aca="false">IF(B2074="","",IF(MATCH(B2074,$B$2:$B$12000,0)=ROW()-1,1,0))</f>
        <v/>
      </c>
    </row>
    <row r="2075" customFormat="false" ht="15" hidden="false" customHeight="false" outlineLevel="0" collapsed="false">
      <c r="V2075" s="23" t="str">
        <f aca="false">IF(ISNUMBER(C2075),YEAR(C2075),"")</f>
        <v/>
      </c>
      <c r="W2075" s="23" t="str">
        <f aca="false">IF(ISNUMBER(C2075),MONTH(C2075),"")</f>
        <v/>
      </c>
      <c r="X2075" s="23" t="str">
        <f aca="false">IF(T2075="","",IF(T2075=0,"No discount",IF(T2075&lt;=0.2,"Low (1-20%)",IF(T2075&lt;=0.4,"Medium (21-40%)","High (&gt;40%)"))))</f>
        <v/>
      </c>
      <c r="Y2075" s="23" t="str">
        <f aca="false">IF(AND(ISNUMBER(C2075),ISNUMBER(D2075)),D2075-C2075,"")</f>
        <v/>
      </c>
      <c r="Z2075" s="23" t="str">
        <f aca="false">IF(B2075="","",IF(MATCH(B2075,$B$2:$B$12000,0)=ROW()-1,1,0))</f>
        <v/>
      </c>
    </row>
    <row r="2076" customFormat="false" ht="15" hidden="false" customHeight="false" outlineLevel="0" collapsed="false">
      <c r="V2076" s="23" t="str">
        <f aca="false">IF(ISNUMBER(C2076),YEAR(C2076),"")</f>
        <v/>
      </c>
      <c r="W2076" s="23" t="str">
        <f aca="false">IF(ISNUMBER(C2076),MONTH(C2076),"")</f>
        <v/>
      </c>
      <c r="X2076" s="23" t="str">
        <f aca="false">IF(T2076="","",IF(T2076=0,"No discount",IF(T2076&lt;=0.2,"Low (1-20%)",IF(T2076&lt;=0.4,"Medium (21-40%)","High (&gt;40%)"))))</f>
        <v/>
      </c>
      <c r="Y2076" s="23" t="str">
        <f aca="false">IF(AND(ISNUMBER(C2076),ISNUMBER(D2076)),D2076-C2076,"")</f>
        <v/>
      </c>
      <c r="Z2076" s="23" t="str">
        <f aca="false">IF(B2076="","",IF(MATCH(B2076,$B$2:$B$12000,0)=ROW()-1,1,0))</f>
        <v/>
      </c>
    </row>
    <row r="2077" customFormat="false" ht="15" hidden="false" customHeight="false" outlineLevel="0" collapsed="false">
      <c r="V2077" s="23" t="str">
        <f aca="false">IF(ISNUMBER(C2077),YEAR(C2077),"")</f>
        <v/>
      </c>
      <c r="W2077" s="23" t="str">
        <f aca="false">IF(ISNUMBER(C2077),MONTH(C2077),"")</f>
        <v/>
      </c>
      <c r="X2077" s="23" t="str">
        <f aca="false">IF(T2077="","",IF(T2077=0,"No discount",IF(T2077&lt;=0.2,"Low (1-20%)",IF(T2077&lt;=0.4,"Medium (21-40%)","High (&gt;40%)"))))</f>
        <v/>
      </c>
      <c r="Y2077" s="23" t="str">
        <f aca="false">IF(AND(ISNUMBER(C2077),ISNUMBER(D2077)),D2077-C2077,"")</f>
        <v/>
      </c>
      <c r="Z2077" s="23" t="str">
        <f aca="false">IF(B2077="","",IF(MATCH(B2077,$B$2:$B$12000,0)=ROW()-1,1,0))</f>
        <v/>
      </c>
    </row>
    <row r="2078" customFormat="false" ht="15" hidden="false" customHeight="false" outlineLevel="0" collapsed="false">
      <c r="V2078" s="23" t="str">
        <f aca="false">IF(ISNUMBER(C2078),YEAR(C2078),"")</f>
        <v/>
      </c>
      <c r="W2078" s="23" t="str">
        <f aca="false">IF(ISNUMBER(C2078),MONTH(C2078),"")</f>
        <v/>
      </c>
      <c r="X2078" s="23" t="str">
        <f aca="false">IF(T2078="","",IF(T2078=0,"No discount",IF(T2078&lt;=0.2,"Low (1-20%)",IF(T2078&lt;=0.4,"Medium (21-40%)","High (&gt;40%)"))))</f>
        <v/>
      </c>
      <c r="Y2078" s="23" t="str">
        <f aca="false">IF(AND(ISNUMBER(C2078),ISNUMBER(D2078)),D2078-C2078,"")</f>
        <v/>
      </c>
      <c r="Z2078" s="23" t="str">
        <f aca="false">IF(B2078="","",IF(MATCH(B2078,$B$2:$B$12000,0)=ROW()-1,1,0))</f>
        <v/>
      </c>
    </row>
    <row r="2079" customFormat="false" ht="15" hidden="false" customHeight="false" outlineLevel="0" collapsed="false">
      <c r="V2079" s="23" t="str">
        <f aca="false">IF(ISNUMBER(C2079),YEAR(C2079),"")</f>
        <v/>
      </c>
      <c r="W2079" s="23" t="str">
        <f aca="false">IF(ISNUMBER(C2079),MONTH(C2079),"")</f>
        <v/>
      </c>
      <c r="X2079" s="23" t="str">
        <f aca="false">IF(T2079="","",IF(T2079=0,"No discount",IF(T2079&lt;=0.2,"Low (1-20%)",IF(T2079&lt;=0.4,"Medium (21-40%)","High (&gt;40%)"))))</f>
        <v/>
      </c>
      <c r="Y2079" s="23" t="str">
        <f aca="false">IF(AND(ISNUMBER(C2079),ISNUMBER(D2079)),D2079-C2079,"")</f>
        <v/>
      </c>
      <c r="Z2079" s="23" t="str">
        <f aca="false">IF(B2079="","",IF(MATCH(B2079,$B$2:$B$12000,0)=ROW()-1,1,0))</f>
        <v/>
      </c>
    </row>
    <row r="2080" customFormat="false" ht="15" hidden="false" customHeight="false" outlineLevel="0" collapsed="false">
      <c r="V2080" s="23" t="str">
        <f aca="false">IF(ISNUMBER(C2080),YEAR(C2080),"")</f>
        <v/>
      </c>
      <c r="W2080" s="23" t="str">
        <f aca="false">IF(ISNUMBER(C2080),MONTH(C2080),"")</f>
        <v/>
      </c>
      <c r="X2080" s="23" t="str">
        <f aca="false">IF(T2080="","",IF(T2080=0,"No discount",IF(T2080&lt;=0.2,"Low (1-20%)",IF(T2080&lt;=0.4,"Medium (21-40%)","High (&gt;40%)"))))</f>
        <v/>
      </c>
      <c r="Y2080" s="23" t="str">
        <f aca="false">IF(AND(ISNUMBER(C2080),ISNUMBER(D2080)),D2080-C2080,"")</f>
        <v/>
      </c>
      <c r="Z2080" s="23" t="str">
        <f aca="false">IF(B2080="","",IF(MATCH(B2080,$B$2:$B$12000,0)=ROW()-1,1,0))</f>
        <v/>
      </c>
    </row>
    <row r="2081" customFormat="false" ht="15" hidden="false" customHeight="false" outlineLevel="0" collapsed="false">
      <c r="V2081" s="23" t="str">
        <f aca="false">IF(ISNUMBER(C2081),YEAR(C2081),"")</f>
        <v/>
      </c>
      <c r="W2081" s="23" t="str">
        <f aca="false">IF(ISNUMBER(C2081),MONTH(C2081),"")</f>
        <v/>
      </c>
      <c r="X2081" s="23" t="str">
        <f aca="false">IF(T2081="","",IF(T2081=0,"No discount",IF(T2081&lt;=0.2,"Low (1-20%)",IF(T2081&lt;=0.4,"Medium (21-40%)","High (&gt;40%)"))))</f>
        <v/>
      </c>
      <c r="Y2081" s="23" t="str">
        <f aca="false">IF(AND(ISNUMBER(C2081),ISNUMBER(D2081)),D2081-C2081,"")</f>
        <v/>
      </c>
      <c r="Z2081" s="23" t="str">
        <f aca="false">IF(B2081="","",IF(MATCH(B2081,$B$2:$B$12000,0)=ROW()-1,1,0))</f>
        <v/>
      </c>
    </row>
    <row r="2082" customFormat="false" ht="15" hidden="false" customHeight="false" outlineLevel="0" collapsed="false">
      <c r="V2082" s="23" t="str">
        <f aca="false">IF(ISNUMBER(C2082),YEAR(C2082),"")</f>
        <v/>
      </c>
      <c r="W2082" s="23" t="str">
        <f aca="false">IF(ISNUMBER(C2082),MONTH(C2082),"")</f>
        <v/>
      </c>
      <c r="X2082" s="23" t="str">
        <f aca="false">IF(T2082="","",IF(T2082=0,"No discount",IF(T2082&lt;=0.2,"Low (1-20%)",IF(T2082&lt;=0.4,"Medium (21-40%)","High (&gt;40%)"))))</f>
        <v/>
      </c>
      <c r="Y2082" s="23" t="str">
        <f aca="false">IF(AND(ISNUMBER(C2082),ISNUMBER(D2082)),D2082-C2082,"")</f>
        <v/>
      </c>
      <c r="Z2082" s="23" t="str">
        <f aca="false">IF(B2082="","",IF(MATCH(B2082,$B$2:$B$12000,0)=ROW()-1,1,0))</f>
        <v/>
      </c>
    </row>
    <row r="2083" customFormat="false" ht="15" hidden="false" customHeight="false" outlineLevel="0" collapsed="false">
      <c r="V2083" s="23" t="str">
        <f aca="false">IF(ISNUMBER(C2083),YEAR(C2083),"")</f>
        <v/>
      </c>
      <c r="W2083" s="23" t="str">
        <f aca="false">IF(ISNUMBER(C2083),MONTH(C2083),"")</f>
        <v/>
      </c>
      <c r="X2083" s="23" t="str">
        <f aca="false">IF(T2083="","",IF(T2083=0,"No discount",IF(T2083&lt;=0.2,"Low (1-20%)",IF(T2083&lt;=0.4,"Medium (21-40%)","High (&gt;40%)"))))</f>
        <v/>
      </c>
      <c r="Y2083" s="23" t="str">
        <f aca="false">IF(AND(ISNUMBER(C2083),ISNUMBER(D2083)),D2083-C2083,"")</f>
        <v/>
      </c>
      <c r="Z2083" s="23" t="str">
        <f aca="false">IF(B2083="","",IF(MATCH(B2083,$B$2:$B$12000,0)=ROW()-1,1,0))</f>
        <v/>
      </c>
    </row>
    <row r="2084" customFormat="false" ht="15" hidden="false" customHeight="false" outlineLevel="0" collapsed="false">
      <c r="V2084" s="23" t="str">
        <f aca="false">IF(ISNUMBER(C2084),YEAR(C2084),"")</f>
        <v/>
      </c>
      <c r="W2084" s="23" t="str">
        <f aca="false">IF(ISNUMBER(C2084),MONTH(C2084),"")</f>
        <v/>
      </c>
      <c r="X2084" s="23" t="str">
        <f aca="false">IF(T2084="","",IF(T2084=0,"No discount",IF(T2084&lt;=0.2,"Low (1-20%)",IF(T2084&lt;=0.4,"Medium (21-40%)","High (&gt;40%)"))))</f>
        <v/>
      </c>
      <c r="Y2084" s="23" t="str">
        <f aca="false">IF(AND(ISNUMBER(C2084),ISNUMBER(D2084)),D2084-C2084,"")</f>
        <v/>
      </c>
      <c r="Z2084" s="23" t="str">
        <f aca="false">IF(B2084="","",IF(MATCH(B2084,$B$2:$B$12000,0)=ROW()-1,1,0))</f>
        <v/>
      </c>
    </row>
    <row r="2085" customFormat="false" ht="15" hidden="false" customHeight="false" outlineLevel="0" collapsed="false">
      <c r="V2085" s="23" t="str">
        <f aca="false">IF(ISNUMBER(C2085),YEAR(C2085),"")</f>
        <v/>
      </c>
      <c r="W2085" s="23" t="str">
        <f aca="false">IF(ISNUMBER(C2085),MONTH(C2085),"")</f>
        <v/>
      </c>
      <c r="X2085" s="23" t="str">
        <f aca="false">IF(T2085="","",IF(T2085=0,"No discount",IF(T2085&lt;=0.2,"Low (1-20%)",IF(T2085&lt;=0.4,"Medium (21-40%)","High (&gt;40%)"))))</f>
        <v/>
      </c>
      <c r="Y2085" s="23" t="str">
        <f aca="false">IF(AND(ISNUMBER(C2085),ISNUMBER(D2085)),D2085-C2085,"")</f>
        <v/>
      </c>
      <c r="Z2085" s="23" t="str">
        <f aca="false">IF(B2085="","",IF(MATCH(B2085,$B$2:$B$12000,0)=ROW()-1,1,0))</f>
        <v/>
      </c>
    </row>
    <row r="2086" customFormat="false" ht="15" hidden="false" customHeight="false" outlineLevel="0" collapsed="false">
      <c r="V2086" s="23" t="str">
        <f aca="false">IF(ISNUMBER(C2086),YEAR(C2086),"")</f>
        <v/>
      </c>
      <c r="W2086" s="23" t="str">
        <f aca="false">IF(ISNUMBER(C2086),MONTH(C2086),"")</f>
        <v/>
      </c>
      <c r="X2086" s="23" t="str">
        <f aca="false">IF(T2086="","",IF(T2086=0,"No discount",IF(T2086&lt;=0.2,"Low (1-20%)",IF(T2086&lt;=0.4,"Medium (21-40%)","High (&gt;40%)"))))</f>
        <v/>
      </c>
      <c r="Y2086" s="23" t="str">
        <f aca="false">IF(AND(ISNUMBER(C2086),ISNUMBER(D2086)),D2086-C2086,"")</f>
        <v/>
      </c>
      <c r="Z2086" s="23" t="str">
        <f aca="false">IF(B2086="","",IF(MATCH(B2086,$B$2:$B$12000,0)=ROW()-1,1,0))</f>
        <v/>
      </c>
    </row>
    <row r="2087" customFormat="false" ht="15" hidden="false" customHeight="false" outlineLevel="0" collapsed="false">
      <c r="V2087" s="23" t="str">
        <f aca="false">IF(ISNUMBER(C2087),YEAR(C2087),"")</f>
        <v/>
      </c>
      <c r="W2087" s="23" t="str">
        <f aca="false">IF(ISNUMBER(C2087),MONTH(C2087),"")</f>
        <v/>
      </c>
      <c r="X2087" s="23" t="str">
        <f aca="false">IF(T2087="","",IF(T2087=0,"No discount",IF(T2087&lt;=0.2,"Low (1-20%)",IF(T2087&lt;=0.4,"Medium (21-40%)","High (&gt;40%)"))))</f>
        <v/>
      </c>
      <c r="Y2087" s="23" t="str">
        <f aca="false">IF(AND(ISNUMBER(C2087),ISNUMBER(D2087)),D2087-C2087,"")</f>
        <v/>
      </c>
      <c r="Z2087" s="23" t="str">
        <f aca="false">IF(B2087="","",IF(MATCH(B2087,$B$2:$B$12000,0)=ROW()-1,1,0))</f>
        <v/>
      </c>
    </row>
    <row r="2088" customFormat="false" ht="15" hidden="false" customHeight="false" outlineLevel="0" collapsed="false">
      <c r="V2088" s="23" t="str">
        <f aca="false">IF(ISNUMBER(C2088),YEAR(C2088),"")</f>
        <v/>
      </c>
      <c r="W2088" s="23" t="str">
        <f aca="false">IF(ISNUMBER(C2088),MONTH(C2088),"")</f>
        <v/>
      </c>
      <c r="X2088" s="23" t="str">
        <f aca="false">IF(T2088="","",IF(T2088=0,"No discount",IF(T2088&lt;=0.2,"Low (1-20%)",IF(T2088&lt;=0.4,"Medium (21-40%)","High (&gt;40%)"))))</f>
        <v/>
      </c>
      <c r="Y2088" s="23" t="str">
        <f aca="false">IF(AND(ISNUMBER(C2088),ISNUMBER(D2088)),D2088-C2088,"")</f>
        <v/>
      </c>
      <c r="Z2088" s="23" t="str">
        <f aca="false">IF(B2088="","",IF(MATCH(B2088,$B$2:$B$12000,0)=ROW()-1,1,0))</f>
        <v/>
      </c>
    </row>
    <row r="2089" customFormat="false" ht="15" hidden="false" customHeight="false" outlineLevel="0" collapsed="false">
      <c r="V2089" s="23" t="str">
        <f aca="false">IF(ISNUMBER(C2089),YEAR(C2089),"")</f>
        <v/>
      </c>
      <c r="W2089" s="23" t="str">
        <f aca="false">IF(ISNUMBER(C2089),MONTH(C2089),"")</f>
        <v/>
      </c>
      <c r="X2089" s="23" t="str">
        <f aca="false">IF(T2089="","",IF(T2089=0,"No discount",IF(T2089&lt;=0.2,"Low (1-20%)",IF(T2089&lt;=0.4,"Medium (21-40%)","High (&gt;40%)"))))</f>
        <v/>
      </c>
      <c r="Y2089" s="23" t="str">
        <f aca="false">IF(AND(ISNUMBER(C2089),ISNUMBER(D2089)),D2089-C2089,"")</f>
        <v/>
      </c>
      <c r="Z2089" s="23" t="str">
        <f aca="false">IF(B2089="","",IF(MATCH(B2089,$B$2:$B$12000,0)=ROW()-1,1,0))</f>
        <v/>
      </c>
    </row>
    <row r="2090" customFormat="false" ht="15" hidden="false" customHeight="false" outlineLevel="0" collapsed="false">
      <c r="V2090" s="23" t="str">
        <f aca="false">IF(ISNUMBER(C2090),YEAR(C2090),"")</f>
        <v/>
      </c>
      <c r="W2090" s="23" t="str">
        <f aca="false">IF(ISNUMBER(C2090),MONTH(C2090),"")</f>
        <v/>
      </c>
      <c r="X2090" s="23" t="str">
        <f aca="false">IF(T2090="","",IF(T2090=0,"No discount",IF(T2090&lt;=0.2,"Low (1-20%)",IF(T2090&lt;=0.4,"Medium (21-40%)","High (&gt;40%)"))))</f>
        <v/>
      </c>
      <c r="Y2090" s="23" t="str">
        <f aca="false">IF(AND(ISNUMBER(C2090),ISNUMBER(D2090)),D2090-C2090,"")</f>
        <v/>
      </c>
      <c r="Z2090" s="23" t="str">
        <f aca="false">IF(B2090="","",IF(MATCH(B2090,$B$2:$B$12000,0)=ROW()-1,1,0))</f>
        <v/>
      </c>
    </row>
    <row r="2091" customFormat="false" ht="15" hidden="false" customHeight="false" outlineLevel="0" collapsed="false">
      <c r="V2091" s="23" t="str">
        <f aca="false">IF(ISNUMBER(C2091),YEAR(C2091),"")</f>
        <v/>
      </c>
      <c r="W2091" s="23" t="str">
        <f aca="false">IF(ISNUMBER(C2091),MONTH(C2091),"")</f>
        <v/>
      </c>
      <c r="X2091" s="23" t="str">
        <f aca="false">IF(T2091="","",IF(T2091=0,"No discount",IF(T2091&lt;=0.2,"Low (1-20%)",IF(T2091&lt;=0.4,"Medium (21-40%)","High (&gt;40%)"))))</f>
        <v/>
      </c>
      <c r="Y2091" s="23" t="str">
        <f aca="false">IF(AND(ISNUMBER(C2091),ISNUMBER(D2091)),D2091-C2091,"")</f>
        <v/>
      </c>
      <c r="Z2091" s="23" t="str">
        <f aca="false">IF(B2091="","",IF(MATCH(B2091,$B$2:$B$12000,0)=ROW()-1,1,0))</f>
        <v/>
      </c>
    </row>
    <row r="2092" customFormat="false" ht="15" hidden="false" customHeight="false" outlineLevel="0" collapsed="false">
      <c r="V2092" s="23" t="str">
        <f aca="false">IF(ISNUMBER(C2092),YEAR(C2092),"")</f>
        <v/>
      </c>
      <c r="W2092" s="23" t="str">
        <f aca="false">IF(ISNUMBER(C2092),MONTH(C2092),"")</f>
        <v/>
      </c>
      <c r="X2092" s="23" t="str">
        <f aca="false">IF(T2092="","",IF(T2092=0,"No discount",IF(T2092&lt;=0.2,"Low (1-20%)",IF(T2092&lt;=0.4,"Medium (21-40%)","High (&gt;40%)"))))</f>
        <v/>
      </c>
      <c r="Y2092" s="23" t="str">
        <f aca="false">IF(AND(ISNUMBER(C2092),ISNUMBER(D2092)),D2092-C2092,"")</f>
        <v/>
      </c>
      <c r="Z2092" s="23" t="str">
        <f aca="false">IF(B2092="","",IF(MATCH(B2092,$B$2:$B$12000,0)=ROW()-1,1,0))</f>
        <v/>
      </c>
    </row>
    <row r="2093" customFormat="false" ht="15" hidden="false" customHeight="false" outlineLevel="0" collapsed="false">
      <c r="V2093" s="23" t="str">
        <f aca="false">IF(ISNUMBER(C2093),YEAR(C2093),"")</f>
        <v/>
      </c>
      <c r="W2093" s="23" t="str">
        <f aca="false">IF(ISNUMBER(C2093),MONTH(C2093),"")</f>
        <v/>
      </c>
      <c r="X2093" s="23" t="str">
        <f aca="false">IF(T2093="","",IF(T2093=0,"No discount",IF(T2093&lt;=0.2,"Low (1-20%)",IF(T2093&lt;=0.4,"Medium (21-40%)","High (&gt;40%)"))))</f>
        <v/>
      </c>
      <c r="Y2093" s="23" t="str">
        <f aca="false">IF(AND(ISNUMBER(C2093),ISNUMBER(D2093)),D2093-C2093,"")</f>
        <v/>
      </c>
      <c r="Z2093" s="23" t="str">
        <f aca="false">IF(B2093="","",IF(MATCH(B2093,$B$2:$B$12000,0)=ROW()-1,1,0))</f>
        <v/>
      </c>
    </row>
    <row r="2094" customFormat="false" ht="15" hidden="false" customHeight="false" outlineLevel="0" collapsed="false">
      <c r="V2094" s="23" t="str">
        <f aca="false">IF(ISNUMBER(C2094),YEAR(C2094),"")</f>
        <v/>
      </c>
      <c r="W2094" s="23" t="str">
        <f aca="false">IF(ISNUMBER(C2094),MONTH(C2094),"")</f>
        <v/>
      </c>
      <c r="X2094" s="23" t="str">
        <f aca="false">IF(T2094="","",IF(T2094=0,"No discount",IF(T2094&lt;=0.2,"Low (1-20%)",IF(T2094&lt;=0.4,"Medium (21-40%)","High (&gt;40%)"))))</f>
        <v/>
      </c>
      <c r="Y2094" s="23" t="str">
        <f aca="false">IF(AND(ISNUMBER(C2094),ISNUMBER(D2094)),D2094-C2094,"")</f>
        <v/>
      </c>
      <c r="Z2094" s="23" t="str">
        <f aca="false">IF(B2094="","",IF(MATCH(B2094,$B$2:$B$12000,0)=ROW()-1,1,0))</f>
        <v/>
      </c>
    </row>
    <row r="2095" customFormat="false" ht="15" hidden="false" customHeight="false" outlineLevel="0" collapsed="false">
      <c r="V2095" s="23" t="str">
        <f aca="false">IF(ISNUMBER(C2095),YEAR(C2095),"")</f>
        <v/>
      </c>
      <c r="W2095" s="23" t="str">
        <f aca="false">IF(ISNUMBER(C2095),MONTH(C2095),"")</f>
        <v/>
      </c>
      <c r="X2095" s="23" t="str">
        <f aca="false">IF(T2095="","",IF(T2095=0,"No discount",IF(T2095&lt;=0.2,"Low (1-20%)",IF(T2095&lt;=0.4,"Medium (21-40%)","High (&gt;40%)"))))</f>
        <v/>
      </c>
      <c r="Y2095" s="23" t="str">
        <f aca="false">IF(AND(ISNUMBER(C2095),ISNUMBER(D2095)),D2095-C2095,"")</f>
        <v/>
      </c>
      <c r="Z2095" s="23" t="str">
        <f aca="false">IF(B2095="","",IF(MATCH(B2095,$B$2:$B$12000,0)=ROW()-1,1,0))</f>
        <v/>
      </c>
    </row>
    <row r="2096" customFormat="false" ht="15" hidden="false" customHeight="false" outlineLevel="0" collapsed="false">
      <c r="V2096" s="23" t="str">
        <f aca="false">IF(ISNUMBER(C2096),YEAR(C2096),"")</f>
        <v/>
      </c>
      <c r="W2096" s="23" t="str">
        <f aca="false">IF(ISNUMBER(C2096),MONTH(C2096),"")</f>
        <v/>
      </c>
      <c r="X2096" s="23" t="str">
        <f aca="false">IF(T2096="","",IF(T2096=0,"No discount",IF(T2096&lt;=0.2,"Low (1-20%)",IF(T2096&lt;=0.4,"Medium (21-40%)","High (&gt;40%)"))))</f>
        <v/>
      </c>
      <c r="Y2096" s="23" t="str">
        <f aca="false">IF(AND(ISNUMBER(C2096),ISNUMBER(D2096)),D2096-C2096,"")</f>
        <v/>
      </c>
      <c r="Z2096" s="23" t="str">
        <f aca="false">IF(B2096="","",IF(MATCH(B2096,$B$2:$B$12000,0)=ROW()-1,1,0))</f>
        <v/>
      </c>
    </row>
    <row r="2097" customFormat="false" ht="15" hidden="false" customHeight="false" outlineLevel="0" collapsed="false">
      <c r="V2097" s="23" t="str">
        <f aca="false">IF(ISNUMBER(C2097),YEAR(C2097),"")</f>
        <v/>
      </c>
      <c r="W2097" s="23" t="str">
        <f aca="false">IF(ISNUMBER(C2097),MONTH(C2097),"")</f>
        <v/>
      </c>
      <c r="X2097" s="23" t="str">
        <f aca="false">IF(T2097="","",IF(T2097=0,"No discount",IF(T2097&lt;=0.2,"Low (1-20%)",IF(T2097&lt;=0.4,"Medium (21-40%)","High (&gt;40%)"))))</f>
        <v/>
      </c>
      <c r="Y2097" s="23" t="str">
        <f aca="false">IF(AND(ISNUMBER(C2097),ISNUMBER(D2097)),D2097-C2097,"")</f>
        <v/>
      </c>
      <c r="Z2097" s="23" t="str">
        <f aca="false">IF(B2097="","",IF(MATCH(B2097,$B$2:$B$12000,0)=ROW()-1,1,0))</f>
        <v/>
      </c>
    </row>
    <row r="2098" customFormat="false" ht="15" hidden="false" customHeight="false" outlineLevel="0" collapsed="false">
      <c r="V2098" s="23" t="str">
        <f aca="false">IF(ISNUMBER(C2098),YEAR(C2098),"")</f>
        <v/>
      </c>
      <c r="W2098" s="23" t="str">
        <f aca="false">IF(ISNUMBER(C2098),MONTH(C2098),"")</f>
        <v/>
      </c>
      <c r="X2098" s="23" t="str">
        <f aca="false">IF(T2098="","",IF(T2098=0,"No discount",IF(T2098&lt;=0.2,"Low (1-20%)",IF(T2098&lt;=0.4,"Medium (21-40%)","High (&gt;40%)"))))</f>
        <v/>
      </c>
      <c r="Y2098" s="23" t="str">
        <f aca="false">IF(AND(ISNUMBER(C2098),ISNUMBER(D2098)),D2098-C2098,"")</f>
        <v/>
      </c>
      <c r="Z2098" s="23" t="str">
        <f aca="false">IF(B2098="","",IF(MATCH(B2098,$B$2:$B$12000,0)=ROW()-1,1,0))</f>
        <v/>
      </c>
    </row>
    <row r="2099" customFormat="false" ht="15" hidden="false" customHeight="false" outlineLevel="0" collapsed="false">
      <c r="V2099" s="23" t="str">
        <f aca="false">IF(ISNUMBER(C2099),YEAR(C2099),"")</f>
        <v/>
      </c>
      <c r="W2099" s="23" t="str">
        <f aca="false">IF(ISNUMBER(C2099),MONTH(C2099),"")</f>
        <v/>
      </c>
      <c r="X2099" s="23" t="str">
        <f aca="false">IF(T2099="","",IF(T2099=0,"No discount",IF(T2099&lt;=0.2,"Low (1-20%)",IF(T2099&lt;=0.4,"Medium (21-40%)","High (&gt;40%)"))))</f>
        <v/>
      </c>
      <c r="Y2099" s="23" t="str">
        <f aca="false">IF(AND(ISNUMBER(C2099),ISNUMBER(D2099)),D2099-C2099,"")</f>
        <v/>
      </c>
      <c r="Z2099" s="23" t="str">
        <f aca="false">IF(B2099="","",IF(MATCH(B2099,$B$2:$B$12000,0)=ROW()-1,1,0))</f>
        <v/>
      </c>
    </row>
    <row r="2100" customFormat="false" ht="15" hidden="false" customHeight="false" outlineLevel="0" collapsed="false">
      <c r="V2100" s="23" t="str">
        <f aca="false">IF(ISNUMBER(C2100),YEAR(C2100),"")</f>
        <v/>
      </c>
      <c r="W2100" s="23" t="str">
        <f aca="false">IF(ISNUMBER(C2100),MONTH(C2100),"")</f>
        <v/>
      </c>
      <c r="X2100" s="23" t="str">
        <f aca="false">IF(T2100="","",IF(T2100=0,"No discount",IF(T2100&lt;=0.2,"Low (1-20%)",IF(T2100&lt;=0.4,"Medium (21-40%)","High (&gt;40%)"))))</f>
        <v/>
      </c>
      <c r="Y2100" s="23" t="str">
        <f aca="false">IF(AND(ISNUMBER(C2100),ISNUMBER(D2100)),D2100-C2100,"")</f>
        <v/>
      </c>
      <c r="Z2100" s="23" t="str">
        <f aca="false">IF(B2100="","",IF(MATCH(B2100,$B$2:$B$12000,0)=ROW()-1,1,0))</f>
        <v/>
      </c>
    </row>
    <row r="2101" customFormat="false" ht="15" hidden="false" customHeight="false" outlineLevel="0" collapsed="false">
      <c r="V2101" s="23" t="str">
        <f aca="false">IF(ISNUMBER(C2101),YEAR(C2101),"")</f>
        <v/>
      </c>
      <c r="W2101" s="23" t="str">
        <f aca="false">IF(ISNUMBER(C2101),MONTH(C2101),"")</f>
        <v/>
      </c>
      <c r="X2101" s="23" t="str">
        <f aca="false">IF(T2101="","",IF(T2101=0,"No discount",IF(T2101&lt;=0.2,"Low (1-20%)",IF(T2101&lt;=0.4,"Medium (21-40%)","High (&gt;40%)"))))</f>
        <v/>
      </c>
      <c r="Y2101" s="23" t="str">
        <f aca="false">IF(AND(ISNUMBER(C2101),ISNUMBER(D2101)),D2101-C2101,"")</f>
        <v/>
      </c>
      <c r="Z2101" s="23" t="str">
        <f aca="false">IF(B2101="","",IF(MATCH(B2101,$B$2:$B$12000,0)=ROW()-1,1,0))</f>
        <v/>
      </c>
    </row>
    <row r="2102" customFormat="false" ht="15" hidden="false" customHeight="false" outlineLevel="0" collapsed="false">
      <c r="V2102" s="23" t="str">
        <f aca="false">IF(ISNUMBER(C2102),YEAR(C2102),"")</f>
        <v/>
      </c>
      <c r="W2102" s="23" t="str">
        <f aca="false">IF(ISNUMBER(C2102),MONTH(C2102),"")</f>
        <v/>
      </c>
      <c r="X2102" s="23" t="str">
        <f aca="false">IF(T2102="","",IF(T2102=0,"No discount",IF(T2102&lt;=0.2,"Low (1-20%)",IF(T2102&lt;=0.4,"Medium (21-40%)","High (&gt;40%)"))))</f>
        <v/>
      </c>
      <c r="Y2102" s="23" t="str">
        <f aca="false">IF(AND(ISNUMBER(C2102),ISNUMBER(D2102)),D2102-C2102,"")</f>
        <v/>
      </c>
      <c r="Z2102" s="23" t="str">
        <f aca="false">IF(B2102="","",IF(MATCH(B2102,$B$2:$B$12000,0)=ROW()-1,1,0))</f>
        <v/>
      </c>
    </row>
    <row r="2103" customFormat="false" ht="15" hidden="false" customHeight="false" outlineLevel="0" collapsed="false">
      <c r="V2103" s="23" t="str">
        <f aca="false">IF(ISNUMBER(C2103),YEAR(C2103),"")</f>
        <v/>
      </c>
      <c r="W2103" s="23" t="str">
        <f aca="false">IF(ISNUMBER(C2103),MONTH(C2103),"")</f>
        <v/>
      </c>
      <c r="X2103" s="23" t="str">
        <f aca="false">IF(T2103="","",IF(T2103=0,"No discount",IF(T2103&lt;=0.2,"Low (1-20%)",IF(T2103&lt;=0.4,"Medium (21-40%)","High (&gt;40%)"))))</f>
        <v/>
      </c>
      <c r="Y2103" s="23" t="str">
        <f aca="false">IF(AND(ISNUMBER(C2103),ISNUMBER(D2103)),D2103-C2103,"")</f>
        <v/>
      </c>
      <c r="Z2103" s="23" t="str">
        <f aca="false">IF(B2103="","",IF(MATCH(B2103,$B$2:$B$12000,0)=ROW()-1,1,0))</f>
        <v/>
      </c>
    </row>
    <row r="2104" customFormat="false" ht="15" hidden="false" customHeight="false" outlineLevel="0" collapsed="false">
      <c r="V2104" s="23" t="str">
        <f aca="false">IF(ISNUMBER(C2104),YEAR(C2104),"")</f>
        <v/>
      </c>
      <c r="W2104" s="23" t="str">
        <f aca="false">IF(ISNUMBER(C2104),MONTH(C2104),"")</f>
        <v/>
      </c>
      <c r="X2104" s="23" t="str">
        <f aca="false">IF(T2104="","",IF(T2104=0,"No discount",IF(T2104&lt;=0.2,"Low (1-20%)",IF(T2104&lt;=0.4,"Medium (21-40%)","High (&gt;40%)"))))</f>
        <v/>
      </c>
      <c r="Y2104" s="23" t="str">
        <f aca="false">IF(AND(ISNUMBER(C2104),ISNUMBER(D2104)),D2104-C2104,"")</f>
        <v/>
      </c>
      <c r="Z2104" s="23" t="str">
        <f aca="false">IF(B2104="","",IF(MATCH(B2104,$B$2:$B$12000,0)=ROW()-1,1,0))</f>
        <v/>
      </c>
    </row>
    <row r="2105" customFormat="false" ht="15" hidden="false" customHeight="false" outlineLevel="0" collapsed="false">
      <c r="V2105" s="23" t="str">
        <f aca="false">IF(ISNUMBER(C2105),YEAR(C2105),"")</f>
        <v/>
      </c>
      <c r="W2105" s="23" t="str">
        <f aca="false">IF(ISNUMBER(C2105),MONTH(C2105),"")</f>
        <v/>
      </c>
      <c r="X2105" s="23" t="str">
        <f aca="false">IF(T2105="","",IF(T2105=0,"No discount",IF(T2105&lt;=0.2,"Low (1-20%)",IF(T2105&lt;=0.4,"Medium (21-40%)","High (&gt;40%)"))))</f>
        <v/>
      </c>
      <c r="Y2105" s="23" t="str">
        <f aca="false">IF(AND(ISNUMBER(C2105),ISNUMBER(D2105)),D2105-C2105,"")</f>
        <v/>
      </c>
      <c r="Z2105" s="23" t="str">
        <f aca="false">IF(B2105="","",IF(MATCH(B2105,$B$2:$B$12000,0)=ROW()-1,1,0))</f>
        <v/>
      </c>
    </row>
    <row r="2106" customFormat="false" ht="15" hidden="false" customHeight="false" outlineLevel="0" collapsed="false">
      <c r="V2106" s="23" t="str">
        <f aca="false">IF(ISNUMBER(C2106),YEAR(C2106),"")</f>
        <v/>
      </c>
      <c r="W2106" s="23" t="str">
        <f aca="false">IF(ISNUMBER(C2106),MONTH(C2106),"")</f>
        <v/>
      </c>
      <c r="X2106" s="23" t="str">
        <f aca="false">IF(T2106="","",IF(T2106=0,"No discount",IF(T2106&lt;=0.2,"Low (1-20%)",IF(T2106&lt;=0.4,"Medium (21-40%)","High (&gt;40%)"))))</f>
        <v/>
      </c>
      <c r="Y2106" s="23" t="str">
        <f aca="false">IF(AND(ISNUMBER(C2106),ISNUMBER(D2106)),D2106-C2106,"")</f>
        <v/>
      </c>
      <c r="Z2106" s="23" t="str">
        <f aca="false">IF(B2106="","",IF(MATCH(B2106,$B$2:$B$12000,0)=ROW()-1,1,0))</f>
        <v/>
      </c>
    </row>
    <row r="2107" customFormat="false" ht="15" hidden="false" customHeight="false" outlineLevel="0" collapsed="false">
      <c r="V2107" s="23" t="str">
        <f aca="false">IF(ISNUMBER(C2107),YEAR(C2107),"")</f>
        <v/>
      </c>
      <c r="W2107" s="23" t="str">
        <f aca="false">IF(ISNUMBER(C2107),MONTH(C2107),"")</f>
        <v/>
      </c>
      <c r="X2107" s="23" t="str">
        <f aca="false">IF(T2107="","",IF(T2107=0,"No discount",IF(T2107&lt;=0.2,"Low (1-20%)",IF(T2107&lt;=0.4,"Medium (21-40%)","High (&gt;40%)"))))</f>
        <v/>
      </c>
      <c r="Y2107" s="23" t="str">
        <f aca="false">IF(AND(ISNUMBER(C2107),ISNUMBER(D2107)),D2107-C2107,"")</f>
        <v/>
      </c>
      <c r="Z2107" s="23" t="str">
        <f aca="false">IF(B2107="","",IF(MATCH(B2107,$B$2:$B$12000,0)=ROW()-1,1,0))</f>
        <v/>
      </c>
    </row>
    <row r="2108" customFormat="false" ht="15" hidden="false" customHeight="false" outlineLevel="0" collapsed="false">
      <c r="V2108" s="23" t="str">
        <f aca="false">IF(ISNUMBER(C2108),YEAR(C2108),"")</f>
        <v/>
      </c>
      <c r="W2108" s="23" t="str">
        <f aca="false">IF(ISNUMBER(C2108),MONTH(C2108),"")</f>
        <v/>
      </c>
      <c r="X2108" s="23" t="str">
        <f aca="false">IF(T2108="","",IF(T2108=0,"No discount",IF(T2108&lt;=0.2,"Low (1-20%)",IF(T2108&lt;=0.4,"Medium (21-40%)","High (&gt;40%)"))))</f>
        <v/>
      </c>
      <c r="Y2108" s="23" t="str">
        <f aca="false">IF(AND(ISNUMBER(C2108),ISNUMBER(D2108)),D2108-C2108,"")</f>
        <v/>
      </c>
      <c r="Z2108" s="23" t="str">
        <f aca="false">IF(B2108="","",IF(MATCH(B2108,$B$2:$B$12000,0)=ROW()-1,1,0))</f>
        <v/>
      </c>
    </row>
    <row r="2109" customFormat="false" ht="15" hidden="false" customHeight="false" outlineLevel="0" collapsed="false">
      <c r="V2109" s="23" t="str">
        <f aca="false">IF(ISNUMBER(C2109),YEAR(C2109),"")</f>
        <v/>
      </c>
      <c r="W2109" s="23" t="str">
        <f aca="false">IF(ISNUMBER(C2109),MONTH(C2109),"")</f>
        <v/>
      </c>
      <c r="X2109" s="23" t="str">
        <f aca="false">IF(T2109="","",IF(T2109=0,"No discount",IF(T2109&lt;=0.2,"Low (1-20%)",IF(T2109&lt;=0.4,"Medium (21-40%)","High (&gt;40%)"))))</f>
        <v/>
      </c>
      <c r="Y2109" s="23" t="str">
        <f aca="false">IF(AND(ISNUMBER(C2109),ISNUMBER(D2109)),D2109-C2109,"")</f>
        <v/>
      </c>
      <c r="Z2109" s="23" t="str">
        <f aca="false">IF(B2109="","",IF(MATCH(B2109,$B$2:$B$12000,0)=ROW()-1,1,0))</f>
        <v/>
      </c>
    </row>
    <row r="2110" customFormat="false" ht="15" hidden="false" customHeight="false" outlineLevel="0" collapsed="false">
      <c r="V2110" s="23" t="str">
        <f aca="false">IF(ISNUMBER(C2110),YEAR(C2110),"")</f>
        <v/>
      </c>
      <c r="W2110" s="23" t="str">
        <f aca="false">IF(ISNUMBER(C2110),MONTH(C2110),"")</f>
        <v/>
      </c>
      <c r="X2110" s="23" t="str">
        <f aca="false">IF(T2110="","",IF(T2110=0,"No discount",IF(T2110&lt;=0.2,"Low (1-20%)",IF(T2110&lt;=0.4,"Medium (21-40%)","High (&gt;40%)"))))</f>
        <v/>
      </c>
      <c r="Y2110" s="23" t="str">
        <f aca="false">IF(AND(ISNUMBER(C2110),ISNUMBER(D2110)),D2110-C2110,"")</f>
        <v/>
      </c>
      <c r="Z2110" s="23" t="str">
        <f aca="false">IF(B2110="","",IF(MATCH(B2110,$B$2:$B$12000,0)=ROW()-1,1,0))</f>
        <v/>
      </c>
    </row>
    <row r="2111" customFormat="false" ht="15" hidden="false" customHeight="false" outlineLevel="0" collapsed="false">
      <c r="V2111" s="23" t="str">
        <f aca="false">IF(ISNUMBER(C2111),YEAR(C2111),"")</f>
        <v/>
      </c>
      <c r="W2111" s="23" t="str">
        <f aca="false">IF(ISNUMBER(C2111),MONTH(C2111),"")</f>
        <v/>
      </c>
      <c r="X2111" s="23" t="str">
        <f aca="false">IF(T2111="","",IF(T2111=0,"No discount",IF(T2111&lt;=0.2,"Low (1-20%)",IF(T2111&lt;=0.4,"Medium (21-40%)","High (&gt;40%)"))))</f>
        <v/>
      </c>
      <c r="Y2111" s="23" t="str">
        <f aca="false">IF(AND(ISNUMBER(C2111),ISNUMBER(D2111)),D2111-C2111,"")</f>
        <v/>
      </c>
      <c r="Z2111" s="23" t="str">
        <f aca="false">IF(B2111="","",IF(MATCH(B2111,$B$2:$B$12000,0)=ROW()-1,1,0))</f>
        <v/>
      </c>
    </row>
    <row r="2112" customFormat="false" ht="15" hidden="false" customHeight="false" outlineLevel="0" collapsed="false">
      <c r="V2112" s="23" t="str">
        <f aca="false">IF(ISNUMBER(C2112),YEAR(C2112),"")</f>
        <v/>
      </c>
      <c r="W2112" s="23" t="str">
        <f aca="false">IF(ISNUMBER(C2112),MONTH(C2112),"")</f>
        <v/>
      </c>
      <c r="X2112" s="23" t="str">
        <f aca="false">IF(T2112="","",IF(T2112=0,"No discount",IF(T2112&lt;=0.2,"Low (1-20%)",IF(T2112&lt;=0.4,"Medium (21-40%)","High (&gt;40%)"))))</f>
        <v/>
      </c>
      <c r="Y2112" s="23" t="str">
        <f aca="false">IF(AND(ISNUMBER(C2112),ISNUMBER(D2112)),D2112-C2112,"")</f>
        <v/>
      </c>
      <c r="Z2112" s="23" t="str">
        <f aca="false">IF(B2112="","",IF(MATCH(B2112,$B$2:$B$12000,0)=ROW()-1,1,0))</f>
        <v/>
      </c>
    </row>
    <row r="2113" customFormat="false" ht="15" hidden="false" customHeight="false" outlineLevel="0" collapsed="false">
      <c r="V2113" s="23" t="str">
        <f aca="false">IF(ISNUMBER(C2113),YEAR(C2113),"")</f>
        <v/>
      </c>
      <c r="W2113" s="23" t="str">
        <f aca="false">IF(ISNUMBER(C2113),MONTH(C2113),"")</f>
        <v/>
      </c>
      <c r="X2113" s="23" t="str">
        <f aca="false">IF(T2113="","",IF(T2113=0,"No discount",IF(T2113&lt;=0.2,"Low (1-20%)",IF(T2113&lt;=0.4,"Medium (21-40%)","High (&gt;40%)"))))</f>
        <v/>
      </c>
      <c r="Y2113" s="23" t="str">
        <f aca="false">IF(AND(ISNUMBER(C2113),ISNUMBER(D2113)),D2113-C2113,"")</f>
        <v/>
      </c>
      <c r="Z2113" s="23" t="str">
        <f aca="false">IF(B2113="","",IF(MATCH(B2113,$B$2:$B$12000,0)=ROW()-1,1,0))</f>
        <v/>
      </c>
    </row>
    <row r="2114" customFormat="false" ht="15" hidden="false" customHeight="false" outlineLevel="0" collapsed="false">
      <c r="V2114" s="23" t="str">
        <f aca="false">IF(ISNUMBER(C2114),YEAR(C2114),"")</f>
        <v/>
      </c>
      <c r="W2114" s="23" t="str">
        <f aca="false">IF(ISNUMBER(C2114),MONTH(C2114),"")</f>
        <v/>
      </c>
      <c r="X2114" s="23" t="str">
        <f aca="false">IF(T2114="","",IF(T2114=0,"No discount",IF(T2114&lt;=0.2,"Low (1-20%)",IF(T2114&lt;=0.4,"Medium (21-40%)","High (&gt;40%)"))))</f>
        <v/>
      </c>
      <c r="Y2114" s="23" t="str">
        <f aca="false">IF(AND(ISNUMBER(C2114),ISNUMBER(D2114)),D2114-C2114,"")</f>
        <v/>
      </c>
      <c r="Z2114" s="23" t="str">
        <f aca="false">IF(B2114="","",IF(MATCH(B2114,$B$2:$B$12000,0)=ROW()-1,1,0))</f>
        <v/>
      </c>
    </row>
    <row r="2115" customFormat="false" ht="15" hidden="false" customHeight="false" outlineLevel="0" collapsed="false">
      <c r="V2115" s="23" t="str">
        <f aca="false">IF(ISNUMBER(C2115),YEAR(C2115),"")</f>
        <v/>
      </c>
      <c r="W2115" s="23" t="str">
        <f aca="false">IF(ISNUMBER(C2115),MONTH(C2115),"")</f>
        <v/>
      </c>
      <c r="X2115" s="23" t="str">
        <f aca="false">IF(T2115="","",IF(T2115=0,"No discount",IF(T2115&lt;=0.2,"Low (1-20%)",IF(T2115&lt;=0.4,"Medium (21-40%)","High (&gt;40%)"))))</f>
        <v/>
      </c>
      <c r="Y2115" s="23" t="str">
        <f aca="false">IF(AND(ISNUMBER(C2115),ISNUMBER(D2115)),D2115-C2115,"")</f>
        <v/>
      </c>
      <c r="Z2115" s="23" t="str">
        <f aca="false">IF(B2115="","",IF(MATCH(B2115,$B$2:$B$12000,0)=ROW()-1,1,0))</f>
        <v/>
      </c>
    </row>
    <row r="2116" customFormat="false" ht="15" hidden="false" customHeight="false" outlineLevel="0" collapsed="false">
      <c r="V2116" s="23" t="str">
        <f aca="false">IF(ISNUMBER(C2116),YEAR(C2116),"")</f>
        <v/>
      </c>
      <c r="W2116" s="23" t="str">
        <f aca="false">IF(ISNUMBER(C2116),MONTH(C2116),"")</f>
        <v/>
      </c>
      <c r="X2116" s="23" t="str">
        <f aca="false">IF(T2116="","",IF(T2116=0,"No discount",IF(T2116&lt;=0.2,"Low (1-20%)",IF(T2116&lt;=0.4,"Medium (21-40%)","High (&gt;40%)"))))</f>
        <v/>
      </c>
      <c r="Y2116" s="23" t="str">
        <f aca="false">IF(AND(ISNUMBER(C2116),ISNUMBER(D2116)),D2116-C2116,"")</f>
        <v/>
      </c>
      <c r="Z2116" s="23" t="str">
        <f aca="false">IF(B2116="","",IF(MATCH(B2116,$B$2:$B$12000,0)=ROW()-1,1,0))</f>
        <v/>
      </c>
    </row>
    <row r="2117" customFormat="false" ht="15" hidden="false" customHeight="false" outlineLevel="0" collapsed="false">
      <c r="V2117" s="23" t="str">
        <f aca="false">IF(ISNUMBER(C2117),YEAR(C2117),"")</f>
        <v/>
      </c>
      <c r="W2117" s="23" t="str">
        <f aca="false">IF(ISNUMBER(C2117),MONTH(C2117),"")</f>
        <v/>
      </c>
      <c r="X2117" s="23" t="str">
        <f aca="false">IF(T2117="","",IF(T2117=0,"No discount",IF(T2117&lt;=0.2,"Low (1-20%)",IF(T2117&lt;=0.4,"Medium (21-40%)","High (&gt;40%)"))))</f>
        <v/>
      </c>
      <c r="Y2117" s="23" t="str">
        <f aca="false">IF(AND(ISNUMBER(C2117),ISNUMBER(D2117)),D2117-C2117,"")</f>
        <v/>
      </c>
      <c r="Z2117" s="23" t="str">
        <f aca="false">IF(B2117="","",IF(MATCH(B2117,$B$2:$B$12000,0)=ROW()-1,1,0))</f>
        <v/>
      </c>
    </row>
    <row r="2118" customFormat="false" ht="15" hidden="false" customHeight="false" outlineLevel="0" collapsed="false">
      <c r="V2118" s="23" t="str">
        <f aca="false">IF(ISNUMBER(C2118),YEAR(C2118),"")</f>
        <v/>
      </c>
      <c r="W2118" s="23" t="str">
        <f aca="false">IF(ISNUMBER(C2118),MONTH(C2118),"")</f>
        <v/>
      </c>
      <c r="X2118" s="23" t="str">
        <f aca="false">IF(T2118="","",IF(T2118=0,"No discount",IF(T2118&lt;=0.2,"Low (1-20%)",IF(T2118&lt;=0.4,"Medium (21-40%)","High (&gt;40%)"))))</f>
        <v/>
      </c>
      <c r="Y2118" s="23" t="str">
        <f aca="false">IF(AND(ISNUMBER(C2118),ISNUMBER(D2118)),D2118-C2118,"")</f>
        <v/>
      </c>
      <c r="Z2118" s="23" t="str">
        <f aca="false">IF(B2118="","",IF(MATCH(B2118,$B$2:$B$12000,0)=ROW()-1,1,0))</f>
        <v/>
      </c>
    </row>
    <row r="2119" customFormat="false" ht="15" hidden="false" customHeight="false" outlineLevel="0" collapsed="false">
      <c r="V2119" s="23" t="str">
        <f aca="false">IF(ISNUMBER(C2119),YEAR(C2119),"")</f>
        <v/>
      </c>
      <c r="W2119" s="23" t="str">
        <f aca="false">IF(ISNUMBER(C2119),MONTH(C2119),"")</f>
        <v/>
      </c>
      <c r="X2119" s="23" t="str">
        <f aca="false">IF(T2119="","",IF(T2119=0,"No discount",IF(T2119&lt;=0.2,"Low (1-20%)",IF(T2119&lt;=0.4,"Medium (21-40%)","High (&gt;40%)"))))</f>
        <v/>
      </c>
      <c r="Y2119" s="23" t="str">
        <f aca="false">IF(AND(ISNUMBER(C2119),ISNUMBER(D2119)),D2119-C2119,"")</f>
        <v/>
      </c>
      <c r="Z2119" s="23" t="str">
        <f aca="false">IF(B2119="","",IF(MATCH(B2119,$B$2:$B$12000,0)=ROW()-1,1,0))</f>
        <v/>
      </c>
    </row>
    <row r="2120" customFormat="false" ht="15" hidden="false" customHeight="false" outlineLevel="0" collapsed="false">
      <c r="V2120" s="23" t="str">
        <f aca="false">IF(ISNUMBER(C2120),YEAR(C2120),"")</f>
        <v/>
      </c>
      <c r="W2120" s="23" t="str">
        <f aca="false">IF(ISNUMBER(C2120),MONTH(C2120),"")</f>
        <v/>
      </c>
      <c r="X2120" s="23" t="str">
        <f aca="false">IF(T2120="","",IF(T2120=0,"No discount",IF(T2120&lt;=0.2,"Low (1-20%)",IF(T2120&lt;=0.4,"Medium (21-40%)","High (&gt;40%)"))))</f>
        <v/>
      </c>
      <c r="Y2120" s="23" t="str">
        <f aca="false">IF(AND(ISNUMBER(C2120),ISNUMBER(D2120)),D2120-C2120,"")</f>
        <v/>
      </c>
      <c r="Z2120" s="23" t="str">
        <f aca="false">IF(B2120="","",IF(MATCH(B2120,$B$2:$B$12000,0)=ROW()-1,1,0))</f>
        <v/>
      </c>
    </row>
    <row r="2121" customFormat="false" ht="15" hidden="false" customHeight="false" outlineLevel="0" collapsed="false">
      <c r="V2121" s="23" t="str">
        <f aca="false">IF(ISNUMBER(C2121),YEAR(C2121),"")</f>
        <v/>
      </c>
      <c r="W2121" s="23" t="str">
        <f aca="false">IF(ISNUMBER(C2121),MONTH(C2121),"")</f>
        <v/>
      </c>
      <c r="X2121" s="23" t="str">
        <f aca="false">IF(T2121="","",IF(T2121=0,"No discount",IF(T2121&lt;=0.2,"Low (1-20%)",IF(T2121&lt;=0.4,"Medium (21-40%)","High (&gt;40%)"))))</f>
        <v/>
      </c>
      <c r="Y2121" s="23" t="str">
        <f aca="false">IF(AND(ISNUMBER(C2121),ISNUMBER(D2121)),D2121-C2121,"")</f>
        <v/>
      </c>
      <c r="Z2121" s="23" t="str">
        <f aca="false">IF(B2121="","",IF(MATCH(B2121,$B$2:$B$12000,0)=ROW()-1,1,0))</f>
        <v/>
      </c>
    </row>
    <row r="2122" customFormat="false" ht="15" hidden="false" customHeight="false" outlineLevel="0" collapsed="false">
      <c r="V2122" s="23" t="str">
        <f aca="false">IF(ISNUMBER(C2122),YEAR(C2122),"")</f>
        <v/>
      </c>
      <c r="W2122" s="23" t="str">
        <f aca="false">IF(ISNUMBER(C2122),MONTH(C2122),"")</f>
        <v/>
      </c>
      <c r="X2122" s="23" t="str">
        <f aca="false">IF(T2122="","",IF(T2122=0,"No discount",IF(T2122&lt;=0.2,"Low (1-20%)",IF(T2122&lt;=0.4,"Medium (21-40%)","High (&gt;40%)"))))</f>
        <v/>
      </c>
      <c r="Y2122" s="23" t="str">
        <f aca="false">IF(AND(ISNUMBER(C2122),ISNUMBER(D2122)),D2122-C2122,"")</f>
        <v/>
      </c>
      <c r="Z2122" s="23" t="str">
        <f aca="false">IF(B2122="","",IF(MATCH(B2122,$B$2:$B$12000,0)=ROW()-1,1,0))</f>
        <v/>
      </c>
    </row>
    <row r="2123" customFormat="false" ht="15" hidden="false" customHeight="false" outlineLevel="0" collapsed="false">
      <c r="V2123" s="23" t="str">
        <f aca="false">IF(ISNUMBER(C2123),YEAR(C2123),"")</f>
        <v/>
      </c>
      <c r="W2123" s="23" t="str">
        <f aca="false">IF(ISNUMBER(C2123),MONTH(C2123),"")</f>
        <v/>
      </c>
      <c r="X2123" s="23" t="str">
        <f aca="false">IF(T2123="","",IF(T2123=0,"No discount",IF(T2123&lt;=0.2,"Low (1-20%)",IF(T2123&lt;=0.4,"Medium (21-40%)","High (&gt;40%)"))))</f>
        <v/>
      </c>
      <c r="Y2123" s="23" t="str">
        <f aca="false">IF(AND(ISNUMBER(C2123),ISNUMBER(D2123)),D2123-C2123,"")</f>
        <v/>
      </c>
      <c r="Z2123" s="23" t="str">
        <f aca="false">IF(B2123="","",IF(MATCH(B2123,$B$2:$B$12000,0)=ROW()-1,1,0))</f>
        <v/>
      </c>
    </row>
    <row r="2124" customFormat="false" ht="15" hidden="false" customHeight="false" outlineLevel="0" collapsed="false">
      <c r="V2124" s="23" t="str">
        <f aca="false">IF(ISNUMBER(C2124),YEAR(C2124),"")</f>
        <v/>
      </c>
      <c r="W2124" s="23" t="str">
        <f aca="false">IF(ISNUMBER(C2124),MONTH(C2124),"")</f>
        <v/>
      </c>
      <c r="X2124" s="23" t="str">
        <f aca="false">IF(T2124="","",IF(T2124=0,"No discount",IF(T2124&lt;=0.2,"Low (1-20%)",IF(T2124&lt;=0.4,"Medium (21-40%)","High (&gt;40%)"))))</f>
        <v/>
      </c>
      <c r="Y2124" s="23" t="str">
        <f aca="false">IF(AND(ISNUMBER(C2124),ISNUMBER(D2124)),D2124-C2124,"")</f>
        <v/>
      </c>
      <c r="Z2124" s="23" t="str">
        <f aca="false">IF(B2124="","",IF(MATCH(B2124,$B$2:$B$12000,0)=ROW()-1,1,0))</f>
        <v/>
      </c>
    </row>
    <row r="2125" customFormat="false" ht="15" hidden="false" customHeight="false" outlineLevel="0" collapsed="false">
      <c r="V2125" s="23" t="str">
        <f aca="false">IF(ISNUMBER(C2125),YEAR(C2125),"")</f>
        <v/>
      </c>
      <c r="W2125" s="23" t="str">
        <f aca="false">IF(ISNUMBER(C2125),MONTH(C2125),"")</f>
        <v/>
      </c>
      <c r="X2125" s="23" t="str">
        <f aca="false">IF(T2125="","",IF(T2125=0,"No discount",IF(T2125&lt;=0.2,"Low (1-20%)",IF(T2125&lt;=0.4,"Medium (21-40%)","High (&gt;40%)"))))</f>
        <v/>
      </c>
      <c r="Y2125" s="23" t="str">
        <f aca="false">IF(AND(ISNUMBER(C2125),ISNUMBER(D2125)),D2125-C2125,"")</f>
        <v/>
      </c>
      <c r="Z2125" s="23" t="str">
        <f aca="false">IF(B2125="","",IF(MATCH(B2125,$B$2:$B$12000,0)=ROW()-1,1,0))</f>
        <v/>
      </c>
    </row>
    <row r="2126" customFormat="false" ht="15" hidden="false" customHeight="false" outlineLevel="0" collapsed="false">
      <c r="V2126" s="23" t="str">
        <f aca="false">IF(ISNUMBER(C2126),YEAR(C2126),"")</f>
        <v/>
      </c>
      <c r="W2126" s="23" t="str">
        <f aca="false">IF(ISNUMBER(C2126),MONTH(C2126),"")</f>
        <v/>
      </c>
      <c r="X2126" s="23" t="str">
        <f aca="false">IF(T2126="","",IF(T2126=0,"No discount",IF(T2126&lt;=0.2,"Low (1-20%)",IF(T2126&lt;=0.4,"Medium (21-40%)","High (&gt;40%)"))))</f>
        <v/>
      </c>
      <c r="Y2126" s="23" t="str">
        <f aca="false">IF(AND(ISNUMBER(C2126),ISNUMBER(D2126)),D2126-C2126,"")</f>
        <v/>
      </c>
      <c r="Z2126" s="23" t="str">
        <f aca="false">IF(B2126="","",IF(MATCH(B2126,$B$2:$B$12000,0)=ROW()-1,1,0))</f>
        <v/>
      </c>
    </row>
    <row r="2127" customFormat="false" ht="15" hidden="false" customHeight="false" outlineLevel="0" collapsed="false">
      <c r="V2127" s="23" t="str">
        <f aca="false">IF(ISNUMBER(C2127),YEAR(C2127),"")</f>
        <v/>
      </c>
      <c r="W2127" s="23" t="str">
        <f aca="false">IF(ISNUMBER(C2127),MONTH(C2127),"")</f>
        <v/>
      </c>
      <c r="X2127" s="23" t="str">
        <f aca="false">IF(T2127="","",IF(T2127=0,"No discount",IF(T2127&lt;=0.2,"Low (1-20%)",IF(T2127&lt;=0.4,"Medium (21-40%)","High (&gt;40%)"))))</f>
        <v/>
      </c>
      <c r="Y2127" s="23" t="str">
        <f aca="false">IF(AND(ISNUMBER(C2127),ISNUMBER(D2127)),D2127-C2127,"")</f>
        <v/>
      </c>
      <c r="Z2127" s="23" t="str">
        <f aca="false">IF(B2127="","",IF(MATCH(B2127,$B$2:$B$12000,0)=ROW()-1,1,0))</f>
        <v/>
      </c>
    </row>
    <row r="2128" customFormat="false" ht="15" hidden="false" customHeight="false" outlineLevel="0" collapsed="false">
      <c r="V2128" s="23" t="str">
        <f aca="false">IF(ISNUMBER(C2128),YEAR(C2128),"")</f>
        <v/>
      </c>
      <c r="W2128" s="23" t="str">
        <f aca="false">IF(ISNUMBER(C2128),MONTH(C2128),"")</f>
        <v/>
      </c>
      <c r="X2128" s="23" t="str">
        <f aca="false">IF(T2128="","",IF(T2128=0,"No discount",IF(T2128&lt;=0.2,"Low (1-20%)",IF(T2128&lt;=0.4,"Medium (21-40%)","High (&gt;40%)"))))</f>
        <v/>
      </c>
      <c r="Y2128" s="23" t="str">
        <f aca="false">IF(AND(ISNUMBER(C2128),ISNUMBER(D2128)),D2128-C2128,"")</f>
        <v/>
      </c>
      <c r="Z2128" s="23" t="str">
        <f aca="false">IF(B2128="","",IF(MATCH(B2128,$B$2:$B$12000,0)=ROW()-1,1,0))</f>
        <v/>
      </c>
    </row>
    <row r="2129" customFormat="false" ht="15" hidden="false" customHeight="false" outlineLevel="0" collapsed="false">
      <c r="V2129" s="23" t="str">
        <f aca="false">IF(ISNUMBER(C2129),YEAR(C2129),"")</f>
        <v/>
      </c>
      <c r="W2129" s="23" t="str">
        <f aca="false">IF(ISNUMBER(C2129),MONTH(C2129),"")</f>
        <v/>
      </c>
      <c r="X2129" s="23" t="str">
        <f aca="false">IF(T2129="","",IF(T2129=0,"No discount",IF(T2129&lt;=0.2,"Low (1-20%)",IF(T2129&lt;=0.4,"Medium (21-40%)","High (&gt;40%)"))))</f>
        <v/>
      </c>
      <c r="Y2129" s="23" t="str">
        <f aca="false">IF(AND(ISNUMBER(C2129),ISNUMBER(D2129)),D2129-C2129,"")</f>
        <v/>
      </c>
      <c r="Z2129" s="23" t="str">
        <f aca="false">IF(B2129="","",IF(MATCH(B2129,$B$2:$B$12000,0)=ROW()-1,1,0))</f>
        <v/>
      </c>
    </row>
    <row r="2130" customFormat="false" ht="15" hidden="false" customHeight="false" outlineLevel="0" collapsed="false">
      <c r="V2130" s="23" t="str">
        <f aca="false">IF(ISNUMBER(C2130),YEAR(C2130),"")</f>
        <v/>
      </c>
      <c r="W2130" s="23" t="str">
        <f aca="false">IF(ISNUMBER(C2130),MONTH(C2130),"")</f>
        <v/>
      </c>
      <c r="X2130" s="23" t="str">
        <f aca="false">IF(T2130="","",IF(T2130=0,"No discount",IF(T2130&lt;=0.2,"Low (1-20%)",IF(T2130&lt;=0.4,"Medium (21-40%)","High (&gt;40%)"))))</f>
        <v/>
      </c>
      <c r="Y2130" s="23" t="str">
        <f aca="false">IF(AND(ISNUMBER(C2130),ISNUMBER(D2130)),D2130-C2130,"")</f>
        <v/>
      </c>
      <c r="Z2130" s="23" t="str">
        <f aca="false">IF(B2130="","",IF(MATCH(B2130,$B$2:$B$12000,0)=ROW()-1,1,0))</f>
        <v/>
      </c>
    </row>
    <row r="2131" customFormat="false" ht="15" hidden="false" customHeight="false" outlineLevel="0" collapsed="false">
      <c r="V2131" s="23" t="str">
        <f aca="false">IF(ISNUMBER(C2131),YEAR(C2131),"")</f>
        <v/>
      </c>
      <c r="W2131" s="23" t="str">
        <f aca="false">IF(ISNUMBER(C2131),MONTH(C2131),"")</f>
        <v/>
      </c>
      <c r="X2131" s="23" t="str">
        <f aca="false">IF(T2131="","",IF(T2131=0,"No discount",IF(T2131&lt;=0.2,"Low (1-20%)",IF(T2131&lt;=0.4,"Medium (21-40%)","High (&gt;40%)"))))</f>
        <v/>
      </c>
      <c r="Y2131" s="23" t="str">
        <f aca="false">IF(AND(ISNUMBER(C2131),ISNUMBER(D2131)),D2131-C2131,"")</f>
        <v/>
      </c>
      <c r="Z2131" s="23" t="str">
        <f aca="false">IF(B2131="","",IF(MATCH(B2131,$B$2:$B$12000,0)=ROW()-1,1,0))</f>
        <v/>
      </c>
    </row>
    <row r="2132" customFormat="false" ht="15" hidden="false" customHeight="false" outlineLevel="0" collapsed="false">
      <c r="V2132" s="23" t="str">
        <f aca="false">IF(ISNUMBER(C2132),YEAR(C2132),"")</f>
        <v/>
      </c>
      <c r="W2132" s="23" t="str">
        <f aca="false">IF(ISNUMBER(C2132),MONTH(C2132),"")</f>
        <v/>
      </c>
      <c r="X2132" s="23" t="str">
        <f aca="false">IF(T2132="","",IF(T2132=0,"No discount",IF(T2132&lt;=0.2,"Low (1-20%)",IF(T2132&lt;=0.4,"Medium (21-40%)","High (&gt;40%)"))))</f>
        <v/>
      </c>
      <c r="Y2132" s="23" t="str">
        <f aca="false">IF(AND(ISNUMBER(C2132),ISNUMBER(D2132)),D2132-C2132,"")</f>
        <v/>
      </c>
      <c r="Z2132" s="23" t="str">
        <f aca="false">IF(B2132="","",IF(MATCH(B2132,$B$2:$B$12000,0)=ROW()-1,1,0))</f>
        <v/>
      </c>
    </row>
    <row r="2133" customFormat="false" ht="15" hidden="false" customHeight="false" outlineLevel="0" collapsed="false">
      <c r="V2133" s="23" t="str">
        <f aca="false">IF(ISNUMBER(C2133),YEAR(C2133),"")</f>
        <v/>
      </c>
      <c r="W2133" s="23" t="str">
        <f aca="false">IF(ISNUMBER(C2133),MONTH(C2133),"")</f>
        <v/>
      </c>
      <c r="X2133" s="23" t="str">
        <f aca="false">IF(T2133="","",IF(T2133=0,"No discount",IF(T2133&lt;=0.2,"Low (1-20%)",IF(T2133&lt;=0.4,"Medium (21-40%)","High (&gt;40%)"))))</f>
        <v/>
      </c>
      <c r="Y2133" s="23" t="str">
        <f aca="false">IF(AND(ISNUMBER(C2133),ISNUMBER(D2133)),D2133-C2133,"")</f>
        <v/>
      </c>
      <c r="Z2133" s="23" t="str">
        <f aca="false">IF(B2133="","",IF(MATCH(B2133,$B$2:$B$12000,0)=ROW()-1,1,0))</f>
        <v/>
      </c>
    </row>
    <row r="2134" customFormat="false" ht="15" hidden="false" customHeight="false" outlineLevel="0" collapsed="false">
      <c r="V2134" s="23" t="str">
        <f aca="false">IF(ISNUMBER(C2134),YEAR(C2134),"")</f>
        <v/>
      </c>
      <c r="W2134" s="23" t="str">
        <f aca="false">IF(ISNUMBER(C2134),MONTH(C2134),"")</f>
        <v/>
      </c>
      <c r="X2134" s="23" t="str">
        <f aca="false">IF(T2134="","",IF(T2134=0,"No discount",IF(T2134&lt;=0.2,"Low (1-20%)",IF(T2134&lt;=0.4,"Medium (21-40%)","High (&gt;40%)"))))</f>
        <v/>
      </c>
      <c r="Y2134" s="23" t="str">
        <f aca="false">IF(AND(ISNUMBER(C2134),ISNUMBER(D2134)),D2134-C2134,"")</f>
        <v/>
      </c>
      <c r="Z2134" s="23" t="str">
        <f aca="false">IF(B2134="","",IF(MATCH(B2134,$B$2:$B$12000,0)=ROW()-1,1,0))</f>
        <v/>
      </c>
    </row>
    <row r="2135" customFormat="false" ht="15" hidden="false" customHeight="false" outlineLevel="0" collapsed="false">
      <c r="V2135" s="23" t="str">
        <f aca="false">IF(ISNUMBER(C2135),YEAR(C2135),"")</f>
        <v/>
      </c>
      <c r="W2135" s="23" t="str">
        <f aca="false">IF(ISNUMBER(C2135),MONTH(C2135),"")</f>
        <v/>
      </c>
      <c r="X2135" s="23" t="str">
        <f aca="false">IF(T2135="","",IF(T2135=0,"No discount",IF(T2135&lt;=0.2,"Low (1-20%)",IF(T2135&lt;=0.4,"Medium (21-40%)","High (&gt;40%)"))))</f>
        <v/>
      </c>
      <c r="Y2135" s="23" t="str">
        <f aca="false">IF(AND(ISNUMBER(C2135),ISNUMBER(D2135)),D2135-C2135,"")</f>
        <v/>
      </c>
      <c r="Z2135" s="23" t="str">
        <f aca="false">IF(B2135="","",IF(MATCH(B2135,$B$2:$B$12000,0)=ROW()-1,1,0))</f>
        <v/>
      </c>
    </row>
    <row r="2136" customFormat="false" ht="15" hidden="false" customHeight="false" outlineLevel="0" collapsed="false">
      <c r="V2136" s="23" t="str">
        <f aca="false">IF(ISNUMBER(C2136),YEAR(C2136),"")</f>
        <v/>
      </c>
      <c r="W2136" s="23" t="str">
        <f aca="false">IF(ISNUMBER(C2136),MONTH(C2136),"")</f>
        <v/>
      </c>
      <c r="X2136" s="23" t="str">
        <f aca="false">IF(T2136="","",IF(T2136=0,"No discount",IF(T2136&lt;=0.2,"Low (1-20%)",IF(T2136&lt;=0.4,"Medium (21-40%)","High (&gt;40%)"))))</f>
        <v/>
      </c>
      <c r="Y2136" s="23" t="str">
        <f aca="false">IF(AND(ISNUMBER(C2136),ISNUMBER(D2136)),D2136-C2136,"")</f>
        <v/>
      </c>
      <c r="Z2136" s="23" t="str">
        <f aca="false">IF(B2136="","",IF(MATCH(B2136,$B$2:$B$12000,0)=ROW()-1,1,0))</f>
        <v/>
      </c>
    </row>
    <row r="2137" customFormat="false" ht="15" hidden="false" customHeight="false" outlineLevel="0" collapsed="false">
      <c r="V2137" s="23" t="str">
        <f aca="false">IF(ISNUMBER(C2137),YEAR(C2137),"")</f>
        <v/>
      </c>
      <c r="W2137" s="23" t="str">
        <f aca="false">IF(ISNUMBER(C2137),MONTH(C2137),"")</f>
        <v/>
      </c>
      <c r="X2137" s="23" t="str">
        <f aca="false">IF(T2137="","",IF(T2137=0,"No discount",IF(T2137&lt;=0.2,"Low (1-20%)",IF(T2137&lt;=0.4,"Medium (21-40%)","High (&gt;40%)"))))</f>
        <v/>
      </c>
      <c r="Y2137" s="23" t="str">
        <f aca="false">IF(AND(ISNUMBER(C2137),ISNUMBER(D2137)),D2137-C2137,"")</f>
        <v/>
      </c>
      <c r="Z2137" s="23" t="str">
        <f aca="false">IF(B2137="","",IF(MATCH(B2137,$B$2:$B$12000,0)=ROW()-1,1,0))</f>
        <v/>
      </c>
    </row>
    <row r="2138" customFormat="false" ht="15" hidden="false" customHeight="false" outlineLevel="0" collapsed="false">
      <c r="V2138" s="23" t="str">
        <f aca="false">IF(ISNUMBER(C2138),YEAR(C2138),"")</f>
        <v/>
      </c>
      <c r="W2138" s="23" t="str">
        <f aca="false">IF(ISNUMBER(C2138),MONTH(C2138),"")</f>
        <v/>
      </c>
      <c r="X2138" s="23" t="str">
        <f aca="false">IF(T2138="","",IF(T2138=0,"No discount",IF(T2138&lt;=0.2,"Low (1-20%)",IF(T2138&lt;=0.4,"Medium (21-40%)","High (&gt;40%)"))))</f>
        <v/>
      </c>
      <c r="Y2138" s="23" t="str">
        <f aca="false">IF(AND(ISNUMBER(C2138),ISNUMBER(D2138)),D2138-C2138,"")</f>
        <v/>
      </c>
      <c r="Z2138" s="23" t="str">
        <f aca="false">IF(B2138="","",IF(MATCH(B2138,$B$2:$B$12000,0)=ROW()-1,1,0))</f>
        <v/>
      </c>
    </row>
    <row r="2139" customFormat="false" ht="15" hidden="false" customHeight="false" outlineLevel="0" collapsed="false">
      <c r="V2139" s="23" t="str">
        <f aca="false">IF(ISNUMBER(C2139),YEAR(C2139),"")</f>
        <v/>
      </c>
      <c r="W2139" s="23" t="str">
        <f aca="false">IF(ISNUMBER(C2139),MONTH(C2139),"")</f>
        <v/>
      </c>
      <c r="X2139" s="23" t="str">
        <f aca="false">IF(T2139="","",IF(T2139=0,"No discount",IF(T2139&lt;=0.2,"Low (1-20%)",IF(T2139&lt;=0.4,"Medium (21-40%)","High (&gt;40%)"))))</f>
        <v/>
      </c>
      <c r="Y2139" s="23" t="str">
        <f aca="false">IF(AND(ISNUMBER(C2139),ISNUMBER(D2139)),D2139-C2139,"")</f>
        <v/>
      </c>
      <c r="Z2139" s="23" t="str">
        <f aca="false">IF(B2139="","",IF(MATCH(B2139,$B$2:$B$12000,0)=ROW()-1,1,0))</f>
        <v/>
      </c>
    </row>
    <row r="2140" customFormat="false" ht="15" hidden="false" customHeight="false" outlineLevel="0" collapsed="false">
      <c r="V2140" s="23" t="str">
        <f aca="false">IF(ISNUMBER(C2140),YEAR(C2140),"")</f>
        <v/>
      </c>
      <c r="W2140" s="23" t="str">
        <f aca="false">IF(ISNUMBER(C2140),MONTH(C2140),"")</f>
        <v/>
      </c>
      <c r="X2140" s="23" t="str">
        <f aca="false">IF(T2140="","",IF(T2140=0,"No discount",IF(T2140&lt;=0.2,"Low (1-20%)",IF(T2140&lt;=0.4,"Medium (21-40%)","High (&gt;40%)"))))</f>
        <v/>
      </c>
      <c r="Y2140" s="23" t="str">
        <f aca="false">IF(AND(ISNUMBER(C2140),ISNUMBER(D2140)),D2140-C2140,"")</f>
        <v/>
      </c>
      <c r="Z2140" s="23" t="str">
        <f aca="false">IF(B2140="","",IF(MATCH(B2140,$B$2:$B$12000,0)=ROW()-1,1,0))</f>
        <v/>
      </c>
    </row>
    <row r="2141" customFormat="false" ht="15" hidden="false" customHeight="false" outlineLevel="0" collapsed="false">
      <c r="V2141" s="23" t="str">
        <f aca="false">IF(ISNUMBER(C2141),YEAR(C2141),"")</f>
        <v/>
      </c>
      <c r="W2141" s="23" t="str">
        <f aca="false">IF(ISNUMBER(C2141),MONTH(C2141),"")</f>
        <v/>
      </c>
      <c r="X2141" s="23" t="str">
        <f aca="false">IF(T2141="","",IF(T2141=0,"No discount",IF(T2141&lt;=0.2,"Low (1-20%)",IF(T2141&lt;=0.4,"Medium (21-40%)","High (&gt;40%)"))))</f>
        <v/>
      </c>
      <c r="Y2141" s="23" t="str">
        <f aca="false">IF(AND(ISNUMBER(C2141),ISNUMBER(D2141)),D2141-C2141,"")</f>
        <v/>
      </c>
      <c r="Z2141" s="23" t="str">
        <f aca="false">IF(B2141="","",IF(MATCH(B2141,$B$2:$B$12000,0)=ROW()-1,1,0))</f>
        <v/>
      </c>
    </row>
    <row r="2142" customFormat="false" ht="15" hidden="false" customHeight="false" outlineLevel="0" collapsed="false">
      <c r="V2142" s="23" t="str">
        <f aca="false">IF(ISNUMBER(C2142),YEAR(C2142),"")</f>
        <v/>
      </c>
      <c r="W2142" s="23" t="str">
        <f aca="false">IF(ISNUMBER(C2142),MONTH(C2142),"")</f>
        <v/>
      </c>
      <c r="X2142" s="23" t="str">
        <f aca="false">IF(T2142="","",IF(T2142=0,"No discount",IF(T2142&lt;=0.2,"Low (1-20%)",IF(T2142&lt;=0.4,"Medium (21-40%)","High (&gt;40%)"))))</f>
        <v/>
      </c>
      <c r="Y2142" s="23" t="str">
        <f aca="false">IF(AND(ISNUMBER(C2142),ISNUMBER(D2142)),D2142-C2142,"")</f>
        <v/>
      </c>
      <c r="Z2142" s="23" t="str">
        <f aca="false">IF(B2142="","",IF(MATCH(B2142,$B$2:$B$12000,0)=ROW()-1,1,0))</f>
        <v/>
      </c>
    </row>
    <row r="2143" customFormat="false" ht="15" hidden="false" customHeight="false" outlineLevel="0" collapsed="false">
      <c r="V2143" s="23" t="str">
        <f aca="false">IF(ISNUMBER(C2143),YEAR(C2143),"")</f>
        <v/>
      </c>
      <c r="W2143" s="23" t="str">
        <f aca="false">IF(ISNUMBER(C2143),MONTH(C2143),"")</f>
        <v/>
      </c>
      <c r="X2143" s="23" t="str">
        <f aca="false">IF(T2143="","",IF(T2143=0,"No discount",IF(T2143&lt;=0.2,"Low (1-20%)",IF(T2143&lt;=0.4,"Medium (21-40%)","High (&gt;40%)"))))</f>
        <v/>
      </c>
      <c r="Y2143" s="23" t="str">
        <f aca="false">IF(AND(ISNUMBER(C2143),ISNUMBER(D2143)),D2143-C2143,"")</f>
        <v/>
      </c>
      <c r="Z2143" s="23" t="str">
        <f aca="false">IF(B2143="","",IF(MATCH(B2143,$B$2:$B$12000,0)=ROW()-1,1,0))</f>
        <v/>
      </c>
    </row>
    <row r="2144" customFormat="false" ht="15" hidden="false" customHeight="false" outlineLevel="0" collapsed="false">
      <c r="V2144" s="23" t="str">
        <f aca="false">IF(ISNUMBER(C2144),YEAR(C2144),"")</f>
        <v/>
      </c>
      <c r="W2144" s="23" t="str">
        <f aca="false">IF(ISNUMBER(C2144),MONTH(C2144),"")</f>
        <v/>
      </c>
      <c r="X2144" s="23" t="str">
        <f aca="false">IF(T2144="","",IF(T2144=0,"No discount",IF(T2144&lt;=0.2,"Low (1-20%)",IF(T2144&lt;=0.4,"Medium (21-40%)","High (&gt;40%)"))))</f>
        <v/>
      </c>
      <c r="Y2144" s="23" t="str">
        <f aca="false">IF(AND(ISNUMBER(C2144),ISNUMBER(D2144)),D2144-C2144,"")</f>
        <v/>
      </c>
      <c r="Z2144" s="23" t="str">
        <f aca="false">IF(B2144="","",IF(MATCH(B2144,$B$2:$B$12000,0)=ROW()-1,1,0))</f>
        <v/>
      </c>
    </row>
    <row r="2145" customFormat="false" ht="15" hidden="false" customHeight="false" outlineLevel="0" collapsed="false">
      <c r="V2145" s="23" t="str">
        <f aca="false">IF(ISNUMBER(C2145),YEAR(C2145),"")</f>
        <v/>
      </c>
      <c r="W2145" s="23" t="str">
        <f aca="false">IF(ISNUMBER(C2145),MONTH(C2145),"")</f>
        <v/>
      </c>
      <c r="X2145" s="23" t="str">
        <f aca="false">IF(T2145="","",IF(T2145=0,"No discount",IF(T2145&lt;=0.2,"Low (1-20%)",IF(T2145&lt;=0.4,"Medium (21-40%)","High (&gt;40%)"))))</f>
        <v/>
      </c>
      <c r="Y2145" s="23" t="str">
        <f aca="false">IF(AND(ISNUMBER(C2145),ISNUMBER(D2145)),D2145-C2145,"")</f>
        <v/>
      </c>
      <c r="Z2145" s="23" t="str">
        <f aca="false">IF(B2145="","",IF(MATCH(B2145,$B$2:$B$12000,0)=ROW()-1,1,0))</f>
        <v/>
      </c>
    </row>
    <row r="2146" customFormat="false" ht="15" hidden="false" customHeight="false" outlineLevel="0" collapsed="false">
      <c r="V2146" s="23" t="str">
        <f aca="false">IF(ISNUMBER(C2146),YEAR(C2146),"")</f>
        <v/>
      </c>
      <c r="W2146" s="23" t="str">
        <f aca="false">IF(ISNUMBER(C2146),MONTH(C2146),"")</f>
        <v/>
      </c>
      <c r="X2146" s="23" t="str">
        <f aca="false">IF(T2146="","",IF(T2146=0,"No discount",IF(T2146&lt;=0.2,"Low (1-20%)",IF(T2146&lt;=0.4,"Medium (21-40%)","High (&gt;40%)"))))</f>
        <v/>
      </c>
      <c r="Y2146" s="23" t="str">
        <f aca="false">IF(AND(ISNUMBER(C2146),ISNUMBER(D2146)),D2146-C2146,"")</f>
        <v/>
      </c>
      <c r="Z2146" s="23" t="str">
        <f aca="false">IF(B2146="","",IF(MATCH(B2146,$B$2:$B$12000,0)=ROW()-1,1,0))</f>
        <v/>
      </c>
    </row>
    <row r="2147" customFormat="false" ht="15" hidden="false" customHeight="false" outlineLevel="0" collapsed="false">
      <c r="V2147" s="23" t="str">
        <f aca="false">IF(ISNUMBER(C2147),YEAR(C2147),"")</f>
        <v/>
      </c>
      <c r="W2147" s="23" t="str">
        <f aca="false">IF(ISNUMBER(C2147),MONTH(C2147),"")</f>
        <v/>
      </c>
      <c r="X2147" s="23" t="str">
        <f aca="false">IF(T2147="","",IF(T2147=0,"No discount",IF(T2147&lt;=0.2,"Low (1-20%)",IF(T2147&lt;=0.4,"Medium (21-40%)","High (&gt;40%)"))))</f>
        <v/>
      </c>
      <c r="Y2147" s="23" t="str">
        <f aca="false">IF(AND(ISNUMBER(C2147),ISNUMBER(D2147)),D2147-C2147,"")</f>
        <v/>
      </c>
      <c r="Z2147" s="23" t="str">
        <f aca="false">IF(B2147="","",IF(MATCH(B2147,$B$2:$B$12000,0)=ROW()-1,1,0))</f>
        <v/>
      </c>
    </row>
    <row r="2148" customFormat="false" ht="15" hidden="false" customHeight="false" outlineLevel="0" collapsed="false">
      <c r="V2148" s="23" t="str">
        <f aca="false">IF(ISNUMBER(C2148),YEAR(C2148),"")</f>
        <v/>
      </c>
      <c r="W2148" s="23" t="str">
        <f aca="false">IF(ISNUMBER(C2148),MONTH(C2148),"")</f>
        <v/>
      </c>
      <c r="X2148" s="23" t="str">
        <f aca="false">IF(T2148="","",IF(T2148=0,"No discount",IF(T2148&lt;=0.2,"Low (1-20%)",IF(T2148&lt;=0.4,"Medium (21-40%)","High (&gt;40%)"))))</f>
        <v/>
      </c>
      <c r="Y2148" s="23" t="str">
        <f aca="false">IF(AND(ISNUMBER(C2148),ISNUMBER(D2148)),D2148-C2148,"")</f>
        <v/>
      </c>
      <c r="Z2148" s="23" t="str">
        <f aca="false">IF(B2148="","",IF(MATCH(B2148,$B$2:$B$12000,0)=ROW()-1,1,0))</f>
        <v/>
      </c>
    </row>
    <row r="2149" customFormat="false" ht="15" hidden="false" customHeight="false" outlineLevel="0" collapsed="false">
      <c r="V2149" s="23" t="str">
        <f aca="false">IF(ISNUMBER(C2149),YEAR(C2149),"")</f>
        <v/>
      </c>
      <c r="W2149" s="23" t="str">
        <f aca="false">IF(ISNUMBER(C2149),MONTH(C2149),"")</f>
        <v/>
      </c>
      <c r="X2149" s="23" t="str">
        <f aca="false">IF(T2149="","",IF(T2149=0,"No discount",IF(T2149&lt;=0.2,"Low (1-20%)",IF(T2149&lt;=0.4,"Medium (21-40%)","High (&gt;40%)"))))</f>
        <v/>
      </c>
      <c r="Y2149" s="23" t="str">
        <f aca="false">IF(AND(ISNUMBER(C2149),ISNUMBER(D2149)),D2149-C2149,"")</f>
        <v/>
      </c>
      <c r="Z2149" s="23" t="str">
        <f aca="false">IF(B2149="","",IF(MATCH(B2149,$B$2:$B$12000,0)=ROW()-1,1,0))</f>
        <v/>
      </c>
    </row>
    <row r="2150" customFormat="false" ht="15" hidden="false" customHeight="false" outlineLevel="0" collapsed="false">
      <c r="V2150" s="23" t="str">
        <f aca="false">IF(ISNUMBER(C2150),YEAR(C2150),"")</f>
        <v/>
      </c>
      <c r="W2150" s="23" t="str">
        <f aca="false">IF(ISNUMBER(C2150),MONTH(C2150),"")</f>
        <v/>
      </c>
      <c r="X2150" s="23" t="str">
        <f aca="false">IF(T2150="","",IF(T2150=0,"No discount",IF(T2150&lt;=0.2,"Low (1-20%)",IF(T2150&lt;=0.4,"Medium (21-40%)","High (&gt;40%)"))))</f>
        <v/>
      </c>
      <c r="Y2150" s="23" t="str">
        <f aca="false">IF(AND(ISNUMBER(C2150),ISNUMBER(D2150)),D2150-C2150,"")</f>
        <v/>
      </c>
      <c r="Z2150" s="23" t="str">
        <f aca="false">IF(B2150="","",IF(MATCH(B2150,$B$2:$B$12000,0)=ROW()-1,1,0))</f>
        <v/>
      </c>
    </row>
    <row r="2151" customFormat="false" ht="15" hidden="false" customHeight="false" outlineLevel="0" collapsed="false">
      <c r="V2151" s="23" t="str">
        <f aca="false">IF(ISNUMBER(C2151),YEAR(C2151),"")</f>
        <v/>
      </c>
      <c r="W2151" s="23" t="str">
        <f aca="false">IF(ISNUMBER(C2151),MONTH(C2151),"")</f>
        <v/>
      </c>
      <c r="X2151" s="23" t="str">
        <f aca="false">IF(T2151="","",IF(T2151=0,"No discount",IF(T2151&lt;=0.2,"Low (1-20%)",IF(T2151&lt;=0.4,"Medium (21-40%)","High (&gt;40%)"))))</f>
        <v/>
      </c>
      <c r="Y2151" s="23" t="str">
        <f aca="false">IF(AND(ISNUMBER(C2151),ISNUMBER(D2151)),D2151-C2151,"")</f>
        <v/>
      </c>
      <c r="Z2151" s="23" t="str">
        <f aca="false">IF(B2151="","",IF(MATCH(B2151,$B$2:$B$12000,0)=ROW()-1,1,0))</f>
        <v/>
      </c>
    </row>
    <row r="2152" customFormat="false" ht="15" hidden="false" customHeight="false" outlineLevel="0" collapsed="false">
      <c r="V2152" s="23" t="str">
        <f aca="false">IF(ISNUMBER(C2152),YEAR(C2152),"")</f>
        <v/>
      </c>
      <c r="W2152" s="23" t="str">
        <f aca="false">IF(ISNUMBER(C2152),MONTH(C2152),"")</f>
        <v/>
      </c>
      <c r="X2152" s="23" t="str">
        <f aca="false">IF(T2152="","",IF(T2152=0,"No discount",IF(T2152&lt;=0.2,"Low (1-20%)",IF(T2152&lt;=0.4,"Medium (21-40%)","High (&gt;40%)"))))</f>
        <v/>
      </c>
      <c r="Y2152" s="23" t="str">
        <f aca="false">IF(AND(ISNUMBER(C2152),ISNUMBER(D2152)),D2152-C2152,"")</f>
        <v/>
      </c>
      <c r="Z2152" s="23" t="str">
        <f aca="false">IF(B2152="","",IF(MATCH(B2152,$B$2:$B$12000,0)=ROW()-1,1,0))</f>
        <v/>
      </c>
    </row>
    <row r="2153" customFormat="false" ht="15" hidden="false" customHeight="false" outlineLevel="0" collapsed="false">
      <c r="V2153" s="23" t="str">
        <f aca="false">IF(ISNUMBER(C2153),YEAR(C2153),"")</f>
        <v/>
      </c>
      <c r="W2153" s="23" t="str">
        <f aca="false">IF(ISNUMBER(C2153),MONTH(C2153),"")</f>
        <v/>
      </c>
      <c r="X2153" s="23" t="str">
        <f aca="false">IF(T2153="","",IF(T2153=0,"No discount",IF(T2153&lt;=0.2,"Low (1-20%)",IF(T2153&lt;=0.4,"Medium (21-40%)","High (&gt;40%)"))))</f>
        <v/>
      </c>
      <c r="Y2153" s="23" t="str">
        <f aca="false">IF(AND(ISNUMBER(C2153),ISNUMBER(D2153)),D2153-C2153,"")</f>
        <v/>
      </c>
      <c r="Z2153" s="23" t="str">
        <f aca="false">IF(B2153="","",IF(MATCH(B2153,$B$2:$B$12000,0)=ROW()-1,1,0))</f>
        <v/>
      </c>
    </row>
    <row r="2154" customFormat="false" ht="15" hidden="false" customHeight="false" outlineLevel="0" collapsed="false">
      <c r="V2154" s="23" t="str">
        <f aca="false">IF(ISNUMBER(C2154),YEAR(C2154),"")</f>
        <v/>
      </c>
      <c r="W2154" s="23" t="str">
        <f aca="false">IF(ISNUMBER(C2154),MONTH(C2154),"")</f>
        <v/>
      </c>
      <c r="X2154" s="23" t="str">
        <f aca="false">IF(T2154="","",IF(T2154=0,"No discount",IF(T2154&lt;=0.2,"Low (1-20%)",IF(T2154&lt;=0.4,"Medium (21-40%)","High (&gt;40%)"))))</f>
        <v/>
      </c>
      <c r="Y2154" s="23" t="str">
        <f aca="false">IF(AND(ISNUMBER(C2154),ISNUMBER(D2154)),D2154-C2154,"")</f>
        <v/>
      </c>
      <c r="Z2154" s="23" t="str">
        <f aca="false">IF(B2154="","",IF(MATCH(B2154,$B$2:$B$12000,0)=ROW()-1,1,0))</f>
        <v/>
      </c>
    </row>
    <row r="2155" customFormat="false" ht="15" hidden="false" customHeight="false" outlineLevel="0" collapsed="false">
      <c r="V2155" s="23" t="str">
        <f aca="false">IF(ISNUMBER(C2155),YEAR(C2155),"")</f>
        <v/>
      </c>
      <c r="W2155" s="23" t="str">
        <f aca="false">IF(ISNUMBER(C2155),MONTH(C2155),"")</f>
        <v/>
      </c>
      <c r="X2155" s="23" t="str">
        <f aca="false">IF(T2155="","",IF(T2155=0,"No discount",IF(T2155&lt;=0.2,"Low (1-20%)",IF(T2155&lt;=0.4,"Medium (21-40%)","High (&gt;40%)"))))</f>
        <v/>
      </c>
      <c r="Y2155" s="23" t="str">
        <f aca="false">IF(AND(ISNUMBER(C2155),ISNUMBER(D2155)),D2155-C2155,"")</f>
        <v/>
      </c>
      <c r="Z2155" s="23" t="str">
        <f aca="false">IF(B2155="","",IF(MATCH(B2155,$B$2:$B$12000,0)=ROW()-1,1,0))</f>
        <v/>
      </c>
    </row>
    <row r="2156" customFormat="false" ht="15" hidden="false" customHeight="false" outlineLevel="0" collapsed="false">
      <c r="V2156" s="23" t="str">
        <f aca="false">IF(ISNUMBER(C2156),YEAR(C2156),"")</f>
        <v/>
      </c>
      <c r="W2156" s="23" t="str">
        <f aca="false">IF(ISNUMBER(C2156),MONTH(C2156),"")</f>
        <v/>
      </c>
      <c r="X2156" s="23" t="str">
        <f aca="false">IF(T2156="","",IF(T2156=0,"No discount",IF(T2156&lt;=0.2,"Low (1-20%)",IF(T2156&lt;=0.4,"Medium (21-40%)","High (&gt;40%)"))))</f>
        <v/>
      </c>
      <c r="Y2156" s="23" t="str">
        <f aca="false">IF(AND(ISNUMBER(C2156),ISNUMBER(D2156)),D2156-C2156,"")</f>
        <v/>
      </c>
      <c r="Z2156" s="23" t="str">
        <f aca="false">IF(B2156="","",IF(MATCH(B2156,$B$2:$B$12000,0)=ROW()-1,1,0))</f>
        <v/>
      </c>
    </row>
    <row r="2157" customFormat="false" ht="15" hidden="false" customHeight="false" outlineLevel="0" collapsed="false">
      <c r="V2157" s="23" t="str">
        <f aca="false">IF(ISNUMBER(C2157),YEAR(C2157),"")</f>
        <v/>
      </c>
      <c r="W2157" s="23" t="str">
        <f aca="false">IF(ISNUMBER(C2157),MONTH(C2157),"")</f>
        <v/>
      </c>
      <c r="X2157" s="23" t="str">
        <f aca="false">IF(T2157="","",IF(T2157=0,"No discount",IF(T2157&lt;=0.2,"Low (1-20%)",IF(T2157&lt;=0.4,"Medium (21-40%)","High (&gt;40%)"))))</f>
        <v/>
      </c>
      <c r="Y2157" s="23" t="str">
        <f aca="false">IF(AND(ISNUMBER(C2157),ISNUMBER(D2157)),D2157-C2157,"")</f>
        <v/>
      </c>
      <c r="Z2157" s="23" t="str">
        <f aca="false">IF(B2157="","",IF(MATCH(B2157,$B$2:$B$12000,0)=ROW()-1,1,0))</f>
        <v/>
      </c>
    </row>
    <row r="2158" customFormat="false" ht="15" hidden="false" customHeight="false" outlineLevel="0" collapsed="false">
      <c r="V2158" s="23" t="str">
        <f aca="false">IF(ISNUMBER(C2158),YEAR(C2158),"")</f>
        <v/>
      </c>
      <c r="W2158" s="23" t="str">
        <f aca="false">IF(ISNUMBER(C2158),MONTH(C2158),"")</f>
        <v/>
      </c>
      <c r="X2158" s="23" t="str">
        <f aca="false">IF(T2158="","",IF(T2158=0,"No discount",IF(T2158&lt;=0.2,"Low (1-20%)",IF(T2158&lt;=0.4,"Medium (21-40%)","High (&gt;40%)"))))</f>
        <v/>
      </c>
      <c r="Y2158" s="23" t="str">
        <f aca="false">IF(AND(ISNUMBER(C2158),ISNUMBER(D2158)),D2158-C2158,"")</f>
        <v/>
      </c>
      <c r="Z2158" s="23" t="str">
        <f aca="false">IF(B2158="","",IF(MATCH(B2158,$B$2:$B$12000,0)=ROW()-1,1,0))</f>
        <v/>
      </c>
    </row>
    <row r="2159" customFormat="false" ht="15" hidden="false" customHeight="false" outlineLevel="0" collapsed="false">
      <c r="V2159" s="23" t="str">
        <f aca="false">IF(ISNUMBER(C2159),YEAR(C2159),"")</f>
        <v/>
      </c>
      <c r="W2159" s="23" t="str">
        <f aca="false">IF(ISNUMBER(C2159),MONTH(C2159),"")</f>
        <v/>
      </c>
      <c r="X2159" s="23" t="str">
        <f aca="false">IF(T2159="","",IF(T2159=0,"No discount",IF(T2159&lt;=0.2,"Low (1-20%)",IF(T2159&lt;=0.4,"Medium (21-40%)","High (&gt;40%)"))))</f>
        <v/>
      </c>
      <c r="Y2159" s="23" t="str">
        <f aca="false">IF(AND(ISNUMBER(C2159),ISNUMBER(D2159)),D2159-C2159,"")</f>
        <v/>
      </c>
      <c r="Z2159" s="23" t="str">
        <f aca="false">IF(B2159="","",IF(MATCH(B2159,$B$2:$B$12000,0)=ROW()-1,1,0))</f>
        <v/>
      </c>
    </row>
    <row r="2160" customFormat="false" ht="15" hidden="false" customHeight="false" outlineLevel="0" collapsed="false">
      <c r="V2160" s="23" t="str">
        <f aca="false">IF(ISNUMBER(C2160),YEAR(C2160),"")</f>
        <v/>
      </c>
      <c r="W2160" s="23" t="str">
        <f aca="false">IF(ISNUMBER(C2160),MONTH(C2160),"")</f>
        <v/>
      </c>
      <c r="X2160" s="23" t="str">
        <f aca="false">IF(T2160="","",IF(T2160=0,"No discount",IF(T2160&lt;=0.2,"Low (1-20%)",IF(T2160&lt;=0.4,"Medium (21-40%)","High (&gt;40%)"))))</f>
        <v/>
      </c>
      <c r="Y2160" s="23" t="str">
        <f aca="false">IF(AND(ISNUMBER(C2160),ISNUMBER(D2160)),D2160-C2160,"")</f>
        <v/>
      </c>
      <c r="Z2160" s="23" t="str">
        <f aca="false">IF(B2160="","",IF(MATCH(B2160,$B$2:$B$12000,0)=ROW()-1,1,0))</f>
        <v/>
      </c>
    </row>
    <row r="2161" customFormat="false" ht="15" hidden="false" customHeight="false" outlineLevel="0" collapsed="false">
      <c r="V2161" s="23" t="str">
        <f aca="false">IF(ISNUMBER(C2161),YEAR(C2161),"")</f>
        <v/>
      </c>
      <c r="W2161" s="23" t="str">
        <f aca="false">IF(ISNUMBER(C2161),MONTH(C2161),"")</f>
        <v/>
      </c>
      <c r="X2161" s="23" t="str">
        <f aca="false">IF(T2161="","",IF(T2161=0,"No discount",IF(T2161&lt;=0.2,"Low (1-20%)",IF(T2161&lt;=0.4,"Medium (21-40%)","High (&gt;40%)"))))</f>
        <v/>
      </c>
      <c r="Y2161" s="23" t="str">
        <f aca="false">IF(AND(ISNUMBER(C2161),ISNUMBER(D2161)),D2161-C2161,"")</f>
        <v/>
      </c>
      <c r="Z2161" s="23" t="str">
        <f aca="false">IF(B2161="","",IF(MATCH(B2161,$B$2:$B$12000,0)=ROW()-1,1,0))</f>
        <v/>
      </c>
    </row>
    <row r="2162" customFormat="false" ht="15" hidden="false" customHeight="false" outlineLevel="0" collapsed="false">
      <c r="V2162" s="23" t="str">
        <f aca="false">IF(ISNUMBER(C2162),YEAR(C2162),"")</f>
        <v/>
      </c>
      <c r="W2162" s="23" t="str">
        <f aca="false">IF(ISNUMBER(C2162),MONTH(C2162),"")</f>
        <v/>
      </c>
      <c r="X2162" s="23" t="str">
        <f aca="false">IF(T2162="","",IF(T2162=0,"No discount",IF(T2162&lt;=0.2,"Low (1-20%)",IF(T2162&lt;=0.4,"Medium (21-40%)","High (&gt;40%)"))))</f>
        <v/>
      </c>
      <c r="Y2162" s="23" t="str">
        <f aca="false">IF(AND(ISNUMBER(C2162),ISNUMBER(D2162)),D2162-C2162,"")</f>
        <v/>
      </c>
      <c r="Z2162" s="23" t="str">
        <f aca="false">IF(B2162="","",IF(MATCH(B2162,$B$2:$B$12000,0)=ROW()-1,1,0))</f>
        <v/>
      </c>
    </row>
    <row r="2163" customFormat="false" ht="15" hidden="false" customHeight="false" outlineLevel="0" collapsed="false">
      <c r="V2163" s="23" t="str">
        <f aca="false">IF(ISNUMBER(C2163),YEAR(C2163),"")</f>
        <v/>
      </c>
      <c r="W2163" s="23" t="str">
        <f aca="false">IF(ISNUMBER(C2163),MONTH(C2163),"")</f>
        <v/>
      </c>
      <c r="X2163" s="23" t="str">
        <f aca="false">IF(T2163="","",IF(T2163=0,"No discount",IF(T2163&lt;=0.2,"Low (1-20%)",IF(T2163&lt;=0.4,"Medium (21-40%)","High (&gt;40%)"))))</f>
        <v/>
      </c>
      <c r="Y2163" s="23" t="str">
        <f aca="false">IF(AND(ISNUMBER(C2163),ISNUMBER(D2163)),D2163-C2163,"")</f>
        <v/>
      </c>
      <c r="Z2163" s="23" t="str">
        <f aca="false">IF(B2163="","",IF(MATCH(B2163,$B$2:$B$12000,0)=ROW()-1,1,0))</f>
        <v/>
      </c>
    </row>
    <row r="2164" customFormat="false" ht="15" hidden="false" customHeight="false" outlineLevel="0" collapsed="false">
      <c r="V2164" s="23" t="str">
        <f aca="false">IF(ISNUMBER(C2164),YEAR(C2164),"")</f>
        <v/>
      </c>
      <c r="W2164" s="23" t="str">
        <f aca="false">IF(ISNUMBER(C2164),MONTH(C2164),"")</f>
        <v/>
      </c>
      <c r="X2164" s="23" t="str">
        <f aca="false">IF(T2164="","",IF(T2164=0,"No discount",IF(T2164&lt;=0.2,"Low (1-20%)",IF(T2164&lt;=0.4,"Medium (21-40%)","High (&gt;40%)"))))</f>
        <v/>
      </c>
      <c r="Y2164" s="23" t="str">
        <f aca="false">IF(AND(ISNUMBER(C2164),ISNUMBER(D2164)),D2164-C2164,"")</f>
        <v/>
      </c>
      <c r="Z2164" s="23" t="str">
        <f aca="false">IF(B2164="","",IF(MATCH(B2164,$B$2:$B$12000,0)=ROW()-1,1,0))</f>
        <v/>
      </c>
    </row>
    <row r="2165" customFormat="false" ht="15" hidden="false" customHeight="false" outlineLevel="0" collapsed="false">
      <c r="V2165" s="23" t="str">
        <f aca="false">IF(ISNUMBER(C2165),YEAR(C2165),"")</f>
        <v/>
      </c>
      <c r="W2165" s="23" t="str">
        <f aca="false">IF(ISNUMBER(C2165),MONTH(C2165),"")</f>
        <v/>
      </c>
      <c r="X2165" s="23" t="str">
        <f aca="false">IF(T2165="","",IF(T2165=0,"No discount",IF(T2165&lt;=0.2,"Low (1-20%)",IF(T2165&lt;=0.4,"Medium (21-40%)","High (&gt;40%)"))))</f>
        <v/>
      </c>
      <c r="Y2165" s="23" t="str">
        <f aca="false">IF(AND(ISNUMBER(C2165),ISNUMBER(D2165)),D2165-C2165,"")</f>
        <v/>
      </c>
      <c r="Z2165" s="23" t="str">
        <f aca="false">IF(B2165="","",IF(MATCH(B2165,$B$2:$B$12000,0)=ROW()-1,1,0))</f>
        <v/>
      </c>
    </row>
    <row r="2166" customFormat="false" ht="15" hidden="false" customHeight="false" outlineLevel="0" collapsed="false">
      <c r="V2166" s="23" t="str">
        <f aca="false">IF(ISNUMBER(C2166),YEAR(C2166),"")</f>
        <v/>
      </c>
      <c r="W2166" s="23" t="str">
        <f aca="false">IF(ISNUMBER(C2166),MONTH(C2166),"")</f>
        <v/>
      </c>
      <c r="X2166" s="23" t="str">
        <f aca="false">IF(T2166="","",IF(T2166=0,"No discount",IF(T2166&lt;=0.2,"Low (1-20%)",IF(T2166&lt;=0.4,"Medium (21-40%)","High (&gt;40%)"))))</f>
        <v/>
      </c>
      <c r="Y2166" s="23" t="str">
        <f aca="false">IF(AND(ISNUMBER(C2166),ISNUMBER(D2166)),D2166-C2166,"")</f>
        <v/>
      </c>
      <c r="Z2166" s="23" t="str">
        <f aca="false">IF(B2166="","",IF(MATCH(B2166,$B$2:$B$12000,0)=ROW()-1,1,0))</f>
        <v/>
      </c>
    </row>
    <row r="2167" customFormat="false" ht="15" hidden="false" customHeight="false" outlineLevel="0" collapsed="false">
      <c r="V2167" s="23" t="str">
        <f aca="false">IF(ISNUMBER(C2167),YEAR(C2167),"")</f>
        <v/>
      </c>
      <c r="W2167" s="23" t="str">
        <f aca="false">IF(ISNUMBER(C2167),MONTH(C2167),"")</f>
        <v/>
      </c>
      <c r="X2167" s="23" t="str">
        <f aca="false">IF(T2167="","",IF(T2167=0,"No discount",IF(T2167&lt;=0.2,"Low (1-20%)",IF(T2167&lt;=0.4,"Medium (21-40%)","High (&gt;40%)"))))</f>
        <v/>
      </c>
      <c r="Y2167" s="23" t="str">
        <f aca="false">IF(AND(ISNUMBER(C2167),ISNUMBER(D2167)),D2167-C2167,"")</f>
        <v/>
      </c>
      <c r="Z2167" s="23" t="str">
        <f aca="false">IF(B2167="","",IF(MATCH(B2167,$B$2:$B$12000,0)=ROW()-1,1,0))</f>
        <v/>
      </c>
    </row>
    <row r="2168" customFormat="false" ht="15" hidden="false" customHeight="false" outlineLevel="0" collapsed="false">
      <c r="V2168" s="23" t="str">
        <f aca="false">IF(ISNUMBER(C2168),YEAR(C2168),"")</f>
        <v/>
      </c>
      <c r="W2168" s="23" t="str">
        <f aca="false">IF(ISNUMBER(C2168),MONTH(C2168),"")</f>
        <v/>
      </c>
      <c r="X2168" s="23" t="str">
        <f aca="false">IF(T2168="","",IF(T2168=0,"No discount",IF(T2168&lt;=0.2,"Low (1-20%)",IF(T2168&lt;=0.4,"Medium (21-40%)","High (&gt;40%)"))))</f>
        <v/>
      </c>
      <c r="Y2168" s="23" t="str">
        <f aca="false">IF(AND(ISNUMBER(C2168),ISNUMBER(D2168)),D2168-C2168,"")</f>
        <v/>
      </c>
      <c r="Z2168" s="23" t="str">
        <f aca="false">IF(B2168="","",IF(MATCH(B2168,$B$2:$B$12000,0)=ROW()-1,1,0))</f>
        <v/>
      </c>
    </row>
    <row r="2169" customFormat="false" ht="15" hidden="false" customHeight="false" outlineLevel="0" collapsed="false">
      <c r="V2169" s="23" t="str">
        <f aca="false">IF(ISNUMBER(C2169),YEAR(C2169),"")</f>
        <v/>
      </c>
      <c r="W2169" s="23" t="str">
        <f aca="false">IF(ISNUMBER(C2169),MONTH(C2169),"")</f>
        <v/>
      </c>
      <c r="X2169" s="23" t="str">
        <f aca="false">IF(T2169="","",IF(T2169=0,"No discount",IF(T2169&lt;=0.2,"Low (1-20%)",IF(T2169&lt;=0.4,"Medium (21-40%)","High (&gt;40%)"))))</f>
        <v/>
      </c>
      <c r="Y2169" s="23" t="str">
        <f aca="false">IF(AND(ISNUMBER(C2169),ISNUMBER(D2169)),D2169-C2169,"")</f>
        <v/>
      </c>
      <c r="Z2169" s="23" t="str">
        <f aca="false">IF(B2169="","",IF(MATCH(B2169,$B$2:$B$12000,0)=ROW()-1,1,0))</f>
        <v/>
      </c>
    </row>
    <row r="2170" customFormat="false" ht="15" hidden="false" customHeight="false" outlineLevel="0" collapsed="false">
      <c r="V2170" s="23" t="str">
        <f aca="false">IF(ISNUMBER(C2170),YEAR(C2170),"")</f>
        <v/>
      </c>
      <c r="W2170" s="23" t="str">
        <f aca="false">IF(ISNUMBER(C2170),MONTH(C2170),"")</f>
        <v/>
      </c>
      <c r="X2170" s="23" t="str">
        <f aca="false">IF(T2170="","",IF(T2170=0,"No discount",IF(T2170&lt;=0.2,"Low (1-20%)",IF(T2170&lt;=0.4,"Medium (21-40%)","High (&gt;40%)"))))</f>
        <v/>
      </c>
      <c r="Y2170" s="23" t="str">
        <f aca="false">IF(AND(ISNUMBER(C2170),ISNUMBER(D2170)),D2170-C2170,"")</f>
        <v/>
      </c>
      <c r="Z2170" s="23" t="str">
        <f aca="false">IF(B2170="","",IF(MATCH(B2170,$B$2:$B$12000,0)=ROW()-1,1,0))</f>
        <v/>
      </c>
    </row>
    <row r="2171" customFormat="false" ht="15" hidden="false" customHeight="false" outlineLevel="0" collapsed="false">
      <c r="V2171" s="23" t="str">
        <f aca="false">IF(ISNUMBER(C2171),YEAR(C2171),"")</f>
        <v/>
      </c>
      <c r="W2171" s="23" t="str">
        <f aca="false">IF(ISNUMBER(C2171),MONTH(C2171),"")</f>
        <v/>
      </c>
      <c r="X2171" s="23" t="str">
        <f aca="false">IF(T2171="","",IF(T2171=0,"No discount",IF(T2171&lt;=0.2,"Low (1-20%)",IF(T2171&lt;=0.4,"Medium (21-40%)","High (&gt;40%)"))))</f>
        <v/>
      </c>
      <c r="Y2171" s="23" t="str">
        <f aca="false">IF(AND(ISNUMBER(C2171),ISNUMBER(D2171)),D2171-C2171,"")</f>
        <v/>
      </c>
      <c r="Z2171" s="23" t="str">
        <f aca="false">IF(B2171="","",IF(MATCH(B2171,$B$2:$B$12000,0)=ROW()-1,1,0))</f>
        <v/>
      </c>
    </row>
    <row r="2172" customFormat="false" ht="15" hidden="false" customHeight="false" outlineLevel="0" collapsed="false">
      <c r="V2172" s="23" t="str">
        <f aca="false">IF(ISNUMBER(C2172),YEAR(C2172),"")</f>
        <v/>
      </c>
      <c r="W2172" s="23" t="str">
        <f aca="false">IF(ISNUMBER(C2172),MONTH(C2172),"")</f>
        <v/>
      </c>
      <c r="X2172" s="23" t="str">
        <f aca="false">IF(T2172="","",IF(T2172=0,"No discount",IF(T2172&lt;=0.2,"Low (1-20%)",IF(T2172&lt;=0.4,"Medium (21-40%)","High (&gt;40%)"))))</f>
        <v/>
      </c>
      <c r="Y2172" s="23" t="str">
        <f aca="false">IF(AND(ISNUMBER(C2172),ISNUMBER(D2172)),D2172-C2172,"")</f>
        <v/>
      </c>
      <c r="Z2172" s="23" t="str">
        <f aca="false">IF(B2172="","",IF(MATCH(B2172,$B$2:$B$12000,0)=ROW()-1,1,0))</f>
        <v/>
      </c>
    </row>
    <row r="2173" customFormat="false" ht="15" hidden="false" customHeight="false" outlineLevel="0" collapsed="false">
      <c r="V2173" s="23" t="str">
        <f aca="false">IF(ISNUMBER(C2173),YEAR(C2173),"")</f>
        <v/>
      </c>
      <c r="W2173" s="23" t="str">
        <f aca="false">IF(ISNUMBER(C2173),MONTH(C2173),"")</f>
        <v/>
      </c>
      <c r="X2173" s="23" t="str">
        <f aca="false">IF(T2173="","",IF(T2173=0,"No discount",IF(T2173&lt;=0.2,"Low (1-20%)",IF(T2173&lt;=0.4,"Medium (21-40%)","High (&gt;40%)"))))</f>
        <v/>
      </c>
      <c r="Y2173" s="23" t="str">
        <f aca="false">IF(AND(ISNUMBER(C2173),ISNUMBER(D2173)),D2173-C2173,"")</f>
        <v/>
      </c>
      <c r="Z2173" s="23" t="str">
        <f aca="false">IF(B2173="","",IF(MATCH(B2173,$B$2:$B$12000,0)=ROW()-1,1,0))</f>
        <v/>
      </c>
    </row>
    <row r="2174" customFormat="false" ht="15" hidden="false" customHeight="false" outlineLevel="0" collapsed="false">
      <c r="V2174" s="23" t="str">
        <f aca="false">IF(ISNUMBER(C2174),YEAR(C2174),"")</f>
        <v/>
      </c>
      <c r="W2174" s="23" t="str">
        <f aca="false">IF(ISNUMBER(C2174),MONTH(C2174),"")</f>
        <v/>
      </c>
      <c r="X2174" s="23" t="str">
        <f aca="false">IF(T2174="","",IF(T2174=0,"No discount",IF(T2174&lt;=0.2,"Low (1-20%)",IF(T2174&lt;=0.4,"Medium (21-40%)","High (&gt;40%)"))))</f>
        <v/>
      </c>
      <c r="Y2174" s="23" t="str">
        <f aca="false">IF(AND(ISNUMBER(C2174),ISNUMBER(D2174)),D2174-C2174,"")</f>
        <v/>
      </c>
      <c r="Z2174" s="23" t="str">
        <f aca="false">IF(B2174="","",IF(MATCH(B2174,$B$2:$B$12000,0)=ROW()-1,1,0))</f>
        <v/>
      </c>
    </row>
    <row r="2175" customFormat="false" ht="15" hidden="false" customHeight="false" outlineLevel="0" collapsed="false">
      <c r="V2175" s="23" t="str">
        <f aca="false">IF(ISNUMBER(C2175),YEAR(C2175),"")</f>
        <v/>
      </c>
      <c r="W2175" s="23" t="str">
        <f aca="false">IF(ISNUMBER(C2175),MONTH(C2175),"")</f>
        <v/>
      </c>
      <c r="X2175" s="23" t="str">
        <f aca="false">IF(T2175="","",IF(T2175=0,"No discount",IF(T2175&lt;=0.2,"Low (1-20%)",IF(T2175&lt;=0.4,"Medium (21-40%)","High (&gt;40%)"))))</f>
        <v/>
      </c>
      <c r="Y2175" s="23" t="str">
        <f aca="false">IF(AND(ISNUMBER(C2175),ISNUMBER(D2175)),D2175-C2175,"")</f>
        <v/>
      </c>
      <c r="Z2175" s="23" t="str">
        <f aca="false">IF(B2175="","",IF(MATCH(B2175,$B$2:$B$12000,0)=ROW()-1,1,0))</f>
        <v/>
      </c>
    </row>
    <row r="2176" customFormat="false" ht="15" hidden="false" customHeight="false" outlineLevel="0" collapsed="false">
      <c r="V2176" s="23" t="str">
        <f aca="false">IF(ISNUMBER(C2176),YEAR(C2176),"")</f>
        <v/>
      </c>
      <c r="W2176" s="23" t="str">
        <f aca="false">IF(ISNUMBER(C2176),MONTH(C2176),"")</f>
        <v/>
      </c>
      <c r="X2176" s="23" t="str">
        <f aca="false">IF(T2176="","",IF(T2176=0,"No discount",IF(T2176&lt;=0.2,"Low (1-20%)",IF(T2176&lt;=0.4,"Medium (21-40%)","High (&gt;40%)"))))</f>
        <v/>
      </c>
      <c r="Y2176" s="23" t="str">
        <f aca="false">IF(AND(ISNUMBER(C2176),ISNUMBER(D2176)),D2176-C2176,"")</f>
        <v/>
      </c>
      <c r="Z2176" s="23" t="str">
        <f aca="false">IF(B2176="","",IF(MATCH(B2176,$B$2:$B$12000,0)=ROW()-1,1,0))</f>
        <v/>
      </c>
    </row>
    <row r="2177" customFormat="false" ht="15" hidden="false" customHeight="false" outlineLevel="0" collapsed="false">
      <c r="V2177" s="23" t="str">
        <f aca="false">IF(ISNUMBER(C2177),YEAR(C2177),"")</f>
        <v/>
      </c>
      <c r="W2177" s="23" t="str">
        <f aca="false">IF(ISNUMBER(C2177),MONTH(C2177),"")</f>
        <v/>
      </c>
      <c r="X2177" s="23" t="str">
        <f aca="false">IF(T2177="","",IF(T2177=0,"No discount",IF(T2177&lt;=0.2,"Low (1-20%)",IF(T2177&lt;=0.4,"Medium (21-40%)","High (&gt;40%)"))))</f>
        <v/>
      </c>
      <c r="Y2177" s="23" t="str">
        <f aca="false">IF(AND(ISNUMBER(C2177),ISNUMBER(D2177)),D2177-C2177,"")</f>
        <v/>
      </c>
      <c r="Z2177" s="23" t="str">
        <f aca="false">IF(B2177="","",IF(MATCH(B2177,$B$2:$B$12000,0)=ROW()-1,1,0))</f>
        <v/>
      </c>
    </row>
    <row r="2178" customFormat="false" ht="15" hidden="false" customHeight="false" outlineLevel="0" collapsed="false">
      <c r="V2178" s="23" t="str">
        <f aca="false">IF(ISNUMBER(C2178),YEAR(C2178),"")</f>
        <v/>
      </c>
      <c r="W2178" s="23" t="str">
        <f aca="false">IF(ISNUMBER(C2178),MONTH(C2178),"")</f>
        <v/>
      </c>
      <c r="X2178" s="23" t="str">
        <f aca="false">IF(T2178="","",IF(T2178=0,"No discount",IF(T2178&lt;=0.2,"Low (1-20%)",IF(T2178&lt;=0.4,"Medium (21-40%)","High (&gt;40%)"))))</f>
        <v/>
      </c>
      <c r="Y2178" s="23" t="str">
        <f aca="false">IF(AND(ISNUMBER(C2178),ISNUMBER(D2178)),D2178-C2178,"")</f>
        <v/>
      </c>
      <c r="Z2178" s="23" t="str">
        <f aca="false">IF(B2178="","",IF(MATCH(B2178,$B$2:$B$12000,0)=ROW()-1,1,0))</f>
        <v/>
      </c>
    </row>
    <row r="2179" customFormat="false" ht="15" hidden="false" customHeight="false" outlineLevel="0" collapsed="false">
      <c r="V2179" s="23" t="str">
        <f aca="false">IF(ISNUMBER(C2179),YEAR(C2179),"")</f>
        <v/>
      </c>
      <c r="W2179" s="23" t="str">
        <f aca="false">IF(ISNUMBER(C2179),MONTH(C2179),"")</f>
        <v/>
      </c>
      <c r="X2179" s="23" t="str">
        <f aca="false">IF(T2179="","",IF(T2179=0,"No discount",IF(T2179&lt;=0.2,"Low (1-20%)",IF(T2179&lt;=0.4,"Medium (21-40%)","High (&gt;40%)"))))</f>
        <v/>
      </c>
      <c r="Y2179" s="23" t="str">
        <f aca="false">IF(AND(ISNUMBER(C2179),ISNUMBER(D2179)),D2179-C2179,"")</f>
        <v/>
      </c>
      <c r="Z2179" s="23" t="str">
        <f aca="false">IF(B2179="","",IF(MATCH(B2179,$B$2:$B$12000,0)=ROW()-1,1,0))</f>
        <v/>
      </c>
    </row>
    <row r="2180" customFormat="false" ht="15" hidden="false" customHeight="false" outlineLevel="0" collapsed="false">
      <c r="V2180" s="23" t="str">
        <f aca="false">IF(ISNUMBER(C2180),YEAR(C2180),"")</f>
        <v/>
      </c>
      <c r="W2180" s="23" t="str">
        <f aca="false">IF(ISNUMBER(C2180),MONTH(C2180),"")</f>
        <v/>
      </c>
      <c r="X2180" s="23" t="str">
        <f aca="false">IF(T2180="","",IF(T2180=0,"No discount",IF(T2180&lt;=0.2,"Low (1-20%)",IF(T2180&lt;=0.4,"Medium (21-40%)","High (&gt;40%)"))))</f>
        <v/>
      </c>
      <c r="Y2180" s="23" t="str">
        <f aca="false">IF(AND(ISNUMBER(C2180),ISNUMBER(D2180)),D2180-C2180,"")</f>
        <v/>
      </c>
      <c r="Z2180" s="23" t="str">
        <f aca="false">IF(B2180="","",IF(MATCH(B2180,$B$2:$B$12000,0)=ROW()-1,1,0))</f>
        <v/>
      </c>
    </row>
    <row r="2181" customFormat="false" ht="15" hidden="false" customHeight="false" outlineLevel="0" collapsed="false">
      <c r="V2181" s="23" t="str">
        <f aca="false">IF(ISNUMBER(C2181),YEAR(C2181),"")</f>
        <v/>
      </c>
      <c r="W2181" s="23" t="str">
        <f aca="false">IF(ISNUMBER(C2181),MONTH(C2181),"")</f>
        <v/>
      </c>
      <c r="X2181" s="23" t="str">
        <f aca="false">IF(T2181="","",IF(T2181=0,"No discount",IF(T2181&lt;=0.2,"Low (1-20%)",IF(T2181&lt;=0.4,"Medium (21-40%)","High (&gt;40%)"))))</f>
        <v/>
      </c>
      <c r="Y2181" s="23" t="str">
        <f aca="false">IF(AND(ISNUMBER(C2181),ISNUMBER(D2181)),D2181-C2181,"")</f>
        <v/>
      </c>
      <c r="Z2181" s="23" t="str">
        <f aca="false">IF(B2181="","",IF(MATCH(B2181,$B$2:$B$12000,0)=ROW()-1,1,0))</f>
        <v/>
      </c>
    </row>
    <row r="2182" customFormat="false" ht="15" hidden="false" customHeight="false" outlineLevel="0" collapsed="false">
      <c r="V2182" s="23" t="str">
        <f aca="false">IF(ISNUMBER(C2182),YEAR(C2182),"")</f>
        <v/>
      </c>
      <c r="W2182" s="23" t="str">
        <f aca="false">IF(ISNUMBER(C2182),MONTH(C2182),"")</f>
        <v/>
      </c>
      <c r="X2182" s="23" t="str">
        <f aca="false">IF(T2182="","",IF(T2182=0,"No discount",IF(T2182&lt;=0.2,"Low (1-20%)",IF(T2182&lt;=0.4,"Medium (21-40%)","High (&gt;40%)"))))</f>
        <v/>
      </c>
      <c r="Y2182" s="23" t="str">
        <f aca="false">IF(AND(ISNUMBER(C2182),ISNUMBER(D2182)),D2182-C2182,"")</f>
        <v/>
      </c>
      <c r="Z2182" s="23" t="str">
        <f aca="false">IF(B2182="","",IF(MATCH(B2182,$B$2:$B$12000,0)=ROW()-1,1,0))</f>
        <v/>
      </c>
    </row>
    <row r="2183" customFormat="false" ht="15" hidden="false" customHeight="false" outlineLevel="0" collapsed="false">
      <c r="V2183" s="23" t="str">
        <f aca="false">IF(ISNUMBER(C2183),YEAR(C2183),"")</f>
        <v/>
      </c>
      <c r="W2183" s="23" t="str">
        <f aca="false">IF(ISNUMBER(C2183),MONTH(C2183),"")</f>
        <v/>
      </c>
      <c r="X2183" s="23" t="str">
        <f aca="false">IF(T2183="","",IF(T2183=0,"No discount",IF(T2183&lt;=0.2,"Low (1-20%)",IF(T2183&lt;=0.4,"Medium (21-40%)","High (&gt;40%)"))))</f>
        <v/>
      </c>
      <c r="Y2183" s="23" t="str">
        <f aca="false">IF(AND(ISNUMBER(C2183),ISNUMBER(D2183)),D2183-C2183,"")</f>
        <v/>
      </c>
      <c r="Z2183" s="23" t="str">
        <f aca="false">IF(B2183="","",IF(MATCH(B2183,$B$2:$B$12000,0)=ROW()-1,1,0))</f>
        <v/>
      </c>
    </row>
    <row r="2184" customFormat="false" ht="15" hidden="false" customHeight="false" outlineLevel="0" collapsed="false">
      <c r="V2184" s="23" t="str">
        <f aca="false">IF(ISNUMBER(C2184),YEAR(C2184),"")</f>
        <v/>
      </c>
      <c r="W2184" s="23" t="str">
        <f aca="false">IF(ISNUMBER(C2184),MONTH(C2184),"")</f>
        <v/>
      </c>
      <c r="X2184" s="23" t="str">
        <f aca="false">IF(T2184="","",IF(T2184=0,"No discount",IF(T2184&lt;=0.2,"Low (1-20%)",IF(T2184&lt;=0.4,"Medium (21-40%)","High (&gt;40%)"))))</f>
        <v/>
      </c>
      <c r="Y2184" s="23" t="str">
        <f aca="false">IF(AND(ISNUMBER(C2184),ISNUMBER(D2184)),D2184-C2184,"")</f>
        <v/>
      </c>
      <c r="Z2184" s="23" t="str">
        <f aca="false">IF(B2184="","",IF(MATCH(B2184,$B$2:$B$12000,0)=ROW()-1,1,0))</f>
        <v/>
      </c>
    </row>
    <row r="2185" customFormat="false" ht="15" hidden="false" customHeight="false" outlineLevel="0" collapsed="false">
      <c r="V2185" s="23" t="str">
        <f aca="false">IF(ISNUMBER(C2185),YEAR(C2185),"")</f>
        <v/>
      </c>
      <c r="W2185" s="23" t="str">
        <f aca="false">IF(ISNUMBER(C2185),MONTH(C2185),"")</f>
        <v/>
      </c>
      <c r="X2185" s="23" t="str">
        <f aca="false">IF(T2185="","",IF(T2185=0,"No discount",IF(T2185&lt;=0.2,"Low (1-20%)",IF(T2185&lt;=0.4,"Medium (21-40%)","High (&gt;40%)"))))</f>
        <v/>
      </c>
      <c r="Y2185" s="23" t="str">
        <f aca="false">IF(AND(ISNUMBER(C2185),ISNUMBER(D2185)),D2185-C2185,"")</f>
        <v/>
      </c>
      <c r="Z2185" s="23" t="str">
        <f aca="false">IF(B2185="","",IF(MATCH(B2185,$B$2:$B$12000,0)=ROW()-1,1,0))</f>
        <v/>
      </c>
    </row>
    <row r="2186" customFormat="false" ht="15" hidden="false" customHeight="false" outlineLevel="0" collapsed="false">
      <c r="V2186" s="23" t="str">
        <f aca="false">IF(ISNUMBER(C2186),YEAR(C2186),"")</f>
        <v/>
      </c>
      <c r="W2186" s="23" t="str">
        <f aca="false">IF(ISNUMBER(C2186),MONTH(C2186),"")</f>
        <v/>
      </c>
      <c r="X2186" s="23" t="str">
        <f aca="false">IF(T2186="","",IF(T2186=0,"No discount",IF(T2186&lt;=0.2,"Low (1-20%)",IF(T2186&lt;=0.4,"Medium (21-40%)","High (&gt;40%)"))))</f>
        <v/>
      </c>
      <c r="Y2186" s="23" t="str">
        <f aca="false">IF(AND(ISNUMBER(C2186),ISNUMBER(D2186)),D2186-C2186,"")</f>
        <v/>
      </c>
      <c r="Z2186" s="23" t="str">
        <f aca="false">IF(B2186="","",IF(MATCH(B2186,$B$2:$B$12000,0)=ROW()-1,1,0))</f>
        <v/>
      </c>
    </row>
    <row r="2187" customFormat="false" ht="15" hidden="false" customHeight="false" outlineLevel="0" collapsed="false">
      <c r="V2187" s="23" t="str">
        <f aca="false">IF(ISNUMBER(C2187),YEAR(C2187),"")</f>
        <v/>
      </c>
      <c r="W2187" s="23" t="str">
        <f aca="false">IF(ISNUMBER(C2187),MONTH(C2187),"")</f>
        <v/>
      </c>
      <c r="X2187" s="23" t="str">
        <f aca="false">IF(T2187="","",IF(T2187=0,"No discount",IF(T2187&lt;=0.2,"Low (1-20%)",IF(T2187&lt;=0.4,"Medium (21-40%)","High (&gt;40%)"))))</f>
        <v/>
      </c>
      <c r="Y2187" s="23" t="str">
        <f aca="false">IF(AND(ISNUMBER(C2187),ISNUMBER(D2187)),D2187-C2187,"")</f>
        <v/>
      </c>
      <c r="Z2187" s="23" t="str">
        <f aca="false">IF(B2187="","",IF(MATCH(B2187,$B$2:$B$12000,0)=ROW()-1,1,0))</f>
        <v/>
      </c>
    </row>
    <row r="2188" customFormat="false" ht="15" hidden="false" customHeight="false" outlineLevel="0" collapsed="false">
      <c r="V2188" s="23" t="str">
        <f aca="false">IF(ISNUMBER(C2188),YEAR(C2188),"")</f>
        <v/>
      </c>
      <c r="W2188" s="23" t="str">
        <f aca="false">IF(ISNUMBER(C2188),MONTH(C2188),"")</f>
        <v/>
      </c>
      <c r="X2188" s="23" t="str">
        <f aca="false">IF(T2188="","",IF(T2188=0,"No discount",IF(T2188&lt;=0.2,"Low (1-20%)",IF(T2188&lt;=0.4,"Medium (21-40%)","High (&gt;40%)"))))</f>
        <v/>
      </c>
      <c r="Y2188" s="23" t="str">
        <f aca="false">IF(AND(ISNUMBER(C2188),ISNUMBER(D2188)),D2188-C2188,"")</f>
        <v/>
      </c>
      <c r="Z2188" s="23" t="str">
        <f aca="false">IF(B2188="","",IF(MATCH(B2188,$B$2:$B$12000,0)=ROW()-1,1,0))</f>
        <v/>
      </c>
    </row>
    <row r="2189" customFormat="false" ht="15" hidden="false" customHeight="false" outlineLevel="0" collapsed="false">
      <c r="V2189" s="23" t="str">
        <f aca="false">IF(ISNUMBER(C2189),YEAR(C2189),"")</f>
        <v/>
      </c>
      <c r="W2189" s="23" t="str">
        <f aca="false">IF(ISNUMBER(C2189),MONTH(C2189),"")</f>
        <v/>
      </c>
      <c r="X2189" s="23" t="str">
        <f aca="false">IF(T2189="","",IF(T2189=0,"No discount",IF(T2189&lt;=0.2,"Low (1-20%)",IF(T2189&lt;=0.4,"Medium (21-40%)","High (&gt;40%)"))))</f>
        <v/>
      </c>
      <c r="Y2189" s="23" t="str">
        <f aca="false">IF(AND(ISNUMBER(C2189),ISNUMBER(D2189)),D2189-C2189,"")</f>
        <v/>
      </c>
      <c r="Z2189" s="23" t="str">
        <f aca="false">IF(B2189="","",IF(MATCH(B2189,$B$2:$B$12000,0)=ROW()-1,1,0))</f>
        <v/>
      </c>
    </row>
    <row r="2190" customFormat="false" ht="15" hidden="false" customHeight="false" outlineLevel="0" collapsed="false">
      <c r="V2190" s="23" t="str">
        <f aca="false">IF(ISNUMBER(C2190),YEAR(C2190),"")</f>
        <v/>
      </c>
      <c r="W2190" s="23" t="str">
        <f aca="false">IF(ISNUMBER(C2190),MONTH(C2190),"")</f>
        <v/>
      </c>
      <c r="X2190" s="23" t="str">
        <f aca="false">IF(T2190="","",IF(T2190=0,"No discount",IF(T2190&lt;=0.2,"Low (1-20%)",IF(T2190&lt;=0.4,"Medium (21-40%)","High (&gt;40%)"))))</f>
        <v/>
      </c>
      <c r="Y2190" s="23" t="str">
        <f aca="false">IF(AND(ISNUMBER(C2190),ISNUMBER(D2190)),D2190-C2190,"")</f>
        <v/>
      </c>
      <c r="Z2190" s="23" t="str">
        <f aca="false">IF(B2190="","",IF(MATCH(B2190,$B$2:$B$12000,0)=ROW()-1,1,0))</f>
        <v/>
      </c>
    </row>
    <row r="2191" customFormat="false" ht="15" hidden="false" customHeight="false" outlineLevel="0" collapsed="false">
      <c r="V2191" s="23" t="str">
        <f aca="false">IF(ISNUMBER(C2191),YEAR(C2191),"")</f>
        <v/>
      </c>
      <c r="W2191" s="23" t="str">
        <f aca="false">IF(ISNUMBER(C2191),MONTH(C2191),"")</f>
        <v/>
      </c>
      <c r="X2191" s="23" t="str">
        <f aca="false">IF(T2191="","",IF(T2191=0,"No discount",IF(T2191&lt;=0.2,"Low (1-20%)",IF(T2191&lt;=0.4,"Medium (21-40%)","High (&gt;40%)"))))</f>
        <v/>
      </c>
      <c r="Y2191" s="23" t="str">
        <f aca="false">IF(AND(ISNUMBER(C2191),ISNUMBER(D2191)),D2191-C2191,"")</f>
        <v/>
      </c>
      <c r="Z2191" s="23" t="str">
        <f aca="false">IF(B2191="","",IF(MATCH(B2191,$B$2:$B$12000,0)=ROW()-1,1,0))</f>
        <v/>
      </c>
    </row>
    <row r="2192" customFormat="false" ht="15" hidden="false" customHeight="false" outlineLevel="0" collapsed="false">
      <c r="V2192" s="23" t="str">
        <f aca="false">IF(ISNUMBER(C2192),YEAR(C2192),"")</f>
        <v/>
      </c>
      <c r="W2192" s="23" t="str">
        <f aca="false">IF(ISNUMBER(C2192),MONTH(C2192),"")</f>
        <v/>
      </c>
      <c r="X2192" s="23" t="str">
        <f aca="false">IF(T2192="","",IF(T2192=0,"No discount",IF(T2192&lt;=0.2,"Low (1-20%)",IF(T2192&lt;=0.4,"Medium (21-40%)","High (&gt;40%)"))))</f>
        <v/>
      </c>
      <c r="Y2192" s="23" t="str">
        <f aca="false">IF(AND(ISNUMBER(C2192),ISNUMBER(D2192)),D2192-C2192,"")</f>
        <v/>
      </c>
      <c r="Z2192" s="23" t="str">
        <f aca="false">IF(B2192="","",IF(MATCH(B2192,$B$2:$B$12000,0)=ROW()-1,1,0))</f>
        <v/>
      </c>
    </row>
    <row r="2193" customFormat="false" ht="15" hidden="false" customHeight="false" outlineLevel="0" collapsed="false">
      <c r="V2193" s="23" t="str">
        <f aca="false">IF(ISNUMBER(C2193),YEAR(C2193),"")</f>
        <v/>
      </c>
      <c r="W2193" s="23" t="str">
        <f aca="false">IF(ISNUMBER(C2193),MONTH(C2193),"")</f>
        <v/>
      </c>
      <c r="X2193" s="23" t="str">
        <f aca="false">IF(T2193="","",IF(T2193=0,"No discount",IF(T2193&lt;=0.2,"Low (1-20%)",IF(T2193&lt;=0.4,"Medium (21-40%)","High (&gt;40%)"))))</f>
        <v/>
      </c>
      <c r="Y2193" s="23" t="str">
        <f aca="false">IF(AND(ISNUMBER(C2193),ISNUMBER(D2193)),D2193-C2193,"")</f>
        <v/>
      </c>
      <c r="Z2193" s="23" t="str">
        <f aca="false">IF(B2193="","",IF(MATCH(B2193,$B$2:$B$12000,0)=ROW()-1,1,0))</f>
        <v/>
      </c>
    </row>
    <row r="2194" customFormat="false" ht="15" hidden="false" customHeight="false" outlineLevel="0" collapsed="false">
      <c r="V2194" s="23" t="str">
        <f aca="false">IF(ISNUMBER(C2194),YEAR(C2194),"")</f>
        <v/>
      </c>
      <c r="W2194" s="23" t="str">
        <f aca="false">IF(ISNUMBER(C2194),MONTH(C2194),"")</f>
        <v/>
      </c>
      <c r="X2194" s="23" t="str">
        <f aca="false">IF(T2194="","",IF(T2194=0,"No discount",IF(T2194&lt;=0.2,"Low (1-20%)",IF(T2194&lt;=0.4,"Medium (21-40%)","High (&gt;40%)"))))</f>
        <v/>
      </c>
      <c r="Y2194" s="23" t="str">
        <f aca="false">IF(AND(ISNUMBER(C2194),ISNUMBER(D2194)),D2194-C2194,"")</f>
        <v/>
      </c>
      <c r="Z2194" s="23" t="str">
        <f aca="false">IF(B2194="","",IF(MATCH(B2194,$B$2:$B$12000,0)=ROW()-1,1,0))</f>
        <v/>
      </c>
    </row>
    <row r="2195" customFormat="false" ht="15" hidden="false" customHeight="false" outlineLevel="0" collapsed="false">
      <c r="V2195" s="23" t="str">
        <f aca="false">IF(ISNUMBER(C2195),YEAR(C2195),"")</f>
        <v/>
      </c>
      <c r="W2195" s="23" t="str">
        <f aca="false">IF(ISNUMBER(C2195),MONTH(C2195),"")</f>
        <v/>
      </c>
      <c r="X2195" s="23" t="str">
        <f aca="false">IF(T2195="","",IF(T2195=0,"No discount",IF(T2195&lt;=0.2,"Low (1-20%)",IF(T2195&lt;=0.4,"Medium (21-40%)","High (&gt;40%)"))))</f>
        <v/>
      </c>
      <c r="Y2195" s="23" t="str">
        <f aca="false">IF(AND(ISNUMBER(C2195),ISNUMBER(D2195)),D2195-C2195,"")</f>
        <v/>
      </c>
      <c r="Z2195" s="23" t="str">
        <f aca="false">IF(B2195="","",IF(MATCH(B2195,$B$2:$B$12000,0)=ROW()-1,1,0))</f>
        <v/>
      </c>
    </row>
    <row r="2196" customFormat="false" ht="15" hidden="false" customHeight="false" outlineLevel="0" collapsed="false">
      <c r="V2196" s="23" t="str">
        <f aca="false">IF(ISNUMBER(C2196),YEAR(C2196),"")</f>
        <v/>
      </c>
      <c r="W2196" s="23" t="str">
        <f aca="false">IF(ISNUMBER(C2196),MONTH(C2196),"")</f>
        <v/>
      </c>
      <c r="X2196" s="23" t="str">
        <f aca="false">IF(T2196="","",IF(T2196=0,"No discount",IF(T2196&lt;=0.2,"Low (1-20%)",IF(T2196&lt;=0.4,"Medium (21-40%)","High (&gt;40%)"))))</f>
        <v/>
      </c>
      <c r="Y2196" s="23" t="str">
        <f aca="false">IF(AND(ISNUMBER(C2196),ISNUMBER(D2196)),D2196-C2196,"")</f>
        <v/>
      </c>
      <c r="Z2196" s="23" t="str">
        <f aca="false">IF(B2196="","",IF(MATCH(B2196,$B$2:$B$12000,0)=ROW()-1,1,0))</f>
        <v/>
      </c>
    </row>
    <row r="2197" customFormat="false" ht="15" hidden="false" customHeight="false" outlineLevel="0" collapsed="false">
      <c r="V2197" s="23" t="str">
        <f aca="false">IF(ISNUMBER(C2197),YEAR(C2197),"")</f>
        <v/>
      </c>
      <c r="W2197" s="23" t="str">
        <f aca="false">IF(ISNUMBER(C2197),MONTH(C2197),"")</f>
        <v/>
      </c>
      <c r="X2197" s="23" t="str">
        <f aca="false">IF(T2197="","",IF(T2197=0,"No discount",IF(T2197&lt;=0.2,"Low (1-20%)",IF(T2197&lt;=0.4,"Medium (21-40%)","High (&gt;40%)"))))</f>
        <v/>
      </c>
      <c r="Y2197" s="23" t="str">
        <f aca="false">IF(AND(ISNUMBER(C2197),ISNUMBER(D2197)),D2197-C2197,"")</f>
        <v/>
      </c>
      <c r="Z2197" s="23" t="str">
        <f aca="false">IF(B2197="","",IF(MATCH(B2197,$B$2:$B$12000,0)=ROW()-1,1,0))</f>
        <v/>
      </c>
    </row>
    <row r="2198" customFormat="false" ht="15" hidden="false" customHeight="false" outlineLevel="0" collapsed="false">
      <c r="V2198" s="23" t="str">
        <f aca="false">IF(ISNUMBER(C2198),YEAR(C2198),"")</f>
        <v/>
      </c>
      <c r="W2198" s="23" t="str">
        <f aca="false">IF(ISNUMBER(C2198),MONTH(C2198),"")</f>
        <v/>
      </c>
      <c r="X2198" s="23" t="str">
        <f aca="false">IF(T2198="","",IF(T2198=0,"No discount",IF(T2198&lt;=0.2,"Low (1-20%)",IF(T2198&lt;=0.4,"Medium (21-40%)","High (&gt;40%)"))))</f>
        <v/>
      </c>
      <c r="Y2198" s="23" t="str">
        <f aca="false">IF(AND(ISNUMBER(C2198),ISNUMBER(D2198)),D2198-C2198,"")</f>
        <v/>
      </c>
      <c r="Z2198" s="23" t="str">
        <f aca="false">IF(B2198="","",IF(MATCH(B2198,$B$2:$B$12000,0)=ROW()-1,1,0))</f>
        <v/>
      </c>
    </row>
    <row r="2199" customFormat="false" ht="15" hidden="false" customHeight="false" outlineLevel="0" collapsed="false">
      <c r="V2199" s="23" t="str">
        <f aca="false">IF(ISNUMBER(C2199),YEAR(C2199),"")</f>
        <v/>
      </c>
      <c r="W2199" s="23" t="str">
        <f aca="false">IF(ISNUMBER(C2199),MONTH(C2199),"")</f>
        <v/>
      </c>
      <c r="X2199" s="23" t="str">
        <f aca="false">IF(T2199="","",IF(T2199=0,"No discount",IF(T2199&lt;=0.2,"Low (1-20%)",IF(T2199&lt;=0.4,"Medium (21-40%)","High (&gt;40%)"))))</f>
        <v/>
      </c>
      <c r="Y2199" s="23" t="str">
        <f aca="false">IF(AND(ISNUMBER(C2199),ISNUMBER(D2199)),D2199-C2199,"")</f>
        <v/>
      </c>
      <c r="Z2199" s="23" t="str">
        <f aca="false">IF(B2199="","",IF(MATCH(B2199,$B$2:$B$12000,0)=ROW()-1,1,0))</f>
        <v/>
      </c>
    </row>
    <row r="2200" customFormat="false" ht="15" hidden="false" customHeight="false" outlineLevel="0" collapsed="false">
      <c r="V2200" s="23" t="str">
        <f aca="false">IF(ISNUMBER(C2200),YEAR(C2200),"")</f>
        <v/>
      </c>
      <c r="W2200" s="23" t="str">
        <f aca="false">IF(ISNUMBER(C2200),MONTH(C2200),"")</f>
        <v/>
      </c>
      <c r="X2200" s="23" t="str">
        <f aca="false">IF(T2200="","",IF(T2200=0,"No discount",IF(T2200&lt;=0.2,"Low (1-20%)",IF(T2200&lt;=0.4,"Medium (21-40%)","High (&gt;40%)"))))</f>
        <v/>
      </c>
      <c r="Y2200" s="23" t="str">
        <f aca="false">IF(AND(ISNUMBER(C2200),ISNUMBER(D2200)),D2200-C2200,"")</f>
        <v/>
      </c>
      <c r="Z2200" s="23" t="str">
        <f aca="false">IF(B2200="","",IF(MATCH(B2200,$B$2:$B$12000,0)=ROW()-1,1,0))</f>
        <v/>
      </c>
    </row>
    <row r="2201" customFormat="false" ht="15" hidden="false" customHeight="false" outlineLevel="0" collapsed="false">
      <c r="V2201" s="23" t="str">
        <f aca="false">IF(ISNUMBER(C2201),YEAR(C2201),"")</f>
        <v/>
      </c>
      <c r="W2201" s="23" t="str">
        <f aca="false">IF(ISNUMBER(C2201),MONTH(C2201),"")</f>
        <v/>
      </c>
      <c r="X2201" s="23" t="str">
        <f aca="false">IF(T2201="","",IF(T2201=0,"No discount",IF(T2201&lt;=0.2,"Low (1-20%)",IF(T2201&lt;=0.4,"Medium (21-40%)","High (&gt;40%)"))))</f>
        <v/>
      </c>
      <c r="Y2201" s="23" t="str">
        <f aca="false">IF(AND(ISNUMBER(C2201),ISNUMBER(D2201)),D2201-C2201,"")</f>
        <v/>
      </c>
      <c r="Z2201" s="23" t="str">
        <f aca="false">IF(B2201="","",IF(MATCH(B2201,$B$2:$B$12000,0)=ROW()-1,1,0))</f>
        <v/>
      </c>
    </row>
    <row r="2202" customFormat="false" ht="15" hidden="false" customHeight="false" outlineLevel="0" collapsed="false">
      <c r="V2202" s="23" t="str">
        <f aca="false">IF(ISNUMBER(C2202),YEAR(C2202),"")</f>
        <v/>
      </c>
      <c r="W2202" s="23" t="str">
        <f aca="false">IF(ISNUMBER(C2202),MONTH(C2202),"")</f>
        <v/>
      </c>
      <c r="X2202" s="23" t="str">
        <f aca="false">IF(T2202="","",IF(T2202=0,"No discount",IF(T2202&lt;=0.2,"Low (1-20%)",IF(T2202&lt;=0.4,"Medium (21-40%)","High (&gt;40%)"))))</f>
        <v/>
      </c>
      <c r="Y2202" s="23" t="str">
        <f aca="false">IF(AND(ISNUMBER(C2202),ISNUMBER(D2202)),D2202-C2202,"")</f>
        <v/>
      </c>
      <c r="Z2202" s="23" t="str">
        <f aca="false">IF(B2202="","",IF(MATCH(B2202,$B$2:$B$12000,0)=ROW()-1,1,0))</f>
        <v/>
      </c>
    </row>
    <row r="2203" customFormat="false" ht="15" hidden="false" customHeight="false" outlineLevel="0" collapsed="false">
      <c r="V2203" s="23" t="str">
        <f aca="false">IF(ISNUMBER(C2203),YEAR(C2203),"")</f>
        <v/>
      </c>
      <c r="W2203" s="23" t="str">
        <f aca="false">IF(ISNUMBER(C2203),MONTH(C2203),"")</f>
        <v/>
      </c>
      <c r="X2203" s="23" t="str">
        <f aca="false">IF(T2203="","",IF(T2203=0,"No discount",IF(T2203&lt;=0.2,"Low (1-20%)",IF(T2203&lt;=0.4,"Medium (21-40%)","High (&gt;40%)"))))</f>
        <v/>
      </c>
      <c r="Y2203" s="23" t="str">
        <f aca="false">IF(AND(ISNUMBER(C2203),ISNUMBER(D2203)),D2203-C2203,"")</f>
        <v/>
      </c>
      <c r="Z2203" s="23" t="str">
        <f aca="false">IF(B2203="","",IF(MATCH(B2203,$B$2:$B$12000,0)=ROW()-1,1,0))</f>
        <v/>
      </c>
    </row>
    <row r="2204" customFormat="false" ht="15" hidden="false" customHeight="false" outlineLevel="0" collapsed="false">
      <c r="V2204" s="23" t="str">
        <f aca="false">IF(ISNUMBER(C2204),YEAR(C2204),"")</f>
        <v/>
      </c>
      <c r="W2204" s="23" t="str">
        <f aca="false">IF(ISNUMBER(C2204),MONTH(C2204),"")</f>
        <v/>
      </c>
      <c r="X2204" s="23" t="str">
        <f aca="false">IF(T2204="","",IF(T2204=0,"No discount",IF(T2204&lt;=0.2,"Low (1-20%)",IF(T2204&lt;=0.4,"Medium (21-40%)","High (&gt;40%)"))))</f>
        <v/>
      </c>
      <c r="Y2204" s="23" t="str">
        <f aca="false">IF(AND(ISNUMBER(C2204),ISNUMBER(D2204)),D2204-C2204,"")</f>
        <v/>
      </c>
      <c r="Z2204" s="23" t="str">
        <f aca="false">IF(B2204="","",IF(MATCH(B2204,$B$2:$B$12000,0)=ROW()-1,1,0))</f>
        <v/>
      </c>
    </row>
    <row r="2205" customFormat="false" ht="15" hidden="false" customHeight="false" outlineLevel="0" collapsed="false">
      <c r="V2205" s="23" t="str">
        <f aca="false">IF(ISNUMBER(C2205),YEAR(C2205),"")</f>
        <v/>
      </c>
      <c r="W2205" s="23" t="str">
        <f aca="false">IF(ISNUMBER(C2205),MONTH(C2205),"")</f>
        <v/>
      </c>
      <c r="X2205" s="23" t="str">
        <f aca="false">IF(T2205="","",IF(T2205=0,"No discount",IF(T2205&lt;=0.2,"Low (1-20%)",IF(T2205&lt;=0.4,"Medium (21-40%)","High (&gt;40%)"))))</f>
        <v/>
      </c>
      <c r="Y2205" s="23" t="str">
        <f aca="false">IF(AND(ISNUMBER(C2205),ISNUMBER(D2205)),D2205-C2205,"")</f>
        <v/>
      </c>
      <c r="Z2205" s="23" t="str">
        <f aca="false">IF(B2205="","",IF(MATCH(B2205,$B$2:$B$12000,0)=ROW()-1,1,0))</f>
        <v/>
      </c>
    </row>
    <row r="2206" customFormat="false" ht="15" hidden="false" customHeight="false" outlineLevel="0" collapsed="false">
      <c r="V2206" s="23" t="str">
        <f aca="false">IF(ISNUMBER(C2206),YEAR(C2206),"")</f>
        <v/>
      </c>
      <c r="W2206" s="23" t="str">
        <f aca="false">IF(ISNUMBER(C2206),MONTH(C2206),"")</f>
        <v/>
      </c>
      <c r="X2206" s="23" t="str">
        <f aca="false">IF(T2206="","",IF(T2206=0,"No discount",IF(T2206&lt;=0.2,"Low (1-20%)",IF(T2206&lt;=0.4,"Medium (21-40%)","High (&gt;40%)"))))</f>
        <v/>
      </c>
      <c r="Y2206" s="23" t="str">
        <f aca="false">IF(AND(ISNUMBER(C2206),ISNUMBER(D2206)),D2206-C2206,"")</f>
        <v/>
      </c>
      <c r="Z2206" s="23" t="str">
        <f aca="false">IF(B2206="","",IF(MATCH(B2206,$B$2:$B$12000,0)=ROW()-1,1,0))</f>
        <v/>
      </c>
    </row>
    <row r="2207" customFormat="false" ht="15" hidden="false" customHeight="false" outlineLevel="0" collapsed="false">
      <c r="V2207" s="23" t="str">
        <f aca="false">IF(ISNUMBER(C2207),YEAR(C2207),"")</f>
        <v/>
      </c>
      <c r="W2207" s="23" t="str">
        <f aca="false">IF(ISNUMBER(C2207),MONTH(C2207),"")</f>
        <v/>
      </c>
      <c r="X2207" s="23" t="str">
        <f aca="false">IF(T2207="","",IF(T2207=0,"No discount",IF(T2207&lt;=0.2,"Low (1-20%)",IF(T2207&lt;=0.4,"Medium (21-40%)","High (&gt;40%)"))))</f>
        <v/>
      </c>
      <c r="Y2207" s="23" t="str">
        <f aca="false">IF(AND(ISNUMBER(C2207),ISNUMBER(D2207)),D2207-C2207,"")</f>
        <v/>
      </c>
      <c r="Z2207" s="23" t="str">
        <f aca="false">IF(B2207="","",IF(MATCH(B2207,$B$2:$B$12000,0)=ROW()-1,1,0))</f>
        <v/>
      </c>
    </row>
    <row r="2208" customFormat="false" ht="15" hidden="false" customHeight="false" outlineLevel="0" collapsed="false">
      <c r="V2208" s="23" t="str">
        <f aca="false">IF(ISNUMBER(C2208),YEAR(C2208),"")</f>
        <v/>
      </c>
      <c r="W2208" s="23" t="str">
        <f aca="false">IF(ISNUMBER(C2208),MONTH(C2208),"")</f>
        <v/>
      </c>
      <c r="X2208" s="23" t="str">
        <f aca="false">IF(T2208="","",IF(T2208=0,"No discount",IF(T2208&lt;=0.2,"Low (1-20%)",IF(T2208&lt;=0.4,"Medium (21-40%)","High (&gt;40%)"))))</f>
        <v/>
      </c>
      <c r="Y2208" s="23" t="str">
        <f aca="false">IF(AND(ISNUMBER(C2208),ISNUMBER(D2208)),D2208-C2208,"")</f>
        <v/>
      </c>
      <c r="Z2208" s="23" t="str">
        <f aca="false">IF(B2208="","",IF(MATCH(B2208,$B$2:$B$12000,0)=ROW()-1,1,0))</f>
        <v/>
      </c>
    </row>
    <row r="2209" customFormat="false" ht="15" hidden="false" customHeight="false" outlineLevel="0" collapsed="false">
      <c r="V2209" s="23" t="str">
        <f aca="false">IF(ISNUMBER(C2209),YEAR(C2209),"")</f>
        <v/>
      </c>
      <c r="W2209" s="23" t="str">
        <f aca="false">IF(ISNUMBER(C2209),MONTH(C2209),"")</f>
        <v/>
      </c>
      <c r="X2209" s="23" t="str">
        <f aca="false">IF(T2209="","",IF(T2209=0,"No discount",IF(T2209&lt;=0.2,"Low (1-20%)",IF(T2209&lt;=0.4,"Medium (21-40%)","High (&gt;40%)"))))</f>
        <v/>
      </c>
      <c r="Y2209" s="23" t="str">
        <f aca="false">IF(AND(ISNUMBER(C2209),ISNUMBER(D2209)),D2209-C2209,"")</f>
        <v/>
      </c>
      <c r="Z2209" s="23" t="str">
        <f aca="false">IF(B2209="","",IF(MATCH(B2209,$B$2:$B$12000,0)=ROW()-1,1,0))</f>
        <v/>
      </c>
    </row>
    <row r="2210" customFormat="false" ht="15" hidden="false" customHeight="false" outlineLevel="0" collapsed="false">
      <c r="V2210" s="23" t="str">
        <f aca="false">IF(ISNUMBER(C2210),YEAR(C2210),"")</f>
        <v/>
      </c>
      <c r="W2210" s="23" t="str">
        <f aca="false">IF(ISNUMBER(C2210),MONTH(C2210),"")</f>
        <v/>
      </c>
      <c r="X2210" s="23" t="str">
        <f aca="false">IF(T2210="","",IF(T2210=0,"No discount",IF(T2210&lt;=0.2,"Low (1-20%)",IF(T2210&lt;=0.4,"Medium (21-40%)","High (&gt;40%)"))))</f>
        <v/>
      </c>
      <c r="Y2210" s="23" t="str">
        <f aca="false">IF(AND(ISNUMBER(C2210),ISNUMBER(D2210)),D2210-C2210,"")</f>
        <v/>
      </c>
      <c r="Z2210" s="23" t="str">
        <f aca="false">IF(B2210="","",IF(MATCH(B2210,$B$2:$B$12000,0)=ROW()-1,1,0))</f>
        <v/>
      </c>
    </row>
    <row r="2211" customFormat="false" ht="15" hidden="false" customHeight="false" outlineLevel="0" collapsed="false">
      <c r="V2211" s="23" t="str">
        <f aca="false">IF(ISNUMBER(C2211),YEAR(C2211),"")</f>
        <v/>
      </c>
      <c r="W2211" s="23" t="str">
        <f aca="false">IF(ISNUMBER(C2211),MONTH(C2211),"")</f>
        <v/>
      </c>
      <c r="X2211" s="23" t="str">
        <f aca="false">IF(T2211="","",IF(T2211=0,"No discount",IF(T2211&lt;=0.2,"Low (1-20%)",IF(T2211&lt;=0.4,"Medium (21-40%)","High (&gt;40%)"))))</f>
        <v/>
      </c>
      <c r="Y2211" s="23" t="str">
        <f aca="false">IF(AND(ISNUMBER(C2211),ISNUMBER(D2211)),D2211-C2211,"")</f>
        <v/>
      </c>
      <c r="Z2211" s="23" t="str">
        <f aca="false">IF(B2211="","",IF(MATCH(B2211,$B$2:$B$12000,0)=ROW()-1,1,0))</f>
        <v/>
      </c>
    </row>
    <row r="2212" customFormat="false" ht="15" hidden="false" customHeight="false" outlineLevel="0" collapsed="false">
      <c r="V2212" s="23" t="str">
        <f aca="false">IF(ISNUMBER(C2212),YEAR(C2212),"")</f>
        <v/>
      </c>
      <c r="W2212" s="23" t="str">
        <f aca="false">IF(ISNUMBER(C2212),MONTH(C2212),"")</f>
        <v/>
      </c>
      <c r="X2212" s="23" t="str">
        <f aca="false">IF(T2212="","",IF(T2212=0,"No discount",IF(T2212&lt;=0.2,"Low (1-20%)",IF(T2212&lt;=0.4,"Medium (21-40%)","High (&gt;40%)"))))</f>
        <v/>
      </c>
      <c r="Y2212" s="23" t="str">
        <f aca="false">IF(AND(ISNUMBER(C2212),ISNUMBER(D2212)),D2212-C2212,"")</f>
        <v/>
      </c>
      <c r="Z2212" s="23" t="str">
        <f aca="false">IF(B2212="","",IF(MATCH(B2212,$B$2:$B$12000,0)=ROW()-1,1,0))</f>
        <v/>
      </c>
    </row>
    <row r="2213" customFormat="false" ht="15" hidden="false" customHeight="false" outlineLevel="0" collapsed="false">
      <c r="V2213" s="23" t="str">
        <f aca="false">IF(ISNUMBER(C2213),YEAR(C2213),"")</f>
        <v/>
      </c>
      <c r="W2213" s="23" t="str">
        <f aca="false">IF(ISNUMBER(C2213),MONTH(C2213),"")</f>
        <v/>
      </c>
      <c r="X2213" s="23" t="str">
        <f aca="false">IF(T2213="","",IF(T2213=0,"No discount",IF(T2213&lt;=0.2,"Low (1-20%)",IF(T2213&lt;=0.4,"Medium (21-40%)","High (&gt;40%)"))))</f>
        <v/>
      </c>
      <c r="Y2213" s="23" t="str">
        <f aca="false">IF(AND(ISNUMBER(C2213),ISNUMBER(D2213)),D2213-C2213,"")</f>
        <v/>
      </c>
      <c r="Z2213" s="23" t="str">
        <f aca="false">IF(B2213="","",IF(MATCH(B2213,$B$2:$B$12000,0)=ROW()-1,1,0))</f>
        <v/>
      </c>
    </row>
    <row r="2214" customFormat="false" ht="15" hidden="false" customHeight="false" outlineLevel="0" collapsed="false">
      <c r="V2214" s="23" t="str">
        <f aca="false">IF(ISNUMBER(C2214),YEAR(C2214),"")</f>
        <v/>
      </c>
      <c r="W2214" s="23" t="str">
        <f aca="false">IF(ISNUMBER(C2214),MONTH(C2214),"")</f>
        <v/>
      </c>
      <c r="X2214" s="23" t="str">
        <f aca="false">IF(T2214="","",IF(T2214=0,"No discount",IF(T2214&lt;=0.2,"Low (1-20%)",IF(T2214&lt;=0.4,"Medium (21-40%)","High (&gt;40%)"))))</f>
        <v/>
      </c>
      <c r="Y2214" s="23" t="str">
        <f aca="false">IF(AND(ISNUMBER(C2214),ISNUMBER(D2214)),D2214-C2214,"")</f>
        <v/>
      </c>
      <c r="Z2214" s="23" t="str">
        <f aca="false">IF(B2214="","",IF(MATCH(B2214,$B$2:$B$12000,0)=ROW()-1,1,0))</f>
        <v/>
      </c>
    </row>
    <row r="2215" customFormat="false" ht="15" hidden="false" customHeight="false" outlineLevel="0" collapsed="false">
      <c r="V2215" s="23" t="str">
        <f aca="false">IF(ISNUMBER(C2215),YEAR(C2215),"")</f>
        <v/>
      </c>
      <c r="W2215" s="23" t="str">
        <f aca="false">IF(ISNUMBER(C2215),MONTH(C2215),"")</f>
        <v/>
      </c>
      <c r="X2215" s="23" t="str">
        <f aca="false">IF(T2215="","",IF(T2215=0,"No discount",IF(T2215&lt;=0.2,"Low (1-20%)",IF(T2215&lt;=0.4,"Medium (21-40%)","High (&gt;40%)"))))</f>
        <v/>
      </c>
      <c r="Y2215" s="23" t="str">
        <f aca="false">IF(AND(ISNUMBER(C2215),ISNUMBER(D2215)),D2215-C2215,"")</f>
        <v/>
      </c>
      <c r="Z2215" s="23" t="str">
        <f aca="false">IF(B2215="","",IF(MATCH(B2215,$B$2:$B$12000,0)=ROW()-1,1,0))</f>
        <v/>
      </c>
    </row>
    <row r="2216" customFormat="false" ht="15" hidden="false" customHeight="false" outlineLevel="0" collapsed="false">
      <c r="V2216" s="23" t="str">
        <f aca="false">IF(ISNUMBER(C2216),YEAR(C2216),"")</f>
        <v/>
      </c>
      <c r="W2216" s="23" t="str">
        <f aca="false">IF(ISNUMBER(C2216),MONTH(C2216),"")</f>
        <v/>
      </c>
      <c r="X2216" s="23" t="str">
        <f aca="false">IF(T2216="","",IF(T2216=0,"No discount",IF(T2216&lt;=0.2,"Low (1-20%)",IF(T2216&lt;=0.4,"Medium (21-40%)","High (&gt;40%)"))))</f>
        <v/>
      </c>
      <c r="Y2216" s="23" t="str">
        <f aca="false">IF(AND(ISNUMBER(C2216),ISNUMBER(D2216)),D2216-C2216,"")</f>
        <v/>
      </c>
      <c r="Z2216" s="23" t="str">
        <f aca="false">IF(B2216="","",IF(MATCH(B2216,$B$2:$B$12000,0)=ROW()-1,1,0))</f>
        <v/>
      </c>
    </row>
    <row r="2217" customFormat="false" ht="15" hidden="false" customHeight="false" outlineLevel="0" collapsed="false">
      <c r="V2217" s="23" t="str">
        <f aca="false">IF(ISNUMBER(C2217),YEAR(C2217),"")</f>
        <v/>
      </c>
      <c r="W2217" s="23" t="str">
        <f aca="false">IF(ISNUMBER(C2217),MONTH(C2217),"")</f>
        <v/>
      </c>
      <c r="X2217" s="23" t="str">
        <f aca="false">IF(T2217="","",IF(T2217=0,"No discount",IF(T2217&lt;=0.2,"Low (1-20%)",IF(T2217&lt;=0.4,"Medium (21-40%)","High (&gt;40%)"))))</f>
        <v/>
      </c>
      <c r="Y2217" s="23" t="str">
        <f aca="false">IF(AND(ISNUMBER(C2217),ISNUMBER(D2217)),D2217-C2217,"")</f>
        <v/>
      </c>
      <c r="Z2217" s="23" t="str">
        <f aca="false">IF(B2217="","",IF(MATCH(B2217,$B$2:$B$12000,0)=ROW()-1,1,0))</f>
        <v/>
      </c>
    </row>
    <row r="2218" customFormat="false" ht="15" hidden="false" customHeight="false" outlineLevel="0" collapsed="false">
      <c r="V2218" s="23" t="str">
        <f aca="false">IF(ISNUMBER(C2218),YEAR(C2218),"")</f>
        <v/>
      </c>
      <c r="W2218" s="23" t="str">
        <f aca="false">IF(ISNUMBER(C2218),MONTH(C2218),"")</f>
        <v/>
      </c>
      <c r="X2218" s="23" t="str">
        <f aca="false">IF(T2218="","",IF(T2218=0,"No discount",IF(T2218&lt;=0.2,"Low (1-20%)",IF(T2218&lt;=0.4,"Medium (21-40%)","High (&gt;40%)"))))</f>
        <v/>
      </c>
      <c r="Y2218" s="23" t="str">
        <f aca="false">IF(AND(ISNUMBER(C2218),ISNUMBER(D2218)),D2218-C2218,"")</f>
        <v/>
      </c>
      <c r="Z2218" s="23" t="str">
        <f aca="false">IF(B2218="","",IF(MATCH(B2218,$B$2:$B$12000,0)=ROW()-1,1,0))</f>
        <v/>
      </c>
    </row>
    <row r="2219" customFormat="false" ht="15" hidden="false" customHeight="false" outlineLevel="0" collapsed="false">
      <c r="V2219" s="23" t="str">
        <f aca="false">IF(ISNUMBER(C2219),YEAR(C2219),"")</f>
        <v/>
      </c>
      <c r="W2219" s="23" t="str">
        <f aca="false">IF(ISNUMBER(C2219),MONTH(C2219),"")</f>
        <v/>
      </c>
      <c r="X2219" s="23" t="str">
        <f aca="false">IF(T2219="","",IF(T2219=0,"No discount",IF(T2219&lt;=0.2,"Low (1-20%)",IF(T2219&lt;=0.4,"Medium (21-40%)","High (&gt;40%)"))))</f>
        <v/>
      </c>
      <c r="Y2219" s="23" t="str">
        <f aca="false">IF(AND(ISNUMBER(C2219),ISNUMBER(D2219)),D2219-C2219,"")</f>
        <v/>
      </c>
      <c r="Z2219" s="23" t="str">
        <f aca="false">IF(B2219="","",IF(MATCH(B2219,$B$2:$B$12000,0)=ROW()-1,1,0))</f>
        <v/>
      </c>
    </row>
    <row r="2220" customFormat="false" ht="15" hidden="false" customHeight="false" outlineLevel="0" collapsed="false">
      <c r="V2220" s="23" t="str">
        <f aca="false">IF(ISNUMBER(C2220),YEAR(C2220),"")</f>
        <v/>
      </c>
      <c r="W2220" s="23" t="str">
        <f aca="false">IF(ISNUMBER(C2220),MONTH(C2220),"")</f>
        <v/>
      </c>
      <c r="X2220" s="23" t="str">
        <f aca="false">IF(T2220="","",IF(T2220=0,"No discount",IF(T2220&lt;=0.2,"Low (1-20%)",IF(T2220&lt;=0.4,"Medium (21-40%)","High (&gt;40%)"))))</f>
        <v/>
      </c>
      <c r="Y2220" s="23" t="str">
        <f aca="false">IF(AND(ISNUMBER(C2220),ISNUMBER(D2220)),D2220-C2220,"")</f>
        <v/>
      </c>
      <c r="Z2220" s="23" t="str">
        <f aca="false">IF(B2220="","",IF(MATCH(B2220,$B$2:$B$12000,0)=ROW()-1,1,0))</f>
        <v/>
      </c>
    </row>
    <row r="2221" customFormat="false" ht="15" hidden="false" customHeight="false" outlineLevel="0" collapsed="false">
      <c r="V2221" s="23" t="str">
        <f aca="false">IF(ISNUMBER(C2221),YEAR(C2221),"")</f>
        <v/>
      </c>
      <c r="W2221" s="23" t="str">
        <f aca="false">IF(ISNUMBER(C2221),MONTH(C2221),"")</f>
        <v/>
      </c>
      <c r="X2221" s="23" t="str">
        <f aca="false">IF(T2221="","",IF(T2221=0,"No discount",IF(T2221&lt;=0.2,"Low (1-20%)",IF(T2221&lt;=0.4,"Medium (21-40%)","High (&gt;40%)"))))</f>
        <v/>
      </c>
      <c r="Y2221" s="23" t="str">
        <f aca="false">IF(AND(ISNUMBER(C2221),ISNUMBER(D2221)),D2221-C2221,"")</f>
        <v/>
      </c>
      <c r="Z2221" s="23" t="str">
        <f aca="false">IF(B2221="","",IF(MATCH(B2221,$B$2:$B$12000,0)=ROW()-1,1,0))</f>
        <v/>
      </c>
    </row>
    <row r="2222" customFormat="false" ht="15" hidden="false" customHeight="false" outlineLevel="0" collapsed="false">
      <c r="V2222" s="23" t="str">
        <f aca="false">IF(ISNUMBER(C2222),YEAR(C2222),"")</f>
        <v/>
      </c>
      <c r="W2222" s="23" t="str">
        <f aca="false">IF(ISNUMBER(C2222),MONTH(C2222),"")</f>
        <v/>
      </c>
      <c r="X2222" s="23" t="str">
        <f aca="false">IF(T2222="","",IF(T2222=0,"No discount",IF(T2222&lt;=0.2,"Low (1-20%)",IF(T2222&lt;=0.4,"Medium (21-40%)","High (&gt;40%)"))))</f>
        <v/>
      </c>
      <c r="Y2222" s="23" t="str">
        <f aca="false">IF(AND(ISNUMBER(C2222),ISNUMBER(D2222)),D2222-C2222,"")</f>
        <v/>
      </c>
      <c r="Z2222" s="23" t="str">
        <f aca="false">IF(B2222="","",IF(MATCH(B2222,$B$2:$B$12000,0)=ROW()-1,1,0))</f>
        <v/>
      </c>
    </row>
    <row r="2223" customFormat="false" ht="15" hidden="false" customHeight="false" outlineLevel="0" collapsed="false">
      <c r="V2223" s="23" t="str">
        <f aca="false">IF(ISNUMBER(C2223),YEAR(C2223),"")</f>
        <v/>
      </c>
      <c r="W2223" s="23" t="str">
        <f aca="false">IF(ISNUMBER(C2223),MONTH(C2223),"")</f>
        <v/>
      </c>
      <c r="X2223" s="23" t="str">
        <f aca="false">IF(T2223="","",IF(T2223=0,"No discount",IF(T2223&lt;=0.2,"Low (1-20%)",IF(T2223&lt;=0.4,"Medium (21-40%)","High (&gt;40%)"))))</f>
        <v/>
      </c>
      <c r="Y2223" s="23" t="str">
        <f aca="false">IF(AND(ISNUMBER(C2223),ISNUMBER(D2223)),D2223-C2223,"")</f>
        <v/>
      </c>
      <c r="Z2223" s="23" t="str">
        <f aca="false">IF(B2223="","",IF(MATCH(B2223,$B$2:$B$12000,0)=ROW()-1,1,0))</f>
        <v/>
      </c>
    </row>
    <row r="2224" customFormat="false" ht="15" hidden="false" customHeight="false" outlineLevel="0" collapsed="false">
      <c r="V2224" s="23" t="str">
        <f aca="false">IF(ISNUMBER(C2224),YEAR(C2224),"")</f>
        <v/>
      </c>
      <c r="W2224" s="23" t="str">
        <f aca="false">IF(ISNUMBER(C2224),MONTH(C2224),"")</f>
        <v/>
      </c>
      <c r="X2224" s="23" t="str">
        <f aca="false">IF(T2224="","",IF(T2224=0,"No discount",IF(T2224&lt;=0.2,"Low (1-20%)",IF(T2224&lt;=0.4,"Medium (21-40%)","High (&gt;40%)"))))</f>
        <v/>
      </c>
      <c r="Y2224" s="23" t="str">
        <f aca="false">IF(AND(ISNUMBER(C2224),ISNUMBER(D2224)),D2224-C2224,"")</f>
        <v/>
      </c>
      <c r="Z2224" s="23" t="str">
        <f aca="false">IF(B2224="","",IF(MATCH(B2224,$B$2:$B$12000,0)=ROW()-1,1,0))</f>
        <v/>
      </c>
    </row>
    <row r="2225" customFormat="false" ht="15" hidden="false" customHeight="false" outlineLevel="0" collapsed="false">
      <c r="V2225" s="23" t="str">
        <f aca="false">IF(ISNUMBER(C2225),YEAR(C2225),"")</f>
        <v/>
      </c>
      <c r="W2225" s="23" t="str">
        <f aca="false">IF(ISNUMBER(C2225),MONTH(C2225),"")</f>
        <v/>
      </c>
      <c r="X2225" s="23" t="str">
        <f aca="false">IF(T2225="","",IF(T2225=0,"No discount",IF(T2225&lt;=0.2,"Low (1-20%)",IF(T2225&lt;=0.4,"Medium (21-40%)","High (&gt;40%)"))))</f>
        <v/>
      </c>
      <c r="Y2225" s="23" t="str">
        <f aca="false">IF(AND(ISNUMBER(C2225),ISNUMBER(D2225)),D2225-C2225,"")</f>
        <v/>
      </c>
      <c r="Z2225" s="23" t="str">
        <f aca="false">IF(B2225="","",IF(MATCH(B2225,$B$2:$B$12000,0)=ROW()-1,1,0))</f>
        <v/>
      </c>
    </row>
    <row r="2226" customFormat="false" ht="15" hidden="false" customHeight="false" outlineLevel="0" collapsed="false">
      <c r="V2226" s="23" t="str">
        <f aca="false">IF(ISNUMBER(C2226),YEAR(C2226),"")</f>
        <v/>
      </c>
      <c r="W2226" s="23" t="str">
        <f aca="false">IF(ISNUMBER(C2226),MONTH(C2226),"")</f>
        <v/>
      </c>
      <c r="X2226" s="23" t="str">
        <f aca="false">IF(T2226="","",IF(T2226=0,"No discount",IF(T2226&lt;=0.2,"Low (1-20%)",IF(T2226&lt;=0.4,"Medium (21-40%)","High (&gt;40%)"))))</f>
        <v/>
      </c>
      <c r="Y2226" s="23" t="str">
        <f aca="false">IF(AND(ISNUMBER(C2226),ISNUMBER(D2226)),D2226-C2226,"")</f>
        <v/>
      </c>
      <c r="Z2226" s="23" t="str">
        <f aca="false">IF(B2226="","",IF(MATCH(B2226,$B$2:$B$12000,0)=ROW()-1,1,0))</f>
        <v/>
      </c>
    </row>
    <row r="2227" customFormat="false" ht="15" hidden="false" customHeight="false" outlineLevel="0" collapsed="false">
      <c r="V2227" s="23" t="str">
        <f aca="false">IF(ISNUMBER(C2227),YEAR(C2227),"")</f>
        <v/>
      </c>
      <c r="W2227" s="23" t="str">
        <f aca="false">IF(ISNUMBER(C2227),MONTH(C2227),"")</f>
        <v/>
      </c>
      <c r="X2227" s="23" t="str">
        <f aca="false">IF(T2227="","",IF(T2227=0,"No discount",IF(T2227&lt;=0.2,"Low (1-20%)",IF(T2227&lt;=0.4,"Medium (21-40%)","High (&gt;40%)"))))</f>
        <v/>
      </c>
      <c r="Y2227" s="23" t="str">
        <f aca="false">IF(AND(ISNUMBER(C2227),ISNUMBER(D2227)),D2227-C2227,"")</f>
        <v/>
      </c>
      <c r="Z2227" s="23" t="str">
        <f aca="false">IF(B2227="","",IF(MATCH(B2227,$B$2:$B$12000,0)=ROW()-1,1,0))</f>
        <v/>
      </c>
    </row>
    <row r="2228" customFormat="false" ht="15" hidden="false" customHeight="false" outlineLevel="0" collapsed="false">
      <c r="V2228" s="23" t="str">
        <f aca="false">IF(ISNUMBER(C2228),YEAR(C2228),"")</f>
        <v/>
      </c>
      <c r="W2228" s="23" t="str">
        <f aca="false">IF(ISNUMBER(C2228),MONTH(C2228),"")</f>
        <v/>
      </c>
      <c r="X2228" s="23" t="str">
        <f aca="false">IF(T2228="","",IF(T2228=0,"No discount",IF(T2228&lt;=0.2,"Low (1-20%)",IF(T2228&lt;=0.4,"Medium (21-40%)","High (&gt;40%)"))))</f>
        <v/>
      </c>
      <c r="Y2228" s="23" t="str">
        <f aca="false">IF(AND(ISNUMBER(C2228),ISNUMBER(D2228)),D2228-C2228,"")</f>
        <v/>
      </c>
      <c r="Z2228" s="23" t="str">
        <f aca="false">IF(B2228="","",IF(MATCH(B2228,$B$2:$B$12000,0)=ROW()-1,1,0))</f>
        <v/>
      </c>
    </row>
    <row r="2229" customFormat="false" ht="15" hidden="false" customHeight="false" outlineLevel="0" collapsed="false">
      <c r="V2229" s="23" t="str">
        <f aca="false">IF(ISNUMBER(C2229),YEAR(C2229),"")</f>
        <v/>
      </c>
      <c r="W2229" s="23" t="str">
        <f aca="false">IF(ISNUMBER(C2229),MONTH(C2229),"")</f>
        <v/>
      </c>
      <c r="X2229" s="23" t="str">
        <f aca="false">IF(T2229="","",IF(T2229=0,"No discount",IF(T2229&lt;=0.2,"Low (1-20%)",IF(T2229&lt;=0.4,"Medium (21-40%)","High (&gt;40%)"))))</f>
        <v/>
      </c>
      <c r="Y2229" s="23" t="str">
        <f aca="false">IF(AND(ISNUMBER(C2229),ISNUMBER(D2229)),D2229-C2229,"")</f>
        <v/>
      </c>
      <c r="Z2229" s="23" t="str">
        <f aca="false">IF(B2229="","",IF(MATCH(B2229,$B$2:$B$12000,0)=ROW()-1,1,0))</f>
        <v/>
      </c>
    </row>
    <row r="2230" customFormat="false" ht="15" hidden="false" customHeight="false" outlineLevel="0" collapsed="false">
      <c r="V2230" s="23" t="str">
        <f aca="false">IF(ISNUMBER(C2230),YEAR(C2230),"")</f>
        <v/>
      </c>
      <c r="W2230" s="23" t="str">
        <f aca="false">IF(ISNUMBER(C2230),MONTH(C2230),"")</f>
        <v/>
      </c>
      <c r="X2230" s="23" t="str">
        <f aca="false">IF(T2230="","",IF(T2230=0,"No discount",IF(T2230&lt;=0.2,"Low (1-20%)",IF(T2230&lt;=0.4,"Medium (21-40%)","High (&gt;40%)"))))</f>
        <v/>
      </c>
      <c r="Y2230" s="23" t="str">
        <f aca="false">IF(AND(ISNUMBER(C2230),ISNUMBER(D2230)),D2230-C2230,"")</f>
        <v/>
      </c>
      <c r="Z2230" s="23" t="str">
        <f aca="false">IF(B2230="","",IF(MATCH(B2230,$B$2:$B$12000,0)=ROW()-1,1,0))</f>
        <v/>
      </c>
    </row>
    <row r="2231" customFormat="false" ht="15" hidden="false" customHeight="false" outlineLevel="0" collapsed="false">
      <c r="V2231" s="23" t="str">
        <f aca="false">IF(ISNUMBER(C2231),YEAR(C2231),"")</f>
        <v/>
      </c>
      <c r="W2231" s="23" t="str">
        <f aca="false">IF(ISNUMBER(C2231),MONTH(C2231),"")</f>
        <v/>
      </c>
      <c r="X2231" s="23" t="str">
        <f aca="false">IF(T2231="","",IF(T2231=0,"No discount",IF(T2231&lt;=0.2,"Low (1-20%)",IF(T2231&lt;=0.4,"Medium (21-40%)","High (&gt;40%)"))))</f>
        <v/>
      </c>
      <c r="Y2231" s="23" t="str">
        <f aca="false">IF(AND(ISNUMBER(C2231),ISNUMBER(D2231)),D2231-C2231,"")</f>
        <v/>
      </c>
      <c r="Z2231" s="23" t="str">
        <f aca="false">IF(B2231="","",IF(MATCH(B2231,$B$2:$B$12000,0)=ROW()-1,1,0))</f>
        <v/>
      </c>
    </row>
    <row r="2232" customFormat="false" ht="15" hidden="false" customHeight="false" outlineLevel="0" collapsed="false">
      <c r="V2232" s="23" t="str">
        <f aca="false">IF(ISNUMBER(C2232),YEAR(C2232),"")</f>
        <v/>
      </c>
      <c r="W2232" s="23" t="str">
        <f aca="false">IF(ISNUMBER(C2232),MONTH(C2232),"")</f>
        <v/>
      </c>
      <c r="X2232" s="23" t="str">
        <f aca="false">IF(T2232="","",IF(T2232=0,"No discount",IF(T2232&lt;=0.2,"Low (1-20%)",IF(T2232&lt;=0.4,"Medium (21-40%)","High (&gt;40%)"))))</f>
        <v/>
      </c>
      <c r="Y2232" s="23" t="str">
        <f aca="false">IF(AND(ISNUMBER(C2232),ISNUMBER(D2232)),D2232-C2232,"")</f>
        <v/>
      </c>
      <c r="Z2232" s="23" t="str">
        <f aca="false">IF(B2232="","",IF(MATCH(B2232,$B$2:$B$12000,0)=ROW()-1,1,0))</f>
        <v/>
      </c>
    </row>
    <row r="2233" customFormat="false" ht="15" hidden="false" customHeight="false" outlineLevel="0" collapsed="false">
      <c r="V2233" s="23" t="str">
        <f aca="false">IF(ISNUMBER(C2233),YEAR(C2233),"")</f>
        <v/>
      </c>
      <c r="W2233" s="23" t="str">
        <f aca="false">IF(ISNUMBER(C2233),MONTH(C2233),"")</f>
        <v/>
      </c>
      <c r="X2233" s="23" t="str">
        <f aca="false">IF(T2233="","",IF(T2233=0,"No discount",IF(T2233&lt;=0.2,"Low (1-20%)",IF(T2233&lt;=0.4,"Medium (21-40%)","High (&gt;40%)"))))</f>
        <v/>
      </c>
      <c r="Y2233" s="23" t="str">
        <f aca="false">IF(AND(ISNUMBER(C2233),ISNUMBER(D2233)),D2233-C2233,"")</f>
        <v/>
      </c>
      <c r="Z2233" s="23" t="str">
        <f aca="false">IF(B2233="","",IF(MATCH(B2233,$B$2:$B$12000,0)=ROW()-1,1,0))</f>
        <v/>
      </c>
    </row>
    <row r="2234" customFormat="false" ht="15" hidden="false" customHeight="false" outlineLevel="0" collapsed="false">
      <c r="V2234" s="23" t="str">
        <f aca="false">IF(ISNUMBER(C2234),YEAR(C2234),"")</f>
        <v/>
      </c>
      <c r="W2234" s="23" t="str">
        <f aca="false">IF(ISNUMBER(C2234),MONTH(C2234),"")</f>
        <v/>
      </c>
      <c r="X2234" s="23" t="str">
        <f aca="false">IF(T2234="","",IF(T2234=0,"No discount",IF(T2234&lt;=0.2,"Low (1-20%)",IF(T2234&lt;=0.4,"Medium (21-40%)","High (&gt;40%)"))))</f>
        <v/>
      </c>
      <c r="Y2234" s="23" t="str">
        <f aca="false">IF(AND(ISNUMBER(C2234),ISNUMBER(D2234)),D2234-C2234,"")</f>
        <v/>
      </c>
      <c r="Z2234" s="23" t="str">
        <f aca="false">IF(B2234="","",IF(MATCH(B2234,$B$2:$B$12000,0)=ROW()-1,1,0))</f>
        <v/>
      </c>
    </row>
    <row r="2235" customFormat="false" ht="15" hidden="false" customHeight="false" outlineLevel="0" collapsed="false">
      <c r="V2235" s="23" t="str">
        <f aca="false">IF(ISNUMBER(C2235),YEAR(C2235),"")</f>
        <v/>
      </c>
      <c r="W2235" s="23" t="str">
        <f aca="false">IF(ISNUMBER(C2235),MONTH(C2235),"")</f>
        <v/>
      </c>
      <c r="X2235" s="23" t="str">
        <f aca="false">IF(T2235="","",IF(T2235=0,"No discount",IF(T2235&lt;=0.2,"Low (1-20%)",IF(T2235&lt;=0.4,"Medium (21-40%)","High (&gt;40%)"))))</f>
        <v/>
      </c>
      <c r="Y2235" s="23" t="str">
        <f aca="false">IF(AND(ISNUMBER(C2235),ISNUMBER(D2235)),D2235-C2235,"")</f>
        <v/>
      </c>
      <c r="Z2235" s="23" t="str">
        <f aca="false">IF(B2235="","",IF(MATCH(B2235,$B$2:$B$12000,0)=ROW()-1,1,0))</f>
        <v/>
      </c>
    </row>
    <row r="2236" customFormat="false" ht="15" hidden="false" customHeight="false" outlineLevel="0" collapsed="false">
      <c r="V2236" s="23" t="str">
        <f aca="false">IF(ISNUMBER(C2236),YEAR(C2236),"")</f>
        <v/>
      </c>
      <c r="W2236" s="23" t="str">
        <f aca="false">IF(ISNUMBER(C2236),MONTH(C2236),"")</f>
        <v/>
      </c>
      <c r="X2236" s="23" t="str">
        <f aca="false">IF(T2236="","",IF(T2236=0,"No discount",IF(T2236&lt;=0.2,"Low (1-20%)",IF(T2236&lt;=0.4,"Medium (21-40%)","High (&gt;40%)"))))</f>
        <v/>
      </c>
      <c r="Y2236" s="23" t="str">
        <f aca="false">IF(AND(ISNUMBER(C2236),ISNUMBER(D2236)),D2236-C2236,"")</f>
        <v/>
      </c>
      <c r="Z2236" s="23" t="str">
        <f aca="false">IF(B2236="","",IF(MATCH(B2236,$B$2:$B$12000,0)=ROW()-1,1,0))</f>
        <v/>
      </c>
    </row>
    <row r="2237" customFormat="false" ht="15" hidden="false" customHeight="false" outlineLevel="0" collapsed="false">
      <c r="V2237" s="23" t="str">
        <f aca="false">IF(ISNUMBER(C2237),YEAR(C2237),"")</f>
        <v/>
      </c>
      <c r="W2237" s="23" t="str">
        <f aca="false">IF(ISNUMBER(C2237),MONTH(C2237),"")</f>
        <v/>
      </c>
      <c r="X2237" s="23" t="str">
        <f aca="false">IF(T2237="","",IF(T2237=0,"No discount",IF(T2237&lt;=0.2,"Low (1-20%)",IF(T2237&lt;=0.4,"Medium (21-40%)","High (&gt;40%)"))))</f>
        <v/>
      </c>
      <c r="Y2237" s="23" t="str">
        <f aca="false">IF(AND(ISNUMBER(C2237),ISNUMBER(D2237)),D2237-C2237,"")</f>
        <v/>
      </c>
      <c r="Z2237" s="23" t="str">
        <f aca="false">IF(B2237="","",IF(MATCH(B2237,$B$2:$B$12000,0)=ROW()-1,1,0))</f>
        <v/>
      </c>
    </row>
    <row r="2238" customFormat="false" ht="15" hidden="false" customHeight="false" outlineLevel="0" collapsed="false">
      <c r="V2238" s="23" t="str">
        <f aca="false">IF(ISNUMBER(C2238),YEAR(C2238),"")</f>
        <v/>
      </c>
      <c r="W2238" s="23" t="str">
        <f aca="false">IF(ISNUMBER(C2238),MONTH(C2238),"")</f>
        <v/>
      </c>
      <c r="X2238" s="23" t="str">
        <f aca="false">IF(T2238="","",IF(T2238=0,"No discount",IF(T2238&lt;=0.2,"Low (1-20%)",IF(T2238&lt;=0.4,"Medium (21-40%)","High (&gt;40%)"))))</f>
        <v/>
      </c>
      <c r="Y2238" s="23" t="str">
        <f aca="false">IF(AND(ISNUMBER(C2238),ISNUMBER(D2238)),D2238-C2238,"")</f>
        <v/>
      </c>
      <c r="Z2238" s="23" t="str">
        <f aca="false">IF(B2238="","",IF(MATCH(B2238,$B$2:$B$12000,0)=ROW()-1,1,0))</f>
        <v/>
      </c>
    </row>
    <row r="2239" customFormat="false" ht="15" hidden="false" customHeight="false" outlineLevel="0" collapsed="false">
      <c r="V2239" s="23" t="str">
        <f aca="false">IF(ISNUMBER(C2239),YEAR(C2239),"")</f>
        <v/>
      </c>
      <c r="W2239" s="23" t="str">
        <f aca="false">IF(ISNUMBER(C2239),MONTH(C2239),"")</f>
        <v/>
      </c>
      <c r="X2239" s="23" t="str">
        <f aca="false">IF(T2239="","",IF(T2239=0,"No discount",IF(T2239&lt;=0.2,"Low (1-20%)",IF(T2239&lt;=0.4,"Medium (21-40%)","High (&gt;40%)"))))</f>
        <v/>
      </c>
      <c r="Y2239" s="23" t="str">
        <f aca="false">IF(AND(ISNUMBER(C2239),ISNUMBER(D2239)),D2239-C2239,"")</f>
        <v/>
      </c>
      <c r="Z2239" s="23" t="str">
        <f aca="false">IF(B2239="","",IF(MATCH(B2239,$B$2:$B$12000,0)=ROW()-1,1,0))</f>
        <v/>
      </c>
    </row>
    <row r="2240" customFormat="false" ht="15" hidden="false" customHeight="false" outlineLevel="0" collapsed="false">
      <c r="V2240" s="23" t="str">
        <f aca="false">IF(ISNUMBER(C2240),YEAR(C2240),"")</f>
        <v/>
      </c>
      <c r="W2240" s="23" t="str">
        <f aca="false">IF(ISNUMBER(C2240),MONTH(C2240),"")</f>
        <v/>
      </c>
      <c r="X2240" s="23" t="str">
        <f aca="false">IF(T2240="","",IF(T2240=0,"No discount",IF(T2240&lt;=0.2,"Low (1-20%)",IF(T2240&lt;=0.4,"Medium (21-40%)","High (&gt;40%)"))))</f>
        <v/>
      </c>
      <c r="Y2240" s="23" t="str">
        <f aca="false">IF(AND(ISNUMBER(C2240),ISNUMBER(D2240)),D2240-C2240,"")</f>
        <v/>
      </c>
      <c r="Z2240" s="23" t="str">
        <f aca="false">IF(B2240="","",IF(MATCH(B2240,$B$2:$B$12000,0)=ROW()-1,1,0))</f>
        <v/>
      </c>
    </row>
    <row r="2241" customFormat="false" ht="15" hidden="false" customHeight="false" outlineLevel="0" collapsed="false">
      <c r="V2241" s="23" t="str">
        <f aca="false">IF(ISNUMBER(C2241),YEAR(C2241),"")</f>
        <v/>
      </c>
      <c r="W2241" s="23" t="str">
        <f aca="false">IF(ISNUMBER(C2241),MONTH(C2241),"")</f>
        <v/>
      </c>
      <c r="X2241" s="23" t="str">
        <f aca="false">IF(T2241="","",IF(T2241=0,"No discount",IF(T2241&lt;=0.2,"Low (1-20%)",IF(T2241&lt;=0.4,"Medium (21-40%)","High (&gt;40%)"))))</f>
        <v/>
      </c>
      <c r="Y2241" s="23" t="str">
        <f aca="false">IF(AND(ISNUMBER(C2241),ISNUMBER(D2241)),D2241-C2241,"")</f>
        <v/>
      </c>
      <c r="Z2241" s="23" t="str">
        <f aca="false">IF(B2241="","",IF(MATCH(B2241,$B$2:$B$12000,0)=ROW()-1,1,0))</f>
        <v/>
      </c>
    </row>
    <row r="2242" customFormat="false" ht="15" hidden="false" customHeight="false" outlineLevel="0" collapsed="false">
      <c r="V2242" s="23" t="str">
        <f aca="false">IF(ISNUMBER(C2242),YEAR(C2242),"")</f>
        <v/>
      </c>
      <c r="W2242" s="23" t="str">
        <f aca="false">IF(ISNUMBER(C2242),MONTH(C2242),"")</f>
        <v/>
      </c>
      <c r="X2242" s="23" t="str">
        <f aca="false">IF(T2242="","",IF(T2242=0,"No discount",IF(T2242&lt;=0.2,"Low (1-20%)",IF(T2242&lt;=0.4,"Medium (21-40%)","High (&gt;40%)"))))</f>
        <v/>
      </c>
      <c r="Y2242" s="23" t="str">
        <f aca="false">IF(AND(ISNUMBER(C2242),ISNUMBER(D2242)),D2242-C2242,"")</f>
        <v/>
      </c>
      <c r="Z2242" s="23" t="str">
        <f aca="false">IF(B2242="","",IF(MATCH(B2242,$B$2:$B$12000,0)=ROW()-1,1,0))</f>
        <v/>
      </c>
    </row>
    <row r="2243" customFormat="false" ht="15" hidden="false" customHeight="false" outlineLevel="0" collapsed="false">
      <c r="V2243" s="23" t="str">
        <f aca="false">IF(ISNUMBER(C2243),YEAR(C2243),"")</f>
        <v/>
      </c>
      <c r="W2243" s="23" t="str">
        <f aca="false">IF(ISNUMBER(C2243),MONTH(C2243),"")</f>
        <v/>
      </c>
      <c r="X2243" s="23" t="str">
        <f aca="false">IF(T2243="","",IF(T2243=0,"No discount",IF(T2243&lt;=0.2,"Low (1-20%)",IF(T2243&lt;=0.4,"Medium (21-40%)","High (&gt;40%)"))))</f>
        <v/>
      </c>
      <c r="Y2243" s="23" t="str">
        <f aca="false">IF(AND(ISNUMBER(C2243),ISNUMBER(D2243)),D2243-C2243,"")</f>
        <v/>
      </c>
      <c r="Z2243" s="23" t="str">
        <f aca="false">IF(B2243="","",IF(MATCH(B2243,$B$2:$B$12000,0)=ROW()-1,1,0))</f>
        <v/>
      </c>
    </row>
    <row r="2244" customFormat="false" ht="15" hidden="false" customHeight="false" outlineLevel="0" collapsed="false">
      <c r="V2244" s="23" t="str">
        <f aca="false">IF(ISNUMBER(C2244),YEAR(C2244),"")</f>
        <v/>
      </c>
      <c r="W2244" s="23" t="str">
        <f aca="false">IF(ISNUMBER(C2244),MONTH(C2244),"")</f>
        <v/>
      </c>
      <c r="X2244" s="23" t="str">
        <f aca="false">IF(T2244="","",IF(T2244=0,"No discount",IF(T2244&lt;=0.2,"Low (1-20%)",IF(T2244&lt;=0.4,"Medium (21-40%)","High (&gt;40%)"))))</f>
        <v/>
      </c>
      <c r="Y2244" s="23" t="str">
        <f aca="false">IF(AND(ISNUMBER(C2244),ISNUMBER(D2244)),D2244-C2244,"")</f>
        <v/>
      </c>
      <c r="Z2244" s="23" t="str">
        <f aca="false">IF(B2244="","",IF(MATCH(B2244,$B$2:$B$12000,0)=ROW()-1,1,0))</f>
        <v/>
      </c>
    </row>
    <row r="2245" customFormat="false" ht="15" hidden="false" customHeight="false" outlineLevel="0" collapsed="false">
      <c r="V2245" s="23" t="str">
        <f aca="false">IF(ISNUMBER(C2245),YEAR(C2245),"")</f>
        <v/>
      </c>
      <c r="W2245" s="23" t="str">
        <f aca="false">IF(ISNUMBER(C2245),MONTH(C2245),"")</f>
        <v/>
      </c>
      <c r="X2245" s="23" t="str">
        <f aca="false">IF(T2245="","",IF(T2245=0,"No discount",IF(T2245&lt;=0.2,"Low (1-20%)",IF(T2245&lt;=0.4,"Medium (21-40%)","High (&gt;40%)"))))</f>
        <v/>
      </c>
      <c r="Y2245" s="23" t="str">
        <f aca="false">IF(AND(ISNUMBER(C2245),ISNUMBER(D2245)),D2245-C2245,"")</f>
        <v/>
      </c>
      <c r="Z2245" s="23" t="str">
        <f aca="false">IF(B2245="","",IF(MATCH(B2245,$B$2:$B$12000,0)=ROW()-1,1,0))</f>
        <v/>
      </c>
    </row>
    <row r="2246" customFormat="false" ht="15" hidden="false" customHeight="false" outlineLevel="0" collapsed="false">
      <c r="V2246" s="23" t="str">
        <f aca="false">IF(ISNUMBER(C2246),YEAR(C2246),"")</f>
        <v/>
      </c>
      <c r="W2246" s="23" t="str">
        <f aca="false">IF(ISNUMBER(C2246),MONTH(C2246),"")</f>
        <v/>
      </c>
      <c r="X2246" s="23" t="str">
        <f aca="false">IF(T2246="","",IF(T2246=0,"No discount",IF(T2246&lt;=0.2,"Low (1-20%)",IF(T2246&lt;=0.4,"Medium (21-40%)","High (&gt;40%)"))))</f>
        <v/>
      </c>
      <c r="Y2246" s="23" t="str">
        <f aca="false">IF(AND(ISNUMBER(C2246),ISNUMBER(D2246)),D2246-C2246,"")</f>
        <v/>
      </c>
      <c r="Z2246" s="23" t="str">
        <f aca="false">IF(B2246="","",IF(MATCH(B2246,$B$2:$B$12000,0)=ROW()-1,1,0))</f>
        <v/>
      </c>
    </row>
    <row r="2247" customFormat="false" ht="15" hidden="false" customHeight="false" outlineLevel="0" collapsed="false">
      <c r="V2247" s="23" t="str">
        <f aca="false">IF(ISNUMBER(C2247),YEAR(C2247),"")</f>
        <v/>
      </c>
      <c r="W2247" s="23" t="str">
        <f aca="false">IF(ISNUMBER(C2247),MONTH(C2247),"")</f>
        <v/>
      </c>
      <c r="X2247" s="23" t="str">
        <f aca="false">IF(T2247="","",IF(T2247=0,"No discount",IF(T2247&lt;=0.2,"Low (1-20%)",IF(T2247&lt;=0.4,"Medium (21-40%)","High (&gt;40%)"))))</f>
        <v/>
      </c>
      <c r="Y2247" s="23" t="str">
        <f aca="false">IF(AND(ISNUMBER(C2247),ISNUMBER(D2247)),D2247-C2247,"")</f>
        <v/>
      </c>
      <c r="Z2247" s="23" t="str">
        <f aca="false">IF(B2247="","",IF(MATCH(B2247,$B$2:$B$12000,0)=ROW()-1,1,0))</f>
        <v/>
      </c>
    </row>
    <row r="2248" customFormat="false" ht="15" hidden="false" customHeight="false" outlineLevel="0" collapsed="false">
      <c r="V2248" s="23" t="str">
        <f aca="false">IF(ISNUMBER(C2248),YEAR(C2248),"")</f>
        <v/>
      </c>
      <c r="W2248" s="23" t="str">
        <f aca="false">IF(ISNUMBER(C2248),MONTH(C2248),"")</f>
        <v/>
      </c>
      <c r="X2248" s="23" t="str">
        <f aca="false">IF(T2248="","",IF(T2248=0,"No discount",IF(T2248&lt;=0.2,"Low (1-20%)",IF(T2248&lt;=0.4,"Medium (21-40%)","High (&gt;40%)"))))</f>
        <v/>
      </c>
      <c r="Y2248" s="23" t="str">
        <f aca="false">IF(AND(ISNUMBER(C2248),ISNUMBER(D2248)),D2248-C2248,"")</f>
        <v/>
      </c>
      <c r="Z2248" s="23" t="str">
        <f aca="false">IF(B2248="","",IF(MATCH(B2248,$B$2:$B$12000,0)=ROW()-1,1,0))</f>
        <v/>
      </c>
    </row>
    <row r="2249" customFormat="false" ht="15" hidden="false" customHeight="false" outlineLevel="0" collapsed="false">
      <c r="V2249" s="23" t="str">
        <f aca="false">IF(ISNUMBER(C2249),YEAR(C2249),"")</f>
        <v/>
      </c>
      <c r="W2249" s="23" t="str">
        <f aca="false">IF(ISNUMBER(C2249),MONTH(C2249),"")</f>
        <v/>
      </c>
      <c r="X2249" s="23" t="str">
        <f aca="false">IF(T2249="","",IF(T2249=0,"No discount",IF(T2249&lt;=0.2,"Low (1-20%)",IF(T2249&lt;=0.4,"Medium (21-40%)","High (&gt;40%)"))))</f>
        <v/>
      </c>
      <c r="Y2249" s="23" t="str">
        <f aca="false">IF(AND(ISNUMBER(C2249),ISNUMBER(D2249)),D2249-C2249,"")</f>
        <v/>
      </c>
      <c r="Z2249" s="23" t="str">
        <f aca="false">IF(B2249="","",IF(MATCH(B2249,$B$2:$B$12000,0)=ROW()-1,1,0))</f>
        <v/>
      </c>
    </row>
    <row r="2250" customFormat="false" ht="15" hidden="false" customHeight="false" outlineLevel="0" collapsed="false">
      <c r="V2250" s="23" t="str">
        <f aca="false">IF(ISNUMBER(C2250),YEAR(C2250),"")</f>
        <v/>
      </c>
      <c r="W2250" s="23" t="str">
        <f aca="false">IF(ISNUMBER(C2250),MONTH(C2250),"")</f>
        <v/>
      </c>
      <c r="X2250" s="23" t="str">
        <f aca="false">IF(T2250="","",IF(T2250=0,"No discount",IF(T2250&lt;=0.2,"Low (1-20%)",IF(T2250&lt;=0.4,"Medium (21-40%)","High (&gt;40%)"))))</f>
        <v/>
      </c>
      <c r="Y2250" s="23" t="str">
        <f aca="false">IF(AND(ISNUMBER(C2250),ISNUMBER(D2250)),D2250-C2250,"")</f>
        <v/>
      </c>
      <c r="Z2250" s="23" t="str">
        <f aca="false">IF(B2250="","",IF(MATCH(B2250,$B$2:$B$12000,0)=ROW()-1,1,0))</f>
        <v/>
      </c>
    </row>
    <row r="2251" customFormat="false" ht="15" hidden="false" customHeight="false" outlineLevel="0" collapsed="false">
      <c r="V2251" s="23" t="str">
        <f aca="false">IF(ISNUMBER(C2251),YEAR(C2251),"")</f>
        <v/>
      </c>
      <c r="W2251" s="23" t="str">
        <f aca="false">IF(ISNUMBER(C2251),MONTH(C2251),"")</f>
        <v/>
      </c>
      <c r="X2251" s="23" t="str">
        <f aca="false">IF(T2251="","",IF(T2251=0,"No discount",IF(T2251&lt;=0.2,"Low (1-20%)",IF(T2251&lt;=0.4,"Medium (21-40%)","High (&gt;40%)"))))</f>
        <v/>
      </c>
      <c r="Y2251" s="23" t="str">
        <f aca="false">IF(AND(ISNUMBER(C2251),ISNUMBER(D2251)),D2251-C2251,"")</f>
        <v/>
      </c>
      <c r="Z2251" s="23" t="str">
        <f aca="false">IF(B2251="","",IF(MATCH(B2251,$B$2:$B$12000,0)=ROW()-1,1,0))</f>
        <v/>
      </c>
    </row>
    <row r="2252" customFormat="false" ht="15" hidden="false" customHeight="false" outlineLevel="0" collapsed="false">
      <c r="V2252" s="23" t="str">
        <f aca="false">IF(ISNUMBER(C2252),YEAR(C2252),"")</f>
        <v/>
      </c>
      <c r="W2252" s="23" t="str">
        <f aca="false">IF(ISNUMBER(C2252),MONTH(C2252),"")</f>
        <v/>
      </c>
      <c r="X2252" s="23" t="str">
        <f aca="false">IF(T2252="","",IF(T2252=0,"No discount",IF(T2252&lt;=0.2,"Low (1-20%)",IF(T2252&lt;=0.4,"Medium (21-40%)","High (&gt;40%)"))))</f>
        <v/>
      </c>
      <c r="Y2252" s="23" t="str">
        <f aca="false">IF(AND(ISNUMBER(C2252),ISNUMBER(D2252)),D2252-C2252,"")</f>
        <v/>
      </c>
      <c r="Z2252" s="23" t="str">
        <f aca="false">IF(B2252="","",IF(MATCH(B2252,$B$2:$B$12000,0)=ROW()-1,1,0))</f>
        <v/>
      </c>
    </row>
    <row r="2253" customFormat="false" ht="15" hidden="false" customHeight="false" outlineLevel="0" collapsed="false">
      <c r="V2253" s="23" t="str">
        <f aca="false">IF(ISNUMBER(C2253),YEAR(C2253),"")</f>
        <v/>
      </c>
      <c r="W2253" s="23" t="str">
        <f aca="false">IF(ISNUMBER(C2253),MONTH(C2253),"")</f>
        <v/>
      </c>
      <c r="X2253" s="23" t="str">
        <f aca="false">IF(T2253="","",IF(T2253=0,"No discount",IF(T2253&lt;=0.2,"Low (1-20%)",IF(T2253&lt;=0.4,"Medium (21-40%)","High (&gt;40%)"))))</f>
        <v/>
      </c>
      <c r="Y2253" s="23" t="str">
        <f aca="false">IF(AND(ISNUMBER(C2253),ISNUMBER(D2253)),D2253-C2253,"")</f>
        <v/>
      </c>
      <c r="Z2253" s="23" t="str">
        <f aca="false">IF(B2253="","",IF(MATCH(B2253,$B$2:$B$12000,0)=ROW()-1,1,0))</f>
        <v/>
      </c>
    </row>
    <row r="2254" customFormat="false" ht="15" hidden="false" customHeight="false" outlineLevel="0" collapsed="false">
      <c r="V2254" s="23" t="str">
        <f aca="false">IF(ISNUMBER(C2254),YEAR(C2254),"")</f>
        <v/>
      </c>
      <c r="W2254" s="23" t="str">
        <f aca="false">IF(ISNUMBER(C2254),MONTH(C2254),"")</f>
        <v/>
      </c>
      <c r="X2254" s="23" t="str">
        <f aca="false">IF(T2254="","",IF(T2254=0,"No discount",IF(T2254&lt;=0.2,"Low (1-20%)",IF(T2254&lt;=0.4,"Medium (21-40%)","High (&gt;40%)"))))</f>
        <v/>
      </c>
      <c r="Y2254" s="23" t="str">
        <f aca="false">IF(AND(ISNUMBER(C2254),ISNUMBER(D2254)),D2254-C2254,"")</f>
        <v/>
      </c>
      <c r="Z2254" s="23" t="str">
        <f aca="false">IF(B2254="","",IF(MATCH(B2254,$B$2:$B$12000,0)=ROW()-1,1,0))</f>
        <v/>
      </c>
    </row>
    <row r="2255" customFormat="false" ht="15" hidden="false" customHeight="false" outlineLevel="0" collapsed="false">
      <c r="V2255" s="23" t="str">
        <f aca="false">IF(ISNUMBER(C2255),YEAR(C2255),"")</f>
        <v/>
      </c>
      <c r="W2255" s="23" t="str">
        <f aca="false">IF(ISNUMBER(C2255),MONTH(C2255),"")</f>
        <v/>
      </c>
      <c r="X2255" s="23" t="str">
        <f aca="false">IF(T2255="","",IF(T2255=0,"No discount",IF(T2255&lt;=0.2,"Low (1-20%)",IF(T2255&lt;=0.4,"Medium (21-40%)","High (&gt;40%)"))))</f>
        <v/>
      </c>
      <c r="Y2255" s="23" t="str">
        <f aca="false">IF(AND(ISNUMBER(C2255),ISNUMBER(D2255)),D2255-C2255,"")</f>
        <v/>
      </c>
      <c r="Z2255" s="23" t="str">
        <f aca="false">IF(B2255="","",IF(MATCH(B2255,$B$2:$B$12000,0)=ROW()-1,1,0))</f>
        <v/>
      </c>
    </row>
    <row r="2256" customFormat="false" ht="15" hidden="false" customHeight="false" outlineLevel="0" collapsed="false">
      <c r="V2256" s="23" t="str">
        <f aca="false">IF(ISNUMBER(C2256),YEAR(C2256),"")</f>
        <v/>
      </c>
      <c r="W2256" s="23" t="str">
        <f aca="false">IF(ISNUMBER(C2256),MONTH(C2256),"")</f>
        <v/>
      </c>
      <c r="X2256" s="23" t="str">
        <f aca="false">IF(T2256="","",IF(T2256=0,"No discount",IF(T2256&lt;=0.2,"Low (1-20%)",IF(T2256&lt;=0.4,"Medium (21-40%)","High (&gt;40%)"))))</f>
        <v/>
      </c>
      <c r="Y2256" s="23" t="str">
        <f aca="false">IF(AND(ISNUMBER(C2256),ISNUMBER(D2256)),D2256-C2256,"")</f>
        <v/>
      </c>
      <c r="Z2256" s="23" t="str">
        <f aca="false">IF(B2256="","",IF(MATCH(B2256,$B$2:$B$12000,0)=ROW()-1,1,0))</f>
        <v/>
      </c>
    </row>
    <row r="2257" customFormat="false" ht="15" hidden="false" customHeight="false" outlineLevel="0" collapsed="false">
      <c r="V2257" s="23" t="str">
        <f aca="false">IF(ISNUMBER(C2257),YEAR(C2257),"")</f>
        <v/>
      </c>
      <c r="W2257" s="23" t="str">
        <f aca="false">IF(ISNUMBER(C2257),MONTH(C2257),"")</f>
        <v/>
      </c>
      <c r="X2257" s="23" t="str">
        <f aca="false">IF(T2257="","",IF(T2257=0,"No discount",IF(T2257&lt;=0.2,"Low (1-20%)",IF(T2257&lt;=0.4,"Medium (21-40%)","High (&gt;40%)"))))</f>
        <v/>
      </c>
      <c r="Y2257" s="23" t="str">
        <f aca="false">IF(AND(ISNUMBER(C2257),ISNUMBER(D2257)),D2257-C2257,"")</f>
        <v/>
      </c>
      <c r="Z2257" s="23" t="str">
        <f aca="false">IF(B2257="","",IF(MATCH(B2257,$B$2:$B$12000,0)=ROW()-1,1,0))</f>
        <v/>
      </c>
    </row>
    <row r="2258" customFormat="false" ht="15" hidden="false" customHeight="false" outlineLevel="0" collapsed="false">
      <c r="V2258" s="23" t="str">
        <f aca="false">IF(ISNUMBER(C2258),YEAR(C2258),"")</f>
        <v/>
      </c>
      <c r="W2258" s="23" t="str">
        <f aca="false">IF(ISNUMBER(C2258),MONTH(C2258),"")</f>
        <v/>
      </c>
      <c r="X2258" s="23" t="str">
        <f aca="false">IF(T2258="","",IF(T2258=0,"No discount",IF(T2258&lt;=0.2,"Low (1-20%)",IF(T2258&lt;=0.4,"Medium (21-40%)","High (&gt;40%)"))))</f>
        <v/>
      </c>
      <c r="Y2258" s="23" t="str">
        <f aca="false">IF(AND(ISNUMBER(C2258),ISNUMBER(D2258)),D2258-C2258,"")</f>
        <v/>
      </c>
      <c r="Z2258" s="23" t="str">
        <f aca="false">IF(B2258="","",IF(MATCH(B2258,$B$2:$B$12000,0)=ROW()-1,1,0))</f>
        <v/>
      </c>
    </row>
    <row r="2259" customFormat="false" ht="15" hidden="false" customHeight="false" outlineLevel="0" collapsed="false">
      <c r="V2259" s="23" t="str">
        <f aca="false">IF(ISNUMBER(C2259),YEAR(C2259),"")</f>
        <v/>
      </c>
      <c r="W2259" s="23" t="str">
        <f aca="false">IF(ISNUMBER(C2259),MONTH(C2259),"")</f>
        <v/>
      </c>
      <c r="X2259" s="23" t="str">
        <f aca="false">IF(T2259="","",IF(T2259=0,"No discount",IF(T2259&lt;=0.2,"Low (1-20%)",IF(T2259&lt;=0.4,"Medium (21-40%)","High (&gt;40%)"))))</f>
        <v/>
      </c>
      <c r="Y2259" s="23" t="str">
        <f aca="false">IF(AND(ISNUMBER(C2259),ISNUMBER(D2259)),D2259-C2259,"")</f>
        <v/>
      </c>
      <c r="Z2259" s="23" t="str">
        <f aca="false">IF(B2259="","",IF(MATCH(B2259,$B$2:$B$12000,0)=ROW()-1,1,0))</f>
        <v/>
      </c>
    </row>
    <row r="2260" customFormat="false" ht="15" hidden="false" customHeight="false" outlineLevel="0" collapsed="false">
      <c r="V2260" s="23" t="str">
        <f aca="false">IF(ISNUMBER(C2260),YEAR(C2260),"")</f>
        <v/>
      </c>
      <c r="W2260" s="23" t="str">
        <f aca="false">IF(ISNUMBER(C2260),MONTH(C2260),"")</f>
        <v/>
      </c>
      <c r="X2260" s="23" t="str">
        <f aca="false">IF(T2260="","",IF(T2260=0,"No discount",IF(T2260&lt;=0.2,"Low (1-20%)",IF(T2260&lt;=0.4,"Medium (21-40%)","High (&gt;40%)"))))</f>
        <v/>
      </c>
      <c r="Y2260" s="23" t="str">
        <f aca="false">IF(AND(ISNUMBER(C2260),ISNUMBER(D2260)),D2260-C2260,"")</f>
        <v/>
      </c>
      <c r="Z2260" s="23" t="str">
        <f aca="false">IF(B2260="","",IF(MATCH(B2260,$B$2:$B$12000,0)=ROW()-1,1,0))</f>
        <v/>
      </c>
    </row>
    <row r="2261" customFormat="false" ht="15" hidden="false" customHeight="false" outlineLevel="0" collapsed="false">
      <c r="V2261" s="23" t="str">
        <f aca="false">IF(ISNUMBER(C2261),YEAR(C2261),"")</f>
        <v/>
      </c>
      <c r="W2261" s="23" t="str">
        <f aca="false">IF(ISNUMBER(C2261),MONTH(C2261),"")</f>
        <v/>
      </c>
      <c r="X2261" s="23" t="str">
        <f aca="false">IF(T2261="","",IF(T2261=0,"No discount",IF(T2261&lt;=0.2,"Low (1-20%)",IF(T2261&lt;=0.4,"Medium (21-40%)","High (&gt;40%)"))))</f>
        <v/>
      </c>
      <c r="Y2261" s="23" t="str">
        <f aca="false">IF(AND(ISNUMBER(C2261),ISNUMBER(D2261)),D2261-C2261,"")</f>
        <v/>
      </c>
      <c r="Z2261" s="23" t="str">
        <f aca="false">IF(B2261="","",IF(MATCH(B2261,$B$2:$B$12000,0)=ROW()-1,1,0))</f>
        <v/>
      </c>
    </row>
    <row r="2262" customFormat="false" ht="15" hidden="false" customHeight="false" outlineLevel="0" collapsed="false">
      <c r="V2262" s="23" t="str">
        <f aca="false">IF(ISNUMBER(C2262),YEAR(C2262),"")</f>
        <v/>
      </c>
      <c r="W2262" s="23" t="str">
        <f aca="false">IF(ISNUMBER(C2262),MONTH(C2262),"")</f>
        <v/>
      </c>
      <c r="X2262" s="23" t="str">
        <f aca="false">IF(T2262="","",IF(T2262=0,"No discount",IF(T2262&lt;=0.2,"Low (1-20%)",IF(T2262&lt;=0.4,"Medium (21-40%)","High (&gt;40%)"))))</f>
        <v/>
      </c>
      <c r="Y2262" s="23" t="str">
        <f aca="false">IF(AND(ISNUMBER(C2262),ISNUMBER(D2262)),D2262-C2262,"")</f>
        <v/>
      </c>
      <c r="Z2262" s="23" t="str">
        <f aca="false">IF(B2262="","",IF(MATCH(B2262,$B$2:$B$12000,0)=ROW()-1,1,0))</f>
        <v/>
      </c>
    </row>
    <row r="2263" customFormat="false" ht="15" hidden="false" customHeight="false" outlineLevel="0" collapsed="false">
      <c r="V2263" s="23" t="str">
        <f aca="false">IF(ISNUMBER(C2263),YEAR(C2263),"")</f>
        <v/>
      </c>
      <c r="W2263" s="23" t="str">
        <f aca="false">IF(ISNUMBER(C2263),MONTH(C2263),"")</f>
        <v/>
      </c>
      <c r="X2263" s="23" t="str">
        <f aca="false">IF(T2263="","",IF(T2263=0,"No discount",IF(T2263&lt;=0.2,"Low (1-20%)",IF(T2263&lt;=0.4,"Medium (21-40%)","High (&gt;40%)"))))</f>
        <v/>
      </c>
      <c r="Y2263" s="23" t="str">
        <f aca="false">IF(AND(ISNUMBER(C2263),ISNUMBER(D2263)),D2263-C2263,"")</f>
        <v/>
      </c>
      <c r="Z2263" s="23" t="str">
        <f aca="false">IF(B2263="","",IF(MATCH(B2263,$B$2:$B$12000,0)=ROW()-1,1,0))</f>
        <v/>
      </c>
    </row>
    <row r="2264" customFormat="false" ht="15" hidden="false" customHeight="false" outlineLevel="0" collapsed="false">
      <c r="V2264" s="23" t="str">
        <f aca="false">IF(ISNUMBER(C2264),YEAR(C2264),"")</f>
        <v/>
      </c>
      <c r="W2264" s="23" t="str">
        <f aca="false">IF(ISNUMBER(C2264),MONTH(C2264),"")</f>
        <v/>
      </c>
      <c r="X2264" s="23" t="str">
        <f aca="false">IF(T2264="","",IF(T2264=0,"No discount",IF(T2264&lt;=0.2,"Low (1-20%)",IF(T2264&lt;=0.4,"Medium (21-40%)","High (&gt;40%)"))))</f>
        <v/>
      </c>
      <c r="Y2264" s="23" t="str">
        <f aca="false">IF(AND(ISNUMBER(C2264),ISNUMBER(D2264)),D2264-C2264,"")</f>
        <v/>
      </c>
      <c r="Z2264" s="23" t="str">
        <f aca="false">IF(B2264="","",IF(MATCH(B2264,$B$2:$B$12000,0)=ROW()-1,1,0))</f>
        <v/>
      </c>
    </row>
    <row r="2265" customFormat="false" ht="15" hidden="false" customHeight="false" outlineLevel="0" collapsed="false">
      <c r="V2265" s="23" t="str">
        <f aca="false">IF(ISNUMBER(C2265),YEAR(C2265),"")</f>
        <v/>
      </c>
      <c r="W2265" s="23" t="str">
        <f aca="false">IF(ISNUMBER(C2265),MONTH(C2265),"")</f>
        <v/>
      </c>
      <c r="X2265" s="23" t="str">
        <f aca="false">IF(T2265="","",IF(T2265=0,"No discount",IF(T2265&lt;=0.2,"Low (1-20%)",IF(T2265&lt;=0.4,"Medium (21-40%)","High (&gt;40%)"))))</f>
        <v/>
      </c>
      <c r="Y2265" s="23" t="str">
        <f aca="false">IF(AND(ISNUMBER(C2265),ISNUMBER(D2265)),D2265-C2265,"")</f>
        <v/>
      </c>
      <c r="Z2265" s="23" t="str">
        <f aca="false">IF(B2265="","",IF(MATCH(B2265,$B$2:$B$12000,0)=ROW()-1,1,0))</f>
        <v/>
      </c>
    </row>
    <row r="2266" customFormat="false" ht="15" hidden="false" customHeight="false" outlineLevel="0" collapsed="false">
      <c r="V2266" s="23" t="str">
        <f aca="false">IF(ISNUMBER(C2266),YEAR(C2266),"")</f>
        <v/>
      </c>
      <c r="W2266" s="23" t="str">
        <f aca="false">IF(ISNUMBER(C2266),MONTH(C2266),"")</f>
        <v/>
      </c>
      <c r="X2266" s="23" t="str">
        <f aca="false">IF(T2266="","",IF(T2266=0,"No discount",IF(T2266&lt;=0.2,"Low (1-20%)",IF(T2266&lt;=0.4,"Medium (21-40%)","High (&gt;40%)"))))</f>
        <v/>
      </c>
      <c r="Y2266" s="23" t="str">
        <f aca="false">IF(AND(ISNUMBER(C2266),ISNUMBER(D2266)),D2266-C2266,"")</f>
        <v/>
      </c>
      <c r="Z2266" s="23" t="str">
        <f aca="false">IF(B2266="","",IF(MATCH(B2266,$B$2:$B$12000,0)=ROW()-1,1,0))</f>
        <v/>
      </c>
    </row>
    <row r="2267" customFormat="false" ht="15" hidden="false" customHeight="false" outlineLevel="0" collapsed="false">
      <c r="V2267" s="23" t="str">
        <f aca="false">IF(ISNUMBER(C2267),YEAR(C2267),"")</f>
        <v/>
      </c>
      <c r="W2267" s="23" t="str">
        <f aca="false">IF(ISNUMBER(C2267),MONTH(C2267),"")</f>
        <v/>
      </c>
      <c r="X2267" s="23" t="str">
        <f aca="false">IF(T2267="","",IF(T2267=0,"No discount",IF(T2267&lt;=0.2,"Low (1-20%)",IF(T2267&lt;=0.4,"Medium (21-40%)","High (&gt;40%)"))))</f>
        <v/>
      </c>
      <c r="Y2267" s="23" t="str">
        <f aca="false">IF(AND(ISNUMBER(C2267),ISNUMBER(D2267)),D2267-C2267,"")</f>
        <v/>
      </c>
      <c r="Z2267" s="23" t="str">
        <f aca="false">IF(B2267="","",IF(MATCH(B2267,$B$2:$B$12000,0)=ROW()-1,1,0))</f>
        <v/>
      </c>
    </row>
    <row r="2268" customFormat="false" ht="15" hidden="false" customHeight="false" outlineLevel="0" collapsed="false">
      <c r="V2268" s="23" t="str">
        <f aca="false">IF(ISNUMBER(C2268),YEAR(C2268),"")</f>
        <v/>
      </c>
      <c r="W2268" s="23" t="str">
        <f aca="false">IF(ISNUMBER(C2268),MONTH(C2268),"")</f>
        <v/>
      </c>
      <c r="X2268" s="23" t="str">
        <f aca="false">IF(T2268="","",IF(T2268=0,"No discount",IF(T2268&lt;=0.2,"Low (1-20%)",IF(T2268&lt;=0.4,"Medium (21-40%)","High (&gt;40%)"))))</f>
        <v/>
      </c>
      <c r="Y2268" s="23" t="str">
        <f aca="false">IF(AND(ISNUMBER(C2268),ISNUMBER(D2268)),D2268-C2268,"")</f>
        <v/>
      </c>
      <c r="Z2268" s="23" t="str">
        <f aca="false">IF(B2268="","",IF(MATCH(B2268,$B$2:$B$12000,0)=ROW()-1,1,0))</f>
        <v/>
      </c>
    </row>
    <row r="2269" customFormat="false" ht="15" hidden="false" customHeight="false" outlineLevel="0" collapsed="false">
      <c r="V2269" s="23" t="str">
        <f aca="false">IF(ISNUMBER(C2269),YEAR(C2269),"")</f>
        <v/>
      </c>
      <c r="W2269" s="23" t="str">
        <f aca="false">IF(ISNUMBER(C2269),MONTH(C2269),"")</f>
        <v/>
      </c>
      <c r="X2269" s="23" t="str">
        <f aca="false">IF(T2269="","",IF(T2269=0,"No discount",IF(T2269&lt;=0.2,"Low (1-20%)",IF(T2269&lt;=0.4,"Medium (21-40%)","High (&gt;40%)"))))</f>
        <v/>
      </c>
      <c r="Y2269" s="23" t="str">
        <f aca="false">IF(AND(ISNUMBER(C2269),ISNUMBER(D2269)),D2269-C2269,"")</f>
        <v/>
      </c>
      <c r="Z2269" s="23" t="str">
        <f aca="false">IF(B2269="","",IF(MATCH(B2269,$B$2:$B$12000,0)=ROW()-1,1,0))</f>
        <v/>
      </c>
    </row>
    <row r="2270" customFormat="false" ht="15" hidden="false" customHeight="false" outlineLevel="0" collapsed="false">
      <c r="V2270" s="23" t="str">
        <f aca="false">IF(ISNUMBER(C2270),YEAR(C2270),"")</f>
        <v/>
      </c>
      <c r="W2270" s="23" t="str">
        <f aca="false">IF(ISNUMBER(C2270),MONTH(C2270),"")</f>
        <v/>
      </c>
      <c r="X2270" s="23" t="str">
        <f aca="false">IF(T2270="","",IF(T2270=0,"No discount",IF(T2270&lt;=0.2,"Low (1-20%)",IF(T2270&lt;=0.4,"Medium (21-40%)","High (&gt;40%)"))))</f>
        <v/>
      </c>
      <c r="Y2270" s="23" t="str">
        <f aca="false">IF(AND(ISNUMBER(C2270),ISNUMBER(D2270)),D2270-C2270,"")</f>
        <v/>
      </c>
      <c r="Z2270" s="23" t="str">
        <f aca="false">IF(B2270="","",IF(MATCH(B2270,$B$2:$B$12000,0)=ROW()-1,1,0))</f>
        <v/>
      </c>
    </row>
    <row r="2271" customFormat="false" ht="15" hidden="false" customHeight="false" outlineLevel="0" collapsed="false">
      <c r="V2271" s="23" t="str">
        <f aca="false">IF(ISNUMBER(C2271),YEAR(C2271),"")</f>
        <v/>
      </c>
      <c r="W2271" s="23" t="str">
        <f aca="false">IF(ISNUMBER(C2271),MONTH(C2271),"")</f>
        <v/>
      </c>
      <c r="X2271" s="23" t="str">
        <f aca="false">IF(T2271="","",IF(T2271=0,"No discount",IF(T2271&lt;=0.2,"Low (1-20%)",IF(T2271&lt;=0.4,"Medium (21-40%)","High (&gt;40%)"))))</f>
        <v/>
      </c>
      <c r="Y2271" s="23" t="str">
        <f aca="false">IF(AND(ISNUMBER(C2271),ISNUMBER(D2271)),D2271-C2271,"")</f>
        <v/>
      </c>
      <c r="Z2271" s="23" t="str">
        <f aca="false">IF(B2271="","",IF(MATCH(B2271,$B$2:$B$12000,0)=ROW()-1,1,0))</f>
        <v/>
      </c>
    </row>
    <row r="2272" customFormat="false" ht="15" hidden="false" customHeight="false" outlineLevel="0" collapsed="false">
      <c r="V2272" s="23" t="str">
        <f aca="false">IF(ISNUMBER(C2272),YEAR(C2272),"")</f>
        <v/>
      </c>
      <c r="W2272" s="23" t="str">
        <f aca="false">IF(ISNUMBER(C2272),MONTH(C2272),"")</f>
        <v/>
      </c>
      <c r="X2272" s="23" t="str">
        <f aca="false">IF(T2272="","",IF(T2272=0,"No discount",IF(T2272&lt;=0.2,"Low (1-20%)",IF(T2272&lt;=0.4,"Medium (21-40%)","High (&gt;40%)"))))</f>
        <v/>
      </c>
      <c r="Y2272" s="23" t="str">
        <f aca="false">IF(AND(ISNUMBER(C2272),ISNUMBER(D2272)),D2272-C2272,"")</f>
        <v/>
      </c>
      <c r="Z2272" s="23" t="str">
        <f aca="false">IF(B2272="","",IF(MATCH(B2272,$B$2:$B$12000,0)=ROW()-1,1,0))</f>
        <v/>
      </c>
    </row>
    <row r="2273" customFormat="false" ht="15" hidden="false" customHeight="false" outlineLevel="0" collapsed="false">
      <c r="V2273" s="23" t="str">
        <f aca="false">IF(ISNUMBER(C2273),YEAR(C2273),"")</f>
        <v/>
      </c>
      <c r="W2273" s="23" t="str">
        <f aca="false">IF(ISNUMBER(C2273),MONTH(C2273),"")</f>
        <v/>
      </c>
      <c r="X2273" s="23" t="str">
        <f aca="false">IF(T2273="","",IF(T2273=0,"No discount",IF(T2273&lt;=0.2,"Low (1-20%)",IF(T2273&lt;=0.4,"Medium (21-40%)","High (&gt;40%)"))))</f>
        <v/>
      </c>
      <c r="Y2273" s="23" t="str">
        <f aca="false">IF(AND(ISNUMBER(C2273),ISNUMBER(D2273)),D2273-C2273,"")</f>
        <v/>
      </c>
      <c r="Z2273" s="23" t="str">
        <f aca="false">IF(B2273="","",IF(MATCH(B2273,$B$2:$B$12000,0)=ROW()-1,1,0))</f>
        <v/>
      </c>
    </row>
    <row r="2274" customFormat="false" ht="15" hidden="false" customHeight="false" outlineLevel="0" collapsed="false">
      <c r="V2274" s="23" t="str">
        <f aca="false">IF(ISNUMBER(C2274),YEAR(C2274),"")</f>
        <v/>
      </c>
      <c r="W2274" s="23" t="str">
        <f aca="false">IF(ISNUMBER(C2274),MONTH(C2274),"")</f>
        <v/>
      </c>
      <c r="X2274" s="23" t="str">
        <f aca="false">IF(T2274="","",IF(T2274=0,"No discount",IF(T2274&lt;=0.2,"Low (1-20%)",IF(T2274&lt;=0.4,"Medium (21-40%)","High (&gt;40%)"))))</f>
        <v/>
      </c>
      <c r="Y2274" s="23" t="str">
        <f aca="false">IF(AND(ISNUMBER(C2274),ISNUMBER(D2274)),D2274-C2274,"")</f>
        <v/>
      </c>
      <c r="Z2274" s="23" t="str">
        <f aca="false">IF(B2274="","",IF(MATCH(B2274,$B$2:$B$12000,0)=ROW()-1,1,0))</f>
        <v/>
      </c>
    </row>
    <row r="2275" customFormat="false" ht="15" hidden="false" customHeight="false" outlineLevel="0" collapsed="false">
      <c r="V2275" s="23" t="str">
        <f aca="false">IF(ISNUMBER(C2275),YEAR(C2275),"")</f>
        <v/>
      </c>
      <c r="W2275" s="23" t="str">
        <f aca="false">IF(ISNUMBER(C2275),MONTH(C2275),"")</f>
        <v/>
      </c>
      <c r="X2275" s="23" t="str">
        <f aca="false">IF(T2275="","",IF(T2275=0,"No discount",IF(T2275&lt;=0.2,"Low (1-20%)",IF(T2275&lt;=0.4,"Medium (21-40%)","High (&gt;40%)"))))</f>
        <v/>
      </c>
      <c r="Y2275" s="23" t="str">
        <f aca="false">IF(AND(ISNUMBER(C2275),ISNUMBER(D2275)),D2275-C2275,"")</f>
        <v/>
      </c>
      <c r="Z2275" s="23" t="str">
        <f aca="false">IF(B2275="","",IF(MATCH(B2275,$B$2:$B$12000,0)=ROW()-1,1,0))</f>
        <v/>
      </c>
    </row>
    <row r="2276" customFormat="false" ht="15" hidden="false" customHeight="false" outlineLevel="0" collapsed="false">
      <c r="V2276" s="23" t="str">
        <f aca="false">IF(ISNUMBER(C2276),YEAR(C2276),"")</f>
        <v/>
      </c>
      <c r="W2276" s="23" t="str">
        <f aca="false">IF(ISNUMBER(C2276),MONTH(C2276),"")</f>
        <v/>
      </c>
      <c r="X2276" s="23" t="str">
        <f aca="false">IF(T2276="","",IF(T2276=0,"No discount",IF(T2276&lt;=0.2,"Low (1-20%)",IF(T2276&lt;=0.4,"Medium (21-40%)","High (&gt;40%)"))))</f>
        <v/>
      </c>
      <c r="Y2276" s="23" t="str">
        <f aca="false">IF(AND(ISNUMBER(C2276),ISNUMBER(D2276)),D2276-C2276,"")</f>
        <v/>
      </c>
      <c r="Z2276" s="23" t="str">
        <f aca="false">IF(B2276="","",IF(MATCH(B2276,$B$2:$B$12000,0)=ROW()-1,1,0))</f>
        <v/>
      </c>
    </row>
    <row r="2277" customFormat="false" ht="15" hidden="false" customHeight="false" outlineLevel="0" collapsed="false">
      <c r="V2277" s="23" t="str">
        <f aca="false">IF(ISNUMBER(C2277),YEAR(C2277),"")</f>
        <v/>
      </c>
      <c r="W2277" s="23" t="str">
        <f aca="false">IF(ISNUMBER(C2277),MONTH(C2277),"")</f>
        <v/>
      </c>
      <c r="X2277" s="23" t="str">
        <f aca="false">IF(T2277="","",IF(T2277=0,"No discount",IF(T2277&lt;=0.2,"Low (1-20%)",IF(T2277&lt;=0.4,"Medium (21-40%)","High (&gt;40%)"))))</f>
        <v/>
      </c>
      <c r="Y2277" s="23" t="str">
        <f aca="false">IF(AND(ISNUMBER(C2277),ISNUMBER(D2277)),D2277-C2277,"")</f>
        <v/>
      </c>
      <c r="Z2277" s="23" t="str">
        <f aca="false">IF(B2277="","",IF(MATCH(B2277,$B$2:$B$12000,0)=ROW()-1,1,0))</f>
        <v/>
      </c>
    </row>
    <row r="2278" customFormat="false" ht="15" hidden="false" customHeight="false" outlineLevel="0" collapsed="false">
      <c r="V2278" s="23" t="str">
        <f aca="false">IF(ISNUMBER(C2278),YEAR(C2278),"")</f>
        <v/>
      </c>
      <c r="W2278" s="23" t="str">
        <f aca="false">IF(ISNUMBER(C2278),MONTH(C2278),"")</f>
        <v/>
      </c>
      <c r="X2278" s="23" t="str">
        <f aca="false">IF(T2278="","",IF(T2278=0,"No discount",IF(T2278&lt;=0.2,"Low (1-20%)",IF(T2278&lt;=0.4,"Medium (21-40%)","High (&gt;40%)"))))</f>
        <v/>
      </c>
      <c r="Y2278" s="23" t="str">
        <f aca="false">IF(AND(ISNUMBER(C2278),ISNUMBER(D2278)),D2278-C2278,"")</f>
        <v/>
      </c>
      <c r="Z2278" s="23" t="str">
        <f aca="false">IF(B2278="","",IF(MATCH(B2278,$B$2:$B$12000,0)=ROW()-1,1,0))</f>
        <v/>
      </c>
    </row>
    <row r="2279" customFormat="false" ht="15" hidden="false" customHeight="false" outlineLevel="0" collapsed="false">
      <c r="V2279" s="23" t="str">
        <f aca="false">IF(ISNUMBER(C2279),YEAR(C2279),"")</f>
        <v/>
      </c>
      <c r="W2279" s="23" t="str">
        <f aca="false">IF(ISNUMBER(C2279),MONTH(C2279),"")</f>
        <v/>
      </c>
      <c r="X2279" s="23" t="str">
        <f aca="false">IF(T2279="","",IF(T2279=0,"No discount",IF(T2279&lt;=0.2,"Low (1-20%)",IF(T2279&lt;=0.4,"Medium (21-40%)","High (&gt;40%)"))))</f>
        <v/>
      </c>
      <c r="Y2279" s="23" t="str">
        <f aca="false">IF(AND(ISNUMBER(C2279),ISNUMBER(D2279)),D2279-C2279,"")</f>
        <v/>
      </c>
      <c r="Z2279" s="23" t="str">
        <f aca="false">IF(B2279="","",IF(MATCH(B2279,$B$2:$B$12000,0)=ROW()-1,1,0))</f>
        <v/>
      </c>
    </row>
    <row r="2280" customFormat="false" ht="15" hidden="false" customHeight="false" outlineLevel="0" collapsed="false">
      <c r="V2280" s="23" t="str">
        <f aca="false">IF(ISNUMBER(C2280),YEAR(C2280),"")</f>
        <v/>
      </c>
      <c r="W2280" s="23" t="str">
        <f aca="false">IF(ISNUMBER(C2280),MONTH(C2280),"")</f>
        <v/>
      </c>
      <c r="X2280" s="23" t="str">
        <f aca="false">IF(T2280="","",IF(T2280=0,"No discount",IF(T2280&lt;=0.2,"Low (1-20%)",IF(T2280&lt;=0.4,"Medium (21-40%)","High (&gt;40%)"))))</f>
        <v/>
      </c>
      <c r="Y2280" s="23" t="str">
        <f aca="false">IF(AND(ISNUMBER(C2280),ISNUMBER(D2280)),D2280-C2280,"")</f>
        <v/>
      </c>
      <c r="Z2280" s="23" t="str">
        <f aca="false">IF(B2280="","",IF(MATCH(B2280,$B$2:$B$12000,0)=ROW()-1,1,0))</f>
        <v/>
      </c>
    </row>
    <row r="2281" customFormat="false" ht="15" hidden="false" customHeight="false" outlineLevel="0" collapsed="false">
      <c r="V2281" s="23" t="str">
        <f aca="false">IF(ISNUMBER(C2281),YEAR(C2281),"")</f>
        <v/>
      </c>
      <c r="W2281" s="23" t="str">
        <f aca="false">IF(ISNUMBER(C2281),MONTH(C2281),"")</f>
        <v/>
      </c>
      <c r="X2281" s="23" t="str">
        <f aca="false">IF(T2281="","",IF(T2281=0,"No discount",IF(T2281&lt;=0.2,"Low (1-20%)",IF(T2281&lt;=0.4,"Medium (21-40%)","High (&gt;40%)"))))</f>
        <v/>
      </c>
      <c r="Y2281" s="23" t="str">
        <f aca="false">IF(AND(ISNUMBER(C2281),ISNUMBER(D2281)),D2281-C2281,"")</f>
        <v/>
      </c>
      <c r="Z2281" s="23" t="str">
        <f aca="false">IF(B2281="","",IF(MATCH(B2281,$B$2:$B$12000,0)=ROW()-1,1,0))</f>
        <v/>
      </c>
    </row>
    <row r="2282" customFormat="false" ht="15" hidden="false" customHeight="false" outlineLevel="0" collapsed="false">
      <c r="V2282" s="23" t="str">
        <f aca="false">IF(ISNUMBER(C2282),YEAR(C2282),"")</f>
        <v/>
      </c>
      <c r="W2282" s="23" t="str">
        <f aca="false">IF(ISNUMBER(C2282),MONTH(C2282),"")</f>
        <v/>
      </c>
      <c r="X2282" s="23" t="str">
        <f aca="false">IF(T2282="","",IF(T2282=0,"No discount",IF(T2282&lt;=0.2,"Low (1-20%)",IF(T2282&lt;=0.4,"Medium (21-40%)","High (&gt;40%)"))))</f>
        <v/>
      </c>
      <c r="Y2282" s="23" t="str">
        <f aca="false">IF(AND(ISNUMBER(C2282),ISNUMBER(D2282)),D2282-C2282,"")</f>
        <v/>
      </c>
      <c r="Z2282" s="23" t="str">
        <f aca="false">IF(B2282="","",IF(MATCH(B2282,$B$2:$B$12000,0)=ROW()-1,1,0))</f>
        <v/>
      </c>
    </row>
    <row r="2283" customFormat="false" ht="15" hidden="false" customHeight="false" outlineLevel="0" collapsed="false">
      <c r="V2283" s="23" t="str">
        <f aca="false">IF(ISNUMBER(C2283),YEAR(C2283),"")</f>
        <v/>
      </c>
      <c r="W2283" s="23" t="str">
        <f aca="false">IF(ISNUMBER(C2283),MONTH(C2283),"")</f>
        <v/>
      </c>
      <c r="X2283" s="23" t="str">
        <f aca="false">IF(T2283="","",IF(T2283=0,"No discount",IF(T2283&lt;=0.2,"Low (1-20%)",IF(T2283&lt;=0.4,"Medium (21-40%)","High (&gt;40%)"))))</f>
        <v/>
      </c>
      <c r="Y2283" s="23" t="str">
        <f aca="false">IF(AND(ISNUMBER(C2283),ISNUMBER(D2283)),D2283-C2283,"")</f>
        <v/>
      </c>
      <c r="Z2283" s="23" t="str">
        <f aca="false">IF(B2283="","",IF(MATCH(B2283,$B$2:$B$12000,0)=ROW()-1,1,0))</f>
        <v/>
      </c>
    </row>
    <row r="2284" customFormat="false" ht="15" hidden="false" customHeight="false" outlineLevel="0" collapsed="false">
      <c r="V2284" s="23" t="str">
        <f aca="false">IF(ISNUMBER(C2284),YEAR(C2284),"")</f>
        <v/>
      </c>
      <c r="W2284" s="23" t="str">
        <f aca="false">IF(ISNUMBER(C2284),MONTH(C2284),"")</f>
        <v/>
      </c>
      <c r="X2284" s="23" t="str">
        <f aca="false">IF(T2284="","",IF(T2284=0,"No discount",IF(T2284&lt;=0.2,"Low (1-20%)",IF(T2284&lt;=0.4,"Medium (21-40%)","High (&gt;40%)"))))</f>
        <v/>
      </c>
      <c r="Y2284" s="23" t="str">
        <f aca="false">IF(AND(ISNUMBER(C2284),ISNUMBER(D2284)),D2284-C2284,"")</f>
        <v/>
      </c>
      <c r="Z2284" s="23" t="str">
        <f aca="false">IF(B2284="","",IF(MATCH(B2284,$B$2:$B$12000,0)=ROW()-1,1,0))</f>
        <v/>
      </c>
    </row>
    <row r="2285" customFormat="false" ht="15" hidden="false" customHeight="false" outlineLevel="0" collapsed="false">
      <c r="V2285" s="23" t="str">
        <f aca="false">IF(ISNUMBER(C2285),YEAR(C2285),"")</f>
        <v/>
      </c>
      <c r="W2285" s="23" t="str">
        <f aca="false">IF(ISNUMBER(C2285),MONTH(C2285),"")</f>
        <v/>
      </c>
      <c r="X2285" s="23" t="str">
        <f aca="false">IF(T2285="","",IF(T2285=0,"No discount",IF(T2285&lt;=0.2,"Low (1-20%)",IF(T2285&lt;=0.4,"Medium (21-40%)","High (&gt;40%)"))))</f>
        <v/>
      </c>
      <c r="Y2285" s="23" t="str">
        <f aca="false">IF(AND(ISNUMBER(C2285),ISNUMBER(D2285)),D2285-C2285,"")</f>
        <v/>
      </c>
      <c r="Z2285" s="23" t="str">
        <f aca="false">IF(B2285="","",IF(MATCH(B2285,$B$2:$B$12000,0)=ROW()-1,1,0))</f>
        <v/>
      </c>
    </row>
    <row r="2286" customFormat="false" ht="15" hidden="false" customHeight="false" outlineLevel="0" collapsed="false">
      <c r="V2286" s="23" t="str">
        <f aca="false">IF(ISNUMBER(C2286),YEAR(C2286),"")</f>
        <v/>
      </c>
      <c r="W2286" s="23" t="str">
        <f aca="false">IF(ISNUMBER(C2286),MONTH(C2286),"")</f>
        <v/>
      </c>
      <c r="X2286" s="23" t="str">
        <f aca="false">IF(T2286="","",IF(T2286=0,"No discount",IF(T2286&lt;=0.2,"Low (1-20%)",IF(T2286&lt;=0.4,"Medium (21-40%)","High (&gt;40%)"))))</f>
        <v/>
      </c>
      <c r="Y2286" s="23" t="str">
        <f aca="false">IF(AND(ISNUMBER(C2286),ISNUMBER(D2286)),D2286-C2286,"")</f>
        <v/>
      </c>
      <c r="Z2286" s="23" t="str">
        <f aca="false">IF(B2286="","",IF(MATCH(B2286,$B$2:$B$12000,0)=ROW()-1,1,0))</f>
        <v/>
      </c>
    </row>
    <row r="2287" customFormat="false" ht="15" hidden="false" customHeight="false" outlineLevel="0" collapsed="false">
      <c r="V2287" s="23" t="str">
        <f aca="false">IF(ISNUMBER(C2287),YEAR(C2287),"")</f>
        <v/>
      </c>
      <c r="W2287" s="23" t="str">
        <f aca="false">IF(ISNUMBER(C2287),MONTH(C2287),"")</f>
        <v/>
      </c>
      <c r="X2287" s="23" t="str">
        <f aca="false">IF(T2287="","",IF(T2287=0,"No discount",IF(T2287&lt;=0.2,"Low (1-20%)",IF(T2287&lt;=0.4,"Medium (21-40%)","High (&gt;40%)"))))</f>
        <v/>
      </c>
      <c r="Y2287" s="23" t="str">
        <f aca="false">IF(AND(ISNUMBER(C2287),ISNUMBER(D2287)),D2287-C2287,"")</f>
        <v/>
      </c>
      <c r="Z2287" s="23" t="str">
        <f aca="false">IF(B2287="","",IF(MATCH(B2287,$B$2:$B$12000,0)=ROW()-1,1,0))</f>
        <v/>
      </c>
    </row>
    <row r="2288" customFormat="false" ht="15" hidden="false" customHeight="false" outlineLevel="0" collapsed="false">
      <c r="V2288" s="23" t="str">
        <f aca="false">IF(ISNUMBER(C2288),YEAR(C2288),"")</f>
        <v/>
      </c>
      <c r="W2288" s="23" t="str">
        <f aca="false">IF(ISNUMBER(C2288),MONTH(C2288),"")</f>
        <v/>
      </c>
      <c r="X2288" s="23" t="str">
        <f aca="false">IF(T2288="","",IF(T2288=0,"No discount",IF(T2288&lt;=0.2,"Low (1-20%)",IF(T2288&lt;=0.4,"Medium (21-40%)","High (&gt;40%)"))))</f>
        <v/>
      </c>
      <c r="Y2288" s="23" t="str">
        <f aca="false">IF(AND(ISNUMBER(C2288),ISNUMBER(D2288)),D2288-C2288,"")</f>
        <v/>
      </c>
      <c r="Z2288" s="23" t="str">
        <f aca="false">IF(B2288="","",IF(MATCH(B2288,$B$2:$B$12000,0)=ROW()-1,1,0))</f>
        <v/>
      </c>
    </row>
    <row r="2289" customFormat="false" ht="15" hidden="false" customHeight="false" outlineLevel="0" collapsed="false">
      <c r="V2289" s="23" t="str">
        <f aca="false">IF(ISNUMBER(C2289),YEAR(C2289),"")</f>
        <v/>
      </c>
      <c r="W2289" s="23" t="str">
        <f aca="false">IF(ISNUMBER(C2289),MONTH(C2289),"")</f>
        <v/>
      </c>
      <c r="X2289" s="23" t="str">
        <f aca="false">IF(T2289="","",IF(T2289=0,"No discount",IF(T2289&lt;=0.2,"Low (1-20%)",IF(T2289&lt;=0.4,"Medium (21-40%)","High (&gt;40%)"))))</f>
        <v/>
      </c>
      <c r="Y2289" s="23" t="str">
        <f aca="false">IF(AND(ISNUMBER(C2289),ISNUMBER(D2289)),D2289-C2289,"")</f>
        <v/>
      </c>
      <c r="Z2289" s="23" t="str">
        <f aca="false">IF(B2289="","",IF(MATCH(B2289,$B$2:$B$12000,0)=ROW()-1,1,0))</f>
        <v/>
      </c>
    </row>
    <row r="2290" customFormat="false" ht="15" hidden="false" customHeight="false" outlineLevel="0" collapsed="false">
      <c r="V2290" s="23" t="str">
        <f aca="false">IF(ISNUMBER(C2290),YEAR(C2290),"")</f>
        <v/>
      </c>
      <c r="W2290" s="23" t="str">
        <f aca="false">IF(ISNUMBER(C2290),MONTH(C2290),"")</f>
        <v/>
      </c>
      <c r="X2290" s="23" t="str">
        <f aca="false">IF(T2290="","",IF(T2290=0,"No discount",IF(T2290&lt;=0.2,"Low (1-20%)",IF(T2290&lt;=0.4,"Medium (21-40%)","High (&gt;40%)"))))</f>
        <v/>
      </c>
      <c r="Y2290" s="23" t="str">
        <f aca="false">IF(AND(ISNUMBER(C2290),ISNUMBER(D2290)),D2290-C2290,"")</f>
        <v/>
      </c>
      <c r="Z2290" s="23" t="str">
        <f aca="false">IF(B2290="","",IF(MATCH(B2290,$B$2:$B$12000,0)=ROW()-1,1,0))</f>
        <v/>
      </c>
    </row>
    <row r="2291" customFormat="false" ht="15" hidden="false" customHeight="false" outlineLevel="0" collapsed="false">
      <c r="V2291" s="23" t="str">
        <f aca="false">IF(ISNUMBER(C2291),YEAR(C2291),"")</f>
        <v/>
      </c>
      <c r="W2291" s="23" t="str">
        <f aca="false">IF(ISNUMBER(C2291),MONTH(C2291),"")</f>
        <v/>
      </c>
      <c r="X2291" s="23" t="str">
        <f aca="false">IF(T2291="","",IF(T2291=0,"No discount",IF(T2291&lt;=0.2,"Low (1-20%)",IF(T2291&lt;=0.4,"Medium (21-40%)","High (&gt;40%)"))))</f>
        <v/>
      </c>
      <c r="Y2291" s="23" t="str">
        <f aca="false">IF(AND(ISNUMBER(C2291),ISNUMBER(D2291)),D2291-C2291,"")</f>
        <v/>
      </c>
      <c r="Z2291" s="23" t="str">
        <f aca="false">IF(B2291="","",IF(MATCH(B2291,$B$2:$B$12000,0)=ROW()-1,1,0))</f>
        <v/>
      </c>
    </row>
    <row r="2292" customFormat="false" ht="15" hidden="false" customHeight="false" outlineLevel="0" collapsed="false">
      <c r="V2292" s="23" t="str">
        <f aca="false">IF(ISNUMBER(C2292),YEAR(C2292),"")</f>
        <v/>
      </c>
      <c r="W2292" s="23" t="str">
        <f aca="false">IF(ISNUMBER(C2292),MONTH(C2292),"")</f>
        <v/>
      </c>
      <c r="X2292" s="23" t="str">
        <f aca="false">IF(T2292="","",IF(T2292=0,"No discount",IF(T2292&lt;=0.2,"Low (1-20%)",IF(T2292&lt;=0.4,"Medium (21-40%)","High (&gt;40%)"))))</f>
        <v/>
      </c>
      <c r="Y2292" s="23" t="str">
        <f aca="false">IF(AND(ISNUMBER(C2292),ISNUMBER(D2292)),D2292-C2292,"")</f>
        <v/>
      </c>
      <c r="Z2292" s="23" t="str">
        <f aca="false">IF(B2292="","",IF(MATCH(B2292,$B$2:$B$12000,0)=ROW()-1,1,0))</f>
        <v/>
      </c>
    </row>
    <row r="2293" customFormat="false" ht="15" hidden="false" customHeight="false" outlineLevel="0" collapsed="false">
      <c r="V2293" s="23" t="str">
        <f aca="false">IF(ISNUMBER(C2293),YEAR(C2293),"")</f>
        <v/>
      </c>
      <c r="W2293" s="23" t="str">
        <f aca="false">IF(ISNUMBER(C2293),MONTH(C2293),"")</f>
        <v/>
      </c>
      <c r="X2293" s="23" t="str">
        <f aca="false">IF(T2293="","",IF(T2293=0,"No discount",IF(T2293&lt;=0.2,"Low (1-20%)",IF(T2293&lt;=0.4,"Medium (21-40%)","High (&gt;40%)"))))</f>
        <v/>
      </c>
      <c r="Y2293" s="23" t="str">
        <f aca="false">IF(AND(ISNUMBER(C2293),ISNUMBER(D2293)),D2293-C2293,"")</f>
        <v/>
      </c>
      <c r="Z2293" s="23" t="str">
        <f aca="false">IF(B2293="","",IF(MATCH(B2293,$B$2:$B$12000,0)=ROW()-1,1,0))</f>
        <v/>
      </c>
    </row>
    <row r="2294" customFormat="false" ht="15" hidden="false" customHeight="false" outlineLevel="0" collapsed="false">
      <c r="V2294" s="23" t="str">
        <f aca="false">IF(ISNUMBER(C2294),YEAR(C2294),"")</f>
        <v/>
      </c>
      <c r="W2294" s="23" t="str">
        <f aca="false">IF(ISNUMBER(C2294),MONTH(C2294),"")</f>
        <v/>
      </c>
      <c r="X2294" s="23" t="str">
        <f aca="false">IF(T2294="","",IF(T2294=0,"No discount",IF(T2294&lt;=0.2,"Low (1-20%)",IF(T2294&lt;=0.4,"Medium (21-40%)","High (&gt;40%)"))))</f>
        <v/>
      </c>
      <c r="Y2294" s="23" t="str">
        <f aca="false">IF(AND(ISNUMBER(C2294),ISNUMBER(D2294)),D2294-C2294,"")</f>
        <v/>
      </c>
      <c r="Z2294" s="23" t="str">
        <f aca="false">IF(B2294="","",IF(MATCH(B2294,$B$2:$B$12000,0)=ROW()-1,1,0))</f>
        <v/>
      </c>
    </row>
    <row r="2295" customFormat="false" ht="15" hidden="false" customHeight="false" outlineLevel="0" collapsed="false">
      <c r="V2295" s="23" t="str">
        <f aca="false">IF(ISNUMBER(C2295),YEAR(C2295),"")</f>
        <v/>
      </c>
      <c r="W2295" s="23" t="str">
        <f aca="false">IF(ISNUMBER(C2295),MONTH(C2295),"")</f>
        <v/>
      </c>
      <c r="X2295" s="23" t="str">
        <f aca="false">IF(T2295="","",IF(T2295=0,"No discount",IF(T2295&lt;=0.2,"Low (1-20%)",IF(T2295&lt;=0.4,"Medium (21-40%)","High (&gt;40%)"))))</f>
        <v/>
      </c>
      <c r="Y2295" s="23" t="str">
        <f aca="false">IF(AND(ISNUMBER(C2295),ISNUMBER(D2295)),D2295-C2295,"")</f>
        <v/>
      </c>
      <c r="Z2295" s="23" t="str">
        <f aca="false">IF(B2295="","",IF(MATCH(B2295,$B$2:$B$12000,0)=ROW()-1,1,0))</f>
        <v/>
      </c>
    </row>
    <row r="2296" customFormat="false" ht="15" hidden="false" customHeight="false" outlineLevel="0" collapsed="false">
      <c r="V2296" s="23" t="str">
        <f aca="false">IF(ISNUMBER(C2296),YEAR(C2296),"")</f>
        <v/>
      </c>
      <c r="W2296" s="23" t="str">
        <f aca="false">IF(ISNUMBER(C2296),MONTH(C2296),"")</f>
        <v/>
      </c>
      <c r="X2296" s="23" t="str">
        <f aca="false">IF(T2296="","",IF(T2296=0,"No discount",IF(T2296&lt;=0.2,"Low (1-20%)",IF(T2296&lt;=0.4,"Medium (21-40%)","High (&gt;40%)"))))</f>
        <v/>
      </c>
      <c r="Y2296" s="23" t="str">
        <f aca="false">IF(AND(ISNUMBER(C2296),ISNUMBER(D2296)),D2296-C2296,"")</f>
        <v/>
      </c>
      <c r="Z2296" s="23" t="str">
        <f aca="false">IF(B2296="","",IF(MATCH(B2296,$B$2:$B$12000,0)=ROW()-1,1,0))</f>
        <v/>
      </c>
    </row>
    <row r="2297" customFormat="false" ht="15" hidden="false" customHeight="false" outlineLevel="0" collapsed="false">
      <c r="V2297" s="23" t="str">
        <f aca="false">IF(ISNUMBER(C2297),YEAR(C2297),"")</f>
        <v/>
      </c>
      <c r="W2297" s="23" t="str">
        <f aca="false">IF(ISNUMBER(C2297),MONTH(C2297),"")</f>
        <v/>
      </c>
      <c r="X2297" s="23" t="str">
        <f aca="false">IF(T2297="","",IF(T2297=0,"No discount",IF(T2297&lt;=0.2,"Low (1-20%)",IF(T2297&lt;=0.4,"Medium (21-40%)","High (&gt;40%)"))))</f>
        <v/>
      </c>
      <c r="Y2297" s="23" t="str">
        <f aca="false">IF(AND(ISNUMBER(C2297),ISNUMBER(D2297)),D2297-C2297,"")</f>
        <v/>
      </c>
      <c r="Z2297" s="23" t="str">
        <f aca="false">IF(B2297="","",IF(MATCH(B2297,$B$2:$B$12000,0)=ROW()-1,1,0))</f>
        <v/>
      </c>
    </row>
    <row r="2298" customFormat="false" ht="15" hidden="false" customHeight="false" outlineLevel="0" collapsed="false">
      <c r="V2298" s="23" t="str">
        <f aca="false">IF(ISNUMBER(C2298),YEAR(C2298),"")</f>
        <v/>
      </c>
      <c r="W2298" s="23" t="str">
        <f aca="false">IF(ISNUMBER(C2298),MONTH(C2298),"")</f>
        <v/>
      </c>
      <c r="X2298" s="23" t="str">
        <f aca="false">IF(T2298="","",IF(T2298=0,"No discount",IF(T2298&lt;=0.2,"Low (1-20%)",IF(T2298&lt;=0.4,"Medium (21-40%)","High (&gt;40%)"))))</f>
        <v/>
      </c>
      <c r="Y2298" s="23" t="str">
        <f aca="false">IF(AND(ISNUMBER(C2298),ISNUMBER(D2298)),D2298-C2298,"")</f>
        <v/>
      </c>
      <c r="Z2298" s="23" t="str">
        <f aca="false">IF(B2298="","",IF(MATCH(B2298,$B$2:$B$12000,0)=ROW()-1,1,0))</f>
        <v/>
      </c>
    </row>
    <row r="2299" customFormat="false" ht="15" hidden="false" customHeight="false" outlineLevel="0" collapsed="false">
      <c r="V2299" s="23" t="str">
        <f aca="false">IF(ISNUMBER(C2299),YEAR(C2299),"")</f>
        <v/>
      </c>
      <c r="W2299" s="23" t="str">
        <f aca="false">IF(ISNUMBER(C2299),MONTH(C2299),"")</f>
        <v/>
      </c>
      <c r="X2299" s="23" t="str">
        <f aca="false">IF(T2299="","",IF(T2299=0,"No discount",IF(T2299&lt;=0.2,"Low (1-20%)",IF(T2299&lt;=0.4,"Medium (21-40%)","High (&gt;40%)"))))</f>
        <v/>
      </c>
      <c r="Y2299" s="23" t="str">
        <f aca="false">IF(AND(ISNUMBER(C2299),ISNUMBER(D2299)),D2299-C2299,"")</f>
        <v/>
      </c>
      <c r="Z2299" s="23" t="str">
        <f aca="false">IF(B2299="","",IF(MATCH(B2299,$B$2:$B$12000,0)=ROW()-1,1,0))</f>
        <v/>
      </c>
    </row>
    <row r="2300" customFormat="false" ht="15" hidden="false" customHeight="false" outlineLevel="0" collapsed="false">
      <c r="V2300" s="23" t="str">
        <f aca="false">IF(ISNUMBER(C2300),YEAR(C2300),"")</f>
        <v/>
      </c>
      <c r="W2300" s="23" t="str">
        <f aca="false">IF(ISNUMBER(C2300),MONTH(C2300),"")</f>
        <v/>
      </c>
      <c r="X2300" s="23" t="str">
        <f aca="false">IF(T2300="","",IF(T2300=0,"No discount",IF(T2300&lt;=0.2,"Low (1-20%)",IF(T2300&lt;=0.4,"Medium (21-40%)","High (&gt;40%)"))))</f>
        <v/>
      </c>
      <c r="Y2300" s="23" t="str">
        <f aca="false">IF(AND(ISNUMBER(C2300),ISNUMBER(D2300)),D2300-C2300,"")</f>
        <v/>
      </c>
      <c r="Z2300" s="23" t="str">
        <f aca="false">IF(B2300="","",IF(MATCH(B2300,$B$2:$B$12000,0)=ROW()-1,1,0))</f>
        <v/>
      </c>
    </row>
    <row r="2301" customFormat="false" ht="15" hidden="false" customHeight="false" outlineLevel="0" collapsed="false">
      <c r="V2301" s="23" t="str">
        <f aca="false">IF(ISNUMBER(C2301),YEAR(C2301),"")</f>
        <v/>
      </c>
      <c r="W2301" s="23" t="str">
        <f aca="false">IF(ISNUMBER(C2301),MONTH(C2301),"")</f>
        <v/>
      </c>
      <c r="X2301" s="23" t="str">
        <f aca="false">IF(T2301="","",IF(T2301=0,"No discount",IF(T2301&lt;=0.2,"Low (1-20%)",IF(T2301&lt;=0.4,"Medium (21-40%)","High (&gt;40%)"))))</f>
        <v/>
      </c>
      <c r="Y2301" s="23" t="str">
        <f aca="false">IF(AND(ISNUMBER(C2301),ISNUMBER(D2301)),D2301-C2301,"")</f>
        <v/>
      </c>
      <c r="Z2301" s="23" t="str">
        <f aca="false">IF(B2301="","",IF(MATCH(B2301,$B$2:$B$12000,0)=ROW()-1,1,0))</f>
        <v/>
      </c>
    </row>
    <row r="2302" customFormat="false" ht="15" hidden="false" customHeight="false" outlineLevel="0" collapsed="false">
      <c r="V2302" s="23" t="str">
        <f aca="false">IF(ISNUMBER(C2302),YEAR(C2302),"")</f>
        <v/>
      </c>
      <c r="W2302" s="23" t="str">
        <f aca="false">IF(ISNUMBER(C2302),MONTH(C2302),"")</f>
        <v/>
      </c>
      <c r="X2302" s="23" t="str">
        <f aca="false">IF(T2302="","",IF(T2302=0,"No discount",IF(T2302&lt;=0.2,"Low (1-20%)",IF(T2302&lt;=0.4,"Medium (21-40%)","High (&gt;40%)"))))</f>
        <v/>
      </c>
      <c r="Y2302" s="23" t="str">
        <f aca="false">IF(AND(ISNUMBER(C2302),ISNUMBER(D2302)),D2302-C2302,"")</f>
        <v/>
      </c>
      <c r="Z2302" s="23" t="str">
        <f aca="false">IF(B2302="","",IF(MATCH(B2302,$B$2:$B$12000,0)=ROW()-1,1,0))</f>
        <v/>
      </c>
    </row>
    <row r="2303" customFormat="false" ht="15" hidden="false" customHeight="false" outlineLevel="0" collapsed="false">
      <c r="V2303" s="23" t="str">
        <f aca="false">IF(ISNUMBER(C2303),YEAR(C2303),"")</f>
        <v/>
      </c>
      <c r="W2303" s="23" t="str">
        <f aca="false">IF(ISNUMBER(C2303),MONTH(C2303),"")</f>
        <v/>
      </c>
      <c r="X2303" s="23" t="str">
        <f aca="false">IF(T2303="","",IF(T2303=0,"No discount",IF(T2303&lt;=0.2,"Low (1-20%)",IF(T2303&lt;=0.4,"Medium (21-40%)","High (&gt;40%)"))))</f>
        <v/>
      </c>
      <c r="Y2303" s="23" t="str">
        <f aca="false">IF(AND(ISNUMBER(C2303),ISNUMBER(D2303)),D2303-C2303,"")</f>
        <v/>
      </c>
      <c r="Z2303" s="23" t="str">
        <f aca="false">IF(B2303="","",IF(MATCH(B2303,$B$2:$B$12000,0)=ROW()-1,1,0))</f>
        <v/>
      </c>
    </row>
    <row r="2304" customFormat="false" ht="15" hidden="false" customHeight="false" outlineLevel="0" collapsed="false">
      <c r="V2304" s="23" t="str">
        <f aca="false">IF(ISNUMBER(C2304),YEAR(C2304),"")</f>
        <v/>
      </c>
      <c r="W2304" s="23" t="str">
        <f aca="false">IF(ISNUMBER(C2304),MONTH(C2304),"")</f>
        <v/>
      </c>
      <c r="X2304" s="23" t="str">
        <f aca="false">IF(T2304="","",IF(T2304=0,"No discount",IF(T2304&lt;=0.2,"Low (1-20%)",IF(T2304&lt;=0.4,"Medium (21-40%)","High (&gt;40%)"))))</f>
        <v/>
      </c>
      <c r="Y2304" s="23" t="str">
        <f aca="false">IF(AND(ISNUMBER(C2304),ISNUMBER(D2304)),D2304-C2304,"")</f>
        <v/>
      </c>
      <c r="Z2304" s="23" t="str">
        <f aca="false">IF(B2304="","",IF(MATCH(B2304,$B$2:$B$12000,0)=ROW()-1,1,0))</f>
        <v/>
      </c>
    </row>
    <row r="2305" customFormat="false" ht="15" hidden="false" customHeight="false" outlineLevel="0" collapsed="false">
      <c r="V2305" s="23" t="str">
        <f aca="false">IF(ISNUMBER(C2305),YEAR(C2305),"")</f>
        <v/>
      </c>
      <c r="W2305" s="23" t="str">
        <f aca="false">IF(ISNUMBER(C2305),MONTH(C2305),"")</f>
        <v/>
      </c>
      <c r="X2305" s="23" t="str">
        <f aca="false">IF(T2305="","",IF(T2305=0,"No discount",IF(T2305&lt;=0.2,"Low (1-20%)",IF(T2305&lt;=0.4,"Medium (21-40%)","High (&gt;40%)"))))</f>
        <v/>
      </c>
      <c r="Y2305" s="23" t="str">
        <f aca="false">IF(AND(ISNUMBER(C2305),ISNUMBER(D2305)),D2305-C2305,"")</f>
        <v/>
      </c>
      <c r="Z2305" s="23" t="str">
        <f aca="false">IF(B2305="","",IF(MATCH(B2305,$B$2:$B$12000,0)=ROW()-1,1,0))</f>
        <v/>
      </c>
    </row>
    <row r="2306" customFormat="false" ht="15" hidden="false" customHeight="false" outlineLevel="0" collapsed="false">
      <c r="V2306" s="23" t="str">
        <f aca="false">IF(ISNUMBER(C2306),YEAR(C2306),"")</f>
        <v/>
      </c>
      <c r="W2306" s="23" t="str">
        <f aca="false">IF(ISNUMBER(C2306),MONTH(C2306),"")</f>
        <v/>
      </c>
      <c r="X2306" s="23" t="str">
        <f aca="false">IF(T2306="","",IF(T2306=0,"No discount",IF(T2306&lt;=0.2,"Low (1-20%)",IF(T2306&lt;=0.4,"Medium (21-40%)","High (&gt;40%)"))))</f>
        <v/>
      </c>
      <c r="Y2306" s="23" t="str">
        <f aca="false">IF(AND(ISNUMBER(C2306),ISNUMBER(D2306)),D2306-C2306,"")</f>
        <v/>
      </c>
      <c r="Z2306" s="23" t="str">
        <f aca="false">IF(B2306="","",IF(MATCH(B2306,$B$2:$B$12000,0)=ROW()-1,1,0))</f>
        <v/>
      </c>
    </row>
    <row r="2307" customFormat="false" ht="15" hidden="false" customHeight="false" outlineLevel="0" collapsed="false">
      <c r="V2307" s="23" t="str">
        <f aca="false">IF(ISNUMBER(C2307),YEAR(C2307),"")</f>
        <v/>
      </c>
      <c r="W2307" s="23" t="str">
        <f aca="false">IF(ISNUMBER(C2307),MONTH(C2307),"")</f>
        <v/>
      </c>
      <c r="X2307" s="23" t="str">
        <f aca="false">IF(T2307="","",IF(T2307=0,"No discount",IF(T2307&lt;=0.2,"Low (1-20%)",IF(T2307&lt;=0.4,"Medium (21-40%)","High (&gt;40%)"))))</f>
        <v/>
      </c>
      <c r="Y2307" s="23" t="str">
        <f aca="false">IF(AND(ISNUMBER(C2307),ISNUMBER(D2307)),D2307-C2307,"")</f>
        <v/>
      </c>
      <c r="Z2307" s="23" t="str">
        <f aca="false">IF(B2307="","",IF(MATCH(B2307,$B$2:$B$12000,0)=ROW()-1,1,0))</f>
        <v/>
      </c>
    </row>
    <row r="2308" customFormat="false" ht="15" hidden="false" customHeight="false" outlineLevel="0" collapsed="false">
      <c r="V2308" s="23" t="str">
        <f aca="false">IF(ISNUMBER(C2308),YEAR(C2308),"")</f>
        <v/>
      </c>
      <c r="W2308" s="23" t="str">
        <f aca="false">IF(ISNUMBER(C2308),MONTH(C2308),"")</f>
        <v/>
      </c>
      <c r="X2308" s="23" t="str">
        <f aca="false">IF(T2308="","",IF(T2308=0,"No discount",IF(T2308&lt;=0.2,"Low (1-20%)",IF(T2308&lt;=0.4,"Medium (21-40%)","High (&gt;40%)"))))</f>
        <v/>
      </c>
      <c r="Y2308" s="23" t="str">
        <f aca="false">IF(AND(ISNUMBER(C2308),ISNUMBER(D2308)),D2308-C2308,"")</f>
        <v/>
      </c>
      <c r="Z2308" s="23" t="str">
        <f aca="false">IF(B2308="","",IF(MATCH(B2308,$B$2:$B$12000,0)=ROW()-1,1,0))</f>
        <v/>
      </c>
    </row>
    <row r="2309" customFormat="false" ht="15" hidden="false" customHeight="false" outlineLevel="0" collapsed="false">
      <c r="V2309" s="23" t="str">
        <f aca="false">IF(ISNUMBER(C2309),YEAR(C2309),"")</f>
        <v/>
      </c>
      <c r="W2309" s="23" t="str">
        <f aca="false">IF(ISNUMBER(C2309),MONTH(C2309),"")</f>
        <v/>
      </c>
      <c r="X2309" s="23" t="str">
        <f aca="false">IF(T2309="","",IF(T2309=0,"No discount",IF(T2309&lt;=0.2,"Low (1-20%)",IF(T2309&lt;=0.4,"Medium (21-40%)","High (&gt;40%)"))))</f>
        <v/>
      </c>
      <c r="Y2309" s="23" t="str">
        <f aca="false">IF(AND(ISNUMBER(C2309),ISNUMBER(D2309)),D2309-C2309,"")</f>
        <v/>
      </c>
      <c r="Z2309" s="23" t="str">
        <f aca="false">IF(B2309="","",IF(MATCH(B2309,$B$2:$B$12000,0)=ROW()-1,1,0))</f>
        <v/>
      </c>
    </row>
    <row r="2310" customFormat="false" ht="15" hidden="false" customHeight="false" outlineLevel="0" collapsed="false">
      <c r="V2310" s="23" t="str">
        <f aca="false">IF(ISNUMBER(C2310),YEAR(C2310),"")</f>
        <v/>
      </c>
      <c r="W2310" s="23" t="str">
        <f aca="false">IF(ISNUMBER(C2310),MONTH(C2310),"")</f>
        <v/>
      </c>
      <c r="X2310" s="23" t="str">
        <f aca="false">IF(T2310="","",IF(T2310=0,"No discount",IF(T2310&lt;=0.2,"Low (1-20%)",IF(T2310&lt;=0.4,"Medium (21-40%)","High (&gt;40%)"))))</f>
        <v/>
      </c>
      <c r="Y2310" s="23" t="str">
        <f aca="false">IF(AND(ISNUMBER(C2310),ISNUMBER(D2310)),D2310-C2310,"")</f>
        <v/>
      </c>
      <c r="Z2310" s="23" t="str">
        <f aca="false">IF(B2310="","",IF(MATCH(B2310,$B$2:$B$12000,0)=ROW()-1,1,0))</f>
        <v/>
      </c>
    </row>
    <row r="2311" customFormat="false" ht="15" hidden="false" customHeight="false" outlineLevel="0" collapsed="false">
      <c r="V2311" s="23" t="str">
        <f aca="false">IF(ISNUMBER(C2311),YEAR(C2311),"")</f>
        <v/>
      </c>
      <c r="W2311" s="23" t="str">
        <f aca="false">IF(ISNUMBER(C2311),MONTH(C2311),"")</f>
        <v/>
      </c>
      <c r="X2311" s="23" t="str">
        <f aca="false">IF(T2311="","",IF(T2311=0,"No discount",IF(T2311&lt;=0.2,"Low (1-20%)",IF(T2311&lt;=0.4,"Medium (21-40%)","High (&gt;40%)"))))</f>
        <v/>
      </c>
      <c r="Y2311" s="23" t="str">
        <f aca="false">IF(AND(ISNUMBER(C2311),ISNUMBER(D2311)),D2311-C2311,"")</f>
        <v/>
      </c>
      <c r="Z2311" s="23" t="str">
        <f aca="false">IF(B2311="","",IF(MATCH(B2311,$B$2:$B$12000,0)=ROW()-1,1,0))</f>
        <v/>
      </c>
    </row>
    <row r="2312" customFormat="false" ht="15" hidden="false" customHeight="false" outlineLevel="0" collapsed="false">
      <c r="V2312" s="23" t="str">
        <f aca="false">IF(ISNUMBER(C2312),YEAR(C2312),"")</f>
        <v/>
      </c>
      <c r="W2312" s="23" t="str">
        <f aca="false">IF(ISNUMBER(C2312),MONTH(C2312),"")</f>
        <v/>
      </c>
      <c r="X2312" s="23" t="str">
        <f aca="false">IF(T2312="","",IF(T2312=0,"No discount",IF(T2312&lt;=0.2,"Low (1-20%)",IF(T2312&lt;=0.4,"Medium (21-40%)","High (&gt;40%)"))))</f>
        <v/>
      </c>
      <c r="Y2312" s="23" t="str">
        <f aca="false">IF(AND(ISNUMBER(C2312),ISNUMBER(D2312)),D2312-C2312,"")</f>
        <v/>
      </c>
      <c r="Z2312" s="23" t="str">
        <f aca="false">IF(B2312="","",IF(MATCH(B2312,$B$2:$B$12000,0)=ROW()-1,1,0))</f>
        <v/>
      </c>
    </row>
    <row r="2313" customFormat="false" ht="15" hidden="false" customHeight="false" outlineLevel="0" collapsed="false">
      <c r="V2313" s="23" t="str">
        <f aca="false">IF(ISNUMBER(C2313),YEAR(C2313),"")</f>
        <v/>
      </c>
      <c r="W2313" s="23" t="str">
        <f aca="false">IF(ISNUMBER(C2313),MONTH(C2313),"")</f>
        <v/>
      </c>
      <c r="X2313" s="23" t="str">
        <f aca="false">IF(T2313="","",IF(T2313=0,"No discount",IF(T2313&lt;=0.2,"Low (1-20%)",IF(T2313&lt;=0.4,"Medium (21-40%)","High (&gt;40%)"))))</f>
        <v/>
      </c>
      <c r="Y2313" s="23" t="str">
        <f aca="false">IF(AND(ISNUMBER(C2313),ISNUMBER(D2313)),D2313-C2313,"")</f>
        <v/>
      </c>
      <c r="Z2313" s="23" t="str">
        <f aca="false">IF(B2313="","",IF(MATCH(B2313,$B$2:$B$12000,0)=ROW()-1,1,0))</f>
        <v/>
      </c>
    </row>
    <row r="2314" customFormat="false" ht="15" hidden="false" customHeight="false" outlineLevel="0" collapsed="false">
      <c r="V2314" s="23" t="str">
        <f aca="false">IF(ISNUMBER(C2314),YEAR(C2314),"")</f>
        <v/>
      </c>
      <c r="W2314" s="23" t="str">
        <f aca="false">IF(ISNUMBER(C2314),MONTH(C2314),"")</f>
        <v/>
      </c>
      <c r="X2314" s="23" t="str">
        <f aca="false">IF(T2314="","",IF(T2314=0,"No discount",IF(T2314&lt;=0.2,"Low (1-20%)",IF(T2314&lt;=0.4,"Medium (21-40%)","High (&gt;40%)"))))</f>
        <v/>
      </c>
      <c r="Y2314" s="23" t="str">
        <f aca="false">IF(AND(ISNUMBER(C2314),ISNUMBER(D2314)),D2314-C2314,"")</f>
        <v/>
      </c>
      <c r="Z2314" s="23" t="str">
        <f aca="false">IF(B2314="","",IF(MATCH(B2314,$B$2:$B$12000,0)=ROW()-1,1,0))</f>
        <v/>
      </c>
    </row>
    <row r="2315" customFormat="false" ht="15" hidden="false" customHeight="false" outlineLevel="0" collapsed="false">
      <c r="V2315" s="23" t="str">
        <f aca="false">IF(ISNUMBER(C2315),YEAR(C2315),"")</f>
        <v/>
      </c>
      <c r="W2315" s="23" t="str">
        <f aca="false">IF(ISNUMBER(C2315),MONTH(C2315),"")</f>
        <v/>
      </c>
      <c r="X2315" s="23" t="str">
        <f aca="false">IF(T2315="","",IF(T2315=0,"No discount",IF(T2315&lt;=0.2,"Low (1-20%)",IF(T2315&lt;=0.4,"Medium (21-40%)","High (&gt;40%)"))))</f>
        <v/>
      </c>
      <c r="Y2315" s="23" t="str">
        <f aca="false">IF(AND(ISNUMBER(C2315),ISNUMBER(D2315)),D2315-C2315,"")</f>
        <v/>
      </c>
      <c r="Z2315" s="23" t="str">
        <f aca="false">IF(B2315="","",IF(MATCH(B2315,$B$2:$B$12000,0)=ROW()-1,1,0))</f>
        <v/>
      </c>
    </row>
    <row r="2316" customFormat="false" ht="15" hidden="false" customHeight="false" outlineLevel="0" collapsed="false">
      <c r="V2316" s="23" t="str">
        <f aca="false">IF(ISNUMBER(C2316),YEAR(C2316),"")</f>
        <v/>
      </c>
      <c r="W2316" s="23" t="str">
        <f aca="false">IF(ISNUMBER(C2316),MONTH(C2316),"")</f>
        <v/>
      </c>
      <c r="X2316" s="23" t="str">
        <f aca="false">IF(T2316="","",IF(T2316=0,"No discount",IF(T2316&lt;=0.2,"Low (1-20%)",IF(T2316&lt;=0.4,"Medium (21-40%)","High (&gt;40%)"))))</f>
        <v/>
      </c>
      <c r="Y2316" s="23" t="str">
        <f aca="false">IF(AND(ISNUMBER(C2316),ISNUMBER(D2316)),D2316-C2316,"")</f>
        <v/>
      </c>
      <c r="Z2316" s="23" t="str">
        <f aca="false">IF(B2316="","",IF(MATCH(B2316,$B$2:$B$12000,0)=ROW()-1,1,0))</f>
        <v/>
      </c>
    </row>
    <row r="2317" customFormat="false" ht="15" hidden="false" customHeight="false" outlineLevel="0" collapsed="false">
      <c r="V2317" s="23" t="str">
        <f aca="false">IF(ISNUMBER(C2317),YEAR(C2317),"")</f>
        <v/>
      </c>
      <c r="W2317" s="23" t="str">
        <f aca="false">IF(ISNUMBER(C2317),MONTH(C2317),"")</f>
        <v/>
      </c>
      <c r="X2317" s="23" t="str">
        <f aca="false">IF(T2317="","",IF(T2317=0,"No discount",IF(T2317&lt;=0.2,"Low (1-20%)",IF(T2317&lt;=0.4,"Medium (21-40%)","High (&gt;40%)"))))</f>
        <v/>
      </c>
      <c r="Y2317" s="23" t="str">
        <f aca="false">IF(AND(ISNUMBER(C2317),ISNUMBER(D2317)),D2317-C2317,"")</f>
        <v/>
      </c>
      <c r="Z2317" s="23" t="str">
        <f aca="false">IF(B2317="","",IF(MATCH(B2317,$B$2:$B$12000,0)=ROW()-1,1,0))</f>
        <v/>
      </c>
    </row>
    <row r="2318" customFormat="false" ht="15" hidden="false" customHeight="false" outlineLevel="0" collapsed="false">
      <c r="V2318" s="23" t="str">
        <f aca="false">IF(ISNUMBER(C2318),YEAR(C2318),"")</f>
        <v/>
      </c>
      <c r="W2318" s="23" t="str">
        <f aca="false">IF(ISNUMBER(C2318),MONTH(C2318),"")</f>
        <v/>
      </c>
      <c r="X2318" s="23" t="str">
        <f aca="false">IF(T2318="","",IF(T2318=0,"No discount",IF(T2318&lt;=0.2,"Low (1-20%)",IF(T2318&lt;=0.4,"Medium (21-40%)","High (&gt;40%)"))))</f>
        <v/>
      </c>
      <c r="Y2318" s="23" t="str">
        <f aca="false">IF(AND(ISNUMBER(C2318),ISNUMBER(D2318)),D2318-C2318,"")</f>
        <v/>
      </c>
      <c r="Z2318" s="23" t="str">
        <f aca="false">IF(B2318="","",IF(MATCH(B2318,$B$2:$B$12000,0)=ROW()-1,1,0))</f>
        <v/>
      </c>
    </row>
    <row r="2319" customFormat="false" ht="15" hidden="false" customHeight="false" outlineLevel="0" collapsed="false">
      <c r="V2319" s="23" t="str">
        <f aca="false">IF(ISNUMBER(C2319),YEAR(C2319),"")</f>
        <v/>
      </c>
      <c r="W2319" s="23" t="str">
        <f aca="false">IF(ISNUMBER(C2319),MONTH(C2319),"")</f>
        <v/>
      </c>
      <c r="X2319" s="23" t="str">
        <f aca="false">IF(T2319="","",IF(T2319=0,"No discount",IF(T2319&lt;=0.2,"Low (1-20%)",IF(T2319&lt;=0.4,"Medium (21-40%)","High (&gt;40%)"))))</f>
        <v/>
      </c>
      <c r="Y2319" s="23" t="str">
        <f aca="false">IF(AND(ISNUMBER(C2319),ISNUMBER(D2319)),D2319-C2319,"")</f>
        <v/>
      </c>
      <c r="Z2319" s="23" t="str">
        <f aca="false">IF(B2319="","",IF(MATCH(B2319,$B$2:$B$12000,0)=ROW()-1,1,0))</f>
        <v/>
      </c>
    </row>
    <row r="2320" customFormat="false" ht="15" hidden="false" customHeight="false" outlineLevel="0" collapsed="false">
      <c r="V2320" s="23" t="str">
        <f aca="false">IF(ISNUMBER(C2320),YEAR(C2320),"")</f>
        <v/>
      </c>
      <c r="W2320" s="23" t="str">
        <f aca="false">IF(ISNUMBER(C2320),MONTH(C2320),"")</f>
        <v/>
      </c>
      <c r="X2320" s="23" t="str">
        <f aca="false">IF(T2320="","",IF(T2320=0,"No discount",IF(T2320&lt;=0.2,"Low (1-20%)",IF(T2320&lt;=0.4,"Medium (21-40%)","High (&gt;40%)"))))</f>
        <v/>
      </c>
      <c r="Y2320" s="23" t="str">
        <f aca="false">IF(AND(ISNUMBER(C2320),ISNUMBER(D2320)),D2320-C2320,"")</f>
        <v/>
      </c>
      <c r="Z2320" s="23" t="str">
        <f aca="false">IF(B2320="","",IF(MATCH(B2320,$B$2:$B$12000,0)=ROW()-1,1,0))</f>
        <v/>
      </c>
    </row>
    <row r="2321" customFormat="false" ht="15" hidden="false" customHeight="false" outlineLevel="0" collapsed="false">
      <c r="V2321" s="23" t="str">
        <f aca="false">IF(ISNUMBER(C2321),YEAR(C2321),"")</f>
        <v/>
      </c>
      <c r="W2321" s="23" t="str">
        <f aca="false">IF(ISNUMBER(C2321),MONTH(C2321),"")</f>
        <v/>
      </c>
      <c r="X2321" s="23" t="str">
        <f aca="false">IF(T2321="","",IF(T2321=0,"No discount",IF(T2321&lt;=0.2,"Low (1-20%)",IF(T2321&lt;=0.4,"Medium (21-40%)","High (&gt;40%)"))))</f>
        <v/>
      </c>
      <c r="Y2321" s="23" t="str">
        <f aca="false">IF(AND(ISNUMBER(C2321),ISNUMBER(D2321)),D2321-C2321,"")</f>
        <v/>
      </c>
      <c r="Z2321" s="23" t="str">
        <f aca="false">IF(B2321="","",IF(MATCH(B2321,$B$2:$B$12000,0)=ROW()-1,1,0))</f>
        <v/>
      </c>
    </row>
    <row r="2322" customFormat="false" ht="15" hidden="false" customHeight="false" outlineLevel="0" collapsed="false">
      <c r="V2322" s="23" t="str">
        <f aca="false">IF(ISNUMBER(C2322),YEAR(C2322),"")</f>
        <v/>
      </c>
      <c r="W2322" s="23" t="str">
        <f aca="false">IF(ISNUMBER(C2322),MONTH(C2322),"")</f>
        <v/>
      </c>
      <c r="X2322" s="23" t="str">
        <f aca="false">IF(T2322="","",IF(T2322=0,"No discount",IF(T2322&lt;=0.2,"Low (1-20%)",IF(T2322&lt;=0.4,"Medium (21-40%)","High (&gt;40%)"))))</f>
        <v/>
      </c>
      <c r="Y2322" s="23" t="str">
        <f aca="false">IF(AND(ISNUMBER(C2322),ISNUMBER(D2322)),D2322-C2322,"")</f>
        <v/>
      </c>
      <c r="Z2322" s="23" t="str">
        <f aca="false">IF(B2322="","",IF(MATCH(B2322,$B$2:$B$12000,0)=ROW()-1,1,0))</f>
        <v/>
      </c>
    </row>
    <row r="2323" customFormat="false" ht="15" hidden="false" customHeight="false" outlineLevel="0" collapsed="false">
      <c r="V2323" s="23" t="str">
        <f aca="false">IF(ISNUMBER(C2323),YEAR(C2323),"")</f>
        <v/>
      </c>
      <c r="W2323" s="23" t="str">
        <f aca="false">IF(ISNUMBER(C2323),MONTH(C2323),"")</f>
        <v/>
      </c>
      <c r="X2323" s="23" t="str">
        <f aca="false">IF(T2323="","",IF(T2323=0,"No discount",IF(T2323&lt;=0.2,"Low (1-20%)",IF(T2323&lt;=0.4,"Medium (21-40%)","High (&gt;40%)"))))</f>
        <v/>
      </c>
      <c r="Y2323" s="23" t="str">
        <f aca="false">IF(AND(ISNUMBER(C2323),ISNUMBER(D2323)),D2323-C2323,"")</f>
        <v/>
      </c>
      <c r="Z2323" s="23" t="str">
        <f aca="false">IF(B2323="","",IF(MATCH(B2323,$B$2:$B$12000,0)=ROW()-1,1,0))</f>
        <v/>
      </c>
    </row>
    <row r="2324" customFormat="false" ht="15" hidden="false" customHeight="false" outlineLevel="0" collapsed="false">
      <c r="V2324" s="23" t="str">
        <f aca="false">IF(ISNUMBER(C2324),YEAR(C2324),"")</f>
        <v/>
      </c>
      <c r="W2324" s="23" t="str">
        <f aca="false">IF(ISNUMBER(C2324),MONTH(C2324),"")</f>
        <v/>
      </c>
      <c r="X2324" s="23" t="str">
        <f aca="false">IF(T2324="","",IF(T2324=0,"No discount",IF(T2324&lt;=0.2,"Low (1-20%)",IF(T2324&lt;=0.4,"Medium (21-40%)","High (&gt;40%)"))))</f>
        <v/>
      </c>
      <c r="Y2324" s="23" t="str">
        <f aca="false">IF(AND(ISNUMBER(C2324),ISNUMBER(D2324)),D2324-C2324,"")</f>
        <v/>
      </c>
      <c r="Z2324" s="23" t="str">
        <f aca="false">IF(B2324="","",IF(MATCH(B2324,$B$2:$B$12000,0)=ROW()-1,1,0))</f>
        <v/>
      </c>
    </row>
    <row r="2325" customFormat="false" ht="15" hidden="false" customHeight="false" outlineLevel="0" collapsed="false">
      <c r="V2325" s="23" t="str">
        <f aca="false">IF(ISNUMBER(C2325),YEAR(C2325),"")</f>
        <v/>
      </c>
      <c r="W2325" s="23" t="str">
        <f aca="false">IF(ISNUMBER(C2325),MONTH(C2325),"")</f>
        <v/>
      </c>
      <c r="X2325" s="23" t="str">
        <f aca="false">IF(T2325="","",IF(T2325=0,"No discount",IF(T2325&lt;=0.2,"Low (1-20%)",IF(T2325&lt;=0.4,"Medium (21-40%)","High (&gt;40%)"))))</f>
        <v/>
      </c>
      <c r="Y2325" s="23" t="str">
        <f aca="false">IF(AND(ISNUMBER(C2325),ISNUMBER(D2325)),D2325-C2325,"")</f>
        <v/>
      </c>
      <c r="Z2325" s="23" t="str">
        <f aca="false">IF(B2325="","",IF(MATCH(B2325,$B$2:$B$12000,0)=ROW()-1,1,0))</f>
        <v/>
      </c>
    </row>
    <row r="2326" customFormat="false" ht="15" hidden="false" customHeight="false" outlineLevel="0" collapsed="false">
      <c r="V2326" s="23" t="str">
        <f aca="false">IF(ISNUMBER(C2326),YEAR(C2326),"")</f>
        <v/>
      </c>
      <c r="W2326" s="23" t="str">
        <f aca="false">IF(ISNUMBER(C2326),MONTH(C2326),"")</f>
        <v/>
      </c>
      <c r="X2326" s="23" t="str">
        <f aca="false">IF(T2326="","",IF(T2326=0,"No discount",IF(T2326&lt;=0.2,"Low (1-20%)",IF(T2326&lt;=0.4,"Medium (21-40%)","High (&gt;40%)"))))</f>
        <v/>
      </c>
      <c r="Y2326" s="23" t="str">
        <f aca="false">IF(AND(ISNUMBER(C2326),ISNUMBER(D2326)),D2326-C2326,"")</f>
        <v/>
      </c>
      <c r="Z2326" s="23" t="str">
        <f aca="false">IF(B2326="","",IF(MATCH(B2326,$B$2:$B$12000,0)=ROW()-1,1,0))</f>
        <v/>
      </c>
    </row>
    <row r="2327" customFormat="false" ht="15" hidden="false" customHeight="false" outlineLevel="0" collapsed="false">
      <c r="V2327" s="23" t="str">
        <f aca="false">IF(ISNUMBER(C2327),YEAR(C2327),"")</f>
        <v/>
      </c>
      <c r="W2327" s="23" t="str">
        <f aca="false">IF(ISNUMBER(C2327),MONTH(C2327),"")</f>
        <v/>
      </c>
      <c r="X2327" s="23" t="str">
        <f aca="false">IF(T2327="","",IF(T2327=0,"No discount",IF(T2327&lt;=0.2,"Low (1-20%)",IF(T2327&lt;=0.4,"Medium (21-40%)","High (&gt;40%)"))))</f>
        <v/>
      </c>
      <c r="Y2327" s="23" t="str">
        <f aca="false">IF(AND(ISNUMBER(C2327),ISNUMBER(D2327)),D2327-C2327,"")</f>
        <v/>
      </c>
      <c r="Z2327" s="23" t="str">
        <f aca="false">IF(B2327="","",IF(MATCH(B2327,$B$2:$B$12000,0)=ROW()-1,1,0))</f>
        <v/>
      </c>
    </row>
    <row r="2328" customFormat="false" ht="15" hidden="false" customHeight="false" outlineLevel="0" collapsed="false">
      <c r="V2328" s="23" t="str">
        <f aca="false">IF(ISNUMBER(C2328),YEAR(C2328),"")</f>
        <v/>
      </c>
      <c r="W2328" s="23" t="str">
        <f aca="false">IF(ISNUMBER(C2328),MONTH(C2328),"")</f>
        <v/>
      </c>
      <c r="X2328" s="23" t="str">
        <f aca="false">IF(T2328="","",IF(T2328=0,"No discount",IF(T2328&lt;=0.2,"Low (1-20%)",IF(T2328&lt;=0.4,"Medium (21-40%)","High (&gt;40%)"))))</f>
        <v/>
      </c>
      <c r="Y2328" s="23" t="str">
        <f aca="false">IF(AND(ISNUMBER(C2328),ISNUMBER(D2328)),D2328-C2328,"")</f>
        <v/>
      </c>
      <c r="Z2328" s="23" t="str">
        <f aca="false">IF(B2328="","",IF(MATCH(B2328,$B$2:$B$12000,0)=ROW()-1,1,0))</f>
        <v/>
      </c>
    </row>
    <row r="2329" customFormat="false" ht="15" hidden="false" customHeight="false" outlineLevel="0" collapsed="false">
      <c r="V2329" s="23" t="str">
        <f aca="false">IF(ISNUMBER(C2329),YEAR(C2329),"")</f>
        <v/>
      </c>
      <c r="W2329" s="23" t="str">
        <f aca="false">IF(ISNUMBER(C2329),MONTH(C2329),"")</f>
        <v/>
      </c>
      <c r="X2329" s="23" t="str">
        <f aca="false">IF(T2329="","",IF(T2329=0,"No discount",IF(T2329&lt;=0.2,"Low (1-20%)",IF(T2329&lt;=0.4,"Medium (21-40%)","High (&gt;40%)"))))</f>
        <v/>
      </c>
      <c r="Y2329" s="23" t="str">
        <f aca="false">IF(AND(ISNUMBER(C2329),ISNUMBER(D2329)),D2329-C2329,"")</f>
        <v/>
      </c>
      <c r="Z2329" s="23" t="str">
        <f aca="false">IF(B2329="","",IF(MATCH(B2329,$B$2:$B$12000,0)=ROW()-1,1,0))</f>
        <v/>
      </c>
    </row>
    <row r="2330" customFormat="false" ht="15" hidden="false" customHeight="false" outlineLevel="0" collapsed="false">
      <c r="V2330" s="23" t="str">
        <f aca="false">IF(ISNUMBER(C2330),YEAR(C2330),"")</f>
        <v/>
      </c>
      <c r="W2330" s="23" t="str">
        <f aca="false">IF(ISNUMBER(C2330),MONTH(C2330),"")</f>
        <v/>
      </c>
      <c r="X2330" s="23" t="str">
        <f aca="false">IF(T2330="","",IF(T2330=0,"No discount",IF(T2330&lt;=0.2,"Low (1-20%)",IF(T2330&lt;=0.4,"Medium (21-40%)","High (&gt;40%)"))))</f>
        <v/>
      </c>
      <c r="Y2330" s="23" t="str">
        <f aca="false">IF(AND(ISNUMBER(C2330),ISNUMBER(D2330)),D2330-C2330,"")</f>
        <v/>
      </c>
      <c r="Z2330" s="23" t="str">
        <f aca="false">IF(B2330="","",IF(MATCH(B2330,$B$2:$B$12000,0)=ROW()-1,1,0))</f>
        <v/>
      </c>
    </row>
    <row r="2331" customFormat="false" ht="15" hidden="false" customHeight="false" outlineLevel="0" collapsed="false">
      <c r="V2331" s="23" t="str">
        <f aca="false">IF(ISNUMBER(C2331),YEAR(C2331),"")</f>
        <v/>
      </c>
      <c r="W2331" s="23" t="str">
        <f aca="false">IF(ISNUMBER(C2331),MONTH(C2331),"")</f>
        <v/>
      </c>
      <c r="X2331" s="23" t="str">
        <f aca="false">IF(T2331="","",IF(T2331=0,"No discount",IF(T2331&lt;=0.2,"Low (1-20%)",IF(T2331&lt;=0.4,"Medium (21-40%)","High (&gt;40%)"))))</f>
        <v/>
      </c>
      <c r="Y2331" s="23" t="str">
        <f aca="false">IF(AND(ISNUMBER(C2331),ISNUMBER(D2331)),D2331-C2331,"")</f>
        <v/>
      </c>
      <c r="Z2331" s="23" t="str">
        <f aca="false">IF(B2331="","",IF(MATCH(B2331,$B$2:$B$12000,0)=ROW()-1,1,0))</f>
        <v/>
      </c>
    </row>
    <row r="2332" customFormat="false" ht="15" hidden="false" customHeight="false" outlineLevel="0" collapsed="false">
      <c r="V2332" s="23" t="str">
        <f aca="false">IF(ISNUMBER(C2332),YEAR(C2332),"")</f>
        <v/>
      </c>
      <c r="W2332" s="23" t="str">
        <f aca="false">IF(ISNUMBER(C2332),MONTH(C2332),"")</f>
        <v/>
      </c>
      <c r="X2332" s="23" t="str">
        <f aca="false">IF(T2332="","",IF(T2332=0,"No discount",IF(T2332&lt;=0.2,"Low (1-20%)",IF(T2332&lt;=0.4,"Medium (21-40%)","High (&gt;40%)"))))</f>
        <v/>
      </c>
      <c r="Y2332" s="23" t="str">
        <f aca="false">IF(AND(ISNUMBER(C2332),ISNUMBER(D2332)),D2332-C2332,"")</f>
        <v/>
      </c>
      <c r="Z2332" s="23" t="str">
        <f aca="false">IF(B2332="","",IF(MATCH(B2332,$B$2:$B$12000,0)=ROW()-1,1,0))</f>
        <v/>
      </c>
    </row>
    <row r="2333" customFormat="false" ht="15" hidden="false" customHeight="false" outlineLevel="0" collapsed="false">
      <c r="V2333" s="23" t="str">
        <f aca="false">IF(ISNUMBER(C2333),YEAR(C2333),"")</f>
        <v/>
      </c>
      <c r="W2333" s="23" t="str">
        <f aca="false">IF(ISNUMBER(C2333),MONTH(C2333),"")</f>
        <v/>
      </c>
      <c r="X2333" s="23" t="str">
        <f aca="false">IF(T2333="","",IF(T2333=0,"No discount",IF(T2333&lt;=0.2,"Low (1-20%)",IF(T2333&lt;=0.4,"Medium (21-40%)","High (&gt;40%)"))))</f>
        <v/>
      </c>
      <c r="Y2333" s="23" t="str">
        <f aca="false">IF(AND(ISNUMBER(C2333),ISNUMBER(D2333)),D2333-C2333,"")</f>
        <v/>
      </c>
      <c r="Z2333" s="23" t="str">
        <f aca="false">IF(B2333="","",IF(MATCH(B2333,$B$2:$B$12000,0)=ROW()-1,1,0))</f>
        <v/>
      </c>
    </row>
    <row r="2334" customFormat="false" ht="15" hidden="false" customHeight="false" outlineLevel="0" collapsed="false">
      <c r="V2334" s="23" t="str">
        <f aca="false">IF(ISNUMBER(C2334),YEAR(C2334),"")</f>
        <v/>
      </c>
      <c r="W2334" s="23" t="str">
        <f aca="false">IF(ISNUMBER(C2334),MONTH(C2334),"")</f>
        <v/>
      </c>
      <c r="X2334" s="23" t="str">
        <f aca="false">IF(T2334="","",IF(T2334=0,"No discount",IF(T2334&lt;=0.2,"Low (1-20%)",IF(T2334&lt;=0.4,"Medium (21-40%)","High (&gt;40%)"))))</f>
        <v/>
      </c>
      <c r="Y2334" s="23" t="str">
        <f aca="false">IF(AND(ISNUMBER(C2334),ISNUMBER(D2334)),D2334-C2334,"")</f>
        <v/>
      </c>
      <c r="Z2334" s="23" t="str">
        <f aca="false">IF(B2334="","",IF(MATCH(B2334,$B$2:$B$12000,0)=ROW()-1,1,0))</f>
        <v/>
      </c>
    </row>
    <row r="2335" customFormat="false" ht="15" hidden="false" customHeight="false" outlineLevel="0" collapsed="false">
      <c r="V2335" s="23" t="str">
        <f aca="false">IF(ISNUMBER(C2335),YEAR(C2335),"")</f>
        <v/>
      </c>
      <c r="W2335" s="23" t="str">
        <f aca="false">IF(ISNUMBER(C2335),MONTH(C2335),"")</f>
        <v/>
      </c>
      <c r="X2335" s="23" t="str">
        <f aca="false">IF(T2335="","",IF(T2335=0,"No discount",IF(T2335&lt;=0.2,"Low (1-20%)",IF(T2335&lt;=0.4,"Medium (21-40%)","High (&gt;40%)"))))</f>
        <v/>
      </c>
      <c r="Y2335" s="23" t="str">
        <f aca="false">IF(AND(ISNUMBER(C2335),ISNUMBER(D2335)),D2335-C2335,"")</f>
        <v/>
      </c>
      <c r="Z2335" s="23" t="str">
        <f aca="false">IF(B2335="","",IF(MATCH(B2335,$B$2:$B$12000,0)=ROW()-1,1,0))</f>
        <v/>
      </c>
    </row>
    <row r="2336" customFormat="false" ht="15" hidden="false" customHeight="false" outlineLevel="0" collapsed="false">
      <c r="V2336" s="23" t="str">
        <f aca="false">IF(ISNUMBER(C2336),YEAR(C2336),"")</f>
        <v/>
      </c>
      <c r="W2336" s="23" t="str">
        <f aca="false">IF(ISNUMBER(C2336),MONTH(C2336),"")</f>
        <v/>
      </c>
      <c r="X2336" s="23" t="str">
        <f aca="false">IF(T2336="","",IF(T2336=0,"No discount",IF(T2336&lt;=0.2,"Low (1-20%)",IF(T2336&lt;=0.4,"Medium (21-40%)","High (&gt;40%)"))))</f>
        <v/>
      </c>
      <c r="Y2336" s="23" t="str">
        <f aca="false">IF(AND(ISNUMBER(C2336),ISNUMBER(D2336)),D2336-C2336,"")</f>
        <v/>
      </c>
      <c r="Z2336" s="23" t="str">
        <f aca="false">IF(B2336="","",IF(MATCH(B2336,$B$2:$B$12000,0)=ROW()-1,1,0))</f>
        <v/>
      </c>
    </row>
    <row r="2337" customFormat="false" ht="15" hidden="false" customHeight="false" outlineLevel="0" collapsed="false">
      <c r="V2337" s="23" t="str">
        <f aca="false">IF(ISNUMBER(C2337),YEAR(C2337),"")</f>
        <v/>
      </c>
      <c r="W2337" s="23" t="str">
        <f aca="false">IF(ISNUMBER(C2337),MONTH(C2337),"")</f>
        <v/>
      </c>
      <c r="X2337" s="23" t="str">
        <f aca="false">IF(T2337="","",IF(T2337=0,"No discount",IF(T2337&lt;=0.2,"Low (1-20%)",IF(T2337&lt;=0.4,"Medium (21-40%)","High (&gt;40%)"))))</f>
        <v/>
      </c>
      <c r="Y2337" s="23" t="str">
        <f aca="false">IF(AND(ISNUMBER(C2337),ISNUMBER(D2337)),D2337-C2337,"")</f>
        <v/>
      </c>
      <c r="Z2337" s="23" t="str">
        <f aca="false">IF(B2337="","",IF(MATCH(B2337,$B$2:$B$12000,0)=ROW()-1,1,0))</f>
        <v/>
      </c>
    </row>
    <row r="2338" customFormat="false" ht="15" hidden="false" customHeight="false" outlineLevel="0" collapsed="false">
      <c r="V2338" s="23" t="str">
        <f aca="false">IF(ISNUMBER(C2338),YEAR(C2338),"")</f>
        <v/>
      </c>
      <c r="W2338" s="23" t="str">
        <f aca="false">IF(ISNUMBER(C2338),MONTH(C2338),"")</f>
        <v/>
      </c>
      <c r="X2338" s="23" t="str">
        <f aca="false">IF(T2338="","",IF(T2338=0,"No discount",IF(T2338&lt;=0.2,"Low (1-20%)",IF(T2338&lt;=0.4,"Medium (21-40%)","High (&gt;40%)"))))</f>
        <v/>
      </c>
      <c r="Y2338" s="23" t="str">
        <f aca="false">IF(AND(ISNUMBER(C2338),ISNUMBER(D2338)),D2338-C2338,"")</f>
        <v/>
      </c>
      <c r="Z2338" s="23" t="str">
        <f aca="false">IF(B2338="","",IF(MATCH(B2338,$B$2:$B$12000,0)=ROW()-1,1,0))</f>
        <v/>
      </c>
    </row>
    <row r="2339" customFormat="false" ht="15" hidden="false" customHeight="false" outlineLevel="0" collapsed="false">
      <c r="V2339" s="23" t="str">
        <f aca="false">IF(ISNUMBER(C2339),YEAR(C2339),"")</f>
        <v/>
      </c>
      <c r="W2339" s="23" t="str">
        <f aca="false">IF(ISNUMBER(C2339),MONTH(C2339),"")</f>
        <v/>
      </c>
      <c r="X2339" s="23" t="str">
        <f aca="false">IF(T2339="","",IF(T2339=0,"No discount",IF(T2339&lt;=0.2,"Low (1-20%)",IF(T2339&lt;=0.4,"Medium (21-40%)","High (&gt;40%)"))))</f>
        <v/>
      </c>
      <c r="Y2339" s="23" t="str">
        <f aca="false">IF(AND(ISNUMBER(C2339),ISNUMBER(D2339)),D2339-C2339,"")</f>
        <v/>
      </c>
      <c r="Z2339" s="23" t="str">
        <f aca="false">IF(B2339="","",IF(MATCH(B2339,$B$2:$B$12000,0)=ROW()-1,1,0))</f>
        <v/>
      </c>
    </row>
    <row r="2340" customFormat="false" ht="15" hidden="false" customHeight="false" outlineLevel="0" collapsed="false">
      <c r="V2340" s="23" t="str">
        <f aca="false">IF(ISNUMBER(C2340),YEAR(C2340),"")</f>
        <v/>
      </c>
      <c r="W2340" s="23" t="str">
        <f aca="false">IF(ISNUMBER(C2340),MONTH(C2340),"")</f>
        <v/>
      </c>
      <c r="X2340" s="23" t="str">
        <f aca="false">IF(T2340="","",IF(T2340=0,"No discount",IF(T2340&lt;=0.2,"Low (1-20%)",IF(T2340&lt;=0.4,"Medium (21-40%)","High (&gt;40%)"))))</f>
        <v/>
      </c>
      <c r="Y2340" s="23" t="str">
        <f aca="false">IF(AND(ISNUMBER(C2340),ISNUMBER(D2340)),D2340-C2340,"")</f>
        <v/>
      </c>
      <c r="Z2340" s="23" t="str">
        <f aca="false">IF(B2340="","",IF(MATCH(B2340,$B$2:$B$12000,0)=ROW()-1,1,0))</f>
        <v/>
      </c>
    </row>
    <row r="2341" customFormat="false" ht="15" hidden="false" customHeight="false" outlineLevel="0" collapsed="false">
      <c r="V2341" s="23" t="str">
        <f aca="false">IF(ISNUMBER(C2341),YEAR(C2341),"")</f>
        <v/>
      </c>
      <c r="W2341" s="23" t="str">
        <f aca="false">IF(ISNUMBER(C2341),MONTH(C2341),"")</f>
        <v/>
      </c>
      <c r="X2341" s="23" t="str">
        <f aca="false">IF(T2341="","",IF(T2341=0,"No discount",IF(T2341&lt;=0.2,"Low (1-20%)",IF(T2341&lt;=0.4,"Medium (21-40%)","High (&gt;40%)"))))</f>
        <v/>
      </c>
      <c r="Y2341" s="23" t="str">
        <f aca="false">IF(AND(ISNUMBER(C2341),ISNUMBER(D2341)),D2341-C2341,"")</f>
        <v/>
      </c>
      <c r="Z2341" s="23" t="str">
        <f aca="false">IF(B2341="","",IF(MATCH(B2341,$B$2:$B$12000,0)=ROW()-1,1,0))</f>
        <v/>
      </c>
    </row>
    <row r="2342" customFormat="false" ht="15" hidden="false" customHeight="false" outlineLevel="0" collapsed="false">
      <c r="V2342" s="23" t="str">
        <f aca="false">IF(ISNUMBER(C2342),YEAR(C2342),"")</f>
        <v/>
      </c>
      <c r="W2342" s="23" t="str">
        <f aca="false">IF(ISNUMBER(C2342),MONTH(C2342),"")</f>
        <v/>
      </c>
      <c r="X2342" s="23" t="str">
        <f aca="false">IF(T2342="","",IF(T2342=0,"No discount",IF(T2342&lt;=0.2,"Low (1-20%)",IF(T2342&lt;=0.4,"Medium (21-40%)","High (&gt;40%)"))))</f>
        <v/>
      </c>
      <c r="Y2342" s="23" t="str">
        <f aca="false">IF(AND(ISNUMBER(C2342),ISNUMBER(D2342)),D2342-C2342,"")</f>
        <v/>
      </c>
      <c r="Z2342" s="23" t="str">
        <f aca="false">IF(B2342="","",IF(MATCH(B2342,$B$2:$B$12000,0)=ROW()-1,1,0))</f>
        <v/>
      </c>
    </row>
    <row r="2343" customFormat="false" ht="15" hidden="false" customHeight="false" outlineLevel="0" collapsed="false">
      <c r="V2343" s="23" t="str">
        <f aca="false">IF(ISNUMBER(C2343),YEAR(C2343),"")</f>
        <v/>
      </c>
      <c r="W2343" s="23" t="str">
        <f aca="false">IF(ISNUMBER(C2343),MONTH(C2343),"")</f>
        <v/>
      </c>
      <c r="X2343" s="23" t="str">
        <f aca="false">IF(T2343="","",IF(T2343=0,"No discount",IF(T2343&lt;=0.2,"Low (1-20%)",IF(T2343&lt;=0.4,"Medium (21-40%)","High (&gt;40%)"))))</f>
        <v/>
      </c>
      <c r="Y2343" s="23" t="str">
        <f aca="false">IF(AND(ISNUMBER(C2343),ISNUMBER(D2343)),D2343-C2343,"")</f>
        <v/>
      </c>
      <c r="Z2343" s="23" t="str">
        <f aca="false">IF(B2343="","",IF(MATCH(B2343,$B$2:$B$12000,0)=ROW()-1,1,0))</f>
        <v/>
      </c>
    </row>
    <row r="2344" customFormat="false" ht="15" hidden="false" customHeight="false" outlineLevel="0" collapsed="false">
      <c r="V2344" s="23" t="str">
        <f aca="false">IF(ISNUMBER(C2344),YEAR(C2344),"")</f>
        <v/>
      </c>
      <c r="W2344" s="23" t="str">
        <f aca="false">IF(ISNUMBER(C2344),MONTH(C2344),"")</f>
        <v/>
      </c>
      <c r="X2344" s="23" t="str">
        <f aca="false">IF(T2344="","",IF(T2344=0,"No discount",IF(T2344&lt;=0.2,"Low (1-20%)",IF(T2344&lt;=0.4,"Medium (21-40%)","High (&gt;40%)"))))</f>
        <v/>
      </c>
      <c r="Y2344" s="23" t="str">
        <f aca="false">IF(AND(ISNUMBER(C2344),ISNUMBER(D2344)),D2344-C2344,"")</f>
        <v/>
      </c>
      <c r="Z2344" s="23" t="str">
        <f aca="false">IF(B2344="","",IF(MATCH(B2344,$B$2:$B$12000,0)=ROW()-1,1,0))</f>
        <v/>
      </c>
    </row>
    <row r="2345" customFormat="false" ht="15" hidden="false" customHeight="false" outlineLevel="0" collapsed="false">
      <c r="V2345" s="23" t="str">
        <f aca="false">IF(ISNUMBER(C2345),YEAR(C2345),"")</f>
        <v/>
      </c>
      <c r="W2345" s="23" t="str">
        <f aca="false">IF(ISNUMBER(C2345),MONTH(C2345),"")</f>
        <v/>
      </c>
      <c r="X2345" s="23" t="str">
        <f aca="false">IF(T2345="","",IF(T2345=0,"No discount",IF(T2345&lt;=0.2,"Low (1-20%)",IF(T2345&lt;=0.4,"Medium (21-40%)","High (&gt;40%)"))))</f>
        <v/>
      </c>
      <c r="Y2345" s="23" t="str">
        <f aca="false">IF(AND(ISNUMBER(C2345),ISNUMBER(D2345)),D2345-C2345,"")</f>
        <v/>
      </c>
      <c r="Z2345" s="23" t="str">
        <f aca="false">IF(B2345="","",IF(MATCH(B2345,$B$2:$B$12000,0)=ROW()-1,1,0))</f>
        <v/>
      </c>
    </row>
    <row r="2346" customFormat="false" ht="15" hidden="false" customHeight="false" outlineLevel="0" collapsed="false">
      <c r="V2346" s="23" t="str">
        <f aca="false">IF(ISNUMBER(C2346),YEAR(C2346),"")</f>
        <v/>
      </c>
      <c r="W2346" s="23" t="str">
        <f aca="false">IF(ISNUMBER(C2346),MONTH(C2346),"")</f>
        <v/>
      </c>
      <c r="X2346" s="23" t="str">
        <f aca="false">IF(T2346="","",IF(T2346=0,"No discount",IF(T2346&lt;=0.2,"Low (1-20%)",IF(T2346&lt;=0.4,"Medium (21-40%)","High (&gt;40%)"))))</f>
        <v/>
      </c>
      <c r="Y2346" s="23" t="str">
        <f aca="false">IF(AND(ISNUMBER(C2346),ISNUMBER(D2346)),D2346-C2346,"")</f>
        <v/>
      </c>
      <c r="Z2346" s="23" t="str">
        <f aca="false">IF(B2346="","",IF(MATCH(B2346,$B$2:$B$12000,0)=ROW()-1,1,0))</f>
        <v/>
      </c>
    </row>
    <row r="2347" customFormat="false" ht="15" hidden="false" customHeight="false" outlineLevel="0" collapsed="false">
      <c r="V2347" s="23" t="str">
        <f aca="false">IF(ISNUMBER(C2347),YEAR(C2347),"")</f>
        <v/>
      </c>
      <c r="W2347" s="23" t="str">
        <f aca="false">IF(ISNUMBER(C2347),MONTH(C2347),"")</f>
        <v/>
      </c>
      <c r="X2347" s="23" t="str">
        <f aca="false">IF(T2347="","",IF(T2347=0,"No discount",IF(T2347&lt;=0.2,"Low (1-20%)",IF(T2347&lt;=0.4,"Medium (21-40%)","High (&gt;40%)"))))</f>
        <v/>
      </c>
      <c r="Y2347" s="23" t="str">
        <f aca="false">IF(AND(ISNUMBER(C2347),ISNUMBER(D2347)),D2347-C2347,"")</f>
        <v/>
      </c>
      <c r="Z2347" s="23" t="str">
        <f aca="false">IF(B2347="","",IF(MATCH(B2347,$B$2:$B$12000,0)=ROW()-1,1,0))</f>
        <v/>
      </c>
    </row>
    <row r="2348" customFormat="false" ht="15" hidden="false" customHeight="false" outlineLevel="0" collapsed="false">
      <c r="V2348" s="23" t="str">
        <f aca="false">IF(ISNUMBER(C2348),YEAR(C2348),"")</f>
        <v/>
      </c>
      <c r="W2348" s="23" t="str">
        <f aca="false">IF(ISNUMBER(C2348),MONTH(C2348),"")</f>
        <v/>
      </c>
      <c r="X2348" s="23" t="str">
        <f aca="false">IF(T2348="","",IF(T2348=0,"No discount",IF(T2348&lt;=0.2,"Low (1-20%)",IF(T2348&lt;=0.4,"Medium (21-40%)","High (&gt;40%)"))))</f>
        <v/>
      </c>
      <c r="Y2348" s="23" t="str">
        <f aca="false">IF(AND(ISNUMBER(C2348),ISNUMBER(D2348)),D2348-C2348,"")</f>
        <v/>
      </c>
      <c r="Z2348" s="23" t="str">
        <f aca="false">IF(B2348="","",IF(MATCH(B2348,$B$2:$B$12000,0)=ROW()-1,1,0))</f>
        <v/>
      </c>
    </row>
    <row r="2349" customFormat="false" ht="15" hidden="false" customHeight="false" outlineLevel="0" collapsed="false">
      <c r="V2349" s="23" t="str">
        <f aca="false">IF(ISNUMBER(C2349),YEAR(C2349),"")</f>
        <v/>
      </c>
      <c r="W2349" s="23" t="str">
        <f aca="false">IF(ISNUMBER(C2349),MONTH(C2349),"")</f>
        <v/>
      </c>
      <c r="X2349" s="23" t="str">
        <f aca="false">IF(T2349="","",IF(T2349=0,"No discount",IF(T2349&lt;=0.2,"Low (1-20%)",IF(T2349&lt;=0.4,"Medium (21-40%)","High (&gt;40%)"))))</f>
        <v/>
      </c>
      <c r="Y2349" s="23" t="str">
        <f aca="false">IF(AND(ISNUMBER(C2349),ISNUMBER(D2349)),D2349-C2349,"")</f>
        <v/>
      </c>
      <c r="Z2349" s="23" t="str">
        <f aca="false">IF(B2349="","",IF(MATCH(B2349,$B$2:$B$12000,0)=ROW()-1,1,0))</f>
        <v/>
      </c>
    </row>
    <row r="2350" customFormat="false" ht="15" hidden="false" customHeight="false" outlineLevel="0" collapsed="false">
      <c r="V2350" s="23" t="str">
        <f aca="false">IF(ISNUMBER(C2350),YEAR(C2350),"")</f>
        <v/>
      </c>
      <c r="W2350" s="23" t="str">
        <f aca="false">IF(ISNUMBER(C2350),MONTH(C2350),"")</f>
        <v/>
      </c>
      <c r="X2350" s="23" t="str">
        <f aca="false">IF(T2350="","",IF(T2350=0,"No discount",IF(T2350&lt;=0.2,"Low (1-20%)",IF(T2350&lt;=0.4,"Medium (21-40%)","High (&gt;40%)"))))</f>
        <v/>
      </c>
      <c r="Y2350" s="23" t="str">
        <f aca="false">IF(AND(ISNUMBER(C2350),ISNUMBER(D2350)),D2350-C2350,"")</f>
        <v/>
      </c>
      <c r="Z2350" s="23" t="str">
        <f aca="false">IF(B2350="","",IF(MATCH(B2350,$B$2:$B$12000,0)=ROW()-1,1,0))</f>
        <v/>
      </c>
    </row>
    <row r="2351" customFormat="false" ht="15" hidden="false" customHeight="false" outlineLevel="0" collapsed="false">
      <c r="V2351" s="23" t="str">
        <f aca="false">IF(ISNUMBER(C2351),YEAR(C2351),"")</f>
        <v/>
      </c>
      <c r="W2351" s="23" t="str">
        <f aca="false">IF(ISNUMBER(C2351),MONTH(C2351),"")</f>
        <v/>
      </c>
      <c r="X2351" s="23" t="str">
        <f aca="false">IF(T2351="","",IF(T2351=0,"No discount",IF(T2351&lt;=0.2,"Low (1-20%)",IF(T2351&lt;=0.4,"Medium (21-40%)","High (&gt;40%)"))))</f>
        <v/>
      </c>
      <c r="Y2351" s="23" t="str">
        <f aca="false">IF(AND(ISNUMBER(C2351),ISNUMBER(D2351)),D2351-C2351,"")</f>
        <v/>
      </c>
      <c r="Z2351" s="23" t="str">
        <f aca="false">IF(B2351="","",IF(MATCH(B2351,$B$2:$B$12000,0)=ROW()-1,1,0))</f>
        <v/>
      </c>
    </row>
    <row r="2352" customFormat="false" ht="15" hidden="false" customHeight="false" outlineLevel="0" collapsed="false">
      <c r="V2352" s="23" t="str">
        <f aca="false">IF(ISNUMBER(C2352),YEAR(C2352),"")</f>
        <v/>
      </c>
      <c r="W2352" s="23" t="str">
        <f aca="false">IF(ISNUMBER(C2352),MONTH(C2352),"")</f>
        <v/>
      </c>
      <c r="X2352" s="23" t="str">
        <f aca="false">IF(T2352="","",IF(T2352=0,"No discount",IF(T2352&lt;=0.2,"Low (1-20%)",IF(T2352&lt;=0.4,"Medium (21-40%)","High (&gt;40%)"))))</f>
        <v/>
      </c>
      <c r="Y2352" s="23" t="str">
        <f aca="false">IF(AND(ISNUMBER(C2352),ISNUMBER(D2352)),D2352-C2352,"")</f>
        <v/>
      </c>
      <c r="Z2352" s="23" t="str">
        <f aca="false">IF(B2352="","",IF(MATCH(B2352,$B$2:$B$12000,0)=ROW()-1,1,0))</f>
        <v/>
      </c>
    </row>
    <row r="2353" customFormat="false" ht="15" hidden="false" customHeight="false" outlineLevel="0" collapsed="false">
      <c r="V2353" s="23" t="str">
        <f aca="false">IF(ISNUMBER(C2353),YEAR(C2353),"")</f>
        <v/>
      </c>
      <c r="W2353" s="23" t="str">
        <f aca="false">IF(ISNUMBER(C2353),MONTH(C2353),"")</f>
        <v/>
      </c>
      <c r="X2353" s="23" t="str">
        <f aca="false">IF(T2353="","",IF(T2353=0,"No discount",IF(T2353&lt;=0.2,"Low (1-20%)",IF(T2353&lt;=0.4,"Medium (21-40%)","High (&gt;40%)"))))</f>
        <v/>
      </c>
      <c r="Y2353" s="23" t="str">
        <f aca="false">IF(AND(ISNUMBER(C2353),ISNUMBER(D2353)),D2353-C2353,"")</f>
        <v/>
      </c>
      <c r="Z2353" s="23" t="str">
        <f aca="false">IF(B2353="","",IF(MATCH(B2353,$B$2:$B$12000,0)=ROW()-1,1,0))</f>
        <v/>
      </c>
    </row>
    <row r="2354" customFormat="false" ht="15" hidden="false" customHeight="false" outlineLevel="0" collapsed="false">
      <c r="V2354" s="23" t="str">
        <f aca="false">IF(ISNUMBER(C2354),YEAR(C2354),"")</f>
        <v/>
      </c>
      <c r="W2354" s="23" t="str">
        <f aca="false">IF(ISNUMBER(C2354),MONTH(C2354),"")</f>
        <v/>
      </c>
      <c r="X2354" s="23" t="str">
        <f aca="false">IF(T2354="","",IF(T2354=0,"No discount",IF(T2354&lt;=0.2,"Low (1-20%)",IF(T2354&lt;=0.4,"Medium (21-40%)","High (&gt;40%)"))))</f>
        <v/>
      </c>
      <c r="Y2354" s="23" t="str">
        <f aca="false">IF(AND(ISNUMBER(C2354),ISNUMBER(D2354)),D2354-C2354,"")</f>
        <v/>
      </c>
      <c r="Z2354" s="23" t="str">
        <f aca="false">IF(B2354="","",IF(MATCH(B2354,$B$2:$B$12000,0)=ROW()-1,1,0))</f>
        <v/>
      </c>
    </row>
    <row r="2355" customFormat="false" ht="15" hidden="false" customHeight="false" outlineLevel="0" collapsed="false">
      <c r="V2355" s="23" t="str">
        <f aca="false">IF(ISNUMBER(C2355),YEAR(C2355),"")</f>
        <v/>
      </c>
      <c r="W2355" s="23" t="str">
        <f aca="false">IF(ISNUMBER(C2355),MONTH(C2355),"")</f>
        <v/>
      </c>
      <c r="X2355" s="23" t="str">
        <f aca="false">IF(T2355="","",IF(T2355=0,"No discount",IF(T2355&lt;=0.2,"Low (1-20%)",IF(T2355&lt;=0.4,"Medium (21-40%)","High (&gt;40%)"))))</f>
        <v/>
      </c>
      <c r="Y2355" s="23" t="str">
        <f aca="false">IF(AND(ISNUMBER(C2355),ISNUMBER(D2355)),D2355-C2355,"")</f>
        <v/>
      </c>
      <c r="Z2355" s="23" t="str">
        <f aca="false">IF(B2355="","",IF(MATCH(B2355,$B$2:$B$12000,0)=ROW()-1,1,0))</f>
        <v/>
      </c>
    </row>
    <row r="2356" customFormat="false" ht="15" hidden="false" customHeight="false" outlineLevel="0" collapsed="false">
      <c r="V2356" s="23" t="str">
        <f aca="false">IF(ISNUMBER(C2356),YEAR(C2356),"")</f>
        <v/>
      </c>
      <c r="W2356" s="23" t="str">
        <f aca="false">IF(ISNUMBER(C2356),MONTH(C2356),"")</f>
        <v/>
      </c>
      <c r="X2356" s="23" t="str">
        <f aca="false">IF(T2356="","",IF(T2356=0,"No discount",IF(T2356&lt;=0.2,"Low (1-20%)",IF(T2356&lt;=0.4,"Medium (21-40%)","High (&gt;40%)"))))</f>
        <v/>
      </c>
      <c r="Y2356" s="23" t="str">
        <f aca="false">IF(AND(ISNUMBER(C2356),ISNUMBER(D2356)),D2356-C2356,"")</f>
        <v/>
      </c>
      <c r="Z2356" s="23" t="str">
        <f aca="false">IF(B2356="","",IF(MATCH(B2356,$B$2:$B$12000,0)=ROW()-1,1,0))</f>
        <v/>
      </c>
    </row>
    <row r="2357" customFormat="false" ht="15" hidden="false" customHeight="false" outlineLevel="0" collapsed="false">
      <c r="V2357" s="23" t="str">
        <f aca="false">IF(ISNUMBER(C2357),YEAR(C2357),"")</f>
        <v/>
      </c>
      <c r="W2357" s="23" t="str">
        <f aca="false">IF(ISNUMBER(C2357),MONTH(C2357),"")</f>
        <v/>
      </c>
      <c r="X2357" s="23" t="str">
        <f aca="false">IF(T2357="","",IF(T2357=0,"No discount",IF(T2357&lt;=0.2,"Low (1-20%)",IF(T2357&lt;=0.4,"Medium (21-40%)","High (&gt;40%)"))))</f>
        <v/>
      </c>
      <c r="Y2357" s="23" t="str">
        <f aca="false">IF(AND(ISNUMBER(C2357),ISNUMBER(D2357)),D2357-C2357,"")</f>
        <v/>
      </c>
      <c r="Z2357" s="23" t="str">
        <f aca="false">IF(B2357="","",IF(MATCH(B2357,$B$2:$B$12000,0)=ROW()-1,1,0))</f>
        <v/>
      </c>
    </row>
    <row r="2358" customFormat="false" ht="15" hidden="false" customHeight="false" outlineLevel="0" collapsed="false">
      <c r="V2358" s="23" t="str">
        <f aca="false">IF(ISNUMBER(C2358),YEAR(C2358),"")</f>
        <v/>
      </c>
      <c r="W2358" s="23" t="str">
        <f aca="false">IF(ISNUMBER(C2358),MONTH(C2358),"")</f>
        <v/>
      </c>
      <c r="X2358" s="23" t="str">
        <f aca="false">IF(T2358="","",IF(T2358=0,"No discount",IF(T2358&lt;=0.2,"Low (1-20%)",IF(T2358&lt;=0.4,"Medium (21-40%)","High (&gt;40%)"))))</f>
        <v/>
      </c>
      <c r="Y2358" s="23" t="str">
        <f aca="false">IF(AND(ISNUMBER(C2358),ISNUMBER(D2358)),D2358-C2358,"")</f>
        <v/>
      </c>
      <c r="Z2358" s="23" t="str">
        <f aca="false">IF(B2358="","",IF(MATCH(B2358,$B$2:$B$12000,0)=ROW()-1,1,0))</f>
        <v/>
      </c>
    </row>
    <row r="2359" customFormat="false" ht="15" hidden="false" customHeight="false" outlineLevel="0" collapsed="false">
      <c r="V2359" s="23" t="str">
        <f aca="false">IF(ISNUMBER(C2359),YEAR(C2359),"")</f>
        <v/>
      </c>
      <c r="W2359" s="23" t="str">
        <f aca="false">IF(ISNUMBER(C2359),MONTH(C2359),"")</f>
        <v/>
      </c>
      <c r="X2359" s="23" t="str">
        <f aca="false">IF(T2359="","",IF(T2359=0,"No discount",IF(T2359&lt;=0.2,"Low (1-20%)",IF(T2359&lt;=0.4,"Medium (21-40%)","High (&gt;40%)"))))</f>
        <v/>
      </c>
      <c r="Y2359" s="23" t="str">
        <f aca="false">IF(AND(ISNUMBER(C2359),ISNUMBER(D2359)),D2359-C2359,"")</f>
        <v/>
      </c>
      <c r="Z2359" s="23" t="str">
        <f aca="false">IF(B2359="","",IF(MATCH(B2359,$B$2:$B$12000,0)=ROW()-1,1,0))</f>
        <v/>
      </c>
    </row>
    <row r="2360" customFormat="false" ht="15" hidden="false" customHeight="false" outlineLevel="0" collapsed="false">
      <c r="V2360" s="23" t="str">
        <f aca="false">IF(ISNUMBER(C2360),YEAR(C2360),"")</f>
        <v/>
      </c>
      <c r="W2360" s="23" t="str">
        <f aca="false">IF(ISNUMBER(C2360),MONTH(C2360),"")</f>
        <v/>
      </c>
      <c r="X2360" s="23" t="str">
        <f aca="false">IF(T2360="","",IF(T2360=0,"No discount",IF(T2360&lt;=0.2,"Low (1-20%)",IF(T2360&lt;=0.4,"Medium (21-40%)","High (&gt;40%)"))))</f>
        <v/>
      </c>
      <c r="Y2360" s="23" t="str">
        <f aca="false">IF(AND(ISNUMBER(C2360),ISNUMBER(D2360)),D2360-C2360,"")</f>
        <v/>
      </c>
      <c r="Z2360" s="23" t="str">
        <f aca="false">IF(B2360="","",IF(MATCH(B2360,$B$2:$B$12000,0)=ROW()-1,1,0))</f>
        <v/>
      </c>
    </row>
    <row r="2361" customFormat="false" ht="15" hidden="false" customHeight="false" outlineLevel="0" collapsed="false">
      <c r="V2361" s="23" t="str">
        <f aca="false">IF(ISNUMBER(C2361),YEAR(C2361),"")</f>
        <v/>
      </c>
      <c r="W2361" s="23" t="str">
        <f aca="false">IF(ISNUMBER(C2361),MONTH(C2361),"")</f>
        <v/>
      </c>
      <c r="X2361" s="23" t="str">
        <f aca="false">IF(T2361="","",IF(T2361=0,"No discount",IF(T2361&lt;=0.2,"Low (1-20%)",IF(T2361&lt;=0.4,"Medium (21-40%)","High (&gt;40%)"))))</f>
        <v/>
      </c>
      <c r="Y2361" s="23" t="str">
        <f aca="false">IF(AND(ISNUMBER(C2361),ISNUMBER(D2361)),D2361-C2361,"")</f>
        <v/>
      </c>
      <c r="Z2361" s="23" t="str">
        <f aca="false">IF(B2361="","",IF(MATCH(B2361,$B$2:$B$12000,0)=ROW()-1,1,0))</f>
        <v/>
      </c>
    </row>
    <row r="2362" customFormat="false" ht="15" hidden="false" customHeight="false" outlineLevel="0" collapsed="false">
      <c r="V2362" s="23" t="str">
        <f aca="false">IF(ISNUMBER(C2362),YEAR(C2362),"")</f>
        <v/>
      </c>
      <c r="W2362" s="23" t="str">
        <f aca="false">IF(ISNUMBER(C2362),MONTH(C2362),"")</f>
        <v/>
      </c>
      <c r="X2362" s="23" t="str">
        <f aca="false">IF(T2362="","",IF(T2362=0,"No discount",IF(T2362&lt;=0.2,"Low (1-20%)",IF(T2362&lt;=0.4,"Medium (21-40%)","High (&gt;40%)"))))</f>
        <v/>
      </c>
      <c r="Y2362" s="23" t="str">
        <f aca="false">IF(AND(ISNUMBER(C2362),ISNUMBER(D2362)),D2362-C2362,"")</f>
        <v/>
      </c>
      <c r="Z2362" s="23" t="str">
        <f aca="false">IF(B2362="","",IF(MATCH(B2362,$B$2:$B$12000,0)=ROW()-1,1,0))</f>
        <v/>
      </c>
    </row>
    <row r="2363" customFormat="false" ht="15" hidden="false" customHeight="false" outlineLevel="0" collapsed="false">
      <c r="V2363" s="23" t="str">
        <f aca="false">IF(ISNUMBER(C2363),YEAR(C2363),"")</f>
        <v/>
      </c>
      <c r="W2363" s="23" t="str">
        <f aca="false">IF(ISNUMBER(C2363),MONTH(C2363),"")</f>
        <v/>
      </c>
      <c r="X2363" s="23" t="str">
        <f aca="false">IF(T2363="","",IF(T2363=0,"No discount",IF(T2363&lt;=0.2,"Low (1-20%)",IF(T2363&lt;=0.4,"Medium (21-40%)","High (&gt;40%)"))))</f>
        <v/>
      </c>
      <c r="Y2363" s="23" t="str">
        <f aca="false">IF(AND(ISNUMBER(C2363),ISNUMBER(D2363)),D2363-C2363,"")</f>
        <v/>
      </c>
      <c r="Z2363" s="23" t="str">
        <f aca="false">IF(B2363="","",IF(MATCH(B2363,$B$2:$B$12000,0)=ROW()-1,1,0))</f>
        <v/>
      </c>
    </row>
    <row r="2364" customFormat="false" ht="15" hidden="false" customHeight="false" outlineLevel="0" collapsed="false">
      <c r="V2364" s="23" t="str">
        <f aca="false">IF(ISNUMBER(C2364),YEAR(C2364),"")</f>
        <v/>
      </c>
      <c r="W2364" s="23" t="str">
        <f aca="false">IF(ISNUMBER(C2364),MONTH(C2364),"")</f>
        <v/>
      </c>
      <c r="X2364" s="23" t="str">
        <f aca="false">IF(T2364="","",IF(T2364=0,"No discount",IF(T2364&lt;=0.2,"Low (1-20%)",IF(T2364&lt;=0.4,"Medium (21-40%)","High (&gt;40%)"))))</f>
        <v/>
      </c>
      <c r="Y2364" s="23" t="str">
        <f aca="false">IF(AND(ISNUMBER(C2364),ISNUMBER(D2364)),D2364-C2364,"")</f>
        <v/>
      </c>
      <c r="Z2364" s="23" t="str">
        <f aca="false">IF(B2364="","",IF(MATCH(B2364,$B$2:$B$12000,0)=ROW()-1,1,0))</f>
        <v/>
      </c>
    </row>
    <row r="2365" customFormat="false" ht="15" hidden="false" customHeight="false" outlineLevel="0" collapsed="false">
      <c r="V2365" s="23" t="str">
        <f aca="false">IF(ISNUMBER(C2365),YEAR(C2365),"")</f>
        <v/>
      </c>
      <c r="W2365" s="23" t="str">
        <f aca="false">IF(ISNUMBER(C2365),MONTH(C2365),"")</f>
        <v/>
      </c>
      <c r="X2365" s="23" t="str">
        <f aca="false">IF(T2365="","",IF(T2365=0,"No discount",IF(T2365&lt;=0.2,"Low (1-20%)",IF(T2365&lt;=0.4,"Medium (21-40%)","High (&gt;40%)"))))</f>
        <v/>
      </c>
      <c r="Y2365" s="23" t="str">
        <f aca="false">IF(AND(ISNUMBER(C2365),ISNUMBER(D2365)),D2365-C2365,"")</f>
        <v/>
      </c>
      <c r="Z2365" s="23" t="str">
        <f aca="false">IF(B2365="","",IF(MATCH(B2365,$B$2:$B$12000,0)=ROW()-1,1,0))</f>
        <v/>
      </c>
    </row>
    <row r="2366" customFormat="false" ht="15" hidden="false" customHeight="false" outlineLevel="0" collapsed="false">
      <c r="V2366" s="23" t="str">
        <f aca="false">IF(ISNUMBER(C2366),YEAR(C2366),"")</f>
        <v/>
      </c>
      <c r="W2366" s="23" t="str">
        <f aca="false">IF(ISNUMBER(C2366),MONTH(C2366),"")</f>
        <v/>
      </c>
      <c r="X2366" s="23" t="str">
        <f aca="false">IF(T2366="","",IF(T2366=0,"No discount",IF(T2366&lt;=0.2,"Low (1-20%)",IF(T2366&lt;=0.4,"Medium (21-40%)","High (&gt;40%)"))))</f>
        <v/>
      </c>
      <c r="Y2366" s="23" t="str">
        <f aca="false">IF(AND(ISNUMBER(C2366),ISNUMBER(D2366)),D2366-C2366,"")</f>
        <v/>
      </c>
      <c r="Z2366" s="23" t="str">
        <f aca="false">IF(B2366="","",IF(MATCH(B2366,$B$2:$B$12000,0)=ROW()-1,1,0))</f>
        <v/>
      </c>
    </row>
    <row r="2367" customFormat="false" ht="15" hidden="false" customHeight="false" outlineLevel="0" collapsed="false">
      <c r="V2367" s="23" t="str">
        <f aca="false">IF(ISNUMBER(C2367),YEAR(C2367),"")</f>
        <v/>
      </c>
      <c r="W2367" s="23" t="str">
        <f aca="false">IF(ISNUMBER(C2367),MONTH(C2367),"")</f>
        <v/>
      </c>
      <c r="X2367" s="23" t="str">
        <f aca="false">IF(T2367="","",IF(T2367=0,"No discount",IF(T2367&lt;=0.2,"Low (1-20%)",IF(T2367&lt;=0.4,"Medium (21-40%)","High (&gt;40%)"))))</f>
        <v/>
      </c>
      <c r="Y2367" s="23" t="str">
        <f aca="false">IF(AND(ISNUMBER(C2367),ISNUMBER(D2367)),D2367-C2367,"")</f>
        <v/>
      </c>
      <c r="Z2367" s="23" t="str">
        <f aca="false">IF(B2367="","",IF(MATCH(B2367,$B$2:$B$12000,0)=ROW()-1,1,0))</f>
        <v/>
      </c>
    </row>
    <row r="2368" customFormat="false" ht="15" hidden="false" customHeight="false" outlineLevel="0" collapsed="false">
      <c r="V2368" s="23" t="str">
        <f aca="false">IF(ISNUMBER(C2368),YEAR(C2368),"")</f>
        <v/>
      </c>
      <c r="W2368" s="23" t="str">
        <f aca="false">IF(ISNUMBER(C2368),MONTH(C2368),"")</f>
        <v/>
      </c>
      <c r="X2368" s="23" t="str">
        <f aca="false">IF(T2368="","",IF(T2368=0,"No discount",IF(T2368&lt;=0.2,"Low (1-20%)",IF(T2368&lt;=0.4,"Medium (21-40%)","High (&gt;40%)"))))</f>
        <v/>
      </c>
      <c r="Y2368" s="23" t="str">
        <f aca="false">IF(AND(ISNUMBER(C2368),ISNUMBER(D2368)),D2368-C2368,"")</f>
        <v/>
      </c>
      <c r="Z2368" s="23" t="str">
        <f aca="false">IF(B2368="","",IF(MATCH(B2368,$B$2:$B$12000,0)=ROW()-1,1,0))</f>
        <v/>
      </c>
    </row>
    <row r="2369" customFormat="false" ht="15" hidden="false" customHeight="false" outlineLevel="0" collapsed="false">
      <c r="V2369" s="23" t="str">
        <f aca="false">IF(ISNUMBER(C2369),YEAR(C2369),"")</f>
        <v/>
      </c>
      <c r="W2369" s="23" t="str">
        <f aca="false">IF(ISNUMBER(C2369),MONTH(C2369),"")</f>
        <v/>
      </c>
      <c r="X2369" s="23" t="str">
        <f aca="false">IF(T2369="","",IF(T2369=0,"No discount",IF(T2369&lt;=0.2,"Low (1-20%)",IF(T2369&lt;=0.4,"Medium (21-40%)","High (&gt;40%)"))))</f>
        <v/>
      </c>
      <c r="Y2369" s="23" t="str">
        <f aca="false">IF(AND(ISNUMBER(C2369),ISNUMBER(D2369)),D2369-C2369,"")</f>
        <v/>
      </c>
      <c r="Z2369" s="23" t="str">
        <f aca="false">IF(B2369="","",IF(MATCH(B2369,$B$2:$B$12000,0)=ROW()-1,1,0))</f>
        <v/>
      </c>
    </row>
    <row r="2370" customFormat="false" ht="15" hidden="false" customHeight="false" outlineLevel="0" collapsed="false">
      <c r="V2370" s="23" t="str">
        <f aca="false">IF(ISNUMBER(C2370),YEAR(C2370),"")</f>
        <v/>
      </c>
      <c r="W2370" s="23" t="str">
        <f aca="false">IF(ISNUMBER(C2370),MONTH(C2370),"")</f>
        <v/>
      </c>
      <c r="X2370" s="23" t="str">
        <f aca="false">IF(T2370="","",IF(T2370=0,"No discount",IF(T2370&lt;=0.2,"Low (1-20%)",IF(T2370&lt;=0.4,"Medium (21-40%)","High (&gt;40%)"))))</f>
        <v/>
      </c>
      <c r="Y2370" s="23" t="str">
        <f aca="false">IF(AND(ISNUMBER(C2370),ISNUMBER(D2370)),D2370-C2370,"")</f>
        <v/>
      </c>
      <c r="Z2370" s="23" t="str">
        <f aca="false">IF(B2370="","",IF(MATCH(B2370,$B$2:$B$12000,0)=ROW()-1,1,0))</f>
        <v/>
      </c>
    </row>
    <row r="2371" customFormat="false" ht="15" hidden="false" customHeight="false" outlineLevel="0" collapsed="false">
      <c r="V2371" s="23" t="str">
        <f aca="false">IF(ISNUMBER(C2371),YEAR(C2371),"")</f>
        <v/>
      </c>
      <c r="W2371" s="23" t="str">
        <f aca="false">IF(ISNUMBER(C2371),MONTH(C2371),"")</f>
        <v/>
      </c>
      <c r="X2371" s="23" t="str">
        <f aca="false">IF(T2371="","",IF(T2371=0,"No discount",IF(T2371&lt;=0.2,"Low (1-20%)",IF(T2371&lt;=0.4,"Medium (21-40%)","High (&gt;40%)"))))</f>
        <v/>
      </c>
      <c r="Y2371" s="23" t="str">
        <f aca="false">IF(AND(ISNUMBER(C2371),ISNUMBER(D2371)),D2371-C2371,"")</f>
        <v/>
      </c>
      <c r="Z2371" s="23" t="str">
        <f aca="false">IF(B2371="","",IF(MATCH(B2371,$B$2:$B$12000,0)=ROW()-1,1,0))</f>
        <v/>
      </c>
    </row>
    <row r="2372" customFormat="false" ht="15" hidden="false" customHeight="false" outlineLevel="0" collapsed="false">
      <c r="V2372" s="23" t="str">
        <f aca="false">IF(ISNUMBER(C2372),YEAR(C2372),"")</f>
        <v/>
      </c>
      <c r="W2372" s="23" t="str">
        <f aca="false">IF(ISNUMBER(C2372),MONTH(C2372),"")</f>
        <v/>
      </c>
      <c r="X2372" s="23" t="str">
        <f aca="false">IF(T2372="","",IF(T2372=0,"No discount",IF(T2372&lt;=0.2,"Low (1-20%)",IF(T2372&lt;=0.4,"Medium (21-40%)","High (&gt;40%)"))))</f>
        <v/>
      </c>
      <c r="Y2372" s="23" t="str">
        <f aca="false">IF(AND(ISNUMBER(C2372),ISNUMBER(D2372)),D2372-C2372,"")</f>
        <v/>
      </c>
      <c r="Z2372" s="23" t="str">
        <f aca="false">IF(B2372="","",IF(MATCH(B2372,$B$2:$B$12000,0)=ROW()-1,1,0))</f>
        <v/>
      </c>
    </row>
    <row r="2373" customFormat="false" ht="15" hidden="false" customHeight="false" outlineLevel="0" collapsed="false">
      <c r="V2373" s="23" t="str">
        <f aca="false">IF(ISNUMBER(C2373),YEAR(C2373),"")</f>
        <v/>
      </c>
      <c r="W2373" s="23" t="str">
        <f aca="false">IF(ISNUMBER(C2373),MONTH(C2373),"")</f>
        <v/>
      </c>
      <c r="X2373" s="23" t="str">
        <f aca="false">IF(T2373="","",IF(T2373=0,"No discount",IF(T2373&lt;=0.2,"Low (1-20%)",IF(T2373&lt;=0.4,"Medium (21-40%)","High (&gt;40%)"))))</f>
        <v/>
      </c>
      <c r="Y2373" s="23" t="str">
        <f aca="false">IF(AND(ISNUMBER(C2373),ISNUMBER(D2373)),D2373-C2373,"")</f>
        <v/>
      </c>
      <c r="Z2373" s="23" t="str">
        <f aca="false">IF(B2373="","",IF(MATCH(B2373,$B$2:$B$12000,0)=ROW()-1,1,0))</f>
        <v/>
      </c>
    </row>
    <row r="2374" customFormat="false" ht="15" hidden="false" customHeight="false" outlineLevel="0" collapsed="false">
      <c r="V2374" s="23" t="str">
        <f aca="false">IF(ISNUMBER(C2374),YEAR(C2374),"")</f>
        <v/>
      </c>
      <c r="W2374" s="23" t="str">
        <f aca="false">IF(ISNUMBER(C2374),MONTH(C2374),"")</f>
        <v/>
      </c>
      <c r="X2374" s="23" t="str">
        <f aca="false">IF(T2374="","",IF(T2374=0,"No discount",IF(T2374&lt;=0.2,"Low (1-20%)",IF(T2374&lt;=0.4,"Medium (21-40%)","High (&gt;40%)"))))</f>
        <v/>
      </c>
      <c r="Y2374" s="23" t="str">
        <f aca="false">IF(AND(ISNUMBER(C2374),ISNUMBER(D2374)),D2374-C2374,"")</f>
        <v/>
      </c>
      <c r="Z2374" s="23" t="str">
        <f aca="false">IF(B2374="","",IF(MATCH(B2374,$B$2:$B$12000,0)=ROW()-1,1,0))</f>
        <v/>
      </c>
    </row>
    <row r="2375" customFormat="false" ht="15" hidden="false" customHeight="false" outlineLevel="0" collapsed="false">
      <c r="V2375" s="23" t="str">
        <f aca="false">IF(ISNUMBER(C2375),YEAR(C2375),"")</f>
        <v/>
      </c>
      <c r="W2375" s="23" t="str">
        <f aca="false">IF(ISNUMBER(C2375),MONTH(C2375),"")</f>
        <v/>
      </c>
      <c r="X2375" s="23" t="str">
        <f aca="false">IF(T2375="","",IF(T2375=0,"No discount",IF(T2375&lt;=0.2,"Low (1-20%)",IF(T2375&lt;=0.4,"Medium (21-40%)","High (&gt;40%)"))))</f>
        <v/>
      </c>
      <c r="Y2375" s="23" t="str">
        <f aca="false">IF(AND(ISNUMBER(C2375),ISNUMBER(D2375)),D2375-C2375,"")</f>
        <v/>
      </c>
      <c r="Z2375" s="23" t="str">
        <f aca="false">IF(B2375="","",IF(MATCH(B2375,$B$2:$B$12000,0)=ROW()-1,1,0))</f>
        <v/>
      </c>
    </row>
    <row r="2376" customFormat="false" ht="15" hidden="false" customHeight="false" outlineLevel="0" collapsed="false">
      <c r="V2376" s="23" t="str">
        <f aca="false">IF(ISNUMBER(C2376),YEAR(C2376),"")</f>
        <v/>
      </c>
      <c r="W2376" s="23" t="str">
        <f aca="false">IF(ISNUMBER(C2376),MONTH(C2376),"")</f>
        <v/>
      </c>
      <c r="X2376" s="23" t="str">
        <f aca="false">IF(T2376="","",IF(T2376=0,"No discount",IF(T2376&lt;=0.2,"Low (1-20%)",IF(T2376&lt;=0.4,"Medium (21-40%)","High (&gt;40%)"))))</f>
        <v/>
      </c>
      <c r="Y2376" s="23" t="str">
        <f aca="false">IF(AND(ISNUMBER(C2376),ISNUMBER(D2376)),D2376-C2376,"")</f>
        <v/>
      </c>
      <c r="Z2376" s="23" t="str">
        <f aca="false">IF(B2376="","",IF(MATCH(B2376,$B$2:$B$12000,0)=ROW()-1,1,0))</f>
        <v/>
      </c>
    </row>
    <row r="2377" customFormat="false" ht="15" hidden="false" customHeight="false" outlineLevel="0" collapsed="false">
      <c r="V2377" s="23" t="str">
        <f aca="false">IF(ISNUMBER(C2377),YEAR(C2377),"")</f>
        <v/>
      </c>
      <c r="W2377" s="23" t="str">
        <f aca="false">IF(ISNUMBER(C2377),MONTH(C2377),"")</f>
        <v/>
      </c>
      <c r="X2377" s="23" t="str">
        <f aca="false">IF(T2377="","",IF(T2377=0,"No discount",IF(T2377&lt;=0.2,"Low (1-20%)",IF(T2377&lt;=0.4,"Medium (21-40%)","High (&gt;40%)"))))</f>
        <v/>
      </c>
      <c r="Y2377" s="23" t="str">
        <f aca="false">IF(AND(ISNUMBER(C2377),ISNUMBER(D2377)),D2377-C2377,"")</f>
        <v/>
      </c>
      <c r="Z2377" s="23" t="str">
        <f aca="false">IF(B2377="","",IF(MATCH(B2377,$B$2:$B$12000,0)=ROW()-1,1,0))</f>
        <v/>
      </c>
    </row>
    <row r="2378" customFormat="false" ht="15" hidden="false" customHeight="false" outlineLevel="0" collapsed="false">
      <c r="V2378" s="23" t="str">
        <f aca="false">IF(ISNUMBER(C2378),YEAR(C2378),"")</f>
        <v/>
      </c>
      <c r="W2378" s="23" t="str">
        <f aca="false">IF(ISNUMBER(C2378),MONTH(C2378),"")</f>
        <v/>
      </c>
      <c r="X2378" s="23" t="str">
        <f aca="false">IF(T2378="","",IF(T2378=0,"No discount",IF(T2378&lt;=0.2,"Low (1-20%)",IF(T2378&lt;=0.4,"Medium (21-40%)","High (&gt;40%)"))))</f>
        <v/>
      </c>
      <c r="Y2378" s="23" t="str">
        <f aca="false">IF(AND(ISNUMBER(C2378),ISNUMBER(D2378)),D2378-C2378,"")</f>
        <v/>
      </c>
      <c r="Z2378" s="23" t="str">
        <f aca="false">IF(B2378="","",IF(MATCH(B2378,$B$2:$B$12000,0)=ROW()-1,1,0))</f>
        <v/>
      </c>
    </row>
    <row r="2379" customFormat="false" ht="15" hidden="false" customHeight="false" outlineLevel="0" collapsed="false">
      <c r="V2379" s="23" t="str">
        <f aca="false">IF(ISNUMBER(C2379),YEAR(C2379),"")</f>
        <v/>
      </c>
      <c r="W2379" s="23" t="str">
        <f aca="false">IF(ISNUMBER(C2379),MONTH(C2379),"")</f>
        <v/>
      </c>
      <c r="X2379" s="23" t="str">
        <f aca="false">IF(T2379="","",IF(T2379=0,"No discount",IF(T2379&lt;=0.2,"Low (1-20%)",IF(T2379&lt;=0.4,"Medium (21-40%)","High (&gt;40%)"))))</f>
        <v/>
      </c>
      <c r="Y2379" s="23" t="str">
        <f aca="false">IF(AND(ISNUMBER(C2379),ISNUMBER(D2379)),D2379-C2379,"")</f>
        <v/>
      </c>
      <c r="Z2379" s="23" t="str">
        <f aca="false">IF(B2379="","",IF(MATCH(B2379,$B$2:$B$12000,0)=ROW()-1,1,0))</f>
        <v/>
      </c>
    </row>
    <row r="2380" customFormat="false" ht="15" hidden="false" customHeight="false" outlineLevel="0" collapsed="false">
      <c r="V2380" s="23" t="str">
        <f aca="false">IF(ISNUMBER(C2380),YEAR(C2380),"")</f>
        <v/>
      </c>
      <c r="W2380" s="23" t="str">
        <f aca="false">IF(ISNUMBER(C2380),MONTH(C2380),"")</f>
        <v/>
      </c>
      <c r="X2380" s="23" t="str">
        <f aca="false">IF(T2380="","",IF(T2380=0,"No discount",IF(T2380&lt;=0.2,"Low (1-20%)",IF(T2380&lt;=0.4,"Medium (21-40%)","High (&gt;40%)"))))</f>
        <v/>
      </c>
      <c r="Y2380" s="23" t="str">
        <f aca="false">IF(AND(ISNUMBER(C2380),ISNUMBER(D2380)),D2380-C2380,"")</f>
        <v/>
      </c>
      <c r="Z2380" s="23" t="str">
        <f aca="false">IF(B2380="","",IF(MATCH(B2380,$B$2:$B$12000,0)=ROW()-1,1,0))</f>
        <v/>
      </c>
    </row>
    <row r="2381" customFormat="false" ht="15" hidden="false" customHeight="false" outlineLevel="0" collapsed="false">
      <c r="V2381" s="23" t="str">
        <f aca="false">IF(ISNUMBER(C2381),YEAR(C2381),"")</f>
        <v/>
      </c>
      <c r="W2381" s="23" t="str">
        <f aca="false">IF(ISNUMBER(C2381),MONTH(C2381),"")</f>
        <v/>
      </c>
      <c r="X2381" s="23" t="str">
        <f aca="false">IF(T2381="","",IF(T2381=0,"No discount",IF(T2381&lt;=0.2,"Low (1-20%)",IF(T2381&lt;=0.4,"Medium (21-40%)","High (&gt;40%)"))))</f>
        <v/>
      </c>
      <c r="Y2381" s="23" t="str">
        <f aca="false">IF(AND(ISNUMBER(C2381),ISNUMBER(D2381)),D2381-C2381,"")</f>
        <v/>
      </c>
      <c r="Z2381" s="23" t="str">
        <f aca="false">IF(B2381="","",IF(MATCH(B2381,$B$2:$B$12000,0)=ROW()-1,1,0))</f>
        <v/>
      </c>
    </row>
    <row r="2382" customFormat="false" ht="15" hidden="false" customHeight="false" outlineLevel="0" collapsed="false">
      <c r="V2382" s="23" t="str">
        <f aca="false">IF(ISNUMBER(C2382),YEAR(C2382),"")</f>
        <v/>
      </c>
      <c r="W2382" s="23" t="str">
        <f aca="false">IF(ISNUMBER(C2382),MONTH(C2382),"")</f>
        <v/>
      </c>
      <c r="X2382" s="23" t="str">
        <f aca="false">IF(T2382="","",IF(T2382=0,"No discount",IF(T2382&lt;=0.2,"Low (1-20%)",IF(T2382&lt;=0.4,"Medium (21-40%)","High (&gt;40%)"))))</f>
        <v/>
      </c>
      <c r="Y2382" s="23" t="str">
        <f aca="false">IF(AND(ISNUMBER(C2382),ISNUMBER(D2382)),D2382-C2382,"")</f>
        <v/>
      </c>
      <c r="Z2382" s="23" t="str">
        <f aca="false">IF(B2382="","",IF(MATCH(B2382,$B$2:$B$12000,0)=ROW()-1,1,0))</f>
        <v/>
      </c>
    </row>
    <row r="2383" customFormat="false" ht="15" hidden="false" customHeight="false" outlineLevel="0" collapsed="false">
      <c r="V2383" s="23" t="str">
        <f aca="false">IF(ISNUMBER(C2383),YEAR(C2383),"")</f>
        <v/>
      </c>
      <c r="W2383" s="23" t="str">
        <f aca="false">IF(ISNUMBER(C2383),MONTH(C2383),"")</f>
        <v/>
      </c>
      <c r="X2383" s="23" t="str">
        <f aca="false">IF(T2383="","",IF(T2383=0,"No discount",IF(T2383&lt;=0.2,"Low (1-20%)",IF(T2383&lt;=0.4,"Medium (21-40%)","High (&gt;40%)"))))</f>
        <v/>
      </c>
      <c r="Y2383" s="23" t="str">
        <f aca="false">IF(AND(ISNUMBER(C2383),ISNUMBER(D2383)),D2383-C2383,"")</f>
        <v/>
      </c>
      <c r="Z2383" s="23" t="str">
        <f aca="false">IF(B2383="","",IF(MATCH(B2383,$B$2:$B$12000,0)=ROW()-1,1,0))</f>
        <v/>
      </c>
    </row>
    <row r="2384" customFormat="false" ht="15" hidden="false" customHeight="false" outlineLevel="0" collapsed="false">
      <c r="V2384" s="23" t="str">
        <f aca="false">IF(ISNUMBER(C2384),YEAR(C2384),"")</f>
        <v/>
      </c>
      <c r="W2384" s="23" t="str">
        <f aca="false">IF(ISNUMBER(C2384),MONTH(C2384),"")</f>
        <v/>
      </c>
      <c r="X2384" s="23" t="str">
        <f aca="false">IF(T2384="","",IF(T2384=0,"No discount",IF(T2384&lt;=0.2,"Low (1-20%)",IF(T2384&lt;=0.4,"Medium (21-40%)","High (&gt;40%)"))))</f>
        <v/>
      </c>
      <c r="Y2384" s="23" t="str">
        <f aca="false">IF(AND(ISNUMBER(C2384),ISNUMBER(D2384)),D2384-C2384,"")</f>
        <v/>
      </c>
      <c r="Z2384" s="23" t="str">
        <f aca="false">IF(B2384="","",IF(MATCH(B2384,$B$2:$B$12000,0)=ROW()-1,1,0))</f>
        <v/>
      </c>
    </row>
    <row r="2385" customFormat="false" ht="15" hidden="false" customHeight="false" outlineLevel="0" collapsed="false">
      <c r="V2385" s="23" t="str">
        <f aca="false">IF(ISNUMBER(C2385),YEAR(C2385),"")</f>
        <v/>
      </c>
      <c r="W2385" s="23" t="str">
        <f aca="false">IF(ISNUMBER(C2385),MONTH(C2385),"")</f>
        <v/>
      </c>
      <c r="X2385" s="23" t="str">
        <f aca="false">IF(T2385="","",IF(T2385=0,"No discount",IF(T2385&lt;=0.2,"Low (1-20%)",IF(T2385&lt;=0.4,"Medium (21-40%)","High (&gt;40%)"))))</f>
        <v/>
      </c>
      <c r="Y2385" s="23" t="str">
        <f aca="false">IF(AND(ISNUMBER(C2385),ISNUMBER(D2385)),D2385-C2385,"")</f>
        <v/>
      </c>
      <c r="Z2385" s="23" t="str">
        <f aca="false">IF(B2385="","",IF(MATCH(B2385,$B$2:$B$12000,0)=ROW()-1,1,0))</f>
        <v/>
      </c>
    </row>
    <row r="2386" customFormat="false" ht="15" hidden="false" customHeight="false" outlineLevel="0" collapsed="false">
      <c r="V2386" s="23" t="str">
        <f aca="false">IF(ISNUMBER(C2386),YEAR(C2386),"")</f>
        <v/>
      </c>
      <c r="W2386" s="23" t="str">
        <f aca="false">IF(ISNUMBER(C2386),MONTH(C2386),"")</f>
        <v/>
      </c>
      <c r="X2386" s="23" t="str">
        <f aca="false">IF(T2386="","",IF(T2386=0,"No discount",IF(T2386&lt;=0.2,"Low (1-20%)",IF(T2386&lt;=0.4,"Medium (21-40%)","High (&gt;40%)"))))</f>
        <v/>
      </c>
      <c r="Y2386" s="23" t="str">
        <f aca="false">IF(AND(ISNUMBER(C2386),ISNUMBER(D2386)),D2386-C2386,"")</f>
        <v/>
      </c>
      <c r="Z2386" s="23" t="str">
        <f aca="false">IF(B2386="","",IF(MATCH(B2386,$B$2:$B$12000,0)=ROW()-1,1,0))</f>
        <v/>
      </c>
    </row>
    <row r="2387" customFormat="false" ht="15" hidden="false" customHeight="false" outlineLevel="0" collapsed="false">
      <c r="V2387" s="23" t="str">
        <f aca="false">IF(ISNUMBER(C2387),YEAR(C2387),"")</f>
        <v/>
      </c>
      <c r="W2387" s="23" t="str">
        <f aca="false">IF(ISNUMBER(C2387),MONTH(C2387),"")</f>
        <v/>
      </c>
      <c r="X2387" s="23" t="str">
        <f aca="false">IF(T2387="","",IF(T2387=0,"No discount",IF(T2387&lt;=0.2,"Low (1-20%)",IF(T2387&lt;=0.4,"Medium (21-40%)","High (&gt;40%)"))))</f>
        <v/>
      </c>
      <c r="Y2387" s="23" t="str">
        <f aca="false">IF(AND(ISNUMBER(C2387),ISNUMBER(D2387)),D2387-C2387,"")</f>
        <v/>
      </c>
      <c r="Z2387" s="23" t="str">
        <f aca="false">IF(B2387="","",IF(MATCH(B2387,$B$2:$B$12000,0)=ROW()-1,1,0))</f>
        <v/>
      </c>
    </row>
    <row r="2388" customFormat="false" ht="15" hidden="false" customHeight="false" outlineLevel="0" collapsed="false">
      <c r="V2388" s="23" t="str">
        <f aca="false">IF(ISNUMBER(C2388),YEAR(C2388),"")</f>
        <v/>
      </c>
      <c r="W2388" s="23" t="str">
        <f aca="false">IF(ISNUMBER(C2388),MONTH(C2388),"")</f>
        <v/>
      </c>
      <c r="X2388" s="23" t="str">
        <f aca="false">IF(T2388="","",IF(T2388=0,"No discount",IF(T2388&lt;=0.2,"Low (1-20%)",IF(T2388&lt;=0.4,"Medium (21-40%)","High (&gt;40%)"))))</f>
        <v/>
      </c>
      <c r="Y2388" s="23" t="str">
        <f aca="false">IF(AND(ISNUMBER(C2388),ISNUMBER(D2388)),D2388-C2388,"")</f>
        <v/>
      </c>
      <c r="Z2388" s="23" t="str">
        <f aca="false">IF(B2388="","",IF(MATCH(B2388,$B$2:$B$12000,0)=ROW()-1,1,0))</f>
        <v/>
      </c>
    </row>
    <row r="2389" customFormat="false" ht="15" hidden="false" customHeight="false" outlineLevel="0" collapsed="false">
      <c r="V2389" s="23" t="str">
        <f aca="false">IF(ISNUMBER(C2389),YEAR(C2389),"")</f>
        <v/>
      </c>
      <c r="W2389" s="23" t="str">
        <f aca="false">IF(ISNUMBER(C2389),MONTH(C2389),"")</f>
        <v/>
      </c>
      <c r="X2389" s="23" t="str">
        <f aca="false">IF(T2389="","",IF(T2389=0,"No discount",IF(T2389&lt;=0.2,"Low (1-20%)",IF(T2389&lt;=0.4,"Medium (21-40%)","High (&gt;40%)"))))</f>
        <v/>
      </c>
      <c r="Y2389" s="23" t="str">
        <f aca="false">IF(AND(ISNUMBER(C2389),ISNUMBER(D2389)),D2389-C2389,"")</f>
        <v/>
      </c>
      <c r="Z2389" s="23" t="str">
        <f aca="false">IF(B2389="","",IF(MATCH(B2389,$B$2:$B$12000,0)=ROW()-1,1,0))</f>
        <v/>
      </c>
    </row>
    <row r="2390" customFormat="false" ht="15" hidden="false" customHeight="false" outlineLevel="0" collapsed="false">
      <c r="V2390" s="23" t="str">
        <f aca="false">IF(ISNUMBER(C2390),YEAR(C2390),"")</f>
        <v/>
      </c>
      <c r="W2390" s="23" t="str">
        <f aca="false">IF(ISNUMBER(C2390),MONTH(C2390),"")</f>
        <v/>
      </c>
      <c r="X2390" s="23" t="str">
        <f aca="false">IF(T2390="","",IF(T2390=0,"No discount",IF(T2390&lt;=0.2,"Low (1-20%)",IF(T2390&lt;=0.4,"Medium (21-40%)","High (&gt;40%)"))))</f>
        <v/>
      </c>
      <c r="Y2390" s="23" t="str">
        <f aca="false">IF(AND(ISNUMBER(C2390),ISNUMBER(D2390)),D2390-C2390,"")</f>
        <v/>
      </c>
      <c r="Z2390" s="23" t="str">
        <f aca="false">IF(B2390="","",IF(MATCH(B2390,$B$2:$B$12000,0)=ROW()-1,1,0))</f>
        <v/>
      </c>
    </row>
    <row r="2391" customFormat="false" ht="15" hidden="false" customHeight="false" outlineLevel="0" collapsed="false">
      <c r="V2391" s="23" t="str">
        <f aca="false">IF(ISNUMBER(C2391),YEAR(C2391),"")</f>
        <v/>
      </c>
      <c r="W2391" s="23" t="str">
        <f aca="false">IF(ISNUMBER(C2391),MONTH(C2391),"")</f>
        <v/>
      </c>
      <c r="X2391" s="23" t="str">
        <f aca="false">IF(T2391="","",IF(T2391=0,"No discount",IF(T2391&lt;=0.2,"Low (1-20%)",IF(T2391&lt;=0.4,"Medium (21-40%)","High (&gt;40%)"))))</f>
        <v/>
      </c>
      <c r="Y2391" s="23" t="str">
        <f aca="false">IF(AND(ISNUMBER(C2391),ISNUMBER(D2391)),D2391-C2391,"")</f>
        <v/>
      </c>
      <c r="Z2391" s="23" t="str">
        <f aca="false">IF(B2391="","",IF(MATCH(B2391,$B$2:$B$12000,0)=ROW()-1,1,0))</f>
        <v/>
      </c>
    </row>
    <row r="2392" customFormat="false" ht="15" hidden="false" customHeight="false" outlineLevel="0" collapsed="false">
      <c r="V2392" s="23" t="str">
        <f aca="false">IF(ISNUMBER(C2392),YEAR(C2392),"")</f>
        <v/>
      </c>
      <c r="W2392" s="23" t="str">
        <f aca="false">IF(ISNUMBER(C2392),MONTH(C2392),"")</f>
        <v/>
      </c>
      <c r="X2392" s="23" t="str">
        <f aca="false">IF(T2392="","",IF(T2392=0,"No discount",IF(T2392&lt;=0.2,"Low (1-20%)",IF(T2392&lt;=0.4,"Medium (21-40%)","High (&gt;40%)"))))</f>
        <v/>
      </c>
      <c r="Y2392" s="23" t="str">
        <f aca="false">IF(AND(ISNUMBER(C2392),ISNUMBER(D2392)),D2392-C2392,"")</f>
        <v/>
      </c>
      <c r="Z2392" s="23" t="str">
        <f aca="false">IF(B2392="","",IF(MATCH(B2392,$B$2:$B$12000,0)=ROW()-1,1,0))</f>
        <v/>
      </c>
    </row>
    <row r="2393" customFormat="false" ht="15" hidden="false" customHeight="false" outlineLevel="0" collapsed="false">
      <c r="V2393" s="23" t="str">
        <f aca="false">IF(ISNUMBER(C2393),YEAR(C2393),"")</f>
        <v/>
      </c>
      <c r="W2393" s="23" t="str">
        <f aca="false">IF(ISNUMBER(C2393),MONTH(C2393),"")</f>
        <v/>
      </c>
      <c r="X2393" s="23" t="str">
        <f aca="false">IF(T2393="","",IF(T2393=0,"No discount",IF(T2393&lt;=0.2,"Low (1-20%)",IF(T2393&lt;=0.4,"Medium (21-40%)","High (&gt;40%)"))))</f>
        <v/>
      </c>
      <c r="Y2393" s="23" t="str">
        <f aca="false">IF(AND(ISNUMBER(C2393),ISNUMBER(D2393)),D2393-C2393,"")</f>
        <v/>
      </c>
      <c r="Z2393" s="23" t="str">
        <f aca="false">IF(B2393="","",IF(MATCH(B2393,$B$2:$B$12000,0)=ROW()-1,1,0))</f>
        <v/>
      </c>
    </row>
    <row r="2394" customFormat="false" ht="15" hidden="false" customHeight="false" outlineLevel="0" collapsed="false">
      <c r="V2394" s="23" t="str">
        <f aca="false">IF(ISNUMBER(C2394),YEAR(C2394),"")</f>
        <v/>
      </c>
      <c r="W2394" s="23" t="str">
        <f aca="false">IF(ISNUMBER(C2394),MONTH(C2394),"")</f>
        <v/>
      </c>
      <c r="X2394" s="23" t="str">
        <f aca="false">IF(T2394="","",IF(T2394=0,"No discount",IF(T2394&lt;=0.2,"Low (1-20%)",IF(T2394&lt;=0.4,"Medium (21-40%)","High (&gt;40%)"))))</f>
        <v/>
      </c>
      <c r="Y2394" s="23" t="str">
        <f aca="false">IF(AND(ISNUMBER(C2394),ISNUMBER(D2394)),D2394-C2394,"")</f>
        <v/>
      </c>
      <c r="Z2394" s="23" t="str">
        <f aca="false">IF(B2394="","",IF(MATCH(B2394,$B$2:$B$12000,0)=ROW()-1,1,0))</f>
        <v/>
      </c>
    </row>
    <row r="2395" customFormat="false" ht="15" hidden="false" customHeight="false" outlineLevel="0" collapsed="false">
      <c r="V2395" s="23" t="str">
        <f aca="false">IF(ISNUMBER(C2395),YEAR(C2395),"")</f>
        <v/>
      </c>
      <c r="W2395" s="23" t="str">
        <f aca="false">IF(ISNUMBER(C2395),MONTH(C2395),"")</f>
        <v/>
      </c>
      <c r="X2395" s="23" t="str">
        <f aca="false">IF(T2395="","",IF(T2395=0,"No discount",IF(T2395&lt;=0.2,"Low (1-20%)",IF(T2395&lt;=0.4,"Medium (21-40%)","High (&gt;40%)"))))</f>
        <v/>
      </c>
      <c r="Y2395" s="23" t="str">
        <f aca="false">IF(AND(ISNUMBER(C2395),ISNUMBER(D2395)),D2395-C2395,"")</f>
        <v/>
      </c>
      <c r="Z2395" s="23" t="str">
        <f aca="false">IF(B2395="","",IF(MATCH(B2395,$B$2:$B$12000,0)=ROW()-1,1,0))</f>
        <v/>
      </c>
    </row>
    <row r="2396" customFormat="false" ht="15" hidden="false" customHeight="false" outlineLevel="0" collapsed="false">
      <c r="V2396" s="23" t="str">
        <f aca="false">IF(ISNUMBER(C2396),YEAR(C2396),"")</f>
        <v/>
      </c>
      <c r="W2396" s="23" t="str">
        <f aca="false">IF(ISNUMBER(C2396),MONTH(C2396),"")</f>
        <v/>
      </c>
      <c r="X2396" s="23" t="str">
        <f aca="false">IF(T2396="","",IF(T2396=0,"No discount",IF(T2396&lt;=0.2,"Low (1-20%)",IF(T2396&lt;=0.4,"Medium (21-40%)","High (&gt;40%)"))))</f>
        <v/>
      </c>
      <c r="Y2396" s="23" t="str">
        <f aca="false">IF(AND(ISNUMBER(C2396),ISNUMBER(D2396)),D2396-C2396,"")</f>
        <v/>
      </c>
      <c r="Z2396" s="23" t="str">
        <f aca="false">IF(B2396="","",IF(MATCH(B2396,$B$2:$B$12000,0)=ROW()-1,1,0))</f>
        <v/>
      </c>
    </row>
    <row r="2397" customFormat="false" ht="15" hidden="false" customHeight="false" outlineLevel="0" collapsed="false">
      <c r="V2397" s="23" t="str">
        <f aca="false">IF(ISNUMBER(C2397),YEAR(C2397),"")</f>
        <v/>
      </c>
      <c r="W2397" s="23" t="str">
        <f aca="false">IF(ISNUMBER(C2397),MONTH(C2397),"")</f>
        <v/>
      </c>
      <c r="X2397" s="23" t="str">
        <f aca="false">IF(T2397="","",IF(T2397=0,"No discount",IF(T2397&lt;=0.2,"Low (1-20%)",IF(T2397&lt;=0.4,"Medium (21-40%)","High (&gt;40%)"))))</f>
        <v/>
      </c>
      <c r="Y2397" s="23" t="str">
        <f aca="false">IF(AND(ISNUMBER(C2397),ISNUMBER(D2397)),D2397-C2397,"")</f>
        <v/>
      </c>
      <c r="Z2397" s="23" t="str">
        <f aca="false">IF(B2397="","",IF(MATCH(B2397,$B$2:$B$12000,0)=ROW()-1,1,0))</f>
        <v/>
      </c>
    </row>
    <row r="2398" customFormat="false" ht="15" hidden="false" customHeight="false" outlineLevel="0" collapsed="false">
      <c r="V2398" s="23" t="str">
        <f aca="false">IF(ISNUMBER(C2398),YEAR(C2398),"")</f>
        <v/>
      </c>
      <c r="W2398" s="23" t="str">
        <f aca="false">IF(ISNUMBER(C2398),MONTH(C2398),"")</f>
        <v/>
      </c>
      <c r="X2398" s="23" t="str">
        <f aca="false">IF(T2398="","",IF(T2398=0,"No discount",IF(T2398&lt;=0.2,"Low (1-20%)",IF(T2398&lt;=0.4,"Medium (21-40%)","High (&gt;40%)"))))</f>
        <v/>
      </c>
      <c r="Y2398" s="23" t="str">
        <f aca="false">IF(AND(ISNUMBER(C2398),ISNUMBER(D2398)),D2398-C2398,"")</f>
        <v/>
      </c>
      <c r="Z2398" s="23" t="str">
        <f aca="false">IF(B2398="","",IF(MATCH(B2398,$B$2:$B$12000,0)=ROW()-1,1,0))</f>
        <v/>
      </c>
    </row>
    <row r="2399" customFormat="false" ht="15" hidden="false" customHeight="false" outlineLevel="0" collapsed="false">
      <c r="V2399" s="23" t="str">
        <f aca="false">IF(ISNUMBER(C2399),YEAR(C2399),"")</f>
        <v/>
      </c>
      <c r="W2399" s="23" t="str">
        <f aca="false">IF(ISNUMBER(C2399),MONTH(C2399),"")</f>
        <v/>
      </c>
      <c r="X2399" s="23" t="str">
        <f aca="false">IF(T2399="","",IF(T2399=0,"No discount",IF(T2399&lt;=0.2,"Low (1-20%)",IF(T2399&lt;=0.4,"Medium (21-40%)","High (&gt;40%)"))))</f>
        <v/>
      </c>
      <c r="Y2399" s="23" t="str">
        <f aca="false">IF(AND(ISNUMBER(C2399),ISNUMBER(D2399)),D2399-C2399,"")</f>
        <v/>
      </c>
      <c r="Z2399" s="23" t="str">
        <f aca="false">IF(B2399="","",IF(MATCH(B2399,$B$2:$B$12000,0)=ROW()-1,1,0))</f>
        <v/>
      </c>
    </row>
    <row r="2400" customFormat="false" ht="15" hidden="false" customHeight="false" outlineLevel="0" collapsed="false">
      <c r="V2400" s="23" t="str">
        <f aca="false">IF(ISNUMBER(C2400),YEAR(C2400),"")</f>
        <v/>
      </c>
      <c r="W2400" s="23" t="str">
        <f aca="false">IF(ISNUMBER(C2400),MONTH(C2400),"")</f>
        <v/>
      </c>
      <c r="X2400" s="23" t="str">
        <f aca="false">IF(T2400="","",IF(T2400=0,"No discount",IF(T2400&lt;=0.2,"Low (1-20%)",IF(T2400&lt;=0.4,"Medium (21-40%)","High (&gt;40%)"))))</f>
        <v/>
      </c>
      <c r="Y2400" s="23" t="str">
        <f aca="false">IF(AND(ISNUMBER(C2400),ISNUMBER(D2400)),D2400-C2400,"")</f>
        <v/>
      </c>
      <c r="Z2400" s="23" t="str">
        <f aca="false">IF(B2400="","",IF(MATCH(B2400,$B$2:$B$12000,0)=ROW()-1,1,0))</f>
        <v/>
      </c>
    </row>
    <row r="2401" customFormat="false" ht="15" hidden="false" customHeight="false" outlineLevel="0" collapsed="false">
      <c r="V2401" s="23" t="str">
        <f aca="false">IF(ISNUMBER(C2401),YEAR(C2401),"")</f>
        <v/>
      </c>
      <c r="W2401" s="23" t="str">
        <f aca="false">IF(ISNUMBER(C2401),MONTH(C2401),"")</f>
        <v/>
      </c>
      <c r="X2401" s="23" t="str">
        <f aca="false">IF(T2401="","",IF(T2401=0,"No discount",IF(T2401&lt;=0.2,"Low (1-20%)",IF(T2401&lt;=0.4,"Medium (21-40%)","High (&gt;40%)"))))</f>
        <v/>
      </c>
      <c r="Y2401" s="23" t="str">
        <f aca="false">IF(AND(ISNUMBER(C2401),ISNUMBER(D2401)),D2401-C2401,"")</f>
        <v/>
      </c>
      <c r="Z2401" s="23" t="str">
        <f aca="false">IF(B2401="","",IF(MATCH(B2401,$B$2:$B$12000,0)=ROW()-1,1,0))</f>
        <v/>
      </c>
    </row>
    <row r="2402" customFormat="false" ht="15" hidden="false" customHeight="false" outlineLevel="0" collapsed="false">
      <c r="V2402" s="23" t="str">
        <f aca="false">IF(ISNUMBER(C2402),YEAR(C2402),"")</f>
        <v/>
      </c>
      <c r="W2402" s="23" t="str">
        <f aca="false">IF(ISNUMBER(C2402),MONTH(C2402),"")</f>
        <v/>
      </c>
      <c r="X2402" s="23" t="str">
        <f aca="false">IF(T2402="","",IF(T2402=0,"No discount",IF(T2402&lt;=0.2,"Low (1-20%)",IF(T2402&lt;=0.4,"Medium (21-40%)","High (&gt;40%)"))))</f>
        <v/>
      </c>
      <c r="Y2402" s="23" t="str">
        <f aca="false">IF(AND(ISNUMBER(C2402),ISNUMBER(D2402)),D2402-C2402,"")</f>
        <v/>
      </c>
      <c r="Z2402" s="23" t="str">
        <f aca="false">IF(B2402="","",IF(MATCH(B2402,$B$2:$B$12000,0)=ROW()-1,1,0))</f>
        <v/>
      </c>
    </row>
    <row r="2403" customFormat="false" ht="15" hidden="false" customHeight="false" outlineLevel="0" collapsed="false">
      <c r="V2403" s="23" t="str">
        <f aca="false">IF(ISNUMBER(C2403),YEAR(C2403),"")</f>
        <v/>
      </c>
      <c r="W2403" s="23" t="str">
        <f aca="false">IF(ISNUMBER(C2403),MONTH(C2403),"")</f>
        <v/>
      </c>
      <c r="X2403" s="23" t="str">
        <f aca="false">IF(T2403="","",IF(T2403=0,"No discount",IF(T2403&lt;=0.2,"Low (1-20%)",IF(T2403&lt;=0.4,"Medium (21-40%)","High (&gt;40%)"))))</f>
        <v/>
      </c>
      <c r="Y2403" s="23" t="str">
        <f aca="false">IF(AND(ISNUMBER(C2403),ISNUMBER(D2403)),D2403-C2403,"")</f>
        <v/>
      </c>
      <c r="Z2403" s="23" t="str">
        <f aca="false">IF(B2403="","",IF(MATCH(B2403,$B$2:$B$12000,0)=ROW()-1,1,0))</f>
        <v/>
      </c>
    </row>
    <row r="2404" customFormat="false" ht="15" hidden="false" customHeight="false" outlineLevel="0" collapsed="false">
      <c r="V2404" s="23" t="str">
        <f aca="false">IF(ISNUMBER(C2404),YEAR(C2404),"")</f>
        <v/>
      </c>
      <c r="W2404" s="23" t="str">
        <f aca="false">IF(ISNUMBER(C2404),MONTH(C2404),"")</f>
        <v/>
      </c>
      <c r="X2404" s="23" t="str">
        <f aca="false">IF(T2404="","",IF(T2404=0,"No discount",IF(T2404&lt;=0.2,"Low (1-20%)",IF(T2404&lt;=0.4,"Medium (21-40%)","High (&gt;40%)"))))</f>
        <v/>
      </c>
      <c r="Y2404" s="23" t="str">
        <f aca="false">IF(AND(ISNUMBER(C2404),ISNUMBER(D2404)),D2404-C2404,"")</f>
        <v/>
      </c>
      <c r="Z2404" s="23" t="str">
        <f aca="false">IF(B2404="","",IF(MATCH(B2404,$B$2:$B$12000,0)=ROW()-1,1,0))</f>
        <v/>
      </c>
    </row>
    <row r="2405" customFormat="false" ht="15" hidden="false" customHeight="false" outlineLevel="0" collapsed="false">
      <c r="V2405" s="23" t="str">
        <f aca="false">IF(ISNUMBER(C2405),YEAR(C2405),"")</f>
        <v/>
      </c>
      <c r="W2405" s="23" t="str">
        <f aca="false">IF(ISNUMBER(C2405),MONTH(C2405),"")</f>
        <v/>
      </c>
      <c r="X2405" s="23" t="str">
        <f aca="false">IF(T2405="","",IF(T2405=0,"No discount",IF(T2405&lt;=0.2,"Low (1-20%)",IF(T2405&lt;=0.4,"Medium (21-40%)","High (&gt;40%)"))))</f>
        <v/>
      </c>
      <c r="Y2405" s="23" t="str">
        <f aca="false">IF(AND(ISNUMBER(C2405),ISNUMBER(D2405)),D2405-C2405,"")</f>
        <v/>
      </c>
      <c r="Z2405" s="23" t="str">
        <f aca="false">IF(B2405="","",IF(MATCH(B2405,$B$2:$B$12000,0)=ROW()-1,1,0))</f>
        <v/>
      </c>
    </row>
    <row r="2406" customFormat="false" ht="15" hidden="false" customHeight="false" outlineLevel="0" collapsed="false">
      <c r="V2406" s="23" t="str">
        <f aca="false">IF(ISNUMBER(C2406),YEAR(C2406),"")</f>
        <v/>
      </c>
      <c r="W2406" s="23" t="str">
        <f aca="false">IF(ISNUMBER(C2406),MONTH(C2406),"")</f>
        <v/>
      </c>
      <c r="X2406" s="23" t="str">
        <f aca="false">IF(T2406="","",IF(T2406=0,"No discount",IF(T2406&lt;=0.2,"Low (1-20%)",IF(T2406&lt;=0.4,"Medium (21-40%)","High (&gt;40%)"))))</f>
        <v/>
      </c>
      <c r="Y2406" s="23" t="str">
        <f aca="false">IF(AND(ISNUMBER(C2406),ISNUMBER(D2406)),D2406-C2406,"")</f>
        <v/>
      </c>
      <c r="Z2406" s="23" t="str">
        <f aca="false">IF(B2406="","",IF(MATCH(B2406,$B$2:$B$12000,0)=ROW()-1,1,0))</f>
        <v/>
      </c>
    </row>
    <row r="2407" customFormat="false" ht="15" hidden="false" customHeight="false" outlineLevel="0" collapsed="false">
      <c r="V2407" s="23" t="str">
        <f aca="false">IF(ISNUMBER(C2407),YEAR(C2407),"")</f>
        <v/>
      </c>
      <c r="W2407" s="23" t="str">
        <f aca="false">IF(ISNUMBER(C2407),MONTH(C2407),"")</f>
        <v/>
      </c>
      <c r="X2407" s="23" t="str">
        <f aca="false">IF(T2407="","",IF(T2407=0,"No discount",IF(T2407&lt;=0.2,"Low (1-20%)",IF(T2407&lt;=0.4,"Medium (21-40%)","High (&gt;40%)"))))</f>
        <v/>
      </c>
      <c r="Y2407" s="23" t="str">
        <f aca="false">IF(AND(ISNUMBER(C2407),ISNUMBER(D2407)),D2407-C2407,"")</f>
        <v/>
      </c>
      <c r="Z2407" s="23" t="str">
        <f aca="false">IF(B2407="","",IF(MATCH(B2407,$B$2:$B$12000,0)=ROW()-1,1,0))</f>
        <v/>
      </c>
    </row>
    <row r="2408" customFormat="false" ht="15" hidden="false" customHeight="false" outlineLevel="0" collapsed="false">
      <c r="V2408" s="23" t="str">
        <f aca="false">IF(ISNUMBER(C2408),YEAR(C2408),"")</f>
        <v/>
      </c>
      <c r="W2408" s="23" t="str">
        <f aca="false">IF(ISNUMBER(C2408),MONTH(C2408),"")</f>
        <v/>
      </c>
      <c r="X2408" s="23" t="str">
        <f aca="false">IF(T2408="","",IF(T2408=0,"No discount",IF(T2408&lt;=0.2,"Low (1-20%)",IF(T2408&lt;=0.4,"Medium (21-40%)","High (&gt;40%)"))))</f>
        <v/>
      </c>
      <c r="Y2408" s="23" t="str">
        <f aca="false">IF(AND(ISNUMBER(C2408),ISNUMBER(D2408)),D2408-C2408,"")</f>
        <v/>
      </c>
      <c r="Z2408" s="23" t="str">
        <f aca="false">IF(B2408="","",IF(MATCH(B2408,$B$2:$B$12000,0)=ROW()-1,1,0))</f>
        <v/>
      </c>
    </row>
    <row r="2409" customFormat="false" ht="15" hidden="false" customHeight="false" outlineLevel="0" collapsed="false">
      <c r="V2409" s="23" t="str">
        <f aca="false">IF(ISNUMBER(C2409),YEAR(C2409),"")</f>
        <v/>
      </c>
      <c r="W2409" s="23" t="str">
        <f aca="false">IF(ISNUMBER(C2409),MONTH(C2409),"")</f>
        <v/>
      </c>
      <c r="X2409" s="23" t="str">
        <f aca="false">IF(T2409="","",IF(T2409=0,"No discount",IF(T2409&lt;=0.2,"Low (1-20%)",IF(T2409&lt;=0.4,"Medium (21-40%)","High (&gt;40%)"))))</f>
        <v/>
      </c>
      <c r="Y2409" s="23" t="str">
        <f aca="false">IF(AND(ISNUMBER(C2409),ISNUMBER(D2409)),D2409-C2409,"")</f>
        <v/>
      </c>
      <c r="Z2409" s="23" t="str">
        <f aca="false">IF(B2409="","",IF(MATCH(B2409,$B$2:$B$12000,0)=ROW()-1,1,0))</f>
        <v/>
      </c>
    </row>
    <row r="2410" customFormat="false" ht="15" hidden="false" customHeight="false" outlineLevel="0" collapsed="false">
      <c r="V2410" s="23" t="str">
        <f aca="false">IF(ISNUMBER(C2410),YEAR(C2410),"")</f>
        <v/>
      </c>
      <c r="W2410" s="23" t="str">
        <f aca="false">IF(ISNUMBER(C2410),MONTH(C2410),"")</f>
        <v/>
      </c>
      <c r="X2410" s="23" t="str">
        <f aca="false">IF(T2410="","",IF(T2410=0,"No discount",IF(T2410&lt;=0.2,"Low (1-20%)",IF(T2410&lt;=0.4,"Medium (21-40%)","High (&gt;40%)"))))</f>
        <v/>
      </c>
      <c r="Y2410" s="23" t="str">
        <f aca="false">IF(AND(ISNUMBER(C2410),ISNUMBER(D2410)),D2410-C2410,"")</f>
        <v/>
      </c>
      <c r="Z2410" s="23" t="str">
        <f aca="false">IF(B2410="","",IF(MATCH(B2410,$B$2:$B$12000,0)=ROW()-1,1,0))</f>
        <v/>
      </c>
    </row>
    <row r="2411" customFormat="false" ht="15" hidden="false" customHeight="false" outlineLevel="0" collapsed="false">
      <c r="V2411" s="23" t="str">
        <f aca="false">IF(ISNUMBER(C2411),YEAR(C2411),"")</f>
        <v/>
      </c>
      <c r="W2411" s="23" t="str">
        <f aca="false">IF(ISNUMBER(C2411),MONTH(C2411),"")</f>
        <v/>
      </c>
      <c r="X2411" s="23" t="str">
        <f aca="false">IF(T2411="","",IF(T2411=0,"No discount",IF(T2411&lt;=0.2,"Low (1-20%)",IF(T2411&lt;=0.4,"Medium (21-40%)","High (&gt;40%)"))))</f>
        <v/>
      </c>
      <c r="Y2411" s="23" t="str">
        <f aca="false">IF(AND(ISNUMBER(C2411),ISNUMBER(D2411)),D2411-C2411,"")</f>
        <v/>
      </c>
      <c r="Z2411" s="23" t="str">
        <f aca="false">IF(B2411="","",IF(MATCH(B2411,$B$2:$B$12000,0)=ROW()-1,1,0))</f>
        <v/>
      </c>
    </row>
    <row r="2412" customFormat="false" ht="15" hidden="false" customHeight="false" outlineLevel="0" collapsed="false">
      <c r="V2412" s="23" t="str">
        <f aca="false">IF(ISNUMBER(C2412),YEAR(C2412),"")</f>
        <v/>
      </c>
      <c r="W2412" s="23" t="str">
        <f aca="false">IF(ISNUMBER(C2412),MONTH(C2412),"")</f>
        <v/>
      </c>
      <c r="X2412" s="23" t="str">
        <f aca="false">IF(T2412="","",IF(T2412=0,"No discount",IF(T2412&lt;=0.2,"Low (1-20%)",IF(T2412&lt;=0.4,"Medium (21-40%)","High (&gt;40%)"))))</f>
        <v/>
      </c>
      <c r="Y2412" s="23" t="str">
        <f aca="false">IF(AND(ISNUMBER(C2412),ISNUMBER(D2412)),D2412-C2412,"")</f>
        <v/>
      </c>
      <c r="Z2412" s="23" t="str">
        <f aca="false">IF(B2412="","",IF(MATCH(B2412,$B$2:$B$12000,0)=ROW()-1,1,0))</f>
        <v/>
      </c>
    </row>
    <row r="2413" customFormat="false" ht="15" hidden="false" customHeight="false" outlineLevel="0" collapsed="false">
      <c r="V2413" s="23" t="str">
        <f aca="false">IF(ISNUMBER(C2413),YEAR(C2413),"")</f>
        <v/>
      </c>
      <c r="W2413" s="23" t="str">
        <f aca="false">IF(ISNUMBER(C2413),MONTH(C2413),"")</f>
        <v/>
      </c>
      <c r="X2413" s="23" t="str">
        <f aca="false">IF(T2413="","",IF(T2413=0,"No discount",IF(T2413&lt;=0.2,"Low (1-20%)",IF(T2413&lt;=0.4,"Medium (21-40%)","High (&gt;40%)"))))</f>
        <v/>
      </c>
      <c r="Y2413" s="23" t="str">
        <f aca="false">IF(AND(ISNUMBER(C2413),ISNUMBER(D2413)),D2413-C2413,"")</f>
        <v/>
      </c>
      <c r="Z2413" s="23" t="str">
        <f aca="false">IF(B2413="","",IF(MATCH(B2413,$B$2:$B$12000,0)=ROW()-1,1,0))</f>
        <v/>
      </c>
    </row>
    <row r="2414" customFormat="false" ht="15" hidden="false" customHeight="false" outlineLevel="0" collapsed="false">
      <c r="V2414" s="23" t="str">
        <f aca="false">IF(ISNUMBER(C2414),YEAR(C2414),"")</f>
        <v/>
      </c>
      <c r="W2414" s="23" t="str">
        <f aca="false">IF(ISNUMBER(C2414),MONTH(C2414),"")</f>
        <v/>
      </c>
      <c r="X2414" s="23" t="str">
        <f aca="false">IF(T2414="","",IF(T2414=0,"No discount",IF(T2414&lt;=0.2,"Low (1-20%)",IF(T2414&lt;=0.4,"Medium (21-40%)","High (&gt;40%)"))))</f>
        <v/>
      </c>
      <c r="Y2414" s="23" t="str">
        <f aca="false">IF(AND(ISNUMBER(C2414),ISNUMBER(D2414)),D2414-C2414,"")</f>
        <v/>
      </c>
      <c r="Z2414" s="23" t="str">
        <f aca="false">IF(B2414="","",IF(MATCH(B2414,$B$2:$B$12000,0)=ROW()-1,1,0))</f>
        <v/>
      </c>
    </row>
    <row r="2415" customFormat="false" ht="15" hidden="false" customHeight="false" outlineLevel="0" collapsed="false">
      <c r="V2415" s="23" t="str">
        <f aca="false">IF(ISNUMBER(C2415),YEAR(C2415),"")</f>
        <v/>
      </c>
      <c r="W2415" s="23" t="str">
        <f aca="false">IF(ISNUMBER(C2415),MONTH(C2415),"")</f>
        <v/>
      </c>
      <c r="X2415" s="23" t="str">
        <f aca="false">IF(T2415="","",IF(T2415=0,"No discount",IF(T2415&lt;=0.2,"Low (1-20%)",IF(T2415&lt;=0.4,"Medium (21-40%)","High (&gt;40%)"))))</f>
        <v/>
      </c>
      <c r="Y2415" s="23" t="str">
        <f aca="false">IF(AND(ISNUMBER(C2415),ISNUMBER(D2415)),D2415-C2415,"")</f>
        <v/>
      </c>
      <c r="Z2415" s="23" t="str">
        <f aca="false">IF(B2415="","",IF(MATCH(B2415,$B$2:$B$12000,0)=ROW()-1,1,0))</f>
        <v/>
      </c>
    </row>
    <row r="2416" customFormat="false" ht="15" hidden="false" customHeight="false" outlineLevel="0" collapsed="false">
      <c r="V2416" s="23" t="str">
        <f aca="false">IF(ISNUMBER(C2416),YEAR(C2416),"")</f>
        <v/>
      </c>
      <c r="W2416" s="23" t="str">
        <f aca="false">IF(ISNUMBER(C2416),MONTH(C2416),"")</f>
        <v/>
      </c>
      <c r="X2416" s="23" t="str">
        <f aca="false">IF(T2416="","",IF(T2416=0,"No discount",IF(T2416&lt;=0.2,"Low (1-20%)",IF(T2416&lt;=0.4,"Medium (21-40%)","High (&gt;40%)"))))</f>
        <v/>
      </c>
      <c r="Y2416" s="23" t="str">
        <f aca="false">IF(AND(ISNUMBER(C2416),ISNUMBER(D2416)),D2416-C2416,"")</f>
        <v/>
      </c>
      <c r="Z2416" s="23" t="str">
        <f aca="false">IF(B2416="","",IF(MATCH(B2416,$B$2:$B$12000,0)=ROW()-1,1,0))</f>
        <v/>
      </c>
    </row>
    <row r="2417" customFormat="false" ht="15" hidden="false" customHeight="false" outlineLevel="0" collapsed="false">
      <c r="V2417" s="23" t="str">
        <f aca="false">IF(ISNUMBER(C2417),YEAR(C2417),"")</f>
        <v/>
      </c>
      <c r="W2417" s="23" t="str">
        <f aca="false">IF(ISNUMBER(C2417),MONTH(C2417),"")</f>
        <v/>
      </c>
      <c r="X2417" s="23" t="str">
        <f aca="false">IF(T2417="","",IF(T2417=0,"No discount",IF(T2417&lt;=0.2,"Low (1-20%)",IF(T2417&lt;=0.4,"Medium (21-40%)","High (&gt;40%)"))))</f>
        <v/>
      </c>
      <c r="Y2417" s="23" t="str">
        <f aca="false">IF(AND(ISNUMBER(C2417),ISNUMBER(D2417)),D2417-C2417,"")</f>
        <v/>
      </c>
      <c r="Z2417" s="23" t="str">
        <f aca="false">IF(B2417="","",IF(MATCH(B2417,$B$2:$B$12000,0)=ROW()-1,1,0))</f>
        <v/>
      </c>
    </row>
    <row r="2418" customFormat="false" ht="15" hidden="false" customHeight="false" outlineLevel="0" collapsed="false">
      <c r="V2418" s="23" t="str">
        <f aca="false">IF(ISNUMBER(C2418),YEAR(C2418),"")</f>
        <v/>
      </c>
      <c r="W2418" s="23" t="str">
        <f aca="false">IF(ISNUMBER(C2418),MONTH(C2418),"")</f>
        <v/>
      </c>
      <c r="X2418" s="23" t="str">
        <f aca="false">IF(T2418="","",IF(T2418=0,"No discount",IF(T2418&lt;=0.2,"Low (1-20%)",IF(T2418&lt;=0.4,"Medium (21-40%)","High (&gt;40%)"))))</f>
        <v/>
      </c>
      <c r="Y2418" s="23" t="str">
        <f aca="false">IF(AND(ISNUMBER(C2418),ISNUMBER(D2418)),D2418-C2418,"")</f>
        <v/>
      </c>
      <c r="Z2418" s="23" t="str">
        <f aca="false">IF(B2418="","",IF(MATCH(B2418,$B$2:$B$12000,0)=ROW()-1,1,0))</f>
        <v/>
      </c>
    </row>
    <row r="2419" customFormat="false" ht="15" hidden="false" customHeight="false" outlineLevel="0" collapsed="false">
      <c r="V2419" s="23" t="str">
        <f aca="false">IF(ISNUMBER(C2419),YEAR(C2419),"")</f>
        <v/>
      </c>
      <c r="W2419" s="23" t="str">
        <f aca="false">IF(ISNUMBER(C2419),MONTH(C2419),"")</f>
        <v/>
      </c>
      <c r="X2419" s="23" t="str">
        <f aca="false">IF(T2419="","",IF(T2419=0,"No discount",IF(T2419&lt;=0.2,"Low (1-20%)",IF(T2419&lt;=0.4,"Medium (21-40%)","High (&gt;40%)"))))</f>
        <v/>
      </c>
      <c r="Y2419" s="23" t="str">
        <f aca="false">IF(AND(ISNUMBER(C2419),ISNUMBER(D2419)),D2419-C2419,"")</f>
        <v/>
      </c>
      <c r="Z2419" s="23" t="str">
        <f aca="false">IF(B2419="","",IF(MATCH(B2419,$B$2:$B$12000,0)=ROW()-1,1,0))</f>
        <v/>
      </c>
    </row>
    <row r="2420" customFormat="false" ht="15" hidden="false" customHeight="false" outlineLevel="0" collapsed="false">
      <c r="V2420" s="23" t="str">
        <f aca="false">IF(ISNUMBER(C2420),YEAR(C2420),"")</f>
        <v/>
      </c>
      <c r="W2420" s="23" t="str">
        <f aca="false">IF(ISNUMBER(C2420),MONTH(C2420),"")</f>
        <v/>
      </c>
      <c r="X2420" s="23" t="str">
        <f aca="false">IF(T2420="","",IF(T2420=0,"No discount",IF(T2420&lt;=0.2,"Low (1-20%)",IF(T2420&lt;=0.4,"Medium (21-40%)","High (&gt;40%)"))))</f>
        <v/>
      </c>
      <c r="Y2420" s="23" t="str">
        <f aca="false">IF(AND(ISNUMBER(C2420),ISNUMBER(D2420)),D2420-C2420,"")</f>
        <v/>
      </c>
      <c r="Z2420" s="23" t="str">
        <f aca="false">IF(B2420="","",IF(MATCH(B2420,$B$2:$B$12000,0)=ROW()-1,1,0))</f>
        <v/>
      </c>
    </row>
    <row r="2421" customFormat="false" ht="15" hidden="false" customHeight="false" outlineLevel="0" collapsed="false">
      <c r="V2421" s="23" t="str">
        <f aca="false">IF(ISNUMBER(C2421),YEAR(C2421),"")</f>
        <v/>
      </c>
      <c r="W2421" s="23" t="str">
        <f aca="false">IF(ISNUMBER(C2421),MONTH(C2421),"")</f>
        <v/>
      </c>
      <c r="X2421" s="23" t="str">
        <f aca="false">IF(T2421="","",IF(T2421=0,"No discount",IF(T2421&lt;=0.2,"Low (1-20%)",IF(T2421&lt;=0.4,"Medium (21-40%)","High (&gt;40%)"))))</f>
        <v/>
      </c>
      <c r="Y2421" s="23" t="str">
        <f aca="false">IF(AND(ISNUMBER(C2421),ISNUMBER(D2421)),D2421-C2421,"")</f>
        <v/>
      </c>
      <c r="Z2421" s="23" t="str">
        <f aca="false">IF(B2421="","",IF(MATCH(B2421,$B$2:$B$12000,0)=ROW()-1,1,0))</f>
        <v/>
      </c>
    </row>
    <row r="2422" customFormat="false" ht="15" hidden="false" customHeight="false" outlineLevel="0" collapsed="false">
      <c r="V2422" s="23" t="str">
        <f aca="false">IF(ISNUMBER(C2422),YEAR(C2422),"")</f>
        <v/>
      </c>
      <c r="W2422" s="23" t="str">
        <f aca="false">IF(ISNUMBER(C2422),MONTH(C2422),"")</f>
        <v/>
      </c>
      <c r="X2422" s="23" t="str">
        <f aca="false">IF(T2422="","",IF(T2422=0,"No discount",IF(T2422&lt;=0.2,"Low (1-20%)",IF(T2422&lt;=0.4,"Medium (21-40%)","High (&gt;40%)"))))</f>
        <v/>
      </c>
      <c r="Y2422" s="23" t="str">
        <f aca="false">IF(AND(ISNUMBER(C2422),ISNUMBER(D2422)),D2422-C2422,"")</f>
        <v/>
      </c>
      <c r="Z2422" s="23" t="str">
        <f aca="false">IF(B2422="","",IF(MATCH(B2422,$B$2:$B$12000,0)=ROW()-1,1,0))</f>
        <v/>
      </c>
    </row>
    <row r="2423" customFormat="false" ht="15" hidden="false" customHeight="false" outlineLevel="0" collapsed="false">
      <c r="V2423" s="23" t="str">
        <f aca="false">IF(ISNUMBER(C2423),YEAR(C2423),"")</f>
        <v/>
      </c>
      <c r="W2423" s="23" t="str">
        <f aca="false">IF(ISNUMBER(C2423),MONTH(C2423),"")</f>
        <v/>
      </c>
      <c r="X2423" s="23" t="str">
        <f aca="false">IF(T2423="","",IF(T2423=0,"No discount",IF(T2423&lt;=0.2,"Low (1-20%)",IF(T2423&lt;=0.4,"Medium (21-40%)","High (&gt;40%)"))))</f>
        <v/>
      </c>
      <c r="Y2423" s="23" t="str">
        <f aca="false">IF(AND(ISNUMBER(C2423),ISNUMBER(D2423)),D2423-C2423,"")</f>
        <v/>
      </c>
      <c r="Z2423" s="23" t="str">
        <f aca="false">IF(B2423="","",IF(MATCH(B2423,$B$2:$B$12000,0)=ROW()-1,1,0))</f>
        <v/>
      </c>
    </row>
    <row r="2424" customFormat="false" ht="15" hidden="false" customHeight="false" outlineLevel="0" collapsed="false">
      <c r="V2424" s="23" t="str">
        <f aca="false">IF(ISNUMBER(C2424),YEAR(C2424),"")</f>
        <v/>
      </c>
      <c r="W2424" s="23" t="str">
        <f aca="false">IF(ISNUMBER(C2424),MONTH(C2424),"")</f>
        <v/>
      </c>
      <c r="X2424" s="23" t="str">
        <f aca="false">IF(T2424="","",IF(T2424=0,"No discount",IF(T2424&lt;=0.2,"Low (1-20%)",IF(T2424&lt;=0.4,"Medium (21-40%)","High (&gt;40%)"))))</f>
        <v/>
      </c>
      <c r="Y2424" s="23" t="str">
        <f aca="false">IF(AND(ISNUMBER(C2424),ISNUMBER(D2424)),D2424-C2424,"")</f>
        <v/>
      </c>
      <c r="Z2424" s="23" t="str">
        <f aca="false">IF(B2424="","",IF(MATCH(B2424,$B$2:$B$12000,0)=ROW()-1,1,0))</f>
        <v/>
      </c>
    </row>
    <row r="2425" customFormat="false" ht="15" hidden="false" customHeight="false" outlineLevel="0" collapsed="false">
      <c r="V2425" s="23" t="str">
        <f aca="false">IF(ISNUMBER(C2425),YEAR(C2425),"")</f>
        <v/>
      </c>
      <c r="W2425" s="23" t="str">
        <f aca="false">IF(ISNUMBER(C2425),MONTH(C2425),"")</f>
        <v/>
      </c>
      <c r="X2425" s="23" t="str">
        <f aca="false">IF(T2425="","",IF(T2425=0,"No discount",IF(T2425&lt;=0.2,"Low (1-20%)",IF(T2425&lt;=0.4,"Medium (21-40%)","High (&gt;40%)"))))</f>
        <v/>
      </c>
      <c r="Y2425" s="23" t="str">
        <f aca="false">IF(AND(ISNUMBER(C2425),ISNUMBER(D2425)),D2425-C2425,"")</f>
        <v/>
      </c>
      <c r="Z2425" s="23" t="str">
        <f aca="false">IF(B2425="","",IF(MATCH(B2425,$B$2:$B$12000,0)=ROW()-1,1,0))</f>
        <v/>
      </c>
    </row>
    <row r="2426" customFormat="false" ht="15" hidden="false" customHeight="false" outlineLevel="0" collapsed="false">
      <c r="V2426" s="23" t="str">
        <f aca="false">IF(ISNUMBER(C2426),YEAR(C2426),"")</f>
        <v/>
      </c>
      <c r="W2426" s="23" t="str">
        <f aca="false">IF(ISNUMBER(C2426),MONTH(C2426),"")</f>
        <v/>
      </c>
      <c r="X2426" s="23" t="str">
        <f aca="false">IF(T2426="","",IF(T2426=0,"No discount",IF(T2426&lt;=0.2,"Low (1-20%)",IF(T2426&lt;=0.4,"Medium (21-40%)","High (&gt;40%)"))))</f>
        <v/>
      </c>
      <c r="Y2426" s="23" t="str">
        <f aca="false">IF(AND(ISNUMBER(C2426),ISNUMBER(D2426)),D2426-C2426,"")</f>
        <v/>
      </c>
      <c r="Z2426" s="23" t="str">
        <f aca="false">IF(B2426="","",IF(MATCH(B2426,$B$2:$B$12000,0)=ROW()-1,1,0))</f>
        <v/>
      </c>
    </row>
    <row r="2427" customFormat="false" ht="15" hidden="false" customHeight="false" outlineLevel="0" collapsed="false">
      <c r="V2427" s="23" t="str">
        <f aca="false">IF(ISNUMBER(C2427),YEAR(C2427),"")</f>
        <v/>
      </c>
      <c r="W2427" s="23" t="str">
        <f aca="false">IF(ISNUMBER(C2427),MONTH(C2427),"")</f>
        <v/>
      </c>
      <c r="X2427" s="23" t="str">
        <f aca="false">IF(T2427="","",IF(T2427=0,"No discount",IF(T2427&lt;=0.2,"Low (1-20%)",IF(T2427&lt;=0.4,"Medium (21-40%)","High (&gt;40%)"))))</f>
        <v/>
      </c>
      <c r="Y2427" s="23" t="str">
        <f aca="false">IF(AND(ISNUMBER(C2427),ISNUMBER(D2427)),D2427-C2427,"")</f>
        <v/>
      </c>
      <c r="Z2427" s="23" t="str">
        <f aca="false">IF(B2427="","",IF(MATCH(B2427,$B$2:$B$12000,0)=ROW()-1,1,0))</f>
        <v/>
      </c>
    </row>
    <row r="2428" customFormat="false" ht="15" hidden="false" customHeight="false" outlineLevel="0" collapsed="false">
      <c r="V2428" s="23" t="str">
        <f aca="false">IF(ISNUMBER(C2428),YEAR(C2428),"")</f>
        <v/>
      </c>
      <c r="W2428" s="23" t="str">
        <f aca="false">IF(ISNUMBER(C2428),MONTH(C2428),"")</f>
        <v/>
      </c>
      <c r="X2428" s="23" t="str">
        <f aca="false">IF(T2428="","",IF(T2428=0,"No discount",IF(T2428&lt;=0.2,"Low (1-20%)",IF(T2428&lt;=0.4,"Medium (21-40%)","High (&gt;40%)"))))</f>
        <v/>
      </c>
      <c r="Y2428" s="23" t="str">
        <f aca="false">IF(AND(ISNUMBER(C2428),ISNUMBER(D2428)),D2428-C2428,"")</f>
        <v/>
      </c>
      <c r="Z2428" s="23" t="str">
        <f aca="false">IF(B2428="","",IF(MATCH(B2428,$B$2:$B$12000,0)=ROW()-1,1,0))</f>
        <v/>
      </c>
    </row>
    <row r="2429" customFormat="false" ht="15" hidden="false" customHeight="false" outlineLevel="0" collapsed="false">
      <c r="V2429" s="23" t="str">
        <f aca="false">IF(ISNUMBER(C2429),YEAR(C2429),"")</f>
        <v/>
      </c>
      <c r="W2429" s="23" t="str">
        <f aca="false">IF(ISNUMBER(C2429),MONTH(C2429),"")</f>
        <v/>
      </c>
      <c r="X2429" s="23" t="str">
        <f aca="false">IF(T2429="","",IF(T2429=0,"No discount",IF(T2429&lt;=0.2,"Low (1-20%)",IF(T2429&lt;=0.4,"Medium (21-40%)","High (&gt;40%)"))))</f>
        <v/>
      </c>
      <c r="Y2429" s="23" t="str">
        <f aca="false">IF(AND(ISNUMBER(C2429),ISNUMBER(D2429)),D2429-C2429,"")</f>
        <v/>
      </c>
      <c r="Z2429" s="23" t="str">
        <f aca="false">IF(B2429="","",IF(MATCH(B2429,$B$2:$B$12000,0)=ROW()-1,1,0))</f>
        <v/>
      </c>
    </row>
    <row r="2430" customFormat="false" ht="15" hidden="false" customHeight="false" outlineLevel="0" collapsed="false">
      <c r="V2430" s="23" t="str">
        <f aca="false">IF(ISNUMBER(C2430),YEAR(C2430),"")</f>
        <v/>
      </c>
      <c r="W2430" s="23" t="str">
        <f aca="false">IF(ISNUMBER(C2430),MONTH(C2430),"")</f>
        <v/>
      </c>
      <c r="X2430" s="23" t="str">
        <f aca="false">IF(T2430="","",IF(T2430=0,"No discount",IF(T2430&lt;=0.2,"Low (1-20%)",IF(T2430&lt;=0.4,"Medium (21-40%)","High (&gt;40%)"))))</f>
        <v/>
      </c>
      <c r="Y2430" s="23" t="str">
        <f aca="false">IF(AND(ISNUMBER(C2430),ISNUMBER(D2430)),D2430-C2430,"")</f>
        <v/>
      </c>
      <c r="Z2430" s="23" t="str">
        <f aca="false">IF(B2430="","",IF(MATCH(B2430,$B$2:$B$12000,0)=ROW()-1,1,0))</f>
        <v/>
      </c>
    </row>
    <row r="2431" customFormat="false" ht="15" hidden="false" customHeight="false" outlineLevel="0" collapsed="false">
      <c r="V2431" s="23" t="str">
        <f aca="false">IF(ISNUMBER(C2431),YEAR(C2431),"")</f>
        <v/>
      </c>
      <c r="W2431" s="23" t="str">
        <f aca="false">IF(ISNUMBER(C2431),MONTH(C2431),"")</f>
        <v/>
      </c>
      <c r="X2431" s="23" t="str">
        <f aca="false">IF(T2431="","",IF(T2431=0,"No discount",IF(T2431&lt;=0.2,"Low (1-20%)",IF(T2431&lt;=0.4,"Medium (21-40%)","High (&gt;40%)"))))</f>
        <v/>
      </c>
      <c r="Y2431" s="23" t="str">
        <f aca="false">IF(AND(ISNUMBER(C2431),ISNUMBER(D2431)),D2431-C2431,"")</f>
        <v/>
      </c>
      <c r="Z2431" s="23" t="str">
        <f aca="false">IF(B2431="","",IF(MATCH(B2431,$B$2:$B$12000,0)=ROW()-1,1,0))</f>
        <v/>
      </c>
    </row>
    <row r="2432" customFormat="false" ht="15" hidden="false" customHeight="false" outlineLevel="0" collapsed="false">
      <c r="V2432" s="23" t="str">
        <f aca="false">IF(ISNUMBER(C2432),YEAR(C2432),"")</f>
        <v/>
      </c>
      <c r="W2432" s="23" t="str">
        <f aca="false">IF(ISNUMBER(C2432),MONTH(C2432),"")</f>
        <v/>
      </c>
      <c r="X2432" s="23" t="str">
        <f aca="false">IF(T2432="","",IF(T2432=0,"No discount",IF(T2432&lt;=0.2,"Low (1-20%)",IF(T2432&lt;=0.4,"Medium (21-40%)","High (&gt;40%)"))))</f>
        <v/>
      </c>
      <c r="Y2432" s="23" t="str">
        <f aca="false">IF(AND(ISNUMBER(C2432),ISNUMBER(D2432)),D2432-C2432,"")</f>
        <v/>
      </c>
      <c r="Z2432" s="23" t="str">
        <f aca="false">IF(B2432="","",IF(MATCH(B2432,$B$2:$B$12000,0)=ROW()-1,1,0))</f>
        <v/>
      </c>
    </row>
    <row r="2433" customFormat="false" ht="15" hidden="false" customHeight="false" outlineLevel="0" collapsed="false">
      <c r="V2433" s="23" t="str">
        <f aca="false">IF(ISNUMBER(C2433),YEAR(C2433),"")</f>
        <v/>
      </c>
      <c r="W2433" s="23" t="str">
        <f aca="false">IF(ISNUMBER(C2433),MONTH(C2433),"")</f>
        <v/>
      </c>
      <c r="X2433" s="23" t="str">
        <f aca="false">IF(T2433="","",IF(T2433=0,"No discount",IF(T2433&lt;=0.2,"Low (1-20%)",IF(T2433&lt;=0.4,"Medium (21-40%)","High (&gt;40%)"))))</f>
        <v/>
      </c>
      <c r="Y2433" s="23" t="str">
        <f aca="false">IF(AND(ISNUMBER(C2433),ISNUMBER(D2433)),D2433-C2433,"")</f>
        <v/>
      </c>
      <c r="Z2433" s="23" t="str">
        <f aca="false">IF(B2433="","",IF(MATCH(B2433,$B$2:$B$12000,0)=ROW()-1,1,0))</f>
        <v/>
      </c>
    </row>
    <row r="2434" customFormat="false" ht="15" hidden="false" customHeight="false" outlineLevel="0" collapsed="false">
      <c r="V2434" s="23" t="str">
        <f aca="false">IF(ISNUMBER(C2434),YEAR(C2434),"")</f>
        <v/>
      </c>
      <c r="W2434" s="23" t="str">
        <f aca="false">IF(ISNUMBER(C2434),MONTH(C2434),"")</f>
        <v/>
      </c>
      <c r="X2434" s="23" t="str">
        <f aca="false">IF(T2434="","",IF(T2434=0,"No discount",IF(T2434&lt;=0.2,"Low (1-20%)",IF(T2434&lt;=0.4,"Medium (21-40%)","High (&gt;40%)"))))</f>
        <v/>
      </c>
      <c r="Y2434" s="23" t="str">
        <f aca="false">IF(AND(ISNUMBER(C2434),ISNUMBER(D2434)),D2434-C2434,"")</f>
        <v/>
      </c>
      <c r="Z2434" s="23" t="str">
        <f aca="false">IF(B2434="","",IF(MATCH(B2434,$B$2:$B$12000,0)=ROW()-1,1,0))</f>
        <v/>
      </c>
    </row>
    <row r="2435" customFormat="false" ht="15" hidden="false" customHeight="false" outlineLevel="0" collapsed="false">
      <c r="V2435" s="23" t="str">
        <f aca="false">IF(ISNUMBER(C2435),YEAR(C2435),"")</f>
        <v/>
      </c>
      <c r="W2435" s="23" t="str">
        <f aca="false">IF(ISNUMBER(C2435),MONTH(C2435),"")</f>
        <v/>
      </c>
      <c r="X2435" s="23" t="str">
        <f aca="false">IF(T2435="","",IF(T2435=0,"No discount",IF(T2435&lt;=0.2,"Low (1-20%)",IF(T2435&lt;=0.4,"Medium (21-40%)","High (&gt;40%)"))))</f>
        <v/>
      </c>
      <c r="Y2435" s="23" t="str">
        <f aca="false">IF(AND(ISNUMBER(C2435),ISNUMBER(D2435)),D2435-C2435,"")</f>
        <v/>
      </c>
      <c r="Z2435" s="23" t="str">
        <f aca="false">IF(B2435="","",IF(MATCH(B2435,$B$2:$B$12000,0)=ROW()-1,1,0))</f>
        <v/>
      </c>
    </row>
    <row r="2436" customFormat="false" ht="15" hidden="false" customHeight="false" outlineLevel="0" collapsed="false">
      <c r="V2436" s="23" t="str">
        <f aca="false">IF(ISNUMBER(C2436),YEAR(C2436),"")</f>
        <v/>
      </c>
      <c r="W2436" s="23" t="str">
        <f aca="false">IF(ISNUMBER(C2436),MONTH(C2436),"")</f>
        <v/>
      </c>
      <c r="X2436" s="23" t="str">
        <f aca="false">IF(T2436="","",IF(T2436=0,"No discount",IF(T2436&lt;=0.2,"Low (1-20%)",IF(T2436&lt;=0.4,"Medium (21-40%)","High (&gt;40%)"))))</f>
        <v/>
      </c>
      <c r="Y2436" s="23" t="str">
        <f aca="false">IF(AND(ISNUMBER(C2436),ISNUMBER(D2436)),D2436-C2436,"")</f>
        <v/>
      </c>
      <c r="Z2436" s="23" t="str">
        <f aca="false">IF(B2436="","",IF(MATCH(B2436,$B$2:$B$12000,0)=ROW()-1,1,0))</f>
        <v/>
      </c>
    </row>
    <row r="2437" customFormat="false" ht="15" hidden="false" customHeight="false" outlineLevel="0" collapsed="false">
      <c r="V2437" s="23" t="str">
        <f aca="false">IF(ISNUMBER(C2437),YEAR(C2437),"")</f>
        <v/>
      </c>
      <c r="W2437" s="23" t="str">
        <f aca="false">IF(ISNUMBER(C2437),MONTH(C2437),"")</f>
        <v/>
      </c>
      <c r="X2437" s="23" t="str">
        <f aca="false">IF(T2437="","",IF(T2437=0,"No discount",IF(T2437&lt;=0.2,"Low (1-20%)",IF(T2437&lt;=0.4,"Medium (21-40%)","High (&gt;40%)"))))</f>
        <v/>
      </c>
      <c r="Y2437" s="23" t="str">
        <f aca="false">IF(AND(ISNUMBER(C2437),ISNUMBER(D2437)),D2437-C2437,"")</f>
        <v/>
      </c>
      <c r="Z2437" s="23" t="str">
        <f aca="false">IF(B2437="","",IF(MATCH(B2437,$B$2:$B$12000,0)=ROW()-1,1,0))</f>
        <v/>
      </c>
    </row>
    <row r="2438" customFormat="false" ht="15" hidden="false" customHeight="false" outlineLevel="0" collapsed="false">
      <c r="V2438" s="23" t="str">
        <f aca="false">IF(ISNUMBER(C2438),YEAR(C2438),"")</f>
        <v/>
      </c>
      <c r="W2438" s="23" t="str">
        <f aca="false">IF(ISNUMBER(C2438),MONTH(C2438),"")</f>
        <v/>
      </c>
      <c r="X2438" s="23" t="str">
        <f aca="false">IF(T2438="","",IF(T2438=0,"No discount",IF(T2438&lt;=0.2,"Low (1-20%)",IF(T2438&lt;=0.4,"Medium (21-40%)","High (&gt;40%)"))))</f>
        <v/>
      </c>
      <c r="Y2438" s="23" t="str">
        <f aca="false">IF(AND(ISNUMBER(C2438),ISNUMBER(D2438)),D2438-C2438,"")</f>
        <v/>
      </c>
      <c r="Z2438" s="23" t="str">
        <f aca="false">IF(B2438="","",IF(MATCH(B2438,$B$2:$B$12000,0)=ROW()-1,1,0))</f>
        <v/>
      </c>
    </row>
    <row r="2439" customFormat="false" ht="15" hidden="false" customHeight="false" outlineLevel="0" collapsed="false">
      <c r="V2439" s="23" t="str">
        <f aca="false">IF(ISNUMBER(C2439),YEAR(C2439),"")</f>
        <v/>
      </c>
      <c r="W2439" s="23" t="str">
        <f aca="false">IF(ISNUMBER(C2439),MONTH(C2439),"")</f>
        <v/>
      </c>
      <c r="X2439" s="23" t="str">
        <f aca="false">IF(T2439="","",IF(T2439=0,"No discount",IF(T2439&lt;=0.2,"Low (1-20%)",IF(T2439&lt;=0.4,"Medium (21-40%)","High (&gt;40%)"))))</f>
        <v/>
      </c>
      <c r="Y2439" s="23" t="str">
        <f aca="false">IF(AND(ISNUMBER(C2439),ISNUMBER(D2439)),D2439-C2439,"")</f>
        <v/>
      </c>
      <c r="Z2439" s="23" t="str">
        <f aca="false">IF(B2439="","",IF(MATCH(B2439,$B$2:$B$12000,0)=ROW()-1,1,0))</f>
        <v/>
      </c>
    </row>
    <row r="2440" customFormat="false" ht="15" hidden="false" customHeight="false" outlineLevel="0" collapsed="false">
      <c r="V2440" s="23" t="str">
        <f aca="false">IF(ISNUMBER(C2440),YEAR(C2440),"")</f>
        <v/>
      </c>
      <c r="W2440" s="23" t="str">
        <f aca="false">IF(ISNUMBER(C2440),MONTH(C2440),"")</f>
        <v/>
      </c>
      <c r="X2440" s="23" t="str">
        <f aca="false">IF(T2440="","",IF(T2440=0,"No discount",IF(T2440&lt;=0.2,"Low (1-20%)",IF(T2440&lt;=0.4,"Medium (21-40%)","High (&gt;40%)"))))</f>
        <v/>
      </c>
      <c r="Y2440" s="23" t="str">
        <f aca="false">IF(AND(ISNUMBER(C2440),ISNUMBER(D2440)),D2440-C2440,"")</f>
        <v/>
      </c>
      <c r="Z2440" s="23" t="str">
        <f aca="false">IF(B2440="","",IF(MATCH(B2440,$B$2:$B$12000,0)=ROW()-1,1,0))</f>
        <v/>
      </c>
    </row>
    <row r="2441" customFormat="false" ht="15" hidden="false" customHeight="false" outlineLevel="0" collapsed="false">
      <c r="V2441" s="23" t="str">
        <f aca="false">IF(ISNUMBER(C2441),YEAR(C2441),"")</f>
        <v/>
      </c>
      <c r="W2441" s="23" t="str">
        <f aca="false">IF(ISNUMBER(C2441),MONTH(C2441),"")</f>
        <v/>
      </c>
      <c r="X2441" s="23" t="str">
        <f aca="false">IF(T2441="","",IF(T2441=0,"No discount",IF(T2441&lt;=0.2,"Low (1-20%)",IF(T2441&lt;=0.4,"Medium (21-40%)","High (&gt;40%)"))))</f>
        <v/>
      </c>
      <c r="Y2441" s="23" t="str">
        <f aca="false">IF(AND(ISNUMBER(C2441),ISNUMBER(D2441)),D2441-C2441,"")</f>
        <v/>
      </c>
      <c r="Z2441" s="23" t="str">
        <f aca="false">IF(B2441="","",IF(MATCH(B2441,$B$2:$B$12000,0)=ROW()-1,1,0))</f>
        <v/>
      </c>
    </row>
    <row r="2442" customFormat="false" ht="15" hidden="false" customHeight="false" outlineLevel="0" collapsed="false">
      <c r="V2442" s="23" t="str">
        <f aca="false">IF(ISNUMBER(C2442),YEAR(C2442),"")</f>
        <v/>
      </c>
      <c r="W2442" s="23" t="str">
        <f aca="false">IF(ISNUMBER(C2442),MONTH(C2442),"")</f>
        <v/>
      </c>
      <c r="X2442" s="23" t="str">
        <f aca="false">IF(T2442="","",IF(T2442=0,"No discount",IF(T2442&lt;=0.2,"Low (1-20%)",IF(T2442&lt;=0.4,"Medium (21-40%)","High (&gt;40%)"))))</f>
        <v/>
      </c>
      <c r="Y2442" s="23" t="str">
        <f aca="false">IF(AND(ISNUMBER(C2442),ISNUMBER(D2442)),D2442-C2442,"")</f>
        <v/>
      </c>
      <c r="Z2442" s="23" t="str">
        <f aca="false">IF(B2442="","",IF(MATCH(B2442,$B$2:$B$12000,0)=ROW()-1,1,0))</f>
        <v/>
      </c>
    </row>
    <row r="2443" customFormat="false" ht="15" hidden="false" customHeight="false" outlineLevel="0" collapsed="false">
      <c r="V2443" s="23" t="str">
        <f aca="false">IF(ISNUMBER(C2443),YEAR(C2443),"")</f>
        <v/>
      </c>
      <c r="W2443" s="23" t="str">
        <f aca="false">IF(ISNUMBER(C2443),MONTH(C2443),"")</f>
        <v/>
      </c>
      <c r="X2443" s="23" t="str">
        <f aca="false">IF(T2443="","",IF(T2443=0,"No discount",IF(T2443&lt;=0.2,"Low (1-20%)",IF(T2443&lt;=0.4,"Medium (21-40%)","High (&gt;40%)"))))</f>
        <v/>
      </c>
      <c r="Y2443" s="23" t="str">
        <f aca="false">IF(AND(ISNUMBER(C2443),ISNUMBER(D2443)),D2443-C2443,"")</f>
        <v/>
      </c>
      <c r="Z2443" s="23" t="str">
        <f aca="false">IF(B2443="","",IF(MATCH(B2443,$B$2:$B$12000,0)=ROW()-1,1,0))</f>
        <v/>
      </c>
    </row>
    <row r="2444" customFormat="false" ht="15" hidden="false" customHeight="false" outlineLevel="0" collapsed="false">
      <c r="V2444" s="23" t="str">
        <f aca="false">IF(ISNUMBER(C2444),YEAR(C2444),"")</f>
        <v/>
      </c>
      <c r="W2444" s="23" t="str">
        <f aca="false">IF(ISNUMBER(C2444),MONTH(C2444),"")</f>
        <v/>
      </c>
      <c r="X2444" s="23" t="str">
        <f aca="false">IF(T2444="","",IF(T2444=0,"No discount",IF(T2444&lt;=0.2,"Low (1-20%)",IF(T2444&lt;=0.4,"Medium (21-40%)","High (&gt;40%)"))))</f>
        <v/>
      </c>
      <c r="Y2444" s="23" t="str">
        <f aca="false">IF(AND(ISNUMBER(C2444),ISNUMBER(D2444)),D2444-C2444,"")</f>
        <v/>
      </c>
      <c r="Z2444" s="23" t="str">
        <f aca="false">IF(B2444="","",IF(MATCH(B2444,$B$2:$B$12000,0)=ROW()-1,1,0))</f>
        <v/>
      </c>
    </row>
    <row r="2445" customFormat="false" ht="15" hidden="false" customHeight="false" outlineLevel="0" collapsed="false">
      <c r="V2445" s="23" t="str">
        <f aca="false">IF(ISNUMBER(C2445),YEAR(C2445),"")</f>
        <v/>
      </c>
      <c r="W2445" s="23" t="str">
        <f aca="false">IF(ISNUMBER(C2445),MONTH(C2445),"")</f>
        <v/>
      </c>
      <c r="X2445" s="23" t="str">
        <f aca="false">IF(T2445="","",IF(T2445=0,"No discount",IF(T2445&lt;=0.2,"Low (1-20%)",IF(T2445&lt;=0.4,"Medium (21-40%)","High (&gt;40%)"))))</f>
        <v/>
      </c>
      <c r="Y2445" s="23" t="str">
        <f aca="false">IF(AND(ISNUMBER(C2445),ISNUMBER(D2445)),D2445-C2445,"")</f>
        <v/>
      </c>
      <c r="Z2445" s="23" t="str">
        <f aca="false">IF(B2445="","",IF(MATCH(B2445,$B$2:$B$12000,0)=ROW()-1,1,0))</f>
        <v/>
      </c>
    </row>
    <row r="2446" customFormat="false" ht="15" hidden="false" customHeight="false" outlineLevel="0" collapsed="false">
      <c r="V2446" s="23" t="str">
        <f aca="false">IF(ISNUMBER(C2446),YEAR(C2446),"")</f>
        <v/>
      </c>
      <c r="W2446" s="23" t="str">
        <f aca="false">IF(ISNUMBER(C2446),MONTH(C2446),"")</f>
        <v/>
      </c>
      <c r="X2446" s="23" t="str">
        <f aca="false">IF(T2446="","",IF(T2446=0,"No discount",IF(T2446&lt;=0.2,"Low (1-20%)",IF(T2446&lt;=0.4,"Medium (21-40%)","High (&gt;40%)"))))</f>
        <v/>
      </c>
      <c r="Y2446" s="23" t="str">
        <f aca="false">IF(AND(ISNUMBER(C2446),ISNUMBER(D2446)),D2446-C2446,"")</f>
        <v/>
      </c>
      <c r="Z2446" s="23" t="str">
        <f aca="false">IF(B2446="","",IF(MATCH(B2446,$B$2:$B$12000,0)=ROW()-1,1,0))</f>
        <v/>
      </c>
    </row>
    <row r="2447" customFormat="false" ht="15" hidden="false" customHeight="false" outlineLevel="0" collapsed="false">
      <c r="V2447" s="23" t="str">
        <f aca="false">IF(ISNUMBER(C2447),YEAR(C2447),"")</f>
        <v/>
      </c>
      <c r="W2447" s="23" t="str">
        <f aca="false">IF(ISNUMBER(C2447),MONTH(C2447),"")</f>
        <v/>
      </c>
      <c r="X2447" s="23" t="str">
        <f aca="false">IF(T2447="","",IF(T2447=0,"No discount",IF(T2447&lt;=0.2,"Low (1-20%)",IF(T2447&lt;=0.4,"Medium (21-40%)","High (&gt;40%)"))))</f>
        <v/>
      </c>
      <c r="Y2447" s="23" t="str">
        <f aca="false">IF(AND(ISNUMBER(C2447),ISNUMBER(D2447)),D2447-C2447,"")</f>
        <v/>
      </c>
      <c r="Z2447" s="23" t="str">
        <f aca="false">IF(B2447="","",IF(MATCH(B2447,$B$2:$B$12000,0)=ROW()-1,1,0))</f>
        <v/>
      </c>
    </row>
    <row r="2448" customFormat="false" ht="15" hidden="false" customHeight="false" outlineLevel="0" collapsed="false">
      <c r="V2448" s="23" t="str">
        <f aca="false">IF(ISNUMBER(C2448),YEAR(C2448),"")</f>
        <v/>
      </c>
      <c r="W2448" s="23" t="str">
        <f aca="false">IF(ISNUMBER(C2448),MONTH(C2448),"")</f>
        <v/>
      </c>
      <c r="X2448" s="23" t="str">
        <f aca="false">IF(T2448="","",IF(T2448=0,"No discount",IF(T2448&lt;=0.2,"Low (1-20%)",IF(T2448&lt;=0.4,"Medium (21-40%)","High (&gt;40%)"))))</f>
        <v/>
      </c>
      <c r="Y2448" s="23" t="str">
        <f aca="false">IF(AND(ISNUMBER(C2448),ISNUMBER(D2448)),D2448-C2448,"")</f>
        <v/>
      </c>
      <c r="Z2448" s="23" t="str">
        <f aca="false">IF(B2448="","",IF(MATCH(B2448,$B$2:$B$12000,0)=ROW()-1,1,0))</f>
        <v/>
      </c>
    </row>
    <row r="2449" customFormat="false" ht="15" hidden="false" customHeight="false" outlineLevel="0" collapsed="false">
      <c r="V2449" s="23" t="str">
        <f aca="false">IF(ISNUMBER(C2449),YEAR(C2449),"")</f>
        <v/>
      </c>
      <c r="W2449" s="23" t="str">
        <f aca="false">IF(ISNUMBER(C2449),MONTH(C2449),"")</f>
        <v/>
      </c>
      <c r="X2449" s="23" t="str">
        <f aca="false">IF(T2449="","",IF(T2449=0,"No discount",IF(T2449&lt;=0.2,"Low (1-20%)",IF(T2449&lt;=0.4,"Medium (21-40%)","High (&gt;40%)"))))</f>
        <v/>
      </c>
      <c r="Y2449" s="23" t="str">
        <f aca="false">IF(AND(ISNUMBER(C2449),ISNUMBER(D2449)),D2449-C2449,"")</f>
        <v/>
      </c>
      <c r="Z2449" s="23" t="str">
        <f aca="false">IF(B2449="","",IF(MATCH(B2449,$B$2:$B$12000,0)=ROW()-1,1,0))</f>
        <v/>
      </c>
    </row>
    <row r="2450" customFormat="false" ht="15" hidden="false" customHeight="false" outlineLevel="0" collapsed="false">
      <c r="V2450" s="23" t="str">
        <f aca="false">IF(ISNUMBER(C2450),YEAR(C2450),"")</f>
        <v/>
      </c>
      <c r="W2450" s="23" t="str">
        <f aca="false">IF(ISNUMBER(C2450),MONTH(C2450),"")</f>
        <v/>
      </c>
      <c r="X2450" s="23" t="str">
        <f aca="false">IF(T2450="","",IF(T2450=0,"No discount",IF(T2450&lt;=0.2,"Low (1-20%)",IF(T2450&lt;=0.4,"Medium (21-40%)","High (&gt;40%)"))))</f>
        <v/>
      </c>
      <c r="Y2450" s="23" t="str">
        <f aca="false">IF(AND(ISNUMBER(C2450),ISNUMBER(D2450)),D2450-C2450,"")</f>
        <v/>
      </c>
      <c r="Z2450" s="23" t="str">
        <f aca="false">IF(B2450="","",IF(MATCH(B2450,$B$2:$B$12000,0)=ROW()-1,1,0))</f>
        <v/>
      </c>
    </row>
    <row r="2451" customFormat="false" ht="15" hidden="false" customHeight="false" outlineLevel="0" collapsed="false">
      <c r="V2451" s="23" t="str">
        <f aca="false">IF(ISNUMBER(C2451),YEAR(C2451),"")</f>
        <v/>
      </c>
      <c r="W2451" s="23" t="str">
        <f aca="false">IF(ISNUMBER(C2451),MONTH(C2451),"")</f>
        <v/>
      </c>
      <c r="X2451" s="23" t="str">
        <f aca="false">IF(T2451="","",IF(T2451=0,"No discount",IF(T2451&lt;=0.2,"Low (1-20%)",IF(T2451&lt;=0.4,"Medium (21-40%)","High (&gt;40%)"))))</f>
        <v/>
      </c>
      <c r="Y2451" s="23" t="str">
        <f aca="false">IF(AND(ISNUMBER(C2451),ISNUMBER(D2451)),D2451-C2451,"")</f>
        <v/>
      </c>
      <c r="Z2451" s="23" t="str">
        <f aca="false">IF(B2451="","",IF(MATCH(B2451,$B$2:$B$12000,0)=ROW()-1,1,0))</f>
        <v/>
      </c>
    </row>
    <row r="2452" customFormat="false" ht="15" hidden="false" customHeight="false" outlineLevel="0" collapsed="false">
      <c r="V2452" s="23" t="str">
        <f aca="false">IF(ISNUMBER(C2452),YEAR(C2452),"")</f>
        <v/>
      </c>
      <c r="W2452" s="23" t="str">
        <f aca="false">IF(ISNUMBER(C2452),MONTH(C2452),"")</f>
        <v/>
      </c>
      <c r="X2452" s="23" t="str">
        <f aca="false">IF(T2452="","",IF(T2452=0,"No discount",IF(T2452&lt;=0.2,"Low (1-20%)",IF(T2452&lt;=0.4,"Medium (21-40%)","High (&gt;40%)"))))</f>
        <v/>
      </c>
      <c r="Y2452" s="23" t="str">
        <f aca="false">IF(AND(ISNUMBER(C2452),ISNUMBER(D2452)),D2452-C2452,"")</f>
        <v/>
      </c>
      <c r="Z2452" s="23" t="str">
        <f aca="false">IF(B2452="","",IF(MATCH(B2452,$B$2:$B$12000,0)=ROW()-1,1,0))</f>
        <v/>
      </c>
    </row>
    <row r="2453" customFormat="false" ht="15" hidden="false" customHeight="false" outlineLevel="0" collapsed="false">
      <c r="V2453" s="23" t="str">
        <f aca="false">IF(ISNUMBER(C2453),YEAR(C2453),"")</f>
        <v/>
      </c>
      <c r="W2453" s="23" t="str">
        <f aca="false">IF(ISNUMBER(C2453),MONTH(C2453),"")</f>
        <v/>
      </c>
      <c r="X2453" s="23" t="str">
        <f aca="false">IF(T2453="","",IF(T2453=0,"No discount",IF(T2453&lt;=0.2,"Low (1-20%)",IF(T2453&lt;=0.4,"Medium (21-40%)","High (&gt;40%)"))))</f>
        <v/>
      </c>
      <c r="Y2453" s="23" t="str">
        <f aca="false">IF(AND(ISNUMBER(C2453),ISNUMBER(D2453)),D2453-C2453,"")</f>
        <v/>
      </c>
      <c r="Z2453" s="23" t="str">
        <f aca="false">IF(B2453="","",IF(MATCH(B2453,$B$2:$B$12000,0)=ROW()-1,1,0))</f>
        <v/>
      </c>
    </row>
    <row r="2454" customFormat="false" ht="15" hidden="false" customHeight="false" outlineLevel="0" collapsed="false">
      <c r="V2454" s="23" t="str">
        <f aca="false">IF(ISNUMBER(C2454),YEAR(C2454),"")</f>
        <v/>
      </c>
      <c r="W2454" s="23" t="str">
        <f aca="false">IF(ISNUMBER(C2454),MONTH(C2454),"")</f>
        <v/>
      </c>
      <c r="X2454" s="23" t="str">
        <f aca="false">IF(T2454="","",IF(T2454=0,"No discount",IF(T2454&lt;=0.2,"Low (1-20%)",IF(T2454&lt;=0.4,"Medium (21-40%)","High (&gt;40%)"))))</f>
        <v/>
      </c>
      <c r="Y2454" s="23" t="str">
        <f aca="false">IF(AND(ISNUMBER(C2454),ISNUMBER(D2454)),D2454-C2454,"")</f>
        <v/>
      </c>
      <c r="Z2454" s="23" t="str">
        <f aca="false">IF(B2454="","",IF(MATCH(B2454,$B$2:$B$12000,0)=ROW()-1,1,0))</f>
        <v/>
      </c>
    </row>
    <row r="2455" customFormat="false" ht="15" hidden="false" customHeight="false" outlineLevel="0" collapsed="false">
      <c r="V2455" s="23" t="str">
        <f aca="false">IF(ISNUMBER(C2455),YEAR(C2455),"")</f>
        <v/>
      </c>
      <c r="W2455" s="23" t="str">
        <f aca="false">IF(ISNUMBER(C2455),MONTH(C2455),"")</f>
        <v/>
      </c>
      <c r="X2455" s="23" t="str">
        <f aca="false">IF(T2455="","",IF(T2455=0,"No discount",IF(T2455&lt;=0.2,"Low (1-20%)",IF(T2455&lt;=0.4,"Medium (21-40%)","High (&gt;40%)"))))</f>
        <v/>
      </c>
      <c r="Y2455" s="23" t="str">
        <f aca="false">IF(AND(ISNUMBER(C2455),ISNUMBER(D2455)),D2455-C2455,"")</f>
        <v/>
      </c>
      <c r="Z2455" s="23" t="str">
        <f aca="false">IF(B2455="","",IF(MATCH(B2455,$B$2:$B$12000,0)=ROW()-1,1,0))</f>
        <v/>
      </c>
    </row>
    <row r="2456" customFormat="false" ht="15" hidden="false" customHeight="false" outlineLevel="0" collapsed="false">
      <c r="V2456" s="23" t="str">
        <f aca="false">IF(ISNUMBER(C2456),YEAR(C2456),"")</f>
        <v/>
      </c>
      <c r="W2456" s="23" t="str">
        <f aca="false">IF(ISNUMBER(C2456),MONTH(C2456),"")</f>
        <v/>
      </c>
      <c r="X2456" s="23" t="str">
        <f aca="false">IF(T2456="","",IF(T2456=0,"No discount",IF(T2456&lt;=0.2,"Low (1-20%)",IF(T2456&lt;=0.4,"Medium (21-40%)","High (&gt;40%)"))))</f>
        <v/>
      </c>
      <c r="Y2456" s="23" t="str">
        <f aca="false">IF(AND(ISNUMBER(C2456),ISNUMBER(D2456)),D2456-C2456,"")</f>
        <v/>
      </c>
      <c r="Z2456" s="23" t="str">
        <f aca="false">IF(B2456="","",IF(MATCH(B2456,$B$2:$B$12000,0)=ROW()-1,1,0))</f>
        <v/>
      </c>
    </row>
    <row r="2457" customFormat="false" ht="15" hidden="false" customHeight="false" outlineLevel="0" collapsed="false">
      <c r="V2457" s="23" t="str">
        <f aca="false">IF(ISNUMBER(C2457),YEAR(C2457),"")</f>
        <v/>
      </c>
      <c r="W2457" s="23" t="str">
        <f aca="false">IF(ISNUMBER(C2457),MONTH(C2457),"")</f>
        <v/>
      </c>
      <c r="X2457" s="23" t="str">
        <f aca="false">IF(T2457="","",IF(T2457=0,"No discount",IF(T2457&lt;=0.2,"Low (1-20%)",IF(T2457&lt;=0.4,"Medium (21-40%)","High (&gt;40%)"))))</f>
        <v/>
      </c>
      <c r="Y2457" s="23" t="str">
        <f aca="false">IF(AND(ISNUMBER(C2457),ISNUMBER(D2457)),D2457-C2457,"")</f>
        <v/>
      </c>
      <c r="Z2457" s="23" t="str">
        <f aca="false">IF(B2457="","",IF(MATCH(B2457,$B$2:$B$12000,0)=ROW()-1,1,0))</f>
        <v/>
      </c>
    </row>
    <row r="2458" customFormat="false" ht="15" hidden="false" customHeight="false" outlineLevel="0" collapsed="false">
      <c r="V2458" s="23" t="str">
        <f aca="false">IF(ISNUMBER(C2458),YEAR(C2458),"")</f>
        <v/>
      </c>
      <c r="W2458" s="23" t="str">
        <f aca="false">IF(ISNUMBER(C2458),MONTH(C2458),"")</f>
        <v/>
      </c>
      <c r="X2458" s="23" t="str">
        <f aca="false">IF(T2458="","",IF(T2458=0,"No discount",IF(T2458&lt;=0.2,"Low (1-20%)",IF(T2458&lt;=0.4,"Medium (21-40%)","High (&gt;40%)"))))</f>
        <v/>
      </c>
      <c r="Y2458" s="23" t="str">
        <f aca="false">IF(AND(ISNUMBER(C2458),ISNUMBER(D2458)),D2458-C2458,"")</f>
        <v/>
      </c>
      <c r="Z2458" s="23" t="str">
        <f aca="false">IF(B2458="","",IF(MATCH(B2458,$B$2:$B$12000,0)=ROW()-1,1,0))</f>
        <v/>
      </c>
    </row>
    <row r="2459" customFormat="false" ht="15" hidden="false" customHeight="false" outlineLevel="0" collapsed="false">
      <c r="V2459" s="23" t="str">
        <f aca="false">IF(ISNUMBER(C2459),YEAR(C2459),"")</f>
        <v/>
      </c>
      <c r="W2459" s="23" t="str">
        <f aca="false">IF(ISNUMBER(C2459),MONTH(C2459),"")</f>
        <v/>
      </c>
      <c r="X2459" s="23" t="str">
        <f aca="false">IF(T2459="","",IF(T2459=0,"No discount",IF(T2459&lt;=0.2,"Low (1-20%)",IF(T2459&lt;=0.4,"Medium (21-40%)","High (&gt;40%)"))))</f>
        <v/>
      </c>
      <c r="Y2459" s="23" t="str">
        <f aca="false">IF(AND(ISNUMBER(C2459),ISNUMBER(D2459)),D2459-C2459,"")</f>
        <v/>
      </c>
      <c r="Z2459" s="23" t="str">
        <f aca="false">IF(B2459="","",IF(MATCH(B2459,$B$2:$B$12000,0)=ROW()-1,1,0))</f>
        <v/>
      </c>
    </row>
    <row r="2460" customFormat="false" ht="15" hidden="false" customHeight="false" outlineLevel="0" collapsed="false">
      <c r="V2460" s="23" t="str">
        <f aca="false">IF(ISNUMBER(C2460),YEAR(C2460),"")</f>
        <v/>
      </c>
      <c r="W2460" s="23" t="str">
        <f aca="false">IF(ISNUMBER(C2460),MONTH(C2460),"")</f>
        <v/>
      </c>
      <c r="X2460" s="23" t="str">
        <f aca="false">IF(T2460="","",IF(T2460=0,"No discount",IF(T2460&lt;=0.2,"Low (1-20%)",IF(T2460&lt;=0.4,"Medium (21-40%)","High (&gt;40%)"))))</f>
        <v/>
      </c>
      <c r="Y2460" s="23" t="str">
        <f aca="false">IF(AND(ISNUMBER(C2460),ISNUMBER(D2460)),D2460-C2460,"")</f>
        <v/>
      </c>
      <c r="Z2460" s="23" t="str">
        <f aca="false">IF(B2460="","",IF(MATCH(B2460,$B$2:$B$12000,0)=ROW()-1,1,0))</f>
        <v/>
      </c>
    </row>
    <row r="2461" customFormat="false" ht="15" hidden="false" customHeight="false" outlineLevel="0" collapsed="false">
      <c r="V2461" s="23" t="str">
        <f aca="false">IF(ISNUMBER(C2461),YEAR(C2461),"")</f>
        <v/>
      </c>
      <c r="W2461" s="23" t="str">
        <f aca="false">IF(ISNUMBER(C2461),MONTH(C2461),"")</f>
        <v/>
      </c>
      <c r="X2461" s="23" t="str">
        <f aca="false">IF(T2461="","",IF(T2461=0,"No discount",IF(T2461&lt;=0.2,"Low (1-20%)",IF(T2461&lt;=0.4,"Medium (21-40%)","High (&gt;40%)"))))</f>
        <v/>
      </c>
      <c r="Y2461" s="23" t="str">
        <f aca="false">IF(AND(ISNUMBER(C2461),ISNUMBER(D2461)),D2461-C2461,"")</f>
        <v/>
      </c>
      <c r="Z2461" s="23" t="str">
        <f aca="false">IF(B2461="","",IF(MATCH(B2461,$B$2:$B$12000,0)=ROW()-1,1,0))</f>
        <v/>
      </c>
    </row>
    <row r="2462" customFormat="false" ht="15" hidden="false" customHeight="false" outlineLevel="0" collapsed="false">
      <c r="V2462" s="23" t="str">
        <f aca="false">IF(ISNUMBER(C2462),YEAR(C2462),"")</f>
        <v/>
      </c>
      <c r="W2462" s="23" t="str">
        <f aca="false">IF(ISNUMBER(C2462),MONTH(C2462),"")</f>
        <v/>
      </c>
      <c r="X2462" s="23" t="str">
        <f aca="false">IF(T2462="","",IF(T2462=0,"No discount",IF(T2462&lt;=0.2,"Low (1-20%)",IF(T2462&lt;=0.4,"Medium (21-40%)","High (&gt;40%)"))))</f>
        <v/>
      </c>
      <c r="Y2462" s="23" t="str">
        <f aca="false">IF(AND(ISNUMBER(C2462),ISNUMBER(D2462)),D2462-C2462,"")</f>
        <v/>
      </c>
      <c r="Z2462" s="23" t="str">
        <f aca="false">IF(B2462="","",IF(MATCH(B2462,$B$2:$B$12000,0)=ROW()-1,1,0))</f>
        <v/>
      </c>
    </row>
    <row r="2463" customFormat="false" ht="15" hidden="false" customHeight="false" outlineLevel="0" collapsed="false">
      <c r="V2463" s="23" t="str">
        <f aca="false">IF(ISNUMBER(C2463),YEAR(C2463),"")</f>
        <v/>
      </c>
      <c r="W2463" s="23" t="str">
        <f aca="false">IF(ISNUMBER(C2463),MONTH(C2463),"")</f>
        <v/>
      </c>
      <c r="X2463" s="23" t="str">
        <f aca="false">IF(T2463="","",IF(T2463=0,"No discount",IF(T2463&lt;=0.2,"Low (1-20%)",IF(T2463&lt;=0.4,"Medium (21-40%)","High (&gt;40%)"))))</f>
        <v/>
      </c>
      <c r="Y2463" s="23" t="str">
        <f aca="false">IF(AND(ISNUMBER(C2463),ISNUMBER(D2463)),D2463-C2463,"")</f>
        <v/>
      </c>
      <c r="Z2463" s="23" t="str">
        <f aca="false">IF(B2463="","",IF(MATCH(B2463,$B$2:$B$12000,0)=ROW()-1,1,0))</f>
        <v/>
      </c>
    </row>
    <row r="2464" customFormat="false" ht="15" hidden="false" customHeight="false" outlineLevel="0" collapsed="false">
      <c r="V2464" s="23" t="str">
        <f aca="false">IF(ISNUMBER(C2464),YEAR(C2464),"")</f>
        <v/>
      </c>
      <c r="W2464" s="23" t="str">
        <f aca="false">IF(ISNUMBER(C2464),MONTH(C2464),"")</f>
        <v/>
      </c>
      <c r="X2464" s="23" t="str">
        <f aca="false">IF(T2464="","",IF(T2464=0,"No discount",IF(T2464&lt;=0.2,"Low (1-20%)",IF(T2464&lt;=0.4,"Medium (21-40%)","High (&gt;40%)"))))</f>
        <v/>
      </c>
      <c r="Y2464" s="23" t="str">
        <f aca="false">IF(AND(ISNUMBER(C2464),ISNUMBER(D2464)),D2464-C2464,"")</f>
        <v/>
      </c>
      <c r="Z2464" s="23" t="str">
        <f aca="false">IF(B2464="","",IF(MATCH(B2464,$B$2:$B$12000,0)=ROW()-1,1,0))</f>
        <v/>
      </c>
    </row>
    <row r="2465" customFormat="false" ht="15" hidden="false" customHeight="false" outlineLevel="0" collapsed="false">
      <c r="V2465" s="23" t="str">
        <f aca="false">IF(ISNUMBER(C2465),YEAR(C2465),"")</f>
        <v/>
      </c>
      <c r="W2465" s="23" t="str">
        <f aca="false">IF(ISNUMBER(C2465),MONTH(C2465),"")</f>
        <v/>
      </c>
      <c r="X2465" s="23" t="str">
        <f aca="false">IF(T2465="","",IF(T2465=0,"No discount",IF(T2465&lt;=0.2,"Low (1-20%)",IF(T2465&lt;=0.4,"Medium (21-40%)","High (&gt;40%)"))))</f>
        <v/>
      </c>
      <c r="Y2465" s="23" t="str">
        <f aca="false">IF(AND(ISNUMBER(C2465),ISNUMBER(D2465)),D2465-C2465,"")</f>
        <v/>
      </c>
      <c r="Z2465" s="23" t="str">
        <f aca="false">IF(B2465="","",IF(MATCH(B2465,$B$2:$B$12000,0)=ROW()-1,1,0))</f>
        <v/>
      </c>
    </row>
    <row r="2466" customFormat="false" ht="15" hidden="false" customHeight="false" outlineLevel="0" collapsed="false">
      <c r="V2466" s="23" t="str">
        <f aca="false">IF(ISNUMBER(C2466),YEAR(C2466),"")</f>
        <v/>
      </c>
      <c r="W2466" s="23" t="str">
        <f aca="false">IF(ISNUMBER(C2466),MONTH(C2466),"")</f>
        <v/>
      </c>
      <c r="X2466" s="23" t="str">
        <f aca="false">IF(T2466="","",IF(T2466=0,"No discount",IF(T2466&lt;=0.2,"Low (1-20%)",IF(T2466&lt;=0.4,"Medium (21-40%)","High (&gt;40%)"))))</f>
        <v/>
      </c>
      <c r="Y2466" s="23" t="str">
        <f aca="false">IF(AND(ISNUMBER(C2466),ISNUMBER(D2466)),D2466-C2466,"")</f>
        <v/>
      </c>
      <c r="Z2466" s="23" t="str">
        <f aca="false">IF(B2466="","",IF(MATCH(B2466,$B$2:$B$12000,0)=ROW()-1,1,0))</f>
        <v/>
      </c>
    </row>
    <row r="2467" customFormat="false" ht="15" hidden="false" customHeight="false" outlineLevel="0" collapsed="false">
      <c r="V2467" s="23" t="str">
        <f aca="false">IF(ISNUMBER(C2467),YEAR(C2467),"")</f>
        <v/>
      </c>
      <c r="W2467" s="23" t="str">
        <f aca="false">IF(ISNUMBER(C2467),MONTH(C2467),"")</f>
        <v/>
      </c>
      <c r="X2467" s="23" t="str">
        <f aca="false">IF(T2467="","",IF(T2467=0,"No discount",IF(T2467&lt;=0.2,"Low (1-20%)",IF(T2467&lt;=0.4,"Medium (21-40%)","High (&gt;40%)"))))</f>
        <v/>
      </c>
      <c r="Y2467" s="23" t="str">
        <f aca="false">IF(AND(ISNUMBER(C2467),ISNUMBER(D2467)),D2467-C2467,"")</f>
        <v/>
      </c>
      <c r="Z2467" s="23" t="str">
        <f aca="false">IF(B2467="","",IF(MATCH(B2467,$B$2:$B$12000,0)=ROW()-1,1,0))</f>
        <v/>
      </c>
    </row>
    <row r="2468" customFormat="false" ht="15" hidden="false" customHeight="false" outlineLevel="0" collapsed="false">
      <c r="V2468" s="23" t="str">
        <f aca="false">IF(ISNUMBER(C2468),YEAR(C2468),"")</f>
        <v/>
      </c>
      <c r="W2468" s="23" t="str">
        <f aca="false">IF(ISNUMBER(C2468),MONTH(C2468),"")</f>
        <v/>
      </c>
      <c r="X2468" s="23" t="str">
        <f aca="false">IF(T2468="","",IF(T2468=0,"No discount",IF(T2468&lt;=0.2,"Low (1-20%)",IF(T2468&lt;=0.4,"Medium (21-40%)","High (&gt;40%)"))))</f>
        <v/>
      </c>
      <c r="Y2468" s="23" t="str">
        <f aca="false">IF(AND(ISNUMBER(C2468),ISNUMBER(D2468)),D2468-C2468,"")</f>
        <v/>
      </c>
      <c r="Z2468" s="23" t="str">
        <f aca="false">IF(B2468="","",IF(MATCH(B2468,$B$2:$B$12000,0)=ROW()-1,1,0))</f>
        <v/>
      </c>
    </row>
    <row r="2469" customFormat="false" ht="15" hidden="false" customHeight="false" outlineLevel="0" collapsed="false">
      <c r="V2469" s="23" t="str">
        <f aca="false">IF(ISNUMBER(C2469),YEAR(C2469),"")</f>
        <v/>
      </c>
      <c r="W2469" s="23" t="str">
        <f aca="false">IF(ISNUMBER(C2469),MONTH(C2469),"")</f>
        <v/>
      </c>
      <c r="X2469" s="23" t="str">
        <f aca="false">IF(T2469="","",IF(T2469=0,"No discount",IF(T2469&lt;=0.2,"Low (1-20%)",IF(T2469&lt;=0.4,"Medium (21-40%)","High (&gt;40%)"))))</f>
        <v/>
      </c>
      <c r="Y2469" s="23" t="str">
        <f aca="false">IF(AND(ISNUMBER(C2469),ISNUMBER(D2469)),D2469-C2469,"")</f>
        <v/>
      </c>
      <c r="Z2469" s="23" t="str">
        <f aca="false">IF(B2469="","",IF(MATCH(B2469,$B$2:$B$12000,0)=ROW()-1,1,0))</f>
        <v/>
      </c>
    </row>
    <row r="2470" customFormat="false" ht="15" hidden="false" customHeight="false" outlineLevel="0" collapsed="false">
      <c r="V2470" s="23" t="str">
        <f aca="false">IF(ISNUMBER(C2470),YEAR(C2470),"")</f>
        <v/>
      </c>
      <c r="W2470" s="23" t="str">
        <f aca="false">IF(ISNUMBER(C2470),MONTH(C2470),"")</f>
        <v/>
      </c>
      <c r="X2470" s="23" t="str">
        <f aca="false">IF(T2470="","",IF(T2470=0,"No discount",IF(T2470&lt;=0.2,"Low (1-20%)",IF(T2470&lt;=0.4,"Medium (21-40%)","High (&gt;40%)"))))</f>
        <v/>
      </c>
      <c r="Y2470" s="23" t="str">
        <f aca="false">IF(AND(ISNUMBER(C2470),ISNUMBER(D2470)),D2470-C2470,"")</f>
        <v/>
      </c>
      <c r="Z2470" s="23" t="str">
        <f aca="false">IF(B2470="","",IF(MATCH(B2470,$B$2:$B$12000,0)=ROW()-1,1,0))</f>
        <v/>
      </c>
    </row>
    <row r="2471" customFormat="false" ht="15" hidden="false" customHeight="false" outlineLevel="0" collapsed="false">
      <c r="V2471" s="23" t="str">
        <f aca="false">IF(ISNUMBER(C2471),YEAR(C2471),"")</f>
        <v/>
      </c>
      <c r="W2471" s="23" t="str">
        <f aca="false">IF(ISNUMBER(C2471),MONTH(C2471),"")</f>
        <v/>
      </c>
      <c r="X2471" s="23" t="str">
        <f aca="false">IF(T2471="","",IF(T2471=0,"No discount",IF(T2471&lt;=0.2,"Low (1-20%)",IF(T2471&lt;=0.4,"Medium (21-40%)","High (&gt;40%)"))))</f>
        <v/>
      </c>
      <c r="Y2471" s="23" t="str">
        <f aca="false">IF(AND(ISNUMBER(C2471),ISNUMBER(D2471)),D2471-C2471,"")</f>
        <v/>
      </c>
      <c r="Z2471" s="23" t="str">
        <f aca="false">IF(B2471="","",IF(MATCH(B2471,$B$2:$B$12000,0)=ROW()-1,1,0))</f>
        <v/>
      </c>
    </row>
    <row r="2472" customFormat="false" ht="15" hidden="false" customHeight="false" outlineLevel="0" collapsed="false">
      <c r="V2472" s="23" t="str">
        <f aca="false">IF(ISNUMBER(C2472),YEAR(C2472),"")</f>
        <v/>
      </c>
      <c r="W2472" s="23" t="str">
        <f aca="false">IF(ISNUMBER(C2472),MONTH(C2472),"")</f>
        <v/>
      </c>
      <c r="X2472" s="23" t="str">
        <f aca="false">IF(T2472="","",IF(T2472=0,"No discount",IF(T2472&lt;=0.2,"Low (1-20%)",IF(T2472&lt;=0.4,"Medium (21-40%)","High (&gt;40%)"))))</f>
        <v/>
      </c>
      <c r="Y2472" s="23" t="str">
        <f aca="false">IF(AND(ISNUMBER(C2472),ISNUMBER(D2472)),D2472-C2472,"")</f>
        <v/>
      </c>
      <c r="Z2472" s="23" t="str">
        <f aca="false">IF(B2472="","",IF(MATCH(B2472,$B$2:$B$12000,0)=ROW()-1,1,0))</f>
        <v/>
      </c>
    </row>
    <row r="2473" customFormat="false" ht="15" hidden="false" customHeight="false" outlineLevel="0" collapsed="false">
      <c r="V2473" s="23" t="str">
        <f aca="false">IF(ISNUMBER(C2473),YEAR(C2473),"")</f>
        <v/>
      </c>
      <c r="W2473" s="23" t="str">
        <f aca="false">IF(ISNUMBER(C2473),MONTH(C2473),"")</f>
        <v/>
      </c>
      <c r="X2473" s="23" t="str">
        <f aca="false">IF(T2473="","",IF(T2473=0,"No discount",IF(T2473&lt;=0.2,"Low (1-20%)",IF(T2473&lt;=0.4,"Medium (21-40%)","High (&gt;40%)"))))</f>
        <v/>
      </c>
      <c r="Y2473" s="23" t="str">
        <f aca="false">IF(AND(ISNUMBER(C2473),ISNUMBER(D2473)),D2473-C2473,"")</f>
        <v/>
      </c>
      <c r="Z2473" s="23" t="str">
        <f aca="false">IF(B2473="","",IF(MATCH(B2473,$B$2:$B$12000,0)=ROW()-1,1,0))</f>
        <v/>
      </c>
    </row>
    <row r="2474" customFormat="false" ht="15" hidden="false" customHeight="false" outlineLevel="0" collapsed="false">
      <c r="V2474" s="23" t="str">
        <f aca="false">IF(ISNUMBER(C2474),YEAR(C2474),"")</f>
        <v/>
      </c>
      <c r="W2474" s="23" t="str">
        <f aca="false">IF(ISNUMBER(C2474),MONTH(C2474),"")</f>
        <v/>
      </c>
      <c r="X2474" s="23" t="str">
        <f aca="false">IF(T2474="","",IF(T2474=0,"No discount",IF(T2474&lt;=0.2,"Low (1-20%)",IF(T2474&lt;=0.4,"Medium (21-40%)","High (&gt;40%)"))))</f>
        <v/>
      </c>
      <c r="Y2474" s="23" t="str">
        <f aca="false">IF(AND(ISNUMBER(C2474),ISNUMBER(D2474)),D2474-C2474,"")</f>
        <v/>
      </c>
      <c r="Z2474" s="23" t="str">
        <f aca="false">IF(B2474="","",IF(MATCH(B2474,$B$2:$B$12000,0)=ROW()-1,1,0))</f>
        <v/>
      </c>
    </row>
    <row r="2475" customFormat="false" ht="15" hidden="false" customHeight="false" outlineLevel="0" collapsed="false">
      <c r="V2475" s="23" t="str">
        <f aca="false">IF(ISNUMBER(C2475),YEAR(C2475),"")</f>
        <v/>
      </c>
      <c r="W2475" s="23" t="str">
        <f aca="false">IF(ISNUMBER(C2475),MONTH(C2475),"")</f>
        <v/>
      </c>
      <c r="X2475" s="23" t="str">
        <f aca="false">IF(T2475="","",IF(T2475=0,"No discount",IF(T2475&lt;=0.2,"Low (1-20%)",IF(T2475&lt;=0.4,"Medium (21-40%)","High (&gt;40%)"))))</f>
        <v/>
      </c>
      <c r="Y2475" s="23" t="str">
        <f aca="false">IF(AND(ISNUMBER(C2475),ISNUMBER(D2475)),D2475-C2475,"")</f>
        <v/>
      </c>
      <c r="Z2475" s="23" t="str">
        <f aca="false">IF(B2475="","",IF(MATCH(B2475,$B$2:$B$12000,0)=ROW()-1,1,0))</f>
        <v/>
      </c>
    </row>
    <row r="2476" customFormat="false" ht="15" hidden="false" customHeight="false" outlineLevel="0" collapsed="false">
      <c r="V2476" s="23" t="str">
        <f aca="false">IF(ISNUMBER(C2476),YEAR(C2476),"")</f>
        <v/>
      </c>
      <c r="W2476" s="23" t="str">
        <f aca="false">IF(ISNUMBER(C2476),MONTH(C2476),"")</f>
        <v/>
      </c>
      <c r="X2476" s="23" t="str">
        <f aca="false">IF(T2476="","",IF(T2476=0,"No discount",IF(T2476&lt;=0.2,"Low (1-20%)",IF(T2476&lt;=0.4,"Medium (21-40%)","High (&gt;40%)"))))</f>
        <v/>
      </c>
      <c r="Y2476" s="23" t="str">
        <f aca="false">IF(AND(ISNUMBER(C2476),ISNUMBER(D2476)),D2476-C2476,"")</f>
        <v/>
      </c>
      <c r="Z2476" s="23" t="str">
        <f aca="false">IF(B2476="","",IF(MATCH(B2476,$B$2:$B$12000,0)=ROW()-1,1,0))</f>
        <v/>
      </c>
    </row>
    <row r="2477" customFormat="false" ht="15" hidden="false" customHeight="false" outlineLevel="0" collapsed="false">
      <c r="V2477" s="23" t="str">
        <f aca="false">IF(ISNUMBER(C2477),YEAR(C2477),"")</f>
        <v/>
      </c>
      <c r="W2477" s="23" t="str">
        <f aca="false">IF(ISNUMBER(C2477),MONTH(C2477),"")</f>
        <v/>
      </c>
      <c r="X2477" s="23" t="str">
        <f aca="false">IF(T2477="","",IF(T2477=0,"No discount",IF(T2477&lt;=0.2,"Low (1-20%)",IF(T2477&lt;=0.4,"Medium (21-40%)","High (&gt;40%)"))))</f>
        <v/>
      </c>
      <c r="Y2477" s="23" t="str">
        <f aca="false">IF(AND(ISNUMBER(C2477),ISNUMBER(D2477)),D2477-C2477,"")</f>
        <v/>
      </c>
      <c r="Z2477" s="23" t="str">
        <f aca="false">IF(B2477="","",IF(MATCH(B2477,$B$2:$B$12000,0)=ROW()-1,1,0))</f>
        <v/>
      </c>
    </row>
    <row r="2478" customFormat="false" ht="15" hidden="false" customHeight="false" outlineLevel="0" collapsed="false">
      <c r="V2478" s="23" t="str">
        <f aca="false">IF(ISNUMBER(C2478),YEAR(C2478),"")</f>
        <v/>
      </c>
      <c r="W2478" s="23" t="str">
        <f aca="false">IF(ISNUMBER(C2478),MONTH(C2478),"")</f>
        <v/>
      </c>
      <c r="X2478" s="23" t="str">
        <f aca="false">IF(T2478="","",IF(T2478=0,"No discount",IF(T2478&lt;=0.2,"Low (1-20%)",IF(T2478&lt;=0.4,"Medium (21-40%)","High (&gt;40%)"))))</f>
        <v/>
      </c>
      <c r="Y2478" s="23" t="str">
        <f aca="false">IF(AND(ISNUMBER(C2478),ISNUMBER(D2478)),D2478-C2478,"")</f>
        <v/>
      </c>
      <c r="Z2478" s="23" t="str">
        <f aca="false">IF(B2478="","",IF(MATCH(B2478,$B$2:$B$12000,0)=ROW()-1,1,0))</f>
        <v/>
      </c>
    </row>
    <row r="2479" customFormat="false" ht="15" hidden="false" customHeight="false" outlineLevel="0" collapsed="false">
      <c r="V2479" s="23" t="str">
        <f aca="false">IF(ISNUMBER(C2479),YEAR(C2479),"")</f>
        <v/>
      </c>
      <c r="W2479" s="23" t="str">
        <f aca="false">IF(ISNUMBER(C2479),MONTH(C2479),"")</f>
        <v/>
      </c>
      <c r="X2479" s="23" t="str">
        <f aca="false">IF(T2479="","",IF(T2479=0,"No discount",IF(T2479&lt;=0.2,"Low (1-20%)",IF(T2479&lt;=0.4,"Medium (21-40%)","High (&gt;40%)"))))</f>
        <v/>
      </c>
      <c r="Y2479" s="23" t="str">
        <f aca="false">IF(AND(ISNUMBER(C2479),ISNUMBER(D2479)),D2479-C2479,"")</f>
        <v/>
      </c>
      <c r="Z2479" s="23" t="str">
        <f aca="false">IF(B2479="","",IF(MATCH(B2479,$B$2:$B$12000,0)=ROW()-1,1,0))</f>
        <v/>
      </c>
    </row>
    <row r="2480" customFormat="false" ht="15" hidden="false" customHeight="false" outlineLevel="0" collapsed="false">
      <c r="V2480" s="23" t="str">
        <f aca="false">IF(ISNUMBER(C2480),YEAR(C2480),"")</f>
        <v/>
      </c>
      <c r="W2480" s="23" t="str">
        <f aca="false">IF(ISNUMBER(C2480),MONTH(C2480),"")</f>
        <v/>
      </c>
      <c r="X2480" s="23" t="str">
        <f aca="false">IF(T2480="","",IF(T2480=0,"No discount",IF(T2480&lt;=0.2,"Low (1-20%)",IF(T2480&lt;=0.4,"Medium (21-40%)","High (&gt;40%)"))))</f>
        <v/>
      </c>
      <c r="Y2480" s="23" t="str">
        <f aca="false">IF(AND(ISNUMBER(C2480),ISNUMBER(D2480)),D2480-C2480,"")</f>
        <v/>
      </c>
      <c r="Z2480" s="23" t="str">
        <f aca="false">IF(B2480="","",IF(MATCH(B2480,$B$2:$B$12000,0)=ROW()-1,1,0))</f>
        <v/>
      </c>
    </row>
    <row r="2481" customFormat="false" ht="15" hidden="false" customHeight="false" outlineLevel="0" collapsed="false">
      <c r="V2481" s="23" t="str">
        <f aca="false">IF(ISNUMBER(C2481),YEAR(C2481),"")</f>
        <v/>
      </c>
      <c r="W2481" s="23" t="str">
        <f aca="false">IF(ISNUMBER(C2481),MONTH(C2481),"")</f>
        <v/>
      </c>
      <c r="X2481" s="23" t="str">
        <f aca="false">IF(T2481="","",IF(T2481=0,"No discount",IF(T2481&lt;=0.2,"Low (1-20%)",IF(T2481&lt;=0.4,"Medium (21-40%)","High (&gt;40%)"))))</f>
        <v/>
      </c>
      <c r="Y2481" s="23" t="str">
        <f aca="false">IF(AND(ISNUMBER(C2481),ISNUMBER(D2481)),D2481-C2481,"")</f>
        <v/>
      </c>
      <c r="Z2481" s="23" t="str">
        <f aca="false">IF(B2481="","",IF(MATCH(B2481,$B$2:$B$12000,0)=ROW()-1,1,0))</f>
        <v/>
      </c>
    </row>
    <row r="2482" customFormat="false" ht="15" hidden="false" customHeight="false" outlineLevel="0" collapsed="false">
      <c r="V2482" s="23" t="str">
        <f aca="false">IF(ISNUMBER(C2482),YEAR(C2482),"")</f>
        <v/>
      </c>
      <c r="W2482" s="23" t="str">
        <f aca="false">IF(ISNUMBER(C2482),MONTH(C2482),"")</f>
        <v/>
      </c>
      <c r="X2482" s="23" t="str">
        <f aca="false">IF(T2482="","",IF(T2482=0,"No discount",IF(T2482&lt;=0.2,"Low (1-20%)",IF(T2482&lt;=0.4,"Medium (21-40%)","High (&gt;40%)"))))</f>
        <v/>
      </c>
      <c r="Y2482" s="23" t="str">
        <f aca="false">IF(AND(ISNUMBER(C2482),ISNUMBER(D2482)),D2482-C2482,"")</f>
        <v/>
      </c>
      <c r="Z2482" s="23" t="str">
        <f aca="false">IF(B2482="","",IF(MATCH(B2482,$B$2:$B$12000,0)=ROW()-1,1,0))</f>
        <v/>
      </c>
    </row>
    <row r="2483" customFormat="false" ht="15" hidden="false" customHeight="false" outlineLevel="0" collapsed="false">
      <c r="V2483" s="23" t="str">
        <f aca="false">IF(ISNUMBER(C2483),YEAR(C2483),"")</f>
        <v/>
      </c>
      <c r="W2483" s="23" t="str">
        <f aca="false">IF(ISNUMBER(C2483),MONTH(C2483),"")</f>
        <v/>
      </c>
      <c r="X2483" s="23" t="str">
        <f aca="false">IF(T2483="","",IF(T2483=0,"No discount",IF(T2483&lt;=0.2,"Low (1-20%)",IF(T2483&lt;=0.4,"Medium (21-40%)","High (&gt;40%)"))))</f>
        <v/>
      </c>
      <c r="Y2483" s="23" t="str">
        <f aca="false">IF(AND(ISNUMBER(C2483),ISNUMBER(D2483)),D2483-C2483,"")</f>
        <v/>
      </c>
      <c r="Z2483" s="23" t="str">
        <f aca="false">IF(B2483="","",IF(MATCH(B2483,$B$2:$B$12000,0)=ROW()-1,1,0))</f>
        <v/>
      </c>
    </row>
    <row r="2484" customFormat="false" ht="15" hidden="false" customHeight="false" outlineLevel="0" collapsed="false">
      <c r="V2484" s="23" t="str">
        <f aca="false">IF(ISNUMBER(C2484),YEAR(C2484),"")</f>
        <v/>
      </c>
      <c r="W2484" s="23" t="str">
        <f aca="false">IF(ISNUMBER(C2484),MONTH(C2484),"")</f>
        <v/>
      </c>
      <c r="X2484" s="23" t="str">
        <f aca="false">IF(T2484="","",IF(T2484=0,"No discount",IF(T2484&lt;=0.2,"Low (1-20%)",IF(T2484&lt;=0.4,"Medium (21-40%)","High (&gt;40%)"))))</f>
        <v/>
      </c>
      <c r="Y2484" s="23" t="str">
        <f aca="false">IF(AND(ISNUMBER(C2484),ISNUMBER(D2484)),D2484-C2484,"")</f>
        <v/>
      </c>
      <c r="Z2484" s="23" t="str">
        <f aca="false">IF(B2484="","",IF(MATCH(B2484,$B$2:$B$12000,0)=ROW()-1,1,0))</f>
        <v/>
      </c>
    </row>
    <row r="2485" customFormat="false" ht="15" hidden="false" customHeight="false" outlineLevel="0" collapsed="false">
      <c r="V2485" s="23" t="str">
        <f aca="false">IF(ISNUMBER(C2485),YEAR(C2485),"")</f>
        <v/>
      </c>
      <c r="W2485" s="23" t="str">
        <f aca="false">IF(ISNUMBER(C2485),MONTH(C2485),"")</f>
        <v/>
      </c>
      <c r="X2485" s="23" t="str">
        <f aca="false">IF(T2485="","",IF(T2485=0,"No discount",IF(T2485&lt;=0.2,"Low (1-20%)",IF(T2485&lt;=0.4,"Medium (21-40%)","High (&gt;40%)"))))</f>
        <v/>
      </c>
      <c r="Y2485" s="23" t="str">
        <f aca="false">IF(AND(ISNUMBER(C2485),ISNUMBER(D2485)),D2485-C2485,"")</f>
        <v/>
      </c>
      <c r="Z2485" s="23" t="str">
        <f aca="false">IF(B2485="","",IF(MATCH(B2485,$B$2:$B$12000,0)=ROW()-1,1,0))</f>
        <v/>
      </c>
    </row>
    <row r="2486" customFormat="false" ht="15" hidden="false" customHeight="false" outlineLevel="0" collapsed="false">
      <c r="V2486" s="23" t="str">
        <f aca="false">IF(ISNUMBER(C2486),YEAR(C2486),"")</f>
        <v/>
      </c>
      <c r="W2486" s="23" t="str">
        <f aca="false">IF(ISNUMBER(C2486),MONTH(C2486),"")</f>
        <v/>
      </c>
      <c r="X2486" s="23" t="str">
        <f aca="false">IF(T2486="","",IF(T2486=0,"No discount",IF(T2486&lt;=0.2,"Low (1-20%)",IF(T2486&lt;=0.4,"Medium (21-40%)","High (&gt;40%)"))))</f>
        <v/>
      </c>
      <c r="Y2486" s="23" t="str">
        <f aca="false">IF(AND(ISNUMBER(C2486),ISNUMBER(D2486)),D2486-C2486,"")</f>
        <v/>
      </c>
      <c r="Z2486" s="23" t="str">
        <f aca="false">IF(B2486="","",IF(MATCH(B2486,$B$2:$B$12000,0)=ROW()-1,1,0))</f>
        <v/>
      </c>
    </row>
    <row r="2487" customFormat="false" ht="15" hidden="false" customHeight="false" outlineLevel="0" collapsed="false">
      <c r="V2487" s="23" t="str">
        <f aca="false">IF(ISNUMBER(C2487),YEAR(C2487),"")</f>
        <v/>
      </c>
      <c r="W2487" s="23" t="str">
        <f aca="false">IF(ISNUMBER(C2487),MONTH(C2487),"")</f>
        <v/>
      </c>
      <c r="X2487" s="23" t="str">
        <f aca="false">IF(T2487="","",IF(T2487=0,"No discount",IF(T2487&lt;=0.2,"Low (1-20%)",IF(T2487&lt;=0.4,"Medium (21-40%)","High (&gt;40%)"))))</f>
        <v/>
      </c>
      <c r="Y2487" s="23" t="str">
        <f aca="false">IF(AND(ISNUMBER(C2487),ISNUMBER(D2487)),D2487-C2487,"")</f>
        <v/>
      </c>
      <c r="Z2487" s="23" t="str">
        <f aca="false">IF(B2487="","",IF(MATCH(B2487,$B$2:$B$12000,0)=ROW()-1,1,0))</f>
        <v/>
      </c>
    </row>
    <row r="2488" customFormat="false" ht="15" hidden="false" customHeight="false" outlineLevel="0" collapsed="false">
      <c r="V2488" s="23" t="str">
        <f aca="false">IF(ISNUMBER(C2488),YEAR(C2488),"")</f>
        <v/>
      </c>
      <c r="W2488" s="23" t="str">
        <f aca="false">IF(ISNUMBER(C2488),MONTH(C2488),"")</f>
        <v/>
      </c>
      <c r="X2488" s="23" t="str">
        <f aca="false">IF(T2488="","",IF(T2488=0,"No discount",IF(T2488&lt;=0.2,"Low (1-20%)",IF(T2488&lt;=0.4,"Medium (21-40%)","High (&gt;40%)"))))</f>
        <v/>
      </c>
      <c r="Y2488" s="23" t="str">
        <f aca="false">IF(AND(ISNUMBER(C2488),ISNUMBER(D2488)),D2488-C2488,"")</f>
        <v/>
      </c>
      <c r="Z2488" s="23" t="str">
        <f aca="false">IF(B2488="","",IF(MATCH(B2488,$B$2:$B$12000,0)=ROW()-1,1,0))</f>
        <v/>
      </c>
    </row>
    <row r="2489" customFormat="false" ht="15" hidden="false" customHeight="false" outlineLevel="0" collapsed="false">
      <c r="V2489" s="23" t="str">
        <f aca="false">IF(ISNUMBER(C2489),YEAR(C2489),"")</f>
        <v/>
      </c>
      <c r="W2489" s="23" t="str">
        <f aca="false">IF(ISNUMBER(C2489),MONTH(C2489),"")</f>
        <v/>
      </c>
      <c r="X2489" s="23" t="str">
        <f aca="false">IF(T2489="","",IF(T2489=0,"No discount",IF(T2489&lt;=0.2,"Low (1-20%)",IF(T2489&lt;=0.4,"Medium (21-40%)","High (&gt;40%)"))))</f>
        <v/>
      </c>
      <c r="Y2489" s="23" t="str">
        <f aca="false">IF(AND(ISNUMBER(C2489),ISNUMBER(D2489)),D2489-C2489,"")</f>
        <v/>
      </c>
      <c r="Z2489" s="23" t="str">
        <f aca="false">IF(B2489="","",IF(MATCH(B2489,$B$2:$B$12000,0)=ROW()-1,1,0))</f>
        <v/>
      </c>
    </row>
    <row r="2490" customFormat="false" ht="15" hidden="false" customHeight="false" outlineLevel="0" collapsed="false">
      <c r="V2490" s="23" t="str">
        <f aca="false">IF(ISNUMBER(C2490),YEAR(C2490),"")</f>
        <v/>
      </c>
      <c r="W2490" s="23" t="str">
        <f aca="false">IF(ISNUMBER(C2490),MONTH(C2490),"")</f>
        <v/>
      </c>
      <c r="X2490" s="23" t="str">
        <f aca="false">IF(T2490="","",IF(T2490=0,"No discount",IF(T2490&lt;=0.2,"Low (1-20%)",IF(T2490&lt;=0.4,"Medium (21-40%)","High (&gt;40%)"))))</f>
        <v/>
      </c>
      <c r="Y2490" s="23" t="str">
        <f aca="false">IF(AND(ISNUMBER(C2490),ISNUMBER(D2490)),D2490-C2490,"")</f>
        <v/>
      </c>
      <c r="Z2490" s="23" t="str">
        <f aca="false">IF(B2490="","",IF(MATCH(B2490,$B$2:$B$12000,0)=ROW()-1,1,0))</f>
        <v/>
      </c>
    </row>
    <row r="2491" customFormat="false" ht="15" hidden="false" customHeight="false" outlineLevel="0" collapsed="false">
      <c r="V2491" s="23" t="str">
        <f aca="false">IF(ISNUMBER(C2491),YEAR(C2491),"")</f>
        <v/>
      </c>
      <c r="W2491" s="23" t="str">
        <f aca="false">IF(ISNUMBER(C2491),MONTH(C2491),"")</f>
        <v/>
      </c>
      <c r="X2491" s="23" t="str">
        <f aca="false">IF(T2491="","",IF(T2491=0,"No discount",IF(T2491&lt;=0.2,"Low (1-20%)",IF(T2491&lt;=0.4,"Medium (21-40%)","High (&gt;40%)"))))</f>
        <v/>
      </c>
      <c r="Y2491" s="23" t="str">
        <f aca="false">IF(AND(ISNUMBER(C2491),ISNUMBER(D2491)),D2491-C2491,"")</f>
        <v/>
      </c>
      <c r="Z2491" s="23" t="str">
        <f aca="false">IF(B2491="","",IF(MATCH(B2491,$B$2:$B$12000,0)=ROW()-1,1,0))</f>
        <v/>
      </c>
    </row>
    <row r="2492" customFormat="false" ht="15" hidden="false" customHeight="false" outlineLevel="0" collapsed="false">
      <c r="V2492" s="23" t="str">
        <f aca="false">IF(ISNUMBER(C2492),YEAR(C2492),"")</f>
        <v/>
      </c>
      <c r="W2492" s="23" t="str">
        <f aca="false">IF(ISNUMBER(C2492),MONTH(C2492),"")</f>
        <v/>
      </c>
      <c r="X2492" s="23" t="str">
        <f aca="false">IF(T2492="","",IF(T2492=0,"No discount",IF(T2492&lt;=0.2,"Low (1-20%)",IF(T2492&lt;=0.4,"Medium (21-40%)","High (&gt;40%)"))))</f>
        <v/>
      </c>
      <c r="Y2492" s="23" t="str">
        <f aca="false">IF(AND(ISNUMBER(C2492),ISNUMBER(D2492)),D2492-C2492,"")</f>
        <v/>
      </c>
      <c r="Z2492" s="23" t="str">
        <f aca="false">IF(B2492="","",IF(MATCH(B2492,$B$2:$B$12000,0)=ROW()-1,1,0))</f>
        <v/>
      </c>
    </row>
    <row r="2493" customFormat="false" ht="15" hidden="false" customHeight="false" outlineLevel="0" collapsed="false">
      <c r="V2493" s="23" t="str">
        <f aca="false">IF(ISNUMBER(C2493),YEAR(C2493),"")</f>
        <v/>
      </c>
      <c r="W2493" s="23" t="str">
        <f aca="false">IF(ISNUMBER(C2493),MONTH(C2493),"")</f>
        <v/>
      </c>
      <c r="X2493" s="23" t="str">
        <f aca="false">IF(T2493="","",IF(T2493=0,"No discount",IF(T2493&lt;=0.2,"Low (1-20%)",IF(T2493&lt;=0.4,"Medium (21-40%)","High (&gt;40%)"))))</f>
        <v/>
      </c>
      <c r="Y2493" s="23" t="str">
        <f aca="false">IF(AND(ISNUMBER(C2493),ISNUMBER(D2493)),D2493-C2493,"")</f>
        <v/>
      </c>
      <c r="Z2493" s="23" t="str">
        <f aca="false">IF(B2493="","",IF(MATCH(B2493,$B$2:$B$12000,0)=ROW()-1,1,0))</f>
        <v/>
      </c>
    </row>
    <row r="2494" customFormat="false" ht="15" hidden="false" customHeight="false" outlineLevel="0" collapsed="false">
      <c r="V2494" s="23" t="str">
        <f aca="false">IF(ISNUMBER(C2494),YEAR(C2494),"")</f>
        <v/>
      </c>
      <c r="W2494" s="23" t="str">
        <f aca="false">IF(ISNUMBER(C2494),MONTH(C2494),"")</f>
        <v/>
      </c>
      <c r="X2494" s="23" t="str">
        <f aca="false">IF(T2494="","",IF(T2494=0,"No discount",IF(T2494&lt;=0.2,"Low (1-20%)",IF(T2494&lt;=0.4,"Medium (21-40%)","High (&gt;40%)"))))</f>
        <v/>
      </c>
      <c r="Y2494" s="23" t="str">
        <f aca="false">IF(AND(ISNUMBER(C2494),ISNUMBER(D2494)),D2494-C2494,"")</f>
        <v/>
      </c>
      <c r="Z2494" s="23" t="str">
        <f aca="false">IF(B2494="","",IF(MATCH(B2494,$B$2:$B$12000,0)=ROW()-1,1,0))</f>
        <v/>
      </c>
    </row>
    <row r="2495" customFormat="false" ht="15" hidden="false" customHeight="false" outlineLevel="0" collapsed="false">
      <c r="V2495" s="23" t="str">
        <f aca="false">IF(ISNUMBER(C2495),YEAR(C2495),"")</f>
        <v/>
      </c>
      <c r="W2495" s="23" t="str">
        <f aca="false">IF(ISNUMBER(C2495),MONTH(C2495),"")</f>
        <v/>
      </c>
      <c r="X2495" s="23" t="str">
        <f aca="false">IF(T2495="","",IF(T2495=0,"No discount",IF(T2495&lt;=0.2,"Low (1-20%)",IF(T2495&lt;=0.4,"Medium (21-40%)","High (&gt;40%)"))))</f>
        <v/>
      </c>
      <c r="Y2495" s="23" t="str">
        <f aca="false">IF(AND(ISNUMBER(C2495),ISNUMBER(D2495)),D2495-C2495,"")</f>
        <v/>
      </c>
      <c r="Z2495" s="23" t="str">
        <f aca="false">IF(B2495="","",IF(MATCH(B2495,$B$2:$B$12000,0)=ROW()-1,1,0))</f>
        <v/>
      </c>
    </row>
    <row r="2496" customFormat="false" ht="15" hidden="false" customHeight="false" outlineLevel="0" collapsed="false">
      <c r="V2496" s="23" t="str">
        <f aca="false">IF(ISNUMBER(C2496),YEAR(C2496),"")</f>
        <v/>
      </c>
      <c r="W2496" s="23" t="str">
        <f aca="false">IF(ISNUMBER(C2496),MONTH(C2496),"")</f>
        <v/>
      </c>
      <c r="X2496" s="23" t="str">
        <f aca="false">IF(T2496="","",IF(T2496=0,"No discount",IF(T2496&lt;=0.2,"Low (1-20%)",IF(T2496&lt;=0.4,"Medium (21-40%)","High (&gt;40%)"))))</f>
        <v/>
      </c>
      <c r="Y2496" s="23" t="str">
        <f aca="false">IF(AND(ISNUMBER(C2496),ISNUMBER(D2496)),D2496-C2496,"")</f>
        <v/>
      </c>
      <c r="Z2496" s="23" t="str">
        <f aca="false">IF(B2496="","",IF(MATCH(B2496,$B$2:$B$12000,0)=ROW()-1,1,0))</f>
        <v/>
      </c>
    </row>
    <row r="2497" customFormat="false" ht="15" hidden="false" customHeight="false" outlineLevel="0" collapsed="false">
      <c r="V2497" s="23" t="str">
        <f aca="false">IF(ISNUMBER(C2497),YEAR(C2497),"")</f>
        <v/>
      </c>
      <c r="W2497" s="23" t="str">
        <f aca="false">IF(ISNUMBER(C2497),MONTH(C2497),"")</f>
        <v/>
      </c>
      <c r="X2497" s="23" t="str">
        <f aca="false">IF(T2497="","",IF(T2497=0,"No discount",IF(T2497&lt;=0.2,"Low (1-20%)",IF(T2497&lt;=0.4,"Medium (21-40%)","High (&gt;40%)"))))</f>
        <v/>
      </c>
      <c r="Y2497" s="23" t="str">
        <f aca="false">IF(AND(ISNUMBER(C2497),ISNUMBER(D2497)),D2497-C2497,"")</f>
        <v/>
      </c>
      <c r="Z2497" s="23" t="str">
        <f aca="false">IF(B2497="","",IF(MATCH(B2497,$B$2:$B$12000,0)=ROW()-1,1,0))</f>
        <v/>
      </c>
    </row>
    <row r="2498" customFormat="false" ht="15" hidden="false" customHeight="false" outlineLevel="0" collapsed="false">
      <c r="V2498" s="23" t="str">
        <f aca="false">IF(ISNUMBER(C2498),YEAR(C2498),"")</f>
        <v/>
      </c>
      <c r="W2498" s="23" t="str">
        <f aca="false">IF(ISNUMBER(C2498),MONTH(C2498),"")</f>
        <v/>
      </c>
      <c r="X2498" s="23" t="str">
        <f aca="false">IF(T2498="","",IF(T2498=0,"No discount",IF(T2498&lt;=0.2,"Low (1-20%)",IF(T2498&lt;=0.4,"Medium (21-40%)","High (&gt;40%)"))))</f>
        <v/>
      </c>
      <c r="Y2498" s="23" t="str">
        <f aca="false">IF(AND(ISNUMBER(C2498),ISNUMBER(D2498)),D2498-C2498,"")</f>
        <v/>
      </c>
      <c r="Z2498" s="23" t="str">
        <f aca="false">IF(B2498="","",IF(MATCH(B2498,$B$2:$B$12000,0)=ROW()-1,1,0))</f>
        <v/>
      </c>
    </row>
    <row r="2499" customFormat="false" ht="15" hidden="false" customHeight="false" outlineLevel="0" collapsed="false">
      <c r="V2499" s="23" t="str">
        <f aca="false">IF(ISNUMBER(C2499),YEAR(C2499),"")</f>
        <v/>
      </c>
      <c r="W2499" s="23" t="str">
        <f aca="false">IF(ISNUMBER(C2499),MONTH(C2499),"")</f>
        <v/>
      </c>
      <c r="X2499" s="23" t="str">
        <f aca="false">IF(T2499="","",IF(T2499=0,"No discount",IF(T2499&lt;=0.2,"Low (1-20%)",IF(T2499&lt;=0.4,"Medium (21-40%)","High (&gt;40%)"))))</f>
        <v/>
      </c>
      <c r="Y2499" s="23" t="str">
        <f aca="false">IF(AND(ISNUMBER(C2499),ISNUMBER(D2499)),D2499-C2499,"")</f>
        <v/>
      </c>
      <c r="Z2499" s="23" t="str">
        <f aca="false">IF(B2499="","",IF(MATCH(B2499,$B$2:$B$12000,0)=ROW()-1,1,0))</f>
        <v/>
      </c>
    </row>
    <row r="2500" customFormat="false" ht="15" hidden="false" customHeight="false" outlineLevel="0" collapsed="false">
      <c r="V2500" s="23" t="str">
        <f aca="false">IF(ISNUMBER(C2500),YEAR(C2500),"")</f>
        <v/>
      </c>
      <c r="W2500" s="23" t="str">
        <f aca="false">IF(ISNUMBER(C2500),MONTH(C2500),"")</f>
        <v/>
      </c>
      <c r="X2500" s="23" t="str">
        <f aca="false">IF(T2500="","",IF(T2500=0,"No discount",IF(T2500&lt;=0.2,"Low (1-20%)",IF(T2500&lt;=0.4,"Medium (21-40%)","High (&gt;40%)"))))</f>
        <v/>
      </c>
      <c r="Y2500" s="23" t="str">
        <f aca="false">IF(AND(ISNUMBER(C2500),ISNUMBER(D2500)),D2500-C2500,"")</f>
        <v/>
      </c>
      <c r="Z2500" s="23" t="str">
        <f aca="false">IF(B2500="","",IF(MATCH(B2500,$B$2:$B$12000,0)=ROW()-1,1,0))</f>
        <v/>
      </c>
    </row>
    <row r="2501" customFormat="false" ht="15" hidden="false" customHeight="false" outlineLevel="0" collapsed="false">
      <c r="V2501" s="23" t="str">
        <f aca="false">IF(ISNUMBER(C2501),YEAR(C2501),"")</f>
        <v/>
      </c>
      <c r="W2501" s="23" t="str">
        <f aca="false">IF(ISNUMBER(C2501),MONTH(C2501),"")</f>
        <v/>
      </c>
      <c r="X2501" s="23" t="str">
        <f aca="false">IF(T2501="","",IF(T2501=0,"No discount",IF(T2501&lt;=0.2,"Low (1-20%)",IF(T2501&lt;=0.4,"Medium (21-40%)","High (&gt;40%)"))))</f>
        <v/>
      </c>
      <c r="Y2501" s="23" t="str">
        <f aca="false">IF(AND(ISNUMBER(C2501),ISNUMBER(D2501)),D2501-C2501,"")</f>
        <v/>
      </c>
      <c r="Z2501" s="23" t="str">
        <f aca="false">IF(B2501="","",IF(MATCH(B2501,$B$2:$B$12000,0)=ROW()-1,1,0))</f>
        <v/>
      </c>
    </row>
    <row r="2502" customFormat="false" ht="15" hidden="false" customHeight="false" outlineLevel="0" collapsed="false">
      <c r="V2502" s="23" t="str">
        <f aca="false">IF(ISNUMBER(C2502),YEAR(C2502),"")</f>
        <v/>
      </c>
      <c r="W2502" s="23" t="str">
        <f aca="false">IF(ISNUMBER(C2502),MONTH(C2502),"")</f>
        <v/>
      </c>
      <c r="X2502" s="23" t="str">
        <f aca="false">IF(T2502="","",IF(T2502=0,"No discount",IF(T2502&lt;=0.2,"Low (1-20%)",IF(T2502&lt;=0.4,"Medium (21-40%)","High (&gt;40%)"))))</f>
        <v/>
      </c>
      <c r="Y2502" s="23" t="str">
        <f aca="false">IF(AND(ISNUMBER(C2502),ISNUMBER(D2502)),D2502-C2502,"")</f>
        <v/>
      </c>
      <c r="Z2502" s="23" t="str">
        <f aca="false">IF(B2502="","",IF(MATCH(B2502,$B$2:$B$12000,0)=ROW()-1,1,0))</f>
        <v/>
      </c>
    </row>
    <row r="2503" customFormat="false" ht="15" hidden="false" customHeight="false" outlineLevel="0" collapsed="false">
      <c r="V2503" s="23" t="str">
        <f aca="false">IF(ISNUMBER(C2503),YEAR(C2503),"")</f>
        <v/>
      </c>
      <c r="W2503" s="23" t="str">
        <f aca="false">IF(ISNUMBER(C2503),MONTH(C2503),"")</f>
        <v/>
      </c>
      <c r="X2503" s="23" t="str">
        <f aca="false">IF(T2503="","",IF(T2503=0,"No discount",IF(T2503&lt;=0.2,"Low (1-20%)",IF(T2503&lt;=0.4,"Medium (21-40%)","High (&gt;40%)"))))</f>
        <v/>
      </c>
      <c r="Y2503" s="23" t="str">
        <f aca="false">IF(AND(ISNUMBER(C2503),ISNUMBER(D2503)),D2503-C2503,"")</f>
        <v/>
      </c>
      <c r="Z2503" s="23" t="str">
        <f aca="false">IF(B2503="","",IF(MATCH(B2503,$B$2:$B$12000,0)=ROW()-1,1,0))</f>
        <v/>
      </c>
    </row>
    <row r="2504" customFormat="false" ht="15" hidden="false" customHeight="false" outlineLevel="0" collapsed="false">
      <c r="V2504" s="23" t="str">
        <f aca="false">IF(ISNUMBER(C2504),YEAR(C2504),"")</f>
        <v/>
      </c>
      <c r="W2504" s="23" t="str">
        <f aca="false">IF(ISNUMBER(C2504),MONTH(C2504),"")</f>
        <v/>
      </c>
      <c r="X2504" s="23" t="str">
        <f aca="false">IF(T2504="","",IF(T2504=0,"No discount",IF(T2504&lt;=0.2,"Low (1-20%)",IF(T2504&lt;=0.4,"Medium (21-40%)","High (&gt;40%)"))))</f>
        <v/>
      </c>
      <c r="Y2504" s="23" t="str">
        <f aca="false">IF(AND(ISNUMBER(C2504),ISNUMBER(D2504)),D2504-C2504,"")</f>
        <v/>
      </c>
      <c r="Z2504" s="23" t="str">
        <f aca="false">IF(B2504="","",IF(MATCH(B2504,$B$2:$B$12000,0)=ROW()-1,1,0))</f>
        <v/>
      </c>
    </row>
    <row r="2505" customFormat="false" ht="15" hidden="false" customHeight="false" outlineLevel="0" collapsed="false">
      <c r="V2505" s="23" t="str">
        <f aca="false">IF(ISNUMBER(C2505),YEAR(C2505),"")</f>
        <v/>
      </c>
      <c r="W2505" s="23" t="str">
        <f aca="false">IF(ISNUMBER(C2505),MONTH(C2505),"")</f>
        <v/>
      </c>
      <c r="X2505" s="23" t="str">
        <f aca="false">IF(T2505="","",IF(T2505=0,"No discount",IF(T2505&lt;=0.2,"Low (1-20%)",IF(T2505&lt;=0.4,"Medium (21-40%)","High (&gt;40%)"))))</f>
        <v/>
      </c>
      <c r="Y2505" s="23" t="str">
        <f aca="false">IF(AND(ISNUMBER(C2505),ISNUMBER(D2505)),D2505-C2505,"")</f>
        <v/>
      </c>
      <c r="Z2505" s="23" t="str">
        <f aca="false">IF(B2505="","",IF(MATCH(B2505,$B$2:$B$12000,0)=ROW()-1,1,0))</f>
        <v/>
      </c>
    </row>
    <row r="2506" customFormat="false" ht="15" hidden="false" customHeight="false" outlineLevel="0" collapsed="false">
      <c r="V2506" s="23" t="str">
        <f aca="false">IF(ISNUMBER(C2506),YEAR(C2506),"")</f>
        <v/>
      </c>
      <c r="W2506" s="23" t="str">
        <f aca="false">IF(ISNUMBER(C2506),MONTH(C2506),"")</f>
        <v/>
      </c>
      <c r="X2506" s="23" t="str">
        <f aca="false">IF(T2506="","",IF(T2506=0,"No discount",IF(T2506&lt;=0.2,"Low (1-20%)",IF(T2506&lt;=0.4,"Medium (21-40%)","High (&gt;40%)"))))</f>
        <v/>
      </c>
      <c r="Y2506" s="23" t="str">
        <f aca="false">IF(AND(ISNUMBER(C2506),ISNUMBER(D2506)),D2506-C2506,"")</f>
        <v/>
      </c>
      <c r="Z2506" s="23" t="str">
        <f aca="false">IF(B2506="","",IF(MATCH(B2506,$B$2:$B$12000,0)=ROW()-1,1,0))</f>
        <v/>
      </c>
    </row>
    <row r="2507" customFormat="false" ht="15" hidden="false" customHeight="false" outlineLevel="0" collapsed="false">
      <c r="V2507" s="23" t="str">
        <f aca="false">IF(ISNUMBER(C2507),YEAR(C2507),"")</f>
        <v/>
      </c>
      <c r="W2507" s="23" t="str">
        <f aca="false">IF(ISNUMBER(C2507),MONTH(C2507),"")</f>
        <v/>
      </c>
      <c r="X2507" s="23" t="str">
        <f aca="false">IF(T2507="","",IF(T2507=0,"No discount",IF(T2507&lt;=0.2,"Low (1-20%)",IF(T2507&lt;=0.4,"Medium (21-40%)","High (&gt;40%)"))))</f>
        <v/>
      </c>
      <c r="Y2507" s="23" t="str">
        <f aca="false">IF(AND(ISNUMBER(C2507),ISNUMBER(D2507)),D2507-C2507,"")</f>
        <v/>
      </c>
      <c r="Z2507" s="23" t="str">
        <f aca="false">IF(B2507="","",IF(MATCH(B2507,$B$2:$B$12000,0)=ROW()-1,1,0))</f>
        <v/>
      </c>
    </row>
    <row r="2508" customFormat="false" ht="15" hidden="false" customHeight="false" outlineLevel="0" collapsed="false">
      <c r="V2508" s="23" t="str">
        <f aca="false">IF(ISNUMBER(C2508),YEAR(C2508),"")</f>
        <v/>
      </c>
      <c r="W2508" s="23" t="str">
        <f aca="false">IF(ISNUMBER(C2508),MONTH(C2508),"")</f>
        <v/>
      </c>
      <c r="X2508" s="23" t="str">
        <f aca="false">IF(T2508="","",IF(T2508=0,"No discount",IF(T2508&lt;=0.2,"Low (1-20%)",IF(T2508&lt;=0.4,"Medium (21-40%)","High (&gt;40%)"))))</f>
        <v/>
      </c>
      <c r="Y2508" s="23" t="str">
        <f aca="false">IF(AND(ISNUMBER(C2508),ISNUMBER(D2508)),D2508-C2508,"")</f>
        <v/>
      </c>
      <c r="Z2508" s="23" t="str">
        <f aca="false">IF(B2508="","",IF(MATCH(B2508,$B$2:$B$12000,0)=ROW()-1,1,0))</f>
        <v/>
      </c>
    </row>
    <row r="2509" customFormat="false" ht="15" hidden="false" customHeight="false" outlineLevel="0" collapsed="false">
      <c r="V2509" s="23" t="str">
        <f aca="false">IF(ISNUMBER(C2509),YEAR(C2509),"")</f>
        <v/>
      </c>
      <c r="W2509" s="23" t="str">
        <f aca="false">IF(ISNUMBER(C2509),MONTH(C2509),"")</f>
        <v/>
      </c>
      <c r="X2509" s="23" t="str">
        <f aca="false">IF(T2509="","",IF(T2509=0,"No discount",IF(T2509&lt;=0.2,"Low (1-20%)",IF(T2509&lt;=0.4,"Medium (21-40%)","High (&gt;40%)"))))</f>
        <v/>
      </c>
      <c r="Y2509" s="23" t="str">
        <f aca="false">IF(AND(ISNUMBER(C2509),ISNUMBER(D2509)),D2509-C2509,"")</f>
        <v/>
      </c>
      <c r="Z2509" s="23" t="str">
        <f aca="false">IF(B2509="","",IF(MATCH(B2509,$B$2:$B$12000,0)=ROW()-1,1,0))</f>
        <v/>
      </c>
    </row>
    <row r="2510" customFormat="false" ht="15" hidden="false" customHeight="false" outlineLevel="0" collapsed="false">
      <c r="V2510" s="23" t="str">
        <f aca="false">IF(ISNUMBER(C2510),YEAR(C2510),"")</f>
        <v/>
      </c>
      <c r="W2510" s="23" t="str">
        <f aca="false">IF(ISNUMBER(C2510),MONTH(C2510),"")</f>
        <v/>
      </c>
      <c r="X2510" s="23" t="str">
        <f aca="false">IF(T2510="","",IF(T2510=0,"No discount",IF(T2510&lt;=0.2,"Low (1-20%)",IF(T2510&lt;=0.4,"Medium (21-40%)","High (&gt;40%)"))))</f>
        <v/>
      </c>
      <c r="Y2510" s="23" t="str">
        <f aca="false">IF(AND(ISNUMBER(C2510),ISNUMBER(D2510)),D2510-C2510,"")</f>
        <v/>
      </c>
      <c r="Z2510" s="23" t="str">
        <f aca="false">IF(B2510="","",IF(MATCH(B2510,$B$2:$B$12000,0)=ROW()-1,1,0))</f>
        <v/>
      </c>
    </row>
    <row r="2511" customFormat="false" ht="15" hidden="false" customHeight="false" outlineLevel="0" collapsed="false">
      <c r="V2511" s="23" t="str">
        <f aca="false">IF(ISNUMBER(C2511),YEAR(C2511),"")</f>
        <v/>
      </c>
      <c r="W2511" s="23" t="str">
        <f aca="false">IF(ISNUMBER(C2511),MONTH(C2511),"")</f>
        <v/>
      </c>
      <c r="X2511" s="23" t="str">
        <f aca="false">IF(T2511="","",IF(T2511=0,"No discount",IF(T2511&lt;=0.2,"Low (1-20%)",IF(T2511&lt;=0.4,"Medium (21-40%)","High (&gt;40%)"))))</f>
        <v/>
      </c>
      <c r="Y2511" s="23" t="str">
        <f aca="false">IF(AND(ISNUMBER(C2511),ISNUMBER(D2511)),D2511-C2511,"")</f>
        <v/>
      </c>
      <c r="Z2511" s="23" t="str">
        <f aca="false">IF(B2511="","",IF(MATCH(B2511,$B$2:$B$12000,0)=ROW()-1,1,0))</f>
        <v/>
      </c>
    </row>
    <row r="2512" customFormat="false" ht="15" hidden="false" customHeight="false" outlineLevel="0" collapsed="false">
      <c r="V2512" s="23" t="str">
        <f aca="false">IF(ISNUMBER(C2512),YEAR(C2512),"")</f>
        <v/>
      </c>
      <c r="W2512" s="23" t="str">
        <f aca="false">IF(ISNUMBER(C2512),MONTH(C2512),"")</f>
        <v/>
      </c>
      <c r="X2512" s="23" t="str">
        <f aca="false">IF(T2512="","",IF(T2512=0,"No discount",IF(T2512&lt;=0.2,"Low (1-20%)",IF(T2512&lt;=0.4,"Medium (21-40%)","High (&gt;40%)"))))</f>
        <v/>
      </c>
      <c r="Y2512" s="23" t="str">
        <f aca="false">IF(AND(ISNUMBER(C2512),ISNUMBER(D2512)),D2512-C2512,"")</f>
        <v/>
      </c>
      <c r="Z2512" s="23" t="str">
        <f aca="false">IF(B2512="","",IF(MATCH(B2512,$B$2:$B$12000,0)=ROW()-1,1,0))</f>
        <v/>
      </c>
    </row>
    <row r="2513" customFormat="false" ht="15" hidden="false" customHeight="false" outlineLevel="0" collapsed="false">
      <c r="V2513" s="23" t="str">
        <f aca="false">IF(ISNUMBER(C2513),YEAR(C2513),"")</f>
        <v/>
      </c>
      <c r="W2513" s="23" t="str">
        <f aca="false">IF(ISNUMBER(C2513),MONTH(C2513),"")</f>
        <v/>
      </c>
      <c r="X2513" s="23" t="str">
        <f aca="false">IF(T2513="","",IF(T2513=0,"No discount",IF(T2513&lt;=0.2,"Low (1-20%)",IF(T2513&lt;=0.4,"Medium (21-40%)","High (&gt;40%)"))))</f>
        <v/>
      </c>
      <c r="Y2513" s="23" t="str">
        <f aca="false">IF(AND(ISNUMBER(C2513),ISNUMBER(D2513)),D2513-C2513,"")</f>
        <v/>
      </c>
      <c r="Z2513" s="23" t="str">
        <f aca="false">IF(B2513="","",IF(MATCH(B2513,$B$2:$B$12000,0)=ROW()-1,1,0))</f>
        <v/>
      </c>
    </row>
    <row r="2514" customFormat="false" ht="15" hidden="false" customHeight="false" outlineLevel="0" collapsed="false">
      <c r="V2514" s="23" t="str">
        <f aca="false">IF(ISNUMBER(C2514),YEAR(C2514),"")</f>
        <v/>
      </c>
      <c r="W2514" s="23" t="str">
        <f aca="false">IF(ISNUMBER(C2514),MONTH(C2514),"")</f>
        <v/>
      </c>
      <c r="X2514" s="23" t="str">
        <f aca="false">IF(T2514="","",IF(T2514=0,"No discount",IF(T2514&lt;=0.2,"Low (1-20%)",IF(T2514&lt;=0.4,"Medium (21-40%)","High (&gt;40%)"))))</f>
        <v/>
      </c>
      <c r="Y2514" s="23" t="str">
        <f aca="false">IF(AND(ISNUMBER(C2514),ISNUMBER(D2514)),D2514-C2514,"")</f>
        <v/>
      </c>
      <c r="Z2514" s="23" t="str">
        <f aca="false">IF(B2514="","",IF(MATCH(B2514,$B$2:$B$12000,0)=ROW()-1,1,0))</f>
        <v/>
      </c>
    </row>
    <row r="2515" customFormat="false" ht="15" hidden="false" customHeight="false" outlineLevel="0" collapsed="false">
      <c r="V2515" s="23" t="str">
        <f aca="false">IF(ISNUMBER(C2515),YEAR(C2515),"")</f>
        <v/>
      </c>
      <c r="W2515" s="23" t="str">
        <f aca="false">IF(ISNUMBER(C2515),MONTH(C2515),"")</f>
        <v/>
      </c>
      <c r="X2515" s="23" t="str">
        <f aca="false">IF(T2515="","",IF(T2515=0,"No discount",IF(T2515&lt;=0.2,"Low (1-20%)",IF(T2515&lt;=0.4,"Medium (21-40%)","High (&gt;40%)"))))</f>
        <v/>
      </c>
      <c r="Y2515" s="23" t="str">
        <f aca="false">IF(AND(ISNUMBER(C2515),ISNUMBER(D2515)),D2515-C2515,"")</f>
        <v/>
      </c>
      <c r="Z2515" s="23" t="str">
        <f aca="false">IF(B2515="","",IF(MATCH(B2515,$B$2:$B$12000,0)=ROW()-1,1,0))</f>
        <v/>
      </c>
    </row>
    <row r="2516" customFormat="false" ht="15" hidden="false" customHeight="false" outlineLevel="0" collapsed="false">
      <c r="V2516" s="23" t="str">
        <f aca="false">IF(ISNUMBER(C2516),YEAR(C2516),"")</f>
        <v/>
      </c>
      <c r="W2516" s="23" t="str">
        <f aca="false">IF(ISNUMBER(C2516),MONTH(C2516),"")</f>
        <v/>
      </c>
      <c r="X2516" s="23" t="str">
        <f aca="false">IF(T2516="","",IF(T2516=0,"No discount",IF(T2516&lt;=0.2,"Low (1-20%)",IF(T2516&lt;=0.4,"Medium (21-40%)","High (&gt;40%)"))))</f>
        <v/>
      </c>
      <c r="Y2516" s="23" t="str">
        <f aca="false">IF(AND(ISNUMBER(C2516),ISNUMBER(D2516)),D2516-C2516,"")</f>
        <v/>
      </c>
      <c r="Z2516" s="23" t="str">
        <f aca="false">IF(B2516="","",IF(MATCH(B2516,$B$2:$B$12000,0)=ROW()-1,1,0))</f>
        <v/>
      </c>
    </row>
    <row r="2517" customFormat="false" ht="15" hidden="false" customHeight="false" outlineLevel="0" collapsed="false">
      <c r="V2517" s="23" t="str">
        <f aca="false">IF(ISNUMBER(C2517),YEAR(C2517),"")</f>
        <v/>
      </c>
      <c r="W2517" s="23" t="str">
        <f aca="false">IF(ISNUMBER(C2517),MONTH(C2517),"")</f>
        <v/>
      </c>
      <c r="X2517" s="23" t="str">
        <f aca="false">IF(T2517="","",IF(T2517=0,"No discount",IF(T2517&lt;=0.2,"Low (1-20%)",IF(T2517&lt;=0.4,"Medium (21-40%)","High (&gt;40%)"))))</f>
        <v/>
      </c>
      <c r="Y2517" s="23" t="str">
        <f aca="false">IF(AND(ISNUMBER(C2517),ISNUMBER(D2517)),D2517-C2517,"")</f>
        <v/>
      </c>
      <c r="Z2517" s="23" t="str">
        <f aca="false">IF(B2517="","",IF(MATCH(B2517,$B$2:$B$12000,0)=ROW()-1,1,0))</f>
        <v/>
      </c>
    </row>
    <row r="2518" customFormat="false" ht="15" hidden="false" customHeight="false" outlineLevel="0" collapsed="false">
      <c r="V2518" s="23" t="str">
        <f aca="false">IF(ISNUMBER(C2518),YEAR(C2518),"")</f>
        <v/>
      </c>
      <c r="W2518" s="23" t="str">
        <f aca="false">IF(ISNUMBER(C2518),MONTH(C2518),"")</f>
        <v/>
      </c>
      <c r="X2518" s="23" t="str">
        <f aca="false">IF(T2518="","",IF(T2518=0,"No discount",IF(T2518&lt;=0.2,"Low (1-20%)",IF(T2518&lt;=0.4,"Medium (21-40%)","High (&gt;40%)"))))</f>
        <v/>
      </c>
      <c r="Y2518" s="23" t="str">
        <f aca="false">IF(AND(ISNUMBER(C2518),ISNUMBER(D2518)),D2518-C2518,"")</f>
        <v/>
      </c>
      <c r="Z2518" s="23" t="str">
        <f aca="false">IF(B2518="","",IF(MATCH(B2518,$B$2:$B$12000,0)=ROW()-1,1,0))</f>
        <v/>
      </c>
    </row>
    <row r="2519" customFormat="false" ht="15" hidden="false" customHeight="false" outlineLevel="0" collapsed="false">
      <c r="V2519" s="23" t="str">
        <f aca="false">IF(ISNUMBER(C2519),YEAR(C2519),"")</f>
        <v/>
      </c>
      <c r="W2519" s="23" t="str">
        <f aca="false">IF(ISNUMBER(C2519),MONTH(C2519),"")</f>
        <v/>
      </c>
      <c r="X2519" s="23" t="str">
        <f aca="false">IF(T2519="","",IF(T2519=0,"No discount",IF(T2519&lt;=0.2,"Low (1-20%)",IF(T2519&lt;=0.4,"Medium (21-40%)","High (&gt;40%)"))))</f>
        <v/>
      </c>
      <c r="Y2519" s="23" t="str">
        <f aca="false">IF(AND(ISNUMBER(C2519),ISNUMBER(D2519)),D2519-C2519,"")</f>
        <v/>
      </c>
      <c r="Z2519" s="23" t="str">
        <f aca="false">IF(B2519="","",IF(MATCH(B2519,$B$2:$B$12000,0)=ROW()-1,1,0))</f>
        <v/>
      </c>
    </row>
    <row r="2520" customFormat="false" ht="15" hidden="false" customHeight="false" outlineLevel="0" collapsed="false">
      <c r="V2520" s="23" t="str">
        <f aca="false">IF(ISNUMBER(C2520),YEAR(C2520),"")</f>
        <v/>
      </c>
      <c r="W2520" s="23" t="str">
        <f aca="false">IF(ISNUMBER(C2520),MONTH(C2520),"")</f>
        <v/>
      </c>
      <c r="X2520" s="23" t="str">
        <f aca="false">IF(T2520="","",IF(T2520=0,"No discount",IF(T2520&lt;=0.2,"Low (1-20%)",IF(T2520&lt;=0.4,"Medium (21-40%)","High (&gt;40%)"))))</f>
        <v/>
      </c>
      <c r="Y2520" s="23" t="str">
        <f aca="false">IF(AND(ISNUMBER(C2520),ISNUMBER(D2520)),D2520-C2520,"")</f>
        <v/>
      </c>
      <c r="Z2520" s="23" t="str">
        <f aca="false">IF(B2520="","",IF(MATCH(B2520,$B$2:$B$12000,0)=ROW()-1,1,0))</f>
        <v/>
      </c>
    </row>
    <row r="2521" customFormat="false" ht="15" hidden="false" customHeight="false" outlineLevel="0" collapsed="false">
      <c r="V2521" s="23" t="str">
        <f aca="false">IF(ISNUMBER(C2521),YEAR(C2521),"")</f>
        <v/>
      </c>
      <c r="W2521" s="23" t="str">
        <f aca="false">IF(ISNUMBER(C2521),MONTH(C2521),"")</f>
        <v/>
      </c>
      <c r="X2521" s="23" t="str">
        <f aca="false">IF(T2521="","",IF(T2521=0,"No discount",IF(T2521&lt;=0.2,"Low (1-20%)",IF(T2521&lt;=0.4,"Medium (21-40%)","High (&gt;40%)"))))</f>
        <v/>
      </c>
      <c r="Y2521" s="23" t="str">
        <f aca="false">IF(AND(ISNUMBER(C2521),ISNUMBER(D2521)),D2521-C2521,"")</f>
        <v/>
      </c>
      <c r="Z2521" s="23" t="str">
        <f aca="false">IF(B2521="","",IF(MATCH(B2521,$B$2:$B$12000,0)=ROW()-1,1,0))</f>
        <v/>
      </c>
    </row>
    <row r="2522" customFormat="false" ht="15" hidden="false" customHeight="false" outlineLevel="0" collapsed="false">
      <c r="V2522" s="23" t="str">
        <f aca="false">IF(ISNUMBER(C2522),YEAR(C2522),"")</f>
        <v/>
      </c>
      <c r="W2522" s="23" t="str">
        <f aca="false">IF(ISNUMBER(C2522),MONTH(C2522),"")</f>
        <v/>
      </c>
      <c r="X2522" s="23" t="str">
        <f aca="false">IF(T2522="","",IF(T2522=0,"No discount",IF(T2522&lt;=0.2,"Low (1-20%)",IF(T2522&lt;=0.4,"Medium (21-40%)","High (&gt;40%)"))))</f>
        <v/>
      </c>
      <c r="Y2522" s="23" t="str">
        <f aca="false">IF(AND(ISNUMBER(C2522),ISNUMBER(D2522)),D2522-C2522,"")</f>
        <v/>
      </c>
      <c r="Z2522" s="23" t="str">
        <f aca="false">IF(B2522="","",IF(MATCH(B2522,$B$2:$B$12000,0)=ROW()-1,1,0))</f>
        <v/>
      </c>
    </row>
    <row r="2523" customFormat="false" ht="15" hidden="false" customHeight="false" outlineLevel="0" collapsed="false">
      <c r="V2523" s="23" t="str">
        <f aca="false">IF(ISNUMBER(C2523),YEAR(C2523),"")</f>
        <v/>
      </c>
      <c r="W2523" s="23" t="str">
        <f aca="false">IF(ISNUMBER(C2523),MONTH(C2523),"")</f>
        <v/>
      </c>
      <c r="X2523" s="23" t="str">
        <f aca="false">IF(T2523="","",IF(T2523=0,"No discount",IF(T2523&lt;=0.2,"Low (1-20%)",IF(T2523&lt;=0.4,"Medium (21-40%)","High (&gt;40%)"))))</f>
        <v/>
      </c>
      <c r="Y2523" s="23" t="str">
        <f aca="false">IF(AND(ISNUMBER(C2523),ISNUMBER(D2523)),D2523-C2523,"")</f>
        <v/>
      </c>
      <c r="Z2523" s="23" t="str">
        <f aca="false">IF(B2523="","",IF(MATCH(B2523,$B$2:$B$12000,0)=ROW()-1,1,0))</f>
        <v/>
      </c>
    </row>
    <row r="2524" customFormat="false" ht="15" hidden="false" customHeight="false" outlineLevel="0" collapsed="false">
      <c r="V2524" s="23" t="str">
        <f aca="false">IF(ISNUMBER(C2524),YEAR(C2524),"")</f>
        <v/>
      </c>
      <c r="W2524" s="23" t="str">
        <f aca="false">IF(ISNUMBER(C2524),MONTH(C2524),"")</f>
        <v/>
      </c>
      <c r="X2524" s="23" t="str">
        <f aca="false">IF(T2524="","",IF(T2524=0,"No discount",IF(T2524&lt;=0.2,"Low (1-20%)",IF(T2524&lt;=0.4,"Medium (21-40%)","High (&gt;40%)"))))</f>
        <v/>
      </c>
      <c r="Y2524" s="23" t="str">
        <f aca="false">IF(AND(ISNUMBER(C2524),ISNUMBER(D2524)),D2524-C2524,"")</f>
        <v/>
      </c>
      <c r="Z2524" s="23" t="str">
        <f aca="false">IF(B2524="","",IF(MATCH(B2524,$B$2:$B$12000,0)=ROW()-1,1,0))</f>
        <v/>
      </c>
    </row>
    <row r="2525" customFormat="false" ht="15" hidden="false" customHeight="false" outlineLevel="0" collapsed="false">
      <c r="V2525" s="23" t="str">
        <f aca="false">IF(ISNUMBER(C2525),YEAR(C2525),"")</f>
        <v/>
      </c>
      <c r="W2525" s="23" t="str">
        <f aca="false">IF(ISNUMBER(C2525),MONTH(C2525),"")</f>
        <v/>
      </c>
      <c r="X2525" s="23" t="str">
        <f aca="false">IF(T2525="","",IF(T2525=0,"No discount",IF(T2525&lt;=0.2,"Low (1-20%)",IF(T2525&lt;=0.4,"Medium (21-40%)","High (&gt;40%)"))))</f>
        <v/>
      </c>
      <c r="Y2525" s="23" t="str">
        <f aca="false">IF(AND(ISNUMBER(C2525),ISNUMBER(D2525)),D2525-C2525,"")</f>
        <v/>
      </c>
      <c r="Z2525" s="23" t="str">
        <f aca="false">IF(B2525="","",IF(MATCH(B2525,$B$2:$B$12000,0)=ROW()-1,1,0))</f>
        <v/>
      </c>
    </row>
    <row r="2526" customFormat="false" ht="15" hidden="false" customHeight="false" outlineLevel="0" collapsed="false">
      <c r="V2526" s="23" t="str">
        <f aca="false">IF(ISNUMBER(C2526),YEAR(C2526),"")</f>
        <v/>
      </c>
      <c r="W2526" s="23" t="str">
        <f aca="false">IF(ISNUMBER(C2526),MONTH(C2526),"")</f>
        <v/>
      </c>
      <c r="X2526" s="23" t="str">
        <f aca="false">IF(T2526="","",IF(T2526=0,"No discount",IF(T2526&lt;=0.2,"Low (1-20%)",IF(T2526&lt;=0.4,"Medium (21-40%)","High (&gt;40%)"))))</f>
        <v/>
      </c>
      <c r="Y2526" s="23" t="str">
        <f aca="false">IF(AND(ISNUMBER(C2526),ISNUMBER(D2526)),D2526-C2526,"")</f>
        <v/>
      </c>
      <c r="Z2526" s="23" t="str">
        <f aca="false">IF(B2526="","",IF(MATCH(B2526,$B$2:$B$12000,0)=ROW()-1,1,0))</f>
        <v/>
      </c>
    </row>
    <row r="2527" customFormat="false" ht="15" hidden="false" customHeight="false" outlineLevel="0" collapsed="false">
      <c r="V2527" s="23" t="str">
        <f aca="false">IF(ISNUMBER(C2527),YEAR(C2527),"")</f>
        <v/>
      </c>
      <c r="W2527" s="23" t="str">
        <f aca="false">IF(ISNUMBER(C2527),MONTH(C2527),"")</f>
        <v/>
      </c>
      <c r="X2527" s="23" t="str">
        <f aca="false">IF(T2527="","",IF(T2527=0,"No discount",IF(T2527&lt;=0.2,"Low (1-20%)",IF(T2527&lt;=0.4,"Medium (21-40%)","High (&gt;40%)"))))</f>
        <v/>
      </c>
      <c r="Y2527" s="23" t="str">
        <f aca="false">IF(AND(ISNUMBER(C2527),ISNUMBER(D2527)),D2527-C2527,"")</f>
        <v/>
      </c>
      <c r="Z2527" s="23" t="str">
        <f aca="false">IF(B2527="","",IF(MATCH(B2527,$B$2:$B$12000,0)=ROW()-1,1,0))</f>
        <v/>
      </c>
    </row>
    <row r="2528" customFormat="false" ht="15" hidden="false" customHeight="false" outlineLevel="0" collapsed="false">
      <c r="V2528" s="23" t="str">
        <f aca="false">IF(ISNUMBER(C2528),YEAR(C2528),"")</f>
        <v/>
      </c>
      <c r="W2528" s="23" t="str">
        <f aca="false">IF(ISNUMBER(C2528),MONTH(C2528),"")</f>
        <v/>
      </c>
      <c r="X2528" s="23" t="str">
        <f aca="false">IF(T2528="","",IF(T2528=0,"No discount",IF(T2528&lt;=0.2,"Low (1-20%)",IF(T2528&lt;=0.4,"Medium (21-40%)","High (&gt;40%)"))))</f>
        <v/>
      </c>
      <c r="Y2528" s="23" t="str">
        <f aca="false">IF(AND(ISNUMBER(C2528),ISNUMBER(D2528)),D2528-C2528,"")</f>
        <v/>
      </c>
      <c r="Z2528" s="23" t="str">
        <f aca="false">IF(B2528="","",IF(MATCH(B2528,$B$2:$B$12000,0)=ROW()-1,1,0))</f>
        <v/>
      </c>
    </row>
    <row r="2529" customFormat="false" ht="15" hidden="false" customHeight="false" outlineLevel="0" collapsed="false">
      <c r="V2529" s="23" t="str">
        <f aca="false">IF(ISNUMBER(C2529),YEAR(C2529),"")</f>
        <v/>
      </c>
      <c r="W2529" s="23" t="str">
        <f aca="false">IF(ISNUMBER(C2529),MONTH(C2529),"")</f>
        <v/>
      </c>
      <c r="X2529" s="23" t="str">
        <f aca="false">IF(T2529="","",IF(T2529=0,"No discount",IF(T2529&lt;=0.2,"Low (1-20%)",IF(T2529&lt;=0.4,"Medium (21-40%)","High (&gt;40%)"))))</f>
        <v/>
      </c>
      <c r="Y2529" s="23" t="str">
        <f aca="false">IF(AND(ISNUMBER(C2529),ISNUMBER(D2529)),D2529-C2529,"")</f>
        <v/>
      </c>
      <c r="Z2529" s="23" t="str">
        <f aca="false">IF(B2529="","",IF(MATCH(B2529,$B$2:$B$12000,0)=ROW()-1,1,0))</f>
        <v/>
      </c>
    </row>
    <row r="2530" customFormat="false" ht="15" hidden="false" customHeight="false" outlineLevel="0" collapsed="false">
      <c r="V2530" s="23" t="str">
        <f aca="false">IF(ISNUMBER(C2530),YEAR(C2530),"")</f>
        <v/>
      </c>
      <c r="W2530" s="23" t="str">
        <f aca="false">IF(ISNUMBER(C2530),MONTH(C2530),"")</f>
        <v/>
      </c>
      <c r="X2530" s="23" t="str">
        <f aca="false">IF(T2530="","",IF(T2530=0,"No discount",IF(T2530&lt;=0.2,"Low (1-20%)",IF(T2530&lt;=0.4,"Medium (21-40%)","High (&gt;40%)"))))</f>
        <v/>
      </c>
      <c r="Y2530" s="23" t="str">
        <f aca="false">IF(AND(ISNUMBER(C2530),ISNUMBER(D2530)),D2530-C2530,"")</f>
        <v/>
      </c>
      <c r="Z2530" s="23" t="str">
        <f aca="false">IF(B2530="","",IF(MATCH(B2530,$B$2:$B$12000,0)=ROW()-1,1,0))</f>
        <v/>
      </c>
    </row>
    <row r="2531" customFormat="false" ht="15" hidden="false" customHeight="false" outlineLevel="0" collapsed="false">
      <c r="V2531" s="23" t="str">
        <f aca="false">IF(ISNUMBER(C2531),YEAR(C2531),"")</f>
        <v/>
      </c>
      <c r="W2531" s="23" t="str">
        <f aca="false">IF(ISNUMBER(C2531),MONTH(C2531),"")</f>
        <v/>
      </c>
      <c r="X2531" s="23" t="str">
        <f aca="false">IF(T2531="","",IF(T2531=0,"No discount",IF(T2531&lt;=0.2,"Low (1-20%)",IF(T2531&lt;=0.4,"Medium (21-40%)","High (&gt;40%)"))))</f>
        <v/>
      </c>
      <c r="Y2531" s="23" t="str">
        <f aca="false">IF(AND(ISNUMBER(C2531),ISNUMBER(D2531)),D2531-C2531,"")</f>
        <v/>
      </c>
      <c r="Z2531" s="23" t="str">
        <f aca="false">IF(B2531="","",IF(MATCH(B2531,$B$2:$B$12000,0)=ROW()-1,1,0))</f>
        <v/>
      </c>
    </row>
    <row r="2532" customFormat="false" ht="15" hidden="false" customHeight="false" outlineLevel="0" collapsed="false">
      <c r="V2532" s="23" t="str">
        <f aca="false">IF(ISNUMBER(C2532),YEAR(C2532),"")</f>
        <v/>
      </c>
      <c r="W2532" s="23" t="str">
        <f aca="false">IF(ISNUMBER(C2532),MONTH(C2532),"")</f>
        <v/>
      </c>
      <c r="X2532" s="23" t="str">
        <f aca="false">IF(T2532="","",IF(T2532=0,"No discount",IF(T2532&lt;=0.2,"Low (1-20%)",IF(T2532&lt;=0.4,"Medium (21-40%)","High (&gt;40%)"))))</f>
        <v/>
      </c>
      <c r="Y2532" s="23" t="str">
        <f aca="false">IF(AND(ISNUMBER(C2532),ISNUMBER(D2532)),D2532-C2532,"")</f>
        <v/>
      </c>
      <c r="Z2532" s="23" t="str">
        <f aca="false">IF(B2532="","",IF(MATCH(B2532,$B$2:$B$12000,0)=ROW()-1,1,0))</f>
        <v/>
      </c>
    </row>
    <row r="2533" customFormat="false" ht="15" hidden="false" customHeight="false" outlineLevel="0" collapsed="false">
      <c r="V2533" s="23" t="str">
        <f aca="false">IF(ISNUMBER(C2533),YEAR(C2533),"")</f>
        <v/>
      </c>
      <c r="W2533" s="23" t="str">
        <f aca="false">IF(ISNUMBER(C2533),MONTH(C2533),"")</f>
        <v/>
      </c>
      <c r="X2533" s="23" t="str">
        <f aca="false">IF(T2533="","",IF(T2533=0,"No discount",IF(T2533&lt;=0.2,"Low (1-20%)",IF(T2533&lt;=0.4,"Medium (21-40%)","High (&gt;40%)"))))</f>
        <v/>
      </c>
      <c r="Y2533" s="23" t="str">
        <f aca="false">IF(AND(ISNUMBER(C2533),ISNUMBER(D2533)),D2533-C2533,"")</f>
        <v/>
      </c>
      <c r="Z2533" s="23" t="str">
        <f aca="false">IF(B2533="","",IF(MATCH(B2533,$B$2:$B$12000,0)=ROW()-1,1,0))</f>
        <v/>
      </c>
    </row>
    <row r="2534" customFormat="false" ht="15" hidden="false" customHeight="false" outlineLevel="0" collapsed="false">
      <c r="V2534" s="23" t="str">
        <f aca="false">IF(ISNUMBER(C2534),YEAR(C2534),"")</f>
        <v/>
      </c>
      <c r="W2534" s="23" t="str">
        <f aca="false">IF(ISNUMBER(C2534),MONTH(C2534),"")</f>
        <v/>
      </c>
      <c r="X2534" s="23" t="str">
        <f aca="false">IF(T2534="","",IF(T2534=0,"No discount",IF(T2534&lt;=0.2,"Low (1-20%)",IF(T2534&lt;=0.4,"Medium (21-40%)","High (&gt;40%)"))))</f>
        <v/>
      </c>
      <c r="Y2534" s="23" t="str">
        <f aca="false">IF(AND(ISNUMBER(C2534),ISNUMBER(D2534)),D2534-C2534,"")</f>
        <v/>
      </c>
      <c r="Z2534" s="23" t="str">
        <f aca="false">IF(B2534="","",IF(MATCH(B2534,$B$2:$B$12000,0)=ROW()-1,1,0))</f>
        <v/>
      </c>
    </row>
    <row r="2535" customFormat="false" ht="15" hidden="false" customHeight="false" outlineLevel="0" collapsed="false">
      <c r="V2535" s="23" t="str">
        <f aca="false">IF(ISNUMBER(C2535),YEAR(C2535),"")</f>
        <v/>
      </c>
      <c r="W2535" s="23" t="str">
        <f aca="false">IF(ISNUMBER(C2535),MONTH(C2535),"")</f>
        <v/>
      </c>
      <c r="X2535" s="23" t="str">
        <f aca="false">IF(T2535="","",IF(T2535=0,"No discount",IF(T2535&lt;=0.2,"Low (1-20%)",IF(T2535&lt;=0.4,"Medium (21-40%)","High (&gt;40%)"))))</f>
        <v/>
      </c>
      <c r="Y2535" s="23" t="str">
        <f aca="false">IF(AND(ISNUMBER(C2535),ISNUMBER(D2535)),D2535-C2535,"")</f>
        <v/>
      </c>
      <c r="Z2535" s="23" t="str">
        <f aca="false">IF(B2535="","",IF(MATCH(B2535,$B$2:$B$12000,0)=ROW()-1,1,0))</f>
        <v/>
      </c>
    </row>
    <row r="2536" customFormat="false" ht="15" hidden="false" customHeight="false" outlineLevel="0" collapsed="false">
      <c r="V2536" s="23" t="str">
        <f aca="false">IF(ISNUMBER(C2536),YEAR(C2536),"")</f>
        <v/>
      </c>
      <c r="W2536" s="23" t="str">
        <f aca="false">IF(ISNUMBER(C2536),MONTH(C2536),"")</f>
        <v/>
      </c>
      <c r="X2536" s="23" t="str">
        <f aca="false">IF(T2536="","",IF(T2536=0,"No discount",IF(T2536&lt;=0.2,"Low (1-20%)",IF(T2536&lt;=0.4,"Medium (21-40%)","High (&gt;40%)"))))</f>
        <v/>
      </c>
      <c r="Y2536" s="23" t="str">
        <f aca="false">IF(AND(ISNUMBER(C2536),ISNUMBER(D2536)),D2536-C2536,"")</f>
        <v/>
      </c>
      <c r="Z2536" s="23" t="str">
        <f aca="false">IF(B2536="","",IF(MATCH(B2536,$B$2:$B$12000,0)=ROW()-1,1,0))</f>
        <v/>
      </c>
    </row>
    <row r="2537" customFormat="false" ht="15" hidden="false" customHeight="false" outlineLevel="0" collapsed="false">
      <c r="V2537" s="23" t="str">
        <f aca="false">IF(ISNUMBER(C2537),YEAR(C2537),"")</f>
        <v/>
      </c>
      <c r="W2537" s="23" t="str">
        <f aca="false">IF(ISNUMBER(C2537),MONTH(C2537),"")</f>
        <v/>
      </c>
      <c r="X2537" s="23" t="str">
        <f aca="false">IF(T2537="","",IF(T2537=0,"No discount",IF(T2537&lt;=0.2,"Low (1-20%)",IF(T2537&lt;=0.4,"Medium (21-40%)","High (&gt;40%)"))))</f>
        <v/>
      </c>
      <c r="Y2537" s="23" t="str">
        <f aca="false">IF(AND(ISNUMBER(C2537),ISNUMBER(D2537)),D2537-C2537,"")</f>
        <v/>
      </c>
      <c r="Z2537" s="23" t="str">
        <f aca="false">IF(B2537="","",IF(MATCH(B2537,$B$2:$B$12000,0)=ROW()-1,1,0))</f>
        <v/>
      </c>
    </row>
    <row r="2538" customFormat="false" ht="15" hidden="false" customHeight="false" outlineLevel="0" collapsed="false">
      <c r="V2538" s="23" t="str">
        <f aca="false">IF(ISNUMBER(C2538),YEAR(C2538),"")</f>
        <v/>
      </c>
      <c r="W2538" s="23" t="str">
        <f aca="false">IF(ISNUMBER(C2538),MONTH(C2538),"")</f>
        <v/>
      </c>
      <c r="X2538" s="23" t="str">
        <f aca="false">IF(T2538="","",IF(T2538=0,"No discount",IF(T2538&lt;=0.2,"Low (1-20%)",IF(T2538&lt;=0.4,"Medium (21-40%)","High (&gt;40%)"))))</f>
        <v/>
      </c>
      <c r="Y2538" s="23" t="str">
        <f aca="false">IF(AND(ISNUMBER(C2538),ISNUMBER(D2538)),D2538-C2538,"")</f>
        <v/>
      </c>
      <c r="Z2538" s="23" t="str">
        <f aca="false">IF(B2538="","",IF(MATCH(B2538,$B$2:$B$12000,0)=ROW()-1,1,0))</f>
        <v/>
      </c>
    </row>
    <row r="2539" customFormat="false" ht="15" hidden="false" customHeight="false" outlineLevel="0" collapsed="false">
      <c r="V2539" s="23" t="str">
        <f aca="false">IF(ISNUMBER(C2539),YEAR(C2539),"")</f>
        <v/>
      </c>
      <c r="W2539" s="23" t="str">
        <f aca="false">IF(ISNUMBER(C2539),MONTH(C2539),"")</f>
        <v/>
      </c>
      <c r="X2539" s="23" t="str">
        <f aca="false">IF(T2539="","",IF(T2539=0,"No discount",IF(T2539&lt;=0.2,"Low (1-20%)",IF(T2539&lt;=0.4,"Medium (21-40%)","High (&gt;40%)"))))</f>
        <v/>
      </c>
      <c r="Y2539" s="23" t="str">
        <f aca="false">IF(AND(ISNUMBER(C2539),ISNUMBER(D2539)),D2539-C2539,"")</f>
        <v/>
      </c>
      <c r="Z2539" s="23" t="str">
        <f aca="false">IF(B2539="","",IF(MATCH(B2539,$B$2:$B$12000,0)=ROW()-1,1,0))</f>
        <v/>
      </c>
    </row>
    <row r="2540" customFormat="false" ht="15" hidden="false" customHeight="false" outlineLevel="0" collapsed="false">
      <c r="V2540" s="23" t="str">
        <f aca="false">IF(ISNUMBER(C2540),YEAR(C2540),"")</f>
        <v/>
      </c>
      <c r="W2540" s="23" t="str">
        <f aca="false">IF(ISNUMBER(C2540),MONTH(C2540),"")</f>
        <v/>
      </c>
      <c r="X2540" s="23" t="str">
        <f aca="false">IF(T2540="","",IF(T2540=0,"No discount",IF(T2540&lt;=0.2,"Low (1-20%)",IF(T2540&lt;=0.4,"Medium (21-40%)","High (&gt;40%)"))))</f>
        <v/>
      </c>
      <c r="Y2540" s="23" t="str">
        <f aca="false">IF(AND(ISNUMBER(C2540),ISNUMBER(D2540)),D2540-C2540,"")</f>
        <v/>
      </c>
      <c r="Z2540" s="23" t="str">
        <f aca="false">IF(B2540="","",IF(MATCH(B2540,$B$2:$B$12000,0)=ROW()-1,1,0))</f>
        <v/>
      </c>
    </row>
    <row r="2541" customFormat="false" ht="15" hidden="false" customHeight="false" outlineLevel="0" collapsed="false">
      <c r="V2541" s="23" t="str">
        <f aca="false">IF(ISNUMBER(C2541),YEAR(C2541),"")</f>
        <v/>
      </c>
      <c r="W2541" s="23" t="str">
        <f aca="false">IF(ISNUMBER(C2541),MONTH(C2541),"")</f>
        <v/>
      </c>
      <c r="X2541" s="23" t="str">
        <f aca="false">IF(T2541="","",IF(T2541=0,"No discount",IF(T2541&lt;=0.2,"Low (1-20%)",IF(T2541&lt;=0.4,"Medium (21-40%)","High (&gt;40%)"))))</f>
        <v/>
      </c>
      <c r="Y2541" s="23" t="str">
        <f aca="false">IF(AND(ISNUMBER(C2541),ISNUMBER(D2541)),D2541-C2541,"")</f>
        <v/>
      </c>
      <c r="Z2541" s="23" t="str">
        <f aca="false">IF(B2541="","",IF(MATCH(B2541,$B$2:$B$12000,0)=ROW()-1,1,0))</f>
        <v/>
      </c>
    </row>
    <row r="2542" customFormat="false" ht="15" hidden="false" customHeight="false" outlineLevel="0" collapsed="false">
      <c r="V2542" s="23" t="str">
        <f aca="false">IF(ISNUMBER(C2542),YEAR(C2542),"")</f>
        <v/>
      </c>
      <c r="W2542" s="23" t="str">
        <f aca="false">IF(ISNUMBER(C2542),MONTH(C2542),"")</f>
        <v/>
      </c>
      <c r="X2542" s="23" t="str">
        <f aca="false">IF(T2542="","",IF(T2542=0,"No discount",IF(T2542&lt;=0.2,"Low (1-20%)",IF(T2542&lt;=0.4,"Medium (21-40%)","High (&gt;40%)"))))</f>
        <v/>
      </c>
      <c r="Y2542" s="23" t="str">
        <f aca="false">IF(AND(ISNUMBER(C2542),ISNUMBER(D2542)),D2542-C2542,"")</f>
        <v/>
      </c>
      <c r="Z2542" s="23" t="str">
        <f aca="false">IF(B2542="","",IF(MATCH(B2542,$B$2:$B$12000,0)=ROW()-1,1,0))</f>
        <v/>
      </c>
    </row>
    <row r="2543" customFormat="false" ht="15" hidden="false" customHeight="false" outlineLevel="0" collapsed="false">
      <c r="V2543" s="23" t="str">
        <f aca="false">IF(ISNUMBER(C2543),YEAR(C2543),"")</f>
        <v/>
      </c>
      <c r="W2543" s="23" t="str">
        <f aca="false">IF(ISNUMBER(C2543),MONTH(C2543),"")</f>
        <v/>
      </c>
      <c r="X2543" s="23" t="str">
        <f aca="false">IF(T2543="","",IF(T2543=0,"No discount",IF(T2543&lt;=0.2,"Low (1-20%)",IF(T2543&lt;=0.4,"Medium (21-40%)","High (&gt;40%)"))))</f>
        <v/>
      </c>
      <c r="Y2543" s="23" t="str">
        <f aca="false">IF(AND(ISNUMBER(C2543),ISNUMBER(D2543)),D2543-C2543,"")</f>
        <v/>
      </c>
      <c r="Z2543" s="23" t="str">
        <f aca="false">IF(B2543="","",IF(MATCH(B2543,$B$2:$B$12000,0)=ROW()-1,1,0))</f>
        <v/>
      </c>
    </row>
    <row r="2544" customFormat="false" ht="15" hidden="false" customHeight="false" outlineLevel="0" collapsed="false">
      <c r="V2544" s="23" t="str">
        <f aca="false">IF(ISNUMBER(C2544),YEAR(C2544),"")</f>
        <v/>
      </c>
      <c r="W2544" s="23" t="str">
        <f aca="false">IF(ISNUMBER(C2544),MONTH(C2544),"")</f>
        <v/>
      </c>
      <c r="X2544" s="23" t="str">
        <f aca="false">IF(T2544="","",IF(T2544=0,"No discount",IF(T2544&lt;=0.2,"Low (1-20%)",IF(T2544&lt;=0.4,"Medium (21-40%)","High (&gt;40%)"))))</f>
        <v/>
      </c>
      <c r="Y2544" s="23" t="str">
        <f aca="false">IF(AND(ISNUMBER(C2544),ISNUMBER(D2544)),D2544-C2544,"")</f>
        <v/>
      </c>
      <c r="Z2544" s="23" t="str">
        <f aca="false">IF(B2544="","",IF(MATCH(B2544,$B$2:$B$12000,0)=ROW()-1,1,0))</f>
        <v/>
      </c>
    </row>
    <row r="2545" customFormat="false" ht="15" hidden="false" customHeight="false" outlineLevel="0" collapsed="false">
      <c r="V2545" s="23" t="str">
        <f aca="false">IF(ISNUMBER(C2545),YEAR(C2545),"")</f>
        <v/>
      </c>
      <c r="W2545" s="23" t="str">
        <f aca="false">IF(ISNUMBER(C2545),MONTH(C2545),"")</f>
        <v/>
      </c>
      <c r="X2545" s="23" t="str">
        <f aca="false">IF(T2545="","",IF(T2545=0,"No discount",IF(T2545&lt;=0.2,"Low (1-20%)",IF(T2545&lt;=0.4,"Medium (21-40%)","High (&gt;40%)"))))</f>
        <v/>
      </c>
      <c r="Y2545" s="23" t="str">
        <f aca="false">IF(AND(ISNUMBER(C2545),ISNUMBER(D2545)),D2545-C2545,"")</f>
        <v/>
      </c>
      <c r="Z2545" s="23" t="str">
        <f aca="false">IF(B2545="","",IF(MATCH(B2545,$B$2:$B$12000,0)=ROW()-1,1,0))</f>
        <v/>
      </c>
    </row>
    <row r="2546" customFormat="false" ht="15" hidden="false" customHeight="false" outlineLevel="0" collapsed="false">
      <c r="V2546" s="23" t="str">
        <f aca="false">IF(ISNUMBER(C2546),YEAR(C2546),"")</f>
        <v/>
      </c>
      <c r="W2546" s="23" t="str">
        <f aca="false">IF(ISNUMBER(C2546),MONTH(C2546),"")</f>
        <v/>
      </c>
      <c r="X2546" s="23" t="str">
        <f aca="false">IF(T2546="","",IF(T2546=0,"No discount",IF(T2546&lt;=0.2,"Low (1-20%)",IF(T2546&lt;=0.4,"Medium (21-40%)","High (&gt;40%)"))))</f>
        <v/>
      </c>
      <c r="Y2546" s="23" t="str">
        <f aca="false">IF(AND(ISNUMBER(C2546),ISNUMBER(D2546)),D2546-C2546,"")</f>
        <v/>
      </c>
      <c r="Z2546" s="23" t="str">
        <f aca="false">IF(B2546="","",IF(MATCH(B2546,$B$2:$B$12000,0)=ROW()-1,1,0))</f>
        <v/>
      </c>
    </row>
    <row r="2547" customFormat="false" ht="15" hidden="false" customHeight="false" outlineLevel="0" collapsed="false">
      <c r="V2547" s="23" t="str">
        <f aca="false">IF(ISNUMBER(C2547),YEAR(C2547),"")</f>
        <v/>
      </c>
      <c r="W2547" s="23" t="str">
        <f aca="false">IF(ISNUMBER(C2547),MONTH(C2547),"")</f>
        <v/>
      </c>
      <c r="X2547" s="23" t="str">
        <f aca="false">IF(T2547="","",IF(T2547=0,"No discount",IF(T2547&lt;=0.2,"Low (1-20%)",IF(T2547&lt;=0.4,"Medium (21-40%)","High (&gt;40%)"))))</f>
        <v/>
      </c>
      <c r="Y2547" s="23" t="str">
        <f aca="false">IF(AND(ISNUMBER(C2547),ISNUMBER(D2547)),D2547-C2547,"")</f>
        <v/>
      </c>
      <c r="Z2547" s="23" t="str">
        <f aca="false">IF(B2547="","",IF(MATCH(B2547,$B$2:$B$12000,0)=ROW()-1,1,0))</f>
        <v/>
      </c>
    </row>
    <row r="2548" customFormat="false" ht="15" hidden="false" customHeight="false" outlineLevel="0" collapsed="false">
      <c r="V2548" s="23" t="str">
        <f aca="false">IF(ISNUMBER(C2548),YEAR(C2548),"")</f>
        <v/>
      </c>
      <c r="W2548" s="23" t="str">
        <f aca="false">IF(ISNUMBER(C2548),MONTH(C2548),"")</f>
        <v/>
      </c>
      <c r="X2548" s="23" t="str">
        <f aca="false">IF(T2548="","",IF(T2548=0,"No discount",IF(T2548&lt;=0.2,"Low (1-20%)",IF(T2548&lt;=0.4,"Medium (21-40%)","High (&gt;40%)"))))</f>
        <v/>
      </c>
      <c r="Y2548" s="23" t="str">
        <f aca="false">IF(AND(ISNUMBER(C2548),ISNUMBER(D2548)),D2548-C2548,"")</f>
        <v/>
      </c>
      <c r="Z2548" s="23" t="str">
        <f aca="false">IF(B2548="","",IF(MATCH(B2548,$B$2:$B$12000,0)=ROW()-1,1,0))</f>
        <v/>
      </c>
    </row>
    <row r="2549" customFormat="false" ht="15" hidden="false" customHeight="false" outlineLevel="0" collapsed="false">
      <c r="V2549" s="23" t="str">
        <f aca="false">IF(ISNUMBER(C2549),YEAR(C2549),"")</f>
        <v/>
      </c>
      <c r="W2549" s="23" t="str">
        <f aca="false">IF(ISNUMBER(C2549),MONTH(C2549),"")</f>
        <v/>
      </c>
      <c r="X2549" s="23" t="str">
        <f aca="false">IF(T2549="","",IF(T2549=0,"No discount",IF(T2549&lt;=0.2,"Low (1-20%)",IF(T2549&lt;=0.4,"Medium (21-40%)","High (&gt;40%)"))))</f>
        <v/>
      </c>
      <c r="Y2549" s="23" t="str">
        <f aca="false">IF(AND(ISNUMBER(C2549),ISNUMBER(D2549)),D2549-C2549,"")</f>
        <v/>
      </c>
      <c r="Z2549" s="23" t="str">
        <f aca="false">IF(B2549="","",IF(MATCH(B2549,$B$2:$B$12000,0)=ROW()-1,1,0))</f>
        <v/>
      </c>
    </row>
    <row r="2550" customFormat="false" ht="15" hidden="false" customHeight="false" outlineLevel="0" collapsed="false">
      <c r="V2550" s="23" t="str">
        <f aca="false">IF(ISNUMBER(C2550),YEAR(C2550),"")</f>
        <v/>
      </c>
      <c r="W2550" s="23" t="str">
        <f aca="false">IF(ISNUMBER(C2550),MONTH(C2550),"")</f>
        <v/>
      </c>
      <c r="X2550" s="23" t="str">
        <f aca="false">IF(T2550="","",IF(T2550=0,"No discount",IF(T2550&lt;=0.2,"Low (1-20%)",IF(T2550&lt;=0.4,"Medium (21-40%)","High (&gt;40%)"))))</f>
        <v/>
      </c>
      <c r="Y2550" s="23" t="str">
        <f aca="false">IF(AND(ISNUMBER(C2550),ISNUMBER(D2550)),D2550-C2550,"")</f>
        <v/>
      </c>
      <c r="Z2550" s="23" t="str">
        <f aca="false">IF(B2550="","",IF(MATCH(B2550,$B$2:$B$12000,0)=ROW()-1,1,0))</f>
        <v/>
      </c>
    </row>
    <row r="2551" customFormat="false" ht="15" hidden="false" customHeight="false" outlineLevel="0" collapsed="false">
      <c r="V2551" s="23" t="str">
        <f aca="false">IF(ISNUMBER(C2551),YEAR(C2551),"")</f>
        <v/>
      </c>
      <c r="W2551" s="23" t="str">
        <f aca="false">IF(ISNUMBER(C2551),MONTH(C2551),"")</f>
        <v/>
      </c>
      <c r="X2551" s="23" t="str">
        <f aca="false">IF(T2551="","",IF(T2551=0,"No discount",IF(T2551&lt;=0.2,"Low (1-20%)",IF(T2551&lt;=0.4,"Medium (21-40%)","High (&gt;40%)"))))</f>
        <v/>
      </c>
      <c r="Y2551" s="23" t="str">
        <f aca="false">IF(AND(ISNUMBER(C2551),ISNUMBER(D2551)),D2551-C2551,"")</f>
        <v/>
      </c>
      <c r="Z2551" s="23" t="str">
        <f aca="false">IF(B2551="","",IF(MATCH(B2551,$B$2:$B$12000,0)=ROW()-1,1,0))</f>
        <v/>
      </c>
    </row>
    <row r="2552" customFormat="false" ht="15" hidden="false" customHeight="false" outlineLevel="0" collapsed="false">
      <c r="V2552" s="23" t="str">
        <f aca="false">IF(ISNUMBER(C2552),YEAR(C2552),"")</f>
        <v/>
      </c>
      <c r="W2552" s="23" t="str">
        <f aca="false">IF(ISNUMBER(C2552),MONTH(C2552),"")</f>
        <v/>
      </c>
      <c r="X2552" s="23" t="str">
        <f aca="false">IF(T2552="","",IF(T2552=0,"No discount",IF(T2552&lt;=0.2,"Low (1-20%)",IF(T2552&lt;=0.4,"Medium (21-40%)","High (&gt;40%)"))))</f>
        <v/>
      </c>
      <c r="Y2552" s="23" t="str">
        <f aca="false">IF(AND(ISNUMBER(C2552),ISNUMBER(D2552)),D2552-C2552,"")</f>
        <v/>
      </c>
      <c r="Z2552" s="23" t="str">
        <f aca="false">IF(B2552="","",IF(MATCH(B2552,$B$2:$B$12000,0)=ROW()-1,1,0))</f>
        <v/>
      </c>
    </row>
    <row r="2553" customFormat="false" ht="15" hidden="false" customHeight="false" outlineLevel="0" collapsed="false">
      <c r="V2553" s="23" t="str">
        <f aca="false">IF(ISNUMBER(C2553),YEAR(C2553),"")</f>
        <v/>
      </c>
      <c r="W2553" s="23" t="str">
        <f aca="false">IF(ISNUMBER(C2553),MONTH(C2553),"")</f>
        <v/>
      </c>
      <c r="X2553" s="23" t="str">
        <f aca="false">IF(T2553="","",IF(T2553=0,"No discount",IF(T2553&lt;=0.2,"Low (1-20%)",IF(T2553&lt;=0.4,"Medium (21-40%)","High (&gt;40%)"))))</f>
        <v/>
      </c>
      <c r="Y2553" s="23" t="str">
        <f aca="false">IF(AND(ISNUMBER(C2553),ISNUMBER(D2553)),D2553-C2553,"")</f>
        <v/>
      </c>
      <c r="Z2553" s="23" t="str">
        <f aca="false">IF(B2553="","",IF(MATCH(B2553,$B$2:$B$12000,0)=ROW()-1,1,0))</f>
        <v/>
      </c>
    </row>
    <row r="2554" customFormat="false" ht="15" hidden="false" customHeight="false" outlineLevel="0" collapsed="false">
      <c r="V2554" s="23" t="str">
        <f aca="false">IF(ISNUMBER(C2554),YEAR(C2554),"")</f>
        <v/>
      </c>
      <c r="W2554" s="23" t="str">
        <f aca="false">IF(ISNUMBER(C2554),MONTH(C2554),"")</f>
        <v/>
      </c>
      <c r="X2554" s="23" t="str">
        <f aca="false">IF(T2554="","",IF(T2554=0,"No discount",IF(T2554&lt;=0.2,"Low (1-20%)",IF(T2554&lt;=0.4,"Medium (21-40%)","High (&gt;40%)"))))</f>
        <v/>
      </c>
      <c r="Y2554" s="23" t="str">
        <f aca="false">IF(AND(ISNUMBER(C2554),ISNUMBER(D2554)),D2554-C2554,"")</f>
        <v/>
      </c>
      <c r="Z2554" s="23" t="str">
        <f aca="false">IF(B2554="","",IF(MATCH(B2554,$B$2:$B$12000,0)=ROW()-1,1,0))</f>
        <v/>
      </c>
    </row>
    <row r="2555" customFormat="false" ht="15" hidden="false" customHeight="false" outlineLevel="0" collapsed="false">
      <c r="V2555" s="23" t="str">
        <f aca="false">IF(ISNUMBER(C2555),YEAR(C2555),"")</f>
        <v/>
      </c>
      <c r="W2555" s="23" t="str">
        <f aca="false">IF(ISNUMBER(C2555),MONTH(C2555),"")</f>
        <v/>
      </c>
      <c r="X2555" s="23" t="str">
        <f aca="false">IF(T2555="","",IF(T2555=0,"No discount",IF(T2555&lt;=0.2,"Low (1-20%)",IF(T2555&lt;=0.4,"Medium (21-40%)","High (&gt;40%)"))))</f>
        <v/>
      </c>
      <c r="Y2555" s="23" t="str">
        <f aca="false">IF(AND(ISNUMBER(C2555),ISNUMBER(D2555)),D2555-C2555,"")</f>
        <v/>
      </c>
      <c r="Z2555" s="23" t="str">
        <f aca="false">IF(B2555="","",IF(MATCH(B2555,$B$2:$B$12000,0)=ROW()-1,1,0))</f>
        <v/>
      </c>
    </row>
    <row r="2556" customFormat="false" ht="15" hidden="false" customHeight="false" outlineLevel="0" collapsed="false">
      <c r="V2556" s="23" t="str">
        <f aca="false">IF(ISNUMBER(C2556),YEAR(C2556),"")</f>
        <v/>
      </c>
      <c r="W2556" s="23" t="str">
        <f aca="false">IF(ISNUMBER(C2556),MONTH(C2556),"")</f>
        <v/>
      </c>
      <c r="X2556" s="23" t="str">
        <f aca="false">IF(T2556="","",IF(T2556=0,"No discount",IF(T2556&lt;=0.2,"Low (1-20%)",IF(T2556&lt;=0.4,"Medium (21-40%)","High (&gt;40%)"))))</f>
        <v/>
      </c>
      <c r="Y2556" s="23" t="str">
        <f aca="false">IF(AND(ISNUMBER(C2556),ISNUMBER(D2556)),D2556-C2556,"")</f>
        <v/>
      </c>
      <c r="Z2556" s="23" t="str">
        <f aca="false">IF(B2556="","",IF(MATCH(B2556,$B$2:$B$12000,0)=ROW()-1,1,0))</f>
        <v/>
      </c>
    </row>
    <row r="2557" customFormat="false" ht="15" hidden="false" customHeight="false" outlineLevel="0" collapsed="false">
      <c r="V2557" s="23" t="str">
        <f aca="false">IF(ISNUMBER(C2557),YEAR(C2557),"")</f>
        <v/>
      </c>
      <c r="W2557" s="23" t="str">
        <f aca="false">IF(ISNUMBER(C2557),MONTH(C2557),"")</f>
        <v/>
      </c>
      <c r="X2557" s="23" t="str">
        <f aca="false">IF(T2557="","",IF(T2557=0,"No discount",IF(T2557&lt;=0.2,"Low (1-20%)",IF(T2557&lt;=0.4,"Medium (21-40%)","High (&gt;40%)"))))</f>
        <v/>
      </c>
      <c r="Y2557" s="23" t="str">
        <f aca="false">IF(AND(ISNUMBER(C2557),ISNUMBER(D2557)),D2557-C2557,"")</f>
        <v/>
      </c>
      <c r="Z2557" s="23" t="str">
        <f aca="false">IF(B2557="","",IF(MATCH(B2557,$B$2:$B$12000,0)=ROW()-1,1,0))</f>
        <v/>
      </c>
    </row>
    <row r="2558" customFormat="false" ht="15" hidden="false" customHeight="false" outlineLevel="0" collapsed="false">
      <c r="V2558" s="23" t="str">
        <f aca="false">IF(ISNUMBER(C2558),YEAR(C2558),"")</f>
        <v/>
      </c>
      <c r="W2558" s="23" t="str">
        <f aca="false">IF(ISNUMBER(C2558),MONTH(C2558),"")</f>
        <v/>
      </c>
      <c r="X2558" s="23" t="str">
        <f aca="false">IF(T2558="","",IF(T2558=0,"No discount",IF(T2558&lt;=0.2,"Low (1-20%)",IF(T2558&lt;=0.4,"Medium (21-40%)","High (&gt;40%)"))))</f>
        <v/>
      </c>
      <c r="Y2558" s="23" t="str">
        <f aca="false">IF(AND(ISNUMBER(C2558),ISNUMBER(D2558)),D2558-C2558,"")</f>
        <v/>
      </c>
      <c r="Z2558" s="23" t="str">
        <f aca="false">IF(B2558="","",IF(MATCH(B2558,$B$2:$B$12000,0)=ROW()-1,1,0))</f>
        <v/>
      </c>
    </row>
    <row r="2559" customFormat="false" ht="15" hidden="false" customHeight="false" outlineLevel="0" collapsed="false">
      <c r="V2559" s="23" t="str">
        <f aca="false">IF(ISNUMBER(C2559),YEAR(C2559),"")</f>
        <v/>
      </c>
      <c r="W2559" s="23" t="str">
        <f aca="false">IF(ISNUMBER(C2559),MONTH(C2559),"")</f>
        <v/>
      </c>
      <c r="X2559" s="23" t="str">
        <f aca="false">IF(T2559="","",IF(T2559=0,"No discount",IF(T2559&lt;=0.2,"Low (1-20%)",IF(T2559&lt;=0.4,"Medium (21-40%)","High (&gt;40%)"))))</f>
        <v/>
      </c>
      <c r="Y2559" s="23" t="str">
        <f aca="false">IF(AND(ISNUMBER(C2559),ISNUMBER(D2559)),D2559-C2559,"")</f>
        <v/>
      </c>
      <c r="Z2559" s="23" t="str">
        <f aca="false">IF(B2559="","",IF(MATCH(B2559,$B$2:$B$12000,0)=ROW()-1,1,0))</f>
        <v/>
      </c>
    </row>
    <row r="2560" customFormat="false" ht="15" hidden="false" customHeight="false" outlineLevel="0" collapsed="false">
      <c r="V2560" s="23" t="str">
        <f aca="false">IF(ISNUMBER(C2560),YEAR(C2560),"")</f>
        <v/>
      </c>
      <c r="W2560" s="23" t="str">
        <f aca="false">IF(ISNUMBER(C2560),MONTH(C2560),"")</f>
        <v/>
      </c>
      <c r="X2560" s="23" t="str">
        <f aca="false">IF(T2560="","",IF(T2560=0,"No discount",IF(T2560&lt;=0.2,"Low (1-20%)",IF(T2560&lt;=0.4,"Medium (21-40%)","High (&gt;40%)"))))</f>
        <v/>
      </c>
      <c r="Y2560" s="23" t="str">
        <f aca="false">IF(AND(ISNUMBER(C2560),ISNUMBER(D2560)),D2560-C2560,"")</f>
        <v/>
      </c>
      <c r="Z2560" s="23" t="str">
        <f aca="false">IF(B2560="","",IF(MATCH(B2560,$B$2:$B$12000,0)=ROW()-1,1,0))</f>
        <v/>
      </c>
    </row>
    <row r="2561" customFormat="false" ht="15" hidden="false" customHeight="false" outlineLevel="0" collapsed="false">
      <c r="V2561" s="23" t="str">
        <f aca="false">IF(ISNUMBER(C2561),YEAR(C2561),"")</f>
        <v/>
      </c>
      <c r="W2561" s="23" t="str">
        <f aca="false">IF(ISNUMBER(C2561),MONTH(C2561),"")</f>
        <v/>
      </c>
      <c r="X2561" s="23" t="str">
        <f aca="false">IF(T2561="","",IF(T2561=0,"No discount",IF(T2561&lt;=0.2,"Low (1-20%)",IF(T2561&lt;=0.4,"Medium (21-40%)","High (&gt;40%)"))))</f>
        <v/>
      </c>
      <c r="Y2561" s="23" t="str">
        <f aca="false">IF(AND(ISNUMBER(C2561),ISNUMBER(D2561)),D2561-C2561,"")</f>
        <v/>
      </c>
      <c r="Z2561" s="23" t="str">
        <f aca="false">IF(B2561="","",IF(MATCH(B2561,$B$2:$B$12000,0)=ROW()-1,1,0))</f>
        <v/>
      </c>
    </row>
    <row r="2562" customFormat="false" ht="15" hidden="false" customHeight="false" outlineLevel="0" collapsed="false">
      <c r="V2562" s="23" t="str">
        <f aca="false">IF(ISNUMBER(C2562),YEAR(C2562),"")</f>
        <v/>
      </c>
      <c r="W2562" s="23" t="str">
        <f aca="false">IF(ISNUMBER(C2562),MONTH(C2562),"")</f>
        <v/>
      </c>
      <c r="X2562" s="23" t="str">
        <f aca="false">IF(T2562="","",IF(T2562=0,"No discount",IF(T2562&lt;=0.2,"Low (1-20%)",IF(T2562&lt;=0.4,"Medium (21-40%)","High (&gt;40%)"))))</f>
        <v/>
      </c>
      <c r="Y2562" s="23" t="str">
        <f aca="false">IF(AND(ISNUMBER(C2562),ISNUMBER(D2562)),D2562-C2562,"")</f>
        <v/>
      </c>
      <c r="Z2562" s="23" t="str">
        <f aca="false">IF(B2562="","",IF(MATCH(B2562,$B$2:$B$12000,0)=ROW()-1,1,0))</f>
        <v/>
      </c>
    </row>
    <row r="2563" customFormat="false" ht="15" hidden="false" customHeight="false" outlineLevel="0" collapsed="false">
      <c r="V2563" s="23" t="str">
        <f aca="false">IF(ISNUMBER(C2563),YEAR(C2563),"")</f>
        <v/>
      </c>
      <c r="W2563" s="23" t="str">
        <f aca="false">IF(ISNUMBER(C2563),MONTH(C2563),"")</f>
        <v/>
      </c>
      <c r="X2563" s="23" t="str">
        <f aca="false">IF(T2563="","",IF(T2563=0,"No discount",IF(T2563&lt;=0.2,"Low (1-20%)",IF(T2563&lt;=0.4,"Medium (21-40%)","High (&gt;40%)"))))</f>
        <v/>
      </c>
      <c r="Y2563" s="23" t="str">
        <f aca="false">IF(AND(ISNUMBER(C2563),ISNUMBER(D2563)),D2563-C2563,"")</f>
        <v/>
      </c>
      <c r="Z2563" s="23" t="str">
        <f aca="false">IF(B2563="","",IF(MATCH(B2563,$B$2:$B$12000,0)=ROW()-1,1,0))</f>
        <v/>
      </c>
    </row>
    <row r="2564" customFormat="false" ht="15" hidden="false" customHeight="false" outlineLevel="0" collapsed="false">
      <c r="V2564" s="23" t="str">
        <f aca="false">IF(ISNUMBER(C2564),YEAR(C2564),"")</f>
        <v/>
      </c>
      <c r="W2564" s="23" t="str">
        <f aca="false">IF(ISNUMBER(C2564),MONTH(C2564),"")</f>
        <v/>
      </c>
      <c r="X2564" s="23" t="str">
        <f aca="false">IF(T2564="","",IF(T2564=0,"No discount",IF(T2564&lt;=0.2,"Low (1-20%)",IF(T2564&lt;=0.4,"Medium (21-40%)","High (&gt;40%)"))))</f>
        <v/>
      </c>
      <c r="Y2564" s="23" t="str">
        <f aca="false">IF(AND(ISNUMBER(C2564),ISNUMBER(D2564)),D2564-C2564,"")</f>
        <v/>
      </c>
      <c r="Z2564" s="23" t="str">
        <f aca="false">IF(B2564="","",IF(MATCH(B2564,$B$2:$B$12000,0)=ROW()-1,1,0))</f>
        <v/>
      </c>
    </row>
    <row r="2565" customFormat="false" ht="15" hidden="false" customHeight="false" outlineLevel="0" collapsed="false">
      <c r="V2565" s="23" t="str">
        <f aca="false">IF(ISNUMBER(C2565),YEAR(C2565),"")</f>
        <v/>
      </c>
      <c r="W2565" s="23" t="str">
        <f aca="false">IF(ISNUMBER(C2565),MONTH(C2565),"")</f>
        <v/>
      </c>
      <c r="X2565" s="23" t="str">
        <f aca="false">IF(T2565="","",IF(T2565=0,"No discount",IF(T2565&lt;=0.2,"Low (1-20%)",IF(T2565&lt;=0.4,"Medium (21-40%)","High (&gt;40%)"))))</f>
        <v/>
      </c>
      <c r="Y2565" s="23" t="str">
        <f aca="false">IF(AND(ISNUMBER(C2565),ISNUMBER(D2565)),D2565-C2565,"")</f>
        <v/>
      </c>
      <c r="Z2565" s="23" t="str">
        <f aca="false">IF(B2565="","",IF(MATCH(B2565,$B$2:$B$12000,0)=ROW()-1,1,0))</f>
        <v/>
      </c>
    </row>
    <row r="2566" customFormat="false" ht="15" hidden="false" customHeight="false" outlineLevel="0" collapsed="false">
      <c r="V2566" s="23" t="str">
        <f aca="false">IF(ISNUMBER(C2566),YEAR(C2566),"")</f>
        <v/>
      </c>
      <c r="W2566" s="23" t="str">
        <f aca="false">IF(ISNUMBER(C2566),MONTH(C2566),"")</f>
        <v/>
      </c>
      <c r="X2566" s="23" t="str">
        <f aca="false">IF(T2566="","",IF(T2566=0,"No discount",IF(T2566&lt;=0.2,"Low (1-20%)",IF(T2566&lt;=0.4,"Medium (21-40%)","High (&gt;40%)"))))</f>
        <v/>
      </c>
      <c r="Y2566" s="23" t="str">
        <f aca="false">IF(AND(ISNUMBER(C2566),ISNUMBER(D2566)),D2566-C2566,"")</f>
        <v/>
      </c>
      <c r="Z2566" s="23" t="str">
        <f aca="false">IF(B2566="","",IF(MATCH(B2566,$B$2:$B$12000,0)=ROW()-1,1,0))</f>
        <v/>
      </c>
    </row>
    <row r="2567" customFormat="false" ht="15" hidden="false" customHeight="false" outlineLevel="0" collapsed="false">
      <c r="V2567" s="23" t="str">
        <f aca="false">IF(ISNUMBER(C2567),YEAR(C2567),"")</f>
        <v/>
      </c>
      <c r="W2567" s="23" t="str">
        <f aca="false">IF(ISNUMBER(C2567),MONTH(C2567),"")</f>
        <v/>
      </c>
      <c r="X2567" s="23" t="str">
        <f aca="false">IF(T2567="","",IF(T2567=0,"No discount",IF(T2567&lt;=0.2,"Low (1-20%)",IF(T2567&lt;=0.4,"Medium (21-40%)","High (&gt;40%)"))))</f>
        <v/>
      </c>
      <c r="Y2567" s="23" t="str">
        <f aca="false">IF(AND(ISNUMBER(C2567),ISNUMBER(D2567)),D2567-C2567,"")</f>
        <v/>
      </c>
      <c r="Z2567" s="23" t="str">
        <f aca="false">IF(B2567="","",IF(MATCH(B2567,$B$2:$B$12000,0)=ROW()-1,1,0))</f>
        <v/>
      </c>
    </row>
    <row r="2568" customFormat="false" ht="15" hidden="false" customHeight="false" outlineLevel="0" collapsed="false">
      <c r="V2568" s="23" t="str">
        <f aca="false">IF(ISNUMBER(C2568),YEAR(C2568),"")</f>
        <v/>
      </c>
      <c r="W2568" s="23" t="str">
        <f aca="false">IF(ISNUMBER(C2568),MONTH(C2568),"")</f>
        <v/>
      </c>
      <c r="X2568" s="23" t="str">
        <f aca="false">IF(T2568="","",IF(T2568=0,"No discount",IF(T2568&lt;=0.2,"Low (1-20%)",IF(T2568&lt;=0.4,"Medium (21-40%)","High (&gt;40%)"))))</f>
        <v/>
      </c>
      <c r="Y2568" s="23" t="str">
        <f aca="false">IF(AND(ISNUMBER(C2568),ISNUMBER(D2568)),D2568-C2568,"")</f>
        <v/>
      </c>
      <c r="Z2568" s="23" t="str">
        <f aca="false">IF(B2568="","",IF(MATCH(B2568,$B$2:$B$12000,0)=ROW()-1,1,0))</f>
        <v/>
      </c>
    </row>
    <row r="2569" customFormat="false" ht="15" hidden="false" customHeight="false" outlineLevel="0" collapsed="false">
      <c r="V2569" s="23" t="str">
        <f aca="false">IF(ISNUMBER(C2569),YEAR(C2569),"")</f>
        <v/>
      </c>
      <c r="W2569" s="23" t="str">
        <f aca="false">IF(ISNUMBER(C2569),MONTH(C2569),"")</f>
        <v/>
      </c>
      <c r="X2569" s="23" t="str">
        <f aca="false">IF(T2569="","",IF(T2569=0,"No discount",IF(T2569&lt;=0.2,"Low (1-20%)",IF(T2569&lt;=0.4,"Medium (21-40%)","High (&gt;40%)"))))</f>
        <v/>
      </c>
      <c r="Y2569" s="23" t="str">
        <f aca="false">IF(AND(ISNUMBER(C2569),ISNUMBER(D2569)),D2569-C2569,"")</f>
        <v/>
      </c>
      <c r="Z2569" s="23" t="str">
        <f aca="false">IF(B2569="","",IF(MATCH(B2569,$B$2:$B$12000,0)=ROW()-1,1,0))</f>
        <v/>
      </c>
    </row>
    <row r="2570" customFormat="false" ht="15" hidden="false" customHeight="false" outlineLevel="0" collapsed="false">
      <c r="V2570" s="23" t="str">
        <f aca="false">IF(ISNUMBER(C2570),YEAR(C2570),"")</f>
        <v/>
      </c>
      <c r="W2570" s="23" t="str">
        <f aca="false">IF(ISNUMBER(C2570),MONTH(C2570),"")</f>
        <v/>
      </c>
      <c r="X2570" s="23" t="str">
        <f aca="false">IF(T2570="","",IF(T2570=0,"No discount",IF(T2570&lt;=0.2,"Low (1-20%)",IF(T2570&lt;=0.4,"Medium (21-40%)","High (&gt;40%)"))))</f>
        <v/>
      </c>
      <c r="Y2570" s="23" t="str">
        <f aca="false">IF(AND(ISNUMBER(C2570),ISNUMBER(D2570)),D2570-C2570,"")</f>
        <v/>
      </c>
      <c r="Z2570" s="23" t="str">
        <f aca="false">IF(B2570="","",IF(MATCH(B2570,$B$2:$B$12000,0)=ROW()-1,1,0))</f>
        <v/>
      </c>
    </row>
    <row r="2571" customFormat="false" ht="15" hidden="false" customHeight="false" outlineLevel="0" collapsed="false">
      <c r="V2571" s="23" t="str">
        <f aca="false">IF(ISNUMBER(C2571),YEAR(C2571),"")</f>
        <v/>
      </c>
      <c r="W2571" s="23" t="str">
        <f aca="false">IF(ISNUMBER(C2571),MONTH(C2571),"")</f>
        <v/>
      </c>
      <c r="X2571" s="23" t="str">
        <f aca="false">IF(T2571="","",IF(T2571=0,"No discount",IF(T2571&lt;=0.2,"Low (1-20%)",IF(T2571&lt;=0.4,"Medium (21-40%)","High (&gt;40%)"))))</f>
        <v/>
      </c>
      <c r="Y2571" s="23" t="str">
        <f aca="false">IF(AND(ISNUMBER(C2571),ISNUMBER(D2571)),D2571-C2571,"")</f>
        <v/>
      </c>
      <c r="Z2571" s="23" t="str">
        <f aca="false">IF(B2571="","",IF(MATCH(B2571,$B$2:$B$12000,0)=ROW()-1,1,0))</f>
        <v/>
      </c>
    </row>
    <row r="2572" customFormat="false" ht="15" hidden="false" customHeight="false" outlineLevel="0" collapsed="false">
      <c r="V2572" s="23" t="str">
        <f aca="false">IF(ISNUMBER(C2572),YEAR(C2572),"")</f>
        <v/>
      </c>
      <c r="W2572" s="23" t="str">
        <f aca="false">IF(ISNUMBER(C2572),MONTH(C2572),"")</f>
        <v/>
      </c>
      <c r="X2572" s="23" t="str">
        <f aca="false">IF(T2572="","",IF(T2572=0,"No discount",IF(T2572&lt;=0.2,"Low (1-20%)",IF(T2572&lt;=0.4,"Medium (21-40%)","High (&gt;40%)"))))</f>
        <v/>
      </c>
      <c r="Y2572" s="23" t="str">
        <f aca="false">IF(AND(ISNUMBER(C2572),ISNUMBER(D2572)),D2572-C2572,"")</f>
        <v/>
      </c>
      <c r="Z2572" s="23" t="str">
        <f aca="false">IF(B2572="","",IF(MATCH(B2572,$B$2:$B$12000,0)=ROW()-1,1,0))</f>
        <v/>
      </c>
    </row>
    <row r="2573" customFormat="false" ht="15" hidden="false" customHeight="false" outlineLevel="0" collapsed="false">
      <c r="V2573" s="23" t="str">
        <f aca="false">IF(ISNUMBER(C2573),YEAR(C2573),"")</f>
        <v/>
      </c>
      <c r="W2573" s="23" t="str">
        <f aca="false">IF(ISNUMBER(C2573),MONTH(C2573),"")</f>
        <v/>
      </c>
      <c r="X2573" s="23" t="str">
        <f aca="false">IF(T2573="","",IF(T2573=0,"No discount",IF(T2573&lt;=0.2,"Low (1-20%)",IF(T2573&lt;=0.4,"Medium (21-40%)","High (&gt;40%)"))))</f>
        <v/>
      </c>
      <c r="Y2573" s="23" t="str">
        <f aca="false">IF(AND(ISNUMBER(C2573),ISNUMBER(D2573)),D2573-C2573,"")</f>
        <v/>
      </c>
      <c r="Z2573" s="23" t="str">
        <f aca="false">IF(B2573="","",IF(MATCH(B2573,$B$2:$B$12000,0)=ROW()-1,1,0))</f>
        <v/>
      </c>
    </row>
    <row r="2574" customFormat="false" ht="15" hidden="false" customHeight="false" outlineLevel="0" collapsed="false">
      <c r="V2574" s="23" t="str">
        <f aca="false">IF(ISNUMBER(C2574),YEAR(C2574),"")</f>
        <v/>
      </c>
      <c r="W2574" s="23" t="str">
        <f aca="false">IF(ISNUMBER(C2574),MONTH(C2574),"")</f>
        <v/>
      </c>
      <c r="X2574" s="23" t="str">
        <f aca="false">IF(T2574="","",IF(T2574=0,"No discount",IF(T2574&lt;=0.2,"Low (1-20%)",IF(T2574&lt;=0.4,"Medium (21-40%)","High (&gt;40%)"))))</f>
        <v/>
      </c>
      <c r="Y2574" s="23" t="str">
        <f aca="false">IF(AND(ISNUMBER(C2574),ISNUMBER(D2574)),D2574-C2574,"")</f>
        <v/>
      </c>
      <c r="Z2574" s="23" t="str">
        <f aca="false">IF(B2574="","",IF(MATCH(B2574,$B$2:$B$12000,0)=ROW()-1,1,0))</f>
        <v/>
      </c>
    </row>
    <row r="2575" customFormat="false" ht="15" hidden="false" customHeight="false" outlineLevel="0" collapsed="false">
      <c r="V2575" s="23" t="str">
        <f aca="false">IF(ISNUMBER(C2575),YEAR(C2575),"")</f>
        <v/>
      </c>
      <c r="W2575" s="23" t="str">
        <f aca="false">IF(ISNUMBER(C2575),MONTH(C2575),"")</f>
        <v/>
      </c>
      <c r="X2575" s="23" t="str">
        <f aca="false">IF(T2575="","",IF(T2575=0,"No discount",IF(T2575&lt;=0.2,"Low (1-20%)",IF(T2575&lt;=0.4,"Medium (21-40%)","High (&gt;40%)"))))</f>
        <v/>
      </c>
      <c r="Y2575" s="23" t="str">
        <f aca="false">IF(AND(ISNUMBER(C2575),ISNUMBER(D2575)),D2575-C2575,"")</f>
        <v/>
      </c>
      <c r="Z2575" s="23" t="str">
        <f aca="false">IF(B2575="","",IF(MATCH(B2575,$B$2:$B$12000,0)=ROW()-1,1,0))</f>
        <v/>
      </c>
    </row>
    <row r="2576" customFormat="false" ht="15" hidden="false" customHeight="false" outlineLevel="0" collapsed="false">
      <c r="V2576" s="23" t="str">
        <f aca="false">IF(ISNUMBER(C2576),YEAR(C2576),"")</f>
        <v/>
      </c>
      <c r="W2576" s="23" t="str">
        <f aca="false">IF(ISNUMBER(C2576),MONTH(C2576),"")</f>
        <v/>
      </c>
      <c r="X2576" s="23" t="str">
        <f aca="false">IF(T2576="","",IF(T2576=0,"No discount",IF(T2576&lt;=0.2,"Low (1-20%)",IF(T2576&lt;=0.4,"Medium (21-40%)","High (&gt;40%)"))))</f>
        <v/>
      </c>
      <c r="Y2576" s="23" t="str">
        <f aca="false">IF(AND(ISNUMBER(C2576),ISNUMBER(D2576)),D2576-C2576,"")</f>
        <v/>
      </c>
      <c r="Z2576" s="23" t="str">
        <f aca="false">IF(B2576="","",IF(MATCH(B2576,$B$2:$B$12000,0)=ROW()-1,1,0))</f>
        <v/>
      </c>
    </row>
    <row r="2577" customFormat="false" ht="15" hidden="false" customHeight="false" outlineLevel="0" collapsed="false">
      <c r="V2577" s="23" t="str">
        <f aca="false">IF(ISNUMBER(C2577),YEAR(C2577),"")</f>
        <v/>
      </c>
      <c r="W2577" s="23" t="str">
        <f aca="false">IF(ISNUMBER(C2577),MONTH(C2577),"")</f>
        <v/>
      </c>
      <c r="X2577" s="23" t="str">
        <f aca="false">IF(T2577="","",IF(T2577=0,"No discount",IF(T2577&lt;=0.2,"Low (1-20%)",IF(T2577&lt;=0.4,"Medium (21-40%)","High (&gt;40%)"))))</f>
        <v/>
      </c>
      <c r="Y2577" s="23" t="str">
        <f aca="false">IF(AND(ISNUMBER(C2577),ISNUMBER(D2577)),D2577-C2577,"")</f>
        <v/>
      </c>
      <c r="Z2577" s="23" t="str">
        <f aca="false">IF(B2577="","",IF(MATCH(B2577,$B$2:$B$12000,0)=ROW()-1,1,0))</f>
        <v/>
      </c>
    </row>
    <row r="2578" customFormat="false" ht="15" hidden="false" customHeight="false" outlineLevel="0" collapsed="false">
      <c r="V2578" s="23" t="str">
        <f aca="false">IF(ISNUMBER(C2578),YEAR(C2578),"")</f>
        <v/>
      </c>
      <c r="W2578" s="23" t="str">
        <f aca="false">IF(ISNUMBER(C2578),MONTH(C2578),"")</f>
        <v/>
      </c>
      <c r="X2578" s="23" t="str">
        <f aca="false">IF(T2578="","",IF(T2578=0,"No discount",IF(T2578&lt;=0.2,"Low (1-20%)",IF(T2578&lt;=0.4,"Medium (21-40%)","High (&gt;40%)"))))</f>
        <v/>
      </c>
      <c r="Y2578" s="23" t="str">
        <f aca="false">IF(AND(ISNUMBER(C2578),ISNUMBER(D2578)),D2578-C2578,"")</f>
        <v/>
      </c>
      <c r="Z2578" s="23" t="str">
        <f aca="false">IF(B2578="","",IF(MATCH(B2578,$B$2:$B$12000,0)=ROW()-1,1,0))</f>
        <v/>
      </c>
    </row>
    <row r="2579" customFormat="false" ht="15" hidden="false" customHeight="false" outlineLevel="0" collapsed="false">
      <c r="V2579" s="23" t="str">
        <f aca="false">IF(ISNUMBER(C2579),YEAR(C2579),"")</f>
        <v/>
      </c>
      <c r="W2579" s="23" t="str">
        <f aca="false">IF(ISNUMBER(C2579),MONTH(C2579),"")</f>
        <v/>
      </c>
      <c r="X2579" s="23" t="str">
        <f aca="false">IF(T2579="","",IF(T2579=0,"No discount",IF(T2579&lt;=0.2,"Low (1-20%)",IF(T2579&lt;=0.4,"Medium (21-40%)","High (&gt;40%)"))))</f>
        <v/>
      </c>
      <c r="Y2579" s="23" t="str">
        <f aca="false">IF(AND(ISNUMBER(C2579),ISNUMBER(D2579)),D2579-C2579,"")</f>
        <v/>
      </c>
      <c r="Z2579" s="23" t="str">
        <f aca="false">IF(B2579="","",IF(MATCH(B2579,$B$2:$B$12000,0)=ROW()-1,1,0))</f>
        <v/>
      </c>
    </row>
    <row r="2580" customFormat="false" ht="15" hidden="false" customHeight="false" outlineLevel="0" collapsed="false">
      <c r="V2580" s="23" t="str">
        <f aca="false">IF(ISNUMBER(C2580),YEAR(C2580),"")</f>
        <v/>
      </c>
      <c r="W2580" s="23" t="str">
        <f aca="false">IF(ISNUMBER(C2580),MONTH(C2580),"")</f>
        <v/>
      </c>
      <c r="X2580" s="23" t="str">
        <f aca="false">IF(T2580="","",IF(T2580=0,"No discount",IF(T2580&lt;=0.2,"Low (1-20%)",IF(T2580&lt;=0.4,"Medium (21-40%)","High (&gt;40%)"))))</f>
        <v/>
      </c>
      <c r="Y2580" s="23" t="str">
        <f aca="false">IF(AND(ISNUMBER(C2580),ISNUMBER(D2580)),D2580-C2580,"")</f>
        <v/>
      </c>
      <c r="Z2580" s="23" t="str">
        <f aca="false">IF(B2580="","",IF(MATCH(B2580,$B$2:$B$12000,0)=ROW()-1,1,0))</f>
        <v/>
      </c>
    </row>
    <row r="2581" customFormat="false" ht="15" hidden="false" customHeight="false" outlineLevel="0" collapsed="false">
      <c r="V2581" s="23" t="str">
        <f aca="false">IF(ISNUMBER(C2581),YEAR(C2581),"")</f>
        <v/>
      </c>
      <c r="W2581" s="23" t="str">
        <f aca="false">IF(ISNUMBER(C2581),MONTH(C2581),"")</f>
        <v/>
      </c>
      <c r="X2581" s="23" t="str">
        <f aca="false">IF(T2581="","",IF(T2581=0,"No discount",IF(T2581&lt;=0.2,"Low (1-20%)",IF(T2581&lt;=0.4,"Medium (21-40%)","High (&gt;40%)"))))</f>
        <v/>
      </c>
      <c r="Y2581" s="23" t="str">
        <f aca="false">IF(AND(ISNUMBER(C2581),ISNUMBER(D2581)),D2581-C2581,"")</f>
        <v/>
      </c>
      <c r="Z2581" s="23" t="str">
        <f aca="false">IF(B2581="","",IF(MATCH(B2581,$B$2:$B$12000,0)=ROW()-1,1,0))</f>
        <v/>
      </c>
    </row>
    <row r="2582" customFormat="false" ht="15" hidden="false" customHeight="false" outlineLevel="0" collapsed="false">
      <c r="V2582" s="23" t="str">
        <f aca="false">IF(ISNUMBER(C2582),YEAR(C2582),"")</f>
        <v/>
      </c>
      <c r="W2582" s="23" t="str">
        <f aca="false">IF(ISNUMBER(C2582),MONTH(C2582),"")</f>
        <v/>
      </c>
      <c r="X2582" s="23" t="str">
        <f aca="false">IF(T2582="","",IF(T2582=0,"No discount",IF(T2582&lt;=0.2,"Low (1-20%)",IF(T2582&lt;=0.4,"Medium (21-40%)","High (&gt;40%)"))))</f>
        <v/>
      </c>
      <c r="Y2582" s="23" t="str">
        <f aca="false">IF(AND(ISNUMBER(C2582),ISNUMBER(D2582)),D2582-C2582,"")</f>
        <v/>
      </c>
      <c r="Z2582" s="23" t="str">
        <f aca="false">IF(B2582="","",IF(MATCH(B2582,$B$2:$B$12000,0)=ROW()-1,1,0))</f>
        <v/>
      </c>
    </row>
    <row r="2583" customFormat="false" ht="15" hidden="false" customHeight="false" outlineLevel="0" collapsed="false">
      <c r="V2583" s="23" t="str">
        <f aca="false">IF(ISNUMBER(C2583),YEAR(C2583),"")</f>
        <v/>
      </c>
      <c r="W2583" s="23" t="str">
        <f aca="false">IF(ISNUMBER(C2583),MONTH(C2583),"")</f>
        <v/>
      </c>
      <c r="X2583" s="23" t="str">
        <f aca="false">IF(T2583="","",IF(T2583=0,"No discount",IF(T2583&lt;=0.2,"Low (1-20%)",IF(T2583&lt;=0.4,"Medium (21-40%)","High (&gt;40%)"))))</f>
        <v/>
      </c>
      <c r="Y2583" s="23" t="str">
        <f aca="false">IF(AND(ISNUMBER(C2583),ISNUMBER(D2583)),D2583-C2583,"")</f>
        <v/>
      </c>
      <c r="Z2583" s="23" t="str">
        <f aca="false">IF(B2583="","",IF(MATCH(B2583,$B$2:$B$12000,0)=ROW()-1,1,0))</f>
        <v/>
      </c>
    </row>
    <row r="2584" customFormat="false" ht="15" hidden="false" customHeight="false" outlineLevel="0" collapsed="false">
      <c r="V2584" s="23" t="str">
        <f aca="false">IF(ISNUMBER(C2584),YEAR(C2584),"")</f>
        <v/>
      </c>
      <c r="W2584" s="23" t="str">
        <f aca="false">IF(ISNUMBER(C2584),MONTH(C2584),"")</f>
        <v/>
      </c>
      <c r="X2584" s="23" t="str">
        <f aca="false">IF(T2584="","",IF(T2584=0,"No discount",IF(T2584&lt;=0.2,"Low (1-20%)",IF(T2584&lt;=0.4,"Medium (21-40%)","High (&gt;40%)"))))</f>
        <v/>
      </c>
      <c r="Y2584" s="23" t="str">
        <f aca="false">IF(AND(ISNUMBER(C2584),ISNUMBER(D2584)),D2584-C2584,"")</f>
        <v/>
      </c>
      <c r="Z2584" s="23" t="str">
        <f aca="false">IF(B2584="","",IF(MATCH(B2584,$B$2:$B$12000,0)=ROW()-1,1,0))</f>
        <v/>
      </c>
    </row>
    <row r="2585" customFormat="false" ht="15" hidden="false" customHeight="false" outlineLevel="0" collapsed="false">
      <c r="V2585" s="23" t="str">
        <f aca="false">IF(ISNUMBER(C2585),YEAR(C2585),"")</f>
        <v/>
      </c>
      <c r="W2585" s="23" t="str">
        <f aca="false">IF(ISNUMBER(C2585),MONTH(C2585),"")</f>
        <v/>
      </c>
      <c r="X2585" s="23" t="str">
        <f aca="false">IF(T2585="","",IF(T2585=0,"No discount",IF(T2585&lt;=0.2,"Low (1-20%)",IF(T2585&lt;=0.4,"Medium (21-40%)","High (&gt;40%)"))))</f>
        <v/>
      </c>
      <c r="Y2585" s="23" t="str">
        <f aca="false">IF(AND(ISNUMBER(C2585),ISNUMBER(D2585)),D2585-C2585,"")</f>
        <v/>
      </c>
      <c r="Z2585" s="23" t="str">
        <f aca="false">IF(B2585="","",IF(MATCH(B2585,$B$2:$B$12000,0)=ROW()-1,1,0))</f>
        <v/>
      </c>
    </row>
    <row r="2586" customFormat="false" ht="15" hidden="false" customHeight="false" outlineLevel="0" collapsed="false">
      <c r="V2586" s="23" t="str">
        <f aca="false">IF(ISNUMBER(C2586),YEAR(C2586),"")</f>
        <v/>
      </c>
      <c r="W2586" s="23" t="str">
        <f aca="false">IF(ISNUMBER(C2586),MONTH(C2586),"")</f>
        <v/>
      </c>
      <c r="X2586" s="23" t="str">
        <f aca="false">IF(T2586="","",IF(T2586=0,"No discount",IF(T2586&lt;=0.2,"Low (1-20%)",IF(T2586&lt;=0.4,"Medium (21-40%)","High (&gt;40%)"))))</f>
        <v/>
      </c>
      <c r="Y2586" s="23" t="str">
        <f aca="false">IF(AND(ISNUMBER(C2586),ISNUMBER(D2586)),D2586-C2586,"")</f>
        <v/>
      </c>
      <c r="Z2586" s="23" t="str">
        <f aca="false">IF(B2586="","",IF(MATCH(B2586,$B$2:$B$12000,0)=ROW()-1,1,0))</f>
        <v/>
      </c>
    </row>
    <row r="2587" customFormat="false" ht="15" hidden="false" customHeight="false" outlineLevel="0" collapsed="false">
      <c r="V2587" s="23" t="str">
        <f aca="false">IF(ISNUMBER(C2587),YEAR(C2587),"")</f>
        <v/>
      </c>
      <c r="W2587" s="23" t="str">
        <f aca="false">IF(ISNUMBER(C2587),MONTH(C2587),"")</f>
        <v/>
      </c>
      <c r="X2587" s="23" t="str">
        <f aca="false">IF(T2587="","",IF(T2587=0,"No discount",IF(T2587&lt;=0.2,"Low (1-20%)",IF(T2587&lt;=0.4,"Medium (21-40%)","High (&gt;40%)"))))</f>
        <v/>
      </c>
      <c r="Y2587" s="23" t="str">
        <f aca="false">IF(AND(ISNUMBER(C2587),ISNUMBER(D2587)),D2587-C2587,"")</f>
        <v/>
      </c>
      <c r="Z2587" s="23" t="str">
        <f aca="false">IF(B2587="","",IF(MATCH(B2587,$B$2:$B$12000,0)=ROW()-1,1,0))</f>
        <v/>
      </c>
    </row>
    <row r="2588" customFormat="false" ht="15" hidden="false" customHeight="false" outlineLevel="0" collapsed="false">
      <c r="V2588" s="23" t="str">
        <f aca="false">IF(ISNUMBER(C2588),YEAR(C2588),"")</f>
        <v/>
      </c>
      <c r="W2588" s="23" t="str">
        <f aca="false">IF(ISNUMBER(C2588),MONTH(C2588),"")</f>
        <v/>
      </c>
      <c r="X2588" s="23" t="str">
        <f aca="false">IF(T2588="","",IF(T2588=0,"No discount",IF(T2588&lt;=0.2,"Low (1-20%)",IF(T2588&lt;=0.4,"Medium (21-40%)","High (&gt;40%)"))))</f>
        <v/>
      </c>
      <c r="Y2588" s="23" t="str">
        <f aca="false">IF(AND(ISNUMBER(C2588),ISNUMBER(D2588)),D2588-C2588,"")</f>
        <v/>
      </c>
      <c r="Z2588" s="23" t="str">
        <f aca="false">IF(B2588="","",IF(MATCH(B2588,$B$2:$B$12000,0)=ROW()-1,1,0))</f>
        <v/>
      </c>
    </row>
    <row r="2589" customFormat="false" ht="15" hidden="false" customHeight="false" outlineLevel="0" collapsed="false">
      <c r="V2589" s="23" t="str">
        <f aca="false">IF(ISNUMBER(C2589),YEAR(C2589),"")</f>
        <v/>
      </c>
      <c r="W2589" s="23" t="str">
        <f aca="false">IF(ISNUMBER(C2589),MONTH(C2589),"")</f>
        <v/>
      </c>
      <c r="X2589" s="23" t="str">
        <f aca="false">IF(T2589="","",IF(T2589=0,"No discount",IF(T2589&lt;=0.2,"Low (1-20%)",IF(T2589&lt;=0.4,"Medium (21-40%)","High (&gt;40%)"))))</f>
        <v/>
      </c>
      <c r="Y2589" s="23" t="str">
        <f aca="false">IF(AND(ISNUMBER(C2589),ISNUMBER(D2589)),D2589-C2589,"")</f>
        <v/>
      </c>
      <c r="Z2589" s="23" t="str">
        <f aca="false">IF(B2589="","",IF(MATCH(B2589,$B$2:$B$12000,0)=ROW()-1,1,0))</f>
        <v/>
      </c>
    </row>
    <row r="2590" customFormat="false" ht="15" hidden="false" customHeight="false" outlineLevel="0" collapsed="false">
      <c r="V2590" s="23" t="str">
        <f aca="false">IF(ISNUMBER(C2590),YEAR(C2590),"")</f>
        <v/>
      </c>
      <c r="W2590" s="23" t="str">
        <f aca="false">IF(ISNUMBER(C2590),MONTH(C2590),"")</f>
        <v/>
      </c>
      <c r="X2590" s="23" t="str">
        <f aca="false">IF(T2590="","",IF(T2590=0,"No discount",IF(T2590&lt;=0.2,"Low (1-20%)",IF(T2590&lt;=0.4,"Medium (21-40%)","High (&gt;40%)"))))</f>
        <v/>
      </c>
      <c r="Y2590" s="23" t="str">
        <f aca="false">IF(AND(ISNUMBER(C2590),ISNUMBER(D2590)),D2590-C2590,"")</f>
        <v/>
      </c>
      <c r="Z2590" s="23" t="str">
        <f aca="false">IF(B2590="","",IF(MATCH(B2590,$B$2:$B$12000,0)=ROW()-1,1,0))</f>
        <v/>
      </c>
    </row>
    <row r="2591" customFormat="false" ht="15" hidden="false" customHeight="false" outlineLevel="0" collapsed="false">
      <c r="V2591" s="23" t="str">
        <f aca="false">IF(ISNUMBER(C2591),YEAR(C2591),"")</f>
        <v/>
      </c>
      <c r="W2591" s="23" t="str">
        <f aca="false">IF(ISNUMBER(C2591),MONTH(C2591),"")</f>
        <v/>
      </c>
      <c r="X2591" s="23" t="str">
        <f aca="false">IF(T2591="","",IF(T2591=0,"No discount",IF(T2591&lt;=0.2,"Low (1-20%)",IF(T2591&lt;=0.4,"Medium (21-40%)","High (&gt;40%)"))))</f>
        <v/>
      </c>
      <c r="Y2591" s="23" t="str">
        <f aca="false">IF(AND(ISNUMBER(C2591),ISNUMBER(D2591)),D2591-C2591,"")</f>
        <v/>
      </c>
      <c r="Z2591" s="23" t="str">
        <f aca="false">IF(B2591="","",IF(MATCH(B2591,$B$2:$B$12000,0)=ROW()-1,1,0))</f>
        <v/>
      </c>
    </row>
    <row r="2592" customFormat="false" ht="15" hidden="false" customHeight="false" outlineLevel="0" collapsed="false">
      <c r="V2592" s="23" t="str">
        <f aca="false">IF(ISNUMBER(C2592),YEAR(C2592),"")</f>
        <v/>
      </c>
      <c r="W2592" s="23" t="str">
        <f aca="false">IF(ISNUMBER(C2592),MONTH(C2592),"")</f>
        <v/>
      </c>
      <c r="X2592" s="23" t="str">
        <f aca="false">IF(T2592="","",IF(T2592=0,"No discount",IF(T2592&lt;=0.2,"Low (1-20%)",IF(T2592&lt;=0.4,"Medium (21-40%)","High (&gt;40%)"))))</f>
        <v/>
      </c>
      <c r="Y2592" s="23" t="str">
        <f aca="false">IF(AND(ISNUMBER(C2592),ISNUMBER(D2592)),D2592-C2592,"")</f>
        <v/>
      </c>
      <c r="Z2592" s="23" t="str">
        <f aca="false">IF(B2592="","",IF(MATCH(B2592,$B$2:$B$12000,0)=ROW()-1,1,0))</f>
        <v/>
      </c>
    </row>
    <row r="2593" customFormat="false" ht="15" hidden="false" customHeight="false" outlineLevel="0" collapsed="false">
      <c r="V2593" s="23" t="str">
        <f aca="false">IF(ISNUMBER(C2593),YEAR(C2593),"")</f>
        <v/>
      </c>
      <c r="W2593" s="23" t="str">
        <f aca="false">IF(ISNUMBER(C2593),MONTH(C2593),"")</f>
        <v/>
      </c>
      <c r="X2593" s="23" t="str">
        <f aca="false">IF(T2593="","",IF(T2593=0,"No discount",IF(T2593&lt;=0.2,"Low (1-20%)",IF(T2593&lt;=0.4,"Medium (21-40%)","High (&gt;40%)"))))</f>
        <v/>
      </c>
      <c r="Y2593" s="23" t="str">
        <f aca="false">IF(AND(ISNUMBER(C2593),ISNUMBER(D2593)),D2593-C2593,"")</f>
        <v/>
      </c>
      <c r="Z2593" s="23" t="str">
        <f aca="false">IF(B2593="","",IF(MATCH(B2593,$B$2:$B$12000,0)=ROW()-1,1,0))</f>
        <v/>
      </c>
    </row>
    <row r="2594" customFormat="false" ht="15" hidden="false" customHeight="false" outlineLevel="0" collapsed="false">
      <c r="V2594" s="23" t="str">
        <f aca="false">IF(ISNUMBER(C2594),YEAR(C2594),"")</f>
        <v/>
      </c>
      <c r="W2594" s="23" t="str">
        <f aca="false">IF(ISNUMBER(C2594),MONTH(C2594),"")</f>
        <v/>
      </c>
      <c r="X2594" s="23" t="str">
        <f aca="false">IF(T2594="","",IF(T2594=0,"No discount",IF(T2594&lt;=0.2,"Low (1-20%)",IF(T2594&lt;=0.4,"Medium (21-40%)","High (&gt;40%)"))))</f>
        <v/>
      </c>
      <c r="Y2594" s="23" t="str">
        <f aca="false">IF(AND(ISNUMBER(C2594),ISNUMBER(D2594)),D2594-C2594,"")</f>
        <v/>
      </c>
      <c r="Z2594" s="23" t="str">
        <f aca="false">IF(B2594="","",IF(MATCH(B2594,$B$2:$B$12000,0)=ROW()-1,1,0))</f>
        <v/>
      </c>
    </row>
    <row r="2595" customFormat="false" ht="15" hidden="false" customHeight="false" outlineLevel="0" collapsed="false">
      <c r="V2595" s="23" t="str">
        <f aca="false">IF(ISNUMBER(C2595),YEAR(C2595),"")</f>
        <v/>
      </c>
      <c r="W2595" s="23" t="str">
        <f aca="false">IF(ISNUMBER(C2595),MONTH(C2595),"")</f>
        <v/>
      </c>
      <c r="X2595" s="23" t="str">
        <f aca="false">IF(T2595="","",IF(T2595=0,"No discount",IF(T2595&lt;=0.2,"Low (1-20%)",IF(T2595&lt;=0.4,"Medium (21-40%)","High (&gt;40%)"))))</f>
        <v/>
      </c>
      <c r="Y2595" s="23" t="str">
        <f aca="false">IF(AND(ISNUMBER(C2595),ISNUMBER(D2595)),D2595-C2595,"")</f>
        <v/>
      </c>
      <c r="Z2595" s="23" t="str">
        <f aca="false">IF(B2595="","",IF(MATCH(B2595,$B$2:$B$12000,0)=ROW()-1,1,0))</f>
        <v/>
      </c>
    </row>
    <row r="2596" customFormat="false" ht="15" hidden="false" customHeight="false" outlineLevel="0" collapsed="false">
      <c r="V2596" s="23" t="str">
        <f aca="false">IF(ISNUMBER(C2596),YEAR(C2596),"")</f>
        <v/>
      </c>
      <c r="W2596" s="23" t="str">
        <f aca="false">IF(ISNUMBER(C2596),MONTH(C2596),"")</f>
        <v/>
      </c>
      <c r="X2596" s="23" t="str">
        <f aca="false">IF(T2596="","",IF(T2596=0,"No discount",IF(T2596&lt;=0.2,"Low (1-20%)",IF(T2596&lt;=0.4,"Medium (21-40%)","High (&gt;40%)"))))</f>
        <v/>
      </c>
      <c r="Y2596" s="23" t="str">
        <f aca="false">IF(AND(ISNUMBER(C2596),ISNUMBER(D2596)),D2596-C2596,"")</f>
        <v/>
      </c>
      <c r="Z2596" s="23" t="str">
        <f aca="false">IF(B2596="","",IF(MATCH(B2596,$B$2:$B$12000,0)=ROW()-1,1,0))</f>
        <v/>
      </c>
    </row>
    <row r="2597" customFormat="false" ht="15" hidden="false" customHeight="false" outlineLevel="0" collapsed="false">
      <c r="V2597" s="23" t="str">
        <f aca="false">IF(ISNUMBER(C2597),YEAR(C2597),"")</f>
        <v/>
      </c>
      <c r="W2597" s="23" t="str">
        <f aca="false">IF(ISNUMBER(C2597),MONTH(C2597),"")</f>
        <v/>
      </c>
      <c r="X2597" s="23" t="str">
        <f aca="false">IF(T2597="","",IF(T2597=0,"No discount",IF(T2597&lt;=0.2,"Low (1-20%)",IF(T2597&lt;=0.4,"Medium (21-40%)","High (&gt;40%)"))))</f>
        <v/>
      </c>
      <c r="Y2597" s="23" t="str">
        <f aca="false">IF(AND(ISNUMBER(C2597),ISNUMBER(D2597)),D2597-C2597,"")</f>
        <v/>
      </c>
      <c r="Z2597" s="23" t="str">
        <f aca="false">IF(B2597="","",IF(MATCH(B2597,$B$2:$B$12000,0)=ROW()-1,1,0))</f>
        <v/>
      </c>
    </row>
    <row r="2598" customFormat="false" ht="15" hidden="false" customHeight="false" outlineLevel="0" collapsed="false">
      <c r="V2598" s="23" t="str">
        <f aca="false">IF(ISNUMBER(C2598),YEAR(C2598),"")</f>
        <v/>
      </c>
      <c r="W2598" s="23" t="str">
        <f aca="false">IF(ISNUMBER(C2598),MONTH(C2598),"")</f>
        <v/>
      </c>
      <c r="X2598" s="23" t="str">
        <f aca="false">IF(T2598="","",IF(T2598=0,"No discount",IF(T2598&lt;=0.2,"Low (1-20%)",IF(T2598&lt;=0.4,"Medium (21-40%)","High (&gt;40%)"))))</f>
        <v/>
      </c>
      <c r="Y2598" s="23" t="str">
        <f aca="false">IF(AND(ISNUMBER(C2598),ISNUMBER(D2598)),D2598-C2598,"")</f>
        <v/>
      </c>
      <c r="Z2598" s="23" t="str">
        <f aca="false">IF(B2598="","",IF(MATCH(B2598,$B$2:$B$12000,0)=ROW()-1,1,0))</f>
        <v/>
      </c>
    </row>
    <row r="2599" customFormat="false" ht="15" hidden="false" customHeight="false" outlineLevel="0" collapsed="false">
      <c r="V2599" s="23" t="str">
        <f aca="false">IF(ISNUMBER(C2599),YEAR(C2599),"")</f>
        <v/>
      </c>
      <c r="W2599" s="23" t="str">
        <f aca="false">IF(ISNUMBER(C2599),MONTH(C2599),"")</f>
        <v/>
      </c>
      <c r="X2599" s="23" t="str">
        <f aca="false">IF(T2599="","",IF(T2599=0,"No discount",IF(T2599&lt;=0.2,"Low (1-20%)",IF(T2599&lt;=0.4,"Medium (21-40%)","High (&gt;40%)"))))</f>
        <v/>
      </c>
      <c r="Y2599" s="23" t="str">
        <f aca="false">IF(AND(ISNUMBER(C2599),ISNUMBER(D2599)),D2599-C2599,"")</f>
        <v/>
      </c>
      <c r="Z2599" s="23" t="str">
        <f aca="false">IF(B2599="","",IF(MATCH(B2599,$B$2:$B$12000,0)=ROW()-1,1,0))</f>
        <v/>
      </c>
    </row>
    <row r="2600" customFormat="false" ht="15" hidden="false" customHeight="false" outlineLevel="0" collapsed="false">
      <c r="V2600" s="23" t="str">
        <f aca="false">IF(ISNUMBER(C2600),YEAR(C2600),"")</f>
        <v/>
      </c>
      <c r="W2600" s="23" t="str">
        <f aca="false">IF(ISNUMBER(C2600),MONTH(C2600),"")</f>
        <v/>
      </c>
      <c r="X2600" s="23" t="str">
        <f aca="false">IF(T2600="","",IF(T2600=0,"No discount",IF(T2600&lt;=0.2,"Low (1-20%)",IF(T2600&lt;=0.4,"Medium (21-40%)","High (&gt;40%)"))))</f>
        <v/>
      </c>
      <c r="Y2600" s="23" t="str">
        <f aca="false">IF(AND(ISNUMBER(C2600),ISNUMBER(D2600)),D2600-C2600,"")</f>
        <v/>
      </c>
      <c r="Z2600" s="23" t="str">
        <f aca="false">IF(B2600="","",IF(MATCH(B2600,$B$2:$B$12000,0)=ROW()-1,1,0))</f>
        <v/>
      </c>
    </row>
    <row r="2601" customFormat="false" ht="15" hidden="false" customHeight="false" outlineLevel="0" collapsed="false">
      <c r="V2601" s="23" t="str">
        <f aca="false">IF(ISNUMBER(C2601),YEAR(C2601),"")</f>
        <v/>
      </c>
      <c r="W2601" s="23" t="str">
        <f aca="false">IF(ISNUMBER(C2601),MONTH(C2601),"")</f>
        <v/>
      </c>
      <c r="X2601" s="23" t="str">
        <f aca="false">IF(T2601="","",IF(T2601=0,"No discount",IF(T2601&lt;=0.2,"Low (1-20%)",IF(T2601&lt;=0.4,"Medium (21-40%)","High (&gt;40%)"))))</f>
        <v/>
      </c>
      <c r="Y2601" s="23" t="str">
        <f aca="false">IF(AND(ISNUMBER(C2601),ISNUMBER(D2601)),D2601-C2601,"")</f>
        <v/>
      </c>
      <c r="Z2601" s="23" t="str">
        <f aca="false">IF(B2601="","",IF(MATCH(B2601,$B$2:$B$12000,0)=ROW()-1,1,0))</f>
        <v/>
      </c>
    </row>
    <row r="2602" customFormat="false" ht="15" hidden="false" customHeight="false" outlineLevel="0" collapsed="false">
      <c r="V2602" s="23" t="str">
        <f aca="false">IF(ISNUMBER(C2602),YEAR(C2602),"")</f>
        <v/>
      </c>
      <c r="W2602" s="23" t="str">
        <f aca="false">IF(ISNUMBER(C2602),MONTH(C2602),"")</f>
        <v/>
      </c>
      <c r="X2602" s="23" t="str">
        <f aca="false">IF(T2602="","",IF(T2602=0,"No discount",IF(T2602&lt;=0.2,"Low (1-20%)",IF(T2602&lt;=0.4,"Medium (21-40%)","High (&gt;40%)"))))</f>
        <v/>
      </c>
      <c r="Y2602" s="23" t="str">
        <f aca="false">IF(AND(ISNUMBER(C2602),ISNUMBER(D2602)),D2602-C2602,"")</f>
        <v/>
      </c>
      <c r="Z2602" s="23" t="str">
        <f aca="false">IF(B2602="","",IF(MATCH(B2602,$B$2:$B$12000,0)=ROW()-1,1,0))</f>
        <v/>
      </c>
    </row>
    <row r="2603" customFormat="false" ht="15" hidden="false" customHeight="false" outlineLevel="0" collapsed="false">
      <c r="V2603" s="23" t="str">
        <f aca="false">IF(ISNUMBER(C2603),YEAR(C2603),"")</f>
        <v/>
      </c>
      <c r="W2603" s="23" t="str">
        <f aca="false">IF(ISNUMBER(C2603),MONTH(C2603),"")</f>
        <v/>
      </c>
      <c r="X2603" s="23" t="str">
        <f aca="false">IF(T2603="","",IF(T2603=0,"No discount",IF(T2603&lt;=0.2,"Low (1-20%)",IF(T2603&lt;=0.4,"Medium (21-40%)","High (&gt;40%)"))))</f>
        <v/>
      </c>
      <c r="Y2603" s="23" t="str">
        <f aca="false">IF(AND(ISNUMBER(C2603),ISNUMBER(D2603)),D2603-C2603,"")</f>
        <v/>
      </c>
      <c r="Z2603" s="23" t="str">
        <f aca="false">IF(B2603="","",IF(MATCH(B2603,$B$2:$B$12000,0)=ROW()-1,1,0))</f>
        <v/>
      </c>
    </row>
    <row r="2604" customFormat="false" ht="15" hidden="false" customHeight="false" outlineLevel="0" collapsed="false">
      <c r="V2604" s="23" t="str">
        <f aca="false">IF(ISNUMBER(C2604),YEAR(C2604),"")</f>
        <v/>
      </c>
      <c r="W2604" s="23" t="str">
        <f aca="false">IF(ISNUMBER(C2604),MONTH(C2604),"")</f>
        <v/>
      </c>
      <c r="X2604" s="23" t="str">
        <f aca="false">IF(T2604="","",IF(T2604=0,"No discount",IF(T2604&lt;=0.2,"Low (1-20%)",IF(T2604&lt;=0.4,"Medium (21-40%)","High (&gt;40%)"))))</f>
        <v/>
      </c>
      <c r="Y2604" s="23" t="str">
        <f aca="false">IF(AND(ISNUMBER(C2604),ISNUMBER(D2604)),D2604-C2604,"")</f>
        <v/>
      </c>
      <c r="Z2604" s="23" t="str">
        <f aca="false">IF(B2604="","",IF(MATCH(B2604,$B$2:$B$12000,0)=ROW()-1,1,0))</f>
        <v/>
      </c>
    </row>
    <row r="2605" customFormat="false" ht="15" hidden="false" customHeight="false" outlineLevel="0" collapsed="false">
      <c r="V2605" s="23" t="str">
        <f aca="false">IF(ISNUMBER(C2605),YEAR(C2605),"")</f>
        <v/>
      </c>
      <c r="W2605" s="23" t="str">
        <f aca="false">IF(ISNUMBER(C2605),MONTH(C2605),"")</f>
        <v/>
      </c>
      <c r="X2605" s="23" t="str">
        <f aca="false">IF(T2605="","",IF(T2605=0,"No discount",IF(T2605&lt;=0.2,"Low (1-20%)",IF(T2605&lt;=0.4,"Medium (21-40%)","High (&gt;40%)"))))</f>
        <v/>
      </c>
      <c r="Y2605" s="23" t="str">
        <f aca="false">IF(AND(ISNUMBER(C2605),ISNUMBER(D2605)),D2605-C2605,"")</f>
        <v/>
      </c>
      <c r="Z2605" s="23" t="str">
        <f aca="false">IF(B2605="","",IF(MATCH(B2605,$B$2:$B$12000,0)=ROW()-1,1,0))</f>
        <v/>
      </c>
    </row>
    <row r="2606" customFormat="false" ht="15" hidden="false" customHeight="false" outlineLevel="0" collapsed="false">
      <c r="V2606" s="23" t="str">
        <f aca="false">IF(ISNUMBER(C2606),YEAR(C2606),"")</f>
        <v/>
      </c>
      <c r="W2606" s="23" t="str">
        <f aca="false">IF(ISNUMBER(C2606),MONTH(C2606),"")</f>
        <v/>
      </c>
      <c r="X2606" s="23" t="str">
        <f aca="false">IF(T2606="","",IF(T2606=0,"No discount",IF(T2606&lt;=0.2,"Low (1-20%)",IF(T2606&lt;=0.4,"Medium (21-40%)","High (&gt;40%)"))))</f>
        <v/>
      </c>
      <c r="Y2606" s="23" t="str">
        <f aca="false">IF(AND(ISNUMBER(C2606),ISNUMBER(D2606)),D2606-C2606,"")</f>
        <v/>
      </c>
      <c r="Z2606" s="23" t="str">
        <f aca="false">IF(B2606="","",IF(MATCH(B2606,$B$2:$B$12000,0)=ROW()-1,1,0))</f>
        <v/>
      </c>
    </row>
    <row r="2607" customFormat="false" ht="15" hidden="false" customHeight="false" outlineLevel="0" collapsed="false">
      <c r="V2607" s="23" t="str">
        <f aca="false">IF(ISNUMBER(C2607),YEAR(C2607),"")</f>
        <v/>
      </c>
      <c r="W2607" s="23" t="str">
        <f aca="false">IF(ISNUMBER(C2607),MONTH(C2607),"")</f>
        <v/>
      </c>
      <c r="X2607" s="23" t="str">
        <f aca="false">IF(T2607="","",IF(T2607=0,"No discount",IF(T2607&lt;=0.2,"Low (1-20%)",IF(T2607&lt;=0.4,"Medium (21-40%)","High (&gt;40%)"))))</f>
        <v/>
      </c>
      <c r="Y2607" s="23" t="str">
        <f aca="false">IF(AND(ISNUMBER(C2607),ISNUMBER(D2607)),D2607-C2607,"")</f>
        <v/>
      </c>
      <c r="Z2607" s="23" t="str">
        <f aca="false">IF(B2607="","",IF(MATCH(B2607,$B$2:$B$12000,0)=ROW()-1,1,0))</f>
        <v/>
      </c>
    </row>
    <row r="2608" customFormat="false" ht="15" hidden="false" customHeight="false" outlineLevel="0" collapsed="false">
      <c r="V2608" s="23" t="str">
        <f aca="false">IF(ISNUMBER(C2608),YEAR(C2608),"")</f>
        <v/>
      </c>
      <c r="W2608" s="23" t="str">
        <f aca="false">IF(ISNUMBER(C2608),MONTH(C2608),"")</f>
        <v/>
      </c>
      <c r="X2608" s="23" t="str">
        <f aca="false">IF(T2608="","",IF(T2608=0,"No discount",IF(T2608&lt;=0.2,"Low (1-20%)",IF(T2608&lt;=0.4,"Medium (21-40%)","High (&gt;40%)"))))</f>
        <v/>
      </c>
      <c r="Y2608" s="23" t="str">
        <f aca="false">IF(AND(ISNUMBER(C2608),ISNUMBER(D2608)),D2608-C2608,"")</f>
        <v/>
      </c>
      <c r="Z2608" s="23" t="str">
        <f aca="false">IF(B2608="","",IF(MATCH(B2608,$B$2:$B$12000,0)=ROW()-1,1,0))</f>
        <v/>
      </c>
    </row>
    <row r="2609" customFormat="false" ht="15" hidden="false" customHeight="false" outlineLevel="0" collapsed="false">
      <c r="V2609" s="23" t="str">
        <f aca="false">IF(ISNUMBER(C2609),YEAR(C2609),"")</f>
        <v/>
      </c>
      <c r="W2609" s="23" t="str">
        <f aca="false">IF(ISNUMBER(C2609),MONTH(C2609),"")</f>
        <v/>
      </c>
      <c r="X2609" s="23" t="str">
        <f aca="false">IF(T2609="","",IF(T2609=0,"No discount",IF(T2609&lt;=0.2,"Low (1-20%)",IF(T2609&lt;=0.4,"Medium (21-40%)","High (&gt;40%)"))))</f>
        <v/>
      </c>
      <c r="Y2609" s="23" t="str">
        <f aca="false">IF(AND(ISNUMBER(C2609),ISNUMBER(D2609)),D2609-C2609,"")</f>
        <v/>
      </c>
      <c r="Z2609" s="23" t="str">
        <f aca="false">IF(B2609="","",IF(MATCH(B2609,$B$2:$B$12000,0)=ROW()-1,1,0))</f>
        <v/>
      </c>
    </row>
    <row r="2610" customFormat="false" ht="15" hidden="false" customHeight="false" outlineLevel="0" collapsed="false">
      <c r="V2610" s="23" t="str">
        <f aca="false">IF(ISNUMBER(C2610),YEAR(C2610),"")</f>
        <v/>
      </c>
      <c r="W2610" s="23" t="str">
        <f aca="false">IF(ISNUMBER(C2610),MONTH(C2610),"")</f>
        <v/>
      </c>
      <c r="X2610" s="23" t="str">
        <f aca="false">IF(T2610="","",IF(T2610=0,"No discount",IF(T2610&lt;=0.2,"Low (1-20%)",IF(T2610&lt;=0.4,"Medium (21-40%)","High (&gt;40%)"))))</f>
        <v/>
      </c>
      <c r="Y2610" s="23" t="str">
        <f aca="false">IF(AND(ISNUMBER(C2610),ISNUMBER(D2610)),D2610-C2610,"")</f>
        <v/>
      </c>
      <c r="Z2610" s="23" t="str">
        <f aca="false">IF(B2610="","",IF(MATCH(B2610,$B$2:$B$12000,0)=ROW()-1,1,0))</f>
        <v/>
      </c>
    </row>
    <row r="2611" customFormat="false" ht="15" hidden="false" customHeight="false" outlineLevel="0" collapsed="false">
      <c r="V2611" s="23" t="str">
        <f aca="false">IF(ISNUMBER(C2611),YEAR(C2611),"")</f>
        <v/>
      </c>
      <c r="W2611" s="23" t="str">
        <f aca="false">IF(ISNUMBER(C2611),MONTH(C2611),"")</f>
        <v/>
      </c>
      <c r="X2611" s="23" t="str">
        <f aca="false">IF(T2611="","",IF(T2611=0,"No discount",IF(T2611&lt;=0.2,"Low (1-20%)",IF(T2611&lt;=0.4,"Medium (21-40%)","High (&gt;40%)"))))</f>
        <v/>
      </c>
      <c r="Y2611" s="23" t="str">
        <f aca="false">IF(AND(ISNUMBER(C2611),ISNUMBER(D2611)),D2611-C2611,"")</f>
        <v/>
      </c>
      <c r="Z2611" s="23" t="str">
        <f aca="false">IF(B2611="","",IF(MATCH(B2611,$B$2:$B$12000,0)=ROW()-1,1,0))</f>
        <v/>
      </c>
    </row>
    <row r="2612" customFormat="false" ht="15" hidden="false" customHeight="false" outlineLevel="0" collapsed="false">
      <c r="V2612" s="23" t="str">
        <f aca="false">IF(ISNUMBER(C2612),YEAR(C2612),"")</f>
        <v/>
      </c>
      <c r="W2612" s="23" t="str">
        <f aca="false">IF(ISNUMBER(C2612),MONTH(C2612),"")</f>
        <v/>
      </c>
      <c r="X2612" s="23" t="str">
        <f aca="false">IF(T2612="","",IF(T2612=0,"No discount",IF(T2612&lt;=0.2,"Low (1-20%)",IF(T2612&lt;=0.4,"Medium (21-40%)","High (&gt;40%)"))))</f>
        <v/>
      </c>
      <c r="Y2612" s="23" t="str">
        <f aca="false">IF(AND(ISNUMBER(C2612),ISNUMBER(D2612)),D2612-C2612,"")</f>
        <v/>
      </c>
      <c r="Z2612" s="23" t="str">
        <f aca="false">IF(B2612="","",IF(MATCH(B2612,$B$2:$B$12000,0)=ROW()-1,1,0))</f>
        <v/>
      </c>
    </row>
    <row r="2613" customFormat="false" ht="15" hidden="false" customHeight="false" outlineLevel="0" collapsed="false">
      <c r="V2613" s="23" t="str">
        <f aca="false">IF(ISNUMBER(C2613),YEAR(C2613),"")</f>
        <v/>
      </c>
      <c r="W2613" s="23" t="str">
        <f aca="false">IF(ISNUMBER(C2613),MONTH(C2613),"")</f>
        <v/>
      </c>
      <c r="X2613" s="23" t="str">
        <f aca="false">IF(T2613="","",IF(T2613=0,"No discount",IF(T2613&lt;=0.2,"Low (1-20%)",IF(T2613&lt;=0.4,"Medium (21-40%)","High (&gt;40%)"))))</f>
        <v/>
      </c>
      <c r="Y2613" s="23" t="str">
        <f aca="false">IF(AND(ISNUMBER(C2613),ISNUMBER(D2613)),D2613-C2613,"")</f>
        <v/>
      </c>
      <c r="Z2613" s="23" t="str">
        <f aca="false">IF(B2613="","",IF(MATCH(B2613,$B$2:$B$12000,0)=ROW()-1,1,0))</f>
        <v/>
      </c>
    </row>
    <row r="2614" customFormat="false" ht="15" hidden="false" customHeight="false" outlineLevel="0" collapsed="false">
      <c r="V2614" s="23" t="str">
        <f aca="false">IF(ISNUMBER(C2614),YEAR(C2614),"")</f>
        <v/>
      </c>
      <c r="W2614" s="23" t="str">
        <f aca="false">IF(ISNUMBER(C2614),MONTH(C2614),"")</f>
        <v/>
      </c>
      <c r="X2614" s="23" t="str">
        <f aca="false">IF(T2614="","",IF(T2614=0,"No discount",IF(T2614&lt;=0.2,"Low (1-20%)",IF(T2614&lt;=0.4,"Medium (21-40%)","High (&gt;40%)"))))</f>
        <v/>
      </c>
      <c r="Y2614" s="23" t="str">
        <f aca="false">IF(AND(ISNUMBER(C2614),ISNUMBER(D2614)),D2614-C2614,"")</f>
        <v/>
      </c>
      <c r="Z2614" s="23" t="str">
        <f aca="false">IF(B2614="","",IF(MATCH(B2614,$B$2:$B$12000,0)=ROW()-1,1,0))</f>
        <v/>
      </c>
    </row>
    <row r="2615" customFormat="false" ht="15" hidden="false" customHeight="false" outlineLevel="0" collapsed="false">
      <c r="V2615" s="23" t="str">
        <f aca="false">IF(ISNUMBER(C2615),YEAR(C2615),"")</f>
        <v/>
      </c>
      <c r="W2615" s="23" t="str">
        <f aca="false">IF(ISNUMBER(C2615),MONTH(C2615),"")</f>
        <v/>
      </c>
      <c r="X2615" s="23" t="str">
        <f aca="false">IF(T2615="","",IF(T2615=0,"No discount",IF(T2615&lt;=0.2,"Low (1-20%)",IF(T2615&lt;=0.4,"Medium (21-40%)","High (&gt;40%)"))))</f>
        <v/>
      </c>
      <c r="Y2615" s="23" t="str">
        <f aca="false">IF(AND(ISNUMBER(C2615),ISNUMBER(D2615)),D2615-C2615,"")</f>
        <v/>
      </c>
      <c r="Z2615" s="23" t="str">
        <f aca="false">IF(B2615="","",IF(MATCH(B2615,$B$2:$B$12000,0)=ROW()-1,1,0))</f>
        <v/>
      </c>
    </row>
    <row r="2616" customFormat="false" ht="15" hidden="false" customHeight="false" outlineLevel="0" collapsed="false">
      <c r="V2616" s="23" t="str">
        <f aca="false">IF(ISNUMBER(C2616),YEAR(C2616),"")</f>
        <v/>
      </c>
      <c r="W2616" s="23" t="str">
        <f aca="false">IF(ISNUMBER(C2616),MONTH(C2616),"")</f>
        <v/>
      </c>
      <c r="X2616" s="23" t="str">
        <f aca="false">IF(T2616="","",IF(T2616=0,"No discount",IF(T2616&lt;=0.2,"Low (1-20%)",IF(T2616&lt;=0.4,"Medium (21-40%)","High (&gt;40%)"))))</f>
        <v/>
      </c>
      <c r="Y2616" s="23" t="str">
        <f aca="false">IF(AND(ISNUMBER(C2616),ISNUMBER(D2616)),D2616-C2616,"")</f>
        <v/>
      </c>
      <c r="Z2616" s="23" t="str">
        <f aca="false">IF(B2616="","",IF(MATCH(B2616,$B$2:$B$12000,0)=ROW()-1,1,0))</f>
        <v/>
      </c>
    </row>
    <row r="2617" customFormat="false" ht="15" hidden="false" customHeight="false" outlineLevel="0" collapsed="false">
      <c r="V2617" s="23" t="str">
        <f aca="false">IF(ISNUMBER(C2617),YEAR(C2617),"")</f>
        <v/>
      </c>
      <c r="W2617" s="23" t="str">
        <f aca="false">IF(ISNUMBER(C2617),MONTH(C2617),"")</f>
        <v/>
      </c>
      <c r="X2617" s="23" t="str">
        <f aca="false">IF(T2617="","",IF(T2617=0,"No discount",IF(T2617&lt;=0.2,"Low (1-20%)",IF(T2617&lt;=0.4,"Medium (21-40%)","High (&gt;40%)"))))</f>
        <v/>
      </c>
      <c r="Y2617" s="23" t="str">
        <f aca="false">IF(AND(ISNUMBER(C2617),ISNUMBER(D2617)),D2617-C2617,"")</f>
        <v/>
      </c>
      <c r="Z2617" s="23" t="str">
        <f aca="false">IF(B2617="","",IF(MATCH(B2617,$B$2:$B$12000,0)=ROW()-1,1,0))</f>
        <v/>
      </c>
    </row>
    <row r="2618" customFormat="false" ht="15" hidden="false" customHeight="false" outlineLevel="0" collapsed="false">
      <c r="V2618" s="23" t="str">
        <f aca="false">IF(ISNUMBER(C2618),YEAR(C2618),"")</f>
        <v/>
      </c>
      <c r="W2618" s="23" t="str">
        <f aca="false">IF(ISNUMBER(C2618),MONTH(C2618),"")</f>
        <v/>
      </c>
      <c r="X2618" s="23" t="str">
        <f aca="false">IF(T2618="","",IF(T2618=0,"No discount",IF(T2618&lt;=0.2,"Low (1-20%)",IF(T2618&lt;=0.4,"Medium (21-40%)","High (&gt;40%)"))))</f>
        <v/>
      </c>
      <c r="Y2618" s="23" t="str">
        <f aca="false">IF(AND(ISNUMBER(C2618),ISNUMBER(D2618)),D2618-C2618,"")</f>
        <v/>
      </c>
      <c r="Z2618" s="23" t="str">
        <f aca="false">IF(B2618="","",IF(MATCH(B2618,$B$2:$B$12000,0)=ROW()-1,1,0))</f>
        <v/>
      </c>
    </row>
    <row r="2619" customFormat="false" ht="15" hidden="false" customHeight="false" outlineLevel="0" collapsed="false">
      <c r="V2619" s="23" t="str">
        <f aca="false">IF(ISNUMBER(C2619),YEAR(C2619),"")</f>
        <v/>
      </c>
      <c r="W2619" s="23" t="str">
        <f aca="false">IF(ISNUMBER(C2619),MONTH(C2619),"")</f>
        <v/>
      </c>
      <c r="X2619" s="23" t="str">
        <f aca="false">IF(T2619="","",IF(T2619=0,"No discount",IF(T2619&lt;=0.2,"Low (1-20%)",IF(T2619&lt;=0.4,"Medium (21-40%)","High (&gt;40%)"))))</f>
        <v/>
      </c>
      <c r="Y2619" s="23" t="str">
        <f aca="false">IF(AND(ISNUMBER(C2619),ISNUMBER(D2619)),D2619-C2619,"")</f>
        <v/>
      </c>
      <c r="Z2619" s="23" t="str">
        <f aca="false">IF(B2619="","",IF(MATCH(B2619,$B$2:$B$12000,0)=ROW()-1,1,0))</f>
        <v/>
      </c>
    </row>
    <row r="2620" customFormat="false" ht="15" hidden="false" customHeight="false" outlineLevel="0" collapsed="false">
      <c r="V2620" s="23" t="str">
        <f aca="false">IF(ISNUMBER(C2620),YEAR(C2620),"")</f>
        <v/>
      </c>
      <c r="W2620" s="23" t="str">
        <f aca="false">IF(ISNUMBER(C2620),MONTH(C2620),"")</f>
        <v/>
      </c>
      <c r="X2620" s="23" t="str">
        <f aca="false">IF(T2620="","",IF(T2620=0,"No discount",IF(T2620&lt;=0.2,"Low (1-20%)",IF(T2620&lt;=0.4,"Medium (21-40%)","High (&gt;40%)"))))</f>
        <v/>
      </c>
      <c r="Y2620" s="23" t="str">
        <f aca="false">IF(AND(ISNUMBER(C2620),ISNUMBER(D2620)),D2620-C2620,"")</f>
        <v/>
      </c>
      <c r="Z2620" s="23" t="str">
        <f aca="false">IF(B2620="","",IF(MATCH(B2620,$B$2:$B$12000,0)=ROW()-1,1,0))</f>
        <v/>
      </c>
    </row>
    <row r="2621" customFormat="false" ht="15" hidden="false" customHeight="false" outlineLevel="0" collapsed="false">
      <c r="V2621" s="23" t="str">
        <f aca="false">IF(ISNUMBER(C2621),YEAR(C2621),"")</f>
        <v/>
      </c>
      <c r="W2621" s="23" t="str">
        <f aca="false">IF(ISNUMBER(C2621),MONTH(C2621),"")</f>
        <v/>
      </c>
      <c r="X2621" s="23" t="str">
        <f aca="false">IF(T2621="","",IF(T2621=0,"No discount",IF(T2621&lt;=0.2,"Low (1-20%)",IF(T2621&lt;=0.4,"Medium (21-40%)","High (&gt;40%)"))))</f>
        <v/>
      </c>
      <c r="Y2621" s="23" t="str">
        <f aca="false">IF(AND(ISNUMBER(C2621),ISNUMBER(D2621)),D2621-C2621,"")</f>
        <v/>
      </c>
      <c r="Z2621" s="23" t="str">
        <f aca="false">IF(B2621="","",IF(MATCH(B2621,$B$2:$B$12000,0)=ROW()-1,1,0))</f>
        <v/>
      </c>
    </row>
    <row r="2622" customFormat="false" ht="15" hidden="false" customHeight="false" outlineLevel="0" collapsed="false">
      <c r="V2622" s="23" t="str">
        <f aca="false">IF(ISNUMBER(C2622),YEAR(C2622),"")</f>
        <v/>
      </c>
      <c r="W2622" s="23" t="str">
        <f aca="false">IF(ISNUMBER(C2622),MONTH(C2622),"")</f>
        <v/>
      </c>
      <c r="X2622" s="23" t="str">
        <f aca="false">IF(T2622="","",IF(T2622=0,"No discount",IF(T2622&lt;=0.2,"Low (1-20%)",IF(T2622&lt;=0.4,"Medium (21-40%)","High (&gt;40%)"))))</f>
        <v/>
      </c>
      <c r="Y2622" s="23" t="str">
        <f aca="false">IF(AND(ISNUMBER(C2622),ISNUMBER(D2622)),D2622-C2622,"")</f>
        <v/>
      </c>
      <c r="Z2622" s="23" t="str">
        <f aca="false">IF(B2622="","",IF(MATCH(B2622,$B$2:$B$12000,0)=ROW()-1,1,0))</f>
        <v/>
      </c>
    </row>
    <row r="2623" customFormat="false" ht="15" hidden="false" customHeight="false" outlineLevel="0" collapsed="false">
      <c r="V2623" s="23" t="str">
        <f aca="false">IF(ISNUMBER(C2623),YEAR(C2623),"")</f>
        <v/>
      </c>
      <c r="W2623" s="23" t="str">
        <f aca="false">IF(ISNUMBER(C2623),MONTH(C2623),"")</f>
        <v/>
      </c>
      <c r="X2623" s="23" t="str">
        <f aca="false">IF(T2623="","",IF(T2623=0,"No discount",IF(T2623&lt;=0.2,"Low (1-20%)",IF(T2623&lt;=0.4,"Medium (21-40%)","High (&gt;40%)"))))</f>
        <v/>
      </c>
      <c r="Y2623" s="23" t="str">
        <f aca="false">IF(AND(ISNUMBER(C2623),ISNUMBER(D2623)),D2623-C2623,"")</f>
        <v/>
      </c>
      <c r="Z2623" s="23" t="str">
        <f aca="false">IF(B2623="","",IF(MATCH(B2623,$B$2:$B$12000,0)=ROW()-1,1,0))</f>
        <v/>
      </c>
    </row>
    <row r="2624" customFormat="false" ht="15" hidden="false" customHeight="false" outlineLevel="0" collapsed="false">
      <c r="V2624" s="23" t="str">
        <f aca="false">IF(ISNUMBER(C2624),YEAR(C2624),"")</f>
        <v/>
      </c>
      <c r="W2624" s="23" t="str">
        <f aca="false">IF(ISNUMBER(C2624),MONTH(C2624),"")</f>
        <v/>
      </c>
      <c r="X2624" s="23" t="str">
        <f aca="false">IF(T2624="","",IF(T2624=0,"No discount",IF(T2624&lt;=0.2,"Low (1-20%)",IF(T2624&lt;=0.4,"Medium (21-40%)","High (&gt;40%)"))))</f>
        <v/>
      </c>
      <c r="Y2624" s="23" t="str">
        <f aca="false">IF(AND(ISNUMBER(C2624),ISNUMBER(D2624)),D2624-C2624,"")</f>
        <v/>
      </c>
      <c r="Z2624" s="23" t="str">
        <f aca="false">IF(B2624="","",IF(MATCH(B2624,$B$2:$B$12000,0)=ROW()-1,1,0))</f>
        <v/>
      </c>
    </row>
    <row r="2625" customFormat="false" ht="15" hidden="false" customHeight="false" outlineLevel="0" collapsed="false">
      <c r="V2625" s="23" t="str">
        <f aca="false">IF(ISNUMBER(C2625),YEAR(C2625),"")</f>
        <v/>
      </c>
      <c r="W2625" s="23" t="str">
        <f aca="false">IF(ISNUMBER(C2625),MONTH(C2625),"")</f>
        <v/>
      </c>
      <c r="X2625" s="23" t="str">
        <f aca="false">IF(T2625="","",IF(T2625=0,"No discount",IF(T2625&lt;=0.2,"Low (1-20%)",IF(T2625&lt;=0.4,"Medium (21-40%)","High (&gt;40%)"))))</f>
        <v/>
      </c>
      <c r="Y2625" s="23" t="str">
        <f aca="false">IF(AND(ISNUMBER(C2625),ISNUMBER(D2625)),D2625-C2625,"")</f>
        <v/>
      </c>
      <c r="Z2625" s="23" t="str">
        <f aca="false">IF(B2625="","",IF(MATCH(B2625,$B$2:$B$12000,0)=ROW()-1,1,0))</f>
        <v/>
      </c>
    </row>
    <row r="2626" customFormat="false" ht="15" hidden="false" customHeight="false" outlineLevel="0" collapsed="false">
      <c r="V2626" s="23" t="str">
        <f aca="false">IF(ISNUMBER(C2626),YEAR(C2626),"")</f>
        <v/>
      </c>
      <c r="W2626" s="23" t="str">
        <f aca="false">IF(ISNUMBER(C2626),MONTH(C2626),"")</f>
        <v/>
      </c>
      <c r="X2626" s="23" t="str">
        <f aca="false">IF(T2626="","",IF(T2626=0,"No discount",IF(T2626&lt;=0.2,"Low (1-20%)",IF(T2626&lt;=0.4,"Medium (21-40%)","High (&gt;40%)"))))</f>
        <v/>
      </c>
      <c r="Y2626" s="23" t="str">
        <f aca="false">IF(AND(ISNUMBER(C2626),ISNUMBER(D2626)),D2626-C2626,"")</f>
        <v/>
      </c>
      <c r="Z2626" s="23" t="str">
        <f aca="false">IF(B2626="","",IF(MATCH(B2626,$B$2:$B$12000,0)=ROW()-1,1,0))</f>
        <v/>
      </c>
    </row>
    <row r="2627" customFormat="false" ht="15" hidden="false" customHeight="false" outlineLevel="0" collapsed="false">
      <c r="V2627" s="23" t="str">
        <f aca="false">IF(ISNUMBER(C2627),YEAR(C2627),"")</f>
        <v/>
      </c>
      <c r="W2627" s="23" t="str">
        <f aca="false">IF(ISNUMBER(C2627),MONTH(C2627),"")</f>
        <v/>
      </c>
      <c r="X2627" s="23" t="str">
        <f aca="false">IF(T2627="","",IF(T2627=0,"No discount",IF(T2627&lt;=0.2,"Low (1-20%)",IF(T2627&lt;=0.4,"Medium (21-40%)","High (&gt;40%)"))))</f>
        <v/>
      </c>
      <c r="Y2627" s="23" t="str">
        <f aca="false">IF(AND(ISNUMBER(C2627),ISNUMBER(D2627)),D2627-C2627,"")</f>
        <v/>
      </c>
      <c r="Z2627" s="23" t="str">
        <f aca="false">IF(B2627="","",IF(MATCH(B2627,$B$2:$B$12000,0)=ROW()-1,1,0))</f>
        <v/>
      </c>
    </row>
    <row r="2628" customFormat="false" ht="15" hidden="false" customHeight="false" outlineLevel="0" collapsed="false">
      <c r="V2628" s="23" t="str">
        <f aca="false">IF(ISNUMBER(C2628),YEAR(C2628),"")</f>
        <v/>
      </c>
      <c r="W2628" s="23" t="str">
        <f aca="false">IF(ISNUMBER(C2628),MONTH(C2628),"")</f>
        <v/>
      </c>
      <c r="X2628" s="23" t="str">
        <f aca="false">IF(T2628="","",IF(T2628=0,"No discount",IF(T2628&lt;=0.2,"Low (1-20%)",IF(T2628&lt;=0.4,"Medium (21-40%)","High (&gt;40%)"))))</f>
        <v/>
      </c>
      <c r="Y2628" s="23" t="str">
        <f aca="false">IF(AND(ISNUMBER(C2628),ISNUMBER(D2628)),D2628-C2628,"")</f>
        <v/>
      </c>
      <c r="Z2628" s="23" t="str">
        <f aca="false">IF(B2628="","",IF(MATCH(B2628,$B$2:$B$12000,0)=ROW()-1,1,0))</f>
        <v/>
      </c>
    </row>
    <row r="2629" customFormat="false" ht="15" hidden="false" customHeight="false" outlineLevel="0" collapsed="false">
      <c r="V2629" s="23" t="str">
        <f aca="false">IF(ISNUMBER(C2629),YEAR(C2629),"")</f>
        <v/>
      </c>
      <c r="W2629" s="23" t="str">
        <f aca="false">IF(ISNUMBER(C2629),MONTH(C2629),"")</f>
        <v/>
      </c>
      <c r="X2629" s="23" t="str">
        <f aca="false">IF(T2629="","",IF(T2629=0,"No discount",IF(T2629&lt;=0.2,"Low (1-20%)",IF(T2629&lt;=0.4,"Medium (21-40%)","High (&gt;40%)"))))</f>
        <v/>
      </c>
      <c r="Y2629" s="23" t="str">
        <f aca="false">IF(AND(ISNUMBER(C2629),ISNUMBER(D2629)),D2629-C2629,"")</f>
        <v/>
      </c>
      <c r="Z2629" s="23" t="str">
        <f aca="false">IF(B2629="","",IF(MATCH(B2629,$B$2:$B$12000,0)=ROW()-1,1,0))</f>
        <v/>
      </c>
    </row>
    <row r="2630" customFormat="false" ht="15" hidden="false" customHeight="false" outlineLevel="0" collapsed="false">
      <c r="V2630" s="23" t="str">
        <f aca="false">IF(ISNUMBER(C2630),YEAR(C2630),"")</f>
        <v/>
      </c>
      <c r="W2630" s="23" t="str">
        <f aca="false">IF(ISNUMBER(C2630),MONTH(C2630),"")</f>
        <v/>
      </c>
      <c r="X2630" s="23" t="str">
        <f aca="false">IF(T2630="","",IF(T2630=0,"No discount",IF(T2630&lt;=0.2,"Low (1-20%)",IF(T2630&lt;=0.4,"Medium (21-40%)","High (&gt;40%)"))))</f>
        <v/>
      </c>
      <c r="Y2630" s="23" t="str">
        <f aca="false">IF(AND(ISNUMBER(C2630),ISNUMBER(D2630)),D2630-C2630,"")</f>
        <v/>
      </c>
      <c r="Z2630" s="23" t="str">
        <f aca="false">IF(B2630="","",IF(MATCH(B2630,$B$2:$B$12000,0)=ROW()-1,1,0))</f>
        <v/>
      </c>
    </row>
    <row r="2631" customFormat="false" ht="15" hidden="false" customHeight="false" outlineLevel="0" collapsed="false">
      <c r="V2631" s="23" t="str">
        <f aca="false">IF(ISNUMBER(C2631),YEAR(C2631),"")</f>
        <v/>
      </c>
      <c r="W2631" s="23" t="str">
        <f aca="false">IF(ISNUMBER(C2631),MONTH(C2631),"")</f>
        <v/>
      </c>
      <c r="X2631" s="23" t="str">
        <f aca="false">IF(T2631="","",IF(T2631=0,"No discount",IF(T2631&lt;=0.2,"Low (1-20%)",IF(T2631&lt;=0.4,"Medium (21-40%)","High (&gt;40%)"))))</f>
        <v/>
      </c>
      <c r="Y2631" s="23" t="str">
        <f aca="false">IF(AND(ISNUMBER(C2631),ISNUMBER(D2631)),D2631-C2631,"")</f>
        <v/>
      </c>
      <c r="Z2631" s="23" t="str">
        <f aca="false">IF(B2631="","",IF(MATCH(B2631,$B$2:$B$12000,0)=ROW()-1,1,0))</f>
        <v/>
      </c>
    </row>
    <row r="2632" customFormat="false" ht="15" hidden="false" customHeight="false" outlineLevel="0" collapsed="false">
      <c r="V2632" s="23" t="str">
        <f aca="false">IF(ISNUMBER(C2632),YEAR(C2632),"")</f>
        <v/>
      </c>
      <c r="W2632" s="23" t="str">
        <f aca="false">IF(ISNUMBER(C2632),MONTH(C2632),"")</f>
        <v/>
      </c>
      <c r="X2632" s="23" t="str">
        <f aca="false">IF(T2632="","",IF(T2632=0,"No discount",IF(T2632&lt;=0.2,"Low (1-20%)",IF(T2632&lt;=0.4,"Medium (21-40%)","High (&gt;40%)"))))</f>
        <v/>
      </c>
      <c r="Y2632" s="23" t="str">
        <f aca="false">IF(AND(ISNUMBER(C2632),ISNUMBER(D2632)),D2632-C2632,"")</f>
        <v/>
      </c>
      <c r="Z2632" s="23" t="str">
        <f aca="false">IF(B2632="","",IF(MATCH(B2632,$B$2:$B$12000,0)=ROW()-1,1,0))</f>
        <v/>
      </c>
    </row>
    <row r="2633" customFormat="false" ht="15" hidden="false" customHeight="false" outlineLevel="0" collapsed="false">
      <c r="V2633" s="23" t="str">
        <f aca="false">IF(ISNUMBER(C2633),YEAR(C2633),"")</f>
        <v/>
      </c>
      <c r="W2633" s="23" t="str">
        <f aca="false">IF(ISNUMBER(C2633),MONTH(C2633),"")</f>
        <v/>
      </c>
      <c r="X2633" s="23" t="str">
        <f aca="false">IF(T2633="","",IF(T2633=0,"No discount",IF(T2633&lt;=0.2,"Low (1-20%)",IF(T2633&lt;=0.4,"Medium (21-40%)","High (&gt;40%)"))))</f>
        <v/>
      </c>
      <c r="Y2633" s="23" t="str">
        <f aca="false">IF(AND(ISNUMBER(C2633),ISNUMBER(D2633)),D2633-C2633,"")</f>
        <v/>
      </c>
      <c r="Z2633" s="23" t="str">
        <f aca="false">IF(B2633="","",IF(MATCH(B2633,$B$2:$B$12000,0)=ROW()-1,1,0))</f>
        <v/>
      </c>
    </row>
    <row r="2634" customFormat="false" ht="15" hidden="false" customHeight="false" outlineLevel="0" collapsed="false">
      <c r="V2634" s="23" t="str">
        <f aca="false">IF(ISNUMBER(C2634),YEAR(C2634),"")</f>
        <v/>
      </c>
      <c r="W2634" s="23" t="str">
        <f aca="false">IF(ISNUMBER(C2634),MONTH(C2634),"")</f>
        <v/>
      </c>
      <c r="X2634" s="23" t="str">
        <f aca="false">IF(T2634="","",IF(T2634=0,"No discount",IF(T2634&lt;=0.2,"Low (1-20%)",IF(T2634&lt;=0.4,"Medium (21-40%)","High (&gt;40%)"))))</f>
        <v/>
      </c>
      <c r="Y2634" s="23" t="str">
        <f aca="false">IF(AND(ISNUMBER(C2634),ISNUMBER(D2634)),D2634-C2634,"")</f>
        <v/>
      </c>
      <c r="Z2634" s="23" t="str">
        <f aca="false">IF(B2634="","",IF(MATCH(B2634,$B$2:$B$12000,0)=ROW()-1,1,0))</f>
        <v/>
      </c>
    </row>
    <row r="2635" customFormat="false" ht="15" hidden="false" customHeight="false" outlineLevel="0" collapsed="false">
      <c r="V2635" s="23" t="str">
        <f aca="false">IF(ISNUMBER(C2635),YEAR(C2635),"")</f>
        <v/>
      </c>
      <c r="W2635" s="23" t="str">
        <f aca="false">IF(ISNUMBER(C2635),MONTH(C2635),"")</f>
        <v/>
      </c>
      <c r="X2635" s="23" t="str">
        <f aca="false">IF(T2635="","",IF(T2635=0,"No discount",IF(T2635&lt;=0.2,"Low (1-20%)",IF(T2635&lt;=0.4,"Medium (21-40%)","High (&gt;40%)"))))</f>
        <v/>
      </c>
      <c r="Y2635" s="23" t="str">
        <f aca="false">IF(AND(ISNUMBER(C2635),ISNUMBER(D2635)),D2635-C2635,"")</f>
        <v/>
      </c>
      <c r="Z2635" s="23" t="str">
        <f aca="false">IF(B2635="","",IF(MATCH(B2635,$B$2:$B$12000,0)=ROW()-1,1,0))</f>
        <v/>
      </c>
    </row>
    <row r="2636" customFormat="false" ht="15" hidden="false" customHeight="false" outlineLevel="0" collapsed="false">
      <c r="V2636" s="23" t="str">
        <f aca="false">IF(ISNUMBER(C2636),YEAR(C2636),"")</f>
        <v/>
      </c>
      <c r="W2636" s="23" t="str">
        <f aca="false">IF(ISNUMBER(C2636),MONTH(C2636),"")</f>
        <v/>
      </c>
      <c r="X2636" s="23" t="str">
        <f aca="false">IF(T2636="","",IF(T2636=0,"No discount",IF(T2636&lt;=0.2,"Low (1-20%)",IF(T2636&lt;=0.4,"Medium (21-40%)","High (&gt;40%)"))))</f>
        <v/>
      </c>
      <c r="Y2636" s="23" t="str">
        <f aca="false">IF(AND(ISNUMBER(C2636),ISNUMBER(D2636)),D2636-C2636,"")</f>
        <v/>
      </c>
      <c r="Z2636" s="23" t="str">
        <f aca="false">IF(B2636="","",IF(MATCH(B2636,$B$2:$B$12000,0)=ROW()-1,1,0))</f>
        <v/>
      </c>
    </row>
    <row r="2637" customFormat="false" ht="15" hidden="false" customHeight="false" outlineLevel="0" collapsed="false">
      <c r="V2637" s="23" t="str">
        <f aca="false">IF(ISNUMBER(C2637),YEAR(C2637),"")</f>
        <v/>
      </c>
      <c r="W2637" s="23" t="str">
        <f aca="false">IF(ISNUMBER(C2637),MONTH(C2637),"")</f>
        <v/>
      </c>
      <c r="X2637" s="23" t="str">
        <f aca="false">IF(T2637="","",IF(T2637=0,"No discount",IF(T2637&lt;=0.2,"Low (1-20%)",IF(T2637&lt;=0.4,"Medium (21-40%)","High (&gt;40%)"))))</f>
        <v/>
      </c>
      <c r="Y2637" s="23" t="str">
        <f aca="false">IF(AND(ISNUMBER(C2637),ISNUMBER(D2637)),D2637-C2637,"")</f>
        <v/>
      </c>
      <c r="Z2637" s="23" t="str">
        <f aca="false">IF(B2637="","",IF(MATCH(B2637,$B$2:$B$12000,0)=ROW()-1,1,0))</f>
        <v/>
      </c>
    </row>
    <row r="2638" customFormat="false" ht="15" hidden="false" customHeight="false" outlineLevel="0" collapsed="false">
      <c r="V2638" s="23" t="str">
        <f aca="false">IF(ISNUMBER(C2638),YEAR(C2638),"")</f>
        <v/>
      </c>
      <c r="W2638" s="23" t="str">
        <f aca="false">IF(ISNUMBER(C2638),MONTH(C2638),"")</f>
        <v/>
      </c>
      <c r="X2638" s="23" t="str">
        <f aca="false">IF(T2638="","",IF(T2638=0,"No discount",IF(T2638&lt;=0.2,"Low (1-20%)",IF(T2638&lt;=0.4,"Medium (21-40%)","High (&gt;40%)"))))</f>
        <v/>
      </c>
      <c r="Y2638" s="23" t="str">
        <f aca="false">IF(AND(ISNUMBER(C2638),ISNUMBER(D2638)),D2638-C2638,"")</f>
        <v/>
      </c>
      <c r="Z2638" s="23" t="str">
        <f aca="false">IF(B2638="","",IF(MATCH(B2638,$B$2:$B$12000,0)=ROW()-1,1,0))</f>
        <v/>
      </c>
    </row>
    <row r="2639" customFormat="false" ht="15" hidden="false" customHeight="false" outlineLevel="0" collapsed="false">
      <c r="V2639" s="23" t="str">
        <f aca="false">IF(ISNUMBER(C2639),YEAR(C2639),"")</f>
        <v/>
      </c>
      <c r="W2639" s="23" t="str">
        <f aca="false">IF(ISNUMBER(C2639),MONTH(C2639),"")</f>
        <v/>
      </c>
      <c r="X2639" s="23" t="str">
        <f aca="false">IF(T2639="","",IF(T2639=0,"No discount",IF(T2639&lt;=0.2,"Low (1-20%)",IF(T2639&lt;=0.4,"Medium (21-40%)","High (&gt;40%)"))))</f>
        <v/>
      </c>
      <c r="Y2639" s="23" t="str">
        <f aca="false">IF(AND(ISNUMBER(C2639),ISNUMBER(D2639)),D2639-C2639,"")</f>
        <v/>
      </c>
      <c r="Z2639" s="23" t="str">
        <f aca="false">IF(B2639="","",IF(MATCH(B2639,$B$2:$B$12000,0)=ROW()-1,1,0))</f>
        <v/>
      </c>
    </row>
    <row r="2640" customFormat="false" ht="15" hidden="false" customHeight="false" outlineLevel="0" collapsed="false">
      <c r="V2640" s="23" t="str">
        <f aca="false">IF(ISNUMBER(C2640),YEAR(C2640),"")</f>
        <v/>
      </c>
      <c r="W2640" s="23" t="str">
        <f aca="false">IF(ISNUMBER(C2640),MONTH(C2640),"")</f>
        <v/>
      </c>
      <c r="X2640" s="23" t="str">
        <f aca="false">IF(T2640="","",IF(T2640=0,"No discount",IF(T2640&lt;=0.2,"Low (1-20%)",IF(T2640&lt;=0.4,"Medium (21-40%)","High (&gt;40%)"))))</f>
        <v/>
      </c>
      <c r="Y2640" s="23" t="str">
        <f aca="false">IF(AND(ISNUMBER(C2640),ISNUMBER(D2640)),D2640-C2640,"")</f>
        <v/>
      </c>
      <c r="Z2640" s="23" t="str">
        <f aca="false">IF(B2640="","",IF(MATCH(B2640,$B$2:$B$12000,0)=ROW()-1,1,0))</f>
        <v/>
      </c>
    </row>
    <row r="2641" customFormat="false" ht="15" hidden="false" customHeight="false" outlineLevel="0" collapsed="false">
      <c r="V2641" s="23" t="str">
        <f aca="false">IF(ISNUMBER(C2641),YEAR(C2641),"")</f>
        <v/>
      </c>
      <c r="W2641" s="23" t="str">
        <f aca="false">IF(ISNUMBER(C2641),MONTH(C2641),"")</f>
        <v/>
      </c>
      <c r="X2641" s="23" t="str">
        <f aca="false">IF(T2641="","",IF(T2641=0,"No discount",IF(T2641&lt;=0.2,"Low (1-20%)",IF(T2641&lt;=0.4,"Medium (21-40%)","High (&gt;40%)"))))</f>
        <v/>
      </c>
      <c r="Y2641" s="23" t="str">
        <f aca="false">IF(AND(ISNUMBER(C2641),ISNUMBER(D2641)),D2641-C2641,"")</f>
        <v/>
      </c>
      <c r="Z2641" s="23" t="str">
        <f aca="false">IF(B2641="","",IF(MATCH(B2641,$B$2:$B$12000,0)=ROW()-1,1,0))</f>
        <v/>
      </c>
    </row>
    <row r="2642" customFormat="false" ht="15" hidden="false" customHeight="false" outlineLevel="0" collapsed="false">
      <c r="V2642" s="23" t="str">
        <f aca="false">IF(ISNUMBER(C2642),YEAR(C2642),"")</f>
        <v/>
      </c>
      <c r="W2642" s="23" t="str">
        <f aca="false">IF(ISNUMBER(C2642),MONTH(C2642),"")</f>
        <v/>
      </c>
      <c r="X2642" s="23" t="str">
        <f aca="false">IF(T2642="","",IF(T2642=0,"No discount",IF(T2642&lt;=0.2,"Low (1-20%)",IF(T2642&lt;=0.4,"Medium (21-40%)","High (&gt;40%)"))))</f>
        <v/>
      </c>
      <c r="Y2642" s="23" t="str">
        <f aca="false">IF(AND(ISNUMBER(C2642),ISNUMBER(D2642)),D2642-C2642,"")</f>
        <v/>
      </c>
      <c r="Z2642" s="23" t="str">
        <f aca="false">IF(B2642="","",IF(MATCH(B2642,$B$2:$B$12000,0)=ROW()-1,1,0))</f>
        <v/>
      </c>
    </row>
    <row r="2643" customFormat="false" ht="15" hidden="false" customHeight="false" outlineLevel="0" collapsed="false">
      <c r="V2643" s="23" t="str">
        <f aca="false">IF(ISNUMBER(C2643),YEAR(C2643),"")</f>
        <v/>
      </c>
      <c r="W2643" s="23" t="str">
        <f aca="false">IF(ISNUMBER(C2643),MONTH(C2643),"")</f>
        <v/>
      </c>
      <c r="X2643" s="23" t="str">
        <f aca="false">IF(T2643="","",IF(T2643=0,"No discount",IF(T2643&lt;=0.2,"Low (1-20%)",IF(T2643&lt;=0.4,"Medium (21-40%)","High (&gt;40%)"))))</f>
        <v/>
      </c>
      <c r="Y2643" s="23" t="str">
        <f aca="false">IF(AND(ISNUMBER(C2643),ISNUMBER(D2643)),D2643-C2643,"")</f>
        <v/>
      </c>
      <c r="Z2643" s="23" t="str">
        <f aca="false">IF(B2643="","",IF(MATCH(B2643,$B$2:$B$12000,0)=ROW()-1,1,0))</f>
        <v/>
      </c>
    </row>
    <row r="2644" customFormat="false" ht="15" hidden="false" customHeight="false" outlineLevel="0" collapsed="false">
      <c r="V2644" s="23" t="str">
        <f aca="false">IF(ISNUMBER(C2644),YEAR(C2644),"")</f>
        <v/>
      </c>
      <c r="W2644" s="23" t="str">
        <f aca="false">IF(ISNUMBER(C2644),MONTH(C2644),"")</f>
        <v/>
      </c>
      <c r="X2644" s="23" t="str">
        <f aca="false">IF(T2644="","",IF(T2644=0,"No discount",IF(T2644&lt;=0.2,"Low (1-20%)",IF(T2644&lt;=0.4,"Medium (21-40%)","High (&gt;40%)"))))</f>
        <v/>
      </c>
      <c r="Y2644" s="23" t="str">
        <f aca="false">IF(AND(ISNUMBER(C2644),ISNUMBER(D2644)),D2644-C2644,"")</f>
        <v/>
      </c>
      <c r="Z2644" s="23" t="str">
        <f aca="false">IF(B2644="","",IF(MATCH(B2644,$B$2:$B$12000,0)=ROW()-1,1,0))</f>
        <v/>
      </c>
    </row>
    <row r="2645" customFormat="false" ht="15" hidden="false" customHeight="false" outlineLevel="0" collapsed="false">
      <c r="V2645" s="23" t="str">
        <f aca="false">IF(ISNUMBER(C2645),YEAR(C2645),"")</f>
        <v/>
      </c>
      <c r="W2645" s="23" t="str">
        <f aca="false">IF(ISNUMBER(C2645),MONTH(C2645),"")</f>
        <v/>
      </c>
      <c r="X2645" s="23" t="str">
        <f aca="false">IF(T2645="","",IF(T2645=0,"No discount",IF(T2645&lt;=0.2,"Low (1-20%)",IF(T2645&lt;=0.4,"Medium (21-40%)","High (&gt;40%)"))))</f>
        <v/>
      </c>
      <c r="Y2645" s="23" t="str">
        <f aca="false">IF(AND(ISNUMBER(C2645),ISNUMBER(D2645)),D2645-C2645,"")</f>
        <v/>
      </c>
      <c r="Z2645" s="23" t="str">
        <f aca="false">IF(B2645="","",IF(MATCH(B2645,$B$2:$B$12000,0)=ROW()-1,1,0))</f>
        <v/>
      </c>
    </row>
    <row r="2646" customFormat="false" ht="15" hidden="false" customHeight="false" outlineLevel="0" collapsed="false">
      <c r="V2646" s="23" t="str">
        <f aca="false">IF(ISNUMBER(C2646),YEAR(C2646),"")</f>
        <v/>
      </c>
      <c r="W2646" s="23" t="str">
        <f aca="false">IF(ISNUMBER(C2646),MONTH(C2646),"")</f>
        <v/>
      </c>
      <c r="X2646" s="23" t="str">
        <f aca="false">IF(T2646="","",IF(T2646=0,"No discount",IF(T2646&lt;=0.2,"Low (1-20%)",IF(T2646&lt;=0.4,"Medium (21-40%)","High (&gt;40%)"))))</f>
        <v/>
      </c>
      <c r="Y2646" s="23" t="str">
        <f aca="false">IF(AND(ISNUMBER(C2646),ISNUMBER(D2646)),D2646-C2646,"")</f>
        <v/>
      </c>
      <c r="Z2646" s="23" t="str">
        <f aca="false">IF(B2646="","",IF(MATCH(B2646,$B$2:$B$12000,0)=ROW()-1,1,0))</f>
        <v/>
      </c>
    </row>
    <row r="2647" customFormat="false" ht="15" hidden="false" customHeight="false" outlineLevel="0" collapsed="false">
      <c r="V2647" s="23" t="str">
        <f aca="false">IF(ISNUMBER(C2647),YEAR(C2647),"")</f>
        <v/>
      </c>
      <c r="W2647" s="23" t="str">
        <f aca="false">IF(ISNUMBER(C2647),MONTH(C2647),"")</f>
        <v/>
      </c>
      <c r="X2647" s="23" t="str">
        <f aca="false">IF(T2647="","",IF(T2647=0,"No discount",IF(T2647&lt;=0.2,"Low (1-20%)",IF(T2647&lt;=0.4,"Medium (21-40%)","High (&gt;40%)"))))</f>
        <v/>
      </c>
      <c r="Y2647" s="23" t="str">
        <f aca="false">IF(AND(ISNUMBER(C2647),ISNUMBER(D2647)),D2647-C2647,"")</f>
        <v/>
      </c>
      <c r="Z2647" s="23" t="str">
        <f aca="false">IF(B2647="","",IF(MATCH(B2647,$B$2:$B$12000,0)=ROW()-1,1,0))</f>
        <v/>
      </c>
    </row>
    <row r="2648" customFormat="false" ht="15" hidden="false" customHeight="false" outlineLevel="0" collapsed="false">
      <c r="V2648" s="23" t="str">
        <f aca="false">IF(ISNUMBER(C2648),YEAR(C2648),"")</f>
        <v/>
      </c>
      <c r="W2648" s="23" t="str">
        <f aca="false">IF(ISNUMBER(C2648),MONTH(C2648),"")</f>
        <v/>
      </c>
      <c r="X2648" s="23" t="str">
        <f aca="false">IF(T2648="","",IF(T2648=0,"No discount",IF(T2648&lt;=0.2,"Low (1-20%)",IF(T2648&lt;=0.4,"Medium (21-40%)","High (&gt;40%)"))))</f>
        <v/>
      </c>
      <c r="Y2648" s="23" t="str">
        <f aca="false">IF(AND(ISNUMBER(C2648),ISNUMBER(D2648)),D2648-C2648,"")</f>
        <v/>
      </c>
      <c r="Z2648" s="23" t="str">
        <f aca="false">IF(B2648="","",IF(MATCH(B2648,$B$2:$B$12000,0)=ROW()-1,1,0))</f>
        <v/>
      </c>
    </row>
    <row r="2649" customFormat="false" ht="15" hidden="false" customHeight="false" outlineLevel="0" collapsed="false">
      <c r="V2649" s="23" t="str">
        <f aca="false">IF(ISNUMBER(C2649),YEAR(C2649),"")</f>
        <v/>
      </c>
      <c r="W2649" s="23" t="str">
        <f aca="false">IF(ISNUMBER(C2649),MONTH(C2649),"")</f>
        <v/>
      </c>
      <c r="X2649" s="23" t="str">
        <f aca="false">IF(T2649="","",IF(T2649=0,"No discount",IF(T2649&lt;=0.2,"Low (1-20%)",IF(T2649&lt;=0.4,"Medium (21-40%)","High (&gt;40%)"))))</f>
        <v/>
      </c>
      <c r="Y2649" s="23" t="str">
        <f aca="false">IF(AND(ISNUMBER(C2649),ISNUMBER(D2649)),D2649-C2649,"")</f>
        <v/>
      </c>
      <c r="Z2649" s="23" t="str">
        <f aca="false">IF(B2649="","",IF(MATCH(B2649,$B$2:$B$12000,0)=ROW()-1,1,0))</f>
        <v/>
      </c>
    </row>
    <row r="2650" customFormat="false" ht="15" hidden="false" customHeight="false" outlineLevel="0" collapsed="false">
      <c r="V2650" s="23" t="str">
        <f aca="false">IF(ISNUMBER(C2650),YEAR(C2650),"")</f>
        <v/>
      </c>
      <c r="W2650" s="23" t="str">
        <f aca="false">IF(ISNUMBER(C2650),MONTH(C2650),"")</f>
        <v/>
      </c>
      <c r="X2650" s="23" t="str">
        <f aca="false">IF(T2650="","",IF(T2650=0,"No discount",IF(T2650&lt;=0.2,"Low (1-20%)",IF(T2650&lt;=0.4,"Medium (21-40%)","High (&gt;40%)"))))</f>
        <v/>
      </c>
      <c r="Y2650" s="23" t="str">
        <f aca="false">IF(AND(ISNUMBER(C2650),ISNUMBER(D2650)),D2650-C2650,"")</f>
        <v/>
      </c>
      <c r="Z2650" s="23" t="str">
        <f aca="false">IF(B2650="","",IF(MATCH(B2650,$B$2:$B$12000,0)=ROW()-1,1,0))</f>
        <v/>
      </c>
    </row>
    <row r="2651" customFormat="false" ht="15" hidden="false" customHeight="false" outlineLevel="0" collapsed="false">
      <c r="V2651" s="23" t="str">
        <f aca="false">IF(ISNUMBER(C2651),YEAR(C2651),"")</f>
        <v/>
      </c>
      <c r="W2651" s="23" t="str">
        <f aca="false">IF(ISNUMBER(C2651),MONTH(C2651),"")</f>
        <v/>
      </c>
      <c r="X2651" s="23" t="str">
        <f aca="false">IF(T2651="","",IF(T2651=0,"No discount",IF(T2651&lt;=0.2,"Low (1-20%)",IF(T2651&lt;=0.4,"Medium (21-40%)","High (&gt;40%)"))))</f>
        <v/>
      </c>
      <c r="Y2651" s="23" t="str">
        <f aca="false">IF(AND(ISNUMBER(C2651),ISNUMBER(D2651)),D2651-C2651,"")</f>
        <v/>
      </c>
      <c r="Z2651" s="23" t="str">
        <f aca="false">IF(B2651="","",IF(MATCH(B2651,$B$2:$B$12000,0)=ROW()-1,1,0))</f>
        <v/>
      </c>
    </row>
    <row r="2652" customFormat="false" ht="15" hidden="false" customHeight="false" outlineLevel="0" collapsed="false">
      <c r="V2652" s="23" t="str">
        <f aca="false">IF(ISNUMBER(C2652),YEAR(C2652),"")</f>
        <v/>
      </c>
      <c r="W2652" s="23" t="str">
        <f aca="false">IF(ISNUMBER(C2652),MONTH(C2652),"")</f>
        <v/>
      </c>
      <c r="X2652" s="23" t="str">
        <f aca="false">IF(T2652="","",IF(T2652=0,"No discount",IF(T2652&lt;=0.2,"Low (1-20%)",IF(T2652&lt;=0.4,"Medium (21-40%)","High (&gt;40%)"))))</f>
        <v/>
      </c>
      <c r="Y2652" s="23" t="str">
        <f aca="false">IF(AND(ISNUMBER(C2652),ISNUMBER(D2652)),D2652-C2652,"")</f>
        <v/>
      </c>
      <c r="Z2652" s="23" t="str">
        <f aca="false">IF(B2652="","",IF(MATCH(B2652,$B$2:$B$12000,0)=ROW()-1,1,0))</f>
        <v/>
      </c>
    </row>
    <row r="2653" customFormat="false" ht="15" hidden="false" customHeight="false" outlineLevel="0" collapsed="false">
      <c r="V2653" s="23" t="str">
        <f aca="false">IF(ISNUMBER(C2653),YEAR(C2653),"")</f>
        <v/>
      </c>
      <c r="W2653" s="23" t="str">
        <f aca="false">IF(ISNUMBER(C2653),MONTH(C2653),"")</f>
        <v/>
      </c>
      <c r="X2653" s="23" t="str">
        <f aca="false">IF(T2653="","",IF(T2653=0,"No discount",IF(T2653&lt;=0.2,"Low (1-20%)",IF(T2653&lt;=0.4,"Medium (21-40%)","High (&gt;40%)"))))</f>
        <v/>
      </c>
      <c r="Y2653" s="23" t="str">
        <f aca="false">IF(AND(ISNUMBER(C2653),ISNUMBER(D2653)),D2653-C2653,"")</f>
        <v/>
      </c>
      <c r="Z2653" s="23" t="str">
        <f aca="false">IF(B2653="","",IF(MATCH(B2653,$B$2:$B$12000,0)=ROW()-1,1,0))</f>
        <v/>
      </c>
    </row>
    <row r="2654" customFormat="false" ht="15" hidden="false" customHeight="false" outlineLevel="0" collapsed="false">
      <c r="V2654" s="23" t="str">
        <f aca="false">IF(ISNUMBER(C2654),YEAR(C2654),"")</f>
        <v/>
      </c>
      <c r="W2654" s="23" t="str">
        <f aca="false">IF(ISNUMBER(C2654),MONTH(C2654),"")</f>
        <v/>
      </c>
      <c r="X2654" s="23" t="str">
        <f aca="false">IF(T2654="","",IF(T2654=0,"No discount",IF(T2654&lt;=0.2,"Low (1-20%)",IF(T2654&lt;=0.4,"Medium (21-40%)","High (&gt;40%)"))))</f>
        <v/>
      </c>
      <c r="Y2654" s="23" t="str">
        <f aca="false">IF(AND(ISNUMBER(C2654),ISNUMBER(D2654)),D2654-C2654,"")</f>
        <v/>
      </c>
      <c r="Z2654" s="23" t="str">
        <f aca="false">IF(B2654="","",IF(MATCH(B2654,$B$2:$B$12000,0)=ROW()-1,1,0))</f>
        <v/>
      </c>
    </row>
    <row r="2655" customFormat="false" ht="15" hidden="false" customHeight="false" outlineLevel="0" collapsed="false">
      <c r="V2655" s="23" t="str">
        <f aca="false">IF(ISNUMBER(C2655),YEAR(C2655),"")</f>
        <v/>
      </c>
      <c r="W2655" s="23" t="str">
        <f aca="false">IF(ISNUMBER(C2655),MONTH(C2655),"")</f>
        <v/>
      </c>
      <c r="X2655" s="23" t="str">
        <f aca="false">IF(T2655="","",IF(T2655=0,"No discount",IF(T2655&lt;=0.2,"Low (1-20%)",IF(T2655&lt;=0.4,"Medium (21-40%)","High (&gt;40%)"))))</f>
        <v/>
      </c>
      <c r="Y2655" s="23" t="str">
        <f aca="false">IF(AND(ISNUMBER(C2655),ISNUMBER(D2655)),D2655-C2655,"")</f>
        <v/>
      </c>
      <c r="Z2655" s="23" t="str">
        <f aca="false">IF(B2655="","",IF(MATCH(B2655,$B$2:$B$12000,0)=ROW()-1,1,0))</f>
        <v/>
      </c>
    </row>
    <row r="2656" customFormat="false" ht="15" hidden="false" customHeight="false" outlineLevel="0" collapsed="false">
      <c r="V2656" s="23" t="str">
        <f aca="false">IF(ISNUMBER(C2656),YEAR(C2656),"")</f>
        <v/>
      </c>
      <c r="W2656" s="23" t="str">
        <f aca="false">IF(ISNUMBER(C2656),MONTH(C2656),"")</f>
        <v/>
      </c>
      <c r="X2656" s="23" t="str">
        <f aca="false">IF(T2656="","",IF(T2656=0,"No discount",IF(T2656&lt;=0.2,"Low (1-20%)",IF(T2656&lt;=0.4,"Medium (21-40%)","High (&gt;40%)"))))</f>
        <v/>
      </c>
      <c r="Y2656" s="23" t="str">
        <f aca="false">IF(AND(ISNUMBER(C2656),ISNUMBER(D2656)),D2656-C2656,"")</f>
        <v/>
      </c>
      <c r="Z2656" s="23" t="str">
        <f aca="false">IF(B2656="","",IF(MATCH(B2656,$B$2:$B$12000,0)=ROW()-1,1,0))</f>
        <v/>
      </c>
    </row>
    <row r="2657" customFormat="false" ht="15" hidden="false" customHeight="false" outlineLevel="0" collapsed="false">
      <c r="V2657" s="23" t="str">
        <f aca="false">IF(ISNUMBER(C2657),YEAR(C2657),"")</f>
        <v/>
      </c>
      <c r="W2657" s="23" t="str">
        <f aca="false">IF(ISNUMBER(C2657),MONTH(C2657),"")</f>
        <v/>
      </c>
      <c r="X2657" s="23" t="str">
        <f aca="false">IF(T2657="","",IF(T2657=0,"No discount",IF(T2657&lt;=0.2,"Low (1-20%)",IF(T2657&lt;=0.4,"Medium (21-40%)","High (&gt;40%)"))))</f>
        <v/>
      </c>
      <c r="Y2657" s="23" t="str">
        <f aca="false">IF(AND(ISNUMBER(C2657),ISNUMBER(D2657)),D2657-C2657,"")</f>
        <v/>
      </c>
      <c r="Z2657" s="23" t="str">
        <f aca="false">IF(B2657="","",IF(MATCH(B2657,$B$2:$B$12000,0)=ROW()-1,1,0))</f>
        <v/>
      </c>
    </row>
    <row r="2658" customFormat="false" ht="15" hidden="false" customHeight="false" outlineLevel="0" collapsed="false">
      <c r="V2658" s="23" t="str">
        <f aca="false">IF(ISNUMBER(C2658),YEAR(C2658),"")</f>
        <v/>
      </c>
      <c r="W2658" s="23" t="str">
        <f aca="false">IF(ISNUMBER(C2658),MONTH(C2658),"")</f>
        <v/>
      </c>
      <c r="X2658" s="23" t="str">
        <f aca="false">IF(T2658="","",IF(T2658=0,"No discount",IF(T2658&lt;=0.2,"Low (1-20%)",IF(T2658&lt;=0.4,"Medium (21-40%)","High (&gt;40%)"))))</f>
        <v/>
      </c>
      <c r="Y2658" s="23" t="str">
        <f aca="false">IF(AND(ISNUMBER(C2658),ISNUMBER(D2658)),D2658-C2658,"")</f>
        <v/>
      </c>
      <c r="Z2658" s="23" t="str">
        <f aca="false">IF(B2658="","",IF(MATCH(B2658,$B$2:$B$12000,0)=ROW()-1,1,0))</f>
        <v/>
      </c>
    </row>
    <row r="2659" customFormat="false" ht="15" hidden="false" customHeight="false" outlineLevel="0" collapsed="false">
      <c r="V2659" s="23" t="str">
        <f aca="false">IF(ISNUMBER(C2659),YEAR(C2659),"")</f>
        <v/>
      </c>
      <c r="W2659" s="23" t="str">
        <f aca="false">IF(ISNUMBER(C2659),MONTH(C2659),"")</f>
        <v/>
      </c>
      <c r="X2659" s="23" t="str">
        <f aca="false">IF(T2659="","",IF(T2659=0,"No discount",IF(T2659&lt;=0.2,"Low (1-20%)",IF(T2659&lt;=0.4,"Medium (21-40%)","High (&gt;40%)"))))</f>
        <v/>
      </c>
      <c r="Y2659" s="23" t="str">
        <f aca="false">IF(AND(ISNUMBER(C2659),ISNUMBER(D2659)),D2659-C2659,"")</f>
        <v/>
      </c>
      <c r="Z2659" s="23" t="str">
        <f aca="false">IF(B2659="","",IF(MATCH(B2659,$B$2:$B$12000,0)=ROW()-1,1,0))</f>
        <v/>
      </c>
    </row>
    <row r="2660" customFormat="false" ht="15" hidden="false" customHeight="false" outlineLevel="0" collapsed="false">
      <c r="V2660" s="23" t="str">
        <f aca="false">IF(ISNUMBER(C2660),YEAR(C2660),"")</f>
        <v/>
      </c>
      <c r="W2660" s="23" t="str">
        <f aca="false">IF(ISNUMBER(C2660),MONTH(C2660),"")</f>
        <v/>
      </c>
      <c r="X2660" s="23" t="str">
        <f aca="false">IF(T2660="","",IF(T2660=0,"No discount",IF(T2660&lt;=0.2,"Low (1-20%)",IF(T2660&lt;=0.4,"Medium (21-40%)","High (&gt;40%)"))))</f>
        <v/>
      </c>
      <c r="Y2660" s="23" t="str">
        <f aca="false">IF(AND(ISNUMBER(C2660),ISNUMBER(D2660)),D2660-C2660,"")</f>
        <v/>
      </c>
      <c r="Z2660" s="23" t="str">
        <f aca="false">IF(B2660="","",IF(MATCH(B2660,$B$2:$B$12000,0)=ROW()-1,1,0))</f>
        <v/>
      </c>
    </row>
    <row r="2661" customFormat="false" ht="15" hidden="false" customHeight="false" outlineLevel="0" collapsed="false">
      <c r="V2661" s="23" t="str">
        <f aca="false">IF(ISNUMBER(C2661),YEAR(C2661),"")</f>
        <v/>
      </c>
      <c r="W2661" s="23" t="str">
        <f aca="false">IF(ISNUMBER(C2661),MONTH(C2661),"")</f>
        <v/>
      </c>
      <c r="X2661" s="23" t="str">
        <f aca="false">IF(T2661="","",IF(T2661=0,"No discount",IF(T2661&lt;=0.2,"Low (1-20%)",IF(T2661&lt;=0.4,"Medium (21-40%)","High (&gt;40%)"))))</f>
        <v/>
      </c>
      <c r="Y2661" s="23" t="str">
        <f aca="false">IF(AND(ISNUMBER(C2661),ISNUMBER(D2661)),D2661-C2661,"")</f>
        <v/>
      </c>
      <c r="Z2661" s="23" t="str">
        <f aca="false">IF(B2661="","",IF(MATCH(B2661,$B$2:$B$12000,0)=ROW()-1,1,0))</f>
        <v/>
      </c>
    </row>
    <row r="2662" customFormat="false" ht="15" hidden="false" customHeight="false" outlineLevel="0" collapsed="false">
      <c r="V2662" s="23" t="str">
        <f aca="false">IF(ISNUMBER(C2662),YEAR(C2662),"")</f>
        <v/>
      </c>
      <c r="W2662" s="23" t="str">
        <f aca="false">IF(ISNUMBER(C2662),MONTH(C2662),"")</f>
        <v/>
      </c>
      <c r="X2662" s="23" t="str">
        <f aca="false">IF(T2662="","",IF(T2662=0,"No discount",IF(T2662&lt;=0.2,"Low (1-20%)",IF(T2662&lt;=0.4,"Medium (21-40%)","High (&gt;40%)"))))</f>
        <v/>
      </c>
      <c r="Y2662" s="23" t="str">
        <f aca="false">IF(AND(ISNUMBER(C2662),ISNUMBER(D2662)),D2662-C2662,"")</f>
        <v/>
      </c>
      <c r="Z2662" s="23" t="str">
        <f aca="false">IF(B2662="","",IF(MATCH(B2662,$B$2:$B$12000,0)=ROW()-1,1,0))</f>
        <v/>
      </c>
    </row>
    <row r="2663" customFormat="false" ht="15" hidden="false" customHeight="false" outlineLevel="0" collapsed="false">
      <c r="V2663" s="23" t="str">
        <f aca="false">IF(ISNUMBER(C2663),YEAR(C2663),"")</f>
        <v/>
      </c>
      <c r="W2663" s="23" t="str">
        <f aca="false">IF(ISNUMBER(C2663),MONTH(C2663),"")</f>
        <v/>
      </c>
      <c r="X2663" s="23" t="str">
        <f aca="false">IF(T2663="","",IF(T2663=0,"No discount",IF(T2663&lt;=0.2,"Low (1-20%)",IF(T2663&lt;=0.4,"Medium (21-40%)","High (&gt;40%)"))))</f>
        <v/>
      </c>
      <c r="Y2663" s="23" t="str">
        <f aca="false">IF(AND(ISNUMBER(C2663),ISNUMBER(D2663)),D2663-C2663,"")</f>
        <v/>
      </c>
      <c r="Z2663" s="23" t="str">
        <f aca="false">IF(B2663="","",IF(MATCH(B2663,$B$2:$B$12000,0)=ROW()-1,1,0))</f>
        <v/>
      </c>
    </row>
    <row r="2664" customFormat="false" ht="15" hidden="false" customHeight="false" outlineLevel="0" collapsed="false">
      <c r="V2664" s="23" t="str">
        <f aca="false">IF(ISNUMBER(C2664),YEAR(C2664),"")</f>
        <v/>
      </c>
      <c r="W2664" s="23" t="str">
        <f aca="false">IF(ISNUMBER(C2664),MONTH(C2664),"")</f>
        <v/>
      </c>
      <c r="X2664" s="23" t="str">
        <f aca="false">IF(T2664="","",IF(T2664=0,"No discount",IF(T2664&lt;=0.2,"Low (1-20%)",IF(T2664&lt;=0.4,"Medium (21-40%)","High (&gt;40%)"))))</f>
        <v/>
      </c>
      <c r="Y2664" s="23" t="str">
        <f aca="false">IF(AND(ISNUMBER(C2664),ISNUMBER(D2664)),D2664-C2664,"")</f>
        <v/>
      </c>
      <c r="Z2664" s="23" t="str">
        <f aca="false">IF(B2664="","",IF(MATCH(B2664,$B$2:$B$12000,0)=ROW()-1,1,0))</f>
        <v/>
      </c>
    </row>
    <row r="2665" customFormat="false" ht="15" hidden="false" customHeight="false" outlineLevel="0" collapsed="false">
      <c r="V2665" s="23" t="str">
        <f aca="false">IF(ISNUMBER(C2665),YEAR(C2665),"")</f>
        <v/>
      </c>
      <c r="W2665" s="23" t="str">
        <f aca="false">IF(ISNUMBER(C2665),MONTH(C2665),"")</f>
        <v/>
      </c>
      <c r="X2665" s="23" t="str">
        <f aca="false">IF(T2665="","",IF(T2665=0,"No discount",IF(T2665&lt;=0.2,"Low (1-20%)",IF(T2665&lt;=0.4,"Medium (21-40%)","High (&gt;40%)"))))</f>
        <v/>
      </c>
      <c r="Y2665" s="23" t="str">
        <f aca="false">IF(AND(ISNUMBER(C2665),ISNUMBER(D2665)),D2665-C2665,"")</f>
        <v/>
      </c>
      <c r="Z2665" s="23" t="str">
        <f aca="false">IF(B2665="","",IF(MATCH(B2665,$B$2:$B$12000,0)=ROW()-1,1,0))</f>
        <v/>
      </c>
    </row>
    <row r="2666" customFormat="false" ht="15" hidden="false" customHeight="false" outlineLevel="0" collapsed="false">
      <c r="V2666" s="23" t="str">
        <f aca="false">IF(ISNUMBER(C2666),YEAR(C2666),"")</f>
        <v/>
      </c>
      <c r="W2666" s="23" t="str">
        <f aca="false">IF(ISNUMBER(C2666),MONTH(C2666),"")</f>
        <v/>
      </c>
      <c r="X2666" s="23" t="str">
        <f aca="false">IF(T2666="","",IF(T2666=0,"No discount",IF(T2666&lt;=0.2,"Low (1-20%)",IF(T2666&lt;=0.4,"Medium (21-40%)","High (&gt;40%)"))))</f>
        <v/>
      </c>
      <c r="Y2666" s="23" t="str">
        <f aca="false">IF(AND(ISNUMBER(C2666),ISNUMBER(D2666)),D2666-C2666,"")</f>
        <v/>
      </c>
      <c r="Z2666" s="23" t="str">
        <f aca="false">IF(B2666="","",IF(MATCH(B2666,$B$2:$B$12000,0)=ROW()-1,1,0))</f>
        <v/>
      </c>
    </row>
    <row r="2667" customFormat="false" ht="15" hidden="false" customHeight="false" outlineLevel="0" collapsed="false">
      <c r="V2667" s="23" t="str">
        <f aca="false">IF(ISNUMBER(C2667),YEAR(C2667),"")</f>
        <v/>
      </c>
      <c r="W2667" s="23" t="str">
        <f aca="false">IF(ISNUMBER(C2667),MONTH(C2667),"")</f>
        <v/>
      </c>
      <c r="X2667" s="23" t="str">
        <f aca="false">IF(T2667="","",IF(T2667=0,"No discount",IF(T2667&lt;=0.2,"Low (1-20%)",IF(T2667&lt;=0.4,"Medium (21-40%)","High (&gt;40%)"))))</f>
        <v/>
      </c>
      <c r="Y2667" s="23" t="str">
        <f aca="false">IF(AND(ISNUMBER(C2667),ISNUMBER(D2667)),D2667-C2667,"")</f>
        <v/>
      </c>
      <c r="Z2667" s="23" t="str">
        <f aca="false">IF(B2667="","",IF(MATCH(B2667,$B$2:$B$12000,0)=ROW()-1,1,0))</f>
        <v/>
      </c>
    </row>
    <row r="2668" customFormat="false" ht="15" hidden="false" customHeight="false" outlineLevel="0" collapsed="false">
      <c r="V2668" s="23" t="str">
        <f aca="false">IF(ISNUMBER(C2668),YEAR(C2668),"")</f>
        <v/>
      </c>
      <c r="W2668" s="23" t="str">
        <f aca="false">IF(ISNUMBER(C2668),MONTH(C2668),"")</f>
        <v/>
      </c>
      <c r="X2668" s="23" t="str">
        <f aca="false">IF(T2668="","",IF(T2668=0,"No discount",IF(T2668&lt;=0.2,"Low (1-20%)",IF(T2668&lt;=0.4,"Medium (21-40%)","High (&gt;40%)"))))</f>
        <v/>
      </c>
      <c r="Y2668" s="23" t="str">
        <f aca="false">IF(AND(ISNUMBER(C2668),ISNUMBER(D2668)),D2668-C2668,"")</f>
        <v/>
      </c>
      <c r="Z2668" s="23" t="str">
        <f aca="false">IF(B2668="","",IF(MATCH(B2668,$B$2:$B$12000,0)=ROW()-1,1,0))</f>
        <v/>
      </c>
    </row>
    <row r="2669" customFormat="false" ht="15" hidden="false" customHeight="false" outlineLevel="0" collapsed="false">
      <c r="V2669" s="23" t="str">
        <f aca="false">IF(ISNUMBER(C2669),YEAR(C2669),"")</f>
        <v/>
      </c>
      <c r="W2669" s="23" t="str">
        <f aca="false">IF(ISNUMBER(C2669),MONTH(C2669),"")</f>
        <v/>
      </c>
      <c r="X2669" s="23" t="str">
        <f aca="false">IF(T2669="","",IF(T2669=0,"No discount",IF(T2669&lt;=0.2,"Low (1-20%)",IF(T2669&lt;=0.4,"Medium (21-40%)","High (&gt;40%)"))))</f>
        <v/>
      </c>
      <c r="Y2669" s="23" t="str">
        <f aca="false">IF(AND(ISNUMBER(C2669),ISNUMBER(D2669)),D2669-C2669,"")</f>
        <v/>
      </c>
      <c r="Z2669" s="23" t="str">
        <f aca="false">IF(B2669="","",IF(MATCH(B2669,$B$2:$B$12000,0)=ROW()-1,1,0))</f>
        <v/>
      </c>
    </row>
    <row r="2670" customFormat="false" ht="15" hidden="false" customHeight="false" outlineLevel="0" collapsed="false">
      <c r="V2670" s="23" t="str">
        <f aca="false">IF(ISNUMBER(C2670),YEAR(C2670),"")</f>
        <v/>
      </c>
      <c r="W2670" s="23" t="str">
        <f aca="false">IF(ISNUMBER(C2670),MONTH(C2670),"")</f>
        <v/>
      </c>
      <c r="X2670" s="23" t="str">
        <f aca="false">IF(T2670="","",IF(T2670=0,"No discount",IF(T2670&lt;=0.2,"Low (1-20%)",IF(T2670&lt;=0.4,"Medium (21-40%)","High (&gt;40%)"))))</f>
        <v/>
      </c>
      <c r="Y2670" s="23" t="str">
        <f aca="false">IF(AND(ISNUMBER(C2670),ISNUMBER(D2670)),D2670-C2670,"")</f>
        <v/>
      </c>
      <c r="Z2670" s="23" t="str">
        <f aca="false">IF(B2670="","",IF(MATCH(B2670,$B$2:$B$12000,0)=ROW()-1,1,0))</f>
        <v/>
      </c>
    </row>
    <row r="2671" customFormat="false" ht="15" hidden="false" customHeight="false" outlineLevel="0" collapsed="false">
      <c r="V2671" s="23" t="str">
        <f aca="false">IF(ISNUMBER(C2671),YEAR(C2671),"")</f>
        <v/>
      </c>
      <c r="W2671" s="23" t="str">
        <f aca="false">IF(ISNUMBER(C2671),MONTH(C2671),"")</f>
        <v/>
      </c>
      <c r="X2671" s="23" t="str">
        <f aca="false">IF(T2671="","",IF(T2671=0,"No discount",IF(T2671&lt;=0.2,"Low (1-20%)",IF(T2671&lt;=0.4,"Medium (21-40%)","High (&gt;40%)"))))</f>
        <v/>
      </c>
      <c r="Y2671" s="23" t="str">
        <f aca="false">IF(AND(ISNUMBER(C2671),ISNUMBER(D2671)),D2671-C2671,"")</f>
        <v/>
      </c>
      <c r="Z2671" s="23" t="str">
        <f aca="false">IF(B2671="","",IF(MATCH(B2671,$B$2:$B$12000,0)=ROW()-1,1,0))</f>
        <v/>
      </c>
    </row>
    <row r="2672" customFormat="false" ht="15" hidden="false" customHeight="false" outlineLevel="0" collapsed="false">
      <c r="V2672" s="23" t="str">
        <f aca="false">IF(ISNUMBER(C2672),YEAR(C2672),"")</f>
        <v/>
      </c>
      <c r="W2672" s="23" t="str">
        <f aca="false">IF(ISNUMBER(C2672),MONTH(C2672),"")</f>
        <v/>
      </c>
      <c r="X2672" s="23" t="str">
        <f aca="false">IF(T2672="","",IF(T2672=0,"No discount",IF(T2672&lt;=0.2,"Low (1-20%)",IF(T2672&lt;=0.4,"Medium (21-40%)","High (&gt;40%)"))))</f>
        <v/>
      </c>
      <c r="Y2672" s="23" t="str">
        <f aca="false">IF(AND(ISNUMBER(C2672),ISNUMBER(D2672)),D2672-C2672,"")</f>
        <v/>
      </c>
      <c r="Z2672" s="23" t="str">
        <f aca="false">IF(B2672="","",IF(MATCH(B2672,$B$2:$B$12000,0)=ROW()-1,1,0))</f>
        <v/>
      </c>
    </row>
    <row r="2673" customFormat="false" ht="15" hidden="false" customHeight="false" outlineLevel="0" collapsed="false">
      <c r="V2673" s="23" t="str">
        <f aca="false">IF(ISNUMBER(C2673),YEAR(C2673),"")</f>
        <v/>
      </c>
      <c r="W2673" s="23" t="str">
        <f aca="false">IF(ISNUMBER(C2673),MONTH(C2673),"")</f>
        <v/>
      </c>
      <c r="X2673" s="23" t="str">
        <f aca="false">IF(T2673="","",IF(T2673=0,"No discount",IF(T2673&lt;=0.2,"Low (1-20%)",IF(T2673&lt;=0.4,"Medium (21-40%)","High (&gt;40%)"))))</f>
        <v/>
      </c>
      <c r="Y2673" s="23" t="str">
        <f aca="false">IF(AND(ISNUMBER(C2673),ISNUMBER(D2673)),D2673-C2673,"")</f>
        <v/>
      </c>
      <c r="Z2673" s="23" t="str">
        <f aca="false">IF(B2673="","",IF(MATCH(B2673,$B$2:$B$12000,0)=ROW()-1,1,0))</f>
        <v/>
      </c>
    </row>
    <row r="2674" customFormat="false" ht="15" hidden="false" customHeight="false" outlineLevel="0" collapsed="false">
      <c r="V2674" s="23" t="str">
        <f aca="false">IF(ISNUMBER(C2674),YEAR(C2674),"")</f>
        <v/>
      </c>
      <c r="W2674" s="23" t="str">
        <f aca="false">IF(ISNUMBER(C2674),MONTH(C2674),"")</f>
        <v/>
      </c>
      <c r="X2674" s="23" t="str">
        <f aca="false">IF(T2674="","",IF(T2674=0,"No discount",IF(T2674&lt;=0.2,"Low (1-20%)",IF(T2674&lt;=0.4,"Medium (21-40%)","High (&gt;40%)"))))</f>
        <v/>
      </c>
      <c r="Y2674" s="23" t="str">
        <f aca="false">IF(AND(ISNUMBER(C2674),ISNUMBER(D2674)),D2674-C2674,"")</f>
        <v/>
      </c>
      <c r="Z2674" s="23" t="str">
        <f aca="false">IF(B2674="","",IF(MATCH(B2674,$B$2:$B$12000,0)=ROW()-1,1,0))</f>
        <v/>
      </c>
    </row>
    <row r="2675" customFormat="false" ht="15" hidden="false" customHeight="false" outlineLevel="0" collapsed="false">
      <c r="V2675" s="23" t="str">
        <f aca="false">IF(ISNUMBER(C2675),YEAR(C2675),"")</f>
        <v/>
      </c>
      <c r="W2675" s="23" t="str">
        <f aca="false">IF(ISNUMBER(C2675),MONTH(C2675),"")</f>
        <v/>
      </c>
      <c r="X2675" s="23" t="str">
        <f aca="false">IF(T2675="","",IF(T2675=0,"No discount",IF(T2675&lt;=0.2,"Low (1-20%)",IF(T2675&lt;=0.4,"Medium (21-40%)","High (&gt;40%)"))))</f>
        <v/>
      </c>
      <c r="Y2675" s="23" t="str">
        <f aca="false">IF(AND(ISNUMBER(C2675),ISNUMBER(D2675)),D2675-C2675,"")</f>
        <v/>
      </c>
      <c r="Z2675" s="23" t="str">
        <f aca="false">IF(B2675="","",IF(MATCH(B2675,$B$2:$B$12000,0)=ROW()-1,1,0))</f>
        <v/>
      </c>
    </row>
    <row r="2676" customFormat="false" ht="15" hidden="false" customHeight="false" outlineLevel="0" collapsed="false">
      <c r="V2676" s="23" t="str">
        <f aca="false">IF(ISNUMBER(C2676),YEAR(C2676),"")</f>
        <v/>
      </c>
      <c r="W2676" s="23" t="str">
        <f aca="false">IF(ISNUMBER(C2676),MONTH(C2676),"")</f>
        <v/>
      </c>
      <c r="X2676" s="23" t="str">
        <f aca="false">IF(T2676="","",IF(T2676=0,"No discount",IF(T2676&lt;=0.2,"Low (1-20%)",IF(T2676&lt;=0.4,"Medium (21-40%)","High (&gt;40%)"))))</f>
        <v/>
      </c>
      <c r="Y2676" s="23" t="str">
        <f aca="false">IF(AND(ISNUMBER(C2676),ISNUMBER(D2676)),D2676-C2676,"")</f>
        <v/>
      </c>
      <c r="Z2676" s="23" t="str">
        <f aca="false">IF(B2676="","",IF(MATCH(B2676,$B$2:$B$12000,0)=ROW()-1,1,0))</f>
        <v/>
      </c>
    </row>
    <row r="2677" customFormat="false" ht="15" hidden="false" customHeight="false" outlineLevel="0" collapsed="false">
      <c r="V2677" s="23" t="str">
        <f aca="false">IF(ISNUMBER(C2677),YEAR(C2677),"")</f>
        <v/>
      </c>
      <c r="W2677" s="23" t="str">
        <f aca="false">IF(ISNUMBER(C2677),MONTH(C2677),"")</f>
        <v/>
      </c>
      <c r="X2677" s="23" t="str">
        <f aca="false">IF(T2677="","",IF(T2677=0,"No discount",IF(T2677&lt;=0.2,"Low (1-20%)",IF(T2677&lt;=0.4,"Medium (21-40%)","High (&gt;40%)"))))</f>
        <v/>
      </c>
      <c r="Y2677" s="23" t="str">
        <f aca="false">IF(AND(ISNUMBER(C2677),ISNUMBER(D2677)),D2677-C2677,"")</f>
        <v/>
      </c>
      <c r="Z2677" s="23" t="str">
        <f aca="false">IF(B2677="","",IF(MATCH(B2677,$B$2:$B$12000,0)=ROW()-1,1,0))</f>
        <v/>
      </c>
    </row>
    <row r="2678" customFormat="false" ht="15" hidden="false" customHeight="false" outlineLevel="0" collapsed="false">
      <c r="V2678" s="23" t="str">
        <f aca="false">IF(ISNUMBER(C2678),YEAR(C2678),"")</f>
        <v/>
      </c>
      <c r="W2678" s="23" t="str">
        <f aca="false">IF(ISNUMBER(C2678),MONTH(C2678),"")</f>
        <v/>
      </c>
      <c r="X2678" s="23" t="str">
        <f aca="false">IF(T2678="","",IF(T2678=0,"No discount",IF(T2678&lt;=0.2,"Low (1-20%)",IF(T2678&lt;=0.4,"Medium (21-40%)","High (&gt;40%)"))))</f>
        <v/>
      </c>
      <c r="Y2678" s="23" t="str">
        <f aca="false">IF(AND(ISNUMBER(C2678),ISNUMBER(D2678)),D2678-C2678,"")</f>
        <v/>
      </c>
      <c r="Z2678" s="23" t="str">
        <f aca="false">IF(B2678="","",IF(MATCH(B2678,$B$2:$B$12000,0)=ROW()-1,1,0))</f>
        <v/>
      </c>
    </row>
    <row r="2679" customFormat="false" ht="15" hidden="false" customHeight="false" outlineLevel="0" collapsed="false">
      <c r="V2679" s="23" t="str">
        <f aca="false">IF(ISNUMBER(C2679),YEAR(C2679),"")</f>
        <v/>
      </c>
      <c r="W2679" s="23" t="str">
        <f aca="false">IF(ISNUMBER(C2679),MONTH(C2679),"")</f>
        <v/>
      </c>
      <c r="X2679" s="23" t="str">
        <f aca="false">IF(T2679="","",IF(T2679=0,"No discount",IF(T2679&lt;=0.2,"Low (1-20%)",IF(T2679&lt;=0.4,"Medium (21-40%)","High (&gt;40%)"))))</f>
        <v/>
      </c>
      <c r="Y2679" s="23" t="str">
        <f aca="false">IF(AND(ISNUMBER(C2679),ISNUMBER(D2679)),D2679-C2679,"")</f>
        <v/>
      </c>
      <c r="Z2679" s="23" t="str">
        <f aca="false">IF(B2679="","",IF(MATCH(B2679,$B$2:$B$12000,0)=ROW()-1,1,0))</f>
        <v/>
      </c>
    </row>
    <row r="2680" customFormat="false" ht="15" hidden="false" customHeight="false" outlineLevel="0" collapsed="false">
      <c r="V2680" s="23" t="str">
        <f aca="false">IF(ISNUMBER(C2680),YEAR(C2680),"")</f>
        <v/>
      </c>
      <c r="W2680" s="23" t="str">
        <f aca="false">IF(ISNUMBER(C2680),MONTH(C2680),"")</f>
        <v/>
      </c>
      <c r="X2680" s="23" t="str">
        <f aca="false">IF(T2680="","",IF(T2680=0,"No discount",IF(T2680&lt;=0.2,"Low (1-20%)",IF(T2680&lt;=0.4,"Medium (21-40%)","High (&gt;40%)"))))</f>
        <v/>
      </c>
      <c r="Y2680" s="23" t="str">
        <f aca="false">IF(AND(ISNUMBER(C2680),ISNUMBER(D2680)),D2680-C2680,"")</f>
        <v/>
      </c>
      <c r="Z2680" s="23" t="str">
        <f aca="false">IF(B2680="","",IF(MATCH(B2680,$B$2:$B$12000,0)=ROW()-1,1,0))</f>
        <v/>
      </c>
    </row>
    <row r="2681" customFormat="false" ht="15" hidden="false" customHeight="false" outlineLevel="0" collapsed="false">
      <c r="V2681" s="23" t="str">
        <f aca="false">IF(ISNUMBER(C2681),YEAR(C2681),"")</f>
        <v/>
      </c>
      <c r="W2681" s="23" t="str">
        <f aca="false">IF(ISNUMBER(C2681),MONTH(C2681),"")</f>
        <v/>
      </c>
      <c r="X2681" s="23" t="str">
        <f aca="false">IF(T2681="","",IF(T2681=0,"No discount",IF(T2681&lt;=0.2,"Low (1-20%)",IF(T2681&lt;=0.4,"Medium (21-40%)","High (&gt;40%)"))))</f>
        <v/>
      </c>
      <c r="Y2681" s="23" t="str">
        <f aca="false">IF(AND(ISNUMBER(C2681),ISNUMBER(D2681)),D2681-C2681,"")</f>
        <v/>
      </c>
      <c r="Z2681" s="23" t="str">
        <f aca="false">IF(B2681="","",IF(MATCH(B2681,$B$2:$B$12000,0)=ROW()-1,1,0))</f>
        <v/>
      </c>
    </row>
    <row r="2682" customFormat="false" ht="15" hidden="false" customHeight="false" outlineLevel="0" collapsed="false">
      <c r="V2682" s="23" t="str">
        <f aca="false">IF(ISNUMBER(C2682),YEAR(C2682),"")</f>
        <v/>
      </c>
      <c r="W2682" s="23" t="str">
        <f aca="false">IF(ISNUMBER(C2682),MONTH(C2682),"")</f>
        <v/>
      </c>
      <c r="X2682" s="23" t="str">
        <f aca="false">IF(T2682="","",IF(T2682=0,"No discount",IF(T2682&lt;=0.2,"Low (1-20%)",IF(T2682&lt;=0.4,"Medium (21-40%)","High (&gt;40%)"))))</f>
        <v/>
      </c>
      <c r="Y2682" s="23" t="str">
        <f aca="false">IF(AND(ISNUMBER(C2682),ISNUMBER(D2682)),D2682-C2682,"")</f>
        <v/>
      </c>
      <c r="Z2682" s="23" t="str">
        <f aca="false">IF(B2682="","",IF(MATCH(B2682,$B$2:$B$12000,0)=ROW()-1,1,0))</f>
        <v/>
      </c>
    </row>
    <row r="2683" customFormat="false" ht="15" hidden="false" customHeight="false" outlineLevel="0" collapsed="false">
      <c r="V2683" s="23" t="str">
        <f aca="false">IF(ISNUMBER(C2683),YEAR(C2683),"")</f>
        <v/>
      </c>
      <c r="W2683" s="23" t="str">
        <f aca="false">IF(ISNUMBER(C2683),MONTH(C2683),"")</f>
        <v/>
      </c>
      <c r="X2683" s="23" t="str">
        <f aca="false">IF(T2683="","",IF(T2683=0,"No discount",IF(T2683&lt;=0.2,"Low (1-20%)",IF(T2683&lt;=0.4,"Medium (21-40%)","High (&gt;40%)"))))</f>
        <v/>
      </c>
      <c r="Y2683" s="23" t="str">
        <f aca="false">IF(AND(ISNUMBER(C2683),ISNUMBER(D2683)),D2683-C2683,"")</f>
        <v/>
      </c>
      <c r="Z2683" s="23" t="str">
        <f aca="false">IF(B2683="","",IF(MATCH(B2683,$B$2:$B$12000,0)=ROW()-1,1,0))</f>
        <v/>
      </c>
    </row>
    <row r="2684" customFormat="false" ht="15" hidden="false" customHeight="false" outlineLevel="0" collapsed="false">
      <c r="V2684" s="23" t="str">
        <f aca="false">IF(ISNUMBER(C2684),YEAR(C2684),"")</f>
        <v/>
      </c>
      <c r="W2684" s="23" t="str">
        <f aca="false">IF(ISNUMBER(C2684),MONTH(C2684),"")</f>
        <v/>
      </c>
      <c r="X2684" s="23" t="str">
        <f aca="false">IF(T2684="","",IF(T2684=0,"No discount",IF(T2684&lt;=0.2,"Low (1-20%)",IF(T2684&lt;=0.4,"Medium (21-40%)","High (&gt;40%)"))))</f>
        <v/>
      </c>
      <c r="Y2684" s="23" t="str">
        <f aca="false">IF(AND(ISNUMBER(C2684),ISNUMBER(D2684)),D2684-C2684,"")</f>
        <v/>
      </c>
      <c r="Z2684" s="23" t="str">
        <f aca="false">IF(B2684="","",IF(MATCH(B2684,$B$2:$B$12000,0)=ROW()-1,1,0))</f>
        <v/>
      </c>
    </row>
    <row r="2685" customFormat="false" ht="15" hidden="false" customHeight="false" outlineLevel="0" collapsed="false">
      <c r="V2685" s="23" t="str">
        <f aca="false">IF(ISNUMBER(C2685),YEAR(C2685),"")</f>
        <v/>
      </c>
      <c r="W2685" s="23" t="str">
        <f aca="false">IF(ISNUMBER(C2685),MONTH(C2685),"")</f>
        <v/>
      </c>
      <c r="X2685" s="23" t="str">
        <f aca="false">IF(T2685="","",IF(T2685=0,"No discount",IF(T2685&lt;=0.2,"Low (1-20%)",IF(T2685&lt;=0.4,"Medium (21-40%)","High (&gt;40%)"))))</f>
        <v/>
      </c>
      <c r="Y2685" s="23" t="str">
        <f aca="false">IF(AND(ISNUMBER(C2685),ISNUMBER(D2685)),D2685-C2685,"")</f>
        <v/>
      </c>
      <c r="Z2685" s="23" t="str">
        <f aca="false">IF(B2685="","",IF(MATCH(B2685,$B$2:$B$12000,0)=ROW()-1,1,0))</f>
        <v/>
      </c>
    </row>
    <row r="2686" customFormat="false" ht="15" hidden="false" customHeight="false" outlineLevel="0" collapsed="false">
      <c r="V2686" s="23" t="str">
        <f aca="false">IF(ISNUMBER(C2686),YEAR(C2686),"")</f>
        <v/>
      </c>
      <c r="W2686" s="23" t="str">
        <f aca="false">IF(ISNUMBER(C2686),MONTH(C2686),"")</f>
        <v/>
      </c>
      <c r="X2686" s="23" t="str">
        <f aca="false">IF(T2686="","",IF(T2686=0,"No discount",IF(T2686&lt;=0.2,"Low (1-20%)",IF(T2686&lt;=0.4,"Medium (21-40%)","High (&gt;40%)"))))</f>
        <v/>
      </c>
      <c r="Y2686" s="23" t="str">
        <f aca="false">IF(AND(ISNUMBER(C2686),ISNUMBER(D2686)),D2686-C2686,"")</f>
        <v/>
      </c>
      <c r="Z2686" s="23" t="str">
        <f aca="false">IF(B2686="","",IF(MATCH(B2686,$B$2:$B$12000,0)=ROW()-1,1,0))</f>
        <v/>
      </c>
    </row>
    <row r="2687" customFormat="false" ht="15" hidden="false" customHeight="false" outlineLevel="0" collapsed="false">
      <c r="V2687" s="23" t="str">
        <f aca="false">IF(ISNUMBER(C2687),YEAR(C2687),"")</f>
        <v/>
      </c>
      <c r="W2687" s="23" t="str">
        <f aca="false">IF(ISNUMBER(C2687),MONTH(C2687),"")</f>
        <v/>
      </c>
      <c r="X2687" s="23" t="str">
        <f aca="false">IF(T2687="","",IF(T2687=0,"No discount",IF(T2687&lt;=0.2,"Low (1-20%)",IF(T2687&lt;=0.4,"Medium (21-40%)","High (&gt;40%)"))))</f>
        <v/>
      </c>
      <c r="Y2687" s="23" t="str">
        <f aca="false">IF(AND(ISNUMBER(C2687),ISNUMBER(D2687)),D2687-C2687,"")</f>
        <v/>
      </c>
      <c r="Z2687" s="23" t="str">
        <f aca="false">IF(B2687="","",IF(MATCH(B2687,$B$2:$B$12000,0)=ROW()-1,1,0))</f>
        <v/>
      </c>
    </row>
    <row r="2688" customFormat="false" ht="15" hidden="false" customHeight="false" outlineLevel="0" collapsed="false">
      <c r="V2688" s="23" t="str">
        <f aca="false">IF(ISNUMBER(C2688),YEAR(C2688),"")</f>
        <v/>
      </c>
      <c r="W2688" s="23" t="str">
        <f aca="false">IF(ISNUMBER(C2688),MONTH(C2688),"")</f>
        <v/>
      </c>
      <c r="X2688" s="23" t="str">
        <f aca="false">IF(T2688="","",IF(T2688=0,"No discount",IF(T2688&lt;=0.2,"Low (1-20%)",IF(T2688&lt;=0.4,"Medium (21-40%)","High (&gt;40%)"))))</f>
        <v/>
      </c>
      <c r="Y2688" s="23" t="str">
        <f aca="false">IF(AND(ISNUMBER(C2688),ISNUMBER(D2688)),D2688-C2688,"")</f>
        <v/>
      </c>
      <c r="Z2688" s="23" t="str">
        <f aca="false">IF(B2688="","",IF(MATCH(B2688,$B$2:$B$12000,0)=ROW()-1,1,0))</f>
        <v/>
      </c>
    </row>
    <row r="2689" customFormat="false" ht="15" hidden="false" customHeight="false" outlineLevel="0" collapsed="false">
      <c r="V2689" s="23" t="str">
        <f aca="false">IF(ISNUMBER(C2689),YEAR(C2689),"")</f>
        <v/>
      </c>
      <c r="W2689" s="23" t="str">
        <f aca="false">IF(ISNUMBER(C2689),MONTH(C2689),"")</f>
        <v/>
      </c>
      <c r="X2689" s="23" t="str">
        <f aca="false">IF(T2689="","",IF(T2689=0,"No discount",IF(T2689&lt;=0.2,"Low (1-20%)",IF(T2689&lt;=0.4,"Medium (21-40%)","High (&gt;40%)"))))</f>
        <v/>
      </c>
      <c r="Y2689" s="23" t="str">
        <f aca="false">IF(AND(ISNUMBER(C2689),ISNUMBER(D2689)),D2689-C2689,"")</f>
        <v/>
      </c>
      <c r="Z2689" s="23" t="str">
        <f aca="false">IF(B2689="","",IF(MATCH(B2689,$B$2:$B$12000,0)=ROW()-1,1,0))</f>
        <v/>
      </c>
    </row>
    <row r="2690" customFormat="false" ht="15" hidden="false" customHeight="false" outlineLevel="0" collapsed="false">
      <c r="V2690" s="23" t="str">
        <f aca="false">IF(ISNUMBER(C2690),YEAR(C2690),"")</f>
        <v/>
      </c>
      <c r="W2690" s="23" t="str">
        <f aca="false">IF(ISNUMBER(C2690),MONTH(C2690),"")</f>
        <v/>
      </c>
      <c r="X2690" s="23" t="str">
        <f aca="false">IF(T2690="","",IF(T2690=0,"No discount",IF(T2690&lt;=0.2,"Low (1-20%)",IF(T2690&lt;=0.4,"Medium (21-40%)","High (&gt;40%)"))))</f>
        <v/>
      </c>
      <c r="Y2690" s="23" t="str">
        <f aca="false">IF(AND(ISNUMBER(C2690),ISNUMBER(D2690)),D2690-C2690,"")</f>
        <v/>
      </c>
      <c r="Z2690" s="23" t="str">
        <f aca="false">IF(B2690="","",IF(MATCH(B2690,$B$2:$B$12000,0)=ROW()-1,1,0))</f>
        <v/>
      </c>
    </row>
    <row r="2691" customFormat="false" ht="15" hidden="false" customHeight="false" outlineLevel="0" collapsed="false">
      <c r="V2691" s="23" t="str">
        <f aca="false">IF(ISNUMBER(C2691),YEAR(C2691),"")</f>
        <v/>
      </c>
      <c r="W2691" s="23" t="str">
        <f aca="false">IF(ISNUMBER(C2691),MONTH(C2691),"")</f>
        <v/>
      </c>
      <c r="X2691" s="23" t="str">
        <f aca="false">IF(T2691="","",IF(T2691=0,"No discount",IF(T2691&lt;=0.2,"Low (1-20%)",IF(T2691&lt;=0.4,"Medium (21-40%)","High (&gt;40%)"))))</f>
        <v/>
      </c>
      <c r="Y2691" s="23" t="str">
        <f aca="false">IF(AND(ISNUMBER(C2691),ISNUMBER(D2691)),D2691-C2691,"")</f>
        <v/>
      </c>
      <c r="Z2691" s="23" t="str">
        <f aca="false">IF(B2691="","",IF(MATCH(B2691,$B$2:$B$12000,0)=ROW()-1,1,0))</f>
        <v/>
      </c>
    </row>
    <row r="2692" customFormat="false" ht="15" hidden="false" customHeight="false" outlineLevel="0" collapsed="false">
      <c r="V2692" s="23" t="str">
        <f aca="false">IF(ISNUMBER(C2692),YEAR(C2692),"")</f>
        <v/>
      </c>
      <c r="W2692" s="23" t="str">
        <f aca="false">IF(ISNUMBER(C2692),MONTH(C2692),"")</f>
        <v/>
      </c>
      <c r="X2692" s="23" t="str">
        <f aca="false">IF(T2692="","",IF(T2692=0,"No discount",IF(T2692&lt;=0.2,"Low (1-20%)",IF(T2692&lt;=0.4,"Medium (21-40%)","High (&gt;40%)"))))</f>
        <v/>
      </c>
      <c r="Y2692" s="23" t="str">
        <f aca="false">IF(AND(ISNUMBER(C2692),ISNUMBER(D2692)),D2692-C2692,"")</f>
        <v/>
      </c>
      <c r="Z2692" s="23" t="str">
        <f aca="false">IF(B2692="","",IF(MATCH(B2692,$B$2:$B$12000,0)=ROW()-1,1,0))</f>
        <v/>
      </c>
    </row>
    <row r="2693" customFormat="false" ht="15" hidden="false" customHeight="false" outlineLevel="0" collapsed="false">
      <c r="V2693" s="23" t="str">
        <f aca="false">IF(ISNUMBER(C2693),YEAR(C2693),"")</f>
        <v/>
      </c>
      <c r="W2693" s="23" t="str">
        <f aca="false">IF(ISNUMBER(C2693),MONTH(C2693),"")</f>
        <v/>
      </c>
      <c r="X2693" s="23" t="str">
        <f aca="false">IF(T2693="","",IF(T2693=0,"No discount",IF(T2693&lt;=0.2,"Low (1-20%)",IF(T2693&lt;=0.4,"Medium (21-40%)","High (&gt;40%)"))))</f>
        <v/>
      </c>
      <c r="Y2693" s="23" t="str">
        <f aca="false">IF(AND(ISNUMBER(C2693),ISNUMBER(D2693)),D2693-C2693,"")</f>
        <v/>
      </c>
      <c r="Z2693" s="23" t="str">
        <f aca="false">IF(B2693="","",IF(MATCH(B2693,$B$2:$B$12000,0)=ROW()-1,1,0))</f>
        <v/>
      </c>
    </row>
    <row r="2694" customFormat="false" ht="15" hidden="false" customHeight="false" outlineLevel="0" collapsed="false">
      <c r="V2694" s="23" t="str">
        <f aca="false">IF(ISNUMBER(C2694),YEAR(C2694),"")</f>
        <v/>
      </c>
      <c r="W2694" s="23" t="str">
        <f aca="false">IF(ISNUMBER(C2694),MONTH(C2694),"")</f>
        <v/>
      </c>
      <c r="X2694" s="23" t="str">
        <f aca="false">IF(T2694="","",IF(T2694=0,"No discount",IF(T2694&lt;=0.2,"Low (1-20%)",IF(T2694&lt;=0.4,"Medium (21-40%)","High (&gt;40%)"))))</f>
        <v/>
      </c>
      <c r="Y2694" s="23" t="str">
        <f aca="false">IF(AND(ISNUMBER(C2694),ISNUMBER(D2694)),D2694-C2694,"")</f>
        <v/>
      </c>
      <c r="Z2694" s="23" t="str">
        <f aca="false">IF(B2694="","",IF(MATCH(B2694,$B$2:$B$12000,0)=ROW()-1,1,0))</f>
        <v/>
      </c>
    </row>
    <row r="2695" customFormat="false" ht="15" hidden="false" customHeight="false" outlineLevel="0" collapsed="false">
      <c r="V2695" s="23" t="str">
        <f aca="false">IF(ISNUMBER(C2695),YEAR(C2695),"")</f>
        <v/>
      </c>
      <c r="W2695" s="23" t="str">
        <f aca="false">IF(ISNUMBER(C2695),MONTH(C2695),"")</f>
        <v/>
      </c>
      <c r="X2695" s="23" t="str">
        <f aca="false">IF(T2695="","",IF(T2695=0,"No discount",IF(T2695&lt;=0.2,"Low (1-20%)",IF(T2695&lt;=0.4,"Medium (21-40%)","High (&gt;40%)"))))</f>
        <v/>
      </c>
      <c r="Y2695" s="23" t="str">
        <f aca="false">IF(AND(ISNUMBER(C2695),ISNUMBER(D2695)),D2695-C2695,"")</f>
        <v/>
      </c>
      <c r="Z2695" s="23" t="str">
        <f aca="false">IF(B2695="","",IF(MATCH(B2695,$B$2:$B$12000,0)=ROW()-1,1,0))</f>
        <v/>
      </c>
    </row>
    <row r="2696" customFormat="false" ht="15" hidden="false" customHeight="false" outlineLevel="0" collapsed="false">
      <c r="V2696" s="23" t="str">
        <f aca="false">IF(ISNUMBER(C2696),YEAR(C2696),"")</f>
        <v/>
      </c>
      <c r="W2696" s="23" t="str">
        <f aca="false">IF(ISNUMBER(C2696),MONTH(C2696),"")</f>
        <v/>
      </c>
      <c r="X2696" s="23" t="str">
        <f aca="false">IF(T2696="","",IF(T2696=0,"No discount",IF(T2696&lt;=0.2,"Low (1-20%)",IF(T2696&lt;=0.4,"Medium (21-40%)","High (&gt;40%)"))))</f>
        <v/>
      </c>
      <c r="Y2696" s="23" t="str">
        <f aca="false">IF(AND(ISNUMBER(C2696),ISNUMBER(D2696)),D2696-C2696,"")</f>
        <v/>
      </c>
      <c r="Z2696" s="23" t="str">
        <f aca="false">IF(B2696="","",IF(MATCH(B2696,$B$2:$B$12000,0)=ROW()-1,1,0))</f>
        <v/>
      </c>
    </row>
    <row r="2697" customFormat="false" ht="15" hidden="false" customHeight="false" outlineLevel="0" collapsed="false">
      <c r="V2697" s="23" t="str">
        <f aca="false">IF(ISNUMBER(C2697),YEAR(C2697),"")</f>
        <v/>
      </c>
      <c r="W2697" s="23" t="str">
        <f aca="false">IF(ISNUMBER(C2697),MONTH(C2697),"")</f>
        <v/>
      </c>
      <c r="X2697" s="23" t="str">
        <f aca="false">IF(T2697="","",IF(T2697=0,"No discount",IF(T2697&lt;=0.2,"Low (1-20%)",IF(T2697&lt;=0.4,"Medium (21-40%)","High (&gt;40%)"))))</f>
        <v/>
      </c>
      <c r="Y2697" s="23" t="str">
        <f aca="false">IF(AND(ISNUMBER(C2697),ISNUMBER(D2697)),D2697-C2697,"")</f>
        <v/>
      </c>
      <c r="Z2697" s="23" t="str">
        <f aca="false">IF(B2697="","",IF(MATCH(B2697,$B$2:$B$12000,0)=ROW()-1,1,0))</f>
        <v/>
      </c>
    </row>
    <row r="2698" customFormat="false" ht="15" hidden="false" customHeight="false" outlineLevel="0" collapsed="false">
      <c r="V2698" s="23" t="str">
        <f aca="false">IF(ISNUMBER(C2698),YEAR(C2698),"")</f>
        <v/>
      </c>
      <c r="W2698" s="23" t="str">
        <f aca="false">IF(ISNUMBER(C2698),MONTH(C2698),"")</f>
        <v/>
      </c>
      <c r="X2698" s="23" t="str">
        <f aca="false">IF(T2698="","",IF(T2698=0,"No discount",IF(T2698&lt;=0.2,"Low (1-20%)",IF(T2698&lt;=0.4,"Medium (21-40%)","High (&gt;40%)"))))</f>
        <v/>
      </c>
      <c r="Y2698" s="23" t="str">
        <f aca="false">IF(AND(ISNUMBER(C2698),ISNUMBER(D2698)),D2698-C2698,"")</f>
        <v/>
      </c>
      <c r="Z2698" s="23" t="str">
        <f aca="false">IF(B2698="","",IF(MATCH(B2698,$B$2:$B$12000,0)=ROW()-1,1,0))</f>
        <v/>
      </c>
    </row>
    <row r="2699" customFormat="false" ht="15" hidden="false" customHeight="false" outlineLevel="0" collapsed="false">
      <c r="V2699" s="23" t="str">
        <f aca="false">IF(ISNUMBER(C2699),YEAR(C2699),"")</f>
        <v/>
      </c>
      <c r="W2699" s="23" t="str">
        <f aca="false">IF(ISNUMBER(C2699),MONTH(C2699),"")</f>
        <v/>
      </c>
      <c r="X2699" s="23" t="str">
        <f aca="false">IF(T2699="","",IF(T2699=0,"No discount",IF(T2699&lt;=0.2,"Low (1-20%)",IF(T2699&lt;=0.4,"Medium (21-40%)","High (&gt;40%)"))))</f>
        <v/>
      </c>
      <c r="Y2699" s="23" t="str">
        <f aca="false">IF(AND(ISNUMBER(C2699),ISNUMBER(D2699)),D2699-C2699,"")</f>
        <v/>
      </c>
      <c r="Z2699" s="23" t="str">
        <f aca="false">IF(B2699="","",IF(MATCH(B2699,$B$2:$B$12000,0)=ROW()-1,1,0))</f>
        <v/>
      </c>
    </row>
    <row r="2700" customFormat="false" ht="15" hidden="false" customHeight="false" outlineLevel="0" collapsed="false">
      <c r="V2700" s="23" t="str">
        <f aca="false">IF(ISNUMBER(C2700),YEAR(C2700),"")</f>
        <v/>
      </c>
      <c r="W2700" s="23" t="str">
        <f aca="false">IF(ISNUMBER(C2700),MONTH(C2700),"")</f>
        <v/>
      </c>
      <c r="X2700" s="23" t="str">
        <f aca="false">IF(T2700="","",IF(T2700=0,"No discount",IF(T2700&lt;=0.2,"Low (1-20%)",IF(T2700&lt;=0.4,"Medium (21-40%)","High (&gt;40%)"))))</f>
        <v/>
      </c>
      <c r="Y2700" s="23" t="str">
        <f aca="false">IF(AND(ISNUMBER(C2700),ISNUMBER(D2700)),D2700-C2700,"")</f>
        <v/>
      </c>
      <c r="Z2700" s="23" t="str">
        <f aca="false">IF(B2700="","",IF(MATCH(B2700,$B$2:$B$12000,0)=ROW()-1,1,0))</f>
        <v/>
      </c>
    </row>
    <row r="2701" customFormat="false" ht="15" hidden="false" customHeight="false" outlineLevel="0" collapsed="false">
      <c r="V2701" s="23" t="str">
        <f aca="false">IF(ISNUMBER(C2701),YEAR(C2701),"")</f>
        <v/>
      </c>
      <c r="W2701" s="23" t="str">
        <f aca="false">IF(ISNUMBER(C2701),MONTH(C2701),"")</f>
        <v/>
      </c>
      <c r="X2701" s="23" t="str">
        <f aca="false">IF(T2701="","",IF(T2701=0,"No discount",IF(T2701&lt;=0.2,"Low (1-20%)",IF(T2701&lt;=0.4,"Medium (21-40%)","High (&gt;40%)"))))</f>
        <v/>
      </c>
      <c r="Y2701" s="23" t="str">
        <f aca="false">IF(AND(ISNUMBER(C2701),ISNUMBER(D2701)),D2701-C2701,"")</f>
        <v/>
      </c>
      <c r="Z2701" s="23" t="str">
        <f aca="false">IF(B2701="","",IF(MATCH(B2701,$B$2:$B$12000,0)=ROW()-1,1,0))</f>
        <v/>
      </c>
    </row>
    <row r="2702" customFormat="false" ht="15" hidden="false" customHeight="false" outlineLevel="0" collapsed="false">
      <c r="V2702" s="23" t="str">
        <f aca="false">IF(ISNUMBER(C2702),YEAR(C2702),"")</f>
        <v/>
      </c>
      <c r="W2702" s="23" t="str">
        <f aca="false">IF(ISNUMBER(C2702),MONTH(C2702),"")</f>
        <v/>
      </c>
      <c r="X2702" s="23" t="str">
        <f aca="false">IF(T2702="","",IF(T2702=0,"No discount",IF(T2702&lt;=0.2,"Low (1-20%)",IF(T2702&lt;=0.4,"Medium (21-40%)","High (&gt;40%)"))))</f>
        <v/>
      </c>
      <c r="Y2702" s="23" t="str">
        <f aca="false">IF(AND(ISNUMBER(C2702),ISNUMBER(D2702)),D2702-C2702,"")</f>
        <v/>
      </c>
      <c r="Z2702" s="23" t="str">
        <f aca="false">IF(B2702="","",IF(MATCH(B2702,$B$2:$B$12000,0)=ROW()-1,1,0))</f>
        <v/>
      </c>
    </row>
    <row r="2703" customFormat="false" ht="15" hidden="false" customHeight="false" outlineLevel="0" collapsed="false">
      <c r="V2703" s="23" t="str">
        <f aca="false">IF(ISNUMBER(C2703),YEAR(C2703),"")</f>
        <v/>
      </c>
      <c r="W2703" s="23" t="str">
        <f aca="false">IF(ISNUMBER(C2703),MONTH(C2703),"")</f>
        <v/>
      </c>
      <c r="X2703" s="23" t="str">
        <f aca="false">IF(T2703="","",IF(T2703=0,"No discount",IF(T2703&lt;=0.2,"Low (1-20%)",IF(T2703&lt;=0.4,"Medium (21-40%)","High (&gt;40%)"))))</f>
        <v/>
      </c>
      <c r="Y2703" s="23" t="str">
        <f aca="false">IF(AND(ISNUMBER(C2703),ISNUMBER(D2703)),D2703-C2703,"")</f>
        <v/>
      </c>
      <c r="Z2703" s="23" t="str">
        <f aca="false">IF(B2703="","",IF(MATCH(B2703,$B$2:$B$12000,0)=ROW()-1,1,0))</f>
        <v/>
      </c>
    </row>
    <row r="2704" customFormat="false" ht="15" hidden="false" customHeight="false" outlineLevel="0" collapsed="false">
      <c r="V2704" s="23" t="str">
        <f aca="false">IF(ISNUMBER(C2704),YEAR(C2704),"")</f>
        <v/>
      </c>
      <c r="W2704" s="23" t="str">
        <f aca="false">IF(ISNUMBER(C2704),MONTH(C2704),"")</f>
        <v/>
      </c>
      <c r="X2704" s="23" t="str">
        <f aca="false">IF(T2704="","",IF(T2704=0,"No discount",IF(T2704&lt;=0.2,"Low (1-20%)",IF(T2704&lt;=0.4,"Medium (21-40%)","High (&gt;40%)"))))</f>
        <v/>
      </c>
      <c r="Y2704" s="23" t="str">
        <f aca="false">IF(AND(ISNUMBER(C2704),ISNUMBER(D2704)),D2704-C2704,"")</f>
        <v/>
      </c>
      <c r="Z2704" s="23" t="str">
        <f aca="false">IF(B2704="","",IF(MATCH(B2704,$B$2:$B$12000,0)=ROW()-1,1,0))</f>
        <v/>
      </c>
    </row>
    <row r="2705" customFormat="false" ht="15" hidden="false" customHeight="false" outlineLevel="0" collapsed="false">
      <c r="V2705" s="23" t="str">
        <f aca="false">IF(ISNUMBER(C2705),YEAR(C2705),"")</f>
        <v/>
      </c>
      <c r="W2705" s="23" t="str">
        <f aca="false">IF(ISNUMBER(C2705),MONTH(C2705),"")</f>
        <v/>
      </c>
      <c r="X2705" s="23" t="str">
        <f aca="false">IF(T2705="","",IF(T2705=0,"No discount",IF(T2705&lt;=0.2,"Low (1-20%)",IF(T2705&lt;=0.4,"Medium (21-40%)","High (&gt;40%)"))))</f>
        <v/>
      </c>
      <c r="Y2705" s="23" t="str">
        <f aca="false">IF(AND(ISNUMBER(C2705),ISNUMBER(D2705)),D2705-C2705,"")</f>
        <v/>
      </c>
      <c r="Z2705" s="23" t="str">
        <f aca="false">IF(B2705="","",IF(MATCH(B2705,$B$2:$B$12000,0)=ROW()-1,1,0))</f>
        <v/>
      </c>
    </row>
    <row r="2706" customFormat="false" ht="15" hidden="false" customHeight="false" outlineLevel="0" collapsed="false">
      <c r="V2706" s="23" t="str">
        <f aca="false">IF(ISNUMBER(C2706),YEAR(C2706),"")</f>
        <v/>
      </c>
      <c r="W2706" s="23" t="str">
        <f aca="false">IF(ISNUMBER(C2706),MONTH(C2706),"")</f>
        <v/>
      </c>
      <c r="X2706" s="23" t="str">
        <f aca="false">IF(T2706="","",IF(T2706=0,"No discount",IF(T2706&lt;=0.2,"Low (1-20%)",IF(T2706&lt;=0.4,"Medium (21-40%)","High (&gt;40%)"))))</f>
        <v/>
      </c>
      <c r="Y2706" s="23" t="str">
        <f aca="false">IF(AND(ISNUMBER(C2706),ISNUMBER(D2706)),D2706-C2706,"")</f>
        <v/>
      </c>
      <c r="Z2706" s="23" t="str">
        <f aca="false">IF(B2706="","",IF(MATCH(B2706,$B$2:$B$12000,0)=ROW()-1,1,0))</f>
        <v/>
      </c>
    </row>
    <row r="2707" customFormat="false" ht="15" hidden="false" customHeight="false" outlineLevel="0" collapsed="false">
      <c r="V2707" s="23" t="str">
        <f aca="false">IF(ISNUMBER(C2707),YEAR(C2707),"")</f>
        <v/>
      </c>
      <c r="W2707" s="23" t="str">
        <f aca="false">IF(ISNUMBER(C2707),MONTH(C2707),"")</f>
        <v/>
      </c>
      <c r="X2707" s="23" t="str">
        <f aca="false">IF(T2707="","",IF(T2707=0,"No discount",IF(T2707&lt;=0.2,"Low (1-20%)",IF(T2707&lt;=0.4,"Medium (21-40%)","High (&gt;40%)"))))</f>
        <v/>
      </c>
      <c r="Y2707" s="23" t="str">
        <f aca="false">IF(AND(ISNUMBER(C2707),ISNUMBER(D2707)),D2707-C2707,"")</f>
        <v/>
      </c>
      <c r="Z2707" s="23" t="str">
        <f aca="false">IF(B2707="","",IF(MATCH(B2707,$B$2:$B$12000,0)=ROW()-1,1,0))</f>
        <v/>
      </c>
    </row>
    <row r="2708" customFormat="false" ht="15" hidden="false" customHeight="false" outlineLevel="0" collapsed="false">
      <c r="V2708" s="23" t="str">
        <f aca="false">IF(ISNUMBER(C2708),YEAR(C2708),"")</f>
        <v/>
      </c>
      <c r="W2708" s="23" t="str">
        <f aca="false">IF(ISNUMBER(C2708),MONTH(C2708),"")</f>
        <v/>
      </c>
      <c r="X2708" s="23" t="str">
        <f aca="false">IF(T2708="","",IF(T2708=0,"No discount",IF(T2708&lt;=0.2,"Low (1-20%)",IF(T2708&lt;=0.4,"Medium (21-40%)","High (&gt;40%)"))))</f>
        <v/>
      </c>
      <c r="Y2708" s="23" t="str">
        <f aca="false">IF(AND(ISNUMBER(C2708),ISNUMBER(D2708)),D2708-C2708,"")</f>
        <v/>
      </c>
      <c r="Z2708" s="23" t="str">
        <f aca="false">IF(B2708="","",IF(MATCH(B2708,$B$2:$B$12000,0)=ROW()-1,1,0))</f>
        <v/>
      </c>
    </row>
    <row r="2709" customFormat="false" ht="15" hidden="false" customHeight="false" outlineLevel="0" collapsed="false">
      <c r="V2709" s="23" t="str">
        <f aca="false">IF(ISNUMBER(C2709),YEAR(C2709),"")</f>
        <v/>
      </c>
      <c r="W2709" s="23" t="str">
        <f aca="false">IF(ISNUMBER(C2709),MONTH(C2709),"")</f>
        <v/>
      </c>
      <c r="X2709" s="23" t="str">
        <f aca="false">IF(T2709="","",IF(T2709=0,"No discount",IF(T2709&lt;=0.2,"Low (1-20%)",IF(T2709&lt;=0.4,"Medium (21-40%)","High (&gt;40%)"))))</f>
        <v/>
      </c>
      <c r="Y2709" s="23" t="str">
        <f aca="false">IF(AND(ISNUMBER(C2709),ISNUMBER(D2709)),D2709-C2709,"")</f>
        <v/>
      </c>
      <c r="Z2709" s="23" t="str">
        <f aca="false">IF(B2709="","",IF(MATCH(B2709,$B$2:$B$12000,0)=ROW()-1,1,0))</f>
        <v/>
      </c>
    </row>
    <row r="2710" customFormat="false" ht="15" hidden="false" customHeight="false" outlineLevel="0" collapsed="false">
      <c r="V2710" s="23" t="str">
        <f aca="false">IF(ISNUMBER(C2710),YEAR(C2710),"")</f>
        <v/>
      </c>
      <c r="W2710" s="23" t="str">
        <f aca="false">IF(ISNUMBER(C2710),MONTH(C2710),"")</f>
        <v/>
      </c>
      <c r="X2710" s="23" t="str">
        <f aca="false">IF(T2710="","",IF(T2710=0,"No discount",IF(T2710&lt;=0.2,"Low (1-20%)",IF(T2710&lt;=0.4,"Medium (21-40%)","High (&gt;40%)"))))</f>
        <v/>
      </c>
      <c r="Y2710" s="23" t="str">
        <f aca="false">IF(AND(ISNUMBER(C2710),ISNUMBER(D2710)),D2710-C2710,"")</f>
        <v/>
      </c>
      <c r="Z2710" s="23" t="str">
        <f aca="false">IF(B2710="","",IF(MATCH(B2710,$B$2:$B$12000,0)=ROW()-1,1,0))</f>
        <v/>
      </c>
    </row>
    <row r="2711" customFormat="false" ht="15" hidden="false" customHeight="false" outlineLevel="0" collapsed="false">
      <c r="V2711" s="23" t="str">
        <f aca="false">IF(ISNUMBER(C2711),YEAR(C2711),"")</f>
        <v/>
      </c>
      <c r="W2711" s="23" t="str">
        <f aca="false">IF(ISNUMBER(C2711),MONTH(C2711),"")</f>
        <v/>
      </c>
      <c r="X2711" s="23" t="str">
        <f aca="false">IF(T2711="","",IF(T2711=0,"No discount",IF(T2711&lt;=0.2,"Low (1-20%)",IF(T2711&lt;=0.4,"Medium (21-40%)","High (&gt;40%)"))))</f>
        <v/>
      </c>
      <c r="Y2711" s="23" t="str">
        <f aca="false">IF(AND(ISNUMBER(C2711),ISNUMBER(D2711)),D2711-C2711,"")</f>
        <v/>
      </c>
      <c r="Z2711" s="23" t="str">
        <f aca="false">IF(B2711="","",IF(MATCH(B2711,$B$2:$B$12000,0)=ROW()-1,1,0))</f>
        <v/>
      </c>
    </row>
    <row r="2712" customFormat="false" ht="15" hidden="false" customHeight="false" outlineLevel="0" collapsed="false">
      <c r="V2712" s="23" t="str">
        <f aca="false">IF(ISNUMBER(C2712),YEAR(C2712),"")</f>
        <v/>
      </c>
      <c r="W2712" s="23" t="str">
        <f aca="false">IF(ISNUMBER(C2712),MONTH(C2712),"")</f>
        <v/>
      </c>
      <c r="X2712" s="23" t="str">
        <f aca="false">IF(T2712="","",IF(T2712=0,"No discount",IF(T2712&lt;=0.2,"Low (1-20%)",IF(T2712&lt;=0.4,"Medium (21-40%)","High (&gt;40%)"))))</f>
        <v/>
      </c>
      <c r="Y2712" s="23" t="str">
        <f aca="false">IF(AND(ISNUMBER(C2712),ISNUMBER(D2712)),D2712-C2712,"")</f>
        <v/>
      </c>
      <c r="Z2712" s="23" t="str">
        <f aca="false">IF(B2712="","",IF(MATCH(B2712,$B$2:$B$12000,0)=ROW()-1,1,0))</f>
        <v/>
      </c>
    </row>
    <row r="2713" customFormat="false" ht="15" hidden="false" customHeight="false" outlineLevel="0" collapsed="false">
      <c r="V2713" s="23" t="str">
        <f aca="false">IF(ISNUMBER(C2713),YEAR(C2713),"")</f>
        <v/>
      </c>
      <c r="W2713" s="23" t="str">
        <f aca="false">IF(ISNUMBER(C2713),MONTH(C2713),"")</f>
        <v/>
      </c>
      <c r="X2713" s="23" t="str">
        <f aca="false">IF(T2713="","",IF(T2713=0,"No discount",IF(T2713&lt;=0.2,"Low (1-20%)",IF(T2713&lt;=0.4,"Medium (21-40%)","High (&gt;40%)"))))</f>
        <v/>
      </c>
      <c r="Y2713" s="23" t="str">
        <f aca="false">IF(AND(ISNUMBER(C2713),ISNUMBER(D2713)),D2713-C2713,"")</f>
        <v/>
      </c>
      <c r="Z2713" s="23" t="str">
        <f aca="false">IF(B2713="","",IF(MATCH(B2713,$B$2:$B$12000,0)=ROW()-1,1,0))</f>
        <v/>
      </c>
    </row>
    <row r="2714" customFormat="false" ht="15" hidden="false" customHeight="false" outlineLevel="0" collapsed="false">
      <c r="V2714" s="23" t="str">
        <f aca="false">IF(ISNUMBER(C2714),YEAR(C2714),"")</f>
        <v/>
      </c>
      <c r="W2714" s="23" t="str">
        <f aca="false">IF(ISNUMBER(C2714),MONTH(C2714),"")</f>
        <v/>
      </c>
      <c r="X2714" s="23" t="str">
        <f aca="false">IF(T2714="","",IF(T2714=0,"No discount",IF(T2714&lt;=0.2,"Low (1-20%)",IF(T2714&lt;=0.4,"Medium (21-40%)","High (&gt;40%)"))))</f>
        <v/>
      </c>
      <c r="Y2714" s="23" t="str">
        <f aca="false">IF(AND(ISNUMBER(C2714),ISNUMBER(D2714)),D2714-C2714,"")</f>
        <v/>
      </c>
      <c r="Z2714" s="23" t="str">
        <f aca="false">IF(B2714="","",IF(MATCH(B2714,$B$2:$B$12000,0)=ROW()-1,1,0))</f>
        <v/>
      </c>
    </row>
    <row r="2715" customFormat="false" ht="15" hidden="false" customHeight="false" outlineLevel="0" collapsed="false">
      <c r="V2715" s="23" t="str">
        <f aca="false">IF(ISNUMBER(C2715),YEAR(C2715),"")</f>
        <v/>
      </c>
      <c r="W2715" s="23" t="str">
        <f aca="false">IF(ISNUMBER(C2715),MONTH(C2715),"")</f>
        <v/>
      </c>
      <c r="X2715" s="23" t="str">
        <f aca="false">IF(T2715="","",IF(T2715=0,"No discount",IF(T2715&lt;=0.2,"Low (1-20%)",IF(T2715&lt;=0.4,"Medium (21-40%)","High (&gt;40%)"))))</f>
        <v/>
      </c>
      <c r="Y2715" s="23" t="str">
        <f aca="false">IF(AND(ISNUMBER(C2715),ISNUMBER(D2715)),D2715-C2715,"")</f>
        <v/>
      </c>
      <c r="Z2715" s="23" t="str">
        <f aca="false">IF(B2715="","",IF(MATCH(B2715,$B$2:$B$12000,0)=ROW()-1,1,0))</f>
        <v/>
      </c>
    </row>
    <row r="2716" customFormat="false" ht="15" hidden="false" customHeight="false" outlineLevel="0" collapsed="false">
      <c r="V2716" s="23" t="str">
        <f aca="false">IF(ISNUMBER(C2716),YEAR(C2716),"")</f>
        <v/>
      </c>
      <c r="W2716" s="23" t="str">
        <f aca="false">IF(ISNUMBER(C2716),MONTH(C2716),"")</f>
        <v/>
      </c>
      <c r="X2716" s="23" t="str">
        <f aca="false">IF(T2716="","",IF(T2716=0,"No discount",IF(T2716&lt;=0.2,"Low (1-20%)",IF(T2716&lt;=0.4,"Medium (21-40%)","High (&gt;40%)"))))</f>
        <v/>
      </c>
      <c r="Y2716" s="23" t="str">
        <f aca="false">IF(AND(ISNUMBER(C2716),ISNUMBER(D2716)),D2716-C2716,"")</f>
        <v/>
      </c>
      <c r="Z2716" s="23" t="str">
        <f aca="false">IF(B2716="","",IF(MATCH(B2716,$B$2:$B$12000,0)=ROW()-1,1,0))</f>
        <v/>
      </c>
    </row>
    <row r="2717" customFormat="false" ht="15" hidden="false" customHeight="false" outlineLevel="0" collapsed="false">
      <c r="V2717" s="23" t="str">
        <f aca="false">IF(ISNUMBER(C2717),YEAR(C2717),"")</f>
        <v/>
      </c>
      <c r="W2717" s="23" t="str">
        <f aca="false">IF(ISNUMBER(C2717),MONTH(C2717),"")</f>
        <v/>
      </c>
      <c r="X2717" s="23" t="str">
        <f aca="false">IF(T2717="","",IF(T2717=0,"No discount",IF(T2717&lt;=0.2,"Low (1-20%)",IF(T2717&lt;=0.4,"Medium (21-40%)","High (&gt;40%)"))))</f>
        <v/>
      </c>
      <c r="Y2717" s="23" t="str">
        <f aca="false">IF(AND(ISNUMBER(C2717),ISNUMBER(D2717)),D2717-C2717,"")</f>
        <v/>
      </c>
      <c r="Z2717" s="23" t="str">
        <f aca="false">IF(B2717="","",IF(MATCH(B2717,$B$2:$B$12000,0)=ROW()-1,1,0))</f>
        <v/>
      </c>
    </row>
    <row r="2718" customFormat="false" ht="15" hidden="false" customHeight="false" outlineLevel="0" collapsed="false">
      <c r="V2718" s="23" t="str">
        <f aca="false">IF(ISNUMBER(C2718),YEAR(C2718),"")</f>
        <v/>
      </c>
      <c r="W2718" s="23" t="str">
        <f aca="false">IF(ISNUMBER(C2718),MONTH(C2718),"")</f>
        <v/>
      </c>
      <c r="X2718" s="23" t="str">
        <f aca="false">IF(T2718="","",IF(T2718=0,"No discount",IF(T2718&lt;=0.2,"Low (1-20%)",IF(T2718&lt;=0.4,"Medium (21-40%)","High (&gt;40%)"))))</f>
        <v/>
      </c>
      <c r="Y2718" s="23" t="str">
        <f aca="false">IF(AND(ISNUMBER(C2718),ISNUMBER(D2718)),D2718-C2718,"")</f>
        <v/>
      </c>
      <c r="Z2718" s="23" t="str">
        <f aca="false">IF(B2718="","",IF(MATCH(B2718,$B$2:$B$12000,0)=ROW()-1,1,0))</f>
        <v/>
      </c>
    </row>
    <row r="2719" customFormat="false" ht="15" hidden="false" customHeight="false" outlineLevel="0" collapsed="false">
      <c r="V2719" s="23" t="str">
        <f aca="false">IF(ISNUMBER(C2719),YEAR(C2719),"")</f>
        <v/>
      </c>
      <c r="W2719" s="23" t="str">
        <f aca="false">IF(ISNUMBER(C2719),MONTH(C2719),"")</f>
        <v/>
      </c>
      <c r="X2719" s="23" t="str">
        <f aca="false">IF(T2719="","",IF(T2719=0,"No discount",IF(T2719&lt;=0.2,"Low (1-20%)",IF(T2719&lt;=0.4,"Medium (21-40%)","High (&gt;40%)"))))</f>
        <v/>
      </c>
      <c r="Y2719" s="23" t="str">
        <f aca="false">IF(AND(ISNUMBER(C2719),ISNUMBER(D2719)),D2719-C2719,"")</f>
        <v/>
      </c>
      <c r="Z2719" s="23" t="str">
        <f aca="false">IF(B2719="","",IF(MATCH(B2719,$B$2:$B$12000,0)=ROW()-1,1,0))</f>
        <v/>
      </c>
    </row>
    <row r="2720" customFormat="false" ht="15" hidden="false" customHeight="false" outlineLevel="0" collapsed="false">
      <c r="V2720" s="23" t="str">
        <f aca="false">IF(ISNUMBER(C2720),YEAR(C2720),"")</f>
        <v/>
      </c>
      <c r="W2720" s="23" t="str">
        <f aca="false">IF(ISNUMBER(C2720),MONTH(C2720),"")</f>
        <v/>
      </c>
      <c r="X2720" s="23" t="str">
        <f aca="false">IF(T2720="","",IF(T2720=0,"No discount",IF(T2720&lt;=0.2,"Low (1-20%)",IF(T2720&lt;=0.4,"Medium (21-40%)","High (&gt;40%)"))))</f>
        <v/>
      </c>
      <c r="Y2720" s="23" t="str">
        <f aca="false">IF(AND(ISNUMBER(C2720),ISNUMBER(D2720)),D2720-C2720,"")</f>
        <v/>
      </c>
      <c r="Z2720" s="23" t="str">
        <f aca="false">IF(B2720="","",IF(MATCH(B2720,$B$2:$B$12000,0)=ROW()-1,1,0))</f>
        <v/>
      </c>
    </row>
    <row r="2721" customFormat="false" ht="15" hidden="false" customHeight="false" outlineLevel="0" collapsed="false">
      <c r="V2721" s="23" t="str">
        <f aca="false">IF(ISNUMBER(C2721),YEAR(C2721),"")</f>
        <v/>
      </c>
      <c r="W2721" s="23" t="str">
        <f aca="false">IF(ISNUMBER(C2721),MONTH(C2721),"")</f>
        <v/>
      </c>
      <c r="X2721" s="23" t="str">
        <f aca="false">IF(T2721="","",IF(T2721=0,"No discount",IF(T2721&lt;=0.2,"Low (1-20%)",IF(T2721&lt;=0.4,"Medium (21-40%)","High (&gt;40%)"))))</f>
        <v/>
      </c>
      <c r="Y2721" s="23" t="str">
        <f aca="false">IF(AND(ISNUMBER(C2721),ISNUMBER(D2721)),D2721-C2721,"")</f>
        <v/>
      </c>
      <c r="Z2721" s="23" t="str">
        <f aca="false">IF(B2721="","",IF(MATCH(B2721,$B$2:$B$12000,0)=ROW()-1,1,0))</f>
        <v/>
      </c>
    </row>
    <row r="2722" customFormat="false" ht="15" hidden="false" customHeight="false" outlineLevel="0" collapsed="false">
      <c r="V2722" s="23" t="str">
        <f aca="false">IF(ISNUMBER(C2722),YEAR(C2722),"")</f>
        <v/>
      </c>
      <c r="W2722" s="23" t="str">
        <f aca="false">IF(ISNUMBER(C2722),MONTH(C2722),"")</f>
        <v/>
      </c>
      <c r="X2722" s="23" t="str">
        <f aca="false">IF(T2722="","",IF(T2722=0,"No discount",IF(T2722&lt;=0.2,"Low (1-20%)",IF(T2722&lt;=0.4,"Medium (21-40%)","High (&gt;40%)"))))</f>
        <v/>
      </c>
      <c r="Y2722" s="23" t="str">
        <f aca="false">IF(AND(ISNUMBER(C2722),ISNUMBER(D2722)),D2722-C2722,"")</f>
        <v/>
      </c>
      <c r="Z2722" s="23" t="str">
        <f aca="false">IF(B2722="","",IF(MATCH(B2722,$B$2:$B$12000,0)=ROW()-1,1,0))</f>
        <v/>
      </c>
    </row>
    <row r="2723" customFormat="false" ht="15" hidden="false" customHeight="false" outlineLevel="0" collapsed="false">
      <c r="V2723" s="23" t="str">
        <f aca="false">IF(ISNUMBER(C2723),YEAR(C2723),"")</f>
        <v/>
      </c>
      <c r="W2723" s="23" t="str">
        <f aca="false">IF(ISNUMBER(C2723),MONTH(C2723),"")</f>
        <v/>
      </c>
      <c r="X2723" s="23" t="str">
        <f aca="false">IF(T2723="","",IF(T2723=0,"No discount",IF(T2723&lt;=0.2,"Low (1-20%)",IF(T2723&lt;=0.4,"Medium (21-40%)","High (&gt;40%)"))))</f>
        <v/>
      </c>
      <c r="Y2723" s="23" t="str">
        <f aca="false">IF(AND(ISNUMBER(C2723),ISNUMBER(D2723)),D2723-C2723,"")</f>
        <v/>
      </c>
      <c r="Z2723" s="23" t="str">
        <f aca="false">IF(B2723="","",IF(MATCH(B2723,$B$2:$B$12000,0)=ROW()-1,1,0))</f>
        <v/>
      </c>
    </row>
    <row r="2724" customFormat="false" ht="15" hidden="false" customHeight="false" outlineLevel="0" collapsed="false">
      <c r="V2724" s="23" t="str">
        <f aca="false">IF(ISNUMBER(C2724),YEAR(C2724),"")</f>
        <v/>
      </c>
      <c r="W2724" s="23" t="str">
        <f aca="false">IF(ISNUMBER(C2724),MONTH(C2724),"")</f>
        <v/>
      </c>
      <c r="X2724" s="23" t="str">
        <f aca="false">IF(T2724="","",IF(T2724=0,"No discount",IF(T2724&lt;=0.2,"Low (1-20%)",IF(T2724&lt;=0.4,"Medium (21-40%)","High (&gt;40%)"))))</f>
        <v/>
      </c>
      <c r="Y2724" s="23" t="str">
        <f aca="false">IF(AND(ISNUMBER(C2724),ISNUMBER(D2724)),D2724-C2724,"")</f>
        <v/>
      </c>
      <c r="Z2724" s="23" t="str">
        <f aca="false">IF(B2724="","",IF(MATCH(B2724,$B$2:$B$12000,0)=ROW()-1,1,0))</f>
        <v/>
      </c>
    </row>
    <row r="2725" customFormat="false" ht="15" hidden="false" customHeight="false" outlineLevel="0" collapsed="false">
      <c r="V2725" s="23" t="str">
        <f aca="false">IF(ISNUMBER(C2725),YEAR(C2725),"")</f>
        <v/>
      </c>
      <c r="W2725" s="23" t="str">
        <f aca="false">IF(ISNUMBER(C2725),MONTH(C2725),"")</f>
        <v/>
      </c>
      <c r="X2725" s="23" t="str">
        <f aca="false">IF(T2725="","",IF(T2725=0,"No discount",IF(T2725&lt;=0.2,"Low (1-20%)",IF(T2725&lt;=0.4,"Medium (21-40%)","High (&gt;40%)"))))</f>
        <v/>
      </c>
      <c r="Y2725" s="23" t="str">
        <f aca="false">IF(AND(ISNUMBER(C2725),ISNUMBER(D2725)),D2725-C2725,"")</f>
        <v/>
      </c>
      <c r="Z2725" s="23" t="str">
        <f aca="false">IF(B2725="","",IF(MATCH(B2725,$B$2:$B$12000,0)=ROW()-1,1,0))</f>
        <v/>
      </c>
    </row>
    <row r="2726" customFormat="false" ht="15" hidden="false" customHeight="false" outlineLevel="0" collapsed="false">
      <c r="V2726" s="23" t="str">
        <f aca="false">IF(ISNUMBER(C2726),YEAR(C2726),"")</f>
        <v/>
      </c>
      <c r="W2726" s="23" t="str">
        <f aca="false">IF(ISNUMBER(C2726),MONTH(C2726),"")</f>
        <v/>
      </c>
      <c r="X2726" s="23" t="str">
        <f aca="false">IF(T2726="","",IF(T2726=0,"No discount",IF(T2726&lt;=0.2,"Low (1-20%)",IF(T2726&lt;=0.4,"Medium (21-40%)","High (&gt;40%)"))))</f>
        <v/>
      </c>
      <c r="Y2726" s="23" t="str">
        <f aca="false">IF(AND(ISNUMBER(C2726),ISNUMBER(D2726)),D2726-C2726,"")</f>
        <v/>
      </c>
      <c r="Z2726" s="23" t="str">
        <f aca="false">IF(B2726="","",IF(MATCH(B2726,$B$2:$B$12000,0)=ROW()-1,1,0))</f>
        <v/>
      </c>
    </row>
    <row r="2727" customFormat="false" ht="15" hidden="false" customHeight="false" outlineLevel="0" collapsed="false">
      <c r="V2727" s="23" t="str">
        <f aca="false">IF(ISNUMBER(C2727),YEAR(C2727),"")</f>
        <v/>
      </c>
      <c r="W2727" s="23" t="str">
        <f aca="false">IF(ISNUMBER(C2727),MONTH(C2727),"")</f>
        <v/>
      </c>
      <c r="X2727" s="23" t="str">
        <f aca="false">IF(T2727="","",IF(T2727=0,"No discount",IF(T2727&lt;=0.2,"Low (1-20%)",IF(T2727&lt;=0.4,"Medium (21-40%)","High (&gt;40%)"))))</f>
        <v/>
      </c>
      <c r="Y2727" s="23" t="str">
        <f aca="false">IF(AND(ISNUMBER(C2727),ISNUMBER(D2727)),D2727-C2727,"")</f>
        <v/>
      </c>
      <c r="Z2727" s="23" t="str">
        <f aca="false">IF(B2727="","",IF(MATCH(B2727,$B$2:$B$12000,0)=ROW()-1,1,0))</f>
        <v/>
      </c>
    </row>
    <row r="2728" customFormat="false" ht="15" hidden="false" customHeight="false" outlineLevel="0" collapsed="false">
      <c r="V2728" s="23" t="str">
        <f aca="false">IF(ISNUMBER(C2728),YEAR(C2728),"")</f>
        <v/>
      </c>
      <c r="W2728" s="23" t="str">
        <f aca="false">IF(ISNUMBER(C2728),MONTH(C2728),"")</f>
        <v/>
      </c>
      <c r="X2728" s="23" t="str">
        <f aca="false">IF(T2728="","",IF(T2728=0,"No discount",IF(T2728&lt;=0.2,"Low (1-20%)",IF(T2728&lt;=0.4,"Medium (21-40%)","High (&gt;40%)"))))</f>
        <v/>
      </c>
      <c r="Y2728" s="23" t="str">
        <f aca="false">IF(AND(ISNUMBER(C2728),ISNUMBER(D2728)),D2728-C2728,"")</f>
        <v/>
      </c>
      <c r="Z2728" s="23" t="str">
        <f aca="false">IF(B2728="","",IF(MATCH(B2728,$B$2:$B$12000,0)=ROW()-1,1,0))</f>
        <v/>
      </c>
    </row>
    <row r="2729" customFormat="false" ht="15" hidden="false" customHeight="false" outlineLevel="0" collapsed="false">
      <c r="V2729" s="23" t="str">
        <f aca="false">IF(ISNUMBER(C2729),YEAR(C2729),"")</f>
        <v/>
      </c>
      <c r="W2729" s="23" t="str">
        <f aca="false">IF(ISNUMBER(C2729),MONTH(C2729),"")</f>
        <v/>
      </c>
      <c r="X2729" s="23" t="str">
        <f aca="false">IF(T2729="","",IF(T2729=0,"No discount",IF(T2729&lt;=0.2,"Low (1-20%)",IF(T2729&lt;=0.4,"Medium (21-40%)","High (&gt;40%)"))))</f>
        <v/>
      </c>
      <c r="Y2729" s="23" t="str">
        <f aca="false">IF(AND(ISNUMBER(C2729),ISNUMBER(D2729)),D2729-C2729,"")</f>
        <v/>
      </c>
      <c r="Z2729" s="23" t="str">
        <f aca="false">IF(B2729="","",IF(MATCH(B2729,$B$2:$B$12000,0)=ROW()-1,1,0))</f>
        <v/>
      </c>
    </row>
    <row r="2730" customFormat="false" ht="15" hidden="false" customHeight="false" outlineLevel="0" collapsed="false">
      <c r="V2730" s="23" t="str">
        <f aca="false">IF(ISNUMBER(C2730),YEAR(C2730),"")</f>
        <v/>
      </c>
      <c r="W2730" s="23" t="str">
        <f aca="false">IF(ISNUMBER(C2730),MONTH(C2730),"")</f>
        <v/>
      </c>
      <c r="X2730" s="23" t="str">
        <f aca="false">IF(T2730="","",IF(T2730=0,"No discount",IF(T2730&lt;=0.2,"Low (1-20%)",IF(T2730&lt;=0.4,"Medium (21-40%)","High (&gt;40%)"))))</f>
        <v/>
      </c>
      <c r="Y2730" s="23" t="str">
        <f aca="false">IF(AND(ISNUMBER(C2730),ISNUMBER(D2730)),D2730-C2730,"")</f>
        <v/>
      </c>
      <c r="Z2730" s="23" t="str">
        <f aca="false">IF(B2730="","",IF(MATCH(B2730,$B$2:$B$12000,0)=ROW()-1,1,0))</f>
        <v/>
      </c>
    </row>
    <row r="2731" customFormat="false" ht="15" hidden="false" customHeight="false" outlineLevel="0" collapsed="false">
      <c r="V2731" s="23" t="str">
        <f aca="false">IF(ISNUMBER(C2731),YEAR(C2731),"")</f>
        <v/>
      </c>
      <c r="W2731" s="23" t="str">
        <f aca="false">IF(ISNUMBER(C2731),MONTH(C2731),"")</f>
        <v/>
      </c>
      <c r="X2731" s="23" t="str">
        <f aca="false">IF(T2731="","",IF(T2731=0,"No discount",IF(T2731&lt;=0.2,"Low (1-20%)",IF(T2731&lt;=0.4,"Medium (21-40%)","High (&gt;40%)"))))</f>
        <v/>
      </c>
      <c r="Y2731" s="23" t="str">
        <f aca="false">IF(AND(ISNUMBER(C2731),ISNUMBER(D2731)),D2731-C2731,"")</f>
        <v/>
      </c>
      <c r="Z2731" s="23" t="str">
        <f aca="false">IF(B2731="","",IF(MATCH(B2731,$B$2:$B$12000,0)=ROW()-1,1,0))</f>
        <v/>
      </c>
    </row>
    <row r="2732" customFormat="false" ht="15" hidden="false" customHeight="false" outlineLevel="0" collapsed="false">
      <c r="V2732" s="23" t="str">
        <f aca="false">IF(ISNUMBER(C2732),YEAR(C2732),"")</f>
        <v/>
      </c>
      <c r="W2732" s="23" t="str">
        <f aca="false">IF(ISNUMBER(C2732),MONTH(C2732),"")</f>
        <v/>
      </c>
      <c r="X2732" s="23" t="str">
        <f aca="false">IF(T2732="","",IF(T2732=0,"No discount",IF(T2732&lt;=0.2,"Low (1-20%)",IF(T2732&lt;=0.4,"Medium (21-40%)","High (&gt;40%)"))))</f>
        <v/>
      </c>
      <c r="Y2732" s="23" t="str">
        <f aca="false">IF(AND(ISNUMBER(C2732),ISNUMBER(D2732)),D2732-C2732,"")</f>
        <v/>
      </c>
      <c r="Z2732" s="23" t="str">
        <f aca="false">IF(B2732="","",IF(MATCH(B2732,$B$2:$B$12000,0)=ROW()-1,1,0))</f>
        <v/>
      </c>
    </row>
    <row r="2733" customFormat="false" ht="15" hidden="false" customHeight="false" outlineLevel="0" collapsed="false">
      <c r="V2733" s="23" t="str">
        <f aca="false">IF(ISNUMBER(C2733),YEAR(C2733),"")</f>
        <v/>
      </c>
      <c r="W2733" s="23" t="str">
        <f aca="false">IF(ISNUMBER(C2733),MONTH(C2733),"")</f>
        <v/>
      </c>
      <c r="X2733" s="23" t="str">
        <f aca="false">IF(T2733="","",IF(T2733=0,"No discount",IF(T2733&lt;=0.2,"Low (1-20%)",IF(T2733&lt;=0.4,"Medium (21-40%)","High (&gt;40%)"))))</f>
        <v/>
      </c>
      <c r="Y2733" s="23" t="str">
        <f aca="false">IF(AND(ISNUMBER(C2733),ISNUMBER(D2733)),D2733-C2733,"")</f>
        <v/>
      </c>
      <c r="Z2733" s="23" t="str">
        <f aca="false">IF(B2733="","",IF(MATCH(B2733,$B$2:$B$12000,0)=ROW()-1,1,0))</f>
        <v/>
      </c>
    </row>
    <row r="2734" customFormat="false" ht="15" hidden="false" customHeight="false" outlineLevel="0" collapsed="false">
      <c r="V2734" s="23" t="str">
        <f aca="false">IF(ISNUMBER(C2734),YEAR(C2734),"")</f>
        <v/>
      </c>
      <c r="W2734" s="23" t="str">
        <f aca="false">IF(ISNUMBER(C2734),MONTH(C2734),"")</f>
        <v/>
      </c>
      <c r="X2734" s="23" t="str">
        <f aca="false">IF(T2734="","",IF(T2734=0,"No discount",IF(T2734&lt;=0.2,"Low (1-20%)",IF(T2734&lt;=0.4,"Medium (21-40%)","High (&gt;40%)"))))</f>
        <v/>
      </c>
      <c r="Y2734" s="23" t="str">
        <f aca="false">IF(AND(ISNUMBER(C2734),ISNUMBER(D2734)),D2734-C2734,"")</f>
        <v/>
      </c>
      <c r="Z2734" s="23" t="str">
        <f aca="false">IF(B2734="","",IF(MATCH(B2734,$B$2:$B$12000,0)=ROW()-1,1,0))</f>
        <v/>
      </c>
    </row>
    <row r="2735" customFormat="false" ht="15" hidden="false" customHeight="false" outlineLevel="0" collapsed="false">
      <c r="V2735" s="23" t="str">
        <f aca="false">IF(ISNUMBER(C2735),YEAR(C2735),"")</f>
        <v/>
      </c>
      <c r="W2735" s="23" t="str">
        <f aca="false">IF(ISNUMBER(C2735),MONTH(C2735),"")</f>
        <v/>
      </c>
      <c r="X2735" s="23" t="str">
        <f aca="false">IF(T2735="","",IF(T2735=0,"No discount",IF(T2735&lt;=0.2,"Low (1-20%)",IF(T2735&lt;=0.4,"Medium (21-40%)","High (&gt;40%)"))))</f>
        <v/>
      </c>
      <c r="Y2735" s="23" t="str">
        <f aca="false">IF(AND(ISNUMBER(C2735),ISNUMBER(D2735)),D2735-C2735,"")</f>
        <v/>
      </c>
      <c r="Z2735" s="23" t="str">
        <f aca="false">IF(B2735="","",IF(MATCH(B2735,$B$2:$B$12000,0)=ROW()-1,1,0))</f>
        <v/>
      </c>
    </row>
    <row r="2736" customFormat="false" ht="15" hidden="false" customHeight="false" outlineLevel="0" collapsed="false">
      <c r="V2736" s="23" t="str">
        <f aca="false">IF(ISNUMBER(C2736),YEAR(C2736),"")</f>
        <v/>
      </c>
      <c r="W2736" s="23" t="str">
        <f aca="false">IF(ISNUMBER(C2736),MONTH(C2736),"")</f>
        <v/>
      </c>
      <c r="X2736" s="23" t="str">
        <f aca="false">IF(T2736="","",IF(T2736=0,"No discount",IF(T2736&lt;=0.2,"Low (1-20%)",IF(T2736&lt;=0.4,"Medium (21-40%)","High (&gt;40%)"))))</f>
        <v/>
      </c>
      <c r="Y2736" s="23" t="str">
        <f aca="false">IF(AND(ISNUMBER(C2736),ISNUMBER(D2736)),D2736-C2736,"")</f>
        <v/>
      </c>
      <c r="Z2736" s="23" t="str">
        <f aca="false">IF(B2736="","",IF(MATCH(B2736,$B$2:$B$12000,0)=ROW()-1,1,0))</f>
        <v/>
      </c>
    </row>
    <row r="2737" customFormat="false" ht="15" hidden="false" customHeight="false" outlineLevel="0" collapsed="false">
      <c r="V2737" s="23" t="str">
        <f aca="false">IF(ISNUMBER(C2737),YEAR(C2737),"")</f>
        <v/>
      </c>
      <c r="W2737" s="23" t="str">
        <f aca="false">IF(ISNUMBER(C2737),MONTH(C2737),"")</f>
        <v/>
      </c>
      <c r="X2737" s="23" t="str">
        <f aca="false">IF(T2737="","",IF(T2737=0,"No discount",IF(T2737&lt;=0.2,"Low (1-20%)",IF(T2737&lt;=0.4,"Medium (21-40%)","High (&gt;40%)"))))</f>
        <v/>
      </c>
      <c r="Y2737" s="23" t="str">
        <f aca="false">IF(AND(ISNUMBER(C2737),ISNUMBER(D2737)),D2737-C2737,"")</f>
        <v/>
      </c>
      <c r="Z2737" s="23" t="str">
        <f aca="false">IF(B2737="","",IF(MATCH(B2737,$B$2:$B$12000,0)=ROW()-1,1,0))</f>
        <v/>
      </c>
    </row>
    <row r="2738" customFormat="false" ht="15" hidden="false" customHeight="false" outlineLevel="0" collapsed="false">
      <c r="V2738" s="23" t="str">
        <f aca="false">IF(ISNUMBER(C2738),YEAR(C2738),"")</f>
        <v/>
      </c>
      <c r="W2738" s="23" t="str">
        <f aca="false">IF(ISNUMBER(C2738),MONTH(C2738),"")</f>
        <v/>
      </c>
      <c r="X2738" s="23" t="str">
        <f aca="false">IF(T2738="","",IF(T2738=0,"No discount",IF(T2738&lt;=0.2,"Low (1-20%)",IF(T2738&lt;=0.4,"Medium (21-40%)","High (&gt;40%)"))))</f>
        <v/>
      </c>
      <c r="Y2738" s="23" t="str">
        <f aca="false">IF(AND(ISNUMBER(C2738),ISNUMBER(D2738)),D2738-C2738,"")</f>
        <v/>
      </c>
      <c r="Z2738" s="23" t="str">
        <f aca="false">IF(B2738="","",IF(MATCH(B2738,$B$2:$B$12000,0)=ROW()-1,1,0))</f>
        <v/>
      </c>
    </row>
    <row r="2739" customFormat="false" ht="15" hidden="false" customHeight="false" outlineLevel="0" collapsed="false">
      <c r="V2739" s="23" t="str">
        <f aca="false">IF(ISNUMBER(C2739),YEAR(C2739),"")</f>
        <v/>
      </c>
      <c r="W2739" s="23" t="str">
        <f aca="false">IF(ISNUMBER(C2739),MONTH(C2739),"")</f>
        <v/>
      </c>
      <c r="X2739" s="23" t="str">
        <f aca="false">IF(T2739="","",IF(T2739=0,"No discount",IF(T2739&lt;=0.2,"Low (1-20%)",IF(T2739&lt;=0.4,"Medium (21-40%)","High (&gt;40%)"))))</f>
        <v/>
      </c>
      <c r="Y2739" s="23" t="str">
        <f aca="false">IF(AND(ISNUMBER(C2739),ISNUMBER(D2739)),D2739-C2739,"")</f>
        <v/>
      </c>
      <c r="Z2739" s="23" t="str">
        <f aca="false">IF(B2739="","",IF(MATCH(B2739,$B$2:$B$12000,0)=ROW()-1,1,0))</f>
        <v/>
      </c>
    </row>
    <row r="2740" customFormat="false" ht="15" hidden="false" customHeight="false" outlineLevel="0" collapsed="false">
      <c r="V2740" s="23" t="str">
        <f aca="false">IF(ISNUMBER(C2740),YEAR(C2740),"")</f>
        <v/>
      </c>
      <c r="W2740" s="23" t="str">
        <f aca="false">IF(ISNUMBER(C2740),MONTH(C2740),"")</f>
        <v/>
      </c>
      <c r="X2740" s="23" t="str">
        <f aca="false">IF(T2740="","",IF(T2740=0,"No discount",IF(T2740&lt;=0.2,"Low (1-20%)",IF(T2740&lt;=0.4,"Medium (21-40%)","High (&gt;40%)"))))</f>
        <v/>
      </c>
      <c r="Y2740" s="23" t="str">
        <f aca="false">IF(AND(ISNUMBER(C2740),ISNUMBER(D2740)),D2740-C2740,"")</f>
        <v/>
      </c>
      <c r="Z2740" s="23" t="str">
        <f aca="false">IF(B2740="","",IF(MATCH(B2740,$B$2:$B$12000,0)=ROW()-1,1,0))</f>
        <v/>
      </c>
    </row>
    <row r="2741" customFormat="false" ht="15" hidden="false" customHeight="false" outlineLevel="0" collapsed="false">
      <c r="V2741" s="23" t="str">
        <f aca="false">IF(ISNUMBER(C2741),YEAR(C2741),"")</f>
        <v/>
      </c>
      <c r="W2741" s="23" t="str">
        <f aca="false">IF(ISNUMBER(C2741),MONTH(C2741),"")</f>
        <v/>
      </c>
      <c r="X2741" s="23" t="str">
        <f aca="false">IF(T2741="","",IF(T2741=0,"No discount",IF(T2741&lt;=0.2,"Low (1-20%)",IF(T2741&lt;=0.4,"Medium (21-40%)","High (&gt;40%)"))))</f>
        <v/>
      </c>
      <c r="Y2741" s="23" t="str">
        <f aca="false">IF(AND(ISNUMBER(C2741),ISNUMBER(D2741)),D2741-C2741,"")</f>
        <v/>
      </c>
      <c r="Z2741" s="23" t="str">
        <f aca="false">IF(B2741="","",IF(MATCH(B2741,$B$2:$B$12000,0)=ROW()-1,1,0))</f>
        <v/>
      </c>
    </row>
    <row r="2742" customFormat="false" ht="15" hidden="false" customHeight="false" outlineLevel="0" collapsed="false">
      <c r="V2742" s="23" t="str">
        <f aca="false">IF(ISNUMBER(C2742),YEAR(C2742),"")</f>
        <v/>
      </c>
      <c r="W2742" s="23" t="str">
        <f aca="false">IF(ISNUMBER(C2742),MONTH(C2742),"")</f>
        <v/>
      </c>
      <c r="X2742" s="23" t="str">
        <f aca="false">IF(T2742="","",IF(T2742=0,"No discount",IF(T2742&lt;=0.2,"Low (1-20%)",IF(T2742&lt;=0.4,"Medium (21-40%)","High (&gt;40%)"))))</f>
        <v/>
      </c>
      <c r="Y2742" s="23" t="str">
        <f aca="false">IF(AND(ISNUMBER(C2742),ISNUMBER(D2742)),D2742-C2742,"")</f>
        <v/>
      </c>
      <c r="Z2742" s="23" t="str">
        <f aca="false">IF(B2742="","",IF(MATCH(B2742,$B$2:$B$12000,0)=ROW()-1,1,0))</f>
        <v/>
      </c>
    </row>
    <row r="2743" customFormat="false" ht="15" hidden="false" customHeight="false" outlineLevel="0" collapsed="false">
      <c r="V2743" s="23" t="str">
        <f aca="false">IF(ISNUMBER(C2743),YEAR(C2743),"")</f>
        <v/>
      </c>
      <c r="W2743" s="23" t="str">
        <f aca="false">IF(ISNUMBER(C2743),MONTH(C2743),"")</f>
        <v/>
      </c>
      <c r="X2743" s="23" t="str">
        <f aca="false">IF(T2743="","",IF(T2743=0,"No discount",IF(T2743&lt;=0.2,"Low (1-20%)",IF(T2743&lt;=0.4,"Medium (21-40%)","High (&gt;40%)"))))</f>
        <v/>
      </c>
      <c r="Y2743" s="23" t="str">
        <f aca="false">IF(AND(ISNUMBER(C2743),ISNUMBER(D2743)),D2743-C2743,"")</f>
        <v/>
      </c>
      <c r="Z2743" s="23" t="str">
        <f aca="false">IF(B2743="","",IF(MATCH(B2743,$B$2:$B$12000,0)=ROW()-1,1,0))</f>
        <v/>
      </c>
    </row>
    <row r="2744" customFormat="false" ht="15" hidden="false" customHeight="false" outlineLevel="0" collapsed="false">
      <c r="V2744" s="23" t="str">
        <f aca="false">IF(ISNUMBER(C2744),YEAR(C2744),"")</f>
        <v/>
      </c>
      <c r="W2744" s="23" t="str">
        <f aca="false">IF(ISNUMBER(C2744),MONTH(C2744),"")</f>
        <v/>
      </c>
      <c r="X2744" s="23" t="str">
        <f aca="false">IF(T2744="","",IF(T2744=0,"No discount",IF(T2744&lt;=0.2,"Low (1-20%)",IF(T2744&lt;=0.4,"Medium (21-40%)","High (&gt;40%)"))))</f>
        <v/>
      </c>
      <c r="Y2744" s="23" t="str">
        <f aca="false">IF(AND(ISNUMBER(C2744),ISNUMBER(D2744)),D2744-C2744,"")</f>
        <v/>
      </c>
      <c r="Z2744" s="23" t="str">
        <f aca="false">IF(B2744="","",IF(MATCH(B2744,$B$2:$B$12000,0)=ROW()-1,1,0))</f>
        <v/>
      </c>
    </row>
    <row r="2745" customFormat="false" ht="15" hidden="false" customHeight="false" outlineLevel="0" collapsed="false">
      <c r="V2745" s="23" t="str">
        <f aca="false">IF(ISNUMBER(C2745),YEAR(C2745),"")</f>
        <v/>
      </c>
      <c r="W2745" s="23" t="str">
        <f aca="false">IF(ISNUMBER(C2745),MONTH(C2745),"")</f>
        <v/>
      </c>
      <c r="X2745" s="23" t="str">
        <f aca="false">IF(T2745="","",IF(T2745=0,"No discount",IF(T2745&lt;=0.2,"Low (1-20%)",IF(T2745&lt;=0.4,"Medium (21-40%)","High (&gt;40%)"))))</f>
        <v/>
      </c>
      <c r="Y2745" s="23" t="str">
        <f aca="false">IF(AND(ISNUMBER(C2745),ISNUMBER(D2745)),D2745-C2745,"")</f>
        <v/>
      </c>
      <c r="Z2745" s="23" t="str">
        <f aca="false">IF(B2745="","",IF(MATCH(B2745,$B$2:$B$12000,0)=ROW()-1,1,0))</f>
        <v/>
      </c>
    </row>
    <row r="2746" customFormat="false" ht="15" hidden="false" customHeight="false" outlineLevel="0" collapsed="false">
      <c r="V2746" s="23" t="str">
        <f aca="false">IF(ISNUMBER(C2746),YEAR(C2746),"")</f>
        <v/>
      </c>
      <c r="W2746" s="23" t="str">
        <f aca="false">IF(ISNUMBER(C2746),MONTH(C2746),"")</f>
        <v/>
      </c>
      <c r="X2746" s="23" t="str">
        <f aca="false">IF(T2746="","",IF(T2746=0,"No discount",IF(T2746&lt;=0.2,"Low (1-20%)",IF(T2746&lt;=0.4,"Medium (21-40%)","High (&gt;40%)"))))</f>
        <v/>
      </c>
      <c r="Y2746" s="23" t="str">
        <f aca="false">IF(AND(ISNUMBER(C2746),ISNUMBER(D2746)),D2746-C2746,"")</f>
        <v/>
      </c>
      <c r="Z2746" s="23" t="str">
        <f aca="false">IF(B2746="","",IF(MATCH(B2746,$B$2:$B$12000,0)=ROW()-1,1,0))</f>
        <v/>
      </c>
    </row>
    <row r="2747" customFormat="false" ht="15" hidden="false" customHeight="false" outlineLevel="0" collapsed="false">
      <c r="V2747" s="23" t="str">
        <f aca="false">IF(ISNUMBER(C2747),YEAR(C2747),"")</f>
        <v/>
      </c>
      <c r="W2747" s="23" t="str">
        <f aca="false">IF(ISNUMBER(C2747),MONTH(C2747),"")</f>
        <v/>
      </c>
      <c r="X2747" s="23" t="str">
        <f aca="false">IF(T2747="","",IF(T2747=0,"No discount",IF(T2747&lt;=0.2,"Low (1-20%)",IF(T2747&lt;=0.4,"Medium (21-40%)","High (&gt;40%)"))))</f>
        <v/>
      </c>
      <c r="Y2747" s="23" t="str">
        <f aca="false">IF(AND(ISNUMBER(C2747),ISNUMBER(D2747)),D2747-C2747,"")</f>
        <v/>
      </c>
      <c r="Z2747" s="23" t="str">
        <f aca="false">IF(B2747="","",IF(MATCH(B2747,$B$2:$B$12000,0)=ROW()-1,1,0))</f>
        <v/>
      </c>
    </row>
    <row r="2748" customFormat="false" ht="15" hidden="false" customHeight="false" outlineLevel="0" collapsed="false">
      <c r="V2748" s="23" t="str">
        <f aca="false">IF(ISNUMBER(C2748),YEAR(C2748),"")</f>
        <v/>
      </c>
      <c r="W2748" s="23" t="str">
        <f aca="false">IF(ISNUMBER(C2748),MONTH(C2748),"")</f>
        <v/>
      </c>
      <c r="X2748" s="23" t="str">
        <f aca="false">IF(T2748="","",IF(T2748=0,"No discount",IF(T2748&lt;=0.2,"Low (1-20%)",IF(T2748&lt;=0.4,"Medium (21-40%)","High (&gt;40%)"))))</f>
        <v/>
      </c>
      <c r="Y2748" s="23" t="str">
        <f aca="false">IF(AND(ISNUMBER(C2748),ISNUMBER(D2748)),D2748-C2748,"")</f>
        <v/>
      </c>
      <c r="Z2748" s="23" t="str">
        <f aca="false">IF(B2748="","",IF(MATCH(B2748,$B$2:$B$12000,0)=ROW()-1,1,0))</f>
        <v/>
      </c>
    </row>
    <row r="2749" customFormat="false" ht="15" hidden="false" customHeight="false" outlineLevel="0" collapsed="false">
      <c r="V2749" s="23" t="str">
        <f aca="false">IF(ISNUMBER(C2749),YEAR(C2749),"")</f>
        <v/>
      </c>
      <c r="W2749" s="23" t="str">
        <f aca="false">IF(ISNUMBER(C2749),MONTH(C2749),"")</f>
        <v/>
      </c>
      <c r="X2749" s="23" t="str">
        <f aca="false">IF(T2749="","",IF(T2749=0,"No discount",IF(T2749&lt;=0.2,"Low (1-20%)",IF(T2749&lt;=0.4,"Medium (21-40%)","High (&gt;40%)"))))</f>
        <v/>
      </c>
      <c r="Y2749" s="23" t="str">
        <f aca="false">IF(AND(ISNUMBER(C2749),ISNUMBER(D2749)),D2749-C2749,"")</f>
        <v/>
      </c>
      <c r="Z2749" s="23" t="str">
        <f aca="false">IF(B2749="","",IF(MATCH(B2749,$B$2:$B$12000,0)=ROW()-1,1,0))</f>
        <v/>
      </c>
    </row>
    <row r="2750" customFormat="false" ht="15" hidden="false" customHeight="false" outlineLevel="0" collapsed="false">
      <c r="V2750" s="23" t="str">
        <f aca="false">IF(ISNUMBER(C2750),YEAR(C2750),"")</f>
        <v/>
      </c>
      <c r="W2750" s="23" t="str">
        <f aca="false">IF(ISNUMBER(C2750),MONTH(C2750),"")</f>
        <v/>
      </c>
      <c r="X2750" s="23" t="str">
        <f aca="false">IF(T2750="","",IF(T2750=0,"No discount",IF(T2750&lt;=0.2,"Low (1-20%)",IF(T2750&lt;=0.4,"Medium (21-40%)","High (&gt;40%)"))))</f>
        <v/>
      </c>
      <c r="Y2750" s="23" t="str">
        <f aca="false">IF(AND(ISNUMBER(C2750),ISNUMBER(D2750)),D2750-C2750,"")</f>
        <v/>
      </c>
      <c r="Z2750" s="23" t="str">
        <f aca="false">IF(B2750="","",IF(MATCH(B2750,$B$2:$B$12000,0)=ROW()-1,1,0))</f>
        <v/>
      </c>
    </row>
    <row r="2751" customFormat="false" ht="15" hidden="false" customHeight="false" outlineLevel="0" collapsed="false">
      <c r="V2751" s="23" t="str">
        <f aca="false">IF(ISNUMBER(C2751),YEAR(C2751),"")</f>
        <v/>
      </c>
      <c r="W2751" s="23" t="str">
        <f aca="false">IF(ISNUMBER(C2751),MONTH(C2751),"")</f>
        <v/>
      </c>
      <c r="X2751" s="23" t="str">
        <f aca="false">IF(T2751="","",IF(T2751=0,"No discount",IF(T2751&lt;=0.2,"Low (1-20%)",IF(T2751&lt;=0.4,"Medium (21-40%)","High (&gt;40%)"))))</f>
        <v/>
      </c>
      <c r="Y2751" s="23" t="str">
        <f aca="false">IF(AND(ISNUMBER(C2751),ISNUMBER(D2751)),D2751-C2751,"")</f>
        <v/>
      </c>
      <c r="Z2751" s="23" t="str">
        <f aca="false">IF(B2751="","",IF(MATCH(B2751,$B$2:$B$12000,0)=ROW()-1,1,0))</f>
        <v/>
      </c>
    </row>
    <row r="2752" customFormat="false" ht="15" hidden="false" customHeight="false" outlineLevel="0" collapsed="false">
      <c r="V2752" s="23" t="str">
        <f aca="false">IF(ISNUMBER(C2752),YEAR(C2752),"")</f>
        <v/>
      </c>
      <c r="W2752" s="23" t="str">
        <f aca="false">IF(ISNUMBER(C2752),MONTH(C2752),"")</f>
        <v/>
      </c>
      <c r="X2752" s="23" t="str">
        <f aca="false">IF(T2752="","",IF(T2752=0,"No discount",IF(T2752&lt;=0.2,"Low (1-20%)",IF(T2752&lt;=0.4,"Medium (21-40%)","High (&gt;40%)"))))</f>
        <v/>
      </c>
      <c r="Y2752" s="23" t="str">
        <f aca="false">IF(AND(ISNUMBER(C2752),ISNUMBER(D2752)),D2752-C2752,"")</f>
        <v/>
      </c>
      <c r="Z2752" s="23" t="str">
        <f aca="false">IF(B2752="","",IF(MATCH(B2752,$B$2:$B$12000,0)=ROW()-1,1,0))</f>
        <v/>
      </c>
    </row>
    <row r="2753" customFormat="false" ht="15" hidden="false" customHeight="false" outlineLevel="0" collapsed="false">
      <c r="V2753" s="23" t="str">
        <f aca="false">IF(ISNUMBER(C2753),YEAR(C2753),"")</f>
        <v/>
      </c>
      <c r="W2753" s="23" t="str">
        <f aca="false">IF(ISNUMBER(C2753),MONTH(C2753),"")</f>
        <v/>
      </c>
      <c r="X2753" s="23" t="str">
        <f aca="false">IF(T2753="","",IF(T2753=0,"No discount",IF(T2753&lt;=0.2,"Low (1-20%)",IF(T2753&lt;=0.4,"Medium (21-40%)","High (&gt;40%)"))))</f>
        <v/>
      </c>
      <c r="Y2753" s="23" t="str">
        <f aca="false">IF(AND(ISNUMBER(C2753),ISNUMBER(D2753)),D2753-C2753,"")</f>
        <v/>
      </c>
      <c r="Z2753" s="23" t="str">
        <f aca="false">IF(B2753="","",IF(MATCH(B2753,$B$2:$B$12000,0)=ROW()-1,1,0))</f>
        <v/>
      </c>
    </row>
    <row r="2754" customFormat="false" ht="15" hidden="false" customHeight="false" outlineLevel="0" collapsed="false">
      <c r="V2754" s="23" t="str">
        <f aca="false">IF(ISNUMBER(C2754),YEAR(C2754),"")</f>
        <v/>
      </c>
      <c r="W2754" s="23" t="str">
        <f aca="false">IF(ISNUMBER(C2754),MONTH(C2754),"")</f>
        <v/>
      </c>
      <c r="X2754" s="23" t="str">
        <f aca="false">IF(T2754="","",IF(T2754=0,"No discount",IF(T2754&lt;=0.2,"Low (1-20%)",IF(T2754&lt;=0.4,"Medium (21-40%)","High (&gt;40%)"))))</f>
        <v/>
      </c>
      <c r="Y2754" s="23" t="str">
        <f aca="false">IF(AND(ISNUMBER(C2754),ISNUMBER(D2754)),D2754-C2754,"")</f>
        <v/>
      </c>
      <c r="Z2754" s="23" t="str">
        <f aca="false">IF(B2754="","",IF(MATCH(B2754,$B$2:$B$12000,0)=ROW()-1,1,0))</f>
        <v/>
      </c>
    </row>
    <row r="2755" customFormat="false" ht="15" hidden="false" customHeight="false" outlineLevel="0" collapsed="false">
      <c r="V2755" s="23" t="str">
        <f aca="false">IF(ISNUMBER(C2755),YEAR(C2755),"")</f>
        <v/>
      </c>
      <c r="W2755" s="23" t="str">
        <f aca="false">IF(ISNUMBER(C2755),MONTH(C2755),"")</f>
        <v/>
      </c>
      <c r="X2755" s="23" t="str">
        <f aca="false">IF(T2755="","",IF(T2755=0,"No discount",IF(T2755&lt;=0.2,"Low (1-20%)",IF(T2755&lt;=0.4,"Medium (21-40%)","High (&gt;40%)"))))</f>
        <v/>
      </c>
      <c r="Y2755" s="23" t="str">
        <f aca="false">IF(AND(ISNUMBER(C2755),ISNUMBER(D2755)),D2755-C2755,"")</f>
        <v/>
      </c>
      <c r="Z2755" s="23" t="str">
        <f aca="false">IF(B2755="","",IF(MATCH(B2755,$B$2:$B$12000,0)=ROW()-1,1,0))</f>
        <v/>
      </c>
    </row>
    <row r="2756" customFormat="false" ht="15" hidden="false" customHeight="false" outlineLevel="0" collapsed="false">
      <c r="V2756" s="23" t="str">
        <f aca="false">IF(ISNUMBER(C2756),YEAR(C2756),"")</f>
        <v/>
      </c>
      <c r="W2756" s="23" t="str">
        <f aca="false">IF(ISNUMBER(C2756),MONTH(C2756),"")</f>
        <v/>
      </c>
      <c r="X2756" s="23" t="str">
        <f aca="false">IF(T2756="","",IF(T2756=0,"No discount",IF(T2756&lt;=0.2,"Low (1-20%)",IF(T2756&lt;=0.4,"Medium (21-40%)","High (&gt;40%)"))))</f>
        <v/>
      </c>
      <c r="Y2756" s="23" t="str">
        <f aca="false">IF(AND(ISNUMBER(C2756),ISNUMBER(D2756)),D2756-C2756,"")</f>
        <v/>
      </c>
      <c r="Z2756" s="23" t="str">
        <f aca="false">IF(B2756="","",IF(MATCH(B2756,$B$2:$B$12000,0)=ROW()-1,1,0))</f>
        <v/>
      </c>
    </row>
    <row r="2757" customFormat="false" ht="15" hidden="false" customHeight="false" outlineLevel="0" collapsed="false">
      <c r="V2757" s="23" t="str">
        <f aca="false">IF(ISNUMBER(C2757),YEAR(C2757),"")</f>
        <v/>
      </c>
      <c r="W2757" s="23" t="str">
        <f aca="false">IF(ISNUMBER(C2757),MONTH(C2757),"")</f>
        <v/>
      </c>
      <c r="X2757" s="23" t="str">
        <f aca="false">IF(T2757="","",IF(T2757=0,"No discount",IF(T2757&lt;=0.2,"Low (1-20%)",IF(T2757&lt;=0.4,"Medium (21-40%)","High (&gt;40%)"))))</f>
        <v/>
      </c>
      <c r="Y2757" s="23" t="str">
        <f aca="false">IF(AND(ISNUMBER(C2757),ISNUMBER(D2757)),D2757-C2757,"")</f>
        <v/>
      </c>
      <c r="Z2757" s="23" t="str">
        <f aca="false">IF(B2757="","",IF(MATCH(B2757,$B$2:$B$12000,0)=ROW()-1,1,0))</f>
        <v/>
      </c>
    </row>
    <row r="2758" customFormat="false" ht="15" hidden="false" customHeight="false" outlineLevel="0" collapsed="false">
      <c r="V2758" s="23" t="str">
        <f aca="false">IF(ISNUMBER(C2758),YEAR(C2758),"")</f>
        <v/>
      </c>
      <c r="W2758" s="23" t="str">
        <f aca="false">IF(ISNUMBER(C2758),MONTH(C2758),"")</f>
        <v/>
      </c>
      <c r="X2758" s="23" t="str">
        <f aca="false">IF(T2758="","",IF(T2758=0,"No discount",IF(T2758&lt;=0.2,"Low (1-20%)",IF(T2758&lt;=0.4,"Medium (21-40%)","High (&gt;40%)"))))</f>
        <v/>
      </c>
      <c r="Y2758" s="23" t="str">
        <f aca="false">IF(AND(ISNUMBER(C2758),ISNUMBER(D2758)),D2758-C2758,"")</f>
        <v/>
      </c>
      <c r="Z2758" s="23" t="str">
        <f aca="false">IF(B2758="","",IF(MATCH(B2758,$B$2:$B$12000,0)=ROW()-1,1,0))</f>
        <v/>
      </c>
    </row>
    <row r="2759" customFormat="false" ht="15" hidden="false" customHeight="false" outlineLevel="0" collapsed="false">
      <c r="V2759" s="23" t="str">
        <f aca="false">IF(ISNUMBER(C2759),YEAR(C2759),"")</f>
        <v/>
      </c>
      <c r="W2759" s="23" t="str">
        <f aca="false">IF(ISNUMBER(C2759),MONTH(C2759),"")</f>
        <v/>
      </c>
      <c r="X2759" s="23" t="str">
        <f aca="false">IF(T2759="","",IF(T2759=0,"No discount",IF(T2759&lt;=0.2,"Low (1-20%)",IF(T2759&lt;=0.4,"Medium (21-40%)","High (&gt;40%)"))))</f>
        <v/>
      </c>
      <c r="Y2759" s="23" t="str">
        <f aca="false">IF(AND(ISNUMBER(C2759),ISNUMBER(D2759)),D2759-C2759,"")</f>
        <v/>
      </c>
      <c r="Z2759" s="23" t="str">
        <f aca="false">IF(B2759="","",IF(MATCH(B2759,$B$2:$B$12000,0)=ROW()-1,1,0))</f>
        <v/>
      </c>
    </row>
    <row r="2760" customFormat="false" ht="15" hidden="false" customHeight="false" outlineLevel="0" collapsed="false">
      <c r="V2760" s="23" t="str">
        <f aca="false">IF(ISNUMBER(C2760),YEAR(C2760),"")</f>
        <v/>
      </c>
      <c r="W2760" s="23" t="str">
        <f aca="false">IF(ISNUMBER(C2760),MONTH(C2760),"")</f>
        <v/>
      </c>
      <c r="X2760" s="23" t="str">
        <f aca="false">IF(T2760="","",IF(T2760=0,"No discount",IF(T2760&lt;=0.2,"Low (1-20%)",IF(T2760&lt;=0.4,"Medium (21-40%)","High (&gt;40%)"))))</f>
        <v/>
      </c>
      <c r="Y2760" s="23" t="str">
        <f aca="false">IF(AND(ISNUMBER(C2760),ISNUMBER(D2760)),D2760-C2760,"")</f>
        <v/>
      </c>
      <c r="Z2760" s="23" t="str">
        <f aca="false">IF(B2760="","",IF(MATCH(B2760,$B$2:$B$12000,0)=ROW()-1,1,0))</f>
        <v/>
      </c>
    </row>
    <row r="2761" customFormat="false" ht="15" hidden="false" customHeight="false" outlineLevel="0" collapsed="false">
      <c r="V2761" s="23" t="str">
        <f aca="false">IF(ISNUMBER(C2761),YEAR(C2761),"")</f>
        <v/>
      </c>
      <c r="W2761" s="23" t="str">
        <f aca="false">IF(ISNUMBER(C2761),MONTH(C2761),"")</f>
        <v/>
      </c>
      <c r="X2761" s="23" t="str">
        <f aca="false">IF(T2761="","",IF(T2761=0,"No discount",IF(T2761&lt;=0.2,"Low (1-20%)",IF(T2761&lt;=0.4,"Medium (21-40%)","High (&gt;40%)"))))</f>
        <v/>
      </c>
      <c r="Y2761" s="23" t="str">
        <f aca="false">IF(AND(ISNUMBER(C2761),ISNUMBER(D2761)),D2761-C2761,"")</f>
        <v/>
      </c>
      <c r="Z2761" s="23" t="str">
        <f aca="false">IF(B2761="","",IF(MATCH(B2761,$B$2:$B$12000,0)=ROW()-1,1,0))</f>
        <v/>
      </c>
    </row>
    <row r="2762" customFormat="false" ht="15" hidden="false" customHeight="false" outlineLevel="0" collapsed="false">
      <c r="V2762" s="23" t="str">
        <f aca="false">IF(ISNUMBER(C2762),YEAR(C2762),"")</f>
        <v/>
      </c>
      <c r="W2762" s="23" t="str">
        <f aca="false">IF(ISNUMBER(C2762),MONTH(C2762),"")</f>
        <v/>
      </c>
      <c r="X2762" s="23" t="str">
        <f aca="false">IF(T2762="","",IF(T2762=0,"No discount",IF(T2762&lt;=0.2,"Low (1-20%)",IF(T2762&lt;=0.4,"Medium (21-40%)","High (&gt;40%)"))))</f>
        <v/>
      </c>
      <c r="Y2762" s="23" t="str">
        <f aca="false">IF(AND(ISNUMBER(C2762),ISNUMBER(D2762)),D2762-C2762,"")</f>
        <v/>
      </c>
      <c r="Z2762" s="23" t="str">
        <f aca="false">IF(B2762="","",IF(MATCH(B2762,$B$2:$B$12000,0)=ROW()-1,1,0))</f>
        <v/>
      </c>
    </row>
    <row r="2763" customFormat="false" ht="15" hidden="false" customHeight="false" outlineLevel="0" collapsed="false">
      <c r="V2763" s="23" t="str">
        <f aca="false">IF(ISNUMBER(C2763),YEAR(C2763),"")</f>
        <v/>
      </c>
      <c r="W2763" s="23" t="str">
        <f aca="false">IF(ISNUMBER(C2763),MONTH(C2763),"")</f>
        <v/>
      </c>
      <c r="X2763" s="23" t="str">
        <f aca="false">IF(T2763="","",IF(T2763=0,"No discount",IF(T2763&lt;=0.2,"Low (1-20%)",IF(T2763&lt;=0.4,"Medium (21-40%)","High (&gt;40%)"))))</f>
        <v/>
      </c>
      <c r="Y2763" s="23" t="str">
        <f aca="false">IF(AND(ISNUMBER(C2763),ISNUMBER(D2763)),D2763-C2763,"")</f>
        <v/>
      </c>
      <c r="Z2763" s="23" t="str">
        <f aca="false">IF(B2763="","",IF(MATCH(B2763,$B$2:$B$12000,0)=ROW()-1,1,0))</f>
        <v/>
      </c>
    </row>
    <row r="2764" customFormat="false" ht="15" hidden="false" customHeight="false" outlineLevel="0" collapsed="false">
      <c r="V2764" s="23" t="str">
        <f aca="false">IF(ISNUMBER(C2764),YEAR(C2764),"")</f>
        <v/>
      </c>
      <c r="W2764" s="23" t="str">
        <f aca="false">IF(ISNUMBER(C2764),MONTH(C2764),"")</f>
        <v/>
      </c>
      <c r="X2764" s="23" t="str">
        <f aca="false">IF(T2764="","",IF(T2764=0,"No discount",IF(T2764&lt;=0.2,"Low (1-20%)",IF(T2764&lt;=0.4,"Medium (21-40%)","High (&gt;40%)"))))</f>
        <v/>
      </c>
      <c r="Y2764" s="23" t="str">
        <f aca="false">IF(AND(ISNUMBER(C2764),ISNUMBER(D2764)),D2764-C2764,"")</f>
        <v/>
      </c>
      <c r="Z2764" s="23" t="str">
        <f aca="false">IF(B2764="","",IF(MATCH(B2764,$B$2:$B$12000,0)=ROW()-1,1,0))</f>
        <v/>
      </c>
    </row>
    <row r="2765" customFormat="false" ht="15" hidden="false" customHeight="false" outlineLevel="0" collapsed="false">
      <c r="V2765" s="23" t="str">
        <f aca="false">IF(ISNUMBER(C2765),YEAR(C2765),"")</f>
        <v/>
      </c>
      <c r="W2765" s="23" t="str">
        <f aca="false">IF(ISNUMBER(C2765),MONTH(C2765),"")</f>
        <v/>
      </c>
      <c r="X2765" s="23" t="str">
        <f aca="false">IF(T2765="","",IF(T2765=0,"No discount",IF(T2765&lt;=0.2,"Low (1-20%)",IF(T2765&lt;=0.4,"Medium (21-40%)","High (&gt;40%)"))))</f>
        <v/>
      </c>
      <c r="Y2765" s="23" t="str">
        <f aca="false">IF(AND(ISNUMBER(C2765),ISNUMBER(D2765)),D2765-C2765,"")</f>
        <v/>
      </c>
      <c r="Z2765" s="23" t="str">
        <f aca="false">IF(B2765="","",IF(MATCH(B2765,$B$2:$B$12000,0)=ROW()-1,1,0))</f>
        <v/>
      </c>
    </row>
    <row r="2766" customFormat="false" ht="15" hidden="false" customHeight="false" outlineLevel="0" collapsed="false">
      <c r="V2766" s="23" t="str">
        <f aca="false">IF(ISNUMBER(C2766),YEAR(C2766),"")</f>
        <v/>
      </c>
      <c r="W2766" s="23" t="str">
        <f aca="false">IF(ISNUMBER(C2766),MONTH(C2766),"")</f>
        <v/>
      </c>
      <c r="X2766" s="23" t="str">
        <f aca="false">IF(T2766="","",IF(T2766=0,"No discount",IF(T2766&lt;=0.2,"Low (1-20%)",IF(T2766&lt;=0.4,"Medium (21-40%)","High (&gt;40%)"))))</f>
        <v/>
      </c>
      <c r="Y2766" s="23" t="str">
        <f aca="false">IF(AND(ISNUMBER(C2766),ISNUMBER(D2766)),D2766-C2766,"")</f>
        <v/>
      </c>
      <c r="Z2766" s="23" t="str">
        <f aca="false">IF(B2766="","",IF(MATCH(B2766,$B$2:$B$12000,0)=ROW()-1,1,0))</f>
        <v/>
      </c>
    </row>
    <row r="2767" customFormat="false" ht="15" hidden="false" customHeight="false" outlineLevel="0" collapsed="false">
      <c r="V2767" s="23" t="str">
        <f aca="false">IF(ISNUMBER(C2767),YEAR(C2767),"")</f>
        <v/>
      </c>
      <c r="W2767" s="23" t="str">
        <f aca="false">IF(ISNUMBER(C2767),MONTH(C2767),"")</f>
        <v/>
      </c>
      <c r="X2767" s="23" t="str">
        <f aca="false">IF(T2767="","",IF(T2767=0,"No discount",IF(T2767&lt;=0.2,"Low (1-20%)",IF(T2767&lt;=0.4,"Medium (21-40%)","High (&gt;40%)"))))</f>
        <v/>
      </c>
      <c r="Y2767" s="23" t="str">
        <f aca="false">IF(AND(ISNUMBER(C2767),ISNUMBER(D2767)),D2767-C2767,"")</f>
        <v/>
      </c>
      <c r="Z2767" s="23" t="str">
        <f aca="false">IF(B2767="","",IF(MATCH(B2767,$B$2:$B$12000,0)=ROW()-1,1,0))</f>
        <v/>
      </c>
    </row>
    <row r="2768" customFormat="false" ht="15" hidden="false" customHeight="false" outlineLevel="0" collapsed="false">
      <c r="V2768" s="23" t="str">
        <f aca="false">IF(ISNUMBER(C2768),YEAR(C2768),"")</f>
        <v/>
      </c>
      <c r="W2768" s="23" t="str">
        <f aca="false">IF(ISNUMBER(C2768),MONTH(C2768),"")</f>
        <v/>
      </c>
      <c r="X2768" s="23" t="str">
        <f aca="false">IF(T2768="","",IF(T2768=0,"No discount",IF(T2768&lt;=0.2,"Low (1-20%)",IF(T2768&lt;=0.4,"Medium (21-40%)","High (&gt;40%)"))))</f>
        <v/>
      </c>
      <c r="Y2768" s="23" t="str">
        <f aca="false">IF(AND(ISNUMBER(C2768),ISNUMBER(D2768)),D2768-C2768,"")</f>
        <v/>
      </c>
      <c r="Z2768" s="23" t="str">
        <f aca="false">IF(B2768="","",IF(MATCH(B2768,$B$2:$B$12000,0)=ROW()-1,1,0))</f>
        <v/>
      </c>
    </row>
    <row r="2769" customFormat="false" ht="15" hidden="false" customHeight="false" outlineLevel="0" collapsed="false">
      <c r="V2769" s="23" t="str">
        <f aca="false">IF(ISNUMBER(C2769),YEAR(C2769),"")</f>
        <v/>
      </c>
      <c r="W2769" s="23" t="str">
        <f aca="false">IF(ISNUMBER(C2769),MONTH(C2769),"")</f>
        <v/>
      </c>
      <c r="X2769" s="23" t="str">
        <f aca="false">IF(T2769="","",IF(T2769=0,"No discount",IF(T2769&lt;=0.2,"Low (1-20%)",IF(T2769&lt;=0.4,"Medium (21-40%)","High (&gt;40%)"))))</f>
        <v/>
      </c>
      <c r="Y2769" s="23" t="str">
        <f aca="false">IF(AND(ISNUMBER(C2769),ISNUMBER(D2769)),D2769-C2769,"")</f>
        <v/>
      </c>
      <c r="Z2769" s="23" t="str">
        <f aca="false">IF(B2769="","",IF(MATCH(B2769,$B$2:$B$12000,0)=ROW()-1,1,0))</f>
        <v/>
      </c>
    </row>
    <row r="2770" customFormat="false" ht="15" hidden="false" customHeight="false" outlineLevel="0" collapsed="false">
      <c r="V2770" s="23" t="str">
        <f aca="false">IF(ISNUMBER(C2770),YEAR(C2770),"")</f>
        <v/>
      </c>
      <c r="W2770" s="23" t="str">
        <f aca="false">IF(ISNUMBER(C2770),MONTH(C2770),"")</f>
        <v/>
      </c>
      <c r="X2770" s="23" t="str">
        <f aca="false">IF(T2770="","",IF(T2770=0,"No discount",IF(T2770&lt;=0.2,"Low (1-20%)",IF(T2770&lt;=0.4,"Medium (21-40%)","High (&gt;40%)"))))</f>
        <v/>
      </c>
      <c r="Y2770" s="23" t="str">
        <f aca="false">IF(AND(ISNUMBER(C2770),ISNUMBER(D2770)),D2770-C2770,"")</f>
        <v/>
      </c>
      <c r="Z2770" s="23" t="str">
        <f aca="false">IF(B2770="","",IF(MATCH(B2770,$B$2:$B$12000,0)=ROW()-1,1,0))</f>
        <v/>
      </c>
    </row>
    <row r="2771" customFormat="false" ht="15" hidden="false" customHeight="false" outlineLevel="0" collapsed="false">
      <c r="V2771" s="23" t="str">
        <f aca="false">IF(ISNUMBER(C2771),YEAR(C2771),"")</f>
        <v/>
      </c>
      <c r="W2771" s="23" t="str">
        <f aca="false">IF(ISNUMBER(C2771),MONTH(C2771),"")</f>
        <v/>
      </c>
      <c r="X2771" s="23" t="str">
        <f aca="false">IF(T2771="","",IF(T2771=0,"No discount",IF(T2771&lt;=0.2,"Low (1-20%)",IF(T2771&lt;=0.4,"Medium (21-40%)","High (&gt;40%)"))))</f>
        <v/>
      </c>
      <c r="Y2771" s="23" t="str">
        <f aca="false">IF(AND(ISNUMBER(C2771),ISNUMBER(D2771)),D2771-C2771,"")</f>
        <v/>
      </c>
      <c r="Z2771" s="23" t="str">
        <f aca="false">IF(B2771="","",IF(MATCH(B2771,$B$2:$B$12000,0)=ROW()-1,1,0))</f>
        <v/>
      </c>
    </row>
    <row r="2772" customFormat="false" ht="15" hidden="false" customHeight="false" outlineLevel="0" collapsed="false">
      <c r="V2772" s="23" t="str">
        <f aca="false">IF(ISNUMBER(C2772),YEAR(C2772),"")</f>
        <v/>
      </c>
      <c r="W2772" s="23" t="str">
        <f aca="false">IF(ISNUMBER(C2772),MONTH(C2772),"")</f>
        <v/>
      </c>
      <c r="X2772" s="23" t="str">
        <f aca="false">IF(T2772="","",IF(T2772=0,"No discount",IF(T2772&lt;=0.2,"Low (1-20%)",IF(T2772&lt;=0.4,"Medium (21-40%)","High (&gt;40%)"))))</f>
        <v/>
      </c>
      <c r="Y2772" s="23" t="str">
        <f aca="false">IF(AND(ISNUMBER(C2772),ISNUMBER(D2772)),D2772-C2772,"")</f>
        <v/>
      </c>
      <c r="Z2772" s="23" t="str">
        <f aca="false">IF(B2772="","",IF(MATCH(B2772,$B$2:$B$12000,0)=ROW()-1,1,0))</f>
        <v/>
      </c>
    </row>
    <row r="2773" customFormat="false" ht="15" hidden="false" customHeight="false" outlineLevel="0" collapsed="false">
      <c r="V2773" s="23" t="str">
        <f aca="false">IF(ISNUMBER(C2773),YEAR(C2773),"")</f>
        <v/>
      </c>
      <c r="W2773" s="23" t="str">
        <f aca="false">IF(ISNUMBER(C2773),MONTH(C2773),"")</f>
        <v/>
      </c>
      <c r="X2773" s="23" t="str">
        <f aca="false">IF(T2773="","",IF(T2773=0,"No discount",IF(T2773&lt;=0.2,"Low (1-20%)",IF(T2773&lt;=0.4,"Medium (21-40%)","High (&gt;40%)"))))</f>
        <v/>
      </c>
      <c r="Y2773" s="23" t="str">
        <f aca="false">IF(AND(ISNUMBER(C2773),ISNUMBER(D2773)),D2773-C2773,"")</f>
        <v/>
      </c>
      <c r="Z2773" s="23" t="str">
        <f aca="false">IF(B2773="","",IF(MATCH(B2773,$B$2:$B$12000,0)=ROW()-1,1,0))</f>
        <v/>
      </c>
    </row>
    <row r="2774" customFormat="false" ht="15" hidden="false" customHeight="false" outlineLevel="0" collapsed="false">
      <c r="V2774" s="23" t="str">
        <f aca="false">IF(ISNUMBER(C2774),YEAR(C2774),"")</f>
        <v/>
      </c>
      <c r="W2774" s="23" t="str">
        <f aca="false">IF(ISNUMBER(C2774),MONTH(C2774),"")</f>
        <v/>
      </c>
      <c r="X2774" s="23" t="str">
        <f aca="false">IF(T2774="","",IF(T2774=0,"No discount",IF(T2774&lt;=0.2,"Low (1-20%)",IF(T2774&lt;=0.4,"Medium (21-40%)","High (&gt;40%)"))))</f>
        <v/>
      </c>
      <c r="Y2774" s="23" t="str">
        <f aca="false">IF(AND(ISNUMBER(C2774),ISNUMBER(D2774)),D2774-C2774,"")</f>
        <v/>
      </c>
      <c r="Z2774" s="23" t="str">
        <f aca="false">IF(B2774="","",IF(MATCH(B2774,$B$2:$B$12000,0)=ROW()-1,1,0))</f>
        <v/>
      </c>
    </row>
    <row r="2775" customFormat="false" ht="15" hidden="false" customHeight="false" outlineLevel="0" collapsed="false">
      <c r="V2775" s="23" t="str">
        <f aca="false">IF(ISNUMBER(C2775),YEAR(C2775),"")</f>
        <v/>
      </c>
      <c r="W2775" s="23" t="str">
        <f aca="false">IF(ISNUMBER(C2775),MONTH(C2775),"")</f>
        <v/>
      </c>
      <c r="X2775" s="23" t="str">
        <f aca="false">IF(T2775="","",IF(T2775=0,"No discount",IF(T2775&lt;=0.2,"Low (1-20%)",IF(T2775&lt;=0.4,"Medium (21-40%)","High (&gt;40%)"))))</f>
        <v/>
      </c>
      <c r="Y2775" s="23" t="str">
        <f aca="false">IF(AND(ISNUMBER(C2775),ISNUMBER(D2775)),D2775-C2775,"")</f>
        <v/>
      </c>
      <c r="Z2775" s="23" t="str">
        <f aca="false">IF(B2775="","",IF(MATCH(B2775,$B$2:$B$12000,0)=ROW()-1,1,0))</f>
        <v/>
      </c>
    </row>
    <row r="2776" customFormat="false" ht="15" hidden="false" customHeight="false" outlineLevel="0" collapsed="false">
      <c r="V2776" s="23" t="str">
        <f aca="false">IF(ISNUMBER(C2776),YEAR(C2776),"")</f>
        <v/>
      </c>
      <c r="W2776" s="23" t="str">
        <f aca="false">IF(ISNUMBER(C2776),MONTH(C2776),"")</f>
        <v/>
      </c>
      <c r="X2776" s="23" t="str">
        <f aca="false">IF(T2776="","",IF(T2776=0,"No discount",IF(T2776&lt;=0.2,"Low (1-20%)",IF(T2776&lt;=0.4,"Medium (21-40%)","High (&gt;40%)"))))</f>
        <v/>
      </c>
      <c r="Y2776" s="23" t="str">
        <f aca="false">IF(AND(ISNUMBER(C2776),ISNUMBER(D2776)),D2776-C2776,"")</f>
        <v/>
      </c>
      <c r="Z2776" s="23" t="str">
        <f aca="false">IF(B2776="","",IF(MATCH(B2776,$B$2:$B$12000,0)=ROW()-1,1,0))</f>
        <v/>
      </c>
    </row>
    <row r="2777" customFormat="false" ht="15" hidden="false" customHeight="false" outlineLevel="0" collapsed="false">
      <c r="V2777" s="23" t="str">
        <f aca="false">IF(ISNUMBER(C2777),YEAR(C2777),"")</f>
        <v/>
      </c>
      <c r="W2777" s="23" t="str">
        <f aca="false">IF(ISNUMBER(C2777),MONTH(C2777),"")</f>
        <v/>
      </c>
      <c r="X2777" s="23" t="str">
        <f aca="false">IF(T2777="","",IF(T2777=0,"No discount",IF(T2777&lt;=0.2,"Low (1-20%)",IF(T2777&lt;=0.4,"Medium (21-40%)","High (&gt;40%)"))))</f>
        <v/>
      </c>
      <c r="Y2777" s="23" t="str">
        <f aca="false">IF(AND(ISNUMBER(C2777),ISNUMBER(D2777)),D2777-C2777,"")</f>
        <v/>
      </c>
      <c r="Z2777" s="23" t="str">
        <f aca="false">IF(B2777="","",IF(MATCH(B2777,$B$2:$B$12000,0)=ROW()-1,1,0))</f>
        <v/>
      </c>
    </row>
    <row r="2778" customFormat="false" ht="15" hidden="false" customHeight="false" outlineLevel="0" collapsed="false">
      <c r="V2778" s="23" t="str">
        <f aca="false">IF(ISNUMBER(C2778),YEAR(C2778),"")</f>
        <v/>
      </c>
      <c r="W2778" s="23" t="str">
        <f aca="false">IF(ISNUMBER(C2778),MONTH(C2778),"")</f>
        <v/>
      </c>
      <c r="X2778" s="23" t="str">
        <f aca="false">IF(T2778="","",IF(T2778=0,"No discount",IF(T2778&lt;=0.2,"Low (1-20%)",IF(T2778&lt;=0.4,"Medium (21-40%)","High (&gt;40%)"))))</f>
        <v/>
      </c>
      <c r="Y2778" s="23" t="str">
        <f aca="false">IF(AND(ISNUMBER(C2778),ISNUMBER(D2778)),D2778-C2778,"")</f>
        <v/>
      </c>
      <c r="Z2778" s="23" t="str">
        <f aca="false">IF(B2778="","",IF(MATCH(B2778,$B$2:$B$12000,0)=ROW()-1,1,0))</f>
        <v/>
      </c>
    </row>
    <row r="2779" customFormat="false" ht="15" hidden="false" customHeight="false" outlineLevel="0" collapsed="false">
      <c r="V2779" s="23" t="str">
        <f aca="false">IF(ISNUMBER(C2779),YEAR(C2779),"")</f>
        <v/>
      </c>
      <c r="W2779" s="23" t="str">
        <f aca="false">IF(ISNUMBER(C2779),MONTH(C2779),"")</f>
        <v/>
      </c>
      <c r="X2779" s="23" t="str">
        <f aca="false">IF(T2779="","",IF(T2779=0,"No discount",IF(T2779&lt;=0.2,"Low (1-20%)",IF(T2779&lt;=0.4,"Medium (21-40%)","High (&gt;40%)"))))</f>
        <v/>
      </c>
      <c r="Y2779" s="23" t="str">
        <f aca="false">IF(AND(ISNUMBER(C2779),ISNUMBER(D2779)),D2779-C2779,"")</f>
        <v/>
      </c>
      <c r="Z2779" s="23" t="str">
        <f aca="false">IF(B2779="","",IF(MATCH(B2779,$B$2:$B$12000,0)=ROW()-1,1,0))</f>
        <v/>
      </c>
    </row>
    <row r="2780" customFormat="false" ht="15" hidden="false" customHeight="false" outlineLevel="0" collapsed="false">
      <c r="V2780" s="23" t="str">
        <f aca="false">IF(ISNUMBER(C2780),YEAR(C2780),"")</f>
        <v/>
      </c>
      <c r="W2780" s="23" t="str">
        <f aca="false">IF(ISNUMBER(C2780),MONTH(C2780),"")</f>
        <v/>
      </c>
      <c r="X2780" s="23" t="str">
        <f aca="false">IF(T2780="","",IF(T2780=0,"No discount",IF(T2780&lt;=0.2,"Low (1-20%)",IF(T2780&lt;=0.4,"Medium (21-40%)","High (&gt;40%)"))))</f>
        <v/>
      </c>
      <c r="Y2780" s="23" t="str">
        <f aca="false">IF(AND(ISNUMBER(C2780),ISNUMBER(D2780)),D2780-C2780,"")</f>
        <v/>
      </c>
      <c r="Z2780" s="23" t="str">
        <f aca="false">IF(B2780="","",IF(MATCH(B2780,$B$2:$B$12000,0)=ROW()-1,1,0))</f>
        <v/>
      </c>
    </row>
    <row r="2781" customFormat="false" ht="15" hidden="false" customHeight="false" outlineLevel="0" collapsed="false">
      <c r="V2781" s="23" t="str">
        <f aca="false">IF(ISNUMBER(C2781),YEAR(C2781),"")</f>
        <v/>
      </c>
      <c r="W2781" s="23" t="str">
        <f aca="false">IF(ISNUMBER(C2781),MONTH(C2781),"")</f>
        <v/>
      </c>
      <c r="X2781" s="23" t="str">
        <f aca="false">IF(T2781="","",IF(T2781=0,"No discount",IF(T2781&lt;=0.2,"Low (1-20%)",IF(T2781&lt;=0.4,"Medium (21-40%)","High (&gt;40%)"))))</f>
        <v/>
      </c>
      <c r="Y2781" s="23" t="str">
        <f aca="false">IF(AND(ISNUMBER(C2781),ISNUMBER(D2781)),D2781-C2781,"")</f>
        <v/>
      </c>
      <c r="Z2781" s="23" t="str">
        <f aca="false">IF(B2781="","",IF(MATCH(B2781,$B$2:$B$12000,0)=ROW()-1,1,0))</f>
        <v/>
      </c>
    </row>
    <row r="2782" customFormat="false" ht="15" hidden="false" customHeight="false" outlineLevel="0" collapsed="false">
      <c r="V2782" s="23" t="str">
        <f aca="false">IF(ISNUMBER(C2782),YEAR(C2782),"")</f>
        <v/>
      </c>
      <c r="W2782" s="23" t="str">
        <f aca="false">IF(ISNUMBER(C2782),MONTH(C2782),"")</f>
        <v/>
      </c>
      <c r="X2782" s="23" t="str">
        <f aca="false">IF(T2782="","",IF(T2782=0,"No discount",IF(T2782&lt;=0.2,"Low (1-20%)",IF(T2782&lt;=0.4,"Medium (21-40%)","High (&gt;40%)"))))</f>
        <v/>
      </c>
      <c r="Y2782" s="23" t="str">
        <f aca="false">IF(AND(ISNUMBER(C2782),ISNUMBER(D2782)),D2782-C2782,"")</f>
        <v/>
      </c>
      <c r="Z2782" s="23" t="str">
        <f aca="false">IF(B2782="","",IF(MATCH(B2782,$B$2:$B$12000,0)=ROW()-1,1,0))</f>
        <v/>
      </c>
    </row>
    <row r="2783" customFormat="false" ht="15" hidden="false" customHeight="false" outlineLevel="0" collapsed="false">
      <c r="V2783" s="23" t="str">
        <f aca="false">IF(ISNUMBER(C2783),YEAR(C2783),"")</f>
        <v/>
      </c>
      <c r="W2783" s="23" t="str">
        <f aca="false">IF(ISNUMBER(C2783),MONTH(C2783),"")</f>
        <v/>
      </c>
      <c r="X2783" s="23" t="str">
        <f aca="false">IF(T2783="","",IF(T2783=0,"No discount",IF(T2783&lt;=0.2,"Low (1-20%)",IF(T2783&lt;=0.4,"Medium (21-40%)","High (&gt;40%)"))))</f>
        <v/>
      </c>
      <c r="Y2783" s="23" t="str">
        <f aca="false">IF(AND(ISNUMBER(C2783),ISNUMBER(D2783)),D2783-C2783,"")</f>
        <v/>
      </c>
      <c r="Z2783" s="23" t="str">
        <f aca="false">IF(B2783="","",IF(MATCH(B2783,$B$2:$B$12000,0)=ROW()-1,1,0))</f>
        <v/>
      </c>
    </row>
    <row r="2784" customFormat="false" ht="15" hidden="false" customHeight="false" outlineLevel="0" collapsed="false">
      <c r="V2784" s="23" t="str">
        <f aca="false">IF(ISNUMBER(C2784),YEAR(C2784),"")</f>
        <v/>
      </c>
      <c r="W2784" s="23" t="str">
        <f aca="false">IF(ISNUMBER(C2784),MONTH(C2784),"")</f>
        <v/>
      </c>
      <c r="X2784" s="23" t="str">
        <f aca="false">IF(T2784="","",IF(T2784=0,"No discount",IF(T2784&lt;=0.2,"Low (1-20%)",IF(T2784&lt;=0.4,"Medium (21-40%)","High (&gt;40%)"))))</f>
        <v/>
      </c>
      <c r="Y2784" s="23" t="str">
        <f aca="false">IF(AND(ISNUMBER(C2784),ISNUMBER(D2784)),D2784-C2784,"")</f>
        <v/>
      </c>
      <c r="Z2784" s="23" t="str">
        <f aca="false">IF(B2784="","",IF(MATCH(B2784,$B$2:$B$12000,0)=ROW()-1,1,0))</f>
        <v/>
      </c>
    </row>
    <row r="2785" customFormat="false" ht="15" hidden="false" customHeight="false" outlineLevel="0" collapsed="false">
      <c r="V2785" s="23" t="str">
        <f aca="false">IF(ISNUMBER(C2785),YEAR(C2785),"")</f>
        <v/>
      </c>
      <c r="W2785" s="23" t="str">
        <f aca="false">IF(ISNUMBER(C2785),MONTH(C2785),"")</f>
        <v/>
      </c>
      <c r="X2785" s="23" t="str">
        <f aca="false">IF(T2785="","",IF(T2785=0,"No discount",IF(T2785&lt;=0.2,"Low (1-20%)",IF(T2785&lt;=0.4,"Medium (21-40%)","High (&gt;40%)"))))</f>
        <v/>
      </c>
      <c r="Y2785" s="23" t="str">
        <f aca="false">IF(AND(ISNUMBER(C2785),ISNUMBER(D2785)),D2785-C2785,"")</f>
        <v/>
      </c>
      <c r="Z2785" s="23" t="str">
        <f aca="false">IF(B2785="","",IF(MATCH(B2785,$B$2:$B$12000,0)=ROW()-1,1,0))</f>
        <v/>
      </c>
    </row>
    <row r="2786" customFormat="false" ht="15" hidden="false" customHeight="false" outlineLevel="0" collapsed="false">
      <c r="V2786" s="23" t="str">
        <f aca="false">IF(ISNUMBER(C2786),YEAR(C2786),"")</f>
        <v/>
      </c>
      <c r="W2786" s="23" t="str">
        <f aca="false">IF(ISNUMBER(C2786),MONTH(C2786),"")</f>
        <v/>
      </c>
      <c r="X2786" s="23" t="str">
        <f aca="false">IF(T2786="","",IF(T2786=0,"No discount",IF(T2786&lt;=0.2,"Low (1-20%)",IF(T2786&lt;=0.4,"Medium (21-40%)","High (&gt;40%)"))))</f>
        <v/>
      </c>
      <c r="Y2786" s="23" t="str">
        <f aca="false">IF(AND(ISNUMBER(C2786),ISNUMBER(D2786)),D2786-C2786,"")</f>
        <v/>
      </c>
      <c r="Z2786" s="23" t="str">
        <f aca="false">IF(B2786="","",IF(MATCH(B2786,$B$2:$B$12000,0)=ROW()-1,1,0))</f>
        <v/>
      </c>
    </row>
    <row r="2787" customFormat="false" ht="15" hidden="false" customHeight="false" outlineLevel="0" collapsed="false">
      <c r="V2787" s="23" t="str">
        <f aca="false">IF(ISNUMBER(C2787),YEAR(C2787),"")</f>
        <v/>
      </c>
      <c r="W2787" s="23" t="str">
        <f aca="false">IF(ISNUMBER(C2787),MONTH(C2787),"")</f>
        <v/>
      </c>
      <c r="X2787" s="23" t="str">
        <f aca="false">IF(T2787="","",IF(T2787=0,"No discount",IF(T2787&lt;=0.2,"Low (1-20%)",IF(T2787&lt;=0.4,"Medium (21-40%)","High (&gt;40%)"))))</f>
        <v/>
      </c>
      <c r="Y2787" s="23" t="str">
        <f aca="false">IF(AND(ISNUMBER(C2787),ISNUMBER(D2787)),D2787-C2787,"")</f>
        <v/>
      </c>
      <c r="Z2787" s="23" t="str">
        <f aca="false">IF(B2787="","",IF(MATCH(B2787,$B$2:$B$12000,0)=ROW()-1,1,0))</f>
        <v/>
      </c>
    </row>
    <row r="2788" customFormat="false" ht="15" hidden="false" customHeight="false" outlineLevel="0" collapsed="false">
      <c r="V2788" s="23" t="str">
        <f aca="false">IF(ISNUMBER(C2788),YEAR(C2788),"")</f>
        <v/>
      </c>
      <c r="W2788" s="23" t="str">
        <f aca="false">IF(ISNUMBER(C2788),MONTH(C2788),"")</f>
        <v/>
      </c>
      <c r="X2788" s="23" t="str">
        <f aca="false">IF(T2788="","",IF(T2788=0,"No discount",IF(T2788&lt;=0.2,"Low (1-20%)",IF(T2788&lt;=0.4,"Medium (21-40%)","High (&gt;40%)"))))</f>
        <v/>
      </c>
      <c r="Y2788" s="23" t="str">
        <f aca="false">IF(AND(ISNUMBER(C2788),ISNUMBER(D2788)),D2788-C2788,"")</f>
        <v/>
      </c>
      <c r="Z2788" s="23" t="str">
        <f aca="false">IF(B2788="","",IF(MATCH(B2788,$B$2:$B$12000,0)=ROW()-1,1,0))</f>
        <v/>
      </c>
    </row>
    <row r="2789" customFormat="false" ht="15" hidden="false" customHeight="false" outlineLevel="0" collapsed="false">
      <c r="V2789" s="23" t="str">
        <f aca="false">IF(ISNUMBER(C2789),YEAR(C2789),"")</f>
        <v/>
      </c>
      <c r="W2789" s="23" t="str">
        <f aca="false">IF(ISNUMBER(C2789),MONTH(C2789),"")</f>
        <v/>
      </c>
      <c r="X2789" s="23" t="str">
        <f aca="false">IF(T2789="","",IF(T2789=0,"No discount",IF(T2789&lt;=0.2,"Low (1-20%)",IF(T2789&lt;=0.4,"Medium (21-40%)","High (&gt;40%)"))))</f>
        <v/>
      </c>
      <c r="Y2789" s="23" t="str">
        <f aca="false">IF(AND(ISNUMBER(C2789),ISNUMBER(D2789)),D2789-C2789,"")</f>
        <v/>
      </c>
      <c r="Z2789" s="23" t="str">
        <f aca="false">IF(B2789="","",IF(MATCH(B2789,$B$2:$B$12000,0)=ROW()-1,1,0))</f>
        <v/>
      </c>
    </row>
    <row r="2790" customFormat="false" ht="15" hidden="false" customHeight="false" outlineLevel="0" collapsed="false">
      <c r="V2790" s="23" t="str">
        <f aca="false">IF(ISNUMBER(C2790),YEAR(C2790),"")</f>
        <v/>
      </c>
      <c r="W2790" s="23" t="str">
        <f aca="false">IF(ISNUMBER(C2790),MONTH(C2790),"")</f>
        <v/>
      </c>
      <c r="X2790" s="23" t="str">
        <f aca="false">IF(T2790="","",IF(T2790=0,"No discount",IF(T2790&lt;=0.2,"Low (1-20%)",IF(T2790&lt;=0.4,"Medium (21-40%)","High (&gt;40%)"))))</f>
        <v/>
      </c>
      <c r="Y2790" s="23" t="str">
        <f aca="false">IF(AND(ISNUMBER(C2790),ISNUMBER(D2790)),D2790-C2790,"")</f>
        <v/>
      </c>
      <c r="Z2790" s="23" t="str">
        <f aca="false">IF(B2790="","",IF(MATCH(B2790,$B$2:$B$12000,0)=ROW()-1,1,0))</f>
        <v/>
      </c>
    </row>
    <row r="2791" customFormat="false" ht="15" hidden="false" customHeight="false" outlineLevel="0" collapsed="false">
      <c r="V2791" s="23" t="str">
        <f aca="false">IF(ISNUMBER(C2791),YEAR(C2791),"")</f>
        <v/>
      </c>
      <c r="W2791" s="23" t="str">
        <f aca="false">IF(ISNUMBER(C2791),MONTH(C2791),"")</f>
        <v/>
      </c>
      <c r="X2791" s="23" t="str">
        <f aca="false">IF(T2791="","",IF(T2791=0,"No discount",IF(T2791&lt;=0.2,"Low (1-20%)",IF(T2791&lt;=0.4,"Medium (21-40%)","High (&gt;40%)"))))</f>
        <v/>
      </c>
      <c r="Y2791" s="23" t="str">
        <f aca="false">IF(AND(ISNUMBER(C2791),ISNUMBER(D2791)),D2791-C2791,"")</f>
        <v/>
      </c>
      <c r="Z2791" s="23" t="str">
        <f aca="false">IF(B2791="","",IF(MATCH(B2791,$B$2:$B$12000,0)=ROW()-1,1,0))</f>
        <v/>
      </c>
    </row>
    <row r="2792" customFormat="false" ht="15" hidden="false" customHeight="false" outlineLevel="0" collapsed="false">
      <c r="V2792" s="23" t="str">
        <f aca="false">IF(ISNUMBER(C2792),YEAR(C2792),"")</f>
        <v/>
      </c>
      <c r="W2792" s="23" t="str">
        <f aca="false">IF(ISNUMBER(C2792),MONTH(C2792),"")</f>
        <v/>
      </c>
      <c r="X2792" s="23" t="str">
        <f aca="false">IF(T2792="","",IF(T2792=0,"No discount",IF(T2792&lt;=0.2,"Low (1-20%)",IF(T2792&lt;=0.4,"Medium (21-40%)","High (&gt;40%)"))))</f>
        <v/>
      </c>
      <c r="Y2792" s="23" t="str">
        <f aca="false">IF(AND(ISNUMBER(C2792),ISNUMBER(D2792)),D2792-C2792,"")</f>
        <v/>
      </c>
      <c r="Z2792" s="23" t="str">
        <f aca="false">IF(B2792="","",IF(MATCH(B2792,$B$2:$B$12000,0)=ROW()-1,1,0))</f>
        <v/>
      </c>
    </row>
    <row r="2793" customFormat="false" ht="15" hidden="false" customHeight="false" outlineLevel="0" collapsed="false">
      <c r="V2793" s="23" t="str">
        <f aca="false">IF(ISNUMBER(C2793),YEAR(C2793),"")</f>
        <v/>
      </c>
      <c r="W2793" s="23" t="str">
        <f aca="false">IF(ISNUMBER(C2793),MONTH(C2793),"")</f>
        <v/>
      </c>
      <c r="X2793" s="23" t="str">
        <f aca="false">IF(T2793="","",IF(T2793=0,"No discount",IF(T2793&lt;=0.2,"Low (1-20%)",IF(T2793&lt;=0.4,"Medium (21-40%)","High (&gt;40%)"))))</f>
        <v/>
      </c>
      <c r="Y2793" s="23" t="str">
        <f aca="false">IF(AND(ISNUMBER(C2793),ISNUMBER(D2793)),D2793-C2793,"")</f>
        <v/>
      </c>
      <c r="Z2793" s="23" t="str">
        <f aca="false">IF(B2793="","",IF(MATCH(B2793,$B$2:$B$12000,0)=ROW()-1,1,0))</f>
        <v/>
      </c>
    </row>
    <row r="2794" customFormat="false" ht="15" hidden="false" customHeight="false" outlineLevel="0" collapsed="false">
      <c r="V2794" s="23" t="str">
        <f aca="false">IF(ISNUMBER(C2794),YEAR(C2794),"")</f>
        <v/>
      </c>
      <c r="W2794" s="23" t="str">
        <f aca="false">IF(ISNUMBER(C2794),MONTH(C2794),"")</f>
        <v/>
      </c>
      <c r="X2794" s="23" t="str">
        <f aca="false">IF(T2794="","",IF(T2794=0,"No discount",IF(T2794&lt;=0.2,"Low (1-20%)",IF(T2794&lt;=0.4,"Medium (21-40%)","High (&gt;40%)"))))</f>
        <v/>
      </c>
      <c r="Y2794" s="23" t="str">
        <f aca="false">IF(AND(ISNUMBER(C2794),ISNUMBER(D2794)),D2794-C2794,"")</f>
        <v/>
      </c>
      <c r="Z2794" s="23" t="str">
        <f aca="false">IF(B2794="","",IF(MATCH(B2794,$B$2:$B$12000,0)=ROW()-1,1,0))</f>
        <v/>
      </c>
    </row>
    <row r="2795" customFormat="false" ht="15" hidden="false" customHeight="false" outlineLevel="0" collapsed="false">
      <c r="V2795" s="23" t="str">
        <f aca="false">IF(ISNUMBER(C2795),YEAR(C2795),"")</f>
        <v/>
      </c>
      <c r="W2795" s="23" t="str">
        <f aca="false">IF(ISNUMBER(C2795),MONTH(C2795),"")</f>
        <v/>
      </c>
      <c r="X2795" s="23" t="str">
        <f aca="false">IF(T2795="","",IF(T2795=0,"No discount",IF(T2795&lt;=0.2,"Low (1-20%)",IF(T2795&lt;=0.4,"Medium (21-40%)","High (&gt;40%)"))))</f>
        <v/>
      </c>
      <c r="Y2795" s="23" t="str">
        <f aca="false">IF(AND(ISNUMBER(C2795),ISNUMBER(D2795)),D2795-C2795,"")</f>
        <v/>
      </c>
      <c r="Z2795" s="23" t="str">
        <f aca="false">IF(B2795="","",IF(MATCH(B2795,$B$2:$B$12000,0)=ROW()-1,1,0))</f>
        <v/>
      </c>
    </row>
    <row r="2796" customFormat="false" ht="15" hidden="false" customHeight="false" outlineLevel="0" collapsed="false">
      <c r="V2796" s="23" t="str">
        <f aca="false">IF(ISNUMBER(C2796),YEAR(C2796),"")</f>
        <v/>
      </c>
      <c r="W2796" s="23" t="str">
        <f aca="false">IF(ISNUMBER(C2796),MONTH(C2796),"")</f>
        <v/>
      </c>
      <c r="X2796" s="23" t="str">
        <f aca="false">IF(T2796="","",IF(T2796=0,"No discount",IF(T2796&lt;=0.2,"Low (1-20%)",IF(T2796&lt;=0.4,"Medium (21-40%)","High (&gt;40%)"))))</f>
        <v/>
      </c>
      <c r="Y2796" s="23" t="str">
        <f aca="false">IF(AND(ISNUMBER(C2796),ISNUMBER(D2796)),D2796-C2796,"")</f>
        <v/>
      </c>
      <c r="Z2796" s="23" t="str">
        <f aca="false">IF(B2796="","",IF(MATCH(B2796,$B$2:$B$12000,0)=ROW()-1,1,0))</f>
        <v/>
      </c>
    </row>
    <row r="2797" customFormat="false" ht="15" hidden="false" customHeight="false" outlineLevel="0" collapsed="false">
      <c r="V2797" s="23" t="str">
        <f aca="false">IF(ISNUMBER(C2797),YEAR(C2797),"")</f>
        <v/>
      </c>
      <c r="W2797" s="23" t="str">
        <f aca="false">IF(ISNUMBER(C2797),MONTH(C2797),"")</f>
        <v/>
      </c>
      <c r="X2797" s="23" t="str">
        <f aca="false">IF(T2797="","",IF(T2797=0,"No discount",IF(T2797&lt;=0.2,"Low (1-20%)",IF(T2797&lt;=0.4,"Medium (21-40%)","High (&gt;40%)"))))</f>
        <v/>
      </c>
      <c r="Y2797" s="23" t="str">
        <f aca="false">IF(AND(ISNUMBER(C2797),ISNUMBER(D2797)),D2797-C2797,"")</f>
        <v/>
      </c>
      <c r="Z2797" s="23" t="str">
        <f aca="false">IF(B2797="","",IF(MATCH(B2797,$B$2:$B$12000,0)=ROW()-1,1,0))</f>
        <v/>
      </c>
    </row>
    <row r="2798" customFormat="false" ht="15" hidden="false" customHeight="false" outlineLevel="0" collapsed="false">
      <c r="V2798" s="23" t="str">
        <f aca="false">IF(ISNUMBER(C2798),YEAR(C2798),"")</f>
        <v/>
      </c>
      <c r="W2798" s="23" t="str">
        <f aca="false">IF(ISNUMBER(C2798),MONTH(C2798),"")</f>
        <v/>
      </c>
      <c r="X2798" s="23" t="str">
        <f aca="false">IF(T2798="","",IF(T2798=0,"No discount",IF(T2798&lt;=0.2,"Low (1-20%)",IF(T2798&lt;=0.4,"Medium (21-40%)","High (&gt;40%)"))))</f>
        <v/>
      </c>
      <c r="Y2798" s="23" t="str">
        <f aca="false">IF(AND(ISNUMBER(C2798),ISNUMBER(D2798)),D2798-C2798,"")</f>
        <v/>
      </c>
      <c r="Z2798" s="23" t="str">
        <f aca="false">IF(B2798="","",IF(MATCH(B2798,$B$2:$B$12000,0)=ROW()-1,1,0))</f>
        <v/>
      </c>
    </row>
    <row r="2799" customFormat="false" ht="15" hidden="false" customHeight="false" outlineLevel="0" collapsed="false">
      <c r="V2799" s="23" t="str">
        <f aca="false">IF(ISNUMBER(C2799),YEAR(C2799),"")</f>
        <v/>
      </c>
      <c r="W2799" s="23" t="str">
        <f aca="false">IF(ISNUMBER(C2799),MONTH(C2799),"")</f>
        <v/>
      </c>
      <c r="X2799" s="23" t="str">
        <f aca="false">IF(T2799="","",IF(T2799=0,"No discount",IF(T2799&lt;=0.2,"Low (1-20%)",IF(T2799&lt;=0.4,"Medium (21-40%)","High (&gt;40%)"))))</f>
        <v/>
      </c>
      <c r="Y2799" s="23" t="str">
        <f aca="false">IF(AND(ISNUMBER(C2799),ISNUMBER(D2799)),D2799-C2799,"")</f>
        <v/>
      </c>
      <c r="Z2799" s="23" t="str">
        <f aca="false">IF(B2799="","",IF(MATCH(B2799,$B$2:$B$12000,0)=ROW()-1,1,0))</f>
        <v/>
      </c>
    </row>
    <row r="2800" customFormat="false" ht="15" hidden="false" customHeight="false" outlineLevel="0" collapsed="false">
      <c r="V2800" s="23" t="str">
        <f aca="false">IF(ISNUMBER(C2800),YEAR(C2800),"")</f>
        <v/>
      </c>
      <c r="W2800" s="23" t="str">
        <f aca="false">IF(ISNUMBER(C2800),MONTH(C2800),"")</f>
        <v/>
      </c>
      <c r="X2800" s="23" t="str">
        <f aca="false">IF(T2800="","",IF(T2800=0,"No discount",IF(T2800&lt;=0.2,"Low (1-20%)",IF(T2800&lt;=0.4,"Medium (21-40%)","High (&gt;40%)"))))</f>
        <v/>
      </c>
      <c r="Y2800" s="23" t="str">
        <f aca="false">IF(AND(ISNUMBER(C2800),ISNUMBER(D2800)),D2800-C2800,"")</f>
        <v/>
      </c>
      <c r="Z2800" s="23" t="str">
        <f aca="false">IF(B2800="","",IF(MATCH(B2800,$B$2:$B$12000,0)=ROW()-1,1,0))</f>
        <v/>
      </c>
    </row>
    <row r="2801" customFormat="false" ht="15" hidden="false" customHeight="false" outlineLevel="0" collapsed="false">
      <c r="V2801" s="23" t="str">
        <f aca="false">IF(ISNUMBER(C2801),YEAR(C2801),"")</f>
        <v/>
      </c>
      <c r="W2801" s="23" t="str">
        <f aca="false">IF(ISNUMBER(C2801),MONTH(C2801),"")</f>
        <v/>
      </c>
      <c r="X2801" s="23" t="str">
        <f aca="false">IF(T2801="","",IF(T2801=0,"No discount",IF(T2801&lt;=0.2,"Low (1-20%)",IF(T2801&lt;=0.4,"Medium (21-40%)","High (&gt;40%)"))))</f>
        <v/>
      </c>
      <c r="Y2801" s="23" t="str">
        <f aca="false">IF(AND(ISNUMBER(C2801),ISNUMBER(D2801)),D2801-C2801,"")</f>
        <v/>
      </c>
      <c r="Z2801" s="23" t="str">
        <f aca="false">IF(B2801="","",IF(MATCH(B2801,$B$2:$B$12000,0)=ROW()-1,1,0))</f>
        <v/>
      </c>
    </row>
    <row r="2802" customFormat="false" ht="15" hidden="false" customHeight="false" outlineLevel="0" collapsed="false">
      <c r="V2802" s="23" t="str">
        <f aca="false">IF(ISNUMBER(C2802),YEAR(C2802),"")</f>
        <v/>
      </c>
      <c r="W2802" s="23" t="str">
        <f aca="false">IF(ISNUMBER(C2802),MONTH(C2802),"")</f>
        <v/>
      </c>
      <c r="X2802" s="23" t="str">
        <f aca="false">IF(T2802="","",IF(T2802=0,"No discount",IF(T2802&lt;=0.2,"Low (1-20%)",IF(T2802&lt;=0.4,"Medium (21-40%)","High (&gt;40%)"))))</f>
        <v/>
      </c>
      <c r="Y2802" s="23" t="str">
        <f aca="false">IF(AND(ISNUMBER(C2802),ISNUMBER(D2802)),D2802-C2802,"")</f>
        <v/>
      </c>
      <c r="Z2802" s="23" t="str">
        <f aca="false">IF(B2802="","",IF(MATCH(B2802,$B$2:$B$12000,0)=ROW()-1,1,0))</f>
        <v/>
      </c>
    </row>
    <row r="2803" customFormat="false" ht="15" hidden="false" customHeight="false" outlineLevel="0" collapsed="false">
      <c r="V2803" s="23" t="str">
        <f aca="false">IF(ISNUMBER(C2803),YEAR(C2803),"")</f>
        <v/>
      </c>
      <c r="W2803" s="23" t="str">
        <f aca="false">IF(ISNUMBER(C2803),MONTH(C2803),"")</f>
        <v/>
      </c>
      <c r="X2803" s="23" t="str">
        <f aca="false">IF(T2803="","",IF(T2803=0,"No discount",IF(T2803&lt;=0.2,"Low (1-20%)",IF(T2803&lt;=0.4,"Medium (21-40%)","High (&gt;40%)"))))</f>
        <v/>
      </c>
      <c r="Y2803" s="23" t="str">
        <f aca="false">IF(AND(ISNUMBER(C2803),ISNUMBER(D2803)),D2803-C2803,"")</f>
        <v/>
      </c>
      <c r="Z2803" s="23" t="str">
        <f aca="false">IF(B2803="","",IF(MATCH(B2803,$B$2:$B$12000,0)=ROW()-1,1,0))</f>
        <v/>
      </c>
    </row>
    <row r="2804" customFormat="false" ht="15" hidden="false" customHeight="false" outlineLevel="0" collapsed="false">
      <c r="V2804" s="23" t="str">
        <f aca="false">IF(ISNUMBER(C2804),YEAR(C2804),"")</f>
        <v/>
      </c>
      <c r="W2804" s="23" t="str">
        <f aca="false">IF(ISNUMBER(C2804),MONTH(C2804),"")</f>
        <v/>
      </c>
      <c r="X2804" s="23" t="str">
        <f aca="false">IF(T2804="","",IF(T2804=0,"No discount",IF(T2804&lt;=0.2,"Low (1-20%)",IF(T2804&lt;=0.4,"Medium (21-40%)","High (&gt;40%)"))))</f>
        <v/>
      </c>
      <c r="Y2804" s="23" t="str">
        <f aca="false">IF(AND(ISNUMBER(C2804),ISNUMBER(D2804)),D2804-C2804,"")</f>
        <v/>
      </c>
      <c r="Z2804" s="23" t="str">
        <f aca="false">IF(B2804="","",IF(MATCH(B2804,$B$2:$B$12000,0)=ROW()-1,1,0))</f>
        <v/>
      </c>
    </row>
    <row r="2805" customFormat="false" ht="15" hidden="false" customHeight="false" outlineLevel="0" collapsed="false">
      <c r="V2805" s="23" t="str">
        <f aca="false">IF(ISNUMBER(C2805),YEAR(C2805),"")</f>
        <v/>
      </c>
      <c r="W2805" s="23" t="str">
        <f aca="false">IF(ISNUMBER(C2805),MONTH(C2805),"")</f>
        <v/>
      </c>
      <c r="X2805" s="23" t="str">
        <f aca="false">IF(T2805="","",IF(T2805=0,"No discount",IF(T2805&lt;=0.2,"Low (1-20%)",IF(T2805&lt;=0.4,"Medium (21-40%)","High (&gt;40%)"))))</f>
        <v/>
      </c>
      <c r="Y2805" s="23" t="str">
        <f aca="false">IF(AND(ISNUMBER(C2805),ISNUMBER(D2805)),D2805-C2805,"")</f>
        <v/>
      </c>
      <c r="Z2805" s="23" t="str">
        <f aca="false">IF(B2805="","",IF(MATCH(B2805,$B$2:$B$12000,0)=ROW()-1,1,0))</f>
        <v/>
      </c>
    </row>
    <row r="2806" customFormat="false" ht="15" hidden="false" customHeight="false" outlineLevel="0" collapsed="false">
      <c r="V2806" s="23" t="str">
        <f aca="false">IF(ISNUMBER(C2806),YEAR(C2806),"")</f>
        <v/>
      </c>
      <c r="W2806" s="23" t="str">
        <f aca="false">IF(ISNUMBER(C2806),MONTH(C2806),"")</f>
        <v/>
      </c>
      <c r="X2806" s="23" t="str">
        <f aca="false">IF(T2806="","",IF(T2806=0,"No discount",IF(T2806&lt;=0.2,"Low (1-20%)",IF(T2806&lt;=0.4,"Medium (21-40%)","High (&gt;40%)"))))</f>
        <v/>
      </c>
      <c r="Y2806" s="23" t="str">
        <f aca="false">IF(AND(ISNUMBER(C2806),ISNUMBER(D2806)),D2806-C2806,"")</f>
        <v/>
      </c>
      <c r="Z2806" s="23" t="str">
        <f aca="false">IF(B2806="","",IF(MATCH(B2806,$B$2:$B$12000,0)=ROW()-1,1,0))</f>
        <v/>
      </c>
    </row>
    <row r="2807" customFormat="false" ht="15" hidden="false" customHeight="false" outlineLevel="0" collapsed="false">
      <c r="V2807" s="23" t="str">
        <f aca="false">IF(ISNUMBER(C2807),YEAR(C2807),"")</f>
        <v/>
      </c>
      <c r="W2807" s="23" t="str">
        <f aca="false">IF(ISNUMBER(C2807),MONTH(C2807),"")</f>
        <v/>
      </c>
      <c r="X2807" s="23" t="str">
        <f aca="false">IF(T2807="","",IF(T2807=0,"No discount",IF(T2807&lt;=0.2,"Low (1-20%)",IF(T2807&lt;=0.4,"Medium (21-40%)","High (&gt;40%)"))))</f>
        <v/>
      </c>
      <c r="Y2807" s="23" t="str">
        <f aca="false">IF(AND(ISNUMBER(C2807),ISNUMBER(D2807)),D2807-C2807,"")</f>
        <v/>
      </c>
      <c r="Z2807" s="23" t="str">
        <f aca="false">IF(B2807="","",IF(MATCH(B2807,$B$2:$B$12000,0)=ROW()-1,1,0))</f>
        <v/>
      </c>
    </row>
    <row r="2808" customFormat="false" ht="15" hidden="false" customHeight="false" outlineLevel="0" collapsed="false">
      <c r="V2808" s="23" t="str">
        <f aca="false">IF(ISNUMBER(C2808),YEAR(C2808),"")</f>
        <v/>
      </c>
      <c r="W2808" s="23" t="str">
        <f aca="false">IF(ISNUMBER(C2808),MONTH(C2808),"")</f>
        <v/>
      </c>
      <c r="X2808" s="23" t="str">
        <f aca="false">IF(T2808="","",IF(T2808=0,"No discount",IF(T2808&lt;=0.2,"Low (1-20%)",IF(T2808&lt;=0.4,"Medium (21-40%)","High (&gt;40%)"))))</f>
        <v/>
      </c>
      <c r="Y2808" s="23" t="str">
        <f aca="false">IF(AND(ISNUMBER(C2808),ISNUMBER(D2808)),D2808-C2808,"")</f>
        <v/>
      </c>
      <c r="Z2808" s="23" t="str">
        <f aca="false">IF(B2808="","",IF(MATCH(B2808,$B$2:$B$12000,0)=ROW()-1,1,0))</f>
        <v/>
      </c>
    </row>
    <row r="2809" customFormat="false" ht="15" hidden="false" customHeight="false" outlineLevel="0" collapsed="false">
      <c r="V2809" s="23" t="str">
        <f aca="false">IF(ISNUMBER(C2809),YEAR(C2809),"")</f>
        <v/>
      </c>
      <c r="W2809" s="23" t="str">
        <f aca="false">IF(ISNUMBER(C2809),MONTH(C2809),"")</f>
        <v/>
      </c>
      <c r="X2809" s="23" t="str">
        <f aca="false">IF(T2809="","",IF(T2809=0,"No discount",IF(T2809&lt;=0.2,"Low (1-20%)",IF(T2809&lt;=0.4,"Medium (21-40%)","High (&gt;40%)"))))</f>
        <v/>
      </c>
      <c r="Y2809" s="23" t="str">
        <f aca="false">IF(AND(ISNUMBER(C2809),ISNUMBER(D2809)),D2809-C2809,"")</f>
        <v/>
      </c>
      <c r="Z2809" s="23" t="str">
        <f aca="false">IF(B2809="","",IF(MATCH(B2809,$B$2:$B$12000,0)=ROW()-1,1,0))</f>
        <v/>
      </c>
    </row>
    <row r="2810" customFormat="false" ht="15" hidden="false" customHeight="false" outlineLevel="0" collapsed="false">
      <c r="V2810" s="23" t="str">
        <f aca="false">IF(ISNUMBER(C2810),YEAR(C2810),"")</f>
        <v/>
      </c>
      <c r="W2810" s="23" t="str">
        <f aca="false">IF(ISNUMBER(C2810),MONTH(C2810),"")</f>
        <v/>
      </c>
      <c r="X2810" s="23" t="str">
        <f aca="false">IF(T2810="","",IF(T2810=0,"No discount",IF(T2810&lt;=0.2,"Low (1-20%)",IF(T2810&lt;=0.4,"Medium (21-40%)","High (&gt;40%)"))))</f>
        <v/>
      </c>
      <c r="Y2810" s="23" t="str">
        <f aca="false">IF(AND(ISNUMBER(C2810),ISNUMBER(D2810)),D2810-C2810,"")</f>
        <v/>
      </c>
      <c r="Z2810" s="23" t="str">
        <f aca="false">IF(B2810="","",IF(MATCH(B2810,$B$2:$B$12000,0)=ROW()-1,1,0))</f>
        <v/>
      </c>
    </row>
    <row r="2811" customFormat="false" ht="15" hidden="false" customHeight="false" outlineLevel="0" collapsed="false">
      <c r="V2811" s="23" t="str">
        <f aca="false">IF(ISNUMBER(C2811),YEAR(C2811),"")</f>
        <v/>
      </c>
      <c r="W2811" s="23" t="str">
        <f aca="false">IF(ISNUMBER(C2811),MONTH(C2811),"")</f>
        <v/>
      </c>
      <c r="X2811" s="23" t="str">
        <f aca="false">IF(T2811="","",IF(T2811=0,"No discount",IF(T2811&lt;=0.2,"Low (1-20%)",IF(T2811&lt;=0.4,"Medium (21-40%)","High (&gt;40%)"))))</f>
        <v/>
      </c>
      <c r="Y2811" s="23" t="str">
        <f aca="false">IF(AND(ISNUMBER(C2811),ISNUMBER(D2811)),D2811-C2811,"")</f>
        <v/>
      </c>
      <c r="Z2811" s="23" t="str">
        <f aca="false">IF(B2811="","",IF(MATCH(B2811,$B$2:$B$12000,0)=ROW()-1,1,0))</f>
        <v/>
      </c>
    </row>
    <row r="2812" customFormat="false" ht="15" hidden="false" customHeight="false" outlineLevel="0" collapsed="false">
      <c r="V2812" s="23" t="str">
        <f aca="false">IF(ISNUMBER(C2812),YEAR(C2812),"")</f>
        <v/>
      </c>
      <c r="W2812" s="23" t="str">
        <f aca="false">IF(ISNUMBER(C2812),MONTH(C2812),"")</f>
        <v/>
      </c>
      <c r="X2812" s="23" t="str">
        <f aca="false">IF(T2812="","",IF(T2812=0,"No discount",IF(T2812&lt;=0.2,"Low (1-20%)",IF(T2812&lt;=0.4,"Medium (21-40%)","High (&gt;40%)"))))</f>
        <v/>
      </c>
      <c r="Y2812" s="23" t="str">
        <f aca="false">IF(AND(ISNUMBER(C2812),ISNUMBER(D2812)),D2812-C2812,"")</f>
        <v/>
      </c>
      <c r="Z2812" s="23" t="str">
        <f aca="false">IF(B2812="","",IF(MATCH(B2812,$B$2:$B$12000,0)=ROW()-1,1,0))</f>
        <v/>
      </c>
    </row>
    <row r="2813" customFormat="false" ht="15" hidden="false" customHeight="false" outlineLevel="0" collapsed="false">
      <c r="V2813" s="23" t="str">
        <f aca="false">IF(ISNUMBER(C2813),YEAR(C2813),"")</f>
        <v/>
      </c>
      <c r="W2813" s="23" t="str">
        <f aca="false">IF(ISNUMBER(C2813),MONTH(C2813),"")</f>
        <v/>
      </c>
      <c r="X2813" s="23" t="str">
        <f aca="false">IF(T2813="","",IF(T2813=0,"No discount",IF(T2813&lt;=0.2,"Low (1-20%)",IF(T2813&lt;=0.4,"Medium (21-40%)","High (&gt;40%)"))))</f>
        <v/>
      </c>
      <c r="Y2813" s="23" t="str">
        <f aca="false">IF(AND(ISNUMBER(C2813),ISNUMBER(D2813)),D2813-C2813,"")</f>
        <v/>
      </c>
      <c r="Z2813" s="23" t="str">
        <f aca="false">IF(B2813="","",IF(MATCH(B2813,$B$2:$B$12000,0)=ROW()-1,1,0))</f>
        <v/>
      </c>
    </row>
    <row r="2814" customFormat="false" ht="15" hidden="false" customHeight="false" outlineLevel="0" collapsed="false">
      <c r="V2814" s="23" t="str">
        <f aca="false">IF(ISNUMBER(C2814),YEAR(C2814),"")</f>
        <v/>
      </c>
      <c r="W2814" s="23" t="str">
        <f aca="false">IF(ISNUMBER(C2814),MONTH(C2814),"")</f>
        <v/>
      </c>
      <c r="X2814" s="23" t="str">
        <f aca="false">IF(T2814="","",IF(T2814=0,"No discount",IF(T2814&lt;=0.2,"Low (1-20%)",IF(T2814&lt;=0.4,"Medium (21-40%)","High (&gt;40%)"))))</f>
        <v/>
      </c>
      <c r="Y2814" s="23" t="str">
        <f aca="false">IF(AND(ISNUMBER(C2814),ISNUMBER(D2814)),D2814-C2814,"")</f>
        <v/>
      </c>
      <c r="Z2814" s="23" t="str">
        <f aca="false">IF(B2814="","",IF(MATCH(B2814,$B$2:$B$12000,0)=ROW()-1,1,0))</f>
        <v/>
      </c>
    </row>
    <row r="2815" customFormat="false" ht="15" hidden="false" customHeight="false" outlineLevel="0" collapsed="false">
      <c r="V2815" s="23" t="str">
        <f aca="false">IF(ISNUMBER(C2815),YEAR(C2815),"")</f>
        <v/>
      </c>
      <c r="W2815" s="23" t="str">
        <f aca="false">IF(ISNUMBER(C2815),MONTH(C2815),"")</f>
        <v/>
      </c>
      <c r="X2815" s="23" t="str">
        <f aca="false">IF(T2815="","",IF(T2815=0,"No discount",IF(T2815&lt;=0.2,"Low (1-20%)",IF(T2815&lt;=0.4,"Medium (21-40%)","High (&gt;40%)"))))</f>
        <v/>
      </c>
      <c r="Y2815" s="23" t="str">
        <f aca="false">IF(AND(ISNUMBER(C2815),ISNUMBER(D2815)),D2815-C2815,"")</f>
        <v/>
      </c>
      <c r="Z2815" s="23" t="str">
        <f aca="false">IF(B2815="","",IF(MATCH(B2815,$B$2:$B$12000,0)=ROW()-1,1,0))</f>
        <v/>
      </c>
    </row>
    <row r="2816" customFormat="false" ht="15" hidden="false" customHeight="false" outlineLevel="0" collapsed="false">
      <c r="V2816" s="23" t="str">
        <f aca="false">IF(ISNUMBER(C2816),YEAR(C2816),"")</f>
        <v/>
      </c>
      <c r="W2816" s="23" t="str">
        <f aca="false">IF(ISNUMBER(C2816),MONTH(C2816),"")</f>
        <v/>
      </c>
      <c r="X2816" s="23" t="str">
        <f aca="false">IF(T2816="","",IF(T2816=0,"No discount",IF(T2816&lt;=0.2,"Low (1-20%)",IF(T2816&lt;=0.4,"Medium (21-40%)","High (&gt;40%)"))))</f>
        <v/>
      </c>
      <c r="Y2816" s="23" t="str">
        <f aca="false">IF(AND(ISNUMBER(C2816),ISNUMBER(D2816)),D2816-C2816,"")</f>
        <v/>
      </c>
      <c r="Z2816" s="23" t="str">
        <f aca="false">IF(B2816="","",IF(MATCH(B2816,$B$2:$B$12000,0)=ROW()-1,1,0))</f>
        <v/>
      </c>
    </row>
    <row r="2817" customFormat="false" ht="15" hidden="false" customHeight="false" outlineLevel="0" collapsed="false">
      <c r="V2817" s="23" t="str">
        <f aca="false">IF(ISNUMBER(C2817),YEAR(C2817),"")</f>
        <v/>
      </c>
      <c r="W2817" s="23" t="str">
        <f aca="false">IF(ISNUMBER(C2817),MONTH(C2817),"")</f>
        <v/>
      </c>
      <c r="X2817" s="23" t="str">
        <f aca="false">IF(T2817="","",IF(T2817=0,"No discount",IF(T2817&lt;=0.2,"Low (1-20%)",IF(T2817&lt;=0.4,"Medium (21-40%)","High (&gt;40%)"))))</f>
        <v/>
      </c>
      <c r="Y2817" s="23" t="str">
        <f aca="false">IF(AND(ISNUMBER(C2817),ISNUMBER(D2817)),D2817-C2817,"")</f>
        <v/>
      </c>
      <c r="Z2817" s="23" t="str">
        <f aca="false">IF(B2817="","",IF(MATCH(B2817,$B$2:$B$12000,0)=ROW()-1,1,0))</f>
        <v/>
      </c>
    </row>
    <row r="2818" customFormat="false" ht="15" hidden="false" customHeight="false" outlineLevel="0" collapsed="false">
      <c r="V2818" s="23" t="str">
        <f aca="false">IF(ISNUMBER(C2818),YEAR(C2818),"")</f>
        <v/>
      </c>
      <c r="W2818" s="23" t="str">
        <f aca="false">IF(ISNUMBER(C2818),MONTH(C2818),"")</f>
        <v/>
      </c>
      <c r="X2818" s="23" t="str">
        <f aca="false">IF(T2818="","",IF(T2818=0,"No discount",IF(T2818&lt;=0.2,"Low (1-20%)",IF(T2818&lt;=0.4,"Medium (21-40%)","High (&gt;40%)"))))</f>
        <v/>
      </c>
      <c r="Y2818" s="23" t="str">
        <f aca="false">IF(AND(ISNUMBER(C2818),ISNUMBER(D2818)),D2818-C2818,"")</f>
        <v/>
      </c>
      <c r="Z2818" s="23" t="str">
        <f aca="false">IF(B2818="","",IF(MATCH(B2818,$B$2:$B$12000,0)=ROW()-1,1,0))</f>
        <v/>
      </c>
    </row>
    <row r="2819" customFormat="false" ht="15" hidden="false" customHeight="false" outlineLevel="0" collapsed="false">
      <c r="V2819" s="23" t="str">
        <f aca="false">IF(ISNUMBER(C2819),YEAR(C2819),"")</f>
        <v/>
      </c>
      <c r="W2819" s="23" t="str">
        <f aca="false">IF(ISNUMBER(C2819),MONTH(C2819),"")</f>
        <v/>
      </c>
      <c r="X2819" s="23" t="str">
        <f aca="false">IF(T2819="","",IF(T2819=0,"No discount",IF(T2819&lt;=0.2,"Low (1-20%)",IF(T2819&lt;=0.4,"Medium (21-40%)","High (&gt;40%)"))))</f>
        <v/>
      </c>
      <c r="Y2819" s="23" t="str">
        <f aca="false">IF(AND(ISNUMBER(C2819),ISNUMBER(D2819)),D2819-C2819,"")</f>
        <v/>
      </c>
      <c r="Z2819" s="23" t="str">
        <f aca="false">IF(B2819="","",IF(MATCH(B2819,$B$2:$B$12000,0)=ROW()-1,1,0))</f>
        <v/>
      </c>
    </row>
    <row r="2820" customFormat="false" ht="15" hidden="false" customHeight="false" outlineLevel="0" collapsed="false">
      <c r="V2820" s="23" t="str">
        <f aca="false">IF(ISNUMBER(C2820),YEAR(C2820),"")</f>
        <v/>
      </c>
      <c r="W2820" s="23" t="str">
        <f aca="false">IF(ISNUMBER(C2820),MONTH(C2820),"")</f>
        <v/>
      </c>
      <c r="X2820" s="23" t="str">
        <f aca="false">IF(T2820="","",IF(T2820=0,"No discount",IF(T2820&lt;=0.2,"Low (1-20%)",IF(T2820&lt;=0.4,"Medium (21-40%)","High (&gt;40%)"))))</f>
        <v/>
      </c>
      <c r="Y2820" s="23" t="str">
        <f aca="false">IF(AND(ISNUMBER(C2820),ISNUMBER(D2820)),D2820-C2820,"")</f>
        <v/>
      </c>
      <c r="Z2820" s="23" t="str">
        <f aca="false">IF(B2820="","",IF(MATCH(B2820,$B$2:$B$12000,0)=ROW()-1,1,0))</f>
        <v/>
      </c>
    </row>
    <row r="2821" customFormat="false" ht="15" hidden="false" customHeight="false" outlineLevel="0" collapsed="false">
      <c r="V2821" s="23" t="str">
        <f aca="false">IF(ISNUMBER(C2821),YEAR(C2821),"")</f>
        <v/>
      </c>
      <c r="W2821" s="23" t="str">
        <f aca="false">IF(ISNUMBER(C2821),MONTH(C2821),"")</f>
        <v/>
      </c>
      <c r="X2821" s="23" t="str">
        <f aca="false">IF(T2821="","",IF(T2821=0,"No discount",IF(T2821&lt;=0.2,"Low (1-20%)",IF(T2821&lt;=0.4,"Medium (21-40%)","High (&gt;40%)"))))</f>
        <v/>
      </c>
      <c r="Y2821" s="23" t="str">
        <f aca="false">IF(AND(ISNUMBER(C2821),ISNUMBER(D2821)),D2821-C2821,"")</f>
        <v/>
      </c>
      <c r="Z2821" s="23" t="str">
        <f aca="false">IF(B2821="","",IF(MATCH(B2821,$B$2:$B$12000,0)=ROW()-1,1,0))</f>
        <v/>
      </c>
    </row>
    <row r="2822" customFormat="false" ht="15" hidden="false" customHeight="false" outlineLevel="0" collapsed="false">
      <c r="V2822" s="23" t="str">
        <f aca="false">IF(ISNUMBER(C2822),YEAR(C2822),"")</f>
        <v/>
      </c>
      <c r="W2822" s="23" t="str">
        <f aca="false">IF(ISNUMBER(C2822),MONTH(C2822),"")</f>
        <v/>
      </c>
      <c r="X2822" s="23" t="str">
        <f aca="false">IF(T2822="","",IF(T2822=0,"No discount",IF(T2822&lt;=0.2,"Low (1-20%)",IF(T2822&lt;=0.4,"Medium (21-40%)","High (&gt;40%)"))))</f>
        <v/>
      </c>
      <c r="Y2822" s="23" t="str">
        <f aca="false">IF(AND(ISNUMBER(C2822),ISNUMBER(D2822)),D2822-C2822,"")</f>
        <v/>
      </c>
      <c r="Z2822" s="23" t="str">
        <f aca="false">IF(B2822="","",IF(MATCH(B2822,$B$2:$B$12000,0)=ROW()-1,1,0))</f>
        <v/>
      </c>
    </row>
    <row r="2823" customFormat="false" ht="15" hidden="false" customHeight="false" outlineLevel="0" collapsed="false">
      <c r="V2823" s="23" t="str">
        <f aca="false">IF(ISNUMBER(C2823),YEAR(C2823),"")</f>
        <v/>
      </c>
      <c r="W2823" s="23" t="str">
        <f aca="false">IF(ISNUMBER(C2823),MONTH(C2823),"")</f>
        <v/>
      </c>
      <c r="X2823" s="23" t="str">
        <f aca="false">IF(T2823="","",IF(T2823=0,"No discount",IF(T2823&lt;=0.2,"Low (1-20%)",IF(T2823&lt;=0.4,"Medium (21-40%)","High (&gt;40%)"))))</f>
        <v/>
      </c>
      <c r="Y2823" s="23" t="str">
        <f aca="false">IF(AND(ISNUMBER(C2823),ISNUMBER(D2823)),D2823-C2823,"")</f>
        <v/>
      </c>
      <c r="Z2823" s="23" t="str">
        <f aca="false">IF(B2823="","",IF(MATCH(B2823,$B$2:$B$12000,0)=ROW()-1,1,0))</f>
        <v/>
      </c>
    </row>
    <row r="2824" customFormat="false" ht="15" hidden="false" customHeight="false" outlineLevel="0" collapsed="false">
      <c r="V2824" s="23" t="str">
        <f aca="false">IF(ISNUMBER(C2824),YEAR(C2824),"")</f>
        <v/>
      </c>
      <c r="W2824" s="23" t="str">
        <f aca="false">IF(ISNUMBER(C2824),MONTH(C2824),"")</f>
        <v/>
      </c>
      <c r="X2824" s="23" t="str">
        <f aca="false">IF(T2824="","",IF(T2824=0,"No discount",IF(T2824&lt;=0.2,"Low (1-20%)",IF(T2824&lt;=0.4,"Medium (21-40%)","High (&gt;40%)"))))</f>
        <v/>
      </c>
      <c r="Y2824" s="23" t="str">
        <f aca="false">IF(AND(ISNUMBER(C2824),ISNUMBER(D2824)),D2824-C2824,"")</f>
        <v/>
      </c>
      <c r="Z2824" s="23" t="str">
        <f aca="false">IF(B2824="","",IF(MATCH(B2824,$B$2:$B$12000,0)=ROW()-1,1,0))</f>
        <v/>
      </c>
    </row>
    <row r="2825" customFormat="false" ht="15" hidden="false" customHeight="false" outlineLevel="0" collapsed="false">
      <c r="V2825" s="23" t="str">
        <f aca="false">IF(ISNUMBER(C2825),YEAR(C2825),"")</f>
        <v/>
      </c>
      <c r="W2825" s="23" t="str">
        <f aca="false">IF(ISNUMBER(C2825),MONTH(C2825),"")</f>
        <v/>
      </c>
      <c r="X2825" s="23" t="str">
        <f aca="false">IF(T2825="","",IF(T2825=0,"No discount",IF(T2825&lt;=0.2,"Low (1-20%)",IF(T2825&lt;=0.4,"Medium (21-40%)","High (&gt;40%)"))))</f>
        <v/>
      </c>
      <c r="Y2825" s="23" t="str">
        <f aca="false">IF(AND(ISNUMBER(C2825),ISNUMBER(D2825)),D2825-C2825,"")</f>
        <v/>
      </c>
      <c r="Z2825" s="23" t="str">
        <f aca="false">IF(B2825="","",IF(MATCH(B2825,$B$2:$B$12000,0)=ROW()-1,1,0))</f>
        <v/>
      </c>
    </row>
    <row r="2826" customFormat="false" ht="15" hidden="false" customHeight="false" outlineLevel="0" collapsed="false">
      <c r="V2826" s="23" t="str">
        <f aca="false">IF(ISNUMBER(C2826),YEAR(C2826),"")</f>
        <v/>
      </c>
      <c r="W2826" s="23" t="str">
        <f aca="false">IF(ISNUMBER(C2826),MONTH(C2826),"")</f>
        <v/>
      </c>
      <c r="X2826" s="23" t="str">
        <f aca="false">IF(T2826="","",IF(T2826=0,"No discount",IF(T2826&lt;=0.2,"Low (1-20%)",IF(T2826&lt;=0.4,"Medium (21-40%)","High (&gt;40%)"))))</f>
        <v/>
      </c>
      <c r="Y2826" s="23" t="str">
        <f aca="false">IF(AND(ISNUMBER(C2826),ISNUMBER(D2826)),D2826-C2826,"")</f>
        <v/>
      </c>
      <c r="Z2826" s="23" t="str">
        <f aca="false">IF(B2826="","",IF(MATCH(B2826,$B$2:$B$12000,0)=ROW()-1,1,0))</f>
        <v/>
      </c>
    </row>
    <row r="2827" customFormat="false" ht="15" hidden="false" customHeight="false" outlineLevel="0" collapsed="false">
      <c r="V2827" s="23" t="str">
        <f aca="false">IF(ISNUMBER(C2827),YEAR(C2827),"")</f>
        <v/>
      </c>
      <c r="W2827" s="23" t="str">
        <f aca="false">IF(ISNUMBER(C2827),MONTH(C2827),"")</f>
        <v/>
      </c>
      <c r="X2827" s="23" t="str">
        <f aca="false">IF(T2827="","",IF(T2827=0,"No discount",IF(T2827&lt;=0.2,"Low (1-20%)",IF(T2827&lt;=0.4,"Medium (21-40%)","High (&gt;40%)"))))</f>
        <v/>
      </c>
      <c r="Y2827" s="23" t="str">
        <f aca="false">IF(AND(ISNUMBER(C2827),ISNUMBER(D2827)),D2827-C2827,"")</f>
        <v/>
      </c>
      <c r="Z2827" s="23" t="str">
        <f aca="false">IF(B2827="","",IF(MATCH(B2827,$B$2:$B$12000,0)=ROW()-1,1,0))</f>
        <v/>
      </c>
    </row>
    <row r="2828" customFormat="false" ht="15" hidden="false" customHeight="false" outlineLevel="0" collapsed="false">
      <c r="V2828" s="23" t="str">
        <f aca="false">IF(ISNUMBER(C2828),YEAR(C2828),"")</f>
        <v/>
      </c>
      <c r="W2828" s="23" t="str">
        <f aca="false">IF(ISNUMBER(C2828),MONTH(C2828),"")</f>
        <v/>
      </c>
      <c r="X2828" s="23" t="str">
        <f aca="false">IF(T2828="","",IF(T2828=0,"No discount",IF(T2828&lt;=0.2,"Low (1-20%)",IF(T2828&lt;=0.4,"Medium (21-40%)","High (&gt;40%)"))))</f>
        <v/>
      </c>
      <c r="Y2828" s="23" t="str">
        <f aca="false">IF(AND(ISNUMBER(C2828),ISNUMBER(D2828)),D2828-C2828,"")</f>
        <v/>
      </c>
      <c r="Z2828" s="23" t="str">
        <f aca="false">IF(B2828="","",IF(MATCH(B2828,$B$2:$B$12000,0)=ROW()-1,1,0))</f>
        <v/>
      </c>
    </row>
    <row r="2829" customFormat="false" ht="15" hidden="false" customHeight="false" outlineLevel="0" collapsed="false">
      <c r="V2829" s="23" t="str">
        <f aca="false">IF(ISNUMBER(C2829),YEAR(C2829),"")</f>
        <v/>
      </c>
      <c r="W2829" s="23" t="str">
        <f aca="false">IF(ISNUMBER(C2829),MONTH(C2829),"")</f>
        <v/>
      </c>
      <c r="X2829" s="23" t="str">
        <f aca="false">IF(T2829="","",IF(T2829=0,"No discount",IF(T2829&lt;=0.2,"Low (1-20%)",IF(T2829&lt;=0.4,"Medium (21-40%)","High (&gt;40%)"))))</f>
        <v/>
      </c>
      <c r="Y2829" s="23" t="str">
        <f aca="false">IF(AND(ISNUMBER(C2829),ISNUMBER(D2829)),D2829-C2829,"")</f>
        <v/>
      </c>
      <c r="Z2829" s="23" t="str">
        <f aca="false">IF(B2829="","",IF(MATCH(B2829,$B$2:$B$12000,0)=ROW()-1,1,0))</f>
        <v/>
      </c>
    </row>
    <row r="2830" customFormat="false" ht="15" hidden="false" customHeight="false" outlineLevel="0" collapsed="false">
      <c r="V2830" s="23" t="str">
        <f aca="false">IF(ISNUMBER(C2830),YEAR(C2830),"")</f>
        <v/>
      </c>
      <c r="W2830" s="23" t="str">
        <f aca="false">IF(ISNUMBER(C2830),MONTH(C2830),"")</f>
        <v/>
      </c>
      <c r="X2830" s="23" t="str">
        <f aca="false">IF(T2830="","",IF(T2830=0,"No discount",IF(T2830&lt;=0.2,"Low (1-20%)",IF(T2830&lt;=0.4,"Medium (21-40%)","High (&gt;40%)"))))</f>
        <v/>
      </c>
      <c r="Y2830" s="23" t="str">
        <f aca="false">IF(AND(ISNUMBER(C2830),ISNUMBER(D2830)),D2830-C2830,"")</f>
        <v/>
      </c>
      <c r="Z2830" s="23" t="str">
        <f aca="false">IF(B2830="","",IF(MATCH(B2830,$B$2:$B$12000,0)=ROW()-1,1,0))</f>
        <v/>
      </c>
    </row>
    <row r="2831" customFormat="false" ht="15" hidden="false" customHeight="false" outlineLevel="0" collapsed="false">
      <c r="V2831" s="23" t="str">
        <f aca="false">IF(ISNUMBER(C2831),YEAR(C2831),"")</f>
        <v/>
      </c>
      <c r="W2831" s="23" t="str">
        <f aca="false">IF(ISNUMBER(C2831),MONTH(C2831),"")</f>
        <v/>
      </c>
      <c r="X2831" s="23" t="str">
        <f aca="false">IF(T2831="","",IF(T2831=0,"No discount",IF(T2831&lt;=0.2,"Low (1-20%)",IF(T2831&lt;=0.4,"Medium (21-40%)","High (&gt;40%)"))))</f>
        <v/>
      </c>
      <c r="Y2831" s="23" t="str">
        <f aca="false">IF(AND(ISNUMBER(C2831),ISNUMBER(D2831)),D2831-C2831,"")</f>
        <v/>
      </c>
      <c r="Z2831" s="23" t="str">
        <f aca="false">IF(B2831="","",IF(MATCH(B2831,$B$2:$B$12000,0)=ROW()-1,1,0))</f>
        <v/>
      </c>
    </row>
    <row r="2832" customFormat="false" ht="15" hidden="false" customHeight="false" outlineLevel="0" collapsed="false">
      <c r="V2832" s="23" t="str">
        <f aca="false">IF(ISNUMBER(C2832),YEAR(C2832),"")</f>
        <v/>
      </c>
      <c r="W2832" s="23" t="str">
        <f aca="false">IF(ISNUMBER(C2832),MONTH(C2832),"")</f>
        <v/>
      </c>
      <c r="X2832" s="23" t="str">
        <f aca="false">IF(T2832="","",IF(T2832=0,"No discount",IF(T2832&lt;=0.2,"Low (1-20%)",IF(T2832&lt;=0.4,"Medium (21-40%)","High (&gt;40%)"))))</f>
        <v/>
      </c>
      <c r="Y2832" s="23" t="str">
        <f aca="false">IF(AND(ISNUMBER(C2832),ISNUMBER(D2832)),D2832-C2832,"")</f>
        <v/>
      </c>
      <c r="Z2832" s="23" t="str">
        <f aca="false">IF(B2832="","",IF(MATCH(B2832,$B$2:$B$12000,0)=ROW()-1,1,0))</f>
        <v/>
      </c>
    </row>
    <row r="2833" customFormat="false" ht="15" hidden="false" customHeight="false" outlineLevel="0" collapsed="false">
      <c r="V2833" s="23" t="str">
        <f aca="false">IF(ISNUMBER(C2833),YEAR(C2833),"")</f>
        <v/>
      </c>
      <c r="W2833" s="23" t="str">
        <f aca="false">IF(ISNUMBER(C2833),MONTH(C2833),"")</f>
        <v/>
      </c>
      <c r="X2833" s="23" t="str">
        <f aca="false">IF(T2833="","",IF(T2833=0,"No discount",IF(T2833&lt;=0.2,"Low (1-20%)",IF(T2833&lt;=0.4,"Medium (21-40%)","High (&gt;40%)"))))</f>
        <v/>
      </c>
      <c r="Y2833" s="23" t="str">
        <f aca="false">IF(AND(ISNUMBER(C2833),ISNUMBER(D2833)),D2833-C2833,"")</f>
        <v/>
      </c>
      <c r="Z2833" s="23" t="str">
        <f aca="false">IF(B2833="","",IF(MATCH(B2833,$B$2:$B$12000,0)=ROW()-1,1,0))</f>
        <v/>
      </c>
    </row>
    <row r="2834" customFormat="false" ht="15" hidden="false" customHeight="false" outlineLevel="0" collapsed="false">
      <c r="V2834" s="23" t="str">
        <f aca="false">IF(ISNUMBER(C2834),YEAR(C2834),"")</f>
        <v/>
      </c>
      <c r="W2834" s="23" t="str">
        <f aca="false">IF(ISNUMBER(C2834),MONTH(C2834),"")</f>
        <v/>
      </c>
      <c r="X2834" s="23" t="str">
        <f aca="false">IF(T2834="","",IF(T2834=0,"No discount",IF(T2834&lt;=0.2,"Low (1-20%)",IF(T2834&lt;=0.4,"Medium (21-40%)","High (&gt;40%)"))))</f>
        <v/>
      </c>
      <c r="Y2834" s="23" t="str">
        <f aca="false">IF(AND(ISNUMBER(C2834),ISNUMBER(D2834)),D2834-C2834,"")</f>
        <v/>
      </c>
      <c r="Z2834" s="23" t="str">
        <f aca="false">IF(B2834="","",IF(MATCH(B2834,$B$2:$B$12000,0)=ROW()-1,1,0))</f>
        <v/>
      </c>
    </row>
    <row r="2835" customFormat="false" ht="15" hidden="false" customHeight="false" outlineLevel="0" collapsed="false">
      <c r="V2835" s="23" t="str">
        <f aca="false">IF(ISNUMBER(C2835),YEAR(C2835),"")</f>
        <v/>
      </c>
      <c r="W2835" s="23" t="str">
        <f aca="false">IF(ISNUMBER(C2835),MONTH(C2835),"")</f>
        <v/>
      </c>
      <c r="X2835" s="23" t="str">
        <f aca="false">IF(T2835="","",IF(T2835=0,"No discount",IF(T2835&lt;=0.2,"Low (1-20%)",IF(T2835&lt;=0.4,"Medium (21-40%)","High (&gt;40%)"))))</f>
        <v/>
      </c>
      <c r="Y2835" s="23" t="str">
        <f aca="false">IF(AND(ISNUMBER(C2835),ISNUMBER(D2835)),D2835-C2835,"")</f>
        <v/>
      </c>
      <c r="Z2835" s="23" t="str">
        <f aca="false">IF(B2835="","",IF(MATCH(B2835,$B$2:$B$12000,0)=ROW()-1,1,0))</f>
        <v/>
      </c>
    </row>
    <row r="2836" customFormat="false" ht="15" hidden="false" customHeight="false" outlineLevel="0" collapsed="false">
      <c r="V2836" s="23" t="str">
        <f aca="false">IF(ISNUMBER(C2836),YEAR(C2836),"")</f>
        <v/>
      </c>
      <c r="W2836" s="23" t="str">
        <f aca="false">IF(ISNUMBER(C2836),MONTH(C2836),"")</f>
        <v/>
      </c>
      <c r="X2836" s="23" t="str">
        <f aca="false">IF(T2836="","",IF(T2836=0,"No discount",IF(T2836&lt;=0.2,"Low (1-20%)",IF(T2836&lt;=0.4,"Medium (21-40%)","High (&gt;40%)"))))</f>
        <v/>
      </c>
      <c r="Y2836" s="23" t="str">
        <f aca="false">IF(AND(ISNUMBER(C2836),ISNUMBER(D2836)),D2836-C2836,"")</f>
        <v/>
      </c>
      <c r="Z2836" s="23" t="str">
        <f aca="false">IF(B2836="","",IF(MATCH(B2836,$B$2:$B$12000,0)=ROW()-1,1,0))</f>
        <v/>
      </c>
    </row>
    <row r="2837" customFormat="false" ht="15" hidden="false" customHeight="false" outlineLevel="0" collapsed="false">
      <c r="V2837" s="23" t="str">
        <f aca="false">IF(ISNUMBER(C2837),YEAR(C2837),"")</f>
        <v/>
      </c>
      <c r="W2837" s="23" t="str">
        <f aca="false">IF(ISNUMBER(C2837),MONTH(C2837),"")</f>
        <v/>
      </c>
      <c r="X2837" s="23" t="str">
        <f aca="false">IF(T2837="","",IF(T2837=0,"No discount",IF(T2837&lt;=0.2,"Low (1-20%)",IF(T2837&lt;=0.4,"Medium (21-40%)","High (&gt;40%)"))))</f>
        <v/>
      </c>
      <c r="Y2837" s="23" t="str">
        <f aca="false">IF(AND(ISNUMBER(C2837),ISNUMBER(D2837)),D2837-C2837,"")</f>
        <v/>
      </c>
      <c r="Z2837" s="23" t="str">
        <f aca="false">IF(B2837="","",IF(MATCH(B2837,$B$2:$B$12000,0)=ROW()-1,1,0))</f>
        <v/>
      </c>
    </row>
    <row r="2838" customFormat="false" ht="15" hidden="false" customHeight="false" outlineLevel="0" collapsed="false">
      <c r="V2838" s="23" t="str">
        <f aca="false">IF(ISNUMBER(C2838),YEAR(C2838),"")</f>
        <v/>
      </c>
      <c r="W2838" s="23" t="str">
        <f aca="false">IF(ISNUMBER(C2838),MONTH(C2838),"")</f>
        <v/>
      </c>
      <c r="X2838" s="23" t="str">
        <f aca="false">IF(T2838="","",IF(T2838=0,"No discount",IF(T2838&lt;=0.2,"Low (1-20%)",IF(T2838&lt;=0.4,"Medium (21-40%)","High (&gt;40%)"))))</f>
        <v/>
      </c>
      <c r="Y2838" s="23" t="str">
        <f aca="false">IF(AND(ISNUMBER(C2838),ISNUMBER(D2838)),D2838-C2838,"")</f>
        <v/>
      </c>
      <c r="Z2838" s="23" t="str">
        <f aca="false">IF(B2838="","",IF(MATCH(B2838,$B$2:$B$12000,0)=ROW()-1,1,0))</f>
        <v/>
      </c>
    </row>
    <row r="2839" customFormat="false" ht="15" hidden="false" customHeight="false" outlineLevel="0" collapsed="false">
      <c r="V2839" s="23" t="str">
        <f aca="false">IF(ISNUMBER(C2839),YEAR(C2839),"")</f>
        <v/>
      </c>
      <c r="W2839" s="23" t="str">
        <f aca="false">IF(ISNUMBER(C2839),MONTH(C2839),"")</f>
        <v/>
      </c>
      <c r="X2839" s="23" t="str">
        <f aca="false">IF(T2839="","",IF(T2839=0,"No discount",IF(T2839&lt;=0.2,"Low (1-20%)",IF(T2839&lt;=0.4,"Medium (21-40%)","High (&gt;40%)"))))</f>
        <v/>
      </c>
      <c r="Y2839" s="23" t="str">
        <f aca="false">IF(AND(ISNUMBER(C2839),ISNUMBER(D2839)),D2839-C2839,"")</f>
        <v/>
      </c>
      <c r="Z2839" s="23" t="str">
        <f aca="false">IF(B2839="","",IF(MATCH(B2839,$B$2:$B$12000,0)=ROW()-1,1,0))</f>
        <v/>
      </c>
    </row>
    <row r="2840" customFormat="false" ht="15" hidden="false" customHeight="false" outlineLevel="0" collapsed="false">
      <c r="V2840" s="23" t="str">
        <f aca="false">IF(ISNUMBER(C2840),YEAR(C2840),"")</f>
        <v/>
      </c>
      <c r="W2840" s="23" t="str">
        <f aca="false">IF(ISNUMBER(C2840),MONTH(C2840),"")</f>
        <v/>
      </c>
      <c r="X2840" s="23" t="str">
        <f aca="false">IF(T2840="","",IF(T2840=0,"No discount",IF(T2840&lt;=0.2,"Low (1-20%)",IF(T2840&lt;=0.4,"Medium (21-40%)","High (&gt;40%)"))))</f>
        <v/>
      </c>
      <c r="Y2840" s="23" t="str">
        <f aca="false">IF(AND(ISNUMBER(C2840),ISNUMBER(D2840)),D2840-C2840,"")</f>
        <v/>
      </c>
      <c r="Z2840" s="23" t="str">
        <f aca="false">IF(B2840="","",IF(MATCH(B2840,$B$2:$B$12000,0)=ROW()-1,1,0))</f>
        <v/>
      </c>
    </row>
    <row r="2841" customFormat="false" ht="15" hidden="false" customHeight="false" outlineLevel="0" collapsed="false">
      <c r="V2841" s="23" t="str">
        <f aca="false">IF(ISNUMBER(C2841),YEAR(C2841),"")</f>
        <v/>
      </c>
      <c r="W2841" s="23" t="str">
        <f aca="false">IF(ISNUMBER(C2841),MONTH(C2841),"")</f>
        <v/>
      </c>
      <c r="X2841" s="23" t="str">
        <f aca="false">IF(T2841="","",IF(T2841=0,"No discount",IF(T2841&lt;=0.2,"Low (1-20%)",IF(T2841&lt;=0.4,"Medium (21-40%)","High (&gt;40%)"))))</f>
        <v/>
      </c>
      <c r="Y2841" s="23" t="str">
        <f aca="false">IF(AND(ISNUMBER(C2841),ISNUMBER(D2841)),D2841-C2841,"")</f>
        <v/>
      </c>
      <c r="Z2841" s="23" t="str">
        <f aca="false">IF(B2841="","",IF(MATCH(B2841,$B$2:$B$12000,0)=ROW()-1,1,0))</f>
        <v/>
      </c>
    </row>
    <row r="2842" customFormat="false" ht="15" hidden="false" customHeight="false" outlineLevel="0" collapsed="false">
      <c r="V2842" s="23" t="str">
        <f aca="false">IF(ISNUMBER(C2842),YEAR(C2842),"")</f>
        <v/>
      </c>
      <c r="W2842" s="23" t="str">
        <f aca="false">IF(ISNUMBER(C2842),MONTH(C2842),"")</f>
        <v/>
      </c>
      <c r="X2842" s="23" t="str">
        <f aca="false">IF(T2842="","",IF(T2842=0,"No discount",IF(T2842&lt;=0.2,"Low (1-20%)",IF(T2842&lt;=0.4,"Medium (21-40%)","High (&gt;40%)"))))</f>
        <v/>
      </c>
      <c r="Y2842" s="23" t="str">
        <f aca="false">IF(AND(ISNUMBER(C2842),ISNUMBER(D2842)),D2842-C2842,"")</f>
        <v/>
      </c>
      <c r="Z2842" s="23" t="str">
        <f aca="false">IF(B2842="","",IF(MATCH(B2842,$B$2:$B$12000,0)=ROW()-1,1,0))</f>
        <v/>
      </c>
    </row>
    <row r="2843" customFormat="false" ht="15" hidden="false" customHeight="false" outlineLevel="0" collapsed="false">
      <c r="V2843" s="23" t="str">
        <f aca="false">IF(ISNUMBER(C2843),YEAR(C2843),"")</f>
        <v/>
      </c>
      <c r="W2843" s="23" t="str">
        <f aca="false">IF(ISNUMBER(C2843),MONTH(C2843),"")</f>
        <v/>
      </c>
      <c r="X2843" s="23" t="str">
        <f aca="false">IF(T2843="","",IF(T2843=0,"No discount",IF(T2843&lt;=0.2,"Low (1-20%)",IF(T2843&lt;=0.4,"Medium (21-40%)","High (&gt;40%)"))))</f>
        <v/>
      </c>
      <c r="Y2843" s="23" t="str">
        <f aca="false">IF(AND(ISNUMBER(C2843),ISNUMBER(D2843)),D2843-C2843,"")</f>
        <v/>
      </c>
      <c r="Z2843" s="23" t="str">
        <f aca="false">IF(B2843="","",IF(MATCH(B2843,$B$2:$B$12000,0)=ROW()-1,1,0))</f>
        <v/>
      </c>
    </row>
    <row r="2844" customFormat="false" ht="15" hidden="false" customHeight="false" outlineLevel="0" collapsed="false">
      <c r="V2844" s="23" t="str">
        <f aca="false">IF(ISNUMBER(C2844),YEAR(C2844),"")</f>
        <v/>
      </c>
      <c r="W2844" s="23" t="str">
        <f aca="false">IF(ISNUMBER(C2844),MONTH(C2844),"")</f>
        <v/>
      </c>
      <c r="X2844" s="23" t="str">
        <f aca="false">IF(T2844="","",IF(T2844=0,"No discount",IF(T2844&lt;=0.2,"Low (1-20%)",IF(T2844&lt;=0.4,"Medium (21-40%)","High (&gt;40%)"))))</f>
        <v/>
      </c>
      <c r="Y2844" s="23" t="str">
        <f aca="false">IF(AND(ISNUMBER(C2844),ISNUMBER(D2844)),D2844-C2844,"")</f>
        <v/>
      </c>
      <c r="Z2844" s="23" t="str">
        <f aca="false">IF(B2844="","",IF(MATCH(B2844,$B$2:$B$12000,0)=ROW()-1,1,0))</f>
        <v/>
      </c>
    </row>
    <row r="2845" customFormat="false" ht="15" hidden="false" customHeight="false" outlineLevel="0" collapsed="false">
      <c r="V2845" s="23" t="str">
        <f aca="false">IF(ISNUMBER(C2845),YEAR(C2845),"")</f>
        <v/>
      </c>
      <c r="W2845" s="23" t="str">
        <f aca="false">IF(ISNUMBER(C2845),MONTH(C2845),"")</f>
        <v/>
      </c>
      <c r="X2845" s="23" t="str">
        <f aca="false">IF(T2845="","",IF(T2845=0,"No discount",IF(T2845&lt;=0.2,"Low (1-20%)",IF(T2845&lt;=0.4,"Medium (21-40%)","High (&gt;40%)"))))</f>
        <v/>
      </c>
      <c r="Y2845" s="23" t="str">
        <f aca="false">IF(AND(ISNUMBER(C2845),ISNUMBER(D2845)),D2845-C2845,"")</f>
        <v/>
      </c>
      <c r="Z2845" s="23" t="str">
        <f aca="false">IF(B2845="","",IF(MATCH(B2845,$B$2:$B$12000,0)=ROW()-1,1,0))</f>
        <v/>
      </c>
    </row>
    <row r="2846" customFormat="false" ht="15" hidden="false" customHeight="false" outlineLevel="0" collapsed="false">
      <c r="V2846" s="23" t="str">
        <f aca="false">IF(ISNUMBER(C2846),YEAR(C2846),"")</f>
        <v/>
      </c>
      <c r="W2846" s="23" t="str">
        <f aca="false">IF(ISNUMBER(C2846),MONTH(C2846),"")</f>
        <v/>
      </c>
      <c r="X2846" s="23" t="str">
        <f aca="false">IF(T2846="","",IF(T2846=0,"No discount",IF(T2846&lt;=0.2,"Low (1-20%)",IF(T2846&lt;=0.4,"Medium (21-40%)","High (&gt;40%)"))))</f>
        <v/>
      </c>
      <c r="Y2846" s="23" t="str">
        <f aca="false">IF(AND(ISNUMBER(C2846),ISNUMBER(D2846)),D2846-C2846,"")</f>
        <v/>
      </c>
      <c r="Z2846" s="23" t="str">
        <f aca="false">IF(B2846="","",IF(MATCH(B2846,$B$2:$B$12000,0)=ROW()-1,1,0))</f>
        <v/>
      </c>
    </row>
    <row r="2847" customFormat="false" ht="15" hidden="false" customHeight="false" outlineLevel="0" collapsed="false">
      <c r="V2847" s="23" t="str">
        <f aca="false">IF(ISNUMBER(C2847),YEAR(C2847),"")</f>
        <v/>
      </c>
      <c r="W2847" s="23" t="str">
        <f aca="false">IF(ISNUMBER(C2847),MONTH(C2847),"")</f>
        <v/>
      </c>
      <c r="X2847" s="23" t="str">
        <f aca="false">IF(T2847="","",IF(T2847=0,"No discount",IF(T2847&lt;=0.2,"Low (1-20%)",IF(T2847&lt;=0.4,"Medium (21-40%)","High (&gt;40%)"))))</f>
        <v/>
      </c>
      <c r="Y2847" s="23" t="str">
        <f aca="false">IF(AND(ISNUMBER(C2847),ISNUMBER(D2847)),D2847-C2847,"")</f>
        <v/>
      </c>
      <c r="Z2847" s="23" t="str">
        <f aca="false">IF(B2847="","",IF(MATCH(B2847,$B$2:$B$12000,0)=ROW()-1,1,0))</f>
        <v/>
      </c>
    </row>
    <row r="2848" customFormat="false" ht="15" hidden="false" customHeight="false" outlineLevel="0" collapsed="false">
      <c r="V2848" s="23" t="str">
        <f aca="false">IF(ISNUMBER(C2848),YEAR(C2848),"")</f>
        <v/>
      </c>
      <c r="W2848" s="23" t="str">
        <f aca="false">IF(ISNUMBER(C2848),MONTH(C2848),"")</f>
        <v/>
      </c>
      <c r="X2848" s="23" t="str">
        <f aca="false">IF(T2848="","",IF(T2848=0,"No discount",IF(T2848&lt;=0.2,"Low (1-20%)",IF(T2848&lt;=0.4,"Medium (21-40%)","High (&gt;40%)"))))</f>
        <v/>
      </c>
      <c r="Y2848" s="23" t="str">
        <f aca="false">IF(AND(ISNUMBER(C2848),ISNUMBER(D2848)),D2848-C2848,"")</f>
        <v/>
      </c>
      <c r="Z2848" s="23" t="str">
        <f aca="false">IF(B2848="","",IF(MATCH(B2848,$B$2:$B$12000,0)=ROW()-1,1,0))</f>
        <v/>
      </c>
    </row>
    <row r="2849" customFormat="false" ht="15" hidden="false" customHeight="false" outlineLevel="0" collapsed="false">
      <c r="V2849" s="23" t="str">
        <f aca="false">IF(ISNUMBER(C2849),YEAR(C2849),"")</f>
        <v/>
      </c>
      <c r="W2849" s="23" t="str">
        <f aca="false">IF(ISNUMBER(C2849),MONTH(C2849),"")</f>
        <v/>
      </c>
      <c r="X2849" s="23" t="str">
        <f aca="false">IF(T2849="","",IF(T2849=0,"No discount",IF(T2849&lt;=0.2,"Low (1-20%)",IF(T2849&lt;=0.4,"Medium (21-40%)","High (&gt;40%)"))))</f>
        <v/>
      </c>
      <c r="Y2849" s="23" t="str">
        <f aca="false">IF(AND(ISNUMBER(C2849),ISNUMBER(D2849)),D2849-C2849,"")</f>
        <v/>
      </c>
      <c r="Z2849" s="23" t="str">
        <f aca="false">IF(B2849="","",IF(MATCH(B2849,$B$2:$B$12000,0)=ROW()-1,1,0))</f>
        <v/>
      </c>
    </row>
    <row r="2850" customFormat="false" ht="15" hidden="false" customHeight="false" outlineLevel="0" collapsed="false">
      <c r="V2850" s="23" t="str">
        <f aca="false">IF(ISNUMBER(C2850),YEAR(C2850),"")</f>
        <v/>
      </c>
      <c r="W2850" s="23" t="str">
        <f aca="false">IF(ISNUMBER(C2850),MONTH(C2850),"")</f>
        <v/>
      </c>
      <c r="X2850" s="23" t="str">
        <f aca="false">IF(T2850="","",IF(T2850=0,"No discount",IF(T2850&lt;=0.2,"Low (1-20%)",IF(T2850&lt;=0.4,"Medium (21-40%)","High (&gt;40%)"))))</f>
        <v/>
      </c>
      <c r="Y2850" s="23" t="str">
        <f aca="false">IF(AND(ISNUMBER(C2850),ISNUMBER(D2850)),D2850-C2850,"")</f>
        <v/>
      </c>
      <c r="Z2850" s="23" t="str">
        <f aca="false">IF(B2850="","",IF(MATCH(B2850,$B$2:$B$12000,0)=ROW()-1,1,0))</f>
        <v/>
      </c>
    </row>
    <row r="2851" customFormat="false" ht="15" hidden="false" customHeight="false" outlineLevel="0" collapsed="false">
      <c r="V2851" s="23" t="str">
        <f aca="false">IF(ISNUMBER(C2851),YEAR(C2851),"")</f>
        <v/>
      </c>
      <c r="W2851" s="23" t="str">
        <f aca="false">IF(ISNUMBER(C2851),MONTH(C2851),"")</f>
        <v/>
      </c>
      <c r="X2851" s="23" t="str">
        <f aca="false">IF(T2851="","",IF(T2851=0,"No discount",IF(T2851&lt;=0.2,"Low (1-20%)",IF(T2851&lt;=0.4,"Medium (21-40%)","High (&gt;40%)"))))</f>
        <v/>
      </c>
      <c r="Y2851" s="23" t="str">
        <f aca="false">IF(AND(ISNUMBER(C2851),ISNUMBER(D2851)),D2851-C2851,"")</f>
        <v/>
      </c>
      <c r="Z2851" s="23" t="str">
        <f aca="false">IF(B2851="","",IF(MATCH(B2851,$B$2:$B$12000,0)=ROW()-1,1,0))</f>
        <v/>
      </c>
    </row>
    <row r="2852" customFormat="false" ht="15" hidden="false" customHeight="false" outlineLevel="0" collapsed="false">
      <c r="V2852" s="23" t="str">
        <f aca="false">IF(ISNUMBER(C2852),YEAR(C2852),"")</f>
        <v/>
      </c>
      <c r="W2852" s="23" t="str">
        <f aca="false">IF(ISNUMBER(C2852),MONTH(C2852),"")</f>
        <v/>
      </c>
      <c r="X2852" s="23" t="str">
        <f aca="false">IF(T2852="","",IF(T2852=0,"No discount",IF(T2852&lt;=0.2,"Low (1-20%)",IF(T2852&lt;=0.4,"Medium (21-40%)","High (&gt;40%)"))))</f>
        <v/>
      </c>
      <c r="Y2852" s="23" t="str">
        <f aca="false">IF(AND(ISNUMBER(C2852),ISNUMBER(D2852)),D2852-C2852,"")</f>
        <v/>
      </c>
      <c r="Z2852" s="23" t="str">
        <f aca="false">IF(B2852="","",IF(MATCH(B2852,$B$2:$B$12000,0)=ROW()-1,1,0))</f>
        <v/>
      </c>
    </row>
    <row r="2853" customFormat="false" ht="15" hidden="false" customHeight="false" outlineLevel="0" collapsed="false">
      <c r="V2853" s="23" t="str">
        <f aca="false">IF(ISNUMBER(C2853),YEAR(C2853),"")</f>
        <v/>
      </c>
      <c r="W2853" s="23" t="str">
        <f aca="false">IF(ISNUMBER(C2853),MONTH(C2853),"")</f>
        <v/>
      </c>
      <c r="X2853" s="23" t="str">
        <f aca="false">IF(T2853="","",IF(T2853=0,"No discount",IF(T2853&lt;=0.2,"Low (1-20%)",IF(T2853&lt;=0.4,"Medium (21-40%)","High (&gt;40%)"))))</f>
        <v/>
      </c>
      <c r="Y2853" s="23" t="str">
        <f aca="false">IF(AND(ISNUMBER(C2853),ISNUMBER(D2853)),D2853-C2853,"")</f>
        <v/>
      </c>
      <c r="Z2853" s="23" t="str">
        <f aca="false">IF(B2853="","",IF(MATCH(B2853,$B$2:$B$12000,0)=ROW()-1,1,0))</f>
        <v/>
      </c>
    </row>
    <row r="2854" customFormat="false" ht="15" hidden="false" customHeight="false" outlineLevel="0" collapsed="false">
      <c r="V2854" s="23" t="str">
        <f aca="false">IF(ISNUMBER(C2854),YEAR(C2854),"")</f>
        <v/>
      </c>
      <c r="W2854" s="23" t="str">
        <f aca="false">IF(ISNUMBER(C2854),MONTH(C2854),"")</f>
        <v/>
      </c>
      <c r="X2854" s="23" t="str">
        <f aca="false">IF(T2854="","",IF(T2854=0,"No discount",IF(T2854&lt;=0.2,"Low (1-20%)",IF(T2854&lt;=0.4,"Medium (21-40%)","High (&gt;40%)"))))</f>
        <v/>
      </c>
      <c r="Y2854" s="23" t="str">
        <f aca="false">IF(AND(ISNUMBER(C2854),ISNUMBER(D2854)),D2854-C2854,"")</f>
        <v/>
      </c>
      <c r="Z2854" s="23" t="str">
        <f aca="false">IF(B2854="","",IF(MATCH(B2854,$B$2:$B$12000,0)=ROW()-1,1,0))</f>
        <v/>
      </c>
    </row>
    <row r="2855" customFormat="false" ht="15" hidden="false" customHeight="false" outlineLevel="0" collapsed="false">
      <c r="V2855" s="23" t="str">
        <f aca="false">IF(ISNUMBER(C2855),YEAR(C2855),"")</f>
        <v/>
      </c>
      <c r="W2855" s="23" t="str">
        <f aca="false">IF(ISNUMBER(C2855),MONTH(C2855),"")</f>
        <v/>
      </c>
      <c r="X2855" s="23" t="str">
        <f aca="false">IF(T2855="","",IF(T2855=0,"No discount",IF(T2855&lt;=0.2,"Low (1-20%)",IF(T2855&lt;=0.4,"Medium (21-40%)","High (&gt;40%)"))))</f>
        <v/>
      </c>
      <c r="Y2855" s="23" t="str">
        <f aca="false">IF(AND(ISNUMBER(C2855),ISNUMBER(D2855)),D2855-C2855,"")</f>
        <v/>
      </c>
      <c r="Z2855" s="23" t="str">
        <f aca="false">IF(B2855="","",IF(MATCH(B2855,$B$2:$B$12000,0)=ROW()-1,1,0))</f>
        <v/>
      </c>
    </row>
    <row r="2856" customFormat="false" ht="15" hidden="false" customHeight="false" outlineLevel="0" collapsed="false">
      <c r="V2856" s="23" t="str">
        <f aca="false">IF(ISNUMBER(C2856),YEAR(C2856),"")</f>
        <v/>
      </c>
      <c r="W2856" s="23" t="str">
        <f aca="false">IF(ISNUMBER(C2856),MONTH(C2856),"")</f>
        <v/>
      </c>
      <c r="X2856" s="23" t="str">
        <f aca="false">IF(T2856="","",IF(T2856=0,"No discount",IF(T2856&lt;=0.2,"Low (1-20%)",IF(T2856&lt;=0.4,"Medium (21-40%)","High (&gt;40%)"))))</f>
        <v/>
      </c>
      <c r="Y2856" s="23" t="str">
        <f aca="false">IF(AND(ISNUMBER(C2856),ISNUMBER(D2856)),D2856-C2856,"")</f>
        <v/>
      </c>
      <c r="Z2856" s="23" t="str">
        <f aca="false">IF(B2856="","",IF(MATCH(B2856,$B$2:$B$12000,0)=ROW()-1,1,0))</f>
        <v/>
      </c>
    </row>
    <row r="2857" customFormat="false" ht="15" hidden="false" customHeight="false" outlineLevel="0" collapsed="false">
      <c r="V2857" s="23" t="str">
        <f aca="false">IF(ISNUMBER(C2857),YEAR(C2857),"")</f>
        <v/>
      </c>
      <c r="W2857" s="23" t="str">
        <f aca="false">IF(ISNUMBER(C2857),MONTH(C2857),"")</f>
        <v/>
      </c>
      <c r="X2857" s="23" t="str">
        <f aca="false">IF(T2857="","",IF(T2857=0,"No discount",IF(T2857&lt;=0.2,"Low (1-20%)",IF(T2857&lt;=0.4,"Medium (21-40%)","High (&gt;40%)"))))</f>
        <v/>
      </c>
      <c r="Y2857" s="23" t="str">
        <f aca="false">IF(AND(ISNUMBER(C2857),ISNUMBER(D2857)),D2857-C2857,"")</f>
        <v/>
      </c>
      <c r="Z2857" s="23" t="str">
        <f aca="false">IF(B2857="","",IF(MATCH(B2857,$B$2:$B$12000,0)=ROW()-1,1,0))</f>
        <v/>
      </c>
    </row>
    <row r="2858" customFormat="false" ht="15" hidden="false" customHeight="false" outlineLevel="0" collapsed="false">
      <c r="V2858" s="23" t="str">
        <f aca="false">IF(ISNUMBER(C2858),YEAR(C2858),"")</f>
        <v/>
      </c>
      <c r="W2858" s="23" t="str">
        <f aca="false">IF(ISNUMBER(C2858),MONTH(C2858),"")</f>
        <v/>
      </c>
      <c r="X2858" s="23" t="str">
        <f aca="false">IF(T2858="","",IF(T2858=0,"No discount",IF(T2858&lt;=0.2,"Low (1-20%)",IF(T2858&lt;=0.4,"Medium (21-40%)","High (&gt;40%)"))))</f>
        <v/>
      </c>
      <c r="Y2858" s="23" t="str">
        <f aca="false">IF(AND(ISNUMBER(C2858),ISNUMBER(D2858)),D2858-C2858,"")</f>
        <v/>
      </c>
      <c r="Z2858" s="23" t="str">
        <f aca="false">IF(B2858="","",IF(MATCH(B2858,$B$2:$B$12000,0)=ROW()-1,1,0))</f>
        <v/>
      </c>
    </row>
    <row r="2859" customFormat="false" ht="15" hidden="false" customHeight="false" outlineLevel="0" collapsed="false">
      <c r="V2859" s="23" t="str">
        <f aca="false">IF(ISNUMBER(C2859),YEAR(C2859),"")</f>
        <v/>
      </c>
      <c r="W2859" s="23" t="str">
        <f aca="false">IF(ISNUMBER(C2859),MONTH(C2859),"")</f>
        <v/>
      </c>
      <c r="X2859" s="23" t="str">
        <f aca="false">IF(T2859="","",IF(T2859=0,"No discount",IF(T2859&lt;=0.2,"Low (1-20%)",IF(T2859&lt;=0.4,"Medium (21-40%)","High (&gt;40%)"))))</f>
        <v/>
      </c>
      <c r="Y2859" s="23" t="str">
        <f aca="false">IF(AND(ISNUMBER(C2859),ISNUMBER(D2859)),D2859-C2859,"")</f>
        <v/>
      </c>
      <c r="Z2859" s="23" t="str">
        <f aca="false">IF(B2859="","",IF(MATCH(B2859,$B$2:$B$12000,0)=ROW()-1,1,0))</f>
        <v/>
      </c>
    </row>
    <row r="2860" customFormat="false" ht="15" hidden="false" customHeight="false" outlineLevel="0" collapsed="false">
      <c r="V2860" s="23" t="str">
        <f aca="false">IF(ISNUMBER(C2860),YEAR(C2860),"")</f>
        <v/>
      </c>
      <c r="W2860" s="23" t="str">
        <f aca="false">IF(ISNUMBER(C2860),MONTH(C2860),"")</f>
        <v/>
      </c>
      <c r="X2860" s="23" t="str">
        <f aca="false">IF(T2860="","",IF(T2860=0,"No discount",IF(T2860&lt;=0.2,"Low (1-20%)",IF(T2860&lt;=0.4,"Medium (21-40%)","High (&gt;40%)"))))</f>
        <v/>
      </c>
      <c r="Y2860" s="23" t="str">
        <f aca="false">IF(AND(ISNUMBER(C2860),ISNUMBER(D2860)),D2860-C2860,"")</f>
        <v/>
      </c>
      <c r="Z2860" s="23" t="str">
        <f aca="false">IF(B2860="","",IF(MATCH(B2860,$B$2:$B$12000,0)=ROW()-1,1,0))</f>
        <v/>
      </c>
    </row>
    <row r="2861" customFormat="false" ht="15" hidden="false" customHeight="false" outlineLevel="0" collapsed="false">
      <c r="V2861" s="23" t="str">
        <f aca="false">IF(ISNUMBER(C2861),YEAR(C2861),"")</f>
        <v/>
      </c>
      <c r="W2861" s="23" t="str">
        <f aca="false">IF(ISNUMBER(C2861),MONTH(C2861),"")</f>
        <v/>
      </c>
      <c r="X2861" s="23" t="str">
        <f aca="false">IF(T2861="","",IF(T2861=0,"No discount",IF(T2861&lt;=0.2,"Low (1-20%)",IF(T2861&lt;=0.4,"Medium (21-40%)","High (&gt;40%)"))))</f>
        <v/>
      </c>
      <c r="Y2861" s="23" t="str">
        <f aca="false">IF(AND(ISNUMBER(C2861),ISNUMBER(D2861)),D2861-C2861,"")</f>
        <v/>
      </c>
      <c r="Z2861" s="23" t="str">
        <f aca="false">IF(B2861="","",IF(MATCH(B2861,$B$2:$B$12000,0)=ROW()-1,1,0))</f>
        <v/>
      </c>
    </row>
    <row r="2862" customFormat="false" ht="15" hidden="false" customHeight="false" outlineLevel="0" collapsed="false">
      <c r="V2862" s="23" t="str">
        <f aca="false">IF(ISNUMBER(C2862),YEAR(C2862),"")</f>
        <v/>
      </c>
      <c r="W2862" s="23" t="str">
        <f aca="false">IF(ISNUMBER(C2862),MONTH(C2862),"")</f>
        <v/>
      </c>
      <c r="X2862" s="23" t="str">
        <f aca="false">IF(T2862="","",IF(T2862=0,"No discount",IF(T2862&lt;=0.2,"Low (1-20%)",IF(T2862&lt;=0.4,"Medium (21-40%)","High (&gt;40%)"))))</f>
        <v/>
      </c>
      <c r="Y2862" s="23" t="str">
        <f aca="false">IF(AND(ISNUMBER(C2862),ISNUMBER(D2862)),D2862-C2862,"")</f>
        <v/>
      </c>
      <c r="Z2862" s="23" t="str">
        <f aca="false">IF(B2862="","",IF(MATCH(B2862,$B$2:$B$12000,0)=ROW()-1,1,0))</f>
        <v/>
      </c>
    </row>
    <row r="2863" customFormat="false" ht="15" hidden="false" customHeight="false" outlineLevel="0" collapsed="false">
      <c r="V2863" s="23" t="str">
        <f aca="false">IF(ISNUMBER(C2863),YEAR(C2863),"")</f>
        <v/>
      </c>
      <c r="W2863" s="23" t="str">
        <f aca="false">IF(ISNUMBER(C2863),MONTH(C2863),"")</f>
        <v/>
      </c>
      <c r="X2863" s="23" t="str">
        <f aca="false">IF(T2863="","",IF(T2863=0,"No discount",IF(T2863&lt;=0.2,"Low (1-20%)",IF(T2863&lt;=0.4,"Medium (21-40%)","High (&gt;40%)"))))</f>
        <v/>
      </c>
      <c r="Y2863" s="23" t="str">
        <f aca="false">IF(AND(ISNUMBER(C2863),ISNUMBER(D2863)),D2863-C2863,"")</f>
        <v/>
      </c>
      <c r="Z2863" s="23" t="str">
        <f aca="false">IF(B2863="","",IF(MATCH(B2863,$B$2:$B$12000,0)=ROW()-1,1,0))</f>
        <v/>
      </c>
    </row>
    <row r="2864" customFormat="false" ht="15" hidden="false" customHeight="false" outlineLevel="0" collapsed="false">
      <c r="V2864" s="23" t="str">
        <f aca="false">IF(ISNUMBER(C2864),YEAR(C2864),"")</f>
        <v/>
      </c>
      <c r="W2864" s="23" t="str">
        <f aca="false">IF(ISNUMBER(C2864),MONTH(C2864),"")</f>
        <v/>
      </c>
      <c r="X2864" s="23" t="str">
        <f aca="false">IF(T2864="","",IF(T2864=0,"No discount",IF(T2864&lt;=0.2,"Low (1-20%)",IF(T2864&lt;=0.4,"Medium (21-40%)","High (&gt;40%)"))))</f>
        <v/>
      </c>
      <c r="Y2864" s="23" t="str">
        <f aca="false">IF(AND(ISNUMBER(C2864),ISNUMBER(D2864)),D2864-C2864,"")</f>
        <v/>
      </c>
      <c r="Z2864" s="23" t="str">
        <f aca="false">IF(B2864="","",IF(MATCH(B2864,$B$2:$B$12000,0)=ROW()-1,1,0))</f>
        <v/>
      </c>
    </row>
    <row r="2865" customFormat="false" ht="15" hidden="false" customHeight="false" outlineLevel="0" collapsed="false">
      <c r="V2865" s="23" t="str">
        <f aca="false">IF(ISNUMBER(C2865),YEAR(C2865),"")</f>
        <v/>
      </c>
      <c r="W2865" s="23" t="str">
        <f aca="false">IF(ISNUMBER(C2865),MONTH(C2865),"")</f>
        <v/>
      </c>
      <c r="X2865" s="23" t="str">
        <f aca="false">IF(T2865="","",IF(T2865=0,"No discount",IF(T2865&lt;=0.2,"Low (1-20%)",IF(T2865&lt;=0.4,"Medium (21-40%)","High (&gt;40%)"))))</f>
        <v/>
      </c>
      <c r="Y2865" s="23" t="str">
        <f aca="false">IF(AND(ISNUMBER(C2865),ISNUMBER(D2865)),D2865-C2865,"")</f>
        <v/>
      </c>
      <c r="Z2865" s="23" t="str">
        <f aca="false">IF(B2865="","",IF(MATCH(B2865,$B$2:$B$12000,0)=ROW()-1,1,0))</f>
        <v/>
      </c>
    </row>
    <row r="2866" customFormat="false" ht="15" hidden="false" customHeight="false" outlineLevel="0" collapsed="false">
      <c r="V2866" s="23" t="str">
        <f aca="false">IF(ISNUMBER(C2866),YEAR(C2866),"")</f>
        <v/>
      </c>
      <c r="W2866" s="23" t="str">
        <f aca="false">IF(ISNUMBER(C2866),MONTH(C2866),"")</f>
        <v/>
      </c>
      <c r="X2866" s="23" t="str">
        <f aca="false">IF(T2866="","",IF(T2866=0,"No discount",IF(T2866&lt;=0.2,"Low (1-20%)",IF(T2866&lt;=0.4,"Medium (21-40%)","High (&gt;40%)"))))</f>
        <v/>
      </c>
      <c r="Y2866" s="23" t="str">
        <f aca="false">IF(AND(ISNUMBER(C2866),ISNUMBER(D2866)),D2866-C2866,"")</f>
        <v/>
      </c>
      <c r="Z2866" s="23" t="str">
        <f aca="false">IF(B2866="","",IF(MATCH(B2866,$B$2:$B$12000,0)=ROW()-1,1,0))</f>
        <v/>
      </c>
    </row>
    <row r="2867" customFormat="false" ht="15" hidden="false" customHeight="false" outlineLevel="0" collapsed="false">
      <c r="V2867" s="23" t="str">
        <f aca="false">IF(ISNUMBER(C2867),YEAR(C2867),"")</f>
        <v/>
      </c>
      <c r="W2867" s="23" t="str">
        <f aca="false">IF(ISNUMBER(C2867),MONTH(C2867),"")</f>
        <v/>
      </c>
      <c r="X2867" s="23" t="str">
        <f aca="false">IF(T2867="","",IF(T2867=0,"No discount",IF(T2867&lt;=0.2,"Low (1-20%)",IF(T2867&lt;=0.4,"Medium (21-40%)","High (&gt;40%)"))))</f>
        <v/>
      </c>
      <c r="Y2867" s="23" t="str">
        <f aca="false">IF(AND(ISNUMBER(C2867),ISNUMBER(D2867)),D2867-C2867,"")</f>
        <v/>
      </c>
      <c r="Z2867" s="23" t="str">
        <f aca="false">IF(B2867="","",IF(MATCH(B2867,$B$2:$B$12000,0)=ROW()-1,1,0))</f>
        <v/>
      </c>
    </row>
    <row r="2868" customFormat="false" ht="15" hidden="false" customHeight="false" outlineLevel="0" collapsed="false">
      <c r="V2868" s="23" t="str">
        <f aca="false">IF(ISNUMBER(C2868),YEAR(C2868),"")</f>
        <v/>
      </c>
      <c r="W2868" s="23" t="str">
        <f aca="false">IF(ISNUMBER(C2868),MONTH(C2868),"")</f>
        <v/>
      </c>
      <c r="X2868" s="23" t="str">
        <f aca="false">IF(T2868="","",IF(T2868=0,"No discount",IF(T2868&lt;=0.2,"Low (1-20%)",IF(T2868&lt;=0.4,"Medium (21-40%)","High (&gt;40%)"))))</f>
        <v/>
      </c>
      <c r="Y2868" s="23" t="str">
        <f aca="false">IF(AND(ISNUMBER(C2868),ISNUMBER(D2868)),D2868-C2868,"")</f>
        <v/>
      </c>
      <c r="Z2868" s="23" t="str">
        <f aca="false">IF(B2868="","",IF(MATCH(B2868,$B$2:$B$12000,0)=ROW()-1,1,0))</f>
        <v/>
      </c>
    </row>
    <row r="2869" customFormat="false" ht="15" hidden="false" customHeight="false" outlineLevel="0" collapsed="false">
      <c r="V2869" s="23" t="str">
        <f aca="false">IF(ISNUMBER(C2869),YEAR(C2869),"")</f>
        <v/>
      </c>
      <c r="W2869" s="23" t="str">
        <f aca="false">IF(ISNUMBER(C2869),MONTH(C2869),"")</f>
        <v/>
      </c>
      <c r="X2869" s="23" t="str">
        <f aca="false">IF(T2869="","",IF(T2869=0,"No discount",IF(T2869&lt;=0.2,"Low (1-20%)",IF(T2869&lt;=0.4,"Medium (21-40%)","High (&gt;40%)"))))</f>
        <v/>
      </c>
      <c r="Y2869" s="23" t="str">
        <f aca="false">IF(AND(ISNUMBER(C2869),ISNUMBER(D2869)),D2869-C2869,"")</f>
        <v/>
      </c>
      <c r="Z2869" s="23" t="str">
        <f aca="false">IF(B2869="","",IF(MATCH(B2869,$B$2:$B$12000,0)=ROW()-1,1,0))</f>
        <v/>
      </c>
    </row>
    <row r="2870" customFormat="false" ht="15" hidden="false" customHeight="false" outlineLevel="0" collapsed="false">
      <c r="V2870" s="23" t="str">
        <f aca="false">IF(ISNUMBER(C2870),YEAR(C2870),"")</f>
        <v/>
      </c>
      <c r="W2870" s="23" t="str">
        <f aca="false">IF(ISNUMBER(C2870),MONTH(C2870),"")</f>
        <v/>
      </c>
      <c r="X2870" s="23" t="str">
        <f aca="false">IF(T2870="","",IF(T2870=0,"No discount",IF(T2870&lt;=0.2,"Low (1-20%)",IF(T2870&lt;=0.4,"Medium (21-40%)","High (&gt;40%)"))))</f>
        <v/>
      </c>
      <c r="Y2870" s="23" t="str">
        <f aca="false">IF(AND(ISNUMBER(C2870),ISNUMBER(D2870)),D2870-C2870,"")</f>
        <v/>
      </c>
      <c r="Z2870" s="23" t="str">
        <f aca="false">IF(B2870="","",IF(MATCH(B2870,$B$2:$B$12000,0)=ROW()-1,1,0))</f>
        <v/>
      </c>
    </row>
    <row r="2871" customFormat="false" ht="15" hidden="false" customHeight="false" outlineLevel="0" collapsed="false">
      <c r="V2871" s="23" t="str">
        <f aca="false">IF(ISNUMBER(C2871),YEAR(C2871),"")</f>
        <v/>
      </c>
      <c r="W2871" s="23" t="str">
        <f aca="false">IF(ISNUMBER(C2871),MONTH(C2871),"")</f>
        <v/>
      </c>
      <c r="X2871" s="23" t="str">
        <f aca="false">IF(T2871="","",IF(T2871=0,"No discount",IF(T2871&lt;=0.2,"Low (1-20%)",IF(T2871&lt;=0.4,"Medium (21-40%)","High (&gt;40%)"))))</f>
        <v/>
      </c>
      <c r="Y2871" s="23" t="str">
        <f aca="false">IF(AND(ISNUMBER(C2871),ISNUMBER(D2871)),D2871-C2871,"")</f>
        <v/>
      </c>
      <c r="Z2871" s="23" t="str">
        <f aca="false">IF(B2871="","",IF(MATCH(B2871,$B$2:$B$12000,0)=ROW()-1,1,0))</f>
        <v/>
      </c>
    </row>
    <row r="2872" customFormat="false" ht="15" hidden="false" customHeight="false" outlineLevel="0" collapsed="false">
      <c r="V2872" s="23" t="str">
        <f aca="false">IF(ISNUMBER(C2872),YEAR(C2872),"")</f>
        <v/>
      </c>
      <c r="W2872" s="23" t="str">
        <f aca="false">IF(ISNUMBER(C2872),MONTH(C2872),"")</f>
        <v/>
      </c>
      <c r="X2872" s="23" t="str">
        <f aca="false">IF(T2872="","",IF(T2872=0,"No discount",IF(T2872&lt;=0.2,"Low (1-20%)",IF(T2872&lt;=0.4,"Medium (21-40%)","High (&gt;40%)"))))</f>
        <v/>
      </c>
      <c r="Y2872" s="23" t="str">
        <f aca="false">IF(AND(ISNUMBER(C2872),ISNUMBER(D2872)),D2872-C2872,"")</f>
        <v/>
      </c>
      <c r="Z2872" s="23" t="str">
        <f aca="false">IF(B2872="","",IF(MATCH(B2872,$B$2:$B$12000,0)=ROW()-1,1,0))</f>
        <v/>
      </c>
    </row>
    <row r="2873" customFormat="false" ht="15" hidden="false" customHeight="false" outlineLevel="0" collapsed="false">
      <c r="V2873" s="23" t="str">
        <f aca="false">IF(ISNUMBER(C2873),YEAR(C2873),"")</f>
        <v/>
      </c>
      <c r="W2873" s="23" t="str">
        <f aca="false">IF(ISNUMBER(C2873),MONTH(C2873),"")</f>
        <v/>
      </c>
      <c r="X2873" s="23" t="str">
        <f aca="false">IF(T2873="","",IF(T2873=0,"No discount",IF(T2873&lt;=0.2,"Low (1-20%)",IF(T2873&lt;=0.4,"Medium (21-40%)","High (&gt;40%)"))))</f>
        <v/>
      </c>
      <c r="Y2873" s="23" t="str">
        <f aca="false">IF(AND(ISNUMBER(C2873),ISNUMBER(D2873)),D2873-C2873,"")</f>
        <v/>
      </c>
      <c r="Z2873" s="23" t="str">
        <f aca="false">IF(B2873="","",IF(MATCH(B2873,$B$2:$B$12000,0)=ROW()-1,1,0))</f>
        <v/>
      </c>
    </row>
    <row r="2874" customFormat="false" ht="15" hidden="false" customHeight="false" outlineLevel="0" collapsed="false">
      <c r="V2874" s="23" t="str">
        <f aca="false">IF(ISNUMBER(C2874),YEAR(C2874),"")</f>
        <v/>
      </c>
      <c r="W2874" s="23" t="str">
        <f aca="false">IF(ISNUMBER(C2874),MONTH(C2874),"")</f>
        <v/>
      </c>
      <c r="X2874" s="23" t="str">
        <f aca="false">IF(T2874="","",IF(T2874=0,"No discount",IF(T2874&lt;=0.2,"Low (1-20%)",IF(T2874&lt;=0.4,"Medium (21-40%)","High (&gt;40%)"))))</f>
        <v/>
      </c>
      <c r="Y2874" s="23" t="str">
        <f aca="false">IF(AND(ISNUMBER(C2874),ISNUMBER(D2874)),D2874-C2874,"")</f>
        <v/>
      </c>
      <c r="Z2874" s="23" t="str">
        <f aca="false">IF(B2874="","",IF(MATCH(B2874,$B$2:$B$12000,0)=ROW()-1,1,0))</f>
        <v/>
      </c>
    </row>
    <row r="2875" customFormat="false" ht="15" hidden="false" customHeight="false" outlineLevel="0" collapsed="false">
      <c r="V2875" s="23" t="str">
        <f aca="false">IF(ISNUMBER(C2875),YEAR(C2875),"")</f>
        <v/>
      </c>
      <c r="W2875" s="23" t="str">
        <f aca="false">IF(ISNUMBER(C2875),MONTH(C2875),"")</f>
        <v/>
      </c>
      <c r="X2875" s="23" t="str">
        <f aca="false">IF(T2875="","",IF(T2875=0,"No discount",IF(T2875&lt;=0.2,"Low (1-20%)",IF(T2875&lt;=0.4,"Medium (21-40%)","High (&gt;40%)"))))</f>
        <v/>
      </c>
      <c r="Y2875" s="23" t="str">
        <f aca="false">IF(AND(ISNUMBER(C2875),ISNUMBER(D2875)),D2875-C2875,"")</f>
        <v/>
      </c>
      <c r="Z2875" s="23" t="str">
        <f aca="false">IF(B2875="","",IF(MATCH(B2875,$B$2:$B$12000,0)=ROW()-1,1,0))</f>
        <v/>
      </c>
    </row>
    <row r="2876" customFormat="false" ht="15" hidden="false" customHeight="false" outlineLevel="0" collapsed="false">
      <c r="V2876" s="23" t="str">
        <f aca="false">IF(ISNUMBER(C2876),YEAR(C2876),"")</f>
        <v/>
      </c>
      <c r="W2876" s="23" t="str">
        <f aca="false">IF(ISNUMBER(C2876),MONTH(C2876),"")</f>
        <v/>
      </c>
      <c r="X2876" s="23" t="str">
        <f aca="false">IF(T2876="","",IF(T2876=0,"No discount",IF(T2876&lt;=0.2,"Low (1-20%)",IF(T2876&lt;=0.4,"Medium (21-40%)","High (&gt;40%)"))))</f>
        <v/>
      </c>
      <c r="Y2876" s="23" t="str">
        <f aca="false">IF(AND(ISNUMBER(C2876),ISNUMBER(D2876)),D2876-C2876,"")</f>
        <v/>
      </c>
      <c r="Z2876" s="23" t="str">
        <f aca="false">IF(B2876="","",IF(MATCH(B2876,$B$2:$B$12000,0)=ROW()-1,1,0))</f>
        <v/>
      </c>
    </row>
    <row r="2877" customFormat="false" ht="15" hidden="false" customHeight="false" outlineLevel="0" collapsed="false">
      <c r="V2877" s="23" t="str">
        <f aca="false">IF(ISNUMBER(C2877),YEAR(C2877),"")</f>
        <v/>
      </c>
      <c r="W2877" s="23" t="str">
        <f aca="false">IF(ISNUMBER(C2877),MONTH(C2877),"")</f>
        <v/>
      </c>
      <c r="X2877" s="23" t="str">
        <f aca="false">IF(T2877="","",IF(T2877=0,"No discount",IF(T2877&lt;=0.2,"Low (1-20%)",IF(T2877&lt;=0.4,"Medium (21-40%)","High (&gt;40%)"))))</f>
        <v/>
      </c>
      <c r="Y2877" s="23" t="str">
        <f aca="false">IF(AND(ISNUMBER(C2877),ISNUMBER(D2877)),D2877-C2877,"")</f>
        <v/>
      </c>
      <c r="Z2877" s="23" t="str">
        <f aca="false">IF(B2877="","",IF(MATCH(B2877,$B$2:$B$12000,0)=ROW()-1,1,0))</f>
        <v/>
      </c>
    </row>
    <row r="2878" customFormat="false" ht="15" hidden="false" customHeight="false" outlineLevel="0" collapsed="false">
      <c r="V2878" s="23" t="str">
        <f aca="false">IF(ISNUMBER(C2878),YEAR(C2878),"")</f>
        <v/>
      </c>
      <c r="W2878" s="23" t="str">
        <f aca="false">IF(ISNUMBER(C2878),MONTH(C2878),"")</f>
        <v/>
      </c>
      <c r="X2878" s="23" t="str">
        <f aca="false">IF(T2878="","",IF(T2878=0,"No discount",IF(T2878&lt;=0.2,"Low (1-20%)",IF(T2878&lt;=0.4,"Medium (21-40%)","High (&gt;40%)"))))</f>
        <v/>
      </c>
      <c r="Y2878" s="23" t="str">
        <f aca="false">IF(AND(ISNUMBER(C2878),ISNUMBER(D2878)),D2878-C2878,"")</f>
        <v/>
      </c>
      <c r="Z2878" s="23" t="str">
        <f aca="false">IF(B2878="","",IF(MATCH(B2878,$B$2:$B$12000,0)=ROW()-1,1,0))</f>
        <v/>
      </c>
    </row>
    <row r="2879" customFormat="false" ht="15" hidden="false" customHeight="false" outlineLevel="0" collapsed="false">
      <c r="V2879" s="23" t="str">
        <f aca="false">IF(ISNUMBER(C2879),YEAR(C2879),"")</f>
        <v/>
      </c>
      <c r="W2879" s="23" t="str">
        <f aca="false">IF(ISNUMBER(C2879),MONTH(C2879),"")</f>
        <v/>
      </c>
      <c r="X2879" s="23" t="str">
        <f aca="false">IF(T2879="","",IF(T2879=0,"No discount",IF(T2879&lt;=0.2,"Low (1-20%)",IF(T2879&lt;=0.4,"Medium (21-40%)","High (&gt;40%)"))))</f>
        <v/>
      </c>
      <c r="Y2879" s="23" t="str">
        <f aca="false">IF(AND(ISNUMBER(C2879),ISNUMBER(D2879)),D2879-C2879,"")</f>
        <v/>
      </c>
      <c r="Z2879" s="23" t="str">
        <f aca="false">IF(B2879="","",IF(MATCH(B2879,$B$2:$B$12000,0)=ROW()-1,1,0))</f>
        <v/>
      </c>
    </row>
    <row r="2880" customFormat="false" ht="15" hidden="false" customHeight="false" outlineLevel="0" collapsed="false">
      <c r="V2880" s="23" t="str">
        <f aca="false">IF(ISNUMBER(C2880),YEAR(C2880),"")</f>
        <v/>
      </c>
      <c r="W2880" s="23" t="str">
        <f aca="false">IF(ISNUMBER(C2880),MONTH(C2880),"")</f>
        <v/>
      </c>
      <c r="X2880" s="23" t="str">
        <f aca="false">IF(T2880="","",IF(T2880=0,"No discount",IF(T2880&lt;=0.2,"Low (1-20%)",IF(T2880&lt;=0.4,"Medium (21-40%)","High (&gt;40%)"))))</f>
        <v/>
      </c>
      <c r="Y2880" s="23" t="str">
        <f aca="false">IF(AND(ISNUMBER(C2880),ISNUMBER(D2880)),D2880-C2880,"")</f>
        <v/>
      </c>
      <c r="Z2880" s="23" t="str">
        <f aca="false">IF(B2880="","",IF(MATCH(B2880,$B$2:$B$12000,0)=ROW()-1,1,0))</f>
        <v/>
      </c>
    </row>
    <row r="2881" customFormat="false" ht="15" hidden="false" customHeight="false" outlineLevel="0" collapsed="false">
      <c r="V2881" s="23" t="str">
        <f aca="false">IF(ISNUMBER(C2881),YEAR(C2881),"")</f>
        <v/>
      </c>
      <c r="W2881" s="23" t="str">
        <f aca="false">IF(ISNUMBER(C2881),MONTH(C2881),"")</f>
        <v/>
      </c>
      <c r="X2881" s="23" t="str">
        <f aca="false">IF(T2881="","",IF(T2881=0,"No discount",IF(T2881&lt;=0.2,"Low (1-20%)",IF(T2881&lt;=0.4,"Medium (21-40%)","High (&gt;40%)"))))</f>
        <v/>
      </c>
      <c r="Y2881" s="23" t="str">
        <f aca="false">IF(AND(ISNUMBER(C2881),ISNUMBER(D2881)),D2881-C2881,"")</f>
        <v/>
      </c>
      <c r="Z2881" s="23" t="str">
        <f aca="false">IF(B2881="","",IF(MATCH(B2881,$B$2:$B$12000,0)=ROW()-1,1,0))</f>
        <v/>
      </c>
    </row>
    <row r="2882" customFormat="false" ht="15" hidden="false" customHeight="false" outlineLevel="0" collapsed="false">
      <c r="V2882" s="23" t="str">
        <f aca="false">IF(ISNUMBER(C2882),YEAR(C2882),"")</f>
        <v/>
      </c>
      <c r="W2882" s="23" t="str">
        <f aca="false">IF(ISNUMBER(C2882),MONTH(C2882),"")</f>
        <v/>
      </c>
      <c r="X2882" s="23" t="str">
        <f aca="false">IF(T2882="","",IF(T2882=0,"No discount",IF(T2882&lt;=0.2,"Low (1-20%)",IF(T2882&lt;=0.4,"Medium (21-40%)","High (&gt;40%)"))))</f>
        <v/>
      </c>
      <c r="Y2882" s="23" t="str">
        <f aca="false">IF(AND(ISNUMBER(C2882),ISNUMBER(D2882)),D2882-C2882,"")</f>
        <v/>
      </c>
      <c r="Z2882" s="23" t="str">
        <f aca="false">IF(B2882="","",IF(MATCH(B2882,$B$2:$B$12000,0)=ROW()-1,1,0))</f>
        <v/>
      </c>
    </row>
    <row r="2883" customFormat="false" ht="15" hidden="false" customHeight="false" outlineLevel="0" collapsed="false">
      <c r="V2883" s="23" t="str">
        <f aca="false">IF(ISNUMBER(C2883),YEAR(C2883),"")</f>
        <v/>
      </c>
      <c r="W2883" s="23" t="str">
        <f aca="false">IF(ISNUMBER(C2883),MONTH(C2883),"")</f>
        <v/>
      </c>
      <c r="X2883" s="23" t="str">
        <f aca="false">IF(T2883="","",IF(T2883=0,"No discount",IF(T2883&lt;=0.2,"Low (1-20%)",IF(T2883&lt;=0.4,"Medium (21-40%)","High (&gt;40%)"))))</f>
        <v/>
      </c>
      <c r="Y2883" s="23" t="str">
        <f aca="false">IF(AND(ISNUMBER(C2883),ISNUMBER(D2883)),D2883-C2883,"")</f>
        <v/>
      </c>
      <c r="Z2883" s="23" t="str">
        <f aca="false">IF(B2883="","",IF(MATCH(B2883,$B$2:$B$12000,0)=ROW()-1,1,0))</f>
        <v/>
      </c>
    </row>
    <row r="2884" customFormat="false" ht="15" hidden="false" customHeight="false" outlineLevel="0" collapsed="false">
      <c r="V2884" s="23" t="str">
        <f aca="false">IF(ISNUMBER(C2884),YEAR(C2884),"")</f>
        <v/>
      </c>
      <c r="W2884" s="23" t="str">
        <f aca="false">IF(ISNUMBER(C2884),MONTH(C2884),"")</f>
        <v/>
      </c>
      <c r="X2884" s="23" t="str">
        <f aca="false">IF(T2884="","",IF(T2884=0,"No discount",IF(T2884&lt;=0.2,"Low (1-20%)",IF(T2884&lt;=0.4,"Medium (21-40%)","High (&gt;40%)"))))</f>
        <v/>
      </c>
      <c r="Y2884" s="23" t="str">
        <f aca="false">IF(AND(ISNUMBER(C2884),ISNUMBER(D2884)),D2884-C2884,"")</f>
        <v/>
      </c>
      <c r="Z2884" s="23" t="str">
        <f aca="false">IF(B2884="","",IF(MATCH(B2884,$B$2:$B$12000,0)=ROW()-1,1,0))</f>
        <v/>
      </c>
    </row>
    <row r="2885" customFormat="false" ht="15" hidden="false" customHeight="false" outlineLevel="0" collapsed="false">
      <c r="V2885" s="23" t="str">
        <f aca="false">IF(ISNUMBER(C2885),YEAR(C2885),"")</f>
        <v/>
      </c>
      <c r="W2885" s="23" t="str">
        <f aca="false">IF(ISNUMBER(C2885),MONTH(C2885),"")</f>
        <v/>
      </c>
      <c r="X2885" s="23" t="str">
        <f aca="false">IF(T2885="","",IF(T2885=0,"No discount",IF(T2885&lt;=0.2,"Low (1-20%)",IF(T2885&lt;=0.4,"Medium (21-40%)","High (&gt;40%)"))))</f>
        <v/>
      </c>
      <c r="Y2885" s="23" t="str">
        <f aca="false">IF(AND(ISNUMBER(C2885),ISNUMBER(D2885)),D2885-C2885,"")</f>
        <v/>
      </c>
      <c r="Z2885" s="23" t="str">
        <f aca="false">IF(B2885="","",IF(MATCH(B2885,$B$2:$B$12000,0)=ROW()-1,1,0))</f>
        <v/>
      </c>
    </row>
    <row r="2886" customFormat="false" ht="15" hidden="false" customHeight="false" outlineLevel="0" collapsed="false">
      <c r="V2886" s="23" t="str">
        <f aca="false">IF(ISNUMBER(C2886),YEAR(C2886),"")</f>
        <v/>
      </c>
      <c r="W2886" s="23" t="str">
        <f aca="false">IF(ISNUMBER(C2886),MONTH(C2886),"")</f>
        <v/>
      </c>
      <c r="X2886" s="23" t="str">
        <f aca="false">IF(T2886="","",IF(T2886=0,"No discount",IF(T2886&lt;=0.2,"Low (1-20%)",IF(T2886&lt;=0.4,"Medium (21-40%)","High (&gt;40%)"))))</f>
        <v/>
      </c>
      <c r="Y2886" s="23" t="str">
        <f aca="false">IF(AND(ISNUMBER(C2886),ISNUMBER(D2886)),D2886-C2886,"")</f>
        <v/>
      </c>
      <c r="Z2886" s="23" t="str">
        <f aca="false">IF(B2886="","",IF(MATCH(B2886,$B$2:$B$12000,0)=ROW()-1,1,0))</f>
        <v/>
      </c>
    </row>
    <row r="2887" customFormat="false" ht="15" hidden="false" customHeight="false" outlineLevel="0" collapsed="false">
      <c r="V2887" s="23" t="str">
        <f aca="false">IF(ISNUMBER(C2887),YEAR(C2887),"")</f>
        <v/>
      </c>
      <c r="W2887" s="23" t="str">
        <f aca="false">IF(ISNUMBER(C2887),MONTH(C2887),"")</f>
        <v/>
      </c>
      <c r="X2887" s="23" t="str">
        <f aca="false">IF(T2887="","",IF(T2887=0,"No discount",IF(T2887&lt;=0.2,"Low (1-20%)",IF(T2887&lt;=0.4,"Medium (21-40%)","High (&gt;40%)"))))</f>
        <v/>
      </c>
      <c r="Y2887" s="23" t="str">
        <f aca="false">IF(AND(ISNUMBER(C2887),ISNUMBER(D2887)),D2887-C2887,"")</f>
        <v/>
      </c>
      <c r="Z2887" s="23" t="str">
        <f aca="false">IF(B2887="","",IF(MATCH(B2887,$B$2:$B$12000,0)=ROW()-1,1,0))</f>
        <v/>
      </c>
    </row>
    <row r="2888" customFormat="false" ht="15" hidden="false" customHeight="false" outlineLevel="0" collapsed="false">
      <c r="V2888" s="23" t="str">
        <f aca="false">IF(ISNUMBER(C2888),YEAR(C2888),"")</f>
        <v/>
      </c>
      <c r="W2888" s="23" t="str">
        <f aca="false">IF(ISNUMBER(C2888),MONTH(C2888),"")</f>
        <v/>
      </c>
      <c r="X2888" s="23" t="str">
        <f aca="false">IF(T2888="","",IF(T2888=0,"No discount",IF(T2888&lt;=0.2,"Low (1-20%)",IF(T2888&lt;=0.4,"Medium (21-40%)","High (&gt;40%)"))))</f>
        <v/>
      </c>
      <c r="Y2888" s="23" t="str">
        <f aca="false">IF(AND(ISNUMBER(C2888),ISNUMBER(D2888)),D2888-C2888,"")</f>
        <v/>
      </c>
      <c r="Z2888" s="23" t="str">
        <f aca="false">IF(B2888="","",IF(MATCH(B2888,$B$2:$B$12000,0)=ROW()-1,1,0))</f>
        <v/>
      </c>
    </row>
    <row r="2889" customFormat="false" ht="15" hidden="false" customHeight="false" outlineLevel="0" collapsed="false">
      <c r="V2889" s="23" t="str">
        <f aca="false">IF(ISNUMBER(C2889),YEAR(C2889),"")</f>
        <v/>
      </c>
      <c r="W2889" s="23" t="str">
        <f aca="false">IF(ISNUMBER(C2889),MONTH(C2889),"")</f>
        <v/>
      </c>
      <c r="X2889" s="23" t="str">
        <f aca="false">IF(T2889="","",IF(T2889=0,"No discount",IF(T2889&lt;=0.2,"Low (1-20%)",IF(T2889&lt;=0.4,"Medium (21-40%)","High (&gt;40%)"))))</f>
        <v/>
      </c>
      <c r="Y2889" s="23" t="str">
        <f aca="false">IF(AND(ISNUMBER(C2889),ISNUMBER(D2889)),D2889-C2889,"")</f>
        <v/>
      </c>
      <c r="Z2889" s="23" t="str">
        <f aca="false">IF(B2889="","",IF(MATCH(B2889,$B$2:$B$12000,0)=ROW()-1,1,0))</f>
        <v/>
      </c>
    </row>
    <row r="2890" customFormat="false" ht="15" hidden="false" customHeight="false" outlineLevel="0" collapsed="false">
      <c r="V2890" s="23" t="str">
        <f aca="false">IF(ISNUMBER(C2890),YEAR(C2890),"")</f>
        <v/>
      </c>
      <c r="W2890" s="23" t="str">
        <f aca="false">IF(ISNUMBER(C2890),MONTH(C2890),"")</f>
        <v/>
      </c>
      <c r="X2890" s="23" t="str">
        <f aca="false">IF(T2890="","",IF(T2890=0,"No discount",IF(T2890&lt;=0.2,"Low (1-20%)",IF(T2890&lt;=0.4,"Medium (21-40%)","High (&gt;40%)"))))</f>
        <v/>
      </c>
      <c r="Y2890" s="23" t="str">
        <f aca="false">IF(AND(ISNUMBER(C2890),ISNUMBER(D2890)),D2890-C2890,"")</f>
        <v/>
      </c>
      <c r="Z2890" s="23" t="str">
        <f aca="false">IF(B2890="","",IF(MATCH(B2890,$B$2:$B$12000,0)=ROW()-1,1,0))</f>
        <v/>
      </c>
    </row>
    <row r="2891" customFormat="false" ht="15" hidden="false" customHeight="false" outlineLevel="0" collapsed="false">
      <c r="V2891" s="23" t="str">
        <f aca="false">IF(ISNUMBER(C2891),YEAR(C2891),"")</f>
        <v/>
      </c>
      <c r="W2891" s="23" t="str">
        <f aca="false">IF(ISNUMBER(C2891),MONTH(C2891),"")</f>
        <v/>
      </c>
      <c r="X2891" s="23" t="str">
        <f aca="false">IF(T2891="","",IF(T2891=0,"No discount",IF(T2891&lt;=0.2,"Low (1-20%)",IF(T2891&lt;=0.4,"Medium (21-40%)","High (&gt;40%)"))))</f>
        <v/>
      </c>
      <c r="Y2891" s="23" t="str">
        <f aca="false">IF(AND(ISNUMBER(C2891),ISNUMBER(D2891)),D2891-C2891,"")</f>
        <v/>
      </c>
      <c r="Z2891" s="23" t="str">
        <f aca="false">IF(B2891="","",IF(MATCH(B2891,$B$2:$B$12000,0)=ROW()-1,1,0))</f>
        <v/>
      </c>
    </row>
    <row r="2892" customFormat="false" ht="15" hidden="false" customHeight="false" outlineLevel="0" collapsed="false">
      <c r="V2892" s="23" t="str">
        <f aca="false">IF(ISNUMBER(C2892),YEAR(C2892),"")</f>
        <v/>
      </c>
      <c r="W2892" s="23" t="str">
        <f aca="false">IF(ISNUMBER(C2892),MONTH(C2892),"")</f>
        <v/>
      </c>
      <c r="X2892" s="23" t="str">
        <f aca="false">IF(T2892="","",IF(T2892=0,"No discount",IF(T2892&lt;=0.2,"Low (1-20%)",IF(T2892&lt;=0.4,"Medium (21-40%)","High (&gt;40%)"))))</f>
        <v/>
      </c>
      <c r="Y2892" s="23" t="str">
        <f aca="false">IF(AND(ISNUMBER(C2892),ISNUMBER(D2892)),D2892-C2892,"")</f>
        <v/>
      </c>
      <c r="Z2892" s="23" t="str">
        <f aca="false">IF(B2892="","",IF(MATCH(B2892,$B$2:$B$12000,0)=ROW()-1,1,0))</f>
        <v/>
      </c>
    </row>
    <row r="2893" customFormat="false" ht="15" hidden="false" customHeight="false" outlineLevel="0" collapsed="false">
      <c r="V2893" s="23" t="str">
        <f aca="false">IF(ISNUMBER(C2893),YEAR(C2893),"")</f>
        <v/>
      </c>
      <c r="W2893" s="23" t="str">
        <f aca="false">IF(ISNUMBER(C2893),MONTH(C2893),"")</f>
        <v/>
      </c>
      <c r="X2893" s="23" t="str">
        <f aca="false">IF(T2893="","",IF(T2893=0,"No discount",IF(T2893&lt;=0.2,"Low (1-20%)",IF(T2893&lt;=0.4,"Medium (21-40%)","High (&gt;40%)"))))</f>
        <v/>
      </c>
      <c r="Y2893" s="23" t="str">
        <f aca="false">IF(AND(ISNUMBER(C2893),ISNUMBER(D2893)),D2893-C2893,"")</f>
        <v/>
      </c>
      <c r="Z2893" s="23" t="str">
        <f aca="false">IF(B2893="","",IF(MATCH(B2893,$B$2:$B$12000,0)=ROW()-1,1,0))</f>
        <v/>
      </c>
    </row>
    <row r="2894" customFormat="false" ht="15" hidden="false" customHeight="false" outlineLevel="0" collapsed="false">
      <c r="V2894" s="23" t="str">
        <f aca="false">IF(ISNUMBER(C2894),YEAR(C2894),"")</f>
        <v/>
      </c>
      <c r="W2894" s="23" t="str">
        <f aca="false">IF(ISNUMBER(C2894),MONTH(C2894),"")</f>
        <v/>
      </c>
      <c r="X2894" s="23" t="str">
        <f aca="false">IF(T2894="","",IF(T2894=0,"No discount",IF(T2894&lt;=0.2,"Low (1-20%)",IF(T2894&lt;=0.4,"Medium (21-40%)","High (&gt;40%)"))))</f>
        <v/>
      </c>
      <c r="Y2894" s="23" t="str">
        <f aca="false">IF(AND(ISNUMBER(C2894),ISNUMBER(D2894)),D2894-C2894,"")</f>
        <v/>
      </c>
      <c r="Z2894" s="23" t="str">
        <f aca="false">IF(B2894="","",IF(MATCH(B2894,$B$2:$B$12000,0)=ROW()-1,1,0))</f>
        <v/>
      </c>
    </row>
    <row r="2895" customFormat="false" ht="15" hidden="false" customHeight="false" outlineLevel="0" collapsed="false">
      <c r="V2895" s="23" t="str">
        <f aca="false">IF(ISNUMBER(C2895),YEAR(C2895),"")</f>
        <v/>
      </c>
      <c r="W2895" s="23" t="str">
        <f aca="false">IF(ISNUMBER(C2895),MONTH(C2895),"")</f>
        <v/>
      </c>
      <c r="X2895" s="23" t="str">
        <f aca="false">IF(T2895="","",IF(T2895=0,"No discount",IF(T2895&lt;=0.2,"Low (1-20%)",IF(T2895&lt;=0.4,"Medium (21-40%)","High (&gt;40%)"))))</f>
        <v/>
      </c>
      <c r="Y2895" s="23" t="str">
        <f aca="false">IF(AND(ISNUMBER(C2895),ISNUMBER(D2895)),D2895-C2895,"")</f>
        <v/>
      </c>
      <c r="Z2895" s="23" t="str">
        <f aca="false">IF(B2895="","",IF(MATCH(B2895,$B$2:$B$12000,0)=ROW()-1,1,0))</f>
        <v/>
      </c>
    </row>
    <row r="2896" customFormat="false" ht="15" hidden="false" customHeight="false" outlineLevel="0" collapsed="false">
      <c r="V2896" s="23" t="str">
        <f aca="false">IF(ISNUMBER(C2896),YEAR(C2896),"")</f>
        <v/>
      </c>
      <c r="W2896" s="23" t="str">
        <f aca="false">IF(ISNUMBER(C2896),MONTH(C2896),"")</f>
        <v/>
      </c>
      <c r="X2896" s="23" t="str">
        <f aca="false">IF(T2896="","",IF(T2896=0,"No discount",IF(T2896&lt;=0.2,"Low (1-20%)",IF(T2896&lt;=0.4,"Medium (21-40%)","High (&gt;40%)"))))</f>
        <v/>
      </c>
      <c r="Y2896" s="23" t="str">
        <f aca="false">IF(AND(ISNUMBER(C2896),ISNUMBER(D2896)),D2896-C2896,"")</f>
        <v/>
      </c>
      <c r="Z2896" s="23" t="str">
        <f aca="false">IF(B2896="","",IF(MATCH(B2896,$B$2:$B$12000,0)=ROW()-1,1,0))</f>
        <v/>
      </c>
    </row>
    <row r="2897" customFormat="false" ht="15" hidden="false" customHeight="false" outlineLevel="0" collapsed="false">
      <c r="V2897" s="23" t="str">
        <f aca="false">IF(ISNUMBER(C2897),YEAR(C2897),"")</f>
        <v/>
      </c>
      <c r="W2897" s="23" t="str">
        <f aca="false">IF(ISNUMBER(C2897),MONTH(C2897),"")</f>
        <v/>
      </c>
      <c r="X2897" s="23" t="str">
        <f aca="false">IF(T2897="","",IF(T2897=0,"No discount",IF(T2897&lt;=0.2,"Low (1-20%)",IF(T2897&lt;=0.4,"Medium (21-40%)","High (&gt;40%)"))))</f>
        <v/>
      </c>
      <c r="Y2897" s="23" t="str">
        <f aca="false">IF(AND(ISNUMBER(C2897),ISNUMBER(D2897)),D2897-C2897,"")</f>
        <v/>
      </c>
      <c r="Z2897" s="23" t="str">
        <f aca="false">IF(B2897="","",IF(MATCH(B2897,$B$2:$B$12000,0)=ROW()-1,1,0))</f>
        <v/>
      </c>
    </row>
    <row r="2898" customFormat="false" ht="15" hidden="false" customHeight="false" outlineLevel="0" collapsed="false">
      <c r="V2898" s="23" t="str">
        <f aca="false">IF(ISNUMBER(C2898),YEAR(C2898),"")</f>
        <v/>
      </c>
      <c r="W2898" s="23" t="str">
        <f aca="false">IF(ISNUMBER(C2898),MONTH(C2898),"")</f>
        <v/>
      </c>
      <c r="X2898" s="23" t="str">
        <f aca="false">IF(T2898="","",IF(T2898=0,"No discount",IF(T2898&lt;=0.2,"Low (1-20%)",IF(T2898&lt;=0.4,"Medium (21-40%)","High (&gt;40%)"))))</f>
        <v/>
      </c>
      <c r="Y2898" s="23" t="str">
        <f aca="false">IF(AND(ISNUMBER(C2898),ISNUMBER(D2898)),D2898-C2898,"")</f>
        <v/>
      </c>
      <c r="Z2898" s="23" t="str">
        <f aca="false">IF(B2898="","",IF(MATCH(B2898,$B$2:$B$12000,0)=ROW()-1,1,0))</f>
        <v/>
      </c>
    </row>
    <row r="2899" customFormat="false" ht="15" hidden="false" customHeight="false" outlineLevel="0" collapsed="false">
      <c r="V2899" s="23" t="str">
        <f aca="false">IF(ISNUMBER(C2899),YEAR(C2899),"")</f>
        <v/>
      </c>
      <c r="W2899" s="23" t="str">
        <f aca="false">IF(ISNUMBER(C2899),MONTH(C2899),"")</f>
        <v/>
      </c>
      <c r="X2899" s="23" t="str">
        <f aca="false">IF(T2899="","",IF(T2899=0,"No discount",IF(T2899&lt;=0.2,"Low (1-20%)",IF(T2899&lt;=0.4,"Medium (21-40%)","High (&gt;40%)"))))</f>
        <v/>
      </c>
      <c r="Y2899" s="23" t="str">
        <f aca="false">IF(AND(ISNUMBER(C2899),ISNUMBER(D2899)),D2899-C2899,"")</f>
        <v/>
      </c>
      <c r="Z2899" s="23" t="str">
        <f aca="false">IF(B2899="","",IF(MATCH(B2899,$B$2:$B$12000,0)=ROW()-1,1,0))</f>
        <v/>
      </c>
    </row>
    <row r="2900" customFormat="false" ht="15" hidden="false" customHeight="false" outlineLevel="0" collapsed="false">
      <c r="V2900" s="23" t="str">
        <f aca="false">IF(ISNUMBER(C2900),YEAR(C2900),"")</f>
        <v/>
      </c>
      <c r="W2900" s="23" t="str">
        <f aca="false">IF(ISNUMBER(C2900),MONTH(C2900),"")</f>
        <v/>
      </c>
      <c r="X2900" s="23" t="str">
        <f aca="false">IF(T2900="","",IF(T2900=0,"No discount",IF(T2900&lt;=0.2,"Low (1-20%)",IF(T2900&lt;=0.4,"Medium (21-40%)","High (&gt;40%)"))))</f>
        <v/>
      </c>
      <c r="Y2900" s="23" t="str">
        <f aca="false">IF(AND(ISNUMBER(C2900),ISNUMBER(D2900)),D2900-C2900,"")</f>
        <v/>
      </c>
      <c r="Z2900" s="23" t="str">
        <f aca="false">IF(B2900="","",IF(MATCH(B2900,$B$2:$B$12000,0)=ROW()-1,1,0))</f>
        <v/>
      </c>
    </row>
    <row r="2901" customFormat="false" ht="15" hidden="false" customHeight="false" outlineLevel="0" collapsed="false">
      <c r="V2901" s="23" t="str">
        <f aca="false">IF(ISNUMBER(C2901),YEAR(C2901),"")</f>
        <v/>
      </c>
      <c r="W2901" s="23" t="str">
        <f aca="false">IF(ISNUMBER(C2901),MONTH(C2901),"")</f>
        <v/>
      </c>
      <c r="X2901" s="23" t="str">
        <f aca="false">IF(T2901="","",IF(T2901=0,"No discount",IF(T2901&lt;=0.2,"Low (1-20%)",IF(T2901&lt;=0.4,"Medium (21-40%)","High (&gt;40%)"))))</f>
        <v/>
      </c>
      <c r="Y2901" s="23" t="str">
        <f aca="false">IF(AND(ISNUMBER(C2901),ISNUMBER(D2901)),D2901-C2901,"")</f>
        <v/>
      </c>
      <c r="Z2901" s="23" t="str">
        <f aca="false">IF(B2901="","",IF(MATCH(B2901,$B$2:$B$12000,0)=ROW()-1,1,0))</f>
        <v/>
      </c>
    </row>
    <row r="2902" customFormat="false" ht="15" hidden="false" customHeight="false" outlineLevel="0" collapsed="false">
      <c r="V2902" s="23" t="str">
        <f aca="false">IF(ISNUMBER(C2902),YEAR(C2902),"")</f>
        <v/>
      </c>
      <c r="W2902" s="23" t="str">
        <f aca="false">IF(ISNUMBER(C2902),MONTH(C2902),"")</f>
        <v/>
      </c>
      <c r="X2902" s="23" t="str">
        <f aca="false">IF(T2902="","",IF(T2902=0,"No discount",IF(T2902&lt;=0.2,"Low (1-20%)",IF(T2902&lt;=0.4,"Medium (21-40%)","High (&gt;40%)"))))</f>
        <v/>
      </c>
      <c r="Y2902" s="23" t="str">
        <f aca="false">IF(AND(ISNUMBER(C2902),ISNUMBER(D2902)),D2902-C2902,"")</f>
        <v/>
      </c>
      <c r="Z2902" s="23" t="str">
        <f aca="false">IF(B2902="","",IF(MATCH(B2902,$B$2:$B$12000,0)=ROW()-1,1,0))</f>
        <v/>
      </c>
    </row>
    <row r="2903" customFormat="false" ht="15" hidden="false" customHeight="false" outlineLevel="0" collapsed="false">
      <c r="V2903" s="23" t="str">
        <f aca="false">IF(ISNUMBER(C2903),YEAR(C2903),"")</f>
        <v/>
      </c>
      <c r="W2903" s="23" t="str">
        <f aca="false">IF(ISNUMBER(C2903),MONTH(C2903),"")</f>
        <v/>
      </c>
      <c r="X2903" s="23" t="str">
        <f aca="false">IF(T2903="","",IF(T2903=0,"No discount",IF(T2903&lt;=0.2,"Low (1-20%)",IF(T2903&lt;=0.4,"Medium (21-40%)","High (&gt;40%)"))))</f>
        <v/>
      </c>
      <c r="Y2903" s="23" t="str">
        <f aca="false">IF(AND(ISNUMBER(C2903),ISNUMBER(D2903)),D2903-C2903,"")</f>
        <v/>
      </c>
      <c r="Z2903" s="23" t="str">
        <f aca="false">IF(B2903="","",IF(MATCH(B2903,$B$2:$B$12000,0)=ROW()-1,1,0))</f>
        <v/>
      </c>
    </row>
    <row r="2904" customFormat="false" ht="15" hidden="false" customHeight="false" outlineLevel="0" collapsed="false">
      <c r="V2904" s="23" t="str">
        <f aca="false">IF(ISNUMBER(C2904),YEAR(C2904),"")</f>
        <v/>
      </c>
      <c r="W2904" s="23" t="str">
        <f aca="false">IF(ISNUMBER(C2904),MONTH(C2904),"")</f>
        <v/>
      </c>
      <c r="X2904" s="23" t="str">
        <f aca="false">IF(T2904="","",IF(T2904=0,"No discount",IF(T2904&lt;=0.2,"Low (1-20%)",IF(T2904&lt;=0.4,"Medium (21-40%)","High (&gt;40%)"))))</f>
        <v/>
      </c>
      <c r="Y2904" s="23" t="str">
        <f aca="false">IF(AND(ISNUMBER(C2904),ISNUMBER(D2904)),D2904-C2904,"")</f>
        <v/>
      </c>
      <c r="Z2904" s="23" t="str">
        <f aca="false">IF(B2904="","",IF(MATCH(B2904,$B$2:$B$12000,0)=ROW()-1,1,0))</f>
        <v/>
      </c>
    </row>
    <row r="2905" customFormat="false" ht="15" hidden="false" customHeight="false" outlineLevel="0" collapsed="false">
      <c r="V2905" s="23" t="str">
        <f aca="false">IF(ISNUMBER(C2905),YEAR(C2905),"")</f>
        <v/>
      </c>
      <c r="W2905" s="23" t="str">
        <f aca="false">IF(ISNUMBER(C2905),MONTH(C2905),"")</f>
        <v/>
      </c>
      <c r="X2905" s="23" t="str">
        <f aca="false">IF(T2905="","",IF(T2905=0,"No discount",IF(T2905&lt;=0.2,"Low (1-20%)",IF(T2905&lt;=0.4,"Medium (21-40%)","High (&gt;40%)"))))</f>
        <v/>
      </c>
      <c r="Y2905" s="23" t="str">
        <f aca="false">IF(AND(ISNUMBER(C2905),ISNUMBER(D2905)),D2905-C2905,"")</f>
        <v/>
      </c>
      <c r="Z2905" s="23" t="str">
        <f aca="false">IF(B2905="","",IF(MATCH(B2905,$B$2:$B$12000,0)=ROW()-1,1,0))</f>
        <v/>
      </c>
    </row>
    <row r="2906" customFormat="false" ht="15" hidden="false" customHeight="false" outlineLevel="0" collapsed="false">
      <c r="V2906" s="23" t="str">
        <f aca="false">IF(ISNUMBER(C2906),YEAR(C2906),"")</f>
        <v/>
      </c>
      <c r="W2906" s="23" t="str">
        <f aca="false">IF(ISNUMBER(C2906),MONTH(C2906),"")</f>
        <v/>
      </c>
      <c r="X2906" s="23" t="str">
        <f aca="false">IF(T2906="","",IF(T2906=0,"No discount",IF(T2906&lt;=0.2,"Low (1-20%)",IF(T2906&lt;=0.4,"Medium (21-40%)","High (&gt;40%)"))))</f>
        <v/>
      </c>
      <c r="Y2906" s="23" t="str">
        <f aca="false">IF(AND(ISNUMBER(C2906),ISNUMBER(D2906)),D2906-C2906,"")</f>
        <v/>
      </c>
      <c r="Z2906" s="23" t="str">
        <f aca="false">IF(B2906="","",IF(MATCH(B2906,$B$2:$B$12000,0)=ROW()-1,1,0))</f>
        <v/>
      </c>
    </row>
    <row r="2907" customFormat="false" ht="15" hidden="false" customHeight="false" outlineLevel="0" collapsed="false">
      <c r="V2907" s="23" t="str">
        <f aca="false">IF(ISNUMBER(C2907),YEAR(C2907),"")</f>
        <v/>
      </c>
      <c r="W2907" s="23" t="str">
        <f aca="false">IF(ISNUMBER(C2907),MONTH(C2907),"")</f>
        <v/>
      </c>
      <c r="X2907" s="23" t="str">
        <f aca="false">IF(T2907="","",IF(T2907=0,"No discount",IF(T2907&lt;=0.2,"Low (1-20%)",IF(T2907&lt;=0.4,"Medium (21-40%)","High (&gt;40%)"))))</f>
        <v/>
      </c>
      <c r="Y2907" s="23" t="str">
        <f aca="false">IF(AND(ISNUMBER(C2907),ISNUMBER(D2907)),D2907-C2907,"")</f>
        <v/>
      </c>
      <c r="Z2907" s="23" t="str">
        <f aca="false">IF(B2907="","",IF(MATCH(B2907,$B$2:$B$12000,0)=ROW()-1,1,0))</f>
        <v/>
      </c>
    </row>
    <row r="2908" customFormat="false" ht="15" hidden="false" customHeight="false" outlineLevel="0" collapsed="false">
      <c r="V2908" s="23" t="str">
        <f aca="false">IF(ISNUMBER(C2908),YEAR(C2908),"")</f>
        <v/>
      </c>
      <c r="W2908" s="23" t="str">
        <f aca="false">IF(ISNUMBER(C2908),MONTH(C2908),"")</f>
        <v/>
      </c>
      <c r="X2908" s="23" t="str">
        <f aca="false">IF(T2908="","",IF(T2908=0,"No discount",IF(T2908&lt;=0.2,"Low (1-20%)",IF(T2908&lt;=0.4,"Medium (21-40%)","High (&gt;40%)"))))</f>
        <v/>
      </c>
      <c r="Y2908" s="23" t="str">
        <f aca="false">IF(AND(ISNUMBER(C2908),ISNUMBER(D2908)),D2908-C2908,"")</f>
        <v/>
      </c>
      <c r="Z2908" s="23" t="str">
        <f aca="false">IF(B2908="","",IF(MATCH(B2908,$B$2:$B$12000,0)=ROW()-1,1,0))</f>
        <v/>
      </c>
    </row>
    <row r="2909" customFormat="false" ht="15" hidden="false" customHeight="false" outlineLevel="0" collapsed="false">
      <c r="V2909" s="23" t="str">
        <f aca="false">IF(ISNUMBER(C2909),YEAR(C2909),"")</f>
        <v/>
      </c>
      <c r="W2909" s="23" t="str">
        <f aca="false">IF(ISNUMBER(C2909),MONTH(C2909),"")</f>
        <v/>
      </c>
      <c r="X2909" s="23" t="str">
        <f aca="false">IF(T2909="","",IF(T2909=0,"No discount",IF(T2909&lt;=0.2,"Low (1-20%)",IF(T2909&lt;=0.4,"Medium (21-40%)","High (&gt;40%)"))))</f>
        <v/>
      </c>
      <c r="Y2909" s="23" t="str">
        <f aca="false">IF(AND(ISNUMBER(C2909),ISNUMBER(D2909)),D2909-C2909,"")</f>
        <v/>
      </c>
      <c r="Z2909" s="23" t="str">
        <f aca="false">IF(B2909="","",IF(MATCH(B2909,$B$2:$B$12000,0)=ROW()-1,1,0))</f>
        <v/>
      </c>
    </row>
    <row r="2910" customFormat="false" ht="15" hidden="false" customHeight="false" outlineLevel="0" collapsed="false">
      <c r="V2910" s="23" t="str">
        <f aca="false">IF(ISNUMBER(C2910),YEAR(C2910),"")</f>
        <v/>
      </c>
      <c r="W2910" s="23" t="str">
        <f aca="false">IF(ISNUMBER(C2910),MONTH(C2910),"")</f>
        <v/>
      </c>
      <c r="X2910" s="23" t="str">
        <f aca="false">IF(T2910="","",IF(T2910=0,"No discount",IF(T2910&lt;=0.2,"Low (1-20%)",IF(T2910&lt;=0.4,"Medium (21-40%)","High (&gt;40%)"))))</f>
        <v/>
      </c>
      <c r="Y2910" s="23" t="str">
        <f aca="false">IF(AND(ISNUMBER(C2910),ISNUMBER(D2910)),D2910-C2910,"")</f>
        <v/>
      </c>
      <c r="Z2910" s="23" t="str">
        <f aca="false">IF(B2910="","",IF(MATCH(B2910,$B$2:$B$12000,0)=ROW()-1,1,0))</f>
        <v/>
      </c>
    </row>
    <row r="2911" customFormat="false" ht="15" hidden="false" customHeight="false" outlineLevel="0" collapsed="false">
      <c r="V2911" s="23" t="str">
        <f aca="false">IF(ISNUMBER(C2911),YEAR(C2911),"")</f>
        <v/>
      </c>
      <c r="W2911" s="23" t="str">
        <f aca="false">IF(ISNUMBER(C2911),MONTH(C2911),"")</f>
        <v/>
      </c>
      <c r="X2911" s="23" t="str">
        <f aca="false">IF(T2911="","",IF(T2911=0,"No discount",IF(T2911&lt;=0.2,"Low (1-20%)",IF(T2911&lt;=0.4,"Medium (21-40%)","High (&gt;40%)"))))</f>
        <v/>
      </c>
      <c r="Y2911" s="23" t="str">
        <f aca="false">IF(AND(ISNUMBER(C2911),ISNUMBER(D2911)),D2911-C2911,"")</f>
        <v/>
      </c>
      <c r="Z2911" s="23" t="str">
        <f aca="false">IF(B2911="","",IF(MATCH(B2911,$B$2:$B$12000,0)=ROW()-1,1,0))</f>
        <v/>
      </c>
    </row>
    <row r="2912" customFormat="false" ht="15" hidden="false" customHeight="false" outlineLevel="0" collapsed="false">
      <c r="V2912" s="23" t="str">
        <f aca="false">IF(ISNUMBER(C2912),YEAR(C2912),"")</f>
        <v/>
      </c>
      <c r="W2912" s="23" t="str">
        <f aca="false">IF(ISNUMBER(C2912),MONTH(C2912),"")</f>
        <v/>
      </c>
      <c r="X2912" s="23" t="str">
        <f aca="false">IF(T2912="","",IF(T2912=0,"No discount",IF(T2912&lt;=0.2,"Low (1-20%)",IF(T2912&lt;=0.4,"Medium (21-40%)","High (&gt;40%)"))))</f>
        <v/>
      </c>
      <c r="Y2912" s="23" t="str">
        <f aca="false">IF(AND(ISNUMBER(C2912),ISNUMBER(D2912)),D2912-C2912,"")</f>
        <v/>
      </c>
      <c r="Z2912" s="23" t="str">
        <f aca="false">IF(B2912="","",IF(MATCH(B2912,$B$2:$B$12000,0)=ROW()-1,1,0))</f>
        <v/>
      </c>
    </row>
    <row r="2913" customFormat="false" ht="15" hidden="false" customHeight="false" outlineLevel="0" collapsed="false">
      <c r="V2913" s="23" t="str">
        <f aca="false">IF(ISNUMBER(C2913),YEAR(C2913),"")</f>
        <v/>
      </c>
      <c r="W2913" s="23" t="str">
        <f aca="false">IF(ISNUMBER(C2913),MONTH(C2913),"")</f>
        <v/>
      </c>
      <c r="X2913" s="23" t="str">
        <f aca="false">IF(T2913="","",IF(T2913=0,"No discount",IF(T2913&lt;=0.2,"Low (1-20%)",IF(T2913&lt;=0.4,"Medium (21-40%)","High (&gt;40%)"))))</f>
        <v/>
      </c>
      <c r="Y2913" s="23" t="str">
        <f aca="false">IF(AND(ISNUMBER(C2913),ISNUMBER(D2913)),D2913-C2913,"")</f>
        <v/>
      </c>
      <c r="Z2913" s="23" t="str">
        <f aca="false">IF(B2913="","",IF(MATCH(B2913,$B$2:$B$12000,0)=ROW()-1,1,0))</f>
        <v/>
      </c>
    </row>
    <row r="2914" customFormat="false" ht="15" hidden="false" customHeight="false" outlineLevel="0" collapsed="false">
      <c r="V2914" s="23" t="str">
        <f aca="false">IF(ISNUMBER(C2914),YEAR(C2914),"")</f>
        <v/>
      </c>
      <c r="W2914" s="23" t="str">
        <f aca="false">IF(ISNUMBER(C2914),MONTH(C2914),"")</f>
        <v/>
      </c>
      <c r="X2914" s="23" t="str">
        <f aca="false">IF(T2914="","",IF(T2914=0,"No discount",IF(T2914&lt;=0.2,"Low (1-20%)",IF(T2914&lt;=0.4,"Medium (21-40%)","High (&gt;40%)"))))</f>
        <v/>
      </c>
      <c r="Y2914" s="23" t="str">
        <f aca="false">IF(AND(ISNUMBER(C2914),ISNUMBER(D2914)),D2914-C2914,"")</f>
        <v/>
      </c>
      <c r="Z2914" s="23" t="str">
        <f aca="false">IF(B2914="","",IF(MATCH(B2914,$B$2:$B$12000,0)=ROW()-1,1,0))</f>
        <v/>
      </c>
    </row>
    <row r="2915" customFormat="false" ht="15" hidden="false" customHeight="false" outlineLevel="0" collapsed="false">
      <c r="V2915" s="23" t="str">
        <f aca="false">IF(ISNUMBER(C2915),YEAR(C2915),"")</f>
        <v/>
      </c>
      <c r="W2915" s="23" t="str">
        <f aca="false">IF(ISNUMBER(C2915),MONTH(C2915),"")</f>
        <v/>
      </c>
      <c r="X2915" s="23" t="str">
        <f aca="false">IF(T2915="","",IF(T2915=0,"No discount",IF(T2915&lt;=0.2,"Low (1-20%)",IF(T2915&lt;=0.4,"Medium (21-40%)","High (&gt;40%)"))))</f>
        <v/>
      </c>
      <c r="Y2915" s="23" t="str">
        <f aca="false">IF(AND(ISNUMBER(C2915),ISNUMBER(D2915)),D2915-C2915,"")</f>
        <v/>
      </c>
      <c r="Z2915" s="23" t="str">
        <f aca="false">IF(B2915="","",IF(MATCH(B2915,$B$2:$B$12000,0)=ROW()-1,1,0))</f>
        <v/>
      </c>
    </row>
    <row r="2916" customFormat="false" ht="15" hidden="false" customHeight="false" outlineLevel="0" collapsed="false">
      <c r="V2916" s="23" t="str">
        <f aca="false">IF(ISNUMBER(C2916),YEAR(C2916),"")</f>
        <v/>
      </c>
      <c r="W2916" s="23" t="str">
        <f aca="false">IF(ISNUMBER(C2916),MONTH(C2916),"")</f>
        <v/>
      </c>
      <c r="X2916" s="23" t="str">
        <f aca="false">IF(T2916="","",IF(T2916=0,"No discount",IF(T2916&lt;=0.2,"Low (1-20%)",IF(T2916&lt;=0.4,"Medium (21-40%)","High (&gt;40%)"))))</f>
        <v/>
      </c>
      <c r="Y2916" s="23" t="str">
        <f aca="false">IF(AND(ISNUMBER(C2916),ISNUMBER(D2916)),D2916-C2916,"")</f>
        <v/>
      </c>
      <c r="Z2916" s="23" t="str">
        <f aca="false">IF(B2916="","",IF(MATCH(B2916,$B$2:$B$12000,0)=ROW()-1,1,0))</f>
        <v/>
      </c>
    </row>
    <row r="2917" customFormat="false" ht="15" hidden="false" customHeight="false" outlineLevel="0" collapsed="false">
      <c r="V2917" s="23" t="str">
        <f aca="false">IF(ISNUMBER(C2917),YEAR(C2917),"")</f>
        <v/>
      </c>
      <c r="W2917" s="23" t="str">
        <f aca="false">IF(ISNUMBER(C2917),MONTH(C2917),"")</f>
        <v/>
      </c>
      <c r="X2917" s="23" t="str">
        <f aca="false">IF(T2917="","",IF(T2917=0,"No discount",IF(T2917&lt;=0.2,"Low (1-20%)",IF(T2917&lt;=0.4,"Medium (21-40%)","High (&gt;40%)"))))</f>
        <v/>
      </c>
      <c r="Y2917" s="23" t="str">
        <f aca="false">IF(AND(ISNUMBER(C2917),ISNUMBER(D2917)),D2917-C2917,"")</f>
        <v/>
      </c>
      <c r="Z2917" s="23" t="str">
        <f aca="false">IF(B2917="","",IF(MATCH(B2917,$B$2:$B$12000,0)=ROW()-1,1,0))</f>
        <v/>
      </c>
    </row>
    <row r="2918" customFormat="false" ht="15" hidden="false" customHeight="false" outlineLevel="0" collapsed="false">
      <c r="V2918" s="23" t="str">
        <f aca="false">IF(ISNUMBER(C2918),YEAR(C2918),"")</f>
        <v/>
      </c>
      <c r="W2918" s="23" t="str">
        <f aca="false">IF(ISNUMBER(C2918),MONTH(C2918),"")</f>
        <v/>
      </c>
      <c r="X2918" s="23" t="str">
        <f aca="false">IF(T2918="","",IF(T2918=0,"No discount",IF(T2918&lt;=0.2,"Low (1-20%)",IF(T2918&lt;=0.4,"Medium (21-40%)","High (&gt;40%)"))))</f>
        <v/>
      </c>
      <c r="Y2918" s="23" t="str">
        <f aca="false">IF(AND(ISNUMBER(C2918),ISNUMBER(D2918)),D2918-C2918,"")</f>
        <v/>
      </c>
      <c r="Z2918" s="23" t="str">
        <f aca="false">IF(B2918="","",IF(MATCH(B2918,$B$2:$B$12000,0)=ROW()-1,1,0))</f>
        <v/>
      </c>
    </row>
    <row r="2919" customFormat="false" ht="15" hidden="false" customHeight="false" outlineLevel="0" collapsed="false">
      <c r="V2919" s="23" t="str">
        <f aca="false">IF(ISNUMBER(C2919),YEAR(C2919),"")</f>
        <v/>
      </c>
      <c r="W2919" s="23" t="str">
        <f aca="false">IF(ISNUMBER(C2919),MONTH(C2919),"")</f>
        <v/>
      </c>
      <c r="X2919" s="23" t="str">
        <f aca="false">IF(T2919="","",IF(T2919=0,"No discount",IF(T2919&lt;=0.2,"Low (1-20%)",IF(T2919&lt;=0.4,"Medium (21-40%)","High (&gt;40%)"))))</f>
        <v/>
      </c>
      <c r="Y2919" s="23" t="str">
        <f aca="false">IF(AND(ISNUMBER(C2919),ISNUMBER(D2919)),D2919-C2919,"")</f>
        <v/>
      </c>
      <c r="Z2919" s="23" t="str">
        <f aca="false">IF(B2919="","",IF(MATCH(B2919,$B$2:$B$12000,0)=ROW()-1,1,0))</f>
        <v/>
      </c>
    </row>
    <row r="2920" customFormat="false" ht="15" hidden="false" customHeight="false" outlineLevel="0" collapsed="false">
      <c r="V2920" s="23" t="str">
        <f aca="false">IF(ISNUMBER(C2920),YEAR(C2920),"")</f>
        <v/>
      </c>
      <c r="W2920" s="23" t="str">
        <f aca="false">IF(ISNUMBER(C2920),MONTH(C2920),"")</f>
        <v/>
      </c>
      <c r="X2920" s="23" t="str">
        <f aca="false">IF(T2920="","",IF(T2920=0,"No discount",IF(T2920&lt;=0.2,"Low (1-20%)",IF(T2920&lt;=0.4,"Medium (21-40%)","High (&gt;40%)"))))</f>
        <v/>
      </c>
      <c r="Y2920" s="23" t="str">
        <f aca="false">IF(AND(ISNUMBER(C2920),ISNUMBER(D2920)),D2920-C2920,"")</f>
        <v/>
      </c>
      <c r="Z2920" s="23" t="str">
        <f aca="false">IF(B2920="","",IF(MATCH(B2920,$B$2:$B$12000,0)=ROW()-1,1,0))</f>
        <v/>
      </c>
    </row>
    <row r="2921" customFormat="false" ht="15" hidden="false" customHeight="false" outlineLevel="0" collapsed="false">
      <c r="V2921" s="23" t="str">
        <f aca="false">IF(ISNUMBER(C2921),YEAR(C2921),"")</f>
        <v/>
      </c>
      <c r="W2921" s="23" t="str">
        <f aca="false">IF(ISNUMBER(C2921),MONTH(C2921),"")</f>
        <v/>
      </c>
      <c r="X2921" s="23" t="str">
        <f aca="false">IF(T2921="","",IF(T2921=0,"No discount",IF(T2921&lt;=0.2,"Low (1-20%)",IF(T2921&lt;=0.4,"Medium (21-40%)","High (&gt;40%)"))))</f>
        <v/>
      </c>
      <c r="Y2921" s="23" t="str">
        <f aca="false">IF(AND(ISNUMBER(C2921),ISNUMBER(D2921)),D2921-C2921,"")</f>
        <v/>
      </c>
      <c r="Z2921" s="23" t="str">
        <f aca="false">IF(B2921="","",IF(MATCH(B2921,$B$2:$B$12000,0)=ROW()-1,1,0))</f>
        <v/>
      </c>
    </row>
    <row r="2922" customFormat="false" ht="15" hidden="false" customHeight="false" outlineLevel="0" collapsed="false">
      <c r="V2922" s="23" t="str">
        <f aca="false">IF(ISNUMBER(C2922),YEAR(C2922),"")</f>
        <v/>
      </c>
      <c r="W2922" s="23" t="str">
        <f aca="false">IF(ISNUMBER(C2922),MONTH(C2922),"")</f>
        <v/>
      </c>
      <c r="X2922" s="23" t="str">
        <f aca="false">IF(T2922="","",IF(T2922=0,"No discount",IF(T2922&lt;=0.2,"Low (1-20%)",IF(T2922&lt;=0.4,"Medium (21-40%)","High (&gt;40%)"))))</f>
        <v/>
      </c>
      <c r="Y2922" s="23" t="str">
        <f aca="false">IF(AND(ISNUMBER(C2922),ISNUMBER(D2922)),D2922-C2922,"")</f>
        <v/>
      </c>
      <c r="Z2922" s="23" t="str">
        <f aca="false">IF(B2922="","",IF(MATCH(B2922,$B$2:$B$12000,0)=ROW()-1,1,0))</f>
        <v/>
      </c>
    </row>
    <row r="2923" customFormat="false" ht="15" hidden="false" customHeight="false" outlineLevel="0" collapsed="false">
      <c r="V2923" s="23" t="str">
        <f aca="false">IF(ISNUMBER(C2923),YEAR(C2923),"")</f>
        <v/>
      </c>
      <c r="W2923" s="23" t="str">
        <f aca="false">IF(ISNUMBER(C2923),MONTH(C2923),"")</f>
        <v/>
      </c>
      <c r="X2923" s="23" t="str">
        <f aca="false">IF(T2923="","",IF(T2923=0,"No discount",IF(T2923&lt;=0.2,"Low (1-20%)",IF(T2923&lt;=0.4,"Medium (21-40%)","High (&gt;40%)"))))</f>
        <v/>
      </c>
      <c r="Y2923" s="23" t="str">
        <f aca="false">IF(AND(ISNUMBER(C2923),ISNUMBER(D2923)),D2923-C2923,"")</f>
        <v/>
      </c>
      <c r="Z2923" s="23" t="str">
        <f aca="false">IF(B2923="","",IF(MATCH(B2923,$B$2:$B$12000,0)=ROW()-1,1,0))</f>
        <v/>
      </c>
    </row>
    <row r="2924" customFormat="false" ht="15" hidden="false" customHeight="false" outlineLevel="0" collapsed="false">
      <c r="V2924" s="23" t="str">
        <f aca="false">IF(ISNUMBER(C2924),YEAR(C2924),"")</f>
        <v/>
      </c>
      <c r="W2924" s="23" t="str">
        <f aca="false">IF(ISNUMBER(C2924),MONTH(C2924),"")</f>
        <v/>
      </c>
      <c r="X2924" s="23" t="str">
        <f aca="false">IF(T2924="","",IF(T2924=0,"No discount",IF(T2924&lt;=0.2,"Low (1-20%)",IF(T2924&lt;=0.4,"Medium (21-40%)","High (&gt;40%)"))))</f>
        <v/>
      </c>
      <c r="Y2924" s="23" t="str">
        <f aca="false">IF(AND(ISNUMBER(C2924),ISNUMBER(D2924)),D2924-C2924,"")</f>
        <v/>
      </c>
      <c r="Z2924" s="23" t="str">
        <f aca="false">IF(B2924="","",IF(MATCH(B2924,$B$2:$B$12000,0)=ROW()-1,1,0))</f>
        <v/>
      </c>
    </row>
    <row r="2925" customFormat="false" ht="15" hidden="false" customHeight="false" outlineLevel="0" collapsed="false">
      <c r="V2925" s="23" t="str">
        <f aca="false">IF(ISNUMBER(C2925),YEAR(C2925),"")</f>
        <v/>
      </c>
      <c r="W2925" s="23" t="str">
        <f aca="false">IF(ISNUMBER(C2925),MONTH(C2925),"")</f>
        <v/>
      </c>
      <c r="X2925" s="23" t="str">
        <f aca="false">IF(T2925="","",IF(T2925=0,"No discount",IF(T2925&lt;=0.2,"Low (1-20%)",IF(T2925&lt;=0.4,"Medium (21-40%)","High (&gt;40%)"))))</f>
        <v/>
      </c>
      <c r="Y2925" s="23" t="str">
        <f aca="false">IF(AND(ISNUMBER(C2925),ISNUMBER(D2925)),D2925-C2925,"")</f>
        <v/>
      </c>
      <c r="Z2925" s="23" t="str">
        <f aca="false">IF(B2925="","",IF(MATCH(B2925,$B$2:$B$12000,0)=ROW()-1,1,0))</f>
        <v/>
      </c>
    </row>
    <row r="2926" customFormat="false" ht="15" hidden="false" customHeight="false" outlineLevel="0" collapsed="false">
      <c r="V2926" s="23" t="str">
        <f aca="false">IF(ISNUMBER(C2926),YEAR(C2926),"")</f>
        <v/>
      </c>
      <c r="W2926" s="23" t="str">
        <f aca="false">IF(ISNUMBER(C2926),MONTH(C2926),"")</f>
        <v/>
      </c>
      <c r="X2926" s="23" t="str">
        <f aca="false">IF(T2926="","",IF(T2926=0,"No discount",IF(T2926&lt;=0.2,"Low (1-20%)",IF(T2926&lt;=0.4,"Medium (21-40%)","High (&gt;40%)"))))</f>
        <v/>
      </c>
      <c r="Y2926" s="23" t="str">
        <f aca="false">IF(AND(ISNUMBER(C2926),ISNUMBER(D2926)),D2926-C2926,"")</f>
        <v/>
      </c>
      <c r="Z2926" s="23" t="str">
        <f aca="false">IF(B2926="","",IF(MATCH(B2926,$B$2:$B$12000,0)=ROW()-1,1,0))</f>
        <v/>
      </c>
    </row>
    <row r="2927" customFormat="false" ht="15" hidden="false" customHeight="false" outlineLevel="0" collapsed="false">
      <c r="V2927" s="23" t="str">
        <f aca="false">IF(ISNUMBER(C2927),YEAR(C2927),"")</f>
        <v/>
      </c>
      <c r="W2927" s="23" t="str">
        <f aca="false">IF(ISNUMBER(C2927),MONTH(C2927),"")</f>
        <v/>
      </c>
      <c r="X2927" s="23" t="str">
        <f aca="false">IF(T2927="","",IF(T2927=0,"No discount",IF(T2927&lt;=0.2,"Low (1-20%)",IF(T2927&lt;=0.4,"Medium (21-40%)","High (&gt;40%)"))))</f>
        <v/>
      </c>
      <c r="Y2927" s="23" t="str">
        <f aca="false">IF(AND(ISNUMBER(C2927),ISNUMBER(D2927)),D2927-C2927,"")</f>
        <v/>
      </c>
      <c r="Z2927" s="23" t="str">
        <f aca="false">IF(B2927="","",IF(MATCH(B2927,$B$2:$B$12000,0)=ROW()-1,1,0))</f>
        <v/>
      </c>
    </row>
    <row r="2928" customFormat="false" ht="15" hidden="false" customHeight="false" outlineLevel="0" collapsed="false">
      <c r="V2928" s="23" t="str">
        <f aca="false">IF(ISNUMBER(C2928),YEAR(C2928),"")</f>
        <v/>
      </c>
      <c r="W2928" s="23" t="str">
        <f aca="false">IF(ISNUMBER(C2928),MONTH(C2928),"")</f>
        <v/>
      </c>
      <c r="X2928" s="23" t="str">
        <f aca="false">IF(T2928="","",IF(T2928=0,"No discount",IF(T2928&lt;=0.2,"Low (1-20%)",IF(T2928&lt;=0.4,"Medium (21-40%)","High (&gt;40%)"))))</f>
        <v/>
      </c>
      <c r="Y2928" s="23" t="str">
        <f aca="false">IF(AND(ISNUMBER(C2928),ISNUMBER(D2928)),D2928-C2928,"")</f>
        <v/>
      </c>
      <c r="Z2928" s="23" t="str">
        <f aca="false">IF(B2928="","",IF(MATCH(B2928,$B$2:$B$12000,0)=ROW()-1,1,0))</f>
        <v/>
      </c>
    </row>
    <row r="2929" customFormat="false" ht="15" hidden="false" customHeight="false" outlineLevel="0" collapsed="false">
      <c r="V2929" s="23" t="str">
        <f aca="false">IF(ISNUMBER(C2929),YEAR(C2929),"")</f>
        <v/>
      </c>
      <c r="W2929" s="23" t="str">
        <f aca="false">IF(ISNUMBER(C2929),MONTH(C2929),"")</f>
        <v/>
      </c>
      <c r="X2929" s="23" t="str">
        <f aca="false">IF(T2929="","",IF(T2929=0,"No discount",IF(T2929&lt;=0.2,"Low (1-20%)",IF(T2929&lt;=0.4,"Medium (21-40%)","High (&gt;40%)"))))</f>
        <v/>
      </c>
      <c r="Y2929" s="23" t="str">
        <f aca="false">IF(AND(ISNUMBER(C2929),ISNUMBER(D2929)),D2929-C2929,"")</f>
        <v/>
      </c>
      <c r="Z2929" s="23" t="str">
        <f aca="false">IF(B2929="","",IF(MATCH(B2929,$B$2:$B$12000,0)=ROW()-1,1,0))</f>
        <v/>
      </c>
    </row>
    <row r="2930" customFormat="false" ht="15" hidden="false" customHeight="false" outlineLevel="0" collapsed="false">
      <c r="V2930" s="23" t="str">
        <f aca="false">IF(ISNUMBER(C2930),YEAR(C2930),"")</f>
        <v/>
      </c>
      <c r="W2930" s="23" t="str">
        <f aca="false">IF(ISNUMBER(C2930),MONTH(C2930),"")</f>
        <v/>
      </c>
      <c r="X2930" s="23" t="str">
        <f aca="false">IF(T2930="","",IF(T2930=0,"No discount",IF(T2930&lt;=0.2,"Low (1-20%)",IF(T2930&lt;=0.4,"Medium (21-40%)","High (&gt;40%)"))))</f>
        <v/>
      </c>
      <c r="Y2930" s="23" t="str">
        <f aca="false">IF(AND(ISNUMBER(C2930),ISNUMBER(D2930)),D2930-C2930,"")</f>
        <v/>
      </c>
      <c r="Z2930" s="23" t="str">
        <f aca="false">IF(B2930="","",IF(MATCH(B2930,$B$2:$B$12000,0)=ROW()-1,1,0))</f>
        <v/>
      </c>
    </row>
    <row r="2931" customFormat="false" ht="15" hidden="false" customHeight="false" outlineLevel="0" collapsed="false">
      <c r="V2931" s="23" t="str">
        <f aca="false">IF(ISNUMBER(C2931),YEAR(C2931),"")</f>
        <v/>
      </c>
      <c r="W2931" s="23" t="str">
        <f aca="false">IF(ISNUMBER(C2931),MONTH(C2931),"")</f>
        <v/>
      </c>
      <c r="X2931" s="23" t="str">
        <f aca="false">IF(T2931="","",IF(T2931=0,"No discount",IF(T2931&lt;=0.2,"Low (1-20%)",IF(T2931&lt;=0.4,"Medium (21-40%)","High (&gt;40%)"))))</f>
        <v/>
      </c>
      <c r="Y2931" s="23" t="str">
        <f aca="false">IF(AND(ISNUMBER(C2931),ISNUMBER(D2931)),D2931-C2931,"")</f>
        <v/>
      </c>
      <c r="Z2931" s="23" t="str">
        <f aca="false">IF(B2931="","",IF(MATCH(B2931,$B$2:$B$12000,0)=ROW()-1,1,0))</f>
        <v/>
      </c>
    </row>
    <row r="2932" customFormat="false" ht="15" hidden="false" customHeight="false" outlineLevel="0" collapsed="false">
      <c r="V2932" s="23" t="str">
        <f aca="false">IF(ISNUMBER(C2932),YEAR(C2932),"")</f>
        <v/>
      </c>
      <c r="W2932" s="23" t="str">
        <f aca="false">IF(ISNUMBER(C2932),MONTH(C2932),"")</f>
        <v/>
      </c>
      <c r="X2932" s="23" t="str">
        <f aca="false">IF(T2932="","",IF(T2932=0,"No discount",IF(T2932&lt;=0.2,"Low (1-20%)",IF(T2932&lt;=0.4,"Medium (21-40%)","High (&gt;40%)"))))</f>
        <v/>
      </c>
      <c r="Y2932" s="23" t="str">
        <f aca="false">IF(AND(ISNUMBER(C2932),ISNUMBER(D2932)),D2932-C2932,"")</f>
        <v/>
      </c>
      <c r="Z2932" s="23" t="str">
        <f aca="false">IF(B2932="","",IF(MATCH(B2932,$B$2:$B$12000,0)=ROW()-1,1,0))</f>
        <v/>
      </c>
    </row>
    <row r="2933" customFormat="false" ht="15" hidden="false" customHeight="false" outlineLevel="0" collapsed="false">
      <c r="V2933" s="23" t="str">
        <f aca="false">IF(ISNUMBER(C2933),YEAR(C2933),"")</f>
        <v/>
      </c>
      <c r="W2933" s="23" t="str">
        <f aca="false">IF(ISNUMBER(C2933),MONTH(C2933),"")</f>
        <v/>
      </c>
      <c r="X2933" s="23" t="str">
        <f aca="false">IF(T2933="","",IF(T2933=0,"No discount",IF(T2933&lt;=0.2,"Low (1-20%)",IF(T2933&lt;=0.4,"Medium (21-40%)","High (&gt;40%)"))))</f>
        <v/>
      </c>
      <c r="Y2933" s="23" t="str">
        <f aca="false">IF(AND(ISNUMBER(C2933),ISNUMBER(D2933)),D2933-C2933,"")</f>
        <v/>
      </c>
      <c r="Z2933" s="23" t="str">
        <f aca="false">IF(B2933="","",IF(MATCH(B2933,$B$2:$B$12000,0)=ROW()-1,1,0))</f>
        <v/>
      </c>
    </row>
    <row r="2934" customFormat="false" ht="15" hidden="false" customHeight="false" outlineLevel="0" collapsed="false">
      <c r="V2934" s="23" t="str">
        <f aca="false">IF(ISNUMBER(C2934),YEAR(C2934),"")</f>
        <v/>
      </c>
      <c r="W2934" s="23" t="str">
        <f aca="false">IF(ISNUMBER(C2934),MONTH(C2934),"")</f>
        <v/>
      </c>
      <c r="X2934" s="23" t="str">
        <f aca="false">IF(T2934="","",IF(T2934=0,"No discount",IF(T2934&lt;=0.2,"Low (1-20%)",IF(T2934&lt;=0.4,"Medium (21-40%)","High (&gt;40%)"))))</f>
        <v/>
      </c>
      <c r="Y2934" s="23" t="str">
        <f aca="false">IF(AND(ISNUMBER(C2934),ISNUMBER(D2934)),D2934-C2934,"")</f>
        <v/>
      </c>
      <c r="Z2934" s="23" t="str">
        <f aca="false">IF(B2934="","",IF(MATCH(B2934,$B$2:$B$12000,0)=ROW()-1,1,0))</f>
        <v/>
      </c>
    </row>
    <row r="2935" customFormat="false" ht="15" hidden="false" customHeight="false" outlineLevel="0" collapsed="false">
      <c r="V2935" s="23" t="str">
        <f aca="false">IF(ISNUMBER(C2935),YEAR(C2935),"")</f>
        <v/>
      </c>
      <c r="W2935" s="23" t="str">
        <f aca="false">IF(ISNUMBER(C2935),MONTH(C2935),"")</f>
        <v/>
      </c>
      <c r="X2935" s="23" t="str">
        <f aca="false">IF(T2935="","",IF(T2935=0,"No discount",IF(T2935&lt;=0.2,"Low (1-20%)",IF(T2935&lt;=0.4,"Medium (21-40%)","High (&gt;40%)"))))</f>
        <v/>
      </c>
      <c r="Y2935" s="23" t="str">
        <f aca="false">IF(AND(ISNUMBER(C2935),ISNUMBER(D2935)),D2935-C2935,"")</f>
        <v/>
      </c>
      <c r="Z2935" s="23" t="str">
        <f aca="false">IF(B2935="","",IF(MATCH(B2935,$B$2:$B$12000,0)=ROW()-1,1,0))</f>
        <v/>
      </c>
    </row>
    <row r="2936" customFormat="false" ht="15" hidden="false" customHeight="false" outlineLevel="0" collapsed="false">
      <c r="V2936" s="23" t="str">
        <f aca="false">IF(ISNUMBER(C2936),YEAR(C2936),"")</f>
        <v/>
      </c>
      <c r="W2936" s="23" t="str">
        <f aca="false">IF(ISNUMBER(C2936),MONTH(C2936),"")</f>
        <v/>
      </c>
      <c r="X2936" s="23" t="str">
        <f aca="false">IF(T2936="","",IF(T2936=0,"No discount",IF(T2936&lt;=0.2,"Low (1-20%)",IF(T2936&lt;=0.4,"Medium (21-40%)","High (&gt;40%)"))))</f>
        <v/>
      </c>
      <c r="Y2936" s="23" t="str">
        <f aca="false">IF(AND(ISNUMBER(C2936),ISNUMBER(D2936)),D2936-C2936,"")</f>
        <v/>
      </c>
      <c r="Z2936" s="23" t="str">
        <f aca="false">IF(B2936="","",IF(MATCH(B2936,$B$2:$B$12000,0)=ROW()-1,1,0))</f>
        <v/>
      </c>
    </row>
    <row r="2937" customFormat="false" ht="15" hidden="false" customHeight="false" outlineLevel="0" collapsed="false">
      <c r="V2937" s="23" t="str">
        <f aca="false">IF(ISNUMBER(C2937),YEAR(C2937),"")</f>
        <v/>
      </c>
      <c r="W2937" s="23" t="str">
        <f aca="false">IF(ISNUMBER(C2937),MONTH(C2937),"")</f>
        <v/>
      </c>
      <c r="X2937" s="23" t="str">
        <f aca="false">IF(T2937="","",IF(T2937=0,"No discount",IF(T2937&lt;=0.2,"Low (1-20%)",IF(T2937&lt;=0.4,"Medium (21-40%)","High (&gt;40%)"))))</f>
        <v/>
      </c>
      <c r="Y2937" s="23" t="str">
        <f aca="false">IF(AND(ISNUMBER(C2937),ISNUMBER(D2937)),D2937-C2937,"")</f>
        <v/>
      </c>
      <c r="Z2937" s="23" t="str">
        <f aca="false">IF(B2937="","",IF(MATCH(B2937,$B$2:$B$12000,0)=ROW()-1,1,0))</f>
        <v/>
      </c>
    </row>
    <row r="2938" customFormat="false" ht="15" hidden="false" customHeight="false" outlineLevel="0" collapsed="false">
      <c r="V2938" s="23" t="str">
        <f aca="false">IF(ISNUMBER(C2938),YEAR(C2938),"")</f>
        <v/>
      </c>
      <c r="W2938" s="23" t="str">
        <f aca="false">IF(ISNUMBER(C2938),MONTH(C2938),"")</f>
        <v/>
      </c>
      <c r="X2938" s="23" t="str">
        <f aca="false">IF(T2938="","",IF(T2938=0,"No discount",IF(T2938&lt;=0.2,"Low (1-20%)",IF(T2938&lt;=0.4,"Medium (21-40%)","High (&gt;40%)"))))</f>
        <v/>
      </c>
      <c r="Y2938" s="23" t="str">
        <f aca="false">IF(AND(ISNUMBER(C2938),ISNUMBER(D2938)),D2938-C2938,"")</f>
        <v/>
      </c>
      <c r="Z2938" s="23" t="str">
        <f aca="false">IF(B2938="","",IF(MATCH(B2938,$B$2:$B$12000,0)=ROW()-1,1,0))</f>
        <v/>
      </c>
    </row>
    <row r="2939" customFormat="false" ht="15" hidden="false" customHeight="false" outlineLevel="0" collapsed="false">
      <c r="V2939" s="23" t="str">
        <f aca="false">IF(ISNUMBER(C2939),YEAR(C2939),"")</f>
        <v/>
      </c>
      <c r="W2939" s="23" t="str">
        <f aca="false">IF(ISNUMBER(C2939),MONTH(C2939),"")</f>
        <v/>
      </c>
      <c r="X2939" s="23" t="str">
        <f aca="false">IF(T2939="","",IF(T2939=0,"No discount",IF(T2939&lt;=0.2,"Low (1-20%)",IF(T2939&lt;=0.4,"Medium (21-40%)","High (&gt;40%)"))))</f>
        <v/>
      </c>
      <c r="Y2939" s="23" t="str">
        <f aca="false">IF(AND(ISNUMBER(C2939),ISNUMBER(D2939)),D2939-C2939,"")</f>
        <v/>
      </c>
      <c r="Z2939" s="23" t="str">
        <f aca="false">IF(B2939="","",IF(MATCH(B2939,$B$2:$B$12000,0)=ROW()-1,1,0))</f>
        <v/>
      </c>
    </row>
    <row r="2940" customFormat="false" ht="15" hidden="false" customHeight="false" outlineLevel="0" collapsed="false">
      <c r="V2940" s="23" t="str">
        <f aca="false">IF(ISNUMBER(C2940),YEAR(C2940),"")</f>
        <v/>
      </c>
      <c r="W2940" s="23" t="str">
        <f aca="false">IF(ISNUMBER(C2940),MONTH(C2940),"")</f>
        <v/>
      </c>
      <c r="X2940" s="23" t="str">
        <f aca="false">IF(T2940="","",IF(T2940=0,"No discount",IF(T2940&lt;=0.2,"Low (1-20%)",IF(T2940&lt;=0.4,"Medium (21-40%)","High (&gt;40%)"))))</f>
        <v/>
      </c>
      <c r="Y2940" s="23" t="str">
        <f aca="false">IF(AND(ISNUMBER(C2940),ISNUMBER(D2940)),D2940-C2940,"")</f>
        <v/>
      </c>
      <c r="Z2940" s="23" t="str">
        <f aca="false">IF(B2940="","",IF(MATCH(B2940,$B$2:$B$12000,0)=ROW()-1,1,0))</f>
        <v/>
      </c>
    </row>
    <row r="2941" customFormat="false" ht="15" hidden="false" customHeight="false" outlineLevel="0" collapsed="false">
      <c r="V2941" s="23" t="str">
        <f aca="false">IF(ISNUMBER(C2941),YEAR(C2941),"")</f>
        <v/>
      </c>
      <c r="W2941" s="23" t="str">
        <f aca="false">IF(ISNUMBER(C2941),MONTH(C2941),"")</f>
        <v/>
      </c>
      <c r="X2941" s="23" t="str">
        <f aca="false">IF(T2941="","",IF(T2941=0,"No discount",IF(T2941&lt;=0.2,"Low (1-20%)",IF(T2941&lt;=0.4,"Medium (21-40%)","High (&gt;40%)"))))</f>
        <v/>
      </c>
      <c r="Y2941" s="23" t="str">
        <f aca="false">IF(AND(ISNUMBER(C2941),ISNUMBER(D2941)),D2941-C2941,"")</f>
        <v/>
      </c>
      <c r="Z2941" s="23" t="str">
        <f aca="false">IF(B2941="","",IF(MATCH(B2941,$B$2:$B$12000,0)=ROW()-1,1,0))</f>
        <v/>
      </c>
    </row>
    <row r="2942" customFormat="false" ht="15" hidden="false" customHeight="false" outlineLevel="0" collapsed="false">
      <c r="V2942" s="23" t="str">
        <f aca="false">IF(ISNUMBER(C2942),YEAR(C2942),"")</f>
        <v/>
      </c>
      <c r="W2942" s="23" t="str">
        <f aca="false">IF(ISNUMBER(C2942),MONTH(C2942),"")</f>
        <v/>
      </c>
      <c r="X2942" s="23" t="str">
        <f aca="false">IF(T2942="","",IF(T2942=0,"No discount",IF(T2942&lt;=0.2,"Low (1-20%)",IF(T2942&lt;=0.4,"Medium (21-40%)","High (&gt;40%)"))))</f>
        <v/>
      </c>
      <c r="Y2942" s="23" t="str">
        <f aca="false">IF(AND(ISNUMBER(C2942),ISNUMBER(D2942)),D2942-C2942,"")</f>
        <v/>
      </c>
      <c r="Z2942" s="23" t="str">
        <f aca="false">IF(B2942="","",IF(MATCH(B2942,$B$2:$B$12000,0)=ROW()-1,1,0))</f>
        <v/>
      </c>
    </row>
    <row r="2943" customFormat="false" ht="15" hidden="false" customHeight="false" outlineLevel="0" collapsed="false">
      <c r="V2943" s="23" t="str">
        <f aca="false">IF(ISNUMBER(C2943),YEAR(C2943),"")</f>
        <v/>
      </c>
      <c r="W2943" s="23" t="str">
        <f aca="false">IF(ISNUMBER(C2943),MONTH(C2943),"")</f>
        <v/>
      </c>
      <c r="X2943" s="23" t="str">
        <f aca="false">IF(T2943="","",IF(T2943=0,"No discount",IF(T2943&lt;=0.2,"Low (1-20%)",IF(T2943&lt;=0.4,"Medium (21-40%)","High (&gt;40%)"))))</f>
        <v/>
      </c>
      <c r="Y2943" s="23" t="str">
        <f aca="false">IF(AND(ISNUMBER(C2943),ISNUMBER(D2943)),D2943-C2943,"")</f>
        <v/>
      </c>
      <c r="Z2943" s="23" t="str">
        <f aca="false">IF(B2943="","",IF(MATCH(B2943,$B$2:$B$12000,0)=ROW()-1,1,0))</f>
        <v/>
      </c>
    </row>
    <row r="2944" customFormat="false" ht="15" hidden="false" customHeight="false" outlineLevel="0" collapsed="false">
      <c r="V2944" s="23" t="str">
        <f aca="false">IF(ISNUMBER(C2944),YEAR(C2944),"")</f>
        <v/>
      </c>
      <c r="W2944" s="23" t="str">
        <f aca="false">IF(ISNUMBER(C2944),MONTH(C2944),"")</f>
        <v/>
      </c>
      <c r="X2944" s="23" t="str">
        <f aca="false">IF(T2944="","",IF(T2944=0,"No discount",IF(T2944&lt;=0.2,"Low (1-20%)",IF(T2944&lt;=0.4,"Medium (21-40%)","High (&gt;40%)"))))</f>
        <v/>
      </c>
      <c r="Y2944" s="23" t="str">
        <f aca="false">IF(AND(ISNUMBER(C2944),ISNUMBER(D2944)),D2944-C2944,"")</f>
        <v/>
      </c>
      <c r="Z2944" s="23" t="str">
        <f aca="false">IF(B2944="","",IF(MATCH(B2944,$B$2:$B$12000,0)=ROW()-1,1,0))</f>
        <v/>
      </c>
    </row>
    <row r="2945" customFormat="false" ht="15" hidden="false" customHeight="false" outlineLevel="0" collapsed="false">
      <c r="V2945" s="23" t="str">
        <f aca="false">IF(ISNUMBER(C2945),YEAR(C2945),"")</f>
        <v/>
      </c>
      <c r="W2945" s="23" t="str">
        <f aca="false">IF(ISNUMBER(C2945),MONTH(C2945),"")</f>
        <v/>
      </c>
      <c r="X2945" s="23" t="str">
        <f aca="false">IF(T2945="","",IF(T2945=0,"No discount",IF(T2945&lt;=0.2,"Low (1-20%)",IF(T2945&lt;=0.4,"Medium (21-40%)","High (&gt;40%)"))))</f>
        <v/>
      </c>
      <c r="Y2945" s="23" t="str">
        <f aca="false">IF(AND(ISNUMBER(C2945),ISNUMBER(D2945)),D2945-C2945,"")</f>
        <v/>
      </c>
      <c r="Z2945" s="23" t="str">
        <f aca="false">IF(B2945="","",IF(MATCH(B2945,$B$2:$B$12000,0)=ROW()-1,1,0))</f>
        <v/>
      </c>
    </row>
    <row r="2946" customFormat="false" ht="15" hidden="false" customHeight="false" outlineLevel="0" collapsed="false">
      <c r="V2946" s="23" t="str">
        <f aca="false">IF(ISNUMBER(C2946),YEAR(C2946),"")</f>
        <v/>
      </c>
      <c r="W2946" s="23" t="str">
        <f aca="false">IF(ISNUMBER(C2946),MONTH(C2946),"")</f>
        <v/>
      </c>
      <c r="X2946" s="23" t="str">
        <f aca="false">IF(T2946="","",IF(T2946=0,"No discount",IF(T2946&lt;=0.2,"Low (1-20%)",IF(T2946&lt;=0.4,"Medium (21-40%)","High (&gt;40%)"))))</f>
        <v/>
      </c>
      <c r="Y2946" s="23" t="str">
        <f aca="false">IF(AND(ISNUMBER(C2946),ISNUMBER(D2946)),D2946-C2946,"")</f>
        <v/>
      </c>
      <c r="Z2946" s="23" t="str">
        <f aca="false">IF(B2946="","",IF(MATCH(B2946,$B$2:$B$12000,0)=ROW()-1,1,0))</f>
        <v/>
      </c>
    </row>
    <row r="2947" customFormat="false" ht="15" hidden="false" customHeight="false" outlineLevel="0" collapsed="false">
      <c r="V2947" s="23" t="str">
        <f aca="false">IF(ISNUMBER(C2947),YEAR(C2947),"")</f>
        <v/>
      </c>
      <c r="W2947" s="23" t="str">
        <f aca="false">IF(ISNUMBER(C2947),MONTH(C2947),"")</f>
        <v/>
      </c>
      <c r="X2947" s="23" t="str">
        <f aca="false">IF(T2947="","",IF(T2947=0,"No discount",IF(T2947&lt;=0.2,"Low (1-20%)",IF(T2947&lt;=0.4,"Medium (21-40%)","High (&gt;40%)"))))</f>
        <v/>
      </c>
      <c r="Y2947" s="23" t="str">
        <f aca="false">IF(AND(ISNUMBER(C2947),ISNUMBER(D2947)),D2947-C2947,"")</f>
        <v/>
      </c>
      <c r="Z2947" s="23" t="str">
        <f aca="false">IF(B2947="","",IF(MATCH(B2947,$B$2:$B$12000,0)=ROW()-1,1,0))</f>
        <v/>
      </c>
    </row>
    <row r="2948" customFormat="false" ht="15" hidden="false" customHeight="false" outlineLevel="0" collapsed="false">
      <c r="V2948" s="23" t="str">
        <f aca="false">IF(ISNUMBER(C2948),YEAR(C2948),"")</f>
        <v/>
      </c>
      <c r="W2948" s="23" t="str">
        <f aca="false">IF(ISNUMBER(C2948),MONTH(C2948),"")</f>
        <v/>
      </c>
      <c r="X2948" s="23" t="str">
        <f aca="false">IF(T2948="","",IF(T2948=0,"No discount",IF(T2948&lt;=0.2,"Low (1-20%)",IF(T2948&lt;=0.4,"Medium (21-40%)","High (&gt;40%)"))))</f>
        <v/>
      </c>
      <c r="Y2948" s="23" t="str">
        <f aca="false">IF(AND(ISNUMBER(C2948),ISNUMBER(D2948)),D2948-C2948,"")</f>
        <v/>
      </c>
      <c r="Z2948" s="23" t="str">
        <f aca="false">IF(B2948="","",IF(MATCH(B2948,$B$2:$B$12000,0)=ROW()-1,1,0))</f>
        <v/>
      </c>
    </row>
    <row r="2949" customFormat="false" ht="15" hidden="false" customHeight="false" outlineLevel="0" collapsed="false">
      <c r="V2949" s="23" t="str">
        <f aca="false">IF(ISNUMBER(C2949),YEAR(C2949),"")</f>
        <v/>
      </c>
      <c r="W2949" s="23" t="str">
        <f aca="false">IF(ISNUMBER(C2949),MONTH(C2949),"")</f>
        <v/>
      </c>
      <c r="X2949" s="23" t="str">
        <f aca="false">IF(T2949="","",IF(T2949=0,"No discount",IF(T2949&lt;=0.2,"Low (1-20%)",IF(T2949&lt;=0.4,"Medium (21-40%)","High (&gt;40%)"))))</f>
        <v/>
      </c>
      <c r="Y2949" s="23" t="str">
        <f aca="false">IF(AND(ISNUMBER(C2949),ISNUMBER(D2949)),D2949-C2949,"")</f>
        <v/>
      </c>
      <c r="Z2949" s="23" t="str">
        <f aca="false">IF(B2949="","",IF(MATCH(B2949,$B$2:$B$12000,0)=ROW()-1,1,0))</f>
        <v/>
      </c>
    </row>
    <row r="2950" customFormat="false" ht="15" hidden="false" customHeight="false" outlineLevel="0" collapsed="false">
      <c r="V2950" s="23" t="str">
        <f aca="false">IF(ISNUMBER(C2950),YEAR(C2950),"")</f>
        <v/>
      </c>
      <c r="W2950" s="23" t="str">
        <f aca="false">IF(ISNUMBER(C2950),MONTH(C2950),"")</f>
        <v/>
      </c>
      <c r="X2950" s="23" t="str">
        <f aca="false">IF(T2950="","",IF(T2950=0,"No discount",IF(T2950&lt;=0.2,"Low (1-20%)",IF(T2950&lt;=0.4,"Medium (21-40%)","High (&gt;40%)"))))</f>
        <v/>
      </c>
      <c r="Y2950" s="23" t="str">
        <f aca="false">IF(AND(ISNUMBER(C2950),ISNUMBER(D2950)),D2950-C2950,"")</f>
        <v/>
      </c>
      <c r="Z2950" s="23" t="str">
        <f aca="false">IF(B2950="","",IF(MATCH(B2950,$B$2:$B$12000,0)=ROW()-1,1,0))</f>
        <v/>
      </c>
    </row>
    <row r="2951" customFormat="false" ht="15" hidden="false" customHeight="false" outlineLevel="0" collapsed="false">
      <c r="V2951" s="23" t="str">
        <f aca="false">IF(ISNUMBER(C2951),YEAR(C2951),"")</f>
        <v/>
      </c>
      <c r="W2951" s="23" t="str">
        <f aca="false">IF(ISNUMBER(C2951),MONTH(C2951),"")</f>
        <v/>
      </c>
      <c r="X2951" s="23" t="str">
        <f aca="false">IF(T2951="","",IF(T2951=0,"No discount",IF(T2951&lt;=0.2,"Low (1-20%)",IF(T2951&lt;=0.4,"Medium (21-40%)","High (&gt;40%)"))))</f>
        <v/>
      </c>
      <c r="Y2951" s="23" t="str">
        <f aca="false">IF(AND(ISNUMBER(C2951),ISNUMBER(D2951)),D2951-C2951,"")</f>
        <v/>
      </c>
      <c r="Z2951" s="23" t="str">
        <f aca="false">IF(B2951="","",IF(MATCH(B2951,$B$2:$B$12000,0)=ROW()-1,1,0))</f>
        <v/>
      </c>
    </row>
    <row r="2952" customFormat="false" ht="15" hidden="false" customHeight="false" outlineLevel="0" collapsed="false">
      <c r="V2952" s="23" t="str">
        <f aca="false">IF(ISNUMBER(C2952),YEAR(C2952),"")</f>
        <v/>
      </c>
      <c r="W2952" s="23" t="str">
        <f aca="false">IF(ISNUMBER(C2952),MONTH(C2952),"")</f>
        <v/>
      </c>
      <c r="X2952" s="23" t="str">
        <f aca="false">IF(T2952="","",IF(T2952=0,"No discount",IF(T2952&lt;=0.2,"Low (1-20%)",IF(T2952&lt;=0.4,"Medium (21-40%)","High (&gt;40%)"))))</f>
        <v/>
      </c>
      <c r="Y2952" s="23" t="str">
        <f aca="false">IF(AND(ISNUMBER(C2952),ISNUMBER(D2952)),D2952-C2952,"")</f>
        <v/>
      </c>
      <c r="Z2952" s="23" t="str">
        <f aca="false">IF(B2952="","",IF(MATCH(B2952,$B$2:$B$12000,0)=ROW()-1,1,0))</f>
        <v/>
      </c>
    </row>
    <row r="2953" customFormat="false" ht="15" hidden="false" customHeight="false" outlineLevel="0" collapsed="false">
      <c r="V2953" s="23" t="str">
        <f aca="false">IF(ISNUMBER(C2953),YEAR(C2953),"")</f>
        <v/>
      </c>
      <c r="W2953" s="23" t="str">
        <f aca="false">IF(ISNUMBER(C2953),MONTH(C2953),"")</f>
        <v/>
      </c>
      <c r="X2953" s="23" t="str">
        <f aca="false">IF(T2953="","",IF(T2953=0,"No discount",IF(T2953&lt;=0.2,"Low (1-20%)",IF(T2953&lt;=0.4,"Medium (21-40%)","High (&gt;40%)"))))</f>
        <v/>
      </c>
      <c r="Y2953" s="23" t="str">
        <f aca="false">IF(AND(ISNUMBER(C2953),ISNUMBER(D2953)),D2953-C2953,"")</f>
        <v/>
      </c>
      <c r="Z2953" s="23" t="str">
        <f aca="false">IF(B2953="","",IF(MATCH(B2953,$B$2:$B$12000,0)=ROW()-1,1,0))</f>
        <v/>
      </c>
    </row>
    <row r="2954" customFormat="false" ht="15" hidden="false" customHeight="false" outlineLevel="0" collapsed="false">
      <c r="V2954" s="23" t="str">
        <f aca="false">IF(ISNUMBER(C2954),YEAR(C2954),"")</f>
        <v/>
      </c>
      <c r="W2954" s="23" t="str">
        <f aca="false">IF(ISNUMBER(C2954),MONTH(C2954),"")</f>
        <v/>
      </c>
      <c r="X2954" s="23" t="str">
        <f aca="false">IF(T2954="","",IF(T2954=0,"No discount",IF(T2954&lt;=0.2,"Low (1-20%)",IF(T2954&lt;=0.4,"Medium (21-40%)","High (&gt;40%)"))))</f>
        <v/>
      </c>
      <c r="Y2954" s="23" t="str">
        <f aca="false">IF(AND(ISNUMBER(C2954),ISNUMBER(D2954)),D2954-C2954,"")</f>
        <v/>
      </c>
      <c r="Z2954" s="23" t="str">
        <f aca="false">IF(B2954="","",IF(MATCH(B2954,$B$2:$B$12000,0)=ROW()-1,1,0))</f>
        <v/>
      </c>
    </row>
    <row r="2955" customFormat="false" ht="15" hidden="false" customHeight="false" outlineLevel="0" collapsed="false">
      <c r="V2955" s="23" t="str">
        <f aca="false">IF(ISNUMBER(C2955),YEAR(C2955),"")</f>
        <v/>
      </c>
      <c r="W2955" s="23" t="str">
        <f aca="false">IF(ISNUMBER(C2955),MONTH(C2955),"")</f>
        <v/>
      </c>
      <c r="X2955" s="23" t="str">
        <f aca="false">IF(T2955="","",IF(T2955=0,"No discount",IF(T2955&lt;=0.2,"Low (1-20%)",IF(T2955&lt;=0.4,"Medium (21-40%)","High (&gt;40%)"))))</f>
        <v/>
      </c>
      <c r="Y2955" s="23" t="str">
        <f aca="false">IF(AND(ISNUMBER(C2955),ISNUMBER(D2955)),D2955-C2955,"")</f>
        <v/>
      </c>
      <c r="Z2955" s="23" t="str">
        <f aca="false">IF(B2955="","",IF(MATCH(B2955,$B$2:$B$12000,0)=ROW()-1,1,0))</f>
        <v/>
      </c>
    </row>
    <row r="2956" customFormat="false" ht="15" hidden="false" customHeight="false" outlineLevel="0" collapsed="false">
      <c r="V2956" s="23" t="str">
        <f aca="false">IF(ISNUMBER(C2956),YEAR(C2956),"")</f>
        <v/>
      </c>
      <c r="W2956" s="23" t="str">
        <f aca="false">IF(ISNUMBER(C2956),MONTH(C2956),"")</f>
        <v/>
      </c>
      <c r="X2956" s="23" t="str">
        <f aca="false">IF(T2956="","",IF(T2956=0,"No discount",IF(T2956&lt;=0.2,"Low (1-20%)",IF(T2956&lt;=0.4,"Medium (21-40%)","High (&gt;40%)"))))</f>
        <v/>
      </c>
      <c r="Y2956" s="23" t="str">
        <f aca="false">IF(AND(ISNUMBER(C2956),ISNUMBER(D2956)),D2956-C2956,"")</f>
        <v/>
      </c>
      <c r="Z2956" s="23" t="str">
        <f aca="false">IF(B2956="","",IF(MATCH(B2956,$B$2:$B$12000,0)=ROW()-1,1,0))</f>
        <v/>
      </c>
    </row>
    <row r="2957" customFormat="false" ht="15" hidden="false" customHeight="false" outlineLevel="0" collapsed="false">
      <c r="V2957" s="23" t="str">
        <f aca="false">IF(ISNUMBER(C2957),YEAR(C2957),"")</f>
        <v/>
      </c>
      <c r="W2957" s="23" t="str">
        <f aca="false">IF(ISNUMBER(C2957),MONTH(C2957),"")</f>
        <v/>
      </c>
      <c r="X2957" s="23" t="str">
        <f aca="false">IF(T2957="","",IF(T2957=0,"No discount",IF(T2957&lt;=0.2,"Low (1-20%)",IF(T2957&lt;=0.4,"Medium (21-40%)","High (&gt;40%)"))))</f>
        <v/>
      </c>
      <c r="Y2957" s="23" t="str">
        <f aca="false">IF(AND(ISNUMBER(C2957),ISNUMBER(D2957)),D2957-C2957,"")</f>
        <v/>
      </c>
      <c r="Z2957" s="23" t="str">
        <f aca="false">IF(B2957="","",IF(MATCH(B2957,$B$2:$B$12000,0)=ROW()-1,1,0))</f>
        <v/>
      </c>
    </row>
    <row r="2958" customFormat="false" ht="15" hidden="false" customHeight="false" outlineLevel="0" collapsed="false">
      <c r="V2958" s="23" t="str">
        <f aca="false">IF(ISNUMBER(C2958),YEAR(C2958),"")</f>
        <v/>
      </c>
      <c r="W2958" s="23" t="str">
        <f aca="false">IF(ISNUMBER(C2958),MONTH(C2958),"")</f>
        <v/>
      </c>
      <c r="X2958" s="23" t="str">
        <f aca="false">IF(T2958="","",IF(T2958=0,"No discount",IF(T2958&lt;=0.2,"Low (1-20%)",IF(T2958&lt;=0.4,"Medium (21-40%)","High (&gt;40%)"))))</f>
        <v/>
      </c>
      <c r="Y2958" s="23" t="str">
        <f aca="false">IF(AND(ISNUMBER(C2958),ISNUMBER(D2958)),D2958-C2958,"")</f>
        <v/>
      </c>
      <c r="Z2958" s="23" t="str">
        <f aca="false">IF(B2958="","",IF(MATCH(B2958,$B$2:$B$12000,0)=ROW()-1,1,0))</f>
        <v/>
      </c>
    </row>
    <row r="2959" customFormat="false" ht="15" hidden="false" customHeight="false" outlineLevel="0" collapsed="false">
      <c r="V2959" s="23" t="str">
        <f aca="false">IF(ISNUMBER(C2959),YEAR(C2959),"")</f>
        <v/>
      </c>
      <c r="W2959" s="23" t="str">
        <f aca="false">IF(ISNUMBER(C2959),MONTH(C2959),"")</f>
        <v/>
      </c>
      <c r="X2959" s="23" t="str">
        <f aca="false">IF(T2959="","",IF(T2959=0,"No discount",IF(T2959&lt;=0.2,"Low (1-20%)",IF(T2959&lt;=0.4,"Medium (21-40%)","High (&gt;40%)"))))</f>
        <v/>
      </c>
      <c r="Y2959" s="23" t="str">
        <f aca="false">IF(AND(ISNUMBER(C2959),ISNUMBER(D2959)),D2959-C2959,"")</f>
        <v/>
      </c>
      <c r="Z2959" s="23" t="str">
        <f aca="false">IF(B2959="","",IF(MATCH(B2959,$B$2:$B$12000,0)=ROW()-1,1,0))</f>
        <v/>
      </c>
    </row>
    <row r="2960" customFormat="false" ht="15" hidden="false" customHeight="false" outlineLevel="0" collapsed="false">
      <c r="V2960" s="23" t="str">
        <f aca="false">IF(ISNUMBER(C2960),YEAR(C2960),"")</f>
        <v/>
      </c>
      <c r="W2960" s="23" t="str">
        <f aca="false">IF(ISNUMBER(C2960),MONTH(C2960),"")</f>
        <v/>
      </c>
      <c r="X2960" s="23" t="str">
        <f aca="false">IF(T2960="","",IF(T2960=0,"No discount",IF(T2960&lt;=0.2,"Low (1-20%)",IF(T2960&lt;=0.4,"Medium (21-40%)","High (&gt;40%)"))))</f>
        <v/>
      </c>
      <c r="Y2960" s="23" t="str">
        <f aca="false">IF(AND(ISNUMBER(C2960),ISNUMBER(D2960)),D2960-C2960,"")</f>
        <v/>
      </c>
      <c r="Z2960" s="23" t="str">
        <f aca="false">IF(B2960="","",IF(MATCH(B2960,$B$2:$B$12000,0)=ROW()-1,1,0))</f>
        <v/>
      </c>
    </row>
    <row r="2961" customFormat="false" ht="15" hidden="false" customHeight="false" outlineLevel="0" collapsed="false">
      <c r="V2961" s="23" t="str">
        <f aca="false">IF(ISNUMBER(C2961),YEAR(C2961),"")</f>
        <v/>
      </c>
      <c r="W2961" s="23" t="str">
        <f aca="false">IF(ISNUMBER(C2961),MONTH(C2961),"")</f>
        <v/>
      </c>
      <c r="X2961" s="23" t="str">
        <f aca="false">IF(T2961="","",IF(T2961=0,"No discount",IF(T2961&lt;=0.2,"Low (1-20%)",IF(T2961&lt;=0.4,"Medium (21-40%)","High (&gt;40%)"))))</f>
        <v/>
      </c>
      <c r="Y2961" s="23" t="str">
        <f aca="false">IF(AND(ISNUMBER(C2961),ISNUMBER(D2961)),D2961-C2961,"")</f>
        <v/>
      </c>
      <c r="Z2961" s="23" t="str">
        <f aca="false">IF(B2961="","",IF(MATCH(B2961,$B$2:$B$12000,0)=ROW()-1,1,0))</f>
        <v/>
      </c>
    </row>
    <row r="2962" customFormat="false" ht="15" hidden="false" customHeight="false" outlineLevel="0" collapsed="false">
      <c r="V2962" s="23" t="str">
        <f aca="false">IF(ISNUMBER(C2962),YEAR(C2962),"")</f>
        <v/>
      </c>
      <c r="W2962" s="23" t="str">
        <f aca="false">IF(ISNUMBER(C2962),MONTH(C2962),"")</f>
        <v/>
      </c>
      <c r="X2962" s="23" t="str">
        <f aca="false">IF(T2962="","",IF(T2962=0,"No discount",IF(T2962&lt;=0.2,"Low (1-20%)",IF(T2962&lt;=0.4,"Medium (21-40%)","High (&gt;40%)"))))</f>
        <v/>
      </c>
      <c r="Y2962" s="23" t="str">
        <f aca="false">IF(AND(ISNUMBER(C2962),ISNUMBER(D2962)),D2962-C2962,"")</f>
        <v/>
      </c>
      <c r="Z2962" s="23" t="str">
        <f aca="false">IF(B2962="","",IF(MATCH(B2962,$B$2:$B$12000,0)=ROW()-1,1,0))</f>
        <v/>
      </c>
    </row>
    <row r="2963" customFormat="false" ht="15" hidden="false" customHeight="false" outlineLevel="0" collapsed="false">
      <c r="V2963" s="23" t="str">
        <f aca="false">IF(ISNUMBER(C2963),YEAR(C2963),"")</f>
        <v/>
      </c>
      <c r="W2963" s="23" t="str">
        <f aca="false">IF(ISNUMBER(C2963),MONTH(C2963),"")</f>
        <v/>
      </c>
      <c r="X2963" s="23" t="str">
        <f aca="false">IF(T2963="","",IF(T2963=0,"No discount",IF(T2963&lt;=0.2,"Low (1-20%)",IF(T2963&lt;=0.4,"Medium (21-40%)","High (&gt;40%)"))))</f>
        <v/>
      </c>
      <c r="Y2963" s="23" t="str">
        <f aca="false">IF(AND(ISNUMBER(C2963),ISNUMBER(D2963)),D2963-C2963,"")</f>
        <v/>
      </c>
      <c r="Z2963" s="23" t="str">
        <f aca="false">IF(B2963="","",IF(MATCH(B2963,$B$2:$B$12000,0)=ROW()-1,1,0))</f>
        <v/>
      </c>
    </row>
    <row r="2964" customFormat="false" ht="15" hidden="false" customHeight="false" outlineLevel="0" collapsed="false">
      <c r="V2964" s="23" t="str">
        <f aca="false">IF(ISNUMBER(C2964),YEAR(C2964),"")</f>
        <v/>
      </c>
      <c r="W2964" s="23" t="str">
        <f aca="false">IF(ISNUMBER(C2964),MONTH(C2964),"")</f>
        <v/>
      </c>
      <c r="X2964" s="23" t="str">
        <f aca="false">IF(T2964="","",IF(T2964=0,"No discount",IF(T2964&lt;=0.2,"Low (1-20%)",IF(T2964&lt;=0.4,"Medium (21-40%)","High (&gt;40%)"))))</f>
        <v/>
      </c>
      <c r="Y2964" s="23" t="str">
        <f aca="false">IF(AND(ISNUMBER(C2964),ISNUMBER(D2964)),D2964-C2964,"")</f>
        <v/>
      </c>
      <c r="Z2964" s="23" t="str">
        <f aca="false">IF(B2964="","",IF(MATCH(B2964,$B$2:$B$12000,0)=ROW()-1,1,0))</f>
        <v/>
      </c>
    </row>
    <row r="2965" customFormat="false" ht="15" hidden="false" customHeight="false" outlineLevel="0" collapsed="false">
      <c r="V2965" s="23" t="str">
        <f aca="false">IF(ISNUMBER(C2965),YEAR(C2965),"")</f>
        <v/>
      </c>
      <c r="W2965" s="23" t="str">
        <f aca="false">IF(ISNUMBER(C2965),MONTH(C2965),"")</f>
        <v/>
      </c>
      <c r="X2965" s="23" t="str">
        <f aca="false">IF(T2965="","",IF(T2965=0,"No discount",IF(T2965&lt;=0.2,"Low (1-20%)",IF(T2965&lt;=0.4,"Medium (21-40%)","High (&gt;40%)"))))</f>
        <v/>
      </c>
      <c r="Y2965" s="23" t="str">
        <f aca="false">IF(AND(ISNUMBER(C2965),ISNUMBER(D2965)),D2965-C2965,"")</f>
        <v/>
      </c>
      <c r="Z2965" s="23" t="str">
        <f aca="false">IF(B2965="","",IF(MATCH(B2965,$B$2:$B$12000,0)=ROW()-1,1,0))</f>
        <v/>
      </c>
    </row>
    <row r="2966" customFormat="false" ht="15" hidden="false" customHeight="false" outlineLevel="0" collapsed="false">
      <c r="V2966" s="23" t="str">
        <f aca="false">IF(ISNUMBER(C2966),YEAR(C2966),"")</f>
        <v/>
      </c>
      <c r="W2966" s="23" t="str">
        <f aca="false">IF(ISNUMBER(C2966),MONTH(C2966),"")</f>
        <v/>
      </c>
      <c r="X2966" s="23" t="str">
        <f aca="false">IF(T2966="","",IF(T2966=0,"No discount",IF(T2966&lt;=0.2,"Low (1-20%)",IF(T2966&lt;=0.4,"Medium (21-40%)","High (&gt;40%)"))))</f>
        <v/>
      </c>
      <c r="Y2966" s="23" t="str">
        <f aca="false">IF(AND(ISNUMBER(C2966),ISNUMBER(D2966)),D2966-C2966,"")</f>
        <v/>
      </c>
      <c r="Z2966" s="23" t="str">
        <f aca="false">IF(B2966="","",IF(MATCH(B2966,$B$2:$B$12000,0)=ROW()-1,1,0))</f>
        <v/>
      </c>
    </row>
    <row r="2967" customFormat="false" ht="15" hidden="false" customHeight="false" outlineLevel="0" collapsed="false">
      <c r="V2967" s="23" t="str">
        <f aca="false">IF(ISNUMBER(C2967),YEAR(C2967),"")</f>
        <v/>
      </c>
      <c r="W2967" s="23" t="str">
        <f aca="false">IF(ISNUMBER(C2967),MONTH(C2967),"")</f>
        <v/>
      </c>
      <c r="X2967" s="23" t="str">
        <f aca="false">IF(T2967="","",IF(T2967=0,"No discount",IF(T2967&lt;=0.2,"Low (1-20%)",IF(T2967&lt;=0.4,"Medium (21-40%)","High (&gt;40%)"))))</f>
        <v/>
      </c>
      <c r="Y2967" s="23" t="str">
        <f aca="false">IF(AND(ISNUMBER(C2967),ISNUMBER(D2967)),D2967-C2967,"")</f>
        <v/>
      </c>
      <c r="Z2967" s="23" t="str">
        <f aca="false">IF(B2967="","",IF(MATCH(B2967,$B$2:$B$12000,0)=ROW()-1,1,0))</f>
        <v/>
      </c>
    </row>
    <row r="2968" customFormat="false" ht="15" hidden="false" customHeight="false" outlineLevel="0" collapsed="false">
      <c r="V2968" s="23" t="str">
        <f aca="false">IF(ISNUMBER(C2968),YEAR(C2968),"")</f>
        <v/>
      </c>
      <c r="W2968" s="23" t="str">
        <f aca="false">IF(ISNUMBER(C2968),MONTH(C2968),"")</f>
        <v/>
      </c>
      <c r="X2968" s="23" t="str">
        <f aca="false">IF(T2968="","",IF(T2968=0,"No discount",IF(T2968&lt;=0.2,"Low (1-20%)",IF(T2968&lt;=0.4,"Medium (21-40%)","High (&gt;40%)"))))</f>
        <v/>
      </c>
      <c r="Y2968" s="23" t="str">
        <f aca="false">IF(AND(ISNUMBER(C2968),ISNUMBER(D2968)),D2968-C2968,"")</f>
        <v/>
      </c>
      <c r="Z2968" s="23" t="str">
        <f aca="false">IF(B2968="","",IF(MATCH(B2968,$B$2:$B$12000,0)=ROW()-1,1,0))</f>
        <v/>
      </c>
    </row>
    <row r="2969" customFormat="false" ht="15" hidden="false" customHeight="false" outlineLevel="0" collapsed="false">
      <c r="V2969" s="23" t="str">
        <f aca="false">IF(ISNUMBER(C2969),YEAR(C2969),"")</f>
        <v/>
      </c>
      <c r="W2969" s="23" t="str">
        <f aca="false">IF(ISNUMBER(C2969),MONTH(C2969),"")</f>
        <v/>
      </c>
      <c r="X2969" s="23" t="str">
        <f aca="false">IF(T2969="","",IF(T2969=0,"No discount",IF(T2969&lt;=0.2,"Low (1-20%)",IF(T2969&lt;=0.4,"Medium (21-40%)","High (&gt;40%)"))))</f>
        <v/>
      </c>
      <c r="Y2969" s="23" t="str">
        <f aca="false">IF(AND(ISNUMBER(C2969),ISNUMBER(D2969)),D2969-C2969,"")</f>
        <v/>
      </c>
      <c r="Z2969" s="23" t="str">
        <f aca="false">IF(B2969="","",IF(MATCH(B2969,$B$2:$B$12000,0)=ROW()-1,1,0))</f>
        <v/>
      </c>
    </row>
    <row r="2970" customFormat="false" ht="15" hidden="false" customHeight="false" outlineLevel="0" collapsed="false">
      <c r="V2970" s="23" t="str">
        <f aca="false">IF(ISNUMBER(C2970),YEAR(C2970),"")</f>
        <v/>
      </c>
      <c r="W2970" s="23" t="str">
        <f aca="false">IF(ISNUMBER(C2970),MONTH(C2970),"")</f>
        <v/>
      </c>
      <c r="X2970" s="23" t="str">
        <f aca="false">IF(T2970="","",IF(T2970=0,"No discount",IF(T2970&lt;=0.2,"Low (1-20%)",IF(T2970&lt;=0.4,"Medium (21-40%)","High (&gt;40%)"))))</f>
        <v/>
      </c>
      <c r="Y2970" s="23" t="str">
        <f aca="false">IF(AND(ISNUMBER(C2970),ISNUMBER(D2970)),D2970-C2970,"")</f>
        <v/>
      </c>
      <c r="Z2970" s="23" t="str">
        <f aca="false">IF(B2970="","",IF(MATCH(B2970,$B$2:$B$12000,0)=ROW()-1,1,0))</f>
        <v/>
      </c>
    </row>
    <row r="2971" customFormat="false" ht="15" hidden="false" customHeight="false" outlineLevel="0" collapsed="false">
      <c r="V2971" s="23" t="str">
        <f aca="false">IF(ISNUMBER(C2971),YEAR(C2971),"")</f>
        <v/>
      </c>
      <c r="W2971" s="23" t="str">
        <f aca="false">IF(ISNUMBER(C2971),MONTH(C2971),"")</f>
        <v/>
      </c>
      <c r="X2971" s="23" t="str">
        <f aca="false">IF(T2971="","",IF(T2971=0,"No discount",IF(T2971&lt;=0.2,"Low (1-20%)",IF(T2971&lt;=0.4,"Medium (21-40%)","High (&gt;40%)"))))</f>
        <v/>
      </c>
      <c r="Y2971" s="23" t="str">
        <f aca="false">IF(AND(ISNUMBER(C2971),ISNUMBER(D2971)),D2971-C2971,"")</f>
        <v/>
      </c>
      <c r="Z2971" s="23" t="str">
        <f aca="false">IF(B2971="","",IF(MATCH(B2971,$B$2:$B$12000,0)=ROW()-1,1,0))</f>
        <v/>
      </c>
    </row>
    <row r="2972" customFormat="false" ht="15" hidden="false" customHeight="false" outlineLevel="0" collapsed="false">
      <c r="V2972" s="23" t="str">
        <f aca="false">IF(ISNUMBER(C2972),YEAR(C2972),"")</f>
        <v/>
      </c>
      <c r="W2972" s="23" t="str">
        <f aca="false">IF(ISNUMBER(C2972),MONTH(C2972),"")</f>
        <v/>
      </c>
      <c r="X2972" s="23" t="str">
        <f aca="false">IF(T2972="","",IF(T2972=0,"No discount",IF(T2972&lt;=0.2,"Low (1-20%)",IF(T2972&lt;=0.4,"Medium (21-40%)","High (&gt;40%)"))))</f>
        <v/>
      </c>
      <c r="Y2972" s="23" t="str">
        <f aca="false">IF(AND(ISNUMBER(C2972),ISNUMBER(D2972)),D2972-C2972,"")</f>
        <v/>
      </c>
      <c r="Z2972" s="23" t="str">
        <f aca="false">IF(B2972="","",IF(MATCH(B2972,$B$2:$B$12000,0)=ROW()-1,1,0))</f>
        <v/>
      </c>
    </row>
    <row r="2973" customFormat="false" ht="15" hidden="false" customHeight="false" outlineLevel="0" collapsed="false">
      <c r="V2973" s="23" t="str">
        <f aca="false">IF(ISNUMBER(C2973),YEAR(C2973),"")</f>
        <v/>
      </c>
      <c r="W2973" s="23" t="str">
        <f aca="false">IF(ISNUMBER(C2973),MONTH(C2973),"")</f>
        <v/>
      </c>
      <c r="X2973" s="23" t="str">
        <f aca="false">IF(T2973="","",IF(T2973=0,"No discount",IF(T2973&lt;=0.2,"Low (1-20%)",IF(T2973&lt;=0.4,"Medium (21-40%)","High (&gt;40%)"))))</f>
        <v/>
      </c>
      <c r="Y2973" s="23" t="str">
        <f aca="false">IF(AND(ISNUMBER(C2973),ISNUMBER(D2973)),D2973-C2973,"")</f>
        <v/>
      </c>
      <c r="Z2973" s="23" t="str">
        <f aca="false">IF(B2973="","",IF(MATCH(B2973,$B$2:$B$12000,0)=ROW()-1,1,0))</f>
        <v/>
      </c>
    </row>
    <row r="2974" customFormat="false" ht="15" hidden="false" customHeight="false" outlineLevel="0" collapsed="false">
      <c r="V2974" s="23" t="str">
        <f aca="false">IF(ISNUMBER(C2974),YEAR(C2974),"")</f>
        <v/>
      </c>
      <c r="W2974" s="23" t="str">
        <f aca="false">IF(ISNUMBER(C2974),MONTH(C2974),"")</f>
        <v/>
      </c>
      <c r="X2974" s="23" t="str">
        <f aca="false">IF(T2974="","",IF(T2974=0,"No discount",IF(T2974&lt;=0.2,"Low (1-20%)",IF(T2974&lt;=0.4,"Medium (21-40%)","High (&gt;40%)"))))</f>
        <v/>
      </c>
      <c r="Y2974" s="23" t="str">
        <f aca="false">IF(AND(ISNUMBER(C2974),ISNUMBER(D2974)),D2974-C2974,"")</f>
        <v/>
      </c>
      <c r="Z2974" s="23" t="str">
        <f aca="false">IF(B2974="","",IF(MATCH(B2974,$B$2:$B$12000,0)=ROW()-1,1,0))</f>
        <v/>
      </c>
    </row>
    <row r="2975" customFormat="false" ht="15" hidden="false" customHeight="false" outlineLevel="0" collapsed="false">
      <c r="V2975" s="23" t="str">
        <f aca="false">IF(ISNUMBER(C2975),YEAR(C2975),"")</f>
        <v/>
      </c>
      <c r="W2975" s="23" t="str">
        <f aca="false">IF(ISNUMBER(C2975),MONTH(C2975),"")</f>
        <v/>
      </c>
      <c r="X2975" s="23" t="str">
        <f aca="false">IF(T2975="","",IF(T2975=0,"No discount",IF(T2975&lt;=0.2,"Low (1-20%)",IF(T2975&lt;=0.4,"Medium (21-40%)","High (&gt;40%)"))))</f>
        <v/>
      </c>
      <c r="Y2975" s="23" t="str">
        <f aca="false">IF(AND(ISNUMBER(C2975),ISNUMBER(D2975)),D2975-C2975,"")</f>
        <v/>
      </c>
      <c r="Z2975" s="23" t="str">
        <f aca="false">IF(B2975="","",IF(MATCH(B2975,$B$2:$B$12000,0)=ROW()-1,1,0))</f>
        <v/>
      </c>
    </row>
    <row r="2976" customFormat="false" ht="15" hidden="false" customHeight="false" outlineLevel="0" collapsed="false">
      <c r="V2976" s="23" t="str">
        <f aca="false">IF(ISNUMBER(C2976),YEAR(C2976),"")</f>
        <v/>
      </c>
      <c r="W2976" s="23" t="str">
        <f aca="false">IF(ISNUMBER(C2976),MONTH(C2976),"")</f>
        <v/>
      </c>
      <c r="X2976" s="23" t="str">
        <f aca="false">IF(T2976="","",IF(T2976=0,"No discount",IF(T2976&lt;=0.2,"Low (1-20%)",IF(T2976&lt;=0.4,"Medium (21-40%)","High (&gt;40%)"))))</f>
        <v/>
      </c>
      <c r="Y2976" s="23" t="str">
        <f aca="false">IF(AND(ISNUMBER(C2976),ISNUMBER(D2976)),D2976-C2976,"")</f>
        <v/>
      </c>
      <c r="Z2976" s="23" t="str">
        <f aca="false">IF(B2976="","",IF(MATCH(B2976,$B$2:$B$12000,0)=ROW()-1,1,0))</f>
        <v/>
      </c>
    </row>
    <row r="2977" customFormat="false" ht="15" hidden="false" customHeight="false" outlineLevel="0" collapsed="false">
      <c r="V2977" s="23" t="str">
        <f aca="false">IF(ISNUMBER(C2977),YEAR(C2977),"")</f>
        <v/>
      </c>
      <c r="W2977" s="23" t="str">
        <f aca="false">IF(ISNUMBER(C2977),MONTH(C2977),"")</f>
        <v/>
      </c>
      <c r="X2977" s="23" t="str">
        <f aca="false">IF(T2977="","",IF(T2977=0,"No discount",IF(T2977&lt;=0.2,"Low (1-20%)",IF(T2977&lt;=0.4,"Medium (21-40%)","High (&gt;40%)"))))</f>
        <v/>
      </c>
      <c r="Y2977" s="23" t="str">
        <f aca="false">IF(AND(ISNUMBER(C2977),ISNUMBER(D2977)),D2977-C2977,"")</f>
        <v/>
      </c>
      <c r="Z2977" s="23" t="str">
        <f aca="false">IF(B2977="","",IF(MATCH(B2977,$B$2:$B$12000,0)=ROW()-1,1,0))</f>
        <v/>
      </c>
    </row>
    <row r="2978" customFormat="false" ht="15" hidden="false" customHeight="false" outlineLevel="0" collapsed="false">
      <c r="V2978" s="23" t="str">
        <f aca="false">IF(ISNUMBER(C2978),YEAR(C2978),"")</f>
        <v/>
      </c>
      <c r="W2978" s="23" t="str">
        <f aca="false">IF(ISNUMBER(C2978),MONTH(C2978),"")</f>
        <v/>
      </c>
      <c r="X2978" s="23" t="str">
        <f aca="false">IF(T2978="","",IF(T2978=0,"No discount",IF(T2978&lt;=0.2,"Low (1-20%)",IF(T2978&lt;=0.4,"Medium (21-40%)","High (&gt;40%)"))))</f>
        <v/>
      </c>
      <c r="Y2978" s="23" t="str">
        <f aca="false">IF(AND(ISNUMBER(C2978),ISNUMBER(D2978)),D2978-C2978,"")</f>
        <v/>
      </c>
      <c r="Z2978" s="23" t="str">
        <f aca="false">IF(B2978="","",IF(MATCH(B2978,$B$2:$B$12000,0)=ROW()-1,1,0))</f>
        <v/>
      </c>
    </row>
    <row r="2979" customFormat="false" ht="15" hidden="false" customHeight="false" outlineLevel="0" collapsed="false">
      <c r="V2979" s="23" t="str">
        <f aca="false">IF(ISNUMBER(C2979),YEAR(C2979),"")</f>
        <v/>
      </c>
      <c r="W2979" s="23" t="str">
        <f aca="false">IF(ISNUMBER(C2979),MONTH(C2979),"")</f>
        <v/>
      </c>
      <c r="X2979" s="23" t="str">
        <f aca="false">IF(T2979="","",IF(T2979=0,"No discount",IF(T2979&lt;=0.2,"Low (1-20%)",IF(T2979&lt;=0.4,"Medium (21-40%)","High (&gt;40%)"))))</f>
        <v/>
      </c>
      <c r="Y2979" s="23" t="str">
        <f aca="false">IF(AND(ISNUMBER(C2979),ISNUMBER(D2979)),D2979-C2979,"")</f>
        <v/>
      </c>
      <c r="Z2979" s="23" t="str">
        <f aca="false">IF(B2979="","",IF(MATCH(B2979,$B$2:$B$12000,0)=ROW()-1,1,0))</f>
        <v/>
      </c>
    </row>
    <row r="2980" customFormat="false" ht="15" hidden="false" customHeight="false" outlineLevel="0" collapsed="false">
      <c r="V2980" s="23" t="str">
        <f aca="false">IF(ISNUMBER(C2980),YEAR(C2980),"")</f>
        <v/>
      </c>
      <c r="W2980" s="23" t="str">
        <f aca="false">IF(ISNUMBER(C2980),MONTH(C2980),"")</f>
        <v/>
      </c>
      <c r="X2980" s="23" t="str">
        <f aca="false">IF(T2980="","",IF(T2980=0,"No discount",IF(T2980&lt;=0.2,"Low (1-20%)",IF(T2980&lt;=0.4,"Medium (21-40%)","High (&gt;40%)"))))</f>
        <v/>
      </c>
      <c r="Y2980" s="23" t="str">
        <f aca="false">IF(AND(ISNUMBER(C2980),ISNUMBER(D2980)),D2980-C2980,"")</f>
        <v/>
      </c>
      <c r="Z2980" s="23" t="str">
        <f aca="false">IF(B2980="","",IF(MATCH(B2980,$B$2:$B$12000,0)=ROW()-1,1,0))</f>
        <v/>
      </c>
    </row>
    <row r="2981" customFormat="false" ht="15" hidden="false" customHeight="false" outlineLevel="0" collapsed="false">
      <c r="V2981" s="23" t="str">
        <f aca="false">IF(ISNUMBER(C2981),YEAR(C2981),"")</f>
        <v/>
      </c>
      <c r="W2981" s="23" t="str">
        <f aca="false">IF(ISNUMBER(C2981),MONTH(C2981),"")</f>
        <v/>
      </c>
      <c r="X2981" s="23" t="str">
        <f aca="false">IF(T2981="","",IF(T2981=0,"No discount",IF(T2981&lt;=0.2,"Low (1-20%)",IF(T2981&lt;=0.4,"Medium (21-40%)","High (&gt;40%)"))))</f>
        <v/>
      </c>
      <c r="Y2981" s="23" t="str">
        <f aca="false">IF(AND(ISNUMBER(C2981),ISNUMBER(D2981)),D2981-C2981,"")</f>
        <v/>
      </c>
      <c r="Z2981" s="23" t="str">
        <f aca="false">IF(B2981="","",IF(MATCH(B2981,$B$2:$B$12000,0)=ROW()-1,1,0))</f>
        <v/>
      </c>
    </row>
    <row r="2982" customFormat="false" ht="15" hidden="false" customHeight="false" outlineLevel="0" collapsed="false">
      <c r="V2982" s="23" t="str">
        <f aca="false">IF(ISNUMBER(C2982),YEAR(C2982),"")</f>
        <v/>
      </c>
      <c r="W2982" s="23" t="str">
        <f aca="false">IF(ISNUMBER(C2982),MONTH(C2982),"")</f>
        <v/>
      </c>
      <c r="X2982" s="23" t="str">
        <f aca="false">IF(T2982="","",IF(T2982=0,"No discount",IF(T2982&lt;=0.2,"Low (1-20%)",IF(T2982&lt;=0.4,"Medium (21-40%)","High (&gt;40%)"))))</f>
        <v/>
      </c>
      <c r="Y2982" s="23" t="str">
        <f aca="false">IF(AND(ISNUMBER(C2982),ISNUMBER(D2982)),D2982-C2982,"")</f>
        <v/>
      </c>
      <c r="Z2982" s="23" t="str">
        <f aca="false">IF(B2982="","",IF(MATCH(B2982,$B$2:$B$12000,0)=ROW()-1,1,0))</f>
        <v/>
      </c>
    </row>
    <row r="2983" customFormat="false" ht="15" hidden="false" customHeight="false" outlineLevel="0" collapsed="false">
      <c r="V2983" s="23" t="str">
        <f aca="false">IF(ISNUMBER(C2983),YEAR(C2983),"")</f>
        <v/>
      </c>
      <c r="W2983" s="23" t="str">
        <f aca="false">IF(ISNUMBER(C2983),MONTH(C2983),"")</f>
        <v/>
      </c>
      <c r="X2983" s="23" t="str">
        <f aca="false">IF(T2983="","",IF(T2983=0,"No discount",IF(T2983&lt;=0.2,"Low (1-20%)",IF(T2983&lt;=0.4,"Medium (21-40%)","High (&gt;40%)"))))</f>
        <v/>
      </c>
      <c r="Y2983" s="23" t="str">
        <f aca="false">IF(AND(ISNUMBER(C2983),ISNUMBER(D2983)),D2983-C2983,"")</f>
        <v/>
      </c>
      <c r="Z2983" s="23" t="str">
        <f aca="false">IF(B2983="","",IF(MATCH(B2983,$B$2:$B$12000,0)=ROW()-1,1,0))</f>
        <v/>
      </c>
    </row>
    <row r="2984" customFormat="false" ht="15" hidden="false" customHeight="false" outlineLevel="0" collapsed="false">
      <c r="V2984" s="23" t="str">
        <f aca="false">IF(ISNUMBER(C2984),YEAR(C2984),"")</f>
        <v/>
      </c>
      <c r="W2984" s="23" t="str">
        <f aca="false">IF(ISNUMBER(C2984),MONTH(C2984),"")</f>
        <v/>
      </c>
      <c r="X2984" s="23" t="str">
        <f aca="false">IF(T2984="","",IF(T2984=0,"No discount",IF(T2984&lt;=0.2,"Low (1-20%)",IF(T2984&lt;=0.4,"Medium (21-40%)","High (&gt;40%)"))))</f>
        <v/>
      </c>
      <c r="Y2984" s="23" t="str">
        <f aca="false">IF(AND(ISNUMBER(C2984),ISNUMBER(D2984)),D2984-C2984,"")</f>
        <v/>
      </c>
      <c r="Z2984" s="23" t="str">
        <f aca="false">IF(B2984="","",IF(MATCH(B2984,$B$2:$B$12000,0)=ROW()-1,1,0))</f>
        <v/>
      </c>
    </row>
    <row r="2985" customFormat="false" ht="15" hidden="false" customHeight="false" outlineLevel="0" collapsed="false">
      <c r="V2985" s="23" t="str">
        <f aca="false">IF(ISNUMBER(C2985),YEAR(C2985),"")</f>
        <v/>
      </c>
      <c r="W2985" s="23" t="str">
        <f aca="false">IF(ISNUMBER(C2985),MONTH(C2985),"")</f>
        <v/>
      </c>
      <c r="X2985" s="23" t="str">
        <f aca="false">IF(T2985="","",IF(T2985=0,"No discount",IF(T2985&lt;=0.2,"Low (1-20%)",IF(T2985&lt;=0.4,"Medium (21-40%)","High (&gt;40%)"))))</f>
        <v/>
      </c>
      <c r="Y2985" s="23" t="str">
        <f aca="false">IF(AND(ISNUMBER(C2985),ISNUMBER(D2985)),D2985-C2985,"")</f>
        <v/>
      </c>
      <c r="Z2985" s="23" t="str">
        <f aca="false">IF(B2985="","",IF(MATCH(B2985,$B$2:$B$12000,0)=ROW()-1,1,0))</f>
        <v/>
      </c>
    </row>
    <row r="2986" customFormat="false" ht="15" hidden="false" customHeight="false" outlineLevel="0" collapsed="false">
      <c r="V2986" s="23" t="str">
        <f aca="false">IF(ISNUMBER(C2986),YEAR(C2986),"")</f>
        <v/>
      </c>
      <c r="W2986" s="23" t="str">
        <f aca="false">IF(ISNUMBER(C2986),MONTH(C2986),"")</f>
        <v/>
      </c>
      <c r="X2986" s="23" t="str">
        <f aca="false">IF(T2986="","",IF(T2986=0,"No discount",IF(T2986&lt;=0.2,"Low (1-20%)",IF(T2986&lt;=0.4,"Medium (21-40%)","High (&gt;40%)"))))</f>
        <v/>
      </c>
      <c r="Y2986" s="23" t="str">
        <f aca="false">IF(AND(ISNUMBER(C2986),ISNUMBER(D2986)),D2986-C2986,"")</f>
        <v/>
      </c>
      <c r="Z2986" s="23" t="str">
        <f aca="false">IF(B2986="","",IF(MATCH(B2986,$B$2:$B$12000,0)=ROW()-1,1,0))</f>
        <v/>
      </c>
    </row>
    <row r="2987" customFormat="false" ht="15" hidden="false" customHeight="false" outlineLevel="0" collapsed="false">
      <c r="V2987" s="23" t="str">
        <f aca="false">IF(ISNUMBER(C2987),YEAR(C2987),"")</f>
        <v/>
      </c>
      <c r="W2987" s="23" t="str">
        <f aca="false">IF(ISNUMBER(C2987),MONTH(C2987),"")</f>
        <v/>
      </c>
      <c r="X2987" s="23" t="str">
        <f aca="false">IF(T2987="","",IF(T2987=0,"No discount",IF(T2987&lt;=0.2,"Low (1-20%)",IF(T2987&lt;=0.4,"Medium (21-40%)","High (&gt;40%)"))))</f>
        <v/>
      </c>
      <c r="Y2987" s="23" t="str">
        <f aca="false">IF(AND(ISNUMBER(C2987),ISNUMBER(D2987)),D2987-C2987,"")</f>
        <v/>
      </c>
      <c r="Z2987" s="23" t="str">
        <f aca="false">IF(B2987="","",IF(MATCH(B2987,$B$2:$B$12000,0)=ROW()-1,1,0))</f>
        <v/>
      </c>
    </row>
    <row r="2988" customFormat="false" ht="15" hidden="false" customHeight="false" outlineLevel="0" collapsed="false">
      <c r="V2988" s="23" t="str">
        <f aca="false">IF(ISNUMBER(C2988),YEAR(C2988),"")</f>
        <v/>
      </c>
      <c r="W2988" s="23" t="str">
        <f aca="false">IF(ISNUMBER(C2988),MONTH(C2988),"")</f>
        <v/>
      </c>
      <c r="X2988" s="23" t="str">
        <f aca="false">IF(T2988="","",IF(T2988=0,"No discount",IF(T2988&lt;=0.2,"Low (1-20%)",IF(T2988&lt;=0.4,"Medium (21-40%)","High (&gt;40%)"))))</f>
        <v/>
      </c>
      <c r="Y2988" s="23" t="str">
        <f aca="false">IF(AND(ISNUMBER(C2988),ISNUMBER(D2988)),D2988-C2988,"")</f>
        <v/>
      </c>
      <c r="Z2988" s="23" t="str">
        <f aca="false">IF(B2988="","",IF(MATCH(B2988,$B$2:$B$12000,0)=ROW()-1,1,0))</f>
        <v/>
      </c>
    </row>
    <row r="2989" customFormat="false" ht="15" hidden="false" customHeight="false" outlineLevel="0" collapsed="false">
      <c r="V2989" s="23" t="str">
        <f aca="false">IF(ISNUMBER(C2989),YEAR(C2989),"")</f>
        <v/>
      </c>
      <c r="W2989" s="23" t="str">
        <f aca="false">IF(ISNUMBER(C2989),MONTH(C2989),"")</f>
        <v/>
      </c>
      <c r="X2989" s="23" t="str">
        <f aca="false">IF(T2989="","",IF(T2989=0,"No discount",IF(T2989&lt;=0.2,"Low (1-20%)",IF(T2989&lt;=0.4,"Medium (21-40%)","High (&gt;40%)"))))</f>
        <v/>
      </c>
      <c r="Y2989" s="23" t="str">
        <f aca="false">IF(AND(ISNUMBER(C2989),ISNUMBER(D2989)),D2989-C2989,"")</f>
        <v/>
      </c>
      <c r="Z2989" s="23" t="str">
        <f aca="false">IF(B2989="","",IF(MATCH(B2989,$B$2:$B$12000,0)=ROW()-1,1,0))</f>
        <v/>
      </c>
    </row>
    <row r="2990" customFormat="false" ht="15" hidden="false" customHeight="false" outlineLevel="0" collapsed="false">
      <c r="V2990" s="23" t="str">
        <f aca="false">IF(ISNUMBER(C2990),YEAR(C2990),"")</f>
        <v/>
      </c>
      <c r="W2990" s="23" t="str">
        <f aca="false">IF(ISNUMBER(C2990),MONTH(C2990),"")</f>
        <v/>
      </c>
      <c r="X2990" s="23" t="str">
        <f aca="false">IF(T2990="","",IF(T2990=0,"No discount",IF(T2990&lt;=0.2,"Low (1-20%)",IF(T2990&lt;=0.4,"Medium (21-40%)","High (&gt;40%)"))))</f>
        <v/>
      </c>
      <c r="Y2990" s="23" t="str">
        <f aca="false">IF(AND(ISNUMBER(C2990),ISNUMBER(D2990)),D2990-C2990,"")</f>
        <v/>
      </c>
      <c r="Z2990" s="23" t="str">
        <f aca="false">IF(B2990="","",IF(MATCH(B2990,$B$2:$B$12000,0)=ROW()-1,1,0))</f>
        <v/>
      </c>
    </row>
    <row r="2991" customFormat="false" ht="15" hidden="false" customHeight="false" outlineLevel="0" collapsed="false">
      <c r="V2991" s="23" t="str">
        <f aca="false">IF(ISNUMBER(C2991),YEAR(C2991),"")</f>
        <v/>
      </c>
      <c r="W2991" s="23" t="str">
        <f aca="false">IF(ISNUMBER(C2991),MONTH(C2991),"")</f>
        <v/>
      </c>
      <c r="X2991" s="23" t="str">
        <f aca="false">IF(T2991="","",IF(T2991=0,"No discount",IF(T2991&lt;=0.2,"Low (1-20%)",IF(T2991&lt;=0.4,"Medium (21-40%)","High (&gt;40%)"))))</f>
        <v/>
      </c>
      <c r="Y2991" s="23" t="str">
        <f aca="false">IF(AND(ISNUMBER(C2991),ISNUMBER(D2991)),D2991-C2991,"")</f>
        <v/>
      </c>
      <c r="Z2991" s="23" t="str">
        <f aca="false">IF(B2991="","",IF(MATCH(B2991,$B$2:$B$12000,0)=ROW()-1,1,0))</f>
        <v/>
      </c>
    </row>
    <row r="2992" customFormat="false" ht="15" hidden="false" customHeight="false" outlineLevel="0" collapsed="false">
      <c r="V2992" s="23" t="str">
        <f aca="false">IF(ISNUMBER(C2992),YEAR(C2992),"")</f>
        <v/>
      </c>
      <c r="W2992" s="23" t="str">
        <f aca="false">IF(ISNUMBER(C2992),MONTH(C2992),"")</f>
        <v/>
      </c>
      <c r="X2992" s="23" t="str">
        <f aca="false">IF(T2992="","",IF(T2992=0,"No discount",IF(T2992&lt;=0.2,"Low (1-20%)",IF(T2992&lt;=0.4,"Medium (21-40%)","High (&gt;40%)"))))</f>
        <v/>
      </c>
      <c r="Y2992" s="23" t="str">
        <f aca="false">IF(AND(ISNUMBER(C2992),ISNUMBER(D2992)),D2992-C2992,"")</f>
        <v/>
      </c>
      <c r="Z2992" s="23" t="str">
        <f aca="false">IF(B2992="","",IF(MATCH(B2992,$B$2:$B$12000,0)=ROW()-1,1,0))</f>
        <v/>
      </c>
    </row>
    <row r="2993" customFormat="false" ht="15" hidden="false" customHeight="false" outlineLevel="0" collapsed="false">
      <c r="V2993" s="23" t="str">
        <f aca="false">IF(ISNUMBER(C2993),YEAR(C2993),"")</f>
        <v/>
      </c>
      <c r="W2993" s="23" t="str">
        <f aca="false">IF(ISNUMBER(C2993),MONTH(C2993),"")</f>
        <v/>
      </c>
      <c r="X2993" s="23" t="str">
        <f aca="false">IF(T2993="","",IF(T2993=0,"No discount",IF(T2993&lt;=0.2,"Low (1-20%)",IF(T2993&lt;=0.4,"Medium (21-40%)","High (&gt;40%)"))))</f>
        <v/>
      </c>
      <c r="Y2993" s="23" t="str">
        <f aca="false">IF(AND(ISNUMBER(C2993),ISNUMBER(D2993)),D2993-C2993,"")</f>
        <v/>
      </c>
      <c r="Z2993" s="23" t="str">
        <f aca="false">IF(B2993="","",IF(MATCH(B2993,$B$2:$B$12000,0)=ROW()-1,1,0))</f>
        <v/>
      </c>
    </row>
    <row r="2994" customFormat="false" ht="15" hidden="false" customHeight="false" outlineLevel="0" collapsed="false">
      <c r="V2994" s="23" t="str">
        <f aca="false">IF(ISNUMBER(C2994),YEAR(C2994),"")</f>
        <v/>
      </c>
      <c r="W2994" s="23" t="str">
        <f aca="false">IF(ISNUMBER(C2994),MONTH(C2994),"")</f>
        <v/>
      </c>
      <c r="X2994" s="23" t="str">
        <f aca="false">IF(T2994="","",IF(T2994=0,"No discount",IF(T2994&lt;=0.2,"Low (1-20%)",IF(T2994&lt;=0.4,"Medium (21-40%)","High (&gt;40%)"))))</f>
        <v/>
      </c>
      <c r="Y2994" s="23" t="str">
        <f aca="false">IF(AND(ISNUMBER(C2994),ISNUMBER(D2994)),D2994-C2994,"")</f>
        <v/>
      </c>
      <c r="Z2994" s="23" t="str">
        <f aca="false">IF(B2994="","",IF(MATCH(B2994,$B$2:$B$12000,0)=ROW()-1,1,0))</f>
        <v/>
      </c>
    </row>
    <row r="2995" customFormat="false" ht="15" hidden="false" customHeight="false" outlineLevel="0" collapsed="false">
      <c r="V2995" s="23" t="str">
        <f aca="false">IF(ISNUMBER(C2995),YEAR(C2995),"")</f>
        <v/>
      </c>
      <c r="W2995" s="23" t="str">
        <f aca="false">IF(ISNUMBER(C2995),MONTH(C2995),"")</f>
        <v/>
      </c>
      <c r="X2995" s="23" t="str">
        <f aca="false">IF(T2995="","",IF(T2995=0,"No discount",IF(T2995&lt;=0.2,"Low (1-20%)",IF(T2995&lt;=0.4,"Medium (21-40%)","High (&gt;40%)"))))</f>
        <v/>
      </c>
      <c r="Y2995" s="23" t="str">
        <f aca="false">IF(AND(ISNUMBER(C2995),ISNUMBER(D2995)),D2995-C2995,"")</f>
        <v/>
      </c>
      <c r="Z2995" s="23" t="str">
        <f aca="false">IF(B2995="","",IF(MATCH(B2995,$B$2:$B$12000,0)=ROW()-1,1,0))</f>
        <v/>
      </c>
    </row>
    <row r="2996" customFormat="false" ht="15" hidden="false" customHeight="false" outlineLevel="0" collapsed="false">
      <c r="V2996" s="23" t="str">
        <f aca="false">IF(ISNUMBER(C2996),YEAR(C2996),"")</f>
        <v/>
      </c>
      <c r="W2996" s="23" t="str">
        <f aca="false">IF(ISNUMBER(C2996),MONTH(C2996),"")</f>
        <v/>
      </c>
      <c r="X2996" s="23" t="str">
        <f aca="false">IF(T2996="","",IF(T2996=0,"No discount",IF(T2996&lt;=0.2,"Low (1-20%)",IF(T2996&lt;=0.4,"Medium (21-40%)","High (&gt;40%)"))))</f>
        <v/>
      </c>
      <c r="Y2996" s="23" t="str">
        <f aca="false">IF(AND(ISNUMBER(C2996),ISNUMBER(D2996)),D2996-C2996,"")</f>
        <v/>
      </c>
      <c r="Z2996" s="23" t="str">
        <f aca="false">IF(B2996="","",IF(MATCH(B2996,$B$2:$B$12000,0)=ROW()-1,1,0))</f>
        <v/>
      </c>
    </row>
    <row r="2997" customFormat="false" ht="15" hidden="false" customHeight="false" outlineLevel="0" collapsed="false">
      <c r="V2997" s="23" t="str">
        <f aca="false">IF(ISNUMBER(C2997),YEAR(C2997),"")</f>
        <v/>
      </c>
      <c r="W2997" s="23" t="str">
        <f aca="false">IF(ISNUMBER(C2997),MONTH(C2997),"")</f>
        <v/>
      </c>
      <c r="X2997" s="23" t="str">
        <f aca="false">IF(T2997="","",IF(T2997=0,"No discount",IF(T2997&lt;=0.2,"Low (1-20%)",IF(T2997&lt;=0.4,"Medium (21-40%)","High (&gt;40%)"))))</f>
        <v/>
      </c>
      <c r="Y2997" s="23" t="str">
        <f aca="false">IF(AND(ISNUMBER(C2997),ISNUMBER(D2997)),D2997-C2997,"")</f>
        <v/>
      </c>
      <c r="Z2997" s="23" t="str">
        <f aca="false">IF(B2997="","",IF(MATCH(B2997,$B$2:$B$12000,0)=ROW()-1,1,0))</f>
        <v/>
      </c>
    </row>
    <row r="2998" customFormat="false" ht="15" hidden="false" customHeight="false" outlineLevel="0" collapsed="false">
      <c r="V2998" s="23" t="str">
        <f aca="false">IF(ISNUMBER(C2998),YEAR(C2998),"")</f>
        <v/>
      </c>
      <c r="W2998" s="23" t="str">
        <f aca="false">IF(ISNUMBER(C2998),MONTH(C2998),"")</f>
        <v/>
      </c>
      <c r="X2998" s="23" t="str">
        <f aca="false">IF(T2998="","",IF(T2998=0,"No discount",IF(T2998&lt;=0.2,"Low (1-20%)",IF(T2998&lt;=0.4,"Medium (21-40%)","High (&gt;40%)"))))</f>
        <v/>
      </c>
      <c r="Y2998" s="23" t="str">
        <f aca="false">IF(AND(ISNUMBER(C2998),ISNUMBER(D2998)),D2998-C2998,"")</f>
        <v/>
      </c>
      <c r="Z2998" s="23" t="str">
        <f aca="false">IF(B2998="","",IF(MATCH(B2998,$B$2:$B$12000,0)=ROW()-1,1,0))</f>
        <v/>
      </c>
    </row>
    <row r="2999" customFormat="false" ht="15" hidden="false" customHeight="false" outlineLevel="0" collapsed="false">
      <c r="V2999" s="23" t="str">
        <f aca="false">IF(ISNUMBER(C2999),YEAR(C2999),"")</f>
        <v/>
      </c>
      <c r="W2999" s="23" t="str">
        <f aca="false">IF(ISNUMBER(C2999),MONTH(C2999),"")</f>
        <v/>
      </c>
      <c r="X2999" s="23" t="str">
        <f aca="false">IF(T2999="","",IF(T2999=0,"No discount",IF(T2999&lt;=0.2,"Low (1-20%)",IF(T2999&lt;=0.4,"Medium (21-40%)","High (&gt;40%)"))))</f>
        <v/>
      </c>
      <c r="Y2999" s="23" t="str">
        <f aca="false">IF(AND(ISNUMBER(C2999),ISNUMBER(D2999)),D2999-C2999,"")</f>
        <v/>
      </c>
      <c r="Z2999" s="23" t="str">
        <f aca="false">IF(B2999="","",IF(MATCH(B2999,$B$2:$B$12000,0)=ROW()-1,1,0))</f>
        <v/>
      </c>
    </row>
    <row r="3000" customFormat="false" ht="15" hidden="false" customHeight="false" outlineLevel="0" collapsed="false">
      <c r="V3000" s="23" t="str">
        <f aca="false">IF(ISNUMBER(C3000),YEAR(C3000),"")</f>
        <v/>
      </c>
      <c r="W3000" s="23" t="str">
        <f aca="false">IF(ISNUMBER(C3000),MONTH(C3000),"")</f>
        <v/>
      </c>
      <c r="X3000" s="23" t="str">
        <f aca="false">IF(T3000="","",IF(T3000=0,"No discount",IF(T3000&lt;=0.2,"Low (1-20%)",IF(T3000&lt;=0.4,"Medium (21-40%)","High (&gt;40%)"))))</f>
        <v/>
      </c>
      <c r="Y3000" s="23" t="str">
        <f aca="false">IF(AND(ISNUMBER(C3000),ISNUMBER(D3000)),D3000-C3000,"")</f>
        <v/>
      </c>
      <c r="Z3000" s="23" t="str">
        <f aca="false">IF(B3000="","",IF(MATCH(B3000,$B$2:$B$12000,0)=ROW()-1,1,0))</f>
        <v/>
      </c>
    </row>
    <row r="3001" customFormat="false" ht="15" hidden="false" customHeight="false" outlineLevel="0" collapsed="false">
      <c r="V3001" s="23" t="str">
        <f aca="false">IF(ISNUMBER(C3001),YEAR(C3001),"")</f>
        <v/>
      </c>
      <c r="W3001" s="23" t="str">
        <f aca="false">IF(ISNUMBER(C3001),MONTH(C3001),"")</f>
        <v/>
      </c>
      <c r="X3001" s="23" t="str">
        <f aca="false">IF(T3001="","",IF(T3001=0,"No discount",IF(T3001&lt;=0.2,"Low (1-20%)",IF(T3001&lt;=0.4,"Medium (21-40%)","High (&gt;40%)"))))</f>
        <v/>
      </c>
      <c r="Y3001" s="23" t="str">
        <f aca="false">IF(AND(ISNUMBER(C3001),ISNUMBER(D3001)),D3001-C3001,"")</f>
        <v/>
      </c>
      <c r="Z3001" s="23" t="str">
        <f aca="false">IF(B3001="","",IF(MATCH(B3001,$B$2:$B$12000,0)=ROW()-1,1,0))</f>
        <v/>
      </c>
    </row>
    <row r="3002" customFormat="false" ht="15" hidden="false" customHeight="false" outlineLevel="0" collapsed="false">
      <c r="V3002" s="23" t="str">
        <f aca="false">IF(ISNUMBER(C3002),YEAR(C3002),"")</f>
        <v/>
      </c>
      <c r="W3002" s="23" t="str">
        <f aca="false">IF(ISNUMBER(C3002),MONTH(C3002),"")</f>
        <v/>
      </c>
      <c r="X3002" s="23" t="str">
        <f aca="false">IF(T3002="","",IF(T3002=0,"No discount",IF(T3002&lt;=0.2,"Low (1-20%)",IF(T3002&lt;=0.4,"Medium (21-40%)","High (&gt;40%)"))))</f>
        <v/>
      </c>
      <c r="Y3002" s="23" t="str">
        <f aca="false">IF(AND(ISNUMBER(C3002),ISNUMBER(D3002)),D3002-C3002,"")</f>
        <v/>
      </c>
      <c r="Z3002" s="23" t="str">
        <f aca="false">IF(B3002="","",IF(MATCH(B3002,$B$2:$B$12000,0)=ROW()-1,1,0))</f>
        <v/>
      </c>
    </row>
    <row r="3003" customFormat="false" ht="15" hidden="false" customHeight="false" outlineLevel="0" collapsed="false">
      <c r="V3003" s="23" t="str">
        <f aca="false">IF(ISNUMBER(C3003),YEAR(C3003),"")</f>
        <v/>
      </c>
      <c r="W3003" s="23" t="str">
        <f aca="false">IF(ISNUMBER(C3003),MONTH(C3003),"")</f>
        <v/>
      </c>
      <c r="X3003" s="23" t="str">
        <f aca="false">IF(T3003="","",IF(T3003=0,"No discount",IF(T3003&lt;=0.2,"Low (1-20%)",IF(T3003&lt;=0.4,"Medium (21-40%)","High (&gt;40%)"))))</f>
        <v/>
      </c>
      <c r="Y3003" s="23" t="str">
        <f aca="false">IF(AND(ISNUMBER(C3003),ISNUMBER(D3003)),D3003-C3003,"")</f>
        <v/>
      </c>
      <c r="Z3003" s="23" t="str">
        <f aca="false">IF(B3003="","",IF(MATCH(B3003,$B$2:$B$12000,0)=ROW()-1,1,0))</f>
        <v/>
      </c>
    </row>
    <row r="3004" customFormat="false" ht="15" hidden="false" customHeight="false" outlineLevel="0" collapsed="false">
      <c r="V3004" s="23" t="str">
        <f aca="false">IF(ISNUMBER(C3004),YEAR(C3004),"")</f>
        <v/>
      </c>
      <c r="W3004" s="23" t="str">
        <f aca="false">IF(ISNUMBER(C3004),MONTH(C3004),"")</f>
        <v/>
      </c>
      <c r="X3004" s="23" t="str">
        <f aca="false">IF(T3004="","",IF(T3004=0,"No discount",IF(T3004&lt;=0.2,"Low (1-20%)",IF(T3004&lt;=0.4,"Medium (21-40%)","High (&gt;40%)"))))</f>
        <v/>
      </c>
      <c r="Y3004" s="23" t="str">
        <f aca="false">IF(AND(ISNUMBER(C3004),ISNUMBER(D3004)),D3004-C3004,"")</f>
        <v/>
      </c>
      <c r="Z3004" s="23" t="str">
        <f aca="false">IF(B3004="","",IF(MATCH(B3004,$B$2:$B$12000,0)=ROW()-1,1,0))</f>
        <v/>
      </c>
    </row>
    <row r="3005" customFormat="false" ht="15" hidden="false" customHeight="false" outlineLevel="0" collapsed="false">
      <c r="V3005" s="23" t="str">
        <f aca="false">IF(ISNUMBER(C3005),YEAR(C3005),"")</f>
        <v/>
      </c>
      <c r="W3005" s="23" t="str">
        <f aca="false">IF(ISNUMBER(C3005),MONTH(C3005),"")</f>
        <v/>
      </c>
      <c r="X3005" s="23" t="str">
        <f aca="false">IF(T3005="","",IF(T3005=0,"No discount",IF(T3005&lt;=0.2,"Low (1-20%)",IF(T3005&lt;=0.4,"Medium (21-40%)","High (&gt;40%)"))))</f>
        <v/>
      </c>
      <c r="Y3005" s="23" t="str">
        <f aca="false">IF(AND(ISNUMBER(C3005),ISNUMBER(D3005)),D3005-C3005,"")</f>
        <v/>
      </c>
      <c r="Z3005" s="23" t="str">
        <f aca="false">IF(B3005="","",IF(MATCH(B3005,$B$2:$B$12000,0)=ROW()-1,1,0))</f>
        <v/>
      </c>
    </row>
    <row r="3006" customFormat="false" ht="15" hidden="false" customHeight="false" outlineLevel="0" collapsed="false">
      <c r="V3006" s="23" t="str">
        <f aca="false">IF(ISNUMBER(C3006),YEAR(C3006),"")</f>
        <v/>
      </c>
      <c r="W3006" s="23" t="str">
        <f aca="false">IF(ISNUMBER(C3006),MONTH(C3006),"")</f>
        <v/>
      </c>
      <c r="X3006" s="23" t="str">
        <f aca="false">IF(T3006="","",IF(T3006=0,"No discount",IF(T3006&lt;=0.2,"Low (1-20%)",IF(T3006&lt;=0.4,"Medium (21-40%)","High (&gt;40%)"))))</f>
        <v/>
      </c>
      <c r="Y3006" s="23" t="str">
        <f aca="false">IF(AND(ISNUMBER(C3006),ISNUMBER(D3006)),D3006-C3006,"")</f>
        <v/>
      </c>
      <c r="Z3006" s="23" t="str">
        <f aca="false">IF(B3006="","",IF(MATCH(B3006,$B$2:$B$12000,0)=ROW()-1,1,0))</f>
        <v/>
      </c>
    </row>
    <row r="3007" customFormat="false" ht="15" hidden="false" customHeight="false" outlineLevel="0" collapsed="false">
      <c r="V3007" s="23" t="str">
        <f aca="false">IF(ISNUMBER(C3007),YEAR(C3007),"")</f>
        <v/>
      </c>
      <c r="W3007" s="23" t="str">
        <f aca="false">IF(ISNUMBER(C3007),MONTH(C3007),"")</f>
        <v/>
      </c>
      <c r="X3007" s="23" t="str">
        <f aca="false">IF(T3007="","",IF(T3007=0,"No discount",IF(T3007&lt;=0.2,"Low (1-20%)",IF(T3007&lt;=0.4,"Medium (21-40%)","High (&gt;40%)"))))</f>
        <v/>
      </c>
      <c r="Y3007" s="23" t="str">
        <f aca="false">IF(AND(ISNUMBER(C3007),ISNUMBER(D3007)),D3007-C3007,"")</f>
        <v/>
      </c>
      <c r="Z3007" s="23" t="str">
        <f aca="false">IF(B3007="","",IF(MATCH(B3007,$B$2:$B$12000,0)=ROW()-1,1,0))</f>
        <v/>
      </c>
    </row>
    <row r="3008" customFormat="false" ht="15" hidden="false" customHeight="false" outlineLevel="0" collapsed="false">
      <c r="V3008" s="23" t="str">
        <f aca="false">IF(ISNUMBER(C3008),YEAR(C3008),"")</f>
        <v/>
      </c>
      <c r="W3008" s="23" t="str">
        <f aca="false">IF(ISNUMBER(C3008),MONTH(C3008),"")</f>
        <v/>
      </c>
      <c r="X3008" s="23" t="str">
        <f aca="false">IF(T3008="","",IF(T3008=0,"No discount",IF(T3008&lt;=0.2,"Low (1-20%)",IF(T3008&lt;=0.4,"Medium (21-40%)","High (&gt;40%)"))))</f>
        <v/>
      </c>
      <c r="Y3008" s="23" t="str">
        <f aca="false">IF(AND(ISNUMBER(C3008),ISNUMBER(D3008)),D3008-C3008,"")</f>
        <v/>
      </c>
      <c r="Z3008" s="23" t="str">
        <f aca="false">IF(B3008="","",IF(MATCH(B3008,$B$2:$B$12000,0)=ROW()-1,1,0))</f>
        <v/>
      </c>
    </row>
    <row r="3009" customFormat="false" ht="15" hidden="false" customHeight="false" outlineLevel="0" collapsed="false">
      <c r="V3009" s="23" t="str">
        <f aca="false">IF(ISNUMBER(C3009),YEAR(C3009),"")</f>
        <v/>
      </c>
      <c r="W3009" s="23" t="str">
        <f aca="false">IF(ISNUMBER(C3009),MONTH(C3009),"")</f>
        <v/>
      </c>
      <c r="X3009" s="23" t="str">
        <f aca="false">IF(T3009="","",IF(T3009=0,"No discount",IF(T3009&lt;=0.2,"Low (1-20%)",IF(T3009&lt;=0.4,"Medium (21-40%)","High (&gt;40%)"))))</f>
        <v/>
      </c>
      <c r="Y3009" s="23" t="str">
        <f aca="false">IF(AND(ISNUMBER(C3009),ISNUMBER(D3009)),D3009-C3009,"")</f>
        <v/>
      </c>
      <c r="Z3009" s="23" t="str">
        <f aca="false">IF(B3009="","",IF(MATCH(B3009,$B$2:$B$12000,0)=ROW()-1,1,0))</f>
        <v/>
      </c>
    </row>
    <row r="3010" customFormat="false" ht="15" hidden="false" customHeight="false" outlineLevel="0" collapsed="false">
      <c r="V3010" s="23" t="str">
        <f aca="false">IF(ISNUMBER(C3010),YEAR(C3010),"")</f>
        <v/>
      </c>
      <c r="W3010" s="23" t="str">
        <f aca="false">IF(ISNUMBER(C3010),MONTH(C3010),"")</f>
        <v/>
      </c>
      <c r="X3010" s="23" t="str">
        <f aca="false">IF(T3010="","",IF(T3010=0,"No discount",IF(T3010&lt;=0.2,"Low (1-20%)",IF(T3010&lt;=0.4,"Medium (21-40%)","High (&gt;40%)"))))</f>
        <v/>
      </c>
      <c r="Y3010" s="23" t="str">
        <f aca="false">IF(AND(ISNUMBER(C3010),ISNUMBER(D3010)),D3010-C3010,"")</f>
        <v/>
      </c>
      <c r="Z3010" s="23" t="str">
        <f aca="false">IF(B3010="","",IF(MATCH(B3010,$B$2:$B$12000,0)=ROW()-1,1,0))</f>
        <v/>
      </c>
    </row>
    <row r="3011" customFormat="false" ht="15" hidden="false" customHeight="false" outlineLevel="0" collapsed="false">
      <c r="V3011" s="23" t="str">
        <f aca="false">IF(ISNUMBER(C3011),YEAR(C3011),"")</f>
        <v/>
      </c>
      <c r="W3011" s="23" t="str">
        <f aca="false">IF(ISNUMBER(C3011),MONTH(C3011),"")</f>
        <v/>
      </c>
      <c r="X3011" s="23" t="str">
        <f aca="false">IF(T3011="","",IF(T3011=0,"No discount",IF(T3011&lt;=0.2,"Low (1-20%)",IF(T3011&lt;=0.4,"Medium (21-40%)","High (&gt;40%)"))))</f>
        <v/>
      </c>
      <c r="Y3011" s="23" t="str">
        <f aca="false">IF(AND(ISNUMBER(C3011),ISNUMBER(D3011)),D3011-C3011,"")</f>
        <v/>
      </c>
      <c r="Z3011" s="23" t="str">
        <f aca="false">IF(B3011="","",IF(MATCH(B3011,$B$2:$B$12000,0)=ROW()-1,1,0))</f>
        <v/>
      </c>
    </row>
    <row r="3012" customFormat="false" ht="15" hidden="false" customHeight="false" outlineLevel="0" collapsed="false">
      <c r="V3012" s="23" t="str">
        <f aca="false">IF(ISNUMBER(C3012),YEAR(C3012),"")</f>
        <v/>
      </c>
      <c r="W3012" s="23" t="str">
        <f aca="false">IF(ISNUMBER(C3012),MONTH(C3012),"")</f>
        <v/>
      </c>
      <c r="X3012" s="23" t="str">
        <f aca="false">IF(T3012="","",IF(T3012=0,"No discount",IF(T3012&lt;=0.2,"Low (1-20%)",IF(T3012&lt;=0.4,"Medium (21-40%)","High (&gt;40%)"))))</f>
        <v/>
      </c>
      <c r="Y3012" s="23" t="str">
        <f aca="false">IF(AND(ISNUMBER(C3012),ISNUMBER(D3012)),D3012-C3012,"")</f>
        <v/>
      </c>
      <c r="Z3012" s="23" t="str">
        <f aca="false">IF(B3012="","",IF(MATCH(B3012,$B$2:$B$12000,0)=ROW()-1,1,0))</f>
        <v/>
      </c>
    </row>
    <row r="3013" customFormat="false" ht="15" hidden="false" customHeight="false" outlineLevel="0" collapsed="false">
      <c r="V3013" s="23" t="str">
        <f aca="false">IF(ISNUMBER(C3013),YEAR(C3013),"")</f>
        <v/>
      </c>
      <c r="W3013" s="23" t="str">
        <f aca="false">IF(ISNUMBER(C3013),MONTH(C3013),"")</f>
        <v/>
      </c>
      <c r="X3013" s="23" t="str">
        <f aca="false">IF(T3013="","",IF(T3013=0,"No discount",IF(T3013&lt;=0.2,"Low (1-20%)",IF(T3013&lt;=0.4,"Medium (21-40%)","High (&gt;40%)"))))</f>
        <v/>
      </c>
      <c r="Y3013" s="23" t="str">
        <f aca="false">IF(AND(ISNUMBER(C3013),ISNUMBER(D3013)),D3013-C3013,"")</f>
        <v/>
      </c>
      <c r="Z3013" s="23" t="str">
        <f aca="false">IF(B3013="","",IF(MATCH(B3013,$B$2:$B$12000,0)=ROW()-1,1,0))</f>
        <v/>
      </c>
    </row>
    <row r="3014" customFormat="false" ht="15" hidden="false" customHeight="false" outlineLevel="0" collapsed="false">
      <c r="V3014" s="23" t="str">
        <f aca="false">IF(ISNUMBER(C3014),YEAR(C3014),"")</f>
        <v/>
      </c>
      <c r="W3014" s="23" t="str">
        <f aca="false">IF(ISNUMBER(C3014),MONTH(C3014),"")</f>
        <v/>
      </c>
      <c r="X3014" s="23" t="str">
        <f aca="false">IF(T3014="","",IF(T3014=0,"No discount",IF(T3014&lt;=0.2,"Low (1-20%)",IF(T3014&lt;=0.4,"Medium (21-40%)","High (&gt;40%)"))))</f>
        <v/>
      </c>
      <c r="Y3014" s="23" t="str">
        <f aca="false">IF(AND(ISNUMBER(C3014),ISNUMBER(D3014)),D3014-C3014,"")</f>
        <v/>
      </c>
      <c r="Z3014" s="23" t="str">
        <f aca="false">IF(B3014="","",IF(MATCH(B3014,$B$2:$B$12000,0)=ROW()-1,1,0))</f>
        <v/>
      </c>
    </row>
    <row r="3015" customFormat="false" ht="15" hidden="false" customHeight="false" outlineLevel="0" collapsed="false">
      <c r="V3015" s="23" t="str">
        <f aca="false">IF(ISNUMBER(C3015),YEAR(C3015),"")</f>
        <v/>
      </c>
      <c r="W3015" s="23" t="str">
        <f aca="false">IF(ISNUMBER(C3015),MONTH(C3015),"")</f>
        <v/>
      </c>
      <c r="X3015" s="23" t="str">
        <f aca="false">IF(T3015="","",IF(T3015=0,"No discount",IF(T3015&lt;=0.2,"Low (1-20%)",IF(T3015&lt;=0.4,"Medium (21-40%)","High (&gt;40%)"))))</f>
        <v/>
      </c>
      <c r="Y3015" s="23" t="str">
        <f aca="false">IF(AND(ISNUMBER(C3015),ISNUMBER(D3015)),D3015-C3015,"")</f>
        <v/>
      </c>
      <c r="Z3015" s="23" t="str">
        <f aca="false">IF(B3015="","",IF(MATCH(B3015,$B$2:$B$12000,0)=ROW()-1,1,0))</f>
        <v/>
      </c>
    </row>
    <row r="3016" customFormat="false" ht="15" hidden="false" customHeight="false" outlineLevel="0" collapsed="false">
      <c r="V3016" s="23" t="str">
        <f aca="false">IF(ISNUMBER(C3016),YEAR(C3016),"")</f>
        <v/>
      </c>
      <c r="W3016" s="23" t="str">
        <f aca="false">IF(ISNUMBER(C3016),MONTH(C3016),"")</f>
        <v/>
      </c>
      <c r="X3016" s="23" t="str">
        <f aca="false">IF(T3016="","",IF(T3016=0,"No discount",IF(T3016&lt;=0.2,"Low (1-20%)",IF(T3016&lt;=0.4,"Medium (21-40%)","High (&gt;40%)"))))</f>
        <v/>
      </c>
      <c r="Y3016" s="23" t="str">
        <f aca="false">IF(AND(ISNUMBER(C3016),ISNUMBER(D3016)),D3016-C3016,"")</f>
        <v/>
      </c>
      <c r="Z3016" s="23" t="str">
        <f aca="false">IF(B3016="","",IF(MATCH(B3016,$B$2:$B$12000,0)=ROW()-1,1,0))</f>
        <v/>
      </c>
    </row>
    <row r="3017" customFormat="false" ht="15" hidden="false" customHeight="false" outlineLevel="0" collapsed="false">
      <c r="V3017" s="23" t="str">
        <f aca="false">IF(ISNUMBER(C3017),YEAR(C3017),"")</f>
        <v/>
      </c>
      <c r="W3017" s="23" t="str">
        <f aca="false">IF(ISNUMBER(C3017),MONTH(C3017),"")</f>
        <v/>
      </c>
      <c r="X3017" s="23" t="str">
        <f aca="false">IF(T3017="","",IF(T3017=0,"No discount",IF(T3017&lt;=0.2,"Low (1-20%)",IF(T3017&lt;=0.4,"Medium (21-40%)","High (&gt;40%)"))))</f>
        <v/>
      </c>
      <c r="Y3017" s="23" t="str">
        <f aca="false">IF(AND(ISNUMBER(C3017),ISNUMBER(D3017)),D3017-C3017,"")</f>
        <v/>
      </c>
      <c r="Z3017" s="23" t="str">
        <f aca="false">IF(B3017="","",IF(MATCH(B3017,$B$2:$B$12000,0)=ROW()-1,1,0))</f>
        <v/>
      </c>
    </row>
    <row r="3018" customFormat="false" ht="15" hidden="false" customHeight="false" outlineLevel="0" collapsed="false">
      <c r="V3018" s="23" t="str">
        <f aca="false">IF(ISNUMBER(C3018),YEAR(C3018),"")</f>
        <v/>
      </c>
      <c r="W3018" s="23" t="str">
        <f aca="false">IF(ISNUMBER(C3018),MONTH(C3018),"")</f>
        <v/>
      </c>
      <c r="X3018" s="23" t="str">
        <f aca="false">IF(T3018="","",IF(T3018=0,"No discount",IF(T3018&lt;=0.2,"Low (1-20%)",IF(T3018&lt;=0.4,"Medium (21-40%)","High (&gt;40%)"))))</f>
        <v/>
      </c>
      <c r="Y3018" s="23" t="str">
        <f aca="false">IF(AND(ISNUMBER(C3018),ISNUMBER(D3018)),D3018-C3018,"")</f>
        <v/>
      </c>
      <c r="Z3018" s="23" t="str">
        <f aca="false">IF(B3018="","",IF(MATCH(B3018,$B$2:$B$12000,0)=ROW()-1,1,0))</f>
        <v/>
      </c>
    </row>
    <row r="3019" customFormat="false" ht="15" hidden="false" customHeight="false" outlineLevel="0" collapsed="false">
      <c r="V3019" s="23" t="str">
        <f aca="false">IF(ISNUMBER(C3019),YEAR(C3019),"")</f>
        <v/>
      </c>
      <c r="W3019" s="23" t="str">
        <f aca="false">IF(ISNUMBER(C3019),MONTH(C3019),"")</f>
        <v/>
      </c>
      <c r="X3019" s="23" t="str">
        <f aca="false">IF(T3019="","",IF(T3019=0,"No discount",IF(T3019&lt;=0.2,"Low (1-20%)",IF(T3019&lt;=0.4,"Medium (21-40%)","High (&gt;40%)"))))</f>
        <v/>
      </c>
      <c r="Y3019" s="23" t="str">
        <f aca="false">IF(AND(ISNUMBER(C3019),ISNUMBER(D3019)),D3019-C3019,"")</f>
        <v/>
      </c>
      <c r="Z3019" s="23" t="str">
        <f aca="false">IF(B3019="","",IF(MATCH(B3019,$B$2:$B$12000,0)=ROW()-1,1,0))</f>
        <v/>
      </c>
    </row>
    <row r="3020" customFormat="false" ht="15" hidden="false" customHeight="false" outlineLevel="0" collapsed="false">
      <c r="V3020" s="23" t="str">
        <f aca="false">IF(ISNUMBER(C3020),YEAR(C3020),"")</f>
        <v/>
      </c>
      <c r="W3020" s="23" t="str">
        <f aca="false">IF(ISNUMBER(C3020),MONTH(C3020),"")</f>
        <v/>
      </c>
      <c r="X3020" s="23" t="str">
        <f aca="false">IF(T3020="","",IF(T3020=0,"No discount",IF(T3020&lt;=0.2,"Low (1-20%)",IF(T3020&lt;=0.4,"Medium (21-40%)","High (&gt;40%)"))))</f>
        <v/>
      </c>
      <c r="Y3020" s="23" t="str">
        <f aca="false">IF(AND(ISNUMBER(C3020),ISNUMBER(D3020)),D3020-C3020,"")</f>
        <v/>
      </c>
      <c r="Z3020" s="23" t="str">
        <f aca="false">IF(B3020="","",IF(MATCH(B3020,$B$2:$B$12000,0)=ROW()-1,1,0))</f>
        <v/>
      </c>
    </row>
    <row r="3021" customFormat="false" ht="15" hidden="false" customHeight="false" outlineLevel="0" collapsed="false">
      <c r="V3021" s="23" t="str">
        <f aca="false">IF(ISNUMBER(C3021),YEAR(C3021),"")</f>
        <v/>
      </c>
      <c r="W3021" s="23" t="str">
        <f aca="false">IF(ISNUMBER(C3021),MONTH(C3021),"")</f>
        <v/>
      </c>
      <c r="X3021" s="23" t="str">
        <f aca="false">IF(T3021="","",IF(T3021=0,"No discount",IF(T3021&lt;=0.2,"Low (1-20%)",IF(T3021&lt;=0.4,"Medium (21-40%)","High (&gt;40%)"))))</f>
        <v/>
      </c>
      <c r="Y3021" s="23" t="str">
        <f aca="false">IF(AND(ISNUMBER(C3021),ISNUMBER(D3021)),D3021-C3021,"")</f>
        <v/>
      </c>
      <c r="Z3021" s="23" t="str">
        <f aca="false">IF(B3021="","",IF(MATCH(B3021,$B$2:$B$12000,0)=ROW()-1,1,0))</f>
        <v/>
      </c>
    </row>
    <row r="3022" customFormat="false" ht="15" hidden="false" customHeight="false" outlineLevel="0" collapsed="false">
      <c r="V3022" s="23" t="str">
        <f aca="false">IF(ISNUMBER(C3022),YEAR(C3022),"")</f>
        <v/>
      </c>
      <c r="W3022" s="23" t="str">
        <f aca="false">IF(ISNUMBER(C3022),MONTH(C3022),"")</f>
        <v/>
      </c>
      <c r="X3022" s="23" t="str">
        <f aca="false">IF(T3022="","",IF(T3022=0,"No discount",IF(T3022&lt;=0.2,"Low (1-20%)",IF(T3022&lt;=0.4,"Medium (21-40%)","High (&gt;40%)"))))</f>
        <v/>
      </c>
      <c r="Y3022" s="23" t="str">
        <f aca="false">IF(AND(ISNUMBER(C3022),ISNUMBER(D3022)),D3022-C3022,"")</f>
        <v/>
      </c>
      <c r="Z3022" s="23" t="str">
        <f aca="false">IF(B3022="","",IF(MATCH(B3022,$B$2:$B$12000,0)=ROW()-1,1,0))</f>
        <v/>
      </c>
    </row>
    <row r="3023" customFormat="false" ht="15" hidden="false" customHeight="false" outlineLevel="0" collapsed="false">
      <c r="V3023" s="23" t="str">
        <f aca="false">IF(ISNUMBER(C3023),YEAR(C3023),"")</f>
        <v/>
      </c>
      <c r="W3023" s="23" t="str">
        <f aca="false">IF(ISNUMBER(C3023),MONTH(C3023),"")</f>
        <v/>
      </c>
      <c r="X3023" s="23" t="str">
        <f aca="false">IF(T3023="","",IF(T3023=0,"No discount",IF(T3023&lt;=0.2,"Low (1-20%)",IF(T3023&lt;=0.4,"Medium (21-40%)","High (&gt;40%)"))))</f>
        <v/>
      </c>
      <c r="Y3023" s="23" t="str">
        <f aca="false">IF(AND(ISNUMBER(C3023),ISNUMBER(D3023)),D3023-C3023,"")</f>
        <v/>
      </c>
      <c r="Z3023" s="23" t="str">
        <f aca="false">IF(B3023="","",IF(MATCH(B3023,$B$2:$B$12000,0)=ROW()-1,1,0))</f>
        <v/>
      </c>
    </row>
    <row r="3024" customFormat="false" ht="15" hidden="false" customHeight="false" outlineLevel="0" collapsed="false">
      <c r="V3024" s="23" t="str">
        <f aca="false">IF(ISNUMBER(C3024),YEAR(C3024),"")</f>
        <v/>
      </c>
      <c r="W3024" s="23" t="str">
        <f aca="false">IF(ISNUMBER(C3024),MONTH(C3024),"")</f>
        <v/>
      </c>
      <c r="X3024" s="23" t="str">
        <f aca="false">IF(T3024="","",IF(T3024=0,"No discount",IF(T3024&lt;=0.2,"Low (1-20%)",IF(T3024&lt;=0.4,"Medium (21-40%)","High (&gt;40%)"))))</f>
        <v/>
      </c>
      <c r="Y3024" s="23" t="str">
        <f aca="false">IF(AND(ISNUMBER(C3024),ISNUMBER(D3024)),D3024-C3024,"")</f>
        <v/>
      </c>
      <c r="Z3024" s="23" t="str">
        <f aca="false">IF(B3024="","",IF(MATCH(B3024,$B$2:$B$12000,0)=ROW()-1,1,0))</f>
        <v/>
      </c>
    </row>
    <row r="3025" customFormat="false" ht="15" hidden="false" customHeight="false" outlineLevel="0" collapsed="false">
      <c r="V3025" s="23" t="str">
        <f aca="false">IF(ISNUMBER(C3025),YEAR(C3025),"")</f>
        <v/>
      </c>
      <c r="W3025" s="23" t="str">
        <f aca="false">IF(ISNUMBER(C3025),MONTH(C3025),"")</f>
        <v/>
      </c>
      <c r="X3025" s="23" t="str">
        <f aca="false">IF(T3025="","",IF(T3025=0,"No discount",IF(T3025&lt;=0.2,"Low (1-20%)",IF(T3025&lt;=0.4,"Medium (21-40%)","High (&gt;40%)"))))</f>
        <v/>
      </c>
      <c r="Y3025" s="23" t="str">
        <f aca="false">IF(AND(ISNUMBER(C3025),ISNUMBER(D3025)),D3025-C3025,"")</f>
        <v/>
      </c>
      <c r="Z3025" s="23" t="str">
        <f aca="false">IF(B3025="","",IF(MATCH(B3025,$B$2:$B$12000,0)=ROW()-1,1,0))</f>
        <v/>
      </c>
    </row>
    <row r="3026" customFormat="false" ht="15" hidden="false" customHeight="false" outlineLevel="0" collapsed="false">
      <c r="V3026" s="23" t="str">
        <f aca="false">IF(ISNUMBER(C3026),YEAR(C3026),"")</f>
        <v/>
      </c>
      <c r="W3026" s="23" t="str">
        <f aca="false">IF(ISNUMBER(C3026),MONTH(C3026),"")</f>
        <v/>
      </c>
      <c r="X3026" s="23" t="str">
        <f aca="false">IF(T3026="","",IF(T3026=0,"No discount",IF(T3026&lt;=0.2,"Low (1-20%)",IF(T3026&lt;=0.4,"Medium (21-40%)","High (&gt;40%)"))))</f>
        <v/>
      </c>
      <c r="Y3026" s="23" t="str">
        <f aca="false">IF(AND(ISNUMBER(C3026),ISNUMBER(D3026)),D3026-C3026,"")</f>
        <v/>
      </c>
      <c r="Z3026" s="23" t="str">
        <f aca="false">IF(B3026="","",IF(MATCH(B3026,$B$2:$B$12000,0)=ROW()-1,1,0))</f>
        <v/>
      </c>
    </row>
    <row r="3027" customFormat="false" ht="15" hidden="false" customHeight="false" outlineLevel="0" collapsed="false">
      <c r="V3027" s="23" t="str">
        <f aca="false">IF(ISNUMBER(C3027),YEAR(C3027),"")</f>
        <v/>
      </c>
      <c r="W3027" s="23" t="str">
        <f aca="false">IF(ISNUMBER(C3027),MONTH(C3027),"")</f>
        <v/>
      </c>
      <c r="X3027" s="23" t="str">
        <f aca="false">IF(T3027="","",IF(T3027=0,"No discount",IF(T3027&lt;=0.2,"Low (1-20%)",IF(T3027&lt;=0.4,"Medium (21-40%)","High (&gt;40%)"))))</f>
        <v/>
      </c>
      <c r="Y3027" s="23" t="str">
        <f aca="false">IF(AND(ISNUMBER(C3027),ISNUMBER(D3027)),D3027-C3027,"")</f>
        <v/>
      </c>
      <c r="Z3027" s="23" t="str">
        <f aca="false">IF(B3027="","",IF(MATCH(B3027,$B$2:$B$12000,0)=ROW()-1,1,0))</f>
        <v/>
      </c>
    </row>
    <row r="3028" customFormat="false" ht="15" hidden="false" customHeight="false" outlineLevel="0" collapsed="false">
      <c r="V3028" s="23" t="str">
        <f aca="false">IF(ISNUMBER(C3028),YEAR(C3028),"")</f>
        <v/>
      </c>
      <c r="W3028" s="23" t="str">
        <f aca="false">IF(ISNUMBER(C3028),MONTH(C3028),"")</f>
        <v/>
      </c>
      <c r="X3028" s="23" t="str">
        <f aca="false">IF(T3028="","",IF(T3028=0,"No discount",IF(T3028&lt;=0.2,"Low (1-20%)",IF(T3028&lt;=0.4,"Medium (21-40%)","High (&gt;40%)"))))</f>
        <v/>
      </c>
      <c r="Y3028" s="23" t="str">
        <f aca="false">IF(AND(ISNUMBER(C3028),ISNUMBER(D3028)),D3028-C3028,"")</f>
        <v/>
      </c>
      <c r="Z3028" s="23" t="str">
        <f aca="false">IF(B3028="","",IF(MATCH(B3028,$B$2:$B$12000,0)=ROW()-1,1,0))</f>
        <v/>
      </c>
    </row>
    <row r="3029" customFormat="false" ht="15" hidden="false" customHeight="false" outlineLevel="0" collapsed="false">
      <c r="V3029" s="23" t="str">
        <f aca="false">IF(ISNUMBER(C3029),YEAR(C3029),"")</f>
        <v/>
      </c>
      <c r="W3029" s="23" t="str">
        <f aca="false">IF(ISNUMBER(C3029),MONTH(C3029),"")</f>
        <v/>
      </c>
      <c r="X3029" s="23" t="str">
        <f aca="false">IF(T3029="","",IF(T3029=0,"No discount",IF(T3029&lt;=0.2,"Low (1-20%)",IF(T3029&lt;=0.4,"Medium (21-40%)","High (&gt;40%)"))))</f>
        <v/>
      </c>
      <c r="Y3029" s="23" t="str">
        <f aca="false">IF(AND(ISNUMBER(C3029),ISNUMBER(D3029)),D3029-C3029,"")</f>
        <v/>
      </c>
      <c r="Z3029" s="23" t="str">
        <f aca="false">IF(B3029="","",IF(MATCH(B3029,$B$2:$B$12000,0)=ROW()-1,1,0))</f>
        <v/>
      </c>
    </row>
    <row r="3030" customFormat="false" ht="15" hidden="false" customHeight="false" outlineLevel="0" collapsed="false">
      <c r="V3030" s="23" t="str">
        <f aca="false">IF(ISNUMBER(C3030),YEAR(C3030),"")</f>
        <v/>
      </c>
      <c r="W3030" s="23" t="str">
        <f aca="false">IF(ISNUMBER(C3030),MONTH(C3030),"")</f>
        <v/>
      </c>
      <c r="X3030" s="23" t="str">
        <f aca="false">IF(T3030="","",IF(T3030=0,"No discount",IF(T3030&lt;=0.2,"Low (1-20%)",IF(T3030&lt;=0.4,"Medium (21-40%)","High (&gt;40%)"))))</f>
        <v/>
      </c>
      <c r="Y3030" s="23" t="str">
        <f aca="false">IF(AND(ISNUMBER(C3030),ISNUMBER(D3030)),D3030-C3030,"")</f>
        <v/>
      </c>
      <c r="Z3030" s="23" t="str">
        <f aca="false">IF(B3030="","",IF(MATCH(B3030,$B$2:$B$12000,0)=ROW()-1,1,0))</f>
        <v/>
      </c>
    </row>
    <row r="3031" customFormat="false" ht="15" hidden="false" customHeight="false" outlineLevel="0" collapsed="false">
      <c r="V3031" s="23" t="str">
        <f aca="false">IF(ISNUMBER(C3031),YEAR(C3031),"")</f>
        <v/>
      </c>
      <c r="W3031" s="23" t="str">
        <f aca="false">IF(ISNUMBER(C3031),MONTH(C3031),"")</f>
        <v/>
      </c>
      <c r="X3031" s="23" t="str">
        <f aca="false">IF(T3031="","",IF(T3031=0,"No discount",IF(T3031&lt;=0.2,"Low (1-20%)",IF(T3031&lt;=0.4,"Medium (21-40%)","High (&gt;40%)"))))</f>
        <v/>
      </c>
      <c r="Y3031" s="23" t="str">
        <f aca="false">IF(AND(ISNUMBER(C3031),ISNUMBER(D3031)),D3031-C3031,"")</f>
        <v/>
      </c>
      <c r="Z3031" s="23" t="str">
        <f aca="false">IF(B3031="","",IF(MATCH(B3031,$B$2:$B$12000,0)=ROW()-1,1,0))</f>
        <v/>
      </c>
    </row>
    <row r="3032" customFormat="false" ht="15" hidden="false" customHeight="false" outlineLevel="0" collapsed="false">
      <c r="V3032" s="23" t="str">
        <f aca="false">IF(ISNUMBER(C3032),YEAR(C3032),"")</f>
        <v/>
      </c>
      <c r="W3032" s="23" t="str">
        <f aca="false">IF(ISNUMBER(C3032),MONTH(C3032),"")</f>
        <v/>
      </c>
      <c r="X3032" s="23" t="str">
        <f aca="false">IF(T3032="","",IF(T3032=0,"No discount",IF(T3032&lt;=0.2,"Low (1-20%)",IF(T3032&lt;=0.4,"Medium (21-40%)","High (&gt;40%)"))))</f>
        <v/>
      </c>
      <c r="Y3032" s="23" t="str">
        <f aca="false">IF(AND(ISNUMBER(C3032),ISNUMBER(D3032)),D3032-C3032,"")</f>
        <v/>
      </c>
      <c r="Z3032" s="23" t="str">
        <f aca="false">IF(B3032="","",IF(MATCH(B3032,$B$2:$B$12000,0)=ROW()-1,1,0))</f>
        <v/>
      </c>
    </row>
    <row r="3033" customFormat="false" ht="15" hidden="false" customHeight="false" outlineLevel="0" collapsed="false">
      <c r="V3033" s="23" t="str">
        <f aca="false">IF(ISNUMBER(C3033),YEAR(C3033),"")</f>
        <v/>
      </c>
      <c r="W3033" s="23" t="str">
        <f aca="false">IF(ISNUMBER(C3033),MONTH(C3033),"")</f>
        <v/>
      </c>
      <c r="X3033" s="23" t="str">
        <f aca="false">IF(T3033="","",IF(T3033=0,"No discount",IF(T3033&lt;=0.2,"Low (1-20%)",IF(T3033&lt;=0.4,"Medium (21-40%)","High (&gt;40%)"))))</f>
        <v/>
      </c>
      <c r="Y3033" s="23" t="str">
        <f aca="false">IF(AND(ISNUMBER(C3033),ISNUMBER(D3033)),D3033-C3033,"")</f>
        <v/>
      </c>
      <c r="Z3033" s="23" t="str">
        <f aca="false">IF(B3033="","",IF(MATCH(B3033,$B$2:$B$12000,0)=ROW()-1,1,0))</f>
        <v/>
      </c>
    </row>
    <row r="3034" customFormat="false" ht="15" hidden="false" customHeight="false" outlineLevel="0" collapsed="false">
      <c r="V3034" s="23" t="str">
        <f aca="false">IF(ISNUMBER(C3034),YEAR(C3034),"")</f>
        <v/>
      </c>
      <c r="W3034" s="23" t="str">
        <f aca="false">IF(ISNUMBER(C3034),MONTH(C3034),"")</f>
        <v/>
      </c>
      <c r="X3034" s="23" t="str">
        <f aca="false">IF(T3034="","",IF(T3034=0,"No discount",IF(T3034&lt;=0.2,"Low (1-20%)",IF(T3034&lt;=0.4,"Medium (21-40%)","High (&gt;40%)"))))</f>
        <v/>
      </c>
      <c r="Y3034" s="23" t="str">
        <f aca="false">IF(AND(ISNUMBER(C3034),ISNUMBER(D3034)),D3034-C3034,"")</f>
        <v/>
      </c>
      <c r="Z3034" s="23" t="str">
        <f aca="false">IF(B3034="","",IF(MATCH(B3034,$B$2:$B$12000,0)=ROW()-1,1,0))</f>
        <v/>
      </c>
    </row>
    <row r="3035" customFormat="false" ht="15" hidden="false" customHeight="false" outlineLevel="0" collapsed="false">
      <c r="V3035" s="23" t="str">
        <f aca="false">IF(ISNUMBER(C3035),YEAR(C3035),"")</f>
        <v/>
      </c>
      <c r="W3035" s="23" t="str">
        <f aca="false">IF(ISNUMBER(C3035),MONTH(C3035),"")</f>
        <v/>
      </c>
      <c r="X3035" s="23" t="str">
        <f aca="false">IF(T3035="","",IF(T3035=0,"No discount",IF(T3035&lt;=0.2,"Low (1-20%)",IF(T3035&lt;=0.4,"Medium (21-40%)","High (&gt;40%)"))))</f>
        <v/>
      </c>
      <c r="Y3035" s="23" t="str">
        <f aca="false">IF(AND(ISNUMBER(C3035),ISNUMBER(D3035)),D3035-C3035,"")</f>
        <v/>
      </c>
      <c r="Z3035" s="23" t="str">
        <f aca="false">IF(B3035="","",IF(MATCH(B3035,$B$2:$B$12000,0)=ROW()-1,1,0))</f>
        <v/>
      </c>
    </row>
    <row r="3036" customFormat="false" ht="15" hidden="false" customHeight="false" outlineLevel="0" collapsed="false">
      <c r="V3036" s="23" t="str">
        <f aca="false">IF(ISNUMBER(C3036),YEAR(C3036),"")</f>
        <v/>
      </c>
      <c r="W3036" s="23" t="str">
        <f aca="false">IF(ISNUMBER(C3036),MONTH(C3036),"")</f>
        <v/>
      </c>
      <c r="X3036" s="23" t="str">
        <f aca="false">IF(T3036="","",IF(T3036=0,"No discount",IF(T3036&lt;=0.2,"Low (1-20%)",IF(T3036&lt;=0.4,"Medium (21-40%)","High (&gt;40%)"))))</f>
        <v/>
      </c>
      <c r="Y3036" s="23" t="str">
        <f aca="false">IF(AND(ISNUMBER(C3036),ISNUMBER(D3036)),D3036-C3036,"")</f>
        <v/>
      </c>
      <c r="Z3036" s="23" t="str">
        <f aca="false">IF(B3036="","",IF(MATCH(B3036,$B$2:$B$12000,0)=ROW()-1,1,0))</f>
        <v/>
      </c>
    </row>
    <row r="3037" customFormat="false" ht="15" hidden="false" customHeight="false" outlineLevel="0" collapsed="false">
      <c r="V3037" s="23" t="str">
        <f aca="false">IF(ISNUMBER(C3037),YEAR(C3037),"")</f>
        <v/>
      </c>
      <c r="W3037" s="23" t="str">
        <f aca="false">IF(ISNUMBER(C3037),MONTH(C3037),"")</f>
        <v/>
      </c>
      <c r="X3037" s="23" t="str">
        <f aca="false">IF(T3037="","",IF(T3037=0,"No discount",IF(T3037&lt;=0.2,"Low (1-20%)",IF(T3037&lt;=0.4,"Medium (21-40%)","High (&gt;40%)"))))</f>
        <v/>
      </c>
      <c r="Y3037" s="23" t="str">
        <f aca="false">IF(AND(ISNUMBER(C3037),ISNUMBER(D3037)),D3037-C3037,"")</f>
        <v/>
      </c>
      <c r="Z3037" s="23" t="str">
        <f aca="false">IF(B3037="","",IF(MATCH(B3037,$B$2:$B$12000,0)=ROW()-1,1,0))</f>
        <v/>
      </c>
    </row>
    <row r="3038" customFormat="false" ht="15" hidden="false" customHeight="false" outlineLevel="0" collapsed="false">
      <c r="V3038" s="23" t="str">
        <f aca="false">IF(ISNUMBER(C3038),YEAR(C3038),"")</f>
        <v/>
      </c>
      <c r="W3038" s="23" t="str">
        <f aca="false">IF(ISNUMBER(C3038),MONTH(C3038),"")</f>
        <v/>
      </c>
      <c r="X3038" s="23" t="str">
        <f aca="false">IF(T3038="","",IF(T3038=0,"No discount",IF(T3038&lt;=0.2,"Low (1-20%)",IF(T3038&lt;=0.4,"Medium (21-40%)","High (&gt;40%)"))))</f>
        <v/>
      </c>
      <c r="Y3038" s="23" t="str">
        <f aca="false">IF(AND(ISNUMBER(C3038),ISNUMBER(D3038)),D3038-C3038,"")</f>
        <v/>
      </c>
      <c r="Z3038" s="23" t="str">
        <f aca="false">IF(B3038="","",IF(MATCH(B3038,$B$2:$B$12000,0)=ROW()-1,1,0))</f>
        <v/>
      </c>
    </row>
    <row r="3039" customFormat="false" ht="15" hidden="false" customHeight="false" outlineLevel="0" collapsed="false">
      <c r="V3039" s="23" t="str">
        <f aca="false">IF(ISNUMBER(C3039),YEAR(C3039),"")</f>
        <v/>
      </c>
      <c r="W3039" s="23" t="str">
        <f aca="false">IF(ISNUMBER(C3039),MONTH(C3039),"")</f>
        <v/>
      </c>
      <c r="X3039" s="23" t="str">
        <f aca="false">IF(T3039="","",IF(T3039=0,"No discount",IF(T3039&lt;=0.2,"Low (1-20%)",IF(T3039&lt;=0.4,"Medium (21-40%)","High (&gt;40%)"))))</f>
        <v/>
      </c>
      <c r="Y3039" s="23" t="str">
        <f aca="false">IF(AND(ISNUMBER(C3039),ISNUMBER(D3039)),D3039-C3039,"")</f>
        <v/>
      </c>
      <c r="Z3039" s="23" t="str">
        <f aca="false">IF(B3039="","",IF(MATCH(B3039,$B$2:$B$12000,0)=ROW()-1,1,0))</f>
        <v/>
      </c>
    </row>
    <row r="3040" customFormat="false" ht="15" hidden="false" customHeight="false" outlineLevel="0" collapsed="false">
      <c r="V3040" s="23" t="str">
        <f aca="false">IF(ISNUMBER(C3040),YEAR(C3040),"")</f>
        <v/>
      </c>
      <c r="W3040" s="23" t="str">
        <f aca="false">IF(ISNUMBER(C3040),MONTH(C3040),"")</f>
        <v/>
      </c>
      <c r="X3040" s="23" t="str">
        <f aca="false">IF(T3040="","",IF(T3040=0,"No discount",IF(T3040&lt;=0.2,"Low (1-20%)",IF(T3040&lt;=0.4,"Medium (21-40%)","High (&gt;40%)"))))</f>
        <v/>
      </c>
      <c r="Y3040" s="23" t="str">
        <f aca="false">IF(AND(ISNUMBER(C3040),ISNUMBER(D3040)),D3040-C3040,"")</f>
        <v/>
      </c>
      <c r="Z3040" s="23" t="str">
        <f aca="false">IF(B3040="","",IF(MATCH(B3040,$B$2:$B$12000,0)=ROW()-1,1,0))</f>
        <v/>
      </c>
    </row>
    <row r="3041" customFormat="false" ht="15" hidden="false" customHeight="false" outlineLevel="0" collapsed="false">
      <c r="V3041" s="23" t="str">
        <f aca="false">IF(ISNUMBER(C3041),YEAR(C3041),"")</f>
        <v/>
      </c>
      <c r="W3041" s="23" t="str">
        <f aca="false">IF(ISNUMBER(C3041),MONTH(C3041),"")</f>
        <v/>
      </c>
      <c r="X3041" s="23" t="str">
        <f aca="false">IF(T3041="","",IF(T3041=0,"No discount",IF(T3041&lt;=0.2,"Low (1-20%)",IF(T3041&lt;=0.4,"Medium (21-40%)","High (&gt;40%)"))))</f>
        <v/>
      </c>
      <c r="Y3041" s="23" t="str">
        <f aca="false">IF(AND(ISNUMBER(C3041),ISNUMBER(D3041)),D3041-C3041,"")</f>
        <v/>
      </c>
      <c r="Z3041" s="23" t="str">
        <f aca="false">IF(B3041="","",IF(MATCH(B3041,$B$2:$B$12000,0)=ROW()-1,1,0))</f>
        <v/>
      </c>
    </row>
    <row r="3042" customFormat="false" ht="15" hidden="false" customHeight="false" outlineLevel="0" collapsed="false">
      <c r="V3042" s="23" t="str">
        <f aca="false">IF(ISNUMBER(C3042),YEAR(C3042),"")</f>
        <v/>
      </c>
      <c r="W3042" s="23" t="str">
        <f aca="false">IF(ISNUMBER(C3042),MONTH(C3042),"")</f>
        <v/>
      </c>
      <c r="X3042" s="23" t="str">
        <f aca="false">IF(T3042="","",IF(T3042=0,"No discount",IF(T3042&lt;=0.2,"Low (1-20%)",IF(T3042&lt;=0.4,"Medium (21-40%)","High (&gt;40%)"))))</f>
        <v/>
      </c>
      <c r="Y3042" s="23" t="str">
        <f aca="false">IF(AND(ISNUMBER(C3042),ISNUMBER(D3042)),D3042-C3042,"")</f>
        <v/>
      </c>
      <c r="Z3042" s="23" t="str">
        <f aca="false">IF(B3042="","",IF(MATCH(B3042,$B$2:$B$12000,0)=ROW()-1,1,0))</f>
        <v/>
      </c>
    </row>
    <row r="3043" customFormat="false" ht="15" hidden="false" customHeight="false" outlineLevel="0" collapsed="false">
      <c r="V3043" s="23" t="str">
        <f aca="false">IF(ISNUMBER(C3043),YEAR(C3043),"")</f>
        <v/>
      </c>
      <c r="W3043" s="23" t="str">
        <f aca="false">IF(ISNUMBER(C3043),MONTH(C3043),"")</f>
        <v/>
      </c>
      <c r="X3043" s="23" t="str">
        <f aca="false">IF(T3043="","",IF(T3043=0,"No discount",IF(T3043&lt;=0.2,"Low (1-20%)",IF(T3043&lt;=0.4,"Medium (21-40%)","High (&gt;40%)"))))</f>
        <v/>
      </c>
      <c r="Y3043" s="23" t="str">
        <f aca="false">IF(AND(ISNUMBER(C3043),ISNUMBER(D3043)),D3043-C3043,"")</f>
        <v/>
      </c>
      <c r="Z3043" s="23" t="str">
        <f aca="false">IF(B3043="","",IF(MATCH(B3043,$B$2:$B$12000,0)=ROW()-1,1,0))</f>
        <v/>
      </c>
    </row>
    <row r="3044" customFormat="false" ht="15" hidden="false" customHeight="false" outlineLevel="0" collapsed="false">
      <c r="V3044" s="23" t="str">
        <f aca="false">IF(ISNUMBER(C3044),YEAR(C3044),"")</f>
        <v/>
      </c>
      <c r="W3044" s="23" t="str">
        <f aca="false">IF(ISNUMBER(C3044),MONTH(C3044),"")</f>
        <v/>
      </c>
      <c r="X3044" s="23" t="str">
        <f aca="false">IF(T3044="","",IF(T3044=0,"No discount",IF(T3044&lt;=0.2,"Low (1-20%)",IF(T3044&lt;=0.4,"Medium (21-40%)","High (&gt;40%)"))))</f>
        <v/>
      </c>
      <c r="Y3044" s="23" t="str">
        <f aca="false">IF(AND(ISNUMBER(C3044),ISNUMBER(D3044)),D3044-C3044,"")</f>
        <v/>
      </c>
      <c r="Z3044" s="23" t="str">
        <f aca="false">IF(B3044="","",IF(MATCH(B3044,$B$2:$B$12000,0)=ROW()-1,1,0))</f>
        <v/>
      </c>
    </row>
    <row r="3045" customFormat="false" ht="15" hidden="false" customHeight="false" outlineLevel="0" collapsed="false">
      <c r="V3045" s="23" t="str">
        <f aca="false">IF(ISNUMBER(C3045),YEAR(C3045),"")</f>
        <v/>
      </c>
      <c r="W3045" s="23" t="str">
        <f aca="false">IF(ISNUMBER(C3045),MONTH(C3045),"")</f>
        <v/>
      </c>
      <c r="X3045" s="23" t="str">
        <f aca="false">IF(T3045="","",IF(T3045=0,"No discount",IF(T3045&lt;=0.2,"Low (1-20%)",IF(T3045&lt;=0.4,"Medium (21-40%)","High (&gt;40%)"))))</f>
        <v/>
      </c>
      <c r="Y3045" s="23" t="str">
        <f aca="false">IF(AND(ISNUMBER(C3045),ISNUMBER(D3045)),D3045-C3045,"")</f>
        <v/>
      </c>
      <c r="Z3045" s="23" t="str">
        <f aca="false">IF(B3045="","",IF(MATCH(B3045,$B$2:$B$12000,0)=ROW()-1,1,0))</f>
        <v/>
      </c>
    </row>
    <row r="3046" customFormat="false" ht="15" hidden="false" customHeight="false" outlineLevel="0" collapsed="false">
      <c r="V3046" s="23" t="str">
        <f aca="false">IF(ISNUMBER(C3046),YEAR(C3046),"")</f>
        <v/>
      </c>
      <c r="W3046" s="23" t="str">
        <f aca="false">IF(ISNUMBER(C3046),MONTH(C3046),"")</f>
        <v/>
      </c>
      <c r="X3046" s="23" t="str">
        <f aca="false">IF(T3046="","",IF(T3046=0,"No discount",IF(T3046&lt;=0.2,"Low (1-20%)",IF(T3046&lt;=0.4,"Medium (21-40%)","High (&gt;40%)"))))</f>
        <v/>
      </c>
      <c r="Y3046" s="23" t="str">
        <f aca="false">IF(AND(ISNUMBER(C3046),ISNUMBER(D3046)),D3046-C3046,"")</f>
        <v/>
      </c>
      <c r="Z3046" s="23" t="str">
        <f aca="false">IF(B3046="","",IF(MATCH(B3046,$B$2:$B$12000,0)=ROW()-1,1,0))</f>
        <v/>
      </c>
    </row>
    <row r="3047" customFormat="false" ht="15" hidden="false" customHeight="false" outlineLevel="0" collapsed="false">
      <c r="V3047" s="23" t="str">
        <f aca="false">IF(ISNUMBER(C3047),YEAR(C3047),"")</f>
        <v/>
      </c>
      <c r="W3047" s="23" t="str">
        <f aca="false">IF(ISNUMBER(C3047),MONTH(C3047),"")</f>
        <v/>
      </c>
      <c r="X3047" s="23" t="str">
        <f aca="false">IF(T3047="","",IF(T3047=0,"No discount",IF(T3047&lt;=0.2,"Low (1-20%)",IF(T3047&lt;=0.4,"Medium (21-40%)","High (&gt;40%)"))))</f>
        <v/>
      </c>
      <c r="Y3047" s="23" t="str">
        <f aca="false">IF(AND(ISNUMBER(C3047),ISNUMBER(D3047)),D3047-C3047,"")</f>
        <v/>
      </c>
      <c r="Z3047" s="23" t="str">
        <f aca="false">IF(B3047="","",IF(MATCH(B3047,$B$2:$B$12000,0)=ROW()-1,1,0))</f>
        <v/>
      </c>
    </row>
    <row r="3048" customFormat="false" ht="15" hidden="false" customHeight="false" outlineLevel="0" collapsed="false">
      <c r="V3048" s="23" t="str">
        <f aca="false">IF(ISNUMBER(C3048),YEAR(C3048),"")</f>
        <v/>
      </c>
      <c r="W3048" s="23" t="str">
        <f aca="false">IF(ISNUMBER(C3048),MONTH(C3048),"")</f>
        <v/>
      </c>
      <c r="X3048" s="23" t="str">
        <f aca="false">IF(T3048="","",IF(T3048=0,"No discount",IF(T3048&lt;=0.2,"Low (1-20%)",IF(T3048&lt;=0.4,"Medium (21-40%)","High (&gt;40%)"))))</f>
        <v/>
      </c>
      <c r="Y3048" s="23" t="str">
        <f aca="false">IF(AND(ISNUMBER(C3048),ISNUMBER(D3048)),D3048-C3048,"")</f>
        <v/>
      </c>
      <c r="Z3048" s="23" t="str">
        <f aca="false">IF(B3048="","",IF(MATCH(B3048,$B$2:$B$12000,0)=ROW()-1,1,0))</f>
        <v/>
      </c>
    </row>
    <row r="3049" customFormat="false" ht="15" hidden="false" customHeight="false" outlineLevel="0" collapsed="false">
      <c r="V3049" s="23" t="str">
        <f aca="false">IF(ISNUMBER(C3049),YEAR(C3049),"")</f>
        <v/>
      </c>
      <c r="W3049" s="23" t="str">
        <f aca="false">IF(ISNUMBER(C3049),MONTH(C3049),"")</f>
        <v/>
      </c>
      <c r="X3049" s="23" t="str">
        <f aca="false">IF(T3049="","",IF(T3049=0,"No discount",IF(T3049&lt;=0.2,"Low (1-20%)",IF(T3049&lt;=0.4,"Medium (21-40%)","High (&gt;40%)"))))</f>
        <v/>
      </c>
      <c r="Y3049" s="23" t="str">
        <f aca="false">IF(AND(ISNUMBER(C3049),ISNUMBER(D3049)),D3049-C3049,"")</f>
        <v/>
      </c>
      <c r="Z3049" s="23" t="str">
        <f aca="false">IF(B3049="","",IF(MATCH(B3049,$B$2:$B$12000,0)=ROW()-1,1,0))</f>
        <v/>
      </c>
    </row>
    <row r="3050" customFormat="false" ht="15" hidden="false" customHeight="false" outlineLevel="0" collapsed="false">
      <c r="V3050" s="23" t="str">
        <f aca="false">IF(ISNUMBER(C3050),YEAR(C3050),"")</f>
        <v/>
      </c>
      <c r="W3050" s="23" t="str">
        <f aca="false">IF(ISNUMBER(C3050),MONTH(C3050),"")</f>
        <v/>
      </c>
      <c r="X3050" s="23" t="str">
        <f aca="false">IF(T3050="","",IF(T3050=0,"No discount",IF(T3050&lt;=0.2,"Low (1-20%)",IF(T3050&lt;=0.4,"Medium (21-40%)","High (&gt;40%)"))))</f>
        <v/>
      </c>
      <c r="Y3050" s="23" t="str">
        <f aca="false">IF(AND(ISNUMBER(C3050),ISNUMBER(D3050)),D3050-C3050,"")</f>
        <v/>
      </c>
      <c r="Z3050" s="23" t="str">
        <f aca="false">IF(B3050="","",IF(MATCH(B3050,$B$2:$B$12000,0)=ROW()-1,1,0))</f>
        <v/>
      </c>
    </row>
    <row r="3051" customFormat="false" ht="15" hidden="false" customHeight="false" outlineLevel="0" collapsed="false">
      <c r="V3051" s="23" t="str">
        <f aca="false">IF(ISNUMBER(C3051),YEAR(C3051),"")</f>
        <v/>
      </c>
      <c r="W3051" s="23" t="str">
        <f aca="false">IF(ISNUMBER(C3051),MONTH(C3051),"")</f>
        <v/>
      </c>
      <c r="X3051" s="23" t="str">
        <f aca="false">IF(T3051="","",IF(T3051=0,"No discount",IF(T3051&lt;=0.2,"Low (1-20%)",IF(T3051&lt;=0.4,"Medium (21-40%)","High (&gt;40%)"))))</f>
        <v/>
      </c>
      <c r="Y3051" s="23" t="str">
        <f aca="false">IF(AND(ISNUMBER(C3051),ISNUMBER(D3051)),D3051-C3051,"")</f>
        <v/>
      </c>
      <c r="Z3051" s="23" t="str">
        <f aca="false">IF(B3051="","",IF(MATCH(B3051,$B$2:$B$12000,0)=ROW()-1,1,0))</f>
        <v/>
      </c>
    </row>
    <row r="3052" customFormat="false" ht="15" hidden="false" customHeight="false" outlineLevel="0" collapsed="false">
      <c r="V3052" s="23" t="str">
        <f aca="false">IF(ISNUMBER(C3052),YEAR(C3052),"")</f>
        <v/>
      </c>
      <c r="W3052" s="23" t="str">
        <f aca="false">IF(ISNUMBER(C3052),MONTH(C3052),"")</f>
        <v/>
      </c>
      <c r="X3052" s="23" t="str">
        <f aca="false">IF(T3052="","",IF(T3052=0,"No discount",IF(T3052&lt;=0.2,"Low (1-20%)",IF(T3052&lt;=0.4,"Medium (21-40%)","High (&gt;40%)"))))</f>
        <v/>
      </c>
      <c r="Y3052" s="23" t="str">
        <f aca="false">IF(AND(ISNUMBER(C3052),ISNUMBER(D3052)),D3052-C3052,"")</f>
        <v/>
      </c>
      <c r="Z3052" s="23" t="str">
        <f aca="false">IF(B3052="","",IF(MATCH(B3052,$B$2:$B$12000,0)=ROW()-1,1,0))</f>
        <v/>
      </c>
    </row>
    <row r="3053" customFormat="false" ht="15" hidden="false" customHeight="false" outlineLevel="0" collapsed="false">
      <c r="V3053" s="23" t="str">
        <f aca="false">IF(ISNUMBER(C3053),YEAR(C3053),"")</f>
        <v/>
      </c>
      <c r="W3053" s="23" t="str">
        <f aca="false">IF(ISNUMBER(C3053),MONTH(C3053),"")</f>
        <v/>
      </c>
      <c r="X3053" s="23" t="str">
        <f aca="false">IF(T3053="","",IF(T3053=0,"No discount",IF(T3053&lt;=0.2,"Low (1-20%)",IF(T3053&lt;=0.4,"Medium (21-40%)","High (&gt;40%)"))))</f>
        <v/>
      </c>
      <c r="Y3053" s="23" t="str">
        <f aca="false">IF(AND(ISNUMBER(C3053),ISNUMBER(D3053)),D3053-C3053,"")</f>
        <v/>
      </c>
      <c r="Z3053" s="23" t="str">
        <f aca="false">IF(B3053="","",IF(MATCH(B3053,$B$2:$B$12000,0)=ROW()-1,1,0))</f>
        <v/>
      </c>
    </row>
    <row r="3054" customFormat="false" ht="15" hidden="false" customHeight="false" outlineLevel="0" collapsed="false">
      <c r="V3054" s="23" t="str">
        <f aca="false">IF(ISNUMBER(C3054),YEAR(C3054),"")</f>
        <v/>
      </c>
      <c r="W3054" s="23" t="str">
        <f aca="false">IF(ISNUMBER(C3054),MONTH(C3054),"")</f>
        <v/>
      </c>
      <c r="X3054" s="23" t="str">
        <f aca="false">IF(T3054="","",IF(T3054=0,"No discount",IF(T3054&lt;=0.2,"Low (1-20%)",IF(T3054&lt;=0.4,"Medium (21-40%)","High (&gt;40%)"))))</f>
        <v/>
      </c>
      <c r="Y3054" s="23" t="str">
        <f aca="false">IF(AND(ISNUMBER(C3054),ISNUMBER(D3054)),D3054-C3054,"")</f>
        <v/>
      </c>
      <c r="Z3054" s="23" t="str">
        <f aca="false">IF(B3054="","",IF(MATCH(B3054,$B$2:$B$12000,0)=ROW()-1,1,0))</f>
        <v/>
      </c>
    </row>
    <row r="3055" customFormat="false" ht="15" hidden="false" customHeight="false" outlineLevel="0" collapsed="false">
      <c r="V3055" s="23" t="str">
        <f aca="false">IF(ISNUMBER(C3055),YEAR(C3055),"")</f>
        <v/>
      </c>
      <c r="W3055" s="23" t="str">
        <f aca="false">IF(ISNUMBER(C3055),MONTH(C3055),"")</f>
        <v/>
      </c>
      <c r="X3055" s="23" t="str">
        <f aca="false">IF(T3055="","",IF(T3055=0,"No discount",IF(T3055&lt;=0.2,"Low (1-20%)",IF(T3055&lt;=0.4,"Medium (21-40%)","High (&gt;40%)"))))</f>
        <v/>
      </c>
      <c r="Y3055" s="23" t="str">
        <f aca="false">IF(AND(ISNUMBER(C3055),ISNUMBER(D3055)),D3055-C3055,"")</f>
        <v/>
      </c>
      <c r="Z3055" s="23" t="str">
        <f aca="false">IF(B3055="","",IF(MATCH(B3055,$B$2:$B$12000,0)=ROW()-1,1,0))</f>
        <v/>
      </c>
    </row>
    <row r="3056" customFormat="false" ht="15" hidden="false" customHeight="false" outlineLevel="0" collapsed="false">
      <c r="V3056" s="23" t="str">
        <f aca="false">IF(ISNUMBER(C3056),YEAR(C3056),"")</f>
        <v/>
      </c>
      <c r="W3056" s="23" t="str">
        <f aca="false">IF(ISNUMBER(C3056),MONTH(C3056),"")</f>
        <v/>
      </c>
      <c r="X3056" s="23" t="str">
        <f aca="false">IF(T3056="","",IF(T3056=0,"No discount",IF(T3056&lt;=0.2,"Low (1-20%)",IF(T3056&lt;=0.4,"Medium (21-40%)","High (&gt;40%)"))))</f>
        <v/>
      </c>
      <c r="Y3056" s="23" t="str">
        <f aca="false">IF(AND(ISNUMBER(C3056),ISNUMBER(D3056)),D3056-C3056,"")</f>
        <v/>
      </c>
      <c r="Z3056" s="23" t="str">
        <f aca="false">IF(B3056="","",IF(MATCH(B3056,$B$2:$B$12000,0)=ROW()-1,1,0))</f>
        <v/>
      </c>
    </row>
    <row r="3057" customFormat="false" ht="15" hidden="false" customHeight="false" outlineLevel="0" collapsed="false">
      <c r="V3057" s="23" t="str">
        <f aca="false">IF(ISNUMBER(C3057),YEAR(C3057),"")</f>
        <v/>
      </c>
      <c r="W3057" s="23" t="str">
        <f aca="false">IF(ISNUMBER(C3057),MONTH(C3057),"")</f>
        <v/>
      </c>
      <c r="X3057" s="23" t="str">
        <f aca="false">IF(T3057="","",IF(T3057=0,"No discount",IF(T3057&lt;=0.2,"Low (1-20%)",IF(T3057&lt;=0.4,"Medium (21-40%)","High (&gt;40%)"))))</f>
        <v/>
      </c>
      <c r="Y3057" s="23" t="str">
        <f aca="false">IF(AND(ISNUMBER(C3057),ISNUMBER(D3057)),D3057-C3057,"")</f>
        <v/>
      </c>
      <c r="Z3057" s="23" t="str">
        <f aca="false">IF(B3057="","",IF(MATCH(B3057,$B$2:$B$12000,0)=ROW()-1,1,0))</f>
        <v/>
      </c>
    </row>
    <row r="3058" customFormat="false" ht="15" hidden="false" customHeight="false" outlineLevel="0" collapsed="false">
      <c r="V3058" s="23" t="str">
        <f aca="false">IF(ISNUMBER(C3058),YEAR(C3058),"")</f>
        <v/>
      </c>
      <c r="W3058" s="23" t="str">
        <f aca="false">IF(ISNUMBER(C3058),MONTH(C3058),"")</f>
        <v/>
      </c>
      <c r="X3058" s="23" t="str">
        <f aca="false">IF(T3058="","",IF(T3058=0,"No discount",IF(T3058&lt;=0.2,"Low (1-20%)",IF(T3058&lt;=0.4,"Medium (21-40%)","High (&gt;40%)"))))</f>
        <v/>
      </c>
      <c r="Y3058" s="23" t="str">
        <f aca="false">IF(AND(ISNUMBER(C3058),ISNUMBER(D3058)),D3058-C3058,"")</f>
        <v/>
      </c>
      <c r="Z3058" s="23" t="str">
        <f aca="false">IF(B3058="","",IF(MATCH(B3058,$B$2:$B$12000,0)=ROW()-1,1,0))</f>
        <v/>
      </c>
    </row>
    <row r="3059" customFormat="false" ht="15" hidden="false" customHeight="false" outlineLevel="0" collapsed="false">
      <c r="V3059" s="23" t="str">
        <f aca="false">IF(ISNUMBER(C3059),YEAR(C3059),"")</f>
        <v/>
      </c>
      <c r="W3059" s="23" t="str">
        <f aca="false">IF(ISNUMBER(C3059),MONTH(C3059),"")</f>
        <v/>
      </c>
      <c r="X3059" s="23" t="str">
        <f aca="false">IF(T3059="","",IF(T3059=0,"No discount",IF(T3059&lt;=0.2,"Low (1-20%)",IF(T3059&lt;=0.4,"Medium (21-40%)","High (&gt;40%)"))))</f>
        <v/>
      </c>
      <c r="Y3059" s="23" t="str">
        <f aca="false">IF(AND(ISNUMBER(C3059),ISNUMBER(D3059)),D3059-C3059,"")</f>
        <v/>
      </c>
      <c r="Z3059" s="23" t="str">
        <f aca="false">IF(B3059="","",IF(MATCH(B3059,$B$2:$B$12000,0)=ROW()-1,1,0))</f>
        <v/>
      </c>
    </row>
    <row r="3060" customFormat="false" ht="15" hidden="false" customHeight="false" outlineLevel="0" collapsed="false">
      <c r="V3060" s="23" t="str">
        <f aca="false">IF(ISNUMBER(C3060),YEAR(C3060),"")</f>
        <v/>
      </c>
      <c r="W3060" s="23" t="str">
        <f aca="false">IF(ISNUMBER(C3060),MONTH(C3060),"")</f>
        <v/>
      </c>
      <c r="X3060" s="23" t="str">
        <f aca="false">IF(T3060="","",IF(T3060=0,"No discount",IF(T3060&lt;=0.2,"Low (1-20%)",IF(T3060&lt;=0.4,"Medium (21-40%)","High (&gt;40%)"))))</f>
        <v/>
      </c>
      <c r="Y3060" s="23" t="str">
        <f aca="false">IF(AND(ISNUMBER(C3060),ISNUMBER(D3060)),D3060-C3060,"")</f>
        <v/>
      </c>
      <c r="Z3060" s="23" t="str">
        <f aca="false">IF(B3060="","",IF(MATCH(B3060,$B$2:$B$12000,0)=ROW()-1,1,0))</f>
        <v/>
      </c>
    </row>
    <row r="3061" customFormat="false" ht="15" hidden="false" customHeight="false" outlineLevel="0" collapsed="false">
      <c r="V3061" s="23" t="str">
        <f aca="false">IF(ISNUMBER(C3061),YEAR(C3061),"")</f>
        <v/>
      </c>
      <c r="W3061" s="23" t="str">
        <f aca="false">IF(ISNUMBER(C3061),MONTH(C3061),"")</f>
        <v/>
      </c>
      <c r="X3061" s="23" t="str">
        <f aca="false">IF(T3061="","",IF(T3061=0,"No discount",IF(T3061&lt;=0.2,"Low (1-20%)",IF(T3061&lt;=0.4,"Medium (21-40%)","High (&gt;40%)"))))</f>
        <v/>
      </c>
      <c r="Y3061" s="23" t="str">
        <f aca="false">IF(AND(ISNUMBER(C3061),ISNUMBER(D3061)),D3061-C3061,"")</f>
        <v/>
      </c>
      <c r="Z3061" s="23" t="str">
        <f aca="false">IF(B3061="","",IF(MATCH(B3061,$B$2:$B$12000,0)=ROW()-1,1,0))</f>
        <v/>
      </c>
    </row>
    <row r="3062" customFormat="false" ht="15" hidden="false" customHeight="false" outlineLevel="0" collapsed="false">
      <c r="V3062" s="23" t="str">
        <f aca="false">IF(ISNUMBER(C3062),YEAR(C3062),"")</f>
        <v/>
      </c>
      <c r="W3062" s="23" t="str">
        <f aca="false">IF(ISNUMBER(C3062),MONTH(C3062),"")</f>
        <v/>
      </c>
      <c r="X3062" s="23" t="str">
        <f aca="false">IF(T3062="","",IF(T3062=0,"No discount",IF(T3062&lt;=0.2,"Low (1-20%)",IF(T3062&lt;=0.4,"Medium (21-40%)","High (&gt;40%)"))))</f>
        <v/>
      </c>
      <c r="Y3062" s="23" t="str">
        <f aca="false">IF(AND(ISNUMBER(C3062),ISNUMBER(D3062)),D3062-C3062,"")</f>
        <v/>
      </c>
      <c r="Z3062" s="23" t="str">
        <f aca="false">IF(B3062="","",IF(MATCH(B3062,$B$2:$B$12000,0)=ROW()-1,1,0))</f>
        <v/>
      </c>
    </row>
    <row r="3063" customFormat="false" ht="15" hidden="false" customHeight="false" outlineLevel="0" collapsed="false">
      <c r="V3063" s="23" t="str">
        <f aca="false">IF(ISNUMBER(C3063),YEAR(C3063),"")</f>
        <v/>
      </c>
      <c r="W3063" s="23" t="str">
        <f aca="false">IF(ISNUMBER(C3063),MONTH(C3063),"")</f>
        <v/>
      </c>
      <c r="X3063" s="23" t="str">
        <f aca="false">IF(T3063="","",IF(T3063=0,"No discount",IF(T3063&lt;=0.2,"Low (1-20%)",IF(T3063&lt;=0.4,"Medium (21-40%)","High (&gt;40%)"))))</f>
        <v/>
      </c>
      <c r="Y3063" s="23" t="str">
        <f aca="false">IF(AND(ISNUMBER(C3063),ISNUMBER(D3063)),D3063-C3063,"")</f>
        <v/>
      </c>
      <c r="Z3063" s="23" t="str">
        <f aca="false">IF(B3063="","",IF(MATCH(B3063,$B$2:$B$12000,0)=ROW()-1,1,0))</f>
        <v/>
      </c>
    </row>
    <row r="3064" customFormat="false" ht="15" hidden="false" customHeight="false" outlineLevel="0" collapsed="false">
      <c r="V3064" s="23" t="str">
        <f aca="false">IF(ISNUMBER(C3064),YEAR(C3064),"")</f>
        <v/>
      </c>
      <c r="W3064" s="23" t="str">
        <f aca="false">IF(ISNUMBER(C3064),MONTH(C3064),"")</f>
        <v/>
      </c>
      <c r="X3064" s="23" t="str">
        <f aca="false">IF(T3064="","",IF(T3064=0,"No discount",IF(T3064&lt;=0.2,"Low (1-20%)",IF(T3064&lt;=0.4,"Medium (21-40%)","High (&gt;40%)"))))</f>
        <v/>
      </c>
      <c r="Y3064" s="23" t="str">
        <f aca="false">IF(AND(ISNUMBER(C3064),ISNUMBER(D3064)),D3064-C3064,"")</f>
        <v/>
      </c>
      <c r="Z3064" s="23" t="str">
        <f aca="false">IF(B3064="","",IF(MATCH(B3064,$B$2:$B$12000,0)=ROW()-1,1,0))</f>
        <v/>
      </c>
    </row>
    <row r="3065" customFormat="false" ht="15" hidden="false" customHeight="false" outlineLevel="0" collapsed="false">
      <c r="V3065" s="23" t="str">
        <f aca="false">IF(ISNUMBER(C3065),YEAR(C3065),"")</f>
        <v/>
      </c>
      <c r="W3065" s="23" t="str">
        <f aca="false">IF(ISNUMBER(C3065),MONTH(C3065),"")</f>
        <v/>
      </c>
      <c r="X3065" s="23" t="str">
        <f aca="false">IF(T3065="","",IF(T3065=0,"No discount",IF(T3065&lt;=0.2,"Low (1-20%)",IF(T3065&lt;=0.4,"Medium (21-40%)","High (&gt;40%)"))))</f>
        <v/>
      </c>
      <c r="Y3065" s="23" t="str">
        <f aca="false">IF(AND(ISNUMBER(C3065),ISNUMBER(D3065)),D3065-C3065,"")</f>
        <v/>
      </c>
      <c r="Z3065" s="23" t="str">
        <f aca="false">IF(B3065="","",IF(MATCH(B3065,$B$2:$B$12000,0)=ROW()-1,1,0))</f>
        <v/>
      </c>
    </row>
    <row r="3066" customFormat="false" ht="15" hidden="false" customHeight="false" outlineLevel="0" collapsed="false">
      <c r="V3066" s="23" t="str">
        <f aca="false">IF(ISNUMBER(C3066),YEAR(C3066),"")</f>
        <v/>
      </c>
      <c r="W3066" s="23" t="str">
        <f aca="false">IF(ISNUMBER(C3066),MONTH(C3066),"")</f>
        <v/>
      </c>
      <c r="X3066" s="23" t="str">
        <f aca="false">IF(T3066="","",IF(T3066=0,"No discount",IF(T3066&lt;=0.2,"Low (1-20%)",IF(T3066&lt;=0.4,"Medium (21-40%)","High (&gt;40%)"))))</f>
        <v/>
      </c>
      <c r="Y3066" s="23" t="str">
        <f aca="false">IF(AND(ISNUMBER(C3066),ISNUMBER(D3066)),D3066-C3066,"")</f>
        <v/>
      </c>
      <c r="Z3066" s="23" t="str">
        <f aca="false">IF(B3066="","",IF(MATCH(B3066,$B$2:$B$12000,0)=ROW()-1,1,0))</f>
        <v/>
      </c>
    </row>
    <row r="3067" customFormat="false" ht="15" hidden="false" customHeight="false" outlineLevel="0" collapsed="false">
      <c r="V3067" s="23" t="str">
        <f aca="false">IF(ISNUMBER(C3067),YEAR(C3067),"")</f>
        <v/>
      </c>
      <c r="W3067" s="23" t="str">
        <f aca="false">IF(ISNUMBER(C3067),MONTH(C3067),"")</f>
        <v/>
      </c>
      <c r="X3067" s="23" t="str">
        <f aca="false">IF(T3067="","",IF(T3067=0,"No discount",IF(T3067&lt;=0.2,"Low (1-20%)",IF(T3067&lt;=0.4,"Medium (21-40%)","High (&gt;40%)"))))</f>
        <v/>
      </c>
      <c r="Y3067" s="23" t="str">
        <f aca="false">IF(AND(ISNUMBER(C3067),ISNUMBER(D3067)),D3067-C3067,"")</f>
        <v/>
      </c>
      <c r="Z3067" s="23" t="str">
        <f aca="false">IF(B3067="","",IF(MATCH(B3067,$B$2:$B$12000,0)=ROW()-1,1,0))</f>
        <v/>
      </c>
    </row>
    <row r="3068" customFormat="false" ht="15" hidden="false" customHeight="false" outlineLevel="0" collapsed="false">
      <c r="V3068" s="23" t="str">
        <f aca="false">IF(ISNUMBER(C3068),YEAR(C3068),"")</f>
        <v/>
      </c>
      <c r="W3068" s="23" t="str">
        <f aca="false">IF(ISNUMBER(C3068),MONTH(C3068),"")</f>
        <v/>
      </c>
      <c r="X3068" s="23" t="str">
        <f aca="false">IF(T3068="","",IF(T3068=0,"No discount",IF(T3068&lt;=0.2,"Low (1-20%)",IF(T3068&lt;=0.4,"Medium (21-40%)","High (&gt;40%)"))))</f>
        <v/>
      </c>
      <c r="Y3068" s="23" t="str">
        <f aca="false">IF(AND(ISNUMBER(C3068),ISNUMBER(D3068)),D3068-C3068,"")</f>
        <v/>
      </c>
      <c r="Z3068" s="23" t="str">
        <f aca="false">IF(B3068="","",IF(MATCH(B3068,$B$2:$B$12000,0)=ROW()-1,1,0))</f>
        <v/>
      </c>
    </row>
    <row r="3069" customFormat="false" ht="15" hidden="false" customHeight="false" outlineLevel="0" collapsed="false">
      <c r="V3069" s="23" t="str">
        <f aca="false">IF(ISNUMBER(C3069),YEAR(C3069),"")</f>
        <v/>
      </c>
      <c r="W3069" s="23" t="str">
        <f aca="false">IF(ISNUMBER(C3069),MONTH(C3069),"")</f>
        <v/>
      </c>
      <c r="X3069" s="23" t="str">
        <f aca="false">IF(T3069="","",IF(T3069=0,"No discount",IF(T3069&lt;=0.2,"Low (1-20%)",IF(T3069&lt;=0.4,"Medium (21-40%)","High (&gt;40%)"))))</f>
        <v/>
      </c>
      <c r="Y3069" s="23" t="str">
        <f aca="false">IF(AND(ISNUMBER(C3069),ISNUMBER(D3069)),D3069-C3069,"")</f>
        <v/>
      </c>
      <c r="Z3069" s="23" t="str">
        <f aca="false">IF(B3069="","",IF(MATCH(B3069,$B$2:$B$12000,0)=ROW()-1,1,0))</f>
        <v/>
      </c>
    </row>
    <row r="3070" customFormat="false" ht="15" hidden="false" customHeight="false" outlineLevel="0" collapsed="false">
      <c r="V3070" s="23" t="str">
        <f aca="false">IF(ISNUMBER(C3070),YEAR(C3070),"")</f>
        <v/>
      </c>
      <c r="W3070" s="23" t="str">
        <f aca="false">IF(ISNUMBER(C3070),MONTH(C3070),"")</f>
        <v/>
      </c>
      <c r="X3070" s="23" t="str">
        <f aca="false">IF(T3070="","",IF(T3070=0,"No discount",IF(T3070&lt;=0.2,"Low (1-20%)",IF(T3070&lt;=0.4,"Medium (21-40%)","High (&gt;40%)"))))</f>
        <v/>
      </c>
      <c r="Y3070" s="23" t="str">
        <f aca="false">IF(AND(ISNUMBER(C3070),ISNUMBER(D3070)),D3070-C3070,"")</f>
        <v/>
      </c>
      <c r="Z3070" s="23" t="str">
        <f aca="false">IF(B3070="","",IF(MATCH(B3070,$B$2:$B$12000,0)=ROW()-1,1,0))</f>
        <v/>
      </c>
    </row>
    <row r="3071" customFormat="false" ht="15" hidden="false" customHeight="false" outlineLevel="0" collapsed="false">
      <c r="V3071" s="23" t="str">
        <f aca="false">IF(ISNUMBER(C3071),YEAR(C3071),"")</f>
        <v/>
      </c>
      <c r="W3071" s="23" t="str">
        <f aca="false">IF(ISNUMBER(C3071),MONTH(C3071),"")</f>
        <v/>
      </c>
      <c r="X3071" s="23" t="str">
        <f aca="false">IF(T3071="","",IF(T3071=0,"No discount",IF(T3071&lt;=0.2,"Low (1-20%)",IF(T3071&lt;=0.4,"Medium (21-40%)","High (&gt;40%)"))))</f>
        <v/>
      </c>
      <c r="Y3071" s="23" t="str">
        <f aca="false">IF(AND(ISNUMBER(C3071),ISNUMBER(D3071)),D3071-C3071,"")</f>
        <v/>
      </c>
      <c r="Z3071" s="23" t="str">
        <f aca="false">IF(B3071="","",IF(MATCH(B3071,$B$2:$B$12000,0)=ROW()-1,1,0))</f>
        <v/>
      </c>
    </row>
    <row r="3072" customFormat="false" ht="15" hidden="false" customHeight="false" outlineLevel="0" collapsed="false">
      <c r="V3072" s="23" t="str">
        <f aca="false">IF(ISNUMBER(C3072),YEAR(C3072),"")</f>
        <v/>
      </c>
      <c r="W3072" s="23" t="str">
        <f aca="false">IF(ISNUMBER(C3072),MONTH(C3072),"")</f>
        <v/>
      </c>
      <c r="X3072" s="23" t="str">
        <f aca="false">IF(T3072="","",IF(T3072=0,"No discount",IF(T3072&lt;=0.2,"Low (1-20%)",IF(T3072&lt;=0.4,"Medium (21-40%)","High (&gt;40%)"))))</f>
        <v/>
      </c>
      <c r="Y3072" s="23" t="str">
        <f aca="false">IF(AND(ISNUMBER(C3072),ISNUMBER(D3072)),D3072-C3072,"")</f>
        <v/>
      </c>
      <c r="Z3072" s="23" t="str">
        <f aca="false">IF(B3072="","",IF(MATCH(B3072,$B$2:$B$12000,0)=ROW()-1,1,0))</f>
        <v/>
      </c>
    </row>
    <row r="3073" customFormat="false" ht="15" hidden="false" customHeight="false" outlineLevel="0" collapsed="false">
      <c r="V3073" s="23" t="str">
        <f aca="false">IF(ISNUMBER(C3073),YEAR(C3073),"")</f>
        <v/>
      </c>
      <c r="W3073" s="23" t="str">
        <f aca="false">IF(ISNUMBER(C3073),MONTH(C3073),"")</f>
        <v/>
      </c>
      <c r="X3073" s="23" t="str">
        <f aca="false">IF(T3073="","",IF(T3073=0,"No discount",IF(T3073&lt;=0.2,"Low (1-20%)",IF(T3073&lt;=0.4,"Medium (21-40%)","High (&gt;40%)"))))</f>
        <v/>
      </c>
      <c r="Y3073" s="23" t="str">
        <f aca="false">IF(AND(ISNUMBER(C3073),ISNUMBER(D3073)),D3073-C3073,"")</f>
        <v/>
      </c>
      <c r="Z3073" s="23" t="str">
        <f aca="false">IF(B3073="","",IF(MATCH(B3073,$B$2:$B$12000,0)=ROW()-1,1,0))</f>
        <v/>
      </c>
    </row>
    <row r="3074" customFormat="false" ht="15" hidden="false" customHeight="false" outlineLevel="0" collapsed="false">
      <c r="V3074" s="23" t="str">
        <f aca="false">IF(ISNUMBER(C3074),YEAR(C3074),"")</f>
        <v/>
      </c>
      <c r="W3074" s="23" t="str">
        <f aca="false">IF(ISNUMBER(C3074),MONTH(C3074),"")</f>
        <v/>
      </c>
      <c r="X3074" s="23" t="str">
        <f aca="false">IF(T3074="","",IF(T3074=0,"No discount",IF(T3074&lt;=0.2,"Low (1-20%)",IF(T3074&lt;=0.4,"Medium (21-40%)","High (&gt;40%)"))))</f>
        <v/>
      </c>
      <c r="Y3074" s="23" t="str">
        <f aca="false">IF(AND(ISNUMBER(C3074),ISNUMBER(D3074)),D3074-C3074,"")</f>
        <v/>
      </c>
      <c r="Z3074" s="23" t="str">
        <f aca="false">IF(B3074="","",IF(MATCH(B3074,$B$2:$B$12000,0)=ROW()-1,1,0))</f>
        <v/>
      </c>
    </row>
    <row r="3075" customFormat="false" ht="15" hidden="false" customHeight="false" outlineLevel="0" collapsed="false">
      <c r="V3075" s="23" t="str">
        <f aca="false">IF(ISNUMBER(C3075),YEAR(C3075),"")</f>
        <v/>
      </c>
      <c r="W3075" s="23" t="str">
        <f aca="false">IF(ISNUMBER(C3075),MONTH(C3075),"")</f>
        <v/>
      </c>
      <c r="X3075" s="23" t="str">
        <f aca="false">IF(T3075="","",IF(T3075=0,"No discount",IF(T3075&lt;=0.2,"Low (1-20%)",IF(T3075&lt;=0.4,"Medium (21-40%)","High (&gt;40%)"))))</f>
        <v/>
      </c>
      <c r="Y3075" s="23" t="str">
        <f aca="false">IF(AND(ISNUMBER(C3075),ISNUMBER(D3075)),D3075-C3075,"")</f>
        <v/>
      </c>
      <c r="Z3075" s="23" t="str">
        <f aca="false">IF(B3075="","",IF(MATCH(B3075,$B$2:$B$12000,0)=ROW()-1,1,0))</f>
        <v/>
      </c>
    </row>
    <row r="3076" customFormat="false" ht="15" hidden="false" customHeight="false" outlineLevel="0" collapsed="false">
      <c r="V3076" s="23" t="str">
        <f aca="false">IF(ISNUMBER(C3076),YEAR(C3076),"")</f>
        <v/>
      </c>
      <c r="W3076" s="23" t="str">
        <f aca="false">IF(ISNUMBER(C3076),MONTH(C3076),"")</f>
        <v/>
      </c>
      <c r="X3076" s="23" t="str">
        <f aca="false">IF(T3076="","",IF(T3076=0,"No discount",IF(T3076&lt;=0.2,"Low (1-20%)",IF(T3076&lt;=0.4,"Medium (21-40%)","High (&gt;40%)"))))</f>
        <v/>
      </c>
      <c r="Y3076" s="23" t="str">
        <f aca="false">IF(AND(ISNUMBER(C3076),ISNUMBER(D3076)),D3076-C3076,"")</f>
        <v/>
      </c>
      <c r="Z3076" s="23" t="str">
        <f aca="false">IF(B3076="","",IF(MATCH(B3076,$B$2:$B$12000,0)=ROW()-1,1,0))</f>
        <v/>
      </c>
    </row>
    <row r="3077" customFormat="false" ht="15" hidden="false" customHeight="false" outlineLevel="0" collapsed="false">
      <c r="V3077" s="23" t="str">
        <f aca="false">IF(ISNUMBER(C3077),YEAR(C3077),"")</f>
        <v/>
      </c>
      <c r="W3077" s="23" t="str">
        <f aca="false">IF(ISNUMBER(C3077),MONTH(C3077),"")</f>
        <v/>
      </c>
      <c r="X3077" s="23" t="str">
        <f aca="false">IF(T3077="","",IF(T3077=0,"No discount",IF(T3077&lt;=0.2,"Low (1-20%)",IF(T3077&lt;=0.4,"Medium (21-40%)","High (&gt;40%)"))))</f>
        <v/>
      </c>
      <c r="Y3077" s="23" t="str">
        <f aca="false">IF(AND(ISNUMBER(C3077),ISNUMBER(D3077)),D3077-C3077,"")</f>
        <v/>
      </c>
      <c r="Z3077" s="23" t="str">
        <f aca="false">IF(B3077="","",IF(MATCH(B3077,$B$2:$B$12000,0)=ROW()-1,1,0))</f>
        <v/>
      </c>
    </row>
    <row r="3078" customFormat="false" ht="15" hidden="false" customHeight="false" outlineLevel="0" collapsed="false">
      <c r="V3078" s="23" t="str">
        <f aca="false">IF(ISNUMBER(C3078),YEAR(C3078),"")</f>
        <v/>
      </c>
      <c r="W3078" s="23" t="str">
        <f aca="false">IF(ISNUMBER(C3078),MONTH(C3078),"")</f>
        <v/>
      </c>
      <c r="X3078" s="23" t="str">
        <f aca="false">IF(T3078="","",IF(T3078=0,"No discount",IF(T3078&lt;=0.2,"Low (1-20%)",IF(T3078&lt;=0.4,"Medium (21-40%)","High (&gt;40%)"))))</f>
        <v/>
      </c>
      <c r="Y3078" s="23" t="str">
        <f aca="false">IF(AND(ISNUMBER(C3078),ISNUMBER(D3078)),D3078-C3078,"")</f>
        <v/>
      </c>
      <c r="Z3078" s="23" t="str">
        <f aca="false">IF(B3078="","",IF(MATCH(B3078,$B$2:$B$12000,0)=ROW()-1,1,0))</f>
        <v/>
      </c>
    </row>
    <row r="3079" customFormat="false" ht="15" hidden="false" customHeight="false" outlineLevel="0" collapsed="false">
      <c r="V3079" s="23" t="str">
        <f aca="false">IF(ISNUMBER(C3079),YEAR(C3079),"")</f>
        <v/>
      </c>
      <c r="W3079" s="23" t="str">
        <f aca="false">IF(ISNUMBER(C3079),MONTH(C3079),"")</f>
        <v/>
      </c>
      <c r="X3079" s="23" t="str">
        <f aca="false">IF(T3079="","",IF(T3079=0,"No discount",IF(T3079&lt;=0.2,"Low (1-20%)",IF(T3079&lt;=0.4,"Medium (21-40%)","High (&gt;40%)"))))</f>
        <v/>
      </c>
      <c r="Y3079" s="23" t="str">
        <f aca="false">IF(AND(ISNUMBER(C3079),ISNUMBER(D3079)),D3079-C3079,"")</f>
        <v/>
      </c>
      <c r="Z3079" s="23" t="str">
        <f aca="false">IF(B3079="","",IF(MATCH(B3079,$B$2:$B$12000,0)=ROW()-1,1,0))</f>
        <v/>
      </c>
    </row>
    <row r="3080" customFormat="false" ht="15" hidden="false" customHeight="false" outlineLevel="0" collapsed="false">
      <c r="V3080" s="23" t="str">
        <f aca="false">IF(ISNUMBER(C3080),YEAR(C3080),"")</f>
        <v/>
      </c>
      <c r="W3080" s="23" t="str">
        <f aca="false">IF(ISNUMBER(C3080),MONTH(C3080),"")</f>
        <v/>
      </c>
      <c r="X3080" s="23" t="str">
        <f aca="false">IF(T3080="","",IF(T3080=0,"No discount",IF(T3080&lt;=0.2,"Low (1-20%)",IF(T3080&lt;=0.4,"Medium (21-40%)","High (&gt;40%)"))))</f>
        <v/>
      </c>
      <c r="Y3080" s="23" t="str">
        <f aca="false">IF(AND(ISNUMBER(C3080),ISNUMBER(D3080)),D3080-C3080,"")</f>
        <v/>
      </c>
      <c r="Z3080" s="23" t="str">
        <f aca="false">IF(B3080="","",IF(MATCH(B3080,$B$2:$B$12000,0)=ROW()-1,1,0))</f>
        <v/>
      </c>
    </row>
    <row r="3081" customFormat="false" ht="15" hidden="false" customHeight="false" outlineLevel="0" collapsed="false">
      <c r="V3081" s="23" t="str">
        <f aca="false">IF(ISNUMBER(C3081),YEAR(C3081),"")</f>
        <v/>
      </c>
      <c r="W3081" s="23" t="str">
        <f aca="false">IF(ISNUMBER(C3081),MONTH(C3081),"")</f>
        <v/>
      </c>
      <c r="X3081" s="23" t="str">
        <f aca="false">IF(T3081="","",IF(T3081=0,"No discount",IF(T3081&lt;=0.2,"Low (1-20%)",IF(T3081&lt;=0.4,"Medium (21-40%)","High (&gt;40%)"))))</f>
        <v/>
      </c>
      <c r="Y3081" s="23" t="str">
        <f aca="false">IF(AND(ISNUMBER(C3081),ISNUMBER(D3081)),D3081-C3081,"")</f>
        <v/>
      </c>
      <c r="Z3081" s="23" t="str">
        <f aca="false">IF(B3081="","",IF(MATCH(B3081,$B$2:$B$12000,0)=ROW()-1,1,0))</f>
        <v/>
      </c>
    </row>
    <row r="3082" customFormat="false" ht="15" hidden="false" customHeight="false" outlineLevel="0" collapsed="false">
      <c r="V3082" s="23" t="str">
        <f aca="false">IF(ISNUMBER(C3082),YEAR(C3082),"")</f>
        <v/>
      </c>
      <c r="W3082" s="23" t="str">
        <f aca="false">IF(ISNUMBER(C3082),MONTH(C3082),"")</f>
        <v/>
      </c>
      <c r="X3082" s="23" t="str">
        <f aca="false">IF(T3082="","",IF(T3082=0,"No discount",IF(T3082&lt;=0.2,"Low (1-20%)",IF(T3082&lt;=0.4,"Medium (21-40%)","High (&gt;40%)"))))</f>
        <v/>
      </c>
      <c r="Y3082" s="23" t="str">
        <f aca="false">IF(AND(ISNUMBER(C3082),ISNUMBER(D3082)),D3082-C3082,"")</f>
        <v/>
      </c>
      <c r="Z3082" s="23" t="str">
        <f aca="false">IF(B3082="","",IF(MATCH(B3082,$B$2:$B$12000,0)=ROW()-1,1,0))</f>
        <v/>
      </c>
    </row>
    <row r="3083" customFormat="false" ht="15" hidden="false" customHeight="false" outlineLevel="0" collapsed="false">
      <c r="V3083" s="23" t="str">
        <f aca="false">IF(ISNUMBER(C3083),YEAR(C3083),"")</f>
        <v/>
      </c>
      <c r="W3083" s="23" t="str">
        <f aca="false">IF(ISNUMBER(C3083),MONTH(C3083),"")</f>
        <v/>
      </c>
      <c r="X3083" s="23" t="str">
        <f aca="false">IF(T3083="","",IF(T3083=0,"No discount",IF(T3083&lt;=0.2,"Low (1-20%)",IF(T3083&lt;=0.4,"Medium (21-40%)","High (&gt;40%)"))))</f>
        <v/>
      </c>
      <c r="Y3083" s="23" t="str">
        <f aca="false">IF(AND(ISNUMBER(C3083),ISNUMBER(D3083)),D3083-C3083,"")</f>
        <v/>
      </c>
      <c r="Z3083" s="23" t="str">
        <f aca="false">IF(B3083="","",IF(MATCH(B3083,$B$2:$B$12000,0)=ROW()-1,1,0))</f>
        <v/>
      </c>
    </row>
    <row r="3084" customFormat="false" ht="15" hidden="false" customHeight="false" outlineLevel="0" collapsed="false">
      <c r="V3084" s="23" t="str">
        <f aca="false">IF(ISNUMBER(C3084),YEAR(C3084),"")</f>
        <v/>
      </c>
      <c r="W3084" s="23" t="str">
        <f aca="false">IF(ISNUMBER(C3084),MONTH(C3084),"")</f>
        <v/>
      </c>
      <c r="X3084" s="23" t="str">
        <f aca="false">IF(T3084="","",IF(T3084=0,"No discount",IF(T3084&lt;=0.2,"Low (1-20%)",IF(T3084&lt;=0.4,"Medium (21-40%)","High (&gt;40%)"))))</f>
        <v/>
      </c>
      <c r="Y3084" s="23" t="str">
        <f aca="false">IF(AND(ISNUMBER(C3084),ISNUMBER(D3084)),D3084-C3084,"")</f>
        <v/>
      </c>
      <c r="Z3084" s="23" t="str">
        <f aca="false">IF(B3084="","",IF(MATCH(B3084,$B$2:$B$12000,0)=ROW()-1,1,0))</f>
        <v/>
      </c>
    </row>
    <row r="3085" customFormat="false" ht="15" hidden="false" customHeight="false" outlineLevel="0" collapsed="false">
      <c r="V3085" s="23" t="str">
        <f aca="false">IF(ISNUMBER(C3085),YEAR(C3085),"")</f>
        <v/>
      </c>
      <c r="W3085" s="23" t="str">
        <f aca="false">IF(ISNUMBER(C3085),MONTH(C3085),"")</f>
        <v/>
      </c>
      <c r="X3085" s="23" t="str">
        <f aca="false">IF(T3085="","",IF(T3085=0,"No discount",IF(T3085&lt;=0.2,"Low (1-20%)",IF(T3085&lt;=0.4,"Medium (21-40%)","High (&gt;40%)"))))</f>
        <v/>
      </c>
      <c r="Y3085" s="23" t="str">
        <f aca="false">IF(AND(ISNUMBER(C3085),ISNUMBER(D3085)),D3085-C3085,"")</f>
        <v/>
      </c>
      <c r="Z3085" s="23" t="str">
        <f aca="false">IF(B3085="","",IF(MATCH(B3085,$B$2:$B$12000,0)=ROW()-1,1,0))</f>
        <v/>
      </c>
    </row>
    <row r="3086" customFormat="false" ht="15" hidden="false" customHeight="false" outlineLevel="0" collapsed="false">
      <c r="V3086" s="23" t="str">
        <f aca="false">IF(ISNUMBER(C3086),YEAR(C3086),"")</f>
        <v/>
      </c>
      <c r="W3086" s="23" t="str">
        <f aca="false">IF(ISNUMBER(C3086),MONTH(C3086),"")</f>
        <v/>
      </c>
      <c r="X3086" s="23" t="str">
        <f aca="false">IF(T3086="","",IF(T3086=0,"No discount",IF(T3086&lt;=0.2,"Low (1-20%)",IF(T3086&lt;=0.4,"Medium (21-40%)","High (&gt;40%)"))))</f>
        <v/>
      </c>
      <c r="Y3086" s="23" t="str">
        <f aca="false">IF(AND(ISNUMBER(C3086),ISNUMBER(D3086)),D3086-C3086,"")</f>
        <v/>
      </c>
      <c r="Z3086" s="23" t="str">
        <f aca="false">IF(B3086="","",IF(MATCH(B3086,$B$2:$B$12000,0)=ROW()-1,1,0))</f>
        <v/>
      </c>
    </row>
    <row r="3087" customFormat="false" ht="15" hidden="false" customHeight="false" outlineLevel="0" collapsed="false">
      <c r="V3087" s="23" t="str">
        <f aca="false">IF(ISNUMBER(C3087),YEAR(C3087),"")</f>
        <v/>
      </c>
      <c r="W3087" s="23" t="str">
        <f aca="false">IF(ISNUMBER(C3087),MONTH(C3087),"")</f>
        <v/>
      </c>
      <c r="X3087" s="23" t="str">
        <f aca="false">IF(T3087="","",IF(T3087=0,"No discount",IF(T3087&lt;=0.2,"Low (1-20%)",IF(T3087&lt;=0.4,"Medium (21-40%)","High (&gt;40%)"))))</f>
        <v/>
      </c>
      <c r="Y3087" s="23" t="str">
        <f aca="false">IF(AND(ISNUMBER(C3087),ISNUMBER(D3087)),D3087-C3087,"")</f>
        <v/>
      </c>
      <c r="Z3087" s="23" t="str">
        <f aca="false">IF(B3087="","",IF(MATCH(B3087,$B$2:$B$12000,0)=ROW()-1,1,0))</f>
        <v/>
      </c>
    </row>
    <row r="3088" customFormat="false" ht="15" hidden="false" customHeight="false" outlineLevel="0" collapsed="false">
      <c r="V3088" s="23" t="str">
        <f aca="false">IF(ISNUMBER(C3088),YEAR(C3088),"")</f>
        <v/>
      </c>
      <c r="W3088" s="23" t="str">
        <f aca="false">IF(ISNUMBER(C3088),MONTH(C3088),"")</f>
        <v/>
      </c>
      <c r="X3088" s="23" t="str">
        <f aca="false">IF(T3088="","",IF(T3088=0,"No discount",IF(T3088&lt;=0.2,"Low (1-20%)",IF(T3088&lt;=0.4,"Medium (21-40%)","High (&gt;40%)"))))</f>
        <v/>
      </c>
      <c r="Y3088" s="23" t="str">
        <f aca="false">IF(AND(ISNUMBER(C3088),ISNUMBER(D3088)),D3088-C3088,"")</f>
        <v/>
      </c>
      <c r="Z3088" s="23" t="str">
        <f aca="false">IF(B3088="","",IF(MATCH(B3088,$B$2:$B$12000,0)=ROW()-1,1,0))</f>
        <v/>
      </c>
    </row>
    <row r="3089" customFormat="false" ht="15" hidden="false" customHeight="false" outlineLevel="0" collapsed="false">
      <c r="V3089" s="23" t="str">
        <f aca="false">IF(ISNUMBER(C3089),YEAR(C3089),"")</f>
        <v/>
      </c>
      <c r="W3089" s="23" t="str">
        <f aca="false">IF(ISNUMBER(C3089),MONTH(C3089),"")</f>
        <v/>
      </c>
      <c r="X3089" s="23" t="str">
        <f aca="false">IF(T3089="","",IF(T3089=0,"No discount",IF(T3089&lt;=0.2,"Low (1-20%)",IF(T3089&lt;=0.4,"Medium (21-40%)","High (&gt;40%)"))))</f>
        <v/>
      </c>
      <c r="Y3089" s="23" t="str">
        <f aca="false">IF(AND(ISNUMBER(C3089),ISNUMBER(D3089)),D3089-C3089,"")</f>
        <v/>
      </c>
      <c r="Z3089" s="23" t="str">
        <f aca="false">IF(B3089="","",IF(MATCH(B3089,$B$2:$B$12000,0)=ROW()-1,1,0))</f>
        <v/>
      </c>
    </row>
    <row r="3090" customFormat="false" ht="15" hidden="false" customHeight="false" outlineLevel="0" collapsed="false">
      <c r="V3090" s="23" t="str">
        <f aca="false">IF(ISNUMBER(C3090),YEAR(C3090),"")</f>
        <v/>
      </c>
      <c r="W3090" s="23" t="str">
        <f aca="false">IF(ISNUMBER(C3090),MONTH(C3090),"")</f>
        <v/>
      </c>
      <c r="X3090" s="23" t="str">
        <f aca="false">IF(T3090="","",IF(T3090=0,"No discount",IF(T3090&lt;=0.2,"Low (1-20%)",IF(T3090&lt;=0.4,"Medium (21-40%)","High (&gt;40%)"))))</f>
        <v/>
      </c>
      <c r="Y3090" s="23" t="str">
        <f aca="false">IF(AND(ISNUMBER(C3090),ISNUMBER(D3090)),D3090-C3090,"")</f>
        <v/>
      </c>
      <c r="Z3090" s="23" t="str">
        <f aca="false">IF(B3090="","",IF(MATCH(B3090,$B$2:$B$12000,0)=ROW()-1,1,0))</f>
        <v/>
      </c>
    </row>
    <row r="3091" customFormat="false" ht="15" hidden="false" customHeight="false" outlineLevel="0" collapsed="false">
      <c r="V3091" s="23" t="str">
        <f aca="false">IF(ISNUMBER(C3091),YEAR(C3091),"")</f>
        <v/>
      </c>
      <c r="W3091" s="23" t="str">
        <f aca="false">IF(ISNUMBER(C3091),MONTH(C3091),"")</f>
        <v/>
      </c>
      <c r="X3091" s="23" t="str">
        <f aca="false">IF(T3091="","",IF(T3091=0,"No discount",IF(T3091&lt;=0.2,"Low (1-20%)",IF(T3091&lt;=0.4,"Medium (21-40%)","High (&gt;40%)"))))</f>
        <v/>
      </c>
      <c r="Y3091" s="23" t="str">
        <f aca="false">IF(AND(ISNUMBER(C3091),ISNUMBER(D3091)),D3091-C3091,"")</f>
        <v/>
      </c>
      <c r="Z3091" s="23" t="str">
        <f aca="false">IF(B3091="","",IF(MATCH(B3091,$B$2:$B$12000,0)=ROW()-1,1,0))</f>
        <v/>
      </c>
    </row>
    <row r="3092" customFormat="false" ht="15" hidden="false" customHeight="false" outlineLevel="0" collapsed="false">
      <c r="V3092" s="23" t="str">
        <f aca="false">IF(ISNUMBER(C3092),YEAR(C3092),"")</f>
        <v/>
      </c>
      <c r="W3092" s="23" t="str">
        <f aca="false">IF(ISNUMBER(C3092),MONTH(C3092),"")</f>
        <v/>
      </c>
      <c r="X3092" s="23" t="str">
        <f aca="false">IF(T3092="","",IF(T3092=0,"No discount",IF(T3092&lt;=0.2,"Low (1-20%)",IF(T3092&lt;=0.4,"Medium (21-40%)","High (&gt;40%)"))))</f>
        <v/>
      </c>
      <c r="Y3092" s="23" t="str">
        <f aca="false">IF(AND(ISNUMBER(C3092),ISNUMBER(D3092)),D3092-C3092,"")</f>
        <v/>
      </c>
      <c r="Z3092" s="23" t="str">
        <f aca="false">IF(B3092="","",IF(MATCH(B3092,$B$2:$B$12000,0)=ROW()-1,1,0))</f>
        <v/>
      </c>
    </row>
    <row r="3093" customFormat="false" ht="15" hidden="false" customHeight="false" outlineLevel="0" collapsed="false">
      <c r="V3093" s="23" t="str">
        <f aca="false">IF(ISNUMBER(C3093),YEAR(C3093),"")</f>
        <v/>
      </c>
      <c r="W3093" s="23" t="str">
        <f aca="false">IF(ISNUMBER(C3093),MONTH(C3093),"")</f>
        <v/>
      </c>
      <c r="X3093" s="23" t="str">
        <f aca="false">IF(T3093="","",IF(T3093=0,"No discount",IF(T3093&lt;=0.2,"Low (1-20%)",IF(T3093&lt;=0.4,"Medium (21-40%)","High (&gt;40%)"))))</f>
        <v/>
      </c>
      <c r="Y3093" s="23" t="str">
        <f aca="false">IF(AND(ISNUMBER(C3093),ISNUMBER(D3093)),D3093-C3093,"")</f>
        <v/>
      </c>
      <c r="Z3093" s="23" t="str">
        <f aca="false">IF(B3093="","",IF(MATCH(B3093,$B$2:$B$12000,0)=ROW()-1,1,0))</f>
        <v/>
      </c>
    </row>
    <row r="3094" customFormat="false" ht="15" hidden="false" customHeight="false" outlineLevel="0" collapsed="false">
      <c r="V3094" s="23" t="str">
        <f aca="false">IF(ISNUMBER(C3094),YEAR(C3094),"")</f>
        <v/>
      </c>
      <c r="W3094" s="23" t="str">
        <f aca="false">IF(ISNUMBER(C3094),MONTH(C3094),"")</f>
        <v/>
      </c>
      <c r="X3094" s="23" t="str">
        <f aca="false">IF(T3094="","",IF(T3094=0,"No discount",IF(T3094&lt;=0.2,"Low (1-20%)",IF(T3094&lt;=0.4,"Medium (21-40%)","High (&gt;40%)"))))</f>
        <v/>
      </c>
      <c r="Y3094" s="23" t="str">
        <f aca="false">IF(AND(ISNUMBER(C3094),ISNUMBER(D3094)),D3094-C3094,"")</f>
        <v/>
      </c>
      <c r="Z3094" s="23" t="str">
        <f aca="false">IF(B3094="","",IF(MATCH(B3094,$B$2:$B$12000,0)=ROW()-1,1,0))</f>
        <v/>
      </c>
    </row>
    <row r="3095" customFormat="false" ht="15" hidden="false" customHeight="false" outlineLevel="0" collapsed="false">
      <c r="V3095" s="23" t="str">
        <f aca="false">IF(ISNUMBER(C3095),YEAR(C3095),"")</f>
        <v/>
      </c>
      <c r="W3095" s="23" t="str">
        <f aca="false">IF(ISNUMBER(C3095),MONTH(C3095),"")</f>
        <v/>
      </c>
      <c r="X3095" s="23" t="str">
        <f aca="false">IF(T3095="","",IF(T3095=0,"No discount",IF(T3095&lt;=0.2,"Low (1-20%)",IF(T3095&lt;=0.4,"Medium (21-40%)","High (&gt;40%)"))))</f>
        <v/>
      </c>
      <c r="Y3095" s="23" t="str">
        <f aca="false">IF(AND(ISNUMBER(C3095),ISNUMBER(D3095)),D3095-C3095,"")</f>
        <v/>
      </c>
      <c r="Z3095" s="23" t="str">
        <f aca="false">IF(B3095="","",IF(MATCH(B3095,$B$2:$B$12000,0)=ROW()-1,1,0))</f>
        <v/>
      </c>
    </row>
    <row r="3096" customFormat="false" ht="15" hidden="false" customHeight="false" outlineLevel="0" collapsed="false">
      <c r="V3096" s="23" t="str">
        <f aca="false">IF(ISNUMBER(C3096),YEAR(C3096),"")</f>
        <v/>
      </c>
      <c r="W3096" s="23" t="str">
        <f aca="false">IF(ISNUMBER(C3096),MONTH(C3096),"")</f>
        <v/>
      </c>
      <c r="X3096" s="23" t="str">
        <f aca="false">IF(T3096="","",IF(T3096=0,"No discount",IF(T3096&lt;=0.2,"Low (1-20%)",IF(T3096&lt;=0.4,"Medium (21-40%)","High (&gt;40%)"))))</f>
        <v/>
      </c>
      <c r="Y3096" s="23" t="str">
        <f aca="false">IF(AND(ISNUMBER(C3096),ISNUMBER(D3096)),D3096-C3096,"")</f>
        <v/>
      </c>
      <c r="Z3096" s="23" t="str">
        <f aca="false">IF(B3096="","",IF(MATCH(B3096,$B$2:$B$12000,0)=ROW()-1,1,0))</f>
        <v/>
      </c>
    </row>
    <row r="3097" customFormat="false" ht="15" hidden="false" customHeight="false" outlineLevel="0" collapsed="false">
      <c r="V3097" s="23" t="str">
        <f aca="false">IF(ISNUMBER(C3097),YEAR(C3097),"")</f>
        <v/>
      </c>
      <c r="W3097" s="23" t="str">
        <f aca="false">IF(ISNUMBER(C3097),MONTH(C3097),"")</f>
        <v/>
      </c>
      <c r="X3097" s="23" t="str">
        <f aca="false">IF(T3097="","",IF(T3097=0,"No discount",IF(T3097&lt;=0.2,"Low (1-20%)",IF(T3097&lt;=0.4,"Medium (21-40%)","High (&gt;40%)"))))</f>
        <v/>
      </c>
      <c r="Y3097" s="23" t="str">
        <f aca="false">IF(AND(ISNUMBER(C3097),ISNUMBER(D3097)),D3097-C3097,"")</f>
        <v/>
      </c>
      <c r="Z3097" s="23" t="str">
        <f aca="false">IF(B3097="","",IF(MATCH(B3097,$B$2:$B$12000,0)=ROW()-1,1,0))</f>
        <v/>
      </c>
    </row>
    <row r="3098" customFormat="false" ht="15" hidden="false" customHeight="false" outlineLevel="0" collapsed="false">
      <c r="V3098" s="23" t="str">
        <f aca="false">IF(ISNUMBER(C3098),YEAR(C3098),"")</f>
        <v/>
      </c>
      <c r="W3098" s="23" t="str">
        <f aca="false">IF(ISNUMBER(C3098),MONTH(C3098),"")</f>
        <v/>
      </c>
      <c r="X3098" s="23" t="str">
        <f aca="false">IF(T3098="","",IF(T3098=0,"No discount",IF(T3098&lt;=0.2,"Low (1-20%)",IF(T3098&lt;=0.4,"Medium (21-40%)","High (&gt;40%)"))))</f>
        <v/>
      </c>
      <c r="Y3098" s="23" t="str">
        <f aca="false">IF(AND(ISNUMBER(C3098),ISNUMBER(D3098)),D3098-C3098,"")</f>
        <v/>
      </c>
      <c r="Z3098" s="23" t="str">
        <f aca="false">IF(B3098="","",IF(MATCH(B3098,$B$2:$B$12000,0)=ROW()-1,1,0))</f>
        <v/>
      </c>
    </row>
    <row r="3099" customFormat="false" ht="15" hidden="false" customHeight="false" outlineLevel="0" collapsed="false">
      <c r="V3099" s="23" t="str">
        <f aca="false">IF(ISNUMBER(C3099),YEAR(C3099),"")</f>
        <v/>
      </c>
      <c r="W3099" s="23" t="str">
        <f aca="false">IF(ISNUMBER(C3099),MONTH(C3099),"")</f>
        <v/>
      </c>
      <c r="X3099" s="23" t="str">
        <f aca="false">IF(T3099="","",IF(T3099=0,"No discount",IF(T3099&lt;=0.2,"Low (1-20%)",IF(T3099&lt;=0.4,"Medium (21-40%)","High (&gt;40%)"))))</f>
        <v/>
      </c>
      <c r="Y3099" s="23" t="str">
        <f aca="false">IF(AND(ISNUMBER(C3099),ISNUMBER(D3099)),D3099-C3099,"")</f>
        <v/>
      </c>
      <c r="Z3099" s="23" t="str">
        <f aca="false">IF(B3099="","",IF(MATCH(B3099,$B$2:$B$12000,0)=ROW()-1,1,0))</f>
        <v/>
      </c>
    </row>
    <row r="3100" customFormat="false" ht="15" hidden="false" customHeight="false" outlineLevel="0" collapsed="false">
      <c r="V3100" s="23" t="str">
        <f aca="false">IF(ISNUMBER(C3100),YEAR(C3100),"")</f>
        <v/>
      </c>
      <c r="W3100" s="23" t="str">
        <f aca="false">IF(ISNUMBER(C3100),MONTH(C3100),"")</f>
        <v/>
      </c>
      <c r="X3100" s="23" t="str">
        <f aca="false">IF(T3100="","",IF(T3100=0,"No discount",IF(T3100&lt;=0.2,"Low (1-20%)",IF(T3100&lt;=0.4,"Medium (21-40%)","High (&gt;40%)"))))</f>
        <v/>
      </c>
      <c r="Y3100" s="23" t="str">
        <f aca="false">IF(AND(ISNUMBER(C3100),ISNUMBER(D3100)),D3100-C3100,"")</f>
        <v/>
      </c>
      <c r="Z3100" s="23" t="str">
        <f aca="false">IF(B3100="","",IF(MATCH(B3100,$B$2:$B$12000,0)=ROW()-1,1,0))</f>
        <v/>
      </c>
    </row>
    <row r="3101" customFormat="false" ht="15" hidden="false" customHeight="false" outlineLevel="0" collapsed="false">
      <c r="V3101" s="23" t="str">
        <f aca="false">IF(ISNUMBER(C3101),YEAR(C3101),"")</f>
        <v/>
      </c>
      <c r="W3101" s="23" t="str">
        <f aca="false">IF(ISNUMBER(C3101),MONTH(C3101),"")</f>
        <v/>
      </c>
      <c r="X3101" s="23" t="str">
        <f aca="false">IF(T3101="","",IF(T3101=0,"No discount",IF(T3101&lt;=0.2,"Low (1-20%)",IF(T3101&lt;=0.4,"Medium (21-40%)","High (&gt;40%)"))))</f>
        <v/>
      </c>
      <c r="Y3101" s="23" t="str">
        <f aca="false">IF(AND(ISNUMBER(C3101),ISNUMBER(D3101)),D3101-C3101,"")</f>
        <v/>
      </c>
      <c r="Z3101" s="23" t="str">
        <f aca="false">IF(B3101="","",IF(MATCH(B3101,$B$2:$B$12000,0)=ROW()-1,1,0))</f>
        <v/>
      </c>
    </row>
    <row r="3102" customFormat="false" ht="15" hidden="false" customHeight="false" outlineLevel="0" collapsed="false">
      <c r="V3102" s="23" t="str">
        <f aca="false">IF(ISNUMBER(C3102),YEAR(C3102),"")</f>
        <v/>
      </c>
      <c r="W3102" s="23" t="str">
        <f aca="false">IF(ISNUMBER(C3102),MONTH(C3102),"")</f>
        <v/>
      </c>
      <c r="X3102" s="23" t="str">
        <f aca="false">IF(T3102="","",IF(T3102=0,"No discount",IF(T3102&lt;=0.2,"Low (1-20%)",IF(T3102&lt;=0.4,"Medium (21-40%)","High (&gt;40%)"))))</f>
        <v/>
      </c>
      <c r="Y3102" s="23" t="str">
        <f aca="false">IF(AND(ISNUMBER(C3102),ISNUMBER(D3102)),D3102-C3102,"")</f>
        <v/>
      </c>
      <c r="Z3102" s="23" t="str">
        <f aca="false">IF(B3102="","",IF(MATCH(B3102,$B$2:$B$12000,0)=ROW()-1,1,0))</f>
        <v/>
      </c>
    </row>
    <row r="3103" customFormat="false" ht="15" hidden="false" customHeight="false" outlineLevel="0" collapsed="false">
      <c r="V3103" s="23" t="str">
        <f aca="false">IF(ISNUMBER(C3103),YEAR(C3103),"")</f>
        <v/>
      </c>
      <c r="W3103" s="23" t="str">
        <f aca="false">IF(ISNUMBER(C3103),MONTH(C3103),"")</f>
        <v/>
      </c>
      <c r="X3103" s="23" t="str">
        <f aca="false">IF(T3103="","",IF(T3103=0,"No discount",IF(T3103&lt;=0.2,"Low (1-20%)",IF(T3103&lt;=0.4,"Medium (21-40%)","High (&gt;40%)"))))</f>
        <v/>
      </c>
      <c r="Y3103" s="23" t="str">
        <f aca="false">IF(AND(ISNUMBER(C3103),ISNUMBER(D3103)),D3103-C3103,"")</f>
        <v/>
      </c>
      <c r="Z3103" s="23" t="str">
        <f aca="false">IF(B3103="","",IF(MATCH(B3103,$B$2:$B$12000,0)=ROW()-1,1,0))</f>
        <v/>
      </c>
    </row>
    <row r="3104" customFormat="false" ht="15" hidden="false" customHeight="false" outlineLevel="0" collapsed="false">
      <c r="V3104" s="23" t="str">
        <f aca="false">IF(ISNUMBER(C3104),YEAR(C3104),"")</f>
        <v/>
      </c>
      <c r="W3104" s="23" t="str">
        <f aca="false">IF(ISNUMBER(C3104),MONTH(C3104),"")</f>
        <v/>
      </c>
      <c r="X3104" s="23" t="str">
        <f aca="false">IF(T3104="","",IF(T3104=0,"No discount",IF(T3104&lt;=0.2,"Low (1-20%)",IF(T3104&lt;=0.4,"Medium (21-40%)","High (&gt;40%)"))))</f>
        <v/>
      </c>
      <c r="Y3104" s="23" t="str">
        <f aca="false">IF(AND(ISNUMBER(C3104),ISNUMBER(D3104)),D3104-C3104,"")</f>
        <v/>
      </c>
      <c r="Z3104" s="23" t="str">
        <f aca="false">IF(B3104="","",IF(MATCH(B3104,$B$2:$B$12000,0)=ROW()-1,1,0))</f>
        <v/>
      </c>
    </row>
    <row r="3105" customFormat="false" ht="15" hidden="false" customHeight="false" outlineLevel="0" collapsed="false">
      <c r="V3105" s="23" t="str">
        <f aca="false">IF(ISNUMBER(C3105),YEAR(C3105),"")</f>
        <v/>
      </c>
      <c r="W3105" s="23" t="str">
        <f aca="false">IF(ISNUMBER(C3105),MONTH(C3105),"")</f>
        <v/>
      </c>
      <c r="X3105" s="23" t="str">
        <f aca="false">IF(T3105="","",IF(T3105=0,"No discount",IF(T3105&lt;=0.2,"Low (1-20%)",IF(T3105&lt;=0.4,"Medium (21-40%)","High (&gt;40%)"))))</f>
        <v/>
      </c>
      <c r="Y3105" s="23" t="str">
        <f aca="false">IF(AND(ISNUMBER(C3105),ISNUMBER(D3105)),D3105-C3105,"")</f>
        <v/>
      </c>
      <c r="Z3105" s="23" t="str">
        <f aca="false">IF(B3105="","",IF(MATCH(B3105,$B$2:$B$12000,0)=ROW()-1,1,0))</f>
        <v/>
      </c>
    </row>
    <row r="3106" customFormat="false" ht="15" hidden="false" customHeight="false" outlineLevel="0" collapsed="false">
      <c r="V3106" s="23" t="str">
        <f aca="false">IF(ISNUMBER(C3106),YEAR(C3106),"")</f>
        <v/>
      </c>
      <c r="W3106" s="23" t="str">
        <f aca="false">IF(ISNUMBER(C3106),MONTH(C3106),"")</f>
        <v/>
      </c>
      <c r="X3106" s="23" t="str">
        <f aca="false">IF(T3106="","",IF(T3106=0,"No discount",IF(T3106&lt;=0.2,"Low (1-20%)",IF(T3106&lt;=0.4,"Medium (21-40%)","High (&gt;40%)"))))</f>
        <v/>
      </c>
      <c r="Y3106" s="23" t="str">
        <f aca="false">IF(AND(ISNUMBER(C3106),ISNUMBER(D3106)),D3106-C3106,"")</f>
        <v/>
      </c>
      <c r="Z3106" s="23" t="str">
        <f aca="false">IF(B3106="","",IF(MATCH(B3106,$B$2:$B$12000,0)=ROW()-1,1,0))</f>
        <v/>
      </c>
    </row>
    <row r="3107" customFormat="false" ht="15" hidden="false" customHeight="false" outlineLevel="0" collapsed="false">
      <c r="V3107" s="23" t="str">
        <f aca="false">IF(ISNUMBER(C3107),YEAR(C3107),"")</f>
        <v/>
      </c>
      <c r="W3107" s="23" t="str">
        <f aca="false">IF(ISNUMBER(C3107),MONTH(C3107),"")</f>
        <v/>
      </c>
      <c r="X3107" s="23" t="str">
        <f aca="false">IF(T3107="","",IF(T3107=0,"No discount",IF(T3107&lt;=0.2,"Low (1-20%)",IF(T3107&lt;=0.4,"Medium (21-40%)","High (&gt;40%)"))))</f>
        <v/>
      </c>
      <c r="Y3107" s="23" t="str">
        <f aca="false">IF(AND(ISNUMBER(C3107),ISNUMBER(D3107)),D3107-C3107,"")</f>
        <v/>
      </c>
      <c r="Z3107" s="23" t="str">
        <f aca="false">IF(B3107="","",IF(MATCH(B3107,$B$2:$B$12000,0)=ROW()-1,1,0))</f>
        <v/>
      </c>
    </row>
    <row r="3108" customFormat="false" ht="15" hidden="false" customHeight="false" outlineLevel="0" collapsed="false">
      <c r="V3108" s="23" t="str">
        <f aca="false">IF(ISNUMBER(C3108),YEAR(C3108),"")</f>
        <v/>
      </c>
      <c r="W3108" s="23" t="str">
        <f aca="false">IF(ISNUMBER(C3108),MONTH(C3108),"")</f>
        <v/>
      </c>
      <c r="X3108" s="23" t="str">
        <f aca="false">IF(T3108="","",IF(T3108=0,"No discount",IF(T3108&lt;=0.2,"Low (1-20%)",IF(T3108&lt;=0.4,"Medium (21-40%)","High (&gt;40%)"))))</f>
        <v/>
      </c>
      <c r="Y3108" s="23" t="str">
        <f aca="false">IF(AND(ISNUMBER(C3108),ISNUMBER(D3108)),D3108-C3108,"")</f>
        <v/>
      </c>
      <c r="Z3108" s="23" t="str">
        <f aca="false">IF(B3108="","",IF(MATCH(B3108,$B$2:$B$12000,0)=ROW()-1,1,0))</f>
        <v/>
      </c>
    </row>
    <row r="3109" customFormat="false" ht="15" hidden="false" customHeight="false" outlineLevel="0" collapsed="false">
      <c r="V3109" s="23" t="str">
        <f aca="false">IF(ISNUMBER(C3109),YEAR(C3109),"")</f>
        <v/>
      </c>
      <c r="W3109" s="23" t="str">
        <f aca="false">IF(ISNUMBER(C3109),MONTH(C3109),"")</f>
        <v/>
      </c>
      <c r="X3109" s="23" t="str">
        <f aca="false">IF(T3109="","",IF(T3109=0,"No discount",IF(T3109&lt;=0.2,"Low (1-20%)",IF(T3109&lt;=0.4,"Medium (21-40%)","High (&gt;40%)"))))</f>
        <v/>
      </c>
      <c r="Y3109" s="23" t="str">
        <f aca="false">IF(AND(ISNUMBER(C3109),ISNUMBER(D3109)),D3109-C3109,"")</f>
        <v/>
      </c>
      <c r="Z3109" s="23" t="str">
        <f aca="false">IF(B3109="","",IF(MATCH(B3109,$B$2:$B$12000,0)=ROW()-1,1,0))</f>
        <v/>
      </c>
    </row>
    <row r="3110" customFormat="false" ht="15" hidden="false" customHeight="false" outlineLevel="0" collapsed="false">
      <c r="V3110" s="23" t="str">
        <f aca="false">IF(ISNUMBER(C3110),YEAR(C3110),"")</f>
        <v/>
      </c>
      <c r="W3110" s="23" t="str">
        <f aca="false">IF(ISNUMBER(C3110),MONTH(C3110),"")</f>
        <v/>
      </c>
      <c r="X3110" s="23" t="str">
        <f aca="false">IF(T3110="","",IF(T3110=0,"No discount",IF(T3110&lt;=0.2,"Low (1-20%)",IF(T3110&lt;=0.4,"Medium (21-40%)","High (&gt;40%)"))))</f>
        <v/>
      </c>
      <c r="Y3110" s="23" t="str">
        <f aca="false">IF(AND(ISNUMBER(C3110),ISNUMBER(D3110)),D3110-C3110,"")</f>
        <v/>
      </c>
      <c r="Z3110" s="23" t="str">
        <f aca="false">IF(B3110="","",IF(MATCH(B3110,$B$2:$B$12000,0)=ROW()-1,1,0))</f>
        <v/>
      </c>
    </row>
    <row r="3111" customFormat="false" ht="15" hidden="false" customHeight="false" outlineLevel="0" collapsed="false">
      <c r="V3111" s="23" t="str">
        <f aca="false">IF(ISNUMBER(C3111),YEAR(C3111),"")</f>
        <v/>
      </c>
      <c r="W3111" s="23" t="str">
        <f aca="false">IF(ISNUMBER(C3111),MONTH(C3111),"")</f>
        <v/>
      </c>
      <c r="X3111" s="23" t="str">
        <f aca="false">IF(T3111="","",IF(T3111=0,"No discount",IF(T3111&lt;=0.2,"Low (1-20%)",IF(T3111&lt;=0.4,"Medium (21-40%)","High (&gt;40%)"))))</f>
        <v/>
      </c>
      <c r="Y3111" s="23" t="str">
        <f aca="false">IF(AND(ISNUMBER(C3111),ISNUMBER(D3111)),D3111-C3111,"")</f>
        <v/>
      </c>
      <c r="Z3111" s="23" t="str">
        <f aca="false">IF(B3111="","",IF(MATCH(B3111,$B$2:$B$12000,0)=ROW()-1,1,0))</f>
        <v/>
      </c>
    </row>
    <row r="3112" customFormat="false" ht="15" hidden="false" customHeight="false" outlineLevel="0" collapsed="false">
      <c r="V3112" s="23" t="str">
        <f aca="false">IF(ISNUMBER(C3112),YEAR(C3112),"")</f>
        <v/>
      </c>
      <c r="W3112" s="23" t="str">
        <f aca="false">IF(ISNUMBER(C3112),MONTH(C3112),"")</f>
        <v/>
      </c>
      <c r="X3112" s="23" t="str">
        <f aca="false">IF(T3112="","",IF(T3112=0,"No discount",IF(T3112&lt;=0.2,"Low (1-20%)",IF(T3112&lt;=0.4,"Medium (21-40%)","High (&gt;40%)"))))</f>
        <v/>
      </c>
      <c r="Y3112" s="23" t="str">
        <f aca="false">IF(AND(ISNUMBER(C3112),ISNUMBER(D3112)),D3112-C3112,"")</f>
        <v/>
      </c>
      <c r="Z3112" s="23" t="str">
        <f aca="false">IF(B3112="","",IF(MATCH(B3112,$B$2:$B$12000,0)=ROW()-1,1,0))</f>
        <v/>
      </c>
    </row>
    <row r="3113" customFormat="false" ht="15" hidden="false" customHeight="false" outlineLevel="0" collapsed="false">
      <c r="V3113" s="23" t="str">
        <f aca="false">IF(ISNUMBER(C3113),YEAR(C3113),"")</f>
        <v/>
      </c>
      <c r="W3113" s="23" t="str">
        <f aca="false">IF(ISNUMBER(C3113),MONTH(C3113),"")</f>
        <v/>
      </c>
      <c r="X3113" s="23" t="str">
        <f aca="false">IF(T3113="","",IF(T3113=0,"No discount",IF(T3113&lt;=0.2,"Low (1-20%)",IF(T3113&lt;=0.4,"Medium (21-40%)","High (&gt;40%)"))))</f>
        <v/>
      </c>
      <c r="Y3113" s="23" t="str">
        <f aca="false">IF(AND(ISNUMBER(C3113),ISNUMBER(D3113)),D3113-C3113,"")</f>
        <v/>
      </c>
      <c r="Z3113" s="23" t="str">
        <f aca="false">IF(B3113="","",IF(MATCH(B3113,$B$2:$B$12000,0)=ROW()-1,1,0))</f>
        <v/>
      </c>
    </row>
    <row r="3114" customFormat="false" ht="15" hidden="false" customHeight="false" outlineLevel="0" collapsed="false">
      <c r="V3114" s="23" t="str">
        <f aca="false">IF(ISNUMBER(C3114),YEAR(C3114),"")</f>
        <v/>
      </c>
      <c r="W3114" s="23" t="str">
        <f aca="false">IF(ISNUMBER(C3114),MONTH(C3114),"")</f>
        <v/>
      </c>
      <c r="X3114" s="23" t="str">
        <f aca="false">IF(T3114="","",IF(T3114=0,"No discount",IF(T3114&lt;=0.2,"Low (1-20%)",IF(T3114&lt;=0.4,"Medium (21-40%)","High (&gt;40%)"))))</f>
        <v/>
      </c>
      <c r="Y3114" s="23" t="str">
        <f aca="false">IF(AND(ISNUMBER(C3114),ISNUMBER(D3114)),D3114-C3114,"")</f>
        <v/>
      </c>
      <c r="Z3114" s="23" t="str">
        <f aca="false">IF(B3114="","",IF(MATCH(B3114,$B$2:$B$12000,0)=ROW()-1,1,0))</f>
        <v/>
      </c>
    </row>
    <row r="3115" customFormat="false" ht="15" hidden="false" customHeight="false" outlineLevel="0" collapsed="false">
      <c r="V3115" s="23" t="str">
        <f aca="false">IF(ISNUMBER(C3115),YEAR(C3115),"")</f>
        <v/>
      </c>
      <c r="W3115" s="23" t="str">
        <f aca="false">IF(ISNUMBER(C3115),MONTH(C3115),"")</f>
        <v/>
      </c>
      <c r="X3115" s="23" t="str">
        <f aca="false">IF(T3115="","",IF(T3115=0,"No discount",IF(T3115&lt;=0.2,"Low (1-20%)",IF(T3115&lt;=0.4,"Medium (21-40%)","High (&gt;40%)"))))</f>
        <v/>
      </c>
      <c r="Y3115" s="23" t="str">
        <f aca="false">IF(AND(ISNUMBER(C3115),ISNUMBER(D3115)),D3115-C3115,"")</f>
        <v/>
      </c>
      <c r="Z3115" s="23" t="str">
        <f aca="false">IF(B3115="","",IF(MATCH(B3115,$B$2:$B$12000,0)=ROW()-1,1,0))</f>
        <v/>
      </c>
    </row>
    <row r="3116" customFormat="false" ht="15" hidden="false" customHeight="false" outlineLevel="0" collapsed="false">
      <c r="V3116" s="23" t="str">
        <f aca="false">IF(ISNUMBER(C3116),YEAR(C3116),"")</f>
        <v/>
      </c>
      <c r="W3116" s="23" t="str">
        <f aca="false">IF(ISNUMBER(C3116),MONTH(C3116),"")</f>
        <v/>
      </c>
      <c r="X3116" s="23" t="str">
        <f aca="false">IF(T3116="","",IF(T3116=0,"No discount",IF(T3116&lt;=0.2,"Low (1-20%)",IF(T3116&lt;=0.4,"Medium (21-40%)","High (&gt;40%)"))))</f>
        <v/>
      </c>
      <c r="Y3116" s="23" t="str">
        <f aca="false">IF(AND(ISNUMBER(C3116),ISNUMBER(D3116)),D3116-C3116,"")</f>
        <v/>
      </c>
      <c r="Z3116" s="23" t="str">
        <f aca="false">IF(B3116="","",IF(MATCH(B3116,$B$2:$B$12000,0)=ROW()-1,1,0))</f>
        <v/>
      </c>
    </row>
    <row r="3117" customFormat="false" ht="15" hidden="false" customHeight="false" outlineLevel="0" collapsed="false">
      <c r="V3117" s="23" t="str">
        <f aca="false">IF(ISNUMBER(C3117),YEAR(C3117),"")</f>
        <v/>
      </c>
      <c r="W3117" s="23" t="str">
        <f aca="false">IF(ISNUMBER(C3117),MONTH(C3117),"")</f>
        <v/>
      </c>
      <c r="X3117" s="23" t="str">
        <f aca="false">IF(T3117="","",IF(T3117=0,"No discount",IF(T3117&lt;=0.2,"Low (1-20%)",IF(T3117&lt;=0.4,"Medium (21-40%)","High (&gt;40%)"))))</f>
        <v/>
      </c>
      <c r="Y3117" s="23" t="str">
        <f aca="false">IF(AND(ISNUMBER(C3117),ISNUMBER(D3117)),D3117-C3117,"")</f>
        <v/>
      </c>
      <c r="Z3117" s="23" t="str">
        <f aca="false">IF(B3117="","",IF(MATCH(B3117,$B$2:$B$12000,0)=ROW()-1,1,0))</f>
        <v/>
      </c>
    </row>
    <row r="3118" customFormat="false" ht="15" hidden="false" customHeight="false" outlineLevel="0" collapsed="false">
      <c r="V3118" s="23" t="str">
        <f aca="false">IF(ISNUMBER(C3118),YEAR(C3118),"")</f>
        <v/>
      </c>
      <c r="W3118" s="23" t="str">
        <f aca="false">IF(ISNUMBER(C3118),MONTH(C3118),"")</f>
        <v/>
      </c>
      <c r="X3118" s="23" t="str">
        <f aca="false">IF(T3118="","",IF(T3118=0,"No discount",IF(T3118&lt;=0.2,"Low (1-20%)",IF(T3118&lt;=0.4,"Medium (21-40%)","High (&gt;40%)"))))</f>
        <v/>
      </c>
      <c r="Y3118" s="23" t="str">
        <f aca="false">IF(AND(ISNUMBER(C3118),ISNUMBER(D3118)),D3118-C3118,"")</f>
        <v/>
      </c>
      <c r="Z3118" s="23" t="str">
        <f aca="false">IF(B3118="","",IF(MATCH(B3118,$B$2:$B$12000,0)=ROW()-1,1,0))</f>
        <v/>
      </c>
    </row>
    <row r="3119" customFormat="false" ht="15" hidden="false" customHeight="false" outlineLevel="0" collapsed="false">
      <c r="V3119" s="23" t="str">
        <f aca="false">IF(ISNUMBER(C3119),YEAR(C3119),"")</f>
        <v/>
      </c>
      <c r="W3119" s="23" t="str">
        <f aca="false">IF(ISNUMBER(C3119),MONTH(C3119),"")</f>
        <v/>
      </c>
      <c r="X3119" s="23" t="str">
        <f aca="false">IF(T3119="","",IF(T3119=0,"No discount",IF(T3119&lt;=0.2,"Low (1-20%)",IF(T3119&lt;=0.4,"Medium (21-40%)","High (&gt;40%)"))))</f>
        <v/>
      </c>
      <c r="Y3119" s="23" t="str">
        <f aca="false">IF(AND(ISNUMBER(C3119),ISNUMBER(D3119)),D3119-C3119,"")</f>
        <v/>
      </c>
      <c r="Z3119" s="23" t="str">
        <f aca="false">IF(B3119="","",IF(MATCH(B3119,$B$2:$B$12000,0)=ROW()-1,1,0))</f>
        <v/>
      </c>
    </row>
    <row r="3120" customFormat="false" ht="15" hidden="false" customHeight="false" outlineLevel="0" collapsed="false">
      <c r="V3120" s="23" t="str">
        <f aca="false">IF(ISNUMBER(C3120),YEAR(C3120),"")</f>
        <v/>
      </c>
      <c r="W3120" s="23" t="str">
        <f aca="false">IF(ISNUMBER(C3120),MONTH(C3120),"")</f>
        <v/>
      </c>
      <c r="X3120" s="23" t="str">
        <f aca="false">IF(T3120="","",IF(T3120=0,"No discount",IF(T3120&lt;=0.2,"Low (1-20%)",IF(T3120&lt;=0.4,"Medium (21-40%)","High (&gt;40%)"))))</f>
        <v/>
      </c>
      <c r="Y3120" s="23" t="str">
        <f aca="false">IF(AND(ISNUMBER(C3120),ISNUMBER(D3120)),D3120-C3120,"")</f>
        <v/>
      </c>
      <c r="Z3120" s="23" t="str">
        <f aca="false">IF(B3120="","",IF(MATCH(B3120,$B$2:$B$12000,0)=ROW()-1,1,0))</f>
        <v/>
      </c>
    </row>
    <row r="3121" customFormat="false" ht="15" hidden="false" customHeight="false" outlineLevel="0" collapsed="false">
      <c r="V3121" s="23" t="str">
        <f aca="false">IF(ISNUMBER(C3121),YEAR(C3121),"")</f>
        <v/>
      </c>
      <c r="W3121" s="23" t="str">
        <f aca="false">IF(ISNUMBER(C3121),MONTH(C3121),"")</f>
        <v/>
      </c>
      <c r="X3121" s="23" t="str">
        <f aca="false">IF(T3121="","",IF(T3121=0,"No discount",IF(T3121&lt;=0.2,"Low (1-20%)",IF(T3121&lt;=0.4,"Medium (21-40%)","High (&gt;40%)"))))</f>
        <v/>
      </c>
      <c r="Y3121" s="23" t="str">
        <f aca="false">IF(AND(ISNUMBER(C3121),ISNUMBER(D3121)),D3121-C3121,"")</f>
        <v/>
      </c>
      <c r="Z3121" s="23" t="str">
        <f aca="false">IF(B3121="","",IF(MATCH(B3121,$B$2:$B$12000,0)=ROW()-1,1,0))</f>
        <v/>
      </c>
    </row>
    <row r="3122" customFormat="false" ht="15" hidden="false" customHeight="false" outlineLevel="0" collapsed="false">
      <c r="V3122" s="23" t="str">
        <f aca="false">IF(ISNUMBER(C3122),YEAR(C3122),"")</f>
        <v/>
      </c>
      <c r="W3122" s="23" t="str">
        <f aca="false">IF(ISNUMBER(C3122),MONTH(C3122),"")</f>
        <v/>
      </c>
      <c r="X3122" s="23" t="str">
        <f aca="false">IF(T3122="","",IF(T3122=0,"No discount",IF(T3122&lt;=0.2,"Low (1-20%)",IF(T3122&lt;=0.4,"Medium (21-40%)","High (&gt;40%)"))))</f>
        <v/>
      </c>
      <c r="Y3122" s="23" t="str">
        <f aca="false">IF(AND(ISNUMBER(C3122),ISNUMBER(D3122)),D3122-C3122,"")</f>
        <v/>
      </c>
      <c r="Z3122" s="23" t="str">
        <f aca="false">IF(B3122="","",IF(MATCH(B3122,$B$2:$B$12000,0)=ROW()-1,1,0))</f>
        <v/>
      </c>
    </row>
    <row r="3123" customFormat="false" ht="15" hidden="false" customHeight="false" outlineLevel="0" collapsed="false">
      <c r="V3123" s="23" t="str">
        <f aca="false">IF(ISNUMBER(C3123),YEAR(C3123),"")</f>
        <v/>
      </c>
      <c r="W3123" s="23" t="str">
        <f aca="false">IF(ISNUMBER(C3123),MONTH(C3123),"")</f>
        <v/>
      </c>
      <c r="X3123" s="23" t="str">
        <f aca="false">IF(T3123="","",IF(T3123=0,"No discount",IF(T3123&lt;=0.2,"Low (1-20%)",IF(T3123&lt;=0.4,"Medium (21-40%)","High (&gt;40%)"))))</f>
        <v/>
      </c>
      <c r="Y3123" s="23" t="str">
        <f aca="false">IF(AND(ISNUMBER(C3123),ISNUMBER(D3123)),D3123-C3123,"")</f>
        <v/>
      </c>
      <c r="Z3123" s="23" t="str">
        <f aca="false">IF(B3123="","",IF(MATCH(B3123,$B$2:$B$12000,0)=ROW()-1,1,0))</f>
        <v/>
      </c>
    </row>
    <row r="3124" customFormat="false" ht="15" hidden="false" customHeight="false" outlineLevel="0" collapsed="false">
      <c r="V3124" s="23" t="str">
        <f aca="false">IF(ISNUMBER(C3124),YEAR(C3124),"")</f>
        <v/>
      </c>
      <c r="W3124" s="23" t="str">
        <f aca="false">IF(ISNUMBER(C3124),MONTH(C3124),"")</f>
        <v/>
      </c>
      <c r="X3124" s="23" t="str">
        <f aca="false">IF(T3124="","",IF(T3124=0,"No discount",IF(T3124&lt;=0.2,"Low (1-20%)",IF(T3124&lt;=0.4,"Medium (21-40%)","High (&gt;40%)"))))</f>
        <v/>
      </c>
      <c r="Y3124" s="23" t="str">
        <f aca="false">IF(AND(ISNUMBER(C3124),ISNUMBER(D3124)),D3124-C3124,"")</f>
        <v/>
      </c>
      <c r="Z3124" s="23" t="str">
        <f aca="false">IF(B3124="","",IF(MATCH(B3124,$B$2:$B$12000,0)=ROW()-1,1,0))</f>
        <v/>
      </c>
    </row>
    <row r="3125" customFormat="false" ht="15" hidden="false" customHeight="false" outlineLevel="0" collapsed="false">
      <c r="V3125" s="23" t="str">
        <f aca="false">IF(ISNUMBER(C3125),YEAR(C3125),"")</f>
        <v/>
      </c>
      <c r="W3125" s="23" t="str">
        <f aca="false">IF(ISNUMBER(C3125),MONTH(C3125),"")</f>
        <v/>
      </c>
      <c r="X3125" s="23" t="str">
        <f aca="false">IF(T3125="","",IF(T3125=0,"No discount",IF(T3125&lt;=0.2,"Low (1-20%)",IF(T3125&lt;=0.4,"Medium (21-40%)","High (&gt;40%)"))))</f>
        <v/>
      </c>
      <c r="Y3125" s="23" t="str">
        <f aca="false">IF(AND(ISNUMBER(C3125),ISNUMBER(D3125)),D3125-C3125,"")</f>
        <v/>
      </c>
      <c r="Z3125" s="23" t="str">
        <f aca="false">IF(B3125="","",IF(MATCH(B3125,$B$2:$B$12000,0)=ROW()-1,1,0))</f>
        <v/>
      </c>
    </row>
    <row r="3126" customFormat="false" ht="15" hidden="false" customHeight="false" outlineLevel="0" collapsed="false">
      <c r="V3126" s="23" t="str">
        <f aca="false">IF(ISNUMBER(C3126),YEAR(C3126),"")</f>
        <v/>
      </c>
      <c r="W3126" s="23" t="str">
        <f aca="false">IF(ISNUMBER(C3126),MONTH(C3126),"")</f>
        <v/>
      </c>
      <c r="X3126" s="23" t="str">
        <f aca="false">IF(T3126="","",IF(T3126=0,"No discount",IF(T3126&lt;=0.2,"Low (1-20%)",IF(T3126&lt;=0.4,"Medium (21-40%)","High (&gt;40%)"))))</f>
        <v/>
      </c>
      <c r="Y3126" s="23" t="str">
        <f aca="false">IF(AND(ISNUMBER(C3126),ISNUMBER(D3126)),D3126-C3126,"")</f>
        <v/>
      </c>
      <c r="Z3126" s="23" t="str">
        <f aca="false">IF(B3126="","",IF(MATCH(B3126,$B$2:$B$12000,0)=ROW()-1,1,0))</f>
        <v/>
      </c>
    </row>
    <row r="3127" customFormat="false" ht="15" hidden="false" customHeight="false" outlineLevel="0" collapsed="false">
      <c r="V3127" s="23" t="str">
        <f aca="false">IF(ISNUMBER(C3127),YEAR(C3127),"")</f>
        <v/>
      </c>
      <c r="W3127" s="23" t="str">
        <f aca="false">IF(ISNUMBER(C3127),MONTH(C3127),"")</f>
        <v/>
      </c>
      <c r="X3127" s="23" t="str">
        <f aca="false">IF(T3127="","",IF(T3127=0,"No discount",IF(T3127&lt;=0.2,"Low (1-20%)",IF(T3127&lt;=0.4,"Medium (21-40%)","High (&gt;40%)"))))</f>
        <v/>
      </c>
      <c r="Y3127" s="23" t="str">
        <f aca="false">IF(AND(ISNUMBER(C3127),ISNUMBER(D3127)),D3127-C3127,"")</f>
        <v/>
      </c>
      <c r="Z3127" s="23" t="str">
        <f aca="false">IF(B3127="","",IF(MATCH(B3127,$B$2:$B$12000,0)=ROW()-1,1,0))</f>
        <v/>
      </c>
    </row>
    <row r="3128" customFormat="false" ht="15" hidden="false" customHeight="false" outlineLevel="0" collapsed="false">
      <c r="V3128" s="23" t="str">
        <f aca="false">IF(ISNUMBER(C3128),YEAR(C3128),"")</f>
        <v/>
      </c>
      <c r="W3128" s="23" t="str">
        <f aca="false">IF(ISNUMBER(C3128),MONTH(C3128),"")</f>
        <v/>
      </c>
      <c r="X3128" s="23" t="str">
        <f aca="false">IF(T3128="","",IF(T3128=0,"No discount",IF(T3128&lt;=0.2,"Low (1-20%)",IF(T3128&lt;=0.4,"Medium (21-40%)","High (&gt;40%)"))))</f>
        <v/>
      </c>
      <c r="Y3128" s="23" t="str">
        <f aca="false">IF(AND(ISNUMBER(C3128),ISNUMBER(D3128)),D3128-C3128,"")</f>
        <v/>
      </c>
      <c r="Z3128" s="23" t="str">
        <f aca="false">IF(B3128="","",IF(MATCH(B3128,$B$2:$B$12000,0)=ROW()-1,1,0))</f>
        <v/>
      </c>
    </row>
    <row r="3129" customFormat="false" ht="15" hidden="false" customHeight="false" outlineLevel="0" collapsed="false">
      <c r="V3129" s="23" t="str">
        <f aca="false">IF(ISNUMBER(C3129),YEAR(C3129),"")</f>
        <v/>
      </c>
      <c r="W3129" s="23" t="str">
        <f aca="false">IF(ISNUMBER(C3129),MONTH(C3129),"")</f>
        <v/>
      </c>
      <c r="X3129" s="23" t="str">
        <f aca="false">IF(T3129="","",IF(T3129=0,"No discount",IF(T3129&lt;=0.2,"Low (1-20%)",IF(T3129&lt;=0.4,"Medium (21-40%)","High (&gt;40%)"))))</f>
        <v/>
      </c>
      <c r="Y3129" s="23" t="str">
        <f aca="false">IF(AND(ISNUMBER(C3129),ISNUMBER(D3129)),D3129-C3129,"")</f>
        <v/>
      </c>
      <c r="Z3129" s="23" t="str">
        <f aca="false">IF(B3129="","",IF(MATCH(B3129,$B$2:$B$12000,0)=ROW()-1,1,0))</f>
        <v/>
      </c>
    </row>
    <row r="3130" customFormat="false" ht="15" hidden="false" customHeight="false" outlineLevel="0" collapsed="false">
      <c r="V3130" s="23" t="str">
        <f aca="false">IF(ISNUMBER(C3130),YEAR(C3130),"")</f>
        <v/>
      </c>
      <c r="W3130" s="23" t="str">
        <f aca="false">IF(ISNUMBER(C3130),MONTH(C3130),"")</f>
        <v/>
      </c>
      <c r="X3130" s="23" t="str">
        <f aca="false">IF(T3130="","",IF(T3130=0,"No discount",IF(T3130&lt;=0.2,"Low (1-20%)",IF(T3130&lt;=0.4,"Medium (21-40%)","High (&gt;40%)"))))</f>
        <v/>
      </c>
      <c r="Y3130" s="23" t="str">
        <f aca="false">IF(AND(ISNUMBER(C3130),ISNUMBER(D3130)),D3130-C3130,"")</f>
        <v/>
      </c>
      <c r="Z3130" s="23" t="str">
        <f aca="false">IF(B3130="","",IF(MATCH(B3130,$B$2:$B$12000,0)=ROW()-1,1,0))</f>
        <v/>
      </c>
    </row>
    <row r="3131" customFormat="false" ht="15" hidden="false" customHeight="false" outlineLevel="0" collapsed="false">
      <c r="V3131" s="23" t="str">
        <f aca="false">IF(ISNUMBER(C3131),YEAR(C3131),"")</f>
        <v/>
      </c>
      <c r="W3131" s="23" t="str">
        <f aca="false">IF(ISNUMBER(C3131),MONTH(C3131),"")</f>
        <v/>
      </c>
      <c r="X3131" s="23" t="str">
        <f aca="false">IF(T3131="","",IF(T3131=0,"No discount",IF(T3131&lt;=0.2,"Low (1-20%)",IF(T3131&lt;=0.4,"Medium (21-40%)","High (&gt;40%)"))))</f>
        <v/>
      </c>
      <c r="Y3131" s="23" t="str">
        <f aca="false">IF(AND(ISNUMBER(C3131),ISNUMBER(D3131)),D3131-C3131,"")</f>
        <v/>
      </c>
      <c r="Z3131" s="23" t="str">
        <f aca="false">IF(B3131="","",IF(MATCH(B3131,$B$2:$B$12000,0)=ROW()-1,1,0))</f>
        <v/>
      </c>
    </row>
    <row r="3132" customFormat="false" ht="15" hidden="false" customHeight="false" outlineLevel="0" collapsed="false">
      <c r="V3132" s="23" t="str">
        <f aca="false">IF(ISNUMBER(C3132),YEAR(C3132),"")</f>
        <v/>
      </c>
      <c r="W3132" s="23" t="str">
        <f aca="false">IF(ISNUMBER(C3132),MONTH(C3132),"")</f>
        <v/>
      </c>
      <c r="X3132" s="23" t="str">
        <f aca="false">IF(T3132="","",IF(T3132=0,"No discount",IF(T3132&lt;=0.2,"Low (1-20%)",IF(T3132&lt;=0.4,"Medium (21-40%)","High (&gt;40%)"))))</f>
        <v/>
      </c>
      <c r="Y3132" s="23" t="str">
        <f aca="false">IF(AND(ISNUMBER(C3132),ISNUMBER(D3132)),D3132-C3132,"")</f>
        <v/>
      </c>
      <c r="Z3132" s="23" t="str">
        <f aca="false">IF(B3132="","",IF(MATCH(B3132,$B$2:$B$12000,0)=ROW()-1,1,0))</f>
        <v/>
      </c>
    </row>
    <row r="3133" customFormat="false" ht="15" hidden="false" customHeight="false" outlineLevel="0" collapsed="false">
      <c r="V3133" s="23" t="str">
        <f aca="false">IF(ISNUMBER(C3133),YEAR(C3133),"")</f>
        <v/>
      </c>
      <c r="W3133" s="23" t="str">
        <f aca="false">IF(ISNUMBER(C3133),MONTH(C3133),"")</f>
        <v/>
      </c>
      <c r="X3133" s="23" t="str">
        <f aca="false">IF(T3133="","",IF(T3133=0,"No discount",IF(T3133&lt;=0.2,"Low (1-20%)",IF(T3133&lt;=0.4,"Medium (21-40%)","High (&gt;40%)"))))</f>
        <v/>
      </c>
      <c r="Y3133" s="23" t="str">
        <f aca="false">IF(AND(ISNUMBER(C3133),ISNUMBER(D3133)),D3133-C3133,"")</f>
        <v/>
      </c>
      <c r="Z3133" s="23" t="str">
        <f aca="false">IF(B3133="","",IF(MATCH(B3133,$B$2:$B$12000,0)=ROW()-1,1,0))</f>
        <v/>
      </c>
    </row>
    <row r="3134" customFormat="false" ht="15" hidden="false" customHeight="false" outlineLevel="0" collapsed="false">
      <c r="V3134" s="23" t="str">
        <f aca="false">IF(ISNUMBER(C3134),YEAR(C3134),"")</f>
        <v/>
      </c>
      <c r="W3134" s="23" t="str">
        <f aca="false">IF(ISNUMBER(C3134),MONTH(C3134),"")</f>
        <v/>
      </c>
      <c r="X3134" s="23" t="str">
        <f aca="false">IF(T3134="","",IF(T3134=0,"No discount",IF(T3134&lt;=0.2,"Low (1-20%)",IF(T3134&lt;=0.4,"Medium (21-40%)","High (&gt;40%)"))))</f>
        <v/>
      </c>
      <c r="Y3134" s="23" t="str">
        <f aca="false">IF(AND(ISNUMBER(C3134),ISNUMBER(D3134)),D3134-C3134,"")</f>
        <v/>
      </c>
      <c r="Z3134" s="23" t="str">
        <f aca="false">IF(B3134="","",IF(MATCH(B3134,$B$2:$B$12000,0)=ROW()-1,1,0))</f>
        <v/>
      </c>
    </row>
    <row r="3135" customFormat="false" ht="15" hidden="false" customHeight="false" outlineLevel="0" collapsed="false">
      <c r="V3135" s="23" t="str">
        <f aca="false">IF(ISNUMBER(C3135),YEAR(C3135),"")</f>
        <v/>
      </c>
      <c r="W3135" s="23" t="str">
        <f aca="false">IF(ISNUMBER(C3135),MONTH(C3135),"")</f>
        <v/>
      </c>
      <c r="X3135" s="23" t="str">
        <f aca="false">IF(T3135="","",IF(T3135=0,"No discount",IF(T3135&lt;=0.2,"Low (1-20%)",IF(T3135&lt;=0.4,"Medium (21-40%)","High (&gt;40%)"))))</f>
        <v/>
      </c>
      <c r="Y3135" s="23" t="str">
        <f aca="false">IF(AND(ISNUMBER(C3135),ISNUMBER(D3135)),D3135-C3135,"")</f>
        <v/>
      </c>
      <c r="Z3135" s="23" t="str">
        <f aca="false">IF(B3135="","",IF(MATCH(B3135,$B$2:$B$12000,0)=ROW()-1,1,0))</f>
        <v/>
      </c>
    </row>
    <row r="3136" customFormat="false" ht="15" hidden="false" customHeight="false" outlineLevel="0" collapsed="false">
      <c r="V3136" s="23" t="str">
        <f aca="false">IF(ISNUMBER(C3136),YEAR(C3136),"")</f>
        <v/>
      </c>
      <c r="W3136" s="23" t="str">
        <f aca="false">IF(ISNUMBER(C3136),MONTH(C3136),"")</f>
        <v/>
      </c>
      <c r="X3136" s="23" t="str">
        <f aca="false">IF(T3136="","",IF(T3136=0,"No discount",IF(T3136&lt;=0.2,"Low (1-20%)",IF(T3136&lt;=0.4,"Medium (21-40%)","High (&gt;40%)"))))</f>
        <v/>
      </c>
      <c r="Y3136" s="23" t="str">
        <f aca="false">IF(AND(ISNUMBER(C3136),ISNUMBER(D3136)),D3136-C3136,"")</f>
        <v/>
      </c>
      <c r="Z3136" s="23" t="str">
        <f aca="false">IF(B3136="","",IF(MATCH(B3136,$B$2:$B$12000,0)=ROW()-1,1,0))</f>
        <v/>
      </c>
    </row>
    <row r="3137" customFormat="false" ht="15" hidden="false" customHeight="false" outlineLevel="0" collapsed="false">
      <c r="V3137" s="23" t="str">
        <f aca="false">IF(ISNUMBER(C3137),YEAR(C3137),"")</f>
        <v/>
      </c>
      <c r="W3137" s="23" t="str">
        <f aca="false">IF(ISNUMBER(C3137),MONTH(C3137),"")</f>
        <v/>
      </c>
      <c r="X3137" s="23" t="str">
        <f aca="false">IF(T3137="","",IF(T3137=0,"No discount",IF(T3137&lt;=0.2,"Low (1-20%)",IF(T3137&lt;=0.4,"Medium (21-40%)","High (&gt;40%)"))))</f>
        <v/>
      </c>
      <c r="Y3137" s="23" t="str">
        <f aca="false">IF(AND(ISNUMBER(C3137),ISNUMBER(D3137)),D3137-C3137,"")</f>
        <v/>
      </c>
      <c r="Z3137" s="23" t="str">
        <f aca="false">IF(B3137="","",IF(MATCH(B3137,$B$2:$B$12000,0)=ROW()-1,1,0))</f>
        <v/>
      </c>
    </row>
    <row r="3138" customFormat="false" ht="15" hidden="false" customHeight="false" outlineLevel="0" collapsed="false">
      <c r="V3138" s="23" t="str">
        <f aca="false">IF(ISNUMBER(C3138),YEAR(C3138),"")</f>
        <v/>
      </c>
      <c r="W3138" s="23" t="str">
        <f aca="false">IF(ISNUMBER(C3138),MONTH(C3138),"")</f>
        <v/>
      </c>
      <c r="X3138" s="23" t="str">
        <f aca="false">IF(T3138="","",IF(T3138=0,"No discount",IF(T3138&lt;=0.2,"Low (1-20%)",IF(T3138&lt;=0.4,"Medium (21-40%)","High (&gt;40%)"))))</f>
        <v/>
      </c>
      <c r="Y3138" s="23" t="str">
        <f aca="false">IF(AND(ISNUMBER(C3138),ISNUMBER(D3138)),D3138-C3138,"")</f>
        <v/>
      </c>
      <c r="Z3138" s="23" t="str">
        <f aca="false">IF(B3138="","",IF(MATCH(B3138,$B$2:$B$12000,0)=ROW()-1,1,0))</f>
        <v/>
      </c>
    </row>
    <row r="3139" customFormat="false" ht="15" hidden="false" customHeight="false" outlineLevel="0" collapsed="false">
      <c r="V3139" s="23" t="str">
        <f aca="false">IF(ISNUMBER(C3139),YEAR(C3139),"")</f>
        <v/>
      </c>
      <c r="W3139" s="23" t="str">
        <f aca="false">IF(ISNUMBER(C3139),MONTH(C3139),"")</f>
        <v/>
      </c>
      <c r="X3139" s="23" t="str">
        <f aca="false">IF(T3139="","",IF(T3139=0,"No discount",IF(T3139&lt;=0.2,"Low (1-20%)",IF(T3139&lt;=0.4,"Medium (21-40%)","High (&gt;40%)"))))</f>
        <v/>
      </c>
      <c r="Y3139" s="23" t="str">
        <f aca="false">IF(AND(ISNUMBER(C3139),ISNUMBER(D3139)),D3139-C3139,"")</f>
        <v/>
      </c>
      <c r="Z3139" s="23" t="str">
        <f aca="false">IF(B3139="","",IF(MATCH(B3139,$B$2:$B$12000,0)=ROW()-1,1,0))</f>
        <v/>
      </c>
    </row>
    <row r="3140" customFormat="false" ht="15" hidden="false" customHeight="false" outlineLevel="0" collapsed="false">
      <c r="V3140" s="23" t="str">
        <f aca="false">IF(ISNUMBER(C3140),YEAR(C3140),"")</f>
        <v/>
      </c>
      <c r="W3140" s="23" t="str">
        <f aca="false">IF(ISNUMBER(C3140),MONTH(C3140),"")</f>
        <v/>
      </c>
      <c r="X3140" s="23" t="str">
        <f aca="false">IF(T3140="","",IF(T3140=0,"No discount",IF(T3140&lt;=0.2,"Low (1-20%)",IF(T3140&lt;=0.4,"Medium (21-40%)","High (&gt;40%)"))))</f>
        <v/>
      </c>
      <c r="Y3140" s="23" t="str">
        <f aca="false">IF(AND(ISNUMBER(C3140),ISNUMBER(D3140)),D3140-C3140,"")</f>
        <v/>
      </c>
      <c r="Z3140" s="23" t="str">
        <f aca="false">IF(B3140="","",IF(MATCH(B3140,$B$2:$B$12000,0)=ROW()-1,1,0))</f>
        <v/>
      </c>
    </row>
    <row r="3141" customFormat="false" ht="15" hidden="false" customHeight="false" outlineLevel="0" collapsed="false">
      <c r="V3141" s="23" t="str">
        <f aca="false">IF(ISNUMBER(C3141),YEAR(C3141),"")</f>
        <v/>
      </c>
      <c r="W3141" s="23" t="str">
        <f aca="false">IF(ISNUMBER(C3141),MONTH(C3141),"")</f>
        <v/>
      </c>
      <c r="X3141" s="23" t="str">
        <f aca="false">IF(T3141="","",IF(T3141=0,"No discount",IF(T3141&lt;=0.2,"Low (1-20%)",IF(T3141&lt;=0.4,"Medium (21-40%)","High (&gt;40%)"))))</f>
        <v/>
      </c>
      <c r="Y3141" s="23" t="str">
        <f aca="false">IF(AND(ISNUMBER(C3141),ISNUMBER(D3141)),D3141-C3141,"")</f>
        <v/>
      </c>
      <c r="Z3141" s="23" t="str">
        <f aca="false">IF(B3141="","",IF(MATCH(B3141,$B$2:$B$12000,0)=ROW()-1,1,0))</f>
        <v/>
      </c>
    </row>
    <row r="3142" customFormat="false" ht="15" hidden="false" customHeight="false" outlineLevel="0" collapsed="false">
      <c r="V3142" s="23" t="str">
        <f aca="false">IF(ISNUMBER(C3142),YEAR(C3142),"")</f>
        <v/>
      </c>
      <c r="W3142" s="23" t="str">
        <f aca="false">IF(ISNUMBER(C3142),MONTH(C3142),"")</f>
        <v/>
      </c>
      <c r="X3142" s="23" t="str">
        <f aca="false">IF(T3142="","",IF(T3142=0,"No discount",IF(T3142&lt;=0.2,"Low (1-20%)",IF(T3142&lt;=0.4,"Medium (21-40%)","High (&gt;40%)"))))</f>
        <v/>
      </c>
      <c r="Y3142" s="23" t="str">
        <f aca="false">IF(AND(ISNUMBER(C3142),ISNUMBER(D3142)),D3142-C3142,"")</f>
        <v/>
      </c>
      <c r="Z3142" s="23" t="str">
        <f aca="false">IF(B3142="","",IF(MATCH(B3142,$B$2:$B$12000,0)=ROW()-1,1,0))</f>
        <v/>
      </c>
    </row>
    <row r="3143" customFormat="false" ht="15" hidden="false" customHeight="false" outlineLevel="0" collapsed="false">
      <c r="V3143" s="23" t="str">
        <f aca="false">IF(ISNUMBER(C3143),YEAR(C3143),"")</f>
        <v/>
      </c>
      <c r="W3143" s="23" t="str">
        <f aca="false">IF(ISNUMBER(C3143),MONTH(C3143),"")</f>
        <v/>
      </c>
      <c r="X3143" s="23" t="str">
        <f aca="false">IF(T3143="","",IF(T3143=0,"No discount",IF(T3143&lt;=0.2,"Low (1-20%)",IF(T3143&lt;=0.4,"Medium (21-40%)","High (&gt;40%)"))))</f>
        <v/>
      </c>
      <c r="Y3143" s="23" t="str">
        <f aca="false">IF(AND(ISNUMBER(C3143),ISNUMBER(D3143)),D3143-C3143,"")</f>
        <v/>
      </c>
      <c r="Z3143" s="23" t="str">
        <f aca="false">IF(B3143="","",IF(MATCH(B3143,$B$2:$B$12000,0)=ROW()-1,1,0))</f>
        <v/>
      </c>
    </row>
    <row r="3144" customFormat="false" ht="15" hidden="false" customHeight="false" outlineLevel="0" collapsed="false">
      <c r="V3144" s="23" t="str">
        <f aca="false">IF(ISNUMBER(C3144),YEAR(C3144),"")</f>
        <v/>
      </c>
      <c r="W3144" s="23" t="str">
        <f aca="false">IF(ISNUMBER(C3144),MONTH(C3144),"")</f>
        <v/>
      </c>
      <c r="X3144" s="23" t="str">
        <f aca="false">IF(T3144="","",IF(T3144=0,"No discount",IF(T3144&lt;=0.2,"Low (1-20%)",IF(T3144&lt;=0.4,"Medium (21-40%)","High (&gt;40%)"))))</f>
        <v/>
      </c>
      <c r="Y3144" s="23" t="str">
        <f aca="false">IF(AND(ISNUMBER(C3144),ISNUMBER(D3144)),D3144-C3144,"")</f>
        <v/>
      </c>
      <c r="Z3144" s="23" t="str">
        <f aca="false">IF(B3144="","",IF(MATCH(B3144,$B$2:$B$12000,0)=ROW()-1,1,0))</f>
        <v/>
      </c>
    </row>
    <row r="3145" customFormat="false" ht="15" hidden="false" customHeight="false" outlineLevel="0" collapsed="false">
      <c r="V3145" s="23" t="str">
        <f aca="false">IF(ISNUMBER(C3145),YEAR(C3145),"")</f>
        <v/>
      </c>
      <c r="W3145" s="23" t="str">
        <f aca="false">IF(ISNUMBER(C3145),MONTH(C3145),"")</f>
        <v/>
      </c>
      <c r="X3145" s="23" t="str">
        <f aca="false">IF(T3145="","",IF(T3145=0,"No discount",IF(T3145&lt;=0.2,"Low (1-20%)",IF(T3145&lt;=0.4,"Medium (21-40%)","High (&gt;40%)"))))</f>
        <v/>
      </c>
      <c r="Y3145" s="23" t="str">
        <f aca="false">IF(AND(ISNUMBER(C3145),ISNUMBER(D3145)),D3145-C3145,"")</f>
        <v/>
      </c>
      <c r="Z3145" s="23" t="str">
        <f aca="false">IF(B3145="","",IF(MATCH(B3145,$B$2:$B$12000,0)=ROW()-1,1,0))</f>
        <v/>
      </c>
    </row>
    <row r="3146" customFormat="false" ht="15" hidden="false" customHeight="false" outlineLevel="0" collapsed="false">
      <c r="V3146" s="23" t="str">
        <f aca="false">IF(ISNUMBER(C3146),YEAR(C3146),"")</f>
        <v/>
      </c>
      <c r="W3146" s="23" t="str">
        <f aca="false">IF(ISNUMBER(C3146),MONTH(C3146),"")</f>
        <v/>
      </c>
      <c r="X3146" s="23" t="str">
        <f aca="false">IF(T3146="","",IF(T3146=0,"No discount",IF(T3146&lt;=0.2,"Low (1-20%)",IF(T3146&lt;=0.4,"Medium (21-40%)","High (&gt;40%)"))))</f>
        <v/>
      </c>
      <c r="Y3146" s="23" t="str">
        <f aca="false">IF(AND(ISNUMBER(C3146),ISNUMBER(D3146)),D3146-C3146,"")</f>
        <v/>
      </c>
      <c r="Z3146" s="23" t="str">
        <f aca="false">IF(B3146="","",IF(MATCH(B3146,$B$2:$B$12000,0)=ROW()-1,1,0))</f>
        <v/>
      </c>
    </row>
    <row r="3147" customFormat="false" ht="15" hidden="false" customHeight="false" outlineLevel="0" collapsed="false">
      <c r="V3147" s="23" t="str">
        <f aca="false">IF(ISNUMBER(C3147),YEAR(C3147),"")</f>
        <v/>
      </c>
      <c r="W3147" s="23" t="str">
        <f aca="false">IF(ISNUMBER(C3147),MONTH(C3147),"")</f>
        <v/>
      </c>
      <c r="X3147" s="23" t="str">
        <f aca="false">IF(T3147="","",IF(T3147=0,"No discount",IF(T3147&lt;=0.2,"Low (1-20%)",IF(T3147&lt;=0.4,"Medium (21-40%)","High (&gt;40%)"))))</f>
        <v/>
      </c>
      <c r="Y3147" s="23" t="str">
        <f aca="false">IF(AND(ISNUMBER(C3147),ISNUMBER(D3147)),D3147-C3147,"")</f>
        <v/>
      </c>
      <c r="Z3147" s="23" t="str">
        <f aca="false">IF(B3147="","",IF(MATCH(B3147,$B$2:$B$12000,0)=ROW()-1,1,0))</f>
        <v/>
      </c>
    </row>
    <row r="3148" customFormat="false" ht="15" hidden="false" customHeight="false" outlineLevel="0" collapsed="false">
      <c r="V3148" s="23" t="str">
        <f aca="false">IF(ISNUMBER(C3148),YEAR(C3148),"")</f>
        <v/>
      </c>
      <c r="W3148" s="23" t="str">
        <f aca="false">IF(ISNUMBER(C3148),MONTH(C3148),"")</f>
        <v/>
      </c>
      <c r="X3148" s="23" t="str">
        <f aca="false">IF(T3148="","",IF(T3148=0,"No discount",IF(T3148&lt;=0.2,"Low (1-20%)",IF(T3148&lt;=0.4,"Medium (21-40%)","High (&gt;40%)"))))</f>
        <v/>
      </c>
      <c r="Y3148" s="23" t="str">
        <f aca="false">IF(AND(ISNUMBER(C3148),ISNUMBER(D3148)),D3148-C3148,"")</f>
        <v/>
      </c>
      <c r="Z3148" s="23" t="str">
        <f aca="false">IF(B3148="","",IF(MATCH(B3148,$B$2:$B$12000,0)=ROW()-1,1,0))</f>
        <v/>
      </c>
    </row>
    <row r="3149" customFormat="false" ht="15" hidden="false" customHeight="false" outlineLevel="0" collapsed="false">
      <c r="V3149" s="23" t="str">
        <f aca="false">IF(ISNUMBER(C3149),YEAR(C3149),"")</f>
        <v/>
      </c>
      <c r="W3149" s="23" t="str">
        <f aca="false">IF(ISNUMBER(C3149),MONTH(C3149),"")</f>
        <v/>
      </c>
      <c r="X3149" s="23" t="str">
        <f aca="false">IF(T3149="","",IF(T3149=0,"No discount",IF(T3149&lt;=0.2,"Low (1-20%)",IF(T3149&lt;=0.4,"Medium (21-40%)","High (&gt;40%)"))))</f>
        <v/>
      </c>
      <c r="Y3149" s="23" t="str">
        <f aca="false">IF(AND(ISNUMBER(C3149),ISNUMBER(D3149)),D3149-C3149,"")</f>
        <v/>
      </c>
      <c r="Z3149" s="23" t="str">
        <f aca="false">IF(B3149="","",IF(MATCH(B3149,$B$2:$B$12000,0)=ROW()-1,1,0))</f>
        <v/>
      </c>
    </row>
    <row r="3150" customFormat="false" ht="15" hidden="false" customHeight="false" outlineLevel="0" collapsed="false">
      <c r="V3150" s="23" t="str">
        <f aca="false">IF(ISNUMBER(C3150),YEAR(C3150),"")</f>
        <v/>
      </c>
      <c r="W3150" s="23" t="str">
        <f aca="false">IF(ISNUMBER(C3150),MONTH(C3150),"")</f>
        <v/>
      </c>
      <c r="X3150" s="23" t="str">
        <f aca="false">IF(T3150="","",IF(T3150=0,"No discount",IF(T3150&lt;=0.2,"Low (1-20%)",IF(T3150&lt;=0.4,"Medium (21-40%)","High (&gt;40%)"))))</f>
        <v/>
      </c>
      <c r="Y3150" s="23" t="str">
        <f aca="false">IF(AND(ISNUMBER(C3150),ISNUMBER(D3150)),D3150-C3150,"")</f>
        <v/>
      </c>
      <c r="Z3150" s="23" t="str">
        <f aca="false">IF(B3150="","",IF(MATCH(B3150,$B$2:$B$12000,0)=ROW()-1,1,0))</f>
        <v/>
      </c>
    </row>
    <row r="3151" customFormat="false" ht="15" hidden="false" customHeight="false" outlineLevel="0" collapsed="false">
      <c r="V3151" s="23" t="str">
        <f aca="false">IF(ISNUMBER(C3151),YEAR(C3151),"")</f>
        <v/>
      </c>
      <c r="W3151" s="23" t="str">
        <f aca="false">IF(ISNUMBER(C3151),MONTH(C3151),"")</f>
        <v/>
      </c>
      <c r="X3151" s="23" t="str">
        <f aca="false">IF(T3151="","",IF(T3151=0,"No discount",IF(T3151&lt;=0.2,"Low (1-20%)",IF(T3151&lt;=0.4,"Medium (21-40%)","High (&gt;40%)"))))</f>
        <v/>
      </c>
      <c r="Y3151" s="23" t="str">
        <f aca="false">IF(AND(ISNUMBER(C3151),ISNUMBER(D3151)),D3151-C3151,"")</f>
        <v/>
      </c>
      <c r="Z3151" s="23" t="str">
        <f aca="false">IF(B3151="","",IF(MATCH(B3151,$B$2:$B$12000,0)=ROW()-1,1,0))</f>
        <v/>
      </c>
    </row>
    <row r="3152" customFormat="false" ht="15" hidden="false" customHeight="false" outlineLevel="0" collapsed="false">
      <c r="V3152" s="23" t="str">
        <f aca="false">IF(ISNUMBER(C3152),YEAR(C3152),"")</f>
        <v/>
      </c>
      <c r="W3152" s="23" t="str">
        <f aca="false">IF(ISNUMBER(C3152),MONTH(C3152),"")</f>
        <v/>
      </c>
      <c r="X3152" s="23" t="str">
        <f aca="false">IF(T3152="","",IF(T3152=0,"No discount",IF(T3152&lt;=0.2,"Low (1-20%)",IF(T3152&lt;=0.4,"Medium (21-40%)","High (&gt;40%)"))))</f>
        <v/>
      </c>
      <c r="Y3152" s="23" t="str">
        <f aca="false">IF(AND(ISNUMBER(C3152),ISNUMBER(D3152)),D3152-C3152,"")</f>
        <v/>
      </c>
      <c r="Z3152" s="23" t="str">
        <f aca="false">IF(B3152="","",IF(MATCH(B3152,$B$2:$B$12000,0)=ROW()-1,1,0))</f>
        <v/>
      </c>
    </row>
    <row r="3153" customFormat="false" ht="15" hidden="false" customHeight="false" outlineLevel="0" collapsed="false">
      <c r="V3153" s="23" t="str">
        <f aca="false">IF(ISNUMBER(C3153),YEAR(C3153),"")</f>
        <v/>
      </c>
      <c r="W3153" s="23" t="str">
        <f aca="false">IF(ISNUMBER(C3153),MONTH(C3153),"")</f>
        <v/>
      </c>
      <c r="X3153" s="23" t="str">
        <f aca="false">IF(T3153="","",IF(T3153=0,"No discount",IF(T3153&lt;=0.2,"Low (1-20%)",IF(T3153&lt;=0.4,"Medium (21-40%)","High (&gt;40%)"))))</f>
        <v/>
      </c>
      <c r="Y3153" s="23" t="str">
        <f aca="false">IF(AND(ISNUMBER(C3153),ISNUMBER(D3153)),D3153-C3153,"")</f>
        <v/>
      </c>
      <c r="Z3153" s="23" t="str">
        <f aca="false">IF(B3153="","",IF(MATCH(B3153,$B$2:$B$12000,0)=ROW()-1,1,0))</f>
        <v/>
      </c>
    </row>
    <row r="3154" customFormat="false" ht="15" hidden="false" customHeight="false" outlineLevel="0" collapsed="false">
      <c r="V3154" s="23" t="str">
        <f aca="false">IF(ISNUMBER(C3154),YEAR(C3154),"")</f>
        <v/>
      </c>
      <c r="W3154" s="23" t="str">
        <f aca="false">IF(ISNUMBER(C3154),MONTH(C3154),"")</f>
        <v/>
      </c>
      <c r="X3154" s="23" t="str">
        <f aca="false">IF(T3154="","",IF(T3154=0,"No discount",IF(T3154&lt;=0.2,"Low (1-20%)",IF(T3154&lt;=0.4,"Medium (21-40%)","High (&gt;40%)"))))</f>
        <v/>
      </c>
      <c r="Y3154" s="23" t="str">
        <f aca="false">IF(AND(ISNUMBER(C3154),ISNUMBER(D3154)),D3154-C3154,"")</f>
        <v/>
      </c>
      <c r="Z3154" s="23" t="str">
        <f aca="false">IF(B3154="","",IF(MATCH(B3154,$B$2:$B$12000,0)=ROW()-1,1,0))</f>
        <v/>
      </c>
    </row>
    <row r="3155" customFormat="false" ht="15" hidden="false" customHeight="false" outlineLevel="0" collapsed="false">
      <c r="V3155" s="23" t="str">
        <f aca="false">IF(ISNUMBER(C3155),YEAR(C3155),"")</f>
        <v/>
      </c>
      <c r="W3155" s="23" t="str">
        <f aca="false">IF(ISNUMBER(C3155),MONTH(C3155),"")</f>
        <v/>
      </c>
      <c r="X3155" s="23" t="str">
        <f aca="false">IF(T3155="","",IF(T3155=0,"No discount",IF(T3155&lt;=0.2,"Low (1-20%)",IF(T3155&lt;=0.4,"Medium (21-40%)","High (&gt;40%)"))))</f>
        <v/>
      </c>
      <c r="Y3155" s="23" t="str">
        <f aca="false">IF(AND(ISNUMBER(C3155),ISNUMBER(D3155)),D3155-C3155,"")</f>
        <v/>
      </c>
      <c r="Z3155" s="23" t="str">
        <f aca="false">IF(B3155="","",IF(MATCH(B3155,$B$2:$B$12000,0)=ROW()-1,1,0))</f>
        <v/>
      </c>
    </row>
    <row r="3156" customFormat="false" ht="15" hidden="false" customHeight="false" outlineLevel="0" collapsed="false">
      <c r="V3156" s="23" t="str">
        <f aca="false">IF(ISNUMBER(C3156),YEAR(C3156),"")</f>
        <v/>
      </c>
      <c r="W3156" s="23" t="str">
        <f aca="false">IF(ISNUMBER(C3156),MONTH(C3156),"")</f>
        <v/>
      </c>
      <c r="X3156" s="23" t="str">
        <f aca="false">IF(T3156="","",IF(T3156=0,"No discount",IF(T3156&lt;=0.2,"Low (1-20%)",IF(T3156&lt;=0.4,"Medium (21-40%)","High (&gt;40%)"))))</f>
        <v/>
      </c>
      <c r="Y3156" s="23" t="str">
        <f aca="false">IF(AND(ISNUMBER(C3156),ISNUMBER(D3156)),D3156-C3156,"")</f>
        <v/>
      </c>
      <c r="Z3156" s="23" t="str">
        <f aca="false">IF(B3156="","",IF(MATCH(B3156,$B$2:$B$12000,0)=ROW()-1,1,0))</f>
        <v/>
      </c>
    </row>
    <row r="3157" customFormat="false" ht="15" hidden="false" customHeight="false" outlineLevel="0" collapsed="false">
      <c r="V3157" s="23" t="str">
        <f aca="false">IF(ISNUMBER(C3157),YEAR(C3157),"")</f>
        <v/>
      </c>
      <c r="W3157" s="23" t="str">
        <f aca="false">IF(ISNUMBER(C3157),MONTH(C3157),"")</f>
        <v/>
      </c>
      <c r="X3157" s="23" t="str">
        <f aca="false">IF(T3157="","",IF(T3157=0,"No discount",IF(T3157&lt;=0.2,"Low (1-20%)",IF(T3157&lt;=0.4,"Medium (21-40%)","High (&gt;40%)"))))</f>
        <v/>
      </c>
      <c r="Y3157" s="23" t="str">
        <f aca="false">IF(AND(ISNUMBER(C3157),ISNUMBER(D3157)),D3157-C3157,"")</f>
        <v/>
      </c>
      <c r="Z3157" s="23" t="str">
        <f aca="false">IF(B3157="","",IF(MATCH(B3157,$B$2:$B$12000,0)=ROW()-1,1,0))</f>
        <v/>
      </c>
    </row>
    <row r="3158" customFormat="false" ht="15" hidden="false" customHeight="false" outlineLevel="0" collapsed="false">
      <c r="V3158" s="23" t="str">
        <f aca="false">IF(ISNUMBER(C3158),YEAR(C3158),"")</f>
        <v/>
      </c>
      <c r="W3158" s="23" t="str">
        <f aca="false">IF(ISNUMBER(C3158),MONTH(C3158),"")</f>
        <v/>
      </c>
      <c r="X3158" s="23" t="str">
        <f aca="false">IF(T3158="","",IF(T3158=0,"No discount",IF(T3158&lt;=0.2,"Low (1-20%)",IF(T3158&lt;=0.4,"Medium (21-40%)","High (&gt;40%)"))))</f>
        <v/>
      </c>
      <c r="Y3158" s="23" t="str">
        <f aca="false">IF(AND(ISNUMBER(C3158),ISNUMBER(D3158)),D3158-C3158,"")</f>
        <v/>
      </c>
      <c r="Z3158" s="23" t="str">
        <f aca="false">IF(B3158="","",IF(MATCH(B3158,$B$2:$B$12000,0)=ROW()-1,1,0))</f>
        <v/>
      </c>
    </row>
    <row r="3159" customFormat="false" ht="15" hidden="false" customHeight="false" outlineLevel="0" collapsed="false">
      <c r="V3159" s="23" t="str">
        <f aca="false">IF(ISNUMBER(C3159),YEAR(C3159),"")</f>
        <v/>
      </c>
      <c r="W3159" s="23" t="str">
        <f aca="false">IF(ISNUMBER(C3159),MONTH(C3159),"")</f>
        <v/>
      </c>
      <c r="X3159" s="23" t="str">
        <f aca="false">IF(T3159="","",IF(T3159=0,"No discount",IF(T3159&lt;=0.2,"Low (1-20%)",IF(T3159&lt;=0.4,"Medium (21-40%)","High (&gt;40%)"))))</f>
        <v/>
      </c>
      <c r="Y3159" s="23" t="str">
        <f aca="false">IF(AND(ISNUMBER(C3159),ISNUMBER(D3159)),D3159-C3159,"")</f>
        <v/>
      </c>
      <c r="Z3159" s="23" t="str">
        <f aca="false">IF(B3159="","",IF(MATCH(B3159,$B$2:$B$12000,0)=ROW()-1,1,0))</f>
        <v/>
      </c>
    </row>
    <row r="3160" customFormat="false" ht="15" hidden="false" customHeight="false" outlineLevel="0" collapsed="false">
      <c r="V3160" s="23" t="str">
        <f aca="false">IF(ISNUMBER(C3160),YEAR(C3160),"")</f>
        <v/>
      </c>
      <c r="W3160" s="23" t="str">
        <f aca="false">IF(ISNUMBER(C3160),MONTH(C3160),"")</f>
        <v/>
      </c>
      <c r="X3160" s="23" t="str">
        <f aca="false">IF(T3160="","",IF(T3160=0,"No discount",IF(T3160&lt;=0.2,"Low (1-20%)",IF(T3160&lt;=0.4,"Medium (21-40%)","High (&gt;40%)"))))</f>
        <v/>
      </c>
      <c r="Y3160" s="23" t="str">
        <f aca="false">IF(AND(ISNUMBER(C3160),ISNUMBER(D3160)),D3160-C3160,"")</f>
        <v/>
      </c>
      <c r="Z3160" s="23" t="str">
        <f aca="false">IF(B3160="","",IF(MATCH(B3160,$B$2:$B$12000,0)=ROW()-1,1,0))</f>
        <v/>
      </c>
    </row>
    <row r="3161" customFormat="false" ht="15" hidden="false" customHeight="false" outlineLevel="0" collapsed="false">
      <c r="V3161" s="23" t="str">
        <f aca="false">IF(ISNUMBER(C3161),YEAR(C3161),"")</f>
        <v/>
      </c>
      <c r="W3161" s="23" t="str">
        <f aca="false">IF(ISNUMBER(C3161),MONTH(C3161),"")</f>
        <v/>
      </c>
      <c r="X3161" s="23" t="str">
        <f aca="false">IF(T3161="","",IF(T3161=0,"No discount",IF(T3161&lt;=0.2,"Low (1-20%)",IF(T3161&lt;=0.4,"Medium (21-40%)","High (&gt;40%)"))))</f>
        <v/>
      </c>
      <c r="Y3161" s="23" t="str">
        <f aca="false">IF(AND(ISNUMBER(C3161),ISNUMBER(D3161)),D3161-C3161,"")</f>
        <v/>
      </c>
      <c r="Z3161" s="23" t="str">
        <f aca="false">IF(B3161="","",IF(MATCH(B3161,$B$2:$B$12000,0)=ROW()-1,1,0))</f>
        <v/>
      </c>
    </row>
    <row r="3162" customFormat="false" ht="15" hidden="false" customHeight="false" outlineLevel="0" collapsed="false">
      <c r="V3162" s="23" t="str">
        <f aca="false">IF(ISNUMBER(C3162),YEAR(C3162),"")</f>
        <v/>
      </c>
      <c r="W3162" s="23" t="str">
        <f aca="false">IF(ISNUMBER(C3162),MONTH(C3162),"")</f>
        <v/>
      </c>
      <c r="X3162" s="23" t="str">
        <f aca="false">IF(T3162="","",IF(T3162=0,"No discount",IF(T3162&lt;=0.2,"Low (1-20%)",IF(T3162&lt;=0.4,"Medium (21-40%)","High (&gt;40%)"))))</f>
        <v/>
      </c>
      <c r="Y3162" s="23" t="str">
        <f aca="false">IF(AND(ISNUMBER(C3162),ISNUMBER(D3162)),D3162-C3162,"")</f>
        <v/>
      </c>
      <c r="Z3162" s="23" t="str">
        <f aca="false">IF(B3162="","",IF(MATCH(B3162,$B$2:$B$12000,0)=ROW()-1,1,0))</f>
        <v/>
      </c>
    </row>
    <row r="3163" customFormat="false" ht="15" hidden="false" customHeight="false" outlineLevel="0" collapsed="false">
      <c r="V3163" s="23" t="str">
        <f aca="false">IF(ISNUMBER(C3163),YEAR(C3163),"")</f>
        <v/>
      </c>
      <c r="W3163" s="23" t="str">
        <f aca="false">IF(ISNUMBER(C3163),MONTH(C3163),"")</f>
        <v/>
      </c>
      <c r="X3163" s="23" t="str">
        <f aca="false">IF(T3163="","",IF(T3163=0,"No discount",IF(T3163&lt;=0.2,"Low (1-20%)",IF(T3163&lt;=0.4,"Medium (21-40%)","High (&gt;40%)"))))</f>
        <v/>
      </c>
      <c r="Y3163" s="23" t="str">
        <f aca="false">IF(AND(ISNUMBER(C3163),ISNUMBER(D3163)),D3163-C3163,"")</f>
        <v/>
      </c>
      <c r="Z3163" s="23" t="str">
        <f aca="false">IF(B3163="","",IF(MATCH(B3163,$B$2:$B$12000,0)=ROW()-1,1,0))</f>
        <v/>
      </c>
    </row>
    <row r="3164" customFormat="false" ht="15" hidden="false" customHeight="false" outlineLevel="0" collapsed="false">
      <c r="V3164" s="23" t="str">
        <f aca="false">IF(ISNUMBER(C3164),YEAR(C3164),"")</f>
        <v/>
      </c>
      <c r="W3164" s="23" t="str">
        <f aca="false">IF(ISNUMBER(C3164),MONTH(C3164),"")</f>
        <v/>
      </c>
      <c r="X3164" s="23" t="str">
        <f aca="false">IF(T3164="","",IF(T3164=0,"No discount",IF(T3164&lt;=0.2,"Low (1-20%)",IF(T3164&lt;=0.4,"Medium (21-40%)","High (&gt;40%)"))))</f>
        <v/>
      </c>
      <c r="Y3164" s="23" t="str">
        <f aca="false">IF(AND(ISNUMBER(C3164),ISNUMBER(D3164)),D3164-C3164,"")</f>
        <v/>
      </c>
      <c r="Z3164" s="23" t="str">
        <f aca="false">IF(B3164="","",IF(MATCH(B3164,$B$2:$B$12000,0)=ROW()-1,1,0))</f>
        <v/>
      </c>
    </row>
    <row r="3165" customFormat="false" ht="15" hidden="false" customHeight="false" outlineLevel="0" collapsed="false">
      <c r="V3165" s="23" t="str">
        <f aca="false">IF(ISNUMBER(C3165),YEAR(C3165),"")</f>
        <v/>
      </c>
      <c r="W3165" s="23" t="str">
        <f aca="false">IF(ISNUMBER(C3165),MONTH(C3165),"")</f>
        <v/>
      </c>
      <c r="X3165" s="23" t="str">
        <f aca="false">IF(T3165="","",IF(T3165=0,"No discount",IF(T3165&lt;=0.2,"Low (1-20%)",IF(T3165&lt;=0.4,"Medium (21-40%)","High (&gt;40%)"))))</f>
        <v/>
      </c>
      <c r="Y3165" s="23" t="str">
        <f aca="false">IF(AND(ISNUMBER(C3165),ISNUMBER(D3165)),D3165-C3165,"")</f>
        <v/>
      </c>
      <c r="Z3165" s="23" t="str">
        <f aca="false">IF(B3165="","",IF(MATCH(B3165,$B$2:$B$12000,0)=ROW()-1,1,0))</f>
        <v/>
      </c>
    </row>
    <row r="3166" customFormat="false" ht="15" hidden="false" customHeight="false" outlineLevel="0" collapsed="false">
      <c r="V3166" s="23" t="str">
        <f aca="false">IF(ISNUMBER(C3166),YEAR(C3166),"")</f>
        <v/>
      </c>
      <c r="W3166" s="23" t="str">
        <f aca="false">IF(ISNUMBER(C3166),MONTH(C3166),"")</f>
        <v/>
      </c>
      <c r="X3166" s="23" t="str">
        <f aca="false">IF(T3166="","",IF(T3166=0,"No discount",IF(T3166&lt;=0.2,"Low (1-20%)",IF(T3166&lt;=0.4,"Medium (21-40%)","High (&gt;40%)"))))</f>
        <v/>
      </c>
      <c r="Y3166" s="23" t="str">
        <f aca="false">IF(AND(ISNUMBER(C3166),ISNUMBER(D3166)),D3166-C3166,"")</f>
        <v/>
      </c>
      <c r="Z3166" s="23" t="str">
        <f aca="false">IF(B3166="","",IF(MATCH(B3166,$B$2:$B$12000,0)=ROW()-1,1,0))</f>
        <v/>
      </c>
    </row>
    <row r="3167" customFormat="false" ht="15" hidden="false" customHeight="false" outlineLevel="0" collapsed="false">
      <c r="V3167" s="23" t="str">
        <f aca="false">IF(ISNUMBER(C3167),YEAR(C3167),"")</f>
        <v/>
      </c>
      <c r="W3167" s="23" t="str">
        <f aca="false">IF(ISNUMBER(C3167),MONTH(C3167),"")</f>
        <v/>
      </c>
      <c r="X3167" s="23" t="str">
        <f aca="false">IF(T3167="","",IF(T3167=0,"No discount",IF(T3167&lt;=0.2,"Low (1-20%)",IF(T3167&lt;=0.4,"Medium (21-40%)","High (&gt;40%)"))))</f>
        <v/>
      </c>
      <c r="Y3167" s="23" t="str">
        <f aca="false">IF(AND(ISNUMBER(C3167),ISNUMBER(D3167)),D3167-C3167,"")</f>
        <v/>
      </c>
      <c r="Z3167" s="23" t="str">
        <f aca="false">IF(B3167="","",IF(MATCH(B3167,$B$2:$B$12000,0)=ROW()-1,1,0))</f>
        <v/>
      </c>
    </row>
    <row r="3168" customFormat="false" ht="15" hidden="false" customHeight="false" outlineLevel="0" collapsed="false">
      <c r="V3168" s="23" t="str">
        <f aca="false">IF(ISNUMBER(C3168),YEAR(C3168),"")</f>
        <v/>
      </c>
      <c r="W3168" s="23" t="str">
        <f aca="false">IF(ISNUMBER(C3168),MONTH(C3168),"")</f>
        <v/>
      </c>
      <c r="X3168" s="23" t="str">
        <f aca="false">IF(T3168="","",IF(T3168=0,"No discount",IF(T3168&lt;=0.2,"Low (1-20%)",IF(T3168&lt;=0.4,"Medium (21-40%)","High (&gt;40%)"))))</f>
        <v/>
      </c>
      <c r="Y3168" s="23" t="str">
        <f aca="false">IF(AND(ISNUMBER(C3168),ISNUMBER(D3168)),D3168-C3168,"")</f>
        <v/>
      </c>
      <c r="Z3168" s="23" t="str">
        <f aca="false">IF(B3168="","",IF(MATCH(B3168,$B$2:$B$12000,0)=ROW()-1,1,0))</f>
        <v/>
      </c>
    </row>
    <row r="3169" customFormat="false" ht="15" hidden="false" customHeight="false" outlineLevel="0" collapsed="false">
      <c r="V3169" s="23" t="str">
        <f aca="false">IF(ISNUMBER(C3169),YEAR(C3169),"")</f>
        <v/>
      </c>
      <c r="W3169" s="23" t="str">
        <f aca="false">IF(ISNUMBER(C3169),MONTH(C3169),"")</f>
        <v/>
      </c>
      <c r="X3169" s="23" t="str">
        <f aca="false">IF(T3169="","",IF(T3169=0,"No discount",IF(T3169&lt;=0.2,"Low (1-20%)",IF(T3169&lt;=0.4,"Medium (21-40%)","High (&gt;40%)"))))</f>
        <v/>
      </c>
      <c r="Y3169" s="23" t="str">
        <f aca="false">IF(AND(ISNUMBER(C3169),ISNUMBER(D3169)),D3169-C3169,"")</f>
        <v/>
      </c>
      <c r="Z3169" s="23" t="str">
        <f aca="false">IF(B3169="","",IF(MATCH(B3169,$B$2:$B$12000,0)=ROW()-1,1,0))</f>
        <v/>
      </c>
    </row>
    <row r="3170" customFormat="false" ht="15" hidden="false" customHeight="false" outlineLevel="0" collapsed="false">
      <c r="V3170" s="23" t="str">
        <f aca="false">IF(ISNUMBER(C3170),YEAR(C3170),"")</f>
        <v/>
      </c>
      <c r="W3170" s="23" t="str">
        <f aca="false">IF(ISNUMBER(C3170),MONTH(C3170),"")</f>
        <v/>
      </c>
      <c r="X3170" s="23" t="str">
        <f aca="false">IF(T3170="","",IF(T3170=0,"No discount",IF(T3170&lt;=0.2,"Low (1-20%)",IF(T3170&lt;=0.4,"Medium (21-40%)","High (&gt;40%)"))))</f>
        <v/>
      </c>
      <c r="Y3170" s="23" t="str">
        <f aca="false">IF(AND(ISNUMBER(C3170),ISNUMBER(D3170)),D3170-C3170,"")</f>
        <v/>
      </c>
      <c r="Z3170" s="23" t="str">
        <f aca="false">IF(B3170="","",IF(MATCH(B3170,$B$2:$B$12000,0)=ROW()-1,1,0))</f>
        <v/>
      </c>
    </row>
    <row r="3171" customFormat="false" ht="15" hidden="false" customHeight="false" outlineLevel="0" collapsed="false">
      <c r="V3171" s="23" t="str">
        <f aca="false">IF(ISNUMBER(C3171),YEAR(C3171),"")</f>
        <v/>
      </c>
      <c r="W3171" s="23" t="str">
        <f aca="false">IF(ISNUMBER(C3171),MONTH(C3171),"")</f>
        <v/>
      </c>
      <c r="X3171" s="23" t="str">
        <f aca="false">IF(T3171="","",IF(T3171=0,"No discount",IF(T3171&lt;=0.2,"Low (1-20%)",IF(T3171&lt;=0.4,"Medium (21-40%)","High (&gt;40%)"))))</f>
        <v/>
      </c>
      <c r="Y3171" s="23" t="str">
        <f aca="false">IF(AND(ISNUMBER(C3171),ISNUMBER(D3171)),D3171-C3171,"")</f>
        <v/>
      </c>
      <c r="Z3171" s="23" t="str">
        <f aca="false">IF(B3171="","",IF(MATCH(B3171,$B$2:$B$12000,0)=ROW()-1,1,0))</f>
        <v/>
      </c>
    </row>
    <row r="3172" customFormat="false" ht="15" hidden="false" customHeight="false" outlineLevel="0" collapsed="false">
      <c r="V3172" s="23" t="str">
        <f aca="false">IF(ISNUMBER(C3172),YEAR(C3172),"")</f>
        <v/>
      </c>
      <c r="W3172" s="23" t="str">
        <f aca="false">IF(ISNUMBER(C3172),MONTH(C3172),"")</f>
        <v/>
      </c>
      <c r="X3172" s="23" t="str">
        <f aca="false">IF(T3172="","",IF(T3172=0,"No discount",IF(T3172&lt;=0.2,"Low (1-20%)",IF(T3172&lt;=0.4,"Medium (21-40%)","High (&gt;40%)"))))</f>
        <v/>
      </c>
      <c r="Y3172" s="23" t="str">
        <f aca="false">IF(AND(ISNUMBER(C3172),ISNUMBER(D3172)),D3172-C3172,"")</f>
        <v/>
      </c>
      <c r="Z3172" s="23" t="str">
        <f aca="false">IF(B3172="","",IF(MATCH(B3172,$B$2:$B$12000,0)=ROW()-1,1,0))</f>
        <v/>
      </c>
    </row>
    <row r="3173" customFormat="false" ht="15" hidden="false" customHeight="false" outlineLevel="0" collapsed="false">
      <c r="V3173" s="23" t="str">
        <f aca="false">IF(ISNUMBER(C3173),YEAR(C3173),"")</f>
        <v/>
      </c>
      <c r="W3173" s="23" t="str">
        <f aca="false">IF(ISNUMBER(C3173),MONTH(C3173),"")</f>
        <v/>
      </c>
      <c r="X3173" s="23" t="str">
        <f aca="false">IF(T3173="","",IF(T3173=0,"No discount",IF(T3173&lt;=0.2,"Low (1-20%)",IF(T3173&lt;=0.4,"Medium (21-40%)","High (&gt;40%)"))))</f>
        <v/>
      </c>
      <c r="Y3173" s="23" t="str">
        <f aca="false">IF(AND(ISNUMBER(C3173),ISNUMBER(D3173)),D3173-C3173,"")</f>
        <v/>
      </c>
      <c r="Z3173" s="23" t="str">
        <f aca="false">IF(B3173="","",IF(MATCH(B3173,$B$2:$B$12000,0)=ROW()-1,1,0))</f>
        <v/>
      </c>
    </row>
    <row r="3174" customFormat="false" ht="15" hidden="false" customHeight="false" outlineLevel="0" collapsed="false">
      <c r="V3174" s="23" t="str">
        <f aca="false">IF(ISNUMBER(C3174),YEAR(C3174),"")</f>
        <v/>
      </c>
      <c r="W3174" s="23" t="str">
        <f aca="false">IF(ISNUMBER(C3174),MONTH(C3174),"")</f>
        <v/>
      </c>
      <c r="X3174" s="23" t="str">
        <f aca="false">IF(T3174="","",IF(T3174=0,"No discount",IF(T3174&lt;=0.2,"Low (1-20%)",IF(T3174&lt;=0.4,"Medium (21-40%)","High (&gt;40%)"))))</f>
        <v/>
      </c>
      <c r="Y3174" s="23" t="str">
        <f aca="false">IF(AND(ISNUMBER(C3174),ISNUMBER(D3174)),D3174-C3174,"")</f>
        <v/>
      </c>
      <c r="Z3174" s="23" t="str">
        <f aca="false">IF(B3174="","",IF(MATCH(B3174,$B$2:$B$12000,0)=ROW()-1,1,0))</f>
        <v/>
      </c>
    </row>
    <row r="3175" customFormat="false" ht="15" hidden="false" customHeight="false" outlineLevel="0" collapsed="false">
      <c r="V3175" s="23" t="str">
        <f aca="false">IF(ISNUMBER(C3175),YEAR(C3175),"")</f>
        <v/>
      </c>
      <c r="W3175" s="23" t="str">
        <f aca="false">IF(ISNUMBER(C3175),MONTH(C3175),"")</f>
        <v/>
      </c>
      <c r="X3175" s="23" t="str">
        <f aca="false">IF(T3175="","",IF(T3175=0,"No discount",IF(T3175&lt;=0.2,"Low (1-20%)",IF(T3175&lt;=0.4,"Medium (21-40%)","High (&gt;40%)"))))</f>
        <v/>
      </c>
      <c r="Y3175" s="23" t="str">
        <f aca="false">IF(AND(ISNUMBER(C3175),ISNUMBER(D3175)),D3175-C3175,"")</f>
        <v/>
      </c>
      <c r="Z3175" s="23" t="str">
        <f aca="false">IF(B3175="","",IF(MATCH(B3175,$B$2:$B$12000,0)=ROW()-1,1,0))</f>
        <v/>
      </c>
    </row>
    <row r="3176" customFormat="false" ht="15" hidden="false" customHeight="false" outlineLevel="0" collapsed="false">
      <c r="V3176" s="23" t="str">
        <f aca="false">IF(ISNUMBER(C3176),YEAR(C3176),"")</f>
        <v/>
      </c>
      <c r="W3176" s="23" t="str">
        <f aca="false">IF(ISNUMBER(C3176),MONTH(C3176),"")</f>
        <v/>
      </c>
      <c r="X3176" s="23" t="str">
        <f aca="false">IF(T3176="","",IF(T3176=0,"No discount",IF(T3176&lt;=0.2,"Low (1-20%)",IF(T3176&lt;=0.4,"Medium (21-40%)","High (&gt;40%)"))))</f>
        <v/>
      </c>
      <c r="Y3176" s="23" t="str">
        <f aca="false">IF(AND(ISNUMBER(C3176),ISNUMBER(D3176)),D3176-C3176,"")</f>
        <v/>
      </c>
      <c r="Z3176" s="23" t="str">
        <f aca="false">IF(B3176="","",IF(MATCH(B3176,$B$2:$B$12000,0)=ROW()-1,1,0))</f>
        <v/>
      </c>
    </row>
    <row r="3177" customFormat="false" ht="15" hidden="false" customHeight="false" outlineLevel="0" collapsed="false">
      <c r="V3177" s="23" t="str">
        <f aca="false">IF(ISNUMBER(C3177),YEAR(C3177),"")</f>
        <v/>
      </c>
      <c r="W3177" s="23" t="str">
        <f aca="false">IF(ISNUMBER(C3177),MONTH(C3177),"")</f>
        <v/>
      </c>
      <c r="X3177" s="23" t="str">
        <f aca="false">IF(T3177="","",IF(T3177=0,"No discount",IF(T3177&lt;=0.2,"Low (1-20%)",IF(T3177&lt;=0.4,"Medium (21-40%)","High (&gt;40%)"))))</f>
        <v/>
      </c>
      <c r="Y3177" s="23" t="str">
        <f aca="false">IF(AND(ISNUMBER(C3177),ISNUMBER(D3177)),D3177-C3177,"")</f>
        <v/>
      </c>
      <c r="Z3177" s="23" t="str">
        <f aca="false">IF(B3177="","",IF(MATCH(B3177,$B$2:$B$12000,0)=ROW()-1,1,0))</f>
        <v/>
      </c>
    </row>
    <row r="3178" customFormat="false" ht="15" hidden="false" customHeight="false" outlineLevel="0" collapsed="false">
      <c r="V3178" s="23" t="str">
        <f aca="false">IF(ISNUMBER(C3178),YEAR(C3178),"")</f>
        <v/>
      </c>
      <c r="W3178" s="23" t="str">
        <f aca="false">IF(ISNUMBER(C3178),MONTH(C3178),"")</f>
        <v/>
      </c>
      <c r="X3178" s="23" t="str">
        <f aca="false">IF(T3178="","",IF(T3178=0,"No discount",IF(T3178&lt;=0.2,"Low (1-20%)",IF(T3178&lt;=0.4,"Medium (21-40%)","High (&gt;40%)"))))</f>
        <v/>
      </c>
      <c r="Y3178" s="23" t="str">
        <f aca="false">IF(AND(ISNUMBER(C3178),ISNUMBER(D3178)),D3178-C3178,"")</f>
        <v/>
      </c>
      <c r="Z3178" s="23" t="str">
        <f aca="false">IF(B3178="","",IF(MATCH(B3178,$B$2:$B$12000,0)=ROW()-1,1,0))</f>
        <v/>
      </c>
    </row>
    <row r="3179" customFormat="false" ht="15" hidden="false" customHeight="false" outlineLevel="0" collapsed="false">
      <c r="V3179" s="23" t="str">
        <f aca="false">IF(ISNUMBER(C3179),YEAR(C3179),"")</f>
        <v/>
      </c>
      <c r="W3179" s="23" t="str">
        <f aca="false">IF(ISNUMBER(C3179),MONTH(C3179),"")</f>
        <v/>
      </c>
      <c r="X3179" s="23" t="str">
        <f aca="false">IF(T3179="","",IF(T3179=0,"No discount",IF(T3179&lt;=0.2,"Low (1-20%)",IF(T3179&lt;=0.4,"Medium (21-40%)","High (&gt;40%)"))))</f>
        <v/>
      </c>
      <c r="Y3179" s="23" t="str">
        <f aca="false">IF(AND(ISNUMBER(C3179),ISNUMBER(D3179)),D3179-C3179,"")</f>
        <v/>
      </c>
      <c r="Z3179" s="23" t="str">
        <f aca="false">IF(B3179="","",IF(MATCH(B3179,$B$2:$B$12000,0)=ROW()-1,1,0))</f>
        <v/>
      </c>
    </row>
    <row r="3180" customFormat="false" ht="15" hidden="false" customHeight="false" outlineLevel="0" collapsed="false">
      <c r="V3180" s="23" t="str">
        <f aca="false">IF(ISNUMBER(C3180),YEAR(C3180),"")</f>
        <v/>
      </c>
      <c r="W3180" s="23" t="str">
        <f aca="false">IF(ISNUMBER(C3180),MONTH(C3180),"")</f>
        <v/>
      </c>
      <c r="X3180" s="23" t="str">
        <f aca="false">IF(T3180="","",IF(T3180=0,"No discount",IF(T3180&lt;=0.2,"Low (1-20%)",IF(T3180&lt;=0.4,"Medium (21-40%)","High (&gt;40%)"))))</f>
        <v/>
      </c>
      <c r="Y3180" s="23" t="str">
        <f aca="false">IF(AND(ISNUMBER(C3180),ISNUMBER(D3180)),D3180-C3180,"")</f>
        <v/>
      </c>
      <c r="Z3180" s="23" t="str">
        <f aca="false">IF(B3180="","",IF(MATCH(B3180,$B$2:$B$12000,0)=ROW()-1,1,0))</f>
        <v/>
      </c>
    </row>
    <row r="3181" customFormat="false" ht="15" hidden="false" customHeight="false" outlineLevel="0" collapsed="false">
      <c r="V3181" s="23" t="str">
        <f aca="false">IF(ISNUMBER(C3181),YEAR(C3181),"")</f>
        <v/>
      </c>
      <c r="W3181" s="23" t="str">
        <f aca="false">IF(ISNUMBER(C3181),MONTH(C3181),"")</f>
        <v/>
      </c>
      <c r="X3181" s="23" t="str">
        <f aca="false">IF(T3181="","",IF(T3181=0,"No discount",IF(T3181&lt;=0.2,"Low (1-20%)",IF(T3181&lt;=0.4,"Medium (21-40%)","High (&gt;40%)"))))</f>
        <v/>
      </c>
      <c r="Y3181" s="23" t="str">
        <f aca="false">IF(AND(ISNUMBER(C3181),ISNUMBER(D3181)),D3181-C3181,"")</f>
        <v/>
      </c>
      <c r="Z3181" s="23" t="str">
        <f aca="false">IF(B3181="","",IF(MATCH(B3181,$B$2:$B$12000,0)=ROW()-1,1,0))</f>
        <v/>
      </c>
    </row>
    <row r="3182" customFormat="false" ht="15" hidden="false" customHeight="false" outlineLevel="0" collapsed="false">
      <c r="V3182" s="23" t="str">
        <f aca="false">IF(ISNUMBER(C3182),YEAR(C3182),"")</f>
        <v/>
      </c>
      <c r="W3182" s="23" t="str">
        <f aca="false">IF(ISNUMBER(C3182),MONTH(C3182),"")</f>
        <v/>
      </c>
      <c r="X3182" s="23" t="str">
        <f aca="false">IF(T3182="","",IF(T3182=0,"No discount",IF(T3182&lt;=0.2,"Low (1-20%)",IF(T3182&lt;=0.4,"Medium (21-40%)","High (&gt;40%)"))))</f>
        <v/>
      </c>
      <c r="Y3182" s="23" t="str">
        <f aca="false">IF(AND(ISNUMBER(C3182),ISNUMBER(D3182)),D3182-C3182,"")</f>
        <v/>
      </c>
      <c r="Z3182" s="23" t="str">
        <f aca="false">IF(B3182="","",IF(MATCH(B3182,$B$2:$B$12000,0)=ROW()-1,1,0))</f>
        <v/>
      </c>
    </row>
    <row r="3183" customFormat="false" ht="15" hidden="false" customHeight="false" outlineLevel="0" collapsed="false">
      <c r="V3183" s="23" t="str">
        <f aca="false">IF(ISNUMBER(C3183),YEAR(C3183),"")</f>
        <v/>
      </c>
      <c r="W3183" s="23" t="str">
        <f aca="false">IF(ISNUMBER(C3183),MONTH(C3183),"")</f>
        <v/>
      </c>
      <c r="X3183" s="23" t="str">
        <f aca="false">IF(T3183="","",IF(T3183=0,"No discount",IF(T3183&lt;=0.2,"Low (1-20%)",IF(T3183&lt;=0.4,"Medium (21-40%)","High (&gt;40%)"))))</f>
        <v/>
      </c>
      <c r="Y3183" s="23" t="str">
        <f aca="false">IF(AND(ISNUMBER(C3183),ISNUMBER(D3183)),D3183-C3183,"")</f>
        <v/>
      </c>
      <c r="Z3183" s="23" t="str">
        <f aca="false">IF(B3183="","",IF(MATCH(B3183,$B$2:$B$12000,0)=ROW()-1,1,0))</f>
        <v/>
      </c>
    </row>
    <row r="3184" customFormat="false" ht="15" hidden="false" customHeight="false" outlineLevel="0" collapsed="false">
      <c r="V3184" s="23" t="str">
        <f aca="false">IF(ISNUMBER(C3184),YEAR(C3184),"")</f>
        <v/>
      </c>
      <c r="W3184" s="23" t="str">
        <f aca="false">IF(ISNUMBER(C3184),MONTH(C3184),"")</f>
        <v/>
      </c>
      <c r="X3184" s="23" t="str">
        <f aca="false">IF(T3184="","",IF(T3184=0,"No discount",IF(T3184&lt;=0.2,"Low (1-20%)",IF(T3184&lt;=0.4,"Medium (21-40%)","High (&gt;40%)"))))</f>
        <v/>
      </c>
      <c r="Y3184" s="23" t="str">
        <f aca="false">IF(AND(ISNUMBER(C3184),ISNUMBER(D3184)),D3184-C3184,"")</f>
        <v/>
      </c>
      <c r="Z3184" s="23" t="str">
        <f aca="false">IF(B3184="","",IF(MATCH(B3184,$B$2:$B$12000,0)=ROW()-1,1,0))</f>
        <v/>
      </c>
    </row>
    <row r="3185" customFormat="false" ht="15" hidden="false" customHeight="false" outlineLevel="0" collapsed="false">
      <c r="V3185" s="23" t="str">
        <f aca="false">IF(ISNUMBER(C3185),YEAR(C3185),"")</f>
        <v/>
      </c>
      <c r="W3185" s="23" t="str">
        <f aca="false">IF(ISNUMBER(C3185),MONTH(C3185),"")</f>
        <v/>
      </c>
      <c r="X3185" s="23" t="str">
        <f aca="false">IF(T3185="","",IF(T3185=0,"No discount",IF(T3185&lt;=0.2,"Low (1-20%)",IF(T3185&lt;=0.4,"Medium (21-40%)","High (&gt;40%)"))))</f>
        <v/>
      </c>
      <c r="Y3185" s="23" t="str">
        <f aca="false">IF(AND(ISNUMBER(C3185),ISNUMBER(D3185)),D3185-C3185,"")</f>
        <v/>
      </c>
      <c r="Z3185" s="23" t="str">
        <f aca="false">IF(B3185="","",IF(MATCH(B3185,$B$2:$B$12000,0)=ROW()-1,1,0))</f>
        <v/>
      </c>
    </row>
    <row r="3186" customFormat="false" ht="15" hidden="false" customHeight="false" outlineLevel="0" collapsed="false">
      <c r="V3186" s="23" t="str">
        <f aca="false">IF(ISNUMBER(C3186),YEAR(C3186),"")</f>
        <v/>
      </c>
      <c r="W3186" s="23" t="str">
        <f aca="false">IF(ISNUMBER(C3186),MONTH(C3186),"")</f>
        <v/>
      </c>
      <c r="X3186" s="23" t="str">
        <f aca="false">IF(T3186="","",IF(T3186=0,"No discount",IF(T3186&lt;=0.2,"Low (1-20%)",IF(T3186&lt;=0.4,"Medium (21-40%)","High (&gt;40%)"))))</f>
        <v/>
      </c>
      <c r="Y3186" s="23" t="str">
        <f aca="false">IF(AND(ISNUMBER(C3186),ISNUMBER(D3186)),D3186-C3186,"")</f>
        <v/>
      </c>
      <c r="Z3186" s="23" t="str">
        <f aca="false">IF(B3186="","",IF(MATCH(B3186,$B$2:$B$12000,0)=ROW()-1,1,0))</f>
        <v/>
      </c>
    </row>
    <row r="3187" customFormat="false" ht="15" hidden="false" customHeight="false" outlineLevel="0" collapsed="false">
      <c r="V3187" s="23" t="str">
        <f aca="false">IF(ISNUMBER(C3187),YEAR(C3187),"")</f>
        <v/>
      </c>
      <c r="W3187" s="23" t="str">
        <f aca="false">IF(ISNUMBER(C3187),MONTH(C3187),"")</f>
        <v/>
      </c>
      <c r="X3187" s="23" t="str">
        <f aca="false">IF(T3187="","",IF(T3187=0,"No discount",IF(T3187&lt;=0.2,"Low (1-20%)",IF(T3187&lt;=0.4,"Medium (21-40%)","High (&gt;40%)"))))</f>
        <v/>
      </c>
      <c r="Y3187" s="23" t="str">
        <f aca="false">IF(AND(ISNUMBER(C3187),ISNUMBER(D3187)),D3187-C3187,"")</f>
        <v/>
      </c>
      <c r="Z3187" s="23" t="str">
        <f aca="false">IF(B3187="","",IF(MATCH(B3187,$B$2:$B$12000,0)=ROW()-1,1,0))</f>
        <v/>
      </c>
    </row>
    <row r="3188" customFormat="false" ht="15" hidden="false" customHeight="false" outlineLevel="0" collapsed="false">
      <c r="V3188" s="23" t="str">
        <f aca="false">IF(ISNUMBER(C3188),YEAR(C3188),"")</f>
        <v/>
      </c>
      <c r="W3188" s="23" t="str">
        <f aca="false">IF(ISNUMBER(C3188),MONTH(C3188),"")</f>
        <v/>
      </c>
      <c r="X3188" s="23" t="str">
        <f aca="false">IF(T3188="","",IF(T3188=0,"No discount",IF(T3188&lt;=0.2,"Low (1-20%)",IF(T3188&lt;=0.4,"Medium (21-40%)","High (&gt;40%)"))))</f>
        <v/>
      </c>
      <c r="Y3188" s="23" t="str">
        <f aca="false">IF(AND(ISNUMBER(C3188),ISNUMBER(D3188)),D3188-C3188,"")</f>
        <v/>
      </c>
      <c r="Z3188" s="23" t="str">
        <f aca="false">IF(B3188="","",IF(MATCH(B3188,$B$2:$B$12000,0)=ROW()-1,1,0))</f>
        <v/>
      </c>
    </row>
    <row r="3189" customFormat="false" ht="15" hidden="false" customHeight="false" outlineLevel="0" collapsed="false">
      <c r="V3189" s="23" t="str">
        <f aca="false">IF(ISNUMBER(C3189),YEAR(C3189),"")</f>
        <v/>
      </c>
      <c r="W3189" s="23" t="str">
        <f aca="false">IF(ISNUMBER(C3189),MONTH(C3189),"")</f>
        <v/>
      </c>
      <c r="X3189" s="23" t="str">
        <f aca="false">IF(T3189="","",IF(T3189=0,"No discount",IF(T3189&lt;=0.2,"Low (1-20%)",IF(T3189&lt;=0.4,"Medium (21-40%)","High (&gt;40%)"))))</f>
        <v/>
      </c>
      <c r="Y3189" s="23" t="str">
        <f aca="false">IF(AND(ISNUMBER(C3189),ISNUMBER(D3189)),D3189-C3189,"")</f>
        <v/>
      </c>
      <c r="Z3189" s="23" t="str">
        <f aca="false">IF(B3189="","",IF(MATCH(B3189,$B$2:$B$12000,0)=ROW()-1,1,0))</f>
        <v/>
      </c>
    </row>
    <row r="3190" customFormat="false" ht="15" hidden="false" customHeight="false" outlineLevel="0" collapsed="false">
      <c r="V3190" s="23" t="str">
        <f aca="false">IF(ISNUMBER(C3190),YEAR(C3190),"")</f>
        <v/>
      </c>
      <c r="W3190" s="23" t="str">
        <f aca="false">IF(ISNUMBER(C3190),MONTH(C3190),"")</f>
        <v/>
      </c>
      <c r="X3190" s="23" t="str">
        <f aca="false">IF(T3190="","",IF(T3190=0,"No discount",IF(T3190&lt;=0.2,"Low (1-20%)",IF(T3190&lt;=0.4,"Medium (21-40%)","High (&gt;40%)"))))</f>
        <v/>
      </c>
      <c r="Y3190" s="23" t="str">
        <f aca="false">IF(AND(ISNUMBER(C3190),ISNUMBER(D3190)),D3190-C3190,"")</f>
        <v/>
      </c>
      <c r="Z3190" s="23" t="str">
        <f aca="false">IF(B3190="","",IF(MATCH(B3190,$B$2:$B$12000,0)=ROW()-1,1,0))</f>
        <v/>
      </c>
    </row>
    <row r="3191" customFormat="false" ht="15" hidden="false" customHeight="false" outlineLevel="0" collapsed="false">
      <c r="V3191" s="23" t="str">
        <f aca="false">IF(ISNUMBER(C3191),YEAR(C3191),"")</f>
        <v/>
      </c>
      <c r="W3191" s="23" t="str">
        <f aca="false">IF(ISNUMBER(C3191),MONTH(C3191),"")</f>
        <v/>
      </c>
      <c r="X3191" s="23" t="str">
        <f aca="false">IF(T3191="","",IF(T3191=0,"No discount",IF(T3191&lt;=0.2,"Low (1-20%)",IF(T3191&lt;=0.4,"Medium (21-40%)","High (&gt;40%)"))))</f>
        <v/>
      </c>
      <c r="Y3191" s="23" t="str">
        <f aca="false">IF(AND(ISNUMBER(C3191),ISNUMBER(D3191)),D3191-C3191,"")</f>
        <v/>
      </c>
      <c r="Z3191" s="23" t="str">
        <f aca="false">IF(B3191="","",IF(MATCH(B3191,$B$2:$B$12000,0)=ROW()-1,1,0))</f>
        <v/>
      </c>
    </row>
    <row r="3192" customFormat="false" ht="15" hidden="false" customHeight="false" outlineLevel="0" collapsed="false">
      <c r="V3192" s="23" t="str">
        <f aca="false">IF(ISNUMBER(C3192),YEAR(C3192),"")</f>
        <v/>
      </c>
      <c r="W3192" s="23" t="str">
        <f aca="false">IF(ISNUMBER(C3192),MONTH(C3192),"")</f>
        <v/>
      </c>
      <c r="X3192" s="23" t="str">
        <f aca="false">IF(T3192="","",IF(T3192=0,"No discount",IF(T3192&lt;=0.2,"Low (1-20%)",IF(T3192&lt;=0.4,"Medium (21-40%)","High (&gt;40%)"))))</f>
        <v/>
      </c>
      <c r="Y3192" s="23" t="str">
        <f aca="false">IF(AND(ISNUMBER(C3192),ISNUMBER(D3192)),D3192-C3192,"")</f>
        <v/>
      </c>
      <c r="Z3192" s="23" t="str">
        <f aca="false">IF(B3192="","",IF(MATCH(B3192,$B$2:$B$12000,0)=ROW()-1,1,0))</f>
        <v/>
      </c>
    </row>
    <row r="3193" customFormat="false" ht="15" hidden="false" customHeight="false" outlineLevel="0" collapsed="false">
      <c r="V3193" s="23" t="str">
        <f aca="false">IF(ISNUMBER(C3193),YEAR(C3193),"")</f>
        <v/>
      </c>
      <c r="W3193" s="23" t="str">
        <f aca="false">IF(ISNUMBER(C3193),MONTH(C3193),"")</f>
        <v/>
      </c>
      <c r="X3193" s="23" t="str">
        <f aca="false">IF(T3193="","",IF(T3193=0,"No discount",IF(T3193&lt;=0.2,"Low (1-20%)",IF(T3193&lt;=0.4,"Medium (21-40%)","High (&gt;40%)"))))</f>
        <v/>
      </c>
      <c r="Y3193" s="23" t="str">
        <f aca="false">IF(AND(ISNUMBER(C3193),ISNUMBER(D3193)),D3193-C3193,"")</f>
        <v/>
      </c>
      <c r="Z3193" s="23" t="str">
        <f aca="false">IF(B3193="","",IF(MATCH(B3193,$B$2:$B$12000,0)=ROW()-1,1,0))</f>
        <v/>
      </c>
    </row>
    <row r="3194" customFormat="false" ht="15" hidden="false" customHeight="false" outlineLevel="0" collapsed="false">
      <c r="V3194" s="23" t="str">
        <f aca="false">IF(ISNUMBER(C3194),YEAR(C3194),"")</f>
        <v/>
      </c>
      <c r="W3194" s="23" t="str">
        <f aca="false">IF(ISNUMBER(C3194),MONTH(C3194),"")</f>
        <v/>
      </c>
      <c r="X3194" s="23" t="str">
        <f aca="false">IF(T3194="","",IF(T3194=0,"No discount",IF(T3194&lt;=0.2,"Low (1-20%)",IF(T3194&lt;=0.4,"Medium (21-40%)","High (&gt;40%)"))))</f>
        <v/>
      </c>
      <c r="Y3194" s="23" t="str">
        <f aca="false">IF(AND(ISNUMBER(C3194),ISNUMBER(D3194)),D3194-C3194,"")</f>
        <v/>
      </c>
      <c r="Z3194" s="23" t="str">
        <f aca="false">IF(B3194="","",IF(MATCH(B3194,$B$2:$B$12000,0)=ROW()-1,1,0))</f>
        <v/>
      </c>
    </row>
    <row r="3195" customFormat="false" ht="15" hidden="false" customHeight="false" outlineLevel="0" collapsed="false">
      <c r="V3195" s="23" t="str">
        <f aca="false">IF(ISNUMBER(C3195),YEAR(C3195),"")</f>
        <v/>
      </c>
      <c r="W3195" s="23" t="str">
        <f aca="false">IF(ISNUMBER(C3195),MONTH(C3195),"")</f>
        <v/>
      </c>
      <c r="X3195" s="23" t="str">
        <f aca="false">IF(T3195="","",IF(T3195=0,"No discount",IF(T3195&lt;=0.2,"Low (1-20%)",IF(T3195&lt;=0.4,"Medium (21-40%)","High (&gt;40%)"))))</f>
        <v/>
      </c>
      <c r="Y3195" s="23" t="str">
        <f aca="false">IF(AND(ISNUMBER(C3195),ISNUMBER(D3195)),D3195-C3195,"")</f>
        <v/>
      </c>
      <c r="Z3195" s="23" t="str">
        <f aca="false">IF(B3195="","",IF(MATCH(B3195,$B$2:$B$12000,0)=ROW()-1,1,0))</f>
        <v/>
      </c>
    </row>
    <row r="3196" customFormat="false" ht="15" hidden="false" customHeight="false" outlineLevel="0" collapsed="false">
      <c r="V3196" s="23" t="str">
        <f aca="false">IF(ISNUMBER(C3196),YEAR(C3196),"")</f>
        <v/>
      </c>
      <c r="W3196" s="23" t="str">
        <f aca="false">IF(ISNUMBER(C3196),MONTH(C3196),"")</f>
        <v/>
      </c>
      <c r="X3196" s="23" t="str">
        <f aca="false">IF(T3196="","",IF(T3196=0,"No discount",IF(T3196&lt;=0.2,"Low (1-20%)",IF(T3196&lt;=0.4,"Medium (21-40%)","High (&gt;40%)"))))</f>
        <v/>
      </c>
      <c r="Y3196" s="23" t="str">
        <f aca="false">IF(AND(ISNUMBER(C3196),ISNUMBER(D3196)),D3196-C3196,"")</f>
        <v/>
      </c>
      <c r="Z3196" s="23" t="str">
        <f aca="false">IF(B3196="","",IF(MATCH(B3196,$B$2:$B$12000,0)=ROW()-1,1,0))</f>
        <v/>
      </c>
    </row>
    <row r="3197" customFormat="false" ht="15" hidden="false" customHeight="false" outlineLevel="0" collapsed="false">
      <c r="V3197" s="23" t="str">
        <f aca="false">IF(ISNUMBER(C3197),YEAR(C3197),"")</f>
        <v/>
      </c>
      <c r="W3197" s="23" t="str">
        <f aca="false">IF(ISNUMBER(C3197),MONTH(C3197),"")</f>
        <v/>
      </c>
      <c r="X3197" s="23" t="str">
        <f aca="false">IF(T3197="","",IF(T3197=0,"No discount",IF(T3197&lt;=0.2,"Low (1-20%)",IF(T3197&lt;=0.4,"Medium (21-40%)","High (&gt;40%)"))))</f>
        <v/>
      </c>
      <c r="Y3197" s="23" t="str">
        <f aca="false">IF(AND(ISNUMBER(C3197),ISNUMBER(D3197)),D3197-C3197,"")</f>
        <v/>
      </c>
      <c r="Z3197" s="23" t="str">
        <f aca="false">IF(B3197="","",IF(MATCH(B3197,$B$2:$B$12000,0)=ROW()-1,1,0))</f>
        <v/>
      </c>
    </row>
    <row r="3198" customFormat="false" ht="15" hidden="false" customHeight="false" outlineLevel="0" collapsed="false">
      <c r="V3198" s="23" t="str">
        <f aca="false">IF(ISNUMBER(C3198),YEAR(C3198),"")</f>
        <v/>
      </c>
      <c r="W3198" s="23" t="str">
        <f aca="false">IF(ISNUMBER(C3198),MONTH(C3198),"")</f>
        <v/>
      </c>
      <c r="X3198" s="23" t="str">
        <f aca="false">IF(T3198="","",IF(T3198=0,"No discount",IF(T3198&lt;=0.2,"Low (1-20%)",IF(T3198&lt;=0.4,"Medium (21-40%)","High (&gt;40%)"))))</f>
        <v/>
      </c>
      <c r="Y3198" s="23" t="str">
        <f aca="false">IF(AND(ISNUMBER(C3198),ISNUMBER(D3198)),D3198-C3198,"")</f>
        <v/>
      </c>
      <c r="Z3198" s="23" t="str">
        <f aca="false">IF(B3198="","",IF(MATCH(B3198,$B$2:$B$12000,0)=ROW()-1,1,0))</f>
        <v/>
      </c>
    </row>
    <row r="3199" customFormat="false" ht="15" hidden="false" customHeight="false" outlineLevel="0" collapsed="false">
      <c r="V3199" s="23" t="str">
        <f aca="false">IF(ISNUMBER(C3199),YEAR(C3199),"")</f>
        <v/>
      </c>
      <c r="W3199" s="23" t="str">
        <f aca="false">IF(ISNUMBER(C3199),MONTH(C3199),"")</f>
        <v/>
      </c>
      <c r="X3199" s="23" t="str">
        <f aca="false">IF(T3199="","",IF(T3199=0,"No discount",IF(T3199&lt;=0.2,"Low (1-20%)",IF(T3199&lt;=0.4,"Medium (21-40%)","High (&gt;40%)"))))</f>
        <v/>
      </c>
      <c r="Y3199" s="23" t="str">
        <f aca="false">IF(AND(ISNUMBER(C3199),ISNUMBER(D3199)),D3199-C3199,"")</f>
        <v/>
      </c>
      <c r="Z3199" s="23" t="str">
        <f aca="false">IF(B3199="","",IF(MATCH(B3199,$B$2:$B$12000,0)=ROW()-1,1,0))</f>
        <v/>
      </c>
    </row>
    <row r="3200" customFormat="false" ht="15" hidden="false" customHeight="false" outlineLevel="0" collapsed="false">
      <c r="V3200" s="23" t="str">
        <f aca="false">IF(ISNUMBER(C3200),YEAR(C3200),"")</f>
        <v/>
      </c>
      <c r="W3200" s="23" t="str">
        <f aca="false">IF(ISNUMBER(C3200),MONTH(C3200),"")</f>
        <v/>
      </c>
      <c r="X3200" s="23" t="str">
        <f aca="false">IF(T3200="","",IF(T3200=0,"No discount",IF(T3200&lt;=0.2,"Low (1-20%)",IF(T3200&lt;=0.4,"Medium (21-40%)","High (&gt;40%)"))))</f>
        <v/>
      </c>
      <c r="Y3200" s="23" t="str">
        <f aca="false">IF(AND(ISNUMBER(C3200),ISNUMBER(D3200)),D3200-C3200,"")</f>
        <v/>
      </c>
      <c r="Z3200" s="23" t="str">
        <f aca="false">IF(B3200="","",IF(MATCH(B3200,$B$2:$B$12000,0)=ROW()-1,1,0))</f>
        <v/>
      </c>
    </row>
    <row r="3201" customFormat="false" ht="15" hidden="false" customHeight="false" outlineLevel="0" collapsed="false">
      <c r="V3201" s="23" t="str">
        <f aca="false">IF(ISNUMBER(C3201),YEAR(C3201),"")</f>
        <v/>
      </c>
      <c r="W3201" s="23" t="str">
        <f aca="false">IF(ISNUMBER(C3201),MONTH(C3201),"")</f>
        <v/>
      </c>
      <c r="X3201" s="23" t="str">
        <f aca="false">IF(T3201="","",IF(T3201=0,"No discount",IF(T3201&lt;=0.2,"Low (1-20%)",IF(T3201&lt;=0.4,"Medium (21-40%)","High (&gt;40%)"))))</f>
        <v/>
      </c>
      <c r="Y3201" s="23" t="str">
        <f aca="false">IF(AND(ISNUMBER(C3201),ISNUMBER(D3201)),D3201-C3201,"")</f>
        <v/>
      </c>
      <c r="Z3201" s="23" t="str">
        <f aca="false">IF(B3201="","",IF(MATCH(B3201,$B$2:$B$12000,0)=ROW()-1,1,0))</f>
        <v/>
      </c>
    </row>
    <row r="3202" customFormat="false" ht="15" hidden="false" customHeight="false" outlineLevel="0" collapsed="false">
      <c r="V3202" s="23" t="str">
        <f aca="false">IF(ISNUMBER(C3202),YEAR(C3202),"")</f>
        <v/>
      </c>
      <c r="W3202" s="23" t="str">
        <f aca="false">IF(ISNUMBER(C3202),MONTH(C3202),"")</f>
        <v/>
      </c>
      <c r="X3202" s="23" t="str">
        <f aca="false">IF(T3202="","",IF(T3202=0,"No discount",IF(T3202&lt;=0.2,"Low (1-20%)",IF(T3202&lt;=0.4,"Medium (21-40%)","High (&gt;40%)"))))</f>
        <v/>
      </c>
      <c r="Y3202" s="23" t="str">
        <f aca="false">IF(AND(ISNUMBER(C3202),ISNUMBER(D3202)),D3202-C3202,"")</f>
        <v/>
      </c>
      <c r="Z3202" s="23" t="str">
        <f aca="false">IF(B3202="","",IF(MATCH(B3202,$B$2:$B$12000,0)=ROW()-1,1,0))</f>
        <v/>
      </c>
    </row>
    <row r="3203" customFormat="false" ht="15" hidden="false" customHeight="false" outlineLevel="0" collapsed="false">
      <c r="V3203" s="23" t="str">
        <f aca="false">IF(ISNUMBER(C3203),YEAR(C3203),"")</f>
        <v/>
      </c>
      <c r="W3203" s="23" t="str">
        <f aca="false">IF(ISNUMBER(C3203),MONTH(C3203),"")</f>
        <v/>
      </c>
      <c r="X3203" s="23" t="str">
        <f aca="false">IF(T3203="","",IF(T3203=0,"No discount",IF(T3203&lt;=0.2,"Low (1-20%)",IF(T3203&lt;=0.4,"Medium (21-40%)","High (&gt;40%)"))))</f>
        <v/>
      </c>
      <c r="Y3203" s="23" t="str">
        <f aca="false">IF(AND(ISNUMBER(C3203),ISNUMBER(D3203)),D3203-C3203,"")</f>
        <v/>
      </c>
      <c r="Z3203" s="23" t="str">
        <f aca="false">IF(B3203="","",IF(MATCH(B3203,$B$2:$B$12000,0)=ROW()-1,1,0))</f>
        <v/>
      </c>
    </row>
    <row r="3204" customFormat="false" ht="15" hidden="false" customHeight="false" outlineLevel="0" collapsed="false">
      <c r="V3204" s="23" t="str">
        <f aca="false">IF(ISNUMBER(C3204),YEAR(C3204),"")</f>
        <v/>
      </c>
      <c r="W3204" s="23" t="str">
        <f aca="false">IF(ISNUMBER(C3204),MONTH(C3204),"")</f>
        <v/>
      </c>
      <c r="X3204" s="23" t="str">
        <f aca="false">IF(T3204="","",IF(T3204=0,"No discount",IF(T3204&lt;=0.2,"Low (1-20%)",IF(T3204&lt;=0.4,"Medium (21-40%)","High (&gt;40%)"))))</f>
        <v/>
      </c>
      <c r="Y3204" s="23" t="str">
        <f aca="false">IF(AND(ISNUMBER(C3204),ISNUMBER(D3204)),D3204-C3204,"")</f>
        <v/>
      </c>
      <c r="Z3204" s="23" t="str">
        <f aca="false">IF(B3204="","",IF(MATCH(B3204,$B$2:$B$12000,0)=ROW()-1,1,0))</f>
        <v/>
      </c>
    </row>
    <row r="3205" customFormat="false" ht="15" hidden="false" customHeight="false" outlineLevel="0" collapsed="false">
      <c r="V3205" s="23" t="str">
        <f aca="false">IF(ISNUMBER(C3205),YEAR(C3205),"")</f>
        <v/>
      </c>
      <c r="W3205" s="23" t="str">
        <f aca="false">IF(ISNUMBER(C3205),MONTH(C3205),"")</f>
        <v/>
      </c>
      <c r="X3205" s="23" t="str">
        <f aca="false">IF(T3205="","",IF(T3205=0,"No discount",IF(T3205&lt;=0.2,"Low (1-20%)",IF(T3205&lt;=0.4,"Medium (21-40%)","High (&gt;40%)"))))</f>
        <v/>
      </c>
      <c r="Y3205" s="23" t="str">
        <f aca="false">IF(AND(ISNUMBER(C3205),ISNUMBER(D3205)),D3205-C3205,"")</f>
        <v/>
      </c>
      <c r="Z3205" s="23" t="str">
        <f aca="false">IF(B3205="","",IF(MATCH(B3205,$B$2:$B$12000,0)=ROW()-1,1,0))</f>
        <v/>
      </c>
    </row>
    <row r="3206" customFormat="false" ht="15" hidden="false" customHeight="false" outlineLevel="0" collapsed="false">
      <c r="V3206" s="23" t="str">
        <f aca="false">IF(ISNUMBER(C3206),YEAR(C3206),"")</f>
        <v/>
      </c>
      <c r="W3206" s="23" t="str">
        <f aca="false">IF(ISNUMBER(C3206),MONTH(C3206),"")</f>
        <v/>
      </c>
      <c r="X3206" s="23" t="str">
        <f aca="false">IF(T3206="","",IF(T3206=0,"No discount",IF(T3206&lt;=0.2,"Low (1-20%)",IF(T3206&lt;=0.4,"Medium (21-40%)","High (&gt;40%)"))))</f>
        <v/>
      </c>
      <c r="Y3206" s="23" t="str">
        <f aca="false">IF(AND(ISNUMBER(C3206),ISNUMBER(D3206)),D3206-C3206,"")</f>
        <v/>
      </c>
      <c r="Z3206" s="23" t="str">
        <f aca="false">IF(B3206="","",IF(MATCH(B3206,$B$2:$B$12000,0)=ROW()-1,1,0))</f>
        <v/>
      </c>
    </row>
    <row r="3207" customFormat="false" ht="15" hidden="false" customHeight="false" outlineLevel="0" collapsed="false">
      <c r="V3207" s="23" t="str">
        <f aca="false">IF(ISNUMBER(C3207),YEAR(C3207),"")</f>
        <v/>
      </c>
      <c r="W3207" s="23" t="str">
        <f aca="false">IF(ISNUMBER(C3207),MONTH(C3207),"")</f>
        <v/>
      </c>
      <c r="X3207" s="23" t="str">
        <f aca="false">IF(T3207="","",IF(T3207=0,"No discount",IF(T3207&lt;=0.2,"Low (1-20%)",IF(T3207&lt;=0.4,"Medium (21-40%)","High (&gt;40%)"))))</f>
        <v/>
      </c>
      <c r="Y3207" s="23" t="str">
        <f aca="false">IF(AND(ISNUMBER(C3207),ISNUMBER(D3207)),D3207-C3207,"")</f>
        <v/>
      </c>
      <c r="Z3207" s="23" t="str">
        <f aca="false">IF(B3207="","",IF(MATCH(B3207,$B$2:$B$12000,0)=ROW()-1,1,0))</f>
        <v/>
      </c>
    </row>
    <row r="3208" customFormat="false" ht="15" hidden="false" customHeight="false" outlineLevel="0" collapsed="false">
      <c r="V3208" s="23" t="str">
        <f aca="false">IF(ISNUMBER(C3208),YEAR(C3208),"")</f>
        <v/>
      </c>
      <c r="W3208" s="23" t="str">
        <f aca="false">IF(ISNUMBER(C3208),MONTH(C3208),"")</f>
        <v/>
      </c>
      <c r="X3208" s="23" t="str">
        <f aca="false">IF(T3208="","",IF(T3208=0,"No discount",IF(T3208&lt;=0.2,"Low (1-20%)",IF(T3208&lt;=0.4,"Medium (21-40%)","High (&gt;40%)"))))</f>
        <v/>
      </c>
      <c r="Y3208" s="23" t="str">
        <f aca="false">IF(AND(ISNUMBER(C3208),ISNUMBER(D3208)),D3208-C3208,"")</f>
        <v/>
      </c>
      <c r="Z3208" s="23" t="str">
        <f aca="false">IF(B3208="","",IF(MATCH(B3208,$B$2:$B$12000,0)=ROW()-1,1,0))</f>
        <v/>
      </c>
    </row>
    <row r="3209" customFormat="false" ht="15" hidden="false" customHeight="false" outlineLevel="0" collapsed="false">
      <c r="V3209" s="23" t="str">
        <f aca="false">IF(ISNUMBER(C3209),YEAR(C3209),"")</f>
        <v/>
      </c>
      <c r="W3209" s="23" t="str">
        <f aca="false">IF(ISNUMBER(C3209),MONTH(C3209),"")</f>
        <v/>
      </c>
      <c r="X3209" s="23" t="str">
        <f aca="false">IF(T3209="","",IF(T3209=0,"No discount",IF(T3209&lt;=0.2,"Low (1-20%)",IF(T3209&lt;=0.4,"Medium (21-40%)","High (&gt;40%)"))))</f>
        <v/>
      </c>
      <c r="Y3209" s="23" t="str">
        <f aca="false">IF(AND(ISNUMBER(C3209),ISNUMBER(D3209)),D3209-C3209,"")</f>
        <v/>
      </c>
      <c r="Z3209" s="23" t="str">
        <f aca="false">IF(B3209="","",IF(MATCH(B3209,$B$2:$B$12000,0)=ROW()-1,1,0))</f>
        <v/>
      </c>
    </row>
    <row r="3210" customFormat="false" ht="15" hidden="false" customHeight="false" outlineLevel="0" collapsed="false">
      <c r="V3210" s="23" t="str">
        <f aca="false">IF(ISNUMBER(C3210),YEAR(C3210),"")</f>
        <v/>
      </c>
      <c r="W3210" s="23" t="str">
        <f aca="false">IF(ISNUMBER(C3210),MONTH(C3210),"")</f>
        <v/>
      </c>
      <c r="X3210" s="23" t="str">
        <f aca="false">IF(T3210="","",IF(T3210=0,"No discount",IF(T3210&lt;=0.2,"Low (1-20%)",IF(T3210&lt;=0.4,"Medium (21-40%)","High (&gt;40%)"))))</f>
        <v/>
      </c>
      <c r="Y3210" s="23" t="str">
        <f aca="false">IF(AND(ISNUMBER(C3210),ISNUMBER(D3210)),D3210-C3210,"")</f>
        <v/>
      </c>
      <c r="Z3210" s="23" t="str">
        <f aca="false">IF(B3210="","",IF(MATCH(B3210,$B$2:$B$12000,0)=ROW()-1,1,0))</f>
        <v/>
      </c>
    </row>
    <row r="3211" customFormat="false" ht="15" hidden="false" customHeight="false" outlineLevel="0" collapsed="false">
      <c r="V3211" s="23" t="str">
        <f aca="false">IF(ISNUMBER(C3211),YEAR(C3211),"")</f>
        <v/>
      </c>
      <c r="W3211" s="23" t="str">
        <f aca="false">IF(ISNUMBER(C3211),MONTH(C3211),"")</f>
        <v/>
      </c>
      <c r="X3211" s="23" t="str">
        <f aca="false">IF(T3211="","",IF(T3211=0,"No discount",IF(T3211&lt;=0.2,"Low (1-20%)",IF(T3211&lt;=0.4,"Medium (21-40%)","High (&gt;40%)"))))</f>
        <v/>
      </c>
      <c r="Y3211" s="23" t="str">
        <f aca="false">IF(AND(ISNUMBER(C3211),ISNUMBER(D3211)),D3211-C3211,"")</f>
        <v/>
      </c>
      <c r="Z3211" s="23" t="str">
        <f aca="false">IF(B3211="","",IF(MATCH(B3211,$B$2:$B$12000,0)=ROW()-1,1,0))</f>
        <v/>
      </c>
    </row>
    <row r="3212" customFormat="false" ht="15" hidden="false" customHeight="false" outlineLevel="0" collapsed="false">
      <c r="V3212" s="23" t="str">
        <f aca="false">IF(ISNUMBER(C3212),YEAR(C3212),"")</f>
        <v/>
      </c>
      <c r="W3212" s="23" t="str">
        <f aca="false">IF(ISNUMBER(C3212),MONTH(C3212),"")</f>
        <v/>
      </c>
      <c r="X3212" s="23" t="str">
        <f aca="false">IF(T3212="","",IF(T3212=0,"No discount",IF(T3212&lt;=0.2,"Low (1-20%)",IF(T3212&lt;=0.4,"Medium (21-40%)","High (&gt;40%)"))))</f>
        <v/>
      </c>
      <c r="Y3212" s="23" t="str">
        <f aca="false">IF(AND(ISNUMBER(C3212),ISNUMBER(D3212)),D3212-C3212,"")</f>
        <v/>
      </c>
      <c r="Z3212" s="23" t="str">
        <f aca="false">IF(B3212="","",IF(MATCH(B3212,$B$2:$B$12000,0)=ROW()-1,1,0))</f>
        <v/>
      </c>
    </row>
    <row r="3213" customFormat="false" ht="15" hidden="false" customHeight="false" outlineLevel="0" collapsed="false">
      <c r="V3213" s="23" t="str">
        <f aca="false">IF(ISNUMBER(C3213),YEAR(C3213),"")</f>
        <v/>
      </c>
      <c r="W3213" s="23" t="str">
        <f aca="false">IF(ISNUMBER(C3213),MONTH(C3213),"")</f>
        <v/>
      </c>
      <c r="X3213" s="23" t="str">
        <f aca="false">IF(T3213="","",IF(T3213=0,"No discount",IF(T3213&lt;=0.2,"Low (1-20%)",IF(T3213&lt;=0.4,"Medium (21-40%)","High (&gt;40%)"))))</f>
        <v/>
      </c>
      <c r="Y3213" s="23" t="str">
        <f aca="false">IF(AND(ISNUMBER(C3213),ISNUMBER(D3213)),D3213-C3213,"")</f>
        <v/>
      </c>
      <c r="Z3213" s="23" t="str">
        <f aca="false">IF(B3213="","",IF(MATCH(B3213,$B$2:$B$12000,0)=ROW()-1,1,0))</f>
        <v/>
      </c>
    </row>
    <row r="3214" customFormat="false" ht="15" hidden="false" customHeight="false" outlineLevel="0" collapsed="false">
      <c r="V3214" s="23" t="str">
        <f aca="false">IF(ISNUMBER(C3214),YEAR(C3214),"")</f>
        <v/>
      </c>
      <c r="W3214" s="23" t="str">
        <f aca="false">IF(ISNUMBER(C3214),MONTH(C3214),"")</f>
        <v/>
      </c>
      <c r="X3214" s="23" t="str">
        <f aca="false">IF(T3214="","",IF(T3214=0,"No discount",IF(T3214&lt;=0.2,"Low (1-20%)",IF(T3214&lt;=0.4,"Medium (21-40%)","High (&gt;40%)"))))</f>
        <v/>
      </c>
      <c r="Y3214" s="23" t="str">
        <f aca="false">IF(AND(ISNUMBER(C3214),ISNUMBER(D3214)),D3214-C3214,"")</f>
        <v/>
      </c>
      <c r="Z3214" s="23" t="str">
        <f aca="false">IF(B3214="","",IF(MATCH(B3214,$B$2:$B$12000,0)=ROW()-1,1,0))</f>
        <v/>
      </c>
    </row>
    <row r="3215" customFormat="false" ht="15" hidden="false" customHeight="false" outlineLevel="0" collapsed="false">
      <c r="V3215" s="23" t="str">
        <f aca="false">IF(ISNUMBER(C3215),YEAR(C3215),"")</f>
        <v/>
      </c>
      <c r="W3215" s="23" t="str">
        <f aca="false">IF(ISNUMBER(C3215),MONTH(C3215),"")</f>
        <v/>
      </c>
      <c r="X3215" s="23" t="str">
        <f aca="false">IF(T3215="","",IF(T3215=0,"No discount",IF(T3215&lt;=0.2,"Low (1-20%)",IF(T3215&lt;=0.4,"Medium (21-40%)","High (&gt;40%)"))))</f>
        <v/>
      </c>
      <c r="Y3215" s="23" t="str">
        <f aca="false">IF(AND(ISNUMBER(C3215),ISNUMBER(D3215)),D3215-C3215,"")</f>
        <v/>
      </c>
      <c r="Z3215" s="23" t="str">
        <f aca="false">IF(B3215="","",IF(MATCH(B3215,$B$2:$B$12000,0)=ROW()-1,1,0))</f>
        <v/>
      </c>
    </row>
    <row r="3216" customFormat="false" ht="15" hidden="false" customHeight="false" outlineLevel="0" collapsed="false">
      <c r="V3216" s="23" t="str">
        <f aca="false">IF(ISNUMBER(C3216),YEAR(C3216),"")</f>
        <v/>
      </c>
      <c r="W3216" s="23" t="str">
        <f aca="false">IF(ISNUMBER(C3216),MONTH(C3216),"")</f>
        <v/>
      </c>
      <c r="X3216" s="23" t="str">
        <f aca="false">IF(T3216="","",IF(T3216=0,"No discount",IF(T3216&lt;=0.2,"Low (1-20%)",IF(T3216&lt;=0.4,"Medium (21-40%)","High (&gt;40%)"))))</f>
        <v/>
      </c>
      <c r="Y3216" s="23" t="str">
        <f aca="false">IF(AND(ISNUMBER(C3216),ISNUMBER(D3216)),D3216-C3216,"")</f>
        <v/>
      </c>
      <c r="Z3216" s="23" t="str">
        <f aca="false">IF(B3216="","",IF(MATCH(B3216,$B$2:$B$12000,0)=ROW()-1,1,0))</f>
        <v/>
      </c>
    </row>
    <row r="3217" customFormat="false" ht="15" hidden="false" customHeight="false" outlineLevel="0" collapsed="false">
      <c r="V3217" s="23" t="str">
        <f aca="false">IF(ISNUMBER(C3217),YEAR(C3217),"")</f>
        <v/>
      </c>
      <c r="W3217" s="23" t="str">
        <f aca="false">IF(ISNUMBER(C3217),MONTH(C3217),"")</f>
        <v/>
      </c>
      <c r="X3217" s="23" t="str">
        <f aca="false">IF(T3217="","",IF(T3217=0,"No discount",IF(T3217&lt;=0.2,"Low (1-20%)",IF(T3217&lt;=0.4,"Medium (21-40%)","High (&gt;40%)"))))</f>
        <v/>
      </c>
      <c r="Y3217" s="23" t="str">
        <f aca="false">IF(AND(ISNUMBER(C3217),ISNUMBER(D3217)),D3217-C3217,"")</f>
        <v/>
      </c>
      <c r="Z3217" s="23" t="str">
        <f aca="false">IF(B3217="","",IF(MATCH(B3217,$B$2:$B$12000,0)=ROW()-1,1,0))</f>
        <v/>
      </c>
    </row>
    <row r="3218" customFormat="false" ht="15" hidden="false" customHeight="false" outlineLevel="0" collapsed="false">
      <c r="V3218" s="23" t="str">
        <f aca="false">IF(ISNUMBER(C3218),YEAR(C3218),"")</f>
        <v/>
      </c>
      <c r="W3218" s="23" t="str">
        <f aca="false">IF(ISNUMBER(C3218),MONTH(C3218),"")</f>
        <v/>
      </c>
      <c r="X3218" s="23" t="str">
        <f aca="false">IF(T3218="","",IF(T3218=0,"No discount",IF(T3218&lt;=0.2,"Low (1-20%)",IF(T3218&lt;=0.4,"Medium (21-40%)","High (&gt;40%)"))))</f>
        <v/>
      </c>
      <c r="Y3218" s="23" t="str">
        <f aca="false">IF(AND(ISNUMBER(C3218),ISNUMBER(D3218)),D3218-C3218,"")</f>
        <v/>
      </c>
      <c r="Z3218" s="23" t="str">
        <f aca="false">IF(B3218="","",IF(MATCH(B3218,$B$2:$B$12000,0)=ROW()-1,1,0))</f>
        <v/>
      </c>
    </row>
    <row r="3219" customFormat="false" ht="15" hidden="false" customHeight="false" outlineLevel="0" collapsed="false">
      <c r="V3219" s="23" t="str">
        <f aca="false">IF(ISNUMBER(C3219),YEAR(C3219),"")</f>
        <v/>
      </c>
      <c r="W3219" s="23" t="str">
        <f aca="false">IF(ISNUMBER(C3219),MONTH(C3219),"")</f>
        <v/>
      </c>
      <c r="X3219" s="23" t="str">
        <f aca="false">IF(T3219="","",IF(T3219=0,"No discount",IF(T3219&lt;=0.2,"Low (1-20%)",IF(T3219&lt;=0.4,"Medium (21-40%)","High (&gt;40%)"))))</f>
        <v/>
      </c>
      <c r="Y3219" s="23" t="str">
        <f aca="false">IF(AND(ISNUMBER(C3219),ISNUMBER(D3219)),D3219-C3219,"")</f>
        <v/>
      </c>
      <c r="Z3219" s="23" t="str">
        <f aca="false">IF(B3219="","",IF(MATCH(B3219,$B$2:$B$12000,0)=ROW()-1,1,0))</f>
        <v/>
      </c>
    </row>
    <row r="3220" customFormat="false" ht="15" hidden="false" customHeight="false" outlineLevel="0" collapsed="false">
      <c r="V3220" s="23" t="str">
        <f aca="false">IF(ISNUMBER(C3220),YEAR(C3220),"")</f>
        <v/>
      </c>
      <c r="W3220" s="23" t="str">
        <f aca="false">IF(ISNUMBER(C3220),MONTH(C3220),"")</f>
        <v/>
      </c>
      <c r="X3220" s="23" t="str">
        <f aca="false">IF(T3220="","",IF(T3220=0,"No discount",IF(T3220&lt;=0.2,"Low (1-20%)",IF(T3220&lt;=0.4,"Medium (21-40%)","High (&gt;40%)"))))</f>
        <v/>
      </c>
      <c r="Y3220" s="23" t="str">
        <f aca="false">IF(AND(ISNUMBER(C3220),ISNUMBER(D3220)),D3220-C3220,"")</f>
        <v/>
      </c>
      <c r="Z3220" s="23" t="str">
        <f aca="false">IF(B3220="","",IF(MATCH(B3220,$B$2:$B$12000,0)=ROW()-1,1,0))</f>
        <v/>
      </c>
    </row>
    <row r="3221" customFormat="false" ht="15" hidden="false" customHeight="false" outlineLevel="0" collapsed="false">
      <c r="V3221" s="23" t="str">
        <f aca="false">IF(ISNUMBER(C3221),YEAR(C3221),"")</f>
        <v/>
      </c>
      <c r="W3221" s="23" t="str">
        <f aca="false">IF(ISNUMBER(C3221),MONTH(C3221),"")</f>
        <v/>
      </c>
      <c r="X3221" s="23" t="str">
        <f aca="false">IF(T3221="","",IF(T3221=0,"No discount",IF(T3221&lt;=0.2,"Low (1-20%)",IF(T3221&lt;=0.4,"Medium (21-40%)","High (&gt;40%)"))))</f>
        <v/>
      </c>
      <c r="Y3221" s="23" t="str">
        <f aca="false">IF(AND(ISNUMBER(C3221),ISNUMBER(D3221)),D3221-C3221,"")</f>
        <v/>
      </c>
      <c r="Z3221" s="23" t="str">
        <f aca="false">IF(B3221="","",IF(MATCH(B3221,$B$2:$B$12000,0)=ROW()-1,1,0))</f>
        <v/>
      </c>
    </row>
    <row r="3222" customFormat="false" ht="15" hidden="false" customHeight="false" outlineLevel="0" collapsed="false">
      <c r="V3222" s="23" t="str">
        <f aca="false">IF(ISNUMBER(C3222),YEAR(C3222),"")</f>
        <v/>
      </c>
      <c r="W3222" s="23" t="str">
        <f aca="false">IF(ISNUMBER(C3222),MONTH(C3222),"")</f>
        <v/>
      </c>
      <c r="X3222" s="23" t="str">
        <f aca="false">IF(T3222="","",IF(T3222=0,"No discount",IF(T3222&lt;=0.2,"Low (1-20%)",IF(T3222&lt;=0.4,"Medium (21-40%)","High (&gt;40%)"))))</f>
        <v/>
      </c>
      <c r="Y3222" s="23" t="str">
        <f aca="false">IF(AND(ISNUMBER(C3222),ISNUMBER(D3222)),D3222-C3222,"")</f>
        <v/>
      </c>
      <c r="Z3222" s="23" t="str">
        <f aca="false">IF(B3222="","",IF(MATCH(B3222,$B$2:$B$12000,0)=ROW()-1,1,0))</f>
        <v/>
      </c>
    </row>
    <row r="3223" customFormat="false" ht="15" hidden="false" customHeight="false" outlineLevel="0" collapsed="false">
      <c r="V3223" s="23" t="str">
        <f aca="false">IF(ISNUMBER(C3223),YEAR(C3223),"")</f>
        <v/>
      </c>
      <c r="W3223" s="23" t="str">
        <f aca="false">IF(ISNUMBER(C3223),MONTH(C3223),"")</f>
        <v/>
      </c>
      <c r="X3223" s="23" t="str">
        <f aca="false">IF(T3223="","",IF(T3223=0,"No discount",IF(T3223&lt;=0.2,"Low (1-20%)",IF(T3223&lt;=0.4,"Medium (21-40%)","High (&gt;40%)"))))</f>
        <v/>
      </c>
      <c r="Y3223" s="23" t="str">
        <f aca="false">IF(AND(ISNUMBER(C3223),ISNUMBER(D3223)),D3223-C3223,"")</f>
        <v/>
      </c>
      <c r="Z3223" s="23" t="str">
        <f aca="false">IF(B3223="","",IF(MATCH(B3223,$B$2:$B$12000,0)=ROW()-1,1,0))</f>
        <v/>
      </c>
    </row>
    <row r="3224" customFormat="false" ht="15" hidden="false" customHeight="false" outlineLevel="0" collapsed="false">
      <c r="V3224" s="23" t="str">
        <f aca="false">IF(ISNUMBER(C3224),YEAR(C3224),"")</f>
        <v/>
      </c>
      <c r="W3224" s="23" t="str">
        <f aca="false">IF(ISNUMBER(C3224),MONTH(C3224),"")</f>
        <v/>
      </c>
      <c r="X3224" s="23" t="str">
        <f aca="false">IF(T3224="","",IF(T3224=0,"No discount",IF(T3224&lt;=0.2,"Low (1-20%)",IF(T3224&lt;=0.4,"Medium (21-40%)","High (&gt;40%)"))))</f>
        <v/>
      </c>
      <c r="Y3224" s="23" t="str">
        <f aca="false">IF(AND(ISNUMBER(C3224),ISNUMBER(D3224)),D3224-C3224,"")</f>
        <v/>
      </c>
      <c r="Z3224" s="23" t="str">
        <f aca="false">IF(B3224="","",IF(MATCH(B3224,$B$2:$B$12000,0)=ROW()-1,1,0))</f>
        <v/>
      </c>
    </row>
    <row r="3225" customFormat="false" ht="15" hidden="false" customHeight="false" outlineLevel="0" collapsed="false">
      <c r="V3225" s="23" t="str">
        <f aca="false">IF(ISNUMBER(C3225),YEAR(C3225),"")</f>
        <v/>
      </c>
      <c r="W3225" s="23" t="str">
        <f aca="false">IF(ISNUMBER(C3225),MONTH(C3225),"")</f>
        <v/>
      </c>
      <c r="X3225" s="23" t="str">
        <f aca="false">IF(T3225="","",IF(T3225=0,"No discount",IF(T3225&lt;=0.2,"Low (1-20%)",IF(T3225&lt;=0.4,"Medium (21-40%)","High (&gt;40%)"))))</f>
        <v/>
      </c>
      <c r="Y3225" s="23" t="str">
        <f aca="false">IF(AND(ISNUMBER(C3225),ISNUMBER(D3225)),D3225-C3225,"")</f>
        <v/>
      </c>
      <c r="Z3225" s="23" t="str">
        <f aca="false">IF(B3225="","",IF(MATCH(B3225,$B$2:$B$12000,0)=ROW()-1,1,0))</f>
        <v/>
      </c>
    </row>
    <row r="3226" customFormat="false" ht="15" hidden="false" customHeight="false" outlineLevel="0" collapsed="false">
      <c r="V3226" s="23" t="str">
        <f aca="false">IF(ISNUMBER(C3226),YEAR(C3226),"")</f>
        <v/>
      </c>
      <c r="W3226" s="23" t="str">
        <f aca="false">IF(ISNUMBER(C3226),MONTH(C3226),"")</f>
        <v/>
      </c>
      <c r="X3226" s="23" t="str">
        <f aca="false">IF(T3226="","",IF(T3226=0,"No discount",IF(T3226&lt;=0.2,"Low (1-20%)",IF(T3226&lt;=0.4,"Medium (21-40%)","High (&gt;40%)"))))</f>
        <v/>
      </c>
      <c r="Y3226" s="23" t="str">
        <f aca="false">IF(AND(ISNUMBER(C3226),ISNUMBER(D3226)),D3226-C3226,"")</f>
        <v/>
      </c>
      <c r="Z3226" s="23" t="str">
        <f aca="false">IF(B3226="","",IF(MATCH(B3226,$B$2:$B$12000,0)=ROW()-1,1,0))</f>
        <v/>
      </c>
    </row>
    <row r="3227" customFormat="false" ht="15" hidden="false" customHeight="false" outlineLevel="0" collapsed="false">
      <c r="V3227" s="23" t="str">
        <f aca="false">IF(ISNUMBER(C3227),YEAR(C3227),"")</f>
        <v/>
      </c>
      <c r="W3227" s="23" t="str">
        <f aca="false">IF(ISNUMBER(C3227),MONTH(C3227),"")</f>
        <v/>
      </c>
      <c r="X3227" s="23" t="str">
        <f aca="false">IF(T3227="","",IF(T3227=0,"No discount",IF(T3227&lt;=0.2,"Low (1-20%)",IF(T3227&lt;=0.4,"Medium (21-40%)","High (&gt;40%)"))))</f>
        <v/>
      </c>
      <c r="Y3227" s="23" t="str">
        <f aca="false">IF(AND(ISNUMBER(C3227),ISNUMBER(D3227)),D3227-C3227,"")</f>
        <v/>
      </c>
      <c r="Z3227" s="23" t="str">
        <f aca="false">IF(B3227="","",IF(MATCH(B3227,$B$2:$B$12000,0)=ROW()-1,1,0))</f>
        <v/>
      </c>
    </row>
    <row r="3228" customFormat="false" ht="15" hidden="false" customHeight="false" outlineLevel="0" collapsed="false">
      <c r="V3228" s="23" t="str">
        <f aca="false">IF(ISNUMBER(C3228),YEAR(C3228),"")</f>
        <v/>
      </c>
      <c r="W3228" s="23" t="str">
        <f aca="false">IF(ISNUMBER(C3228),MONTH(C3228),"")</f>
        <v/>
      </c>
      <c r="X3228" s="23" t="str">
        <f aca="false">IF(T3228="","",IF(T3228=0,"No discount",IF(T3228&lt;=0.2,"Low (1-20%)",IF(T3228&lt;=0.4,"Medium (21-40%)","High (&gt;40%)"))))</f>
        <v/>
      </c>
      <c r="Y3228" s="23" t="str">
        <f aca="false">IF(AND(ISNUMBER(C3228),ISNUMBER(D3228)),D3228-C3228,"")</f>
        <v/>
      </c>
      <c r="Z3228" s="23" t="str">
        <f aca="false">IF(B3228="","",IF(MATCH(B3228,$B$2:$B$12000,0)=ROW()-1,1,0))</f>
        <v/>
      </c>
    </row>
    <row r="3229" customFormat="false" ht="15" hidden="false" customHeight="false" outlineLevel="0" collapsed="false">
      <c r="V3229" s="23" t="str">
        <f aca="false">IF(ISNUMBER(C3229),YEAR(C3229),"")</f>
        <v/>
      </c>
      <c r="W3229" s="23" t="str">
        <f aca="false">IF(ISNUMBER(C3229),MONTH(C3229),"")</f>
        <v/>
      </c>
      <c r="X3229" s="23" t="str">
        <f aca="false">IF(T3229="","",IF(T3229=0,"No discount",IF(T3229&lt;=0.2,"Low (1-20%)",IF(T3229&lt;=0.4,"Medium (21-40%)","High (&gt;40%)"))))</f>
        <v/>
      </c>
      <c r="Y3229" s="23" t="str">
        <f aca="false">IF(AND(ISNUMBER(C3229),ISNUMBER(D3229)),D3229-C3229,"")</f>
        <v/>
      </c>
      <c r="Z3229" s="23" t="str">
        <f aca="false">IF(B3229="","",IF(MATCH(B3229,$B$2:$B$12000,0)=ROW()-1,1,0))</f>
        <v/>
      </c>
    </row>
    <row r="3230" customFormat="false" ht="15" hidden="false" customHeight="false" outlineLevel="0" collapsed="false">
      <c r="V3230" s="23" t="str">
        <f aca="false">IF(ISNUMBER(C3230),YEAR(C3230),"")</f>
        <v/>
      </c>
      <c r="W3230" s="23" t="str">
        <f aca="false">IF(ISNUMBER(C3230),MONTH(C3230),"")</f>
        <v/>
      </c>
      <c r="X3230" s="23" t="str">
        <f aca="false">IF(T3230="","",IF(T3230=0,"No discount",IF(T3230&lt;=0.2,"Low (1-20%)",IF(T3230&lt;=0.4,"Medium (21-40%)","High (&gt;40%)"))))</f>
        <v/>
      </c>
      <c r="Y3230" s="23" t="str">
        <f aca="false">IF(AND(ISNUMBER(C3230),ISNUMBER(D3230)),D3230-C3230,"")</f>
        <v/>
      </c>
      <c r="Z3230" s="23" t="str">
        <f aca="false">IF(B3230="","",IF(MATCH(B3230,$B$2:$B$12000,0)=ROW()-1,1,0))</f>
        <v/>
      </c>
    </row>
    <row r="3231" customFormat="false" ht="15" hidden="false" customHeight="false" outlineLevel="0" collapsed="false">
      <c r="V3231" s="23" t="str">
        <f aca="false">IF(ISNUMBER(C3231),YEAR(C3231),"")</f>
        <v/>
      </c>
      <c r="W3231" s="23" t="str">
        <f aca="false">IF(ISNUMBER(C3231),MONTH(C3231),"")</f>
        <v/>
      </c>
      <c r="X3231" s="23" t="str">
        <f aca="false">IF(T3231="","",IF(T3231=0,"No discount",IF(T3231&lt;=0.2,"Low (1-20%)",IF(T3231&lt;=0.4,"Medium (21-40%)","High (&gt;40%)"))))</f>
        <v/>
      </c>
      <c r="Y3231" s="23" t="str">
        <f aca="false">IF(AND(ISNUMBER(C3231),ISNUMBER(D3231)),D3231-C3231,"")</f>
        <v/>
      </c>
      <c r="Z3231" s="23" t="str">
        <f aca="false">IF(B3231="","",IF(MATCH(B3231,$B$2:$B$12000,0)=ROW()-1,1,0))</f>
        <v/>
      </c>
    </row>
    <row r="3232" customFormat="false" ht="15" hidden="false" customHeight="false" outlineLevel="0" collapsed="false">
      <c r="V3232" s="23" t="str">
        <f aca="false">IF(ISNUMBER(C3232),YEAR(C3232),"")</f>
        <v/>
      </c>
      <c r="W3232" s="23" t="str">
        <f aca="false">IF(ISNUMBER(C3232),MONTH(C3232),"")</f>
        <v/>
      </c>
      <c r="X3232" s="23" t="str">
        <f aca="false">IF(T3232="","",IF(T3232=0,"No discount",IF(T3232&lt;=0.2,"Low (1-20%)",IF(T3232&lt;=0.4,"Medium (21-40%)","High (&gt;40%)"))))</f>
        <v/>
      </c>
      <c r="Y3232" s="23" t="str">
        <f aca="false">IF(AND(ISNUMBER(C3232),ISNUMBER(D3232)),D3232-C3232,"")</f>
        <v/>
      </c>
      <c r="Z3232" s="23" t="str">
        <f aca="false">IF(B3232="","",IF(MATCH(B3232,$B$2:$B$12000,0)=ROW()-1,1,0))</f>
        <v/>
      </c>
    </row>
    <row r="3233" customFormat="false" ht="15" hidden="false" customHeight="false" outlineLevel="0" collapsed="false">
      <c r="V3233" s="23" t="str">
        <f aca="false">IF(ISNUMBER(C3233),YEAR(C3233),"")</f>
        <v/>
      </c>
      <c r="W3233" s="23" t="str">
        <f aca="false">IF(ISNUMBER(C3233),MONTH(C3233),"")</f>
        <v/>
      </c>
      <c r="X3233" s="23" t="str">
        <f aca="false">IF(T3233="","",IF(T3233=0,"No discount",IF(T3233&lt;=0.2,"Low (1-20%)",IF(T3233&lt;=0.4,"Medium (21-40%)","High (&gt;40%)"))))</f>
        <v/>
      </c>
      <c r="Y3233" s="23" t="str">
        <f aca="false">IF(AND(ISNUMBER(C3233),ISNUMBER(D3233)),D3233-C3233,"")</f>
        <v/>
      </c>
      <c r="Z3233" s="23" t="str">
        <f aca="false">IF(B3233="","",IF(MATCH(B3233,$B$2:$B$12000,0)=ROW()-1,1,0))</f>
        <v/>
      </c>
    </row>
    <row r="3234" customFormat="false" ht="15" hidden="false" customHeight="false" outlineLevel="0" collapsed="false">
      <c r="V3234" s="23" t="str">
        <f aca="false">IF(ISNUMBER(C3234),YEAR(C3234),"")</f>
        <v/>
      </c>
      <c r="W3234" s="23" t="str">
        <f aca="false">IF(ISNUMBER(C3234),MONTH(C3234),"")</f>
        <v/>
      </c>
      <c r="X3234" s="23" t="str">
        <f aca="false">IF(T3234="","",IF(T3234=0,"No discount",IF(T3234&lt;=0.2,"Low (1-20%)",IF(T3234&lt;=0.4,"Medium (21-40%)","High (&gt;40%)"))))</f>
        <v/>
      </c>
      <c r="Y3234" s="23" t="str">
        <f aca="false">IF(AND(ISNUMBER(C3234),ISNUMBER(D3234)),D3234-C3234,"")</f>
        <v/>
      </c>
      <c r="Z3234" s="23" t="str">
        <f aca="false">IF(B3234="","",IF(MATCH(B3234,$B$2:$B$12000,0)=ROW()-1,1,0))</f>
        <v/>
      </c>
    </row>
    <row r="3235" customFormat="false" ht="15" hidden="false" customHeight="false" outlineLevel="0" collapsed="false">
      <c r="V3235" s="23" t="str">
        <f aca="false">IF(ISNUMBER(C3235),YEAR(C3235),"")</f>
        <v/>
      </c>
      <c r="W3235" s="23" t="str">
        <f aca="false">IF(ISNUMBER(C3235),MONTH(C3235),"")</f>
        <v/>
      </c>
      <c r="X3235" s="23" t="str">
        <f aca="false">IF(T3235="","",IF(T3235=0,"No discount",IF(T3235&lt;=0.2,"Low (1-20%)",IF(T3235&lt;=0.4,"Medium (21-40%)","High (&gt;40%)"))))</f>
        <v/>
      </c>
      <c r="Y3235" s="23" t="str">
        <f aca="false">IF(AND(ISNUMBER(C3235),ISNUMBER(D3235)),D3235-C3235,"")</f>
        <v/>
      </c>
      <c r="Z3235" s="23" t="str">
        <f aca="false">IF(B3235="","",IF(MATCH(B3235,$B$2:$B$12000,0)=ROW()-1,1,0))</f>
        <v/>
      </c>
    </row>
    <row r="3236" customFormat="false" ht="15" hidden="false" customHeight="false" outlineLevel="0" collapsed="false">
      <c r="V3236" s="23" t="str">
        <f aca="false">IF(ISNUMBER(C3236),YEAR(C3236),"")</f>
        <v/>
      </c>
      <c r="W3236" s="23" t="str">
        <f aca="false">IF(ISNUMBER(C3236),MONTH(C3236),"")</f>
        <v/>
      </c>
      <c r="X3236" s="23" t="str">
        <f aca="false">IF(T3236="","",IF(T3236=0,"No discount",IF(T3236&lt;=0.2,"Low (1-20%)",IF(T3236&lt;=0.4,"Medium (21-40%)","High (&gt;40%)"))))</f>
        <v/>
      </c>
      <c r="Y3236" s="23" t="str">
        <f aca="false">IF(AND(ISNUMBER(C3236),ISNUMBER(D3236)),D3236-C3236,"")</f>
        <v/>
      </c>
      <c r="Z3236" s="23" t="str">
        <f aca="false">IF(B3236="","",IF(MATCH(B3236,$B$2:$B$12000,0)=ROW()-1,1,0))</f>
        <v/>
      </c>
    </row>
    <row r="3237" customFormat="false" ht="15" hidden="false" customHeight="false" outlineLevel="0" collapsed="false">
      <c r="V3237" s="23" t="str">
        <f aca="false">IF(ISNUMBER(C3237),YEAR(C3237),"")</f>
        <v/>
      </c>
      <c r="W3237" s="23" t="str">
        <f aca="false">IF(ISNUMBER(C3237),MONTH(C3237),"")</f>
        <v/>
      </c>
      <c r="X3237" s="23" t="str">
        <f aca="false">IF(T3237="","",IF(T3237=0,"No discount",IF(T3237&lt;=0.2,"Low (1-20%)",IF(T3237&lt;=0.4,"Medium (21-40%)","High (&gt;40%)"))))</f>
        <v/>
      </c>
      <c r="Y3237" s="23" t="str">
        <f aca="false">IF(AND(ISNUMBER(C3237),ISNUMBER(D3237)),D3237-C3237,"")</f>
        <v/>
      </c>
      <c r="Z3237" s="23" t="str">
        <f aca="false">IF(B3237="","",IF(MATCH(B3237,$B$2:$B$12000,0)=ROW()-1,1,0))</f>
        <v/>
      </c>
    </row>
    <row r="3238" customFormat="false" ht="15" hidden="false" customHeight="false" outlineLevel="0" collapsed="false">
      <c r="V3238" s="23" t="str">
        <f aca="false">IF(ISNUMBER(C3238),YEAR(C3238),"")</f>
        <v/>
      </c>
      <c r="W3238" s="23" t="str">
        <f aca="false">IF(ISNUMBER(C3238),MONTH(C3238),"")</f>
        <v/>
      </c>
      <c r="X3238" s="23" t="str">
        <f aca="false">IF(T3238="","",IF(T3238=0,"No discount",IF(T3238&lt;=0.2,"Low (1-20%)",IF(T3238&lt;=0.4,"Medium (21-40%)","High (&gt;40%)"))))</f>
        <v/>
      </c>
      <c r="Y3238" s="23" t="str">
        <f aca="false">IF(AND(ISNUMBER(C3238),ISNUMBER(D3238)),D3238-C3238,"")</f>
        <v/>
      </c>
      <c r="Z3238" s="23" t="str">
        <f aca="false">IF(B3238="","",IF(MATCH(B3238,$B$2:$B$12000,0)=ROW()-1,1,0))</f>
        <v/>
      </c>
    </row>
    <row r="3239" customFormat="false" ht="15" hidden="false" customHeight="false" outlineLevel="0" collapsed="false">
      <c r="V3239" s="23" t="str">
        <f aca="false">IF(ISNUMBER(C3239),YEAR(C3239),"")</f>
        <v/>
      </c>
      <c r="W3239" s="23" t="str">
        <f aca="false">IF(ISNUMBER(C3239),MONTH(C3239),"")</f>
        <v/>
      </c>
      <c r="X3239" s="23" t="str">
        <f aca="false">IF(T3239="","",IF(T3239=0,"No discount",IF(T3239&lt;=0.2,"Low (1-20%)",IF(T3239&lt;=0.4,"Medium (21-40%)","High (&gt;40%)"))))</f>
        <v/>
      </c>
      <c r="Y3239" s="23" t="str">
        <f aca="false">IF(AND(ISNUMBER(C3239),ISNUMBER(D3239)),D3239-C3239,"")</f>
        <v/>
      </c>
      <c r="Z3239" s="23" t="str">
        <f aca="false">IF(B3239="","",IF(MATCH(B3239,$B$2:$B$12000,0)=ROW()-1,1,0))</f>
        <v/>
      </c>
    </row>
    <row r="3240" customFormat="false" ht="15" hidden="false" customHeight="false" outlineLevel="0" collapsed="false">
      <c r="V3240" s="23" t="str">
        <f aca="false">IF(ISNUMBER(C3240),YEAR(C3240),"")</f>
        <v/>
      </c>
      <c r="W3240" s="23" t="str">
        <f aca="false">IF(ISNUMBER(C3240),MONTH(C3240),"")</f>
        <v/>
      </c>
      <c r="X3240" s="23" t="str">
        <f aca="false">IF(T3240="","",IF(T3240=0,"No discount",IF(T3240&lt;=0.2,"Low (1-20%)",IF(T3240&lt;=0.4,"Medium (21-40%)","High (&gt;40%)"))))</f>
        <v/>
      </c>
      <c r="Y3240" s="23" t="str">
        <f aca="false">IF(AND(ISNUMBER(C3240),ISNUMBER(D3240)),D3240-C3240,"")</f>
        <v/>
      </c>
      <c r="Z3240" s="23" t="str">
        <f aca="false">IF(B3240="","",IF(MATCH(B3240,$B$2:$B$12000,0)=ROW()-1,1,0))</f>
        <v/>
      </c>
    </row>
    <row r="3241" customFormat="false" ht="15" hidden="false" customHeight="false" outlineLevel="0" collapsed="false">
      <c r="V3241" s="23" t="str">
        <f aca="false">IF(ISNUMBER(C3241),YEAR(C3241),"")</f>
        <v/>
      </c>
      <c r="W3241" s="23" t="str">
        <f aca="false">IF(ISNUMBER(C3241),MONTH(C3241),"")</f>
        <v/>
      </c>
      <c r="X3241" s="23" t="str">
        <f aca="false">IF(T3241="","",IF(T3241=0,"No discount",IF(T3241&lt;=0.2,"Low (1-20%)",IF(T3241&lt;=0.4,"Medium (21-40%)","High (&gt;40%)"))))</f>
        <v/>
      </c>
      <c r="Y3241" s="23" t="str">
        <f aca="false">IF(AND(ISNUMBER(C3241),ISNUMBER(D3241)),D3241-C3241,"")</f>
        <v/>
      </c>
      <c r="Z3241" s="23" t="str">
        <f aca="false">IF(B3241="","",IF(MATCH(B3241,$B$2:$B$12000,0)=ROW()-1,1,0))</f>
        <v/>
      </c>
    </row>
    <row r="3242" customFormat="false" ht="15" hidden="false" customHeight="false" outlineLevel="0" collapsed="false">
      <c r="V3242" s="23" t="str">
        <f aca="false">IF(ISNUMBER(C3242),YEAR(C3242),"")</f>
        <v/>
      </c>
      <c r="W3242" s="23" t="str">
        <f aca="false">IF(ISNUMBER(C3242),MONTH(C3242),"")</f>
        <v/>
      </c>
      <c r="X3242" s="23" t="str">
        <f aca="false">IF(T3242="","",IF(T3242=0,"No discount",IF(T3242&lt;=0.2,"Low (1-20%)",IF(T3242&lt;=0.4,"Medium (21-40%)","High (&gt;40%)"))))</f>
        <v/>
      </c>
      <c r="Y3242" s="23" t="str">
        <f aca="false">IF(AND(ISNUMBER(C3242),ISNUMBER(D3242)),D3242-C3242,"")</f>
        <v/>
      </c>
      <c r="Z3242" s="23" t="str">
        <f aca="false">IF(B3242="","",IF(MATCH(B3242,$B$2:$B$12000,0)=ROW()-1,1,0))</f>
        <v/>
      </c>
    </row>
    <row r="3243" customFormat="false" ht="15" hidden="false" customHeight="false" outlineLevel="0" collapsed="false">
      <c r="V3243" s="23" t="str">
        <f aca="false">IF(ISNUMBER(C3243),YEAR(C3243),"")</f>
        <v/>
      </c>
      <c r="W3243" s="23" t="str">
        <f aca="false">IF(ISNUMBER(C3243),MONTH(C3243),"")</f>
        <v/>
      </c>
      <c r="X3243" s="23" t="str">
        <f aca="false">IF(T3243="","",IF(T3243=0,"No discount",IF(T3243&lt;=0.2,"Low (1-20%)",IF(T3243&lt;=0.4,"Medium (21-40%)","High (&gt;40%)"))))</f>
        <v/>
      </c>
      <c r="Y3243" s="23" t="str">
        <f aca="false">IF(AND(ISNUMBER(C3243),ISNUMBER(D3243)),D3243-C3243,"")</f>
        <v/>
      </c>
      <c r="Z3243" s="23" t="str">
        <f aca="false">IF(B3243="","",IF(MATCH(B3243,$B$2:$B$12000,0)=ROW()-1,1,0))</f>
        <v/>
      </c>
    </row>
    <row r="3244" customFormat="false" ht="15" hidden="false" customHeight="false" outlineLevel="0" collapsed="false">
      <c r="V3244" s="23" t="str">
        <f aca="false">IF(ISNUMBER(C3244),YEAR(C3244),"")</f>
        <v/>
      </c>
      <c r="W3244" s="23" t="str">
        <f aca="false">IF(ISNUMBER(C3244),MONTH(C3244),"")</f>
        <v/>
      </c>
      <c r="X3244" s="23" t="str">
        <f aca="false">IF(T3244="","",IF(T3244=0,"No discount",IF(T3244&lt;=0.2,"Low (1-20%)",IF(T3244&lt;=0.4,"Medium (21-40%)","High (&gt;40%)"))))</f>
        <v/>
      </c>
      <c r="Y3244" s="23" t="str">
        <f aca="false">IF(AND(ISNUMBER(C3244),ISNUMBER(D3244)),D3244-C3244,"")</f>
        <v/>
      </c>
      <c r="Z3244" s="23" t="str">
        <f aca="false">IF(B3244="","",IF(MATCH(B3244,$B$2:$B$12000,0)=ROW()-1,1,0))</f>
        <v/>
      </c>
    </row>
    <row r="3245" customFormat="false" ht="15" hidden="false" customHeight="false" outlineLevel="0" collapsed="false">
      <c r="V3245" s="23" t="str">
        <f aca="false">IF(ISNUMBER(C3245),YEAR(C3245),"")</f>
        <v/>
      </c>
      <c r="W3245" s="23" t="str">
        <f aca="false">IF(ISNUMBER(C3245),MONTH(C3245),"")</f>
        <v/>
      </c>
      <c r="X3245" s="23" t="str">
        <f aca="false">IF(T3245="","",IF(T3245=0,"No discount",IF(T3245&lt;=0.2,"Low (1-20%)",IF(T3245&lt;=0.4,"Medium (21-40%)","High (&gt;40%)"))))</f>
        <v/>
      </c>
      <c r="Y3245" s="23" t="str">
        <f aca="false">IF(AND(ISNUMBER(C3245),ISNUMBER(D3245)),D3245-C3245,"")</f>
        <v/>
      </c>
      <c r="Z3245" s="23" t="str">
        <f aca="false">IF(B3245="","",IF(MATCH(B3245,$B$2:$B$12000,0)=ROW()-1,1,0))</f>
        <v/>
      </c>
    </row>
    <row r="3246" customFormat="false" ht="15" hidden="false" customHeight="false" outlineLevel="0" collapsed="false">
      <c r="V3246" s="23" t="str">
        <f aca="false">IF(ISNUMBER(C3246),YEAR(C3246),"")</f>
        <v/>
      </c>
      <c r="W3246" s="23" t="str">
        <f aca="false">IF(ISNUMBER(C3246),MONTH(C3246),"")</f>
        <v/>
      </c>
      <c r="X3246" s="23" t="str">
        <f aca="false">IF(T3246="","",IF(T3246=0,"No discount",IF(T3246&lt;=0.2,"Low (1-20%)",IF(T3246&lt;=0.4,"Medium (21-40%)","High (&gt;40%)"))))</f>
        <v/>
      </c>
      <c r="Y3246" s="23" t="str">
        <f aca="false">IF(AND(ISNUMBER(C3246),ISNUMBER(D3246)),D3246-C3246,"")</f>
        <v/>
      </c>
      <c r="Z3246" s="23" t="str">
        <f aca="false">IF(B3246="","",IF(MATCH(B3246,$B$2:$B$12000,0)=ROW()-1,1,0))</f>
        <v/>
      </c>
    </row>
    <row r="3247" customFormat="false" ht="15" hidden="false" customHeight="false" outlineLevel="0" collapsed="false">
      <c r="V3247" s="23" t="str">
        <f aca="false">IF(ISNUMBER(C3247),YEAR(C3247),"")</f>
        <v/>
      </c>
      <c r="W3247" s="23" t="str">
        <f aca="false">IF(ISNUMBER(C3247),MONTH(C3247),"")</f>
        <v/>
      </c>
      <c r="X3247" s="23" t="str">
        <f aca="false">IF(T3247="","",IF(T3247=0,"No discount",IF(T3247&lt;=0.2,"Low (1-20%)",IF(T3247&lt;=0.4,"Medium (21-40%)","High (&gt;40%)"))))</f>
        <v/>
      </c>
      <c r="Y3247" s="23" t="str">
        <f aca="false">IF(AND(ISNUMBER(C3247),ISNUMBER(D3247)),D3247-C3247,"")</f>
        <v/>
      </c>
      <c r="Z3247" s="23" t="str">
        <f aca="false">IF(B3247="","",IF(MATCH(B3247,$B$2:$B$12000,0)=ROW()-1,1,0))</f>
        <v/>
      </c>
    </row>
    <row r="3248" customFormat="false" ht="15" hidden="false" customHeight="false" outlineLevel="0" collapsed="false">
      <c r="V3248" s="23" t="str">
        <f aca="false">IF(ISNUMBER(C3248),YEAR(C3248),"")</f>
        <v/>
      </c>
      <c r="W3248" s="23" t="str">
        <f aca="false">IF(ISNUMBER(C3248),MONTH(C3248),"")</f>
        <v/>
      </c>
      <c r="X3248" s="23" t="str">
        <f aca="false">IF(T3248="","",IF(T3248=0,"No discount",IF(T3248&lt;=0.2,"Low (1-20%)",IF(T3248&lt;=0.4,"Medium (21-40%)","High (&gt;40%)"))))</f>
        <v/>
      </c>
      <c r="Y3248" s="23" t="str">
        <f aca="false">IF(AND(ISNUMBER(C3248),ISNUMBER(D3248)),D3248-C3248,"")</f>
        <v/>
      </c>
      <c r="Z3248" s="23" t="str">
        <f aca="false">IF(B3248="","",IF(MATCH(B3248,$B$2:$B$12000,0)=ROW()-1,1,0))</f>
        <v/>
      </c>
    </row>
    <row r="3249" customFormat="false" ht="15" hidden="false" customHeight="false" outlineLevel="0" collapsed="false">
      <c r="V3249" s="23" t="str">
        <f aca="false">IF(ISNUMBER(C3249),YEAR(C3249),"")</f>
        <v/>
      </c>
      <c r="W3249" s="23" t="str">
        <f aca="false">IF(ISNUMBER(C3249),MONTH(C3249),"")</f>
        <v/>
      </c>
      <c r="X3249" s="23" t="str">
        <f aca="false">IF(T3249="","",IF(T3249=0,"No discount",IF(T3249&lt;=0.2,"Low (1-20%)",IF(T3249&lt;=0.4,"Medium (21-40%)","High (&gt;40%)"))))</f>
        <v/>
      </c>
      <c r="Y3249" s="23" t="str">
        <f aca="false">IF(AND(ISNUMBER(C3249),ISNUMBER(D3249)),D3249-C3249,"")</f>
        <v/>
      </c>
      <c r="Z3249" s="23" t="str">
        <f aca="false">IF(B3249="","",IF(MATCH(B3249,$B$2:$B$12000,0)=ROW()-1,1,0))</f>
        <v/>
      </c>
    </row>
    <row r="3250" customFormat="false" ht="15" hidden="false" customHeight="false" outlineLevel="0" collapsed="false">
      <c r="V3250" s="23" t="str">
        <f aca="false">IF(ISNUMBER(C3250),YEAR(C3250),"")</f>
        <v/>
      </c>
      <c r="W3250" s="23" t="str">
        <f aca="false">IF(ISNUMBER(C3250),MONTH(C3250),"")</f>
        <v/>
      </c>
      <c r="X3250" s="23" t="str">
        <f aca="false">IF(T3250="","",IF(T3250=0,"No discount",IF(T3250&lt;=0.2,"Low (1-20%)",IF(T3250&lt;=0.4,"Medium (21-40%)","High (&gt;40%)"))))</f>
        <v/>
      </c>
      <c r="Y3250" s="23" t="str">
        <f aca="false">IF(AND(ISNUMBER(C3250),ISNUMBER(D3250)),D3250-C3250,"")</f>
        <v/>
      </c>
      <c r="Z3250" s="23" t="str">
        <f aca="false">IF(B3250="","",IF(MATCH(B3250,$B$2:$B$12000,0)=ROW()-1,1,0))</f>
        <v/>
      </c>
    </row>
    <row r="3251" customFormat="false" ht="15" hidden="false" customHeight="false" outlineLevel="0" collapsed="false">
      <c r="V3251" s="23" t="str">
        <f aca="false">IF(ISNUMBER(C3251),YEAR(C3251),"")</f>
        <v/>
      </c>
      <c r="W3251" s="23" t="str">
        <f aca="false">IF(ISNUMBER(C3251),MONTH(C3251),"")</f>
        <v/>
      </c>
      <c r="X3251" s="23" t="str">
        <f aca="false">IF(T3251="","",IF(T3251=0,"No discount",IF(T3251&lt;=0.2,"Low (1-20%)",IF(T3251&lt;=0.4,"Medium (21-40%)","High (&gt;40%)"))))</f>
        <v/>
      </c>
      <c r="Y3251" s="23" t="str">
        <f aca="false">IF(AND(ISNUMBER(C3251),ISNUMBER(D3251)),D3251-C3251,"")</f>
        <v/>
      </c>
      <c r="Z3251" s="23" t="str">
        <f aca="false">IF(B3251="","",IF(MATCH(B3251,$B$2:$B$12000,0)=ROW()-1,1,0))</f>
        <v/>
      </c>
    </row>
    <row r="3252" customFormat="false" ht="15" hidden="false" customHeight="false" outlineLevel="0" collapsed="false">
      <c r="V3252" s="23" t="str">
        <f aca="false">IF(ISNUMBER(C3252),YEAR(C3252),"")</f>
        <v/>
      </c>
      <c r="W3252" s="23" t="str">
        <f aca="false">IF(ISNUMBER(C3252),MONTH(C3252),"")</f>
        <v/>
      </c>
      <c r="X3252" s="23" t="str">
        <f aca="false">IF(T3252="","",IF(T3252=0,"No discount",IF(T3252&lt;=0.2,"Low (1-20%)",IF(T3252&lt;=0.4,"Medium (21-40%)","High (&gt;40%)"))))</f>
        <v/>
      </c>
      <c r="Y3252" s="23" t="str">
        <f aca="false">IF(AND(ISNUMBER(C3252),ISNUMBER(D3252)),D3252-C3252,"")</f>
        <v/>
      </c>
      <c r="Z3252" s="23" t="str">
        <f aca="false">IF(B3252="","",IF(MATCH(B3252,$B$2:$B$12000,0)=ROW()-1,1,0))</f>
        <v/>
      </c>
    </row>
    <row r="3253" customFormat="false" ht="15" hidden="false" customHeight="false" outlineLevel="0" collapsed="false">
      <c r="V3253" s="23" t="str">
        <f aca="false">IF(ISNUMBER(C3253),YEAR(C3253),"")</f>
        <v/>
      </c>
      <c r="W3253" s="23" t="str">
        <f aca="false">IF(ISNUMBER(C3253),MONTH(C3253),"")</f>
        <v/>
      </c>
      <c r="X3253" s="23" t="str">
        <f aca="false">IF(T3253="","",IF(T3253=0,"No discount",IF(T3253&lt;=0.2,"Low (1-20%)",IF(T3253&lt;=0.4,"Medium (21-40%)","High (&gt;40%)"))))</f>
        <v/>
      </c>
      <c r="Y3253" s="23" t="str">
        <f aca="false">IF(AND(ISNUMBER(C3253),ISNUMBER(D3253)),D3253-C3253,"")</f>
        <v/>
      </c>
      <c r="Z3253" s="23" t="str">
        <f aca="false">IF(B3253="","",IF(MATCH(B3253,$B$2:$B$12000,0)=ROW()-1,1,0))</f>
        <v/>
      </c>
    </row>
    <row r="3254" customFormat="false" ht="15" hidden="false" customHeight="false" outlineLevel="0" collapsed="false">
      <c r="V3254" s="23" t="str">
        <f aca="false">IF(ISNUMBER(C3254),YEAR(C3254),"")</f>
        <v/>
      </c>
      <c r="W3254" s="23" t="str">
        <f aca="false">IF(ISNUMBER(C3254),MONTH(C3254),"")</f>
        <v/>
      </c>
      <c r="X3254" s="23" t="str">
        <f aca="false">IF(T3254="","",IF(T3254=0,"No discount",IF(T3254&lt;=0.2,"Low (1-20%)",IF(T3254&lt;=0.4,"Medium (21-40%)","High (&gt;40%)"))))</f>
        <v/>
      </c>
      <c r="Y3254" s="23" t="str">
        <f aca="false">IF(AND(ISNUMBER(C3254),ISNUMBER(D3254)),D3254-C3254,"")</f>
        <v/>
      </c>
      <c r="Z3254" s="23" t="str">
        <f aca="false">IF(B3254="","",IF(MATCH(B3254,$B$2:$B$12000,0)=ROW()-1,1,0))</f>
        <v/>
      </c>
    </row>
    <row r="3255" customFormat="false" ht="15" hidden="false" customHeight="false" outlineLevel="0" collapsed="false">
      <c r="V3255" s="23" t="str">
        <f aca="false">IF(ISNUMBER(C3255),YEAR(C3255),"")</f>
        <v/>
      </c>
      <c r="W3255" s="23" t="str">
        <f aca="false">IF(ISNUMBER(C3255),MONTH(C3255),"")</f>
        <v/>
      </c>
      <c r="X3255" s="23" t="str">
        <f aca="false">IF(T3255="","",IF(T3255=0,"No discount",IF(T3255&lt;=0.2,"Low (1-20%)",IF(T3255&lt;=0.4,"Medium (21-40%)","High (&gt;40%)"))))</f>
        <v/>
      </c>
      <c r="Y3255" s="23" t="str">
        <f aca="false">IF(AND(ISNUMBER(C3255),ISNUMBER(D3255)),D3255-C3255,"")</f>
        <v/>
      </c>
      <c r="Z3255" s="23" t="str">
        <f aca="false">IF(B3255="","",IF(MATCH(B3255,$B$2:$B$12000,0)=ROW()-1,1,0))</f>
        <v/>
      </c>
    </row>
    <row r="3256" customFormat="false" ht="15" hidden="false" customHeight="false" outlineLevel="0" collapsed="false">
      <c r="V3256" s="23" t="str">
        <f aca="false">IF(ISNUMBER(C3256),YEAR(C3256),"")</f>
        <v/>
      </c>
      <c r="W3256" s="23" t="str">
        <f aca="false">IF(ISNUMBER(C3256),MONTH(C3256),"")</f>
        <v/>
      </c>
      <c r="X3256" s="23" t="str">
        <f aca="false">IF(T3256="","",IF(T3256=0,"No discount",IF(T3256&lt;=0.2,"Low (1-20%)",IF(T3256&lt;=0.4,"Medium (21-40%)","High (&gt;40%)"))))</f>
        <v/>
      </c>
      <c r="Y3256" s="23" t="str">
        <f aca="false">IF(AND(ISNUMBER(C3256),ISNUMBER(D3256)),D3256-C3256,"")</f>
        <v/>
      </c>
      <c r="Z3256" s="23" t="str">
        <f aca="false">IF(B3256="","",IF(MATCH(B3256,$B$2:$B$12000,0)=ROW()-1,1,0))</f>
        <v/>
      </c>
    </row>
    <row r="3257" customFormat="false" ht="15" hidden="false" customHeight="false" outlineLevel="0" collapsed="false">
      <c r="V3257" s="23" t="str">
        <f aca="false">IF(ISNUMBER(C3257),YEAR(C3257),"")</f>
        <v/>
      </c>
      <c r="W3257" s="23" t="str">
        <f aca="false">IF(ISNUMBER(C3257),MONTH(C3257),"")</f>
        <v/>
      </c>
      <c r="X3257" s="23" t="str">
        <f aca="false">IF(T3257="","",IF(T3257=0,"No discount",IF(T3257&lt;=0.2,"Low (1-20%)",IF(T3257&lt;=0.4,"Medium (21-40%)","High (&gt;40%)"))))</f>
        <v/>
      </c>
      <c r="Y3257" s="23" t="str">
        <f aca="false">IF(AND(ISNUMBER(C3257),ISNUMBER(D3257)),D3257-C3257,"")</f>
        <v/>
      </c>
      <c r="Z3257" s="23" t="str">
        <f aca="false">IF(B3257="","",IF(MATCH(B3257,$B$2:$B$12000,0)=ROW()-1,1,0))</f>
        <v/>
      </c>
    </row>
    <row r="3258" customFormat="false" ht="15" hidden="false" customHeight="false" outlineLevel="0" collapsed="false">
      <c r="V3258" s="23" t="str">
        <f aca="false">IF(ISNUMBER(C3258),YEAR(C3258),"")</f>
        <v/>
      </c>
      <c r="W3258" s="23" t="str">
        <f aca="false">IF(ISNUMBER(C3258),MONTH(C3258),"")</f>
        <v/>
      </c>
      <c r="X3258" s="23" t="str">
        <f aca="false">IF(T3258="","",IF(T3258=0,"No discount",IF(T3258&lt;=0.2,"Low (1-20%)",IF(T3258&lt;=0.4,"Medium (21-40%)","High (&gt;40%)"))))</f>
        <v/>
      </c>
      <c r="Y3258" s="23" t="str">
        <f aca="false">IF(AND(ISNUMBER(C3258),ISNUMBER(D3258)),D3258-C3258,"")</f>
        <v/>
      </c>
      <c r="Z3258" s="23" t="str">
        <f aca="false">IF(B3258="","",IF(MATCH(B3258,$B$2:$B$12000,0)=ROW()-1,1,0))</f>
        <v/>
      </c>
    </row>
    <row r="3259" customFormat="false" ht="15" hidden="false" customHeight="false" outlineLevel="0" collapsed="false">
      <c r="V3259" s="23" t="str">
        <f aca="false">IF(ISNUMBER(C3259),YEAR(C3259),"")</f>
        <v/>
      </c>
      <c r="W3259" s="23" t="str">
        <f aca="false">IF(ISNUMBER(C3259),MONTH(C3259),"")</f>
        <v/>
      </c>
      <c r="X3259" s="23" t="str">
        <f aca="false">IF(T3259="","",IF(T3259=0,"No discount",IF(T3259&lt;=0.2,"Low (1-20%)",IF(T3259&lt;=0.4,"Medium (21-40%)","High (&gt;40%)"))))</f>
        <v/>
      </c>
      <c r="Y3259" s="23" t="str">
        <f aca="false">IF(AND(ISNUMBER(C3259),ISNUMBER(D3259)),D3259-C3259,"")</f>
        <v/>
      </c>
      <c r="Z3259" s="23" t="str">
        <f aca="false">IF(B3259="","",IF(MATCH(B3259,$B$2:$B$12000,0)=ROW()-1,1,0))</f>
        <v/>
      </c>
    </row>
    <row r="3260" customFormat="false" ht="15" hidden="false" customHeight="false" outlineLevel="0" collapsed="false">
      <c r="V3260" s="23" t="str">
        <f aca="false">IF(ISNUMBER(C3260),YEAR(C3260),"")</f>
        <v/>
      </c>
      <c r="W3260" s="23" t="str">
        <f aca="false">IF(ISNUMBER(C3260),MONTH(C3260),"")</f>
        <v/>
      </c>
      <c r="X3260" s="23" t="str">
        <f aca="false">IF(T3260="","",IF(T3260=0,"No discount",IF(T3260&lt;=0.2,"Low (1-20%)",IF(T3260&lt;=0.4,"Medium (21-40%)","High (&gt;40%)"))))</f>
        <v/>
      </c>
      <c r="Y3260" s="23" t="str">
        <f aca="false">IF(AND(ISNUMBER(C3260),ISNUMBER(D3260)),D3260-C3260,"")</f>
        <v/>
      </c>
      <c r="Z3260" s="23" t="str">
        <f aca="false">IF(B3260="","",IF(MATCH(B3260,$B$2:$B$12000,0)=ROW()-1,1,0))</f>
        <v/>
      </c>
    </row>
    <row r="3261" customFormat="false" ht="15" hidden="false" customHeight="false" outlineLevel="0" collapsed="false">
      <c r="V3261" s="23" t="str">
        <f aca="false">IF(ISNUMBER(C3261),YEAR(C3261),"")</f>
        <v/>
      </c>
      <c r="W3261" s="23" t="str">
        <f aca="false">IF(ISNUMBER(C3261),MONTH(C3261),"")</f>
        <v/>
      </c>
      <c r="X3261" s="23" t="str">
        <f aca="false">IF(T3261="","",IF(T3261=0,"No discount",IF(T3261&lt;=0.2,"Low (1-20%)",IF(T3261&lt;=0.4,"Medium (21-40%)","High (&gt;40%)"))))</f>
        <v/>
      </c>
      <c r="Y3261" s="23" t="str">
        <f aca="false">IF(AND(ISNUMBER(C3261),ISNUMBER(D3261)),D3261-C3261,"")</f>
        <v/>
      </c>
      <c r="Z3261" s="23" t="str">
        <f aca="false">IF(B3261="","",IF(MATCH(B3261,$B$2:$B$12000,0)=ROW()-1,1,0))</f>
        <v/>
      </c>
    </row>
    <row r="3262" customFormat="false" ht="15" hidden="false" customHeight="false" outlineLevel="0" collapsed="false">
      <c r="V3262" s="23" t="str">
        <f aca="false">IF(ISNUMBER(C3262),YEAR(C3262),"")</f>
        <v/>
      </c>
      <c r="W3262" s="23" t="str">
        <f aca="false">IF(ISNUMBER(C3262),MONTH(C3262),"")</f>
        <v/>
      </c>
      <c r="X3262" s="23" t="str">
        <f aca="false">IF(T3262="","",IF(T3262=0,"No discount",IF(T3262&lt;=0.2,"Low (1-20%)",IF(T3262&lt;=0.4,"Medium (21-40%)","High (&gt;40%)"))))</f>
        <v/>
      </c>
      <c r="Y3262" s="23" t="str">
        <f aca="false">IF(AND(ISNUMBER(C3262),ISNUMBER(D3262)),D3262-C3262,"")</f>
        <v/>
      </c>
      <c r="Z3262" s="23" t="str">
        <f aca="false">IF(B3262="","",IF(MATCH(B3262,$B$2:$B$12000,0)=ROW()-1,1,0))</f>
        <v/>
      </c>
    </row>
    <row r="3263" customFormat="false" ht="15" hidden="false" customHeight="false" outlineLevel="0" collapsed="false">
      <c r="V3263" s="23" t="str">
        <f aca="false">IF(ISNUMBER(C3263),YEAR(C3263),"")</f>
        <v/>
      </c>
      <c r="W3263" s="23" t="str">
        <f aca="false">IF(ISNUMBER(C3263),MONTH(C3263),"")</f>
        <v/>
      </c>
      <c r="X3263" s="23" t="str">
        <f aca="false">IF(T3263="","",IF(T3263=0,"No discount",IF(T3263&lt;=0.2,"Low (1-20%)",IF(T3263&lt;=0.4,"Medium (21-40%)","High (&gt;40%)"))))</f>
        <v/>
      </c>
      <c r="Y3263" s="23" t="str">
        <f aca="false">IF(AND(ISNUMBER(C3263),ISNUMBER(D3263)),D3263-C3263,"")</f>
        <v/>
      </c>
      <c r="Z3263" s="23" t="str">
        <f aca="false">IF(B3263="","",IF(MATCH(B3263,$B$2:$B$12000,0)=ROW()-1,1,0))</f>
        <v/>
      </c>
    </row>
    <row r="3264" customFormat="false" ht="15" hidden="false" customHeight="false" outlineLevel="0" collapsed="false">
      <c r="V3264" s="23" t="str">
        <f aca="false">IF(ISNUMBER(C3264),YEAR(C3264),"")</f>
        <v/>
      </c>
      <c r="W3264" s="23" t="str">
        <f aca="false">IF(ISNUMBER(C3264),MONTH(C3264),"")</f>
        <v/>
      </c>
      <c r="X3264" s="23" t="str">
        <f aca="false">IF(T3264="","",IF(T3264=0,"No discount",IF(T3264&lt;=0.2,"Low (1-20%)",IF(T3264&lt;=0.4,"Medium (21-40%)","High (&gt;40%)"))))</f>
        <v/>
      </c>
      <c r="Y3264" s="23" t="str">
        <f aca="false">IF(AND(ISNUMBER(C3264),ISNUMBER(D3264)),D3264-C3264,"")</f>
        <v/>
      </c>
      <c r="Z3264" s="23" t="str">
        <f aca="false">IF(B3264="","",IF(MATCH(B3264,$B$2:$B$12000,0)=ROW()-1,1,0))</f>
        <v/>
      </c>
    </row>
    <row r="3265" customFormat="false" ht="15" hidden="false" customHeight="false" outlineLevel="0" collapsed="false">
      <c r="V3265" s="23" t="str">
        <f aca="false">IF(ISNUMBER(C3265),YEAR(C3265),"")</f>
        <v/>
      </c>
      <c r="W3265" s="23" t="str">
        <f aca="false">IF(ISNUMBER(C3265),MONTH(C3265),"")</f>
        <v/>
      </c>
      <c r="X3265" s="23" t="str">
        <f aca="false">IF(T3265="","",IF(T3265=0,"No discount",IF(T3265&lt;=0.2,"Low (1-20%)",IF(T3265&lt;=0.4,"Medium (21-40%)","High (&gt;40%)"))))</f>
        <v/>
      </c>
      <c r="Y3265" s="23" t="str">
        <f aca="false">IF(AND(ISNUMBER(C3265),ISNUMBER(D3265)),D3265-C3265,"")</f>
        <v/>
      </c>
      <c r="Z3265" s="23" t="str">
        <f aca="false">IF(B3265="","",IF(MATCH(B3265,$B$2:$B$12000,0)=ROW()-1,1,0))</f>
        <v/>
      </c>
    </row>
    <row r="3266" customFormat="false" ht="15" hidden="false" customHeight="false" outlineLevel="0" collapsed="false">
      <c r="V3266" s="23" t="str">
        <f aca="false">IF(ISNUMBER(C3266),YEAR(C3266),"")</f>
        <v/>
      </c>
      <c r="W3266" s="23" t="str">
        <f aca="false">IF(ISNUMBER(C3266),MONTH(C3266),"")</f>
        <v/>
      </c>
      <c r="X3266" s="23" t="str">
        <f aca="false">IF(T3266="","",IF(T3266=0,"No discount",IF(T3266&lt;=0.2,"Low (1-20%)",IF(T3266&lt;=0.4,"Medium (21-40%)","High (&gt;40%)"))))</f>
        <v/>
      </c>
      <c r="Y3266" s="23" t="str">
        <f aca="false">IF(AND(ISNUMBER(C3266),ISNUMBER(D3266)),D3266-C3266,"")</f>
        <v/>
      </c>
      <c r="Z3266" s="23" t="str">
        <f aca="false">IF(B3266="","",IF(MATCH(B3266,$B$2:$B$12000,0)=ROW()-1,1,0))</f>
        <v/>
      </c>
    </row>
    <row r="3267" customFormat="false" ht="15" hidden="false" customHeight="false" outlineLevel="0" collapsed="false">
      <c r="V3267" s="23" t="str">
        <f aca="false">IF(ISNUMBER(C3267),YEAR(C3267),"")</f>
        <v/>
      </c>
      <c r="W3267" s="23" t="str">
        <f aca="false">IF(ISNUMBER(C3267),MONTH(C3267),"")</f>
        <v/>
      </c>
      <c r="X3267" s="23" t="str">
        <f aca="false">IF(T3267="","",IF(T3267=0,"No discount",IF(T3267&lt;=0.2,"Low (1-20%)",IF(T3267&lt;=0.4,"Medium (21-40%)","High (&gt;40%)"))))</f>
        <v/>
      </c>
      <c r="Y3267" s="23" t="str">
        <f aca="false">IF(AND(ISNUMBER(C3267),ISNUMBER(D3267)),D3267-C3267,"")</f>
        <v/>
      </c>
      <c r="Z3267" s="23" t="str">
        <f aca="false">IF(B3267="","",IF(MATCH(B3267,$B$2:$B$12000,0)=ROW()-1,1,0))</f>
        <v/>
      </c>
    </row>
    <row r="3268" customFormat="false" ht="15" hidden="false" customHeight="false" outlineLevel="0" collapsed="false">
      <c r="V3268" s="23" t="str">
        <f aca="false">IF(ISNUMBER(C3268),YEAR(C3268),"")</f>
        <v/>
      </c>
      <c r="W3268" s="23" t="str">
        <f aca="false">IF(ISNUMBER(C3268),MONTH(C3268),"")</f>
        <v/>
      </c>
      <c r="X3268" s="23" t="str">
        <f aca="false">IF(T3268="","",IF(T3268=0,"No discount",IF(T3268&lt;=0.2,"Low (1-20%)",IF(T3268&lt;=0.4,"Medium (21-40%)","High (&gt;40%)"))))</f>
        <v/>
      </c>
      <c r="Y3268" s="23" t="str">
        <f aca="false">IF(AND(ISNUMBER(C3268),ISNUMBER(D3268)),D3268-C3268,"")</f>
        <v/>
      </c>
      <c r="Z3268" s="23" t="str">
        <f aca="false">IF(B3268="","",IF(MATCH(B3268,$B$2:$B$12000,0)=ROW()-1,1,0))</f>
        <v/>
      </c>
    </row>
    <row r="3269" customFormat="false" ht="15" hidden="false" customHeight="false" outlineLevel="0" collapsed="false">
      <c r="V3269" s="23" t="str">
        <f aca="false">IF(ISNUMBER(C3269),YEAR(C3269),"")</f>
        <v/>
      </c>
      <c r="W3269" s="23" t="str">
        <f aca="false">IF(ISNUMBER(C3269),MONTH(C3269),"")</f>
        <v/>
      </c>
      <c r="X3269" s="23" t="str">
        <f aca="false">IF(T3269="","",IF(T3269=0,"No discount",IF(T3269&lt;=0.2,"Low (1-20%)",IF(T3269&lt;=0.4,"Medium (21-40%)","High (&gt;40%)"))))</f>
        <v/>
      </c>
      <c r="Y3269" s="23" t="str">
        <f aca="false">IF(AND(ISNUMBER(C3269),ISNUMBER(D3269)),D3269-C3269,"")</f>
        <v/>
      </c>
      <c r="Z3269" s="23" t="str">
        <f aca="false">IF(B3269="","",IF(MATCH(B3269,$B$2:$B$12000,0)=ROW()-1,1,0))</f>
        <v/>
      </c>
    </row>
    <row r="3270" customFormat="false" ht="15" hidden="false" customHeight="false" outlineLevel="0" collapsed="false">
      <c r="V3270" s="23" t="str">
        <f aca="false">IF(ISNUMBER(C3270),YEAR(C3270),"")</f>
        <v/>
      </c>
      <c r="W3270" s="23" t="str">
        <f aca="false">IF(ISNUMBER(C3270),MONTH(C3270),"")</f>
        <v/>
      </c>
      <c r="X3270" s="23" t="str">
        <f aca="false">IF(T3270="","",IF(T3270=0,"No discount",IF(T3270&lt;=0.2,"Low (1-20%)",IF(T3270&lt;=0.4,"Medium (21-40%)","High (&gt;40%)"))))</f>
        <v/>
      </c>
      <c r="Y3270" s="23" t="str">
        <f aca="false">IF(AND(ISNUMBER(C3270),ISNUMBER(D3270)),D3270-C3270,"")</f>
        <v/>
      </c>
      <c r="Z3270" s="23" t="str">
        <f aca="false">IF(B3270="","",IF(MATCH(B3270,$B$2:$B$12000,0)=ROW()-1,1,0))</f>
        <v/>
      </c>
    </row>
    <row r="3271" customFormat="false" ht="15" hidden="false" customHeight="false" outlineLevel="0" collapsed="false">
      <c r="V3271" s="23" t="str">
        <f aca="false">IF(ISNUMBER(C3271),YEAR(C3271),"")</f>
        <v/>
      </c>
      <c r="W3271" s="23" t="str">
        <f aca="false">IF(ISNUMBER(C3271),MONTH(C3271),"")</f>
        <v/>
      </c>
      <c r="X3271" s="23" t="str">
        <f aca="false">IF(T3271="","",IF(T3271=0,"No discount",IF(T3271&lt;=0.2,"Low (1-20%)",IF(T3271&lt;=0.4,"Medium (21-40%)","High (&gt;40%)"))))</f>
        <v/>
      </c>
      <c r="Y3271" s="23" t="str">
        <f aca="false">IF(AND(ISNUMBER(C3271),ISNUMBER(D3271)),D3271-C3271,"")</f>
        <v/>
      </c>
      <c r="Z3271" s="23" t="str">
        <f aca="false">IF(B3271="","",IF(MATCH(B3271,$B$2:$B$12000,0)=ROW()-1,1,0))</f>
        <v/>
      </c>
    </row>
    <row r="3272" customFormat="false" ht="15" hidden="false" customHeight="false" outlineLevel="0" collapsed="false">
      <c r="V3272" s="23" t="str">
        <f aca="false">IF(ISNUMBER(C3272),YEAR(C3272),"")</f>
        <v/>
      </c>
      <c r="W3272" s="23" t="str">
        <f aca="false">IF(ISNUMBER(C3272),MONTH(C3272),"")</f>
        <v/>
      </c>
      <c r="X3272" s="23" t="str">
        <f aca="false">IF(T3272="","",IF(T3272=0,"No discount",IF(T3272&lt;=0.2,"Low (1-20%)",IF(T3272&lt;=0.4,"Medium (21-40%)","High (&gt;40%)"))))</f>
        <v/>
      </c>
      <c r="Y3272" s="23" t="str">
        <f aca="false">IF(AND(ISNUMBER(C3272),ISNUMBER(D3272)),D3272-C3272,"")</f>
        <v/>
      </c>
      <c r="Z3272" s="23" t="str">
        <f aca="false">IF(B3272="","",IF(MATCH(B3272,$B$2:$B$12000,0)=ROW()-1,1,0))</f>
        <v/>
      </c>
    </row>
    <row r="3273" customFormat="false" ht="15" hidden="false" customHeight="false" outlineLevel="0" collapsed="false">
      <c r="V3273" s="23" t="str">
        <f aca="false">IF(ISNUMBER(C3273),YEAR(C3273),"")</f>
        <v/>
      </c>
      <c r="W3273" s="23" t="str">
        <f aca="false">IF(ISNUMBER(C3273),MONTH(C3273),"")</f>
        <v/>
      </c>
      <c r="X3273" s="23" t="str">
        <f aca="false">IF(T3273="","",IF(T3273=0,"No discount",IF(T3273&lt;=0.2,"Low (1-20%)",IF(T3273&lt;=0.4,"Medium (21-40%)","High (&gt;40%)"))))</f>
        <v/>
      </c>
      <c r="Y3273" s="23" t="str">
        <f aca="false">IF(AND(ISNUMBER(C3273),ISNUMBER(D3273)),D3273-C3273,"")</f>
        <v/>
      </c>
      <c r="Z3273" s="23" t="str">
        <f aca="false">IF(B3273="","",IF(MATCH(B3273,$B$2:$B$12000,0)=ROW()-1,1,0))</f>
        <v/>
      </c>
    </row>
    <row r="3274" customFormat="false" ht="15" hidden="false" customHeight="false" outlineLevel="0" collapsed="false">
      <c r="V3274" s="23" t="str">
        <f aca="false">IF(ISNUMBER(C3274),YEAR(C3274),"")</f>
        <v/>
      </c>
      <c r="W3274" s="23" t="str">
        <f aca="false">IF(ISNUMBER(C3274),MONTH(C3274),"")</f>
        <v/>
      </c>
      <c r="X3274" s="23" t="str">
        <f aca="false">IF(T3274="","",IF(T3274=0,"No discount",IF(T3274&lt;=0.2,"Low (1-20%)",IF(T3274&lt;=0.4,"Medium (21-40%)","High (&gt;40%)"))))</f>
        <v/>
      </c>
      <c r="Y3274" s="23" t="str">
        <f aca="false">IF(AND(ISNUMBER(C3274),ISNUMBER(D3274)),D3274-C3274,"")</f>
        <v/>
      </c>
      <c r="Z3274" s="23" t="str">
        <f aca="false">IF(B3274="","",IF(MATCH(B3274,$B$2:$B$12000,0)=ROW()-1,1,0))</f>
        <v/>
      </c>
    </row>
    <row r="3275" customFormat="false" ht="15" hidden="false" customHeight="false" outlineLevel="0" collapsed="false">
      <c r="V3275" s="23" t="str">
        <f aca="false">IF(ISNUMBER(C3275),YEAR(C3275),"")</f>
        <v/>
      </c>
      <c r="W3275" s="23" t="str">
        <f aca="false">IF(ISNUMBER(C3275),MONTH(C3275),"")</f>
        <v/>
      </c>
      <c r="X3275" s="23" t="str">
        <f aca="false">IF(T3275="","",IF(T3275=0,"No discount",IF(T3275&lt;=0.2,"Low (1-20%)",IF(T3275&lt;=0.4,"Medium (21-40%)","High (&gt;40%)"))))</f>
        <v/>
      </c>
      <c r="Y3275" s="23" t="str">
        <f aca="false">IF(AND(ISNUMBER(C3275),ISNUMBER(D3275)),D3275-C3275,"")</f>
        <v/>
      </c>
      <c r="Z3275" s="23" t="str">
        <f aca="false">IF(B3275="","",IF(MATCH(B3275,$B$2:$B$12000,0)=ROW()-1,1,0))</f>
        <v/>
      </c>
    </row>
    <row r="3276" customFormat="false" ht="15" hidden="false" customHeight="false" outlineLevel="0" collapsed="false">
      <c r="V3276" s="23" t="str">
        <f aca="false">IF(ISNUMBER(C3276),YEAR(C3276),"")</f>
        <v/>
      </c>
      <c r="W3276" s="23" t="str">
        <f aca="false">IF(ISNUMBER(C3276),MONTH(C3276),"")</f>
        <v/>
      </c>
      <c r="X3276" s="23" t="str">
        <f aca="false">IF(T3276="","",IF(T3276=0,"No discount",IF(T3276&lt;=0.2,"Low (1-20%)",IF(T3276&lt;=0.4,"Medium (21-40%)","High (&gt;40%)"))))</f>
        <v/>
      </c>
      <c r="Y3276" s="23" t="str">
        <f aca="false">IF(AND(ISNUMBER(C3276),ISNUMBER(D3276)),D3276-C3276,"")</f>
        <v/>
      </c>
      <c r="Z3276" s="23" t="str">
        <f aca="false">IF(B3276="","",IF(MATCH(B3276,$B$2:$B$12000,0)=ROW()-1,1,0))</f>
        <v/>
      </c>
    </row>
    <row r="3277" customFormat="false" ht="15" hidden="false" customHeight="false" outlineLevel="0" collapsed="false">
      <c r="V3277" s="23" t="str">
        <f aca="false">IF(ISNUMBER(C3277),YEAR(C3277),"")</f>
        <v/>
      </c>
      <c r="W3277" s="23" t="str">
        <f aca="false">IF(ISNUMBER(C3277),MONTH(C3277),"")</f>
        <v/>
      </c>
      <c r="X3277" s="23" t="str">
        <f aca="false">IF(T3277="","",IF(T3277=0,"No discount",IF(T3277&lt;=0.2,"Low (1-20%)",IF(T3277&lt;=0.4,"Medium (21-40%)","High (&gt;40%)"))))</f>
        <v/>
      </c>
      <c r="Y3277" s="23" t="str">
        <f aca="false">IF(AND(ISNUMBER(C3277),ISNUMBER(D3277)),D3277-C3277,"")</f>
        <v/>
      </c>
      <c r="Z3277" s="23" t="str">
        <f aca="false">IF(B3277="","",IF(MATCH(B3277,$B$2:$B$12000,0)=ROW()-1,1,0))</f>
        <v/>
      </c>
    </row>
    <row r="3278" customFormat="false" ht="15" hidden="false" customHeight="false" outlineLevel="0" collapsed="false">
      <c r="V3278" s="23" t="str">
        <f aca="false">IF(ISNUMBER(C3278),YEAR(C3278),"")</f>
        <v/>
      </c>
      <c r="W3278" s="23" t="str">
        <f aca="false">IF(ISNUMBER(C3278),MONTH(C3278),"")</f>
        <v/>
      </c>
      <c r="X3278" s="23" t="str">
        <f aca="false">IF(T3278="","",IF(T3278=0,"No discount",IF(T3278&lt;=0.2,"Low (1-20%)",IF(T3278&lt;=0.4,"Medium (21-40%)","High (&gt;40%)"))))</f>
        <v/>
      </c>
      <c r="Y3278" s="23" t="str">
        <f aca="false">IF(AND(ISNUMBER(C3278),ISNUMBER(D3278)),D3278-C3278,"")</f>
        <v/>
      </c>
      <c r="Z3278" s="23" t="str">
        <f aca="false">IF(B3278="","",IF(MATCH(B3278,$B$2:$B$12000,0)=ROW()-1,1,0))</f>
        <v/>
      </c>
    </row>
    <row r="3279" customFormat="false" ht="15" hidden="false" customHeight="false" outlineLevel="0" collapsed="false">
      <c r="V3279" s="23" t="str">
        <f aca="false">IF(ISNUMBER(C3279),YEAR(C3279),"")</f>
        <v/>
      </c>
      <c r="W3279" s="23" t="str">
        <f aca="false">IF(ISNUMBER(C3279),MONTH(C3279),"")</f>
        <v/>
      </c>
      <c r="X3279" s="23" t="str">
        <f aca="false">IF(T3279="","",IF(T3279=0,"No discount",IF(T3279&lt;=0.2,"Low (1-20%)",IF(T3279&lt;=0.4,"Medium (21-40%)","High (&gt;40%)"))))</f>
        <v/>
      </c>
      <c r="Y3279" s="23" t="str">
        <f aca="false">IF(AND(ISNUMBER(C3279),ISNUMBER(D3279)),D3279-C3279,"")</f>
        <v/>
      </c>
      <c r="Z3279" s="23" t="str">
        <f aca="false">IF(B3279="","",IF(MATCH(B3279,$B$2:$B$12000,0)=ROW()-1,1,0))</f>
        <v/>
      </c>
    </row>
    <row r="3280" customFormat="false" ht="15" hidden="false" customHeight="false" outlineLevel="0" collapsed="false">
      <c r="V3280" s="23" t="str">
        <f aca="false">IF(ISNUMBER(C3280),YEAR(C3280),"")</f>
        <v/>
      </c>
      <c r="W3280" s="23" t="str">
        <f aca="false">IF(ISNUMBER(C3280),MONTH(C3280),"")</f>
        <v/>
      </c>
      <c r="X3280" s="23" t="str">
        <f aca="false">IF(T3280="","",IF(T3280=0,"No discount",IF(T3280&lt;=0.2,"Low (1-20%)",IF(T3280&lt;=0.4,"Medium (21-40%)","High (&gt;40%)"))))</f>
        <v/>
      </c>
      <c r="Y3280" s="23" t="str">
        <f aca="false">IF(AND(ISNUMBER(C3280),ISNUMBER(D3280)),D3280-C3280,"")</f>
        <v/>
      </c>
      <c r="Z3280" s="23" t="str">
        <f aca="false">IF(B3280="","",IF(MATCH(B3280,$B$2:$B$12000,0)=ROW()-1,1,0))</f>
        <v/>
      </c>
    </row>
    <row r="3281" customFormat="false" ht="15" hidden="false" customHeight="false" outlineLevel="0" collapsed="false">
      <c r="V3281" s="23" t="str">
        <f aca="false">IF(ISNUMBER(C3281),YEAR(C3281),"")</f>
        <v/>
      </c>
      <c r="W3281" s="23" t="str">
        <f aca="false">IF(ISNUMBER(C3281),MONTH(C3281),"")</f>
        <v/>
      </c>
      <c r="X3281" s="23" t="str">
        <f aca="false">IF(T3281="","",IF(T3281=0,"No discount",IF(T3281&lt;=0.2,"Low (1-20%)",IF(T3281&lt;=0.4,"Medium (21-40%)","High (&gt;40%)"))))</f>
        <v/>
      </c>
      <c r="Y3281" s="23" t="str">
        <f aca="false">IF(AND(ISNUMBER(C3281),ISNUMBER(D3281)),D3281-C3281,"")</f>
        <v/>
      </c>
      <c r="Z3281" s="23" t="str">
        <f aca="false">IF(B3281="","",IF(MATCH(B3281,$B$2:$B$12000,0)=ROW()-1,1,0))</f>
        <v/>
      </c>
    </row>
    <row r="3282" customFormat="false" ht="15" hidden="false" customHeight="false" outlineLevel="0" collapsed="false">
      <c r="V3282" s="23" t="str">
        <f aca="false">IF(ISNUMBER(C3282),YEAR(C3282),"")</f>
        <v/>
      </c>
      <c r="W3282" s="23" t="str">
        <f aca="false">IF(ISNUMBER(C3282),MONTH(C3282),"")</f>
        <v/>
      </c>
      <c r="X3282" s="23" t="str">
        <f aca="false">IF(T3282="","",IF(T3282=0,"No discount",IF(T3282&lt;=0.2,"Low (1-20%)",IF(T3282&lt;=0.4,"Medium (21-40%)","High (&gt;40%)"))))</f>
        <v/>
      </c>
      <c r="Y3282" s="23" t="str">
        <f aca="false">IF(AND(ISNUMBER(C3282),ISNUMBER(D3282)),D3282-C3282,"")</f>
        <v/>
      </c>
      <c r="Z3282" s="23" t="str">
        <f aca="false">IF(B3282="","",IF(MATCH(B3282,$B$2:$B$12000,0)=ROW()-1,1,0))</f>
        <v/>
      </c>
    </row>
    <row r="3283" customFormat="false" ht="15" hidden="false" customHeight="false" outlineLevel="0" collapsed="false">
      <c r="V3283" s="23" t="str">
        <f aca="false">IF(ISNUMBER(C3283),YEAR(C3283),"")</f>
        <v/>
      </c>
      <c r="W3283" s="23" t="str">
        <f aca="false">IF(ISNUMBER(C3283),MONTH(C3283),"")</f>
        <v/>
      </c>
      <c r="X3283" s="23" t="str">
        <f aca="false">IF(T3283="","",IF(T3283=0,"No discount",IF(T3283&lt;=0.2,"Low (1-20%)",IF(T3283&lt;=0.4,"Medium (21-40%)","High (&gt;40%)"))))</f>
        <v/>
      </c>
      <c r="Y3283" s="23" t="str">
        <f aca="false">IF(AND(ISNUMBER(C3283),ISNUMBER(D3283)),D3283-C3283,"")</f>
        <v/>
      </c>
      <c r="Z3283" s="23" t="str">
        <f aca="false">IF(B3283="","",IF(MATCH(B3283,$B$2:$B$12000,0)=ROW()-1,1,0))</f>
        <v/>
      </c>
    </row>
    <row r="3284" customFormat="false" ht="15" hidden="false" customHeight="false" outlineLevel="0" collapsed="false">
      <c r="V3284" s="23" t="str">
        <f aca="false">IF(ISNUMBER(C3284),YEAR(C3284),"")</f>
        <v/>
      </c>
      <c r="W3284" s="23" t="str">
        <f aca="false">IF(ISNUMBER(C3284),MONTH(C3284),"")</f>
        <v/>
      </c>
      <c r="X3284" s="23" t="str">
        <f aca="false">IF(T3284="","",IF(T3284=0,"No discount",IF(T3284&lt;=0.2,"Low (1-20%)",IF(T3284&lt;=0.4,"Medium (21-40%)","High (&gt;40%)"))))</f>
        <v/>
      </c>
      <c r="Y3284" s="23" t="str">
        <f aca="false">IF(AND(ISNUMBER(C3284),ISNUMBER(D3284)),D3284-C3284,"")</f>
        <v/>
      </c>
      <c r="Z3284" s="23" t="str">
        <f aca="false">IF(B3284="","",IF(MATCH(B3284,$B$2:$B$12000,0)=ROW()-1,1,0))</f>
        <v/>
      </c>
    </row>
    <row r="3285" customFormat="false" ht="15" hidden="false" customHeight="false" outlineLevel="0" collapsed="false">
      <c r="V3285" s="23" t="str">
        <f aca="false">IF(ISNUMBER(C3285),YEAR(C3285),"")</f>
        <v/>
      </c>
      <c r="W3285" s="23" t="str">
        <f aca="false">IF(ISNUMBER(C3285),MONTH(C3285),"")</f>
        <v/>
      </c>
      <c r="X3285" s="23" t="str">
        <f aca="false">IF(T3285="","",IF(T3285=0,"No discount",IF(T3285&lt;=0.2,"Low (1-20%)",IF(T3285&lt;=0.4,"Medium (21-40%)","High (&gt;40%)"))))</f>
        <v/>
      </c>
      <c r="Y3285" s="23" t="str">
        <f aca="false">IF(AND(ISNUMBER(C3285),ISNUMBER(D3285)),D3285-C3285,"")</f>
        <v/>
      </c>
      <c r="Z3285" s="23" t="str">
        <f aca="false">IF(B3285="","",IF(MATCH(B3285,$B$2:$B$12000,0)=ROW()-1,1,0))</f>
        <v/>
      </c>
    </row>
    <row r="3286" customFormat="false" ht="15" hidden="false" customHeight="false" outlineLevel="0" collapsed="false">
      <c r="V3286" s="23" t="str">
        <f aca="false">IF(ISNUMBER(C3286),YEAR(C3286),"")</f>
        <v/>
      </c>
      <c r="W3286" s="23" t="str">
        <f aca="false">IF(ISNUMBER(C3286),MONTH(C3286),"")</f>
        <v/>
      </c>
      <c r="X3286" s="23" t="str">
        <f aca="false">IF(T3286="","",IF(T3286=0,"No discount",IF(T3286&lt;=0.2,"Low (1-20%)",IF(T3286&lt;=0.4,"Medium (21-40%)","High (&gt;40%)"))))</f>
        <v/>
      </c>
      <c r="Y3286" s="23" t="str">
        <f aca="false">IF(AND(ISNUMBER(C3286),ISNUMBER(D3286)),D3286-C3286,"")</f>
        <v/>
      </c>
      <c r="Z3286" s="23" t="str">
        <f aca="false">IF(B3286="","",IF(MATCH(B3286,$B$2:$B$12000,0)=ROW()-1,1,0))</f>
        <v/>
      </c>
    </row>
    <row r="3287" customFormat="false" ht="15" hidden="false" customHeight="false" outlineLevel="0" collapsed="false">
      <c r="V3287" s="23" t="str">
        <f aca="false">IF(ISNUMBER(C3287),YEAR(C3287),"")</f>
        <v/>
      </c>
      <c r="W3287" s="23" t="str">
        <f aca="false">IF(ISNUMBER(C3287),MONTH(C3287),"")</f>
        <v/>
      </c>
      <c r="X3287" s="23" t="str">
        <f aca="false">IF(T3287="","",IF(T3287=0,"No discount",IF(T3287&lt;=0.2,"Low (1-20%)",IF(T3287&lt;=0.4,"Medium (21-40%)","High (&gt;40%)"))))</f>
        <v/>
      </c>
      <c r="Y3287" s="23" t="str">
        <f aca="false">IF(AND(ISNUMBER(C3287),ISNUMBER(D3287)),D3287-C3287,"")</f>
        <v/>
      </c>
      <c r="Z3287" s="23" t="str">
        <f aca="false">IF(B3287="","",IF(MATCH(B3287,$B$2:$B$12000,0)=ROW()-1,1,0))</f>
        <v/>
      </c>
    </row>
    <row r="3288" customFormat="false" ht="15" hidden="false" customHeight="false" outlineLevel="0" collapsed="false">
      <c r="V3288" s="23" t="str">
        <f aca="false">IF(ISNUMBER(C3288),YEAR(C3288),"")</f>
        <v/>
      </c>
      <c r="W3288" s="23" t="str">
        <f aca="false">IF(ISNUMBER(C3288),MONTH(C3288),"")</f>
        <v/>
      </c>
      <c r="X3288" s="23" t="str">
        <f aca="false">IF(T3288="","",IF(T3288=0,"No discount",IF(T3288&lt;=0.2,"Low (1-20%)",IF(T3288&lt;=0.4,"Medium (21-40%)","High (&gt;40%)"))))</f>
        <v/>
      </c>
      <c r="Y3288" s="23" t="str">
        <f aca="false">IF(AND(ISNUMBER(C3288),ISNUMBER(D3288)),D3288-C3288,"")</f>
        <v/>
      </c>
      <c r="Z3288" s="23" t="str">
        <f aca="false">IF(B3288="","",IF(MATCH(B3288,$B$2:$B$12000,0)=ROW()-1,1,0))</f>
        <v/>
      </c>
    </row>
    <row r="3289" customFormat="false" ht="15" hidden="false" customHeight="false" outlineLevel="0" collapsed="false">
      <c r="V3289" s="23" t="str">
        <f aca="false">IF(ISNUMBER(C3289),YEAR(C3289),"")</f>
        <v/>
      </c>
      <c r="W3289" s="23" t="str">
        <f aca="false">IF(ISNUMBER(C3289),MONTH(C3289),"")</f>
        <v/>
      </c>
      <c r="X3289" s="23" t="str">
        <f aca="false">IF(T3289="","",IF(T3289=0,"No discount",IF(T3289&lt;=0.2,"Low (1-20%)",IF(T3289&lt;=0.4,"Medium (21-40%)","High (&gt;40%)"))))</f>
        <v/>
      </c>
      <c r="Y3289" s="23" t="str">
        <f aca="false">IF(AND(ISNUMBER(C3289),ISNUMBER(D3289)),D3289-C3289,"")</f>
        <v/>
      </c>
      <c r="Z3289" s="23" t="str">
        <f aca="false">IF(B3289="","",IF(MATCH(B3289,$B$2:$B$12000,0)=ROW()-1,1,0))</f>
        <v/>
      </c>
    </row>
    <row r="3290" customFormat="false" ht="15" hidden="false" customHeight="false" outlineLevel="0" collapsed="false">
      <c r="V3290" s="23" t="str">
        <f aca="false">IF(ISNUMBER(C3290),YEAR(C3290),"")</f>
        <v/>
      </c>
      <c r="W3290" s="23" t="str">
        <f aca="false">IF(ISNUMBER(C3290),MONTH(C3290),"")</f>
        <v/>
      </c>
      <c r="X3290" s="23" t="str">
        <f aca="false">IF(T3290="","",IF(T3290=0,"No discount",IF(T3290&lt;=0.2,"Low (1-20%)",IF(T3290&lt;=0.4,"Medium (21-40%)","High (&gt;40%)"))))</f>
        <v/>
      </c>
      <c r="Y3290" s="23" t="str">
        <f aca="false">IF(AND(ISNUMBER(C3290),ISNUMBER(D3290)),D3290-C3290,"")</f>
        <v/>
      </c>
      <c r="Z3290" s="23" t="str">
        <f aca="false">IF(B3290="","",IF(MATCH(B3290,$B$2:$B$12000,0)=ROW()-1,1,0))</f>
        <v/>
      </c>
    </row>
    <row r="3291" customFormat="false" ht="15" hidden="false" customHeight="false" outlineLevel="0" collapsed="false">
      <c r="V3291" s="23" t="str">
        <f aca="false">IF(ISNUMBER(C3291),YEAR(C3291),"")</f>
        <v/>
      </c>
      <c r="W3291" s="23" t="str">
        <f aca="false">IF(ISNUMBER(C3291),MONTH(C3291),"")</f>
        <v/>
      </c>
      <c r="X3291" s="23" t="str">
        <f aca="false">IF(T3291="","",IF(T3291=0,"No discount",IF(T3291&lt;=0.2,"Low (1-20%)",IF(T3291&lt;=0.4,"Medium (21-40%)","High (&gt;40%)"))))</f>
        <v/>
      </c>
      <c r="Y3291" s="23" t="str">
        <f aca="false">IF(AND(ISNUMBER(C3291),ISNUMBER(D3291)),D3291-C3291,"")</f>
        <v/>
      </c>
      <c r="Z3291" s="23" t="str">
        <f aca="false">IF(B3291="","",IF(MATCH(B3291,$B$2:$B$12000,0)=ROW()-1,1,0))</f>
        <v/>
      </c>
    </row>
    <row r="3292" customFormat="false" ht="15" hidden="false" customHeight="false" outlineLevel="0" collapsed="false">
      <c r="V3292" s="23" t="str">
        <f aca="false">IF(ISNUMBER(C3292),YEAR(C3292),"")</f>
        <v/>
      </c>
      <c r="W3292" s="23" t="str">
        <f aca="false">IF(ISNUMBER(C3292),MONTH(C3292),"")</f>
        <v/>
      </c>
      <c r="X3292" s="23" t="str">
        <f aca="false">IF(T3292="","",IF(T3292=0,"No discount",IF(T3292&lt;=0.2,"Low (1-20%)",IF(T3292&lt;=0.4,"Medium (21-40%)","High (&gt;40%)"))))</f>
        <v/>
      </c>
      <c r="Y3292" s="23" t="str">
        <f aca="false">IF(AND(ISNUMBER(C3292),ISNUMBER(D3292)),D3292-C3292,"")</f>
        <v/>
      </c>
      <c r="Z3292" s="23" t="str">
        <f aca="false">IF(B3292="","",IF(MATCH(B3292,$B$2:$B$12000,0)=ROW()-1,1,0))</f>
        <v/>
      </c>
    </row>
    <row r="3293" customFormat="false" ht="15" hidden="false" customHeight="false" outlineLevel="0" collapsed="false">
      <c r="V3293" s="23" t="str">
        <f aca="false">IF(ISNUMBER(C3293),YEAR(C3293),"")</f>
        <v/>
      </c>
      <c r="W3293" s="23" t="str">
        <f aca="false">IF(ISNUMBER(C3293),MONTH(C3293),"")</f>
        <v/>
      </c>
      <c r="X3293" s="23" t="str">
        <f aca="false">IF(T3293="","",IF(T3293=0,"No discount",IF(T3293&lt;=0.2,"Low (1-20%)",IF(T3293&lt;=0.4,"Medium (21-40%)","High (&gt;40%)"))))</f>
        <v/>
      </c>
      <c r="Y3293" s="23" t="str">
        <f aca="false">IF(AND(ISNUMBER(C3293),ISNUMBER(D3293)),D3293-C3293,"")</f>
        <v/>
      </c>
      <c r="Z3293" s="23" t="str">
        <f aca="false">IF(B3293="","",IF(MATCH(B3293,$B$2:$B$12000,0)=ROW()-1,1,0))</f>
        <v/>
      </c>
    </row>
    <row r="3294" customFormat="false" ht="15" hidden="false" customHeight="false" outlineLevel="0" collapsed="false">
      <c r="V3294" s="23" t="str">
        <f aca="false">IF(ISNUMBER(C3294),YEAR(C3294),"")</f>
        <v/>
      </c>
      <c r="W3294" s="23" t="str">
        <f aca="false">IF(ISNUMBER(C3294),MONTH(C3294),"")</f>
        <v/>
      </c>
      <c r="X3294" s="23" t="str">
        <f aca="false">IF(T3294="","",IF(T3294=0,"No discount",IF(T3294&lt;=0.2,"Low (1-20%)",IF(T3294&lt;=0.4,"Medium (21-40%)","High (&gt;40%)"))))</f>
        <v/>
      </c>
      <c r="Y3294" s="23" t="str">
        <f aca="false">IF(AND(ISNUMBER(C3294),ISNUMBER(D3294)),D3294-C3294,"")</f>
        <v/>
      </c>
      <c r="Z3294" s="23" t="str">
        <f aca="false">IF(B3294="","",IF(MATCH(B3294,$B$2:$B$12000,0)=ROW()-1,1,0))</f>
        <v/>
      </c>
    </row>
    <row r="3295" customFormat="false" ht="15" hidden="false" customHeight="false" outlineLevel="0" collapsed="false">
      <c r="V3295" s="23" t="str">
        <f aca="false">IF(ISNUMBER(C3295),YEAR(C3295),"")</f>
        <v/>
      </c>
      <c r="W3295" s="23" t="str">
        <f aca="false">IF(ISNUMBER(C3295),MONTH(C3295),"")</f>
        <v/>
      </c>
      <c r="X3295" s="23" t="str">
        <f aca="false">IF(T3295="","",IF(T3295=0,"No discount",IF(T3295&lt;=0.2,"Low (1-20%)",IF(T3295&lt;=0.4,"Medium (21-40%)","High (&gt;40%)"))))</f>
        <v/>
      </c>
      <c r="Y3295" s="23" t="str">
        <f aca="false">IF(AND(ISNUMBER(C3295),ISNUMBER(D3295)),D3295-C3295,"")</f>
        <v/>
      </c>
      <c r="Z3295" s="23" t="str">
        <f aca="false">IF(B3295="","",IF(MATCH(B3295,$B$2:$B$12000,0)=ROW()-1,1,0))</f>
        <v/>
      </c>
    </row>
    <row r="3296" customFormat="false" ht="15" hidden="false" customHeight="false" outlineLevel="0" collapsed="false">
      <c r="V3296" s="23" t="str">
        <f aca="false">IF(ISNUMBER(C3296),YEAR(C3296),"")</f>
        <v/>
      </c>
      <c r="W3296" s="23" t="str">
        <f aca="false">IF(ISNUMBER(C3296),MONTH(C3296),"")</f>
        <v/>
      </c>
      <c r="X3296" s="23" t="str">
        <f aca="false">IF(T3296="","",IF(T3296=0,"No discount",IF(T3296&lt;=0.2,"Low (1-20%)",IF(T3296&lt;=0.4,"Medium (21-40%)","High (&gt;40%)"))))</f>
        <v/>
      </c>
      <c r="Y3296" s="23" t="str">
        <f aca="false">IF(AND(ISNUMBER(C3296),ISNUMBER(D3296)),D3296-C3296,"")</f>
        <v/>
      </c>
      <c r="Z3296" s="23" t="str">
        <f aca="false">IF(B3296="","",IF(MATCH(B3296,$B$2:$B$12000,0)=ROW()-1,1,0))</f>
        <v/>
      </c>
    </row>
    <row r="3297" customFormat="false" ht="15" hidden="false" customHeight="false" outlineLevel="0" collapsed="false">
      <c r="V3297" s="23" t="str">
        <f aca="false">IF(ISNUMBER(C3297),YEAR(C3297),"")</f>
        <v/>
      </c>
      <c r="W3297" s="23" t="str">
        <f aca="false">IF(ISNUMBER(C3297),MONTH(C3297),"")</f>
        <v/>
      </c>
      <c r="X3297" s="23" t="str">
        <f aca="false">IF(T3297="","",IF(T3297=0,"No discount",IF(T3297&lt;=0.2,"Low (1-20%)",IF(T3297&lt;=0.4,"Medium (21-40%)","High (&gt;40%)"))))</f>
        <v/>
      </c>
      <c r="Y3297" s="23" t="str">
        <f aca="false">IF(AND(ISNUMBER(C3297),ISNUMBER(D3297)),D3297-C3297,"")</f>
        <v/>
      </c>
      <c r="Z3297" s="23" t="str">
        <f aca="false">IF(B3297="","",IF(MATCH(B3297,$B$2:$B$12000,0)=ROW()-1,1,0))</f>
        <v/>
      </c>
    </row>
    <row r="3298" customFormat="false" ht="15" hidden="false" customHeight="false" outlineLevel="0" collapsed="false">
      <c r="V3298" s="23" t="str">
        <f aca="false">IF(ISNUMBER(C3298),YEAR(C3298),"")</f>
        <v/>
      </c>
      <c r="W3298" s="23" t="str">
        <f aca="false">IF(ISNUMBER(C3298),MONTH(C3298),"")</f>
        <v/>
      </c>
      <c r="X3298" s="23" t="str">
        <f aca="false">IF(T3298="","",IF(T3298=0,"No discount",IF(T3298&lt;=0.2,"Low (1-20%)",IF(T3298&lt;=0.4,"Medium (21-40%)","High (&gt;40%)"))))</f>
        <v/>
      </c>
      <c r="Y3298" s="23" t="str">
        <f aca="false">IF(AND(ISNUMBER(C3298),ISNUMBER(D3298)),D3298-C3298,"")</f>
        <v/>
      </c>
      <c r="Z3298" s="23" t="str">
        <f aca="false">IF(B3298="","",IF(MATCH(B3298,$B$2:$B$12000,0)=ROW()-1,1,0))</f>
        <v/>
      </c>
    </row>
    <row r="3299" customFormat="false" ht="15" hidden="false" customHeight="false" outlineLevel="0" collapsed="false">
      <c r="V3299" s="23" t="str">
        <f aca="false">IF(ISNUMBER(C3299),YEAR(C3299),"")</f>
        <v/>
      </c>
      <c r="W3299" s="23" t="str">
        <f aca="false">IF(ISNUMBER(C3299),MONTH(C3299),"")</f>
        <v/>
      </c>
      <c r="X3299" s="23" t="str">
        <f aca="false">IF(T3299="","",IF(T3299=0,"No discount",IF(T3299&lt;=0.2,"Low (1-20%)",IF(T3299&lt;=0.4,"Medium (21-40%)","High (&gt;40%)"))))</f>
        <v/>
      </c>
      <c r="Y3299" s="23" t="str">
        <f aca="false">IF(AND(ISNUMBER(C3299),ISNUMBER(D3299)),D3299-C3299,"")</f>
        <v/>
      </c>
      <c r="Z3299" s="23" t="str">
        <f aca="false">IF(B3299="","",IF(MATCH(B3299,$B$2:$B$12000,0)=ROW()-1,1,0))</f>
        <v/>
      </c>
    </row>
    <row r="3300" customFormat="false" ht="15" hidden="false" customHeight="false" outlineLevel="0" collapsed="false">
      <c r="V3300" s="23" t="str">
        <f aca="false">IF(ISNUMBER(C3300),YEAR(C3300),"")</f>
        <v/>
      </c>
      <c r="W3300" s="23" t="str">
        <f aca="false">IF(ISNUMBER(C3300),MONTH(C3300),"")</f>
        <v/>
      </c>
      <c r="X3300" s="23" t="str">
        <f aca="false">IF(T3300="","",IF(T3300=0,"No discount",IF(T3300&lt;=0.2,"Low (1-20%)",IF(T3300&lt;=0.4,"Medium (21-40%)","High (&gt;40%)"))))</f>
        <v/>
      </c>
      <c r="Y3300" s="23" t="str">
        <f aca="false">IF(AND(ISNUMBER(C3300),ISNUMBER(D3300)),D3300-C3300,"")</f>
        <v/>
      </c>
      <c r="Z3300" s="23" t="str">
        <f aca="false">IF(B3300="","",IF(MATCH(B3300,$B$2:$B$12000,0)=ROW()-1,1,0))</f>
        <v/>
      </c>
    </row>
    <row r="3301" customFormat="false" ht="15" hidden="false" customHeight="false" outlineLevel="0" collapsed="false">
      <c r="V3301" s="23" t="str">
        <f aca="false">IF(ISNUMBER(C3301),YEAR(C3301),"")</f>
        <v/>
      </c>
      <c r="W3301" s="23" t="str">
        <f aca="false">IF(ISNUMBER(C3301),MONTH(C3301),"")</f>
        <v/>
      </c>
      <c r="X3301" s="23" t="str">
        <f aca="false">IF(T3301="","",IF(T3301=0,"No discount",IF(T3301&lt;=0.2,"Low (1-20%)",IF(T3301&lt;=0.4,"Medium (21-40%)","High (&gt;40%)"))))</f>
        <v/>
      </c>
      <c r="Y3301" s="23" t="str">
        <f aca="false">IF(AND(ISNUMBER(C3301),ISNUMBER(D3301)),D3301-C3301,"")</f>
        <v/>
      </c>
      <c r="Z3301" s="23" t="str">
        <f aca="false">IF(B3301="","",IF(MATCH(B3301,$B$2:$B$12000,0)=ROW()-1,1,0))</f>
        <v/>
      </c>
    </row>
    <row r="3302" customFormat="false" ht="15" hidden="false" customHeight="false" outlineLevel="0" collapsed="false">
      <c r="V3302" s="23" t="str">
        <f aca="false">IF(ISNUMBER(C3302),YEAR(C3302),"")</f>
        <v/>
      </c>
      <c r="W3302" s="23" t="str">
        <f aca="false">IF(ISNUMBER(C3302),MONTH(C3302),"")</f>
        <v/>
      </c>
      <c r="X3302" s="23" t="str">
        <f aca="false">IF(T3302="","",IF(T3302=0,"No discount",IF(T3302&lt;=0.2,"Low (1-20%)",IF(T3302&lt;=0.4,"Medium (21-40%)","High (&gt;40%)"))))</f>
        <v/>
      </c>
      <c r="Y3302" s="23" t="str">
        <f aca="false">IF(AND(ISNUMBER(C3302),ISNUMBER(D3302)),D3302-C3302,"")</f>
        <v/>
      </c>
      <c r="Z3302" s="23" t="str">
        <f aca="false">IF(B3302="","",IF(MATCH(B3302,$B$2:$B$12000,0)=ROW()-1,1,0))</f>
        <v/>
      </c>
    </row>
    <row r="3303" customFormat="false" ht="15" hidden="false" customHeight="false" outlineLevel="0" collapsed="false">
      <c r="V3303" s="23" t="str">
        <f aca="false">IF(ISNUMBER(C3303),YEAR(C3303),"")</f>
        <v/>
      </c>
      <c r="W3303" s="23" t="str">
        <f aca="false">IF(ISNUMBER(C3303),MONTH(C3303),"")</f>
        <v/>
      </c>
      <c r="X3303" s="23" t="str">
        <f aca="false">IF(T3303="","",IF(T3303=0,"No discount",IF(T3303&lt;=0.2,"Low (1-20%)",IF(T3303&lt;=0.4,"Medium (21-40%)","High (&gt;40%)"))))</f>
        <v/>
      </c>
      <c r="Y3303" s="23" t="str">
        <f aca="false">IF(AND(ISNUMBER(C3303),ISNUMBER(D3303)),D3303-C3303,"")</f>
        <v/>
      </c>
      <c r="Z3303" s="23" t="str">
        <f aca="false">IF(B3303="","",IF(MATCH(B3303,$B$2:$B$12000,0)=ROW()-1,1,0))</f>
        <v/>
      </c>
    </row>
    <row r="3304" customFormat="false" ht="15" hidden="false" customHeight="false" outlineLevel="0" collapsed="false">
      <c r="V3304" s="23" t="str">
        <f aca="false">IF(ISNUMBER(C3304),YEAR(C3304),"")</f>
        <v/>
      </c>
      <c r="W3304" s="23" t="str">
        <f aca="false">IF(ISNUMBER(C3304),MONTH(C3304),"")</f>
        <v/>
      </c>
      <c r="X3304" s="23" t="str">
        <f aca="false">IF(T3304="","",IF(T3304=0,"No discount",IF(T3304&lt;=0.2,"Low (1-20%)",IF(T3304&lt;=0.4,"Medium (21-40%)","High (&gt;40%)"))))</f>
        <v/>
      </c>
      <c r="Y3304" s="23" t="str">
        <f aca="false">IF(AND(ISNUMBER(C3304),ISNUMBER(D3304)),D3304-C3304,"")</f>
        <v/>
      </c>
      <c r="Z3304" s="23" t="str">
        <f aca="false">IF(B3304="","",IF(MATCH(B3304,$B$2:$B$12000,0)=ROW()-1,1,0))</f>
        <v/>
      </c>
    </row>
    <row r="3305" customFormat="false" ht="15" hidden="false" customHeight="false" outlineLevel="0" collapsed="false">
      <c r="V3305" s="23" t="str">
        <f aca="false">IF(ISNUMBER(C3305),YEAR(C3305),"")</f>
        <v/>
      </c>
      <c r="W3305" s="23" t="str">
        <f aca="false">IF(ISNUMBER(C3305),MONTH(C3305),"")</f>
        <v/>
      </c>
      <c r="X3305" s="23" t="str">
        <f aca="false">IF(T3305="","",IF(T3305=0,"No discount",IF(T3305&lt;=0.2,"Low (1-20%)",IF(T3305&lt;=0.4,"Medium (21-40%)","High (&gt;40%)"))))</f>
        <v/>
      </c>
      <c r="Y3305" s="23" t="str">
        <f aca="false">IF(AND(ISNUMBER(C3305),ISNUMBER(D3305)),D3305-C3305,"")</f>
        <v/>
      </c>
      <c r="Z3305" s="23" t="str">
        <f aca="false">IF(B3305="","",IF(MATCH(B3305,$B$2:$B$12000,0)=ROW()-1,1,0))</f>
        <v/>
      </c>
    </row>
    <row r="3306" customFormat="false" ht="15" hidden="false" customHeight="false" outlineLevel="0" collapsed="false">
      <c r="V3306" s="23" t="str">
        <f aca="false">IF(ISNUMBER(C3306),YEAR(C3306),"")</f>
        <v/>
      </c>
      <c r="W3306" s="23" t="str">
        <f aca="false">IF(ISNUMBER(C3306),MONTH(C3306),"")</f>
        <v/>
      </c>
      <c r="X3306" s="23" t="str">
        <f aca="false">IF(T3306="","",IF(T3306=0,"No discount",IF(T3306&lt;=0.2,"Low (1-20%)",IF(T3306&lt;=0.4,"Medium (21-40%)","High (&gt;40%)"))))</f>
        <v/>
      </c>
      <c r="Y3306" s="23" t="str">
        <f aca="false">IF(AND(ISNUMBER(C3306),ISNUMBER(D3306)),D3306-C3306,"")</f>
        <v/>
      </c>
      <c r="Z3306" s="23" t="str">
        <f aca="false">IF(B3306="","",IF(MATCH(B3306,$B$2:$B$12000,0)=ROW()-1,1,0))</f>
        <v/>
      </c>
    </row>
    <row r="3307" customFormat="false" ht="15" hidden="false" customHeight="false" outlineLevel="0" collapsed="false">
      <c r="V3307" s="23" t="str">
        <f aca="false">IF(ISNUMBER(C3307),YEAR(C3307),"")</f>
        <v/>
      </c>
      <c r="W3307" s="23" t="str">
        <f aca="false">IF(ISNUMBER(C3307),MONTH(C3307),"")</f>
        <v/>
      </c>
      <c r="X3307" s="23" t="str">
        <f aca="false">IF(T3307="","",IF(T3307=0,"No discount",IF(T3307&lt;=0.2,"Low (1-20%)",IF(T3307&lt;=0.4,"Medium (21-40%)","High (&gt;40%)"))))</f>
        <v/>
      </c>
      <c r="Y3307" s="23" t="str">
        <f aca="false">IF(AND(ISNUMBER(C3307),ISNUMBER(D3307)),D3307-C3307,"")</f>
        <v/>
      </c>
      <c r="Z3307" s="23" t="str">
        <f aca="false">IF(B3307="","",IF(MATCH(B3307,$B$2:$B$12000,0)=ROW()-1,1,0))</f>
        <v/>
      </c>
    </row>
    <row r="3308" customFormat="false" ht="15" hidden="false" customHeight="false" outlineLevel="0" collapsed="false">
      <c r="V3308" s="23" t="str">
        <f aca="false">IF(ISNUMBER(C3308),YEAR(C3308),"")</f>
        <v/>
      </c>
      <c r="W3308" s="23" t="str">
        <f aca="false">IF(ISNUMBER(C3308),MONTH(C3308),"")</f>
        <v/>
      </c>
      <c r="X3308" s="23" t="str">
        <f aca="false">IF(T3308="","",IF(T3308=0,"No discount",IF(T3308&lt;=0.2,"Low (1-20%)",IF(T3308&lt;=0.4,"Medium (21-40%)","High (&gt;40%)"))))</f>
        <v/>
      </c>
      <c r="Y3308" s="23" t="str">
        <f aca="false">IF(AND(ISNUMBER(C3308),ISNUMBER(D3308)),D3308-C3308,"")</f>
        <v/>
      </c>
      <c r="Z3308" s="23" t="str">
        <f aca="false">IF(B3308="","",IF(MATCH(B3308,$B$2:$B$12000,0)=ROW()-1,1,0))</f>
        <v/>
      </c>
    </row>
    <row r="3309" customFormat="false" ht="15" hidden="false" customHeight="false" outlineLevel="0" collapsed="false">
      <c r="V3309" s="23" t="str">
        <f aca="false">IF(ISNUMBER(C3309),YEAR(C3309),"")</f>
        <v/>
      </c>
      <c r="W3309" s="23" t="str">
        <f aca="false">IF(ISNUMBER(C3309),MONTH(C3309),"")</f>
        <v/>
      </c>
      <c r="X3309" s="23" t="str">
        <f aca="false">IF(T3309="","",IF(T3309=0,"No discount",IF(T3309&lt;=0.2,"Low (1-20%)",IF(T3309&lt;=0.4,"Medium (21-40%)","High (&gt;40%)"))))</f>
        <v/>
      </c>
      <c r="Y3309" s="23" t="str">
        <f aca="false">IF(AND(ISNUMBER(C3309),ISNUMBER(D3309)),D3309-C3309,"")</f>
        <v/>
      </c>
      <c r="Z3309" s="23" t="str">
        <f aca="false">IF(B3309="","",IF(MATCH(B3309,$B$2:$B$12000,0)=ROW()-1,1,0))</f>
        <v/>
      </c>
    </row>
    <row r="3310" customFormat="false" ht="15" hidden="false" customHeight="false" outlineLevel="0" collapsed="false">
      <c r="V3310" s="23" t="str">
        <f aca="false">IF(ISNUMBER(C3310),YEAR(C3310),"")</f>
        <v/>
      </c>
      <c r="W3310" s="23" t="str">
        <f aca="false">IF(ISNUMBER(C3310),MONTH(C3310),"")</f>
        <v/>
      </c>
      <c r="X3310" s="23" t="str">
        <f aca="false">IF(T3310="","",IF(T3310=0,"No discount",IF(T3310&lt;=0.2,"Low (1-20%)",IF(T3310&lt;=0.4,"Medium (21-40%)","High (&gt;40%)"))))</f>
        <v/>
      </c>
      <c r="Y3310" s="23" t="str">
        <f aca="false">IF(AND(ISNUMBER(C3310),ISNUMBER(D3310)),D3310-C3310,"")</f>
        <v/>
      </c>
      <c r="Z3310" s="23" t="str">
        <f aca="false">IF(B3310="","",IF(MATCH(B3310,$B$2:$B$12000,0)=ROW()-1,1,0))</f>
        <v/>
      </c>
    </row>
    <row r="3311" customFormat="false" ht="15" hidden="false" customHeight="false" outlineLevel="0" collapsed="false">
      <c r="V3311" s="23" t="str">
        <f aca="false">IF(ISNUMBER(C3311),YEAR(C3311),"")</f>
        <v/>
      </c>
      <c r="W3311" s="23" t="str">
        <f aca="false">IF(ISNUMBER(C3311),MONTH(C3311),"")</f>
        <v/>
      </c>
      <c r="X3311" s="23" t="str">
        <f aca="false">IF(T3311="","",IF(T3311=0,"No discount",IF(T3311&lt;=0.2,"Low (1-20%)",IF(T3311&lt;=0.4,"Medium (21-40%)","High (&gt;40%)"))))</f>
        <v/>
      </c>
      <c r="Y3311" s="23" t="str">
        <f aca="false">IF(AND(ISNUMBER(C3311),ISNUMBER(D3311)),D3311-C3311,"")</f>
        <v/>
      </c>
      <c r="Z3311" s="23" t="str">
        <f aca="false">IF(B3311="","",IF(MATCH(B3311,$B$2:$B$12000,0)=ROW()-1,1,0))</f>
        <v/>
      </c>
    </row>
    <row r="3312" customFormat="false" ht="15" hidden="false" customHeight="false" outlineLevel="0" collapsed="false">
      <c r="V3312" s="23" t="str">
        <f aca="false">IF(ISNUMBER(C3312),YEAR(C3312),"")</f>
        <v/>
      </c>
      <c r="W3312" s="23" t="str">
        <f aca="false">IF(ISNUMBER(C3312),MONTH(C3312),"")</f>
        <v/>
      </c>
      <c r="X3312" s="23" t="str">
        <f aca="false">IF(T3312="","",IF(T3312=0,"No discount",IF(T3312&lt;=0.2,"Low (1-20%)",IF(T3312&lt;=0.4,"Medium (21-40%)","High (&gt;40%)"))))</f>
        <v/>
      </c>
      <c r="Y3312" s="23" t="str">
        <f aca="false">IF(AND(ISNUMBER(C3312),ISNUMBER(D3312)),D3312-C3312,"")</f>
        <v/>
      </c>
      <c r="Z3312" s="23" t="str">
        <f aca="false">IF(B3312="","",IF(MATCH(B3312,$B$2:$B$12000,0)=ROW()-1,1,0))</f>
        <v/>
      </c>
    </row>
    <row r="3313" customFormat="false" ht="15" hidden="false" customHeight="false" outlineLevel="0" collapsed="false">
      <c r="V3313" s="23" t="str">
        <f aca="false">IF(ISNUMBER(C3313),YEAR(C3313),"")</f>
        <v/>
      </c>
      <c r="W3313" s="23" t="str">
        <f aca="false">IF(ISNUMBER(C3313),MONTH(C3313),"")</f>
        <v/>
      </c>
      <c r="X3313" s="23" t="str">
        <f aca="false">IF(T3313="","",IF(T3313=0,"No discount",IF(T3313&lt;=0.2,"Low (1-20%)",IF(T3313&lt;=0.4,"Medium (21-40%)","High (&gt;40%)"))))</f>
        <v/>
      </c>
      <c r="Y3313" s="23" t="str">
        <f aca="false">IF(AND(ISNUMBER(C3313),ISNUMBER(D3313)),D3313-C3313,"")</f>
        <v/>
      </c>
      <c r="Z3313" s="23" t="str">
        <f aca="false">IF(B3313="","",IF(MATCH(B3313,$B$2:$B$12000,0)=ROW()-1,1,0))</f>
        <v/>
      </c>
    </row>
    <row r="3314" customFormat="false" ht="15" hidden="false" customHeight="false" outlineLevel="0" collapsed="false">
      <c r="V3314" s="23" t="str">
        <f aca="false">IF(ISNUMBER(C3314),YEAR(C3314),"")</f>
        <v/>
      </c>
      <c r="W3314" s="23" t="str">
        <f aca="false">IF(ISNUMBER(C3314),MONTH(C3314),"")</f>
        <v/>
      </c>
      <c r="X3314" s="23" t="str">
        <f aca="false">IF(T3314="","",IF(T3314=0,"No discount",IF(T3314&lt;=0.2,"Low (1-20%)",IF(T3314&lt;=0.4,"Medium (21-40%)","High (&gt;40%)"))))</f>
        <v/>
      </c>
      <c r="Y3314" s="23" t="str">
        <f aca="false">IF(AND(ISNUMBER(C3314),ISNUMBER(D3314)),D3314-C3314,"")</f>
        <v/>
      </c>
      <c r="Z3314" s="23" t="str">
        <f aca="false">IF(B3314="","",IF(MATCH(B3314,$B$2:$B$12000,0)=ROW()-1,1,0))</f>
        <v/>
      </c>
    </row>
    <row r="3315" customFormat="false" ht="15" hidden="false" customHeight="false" outlineLevel="0" collapsed="false">
      <c r="V3315" s="23" t="str">
        <f aca="false">IF(ISNUMBER(C3315),YEAR(C3315),"")</f>
        <v/>
      </c>
      <c r="W3315" s="23" t="str">
        <f aca="false">IF(ISNUMBER(C3315),MONTH(C3315),"")</f>
        <v/>
      </c>
      <c r="X3315" s="23" t="str">
        <f aca="false">IF(T3315="","",IF(T3315=0,"No discount",IF(T3315&lt;=0.2,"Low (1-20%)",IF(T3315&lt;=0.4,"Medium (21-40%)","High (&gt;40%)"))))</f>
        <v/>
      </c>
      <c r="Y3315" s="23" t="str">
        <f aca="false">IF(AND(ISNUMBER(C3315),ISNUMBER(D3315)),D3315-C3315,"")</f>
        <v/>
      </c>
      <c r="Z3315" s="23" t="str">
        <f aca="false">IF(B3315="","",IF(MATCH(B3315,$B$2:$B$12000,0)=ROW()-1,1,0))</f>
        <v/>
      </c>
    </row>
    <row r="3316" customFormat="false" ht="15" hidden="false" customHeight="false" outlineLevel="0" collapsed="false">
      <c r="V3316" s="23" t="str">
        <f aca="false">IF(ISNUMBER(C3316),YEAR(C3316),"")</f>
        <v/>
      </c>
      <c r="W3316" s="23" t="str">
        <f aca="false">IF(ISNUMBER(C3316),MONTH(C3316),"")</f>
        <v/>
      </c>
      <c r="X3316" s="23" t="str">
        <f aca="false">IF(T3316="","",IF(T3316=0,"No discount",IF(T3316&lt;=0.2,"Low (1-20%)",IF(T3316&lt;=0.4,"Medium (21-40%)","High (&gt;40%)"))))</f>
        <v/>
      </c>
      <c r="Y3316" s="23" t="str">
        <f aca="false">IF(AND(ISNUMBER(C3316),ISNUMBER(D3316)),D3316-C3316,"")</f>
        <v/>
      </c>
      <c r="Z3316" s="23" t="str">
        <f aca="false">IF(B3316="","",IF(MATCH(B3316,$B$2:$B$12000,0)=ROW()-1,1,0))</f>
        <v/>
      </c>
    </row>
    <row r="3317" customFormat="false" ht="15" hidden="false" customHeight="false" outlineLevel="0" collapsed="false">
      <c r="V3317" s="23" t="str">
        <f aca="false">IF(ISNUMBER(C3317),YEAR(C3317),"")</f>
        <v/>
      </c>
      <c r="W3317" s="23" t="str">
        <f aca="false">IF(ISNUMBER(C3317),MONTH(C3317),"")</f>
        <v/>
      </c>
      <c r="X3317" s="23" t="str">
        <f aca="false">IF(T3317="","",IF(T3317=0,"No discount",IF(T3317&lt;=0.2,"Low (1-20%)",IF(T3317&lt;=0.4,"Medium (21-40%)","High (&gt;40%)"))))</f>
        <v/>
      </c>
      <c r="Y3317" s="23" t="str">
        <f aca="false">IF(AND(ISNUMBER(C3317),ISNUMBER(D3317)),D3317-C3317,"")</f>
        <v/>
      </c>
      <c r="Z3317" s="23" t="str">
        <f aca="false">IF(B3317="","",IF(MATCH(B3317,$B$2:$B$12000,0)=ROW()-1,1,0))</f>
        <v/>
      </c>
    </row>
    <row r="3318" customFormat="false" ht="15" hidden="false" customHeight="false" outlineLevel="0" collapsed="false">
      <c r="V3318" s="23" t="str">
        <f aca="false">IF(ISNUMBER(C3318),YEAR(C3318),"")</f>
        <v/>
      </c>
      <c r="W3318" s="23" t="str">
        <f aca="false">IF(ISNUMBER(C3318),MONTH(C3318),"")</f>
        <v/>
      </c>
      <c r="X3318" s="23" t="str">
        <f aca="false">IF(T3318="","",IF(T3318=0,"No discount",IF(T3318&lt;=0.2,"Low (1-20%)",IF(T3318&lt;=0.4,"Medium (21-40%)","High (&gt;40%)"))))</f>
        <v/>
      </c>
      <c r="Y3318" s="23" t="str">
        <f aca="false">IF(AND(ISNUMBER(C3318),ISNUMBER(D3318)),D3318-C3318,"")</f>
        <v/>
      </c>
      <c r="Z3318" s="23" t="str">
        <f aca="false">IF(B3318="","",IF(MATCH(B3318,$B$2:$B$12000,0)=ROW()-1,1,0))</f>
        <v/>
      </c>
    </row>
    <row r="3319" customFormat="false" ht="15" hidden="false" customHeight="false" outlineLevel="0" collapsed="false">
      <c r="V3319" s="23" t="str">
        <f aca="false">IF(ISNUMBER(C3319),YEAR(C3319),"")</f>
        <v/>
      </c>
      <c r="W3319" s="23" t="str">
        <f aca="false">IF(ISNUMBER(C3319),MONTH(C3319),"")</f>
        <v/>
      </c>
      <c r="X3319" s="23" t="str">
        <f aca="false">IF(T3319="","",IF(T3319=0,"No discount",IF(T3319&lt;=0.2,"Low (1-20%)",IF(T3319&lt;=0.4,"Medium (21-40%)","High (&gt;40%)"))))</f>
        <v/>
      </c>
      <c r="Y3319" s="23" t="str">
        <f aca="false">IF(AND(ISNUMBER(C3319),ISNUMBER(D3319)),D3319-C3319,"")</f>
        <v/>
      </c>
      <c r="Z3319" s="23" t="str">
        <f aca="false">IF(B3319="","",IF(MATCH(B3319,$B$2:$B$12000,0)=ROW()-1,1,0))</f>
        <v/>
      </c>
    </row>
    <row r="3320" customFormat="false" ht="15" hidden="false" customHeight="false" outlineLevel="0" collapsed="false">
      <c r="V3320" s="23" t="str">
        <f aca="false">IF(ISNUMBER(C3320),YEAR(C3320),"")</f>
        <v/>
      </c>
      <c r="W3320" s="23" t="str">
        <f aca="false">IF(ISNUMBER(C3320),MONTH(C3320),"")</f>
        <v/>
      </c>
      <c r="X3320" s="23" t="str">
        <f aca="false">IF(T3320="","",IF(T3320=0,"No discount",IF(T3320&lt;=0.2,"Low (1-20%)",IF(T3320&lt;=0.4,"Medium (21-40%)","High (&gt;40%)"))))</f>
        <v/>
      </c>
      <c r="Y3320" s="23" t="str">
        <f aca="false">IF(AND(ISNUMBER(C3320),ISNUMBER(D3320)),D3320-C3320,"")</f>
        <v/>
      </c>
      <c r="Z3320" s="23" t="str">
        <f aca="false">IF(B3320="","",IF(MATCH(B3320,$B$2:$B$12000,0)=ROW()-1,1,0))</f>
        <v/>
      </c>
    </row>
    <row r="3321" customFormat="false" ht="15" hidden="false" customHeight="false" outlineLevel="0" collapsed="false">
      <c r="V3321" s="23" t="str">
        <f aca="false">IF(ISNUMBER(C3321),YEAR(C3321),"")</f>
        <v/>
      </c>
      <c r="W3321" s="23" t="str">
        <f aca="false">IF(ISNUMBER(C3321),MONTH(C3321),"")</f>
        <v/>
      </c>
      <c r="X3321" s="23" t="str">
        <f aca="false">IF(T3321="","",IF(T3321=0,"No discount",IF(T3321&lt;=0.2,"Low (1-20%)",IF(T3321&lt;=0.4,"Medium (21-40%)","High (&gt;40%)"))))</f>
        <v/>
      </c>
      <c r="Y3321" s="23" t="str">
        <f aca="false">IF(AND(ISNUMBER(C3321),ISNUMBER(D3321)),D3321-C3321,"")</f>
        <v/>
      </c>
      <c r="Z3321" s="23" t="str">
        <f aca="false">IF(B3321="","",IF(MATCH(B3321,$B$2:$B$12000,0)=ROW()-1,1,0))</f>
        <v/>
      </c>
    </row>
    <row r="3322" customFormat="false" ht="15" hidden="false" customHeight="false" outlineLevel="0" collapsed="false">
      <c r="V3322" s="23" t="str">
        <f aca="false">IF(ISNUMBER(C3322),YEAR(C3322),"")</f>
        <v/>
      </c>
      <c r="W3322" s="23" t="str">
        <f aca="false">IF(ISNUMBER(C3322),MONTH(C3322),"")</f>
        <v/>
      </c>
      <c r="X3322" s="23" t="str">
        <f aca="false">IF(T3322="","",IF(T3322=0,"No discount",IF(T3322&lt;=0.2,"Low (1-20%)",IF(T3322&lt;=0.4,"Medium (21-40%)","High (&gt;40%)"))))</f>
        <v/>
      </c>
      <c r="Y3322" s="23" t="str">
        <f aca="false">IF(AND(ISNUMBER(C3322),ISNUMBER(D3322)),D3322-C3322,"")</f>
        <v/>
      </c>
      <c r="Z3322" s="23" t="str">
        <f aca="false">IF(B3322="","",IF(MATCH(B3322,$B$2:$B$12000,0)=ROW()-1,1,0))</f>
        <v/>
      </c>
    </row>
    <row r="3323" customFormat="false" ht="15" hidden="false" customHeight="false" outlineLevel="0" collapsed="false">
      <c r="V3323" s="23" t="str">
        <f aca="false">IF(ISNUMBER(C3323),YEAR(C3323),"")</f>
        <v/>
      </c>
      <c r="W3323" s="23" t="str">
        <f aca="false">IF(ISNUMBER(C3323),MONTH(C3323),"")</f>
        <v/>
      </c>
      <c r="X3323" s="23" t="str">
        <f aca="false">IF(T3323="","",IF(T3323=0,"No discount",IF(T3323&lt;=0.2,"Low (1-20%)",IF(T3323&lt;=0.4,"Medium (21-40%)","High (&gt;40%)"))))</f>
        <v/>
      </c>
      <c r="Y3323" s="23" t="str">
        <f aca="false">IF(AND(ISNUMBER(C3323),ISNUMBER(D3323)),D3323-C3323,"")</f>
        <v/>
      </c>
      <c r="Z3323" s="23" t="str">
        <f aca="false">IF(B3323="","",IF(MATCH(B3323,$B$2:$B$12000,0)=ROW()-1,1,0))</f>
        <v/>
      </c>
    </row>
    <row r="3324" customFormat="false" ht="15" hidden="false" customHeight="false" outlineLevel="0" collapsed="false">
      <c r="V3324" s="23" t="str">
        <f aca="false">IF(ISNUMBER(C3324),YEAR(C3324),"")</f>
        <v/>
      </c>
      <c r="W3324" s="23" t="str">
        <f aca="false">IF(ISNUMBER(C3324),MONTH(C3324),"")</f>
        <v/>
      </c>
      <c r="X3324" s="23" t="str">
        <f aca="false">IF(T3324="","",IF(T3324=0,"No discount",IF(T3324&lt;=0.2,"Low (1-20%)",IF(T3324&lt;=0.4,"Medium (21-40%)","High (&gt;40%)"))))</f>
        <v/>
      </c>
      <c r="Y3324" s="23" t="str">
        <f aca="false">IF(AND(ISNUMBER(C3324),ISNUMBER(D3324)),D3324-C3324,"")</f>
        <v/>
      </c>
      <c r="Z3324" s="23" t="str">
        <f aca="false">IF(B3324="","",IF(MATCH(B3324,$B$2:$B$12000,0)=ROW()-1,1,0))</f>
        <v/>
      </c>
    </row>
    <row r="3325" customFormat="false" ht="15" hidden="false" customHeight="false" outlineLevel="0" collapsed="false">
      <c r="V3325" s="23" t="str">
        <f aca="false">IF(ISNUMBER(C3325),YEAR(C3325),"")</f>
        <v/>
      </c>
      <c r="W3325" s="23" t="str">
        <f aca="false">IF(ISNUMBER(C3325),MONTH(C3325),"")</f>
        <v/>
      </c>
      <c r="X3325" s="23" t="str">
        <f aca="false">IF(T3325="","",IF(T3325=0,"No discount",IF(T3325&lt;=0.2,"Low (1-20%)",IF(T3325&lt;=0.4,"Medium (21-40%)","High (&gt;40%)"))))</f>
        <v/>
      </c>
      <c r="Y3325" s="23" t="str">
        <f aca="false">IF(AND(ISNUMBER(C3325),ISNUMBER(D3325)),D3325-C3325,"")</f>
        <v/>
      </c>
      <c r="Z3325" s="23" t="str">
        <f aca="false">IF(B3325="","",IF(MATCH(B3325,$B$2:$B$12000,0)=ROW()-1,1,0))</f>
        <v/>
      </c>
    </row>
    <row r="3326" customFormat="false" ht="15" hidden="false" customHeight="false" outlineLevel="0" collapsed="false">
      <c r="V3326" s="23" t="str">
        <f aca="false">IF(ISNUMBER(C3326),YEAR(C3326),"")</f>
        <v/>
      </c>
      <c r="W3326" s="23" t="str">
        <f aca="false">IF(ISNUMBER(C3326),MONTH(C3326),"")</f>
        <v/>
      </c>
      <c r="X3326" s="23" t="str">
        <f aca="false">IF(T3326="","",IF(T3326=0,"No discount",IF(T3326&lt;=0.2,"Low (1-20%)",IF(T3326&lt;=0.4,"Medium (21-40%)","High (&gt;40%)"))))</f>
        <v/>
      </c>
      <c r="Y3326" s="23" t="str">
        <f aca="false">IF(AND(ISNUMBER(C3326),ISNUMBER(D3326)),D3326-C3326,"")</f>
        <v/>
      </c>
      <c r="Z3326" s="23" t="str">
        <f aca="false">IF(B3326="","",IF(MATCH(B3326,$B$2:$B$12000,0)=ROW()-1,1,0))</f>
        <v/>
      </c>
    </row>
    <row r="3327" customFormat="false" ht="15" hidden="false" customHeight="false" outlineLevel="0" collapsed="false">
      <c r="V3327" s="23" t="str">
        <f aca="false">IF(ISNUMBER(C3327),YEAR(C3327),"")</f>
        <v/>
      </c>
      <c r="W3327" s="23" t="str">
        <f aca="false">IF(ISNUMBER(C3327),MONTH(C3327),"")</f>
        <v/>
      </c>
      <c r="X3327" s="23" t="str">
        <f aca="false">IF(T3327="","",IF(T3327=0,"No discount",IF(T3327&lt;=0.2,"Low (1-20%)",IF(T3327&lt;=0.4,"Medium (21-40%)","High (&gt;40%)"))))</f>
        <v/>
      </c>
      <c r="Y3327" s="23" t="str">
        <f aca="false">IF(AND(ISNUMBER(C3327),ISNUMBER(D3327)),D3327-C3327,"")</f>
        <v/>
      </c>
      <c r="Z3327" s="23" t="str">
        <f aca="false">IF(B3327="","",IF(MATCH(B3327,$B$2:$B$12000,0)=ROW()-1,1,0))</f>
        <v/>
      </c>
    </row>
    <row r="3328" customFormat="false" ht="15" hidden="false" customHeight="false" outlineLevel="0" collapsed="false">
      <c r="V3328" s="23" t="str">
        <f aca="false">IF(ISNUMBER(C3328),YEAR(C3328),"")</f>
        <v/>
      </c>
      <c r="W3328" s="23" t="str">
        <f aca="false">IF(ISNUMBER(C3328),MONTH(C3328),"")</f>
        <v/>
      </c>
      <c r="X3328" s="23" t="str">
        <f aca="false">IF(T3328="","",IF(T3328=0,"No discount",IF(T3328&lt;=0.2,"Low (1-20%)",IF(T3328&lt;=0.4,"Medium (21-40%)","High (&gt;40%)"))))</f>
        <v/>
      </c>
      <c r="Y3328" s="23" t="str">
        <f aca="false">IF(AND(ISNUMBER(C3328),ISNUMBER(D3328)),D3328-C3328,"")</f>
        <v/>
      </c>
      <c r="Z3328" s="23" t="str">
        <f aca="false">IF(B3328="","",IF(MATCH(B3328,$B$2:$B$12000,0)=ROW()-1,1,0))</f>
        <v/>
      </c>
    </row>
    <row r="3329" customFormat="false" ht="15" hidden="false" customHeight="false" outlineLevel="0" collapsed="false">
      <c r="V3329" s="23" t="str">
        <f aca="false">IF(ISNUMBER(C3329),YEAR(C3329),"")</f>
        <v/>
      </c>
      <c r="W3329" s="23" t="str">
        <f aca="false">IF(ISNUMBER(C3329),MONTH(C3329),"")</f>
        <v/>
      </c>
      <c r="X3329" s="23" t="str">
        <f aca="false">IF(T3329="","",IF(T3329=0,"No discount",IF(T3329&lt;=0.2,"Low (1-20%)",IF(T3329&lt;=0.4,"Medium (21-40%)","High (&gt;40%)"))))</f>
        <v/>
      </c>
      <c r="Y3329" s="23" t="str">
        <f aca="false">IF(AND(ISNUMBER(C3329),ISNUMBER(D3329)),D3329-C3329,"")</f>
        <v/>
      </c>
      <c r="Z3329" s="23" t="str">
        <f aca="false">IF(B3329="","",IF(MATCH(B3329,$B$2:$B$12000,0)=ROW()-1,1,0))</f>
        <v/>
      </c>
    </row>
    <row r="3330" customFormat="false" ht="15" hidden="false" customHeight="false" outlineLevel="0" collapsed="false">
      <c r="V3330" s="23" t="str">
        <f aca="false">IF(ISNUMBER(C3330),YEAR(C3330),"")</f>
        <v/>
      </c>
      <c r="W3330" s="23" t="str">
        <f aca="false">IF(ISNUMBER(C3330),MONTH(C3330),"")</f>
        <v/>
      </c>
      <c r="X3330" s="23" t="str">
        <f aca="false">IF(T3330="","",IF(T3330=0,"No discount",IF(T3330&lt;=0.2,"Low (1-20%)",IF(T3330&lt;=0.4,"Medium (21-40%)","High (&gt;40%)"))))</f>
        <v/>
      </c>
      <c r="Y3330" s="23" t="str">
        <f aca="false">IF(AND(ISNUMBER(C3330),ISNUMBER(D3330)),D3330-C3330,"")</f>
        <v/>
      </c>
      <c r="Z3330" s="23" t="str">
        <f aca="false">IF(B3330="","",IF(MATCH(B3330,$B$2:$B$12000,0)=ROW()-1,1,0))</f>
        <v/>
      </c>
    </row>
    <row r="3331" customFormat="false" ht="15" hidden="false" customHeight="false" outlineLevel="0" collapsed="false">
      <c r="V3331" s="23" t="str">
        <f aca="false">IF(ISNUMBER(C3331),YEAR(C3331),"")</f>
        <v/>
      </c>
      <c r="W3331" s="23" t="str">
        <f aca="false">IF(ISNUMBER(C3331),MONTH(C3331),"")</f>
        <v/>
      </c>
      <c r="X3331" s="23" t="str">
        <f aca="false">IF(T3331="","",IF(T3331=0,"No discount",IF(T3331&lt;=0.2,"Low (1-20%)",IF(T3331&lt;=0.4,"Medium (21-40%)","High (&gt;40%)"))))</f>
        <v/>
      </c>
      <c r="Y3331" s="23" t="str">
        <f aca="false">IF(AND(ISNUMBER(C3331),ISNUMBER(D3331)),D3331-C3331,"")</f>
        <v/>
      </c>
      <c r="Z3331" s="23" t="str">
        <f aca="false">IF(B3331="","",IF(MATCH(B3331,$B$2:$B$12000,0)=ROW()-1,1,0))</f>
        <v/>
      </c>
    </row>
    <row r="3332" customFormat="false" ht="15" hidden="false" customHeight="false" outlineLevel="0" collapsed="false">
      <c r="V3332" s="23" t="str">
        <f aca="false">IF(ISNUMBER(C3332),YEAR(C3332),"")</f>
        <v/>
      </c>
      <c r="W3332" s="23" t="str">
        <f aca="false">IF(ISNUMBER(C3332),MONTH(C3332),"")</f>
        <v/>
      </c>
      <c r="X3332" s="23" t="str">
        <f aca="false">IF(T3332="","",IF(T3332=0,"No discount",IF(T3332&lt;=0.2,"Low (1-20%)",IF(T3332&lt;=0.4,"Medium (21-40%)","High (&gt;40%)"))))</f>
        <v/>
      </c>
      <c r="Y3332" s="23" t="str">
        <f aca="false">IF(AND(ISNUMBER(C3332),ISNUMBER(D3332)),D3332-C3332,"")</f>
        <v/>
      </c>
      <c r="Z3332" s="23" t="str">
        <f aca="false">IF(B3332="","",IF(MATCH(B3332,$B$2:$B$12000,0)=ROW()-1,1,0))</f>
        <v/>
      </c>
    </row>
    <row r="3333" customFormat="false" ht="15" hidden="false" customHeight="false" outlineLevel="0" collapsed="false">
      <c r="V3333" s="23" t="str">
        <f aca="false">IF(ISNUMBER(C3333),YEAR(C3333),"")</f>
        <v/>
      </c>
      <c r="W3333" s="23" t="str">
        <f aca="false">IF(ISNUMBER(C3333),MONTH(C3333),"")</f>
        <v/>
      </c>
      <c r="X3333" s="23" t="str">
        <f aca="false">IF(T3333="","",IF(T3333=0,"No discount",IF(T3333&lt;=0.2,"Low (1-20%)",IF(T3333&lt;=0.4,"Medium (21-40%)","High (&gt;40%)"))))</f>
        <v/>
      </c>
      <c r="Y3333" s="23" t="str">
        <f aca="false">IF(AND(ISNUMBER(C3333),ISNUMBER(D3333)),D3333-C3333,"")</f>
        <v/>
      </c>
      <c r="Z3333" s="23" t="str">
        <f aca="false">IF(B3333="","",IF(MATCH(B3333,$B$2:$B$12000,0)=ROW()-1,1,0))</f>
        <v/>
      </c>
    </row>
    <row r="3334" customFormat="false" ht="15" hidden="false" customHeight="false" outlineLevel="0" collapsed="false">
      <c r="V3334" s="23" t="str">
        <f aca="false">IF(ISNUMBER(C3334),YEAR(C3334),"")</f>
        <v/>
      </c>
      <c r="W3334" s="23" t="str">
        <f aca="false">IF(ISNUMBER(C3334),MONTH(C3334),"")</f>
        <v/>
      </c>
      <c r="X3334" s="23" t="str">
        <f aca="false">IF(T3334="","",IF(T3334=0,"No discount",IF(T3334&lt;=0.2,"Low (1-20%)",IF(T3334&lt;=0.4,"Medium (21-40%)","High (&gt;40%)"))))</f>
        <v/>
      </c>
      <c r="Y3334" s="23" t="str">
        <f aca="false">IF(AND(ISNUMBER(C3334),ISNUMBER(D3334)),D3334-C3334,"")</f>
        <v/>
      </c>
      <c r="Z3334" s="23" t="str">
        <f aca="false">IF(B3334="","",IF(MATCH(B3334,$B$2:$B$12000,0)=ROW()-1,1,0))</f>
        <v/>
      </c>
    </row>
    <row r="3335" customFormat="false" ht="15" hidden="false" customHeight="false" outlineLevel="0" collapsed="false">
      <c r="V3335" s="23" t="str">
        <f aca="false">IF(ISNUMBER(C3335),YEAR(C3335),"")</f>
        <v/>
      </c>
      <c r="W3335" s="23" t="str">
        <f aca="false">IF(ISNUMBER(C3335),MONTH(C3335),"")</f>
        <v/>
      </c>
      <c r="X3335" s="23" t="str">
        <f aca="false">IF(T3335="","",IF(T3335=0,"No discount",IF(T3335&lt;=0.2,"Low (1-20%)",IF(T3335&lt;=0.4,"Medium (21-40%)","High (&gt;40%)"))))</f>
        <v/>
      </c>
      <c r="Y3335" s="23" t="str">
        <f aca="false">IF(AND(ISNUMBER(C3335),ISNUMBER(D3335)),D3335-C3335,"")</f>
        <v/>
      </c>
      <c r="Z3335" s="23" t="str">
        <f aca="false">IF(B3335="","",IF(MATCH(B3335,$B$2:$B$12000,0)=ROW()-1,1,0))</f>
        <v/>
      </c>
    </row>
    <row r="3336" customFormat="false" ht="15" hidden="false" customHeight="false" outlineLevel="0" collapsed="false">
      <c r="V3336" s="23" t="str">
        <f aca="false">IF(ISNUMBER(C3336),YEAR(C3336),"")</f>
        <v/>
      </c>
      <c r="W3336" s="23" t="str">
        <f aca="false">IF(ISNUMBER(C3336),MONTH(C3336),"")</f>
        <v/>
      </c>
      <c r="X3336" s="23" t="str">
        <f aca="false">IF(T3336="","",IF(T3336=0,"No discount",IF(T3336&lt;=0.2,"Low (1-20%)",IF(T3336&lt;=0.4,"Medium (21-40%)","High (&gt;40%)"))))</f>
        <v/>
      </c>
      <c r="Y3336" s="23" t="str">
        <f aca="false">IF(AND(ISNUMBER(C3336),ISNUMBER(D3336)),D3336-C3336,"")</f>
        <v/>
      </c>
      <c r="Z3336" s="23" t="str">
        <f aca="false">IF(B3336="","",IF(MATCH(B3336,$B$2:$B$12000,0)=ROW()-1,1,0))</f>
        <v/>
      </c>
    </row>
    <row r="3337" customFormat="false" ht="15" hidden="false" customHeight="false" outlineLevel="0" collapsed="false">
      <c r="V3337" s="23" t="str">
        <f aca="false">IF(ISNUMBER(C3337),YEAR(C3337),"")</f>
        <v/>
      </c>
      <c r="W3337" s="23" t="str">
        <f aca="false">IF(ISNUMBER(C3337),MONTH(C3337),"")</f>
        <v/>
      </c>
      <c r="X3337" s="23" t="str">
        <f aca="false">IF(T3337="","",IF(T3337=0,"No discount",IF(T3337&lt;=0.2,"Low (1-20%)",IF(T3337&lt;=0.4,"Medium (21-40%)","High (&gt;40%)"))))</f>
        <v/>
      </c>
      <c r="Y3337" s="23" t="str">
        <f aca="false">IF(AND(ISNUMBER(C3337),ISNUMBER(D3337)),D3337-C3337,"")</f>
        <v/>
      </c>
      <c r="Z3337" s="23" t="str">
        <f aca="false">IF(B3337="","",IF(MATCH(B3337,$B$2:$B$12000,0)=ROW()-1,1,0))</f>
        <v/>
      </c>
    </row>
    <row r="3338" customFormat="false" ht="15" hidden="false" customHeight="false" outlineLevel="0" collapsed="false">
      <c r="V3338" s="23" t="str">
        <f aca="false">IF(ISNUMBER(C3338),YEAR(C3338),"")</f>
        <v/>
      </c>
      <c r="W3338" s="23" t="str">
        <f aca="false">IF(ISNUMBER(C3338),MONTH(C3338),"")</f>
        <v/>
      </c>
      <c r="X3338" s="23" t="str">
        <f aca="false">IF(T3338="","",IF(T3338=0,"No discount",IF(T3338&lt;=0.2,"Low (1-20%)",IF(T3338&lt;=0.4,"Medium (21-40%)","High (&gt;40%)"))))</f>
        <v/>
      </c>
      <c r="Y3338" s="23" t="str">
        <f aca="false">IF(AND(ISNUMBER(C3338),ISNUMBER(D3338)),D3338-C3338,"")</f>
        <v/>
      </c>
      <c r="Z3338" s="23" t="str">
        <f aca="false">IF(B3338="","",IF(MATCH(B3338,$B$2:$B$12000,0)=ROW()-1,1,0))</f>
        <v/>
      </c>
    </row>
    <row r="3339" customFormat="false" ht="15" hidden="false" customHeight="false" outlineLevel="0" collapsed="false">
      <c r="V3339" s="23" t="str">
        <f aca="false">IF(ISNUMBER(C3339),YEAR(C3339),"")</f>
        <v/>
      </c>
      <c r="W3339" s="23" t="str">
        <f aca="false">IF(ISNUMBER(C3339),MONTH(C3339),"")</f>
        <v/>
      </c>
      <c r="X3339" s="23" t="str">
        <f aca="false">IF(T3339="","",IF(T3339=0,"No discount",IF(T3339&lt;=0.2,"Low (1-20%)",IF(T3339&lt;=0.4,"Medium (21-40%)","High (&gt;40%)"))))</f>
        <v/>
      </c>
      <c r="Y3339" s="23" t="str">
        <f aca="false">IF(AND(ISNUMBER(C3339),ISNUMBER(D3339)),D3339-C3339,"")</f>
        <v/>
      </c>
      <c r="Z3339" s="23" t="str">
        <f aca="false">IF(B3339="","",IF(MATCH(B3339,$B$2:$B$12000,0)=ROW()-1,1,0))</f>
        <v/>
      </c>
    </row>
    <row r="3340" customFormat="false" ht="15" hidden="false" customHeight="false" outlineLevel="0" collapsed="false">
      <c r="V3340" s="23" t="str">
        <f aca="false">IF(ISNUMBER(C3340),YEAR(C3340),"")</f>
        <v/>
      </c>
      <c r="W3340" s="23" t="str">
        <f aca="false">IF(ISNUMBER(C3340),MONTH(C3340),"")</f>
        <v/>
      </c>
      <c r="X3340" s="23" t="str">
        <f aca="false">IF(T3340="","",IF(T3340=0,"No discount",IF(T3340&lt;=0.2,"Low (1-20%)",IF(T3340&lt;=0.4,"Medium (21-40%)","High (&gt;40%)"))))</f>
        <v/>
      </c>
      <c r="Y3340" s="23" t="str">
        <f aca="false">IF(AND(ISNUMBER(C3340),ISNUMBER(D3340)),D3340-C3340,"")</f>
        <v/>
      </c>
      <c r="Z3340" s="23" t="str">
        <f aca="false">IF(B3340="","",IF(MATCH(B3340,$B$2:$B$12000,0)=ROW()-1,1,0))</f>
        <v/>
      </c>
    </row>
    <row r="3341" customFormat="false" ht="15" hidden="false" customHeight="false" outlineLevel="0" collapsed="false">
      <c r="V3341" s="23" t="str">
        <f aca="false">IF(ISNUMBER(C3341),YEAR(C3341),"")</f>
        <v/>
      </c>
      <c r="W3341" s="23" t="str">
        <f aca="false">IF(ISNUMBER(C3341),MONTH(C3341),"")</f>
        <v/>
      </c>
      <c r="X3341" s="23" t="str">
        <f aca="false">IF(T3341="","",IF(T3341=0,"No discount",IF(T3341&lt;=0.2,"Low (1-20%)",IF(T3341&lt;=0.4,"Medium (21-40%)","High (&gt;40%)"))))</f>
        <v/>
      </c>
      <c r="Y3341" s="23" t="str">
        <f aca="false">IF(AND(ISNUMBER(C3341),ISNUMBER(D3341)),D3341-C3341,"")</f>
        <v/>
      </c>
      <c r="Z3341" s="23" t="str">
        <f aca="false">IF(B3341="","",IF(MATCH(B3341,$B$2:$B$12000,0)=ROW()-1,1,0))</f>
        <v/>
      </c>
    </row>
    <row r="3342" customFormat="false" ht="15" hidden="false" customHeight="false" outlineLevel="0" collapsed="false">
      <c r="V3342" s="23" t="str">
        <f aca="false">IF(ISNUMBER(C3342),YEAR(C3342),"")</f>
        <v/>
      </c>
      <c r="W3342" s="23" t="str">
        <f aca="false">IF(ISNUMBER(C3342),MONTH(C3342),"")</f>
        <v/>
      </c>
      <c r="X3342" s="23" t="str">
        <f aca="false">IF(T3342="","",IF(T3342=0,"No discount",IF(T3342&lt;=0.2,"Low (1-20%)",IF(T3342&lt;=0.4,"Medium (21-40%)","High (&gt;40%)"))))</f>
        <v/>
      </c>
      <c r="Y3342" s="23" t="str">
        <f aca="false">IF(AND(ISNUMBER(C3342),ISNUMBER(D3342)),D3342-C3342,"")</f>
        <v/>
      </c>
      <c r="Z3342" s="23" t="str">
        <f aca="false">IF(B3342="","",IF(MATCH(B3342,$B$2:$B$12000,0)=ROW()-1,1,0))</f>
        <v/>
      </c>
    </row>
    <row r="3343" customFormat="false" ht="15" hidden="false" customHeight="false" outlineLevel="0" collapsed="false">
      <c r="V3343" s="23" t="str">
        <f aca="false">IF(ISNUMBER(C3343),YEAR(C3343),"")</f>
        <v/>
      </c>
      <c r="W3343" s="23" t="str">
        <f aca="false">IF(ISNUMBER(C3343),MONTH(C3343),"")</f>
        <v/>
      </c>
      <c r="X3343" s="23" t="str">
        <f aca="false">IF(T3343="","",IF(T3343=0,"No discount",IF(T3343&lt;=0.2,"Low (1-20%)",IF(T3343&lt;=0.4,"Medium (21-40%)","High (&gt;40%)"))))</f>
        <v/>
      </c>
      <c r="Y3343" s="23" t="str">
        <f aca="false">IF(AND(ISNUMBER(C3343),ISNUMBER(D3343)),D3343-C3343,"")</f>
        <v/>
      </c>
      <c r="Z3343" s="23" t="str">
        <f aca="false">IF(B3343="","",IF(MATCH(B3343,$B$2:$B$12000,0)=ROW()-1,1,0))</f>
        <v/>
      </c>
    </row>
    <row r="3344" customFormat="false" ht="15" hidden="false" customHeight="false" outlineLevel="0" collapsed="false">
      <c r="V3344" s="23" t="str">
        <f aca="false">IF(ISNUMBER(C3344),YEAR(C3344),"")</f>
        <v/>
      </c>
      <c r="W3344" s="23" t="str">
        <f aca="false">IF(ISNUMBER(C3344),MONTH(C3344),"")</f>
        <v/>
      </c>
      <c r="X3344" s="23" t="str">
        <f aca="false">IF(T3344="","",IF(T3344=0,"No discount",IF(T3344&lt;=0.2,"Low (1-20%)",IF(T3344&lt;=0.4,"Medium (21-40%)","High (&gt;40%)"))))</f>
        <v/>
      </c>
      <c r="Y3344" s="23" t="str">
        <f aca="false">IF(AND(ISNUMBER(C3344),ISNUMBER(D3344)),D3344-C3344,"")</f>
        <v/>
      </c>
      <c r="Z3344" s="23" t="str">
        <f aca="false">IF(B3344="","",IF(MATCH(B3344,$B$2:$B$12000,0)=ROW()-1,1,0))</f>
        <v/>
      </c>
    </row>
    <row r="3345" customFormat="false" ht="15" hidden="false" customHeight="false" outlineLevel="0" collapsed="false">
      <c r="V3345" s="23" t="str">
        <f aca="false">IF(ISNUMBER(C3345),YEAR(C3345),"")</f>
        <v/>
      </c>
      <c r="W3345" s="23" t="str">
        <f aca="false">IF(ISNUMBER(C3345),MONTH(C3345),"")</f>
        <v/>
      </c>
      <c r="X3345" s="23" t="str">
        <f aca="false">IF(T3345="","",IF(T3345=0,"No discount",IF(T3345&lt;=0.2,"Low (1-20%)",IF(T3345&lt;=0.4,"Medium (21-40%)","High (&gt;40%)"))))</f>
        <v/>
      </c>
      <c r="Y3345" s="23" t="str">
        <f aca="false">IF(AND(ISNUMBER(C3345),ISNUMBER(D3345)),D3345-C3345,"")</f>
        <v/>
      </c>
      <c r="Z3345" s="23" t="str">
        <f aca="false">IF(B3345="","",IF(MATCH(B3345,$B$2:$B$12000,0)=ROW()-1,1,0))</f>
        <v/>
      </c>
    </row>
    <row r="3346" customFormat="false" ht="15" hidden="false" customHeight="false" outlineLevel="0" collapsed="false">
      <c r="V3346" s="23" t="str">
        <f aca="false">IF(ISNUMBER(C3346),YEAR(C3346),"")</f>
        <v/>
      </c>
      <c r="W3346" s="23" t="str">
        <f aca="false">IF(ISNUMBER(C3346),MONTH(C3346),"")</f>
        <v/>
      </c>
      <c r="X3346" s="23" t="str">
        <f aca="false">IF(T3346="","",IF(T3346=0,"No discount",IF(T3346&lt;=0.2,"Low (1-20%)",IF(T3346&lt;=0.4,"Medium (21-40%)","High (&gt;40%)"))))</f>
        <v/>
      </c>
      <c r="Y3346" s="23" t="str">
        <f aca="false">IF(AND(ISNUMBER(C3346),ISNUMBER(D3346)),D3346-C3346,"")</f>
        <v/>
      </c>
      <c r="Z3346" s="23" t="str">
        <f aca="false">IF(B3346="","",IF(MATCH(B3346,$B$2:$B$12000,0)=ROW()-1,1,0))</f>
        <v/>
      </c>
    </row>
    <row r="3347" customFormat="false" ht="15" hidden="false" customHeight="false" outlineLevel="0" collapsed="false">
      <c r="V3347" s="23" t="str">
        <f aca="false">IF(ISNUMBER(C3347),YEAR(C3347),"")</f>
        <v/>
      </c>
      <c r="W3347" s="23" t="str">
        <f aca="false">IF(ISNUMBER(C3347),MONTH(C3347),"")</f>
        <v/>
      </c>
      <c r="X3347" s="23" t="str">
        <f aca="false">IF(T3347="","",IF(T3347=0,"No discount",IF(T3347&lt;=0.2,"Low (1-20%)",IF(T3347&lt;=0.4,"Medium (21-40%)","High (&gt;40%)"))))</f>
        <v/>
      </c>
      <c r="Y3347" s="23" t="str">
        <f aca="false">IF(AND(ISNUMBER(C3347),ISNUMBER(D3347)),D3347-C3347,"")</f>
        <v/>
      </c>
      <c r="Z3347" s="23" t="str">
        <f aca="false">IF(B3347="","",IF(MATCH(B3347,$B$2:$B$12000,0)=ROW()-1,1,0))</f>
        <v/>
      </c>
    </row>
    <row r="3348" customFormat="false" ht="15" hidden="false" customHeight="false" outlineLevel="0" collapsed="false">
      <c r="V3348" s="23" t="str">
        <f aca="false">IF(ISNUMBER(C3348),YEAR(C3348),"")</f>
        <v/>
      </c>
      <c r="W3348" s="23" t="str">
        <f aca="false">IF(ISNUMBER(C3348),MONTH(C3348),"")</f>
        <v/>
      </c>
      <c r="X3348" s="23" t="str">
        <f aca="false">IF(T3348="","",IF(T3348=0,"No discount",IF(T3348&lt;=0.2,"Low (1-20%)",IF(T3348&lt;=0.4,"Medium (21-40%)","High (&gt;40%)"))))</f>
        <v/>
      </c>
      <c r="Y3348" s="23" t="str">
        <f aca="false">IF(AND(ISNUMBER(C3348),ISNUMBER(D3348)),D3348-C3348,"")</f>
        <v/>
      </c>
      <c r="Z3348" s="23" t="str">
        <f aca="false">IF(B3348="","",IF(MATCH(B3348,$B$2:$B$12000,0)=ROW()-1,1,0))</f>
        <v/>
      </c>
    </row>
    <row r="3349" customFormat="false" ht="15" hidden="false" customHeight="false" outlineLevel="0" collapsed="false">
      <c r="V3349" s="23" t="str">
        <f aca="false">IF(ISNUMBER(C3349),YEAR(C3349),"")</f>
        <v/>
      </c>
      <c r="W3349" s="23" t="str">
        <f aca="false">IF(ISNUMBER(C3349),MONTH(C3349),"")</f>
        <v/>
      </c>
      <c r="X3349" s="23" t="str">
        <f aca="false">IF(T3349="","",IF(T3349=0,"No discount",IF(T3349&lt;=0.2,"Low (1-20%)",IF(T3349&lt;=0.4,"Medium (21-40%)","High (&gt;40%)"))))</f>
        <v/>
      </c>
      <c r="Y3349" s="23" t="str">
        <f aca="false">IF(AND(ISNUMBER(C3349),ISNUMBER(D3349)),D3349-C3349,"")</f>
        <v/>
      </c>
      <c r="Z3349" s="23" t="str">
        <f aca="false">IF(B3349="","",IF(MATCH(B3349,$B$2:$B$12000,0)=ROW()-1,1,0))</f>
        <v/>
      </c>
    </row>
    <row r="3350" customFormat="false" ht="15" hidden="false" customHeight="false" outlineLevel="0" collapsed="false">
      <c r="V3350" s="23" t="str">
        <f aca="false">IF(ISNUMBER(C3350),YEAR(C3350),"")</f>
        <v/>
      </c>
      <c r="W3350" s="23" t="str">
        <f aca="false">IF(ISNUMBER(C3350),MONTH(C3350),"")</f>
        <v/>
      </c>
      <c r="X3350" s="23" t="str">
        <f aca="false">IF(T3350="","",IF(T3350=0,"No discount",IF(T3350&lt;=0.2,"Low (1-20%)",IF(T3350&lt;=0.4,"Medium (21-40%)","High (&gt;40%)"))))</f>
        <v/>
      </c>
      <c r="Y3350" s="23" t="str">
        <f aca="false">IF(AND(ISNUMBER(C3350),ISNUMBER(D3350)),D3350-C3350,"")</f>
        <v/>
      </c>
      <c r="Z3350" s="23" t="str">
        <f aca="false">IF(B3350="","",IF(MATCH(B3350,$B$2:$B$12000,0)=ROW()-1,1,0))</f>
        <v/>
      </c>
    </row>
    <row r="3351" customFormat="false" ht="15" hidden="false" customHeight="false" outlineLevel="0" collapsed="false">
      <c r="V3351" s="23" t="str">
        <f aca="false">IF(ISNUMBER(C3351),YEAR(C3351),"")</f>
        <v/>
      </c>
      <c r="W3351" s="23" t="str">
        <f aca="false">IF(ISNUMBER(C3351),MONTH(C3351),"")</f>
        <v/>
      </c>
      <c r="X3351" s="23" t="str">
        <f aca="false">IF(T3351="","",IF(T3351=0,"No discount",IF(T3351&lt;=0.2,"Low (1-20%)",IF(T3351&lt;=0.4,"Medium (21-40%)","High (&gt;40%)"))))</f>
        <v/>
      </c>
      <c r="Y3351" s="23" t="str">
        <f aca="false">IF(AND(ISNUMBER(C3351),ISNUMBER(D3351)),D3351-C3351,"")</f>
        <v/>
      </c>
      <c r="Z3351" s="23" t="str">
        <f aca="false">IF(B3351="","",IF(MATCH(B3351,$B$2:$B$12000,0)=ROW()-1,1,0))</f>
        <v/>
      </c>
    </row>
    <row r="3352" customFormat="false" ht="15" hidden="false" customHeight="false" outlineLevel="0" collapsed="false">
      <c r="V3352" s="23" t="str">
        <f aca="false">IF(ISNUMBER(C3352),YEAR(C3352),"")</f>
        <v/>
      </c>
      <c r="W3352" s="23" t="str">
        <f aca="false">IF(ISNUMBER(C3352),MONTH(C3352),"")</f>
        <v/>
      </c>
      <c r="X3352" s="23" t="str">
        <f aca="false">IF(T3352="","",IF(T3352=0,"No discount",IF(T3352&lt;=0.2,"Low (1-20%)",IF(T3352&lt;=0.4,"Medium (21-40%)","High (&gt;40%)"))))</f>
        <v/>
      </c>
      <c r="Y3352" s="23" t="str">
        <f aca="false">IF(AND(ISNUMBER(C3352),ISNUMBER(D3352)),D3352-C3352,"")</f>
        <v/>
      </c>
      <c r="Z3352" s="23" t="str">
        <f aca="false">IF(B3352="","",IF(MATCH(B3352,$B$2:$B$12000,0)=ROW()-1,1,0))</f>
        <v/>
      </c>
    </row>
    <row r="3353" customFormat="false" ht="15" hidden="false" customHeight="false" outlineLevel="0" collapsed="false">
      <c r="V3353" s="23" t="str">
        <f aca="false">IF(ISNUMBER(C3353),YEAR(C3353),"")</f>
        <v/>
      </c>
      <c r="W3353" s="23" t="str">
        <f aca="false">IF(ISNUMBER(C3353),MONTH(C3353),"")</f>
        <v/>
      </c>
      <c r="X3353" s="23" t="str">
        <f aca="false">IF(T3353="","",IF(T3353=0,"No discount",IF(T3353&lt;=0.2,"Low (1-20%)",IF(T3353&lt;=0.4,"Medium (21-40%)","High (&gt;40%)"))))</f>
        <v/>
      </c>
      <c r="Y3353" s="23" t="str">
        <f aca="false">IF(AND(ISNUMBER(C3353),ISNUMBER(D3353)),D3353-C3353,"")</f>
        <v/>
      </c>
      <c r="Z3353" s="23" t="str">
        <f aca="false">IF(B3353="","",IF(MATCH(B3353,$B$2:$B$12000,0)=ROW()-1,1,0))</f>
        <v/>
      </c>
    </row>
    <row r="3354" customFormat="false" ht="15" hidden="false" customHeight="false" outlineLevel="0" collapsed="false">
      <c r="V3354" s="23" t="str">
        <f aca="false">IF(ISNUMBER(C3354),YEAR(C3354),"")</f>
        <v/>
      </c>
      <c r="W3354" s="23" t="str">
        <f aca="false">IF(ISNUMBER(C3354),MONTH(C3354),"")</f>
        <v/>
      </c>
      <c r="X3354" s="23" t="str">
        <f aca="false">IF(T3354="","",IF(T3354=0,"No discount",IF(T3354&lt;=0.2,"Low (1-20%)",IF(T3354&lt;=0.4,"Medium (21-40%)","High (&gt;40%)"))))</f>
        <v/>
      </c>
      <c r="Y3354" s="23" t="str">
        <f aca="false">IF(AND(ISNUMBER(C3354),ISNUMBER(D3354)),D3354-C3354,"")</f>
        <v/>
      </c>
      <c r="Z3354" s="23" t="str">
        <f aca="false">IF(B3354="","",IF(MATCH(B3354,$B$2:$B$12000,0)=ROW()-1,1,0))</f>
        <v/>
      </c>
    </row>
    <row r="3355" customFormat="false" ht="15" hidden="false" customHeight="false" outlineLevel="0" collapsed="false">
      <c r="V3355" s="23" t="str">
        <f aca="false">IF(ISNUMBER(C3355),YEAR(C3355),"")</f>
        <v/>
      </c>
      <c r="W3355" s="23" t="str">
        <f aca="false">IF(ISNUMBER(C3355),MONTH(C3355),"")</f>
        <v/>
      </c>
      <c r="X3355" s="23" t="str">
        <f aca="false">IF(T3355="","",IF(T3355=0,"No discount",IF(T3355&lt;=0.2,"Low (1-20%)",IF(T3355&lt;=0.4,"Medium (21-40%)","High (&gt;40%)"))))</f>
        <v/>
      </c>
      <c r="Y3355" s="23" t="str">
        <f aca="false">IF(AND(ISNUMBER(C3355),ISNUMBER(D3355)),D3355-C3355,"")</f>
        <v/>
      </c>
      <c r="Z3355" s="23" t="str">
        <f aca="false">IF(B3355="","",IF(MATCH(B3355,$B$2:$B$12000,0)=ROW()-1,1,0))</f>
        <v/>
      </c>
    </row>
    <row r="3356" customFormat="false" ht="15" hidden="false" customHeight="false" outlineLevel="0" collapsed="false">
      <c r="V3356" s="23" t="str">
        <f aca="false">IF(ISNUMBER(C3356),YEAR(C3356),"")</f>
        <v/>
      </c>
      <c r="W3356" s="23" t="str">
        <f aca="false">IF(ISNUMBER(C3356),MONTH(C3356),"")</f>
        <v/>
      </c>
      <c r="X3356" s="23" t="str">
        <f aca="false">IF(T3356="","",IF(T3356=0,"No discount",IF(T3356&lt;=0.2,"Low (1-20%)",IF(T3356&lt;=0.4,"Medium (21-40%)","High (&gt;40%)"))))</f>
        <v/>
      </c>
      <c r="Y3356" s="23" t="str">
        <f aca="false">IF(AND(ISNUMBER(C3356),ISNUMBER(D3356)),D3356-C3356,"")</f>
        <v/>
      </c>
      <c r="Z3356" s="23" t="str">
        <f aca="false">IF(B3356="","",IF(MATCH(B3356,$B$2:$B$12000,0)=ROW()-1,1,0))</f>
        <v/>
      </c>
    </row>
    <row r="3357" customFormat="false" ht="15" hidden="false" customHeight="false" outlineLevel="0" collapsed="false">
      <c r="V3357" s="23" t="str">
        <f aca="false">IF(ISNUMBER(C3357),YEAR(C3357),"")</f>
        <v/>
      </c>
      <c r="W3357" s="23" t="str">
        <f aca="false">IF(ISNUMBER(C3357),MONTH(C3357),"")</f>
        <v/>
      </c>
      <c r="X3357" s="23" t="str">
        <f aca="false">IF(T3357="","",IF(T3357=0,"No discount",IF(T3357&lt;=0.2,"Low (1-20%)",IF(T3357&lt;=0.4,"Medium (21-40%)","High (&gt;40%)"))))</f>
        <v/>
      </c>
      <c r="Y3357" s="23" t="str">
        <f aca="false">IF(AND(ISNUMBER(C3357),ISNUMBER(D3357)),D3357-C3357,"")</f>
        <v/>
      </c>
      <c r="Z3357" s="23" t="str">
        <f aca="false">IF(B3357="","",IF(MATCH(B3357,$B$2:$B$12000,0)=ROW()-1,1,0))</f>
        <v/>
      </c>
    </row>
    <row r="3358" customFormat="false" ht="15" hidden="false" customHeight="false" outlineLevel="0" collapsed="false">
      <c r="V3358" s="23" t="str">
        <f aca="false">IF(ISNUMBER(C3358),YEAR(C3358),"")</f>
        <v/>
      </c>
      <c r="W3358" s="23" t="str">
        <f aca="false">IF(ISNUMBER(C3358),MONTH(C3358),"")</f>
        <v/>
      </c>
      <c r="X3358" s="23" t="str">
        <f aca="false">IF(T3358="","",IF(T3358=0,"No discount",IF(T3358&lt;=0.2,"Low (1-20%)",IF(T3358&lt;=0.4,"Medium (21-40%)","High (&gt;40%)"))))</f>
        <v/>
      </c>
      <c r="Y3358" s="23" t="str">
        <f aca="false">IF(AND(ISNUMBER(C3358),ISNUMBER(D3358)),D3358-C3358,"")</f>
        <v/>
      </c>
      <c r="Z3358" s="23" t="str">
        <f aca="false">IF(B3358="","",IF(MATCH(B3358,$B$2:$B$12000,0)=ROW()-1,1,0))</f>
        <v/>
      </c>
    </row>
    <row r="3359" customFormat="false" ht="15" hidden="false" customHeight="false" outlineLevel="0" collapsed="false">
      <c r="V3359" s="23" t="str">
        <f aca="false">IF(ISNUMBER(C3359),YEAR(C3359),"")</f>
        <v/>
      </c>
      <c r="W3359" s="23" t="str">
        <f aca="false">IF(ISNUMBER(C3359),MONTH(C3359),"")</f>
        <v/>
      </c>
      <c r="X3359" s="23" t="str">
        <f aca="false">IF(T3359="","",IF(T3359=0,"No discount",IF(T3359&lt;=0.2,"Low (1-20%)",IF(T3359&lt;=0.4,"Medium (21-40%)","High (&gt;40%)"))))</f>
        <v/>
      </c>
      <c r="Y3359" s="23" t="str">
        <f aca="false">IF(AND(ISNUMBER(C3359),ISNUMBER(D3359)),D3359-C3359,"")</f>
        <v/>
      </c>
      <c r="Z3359" s="23" t="str">
        <f aca="false">IF(B3359="","",IF(MATCH(B3359,$B$2:$B$12000,0)=ROW()-1,1,0))</f>
        <v/>
      </c>
    </row>
    <row r="3360" customFormat="false" ht="15" hidden="false" customHeight="false" outlineLevel="0" collapsed="false">
      <c r="V3360" s="23" t="str">
        <f aca="false">IF(ISNUMBER(C3360),YEAR(C3360),"")</f>
        <v/>
      </c>
      <c r="W3360" s="23" t="str">
        <f aca="false">IF(ISNUMBER(C3360),MONTH(C3360),"")</f>
        <v/>
      </c>
      <c r="X3360" s="23" t="str">
        <f aca="false">IF(T3360="","",IF(T3360=0,"No discount",IF(T3360&lt;=0.2,"Low (1-20%)",IF(T3360&lt;=0.4,"Medium (21-40%)","High (&gt;40%)"))))</f>
        <v/>
      </c>
      <c r="Y3360" s="23" t="str">
        <f aca="false">IF(AND(ISNUMBER(C3360),ISNUMBER(D3360)),D3360-C3360,"")</f>
        <v/>
      </c>
      <c r="Z3360" s="23" t="str">
        <f aca="false">IF(B3360="","",IF(MATCH(B3360,$B$2:$B$12000,0)=ROW()-1,1,0))</f>
        <v/>
      </c>
    </row>
    <row r="3361" customFormat="false" ht="15" hidden="false" customHeight="false" outlineLevel="0" collapsed="false">
      <c r="V3361" s="23" t="str">
        <f aca="false">IF(ISNUMBER(C3361),YEAR(C3361),"")</f>
        <v/>
      </c>
      <c r="W3361" s="23" t="str">
        <f aca="false">IF(ISNUMBER(C3361),MONTH(C3361),"")</f>
        <v/>
      </c>
      <c r="X3361" s="23" t="str">
        <f aca="false">IF(T3361="","",IF(T3361=0,"No discount",IF(T3361&lt;=0.2,"Low (1-20%)",IF(T3361&lt;=0.4,"Medium (21-40%)","High (&gt;40%)"))))</f>
        <v/>
      </c>
      <c r="Y3361" s="23" t="str">
        <f aca="false">IF(AND(ISNUMBER(C3361),ISNUMBER(D3361)),D3361-C3361,"")</f>
        <v/>
      </c>
      <c r="Z3361" s="23" t="str">
        <f aca="false">IF(B3361="","",IF(MATCH(B3361,$B$2:$B$12000,0)=ROW()-1,1,0))</f>
        <v/>
      </c>
    </row>
    <row r="3362" customFormat="false" ht="15" hidden="false" customHeight="false" outlineLevel="0" collapsed="false">
      <c r="V3362" s="23" t="str">
        <f aca="false">IF(ISNUMBER(C3362),YEAR(C3362),"")</f>
        <v/>
      </c>
      <c r="W3362" s="23" t="str">
        <f aca="false">IF(ISNUMBER(C3362),MONTH(C3362),"")</f>
        <v/>
      </c>
      <c r="X3362" s="23" t="str">
        <f aca="false">IF(T3362="","",IF(T3362=0,"No discount",IF(T3362&lt;=0.2,"Low (1-20%)",IF(T3362&lt;=0.4,"Medium (21-40%)","High (&gt;40%)"))))</f>
        <v/>
      </c>
      <c r="Y3362" s="23" t="str">
        <f aca="false">IF(AND(ISNUMBER(C3362),ISNUMBER(D3362)),D3362-C3362,"")</f>
        <v/>
      </c>
      <c r="Z3362" s="23" t="str">
        <f aca="false">IF(B3362="","",IF(MATCH(B3362,$B$2:$B$12000,0)=ROW()-1,1,0))</f>
        <v/>
      </c>
    </row>
    <row r="3363" customFormat="false" ht="15" hidden="false" customHeight="false" outlineLevel="0" collapsed="false">
      <c r="V3363" s="23" t="str">
        <f aca="false">IF(ISNUMBER(C3363),YEAR(C3363),"")</f>
        <v/>
      </c>
      <c r="W3363" s="23" t="str">
        <f aca="false">IF(ISNUMBER(C3363),MONTH(C3363),"")</f>
        <v/>
      </c>
      <c r="X3363" s="23" t="str">
        <f aca="false">IF(T3363="","",IF(T3363=0,"No discount",IF(T3363&lt;=0.2,"Low (1-20%)",IF(T3363&lt;=0.4,"Medium (21-40%)","High (&gt;40%)"))))</f>
        <v/>
      </c>
      <c r="Y3363" s="23" t="str">
        <f aca="false">IF(AND(ISNUMBER(C3363),ISNUMBER(D3363)),D3363-C3363,"")</f>
        <v/>
      </c>
      <c r="Z3363" s="23" t="str">
        <f aca="false">IF(B3363="","",IF(MATCH(B3363,$B$2:$B$12000,0)=ROW()-1,1,0))</f>
        <v/>
      </c>
    </row>
    <row r="3364" customFormat="false" ht="15" hidden="false" customHeight="false" outlineLevel="0" collapsed="false">
      <c r="V3364" s="23" t="str">
        <f aca="false">IF(ISNUMBER(C3364),YEAR(C3364),"")</f>
        <v/>
      </c>
      <c r="W3364" s="23" t="str">
        <f aca="false">IF(ISNUMBER(C3364),MONTH(C3364),"")</f>
        <v/>
      </c>
      <c r="X3364" s="23" t="str">
        <f aca="false">IF(T3364="","",IF(T3364=0,"No discount",IF(T3364&lt;=0.2,"Low (1-20%)",IF(T3364&lt;=0.4,"Medium (21-40%)","High (&gt;40%)"))))</f>
        <v/>
      </c>
      <c r="Y3364" s="23" t="str">
        <f aca="false">IF(AND(ISNUMBER(C3364),ISNUMBER(D3364)),D3364-C3364,"")</f>
        <v/>
      </c>
      <c r="Z3364" s="23" t="str">
        <f aca="false">IF(B3364="","",IF(MATCH(B3364,$B$2:$B$12000,0)=ROW()-1,1,0))</f>
        <v/>
      </c>
    </row>
    <row r="3365" customFormat="false" ht="15" hidden="false" customHeight="false" outlineLevel="0" collapsed="false">
      <c r="V3365" s="23" t="str">
        <f aca="false">IF(ISNUMBER(C3365),YEAR(C3365),"")</f>
        <v/>
      </c>
      <c r="W3365" s="23" t="str">
        <f aca="false">IF(ISNUMBER(C3365),MONTH(C3365),"")</f>
        <v/>
      </c>
      <c r="X3365" s="23" t="str">
        <f aca="false">IF(T3365="","",IF(T3365=0,"No discount",IF(T3365&lt;=0.2,"Low (1-20%)",IF(T3365&lt;=0.4,"Medium (21-40%)","High (&gt;40%)"))))</f>
        <v/>
      </c>
      <c r="Y3365" s="23" t="str">
        <f aca="false">IF(AND(ISNUMBER(C3365),ISNUMBER(D3365)),D3365-C3365,"")</f>
        <v/>
      </c>
      <c r="Z3365" s="23" t="str">
        <f aca="false">IF(B3365="","",IF(MATCH(B3365,$B$2:$B$12000,0)=ROW()-1,1,0))</f>
        <v/>
      </c>
    </row>
    <row r="3366" customFormat="false" ht="15" hidden="false" customHeight="false" outlineLevel="0" collapsed="false">
      <c r="V3366" s="23" t="str">
        <f aca="false">IF(ISNUMBER(C3366),YEAR(C3366),"")</f>
        <v/>
      </c>
      <c r="W3366" s="23" t="str">
        <f aca="false">IF(ISNUMBER(C3366),MONTH(C3366),"")</f>
        <v/>
      </c>
      <c r="X3366" s="23" t="str">
        <f aca="false">IF(T3366="","",IF(T3366=0,"No discount",IF(T3366&lt;=0.2,"Low (1-20%)",IF(T3366&lt;=0.4,"Medium (21-40%)","High (&gt;40%)"))))</f>
        <v/>
      </c>
      <c r="Y3366" s="23" t="str">
        <f aca="false">IF(AND(ISNUMBER(C3366),ISNUMBER(D3366)),D3366-C3366,"")</f>
        <v/>
      </c>
      <c r="Z3366" s="23" t="str">
        <f aca="false">IF(B3366="","",IF(MATCH(B3366,$B$2:$B$12000,0)=ROW()-1,1,0))</f>
        <v/>
      </c>
    </row>
    <row r="3367" customFormat="false" ht="15" hidden="false" customHeight="false" outlineLevel="0" collapsed="false">
      <c r="V3367" s="23" t="str">
        <f aca="false">IF(ISNUMBER(C3367),YEAR(C3367),"")</f>
        <v/>
      </c>
      <c r="W3367" s="23" t="str">
        <f aca="false">IF(ISNUMBER(C3367),MONTH(C3367),"")</f>
        <v/>
      </c>
      <c r="X3367" s="23" t="str">
        <f aca="false">IF(T3367="","",IF(T3367=0,"No discount",IF(T3367&lt;=0.2,"Low (1-20%)",IF(T3367&lt;=0.4,"Medium (21-40%)","High (&gt;40%)"))))</f>
        <v/>
      </c>
      <c r="Y3367" s="23" t="str">
        <f aca="false">IF(AND(ISNUMBER(C3367),ISNUMBER(D3367)),D3367-C3367,"")</f>
        <v/>
      </c>
      <c r="Z3367" s="23" t="str">
        <f aca="false">IF(B3367="","",IF(MATCH(B3367,$B$2:$B$12000,0)=ROW()-1,1,0))</f>
        <v/>
      </c>
    </row>
    <row r="3368" customFormat="false" ht="15" hidden="false" customHeight="false" outlineLevel="0" collapsed="false">
      <c r="V3368" s="23" t="str">
        <f aca="false">IF(ISNUMBER(C3368),YEAR(C3368),"")</f>
        <v/>
      </c>
      <c r="W3368" s="23" t="str">
        <f aca="false">IF(ISNUMBER(C3368),MONTH(C3368),"")</f>
        <v/>
      </c>
      <c r="X3368" s="23" t="str">
        <f aca="false">IF(T3368="","",IF(T3368=0,"No discount",IF(T3368&lt;=0.2,"Low (1-20%)",IF(T3368&lt;=0.4,"Medium (21-40%)","High (&gt;40%)"))))</f>
        <v/>
      </c>
      <c r="Y3368" s="23" t="str">
        <f aca="false">IF(AND(ISNUMBER(C3368),ISNUMBER(D3368)),D3368-C3368,"")</f>
        <v/>
      </c>
      <c r="Z3368" s="23" t="str">
        <f aca="false">IF(B3368="","",IF(MATCH(B3368,$B$2:$B$12000,0)=ROW()-1,1,0))</f>
        <v/>
      </c>
    </row>
    <row r="3369" customFormat="false" ht="15" hidden="false" customHeight="false" outlineLevel="0" collapsed="false">
      <c r="V3369" s="23" t="str">
        <f aca="false">IF(ISNUMBER(C3369),YEAR(C3369),"")</f>
        <v/>
      </c>
      <c r="W3369" s="23" t="str">
        <f aca="false">IF(ISNUMBER(C3369),MONTH(C3369),"")</f>
        <v/>
      </c>
      <c r="X3369" s="23" t="str">
        <f aca="false">IF(T3369="","",IF(T3369=0,"No discount",IF(T3369&lt;=0.2,"Low (1-20%)",IF(T3369&lt;=0.4,"Medium (21-40%)","High (&gt;40%)"))))</f>
        <v/>
      </c>
      <c r="Y3369" s="23" t="str">
        <f aca="false">IF(AND(ISNUMBER(C3369),ISNUMBER(D3369)),D3369-C3369,"")</f>
        <v/>
      </c>
      <c r="Z3369" s="23" t="str">
        <f aca="false">IF(B3369="","",IF(MATCH(B3369,$B$2:$B$12000,0)=ROW()-1,1,0))</f>
        <v/>
      </c>
    </row>
    <row r="3370" customFormat="false" ht="15" hidden="false" customHeight="false" outlineLevel="0" collapsed="false">
      <c r="V3370" s="23" t="str">
        <f aca="false">IF(ISNUMBER(C3370),YEAR(C3370),"")</f>
        <v/>
      </c>
      <c r="W3370" s="23" t="str">
        <f aca="false">IF(ISNUMBER(C3370),MONTH(C3370),"")</f>
        <v/>
      </c>
      <c r="X3370" s="23" t="str">
        <f aca="false">IF(T3370="","",IF(T3370=0,"No discount",IF(T3370&lt;=0.2,"Low (1-20%)",IF(T3370&lt;=0.4,"Medium (21-40%)","High (&gt;40%)"))))</f>
        <v/>
      </c>
      <c r="Y3370" s="23" t="str">
        <f aca="false">IF(AND(ISNUMBER(C3370),ISNUMBER(D3370)),D3370-C3370,"")</f>
        <v/>
      </c>
      <c r="Z3370" s="23" t="str">
        <f aca="false">IF(B3370="","",IF(MATCH(B3370,$B$2:$B$12000,0)=ROW()-1,1,0))</f>
        <v/>
      </c>
    </row>
    <row r="3371" customFormat="false" ht="15" hidden="false" customHeight="false" outlineLevel="0" collapsed="false">
      <c r="V3371" s="23" t="str">
        <f aca="false">IF(ISNUMBER(C3371),YEAR(C3371),"")</f>
        <v/>
      </c>
      <c r="W3371" s="23" t="str">
        <f aca="false">IF(ISNUMBER(C3371),MONTH(C3371),"")</f>
        <v/>
      </c>
      <c r="X3371" s="23" t="str">
        <f aca="false">IF(T3371="","",IF(T3371=0,"No discount",IF(T3371&lt;=0.2,"Low (1-20%)",IF(T3371&lt;=0.4,"Medium (21-40%)","High (&gt;40%)"))))</f>
        <v/>
      </c>
      <c r="Y3371" s="23" t="str">
        <f aca="false">IF(AND(ISNUMBER(C3371),ISNUMBER(D3371)),D3371-C3371,"")</f>
        <v/>
      </c>
      <c r="Z3371" s="23" t="str">
        <f aca="false">IF(B3371="","",IF(MATCH(B3371,$B$2:$B$12000,0)=ROW()-1,1,0))</f>
        <v/>
      </c>
    </row>
    <row r="3372" customFormat="false" ht="15" hidden="false" customHeight="false" outlineLevel="0" collapsed="false">
      <c r="V3372" s="23" t="str">
        <f aca="false">IF(ISNUMBER(C3372),YEAR(C3372),"")</f>
        <v/>
      </c>
      <c r="W3372" s="23" t="str">
        <f aca="false">IF(ISNUMBER(C3372),MONTH(C3372),"")</f>
        <v/>
      </c>
      <c r="X3372" s="23" t="str">
        <f aca="false">IF(T3372="","",IF(T3372=0,"No discount",IF(T3372&lt;=0.2,"Low (1-20%)",IF(T3372&lt;=0.4,"Medium (21-40%)","High (&gt;40%)"))))</f>
        <v/>
      </c>
      <c r="Y3372" s="23" t="str">
        <f aca="false">IF(AND(ISNUMBER(C3372),ISNUMBER(D3372)),D3372-C3372,"")</f>
        <v/>
      </c>
      <c r="Z3372" s="23" t="str">
        <f aca="false">IF(B3372="","",IF(MATCH(B3372,$B$2:$B$12000,0)=ROW()-1,1,0))</f>
        <v/>
      </c>
    </row>
    <row r="3373" customFormat="false" ht="15" hidden="false" customHeight="false" outlineLevel="0" collapsed="false">
      <c r="V3373" s="23" t="str">
        <f aca="false">IF(ISNUMBER(C3373),YEAR(C3373),"")</f>
        <v/>
      </c>
      <c r="W3373" s="23" t="str">
        <f aca="false">IF(ISNUMBER(C3373),MONTH(C3373),"")</f>
        <v/>
      </c>
      <c r="X3373" s="23" t="str">
        <f aca="false">IF(T3373="","",IF(T3373=0,"No discount",IF(T3373&lt;=0.2,"Low (1-20%)",IF(T3373&lt;=0.4,"Medium (21-40%)","High (&gt;40%)"))))</f>
        <v/>
      </c>
      <c r="Y3373" s="23" t="str">
        <f aca="false">IF(AND(ISNUMBER(C3373),ISNUMBER(D3373)),D3373-C3373,"")</f>
        <v/>
      </c>
      <c r="Z3373" s="23" t="str">
        <f aca="false">IF(B3373="","",IF(MATCH(B3373,$B$2:$B$12000,0)=ROW()-1,1,0))</f>
        <v/>
      </c>
    </row>
    <row r="3374" customFormat="false" ht="15" hidden="false" customHeight="false" outlineLevel="0" collapsed="false">
      <c r="V3374" s="23" t="str">
        <f aca="false">IF(ISNUMBER(C3374),YEAR(C3374),"")</f>
        <v/>
      </c>
      <c r="W3374" s="23" t="str">
        <f aca="false">IF(ISNUMBER(C3374),MONTH(C3374),"")</f>
        <v/>
      </c>
      <c r="X3374" s="23" t="str">
        <f aca="false">IF(T3374="","",IF(T3374=0,"No discount",IF(T3374&lt;=0.2,"Low (1-20%)",IF(T3374&lt;=0.4,"Medium (21-40%)","High (&gt;40%)"))))</f>
        <v/>
      </c>
      <c r="Y3374" s="23" t="str">
        <f aca="false">IF(AND(ISNUMBER(C3374),ISNUMBER(D3374)),D3374-C3374,"")</f>
        <v/>
      </c>
      <c r="Z3374" s="23" t="str">
        <f aca="false">IF(B3374="","",IF(MATCH(B3374,$B$2:$B$12000,0)=ROW()-1,1,0))</f>
        <v/>
      </c>
    </row>
    <row r="3375" customFormat="false" ht="15" hidden="false" customHeight="false" outlineLevel="0" collapsed="false">
      <c r="V3375" s="23" t="str">
        <f aca="false">IF(ISNUMBER(C3375),YEAR(C3375),"")</f>
        <v/>
      </c>
      <c r="W3375" s="23" t="str">
        <f aca="false">IF(ISNUMBER(C3375),MONTH(C3375),"")</f>
        <v/>
      </c>
      <c r="X3375" s="23" t="str">
        <f aca="false">IF(T3375="","",IF(T3375=0,"No discount",IF(T3375&lt;=0.2,"Low (1-20%)",IF(T3375&lt;=0.4,"Medium (21-40%)","High (&gt;40%)"))))</f>
        <v/>
      </c>
      <c r="Y3375" s="23" t="str">
        <f aca="false">IF(AND(ISNUMBER(C3375),ISNUMBER(D3375)),D3375-C3375,"")</f>
        <v/>
      </c>
      <c r="Z3375" s="23" t="str">
        <f aca="false">IF(B3375="","",IF(MATCH(B3375,$B$2:$B$12000,0)=ROW()-1,1,0))</f>
        <v/>
      </c>
    </row>
    <row r="3376" customFormat="false" ht="15" hidden="false" customHeight="false" outlineLevel="0" collapsed="false">
      <c r="V3376" s="23" t="str">
        <f aca="false">IF(ISNUMBER(C3376),YEAR(C3376),"")</f>
        <v/>
      </c>
      <c r="W3376" s="23" t="str">
        <f aca="false">IF(ISNUMBER(C3376),MONTH(C3376),"")</f>
        <v/>
      </c>
      <c r="X3376" s="23" t="str">
        <f aca="false">IF(T3376="","",IF(T3376=0,"No discount",IF(T3376&lt;=0.2,"Low (1-20%)",IF(T3376&lt;=0.4,"Medium (21-40%)","High (&gt;40%)"))))</f>
        <v/>
      </c>
      <c r="Y3376" s="23" t="str">
        <f aca="false">IF(AND(ISNUMBER(C3376),ISNUMBER(D3376)),D3376-C3376,"")</f>
        <v/>
      </c>
      <c r="Z3376" s="23" t="str">
        <f aca="false">IF(B3376="","",IF(MATCH(B3376,$B$2:$B$12000,0)=ROW()-1,1,0))</f>
        <v/>
      </c>
    </row>
    <row r="3377" customFormat="false" ht="15" hidden="false" customHeight="false" outlineLevel="0" collapsed="false">
      <c r="V3377" s="23" t="str">
        <f aca="false">IF(ISNUMBER(C3377),YEAR(C3377),"")</f>
        <v/>
      </c>
      <c r="W3377" s="23" t="str">
        <f aca="false">IF(ISNUMBER(C3377),MONTH(C3377),"")</f>
        <v/>
      </c>
      <c r="X3377" s="23" t="str">
        <f aca="false">IF(T3377="","",IF(T3377=0,"No discount",IF(T3377&lt;=0.2,"Low (1-20%)",IF(T3377&lt;=0.4,"Medium (21-40%)","High (&gt;40%)"))))</f>
        <v/>
      </c>
      <c r="Y3377" s="23" t="str">
        <f aca="false">IF(AND(ISNUMBER(C3377),ISNUMBER(D3377)),D3377-C3377,"")</f>
        <v/>
      </c>
      <c r="Z3377" s="23" t="str">
        <f aca="false">IF(B3377="","",IF(MATCH(B3377,$B$2:$B$12000,0)=ROW()-1,1,0))</f>
        <v/>
      </c>
    </row>
    <row r="3378" customFormat="false" ht="15" hidden="false" customHeight="false" outlineLevel="0" collapsed="false">
      <c r="V3378" s="23" t="str">
        <f aca="false">IF(ISNUMBER(C3378),YEAR(C3378),"")</f>
        <v/>
      </c>
      <c r="W3378" s="23" t="str">
        <f aca="false">IF(ISNUMBER(C3378),MONTH(C3378),"")</f>
        <v/>
      </c>
      <c r="X3378" s="23" t="str">
        <f aca="false">IF(T3378="","",IF(T3378=0,"No discount",IF(T3378&lt;=0.2,"Low (1-20%)",IF(T3378&lt;=0.4,"Medium (21-40%)","High (&gt;40%)"))))</f>
        <v/>
      </c>
      <c r="Y3378" s="23" t="str">
        <f aca="false">IF(AND(ISNUMBER(C3378),ISNUMBER(D3378)),D3378-C3378,"")</f>
        <v/>
      </c>
      <c r="Z3378" s="23" t="str">
        <f aca="false">IF(B3378="","",IF(MATCH(B3378,$B$2:$B$12000,0)=ROW()-1,1,0))</f>
        <v/>
      </c>
    </row>
    <row r="3379" customFormat="false" ht="15" hidden="false" customHeight="false" outlineLevel="0" collapsed="false">
      <c r="V3379" s="23" t="str">
        <f aca="false">IF(ISNUMBER(C3379),YEAR(C3379),"")</f>
        <v/>
      </c>
      <c r="W3379" s="23" t="str">
        <f aca="false">IF(ISNUMBER(C3379),MONTH(C3379),"")</f>
        <v/>
      </c>
      <c r="X3379" s="23" t="str">
        <f aca="false">IF(T3379="","",IF(T3379=0,"No discount",IF(T3379&lt;=0.2,"Low (1-20%)",IF(T3379&lt;=0.4,"Medium (21-40%)","High (&gt;40%)"))))</f>
        <v/>
      </c>
      <c r="Y3379" s="23" t="str">
        <f aca="false">IF(AND(ISNUMBER(C3379),ISNUMBER(D3379)),D3379-C3379,"")</f>
        <v/>
      </c>
      <c r="Z3379" s="23" t="str">
        <f aca="false">IF(B3379="","",IF(MATCH(B3379,$B$2:$B$12000,0)=ROW()-1,1,0))</f>
        <v/>
      </c>
    </row>
    <row r="3380" customFormat="false" ht="15" hidden="false" customHeight="false" outlineLevel="0" collapsed="false">
      <c r="V3380" s="23" t="str">
        <f aca="false">IF(ISNUMBER(C3380),YEAR(C3380),"")</f>
        <v/>
      </c>
      <c r="W3380" s="23" t="str">
        <f aca="false">IF(ISNUMBER(C3380),MONTH(C3380),"")</f>
        <v/>
      </c>
      <c r="X3380" s="23" t="str">
        <f aca="false">IF(T3380="","",IF(T3380=0,"No discount",IF(T3380&lt;=0.2,"Low (1-20%)",IF(T3380&lt;=0.4,"Medium (21-40%)","High (&gt;40%)"))))</f>
        <v/>
      </c>
      <c r="Y3380" s="23" t="str">
        <f aca="false">IF(AND(ISNUMBER(C3380),ISNUMBER(D3380)),D3380-C3380,"")</f>
        <v/>
      </c>
      <c r="Z3380" s="23" t="str">
        <f aca="false">IF(B3380="","",IF(MATCH(B3380,$B$2:$B$12000,0)=ROW()-1,1,0))</f>
        <v/>
      </c>
    </row>
    <row r="3381" customFormat="false" ht="15" hidden="false" customHeight="false" outlineLevel="0" collapsed="false">
      <c r="V3381" s="23" t="str">
        <f aca="false">IF(ISNUMBER(C3381),YEAR(C3381),"")</f>
        <v/>
      </c>
      <c r="W3381" s="23" t="str">
        <f aca="false">IF(ISNUMBER(C3381),MONTH(C3381),"")</f>
        <v/>
      </c>
      <c r="X3381" s="23" t="str">
        <f aca="false">IF(T3381="","",IF(T3381=0,"No discount",IF(T3381&lt;=0.2,"Low (1-20%)",IF(T3381&lt;=0.4,"Medium (21-40%)","High (&gt;40%)"))))</f>
        <v/>
      </c>
      <c r="Y3381" s="23" t="str">
        <f aca="false">IF(AND(ISNUMBER(C3381),ISNUMBER(D3381)),D3381-C3381,"")</f>
        <v/>
      </c>
      <c r="Z3381" s="23" t="str">
        <f aca="false">IF(B3381="","",IF(MATCH(B3381,$B$2:$B$12000,0)=ROW()-1,1,0))</f>
        <v/>
      </c>
    </row>
    <row r="3382" customFormat="false" ht="15" hidden="false" customHeight="false" outlineLevel="0" collapsed="false">
      <c r="V3382" s="23" t="str">
        <f aca="false">IF(ISNUMBER(C3382),YEAR(C3382),"")</f>
        <v/>
      </c>
      <c r="W3382" s="23" t="str">
        <f aca="false">IF(ISNUMBER(C3382),MONTH(C3382),"")</f>
        <v/>
      </c>
      <c r="X3382" s="23" t="str">
        <f aca="false">IF(T3382="","",IF(T3382=0,"No discount",IF(T3382&lt;=0.2,"Low (1-20%)",IF(T3382&lt;=0.4,"Medium (21-40%)","High (&gt;40%)"))))</f>
        <v/>
      </c>
      <c r="Y3382" s="23" t="str">
        <f aca="false">IF(AND(ISNUMBER(C3382),ISNUMBER(D3382)),D3382-C3382,"")</f>
        <v/>
      </c>
      <c r="Z3382" s="23" t="str">
        <f aca="false">IF(B3382="","",IF(MATCH(B3382,$B$2:$B$12000,0)=ROW()-1,1,0))</f>
        <v/>
      </c>
    </row>
    <row r="3383" customFormat="false" ht="15" hidden="false" customHeight="false" outlineLevel="0" collapsed="false">
      <c r="V3383" s="23" t="str">
        <f aca="false">IF(ISNUMBER(C3383),YEAR(C3383),"")</f>
        <v/>
      </c>
      <c r="W3383" s="23" t="str">
        <f aca="false">IF(ISNUMBER(C3383),MONTH(C3383),"")</f>
        <v/>
      </c>
      <c r="X3383" s="23" t="str">
        <f aca="false">IF(T3383="","",IF(T3383=0,"No discount",IF(T3383&lt;=0.2,"Low (1-20%)",IF(T3383&lt;=0.4,"Medium (21-40%)","High (&gt;40%)"))))</f>
        <v/>
      </c>
      <c r="Y3383" s="23" t="str">
        <f aca="false">IF(AND(ISNUMBER(C3383),ISNUMBER(D3383)),D3383-C3383,"")</f>
        <v/>
      </c>
      <c r="Z3383" s="23" t="str">
        <f aca="false">IF(B3383="","",IF(MATCH(B3383,$B$2:$B$12000,0)=ROW()-1,1,0))</f>
        <v/>
      </c>
    </row>
    <row r="3384" customFormat="false" ht="15" hidden="false" customHeight="false" outlineLevel="0" collapsed="false">
      <c r="V3384" s="23" t="str">
        <f aca="false">IF(ISNUMBER(C3384),YEAR(C3384),"")</f>
        <v/>
      </c>
      <c r="W3384" s="23" t="str">
        <f aca="false">IF(ISNUMBER(C3384),MONTH(C3384),"")</f>
        <v/>
      </c>
      <c r="X3384" s="23" t="str">
        <f aca="false">IF(T3384="","",IF(T3384=0,"No discount",IF(T3384&lt;=0.2,"Low (1-20%)",IF(T3384&lt;=0.4,"Medium (21-40%)","High (&gt;40%)"))))</f>
        <v/>
      </c>
      <c r="Y3384" s="23" t="str">
        <f aca="false">IF(AND(ISNUMBER(C3384),ISNUMBER(D3384)),D3384-C3384,"")</f>
        <v/>
      </c>
      <c r="Z3384" s="23" t="str">
        <f aca="false">IF(B3384="","",IF(MATCH(B3384,$B$2:$B$12000,0)=ROW()-1,1,0))</f>
        <v/>
      </c>
    </row>
    <row r="3385" customFormat="false" ht="15" hidden="false" customHeight="false" outlineLevel="0" collapsed="false">
      <c r="V3385" s="23" t="str">
        <f aca="false">IF(ISNUMBER(C3385),YEAR(C3385),"")</f>
        <v/>
      </c>
      <c r="W3385" s="23" t="str">
        <f aca="false">IF(ISNUMBER(C3385),MONTH(C3385),"")</f>
        <v/>
      </c>
      <c r="X3385" s="23" t="str">
        <f aca="false">IF(T3385="","",IF(T3385=0,"No discount",IF(T3385&lt;=0.2,"Low (1-20%)",IF(T3385&lt;=0.4,"Medium (21-40%)","High (&gt;40%)"))))</f>
        <v/>
      </c>
      <c r="Y3385" s="23" t="str">
        <f aca="false">IF(AND(ISNUMBER(C3385),ISNUMBER(D3385)),D3385-C3385,"")</f>
        <v/>
      </c>
      <c r="Z3385" s="23" t="str">
        <f aca="false">IF(B3385="","",IF(MATCH(B3385,$B$2:$B$12000,0)=ROW()-1,1,0))</f>
        <v/>
      </c>
    </row>
    <row r="3386" customFormat="false" ht="15" hidden="false" customHeight="false" outlineLevel="0" collapsed="false">
      <c r="V3386" s="23" t="str">
        <f aca="false">IF(ISNUMBER(C3386),YEAR(C3386),"")</f>
        <v/>
      </c>
      <c r="W3386" s="23" t="str">
        <f aca="false">IF(ISNUMBER(C3386),MONTH(C3386),"")</f>
        <v/>
      </c>
      <c r="X3386" s="23" t="str">
        <f aca="false">IF(T3386="","",IF(T3386=0,"No discount",IF(T3386&lt;=0.2,"Low (1-20%)",IF(T3386&lt;=0.4,"Medium (21-40%)","High (&gt;40%)"))))</f>
        <v/>
      </c>
      <c r="Y3386" s="23" t="str">
        <f aca="false">IF(AND(ISNUMBER(C3386),ISNUMBER(D3386)),D3386-C3386,"")</f>
        <v/>
      </c>
      <c r="Z3386" s="23" t="str">
        <f aca="false">IF(B3386="","",IF(MATCH(B3386,$B$2:$B$12000,0)=ROW()-1,1,0))</f>
        <v/>
      </c>
    </row>
    <row r="3387" customFormat="false" ht="15" hidden="false" customHeight="false" outlineLevel="0" collapsed="false">
      <c r="V3387" s="23" t="str">
        <f aca="false">IF(ISNUMBER(C3387),YEAR(C3387),"")</f>
        <v/>
      </c>
      <c r="W3387" s="23" t="str">
        <f aca="false">IF(ISNUMBER(C3387),MONTH(C3387),"")</f>
        <v/>
      </c>
      <c r="X3387" s="23" t="str">
        <f aca="false">IF(T3387="","",IF(T3387=0,"No discount",IF(T3387&lt;=0.2,"Low (1-20%)",IF(T3387&lt;=0.4,"Medium (21-40%)","High (&gt;40%)"))))</f>
        <v/>
      </c>
      <c r="Y3387" s="23" t="str">
        <f aca="false">IF(AND(ISNUMBER(C3387),ISNUMBER(D3387)),D3387-C3387,"")</f>
        <v/>
      </c>
      <c r="Z3387" s="23" t="str">
        <f aca="false">IF(B3387="","",IF(MATCH(B3387,$B$2:$B$12000,0)=ROW()-1,1,0))</f>
        <v/>
      </c>
    </row>
    <row r="3388" customFormat="false" ht="15" hidden="false" customHeight="false" outlineLevel="0" collapsed="false">
      <c r="V3388" s="23" t="str">
        <f aca="false">IF(ISNUMBER(C3388),YEAR(C3388),"")</f>
        <v/>
      </c>
      <c r="W3388" s="23" t="str">
        <f aca="false">IF(ISNUMBER(C3388),MONTH(C3388),"")</f>
        <v/>
      </c>
      <c r="X3388" s="23" t="str">
        <f aca="false">IF(T3388="","",IF(T3388=0,"No discount",IF(T3388&lt;=0.2,"Low (1-20%)",IF(T3388&lt;=0.4,"Medium (21-40%)","High (&gt;40%)"))))</f>
        <v/>
      </c>
      <c r="Y3388" s="23" t="str">
        <f aca="false">IF(AND(ISNUMBER(C3388),ISNUMBER(D3388)),D3388-C3388,"")</f>
        <v/>
      </c>
      <c r="Z3388" s="23" t="str">
        <f aca="false">IF(B3388="","",IF(MATCH(B3388,$B$2:$B$12000,0)=ROW()-1,1,0))</f>
        <v/>
      </c>
    </row>
    <row r="3389" customFormat="false" ht="15" hidden="false" customHeight="false" outlineLevel="0" collapsed="false">
      <c r="V3389" s="23" t="str">
        <f aca="false">IF(ISNUMBER(C3389),YEAR(C3389),"")</f>
        <v/>
      </c>
      <c r="W3389" s="23" t="str">
        <f aca="false">IF(ISNUMBER(C3389),MONTH(C3389),"")</f>
        <v/>
      </c>
      <c r="X3389" s="23" t="str">
        <f aca="false">IF(T3389="","",IF(T3389=0,"No discount",IF(T3389&lt;=0.2,"Low (1-20%)",IF(T3389&lt;=0.4,"Medium (21-40%)","High (&gt;40%)"))))</f>
        <v/>
      </c>
      <c r="Y3389" s="23" t="str">
        <f aca="false">IF(AND(ISNUMBER(C3389),ISNUMBER(D3389)),D3389-C3389,"")</f>
        <v/>
      </c>
      <c r="Z3389" s="23" t="str">
        <f aca="false">IF(B3389="","",IF(MATCH(B3389,$B$2:$B$12000,0)=ROW()-1,1,0))</f>
        <v/>
      </c>
    </row>
    <row r="3390" customFormat="false" ht="15" hidden="false" customHeight="false" outlineLevel="0" collapsed="false">
      <c r="V3390" s="23" t="str">
        <f aca="false">IF(ISNUMBER(C3390),YEAR(C3390),"")</f>
        <v/>
      </c>
      <c r="W3390" s="23" t="str">
        <f aca="false">IF(ISNUMBER(C3390),MONTH(C3390),"")</f>
        <v/>
      </c>
      <c r="X3390" s="23" t="str">
        <f aca="false">IF(T3390="","",IF(T3390=0,"No discount",IF(T3390&lt;=0.2,"Low (1-20%)",IF(T3390&lt;=0.4,"Medium (21-40%)","High (&gt;40%)"))))</f>
        <v/>
      </c>
      <c r="Y3390" s="23" t="str">
        <f aca="false">IF(AND(ISNUMBER(C3390),ISNUMBER(D3390)),D3390-C3390,"")</f>
        <v/>
      </c>
      <c r="Z3390" s="23" t="str">
        <f aca="false">IF(B3390="","",IF(MATCH(B3390,$B$2:$B$12000,0)=ROW()-1,1,0))</f>
        <v/>
      </c>
    </row>
    <row r="3391" customFormat="false" ht="15" hidden="false" customHeight="false" outlineLevel="0" collapsed="false">
      <c r="V3391" s="23" t="str">
        <f aca="false">IF(ISNUMBER(C3391),YEAR(C3391),"")</f>
        <v/>
      </c>
      <c r="W3391" s="23" t="str">
        <f aca="false">IF(ISNUMBER(C3391),MONTH(C3391),"")</f>
        <v/>
      </c>
      <c r="X3391" s="23" t="str">
        <f aca="false">IF(T3391="","",IF(T3391=0,"No discount",IF(T3391&lt;=0.2,"Low (1-20%)",IF(T3391&lt;=0.4,"Medium (21-40%)","High (&gt;40%)"))))</f>
        <v/>
      </c>
      <c r="Y3391" s="23" t="str">
        <f aca="false">IF(AND(ISNUMBER(C3391),ISNUMBER(D3391)),D3391-C3391,"")</f>
        <v/>
      </c>
      <c r="Z3391" s="23" t="str">
        <f aca="false">IF(B3391="","",IF(MATCH(B3391,$B$2:$B$12000,0)=ROW()-1,1,0))</f>
        <v/>
      </c>
    </row>
    <row r="3392" customFormat="false" ht="15" hidden="false" customHeight="false" outlineLevel="0" collapsed="false">
      <c r="V3392" s="23" t="str">
        <f aca="false">IF(ISNUMBER(C3392),YEAR(C3392),"")</f>
        <v/>
      </c>
      <c r="W3392" s="23" t="str">
        <f aca="false">IF(ISNUMBER(C3392),MONTH(C3392),"")</f>
        <v/>
      </c>
      <c r="X3392" s="23" t="str">
        <f aca="false">IF(T3392="","",IF(T3392=0,"No discount",IF(T3392&lt;=0.2,"Low (1-20%)",IF(T3392&lt;=0.4,"Medium (21-40%)","High (&gt;40%)"))))</f>
        <v/>
      </c>
      <c r="Y3392" s="23" t="str">
        <f aca="false">IF(AND(ISNUMBER(C3392),ISNUMBER(D3392)),D3392-C3392,"")</f>
        <v/>
      </c>
      <c r="Z3392" s="23" t="str">
        <f aca="false">IF(B3392="","",IF(MATCH(B3392,$B$2:$B$12000,0)=ROW()-1,1,0))</f>
        <v/>
      </c>
    </row>
    <row r="3393" customFormat="false" ht="15" hidden="false" customHeight="false" outlineLevel="0" collapsed="false">
      <c r="V3393" s="23" t="str">
        <f aca="false">IF(ISNUMBER(C3393),YEAR(C3393),"")</f>
        <v/>
      </c>
      <c r="W3393" s="23" t="str">
        <f aca="false">IF(ISNUMBER(C3393),MONTH(C3393),"")</f>
        <v/>
      </c>
      <c r="X3393" s="23" t="str">
        <f aca="false">IF(T3393="","",IF(T3393=0,"No discount",IF(T3393&lt;=0.2,"Low (1-20%)",IF(T3393&lt;=0.4,"Medium (21-40%)","High (&gt;40%)"))))</f>
        <v/>
      </c>
      <c r="Y3393" s="23" t="str">
        <f aca="false">IF(AND(ISNUMBER(C3393),ISNUMBER(D3393)),D3393-C3393,"")</f>
        <v/>
      </c>
      <c r="Z3393" s="23" t="str">
        <f aca="false">IF(B3393="","",IF(MATCH(B3393,$B$2:$B$12000,0)=ROW()-1,1,0))</f>
        <v/>
      </c>
    </row>
    <row r="3394" customFormat="false" ht="15" hidden="false" customHeight="false" outlineLevel="0" collapsed="false">
      <c r="V3394" s="23" t="str">
        <f aca="false">IF(ISNUMBER(C3394),YEAR(C3394),"")</f>
        <v/>
      </c>
      <c r="W3394" s="23" t="str">
        <f aca="false">IF(ISNUMBER(C3394),MONTH(C3394),"")</f>
        <v/>
      </c>
      <c r="X3394" s="23" t="str">
        <f aca="false">IF(T3394="","",IF(T3394=0,"No discount",IF(T3394&lt;=0.2,"Low (1-20%)",IF(T3394&lt;=0.4,"Medium (21-40%)","High (&gt;40%)"))))</f>
        <v/>
      </c>
      <c r="Y3394" s="23" t="str">
        <f aca="false">IF(AND(ISNUMBER(C3394),ISNUMBER(D3394)),D3394-C3394,"")</f>
        <v/>
      </c>
      <c r="Z3394" s="23" t="str">
        <f aca="false">IF(B3394="","",IF(MATCH(B3394,$B$2:$B$12000,0)=ROW()-1,1,0))</f>
        <v/>
      </c>
    </row>
    <row r="3395" customFormat="false" ht="15" hidden="false" customHeight="false" outlineLevel="0" collapsed="false">
      <c r="V3395" s="23" t="str">
        <f aca="false">IF(ISNUMBER(C3395),YEAR(C3395),"")</f>
        <v/>
      </c>
      <c r="W3395" s="23" t="str">
        <f aca="false">IF(ISNUMBER(C3395),MONTH(C3395),"")</f>
        <v/>
      </c>
      <c r="X3395" s="23" t="str">
        <f aca="false">IF(T3395="","",IF(T3395=0,"No discount",IF(T3395&lt;=0.2,"Low (1-20%)",IF(T3395&lt;=0.4,"Medium (21-40%)","High (&gt;40%)"))))</f>
        <v/>
      </c>
      <c r="Y3395" s="23" t="str">
        <f aca="false">IF(AND(ISNUMBER(C3395),ISNUMBER(D3395)),D3395-C3395,"")</f>
        <v/>
      </c>
      <c r="Z3395" s="23" t="str">
        <f aca="false">IF(B3395="","",IF(MATCH(B3395,$B$2:$B$12000,0)=ROW()-1,1,0))</f>
        <v/>
      </c>
    </row>
    <row r="3396" customFormat="false" ht="15" hidden="false" customHeight="false" outlineLevel="0" collapsed="false">
      <c r="V3396" s="23" t="str">
        <f aca="false">IF(ISNUMBER(C3396),YEAR(C3396),"")</f>
        <v/>
      </c>
      <c r="W3396" s="23" t="str">
        <f aca="false">IF(ISNUMBER(C3396),MONTH(C3396),"")</f>
        <v/>
      </c>
      <c r="X3396" s="23" t="str">
        <f aca="false">IF(T3396="","",IF(T3396=0,"No discount",IF(T3396&lt;=0.2,"Low (1-20%)",IF(T3396&lt;=0.4,"Medium (21-40%)","High (&gt;40%)"))))</f>
        <v/>
      </c>
      <c r="Y3396" s="23" t="str">
        <f aca="false">IF(AND(ISNUMBER(C3396),ISNUMBER(D3396)),D3396-C3396,"")</f>
        <v/>
      </c>
      <c r="Z3396" s="23" t="str">
        <f aca="false">IF(B3396="","",IF(MATCH(B3396,$B$2:$B$12000,0)=ROW()-1,1,0))</f>
        <v/>
      </c>
    </row>
    <row r="3397" customFormat="false" ht="15" hidden="false" customHeight="false" outlineLevel="0" collapsed="false">
      <c r="V3397" s="23" t="str">
        <f aca="false">IF(ISNUMBER(C3397),YEAR(C3397),"")</f>
        <v/>
      </c>
      <c r="W3397" s="23" t="str">
        <f aca="false">IF(ISNUMBER(C3397),MONTH(C3397),"")</f>
        <v/>
      </c>
      <c r="X3397" s="23" t="str">
        <f aca="false">IF(T3397="","",IF(T3397=0,"No discount",IF(T3397&lt;=0.2,"Low (1-20%)",IF(T3397&lt;=0.4,"Medium (21-40%)","High (&gt;40%)"))))</f>
        <v/>
      </c>
      <c r="Y3397" s="23" t="str">
        <f aca="false">IF(AND(ISNUMBER(C3397),ISNUMBER(D3397)),D3397-C3397,"")</f>
        <v/>
      </c>
      <c r="Z3397" s="23" t="str">
        <f aca="false">IF(B3397="","",IF(MATCH(B3397,$B$2:$B$12000,0)=ROW()-1,1,0))</f>
        <v/>
      </c>
    </row>
    <row r="3398" customFormat="false" ht="15" hidden="false" customHeight="false" outlineLevel="0" collapsed="false">
      <c r="V3398" s="23" t="str">
        <f aca="false">IF(ISNUMBER(C3398),YEAR(C3398),"")</f>
        <v/>
      </c>
      <c r="W3398" s="23" t="str">
        <f aca="false">IF(ISNUMBER(C3398),MONTH(C3398),"")</f>
        <v/>
      </c>
      <c r="X3398" s="23" t="str">
        <f aca="false">IF(T3398="","",IF(T3398=0,"No discount",IF(T3398&lt;=0.2,"Low (1-20%)",IF(T3398&lt;=0.4,"Medium (21-40%)","High (&gt;40%)"))))</f>
        <v/>
      </c>
      <c r="Y3398" s="23" t="str">
        <f aca="false">IF(AND(ISNUMBER(C3398),ISNUMBER(D3398)),D3398-C3398,"")</f>
        <v/>
      </c>
      <c r="Z3398" s="23" t="str">
        <f aca="false">IF(B3398="","",IF(MATCH(B3398,$B$2:$B$12000,0)=ROW()-1,1,0))</f>
        <v/>
      </c>
    </row>
    <row r="3399" customFormat="false" ht="15" hidden="false" customHeight="false" outlineLevel="0" collapsed="false">
      <c r="V3399" s="23" t="str">
        <f aca="false">IF(ISNUMBER(C3399),YEAR(C3399),"")</f>
        <v/>
      </c>
      <c r="W3399" s="23" t="str">
        <f aca="false">IF(ISNUMBER(C3399),MONTH(C3399),"")</f>
        <v/>
      </c>
      <c r="X3399" s="23" t="str">
        <f aca="false">IF(T3399="","",IF(T3399=0,"No discount",IF(T3399&lt;=0.2,"Low (1-20%)",IF(T3399&lt;=0.4,"Medium (21-40%)","High (&gt;40%)"))))</f>
        <v/>
      </c>
      <c r="Y3399" s="23" t="str">
        <f aca="false">IF(AND(ISNUMBER(C3399),ISNUMBER(D3399)),D3399-C3399,"")</f>
        <v/>
      </c>
      <c r="Z3399" s="23" t="str">
        <f aca="false">IF(B3399="","",IF(MATCH(B3399,$B$2:$B$12000,0)=ROW()-1,1,0))</f>
        <v/>
      </c>
    </row>
    <row r="3400" customFormat="false" ht="15" hidden="false" customHeight="false" outlineLevel="0" collapsed="false">
      <c r="V3400" s="23" t="str">
        <f aca="false">IF(ISNUMBER(C3400),YEAR(C3400),"")</f>
        <v/>
      </c>
      <c r="W3400" s="23" t="str">
        <f aca="false">IF(ISNUMBER(C3400),MONTH(C3400),"")</f>
        <v/>
      </c>
      <c r="X3400" s="23" t="str">
        <f aca="false">IF(T3400="","",IF(T3400=0,"No discount",IF(T3400&lt;=0.2,"Low (1-20%)",IF(T3400&lt;=0.4,"Medium (21-40%)","High (&gt;40%)"))))</f>
        <v/>
      </c>
      <c r="Y3400" s="23" t="str">
        <f aca="false">IF(AND(ISNUMBER(C3400),ISNUMBER(D3400)),D3400-C3400,"")</f>
        <v/>
      </c>
      <c r="Z3400" s="23" t="str">
        <f aca="false">IF(B3400="","",IF(MATCH(B3400,$B$2:$B$12000,0)=ROW()-1,1,0))</f>
        <v/>
      </c>
    </row>
    <row r="3401" customFormat="false" ht="15" hidden="false" customHeight="false" outlineLevel="0" collapsed="false">
      <c r="V3401" s="23" t="str">
        <f aca="false">IF(ISNUMBER(C3401),YEAR(C3401),"")</f>
        <v/>
      </c>
      <c r="W3401" s="23" t="str">
        <f aca="false">IF(ISNUMBER(C3401),MONTH(C3401),"")</f>
        <v/>
      </c>
      <c r="X3401" s="23" t="str">
        <f aca="false">IF(T3401="","",IF(T3401=0,"No discount",IF(T3401&lt;=0.2,"Low (1-20%)",IF(T3401&lt;=0.4,"Medium (21-40%)","High (&gt;40%)"))))</f>
        <v/>
      </c>
      <c r="Y3401" s="23" t="str">
        <f aca="false">IF(AND(ISNUMBER(C3401),ISNUMBER(D3401)),D3401-C3401,"")</f>
        <v/>
      </c>
      <c r="Z3401" s="23" t="str">
        <f aca="false">IF(B3401="","",IF(MATCH(B3401,$B$2:$B$12000,0)=ROW()-1,1,0))</f>
        <v/>
      </c>
    </row>
    <row r="3402" customFormat="false" ht="15" hidden="false" customHeight="false" outlineLevel="0" collapsed="false">
      <c r="V3402" s="23" t="str">
        <f aca="false">IF(ISNUMBER(C3402),YEAR(C3402),"")</f>
        <v/>
      </c>
      <c r="W3402" s="23" t="str">
        <f aca="false">IF(ISNUMBER(C3402),MONTH(C3402),"")</f>
        <v/>
      </c>
      <c r="X3402" s="23" t="str">
        <f aca="false">IF(T3402="","",IF(T3402=0,"No discount",IF(T3402&lt;=0.2,"Low (1-20%)",IF(T3402&lt;=0.4,"Medium (21-40%)","High (&gt;40%)"))))</f>
        <v/>
      </c>
      <c r="Y3402" s="23" t="str">
        <f aca="false">IF(AND(ISNUMBER(C3402),ISNUMBER(D3402)),D3402-C3402,"")</f>
        <v/>
      </c>
      <c r="Z3402" s="23" t="str">
        <f aca="false">IF(B3402="","",IF(MATCH(B3402,$B$2:$B$12000,0)=ROW()-1,1,0))</f>
        <v/>
      </c>
    </row>
    <row r="3403" customFormat="false" ht="15" hidden="false" customHeight="false" outlineLevel="0" collapsed="false">
      <c r="V3403" s="23" t="str">
        <f aca="false">IF(ISNUMBER(C3403),YEAR(C3403),"")</f>
        <v/>
      </c>
      <c r="W3403" s="23" t="str">
        <f aca="false">IF(ISNUMBER(C3403),MONTH(C3403),"")</f>
        <v/>
      </c>
      <c r="X3403" s="23" t="str">
        <f aca="false">IF(T3403="","",IF(T3403=0,"No discount",IF(T3403&lt;=0.2,"Low (1-20%)",IF(T3403&lt;=0.4,"Medium (21-40%)","High (&gt;40%)"))))</f>
        <v/>
      </c>
      <c r="Y3403" s="23" t="str">
        <f aca="false">IF(AND(ISNUMBER(C3403),ISNUMBER(D3403)),D3403-C3403,"")</f>
        <v/>
      </c>
      <c r="Z3403" s="23" t="str">
        <f aca="false">IF(B3403="","",IF(MATCH(B3403,$B$2:$B$12000,0)=ROW()-1,1,0))</f>
        <v/>
      </c>
    </row>
    <row r="3404" customFormat="false" ht="15" hidden="false" customHeight="false" outlineLevel="0" collapsed="false">
      <c r="V3404" s="23" t="str">
        <f aca="false">IF(ISNUMBER(C3404),YEAR(C3404),"")</f>
        <v/>
      </c>
      <c r="W3404" s="23" t="str">
        <f aca="false">IF(ISNUMBER(C3404),MONTH(C3404),"")</f>
        <v/>
      </c>
      <c r="X3404" s="23" t="str">
        <f aca="false">IF(T3404="","",IF(T3404=0,"No discount",IF(T3404&lt;=0.2,"Low (1-20%)",IF(T3404&lt;=0.4,"Medium (21-40%)","High (&gt;40%)"))))</f>
        <v/>
      </c>
      <c r="Y3404" s="23" t="str">
        <f aca="false">IF(AND(ISNUMBER(C3404),ISNUMBER(D3404)),D3404-C3404,"")</f>
        <v/>
      </c>
      <c r="Z3404" s="23" t="str">
        <f aca="false">IF(B3404="","",IF(MATCH(B3404,$B$2:$B$12000,0)=ROW()-1,1,0))</f>
        <v/>
      </c>
    </row>
    <row r="3405" customFormat="false" ht="15" hidden="false" customHeight="false" outlineLevel="0" collapsed="false">
      <c r="V3405" s="23" t="str">
        <f aca="false">IF(ISNUMBER(C3405),YEAR(C3405),"")</f>
        <v/>
      </c>
      <c r="W3405" s="23" t="str">
        <f aca="false">IF(ISNUMBER(C3405),MONTH(C3405),"")</f>
        <v/>
      </c>
      <c r="X3405" s="23" t="str">
        <f aca="false">IF(T3405="","",IF(T3405=0,"No discount",IF(T3405&lt;=0.2,"Low (1-20%)",IF(T3405&lt;=0.4,"Medium (21-40%)","High (&gt;40%)"))))</f>
        <v/>
      </c>
      <c r="Y3405" s="23" t="str">
        <f aca="false">IF(AND(ISNUMBER(C3405),ISNUMBER(D3405)),D3405-C3405,"")</f>
        <v/>
      </c>
      <c r="Z3405" s="23" t="str">
        <f aca="false">IF(B3405="","",IF(MATCH(B3405,$B$2:$B$12000,0)=ROW()-1,1,0))</f>
        <v/>
      </c>
    </row>
    <row r="3406" customFormat="false" ht="15" hidden="false" customHeight="false" outlineLevel="0" collapsed="false">
      <c r="V3406" s="23" t="str">
        <f aca="false">IF(ISNUMBER(C3406),YEAR(C3406),"")</f>
        <v/>
      </c>
      <c r="W3406" s="23" t="str">
        <f aca="false">IF(ISNUMBER(C3406),MONTH(C3406),"")</f>
        <v/>
      </c>
      <c r="X3406" s="23" t="str">
        <f aca="false">IF(T3406="","",IF(T3406=0,"No discount",IF(T3406&lt;=0.2,"Low (1-20%)",IF(T3406&lt;=0.4,"Medium (21-40%)","High (&gt;40%)"))))</f>
        <v/>
      </c>
      <c r="Y3406" s="23" t="str">
        <f aca="false">IF(AND(ISNUMBER(C3406),ISNUMBER(D3406)),D3406-C3406,"")</f>
        <v/>
      </c>
      <c r="Z3406" s="23" t="str">
        <f aca="false">IF(B3406="","",IF(MATCH(B3406,$B$2:$B$12000,0)=ROW()-1,1,0))</f>
        <v/>
      </c>
    </row>
    <row r="3407" customFormat="false" ht="15" hidden="false" customHeight="false" outlineLevel="0" collapsed="false">
      <c r="V3407" s="23" t="str">
        <f aca="false">IF(ISNUMBER(C3407),YEAR(C3407),"")</f>
        <v/>
      </c>
      <c r="W3407" s="23" t="str">
        <f aca="false">IF(ISNUMBER(C3407),MONTH(C3407),"")</f>
        <v/>
      </c>
      <c r="X3407" s="23" t="str">
        <f aca="false">IF(T3407="","",IF(T3407=0,"No discount",IF(T3407&lt;=0.2,"Low (1-20%)",IF(T3407&lt;=0.4,"Medium (21-40%)","High (&gt;40%)"))))</f>
        <v/>
      </c>
      <c r="Y3407" s="23" t="str">
        <f aca="false">IF(AND(ISNUMBER(C3407),ISNUMBER(D3407)),D3407-C3407,"")</f>
        <v/>
      </c>
      <c r="Z3407" s="23" t="str">
        <f aca="false">IF(B3407="","",IF(MATCH(B3407,$B$2:$B$12000,0)=ROW()-1,1,0))</f>
        <v/>
      </c>
    </row>
    <row r="3408" customFormat="false" ht="15" hidden="false" customHeight="false" outlineLevel="0" collapsed="false">
      <c r="V3408" s="23" t="str">
        <f aca="false">IF(ISNUMBER(C3408),YEAR(C3408),"")</f>
        <v/>
      </c>
      <c r="W3408" s="23" t="str">
        <f aca="false">IF(ISNUMBER(C3408),MONTH(C3408),"")</f>
        <v/>
      </c>
      <c r="X3408" s="23" t="str">
        <f aca="false">IF(T3408="","",IF(T3408=0,"No discount",IF(T3408&lt;=0.2,"Low (1-20%)",IF(T3408&lt;=0.4,"Medium (21-40%)","High (&gt;40%)"))))</f>
        <v/>
      </c>
      <c r="Y3408" s="23" t="str">
        <f aca="false">IF(AND(ISNUMBER(C3408),ISNUMBER(D3408)),D3408-C3408,"")</f>
        <v/>
      </c>
      <c r="Z3408" s="23" t="str">
        <f aca="false">IF(B3408="","",IF(MATCH(B3408,$B$2:$B$12000,0)=ROW()-1,1,0))</f>
        <v/>
      </c>
    </row>
    <row r="3409" customFormat="false" ht="15" hidden="false" customHeight="false" outlineLevel="0" collapsed="false">
      <c r="V3409" s="23" t="str">
        <f aca="false">IF(ISNUMBER(C3409),YEAR(C3409),"")</f>
        <v/>
      </c>
      <c r="W3409" s="23" t="str">
        <f aca="false">IF(ISNUMBER(C3409),MONTH(C3409),"")</f>
        <v/>
      </c>
      <c r="X3409" s="23" t="str">
        <f aca="false">IF(T3409="","",IF(T3409=0,"No discount",IF(T3409&lt;=0.2,"Low (1-20%)",IF(T3409&lt;=0.4,"Medium (21-40%)","High (&gt;40%)"))))</f>
        <v/>
      </c>
      <c r="Y3409" s="23" t="str">
        <f aca="false">IF(AND(ISNUMBER(C3409),ISNUMBER(D3409)),D3409-C3409,"")</f>
        <v/>
      </c>
      <c r="Z3409" s="23" t="str">
        <f aca="false">IF(B3409="","",IF(MATCH(B3409,$B$2:$B$12000,0)=ROW()-1,1,0))</f>
        <v/>
      </c>
    </row>
    <row r="3410" customFormat="false" ht="15" hidden="false" customHeight="false" outlineLevel="0" collapsed="false">
      <c r="V3410" s="23" t="str">
        <f aca="false">IF(ISNUMBER(C3410),YEAR(C3410),"")</f>
        <v/>
      </c>
      <c r="W3410" s="23" t="str">
        <f aca="false">IF(ISNUMBER(C3410),MONTH(C3410),"")</f>
        <v/>
      </c>
      <c r="X3410" s="23" t="str">
        <f aca="false">IF(T3410="","",IF(T3410=0,"No discount",IF(T3410&lt;=0.2,"Low (1-20%)",IF(T3410&lt;=0.4,"Medium (21-40%)","High (&gt;40%)"))))</f>
        <v/>
      </c>
      <c r="Y3410" s="23" t="str">
        <f aca="false">IF(AND(ISNUMBER(C3410),ISNUMBER(D3410)),D3410-C3410,"")</f>
        <v/>
      </c>
      <c r="Z3410" s="23" t="str">
        <f aca="false">IF(B3410="","",IF(MATCH(B3410,$B$2:$B$12000,0)=ROW()-1,1,0))</f>
        <v/>
      </c>
    </row>
    <row r="3411" customFormat="false" ht="15" hidden="false" customHeight="false" outlineLevel="0" collapsed="false">
      <c r="V3411" s="23" t="str">
        <f aca="false">IF(ISNUMBER(C3411),YEAR(C3411),"")</f>
        <v/>
      </c>
      <c r="W3411" s="23" t="str">
        <f aca="false">IF(ISNUMBER(C3411),MONTH(C3411),"")</f>
        <v/>
      </c>
      <c r="X3411" s="23" t="str">
        <f aca="false">IF(T3411="","",IF(T3411=0,"No discount",IF(T3411&lt;=0.2,"Low (1-20%)",IF(T3411&lt;=0.4,"Medium (21-40%)","High (&gt;40%)"))))</f>
        <v/>
      </c>
      <c r="Y3411" s="23" t="str">
        <f aca="false">IF(AND(ISNUMBER(C3411),ISNUMBER(D3411)),D3411-C3411,"")</f>
        <v/>
      </c>
      <c r="Z3411" s="23" t="str">
        <f aca="false">IF(B3411="","",IF(MATCH(B3411,$B$2:$B$12000,0)=ROW()-1,1,0))</f>
        <v/>
      </c>
    </row>
    <row r="3412" customFormat="false" ht="15" hidden="false" customHeight="false" outlineLevel="0" collapsed="false">
      <c r="V3412" s="23" t="str">
        <f aca="false">IF(ISNUMBER(C3412),YEAR(C3412),"")</f>
        <v/>
      </c>
      <c r="W3412" s="23" t="str">
        <f aca="false">IF(ISNUMBER(C3412),MONTH(C3412),"")</f>
        <v/>
      </c>
      <c r="X3412" s="23" t="str">
        <f aca="false">IF(T3412="","",IF(T3412=0,"No discount",IF(T3412&lt;=0.2,"Low (1-20%)",IF(T3412&lt;=0.4,"Medium (21-40%)","High (&gt;40%)"))))</f>
        <v/>
      </c>
      <c r="Y3412" s="23" t="str">
        <f aca="false">IF(AND(ISNUMBER(C3412),ISNUMBER(D3412)),D3412-C3412,"")</f>
        <v/>
      </c>
      <c r="Z3412" s="23" t="str">
        <f aca="false">IF(B3412="","",IF(MATCH(B3412,$B$2:$B$12000,0)=ROW()-1,1,0))</f>
        <v/>
      </c>
    </row>
    <row r="3413" customFormat="false" ht="15" hidden="false" customHeight="false" outlineLevel="0" collapsed="false">
      <c r="V3413" s="23" t="str">
        <f aca="false">IF(ISNUMBER(C3413),YEAR(C3413),"")</f>
        <v/>
      </c>
      <c r="W3413" s="23" t="str">
        <f aca="false">IF(ISNUMBER(C3413),MONTH(C3413),"")</f>
        <v/>
      </c>
      <c r="X3413" s="23" t="str">
        <f aca="false">IF(T3413="","",IF(T3413=0,"No discount",IF(T3413&lt;=0.2,"Low (1-20%)",IF(T3413&lt;=0.4,"Medium (21-40%)","High (&gt;40%)"))))</f>
        <v/>
      </c>
      <c r="Y3413" s="23" t="str">
        <f aca="false">IF(AND(ISNUMBER(C3413),ISNUMBER(D3413)),D3413-C3413,"")</f>
        <v/>
      </c>
      <c r="Z3413" s="23" t="str">
        <f aca="false">IF(B3413="","",IF(MATCH(B3413,$B$2:$B$12000,0)=ROW()-1,1,0))</f>
        <v/>
      </c>
    </row>
    <row r="3414" customFormat="false" ht="15" hidden="false" customHeight="false" outlineLevel="0" collapsed="false">
      <c r="V3414" s="23" t="str">
        <f aca="false">IF(ISNUMBER(C3414),YEAR(C3414),"")</f>
        <v/>
      </c>
      <c r="W3414" s="23" t="str">
        <f aca="false">IF(ISNUMBER(C3414),MONTH(C3414),"")</f>
        <v/>
      </c>
      <c r="X3414" s="23" t="str">
        <f aca="false">IF(T3414="","",IF(T3414=0,"No discount",IF(T3414&lt;=0.2,"Low (1-20%)",IF(T3414&lt;=0.4,"Medium (21-40%)","High (&gt;40%)"))))</f>
        <v/>
      </c>
      <c r="Y3414" s="23" t="str">
        <f aca="false">IF(AND(ISNUMBER(C3414),ISNUMBER(D3414)),D3414-C3414,"")</f>
        <v/>
      </c>
      <c r="Z3414" s="23" t="str">
        <f aca="false">IF(B3414="","",IF(MATCH(B3414,$B$2:$B$12000,0)=ROW()-1,1,0))</f>
        <v/>
      </c>
    </row>
    <row r="3415" customFormat="false" ht="15" hidden="false" customHeight="false" outlineLevel="0" collapsed="false">
      <c r="V3415" s="23" t="str">
        <f aca="false">IF(ISNUMBER(C3415),YEAR(C3415),"")</f>
        <v/>
      </c>
      <c r="W3415" s="23" t="str">
        <f aca="false">IF(ISNUMBER(C3415),MONTH(C3415),"")</f>
        <v/>
      </c>
      <c r="X3415" s="23" t="str">
        <f aca="false">IF(T3415="","",IF(T3415=0,"No discount",IF(T3415&lt;=0.2,"Low (1-20%)",IF(T3415&lt;=0.4,"Medium (21-40%)","High (&gt;40%)"))))</f>
        <v/>
      </c>
      <c r="Y3415" s="23" t="str">
        <f aca="false">IF(AND(ISNUMBER(C3415),ISNUMBER(D3415)),D3415-C3415,"")</f>
        <v/>
      </c>
      <c r="Z3415" s="23" t="str">
        <f aca="false">IF(B3415="","",IF(MATCH(B3415,$B$2:$B$12000,0)=ROW()-1,1,0))</f>
        <v/>
      </c>
    </row>
    <row r="3416" customFormat="false" ht="15" hidden="false" customHeight="false" outlineLevel="0" collapsed="false">
      <c r="V3416" s="23" t="str">
        <f aca="false">IF(ISNUMBER(C3416),YEAR(C3416),"")</f>
        <v/>
      </c>
      <c r="W3416" s="23" t="str">
        <f aca="false">IF(ISNUMBER(C3416),MONTH(C3416),"")</f>
        <v/>
      </c>
      <c r="X3416" s="23" t="str">
        <f aca="false">IF(T3416="","",IF(T3416=0,"No discount",IF(T3416&lt;=0.2,"Low (1-20%)",IF(T3416&lt;=0.4,"Medium (21-40%)","High (&gt;40%)"))))</f>
        <v/>
      </c>
      <c r="Y3416" s="23" t="str">
        <f aca="false">IF(AND(ISNUMBER(C3416),ISNUMBER(D3416)),D3416-C3416,"")</f>
        <v/>
      </c>
      <c r="Z3416" s="23" t="str">
        <f aca="false">IF(B3416="","",IF(MATCH(B3416,$B$2:$B$12000,0)=ROW()-1,1,0))</f>
        <v/>
      </c>
    </row>
    <row r="3417" customFormat="false" ht="15" hidden="false" customHeight="false" outlineLevel="0" collapsed="false">
      <c r="V3417" s="23" t="str">
        <f aca="false">IF(ISNUMBER(C3417),YEAR(C3417),"")</f>
        <v/>
      </c>
      <c r="W3417" s="23" t="str">
        <f aca="false">IF(ISNUMBER(C3417),MONTH(C3417),"")</f>
        <v/>
      </c>
      <c r="X3417" s="23" t="str">
        <f aca="false">IF(T3417="","",IF(T3417=0,"No discount",IF(T3417&lt;=0.2,"Low (1-20%)",IF(T3417&lt;=0.4,"Medium (21-40%)","High (&gt;40%)"))))</f>
        <v/>
      </c>
      <c r="Y3417" s="23" t="str">
        <f aca="false">IF(AND(ISNUMBER(C3417),ISNUMBER(D3417)),D3417-C3417,"")</f>
        <v/>
      </c>
      <c r="Z3417" s="23" t="str">
        <f aca="false">IF(B3417="","",IF(MATCH(B3417,$B$2:$B$12000,0)=ROW()-1,1,0))</f>
        <v/>
      </c>
    </row>
    <row r="3418" customFormat="false" ht="15" hidden="false" customHeight="false" outlineLevel="0" collapsed="false">
      <c r="V3418" s="23" t="str">
        <f aca="false">IF(ISNUMBER(C3418),YEAR(C3418),"")</f>
        <v/>
      </c>
      <c r="W3418" s="23" t="str">
        <f aca="false">IF(ISNUMBER(C3418),MONTH(C3418),"")</f>
        <v/>
      </c>
      <c r="X3418" s="23" t="str">
        <f aca="false">IF(T3418="","",IF(T3418=0,"No discount",IF(T3418&lt;=0.2,"Low (1-20%)",IF(T3418&lt;=0.4,"Medium (21-40%)","High (&gt;40%)"))))</f>
        <v/>
      </c>
      <c r="Y3418" s="23" t="str">
        <f aca="false">IF(AND(ISNUMBER(C3418),ISNUMBER(D3418)),D3418-C3418,"")</f>
        <v/>
      </c>
      <c r="Z3418" s="23" t="str">
        <f aca="false">IF(B3418="","",IF(MATCH(B3418,$B$2:$B$12000,0)=ROW()-1,1,0))</f>
        <v/>
      </c>
    </row>
    <row r="3419" customFormat="false" ht="15" hidden="false" customHeight="false" outlineLevel="0" collapsed="false">
      <c r="V3419" s="23" t="str">
        <f aca="false">IF(ISNUMBER(C3419),YEAR(C3419),"")</f>
        <v/>
      </c>
      <c r="W3419" s="23" t="str">
        <f aca="false">IF(ISNUMBER(C3419),MONTH(C3419),"")</f>
        <v/>
      </c>
      <c r="X3419" s="23" t="str">
        <f aca="false">IF(T3419="","",IF(T3419=0,"No discount",IF(T3419&lt;=0.2,"Low (1-20%)",IF(T3419&lt;=0.4,"Medium (21-40%)","High (&gt;40%)"))))</f>
        <v/>
      </c>
      <c r="Y3419" s="23" t="str">
        <f aca="false">IF(AND(ISNUMBER(C3419),ISNUMBER(D3419)),D3419-C3419,"")</f>
        <v/>
      </c>
      <c r="Z3419" s="23" t="str">
        <f aca="false">IF(B3419="","",IF(MATCH(B3419,$B$2:$B$12000,0)=ROW()-1,1,0))</f>
        <v/>
      </c>
    </row>
    <row r="3420" customFormat="false" ht="15" hidden="false" customHeight="false" outlineLevel="0" collapsed="false">
      <c r="V3420" s="23" t="str">
        <f aca="false">IF(ISNUMBER(C3420),YEAR(C3420),"")</f>
        <v/>
      </c>
      <c r="W3420" s="23" t="str">
        <f aca="false">IF(ISNUMBER(C3420),MONTH(C3420),"")</f>
        <v/>
      </c>
      <c r="X3420" s="23" t="str">
        <f aca="false">IF(T3420="","",IF(T3420=0,"No discount",IF(T3420&lt;=0.2,"Low (1-20%)",IF(T3420&lt;=0.4,"Medium (21-40%)","High (&gt;40%)"))))</f>
        <v/>
      </c>
      <c r="Y3420" s="23" t="str">
        <f aca="false">IF(AND(ISNUMBER(C3420),ISNUMBER(D3420)),D3420-C3420,"")</f>
        <v/>
      </c>
      <c r="Z3420" s="23" t="str">
        <f aca="false">IF(B3420="","",IF(MATCH(B3420,$B$2:$B$12000,0)=ROW()-1,1,0))</f>
        <v/>
      </c>
    </row>
    <row r="3421" customFormat="false" ht="15" hidden="false" customHeight="false" outlineLevel="0" collapsed="false">
      <c r="V3421" s="23" t="str">
        <f aca="false">IF(ISNUMBER(C3421),YEAR(C3421),"")</f>
        <v/>
      </c>
      <c r="W3421" s="23" t="str">
        <f aca="false">IF(ISNUMBER(C3421),MONTH(C3421),"")</f>
        <v/>
      </c>
      <c r="X3421" s="23" t="str">
        <f aca="false">IF(T3421="","",IF(T3421=0,"No discount",IF(T3421&lt;=0.2,"Low (1-20%)",IF(T3421&lt;=0.4,"Medium (21-40%)","High (&gt;40%)"))))</f>
        <v/>
      </c>
      <c r="Y3421" s="23" t="str">
        <f aca="false">IF(AND(ISNUMBER(C3421),ISNUMBER(D3421)),D3421-C3421,"")</f>
        <v/>
      </c>
      <c r="Z3421" s="23" t="str">
        <f aca="false">IF(B3421="","",IF(MATCH(B3421,$B$2:$B$12000,0)=ROW()-1,1,0))</f>
        <v/>
      </c>
    </row>
    <row r="3422" customFormat="false" ht="15" hidden="false" customHeight="false" outlineLevel="0" collapsed="false">
      <c r="V3422" s="23" t="str">
        <f aca="false">IF(ISNUMBER(C3422),YEAR(C3422),"")</f>
        <v/>
      </c>
      <c r="W3422" s="23" t="str">
        <f aca="false">IF(ISNUMBER(C3422),MONTH(C3422),"")</f>
        <v/>
      </c>
      <c r="X3422" s="23" t="str">
        <f aca="false">IF(T3422="","",IF(T3422=0,"No discount",IF(T3422&lt;=0.2,"Low (1-20%)",IF(T3422&lt;=0.4,"Medium (21-40%)","High (&gt;40%)"))))</f>
        <v/>
      </c>
      <c r="Y3422" s="23" t="str">
        <f aca="false">IF(AND(ISNUMBER(C3422),ISNUMBER(D3422)),D3422-C3422,"")</f>
        <v/>
      </c>
      <c r="Z3422" s="23" t="str">
        <f aca="false">IF(B3422="","",IF(MATCH(B3422,$B$2:$B$12000,0)=ROW()-1,1,0))</f>
        <v/>
      </c>
    </row>
    <row r="3423" customFormat="false" ht="15" hidden="false" customHeight="false" outlineLevel="0" collapsed="false">
      <c r="V3423" s="23" t="str">
        <f aca="false">IF(ISNUMBER(C3423),YEAR(C3423),"")</f>
        <v/>
      </c>
      <c r="W3423" s="23" t="str">
        <f aca="false">IF(ISNUMBER(C3423),MONTH(C3423),"")</f>
        <v/>
      </c>
      <c r="X3423" s="23" t="str">
        <f aca="false">IF(T3423="","",IF(T3423=0,"No discount",IF(T3423&lt;=0.2,"Low (1-20%)",IF(T3423&lt;=0.4,"Medium (21-40%)","High (&gt;40%)"))))</f>
        <v/>
      </c>
      <c r="Y3423" s="23" t="str">
        <f aca="false">IF(AND(ISNUMBER(C3423),ISNUMBER(D3423)),D3423-C3423,"")</f>
        <v/>
      </c>
      <c r="Z3423" s="23" t="str">
        <f aca="false">IF(B3423="","",IF(MATCH(B3423,$B$2:$B$12000,0)=ROW()-1,1,0))</f>
        <v/>
      </c>
    </row>
    <row r="3424" customFormat="false" ht="15" hidden="false" customHeight="false" outlineLevel="0" collapsed="false">
      <c r="V3424" s="23" t="str">
        <f aca="false">IF(ISNUMBER(C3424),YEAR(C3424),"")</f>
        <v/>
      </c>
      <c r="W3424" s="23" t="str">
        <f aca="false">IF(ISNUMBER(C3424),MONTH(C3424),"")</f>
        <v/>
      </c>
      <c r="X3424" s="23" t="str">
        <f aca="false">IF(T3424="","",IF(T3424=0,"No discount",IF(T3424&lt;=0.2,"Low (1-20%)",IF(T3424&lt;=0.4,"Medium (21-40%)","High (&gt;40%)"))))</f>
        <v/>
      </c>
      <c r="Y3424" s="23" t="str">
        <f aca="false">IF(AND(ISNUMBER(C3424),ISNUMBER(D3424)),D3424-C3424,"")</f>
        <v/>
      </c>
      <c r="Z3424" s="23" t="str">
        <f aca="false">IF(B3424="","",IF(MATCH(B3424,$B$2:$B$12000,0)=ROW()-1,1,0))</f>
        <v/>
      </c>
    </row>
    <row r="3425" customFormat="false" ht="15" hidden="false" customHeight="false" outlineLevel="0" collapsed="false">
      <c r="V3425" s="23" t="str">
        <f aca="false">IF(ISNUMBER(C3425),YEAR(C3425),"")</f>
        <v/>
      </c>
      <c r="W3425" s="23" t="str">
        <f aca="false">IF(ISNUMBER(C3425),MONTH(C3425),"")</f>
        <v/>
      </c>
      <c r="X3425" s="23" t="str">
        <f aca="false">IF(T3425="","",IF(T3425=0,"No discount",IF(T3425&lt;=0.2,"Low (1-20%)",IF(T3425&lt;=0.4,"Medium (21-40%)","High (&gt;40%)"))))</f>
        <v/>
      </c>
      <c r="Y3425" s="23" t="str">
        <f aca="false">IF(AND(ISNUMBER(C3425),ISNUMBER(D3425)),D3425-C3425,"")</f>
        <v/>
      </c>
      <c r="Z3425" s="23" t="str">
        <f aca="false">IF(B3425="","",IF(MATCH(B3425,$B$2:$B$12000,0)=ROW()-1,1,0))</f>
        <v/>
      </c>
    </row>
    <row r="3426" customFormat="false" ht="15" hidden="false" customHeight="false" outlineLevel="0" collapsed="false">
      <c r="V3426" s="23" t="str">
        <f aca="false">IF(ISNUMBER(C3426),YEAR(C3426),"")</f>
        <v/>
      </c>
      <c r="W3426" s="23" t="str">
        <f aca="false">IF(ISNUMBER(C3426),MONTH(C3426),"")</f>
        <v/>
      </c>
      <c r="X3426" s="23" t="str">
        <f aca="false">IF(T3426="","",IF(T3426=0,"No discount",IF(T3426&lt;=0.2,"Low (1-20%)",IF(T3426&lt;=0.4,"Medium (21-40%)","High (&gt;40%)"))))</f>
        <v/>
      </c>
      <c r="Y3426" s="23" t="str">
        <f aca="false">IF(AND(ISNUMBER(C3426),ISNUMBER(D3426)),D3426-C3426,"")</f>
        <v/>
      </c>
      <c r="Z3426" s="23" t="str">
        <f aca="false">IF(B3426="","",IF(MATCH(B3426,$B$2:$B$12000,0)=ROW()-1,1,0))</f>
        <v/>
      </c>
    </row>
    <row r="3427" customFormat="false" ht="15" hidden="false" customHeight="false" outlineLevel="0" collapsed="false">
      <c r="V3427" s="23" t="str">
        <f aca="false">IF(ISNUMBER(C3427),YEAR(C3427),"")</f>
        <v/>
      </c>
      <c r="W3427" s="23" t="str">
        <f aca="false">IF(ISNUMBER(C3427),MONTH(C3427),"")</f>
        <v/>
      </c>
      <c r="X3427" s="23" t="str">
        <f aca="false">IF(T3427="","",IF(T3427=0,"No discount",IF(T3427&lt;=0.2,"Low (1-20%)",IF(T3427&lt;=0.4,"Medium (21-40%)","High (&gt;40%)"))))</f>
        <v/>
      </c>
      <c r="Y3427" s="23" t="str">
        <f aca="false">IF(AND(ISNUMBER(C3427),ISNUMBER(D3427)),D3427-C3427,"")</f>
        <v/>
      </c>
      <c r="Z3427" s="23" t="str">
        <f aca="false">IF(B3427="","",IF(MATCH(B3427,$B$2:$B$12000,0)=ROW()-1,1,0))</f>
        <v/>
      </c>
    </row>
    <row r="3428" customFormat="false" ht="15" hidden="false" customHeight="false" outlineLevel="0" collapsed="false">
      <c r="V3428" s="23" t="str">
        <f aca="false">IF(ISNUMBER(C3428),YEAR(C3428),"")</f>
        <v/>
      </c>
      <c r="W3428" s="23" t="str">
        <f aca="false">IF(ISNUMBER(C3428),MONTH(C3428),"")</f>
        <v/>
      </c>
      <c r="X3428" s="23" t="str">
        <f aca="false">IF(T3428="","",IF(T3428=0,"No discount",IF(T3428&lt;=0.2,"Low (1-20%)",IF(T3428&lt;=0.4,"Medium (21-40%)","High (&gt;40%)"))))</f>
        <v/>
      </c>
      <c r="Y3428" s="23" t="str">
        <f aca="false">IF(AND(ISNUMBER(C3428),ISNUMBER(D3428)),D3428-C3428,"")</f>
        <v/>
      </c>
      <c r="Z3428" s="23" t="str">
        <f aca="false">IF(B3428="","",IF(MATCH(B3428,$B$2:$B$12000,0)=ROW()-1,1,0))</f>
        <v/>
      </c>
    </row>
    <row r="3429" customFormat="false" ht="15" hidden="false" customHeight="false" outlineLevel="0" collapsed="false">
      <c r="V3429" s="23" t="str">
        <f aca="false">IF(ISNUMBER(C3429),YEAR(C3429),"")</f>
        <v/>
      </c>
      <c r="W3429" s="23" t="str">
        <f aca="false">IF(ISNUMBER(C3429),MONTH(C3429),"")</f>
        <v/>
      </c>
      <c r="X3429" s="23" t="str">
        <f aca="false">IF(T3429="","",IF(T3429=0,"No discount",IF(T3429&lt;=0.2,"Low (1-20%)",IF(T3429&lt;=0.4,"Medium (21-40%)","High (&gt;40%)"))))</f>
        <v/>
      </c>
      <c r="Y3429" s="23" t="str">
        <f aca="false">IF(AND(ISNUMBER(C3429),ISNUMBER(D3429)),D3429-C3429,"")</f>
        <v/>
      </c>
      <c r="Z3429" s="23" t="str">
        <f aca="false">IF(B3429="","",IF(MATCH(B3429,$B$2:$B$12000,0)=ROW()-1,1,0))</f>
        <v/>
      </c>
    </row>
    <row r="3430" customFormat="false" ht="15" hidden="false" customHeight="false" outlineLevel="0" collapsed="false">
      <c r="V3430" s="23" t="str">
        <f aca="false">IF(ISNUMBER(C3430),YEAR(C3430),"")</f>
        <v/>
      </c>
      <c r="W3430" s="23" t="str">
        <f aca="false">IF(ISNUMBER(C3430),MONTH(C3430),"")</f>
        <v/>
      </c>
      <c r="X3430" s="23" t="str">
        <f aca="false">IF(T3430="","",IF(T3430=0,"No discount",IF(T3430&lt;=0.2,"Low (1-20%)",IF(T3430&lt;=0.4,"Medium (21-40%)","High (&gt;40%)"))))</f>
        <v/>
      </c>
      <c r="Y3430" s="23" t="str">
        <f aca="false">IF(AND(ISNUMBER(C3430),ISNUMBER(D3430)),D3430-C3430,"")</f>
        <v/>
      </c>
      <c r="Z3430" s="23" t="str">
        <f aca="false">IF(B3430="","",IF(MATCH(B3430,$B$2:$B$12000,0)=ROW()-1,1,0))</f>
        <v/>
      </c>
    </row>
    <row r="3431" customFormat="false" ht="15" hidden="false" customHeight="false" outlineLevel="0" collapsed="false">
      <c r="V3431" s="23" t="str">
        <f aca="false">IF(ISNUMBER(C3431),YEAR(C3431),"")</f>
        <v/>
      </c>
      <c r="W3431" s="23" t="str">
        <f aca="false">IF(ISNUMBER(C3431),MONTH(C3431),"")</f>
        <v/>
      </c>
      <c r="X3431" s="23" t="str">
        <f aca="false">IF(T3431="","",IF(T3431=0,"No discount",IF(T3431&lt;=0.2,"Low (1-20%)",IF(T3431&lt;=0.4,"Medium (21-40%)","High (&gt;40%)"))))</f>
        <v/>
      </c>
      <c r="Y3431" s="23" t="str">
        <f aca="false">IF(AND(ISNUMBER(C3431),ISNUMBER(D3431)),D3431-C3431,"")</f>
        <v/>
      </c>
      <c r="Z3431" s="23" t="str">
        <f aca="false">IF(B3431="","",IF(MATCH(B3431,$B$2:$B$12000,0)=ROW()-1,1,0))</f>
        <v/>
      </c>
    </row>
    <row r="3432" customFormat="false" ht="15" hidden="false" customHeight="false" outlineLevel="0" collapsed="false">
      <c r="V3432" s="23" t="str">
        <f aca="false">IF(ISNUMBER(C3432),YEAR(C3432),"")</f>
        <v/>
      </c>
      <c r="W3432" s="23" t="str">
        <f aca="false">IF(ISNUMBER(C3432),MONTH(C3432),"")</f>
        <v/>
      </c>
      <c r="X3432" s="23" t="str">
        <f aca="false">IF(T3432="","",IF(T3432=0,"No discount",IF(T3432&lt;=0.2,"Low (1-20%)",IF(T3432&lt;=0.4,"Medium (21-40%)","High (&gt;40%)"))))</f>
        <v/>
      </c>
      <c r="Y3432" s="23" t="str">
        <f aca="false">IF(AND(ISNUMBER(C3432),ISNUMBER(D3432)),D3432-C3432,"")</f>
        <v/>
      </c>
      <c r="Z3432" s="23" t="str">
        <f aca="false">IF(B3432="","",IF(MATCH(B3432,$B$2:$B$12000,0)=ROW()-1,1,0))</f>
        <v/>
      </c>
    </row>
    <row r="3433" customFormat="false" ht="15" hidden="false" customHeight="false" outlineLevel="0" collapsed="false">
      <c r="V3433" s="23" t="str">
        <f aca="false">IF(ISNUMBER(C3433),YEAR(C3433),"")</f>
        <v/>
      </c>
      <c r="W3433" s="23" t="str">
        <f aca="false">IF(ISNUMBER(C3433),MONTH(C3433),"")</f>
        <v/>
      </c>
      <c r="X3433" s="23" t="str">
        <f aca="false">IF(T3433="","",IF(T3433=0,"No discount",IF(T3433&lt;=0.2,"Low (1-20%)",IF(T3433&lt;=0.4,"Medium (21-40%)","High (&gt;40%)"))))</f>
        <v/>
      </c>
      <c r="Y3433" s="23" t="str">
        <f aca="false">IF(AND(ISNUMBER(C3433),ISNUMBER(D3433)),D3433-C3433,"")</f>
        <v/>
      </c>
      <c r="Z3433" s="23" t="str">
        <f aca="false">IF(B3433="","",IF(MATCH(B3433,$B$2:$B$12000,0)=ROW()-1,1,0))</f>
        <v/>
      </c>
    </row>
    <row r="3434" customFormat="false" ht="15" hidden="false" customHeight="false" outlineLevel="0" collapsed="false">
      <c r="V3434" s="23" t="str">
        <f aca="false">IF(ISNUMBER(C3434),YEAR(C3434),"")</f>
        <v/>
      </c>
      <c r="W3434" s="23" t="str">
        <f aca="false">IF(ISNUMBER(C3434),MONTH(C3434),"")</f>
        <v/>
      </c>
      <c r="X3434" s="23" t="str">
        <f aca="false">IF(T3434="","",IF(T3434=0,"No discount",IF(T3434&lt;=0.2,"Low (1-20%)",IF(T3434&lt;=0.4,"Medium (21-40%)","High (&gt;40%)"))))</f>
        <v/>
      </c>
      <c r="Y3434" s="23" t="str">
        <f aca="false">IF(AND(ISNUMBER(C3434),ISNUMBER(D3434)),D3434-C3434,"")</f>
        <v/>
      </c>
      <c r="Z3434" s="23" t="str">
        <f aca="false">IF(B3434="","",IF(MATCH(B3434,$B$2:$B$12000,0)=ROW()-1,1,0))</f>
        <v/>
      </c>
    </row>
    <row r="3435" customFormat="false" ht="15" hidden="false" customHeight="false" outlineLevel="0" collapsed="false">
      <c r="V3435" s="23" t="str">
        <f aca="false">IF(ISNUMBER(C3435),YEAR(C3435),"")</f>
        <v/>
      </c>
      <c r="W3435" s="23" t="str">
        <f aca="false">IF(ISNUMBER(C3435),MONTH(C3435),"")</f>
        <v/>
      </c>
      <c r="X3435" s="23" t="str">
        <f aca="false">IF(T3435="","",IF(T3435=0,"No discount",IF(T3435&lt;=0.2,"Low (1-20%)",IF(T3435&lt;=0.4,"Medium (21-40%)","High (&gt;40%)"))))</f>
        <v/>
      </c>
      <c r="Y3435" s="23" t="str">
        <f aca="false">IF(AND(ISNUMBER(C3435),ISNUMBER(D3435)),D3435-C3435,"")</f>
        <v/>
      </c>
      <c r="Z3435" s="23" t="str">
        <f aca="false">IF(B3435="","",IF(MATCH(B3435,$B$2:$B$12000,0)=ROW()-1,1,0))</f>
        <v/>
      </c>
    </row>
    <row r="3436" customFormat="false" ht="15" hidden="false" customHeight="false" outlineLevel="0" collapsed="false">
      <c r="V3436" s="23" t="str">
        <f aca="false">IF(ISNUMBER(C3436),YEAR(C3436),"")</f>
        <v/>
      </c>
      <c r="W3436" s="23" t="str">
        <f aca="false">IF(ISNUMBER(C3436),MONTH(C3436),"")</f>
        <v/>
      </c>
      <c r="X3436" s="23" t="str">
        <f aca="false">IF(T3436="","",IF(T3436=0,"No discount",IF(T3436&lt;=0.2,"Low (1-20%)",IF(T3436&lt;=0.4,"Medium (21-40%)","High (&gt;40%)"))))</f>
        <v/>
      </c>
      <c r="Y3436" s="23" t="str">
        <f aca="false">IF(AND(ISNUMBER(C3436),ISNUMBER(D3436)),D3436-C3436,"")</f>
        <v/>
      </c>
      <c r="Z3436" s="23" t="str">
        <f aca="false">IF(B3436="","",IF(MATCH(B3436,$B$2:$B$12000,0)=ROW()-1,1,0))</f>
        <v/>
      </c>
    </row>
    <row r="3437" customFormat="false" ht="15" hidden="false" customHeight="false" outlineLevel="0" collapsed="false">
      <c r="V3437" s="23" t="str">
        <f aca="false">IF(ISNUMBER(C3437),YEAR(C3437),"")</f>
        <v/>
      </c>
      <c r="W3437" s="23" t="str">
        <f aca="false">IF(ISNUMBER(C3437),MONTH(C3437),"")</f>
        <v/>
      </c>
      <c r="X3437" s="23" t="str">
        <f aca="false">IF(T3437="","",IF(T3437=0,"No discount",IF(T3437&lt;=0.2,"Low (1-20%)",IF(T3437&lt;=0.4,"Medium (21-40%)","High (&gt;40%)"))))</f>
        <v/>
      </c>
      <c r="Y3437" s="23" t="str">
        <f aca="false">IF(AND(ISNUMBER(C3437),ISNUMBER(D3437)),D3437-C3437,"")</f>
        <v/>
      </c>
      <c r="Z3437" s="23" t="str">
        <f aca="false">IF(B3437="","",IF(MATCH(B3437,$B$2:$B$12000,0)=ROW()-1,1,0))</f>
        <v/>
      </c>
    </row>
    <row r="3438" customFormat="false" ht="15" hidden="false" customHeight="false" outlineLevel="0" collapsed="false">
      <c r="V3438" s="23" t="str">
        <f aca="false">IF(ISNUMBER(C3438),YEAR(C3438),"")</f>
        <v/>
      </c>
      <c r="W3438" s="23" t="str">
        <f aca="false">IF(ISNUMBER(C3438),MONTH(C3438),"")</f>
        <v/>
      </c>
      <c r="X3438" s="23" t="str">
        <f aca="false">IF(T3438="","",IF(T3438=0,"No discount",IF(T3438&lt;=0.2,"Low (1-20%)",IF(T3438&lt;=0.4,"Medium (21-40%)","High (&gt;40%)"))))</f>
        <v/>
      </c>
      <c r="Y3438" s="23" t="str">
        <f aca="false">IF(AND(ISNUMBER(C3438),ISNUMBER(D3438)),D3438-C3438,"")</f>
        <v/>
      </c>
      <c r="Z3438" s="23" t="str">
        <f aca="false">IF(B3438="","",IF(MATCH(B3438,$B$2:$B$12000,0)=ROW()-1,1,0))</f>
        <v/>
      </c>
    </row>
    <row r="3439" customFormat="false" ht="15" hidden="false" customHeight="false" outlineLevel="0" collapsed="false">
      <c r="V3439" s="23" t="str">
        <f aca="false">IF(ISNUMBER(C3439),YEAR(C3439),"")</f>
        <v/>
      </c>
      <c r="W3439" s="23" t="str">
        <f aca="false">IF(ISNUMBER(C3439),MONTH(C3439),"")</f>
        <v/>
      </c>
      <c r="X3439" s="23" t="str">
        <f aca="false">IF(T3439="","",IF(T3439=0,"No discount",IF(T3439&lt;=0.2,"Low (1-20%)",IF(T3439&lt;=0.4,"Medium (21-40%)","High (&gt;40%)"))))</f>
        <v/>
      </c>
      <c r="Y3439" s="23" t="str">
        <f aca="false">IF(AND(ISNUMBER(C3439),ISNUMBER(D3439)),D3439-C3439,"")</f>
        <v/>
      </c>
      <c r="Z3439" s="23" t="str">
        <f aca="false">IF(B3439="","",IF(MATCH(B3439,$B$2:$B$12000,0)=ROW()-1,1,0))</f>
        <v/>
      </c>
    </row>
    <row r="3440" customFormat="false" ht="15" hidden="false" customHeight="false" outlineLevel="0" collapsed="false">
      <c r="V3440" s="23" t="str">
        <f aca="false">IF(ISNUMBER(C3440),YEAR(C3440),"")</f>
        <v/>
      </c>
      <c r="W3440" s="23" t="str">
        <f aca="false">IF(ISNUMBER(C3440),MONTH(C3440),"")</f>
        <v/>
      </c>
      <c r="X3440" s="23" t="str">
        <f aca="false">IF(T3440="","",IF(T3440=0,"No discount",IF(T3440&lt;=0.2,"Low (1-20%)",IF(T3440&lt;=0.4,"Medium (21-40%)","High (&gt;40%)"))))</f>
        <v/>
      </c>
      <c r="Y3440" s="23" t="str">
        <f aca="false">IF(AND(ISNUMBER(C3440),ISNUMBER(D3440)),D3440-C3440,"")</f>
        <v/>
      </c>
      <c r="Z3440" s="23" t="str">
        <f aca="false">IF(B3440="","",IF(MATCH(B3440,$B$2:$B$12000,0)=ROW()-1,1,0))</f>
        <v/>
      </c>
    </row>
    <row r="3441" customFormat="false" ht="15" hidden="false" customHeight="false" outlineLevel="0" collapsed="false">
      <c r="V3441" s="23" t="str">
        <f aca="false">IF(ISNUMBER(C3441),YEAR(C3441),"")</f>
        <v/>
      </c>
      <c r="W3441" s="23" t="str">
        <f aca="false">IF(ISNUMBER(C3441),MONTH(C3441),"")</f>
        <v/>
      </c>
      <c r="X3441" s="23" t="str">
        <f aca="false">IF(T3441="","",IF(T3441=0,"No discount",IF(T3441&lt;=0.2,"Low (1-20%)",IF(T3441&lt;=0.4,"Medium (21-40%)","High (&gt;40%)"))))</f>
        <v/>
      </c>
      <c r="Y3441" s="23" t="str">
        <f aca="false">IF(AND(ISNUMBER(C3441),ISNUMBER(D3441)),D3441-C3441,"")</f>
        <v/>
      </c>
      <c r="Z3441" s="23" t="str">
        <f aca="false">IF(B3441="","",IF(MATCH(B3441,$B$2:$B$12000,0)=ROW()-1,1,0))</f>
        <v/>
      </c>
    </row>
    <row r="3442" customFormat="false" ht="15" hidden="false" customHeight="false" outlineLevel="0" collapsed="false">
      <c r="V3442" s="23" t="str">
        <f aca="false">IF(ISNUMBER(C3442),YEAR(C3442),"")</f>
        <v/>
      </c>
      <c r="W3442" s="23" t="str">
        <f aca="false">IF(ISNUMBER(C3442),MONTH(C3442),"")</f>
        <v/>
      </c>
      <c r="X3442" s="23" t="str">
        <f aca="false">IF(T3442="","",IF(T3442=0,"No discount",IF(T3442&lt;=0.2,"Low (1-20%)",IF(T3442&lt;=0.4,"Medium (21-40%)","High (&gt;40%)"))))</f>
        <v/>
      </c>
      <c r="Y3442" s="23" t="str">
        <f aca="false">IF(AND(ISNUMBER(C3442),ISNUMBER(D3442)),D3442-C3442,"")</f>
        <v/>
      </c>
      <c r="Z3442" s="23" t="str">
        <f aca="false">IF(B3442="","",IF(MATCH(B3442,$B$2:$B$12000,0)=ROW()-1,1,0))</f>
        <v/>
      </c>
    </row>
    <row r="3443" customFormat="false" ht="15" hidden="false" customHeight="false" outlineLevel="0" collapsed="false">
      <c r="V3443" s="23" t="str">
        <f aca="false">IF(ISNUMBER(C3443),YEAR(C3443),"")</f>
        <v/>
      </c>
      <c r="W3443" s="23" t="str">
        <f aca="false">IF(ISNUMBER(C3443),MONTH(C3443),"")</f>
        <v/>
      </c>
      <c r="X3443" s="23" t="str">
        <f aca="false">IF(T3443="","",IF(T3443=0,"No discount",IF(T3443&lt;=0.2,"Low (1-20%)",IF(T3443&lt;=0.4,"Medium (21-40%)","High (&gt;40%)"))))</f>
        <v/>
      </c>
      <c r="Y3443" s="23" t="str">
        <f aca="false">IF(AND(ISNUMBER(C3443),ISNUMBER(D3443)),D3443-C3443,"")</f>
        <v/>
      </c>
      <c r="Z3443" s="23" t="str">
        <f aca="false">IF(B3443="","",IF(MATCH(B3443,$B$2:$B$12000,0)=ROW()-1,1,0))</f>
        <v/>
      </c>
    </row>
    <row r="3444" customFormat="false" ht="15" hidden="false" customHeight="false" outlineLevel="0" collapsed="false">
      <c r="V3444" s="23" t="str">
        <f aca="false">IF(ISNUMBER(C3444),YEAR(C3444),"")</f>
        <v/>
      </c>
      <c r="W3444" s="23" t="str">
        <f aca="false">IF(ISNUMBER(C3444),MONTH(C3444),"")</f>
        <v/>
      </c>
      <c r="X3444" s="23" t="str">
        <f aca="false">IF(T3444="","",IF(T3444=0,"No discount",IF(T3444&lt;=0.2,"Low (1-20%)",IF(T3444&lt;=0.4,"Medium (21-40%)","High (&gt;40%)"))))</f>
        <v/>
      </c>
      <c r="Y3444" s="23" t="str">
        <f aca="false">IF(AND(ISNUMBER(C3444),ISNUMBER(D3444)),D3444-C3444,"")</f>
        <v/>
      </c>
      <c r="Z3444" s="23" t="str">
        <f aca="false">IF(B3444="","",IF(MATCH(B3444,$B$2:$B$12000,0)=ROW()-1,1,0))</f>
        <v/>
      </c>
    </row>
    <row r="3445" customFormat="false" ht="15" hidden="false" customHeight="false" outlineLevel="0" collapsed="false">
      <c r="V3445" s="23" t="str">
        <f aca="false">IF(ISNUMBER(C3445),YEAR(C3445),"")</f>
        <v/>
      </c>
      <c r="W3445" s="23" t="str">
        <f aca="false">IF(ISNUMBER(C3445),MONTH(C3445),"")</f>
        <v/>
      </c>
      <c r="X3445" s="23" t="str">
        <f aca="false">IF(T3445="","",IF(T3445=0,"No discount",IF(T3445&lt;=0.2,"Low (1-20%)",IF(T3445&lt;=0.4,"Medium (21-40%)","High (&gt;40%)"))))</f>
        <v/>
      </c>
      <c r="Y3445" s="23" t="str">
        <f aca="false">IF(AND(ISNUMBER(C3445),ISNUMBER(D3445)),D3445-C3445,"")</f>
        <v/>
      </c>
      <c r="Z3445" s="23" t="str">
        <f aca="false">IF(B3445="","",IF(MATCH(B3445,$B$2:$B$12000,0)=ROW()-1,1,0))</f>
        <v/>
      </c>
    </row>
    <row r="3446" customFormat="false" ht="15" hidden="false" customHeight="false" outlineLevel="0" collapsed="false">
      <c r="V3446" s="23" t="str">
        <f aca="false">IF(ISNUMBER(C3446),YEAR(C3446),"")</f>
        <v/>
      </c>
      <c r="W3446" s="23" t="str">
        <f aca="false">IF(ISNUMBER(C3446),MONTH(C3446),"")</f>
        <v/>
      </c>
      <c r="X3446" s="23" t="str">
        <f aca="false">IF(T3446="","",IF(T3446=0,"No discount",IF(T3446&lt;=0.2,"Low (1-20%)",IF(T3446&lt;=0.4,"Medium (21-40%)","High (&gt;40%)"))))</f>
        <v/>
      </c>
      <c r="Y3446" s="23" t="str">
        <f aca="false">IF(AND(ISNUMBER(C3446),ISNUMBER(D3446)),D3446-C3446,"")</f>
        <v/>
      </c>
      <c r="Z3446" s="23" t="str">
        <f aca="false">IF(B3446="","",IF(MATCH(B3446,$B$2:$B$12000,0)=ROW()-1,1,0))</f>
        <v/>
      </c>
    </row>
    <row r="3447" customFormat="false" ht="15" hidden="false" customHeight="false" outlineLevel="0" collapsed="false">
      <c r="V3447" s="23" t="str">
        <f aca="false">IF(ISNUMBER(C3447),YEAR(C3447),"")</f>
        <v/>
      </c>
      <c r="W3447" s="23" t="str">
        <f aca="false">IF(ISNUMBER(C3447),MONTH(C3447),"")</f>
        <v/>
      </c>
      <c r="X3447" s="23" t="str">
        <f aca="false">IF(T3447="","",IF(T3447=0,"No discount",IF(T3447&lt;=0.2,"Low (1-20%)",IF(T3447&lt;=0.4,"Medium (21-40%)","High (&gt;40%)"))))</f>
        <v/>
      </c>
      <c r="Y3447" s="23" t="str">
        <f aca="false">IF(AND(ISNUMBER(C3447),ISNUMBER(D3447)),D3447-C3447,"")</f>
        <v/>
      </c>
      <c r="Z3447" s="23" t="str">
        <f aca="false">IF(B3447="","",IF(MATCH(B3447,$B$2:$B$12000,0)=ROW()-1,1,0))</f>
        <v/>
      </c>
    </row>
    <row r="3448" customFormat="false" ht="15" hidden="false" customHeight="false" outlineLevel="0" collapsed="false">
      <c r="V3448" s="23" t="str">
        <f aca="false">IF(ISNUMBER(C3448),YEAR(C3448),"")</f>
        <v/>
      </c>
      <c r="W3448" s="23" t="str">
        <f aca="false">IF(ISNUMBER(C3448),MONTH(C3448),"")</f>
        <v/>
      </c>
      <c r="X3448" s="23" t="str">
        <f aca="false">IF(T3448="","",IF(T3448=0,"No discount",IF(T3448&lt;=0.2,"Low (1-20%)",IF(T3448&lt;=0.4,"Medium (21-40%)","High (&gt;40%)"))))</f>
        <v/>
      </c>
      <c r="Y3448" s="23" t="str">
        <f aca="false">IF(AND(ISNUMBER(C3448),ISNUMBER(D3448)),D3448-C3448,"")</f>
        <v/>
      </c>
      <c r="Z3448" s="23" t="str">
        <f aca="false">IF(B3448="","",IF(MATCH(B3448,$B$2:$B$12000,0)=ROW()-1,1,0))</f>
        <v/>
      </c>
    </row>
    <row r="3449" customFormat="false" ht="15" hidden="false" customHeight="false" outlineLevel="0" collapsed="false">
      <c r="V3449" s="23" t="str">
        <f aca="false">IF(ISNUMBER(C3449),YEAR(C3449),"")</f>
        <v/>
      </c>
      <c r="W3449" s="23" t="str">
        <f aca="false">IF(ISNUMBER(C3449),MONTH(C3449),"")</f>
        <v/>
      </c>
      <c r="X3449" s="23" t="str">
        <f aca="false">IF(T3449="","",IF(T3449=0,"No discount",IF(T3449&lt;=0.2,"Low (1-20%)",IF(T3449&lt;=0.4,"Medium (21-40%)","High (&gt;40%)"))))</f>
        <v/>
      </c>
      <c r="Y3449" s="23" t="str">
        <f aca="false">IF(AND(ISNUMBER(C3449),ISNUMBER(D3449)),D3449-C3449,"")</f>
        <v/>
      </c>
      <c r="Z3449" s="23" t="str">
        <f aca="false">IF(B3449="","",IF(MATCH(B3449,$B$2:$B$12000,0)=ROW()-1,1,0))</f>
        <v/>
      </c>
    </row>
    <row r="3450" customFormat="false" ht="15" hidden="false" customHeight="false" outlineLevel="0" collapsed="false">
      <c r="V3450" s="23" t="str">
        <f aca="false">IF(ISNUMBER(C3450),YEAR(C3450),"")</f>
        <v/>
      </c>
      <c r="W3450" s="23" t="str">
        <f aca="false">IF(ISNUMBER(C3450),MONTH(C3450),"")</f>
        <v/>
      </c>
      <c r="X3450" s="23" t="str">
        <f aca="false">IF(T3450="","",IF(T3450=0,"No discount",IF(T3450&lt;=0.2,"Low (1-20%)",IF(T3450&lt;=0.4,"Medium (21-40%)","High (&gt;40%)"))))</f>
        <v/>
      </c>
      <c r="Y3450" s="23" t="str">
        <f aca="false">IF(AND(ISNUMBER(C3450),ISNUMBER(D3450)),D3450-C3450,"")</f>
        <v/>
      </c>
      <c r="Z3450" s="23" t="str">
        <f aca="false">IF(B3450="","",IF(MATCH(B3450,$B$2:$B$12000,0)=ROW()-1,1,0))</f>
        <v/>
      </c>
    </row>
    <row r="3451" customFormat="false" ht="15" hidden="false" customHeight="false" outlineLevel="0" collapsed="false">
      <c r="V3451" s="23" t="str">
        <f aca="false">IF(ISNUMBER(C3451),YEAR(C3451),"")</f>
        <v/>
      </c>
      <c r="W3451" s="23" t="str">
        <f aca="false">IF(ISNUMBER(C3451),MONTH(C3451),"")</f>
        <v/>
      </c>
      <c r="X3451" s="23" t="str">
        <f aca="false">IF(T3451="","",IF(T3451=0,"No discount",IF(T3451&lt;=0.2,"Low (1-20%)",IF(T3451&lt;=0.4,"Medium (21-40%)","High (&gt;40%)"))))</f>
        <v/>
      </c>
      <c r="Y3451" s="23" t="str">
        <f aca="false">IF(AND(ISNUMBER(C3451),ISNUMBER(D3451)),D3451-C3451,"")</f>
        <v/>
      </c>
      <c r="Z3451" s="23" t="str">
        <f aca="false">IF(B3451="","",IF(MATCH(B3451,$B$2:$B$12000,0)=ROW()-1,1,0))</f>
        <v/>
      </c>
    </row>
    <row r="3452" customFormat="false" ht="15" hidden="false" customHeight="false" outlineLevel="0" collapsed="false">
      <c r="V3452" s="23" t="str">
        <f aca="false">IF(ISNUMBER(C3452),YEAR(C3452),"")</f>
        <v/>
      </c>
      <c r="W3452" s="23" t="str">
        <f aca="false">IF(ISNUMBER(C3452),MONTH(C3452),"")</f>
        <v/>
      </c>
      <c r="X3452" s="23" t="str">
        <f aca="false">IF(T3452="","",IF(T3452=0,"No discount",IF(T3452&lt;=0.2,"Low (1-20%)",IF(T3452&lt;=0.4,"Medium (21-40%)","High (&gt;40%)"))))</f>
        <v/>
      </c>
      <c r="Y3452" s="23" t="str">
        <f aca="false">IF(AND(ISNUMBER(C3452),ISNUMBER(D3452)),D3452-C3452,"")</f>
        <v/>
      </c>
      <c r="Z3452" s="23" t="str">
        <f aca="false">IF(B3452="","",IF(MATCH(B3452,$B$2:$B$12000,0)=ROW()-1,1,0))</f>
        <v/>
      </c>
    </row>
    <row r="3453" customFormat="false" ht="15" hidden="false" customHeight="false" outlineLevel="0" collapsed="false">
      <c r="V3453" s="23" t="str">
        <f aca="false">IF(ISNUMBER(C3453),YEAR(C3453),"")</f>
        <v/>
      </c>
      <c r="W3453" s="23" t="str">
        <f aca="false">IF(ISNUMBER(C3453),MONTH(C3453),"")</f>
        <v/>
      </c>
      <c r="X3453" s="23" t="str">
        <f aca="false">IF(T3453="","",IF(T3453=0,"No discount",IF(T3453&lt;=0.2,"Low (1-20%)",IF(T3453&lt;=0.4,"Medium (21-40%)","High (&gt;40%)"))))</f>
        <v/>
      </c>
      <c r="Y3453" s="23" t="str">
        <f aca="false">IF(AND(ISNUMBER(C3453),ISNUMBER(D3453)),D3453-C3453,"")</f>
        <v/>
      </c>
      <c r="Z3453" s="23" t="str">
        <f aca="false">IF(B3453="","",IF(MATCH(B3453,$B$2:$B$12000,0)=ROW()-1,1,0))</f>
        <v/>
      </c>
    </row>
    <row r="3454" customFormat="false" ht="15" hidden="false" customHeight="false" outlineLevel="0" collapsed="false">
      <c r="V3454" s="23" t="str">
        <f aca="false">IF(ISNUMBER(C3454),YEAR(C3454),"")</f>
        <v/>
      </c>
      <c r="W3454" s="23" t="str">
        <f aca="false">IF(ISNUMBER(C3454),MONTH(C3454),"")</f>
        <v/>
      </c>
      <c r="X3454" s="23" t="str">
        <f aca="false">IF(T3454="","",IF(T3454=0,"No discount",IF(T3454&lt;=0.2,"Low (1-20%)",IF(T3454&lt;=0.4,"Medium (21-40%)","High (&gt;40%)"))))</f>
        <v/>
      </c>
      <c r="Y3454" s="23" t="str">
        <f aca="false">IF(AND(ISNUMBER(C3454),ISNUMBER(D3454)),D3454-C3454,"")</f>
        <v/>
      </c>
      <c r="Z3454" s="23" t="str">
        <f aca="false">IF(B3454="","",IF(MATCH(B3454,$B$2:$B$12000,0)=ROW()-1,1,0))</f>
        <v/>
      </c>
    </row>
    <row r="3455" customFormat="false" ht="15" hidden="false" customHeight="false" outlineLevel="0" collapsed="false">
      <c r="V3455" s="23" t="str">
        <f aca="false">IF(ISNUMBER(C3455),YEAR(C3455),"")</f>
        <v/>
      </c>
      <c r="W3455" s="23" t="str">
        <f aca="false">IF(ISNUMBER(C3455),MONTH(C3455),"")</f>
        <v/>
      </c>
      <c r="X3455" s="23" t="str">
        <f aca="false">IF(T3455="","",IF(T3455=0,"No discount",IF(T3455&lt;=0.2,"Low (1-20%)",IF(T3455&lt;=0.4,"Medium (21-40%)","High (&gt;40%)"))))</f>
        <v/>
      </c>
      <c r="Y3455" s="23" t="str">
        <f aca="false">IF(AND(ISNUMBER(C3455),ISNUMBER(D3455)),D3455-C3455,"")</f>
        <v/>
      </c>
      <c r="Z3455" s="23" t="str">
        <f aca="false">IF(B3455="","",IF(MATCH(B3455,$B$2:$B$12000,0)=ROW()-1,1,0))</f>
        <v/>
      </c>
    </row>
    <row r="3456" customFormat="false" ht="15" hidden="false" customHeight="false" outlineLevel="0" collapsed="false">
      <c r="V3456" s="23" t="str">
        <f aca="false">IF(ISNUMBER(C3456),YEAR(C3456),"")</f>
        <v/>
      </c>
      <c r="W3456" s="23" t="str">
        <f aca="false">IF(ISNUMBER(C3456),MONTH(C3456),"")</f>
        <v/>
      </c>
      <c r="X3456" s="23" t="str">
        <f aca="false">IF(T3456="","",IF(T3456=0,"No discount",IF(T3456&lt;=0.2,"Low (1-20%)",IF(T3456&lt;=0.4,"Medium (21-40%)","High (&gt;40%)"))))</f>
        <v/>
      </c>
      <c r="Y3456" s="23" t="str">
        <f aca="false">IF(AND(ISNUMBER(C3456),ISNUMBER(D3456)),D3456-C3456,"")</f>
        <v/>
      </c>
      <c r="Z3456" s="23" t="str">
        <f aca="false">IF(B3456="","",IF(MATCH(B3456,$B$2:$B$12000,0)=ROW()-1,1,0))</f>
        <v/>
      </c>
    </row>
    <row r="3457" customFormat="false" ht="15" hidden="false" customHeight="false" outlineLevel="0" collapsed="false">
      <c r="V3457" s="23" t="str">
        <f aca="false">IF(ISNUMBER(C3457),YEAR(C3457),"")</f>
        <v/>
      </c>
      <c r="W3457" s="23" t="str">
        <f aca="false">IF(ISNUMBER(C3457),MONTH(C3457),"")</f>
        <v/>
      </c>
      <c r="X3457" s="23" t="str">
        <f aca="false">IF(T3457="","",IF(T3457=0,"No discount",IF(T3457&lt;=0.2,"Low (1-20%)",IF(T3457&lt;=0.4,"Medium (21-40%)","High (&gt;40%)"))))</f>
        <v/>
      </c>
      <c r="Y3457" s="23" t="str">
        <f aca="false">IF(AND(ISNUMBER(C3457),ISNUMBER(D3457)),D3457-C3457,"")</f>
        <v/>
      </c>
      <c r="Z3457" s="23" t="str">
        <f aca="false">IF(B3457="","",IF(MATCH(B3457,$B$2:$B$12000,0)=ROW()-1,1,0))</f>
        <v/>
      </c>
    </row>
    <row r="3458" customFormat="false" ht="15" hidden="false" customHeight="false" outlineLevel="0" collapsed="false">
      <c r="V3458" s="23" t="str">
        <f aca="false">IF(ISNUMBER(C3458),YEAR(C3458),"")</f>
        <v/>
      </c>
      <c r="W3458" s="23" t="str">
        <f aca="false">IF(ISNUMBER(C3458),MONTH(C3458),"")</f>
        <v/>
      </c>
      <c r="X3458" s="23" t="str">
        <f aca="false">IF(T3458="","",IF(T3458=0,"No discount",IF(T3458&lt;=0.2,"Low (1-20%)",IF(T3458&lt;=0.4,"Medium (21-40%)","High (&gt;40%)"))))</f>
        <v/>
      </c>
      <c r="Y3458" s="23" t="str">
        <f aca="false">IF(AND(ISNUMBER(C3458),ISNUMBER(D3458)),D3458-C3458,"")</f>
        <v/>
      </c>
      <c r="Z3458" s="23" t="str">
        <f aca="false">IF(B3458="","",IF(MATCH(B3458,$B$2:$B$12000,0)=ROW()-1,1,0))</f>
        <v/>
      </c>
    </row>
    <row r="3459" customFormat="false" ht="15" hidden="false" customHeight="false" outlineLevel="0" collapsed="false">
      <c r="V3459" s="23" t="str">
        <f aca="false">IF(ISNUMBER(C3459),YEAR(C3459),"")</f>
        <v/>
      </c>
      <c r="W3459" s="23" t="str">
        <f aca="false">IF(ISNUMBER(C3459),MONTH(C3459),"")</f>
        <v/>
      </c>
      <c r="X3459" s="23" t="str">
        <f aca="false">IF(T3459="","",IF(T3459=0,"No discount",IF(T3459&lt;=0.2,"Low (1-20%)",IF(T3459&lt;=0.4,"Medium (21-40%)","High (&gt;40%)"))))</f>
        <v/>
      </c>
      <c r="Y3459" s="23" t="str">
        <f aca="false">IF(AND(ISNUMBER(C3459),ISNUMBER(D3459)),D3459-C3459,"")</f>
        <v/>
      </c>
      <c r="Z3459" s="23" t="str">
        <f aca="false">IF(B3459="","",IF(MATCH(B3459,$B$2:$B$12000,0)=ROW()-1,1,0))</f>
        <v/>
      </c>
    </row>
    <row r="3460" customFormat="false" ht="15" hidden="false" customHeight="false" outlineLevel="0" collapsed="false">
      <c r="V3460" s="23" t="str">
        <f aca="false">IF(ISNUMBER(C3460),YEAR(C3460),"")</f>
        <v/>
      </c>
      <c r="W3460" s="23" t="str">
        <f aca="false">IF(ISNUMBER(C3460),MONTH(C3460),"")</f>
        <v/>
      </c>
      <c r="X3460" s="23" t="str">
        <f aca="false">IF(T3460="","",IF(T3460=0,"No discount",IF(T3460&lt;=0.2,"Low (1-20%)",IF(T3460&lt;=0.4,"Medium (21-40%)","High (&gt;40%)"))))</f>
        <v/>
      </c>
      <c r="Y3460" s="23" t="str">
        <f aca="false">IF(AND(ISNUMBER(C3460),ISNUMBER(D3460)),D3460-C3460,"")</f>
        <v/>
      </c>
      <c r="Z3460" s="23" t="str">
        <f aca="false">IF(B3460="","",IF(MATCH(B3460,$B$2:$B$12000,0)=ROW()-1,1,0))</f>
        <v/>
      </c>
    </row>
    <row r="3461" customFormat="false" ht="15" hidden="false" customHeight="false" outlineLevel="0" collapsed="false">
      <c r="V3461" s="23" t="str">
        <f aca="false">IF(ISNUMBER(C3461),YEAR(C3461),"")</f>
        <v/>
      </c>
      <c r="W3461" s="23" t="str">
        <f aca="false">IF(ISNUMBER(C3461),MONTH(C3461),"")</f>
        <v/>
      </c>
      <c r="X3461" s="23" t="str">
        <f aca="false">IF(T3461="","",IF(T3461=0,"No discount",IF(T3461&lt;=0.2,"Low (1-20%)",IF(T3461&lt;=0.4,"Medium (21-40%)","High (&gt;40%)"))))</f>
        <v/>
      </c>
      <c r="Y3461" s="23" t="str">
        <f aca="false">IF(AND(ISNUMBER(C3461),ISNUMBER(D3461)),D3461-C3461,"")</f>
        <v/>
      </c>
      <c r="Z3461" s="23" t="str">
        <f aca="false">IF(B3461="","",IF(MATCH(B3461,$B$2:$B$12000,0)=ROW()-1,1,0))</f>
        <v/>
      </c>
    </row>
    <row r="3462" customFormat="false" ht="15" hidden="false" customHeight="false" outlineLevel="0" collapsed="false">
      <c r="V3462" s="23" t="str">
        <f aca="false">IF(ISNUMBER(C3462),YEAR(C3462),"")</f>
        <v/>
      </c>
      <c r="W3462" s="23" t="str">
        <f aca="false">IF(ISNUMBER(C3462),MONTH(C3462),"")</f>
        <v/>
      </c>
      <c r="X3462" s="23" t="str">
        <f aca="false">IF(T3462="","",IF(T3462=0,"No discount",IF(T3462&lt;=0.2,"Low (1-20%)",IF(T3462&lt;=0.4,"Medium (21-40%)","High (&gt;40%)"))))</f>
        <v/>
      </c>
      <c r="Y3462" s="23" t="str">
        <f aca="false">IF(AND(ISNUMBER(C3462),ISNUMBER(D3462)),D3462-C3462,"")</f>
        <v/>
      </c>
      <c r="Z3462" s="23" t="str">
        <f aca="false">IF(B3462="","",IF(MATCH(B3462,$B$2:$B$12000,0)=ROW()-1,1,0))</f>
        <v/>
      </c>
    </row>
    <row r="3463" customFormat="false" ht="15" hidden="false" customHeight="false" outlineLevel="0" collapsed="false">
      <c r="V3463" s="23" t="str">
        <f aca="false">IF(ISNUMBER(C3463),YEAR(C3463),"")</f>
        <v/>
      </c>
      <c r="W3463" s="23" t="str">
        <f aca="false">IF(ISNUMBER(C3463),MONTH(C3463),"")</f>
        <v/>
      </c>
      <c r="X3463" s="23" t="str">
        <f aca="false">IF(T3463="","",IF(T3463=0,"No discount",IF(T3463&lt;=0.2,"Low (1-20%)",IF(T3463&lt;=0.4,"Medium (21-40%)","High (&gt;40%)"))))</f>
        <v/>
      </c>
      <c r="Y3463" s="23" t="str">
        <f aca="false">IF(AND(ISNUMBER(C3463),ISNUMBER(D3463)),D3463-C3463,"")</f>
        <v/>
      </c>
      <c r="Z3463" s="23" t="str">
        <f aca="false">IF(B3463="","",IF(MATCH(B3463,$B$2:$B$12000,0)=ROW()-1,1,0))</f>
        <v/>
      </c>
    </row>
    <row r="3464" customFormat="false" ht="15" hidden="false" customHeight="false" outlineLevel="0" collapsed="false">
      <c r="V3464" s="23" t="str">
        <f aca="false">IF(ISNUMBER(C3464),YEAR(C3464),"")</f>
        <v/>
      </c>
      <c r="W3464" s="23" t="str">
        <f aca="false">IF(ISNUMBER(C3464),MONTH(C3464),"")</f>
        <v/>
      </c>
      <c r="X3464" s="23" t="str">
        <f aca="false">IF(T3464="","",IF(T3464=0,"No discount",IF(T3464&lt;=0.2,"Low (1-20%)",IF(T3464&lt;=0.4,"Medium (21-40%)","High (&gt;40%)"))))</f>
        <v/>
      </c>
      <c r="Y3464" s="23" t="str">
        <f aca="false">IF(AND(ISNUMBER(C3464),ISNUMBER(D3464)),D3464-C3464,"")</f>
        <v/>
      </c>
      <c r="Z3464" s="23" t="str">
        <f aca="false">IF(B3464="","",IF(MATCH(B3464,$B$2:$B$12000,0)=ROW()-1,1,0))</f>
        <v/>
      </c>
    </row>
    <row r="3465" customFormat="false" ht="15" hidden="false" customHeight="false" outlineLevel="0" collapsed="false">
      <c r="V3465" s="23" t="str">
        <f aca="false">IF(ISNUMBER(C3465),YEAR(C3465),"")</f>
        <v/>
      </c>
      <c r="W3465" s="23" t="str">
        <f aca="false">IF(ISNUMBER(C3465),MONTH(C3465),"")</f>
        <v/>
      </c>
      <c r="X3465" s="23" t="str">
        <f aca="false">IF(T3465="","",IF(T3465=0,"No discount",IF(T3465&lt;=0.2,"Low (1-20%)",IF(T3465&lt;=0.4,"Medium (21-40%)","High (&gt;40%)"))))</f>
        <v/>
      </c>
      <c r="Y3465" s="23" t="str">
        <f aca="false">IF(AND(ISNUMBER(C3465),ISNUMBER(D3465)),D3465-C3465,"")</f>
        <v/>
      </c>
      <c r="Z3465" s="23" t="str">
        <f aca="false">IF(B3465="","",IF(MATCH(B3465,$B$2:$B$12000,0)=ROW()-1,1,0))</f>
        <v/>
      </c>
    </row>
    <row r="3466" customFormat="false" ht="15" hidden="false" customHeight="false" outlineLevel="0" collapsed="false">
      <c r="V3466" s="23" t="str">
        <f aca="false">IF(ISNUMBER(C3466),YEAR(C3466),"")</f>
        <v/>
      </c>
      <c r="W3466" s="23" t="str">
        <f aca="false">IF(ISNUMBER(C3466),MONTH(C3466),"")</f>
        <v/>
      </c>
      <c r="X3466" s="23" t="str">
        <f aca="false">IF(T3466="","",IF(T3466=0,"No discount",IF(T3466&lt;=0.2,"Low (1-20%)",IF(T3466&lt;=0.4,"Medium (21-40%)","High (&gt;40%)"))))</f>
        <v/>
      </c>
      <c r="Y3466" s="23" t="str">
        <f aca="false">IF(AND(ISNUMBER(C3466),ISNUMBER(D3466)),D3466-C3466,"")</f>
        <v/>
      </c>
      <c r="Z3466" s="23" t="str">
        <f aca="false">IF(B3466="","",IF(MATCH(B3466,$B$2:$B$12000,0)=ROW()-1,1,0))</f>
        <v/>
      </c>
    </row>
    <row r="3467" customFormat="false" ht="15" hidden="false" customHeight="false" outlineLevel="0" collapsed="false">
      <c r="V3467" s="23" t="str">
        <f aca="false">IF(ISNUMBER(C3467),YEAR(C3467),"")</f>
        <v/>
      </c>
      <c r="W3467" s="23" t="str">
        <f aca="false">IF(ISNUMBER(C3467),MONTH(C3467),"")</f>
        <v/>
      </c>
      <c r="X3467" s="23" t="str">
        <f aca="false">IF(T3467="","",IF(T3467=0,"No discount",IF(T3467&lt;=0.2,"Low (1-20%)",IF(T3467&lt;=0.4,"Medium (21-40%)","High (&gt;40%)"))))</f>
        <v/>
      </c>
      <c r="Y3467" s="23" t="str">
        <f aca="false">IF(AND(ISNUMBER(C3467),ISNUMBER(D3467)),D3467-C3467,"")</f>
        <v/>
      </c>
      <c r="Z3467" s="23" t="str">
        <f aca="false">IF(B3467="","",IF(MATCH(B3467,$B$2:$B$12000,0)=ROW()-1,1,0))</f>
        <v/>
      </c>
    </row>
    <row r="3468" customFormat="false" ht="15" hidden="false" customHeight="false" outlineLevel="0" collapsed="false">
      <c r="V3468" s="23" t="str">
        <f aca="false">IF(ISNUMBER(C3468),YEAR(C3468),"")</f>
        <v/>
      </c>
      <c r="W3468" s="23" t="str">
        <f aca="false">IF(ISNUMBER(C3468),MONTH(C3468),"")</f>
        <v/>
      </c>
      <c r="X3468" s="23" t="str">
        <f aca="false">IF(T3468="","",IF(T3468=0,"No discount",IF(T3468&lt;=0.2,"Low (1-20%)",IF(T3468&lt;=0.4,"Medium (21-40%)","High (&gt;40%)"))))</f>
        <v/>
      </c>
      <c r="Y3468" s="23" t="str">
        <f aca="false">IF(AND(ISNUMBER(C3468),ISNUMBER(D3468)),D3468-C3468,"")</f>
        <v/>
      </c>
      <c r="Z3468" s="23" t="str">
        <f aca="false">IF(B3468="","",IF(MATCH(B3468,$B$2:$B$12000,0)=ROW()-1,1,0))</f>
        <v/>
      </c>
    </row>
    <row r="3469" customFormat="false" ht="15" hidden="false" customHeight="false" outlineLevel="0" collapsed="false">
      <c r="V3469" s="23" t="str">
        <f aca="false">IF(ISNUMBER(C3469),YEAR(C3469),"")</f>
        <v/>
      </c>
      <c r="W3469" s="23" t="str">
        <f aca="false">IF(ISNUMBER(C3469),MONTH(C3469),"")</f>
        <v/>
      </c>
      <c r="X3469" s="23" t="str">
        <f aca="false">IF(T3469="","",IF(T3469=0,"No discount",IF(T3469&lt;=0.2,"Low (1-20%)",IF(T3469&lt;=0.4,"Medium (21-40%)","High (&gt;40%)"))))</f>
        <v/>
      </c>
      <c r="Y3469" s="23" t="str">
        <f aca="false">IF(AND(ISNUMBER(C3469),ISNUMBER(D3469)),D3469-C3469,"")</f>
        <v/>
      </c>
      <c r="Z3469" s="23" t="str">
        <f aca="false">IF(B3469="","",IF(MATCH(B3469,$B$2:$B$12000,0)=ROW()-1,1,0))</f>
        <v/>
      </c>
    </row>
    <row r="3470" customFormat="false" ht="15" hidden="false" customHeight="false" outlineLevel="0" collapsed="false">
      <c r="V3470" s="23" t="str">
        <f aca="false">IF(ISNUMBER(C3470),YEAR(C3470),"")</f>
        <v/>
      </c>
      <c r="W3470" s="23" t="str">
        <f aca="false">IF(ISNUMBER(C3470),MONTH(C3470),"")</f>
        <v/>
      </c>
      <c r="X3470" s="23" t="str">
        <f aca="false">IF(T3470="","",IF(T3470=0,"No discount",IF(T3470&lt;=0.2,"Low (1-20%)",IF(T3470&lt;=0.4,"Medium (21-40%)","High (&gt;40%)"))))</f>
        <v/>
      </c>
      <c r="Y3470" s="23" t="str">
        <f aca="false">IF(AND(ISNUMBER(C3470),ISNUMBER(D3470)),D3470-C3470,"")</f>
        <v/>
      </c>
      <c r="Z3470" s="23" t="str">
        <f aca="false">IF(B3470="","",IF(MATCH(B3470,$B$2:$B$12000,0)=ROW()-1,1,0))</f>
        <v/>
      </c>
    </row>
    <row r="3471" customFormat="false" ht="15" hidden="false" customHeight="false" outlineLevel="0" collapsed="false">
      <c r="V3471" s="23" t="str">
        <f aca="false">IF(ISNUMBER(C3471),YEAR(C3471),"")</f>
        <v/>
      </c>
      <c r="W3471" s="23" t="str">
        <f aca="false">IF(ISNUMBER(C3471),MONTH(C3471),"")</f>
        <v/>
      </c>
      <c r="X3471" s="23" t="str">
        <f aca="false">IF(T3471="","",IF(T3471=0,"No discount",IF(T3471&lt;=0.2,"Low (1-20%)",IF(T3471&lt;=0.4,"Medium (21-40%)","High (&gt;40%)"))))</f>
        <v/>
      </c>
      <c r="Y3471" s="23" t="str">
        <f aca="false">IF(AND(ISNUMBER(C3471),ISNUMBER(D3471)),D3471-C3471,"")</f>
        <v/>
      </c>
      <c r="Z3471" s="23" t="str">
        <f aca="false">IF(B3471="","",IF(MATCH(B3471,$B$2:$B$12000,0)=ROW()-1,1,0))</f>
        <v/>
      </c>
    </row>
    <row r="3472" customFormat="false" ht="15" hidden="false" customHeight="false" outlineLevel="0" collapsed="false">
      <c r="V3472" s="23" t="str">
        <f aca="false">IF(ISNUMBER(C3472),YEAR(C3472),"")</f>
        <v/>
      </c>
      <c r="W3472" s="23" t="str">
        <f aca="false">IF(ISNUMBER(C3472),MONTH(C3472),"")</f>
        <v/>
      </c>
      <c r="X3472" s="23" t="str">
        <f aca="false">IF(T3472="","",IF(T3472=0,"No discount",IF(T3472&lt;=0.2,"Low (1-20%)",IF(T3472&lt;=0.4,"Medium (21-40%)","High (&gt;40%)"))))</f>
        <v/>
      </c>
      <c r="Y3472" s="23" t="str">
        <f aca="false">IF(AND(ISNUMBER(C3472),ISNUMBER(D3472)),D3472-C3472,"")</f>
        <v/>
      </c>
      <c r="Z3472" s="23" t="str">
        <f aca="false">IF(B3472="","",IF(MATCH(B3472,$B$2:$B$12000,0)=ROW()-1,1,0))</f>
        <v/>
      </c>
    </row>
    <row r="3473" customFormat="false" ht="15" hidden="false" customHeight="false" outlineLevel="0" collapsed="false">
      <c r="V3473" s="23" t="str">
        <f aca="false">IF(ISNUMBER(C3473),YEAR(C3473),"")</f>
        <v/>
      </c>
      <c r="W3473" s="23" t="str">
        <f aca="false">IF(ISNUMBER(C3473),MONTH(C3473),"")</f>
        <v/>
      </c>
      <c r="X3473" s="23" t="str">
        <f aca="false">IF(T3473="","",IF(T3473=0,"No discount",IF(T3473&lt;=0.2,"Low (1-20%)",IF(T3473&lt;=0.4,"Medium (21-40%)","High (&gt;40%)"))))</f>
        <v/>
      </c>
      <c r="Y3473" s="23" t="str">
        <f aca="false">IF(AND(ISNUMBER(C3473),ISNUMBER(D3473)),D3473-C3473,"")</f>
        <v/>
      </c>
      <c r="Z3473" s="23" t="str">
        <f aca="false">IF(B3473="","",IF(MATCH(B3473,$B$2:$B$12000,0)=ROW()-1,1,0))</f>
        <v/>
      </c>
    </row>
    <row r="3474" customFormat="false" ht="15" hidden="false" customHeight="false" outlineLevel="0" collapsed="false">
      <c r="V3474" s="23" t="str">
        <f aca="false">IF(ISNUMBER(C3474),YEAR(C3474),"")</f>
        <v/>
      </c>
      <c r="W3474" s="23" t="str">
        <f aca="false">IF(ISNUMBER(C3474),MONTH(C3474),"")</f>
        <v/>
      </c>
      <c r="X3474" s="23" t="str">
        <f aca="false">IF(T3474="","",IF(T3474=0,"No discount",IF(T3474&lt;=0.2,"Low (1-20%)",IF(T3474&lt;=0.4,"Medium (21-40%)","High (&gt;40%)"))))</f>
        <v/>
      </c>
      <c r="Y3474" s="23" t="str">
        <f aca="false">IF(AND(ISNUMBER(C3474),ISNUMBER(D3474)),D3474-C3474,"")</f>
        <v/>
      </c>
      <c r="Z3474" s="23" t="str">
        <f aca="false">IF(B3474="","",IF(MATCH(B3474,$B$2:$B$12000,0)=ROW()-1,1,0))</f>
        <v/>
      </c>
    </row>
    <row r="3475" customFormat="false" ht="15" hidden="false" customHeight="false" outlineLevel="0" collapsed="false">
      <c r="V3475" s="23" t="str">
        <f aca="false">IF(ISNUMBER(C3475),YEAR(C3475),"")</f>
        <v/>
      </c>
      <c r="W3475" s="23" t="str">
        <f aca="false">IF(ISNUMBER(C3475),MONTH(C3475),"")</f>
        <v/>
      </c>
      <c r="X3475" s="23" t="str">
        <f aca="false">IF(T3475="","",IF(T3475=0,"No discount",IF(T3475&lt;=0.2,"Low (1-20%)",IF(T3475&lt;=0.4,"Medium (21-40%)","High (&gt;40%)"))))</f>
        <v/>
      </c>
      <c r="Y3475" s="23" t="str">
        <f aca="false">IF(AND(ISNUMBER(C3475),ISNUMBER(D3475)),D3475-C3475,"")</f>
        <v/>
      </c>
      <c r="Z3475" s="23" t="str">
        <f aca="false">IF(B3475="","",IF(MATCH(B3475,$B$2:$B$12000,0)=ROW()-1,1,0))</f>
        <v/>
      </c>
    </row>
    <row r="3476" customFormat="false" ht="15" hidden="false" customHeight="false" outlineLevel="0" collapsed="false">
      <c r="V3476" s="23" t="str">
        <f aca="false">IF(ISNUMBER(C3476),YEAR(C3476),"")</f>
        <v/>
      </c>
      <c r="W3476" s="23" t="str">
        <f aca="false">IF(ISNUMBER(C3476),MONTH(C3476),"")</f>
        <v/>
      </c>
      <c r="X3476" s="23" t="str">
        <f aca="false">IF(T3476="","",IF(T3476=0,"No discount",IF(T3476&lt;=0.2,"Low (1-20%)",IF(T3476&lt;=0.4,"Medium (21-40%)","High (&gt;40%)"))))</f>
        <v/>
      </c>
      <c r="Y3476" s="23" t="str">
        <f aca="false">IF(AND(ISNUMBER(C3476),ISNUMBER(D3476)),D3476-C3476,"")</f>
        <v/>
      </c>
      <c r="Z3476" s="23" t="str">
        <f aca="false">IF(B3476="","",IF(MATCH(B3476,$B$2:$B$12000,0)=ROW()-1,1,0))</f>
        <v/>
      </c>
    </row>
    <row r="3477" customFormat="false" ht="15" hidden="false" customHeight="false" outlineLevel="0" collapsed="false">
      <c r="V3477" s="23" t="str">
        <f aca="false">IF(ISNUMBER(C3477),YEAR(C3477),"")</f>
        <v/>
      </c>
      <c r="W3477" s="23" t="str">
        <f aca="false">IF(ISNUMBER(C3477),MONTH(C3477),"")</f>
        <v/>
      </c>
      <c r="X3477" s="23" t="str">
        <f aca="false">IF(T3477="","",IF(T3477=0,"No discount",IF(T3477&lt;=0.2,"Low (1-20%)",IF(T3477&lt;=0.4,"Medium (21-40%)","High (&gt;40%)"))))</f>
        <v/>
      </c>
      <c r="Y3477" s="23" t="str">
        <f aca="false">IF(AND(ISNUMBER(C3477),ISNUMBER(D3477)),D3477-C3477,"")</f>
        <v/>
      </c>
      <c r="Z3477" s="23" t="str">
        <f aca="false">IF(B3477="","",IF(MATCH(B3477,$B$2:$B$12000,0)=ROW()-1,1,0))</f>
        <v/>
      </c>
    </row>
    <row r="3478" customFormat="false" ht="15" hidden="false" customHeight="false" outlineLevel="0" collapsed="false">
      <c r="V3478" s="23" t="str">
        <f aca="false">IF(ISNUMBER(C3478),YEAR(C3478),"")</f>
        <v/>
      </c>
      <c r="W3478" s="23" t="str">
        <f aca="false">IF(ISNUMBER(C3478),MONTH(C3478),"")</f>
        <v/>
      </c>
      <c r="X3478" s="23" t="str">
        <f aca="false">IF(T3478="","",IF(T3478=0,"No discount",IF(T3478&lt;=0.2,"Low (1-20%)",IF(T3478&lt;=0.4,"Medium (21-40%)","High (&gt;40%)"))))</f>
        <v/>
      </c>
      <c r="Y3478" s="23" t="str">
        <f aca="false">IF(AND(ISNUMBER(C3478),ISNUMBER(D3478)),D3478-C3478,"")</f>
        <v/>
      </c>
      <c r="Z3478" s="23" t="str">
        <f aca="false">IF(B3478="","",IF(MATCH(B3478,$B$2:$B$12000,0)=ROW()-1,1,0))</f>
        <v/>
      </c>
    </row>
    <row r="3479" customFormat="false" ht="15" hidden="false" customHeight="false" outlineLevel="0" collapsed="false">
      <c r="V3479" s="23" t="str">
        <f aca="false">IF(ISNUMBER(C3479),YEAR(C3479),"")</f>
        <v/>
      </c>
      <c r="W3479" s="23" t="str">
        <f aca="false">IF(ISNUMBER(C3479),MONTH(C3479),"")</f>
        <v/>
      </c>
      <c r="X3479" s="23" t="str">
        <f aca="false">IF(T3479="","",IF(T3479=0,"No discount",IF(T3479&lt;=0.2,"Low (1-20%)",IF(T3479&lt;=0.4,"Medium (21-40%)","High (&gt;40%)"))))</f>
        <v/>
      </c>
      <c r="Y3479" s="23" t="str">
        <f aca="false">IF(AND(ISNUMBER(C3479),ISNUMBER(D3479)),D3479-C3479,"")</f>
        <v/>
      </c>
      <c r="Z3479" s="23" t="str">
        <f aca="false">IF(B3479="","",IF(MATCH(B3479,$B$2:$B$12000,0)=ROW()-1,1,0))</f>
        <v/>
      </c>
    </row>
    <row r="3480" customFormat="false" ht="15" hidden="false" customHeight="false" outlineLevel="0" collapsed="false">
      <c r="V3480" s="23" t="str">
        <f aca="false">IF(ISNUMBER(C3480),YEAR(C3480),"")</f>
        <v/>
      </c>
      <c r="W3480" s="23" t="str">
        <f aca="false">IF(ISNUMBER(C3480),MONTH(C3480),"")</f>
        <v/>
      </c>
      <c r="X3480" s="23" t="str">
        <f aca="false">IF(T3480="","",IF(T3480=0,"No discount",IF(T3480&lt;=0.2,"Low (1-20%)",IF(T3480&lt;=0.4,"Medium (21-40%)","High (&gt;40%)"))))</f>
        <v/>
      </c>
      <c r="Y3480" s="23" t="str">
        <f aca="false">IF(AND(ISNUMBER(C3480),ISNUMBER(D3480)),D3480-C3480,"")</f>
        <v/>
      </c>
      <c r="Z3480" s="23" t="str">
        <f aca="false">IF(B3480="","",IF(MATCH(B3480,$B$2:$B$12000,0)=ROW()-1,1,0))</f>
        <v/>
      </c>
    </row>
    <row r="3481" customFormat="false" ht="15" hidden="false" customHeight="false" outlineLevel="0" collapsed="false">
      <c r="V3481" s="23" t="str">
        <f aca="false">IF(ISNUMBER(C3481),YEAR(C3481),"")</f>
        <v/>
      </c>
      <c r="W3481" s="23" t="str">
        <f aca="false">IF(ISNUMBER(C3481),MONTH(C3481),"")</f>
        <v/>
      </c>
      <c r="X3481" s="23" t="str">
        <f aca="false">IF(T3481="","",IF(T3481=0,"No discount",IF(T3481&lt;=0.2,"Low (1-20%)",IF(T3481&lt;=0.4,"Medium (21-40%)","High (&gt;40%)"))))</f>
        <v/>
      </c>
      <c r="Y3481" s="23" t="str">
        <f aca="false">IF(AND(ISNUMBER(C3481),ISNUMBER(D3481)),D3481-C3481,"")</f>
        <v/>
      </c>
      <c r="Z3481" s="23" t="str">
        <f aca="false">IF(B3481="","",IF(MATCH(B3481,$B$2:$B$12000,0)=ROW()-1,1,0))</f>
        <v/>
      </c>
    </row>
    <row r="3482" customFormat="false" ht="15" hidden="false" customHeight="false" outlineLevel="0" collapsed="false">
      <c r="V3482" s="23" t="str">
        <f aca="false">IF(ISNUMBER(C3482),YEAR(C3482),"")</f>
        <v/>
      </c>
      <c r="W3482" s="23" t="str">
        <f aca="false">IF(ISNUMBER(C3482),MONTH(C3482),"")</f>
        <v/>
      </c>
      <c r="X3482" s="23" t="str">
        <f aca="false">IF(T3482="","",IF(T3482=0,"No discount",IF(T3482&lt;=0.2,"Low (1-20%)",IF(T3482&lt;=0.4,"Medium (21-40%)","High (&gt;40%)"))))</f>
        <v/>
      </c>
      <c r="Y3482" s="23" t="str">
        <f aca="false">IF(AND(ISNUMBER(C3482),ISNUMBER(D3482)),D3482-C3482,"")</f>
        <v/>
      </c>
      <c r="Z3482" s="23" t="str">
        <f aca="false">IF(B3482="","",IF(MATCH(B3482,$B$2:$B$12000,0)=ROW()-1,1,0))</f>
        <v/>
      </c>
    </row>
    <row r="3483" customFormat="false" ht="15" hidden="false" customHeight="false" outlineLevel="0" collapsed="false">
      <c r="V3483" s="23" t="str">
        <f aca="false">IF(ISNUMBER(C3483),YEAR(C3483),"")</f>
        <v/>
      </c>
      <c r="W3483" s="23" t="str">
        <f aca="false">IF(ISNUMBER(C3483),MONTH(C3483),"")</f>
        <v/>
      </c>
      <c r="X3483" s="23" t="str">
        <f aca="false">IF(T3483="","",IF(T3483=0,"No discount",IF(T3483&lt;=0.2,"Low (1-20%)",IF(T3483&lt;=0.4,"Medium (21-40%)","High (&gt;40%)"))))</f>
        <v/>
      </c>
      <c r="Y3483" s="23" t="str">
        <f aca="false">IF(AND(ISNUMBER(C3483),ISNUMBER(D3483)),D3483-C3483,"")</f>
        <v/>
      </c>
      <c r="Z3483" s="23" t="str">
        <f aca="false">IF(B3483="","",IF(MATCH(B3483,$B$2:$B$12000,0)=ROW()-1,1,0))</f>
        <v/>
      </c>
    </row>
    <row r="3484" customFormat="false" ht="15" hidden="false" customHeight="false" outlineLevel="0" collapsed="false">
      <c r="V3484" s="23" t="str">
        <f aca="false">IF(ISNUMBER(C3484),YEAR(C3484),"")</f>
        <v/>
      </c>
      <c r="W3484" s="23" t="str">
        <f aca="false">IF(ISNUMBER(C3484),MONTH(C3484),"")</f>
        <v/>
      </c>
      <c r="X3484" s="23" t="str">
        <f aca="false">IF(T3484="","",IF(T3484=0,"No discount",IF(T3484&lt;=0.2,"Low (1-20%)",IF(T3484&lt;=0.4,"Medium (21-40%)","High (&gt;40%)"))))</f>
        <v/>
      </c>
      <c r="Y3484" s="23" t="str">
        <f aca="false">IF(AND(ISNUMBER(C3484),ISNUMBER(D3484)),D3484-C3484,"")</f>
        <v/>
      </c>
      <c r="Z3484" s="23" t="str">
        <f aca="false">IF(B3484="","",IF(MATCH(B3484,$B$2:$B$12000,0)=ROW()-1,1,0))</f>
        <v/>
      </c>
    </row>
    <row r="3485" customFormat="false" ht="15" hidden="false" customHeight="false" outlineLevel="0" collapsed="false">
      <c r="V3485" s="23" t="str">
        <f aca="false">IF(ISNUMBER(C3485),YEAR(C3485),"")</f>
        <v/>
      </c>
      <c r="W3485" s="23" t="str">
        <f aca="false">IF(ISNUMBER(C3485),MONTH(C3485),"")</f>
        <v/>
      </c>
      <c r="X3485" s="23" t="str">
        <f aca="false">IF(T3485="","",IF(T3485=0,"No discount",IF(T3485&lt;=0.2,"Low (1-20%)",IF(T3485&lt;=0.4,"Medium (21-40%)","High (&gt;40%)"))))</f>
        <v/>
      </c>
      <c r="Y3485" s="23" t="str">
        <f aca="false">IF(AND(ISNUMBER(C3485),ISNUMBER(D3485)),D3485-C3485,"")</f>
        <v/>
      </c>
      <c r="Z3485" s="23" t="str">
        <f aca="false">IF(B3485="","",IF(MATCH(B3485,$B$2:$B$12000,0)=ROW()-1,1,0))</f>
        <v/>
      </c>
    </row>
    <row r="3486" customFormat="false" ht="15" hidden="false" customHeight="false" outlineLevel="0" collapsed="false">
      <c r="V3486" s="23" t="str">
        <f aca="false">IF(ISNUMBER(C3486),YEAR(C3486),"")</f>
        <v/>
      </c>
      <c r="W3486" s="23" t="str">
        <f aca="false">IF(ISNUMBER(C3486),MONTH(C3486),"")</f>
        <v/>
      </c>
      <c r="X3486" s="23" t="str">
        <f aca="false">IF(T3486="","",IF(T3486=0,"No discount",IF(T3486&lt;=0.2,"Low (1-20%)",IF(T3486&lt;=0.4,"Medium (21-40%)","High (&gt;40%)"))))</f>
        <v/>
      </c>
      <c r="Y3486" s="23" t="str">
        <f aca="false">IF(AND(ISNUMBER(C3486),ISNUMBER(D3486)),D3486-C3486,"")</f>
        <v/>
      </c>
      <c r="Z3486" s="23" t="str">
        <f aca="false">IF(B3486="","",IF(MATCH(B3486,$B$2:$B$12000,0)=ROW()-1,1,0))</f>
        <v/>
      </c>
    </row>
    <row r="3487" customFormat="false" ht="15" hidden="false" customHeight="false" outlineLevel="0" collapsed="false">
      <c r="V3487" s="23" t="str">
        <f aca="false">IF(ISNUMBER(C3487),YEAR(C3487),"")</f>
        <v/>
      </c>
      <c r="W3487" s="23" t="str">
        <f aca="false">IF(ISNUMBER(C3487),MONTH(C3487),"")</f>
        <v/>
      </c>
      <c r="X3487" s="23" t="str">
        <f aca="false">IF(T3487="","",IF(T3487=0,"No discount",IF(T3487&lt;=0.2,"Low (1-20%)",IF(T3487&lt;=0.4,"Medium (21-40%)","High (&gt;40%)"))))</f>
        <v/>
      </c>
      <c r="Y3487" s="23" t="str">
        <f aca="false">IF(AND(ISNUMBER(C3487),ISNUMBER(D3487)),D3487-C3487,"")</f>
        <v/>
      </c>
      <c r="Z3487" s="23" t="str">
        <f aca="false">IF(B3487="","",IF(MATCH(B3487,$B$2:$B$12000,0)=ROW()-1,1,0))</f>
        <v/>
      </c>
    </row>
    <row r="3488" customFormat="false" ht="15" hidden="false" customHeight="false" outlineLevel="0" collapsed="false">
      <c r="V3488" s="23" t="str">
        <f aca="false">IF(ISNUMBER(C3488),YEAR(C3488),"")</f>
        <v/>
      </c>
      <c r="W3488" s="23" t="str">
        <f aca="false">IF(ISNUMBER(C3488),MONTH(C3488),"")</f>
        <v/>
      </c>
      <c r="X3488" s="23" t="str">
        <f aca="false">IF(T3488="","",IF(T3488=0,"No discount",IF(T3488&lt;=0.2,"Low (1-20%)",IF(T3488&lt;=0.4,"Medium (21-40%)","High (&gt;40%)"))))</f>
        <v/>
      </c>
      <c r="Y3488" s="23" t="str">
        <f aca="false">IF(AND(ISNUMBER(C3488),ISNUMBER(D3488)),D3488-C3488,"")</f>
        <v/>
      </c>
      <c r="Z3488" s="23" t="str">
        <f aca="false">IF(B3488="","",IF(MATCH(B3488,$B$2:$B$12000,0)=ROW()-1,1,0))</f>
        <v/>
      </c>
    </row>
    <row r="3489" customFormat="false" ht="15" hidden="false" customHeight="false" outlineLevel="0" collapsed="false">
      <c r="V3489" s="23" t="str">
        <f aca="false">IF(ISNUMBER(C3489),YEAR(C3489),"")</f>
        <v/>
      </c>
      <c r="W3489" s="23" t="str">
        <f aca="false">IF(ISNUMBER(C3489),MONTH(C3489),"")</f>
        <v/>
      </c>
      <c r="X3489" s="23" t="str">
        <f aca="false">IF(T3489="","",IF(T3489=0,"No discount",IF(T3489&lt;=0.2,"Low (1-20%)",IF(T3489&lt;=0.4,"Medium (21-40%)","High (&gt;40%)"))))</f>
        <v/>
      </c>
      <c r="Y3489" s="23" t="str">
        <f aca="false">IF(AND(ISNUMBER(C3489),ISNUMBER(D3489)),D3489-C3489,"")</f>
        <v/>
      </c>
      <c r="Z3489" s="23" t="str">
        <f aca="false">IF(B3489="","",IF(MATCH(B3489,$B$2:$B$12000,0)=ROW()-1,1,0))</f>
        <v/>
      </c>
    </row>
    <row r="3490" customFormat="false" ht="15" hidden="false" customHeight="false" outlineLevel="0" collapsed="false">
      <c r="V3490" s="23" t="str">
        <f aca="false">IF(ISNUMBER(C3490),YEAR(C3490),"")</f>
        <v/>
      </c>
      <c r="W3490" s="23" t="str">
        <f aca="false">IF(ISNUMBER(C3490),MONTH(C3490),"")</f>
        <v/>
      </c>
      <c r="X3490" s="23" t="str">
        <f aca="false">IF(T3490="","",IF(T3490=0,"No discount",IF(T3490&lt;=0.2,"Low (1-20%)",IF(T3490&lt;=0.4,"Medium (21-40%)","High (&gt;40%)"))))</f>
        <v/>
      </c>
      <c r="Y3490" s="23" t="str">
        <f aca="false">IF(AND(ISNUMBER(C3490),ISNUMBER(D3490)),D3490-C3490,"")</f>
        <v/>
      </c>
      <c r="Z3490" s="23" t="str">
        <f aca="false">IF(B3490="","",IF(MATCH(B3490,$B$2:$B$12000,0)=ROW()-1,1,0))</f>
        <v/>
      </c>
    </row>
    <row r="3491" customFormat="false" ht="15" hidden="false" customHeight="false" outlineLevel="0" collapsed="false">
      <c r="V3491" s="23" t="str">
        <f aca="false">IF(ISNUMBER(C3491),YEAR(C3491),"")</f>
        <v/>
      </c>
      <c r="W3491" s="23" t="str">
        <f aca="false">IF(ISNUMBER(C3491),MONTH(C3491),"")</f>
        <v/>
      </c>
      <c r="X3491" s="23" t="str">
        <f aca="false">IF(T3491="","",IF(T3491=0,"No discount",IF(T3491&lt;=0.2,"Low (1-20%)",IF(T3491&lt;=0.4,"Medium (21-40%)","High (&gt;40%)"))))</f>
        <v/>
      </c>
      <c r="Y3491" s="23" t="str">
        <f aca="false">IF(AND(ISNUMBER(C3491),ISNUMBER(D3491)),D3491-C3491,"")</f>
        <v/>
      </c>
      <c r="Z3491" s="23" t="str">
        <f aca="false">IF(B3491="","",IF(MATCH(B3491,$B$2:$B$12000,0)=ROW()-1,1,0))</f>
        <v/>
      </c>
    </row>
    <row r="3492" customFormat="false" ht="15" hidden="false" customHeight="false" outlineLevel="0" collapsed="false">
      <c r="V3492" s="23" t="str">
        <f aca="false">IF(ISNUMBER(C3492),YEAR(C3492),"")</f>
        <v/>
      </c>
      <c r="W3492" s="23" t="str">
        <f aca="false">IF(ISNUMBER(C3492),MONTH(C3492),"")</f>
        <v/>
      </c>
      <c r="X3492" s="23" t="str">
        <f aca="false">IF(T3492="","",IF(T3492=0,"No discount",IF(T3492&lt;=0.2,"Low (1-20%)",IF(T3492&lt;=0.4,"Medium (21-40%)","High (&gt;40%)"))))</f>
        <v/>
      </c>
      <c r="Y3492" s="23" t="str">
        <f aca="false">IF(AND(ISNUMBER(C3492),ISNUMBER(D3492)),D3492-C3492,"")</f>
        <v/>
      </c>
      <c r="Z3492" s="23" t="str">
        <f aca="false">IF(B3492="","",IF(MATCH(B3492,$B$2:$B$12000,0)=ROW()-1,1,0))</f>
        <v/>
      </c>
    </row>
    <row r="3493" customFormat="false" ht="15" hidden="false" customHeight="false" outlineLevel="0" collapsed="false">
      <c r="V3493" s="23" t="str">
        <f aca="false">IF(ISNUMBER(C3493),YEAR(C3493),"")</f>
        <v/>
      </c>
      <c r="W3493" s="23" t="str">
        <f aca="false">IF(ISNUMBER(C3493),MONTH(C3493),"")</f>
        <v/>
      </c>
      <c r="X3493" s="23" t="str">
        <f aca="false">IF(T3493="","",IF(T3493=0,"No discount",IF(T3493&lt;=0.2,"Low (1-20%)",IF(T3493&lt;=0.4,"Medium (21-40%)","High (&gt;40%)"))))</f>
        <v/>
      </c>
      <c r="Y3493" s="23" t="str">
        <f aca="false">IF(AND(ISNUMBER(C3493),ISNUMBER(D3493)),D3493-C3493,"")</f>
        <v/>
      </c>
      <c r="Z3493" s="23" t="str">
        <f aca="false">IF(B3493="","",IF(MATCH(B3493,$B$2:$B$12000,0)=ROW()-1,1,0))</f>
        <v/>
      </c>
    </row>
    <row r="3494" customFormat="false" ht="15" hidden="false" customHeight="false" outlineLevel="0" collapsed="false">
      <c r="V3494" s="23" t="str">
        <f aca="false">IF(ISNUMBER(C3494),YEAR(C3494),"")</f>
        <v/>
      </c>
      <c r="W3494" s="23" t="str">
        <f aca="false">IF(ISNUMBER(C3494),MONTH(C3494),"")</f>
        <v/>
      </c>
      <c r="X3494" s="23" t="str">
        <f aca="false">IF(T3494="","",IF(T3494=0,"No discount",IF(T3494&lt;=0.2,"Low (1-20%)",IF(T3494&lt;=0.4,"Medium (21-40%)","High (&gt;40%)"))))</f>
        <v/>
      </c>
      <c r="Y3494" s="23" t="str">
        <f aca="false">IF(AND(ISNUMBER(C3494),ISNUMBER(D3494)),D3494-C3494,"")</f>
        <v/>
      </c>
      <c r="Z3494" s="23" t="str">
        <f aca="false">IF(B3494="","",IF(MATCH(B3494,$B$2:$B$12000,0)=ROW()-1,1,0))</f>
        <v/>
      </c>
    </row>
    <row r="3495" customFormat="false" ht="15" hidden="false" customHeight="false" outlineLevel="0" collapsed="false">
      <c r="V3495" s="23" t="str">
        <f aca="false">IF(ISNUMBER(C3495),YEAR(C3495),"")</f>
        <v/>
      </c>
      <c r="W3495" s="23" t="str">
        <f aca="false">IF(ISNUMBER(C3495),MONTH(C3495),"")</f>
        <v/>
      </c>
      <c r="X3495" s="23" t="str">
        <f aca="false">IF(T3495="","",IF(T3495=0,"No discount",IF(T3495&lt;=0.2,"Low (1-20%)",IF(T3495&lt;=0.4,"Medium (21-40%)","High (&gt;40%)"))))</f>
        <v/>
      </c>
      <c r="Y3495" s="23" t="str">
        <f aca="false">IF(AND(ISNUMBER(C3495),ISNUMBER(D3495)),D3495-C3495,"")</f>
        <v/>
      </c>
      <c r="Z3495" s="23" t="str">
        <f aca="false">IF(B3495="","",IF(MATCH(B3495,$B$2:$B$12000,0)=ROW()-1,1,0))</f>
        <v/>
      </c>
    </row>
    <row r="3496" customFormat="false" ht="15" hidden="false" customHeight="false" outlineLevel="0" collapsed="false">
      <c r="V3496" s="23" t="str">
        <f aca="false">IF(ISNUMBER(C3496),YEAR(C3496),"")</f>
        <v/>
      </c>
      <c r="W3496" s="23" t="str">
        <f aca="false">IF(ISNUMBER(C3496),MONTH(C3496),"")</f>
        <v/>
      </c>
      <c r="X3496" s="23" t="str">
        <f aca="false">IF(T3496="","",IF(T3496=0,"No discount",IF(T3496&lt;=0.2,"Low (1-20%)",IF(T3496&lt;=0.4,"Medium (21-40%)","High (&gt;40%)"))))</f>
        <v/>
      </c>
      <c r="Y3496" s="23" t="str">
        <f aca="false">IF(AND(ISNUMBER(C3496),ISNUMBER(D3496)),D3496-C3496,"")</f>
        <v/>
      </c>
      <c r="Z3496" s="23" t="str">
        <f aca="false">IF(B3496="","",IF(MATCH(B3496,$B$2:$B$12000,0)=ROW()-1,1,0))</f>
        <v/>
      </c>
    </row>
    <row r="3497" customFormat="false" ht="15" hidden="false" customHeight="false" outlineLevel="0" collapsed="false">
      <c r="V3497" s="23" t="str">
        <f aca="false">IF(ISNUMBER(C3497),YEAR(C3497),"")</f>
        <v/>
      </c>
      <c r="W3497" s="23" t="str">
        <f aca="false">IF(ISNUMBER(C3497),MONTH(C3497),"")</f>
        <v/>
      </c>
      <c r="X3497" s="23" t="str">
        <f aca="false">IF(T3497="","",IF(T3497=0,"No discount",IF(T3497&lt;=0.2,"Low (1-20%)",IF(T3497&lt;=0.4,"Medium (21-40%)","High (&gt;40%)"))))</f>
        <v/>
      </c>
      <c r="Y3497" s="23" t="str">
        <f aca="false">IF(AND(ISNUMBER(C3497),ISNUMBER(D3497)),D3497-C3497,"")</f>
        <v/>
      </c>
      <c r="Z3497" s="23" t="str">
        <f aca="false">IF(B3497="","",IF(MATCH(B3497,$B$2:$B$12000,0)=ROW()-1,1,0))</f>
        <v/>
      </c>
    </row>
    <row r="3498" customFormat="false" ht="15" hidden="false" customHeight="false" outlineLevel="0" collapsed="false">
      <c r="V3498" s="23" t="str">
        <f aca="false">IF(ISNUMBER(C3498),YEAR(C3498),"")</f>
        <v/>
      </c>
      <c r="W3498" s="23" t="str">
        <f aca="false">IF(ISNUMBER(C3498),MONTH(C3498),"")</f>
        <v/>
      </c>
      <c r="X3498" s="23" t="str">
        <f aca="false">IF(T3498="","",IF(T3498=0,"No discount",IF(T3498&lt;=0.2,"Low (1-20%)",IF(T3498&lt;=0.4,"Medium (21-40%)","High (&gt;40%)"))))</f>
        <v/>
      </c>
      <c r="Y3498" s="23" t="str">
        <f aca="false">IF(AND(ISNUMBER(C3498),ISNUMBER(D3498)),D3498-C3498,"")</f>
        <v/>
      </c>
      <c r="Z3498" s="23" t="str">
        <f aca="false">IF(B3498="","",IF(MATCH(B3498,$B$2:$B$12000,0)=ROW()-1,1,0))</f>
        <v/>
      </c>
    </row>
    <row r="3499" customFormat="false" ht="15" hidden="false" customHeight="false" outlineLevel="0" collapsed="false">
      <c r="V3499" s="23" t="str">
        <f aca="false">IF(ISNUMBER(C3499),YEAR(C3499),"")</f>
        <v/>
      </c>
      <c r="W3499" s="23" t="str">
        <f aca="false">IF(ISNUMBER(C3499),MONTH(C3499),"")</f>
        <v/>
      </c>
      <c r="X3499" s="23" t="str">
        <f aca="false">IF(T3499="","",IF(T3499=0,"No discount",IF(T3499&lt;=0.2,"Low (1-20%)",IF(T3499&lt;=0.4,"Medium (21-40%)","High (&gt;40%)"))))</f>
        <v/>
      </c>
      <c r="Y3499" s="23" t="str">
        <f aca="false">IF(AND(ISNUMBER(C3499),ISNUMBER(D3499)),D3499-C3499,"")</f>
        <v/>
      </c>
      <c r="Z3499" s="23" t="str">
        <f aca="false">IF(B3499="","",IF(MATCH(B3499,$B$2:$B$12000,0)=ROW()-1,1,0))</f>
        <v/>
      </c>
    </row>
    <row r="3500" customFormat="false" ht="15" hidden="false" customHeight="false" outlineLevel="0" collapsed="false">
      <c r="V3500" s="23" t="str">
        <f aca="false">IF(ISNUMBER(C3500),YEAR(C3500),"")</f>
        <v/>
      </c>
      <c r="W3500" s="23" t="str">
        <f aca="false">IF(ISNUMBER(C3500),MONTH(C3500),"")</f>
        <v/>
      </c>
      <c r="X3500" s="23" t="str">
        <f aca="false">IF(T3500="","",IF(T3500=0,"No discount",IF(T3500&lt;=0.2,"Low (1-20%)",IF(T3500&lt;=0.4,"Medium (21-40%)","High (&gt;40%)"))))</f>
        <v/>
      </c>
      <c r="Y3500" s="23" t="str">
        <f aca="false">IF(AND(ISNUMBER(C3500),ISNUMBER(D3500)),D3500-C3500,"")</f>
        <v/>
      </c>
      <c r="Z3500" s="23" t="str">
        <f aca="false">IF(B3500="","",IF(MATCH(B3500,$B$2:$B$12000,0)=ROW()-1,1,0))</f>
        <v/>
      </c>
    </row>
    <row r="3501" customFormat="false" ht="15" hidden="false" customHeight="false" outlineLevel="0" collapsed="false">
      <c r="V3501" s="23" t="str">
        <f aca="false">IF(ISNUMBER(C3501),YEAR(C3501),"")</f>
        <v/>
      </c>
      <c r="W3501" s="23" t="str">
        <f aca="false">IF(ISNUMBER(C3501),MONTH(C3501),"")</f>
        <v/>
      </c>
      <c r="X3501" s="23" t="str">
        <f aca="false">IF(T3501="","",IF(T3501=0,"No discount",IF(T3501&lt;=0.2,"Low (1-20%)",IF(T3501&lt;=0.4,"Medium (21-40%)","High (&gt;40%)"))))</f>
        <v/>
      </c>
      <c r="Y3501" s="23" t="str">
        <f aca="false">IF(AND(ISNUMBER(C3501),ISNUMBER(D3501)),D3501-C3501,"")</f>
        <v/>
      </c>
      <c r="Z3501" s="23" t="str">
        <f aca="false">IF(B3501="","",IF(MATCH(B3501,$B$2:$B$12000,0)=ROW()-1,1,0))</f>
        <v/>
      </c>
    </row>
    <row r="3502" customFormat="false" ht="15" hidden="false" customHeight="false" outlineLevel="0" collapsed="false">
      <c r="V3502" s="23" t="str">
        <f aca="false">IF(ISNUMBER(C3502),YEAR(C3502),"")</f>
        <v/>
      </c>
      <c r="W3502" s="23" t="str">
        <f aca="false">IF(ISNUMBER(C3502),MONTH(C3502),"")</f>
        <v/>
      </c>
      <c r="X3502" s="23" t="str">
        <f aca="false">IF(T3502="","",IF(T3502=0,"No discount",IF(T3502&lt;=0.2,"Low (1-20%)",IF(T3502&lt;=0.4,"Medium (21-40%)","High (&gt;40%)"))))</f>
        <v/>
      </c>
      <c r="Y3502" s="23" t="str">
        <f aca="false">IF(AND(ISNUMBER(C3502),ISNUMBER(D3502)),D3502-C3502,"")</f>
        <v/>
      </c>
      <c r="Z3502" s="23" t="str">
        <f aca="false">IF(B3502="","",IF(MATCH(B3502,$B$2:$B$12000,0)=ROW()-1,1,0))</f>
        <v/>
      </c>
    </row>
    <row r="3503" customFormat="false" ht="15" hidden="false" customHeight="false" outlineLevel="0" collapsed="false">
      <c r="V3503" s="23" t="str">
        <f aca="false">IF(ISNUMBER(C3503),YEAR(C3503),"")</f>
        <v/>
      </c>
      <c r="W3503" s="23" t="str">
        <f aca="false">IF(ISNUMBER(C3503),MONTH(C3503),"")</f>
        <v/>
      </c>
      <c r="X3503" s="23" t="str">
        <f aca="false">IF(T3503="","",IF(T3503=0,"No discount",IF(T3503&lt;=0.2,"Low (1-20%)",IF(T3503&lt;=0.4,"Medium (21-40%)","High (&gt;40%)"))))</f>
        <v/>
      </c>
      <c r="Y3503" s="23" t="str">
        <f aca="false">IF(AND(ISNUMBER(C3503),ISNUMBER(D3503)),D3503-C3503,"")</f>
        <v/>
      </c>
      <c r="Z3503" s="23" t="str">
        <f aca="false">IF(B3503="","",IF(MATCH(B3503,$B$2:$B$12000,0)=ROW()-1,1,0))</f>
        <v/>
      </c>
    </row>
    <row r="3504" customFormat="false" ht="15" hidden="false" customHeight="false" outlineLevel="0" collapsed="false">
      <c r="V3504" s="23" t="str">
        <f aca="false">IF(ISNUMBER(C3504),YEAR(C3504),"")</f>
        <v/>
      </c>
      <c r="W3504" s="23" t="str">
        <f aca="false">IF(ISNUMBER(C3504),MONTH(C3504),"")</f>
        <v/>
      </c>
      <c r="X3504" s="23" t="str">
        <f aca="false">IF(T3504="","",IF(T3504=0,"No discount",IF(T3504&lt;=0.2,"Low (1-20%)",IF(T3504&lt;=0.4,"Medium (21-40%)","High (&gt;40%)"))))</f>
        <v/>
      </c>
      <c r="Y3504" s="23" t="str">
        <f aca="false">IF(AND(ISNUMBER(C3504),ISNUMBER(D3504)),D3504-C3504,"")</f>
        <v/>
      </c>
      <c r="Z3504" s="23" t="str">
        <f aca="false">IF(B3504="","",IF(MATCH(B3504,$B$2:$B$12000,0)=ROW()-1,1,0))</f>
        <v/>
      </c>
    </row>
    <row r="3505" customFormat="false" ht="15" hidden="false" customHeight="false" outlineLevel="0" collapsed="false">
      <c r="V3505" s="23" t="str">
        <f aca="false">IF(ISNUMBER(C3505),YEAR(C3505),"")</f>
        <v/>
      </c>
      <c r="W3505" s="23" t="str">
        <f aca="false">IF(ISNUMBER(C3505),MONTH(C3505),"")</f>
        <v/>
      </c>
      <c r="X3505" s="23" t="str">
        <f aca="false">IF(T3505="","",IF(T3505=0,"No discount",IF(T3505&lt;=0.2,"Low (1-20%)",IF(T3505&lt;=0.4,"Medium (21-40%)","High (&gt;40%)"))))</f>
        <v/>
      </c>
      <c r="Y3505" s="23" t="str">
        <f aca="false">IF(AND(ISNUMBER(C3505),ISNUMBER(D3505)),D3505-C3505,"")</f>
        <v/>
      </c>
      <c r="Z3505" s="23" t="str">
        <f aca="false">IF(B3505="","",IF(MATCH(B3505,$B$2:$B$12000,0)=ROW()-1,1,0))</f>
        <v/>
      </c>
    </row>
    <row r="3506" customFormat="false" ht="15" hidden="false" customHeight="false" outlineLevel="0" collapsed="false">
      <c r="V3506" s="23" t="str">
        <f aca="false">IF(ISNUMBER(C3506),YEAR(C3506),"")</f>
        <v/>
      </c>
      <c r="W3506" s="23" t="str">
        <f aca="false">IF(ISNUMBER(C3506),MONTH(C3506),"")</f>
        <v/>
      </c>
      <c r="X3506" s="23" t="str">
        <f aca="false">IF(T3506="","",IF(T3506=0,"No discount",IF(T3506&lt;=0.2,"Low (1-20%)",IF(T3506&lt;=0.4,"Medium (21-40%)","High (&gt;40%)"))))</f>
        <v/>
      </c>
      <c r="Y3506" s="23" t="str">
        <f aca="false">IF(AND(ISNUMBER(C3506),ISNUMBER(D3506)),D3506-C3506,"")</f>
        <v/>
      </c>
      <c r="Z3506" s="23" t="str">
        <f aca="false">IF(B3506="","",IF(MATCH(B3506,$B$2:$B$12000,0)=ROW()-1,1,0))</f>
        <v/>
      </c>
    </row>
    <row r="3507" customFormat="false" ht="15" hidden="false" customHeight="false" outlineLevel="0" collapsed="false">
      <c r="V3507" s="23" t="str">
        <f aca="false">IF(ISNUMBER(C3507),YEAR(C3507),"")</f>
        <v/>
      </c>
      <c r="W3507" s="23" t="str">
        <f aca="false">IF(ISNUMBER(C3507),MONTH(C3507),"")</f>
        <v/>
      </c>
      <c r="X3507" s="23" t="str">
        <f aca="false">IF(T3507="","",IF(T3507=0,"No discount",IF(T3507&lt;=0.2,"Low (1-20%)",IF(T3507&lt;=0.4,"Medium (21-40%)","High (&gt;40%)"))))</f>
        <v/>
      </c>
      <c r="Y3507" s="23" t="str">
        <f aca="false">IF(AND(ISNUMBER(C3507),ISNUMBER(D3507)),D3507-C3507,"")</f>
        <v/>
      </c>
      <c r="Z3507" s="23" t="str">
        <f aca="false">IF(B3507="","",IF(MATCH(B3507,$B$2:$B$12000,0)=ROW()-1,1,0))</f>
        <v/>
      </c>
    </row>
    <row r="3508" customFormat="false" ht="15" hidden="false" customHeight="false" outlineLevel="0" collapsed="false">
      <c r="V3508" s="23" t="str">
        <f aca="false">IF(ISNUMBER(C3508),YEAR(C3508),"")</f>
        <v/>
      </c>
      <c r="W3508" s="23" t="str">
        <f aca="false">IF(ISNUMBER(C3508),MONTH(C3508),"")</f>
        <v/>
      </c>
      <c r="X3508" s="23" t="str">
        <f aca="false">IF(T3508="","",IF(T3508=0,"No discount",IF(T3508&lt;=0.2,"Low (1-20%)",IF(T3508&lt;=0.4,"Medium (21-40%)","High (&gt;40%)"))))</f>
        <v/>
      </c>
      <c r="Y3508" s="23" t="str">
        <f aca="false">IF(AND(ISNUMBER(C3508),ISNUMBER(D3508)),D3508-C3508,"")</f>
        <v/>
      </c>
      <c r="Z3508" s="23" t="str">
        <f aca="false">IF(B3508="","",IF(MATCH(B3508,$B$2:$B$12000,0)=ROW()-1,1,0))</f>
        <v/>
      </c>
    </row>
    <row r="3509" customFormat="false" ht="15" hidden="false" customHeight="false" outlineLevel="0" collapsed="false">
      <c r="V3509" s="23" t="str">
        <f aca="false">IF(ISNUMBER(C3509),YEAR(C3509),"")</f>
        <v/>
      </c>
      <c r="W3509" s="23" t="str">
        <f aca="false">IF(ISNUMBER(C3509),MONTH(C3509),"")</f>
        <v/>
      </c>
      <c r="X3509" s="23" t="str">
        <f aca="false">IF(T3509="","",IF(T3509=0,"No discount",IF(T3509&lt;=0.2,"Low (1-20%)",IF(T3509&lt;=0.4,"Medium (21-40%)","High (&gt;40%)"))))</f>
        <v/>
      </c>
      <c r="Y3509" s="23" t="str">
        <f aca="false">IF(AND(ISNUMBER(C3509),ISNUMBER(D3509)),D3509-C3509,"")</f>
        <v/>
      </c>
      <c r="Z3509" s="23" t="str">
        <f aca="false">IF(B3509="","",IF(MATCH(B3509,$B$2:$B$12000,0)=ROW()-1,1,0))</f>
        <v/>
      </c>
    </row>
    <row r="3510" customFormat="false" ht="15" hidden="false" customHeight="false" outlineLevel="0" collapsed="false">
      <c r="V3510" s="23" t="str">
        <f aca="false">IF(ISNUMBER(C3510),YEAR(C3510),"")</f>
        <v/>
      </c>
      <c r="W3510" s="23" t="str">
        <f aca="false">IF(ISNUMBER(C3510),MONTH(C3510),"")</f>
        <v/>
      </c>
      <c r="X3510" s="23" t="str">
        <f aca="false">IF(T3510="","",IF(T3510=0,"No discount",IF(T3510&lt;=0.2,"Low (1-20%)",IF(T3510&lt;=0.4,"Medium (21-40%)","High (&gt;40%)"))))</f>
        <v/>
      </c>
      <c r="Y3510" s="23" t="str">
        <f aca="false">IF(AND(ISNUMBER(C3510),ISNUMBER(D3510)),D3510-C3510,"")</f>
        <v/>
      </c>
      <c r="Z3510" s="23" t="str">
        <f aca="false">IF(B3510="","",IF(MATCH(B3510,$B$2:$B$12000,0)=ROW()-1,1,0))</f>
        <v/>
      </c>
    </row>
    <row r="3511" customFormat="false" ht="15" hidden="false" customHeight="false" outlineLevel="0" collapsed="false">
      <c r="V3511" s="23" t="str">
        <f aca="false">IF(ISNUMBER(C3511),YEAR(C3511),"")</f>
        <v/>
      </c>
      <c r="W3511" s="23" t="str">
        <f aca="false">IF(ISNUMBER(C3511),MONTH(C3511),"")</f>
        <v/>
      </c>
      <c r="X3511" s="23" t="str">
        <f aca="false">IF(T3511="","",IF(T3511=0,"No discount",IF(T3511&lt;=0.2,"Low (1-20%)",IF(T3511&lt;=0.4,"Medium (21-40%)","High (&gt;40%)"))))</f>
        <v/>
      </c>
      <c r="Y3511" s="23" t="str">
        <f aca="false">IF(AND(ISNUMBER(C3511),ISNUMBER(D3511)),D3511-C3511,"")</f>
        <v/>
      </c>
      <c r="Z3511" s="23" t="str">
        <f aca="false">IF(B3511="","",IF(MATCH(B3511,$B$2:$B$12000,0)=ROW()-1,1,0))</f>
        <v/>
      </c>
    </row>
    <row r="3512" customFormat="false" ht="15" hidden="false" customHeight="false" outlineLevel="0" collapsed="false">
      <c r="V3512" s="23" t="str">
        <f aca="false">IF(ISNUMBER(C3512),YEAR(C3512),"")</f>
        <v/>
      </c>
      <c r="W3512" s="23" t="str">
        <f aca="false">IF(ISNUMBER(C3512),MONTH(C3512),"")</f>
        <v/>
      </c>
      <c r="X3512" s="23" t="str">
        <f aca="false">IF(T3512="","",IF(T3512=0,"No discount",IF(T3512&lt;=0.2,"Low (1-20%)",IF(T3512&lt;=0.4,"Medium (21-40%)","High (&gt;40%)"))))</f>
        <v/>
      </c>
      <c r="Y3512" s="23" t="str">
        <f aca="false">IF(AND(ISNUMBER(C3512),ISNUMBER(D3512)),D3512-C3512,"")</f>
        <v/>
      </c>
      <c r="Z3512" s="23" t="str">
        <f aca="false">IF(B3512="","",IF(MATCH(B3512,$B$2:$B$12000,0)=ROW()-1,1,0))</f>
        <v/>
      </c>
    </row>
    <row r="3513" customFormat="false" ht="15" hidden="false" customHeight="false" outlineLevel="0" collapsed="false">
      <c r="V3513" s="23" t="str">
        <f aca="false">IF(ISNUMBER(C3513),YEAR(C3513),"")</f>
        <v/>
      </c>
      <c r="W3513" s="23" t="str">
        <f aca="false">IF(ISNUMBER(C3513),MONTH(C3513),"")</f>
        <v/>
      </c>
      <c r="X3513" s="23" t="str">
        <f aca="false">IF(T3513="","",IF(T3513=0,"No discount",IF(T3513&lt;=0.2,"Low (1-20%)",IF(T3513&lt;=0.4,"Medium (21-40%)","High (&gt;40%)"))))</f>
        <v/>
      </c>
      <c r="Y3513" s="23" t="str">
        <f aca="false">IF(AND(ISNUMBER(C3513),ISNUMBER(D3513)),D3513-C3513,"")</f>
        <v/>
      </c>
      <c r="Z3513" s="23" t="str">
        <f aca="false">IF(B3513="","",IF(MATCH(B3513,$B$2:$B$12000,0)=ROW()-1,1,0))</f>
        <v/>
      </c>
    </row>
    <row r="3514" customFormat="false" ht="15" hidden="false" customHeight="false" outlineLevel="0" collapsed="false">
      <c r="V3514" s="23" t="str">
        <f aca="false">IF(ISNUMBER(C3514),YEAR(C3514),"")</f>
        <v/>
      </c>
      <c r="W3514" s="23" t="str">
        <f aca="false">IF(ISNUMBER(C3514),MONTH(C3514),"")</f>
        <v/>
      </c>
      <c r="X3514" s="23" t="str">
        <f aca="false">IF(T3514="","",IF(T3514=0,"No discount",IF(T3514&lt;=0.2,"Low (1-20%)",IF(T3514&lt;=0.4,"Medium (21-40%)","High (&gt;40%)"))))</f>
        <v/>
      </c>
      <c r="Y3514" s="23" t="str">
        <f aca="false">IF(AND(ISNUMBER(C3514),ISNUMBER(D3514)),D3514-C3514,"")</f>
        <v/>
      </c>
      <c r="Z3514" s="23" t="str">
        <f aca="false">IF(B3514="","",IF(MATCH(B3514,$B$2:$B$12000,0)=ROW()-1,1,0))</f>
        <v/>
      </c>
    </row>
    <row r="3515" customFormat="false" ht="15" hidden="false" customHeight="false" outlineLevel="0" collapsed="false">
      <c r="V3515" s="23" t="str">
        <f aca="false">IF(ISNUMBER(C3515),YEAR(C3515),"")</f>
        <v/>
      </c>
      <c r="W3515" s="23" t="str">
        <f aca="false">IF(ISNUMBER(C3515),MONTH(C3515),"")</f>
        <v/>
      </c>
      <c r="X3515" s="23" t="str">
        <f aca="false">IF(T3515="","",IF(T3515=0,"No discount",IF(T3515&lt;=0.2,"Low (1-20%)",IF(T3515&lt;=0.4,"Medium (21-40%)","High (&gt;40%)"))))</f>
        <v/>
      </c>
      <c r="Y3515" s="23" t="str">
        <f aca="false">IF(AND(ISNUMBER(C3515),ISNUMBER(D3515)),D3515-C3515,"")</f>
        <v/>
      </c>
      <c r="Z3515" s="23" t="str">
        <f aca="false">IF(B3515="","",IF(MATCH(B3515,$B$2:$B$12000,0)=ROW()-1,1,0))</f>
        <v/>
      </c>
    </row>
    <row r="3516" customFormat="false" ht="15" hidden="false" customHeight="false" outlineLevel="0" collapsed="false">
      <c r="V3516" s="23" t="str">
        <f aca="false">IF(ISNUMBER(C3516),YEAR(C3516),"")</f>
        <v/>
      </c>
      <c r="W3516" s="23" t="str">
        <f aca="false">IF(ISNUMBER(C3516),MONTH(C3516),"")</f>
        <v/>
      </c>
      <c r="X3516" s="23" t="str">
        <f aca="false">IF(T3516="","",IF(T3516=0,"No discount",IF(T3516&lt;=0.2,"Low (1-20%)",IF(T3516&lt;=0.4,"Medium (21-40%)","High (&gt;40%)"))))</f>
        <v/>
      </c>
      <c r="Y3516" s="23" t="str">
        <f aca="false">IF(AND(ISNUMBER(C3516),ISNUMBER(D3516)),D3516-C3516,"")</f>
        <v/>
      </c>
      <c r="Z3516" s="23" t="str">
        <f aca="false">IF(B3516="","",IF(MATCH(B3516,$B$2:$B$12000,0)=ROW()-1,1,0))</f>
        <v/>
      </c>
    </row>
    <row r="3517" customFormat="false" ht="15" hidden="false" customHeight="false" outlineLevel="0" collapsed="false">
      <c r="V3517" s="23" t="str">
        <f aca="false">IF(ISNUMBER(C3517),YEAR(C3517),"")</f>
        <v/>
      </c>
      <c r="W3517" s="23" t="str">
        <f aca="false">IF(ISNUMBER(C3517),MONTH(C3517),"")</f>
        <v/>
      </c>
      <c r="X3517" s="23" t="str">
        <f aca="false">IF(T3517="","",IF(T3517=0,"No discount",IF(T3517&lt;=0.2,"Low (1-20%)",IF(T3517&lt;=0.4,"Medium (21-40%)","High (&gt;40%)"))))</f>
        <v/>
      </c>
      <c r="Y3517" s="23" t="str">
        <f aca="false">IF(AND(ISNUMBER(C3517),ISNUMBER(D3517)),D3517-C3517,"")</f>
        <v/>
      </c>
      <c r="Z3517" s="23" t="str">
        <f aca="false">IF(B3517="","",IF(MATCH(B3517,$B$2:$B$12000,0)=ROW()-1,1,0))</f>
        <v/>
      </c>
    </row>
    <row r="3518" customFormat="false" ht="15" hidden="false" customHeight="false" outlineLevel="0" collapsed="false">
      <c r="V3518" s="23" t="str">
        <f aca="false">IF(ISNUMBER(C3518),YEAR(C3518),"")</f>
        <v/>
      </c>
      <c r="W3518" s="23" t="str">
        <f aca="false">IF(ISNUMBER(C3518),MONTH(C3518),"")</f>
        <v/>
      </c>
      <c r="X3518" s="23" t="str">
        <f aca="false">IF(T3518="","",IF(T3518=0,"No discount",IF(T3518&lt;=0.2,"Low (1-20%)",IF(T3518&lt;=0.4,"Medium (21-40%)","High (&gt;40%)"))))</f>
        <v/>
      </c>
      <c r="Y3518" s="23" t="str">
        <f aca="false">IF(AND(ISNUMBER(C3518),ISNUMBER(D3518)),D3518-C3518,"")</f>
        <v/>
      </c>
      <c r="Z3518" s="23" t="str">
        <f aca="false">IF(B3518="","",IF(MATCH(B3518,$B$2:$B$12000,0)=ROW()-1,1,0))</f>
        <v/>
      </c>
    </row>
    <row r="3519" customFormat="false" ht="15" hidden="false" customHeight="false" outlineLevel="0" collapsed="false">
      <c r="V3519" s="23" t="str">
        <f aca="false">IF(ISNUMBER(C3519),YEAR(C3519),"")</f>
        <v/>
      </c>
      <c r="W3519" s="23" t="str">
        <f aca="false">IF(ISNUMBER(C3519),MONTH(C3519),"")</f>
        <v/>
      </c>
      <c r="X3519" s="23" t="str">
        <f aca="false">IF(T3519="","",IF(T3519=0,"No discount",IF(T3519&lt;=0.2,"Low (1-20%)",IF(T3519&lt;=0.4,"Medium (21-40%)","High (&gt;40%)"))))</f>
        <v/>
      </c>
      <c r="Y3519" s="23" t="str">
        <f aca="false">IF(AND(ISNUMBER(C3519),ISNUMBER(D3519)),D3519-C3519,"")</f>
        <v/>
      </c>
      <c r="Z3519" s="23" t="str">
        <f aca="false">IF(B3519="","",IF(MATCH(B3519,$B$2:$B$12000,0)=ROW()-1,1,0))</f>
        <v/>
      </c>
    </row>
    <row r="3520" customFormat="false" ht="15" hidden="false" customHeight="false" outlineLevel="0" collapsed="false">
      <c r="V3520" s="23" t="str">
        <f aca="false">IF(ISNUMBER(C3520),YEAR(C3520),"")</f>
        <v/>
      </c>
      <c r="W3520" s="23" t="str">
        <f aca="false">IF(ISNUMBER(C3520),MONTH(C3520),"")</f>
        <v/>
      </c>
      <c r="X3520" s="23" t="str">
        <f aca="false">IF(T3520="","",IF(T3520=0,"No discount",IF(T3520&lt;=0.2,"Low (1-20%)",IF(T3520&lt;=0.4,"Medium (21-40%)","High (&gt;40%)"))))</f>
        <v/>
      </c>
      <c r="Y3520" s="23" t="str">
        <f aca="false">IF(AND(ISNUMBER(C3520),ISNUMBER(D3520)),D3520-C3520,"")</f>
        <v/>
      </c>
      <c r="Z3520" s="23" t="str">
        <f aca="false">IF(B3520="","",IF(MATCH(B3520,$B$2:$B$12000,0)=ROW()-1,1,0))</f>
        <v/>
      </c>
    </row>
    <row r="3521" customFormat="false" ht="15" hidden="false" customHeight="false" outlineLevel="0" collapsed="false">
      <c r="V3521" s="23" t="str">
        <f aca="false">IF(ISNUMBER(C3521),YEAR(C3521),"")</f>
        <v/>
      </c>
      <c r="W3521" s="23" t="str">
        <f aca="false">IF(ISNUMBER(C3521),MONTH(C3521),"")</f>
        <v/>
      </c>
      <c r="X3521" s="23" t="str">
        <f aca="false">IF(T3521="","",IF(T3521=0,"No discount",IF(T3521&lt;=0.2,"Low (1-20%)",IF(T3521&lt;=0.4,"Medium (21-40%)","High (&gt;40%)"))))</f>
        <v/>
      </c>
      <c r="Y3521" s="23" t="str">
        <f aca="false">IF(AND(ISNUMBER(C3521),ISNUMBER(D3521)),D3521-C3521,"")</f>
        <v/>
      </c>
      <c r="Z3521" s="23" t="str">
        <f aca="false">IF(B3521="","",IF(MATCH(B3521,$B$2:$B$12000,0)=ROW()-1,1,0))</f>
        <v/>
      </c>
    </row>
    <row r="3522" customFormat="false" ht="15" hidden="false" customHeight="false" outlineLevel="0" collapsed="false">
      <c r="V3522" s="23" t="str">
        <f aca="false">IF(ISNUMBER(C3522),YEAR(C3522),"")</f>
        <v/>
      </c>
      <c r="W3522" s="23" t="str">
        <f aca="false">IF(ISNUMBER(C3522),MONTH(C3522),"")</f>
        <v/>
      </c>
      <c r="X3522" s="23" t="str">
        <f aca="false">IF(T3522="","",IF(T3522=0,"No discount",IF(T3522&lt;=0.2,"Low (1-20%)",IF(T3522&lt;=0.4,"Medium (21-40%)","High (&gt;40%)"))))</f>
        <v/>
      </c>
      <c r="Y3522" s="23" t="str">
        <f aca="false">IF(AND(ISNUMBER(C3522),ISNUMBER(D3522)),D3522-C3522,"")</f>
        <v/>
      </c>
      <c r="Z3522" s="23" t="str">
        <f aca="false">IF(B3522="","",IF(MATCH(B3522,$B$2:$B$12000,0)=ROW()-1,1,0))</f>
        <v/>
      </c>
    </row>
    <row r="3523" customFormat="false" ht="15" hidden="false" customHeight="false" outlineLevel="0" collapsed="false">
      <c r="V3523" s="23" t="str">
        <f aca="false">IF(ISNUMBER(C3523),YEAR(C3523),"")</f>
        <v/>
      </c>
      <c r="W3523" s="23" t="str">
        <f aca="false">IF(ISNUMBER(C3523),MONTH(C3523),"")</f>
        <v/>
      </c>
      <c r="X3523" s="23" t="str">
        <f aca="false">IF(T3523="","",IF(T3523=0,"No discount",IF(T3523&lt;=0.2,"Low (1-20%)",IF(T3523&lt;=0.4,"Medium (21-40%)","High (&gt;40%)"))))</f>
        <v/>
      </c>
      <c r="Y3523" s="23" t="str">
        <f aca="false">IF(AND(ISNUMBER(C3523),ISNUMBER(D3523)),D3523-C3523,"")</f>
        <v/>
      </c>
      <c r="Z3523" s="23" t="str">
        <f aca="false">IF(B3523="","",IF(MATCH(B3523,$B$2:$B$12000,0)=ROW()-1,1,0))</f>
        <v/>
      </c>
    </row>
    <row r="3524" customFormat="false" ht="15" hidden="false" customHeight="false" outlineLevel="0" collapsed="false">
      <c r="V3524" s="23" t="str">
        <f aca="false">IF(ISNUMBER(C3524),YEAR(C3524),"")</f>
        <v/>
      </c>
      <c r="W3524" s="23" t="str">
        <f aca="false">IF(ISNUMBER(C3524),MONTH(C3524),"")</f>
        <v/>
      </c>
      <c r="X3524" s="23" t="str">
        <f aca="false">IF(T3524="","",IF(T3524=0,"No discount",IF(T3524&lt;=0.2,"Low (1-20%)",IF(T3524&lt;=0.4,"Medium (21-40%)","High (&gt;40%)"))))</f>
        <v/>
      </c>
      <c r="Y3524" s="23" t="str">
        <f aca="false">IF(AND(ISNUMBER(C3524),ISNUMBER(D3524)),D3524-C3524,"")</f>
        <v/>
      </c>
      <c r="Z3524" s="23" t="str">
        <f aca="false">IF(B3524="","",IF(MATCH(B3524,$B$2:$B$12000,0)=ROW()-1,1,0))</f>
        <v/>
      </c>
    </row>
    <row r="3525" customFormat="false" ht="15" hidden="false" customHeight="false" outlineLevel="0" collapsed="false">
      <c r="V3525" s="23" t="str">
        <f aca="false">IF(ISNUMBER(C3525),YEAR(C3525),"")</f>
        <v/>
      </c>
      <c r="W3525" s="23" t="str">
        <f aca="false">IF(ISNUMBER(C3525),MONTH(C3525),"")</f>
        <v/>
      </c>
      <c r="X3525" s="23" t="str">
        <f aca="false">IF(T3525="","",IF(T3525=0,"No discount",IF(T3525&lt;=0.2,"Low (1-20%)",IF(T3525&lt;=0.4,"Medium (21-40%)","High (&gt;40%)"))))</f>
        <v/>
      </c>
      <c r="Y3525" s="23" t="str">
        <f aca="false">IF(AND(ISNUMBER(C3525),ISNUMBER(D3525)),D3525-C3525,"")</f>
        <v/>
      </c>
      <c r="Z3525" s="23" t="str">
        <f aca="false">IF(B3525="","",IF(MATCH(B3525,$B$2:$B$12000,0)=ROW()-1,1,0))</f>
        <v/>
      </c>
    </row>
    <row r="3526" customFormat="false" ht="15" hidden="false" customHeight="false" outlineLevel="0" collapsed="false">
      <c r="V3526" s="23" t="str">
        <f aca="false">IF(ISNUMBER(C3526),YEAR(C3526),"")</f>
        <v/>
      </c>
      <c r="W3526" s="23" t="str">
        <f aca="false">IF(ISNUMBER(C3526),MONTH(C3526),"")</f>
        <v/>
      </c>
      <c r="X3526" s="23" t="str">
        <f aca="false">IF(T3526="","",IF(T3526=0,"No discount",IF(T3526&lt;=0.2,"Low (1-20%)",IF(T3526&lt;=0.4,"Medium (21-40%)","High (&gt;40%)"))))</f>
        <v/>
      </c>
      <c r="Y3526" s="23" t="str">
        <f aca="false">IF(AND(ISNUMBER(C3526),ISNUMBER(D3526)),D3526-C3526,"")</f>
        <v/>
      </c>
      <c r="Z3526" s="23" t="str">
        <f aca="false">IF(B3526="","",IF(MATCH(B3526,$B$2:$B$12000,0)=ROW()-1,1,0))</f>
        <v/>
      </c>
    </row>
    <row r="3527" customFormat="false" ht="15" hidden="false" customHeight="false" outlineLevel="0" collapsed="false">
      <c r="V3527" s="23" t="str">
        <f aca="false">IF(ISNUMBER(C3527),YEAR(C3527),"")</f>
        <v/>
      </c>
      <c r="W3527" s="23" t="str">
        <f aca="false">IF(ISNUMBER(C3527),MONTH(C3527),"")</f>
        <v/>
      </c>
      <c r="X3527" s="23" t="str">
        <f aca="false">IF(T3527="","",IF(T3527=0,"No discount",IF(T3527&lt;=0.2,"Low (1-20%)",IF(T3527&lt;=0.4,"Medium (21-40%)","High (&gt;40%)"))))</f>
        <v/>
      </c>
      <c r="Y3527" s="23" t="str">
        <f aca="false">IF(AND(ISNUMBER(C3527),ISNUMBER(D3527)),D3527-C3527,"")</f>
        <v/>
      </c>
      <c r="Z3527" s="23" t="str">
        <f aca="false">IF(B3527="","",IF(MATCH(B3527,$B$2:$B$12000,0)=ROW()-1,1,0))</f>
        <v/>
      </c>
    </row>
    <row r="3528" customFormat="false" ht="15" hidden="false" customHeight="false" outlineLevel="0" collapsed="false">
      <c r="V3528" s="23" t="str">
        <f aca="false">IF(ISNUMBER(C3528),YEAR(C3528),"")</f>
        <v/>
      </c>
      <c r="W3528" s="23" t="str">
        <f aca="false">IF(ISNUMBER(C3528),MONTH(C3528),"")</f>
        <v/>
      </c>
      <c r="X3528" s="23" t="str">
        <f aca="false">IF(T3528="","",IF(T3528=0,"No discount",IF(T3528&lt;=0.2,"Low (1-20%)",IF(T3528&lt;=0.4,"Medium (21-40%)","High (&gt;40%)"))))</f>
        <v/>
      </c>
      <c r="Y3528" s="23" t="str">
        <f aca="false">IF(AND(ISNUMBER(C3528),ISNUMBER(D3528)),D3528-C3528,"")</f>
        <v/>
      </c>
      <c r="Z3528" s="23" t="str">
        <f aca="false">IF(B3528="","",IF(MATCH(B3528,$B$2:$B$12000,0)=ROW()-1,1,0))</f>
        <v/>
      </c>
    </row>
    <row r="3529" customFormat="false" ht="15" hidden="false" customHeight="false" outlineLevel="0" collapsed="false">
      <c r="V3529" s="23" t="str">
        <f aca="false">IF(ISNUMBER(C3529),YEAR(C3529),"")</f>
        <v/>
      </c>
      <c r="W3529" s="23" t="str">
        <f aca="false">IF(ISNUMBER(C3529),MONTH(C3529),"")</f>
        <v/>
      </c>
      <c r="X3529" s="23" t="str">
        <f aca="false">IF(T3529="","",IF(T3529=0,"No discount",IF(T3529&lt;=0.2,"Low (1-20%)",IF(T3529&lt;=0.4,"Medium (21-40%)","High (&gt;40%)"))))</f>
        <v/>
      </c>
      <c r="Y3529" s="23" t="str">
        <f aca="false">IF(AND(ISNUMBER(C3529),ISNUMBER(D3529)),D3529-C3529,"")</f>
        <v/>
      </c>
      <c r="Z3529" s="23" t="str">
        <f aca="false">IF(B3529="","",IF(MATCH(B3529,$B$2:$B$12000,0)=ROW()-1,1,0))</f>
        <v/>
      </c>
    </row>
    <row r="3530" customFormat="false" ht="15" hidden="false" customHeight="false" outlineLevel="0" collapsed="false">
      <c r="V3530" s="23" t="str">
        <f aca="false">IF(ISNUMBER(C3530),YEAR(C3530),"")</f>
        <v/>
      </c>
      <c r="W3530" s="23" t="str">
        <f aca="false">IF(ISNUMBER(C3530),MONTH(C3530),"")</f>
        <v/>
      </c>
      <c r="X3530" s="23" t="str">
        <f aca="false">IF(T3530="","",IF(T3530=0,"No discount",IF(T3530&lt;=0.2,"Low (1-20%)",IF(T3530&lt;=0.4,"Medium (21-40%)","High (&gt;40%)"))))</f>
        <v/>
      </c>
      <c r="Y3530" s="23" t="str">
        <f aca="false">IF(AND(ISNUMBER(C3530),ISNUMBER(D3530)),D3530-C3530,"")</f>
        <v/>
      </c>
      <c r="Z3530" s="23" t="str">
        <f aca="false">IF(B3530="","",IF(MATCH(B3530,$B$2:$B$12000,0)=ROW()-1,1,0))</f>
        <v/>
      </c>
    </row>
    <row r="3531" customFormat="false" ht="15" hidden="false" customHeight="false" outlineLevel="0" collapsed="false">
      <c r="V3531" s="23" t="str">
        <f aca="false">IF(ISNUMBER(C3531),YEAR(C3531),"")</f>
        <v/>
      </c>
      <c r="W3531" s="23" t="str">
        <f aca="false">IF(ISNUMBER(C3531),MONTH(C3531),"")</f>
        <v/>
      </c>
      <c r="X3531" s="23" t="str">
        <f aca="false">IF(T3531="","",IF(T3531=0,"No discount",IF(T3531&lt;=0.2,"Low (1-20%)",IF(T3531&lt;=0.4,"Medium (21-40%)","High (&gt;40%)"))))</f>
        <v/>
      </c>
      <c r="Y3531" s="23" t="str">
        <f aca="false">IF(AND(ISNUMBER(C3531),ISNUMBER(D3531)),D3531-C3531,"")</f>
        <v/>
      </c>
      <c r="Z3531" s="23" t="str">
        <f aca="false">IF(B3531="","",IF(MATCH(B3531,$B$2:$B$12000,0)=ROW()-1,1,0))</f>
        <v/>
      </c>
    </row>
    <row r="3532" customFormat="false" ht="15" hidden="false" customHeight="false" outlineLevel="0" collapsed="false">
      <c r="V3532" s="23" t="str">
        <f aca="false">IF(ISNUMBER(C3532),YEAR(C3532),"")</f>
        <v/>
      </c>
      <c r="W3532" s="23" t="str">
        <f aca="false">IF(ISNUMBER(C3532),MONTH(C3532),"")</f>
        <v/>
      </c>
      <c r="X3532" s="23" t="str">
        <f aca="false">IF(T3532="","",IF(T3532=0,"No discount",IF(T3532&lt;=0.2,"Low (1-20%)",IF(T3532&lt;=0.4,"Medium (21-40%)","High (&gt;40%)"))))</f>
        <v/>
      </c>
      <c r="Y3532" s="23" t="str">
        <f aca="false">IF(AND(ISNUMBER(C3532),ISNUMBER(D3532)),D3532-C3532,"")</f>
        <v/>
      </c>
      <c r="Z3532" s="23" t="str">
        <f aca="false">IF(B3532="","",IF(MATCH(B3532,$B$2:$B$12000,0)=ROW()-1,1,0))</f>
        <v/>
      </c>
    </row>
    <row r="3533" customFormat="false" ht="15" hidden="false" customHeight="false" outlineLevel="0" collapsed="false">
      <c r="V3533" s="23" t="str">
        <f aca="false">IF(ISNUMBER(C3533),YEAR(C3533),"")</f>
        <v/>
      </c>
      <c r="W3533" s="23" t="str">
        <f aca="false">IF(ISNUMBER(C3533),MONTH(C3533),"")</f>
        <v/>
      </c>
      <c r="X3533" s="23" t="str">
        <f aca="false">IF(T3533="","",IF(T3533=0,"No discount",IF(T3533&lt;=0.2,"Low (1-20%)",IF(T3533&lt;=0.4,"Medium (21-40%)","High (&gt;40%)"))))</f>
        <v/>
      </c>
      <c r="Y3533" s="23" t="str">
        <f aca="false">IF(AND(ISNUMBER(C3533),ISNUMBER(D3533)),D3533-C3533,"")</f>
        <v/>
      </c>
      <c r="Z3533" s="23" t="str">
        <f aca="false">IF(B3533="","",IF(MATCH(B3533,$B$2:$B$12000,0)=ROW()-1,1,0))</f>
        <v/>
      </c>
    </row>
    <row r="3534" customFormat="false" ht="15" hidden="false" customHeight="false" outlineLevel="0" collapsed="false">
      <c r="V3534" s="23" t="str">
        <f aca="false">IF(ISNUMBER(C3534),YEAR(C3534),"")</f>
        <v/>
      </c>
      <c r="W3534" s="23" t="str">
        <f aca="false">IF(ISNUMBER(C3534),MONTH(C3534),"")</f>
        <v/>
      </c>
      <c r="X3534" s="23" t="str">
        <f aca="false">IF(T3534="","",IF(T3534=0,"No discount",IF(T3534&lt;=0.2,"Low (1-20%)",IF(T3534&lt;=0.4,"Medium (21-40%)","High (&gt;40%)"))))</f>
        <v/>
      </c>
      <c r="Y3534" s="23" t="str">
        <f aca="false">IF(AND(ISNUMBER(C3534),ISNUMBER(D3534)),D3534-C3534,"")</f>
        <v/>
      </c>
      <c r="Z3534" s="23" t="str">
        <f aca="false">IF(B3534="","",IF(MATCH(B3534,$B$2:$B$12000,0)=ROW()-1,1,0))</f>
        <v/>
      </c>
    </row>
    <row r="3535" customFormat="false" ht="15" hidden="false" customHeight="false" outlineLevel="0" collapsed="false">
      <c r="V3535" s="23" t="str">
        <f aca="false">IF(ISNUMBER(C3535),YEAR(C3535),"")</f>
        <v/>
      </c>
      <c r="W3535" s="23" t="str">
        <f aca="false">IF(ISNUMBER(C3535),MONTH(C3535),"")</f>
        <v/>
      </c>
      <c r="X3535" s="23" t="str">
        <f aca="false">IF(T3535="","",IF(T3535=0,"No discount",IF(T3535&lt;=0.2,"Low (1-20%)",IF(T3535&lt;=0.4,"Medium (21-40%)","High (&gt;40%)"))))</f>
        <v/>
      </c>
      <c r="Y3535" s="23" t="str">
        <f aca="false">IF(AND(ISNUMBER(C3535),ISNUMBER(D3535)),D3535-C3535,"")</f>
        <v/>
      </c>
      <c r="Z3535" s="23" t="str">
        <f aca="false">IF(B3535="","",IF(MATCH(B3535,$B$2:$B$12000,0)=ROW()-1,1,0))</f>
        <v/>
      </c>
    </row>
    <row r="3536" customFormat="false" ht="15" hidden="false" customHeight="false" outlineLevel="0" collapsed="false">
      <c r="V3536" s="23" t="str">
        <f aca="false">IF(ISNUMBER(C3536),YEAR(C3536),"")</f>
        <v/>
      </c>
      <c r="W3536" s="23" t="str">
        <f aca="false">IF(ISNUMBER(C3536),MONTH(C3536),"")</f>
        <v/>
      </c>
      <c r="X3536" s="23" t="str">
        <f aca="false">IF(T3536="","",IF(T3536=0,"No discount",IF(T3536&lt;=0.2,"Low (1-20%)",IF(T3536&lt;=0.4,"Medium (21-40%)","High (&gt;40%)"))))</f>
        <v/>
      </c>
      <c r="Y3536" s="23" t="str">
        <f aca="false">IF(AND(ISNUMBER(C3536),ISNUMBER(D3536)),D3536-C3536,"")</f>
        <v/>
      </c>
      <c r="Z3536" s="23" t="str">
        <f aca="false">IF(B3536="","",IF(MATCH(B3536,$B$2:$B$12000,0)=ROW()-1,1,0))</f>
        <v/>
      </c>
    </row>
    <row r="3537" customFormat="false" ht="15" hidden="false" customHeight="false" outlineLevel="0" collapsed="false">
      <c r="V3537" s="23" t="str">
        <f aca="false">IF(ISNUMBER(C3537),YEAR(C3537),"")</f>
        <v/>
      </c>
      <c r="W3537" s="23" t="str">
        <f aca="false">IF(ISNUMBER(C3537),MONTH(C3537),"")</f>
        <v/>
      </c>
      <c r="X3537" s="23" t="str">
        <f aca="false">IF(T3537="","",IF(T3537=0,"No discount",IF(T3537&lt;=0.2,"Low (1-20%)",IF(T3537&lt;=0.4,"Medium (21-40%)","High (&gt;40%)"))))</f>
        <v/>
      </c>
      <c r="Y3537" s="23" t="str">
        <f aca="false">IF(AND(ISNUMBER(C3537),ISNUMBER(D3537)),D3537-C3537,"")</f>
        <v/>
      </c>
      <c r="Z3537" s="23" t="str">
        <f aca="false">IF(B3537="","",IF(MATCH(B3537,$B$2:$B$12000,0)=ROW()-1,1,0))</f>
        <v/>
      </c>
    </row>
    <row r="3538" customFormat="false" ht="15" hidden="false" customHeight="false" outlineLevel="0" collapsed="false">
      <c r="V3538" s="23" t="str">
        <f aca="false">IF(ISNUMBER(C3538),YEAR(C3538),"")</f>
        <v/>
      </c>
      <c r="W3538" s="23" t="str">
        <f aca="false">IF(ISNUMBER(C3538),MONTH(C3538),"")</f>
        <v/>
      </c>
      <c r="X3538" s="23" t="str">
        <f aca="false">IF(T3538="","",IF(T3538=0,"No discount",IF(T3538&lt;=0.2,"Low (1-20%)",IF(T3538&lt;=0.4,"Medium (21-40%)","High (&gt;40%)"))))</f>
        <v/>
      </c>
      <c r="Y3538" s="23" t="str">
        <f aca="false">IF(AND(ISNUMBER(C3538),ISNUMBER(D3538)),D3538-C3538,"")</f>
        <v/>
      </c>
      <c r="Z3538" s="23" t="str">
        <f aca="false">IF(B3538="","",IF(MATCH(B3538,$B$2:$B$12000,0)=ROW()-1,1,0))</f>
        <v/>
      </c>
    </row>
    <row r="3539" customFormat="false" ht="15" hidden="false" customHeight="false" outlineLevel="0" collapsed="false">
      <c r="V3539" s="23" t="str">
        <f aca="false">IF(ISNUMBER(C3539),YEAR(C3539),"")</f>
        <v/>
      </c>
      <c r="W3539" s="23" t="str">
        <f aca="false">IF(ISNUMBER(C3539),MONTH(C3539),"")</f>
        <v/>
      </c>
      <c r="X3539" s="23" t="str">
        <f aca="false">IF(T3539="","",IF(T3539=0,"No discount",IF(T3539&lt;=0.2,"Low (1-20%)",IF(T3539&lt;=0.4,"Medium (21-40%)","High (&gt;40%)"))))</f>
        <v/>
      </c>
      <c r="Y3539" s="23" t="str">
        <f aca="false">IF(AND(ISNUMBER(C3539),ISNUMBER(D3539)),D3539-C3539,"")</f>
        <v/>
      </c>
      <c r="Z3539" s="23" t="str">
        <f aca="false">IF(B3539="","",IF(MATCH(B3539,$B$2:$B$12000,0)=ROW()-1,1,0))</f>
        <v/>
      </c>
    </row>
    <row r="3540" customFormat="false" ht="15" hidden="false" customHeight="false" outlineLevel="0" collapsed="false">
      <c r="V3540" s="23" t="str">
        <f aca="false">IF(ISNUMBER(C3540),YEAR(C3540),"")</f>
        <v/>
      </c>
      <c r="W3540" s="23" t="str">
        <f aca="false">IF(ISNUMBER(C3540),MONTH(C3540),"")</f>
        <v/>
      </c>
      <c r="X3540" s="23" t="str">
        <f aca="false">IF(T3540="","",IF(T3540=0,"No discount",IF(T3540&lt;=0.2,"Low (1-20%)",IF(T3540&lt;=0.4,"Medium (21-40%)","High (&gt;40%)"))))</f>
        <v/>
      </c>
      <c r="Y3540" s="23" t="str">
        <f aca="false">IF(AND(ISNUMBER(C3540),ISNUMBER(D3540)),D3540-C3540,"")</f>
        <v/>
      </c>
      <c r="Z3540" s="23" t="str">
        <f aca="false">IF(B3540="","",IF(MATCH(B3540,$B$2:$B$12000,0)=ROW()-1,1,0))</f>
        <v/>
      </c>
    </row>
    <row r="3541" customFormat="false" ht="15" hidden="false" customHeight="false" outlineLevel="0" collapsed="false">
      <c r="V3541" s="23" t="str">
        <f aca="false">IF(ISNUMBER(C3541),YEAR(C3541),"")</f>
        <v/>
      </c>
      <c r="W3541" s="23" t="str">
        <f aca="false">IF(ISNUMBER(C3541),MONTH(C3541),"")</f>
        <v/>
      </c>
      <c r="X3541" s="23" t="str">
        <f aca="false">IF(T3541="","",IF(T3541=0,"No discount",IF(T3541&lt;=0.2,"Low (1-20%)",IF(T3541&lt;=0.4,"Medium (21-40%)","High (&gt;40%)"))))</f>
        <v/>
      </c>
      <c r="Y3541" s="23" t="str">
        <f aca="false">IF(AND(ISNUMBER(C3541),ISNUMBER(D3541)),D3541-C3541,"")</f>
        <v/>
      </c>
      <c r="Z3541" s="23" t="str">
        <f aca="false">IF(B3541="","",IF(MATCH(B3541,$B$2:$B$12000,0)=ROW()-1,1,0))</f>
        <v/>
      </c>
    </row>
    <row r="3542" customFormat="false" ht="15" hidden="false" customHeight="false" outlineLevel="0" collapsed="false">
      <c r="V3542" s="23" t="str">
        <f aca="false">IF(ISNUMBER(C3542),YEAR(C3542),"")</f>
        <v/>
      </c>
      <c r="W3542" s="23" t="str">
        <f aca="false">IF(ISNUMBER(C3542),MONTH(C3542),"")</f>
        <v/>
      </c>
      <c r="X3542" s="23" t="str">
        <f aca="false">IF(T3542="","",IF(T3542=0,"No discount",IF(T3542&lt;=0.2,"Low (1-20%)",IF(T3542&lt;=0.4,"Medium (21-40%)","High (&gt;40%)"))))</f>
        <v/>
      </c>
      <c r="Y3542" s="23" t="str">
        <f aca="false">IF(AND(ISNUMBER(C3542),ISNUMBER(D3542)),D3542-C3542,"")</f>
        <v/>
      </c>
      <c r="Z3542" s="23" t="str">
        <f aca="false">IF(B3542="","",IF(MATCH(B3542,$B$2:$B$12000,0)=ROW()-1,1,0))</f>
        <v/>
      </c>
    </row>
    <row r="3543" customFormat="false" ht="15" hidden="false" customHeight="false" outlineLevel="0" collapsed="false">
      <c r="V3543" s="23" t="str">
        <f aca="false">IF(ISNUMBER(C3543),YEAR(C3543),"")</f>
        <v/>
      </c>
      <c r="W3543" s="23" t="str">
        <f aca="false">IF(ISNUMBER(C3543),MONTH(C3543),"")</f>
        <v/>
      </c>
      <c r="X3543" s="23" t="str">
        <f aca="false">IF(T3543="","",IF(T3543=0,"No discount",IF(T3543&lt;=0.2,"Low (1-20%)",IF(T3543&lt;=0.4,"Medium (21-40%)","High (&gt;40%)"))))</f>
        <v/>
      </c>
      <c r="Y3543" s="23" t="str">
        <f aca="false">IF(AND(ISNUMBER(C3543),ISNUMBER(D3543)),D3543-C3543,"")</f>
        <v/>
      </c>
      <c r="Z3543" s="23" t="str">
        <f aca="false">IF(B3543="","",IF(MATCH(B3543,$B$2:$B$12000,0)=ROW()-1,1,0))</f>
        <v/>
      </c>
    </row>
    <row r="3544" customFormat="false" ht="15" hidden="false" customHeight="false" outlineLevel="0" collapsed="false">
      <c r="V3544" s="23" t="str">
        <f aca="false">IF(ISNUMBER(C3544),YEAR(C3544),"")</f>
        <v/>
      </c>
      <c r="W3544" s="23" t="str">
        <f aca="false">IF(ISNUMBER(C3544),MONTH(C3544),"")</f>
        <v/>
      </c>
      <c r="X3544" s="23" t="str">
        <f aca="false">IF(T3544="","",IF(T3544=0,"No discount",IF(T3544&lt;=0.2,"Low (1-20%)",IF(T3544&lt;=0.4,"Medium (21-40%)","High (&gt;40%)"))))</f>
        <v/>
      </c>
      <c r="Y3544" s="23" t="str">
        <f aca="false">IF(AND(ISNUMBER(C3544),ISNUMBER(D3544)),D3544-C3544,"")</f>
        <v/>
      </c>
      <c r="Z3544" s="23" t="str">
        <f aca="false">IF(B3544="","",IF(MATCH(B3544,$B$2:$B$12000,0)=ROW()-1,1,0))</f>
        <v/>
      </c>
    </row>
    <row r="3545" customFormat="false" ht="15" hidden="false" customHeight="false" outlineLevel="0" collapsed="false">
      <c r="V3545" s="23" t="str">
        <f aca="false">IF(ISNUMBER(C3545),YEAR(C3545),"")</f>
        <v/>
      </c>
      <c r="W3545" s="23" t="str">
        <f aca="false">IF(ISNUMBER(C3545),MONTH(C3545),"")</f>
        <v/>
      </c>
      <c r="X3545" s="23" t="str">
        <f aca="false">IF(T3545="","",IF(T3545=0,"No discount",IF(T3545&lt;=0.2,"Low (1-20%)",IF(T3545&lt;=0.4,"Medium (21-40%)","High (&gt;40%)"))))</f>
        <v/>
      </c>
      <c r="Y3545" s="23" t="str">
        <f aca="false">IF(AND(ISNUMBER(C3545),ISNUMBER(D3545)),D3545-C3545,"")</f>
        <v/>
      </c>
      <c r="Z3545" s="23" t="str">
        <f aca="false">IF(B3545="","",IF(MATCH(B3545,$B$2:$B$12000,0)=ROW()-1,1,0))</f>
        <v/>
      </c>
    </row>
    <row r="3546" customFormat="false" ht="15" hidden="false" customHeight="false" outlineLevel="0" collapsed="false">
      <c r="V3546" s="23" t="str">
        <f aca="false">IF(ISNUMBER(C3546),YEAR(C3546),"")</f>
        <v/>
      </c>
      <c r="W3546" s="23" t="str">
        <f aca="false">IF(ISNUMBER(C3546),MONTH(C3546),"")</f>
        <v/>
      </c>
      <c r="X3546" s="23" t="str">
        <f aca="false">IF(T3546="","",IF(T3546=0,"No discount",IF(T3546&lt;=0.2,"Low (1-20%)",IF(T3546&lt;=0.4,"Medium (21-40%)","High (&gt;40%)"))))</f>
        <v/>
      </c>
      <c r="Y3546" s="23" t="str">
        <f aca="false">IF(AND(ISNUMBER(C3546),ISNUMBER(D3546)),D3546-C3546,"")</f>
        <v/>
      </c>
      <c r="Z3546" s="23" t="str">
        <f aca="false">IF(B3546="","",IF(MATCH(B3546,$B$2:$B$12000,0)=ROW()-1,1,0))</f>
        <v/>
      </c>
    </row>
    <row r="3547" customFormat="false" ht="15" hidden="false" customHeight="false" outlineLevel="0" collapsed="false">
      <c r="V3547" s="23" t="str">
        <f aca="false">IF(ISNUMBER(C3547),YEAR(C3547),"")</f>
        <v/>
      </c>
      <c r="W3547" s="23" t="str">
        <f aca="false">IF(ISNUMBER(C3547),MONTH(C3547),"")</f>
        <v/>
      </c>
      <c r="X3547" s="23" t="str">
        <f aca="false">IF(T3547="","",IF(T3547=0,"No discount",IF(T3547&lt;=0.2,"Low (1-20%)",IF(T3547&lt;=0.4,"Medium (21-40%)","High (&gt;40%)"))))</f>
        <v/>
      </c>
      <c r="Y3547" s="23" t="str">
        <f aca="false">IF(AND(ISNUMBER(C3547),ISNUMBER(D3547)),D3547-C3547,"")</f>
        <v/>
      </c>
      <c r="Z3547" s="23" t="str">
        <f aca="false">IF(B3547="","",IF(MATCH(B3547,$B$2:$B$12000,0)=ROW()-1,1,0))</f>
        <v/>
      </c>
    </row>
    <row r="3548" customFormat="false" ht="15" hidden="false" customHeight="false" outlineLevel="0" collapsed="false">
      <c r="V3548" s="23" t="str">
        <f aca="false">IF(ISNUMBER(C3548),YEAR(C3548),"")</f>
        <v/>
      </c>
      <c r="W3548" s="23" t="str">
        <f aca="false">IF(ISNUMBER(C3548),MONTH(C3548),"")</f>
        <v/>
      </c>
      <c r="X3548" s="23" t="str">
        <f aca="false">IF(T3548="","",IF(T3548=0,"No discount",IF(T3548&lt;=0.2,"Low (1-20%)",IF(T3548&lt;=0.4,"Medium (21-40%)","High (&gt;40%)"))))</f>
        <v/>
      </c>
      <c r="Y3548" s="23" t="str">
        <f aca="false">IF(AND(ISNUMBER(C3548),ISNUMBER(D3548)),D3548-C3548,"")</f>
        <v/>
      </c>
      <c r="Z3548" s="23" t="str">
        <f aca="false">IF(B3548="","",IF(MATCH(B3548,$B$2:$B$12000,0)=ROW()-1,1,0))</f>
        <v/>
      </c>
    </row>
    <row r="3549" customFormat="false" ht="15" hidden="false" customHeight="false" outlineLevel="0" collapsed="false">
      <c r="V3549" s="23" t="str">
        <f aca="false">IF(ISNUMBER(C3549),YEAR(C3549),"")</f>
        <v/>
      </c>
      <c r="W3549" s="23" t="str">
        <f aca="false">IF(ISNUMBER(C3549),MONTH(C3549),"")</f>
        <v/>
      </c>
      <c r="X3549" s="23" t="str">
        <f aca="false">IF(T3549="","",IF(T3549=0,"No discount",IF(T3549&lt;=0.2,"Low (1-20%)",IF(T3549&lt;=0.4,"Medium (21-40%)","High (&gt;40%)"))))</f>
        <v/>
      </c>
      <c r="Y3549" s="23" t="str">
        <f aca="false">IF(AND(ISNUMBER(C3549),ISNUMBER(D3549)),D3549-C3549,"")</f>
        <v/>
      </c>
      <c r="Z3549" s="23" t="str">
        <f aca="false">IF(B3549="","",IF(MATCH(B3549,$B$2:$B$12000,0)=ROW()-1,1,0))</f>
        <v/>
      </c>
    </row>
    <row r="3550" customFormat="false" ht="15" hidden="false" customHeight="false" outlineLevel="0" collapsed="false">
      <c r="V3550" s="23" t="str">
        <f aca="false">IF(ISNUMBER(C3550),YEAR(C3550),"")</f>
        <v/>
      </c>
      <c r="W3550" s="23" t="str">
        <f aca="false">IF(ISNUMBER(C3550),MONTH(C3550),"")</f>
        <v/>
      </c>
      <c r="X3550" s="23" t="str">
        <f aca="false">IF(T3550="","",IF(T3550=0,"No discount",IF(T3550&lt;=0.2,"Low (1-20%)",IF(T3550&lt;=0.4,"Medium (21-40%)","High (&gt;40%)"))))</f>
        <v/>
      </c>
      <c r="Y3550" s="23" t="str">
        <f aca="false">IF(AND(ISNUMBER(C3550),ISNUMBER(D3550)),D3550-C3550,"")</f>
        <v/>
      </c>
      <c r="Z3550" s="23" t="str">
        <f aca="false">IF(B3550="","",IF(MATCH(B3550,$B$2:$B$12000,0)=ROW()-1,1,0))</f>
        <v/>
      </c>
    </row>
    <row r="3551" customFormat="false" ht="15" hidden="false" customHeight="false" outlineLevel="0" collapsed="false">
      <c r="V3551" s="23" t="str">
        <f aca="false">IF(ISNUMBER(C3551),YEAR(C3551),"")</f>
        <v/>
      </c>
      <c r="W3551" s="23" t="str">
        <f aca="false">IF(ISNUMBER(C3551),MONTH(C3551),"")</f>
        <v/>
      </c>
      <c r="X3551" s="23" t="str">
        <f aca="false">IF(T3551="","",IF(T3551=0,"No discount",IF(T3551&lt;=0.2,"Low (1-20%)",IF(T3551&lt;=0.4,"Medium (21-40%)","High (&gt;40%)"))))</f>
        <v/>
      </c>
      <c r="Y3551" s="23" t="str">
        <f aca="false">IF(AND(ISNUMBER(C3551),ISNUMBER(D3551)),D3551-C3551,"")</f>
        <v/>
      </c>
      <c r="Z3551" s="23" t="str">
        <f aca="false">IF(B3551="","",IF(MATCH(B3551,$B$2:$B$12000,0)=ROW()-1,1,0))</f>
        <v/>
      </c>
    </row>
    <row r="3552" customFormat="false" ht="15" hidden="false" customHeight="false" outlineLevel="0" collapsed="false">
      <c r="V3552" s="23" t="str">
        <f aca="false">IF(ISNUMBER(C3552),YEAR(C3552),"")</f>
        <v/>
      </c>
      <c r="W3552" s="23" t="str">
        <f aca="false">IF(ISNUMBER(C3552),MONTH(C3552),"")</f>
        <v/>
      </c>
      <c r="X3552" s="23" t="str">
        <f aca="false">IF(T3552="","",IF(T3552=0,"No discount",IF(T3552&lt;=0.2,"Low (1-20%)",IF(T3552&lt;=0.4,"Medium (21-40%)","High (&gt;40%)"))))</f>
        <v/>
      </c>
      <c r="Y3552" s="23" t="str">
        <f aca="false">IF(AND(ISNUMBER(C3552),ISNUMBER(D3552)),D3552-C3552,"")</f>
        <v/>
      </c>
      <c r="Z3552" s="23" t="str">
        <f aca="false">IF(B3552="","",IF(MATCH(B3552,$B$2:$B$12000,0)=ROW()-1,1,0))</f>
        <v/>
      </c>
    </row>
    <row r="3553" customFormat="false" ht="15" hidden="false" customHeight="false" outlineLevel="0" collapsed="false">
      <c r="V3553" s="23" t="str">
        <f aca="false">IF(ISNUMBER(C3553),YEAR(C3553),"")</f>
        <v/>
      </c>
      <c r="W3553" s="23" t="str">
        <f aca="false">IF(ISNUMBER(C3553),MONTH(C3553),"")</f>
        <v/>
      </c>
      <c r="X3553" s="23" t="str">
        <f aca="false">IF(T3553="","",IF(T3553=0,"No discount",IF(T3553&lt;=0.2,"Low (1-20%)",IF(T3553&lt;=0.4,"Medium (21-40%)","High (&gt;40%)"))))</f>
        <v/>
      </c>
      <c r="Y3553" s="23" t="str">
        <f aca="false">IF(AND(ISNUMBER(C3553),ISNUMBER(D3553)),D3553-C3553,"")</f>
        <v/>
      </c>
      <c r="Z3553" s="23" t="str">
        <f aca="false">IF(B3553="","",IF(MATCH(B3553,$B$2:$B$12000,0)=ROW()-1,1,0))</f>
        <v/>
      </c>
    </row>
    <row r="3554" customFormat="false" ht="15" hidden="false" customHeight="false" outlineLevel="0" collapsed="false">
      <c r="V3554" s="23" t="str">
        <f aca="false">IF(ISNUMBER(C3554),YEAR(C3554),"")</f>
        <v/>
      </c>
      <c r="W3554" s="23" t="str">
        <f aca="false">IF(ISNUMBER(C3554),MONTH(C3554),"")</f>
        <v/>
      </c>
      <c r="X3554" s="23" t="str">
        <f aca="false">IF(T3554="","",IF(T3554=0,"No discount",IF(T3554&lt;=0.2,"Low (1-20%)",IF(T3554&lt;=0.4,"Medium (21-40%)","High (&gt;40%)"))))</f>
        <v/>
      </c>
      <c r="Y3554" s="23" t="str">
        <f aca="false">IF(AND(ISNUMBER(C3554),ISNUMBER(D3554)),D3554-C3554,"")</f>
        <v/>
      </c>
      <c r="Z3554" s="23" t="str">
        <f aca="false">IF(B3554="","",IF(MATCH(B3554,$B$2:$B$12000,0)=ROW()-1,1,0))</f>
        <v/>
      </c>
    </row>
    <row r="3555" customFormat="false" ht="15" hidden="false" customHeight="false" outlineLevel="0" collapsed="false">
      <c r="V3555" s="23" t="str">
        <f aca="false">IF(ISNUMBER(C3555),YEAR(C3555),"")</f>
        <v/>
      </c>
      <c r="W3555" s="23" t="str">
        <f aca="false">IF(ISNUMBER(C3555),MONTH(C3555),"")</f>
        <v/>
      </c>
      <c r="X3555" s="23" t="str">
        <f aca="false">IF(T3555="","",IF(T3555=0,"No discount",IF(T3555&lt;=0.2,"Low (1-20%)",IF(T3555&lt;=0.4,"Medium (21-40%)","High (&gt;40%)"))))</f>
        <v/>
      </c>
      <c r="Y3555" s="23" t="str">
        <f aca="false">IF(AND(ISNUMBER(C3555),ISNUMBER(D3555)),D3555-C3555,"")</f>
        <v/>
      </c>
      <c r="Z3555" s="23" t="str">
        <f aca="false">IF(B3555="","",IF(MATCH(B3555,$B$2:$B$12000,0)=ROW()-1,1,0))</f>
        <v/>
      </c>
    </row>
    <row r="3556" customFormat="false" ht="15" hidden="false" customHeight="false" outlineLevel="0" collapsed="false">
      <c r="V3556" s="23" t="str">
        <f aca="false">IF(ISNUMBER(C3556),YEAR(C3556),"")</f>
        <v/>
      </c>
      <c r="W3556" s="23" t="str">
        <f aca="false">IF(ISNUMBER(C3556),MONTH(C3556),"")</f>
        <v/>
      </c>
      <c r="X3556" s="23" t="str">
        <f aca="false">IF(T3556="","",IF(T3556=0,"No discount",IF(T3556&lt;=0.2,"Low (1-20%)",IF(T3556&lt;=0.4,"Medium (21-40%)","High (&gt;40%)"))))</f>
        <v/>
      </c>
      <c r="Y3556" s="23" t="str">
        <f aca="false">IF(AND(ISNUMBER(C3556),ISNUMBER(D3556)),D3556-C3556,"")</f>
        <v/>
      </c>
      <c r="Z3556" s="23" t="str">
        <f aca="false">IF(B3556="","",IF(MATCH(B3556,$B$2:$B$12000,0)=ROW()-1,1,0))</f>
        <v/>
      </c>
    </row>
    <row r="3557" customFormat="false" ht="15" hidden="false" customHeight="false" outlineLevel="0" collapsed="false">
      <c r="V3557" s="23" t="str">
        <f aca="false">IF(ISNUMBER(C3557),YEAR(C3557),"")</f>
        <v/>
      </c>
      <c r="W3557" s="23" t="str">
        <f aca="false">IF(ISNUMBER(C3557),MONTH(C3557),"")</f>
        <v/>
      </c>
      <c r="X3557" s="23" t="str">
        <f aca="false">IF(T3557="","",IF(T3557=0,"No discount",IF(T3557&lt;=0.2,"Low (1-20%)",IF(T3557&lt;=0.4,"Medium (21-40%)","High (&gt;40%)"))))</f>
        <v/>
      </c>
      <c r="Y3557" s="23" t="str">
        <f aca="false">IF(AND(ISNUMBER(C3557),ISNUMBER(D3557)),D3557-C3557,"")</f>
        <v/>
      </c>
      <c r="Z3557" s="23" t="str">
        <f aca="false">IF(B3557="","",IF(MATCH(B3557,$B$2:$B$12000,0)=ROW()-1,1,0))</f>
        <v/>
      </c>
    </row>
    <row r="3558" customFormat="false" ht="15" hidden="false" customHeight="false" outlineLevel="0" collapsed="false">
      <c r="V3558" s="23" t="str">
        <f aca="false">IF(ISNUMBER(C3558),YEAR(C3558),"")</f>
        <v/>
      </c>
      <c r="W3558" s="23" t="str">
        <f aca="false">IF(ISNUMBER(C3558),MONTH(C3558),"")</f>
        <v/>
      </c>
      <c r="X3558" s="23" t="str">
        <f aca="false">IF(T3558="","",IF(T3558=0,"No discount",IF(T3558&lt;=0.2,"Low (1-20%)",IF(T3558&lt;=0.4,"Medium (21-40%)","High (&gt;40%)"))))</f>
        <v/>
      </c>
      <c r="Y3558" s="23" t="str">
        <f aca="false">IF(AND(ISNUMBER(C3558),ISNUMBER(D3558)),D3558-C3558,"")</f>
        <v/>
      </c>
      <c r="Z3558" s="23" t="str">
        <f aca="false">IF(B3558="","",IF(MATCH(B3558,$B$2:$B$12000,0)=ROW()-1,1,0))</f>
        <v/>
      </c>
    </row>
    <row r="3559" customFormat="false" ht="15" hidden="false" customHeight="false" outlineLevel="0" collapsed="false">
      <c r="V3559" s="23" t="str">
        <f aca="false">IF(ISNUMBER(C3559),YEAR(C3559),"")</f>
        <v/>
      </c>
      <c r="W3559" s="23" t="str">
        <f aca="false">IF(ISNUMBER(C3559),MONTH(C3559),"")</f>
        <v/>
      </c>
      <c r="X3559" s="23" t="str">
        <f aca="false">IF(T3559="","",IF(T3559=0,"No discount",IF(T3559&lt;=0.2,"Low (1-20%)",IF(T3559&lt;=0.4,"Medium (21-40%)","High (&gt;40%)"))))</f>
        <v/>
      </c>
      <c r="Y3559" s="23" t="str">
        <f aca="false">IF(AND(ISNUMBER(C3559),ISNUMBER(D3559)),D3559-C3559,"")</f>
        <v/>
      </c>
      <c r="Z3559" s="23" t="str">
        <f aca="false">IF(B3559="","",IF(MATCH(B3559,$B$2:$B$12000,0)=ROW()-1,1,0))</f>
        <v/>
      </c>
    </row>
    <row r="3560" customFormat="false" ht="15" hidden="false" customHeight="false" outlineLevel="0" collapsed="false">
      <c r="V3560" s="23" t="str">
        <f aca="false">IF(ISNUMBER(C3560),YEAR(C3560),"")</f>
        <v/>
      </c>
      <c r="W3560" s="23" t="str">
        <f aca="false">IF(ISNUMBER(C3560),MONTH(C3560),"")</f>
        <v/>
      </c>
      <c r="X3560" s="23" t="str">
        <f aca="false">IF(T3560="","",IF(T3560=0,"No discount",IF(T3560&lt;=0.2,"Low (1-20%)",IF(T3560&lt;=0.4,"Medium (21-40%)","High (&gt;40%)"))))</f>
        <v/>
      </c>
      <c r="Y3560" s="23" t="str">
        <f aca="false">IF(AND(ISNUMBER(C3560),ISNUMBER(D3560)),D3560-C3560,"")</f>
        <v/>
      </c>
      <c r="Z3560" s="23" t="str">
        <f aca="false">IF(B3560="","",IF(MATCH(B3560,$B$2:$B$12000,0)=ROW()-1,1,0))</f>
        <v/>
      </c>
    </row>
    <row r="3561" customFormat="false" ht="15" hidden="false" customHeight="false" outlineLevel="0" collapsed="false">
      <c r="V3561" s="23" t="str">
        <f aca="false">IF(ISNUMBER(C3561),YEAR(C3561),"")</f>
        <v/>
      </c>
      <c r="W3561" s="23" t="str">
        <f aca="false">IF(ISNUMBER(C3561),MONTH(C3561),"")</f>
        <v/>
      </c>
      <c r="X3561" s="23" t="str">
        <f aca="false">IF(T3561="","",IF(T3561=0,"No discount",IF(T3561&lt;=0.2,"Low (1-20%)",IF(T3561&lt;=0.4,"Medium (21-40%)","High (&gt;40%)"))))</f>
        <v/>
      </c>
      <c r="Y3561" s="23" t="str">
        <f aca="false">IF(AND(ISNUMBER(C3561),ISNUMBER(D3561)),D3561-C3561,"")</f>
        <v/>
      </c>
      <c r="Z3561" s="23" t="str">
        <f aca="false">IF(B3561="","",IF(MATCH(B3561,$B$2:$B$12000,0)=ROW()-1,1,0))</f>
        <v/>
      </c>
    </row>
    <row r="3562" customFormat="false" ht="15" hidden="false" customHeight="false" outlineLevel="0" collapsed="false">
      <c r="V3562" s="23" t="str">
        <f aca="false">IF(ISNUMBER(C3562),YEAR(C3562),"")</f>
        <v/>
      </c>
      <c r="W3562" s="23" t="str">
        <f aca="false">IF(ISNUMBER(C3562),MONTH(C3562),"")</f>
        <v/>
      </c>
      <c r="X3562" s="23" t="str">
        <f aca="false">IF(T3562="","",IF(T3562=0,"No discount",IF(T3562&lt;=0.2,"Low (1-20%)",IF(T3562&lt;=0.4,"Medium (21-40%)","High (&gt;40%)"))))</f>
        <v/>
      </c>
      <c r="Y3562" s="23" t="str">
        <f aca="false">IF(AND(ISNUMBER(C3562),ISNUMBER(D3562)),D3562-C3562,"")</f>
        <v/>
      </c>
      <c r="Z3562" s="23" t="str">
        <f aca="false">IF(B3562="","",IF(MATCH(B3562,$B$2:$B$12000,0)=ROW()-1,1,0))</f>
        <v/>
      </c>
    </row>
    <row r="3563" customFormat="false" ht="15" hidden="false" customHeight="false" outlineLevel="0" collapsed="false">
      <c r="V3563" s="23" t="str">
        <f aca="false">IF(ISNUMBER(C3563),YEAR(C3563),"")</f>
        <v/>
      </c>
      <c r="W3563" s="23" t="str">
        <f aca="false">IF(ISNUMBER(C3563),MONTH(C3563),"")</f>
        <v/>
      </c>
      <c r="X3563" s="23" t="str">
        <f aca="false">IF(T3563="","",IF(T3563=0,"No discount",IF(T3563&lt;=0.2,"Low (1-20%)",IF(T3563&lt;=0.4,"Medium (21-40%)","High (&gt;40%)"))))</f>
        <v/>
      </c>
      <c r="Y3563" s="23" t="str">
        <f aca="false">IF(AND(ISNUMBER(C3563),ISNUMBER(D3563)),D3563-C3563,"")</f>
        <v/>
      </c>
      <c r="Z3563" s="23" t="str">
        <f aca="false">IF(B3563="","",IF(MATCH(B3563,$B$2:$B$12000,0)=ROW()-1,1,0))</f>
        <v/>
      </c>
    </row>
    <row r="3564" customFormat="false" ht="15" hidden="false" customHeight="false" outlineLevel="0" collapsed="false">
      <c r="V3564" s="23" t="str">
        <f aca="false">IF(ISNUMBER(C3564),YEAR(C3564),"")</f>
        <v/>
      </c>
      <c r="W3564" s="23" t="str">
        <f aca="false">IF(ISNUMBER(C3564),MONTH(C3564),"")</f>
        <v/>
      </c>
      <c r="X3564" s="23" t="str">
        <f aca="false">IF(T3564="","",IF(T3564=0,"No discount",IF(T3564&lt;=0.2,"Low (1-20%)",IF(T3564&lt;=0.4,"Medium (21-40%)","High (&gt;40%)"))))</f>
        <v/>
      </c>
      <c r="Y3564" s="23" t="str">
        <f aca="false">IF(AND(ISNUMBER(C3564),ISNUMBER(D3564)),D3564-C3564,"")</f>
        <v/>
      </c>
      <c r="Z3564" s="23" t="str">
        <f aca="false">IF(B3564="","",IF(MATCH(B3564,$B$2:$B$12000,0)=ROW()-1,1,0))</f>
        <v/>
      </c>
    </row>
    <row r="3565" customFormat="false" ht="15" hidden="false" customHeight="false" outlineLevel="0" collapsed="false">
      <c r="V3565" s="23" t="str">
        <f aca="false">IF(ISNUMBER(C3565),YEAR(C3565),"")</f>
        <v/>
      </c>
      <c r="W3565" s="23" t="str">
        <f aca="false">IF(ISNUMBER(C3565),MONTH(C3565),"")</f>
        <v/>
      </c>
      <c r="X3565" s="23" t="str">
        <f aca="false">IF(T3565="","",IF(T3565=0,"No discount",IF(T3565&lt;=0.2,"Low (1-20%)",IF(T3565&lt;=0.4,"Medium (21-40%)","High (&gt;40%)"))))</f>
        <v/>
      </c>
      <c r="Y3565" s="23" t="str">
        <f aca="false">IF(AND(ISNUMBER(C3565),ISNUMBER(D3565)),D3565-C3565,"")</f>
        <v/>
      </c>
      <c r="Z3565" s="23" t="str">
        <f aca="false">IF(B3565="","",IF(MATCH(B3565,$B$2:$B$12000,0)=ROW()-1,1,0))</f>
        <v/>
      </c>
    </row>
    <row r="3566" customFormat="false" ht="15" hidden="false" customHeight="false" outlineLevel="0" collapsed="false">
      <c r="V3566" s="23" t="str">
        <f aca="false">IF(ISNUMBER(C3566),YEAR(C3566),"")</f>
        <v/>
      </c>
      <c r="W3566" s="23" t="str">
        <f aca="false">IF(ISNUMBER(C3566),MONTH(C3566),"")</f>
        <v/>
      </c>
      <c r="X3566" s="23" t="str">
        <f aca="false">IF(T3566="","",IF(T3566=0,"No discount",IF(T3566&lt;=0.2,"Low (1-20%)",IF(T3566&lt;=0.4,"Medium (21-40%)","High (&gt;40%)"))))</f>
        <v/>
      </c>
      <c r="Y3566" s="23" t="str">
        <f aca="false">IF(AND(ISNUMBER(C3566),ISNUMBER(D3566)),D3566-C3566,"")</f>
        <v/>
      </c>
      <c r="Z3566" s="23" t="str">
        <f aca="false">IF(B3566="","",IF(MATCH(B3566,$B$2:$B$12000,0)=ROW()-1,1,0))</f>
        <v/>
      </c>
    </row>
    <row r="3567" customFormat="false" ht="15" hidden="false" customHeight="false" outlineLevel="0" collapsed="false">
      <c r="V3567" s="23" t="str">
        <f aca="false">IF(ISNUMBER(C3567),YEAR(C3567),"")</f>
        <v/>
      </c>
      <c r="W3567" s="23" t="str">
        <f aca="false">IF(ISNUMBER(C3567),MONTH(C3567),"")</f>
        <v/>
      </c>
      <c r="X3567" s="23" t="str">
        <f aca="false">IF(T3567="","",IF(T3567=0,"No discount",IF(T3567&lt;=0.2,"Low (1-20%)",IF(T3567&lt;=0.4,"Medium (21-40%)","High (&gt;40%)"))))</f>
        <v/>
      </c>
      <c r="Y3567" s="23" t="str">
        <f aca="false">IF(AND(ISNUMBER(C3567),ISNUMBER(D3567)),D3567-C3567,"")</f>
        <v/>
      </c>
      <c r="Z3567" s="23" t="str">
        <f aca="false">IF(B3567="","",IF(MATCH(B3567,$B$2:$B$12000,0)=ROW()-1,1,0))</f>
        <v/>
      </c>
    </row>
    <row r="3568" customFormat="false" ht="15" hidden="false" customHeight="false" outlineLevel="0" collapsed="false">
      <c r="V3568" s="23" t="str">
        <f aca="false">IF(ISNUMBER(C3568),YEAR(C3568),"")</f>
        <v/>
      </c>
      <c r="W3568" s="23" t="str">
        <f aca="false">IF(ISNUMBER(C3568),MONTH(C3568),"")</f>
        <v/>
      </c>
      <c r="X3568" s="23" t="str">
        <f aca="false">IF(T3568="","",IF(T3568=0,"No discount",IF(T3568&lt;=0.2,"Low (1-20%)",IF(T3568&lt;=0.4,"Medium (21-40%)","High (&gt;40%)"))))</f>
        <v/>
      </c>
      <c r="Y3568" s="23" t="str">
        <f aca="false">IF(AND(ISNUMBER(C3568),ISNUMBER(D3568)),D3568-C3568,"")</f>
        <v/>
      </c>
      <c r="Z3568" s="23" t="str">
        <f aca="false">IF(B3568="","",IF(MATCH(B3568,$B$2:$B$12000,0)=ROW()-1,1,0))</f>
        <v/>
      </c>
    </row>
    <row r="3569" customFormat="false" ht="15" hidden="false" customHeight="false" outlineLevel="0" collapsed="false">
      <c r="V3569" s="23" t="str">
        <f aca="false">IF(ISNUMBER(C3569),YEAR(C3569),"")</f>
        <v/>
      </c>
      <c r="W3569" s="23" t="str">
        <f aca="false">IF(ISNUMBER(C3569),MONTH(C3569),"")</f>
        <v/>
      </c>
      <c r="X3569" s="23" t="str">
        <f aca="false">IF(T3569="","",IF(T3569=0,"No discount",IF(T3569&lt;=0.2,"Low (1-20%)",IF(T3569&lt;=0.4,"Medium (21-40%)","High (&gt;40%)"))))</f>
        <v/>
      </c>
      <c r="Y3569" s="23" t="str">
        <f aca="false">IF(AND(ISNUMBER(C3569),ISNUMBER(D3569)),D3569-C3569,"")</f>
        <v/>
      </c>
      <c r="Z3569" s="23" t="str">
        <f aca="false">IF(B3569="","",IF(MATCH(B3569,$B$2:$B$12000,0)=ROW()-1,1,0))</f>
        <v/>
      </c>
    </row>
    <row r="3570" customFormat="false" ht="15" hidden="false" customHeight="false" outlineLevel="0" collapsed="false">
      <c r="V3570" s="23" t="str">
        <f aca="false">IF(ISNUMBER(C3570),YEAR(C3570),"")</f>
        <v/>
      </c>
      <c r="W3570" s="23" t="str">
        <f aca="false">IF(ISNUMBER(C3570),MONTH(C3570),"")</f>
        <v/>
      </c>
      <c r="X3570" s="23" t="str">
        <f aca="false">IF(T3570="","",IF(T3570=0,"No discount",IF(T3570&lt;=0.2,"Low (1-20%)",IF(T3570&lt;=0.4,"Medium (21-40%)","High (&gt;40%)"))))</f>
        <v/>
      </c>
      <c r="Y3570" s="23" t="str">
        <f aca="false">IF(AND(ISNUMBER(C3570),ISNUMBER(D3570)),D3570-C3570,"")</f>
        <v/>
      </c>
      <c r="Z3570" s="23" t="str">
        <f aca="false">IF(B3570="","",IF(MATCH(B3570,$B$2:$B$12000,0)=ROW()-1,1,0))</f>
        <v/>
      </c>
    </row>
    <row r="3571" customFormat="false" ht="15" hidden="false" customHeight="false" outlineLevel="0" collapsed="false">
      <c r="V3571" s="23" t="str">
        <f aca="false">IF(ISNUMBER(C3571),YEAR(C3571),"")</f>
        <v/>
      </c>
      <c r="W3571" s="23" t="str">
        <f aca="false">IF(ISNUMBER(C3571),MONTH(C3571),"")</f>
        <v/>
      </c>
      <c r="X3571" s="23" t="str">
        <f aca="false">IF(T3571="","",IF(T3571=0,"No discount",IF(T3571&lt;=0.2,"Low (1-20%)",IF(T3571&lt;=0.4,"Medium (21-40%)","High (&gt;40%)"))))</f>
        <v/>
      </c>
      <c r="Y3571" s="23" t="str">
        <f aca="false">IF(AND(ISNUMBER(C3571),ISNUMBER(D3571)),D3571-C3571,"")</f>
        <v/>
      </c>
      <c r="Z3571" s="23" t="str">
        <f aca="false">IF(B3571="","",IF(MATCH(B3571,$B$2:$B$12000,0)=ROW()-1,1,0))</f>
        <v/>
      </c>
    </row>
    <row r="3572" customFormat="false" ht="15" hidden="false" customHeight="false" outlineLevel="0" collapsed="false">
      <c r="V3572" s="23" t="str">
        <f aca="false">IF(ISNUMBER(C3572),YEAR(C3572),"")</f>
        <v/>
      </c>
      <c r="W3572" s="23" t="str">
        <f aca="false">IF(ISNUMBER(C3572),MONTH(C3572),"")</f>
        <v/>
      </c>
      <c r="X3572" s="23" t="str">
        <f aca="false">IF(T3572="","",IF(T3572=0,"No discount",IF(T3572&lt;=0.2,"Low (1-20%)",IF(T3572&lt;=0.4,"Medium (21-40%)","High (&gt;40%)"))))</f>
        <v/>
      </c>
      <c r="Y3572" s="23" t="str">
        <f aca="false">IF(AND(ISNUMBER(C3572),ISNUMBER(D3572)),D3572-C3572,"")</f>
        <v/>
      </c>
      <c r="Z3572" s="23" t="str">
        <f aca="false">IF(B3572="","",IF(MATCH(B3572,$B$2:$B$12000,0)=ROW()-1,1,0))</f>
        <v/>
      </c>
    </row>
    <row r="3573" customFormat="false" ht="15" hidden="false" customHeight="false" outlineLevel="0" collapsed="false">
      <c r="V3573" s="23" t="str">
        <f aca="false">IF(ISNUMBER(C3573),YEAR(C3573),"")</f>
        <v/>
      </c>
      <c r="W3573" s="23" t="str">
        <f aca="false">IF(ISNUMBER(C3573),MONTH(C3573),"")</f>
        <v/>
      </c>
      <c r="X3573" s="23" t="str">
        <f aca="false">IF(T3573="","",IF(T3573=0,"No discount",IF(T3573&lt;=0.2,"Low (1-20%)",IF(T3573&lt;=0.4,"Medium (21-40%)","High (&gt;40%)"))))</f>
        <v/>
      </c>
      <c r="Y3573" s="23" t="str">
        <f aca="false">IF(AND(ISNUMBER(C3573),ISNUMBER(D3573)),D3573-C3573,"")</f>
        <v/>
      </c>
      <c r="Z3573" s="23" t="str">
        <f aca="false">IF(B3573="","",IF(MATCH(B3573,$B$2:$B$12000,0)=ROW()-1,1,0))</f>
        <v/>
      </c>
    </row>
    <row r="3574" customFormat="false" ht="15" hidden="false" customHeight="false" outlineLevel="0" collapsed="false">
      <c r="V3574" s="23" t="str">
        <f aca="false">IF(ISNUMBER(C3574),YEAR(C3574),"")</f>
        <v/>
      </c>
      <c r="W3574" s="23" t="str">
        <f aca="false">IF(ISNUMBER(C3574),MONTH(C3574),"")</f>
        <v/>
      </c>
      <c r="X3574" s="23" t="str">
        <f aca="false">IF(T3574="","",IF(T3574=0,"No discount",IF(T3574&lt;=0.2,"Low (1-20%)",IF(T3574&lt;=0.4,"Medium (21-40%)","High (&gt;40%)"))))</f>
        <v/>
      </c>
      <c r="Y3574" s="23" t="str">
        <f aca="false">IF(AND(ISNUMBER(C3574),ISNUMBER(D3574)),D3574-C3574,"")</f>
        <v/>
      </c>
      <c r="Z3574" s="23" t="str">
        <f aca="false">IF(B3574="","",IF(MATCH(B3574,$B$2:$B$12000,0)=ROW()-1,1,0))</f>
        <v/>
      </c>
    </row>
    <row r="3575" customFormat="false" ht="15" hidden="false" customHeight="false" outlineLevel="0" collapsed="false">
      <c r="V3575" s="23" t="str">
        <f aca="false">IF(ISNUMBER(C3575),YEAR(C3575),"")</f>
        <v/>
      </c>
      <c r="W3575" s="23" t="str">
        <f aca="false">IF(ISNUMBER(C3575),MONTH(C3575),"")</f>
        <v/>
      </c>
      <c r="X3575" s="23" t="str">
        <f aca="false">IF(T3575="","",IF(T3575=0,"No discount",IF(T3575&lt;=0.2,"Low (1-20%)",IF(T3575&lt;=0.4,"Medium (21-40%)","High (&gt;40%)"))))</f>
        <v/>
      </c>
      <c r="Y3575" s="23" t="str">
        <f aca="false">IF(AND(ISNUMBER(C3575),ISNUMBER(D3575)),D3575-C3575,"")</f>
        <v/>
      </c>
      <c r="Z3575" s="23" t="str">
        <f aca="false">IF(B3575="","",IF(MATCH(B3575,$B$2:$B$12000,0)=ROW()-1,1,0))</f>
        <v/>
      </c>
    </row>
    <row r="3576" customFormat="false" ht="15" hidden="false" customHeight="false" outlineLevel="0" collapsed="false">
      <c r="V3576" s="23" t="str">
        <f aca="false">IF(ISNUMBER(C3576),YEAR(C3576),"")</f>
        <v/>
      </c>
      <c r="W3576" s="23" t="str">
        <f aca="false">IF(ISNUMBER(C3576),MONTH(C3576),"")</f>
        <v/>
      </c>
      <c r="X3576" s="23" t="str">
        <f aca="false">IF(T3576="","",IF(T3576=0,"No discount",IF(T3576&lt;=0.2,"Low (1-20%)",IF(T3576&lt;=0.4,"Medium (21-40%)","High (&gt;40%)"))))</f>
        <v/>
      </c>
      <c r="Y3576" s="23" t="str">
        <f aca="false">IF(AND(ISNUMBER(C3576),ISNUMBER(D3576)),D3576-C3576,"")</f>
        <v/>
      </c>
      <c r="Z3576" s="23" t="str">
        <f aca="false">IF(B3576="","",IF(MATCH(B3576,$B$2:$B$12000,0)=ROW()-1,1,0))</f>
        <v/>
      </c>
    </row>
    <row r="3577" customFormat="false" ht="15" hidden="false" customHeight="false" outlineLevel="0" collapsed="false">
      <c r="V3577" s="23" t="str">
        <f aca="false">IF(ISNUMBER(C3577),YEAR(C3577),"")</f>
        <v/>
      </c>
      <c r="W3577" s="23" t="str">
        <f aca="false">IF(ISNUMBER(C3577),MONTH(C3577),"")</f>
        <v/>
      </c>
      <c r="X3577" s="23" t="str">
        <f aca="false">IF(T3577="","",IF(T3577=0,"No discount",IF(T3577&lt;=0.2,"Low (1-20%)",IF(T3577&lt;=0.4,"Medium (21-40%)","High (&gt;40%)"))))</f>
        <v/>
      </c>
      <c r="Y3577" s="23" t="str">
        <f aca="false">IF(AND(ISNUMBER(C3577),ISNUMBER(D3577)),D3577-C3577,"")</f>
        <v/>
      </c>
      <c r="Z3577" s="23" t="str">
        <f aca="false">IF(B3577="","",IF(MATCH(B3577,$B$2:$B$12000,0)=ROW()-1,1,0))</f>
        <v/>
      </c>
    </row>
    <row r="3578" customFormat="false" ht="15" hidden="false" customHeight="false" outlineLevel="0" collapsed="false">
      <c r="V3578" s="23" t="str">
        <f aca="false">IF(ISNUMBER(C3578),YEAR(C3578),"")</f>
        <v/>
      </c>
      <c r="W3578" s="23" t="str">
        <f aca="false">IF(ISNUMBER(C3578),MONTH(C3578),"")</f>
        <v/>
      </c>
      <c r="X3578" s="23" t="str">
        <f aca="false">IF(T3578="","",IF(T3578=0,"No discount",IF(T3578&lt;=0.2,"Low (1-20%)",IF(T3578&lt;=0.4,"Medium (21-40%)","High (&gt;40%)"))))</f>
        <v/>
      </c>
      <c r="Y3578" s="23" t="str">
        <f aca="false">IF(AND(ISNUMBER(C3578),ISNUMBER(D3578)),D3578-C3578,"")</f>
        <v/>
      </c>
      <c r="Z3578" s="23" t="str">
        <f aca="false">IF(B3578="","",IF(MATCH(B3578,$B$2:$B$12000,0)=ROW()-1,1,0))</f>
        <v/>
      </c>
    </row>
    <row r="3579" customFormat="false" ht="15" hidden="false" customHeight="false" outlineLevel="0" collapsed="false">
      <c r="V3579" s="23" t="str">
        <f aca="false">IF(ISNUMBER(C3579),YEAR(C3579),"")</f>
        <v/>
      </c>
      <c r="W3579" s="23" t="str">
        <f aca="false">IF(ISNUMBER(C3579),MONTH(C3579),"")</f>
        <v/>
      </c>
      <c r="X3579" s="23" t="str">
        <f aca="false">IF(T3579="","",IF(T3579=0,"No discount",IF(T3579&lt;=0.2,"Low (1-20%)",IF(T3579&lt;=0.4,"Medium (21-40%)","High (&gt;40%)"))))</f>
        <v/>
      </c>
      <c r="Y3579" s="23" t="str">
        <f aca="false">IF(AND(ISNUMBER(C3579),ISNUMBER(D3579)),D3579-C3579,"")</f>
        <v/>
      </c>
      <c r="Z3579" s="23" t="str">
        <f aca="false">IF(B3579="","",IF(MATCH(B3579,$B$2:$B$12000,0)=ROW()-1,1,0))</f>
        <v/>
      </c>
    </row>
    <row r="3580" customFormat="false" ht="15" hidden="false" customHeight="false" outlineLevel="0" collapsed="false">
      <c r="V3580" s="23" t="str">
        <f aca="false">IF(ISNUMBER(C3580),YEAR(C3580),"")</f>
        <v/>
      </c>
      <c r="W3580" s="23" t="str">
        <f aca="false">IF(ISNUMBER(C3580),MONTH(C3580),"")</f>
        <v/>
      </c>
      <c r="X3580" s="23" t="str">
        <f aca="false">IF(T3580="","",IF(T3580=0,"No discount",IF(T3580&lt;=0.2,"Low (1-20%)",IF(T3580&lt;=0.4,"Medium (21-40%)","High (&gt;40%)"))))</f>
        <v/>
      </c>
      <c r="Y3580" s="23" t="str">
        <f aca="false">IF(AND(ISNUMBER(C3580),ISNUMBER(D3580)),D3580-C3580,"")</f>
        <v/>
      </c>
      <c r="Z3580" s="23" t="str">
        <f aca="false">IF(B3580="","",IF(MATCH(B3580,$B$2:$B$12000,0)=ROW()-1,1,0))</f>
        <v/>
      </c>
    </row>
    <row r="3581" customFormat="false" ht="15" hidden="false" customHeight="false" outlineLevel="0" collapsed="false">
      <c r="V3581" s="23" t="str">
        <f aca="false">IF(ISNUMBER(C3581),YEAR(C3581),"")</f>
        <v/>
      </c>
      <c r="W3581" s="23" t="str">
        <f aca="false">IF(ISNUMBER(C3581),MONTH(C3581),"")</f>
        <v/>
      </c>
      <c r="X3581" s="23" t="str">
        <f aca="false">IF(T3581="","",IF(T3581=0,"No discount",IF(T3581&lt;=0.2,"Low (1-20%)",IF(T3581&lt;=0.4,"Medium (21-40%)","High (&gt;40%)"))))</f>
        <v/>
      </c>
      <c r="Y3581" s="23" t="str">
        <f aca="false">IF(AND(ISNUMBER(C3581),ISNUMBER(D3581)),D3581-C3581,"")</f>
        <v/>
      </c>
      <c r="Z3581" s="23" t="str">
        <f aca="false">IF(B3581="","",IF(MATCH(B3581,$B$2:$B$12000,0)=ROW()-1,1,0))</f>
        <v/>
      </c>
    </row>
    <row r="3582" customFormat="false" ht="15" hidden="false" customHeight="false" outlineLevel="0" collapsed="false">
      <c r="V3582" s="23" t="str">
        <f aca="false">IF(ISNUMBER(C3582),YEAR(C3582),"")</f>
        <v/>
      </c>
      <c r="W3582" s="23" t="str">
        <f aca="false">IF(ISNUMBER(C3582),MONTH(C3582),"")</f>
        <v/>
      </c>
      <c r="X3582" s="23" t="str">
        <f aca="false">IF(T3582="","",IF(T3582=0,"No discount",IF(T3582&lt;=0.2,"Low (1-20%)",IF(T3582&lt;=0.4,"Medium (21-40%)","High (&gt;40%)"))))</f>
        <v/>
      </c>
      <c r="Y3582" s="23" t="str">
        <f aca="false">IF(AND(ISNUMBER(C3582),ISNUMBER(D3582)),D3582-C3582,"")</f>
        <v/>
      </c>
      <c r="Z3582" s="23" t="str">
        <f aca="false">IF(B3582="","",IF(MATCH(B3582,$B$2:$B$12000,0)=ROW()-1,1,0))</f>
        <v/>
      </c>
    </row>
    <row r="3583" customFormat="false" ht="15" hidden="false" customHeight="false" outlineLevel="0" collapsed="false">
      <c r="V3583" s="23" t="str">
        <f aca="false">IF(ISNUMBER(C3583),YEAR(C3583),"")</f>
        <v/>
      </c>
      <c r="W3583" s="23" t="str">
        <f aca="false">IF(ISNUMBER(C3583),MONTH(C3583),"")</f>
        <v/>
      </c>
      <c r="X3583" s="23" t="str">
        <f aca="false">IF(T3583="","",IF(T3583=0,"No discount",IF(T3583&lt;=0.2,"Low (1-20%)",IF(T3583&lt;=0.4,"Medium (21-40%)","High (&gt;40%)"))))</f>
        <v/>
      </c>
      <c r="Y3583" s="23" t="str">
        <f aca="false">IF(AND(ISNUMBER(C3583),ISNUMBER(D3583)),D3583-C3583,"")</f>
        <v/>
      </c>
      <c r="Z3583" s="23" t="str">
        <f aca="false">IF(B3583="","",IF(MATCH(B3583,$B$2:$B$12000,0)=ROW()-1,1,0))</f>
        <v/>
      </c>
    </row>
    <row r="3584" customFormat="false" ht="15" hidden="false" customHeight="false" outlineLevel="0" collapsed="false">
      <c r="V3584" s="23" t="str">
        <f aca="false">IF(ISNUMBER(C3584),YEAR(C3584),"")</f>
        <v/>
      </c>
      <c r="W3584" s="23" t="str">
        <f aca="false">IF(ISNUMBER(C3584),MONTH(C3584),"")</f>
        <v/>
      </c>
      <c r="X3584" s="23" t="str">
        <f aca="false">IF(T3584="","",IF(T3584=0,"No discount",IF(T3584&lt;=0.2,"Low (1-20%)",IF(T3584&lt;=0.4,"Medium (21-40%)","High (&gt;40%)"))))</f>
        <v/>
      </c>
      <c r="Y3584" s="23" t="str">
        <f aca="false">IF(AND(ISNUMBER(C3584),ISNUMBER(D3584)),D3584-C3584,"")</f>
        <v/>
      </c>
      <c r="Z3584" s="23" t="str">
        <f aca="false">IF(B3584="","",IF(MATCH(B3584,$B$2:$B$12000,0)=ROW()-1,1,0))</f>
        <v/>
      </c>
    </row>
    <row r="3585" customFormat="false" ht="15" hidden="false" customHeight="false" outlineLevel="0" collapsed="false">
      <c r="V3585" s="23" t="str">
        <f aca="false">IF(ISNUMBER(C3585),YEAR(C3585),"")</f>
        <v/>
      </c>
      <c r="W3585" s="23" t="str">
        <f aca="false">IF(ISNUMBER(C3585),MONTH(C3585),"")</f>
        <v/>
      </c>
      <c r="X3585" s="23" t="str">
        <f aca="false">IF(T3585="","",IF(T3585=0,"No discount",IF(T3585&lt;=0.2,"Low (1-20%)",IF(T3585&lt;=0.4,"Medium (21-40%)","High (&gt;40%)"))))</f>
        <v/>
      </c>
      <c r="Y3585" s="23" t="str">
        <f aca="false">IF(AND(ISNUMBER(C3585),ISNUMBER(D3585)),D3585-C3585,"")</f>
        <v/>
      </c>
      <c r="Z3585" s="23" t="str">
        <f aca="false">IF(B3585="","",IF(MATCH(B3585,$B$2:$B$12000,0)=ROW()-1,1,0))</f>
        <v/>
      </c>
    </row>
    <row r="3586" customFormat="false" ht="15" hidden="false" customHeight="false" outlineLevel="0" collapsed="false">
      <c r="V3586" s="23" t="str">
        <f aca="false">IF(ISNUMBER(C3586),YEAR(C3586),"")</f>
        <v/>
      </c>
      <c r="W3586" s="23" t="str">
        <f aca="false">IF(ISNUMBER(C3586),MONTH(C3586),"")</f>
        <v/>
      </c>
      <c r="X3586" s="23" t="str">
        <f aca="false">IF(T3586="","",IF(T3586=0,"No discount",IF(T3586&lt;=0.2,"Low (1-20%)",IF(T3586&lt;=0.4,"Medium (21-40%)","High (&gt;40%)"))))</f>
        <v/>
      </c>
      <c r="Y3586" s="23" t="str">
        <f aca="false">IF(AND(ISNUMBER(C3586),ISNUMBER(D3586)),D3586-C3586,"")</f>
        <v/>
      </c>
      <c r="Z3586" s="23" t="str">
        <f aca="false">IF(B3586="","",IF(MATCH(B3586,$B$2:$B$12000,0)=ROW()-1,1,0))</f>
        <v/>
      </c>
    </row>
    <row r="3587" customFormat="false" ht="15" hidden="false" customHeight="false" outlineLevel="0" collapsed="false">
      <c r="V3587" s="23" t="str">
        <f aca="false">IF(ISNUMBER(C3587),YEAR(C3587),"")</f>
        <v/>
      </c>
      <c r="W3587" s="23" t="str">
        <f aca="false">IF(ISNUMBER(C3587),MONTH(C3587),"")</f>
        <v/>
      </c>
      <c r="X3587" s="23" t="str">
        <f aca="false">IF(T3587="","",IF(T3587=0,"No discount",IF(T3587&lt;=0.2,"Low (1-20%)",IF(T3587&lt;=0.4,"Medium (21-40%)","High (&gt;40%)"))))</f>
        <v/>
      </c>
      <c r="Y3587" s="23" t="str">
        <f aca="false">IF(AND(ISNUMBER(C3587),ISNUMBER(D3587)),D3587-C3587,"")</f>
        <v/>
      </c>
      <c r="Z3587" s="23" t="str">
        <f aca="false">IF(B3587="","",IF(MATCH(B3587,$B$2:$B$12000,0)=ROW()-1,1,0))</f>
        <v/>
      </c>
    </row>
    <row r="3588" customFormat="false" ht="15" hidden="false" customHeight="false" outlineLevel="0" collapsed="false">
      <c r="V3588" s="23" t="str">
        <f aca="false">IF(ISNUMBER(C3588),YEAR(C3588),"")</f>
        <v/>
      </c>
      <c r="W3588" s="23" t="str">
        <f aca="false">IF(ISNUMBER(C3588),MONTH(C3588),"")</f>
        <v/>
      </c>
      <c r="X3588" s="23" t="str">
        <f aca="false">IF(T3588="","",IF(T3588=0,"No discount",IF(T3588&lt;=0.2,"Low (1-20%)",IF(T3588&lt;=0.4,"Medium (21-40%)","High (&gt;40%)"))))</f>
        <v/>
      </c>
      <c r="Y3588" s="23" t="str">
        <f aca="false">IF(AND(ISNUMBER(C3588),ISNUMBER(D3588)),D3588-C3588,"")</f>
        <v/>
      </c>
      <c r="Z3588" s="23" t="str">
        <f aca="false">IF(B3588="","",IF(MATCH(B3588,$B$2:$B$12000,0)=ROW()-1,1,0))</f>
        <v/>
      </c>
    </row>
    <row r="3589" customFormat="false" ht="15" hidden="false" customHeight="false" outlineLevel="0" collapsed="false">
      <c r="V3589" s="23" t="str">
        <f aca="false">IF(ISNUMBER(C3589),YEAR(C3589),"")</f>
        <v/>
      </c>
      <c r="W3589" s="23" t="str">
        <f aca="false">IF(ISNUMBER(C3589),MONTH(C3589),"")</f>
        <v/>
      </c>
      <c r="X3589" s="23" t="str">
        <f aca="false">IF(T3589="","",IF(T3589=0,"No discount",IF(T3589&lt;=0.2,"Low (1-20%)",IF(T3589&lt;=0.4,"Medium (21-40%)","High (&gt;40%)"))))</f>
        <v/>
      </c>
      <c r="Y3589" s="23" t="str">
        <f aca="false">IF(AND(ISNUMBER(C3589),ISNUMBER(D3589)),D3589-C3589,"")</f>
        <v/>
      </c>
      <c r="Z3589" s="23" t="str">
        <f aca="false">IF(B3589="","",IF(MATCH(B3589,$B$2:$B$12000,0)=ROW()-1,1,0))</f>
        <v/>
      </c>
    </row>
    <row r="3590" customFormat="false" ht="15" hidden="false" customHeight="false" outlineLevel="0" collapsed="false">
      <c r="V3590" s="23" t="str">
        <f aca="false">IF(ISNUMBER(C3590),YEAR(C3590),"")</f>
        <v/>
      </c>
      <c r="W3590" s="23" t="str">
        <f aca="false">IF(ISNUMBER(C3590),MONTH(C3590),"")</f>
        <v/>
      </c>
      <c r="X3590" s="23" t="str">
        <f aca="false">IF(T3590="","",IF(T3590=0,"No discount",IF(T3590&lt;=0.2,"Low (1-20%)",IF(T3590&lt;=0.4,"Medium (21-40%)","High (&gt;40%)"))))</f>
        <v/>
      </c>
      <c r="Y3590" s="23" t="str">
        <f aca="false">IF(AND(ISNUMBER(C3590),ISNUMBER(D3590)),D3590-C3590,"")</f>
        <v/>
      </c>
      <c r="Z3590" s="23" t="str">
        <f aca="false">IF(B3590="","",IF(MATCH(B3590,$B$2:$B$12000,0)=ROW()-1,1,0))</f>
        <v/>
      </c>
    </row>
    <row r="3591" customFormat="false" ht="15" hidden="false" customHeight="false" outlineLevel="0" collapsed="false">
      <c r="V3591" s="23" t="str">
        <f aca="false">IF(ISNUMBER(C3591),YEAR(C3591),"")</f>
        <v/>
      </c>
      <c r="W3591" s="23" t="str">
        <f aca="false">IF(ISNUMBER(C3591),MONTH(C3591),"")</f>
        <v/>
      </c>
      <c r="X3591" s="23" t="str">
        <f aca="false">IF(T3591="","",IF(T3591=0,"No discount",IF(T3591&lt;=0.2,"Low (1-20%)",IF(T3591&lt;=0.4,"Medium (21-40%)","High (&gt;40%)"))))</f>
        <v/>
      </c>
      <c r="Y3591" s="23" t="str">
        <f aca="false">IF(AND(ISNUMBER(C3591),ISNUMBER(D3591)),D3591-C3591,"")</f>
        <v/>
      </c>
      <c r="Z3591" s="23" t="str">
        <f aca="false">IF(B3591="","",IF(MATCH(B3591,$B$2:$B$12000,0)=ROW()-1,1,0))</f>
        <v/>
      </c>
    </row>
    <row r="3592" customFormat="false" ht="15" hidden="false" customHeight="false" outlineLevel="0" collapsed="false">
      <c r="V3592" s="23" t="str">
        <f aca="false">IF(ISNUMBER(C3592),YEAR(C3592),"")</f>
        <v/>
      </c>
      <c r="W3592" s="23" t="str">
        <f aca="false">IF(ISNUMBER(C3592),MONTH(C3592),"")</f>
        <v/>
      </c>
      <c r="X3592" s="23" t="str">
        <f aca="false">IF(T3592="","",IF(T3592=0,"No discount",IF(T3592&lt;=0.2,"Low (1-20%)",IF(T3592&lt;=0.4,"Medium (21-40%)","High (&gt;40%)"))))</f>
        <v/>
      </c>
      <c r="Y3592" s="23" t="str">
        <f aca="false">IF(AND(ISNUMBER(C3592),ISNUMBER(D3592)),D3592-C3592,"")</f>
        <v/>
      </c>
      <c r="Z3592" s="23" t="str">
        <f aca="false">IF(B3592="","",IF(MATCH(B3592,$B$2:$B$12000,0)=ROW()-1,1,0))</f>
        <v/>
      </c>
    </row>
    <row r="3593" customFormat="false" ht="15" hidden="false" customHeight="false" outlineLevel="0" collapsed="false">
      <c r="V3593" s="23" t="str">
        <f aca="false">IF(ISNUMBER(C3593),YEAR(C3593),"")</f>
        <v/>
      </c>
      <c r="W3593" s="23" t="str">
        <f aca="false">IF(ISNUMBER(C3593),MONTH(C3593),"")</f>
        <v/>
      </c>
      <c r="X3593" s="23" t="str">
        <f aca="false">IF(T3593="","",IF(T3593=0,"No discount",IF(T3593&lt;=0.2,"Low (1-20%)",IF(T3593&lt;=0.4,"Medium (21-40%)","High (&gt;40%)"))))</f>
        <v/>
      </c>
      <c r="Y3593" s="23" t="str">
        <f aca="false">IF(AND(ISNUMBER(C3593),ISNUMBER(D3593)),D3593-C3593,"")</f>
        <v/>
      </c>
      <c r="Z3593" s="23" t="str">
        <f aca="false">IF(B3593="","",IF(MATCH(B3593,$B$2:$B$12000,0)=ROW()-1,1,0))</f>
        <v/>
      </c>
    </row>
    <row r="3594" customFormat="false" ht="15" hidden="false" customHeight="false" outlineLevel="0" collapsed="false">
      <c r="V3594" s="23" t="str">
        <f aca="false">IF(ISNUMBER(C3594),YEAR(C3594),"")</f>
        <v/>
      </c>
      <c r="W3594" s="23" t="str">
        <f aca="false">IF(ISNUMBER(C3594),MONTH(C3594),"")</f>
        <v/>
      </c>
      <c r="X3594" s="23" t="str">
        <f aca="false">IF(T3594="","",IF(T3594=0,"No discount",IF(T3594&lt;=0.2,"Low (1-20%)",IF(T3594&lt;=0.4,"Medium (21-40%)","High (&gt;40%)"))))</f>
        <v/>
      </c>
      <c r="Y3594" s="23" t="str">
        <f aca="false">IF(AND(ISNUMBER(C3594),ISNUMBER(D3594)),D3594-C3594,"")</f>
        <v/>
      </c>
      <c r="Z3594" s="23" t="str">
        <f aca="false">IF(B3594="","",IF(MATCH(B3594,$B$2:$B$12000,0)=ROW()-1,1,0))</f>
        <v/>
      </c>
    </row>
    <row r="3595" customFormat="false" ht="15" hidden="false" customHeight="false" outlineLevel="0" collapsed="false">
      <c r="V3595" s="23" t="str">
        <f aca="false">IF(ISNUMBER(C3595),YEAR(C3595),"")</f>
        <v/>
      </c>
      <c r="W3595" s="23" t="str">
        <f aca="false">IF(ISNUMBER(C3595),MONTH(C3595),"")</f>
        <v/>
      </c>
      <c r="X3595" s="23" t="str">
        <f aca="false">IF(T3595="","",IF(T3595=0,"No discount",IF(T3595&lt;=0.2,"Low (1-20%)",IF(T3595&lt;=0.4,"Medium (21-40%)","High (&gt;40%)"))))</f>
        <v/>
      </c>
      <c r="Y3595" s="23" t="str">
        <f aca="false">IF(AND(ISNUMBER(C3595),ISNUMBER(D3595)),D3595-C3595,"")</f>
        <v/>
      </c>
      <c r="Z3595" s="23" t="str">
        <f aca="false">IF(B3595="","",IF(MATCH(B3595,$B$2:$B$12000,0)=ROW()-1,1,0))</f>
        <v/>
      </c>
    </row>
    <row r="3596" customFormat="false" ht="15" hidden="false" customHeight="false" outlineLevel="0" collapsed="false">
      <c r="V3596" s="23" t="str">
        <f aca="false">IF(ISNUMBER(C3596),YEAR(C3596),"")</f>
        <v/>
      </c>
      <c r="W3596" s="23" t="str">
        <f aca="false">IF(ISNUMBER(C3596),MONTH(C3596),"")</f>
        <v/>
      </c>
      <c r="X3596" s="23" t="str">
        <f aca="false">IF(T3596="","",IF(T3596=0,"No discount",IF(T3596&lt;=0.2,"Low (1-20%)",IF(T3596&lt;=0.4,"Medium (21-40%)","High (&gt;40%)"))))</f>
        <v/>
      </c>
      <c r="Y3596" s="23" t="str">
        <f aca="false">IF(AND(ISNUMBER(C3596),ISNUMBER(D3596)),D3596-C3596,"")</f>
        <v/>
      </c>
      <c r="Z3596" s="23" t="str">
        <f aca="false">IF(B3596="","",IF(MATCH(B3596,$B$2:$B$12000,0)=ROW()-1,1,0))</f>
        <v/>
      </c>
    </row>
    <row r="3597" customFormat="false" ht="15" hidden="false" customHeight="false" outlineLevel="0" collapsed="false">
      <c r="V3597" s="23" t="str">
        <f aca="false">IF(ISNUMBER(C3597),YEAR(C3597),"")</f>
        <v/>
      </c>
      <c r="W3597" s="23" t="str">
        <f aca="false">IF(ISNUMBER(C3597),MONTH(C3597),"")</f>
        <v/>
      </c>
      <c r="X3597" s="23" t="str">
        <f aca="false">IF(T3597="","",IF(T3597=0,"No discount",IF(T3597&lt;=0.2,"Low (1-20%)",IF(T3597&lt;=0.4,"Medium (21-40%)","High (&gt;40%)"))))</f>
        <v/>
      </c>
      <c r="Y3597" s="23" t="str">
        <f aca="false">IF(AND(ISNUMBER(C3597),ISNUMBER(D3597)),D3597-C3597,"")</f>
        <v/>
      </c>
      <c r="Z3597" s="23" t="str">
        <f aca="false">IF(B3597="","",IF(MATCH(B3597,$B$2:$B$12000,0)=ROW()-1,1,0))</f>
        <v/>
      </c>
    </row>
    <row r="3598" customFormat="false" ht="15" hidden="false" customHeight="false" outlineLevel="0" collapsed="false">
      <c r="V3598" s="23" t="str">
        <f aca="false">IF(ISNUMBER(C3598),YEAR(C3598),"")</f>
        <v/>
      </c>
      <c r="W3598" s="23" t="str">
        <f aca="false">IF(ISNUMBER(C3598),MONTH(C3598),"")</f>
        <v/>
      </c>
      <c r="X3598" s="23" t="str">
        <f aca="false">IF(T3598="","",IF(T3598=0,"No discount",IF(T3598&lt;=0.2,"Low (1-20%)",IF(T3598&lt;=0.4,"Medium (21-40%)","High (&gt;40%)"))))</f>
        <v/>
      </c>
      <c r="Y3598" s="23" t="str">
        <f aca="false">IF(AND(ISNUMBER(C3598),ISNUMBER(D3598)),D3598-C3598,"")</f>
        <v/>
      </c>
      <c r="Z3598" s="23" t="str">
        <f aca="false">IF(B3598="","",IF(MATCH(B3598,$B$2:$B$12000,0)=ROW()-1,1,0))</f>
        <v/>
      </c>
    </row>
    <row r="3599" customFormat="false" ht="15" hidden="false" customHeight="false" outlineLevel="0" collapsed="false">
      <c r="V3599" s="23" t="str">
        <f aca="false">IF(ISNUMBER(C3599),YEAR(C3599),"")</f>
        <v/>
      </c>
      <c r="W3599" s="23" t="str">
        <f aca="false">IF(ISNUMBER(C3599),MONTH(C3599),"")</f>
        <v/>
      </c>
      <c r="X3599" s="23" t="str">
        <f aca="false">IF(T3599="","",IF(T3599=0,"No discount",IF(T3599&lt;=0.2,"Low (1-20%)",IF(T3599&lt;=0.4,"Medium (21-40%)","High (&gt;40%)"))))</f>
        <v/>
      </c>
      <c r="Y3599" s="23" t="str">
        <f aca="false">IF(AND(ISNUMBER(C3599),ISNUMBER(D3599)),D3599-C3599,"")</f>
        <v/>
      </c>
      <c r="Z3599" s="23" t="str">
        <f aca="false">IF(B3599="","",IF(MATCH(B3599,$B$2:$B$12000,0)=ROW()-1,1,0))</f>
        <v/>
      </c>
    </row>
    <row r="3600" customFormat="false" ht="15" hidden="false" customHeight="false" outlineLevel="0" collapsed="false">
      <c r="V3600" s="23" t="str">
        <f aca="false">IF(ISNUMBER(C3600),YEAR(C3600),"")</f>
        <v/>
      </c>
      <c r="W3600" s="23" t="str">
        <f aca="false">IF(ISNUMBER(C3600),MONTH(C3600),"")</f>
        <v/>
      </c>
      <c r="X3600" s="23" t="str">
        <f aca="false">IF(T3600="","",IF(T3600=0,"No discount",IF(T3600&lt;=0.2,"Low (1-20%)",IF(T3600&lt;=0.4,"Medium (21-40%)","High (&gt;40%)"))))</f>
        <v/>
      </c>
      <c r="Y3600" s="23" t="str">
        <f aca="false">IF(AND(ISNUMBER(C3600),ISNUMBER(D3600)),D3600-C3600,"")</f>
        <v/>
      </c>
      <c r="Z3600" s="23" t="str">
        <f aca="false">IF(B3600="","",IF(MATCH(B3600,$B$2:$B$12000,0)=ROW()-1,1,0))</f>
        <v/>
      </c>
    </row>
    <row r="3601" customFormat="false" ht="15" hidden="false" customHeight="false" outlineLevel="0" collapsed="false">
      <c r="V3601" s="23" t="str">
        <f aca="false">IF(ISNUMBER(C3601),YEAR(C3601),"")</f>
        <v/>
      </c>
      <c r="W3601" s="23" t="str">
        <f aca="false">IF(ISNUMBER(C3601),MONTH(C3601),"")</f>
        <v/>
      </c>
      <c r="X3601" s="23" t="str">
        <f aca="false">IF(T3601="","",IF(T3601=0,"No discount",IF(T3601&lt;=0.2,"Low (1-20%)",IF(T3601&lt;=0.4,"Medium (21-40%)","High (&gt;40%)"))))</f>
        <v/>
      </c>
      <c r="Y3601" s="23" t="str">
        <f aca="false">IF(AND(ISNUMBER(C3601),ISNUMBER(D3601)),D3601-C3601,"")</f>
        <v/>
      </c>
      <c r="Z3601" s="23" t="str">
        <f aca="false">IF(B3601="","",IF(MATCH(B3601,$B$2:$B$12000,0)=ROW()-1,1,0))</f>
        <v/>
      </c>
    </row>
    <row r="3602" customFormat="false" ht="15" hidden="false" customHeight="false" outlineLevel="0" collapsed="false">
      <c r="V3602" s="23" t="str">
        <f aca="false">IF(ISNUMBER(C3602),YEAR(C3602),"")</f>
        <v/>
      </c>
      <c r="W3602" s="23" t="str">
        <f aca="false">IF(ISNUMBER(C3602),MONTH(C3602),"")</f>
        <v/>
      </c>
      <c r="X3602" s="23" t="str">
        <f aca="false">IF(T3602="","",IF(T3602=0,"No discount",IF(T3602&lt;=0.2,"Low (1-20%)",IF(T3602&lt;=0.4,"Medium (21-40%)","High (&gt;40%)"))))</f>
        <v/>
      </c>
      <c r="Y3602" s="23" t="str">
        <f aca="false">IF(AND(ISNUMBER(C3602),ISNUMBER(D3602)),D3602-C3602,"")</f>
        <v/>
      </c>
      <c r="Z3602" s="23" t="str">
        <f aca="false">IF(B3602="","",IF(MATCH(B3602,$B$2:$B$12000,0)=ROW()-1,1,0))</f>
        <v/>
      </c>
    </row>
    <row r="3603" customFormat="false" ht="15" hidden="false" customHeight="false" outlineLevel="0" collapsed="false">
      <c r="V3603" s="23" t="str">
        <f aca="false">IF(ISNUMBER(C3603),YEAR(C3603),"")</f>
        <v/>
      </c>
      <c r="W3603" s="23" t="str">
        <f aca="false">IF(ISNUMBER(C3603),MONTH(C3603),"")</f>
        <v/>
      </c>
      <c r="X3603" s="23" t="str">
        <f aca="false">IF(T3603="","",IF(T3603=0,"No discount",IF(T3603&lt;=0.2,"Low (1-20%)",IF(T3603&lt;=0.4,"Medium (21-40%)","High (&gt;40%)"))))</f>
        <v/>
      </c>
      <c r="Y3603" s="23" t="str">
        <f aca="false">IF(AND(ISNUMBER(C3603),ISNUMBER(D3603)),D3603-C3603,"")</f>
        <v/>
      </c>
      <c r="Z3603" s="23" t="str">
        <f aca="false">IF(B3603="","",IF(MATCH(B3603,$B$2:$B$12000,0)=ROW()-1,1,0))</f>
        <v/>
      </c>
    </row>
    <row r="3604" customFormat="false" ht="15" hidden="false" customHeight="false" outlineLevel="0" collapsed="false">
      <c r="V3604" s="23" t="str">
        <f aca="false">IF(ISNUMBER(C3604),YEAR(C3604),"")</f>
        <v/>
      </c>
      <c r="W3604" s="23" t="str">
        <f aca="false">IF(ISNUMBER(C3604),MONTH(C3604),"")</f>
        <v/>
      </c>
      <c r="X3604" s="23" t="str">
        <f aca="false">IF(T3604="","",IF(T3604=0,"No discount",IF(T3604&lt;=0.2,"Low (1-20%)",IF(T3604&lt;=0.4,"Medium (21-40%)","High (&gt;40%)"))))</f>
        <v/>
      </c>
      <c r="Y3604" s="23" t="str">
        <f aca="false">IF(AND(ISNUMBER(C3604),ISNUMBER(D3604)),D3604-C3604,"")</f>
        <v/>
      </c>
      <c r="Z3604" s="23" t="str">
        <f aca="false">IF(B3604="","",IF(MATCH(B3604,$B$2:$B$12000,0)=ROW()-1,1,0))</f>
        <v/>
      </c>
    </row>
    <row r="3605" customFormat="false" ht="15" hidden="false" customHeight="false" outlineLevel="0" collapsed="false">
      <c r="V3605" s="23" t="str">
        <f aca="false">IF(ISNUMBER(C3605),YEAR(C3605),"")</f>
        <v/>
      </c>
      <c r="W3605" s="23" t="str">
        <f aca="false">IF(ISNUMBER(C3605),MONTH(C3605),"")</f>
        <v/>
      </c>
      <c r="X3605" s="23" t="str">
        <f aca="false">IF(T3605="","",IF(T3605=0,"No discount",IF(T3605&lt;=0.2,"Low (1-20%)",IF(T3605&lt;=0.4,"Medium (21-40%)","High (&gt;40%)"))))</f>
        <v/>
      </c>
      <c r="Y3605" s="23" t="str">
        <f aca="false">IF(AND(ISNUMBER(C3605),ISNUMBER(D3605)),D3605-C3605,"")</f>
        <v/>
      </c>
      <c r="Z3605" s="23" t="str">
        <f aca="false">IF(B3605="","",IF(MATCH(B3605,$B$2:$B$12000,0)=ROW()-1,1,0))</f>
        <v/>
      </c>
    </row>
    <row r="3606" customFormat="false" ht="15" hidden="false" customHeight="false" outlineLevel="0" collapsed="false">
      <c r="V3606" s="23" t="str">
        <f aca="false">IF(ISNUMBER(C3606),YEAR(C3606),"")</f>
        <v/>
      </c>
      <c r="W3606" s="23" t="str">
        <f aca="false">IF(ISNUMBER(C3606),MONTH(C3606),"")</f>
        <v/>
      </c>
      <c r="X3606" s="23" t="str">
        <f aca="false">IF(T3606="","",IF(T3606=0,"No discount",IF(T3606&lt;=0.2,"Low (1-20%)",IF(T3606&lt;=0.4,"Medium (21-40%)","High (&gt;40%)"))))</f>
        <v/>
      </c>
      <c r="Y3606" s="23" t="str">
        <f aca="false">IF(AND(ISNUMBER(C3606),ISNUMBER(D3606)),D3606-C3606,"")</f>
        <v/>
      </c>
      <c r="Z3606" s="23" t="str">
        <f aca="false">IF(B3606="","",IF(MATCH(B3606,$B$2:$B$12000,0)=ROW()-1,1,0))</f>
        <v/>
      </c>
    </row>
    <row r="3607" customFormat="false" ht="15" hidden="false" customHeight="false" outlineLevel="0" collapsed="false">
      <c r="V3607" s="23" t="str">
        <f aca="false">IF(ISNUMBER(C3607),YEAR(C3607),"")</f>
        <v/>
      </c>
      <c r="W3607" s="23" t="str">
        <f aca="false">IF(ISNUMBER(C3607),MONTH(C3607),"")</f>
        <v/>
      </c>
      <c r="X3607" s="23" t="str">
        <f aca="false">IF(T3607="","",IF(T3607=0,"No discount",IF(T3607&lt;=0.2,"Low (1-20%)",IF(T3607&lt;=0.4,"Medium (21-40%)","High (&gt;40%)"))))</f>
        <v/>
      </c>
      <c r="Y3607" s="23" t="str">
        <f aca="false">IF(AND(ISNUMBER(C3607),ISNUMBER(D3607)),D3607-C3607,"")</f>
        <v/>
      </c>
      <c r="Z3607" s="23" t="str">
        <f aca="false">IF(B3607="","",IF(MATCH(B3607,$B$2:$B$12000,0)=ROW()-1,1,0))</f>
        <v/>
      </c>
    </row>
    <row r="3608" customFormat="false" ht="15" hidden="false" customHeight="false" outlineLevel="0" collapsed="false">
      <c r="V3608" s="23" t="str">
        <f aca="false">IF(ISNUMBER(C3608),YEAR(C3608),"")</f>
        <v/>
      </c>
      <c r="W3608" s="23" t="str">
        <f aca="false">IF(ISNUMBER(C3608),MONTH(C3608),"")</f>
        <v/>
      </c>
      <c r="X3608" s="23" t="str">
        <f aca="false">IF(T3608="","",IF(T3608=0,"No discount",IF(T3608&lt;=0.2,"Low (1-20%)",IF(T3608&lt;=0.4,"Medium (21-40%)","High (&gt;40%)"))))</f>
        <v/>
      </c>
      <c r="Y3608" s="23" t="str">
        <f aca="false">IF(AND(ISNUMBER(C3608),ISNUMBER(D3608)),D3608-C3608,"")</f>
        <v/>
      </c>
      <c r="Z3608" s="23" t="str">
        <f aca="false">IF(B3608="","",IF(MATCH(B3608,$B$2:$B$12000,0)=ROW()-1,1,0))</f>
        <v/>
      </c>
    </row>
    <row r="3609" customFormat="false" ht="15" hidden="false" customHeight="false" outlineLevel="0" collapsed="false">
      <c r="V3609" s="23" t="str">
        <f aca="false">IF(ISNUMBER(C3609),YEAR(C3609),"")</f>
        <v/>
      </c>
      <c r="W3609" s="23" t="str">
        <f aca="false">IF(ISNUMBER(C3609),MONTH(C3609),"")</f>
        <v/>
      </c>
      <c r="X3609" s="23" t="str">
        <f aca="false">IF(T3609="","",IF(T3609=0,"No discount",IF(T3609&lt;=0.2,"Low (1-20%)",IF(T3609&lt;=0.4,"Medium (21-40%)","High (&gt;40%)"))))</f>
        <v/>
      </c>
      <c r="Y3609" s="23" t="str">
        <f aca="false">IF(AND(ISNUMBER(C3609),ISNUMBER(D3609)),D3609-C3609,"")</f>
        <v/>
      </c>
      <c r="Z3609" s="23" t="str">
        <f aca="false">IF(B3609="","",IF(MATCH(B3609,$B$2:$B$12000,0)=ROW()-1,1,0))</f>
        <v/>
      </c>
    </row>
    <row r="3610" customFormat="false" ht="15" hidden="false" customHeight="false" outlineLevel="0" collapsed="false">
      <c r="V3610" s="23" t="str">
        <f aca="false">IF(ISNUMBER(C3610),YEAR(C3610),"")</f>
        <v/>
      </c>
      <c r="W3610" s="23" t="str">
        <f aca="false">IF(ISNUMBER(C3610),MONTH(C3610),"")</f>
        <v/>
      </c>
      <c r="X3610" s="23" t="str">
        <f aca="false">IF(T3610="","",IF(T3610=0,"No discount",IF(T3610&lt;=0.2,"Low (1-20%)",IF(T3610&lt;=0.4,"Medium (21-40%)","High (&gt;40%)"))))</f>
        <v/>
      </c>
      <c r="Y3610" s="23" t="str">
        <f aca="false">IF(AND(ISNUMBER(C3610),ISNUMBER(D3610)),D3610-C3610,"")</f>
        <v/>
      </c>
      <c r="Z3610" s="23" t="str">
        <f aca="false">IF(B3610="","",IF(MATCH(B3610,$B$2:$B$12000,0)=ROW()-1,1,0))</f>
        <v/>
      </c>
    </row>
    <row r="3611" customFormat="false" ht="15" hidden="false" customHeight="false" outlineLevel="0" collapsed="false">
      <c r="V3611" s="23" t="str">
        <f aca="false">IF(ISNUMBER(C3611),YEAR(C3611),"")</f>
        <v/>
      </c>
      <c r="W3611" s="23" t="str">
        <f aca="false">IF(ISNUMBER(C3611),MONTH(C3611),"")</f>
        <v/>
      </c>
      <c r="X3611" s="23" t="str">
        <f aca="false">IF(T3611="","",IF(T3611=0,"No discount",IF(T3611&lt;=0.2,"Low (1-20%)",IF(T3611&lt;=0.4,"Medium (21-40%)","High (&gt;40%)"))))</f>
        <v/>
      </c>
      <c r="Y3611" s="23" t="str">
        <f aca="false">IF(AND(ISNUMBER(C3611),ISNUMBER(D3611)),D3611-C3611,"")</f>
        <v/>
      </c>
      <c r="Z3611" s="23" t="str">
        <f aca="false">IF(B3611="","",IF(MATCH(B3611,$B$2:$B$12000,0)=ROW()-1,1,0))</f>
        <v/>
      </c>
    </row>
    <row r="3612" customFormat="false" ht="15" hidden="false" customHeight="false" outlineLevel="0" collapsed="false">
      <c r="V3612" s="23" t="str">
        <f aca="false">IF(ISNUMBER(C3612),YEAR(C3612),"")</f>
        <v/>
      </c>
      <c r="W3612" s="23" t="str">
        <f aca="false">IF(ISNUMBER(C3612),MONTH(C3612),"")</f>
        <v/>
      </c>
      <c r="X3612" s="23" t="str">
        <f aca="false">IF(T3612="","",IF(T3612=0,"No discount",IF(T3612&lt;=0.2,"Low (1-20%)",IF(T3612&lt;=0.4,"Medium (21-40%)","High (&gt;40%)"))))</f>
        <v/>
      </c>
      <c r="Y3612" s="23" t="str">
        <f aca="false">IF(AND(ISNUMBER(C3612),ISNUMBER(D3612)),D3612-C3612,"")</f>
        <v/>
      </c>
      <c r="Z3612" s="23" t="str">
        <f aca="false">IF(B3612="","",IF(MATCH(B3612,$B$2:$B$12000,0)=ROW()-1,1,0))</f>
        <v/>
      </c>
    </row>
    <row r="3613" customFormat="false" ht="15" hidden="false" customHeight="false" outlineLevel="0" collapsed="false">
      <c r="V3613" s="23" t="str">
        <f aca="false">IF(ISNUMBER(C3613),YEAR(C3613),"")</f>
        <v/>
      </c>
      <c r="W3613" s="23" t="str">
        <f aca="false">IF(ISNUMBER(C3613),MONTH(C3613),"")</f>
        <v/>
      </c>
      <c r="X3613" s="23" t="str">
        <f aca="false">IF(T3613="","",IF(T3613=0,"No discount",IF(T3613&lt;=0.2,"Low (1-20%)",IF(T3613&lt;=0.4,"Medium (21-40%)","High (&gt;40%)"))))</f>
        <v/>
      </c>
      <c r="Y3613" s="23" t="str">
        <f aca="false">IF(AND(ISNUMBER(C3613),ISNUMBER(D3613)),D3613-C3613,"")</f>
        <v/>
      </c>
      <c r="Z3613" s="23" t="str">
        <f aca="false">IF(B3613="","",IF(MATCH(B3613,$B$2:$B$12000,0)=ROW()-1,1,0))</f>
        <v/>
      </c>
    </row>
    <row r="3614" customFormat="false" ht="15" hidden="false" customHeight="false" outlineLevel="0" collapsed="false">
      <c r="V3614" s="23" t="str">
        <f aca="false">IF(ISNUMBER(C3614),YEAR(C3614),"")</f>
        <v/>
      </c>
      <c r="W3614" s="23" t="str">
        <f aca="false">IF(ISNUMBER(C3614),MONTH(C3614),"")</f>
        <v/>
      </c>
      <c r="X3614" s="23" t="str">
        <f aca="false">IF(T3614="","",IF(T3614=0,"No discount",IF(T3614&lt;=0.2,"Low (1-20%)",IF(T3614&lt;=0.4,"Medium (21-40%)","High (&gt;40%)"))))</f>
        <v/>
      </c>
      <c r="Y3614" s="23" t="str">
        <f aca="false">IF(AND(ISNUMBER(C3614),ISNUMBER(D3614)),D3614-C3614,"")</f>
        <v/>
      </c>
      <c r="Z3614" s="23" t="str">
        <f aca="false">IF(B3614="","",IF(MATCH(B3614,$B$2:$B$12000,0)=ROW()-1,1,0))</f>
        <v/>
      </c>
    </row>
    <row r="3615" customFormat="false" ht="15" hidden="false" customHeight="false" outlineLevel="0" collapsed="false">
      <c r="V3615" s="23" t="str">
        <f aca="false">IF(ISNUMBER(C3615),YEAR(C3615),"")</f>
        <v/>
      </c>
      <c r="W3615" s="23" t="str">
        <f aca="false">IF(ISNUMBER(C3615),MONTH(C3615),"")</f>
        <v/>
      </c>
      <c r="X3615" s="23" t="str">
        <f aca="false">IF(T3615="","",IF(T3615=0,"No discount",IF(T3615&lt;=0.2,"Low (1-20%)",IF(T3615&lt;=0.4,"Medium (21-40%)","High (&gt;40%)"))))</f>
        <v/>
      </c>
      <c r="Y3615" s="23" t="str">
        <f aca="false">IF(AND(ISNUMBER(C3615),ISNUMBER(D3615)),D3615-C3615,"")</f>
        <v/>
      </c>
      <c r="Z3615" s="23" t="str">
        <f aca="false">IF(B3615="","",IF(MATCH(B3615,$B$2:$B$12000,0)=ROW()-1,1,0))</f>
        <v/>
      </c>
    </row>
    <row r="3616" customFormat="false" ht="15" hidden="false" customHeight="false" outlineLevel="0" collapsed="false">
      <c r="V3616" s="23" t="str">
        <f aca="false">IF(ISNUMBER(C3616),YEAR(C3616),"")</f>
        <v/>
      </c>
      <c r="W3616" s="23" t="str">
        <f aca="false">IF(ISNUMBER(C3616),MONTH(C3616),"")</f>
        <v/>
      </c>
      <c r="X3616" s="23" t="str">
        <f aca="false">IF(T3616="","",IF(T3616=0,"No discount",IF(T3616&lt;=0.2,"Low (1-20%)",IF(T3616&lt;=0.4,"Medium (21-40%)","High (&gt;40%)"))))</f>
        <v/>
      </c>
      <c r="Y3616" s="23" t="str">
        <f aca="false">IF(AND(ISNUMBER(C3616),ISNUMBER(D3616)),D3616-C3616,"")</f>
        <v/>
      </c>
      <c r="Z3616" s="23" t="str">
        <f aca="false">IF(B3616="","",IF(MATCH(B3616,$B$2:$B$12000,0)=ROW()-1,1,0))</f>
        <v/>
      </c>
    </row>
    <row r="3617" customFormat="false" ht="15" hidden="false" customHeight="false" outlineLevel="0" collapsed="false">
      <c r="V3617" s="23" t="str">
        <f aca="false">IF(ISNUMBER(C3617),YEAR(C3617),"")</f>
        <v/>
      </c>
      <c r="W3617" s="23" t="str">
        <f aca="false">IF(ISNUMBER(C3617),MONTH(C3617),"")</f>
        <v/>
      </c>
      <c r="X3617" s="23" t="str">
        <f aca="false">IF(T3617="","",IF(T3617=0,"No discount",IF(T3617&lt;=0.2,"Low (1-20%)",IF(T3617&lt;=0.4,"Medium (21-40%)","High (&gt;40%)"))))</f>
        <v/>
      </c>
      <c r="Y3617" s="23" t="str">
        <f aca="false">IF(AND(ISNUMBER(C3617),ISNUMBER(D3617)),D3617-C3617,"")</f>
        <v/>
      </c>
      <c r="Z3617" s="23" t="str">
        <f aca="false">IF(B3617="","",IF(MATCH(B3617,$B$2:$B$12000,0)=ROW()-1,1,0))</f>
        <v/>
      </c>
    </row>
    <row r="3618" customFormat="false" ht="15" hidden="false" customHeight="false" outlineLevel="0" collapsed="false">
      <c r="V3618" s="23" t="str">
        <f aca="false">IF(ISNUMBER(C3618),YEAR(C3618),"")</f>
        <v/>
      </c>
      <c r="W3618" s="23" t="str">
        <f aca="false">IF(ISNUMBER(C3618),MONTH(C3618),"")</f>
        <v/>
      </c>
      <c r="X3618" s="23" t="str">
        <f aca="false">IF(T3618="","",IF(T3618=0,"No discount",IF(T3618&lt;=0.2,"Low (1-20%)",IF(T3618&lt;=0.4,"Medium (21-40%)","High (&gt;40%)"))))</f>
        <v/>
      </c>
      <c r="Y3618" s="23" t="str">
        <f aca="false">IF(AND(ISNUMBER(C3618),ISNUMBER(D3618)),D3618-C3618,"")</f>
        <v/>
      </c>
      <c r="Z3618" s="23" t="str">
        <f aca="false">IF(B3618="","",IF(MATCH(B3618,$B$2:$B$12000,0)=ROW()-1,1,0))</f>
        <v/>
      </c>
    </row>
    <row r="3619" customFormat="false" ht="15" hidden="false" customHeight="false" outlineLevel="0" collapsed="false">
      <c r="V3619" s="23" t="str">
        <f aca="false">IF(ISNUMBER(C3619),YEAR(C3619),"")</f>
        <v/>
      </c>
      <c r="W3619" s="23" t="str">
        <f aca="false">IF(ISNUMBER(C3619),MONTH(C3619),"")</f>
        <v/>
      </c>
      <c r="X3619" s="23" t="str">
        <f aca="false">IF(T3619="","",IF(T3619=0,"No discount",IF(T3619&lt;=0.2,"Low (1-20%)",IF(T3619&lt;=0.4,"Medium (21-40%)","High (&gt;40%)"))))</f>
        <v/>
      </c>
      <c r="Y3619" s="23" t="str">
        <f aca="false">IF(AND(ISNUMBER(C3619),ISNUMBER(D3619)),D3619-C3619,"")</f>
        <v/>
      </c>
      <c r="Z3619" s="23" t="str">
        <f aca="false">IF(B3619="","",IF(MATCH(B3619,$B$2:$B$12000,0)=ROW()-1,1,0))</f>
        <v/>
      </c>
    </row>
    <row r="3620" customFormat="false" ht="15" hidden="false" customHeight="false" outlineLevel="0" collapsed="false">
      <c r="V3620" s="23" t="str">
        <f aca="false">IF(ISNUMBER(C3620),YEAR(C3620),"")</f>
        <v/>
      </c>
      <c r="W3620" s="23" t="str">
        <f aca="false">IF(ISNUMBER(C3620),MONTH(C3620),"")</f>
        <v/>
      </c>
      <c r="X3620" s="23" t="str">
        <f aca="false">IF(T3620="","",IF(T3620=0,"No discount",IF(T3620&lt;=0.2,"Low (1-20%)",IF(T3620&lt;=0.4,"Medium (21-40%)","High (&gt;40%)"))))</f>
        <v/>
      </c>
      <c r="Y3620" s="23" t="str">
        <f aca="false">IF(AND(ISNUMBER(C3620),ISNUMBER(D3620)),D3620-C3620,"")</f>
        <v/>
      </c>
      <c r="Z3620" s="23" t="str">
        <f aca="false">IF(B3620="","",IF(MATCH(B3620,$B$2:$B$12000,0)=ROW()-1,1,0))</f>
        <v/>
      </c>
    </row>
    <row r="3621" customFormat="false" ht="15" hidden="false" customHeight="false" outlineLevel="0" collapsed="false">
      <c r="V3621" s="23" t="str">
        <f aca="false">IF(ISNUMBER(C3621),YEAR(C3621),"")</f>
        <v/>
      </c>
      <c r="W3621" s="23" t="str">
        <f aca="false">IF(ISNUMBER(C3621),MONTH(C3621),"")</f>
        <v/>
      </c>
      <c r="X3621" s="23" t="str">
        <f aca="false">IF(T3621="","",IF(T3621=0,"No discount",IF(T3621&lt;=0.2,"Low (1-20%)",IF(T3621&lt;=0.4,"Medium (21-40%)","High (&gt;40%)"))))</f>
        <v/>
      </c>
      <c r="Y3621" s="23" t="str">
        <f aca="false">IF(AND(ISNUMBER(C3621),ISNUMBER(D3621)),D3621-C3621,"")</f>
        <v/>
      </c>
      <c r="Z3621" s="23" t="str">
        <f aca="false">IF(B3621="","",IF(MATCH(B3621,$B$2:$B$12000,0)=ROW()-1,1,0))</f>
        <v/>
      </c>
    </row>
    <row r="3622" customFormat="false" ht="15" hidden="false" customHeight="false" outlineLevel="0" collapsed="false">
      <c r="V3622" s="23" t="str">
        <f aca="false">IF(ISNUMBER(C3622),YEAR(C3622),"")</f>
        <v/>
      </c>
      <c r="W3622" s="23" t="str">
        <f aca="false">IF(ISNUMBER(C3622),MONTH(C3622),"")</f>
        <v/>
      </c>
      <c r="X3622" s="23" t="str">
        <f aca="false">IF(T3622="","",IF(T3622=0,"No discount",IF(T3622&lt;=0.2,"Low (1-20%)",IF(T3622&lt;=0.4,"Medium (21-40%)","High (&gt;40%)"))))</f>
        <v/>
      </c>
      <c r="Y3622" s="23" t="str">
        <f aca="false">IF(AND(ISNUMBER(C3622),ISNUMBER(D3622)),D3622-C3622,"")</f>
        <v/>
      </c>
      <c r="Z3622" s="23" t="str">
        <f aca="false">IF(B3622="","",IF(MATCH(B3622,$B$2:$B$12000,0)=ROW()-1,1,0))</f>
        <v/>
      </c>
    </row>
    <row r="3623" customFormat="false" ht="15" hidden="false" customHeight="false" outlineLevel="0" collapsed="false">
      <c r="V3623" s="23" t="str">
        <f aca="false">IF(ISNUMBER(C3623),YEAR(C3623),"")</f>
        <v/>
      </c>
      <c r="W3623" s="23" t="str">
        <f aca="false">IF(ISNUMBER(C3623),MONTH(C3623),"")</f>
        <v/>
      </c>
      <c r="X3623" s="23" t="str">
        <f aca="false">IF(T3623="","",IF(T3623=0,"No discount",IF(T3623&lt;=0.2,"Low (1-20%)",IF(T3623&lt;=0.4,"Medium (21-40%)","High (&gt;40%)"))))</f>
        <v/>
      </c>
      <c r="Y3623" s="23" t="str">
        <f aca="false">IF(AND(ISNUMBER(C3623),ISNUMBER(D3623)),D3623-C3623,"")</f>
        <v/>
      </c>
      <c r="Z3623" s="23" t="str">
        <f aca="false">IF(B3623="","",IF(MATCH(B3623,$B$2:$B$12000,0)=ROW()-1,1,0))</f>
        <v/>
      </c>
    </row>
    <row r="3624" customFormat="false" ht="15" hidden="false" customHeight="false" outlineLevel="0" collapsed="false">
      <c r="V3624" s="23" t="str">
        <f aca="false">IF(ISNUMBER(C3624),YEAR(C3624),"")</f>
        <v/>
      </c>
      <c r="W3624" s="23" t="str">
        <f aca="false">IF(ISNUMBER(C3624),MONTH(C3624),"")</f>
        <v/>
      </c>
      <c r="X3624" s="23" t="str">
        <f aca="false">IF(T3624="","",IF(T3624=0,"No discount",IF(T3624&lt;=0.2,"Low (1-20%)",IF(T3624&lt;=0.4,"Medium (21-40%)","High (&gt;40%)"))))</f>
        <v/>
      </c>
      <c r="Y3624" s="23" t="str">
        <f aca="false">IF(AND(ISNUMBER(C3624),ISNUMBER(D3624)),D3624-C3624,"")</f>
        <v/>
      </c>
      <c r="Z3624" s="23" t="str">
        <f aca="false">IF(B3624="","",IF(MATCH(B3624,$B$2:$B$12000,0)=ROW()-1,1,0))</f>
        <v/>
      </c>
    </row>
    <row r="3625" customFormat="false" ht="15" hidden="false" customHeight="false" outlineLevel="0" collapsed="false">
      <c r="V3625" s="23" t="str">
        <f aca="false">IF(ISNUMBER(C3625),YEAR(C3625),"")</f>
        <v/>
      </c>
      <c r="W3625" s="23" t="str">
        <f aca="false">IF(ISNUMBER(C3625),MONTH(C3625),"")</f>
        <v/>
      </c>
      <c r="X3625" s="23" t="str">
        <f aca="false">IF(T3625="","",IF(T3625=0,"No discount",IF(T3625&lt;=0.2,"Low (1-20%)",IF(T3625&lt;=0.4,"Medium (21-40%)","High (&gt;40%)"))))</f>
        <v/>
      </c>
      <c r="Y3625" s="23" t="str">
        <f aca="false">IF(AND(ISNUMBER(C3625),ISNUMBER(D3625)),D3625-C3625,"")</f>
        <v/>
      </c>
      <c r="Z3625" s="23" t="str">
        <f aca="false">IF(B3625="","",IF(MATCH(B3625,$B$2:$B$12000,0)=ROW()-1,1,0))</f>
        <v/>
      </c>
    </row>
    <row r="3626" customFormat="false" ht="15" hidden="false" customHeight="false" outlineLevel="0" collapsed="false">
      <c r="V3626" s="23" t="str">
        <f aca="false">IF(ISNUMBER(C3626),YEAR(C3626),"")</f>
        <v/>
      </c>
      <c r="W3626" s="23" t="str">
        <f aca="false">IF(ISNUMBER(C3626),MONTH(C3626),"")</f>
        <v/>
      </c>
      <c r="X3626" s="23" t="str">
        <f aca="false">IF(T3626="","",IF(T3626=0,"No discount",IF(T3626&lt;=0.2,"Low (1-20%)",IF(T3626&lt;=0.4,"Medium (21-40%)","High (&gt;40%)"))))</f>
        <v/>
      </c>
      <c r="Y3626" s="23" t="str">
        <f aca="false">IF(AND(ISNUMBER(C3626),ISNUMBER(D3626)),D3626-C3626,"")</f>
        <v/>
      </c>
      <c r="Z3626" s="23" t="str">
        <f aca="false">IF(B3626="","",IF(MATCH(B3626,$B$2:$B$12000,0)=ROW()-1,1,0))</f>
        <v/>
      </c>
    </row>
    <row r="3627" customFormat="false" ht="15" hidden="false" customHeight="false" outlineLevel="0" collapsed="false">
      <c r="V3627" s="23" t="str">
        <f aca="false">IF(ISNUMBER(C3627),YEAR(C3627),"")</f>
        <v/>
      </c>
      <c r="W3627" s="23" t="str">
        <f aca="false">IF(ISNUMBER(C3627),MONTH(C3627),"")</f>
        <v/>
      </c>
      <c r="X3627" s="23" t="str">
        <f aca="false">IF(T3627="","",IF(T3627=0,"No discount",IF(T3627&lt;=0.2,"Low (1-20%)",IF(T3627&lt;=0.4,"Medium (21-40%)","High (&gt;40%)"))))</f>
        <v/>
      </c>
      <c r="Y3627" s="23" t="str">
        <f aca="false">IF(AND(ISNUMBER(C3627),ISNUMBER(D3627)),D3627-C3627,"")</f>
        <v/>
      </c>
      <c r="Z3627" s="23" t="str">
        <f aca="false">IF(B3627="","",IF(MATCH(B3627,$B$2:$B$12000,0)=ROW()-1,1,0))</f>
        <v/>
      </c>
    </row>
    <row r="3628" customFormat="false" ht="15" hidden="false" customHeight="false" outlineLevel="0" collapsed="false">
      <c r="V3628" s="23" t="str">
        <f aca="false">IF(ISNUMBER(C3628),YEAR(C3628),"")</f>
        <v/>
      </c>
      <c r="W3628" s="23" t="str">
        <f aca="false">IF(ISNUMBER(C3628),MONTH(C3628),"")</f>
        <v/>
      </c>
      <c r="X3628" s="23" t="str">
        <f aca="false">IF(T3628="","",IF(T3628=0,"No discount",IF(T3628&lt;=0.2,"Low (1-20%)",IF(T3628&lt;=0.4,"Medium (21-40%)","High (&gt;40%)"))))</f>
        <v/>
      </c>
      <c r="Y3628" s="23" t="str">
        <f aca="false">IF(AND(ISNUMBER(C3628),ISNUMBER(D3628)),D3628-C3628,"")</f>
        <v/>
      </c>
      <c r="Z3628" s="23" t="str">
        <f aca="false">IF(B3628="","",IF(MATCH(B3628,$B$2:$B$12000,0)=ROW()-1,1,0))</f>
        <v/>
      </c>
    </row>
    <row r="3629" customFormat="false" ht="15" hidden="false" customHeight="false" outlineLevel="0" collapsed="false">
      <c r="V3629" s="23" t="str">
        <f aca="false">IF(ISNUMBER(C3629),YEAR(C3629),"")</f>
        <v/>
      </c>
      <c r="W3629" s="23" t="str">
        <f aca="false">IF(ISNUMBER(C3629),MONTH(C3629),"")</f>
        <v/>
      </c>
      <c r="X3629" s="23" t="str">
        <f aca="false">IF(T3629="","",IF(T3629=0,"No discount",IF(T3629&lt;=0.2,"Low (1-20%)",IF(T3629&lt;=0.4,"Medium (21-40%)","High (&gt;40%)"))))</f>
        <v/>
      </c>
      <c r="Y3629" s="23" t="str">
        <f aca="false">IF(AND(ISNUMBER(C3629),ISNUMBER(D3629)),D3629-C3629,"")</f>
        <v/>
      </c>
      <c r="Z3629" s="23" t="str">
        <f aca="false">IF(B3629="","",IF(MATCH(B3629,$B$2:$B$12000,0)=ROW()-1,1,0))</f>
        <v/>
      </c>
    </row>
    <row r="3630" customFormat="false" ht="15" hidden="false" customHeight="false" outlineLevel="0" collapsed="false">
      <c r="V3630" s="23" t="str">
        <f aca="false">IF(ISNUMBER(C3630),YEAR(C3630),"")</f>
        <v/>
      </c>
      <c r="W3630" s="23" t="str">
        <f aca="false">IF(ISNUMBER(C3630),MONTH(C3630),"")</f>
        <v/>
      </c>
      <c r="X3630" s="23" t="str">
        <f aca="false">IF(T3630="","",IF(T3630=0,"No discount",IF(T3630&lt;=0.2,"Low (1-20%)",IF(T3630&lt;=0.4,"Medium (21-40%)","High (&gt;40%)"))))</f>
        <v/>
      </c>
      <c r="Y3630" s="23" t="str">
        <f aca="false">IF(AND(ISNUMBER(C3630),ISNUMBER(D3630)),D3630-C3630,"")</f>
        <v/>
      </c>
      <c r="Z3630" s="23" t="str">
        <f aca="false">IF(B3630="","",IF(MATCH(B3630,$B$2:$B$12000,0)=ROW()-1,1,0))</f>
        <v/>
      </c>
    </row>
    <row r="3631" customFormat="false" ht="15" hidden="false" customHeight="false" outlineLevel="0" collapsed="false">
      <c r="V3631" s="23" t="str">
        <f aca="false">IF(ISNUMBER(C3631),YEAR(C3631),"")</f>
        <v/>
      </c>
      <c r="W3631" s="23" t="str">
        <f aca="false">IF(ISNUMBER(C3631),MONTH(C3631),"")</f>
        <v/>
      </c>
      <c r="X3631" s="23" t="str">
        <f aca="false">IF(T3631="","",IF(T3631=0,"No discount",IF(T3631&lt;=0.2,"Low (1-20%)",IF(T3631&lt;=0.4,"Medium (21-40%)","High (&gt;40%)"))))</f>
        <v/>
      </c>
      <c r="Y3631" s="23" t="str">
        <f aca="false">IF(AND(ISNUMBER(C3631),ISNUMBER(D3631)),D3631-C3631,"")</f>
        <v/>
      </c>
      <c r="Z3631" s="23" t="str">
        <f aca="false">IF(B3631="","",IF(MATCH(B3631,$B$2:$B$12000,0)=ROW()-1,1,0))</f>
        <v/>
      </c>
    </row>
    <row r="3632" customFormat="false" ht="15" hidden="false" customHeight="false" outlineLevel="0" collapsed="false">
      <c r="V3632" s="23" t="str">
        <f aca="false">IF(ISNUMBER(C3632),YEAR(C3632),"")</f>
        <v/>
      </c>
      <c r="W3632" s="23" t="str">
        <f aca="false">IF(ISNUMBER(C3632),MONTH(C3632),"")</f>
        <v/>
      </c>
      <c r="X3632" s="23" t="str">
        <f aca="false">IF(T3632="","",IF(T3632=0,"No discount",IF(T3632&lt;=0.2,"Low (1-20%)",IF(T3632&lt;=0.4,"Medium (21-40%)","High (&gt;40%)"))))</f>
        <v/>
      </c>
      <c r="Y3632" s="23" t="str">
        <f aca="false">IF(AND(ISNUMBER(C3632),ISNUMBER(D3632)),D3632-C3632,"")</f>
        <v/>
      </c>
      <c r="Z3632" s="23" t="str">
        <f aca="false">IF(B3632="","",IF(MATCH(B3632,$B$2:$B$12000,0)=ROW()-1,1,0))</f>
        <v/>
      </c>
    </row>
    <row r="3633" customFormat="false" ht="15" hidden="false" customHeight="false" outlineLevel="0" collapsed="false">
      <c r="V3633" s="23" t="str">
        <f aca="false">IF(ISNUMBER(C3633),YEAR(C3633),"")</f>
        <v/>
      </c>
      <c r="W3633" s="23" t="str">
        <f aca="false">IF(ISNUMBER(C3633),MONTH(C3633),"")</f>
        <v/>
      </c>
      <c r="X3633" s="23" t="str">
        <f aca="false">IF(T3633="","",IF(T3633=0,"No discount",IF(T3633&lt;=0.2,"Low (1-20%)",IF(T3633&lt;=0.4,"Medium (21-40%)","High (&gt;40%)"))))</f>
        <v/>
      </c>
      <c r="Y3633" s="23" t="str">
        <f aca="false">IF(AND(ISNUMBER(C3633),ISNUMBER(D3633)),D3633-C3633,"")</f>
        <v/>
      </c>
      <c r="Z3633" s="23" t="str">
        <f aca="false">IF(B3633="","",IF(MATCH(B3633,$B$2:$B$12000,0)=ROW()-1,1,0))</f>
        <v/>
      </c>
    </row>
    <row r="3634" customFormat="false" ht="15" hidden="false" customHeight="false" outlineLevel="0" collapsed="false">
      <c r="V3634" s="23" t="str">
        <f aca="false">IF(ISNUMBER(C3634),YEAR(C3634),"")</f>
        <v/>
      </c>
      <c r="W3634" s="23" t="str">
        <f aca="false">IF(ISNUMBER(C3634),MONTH(C3634),"")</f>
        <v/>
      </c>
      <c r="X3634" s="23" t="str">
        <f aca="false">IF(T3634="","",IF(T3634=0,"No discount",IF(T3634&lt;=0.2,"Low (1-20%)",IF(T3634&lt;=0.4,"Medium (21-40%)","High (&gt;40%)"))))</f>
        <v/>
      </c>
      <c r="Y3634" s="23" t="str">
        <f aca="false">IF(AND(ISNUMBER(C3634),ISNUMBER(D3634)),D3634-C3634,"")</f>
        <v/>
      </c>
      <c r="Z3634" s="23" t="str">
        <f aca="false">IF(B3634="","",IF(MATCH(B3634,$B$2:$B$12000,0)=ROW()-1,1,0))</f>
        <v/>
      </c>
    </row>
    <row r="3635" customFormat="false" ht="15" hidden="false" customHeight="false" outlineLevel="0" collapsed="false">
      <c r="V3635" s="23" t="str">
        <f aca="false">IF(ISNUMBER(C3635),YEAR(C3635),"")</f>
        <v/>
      </c>
      <c r="W3635" s="23" t="str">
        <f aca="false">IF(ISNUMBER(C3635),MONTH(C3635),"")</f>
        <v/>
      </c>
      <c r="X3635" s="23" t="str">
        <f aca="false">IF(T3635="","",IF(T3635=0,"No discount",IF(T3635&lt;=0.2,"Low (1-20%)",IF(T3635&lt;=0.4,"Medium (21-40%)","High (&gt;40%)"))))</f>
        <v/>
      </c>
      <c r="Y3635" s="23" t="str">
        <f aca="false">IF(AND(ISNUMBER(C3635),ISNUMBER(D3635)),D3635-C3635,"")</f>
        <v/>
      </c>
      <c r="Z3635" s="23" t="str">
        <f aca="false">IF(B3635="","",IF(MATCH(B3635,$B$2:$B$12000,0)=ROW()-1,1,0))</f>
        <v/>
      </c>
    </row>
    <row r="3636" customFormat="false" ht="15" hidden="false" customHeight="false" outlineLevel="0" collapsed="false">
      <c r="V3636" s="23" t="str">
        <f aca="false">IF(ISNUMBER(C3636),YEAR(C3636),"")</f>
        <v/>
      </c>
      <c r="W3636" s="23" t="str">
        <f aca="false">IF(ISNUMBER(C3636),MONTH(C3636),"")</f>
        <v/>
      </c>
      <c r="X3636" s="23" t="str">
        <f aca="false">IF(T3636="","",IF(T3636=0,"No discount",IF(T3636&lt;=0.2,"Low (1-20%)",IF(T3636&lt;=0.4,"Medium (21-40%)","High (&gt;40%)"))))</f>
        <v/>
      </c>
      <c r="Y3636" s="23" t="str">
        <f aca="false">IF(AND(ISNUMBER(C3636),ISNUMBER(D3636)),D3636-C3636,"")</f>
        <v/>
      </c>
      <c r="Z3636" s="23" t="str">
        <f aca="false">IF(B3636="","",IF(MATCH(B3636,$B$2:$B$12000,0)=ROW()-1,1,0))</f>
        <v/>
      </c>
    </row>
    <row r="3637" customFormat="false" ht="15" hidden="false" customHeight="false" outlineLevel="0" collapsed="false">
      <c r="V3637" s="23" t="str">
        <f aca="false">IF(ISNUMBER(C3637),YEAR(C3637),"")</f>
        <v/>
      </c>
      <c r="W3637" s="23" t="str">
        <f aca="false">IF(ISNUMBER(C3637),MONTH(C3637),"")</f>
        <v/>
      </c>
      <c r="X3637" s="23" t="str">
        <f aca="false">IF(T3637="","",IF(T3637=0,"No discount",IF(T3637&lt;=0.2,"Low (1-20%)",IF(T3637&lt;=0.4,"Medium (21-40%)","High (&gt;40%)"))))</f>
        <v/>
      </c>
      <c r="Y3637" s="23" t="str">
        <f aca="false">IF(AND(ISNUMBER(C3637),ISNUMBER(D3637)),D3637-C3637,"")</f>
        <v/>
      </c>
      <c r="Z3637" s="23" t="str">
        <f aca="false">IF(B3637="","",IF(MATCH(B3637,$B$2:$B$12000,0)=ROW()-1,1,0))</f>
        <v/>
      </c>
    </row>
    <row r="3638" customFormat="false" ht="15" hidden="false" customHeight="false" outlineLevel="0" collapsed="false">
      <c r="V3638" s="23" t="str">
        <f aca="false">IF(ISNUMBER(C3638),YEAR(C3638),"")</f>
        <v/>
      </c>
      <c r="W3638" s="23" t="str">
        <f aca="false">IF(ISNUMBER(C3638),MONTH(C3638),"")</f>
        <v/>
      </c>
      <c r="X3638" s="23" t="str">
        <f aca="false">IF(T3638="","",IF(T3638=0,"No discount",IF(T3638&lt;=0.2,"Low (1-20%)",IF(T3638&lt;=0.4,"Medium (21-40%)","High (&gt;40%)"))))</f>
        <v/>
      </c>
      <c r="Y3638" s="23" t="str">
        <f aca="false">IF(AND(ISNUMBER(C3638),ISNUMBER(D3638)),D3638-C3638,"")</f>
        <v/>
      </c>
      <c r="Z3638" s="23" t="str">
        <f aca="false">IF(B3638="","",IF(MATCH(B3638,$B$2:$B$12000,0)=ROW()-1,1,0))</f>
        <v/>
      </c>
    </row>
    <row r="3639" customFormat="false" ht="15" hidden="false" customHeight="false" outlineLevel="0" collapsed="false">
      <c r="V3639" s="23" t="str">
        <f aca="false">IF(ISNUMBER(C3639),YEAR(C3639),"")</f>
        <v/>
      </c>
      <c r="W3639" s="23" t="str">
        <f aca="false">IF(ISNUMBER(C3639),MONTH(C3639),"")</f>
        <v/>
      </c>
      <c r="X3639" s="23" t="str">
        <f aca="false">IF(T3639="","",IF(T3639=0,"No discount",IF(T3639&lt;=0.2,"Low (1-20%)",IF(T3639&lt;=0.4,"Medium (21-40%)","High (&gt;40%)"))))</f>
        <v/>
      </c>
      <c r="Y3639" s="23" t="str">
        <f aca="false">IF(AND(ISNUMBER(C3639),ISNUMBER(D3639)),D3639-C3639,"")</f>
        <v/>
      </c>
      <c r="Z3639" s="23" t="str">
        <f aca="false">IF(B3639="","",IF(MATCH(B3639,$B$2:$B$12000,0)=ROW()-1,1,0))</f>
        <v/>
      </c>
    </row>
    <row r="3640" customFormat="false" ht="15" hidden="false" customHeight="false" outlineLevel="0" collapsed="false">
      <c r="V3640" s="23" t="str">
        <f aca="false">IF(ISNUMBER(C3640),YEAR(C3640),"")</f>
        <v/>
      </c>
      <c r="W3640" s="23" t="str">
        <f aca="false">IF(ISNUMBER(C3640),MONTH(C3640),"")</f>
        <v/>
      </c>
      <c r="X3640" s="23" t="str">
        <f aca="false">IF(T3640="","",IF(T3640=0,"No discount",IF(T3640&lt;=0.2,"Low (1-20%)",IF(T3640&lt;=0.4,"Medium (21-40%)","High (&gt;40%)"))))</f>
        <v/>
      </c>
      <c r="Y3640" s="23" t="str">
        <f aca="false">IF(AND(ISNUMBER(C3640),ISNUMBER(D3640)),D3640-C3640,"")</f>
        <v/>
      </c>
      <c r="Z3640" s="23" t="str">
        <f aca="false">IF(B3640="","",IF(MATCH(B3640,$B$2:$B$12000,0)=ROW()-1,1,0))</f>
        <v/>
      </c>
    </row>
    <row r="3641" customFormat="false" ht="15" hidden="false" customHeight="false" outlineLevel="0" collapsed="false">
      <c r="V3641" s="23" t="str">
        <f aca="false">IF(ISNUMBER(C3641),YEAR(C3641),"")</f>
        <v/>
      </c>
      <c r="W3641" s="23" t="str">
        <f aca="false">IF(ISNUMBER(C3641),MONTH(C3641),"")</f>
        <v/>
      </c>
      <c r="X3641" s="23" t="str">
        <f aca="false">IF(T3641="","",IF(T3641=0,"No discount",IF(T3641&lt;=0.2,"Low (1-20%)",IF(T3641&lt;=0.4,"Medium (21-40%)","High (&gt;40%)"))))</f>
        <v/>
      </c>
      <c r="Y3641" s="23" t="str">
        <f aca="false">IF(AND(ISNUMBER(C3641),ISNUMBER(D3641)),D3641-C3641,"")</f>
        <v/>
      </c>
      <c r="Z3641" s="23" t="str">
        <f aca="false">IF(B3641="","",IF(MATCH(B3641,$B$2:$B$12000,0)=ROW()-1,1,0))</f>
        <v/>
      </c>
    </row>
    <row r="3642" customFormat="false" ht="15" hidden="false" customHeight="false" outlineLevel="0" collapsed="false">
      <c r="V3642" s="23" t="str">
        <f aca="false">IF(ISNUMBER(C3642),YEAR(C3642),"")</f>
        <v/>
      </c>
      <c r="W3642" s="23" t="str">
        <f aca="false">IF(ISNUMBER(C3642),MONTH(C3642),"")</f>
        <v/>
      </c>
      <c r="X3642" s="23" t="str">
        <f aca="false">IF(T3642="","",IF(T3642=0,"No discount",IF(T3642&lt;=0.2,"Low (1-20%)",IF(T3642&lt;=0.4,"Medium (21-40%)","High (&gt;40%)"))))</f>
        <v/>
      </c>
      <c r="Y3642" s="23" t="str">
        <f aca="false">IF(AND(ISNUMBER(C3642),ISNUMBER(D3642)),D3642-C3642,"")</f>
        <v/>
      </c>
      <c r="Z3642" s="23" t="str">
        <f aca="false">IF(B3642="","",IF(MATCH(B3642,$B$2:$B$12000,0)=ROW()-1,1,0))</f>
        <v/>
      </c>
    </row>
    <row r="3643" customFormat="false" ht="15" hidden="false" customHeight="false" outlineLevel="0" collapsed="false">
      <c r="V3643" s="23" t="str">
        <f aca="false">IF(ISNUMBER(C3643),YEAR(C3643),"")</f>
        <v/>
      </c>
      <c r="W3643" s="23" t="str">
        <f aca="false">IF(ISNUMBER(C3643),MONTH(C3643),"")</f>
        <v/>
      </c>
      <c r="X3643" s="23" t="str">
        <f aca="false">IF(T3643="","",IF(T3643=0,"No discount",IF(T3643&lt;=0.2,"Low (1-20%)",IF(T3643&lt;=0.4,"Medium (21-40%)","High (&gt;40%)"))))</f>
        <v/>
      </c>
      <c r="Y3643" s="23" t="str">
        <f aca="false">IF(AND(ISNUMBER(C3643),ISNUMBER(D3643)),D3643-C3643,"")</f>
        <v/>
      </c>
      <c r="Z3643" s="23" t="str">
        <f aca="false">IF(B3643="","",IF(MATCH(B3643,$B$2:$B$12000,0)=ROW()-1,1,0))</f>
        <v/>
      </c>
    </row>
    <row r="3644" customFormat="false" ht="15" hidden="false" customHeight="false" outlineLevel="0" collapsed="false">
      <c r="V3644" s="23" t="str">
        <f aca="false">IF(ISNUMBER(C3644),YEAR(C3644),"")</f>
        <v/>
      </c>
      <c r="W3644" s="23" t="str">
        <f aca="false">IF(ISNUMBER(C3644),MONTH(C3644),"")</f>
        <v/>
      </c>
      <c r="X3644" s="23" t="str">
        <f aca="false">IF(T3644="","",IF(T3644=0,"No discount",IF(T3644&lt;=0.2,"Low (1-20%)",IF(T3644&lt;=0.4,"Medium (21-40%)","High (&gt;40%)"))))</f>
        <v/>
      </c>
      <c r="Y3644" s="23" t="str">
        <f aca="false">IF(AND(ISNUMBER(C3644),ISNUMBER(D3644)),D3644-C3644,"")</f>
        <v/>
      </c>
      <c r="Z3644" s="23" t="str">
        <f aca="false">IF(B3644="","",IF(MATCH(B3644,$B$2:$B$12000,0)=ROW()-1,1,0))</f>
        <v/>
      </c>
    </row>
    <row r="3645" customFormat="false" ht="15" hidden="false" customHeight="false" outlineLevel="0" collapsed="false">
      <c r="V3645" s="23" t="str">
        <f aca="false">IF(ISNUMBER(C3645),YEAR(C3645),"")</f>
        <v/>
      </c>
      <c r="W3645" s="23" t="str">
        <f aca="false">IF(ISNUMBER(C3645),MONTH(C3645),"")</f>
        <v/>
      </c>
      <c r="X3645" s="23" t="str">
        <f aca="false">IF(T3645="","",IF(T3645=0,"No discount",IF(T3645&lt;=0.2,"Low (1-20%)",IF(T3645&lt;=0.4,"Medium (21-40%)","High (&gt;40%)"))))</f>
        <v/>
      </c>
      <c r="Y3645" s="23" t="str">
        <f aca="false">IF(AND(ISNUMBER(C3645),ISNUMBER(D3645)),D3645-C3645,"")</f>
        <v/>
      </c>
      <c r="Z3645" s="23" t="str">
        <f aca="false">IF(B3645="","",IF(MATCH(B3645,$B$2:$B$12000,0)=ROW()-1,1,0))</f>
        <v/>
      </c>
    </row>
    <row r="3646" customFormat="false" ht="15" hidden="false" customHeight="false" outlineLevel="0" collapsed="false">
      <c r="V3646" s="23" t="str">
        <f aca="false">IF(ISNUMBER(C3646),YEAR(C3646),"")</f>
        <v/>
      </c>
      <c r="W3646" s="23" t="str">
        <f aca="false">IF(ISNUMBER(C3646),MONTH(C3646),"")</f>
        <v/>
      </c>
      <c r="X3646" s="23" t="str">
        <f aca="false">IF(T3646="","",IF(T3646=0,"No discount",IF(T3646&lt;=0.2,"Low (1-20%)",IF(T3646&lt;=0.4,"Medium (21-40%)","High (&gt;40%)"))))</f>
        <v/>
      </c>
      <c r="Y3646" s="23" t="str">
        <f aca="false">IF(AND(ISNUMBER(C3646),ISNUMBER(D3646)),D3646-C3646,"")</f>
        <v/>
      </c>
      <c r="Z3646" s="23" t="str">
        <f aca="false">IF(B3646="","",IF(MATCH(B3646,$B$2:$B$12000,0)=ROW()-1,1,0))</f>
        <v/>
      </c>
    </row>
    <row r="3647" customFormat="false" ht="15" hidden="false" customHeight="false" outlineLevel="0" collapsed="false">
      <c r="V3647" s="23" t="str">
        <f aca="false">IF(ISNUMBER(C3647),YEAR(C3647),"")</f>
        <v/>
      </c>
      <c r="W3647" s="23" t="str">
        <f aca="false">IF(ISNUMBER(C3647),MONTH(C3647),"")</f>
        <v/>
      </c>
      <c r="X3647" s="23" t="str">
        <f aca="false">IF(T3647="","",IF(T3647=0,"No discount",IF(T3647&lt;=0.2,"Low (1-20%)",IF(T3647&lt;=0.4,"Medium (21-40%)","High (&gt;40%)"))))</f>
        <v/>
      </c>
      <c r="Y3647" s="23" t="str">
        <f aca="false">IF(AND(ISNUMBER(C3647),ISNUMBER(D3647)),D3647-C3647,"")</f>
        <v/>
      </c>
      <c r="Z3647" s="23" t="str">
        <f aca="false">IF(B3647="","",IF(MATCH(B3647,$B$2:$B$12000,0)=ROW()-1,1,0))</f>
        <v/>
      </c>
    </row>
    <row r="3648" customFormat="false" ht="15" hidden="false" customHeight="false" outlineLevel="0" collapsed="false">
      <c r="V3648" s="23" t="str">
        <f aca="false">IF(ISNUMBER(C3648),YEAR(C3648),"")</f>
        <v/>
      </c>
      <c r="W3648" s="23" t="str">
        <f aca="false">IF(ISNUMBER(C3648),MONTH(C3648),"")</f>
        <v/>
      </c>
      <c r="X3648" s="23" t="str">
        <f aca="false">IF(T3648="","",IF(T3648=0,"No discount",IF(T3648&lt;=0.2,"Low (1-20%)",IF(T3648&lt;=0.4,"Medium (21-40%)","High (&gt;40%)"))))</f>
        <v/>
      </c>
      <c r="Y3648" s="23" t="str">
        <f aca="false">IF(AND(ISNUMBER(C3648),ISNUMBER(D3648)),D3648-C3648,"")</f>
        <v/>
      </c>
      <c r="Z3648" s="23" t="str">
        <f aca="false">IF(B3648="","",IF(MATCH(B3648,$B$2:$B$12000,0)=ROW()-1,1,0))</f>
        <v/>
      </c>
    </row>
    <row r="3649" customFormat="false" ht="15" hidden="false" customHeight="false" outlineLevel="0" collapsed="false">
      <c r="V3649" s="23" t="str">
        <f aca="false">IF(ISNUMBER(C3649),YEAR(C3649),"")</f>
        <v/>
      </c>
      <c r="W3649" s="23" t="str">
        <f aca="false">IF(ISNUMBER(C3649),MONTH(C3649),"")</f>
        <v/>
      </c>
      <c r="X3649" s="23" t="str">
        <f aca="false">IF(T3649="","",IF(T3649=0,"No discount",IF(T3649&lt;=0.2,"Low (1-20%)",IF(T3649&lt;=0.4,"Medium (21-40%)","High (&gt;40%)"))))</f>
        <v/>
      </c>
      <c r="Y3649" s="23" t="str">
        <f aca="false">IF(AND(ISNUMBER(C3649),ISNUMBER(D3649)),D3649-C3649,"")</f>
        <v/>
      </c>
      <c r="Z3649" s="23" t="str">
        <f aca="false">IF(B3649="","",IF(MATCH(B3649,$B$2:$B$12000,0)=ROW()-1,1,0))</f>
        <v/>
      </c>
    </row>
    <row r="3650" customFormat="false" ht="15" hidden="false" customHeight="false" outlineLevel="0" collapsed="false">
      <c r="V3650" s="23" t="str">
        <f aca="false">IF(ISNUMBER(C3650),YEAR(C3650),"")</f>
        <v/>
      </c>
      <c r="W3650" s="23" t="str">
        <f aca="false">IF(ISNUMBER(C3650),MONTH(C3650),"")</f>
        <v/>
      </c>
      <c r="X3650" s="23" t="str">
        <f aca="false">IF(T3650="","",IF(T3650=0,"No discount",IF(T3650&lt;=0.2,"Low (1-20%)",IF(T3650&lt;=0.4,"Medium (21-40%)","High (&gt;40%)"))))</f>
        <v/>
      </c>
      <c r="Y3650" s="23" t="str">
        <f aca="false">IF(AND(ISNUMBER(C3650),ISNUMBER(D3650)),D3650-C3650,"")</f>
        <v/>
      </c>
      <c r="Z3650" s="23" t="str">
        <f aca="false">IF(B3650="","",IF(MATCH(B3650,$B$2:$B$12000,0)=ROW()-1,1,0))</f>
        <v/>
      </c>
    </row>
    <row r="3651" customFormat="false" ht="15" hidden="false" customHeight="false" outlineLevel="0" collapsed="false">
      <c r="V3651" s="23" t="str">
        <f aca="false">IF(ISNUMBER(C3651),YEAR(C3651),"")</f>
        <v/>
      </c>
      <c r="W3651" s="23" t="str">
        <f aca="false">IF(ISNUMBER(C3651),MONTH(C3651),"")</f>
        <v/>
      </c>
      <c r="X3651" s="23" t="str">
        <f aca="false">IF(T3651="","",IF(T3651=0,"No discount",IF(T3651&lt;=0.2,"Low (1-20%)",IF(T3651&lt;=0.4,"Medium (21-40%)","High (&gt;40%)"))))</f>
        <v/>
      </c>
      <c r="Y3651" s="23" t="str">
        <f aca="false">IF(AND(ISNUMBER(C3651),ISNUMBER(D3651)),D3651-C3651,"")</f>
        <v/>
      </c>
      <c r="Z3651" s="23" t="str">
        <f aca="false">IF(B3651="","",IF(MATCH(B3651,$B$2:$B$12000,0)=ROW()-1,1,0))</f>
        <v/>
      </c>
    </row>
    <row r="3652" customFormat="false" ht="15" hidden="false" customHeight="false" outlineLevel="0" collapsed="false">
      <c r="V3652" s="23" t="str">
        <f aca="false">IF(ISNUMBER(C3652),YEAR(C3652),"")</f>
        <v/>
      </c>
      <c r="W3652" s="23" t="str">
        <f aca="false">IF(ISNUMBER(C3652),MONTH(C3652),"")</f>
        <v/>
      </c>
      <c r="X3652" s="23" t="str">
        <f aca="false">IF(T3652="","",IF(T3652=0,"No discount",IF(T3652&lt;=0.2,"Low (1-20%)",IF(T3652&lt;=0.4,"Medium (21-40%)","High (&gt;40%)"))))</f>
        <v/>
      </c>
      <c r="Y3652" s="23" t="str">
        <f aca="false">IF(AND(ISNUMBER(C3652),ISNUMBER(D3652)),D3652-C3652,"")</f>
        <v/>
      </c>
      <c r="Z3652" s="23" t="str">
        <f aca="false">IF(B3652="","",IF(MATCH(B3652,$B$2:$B$12000,0)=ROW()-1,1,0))</f>
        <v/>
      </c>
    </row>
    <row r="3653" customFormat="false" ht="15" hidden="false" customHeight="false" outlineLevel="0" collapsed="false">
      <c r="V3653" s="23" t="str">
        <f aca="false">IF(ISNUMBER(C3653),YEAR(C3653),"")</f>
        <v/>
      </c>
      <c r="W3653" s="23" t="str">
        <f aca="false">IF(ISNUMBER(C3653),MONTH(C3653),"")</f>
        <v/>
      </c>
      <c r="X3653" s="23" t="str">
        <f aca="false">IF(T3653="","",IF(T3653=0,"No discount",IF(T3653&lt;=0.2,"Low (1-20%)",IF(T3653&lt;=0.4,"Medium (21-40%)","High (&gt;40%)"))))</f>
        <v/>
      </c>
      <c r="Y3653" s="23" t="str">
        <f aca="false">IF(AND(ISNUMBER(C3653),ISNUMBER(D3653)),D3653-C3653,"")</f>
        <v/>
      </c>
      <c r="Z3653" s="23" t="str">
        <f aca="false">IF(B3653="","",IF(MATCH(B3653,$B$2:$B$12000,0)=ROW()-1,1,0))</f>
        <v/>
      </c>
    </row>
    <row r="3654" customFormat="false" ht="15" hidden="false" customHeight="false" outlineLevel="0" collapsed="false">
      <c r="V3654" s="23" t="str">
        <f aca="false">IF(ISNUMBER(C3654),YEAR(C3654),"")</f>
        <v/>
      </c>
      <c r="W3654" s="23" t="str">
        <f aca="false">IF(ISNUMBER(C3654),MONTH(C3654),"")</f>
        <v/>
      </c>
      <c r="X3654" s="23" t="str">
        <f aca="false">IF(T3654="","",IF(T3654=0,"No discount",IF(T3654&lt;=0.2,"Low (1-20%)",IF(T3654&lt;=0.4,"Medium (21-40%)","High (&gt;40%)"))))</f>
        <v/>
      </c>
      <c r="Y3654" s="23" t="str">
        <f aca="false">IF(AND(ISNUMBER(C3654),ISNUMBER(D3654)),D3654-C3654,"")</f>
        <v/>
      </c>
      <c r="Z3654" s="23" t="str">
        <f aca="false">IF(B3654="","",IF(MATCH(B3654,$B$2:$B$12000,0)=ROW()-1,1,0))</f>
        <v/>
      </c>
    </row>
    <row r="3655" customFormat="false" ht="15" hidden="false" customHeight="false" outlineLevel="0" collapsed="false">
      <c r="V3655" s="23" t="str">
        <f aca="false">IF(ISNUMBER(C3655),YEAR(C3655),"")</f>
        <v/>
      </c>
      <c r="W3655" s="23" t="str">
        <f aca="false">IF(ISNUMBER(C3655),MONTH(C3655),"")</f>
        <v/>
      </c>
      <c r="X3655" s="23" t="str">
        <f aca="false">IF(T3655="","",IF(T3655=0,"No discount",IF(T3655&lt;=0.2,"Low (1-20%)",IF(T3655&lt;=0.4,"Medium (21-40%)","High (&gt;40%)"))))</f>
        <v/>
      </c>
      <c r="Y3655" s="23" t="str">
        <f aca="false">IF(AND(ISNUMBER(C3655),ISNUMBER(D3655)),D3655-C3655,"")</f>
        <v/>
      </c>
      <c r="Z3655" s="23" t="str">
        <f aca="false">IF(B3655="","",IF(MATCH(B3655,$B$2:$B$12000,0)=ROW()-1,1,0))</f>
        <v/>
      </c>
    </row>
    <row r="3656" customFormat="false" ht="15" hidden="false" customHeight="false" outlineLevel="0" collapsed="false">
      <c r="V3656" s="23" t="str">
        <f aca="false">IF(ISNUMBER(C3656),YEAR(C3656),"")</f>
        <v/>
      </c>
      <c r="W3656" s="23" t="str">
        <f aca="false">IF(ISNUMBER(C3656),MONTH(C3656),"")</f>
        <v/>
      </c>
      <c r="X3656" s="23" t="str">
        <f aca="false">IF(T3656="","",IF(T3656=0,"No discount",IF(T3656&lt;=0.2,"Low (1-20%)",IF(T3656&lt;=0.4,"Medium (21-40%)","High (&gt;40%)"))))</f>
        <v/>
      </c>
      <c r="Y3656" s="23" t="str">
        <f aca="false">IF(AND(ISNUMBER(C3656),ISNUMBER(D3656)),D3656-C3656,"")</f>
        <v/>
      </c>
      <c r="Z3656" s="23" t="str">
        <f aca="false">IF(B3656="","",IF(MATCH(B3656,$B$2:$B$12000,0)=ROW()-1,1,0))</f>
        <v/>
      </c>
    </row>
    <row r="3657" customFormat="false" ht="15" hidden="false" customHeight="false" outlineLevel="0" collapsed="false">
      <c r="V3657" s="23" t="str">
        <f aca="false">IF(ISNUMBER(C3657),YEAR(C3657),"")</f>
        <v/>
      </c>
      <c r="W3657" s="23" t="str">
        <f aca="false">IF(ISNUMBER(C3657),MONTH(C3657),"")</f>
        <v/>
      </c>
      <c r="X3657" s="23" t="str">
        <f aca="false">IF(T3657="","",IF(T3657=0,"No discount",IF(T3657&lt;=0.2,"Low (1-20%)",IF(T3657&lt;=0.4,"Medium (21-40%)","High (&gt;40%)"))))</f>
        <v/>
      </c>
      <c r="Y3657" s="23" t="str">
        <f aca="false">IF(AND(ISNUMBER(C3657),ISNUMBER(D3657)),D3657-C3657,"")</f>
        <v/>
      </c>
      <c r="Z3657" s="23" t="str">
        <f aca="false">IF(B3657="","",IF(MATCH(B3657,$B$2:$B$12000,0)=ROW()-1,1,0))</f>
        <v/>
      </c>
    </row>
    <row r="3658" customFormat="false" ht="15" hidden="false" customHeight="false" outlineLevel="0" collapsed="false">
      <c r="V3658" s="23" t="str">
        <f aca="false">IF(ISNUMBER(C3658),YEAR(C3658),"")</f>
        <v/>
      </c>
      <c r="W3658" s="23" t="str">
        <f aca="false">IF(ISNUMBER(C3658),MONTH(C3658),"")</f>
        <v/>
      </c>
      <c r="X3658" s="23" t="str">
        <f aca="false">IF(T3658="","",IF(T3658=0,"No discount",IF(T3658&lt;=0.2,"Low (1-20%)",IF(T3658&lt;=0.4,"Medium (21-40%)","High (&gt;40%)"))))</f>
        <v/>
      </c>
      <c r="Y3658" s="23" t="str">
        <f aca="false">IF(AND(ISNUMBER(C3658),ISNUMBER(D3658)),D3658-C3658,"")</f>
        <v/>
      </c>
      <c r="Z3658" s="23" t="str">
        <f aca="false">IF(B3658="","",IF(MATCH(B3658,$B$2:$B$12000,0)=ROW()-1,1,0))</f>
        <v/>
      </c>
    </row>
    <row r="3659" customFormat="false" ht="15" hidden="false" customHeight="false" outlineLevel="0" collapsed="false">
      <c r="V3659" s="23" t="str">
        <f aca="false">IF(ISNUMBER(C3659),YEAR(C3659),"")</f>
        <v/>
      </c>
      <c r="W3659" s="23" t="str">
        <f aca="false">IF(ISNUMBER(C3659),MONTH(C3659),"")</f>
        <v/>
      </c>
      <c r="X3659" s="23" t="str">
        <f aca="false">IF(T3659="","",IF(T3659=0,"No discount",IF(T3659&lt;=0.2,"Low (1-20%)",IF(T3659&lt;=0.4,"Medium (21-40%)","High (&gt;40%)"))))</f>
        <v/>
      </c>
      <c r="Y3659" s="23" t="str">
        <f aca="false">IF(AND(ISNUMBER(C3659),ISNUMBER(D3659)),D3659-C3659,"")</f>
        <v/>
      </c>
      <c r="Z3659" s="23" t="str">
        <f aca="false">IF(B3659="","",IF(MATCH(B3659,$B$2:$B$12000,0)=ROW()-1,1,0))</f>
        <v/>
      </c>
    </row>
    <row r="3660" customFormat="false" ht="15" hidden="false" customHeight="false" outlineLevel="0" collapsed="false">
      <c r="V3660" s="23" t="str">
        <f aca="false">IF(ISNUMBER(C3660),YEAR(C3660),"")</f>
        <v/>
      </c>
      <c r="W3660" s="23" t="str">
        <f aca="false">IF(ISNUMBER(C3660),MONTH(C3660),"")</f>
        <v/>
      </c>
      <c r="X3660" s="23" t="str">
        <f aca="false">IF(T3660="","",IF(T3660=0,"No discount",IF(T3660&lt;=0.2,"Low (1-20%)",IF(T3660&lt;=0.4,"Medium (21-40%)","High (&gt;40%)"))))</f>
        <v/>
      </c>
      <c r="Y3660" s="23" t="str">
        <f aca="false">IF(AND(ISNUMBER(C3660),ISNUMBER(D3660)),D3660-C3660,"")</f>
        <v/>
      </c>
      <c r="Z3660" s="23" t="str">
        <f aca="false">IF(B3660="","",IF(MATCH(B3660,$B$2:$B$12000,0)=ROW()-1,1,0))</f>
        <v/>
      </c>
    </row>
    <row r="3661" customFormat="false" ht="15" hidden="false" customHeight="false" outlineLevel="0" collapsed="false">
      <c r="V3661" s="23" t="str">
        <f aca="false">IF(ISNUMBER(C3661),YEAR(C3661),"")</f>
        <v/>
      </c>
      <c r="W3661" s="23" t="str">
        <f aca="false">IF(ISNUMBER(C3661),MONTH(C3661),"")</f>
        <v/>
      </c>
      <c r="X3661" s="23" t="str">
        <f aca="false">IF(T3661="","",IF(T3661=0,"No discount",IF(T3661&lt;=0.2,"Low (1-20%)",IF(T3661&lt;=0.4,"Medium (21-40%)","High (&gt;40%)"))))</f>
        <v/>
      </c>
      <c r="Y3661" s="23" t="str">
        <f aca="false">IF(AND(ISNUMBER(C3661),ISNUMBER(D3661)),D3661-C3661,"")</f>
        <v/>
      </c>
      <c r="Z3661" s="23" t="str">
        <f aca="false">IF(B3661="","",IF(MATCH(B3661,$B$2:$B$12000,0)=ROW()-1,1,0))</f>
        <v/>
      </c>
    </row>
    <row r="3662" customFormat="false" ht="15" hidden="false" customHeight="false" outlineLevel="0" collapsed="false">
      <c r="V3662" s="23" t="str">
        <f aca="false">IF(ISNUMBER(C3662),YEAR(C3662),"")</f>
        <v/>
      </c>
      <c r="W3662" s="23" t="str">
        <f aca="false">IF(ISNUMBER(C3662),MONTH(C3662),"")</f>
        <v/>
      </c>
      <c r="X3662" s="23" t="str">
        <f aca="false">IF(T3662="","",IF(T3662=0,"No discount",IF(T3662&lt;=0.2,"Low (1-20%)",IF(T3662&lt;=0.4,"Medium (21-40%)","High (&gt;40%)"))))</f>
        <v/>
      </c>
      <c r="Y3662" s="23" t="str">
        <f aca="false">IF(AND(ISNUMBER(C3662),ISNUMBER(D3662)),D3662-C3662,"")</f>
        <v/>
      </c>
      <c r="Z3662" s="23" t="str">
        <f aca="false">IF(B3662="","",IF(MATCH(B3662,$B$2:$B$12000,0)=ROW()-1,1,0))</f>
        <v/>
      </c>
    </row>
    <row r="3663" customFormat="false" ht="15" hidden="false" customHeight="false" outlineLevel="0" collapsed="false">
      <c r="V3663" s="23" t="str">
        <f aca="false">IF(ISNUMBER(C3663),YEAR(C3663),"")</f>
        <v/>
      </c>
      <c r="W3663" s="23" t="str">
        <f aca="false">IF(ISNUMBER(C3663),MONTH(C3663),"")</f>
        <v/>
      </c>
      <c r="X3663" s="23" t="str">
        <f aca="false">IF(T3663="","",IF(T3663=0,"No discount",IF(T3663&lt;=0.2,"Low (1-20%)",IF(T3663&lt;=0.4,"Medium (21-40%)","High (&gt;40%)"))))</f>
        <v/>
      </c>
      <c r="Y3663" s="23" t="str">
        <f aca="false">IF(AND(ISNUMBER(C3663),ISNUMBER(D3663)),D3663-C3663,"")</f>
        <v/>
      </c>
      <c r="Z3663" s="23" t="str">
        <f aca="false">IF(B3663="","",IF(MATCH(B3663,$B$2:$B$12000,0)=ROW()-1,1,0))</f>
        <v/>
      </c>
    </row>
    <row r="3664" customFormat="false" ht="15" hidden="false" customHeight="false" outlineLevel="0" collapsed="false">
      <c r="V3664" s="23" t="str">
        <f aca="false">IF(ISNUMBER(C3664),YEAR(C3664),"")</f>
        <v/>
      </c>
      <c r="W3664" s="23" t="str">
        <f aca="false">IF(ISNUMBER(C3664),MONTH(C3664),"")</f>
        <v/>
      </c>
      <c r="X3664" s="23" t="str">
        <f aca="false">IF(T3664="","",IF(T3664=0,"No discount",IF(T3664&lt;=0.2,"Low (1-20%)",IF(T3664&lt;=0.4,"Medium (21-40%)","High (&gt;40%)"))))</f>
        <v/>
      </c>
      <c r="Y3664" s="23" t="str">
        <f aca="false">IF(AND(ISNUMBER(C3664),ISNUMBER(D3664)),D3664-C3664,"")</f>
        <v/>
      </c>
      <c r="Z3664" s="23" t="str">
        <f aca="false">IF(B3664="","",IF(MATCH(B3664,$B$2:$B$12000,0)=ROW()-1,1,0))</f>
        <v/>
      </c>
    </row>
    <row r="3665" customFormat="false" ht="15" hidden="false" customHeight="false" outlineLevel="0" collapsed="false">
      <c r="V3665" s="23" t="str">
        <f aca="false">IF(ISNUMBER(C3665),YEAR(C3665),"")</f>
        <v/>
      </c>
      <c r="W3665" s="23" t="str">
        <f aca="false">IF(ISNUMBER(C3665),MONTH(C3665),"")</f>
        <v/>
      </c>
      <c r="X3665" s="23" t="str">
        <f aca="false">IF(T3665="","",IF(T3665=0,"No discount",IF(T3665&lt;=0.2,"Low (1-20%)",IF(T3665&lt;=0.4,"Medium (21-40%)","High (&gt;40%)"))))</f>
        <v/>
      </c>
      <c r="Y3665" s="23" t="str">
        <f aca="false">IF(AND(ISNUMBER(C3665),ISNUMBER(D3665)),D3665-C3665,"")</f>
        <v/>
      </c>
      <c r="Z3665" s="23" t="str">
        <f aca="false">IF(B3665="","",IF(MATCH(B3665,$B$2:$B$12000,0)=ROW()-1,1,0))</f>
        <v/>
      </c>
    </row>
    <row r="3666" customFormat="false" ht="15" hidden="false" customHeight="false" outlineLevel="0" collapsed="false">
      <c r="V3666" s="23" t="str">
        <f aca="false">IF(ISNUMBER(C3666),YEAR(C3666),"")</f>
        <v/>
      </c>
      <c r="W3666" s="23" t="str">
        <f aca="false">IF(ISNUMBER(C3666),MONTH(C3666),"")</f>
        <v/>
      </c>
      <c r="X3666" s="23" t="str">
        <f aca="false">IF(T3666="","",IF(T3666=0,"No discount",IF(T3666&lt;=0.2,"Low (1-20%)",IF(T3666&lt;=0.4,"Medium (21-40%)","High (&gt;40%)"))))</f>
        <v/>
      </c>
      <c r="Y3666" s="23" t="str">
        <f aca="false">IF(AND(ISNUMBER(C3666),ISNUMBER(D3666)),D3666-C3666,"")</f>
        <v/>
      </c>
      <c r="Z3666" s="23" t="str">
        <f aca="false">IF(B3666="","",IF(MATCH(B3666,$B$2:$B$12000,0)=ROW()-1,1,0))</f>
        <v/>
      </c>
    </row>
    <row r="3667" customFormat="false" ht="15" hidden="false" customHeight="false" outlineLevel="0" collapsed="false">
      <c r="V3667" s="23" t="str">
        <f aca="false">IF(ISNUMBER(C3667),YEAR(C3667),"")</f>
        <v/>
      </c>
      <c r="W3667" s="23" t="str">
        <f aca="false">IF(ISNUMBER(C3667),MONTH(C3667),"")</f>
        <v/>
      </c>
      <c r="X3667" s="23" t="str">
        <f aca="false">IF(T3667="","",IF(T3667=0,"No discount",IF(T3667&lt;=0.2,"Low (1-20%)",IF(T3667&lt;=0.4,"Medium (21-40%)","High (&gt;40%)"))))</f>
        <v/>
      </c>
      <c r="Y3667" s="23" t="str">
        <f aca="false">IF(AND(ISNUMBER(C3667),ISNUMBER(D3667)),D3667-C3667,"")</f>
        <v/>
      </c>
      <c r="Z3667" s="23" t="str">
        <f aca="false">IF(B3667="","",IF(MATCH(B3667,$B$2:$B$12000,0)=ROW()-1,1,0))</f>
        <v/>
      </c>
    </row>
    <row r="3668" customFormat="false" ht="15" hidden="false" customHeight="false" outlineLevel="0" collapsed="false">
      <c r="V3668" s="23" t="str">
        <f aca="false">IF(ISNUMBER(C3668),YEAR(C3668),"")</f>
        <v/>
      </c>
      <c r="W3668" s="23" t="str">
        <f aca="false">IF(ISNUMBER(C3668),MONTH(C3668),"")</f>
        <v/>
      </c>
      <c r="X3668" s="23" t="str">
        <f aca="false">IF(T3668="","",IF(T3668=0,"No discount",IF(T3668&lt;=0.2,"Low (1-20%)",IF(T3668&lt;=0.4,"Medium (21-40%)","High (&gt;40%)"))))</f>
        <v/>
      </c>
      <c r="Y3668" s="23" t="str">
        <f aca="false">IF(AND(ISNUMBER(C3668),ISNUMBER(D3668)),D3668-C3668,"")</f>
        <v/>
      </c>
      <c r="Z3668" s="23" t="str">
        <f aca="false">IF(B3668="","",IF(MATCH(B3668,$B$2:$B$12000,0)=ROW()-1,1,0))</f>
        <v/>
      </c>
    </row>
    <row r="3669" customFormat="false" ht="15" hidden="false" customHeight="false" outlineLevel="0" collapsed="false">
      <c r="V3669" s="23" t="str">
        <f aca="false">IF(ISNUMBER(C3669),YEAR(C3669),"")</f>
        <v/>
      </c>
      <c r="W3669" s="23" t="str">
        <f aca="false">IF(ISNUMBER(C3669),MONTH(C3669),"")</f>
        <v/>
      </c>
      <c r="X3669" s="23" t="str">
        <f aca="false">IF(T3669="","",IF(T3669=0,"No discount",IF(T3669&lt;=0.2,"Low (1-20%)",IF(T3669&lt;=0.4,"Medium (21-40%)","High (&gt;40%)"))))</f>
        <v/>
      </c>
      <c r="Y3669" s="23" t="str">
        <f aca="false">IF(AND(ISNUMBER(C3669),ISNUMBER(D3669)),D3669-C3669,"")</f>
        <v/>
      </c>
      <c r="Z3669" s="23" t="str">
        <f aca="false">IF(B3669="","",IF(MATCH(B3669,$B$2:$B$12000,0)=ROW()-1,1,0))</f>
        <v/>
      </c>
    </row>
    <row r="3670" customFormat="false" ht="15" hidden="false" customHeight="false" outlineLevel="0" collapsed="false">
      <c r="V3670" s="23" t="str">
        <f aca="false">IF(ISNUMBER(C3670),YEAR(C3670),"")</f>
        <v/>
      </c>
      <c r="W3670" s="23" t="str">
        <f aca="false">IF(ISNUMBER(C3670),MONTH(C3670),"")</f>
        <v/>
      </c>
      <c r="X3670" s="23" t="str">
        <f aca="false">IF(T3670="","",IF(T3670=0,"No discount",IF(T3670&lt;=0.2,"Low (1-20%)",IF(T3670&lt;=0.4,"Medium (21-40%)","High (&gt;40%)"))))</f>
        <v/>
      </c>
      <c r="Y3670" s="23" t="str">
        <f aca="false">IF(AND(ISNUMBER(C3670),ISNUMBER(D3670)),D3670-C3670,"")</f>
        <v/>
      </c>
      <c r="Z3670" s="23" t="str">
        <f aca="false">IF(B3670="","",IF(MATCH(B3670,$B$2:$B$12000,0)=ROW()-1,1,0))</f>
        <v/>
      </c>
    </row>
    <row r="3671" customFormat="false" ht="15" hidden="false" customHeight="false" outlineLevel="0" collapsed="false">
      <c r="V3671" s="23" t="str">
        <f aca="false">IF(ISNUMBER(C3671),YEAR(C3671),"")</f>
        <v/>
      </c>
      <c r="W3671" s="23" t="str">
        <f aca="false">IF(ISNUMBER(C3671),MONTH(C3671),"")</f>
        <v/>
      </c>
      <c r="X3671" s="23" t="str">
        <f aca="false">IF(T3671="","",IF(T3671=0,"No discount",IF(T3671&lt;=0.2,"Low (1-20%)",IF(T3671&lt;=0.4,"Medium (21-40%)","High (&gt;40%)"))))</f>
        <v/>
      </c>
      <c r="Y3671" s="23" t="str">
        <f aca="false">IF(AND(ISNUMBER(C3671),ISNUMBER(D3671)),D3671-C3671,"")</f>
        <v/>
      </c>
      <c r="Z3671" s="23" t="str">
        <f aca="false">IF(B3671="","",IF(MATCH(B3671,$B$2:$B$12000,0)=ROW()-1,1,0))</f>
        <v/>
      </c>
    </row>
    <row r="3672" customFormat="false" ht="15" hidden="false" customHeight="false" outlineLevel="0" collapsed="false">
      <c r="V3672" s="23" t="str">
        <f aca="false">IF(ISNUMBER(C3672),YEAR(C3672),"")</f>
        <v/>
      </c>
      <c r="W3672" s="23" t="str">
        <f aca="false">IF(ISNUMBER(C3672),MONTH(C3672),"")</f>
        <v/>
      </c>
      <c r="X3672" s="23" t="str">
        <f aca="false">IF(T3672="","",IF(T3672=0,"No discount",IF(T3672&lt;=0.2,"Low (1-20%)",IF(T3672&lt;=0.4,"Medium (21-40%)","High (&gt;40%)"))))</f>
        <v/>
      </c>
      <c r="Y3672" s="23" t="str">
        <f aca="false">IF(AND(ISNUMBER(C3672),ISNUMBER(D3672)),D3672-C3672,"")</f>
        <v/>
      </c>
      <c r="Z3672" s="23" t="str">
        <f aca="false">IF(B3672="","",IF(MATCH(B3672,$B$2:$B$12000,0)=ROW()-1,1,0))</f>
        <v/>
      </c>
    </row>
    <row r="3673" customFormat="false" ht="15" hidden="false" customHeight="false" outlineLevel="0" collapsed="false">
      <c r="V3673" s="23" t="str">
        <f aca="false">IF(ISNUMBER(C3673),YEAR(C3673),"")</f>
        <v/>
      </c>
      <c r="W3673" s="23" t="str">
        <f aca="false">IF(ISNUMBER(C3673),MONTH(C3673),"")</f>
        <v/>
      </c>
      <c r="X3673" s="23" t="str">
        <f aca="false">IF(T3673="","",IF(T3673=0,"No discount",IF(T3673&lt;=0.2,"Low (1-20%)",IF(T3673&lt;=0.4,"Medium (21-40%)","High (&gt;40%)"))))</f>
        <v/>
      </c>
      <c r="Y3673" s="23" t="str">
        <f aca="false">IF(AND(ISNUMBER(C3673),ISNUMBER(D3673)),D3673-C3673,"")</f>
        <v/>
      </c>
      <c r="Z3673" s="23" t="str">
        <f aca="false">IF(B3673="","",IF(MATCH(B3673,$B$2:$B$12000,0)=ROW()-1,1,0))</f>
        <v/>
      </c>
    </row>
    <row r="3674" customFormat="false" ht="15" hidden="false" customHeight="false" outlineLevel="0" collapsed="false">
      <c r="V3674" s="23" t="str">
        <f aca="false">IF(ISNUMBER(C3674),YEAR(C3674),"")</f>
        <v/>
      </c>
      <c r="W3674" s="23" t="str">
        <f aca="false">IF(ISNUMBER(C3674),MONTH(C3674),"")</f>
        <v/>
      </c>
      <c r="X3674" s="23" t="str">
        <f aca="false">IF(T3674="","",IF(T3674=0,"No discount",IF(T3674&lt;=0.2,"Low (1-20%)",IF(T3674&lt;=0.4,"Medium (21-40%)","High (&gt;40%)"))))</f>
        <v/>
      </c>
      <c r="Y3674" s="23" t="str">
        <f aca="false">IF(AND(ISNUMBER(C3674),ISNUMBER(D3674)),D3674-C3674,"")</f>
        <v/>
      </c>
      <c r="Z3674" s="23" t="str">
        <f aca="false">IF(B3674="","",IF(MATCH(B3674,$B$2:$B$12000,0)=ROW()-1,1,0))</f>
        <v/>
      </c>
    </row>
    <row r="3675" customFormat="false" ht="15" hidden="false" customHeight="false" outlineLevel="0" collapsed="false">
      <c r="V3675" s="23" t="str">
        <f aca="false">IF(ISNUMBER(C3675),YEAR(C3675),"")</f>
        <v/>
      </c>
      <c r="W3675" s="23" t="str">
        <f aca="false">IF(ISNUMBER(C3675),MONTH(C3675),"")</f>
        <v/>
      </c>
      <c r="X3675" s="23" t="str">
        <f aca="false">IF(T3675="","",IF(T3675=0,"No discount",IF(T3675&lt;=0.2,"Low (1-20%)",IF(T3675&lt;=0.4,"Medium (21-40%)","High (&gt;40%)"))))</f>
        <v/>
      </c>
      <c r="Y3675" s="23" t="str">
        <f aca="false">IF(AND(ISNUMBER(C3675),ISNUMBER(D3675)),D3675-C3675,"")</f>
        <v/>
      </c>
      <c r="Z3675" s="23" t="str">
        <f aca="false">IF(B3675="","",IF(MATCH(B3675,$B$2:$B$12000,0)=ROW()-1,1,0))</f>
        <v/>
      </c>
    </row>
    <row r="3676" customFormat="false" ht="15" hidden="false" customHeight="false" outlineLevel="0" collapsed="false">
      <c r="V3676" s="23" t="str">
        <f aca="false">IF(ISNUMBER(C3676),YEAR(C3676),"")</f>
        <v/>
      </c>
      <c r="W3676" s="23" t="str">
        <f aca="false">IF(ISNUMBER(C3676),MONTH(C3676),"")</f>
        <v/>
      </c>
      <c r="X3676" s="23" t="str">
        <f aca="false">IF(T3676="","",IF(T3676=0,"No discount",IF(T3676&lt;=0.2,"Low (1-20%)",IF(T3676&lt;=0.4,"Medium (21-40%)","High (&gt;40%)"))))</f>
        <v/>
      </c>
      <c r="Y3676" s="23" t="str">
        <f aca="false">IF(AND(ISNUMBER(C3676),ISNUMBER(D3676)),D3676-C3676,"")</f>
        <v/>
      </c>
      <c r="Z3676" s="23" t="str">
        <f aca="false">IF(B3676="","",IF(MATCH(B3676,$B$2:$B$12000,0)=ROW()-1,1,0))</f>
        <v/>
      </c>
    </row>
    <row r="3677" customFormat="false" ht="15" hidden="false" customHeight="false" outlineLevel="0" collapsed="false">
      <c r="V3677" s="23" t="str">
        <f aca="false">IF(ISNUMBER(C3677),YEAR(C3677),"")</f>
        <v/>
      </c>
      <c r="W3677" s="23" t="str">
        <f aca="false">IF(ISNUMBER(C3677),MONTH(C3677),"")</f>
        <v/>
      </c>
      <c r="X3677" s="23" t="str">
        <f aca="false">IF(T3677="","",IF(T3677=0,"No discount",IF(T3677&lt;=0.2,"Low (1-20%)",IF(T3677&lt;=0.4,"Medium (21-40%)","High (&gt;40%)"))))</f>
        <v/>
      </c>
      <c r="Y3677" s="23" t="str">
        <f aca="false">IF(AND(ISNUMBER(C3677),ISNUMBER(D3677)),D3677-C3677,"")</f>
        <v/>
      </c>
      <c r="Z3677" s="23" t="str">
        <f aca="false">IF(B3677="","",IF(MATCH(B3677,$B$2:$B$12000,0)=ROW()-1,1,0))</f>
        <v/>
      </c>
    </row>
    <row r="3678" customFormat="false" ht="15" hidden="false" customHeight="false" outlineLevel="0" collapsed="false">
      <c r="V3678" s="23" t="str">
        <f aca="false">IF(ISNUMBER(C3678),YEAR(C3678),"")</f>
        <v/>
      </c>
      <c r="W3678" s="23" t="str">
        <f aca="false">IF(ISNUMBER(C3678),MONTH(C3678),"")</f>
        <v/>
      </c>
      <c r="X3678" s="23" t="str">
        <f aca="false">IF(T3678="","",IF(T3678=0,"No discount",IF(T3678&lt;=0.2,"Low (1-20%)",IF(T3678&lt;=0.4,"Medium (21-40%)","High (&gt;40%)"))))</f>
        <v/>
      </c>
      <c r="Y3678" s="23" t="str">
        <f aca="false">IF(AND(ISNUMBER(C3678),ISNUMBER(D3678)),D3678-C3678,"")</f>
        <v/>
      </c>
      <c r="Z3678" s="23" t="str">
        <f aca="false">IF(B3678="","",IF(MATCH(B3678,$B$2:$B$12000,0)=ROW()-1,1,0))</f>
        <v/>
      </c>
    </row>
    <row r="3679" customFormat="false" ht="15" hidden="false" customHeight="false" outlineLevel="0" collapsed="false">
      <c r="V3679" s="23" t="str">
        <f aca="false">IF(ISNUMBER(C3679),YEAR(C3679),"")</f>
        <v/>
      </c>
      <c r="W3679" s="23" t="str">
        <f aca="false">IF(ISNUMBER(C3679),MONTH(C3679),"")</f>
        <v/>
      </c>
      <c r="X3679" s="23" t="str">
        <f aca="false">IF(T3679="","",IF(T3679=0,"No discount",IF(T3679&lt;=0.2,"Low (1-20%)",IF(T3679&lt;=0.4,"Medium (21-40%)","High (&gt;40%)"))))</f>
        <v/>
      </c>
      <c r="Y3679" s="23" t="str">
        <f aca="false">IF(AND(ISNUMBER(C3679),ISNUMBER(D3679)),D3679-C3679,"")</f>
        <v/>
      </c>
      <c r="Z3679" s="23" t="str">
        <f aca="false">IF(B3679="","",IF(MATCH(B3679,$B$2:$B$12000,0)=ROW()-1,1,0))</f>
        <v/>
      </c>
    </row>
    <row r="3680" customFormat="false" ht="15" hidden="false" customHeight="false" outlineLevel="0" collapsed="false">
      <c r="V3680" s="23" t="str">
        <f aca="false">IF(ISNUMBER(C3680),YEAR(C3680),"")</f>
        <v/>
      </c>
      <c r="W3680" s="23" t="str">
        <f aca="false">IF(ISNUMBER(C3680),MONTH(C3680),"")</f>
        <v/>
      </c>
      <c r="X3680" s="23" t="str">
        <f aca="false">IF(T3680="","",IF(T3680=0,"No discount",IF(T3680&lt;=0.2,"Low (1-20%)",IF(T3680&lt;=0.4,"Medium (21-40%)","High (&gt;40%)"))))</f>
        <v/>
      </c>
      <c r="Y3680" s="23" t="str">
        <f aca="false">IF(AND(ISNUMBER(C3680),ISNUMBER(D3680)),D3680-C3680,"")</f>
        <v/>
      </c>
      <c r="Z3680" s="23" t="str">
        <f aca="false">IF(B3680="","",IF(MATCH(B3680,$B$2:$B$12000,0)=ROW()-1,1,0))</f>
        <v/>
      </c>
    </row>
    <row r="3681" customFormat="false" ht="15" hidden="false" customHeight="false" outlineLevel="0" collapsed="false">
      <c r="V3681" s="23" t="str">
        <f aca="false">IF(ISNUMBER(C3681),YEAR(C3681),"")</f>
        <v/>
      </c>
      <c r="W3681" s="23" t="str">
        <f aca="false">IF(ISNUMBER(C3681),MONTH(C3681),"")</f>
        <v/>
      </c>
      <c r="X3681" s="23" t="str">
        <f aca="false">IF(T3681="","",IF(T3681=0,"No discount",IF(T3681&lt;=0.2,"Low (1-20%)",IF(T3681&lt;=0.4,"Medium (21-40%)","High (&gt;40%)"))))</f>
        <v/>
      </c>
      <c r="Y3681" s="23" t="str">
        <f aca="false">IF(AND(ISNUMBER(C3681),ISNUMBER(D3681)),D3681-C3681,"")</f>
        <v/>
      </c>
      <c r="Z3681" s="23" t="str">
        <f aca="false">IF(B3681="","",IF(MATCH(B3681,$B$2:$B$12000,0)=ROW()-1,1,0))</f>
        <v/>
      </c>
    </row>
    <row r="3682" customFormat="false" ht="15" hidden="false" customHeight="false" outlineLevel="0" collapsed="false">
      <c r="V3682" s="23" t="str">
        <f aca="false">IF(ISNUMBER(C3682),YEAR(C3682),"")</f>
        <v/>
      </c>
      <c r="W3682" s="23" t="str">
        <f aca="false">IF(ISNUMBER(C3682),MONTH(C3682),"")</f>
        <v/>
      </c>
      <c r="X3682" s="23" t="str">
        <f aca="false">IF(T3682="","",IF(T3682=0,"No discount",IF(T3682&lt;=0.2,"Low (1-20%)",IF(T3682&lt;=0.4,"Medium (21-40%)","High (&gt;40%)"))))</f>
        <v/>
      </c>
      <c r="Y3682" s="23" t="str">
        <f aca="false">IF(AND(ISNUMBER(C3682),ISNUMBER(D3682)),D3682-C3682,"")</f>
        <v/>
      </c>
      <c r="Z3682" s="23" t="str">
        <f aca="false">IF(B3682="","",IF(MATCH(B3682,$B$2:$B$12000,0)=ROW()-1,1,0))</f>
        <v/>
      </c>
    </row>
    <row r="3683" customFormat="false" ht="15" hidden="false" customHeight="false" outlineLevel="0" collapsed="false">
      <c r="V3683" s="23" t="str">
        <f aca="false">IF(ISNUMBER(C3683),YEAR(C3683),"")</f>
        <v/>
      </c>
      <c r="W3683" s="23" t="str">
        <f aca="false">IF(ISNUMBER(C3683),MONTH(C3683),"")</f>
        <v/>
      </c>
      <c r="X3683" s="23" t="str">
        <f aca="false">IF(T3683="","",IF(T3683=0,"No discount",IF(T3683&lt;=0.2,"Low (1-20%)",IF(T3683&lt;=0.4,"Medium (21-40%)","High (&gt;40%)"))))</f>
        <v/>
      </c>
      <c r="Y3683" s="23" t="str">
        <f aca="false">IF(AND(ISNUMBER(C3683),ISNUMBER(D3683)),D3683-C3683,"")</f>
        <v/>
      </c>
      <c r="Z3683" s="23" t="str">
        <f aca="false">IF(B3683="","",IF(MATCH(B3683,$B$2:$B$12000,0)=ROW()-1,1,0))</f>
        <v/>
      </c>
    </row>
    <row r="3684" customFormat="false" ht="15" hidden="false" customHeight="false" outlineLevel="0" collapsed="false">
      <c r="V3684" s="23" t="str">
        <f aca="false">IF(ISNUMBER(C3684),YEAR(C3684),"")</f>
        <v/>
      </c>
      <c r="W3684" s="23" t="str">
        <f aca="false">IF(ISNUMBER(C3684),MONTH(C3684),"")</f>
        <v/>
      </c>
      <c r="X3684" s="23" t="str">
        <f aca="false">IF(T3684="","",IF(T3684=0,"No discount",IF(T3684&lt;=0.2,"Low (1-20%)",IF(T3684&lt;=0.4,"Medium (21-40%)","High (&gt;40%)"))))</f>
        <v/>
      </c>
      <c r="Y3684" s="23" t="str">
        <f aca="false">IF(AND(ISNUMBER(C3684),ISNUMBER(D3684)),D3684-C3684,"")</f>
        <v/>
      </c>
      <c r="Z3684" s="23" t="str">
        <f aca="false">IF(B3684="","",IF(MATCH(B3684,$B$2:$B$12000,0)=ROW()-1,1,0))</f>
        <v/>
      </c>
    </row>
    <row r="3685" customFormat="false" ht="15" hidden="false" customHeight="false" outlineLevel="0" collapsed="false">
      <c r="V3685" s="23" t="str">
        <f aca="false">IF(ISNUMBER(C3685),YEAR(C3685),"")</f>
        <v/>
      </c>
      <c r="W3685" s="23" t="str">
        <f aca="false">IF(ISNUMBER(C3685),MONTH(C3685),"")</f>
        <v/>
      </c>
      <c r="X3685" s="23" t="str">
        <f aca="false">IF(T3685="","",IF(T3685=0,"No discount",IF(T3685&lt;=0.2,"Low (1-20%)",IF(T3685&lt;=0.4,"Medium (21-40%)","High (&gt;40%)"))))</f>
        <v/>
      </c>
      <c r="Y3685" s="23" t="str">
        <f aca="false">IF(AND(ISNUMBER(C3685),ISNUMBER(D3685)),D3685-C3685,"")</f>
        <v/>
      </c>
      <c r="Z3685" s="23" t="str">
        <f aca="false">IF(B3685="","",IF(MATCH(B3685,$B$2:$B$12000,0)=ROW()-1,1,0))</f>
        <v/>
      </c>
    </row>
    <row r="3686" customFormat="false" ht="15" hidden="false" customHeight="false" outlineLevel="0" collapsed="false">
      <c r="V3686" s="23" t="str">
        <f aca="false">IF(ISNUMBER(C3686),YEAR(C3686),"")</f>
        <v/>
      </c>
      <c r="W3686" s="23" t="str">
        <f aca="false">IF(ISNUMBER(C3686),MONTH(C3686),"")</f>
        <v/>
      </c>
      <c r="X3686" s="23" t="str">
        <f aca="false">IF(T3686="","",IF(T3686=0,"No discount",IF(T3686&lt;=0.2,"Low (1-20%)",IF(T3686&lt;=0.4,"Medium (21-40%)","High (&gt;40%)"))))</f>
        <v/>
      </c>
      <c r="Y3686" s="23" t="str">
        <f aca="false">IF(AND(ISNUMBER(C3686),ISNUMBER(D3686)),D3686-C3686,"")</f>
        <v/>
      </c>
      <c r="Z3686" s="23" t="str">
        <f aca="false">IF(B3686="","",IF(MATCH(B3686,$B$2:$B$12000,0)=ROW()-1,1,0))</f>
        <v/>
      </c>
    </row>
    <row r="3687" customFormat="false" ht="15" hidden="false" customHeight="false" outlineLevel="0" collapsed="false">
      <c r="V3687" s="23" t="str">
        <f aca="false">IF(ISNUMBER(C3687),YEAR(C3687),"")</f>
        <v/>
      </c>
      <c r="W3687" s="23" t="str">
        <f aca="false">IF(ISNUMBER(C3687),MONTH(C3687),"")</f>
        <v/>
      </c>
      <c r="X3687" s="23" t="str">
        <f aca="false">IF(T3687="","",IF(T3687=0,"No discount",IF(T3687&lt;=0.2,"Low (1-20%)",IF(T3687&lt;=0.4,"Medium (21-40%)","High (&gt;40%)"))))</f>
        <v/>
      </c>
      <c r="Y3687" s="23" t="str">
        <f aca="false">IF(AND(ISNUMBER(C3687),ISNUMBER(D3687)),D3687-C3687,"")</f>
        <v/>
      </c>
      <c r="Z3687" s="23" t="str">
        <f aca="false">IF(B3687="","",IF(MATCH(B3687,$B$2:$B$12000,0)=ROW()-1,1,0))</f>
        <v/>
      </c>
    </row>
    <row r="3688" customFormat="false" ht="15" hidden="false" customHeight="false" outlineLevel="0" collapsed="false">
      <c r="V3688" s="23" t="str">
        <f aca="false">IF(ISNUMBER(C3688),YEAR(C3688),"")</f>
        <v/>
      </c>
      <c r="W3688" s="23" t="str">
        <f aca="false">IF(ISNUMBER(C3688),MONTH(C3688),"")</f>
        <v/>
      </c>
      <c r="X3688" s="23" t="str">
        <f aca="false">IF(T3688="","",IF(T3688=0,"No discount",IF(T3688&lt;=0.2,"Low (1-20%)",IF(T3688&lt;=0.4,"Medium (21-40%)","High (&gt;40%)"))))</f>
        <v/>
      </c>
      <c r="Y3688" s="23" t="str">
        <f aca="false">IF(AND(ISNUMBER(C3688),ISNUMBER(D3688)),D3688-C3688,"")</f>
        <v/>
      </c>
      <c r="Z3688" s="23" t="str">
        <f aca="false">IF(B3688="","",IF(MATCH(B3688,$B$2:$B$12000,0)=ROW()-1,1,0))</f>
        <v/>
      </c>
    </row>
    <row r="3689" customFormat="false" ht="15" hidden="false" customHeight="false" outlineLevel="0" collapsed="false">
      <c r="V3689" s="23" t="str">
        <f aca="false">IF(ISNUMBER(C3689),YEAR(C3689),"")</f>
        <v/>
      </c>
      <c r="W3689" s="23" t="str">
        <f aca="false">IF(ISNUMBER(C3689),MONTH(C3689),"")</f>
        <v/>
      </c>
      <c r="X3689" s="23" t="str">
        <f aca="false">IF(T3689="","",IF(T3689=0,"No discount",IF(T3689&lt;=0.2,"Low (1-20%)",IF(T3689&lt;=0.4,"Medium (21-40%)","High (&gt;40%)"))))</f>
        <v/>
      </c>
      <c r="Y3689" s="23" t="str">
        <f aca="false">IF(AND(ISNUMBER(C3689),ISNUMBER(D3689)),D3689-C3689,"")</f>
        <v/>
      </c>
      <c r="Z3689" s="23" t="str">
        <f aca="false">IF(B3689="","",IF(MATCH(B3689,$B$2:$B$12000,0)=ROW()-1,1,0))</f>
        <v/>
      </c>
    </row>
    <row r="3690" customFormat="false" ht="15" hidden="false" customHeight="false" outlineLevel="0" collapsed="false">
      <c r="V3690" s="23" t="str">
        <f aca="false">IF(ISNUMBER(C3690),YEAR(C3690),"")</f>
        <v/>
      </c>
      <c r="W3690" s="23" t="str">
        <f aca="false">IF(ISNUMBER(C3690),MONTH(C3690),"")</f>
        <v/>
      </c>
      <c r="X3690" s="23" t="str">
        <f aca="false">IF(T3690="","",IF(T3690=0,"No discount",IF(T3690&lt;=0.2,"Low (1-20%)",IF(T3690&lt;=0.4,"Medium (21-40%)","High (&gt;40%)"))))</f>
        <v/>
      </c>
      <c r="Y3690" s="23" t="str">
        <f aca="false">IF(AND(ISNUMBER(C3690),ISNUMBER(D3690)),D3690-C3690,"")</f>
        <v/>
      </c>
      <c r="Z3690" s="23" t="str">
        <f aca="false">IF(B3690="","",IF(MATCH(B3690,$B$2:$B$12000,0)=ROW()-1,1,0))</f>
        <v/>
      </c>
    </row>
    <row r="3691" customFormat="false" ht="15" hidden="false" customHeight="false" outlineLevel="0" collapsed="false">
      <c r="V3691" s="23" t="str">
        <f aca="false">IF(ISNUMBER(C3691),YEAR(C3691),"")</f>
        <v/>
      </c>
      <c r="W3691" s="23" t="str">
        <f aca="false">IF(ISNUMBER(C3691),MONTH(C3691),"")</f>
        <v/>
      </c>
      <c r="X3691" s="23" t="str">
        <f aca="false">IF(T3691="","",IF(T3691=0,"No discount",IF(T3691&lt;=0.2,"Low (1-20%)",IF(T3691&lt;=0.4,"Medium (21-40%)","High (&gt;40%)"))))</f>
        <v/>
      </c>
      <c r="Y3691" s="23" t="str">
        <f aca="false">IF(AND(ISNUMBER(C3691),ISNUMBER(D3691)),D3691-C3691,"")</f>
        <v/>
      </c>
      <c r="Z3691" s="23" t="str">
        <f aca="false">IF(B3691="","",IF(MATCH(B3691,$B$2:$B$12000,0)=ROW()-1,1,0))</f>
        <v/>
      </c>
    </row>
    <row r="3692" customFormat="false" ht="15" hidden="false" customHeight="false" outlineLevel="0" collapsed="false">
      <c r="V3692" s="23" t="str">
        <f aca="false">IF(ISNUMBER(C3692),YEAR(C3692),"")</f>
        <v/>
      </c>
      <c r="W3692" s="23" t="str">
        <f aca="false">IF(ISNUMBER(C3692),MONTH(C3692),"")</f>
        <v/>
      </c>
      <c r="X3692" s="23" t="str">
        <f aca="false">IF(T3692="","",IF(T3692=0,"No discount",IF(T3692&lt;=0.2,"Low (1-20%)",IF(T3692&lt;=0.4,"Medium (21-40%)","High (&gt;40%)"))))</f>
        <v/>
      </c>
      <c r="Y3692" s="23" t="str">
        <f aca="false">IF(AND(ISNUMBER(C3692),ISNUMBER(D3692)),D3692-C3692,"")</f>
        <v/>
      </c>
      <c r="Z3692" s="23" t="str">
        <f aca="false">IF(B3692="","",IF(MATCH(B3692,$B$2:$B$12000,0)=ROW()-1,1,0))</f>
        <v/>
      </c>
    </row>
    <row r="3693" customFormat="false" ht="15" hidden="false" customHeight="false" outlineLevel="0" collapsed="false">
      <c r="V3693" s="23" t="str">
        <f aca="false">IF(ISNUMBER(C3693),YEAR(C3693),"")</f>
        <v/>
      </c>
      <c r="W3693" s="23" t="str">
        <f aca="false">IF(ISNUMBER(C3693),MONTH(C3693),"")</f>
        <v/>
      </c>
      <c r="X3693" s="23" t="str">
        <f aca="false">IF(T3693="","",IF(T3693=0,"No discount",IF(T3693&lt;=0.2,"Low (1-20%)",IF(T3693&lt;=0.4,"Medium (21-40%)","High (&gt;40%)"))))</f>
        <v/>
      </c>
      <c r="Y3693" s="23" t="str">
        <f aca="false">IF(AND(ISNUMBER(C3693),ISNUMBER(D3693)),D3693-C3693,"")</f>
        <v/>
      </c>
      <c r="Z3693" s="23" t="str">
        <f aca="false">IF(B3693="","",IF(MATCH(B3693,$B$2:$B$12000,0)=ROW()-1,1,0))</f>
        <v/>
      </c>
    </row>
    <row r="3694" customFormat="false" ht="15" hidden="false" customHeight="false" outlineLevel="0" collapsed="false">
      <c r="V3694" s="23" t="str">
        <f aca="false">IF(ISNUMBER(C3694),YEAR(C3694),"")</f>
        <v/>
      </c>
      <c r="W3694" s="23" t="str">
        <f aca="false">IF(ISNUMBER(C3694),MONTH(C3694),"")</f>
        <v/>
      </c>
      <c r="X3694" s="23" t="str">
        <f aca="false">IF(T3694="","",IF(T3694=0,"No discount",IF(T3694&lt;=0.2,"Low (1-20%)",IF(T3694&lt;=0.4,"Medium (21-40%)","High (&gt;40%)"))))</f>
        <v/>
      </c>
      <c r="Y3694" s="23" t="str">
        <f aca="false">IF(AND(ISNUMBER(C3694),ISNUMBER(D3694)),D3694-C3694,"")</f>
        <v/>
      </c>
      <c r="Z3694" s="23" t="str">
        <f aca="false">IF(B3694="","",IF(MATCH(B3694,$B$2:$B$12000,0)=ROW()-1,1,0))</f>
        <v/>
      </c>
    </row>
    <row r="3695" customFormat="false" ht="15" hidden="false" customHeight="false" outlineLevel="0" collapsed="false">
      <c r="V3695" s="23" t="str">
        <f aca="false">IF(ISNUMBER(C3695),YEAR(C3695),"")</f>
        <v/>
      </c>
      <c r="W3695" s="23" t="str">
        <f aca="false">IF(ISNUMBER(C3695),MONTH(C3695),"")</f>
        <v/>
      </c>
      <c r="X3695" s="23" t="str">
        <f aca="false">IF(T3695="","",IF(T3695=0,"No discount",IF(T3695&lt;=0.2,"Low (1-20%)",IF(T3695&lt;=0.4,"Medium (21-40%)","High (&gt;40%)"))))</f>
        <v/>
      </c>
      <c r="Y3695" s="23" t="str">
        <f aca="false">IF(AND(ISNUMBER(C3695),ISNUMBER(D3695)),D3695-C3695,"")</f>
        <v/>
      </c>
      <c r="Z3695" s="23" t="str">
        <f aca="false">IF(B3695="","",IF(MATCH(B3695,$B$2:$B$12000,0)=ROW()-1,1,0))</f>
        <v/>
      </c>
    </row>
    <row r="3696" customFormat="false" ht="15" hidden="false" customHeight="false" outlineLevel="0" collapsed="false">
      <c r="V3696" s="23" t="str">
        <f aca="false">IF(ISNUMBER(C3696),YEAR(C3696),"")</f>
        <v/>
      </c>
      <c r="W3696" s="23" t="str">
        <f aca="false">IF(ISNUMBER(C3696),MONTH(C3696),"")</f>
        <v/>
      </c>
      <c r="X3696" s="23" t="str">
        <f aca="false">IF(T3696="","",IF(T3696=0,"No discount",IF(T3696&lt;=0.2,"Low (1-20%)",IF(T3696&lt;=0.4,"Medium (21-40%)","High (&gt;40%)"))))</f>
        <v/>
      </c>
      <c r="Y3696" s="23" t="str">
        <f aca="false">IF(AND(ISNUMBER(C3696),ISNUMBER(D3696)),D3696-C3696,"")</f>
        <v/>
      </c>
      <c r="Z3696" s="23" t="str">
        <f aca="false">IF(B3696="","",IF(MATCH(B3696,$B$2:$B$12000,0)=ROW()-1,1,0))</f>
        <v/>
      </c>
    </row>
    <row r="3697" customFormat="false" ht="15" hidden="false" customHeight="false" outlineLevel="0" collapsed="false">
      <c r="V3697" s="23" t="str">
        <f aca="false">IF(ISNUMBER(C3697),YEAR(C3697),"")</f>
        <v/>
      </c>
      <c r="W3697" s="23" t="str">
        <f aca="false">IF(ISNUMBER(C3697),MONTH(C3697),"")</f>
        <v/>
      </c>
      <c r="X3697" s="23" t="str">
        <f aca="false">IF(T3697="","",IF(T3697=0,"No discount",IF(T3697&lt;=0.2,"Low (1-20%)",IF(T3697&lt;=0.4,"Medium (21-40%)","High (&gt;40%)"))))</f>
        <v/>
      </c>
      <c r="Y3697" s="23" t="str">
        <f aca="false">IF(AND(ISNUMBER(C3697),ISNUMBER(D3697)),D3697-C3697,"")</f>
        <v/>
      </c>
      <c r="Z3697" s="23" t="str">
        <f aca="false">IF(B3697="","",IF(MATCH(B3697,$B$2:$B$12000,0)=ROW()-1,1,0))</f>
        <v/>
      </c>
    </row>
    <row r="3698" customFormat="false" ht="15" hidden="false" customHeight="false" outlineLevel="0" collapsed="false">
      <c r="V3698" s="23" t="str">
        <f aca="false">IF(ISNUMBER(C3698),YEAR(C3698),"")</f>
        <v/>
      </c>
      <c r="W3698" s="23" t="str">
        <f aca="false">IF(ISNUMBER(C3698),MONTH(C3698),"")</f>
        <v/>
      </c>
      <c r="X3698" s="23" t="str">
        <f aca="false">IF(T3698="","",IF(T3698=0,"No discount",IF(T3698&lt;=0.2,"Low (1-20%)",IF(T3698&lt;=0.4,"Medium (21-40%)","High (&gt;40%)"))))</f>
        <v/>
      </c>
      <c r="Y3698" s="23" t="str">
        <f aca="false">IF(AND(ISNUMBER(C3698),ISNUMBER(D3698)),D3698-C3698,"")</f>
        <v/>
      </c>
      <c r="Z3698" s="23" t="str">
        <f aca="false">IF(B3698="","",IF(MATCH(B3698,$B$2:$B$12000,0)=ROW()-1,1,0))</f>
        <v/>
      </c>
    </row>
    <row r="3699" customFormat="false" ht="15" hidden="false" customHeight="false" outlineLevel="0" collapsed="false">
      <c r="V3699" s="23" t="str">
        <f aca="false">IF(ISNUMBER(C3699),YEAR(C3699),"")</f>
        <v/>
      </c>
      <c r="W3699" s="23" t="str">
        <f aca="false">IF(ISNUMBER(C3699),MONTH(C3699),"")</f>
        <v/>
      </c>
      <c r="X3699" s="23" t="str">
        <f aca="false">IF(T3699="","",IF(T3699=0,"No discount",IF(T3699&lt;=0.2,"Low (1-20%)",IF(T3699&lt;=0.4,"Medium (21-40%)","High (&gt;40%)"))))</f>
        <v/>
      </c>
      <c r="Y3699" s="23" t="str">
        <f aca="false">IF(AND(ISNUMBER(C3699),ISNUMBER(D3699)),D3699-C3699,"")</f>
        <v/>
      </c>
      <c r="Z3699" s="23" t="str">
        <f aca="false">IF(B3699="","",IF(MATCH(B3699,$B$2:$B$12000,0)=ROW()-1,1,0))</f>
        <v/>
      </c>
    </row>
    <row r="3700" customFormat="false" ht="15" hidden="false" customHeight="false" outlineLevel="0" collapsed="false">
      <c r="V3700" s="23" t="str">
        <f aca="false">IF(ISNUMBER(C3700),YEAR(C3700),"")</f>
        <v/>
      </c>
      <c r="W3700" s="23" t="str">
        <f aca="false">IF(ISNUMBER(C3700),MONTH(C3700),"")</f>
        <v/>
      </c>
      <c r="X3700" s="23" t="str">
        <f aca="false">IF(T3700="","",IF(T3700=0,"No discount",IF(T3700&lt;=0.2,"Low (1-20%)",IF(T3700&lt;=0.4,"Medium (21-40%)","High (&gt;40%)"))))</f>
        <v/>
      </c>
      <c r="Y3700" s="23" t="str">
        <f aca="false">IF(AND(ISNUMBER(C3700),ISNUMBER(D3700)),D3700-C3700,"")</f>
        <v/>
      </c>
      <c r="Z3700" s="23" t="str">
        <f aca="false">IF(B3700="","",IF(MATCH(B3700,$B$2:$B$12000,0)=ROW()-1,1,0))</f>
        <v/>
      </c>
    </row>
    <row r="3701" customFormat="false" ht="15" hidden="false" customHeight="false" outlineLevel="0" collapsed="false">
      <c r="V3701" s="23" t="str">
        <f aca="false">IF(ISNUMBER(C3701),YEAR(C3701),"")</f>
        <v/>
      </c>
      <c r="W3701" s="23" t="str">
        <f aca="false">IF(ISNUMBER(C3701),MONTH(C3701),"")</f>
        <v/>
      </c>
      <c r="X3701" s="23" t="str">
        <f aca="false">IF(T3701="","",IF(T3701=0,"No discount",IF(T3701&lt;=0.2,"Low (1-20%)",IF(T3701&lt;=0.4,"Medium (21-40%)","High (&gt;40%)"))))</f>
        <v/>
      </c>
      <c r="Y3701" s="23" t="str">
        <f aca="false">IF(AND(ISNUMBER(C3701),ISNUMBER(D3701)),D3701-C3701,"")</f>
        <v/>
      </c>
      <c r="Z3701" s="23" t="str">
        <f aca="false">IF(B3701="","",IF(MATCH(B3701,$B$2:$B$12000,0)=ROW()-1,1,0))</f>
        <v/>
      </c>
    </row>
    <row r="3702" customFormat="false" ht="15" hidden="false" customHeight="false" outlineLevel="0" collapsed="false">
      <c r="V3702" s="23" t="str">
        <f aca="false">IF(ISNUMBER(C3702),YEAR(C3702),"")</f>
        <v/>
      </c>
      <c r="W3702" s="23" t="str">
        <f aca="false">IF(ISNUMBER(C3702),MONTH(C3702),"")</f>
        <v/>
      </c>
      <c r="X3702" s="23" t="str">
        <f aca="false">IF(T3702="","",IF(T3702=0,"No discount",IF(T3702&lt;=0.2,"Low (1-20%)",IF(T3702&lt;=0.4,"Medium (21-40%)","High (&gt;40%)"))))</f>
        <v/>
      </c>
      <c r="Y3702" s="23" t="str">
        <f aca="false">IF(AND(ISNUMBER(C3702),ISNUMBER(D3702)),D3702-C3702,"")</f>
        <v/>
      </c>
      <c r="Z3702" s="23" t="str">
        <f aca="false">IF(B3702="","",IF(MATCH(B3702,$B$2:$B$12000,0)=ROW()-1,1,0))</f>
        <v/>
      </c>
    </row>
    <row r="3703" customFormat="false" ht="15" hidden="false" customHeight="false" outlineLevel="0" collapsed="false">
      <c r="V3703" s="23" t="str">
        <f aca="false">IF(ISNUMBER(C3703),YEAR(C3703),"")</f>
        <v/>
      </c>
      <c r="W3703" s="23" t="str">
        <f aca="false">IF(ISNUMBER(C3703),MONTH(C3703),"")</f>
        <v/>
      </c>
      <c r="X3703" s="23" t="str">
        <f aca="false">IF(T3703="","",IF(T3703=0,"No discount",IF(T3703&lt;=0.2,"Low (1-20%)",IF(T3703&lt;=0.4,"Medium (21-40%)","High (&gt;40%)"))))</f>
        <v/>
      </c>
      <c r="Y3703" s="23" t="str">
        <f aca="false">IF(AND(ISNUMBER(C3703),ISNUMBER(D3703)),D3703-C3703,"")</f>
        <v/>
      </c>
      <c r="Z3703" s="23" t="str">
        <f aca="false">IF(B3703="","",IF(MATCH(B3703,$B$2:$B$12000,0)=ROW()-1,1,0))</f>
        <v/>
      </c>
    </row>
    <row r="3704" customFormat="false" ht="15" hidden="false" customHeight="false" outlineLevel="0" collapsed="false">
      <c r="V3704" s="23" t="str">
        <f aca="false">IF(ISNUMBER(C3704),YEAR(C3704),"")</f>
        <v/>
      </c>
      <c r="W3704" s="23" t="str">
        <f aca="false">IF(ISNUMBER(C3704),MONTH(C3704),"")</f>
        <v/>
      </c>
      <c r="X3704" s="23" t="str">
        <f aca="false">IF(T3704="","",IF(T3704=0,"No discount",IF(T3704&lt;=0.2,"Low (1-20%)",IF(T3704&lt;=0.4,"Medium (21-40%)","High (&gt;40%)"))))</f>
        <v/>
      </c>
      <c r="Y3704" s="23" t="str">
        <f aca="false">IF(AND(ISNUMBER(C3704),ISNUMBER(D3704)),D3704-C3704,"")</f>
        <v/>
      </c>
      <c r="Z3704" s="23" t="str">
        <f aca="false">IF(B3704="","",IF(MATCH(B3704,$B$2:$B$12000,0)=ROW()-1,1,0))</f>
        <v/>
      </c>
    </row>
    <row r="3705" customFormat="false" ht="15" hidden="false" customHeight="false" outlineLevel="0" collapsed="false">
      <c r="V3705" s="23" t="str">
        <f aca="false">IF(ISNUMBER(C3705),YEAR(C3705),"")</f>
        <v/>
      </c>
      <c r="W3705" s="23" t="str">
        <f aca="false">IF(ISNUMBER(C3705),MONTH(C3705),"")</f>
        <v/>
      </c>
      <c r="X3705" s="23" t="str">
        <f aca="false">IF(T3705="","",IF(T3705=0,"No discount",IF(T3705&lt;=0.2,"Low (1-20%)",IF(T3705&lt;=0.4,"Medium (21-40%)","High (&gt;40%)"))))</f>
        <v/>
      </c>
      <c r="Y3705" s="23" t="str">
        <f aca="false">IF(AND(ISNUMBER(C3705),ISNUMBER(D3705)),D3705-C3705,"")</f>
        <v/>
      </c>
      <c r="Z3705" s="23" t="str">
        <f aca="false">IF(B3705="","",IF(MATCH(B3705,$B$2:$B$12000,0)=ROW()-1,1,0))</f>
        <v/>
      </c>
    </row>
    <row r="3706" customFormat="false" ht="15" hidden="false" customHeight="false" outlineLevel="0" collapsed="false">
      <c r="V3706" s="23" t="str">
        <f aca="false">IF(ISNUMBER(C3706),YEAR(C3706),"")</f>
        <v/>
      </c>
      <c r="W3706" s="23" t="str">
        <f aca="false">IF(ISNUMBER(C3706),MONTH(C3706),"")</f>
        <v/>
      </c>
      <c r="X3706" s="23" t="str">
        <f aca="false">IF(T3706="","",IF(T3706=0,"No discount",IF(T3706&lt;=0.2,"Low (1-20%)",IF(T3706&lt;=0.4,"Medium (21-40%)","High (&gt;40%)"))))</f>
        <v/>
      </c>
      <c r="Y3706" s="23" t="str">
        <f aca="false">IF(AND(ISNUMBER(C3706),ISNUMBER(D3706)),D3706-C3706,"")</f>
        <v/>
      </c>
      <c r="Z3706" s="23" t="str">
        <f aca="false">IF(B3706="","",IF(MATCH(B3706,$B$2:$B$12000,0)=ROW()-1,1,0))</f>
        <v/>
      </c>
    </row>
    <row r="3707" customFormat="false" ht="15" hidden="false" customHeight="false" outlineLevel="0" collapsed="false">
      <c r="V3707" s="23" t="str">
        <f aca="false">IF(ISNUMBER(C3707),YEAR(C3707),"")</f>
        <v/>
      </c>
      <c r="W3707" s="23" t="str">
        <f aca="false">IF(ISNUMBER(C3707),MONTH(C3707),"")</f>
        <v/>
      </c>
      <c r="X3707" s="23" t="str">
        <f aca="false">IF(T3707="","",IF(T3707=0,"No discount",IF(T3707&lt;=0.2,"Low (1-20%)",IF(T3707&lt;=0.4,"Medium (21-40%)","High (&gt;40%)"))))</f>
        <v/>
      </c>
      <c r="Y3707" s="23" t="str">
        <f aca="false">IF(AND(ISNUMBER(C3707),ISNUMBER(D3707)),D3707-C3707,"")</f>
        <v/>
      </c>
      <c r="Z3707" s="23" t="str">
        <f aca="false">IF(B3707="","",IF(MATCH(B3707,$B$2:$B$12000,0)=ROW()-1,1,0))</f>
        <v/>
      </c>
    </row>
    <row r="3708" customFormat="false" ht="15" hidden="false" customHeight="false" outlineLevel="0" collapsed="false">
      <c r="V3708" s="23" t="str">
        <f aca="false">IF(ISNUMBER(C3708),YEAR(C3708),"")</f>
        <v/>
      </c>
      <c r="W3708" s="23" t="str">
        <f aca="false">IF(ISNUMBER(C3708),MONTH(C3708),"")</f>
        <v/>
      </c>
      <c r="X3708" s="23" t="str">
        <f aca="false">IF(T3708="","",IF(T3708=0,"No discount",IF(T3708&lt;=0.2,"Low (1-20%)",IF(T3708&lt;=0.4,"Medium (21-40%)","High (&gt;40%)"))))</f>
        <v/>
      </c>
      <c r="Y3708" s="23" t="str">
        <f aca="false">IF(AND(ISNUMBER(C3708),ISNUMBER(D3708)),D3708-C3708,"")</f>
        <v/>
      </c>
      <c r="Z3708" s="23" t="str">
        <f aca="false">IF(B3708="","",IF(MATCH(B3708,$B$2:$B$12000,0)=ROW()-1,1,0))</f>
        <v/>
      </c>
    </row>
    <row r="3709" customFormat="false" ht="15" hidden="false" customHeight="false" outlineLevel="0" collapsed="false">
      <c r="V3709" s="23" t="str">
        <f aca="false">IF(ISNUMBER(C3709),YEAR(C3709),"")</f>
        <v/>
      </c>
      <c r="W3709" s="23" t="str">
        <f aca="false">IF(ISNUMBER(C3709),MONTH(C3709),"")</f>
        <v/>
      </c>
      <c r="X3709" s="23" t="str">
        <f aca="false">IF(T3709="","",IF(T3709=0,"No discount",IF(T3709&lt;=0.2,"Low (1-20%)",IF(T3709&lt;=0.4,"Medium (21-40%)","High (&gt;40%)"))))</f>
        <v/>
      </c>
      <c r="Y3709" s="23" t="str">
        <f aca="false">IF(AND(ISNUMBER(C3709),ISNUMBER(D3709)),D3709-C3709,"")</f>
        <v/>
      </c>
      <c r="Z3709" s="23" t="str">
        <f aca="false">IF(B3709="","",IF(MATCH(B3709,$B$2:$B$12000,0)=ROW()-1,1,0))</f>
        <v/>
      </c>
    </row>
    <row r="3710" customFormat="false" ht="15" hidden="false" customHeight="false" outlineLevel="0" collapsed="false">
      <c r="V3710" s="23" t="str">
        <f aca="false">IF(ISNUMBER(C3710),YEAR(C3710),"")</f>
        <v/>
      </c>
      <c r="W3710" s="23" t="str">
        <f aca="false">IF(ISNUMBER(C3710),MONTH(C3710),"")</f>
        <v/>
      </c>
      <c r="X3710" s="23" t="str">
        <f aca="false">IF(T3710="","",IF(T3710=0,"No discount",IF(T3710&lt;=0.2,"Low (1-20%)",IF(T3710&lt;=0.4,"Medium (21-40%)","High (&gt;40%)"))))</f>
        <v/>
      </c>
      <c r="Y3710" s="23" t="str">
        <f aca="false">IF(AND(ISNUMBER(C3710),ISNUMBER(D3710)),D3710-C3710,"")</f>
        <v/>
      </c>
      <c r="Z3710" s="23" t="str">
        <f aca="false">IF(B3710="","",IF(MATCH(B3710,$B$2:$B$12000,0)=ROW()-1,1,0))</f>
        <v/>
      </c>
    </row>
    <row r="3711" customFormat="false" ht="15" hidden="false" customHeight="false" outlineLevel="0" collapsed="false">
      <c r="V3711" s="23" t="str">
        <f aca="false">IF(ISNUMBER(C3711),YEAR(C3711),"")</f>
        <v/>
      </c>
      <c r="W3711" s="23" t="str">
        <f aca="false">IF(ISNUMBER(C3711),MONTH(C3711),"")</f>
        <v/>
      </c>
      <c r="X3711" s="23" t="str">
        <f aca="false">IF(T3711="","",IF(T3711=0,"No discount",IF(T3711&lt;=0.2,"Low (1-20%)",IF(T3711&lt;=0.4,"Medium (21-40%)","High (&gt;40%)"))))</f>
        <v/>
      </c>
      <c r="Y3711" s="23" t="str">
        <f aca="false">IF(AND(ISNUMBER(C3711),ISNUMBER(D3711)),D3711-C3711,"")</f>
        <v/>
      </c>
      <c r="Z3711" s="23" t="str">
        <f aca="false">IF(B3711="","",IF(MATCH(B3711,$B$2:$B$12000,0)=ROW()-1,1,0))</f>
        <v/>
      </c>
    </row>
    <row r="3712" customFormat="false" ht="15" hidden="false" customHeight="false" outlineLevel="0" collapsed="false">
      <c r="V3712" s="23" t="str">
        <f aca="false">IF(ISNUMBER(C3712),YEAR(C3712),"")</f>
        <v/>
      </c>
      <c r="W3712" s="23" t="str">
        <f aca="false">IF(ISNUMBER(C3712),MONTH(C3712),"")</f>
        <v/>
      </c>
      <c r="X3712" s="23" t="str">
        <f aca="false">IF(T3712="","",IF(T3712=0,"No discount",IF(T3712&lt;=0.2,"Low (1-20%)",IF(T3712&lt;=0.4,"Medium (21-40%)","High (&gt;40%)"))))</f>
        <v/>
      </c>
      <c r="Y3712" s="23" t="str">
        <f aca="false">IF(AND(ISNUMBER(C3712),ISNUMBER(D3712)),D3712-C3712,"")</f>
        <v/>
      </c>
      <c r="Z3712" s="23" t="str">
        <f aca="false">IF(B3712="","",IF(MATCH(B3712,$B$2:$B$12000,0)=ROW()-1,1,0))</f>
        <v/>
      </c>
    </row>
    <row r="3713" customFormat="false" ht="15" hidden="false" customHeight="false" outlineLevel="0" collapsed="false">
      <c r="V3713" s="23" t="str">
        <f aca="false">IF(ISNUMBER(C3713),YEAR(C3713),"")</f>
        <v/>
      </c>
      <c r="W3713" s="23" t="str">
        <f aca="false">IF(ISNUMBER(C3713),MONTH(C3713),"")</f>
        <v/>
      </c>
      <c r="X3713" s="23" t="str">
        <f aca="false">IF(T3713="","",IF(T3713=0,"No discount",IF(T3713&lt;=0.2,"Low (1-20%)",IF(T3713&lt;=0.4,"Medium (21-40%)","High (&gt;40%)"))))</f>
        <v/>
      </c>
      <c r="Y3713" s="23" t="str">
        <f aca="false">IF(AND(ISNUMBER(C3713),ISNUMBER(D3713)),D3713-C3713,"")</f>
        <v/>
      </c>
      <c r="Z3713" s="23" t="str">
        <f aca="false">IF(B3713="","",IF(MATCH(B3713,$B$2:$B$12000,0)=ROW()-1,1,0))</f>
        <v/>
      </c>
    </row>
    <row r="3714" customFormat="false" ht="15" hidden="false" customHeight="false" outlineLevel="0" collapsed="false">
      <c r="V3714" s="23" t="str">
        <f aca="false">IF(ISNUMBER(C3714),YEAR(C3714),"")</f>
        <v/>
      </c>
      <c r="W3714" s="23" t="str">
        <f aca="false">IF(ISNUMBER(C3714),MONTH(C3714),"")</f>
        <v/>
      </c>
      <c r="X3714" s="23" t="str">
        <f aca="false">IF(T3714="","",IF(T3714=0,"No discount",IF(T3714&lt;=0.2,"Low (1-20%)",IF(T3714&lt;=0.4,"Medium (21-40%)","High (&gt;40%)"))))</f>
        <v/>
      </c>
      <c r="Y3714" s="23" t="str">
        <f aca="false">IF(AND(ISNUMBER(C3714),ISNUMBER(D3714)),D3714-C3714,"")</f>
        <v/>
      </c>
      <c r="Z3714" s="23" t="str">
        <f aca="false">IF(B3714="","",IF(MATCH(B3714,$B$2:$B$12000,0)=ROW()-1,1,0))</f>
        <v/>
      </c>
    </row>
    <row r="3715" customFormat="false" ht="15" hidden="false" customHeight="false" outlineLevel="0" collapsed="false">
      <c r="V3715" s="23" t="str">
        <f aca="false">IF(ISNUMBER(C3715),YEAR(C3715),"")</f>
        <v/>
      </c>
      <c r="W3715" s="23" t="str">
        <f aca="false">IF(ISNUMBER(C3715),MONTH(C3715),"")</f>
        <v/>
      </c>
      <c r="X3715" s="23" t="str">
        <f aca="false">IF(T3715="","",IF(T3715=0,"No discount",IF(T3715&lt;=0.2,"Low (1-20%)",IF(T3715&lt;=0.4,"Medium (21-40%)","High (&gt;40%)"))))</f>
        <v/>
      </c>
      <c r="Y3715" s="23" t="str">
        <f aca="false">IF(AND(ISNUMBER(C3715),ISNUMBER(D3715)),D3715-C3715,"")</f>
        <v/>
      </c>
      <c r="Z3715" s="23" t="str">
        <f aca="false">IF(B3715="","",IF(MATCH(B3715,$B$2:$B$12000,0)=ROW()-1,1,0))</f>
        <v/>
      </c>
    </row>
    <row r="3716" customFormat="false" ht="15" hidden="false" customHeight="false" outlineLevel="0" collapsed="false">
      <c r="V3716" s="23" t="str">
        <f aca="false">IF(ISNUMBER(C3716),YEAR(C3716),"")</f>
        <v/>
      </c>
      <c r="W3716" s="23" t="str">
        <f aca="false">IF(ISNUMBER(C3716),MONTH(C3716),"")</f>
        <v/>
      </c>
      <c r="X3716" s="23" t="str">
        <f aca="false">IF(T3716="","",IF(T3716=0,"No discount",IF(T3716&lt;=0.2,"Low (1-20%)",IF(T3716&lt;=0.4,"Medium (21-40%)","High (&gt;40%)"))))</f>
        <v/>
      </c>
      <c r="Y3716" s="23" t="str">
        <f aca="false">IF(AND(ISNUMBER(C3716),ISNUMBER(D3716)),D3716-C3716,"")</f>
        <v/>
      </c>
      <c r="Z3716" s="23" t="str">
        <f aca="false">IF(B3716="","",IF(MATCH(B3716,$B$2:$B$12000,0)=ROW()-1,1,0))</f>
        <v/>
      </c>
    </row>
    <row r="3717" customFormat="false" ht="15" hidden="false" customHeight="false" outlineLevel="0" collapsed="false">
      <c r="V3717" s="23" t="str">
        <f aca="false">IF(ISNUMBER(C3717),YEAR(C3717),"")</f>
        <v/>
      </c>
      <c r="W3717" s="23" t="str">
        <f aca="false">IF(ISNUMBER(C3717),MONTH(C3717),"")</f>
        <v/>
      </c>
      <c r="X3717" s="23" t="str">
        <f aca="false">IF(T3717="","",IF(T3717=0,"No discount",IF(T3717&lt;=0.2,"Low (1-20%)",IF(T3717&lt;=0.4,"Medium (21-40%)","High (&gt;40%)"))))</f>
        <v/>
      </c>
      <c r="Y3717" s="23" t="str">
        <f aca="false">IF(AND(ISNUMBER(C3717),ISNUMBER(D3717)),D3717-C3717,"")</f>
        <v/>
      </c>
      <c r="Z3717" s="23" t="str">
        <f aca="false">IF(B3717="","",IF(MATCH(B3717,$B$2:$B$12000,0)=ROW()-1,1,0))</f>
        <v/>
      </c>
    </row>
    <row r="3718" customFormat="false" ht="15" hidden="false" customHeight="false" outlineLevel="0" collapsed="false">
      <c r="V3718" s="23" t="str">
        <f aca="false">IF(ISNUMBER(C3718),YEAR(C3718),"")</f>
        <v/>
      </c>
      <c r="W3718" s="23" t="str">
        <f aca="false">IF(ISNUMBER(C3718),MONTH(C3718),"")</f>
        <v/>
      </c>
      <c r="X3718" s="23" t="str">
        <f aca="false">IF(T3718="","",IF(T3718=0,"No discount",IF(T3718&lt;=0.2,"Low (1-20%)",IF(T3718&lt;=0.4,"Medium (21-40%)","High (&gt;40%)"))))</f>
        <v/>
      </c>
      <c r="Y3718" s="23" t="str">
        <f aca="false">IF(AND(ISNUMBER(C3718),ISNUMBER(D3718)),D3718-C3718,"")</f>
        <v/>
      </c>
      <c r="Z3718" s="23" t="str">
        <f aca="false">IF(B3718="","",IF(MATCH(B3718,$B$2:$B$12000,0)=ROW()-1,1,0))</f>
        <v/>
      </c>
    </row>
    <row r="3719" customFormat="false" ht="15" hidden="false" customHeight="false" outlineLevel="0" collapsed="false">
      <c r="V3719" s="23" t="str">
        <f aca="false">IF(ISNUMBER(C3719),YEAR(C3719),"")</f>
        <v/>
      </c>
      <c r="W3719" s="23" t="str">
        <f aca="false">IF(ISNUMBER(C3719),MONTH(C3719),"")</f>
        <v/>
      </c>
      <c r="X3719" s="23" t="str">
        <f aca="false">IF(T3719="","",IF(T3719=0,"No discount",IF(T3719&lt;=0.2,"Low (1-20%)",IF(T3719&lt;=0.4,"Medium (21-40%)","High (&gt;40%)"))))</f>
        <v/>
      </c>
      <c r="Y3719" s="23" t="str">
        <f aca="false">IF(AND(ISNUMBER(C3719),ISNUMBER(D3719)),D3719-C3719,"")</f>
        <v/>
      </c>
      <c r="Z3719" s="23" t="str">
        <f aca="false">IF(B3719="","",IF(MATCH(B3719,$B$2:$B$12000,0)=ROW()-1,1,0))</f>
        <v/>
      </c>
    </row>
    <row r="3720" customFormat="false" ht="15" hidden="false" customHeight="false" outlineLevel="0" collapsed="false">
      <c r="V3720" s="23" t="str">
        <f aca="false">IF(ISNUMBER(C3720),YEAR(C3720),"")</f>
        <v/>
      </c>
      <c r="W3720" s="23" t="str">
        <f aca="false">IF(ISNUMBER(C3720),MONTH(C3720),"")</f>
        <v/>
      </c>
      <c r="X3720" s="23" t="str">
        <f aca="false">IF(T3720="","",IF(T3720=0,"No discount",IF(T3720&lt;=0.2,"Low (1-20%)",IF(T3720&lt;=0.4,"Medium (21-40%)","High (&gt;40%)"))))</f>
        <v/>
      </c>
      <c r="Y3720" s="23" t="str">
        <f aca="false">IF(AND(ISNUMBER(C3720),ISNUMBER(D3720)),D3720-C3720,"")</f>
        <v/>
      </c>
      <c r="Z3720" s="23" t="str">
        <f aca="false">IF(B3720="","",IF(MATCH(B3720,$B$2:$B$12000,0)=ROW()-1,1,0))</f>
        <v/>
      </c>
    </row>
    <row r="3721" customFormat="false" ht="15" hidden="false" customHeight="false" outlineLevel="0" collapsed="false">
      <c r="V3721" s="23" t="str">
        <f aca="false">IF(ISNUMBER(C3721),YEAR(C3721),"")</f>
        <v/>
      </c>
      <c r="W3721" s="23" t="str">
        <f aca="false">IF(ISNUMBER(C3721),MONTH(C3721),"")</f>
        <v/>
      </c>
      <c r="X3721" s="23" t="str">
        <f aca="false">IF(T3721="","",IF(T3721=0,"No discount",IF(T3721&lt;=0.2,"Low (1-20%)",IF(T3721&lt;=0.4,"Medium (21-40%)","High (&gt;40%)"))))</f>
        <v/>
      </c>
      <c r="Y3721" s="23" t="str">
        <f aca="false">IF(AND(ISNUMBER(C3721),ISNUMBER(D3721)),D3721-C3721,"")</f>
        <v/>
      </c>
      <c r="Z3721" s="23" t="str">
        <f aca="false">IF(B3721="","",IF(MATCH(B3721,$B$2:$B$12000,0)=ROW()-1,1,0))</f>
        <v/>
      </c>
    </row>
    <row r="3722" customFormat="false" ht="15" hidden="false" customHeight="false" outlineLevel="0" collapsed="false">
      <c r="V3722" s="23" t="str">
        <f aca="false">IF(ISNUMBER(C3722),YEAR(C3722),"")</f>
        <v/>
      </c>
      <c r="W3722" s="23" t="str">
        <f aca="false">IF(ISNUMBER(C3722),MONTH(C3722),"")</f>
        <v/>
      </c>
      <c r="X3722" s="23" t="str">
        <f aca="false">IF(T3722="","",IF(T3722=0,"No discount",IF(T3722&lt;=0.2,"Low (1-20%)",IF(T3722&lt;=0.4,"Medium (21-40%)","High (&gt;40%)"))))</f>
        <v/>
      </c>
      <c r="Y3722" s="23" t="str">
        <f aca="false">IF(AND(ISNUMBER(C3722),ISNUMBER(D3722)),D3722-C3722,"")</f>
        <v/>
      </c>
      <c r="Z3722" s="23" t="str">
        <f aca="false">IF(B3722="","",IF(MATCH(B3722,$B$2:$B$12000,0)=ROW()-1,1,0))</f>
        <v/>
      </c>
    </row>
    <row r="3723" customFormat="false" ht="15" hidden="false" customHeight="false" outlineLevel="0" collapsed="false">
      <c r="V3723" s="23" t="str">
        <f aca="false">IF(ISNUMBER(C3723),YEAR(C3723),"")</f>
        <v/>
      </c>
      <c r="W3723" s="23" t="str">
        <f aca="false">IF(ISNUMBER(C3723),MONTH(C3723),"")</f>
        <v/>
      </c>
      <c r="X3723" s="23" t="str">
        <f aca="false">IF(T3723="","",IF(T3723=0,"No discount",IF(T3723&lt;=0.2,"Low (1-20%)",IF(T3723&lt;=0.4,"Medium (21-40%)","High (&gt;40%)"))))</f>
        <v/>
      </c>
      <c r="Y3723" s="23" t="str">
        <f aca="false">IF(AND(ISNUMBER(C3723),ISNUMBER(D3723)),D3723-C3723,"")</f>
        <v/>
      </c>
      <c r="Z3723" s="23" t="str">
        <f aca="false">IF(B3723="","",IF(MATCH(B3723,$B$2:$B$12000,0)=ROW()-1,1,0))</f>
        <v/>
      </c>
    </row>
    <row r="3724" customFormat="false" ht="15" hidden="false" customHeight="false" outlineLevel="0" collapsed="false">
      <c r="V3724" s="23" t="str">
        <f aca="false">IF(ISNUMBER(C3724),YEAR(C3724),"")</f>
        <v/>
      </c>
      <c r="W3724" s="23" t="str">
        <f aca="false">IF(ISNUMBER(C3724),MONTH(C3724),"")</f>
        <v/>
      </c>
      <c r="X3724" s="23" t="str">
        <f aca="false">IF(T3724="","",IF(T3724=0,"No discount",IF(T3724&lt;=0.2,"Low (1-20%)",IF(T3724&lt;=0.4,"Medium (21-40%)","High (&gt;40%)"))))</f>
        <v/>
      </c>
      <c r="Y3724" s="23" t="str">
        <f aca="false">IF(AND(ISNUMBER(C3724),ISNUMBER(D3724)),D3724-C3724,"")</f>
        <v/>
      </c>
      <c r="Z3724" s="23" t="str">
        <f aca="false">IF(B3724="","",IF(MATCH(B3724,$B$2:$B$12000,0)=ROW()-1,1,0))</f>
        <v/>
      </c>
    </row>
    <row r="3725" customFormat="false" ht="15" hidden="false" customHeight="false" outlineLevel="0" collapsed="false">
      <c r="V3725" s="23" t="str">
        <f aca="false">IF(ISNUMBER(C3725),YEAR(C3725),"")</f>
        <v/>
      </c>
      <c r="W3725" s="23" t="str">
        <f aca="false">IF(ISNUMBER(C3725),MONTH(C3725),"")</f>
        <v/>
      </c>
      <c r="X3725" s="23" t="str">
        <f aca="false">IF(T3725="","",IF(T3725=0,"No discount",IF(T3725&lt;=0.2,"Low (1-20%)",IF(T3725&lt;=0.4,"Medium (21-40%)","High (&gt;40%)"))))</f>
        <v/>
      </c>
      <c r="Y3725" s="23" t="str">
        <f aca="false">IF(AND(ISNUMBER(C3725),ISNUMBER(D3725)),D3725-C3725,"")</f>
        <v/>
      </c>
      <c r="Z3725" s="23" t="str">
        <f aca="false">IF(B3725="","",IF(MATCH(B3725,$B$2:$B$12000,0)=ROW()-1,1,0))</f>
        <v/>
      </c>
    </row>
    <row r="3726" customFormat="false" ht="15" hidden="false" customHeight="false" outlineLevel="0" collapsed="false">
      <c r="V3726" s="23" t="str">
        <f aca="false">IF(ISNUMBER(C3726),YEAR(C3726),"")</f>
        <v/>
      </c>
      <c r="W3726" s="23" t="str">
        <f aca="false">IF(ISNUMBER(C3726),MONTH(C3726),"")</f>
        <v/>
      </c>
      <c r="X3726" s="23" t="str">
        <f aca="false">IF(T3726="","",IF(T3726=0,"No discount",IF(T3726&lt;=0.2,"Low (1-20%)",IF(T3726&lt;=0.4,"Medium (21-40%)","High (&gt;40%)"))))</f>
        <v/>
      </c>
      <c r="Y3726" s="23" t="str">
        <f aca="false">IF(AND(ISNUMBER(C3726),ISNUMBER(D3726)),D3726-C3726,"")</f>
        <v/>
      </c>
      <c r="Z3726" s="23" t="str">
        <f aca="false">IF(B3726="","",IF(MATCH(B3726,$B$2:$B$12000,0)=ROW()-1,1,0))</f>
        <v/>
      </c>
    </row>
    <row r="3727" customFormat="false" ht="15" hidden="false" customHeight="false" outlineLevel="0" collapsed="false">
      <c r="V3727" s="23" t="str">
        <f aca="false">IF(ISNUMBER(C3727),YEAR(C3727),"")</f>
        <v/>
      </c>
      <c r="W3727" s="23" t="str">
        <f aca="false">IF(ISNUMBER(C3727),MONTH(C3727),"")</f>
        <v/>
      </c>
      <c r="X3727" s="23" t="str">
        <f aca="false">IF(T3727="","",IF(T3727=0,"No discount",IF(T3727&lt;=0.2,"Low (1-20%)",IF(T3727&lt;=0.4,"Medium (21-40%)","High (&gt;40%)"))))</f>
        <v/>
      </c>
      <c r="Y3727" s="23" t="str">
        <f aca="false">IF(AND(ISNUMBER(C3727),ISNUMBER(D3727)),D3727-C3727,"")</f>
        <v/>
      </c>
      <c r="Z3727" s="23" t="str">
        <f aca="false">IF(B3727="","",IF(MATCH(B3727,$B$2:$B$12000,0)=ROW()-1,1,0))</f>
        <v/>
      </c>
    </row>
    <row r="3728" customFormat="false" ht="15" hidden="false" customHeight="false" outlineLevel="0" collapsed="false">
      <c r="V3728" s="23" t="str">
        <f aca="false">IF(ISNUMBER(C3728),YEAR(C3728),"")</f>
        <v/>
      </c>
      <c r="W3728" s="23" t="str">
        <f aca="false">IF(ISNUMBER(C3728),MONTH(C3728),"")</f>
        <v/>
      </c>
      <c r="X3728" s="23" t="str">
        <f aca="false">IF(T3728="","",IF(T3728=0,"No discount",IF(T3728&lt;=0.2,"Low (1-20%)",IF(T3728&lt;=0.4,"Medium (21-40%)","High (&gt;40%)"))))</f>
        <v/>
      </c>
      <c r="Y3728" s="23" t="str">
        <f aca="false">IF(AND(ISNUMBER(C3728),ISNUMBER(D3728)),D3728-C3728,"")</f>
        <v/>
      </c>
      <c r="Z3728" s="23" t="str">
        <f aca="false">IF(B3728="","",IF(MATCH(B3728,$B$2:$B$12000,0)=ROW()-1,1,0))</f>
        <v/>
      </c>
    </row>
    <row r="3729" customFormat="false" ht="15" hidden="false" customHeight="false" outlineLevel="0" collapsed="false">
      <c r="V3729" s="23" t="str">
        <f aca="false">IF(ISNUMBER(C3729),YEAR(C3729),"")</f>
        <v/>
      </c>
      <c r="W3729" s="23" t="str">
        <f aca="false">IF(ISNUMBER(C3729),MONTH(C3729),"")</f>
        <v/>
      </c>
      <c r="X3729" s="23" t="str">
        <f aca="false">IF(T3729="","",IF(T3729=0,"No discount",IF(T3729&lt;=0.2,"Low (1-20%)",IF(T3729&lt;=0.4,"Medium (21-40%)","High (&gt;40%)"))))</f>
        <v/>
      </c>
      <c r="Y3729" s="23" t="str">
        <f aca="false">IF(AND(ISNUMBER(C3729),ISNUMBER(D3729)),D3729-C3729,"")</f>
        <v/>
      </c>
      <c r="Z3729" s="23" t="str">
        <f aca="false">IF(B3729="","",IF(MATCH(B3729,$B$2:$B$12000,0)=ROW()-1,1,0))</f>
        <v/>
      </c>
    </row>
    <row r="3730" customFormat="false" ht="15" hidden="false" customHeight="false" outlineLevel="0" collapsed="false">
      <c r="V3730" s="23" t="str">
        <f aca="false">IF(ISNUMBER(C3730),YEAR(C3730),"")</f>
        <v/>
      </c>
      <c r="W3730" s="23" t="str">
        <f aca="false">IF(ISNUMBER(C3730),MONTH(C3730),"")</f>
        <v/>
      </c>
      <c r="X3730" s="23" t="str">
        <f aca="false">IF(T3730="","",IF(T3730=0,"No discount",IF(T3730&lt;=0.2,"Low (1-20%)",IF(T3730&lt;=0.4,"Medium (21-40%)","High (&gt;40%)"))))</f>
        <v/>
      </c>
      <c r="Y3730" s="23" t="str">
        <f aca="false">IF(AND(ISNUMBER(C3730),ISNUMBER(D3730)),D3730-C3730,"")</f>
        <v/>
      </c>
      <c r="Z3730" s="23" t="str">
        <f aca="false">IF(B3730="","",IF(MATCH(B3730,$B$2:$B$12000,0)=ROW()-1,1,0))</f>
        <v/>
      </c>
    </row>
    <row r="3731" customFormat="false" ht="15" hidden="false" customHeight="false" outlineLevel="0" collapsed="false">
      <c r="V3731" s="23" t="str">
        <f aca="false">IF(ISNUMBER(C3731),YEAR(C3731),"")</f>
        <v/>
      </c>
      <c r="W3731" s="23" t="str">
        <f aca="false">IF(ISNUMBER(C3731),MONTH(C3731),"")</f>
        <v/>
      </c>
      <c r="X3731" s="23" t="str">
        <f aca="false">IF(T3731="","",IF(T3731=0,"No discount",IF(T3731&lt;=0.2,"Low (1-20%)",IF(T3731&lt;=0.4,"Medium (21-40%)","High (&gt;40%)"))))</f>
        <v/>
      </c>
      <c r="Y3731" s="23" t="str">
        <f aca="false">IF(AND(ISNUMBER(C3731),ISNUMBER(D3731)),D3731-C3731,"")</f>
        <v/>
      </c>
      <c r="Z3731" s="23" t="str">
        <f aca="false">IF(B3731="","",IF(MATCH(B3731,$B$2:$B$12000,0)=ROW()-1,1,0))</f>
        <v/>
      </c>
    </row>
    <row r="3732" customFormat="false" ht="15" hidden="false" customHeight="false" outlineLevel="0" collapsed="false">
      <c r="V3732" s="23" t="str">
        <f aca="false">IF(ISNUMBER(C3732),YEAR(C3732),"")</f>
        <v/>
      </c>
      <c r="W3732" s="23" t="str">
        <f aca="false">IF(ISNUMBER(C3732),MONTH(C3732),"")</f>
        <v/>
      </c>
      <c r="X3732" s="23" t="str">
        <f aca="false">IF(T3732="","",IF(T3732=0,"No discount",IF(T3732&lt;=0.2,"Low (1-20%)",IF(T3732&lt;=0.4,"Medium (21-40%)","High (&gt;40%)"))))</f>
        <v/>
      </c>
      <c r="Y3732" s="23" t="str">
        <f aca="false">IF(AND(ISNUMBER(C3732),ISNUMBER(D3732)),D3732-C3732,"")</f>
        <v/>
      </c>
      <c r="Z3732" s="23" t="str">
        <f aca="false">IF(B3732="","",IF(MATCH(B3732,$B$2:$B$12000,0)=ROW()-1,1,0))</f>
        <v/>
      </c>
    </row>
    <row r="3733" customFormat="false" ht="15" hidden="false" customHeight="false" outlineLevel="0" collapsed="false">
      <c r="V3733" s="23" t="str">
        <f aca="false">IF(ISNUMBER(C3733),YEAR(C3733),"")</f>
        <v/>
      </c>
      <c r="W3733" s="23" t="str">
        <f aca="false">IF(ISNUMBER(C3733),MONTH(C3733),"")</f>
        <v/>
      </c>
      <c r="X3733" s="23" t="str">
        <f aca="false">IF(T3733="","",IF(T3733=0,"No discount",IF(T3733&lt;=0.2,"Low (1-20%)",IF(T3733&lt;=0.4,"Medium (21-40%)","High (&gt;40%)"))))</f>
        <v/>
      </c>
      <c r="Y3733" s="23" t="str">
        <f aca="false">IF(AND(ISNUMBER(C3733),ISNUMBER(D3733)),D3733-C3733,"")</f>
        <v/>
      </c>
      <c r="Z3733" s="23" t="str">
        <f aca="false">IF(B3733="","",IF(MATCH(B3733,$B$2:$B$12000,0)=ROW()-1,1,0))</f>
        <v/>
      </c>
    </row>
    <row r="3734" customFormat="false" ht="15" hidden="false" customHeight="false" outlineLevel="0" collapsed="false">
      <c r="V3734" s="23" t="str">
        <f aca="false">IF(ISNUMBER(C3734),YEAR(C3734),"")</f>
        <v/>
      </c>
      <c r="W3734" s="23" t="str">
        <f aca="false">IF(ISNUMBER(C3734),MONTH(C3734),"")</f>
        <v/>
      </c>
      <c r="X3734" s="23" t="str">
        <f aca="false">IF(T3734="","",IF(T3734=0,"No discount",IF(T3734&lt;=0.2,"Low (1-20%)",IF(T3734&lt;=0.4,"Medium (21-40%)","High (&gt;40%)"))))</f>
        <v/>
      </c>
      <c r="Y3734" s="23" t="str">
        <f aca="false">IF(AND(ISNUMBER(C3734),ISNUMBER(D3734)),D3734-C3734,"")</f>
        <v/>
      </c>
      <c r="Z3734" s="23" t="str">
        <f aca="false">IF(B3734="","",IF(MATCH(B3734,$B$2:$B$12000,0)=ROW()-1,1,0))</f>
        <v/>
      </c>
    </row>
    <row r="3735" customFormat="false" ht="15" hidden="false" customHeight="false" outlineLevel="0" collapsed="false">
      <c r="V3735" s="23" t="str">
        <f aca="false">IF(ISNUMBER(C3735),YEAR(C3735),"")</f>
        <v/>
      </c>
      <c r="W3735" s="23" t="str">
        <f aca="false">IF(ISNUMBER(C3735),MONTH(C3735),"")</f>
        <v/>
      </c>
      <c r="X3735" s="23" t="str">
        <f aca="false">IF(T3735="","",IF(T3735=0,"No discount",IF(T3735&lt;=0.2,"Low (1-20%)",IF(T3735&lt;=0.4,"Medium (21-40%)","High (&gt;40%)"))))</f>
        <v/>
      </c>
      <c r="Y3735" s="23" t="str">
        <f aca="false">IF(AND(ISNUMBER(C3735),ISNUMBER(D3735)),D3735-C3735,"")</f>
        <v/>
      </c>
      <c r="Z3735" s="23" t="str">
        <f aca="false">IF(B3735="","",IF(MATCH(B3735,$B$2:$B$12000,0)=ROW()-1,1,0))</f>
        <v/>
      </c>
    </row>
    <row r="3736" customFormat="false" ht="15" hidden="false" customHeight="false" outlineLevel="0" collapsed="false">
      <c r="V3736" s="23" t="str">
        <f aca="false">IF(ISNUMBER(C3736),YEAR(C3736),"")</f>
        <v/>
      </c>
      <c r="W3736" s="23" t="str">
        <f aca="false">IF(ISNUMBER(C3736),MONTH(C3736),"")</f>
        <v/>
      </c>
      <c r="X3736" s="23" t="str">
        <f aca="false">IF(T3736="","",IF(T3736=0,"No discount",IF(T3736&lt;=0.2,"Low (1-20%)",IF(T3736&lt;=0.4,"Medium (21-40%)","High (&gt;40%)"))))</f>
        <v/>
      </c>
      <c r="Y3736" s="23" t="str">
        <f aca="false">IF(AND(ISNUMBER(C3736),ISNUMBER(D3736)),D3736-C3736,"")</f>
        <v/>
      </c>
      <c r="Z3736" s="23" t="str">
        <f aca="false">IF(B3736="","",IF(MATCH(B3736,$B$2:$B$12000,0)=ROW()-1,1,0))</f>
        <v/>
      </c>
    </row>
    <row r="3737" customFormat="false" ht="15" hidden="false" customHeight="false" outlineLevel="0" collapsed="false">
      <c r="V3737" s="23" t="str">
        <f aca="false">IF(ISNUMBER(C3737),YEAR(C3737),"")</f>
        <v/>
      </c>
      <c r="W3737" s="23" t="str">
        <f aca="false">IF(ISNUMBER(C3737),MONTH(C3737),"")</f>
        <v/>
      </c>
      <c r="X3737" s="23" t="str">
        <f aca="false">IF(T3737="","",IF(T3737=0,"No discount",IF(T3737&lt;=0.2,"Low (1-20%)",IF(T3737&lt;=0.4,"Medium (21-40%)","High (&gt;40%)"))))</f>
        <v/>
      </c>
      <c r="Y3737" s="23" t="str">
        <f aca="false">IF(AND(ISNUMBER(C3737),ISNUMBER(D3737)),D3737-C3737,"")</f>
        <v/>
      </c>
      <c r="Z3737" s="23" t="str">
        <f aca="false">IF(B3737="","",IF(MATCH(B3737,$B$2:$B$12000,0)=ROW()-1,1,0))</f>
        <v/>
      </c>
    </row>
    <row r="3738" customFormat="false" ht="15" hidden="false" customHeight="false" outlineLevel="0" collapsed="false">
      <c r="V3738" s="23" t="str">
        <f aca="false">IF(ISNUMBER(C3738),YEAR(C3738),"")</f>
        <v/>
      </c>
      <c r="W3738" s="23" t="str">
        <f aca="false">IF(ISNUMBER(C3738),MONTH(C3738),"")</f>
        <v/>
      </c>
      <c r="X3738" s="23" t="str">
        <f aca="false">IF(T3738="","",IF(T3738=0,"No discount",IF(T3738&lt;=0.2,"Low (1-20%)",IF(T3738&lt;=0.4,"Medium (21-40%)","High (&gt;40%)"))))</f>
        <v/>
      </c>
      <c r="Y3738" s="23" t="str">
        <f aca="false">IF(AND(ISNUMBER(C3738),ISNUMBER(D3738)),D3738-C3738,"")</f>
        <v/>
      </c>
      <c r="Z3738" s="23" t="str">
        <f aca="false">IF(B3738="","",IF(MATCH(B3738,$B$2:$B$12000,0)=ROW()-1,1,0))</f>
        <v/>
      </c>
    </row>
    <row r="3739" customFormat="false" ht="15" hidden="false" customHeight="false" outlineLevel="0" collapsed="false">
      <c r="V3739" s="23" t="str">
        <f aca="false">IF(ISNUMBER(C3739),YEAR(C3739),"")</f>
        <v/>
      </c>
      <c r="W3739" s="23" t="str">
        <f aca="false">IF(ISNUMBER(C3739),MONTH(C3739),"")</f>
        <v/>
      </c>
      <c r="X3739" s="23" t="str">
        <f aca="false">IF(T3739="","",IF(T3739=0,"No discount",IF(T3739&lt;=0.2,"Low (1-20%)",IF(T3739&lt;=0.4,"Medium (21-40%)","High (&gt;40%)"))))</f>
        <v/>
      </c>
      <c r="Y3739" s="23" t="str">
        <f aca="false">IF(AND(ISNUMBER(C3739),ISNUMBER(D3739)),D3739-C3739,"")</f>
        <v/>
      </c>
      <c r="Z3739" s="23" t="str">
        <f aca="false">IF(B3739="","",IF(MATCH(B3739,$B$2:$B$12000,0)=ROW()-1,1,0))</f>
        <v/>
      </c>
    </row>
    <row r="3740" customFormat="false" ht="15" hidden="false" customHeight="false" outlineLevel="0" collapsed="false">
      <c r="V3740" s="23" t="str">
        <f aca="false">IF(ISNUMBER(C3740),YEAR(C3740),"")</f>
        <v/>
      </c>
      <c r="W3740" s="23" t="str">
        <f aca="false">IF(ISNUMBER(C3740),MONTH(C3740),"")</f>
        <v/>
      </c>
      <c r="X3740" s="23" t="str">
        <f aca="false">IF(T3740="","",IF(T3740=0,"No discount",IF(T3740&lt;=0.2,"Low (1-20%)",IF(T3740&lt;=0.4,"Medium (21-40%)","High (&gt;40%)"))))</f>
        <v/>
      </c>
      <c r="Y3740" s="23" t="str">
        <f aca="false">IF(AND(ISNUMBER(C3740),ISNUMBER(D3740)),D3740-C3740,"")</f>
        <v/>
      </c>
      <c r="Z3740" s="23" t="str">
        <f aca="false">IF(B3740="","",IF(MATCH(B3740,$B$2:$B$12000,0)=ROW()-1,1,0))</f>
        <v/>
      </c>
    </row>
    <row r="3741" customFormat="false" ht="15" hidden="false" customHeight="false" outlineLevel="0" collapsed="false">
      <c r="V3741" s="23" t="str">
        <f aca="false">IF(ISNUMBER(C3741),YEAR(C3741),"")</f>
        <v/>
      </c>
      <c r="W3741" s="23" t="str">
        <f aca="false">IF(ISNUMBER(C3741),MONTH(C3741),"")</f>
        <v/>
      </c>
      <c r="X3741" s="23" t="str">
        <f aca="false">IF(T3741="","",IF(T3741=0,"No discount",IF(T3741&lt;=0.2,"Low (1-20%)",IF(T3741&lt;=0.4,"Medium (21-40%)","High (&gt;40%)"))))</f>
        <v/>
      </c>
      <c r="Y3741" s="23" t="str">
        <f aca="false">IF(AND(ISNUMBER(C3741),ISNUMBER(D3741)),D3741-C3741,"")</f>
        <v/>
      </c>
      <c r="Z3741" s="23" t="str">
        <f aca="false">IF(B3741="","",IF(MATCH(B3741,$B$2:$B$12000,0)=ROW()-1,1,0))</f>
        <v/>
      </c>
    </row>
    <row r="3742" customFormat="false" ht="15" hidden="false" customHeight="false" outlineLevel="0" collapsed="false">
      <c r="V3742" s="23" t="str">
        <f aca="false">IF(ISNUMBER(C3742),YEAR(C3742),"")</f>
        <v/>
      </c>
      <c r="W3742" s="23" t="str">
        <f aca="false">IF(ISNUMBER(C3742),MONTH(C3742),"")</f>
        <v/>
      </c>
      <c r="X3742" s="23" t="str">
        <f aca="false">IF(T3742="","",IF(T3742=0,"No discount",IF(T3742&lt;=0.2,"Low (1-20%)",IF(T3742&lt;=0.4,"Medium (21-40%)","High (&gt;40%)"))))</f>
        <v/>
      </c>
      <c r="Y3742" s="23" t="str">
        <f aca="false">IF(AND(ISNUMBER(C3742),ISNUMBER(D3742)),D3742-C3742,"")</f>
        <v/>
      </c>
      <c r="Z3742" s="23" t="str">
        <f aca="false">IF(B3742="","",IF(MATCH(B3742,$B$2:$B$12000,0)=ROW()-1,1,0))</f>
        <v/>
      </c>
    </row>
    <row r="3743" customFormat="false" ht="15" hidden="false" customHeight="false" outlineLevel="0" collapsed="false">
      <c r="V3743" s="23" t="str">
        <f aca="false">IF(ISNUMBER(C3743),YEAR(C3743),"")</f>
        <v/>
      </c>
      <c r="W3743" s="23" t="str">
        <f aca="false">IF(ISNUMBER(C3743),MONTH(C3743),"")</f>
        <v/>
      </c>
      <c r="X3743" s="23" t="str">
        <f aca="false">IF(T3743="","",IF(T3743=0,"No discount",IF(T3743&lt;=0.2,"Low (1-20%)",IF(T3743&lt;=0.4,"Medium (21-40%)","High (&gt;40%)"))))</f>
        <v/>
      </c>
      <c r="Y3743" s="23" t="str">
        <f aca="false">IF(AND(ISNUMBER(C3743),ISNUMBER(D3743)),D3743-C3743,"")</f>
        <v/>
      </c>
      <c r="Z3743" s="23" t="str">
        <f aca="false">IF(B3743="","",IF(MATCH(B3743,$B$2:$B$12000,0)=ROW()-1,1,0))</f>
        <v/>
      </c>
    </row>
    <row r="3744" customFormat="false" ht="15" hidden="false" customHeight="false" outlineLevel="0" collapsed="false">
      <c r="V3744" s="23" t="str">
        <f aca="false">IF(ISNUMBER(C3744),YEAR(C3744),"")</f>
        <v/>
      </c>
      <c r="W3744" s="23" t="str">
        <f aca="false">IF(ISNUMBER(C3744),MONTH(C3744),"")</f>
        <v/>
      </c>
      <c r="X3744" s="23" t="str">
        <f aca="false">IF(T3744="","",IF(T3744=0,"No discount",IF(T3744&lt;=0.2,"Low (1-20%)",IF(T3744&lt;=0.4,"Medium (21-40%)","High (&gt;40%)"))))</f>
        <v/>
      </c>
      <c r="Y3744" s="23" t="str">
        <f aca="false">IF(AND(ISNUMBER(C3744),ISNUMBER(D3744)),D3744-C3744,"")</f>
        <v/>
      </c>
      <c r="Z3744" s="23" t="str">
        <f aca="false">IF(B3744="","",IF(MATCH(B3744,$B$2:$B$12000,0)=ROW()-1,1,0))</f>
        <v/>
      </c>
    </row>
    <row r="3745" customFormat="false" ht="15" hidden="false" customHeight="false" outlineLevel="0" collapsed="false">
      <c r="V3745" s="23" t="str">
        <f aca="false">IF(ISNUMBER(C3745),YEAR(C3745),"")</f>
        <v/>
      </c>
      <c r="W3745" s="23" t="str">
        <f aca="false">IF(ISNUMBER(C3745),MONTH(C3745),"")</f>
        <v/>
      </c>
      <c r="X3745" s="23" t="str">
        <f aca="false">IF(T3745="","",IF(T3745=0,"No discount",IF(T3745&lt;=0.2,"Low (1-20%)",IF(T3745&lt;=0.4,"Medium (21-40%)","High (&gt;40%)"))))</f>
        <v/>
      </c>
      <c r="Y3745" s="23" t="str">
        <f aca="false">IF(AND(ISNUMBER(C3745),ISNUMBER(D3745)),D3745-C3745,"")</f>
        <v/>
      </c>
      <c r="Z3745" s="23" t="str">
        <f aca="false">IF(B3745="","",IF(MATCH(B3745,$B$2:$B$12000,0)=ROW()-1,1,0))</f>
        <v/>
      </c>
    </row>
    <row r="3746" customFormat="false" ht="15" hidden="false" customHeight="false" outlineLevel="0" collapsed="false">
      <c r="V3746" s="23" t="str">
        <f aca="false">IF(ISNUMBER(C3746),YEAR(C3746),"")</f>
        <v/>
      </c>
      <c r="W3746" s="23" t="str">
        <f aca="false">IF(ISNUMBER(C3746),MONTH(C3746),"")</f>
        <v/>
      </c>
      <c r="X3746" s="23" t="str">
        <f aca="false">IF(T3746="","",IF(T3746=0,"No discount",IF(T3746&lt;=0.2,"Low (1-20%)",IF(T3746&lt;=0.4,"Medium (21-40%)","High (&gt;40%)"))))</f>
        <v/>
      </c>
      <c r="Y3746" s="23" t="str">
        <f aca="false">IF(AND(ISNUMBER(C3746),ISNUMBER(D3746)),D3746-C3746,"")</f>
        <v/>
      </c>
      <c r="Z3746" s="23" t="str">
        <f aca="false">IF(B3746="","",IF(MATCH(B3746,$B$2:$B$12000,0)=ROW()-1,1,0))</f>
        <v/>
      </c>
    </row>
    <row r="3747" customFormat="false" ht="15" hidden="false" customHeight="false" outlineLevel="0" collapsed="false">
      <c r="V3747" s="23" t="str">
        <f aca="false">IF(ISNUMBER(C3747),YEAR(C3747),"")</f>
        <v/>
      </c>
      <c r="W3747" s="23" t="str">
        <f aca="false">IF(ISNUMBER(C3747),MONTH(C3747),"")</f>
        <v/>
      </c>
      <c r="X3747" s="23" t="str">
        <f aca="false">IF(T3747="","",IF(T3747=0,"No discount",IF(T3747&lt;=0.2,"Low (1-20%)",IF(T3747&lt;=0.4,"Medium (21-40%)","High (&gt;40%)"))))</f>
        <v/>
      </c>
      <c r="Y3747" s="23" t="str">
        <f aca="false">IF(AND(ISNUMBER(C3747),ISNUMBER(D3747)),D3747-C3747,"")</f>
        <v/>
      </c>
      <c r="Z3747" s="23" t="str">
        <f aca="false">IF(B3747="","",IF(MATCH(B3747,$B$2:$B$12000,0)=ROW()-1,1,0))</f>
        <v/>
      </c>
    </row>
    <row r="3748" customFormat="false" ht="15" hidden="false" customHeight="false" outlineLevel="0" collapsed="false">
      <c r="V3748" s="23" t="str">
        <f aca="false">IF(ISNUMBER(C3748),YEAR(C3748),"")</f>
        <v/>
      </c>
      <c r="W3748" s="23" t="str">
        <f aca="false">IF(ISNUMBER(C3748),MONTH(C3748),"")</f>
        <v/>
      </c>
      <c r="X3748" s="23" t="str">
        <f aca="false">IF(T3748="","",IF(T3748=0,"No discount",IF(T3748&lt;=0.2,"Low (1-20%)",IF(T3748&lt;=0.4,"Medium (21-40%)","High (&gt;40%)"))))</f>
        <v/>
      </c>
      <c r="Y3748" s="23" t="str">
        <f aca="false">IF(AND(ISNUMBER(C3748),ISNUMBER(D3748)),D3748-C3748,"")</f>
        <v/>
      </c>
      <c r="Z3748" s="23" t="str">
        <f aca="false">IF(B3748="","",IF(MATCH(B3748,$B$2:$B$12000,0)=ROW()-1,1,0))</f>
        <v/>
      </c>
    </row>
    <row r="3749" customFormat="false" ht="15" hidden="false" customHeight="false" outlineLevel="0" collapsed="false">
      <c r="V3749" s="23" t="str">
        <f aca="false">IF(ISNUMBER(C3749),YEAR(C3749),"")</f>
        <v/>
      </c>
      <c r="W3749" s="23" t="str">
        <f aca="false">IF(ISNUMBER(C3749),MONTH(C3749),"")</f>
        <v/>
      </c>
      <c r="X3749" s="23" t="str">
        <f aca="false">IF(T3749="","",IF(T3749=0,"No discount",IF(T3749&lt;=0.2,"Low (1-20%)",IF(T3749&lt;=0.4,"Medium (21-40%)","High (&gt;40%)"))))</f>
        <v/>
      </c>
      <c r="Y3749" s="23" t="str">
        <f aca="false">IF(AND(ISNUMBER(C3749),ISNUMBER(D3749)),D3749-C3749,"")</f>
        <v/>
      </c>
      <c r="Z3749" s="23" t="str">
        <f aca="false">IF(B3749="","",IF(MATCH(B3749,$B$2:$B$12000,0)=ROW()-1,1,0))</f>
        <v/>
      </c>
    </row>
    <row r="3750" customFormat="false" ht="15" hidden="false" customHeight="false" outlineLevel="0" collapsed="false">
      <c r="V3750" s="23" t="str">
        <f aca="false">IF(ISNUMBER(C3750),YEAR(C3750),"")</f>
        <v/>
      </c>
      <c r="W3750" s="23" t="str">
        <f aca="false">IF(ISNUMBER(C3750),MONTH(C3750),"")</f>
        <v/>
      </c>
      <c r="X3750" s="23" t="str">
        <f aca="false">IF(T3750="","",IF(T3750=0,"No discount",IF(T3750&lt;=0.2,"Low (1-20%)",IF(T3750&lt;=0.4,"Medium (21-40%)","High (&gt;40%)"))))</f>
        <v/>
      </c>
      <c r="Y3750" s="23" t="str">
        <f aca="false">IF(AND(ISNUMBER(C3750),ISNUMBER(D3750)),D3750-C3750,"")</f>
        <v/>
      </c>
      <c r="Z3750" s="23" t="str">
        <f aca="false">IF(B3750="","",IF(MATCH(B3750,$B$2:$B$12000,0)=ROW()-1,1,0))</f>
        <v/>
      </c>
    </row>
    <row r="3751" customFormat="false" ht="15" hidden="false" customHeight="false" outlineLevel="0" collapsed="false">
      <c r="V3751" s="23" t="str">
        <f aca="false">IF(ISNUMBER(C3751),YEAR(C3751),"")</f>
        <v/>
      </c>
      <c r="W3751" s="23" t="str">
        <f aca="false">IF(ISNUMBER(C3751),MONTH(C3751),"")</f>
        <v/>
      </c>
      <c r="X3751" s="23" t="str">
        <f aca="false">IF(T3751="","",IF(T3751=0,"No discount",IF(T3751&lt;=0.2,"Low (1-20%)",IF(T3751&lt;=0.4,"Medium (21-40%)","High (&gt;40%)"))))</f>
        <v/>
      </c>
      <c r="Y3751" s="23" t="str">
        <f aca="false">IF(AND(ISNUMBER(C3751),ISNUMBER(D3751)),D3751-C3751,"")</f>
        <v/>
      </c>
      <c r="Z3751" s="23" t="str">
        <f aca="false">IF(B3751="","",IF(MATCH(B3751,$B$2:$B$12000,0)=ROW()-1,1,0))</f>
        <v/>
      </c>
    </row>
    <row r="3752" customFormat="false" ht="15" hidden="false" customHeight="false" outlineLevel="0" collapsed="false">
      <c r="V3752" s="23" t="str">
        <f aca="false">IF(ISNUMBER(C3752),YEAR(C3752),"")</f>
        <v/>
      </c>
      <c r="W3752" s="23" t="str">
        <f aca="false">IF(ISNUMBER(C3752),MONTH(C3752),"")</f>
        <v/>
      </c>
      <c r="X3752" s="23" t="str">
        <f aca="false">IF(T3752="","",IF(T3752=0,"No discount",IF(T3752&lt;=0.2,"Low (1-20%)",IF(T3752&lt;=0.4,"Medium (21-40%)","High (&gt;40%)"))))</f>
        <v/>
      </c>
      <c r="Y3752" s="23" t="str">
        <f aca="false">IF(AND(ISNUMBER(C3752),ISNUMBER(D3752)),D3752-C3752,"")</f>
        <v/>
      </c>
      <c r="Z3752" s="23" t="str">
        <f aca="false">IF(B3752="","",IF(MATCH(B3752,$B$2:$B$12000,0)=ROW()-1,1,0))</f>
        <v/>
      </c>
    </row>
    <row r="3753" customFormat="false" ht="15" hidden="false" customHeight="false" outlineLevel="0" collapsed="false">
      <c r="V3753" s="23" t="str">
        <f aca="false">IF(ISNUMBER(C3753),YEAR(C3753),"")</f>
        <v/>
      </c>
      <c r="W3753" s="23" t="str">
        <f aca="false">IF(ISNUMBER(C3753),MONTH(C3753),"")</f>
        <v/>
      </c>
      <c r="X3753" s="23" t="str">
        <f aca="false">IF(T3753="","",IF(T3753=0,"No discount",IF(T3753&lt;=0.2,"Low (1-20%)",IF(T3753&lt;=0.4,"Medium (21-40%)","High (&gt;40%)"))))</f>
        <v/>
      </c>
      <c r="Y3753" s="23" t="str">
        <f aca="false">IF(AND(ISNUMBER(C3753),ISNUMBER(D3753)),D3753-C3753,"")</f>
        <v/>
      </c>
      <c r="Z3753" s="23" t="str">
        <f aca="false">IF(B3753="","",IF(MATCH(B3753,$B$2:$B$12000,0)=ROW()-1,1,0))</f>
        <v/>
      </c>
    </row>
    <row r="3754" customFormat="false" ht="15" hidden="false" customHeight="false" outlineLevel="0" collapsed="false">
      <c r="V3754" s="23" t="str">
        <f aca="false">IF(ISNUMBER(C3754),YEAR(C3754),"")</f>
        <v/>
      </c>
      <c r="W3754" s="23" t="str">
        <f aca="false">IF(ISNUMBER(C3754),MONTH(C3754),"")</f>
        <v/>
      </c>
      <c r="X3754" s="23" t="str">
        <f aca="false">IF(T3754="","",IF(T3754=0,"No discount",IF(T3754&lt;=0.2,"Low (1-20%)",IF(T3754&lt;=0.4,"Medium (21-40%)","High (&gt;40%)"))))</f>
        <v/>
      </c>
      <c r="Y3754" s="23" t="str">
        <f aca="false">IF(AND(ISNUMBER(C3754),ISNUMBER(D3754)),D3754-C3754,"")</f>
        <v/>
      </c>
      <c r="Z3754" s="23" t="str">
        <f aca="false">IF(B3754="","",IF(MATCH(B3754,$B$2:$B$12000,0)=ROW()-1,1,0))</f>
        <v/>
      </c>
    </row>
    <row r="3755" customFormat="false" ht="15" hidden="false" customHeight="false" outlineLevel="0" collapsed="false">
      <c r="V3755" s="23" t="str">
        <f aca="false">IF(ISNUMBER(C3755),YEAR(C3755),"")</f>
        <v/>
      </c>
      <c r="W3755" s="23" t="str">
        <f aca="false">IF(ISNUMBER(C3755),MONTH(C3755),"")</f>
        <v/>
      </c>
      <c r="X3755" s="23" t="str">
        <f aca="false">IF(T3755="","",IF(T3755=0,"No discount",IF(T3755&lt;=0.2,"Low (1-20%)",IF(T3755&lt;=0.4,"Medium (21-40%)","High (&gt;40%)"))))</f>
        <v/>
      </c>
      <c r="Y3755" s="23" t="str">
        <f aca="false">IF(AND(ISNUMBER(C3755),ISNUMBER(D3755)),D3755-C3755,"")</f>
        <v/>
      </c>
      <c r="Z3755" s="23" t="str">
        <f aca="false">IF(B3755="","",IF(MATCH(B3755,$B$2:$B$12000,0)=ROW()-1,1,0))</f>
        <v/>
      </c>
    </row>
    <row r="3756" customFormat="false" ht="15" hidden="false" customHeight="false" outlineLevel="0" collapsed="false">
      <c r="V3756" s="23" t="str">
        <f aca="false">IF(ISNUMBER(C3756),YEAR(C3756),"")</f>
        <v/>
      </c>
      <c r="W3756" s="23" t="str">
        <f aca="false">IF(ISNUMBER(C3756),MONTH(C3756),"")</f>
        <v/>
      </c>
      <c r="X3756" s="23" t="str">
        <f aca="false">IF(T3756="","",IF(T3756=0,"No discount",IF(T3756&lt;=0.2,"Low (1-20%)",IF(T3756&lt;=0.4,"Medium (21-40%)","High (&gt;40%)"))))</f>
        <v/>
      </c>
      <c r="Y3756" s="23" t="str">
        <f aca="false">IF(AND(ISNUMBER(C3756),ISNUMBER(D3756)),D3756-C3756,"")</f>
        <v/>
      </c>
      <c r="Z3756" s="23" t="str">
        <f aca="false">IF(B3756="","",IF(MATCH(B3756,$B$2:$B$12000,0)=ROW()-1,1,0))</f>
        <v/>
      </c>
    </row>
    <row r="3757" customFormat="false" ht="15" hidden="false" customHeight="false" outlineLevel="0" collapsed="false">
      <c r="V3757" s="23" t="str">
        <f aca="false">IF(ISNUMBER(C3757),YEAR(C3757),"")</f>
        <v/>
      </c>
      <c r="W3757" s="23" t="str">
        <f aca="false">IF(ISNUMBER(C3757),MONTH(C3757),"")</f>
        <v/>
      </c>
      <c r="X3757" s="23" t="str">
        <f aca="false">IF(T3757="","",IF(T3757=0,"No discount",IF(T3757&lt;=0.2,"Low (1-20%)",IF(T3757&lt;=0.4,"Medium (21-40%)","High (&gt;40%)"))))</f>
        <v/>
      </c>
      <c r="Y3757" s="23" t="str">
        <f aca="false">IF(AND(ISNUMBER(C3757),ISNUMBER(D3757)),D3757-C3757,"")</f>
        <v/>
      </c>
      <c r="Z3757" s="23" t="str">
        <f aca="false">IF(B3757="","",IF(MATCH(B3757,$B$2:$B$12000,0)=ROW()-1,1,0))</f>
        <v/>
      </c>
    </row>
    <row r="3758" customFormat="false" ht="15" hidden="false" customHeight="false" outlineLevel="0" collapsed="false">
      <c r="V3758" s="23" t="str">
        <f aca="false">IF(ISNUMBER(C3758),YEAR(C3758),"")</f>
        <v/>
      </c>
      <c r="W3758" s="23" t="str">
        <f aca="false">IF(ISNUMBER(C3758),MONTH(C3758),"")</f>
        <v/>
      </c>
      <c r="X3758" s="23" t="str">
        <f aca="false">IF(T3758="","",IF(T3758=0,"No discount",IF(T3758&lt;=0.2,"Low (1-20%)",IF(T3758&lt;=0.4,"Medium (21-40%)","High (&gt;40%)"))))</f>
        <v/>
      </c>
      <c r="Y3758" s="23" t="str">
        <f aca="false">IF(AND(ISNUMBER(C3758),ISNUMBER(D3758)),D3758-C3758,"")</f>
        <v/>
      </c>
      <c r="Z3758" s="23" t="str">
        <f aca="false">IF(B3758="","",IF(MATCH(B3758,$B$2:$B$12000,0)=ROW()-1,1,0))</f>
        <v/>
      </c>
    </row>
    <row r="3759" customFormat="false" ht="15" hidden="false" customHeight="false" outlineLevel="0" collapsed="false">
      <c r="V3759" s="23" t="str">
        <f aca="false">IF(ISNUMBER(C3759),YEAR(C3759),"")</f>
        <v/>
      </c>
      <c r="W3759" s="23" t="str">
        <f aca="false">IF(ISNUMBER(C3759),MONTH(C3759),"")</f>
        <v/>
      </c>
      <c r="X3759" s="23" t="str">
        <f aca="false">IF(T3759="","",IF(T3759=0,"No discount",IF(T3759&lt;=0.2,"Low (1-20%)",IF(T3759&lt;=0.4,"Medium (21-40%)","High (&gt;40%)"))))</f>
        <v/>
      </c>
      <c r="Y3759" s="23" t="str">
        <f aca="false">IF(AND(ISNUMBER(C3759),ISNUMBER(D3759)),D3759-C3759,"")</f>
        <v/>
      </c>
      <c r="Z3759" s="23" t="str">
        <f aca="false">IF(B3759="","",IF(MATCH(B3759,$B$2:$B$12000,0)=ROW()-1,1,0))</f>
        <v/>
      </c>
    </row>
    <row r="3760" customFormat="false" ht="15" hidden="false" customHeight="false" outlineLevel="0" collapsed="false">
      <c r="V3760" s="23" t="str">
        <f aca="false">IF(ISNUMBER(C3760),YEAR(C3760),"")</f>
        <v/>
      </c>
      <c r="W3760" s="23" t="str">
        <f aca="false">IF(ISNUMBER(C3760),MONTH(C3760),"")</f>
        <v/>
      </c>
      <c r="X3760" s="23" t="str">
        <f aca="false">IF(T3760="","",IF(T3760=0,"No discount",IF(T3760&lt;=0.2,"Low (1-20%)",IF(T3760&lt;=0.4,"Medium (21-40%)","High (&gt;40%)"))))</f>
        <v/>
      </c>
      <c r="Y3760" s="23" t="str">
        <f aca="false">IF(AND(ISNUMBER(C3760),ISNUMBER(D3760)),D3760-C3760,"")</f>
        <v/>
      </c>
      <c r="Z3760" s="23" t="str">
        <f aca="false">IF(B3760="","",IF(MATCH(B3760,$B$2:$B$12000,0)=ROW()-1,1,0))</f>
        <v/>
      </c>
    </row>
    <row r="3761" customFormat="false" ht="15" hidden="false" customHeight="false" outlineLevel="0" collapsed="false">
      <c r="V3761" s="23" t="str">
        <f aca="false">IF(ISNUMBER(C3761),YEAR(C3761),"")</f>
        <v/>
      </c>
      <c r="W3761" s="23" t="str">
        <f aca="false">IF(ISNUMBER(C3761),MONTH(C3761),"")</f>
        <v/>
      </c>
      <c r="X3761" s="23" t="str">
        <f aca="false">IF(T3761="","",IF(T3761=0,"No discount",IF(T3761&lt;=0.2,"Low (1-20%)",IF(T3761&lt;=0.4,"Medium (21-40%)","High (&gt;40%)"))))</f>
        <v/>
      </c>
      <c r="Y3761" s="23" t="str">
        <f aca="false">IF(AND(ISNUMBER(C3761),ISNUMBER(D3761)),D3761-C3761,"")</f>
        <v/>
      </c>
      <c r="Z3761" s="23" t="str">
        <f aca="false">IF(B3761="","",IF(MATCH(B3761,$B$2:$B$12000,0)=ROW()-1,1,0))</f>
        <v/>
      </c>
    </row>
    <row r="3762" customFormat="false" ht="15" hidden="false" customHeight="false" outlineLevel="0" collapsed="false">
      <c r="V3762" s="23" t="str">
        <f aca="false">IF(ISNUMBER(C3762),YEAR(C3762),"")</f>
        <v/>
      </c>
      <c r="W3762" s="23" t="str">
        <f aca="false">IF(ISNUMBER(C3762),MONTH(C3762),"")</f>
        <v/>
      </c>
      <c r="X3762" s="23" t="str">
        <f aca="false">IF(T3762="","",IF(T3762=0,"No discount",IF(T3762&lt;=0.2,"Low (1-20%)",IF(T3762&lt;=0.4,"Medium (21-40%)","High (&gt;40%)"))))</f>
        <v/>
      </c>
      <c r="Y3762" s="23" t="str">
        <f aca="false">IF(AND(ISNUMBER(C3762),ISNUMBER(D3762)),D3762-C3762,"")</f>
        <v/>
      </c>
      <c r="Z3762" s="23" t="str">
        <f aca="false">IF(B3762="","",IF(MATCH(B3762,$B$2:$B$12000,0)=ROW()-1,1,0))</f>
        <v/>
      </c>
    </row>
    <row r="3763" customFormat="false" ht="15" hidden="false" customHeight="false" outlineLevel="0" collapsed="false">
      <c r="V3763" s="23" t="str">
        <f aca="false">IF(ISNUMBER(C3763),YEAR(C3763),"")</f>
        <v/>
      </c>
      <c r="W3763" s="23" t="str">
        <f aca="false">IF(ISNUMBER(C3763),MONTH(C3763),"")</f>
        <v/>
      </c>
      <c r="X3763" s="23" t="str">
        <f aca="false">IF(T3763="","",IF(T3763=0,"No discount",IF(T3763&lt;=0.2,"Low (1-20%)",IF(T3763&lt;=0.4,"Medium (21-40%)","High (&gt;40%)"))))</f>
        <v/>
      </c>
      <c r="Y3763" s="23" t="str">
        <f aca="false">IF(AND(ISNUMBER(C3763),ISNUMBER(D3763)),D3763-C3763,"")</f>
        <v/>
      </c>
      <c r="Z3763" s="23" t="str">
        <f aca="false">IF(B3763="","",IF(MATCH(B3763,$B$2:$B$12000,0)=ROW()-1,1,0))</f>
        <v/>
      </c>
    </row>
    <row r="3764" customFormat="false" ht="15" hidden="false" customHeight="false" outlineLevel="0" collapsed="false">
      <c r="V3764" s="23" t="str">
        <f aca="false">IF(ISNUMBER(C3764),YEAR(C3764),"")</f>
        <v/>
      </c>
      <c r="W3764" s="23" t="str">
        <f aca="false">IF(ISNUMBER(C3764),MONTH(C3764),"")</f>
        <v/>
      </c>
      <c r="X3764" s="23" t="str">
        <f aca="false">IF(T3764="","",IF(T3764=0,"No discount",IF(T3764&lt;=0.2,"Low (1-20%)",IF(T3764&lt;=0.4,"Medium (21-40%)","High (&gt;40%)"))))</f>
        <v/>
      </c>
      <c r="Y3764" s="23" t="str">
        <f aca="false">IF(AND(ISNUMBER(C3764),ISNUMBER(D3764)),D3764-C3764,"")</f>
        <v/>
      </c>
      <c r="Z3764" s="23" t="str">
        <f aca="false">IF(B3764="","",IF(MATCH(B3764,$B$2:$B$12000,0)=ROW()-1,1,0))</f>
        <v/>
      </c>
    </row>
    <row r="3765" customFormat="false" ht="15" hidden="false" customHeight="false" outlineLevel="0" collapsed="false">
      <c r="V3765" s="23" t="str">
        <f aca="false">IF(ISNUMBER(C3765),YEAR(C3765),"")</f>
        <v/>
      </c>
      <c r="W3765" s="23" t="str">
        <f aca="false">IF(ISNUMBER(C3765),MONTH(C3765),"")</f>
        <v/>
      </c>
      <c r="X3765" s="23" t="str">
        <f aca="false">IF(T3765="","",IF(T3765=0,"No discount",IF(T3765&lt;=0.2,"Low (1-20%)",IF(T3765&lt;=0.4,"Medium (21-40%)","High (&gt;40%)"))))</f>
        <v/>
      </c>
      <c r="Y3765" s="23" t="str">
        <f aca="false">IF(AND(ISNUMBER(C3765),ISNUMBER(D3765)),D3765-C3765,"")</f>
        <v/>
      </c>
      <c r="Z3765" s="23" t="str">
        <f aca="false">IF(B3765="","",IF(MATCH(B3765,$B$2:$B$12000,0)=ROW()-1,1,0))</f>
        <v/>
      </c>
    </row>
    <row r="3766" customFormat="false" ht="15" hidden="false" customHeight="false" outlineLevel="0" collapsed="false">
      <c r="V3766" s="23" t="str">
        <f aca="false">IF(ISNUMBER(C3766),YEAR(C3766),"")</f>
        <v/>
      </c>
      <c r="W3766" s="23" t="str">
        <f aca="false">IF(ISNUMBER(C3766),MONTH(C3766),"")</f>
        <v/>
      </c>
      <c r="X3766" s="23" t="str">
        <f aca="false">IF(T3766="","",IF(T3766=0,"No discount",IF(T3766&lt;=0.2,"Low (1-20%)",IF(T3766&lt;=0.4,"Medium (21-40%)","High (&gt;40%)"))))</f>
        <v/>
      </c>
      <c r="Y3766" s="23" t="str">
        <f aca="false">IF(AND(ISNUMBER(C3766),ISNUMBER(D3766)),D3766-C3766,"")</f>
        <v/>
      </c>
      <c r="Z3766" s="23" t="str">
        <f aca="false">IF(B3766="","",IF(MATCH(B3766,$B$2:$B$12000,0)=ROW()-1,1,0))</f>
        <v/>
      </c>
    </row>
    <row r="3767" customFormat="false" ht="15" hidden="false" customHeight="false" outlineLevel="0" collapsed="false">
      <c r="V3767" s="23" t="str">
        <f aca="false">IF(ISNUMBER(C3767),YEAR(C3767),"")</f>
        <v/>
      </c>
      <c r="W3767" s="23" t="str">
        <f aca="false">IF(ISNUMBER(C3767),MONTH(C3767),"")</f>
        <v/>
      </c>
      <c r="X3767" s="23" t="str">
        <f aca="false">IF(T3767="","",IF(T3767=0,"No discount",IF(T3767&lt;=0.2,"Low (1-20%)",IF(T3767&lt;=0.4,"Medium (21-40%)","High (&gt;40%)"))))</f>
        <v/>
      </c>
      <c r="Y3767" s="23" t="str">
        <f aca="false">IF(AND(ISNUMBER(C3767),ISNUMBER(D3767)),D3767-C3767,"")</f>
        <v/>
      </c>
      <c r="Z3767" s="23" t="str">
        <f aca="false">IF(B3767="","",IF(MATCH(B3767,$B$2:$B$12000,0)=ROW()-1,1,0))</f>
        <v/>
      </c>
    </row>
    <row r="3768" customFormat="false" ht="15" hidden="false" customHeight="false" outlineLevel="0" collapsed="false">
      <c r="V3768" s="23" t="str">
        <f aca="false">IF(ISNUMBER(C3768),YEAR(C3768),"")</f>
        <v/>
      </c>
      <c r="W3768" s="23" t="str">
        <f aca="false">IF(ISNUMBER(C3768),MONTH(C3768),"")</f>
        <v/>
      </c>
      <c r="X3768" s="23" t="str">
        <f aca="false">IF(T3768="","",IF(T3768=0,"No discount",IF(T3768&lt;=0.2,"Low (1-20%)",IF(T3768&lt;=0.4,"Medium (21-40%)","High (&gt;40%)"))))</f>
        <v/>
      </c>
      <c r="Y3768" s="23" t="str">
        <f aca="false">IF(AND(ISNUMBER(C3768),ISNUMBER(D3768)),D3768-C3768,"")</f>
        <v/>
      </c>
      <c r="Z3768" s="23" t="str">
        <f aca="false">IF(B3768="","",IF(MATCH(B3768,$B$2:$B$12000,0)=ROW()-1,1,0))</f>
        <v/>
      </c>
    </row>
    <row r="3769" customFormat="false" ht="15" hidden="false" customHeight="false" outlineLevel="0" collapsed="false">
      <c r="V3769" s="23" t="str">
        <f aca="false">IF(ISNUMBER(C3769),YEAR(C3769),"")</f>
        <v/>
      </c>
      <c r="W3769" s="23" t="str">
        <f aca="false">IF(ISNUMBER(C3769),MONTH(C3769),"")</f>
        <v/>
      </c>
      <c r="X3769" s="23" t="str">
        <f aca="false">IF(T3769="","",IF(T3769=0,"No discount",IF(T3769&lt;=0.2,"Low (1-20%)",IF(T3769&lt;=0.4,"Medium (21-40%)","High (&gt;40%)"))))</f>
        <v/>
      </c>
      <c r="Y3769" s="23" t="str">
        <f aca="false">IF(AND(ISNUMBER(C3769),ISNUMBER(D3769)),D3769-C3769,"")</f>
        <v/>
      </c>
      <c r="Z3769" s="23" t="str">
        <f aca="false">IF(B3769="","",IF(MATCH(B3769,$B$2:$B$12000,0)=ROW()-1,1,0))</f>
        <v/>
      </c>
    </row>
    <row r="3770" customFormat="false" ht="15" hidden="false" customHeight="false" outlineLevel="0" collapsed="false">
      <c r="V3770" s="23" t="str">
        <f aca="false">IF(ISNUMBER(C3770),YEAR(C3770),"")</f>
        <v/>
      </c>
      <c r="W3770" s="23" t="str">
        <f aca="false">IF(ISNUMBER(C3770),MONTH(C3770),"")</f>
        <v/>
      </c>
      <c r="X3770" s="23" t="str">
        <f aca="false">IF(T3770="","",IF(T3770=0,"No discount",IF(T3770&lt;=0.2,"Low (1-20%)",IF(T3770&lt;=0.4,"Medium (21-40%)","High (&gt;40%)"))))</f>
        <v/>
      </c>
      <c r="Y3770" s="23" t="str">
        <f aca="false">IF(AND(ISNUMBER(C3770),ISNUMBER(D3770)),D3770-C3770,"")</f>
        <v/>
      </c>
      <c r="Z3770" s="23" t="str">
        <f aca="false">IF(B3770="","",IF(MATCH(B3770,$B$2:$B$12000,0)=ROW()-1,1,0))</f>
        <v/>
      </c>
    </row>
    <row r="3771" customFormat="false" ht="15" hidden="false" customHeight="false" outlineLevel="0" collapsed="false">
      <c r="V3771" s="23" t="str">
        <f aca="false">IF(ISNUMBER(C3771),YEAR(C3771),"")</f>
        <v/>
      </c>
      <c r="W3771" s="23" t="str">
        <f aca="false">IF(ISNUMBER(C3771),MONTH(C3771),"")</f>
        <v/>
      </c>
      <c r="X3771" s="23" t="str">
        <f aca="false">IF(T3771="","",IF(T3771=0,"No discount",IF(T3771&lt;=0.2,"Low (1-20%)",IF(T3771&lt;=0.4,"Medium (21-40%)","High (&gt;40%)"))))</f>
        <v/>
      </c>
      <c r="Y3771" s="23" t="str">
        <f aca="false">IF(AND(ISNUMBER(C3771),ISNUMBER(D3771)),D3771-C3771,"")</f>
        <v/>
      </c>
      <c r="Z3771" s="23" t="str">
        <f aca="false">IF(B3771="","",IF(MATCH(B3771,$B$2:$B$12000,0)=ROW()-1,1,0))</f>
        <v/>
      </c>
    </row>
    <row r="3772" customFormat="false" ht="15" hidden="false" customHeight="false" outlineLevel="0" collapsed="false">
      <c r="V3772" s="23" t="str">
        <f aca="false">IF(ISNUMBER(C3772),YEAR(C3772),"")</f>
        <v/>
      </c>
      <c r="W3772" s="23" t="str">
        <f aca="false">IF(ISNUMBER(C3772),MONTH(C3772),"")</f>
        <v/>
      </c>
      <c r="X3772" s="23" t="str">
        <f aca="false">IF(T3772="","",IF(T3772=0,"No discount",IF(T3772&lt;=0.2,"Low (1-20%)",IF(T3772&lt;=0.4,"Medium (21-40%)","High (&gt;40%)"))))</f>
        <v/>
      </c>
      <c r="Y3772" s="23" t="str">
        <f aca="false">IF(AND(ISNUMBER(C3772),ISNUMBER(D3772)),D3772-C3772,"")</f>
        <v/>
      </c>
      <c r="Z3772" s="23" t="str">
        <f aca="false">IF(B3772="","",IF(MATCH(B3772,$B$2:$B$12000,0)=ROW()-1,1,0))</f>
        <v/>
      </c>
    </row>
    <row r="3773" customFormat="false" ht="15" hidden="false" customHeight="false" outlineLevel="0" collapsed="false">
      <c r="V3773" s="23" t="str">
        <f aca="false">IF(ISNUMBER(C3773),YEAR(C3773),"")</f>
        <v/>
      </c>
      <c r="W3773" s="23" t="str">
        <f aca="false">IF(ISNUMBER(C3773),MONTH(C3773),"")</f>
        <v/>
      </c>
      <c r="X3773" s="23" t="str">
        <f aca="false">IF(T3773="","",IF(T3773=0,"No discount",IF(T3773&lt;=0.2,"Low (1-20%)",IF(T3773&lt;=0.4,"Medium (21-40%)","High (&gt;40%)"))))</f>
        <v/>
      </c>
      <c r="Y3773" s="23" t="str">
        <f aca="false">IF(AND(ISNUMBER(C3773),ISNUMBER(D3773)),D3773-C3773,"")</f>
        <v/>
      </c>
      <c r="Z3773" s="23" t="str">
        <f aca="false">IF(B3773="","",IF(MATCH(B3773,$B$2:$B$12000,0)=ROW()-1,1,0))</f>
        <v/>
      </c>
    </row>
    <row r="3774" customFormat="false" ht="15" hidden="false" customHeight="false" outlineLevel="0" collapsed="false">
      <c r="V3774" s="23" t="str">
        <f aca="false">IF(ISNUMBER(C3774),YEAR(C3774),"")</f>
        <v/>
      </c>
      <c r="W3774" s="23" t="str">
        <f aca="false">IF(ISNUMBER(C3774),MONTH(C3774),"")</f>
        <v/>
      </c>
      <c r="X3774" s="23" t="str">
        <f aca="false">IF(T3774="","",IF(T3774=0,"No discount",IF(T3774&lt;=0.2,"Low (1-20%)",IF(T3774&lt;=0.4,"Medium (21-40%)","High (&gt;40%)"))))</f>
        <v/>
      </c>
      <c r="Y3774" s="23" t="str">
        <f aca="false">IF(AND(ISNUMBER(C3774),ISNUMBER(D3774)),D3774-C3774,"")</f>
        <v/>
      </c>
      <c r="Z3774" s="23" t="str">
        <f aca="false">IF(B3774="","",IF(MATCH(B3774,$B$2:$B$12000,0)=ROW()-1,1,0))</f>
        <v/>
      </c>
    </row>
    <row r="3775" customFormat="false" ht="15" hidden="false" customHeight="false" outlineLevel="0" collapsed="false">
      <c r="V3775" s="23" t="str">
        <f aca="false">IF(ISNUMBER(C3775),YEAR(C3775),"")</f>
        <v/>
      </c>
      <c r="W3775" s="23" t="str">
        <f aca="false">IF(ISNUMBER(C3775),MONTH(C3775),"")</f>
        <v/>
      </c>
      <c r="X3775" s="23" t="str">
        <f aca="false">IF(T3775="","",IF(T3775=0,"No discount",IF(T3775&lt;=0.2,"Low (1-20%)",IF(T3775&lt;=0.4,"Medium (21-40%)","High (&gt;40%)"))))</f>
        <v/>
      </c>
      <c r="Y3775" s="23" t="str">
        <f aca="false">IF(AND(ISNUMBER(C3775),ISNUMBER(D3775)),D3775-C3775,"")</f>
        <v/>
      </c>
      <c r="Z3775" s="23" t="str">
        <f aca="false">IF(B3775="","",IF(MATCH(B3775,$B$2:$B$12000,0)=ROW()-1,1,0))</f>
        <v/>
      </c>
    </row>
    <row r="3776" customFormat="false" ht="15" hidden="false" customHeight="false" outlineLevel="0" collapsed="false">
      <c r="V3776" s="23" t="str">
        <f aca="false">IF(ISNUMBER(C3776),YEAR(C3776),"")</f>
        <v/>
      </c>
      <c r="W3776" s="23" t="str">
        <f aca="false">IF(ISNUMBER(C3776),MONTH(C3776),"")</f>
        <v/>
      </c>
      <c r="X3776" s="23" t="str">
        <f aca="false">IF(T3776="","",IF(T3776=0,"No discount",IF(T3776&lt;=0.2,"Low (1-20%)",IF(T3776&lt;=0.4,"Medium (21-40%)","High (&gt;40%)"))))</f>
        <v/>
      </c>
      <c r="Y3776" s="23" t="str">
        <f aca="false">IF(AND(ISNUMBER(C3776),ISNUMBER(D3776)),D3776-C3776,"")</f>
        <v/>
      </c>
      <c r="Z3776" s="23" t="str">
        <f aca="false">IF(B3776="","",IF(MATCH(B3776,$B$2:$B$12000,0)=ROW()-1,1,0))</f>
        <v/>
      </c>
    </row>
    <row r="3777" customFormat="false" ht="15" hidden="false" customHeight="false" outlineLevel="0" collapsed="false">
      <c r="V3777" s="23" t="str">
        <f aca="false">IF(ISNUMBER(C3777),YEAR(C3777),"")</f>
        <v/>
      </c>
      <c r="W3777" s="23" t="str">
        <f aca="false">IF(ISNUMBER(C3777),MONTH(C3777),"")</f>
        <v/>
      </c>
      <c r="X3777" s="23" t="str">
        <f aca="false">IF(T3777="","",IF(T3777=0,"No discount",IF(T3777&lt;=0.2,"Low (1-20%)",IF(T3777&lt;=0.4,"Medium (21-40%)","High (&gt;40%)"))))</f>
        <v/>
      </c>
      <c r="Y3777" s="23" t="str">
        <f aca="false">IF(AND(ISNUMBER(C3777),ISNUMBER(D3777)),D3777-C3777,"")</f>
        <v/>
      </c>
      <c r="Z3777" s="23" t="str">
        <f aca="false">IF(B3777="","",IF(MATCH(B3777,$B$2:$B$12000,0)=ROW()-1,1,0))</f>
        <v/>
      </c>
    </row>
    <row r="3778" customFormat="false" ht="15" hidden="false" customHeight="false" outlineLevel="0" collapsed="false">
      <c r="V3778" s="23" t="str">
        <f aca="false">IF(ISNUMBER(C3778),YEAR(C3778),"")</f>
        <v/>
      </c>
      <c r="W3778" s="23" t="str">
        <f aca="false">IF(ISNUMBER(C3778),MONTH(C3778),"")</f>
        <v/>
      </c>
      <c r="X3778" s="23" t="str">
        <f aca="false">IF(T3778="","",IF(T3778=0,"No discount",IF(T3778&lt;=0.2,"Low (1-20%)",IF(T3778&lt;=0.4,"Medium (21-40%)","High (&gt;40%)"))))</f>
        <v/>
      </c>
      <c r="Y3778" s="23" t="str">
        <f aca="false">IF(AND(ISNUMBER(C3778),ISNUMBER(D3778)),D3778-C3778,"")</f>
        <v/>
      </c>
      <c r="Z3778" s="23" t="str">
        <f aca="false">IF(B3778="","",IF(MATCH(B3778,$B$2:$B$12000,0)=ROW()-1,1,0))</f>
        <v/>
      </c>
    </row>
    <row r="3779" customFormat="false" ht="15" hidden="false" customHeight="false" outlineLevel="0" collapsed="false">
      <c r="V3779" s="23" t="str">
        <f aca="false">IF(ISNUMBER(C3779),YEAR(C3779),"")</f>
        <v/>
      </c>
      <c r="W3779" s="23" t="str">
        <f aca="false">IF(ISNUMBER(C3779),MONTH(C3779),"")</f>
        <v/>
      </c>
      <c r="X3779" s="23" t="str">
        <f aca="false">IF(T3779="","",IF(T3779=0,"No discount",IF(T3779&lt;=0.2,"Low (1-20%)",IF(T3779&lt;=0.4,"Medium (21-40%)","High (&gt;40%)"))))</f>
        <v/>
      </c>
      <c r="Y3779" s="23" t="str">
        <f aca="false">IF(AND(ISNUMBER(C3779),ISNUMBER(D3779)),D3779-C3779,"")</f>
        <v/>
      </c>
      <c r="Z3779" s="23" t="str">
        <f aca="false">IF(B3779="","",IF(MATCH(B3779,$B$2:$B$12000,0)=ROW()-1,1,0))</f>
        <v/>
      </c>
    </row>
    <row r="3780" customFormat="false" ht="15" hidden="false" customHeight="false" outlineLevel="0" collapsed="false">
      <c r="V3780" s="23" t="str">
        <f aca="false">IF(ISNUMBER(C3780),YEAR(C3780),"")</f>
        <v/>
      </c>
      <c r="W3780" s="23" t="str">
        <f aca="false">IF(ISNUMBER(C3780),MONTH(C3780),"")</f>
        <v/>
      </c>
      <c r="X3780" s="23" t="str">
        <f aca="false">IF(T3780="","",IF(T3780=0,"No discount",IF(T3780&lt;=0.2,"Low (1-20%)",IF(T3780&lt;=0.4,"Medium (21-40%)","High (&gt;40%)"))))</f>
        <v/>
      </c>
      <c r="Y3780" s="23" t="str">
        <f aca="false">IF(AND(ISNUMBER(C3780),ISNUMBER(D3780)),D3780-C3780,"")</f>
        <v/>
      </c>
      <c r="Z3780" s="23" t="str">
        <f aca="false">IF(B3780="","",IF(MATCH(B3780,$B$2:$B$12000,0)=ROW()-1,1,0))</f>
        <v/>
      </c>
    </row>
    <row r="3781" customFormat="false" ht="15" hidden="false" customHeight="false" outlineLevel="0" collapsed="false">
      <c r="V3781" s="23" t="str">
        <f aca="false">IF(ISNUMBER(C3781),YEAR(C3781),"")</f>
        <v/>
      </c>
      <c r="W3781" s="23" t="str">
        <f aca="false">IF(ISNUMBER(C3781),MONTH(C3781),"")</f>
        <v/>
      </c>
      <c r="X3781" s="23" t="str">
        <f aca="false">IF(T3781="","",IF(T3781=0,"No discount",IF(T3781&lt;=0.2,"Low (1-20%)",IF(T3781&lt;=0.4,"Medium (21-40%)","High (&gt;40%)"))))</f>
        <v/>
      </c>
      <c r="Y3781" s="23" t="str">
        <f aca="false">IF(AND(ISNUMBER(C3781),ISNUMBER(D3781)),D3781-C3781,"")</f>
        <v/>
      </c>
      <c r="Z3781" s="23" t="str">
        <f aca="false">IF(B3781="","",IF(MATCH(B3781,$B$2:$B$12000,0)=ROW()-1,1,0))</f>
        <v/>
      </c>
    </row>
    <row r="3782" customFormat="false" ht="15" hidden="false" customHeight="false" outlineLevel="0" collapsed="false">
      <c r="V3782" s="23" t="str">
        <f aca="false">IF(ISNUMBER(C3782),YEAR(C3782),"")</f>
        <v/>
      </c>
      <c r="W3782" s="23" t="str">
        <f aca="false">IF(ISNUMBER(C3782),MONTH(C3782),"")</f>
        <v/>
      </c>
      <c r="X3782" s="23" t="str">
        <f aca="false">IF(T3782="","",IF(T3782=0,"No discount",IF(T3782&lt;=0.2,"Low (1-20%)",IF(T3782&lt;=0.4,"Medium (21-40%)","High (&gt;40%)"))))</f>
        <v/>
      </c>
      <c r="Y3782" s="23" t="str">
        <f aca="false">IF(AND(ISNUMBER(C3782),ISNUMBER(D3782)),D3782-C3782,"")</f>
        <v/>
      </c>
      <c r="Z3782" s="23" t="str">
        <f aca="false">IF(B3782="","",IF(MATCH(B3782,$B$2:$B$12000,0)=ROW()-1,1,0))</f>
        <v/>
      </c>
    </row>
    <row r="3783" customFormat="false" ht="15" hidden="false" customHeight="false" outlineLevel="0" collapsed="false">
      <c r="V3783" s="23" t="str">
        <f aca="false">IF(ISNUMBER(C3783),YEAR(C3783),"")</f>
        <v/>
      </c>
      <c r="W3783" s="23" t="str">
        <f aca="false">IF(ISNUMBER(C3783),MONTH(C3783),"")</f>
        <v/>
      </c>
      <c r="X3783" s="23" t="str">
        <f aca="false">IF(T3783="","",IF(T3783=0,"No discount",IF(T3783&lt;=0.2,"Low (1-20%)",IF(T3783&lt;=0.4,"Medium (21-40%)","High (&gt;40%)"))))</f>
        <v/>
      </c>
      <c r="Y3783" s="23" t="str">
        <f aca="false">IF(AND(ISNUMBER(C3783),ISNUMBER(D3783)),D3783-C3783,"")</f>
        <v/>
      </c>
      <c r="Z3783" s="23" t="str">
        <f aca="false">IF(B3783="","",IF(MATCH(B3783,$B$2:$B$12000,0)=ROW()-1,1,0))</f>
        <v/>
      </c>
    </row>
    <row r="3784" customFormat="false" ht="15" hidden="false" customHeight="false" outlineLevel="0" collapsed="false">
      <c r="V3784" s="23" t="str">
        <f aca="false">IF(ISNUMBER(C3784),YEAR(C3784),"")</f>
        <v/>
      </c>
      <c r="W3784" s="23" t="str">
        <f aca="false">IF(ISNUMBER(C3784),MONTH(C3784),"")</f>
        <v/>
      </c>
      <c r="X3784" s="23" t="str">
        <f aca="false">IF(T3784="","",IF(T3784=0,"No discount",IF(T3784&lt;=0.2,"Low (1-20%)",IF(T3784&lt;=0.4,"Medium (21-40%)","High (&gt;40%)"))))</f>
        <v/>
      </c>
      <c r="Y3784" s="23" t="str">
        <f aca="false">IF(AND(ISNUMBER(C3784),ISNUMBER(D3784)),D3784-C3784,"")</f>
        <v/>
      </c>
      <c r="Z3784" s="23" t="str">
        <f aca="false">IF(B3784="","",IF(MATCH(B3784,$B$2:$B$12000,0)=ROW()-1,1,0))</f>
        <v/>
      </c>
    </row>
    <row r="3785" customFormat="false" ht="15" hidden="false" customHeight="false" outlineLevel="0" collapsed="false">
      <c r="V3785" s="23" t="str">
        <f aca="false">IF(ISNUMBER(C3785),YEAR(C3785),"")</f>
        <v/>
      </c>
      <c r="W3785" s="23" t="str">
        <f aca="false">IF(ISNUMBER(C3785),MONTH(C3785),"")</f>
        <v/>
      </c>
      <c r="X3785" s="23" t="str">
        <f aca="false">IF(T3785="","",IF(T3785=0,"No discount",IF(T3785&lt;=0.2,"Low (1-20%)",IF(T3785&lt;=0.4,"Medium (21-40%)","High (&gt;40%)"))))</f>
        <v/>
      </c>
      <c r="Y3785" s="23" t="str">
        <f aca="false">IF(AND(ISNUMBER(C3785),ISNUMBER(D3785)),D3785-C3785,"")</f>
        <v/>
      </c>
      <c r="Z3785" s="23" t="str">
        <f aca="false">IF(B3785="","",IF(MATCH(B3785,$B$2:$B$12000,0)=ROW()-1,1,0))</f>
        <v/>
      </c>
    </row>
    <row r="3786" customFormat="false" ht="15" hidden="false" customHeight="false" outlineLevel="0" collapsed="false">
      <c r="V3786" s="23" t="str">
        <f aca="false">IF(ISNUMBER(C3786),YEAR(C3786),"")</f>
        <v/>
      </c>
      <c r="W3786" s="23" t="str">
        <f aca="false">IF(ISNUMBER(C3786),MONTH(C3786),"")</f>
        <v/>
      </c>
      <c r="X3786" s="23" t="str">
        <f aca="false">IF(T3786="","",IF(T3786=0,"No discount",IF(T3786&lt;=0.2,"Low (1-20%)",IF(T3786&lt;=0.4,"Medium (21-40%)","High (&gt;40%)"))))</f>
        <v/>
      </c>
      <c r="Y3786" s="23" t="str">
        <f aca="false">IF(AND(ISNUMBER(C3786),ISNUMBER(D3786)),D3786-C3786,"")</f>
        <v/>
      </c>
      <c r="Z3786" s="23" t="str">
        <f aca="false">IF(B3786="","",IF(MATCH(B3786,$B$2:$B$12000,0)=ROW()-1,1,0))</f>
        <v/>
      </c>
    </row>
    <row r="3787" customFormat="false" ht="15" hidden="false" customHeight="false" outlineLevel="0" collapsed="false">
      <c r="V3787" s="23" t="str">
        <f aca="false">IF(ISNUMBER(C3787),YEAR(C3787),"")</f>
        <v/>
      </c>
      <c r="W3787" s="23" t="str">
        <f aca="false">IF(ISNUMBER(C3787),MONTH(C3787),"")</f>
        <v/>
      </c>
      <c r="X3787" s="23" t="str">
        <f aca="false">IF(T3787="","",IF(T3787=0,"No discount",IF(T3787&lt;=0.2,"Low (1-20%)",IF(T3787&lt;=0.4,"Medium (21-40%)","High (&gt;40%)"))))</f>
        <v/>
      </c>
      <c r="Y3787" s="23" t="str">
        <f aca="false">IF(AND(ISNUMBER(C3787),ISNUMBER(D3787)),D3787-C3787,"")</f>
        <v/>
      </c>
      <c r="Z3787" s="23" t="str">
        <f aca="false">IF(B3787="","",IF(MATCH(B3787,$B$2:$B$12000,0)=ROW()-1,1,0))</f>
        <v/>
      </c>
    </row>
    <row r="3788" customFormat="false" ht="15" hidden="false" customHeight="false" outlineLevel="0" collapsed="false">
      <c r="V3788" s="23" t="str">
        <f aca="false">IF(ISNUMBER(C3788),YEAR(C3788),"")</f>
        <v/>
      </c>
      <c r="W3788" s="23" t="str">
        <f aca="false">IF(ISNUMBER(C3788),MONTH(C3788),"")</f>
        <v/>
      </c>
      <c r="X3788" s="23" t="str">
        <f aca="false">IF(T3788="","",IF(T3788=0,"No discount",IF(T3788&lt;=0.2,"Low (1-20%)",IF(T3788&lt;=0.4,"Medium (21-40%)","High (&gt;40%)"))))</f>
        <v/>
      </c>
      <c r="Y3788" s="23" t="str">
        <f aca="false">IF(AND(ISNUMBER(C3788),ISNUMBER(D3788)),D3788-C3788,"")</f>
        <v/>
      </c>
      <c r="Z3788" s="23" t="str">
        <f aca="false">IF(B3788="","",IF(MATCH(B3788,$B$2:$B$12000,0)=ROW()-1,1,0))</f>
        <v/>
      </c>
    </row>
    <row r="3789" customFormat="false" ht="15" hidden="false" customHeight="false" outlineLevel="0" collapsed="false">
      <c r="V3789" s="23" t="str">
        <f aca="false">IF(ISNUMBER(C3789),YEAR(C3789),"")</f>
        <v/>
      </c>
      <c r="W3789" s="23" t="str">
        <f aca="false">IF(ISNUMBER(C3789),MONTH(C3789),"")</f>
        <v/>
      </c>
      <c r="X3789" s="23" t="str">
        <f aca="false">IF(T3789="","",IF(T3789=0,"No discount",IF(T3789&lt;=0.2,"Low (1-20%)",IF(T3789&lt;=0.4,"Medium (21-40%)","High (&gt;40%)"))))</f>
        <v/>
      </c>
      <c r="Y3789" s="23" t="str">
        <f aca="false">IF(AND(ISNUMBER(C3789),ISNUMBER(D3789)),D3789-C3789,"")</f>
        <v/>
      </c>
      <c r="Z3789" s="23" t="str">
        <f aca="false">IF(B3789="","",IF(MATCH(B3789,$B$2:$B$12000,0)=ROW()-1,1,0))</f>
        <v/>
      </c>
    </row>
    <row r="3790" customFormat="false" ht="15" hidden="false" customHeight="false" outlineLevel="0" collapsed="false">
      <c r="V3790" s="23" t="str">
        <f aca="false">IF(ISNUMBER(C3790),YEAR(C3790),"")</f>
        <v/>
      </c>
      <c r="W3790" s="23" t="str">
        <f aca="false">IF(ISNUMBER(C3790),MONTH(C3790),"")</f>
        <v/>
      </c>
      <c r="X3790" s="23" t="str">
        <f aca="false">IF(T3790="","",IF(T3790=0,"No discount",IF(T3790&lt;=0.2,"Low (1-20%)",IF(T3790&lt;=0.4,"Medium (21-40%)","High (&gt;40%)"))))</f>
        <v/>
      </c>
      <c r="Y3790" s="23" t="str">
        <f aca="false">IF(AND(ISNUMBER(C3790),ISNUMBER(D3790)),D3790-C3790,"")</f>
        <v/>
      </c>
      <c r="Z3790" s="23" t="str">
        <f aca="false">IF(B3790="","",IF(MATCH(B3790,$B$2:$B$12000,0)=ROW()-1,1,0))</f>
        <v/>
      </c>
    </row>
    <row r="3791" customFormat="false" ht="15" hidden="false" customHeight="false" outlineLevel="0" collapsed="false">
      <c r="V3791" s="23" t="str">
        <f aca="false">IF(ISNUMBER(C3791),YEAR(C3791),"")</f>
        <v/>
      </c>
      <c r="W3791" s="23" t="str">
        <f aca="false">IF(ISNUMBER(C3791),MONTH(C3791),"")</f>
        <v/>
      </c>
      <c r="X3791" s="23" t="str">
        <f aca="false">IF(T3791="","",IF(T3791=0,"No discount",IF(T3791&lt;=0.2,"Low (1-20%)",IF(T3791&lt;=0.4,"Medium (21-40%)","High (&gt;40%)"))))</f>
        <v/>
      </c>
      <c r="Y3791" s="23" t="str">
        <f aca="false">IF(AND(ISNUMBER(C3791),ISNUMBER(D3791)),D3791-C3791,"")</f>
        <v/>
      </c>
      <c r="Z3791" s="23" t="str">
        <f aca="false">IF(B3791="","",IF(MATCH(B3791,$B$2:$B$12000,0)=ROW()-1,1,0))</f>
        <v/>
      </c>
    </row>
    <row r="3792" customFormat="false" ht="15" hidden="false" customHeight="false" outlineLevel="0" collapsed="false">
      <c r="V3792" s="23" t="str">
        <f aca="false">IF(ISNUMBER(C3792),YEAR(C3792),"")</f>
        <v/>
      </c>
      <c r="W3792" s="23" t="str">
        <f aca="false">IF(ISNUMBER(C3792),MONTH(C3792),"")</f>
        <v/>
      </c>
      <c r="X3792" s="23" t="str">
        <f aca="false">IF(T3792="","",IF(T3792=0,"No discount",IF(T3792&lt;=0.2,"Low (1-20%)",IF(T3792&lt;=0.4,"Medium (21-40%)","High (&gt;40%)"))))</f>
        <v/>
      </c>
      <c r="Y3792" s="23" t="str">
        <f aca="false">IF(AND(ISNUMBER(C3792),ISNUMBER(D3792)),D3792-C3792,"")</f>
        <v/>
      </c>
      <c r="Z3792" s="23" t="str">
        <f aca="false">IF(B3792="","",IF(MATCH(B3792,$B$2:$B$12000,0)=ROW()-1,1,0))</f>
        <v/>
      </c>
    </row>
    <row r="3793" customFormat="false" ht="15" hidden="false" customHeight="false" outlineLevel="0" collapsed="false">
      <c r="V3793" s="23" t="str">
        <f aca="false">IF(ISNUMBER(C3793),YEAR(C3793),"")</f>
        <v/>
      </c>
      <c r="W3793" s="23" t="str">
        <f aca="false">IF(ISNUMBER(C3793),MONTH(C3793),"")</f>
        <v/>
      </c>
      <c r="X3793" s="23" t="str">
        <f aca="false">IF(T3793="","",IF(T3793=0,"No discount",IF(T3793&lt;=0.2,"Low (1-20%)",IF(T3793&lt;=0.4,"Medium (21-40%)","High (&gt;40%)"))))</f>
        <v/>
      </c>
      <c r="Y3793" s="23" t="str">
        <f aca="false">IF(AND(ISNUMBER(C3793),ISNUMBER(D3793)),D3793-C3793,"")</f>
        <v/>
      </c>
      <c r="Z3793" s="23" t="str">
        <f aca="false">IF(B3793="","",IF(MATCH(B3793,$B$2:$B$12000,0)=ROW()-1,1,0))</f>
        <v/>
      </c>
    </row>
    <row r="3794" customFormat="false" ht="15" hidden="false" customHeight="false" outlineLevel="0" collapsed="false">
      <c r="V3794" s="23" t="str">
        <f aca="false">IF(ISNUMBER(C3794),YEAR(C3794),"")</f>
        <v/>
      </c>
      <c r="W3794" s="23" t="str">
        <f aca="false">IF(ISNUMBER(C3794),MONTH(C3794),"")</f>
        <v/>
      </c>
      <c r="X3794" s="23" t="str">
        <f aca="false">IF(T3794="","",IF(T3794=0,"No discount",IF(T3794&lt;=0.2,"Low (1-20%)",IF(T3794&lt;=0.4,"Medium (21-40%)","High (&gt;40%)"))))</f>
        <v/>
      </c>
      <c r="Y3794" s="23" t="str">
        <f aca="false">IF(AND(ISNUMBER(C3794),ISNUMBER(D3794)),D3794-C3794,"")</f>
        <v/>
      </c>
      <c r="Z3794" s="23" t="str">
        <f aca="false">IF(B3794="","",IF(MATCH(B3794,$B$2:$B$12000,0)=ROW()-1,1,0))</f>
        <v/>
      </c>
    </row>
    <row r="3795" customFormat="false" ht="15" hidden="false" customHeight="false" outlineLevel="0" collapsed="false">
      <c r="V3795" s="23" t="str">
        <f aca="false">IF(ISNUMBER(C3795),YEAR(C3795),"")</f>
        <v/>
      </c>
      <c r="W3795" s="23" t="str">
        <f aca="false">IF(ISNUMBER(C3795),MONTH(C3795),"")</f>
        <v/>
      </c>
      <c r="X3795" s="23" t="str">
        <f aca="false">IF(T3795="","",IF(T3795=0,"No discount",IF(T3795&lt;=0.2,"Low (1-20%)",IF(T3795&lt;=0.4,"Medium (21-40%)","High (&gt;40%)"))))</f>
        <v/>
      </c>
      <c r="Y3795" s="23" t="str">
        <f aca="false">IF(AND(ISNUMBER(C3795),ISNUMBER(D3795)),D3795-C3795,"")</f>
        <v/>
      </c>
      <c r="Z3795" s="23" t="str">
        <f aca="false">IF(B3795="","",IF(MATCH(B3795,$B$2:$B$12000,0)=ROW()-1,1,0))</f>
        <v/>
      </c>
    </row>
    <row r="3796" customFormat="false" ht="15" hidden="false" customHeight="false" outlineLevel="0" collapsed="false">
      <c r="V3796" s="23" t="str">
        <f aca="false">IF(ISNUMBER(C3796),YEAR(C3796),"")</f>
        <v/>
      </c>
      <c r="W3796" s="23" t="str">
        <f aca="false">IF(ISNUMBER(C3796),MONTH(C3796),"")</f>
        <v/>
      </c>
      <c r="X3796" s="23" t="str">
        <f aca="false">IF(T3796="","",IF(T3796=0,"No discount",IF(T3796&lt;=0.2,"Low (1-20%)",IF(T3796&lt;=0.4,"Medium (21-40%)","High (&gt;40%)"))))</f>
        <v/>
      </c>
      <c r="Y3796" s="23" t="str">
        <f aca="false">IF(AND(ISNUMBER(C3796),ISNUMBER(D3796)),D3796-C3796,"")</f>
        <v/>
      </c>
      <c r="Z3796" s="23" t="str">
        <f aca="false">IF(B3796="","",IF(MATCH(B3796,$B$2:$B$12000,0)=ROW()-1,1,0))</f>
        <v/>
      </c>
    </row>
    <row r="3797" customFormat="false" ht="15" hidden="false" customHeight="false" outlineLevel="0" collapsed="false">
      <c r="V3797" s="23" t="str">
        <f aca="false">IF(ISNUMBER(C3797),YEAR(C3797),"")</f>
        <v/>
      </c>
      <c r="W3797" s="23" t="str">
        <f aca="false">IF(ISNUMBER(C3797),MONTH(C3797),"")</f>
        <v/>
      </c>
      <c r="X3797" s="23" t="str">
        <f aca="false">IF(T3797="","",IF(T3797=0,"No discount",IF(T3797&lt;=0.2,"Low (1-20%)",IF(T3797&lt;=0.4,"Medium (21-40%)","High (&gt;40%)"))))</f>
        <v/>
      </c>
      <c r="Y3797" s="23" t="str">
        <f aca="false">IF(AND(ISNUMBER(C3797),ISNUMBER(D3797)),D3797-C3797,"")</f>
        <v/>
      </c>
      <c r="Z3797" s="23" t="str">
        <f aca="false">IF(B3797="","",IF(MATCH(B3797,$B$2:$B$12000,0)=ROW()-1,1,0))</f>
        <v/>
      </c>
    </row>
    <row r="3798" customFormat="false" ht="15" hidden="false" customHeight="false" outlineLevel="0" collapsed="false">
      <c r="V3798" s="23" t="str">
        <f aca="false">IF(ISNUMBER(C3798),YEAR(C3798),"")</f>
        <v/>
      </c>
      <c r="W3798" s="23" t="str">
        <f aca="false">IF(ISNUMBER(C3798),MONTH(C3798),"")</f>
        <v/>
      </c>
      <c r="X3798" s="23" t="str">
        <f aca="false">IF(T3798="","",IF(T3798=0,"No discount",IF(T3798&lt;=0.2,"Low (1-20%)",IF(T3798&lt;=0.4,"Medium (21-40%)","High (&gt;40%)"))))</f>
        <v/>
      </c>
      <c r="Y3798" s="23" t="str">
        <f aca="false">IF(AND(ISNUMBER(C3798),ISNUMBER(D3798)),D3798-C3798,"")</f>
        <v/>
      </c>
      <c r="Z3798" s="23" t="str">
        <f aca="false">IF(B3798="","",IF(MATCH(B3798,$B$2:$B$12000,0)=ROW()-1,1,0))</f>
        <v/>
      </c>
    </row>
    <row r="3799" customFormat="false" ht="15" hidden="false" customHeight="false" outlineLevel="0" collapsed="false">
      <c r="V3799" s="23" t="str">
        <f aca="false">IF(ISNUMBER(C3799),YEAR(C3799),"")</f>
        <v/>
      </c>
      <c r="W3799" s="23" t="str">
        <f aca="false">IF(ISNUMBER(C3799),MONTH(C3799),"")</f>
        <v/>
      </c>
      <c r="X3799" s="23" t="str">
        <f aca="false">IF(T3799="","",IF(T3799=0,"No discount",IF(T3799&lt;=0.2,"Low (1-20%)",IF(T3799&lt;=0.4,"Medium (21-40%)","High (&gt;40%)"))))</f>
        <v/>
      </c>
      <c r="Y3799" s="23" t="str">
        <f aca="false">IF(AND(ISNUMBER(C3799),ISNUMBER(D3799)),D3799-C3799,"")</f>
        <v/>
      </c>
      <c r="Z3799" s="23" t="str">
        <f aca="false">IF(B3799="","",IF(MATCH(B3799,$B$2:$B$12000,0)=ROW()-1,1,0))</f>
        <v/>
      </c>
    </row>
    <row r="3800" customFormat="false" ht="15" hidden="false" customHeight="false" outlineLevel="0" collapsed="false">
      <c r="V3800" s="23" t="str">
        <f aca="false">IF(ISNUMBER(C3800),YEAR(C3800),"")</f>
        <v/>
      </c>
      <c r="W3800" s="23" t="str">
        <f aca="false">IF(ISNUMBER(C3800),MONTH(C3800),"")</f>
        <v/>
      </c>
      <c r="X3800" s="23" t="str">
        <f aca="false">IF(T3800="","",IF(T3800=0,"No discount",IF(T3800&lt;=0.2,"Low (1-20%)",IF(T3800&lt;=0.4,"Medium (21-40%)","High (&gt;40%)"))))</f>
        <v/>
      </c>
      <c r="Y3800" s="23" t="str">
        <f aca="false">IF(AND(ISNUMBER(C3800),ISNUMBER(D3800)),D3800-C3800,"")</f>
        <v/>
      </c>
      <c r="Z3800" s="23" t="str">
        <f aca="false">IF(B3800="","",IF(MATCH(B3800,$B$2:$B$12000,0)=ROW()-1,1,0))</f>
        <v/>
      </c>
    </row>
    <row r="3801" customFormat="false" ht="15" hidden="false" customHeight="false" outlineLevel="0" collapsed="false">
      <c r="V3801" s="23" t="str">
        <f aca="false">IF(ISNUMBER(C3801),YEAR(C3801),"")</f>
        <v/>
      </c>
      <c r="W3801" s="23" t="str">
        <f aca="false">IF(ISNUMBER(C3801),MONTH(C3801),"")</f>
        <v/>
      </c>
      <c r="X3801" s="23" t="str">
        <f aca="false">IF(T3801="","",IF(T3801=0,"No discount",IF(T3801&lt;=0.2,"Low (1-20%)",IF(T3801&lt;=0.4,"Medium (21-40%)","High (&gt;40%)"))))</f>
        <v/>
      </c>
      <c r="Y3801" s="23" t="str">
        <f aca="false">IF(AND(ISNUMBER(C3801),ISNUMBER(D3801)),D3801-C3801,"")</f>
        <v/>
      </c>
      <c r="Z3801" s="23" t="str">
        <f aca="false">IF(B3801="","",IF(MATCH(B3801,$B$2:$B$12000,0)=ROW()-1,1,0))</f>
        <v/>
      </c>
    </row>
    <row r="3802" customFormat="false" ht="15" hidden="false" customHeight="false" outlineLevel="0" collapsed="false">
      <c r="V3802" s="23" t="str">
        <f aca="false">IF(ISNUMBER(C3802),YEAR(C3802),"")</f>
        <v/>
      </c>
      <c r="W3802" s="23" t="str">
        <f aca="false">IF(ISNUMBER(C3802),MONTH(C3802),"")</f>
        <v/>
      </c>
      <c r="X3802" s="23" t="str">
        <f aca="false">IF(T3802="","",IF(T3802=0,"No discount",IF(T3802&lt;=0.2,"Low (1-20%)",IF(T3802&lt;=0.4,"Medium (21-40%)","High (&gt;40%)"))))</f>
        <v/>
      </c>
      <c r="Y3802" s="23" t="str">
        <f aca="false">IF(AND(ISNUMBER(C3802),ISNUMBER(D3802)),D3802-C3802,"")</f>
        <v/>
      </c>
      <c r="Z3802" s="23" t="str">
        <f aca="false">IF(B3802="","",IF(MATCH(B3802,$B$2:$B$12000,0)=ROW()-1,1,0))</f>
        <v/>
      </c>
    </row>
    <row r="3803" customFormat="false" ht="15" hidden="false" customHeight="false" outlineLevel="0" collapsed="false">
      <c r="V3803" s="23" t="str">
        <f aca="false">IF(ISNUMBER(C3803),YEAR(C3803),"")</f>
        <v/>
      </c>
      <c r="W3803" s="23" t="str">
        <f aca="false">IF(ISNUMBER(C3803),MONTH(C3803),"")</f>
        <v/>
      </c>
      <c r="X3803" s="23" t="str">
        <f aca="false">IF(T3803="","",IF(T3803=0,"No discount",IF(T3803&lt;=0.2,"Low (1-20%)",IF(T3803&lt;=0.4,"Medium (21-40%)","High (&gt;40%)"))))</f>
        <v/>
      </c>
      <c r="Y3803" s="23" t="str">
        <f aca="false">IF(AND(ISNUMBER(C3803),ISNUMBER(D3803)),D3803-C3803,"")</f>
        <v/>
      </c>
      <c r="Z3803" s="23" t="str">
        <f aca="false">IF(B3803="","",IF(MATCH(B3803,$B$2:$B$12000,0)=ROW()-1,1,0))</f>
        <v/>
      </c>
    </row>
    <row r="3804" customFormat="false" ht="15" hidden="false" customHeight="false" outlineLevel="0" collapsed="false">
      <c r="V3804" s="23" t="str">
        <f aca="false">IF(ISNUMBER(C3804),YEAR(C3804),"")</f>
        <v/>
      </c>
      <c r="W3804" s="23" t="str">
        <f aca="false">IF(ISNUMBER(C3804),MONTH(C3804),"")</f>
        <v/>
      </c>
      <c r="X3804" s="23" t="str">
        <f aca="false">IF(T3804="","",IF(T3804=0,"No discount",IF(T3804&lt;=0.2,"Low (1-20%)",IF(T3804&lt;=0.4,"Medium (21-40%)","High (&gt;40%)"))))</f>
        <v/>
      </c>
      <c r="Y3804" s="23" t="str">
        <f aca="false">IF(AND(ISNUMBER(C3804),ISNUMBER(D3804)),D3804-C3804,"")</f>
        <v/>
      </c>
      <c r="Z3804" s="23" t="str">
        <f aca="false">IF(B3804="","",IF(MATCH(B3804,$B$2:$B$12000,0)=ROW()-1,1,0))</f>
        <v/>
      </c>
    </row>
    <row r="3805" customFormat="false" ht="15" hidden="false" customHeight="false" outlineLevel="0" collapsed="false">
      <c r="V3805" s="23" t="str">
        <f aca="false">IF(ISNUMBER(C3805),YEAR(C3805),"")</f>
        <v/>
      </c>
      <c r="W3805" s="23" t="str">
        <f aca="false">IF(ISNUMBER(C3805),MONTH(C3805),"")</f>
        <v/>
      </c>
      <c r="X3805" s="23" t="str">
        <f aca="false">IF(T3805="","",IF(T3805=0,"No discount",IF(T3805&lt;=0.2,"Low (1-20%)",IF(T3805&lt;=0.4,"Medium (21-40%)","High (&gt;40%)"))))</f>
        <v/>
      </c>
      <c r="Y3805" s="23" t="str">
        <f aca="false">IF(AND(ISNUMBER(C3805),ISNUMBER(D3805)),D3805-C3805,"")</f>
        <v/>
      </c>
      <c r="Z3805" s="23" t="str">
        <f aca="false">IF(B3805="","",IF(MATCH(B3805,$B$2:$B$12000,0)=ROW()-1,1,0))</f>
        <v/>
      </c>
    </row>
    <row r="3806" customFormat="false" ht="15" hidden="false" customHeight="false" outlineLevel="0" collapsed="false">
      <c r="V3806" s="23" t="str">
        <f aca="false">IF(ISNUMBER(C3806),YEAR(C3806),"")</f>
        <v/>
      </c>
      <c r="W3806" s="23" t="str">
        <f aca="false">IF(ISNUMBER(C3806),MONTH(C3806),"")</f>
        <v/>
      </c>
      <c r="X3806" s="23" t="str">
        <f aca="false">IF(T3806="","",IF(T3806=0,"No discount",IF(T3806&lt;=0.2,"Low (1-20%)",IF(T3806&lt;=0.4,"Medium (21-40%)","High (&gt;40%)"))))</f>
        <v/>
      </c>
      <c r="Y3806" s="23" t="str">
        <f aca="false">IF(AND(ISNUMBER(C3806),ISNUMBER(D3806)),D3806-C3806,"")</f>
        <v/>
      </c>
      <c r="Z3806" s="23" t="str">
        <f aca="false">IF(B3806="","",IF(MATCH(B3806,$B$2:$B$12000,0)=ROW()-1,1,0))</f>
        <v/>
      </c>
    </row>
    <row r="3807" customFormat="false" ht="15" hidden="false" customHeight="false" outlineLevel="0" collapsed="false">
      <c r="V3807" s="23" t="str">
        <f aca="false">IF(ISNUMBER(C3807),YEAR(C3807),"")</f>
        <v/>
      </c>
      <c r="W3807" s="23" t="str">
        <f aca="false">IF(ISNUMBER(C3807),MONTH(C3807),"")</f>
        <v/>
      </c>
      <c r="X3807" s="23" t="str">
        <f aca="false">IF(T3807="","",IF(T3807=0,"No discount",IF(T3807&lt;=0.2,"Low (1-20%)",IF(T3807&lt;=0.4,"Medium (21-40%)","High (&gt;40%)"))))</f>
        <v/>
      </c>
      <c r="Y3807" s="23" t="str">
        <f aca="false">IF(AND(ISNUMBER(C3807),ISNUMBER(D3807)),D3807-C3807,"")</f>
        <v/>
      </c>
      <c r="Z3807" s="23" t="str">
        <f aca="false">IF(B3807="","",IF(MATCH(B3807,$B$2:$B$12000,0)=ROW()-1,1,0))</f>
        <v/>
      </c>
    </row>
    <row r="3808" customFormat="false" ht="15" hidden="false" customHeight="false" outlineLevel="0" collapsed="false">
      <c r="V3808" s="23" t="str">
        <f aca="false">IF(ISNUMBER(C3808),YEAR(C3808),"")</f>
        <v/>
      </c>
      <c r="W3808" s="23" t="str">
        <f aca="false">IF(ISNUMBER(C3808),MONTH(C3808),"")</f>
        <v/>
      </c>
      <c r="X3808" s="23" t="str">
        <f aca="false">IF(T3808="","",IF(T3808=0,"No discount",IF(T3808&lt;=0.2,"Low (1-20%)",IF(T3808&lt;=0.4,"Medium (21-40%)","High (&gt;40%)"))))</f>
        <v/>
      </c>
      <c r="Y3808" s="23" t="str">
        <f aca="false">IF(AND(ISNUMBER(C3808),ISNUMBER(D3808)),D3808-C3808,"")</f>
        <v/>
      </c>
      <c r="Z3808" s="23" t="str">
        <f aca="false">IF(B3808="","",IF(MATCH(B3808,$B$2:$B$12000,0)=ROW()-1,1,0))</f>
        <v/>
      </c>
    </row>
    <row r="3809" customFormat="false" ht="15" hidden="false" customHeight="false" outlineLevel="0" collapsed="false">
      <c r="V3809" s="23" t="str">
        <f aca="false">IF(ISNUMBER(C3809),YEAR(C3809),"")</f>
        <v/>
      </c>
      <c r="W3809" s="23" t="str">
        <f aca="false">IF(ISNUMBER(C3809),MONTH(C3809),"")</f>
        <v/>
      </c>
      <c r="X3809" s="23" t="str">
        <f aca="false">IF(T3809="","",IF(T3809=0,"No discount",IF(T3809&lt;=0.2,"Low (1-20%)",IF(T3809&lt;=0.4,"Medium (21-40%)","High (&gt;40%)"))))</f>
        <v/>
      </c>
      <c r="Y3809" s="23" t="str">
        <f aca="false">IF(AND(ISNUMBER(C3809),ISNUMBER(D3809)),D3809-C3809,"")</f>
        <v/>
      </c>
      <c r="Z3809" s="23" t="str">
        <f aca="false">IF(B3809="","",IF(MATCH(B3809,$B$2:$B$12000,0)=ROW()-1,1,0))</f>
        <v/>
      </c>
    </row>
    <row r="3810" customFormat="false" ht="15" hidden="false" customHeight="false" outlineLevel="0" collapsed="false">
      <c r="V3810" s="23" t="str">
        <f aca="false">IF(ISNUMBER(C3810),YEAR(C3810),"")</f>
        <v/>
      </c>
      <c r="W3810" s="23" t="str">
        <f aca="false">IF(ISNUMBER(C3810),MONTH(C3810),"")</f>
        <v/>
      </c>
      <c r="X3810" s="23" t="str">
        <f aca="false">IF(T3810="","",IF(T3810=0,"No discount",IF(T3810&lt;=0.2,"Low (1-20%)",IF(T3810&lt;=0.4,"Medium (21-40%)","High (&gt;40%)"))))</f>
        <v/>
      </c>
      <c r="Y3810" s="23" t="str">
        <f aca="false">IF(AND(ISNUMBER(C3810),ISNUMBER(D3810)),D3810-C3810,"")</f>
        <v/>
      </c>
      <c r="Z3810" s="23" t="str">
        <f aca="false">IF(B3810="","",IF(MATCH(B3810,$B$2:$B$12000,0)=ROW()-1,1,0))</f>
        <v/>
      </c>
    </row>
    <row r="3811" customFormat="false" ht="15" hidden="false" customHeight="false" outlineLevel="0" collapsed="false">
      <c r="V3811" s="23" t="str">
        <f aca="false">IF(ISNUMBER(C3811),YEAR(C3811),"")</f>
        <v/>
      </c>
      <c r="W3811" s="23" t="str">
        <f aca="false">IF(ISNUMBER(C3811),MONTH(C3811),"")</f>
        <v/>
      </c>
      <c r="X3811" s="23" t="str">
        <f aca="false">IF(T3811="","",IF(T3811=0,"No discount",IF(T3811&lt;=0.2,"Low (1-20%)",IF(T3811&lt;=0.4,"Medium (21-40%)","High (&gt;40%)"))))</f>
        <v/>
      </c>
      <c r="Y3811" s="23" t="str">
        <f aca="false">IF(AND(ISNUMBER(C3811),ISNUMBER(D3811)),D3811-C3811,"")</f>
        <v/>
      </c>
      <c r="Z3811" s="23" t="str">
        <f aca="false">IF(B3811="","",IF(MATCH(B3811,$B$2:$B$12000,0)=ROW()-1,1,0))</f>
        <v/>
      </c>
    </row>
    <row r="3812" customFormat="false" ht="15" hidden="false" customHeight="false" outlineLevel="0" collapsed="false">
      <c r="V3812" s="23" t="str">
        <f aca="false">IF(ISNUMBER(C3812),YEAR(C3812),"")</f>
        <v/>
      </c>
      <c r="W3812" s="23" t="str">
        <f aca="false">IF(ISNUMBER(C3812),MONTH(C3812),"")</f>
        <v/>
      </c>
      <c r="X3812" s="23" t="str">
        <f aca="false">IF(T3812="","",IF(T3812=0,"No discount",IF(T3812&lt;=0.2,"Low (1-20%)",IF(T3812&lt;=0.4,"Medium (21-40%)","High (&gt;40%)"))))</f>
        <v/>
      </c>
      <c r="Y3812" s="23" t="str">
        <f aca="false">IF(AND(ISNUMBER(C3812),ISNUMBER(D3812)),D3812-C3812,"")</f>
        <v/>
      </c>
      <c r="Z3812" s="23" t="str">
        <f aca="false">IF(B3812="","",IF(MATCH(B3812,$B$2:$B$12000,0)=ROW()-1,1,0))</f>
        <v/>
      </c>
    </row>
    <row r="3813" customFormat="false" ht="15" hidden="false" customHeight="false" outlineLevel="0" collapsed="false">
      <c r="V3813" s="23" t="str">
        <f aca="false">IF(ISNUMBER(C3813),YEAR(C3813),"")</f>
        <v/>
      </c>
      <c r="W3813" s="23" t="str">
        <f aca="false">IF(ISNUMBER(C3813),MONTH(C3813),"")</f>
        <v/>
      </c>
      <c r="X3813" s="23" t="str">
        <f aca="false">IF(T3813="","",IF(T3813=0,"No discount",IF(T3813&lt;=0.2,"Low (1-20%)",IF(T3813&lt;=0.4,"Medium (21-40%)","High (&gt;40%)"))))</f>
        <v/>
      </c>
      <c r="Y3813" s="23" t="str">
        <f aca="false">IF(AND(ISNUMBER(C3813),ISNUMBER(D3813)),D3813-C3813,"")</f>
        <v/>
      </c>
      <c r="Z3813" s="23" t="str">
        <f aca="false">IF(B3813="","",IF(MATCH(B3813,$B$2:$B$12000,0)=ROW()-1,1,0))</f>
        <v/>
      </c>
    </row>
    <row r="3814" customFormat="false" ht="15" hidden="false" customHeight="false" outlineLevel="0" collapsed="false">
      <c r="V3814" s="23" t="str">
        <f aca="false">IF(ISNUMBER(C3814),YEAR(C3814),"")</f>
        <v/>
      </c>
      <c r="W3814" s="23" t="str">
        <f aca="false">IF(ISNUMBER(C3814),MONTH(C3814),"")</f>
        <v/>
      </c>
      <c r="X3814" s="23" t="str">
        <f aca="false">IF(T3814="","",IF(T3814=0,"No discount",IF(T3814&lt;=0.2,"Low (1-20%)",IF(T3814&lt;=0.4,"Medium (21-40%)","High (&gt;40%)"))))</f>
        <v/>
      </c>
      <c r="Y3814" s="23" t="str">
        <f aca="false">IF(AND(ISNUMBER(C3814),ISNUMBER(D3814)),D3814-C3814,"")</f>
        <v/>
      </c>
      <c r="Z3814" s="23" t="str">
        <f aca="false">IF(B3814="","",IF(MATCH(B3814,$B$2:$B$12000,0)=ROW()-1,1,0))</f>
        <v/>
      </c>
    </row>
    <row r="3815" customFormat="false" ht="15" hidden="false" customHeight="false" outlineLevel="0" collapsed="false">
      <c r="V3815" s="23" t="str">
        <f aca="false">IF(ISNUMBER(C3815),YEAR(C3815),"")</f>
        <v/>
      </c>
      <c r="W3815" s="23" t="str">
        <f aca="false">IF(ISNUMBER(C3815),MONTH(C3815),"")</f>
        <v/>
      </c>
      <c r="X3815" s="23" t="str">
        <f aca="false">IF(T3815="","",IF(T3815=0,"No discount",IF(T3815&lt;=0.2,"Low (1-20%)",IF(T3815&lt;=0.4,"Medium (21-40%)","High (&gt;40%)"))))</f>
        <v/>
      </c>
      <c r="Y3815" s="23" t="str">
        <f aca="false">IF(AND(ISNUMBER(C3815),ISNUMBER(D3815)),D3815-C3815,"")</f>
        <v/>
      </c>
      <c r="Z3815" s="23" t="str">
        <f aca="false">IF(B3815="","",IF(MATCH(B3815,$B$2:$B$12000,0)=ROW()-1,1,0))</f>
        <v/>
      </c>
    </row>
    <row r="3816" customFormat="false" ht="15" hidden="false" customHeight="false" outlineLevel="0" collapsed="false">
      <c r="V3816" s="23" t="str">
        <f aca="false">IF(ISNUMBER(C3816),YEAR(C3816),"")</f>
        <v/>
      </c>
      <c r="W3816" s="23" t="str">
        <f aca="false">IF(ISNUMBER(C3816),MONTH(C3816),"")</f>
        <v/>
      </c>
      <c r="X3816" s="23" t="str">
        <f aca="false">IF(T3816="","",IF(T3816=0,"No discount",IF(T3816&lt;=0.2,"Low (1-20%)",IF(T3816&lt;=0.4,"Medium (21-40%)","High (&gt;40%)"))))</f>
        <v/>
      </c>
      <c r="Y3816" s="23" t="str">
        <f aca="false">IF(AND(ISNUMBER(C3816),ISNUMBER(D3816)),D3816-C3816,"")</f>
        <v/>
      </c>
      <c r="Z3816" s="23" t="str">
        <f aca="false">IF(B3816="","",IF(MATCH(B3816,$B$2:$B$12000,0)=ROW()-1,1,0))</f>
        <v/>
      </c>
    </row>
    <row r="3817" customFormat="false" ht="15" hidden="false" customHeight="false" outlineLevel="0" collapsed="false">
      <c r="V3817" s="23" t="str">
        <f aca="false">IF(ISNUMBER(C3817),YEAR(C3817),"")</f>
        <v/>
      </c>
      <c r="W3817" s="23" t="str">
        <f aca="false">IF(ISNUMBER(C3817),MONTH(C3817),"")</f>
        <v/>
      </c>
      <c r="X3817" s="23" t="str">
        <f aca="false">IF(T3817="","",IF(T3817=0,"No discount",IF(T3817&lt;=0.2,"Low (1-20%)",IF(T3817&lt;=0.4,"Medium (21-40%)","High (&gt;40%)"))))</f>
        <v/>
      </c>
      <c r="Y3817" s="23" t="str">
        <f aca="false">IF(AND(ISNUMBER(C3817),ISNUMBER(D3817)),D3817-C3817,"")</f>
        <v/>
      </c>
      <c r="Z3817" s="23" t="str">
        <f aca="false">IF(B3817="","",IF(MATCH(B3817,$B$2:$B$12000,0)=ROW()-1,1,0))</f>
        <v/>
      </c>
    </row>
    <row r="3818" customFormat="false" ht="15" hidden="false" customHeight="false" outlineLevel="0" collapsed="false">
      <c r="V3818" s="23" t="str">
        <f aca="false">IF(ISNUMBER(C3818),YEAR(C3818),"")</f>
        <v/>
      </c>
      <c r="W3818" s="23" t="str">
        <f aca="false">IF(ISNUMBER(C3818),MONTH(C3818),"")</f>
        <v/>
      </c>
      <c r="X3818" s="23" t="str">
        <f aca="false">IF(T3818="","",IF(T3818=0,"No discount",IF(T3818&lt;=0.2,"Low (1-20%)",IF(T3818&lt;=0.4,"Medium (21-40%)","High (&gt;40%)"))))</f>
        <v/>
      </c>
      <c r="Y3818" s="23" t="str">
        <f aca="false">IF(AND(ISNUMBER(C3818),ISNUMBER(D3818)),D3818-C3818,"")</f>
        <v/>
      </c>
      <c r="Z3818" s="23" t="str">
        <f aca="false">IF(B3818="","",IF(MATCH(B3818,$B$2:$B$12000,0)=ROW()-1,1,0))</f>
        <v/>
      </c>
    </row>
    <row r="3819" customFormat="false" ht="15" hidden="false" customHeight="false" outlineLevel="0" collapsed="false">
      <c r="V3819" s="23" t="str">
        <f aca="false">IF(ISNUMBER(C3819),YEAR(C3819),"")</f>
        <v/>
      </c>
      <c r="W3819" s="23" t="str">
        <f aca="false">IF(ISNUMBER(C3819),MONTH(C3819),"")</f>
        <v/>
      </c>
      <c r="X3819" s="23" t="str">
        <f aca="false">IF(T3819="","",IF(T3819=0,"No discount",IF(T3819&lt;=0.2,"Low (1-20%)",IF(T3819&lt;=0.4,"Medium (21-40%)","High (&gt;40%)"))))</f>
        <v/>
      </c>
      <c r="Y3819" s="23" t="str">
        <f aca="false">IF(AND(ISNUMBER(C3819),ISNUMBER(D3819)),D3819-C3819,"")</f>
        <v/>
      </c>
      <c r="Z3819" s="23" t="str">
        <f aca="false">IF(B3819="","",IF(MATCH(B3819,$B$2:$B$12000,0)=ROW()-1,1,0))</f>
        <v/>
      </c>
    </row>
    <row r="3820" customFormat="false" ht="15" hidden="false" customHeight="false" outlineLevel="0" collapsed="false">
      <c r="V3820" s="23" t="str">
        <f aca="false">IF(ISNUMBER(C3820),YEAR(C3820),"")</f>
        <v/>
      </c>
      <c r="W3820" s="23" t="str">
        <f aca="false">IF(ISNUMBER(C3820),MONTH(C3820),"")</f>
        <v/>
      </c>
      <c r="X3820" s="23" t="str">
        <f aca="false">IF(T3820="","",IF(T3820=0,"No discount",IF(T3820&lt;=0.2,"Low (1-20%)",IF(T3820&lt;=0.4,"Medium (21-40%)","High (&gt;40%)"))))</f>
        <v/>
      </c>
      <c r="Y3820" s="23" t="str">
        <f aca="false">IF(AND(ISNUMBER(C3820),ISNUMBER(D3820)),D3820-C3820,"")</f>
        <v/>
      </c>
      <c r="Z3820" s="23" t="str">
        <f aca="false">IF(B3820="","",IF(MATCH(B3820,$B$2:$B$12000,0)=ROW()-1,1,0))</f>
        <v/>
      </c>
    </row>
    <row r="3821" customFormat="false" ht="15" hidden="false" customHeight="false" outlineLevel="0" collapsed="false">
      <c r="V3821" s="23" t="str">
        <f aca="false">IF(ISNUMBER(C3821),YEAR(C3821),"")</f>
        <v/>
      </c>
      <c r="W3821" s="23" t="str">
        <f aca="false">IF(ISNUMBER(C3821),MONTH(C3821),"")</f>
        <v/>
      </c>
      <c r="X3821" s="23" t="str">
        <f aca="false">IF(T3821="","",IF(T3821=0,"No discount",IF(T3821&lt;=0.2,"Low (1-20%)",IF(T3821&lt;=0.4,"Medium (21-40%)","High (&gt;40%)"))))</f>
        <v/>
      </c>
      <c r="Y3821" s="23" t="str">
        <f aca="false">IF(AND(ISNUMBER(C3821),ISNUMBER(D3821)),D3821-C3821,"")</f>
        <v/>
      </c>
      <c r="Z3821" s="23" t="str">
        <f aca="false">IF(B3821="","",IF(MATCH(B3821,$B$2:$B$12000,0)=ROW()-1,1,0))</f>
        <v/>
      </c>
    </row>
    <row r="3822" customFormat="false" ht="15" hidden="false" customHeight="false" outlineLevel="0" collapsed="false">
      <c r="V3822" s="23" t="str">
        <f aca="false">IF(ISNUMBER(C3822),YEAR(C3822),"")</f>
        <v/>
      </c>
      <c r="W3822" s="23" t="str">
        <f aca="false">IF(ISNUMBER(C3822),MONTH(C3822),"")</f>
        <v/>
      </c>
      <c r="X3822" s="23" t="str">
        <f aca="false">IF(T3822="","",IF(T3822=0,"No discount",IF(T3822&lt;=0.2,"Low (1-20%)",IF(T3822&lt;=0.4,"Medium (21-40%)","High (&gt;40%)"))))</f>
        <v/>
      </c>
      <c r="Y3822" s="23" t="str">
        <f aca="false">IF(AND(ISNUMBER(C3822),ISNUMBER(D3822)),D3822-C3822,"")</f>
        <v/>
      </c>
      <c r="Z3822" s="23" t="str">
        <f aca="false">IF(B3822="","",IF(MATCH(B3822,$B$2:$B$12000,0)=ROW()-1,1,0))</f>
        <v/>
      </c>
    </row>
    <row r="3823" customFormat="false" ht="15" hidden="false" customHeight="false" outlineLevel="0" collapsed="false">
      <c r="V3823" s="23" t="str">
        <f aca="false">IF(ISNUMBER(C3823),YEAR(C3823),"")</f>
        <v/>
      </c>
      <c r="W3823" s="23" t="str">
        <f aca="false">IF(ISNUMBER(C3823),MONTH(C3823),"")</f>
        <v/>
      </c>
      <c r="X3823" s="23" t="str">
        <f aca="false">IF(T3823="","",IF(T3823=0,"No discount",IF(T3823&lt;=0.2,"Low (1-20%)",IF(T3823&lt;=0.4,"Medium (21-40%)","High (&gt;40%)"))))</f>
        <v/>
      </c>
      <c r="Y3823" s="23" t="str">
        <f aca="false">IF(AND(ISNUMBER(C3823),ISNUMBER(D3823)),D3823-C3823,"")</f>
        <v/>
      </c>
      <c r="Z3823" s="23" t="str">
        <f aca="false">IF(B3823="","",IF(MATCH(B3823,$B$2:$B$12000,0)=ROW()-1,1,0))</f>
        <v/>
      </c>
    </row>
    <row r="3824" customFormat="false" ht="15" hidden="false" customHeight="false" outlineLevel="0" collapsed="false">
      <c r="V3824" s="23" t="str">
        <f aca="false">IF(ISNUMBER(C3824),YEAR(C3824),"")</f>
        <v/>
      </c>
      <c r="W3824" s="23" t="str">
        <f aca="false">IF(ISNUMBER(C3824),MONTH(C3824),"")</f>
        <v/>
      </c>
      <c r="X3824" s="23" t="str">
        <f aca="false">IF(T3824="","",IF(T3824=0,"No discount",IF(T3824&lt;=0.2,"Low (1-20%)",IF(T3824&lt;=0.4,"Medium (21-40%)","High (&gt;40%)"))))</f>
        <v/>
      </c>
      <c r="Y3824" s="23" t="str">
        <f aca="false">IF(AND(ISNUMBER(C3824),ISNUMBER(D3824)),D3824-C3824,"")</f>
        <v/>
      </c>
      <c r="Z3824" s="23" t="str">
        <f aca="false">IF(B3824="","",IF(MATCH(B3824,$B$2:$B$12000,0)=ROW()-1,1,0))</f>
        <v/>
      </c>
    </row>
    <row r="3825" customFormat="false" ht="15" hidden="false" customHeight="false" outlineLevel="0" collapsed="false">
      <c r="V3825" s="23" t="str">
        <f aca="false">IF(ISNUMBER(C3825),YEAR(C3825),"")</f>
        <v/>
      </c>
      <c r="W3825" s="23" t="str">
        <f aca="false">IF(ISNUMBER(C3825),MONTH(C3825),"")</f>
        <v/>
      </c>
      <c r="X3825" s="23" t="str">
        <f aca="false">IF(T3825="","",IF(T3825=0,"No discount",IF(T3825&lt;=0.2,"Low (1-20%)",IF(T3825&lt;=0.4,"Medium (21-40%)","High (&gt;40%)"))))</f>
        <v/>
      </c>
      <c r="Y3825" s="23" t="str">
        <f aca="false">IF(AND(ISNUMBER(C3825),ISNUMBER(D3825)),D3825-C3825,"")</f>
        <v/>
      </c>
      <c r="Z3825" s="23" t="str">
        <f aca="false">IF(B3825="","",IF(MATCH(B3825,$B$2:$B$12000,0)=ROW()-1,1,0))</f>
        <v/>
      </c>
    </row>
    <row r="3826" customFormat="false" ht="15" hidden="false" customHeight="false" outlineLevel="0" collapsed="false">
      <c r="V3826" s="23" t="str">
        <f aca="false">IF(ISNUMBER(C3826),YEAR(C3826),"")</f>
        <v/>
      </c>
      <c r="W3826" s="23" t="str">
        <f aca="false">IF(ISNUMBER(C3826),MONTH(C3826),"")</f>
        <v/>
      </c>
      <c r="X3826" s="23" t="str">
        <f aca="false">IF(T3826="","",IF(T3826=0,"No discount",IF(T3826&lt;=0.2,"Low (1-20%)",IF(T3826&lt;=0.4,"Medium (21-40%)","High (&gt;40%)"))))</f>
        <v/>
      </c>
      <c r="Y3826" s="23" t="str">
        <f aca="false">IF(AND(ISNUMBER(C3826),ISNUMBER(D3826)),D3826-C3826,"")</f>
        <v/>
      </c>
      <c r="Z3826" s="23" t="str">
        <f aca="false">IF(B3826="","",IF(MATCH(B3826,$B$2:$B$12000,0)=ROW()-1,1,0))</f>
        <v/>
      </c>
    </row>
    <row r="3827" customFormat="false" ht="15" hidden="false" customHeight="false" outlineLevel="0" collapsed="false">
      <c r="V3827" s="23" t="str">
        <f aca="false">IF(ISNUMBER(C3827),YEAR(C3827),"")</f>
        <v/>
      </c>
      <c r="W3827" s="23" t="str">
        <f aca="false">IF(ISNUMBER(C3827),MONTH(C3827),"")</f>
        <v/>
      </c>
      <c r="X3827" s="23" t="str">
        <f aca="false">IF(T3827="","",IF(T3827=0,"No discount",IF(T3827&lt;=0.2,"Low (1-20%)",IF(T3827&lt;=0.4,"Medium (21-40%)","High (&gt;40%)"))))</f>
        <v/>
      </c>
      <c r="Y3827" s="23" t="str">
        <f aca="false">IF(AND(ISNUMBER(C3827),ISNUMBER(D3827)),D3827-C3827,"")</f>
        <v/>
      </c>
      <c r="Z3827" s="23" t="str">
        <f aca="false">IF(B3827="","",IF(MATCH(B3827,$B$2:$B$12000,0)=ROW()-1,1,0))</f>
        <v/>
      </c>
    </row>
    <row r="3828" customFormat="false" ht="15" hidden="false" customHeight="false" outlineLevel="0" collapsed="false">
      <c r="V3828" s="23" t="str">
        <f aca="false">IF(ISNUMBER(C3828),YEAR(C3828),"")</f>
        <v/>
      </c>
      <c r="W3828" s="23" t="str">
        <f aca="false">IF(ISNUMBER(C3828),MONTH(C3828),"")</f>
        <v/>
      </c>
      <c r="X3828" s="23" t="str">
        <f aca="false">IF(T3828="","",IF(T3828=0,"No discount",IF(T3828&lt;=0.2,"Low (1-20%)",IF(T3828&lt;=0.4,"Medium (21-40%)","High (&gt;40%)"))))</f>
        <v/>
      </c>
      <c r="Y3828" s="23" t="str">
        <f aca="false">IF(AND(ISNUMBER(C3828),ISNUMBER(D3828)),D3828-C3828,"")</f>
        <v/>
      </c>
      <c r="Z3828" s="23" t="str">
        <f aca="false">IF(B3828="","",IF(MATCH(B3828,$B$2:$B$12000,0)=ROW()-1,1,0))</f>
        <v/>
      </c>
    </row>
    <row r="3829" customFormat="false" ht="15" hidden="false" customHeight="false" outlineLevel="0" collapsed="false">
      <c r="V3829" s="23" t="str">
        <f aca="false">IF(ISNUMBER(C3829),YEAR(C3829),"")</f>
        <v/>
      </c>
      <c r="W3829" s="23" t="str">
        <f aca="false">IF(ISNUMBER(C3829),MONTH(C3829),"")</f>
        <v/>
      </c>
      <c r="X3829" s="23" t="str">
        <f aca="false">IF(T3829="","",IF(T3829=0,"No discount",IF(T3829&lt;=0.2,"Low (1-20%)",IF(T3829&lt;=0.4,"Medium (21-40%)","High (&gt;40%)"))))</f>
        <v/>
      </c>
      <c r="Y3829" s="23" t="str">
        <f aca="false">IF(AND(ISNUMBER(C3829),ISNUMBER(D3829)),D3829-C3829,"")</f>
        <v/>
      </c>
      <c r="Z3829" s="23" t="str">
        <f aca="false">IF(B3829="","",IF(MATCH(B3829,$B$2:$B$12000,0)=ROW()-1,1,0))</f>
        <v/>
      </c>
    </row>
    <row r="3830" customFormat="false" ht="15" hidden="false" customHeight="false" outlineLevel="0" collapsed="false">
      <c r="V3830" s="23" t="str">
        <f aca="false">IF(ISNUMBER(C3830),YEAR(C3830),"")</f>
        <v/>
      </c>
      <c r="W3830" s="23" t="str">
        <f aca="false">IF(ISNUMBER(C3830),MONTH(C3830),"")</f>
        <v/>
      </c>
      <c r="X3830" s="23" t="str">
        <f aca="false">IF(T3830="","",IF(T3830=0,"No discount",IF(T3830&lt;=0.2,"Low (1-20%)",IF(T3830&lt;=0.4,"Medium (21-40%)","High (&gt;40%)"))))</f>
        <v/>
      </c>
      <c r="Y3830" s="23" t="str">
        <f aca="false">IF(AND(ISNUMBER(C3830),ISNUMBER(D3830)),D3830-C3830,"")</f>
        <v/>
      </c>
      <c r="Z3830" s="23" t="str">
        <f aca="false">IF(B3830="","",IF(MATCH(B3830,$B$2:$B$12000,0)=ROW()-1,1,0))</f>
        <v/>
      </c>
    </row>
    <row r="3831" customFormat="false" ht="15" hidden="false" customHeight="false" outlineLevel="0" collapsed="false">
      <c r="V3831" s="23" t="str">
        <f aca="false">IF(ISNUMBER(C3831),YEAR(C3831),"")</f>
        <v/>
      </c>
      <c r="W3831" s="23" t="str">
        <f aca="false">IF(ISNUMBER(C3831),MONTH(C3831),"")</f>
        <v/>
      </c>
      <c r="X3831" s="23" t="str">
        <f aca="false">IF(T3831="","",IF(T3831=0,"No discount",IF(T3831&lt;=0.2,"Low (1-20%)",IF(T3831&lt;=0.4,"Medium (21-40%)","High (&gt;40%)"))))</f>
        <v/>
      </c>
      <c r="Y3831" s="23" t="str">
        <f aca="false">IF(AND(ISNUMBER(C3831),ISNUMBER(D3831)),D3831-C3831,"")</f>
        <v/>
      </c>
      <c r="Z3831" s="23" t="str">
        <f aca="false">IF(B3831="","",IF(MATCH(B3831,$B$2:$B$12000,0)=ROW()-1,1,0))</f>
        <v/>
      </c>
    </row>
    <row r="3832" customFormat="false" ht="15" hidden="false" customHeight="false" outlineLevel="0" collapsed="false">
      <c r="V3832" s="23" t="str">
        <f aca="false">IF(ISNUMBER(C3832),YEAR(C3832),"")</f>
        <v/>
      </c>
      <c r="W3832" s="23" t="str">
        <f aca="false">IF(ISNUMBER(C3832),MONTH(C3832),"")</f>
        <v/>
      </c>
      <c r="X3832" s="23" t="str">
        <f aca="false">IF(T3832="","",IF(T3832=0,"No discount",IF(T3832&lt;=0.2,"Low (1-20%)",IF(T3832&lt;=0.4,"Medium (21-40%)","High (&gt;40%)"))))</f>
        <v/>
      </c>
      <c r="Y3832" s="23" t="str">
        <f aca="false">IF(AND(ISNUMBER(C3832),ISNUMBER(D3832)),D3832-C3832,"")</f>
        <v/>
      </c>
      <c r="Z3832" s="23" t="str">
        <f aca="false">IF(B3832="","",IF(MATCH(B3832,$B$2:$B$12000,0)=ROW()-1,1,0))</f>
        <v/>
      </c>
    </row>
    <row r="3833" customFormat="false" ht="15" hidden="false" customHeight="false" outlineLevel="0" collapsed="false">
      <c r="V3833" s="23" t="str">
        <f aca="false">IF(ISNUMBER(C3833),YEAR(C3833),"")</f>
        <v/>
      </c>
      <c r="W3833" s="23" t="str">
        <f aca="false">IF(ISNUMBER(C3833),MONTH(C3833),"")</f>
        <v/>
      </c>
      <c r="X3833" s="23" t="str">
        <f aca="false">IF(T3833="","",IF(T3833=0,"No discount",IF(T3833&lt;=0.2,"Low (1-20%)",IF(T3833&lt;=0.4,"Medium (21-40%)","High (&gt;40%)"))))</f>
        <v/>
      </c>
      <c r="Y3833" s="23" t="str">
        <f aca="false">IF(AND(ISNUMBER(C3833),ISNUMBER(D3833)),D3833-C3833,"")</f>
        <v/>
      </c>
      <c r="Z3833" s="23" t="str">
        <f aca="false">IF(B3833="","",IF(MATCH(B3833,$B$2:$B$12000,0)=ROW()-1,1,0))</f>
        <v/>
      </c>
    </row>
    <row r="3834" customFormat="false" ht="15" hidden="false" customHeight="false" outlineLevel="0" collapsed="false">
      <c r="V3834" s="23" t="str">
        <f aca="false">IF(ISNUMBER(C3834),YEAR(C3834),"")</f>
        <v/>
      </c>
      <c r="W3834" s="23" t="str">
        <f aca="false">IF(ISNUMBER(C3834),MONTH(C3834),"")</f>
        <v/>
      </c>
      <c r="X3834" s="23" t="str">
        <f aca="false">IF(T3834="","",IF(T3834=0,"No discount",IF(T3834&lt;=0.2,"Low (1-20%)",IF(T3834&lt;=0.4,"Medium (21-40%)","High (&gt;40%)"))))</f>
        <v/>
      </c>
      <c r="Y3834" s="23" t="str">
        <f aca="false">IF(AND(ISNUMBER(C3834),ISNUMBER(D3834)),D3834-C3834,"")</f>
        <v/>
      </c>
      <c r="Z3834" s="23" t="str">
        <f aca="false">IF(B3834="","",IF(MATCH(B3834,$B$2:$B$12000,0)=ROW()-1,1,0))</f>
        <v/>
      </c>
    </row>
    <row r="3835" customFormat="false" ht="15" hidden="false" customHeight="false" outlineLevel="0" collapsed="false">
      <c r="V3835" s="23" t="str">
        <f aca="false">IF(ISNUMBER(C3835),YEAR(C3835),"")</f>
        <v/>
      </c>
      <c r="W3835" s="23" t="str">
        <f aca="false">IF(ISNUMBER(C3835),MONTH(C3835),"")</f>
        <v/>
      </c>
      <c r="X3835" s="23" t="str">
        <f aca="false">IF(T3835="","",IF(T3835=0,"No discount",IF(T3835&lt;=0.2,"Low (1-20%)",IF(T3835&lt;=0.4,"Medium (21-40%)","High (&gt;40%)"))))</f>
        <v/>
      </c>
      <c r="Y3835" s="23" t="str">
        <f aca="false">IF(AND(ISNUMBER(C3835),ISNUMBER(D3835)),D3835-C3835,"")</f>
        <v/>
      </c>
      <c r="Z3835" s="23" t="str">
        <f aca="false">IF(B3835="","",IF(MATCH(B3835,$B$2:$B$12000,0)=ROW()-1,1,0))</f>
        <v/>
      </c>
    </row>
    <row r="3836" customFormat="false" ht="15" hidden="false" customHeight="false" outlineLevel="0" collapsed="false">
      <c r="V3836" s="23" t="str">
        <f aca="false">IF(ISNUMBER(C3836),YEAR(C3836),"")</f>
        <v/>
      </c>
      <c r="W3836" s="23" t="str">
        <f aca="false">IF(ISNUMBER(C3836),MONTH(C3836),"")</f>
        <v/>
      </c>
      <c r="X3836" s="23" t="str">
        <f aca="false">IF(T3836="","",IF(T3836=0,"No discount",IF(T3836&lt;=0.2,"Low (1-20%)",IF(T3836&lt;=0.4,"Medium (21-40%)","High (&gt;40%)"))))</f>
        <v/>
      </c>
      <c r="Y3836" s="23" t="str">
        <f aca="false">IF(AND(ISNUMBER(C3836),ISNUMBER(D3836)),D3836-C3836,"")</f>
        <v/>
      </c>
      <c r="Z3836" s="23" t="str">
        <f aca="false">IF(B3836="","",IF(MATCH(B3836,$B$2:$B$12000,0)=ROW()-1,1,0))</f>
        <v/>
      </c>
    </row>
    <row r="3837" customFormat="false" ht="15" hidden="false" customHeight="false" outlineLevel="0" collapsed="false">
      <c r="V3837" s="23" t="str">
        <f aca="false">IF(ISNUMBER(C3837),YEAR(C3837),"")</f>
        <v/>
      </c>
      <c r="W3837" s="23" t="str">
        <f aca="false">IF(ISNUMBER(C3837),MONTH(C3837),"")</f>
        <v/>
      </c>
      <c r="X3837" s="23" t="str">
        <f aca="false">IF(T3837="","",IF(T3837=0,"No discount",IF(T3837&lt;=0.2,"Low (1-20%)",IF(T3837&lt;=0.4,"Medium (21-40%)","High (&gt;40%)"))))</f>
        <v/>
      </c>
      <c r="Y3837" s="23" t="str">
        <f aca="false">IF(AND(ISNUMBER(C3837),ISNUMBER(D3837)),D3837-C3837,"")</f>
        <v/>
      </c>
      <c r="Z3837" s="23" t="str">
        <f aca="false">IF(B3837="","",IF(MATCH(B3837,$B$2:$B$12000,0)=ROW()-1,1,0))</f>
        <v/>
      </c>
    </row>
    <row r="3838" customFormat="false" ht="15" hidden="false" customHeight="false" outlineLevel="0" collapsed="false">
      <c r="V3838" s="23" t="str">
        <f aca="false">IF(ISNUMBER(C3838),YEAR(C3838),"")</f>
        <v/>
      </c>
      <c r="W3838" s="23" t="str">
        <f aca="false">IF(ISNUMBER(C3838),MONTH(C3838),"")</f>
        <v/>
      </c>
      <c r="X3838" s="23" t="str">
        <f aca="false">IF(T3838="","",IF(T3838=0,"No discount",IF(T3838&lt;=0.2,"Low (1-20%)",IF(T3838&lt;=0.4,"Medium (21-40%)","High (&gt;40%)"))))</f>
        <v/>
      </c>
      <c r="Y3838" s="23" t="str">
        <f aca="false">IF(AND(ISNUMBER(C3838),ISNUMBER(D3838)),D3838-C3838,"")</f>
        <v/>
      </c>
      <c r="Z3838" s="23" t="str">
        <f aca="false">IF(B3838="","",IF(MATCH(B3838,$B$2:$B$12000,0)=ROW()-1,1,0))</f>
        <v/>
      </c>
    </row>
    <row r="3839" customFormat="false" ht="15" hidden="false" customHeight="false" outlineLevel="0" collapsed="false">
      <c r="V3839" s="23" t="str">
        <f aca="false">IF(ISNUMBER(C3839),YEAR(C3839),"")</f>
        <v/>
      </c>
      <c r="W3839" s="23" t="str">
        <f aca="false">IF(ISNUMBER(C3839),MONTH(C3839),"")</f>
        <v/>
      </c>
      <c r="X3839" s="23" t="str">
        <f aca="false">IF(T3839="","",IF(T3839=0,"No discount",IF(T3839&lt;=0.2,"Low (1-20%)",IF(T3839&lt;=0.4,"Medium (21-40%)","High (&gt;40%)"))))</f>
        <v/>
      </c>
      <c r="Y3839" s="23" t="str">
        <f aca="false">IF(AND(ISNUMBER(C3839),ISNUMBER(D3839)),D3839-C3839,"")</f>
        <v/>
      </c>
      <c r="Z3839" s="23" t="str">
        <f aca="false">IF(B3839="","",IF(MATCH(B3839,$B$2:$B$12000,0)=ROW()-1,1,0))</f>
        <v/>
      </c>
    </row>
    <row r="3840" customFormat="false" ht="15" hidden="false" customHeight="false" outlineLevel="0" collapsed="false">
      <c r="V3840" s="23" t="str">
        <f aca="false">IF(ISNUMBER(C3840),YEAR(C3840),"")</f>
        <v/>
      </c>
      <c r="W3840" s="23" t="str">
        <f aca="false">IF(ISNUMBER(C3840),MONTH(C3840),"")</f>
        <v/>
      </c>
      <c r="X3840" s="23" t="str">
        <f aca="false">IF(T3840="","",IF(T3840=0,"No discount",IF(T3840&lt;=0.2,"Low (1-20%)",IF(T3840&lt;=0.4,"Medium (21-40%)","High (&gt;40%)"))))</f>
        <v/>
      </c>
      <c r="Y3840" s="23" t="str">
        <f aca="false">IF(AND(ISNUMBER(C3840),ISNUMBER(D3840)),D3840-C3840,"")</f>
        <v/>
      </c>
      <c r="Z3840" s="23" t="str">
        <f aca="false">IF(B3840="","",IF(MATCH(B3840,$B$2:$B$12000,0)=ROW()-1,1,0))</f>
        <v/>
      </c>
    </row>
    <row r="3841" customFormat="false" ht="15" hidden="false" customHeight="false" outlineLevel="0" collapsed="false">
      <c r="V3841" s="23" t="str">
        <f aca="false">IF(ISNUMBER(C3841),YEAR(C3841),"")</f>
        <v/>
      </c>
      <c r="W3841" s="23" t="str">
        <f aca="false">IF(ISNUMBER(C3841),MONTH(C3841),"")</f>
        <v/>
      </c>
      <c r="X3841" s="23" t="str">
        <f aca="false">IF(T3841="","",IF(T3841=0,"No discount",IF(T3841&lt;=0.2,"Low (1-20%)",IF(T3841&lt;=0.4,"Medium (21-40%)","High (&gt;40%)"))))</f>
        <v/>
      </c>
      <c r="Y3841" s="23" t="str">
        <f aca="false">IF(AND(ISNUMBER(C3841),ISNUMBER(D3841)),D3841-C3841,"")</f>
        <v/>
      </c>
      <c r="Z3841" s="23" t="str">
        <f aca="false">IF(B3841="","",IF(MATCH(B3841,$B$2:$B$12000,0)=ROW()-1,1,0))</f>
        <v/>
      </c>
    </row>
    <row r="3842" customFormat="false" ht="15" hidden="false" customHeight="false" outlineLevel="0" collapsed="false">
      <c r="V3842" s="23" t="str">
        <f aca="false">IF(ISNUMBER(C3842),YEAR(C3842),"")</f>
        <v/>
      </c>
      <c r="W3842" s="23" t="str">
        <f aca="false">IF(ISNUMBER(C3842),MONTH(C3842),"")</f>
        <v/>
      </c>
      <c r="X3842" s="23" t="str">
        <f aca="false">IF(T3842="","",IF(T3842=0,"No discount",IF(T3842&lt;=0.2,"Low (1-20%)",IF(T3842&lt;=0.4,"Medium (21-40%)","High (&gt;40%)"))))</f>
        <v/>
      </c>
      <c r="Y3842" s="23" t="str">
        <f aca="false">IF(AND(ISNUMBER(C3842),ISNUMBER(D3842)),D3842-C3842,"")</f>
        <v/>
      </c>
      <c r="Z3842" s="23" t="str">
        <f aca="false">IF(B3842="","",IF(MATCH(B3842,$B$2:$B$12000,0)=ROW()-1,1,0))</f>
        <v/>
      </c>
    </row>
    <row r="3843" customFormat="false" ht="15" hidden="false" customHeight="false" outlineLevel="0" collapsed="false">
      <c r="V3843" s="23" t="str">
        <f aca="false">IF(ISNUMBER(C3843),YEAR(C3843),"")</f>
        <v/>
      </c>
      <c r="W3843" s="23" t="str">
        <f aca="false">IF(ISNUMBER(C3843),MONTH(C3843),"")</f>
        <v/>
      </c>
      <c r="X3843" s="23" t="str">
        <f aca="false">IF(T3843="","",IF(T3843=0,"No discount",IF(T3843&lt;=0.2,"Low (1-20%)",IF(T3843&lt;=0.4,"Medium (21-40%)","High (&gt;40%)"))))</f>
        <v/>
      </c>
      <c r="Y3843" s="23" t="str">
        <f aca="false">IF(AND(ISNUMBER(C3843),ISNUMBER(D3843)),D3843-C3843,"")</f>
        <v/>
      </c>
      <c r="Z3843" s="23" t="str">
        <f aca="false">IF(B3843="","",IF(MATCH(B3843,$B$2:$B$12000,0)=ROW()-1,1,0))</f>
        <v/>
      </c>
    </row>
    <row r="3844" customFormat="false" ht="15" hidden="false" customHeight="false" outlineLevel="0" collapsed="false">
      <c r="V3844" s="23" t="str">
        <f aca="false">IF(ISNUMBER(C3844),YEAR(C3844),"")</f>
        <v/>
      </c>
      <c r="W3844" s="23" t="str">
        <f aca="false">IF(ISNUMBER(C3844),MONTH(C3844),"")</f>
        <v/>
      </c>
      <c r="X3844" s="23" t="str">
        <f aca="false">IF(T3844="","",IF(T3844=0,"No discount",IF(T3844&lt;=0.2,"Low (1-20%)",IF(T3844&lt;=0.4,"Medium (21-40%)","High (&gt;40%)"))))</f>
        <v/>
      </c>
      <c r="Y3844" s="23" t="str">
        <f aca="false">IF(AND(ISNUMBER(C3844),ISNUMBER(D3844)),D3844-C3844,"")</f>
        <v/>
      </c>
      <c r="Z3844" s="23" t="str">
        <f aca="false">IF(B3844="","",IF(MATCH(B3844,$B$2:$B$12000,0)=ROW()-1,1,0))</f>
        <v/>
      </c>
    </row>
    <row r="3845" customFormat="false" ht="15" hidden="false" customHeight="false" outlineLevel="0" collapsed="false">
      <c r="V3845" s="23" t="str">
        <f aca="false">IF(ISNUMBER(C3845),YEAR(C3845),"")</f>
        <v/>
      </c>
      <c r="W3845" s="23" t="str">
        <f aca="false">IF(ISNUMBER(C3845),MONTH(C3845),"")</f>
        <v/>
      </c>
      <c r="X3845" s="23" t="str">
        <f aca="false">IF(T3845="","",IF(T3845=0,"No discount",IF(T3845&lt;=0.2,"Low (1-20%)",IF(T3845&lt;=0.4,"Medium (21-40%)","High (&gt;40%)"))))</f>
        <v/>
      </c>
      <c r="Y3845" s="23" t="str">
        <f aca="false">IF(AND(ISNUMBER(C3845),ISNUMBER(D3845)),D3845-C3845,"")</f>
        <v/>
      </c>
      <c r="Z3845" s="23" t="str">
        <f aca="false">IF(B3845="","",IF(MATCH(B3845,$B$2:$B$12000,0)=ROW()-1,1,0))</f>
        <v/>
      </c>
    </row>
    <row r="3846" customFormat="false" ht="15" hidden="false" customHeight="false" outlineLevel="0" collapsed="false">
      <c r="V3846" s="23" t="str">
        <f aca="false">IF(ISNUMBER(C3846),YEAR(C3846),"")</f>
        <v/>
      </c>
      <c r="W3846" s="23" t="str">
        <f aca="false">IF(ISNUMBER(C3846),MONTH(C3846),"")</f>
        <v/>
      </c>
      <c r="X3846" s="23" t="str">
        <f aca="false">IF(T3846="","",IF(T3846=0,"No discount",IF(T3846&lt;=0.2,"Low (1-20%)",IF(T3846&lt;=0.4,"Medium (21-40%)","High (&gt;40%)"))))</f>
        <v/>
      </c>
      <c r="Y3846" s="23" t="str">
        <f aca="false">IF(AND(ISNUMBER(C3846),ISNUMBER(D3846)),D3846-C3846,"")</f>
        <v/>
      </c>
      <c r="Z3846" s="23" t="str">
        <f aca="false">IF(B3846="","",IF(MATCH(B3846,$B$2:$B$12000,0)=ROW()-1,1,0))</f>
        <v/>
      </c>
    </row>
    <row r="3847" customFormat="false" ht="15" hidden="false" customHeight="false" outlineLevel="0" collapsed="false">
      <c r="V3847" s="23" t="str">
        <f aca="false">IF(ISNUMBER(C3847),YEAR(C3847),"")</f>
        <v/>
      </c>
      <c r="W3847" s="23" t="str">
        <f aca="false">IF(ISNUMBER(C3847),MONTH(C3847),"")</f>
        <v/>
      </c>
      <c r="X3847" s="23" t="str">
        <f aca="false">IF(T3847="","",IF(T3847=0,"No discount",IF(T3847&lt;=0.2,"Low (1-20%)",IF(T3847&lt;=0.4,"Medium (21-40%)","High (&gt;40%)"))))</f>
        <v/>
      </c>
      <c r="Y3847" s="23" t="str">
        <f aca="false">IF(AND(ISNUMBER(C3847),ISNUMBER(D3847)),D3847-C3847,"")</f>
        <v/>
      </c>
      <c r="Z3847" s="23" t="str">
        <f aca="false">IF(B3847="","",IF(MATCH(B3847,$B$2:$B$12000,0)=ROW()-1,1,0))</f>
        <v/>
      </c>
    </row>
    <row r="3848" customFormat="false" ht="15" hidden="false" customHeight="false" outlineLevel="0" collapsed="false">
      <c r="V3848" s="23" t="str">
        <f aca="false">IF(ISNUMBER(C3848),YEAR(C3848),"")</f>
        <v/>
      </c>
      <c r="W3848" s="23" t="str">
        <f aca="false">IF(ISNUMBER(C3848),MONTH(C3848),"")</f>
        <v/>
      </c>
      <c r="X3848" s="23" t="str">
        <f aca="false">IF(T3848="","",IF(T3848=0,"No discount",IF(T3848&lt;=0.2,"Low (1-20%)",IF(T3848&lt;=0.4,"Medium (21-40%)","High (&gt;40%)"))))</f>
        <v/>
      </c>
      <c r="Y3848" s="23" t="str">
        <f aca="false">IF(AND(ISNUMBER(C3848),ISNUMBER(D3848)),D3848-C3848,"")</f>
        <v/>
      </c>
      <c r="Z3848" s="23" t="str">
        <f aca="false">IF(B3848="","",IF(MATCH(B3848,$B$2:$B$12000,0)=ROW()-1,1,0))</f>
        <v/>
      </c>
    </row>
    <row r="3849" customFormat="false" ht="15" hidden="false" customHeight="false" outlineLevel="0" collapsed="false">
      <c r="V3849" s="23" t="str">
        <f aca="false">IF(ISNUMBER(C3849),YEAR(C3849),"")</f>
        <v/>
      </c>
      <c r="W3849" s="23" t="str">
        <f aca="false">IF(ISNUMBER(C3849),MONTH(C3849),"")</f>
        <v/>
      </c>
      <c r="X3849" s="23" t="str">
        <f aca="false">IF(T3849="","",IF(T3849=0,"No discount",IF(T3849&lt;=0.2,"Low (1-20%)",IF(T3849&lt;=0.4,"Medium (21-40%)","High (&gt;40%)"))))</f>
        <v/>
      </c>
      <c r="Y3849" s="23" t="str">
        <f aca="false">IF(AND(ISNUMBER(C3849),ISNUMBER(D3849)),D3849-C3849,"")</f>
        <v/>
      </c>
      <c r="Z3849" s="23" t="str">
        <f aca="false">IF(B3849="","",IF(MATCH(B3849,$B$2:$B$12000,0)=ROW()-1,1,0))</f>
        <v/>
      </c>
    </row>
    <row r="3850" customFormat="false" ht="15" hidden="false" customHeight="false" outlineLevel="0" collapsed="false">
      <c r="V3850" s="23" t="str">
        <f aca="false">IF(ISNUMBER(C3850),YEAR(C3850),"")</f>
        <v/>
      </c>
      <c r="W3850" s="23" t="str">
        <f aca="false">IF(ISNUMBER(C3850),MONTH(C3850),"")</f>
        <v/>
      </c>
      <c r="X3850" s="23" t="str">
        <f aca="false">IF(T3850="","",IF(T3850=0,"No discount",IF(T3850&lt;=0.2,"Low (1-20%)",IF(T3850&lt;=0.4,"Medium (21-40%)","High (&gt;40%)"))))</f>
        <v/>
      </c>
      <c r="Y3850" s="23" t="str">
        <f aca="false">IF(AND(ISNUMBER(C3850),ISNUMBER(D3850)),D3850-C3850,"")</f>
        <v/>
      </c>
      <c r="Z3850" s="23" t="str">
        <f aca="false">IF(B3850="","",IF(MATCH(B3850,$B$2:$B$12000,0)=ROW()-1,1,0))</f>
        <v/>
      </c>
    </row>
    <row r="3851" customFormat="false" ht="15" hidden="false" customHeight="false" outlineLevel="0" collapsed="false">
      <c r="V3851" s="23" t="str">
        <f aca="false">IF(ISNUMBER(C3851),YEAR(C3851),"")</f>
        <v/>
      </c>
      <c r="W3851" s="23" t="str">
        <f aca="false">IF(ISNUMBER(C3851),MONTH(C3851),"")</f>
        <v/>
      </c>
      <c r="X3851" s="23" t="str">
        <f aca="false">IF(T3851="","",IF(T3851=0,"No discount",IF(T3851&lt;=0.2,"Low (1-20%)",IF(T3851&lt;=0.4,"Medium (21-40%)","High (&gt;40%)"))))</f>
        <v/>
      </c>
      <c r="Y3851" s="23" t="str">
        <f aca="false">IF(AND(ISNUMBER(C3851),ISNUMBER(D3851)),D3851-C3851,"")</f>
        <v/>
      </c>
      <c r="Z3851" s="23" t="str">
        <f aca="false">IF(B3851="","",IF(MATCH(B3851,$B$2:$B$12000,0)=ROW()-1,1,0))</f>
        <v/>
      </c>
    </row>
    <row r="3852" customFormat="false" ht="15" hidden="false" customHeight="false" outlineLevel="0" collapsed="false">
      <c r="V3852" s="23" t="str">
        <f aca="false">IF(ISNUMBER(C3852),YEAR(C3852),"")</f>
        <v/>
      </c>
      <c r="W3852" s="23" t="str">
        <f aca="false">IF(ISNUMBER(C3852),MONTH(C3852),"")</f>
        <v/>
      </c>
      <c r="X3852" s="23" t="str">
        <f aca="false">IF(T3852="","",IF(T3852=0,"No discount",IF(T3852&lt;=0.2,"Low (1-20%)",IF(T3852&lt;=0.4,"Medium (21-40%)","High (&gt;40%)"))))</f>
        <v/>
      </c>
      <c r="Y3852" s="23" t="str">
        <f aca="false">IF(AND(ISNUMBER(C3852),ISNUMBER(D3852)),D3852-C3852,"")</f>
        <v/>
      </c>
      <c r="Z3852" s="23" t="str">
        <f aca="false">IF(B3852="","",IF(MATCH(B3852,$B$2:$B$12000,0)=ROW()-1,1,0))</f>
        <v/>
      </c>
    </row>
    <row r="3853" customFormat="false" ht="15" hidden="false" customHeight="false" outlineLevel="0" collapsed="false">
      <c r="V3853" s="23" t="str">
        <f aca="false">IF(ISNUMBER(C3853),YEAR(C3853),"")</f>
        <v/>
      </c>
      <c r="W3853" s="23" t="str">
        <f aca="false">IF(ISNUMBER(C3853),MONTH(C3853),"")</f>
        <v/>
      </c>
      <c r="X3853" s="23" t="str">
        <f aca="false">IF(T3853="","",IF(T3853=0,"No discount",IF(T3853&lt;=0.2,"Low (1-20%)",IF(T3853&lt;=0.4,"Medium (21-40%)","High (&gt;40%)"))))</f>
        <v/>
      </c>
      <c r="Y3853" s="23" t="str">
        <f aca="false">IF(AND(ISNUMBER(C3853),ISNUMBER(D3853)),D3853-C3853,"")</f>
        <v/>
      </c>
      <c r="Z3853" s="23" t="str">
        <f aca="false">IF(B3853="","",IF(MATCH(B3853,$B$2:$B$12000,0)=ROW()-1,1,0))</f>
        <v/>
      </c>
    </row>
    <row r="3854" customFormat="false" ht="15" hidden="false" customHeight="false" outlineLevel="0" collapsed="false">
      <c r="V3854" s="23" t="str">
        <f aca="false">IF(ISNUMBER(C3854),YEAR(C3854),"")</f>
        <v/>
      </c>
      <c r="W3854" s="23" t="str">
        <f aca="false">IF(ISNUMBER(C3854),MONTH(C3854),"")</f>
        <v/>
      </c>
      <c r="X3854" s="23" t="str">
        <f aca="false">IF(T3854="","",IF(T3854=0,"No discount",IF(T3854&lt;=0.2,"Low (1-20%)",IF(T3854&lt;=0.4,"Medium (21-40%)","High (&gt;40%)"))))</f>
        <v/>
      </c>
      <c r="Y3854" s="23" t="str">
        <f aca="false">IF(AND(ISNUMBER(C3854),ISNUMBER(D3854)),D3854-C3854,"")</f>
        <v/>
      </c>
      <c r="Z3854" s="23" t="str">
        <f aca="false">IF(B3854="","",IF(MATCH(B3854,$B$2:$B$12000,0)=ROW()-1,1,0))</f>
        <v/>
      </c>
    </row>
    <row r="3855" customFormat="false" ht="15" hidden="false" customHeight="false" outlineLevel="0" collapsed="false">
      <c r="V3855" s="23" t="str">
        <f aca="false">IF(ISNUMBER(C3855),YEAR(C3855),"")</f>
        <v/>
      </c>
      <c r="W3855" s="23" t="str">
        <f aca="false">IF(ISNUMBER(C3855),MONTH(C3855),"")</f>
        <v/>
      </c>
      <c r="X3855" s="23" t="str">
        <f aca="false">IF(T3855="","",IF(T3855=0,"No discount",IF(T3855&lt;=0.2,"Low (1-20%)",IF(T3855&lt;=0.4,"Medium (21-40%)","High (&gt;40%)"))))</f>
        <v/>
      </c>
      <c r="Y3855" s="23" t="str">
        <f aca="false">IF(AND(ISNUMBER(C3855),ISNUMBER(D3855)),D3855-C3855,"")</f>
        <v/>
      </c>
      <c r="Z3855" s="23" t="str">
        <f aca="false">IF(B3855="","",IF(MATCH(B3855,$B$2:$B$12000,0)=ROW()-1,1,0))</f>
        <v/>
      </c>
    </row>
    <row r="3856" customFormat="false" ht="15" hidden="false" customHeight="false" outlineLevel="0" collapsed="false">
      <c r="V3856" s="23" t="str">
        <f aca="false">IF(ISNUMBER(C3856),YEAR(C3856),"")</f>
        <v/>
      </c>
      <c r="W3856" s="23" t="str">
        <f aca="false">IF(ISNUMBER(C3856),MONTH(C3856),"")</f>
        <v/>
      </c>
      <c r="X3856" s="23" t="str">
        <f aca="false">IF(T3856="","",IF(T3856=0,"No discount",IF(T3856&lt;=0.2,"Low (1-20%)",IF(T3856&lt;=0.4,"Medium (21-40%)","High (&gt;40%)"))))</f>
        <v/>
      </c>
      <c r="Y3856" s="23" t="str">
        <f aca="false">IF(AND(ISNUMBER(C3856),ISNUMBER(D3856)),D3856-C3856,"")</f>
        <v/>
      </c>
      <c r="Z3856" s="23" t="str">
        <f aca="false">IF(B3856="","",IF(MATCH(B3856,$B$2:$B$12000,0)=ROW()-1,1,0))</f>
        <v/>
      </c>
    </row>
    <row r="3857" customFormat="false" ht="15" hidden="false" customHeight="false" outlineLevel="0" collapsed="false">
      <c r="V3857" s="23" t="str">
        <f aca="false">IF(ISNUMBER(C3857),YEAR(C3857),"")</f>
        <v/>
      </c>
      <c r="W3857" s="23" t="str">
        <f aca="false">IF(ISNUMBER(C3857),MONTH(C3857),"")</f>
        <v/>
      </c>
      <c r="X3857" s="23" t="str">
        <f aca="false">IF(T3857="","",IF(T3857=0,"No discount",IF(T3857&lt;=0.2,"Low (1-20%)",IF(T3857&lt;=0.4,"Medium (21-40%)","High (&gt;40%)"))))</f>
        <v/>
      </c>
      <c r="Y3857" s="23" t="str">
        <f aca="false">IF(AND(ISNUMBER(C3857),ISNUMBER(D3857)),D3857-C3857,"")</f>
        <v/>
      </c>
      <c r="Z3857" s="23" t="str">
        <f aca="false">IF(B3857="","",IF(MATCH(B3857,$B$2:$B$12000,0)=ROW()-1,1,0))</f>
        <v/>
      </c>
    </row>
    <row r="3858" customFormat="false" ht="15" hidden="false" customHeight="false" outlineLevel="0" collapsed="false">
      <c r="V3858" s="23" t="str">
        <f aca="false">IF(ISNUMBER(C3858),YEAR(C3858),"")</f>
        <v/>
      </c>
      <c r="W3858" s="23" t="str">
        <f aca="false">IF(ISNUMBER(C3858),MONTH(C3858),"")</f>
        <v/>
      </c>
      <c r="X3858" s="23" t="str">
        <f aca="false">IF(T3858="","",IF(T3858=0,"No discount",IF(T3858&lt;=0.2,"Low (1-20%)",IF(T3858&lt;=0.4,"Medium (21-40%)","High (&gt;40%)"))))</f>
        <v/>
      </c>
      <c r="Y3858" s="23" t="str">
        <f aca="false">IF(AND(ISNUMBER(C3858),ISNUMBER(D3858)),D3858-C3858,"")</f>
        <v/>
      </c>
      <c r="Z3858" s="23" t="str">
        <f aca="false">IF(B3858="","",IF(MATCH(B3858,$B$2:$B$12000,0)=ROW()-1,1,0))</f>
        <v/>
      </c>
    </row>
    <row r="3859" customFormat="false" ht="15" hidden="false" customHeight="false" outlineLevel="0" collapsed="false">
      <c r="V3859" s="23" t="str">
        <f aca="false">IF(ISNUMBER(C3859),YEAR(C3859),"")</f>
        <v/>
      </c>
      <c r="W3859" s="23" t="str">
        <f aca="false">IF(ISNUMBER(C3859),MONTH(C3859),"")</f>
        <v/>
      </c>
      <c r="X3859" s="23" t="str">
        <f aca="false">IF(T3859="","",IF(T3859=0,"No discount",IF(T3859&lt;=0.2,"Low (1-20%)",IF(T3859&lt;=0.4,"Medium (21-40%)","High (&gt;40%)"))))</f>
        <v/>
      </c>
      <c r="Y3859" s="23" t="str">
        <f aca="false">IF(AND(ISNUMBER(C3859),ISNUMBER(D3859)),D3859-C3859,"")</f>
        <v/>
      </c>
      <c r="Z3859" s="23" t="str">
        <f aca="false">IF(B3859="","",IF(MATCH(B3859,$B$2:$B$12000,0)=ROW()-1,1,0))</f>
        <v/>
      </c>
    </row>
    <row r="3860" customFormat="false" ht="15" hidden="false" customHeight="false" outlineLevel="0" collapsed="false">
      <c r="V3860" s="23" t="str">
        <f aca="false">IF(ISNUMBER(C3860),YEAR(C3860),"")</f>
        <v/>
      </c>
      <c r="W3860" s="23" t="str">
        <f aca="false">IF(ISNUMBER(C3860),MONTH(C3860),"")</f>
        <v/>
      </c>
      <c r="X3860" s="23" t="str">
        <f aca="false">IF(T3860="","",IF(T3860=0,"No discount",IF(T3860&lt;=0.2,"Low (1-20%)",IF(T3860&lt;=0.4,"Medium (21-40%)","High (&gt;40%)"))))</f>
        <v/>
      </c>
      <c r="Y3860" s="23" t="str">
        <f aca="false">IF(AND(ISNUMBER(C3860),ISNUMBER(D3860)),D3860-C3860,"")</f>
        <v/>
      </c>
      <c r="Z3860" s="23" t="str">
        <f aca="false">IF(B3860="","",IF(MATCH(B3860,$B$2:$B$12000,0)=ROW()-1,1,0))</f>
        <v/>
      </c>
    </row>
    <row r="3861" customFormat="false" ht="15" hidden="false" customHeight="false" outlineLevel="0" collapsed="false">
      <c r="V3861" s="23" t="str">
        <f aca="false">IF(ISNUMBER(C3861),YEAR(C3861),"")</f>
        <v/>
      </c>
      <c r="W3861" s="23" t="str">
        <f aca="false">IF(ISNUMBER(C3861),MONTH(C3861),"")</f>
        <v/>
      </c>
      <c r="X3861" s="23" t="str">
        <f aca="false">IF(T3861="","",IF(T3861=0,"No discount",IF(T3861&lt;=0.2,"Low (1-20%)",IF(T3861&lt;=0.4,"Medium (21-40%)","High (&gt;40%)"))))</f>
        <v/>
      </c>
      <c r="Y3861" s="23" t="str">
        <f aca="false">IF(AND(ISNUMBER(C3861),ISNUMBER(D3861)),D3861-C3861,"")</f>
        <v/>
      </c>
      <c r="Z3861" s="23" t="str">
        <f aca="false">IF(B3861="","",IF(MATCH(B3861,$B$2:$B$12000,0)=ROW()-1,1,0))</f>
        <v/>
      </c>
    </row>
    <row r="3862" customFormat="false" ht="15" hidden="false" customHeight="false" outlineLevel="0" collapsed="false">
      <c r="V3862" s="23" t="str">
        <f aca="false">IF(ISNUMBER(C3862),YEAR(C3862),"")</f>
        <v/>
      </c>
      <c r="W3862" s="23" t="str">
        <f aca="false">IF(ISNUMBER(C3862),MONTH(C3862),"")</f>
        <v/>
      </c>
      <c r="X3862" s="23" t="str">
        <f aca="false">IF(T3862="","",IF(T3862=0,"No discount",IF(T3862&lt;=0.2,"Low (1-20%)",IF(T3862&lt;=0.4,"Medium (21-40%)","High (&gt;40%)"))))</f>
        <v/>
      </c>
      <c r="Y3862" s="23" t="str">
        <f aca="false">IF(AND(ISNUMBER(C3862),ISNUMBER(D3862)),D3862-C3862,"")</f>
        <v/>
      </c>
      <c r="Z3862" s="23" t="str">
        <f aca="false">IF(B3862="","",IF(MATCH(B3862,$B$2:$B$12000,0)=ROW()-1,1,0))</f>
        <v/>
      </c>
    </row>
    <row r="3863" customFormat="false" ht="15" hidden="false" customHeight="false" outlineLevel="0" collapsed="false">
      <c r="V3863" s="23" t="str">
        <f aca="false">IF(ISNUMBER(C3863),YEAR(C3863),"")</f>
        <v/>
      </c>
      <c r="W3863" s="23" t="str">
        <f aca="false">IF(ISNUMBER(C3863),MONTH(C3863),"")</f>
        <v/>
      </c>
      <c r="X3863" s="23" t="str">
        <f aca="false">IF(T3863="","",IF(T3863=0,"No discount",IF(T3863&lt;=0.2,"Low (1-20%)",IF(T3863&lt;=0.4,"Medium (21-40%)","High (&gt;40%)"))))</f>
        <v/>
      </c>
      <c r="Y3863" s="23" t="str">
        <f aca="false">IF(AND(ISNUMBER(C3863),ISNUMBER(D3863)),D3863-C3863,"")</f>
        <v/>
      </c>
      <c r="Z3863" s="23" t="str">
        <f aca="false">IF(B3863="","",IF(MATCH(B3863,$B$2:$B$12000,0)=ROW()-1,1,0))</f>
        <v/>
      </c>
    </row>
    <row r="3864" customFormat="false" ht="15" hidden="false" customHeight="false" outlineLevel="0" collapsed="false">
      <c r="V3864" s="23" t="str">
        <f aca="false">IF(ISNUMBER(C3864),YEAR(C3864),"")</f>
        <v/>
      </c>
      <c r="W3864" s="23" t="str">
        <f aca="false">IF(ISNUMBER(C3864),MONTH(C3864),"")</f>
        <v/>
      </c>
      <c r="X3864" s="23" t="str">
        <f aca="false">IF(T3864="","",IF(T3864=0,"No discount",IF(T3864&lt;=0.2,"Low (1-20%)",IF(T3864&lt;=0.4,"Medium (21-40%)","High (&gt;40%)"))))</f>
        <v/>
      </c>
      <c r="Y3864" s="23" t="str">
        <f aca="false">IF(AND(ISNUMBER(C3864),ISNUMBER(D3864)),D3864-C3864,"")</f>
        <v/>
      </c>
      <c r="Z3864" s="23" t="str">
        <f aca="false">IF(B3864="","",IF(MATCH(B3864,$B$2:$B$12000,0)=ROW()-1,1,0))</f>
        <v/>
      </c>
    </row>
    <row r="3865" customFormat="false" ht="15" hidden="false" customHeight="false" outlineLevel="0" collapsed="false">
      <c r="V3865" s="23" t="str">
        <f aca="false">IF(ISNUMBER(C3865),YEAR(C3865),"")</f>
        <v/>
      </c>
      <c r="W3865" s="23" t="str">
        <f aca="false">IF(ISNUMBER(C3865),MONTH(C3865),"")</f>
        <v/>
      </c>
      <c r="X3865" s="23" t="str">
        <f aca="false">IF(T3865="","",IF(T3865=0,"No discount",IF(T3865&lt;=0.2,"Low (1-20%)",IF(T3865&lt;=0.4,"Medium (21-40%)","High (&gt;40%)"))))</f>
        <v/>
      </c>
      <c r="Y3865" s="23" t="str">
        <f aca="false">IF(AND(ISNUMBER(C3865),ISNUMBER(D3865)),D3865-C3865,"")</f>
        <v/>
      </c>
      <c r="Z3865" s="23" t="str">
        <f aca="false">IF(B3865="","",IF(MATCH(B3865,$B$2:$B$12000,0)=ROW()-1,1,0))</f>
        <v/>
      </c>
    </row>
    <row r="3866" customFormat="false" ht="15" hidden="false" customHeight="false" outlineLevel="0" collapsed="false">
      <c r="V3866" s="23" t="str">
        <f aca="false">IF(ISNUMBER(C3866),YEAR(C3866),"")</f>
        <v/>
      </c>
      <c r="W3866" s="23" t="str">
        <f aca="false">IF(ISNUMBER(C3866),MONTH(C3866),"")</f>
        <v/>
      </c>
      <c r="X3866" s="23" t="str">
        <f aca="false">IF(T3866="","",IF(T3866=0,"No discount",IF(T3866&lt;=0.2,"Low (1-20%)",IF(T3866&lt;=0.4,"Medium (21-40%)","High (&gt;40%)"))))</f>
        <v/>
      </c>
      <c r="Y3866" s="23" t="str">
        <f aca="false">IF(AND(ISNUMBER(C3866),ISNUMBER(D3866)),D3866-C3866,"")</f>
        <v/>
      </c>
      <c r="Z3866" s="23" t="str">
        <f aca="false">IF(B3866="","",IF(MATCH(B3866,$B$2:$B$12000,0)=ROW()-1,1,0))</f>
        <v/>
      </c>
    </row>
    <row r="3867" customFormat="false" ht="15" hidden="false" customHeight="false" outlineLevel="0" collapsed="false">
      <c r="V3867" s="23" t="str">
        <f aca="false">IF(ISNUMBER(C3867),YEAR(C3867),"")</f>
        <v/>
      </c>
      <c r="W3867" s="23" t="str">
        <f aca="false">IF(ISNUMBER(C3867),MONTH(C3867),"")</f>
        <v/>
      </c>
      <c r="X3867" s="23" t="str">
        <f aca="false">IF(T3867="","",IF(T3867=0,"No discount",IF(T3867&lt;=0.2,"Low (1-20%)",IF(T3867&lt;=0.4,"Medium (21-40%)","High (&gt;40%)"))))</f>
        <v/>
      </c>
      <c r="Y3867" s="23" t="str">
        <f aca="false">IF(AND(ISNUMBER(C3867),ISNUMBER(D3867)),D3867-C3867,"")</f>
        <v/>
      </c>
      <c r="Z3867" s="23" t="str">
        <f aca="false">IF(B3867="","",IF(MATCH(B3867,$B$2:$B$12000,0)=ROW()-1,1,0))</f>
        <v/>
      </c>
    </row>
    <row r="3868" customFormat="false" ht="15" hidden="false" customHeight="false" outlineLevel="0" collapsed="false">
      <c r="V3868" s="23" t="str">
        <f aca="false">IF(ISNUMBER(C3868),YEAR(C3868),"")</f>
        <v/>
      </c>
      <c r="W3868" s="23" t="str">
        <f aca="false">IF(ISNUMBER(C3868),MONTH(C3868),"")</f>
        <v/>
      </c>
      <c r="X3868" s="23" t="str">
        <f aca="false">IF(T3868="","",IF(T3868=0,"No discount",IF(T3868&lt;=0.2,"Low (1-20%)",IF(T3868&lt;=0.4,"Medium (21-40%)","High (&gt;40%)"))))</f>
        <v/>
      </c>
      <c r="Y3868" s="23" t="str">
        <f aca="false">IF(AND(ISNUMBER(C3868),ISNUMBER(D3868)),D3868-C3868,"")</f>
        <v/>
      </c>
      <c r="Z3868" s="23" t="str">
        <f aca="false">IF(B3868="","",IF(MATCH(B3868,$B$2:$B$12000,0)=ROW()-1,1,0))</f>
        <v/>
      </c>
    </row>
    <row r="3869" customFormat="false" ht="15" hidden="false" customHeight="false" outlineLevel="0" collapsed="false">
      <c r="V3869" s="23" t="str">
        <f aca="false">IF(ISNUMBER(C3869),YEAR(C3869),"")</f>
        <v/>
      </c>
      <c r="W3869" s="23" t="str">
        <f aca="false">IF(ISNUMBER(C3869),MONTH(C3869),"")</f>
        <v/>
      </c>
      <c r="X3869" s="23" t="str">
        <f aca="false">IF(T3869="","",IF(T3869=0,"No discount",IF(T3869&lt;=0.2,"Low (1-20%)",IF(T3869&lt;=0.4,"Medium (21-40%)","High (&gt;40%)"))))</f>
        <v/>
      </c>
      <c r="Y3869" s="23" t="str">
        <f aca="false">IF(AND(ISNUMBER(C3869),ISNUMBER(D3869)),D3869-C3869,"")</f>
        <v/>
      </c>
      <c r="Z3869" s="23" t="str">
        <f aca="false">IF(B3869="","",IF(MATCH(B3869,$B$2:$B$12000,0)=ROW()-1,1,0))</f>
        <v/>
      </c>
    </row>
    <row r="3870" customFormat="false" ht="15" hidden="false" customHeight="false" outlineLevel="0" collapsed="false">
      <c r="V3870" s="23" t="str">
        <f aca="false">IF(ISNUMBER(C3870),YEAR(C3870),"")</f>
        <v/>
      </c>
      <c r="W3870" s="23" t="str">
        <f aca="false">IF(ISNUMBER(C3870),MONTH(C3870),"")</f>
        <v/>
      </c>
      <c r="X3870" s="23" t="str">
        <f aca="false">IF(T3870="","",IF(T3870=0,"No discount",IF(T3870&lt;=0.2,"Low (1-20%)",IF(T3870&lt;=0.4,"Medium (21-40%)","High (&gt;40%)"))))</f>
        <v/>
      </c>
      <c r="Y3870" s="23" t="str">
        <f aca="false">IF(AND(ISNUMBER(C3870),ISNUMBER(D3870)),D3870-C3870,"")</f>
        <v/>
      </c>
      <c r="Z3870" s="23" t="str">
        <f aca="false">IF(B3870="","",IF(MATCH(B3870,$B$2:$B$12000,0)=ROW()-1,1,0))</f>
        <v/>
      </c>
    </row>
    <row r="3871" customFormat="false" ht="15" hidden="false" customHeight="false" outlineLevel="0" collapsed="false">
      <c r="V3871" s="23" t="str">
        <f aca="false">IF(ISNUMBER(C3871),YEAR(C3871),"")</f>
        <v/>
      </c>
      <c r="W3871" s="23" t="str">
        <f aca="false">IF(ISNUMBER(C3871),MONTH(C3871),"")</f>
        <v/>
      </c>
      <c r="X3871" s="23" t="str">
        <f aca="false">IF(T3871="","",IF(T3871=0,"No discount",IF(T3871&lt;=0.2,"Low (1-20%)",IF(T3871&lt;=0.4,"Medium (21-40%)","High (&gt;40%)"))))</f>
        <v/>
      </c>
      <c r="Y3871" s="23" t="str">
        <f aca="false">IF(AND(ISNUMBER(C3871),ISNUMBER(D3871)),D3871-C3871,"")</f>
        <v/>
      </c>
      <c r="Z3871" s="23" t="str">
        <f aca="false">IF(B3871="","",IF(MATCH(B3871,$B$2:$B$12000,0)=ROW()-1,1,0))</f>
        <v/>
      </c>
    </row>
    <row r="3872" customFormat="false" ht="15" hidden="false" customHeight="false" outlineLevel="0" collapsed="false">
      <c r="V3872" s="23" t="str">
        <f aca="false">IF(ISNUMBER(C3872),YEAR(C3872),"")</f>
        <v/>
      </c>
      <c r="W3872" s="23" t="str">
        <f aca="false">IF(ISNUMBER(C3872),MONTH(C3872),"")</f>
        <v/>
      </c>
      <c r="X3872" s="23" t="str">
        <f aca="false">IF(T3872="","",IF(T3872=0,"No discount",IF(T3872&lt;=0.2,"Low (1-20%)",IF(T3872&lt;=0.4,"Medium (21-40%)","High (&gt;40%)"))))</f>
        <v/>
      </c>
      <c r="Y3872" s="23" t="str">
        <f aca="false">IF(AND(ISNUMBER(C3872),ISNUMBER(D3872)),D3872-C3872,"")</f>
        <v/>
      </c>
      <c r="Z3872" s="23" t="str">
        <f aca="false">IF(B3872="","",IF(MATCH(B3872,$B$2:$B$12000,0)=ROW()-1,1,0))</f>
        <v/>
      </c>
    </row>
    <row r="3873" customFormat="false" ht="15" hidden="false" customHeight="false" outlineLevel="0" collapsed="false">
      <c r="V3873" s="23" t="str">
        <f aca="false">IF(ISNUMBER(C3873),YEAR(C3873),"")</f>
        <v/>
      </c>
      <c r="W3873" s="23" t="str">
        <f aca="false">IF(ISNUMBER(C3873),MONTH(C3873),"")</f>
        <v/>
      </c>
      <c r="X3873" s="23" t="str">
        <f aca="false">IF(T3873="","",IF(T3873=0,"No discount",IF(T3873&lt;=0.2,"Low (1-20%)",IF(T3873&lt;=0.4,"Medium (21-40%)","High (&gt;40%)"))))</f>
        <v/>
      </c>
      <c r="Y3873" s="23" t="str">
        <f aca="false">IF(AND(ISNUMBER(C3873),ISNUMBER(D3873)),D3873-C3873,"")</f>
        <v/>
      </c>
      <c r="Z3873" s="23" t="str">
        <f aca="false">IF(B3873="","",IF(MATCH(B3873,$B$2:$B$12000,0)=ROW()-1,1,0))</f>
        <v/>
      </c>
    </row>
    <row r="3874" customFormat="false" ht="15" hidden="false" customHeight="false" outlineLevel="0" collapsed="false">
      <c r="V3874" s="23" t="str">
        <f aca="false">IF(ISNUMBER(C3874),YEAR(C3874),"")</f>
        <v/>
      </c>
      <c r="W3874" s="23" t="str">
        <f aca="false">IF(ISNUMBER(C3874),MONTH(C3874),"")</f>
        <v/>
      </c>
      <c r="X3874" s="23" t="str">
        <f aca="false">IF(T3874="","",IF(T3874=0,"No discount",IF(T3874&lt;=0.2,"Low (1-20%)",IF(T3874&lt;=0.4,"Medium (21-40%)","High (&gt;40%)"))))</f>
        <v/>
      </c>
      <c r="Y3874" s="23" t="str">
        <f aca="false">IF(AND(ISNUMBER(C3874),ISNUMBER(D3874)),D3874-C3874,"")</f>
        <v/>
      </c>
      <c r="Z3874" s="23" t="str">
        <f aca="false">IF(B3874="","",IF(MATCH(B3874,$B$2:$B$12000,0)=ROW()-1,1,0))</f>
        <v/>
      </c>
    </row>
    <row r="3875" customFormat="false" ht="15" hidden="false" customHeight="false" outlineLevel="0" collapsed="false">
      <c r="V3875" s="23" t="str">
        <f aca="false">IF(ISNUMBER(C3875),YEAR(C3875),"")</f>
        <v/>
      </c>
      <c r="W3875" s="23" t="str">
        <f aca="false">IF(ISNUMBER(C3875),MONTH(C3875),"")</f>
        <v/>
      </c>
      <c r="X3875" s="23" t="str">
        <f aca="false">IF(T3875="","",IF(T3875=0,"No discount",IF(T3875&lt;=0.2,"Low (1-20%)",IF(T3875&lt;=0.4,"Medium (21-40%)","High (&gt;40%)"))))</f>
        <v/>
      </c>
      <c r="Y3875" s="23" t="str">
        <f aca="false">IF(AND(ISNUMBER(C3875),ISNUMBER(D3875)),D3875-C3875,"")</f>
        <v/>
      </c>
      <c r="Z3875" s="23" t="str">
        <f aca="false">IF(B3875="","",IF(MATCH(B3875,$B$2:$B$12000,0)=ROW()-1,1,0))</f>
        <v/>
      </c>
    </row>
    <row r="3876" customFormat="false" ht="15" hidden="false" customHeight="false" outlineLevel="0" collapsed="false">
      <c r="V3876" s="23" t="str">
        <f aca="false">IF(ISNUMBER(C3876),YEAR(C3876),"")</f>
        <v/>
      </c>
      <c r="W3876" s="23" t="str">
        <f aca="false">IF(ISNUMBER(C3876),MONTH(C3876),"")</f>
        <v/>
      </c>
      <c r="X3876" s="23" t="str">
        <f aca="false">IF(T3876="","",IF(T3876=0,"No discount",IF(T3876&lt;=0.2,"Low (1-20%)",IF(T3876&lt;=0.4,"Medium (21-40%)","High (&gt;40%)"))))</f>
        <v/>
      </c>
      <c r="Y3876" s="23" t="str">
        <f aca="false">IF(AND(ISNUMBER(C3876),ISNUMBER(D3876)),D3876-C3876,"")</f>
        <v/>
      </c>
      <c r="Z3876" s="23" t="str">
        <f aca="false">IF(B3876="","",IF(MATCH(B3876,$B$2:$B$12000,0)=ROW()-1,1,0))</f>
        <v/>
      </c>
    </row>
    <row r="3877" customFormat="false" ht="15" hidden="false" customHeight="false" outlineLevel="0" collapsed="false">
      <c r="V3877" s="23" t="str">
        <f aca="false">IF(ISNUMBER(C3877),YEAR(C3877),"")</f>
        <v/>
      </c>
      <c r="W3877" s="23" t="str">
        <f aca="false">IF(ISNUMBER(C3877),MONTH(C3877),"")</f>
        <v/>
      </c>
      <c r="X3877" s="23" t="str">
        <f aca="false">IF(T3877="","",IF(T3877=0,"No discount",IF(T3877&lt;=0.2,"Low (1-20%)",IF(T3877&lt;=0.4,"Medium (21-40%)","High (&gt;40%)"))))</f>
        <v/>
      </c>
      <c r="Y3877" s="23" t="str">
        <f aca="false">IF(AND(ISNUMBER(C3877),ISNUMBER(D3877)),D3877-C3877,"")</f>
        <v/>
      </c>
      <c r="Z3877" s="23" t="str">
        <f aca="false">IF(B3877="","",IF(MATCH(B3877,$B$2:$B$12000,0)=ROW()-1,1,0))</f>
        <v/>
      </c>
    </row>
    <row r="3878" customFormat="false" ht="15" hidden="false" customHeight="false" outlineLevel="0" collapsed="false">
      <c r="V3878" s="23" t="str">
        <f aca="false">IF(ISNUMBER(C3878),YEAR(C3878),"")</f>
        <v/>
      </c>
      <c r="W3878" s="23" t="str">
        <f aca="false">IF(ISNUMBER(C3878),MONTH(C3878),"")</f>
        <v/>
      </c>
      <c r="X3878" s="23" t="str">
        <f aca="false">IF(T3878="","",IF(T3878=0,"No discount",IF(T3878&lt;=0.2,"Low (1-20%)",IF(T3878&lt;=0.4,"Medium (21-40%)","High (&gt;40%)"))))</f>
        <v/>
      </c>
      <c r="Y3878" s="23" t="str">
        <f aca="false">IF(AND(ISNUMBER(C3878),ISNUMBER(D3878)),D3878-C3878,"")</f>
        <v/>
      </c>
      <c r="Z3878" s="23" t="str">
        <f aca="false">IF(B3878="","",IF(MATCH(B3878,$B$2:$B$12000,0)=ROW()-1,1,0))</f>
        <v/>
      </c>
    </row>
    <row r="3879" customFormat="false" ht="15" hidden="false" customHeight="false" outlineLevel="0" collapsed="false">
      <c r="V3879" s="23" t="str">
        <f aca="false">IF(ISNUMBER(C3879),YEAR(C3879),"")</f>
        <v/>
      </c>
      <c r="W3879" s="23" t="str">
        <f aca="false">IF(ISNUMBER(C3879),MONTH(C3879),"")</f>
        <v/>
      </c>
      <c r="X3879" s="23" t="str">
        <f aca="false">IF(T3879="","",IF(T3879=0,"No discount",IF(T3879&lt;=0.2,"Low (1-20%)",IF(T3879&lt;=0.4,"Medium (21-40%)","High (&gt;40%)"))))</f>
        <v/>
      </c>
      <c r="Y3879" s="23" t="str">
        <f aca="false">IF(AND(ISNUMBER(C3879),ISNUMBER(D3879)),D3879-C3879,"")</f>
        <v/>
      </c>
      <c r="Z3879" s="23" t="str">
        <f aca="false">IF(B3879="","",IF(MATCH(B3879,$B$2:$B$12000,0)=ROW()-1,1,0))</f>
        <v/>
      </c>
    </row>
    <row r="3880" customFormat="false" ht="15" hidden="false" customHeight="false" outlineLevel="0" collapsed="false">
      <c r="V3880" s="23" t="str">
        <f aca="false">IF(ISNUMBER(C3880),YEAR(C3880),"")</f>
        <v/>
      </c>
      <c r="W3880" s="23" t="str">
        <f aca="false">IF(ISNUMBER(C3880),MONTH(C3880),"")</f>
        <v/>
      </c>
      <c r="X3880" s="23" t="str">
        <f aca="false">IF(T3880="","",IF(T3880=0,"No discount",IF(T3880&lt;=0.2,"Low (1-20%)",IF(T3880&lt;=0.4,"Medium (21-40%)","High (&gt;40%)"))))</f>
        <v/>
      </c>
      <c r="Y3880" s="23" t="str">
        <f aca="false">IF(AND(ISNUMBER(C3880),ISNUMBER(D3880)),D3880-C3880,"")</f>
        <v/>
      </c>
      <c r="Z3880" s="23" t="str">
        <f aca="false">IF(B3880="","",IF(MATCH(B3880,$B$2:$B$12000,0)=ROW()-1,1,0))</f>
        <v/>
      </c>
    </row>
    <row r="3881" customFormat="false" ht="15" hidden="false" customHeight="false" outlineLevel="0" collapsed="false">
      <c r="V3881" s="23" t="str">
        <f aca="false">IF(ISNUMBER(C3881),YEAR(C3881),"")</f>
        <v/>
      </c>
      <c r="W3881" s="23" t="str">
        <f aca="false">IF(ISNUMBER(C3881),MONTH(C3881),"")</f>
        <v/>
      </c>
      <c r="X3881" s="23" t="str">
        <f aca="false">IF(T3881="","",IF(T3881=0,"No discount",IF(T3881&lt;=0.2,"Low (1-20%)",IF(T3881&lt;=0.4,"Medium (21-40%)","High (&gt;40%)"))))</f>
        <v/>
      </c>
      <c r="Y3881" s="23" t="str">
        <f aca="false">IF(AND(ISNUMBER(C3881),ISNUMBER(D3881)),D3881-C3881,"")</f>
        <v/>
      </c>
      <c r="Z3881" s="23" t="str">
        <f aca="false">IF(B3881="","",IF(MATCH(B3881,$B$2:$B$12000,0)=ROW()-1,1,0))</f>
        <v/>
      </c>
    </row>
    <row r="3882" customFormat="false" ht="15" hidden="false" customHeight="false" outlineLevel="0" collapsed="false">
      <c r="V3882" s="23" t="str">
        <f aca="false">IF(ISNUMBER(C3882),YEAR(C3882),"")</f>
        <v/>
      </c>
      <c r="W3882" s="23" t="str">
        <f aca="false">IF(ISNUMBER(C3882),MONTH(C3882),"")</f>
        <v/>
      </c>
      <c r="X3882" s="23" t="str">
        <f aca="false">IF(T3882="","",IF(T3882=0,"No discount",IF(T3882&lt;=0.2,"Low (1-20%)",IF(T3882&lt;=0.4,"Medium (21-40%)","High (&gt;40%)"))))</f>
        <v/>
      </c>
      <c r="Y3882" s="23" t="str">
        <f aca="false">IF(AND(ISNUMBER(C3882),ISNUMBER(D3882)),D3882-C3882,"")</f>
        <v/>
      </c>
      <c r="Z3882" s="23" t="str">
        <f aca="false">IF(B3882="","",IF(MATCH(B3882,$B$2:$B$12000,0)=ROW()-1,1,0))</f>
        <v/>
      </c>
    </row>
    <row r="3883" customFormat="false" ht="15" hidden="false" customHeight="false" outlineLevel="0" collapsed="false">
      <c r="V3883" s="23" t="str">
        <f aca="false">IF(ISNUMBER(C3883),YEAR(C3883),"")</f>
        <v/>
      </c>
      <c r="W3883" s="23" t="str">
        <f aca="false">IF(ISNUMBER(C3883),MONTH(C3883),"")</f>
        <v/>
      </c>
      <c r="X3883" s="23" t="str">
        <f aca="false">IF(T3883="","",IF(T3883=0,"No discount",IF(T3883&lt;=0.2,"Low (1-20%)",IF(T3883&lt;=0.4,"Medium (21-40%)","High (&gt;40%)"))))</f>
        <v/>
      </c>
      <c r="Y3883" s="23" t="str">
        <f aca="false">IF(AND(ISNUMBER(C3883),ISNUMBER(D3883)),D3883-C3883,"")</f>
        <v/>
      </c>
      <c r="Z3883" s="23" t="str">
        <f aca="false">IF(B3883="","",IF(MATCH(B3883,$B$2:$B$12000,0)=ROW()-1,1,0))</f>
        <v/>
      </c>
    </row>
    <row r="3884" customFormat="false" ht="15" hidden="false" customHeight="false" outlineLevel="0" collapsed="false">
      <c r="V3884" s="23" t="str">
        <f aca="false">IF(ISNUMBER(C3884),YEAR(C3884),"")</f>
        <v/>
      </c>
      <c r="W3884" s="23" t="str">
        <f aca="false">IF(ISNUMBER(C3884),MONTH(C3884),"")</f>
        <v/>
      </c>
      <c r="X3884" s="23" t="str">
        <f aca="false">IF(T3884="","",IF(T3884=0,"No discount",IF(T3884&lt;=0.2,"Low (1-20%)",IF(T3884&lt;=0.4,"Medium (21-40%)","High (&gt;40%)"))))</f>
        <v/>
      </c>
      <c r="Y3884" s="23" t="str">
        <f aca="false">IF(AND(ISNUMBER(C3884),ISNUMBER(D3884)),D3884-C3884,"")</f>
        <v/>
      </c>
      <c r="Z3884" s="23" t="str">
        <f aca="false">IF(B3884="","",IF(MATCH(B3884,$B$2:$B$12000,0)=ROW()-1,1,0))</f>
        <v/>
      </c>
    </row>
    <row r="3885" customFormat="false" ht="15" hidden="false" customHeight="false" outlineLevel="0" collapsed="false">
      <c r="V3885" s="23" t="str">
        <f aca="false">IF(ISNUMBER(C3885),YEAR(C3885),"")</f>
        <v/>
      </c>
      <c r="W3885" s="23" t="str">
        <f aca="false">IF(ISNUMBER(C3885),MONTH(C3885),"")</f>
        <v/>
      </c>
      <c r="X3885" s="23" t="str">
        <f aca="false">IF(T3885="","",IF(T3885=0,"No discount",IF(T3885&lt;=0.2,"Low (1-20%)",IF(T3885&lt;=0.4,"Medium (21-40%)","High (&gt;40%)"))))</f>
        <v/>
      </c>
      <c r="Y3885" s="23" t="str">
        <f aca="false">IF(AND(ISNUMBER(C3885),ISNUMBER(D3885)),D3885-C3885,"")</f>
        <v/>
      </c>
      <c r="Z3885" s="23" t="str">
        <f aca="false">IF(B3885="","",IF(MATCH(B3885,$B$2:$B$12000,0)=ROW()-1,1,0))</f>
        <v/>
      </c>
    </row>
    <row r="3886" customFormat="false" ht="15" hidden="false" customHeight="false" outlineLevel="0" collapsed="false">
      <c r="V3886" s="23" t="str">
        <f aca="false">IF(ISNUMBER(C3886),YEAR(C3886),"")</f>
        <v/>
      </c>
      <c r="W3886" s="23" t="str">
        <f aca="false">IF(ISNUMBER(C3886),MONTH(C3886),"")</f>
        <v/>
      </c>
      <c r="X3886" s="23" t="str">
        <f aca="false">IF(T3886="","",IF(T3886=0,"No discount",IF(T3886&lt;=0.2,"Low (1-20%)",IF(T3886&lt;=0.4,"Medium (21-40%)","High (&gt;40%)"))))</f>
        <v/>
      </c>
      <c r="Y3886" s="23" t="str">
        <f aca="false">IF(AND(ISNUMBER(C3886),ISNUMBER(D3886)),D3886-C3886,"")</f>
        <v/>
      </c>
      <c r="Z3886" s="23" t="str">
        <f aca="false">IF(B3886="","",IF(MATCH(B3886,$B$2:$B$12000,0)=ROW()-1,1,0))</f>
        <v/>
      </c>
    </row>
    <row r="3887" customFormat="false" ht="15" hidden="false" customHeight="false" outlineLevel="0" collapsed="false">
      <c r="V3887" s="23" t="str">
        <f aca="false">IF(ISNUMBER(C3887),YEAR(C3887),"")</f>
        <v/>
      </c>
      <c r="W3887" s="23" t="str">
        <f aca="false">IF(ISNUMBER(C3887),MONTH(C3887),"")</f>
        <v/>
      </c>
      <c r="X3887" s="23" t="str">
        <f aca="false">IF(T3887="","",IF(T3887=0,"No discount",IF(T3887&lt;=0.2,"Low (1-20%)",IF(T3887&lt;=0.4,"Medium (21-40%)","High (&gt;40%)"))))</f>
        <v/>
      </c>
      <c r="Y3887" s="23" t="str">
        <f aca="false">IF(AND(ISNUMBER(C3887),ISNUMBER(D3887)),D3887-C3887,"")</f>
        <v/>
      </c>
      <c r="Z3887" s="23" t="str">
        <f aca="false">IF(B3887="","",IF(MATCH(B3887,$B$2:$B$12000,0)=ROW()-1,1,0))</f>
        <v/>
      </c>
    </row>
    <row r="3888" customFormat="false" ht="15" hidden="false" customHeight="false" outlineLevel="0" collapsed="false">
      <c r="V3888" s="23" t="str">
        <f aca="false">IF(ISNUMBER(C3888),YEAR(C3888),"")</f>
        <v/>
      </c>
      <c r="W3888" s="23" t="str">
        <f aca="false">IF(ISNUMBER(C3888),MONTH(C3888),"")</f>
        <v/>
      </c>
      <c r="X3888" s="23" t="str">
        <f aca="false">IF(T3888="","",IF(T3888=0,"No discount",IF(T3888&lt;=0.2,"Low (1-20%)",IF(T3888&lt;=0.4,"Medium (21-40%)","High (&gt;40%)"))))</f>
        <v/>
      </c>
      <c r="Y3888" s="23" t="str">
        <f aca="false">IF(AND(ISNUMBER(C3888),ISNUMBER(D3888)),D3888-C3888,"")</f>
        <v/>
      </c>
      <c r="Z3888" s="23" t="str">
        <f aca="false">IF(B3888="","",IF(MATCH(B3888,$B$2:$B$12000,0)=ROW()-1,1,0))</f>
        <v/>
      </c>
    </row>
    <row r="3889" customFormat="false" ht="15" hidden="false" customHeight="false" outlineLevel="0" collapsed="false">
      <c r="V3889" s="23" t="str">
        <f aca="false">IF(ISNUMBER(C3889),YEAR(C3889),"")</f>
        <v/>
      </c>
      <c r="W3889" s="23" t="str">
        <f aca="false">IF(ISNUMBER(C3889),MONTH(C3889),"")</f>
        <v/>
      </c>
      <c r="X3889" s="23" t="str">
        <f aca="false">IF(T3889="","",IF(T3889=0,"No discount",IF(T3889&lt;=0.2,"Low (1-20%)",IF(T3889&lt;=0.4,"Medium (21-40%)","High (&gt;40%)"))))</f>
        <v/>
      </c>
      <c r="Y3889" s="23" t="str">
        <f aca="false">IF(AND(ISNUMBER(C3889),ISNUMBER(D3889)),D3889-C3889,"")</f>
        <v/>
      </c>
      <c r="Z3889" s="23" t="str">
        <f aca="false">IF(B3889="","",IF(MATCH(B3889,$B$2:$B$12000,0)=ROW()-1,1,0))</f>
        <v/>
      </c>
    </row>
    <row r="3890" customFormat="false" ht="15" hidden="false" customHeight="false" outlineLevel="0" collapsed="false">
      <c r="V3890" s="23" t="str">
        <f aca="false">IF(ISNUMBER(C3890),YEAR(C3890),"")</f>
        <v/>
      </c>
      <c r="W3890" s="23" t="str">
        <f aca="false">IF(ISNUMBER(C3890),MONTH(C3890),"")</f>
        <v/>
      </c>
      <c r="X3890" s="23" t="str">
        <f aca="false">IF(T3890="","",IF(T3890=0,"No discount",IF(T3890&lt;=0.2,"Low (1-20%)",IF(T3890&lt;=0.4,"Medium (21-40%)","High (&gt;40%)"))))</f>
        <v/>
      </c>
      <c r="Y3890" s="23" t="str">
        <f aca="false">IF(AND(ISNUMBER(C3890),ISNUMBER(D3890)),D3890-C3890,"")</f>
        <v/>
      </c>
      <c r="Z3890" s="23" t="str">
        <f aca="false">IF(B3890="","",IF(MATCH(B3890,$B$2:$B$12000,0)=ROW()-1,1,0))</f>
        <v/>
      </c>
    </row>
    <row r="3891" customFormat="false" ht="15" hidden="false" customHeight="false" outlineLevel="0" collapsed="false">
      <c r="V3891" s="23" t="str">
        <f aca="false">IF(ISNUMBER(C3891),YEAR(C3891),"")</f>
        <v/>
      </c>
      <c r="W3891" s="23" t="str">
        <f aca="false">IF(ISNUMBER(C3891),MONTH(C3891),"")</f>
        <v/>
      </c>
      <c r="X3891" s="23" t="str">
        <f aca="false">IF(T3891="","",IF(T3891=0,"No discount",IF(T3891&lt;=0.2,"Low (1-20%)",IF(T3891&lt;=0.4,"Medium (21-40%)","High (&gt;40%)"))))</f>
        <v/>
      </c>
      <c r="Y3891" s="23" t="str">
        <f aca="false">IF(AND(ISNUMBER(C3891),ISNUMBER(D3891)),D3891-C3891,"")</f>
        <v/>
      </c>
      <c r="Z3891" s="23" t="str">
        <f aca="false">IF(B3891="","",IF(MATCH(B3891,$B$2:$B$12000,0)=ROW()-1,1,0))</f>
        <v/>
      </c>
    </row>
    <row r="3892" customFormat="false" ht="15" hidden="false" customHeight="false" outlineLevel="0" collapsed="false">
      <c r="V3892" s="23" t="str">
        <f aca="false">IF(ISNUMBER(C3892),YEAR(C3892),"")</f>
        <v/>
      </c>
      <c r="W3892" s="23" t="str">
        <f aca="false">IF(ISNUMBER(C3892),MONTH(C3892),"")</f>
        <v/>
      </c>
      <c r="X3892" s="23" t="str">
        <f aca="false">IF(T3892="","",IF(T3892=0,"No discount",IF(T3892&lt;=0.2,"Low (1-20%)",IF(T3892&lt;=0.4,"Medium (21-40%)","High (&gt;40%)"))))</f>
        <v/>
      </c>
      <c r="Y3892" s="23" t="str">
        <f aca="false">IF(AND(ISNUMBER(C3892),ISNUMBER(D3892)),D3892-C3892,"")</f>
        <v/>
      </c>
      <c r="Z3892" s="23" t="str">
        <f aca="false">IF(B3892="","",IF(MATCH(B3892,$B$2:$B$12000,0)=ROW()-1,1,0))</f>
        <v/>
      </c>
    </row>
    <row r="3893" customFormat="false" ht="15" hidden="false" customHeight="false" outlineLevel="0" collapsed="false">
      <c r="V3893" s="23" t="str">
        <f aca="false">IF(ISNUMBER(C3893),YEAR(C3893),"")</f>
        <v/>
      </c>
      <c r="W3893" s="23" t="str">
        <f aca="false">IF(ISNUMBER(C3893),MONTH(C3893),"")</f>
        <v/>
      </c>
      <c r="X3893" s="23" t="str">
        <f aca="false">IF(T3893="","",IF(T3893=0,"No discount",IF(T3893&lt;=0.2,"Low (1-20%)",IF(T3893&lt;=0.4,"Medium (21-40%)","High (&gt;40%)"))))</f>
        <v/>
      </c>
      <c r="Y3893" s="23" t="str">
        <f aca="false">IF(AND(ISNUMBER(C3893),ISNUMBER(D3893)),D3893-C3893,"")</f>
        <v/>
      </c>
      <c r="Z3893" s="23" t="str">
        <f aca="false">IF(B3893="","",IF(MATCH(B3893,$B$2:$B$12000,0)=ROW()-1,1,0))</f>
        <v/>
      </c>
    </row>
    <row r="3894" customFormat="false" ht="15" hidden="false" customHeight="false" outlineLevel="0" collapsed="false">
      <c r="V3894" s="23" t="str">
        <f aca="false">IF(ISNUMBER(C3894),YEAR(C3894),"")</f>
        <v/>
      </c>
      <c r="W3894" s="23" t="str">
        <f aca="false">IF(ISNUMBER(C3894),MONTH(C3894),"")</f>
        <v/>
      </c>
      <c r="X3894" s="23" t="str">
        <f aca="false">IF(T3894="","",IF(T3894=0,"No discount",IF(T3894&lt;=0.2,"Low (1-20%)",IF(T3894&lt;=0.4,"Medium (21-40%)","High (&gt;40%)"))))</f>
        <v/>
      </c>
      <c r="Y3894" s="23" t="str">
        <f aca="false">IF(AND(ISNUMBER(C3894),ISNUMBER(D3894)),D3894-C3894,"")</f>
        <v/>
      </c>
      <c r="Z3894" s="23" t="str">
        <f aca="false">IF(B3894="","",IF(MATCH(B3894,$B$2:$B$12000,0)=ROW()-1,1,0))</f>
        <v/>
      </c>
    </row>
    <row r="3895" customFormat="false" ht="15" hidden="false" customHeight="false" outlineLevel="0" collapsed="false">
      <c r="V3895" s="23" t="str">
        <f aca="false">IF(ISNUMBER(C3895),YEAR(C3895),"")</f>
        <v/>
      </c>
      <c r="W3895" s="23" t="str">
        <f aca="false">IF(ISNUMBER(C3895),MONTH(C3895),"")</f>
        <v/>
      </c>
      <c r="X3895" s="23" t="str">
        <f aca="false">IF(T3895="","",IF(T3895=0,"No discount",IF(T3895&lt;=0.2,"Low (1-20%)",IF(T3895&lt;=0.4,"Medium (21-40%)","High (&gt;40%)"))))</f>
        <v/>
      </c>
      <c r="Y3895" s="23" t="str">
        <f aca="false">IF(AND(ISNUMBER(C3895),ISNUMBER(D3895)),D3895-C3895,"")</f>
        <v/>
      </c>
      <c r="Z3895" s="23" t="str">
        <f aca="false">IF(B3895="","",IF(MATCH(B3895,$B$2:$B$12000,0)=ROW()-1,1,0))</f>
        <v/>
      </c>
    </row>
    <row r="3896" customFormat="false" ht="15" hidden="false" customHeight="false" outlineLevel="0" collapsed="false">
      <c r="V3896" s="23" t="str">
        <f aca="false">IF(ISNUMBER(C3896),YEAR(C3896),"")</f>
        <v/>
      </c>
      <c r="W3896" s="23" t="str">
        <f aca="false">IF(ISNUMBER(C3896),MONTH(C3896),"")</f>
        <v/>
      </c>
      <c r="X3896" s="23" t="str">
        <f aca="false">IF(T3896="","",IF(T3896=0,"No discount",IF(T3896&lt;=0.2,"Low (1-20%)",IF(T3896&lt;=0.4,"Medium (21-40%)","High (&gt;40%)"))))</f>
        <v/>
      </c>
      <c r="Y3896" s="23" t="str">
        <f aca="false">IF(AND(ISNUMBER(C3896),ISNUMBER(D3896)),D3896-C3896,"")</f>
        <v/>
      </c>
      <c r="Z3896" s="23" t="str">
        <f aca="false">IF(B3896="","",IF(MATCH(B3896,$B$2:$B$12000,0)=ROW()-1,1,0))</f>
        <v/>
      </c>
    </row>
    <row r="3897" customFormat="false" ht="15" hidden="false" customHeight="false" outlineLevel="0" collapsed="false">
      <c r="V3897" s="23" t="str">
        <f aca="false">IF(ISNUMBER(C3897),YEAR(C3897),"")</f>
        <v/>
      </c>
      <c r="W3897" s="23" t="str">
        <f aca="false">IF(ISNUMBER(C3897),MONTH(C3897),"")</f>
        <v/>
      </c>
      <c r="X3897" s="23" t="str">
        <f aca="false">IF(T3897="","",IF(T3897=0,"No discount",IF(T3897&lt;=0.2,"Low (1-20%)",IF(T3897&lt;=0.4,"Medium (21-40%)","High (&gt;40%)"))))</f>
        <v/>
      </c>
      <c r="Y3897" s="23" t="str">
        <f aca="false">IF(AND(ISNUMBER(C3897),ISNUMBER(D3897)),D3897-C3897,"")</f>
        <v/>
      </c>
      <c r="Z3897" s="23" t="str">
        <f aca="false">IF(B3897="","",IF(MATCH(B3897,$B$2:$B$12000,0)=ROW()-1,1,0))</f>
        <v/>
      </c>
    </row>
    <row r="3898" customFormat="false" ht="15" hidden="false" customHeight="false" outlineLevel="0" collapsed="false">
      <c r="V3898" s="23" t="str">
        <f aca="false">IF(ISNUMBER(C3898),YEAR(C3898),"")</f>
        <v/>
      </c>
      <c r="W3898" s="23" t="str">
        <f aca="false">IF(ISNUMBER(C3898),MONTH(C3898),"")</f>
        <v/>
      </c>
      <c r="X3898" s="23" t="str">
        <f aca="false">IF(T3898="","",IF(T3898=0,"No discount",IF(T3898&lt;=0.2,"Low (1-20%)",IF(T3898&lt;=0.4,"Medium (21-40%)","High (&gt;40%)"))))</f>
        <v/>
      </c>
      <c r="Y3898" s="23" t="str">
        <f aca="false">IF(AND(ISNUMBER(C3898),ISNUMBER(D3898)),D3898-C3898,"")</f>
        <v/>
      </c>
      <c r="Z3898" s="23" t="str">
        <f aca="false">IF(B3898="","",IF(MATCH(B3898,$B$2:$B$12000,0)=ROW()-1,1,0))</f>
        <v/>
      </c>
    </row>
    <row r="3899" customFormat="false" ht="15" hidden="false" customHeight="false" outlineLevel="0" collapsed="false">
      <c r="V3899" s="23" t="str">
        <f aca="false">IF(ISNUMBER(C3899),YEAR(C3899),"")</f>
        <v/>
      </c>
      <c r="W3899" s="23" t="str">
        <f aca="false">IF(ISNUMBER(C3899),MONTH(C3899),"")</f>
        <v/>
      </c>
      <c r="X3899" s="23" t="str">
        <f aca="false">IF(T3899="","",IF(T3899=0,"No discount",IF(T3899&lt;=0.2,"Low (1-20%)",IF(T3899&lt;=0.4,"Medium (21-40%)","High (&gt;40%)"))))</f>
        <v/>
      </c>
      <c r="Y3899" s="23" t="str">
        <f aca="false">IF(AND(ISNUMBER(C3899),ISNUMBER(D3899)),D3899-C3899,"")</f>
        <v/>
      </c>
      <c r="Z3899" s="23" t="str">
        <f aca="false">IF(B3899="","",IF(MATCH(B3899,$B$2:$B$12000,0)=ROW()-1,1,0))</f>
        <v/>
      </c>
    </row>
    <row r="3900" customFormat="false" ht="15" hidden="false" customHeight="false" outlineLevel="0" collapsed="false">
      <c r="V3900" s="23" t="str">
        <f aca="false">IF(ISNUMBER(C3900),YEAR(C3900),"")</f>
        <v/>
      </c>
      <c r="W3900" s="23" t="str">
        <f aca="false">IF(ISNUMBER(C3900),MONTH(C3900),"")</f>
        <v/>
      </c>
      <c r="X3900" s="23" t="str">
        <f aca="false">IF(T3900="","",IF(T3900=0,"No discount",IF(T3900&lt;=0.2,"Low (1-20%)",IF(T3900&lt;=0.4,"Medium (21-40%)","High (&gt;40%)"))))</f>
        <v/>
      </c>
      <c r="Y3900" s="23" t="str">
        <f aca="false">IF(AND(ISNUMBER(C3900),ISNUMBER(D3900)),D3900-C3900,"")</f>
        <v/>
      </c>
      <c r="Z3900" s="23" t="str">
        <f aca="false">IF(B3900="","",IF(MATCH(B3900,$B$2:$B$12000,0)=ROW()-1,1,0))</f>
        <v/>
      </c>
    </row>
    <row r="3901" customFormat="false" ht="15" hidden="false" customHeight="false" outlineLevel="0" collapsed="false">
      <c r="V3901" s="23" t="str">
        <f aca="false">IF(ISNUMBER(C3901),YEAR(C3901),"")</f>
        <v/>
      </c>
      <c r="W3901" s="23" t="str">
        <f aca="false">IF(ISNUMBER(C3901),MONTH(C3901),"")</f>
        <v/>
      </c>
      <c r="X3901" s="23" t="str">
        <f aca="false">IF(T3901="","",IF(T3901=0,"No discount",IF(T3901&lt;=0.2,"Low (1-20%)",IF(T3901&lt;=0.4,"Medium (21-40%)","High (&gt;40%)"))))</f>
        <v/>
      </c>
      <c r="Y3901" s="23" t="str">
        <f aca="false">IF(AND(ISNUMBER(C3901),ISNUMBER(D3901)),D3901-C3901,"")</f>
        <v/>
      </c>
      <c r="Z3901" s="23" t="str">
        <f aca="false">IF(B3901="","",IF(MATCH(B3901,$B$2:$B$12000,0)=ROW()-1,1,0))</f>
        <v/>
      </c>
    </row>
    <row r="3902" customFormat="false" ht="15" hidden="false" customHeight="false" outlineLevel="0" collapsed="false">
      <c r="V3902" s="23" t="str">
        <f aca="false">IF(ISNUMBER(C3902),YEAR(C3902),"")</f>
        <v/>
      </c>
      <c r="W3902" s="23" t="str">
        <f aca="false">IF(ISNUMBER(C3902),MONTH(C3902),"")</f>
        <v/>
      </c>
      <c r="X3902" s="23" t="str">
        <f aca="false">IF(T3902="","",IF(T3902=0,"No discount",IF(T3902&lt;=0.2,"Low (1-20%)",IF(T3902&lt;=0.4,"Medium (21-40%)","High (&gt;40%)"))))</f>
        <v/>
      </c>
      <c r="Y3902" s="23" t="str">
        <f aca="false">IF(AND(ISNUMBER(C3902),ISNUMBER(D3902)),D3902-C3902,"")</f>
        <v/>
      </c>
      <c r="Z3902" s="23" t="str">
        <f aca="false">IF(B3902="","",IF(MATCH(B3902,$B$2:$B$12000,0)=ROW()-1,1,0))</f>
        <v/>
      </c>
    </row>
    <row r="3903" customFormat="false" ht="15" hidden="false" customHeight="false" outlineLevel="0" collapsed="false">
      <c r="V3903" s="23" t="str">
        <f aca="false">IF(ISNUMBER(C3903),YEAR(C3903),"")</f>
        <v/>
      </c>
      <c r="W3903" s="23" t="str">
        <f aca="false">IF(ISNUMBER(C3903),MONTH(C3903),"")</f>
        <v/>
      </c>
      <c r="X3903" s="23" t="str">
        <f aca="false">IF(T3903="","",IF(T3903=0,"No discount",IF(T3903&lt;=0.2,"Low (1-20%)",IF(T3903&lt;=0.4,"Medium (21-40%)","High (&gt;40%)"))))</f>
        <v/>
      </c>
      <c r="Y3903" s="23" t="str">
        <f aca="false">IF(AND(ISNUMBER(C3903),ISNUMBER(D3903)),D3903-C3903,"")</f>
        <v/>
      </c>
      <c r="Z3903" s="23" t="str">
        <f aca="false">IF(B3903="","",IF(MATCH(B3903,$B$2:$B$12000,0)=ROW()-1,1,0))</f>
        <v/>
      </c>
    </row>
    <row r="3904" customFormat="false" ht="15" hidden="false" customHeight="false" outlineLevel="0" collapsed="false">
      <c r="V3904" s="23" t="str">
        <f aca="false">IF(ISNUMBER(C3904),YEAR(C3904),"")</f>
        <v/>
      </c>
      <c r="W3904" s="23" t="str">
        <f aca="false">IF(ISNUMBER(C3904),MONTH(C3904),"")</f>
        <v/>
      </c>
      <c r="X3904" s="23" t="str">
        <f aca="false">IF(T3904="","",IF(T3904=0,"No discount",IF(T3904&lt;=0.2,"Low (1-20%)",IF(T3904&lt;=0.4,"Medium (21-40%)","High (&gt;40%)"))))</f>
        <v/>
      </c>
      <c r="Y3904" s="23" t="str">
        <f aca="false">IF(AND(ISNUMBER(C3904),ISNUMBER(D3904)),D3904-C3904,"")</f>
        <v/>
      </c>
      <c r="Z3904" s="23" t="str">
        <f aca="false">IF(B3904="","",IF(MATCH(B3904,$B$2:$B$12000,0)=ROW()-1,1,0))</f>
        <v/>
      </c>
    </row>
    <row r="3905" customFormat="false" ht="15" hidden="false" customHeight="false" outlineLevel="0" collapsed="false">
      <c r="V3905" s="23" t="str">
        <f aca="false">IF(ISNUMBER(C3905),YEAR(C3905),"")</f>
        <v/>
      </c>
      <c r="W3905" s="23" t="str">
        <f aca="false">IF(ISNUMBER(C3905),MONTH(C3905),"")</f>
        <v/>
      </c>
      <c r="X3905" s="23" t="str">
        <f aca="false">IF(T3905="","",IF(T3905=0,"No discount",IF(T3905&lt;=0.2,"Low (1-20%)",IF(T3905&lt;=0.4,"Medium (21-40%)","High (&gt;40%)"))))</f>
        <v/>
      </c>
      <c r="Y3905" s="23" t="str">
        <f aca="false">IF(AND(ISNUMBER(C3905),ISNUMBER(D3905)),D3905-C3905,"")</f>
        <v/>
      </c>
      <c r="Z3905" s="23" t="str">
        <f aca="false">IF(B3905="","",IF(MATCH(B3905,$B$2:$B$12000,0)=ROW()-1,1,0))</f>
        <v/>
      </c>
    </row>
    <row r="3906" customFormat="false" ht="15" hidden="false" customHeight="false" outlineLevel="0" collapsed="false">
      <c r="V3906" s="23" t="str">
        <f aca="false">IF(ISNUMBER(C3906),YEAR(C3906),"")</f>
        <v/>
      </c>
      <c r="W3906" s="23" t="str">
        <f aca="false">IF(ISNUMBER(C3906),MONTH(C3906),"")</f>
        <v/>
      </c>
      <c r="X3906" s="23" t="str">
        <f aca="false">IF(T3906="","",IF(T3906=0,"No discount",IF(T3906&lt;=0.2,"Low (1-20%)",IF(T3906&lt;=0.4,"Medium (21-40%)","High (&gt;40%)"))))</f>
        <v/>
      </c>
      <c r="Y3906" s="23" t="str">
        <f aca="false">IF(AND(ISNUMBER(C3906),ISNUMBER(D3906)),D3906-C3906,"")</f>
        <v/>
      </c>
      <c r="Z3906" s="23" t="str">
        <f aca="false">IF(B3906="","",IF(MATCH(B3906,$B$2:$B$12000,0)=ROW()-1,1,0))</f>
        <v/>
      </c>
    </row>
    <row r="3907" customFormat="false" ht="15" hidden="false" customHeight="false" outlineLevel="0" collapsed="false">
      <c r="V3907" s="23" t="str">
        <f aca="false">IF(ISNUMBER(C3907),YEAR(C3907),"")</f>
        <v/>
      </c>
      <c r="W3907" s="23" t="str">
        <f aca="false">IF(ISNUMBER(C3907),MONTH(C3907),"")</f>
        <v/>
      </c>
      <c r="X3907" s="23" t="str">
        <f aca="false">IF(T3907="","",IF(T3907=0,"No discount",IF(T3907&lt;=0.2,"Low (1-20%)",IF(T3907&lt;=0.4,"Medium (21-40%)","High (&gt;40%)"))))</f>
        <v/>
      </c>
      <c r="Y3907" s="23" t="str">
        <f aca="false">IF(AND(ISNUMBER(C3907),ISNUMBER(D3907)),D3907-C3907,"")</f>
        <v/>
      </c>
      <c r="Z3907" s="23" t="str">
        <f aca="false">IF(B3907="","",IF(MATCH(B3907,$B$2:$B$12000,0)=ROW()-1,1,0))</f>
        <v/>
      </c>
    </row>
    <row r="3908" customFormat="false" ht="15" hidden="false" customHeight="false" outlineLevel="0" collapsed="false">
      <c r="V3908" s="23" t="str">
        <f aca="false">IF(ISNUMBER(C3908),YEAR(C3908),"")</f>
        <v/>
      </c>
      <c r="W3908" s="23" t="str">
        <f aca="false">IF(ISNUMBER(C3908),MONTH(C3908),"")</f>
        <v/>
      </c>
      <c r="X3908" s="23" t="str">
        <f aca="false">IF(T3908="","",IF(T3908=0,"No discount",IF(T3908&lt;=0.2,"Low (1-20%)",IF(T3908&lt;=0.4,"Medium (21-40%)","High (&gt;40%)"))))</f>
        <v/>
      </c>
      <c r="Y3908" s="23" t="str">
        <f aca="false">IF(AND(ISNUMBER(C3908),ISNUMBER(D3908)),D3908-C3908,"")</f>
        <v/>
      </c>
      <c r="Z3908" s="23" t="str">
        <f aca="false">IF(B3908="","",IF(MATCH(B3908,$B$2:$B$12000,0)=ROW()-1,1,0))</f>
        <v/>
      </c>
    </row>
    <row r="3909" customFormat="false" ht="15" hidden="false" customHeight="false" outlineLevel="0" collapsed="false">
      <c r="V3909" s="23" t="str">
        <f aca="false">IF(ISNUMBER(C3909),YEAR(C3909),"")</f>
        <v/>
      </c>
      <c r="W3909" s="23" t="str">
        <f aca="false">IF(ISNUMBER(C3909),MONTH(C3909),"")</f>
        <v/>
      </c>
      <c r="X3909" s="23" t="str">
        <f aca="false">IF(T3909="","",IF(T3909=0,"No discount",IF(T3909&lt;=0.2,"Low (1-20%)",IF(T3909&lt;=0.4,"Medium (21-40%)","High (&gt;40%)"))))</f>
        <v/>
      </c>
      <c r="Y3909" s="23" t="str">
        <f aca="false">IF(AND(ISNUMBER(C3909),ISNUMBER(D3909)),D3909-C3909,"")</f>
        <v/>
      </c>
      <c r="Z3909" s="23" t="str">
        <f aca="false">IF(B3909="","",IF(MATCH(B3909,$B$2:$B$12000,0)=ROW()-1,1,0))</f>
        <v/>
      </c>
    </row>
    <row r="3910" customFormat="false" ht="15" hidden="false" customHeight="false" outlineLevel="0" collapsed="false">
      <c r="V3910" s="23" t="str">
        <f aca="false">IF(ISNUMBER(C3910),YEAR(C3910),"")</f>
        <v/>
      </c>
      <c r="W3910" s="23" t="str">
        <f aca="false">IF(ISNUMBER(C3910),MONTH(C3910),"")</f>
        <v/>
      </c>
      <c r="X3910" s="23" t="str">
        <f aca="false">IF(T3910="","",IF(T3910=0,"No discount",IF(T3910&lt;=0.2,"Low (1-20%)",IF(T3910&lt;=0.4,"Medium (21-40%)","High (&gt;40%)"))))</f>
        <v/>
      </c>
      <c r="Y3910" s="23" t="str">
        <f aca="false">IF(AND(ISNUMBER(C3910),ISNUMBER(D3910)),D3910-C3910,"")</f>
        <v/>
      </c>
      <c r="Z3910" s="23" t="str">
        <f aca="false">IF(B3910="","",IF(MATCH(B3910,$B$2:$B$12000,0)=ROW()-1,1,0))</f>
        <v/>
      </c>
    </row>
    <row r="3911" customFormat="false" ht="15" hidden="false" customHeight="false" outlineLevel="0" collapsed="false">
      <c r="V3911" s="23" t="str">
        <f aca="false">IF(ISNUMBER(C3911),YEAR(C3911),"")</f>
        <v/>
      </c>
      <c r="W3911" s="23" t="str">
        <f aca="false">IF(ISNUMBER(C3911),MONTH(C3911),"")</f>
        <v/>
      </c>
      <c r="X3911" s="23" t="str">
        <f aca="false">IF(T3911="","",IF(T3911=0,"No discount",IF(T3911&lt;=0.2,"Low (1-20%)",IF(T3911&lt;=0.4,"Medium (21-40%)","High (&gt;40%)"))))</f>
        <v/>
      </c>
      <c r="Y3911" s="23" t="str">
        <f aca="false">IF(AND(ISNUMBER(C3911),ISNUMBER(D3911)),D3911-C3911,"")</f>
        <v/>
      </c>
      <c r="Z3911" s="23" t="str">
        <f aca="false">IF(B3911="","",IF(MATCH(B3911,$B$2:$B$12000,0)=ROW()-1,1,0))</f>
        <v/>
      </c>
    </row>
    <row r="3912" customFormat="false" ht="15" hidden="false" customHeight="false" outlineLevel="0" collapsed="false">
      <c r="V3912" s="23" t="str">
        <f aca="false">IF(ISNUMBER(C3912),YEAR(C3912),"")</f>
        <v/>
      </c>
      <c r="W3912" s="23" t="str">
        <f aca="false">IF(ISNUMBER(C3912),MONTH(C3912),"")</f>
        <v/>
      </c>
      <c r="X3912" s="23" t="str">
        <f aca="false">IF(T3912="","",IF(T3912=0,"No discount",IF(T3912&lt;=0.2,"Low (1-20%)",IF(T3912&lt;=0.4,"Medium (21-40%)","High (&gt;40%)"))))</f>
        <v/>
      </c>
      <c r="Y3912" s="23" t="str">
        <f aca="false">IF(AND(ISNUMBER(C3912),ISNUMBER(D3912)),D3912-C3912,"")</f>
        <v/>
      </c>
      <c r="Z3912" s="23" t="str">
        <f aca="false">IF(B3912="","",IF(MATCH(B3912,$B$2:$B$12000,0)=ROW()-1,1,0))</f>
        <v/>
      </c>
    </row>
    <row r="3913" customFormat="false" ht="15" hidden="false" customHeight="false" outlineLevel="0" collapsed="false">
      <c r="V3913" s="23" t="str">
        <f aca="false">IF(ISNUMBER(C3913),YEAR(C3913),"")</f>
        <v/>
      </c>
      <c r="W3913" s="23" t="str">
        <f aca="false">IF(ISNUMBER(C3913),MONTH(C3913),"")</f>
        <v/>
      </c>
      <c r="X3913" s="23" t="str">
        <f aca="false">IF(T3913="","",IF(T3913=0,"No discount",IF(T3913&lt;=0.2,"Low (1-20%)",IF(T3913&lt;=0.4,"Medium (21-40%)","High (&gt;40%)"))))</f>
        <v/>
      </c>
      <c r="Y3913" s="23" t="str">
        <f aca="false">IF(AND(ISNUMBER(C3913),ISNUMBER(D3913)),D3913-C3913,"")</f>
        <v/>
      </c>
      <c r="Z3913" s="23" t="str">
        <f aca="false">IF(B3913="","",IF(MATCH(B3913,$B$2:$B$12000,0)=ROW()-1,1,0))</f>
        <v/>
      </c>
    </row>
    <row r="3914" customFormat="false" ht="15" hidden="false" customHeight="false" outlineLevel="0" collapsed="false">
      <c r="V3914" s="23" t="str">
        <f aca="false">IF(ISNUMBER(C3914),YEAR(C3914),"")</f>
        <v/>
      </c>
      <c r="W3914" s="23" t="str">
        <f aca="false">IF(ISNUMBER(C3914),MONTH(C3914),"")</f>
        <v/>
      </c>
      <c r="X3914" s="23" t="str">
        <f aca="false">IF(T3914="","",IF(T3914=0,"No discount",IF(T3914&lt;=0.2,"Low (1-20%)",IF(T3914&lt;=0.4,"Medium (21-40%)","High (&gt;40%)"))))</f>
        <v/>
      </c>
      <c r="Y3914" s="23" t="str">
        <f aca="false">IF(AND(ISNUMBER(C3914),ISNUMBER(D3914)),D3914-C3914,"")</f>
        <v/>
      </c>
      <c r="Z3914" s="23" t="str">
        <f aca="false">IF(B3914="","",IF(MATCH(B3914,$B$2:$B$12000,0)=ROW()-1,1,0))</f>
        <v/>
      </c>
    </row>
    <row r="3915" customFormat="false" ht="15" hidden="false" customHeight="false" outlineLevel="0" collapsed="false">
      <c r="V3915" s="23" t="str">
        <f aca="false">IF(ISNUMBER(C3915),YEAR(C3915),"")</f>
        <v/>
      </c>
      <c r="W3915" s="23" t="str">
        <f aca="false">IF(ISNUMBER(C3915),MONTH(C3915),"")</f>
        <v/>
      </c>
      <c r="X3915" s="23" t="str">
        <f aca="false">IF(T3915="","",IF(T3915=0,"No discount",IF(T3915&lt;=0.2,"Low (1-20%)",IF(T3915&lt;=0.4,"Medium (21-40%)","High (&gt;40%)"))))</f>
        <v/>
      </c>
      <c r="Y3915" s="23" t="str">
        <f aca="false">IF(AND(ISNUMBER(C3915),ISNUMBER(D3915)),D3915-C3915,"")</f>
        <v/>
      </c>
      <c r="Z3915" s="23" t="str">
        <f aca="false">IF(B3915="","",IF(MATCH(B3915,$B$2:$B$12000,0)=ROW()-1,1,0))</f>
        <v/>
      </c>
    </row>
    <row r="3916" customFormat="false" ht="15" hidden="false" customHeight="false" outlineLevel="0" collapsed="false">
      <c r="V3916" s="23" t="str">
        <f aca="false">IF(ISNUMBER(C3916),YEAR(C3916),"")</f>
        <v/>
      </c>
      <c r="W3916" s="23" t="str">
        <f aca="false">IF(ISNUMBER(C3916),MONTH(C3916),"")</f>
        <v/>
      </c>
      <c r="X3916" s="23" t="str">
        <f aca="false">IF(T3916="","",IF(T3916=0,"No discount",IF(T3916&lt;=0.2,"Low (1-20%)",IF(T3916&lt;=0.4,"Medium (21-40%)","High (&gt;40%)"))))</f>
        <v/>
      </c>
      <c r="Y3916" s="23" t="str">
        <f aca="false">IF(AND(ISNUMBER(C3916),ISNUMBER(D3916)),D3916-C3916,"")</f>
        <v/>
      </c>
      <c r="Z3916" s="23" t="str">
        <f aca="false">IF(B3916="","",IF(MATCH(B3916,$B$2:$B$12000,0)=ROW()-1,1,0))</f>
        <v/>
      </c>
    </row>
    <row r="3917" customFormat="false" ht="15" hidden="false" customHeight="false" outlineLevel="0" collapsed="false">
      <c r="V3917" s="23" t="str">
        <f aca="false">IF(ISNUMBER(C3917),YEAR(C3917),"")</f>
        <v/>
      </c>
      <c r="W3917" s="23" t="str">
        <f aca="false">IF(ISNUMBER(C3917),MONTH(C3917),"")</f>
        <v/>
      </c>
      <c r="X3917" s="23" t="str">
        <f aca="false">IF(T3917="","",IF(T3917=0,"No discount",IF(T3917&lt;=0.2,"Low (1-20%)",IF(T3917&lt;=0.4,"Medium (21-40%)","High (&gt;40%)"))))</f>
        <v/>
      </c>
      <c r="Y3917" s="23" t="str">
        <f aca="false">IF(AND(ISNUMBER(C3917),ISNUMBER(D3917)),D3917-C3917,"")</f>
        <v/>
      </c>
      <c r="Z3917" s="23" t="str">
        <f aca="false">IF(B3917="","",IF(MATCH(B3917,$B$2:$B$12000,0)=ROW()-1,1,0))</f>
        <v/>
      </c>
    </row>
    <row r="3918" customFormat="false" ht="15" hidden="false" customHeight="false" outlineLevel="0" collapsed="false">
      <c r="V3918" s="23" t="str">
        <f aca="false">IF(ISNUMBER(C3918),YEAR(C3918),"")</f>
        <v/>
      </c>
      <c r="W3918" s="23" t="str">
        <f aca="false">IF(ISNUMBER(C3918),MONTH(C3918),"")</f>
        <v/>
      </c>
      <c r="X3918" s="23" t="str">
        <f aca="false">IF(T3918="","",IF(T3918=0,"No discount",IF(T3918&lt;=0.2,"Low (1-20%)",IF(T3918&lt;=0.4,"Medium (21-40%)","High (&gt;40%)"))))</f>
        <v/>
      </c>
      <c r="Y3918" s="23" t="str">
        <f aca="false">IF(AND(ISNUMBER(C3918),ISNUMBER(D3918)),D3918-C3918,"")</f>
        <v/>
      </c>
      <c r="Z3918" s="23" t="str">
        <f aca="false">IF(B3918="","",IF(MATCH(B3918,$B$2:$B$12000,0)=ROW()-1,1,0))</f>
        <v/>
      </c>
    </row>
    <row r="3919" customFormat="false" ht="15" hidden="false" customHeight="false" outlineLevel="0" collapsed="false">
      <c r="V3919" s="23" t="str">
        <f aca="false">IF(ISNUMBER(C3919),YEAR(C3919),"")</f>
        <v/>
      </c>
      <c r="W3919" s="23" t="str">
        <f aca="false">IF(ISNUMBER(C3919),MONTH(C3919),"")</f>
        <v/>
      </c>
      <c r="X3919" s="23" t="str">
        <f aca="false">IF(T3919="","",IF(T3919=0,"No discount",IF(T3919&lt;=0.2,"Low (1-20%)",IF(T3919&lt;=0.4,"Medium (21-40%)","High (&gt;40%)"))))</f>
        <v/>
      </c>
      <c r="Y3919" s="23" t="str">
        <f aca="false">IF(AND(ISNUMBER(C3919),ISNUMBER(D3919)),D3919-C3919,"")</f>
        <v/>
      </c>
      <c r="Z3919" s="23" t="str">
        <f aca="false">IF(B3919="","",IF(MATCH(B3919,$B$2:$B$12000,0)=ROW()-1,1,0))</f>
        <v/>
      </c>
    </row>
    <row r="3920" customFormat="false" ht="15" hidden="false" customHeight="false" outlineLevel="0" collapsed="false">
      <c r="V3920" s="23" t="str">
        <f aca="false">IF(ISNUMBER(C3920),YEAR(C3920),"")</f>
        <v/>
      </c>
      <c r="W3920" s="23" t="str">
        <f aca="false">IF(ISNUMBER(C3920),MONTH(C3920),"")</f>
        <v/>
      </c>
      <c r="X3920" s="23" t="str">
        <f aca="false">IF(T3920="","",IF(T3920=0,"No discount",IF(T3920&lt;=0.2,"Low (1-20%)",IF(T3920&lt;=0.4,"Medium (21-40%)","High (&gt;40%)"))))</f>
        <v/>
      </c>
      <c r="Y3920" s="23" t="str">
        <f aca="false">IF(AND(ISNUMBER(C3920),ISNUMBER(D3920)),D3920-C3920,"")</f>
        <v/>
      </c>
      <c r="Z3920" s="23" t="str">
        <f aca="false">IF(B3920="","",IF(MATCH(B3920,$B$2:$B$12000,0)=ROW()-1,1,0))</f>
        <v/>
      </c>
    </row>
    <row r="3921" customFormat="false" ht="15" hidden="false" customHeight="false" outlineLevel="0" collapsed="false">
      <c r="V3921" s="23" t="str">
        <f aca="false">IF(ISNUMBER(C3921),YEAR(C3921),"")</f>
        <v/>
      </c>
      <c r="W3921" s="23" t="str">
        <f aca="false">IF(ISNUMBER(C3921),MONTH(C3921),"")</f>
        <v/>
      </c>
      <c r="X3921" s="23" t="str">
        <f aca="false">IF(T3921="","",IF(T3921=0,"No discount",IF(T3921&lt;=0.2,"Low (1-20%)",IF(T3921&lt;=0.4,"Medium (21-40%)","High (&gt;40%)"))))</f>
        <v/>
      </c>
      <c r="Y3921" s="23" t="str">
        <f aca="false">IF(AND(ISNUMBER(C3921),ISNUMBER(D3921)),D3921-C3921,"")</f>
        <v/>
      </c>
      <c r="Z3921" s="23" t="str">
        <f aca="false">IF(B3921="","",IF(MATCH(B3921,$B$2:$B$12000,0)=ROW()-1,1,0))</f>
        <v/>
      </c>
    </row>
    <row r="3922" customFormat="false" ht="15" hidden="false" customHeight="false" outlineLevel="0" collapsed="false">
      <c r="V3922" s="23" t="str">
        <f aca="false">IF(ISNUMBER(C3922),YEAR(C3922),"")</f>
        <v/>
      </c>
      <c r="W3922" s="23" t="str">
        <f aca="false">IF(ISNUMBER(C3922),MONTH(C3922),"")</f>
        <v/>
      </c>
      <c r="X3922" s="23" t="str">
        <f aca="false">IF(T3922="","",IF(T3922=0,"No discount",IF(T3922&lt;=0.2,"Low (1-20%)",IF(T3922&lt;=0.4,"Medium (21-40%)","High (&gt;40%)"))))</f>
        <v/>
      </c>
      <c r="Y3922" s="23" t="str">
        <f aca="false">IF(AND(ISNUMBER(C3922),ISNUMBER(D3922)),D3922-C3922,"")</f>
        <v/>
      </c>
      <c r="Z3922" s="23" t="str">
        <f aca="false">IF(B3922="","",IF(MATCH(B3922,$B$2:$B$12000,0)=ROW()-1,1,0))</f>
        <v/>
      </c>
    </row>
    <row r="3923" customFormat="false" ht="15" hidden="false" customHeight="false" outlineLevel="0" collapsed="false">
      <c r="V3923" s="23" t="str">
        <f aca="false">IF(ISNUMBER(C3923),YEAR(C3923),"")</f>
        <v/>
      </c>
      <c r="W3923" s="23" t="str">
        <f aca="false">IF(ISNUMBER(C3923),MONTH(C3923),"")</f>
        <v/>
      </c>
      <c r="X3923" s="23" t="str">
        <f aca="false">IF(T3923="","",IF(T3923=0,"No discount",IF(T3923&lt;=0.2,"Low (1-20%)",IF(T3923&lt;=0.4,"Medium (21-40%)","High (&gt;40%)"))))</f>
        <v/>
      </c>
      <c r="Y3923" s="23" t="str">
        <f aca="false">IF(AND(ISNUMBER(C3923),ISNUMBER(D3923)),D3923-C3923,"")</f>
        <v/>
      </c>
      <c r="Z3923" s="23" t="str">
        <f aca="false">IF(B3923="","",IF(MATCH(B3923,$B$2:$B$12000,0)=ROW()-1,1,0))</f>
        <v/>
      </c>
    </row>
    <row r="3924" customFormat="false" ht="15" hidden="false" customHeight="false" outlineLevel="0" collapsed="false">
      <c r="V3924" s="23" t="str">
        <f aca="false">IF(ISNUMBER(C3924),YEAR(C3924),"")</f>
        <v/>
      </c>
      <c r="W3924" s="23" t="str">
        <f aca="false">IF(ISNUMBER(C3924),MONTH(C3924),"")</f>
        <v/>
      </c>
      <c r="X3924" s="23" t="str">
        <f aca="false">IF(T3924="","",IF(T3924=0,"No discount",IF(T3924&lt;=0.2,"Low (1-20%)",IF(T3924&lt;=0.4,"Medium (21-40%)","High (&gt;40%)"))))</f>
        <v/>
      </c>
      <c r="Y3924" s="23" t="str">
        <f aca="false">IF(AND(ISNUMBER(C3924),ISNUMBER(D3924)),D3924-C3924,"")</f>
        <v/>
      </c>
      <c r="Z3924" s="23" t="str">
        <f aca="false">IF(B3924="","",IF(MATCH(B3924,$B$2:$B$12000,0)=ROW()-1,1,0))</f>
        <v/>
      </c>
    </row>
    <row r="3925" customFormat="false" ht="15" hidden="false" customHeight="false" outlineLevel="0" collapsed="false">
      <c r="V3925" s="23" t="str">
        <f aca="false">IF(ISNUMBER(C3925),YEAR(C3925),"")</f>
        <v/>
      </c>
      <c r="W3925" s="23" t="str">
        <f aca="false">IF(ISNUMBER(C3925),MONTH(C3925),"")</f>
        <v/>
      </c>
      <c r="X3925" s="23" t="str">
        <f aca="false">IF(T3925="","",IF(T3925=0,"No discount",IF(T3925&lt;=0.2,"Low (1-20%)",IF(T3925&lt;=0.4,"Medium (21-40%)","High (&gt;40%)"))))</f>
        <v/>
      </c>
      <c r="Y3925" s="23" t="str">
        <f aca="false">IF(AND(ISNUMBER(C3925),ISNUMBER(D3925)),D3925-C3925,"")</f>
        <v/>
      </c>
      <c r="Z3925" s="23" t="str">
        <f aca="false">IF(B3925="","",IF(MATCH(B3925,$B$2:$B$12000,0)=ROW()-1,1,0))</f>
        <v/>
      </c>
    </row>
    <row r="3926" customFormat="false" ht="15" hidden="false" customHeight="false" outlineLevel="0" collapsed="false">
      <c r="V3926" s="23" t="str">
        <f aca="false">IF(ISNUMBER(C3926),YEAR(C3926),"")</f>
        <v/>
      </c>
      <c r="W3926" s="23" t="str">
        <f aca="false">IF(ISNUMBER(C3926),MONTH(C3926),"")</f>
        <v/>
      </c>
      <c r="X3926" s="23" t="str">
        <f aca="false">IF(T3926="","",IF(T3926=0,"No discount",IF(T3926&lt;=0.2,"Low (1-20%)",IF(T3926&lt;=0.4,"Medium (21-40%)","High (&gt;40%)"))))</f>
        <v/>
      </c>
      <c r="Y3926" s="23" t="str">
        <f aca="false">IF(AND(ISNUMBER(C3926),ISNUMBER(D3926)),D3926-C3926,"")</f>
        <v/>
      </c>
      <c r="Z3926" s="23" t="str">
        <f aca="false">IF(B3926="","",IF(MATCH(B3926,$B$2:$B$12000,0)=ROW()-1,1,0))</f>
        <v/>
      </c>
    </row>
    <row r="3927" customFormat="false" ht="15" hidden="false" customHeight="false" outlineLevel="0" collapsed="false">
      <c r="V3927" s="23" t="str">
        <f aca="false">IF(ISNUMBER(C3927),YEAR(C3927),"")</f>
        <v/>
      </c>
      <c r="W3927" s="23" t="str">
        <f aca="false">IF(ISNUMBER(C3927),MONTH(C3927),"")</f>
        <v/>
      </c>
      <c r="X3927" s="23" t="str">
        <f aca="false">IF(T3927="","",IF(T3927=0,"No discount",IF(T3927&lt;=0.2,"Low (1-20%)",IF(T3927&lt;=0.4,"Medium (21-40%)","High (&gt;40%)"))))</f>
        <v/>
      </c>
      <c r="Y3927" s="23" t="str">
        <f aca="false">IF(AND(ISNUMBER(C3927),ISNUMBER(D3927)),D3927-C3927,"")</f>
        <v/>
      </c>
      <c r="Z3927" s="23" t="str">
        <f aca="false">IF(B3927="","",IF(MATCH(B3927,$B$2:$B$12000,0)=ROW()-1,1,0))</f>
        <v/>
      </c>
    </row>
    <row r="3928" customFormat="false" ht="15" hidden="false" customHeight="false" outlineLevel="0" collapsed="false">
      <c r="V3928" s="23" t="str">
        <f aca="false">IF(ISNUMBER(C3928),YEAR(C3928),"")</f>
        <v/>
      </c>
      <c r="W3928" s="23" t="str">
        <f aca="false">IF(ISNUMBER(C3928),MONTH(C3928),"")</f>
        <v/>
      </c>
      <c r="X3928" s="23" t="str">
        <f aca="false">IF(T3928="","",IF(T3928=0,"No discount",IF(T3928&lt;=0.2,"Low (1-20%)",IF(T3928&lt;=0.4,"Medium (21-40%)","High (&gt;40%)"))))</f>
        <v/>
      </c>
      <c r="Y3928" s="23" t="str">
        <f aca="false">IF(AND(ISNUMBER(C3928),ISNUMBER(D3928)),D3928-C3928,"")</f>
        <v/>
      </c>
      <c r="Z3928" s="23" t="str">
        <f aca="false">IF(B3928="","",IF(MATCH(B3928,$B$2:$B$12000,0)=ROW()-1,1,0))</f>
        <v/>
      </c>
    </row>
    <row r="3929" customFormat="false" ht="15" hidden="false" customHeight="false" outlineLevel="0" collapsed="false">
      <c r="V3929" s="23" t="str">
        <f aca="false">IF(ISNUMBER(C3929),YEAR(C3929),"")</f>
        <v/>
      </c>
      <c r="W3929" s="23" t="str">
        <f aca="false">IF(ISNUMBER(C3929),MONTH(C3929),"")</f>
        <v/>
      </c>
      <c r="X3929" s="23" t="str">
        <f aca="false">IF(T3929="","",IF(T3929=0,"No discount",IF(T3929&lt;=0.2,"Low (1-20%)",IF(T3929&lt;=0.4,"Medium (21-40%)","High (&gt;40%)"))))</f>
        <v/>
      </c>
      <c r="Y3929" s="23" t="str">
        <f aca="false">IF(AND(ISNUMBER(C3929),ISNUMBER(D3929)),D3929-C3929,"")</f>
        <v/>
      </c>
      <c r="Z3929" s="23" t="str">
        <f aca="false">IF(B3929="","",IF(MATCH(B3929,$B$2:$B$12000,0)=ROW()-1,1,0))</f>
        <v/>
      </c>
    </row>
    <row r="3930" customFormat="false" ht="15" hidden="false" customHeight="false" outlineLevel="0" collapsed="false">
      <c r="V3930" s="23" t="str">
        <f aca="false">IF(ISNUMBER(C3930),YEAR(C3930),"")</f>
        <v/>
      </c>
      <c r="W3930" s="23" t="str">
        <f aca="false">IF(ISNUMBER(C3930),MONTH(C3930),"")</f>
        <v/>
      </c>
      <c r="X3930" s="23" t="str">
        <f aca="false">IF(T3930="","",IF(T3930=0,"No discount",IF(T3930&lt;=0.2,"Low (1-20%)",IF(T3930&lt;=0.4,"Medium (21-40%)","High (&gt;40%)"))))</f>
        <v/>
      </c>
      <c r="Y3930" s="23" t="str">
        <f aca="false">IF(AND(ISNUMBER(C3930),ISNUMBER(D3930)),D3930-C3930,"")</f>
        <v/>
      </c>
      <c r="Z3930" s="23" t="str">
        <f aca="false">IF(B3930="","",IF(MATCH(B3930,$B$2:$B$12000,0)=ROW()-1,1,0))</f>
        <v/>
      </c>
    </row>
    <row r="3931" customFormat="false" ht="15" hidden="false" customHeight="false" outlineLevel="0" collapsed="false">
      <c r="V3931" s="23" t="str">
        <f aca="false">IF(ISNUMBER(C3931),YEAR(C3931),"")</f>
        <v/>
      </c>
      <c r="W3931" s="23" t="str">
        <f aca="false">IF(ISNUMBER(C3931),MONTH(C3931),"")</f>
        <v/>
      </c>
      <c r="X3931" s="23" t="str">
        <f aca="false">IF(T3931="","",IF(T3931=0,"No discount",IF(T3931&lt;=0.2,"Low (1-20%)",IF(T3931&lt;=0.4,"Medium (21-40%)","High (&gt;40%)"))))</f>
        <v/>
      </c>
      <c r="Y3931" s="23" t="str">
        <f aca="false">IF(AND(ISNUMBER(C3931),ISNUMBER(D3931)),D3931-C3931,"")</f>
        <v/>
      </c>
      <c r="Z3931" s="23" t="str">
        <f aca="false">IF(B3931="","",IF(MATCH(B3931,$B$2:$B$12000,0)=ROW()-1,1,0))</f>
        <v/>
      </c>
    </row>
    <row r="3932" customFormat="false" ht="15" hidden="false" customHeight="false" outlineLevel="0" collapsed="false">
      <c r="V3932" s="23" t="str">
        <f aca="false">IF(ISNUMBER(C3932),YEAR(C3932),"")</f>
        <v/>
      </c>
      <c r="W3932" s="23" t="str">
        <f aca="false">IF(ISNUMBER(C3932),MONTH(C3932),"")</f>
        <v/>
      </c>
      <c r="X3932" s="23" t="str">
        <f aca="false">IF(T3932="","",IF(T3932=0,"No discount",IF(T3932&lt;=0.2,"Low (1-20%)",IF(T3932&lt;=0.4,"Medium (21-40%)","High (&gt;40%)"))))</f>
        <v/>
      </c>
      <c r="Y3932" s="23" t="str">
        <f aca="false">IF(AND(ISNUMBER(C3932),ISNUMBER(D3932)),D3932-C3932,"")</f>
        <v/>
      </c>
      <c r="Z3932" s="23" t="str">
        <f aca="false">IF(B3932="","",IF(MATCH(B3932,$B$2:$B$12000,0)=ROW()-1,1,0))</f>
        <v/>
      </c>
    </row>
    <row r="3933" customFormat="false" ht="15" hidden="false" customHeight="false" outlineLevel="0" collapsed="false">
      <c r="V3933" s="23" t="str">
        <f aca="false">IF(ISNUMBER(C3933),YEAR(C3933),"")</f>
        <v/>
      </c>
      <c r="W3933" s="23" t="str">
        <f aca="false">IF(ISNUMBER(C3933),MONTH(C3933),"")</f>
        <v/>
      </c>
      <c r="X3933" s="23" t="str">
        <f aca="false">IF(T3933="","",IF(T3933=0,"No discount",IF(T3933&lt;=0.2,"Low (1-20%)",IF(T3933&lt;=0.4,"Medium (21-40%)","High (&gt;40%)"))))</f>
        <v/>
      </c>
      <c r="Y3933" s="23" t="str">
        <f aca="false">IF(AND(ISNUMBER(C3933),ISNUMBER(D3933)),D3933-C3933,"")</f>
        <v/>
      </c>
      <c r="Z3933" s="23" t="str">
        <f aca="false">IF(B3933="","",IF(MATCH(B3933,$B$2:$B$12000,0)=ROW()-1,1,0))</f>
        <v/>
      </c>
    </row>
    <row r="3934" customFormat="false" ht="15" hidden="false" customHeight="false" outlineLevel="0" collapsed="false">
      <c r="V3934" s="23" t="str">
        <f aca="false">IF(ISNUMBER(C3934),YEAR(C3934),"")</f>
        <v/>
      </c>
      <c r="W3934" s="23" t="str">
        <f aca="false">IF(ISNUMBER(C3934),MONTH(C3934),"")</f>
        <v/>
      </c>
      <c r="X3934" s="23" t="str">
        <f aca="false">IF(T3934="","",IF(T3934=0,"No discount",IF(T3934&lt;=0.2,"Low (1-20%)",IF(T3934&lt;=0.4,"Medium (21-40%)","High (&gt;40%)"))))</f>
        <v/>
      </c>
      <c r="Y3934" s="23" t="str">
        <f aca="false">IF(AND(ISNUMBER(C3934),ISNUMBER(D3934)),D3934-C3934,"")</f>
        <v/>
      </c>
      <c r="Z3934" s="23" t="str">
        <f aca="false">IF(B3934="","",IF(MATCH(B3934,$B$2:$B$12000,0)=ROW()-1,1,0))</f>
        <v/>
      </c>
    </row>
    <row r="3935" customFormat="false" ht="15" hidden="false" customHeight="false" outlineLevel="0" collapsed="false">
      <c r="V3935" s="23" t="str">
        <f aca="false">IF(ISNUMBER(C3935),YEAR(C3935),"")</f>
        <v/>
      </c>
      <c r="W3935" s="23" t="str">
        <f aca="false">IF(ISNUMBER(C3935),MONTH(C3935),"")</f>
        <v/>
      </c>
      <c r="X3935" s="23" t="str">
        <f aca="false">IF(T3935="","",IF(T3935=0,"No discount",IF(T3935&lt;=0.2,"Low (1-20%)",IF(T3935&lt;=0.4,"Medium (21-40%)","High (&gt;40%)"))))</f>
        <v/>
      </c>
      <c r="Y3935" s="23" t="str">
        <f aca="false">IF(AND(ISNUMBER(C3935),ISNUMBER(D3935)),D3935-C3935,"")</f>
        <v/>
      </c>
      <c r="Z3935" s="23" t="str">
        <f aca="false">IF(B3935="","",IF(MATCH(B3935,$B$2:$B$12000,0)=ROW()-1,1,0))</f>
        <v/>
      </c>
    </row>
    <row r="3936" customFormat="false" ht="15" hidden="false" customHeight="false" outlineLevel="0" collapsed="false">
      <c r="V3936" s="23" t="str">
        <f aca="false">IF(ISNUMBER(C3936),YEAR(C3936),"")</f>
        <v/>
      </c>
      <c r="W3936" s="23" t="str">
        <f aca="false">IF(ISNUMBER(C3936),MONTH(C3936),"")</f>
        <v/>
      </c>
      <c r="X3936" s="23" t="str">
        <f aca="false">IF(T3936="","",IF(T3936=0,"No discount",IF(T3936&lt;=0.2,"Low (1-20%)",IF(T3936&lt;=0.4,"Medium (21-40%)","High (&gt;40%)"))))</f>
        <v/>
      </c>
      <c r="Y3936" s="23" t="str">
        <f aca="false">IF(AND(ISNUMBER(C3936),ISNUMBER(D3936)),D3936-C3936,"")</f>
        <v/>
      </c>
      <c r="Z3936" s="23" t="str">
        <f aca="false">IF(B3936="","",IF(MATCH(B3936,$B$2:$B$12000,0)=ROW()-1,1,0))</f>
        <v/>
      </c>
    </row>
    <row r="3937" customFormat="false" ht="15" hidden="false" customHeight="false" outlineLevel="0" collapsed="false">
      <c r="V3937" s="23" t="str">
        <f aca="false">IF(ISNUMBER(C3937),YEAR(C3937),"")</f>
        <v/>
      </c>
      <c r="W3937" s="23" t="str">
        <f aca="false">IF(ISNUMBER(C3937),MONTH(C3937),"")</f>
        <v/>
      </c>
      <c r="X3937" s="23" t="str">
        <f aca="false">IF(T3937="","",IF(T3937=0,"No discount",IF(T3937&lt;=0.2,"Low (1-20%)",IF(T3937&lt;=0.4,"Medium (21-40%)","High (&gt;40%)"))))</f>
        <v/>
      </c>
      <c r="Y3937" s="23" t="str">
        <f aca="false">IF(AND(ISNUMBER(C3937),ISNUMBER(D3937)),D3937-C3937,"")</f>
        <v/>
      </c>
      <c r="Z3937" s="23" t="str">
        <f aca="false">IF(B3937="","",IF(MATCH(B3937,$B$2:$B$12000,0)=ROW()-1,1,0))</f>
        <v/>
      </c>
    </row>
    <row r="3938" customFormat="false" ht="15" hidden="false" customHeight="false" outlineLevel="0" collapsed="false">
      <c r="V3938" s="23" t="str">
        <f aca="false">IF(ISNUMBER(C3938),YEAR(C3938),"")</f>
        <v/>
      </c>
      <c r="W3938" s="23" t="str">
        <f aca="false">IF(ISNUMBER(C3938),MONTH(C3938),"")</f>
        <v/>
      </c>
      <c r="X3938" s="23" t="str">
        <f aca="false">IF(T3938="","",IF(T3938=0,"No discount",IF(T3938&lt;=0.2,"Low (1-20%)",IF(T3938&lt;=0.4,"Medium (21-40%)","High (&gt;40%)"))))</f>
        <v/>
      </c>
      <c r="Y3938" s="23" t="str">
        <f aca="false">IF(AND(ISNUMBER(C3938),ISNUMBER(D3938)),D3938-C3938,"")</f>
        <v/>
      </c>
      <c r="Z3938" s="23" t="str">
        <f aca="false">IF(B3938="","",IF(MATCH(B3938,$B$2:$B$12000,0)=ROW()-1,1,0))</f>
        <v/>
      </c>
    </row>
    <row r="3939" customFormat="false" ht="15" hidden="false" customHeight="false" outlineLevel="0" collapsed="false">
      <c r="V3939" s="23" t="str">
        <f aca="false">IF(ISNUMBER(C3939),YEAR(C3939),"")</f>
        <v/>
      </c>
      <c r="W3939" s="23" t="str">
        <f aca="false">IF(ISNUMBER(C3939),MONTH(C3939),"")</f>
        <v/>
      </c>
      <c r="X3939" s="23" t="str">
        <f aca="false">IF(T3939="","",IF(T3939=0,"No discount",IF(T3939&lt;=0.2,"Low (1-20%)",IF(T3939&lt;=0.4,"Medium (21-40%)","High (&gt;40%)"))))</f>
        <v/>
      </c>
      <c r="Y3939" s="23" t="str">
        <f aca="false">IF(AND(ISNUMBER(C3939),ISNUMBER(D3939)),D3939-C3939,"")</f>
        <v/>
      </c>
      <c r="Z3939" s="23" t="str">
        <f aca="false">IF(B3939="","",IF(MATCH(B3939,$B$2:$B$12000,0)=ROW()-1,1,0))</f>
        <v/>
      </c>
    </row>
    <row r="3940" customFormat="false" ht="15" hidden="false" customHeight="false" outlineLevel="0" collapsed="false">
      <c r="V3940" s="23" t="str">
        <f aca="false">IF(ISNUMBER(C3940),YEAR(C3940),"")</f>
        <v/>
      </c>
      <c r="W3940" s="23" t="str">
        <f aca="false">IF(ISNUMBER(C3940),MONTH(C3940),"")</f>
        <v/>
      </c>
      <c r="X3940" s="23" t="str">
        <f aca="false">IF(T3940="","",IF(T3940=0,"No discount",IF(T3940&lt;=0.2,"Low (1-20%)",IF(T3940&lt;=0.4,"Medium (21-40%)","High (&gt;40%)"))))</f>
        <v/>
      </c>
      <c r="Y3940" s="23" t="str">
        <f aca="false">IF(AND(ISNUMBER(C3940),ISNUMBER(D3940)),D3940-C3940,"")</f>
        <v/>
      </c>
      <c r="Z3940" s="23" t="str">
        <f aca="false">IF(B3940="","",IF(MATCH(B3940,$B$2:$B$12000,0)=ROW()-1,1,0))</f>
        <v/>
      </c>
    </row>
    <row r="3941" customFormat="false" ht="15" hidden="false" customHeight="false" outlineLevel="0" collapsed="false">
      <c r="V3941" s="23" t="str">
        <f aca="false">IF(ISNUMBER(C3941),YEAR(C3941),"")</f>
        <v/>
      </c>
      <c r="W3941" s="23" t="str">
        <f aca="false">IF(ISNUMBER(C3941),MONTH(C3941),"")</f>
        <v/>
      </c>
      <c r="X3941" s="23" t="str">
        <f aca="false">IF(T3941="","",IF(T3941=0,"No discount",IF(T3941&lt;=0.2,"Low (1-20%)",IF(T3941&lt;=0.4,"Medium (21-40%)","High (&gt;40%)"))))</f>
        <v/>
      </c>
      <c r="Y3941" s="23" t="str">
        <f aca="false">IF(AND(ISNUMBER(C3941),ISNUMBER(D3941)),D3941-C3941,"")</f>
        <v/>
      </c>
      <c r="Z3941" s="23" t="str">
        <f aca="false">IF(B3941="","",IF(MATCH(B3941,$B$2:$B$12000,0)=ROW()-1,1,0))</f>
        <v/>
      </c>
    </row>
    <row r="3942" customFormat="false" ht="15" hidden="false" customHeight="false" outlineLevel="0" collapsed="false">
      <c r="V3942" s="23" t="str">
        <f aca="false">IF(ISNUMBER(C3942),YEAR(C3942),"")</f>
        <v/>
      </c>
      <c r="W3942" s="23" t="str">
        <f aca="false">IF(ISNUMBER(C3942),MONTH(C3942),"")</f>
        <v/>
      </c>
      <c r="X3942" s="23" t="str">
        <f aca="false">IF(T3942="","",IF(T3942=0,"No discount",IF(T3942&lt;=0.2,"Low (1-20%)",IF(T3942&lt;=0.4,"Medium (21-40%)","High (&gt;40%)"))))</f>
        <v/>
      </c>
      <c r="Y3942" s="23" t="str">
        <f aca="false">IF(AND(ISNUMBER(C3942),ISNUMBER(D3942)),D3942-C3942,"")</f>
        <v/>
      </c>
      <c r="Z3942" s="23" t="str">
        <f aca="false">IF(B3942="","",IF(MATCH(B3942,$B$2:$B$12000,0)=ROW()-1,1,0))</f>
        <v/>
      </c>
    </row>
    <row r="3943" customFormat="false" ht="15" hidden="false" customHeight="false" outlineLevel="0" collapsed="false">
      <c r="V3943" s="23" t="str">
        <f aca="false">IF(ISNUMBER(C3943),YEAR(C3943),"")</f>
        <v/>
      </c>
      <c r="W3943" s="23" t="str">
        <f aca="false">IF(ISNUMBER(C3943),MONTH(C3943),"")</f>
        <v/>
      </c>
      <c r="X3943" s="23" t="str">
        <f aca="false">IF(T3943="","",IF(T3943=0,"No discount",IF(T3943&lt;=0.2,"Low (1-20%)",IF(T3943&lt;=0.4,"Medium (21-40%)","High (&gt;40%)"))))</f>
        <v/>
      </c>
      <c r="Y3943" s="23" t="str">
        <f aca="false">IF(AND(ISNUMBER(C3943),ISNUMBER(D3943)),D3943-C3943,"")</f>
        <v/>
      </c>
      <c r="Z3943" s="23" t="str">
        <f aca="false">IF(B3943="","",IF(MATCH(B3943,$B$2:$B$12000,0)=ROW()-1,1,0))</f>
        <v/>
      </c>
    </row>
    <row r="3944" customFormat="false" ht="15" hidden="false" customHeight="false" outlineLevel="0" collapsed="false">
      <c r="V3944" s="23" t="str">
        <f aca="false">IF(ISNUMBER(C3944),YEAR(C3944),"")</f>
        <v/>
      </c>
      <c r="W3944" s="23" t="str">
        <f aca="false">IF(ISNUMBER(C3944),MONTH(C3944),"")</f>
        <v/>
      </c>
      <c r="X3944" s="23" t="str">
        <f aca="false">IF(T3944="","",IF(T3944=0,"No discount",IF(T3944&lt;=0.2,"Low (1-20%)",IF(T3944&lt;=0.4,"Medium (21-40%)","High (&gt;40%)"))))</f>
        <v/>
      </c>
      <c r="Y3944" s="23" t="str">
        <f aca="false">IF(AND(ISNUMBER(C3944),ISNUMBER(D3944)),D3944-C3944,"")</f>
        <v/>
      </c>
      <c r="Z3944" s="23" t="str">
        <f aca="false">IF(B3944="","",IF(MATCH(B3944,$B$2:$B$12000,0)=ROW()-1,1,0))</f>
        <v/>
      </c>
    </row>
    <row r="3945" customFormat="false" ht="15" hidden="false" customHeight="false" outlineLevel="0" collapsed="false">
      <c r="V3945" s="23" t="str">
        <f aca="false">IF(ISNUMBER(C3945),YEAR(C3945),"")</f>
        <v/>
      </c>
      <c r="W3945" s="23" t="str">
        <f aca="false">IF(ISNUMBER(C3945),MONTH(C3945),"")</f>
        <v/>
      </c>
      <c r="X3945" s="23" t="str">
        <f aca="false">IF(T3945="","",IF(T3945=0,"No discount",IF(T3945&lt;=0.2,"Low (1-20%)",IF(T3945&lt;=0.4,"Medium (21-40%)","High (&gt;40%)"))))</f>
        <v/>
      </c>
      <c r="Y3945" s="23" t="str">
        <f aca="false">IF(AND(ISNUMBER(C3945),ISNUMBER(D3945)),D3945-C3945,"")</f>
        <v/>
      </c>
      <c r="Z3945" s="23" t="str">
        <f aca="false">IF(B3945="","",IF(MATCH(B3945,$B$2:$B$12000,0)=ROW()-1,1,0))</f>
        <v/>
      </c>
    </row>
    <row r="3946" customFormat="false" ht="15" hidden="false" customHeight="false" outlineLevel="0" collapsed="false">
      <c r="V3946" s="23" t="str">
        <f aca="false">IF(ISNUMBER(C3946),YEAR(C3946),"")</f>
        <v/>
      </c>
      <c r="W3946" s="23" t="str">
        <f aca="false">IF(ISNUMBER(C3946),MONTH(C3946),"")</f>
        <v/>
      </c>
      <c r="X3946" s="23" t="str">
        <f aca="false">IF(T3946="","",IF(T3946=0,"No discount",IF(T3946&lt;=0.2,"Low (1-20%)",IF(T3946&lt;=0.4,"Medium (21-40%)","High (&gt;40%)"))))</f>
        <v/>
      </c>
      <c r="Y3946" s="23" t="str">
        <f aca="false">IF(AND(ISNUMBER(C3946),ISNUMBER(D3946)),D3946-C3946,"")</f>
        <v/>
      </c>
      <c r="Z3946" s="23" t="str">
        <f aca="false">IF(B3946="","",IF(MATCH(B3946,$B$2:$B$12000,0)=ROW()-1,1,0))</f>
        <v/>
      </c>
    </row>
    <row r="3947" customFormat="false" ht="15" hidden="false" customHeight="false" outlineLevel="0" collapsed="false">
      <c r="V3947" s="23" t="str">
        <f aca="false">IF(ISNUMBER(C3947),YEAR(C3947),"")</f>
        <v/>
      </c>
      <c r="W3947" s="23" t="str">
        <f aca="false">IF(ISNUMBER(C3947),MONTH(C3947),"")</f>
        <v/>
      </c>
      <c r="X3947" s="23" t="str">
        <f aca="false">IF(T3947="","",IF(T3947=0,"No discount",IF(T3947&lt;=0.2,"Low (1-20%)",IF(T3947&lt;=0.4,"Medium (21-40%)","High (&gt;40%)"))))</f>
        <v/>
      </c>
      <c r="Y3947" s="23" t="str">
        <f aca="false">IF(AND(ISNUMBER(C3947),ISNUMBER(D3947)),D3947-C3947,"")</f>
        <v/>
      </c>
      <c r="Z3947" s="23" t="str">
        <f aca="false">IF(B3947="","",IF(MATCH(B3947,$B$2:$B$12000,0)=ROW()-1,1,0))</f>
        <v/>
      </c>
    </row>
    <row r="3948" customFormat="false" ht="15" hidden="false" customHeight="false" outlineLevel="0" collapsed="false">
      <c r="V3948" s="23" t="str">
        <f aca="false">IF(ISNUMBER(C3948),YEAR(C3948),"")</f>
        <v/>
      </c>
      <c r="W3948" s="23" t="str">
        <f aca="false">IF(ISNUMBER(C3948),MONTH(C3948),"")</f>
        <v/>
      </c>
      <c r="X3948" s="23" t="str">
        <f aca="false">IF(T3948="","",IF(T3948=0,"No discount",IF(T3948&lt;=0.2,"Low (1-20%)",IF(T3948&lt;=0.4,"Medium (21-40%)","High (&gt;40%)"))))</f>
        <v/>
      </c>
      <c r="Y3948" s="23" t="str">
        <f aca="false">IF(AND(ISNUMBER(C3948),ISNUMBER(D3948)),D3948-C3948,"")</f>
        <v/>
      </c>
      <c r="Z3948" s="23" t="str">
        <f aca="false">IF(B3948="","",IF(MATCH(B3948,$B$2:$B$12000,0)=ROW()-1,1,0))</f>
        <v/>
      </c>
    </row>
    <row r="3949" customFormat="false" ht="15" hidden="false" customHeight="false" outlineLevel="0" collapsed="false">
      <c r="V3949" s="23" t="str">
        <f aca="false">IF(ISNUMBER(C3949),YEAR(C3949),"")</f>
        <v/>
      </c>
      <c r="W3949" s="23" t="str">
        <f aca="false">IF(ISNUMBER(C3949),MONTH(C3949),"")</f>
        <v/>
      </c>
      <c r="X3949" s="23" t="str">
        <f aca="false">IF(T3949="","",IF(T3949=0,"No discount",IF(T3949&lt;=0.2,"Low (1-20%)",IF(T3949&lt;=0.4,"Medium (21-40%)","High (&gt;40%)"))))</f>
        <v/>
      </c>
      <c r="Y3949" s="23" t="str">
        <f aca="false">IF(AND(ISNUMBER(C3949),ISNUMBER(D3949)),D3949-C3949,"")</f>
        <v/>
      </c>
      <c r="Z3949" s="23" t="str">
        <f aca="false">IF(B3949="","",IF(MATCH(B3949,$B$2:$B$12000,0)=ROW()-1,1,0))</f>
        <v/>
      </c>
    </row>
    <row r="3950" customFormat="false" ht="15" hidden="false" customHeight="false" outlineLevel="0" collapsed="false">
      <c r="V3950" s="23" t="str">
        <f aca="false">IF(ISNUMBER(C3950),YEAR(C3950),"")</f>
        <v/>
      </c>
      <c r="W3950" s="23" t="str">
        <f aca="false">IF(ISNUMBER(C3950),MONTH(C3950),"")</f>
        <v/>
      </c>
      <c r="X3950" s="23" t="str">
        <f aca="false">IF(T3950="","",IF(T3950=0,"No discount",IF(T3950&lt;=0.2,"Low (1-20%)",IF(T3950&lt;=0.4,"Medium (21-40%)","High (&gt;40%)"))))</f>
        <v/>
      </c>
      <c r="Y3950" s="23" t="str">
        <f aca="false">IF(AND(ISNUMBER(C3950),ISNUMBER(D3950)),D3950-C3950,"")</f>
        <v/>
      </c>
      <c r="Z3950" s="23" t="str">
        <f aca="false">IF(B3950="","",IF(MATCH(B3950,$B$2:$B$12000,0)=ROW()-1,1,0))</f>
        <v/>
      </c>
    </row>
    <row r="3951" customFormat="false" ht="15" hidden="false" customHeight="false" outlineLevel="0" collapsed="false">
      <c r="V3951" s="23" t="str">
        <f aca="false">IF(ISNUMBER(C3951),YEAR(C3951),"")</f>
        <v/>
      </c>
      <c r="W3951" s="23" t="str">
        <f aca="false">IF(ISNUMBER(C3951),MONTH(C3951),"")</f>
        <v/>
      </c>
      <c r="X3951" s="23" t="str">
        <f aca="false">IF(T3951="","",IF(T3951=0,"No discount",IF(T3951&lt;=0.2,"Low (1-20%)",IF(T3951&lt;=0.4,"Medium (21-40%)","High (&gt;40%)"))))</f>
        <v/>
      </c>
      <c r="Y3951" s="23" t="str">
        <f aca="false">IF(AND(ISNUMBER(C3951),ISNUMBER(D3951)),D3951-C3951,"")</f>
        <v/>
      </c>
      <c r="Z3951" s="23" t="str">
        <f aca="false">IF(B3951="","",IF(MATCH(B3951,$B$2:$B$12000,0)=ROW()-1,1,0))</f>
        <v/>
      </c>
    </row>
    <row r="3952" customFormat="false" ht="15" hidden="false" customHeight="false" outlineLevel="0" collapsed="false">
      <c r="V3952" s="23" t="str">
        <f aca="false">IF(ISNUMBER(C3952),YEAR(C3952),"")</f>
        <v/>
      </c>
      <c r="W3952" s="23" t="str">
        <f aca="false">IF(ISNUMBER(C3952),MONTH(C3952),"")</f>
        <v/>
      </c>
      <c r="X3952" s="23" t="str">
        <f aca="false">IF(T3952="","",IF(T3952=0,"No discount",IF(T3952&lt;=0.2,"Low (1-20%)",IF(T3952&lt;=0.4,"Medium (21-40%)","High (&gt;40%)"))))</f>
        <v/>
      </c>
      <c r="Y3952" s="23" t="str">
        <f aca="false">IF(AND(ISNUMBER(C3952),ISNUMBER(D3952)),D3952-C3952,"")</f>
        <v/>
      </c>
      <c r="Z3952" s="23" t="str">
        <f aca="false">IF(B3952="","",IF(MATCH(B3952,$B$2:$B$12000,0)=ROW()-1,1,0))</f>
        <v/>
      </c>
    </row>
    <row r="3953" customFormat="false" ht="15" hidden="false" customHeight="false" outlineLevel="0" collapsed="false">
      <c r="V3953" s="23" t="str">
        <f aca="false">IF(ISNUMBER(C3953),YEAR(C3953),"")</f>
        <v/>
      </c>
      <c r="W3953" s="23" t="str">
        <f aca="false">IF(ISNUMBER(C3953),MONTH(C3953),"")</f>
        <v/>
      </c>
      <c r="X3953" s="23" t="str">
        <f aca="false">IF(T3953="","",IF(T3953=0,"No discount",IF(T3953&lt;=0.2,"Low (1-20%)",IF(T3953&lt;=0.4,"Medium (21-40%)","High (&gt;40%)"))))</f>
        <v/>
      </c>
      <c r="Y3953" s="23" t="str">
        <f aca="false">IF(AND(ISNUMBER(C3953),ISNUMBER(D3953)),D3953-C3953,"")</f>
        <v/>
      </c>
      <c r="Z3953" s="23" t="str">
        <f aca="false">IF(B3953="","",IF(MATCH(B3953,$B$2:$B$12000,0)=ROW()-1,1,0))</f>
        <v/>
      </c>
    </row>
    <row r="3954" customFormat="false" ht="15" hidden="false" customHeight="false" outlineLevel="0" collapsed="false">
      <c r="V3954" s="23" t="str">
        <f aca="false">IF(ISNUMBER(C3954),YEAR(C3954),"")</f>
        <v/>
      </c>
      <c r="W3954" s="23" t="str">
        <f aca="false">IF(ISNUMBER(C3954),MONTH(C3954),"")</f>
        <v/>
      </c>
      <c r="X3954" s="23" t="str">
        <f aca="false">IF(T3954="","",IF(T3954=0,"No discount",IF(T3954&lt;=0.2,"Low (1-20%)",IF(T3954&lt;=0.4,"Medium (21-40%)","High (&gt;40%)"))))</f>
        <v/>
      </c>
      <c r="Y3954" s="23" t="str">
        <f aca="false">IF(AND(ISNUMBER(C3954),ISNUMBER(D3954)),D3954-C3954,"")</f>
        <v/>
      </c>
      <c r="Z3954" s="23" t="str">
        <f aca="false">IF(B3954="","",IF(MATCH(B3954,$B$2:$B$12000,0)=ROW()-1,1,0))</f>
        <v/>
      </c>
    </row>
    <row r="3955" customFormat="false" ht="15" hidden="false" customHeight="false" outlineLevel="0" collapsed="false">
      <c r="V3955" s="23" t="str">
        <f aca="false">IF(ISNUMBER(C3955),YEAR(C3955),"")</f>
        <v/>
      </c>
      <c r="W3955" s="23" t="str">
        <f aca="false">IF(ISNUMBER(C3955),MONTH(C3955),"")</f>
        <v/>
      </c>
      <c r="X3955" s="23" t="str">
        <f aca="false">IF(T3955="","",IF(T3955=0,"No discount",IF(T3955&lt;=0.2,"Low (1-20%)",IF(T3955&lt;=0.4,"Medium (21-40%)","High (&gt;40%)"))))</f>
        <v/>
      </c>
      <c r="Y3955" s="23" t="str">
        <f aca="false">IF(AND(ISNUMBER(C3955),ISNUMBER(D3955)),D3955-C3955,"")</f>
        <v/>
      </c>
      <c r="Z3955" s="23" t="str">
        <f aca="false">IF(B3955="","",IF(MATCH(B3955,$B$2:$B$12000,0)=ROW()-1,1,0))</f>
        <v/>
      </c>
    </row>
    <row r="3956" customFormat="false" ht="15" hidden="false" customHeight="false" outlineLevel="0" collapsed="false">
      <c r="V3956" s="23" t="str">
        <f aca="false">IF(ISNUMBER(C3956),YEAR(C3956),"")</f>
        <v/>
      </c>
      <c r="W3956" s="23" t="str">
        <f aca="false">IF(ISNUMBER(C3956),MONTH(C3956),"")</f>
        <v/>
      </c>
      <c r="X3956" s="23" t="str">
        <f aca="false">IF(T3956="","",IF(T3956=0,"No discount",IF(T3956&lt;=0.2,"Low (1-20%)",IF(T3956&lt;=0.4,"Medium (21-40%)","High (&gt;40%)"))))</f>
        <v/>
      </c>
      <c r="Y3956" s="23" t="str">
        <f aca="false">IF(AND(ISNUMBER(C3956),ISNUMBER(D3956)),D3956-C3956,"")</f>
        <v/>
      </c>
      <c r="Z3956" s="23" t="str">
        <f aca="false">IF(B3956="","",IF(MATCH(B3956,$B$2:$B$12000,0)=ROW()-1,1,0))</f>
        <v/>
      </c>
    </row>
    <row r="3957" customFormat="false" ht="15" hidden="false" customHeight="false" outlineLevel="0" collapsed="false">
      <c r="V3957" s="23" t="str">
        <f aca="false">IF(ISNUMBER(C3957),YEAR(C3957),"")</f>
        <v/>
      </c>
      <c r="W3957" s="23" t="str">
        <f aca="false">IF(ISNUMBER(C3957),MONTH(C3957),"")</f>
        <v/>
      </c>
      <c r="X3957" s="23" t="str">
        <f aca="false">IF(T3957="","",IF(T3957=0,"No discount",IF(T3957&lt;=0.2,"Low (1-20%)",IF(T3957&lt;=0.4,"Medium (21-40%)","High (&gt;40%)"))))</f>
        <v/>
      </c>
      <c r="Y3957" s="23" t="str">
        <f aca="false">IF(AND(ISNUMBER(C3957),ISNUMBER(D3957)),D3957-C3957,"")</f>
        <v/>
      </c>
      <c r="Z3957" s="23" t="str">
        <f aca="false">IF(B3957="","",IF(MATCH(B3957,$B$2:$B$12000,0)=ROW()-1,1,0))</f>
        <v/>
      </c>
    </row>
    <row r="3958" customFormat="false" ht="15" hidden="false" customHeight="false" outlineLevel="0" collapsed="false">
      <c r="V3958" s="23" t="str">
        <f aca="false">IF(ISNUMBER(C3958),YEAR(C3958),"")</f>
        <v/>
      </c>
      <c r="W3958" s="23" t="str">
        <f aca="false">IF(ISNUMBER(C3958),MONTH(C3958),"")</f>
        <v/>
      </c>
      <c r="X3958" s="23" t="str">
        <f aca="false">IF(T3958="","",IF(T3958=0,"No discount",IF(T3958&lt;=0.2,"Low (1-20%)",IF(T3958&lt;=0.4,"Medium (21-40%)","High (&gt;40%)"))))</f>
        <v/>
      </c>
      <c r="Y3958" s="23" t="str">
        <f aca="false">IF(AND(ISNUMBER(C3958),ISNUMBER(D3958)),D3958-C3958,"")</f>
        <v/>
      </c>
      <c r="Z3958" s="23" t="str">
        <f aca="false">IF(B3958="","",IF(MATCH(B3958,$B$2:$B$12000,0)=ROW()-1,1,0))</f>
        <v/>
      </c>
    </row>
    <row r="3959" customFormat="false" ht="15" hidden="false" customHeight="false" outlineLevel="0" collapsed="false">
      <c r="V3959" s="23" t="str">
        <f aca="false">IF(ISNUMBER(C3959),YEAR(C3959),"")</f>
        <v/>
      </c>
      <c r="W3959" s="23" t="str">
        <f aca="false">IF(ISNUMBER(C3959),MONTH(C3959),"")</f>
        <v/>
      </c>
      <c r="X3959" s="23" t="str">
        <f aca="false">IF(T3959="","",IF(T3959=0,"No discount",IF(T3959&lt;=0.2,"Low (1-20%)",IF(T3959&lt;=0.4,"Medium (21-40%)","High (&gt;40%)"))))</f>
        <v/>
      </c>
      <c r="Y3959" s="23" t="str">
        <f aca="false">IF(AND(ISNUMBER(C3959),ISNUMBER(D3959)),D3959-C3959,"")</f>
        <v/>
      </c>
      <c r="Z3959" s="23" t="str">
        <f aca="false">IF(B3959="","",IF(MATCH(B3959,$B$2:$B$12000,0)=ROW()-1,1,0))</f>
        <v/>
      </c>
    </row>
    <row r="3960" customFormat="false" ht="15" hidden="false" customHeight="false" outlineLevel="0" collapsed="false">
      <c r="V3960" s="23" t="str">
        <f aca="false">IF(ISNUMBER(C3960),YEAR(C3960),"")</f>
        <v/>
      </c>
      <c r="W3960" s="23" t="str">
        <f aca="false">IF(ISNUMBER(C3960),MONTH(C3960),"")</f>
        <v/>
      </c>
      <c r="X3960" s="23" t="str">
        <f aca="false">IF(T3960="","",IF(T3960=0,"No discount",IF(T3960&lt;=0.2,"Low (1-20%)",IF(T3960&lt;=0.4,"Medium (21-40%)","High (&gt;40%)"))))</f>
        <v/>
      </c>
      <c r="Y3960" s="23" t="str">
        <f aca="false">IF(AND(ISNUMBER(C3960),ISNUMBER(D3960)),D3960-C3960,"")</f>
        <v/>
      </c>
      <c r="Z3960" s="23" t="str">
        <f aca="false">IF(B3960="","",IF(MATCH(B3960,$B$2:$B$12000,0)=ROW()-1,1,0))</f>
        <v/>
      </c>
    </row>
    <row r="3961" customFormat="false" ht="15" hidden="false" customHeight="false" outlineLevel="0" collapsed="false">
      <c r="V3961" s="23" t="str">
        <f aca="false">IF(ISNUMBER(C3961),YEAR(C3961),"")</f>
        <v/>
      </c>
      <c r="W3961" s="23" t="str">
        <f aca="false">IF(ISNUMBER(C3961),MONTH(C3961),"")</f>
        <v/>
      </c>
      <c r="X3961" s="23" t="str">
        <f aca="false">IF(T3961="","",IF(T3961=0,"No discount",IF(T3961&lt;=0.2,"Low (1-20%)",IF(T3961&lt;=0.4,"Medium (21-40%)","High (&gt;40%)"))))</f>
        <v/>
      </c>
      <c r="Y3961" s="23" t="str">
        <f aca="false">IF(AND(ISNUMBER(C3961),ISNUMBER(D3961)),D3961-C3961,"")</f>
        <v/>
      </c>
      <c r="Z3961" s="23" t="str">
        <f aca="false">IF(B3961="","",IF(MATCH(B3961,$B$2:$B$12000,0)=ROW()-1,1,0))</f>
        <v/>
      </c>
    </row>
    <row r="3962" customFormat="false" ht="15" hidden="false" customHeight="false" outlineLevel="0" collapsed="false">
      <c r="V3962" s="23" t="str">
        <f aca="false">IF(ISNUMBER(C3962),YEAR(C3962),"")</f>
        <v/>
      </c>
      <c r="W3962" s="23" t="str">
        <f aca="false">IF(ISNUMBER(C3962),MONTH(C3962),"")</f>
        <v/>
      </c>
      <c r="X3962" s="23" t="str">
        <f aca="false">IF(T3962="","",IF(T3962=0,"No discount",IF(T3962&lt;=0.2,"Low (1-20%)",IF(T3962&lt;=0.4,"Medium (21-40%)","High (&gt;40%)"))))</f>
        <v/>
      </c>
      <c r="Y3962" s="23" t="str">
        <f aca="false">IF(AND(ISNUMBER(C3962),ISNUMBER(D3962)),D3962-C3962,"")</f>
        <v/>
      </c>
      <c r="Z3962" s="23" t="str">
        <f aca="false">IF(B3962="","",IF(MATCH(B3962,$B$2:$B$12000,0)=ROW()-1,1,0))</f>
        <v/>
      </c>
    </row>
    <row r="3963" customFormat="false" ht="15" hidden="false" customHeight="false" outlineLevel="0" collapsed="false">
      <c r="V3963" s="23" t="str">
        <f aca="false">IF(ISNUMBER(C3963),YEAR(C3963),"")</f>
        <v/>
      </c>
      <c r="W3963" s="23" t="str">
        <f aca="false">IF(ISNUMBER(C3963),MONTH(C3963),"")</f>
        <v/>
      </c>
      <c r="X3963" s="23" t="str">
        <f aca="false">IF(T3963="","",IF(T3963=0,"No discount",IF(T3963&lt;=0.2,"Low (1-20%)",IF(T3963&lt;=0.4,"Medium (21-40%)","High (&gt;40%)"))))</f>
        <v/>
      </c>
      <c r="Y3963" s="23" t="str">
        <f aca="false">IF(AND(ISNUMBER(C3963),ISNUMBER(D3963)),D3963-C3963,"")</f>
        <v/>
      </c>
      <c r="Z3963" s="23" t="str">
        <f aca="false">IF(B3963="","",IF(MATCH(B3963,$B$2:$B$12000,0)=ROW()-1,1,0))</f>
        <v/>
      </c>
    </row>
    <row r="3964" customFormat="false" ht="15" hidden="false" customHeight="false" outlineLevel="0" collapsed="false">
      <c r="V3964" s="23" t="str">
        <f aca="false">IF(ISNUMBER(C3964),YEAR(C3964),"")</f>
        <v/>
      </c>
      <c r="W3964" s="23" t="str">
        <f aca="false">IF(ISNUMBER(C3964),MONTH(C3964),"")</f>
        <v/>
      </c>
      <c r="X3964" s="23" t="str">
        <f aca="false">IF(T3964="","",IF(T3964=0,"No discount",IF(T3964&lt;=0.2,"Low (1-20%)",IF(T3964&lt;=0.4,"Medium (21-40%)","High (&gt;40%)"))))</f>
        <v/>
      </c>
      <c r="Y3964" s="23" t="str">
        <f aca="false">IF(AND(ISNUMBER(C3964),ISNUMBER(D3964)),D3964-C3964,"")</f>
        <v/>
      </c>
      <c r="Z3964" s="23" t="str">
        <f aca="false">IF(B3964="","",IF(MATCH(B3964,$B$2:$B$12000,0)=ROW()-1,1,0))</f>
        <v/>
      </c>
    </row>
    <row r="3965" customFormat="false" ht="15" hidden="false" customHeight="false" outlineLevel="0" collapsed="false">
      <c r="V3965" s="23" t="str">
        <f aca="false">IF(ISNUMBER(C3965),YEAR(C3965),"")</f>
        <v/>
      </c>
      <c r="W3965" s="23" t="str">
        <f aca="false">IF(ISNUMBER(C3965),MONTH(C3965),"")</f>
        <v/>
      </c>
      <c r="X3965" s="23" t="str">
        <f aca="false">IF(T3965="","",IF(T3965=0,"No discount",IF(T3965&lt;=0.2,"Low (1-20%)",IF(T3965&lt;=0.4,"Medium (21-40%)","High (&gt;40%)"))))</f>
        <v/>
      </c>
      <c r="Y3965" s="23" t="str">
        <f aca="false">IF(AND(ISNUMBER(C3965),ISNUMBER(D3965)),D3965-C3965,"")</f>
        <v/>
      </c>
      <c r="Z3965" s="23" t="str">
        <f aca="false">IF(B3965="","",IF(MATCH(B3965,$B$2:$B$12000,0)=ROW()-1,1,0))</f>
        <v/>
      </c>
    </row>
    <row r="3966" customFormat="false" ht="15" hidden="false" customHeight="false" outlineLevel="0" collapsed="false">
      <c r="V3966" s="23" t="str">
        <f aca="false">IF(ISNUMBER(C3966),YEAR(C3966),"")</f>
        <v/>
      </c>
      <c r="W3966" s="23" t="str">
        <f aca="false">IF(ISNUMBER(C3966),MONTH(C3966),"")</f>
        <v/>
      </c>
      <c r="X3966" s="23" t="str">
        <f aca="false">IF(T3966="","",IF(T3966=0,"No discount",IF(T3966&lt;=0.2,"Low (1-20%)",IF(T3966&lt;=0.4,"Medium (21-40%)","High (&gt;40%)"))))</f>
        <v/>
      </c>
      <c r="Y3966" s="23" t="str">
        <f aca="false">IF(AND(ISNUMBER(C3966),ISNUMBER(D3966)),D3966-C3966,"")</f>
        <v/>
      </c>
      <c r="Z3966" s="23" t="str">
        <f aca="false">IF(B3966="","",IF(MATCH(B3966,$B$2:$B$12000,0)=ROW()-1,1,0))</f>
        <v/>
      </c>
    </row>
    <row r="3967" customFormat="false" ht="15" hidden="false" customHeight="false" outlineLevel="0" collapsed="false">
      <c r="V3967" s="23" t="str">
        <f aca="false">IF(ISNUMBER(C3967),YEAR(C3967),"")</f>
        <v/>
      </c>
      <c r="W3967" s="23" t="str">
        <f aca="false">IF(ISNUMBER(C3967),MONTH(C3967),"")</f>
        <v/>
      </c>
      <c r="X3967" s="23" t="str">
        <f aca="false">IF(T3967="","",IF(T3967=0,"No discount",IF(T3967&lt;=0.2,"Low (1-20%)",IF(T3967&lt;=0.4,"Medium (21-40%)","High (&gt;40%)"))))</f>
        <v/>
      </c>
      <c r="Y3967" s="23" t="str">
        <f aca="false">IF(AND(ISNUMBER(C3967),ISNUMBER(D3967)),D3967-C3967,"")</f>
        <v/>
      </c>
      <c r="Z3967" s="23" t="str">
        <f aca="false">IF(B3967="","",IF(MATCH(B3967,$B$2:$B$12000,0)=ROW()-1,1,0))</f>
        <v/>
      </c>
    </row>
    <row r="3968" customFormat="false" ht="15" hidden="false" customHeight="false" outlineLevel="0" collapsed="false">
      <c r="V3968" s="23" t="str">
        <f aca="false">IF(ISNUMBER(C3968),YEAR(C3968),"")</f>
        <v/>
      </c>
      <c r="W3968" s="23" t="str">
        <f aca="false">IF(ISNUMBER(C3968),MONTH(C3968),"")</f>
        <v/>
      </c>
      <c r="X3968" s="23" t="str">
        <f aca="false">IF(T3968="","",IF(T3968=0,"No discount",IF(T3968&lt;=0.2,"Low (1-20%)",IF(T3968&lt;=0.4,"Medium (21-40%)","High (&gt;40%)"))))</f>
        <v/>
      </c>
      <c r="Y3968" s="23" t="str">
        <f aca="false">IF(AND(ISNUMBER(C3968),ISNUMBER(D3968)),D3968-C3968,"")</f>
        <v/>
      </c>
      <c r="Z3968" s="23" t="str">
        <f aca="false">IF(B3968="","",IF(MATCH(B3968,$B$2:$B$12000,0)=ROW()-1,1,0))</f>
        <v/>
      </c>
    </row>
    <row r="3969" customFormat="false" ht="15" hidden="false" customHeight="false" outlineLevel="0" collapsed="false">
      <c r="V3969" s="23" t="str">
        <f aca="false">IF(ISNUMBER(C3969),YEAR(C3969),"")</f>
        <v/>
      </c>
      <c r="W3969" s="23" t="str">
        <f aca="false">IF(ISNUMBER(C3969),MONTH(C3969),"")</f>
        <v/>
      </c>
      <c r="X3969" s="23" t="str">
        <f aca="false">IF(T3969="","",IF(T3969=0,"No discount",IF(T3969&lt;=0.2,"Low (1-20%)",IF(T3969&lt;=0.4,"Medium (21-40%)","High (&gt;40%)"))))</f>
        <v/>
      </c>
      <c r="Y3969" s="23" t="str">
        <f aca="false">IF(AND(ISNUMBER(C3969),ISNUMBER(D3969)),D3969-C3969,"")</f>
        <v/>
      </c>
      <c r="Z3969" s="23" t="str">
        <f aca="false">IF(B3969="","",IF(MATCH(B3969,$B$2:$B$12000,0)=ROW()-1,1,0))</f>
        <v/>
      </c>
    </row>
    <row r="3970" customFormat="false" ht="15" hidden="false" customHeight="false" outlineLevel="0" collapsed="false">
      <c r="V3970" s="23" t="str">
        <f aca="false">IF(ISNUMBER(C3970),YEAR(C3970),"")</f>
        <v/>
      </c>
      <c r="W3970" s="23" t="str">
        <f aca="false">IF(ISNUMBER(C3970),MONTH(C3970),"")</f>
        <v/>
      </c>
      <c r="X3970" s="23" t="str">
        <f aca="false">IF(T3970="","",IF(T3970=0,"No discount",IF(T3970&lt;=0.2,"Low (1-20%)",IF(T3970&lt;=0.4,"Medium (21-40%)","High (&gt;40%)"))))</f>
        <v/>
      </c>
      <c r="Y3970" s="23" t="str">
        <f aca="false">IF(AND(ISNUMBER(C3970),ISNUMBER(D3970)),D3970-C3970,"")</f>
        <v/>
      </c>
      <c r="Z3970" s="23" t="str">
        <f aca="false">IF(B3970="","",IF(MATCH(B3970,$B$2:$B$12000,0)=ROW()-1,1,0))</f>
        <v/>
      </c>
    </row>
    <row r="3971" customFormat="false" ht="15" hidden="false" customHeight="false" outlineLevel="0" collapsed="false">
      <c r="V3971" s="23" t="str">
        <f aca="false">IF(ISNUMBER(C3971),YEAR(C3971),"")</f>
        <v/>
      </c>
      <c r="W3971" s="23" t="str">
        <f aca="false">IF(ISNUMBER(C3971),MONTH(C3971),"")</f>
        <v/>
      </c>
      <c r="X3971" s="23" t="str">
        <f aca="false">IF(T3971="","",IF(T3971=0,"No discount",IF(T3971&lt;=0.2,"Low (1-20%)",IF(T3971&lt;=0.4,"Medium (21-40%)","High (&gt;40%)"))))</f>
        <v/>
      </c>
      <c r="Y3971" s="23" t="str">
        <f aca="false">IF(AND(ISNUMBER(C3971),ISNUMBER(D3971)),D3971-C3971,"")</f>
        <v/>
      </c>
      <c r="Z3971" s="23" t="str">
        <f aca="false">IF(B3971="","",IF(MATCH(B3971,$B$2:$B$12000,0)=ROW()-1,1,0))</f>
        <v/>
      </c>
    </row>
    <row r="3972" customFormat="false" ht="15" hidden="false" customHeight="false" outlineLevel="0" collapsed="false">
      <c r="V3972" s="23" t="str">
        <f aca="false">IF(ISNUMBER(C3972),YEAR(C3972),"")</f>
        <v/>
      </c>
      <c r="W3972" s="23" t="str">
        <f aca="false">IF(ISNUMBER(C3972),MONTH(C3972),"")</f>
        <v/>
      </c>
      <c r="X3972" s="23" t="str">
        <f aca="false">IF(T3972="","",IF(T3972=0,"No discount",IF(T3972&lt;=0.2,"Low (1-20%)",IF(T3972&lt;=0.4,"Medium (21-40%)","High (&gt;40%)"))))</f>
        <v/>
      </c>
      <c r="Y3972" s="23" t="str">
        <f aca="false">IF(AND(ISNUMBER(C3972),ISNUMBER(D3972)),D3972-C3972,"")</f>
        <v/>
      </c>
      <c r="Z3972" s="23" t="str">
        <f aca="false">IF(B3972="","",IF(MATCH(B3972,$B$2:$B$12000,0)=ROW()-1,1,0))</f>
        <v/>
      </c>
    </row>
    <row r="3973" customFormat="false" ht="15" hidden="false" customHeight="false" outlineLevel="0" collapsed="false">
      <c r="V3973" s="23" t="str">
        <f aca="false">IF(ISNUMBER(C3973),YEAR(C3973),"")</f>
        <v/>
      </c>
      <c r="W3973" s="23" t="str">
        <f aca="false">IF(ISNUMBER(C3973),MONTH(C3973),"")</f>
        <v/>
      </c>
      <c r="X3973" s="23" t="str">
        <f aca="false">IF(T3973="","",IF(T3973=0,"No discount",IF(T3973&lt;=0.2,"Low (1-20%)",IF(T3973&lt;=0.4,"Medium (21-40%)","High (&gt;40%)"))))</f>
        <v/>
      </c>
      <c r="Y3973" s="23" t="str">
        <f aca="false">IF(AND(ISNUMBER(C3973),ISNUMBER(D3973)),D3973-C3973,"")</f>
        <v/>
      </c>
      <c r="Z3973" s="23" t="str">
        <f aca="false">IF(B3973="","",IF(MATCH(B3973,$B$2:$B$12000,0)=ROW()-1,1,0))</f>
        <v/>
      </c>
    </row>
    <row r="3974" customFormat="false" ht="15" hidden="false" customHeight="false" outlineLevel="0" collapsed="false">
      <c r="V3974" s="23" t="str">
        <f aca="false">IF(ISNUMBER(C3974),YEAR(C3974),"")</f>
        <v/>
      </c>
      <c r="W3974" s="23" t="str">
        <f aca="false">IF(ISNUMBER(C3974),MONTH(C3974),"")</f>
        <v/>
      </c>
      <c r="X3974" s="23" t="str">
        <f aca="false">IF(T3974="","",IF(T3974=0,"No discount",IF(T3974&lt;=0.2,"Low (1-20%)",IF(T3974&lt;=0.4,"Medium (21-40%)","High (&gt;40%)"))))</f>
        <v/>
      </c>
      <c r="Y3974" s="23" t="str">
        <f aca="false">IF(AND(ISNUMBER(C3974),ISNUMBER(D3974)),D3974-C3974,"")</f>
        <v/>
      </c>
      <c r="Z3974" s="23" t="str">
        <f aca="false">IF(B3974="","",IF(MATCH(B3974,$B$2:$B$12000,0)=ROW()-1,1,0))</f>
        <v/>
      </c>
    </row>
    <row r="3975" customFormat="false" ht="15" hidden="false" customHeight="false" outlineLevel="0" collapsed="false">
      <c r="V3975" s="23" t="str">
        <f aca="false">IF(ISNUMBER(C3975),YEAR(C3975),"")</f>
        <v/>
      </c>
      <c r="W3975" s="23" t="str">
        <f aca="false">IF(ISNUMBER(C3975),MONTH(C3975),"")</f>
        <v/>
      </c>
      <c r="X3975" s="23" t="str">
        <f aca="false">IF(T3975="","",IF(T3975=0,"No discount",IF(T3975&lt;=0.2,"Low (1-20%)",IF(T3975&lt;=0.4,"Medium (21-40%)","High (&gt;40%)"))))</f>
        <v/>
      </c>
      <c r="Y3975" s="23" t="str">
        <f aca="false">IF(AND(ISNUMBER(C3975),ISNUMBER(D3975)),D3975-C3975,"")</f>
        <v/>
      </c>
      <c r="Z3975" s="23" t="str">
        <f aca="false">IF(B3975="","",IF(MATCH(B3975,$B$2:$B$12000,0)=ROW()-1,1,0))</f>
        <v/>
      </c>
    </row>
    <row r="3976" customFormat="false" ht="15" hidden="false" customHeight="false" outlineLevel="0" collapsed="false">
      <c r="V3976" s="23" t="str">
        <f aca="false">IF(ISNUMBER(C3976),YEAR(C3976),"")</f>
        <v/>
      </c>
      <c r="W3976" s="23" t="str">
        <f aca="false">IF(ISNUMBER(C3976),MONTH(C3976),"")</f>
        <v/>
      </c>
      <c r="X3976" s="23" t="str">
        <f aca="false">IF(T3976="","",IF(T3976=0,"No discount",IF(T3976&lt;=0.2,"Low (1-20%)",IF(T3976&lt;=0.4,"Medium (21-40%)","High (&gt;40%)"))))</f>
        <v/>
      </c>
      <c r="Y3976" s="23" t="str">
        <f aca="false">IF(AND(ISNUMBER(C3976),ISNUMBER(D3976)),D3976-C3976,"")</f>
        <v/>
      </c>
      <c r="Z3976" s="23" t="str">
        <f aca="false">IF(B3976="","",IF(MATCH(B3976,$B$2:$B$12000,0)=ROW()-1,1,0))</f>
        <v/>
      </c>
    </row>
    <row r="3977" customFormat="false" ht="15" hidden="false" customHeight="false" outlineLevel="0" collapsed="false">
      <c r="V3977" s="23" t="str">
        <f aca="false">IF(ISNUMBER(C3977),YEAR(C3977),"")</f>
        <v/>
      </c>
      <c r="W3977" s="23" t="str">
        <f aca="false">IF(ISNUMBER(C3977),MONTH(C3977),"")</f>
        <v/>
      </c>
      <c r="X3977" s="23" t="str">
        <f aca="false">IF(T3977="","",IF(T3977=0,"No discount",IF(T3977&lt;=0.2,"Low (1-20%)",IF(T3977&lt;=0.4,"Medium (21-40%)","High (&gt;40%)"))))</f>
        <v/>
      </c>
      <c r="Y3977" s="23" t="str">
        <f aca="false">IF(AND(ISNUMBER(C3977),ISNUMBER(D3977)),D3977-C3977,"")</f>
        <v/>
      </c>
      <c r="Z3977" s="23" t="str">
        <f aca="false">IF(B3977="","",IF(MATCH(B3977,$B$2:$B$12000,0)=ROW()-1,1,0))</f>
        <v/>
      </c>
    </row>
    <row r="3978" customFormat="false" ht="15" hidden="false" customHeight="false" outlineLevel="0" collapsed="false">
      <c r="V3978" s="23" t="str">
        <f aca="false">IF(ISNUMBER(C3978),YEAR(C3978),"")</f>
        <v/>
      </c>
      <c r="W3978" s="23" t="str">
        <f aca="false">IF(ISNUMBER(C3978),MONTH(C3978),"")</f>
        <v/>
      </c>
      <c r="X3978" s="23" t="str">
        <f aca="false">IF(T3978="","",IF(T3978=0,"No discount",IF(T3978&lt;=0.2,"Low (1-20%)",IF(T3978&lt;=0.4,"Medium (21-40%)","High (&gt;40%)"))))</f>
        <v/>
      </c>
      <c r="Y3978" s="23" t="str">
        <f aca="false">IF(AND(ISNUMBER(C3978),ISNUMBER(D3978)),D3978-C3978,"")</f>
        <v/>
      </c>
      <c r="Z3978" s="23" t="str">
        <f aca="false">IF(B3978="","",IF(MATCH(B3978,$B$2:$B$12000,0)=ROW()-1,1,0))</f>
        <v/>
      </c>
    </row>
    <row r="3979" customFormat="false" ht="15" hidden="false" customHeight="false" outlineLevel="0" collapsed="false">
      <c r="V3979" s="23" t="str">
        <f aca="false">IF(ISNUMBER(C3979),YEAR(C3979),"")</f>
        <v/>
      </c>
      <c r="W3979" s="23" t="str">
        <f aca="false">IF(ISNUMBER(C3979),MONTH(C3979),"")</f>
        <v/>
      </c>
      <c r="X3979" s="23" t="str">
        <f aca="false">IF(T3979="","",IF(T3979=0,"No discount",IF(T3979&lt;=0.2,"Low (1-20%)",IF(T3979&lt;=0.4,"Medium (21-40%)","High (&gt;40%)"))))</f>
        <v/>
      </c>
      <c r="Y3979" s="23" t="str">
        <f aca="false">IF(AND(ISNUMBER(C3979),ISNUMBER(D3979)),D3979-C3979,"")</f>
        <v/>
      </c>
      <c r="Z3979" s="23" t="str">
        <f aca="false">IF(B3979="","",IF(MATCH(B3979,$B$2:$B$12000,0)=ROW()-1,1,0))</f>
        <v/>
      </c>
    </row>
    <row r="3980" customFormat="false" ht="15" hidden="false" customHeight="false" outlineLevel="0" collapsed="false">
      <c r="V3980" s="23" t="str">
        <f aca="false">IF(ISNUMBER(C3980),YEAR(C3980),"")</f>
        <v/>
      </c>
      <c r="W3980" s="23" t="str">
        <f aca="false">IF(ISNUMBER(C3980),MONTH(C3980),"")</f>
        <v/>
      </c>
      <c r="X3980" s="23" t="str">
        <f aca="false">IF(T3980="","",IF(T3980=0,"No discount",IF(T3980&lt;=0.2,"Low (1-20%)",IF(T3980&lt;=0.4,"Medium (21-40%)","High (&gt;40%)"))))</f>
        <v/>
      </c>
      <c r="Y3980" s="23" t="str">
        <f aca="false">IF(AND(ISNUMBER(C3980),ISNUMBER(D3980)),D3980-C3980,"")</f>
        <v/>
      </c>
      <c r="Z3980" s="23" t="str">
        <f aca="false">IF(B3980="","",IF(MATCH(B3980,$B$2:$B$12000,0)=ROW()-1,1,0))</f>
        <v/>
      </c>
    </row>
    <row r="3981" customFormat="false" ht="15" hidden="false" customHeight="false" outlineLevel="0" collapsed="false">
      <c r="V3981" s="23" t="str">
        <f aca="false">IF(ISNUMBER(C3981),YEAR(C3981),"")</f>
        <v/>
      </c>
      <c r="W3981" s="23" t="str">
        <f aca="false">IF(ISNUMBER(C3981),MONTH(C3981),"")</f>
        <v/>
      </c>
      <c r="X3981" s="23" t="str">
        <f aca="false">IF(T3981="","",IF(T3981=0,"No discount",IF(T3981&lt;=0.2,"Low (1-20%)",IF(T3981&lt;=0.4,"Medium (21-40%)","High (&gt;40%)"))))</f>
        <v/>
      </c>
      <c r="Y3981" s="23" t="str">
        <f aca="false">IF(AND(ISNUMBER(C3981),ISNUMBER(D3981)),D3981-C3981,"")</f>
        <v/>
      </c>
      <c r="Z3981" s="23" t="str">
        <f aca="false">IF(B3981="","",IF(MATCH(B3981,$B$2:$B$12000,0)=ROW()-1,1,0))</f>
        <v/>
      </c>
    </row>
    <row r="3982" customFormat="false" ht="15" hidden="false" customHeight="false" outlineLevel="0" collapsed="false">
      <c r="V3982" s="23" t="str">
        <f aca="false">IF(ISNUMBER(C3982),YEAR(C3982),"")</f>
        <v/>
      </c>
      <c r="W3982" s="23" t="str">
        <f aca="false">IF(ISNUMBER(C3982),MONTH(C3982),"")</f>
        <v/>
      </c>
      <c r="X3982" s="23" t="str">
        <f aca="false">IF(T3982="","",IF(T3982=0,"No discount",IF(T3982&lt;=0.2,"Low (1-20%)",IF(T3982&lt;=0.4,"Medium (21-40%)","High (&gt;40%)"))))</f>
        <v/>
      </c>
      <c r="Y3982" s="23" t="str">
        <f aca="false">IF(AND(ISNUMBER(C3982),ISNUMBER(D3982)),D3982-C3982,"")</f>
        <v/>
      </c>
      <c r="Z3982" s="23" t="str">
        <f aca="false">IF(B3982="","",IF(MATCH(B3982,$B$2:$B$12000,0)=ROW()-1,1,0))</f>
        <v/>
      </c>
    </row>
    <row r="3983" customFormat="false" ht="15" hidden="false" customHeight="false" outlineLevel="0" collapsed="false">
      <c r="V3983" s="23" t="str">
        <f aca="false">IF(ISNUMBER(C3983),YEAR(C3983),"")</f>
        <v/>
      </c>
      <c r="W3983" s="23" t="str">
        <f aca="false">IF(ISNUMBER(C3983),MONTH(C3983),"")</f>
        <v/>
      </c>
      <c r="X3983" s="23" t="str">
        <f aca="false">IF(T3983="","",IF(T3983=0,"No discount",IF(T3983&lt;=0.2,"Low (1-20%)",IF(T3983&lt;=0.4,"Medium (21-40%)","High (&gt;40%)"))))</f>
        <v/>
      </c>
      <c r="Y3983" s="23" t="str">
        <f aca="false">IF(AND(ISNUMBER(C3983),ISNUMBER(D3983)),D3983-C3983,"")</f>
        <v/>
      </c>
      <c r="Z3983" s="23" t="str">
        <f aca="false">IF(B3983="","",IF(MATCH(B3983,$B$2:$B$12000,0)=ROW()-1,1,0))</f>
        <v/>
      </c>
    </row>
    <row r="3984" customFormat="false" ht="15" hidden="false" customHeight="false" outlineLevel="0" collapsed="false">
      <c r="V3984" s="23" t="str">
        <f aca="false">IF(ISNUMBER(C3984),YEAR(C3984),"")</f>
        <v/>
      </c>
      <c r="W3984" s="23" t="str">
        <f aca="false">IF(ISNUMBER(C3984),MONTH(C3984),"")</f>
        <v/>
      </c>
      <c r="X3984" s="23" t="str">
        <f aca="false">IF(T3984="","",IF(T3984=0,"No discount",IF(T3984&lt;=0.2,"Low (1-20%)",IF(T3984&lt;=0.4,"Medium (21-40%)","High (&gt;40%)"))))</f>
        <v/>
      </c>
      <c r="Y3984" s="23" t="str">
        <f aca="false">IF(AND(ISNUMBER(C3984),ISNUMBER(D3984)),D3984-C3984,"")</f>
        <v/>
      </c>
      <c r="Z3984" s="23" t="str">
        <f aca="false">IF(B3984="","",IF(MATCH(B3984,$B$2:$B$12000,0)=ROW()-1,1,0))</f>
        <v/>
      </c>
    </row>
    <row r="3985" customFormat="false" ht="15" hidden="false" customHeight="false" outlineLevel="0" collapsed="false">
      <c r="V3985" s="23" t="str">
        <f aca="false">IF(ISNUMBER(C3985),YEAR(C3985),"")</f>
        <v/>
      </c>
      <c r="W3985" s="23" t="str">
        <f aca="false">IF(ISNUMBER(C3985),MONTH(C3985),"")</f>
        <v/>
      </c>
      <c r="X3985" s="23" t="str">
        <f aca="false">IF(T3985="","",IF(T3985=0,"No discount",IF(T3985&lt;=0.2,"Low (1-20%)",IF(T3985&lt;=0.4,"Medium (21-40%)","High (&gt;40%)"))))</f>
        <v/>
      </c>
      <c r="Y3985" s="23" t="str">
        <f aca="false">IF(AND(ISNUMBER(C3985),ISNUMBER(D3985)),D3985-C3985,"")</f>
        <v/>
      </c>
      <c r="Z3985" s="23" t="str">
        <f aca="false">IF(B3985="","",IF(MATCH(B3985,$B$2:$B$12000,0)=ROW()-1,1,0))</f>
        <v/>
      </c>
    </row>
    <row r="3986" customFormat="false" ht="15" hidden="false" customHeight="false" outlineLevel="0" collapsed="false">
      <c r="V3986" s="23" t="str">
        <f aca="false">IF(ISNUMBER(C3986),YEAR(C3986),"")</f>
        <v/>
      </c>
      <c r="W3986" s="23" t="str">
        <f aca="false">IF(ISNUMBER(C3986),MONTH(C3986),"")</f>
        <v/>
      </c>
      <c r="X3986" s="23" t="str">
        <f aca="false">IF(T3986="","",IF(T3986=0,"No discount",IF(T3986&lt;=0.2,"Low (1-20%)",IF(T3986&lt;=0.4,"Medium (21-40%)","High (&gt;40%)"))))</f>
        <v/>
      </c>
      <c r="Y3986" s="23" t="str">
        <f aca="false">IF(AND(ISNUMBER(C3986),ISNUMBER(D3986)),D3986-C3986,"")</f>
        <v/>
      </c>
      <c r="Z3986" s="23" t="str">
        <f aca="false">IF(B3986="","",IF(MATCH(B3986,$B$2:$B$12000,0)=ROW()-1,1,0))</f>
        <v/>
      </c>
    </row>
    <row r="3987" customFormat="false" ht="15" hidden="false" customHeight="false" outlineLevel="0" collapsed="false">
      <c r="V3987" s="23" t="str">
        <f aca="false">IF(ISNUMBER(C3987),YEAR(C3987),"")</f>
        <v/>
      </c>
      <c r="W3987" s="23" t="str">
        <f aca="false">IF(ISNUMBER(C3987),MONTH(C3987),"")</f>
        <v/>
      </c>
      <c r="X3987" s="23" t="str">
        <f aca="false">IF(T3987="","",IF(T3987=0,"No discount",IF(T3987&lt;=0.2,"Low (1-20%)",IF(T3987&lt;=0.4,"Medium (21-40%)","High (&gt;40%)"))))</f>
        <v/>
      </c>
      <c r="Y3987" s="23" t="str">
        <f aca="false">IF(AND(ISNUMBER(C3987),ISNUMBER(D3987)),D3987-C3987,"")</f>
        <v/>
      </c>
      <c r="Z3987" s="23" t="str">
        <f aca="false">IF(B3987="","",IF(MATCH(B3987,$B$2:$B$12000,0)=ROW()-1,1,0))</f>
        <v/>
      </c>
    </row>
    <row r="3988" customFormat="false" ht="15" hidden="false" customHeight="false" outlineLevel="0" collapsed="false">
      <c r="V3988" s="23" t="str">
        <f aca="false">IF(ISNUMBER(C3988),YEAR(C3988),"")</f>
        <v/>
      </c>
      <c r="W3988" s="23" t="str">
        <f aca="false">IF(ISNUMBER(C3988),MONTH(C3988),"")</f>
        <v/>
      </c>
      <c r="X3988" s="23" t="str">
        <f aca="false">IF(T3988="","",IF(T3988=0,"No discount",IF(T3988&lt;=0.2,"Low (1-20%)",IF(T3988&lt;=0.4,"Medium (21-40%)","High (&gt;40%)"))))</f>
        <v/>
      </c>
      <c r="Y3988" s="23" t="str">
        <f aca="false">IF(AND(ISNUMBER(C3988),ISNUMBER(D3988)),D3988-C3988,"")</f>
        <v/>
      </c>
      <c r="Z3988" s="23" t="str">
        <f aca="false">IF(B3988="","",IF(MATCH(B3988,$B$2:$B$12000,0)=ROW()-1,1,0))</f>
        <v/>
      </c>
    </row>
    <row r="3989" customFormat="false" ht="15" hidden="false" customHeight="false" outlineLevel="0" collapsed="false">
      <c r="V3989" s="23" t="str">
        <f aca="false">IF(ISNUMBER(C3989),YEAR(C3989),"")</f>
        <v/>
      </c>
      <c r="W3989" s="23" t="str">
        <f aca="false">IF(ISNUMBER(C3989),MONTH(C3989),"")</f>
        <v/>
      </c>
      <c r="X3989" s="23" t="str">
        <f aca="false">IF(T3989="","",IF(T3989=0,"No discount",IF(T3989&lt;=0.2,"Low (1-20%)",IF(T3989&lt;=0.4,"Medium (21-40%)","High (&gt;40%)"))))</f>
        <v/>
      </c>
      <c r="Y3989" s="23" t="str">
        <f aca="false">IF(AND(ISNUMBER(C3989),ISNUMBER(D3989)),D3989-C3989,"")</f>
        <v/>
      </c>
      <c r="Z3989" s="23" t="str">
        <f aca="false">IF(B3989="","",IF(MATCH(B3989,$B$2:$B$12000,0)=ROW()-1,1,0))</f>
        <v/>
      </c>
    </row>
    <row r="3990" customFormat="false" ht="15" hidden="false" customHeight="false" outlineLevel="0" collapsed="false">
      <c r="V3990" s="23" t="str">
        <f aca="false">IF(ISNUMBER(C3990),YEAR(C3990),"")</f>
        <v/>
      </c>
      <c r="W3990" s="23" t="str">
        <f aca="false">IF(ISNUMBER(C3990),MONTH(C3990),"")</f>
        <v/>
      </c>
      <c r="X3990" s="23" t="str">
        <f aca="false">IF(T3990="","",IF(T3990=0,"No discount",IF(T3990&lt;=0.2,"Low (1-20%)",IF(T3990&lt;=0.4,"Medium (21-40%)","High (&gt;40%)"))))</f>
        <v/>
      </c>
      <c r="Y3990" s="23" t="str">
        <f aca="false">IF(AND(ISNUMBER(C3990),ISNUMBER(D3990)),D3990-C3990,"")</f>
        <v/>
      </c>
      <c r="Z3990" s="23" t="str">
        <f aca="false">IF(B3990="","",IF(MATCH(B3990,$B$2:$B$12000,0)=ROW()-1,1,0))</f>
        <v/>
      </c>
    </row>
    <row r="3991" customFormat="false" ht="15" hidden="false" customHeight="false" outlineLevel="0" collapsed="false">
      <c r="V3991" s="23" t="str">
        <f aca="false">IF(ISNUMBER(C3991),YEAR(C3991),"")</f>
        <v/>
      </c>
      <c r="W3991" s="23" t="str">
        <f aca="false">IF(ISNUMBER(C3991),MONTH(C3991),"")</f>
        <v/>
      </c>
      <c r="X3991" s="23" t="str">
        <f aca="false">IF(T3991="","",IF(T3991=0,"No discount",IF(T3991&lt;=0.2,"Low (1-20%)",IF(T3991&lt;=0.4,"Medium (21-40%)","High (&gt;40%)"))))</f>
        <v/>
      </c>
      <c r="Y3991" s="23" t="str">
        <f aca="false">IF(AND(ISNUMBER(C3991),ISNUMBER(D3991)),D3991-C3991,"")</f>
        <v/>
      </c>
      <c r="Z3991" s="23" t="str">
        <f aca="false">IF(B3991="","",IF(MATCH(B3991,$B$2:$B$12000,0)=ROW()-1,1,0))</f>
        <v/>
      </c>
    </row>
    <row r="3992" customFormat="false" ht="15" hidden="false" customHeight="false" outlineLevel="0" collapsed="false">
      <c r="V3992" s="23" t="str">
        <f aca="false">IF(ISNUMBER(C3992),YEAR(C3992),"")</f>
        <v/>
      </c>
      <c r="W3992" s="23" t="str">
        <f aca="false">IF(ISNUMBER(C3992),MONTH(C3992),"")</f>
        <v/>
      </c>
      <c r="X3992" s="23" t="str">
        <f aca="false">IF(T3992="","",IF(T3992=0,"No discount",IF(T3992&lt;=0.2,"Low (1-20%)",IF(T3992&lt;=0.4,"Medium (21-40%)","High (&gt;40%)"))))</f>
        <v/>
      </c>
      <c r="Y3992" s="23" t="str">
        <f aca="false">IF(AND(ISNUMBER(C3992),ISNUMBER(D3992)),D3992-C3992,"")</f>
        <v/>
      </c>
      <c r="Z3992" s="23" t="str">
        <f aca="false">IF(B3992="","",IF(MATCH(B3992,$B$2:$B$12000,0)=ROW()-1,1,0))</f>
        <v/>
      </c>
    </row>
    <row r="3993" customFormat="false" ht="15" hidden="false" customHeight="false" outlineLevel="0" collapsed="false">
      <c r="V3993" s="23" t="str">
        <f aca="false">IF(ISNUMBER(C3993),YEAR(C3993),"")</f>
        <v/>
      </c>
      <c r="W3993" s="23" t="str">
        <f aca="false">IF(ISNUMBER(C3993),MONTH(C3993),"")</f>
        <v/>
      </c>
      <c r="X3993" s="23" t="str">
        <f aca="false">IF(T3993="","",IF(T3993=0,"No discount",IF(T3993&lt;=0.2,"Low (1-20%)",IF(T3993&lt;=0.4,"Medium (21-40%)","High (&gt;40%)"))))</f>
        <v/>
      </c>
      <c r="Y3993" s="23" t="str">
        <f aca="false">IF(AND(ISNUMBER(C3993),ISNUMBER(D3993)),D3993-C3993,"")</f>
        <v/>
      </c>
      <c r="Z3993" s="23" t="str">
        <f aca="false">IF(B3993="","",IF(MATCH(B3993,$B$2:$B$12000,0)=ROW()-1,1,0))</f>
        <v/>
      </c>
    </row>
    <row r="3994" customFormat="false" ht="15" hidden="false" customHeight="false" outlineLevel="0" collapsed="false">
      <c r="V3994" s="23" t="str">
        <f aca="false">IF(ISNUMBER(C3994),YEAR(C3994),"")</f>
        <v/>
      </c>
      <c r="W3994" s="23" t="str">
        <f aca="false">IF(ISNUMBER(C3994),MONTH(C3994),"")</f>
        <v/>
      </c>
      <c r="X3994" s="23" t="str">
        <f aca="false">IF(T3994="","",IF(T3994=0,"No discount",IF(T3994&lt;=0.2,"Low (1-20%)",IF(T3994&lt;=0.4,"Medium (21-40%)","High (&gt;40%)"))))</f>
        <v/>
      </c>
      <c r="Y3994" s="23" t="str">
        <f aca="false">IF(AND(ISNUMBER(C3994),ISNUMBER(D3994)),D3994-C3994,"")</f>
        <v/>
      </c>
      <c r="Z3994" s="23" t="str">
        <f aca="false">IF(B3994="","",IF(MATCH(B3994,$B$2:$B$12000,0)=ROW()-1,1,0))</f>
        <v/>
      </c>
    </row>
    <row r="3995" customFormat="false" ht="15" hidden="false" customHeight="false" outlineLevel="0" collapsed="false">
      <c r="V3995" s="23" t="str">
        <f aca="false">IF(ISNUMBER(C3995),YEAR(C3995),"")</f>
        <v/>
      </c>
      <c r="W3995" s="23" t="str">
        <f aca="false">IF(ISNUMBER(C3995),MONTH(C3995),"")</f>
        <v/>
      </c>
      <c r="X3995" s="23" t="str">
        <f aca="false">IF(T3995="","",IF(T3995=0,"No discount",IF(T3995&lt;=0.2,"Low (1-20%)",IF(T3995&lt;=0.4,"Medium (21-40%)","High (&gt;40%)"))))</f>
        <v/>
      </c>
      <c r="Y3995" s="23" t="str">
        <f aca="false">IF(AND(ISNUMBER(C3995),ISNUMBER(D3995)),D3995-C3995,"")</f>
        <v/>
      </c>
      <c r="Z3995" s="23" t="str">
        <f aca="false">IF(B3995="","",IF(MATCH(B3995,$B$2:$B$12000,0)=ROW()-1,1,0))</f>
        <v/>
      </c>
    </row>
    <row r="3996" customFormat="false" ht="15" hidden="false" customHeight="false" outlineLevel="0" collapsed="false">
      <c r="V3996" s="23" t="str">
        <f aca="false">IF(ISNUMBER(C3996),YEAR(C3996),"")</f>
        <v/>
      </c>
      <c r="W3996" s="23" t="str">
        <f aca="false">IF(ISNUMBER(C3996),MONTH(C3996),"")</f>
        <v/>
      </c>
      <c r="X3996" s="23" t="str">
        <f aca="false">IF(T3996="","",IF(T3996=0,"No discount",IF(T3996&lt;=0.2,"Low (1-20%)",IF(T3996&lt;=0.4,"Medium (21-40%)","High (&gt;40%)"))))</f>
        <v/>
      </c>
      <c r="Y3996" s="23" t="str">
        <f aca="false">IF(AND(ISNUMBER(C3996),ISNUMBER(D3996)),D3996-C3996,"")</f>
        <v/>
      </c>
      <c r="Z3996" s="23" t="str">
        <f aca="false">IF(B3996="","",IF(MATCH(B3996,$B$2:$B$12000,0)=ROW()-1,1,0))</f>
        <v/>
      </c>
    </row>
    <row r="3997" customFormat="false" ht="15" hidden="false" customHeight="false" outlineLevel="0" collapsed="false">
      <c r="V3997" s="23" t="str">
        <f aca="false">IF(ISNUMBER(C3997),YEAR(C3997),"")</f>
        <v/>
      </c>
      <c r="W3997" s="23" t="str">
        <f aca="false">IF(ISNUMBER(C3997),MONTH(C3997),"")</f>
        <v/>
      </c>
      <c r="X3997" s="23" t="str">
        <f aca="false">IF(T3997="","",IF(T3997=0,"No discount",IF(T3997&lt;=0.2,"Low (1-20%)",IF(T3997&lt;=0.4,"Medium (21-40%)","High (&gt;40%)"))))</f>
        <v/>
      </c>
      <c r="Y3997" s="23" t="str">
        <f aca="false">IF(AND(ISNUMBER(C3997),ISNUMBER(D3997)),D3997-C3997,"")</f>
        <v/>
      </c>
      <c r="Z3997" s="23" t="str">
        <f aca="false">IF(B3997="","",IF(MATCH(B3997,$B$2:$B$12000,0)=ROW()-1,1,0))</f>
        <v/>
      </c>
    </row>
    <row r="3998" customFormat="false" ht="15" hidden="false" customHeight="false" outlineLevel="0" collapsed="false">
      <c r="V3998" s="23" t="str">
        <f aca="false">IF(ISNUMBER(C3998),YEAR(C3998),"")</f>
        <v/>
      </c>
      <c r="W3998" s="23" t="str">
        <f aca="false">IF(ISNUMBER(C3998),MONTH(C3998),"")</f>
        <v/>
      </c>
      <c r="X3998" s="23" t="str">
        <f aca="false">IF(T3998="","",IF(T3998=0,"No discount",IF(T3998&lt;=0.2,"Low (1-20%)",IF(T3998&lt;=0.4,"Medium (21-40%)","High (&gt;40%)"))))</f>
        <v/>
      </c>
      <c r="Y3998" s="23" t="str">
        <f aca="false">IF(AND(ISNUMBER(C3998),ISNUMBER(D3998)),D3998-C3998,"")</f>
        <v/>
      </c>
      <c r="Z3998" s="23" t="str">
        <f aca="false">IF(B3998="","",IF(MATCH(B3998,$B$2:$B$12000,0)=ROW()-1,1,0))</f>
        <v/>
      </c>
    </row>
    <row r="3999" customFormat="false" ht="15" hidden="false" customHeight="false" outlineLevel="0" collapsed="false">
      <c r="V3999" s="23" t="str">
        <f aca="false">IF(ISNUMBER(C3999),YEAR(C3999),"")</f>
        <v/>
      </c>
      <c r="W3999" s="23" t="str">
        <f aca="false">IF(ISNUMBER(C3999),MONTH(C3999),"")</f>
        <v/>
      </c>
      <c r="X3999" s="23" t="str">
        <f aca="false">IF(T3999="","",IF(T3999=0,"No discount",IF(T3999&lt;=0.2,"Low (1-20%)",IF(T3999&lt;=0.4,"Medium (21-40%)","High (&gt;40%)"))))</f>
        <v/>
      </c>
      <c r="Y3999" s="23" t="str">
        <f aca="false">IF(AND(ISNUMBER(C3999),ISNUMBER(D3999)),D3999-C3999,"")</f>
        <v/>
      </c>
      <c r="Z3999" s="23" t="str">
        <f aca="false">IF(B3999="","",IF(MATCH(B3999,$B$2:$B$12000,0)=ROW()-1,1,0))</f>
        <v/>
      </c>
    </row>
    <row r="4000" customFormat="false" ht="15" hidden="false" customHeight="false" outlineLevel="0" collapsed="false">
      <c r="V4000" s="23" t="str">
        <f aca="false">IF(ISNUMBER(C4000),YEAR(C4000),"")</f>
        <v/>
      </c>
      <c r="W4000" s="23" t="str">
        <f aca="false">IF(ISNUMBER(C4000),MONTH(C4000),"")</f>
        <v/>
      </c>
      <c r="X4000" s="23" t="str">
        <f aca="false">IF(T4000="","",IF(T4000=0,"No discount",IF(T4000&lt;=0.2,"Low (1-20%)",IF(T4000&lt;=0.4,"Medium (21-40%)","High (&gt;40%)"))))</f>
        <v/>
      </c>
      <c r="Y4000" s="23" t="str">
        <f aca="false">IF(AND(ISNUMBER(C4000),ISNUMBER(D4000)),D4000-C4000,"")</f>
        <v/>
      </c>
      <c r="Z4000" s="23" t="str">
        <f aca="false">IF(B4000="","",IF(MATCH(B4000,$B$2:$B$12000,0)=ROW()-1,1,0))</f>
        <v/>
      </c>
    </row>
    <row r="4001" customFormat="false" ht="15" hidden="false" customHeight="false" outlineLevel="0" collapsed="false">
      <c r="V4001" s="23" t="str">
        <f aca="false">IF(ISNUMBER(C4001),YEAR(C4001),"")</f>
        <v/>
      </c>
      <c r="W4001" s="23" t="str">
        <f aca="false">IF(ISNUMBER(C4001),MONTH(C4001),"")</f>
        <v/>
      </c>
      <c r="X4001" s="23" t="str">
        <f aca="false">IF(T4001="","",IF(T4001=0,"No discount",IF(T4001&lt;=0.2,"Low (1-20%)",IF(T4001&lt;=0.4,"Medium (21-40%)","High (&gt;40%)"))))</f>
        <v/>
      </c>
      <c r="Y4001" s="23" t="str">
        <f aca="false">IF(AND(ISNUMBER(C4001),ISNUMBER(D4001)),D4001-C4001,"")</f>
        <v/>
      </c>
      <c r="Z4001" s="23" t="str">
        <f aca="false">IF(B4001="","",IF(MATCH(B4001,$B$2:$B$12000,0)=ROW()-1,1,0))</f>
        <v/>
      </c>
    </row>
    <row r="4002" customFormat="false" ht="15" hidden="false" customHeight="false" outlineLevel="0" collapsed="false">
      <c r="V4002" s="23" t="str">
        <f aca="false">IF(ISNUMBER(C4002),YEAR(C4002),"")</f>
        <v/>
      </c>
      <c r="W4002" s="23" t="str">
        <f aca="false">IF(ISNUMBER(C4002),MONTH(C4002),"")</f>
        <v/>
      </c>
      <c r="X4002" s="23" t="str">
        <f aca="false">IF(T4002="","",IF(T4002=0,"No discount",IF(T4002&lt;=0.2,"Low (1-20%)",IF(T4002&lt;=0.4,"Medium (21-40%)","High (&gt;40%)"))))</f>
        <v/>
      </c>
      <c r="Y4002" s="23" t="str">
        <f aca="false">IF(AND(ISNUMBER(C4002),ISNUMBER(D4002)),D4002-C4002,"")</f>
        <v/>
      </c>
      <c r="Z4002" s="23" t="str">
        <f aca="false">IF(B4002="","",IF(MATCH(B4002,$B$2:$B$12000,0)=ROW()-1,1,0))</f>
        <v/>
      </c>
    </row>
    <row r="4003" customFormat="false" ht="15" hidden="false" customHeight="false" outlineLevel="0" collapsed="false">
      <c r="V4003" s="23" t="str">
        <f aca="false">IF(ISNUMBER(C4003),YEAR(C4003),"")</f>
        <v/>
      </c>
      <c r="W4003" s="23" t="str">
        <f aca="false">IF(ISNUMBER(C4003),MONTH(C4003),"")</f>
        <v/>
      </c>
      <c r="X4003" s="23" t="str">
        <f aca="false">IF(T4003="","",IF(T4003=0,"No discount",IF(T4003&lt;=0.2,"Low (1-20%)",IF(T4003&lt;=0.4,"Medium (21-40%)","High (&gt;40%)"))))</f>
        <v/>
      </c>
      <c r="Y4003" s="23" t="str">
        <f aca="false">IF(AND(ISNUMBER(C4003),ISNUMBER(D4003)),D4003-C4003,"")</f>
        <v/>
      </c>
      <c r="Z4003" s="23" t="str">
        <f aca="false">IF(B4003="","",IF(MATCH(B4003,$B$2:$B$12000,0)=ROW()-1,1,0))</f>
        <v/>
      </c>
    </row>
    <row r="4004" customFormat="false" ht="15" hidden="false" customHeight="false" outlineLevel="0" collapsed="false">
      <c r="V4004" s="23" t="str">
        <f aca="false">IF(ISNUMBER(C4004),YEAR(C4004),"")</f>
        <v/>
      </c>
      <c r="W4004" s="23" t="str">
        <f aca="false">IF(ISNUMBER(C4004),MONTH(C4004),"")</f>
        <v/>
      </c>
      <c r="X4004" s="23" t="str">
        <f aca="false">IF(T4004="","",IF(T4004=0,"No discount",IF(T4004&lt;=0.2,"Low (1-20%)",IF(T4004&lt;=0.4,"Medium (21-40%)","High (&gt;40%)"))))</f>
        <v/>
      </c>
      <c r="Y4004" s="23" t="str">
        <f aca="false">IF(AND(ISNUMBER(C4004),ISNUMBER(D4004)),D4004-C4004,"")</f>
        <v/>
      </c>
      <c r="Z4004" s="23" t="str">
        <f aca="false">IF(B4004="","",IF(MATCH(B4004,$B$2:$B$12000,0)=ROW()-1,1,0))</f>
        <v/>
      </c>
    </row>
    <row r="4005" customFormat="false" ht="15" hidden="false" customHeight="false" outlineLevel="0" collapsed="false">
      <c r="V4005" s="23" t="str">
        <f aca="false">IF(ISNUMBER(C4005),YEAR(C4005),"")</f>
        <v/>
      </c>
      <c r="W4005" s="23" t="str">
        <f aca="false">IF(ISNUMBER(C4005),MONTH(C4005),"")</f>
        <v/>
      </c>
      <c r="X4005" s="23" t="str">
        <f aca="false">IF(T4005="","",IF(T4005=0,"No discount",IF(T4005&lt;=0.2,"Low (1-20%)",IF(T4005&lt;=0.4,"Medium (21-40%)","High (&gt;40%)"))))</f>
        <v/>
      </c>
      <c r="Y4005" s="23" t="str">
        <f aca="false">IF(AND(ISNUMBER(C4005),ISNUMBER(D4005)),D4005-C4005,"")</f>
        <v/>
      </c>
      <c r="Z4005" s="23" t="str">
        <f aca="false">IF(B4005="","",IF(MATCH(B4005,$B$2:$B$12000,0)=ROW()-1,1,0))</f>
        <v/>
      </c>
    </row>
    <row r="4006" customFormat="false" ht="15" hidden="false" customHeight="false" outlineLevel="0" collapsed="false">
      <c r="V4006" s="23" t="str">
        <f aca="false">IF(ISNUMBER(C4006),YEAR(C4006),"")</f>
        <v/>
      </c>
      <c r="W4006" s="23" t="str">
        <f aca="false">IF(ISNUMBER(C4006),MONTH(C4006),"")</f>
        <v/>
      </c>
      <c r="X4006" s="23" t="str">
        <f aca="false">IF(T4006="","",IF(T4006=0,"No discount",IF(T4006&lt;=0.2,"Low (1-20%)",IF(T4006&lt;=0.4,"Medium (21-40%)","High (&gt;40%)"))))</f>
        <v/>
      </c>
      <c r="Y4006" s="23" t="str">
        <f aca="false">IF(AND(ISNUMBER(C4006),ISNUMBER(D4006)),D4006-C4006,"")</f>
        <v/>
      </c>
      <c r="Z4006" s="23" t="str">
        <f aca="false">IF(B4006="","",IF(MATCH(B4006,$B$2:$B$12000,0)=ROW()-1,1,0))</f>
        <v/>
      </c>
    </row>
    <row r="4007" customFormat="false" ht="15" hidden="false" customHeight="false" outlineLevel="0" collapsed="false">
      <c r="V4007" s="23" t="str">
        <f aca="false">IF(ISNUMBER(C4007),YEAR(C4007),"")</f>
        <v/>
      </c>
      <c r="W4007" s="23" t="str">
        <f aca="false">IF(ISNUMBER(C4007),MONTH(C4007),"")</f>
        <v/>
      </c>
      <c r="X4007" s="23" t="str">
        <f aca="false">IF(T4007="","",IF(T4007=0,"No discount",IF(T4007&lt;=0.2,"Low (1-20%)",IF(T4007&lt;=0.4,"Medium (21-40%)","High (&gt;40%)"))))</f>
        <v/>
      </c>
      <c r="Y4007" s="23" t="str">
        <f aca="false">IF(AND(ISNUMBER(C4007),ISNUMBER(D4007)),D4007-C4007,"")</f>
        <v/>
      </c>
      <c r="Z4007" s="23" t="str">
        <f aca="false">IF(B4007="","",IF(MATCH(B4007,$B$2:$B$12000,0)=ROW()-1,1,0))</f>
        <v/>
      </c>
    </row>
    <row r="4008" customFormat="false" ht="15" hidden="false" customHeight="false" outlineLevel="0" collapsed="false">
      <c r="V4008" s="23" t="str">
        <f aca="false">IF(ISNUMBER(C4008),YEAR(C4008),"")</f>
        <v/>
      </c>
      <c r="W4008" s="23" t="str">
        <f aca="false">IF(ISNUMBER(C4008),MONTH(C4008),"")</f>
        <v/>
      </c>
      <c r="X4008" s="23" t="str">
        <f aca="false">IF(T4008="","",IF(T4008=0,"No discount",IF(T4008&lt;=0.2,"Low (1-20%)",IF(T4008&lt;=0.4,"Medium (21-40%)","High (&gt;40%)"))))</f>
        <v/>
      </c>
      <c r="Y4008" s="23" t="str">
        <f aca="false">IF(AND(ISNUMBER(C4008),ISNUMBER(D4008)),D4008-C4008,"")</f>
        <v/>
      </c>
      <c r="Z4008" s="23" t="str">
        <f aca="false">IF(B4008="","",IF(MATCH(B4008,$B$2:$B$12000,0)=ROW()-1,1,0))</f>
        <v/>
      </c>
    </row>
    <row r="4009" customFormat="false" ht="15" hidden="false" customHeight="false" outlineLevel="0" collapsed="false">
      <c r="V4009" s="23" t="str">
        <f aca="false">IF(ISNUMBER(C4009),YEAR(C4009),"")</f>
        <v/>
      </c>
      <c r="W4009" s="23" t="str">
        <f aca="false">IF(ISNUMBER(C4009),MONTH(C4009),"")</f>
        <v/>
      </c>
      <c r="X4009" s="23" t="str">
        <f aca="false">IF(T4009="","",IF(T4009=0,"No discount",IF(T4009&lt;=0.2,"Low (1-20%)",IF(T4009&lt;=0.4,"Medium (21-40%)","High (&gt;40%)"))))</f>
        <v/>
      </c>
      <c r="Y4009" s="23" t="str">
        <f aca="false">IF(AND(ISNUMBER(C4009),ISNUMBER(D4009)),D4009-C4009,"")</f>
        <v/>
      </c>
      <c r="Z4009" s="23" t="str">
        <f aca="false">IF(B4009="","",IF(MATCH(B4009,$B$2:$B$12000,0)=ROW()-1,1,0))</f>
        <v/>
      </c>
    </row>
    <row r="4010" customFormat="false" ht="15" hidden="false" customHeight="false" outlineLevel="0" collapsed="false">
      <c r="V4010" s="23" t="str">
        <f aca="false">IF(ISNUMBER(C4010),YEAR(C4010),"")</f>
        <v/>
      </c>
      <c r="W4010" s="23" t="str">
        <f aca="false">IF(ISNUMBER(C4010),MONTH(C4010),"")</f>
        <v/>
      </c>
      <c r="X4010" s="23" t="str">
        <f aca="false">IF(T4010="","",IF(T4010=0,"No discount",IF(T4010&lt;=0.2,"Low (1-20%)",IF(T4010&lt;=0.4,"Medium (21-40%)","High (&gt;40%)"))))</f>
        <v/>
      </c>
      <c r="Y4010" s="23" t="str">
        <f aca="false">IF(AND(ISNUMBER(C4010),ISNUMBER(D4010)),D4010-C4010,"")</f>
        <v/>
      </c>
      <c r="Z4010" s="23" t="str">
        <f aca="false">IF(B4010="","",IF(MATCH(B4010,$B$2:$B$12000,0)=ROW()-1,1,0))</f>
        <v/>
      </c>
    </row>
    <row r="4011" customFormat="false" ht="15" hidden="false" customHeight="false" outlineLevel="0" collapsed="false">
      <c r="V4011" s="23" t="str">
        <f aca="false">IF(ISNUMBER(C4011),YEAR(C4011),"")</f>
        <v/>
      </c>
      <c r="W4011" s="23" t="str">
        <f aca="false">IF(ISNUMBER(C4011),MONTH(C4011),"")</f>
        <v/>
      </c>
      <c r="X4011" s="23" t="str">
        <f aca="false">IF(T4011="","",IF(T4011=0,"No discount",IF(T4011&lt;=0.2,"Low (1-20%)",IF(T4011&lt;=0.4,"Medium (21-40%)","High (&gt;40%)"))))</f>
        <v/>
      </c>
      <c r="Y4011" s="23" t="str">
        <f aca="false">IF(AND(ISNUMBER(C4011),ISNUMBER(D4011)),D4011-C4011,"")</f>
        <v/>
      </c>
      <c r="Z4011" s="23" t="str">
        <f aca="false">IF(B4011="","",IF(MATCH(B4011,$B$2:$B$12000,0)=ROW()-1,1,0))</f>
        <v/>
      </c>
    </row>
    <row r="4012" customFormat="false" ht="15" hidden="false" customHeight="false" outlineLevel="0" collapsed="false">
      <c r="V4012" s="23" t="str">
        <f aca="false">IF(ISNUMBER(C4012),YEAR(C4012),"")</f>
        <v/>
      </c>
      <c r="W4012" s="23" t="str">
        <f aca="false">IF(ISNUMBER(C4012),MONTH(C4012),"")</f>
        <v/>
      </c>
      <c r="X4012" s="23" t="str">
        <f aca="false">IF(T4012="","",IF(T4012=0,"No discount",IF(T4012&lt;=0.2,"Low (1-20%)",IF(T4012&lt;=0.4,"Medium (21-40%)","High (&gt;40%)"))))</f>
        <v/>
      </c>
      <c r="Y4012" s="23" t="str">
        <f aca="false">IF(AND(ISNUMBER(C4012),ISNUMBER(D4012)),D4012-C4012,"")</f>
        <v/>
      </c>
      <c r="Z4012" s="23" t="str">
        <f aca="false">IF(B4012="","",IF(MATCH(B4012,$B$2:$B$12000,0)=ROW()-1,1,0))</f>
        <v/>
      </c>
    </row>
    <row r="4013" customFormat="false" ht="15" hidden="false" customHeight="false" outlineLevel="0" collapsed="false">
      <c r="V4013" s="23" t="str">
        <f aca="false">IF(ISNUMBER(C4013),YEAR(C4013),"")</f>
        <v/>
      </c>
      <c r="W4013" s="23" t="str">
        <f aca="false">IF(ISNUMBER(C4013),MONTH(C4013),"")</f>
        <v/>
      </c>
      <c r="X4013" s="23" t="str">
        <f aca="false">IF(T4013="","",IF(T4013=0,"No discount",IF(T4013&lt;=0.2,"Low (1-20%)",IF(T4013&lt;=0.4,"Medium (21-40%)","High (&gt;40%)"))))</f>
        <v/>
      </c>
      <c r="Y4013" s="23" t="str">
        <f aca="false">IF(AND(ISNUMBER(C4013),ISNUMBER(D4013)),D4013-C4013,"")</f>
        <v/>
      </c>
      <c r="Z4013" s="23" t="str">
        <f aca="false">IF(B4013="","",IF(MATCH(B4013,$B$2:$B$12000,0)=ROW()-1,1,0))</f>
        <v/>
      </c>
    </row>
    <row r="4014" customFormat="false" ht="15" hidden="false" customHeight="false" outlineLevel="0" collapsed="false">
      <c r="V4014" s="23" t="str">
        <f aca="false">IF(ISNUMBER(C4014),YEAR(C4014),"")</f>
        <v/>
      </c>
      <c r="W4014" s="23" t="str">
        <f aca="false">IF(ISNUMBER(C4014),MONTH(C4014),"")</f>
        <v/>
      </c>
      <c r="X4014" s="23" t="str">
        <f aca="false">IF(T4014="","",IF(T4014=0,"No discount",IF(T4014&lt;=0.2,"Low (1-20%)",IF(T4014&lt;=0.4,"Medium (21-40%)","High (&gt;40%)"))))</f>
        <v/>
      </c>
      <c r="Y4014" s="23" t="str">
        <f aca="false">IF(AND(ISNUMBER(C4014),ISNUMBER(D4014)),D4014-C4014,"")</f>
        <v/>
      </c>
      <c r="Z4014" s="23" t="str">
        <f aca="false">IF(B4014="","",IF(MATCH(B4014,$B$2:$B$12000,0)=ROW()-1,1,0))</f>
        <v/>
      </c>
    </row>
    <row r="4015" customFormat="false" ht="15" hidden="false" customHeight="false" outlineLevel="0" collapsed="false">
      <c r="V4015" s="23" t="str">
        <f aca="false">IF(ISNUMBER(C4015),YEAR(C4015),"")</f>
        <v/>
      </c>
      <c r="W4015" s="23" t="str">
        <f aca="false">IF(ISNUMBER(C4015),MONTH(C4015),"")</f>
        <v/>
      </c>
      <c r="X4015" s="23" t="str">
        <f aca="false">IF(T4015="","",IF(T4015=0,"No discount",IF(T4015&lt;=0.2,"Low (1-20%)",IF(T4015&lt;=0.4,"Medium (21-40%)","High (&gt;40%)"))))</f>
        <v/>
      </c>
      <c r="Y4015" s="23" t="str">
        <f aca="false">IF(AND(ISNUMBER(C4015),ISNUMBER(D4015)),D4015-C4015,"")</f>
        <v/>
      </c>
      <c r="Z4015" s="23" t="str">
        <f aca="false">IF(B4015="","",IF(MATCH(B4015,$B$2:$B$12000,0)=ROW()-1,1,0))</f>
        <v/>
      </c>
    </row>
    <row r="4016" customFormat="false" ht="15" hidden="false" customHeight="false" outlineLevel="0" collapsed="false">
      <c r="V4016" s="23" t="str">
        <f aca="false">IF(ISNUMBER(C4016),YEAR(C4016),"")</f>
        <v/>
      </c>
      <c r="W4016" s="23" t="str">
        <f aca="false">IF(ISNUMBER(C4016),MONTH(C4016),"")</f>
        <v/>
      </c>
      <c r="X4016" s="23" t="str">
        <f aca="false">IF(T4016="","",IF(T4016=0,"No discount",IF(T4016&lt;=0.2,"Low (1-20%)",IF(T4016&lt;=0.4,"Medium (21-40%)","High (&gt;40%)"))))</f>
        <v/>
      </c>
      <c r="Y4016" s="23" t="str">
        <f aca="false">IF(AND(ISNUMBER(C4016),ISNUMBER(D4016)),D4016-C4016,"")</f>
        <v/>
      </c>
      <c r="Z4016" s="23" t="str">
        <f aca="false">IF(B4016="","",IF(MATCH(B4016,$B$2:$B$12000,0)=ROW()-1,1,0))</f>
        <v/>
      </c>
    </row>
    <row r="4017" customFormat="false" ht="15" hidden="false" customHeight="false" outlineLevel="0" collapsed="false">
      <c r="V4017" s="23" t="str">
        <f aca="false">IF(ISNUMBER(C4017),YEAR(C4017),"")</f>
        <v/>
      </c>
      <c r="W4017" s="23" t="str">
        <f aca="false">IF(ISNUMBER(C4017),MONTH(C4017),"")</f>
        <v/>
      </c>
      <c r="X4017" s="23" t="str">
        <f aca="false">IF(T4017="","",IF(T4017=0,"No discount",IF(T4017&lt;=0.2,"Low (1-20%)",IF(T4017&lt;=0.4,"Medium (21-40%)","High (&gt;40%)"))))</f>
        <v/>
      </c>
      <c r="Y4017" s="23" t="str">
        <f aca="false">IF(AND(ISNUMBER(C4017),ISNUMBER(D4017)),D4017-C4017,"")</f>
        <v/>
      </c>
      <c r="Z4017" s="23" t="str">
        <f aca="false">IF(B4017="","",IF(MATCH(B4017,$B$2:$B$12000,0)=ROW()-1,1,0))</f>
        <v/>
      </c>
    </row>
    <row r="4018" customFormat="false" ht="15" hidden="false" customHeight="false" outlineLevel="0" collapsed="false">
      <c r="V4018" s="23" t="str">
        <f aca="false">IF(ISNUMBER(C4018),YEAR(C4018),"")</f>
        <v/>
      </c>
      <c r="W4018" s="23" t="str">
        <f aca="false">IF(ISNUMBER(C4018),MONTH(C4018),"")</f>
        <v/>
      </c>
      <c r="X4018" s="23" t="str">
        <f aca="false">IF(T4018="","",IF(T4018=0,"No discount",IF(T4018&lt;=0.2,"Low (1-20%)",IF(T4018&lt;=0.4,"Medium (21-40%)","High (&gt;40%)"))))</f>
        <v/>
      </c>
      <c r="Y4018" s="23" t="str">
        <f aca="false">IF(AND(ISNUMBER(C4018),ISNUMBER(D4018)),D4018-C4018,"")</f>
        <v/>
      </c>
      <c r="Z4018" s="23" t="str">
        <f aca="false">IF(B4018="","",IF(MATCH(B4018,$B$2:$B$12000,0)=ROW()-1,1,0))</f>
        <v/>
      </c>
    </row>
    <row r="4019" customFormat="false" ht="15" hidden="false" customHeight="false" outlineLevel="0" collapsed="false">
      <c r="V4019" s="23" t="str">
        <f aca="false">IF(ISNUMBER(C4019),YEAR(C4019),"")</f>
        <v/>
      </c>
      <c r="W4019" s="23" t="str">
        <f aca="false">IF(ISNUMBER(C4019),MONTH(C4019),"")</f>
        <v/>
      </c>
      <c r="X4019" s="23" t="str">
        <f aca="false">IF(T4019="","",IF(T4019=0,"No discount",IF(T4019&lt;=0.2,"Low (1-20%)",IF(T4019&lt;=0.4,"Medium (21-40%)","High (&gt;40%)"))))</f>
        <v/>
      </c>
      <c r="Y4019" s="23" t="str">
        <f aca="false">IF(AND(ISNUMBER(C4019),ISNUMBER(D4019)),D4019-C4019,"")</f>
        <v/>
      </c>
      <c r="Z4019" s="23" t="str">
        <f aca="false">IF(B4019="","",IF(MATCH(B4019,$B$2:$B$12000,0)=ROW()-1,1,0))</f>
        <v/>
      </c>
    </row>
    <row r="4020" customFormat="false" ht="15" hidden="false" customHeight="false" outlineLevel="0" collapsed="false">
      <c r="V4020" s="23" t="str">
        <f aca="false">IF(ISNUMBER(C4020),YEAR(C4020),"")</f>
        <v/>
      </c>
      <c r="W4020" s="23" t="str">
        <f aca="false">IF(ISNUMBER(C4020),MONTH(C4020),"")</f>
        <v/>
      </c>
      <c r="X4020" s="23" t="str">
        <f aca="false">IF(T4020="","",IF(T4020=0,"No discount",IF(T4020&lt;=0.2,"Low (1-20%)",IF(T4020&lt;=0.4,"Medium (21-40%)","High (&gt;40%)"))))</f>
        <v/>
      </c>
      <c r="Y4020" s="23" t="str">
        <f aca="false">IF(AND(ISNUMBER(C4020),ISNUMBER(D4020)),D4020-C4020,"")</f>
        <v/>
      </c>
      <c r="Z4020" s="23" t="str">
        <f aca="false">IF(B4020="","",IF(MATCH(B4020,$B$2:$B$12000,0)=ROW()-1,1,0))</f>
        <v/>
      </c>
    </row>
    <row r="4021" customFormat="false" ht="15" hidden="false" customHeight="false" outlineLevel="0" collapsed="false">
      <c r="V4021" s="23" t="str">
        <f aca="false">IF(ISNUMBER(C4021),YEAR(C4021),"")</f>
        <v/>
      </c>
      <c r="W4021" s="23" t="str">
        <f aca="false">IF(ISNUMBER(C4021),MONTH(C4021),"")</f>
        <v/>
      </c>
      <c r="X4021" s="23" t="str">
        <f aca="false">IF(T4021="","",IF(T4021=0,"No discount",IF(T4021&lt;=0.2,"Low (1-20%)",IF(T4021&lt;=0.4,"Medium (21-40%)","High (&gt;40%)"))))</f>
        <v/>
      </c>
      <c r="Y4021" s="23" t="str">
        <f aca="false">IF(AND(ISNUMBER(C4021),ISNUMBER(D4021)),D4021-C4021,"")</f>
        <v/>
      </c>
      <c r="Z4021" s="23" t="str">
        <f aca="false">IF(B4021="","",IF(MATCH(B4021,$B$2:$B$12000,0)=ROW()-1,1,0))</f>
        <v/>
      </c>
    </row>
    <row r="4022" customFormat="false" ht="15" hidden="false" customHeight="false" outlineLevel="0" collapsed="false">
      <c r="V4022" s="23" t="str">
        <f aca="false">IF(ISNUMBER(C4022),YEAR(C4022),"")</f>
        <v/>
      </c>
      <c r="W4022" s="23" t="str">
        <f aca="false">IF(ISNUMBER(C4022),MONTH(C4022),"")</f>
        <v/>
      </c>
      <c r="X4022" s="23" t="str">
        <f aca="false">IF(T4022="","",IF(T4022=0,"No discount",IF(T4022&lt;=0.2,"Low (1-20%)",IF(T4022&lt;=0.4,"Medium (21-40%)","High (&gt;40%)"))))</f>
        <v/>
      </c>
      <c r="Y4022" s="23" t="str">
        <f aca="false">IF(AND(ISNUMBER(C4022),ISNUMBER(D4022)),D4022-C4022,"")</f>
        <v/>
      </c>
      <c r="Z4022" s="23" t="str">
        <f aca="false">IF(B4022="","",IF(MATCH(B4022,$B$2:$B$12000,0)=ROW()-1,1,0))</f>
        <v/>
      </c>
    </row>
    <row r="4023" customFormat="false" ht="15" hidden="false" customHeight="false" outlineLevel="0" collapsed="false">
      <c r="V4023" s="23" t="str">
        <f aca="false">IF(ISNUMBER(C4023),YEAR(C4023),"")</f>
        <v/>
      </c>
      <c r="W4023" s="23" t="str">
        <f aca="false">IF(ISNUMBER(C4023),MONTH(C4023),"")</f>
        <v/>
      </c>
      <c r="X4023" s="23" t="str">
        <f aca="false">IF(T4023="","",IF(T4023=0,"No discount",IF(T4023&lt;=0.2,"Low (1-20%)",IF(T4023&lt;=0.4,"Medium (21-40%)","High (&gt;40%)"))))</f>
        <v/>
      </c>
      <c r="Y4023" s="23" t="str">
        <f aca="false">IF(AND(ISNUMBER(C4023),ISNUMBER(D4023)),D4023-C4023,"")</f>
        <v/>
      </c>
      <c r="Z4023" s="23" t="str">
        <f aca="false">IF(B4023="","",IF(MATCH(B4023,$B$2:$B$12000,0)=ROW()-1,1,0))</f>
        <v/>
      </c>
    </row>
    <row r="4024" customFormat="false" ht="15" hidden="false" customHeight="false" outlineLevel="0" collapsed="false">
      <c r="V4024" s="23" t="str">
        <f aca="false">IF(ISNUMBER(C4024),YEAR(C4024),"")</f>
        <v/>
      </c>
      <c r="W4024" s="23" t="str">
        <f aca="false">IF(ISNUMBER(C4024),MONTH(C4024),"")</f>
        <v/>
      </c>
      <c r="X4024" s="23" t="str">
        <f aca="false">IF(T4024="","",IF(T4024=0,"No discount",IF(T4024&lt;=0.2,"Low (1-20%)",IF(T4024&lt;=0.4,"Medium (21-40%)","High (&gt;40%)"))))</f>
        <v/>
      </c>
      <c r="Y4024" s="23" t="str">
        <f aca="false">IF(AND(ISNUMBER(C4024),ISNUMBER(D4024)),D4024-C4024,"")</f>
        <v/>
      </c>
      <c r="Z4024" s="23" t="str">
        <f aca="false">IF(B4024="","",IF(MATCH(B4024,$B$2:$B$12000,0)=ROW()-1,1,0))</f>
        <v/>
      </c>
    </row>
    <row r="4025" customFormat="false" ht="15" hidden="false" customHeight="false" outlineLevel="0" collapsed="false">
      <c r="V4025" s="23" t="str">
        <f aca="false">IF(ISNUMBER(C4025),YEAR(C4025),"")</f>
        <v/>
      </c>
      <c r="W4025" s="23" t="str">
        <f aca="false">IF(ISNUMBER(C4025),MONTH(C4025),"")</f>
        <v/>
      </c>
      <c r="X4025" s="23" t="str">
        <f aca="false">IF(T4025="","",IF(T4025=0,"No discount",IF(T4025&lt;=0.2,"Low (1-20%)",IF(T4025&lt;=0.4,"Medium (21-40%)","High (&gt;40%)"))))</f>
        <v/>
      </c>
      <c r="Y4025" s="23" t="str">
        <f aca="false">IF(AND(ISNUMBER(C4025),ISNUMBER(D4025)),D4025-C4025,"")</f>
        <v/>
      </c>
      <c r="Z4025" s="23" t="str">
        <f aca="false">IF(B4025="","",IF(MATCH(B4025,$B$2:$B$12000,0)=ROW()-1,1,0))</f>
        <v/>
      </c>
    </row>
    <row r="4026" customFormat="false" ht="15" hidden="false" customHeight="false" outlineLevel="0" collapsed="false">
      <c r="V4026" s="23" t="str">
        <f aca="false">IF(ISNUMBER(C4026),YEAR(C4026),"")</f>
        <v/>
      </c>
      <c r="W4026" s="23" t="str">
        <f aca="false">IF(ISNUMBER(C4026),MONTH(C4026),"")</f>
        <v/>
      </c>
      <c r="X4026" s="23" t="str">
        <f aca="false">IF(T4026="","",IF(T4026=0,"No discount",IF(T4026&lt;=0.2,"Low (1-20%)",IF(T4026&lt;=0.4,"Medium (21-40%)","High (&gt;40%)"))))</f>
        <v/>
      </c>
      <c r="Y4026" s="23" t="str">
        <f aca="false">IF(AND(ISNUMBER(C4026),ISNUMBER(D4026)),D4026-C4026,"")</f>
        <v/>
      </c>
      <c r="Z4026" s="23" t="str">
        <f aca="false">IF(B4026="","",IF(MATCH(B4026,$B$2:$B$12000,0)=ROW()-1,1,0))</f>
        <v/>
      </c>
    </row>
    <row r="4027" customFormat="false" ht="15" hidden="false" customHeight="false" outlineLevel="0" collapsed="false">
      <c r="V4027" s="23" t="str">
        <f aca="false">IF(ISNUMBER(C4027),YEAR(C4027),"")</f>
        <v/>
      </c>
      <c r="W4027" s="23" t="str">
        <f aca="false">IF(ISNUMBER(C4027),MONTH(C4027),"")</f>
        <v/>
      </c>
      <c r="X4027" s="23" t="str">
        <f aca="false">IF(T4027="","",IF(T4027=0,"No discount",IF(T4027&lt;=0.2,"Low (1-20%)",IF(T4027&lt;=0.4,"Medium (21-40%)","High (&gt;40%)"))))</f>
        <v/>
      </c>
      <c r="Y4027" s="23" t="str">
        <f aca="false">IF(AND(ISNUMBER(C4027),ISNUMBER(D4027)),D4027-C4027,"")</f>
        <v/>
      </c>
      <c r="Z4027" s="23" t="str">
        <f aca="false">IF(B4027="","",IF(MATCH(B4027,$B$2:$B$12000,0)=ROW()-1,1,0))</f>
        <v/>
      </c>
    </row>
    <row r="4028" customFormat="false" ht="15" hidden="false" customHeight="false" outlineLevel="0" collapsed="false">
      <c r="V4028" s="23" t="str">
        <f aca="false">IF(ISNUMBER(C4028),YEAR(C4028),"")</f>
        <v/>
      </c>
      <c r="W4028" s="23" t="str">
        <f aca="false">IF(ISNUMBER(C4028),MONTH(C4028),"")</f>
        <v/>
      </c>
      <c r="X4028" s="23" t="str">
        <f aca="false">IF(T4028="","",IF(T4028=0,"No discount",IF(T4028&lt;=0.2,"Low (1-20%)",IF(T4028&lt;=0.4,"Medium (21-40%)","High (&gt;40%)"))))</f>
        <v/>
      </c>
      <c r="Y4028" s="23" t="str">
        <f aca="false">IF(AND(ISNUMBER(C4028),ISNUMBER(D4028)),D4028-C4028,"")</f>
        <v/>
      </c>
      <c r="Z4028" s="23" t="str">
        <f aca="false">IF(B4028="","",IF(MATCH(B4028,$B$2:$B$12000,0)=ROW()-1,1,0))</f>
        <v/>
      </c>
    </row>
    <row r="4029" customFormat="false" ht="15" hidden="false" customHeight="false" outlineLevel="0" collapsed="false">
      <c r="V4029" s="23" t="str">
        <f aca="false">IF(ISNUMBER(C4029),YEAR(C4029),"")</f>
        <v/>
      </c>
      <c r="W4029" s="23" t="str">
        <f aca="false">IF(ISNUMBER(C4029),MONTH(C4029),"")</f>
        <v/>
      </c>
      <c r="X4029" s="23" t="str">
        <f aca="false">IF(T4029="","",IF(T4029=0,"No discount",IF(T4029&lt;=0.2,"Low (1-20%)",IF(T4029&lt;=0.4,"Medium (21-40%)","High (&gt;40%)"))))</f>
        <v/>
      </c>
      <c r="Y4029" s="23" t="str">
        <f aca="false">IF(AND(ISNUMBER(C4029),ISNUMBER(D4029)),D4029-C4029,"")</f>
        <v/>
      </c>
      <c r="Z4029" s="23" t="str">
        <f aca="false">IF(B4029="","",IF(MATCH(B4029,$B$2:$B$12000,0)=ROW()-1,1,0))</f>
        <v/>
      </c>
    </row>
    <row r="4030" customFormat="false" ht="15" hidden="false" customHeight="false" outlineLevel="0" collapsed="false">
      <c r="V4030" s="23" t="str">
        <f aca="false">IF(ISNUMBER(C4030),YEAR(C4030),"")</f>
        <v/>
      </c>
      <c r="W4030" s="23" t="str">
        <f aca="false">IF(ISNUMBER(C4030),MONTH(C4030),"")</f>
        <v/>
      </c>
      <c r="X4030" s="23" t="str">
        <f aca="false">IF(T4030="","",IF(T4030=0,"No discount",IF(T4030&lt;=0.2,"Low (1-20%)",IF(T4030&lt;=0.4,"Medium (21-40%)","High (&gt;40%)"))))</f>
        <v/>
      </c>
      <c r="Y4030" s="23" t="str">
        <f aca="false">IF(AND(ISNUMBER(C4030),ISNUMBER(D4030)),D4030-C4030,"")</f>
        <v/>
      </c>
      <c r="Z4030" s="23" t="str">
        <f aca="false">IF(B4030="","",IF(MATCH(B4030,$B$2:$B$12000,0)=ROW()-1,1,0))</f>
        <v/>
      </c>
    </row>
    <row r="4031" customFormat="false" ht="15" hidden="false" customHeight="false" outlineLevel="0" collapsed="false">
      <c r="V4031" s="23" t="str">
        <f aca="false">IF(ISNUMBER(C4031),YEAR(C4031),"")</f>
        <v/>
      </c>
      <c r="W4031" s="23" t="str">
        <f aca="false">IF(ISNUMBER(C4031),MONTH(C4031),"")</f>
        <v/>
      </c>
      <c r="X4031" s="23" t="str">
        <f aca="false">IF(T4031="","",IF(T4031=0,"No discount",IF(T4031&lt;=0.2,"Low (1-20%)",IF(T4031&lt;=0.4,"Medium (21-40%)","High (&gt;40%)"))))</f>
        <v/>
      </c>
      <c r="Y4031" s="23" t="str">
        <f aca="false">IF(AND(ISNUMBER(C4031),ISNUMBER(D4031)),D4031-C4031,"")</f>
        <v/>
      </c>
      <c r="Z4031" s="23" t="str">
        <f aca="false">IF(B4031="","",IF(MATCH(B4031,$B$2:$B$12000,0)=ROW()-1,1,0))</f>
        <v/>
      </c>
    </row>
    <row r="4032" customFormat="false" ht="15" hidden="false" customHeight="false" outlineLevel="0" collapsed="false">
      <c r="V4032" s="23" t="str">
        <f aca="false">IF(ISNUMBER(C4032),YEAR(C4032),"")</f>
        <v/>
      </c>
      <c r="W4032" s="23" t="str">
        <f aca="false">IF(ISNUMBER(C4032),MONTH(C4032),"")</f>
        <v/>
      </c>
      <c r="X4032" s="23" t="str">
        <f aca="false">IF(T4032="","",IF(T4032=0,"No discount",IF(T4032&lt;=0.2,"Low (1-20%)",IF(T4032&lt;=0.4,"Medium (21-40%)","High (&gt;40%)"))))</f>
        <v/>
      </c>
      <c r="Y4032" s="23" t="str">
        <f aca="false">IF(AND(ISNUMBER(C4032),ISNUMBER(D4032)),D4032-C4032,"")</f>
        <v/>
      </c>
      <c r="Z4032" s="23" t="str">
        <f aca="false">IF(B4032="","",IF(MATCH(B4032,$B$2:$B$12000,0)=ROW()-1,1,0))</f>
        <v/>
      </c>
    </row>
    <row r="4033" customFormat="false" ht="15" hidden="false" customHeight="false" outlineLevel="0" collapsed="false">
      <c r="V4033" s="23" t="str">
        <f aca="false">IF(ISNUMBER(C4033),YEAR(C4033),"")</f>
        <v/>
      </c>
      <c r="W4033" s="23" t="str">
        <f aca="false">IF(ISNUMBER(C4033),MONTH(C4033),"")</f>
        <v/>
      </c>
      <c r="X4033" s="23" t="str">
        <f aca="false">IF(T4033="","",IF(T4033=0,"No discount",IF(T4033&lt;=0.2,"Low (1-20%)",IF(T4033&lt;=0.4,"Medium (21-40%)","High (&gt;40%)"))))</f>
        <v/>
      </c>
      <c r="Y4033" s="23" t="str">
        <f aca="false">IF(AND(ISNUMBER(C4033),ISNUMBER(D4033)),D4033-C4033,"")</f>
        <v/>
      </c>
      <c r="Z4033" s="23" t="str">
        <f aca="false">IF(B4033="","",IF(MATCH(B4033,$B$2:$B$12000,0)=ROW()-1,1,0))</f>
        <v/>
      </c>
    </row>
    <row r="4034" customFormat="false" ht="15" hidden="false" customHeight="false" outlineLevel="0" collapsed="false">
      <c r="V4034" s="23" t="str">
        <f aca="false">IF(ISNUMBER(C4034),YEAR(C4034),"")</f>
        <v/>
      </c>
      <c r="W4034" s="23" t="str">
        <f aca="false">IF(ISNUMBER(C4034),MONTH(C4034),"")</f>
        <v/>
      </c>
      <c r="X4034" s="23" t="str">
        <f aca="false">IF(T4034="","",IF(T4034=0,"No discount",IF(T4034&lt;=0.2,"Low (1-20%)",IF(T4034&lt;=0.4,"Medium (21-40%)","High (&gt;40%)"))))</f>
        <v/>
      </c>
      <c r="Y4034" s="23" t="str">
        <f aca="false">IF(AND(ISNUMBER(C4034),ISNUMBER(D4034)),D4034-C4034,"")</f>
        <v/>
      </c>
      <c r="Z4034" s="23" t="str">
        <f aca="false">IF(B4034="","",IF(MATCH(B4034,$B$2:$B$12000,0)=ROW()-1,1,0))</f>
        <v/>
      </c>
    </row>
    <row r="4035" customFormat="false" ht="15" hidden="false" customHeight="false" outlineLevel="0" collapsed="false">
      <c r="V4035" s="23" t="str">
        <f aca="false">IF(ISNUMBER(C4035),YEAR(C4035),"")</f>
        <v/>
      </c>
      <c r="W4035" s="23" t="str">
        <f aca="false">IF(ISNUMBER(C4035),MONTH(C4035),"")</f>
        <v/>
      </c>
      <c r="X4035" s="23" t="str">
        <f aca="false">IF(T4035="","",IF(T4035=0,"No discount",IF(T4035&lt;=0.2,"Low (1-20%)",IF(T4035&lt;=0.4,"Medium (21-40%)","High (&gt;40%)"))))</f>
        <v/>
      </c>
      <c r="Y4035" s="23" t="str">
        <f aca="false">IF(AND(ISNUMBER(C4035),ISNUMBER(D4035)),D4035-C4035,"")</f>
        <v/>
      </c>
      <c r="Z4035" s="23" t="str">
        <f aca="false">IF(B4035="","",IF(MATCH(B4035,$B$2:$B$12000,0)=ROW()-1,1,0))</f>
        <v/>
      </c>
    </row>
    <row r="4036" customFormat="false" ht="15" hidden="false" customHeight="false" outlineLevel="0" collapsed="false">
      <c r="V4036" s="23" t="str">
        <f aca="false">IF(ISNUMBER(C4036),YEAR(C4036),"")</f>
        <v/>
      </c>
      <c r="W4036" s="23" t="str">
        <f aca="false">IF(ISNUMBER(C4036),MONTH(C4036),"")</f>
        <v/>
      </c>
      <c r="X4036" s="23" t="str">
        <f aca="false">IF(T4036="","",IF(T4036=0,"No discount",IF(T4036&lt;=0.2,"Low (1-20%)",IF(T4036&lt;=0.4,"Medium (21-40%)","High (&gt;40%)"))))</f>
        <v/>
      </c>
      <c r="Y4036" s="23" t="str">
        <f aca="false">IF(AND(ISNUMBER(C4036),ISNUMBER(D4036)),D4036-C4036,"")</f>
        <v/>
      </c>
      <c r="Z4036" s="23" t="str">
        <f aca="false">IF(B4036="","",IF(MATCH(B4036,$B$2:$B$12000,0)=ROW()-1,1,0))</f>
        <v/>
      </c>
    </row>
    <row r="4037" customFormat="false" ht="15" hidden="false" customHeight="false" outlineLevel="0" collapsed="false">
      <c r="V4037" s="23" t="str">
        <f aca="false">IF(ISNUMBER(C4037),YEAR(C4037),"")</f>
        <v/>
      </c>
      <c r="W4037" s="23" t="str">
        <f aca="false">IF(ISNUMBER(C4037),MONTH(C4037),"")</f>
        <v/>
      </c>
      <c r="X4037" s="23" t="str">
        <f aca="false">IF(T4037="","",IF(T4037=0,"No discount",IF(T4037&lt;=0.2,"Low (1-20%)",IF(T4037&lt;=0.4,"Medium (21-40%)","High (&gt;40%)"))))</f>
        <v/>
      </c>
      <c r="Y4037" s="23" t="str">
        <f aca="false">IF(AND(ISNUMBER(C4037),ISNUMBER(D4037)),D4037-C4037,"")</f>
        <v/>
      </c>
      <c r="Z4037" s="23" t="str">
        <f aca="false">IF(B4037="","",IF(MATCH(B4037,$B$2:$B$12000,0)=ROW()-1,1,0))</f>
        <v/>
      </c>
    </row>
    <row r="4038" customFormat="false" ht="15" hidden="false" customHeight="false" outlineLevel="0" collapsed="false">
      <c r="V4038" s="23" t="str">
        <f aca="false">IF(ISNUMBER(C4038),YEAR(C4038),"")</f>
        <v/>
      </c>
      <c r="W4038" s="23" t="str">
        <f aca="false">IF(ISNUMBER(C4038),MONTH(C4038),"")</f>
        <v/>
      </c>
      <c r="X4038" s="23" t="str">
        <f aca="false">IF(T4038="","",IF(T4038=0,"No discount",IF(T4038&lt;=0.2,"Low (1-20%)",IF(T4038&lt;=0.4,"Medium (21-40%)","High (&gt;40%)"))))</f>
        <v/>
      </c>
      <c r="Y4038" s="23" t="str">
        <f aca="false">IF(AND(ISNUMBER(C4038),ISNUMBER(D4038)),D4038-C4038,"")</f>
        <v/>
      </c>
      <c r="Z4038" s="23" t="str">
        <f aca="false">IF(B4038="","",IF(MATCH(B4038,$B$2:$B$12000,0)=ROW()-1,1,0))</f>
        <v/>
      </c>
    </row>
    <row r="4039" customFormat="false" ht="15" hidden="false" customHeight="false" outlineLevel="0" collapsed="false">
      <c r="V4039" s="23" t="str">
        <f aca="false">IF(ISNUMBER(C4039),YEAR(C4039),"")</f>
        <v/>
      </c>
      <c r="W4039" s="23" t="str">
        <f aca="false">IF(ISNUMBER(C4039),MONTH(C4039),"")</f>
        <v/>
      </c>
      <c r="X4039" s="23" t="str">
        <f aca="false">IF(T4039="","",IF(T4039=0,"No discount",IF(T4039&lt;=0.2,"Low (1-20%)",IF(T4039&lt;=0.4,"Medium (21-40%)","High (&gt;40%)"))))</f>
        <v/>
      </c>
      <c r="Y4039" s="23" t="str">
        <f aca="false">IF(AND(ISNUMBER(C4039),ISNUMBER(D4039)),D4039-C4039,"")</f>
        <v/>
      </c>
      <c r="Z4039" s="23" t="str">
        <f aca="false">IF(B4039="","",IF(MATCH(B4039,$B$2:$B$12000,0)=ROW()-1,1,0))</f>
        <v/>
      </c>
    </row>
    <row r="4040" customFormat="false" ht="15" hidden="false" customHeight="false" outlineLevel="0" collapsed="false">
      <c r="V4040" s="23" t="str">
        <f aca="false">IF(ISNUMBER(C4040),YEAR(C4040),"")</f>
        <v/>
      </c>
      <c r="W4040" s="23" t="str">
        <f aca="false">IF(ISNUMBER(C4040),MONTH(C4040),"")</f>
        <v/>
      </c>
      <c r="X4040" s="23" t="str">
        <f aca="false">IF(T4040="","",IF(T4040=0,"No discount",IF(T4040&lt;=0.2,"Low (1-20%)",IF(T4040&lt;=0.4,"Medium (21-40%)","High (&gt;40%)"))))</f>
        <v/>
      </c>
      <c r="Y4040" s="23" t="str">
        <f aca="false">IF(AND(ISNUMBER(C4040),ISNUMBER(D4040)),D4040-C4040,"")</f>
        <v/>
      </c>
      <c r="Z4040" s="23" t="str">
        <f aca="false">IF(B4040="","",IF(MATCH(B4040,$B$2:$B$12000,0)=ROW()-1,1,0))</f>
        <v/>
      </c>
    </row>
    <row r="4041" customFormat="false" ht="15" hidden="false" customHeight="false" outlineLevel="0" collapsed="false">
      <c r="V4041" s="23" t="str">
        <f aca="false">IF(ISNUMBER(C4041),YEAR(C4041),"")</f>
        <v/>
      </c>
      <c r="W4041" s="23" t="str">
        <f aca="false">IF(ISNUMBER(C4041),MONTH(C4041),"")</f>
        <v/>
      </c>
      <c r="X4041" s="23" t="str">
        <f aca="false">IF(T4041="","",IF(T4041=0,"No discount",IF(T4041&lt;=0.2,"Low (1-20%)",IF(T4041&lt;=0.4,"Medium (21-40%)","High (&gt;40%)"))))</f>
        <v/>
      </c>
      <c r="Y4041" s="23" t="str">
        <f aca="false">IF(AND(ISNUMBER(C4041),ISNUMBER(D4041)),D4041-C4041,"")</f>
        <v/>
      </c>
      <c r="Z4041" s="23" t="str">
        <f aca="false">IF(B4041="","",IF(MATCH(B4041,$B$2:$B$12000,0)=ROW()-1,1,0))</f>
        <v/>
      </c>
    </row>
    <row r="4042" customFormat="false" ht="15" hidden="false" customHeight="false" outlineLevel="0" collapsed="false">
      <c r="V4042" s="23" t="str">
        <f aca="false">IF(ISNUMBER(C4042),YEAR(C4042),"")</f>
        <v/>
      </c>
      <c r="W4042" s="23" t="str">
        <f aca="false">IF(ISNUMBER(C4042),MONTH(C4042),"")</f>
        <v/>
      </c>
      <c r="X4042" s="23" t="str">
        <f aca="false">IF(T4042="","",IF(T4042=0,"No discount",IF(T4042&lt;=0.2,"Low (1-20%)",IF(T4042&lt;=0.4,"Medium (21-40%)","High (&gt;40%)"))))</f>
        <v/>
      </c>
      <c r="Y4042" s="23" t="str">
        <f aca="false">IF(AND(ISNUMBER(C4042),ISNUMBER(D4042)),D4042-C4042,"")</f>
        <v/>
      </c>
      <c r="Z4042" s="23" t="str">
        <f aca="false">IF(B4042="","",IF(MATCH(B4042,$B$2:$B$12000,0)=ROW()-1,1,0))</f>
        <v/>
      </c>
    </row>
    <row r="4043" customFormat="false" ht="15" hidden="false" customHeight="false" outlineLevel="0" collapsed="false">
      <c r="V4043" s="23" t="str">
        <f aca="false">IF(ISNUMBER(C4043),YEAR(C4043),"")</f>
        <v/>
      </c>
      <c r="W4043" s="23" t="str">
        <f aca="false">IF(ISNUMBER(C4043),MONTH(C4043),"")</f>
        <v/>
      </c>
      <c r="X4043" s="23" t="str">
        <f aca="false">IF(T4043="","",IF(T4043=0,"No discount",IF(T4043&lt;=0.2,"Low (1-20%)",IF(T4043&lt;=0.4,"Medium (21-40%)","High (&gt;40%)"))))</f>
        <v/>
      </c>
      <c r="Y4043" s="23" t="str">
        <f aca="false">IF(AND(ISNUMBER(C4043),ISNUMBER(D4043)),D4043-C4043,"")</f>
        <v/>
      </c>
      <c r="Z4043" s="23" t="str">
        <f aca="false">IF(B4043="","",IF(MATCH(B4043,$B$2:$B$12000,0)=ROW()-1,1,0))</f>
        <v/>
      </c>
    </row>
    <row r="4044" customFormat="false" ht="15" hidden="false" customHeight="false" outlineLevel="0" collapsed="false">
      <c r="V4044" s="23" t="str">
        <f aca="false">IF(ISNUMBER(C4044),YEAR(C4044),"")</f>
        <v/>
      </c>
      <c r="W4044" s="23" t="str">
        <f aca="false">IF(ISNUMBER(C4044),MONTH(C4044),"")</f>
        <v/>
      </c>
      <c r="X4044" s="23" t="str">
        <f aca="false">IF(T4044="","",IF(T4044=0,"No discount",IF(T4044&lt;=0.2,"Low (1-20%)",IF(T4044&lt;=0.4,"Medium (21-40%)","High (&gt;40%)"))))</f>
        <v/>
      </c>
      <c r="Y4044" s="23" t="str">
        <f aca="false">IF(AND(ISNUMBER(C4044),ISNUMBER(D4044)),D4044-C4044,"")</f>
        <v/>
      </c>
      <c r="Z4044" s="23" t="str">
        <f aca="false">IF(B4044="","",IF(MATCH(B4044,$B$2:$B$12000,0)=ROW()-1,1,0))</f>
        <v/>
      </c>
    </row>
    <row r="4045" customFormat="false" ht="15" hidden="false" customHeight="false" outlineLevel="0" collapsed="false">
      <c r="V4045" s="23" t="str">
        <f aca="false">IF(ISNUMBER(C4045),YEAR(C4045),"")</f>
        <v/>
      </c>
      <c r="W4045" s="23" t="str">
        <f aca="false">IF(ISNUMBER(C4045),MONTH(C4045),"")</f>
        <v/>
      </c>
      <c r="X4045" s="23" t="str">
        <f aca="false">IF(T4045="","",IF(T4045=0,"No discount",IF(T4045&lt;=0.2,"Low (1-20%)",IF(T4045&lt;=0.4,"Medium (21-40%)","High (&gt;40%)"))))</f>
        <v/>
      </c>
      <c r="Y4045" s="23" t="str">
        <f aca="false">IF(AND(ISNUMBER(C4045),ISNUMBER(D4045)),D4045-C4045,"")</f>
        <v/>
      </c>
      <c r="Z4045" s="23" t="str">
        <f aca="false">IF(B4045="","",IF(MATCH(B4045,$B$2:$B$12000,0)=ROW()-1,1,0))</f>
        <v/>
      </c>
    </row>
    <row r="4046" customFormat="false" ht="15" hidden="false" customHeight="false" outlineLevel="0" collapsed="false">
      <c r="V4046" s="23" t="str">
        <f aca="false">IF(ISNUMBER(C4046),YEAR(C4046),"")</f>
        <v/>
      </c>
      <c r="W4046" s="23" t="str">
        <f aca="false">IF(ISNUMBER(C4046),MONTH(C4046),"")</f>
        <v/>
      </c>
      <c r="X4046" s="23" t="str">
        <f aca="false">IF(T4046="","",IF(T4046=0,"No discount",IF(T4046&lt;=0.2,"Low (1-20%)",IF(T4046&lt;=0.4,"Medium (21-40%)","High (&gt;40%)"))))</f>
        <v/>
      </c>
      <c r="Y4046" s="23" t="str">
        <f aca="false">IF(AND(ISNUMBER(C4046),ISNUMBER(D4046)),D4046-C4046,"")</f>
        <v/>
      </c>
      <c r="Z4046" s="23" t="str">
        <f aca="false">IF(B4046="","",IF(MATCH(B4046,$B$2:$B$12000,0)=ROW()-1,1,0))</f>
        <v/>
      </c>
    </row>
    <row r="4047" customFormat="false" ht="15" hidden="false" customHeight="false" outlineLevel="0" collapsed="false">
      <c r="V4047" s="23" t="str">
        <f aca="false">IF(ISNUMBER(C4047),YEAR(C4047),"")</f>
        <v/>
      </c>
      <c r="W4047" s="23" t="str">
        <f aca="false">IF(ISNUMBER(C4047),MONTH(C4047),"")</f>
        <v/>
      </c>
      <c r="X4047" s="23" t="str">
        <f aca="false">IF(T4047="","",IF(T4047=0,"No discount",IF(T4047&lt;=0.2,"Low (1-20%)",IF(T4047&lt;=0.4,"Medium (21-40%)","High (&gt;40%)"))))</f>
        <v/>
      </c>
      <c r="Y4047" s="23" t="str">
        <f aca="false">IF(AND(ISNUMBER(C4047),ISNUMBER(D4047)),D4047-C4047,"")</f>
        <v/>
      </c>
      <c r="Z4047" s="23" t="str">
        <f aca="false">IF(B4047="","",IF(MATCH(B4047,$B$2:$B$12000,0)=ROW()-1,1,0))</f>
        <v/>
      </c>
    </row>
    <row r="4048" customFormat="false" ht="15" hidden="false" customHeight="false" outlineLevel="0" collapsed="false">
      <c r="V4048" s="23" t="str">
        <f aca="false">IF(ISNUMBER(C4048),YEAR(C4048),"")</f>
        <v/>
      </c>
      <c r="W4048" s="23" t="str">
        <f aca="false">IF(ISNUMBER(C4048),MONTH(C4048),"")</f>
        <v/>
      </c>
      <c r="X4048" s="23" t="str">
        <f aca="false">IF(T4048="","",IF(T4048=0,"No discount",IF(T4048&lt;=0.2,"Low (1-20%)",IF(T4048&lt;=0.4,"Medium (21-40%)","High (&gt;40%)"))))</f>
        <v/>
      </c>
      <c r="Y4048" s="23" t="str">
        <f aca="false">IF(AND(ISNUMBER(C4048),ISNUMBER(D4048)),D4048-C4048,"")</f>
        <v/>
      </c>
      <c r="Z4048" s="23" t="str">
        <f aca="false">IF(B4048="","",IF(MATCH(B4048,$B$2:$B$12000,0)=ROW()-1,1,0))</f>
        <v/>
      </c>
    </row>
    <row r="4049" customFormat="false" ht="15" hidden="false" customHeight="false" outlineLevel="0" collapsed="false">
      <c r="V4049" s="23" t="str">
        <f aca="false">IF(ISNUMBER(C4049),YEAR(C4049),"")</f>
        <v/>
      </c>
      <c r="W4049" s="23" t="str">
        <f aca="false">IF(ISNUMBER(C4049),MONTH(C4049),"")</f>
        <v/>
      </c>
      <c r="X4049" s="23" t="str">
        <f aca="false">IF(T4049="","",IF(T4049=0,"No discount",IF(T4049&lt;=0.2,"Low (1-20%)",IF(T4049&lt;=0.4,"Medium (21-40%)","High (&gt;40%)"))))</f>
        <v/>
      </c>
      <c r="Y4049" s="23" t="str">
        <f aca="false">IF(AND(ISNUMBER(C4049),ISNUMBER(D4049)),D4049-C4049,"")</f>
        <v/>
      </c>
      <c r="Z4049" s="23" t="str">
        <f aca="false">IF(B4049="","",IF(MATCH(B4049,$B$2:$B$12000,0)=ROW()-1,1,0))</f>
        <v/>
      </c>
    </row>
    <row r="4050" customFormat="false" ht="15" hidden="false" customHeight="false" outlineLevel="0" collapsed="false">
      <c r="V4050" s="23" t="str">
        <f aca="false">IF(ISNUMBER(C4050),YEAR(C4050),"")</f>
        <v/>
      </c>
      <c r="W4050" s="23" t="str">
        <f aca="false">IF(ISNUMBER(C4050),MONTH(C4050),"")</f>
        <v/>
      </c>
      <c r="X4050" s="23" t="str">
        <f aca="false">IF(T4050="","",IF(T4050=0,"No discount",IF(T4050&lt;=0.2,"Low (1-20%)",IF(T4050&lt;=0.4,"Medium (21-40%)","High (&gt;40%)"))))</f>
        <v/>
      </c>
      <c r="Y4050" s="23" t="str">
        <f aca="false">IF(AND(ISNUMBER(C4050),ISNUMBER(D4050)),D4050-C4050,"")</f>
        <v/>
      </c>
      <c r="Z4050" s="23" t="str">
        <f aca="false">IF(B4050="","",IF(MATCH(B4050,$B$2:$B$12000,0)=ROW()-1,1,0))</f>
        <v/>
      </c>
    </row>
    <row r="4051" customFormat="false" ht="15" hidden="false" customHeight="false" outlineLevel="0" collapsed="false">
      <c r="V4051" s="23" t="str">
        <f aca="false">IF(ISNUMBER(C4051),YEAR(C4051),"")</f>
        <v/>
      </c>
      <c r="W4051" s="23" t="str">
        <f aca="false">IF(ISNUMBER(C4051),MONTH(C4051),"")</f>
        <v/>
      </c>
      <c r="X4051" s="23" t="str">
        <f aca="false">IF(T4051="","",IF(T4051=0,"No discount",IF(T4051&lt;=0.2,"Low (1-20%)",IF(T4051&lt;=0.4,"Medium (21-40%)","High (&gt;40%)"))))</f>
        <v/>
      </c>
      <c r="Y4051" s="23" t="str">
        <f aca="false">IF(AND(ISNUMBER(C4051),ISNUMBER(D4051)),D4051-C4051,"")</f>
        <v/>
      </c>
      <c r="Z4051" s="23" t="str">
        <f aca="false">IF(B4051="","",IF(MATCH(B4051,$B$2:$B$12000,0)=ROW()-1,1,0))</f>
        <v/>
      </c>
    </row>
    <row r="4052" customFormat="false" ht="15" hidden="false" customHeight="false" outlineLevel="0" collapsed="false">
      <c r="V4052" s="23" t="str">
        <f aca="false">IF(ISNUMBER(C4052),YEAR(C4052),"")</f>
        <v/>
      </c>
      <c r="W4052" s="23" t="str">
        <f aca="false">IF(ISNUMBER(C4052),MONTH(C4052),"")</f>
        <v/>
      </c>
      <c r="X4052" s="23" t="str">
        <f aca="false">IF(T4052="","",IF(T4052=0,"No discount",IF(T4052&lt;=0.2,"Low (1-20%)",IF(T4052&lt;=0.4,"Medium (21-40%)","High (&gt;40%)"))))</f>
        <v/>
      </c>
      <c r="Y4052" s="23" t="str">
        <f aca="false">IF(AND(ISNUMBER(C4052),ISNUMBER(D4052)),D4052-C4052,"")</f>
        <v/>
      </c>
      <c r="Z4052" s="23" t="str">
        <f aca="false">IF(B4052="","",IF(MATCH(B4052,$B$2:$B$12000,0)=ROW()-1,1,0))</f>
        <v/>
      </c>
    </row>
    <row r="4053" customFormat="false" ht="15" hidden="false" customHeight="false" outlineLevel="0" collapsed="false">
      <c r="V4053" s="23" t="str">
        <f aca="false">IF(ISNUMBER(C4053),YEAR(C4053),"")</f>
        <v/>
      </c>
      <c r="W4053" s="23" t="str">
        <f aca="false">IF(ISNUMBER(C4053),MONTH(C4053),"")</f>
        <v/>
      </c>
      <c r="X4053" s="23" t="str">
        <f aca="false">IF(T4053="","",IF(T4053=0,"No discount",IF(T4053&lt;=0.2,"Low (1-20%)",IF(T4053&lt;=0.4,"Medium (21-40%)","High (&gt;40%)"))))</f>
        <v/>
      </c>
      <c r="Y4053" s="23" t="str">
        <f aca="false">IF(AND(ISNUMBER(C4053),ISNUMBER(D4053)),D4053-C4053,"")</f>
        <v/>
      </c>
      <c r="Z4053" s="23" t="str">
        <f aca="false">IF(B4053="","",IF(MATCH(B4053,$B$2:$B$12000,0)=ROW()-1,1,0))</f>
        <v/>
      </c>
    </row>
    <row r="4054" customFormat="false" ht="15" hidden="false" customHeight="false" outlineLevel="0" collapsed="false">
      <c r="V4054" s="23" t="str">
        <f aca="false">IF(ISNUMBER(C4054),YEAR(C4054),"")</f>
        <v/>
      </c>
      <c r="W4054" s="23" t="str">
        <f aca="false">IF(ISNUMBER(C4054),MONTH(C4054),"")</f>
        <v/>
      </c>
      <c r="X4054" s="23" t="str">
        <f aca="false">IF(T4054="","",IF(T4054=0,"No discount",IF(T4054&lt;=0.2,"Low (1-20%)",IF(T4054&lt;=0.4,"Medium (21-40%)","High (&gt;40%)"))))</f>
        <v/>
      </c>
      <c r="Y4054" s="23" t="str">
        <f aca="false">IF(AND(ISNUMBER(C4054),ISNUMBER(D4054)),D4054-C4054,"")</f>
        <v/>
      </c>
      <c r="Z4054" s="23" t="str">
        <f aca="false">IF(B4054="","",IF(MATCH(B4054,$B$2:$B$12000,0)=ROW()-1,1,0))</f>
        <v/>
      </c>
    </row>
    <row r="4055" customFormat="false" ht="15" hidden="false" customHeight="false" outlineLevel="0" collapsed="false">
      <c r="V4055" s="23" t="str">
        <f aca="false">IF(ISNUMBER(C4055),YEAR(C4055),"")</f>
        <v/>
      </c>
      <c r="W4055" s="23" t="str">
        <f aca="false">IF(ISNUMBER(C4055),MONTH(C4055),"")</f>
        <v/>
      </c>
      <c r="X4055" s="23" t="str">
        <f aca="false">IF(T4055="","",IF(T4055=0,"No discount",IF(T4055&lt;=0.2,"Low (1-20%)",IF(T4055&lt;=0.4,"Medium (21-40%)","High (&gt;40%)"))))</f>
        <v/>
      </c>
      <c r="Y4055" s="23" t="str">
        <f aca="false">IF(AND(ISNUMBER(C4055),ISNUMBER(D4055)),D4055-C4055,"")</f>
        <v/>
      </c>
      <c r="Z4055" s="23" t="str">
        <f aca="false">IF(B4055="","",IF(MATCH(B4055,$B$2:$B$12000,0)=ROW()-1,1,0))</f>
        <v/>
      </c>
    </row>
    <row r="4056" customFormat="false" ht="15" hidden="false" customHeight="false" outlineLevel="0" collapsed="false">
      <c r="V4056" s="23" t="str">
        <f aca="false">IF(ISNUMBER(C4056),YEAR(C4056),"")</f>
        <v/>
      </c>
      <c r="W4056" s="23" t="str">
        <f aca="false">IF(ISNUMBER(C4056),MONTH(C4056),"")</f>
        <v/>
      </c>
      <c r="X4056" s="23" t="str">
        <f aca="false">IF(T4056="","",IF(T4056=0,"No discount",IF(T4056&lt;=0.2,"Low (1-20%)",IF(T4056&lt;=0.4,"Medium (21-40%)","High (&gt;40%)"))))</f>
        <v/>
      </c>
      <c r="Y4056" s="23" t="str">
        <f aca="false">IF(AND(ISNUMBER(C4056),ISNUMBER(D4056)),D4056-C4056,"")</f>
        <v/>
      </c>
      <c r="Z4056" s="23" t="str">
        <f aca="false">IF(B4056="","",IF(MATCH(B4056,$B$2:$B$12000,0)=ROW()-1,1,0))</f>
        <v/>
      </c>
    </row>
    <row r="4057" customFormat="false" ht="15" hidden="false" customHeight="false" outlineLevel="0" collapsed="false">
      <c r="V4057" s="23" t="str">
        <f aca="false">IF(ISNUMBER(C4057),YEAR(C4057),"")</f>
        <v/>
      </c>
      <c r="W4057" s="23" t="str">
        <f aca="false">IF(ISNUMBER(C4057),MONTH(C4057),"")</f>
        <v/>
      </c>
      <c r="X4057" s="23" t="str">
        <f aca="false">IF(T4057="","",IF(T4057=0,"No discount",IF(T4057&lt;=0.2,"Low (1-20%)",IF(T4057&lt;=0.4,"Medium (21-40%)","High (&gt;40%)"))))</f>
        <v/>
      </c>
      <c r="Y4057" s="23" t="str">
        <f aca="false">IF(AND(ISNUMBER(C4057),ISNUMBER(D4057)),D4057-C4057,"")</f>
        <v/>
      </c>
      <c r="Z4057" s="23" t="str">
        <f aca="false">IF(B4057="","",IF(MATCH(B4057,$B$2:$B$12000,0)=ROW()-1,1,0))</f>
        <v/>
      </c>
    </row>
    <row r="4058" customFormat="false" ht="15" hidden="false" customHeight="false" outlineLevel="0" collapsed="false">
      <c r="V4058" s="23" t="str">
        <f aca="false">IF(ISNUMBER(C4058),YEAR(C4058),"")</f>
        <v/>
      </c>
      <c r="W4058" s="23" t="str">
        <f aca="false">IF(ISNUMBER(C4058),MONTH(C4058),"")</f>
        <v/>
      </c>
      <c r="X4058" s="23" t="str">
        <f aca="false">IF(T4058="","",IF(T4058=0,"No discount",IF(T4058&lt;=0.2,"Low (1-20%)",IF(T4058&lt;=0.4,"Medium (21-40%)","High (&gt;40%)"))))</f>
        <v/>
      </c>
      <c r="Y4058" s="23" t="str">
        <f aca="false">IF(AND(ISNUMBER(C4058),ISNUMBER(D4058)),D4058-C4058,"")</f>
        <v/>
      </c>
      <c r="Z4058" s="23" t="str">
        <f aca="false">IF(B4058="","",IF(MATCH(B4058,$B$2:$B$12000,0)=ROW()-1,1,0))</f>
        <v/>
      </c>
    </row>
    <row r="4059" customFormat="false" ht="15" hidden="false" customHeight="false" outlineLevel="0" collapsed="false">
      <c r="V4059" s="23" t="str">
        <f aca="false">IF(ISNUMBER(C4059),YEAR(C4059),"")</f>
        <v/>
      </c>
      <c r="W4059" s="23" t="str">
        <f aca="false">IF(ISNUMBER(C4059),MONTH(C4059),"")</f>
        <v/>
      </c>
      <c r="X4059" s="23" t="str">
        <f aca="false">IF(T4059="","",IF(T4059=0,"No discount",IF(T4059&lt;=0.2,"Low (1-20%)",IF(T4059&lt;=0.4,"Medium (21-40%)","High (&gt;40%)"))))</f>
        <v/>
      </c>
      <c r="Y4059" s="23" t="str">
        <f aca="false">IF(AND(ISNUMBER(C4059),ISNUMBER(D4059)),D4059-C4059,"")</f>
        <v/>
      </c>
      <c r="Z4059" s="23" t="str">
        <f aca="false">IF(B4059="","",IF(MATCH(B4059,$B$2:$B$12000,0)=ROW()-1,1,0))</f>
        <v/>
      </c>
    </row>
    <row r="4060" customFormat="false" ht="15" hidden="false" customHeight="false" outlineLevel="0" collapsed="false">
      <c r="V4060" s="23" t="str">
        <f aca="false">IF(ISNUMBER(C4060),YEAR(C4060),"")</f>
        <v/>
      </c>
      <c r="W4060" s="23" t="str">
        <f aca="false">IF(ISNUMBER(C4060),MONTH(C4060),"")</f>
        <v/>
      </c>
      <c r="X4060" s="23" t="str">
        <f aca="false">IF(T4060="","",IF(T4060=0,"No discount",IF(T4060&lt;=0.2,"Low (1-20%)",IF(T4060&lt;=0.4,"Medium (21-40%)","High (&gt;40%)"))))</f>
        <v/>
      </c>
      <c r="Y4060" s="23" t="str">
        <f aca="false">IF(AND(ISNUMBER(C4060),ISNUMBER(D4060)),D4060-C4060,"")</f>
        <v/>
      </c>
      <c r="Z4060" s="23" t="str">
        <f aca="false">IF(B4060="","",IF(MATCH(B4060,$B$2:$B$12000,0)=ROW()-1,1,0))</f>
        <v/>
      </c>
    </row>
    <row r="4061" customFormat="false" ht="15" hidden="false" customHeight="false" outlineLevel="0" collapsed="false">
      <c r="V4061" s="23" t="str">
        <f aca="false">IF(ISNUMBER(C4061),YEAR(C4061),"")</f>
        <v/>
      </c>
      <c r="W4061" s="23" t="str">
        <f aca="false">IF(ISNUMBER(C4061),MONTH(C4061),"")</f>
        <v/>
      </c>
      <c r="X4061" s="23" t="str">
        <f aca="false">IF(T4061="","",IF(T4061=0,"No discount",IF(T4061&lt;=0.2,"Low (1-20%)",IF(T4061&lt;=0.4,"Medium (21-40%)","High (&gt;40%)"))))</f>
        <v/>
      </c>
      <c r="Y4061" s="23" t="str">
        <f aca="false">IF(AND(ISNUMBER(C4061),ISNUMBER(D4061)),D4061-C4061,"")</f>
        <v/>
      </c>
      <c r="Z4061" s="23" t="str">
        <f aca="false">IF(B4061="","",IF(MATCH(B4061,$B$2:$B$12000,0)=ROW()-1,1,0))</f>
        <v/>
      </c>
    </row>
    <row r="4062" customFormat="false" ht="15" hidden="false" customHeight="false" outlineLevel="0" collapsed="false">
      <c r="V4062" s="23" t="str">
        <f aca="false">IF(ISNUMBER(C4062),YEAR(C4062),"")</f>
        <v/>
      </c>
      <c r="W4062" s="23" t="str">
        <f aca="false">IF(ISNUMBER(C4062),MONTH(C4062),"")</f>
        <v/>
      </c>
      <c r="X4062" s="23" t="str">
        <f aca="false">IF(T4062="","",IF(T4062=0,"No discount",IF(T4062&lt;=0.2,"Low (1-20%)",IF(T4062&lt;=0.4,"Medium (21-40%)","High (&gt;40%)"))))</f>
        <v/>
      </c>
      <c r="Y4062" s="23" t="str">
        <f aca="false">IF(AND(ISNUMBER(C4062),ISNUMBER(D4062)),D4062-C4062,"")</f>
        <v/>
      </c>
      <c r="Z4062" s="23" t="str">
        <f aca="false">IF(B4062="","",IF(MATCH(B4062,$B$2:$B$12000,0)=ROW()-1,1,0))</f>
        <v/>
      </c>
    </row>
    <row r="4063" customFormat="false" ht="15" hidden="false" customHeight="false" outlineLevel="0" collapsed="false">
      <c r="V4063" s="23" t="str">
        <f aca="false">IF(ISNUMBER(C4063),YEAR(C4063),"")</f>
        <v/>
      </c>
      <c r="W4063" s="23" t="str">
        <f aca="false">IF(ISNUMBER(C4063),MONTH(C4063),"")</f>
        <v/>
      </c>
      <c r="X4063" s="23" t="str">
        <f aca="false">IF(T4063="","",IF(T4063=0,"No discount",IF(T4063&lt;=0.2,"Low (1-20%)",IF(T4063&lt;=0.4,"Medium (21-40%)","High (&gt;40%)"))))</f>
        <v/>
      </c>
      <c r="Y4063" s="23" t="str">
        <f aca="false">IF(AND(ISNUMBER(C4063),ISNUMBER(D4063)),D4063-C4063,"")</f>
        <v/>
      </c>
      <c r="Z4063" s="23" t="str">
        <f aca="false">IF(B4063="","",IF(MATCH(B4063,$B$2:$B$12000,0)=ROW()-1,1,0))</f>
        <v/>
      </c>
    </row>
    <row r="4064" customFormat="false" ht="15" hidden="false" customHeight="false" outlineLevel="0" collapsed="false">
      <c r="V4064" s="23" t="str">
        <f aca="false">IF(ISNUMBER(C4064),YEAR(C4064),"")</f>
        <v/>
      </c>
      <c r="W4064" s="23" t="str">
        <f aca="false">IF(ISNUMBER(C4064),MONTH(C4064),"")</f>
        <v/>
      </c>
      <c r="X4064" s="23" t="str">
        <f aca="false">IF(T4064="","",IF(T4064=0,"No discount",IF(T4064&lt;=0.2,"Low (1-20%)",IF(T4064&lt;=0.4,"Medium (21-40%)","High (&gt;40%)"))))</f>
        <v/>
      </c>
      <c r="Y4064" s="23" t="str">
        <f aca="false">IF(AND(ISNUMBER(C4064),ISNUMBER(D4064)),D4064-C4064,"")</f>
        <v/>
      </c>
      <c r="Z4064" s="23" t="str">
        <f aca="false">IF(B4064="","",IF(MATCH(B4064,$B$2:$B$12000,0)=ROW()-1,1,0))</f>
        <v/>
      </c>
    </row>
    <row r="4065" customFormat="false" ht="15" hidden="false" customHeight="false" outlineLevel="0" collapsed="false">
      <c r="V4065" s="23" t="str">
        <f aca="false">IF(ISNUMBER(C4065),YEAR(C4065),"")</f>
        <v/>
      </c>
      <c r="W4065" s="23" t="str">
        <f aca="false">IF(ISNUMBER(C4065),MONTH(C4065),"")</f>
        <v/>
      </c>
      <c r="X4065" s="23" t="str">
        <f aca="false">IF(T4065="","",IF(T4065=0,"No discount",IF(T4065&lt;=0.2,"Low (1-20%)",IF(T4065&lt;=0.4,"Medium (21-40%)","High (&gt;40%)"))))</f>
        <v/>
      </c>
      <c r="Y4065" s="23" t="str">
        <f aca="false">IF(AND(ISNUMBER(C4065),ISNUMBER(D4065)),D4065-C4065,"")</f>
        <v/>
      </c>
      <c r="Z4065" s="23" t="str">
        <f aca="false">IF(B4065="","",IF(MATCH(B4065,$B$2:$B$12000,0)=ROW()-1,1,0))</f>
        <v/>
      </c>
    </row>
    <row r="4066" customFormat="false" ht="15" hidden="false" customHeight="false" outlineLevel="0" collapsed="false">
      <c r="V4066" s="23" t="str">
        <f aca="false">IF(ISNUMBER(C4066),YEAR(C4066),"")</f>
        <v/>
      </c>
      <c r="W4066" s="23" t="str">
        <f aca="false">IF(ISNUMBER(C4066),MONTH(C4066),"")</f>
        <v/>
      </c>
      <c r="X4066" s="23" t="str">
        <f aca="false">IF(T4066="","",IF(T4066=0,"No discount",IF(T4066&lt;=0.2,"Low (1-20%)",IF(T4066&lt;=0.4,"Medium (21-40%)","High (&gt;40%)"))))</f>
        <v/>
      </c>
      <c r="Y4066" s="23" t="str">
        <f aca="false">IF(AND(ISNUMBER(C4066),ISNUMBER(D4066)),D4066-C4066,"")</f>
        <v/>
      </c>
      <c r="Z4066" s="23" t="str">
        <f aca="false">IF(B4066="","",IF(MATCH(B4066,$B$2:$B$12000,0)=ROW()-1,1,0))</f>
        <v/>
      </c>
    </row>
    <row r="4067" customFormat="false" ht="15" hidden="false" customHeight="false" outlineLevel="0" collapsed="false">
      <c r="V4067" s="23" t="str">
        <f aca="false">IF(ISNUMBER(C4067),YEAR(C4067),"")</f>
        <v/>
      </c>
      <c r="W4067" s="23" t="str">
        <f aca="false">IF(ISNUMBER(C4067),MONTH(C4067),"")</f>
        <v/>
      </c>
      <c r="X4067" s="23" t="str">
        <f aca="false">IF(T4067="","",IF(T4067=0,"No discount",IF(T4067&lt;=0.2,"Low (1-20%)",IF(T4067&lt;=0.4,"Medium (21-40%)","High (&gt;40%)"))))</f>
        <v/>
      </c>
      <c r="Y4067" s="23" t="str">
        <f aca="false">IF(AND(ISNUMBER(C4067),ISNUMBER(D4067)),D4067-C4067,"")</f>
        <v/>
      </c>
      <c r="Z4067" s="23" t="str">
        <f aca="false">IF(B4067="","",IF(MATCH(B4067,$B$2:$B$12000,0)=ROW()-1,1,0))</f>
        <v/>
      </c>
    </row>
    <row r="4068" customFormat="false" ht="15" hidden="false" customHeight="false" outlineLevel="0" collapsed="false">
      <c r="V4068" s="23" t="str">
        <f aca="false">IF(ISNUMBER(C4068),YEAR(C4068),"")</f>
        <v/>
      </c>
      <c r="W4068" s="23" t="str">
        <f aca="false">IF(ISNUMBER(C4068),MONTH(C4068),"")</f>
        <v/>
      </c>
      <c r="X4068" s="23" t="str">
        <f aca="false">IF(T4068="","",IF(T4068=0,"No discount",IF(T4068&lt;=0.2,"Low (1-20%)",IF(T4068&lt;=0.4,"Medium (21-40%)","High (&gt;40%)"))))</f>
        <v/>
      </c>
      <c r="Y4068" s="23" t="str">
        <f aca="false">IF(AND(ISNUMBER(C4068),ISNUMBER(D4068)),D4068-C4068,"")</f>
        <v/>
      </c>
      <c r="Z4068" s="23" t="str">
        <f aca="false">IF(B4068="","",IF(MATCH(B4068,$B$2:$B$12000,0)=ROW()-1,1,0))</f>
        <v/>
      </c>
    </row>
    <row r="4069" customFormat="false" ht="15" hidden="false" customHeight="false" outlineLevel="0" collapsed="false">
      <c r="V4069" s="23" t="str">
        <f aca="false">IF(ISNUMBER(C4069),YEAR(C4069),"")</f>
        <v/>
      </c>
      <c r="W4069" s="23" t="str">
        <f aca="false">IF(ISNUMBER(C4069),MONTH(C4069),"")</f>
        <v/>
      </c>
      <c r="X4069" s="23" t="str">
        <f aca="false">IF(T4069="","",IF(T4069=0,"No discount",IF(T4069&lt;=0.2,"Low (1-20%)",IF(T4069&lt;=0.4,"Medium (21-40%)","High (&gt;40%)"))))</f>
        <v/>
      </c>
      <c r="Y4069" s="23" t="str">
        <f aca="false">IF(AND(ISNUMBER(C4069),ISNUMBER(D4069)),D4069-C4069,"")</f>
        <v/>
      </c>
      <c r="Z4069" s="23" t="str">
        <f aca="false">IF(B4069="","",IF(MATCH(B4069,$B$2:$B$12000,0)=ROW()-1,1,0))</f>
        <v/>
      </c>
    </row>
    <row r="4070" customFormat="false" ht="15" hidden="false" customHeight="false" outlineLevel="0" collapsed="false">
      <c r="V4070" s="23" t="str">
        <f aca="false">IF(ISNUMBER(C4070),YEAR(C4070),"")</f>
        <v/>
      </c>
      <c r="W4070" s="23" t="str">
        <f aca="false">IF(ISNUMBER(C4070),MONTH(C4070),"")</f>
        <v/>
      </c>
      <c r="X4070" s="23" t="str">
        <f aca="false">IF(T4070="","",IF(T4070=0,"No discount",IF(T4070&lt;=0.2,"Low (1-20%)",IF(T4070&lt;=0.4,"Medium (21-40%)","High (&gt;40%)"))))</f>
        <v/>
      </c>
      <c r="Y4070" s="23" t="str">
        <f aca="false">IF(AND(ISNUMBER(C4070),ISNUMBER(D4070)),D4070-C4070,"")</f>
        <v/>
      </c>
      <c r="Z4070" s="23" t="str">
        <f aca="false">IF(B4070="","",IF(MATCH(B4070,$B$2:$B$12000,0)=ROW()-1,1,0))</f>
        <v/>
      </c>
    </row>
    <row r="4071" customFormat="false" ht="15" hidden="false" customHeight="false" outlineLevel="0" collapsed="false">
      <c r="V4071" s="23" t="str">
        <f aca="false">IF(ISNUMBER(C4071),YEAR(C4071),"")</f>
        <v/>
      </c>
      <c r="W4071" s="23" t="str">
        <f aca="false">IF(ISNUMBER(C4071),MONTH(C4071),"")</f>
        <v/>
      </c>
      <c r="X4071" s="23" t="str">
        <f aca="false">IF(T4071="","",IF(T4071=0,"No discount",IF(T4071&lt;=0.2,"Low (1-20%)",IF(T4071&lt;=0.4,"Medium (21-40%)","High (&gt;40%)"))))</f>
        <v/>
      </c>
      <c r="Y4071" s="23" t="str">
        <f aca="false">IF(AND(ISNUMBER(C4071),ISNUMBER(D4071)),D4071-C4071,"")</f>
        <v/>
      </c>
      <c r="Z4071" s="23" t="str">
        <f aca="false">IF(B4071="","",IF(MATCH(B4071,$B$2:$B$12000,0)=ROW()-1,1,0))</f>
        <v/>
      </c>
    </row>
    <row r="4072" customFormat="false" ht="15" hidden="false" customHeight="false" outlineLevel="0" collapsed="false">
      <c r="V4072" s="23" t="str">
        <f aca="false">IF(ISNUMBER(C4072),YEAR(C4072),"")</f>
        <v/>
      </c>
      <c r="W4072" s="23" t="str">
        <f aca="false">IF(ISNUMBER(C4072),MONTH(C4072),"")</f>
        <v/>
      </c>
      <c r="X4072" s="23" t="str">
        <f aca="false">IF(T4072="","",IF(T4072=0,"No discount",IF(T4072&lt;=0.2,"Low (1-20%)",IF(T4072&lt;=0.4,"Medium (21-40%)","High (&gt;40%)"))))</f>
        <v/>
      </c>
      <c r="Y4072" s="23" t="str">
        <f aca="false">IF(AND(ISNUMBER(C4072),ISNUMBER(D4072)),D4072-C4072,"")</f>
        <v/>
      </c>
      <c r="Z4072" s="23" t="str">
        <f aca="false">IF(B4072="","",IF(MATCH(B4072,$B$2:$B$12000,0)=ROW()-1,1,0))</f>
        <v/>
      </c>
    </row>
    <row r="4073" customFormat="false" ht="15" hidden="false" customHeight="false" outlineLevel="0" collapsed="false">
      <c r="V4073" s="23" t="str">
        <f aca="false">IF(ISNUMBER(C4073),YEAR(C4073),"")</f>
        <v/>
      </c>
      <c r="W4073" s="23" t="str">
        <f aca="false">IF(ISNUMBER(C4073),MONTH(C4073),"")</f>
        <v/>
      </c>
      <c r="X4073" s="23" t="str">
        <f aca="false">IF(T4073="","",IF(T4073=0,"No discount",IF(T4073&lt;=0.2,"Low (1-20%)",IF(T4073&lt;=0.4,"Medium (21-40%)","High (&gt;40%)"))))</f>
        <v/>
      </c>
      <c r="Y4073" s="23" t="str">
        <f aca="false">IF(AND(ISNUMBER(C4073),ISNUMBER(D4073)),D4073-C4073,"")</f>
        <v/>
      </c>
      <c r="Z4073" s="23" t="str">
        <f aca="false">IF(B4073="","",IF(MATCH(B4073,$B$2:$B$12000,0)=ROW()-1,1,0))</f>
        <v/>
      </c>
    </row>
    <row r="4074" customFormat="false" ht="15" hidden="false" customHeight="false" outlineLevel="0" collapsed="false">
      <c r="V4074" s="23" t="str">
        <f aca="false">IF(ISNUMBER(C4074),YEAR(C4074),"")</f>
        <v/>
      </c>
      <c r="W4074" s="23" t="str">
        <f aca="false">IF(ISNUMBER(C4074),MONTH(C4074),"")</f>
        <v/>
      </c>
      <c r="X4074" s="23" t="str">
        <f aca="false">IF(T4074="","",IF(T4074=0,"No discount",IF(T4074&lt;=0.2,"Low (1-20%)",IF(T4074&lt;=0.4,"Medium (21-40%)","High (&gt;40%)"))))</f>
        <v/>
      </c>
      <c r="Y4074" s="23" t="str">
        <f aca="false">IF(AND(ISNUMBER(C4074),ISNUMBER(D4074)),D4074-C4074,"")</f>
        <v/>
      </c>
      <c r="Z4074" s="23" t="str">
        <f aca="false">IF(B4074="","",IF(MATCH(B4074,$B$2:$B$12000,0)=ROW()-1,1,0))</f>
        <v/>
      </c>
    </row>
    <row r="4075" customFormat="false" ht="15" hidden="false" customHeight="false" outlineLevel="0" collapsed="false">
      <c r="V4075" s="23" t="str">
        <f aca="false">IF(ISNUMBER(C4075),YEAR(C4075),"")</f>
        <v/>
      </c>
      <c r="W4075" s="23" t="str">
        <f aca="false">IF(ISNUMBER(C4075),MONTH(C4075),"")</f>
        <v/>
      </c>
      <c r="X4075" s="23" t="str">
        <f aca="false">IF(T4075="","",IF(T4075=0,"No discount",IF(T4075&lt;=0.2,"Low (1-20%)",IF(T4075&lt;=0.4,"Medium (21-40%)","High (&gt;40%)"))))</f>
        <v/>
      </c>
      <c r="Y4075" s="23" t="str">
        <f aca="false">IF(AND(ISNUMBER(C4075),ISNUMBER(D4075)),D4075-C4075,"")</f>
        <v/>
      </c>
      <c r="Z4075" s="23" t="str">
        <f aca="false">IF(B4075="","",IF(MATCH(B4075,$B$2:$B$12000,0)=ROW()-1,1,0))</f>
        <v/>
      </c>
    </row>
    <row r="4076" customFormat="false" ht="15" hidden="false" customHeight="false" outlineLevel="0" collapsed="false">
      <c r="V4076" s="23" t="str">
        <f aca="false">IF(ISNUMBER(C4076),YEAR(C4076),"")</f>
        <v/>
      </c>
      <c r="W4076" s="23" t="str">
        <f aca="false">IF(ISNUMBER(C4076),MONTH(C4076),"")</f>
        <v/>
      </c>
      <c r="X4076" s="23" t="str">
        <f aca="false">IF(T4076="","",IF(T4076=0,"No discount",IF(T4076&lt;=0.2,"Low (1-20%)",IF(T4076&lt;=0.4,"Medium (21-40%)","High (&gt;40%)"))))</f>
        <v/>
      </c>
      <c r="Y4076" s="23" t="str">
        <f aca="false">IF(AND(ISNUMBER(C4076),ISNUMBER(D4076)),D4076-C4076,"")</f>
        <v/>
      </c>
      <c r="Z4076" s="23" t="str">
        <f aca="false">IF(B4076="","",IF(MATCH(B4076,$B$2:$B$12000,0)=ROW()-1,1,0))</f>
        <v/>
      </c>
    </row>
    <row r="4077" customFormat="false" ht="15" hidden="false" customHeight="false" outlineLevel="0" collapsed="false">
      <c r="V4077" s="23" t="str">
        <f aca="false">IF(ISNUMBER(C4077),YEAR(C4077),"")</f>
        <v/>
      </c>
      <c r="W4077" s="23" t="str">
        <f aca="false">IF(ISNUMBER(C4077),MONTH(C4077),"")</f>
        <v/>
      </c>
      <c r="X4077" s="23" t="str">
        <f aca="false">IF(T4077="","",IF(T4077=0,"No discount",IF(T4077&lt;=0.2,"Low (1-20%)",IF(T4077&lt;=0.4,"Medium (21-40%)","High (&gt;40%)"))))</f>
        <v/>
      </c>
      <c r="Y4077" s="23" t="str">
        <f aca="false">IF(AND(ISNUMBER(C4077),ISNUMBER(D4077)),D4077-C4077,"")</f>
        <v/>
      </c>
      <c r="Z4077" s="23" t="str">
        <f aca="false">IF(B4077="","",IF(MATCH(B4077,$B$2:$B$12000,0)=ROW()-1,1,0))</f>
        <v/>
      </c>
    </row>
    <row r="4078" customFormat="false" ht="15" hidden="false" customHeight="false" outlineLevel="0" collapsed="false">
      <c r="V4078" s="23" t="str">
        <f aca="false">IF(ISNUMBER(C4078),YEAR(C4078),"")</f>
        <v/>
      </c>
      <c r="W4078" s="23" t="str">
        <f aca="false">IF(ISNUMBER(C4078),MONTH(C4078),"")</f>
        <v/>
      </c>
      <c r="X4078" s="23" t="str">
        <f aca="false">IF(T4078="","",IF(T4078=0,"No discount",IF(T4078&lt;=0.2,"Low (1-20%)",IF(T4078&lt;=0.4,"Medium (21-40%)","High (&gt;40%)"))))</f>
        <v/>
      </c>
      <c r="Y4078" s="23" t="str">
        <f aca="false">IF(AND(ISNUMBER(C4078),ISNUMBER(D4078)),D4078-C4078,"")</f>
        <v/>
      </c>
      <c r="Z4078" s="23" t="str">
        <f aca="false">IF(B4078="","",IF(MATCH(B4078,$B$2:$B$12000,0)=ROW()-1,1,0))</f>
        <v/>
      </c>
    </row>
    <row r="4079" customFormat="false" ht="15" hidden="false" customHeight="false" outlineLevel="0" collapsed="false">
      <c r="V4079" s="23" t="str">
        <f aca="false">IF(ISNUMBER(C4079),YEAR(C4079),"")</f>
        <v/>
      </c>
      <c r="W4079" s="23" t="str">
        <f aca="false">IF(ISNUMBER(C4079),MONTH(C4079),"")</f>
        <v/>
      </c>
      <c r="X4079" s="23" t="str">
        <f aca="false">IF(T4079="","",IF(T4079=0,"No discount",IF(T4079&lt;=0.2,"Low (1-20%)",IF(T4079&lt;=0.4,"Medium (21-40%)","High (&gt;40%)"))))</f>
        <v/>
      </c>
      <c r="Y4079" s="23" t="str">
        <f aca="false">IF(AND(ISNUMBER(C4079),ISNUMBER(D4079)),D4079-C4079,"")</f>
        <v/>
      </c>
      <c r="Z4079" s="23" t="str">
        <f aca="false">IF(B4079="","",IF(MATCH(B4079,$B$2:$B$12000,0)=ROW()-1,1,0))</f>
        <v/>
      </c>
    </row>
    <row r="4080" customFormat="false" ht="15" hidden="false" customHeight="false" outlineLevel="0" collapsed="false">
      <c r="V4080" s="23" t="str">
        <f aca="false">IF(ISNUMBER(C4080),YEAR(C4080),"")</f>
        <v/>
      </c>
      <c r="W4080" s="23" t="str">
        <f aca="false">IF(ISNUMBER(C4080),MONTH(C4080),"")</f>
        <v/>
      </c>
      <c r="X4080" s="23" t="str">
        <f aca="false">IF(T4080="","",IF(T4080=0,"No discount",IF(T4080&lt;=0.2,"Low (1-20%)",IF(T4080&lt;=0.4,"Medium (21-40%)","High (&gt;40%)"))))</f>
        <v/>
      </c>
      <c r="Y4080" s="23" t="str">
        <f aca="false">IF(AND(ISNUMBER(C4080),ISNUMBER(D4080)),D4080-C4080,"")</f>
        <v/>
      </c>
      <c r="Z4080" s="23" t="str">
        <f aca="false">IF(B4080="","",IF(MATCH(B4080,$B$2:$B$12000,0)=ROW()-1,1,0))</f>
        <v/>
      </c>
    </row>
    <row r="4081" customFormat="false" ht="15" hidden="false" customHeight="false" outlineLevel="0" collapsed="false">
      <c r="V4081" s="23" t="str">
        <f aca="false">IF(ISNUMBER(C4081),YEAR(C4081),"")</f>
        <v/>
      </c>
      <c r="W4081" s="23" t="str">
        <f aca="false">IF(ISNUMBER(C4081),MONTH(C4081),"")</f>
        <v/>
      </c>
      <c r="X4081" s="23" t="str">
        <f aca="false">IF(T4081="","",IF(T4081=0,"No discount",IF(T4081&lt;=0.2,"Low (1-20%)",IF(T4081&lt;=0.4,"Medium (21-40%)","High (&gt;40%)"))))</f>
        <v/>
      </c>
      <c r="Y4081" s="23" t="str">
        <f aca="false">IF(AND(ISNUMBER(C4081),ISNUMBER(D4081)),D4081-C4081,"")</f>
        <v/>
      </c>
      <c r="Z4081" s="23" t="str">
        <f aca="false">IF(B4081="","",IF(MATCH(B4081,$B$2:$B$12000,0)=ROW()-1,1,0))</f>
        <v/>
      </c>
    </row>
    <row r="4082" customFormat="false" ht="15" hidden="false" customHeight="false" outlineLevel="0" collapsed="false">
      <c r="V4082" s="23" t="str">
        <f aca="false">IF(ISNUMBER(C4082),YEAR(C4082),"")</f>
        <v/>
      </c>
      <c r="W4082" s="23" t="str">
        <f aca="false">IF(ISNUMBER(C4082),MONTH(C4082),"")</f>
        <v/>
      </c>
      <c r="X4082" s="23" t="str">
        <f aca="false">IF(T4082="","",IF(T4082=0,"No discount",IF(T4082&lt;=0.2,"Low (1-20%)",IF(T4082&lt;=0.4,"Medium (21-40%)","High (&gt;40%)"))))</f>
        <v/>
      </c>
      <c r="Y4082" s="23" t="str">
        <f aca="false">IF(AND(ISNUMBER(C4082),ISNUMBER(D4082)),D4082-C4082,"")</f>
        <v/>
      </c>
      <c r="Z4082" s="23" t="str">
        <f aca="false">IF(B4082="","",IF(MATCH(B4082,$B$2:$B$12000,0)=ROW()-1,1,0))</f>
        <v/>
      </c>
    </row>
    <row r="4083" customFormat="false" ht="15" hidden="false" customHeight="false" outlineLevel="0" collapsed="false">
      <c r="V4083" s="23" t="str">
        <f aca="false">IF(ISNUMBER(C4083),YEAR(C4083),"")</f>
        <v/>
      </c>
      <c r="W4083" s="23" t="str">
        <f aca="false">IF(ISNUMBER(C4083),MONTH(C4083),"")</f>
        <v/>
      </c>
      <c r="X4083" s="23" t="str">
        <f aca="false">IF(T4083="","",IF(T4083=0,"No discount",IF(T4083&lt;=0.2,"Low (1-20%)",IF(T4083&lt;=0.4,"Medium (21-40%)","High (&gt;40%)"))))</f>
        <v/>
      </c>
      <c r="Y4083" s="23" t="str">
        <f aca="false">IF(AND(ISNUMBER(C4083),ISNUMBER(D4083)),D4083-C4083,"")</f>
        <v/>
      </c>
      <c r="Z4083" s="23" t="str">
        <f aca="false">IF(B4083="","",IF(MATCH(B4083,$B$2:$B$12000,0)=ROW()-1,1,0))</f>
        <v/>
      </c>
    </row>
    <row r="4084" customFormat="false" ht="15" hidden="false" customHeight="false" outlineLevel="0" collapsed="false">
      <c r="V4084" s="23" t="str">
        <f aca="false">IF(ISNUMBER(C4084),YEAR(C4084),"")</f>
        <v/>
      </c>
      <c r="W4084" s="23" t="str">
        <f aca="false">IF(ISNUMBER(C4084),MONTH(C4084),"")</f>
        <v/>
      </c>
      <c r="X4084" s="23" t="str">
        <f aca="false">IF(T4084="","",IF(T4084=0,"No discount",IF(T4084&lt;=0.2,"Low (1-20%)",IF(T4084&lt;=0.4,"Medium (21-40%)","High (&gt;40%)"))))</f>
        <v/>
      </c>
      <c r="Y4084" s="23" t="str">
        <f aca="false">IF(AND(ISNUMBER(C4084),ISNUMBER(D4084)),D4084-C4084,"")</f>
        <v/>
      </c>
      <c r="Z4084" s="23" t="str">
        <f aca="false">IF(B4084="","",IF(MATCH(B4084,$B$2:$B$12000,0)=ROW()-1,1,0))</f>
        <v/>
      </c>
    </row>
    <row r="4085" customFormat="false" ht="15" hidden="false" customHeight="false" outlineLevel="0" collapsed="false">
      <c r="V4085" s="23" t="str">
        <f aca="false">IF(ISNUMBER(C4085),YEAR(C4085),"")</f>
        <v/>
      </c>
      <c r="W4085" s="23" t="str">
        <f aca="false">IF(ISNUMBER(C4085),MONTH(C4085),"")</f>
        <v/>
      </c>
      <c r="X4085" s="23" t="str">
        <f aca="false">IF(T4085="","",IF(T4085=0,"No discount",IF(T4085&lt;=0.2,"Low (1-20%)",IF(T4085&lt;=0.4,"Medium (21-40%)","High (&gt;40%)"))))</f>
        <v/>
      </c>
      <c r="Y4085" s="23" t="str">
        <f aca="false">IF(AND(ISNUMBER(C4085),ISNUMBER(D4085)),D4085-C4085,"")</f>
        <v/>
      </c>
      <c r="Z4085" s="23" t="str">
        <f aca="false">IF(B4085="","",IF(MATCH(B4085,$B$2:$B$12000,0)=ROW()-1,1,0))</f>
        <v/>
      </c>
    </row>
    <row r="4086" customFormat="false" ht="15" hidden="false" customHeight="false" outlineLevel="0" collapsed="false">
      <c r="V4086" s="23" t="str">
        <f aca="false">IF(ISNUMBER(C4086),YEAR(C4086),"")</f>
        <v/>
      </c>
      <c r="W4086" s="23" t="str">
        <f aca="false">IF(ISNUMBER(C4086),MONTH(C4086),"")</f>
        <v/>
      </c>
      <c r="X4086" s="23" t="str">
        <f aca="false">IF(T4086="","",IF(T4086=0,"No discount",IF(T4086&lt;=0.2,"Low (1-20%)",IF(T4086&lt;=0.4,"Medium (21-40%)","High (&gt;40%)"))))</f>
        <v/>
      </c>
      <c r="Y4086" s="23" t="str">
        <f aca="false">IF(AND(ISNUMBER(C4086),ISNUMBER(D4086)),D4086-C4086,"")</f>
        <v/>
      </c>
      <c r="Z4086" s="23" t="str">
        <f aca="false">IF(B4086="","",IF(MATCH(B4086,$B$2:$B$12000,0)=ROW()-1,1,0))</f>
        <v/>
      </c>
    </row>
    <row r="4087" customFormat="false" ht="15" hidden="false" customHeight="false" outlineLevel="0" collapsed="false">
      <c r="V4087" s="23" t="str">
        <f aca="false">IF(ISNUMBER(C4087),YEAR(C4087),"")</f>
        <v/>
      </c>
      <c r="W4087" s="23" t="str">
        <f aca="false">IF(ISNUMBER(C4087),MONTH(C4087),"")</f>
        <v/>
      </c>
      <c r="X4087" s="23" t="str">
        <f aca="false">IF(T4087="","",IF(T4087=0,"No discount",IF(T4087&lt;=0.2,"Low (1-20%)",IF(T4087&lt;=0.4,"Medium (21-40%)","High (&gt;40%)"))))</f>
        <v/>
      </c>
      <c r="Y4087" s="23" t="str">
        <f aca="false">IF(AND(ISNUMBER(C4087),ISNUMBER(D4087)),D4087-C4087,"")</f>
        <v/>
      </c>
      <c r="Z4087" s="23" t="str">
        <f aca="false">IF(B4087="","",IF(MATCH(B4087,$B$2:$B$12000,0)=ROW()-1,1,0))</f>
        <v/>
      </c>
    </row>
    <row r="4088" customFormat="false" ht="15" hidden="false" customHeight="false" outlineLevel="0" collapsed="false">
      <c r="V4088" s="23" t="str">
        <f aca="false">IF(ISNUMBER(C4088),YEAR(C4088),"")</f>
        <v/>
      </c>
      <c r="W4088" s="23" t="str">
        <f aca="false">IF(ISNUMBER(C4088),MONTH(C4088),"")</f>
        <v/>
      </c>
      <c r="X4088" s="23" t="str">
        <f aca="false">IF(T4088="","",IF(T4088=0,"No discount",IF(T4088&lt;=0.2,"Low (1-20%)",IF(T4088&lt;=0.4,"Medium (21-40%)","High (&gt;40%)"))))</f>
        <v/>
      </c>
      <c r="Y4088" s="23" t="str">
        <f aca="false">IF(AND(ISNUMBER(C4088),ISNUMBER(D4088)),D4088-C4088,"")</f>
        <v/>
      </c>
      <c r="Z4088" s="23" t="str">
        <f aca="false">IF(B4088="","",IF(MATCH(B4088,$B$2:$B$12000,0)=ROW()-1,1,0))</f>
        <v/>
      </c>
    </row>
    <row r="4089" customFormat="false" ht="15" hidden="false" customHeight="false" outlineLevel="0" collapsed="false">
      <c r="V4089" s="23" t="str">
        <f aca="false">IF(ISNUMBER(C4089),YEAR(C4089),"")</f>
        <v/>
      </c>
      <c r="W4089" s="23" t="str">
        <f aca="false">IF(ISNUMBER(C4089),MONTH(C4089),"")</f>
        <v/>
      </c>
      <c r="X4089" s="23" t="str">
        <f aca="false">IF(T4089="","",IF(T4089=0,"No discount",IF(T4089&lt;=0.2,"Low (1-20%)",IF(T4089&lt;=0.4,"Medium (21-40%)","High (&gt;40%)"))))</f>
        <v/>
      </c>
      <c r="Y4089" s="23" t="str">
        <f aca="false">IF(AND(ISNUMBER(C4089),ISNUMBER(D4089)),D4089-C4089,"")</f>
        <v/>
      </c>
      <c r="Z4089" s="23" t="str">
        <f aca="false">IF(B4089="","",IF(MATCH(B4089,$B$2:$B$12000,0)=ROW()-1,1,0))</f>
        <v/>
      </c>
    </row>
    <row r="4090" customFormat="false" ht="15" hidden="false" customHeight="false" outlineLevel="0" collapsed="false">
      <c r="V4090" s="23" t="str">
        <f aca="false">IF(ISNUMBER(C4090),YEAR(C4090),"")</f>
        <v/>
      </c>
      <c r="W4090" s="23" t="str">
        <f aca="false">IF(ISNUMBER(C4090),MONTH(C4090),"")</f>
        <v/>
      </c>
      <c r="X4090" s="23" t="str">
        <f aca="false">IF(T4090="","",IF(T4090=0,"No discount",IF(T4090&lt;=0.2,"Low (1-20%)",IF(T4090&lt;=0.4,"Medium (21-40%)","High (&gt;40%)"))))</f>
        <v/>
      </c>
      <c r="Y4090" s="23" t="str">
        <f aca="false">IF(AND(ISNUMBER(C4090),ISNUMBER(D4090)),D4090-C4090,"")</f>
        <v/>
      </c>
      <c r="Z4090" s="23" t="str">
        <f aca="false">IF(B4090="","",IF(MATCH(B4090,$B$2:$B$12000,0)=ROW()-1,1,0))</f>
        <v/>
      </c>
    </row>
    <row r="4091" customFormat="false" ht="15" hidden="false" customHeight="false" outlineLevel="0" collapsed="false">
      <c r="V4091" s="23" t="str">
        <f aca="false">IF(ISNUMBER(C4091),YEAR(C4091),"")</f>
        <v/>
      </c>
      <c r="W4091" s="23" t="str">
        <f aca="false">IF(ISNUMBER(C4091),MONTH(C4091),"")</f>
        <v/>
      </c>
      <c r="X4091" s="23" t="str">
        <f aca="false">IF(T4091="","",IF(T4091=0,"No discount",IF(T4091&lt;=0.2,"Low (1-20%)",IF(T4091&lt;=0.4,"Medium (21-40%)","High (&gt;40%)"))))</f>
        <v/>
      </c>
      <c r="Y4091" s="23" t="str">
        <f aca="false">IF(AND(ISNUMBER(C4091),ISNUMBER(D4091)),D4091-C4091,"")</f>
        <v/>
      </c>
      <c r="Z4091" s="23" t="str">
        <f aca="false">IF(B4091="","",IF(MATCH(B4091,$B$2:$B$12000,0)=ROW()-1,1,0))</f>
        <v/>
      </c>
    </row>
    <row r="4092" customFormat="false" ht="15" hidden="false" customHeight="false" outlineLevel="0" collapsed="false">
      <c r="V4092" s="23" t="str">
        <f aca="false">IF(ISNUMBER(C4092),YEAR(C4092),"")</f>
        <v/>
      </c>
      <c r="W4092" s="23" t="str">
        <f aca="false">IF(ISNUMBER(C4092),MONTH(C4092),"")</f>
        <v/>
      </c>
      <c r="X4092" s="23" t="str">
        <f aca="false">IF(T4092="","",IF(T4092=0,"No discount",IF(T4092&lt;=0.2,"Low (1-20%)",IF(T4092&lt;=0.4,"Medium (21-40%)","High (&gt;40%)"))))</f>
        <v/>
      </c>
      <c r="Y4092" s="23" t="str">
        <f aca="false">IF(AND(ISNUMBER(C4092),ISNUMBER(D4092)),D4092-C4092,"")</f>
        <v/>
      </c>
      <c r="Z4092" s="23" t="str">
        <f aca="false">IF(B4092="","",IF(MATCH(B4092,$B$2:$B$12000,0)=ROW()-1,1,0))</f>
        <v/>
      </c>
    </row>
    <row r="4093" customFormat="false" ht="15" hidden="false" customHeight="false" outlineLevel="0" collapsed="false">
      <c r="V4093" s="23" t="str">
        <f aca="false">IF(ISNUMBER(C4093),YEAR(C4093),"")</f>
        <v/>
      </c>
      <c r="W4093" s="23" t="str">
        <f aca="false">IF(ISNUMBER(C4093),MONTH(C4093),"")</f>
        <v/>
      </c>
      <c r="X4093" s="23" t="str">
        <f aca="false">IF(T4093="","",IF(T4093=0,"No discount",IF(T4093&lt;=0.2,"Low (1-20%)",IF(T4093&lt;=0.4,"Medium (21-40%)","High (&gt;40%)"))))</f>
        <v/>
      </c>
      <c r="Y4093" s="23" t="str">
        <f aca="false">IF(AND(ISNUMBER(C4093),ISNUMBER(D4093)),D4093-C4093,"")</f>
        <v/>
      </c>
      <c r="Z4093" s="23" t="str">
        <f aca="false">IF(B4093="","",IF(MATCH(B4093,$B$2:$B$12000,0)=ROW()-1,1,0))</f>
        <v/>
      </c>
    </row>
    <row r="4094" customFormat="false" ht="15" hidden="false" customHeight="false" outlineLevel="0" collapsed="false">
      <c r="V4094" s="23" t="str">
        <f aca="false">IF(ISNUMBER(C4094),YEAR(C4094),"")</f>
        <v/>
      </c>
      <c r="W4094" s="23" t="str">
        <f aca="false">IF(ISNUMBER(C4094),MONTH(C4094),"")</f>
        <v/>
      </c>
      <c r="X4094" s="23" t="str">
        <f aca="false">IF(T4094="","",IF(T4094=0,"No discount",IF(T4094&lt;=0.2,"Low (1-20%)",IF(T4094&lt;=0.4,"Medium (21-40%)","High (&gt;40%)"))))</f>
        <v/>
      </c>
      <c r="Y4094" s="23" t="str">
        <f aca="false">IF(AND(ISNUMBER(C4094),ISNUMBER(D4094)),D4094-C4094,"")</f>
        <v/>
      </c>
      <c r="Z4094" s="23" t="str">
        <f aca="false">IF(B4094="","",IF(MATCH(B4094,$B$2:$B$12000,0)=ROW()-1,1,0))</f>
        <v/>
      </c>
    </row>
    <row r="4095" customFormat="false" ht="15" hidden="false" customHeight="false" outlineLevel="0" collapsed="false">
      <c r="V4095" s="23" t="str">
        <f aca="false">IF(ISNUMBER(C4095),YEAR(C4095),"")</f>
        <v/>
      </c>
      <c r="W4095" s="23" t="str">
        <f aca="false">IF(ISNUMBER(C4095),MONTH(C4095),"")</f>
        <v/>
      </c>
      <c r="X4095" s="23" t="str">
        <f aca="false">IF(T4095="","",IF(T4095=0,"No discount",IF(T4095&lt;=0.2,"Low (1-20%)",IF(T4095&lt;=0.4,"Medium (21-40%)","High (&gt;40%)"))))</f>
        <v/>
      </c>
      <c r="Y4095" s="23" t="str">
        <f aca="false">IF(AND(ISNUMBER(C4095),ISNUMBER(D4095)),D4095-C4095,"")</f>
        <v/>
      </c>
      <c r="Z4095" s="23" t="str">
        <f aca="false">IF(B4095="","",IF(MATCH(B4095,$B$2:$B$12000,0)=ROW()-1,1,0))</f>
        <v/>
      </c>
    </row>
    <row r="4096" customFormat="false" ht="15" hidden="false" customHeight="false" outlineLevel="0" collapsed="false">
      <c r="V4096" s="23" t="str">
        <f aca="false">IF(ISNUMBER(C4096),YEAR(C4096),"")</f>
        <v/>
      </c>
      <c r="W4096" s="23" t="str">
        <f aca="false">IF(ISNUMBER(C4096),MONTH(C4096),"")</f>
        <v/>
      </c>
      <c r="X4096" s="23" t="str">
        <f aca="false">IF(T4096="","",IF(T4096=0,"No discount",IF(T4096&lt;=0.2,"Low (1-20%)",IF(T4096&lt;=0.4,"Medium (21-40%)","High (&gt;40%)"))))</f>
        <v/>
      </c>
      <c r="Y4096" s="23" t="str">
        <f aca="false">IF(AND(ISNUMBER(C4096),ISNUMBER(D4096)),D4096-C4096,"")</f>
        <v/>
      </c>
      <c r="Z4096" s="23" t="str">
        <f aca="false">IF(B4096="","",IF(MATCH(B4096,$B$2:$B$12000,0)=ROW()-1,1,0))</f>
        <v/>
      </c>
    </row>
    <row r="4097" customFormat="false" ht="15" hidden="false" customHeight="false" outlineLevel="0" collapsed="false">
      <c r="V4097" s="23" t="str">
        <f aca="false">IF(ISNUMBER(C4097),YEAR(C4097),"")</f>
        <v/>
      </c>
      <c r="W4097" s="23" t="str">
        <f aca="false">IF(ISNUMBER(C4097),MONTH(C4097),"")</f>
        <v/>
      </c>
      <c r="X4097" s="23" t="str">
        <f aca="false">IF(T4097="","",IF(T4097=0,"No discount",IF(T4097&lt;=0.2,"Low (1-20%)",IF(T4097&lt;=0.4,"Medium (21-40%)","High (&gt;40%)"))))</f>
        <v/>
      </c>
      <c r="Y4097" s="23" t="str">
        <f aca="false">IF(AND(ISNUMBER(C4097),ISNUMBER(D4097)),D4097-C4097,"")</f>
        <v/>
      </c>
      <c r="Z4097" s="23" t="str">
        <f aca="false">IF(B4097="","",IF(MATCH(B4097,$B$2:$B$12000,0)=ROW()-1,1,0))</f>
        <v/>
      </c>
    </row>
    <row r="4098" customFormat="false" ht="15" hidden="false" customHeight="false" outlineLevel="0" collapsed="false">
      <c r="V4098" s="23" t="str">
        <f aca="false">IF(ISNUMBER(C4098),YEAR(C4098),"")</f>
        <v/>
      </c>
      <c r="W4098" s="23" t="str">
        <f aca="false">IF(ISNUMBER(C4098),MONTH(C4098),"")</f>
        <v/>
      </c>
      <c r="X4098" s="23" t="str">
        <f aca="false">IF(T4098="","",IF(T4098=0,"No discount",IF(T4098&lt;=0.2,"Low (1-20%)",IF(T4098&lt;=0.4,"Medium (21-40%)","High (&gt;40%)"))))</f>
        <v/>
      </c>
      <c r="Y4098" s="23" t="str">
        <f aca="false">IF(AND(ISNUMBER(C4098),ISNUMBER(D4098)),D4098-C4098,"")</f>
        <v/>
      </c>
      <c r="Z4098" s="23" t="str">
        <f aca="false">IF(B4098="","",IF(MATCH(B4098,$B$2:$B$12000,0)=ROW()-1,1,0))</f>
        <v/>
      </c>
    </row>
    <row r="4099" customFormat="false" ht="15" hidden="false" customHeight="false" outlineLevel="0" collapsed="false">
      <c r="V4099" s="23" t="str">
        <f aca="false">IF(ISNUMBER(C4099),YEAR(C4099),"")</f>
        <v/>
      </c>
      <c r="W4099" s="23" t="str">
        <f aca="false">IF(ISNUMBER(C4099),MONTH(C4099),"")</f>
        <v/>
      </c>
      <c r="X4099" s="23" t="str">
        <f aca="false">IF(T4099="","",IF(T4099=0,"No discount",IF(T4099&lt;=0.2,"Low (1-20%)",IF(T4099&lt;=0.4,"Medium (21-40%)","High (&gt;40%)"))))</f>
        <v/>
      </c>
      <c r="Y4099" s="23" t="str">
        <f aca="false">IF(AND(ISNUMBER(C4099),ISNUMBER(D4099)),D4099-C4099,"")</f>
        <v/>
      </c>
      <c r="Z4099" s="23" t="str">
        <f aca="false">IF(B4099="","",IF(MATCH(B4099,$B$2:$B$12000,0)=ROW()-1,1,0))</f>
        <v/>
      </c>
    </row>
    <row r="4100" customFormat="false" ht="15" hidden="false" customHeight="false" outlineLevel="0" collapsed="false">
      <c r="V4100" s="23" t="str">
        <f aca="false">IF(ISNUMBER(C4100),YEAR(C4100),"")</f>
        <v/>
      </c>
      <c r="W4100" s="23" t="str">
        <f aca="false">IF(ISNUMBER(C4100),MONTH(C4100),"")</f>
        <v/>
      </c>
      <c r="X4100" s="23" t="str">
        <f aca="false">IF(T4100="","",IF(T4100=0,"No discount",IF(T4100&lt;=0.2,"Low (1-20%)",IF(T4100&lt;=0.4,"Medium (21-40%)","High (&gt;40%)"))))</f>
        <v/>
      </c>
      <c r="Y4100" s="23" t="str">
        <f aca="false">IF(AND(ISNUMBER(C4100),ISNUMBER(D4100)),D4100-C4100,"")</f>
        <v/>
      </c>
      <c r="Z4100" s="23" t="str">
        <f aca="false">IF(B4100="","",IF(MATCH(B4100,$B$2:$B$12000,0)=ROW()-1,1,0))</f>
        <v/>
      </c>
    </row>
    <row r="4101" customFormat="false" ht="15" hidden="false" customHeight="false" outlineLevel="0" collapsed="false">
      <c r="V4101" s="23" t="str">
        <f aca="false">IF(ISNUMBER(C4101),YEAR(C4101),"")</f>
        <v/>
      </c>
      <c r="W4101" s="23" t="str">
        <f aca="false">IF(ISNUMBER(C4101),MONTH(C4101),"")</f>
        <v/>
      </c>
      <c r="X4101" s="23" t="str">
        <f aca="false">IF(T4101="","",IF(T4101=0,"No discount",IF(T4101&lt;=0.2,"Low (1-20%)",IF(T4101&lt;=0.4,"Medium (21-40%)","High (&gt;40%)"))))</f>
        <v/>
      </c>
      <c r="Y4101" s="23" t="str">
        <f aca="false">IF(AND(ISNUMBER(C4101),ISNUMBER(D4101)),D4101-C4101,"")</f>
        <v/>
      </c>
      <c r="Z4101" s="23" t="str">
        <f aca="false">IF(B4101="","",IF(MATCH(B4101,$B$2:$B$12000,0)=ROW()-1,1,0))</f>
        <v/>
      </c>
    </row>
    <row r="4102" customFormat="false" ht="15" hidden="false" customHeight="false" outlineLevel="0" collapsed="false">
      <c r="V4102" s="23" t="str">
        <f aca="false">IF(ISNUMBER(C4102),YEAR(C4102),"")</f>
        <v/>
      </c>
      <c r="W4102" s="23" t="str">
        <f aca="false">IF(ISNUMBER(C4102),MONTH(C4102),"")</f>
        <v/>
      </c>
      <c r="X4102" s="23" t="str">
        <f aca="false">IF(T4102="","",IF(T4102=0,"No discount",IF(T4102&lt;=0.2,"Low (1-20%)",IF(T4102&lt;=0.4,"Medium (21-40%)","High (&gt;40%)"))))</f>
        <v/>
      </c>
      <c r="Y4102" s="23" t="str">
        <f aca="false">IF(AND(ISNUMBER(C4102),ISNUMBER(D4102)),D4102-C4102,"")</f>
        <v/>
      </c>
      <c r="Z4102" s="23" t="str">
        <f aca="false">IF(B4102="","",IF(MATCH(B4102,$B$2:$B$12000,0)=ROW()-1,1,0))</f>
        <v/>
      </c>
    </row>
    <row r="4103" customFormat="false" ht="15" hidden="false" customHeight="false" outlineLevel="0" collapsed="false">
      <c r="V4103" s="23" t="str">
        <f aca="false">IF(ISNUMBER(C4103),YEAR(C4103),"")</f>
        <v/>
      </c>
      <c r="W4103" s="23" t="str">
        <f aca="false">IF(ISNUMBER(C4103),MONTH(C4103),"")</f>
        <v/>
      </c>
      <c r="X4103" s="23" t="str">
        <f aca="false">IF(T4103="","",IF(T4103=0,"No discount",IF(T4103&lt;=0.2,"Low (1-20%)",IF(T4103&lt;=0.4,"Medium (21-40%)","High (&gt;40%)"))))</f>
        <v/>
      </c>
      <c r="Y4103" s="23" t="str">
        <f aca="false">IF(AND(ISNUMBER(C4103),ISNUMBER(D4103)),D4103-C4103,"")</f>
        <v/>
      </c>
      <c r="Z4103" s="23" t="str">
        <f aca="false">IF(B4103="","",IF(MATCH(B4103,$B$2:$B$12000,0)=ROW()-1,1,0))</f>
        <v/>
      </c>
    </row>
    <row r="4104" customFormat="false" ht="15" hidden="false" customHeight="false" outlineLevel="0" collapsed="false">
      <c r="V4104" s="23" t="str">
        <f aca="false">IF(ISNUMBER(C4104),YEAR(C4104),"")</f>
        <v/>
      </c>
      <c r="W4104" s="23" t="str">
        <f aca="false">IF(ISNUMBER(C4104),MONTH(C4104),"")</f>
        <v/>
      </c>
      <c r="X4104" s="23" t="str">
        <f aca="false">IF(T4104="","",IF(T4104=0,"No discount",IF(T4104&lt;=0.2,"Low (1-20%)",IF(T4104&lt;=0.4,"Medium (21-40%)","High (&gt;40%)"))))</f>
        <v/>
      </c>
      <c r="Y4104" s="23" t="str">
        <f aca="false">IF(AND(ISNUMBER(C4104),ISNUMBER(D4104)),D4104-C4104,"")</f>
        <v/>
      </c>
      <c r="Z4104" s="23" t="str">
        <f aca="false">IF(B4104="","",IF(MATCH(B4104,$B$2:$B$12000,0)=ROW()-1,1,0))</f>
        <v/>
      </c>
    </row>
    <row r="4105" customFormat="false" ht="15" hidden="false" customHeight="false" outlineLevel="0" collapsed="false">
      <c r="V4105" s="23" t="str">
        <f aca="false">IF(ISNUMBER(C4105),YEAR(C4105),"")</f>
        <v/>
      </c>
      <c r="W4105" s="23" t="str">
        <f aca="false">IF(ISNUMBER(C4105),MONTH(C4105),"")</f>
        <v/>
      </c>
      <c r="X4105" s="23" t="str">
        <f aca="false">IF(T4105="","",IF(T4105=0,"No discount",IF(T4105&lt;=0.2,"Low (1-20%)",IF(T4105&lt;=0.4,"Medium (21-40%)","High (&gt;40%)"))))</f>
        <v/>
      </c>
      <c r="Y4105" s="23" t="str">
        <f aca="false">IF(AND(ISNUMBER(C4105),ISNUMBER(D4105)),D4105-C4105,"")</f>
        <v/>
      </c>
      <c r="Z4105" s="23" t="str">
        <f aca="false">IF(B4105="","",IF(MATCH(B4105,$B$2:$B$12000,0)=ROW()-1,1,0))</f>
        <v/>
      </c>
    </row>
    <row r="4106" customFormat="false" ht="15" hidden="false" customHeight="false" outlineLevel="0" collapsed="false">
      <c r="V4106" s="23" t="str">
        <f aca="false">IF(ISNUMBER(C4106),YEAR(C4106),"")</f>
        <v/>
      </c>
      <c r="W4106" s="23" t="str">
        <f aca="false">IF(ISNUMBER(C4106),MONTH(C4106),"")</f>
        <v/>
      </c>
      <c r="X4106" s="23" t="str">
        <f aca="false">IF(T4106="","",IF(T4106=0,"No discount",IF(T4106&lt;=0.2,"Low (1-20%)",IF(T4106&lt;=0.4,"Medium (21-40%)","High (&gt;40%)"))))</f>
        <v/>
      </c>
      <c r="Y4106" s="23" t="str">
        <f aca="false">IF(AND(ISNUMBER(C4106),ISNUMBER(D4106)),D4106-C4106,"")</f>
        <v/>
      </c>
      <c r="Z4106" s="23" t="str">
        <f aca="false">IF(B4106="","",IF(MATCH(B4106,$B$2:$B$12000,0)=ROW()-1,1,0))</f>
        <v/>
      </c>
    </row>
    <row r="4107" customFormat="false" ht="15" hidden="false" customHeight="false" outlineLevel="0" collapsed="false">
      <c r="V4107" s="23" t="str">
        <f aca="false">IF(ISNUMBER(C4107),YEAR(C4107),"")</f>
        <v/>
      </c>
      <c r="W4107" s="23" t="str">
        <f aca="false">IF(ISNUMBER(C4107),MONTH(C4107),"")</f>
        <v/>
      </c>
      <c r="X4107" s="23" t="str">
        <f aca="false">IF(T4107="","",IF(T4107=0,"No discount",IF(T4107&lt;=0.2,"Low (1-20%)",IF(T4107&lt;=0.4,"Medium (21-40%)","High (&gt;40%)"))))</f>
        <v/>
      </c>
      <c r="Y4107" s="23" t="str">
        <f aca="false">IF(AND(ISNUMBER(C4107),ISNUMBER(D4107)),D4107-C4107,"")</f>
        <v/>
      </c>
      <c r="Z4107" s="23" t="str">
        <f aca="false">IF(B4107="","",IF(MATCH(B4107,$B$2:$B$12000,0)=ROW()-1,1,0))</f>
        <v/>
      </c>
    </row>
    <row r="4108" customFormat="false" ht="15" hidden="false" customHeight="false" outlineLevel="0" collapsed="false">
      <c r="V4108" s="23" t="str">
        <f aca="false">IF(ISNUMBER(C4108),YEAR(C4108),"")</f>
        <v/>
      </c>
      <c r="W4108" s="23" t="str">
        <f aca="false">IF(ISNUMBER(C4108),MONTH(C4108),"")</f>
        <v/>
      </c>
      <c r="X4108" s="23" t="str">
        <f aca="false">IF(T4108="","",IF(T4108=0,"No discount",IF(T4108&lt;=0.2,"Low (1-20%)",IF(T4108&lt;=0.4,"Medium (21-40%)","High (&gt;40%)"))))</f>
        <v/>
      </c>
      <c r="Y4108" s="23" t="str">
        <f aca="false">IF(AND(ISNUMBER(C4108),ISNUMBER(D4108)),D4108-C4108,"")</f>
        <v/>
      </c>
      <c r="Z4108" s="23" t="str">
        <f aca="false">IF(B4108="","",IF(MATCH(B4108,$B$2:$B$12000,0)=ROW()-1,1,0))</f>
        <v/>
      </c>
    </row>
    <row r="4109" customFormat="false" ht="15" hidden="false" customHeight="false" outlineLevel="0" collapsed="false">
      <c r="V4109" s="23" t="str">
        <f aca="false">IF(ISNUMBER(C4109),YEAR(C4109),"")</f>
        <v/>
      </c>
      <c r="W4109" s="23" t="str">
        <f aca="false">IF(ISNUMBER(C4109),MONTH(C4109),"")</f>
        <v/>
      </c>
      <c r="X4109" s="23" t="str">
        <f aca="false">IF(T4109="","",IF(T4109=0,"No discount",IF(T4109&lt;=0.2,"Low (1-20%)",IF(T4109&lt;=0.4,"Medium (21-40%)","High (&gt;40%)"))))</f>
        <v/>
      </c>
      <c r="Y4109" s="23" t="str">
        <f aca="false">IF(AND(ISNUMBER(C4109),ISNUMBER(D4109)),D4109-C4109,"")</f>
        <v/>
      </c>
      <c r="Z4109" s="23" t="str">
        <f aca="false">IF(B4109="","",IF(MATCH(B4109,$B$2:$B$12000,0)=ROW()-1,1,0))</f>
        <v/>
      </c>
    </row>
    <row r="4110" customFormat="false" ht="15" hidden="false" customHeight="false" outlineLevel="0" collapsed="false">
      <c r="V4110" s="23" t="str">
        <f aca="false">IF(ISNUMBER(C4110),YEAR(C4110),"")</f>
        <v/>
      </c>
      <c r="W4110" s="23" t="str">
        <f aca="false">IF(ISNUMBER(C4110),MONTH(C4110),"")</f>
        <v/>
      </c>
      <c r="X4110" s="23" t="str">
        <f aca="false">IF(T4110="","",IF(T4110=0,"No discount",IF(T4110&lt;=0.2,"Low (1-20%)",IF(T4110&lt;=0.4,"Medium (21-40%)","High (&gt;40%)"))))</f>
        <v/>
      </c>
      <c r="Y4110" s="23" t="str">
        <f aca="false">IF(AND(ISNUMBER(C4110),ISNUMBER(D4110)),D4110-C4110,"")</f>
        <v/>
      </c>
      <c r="Z4110" s="23" t="str">
        <f aca="false">IF(B4110="","",IF(MATCH(B4110,$B$2:$B$12000,0)=ROW()-1,1,0))</f>
        <v/>
      </c>
    </row>
    <row r="4111" customFormat="false" ht="15" hidden="false" customHeight="false" outlineLevel="0" collapsed="false">
      <c r="V4111" s="23" t="str">
        <f aca="false">IF(ISNUMBER(C4111),YEAR(C4111),"")</f>
        <v/>
      </c>
      <c r="W4111" s="23" t="str">
        <f aca="false">IF(ISNUMBER(C4111),MONTH(C4111),"")</f>
        <v/>
      </c>
      <c r="X4111" s="23" t="str">
        <f aca="false">IF(T4111="","",IF(T4111=0,"No discount",IF(T4111&lt;=0.2,"Low (1-20%)",IF(T4111&lt;=0.4,"Medium (21-40%)","High (&gt;40%)"))))</f>
        <v/>
      </c>
      <c r="Y4111" s="23" t="str">
        <f aca="false">IF(AND(ISNUMBER(C4111),ISNUMBER(D4111)),D4111-C4111,"")</f>
        <v/>
      </c>
      <c r="Z4111" s="23" t="str">
        <f aca="false">IF(B4111="","",IF(MATCH(B4111,$B$2:$B$12000,0)=ROW()-1,1,0))</f>
        <v/>
      </c>
    </row>
    <row r="4112" customFormat="false" ht="15" hidden="false" customHeight="false" outlineLevel="0" collapsed="false">
      <c r="V4112" s="23" t="str">
        <f aca="false">IF(ISNUMBER(C4112),YEAR(C4112),"")</f>
        <v/>
      </c>
      <c r="W4112" s="23" t="str">
        <f aca="false">IF(ISNUMBER(C4112),MONTH(C4112),"")</f>
        <v/>
      </c>
      <c r="X4112" s="23" t="str">
        <f aca="false">IF(T4112="","",IF(T4112=0,"No discount",IF(T4112&lt;=0.2,"Low (1-20%)",IF(T4112&lt;=0.4,"Medium (21-40%)","High (&gt;40%)"))))</f>
        <v/>
      </c>
      <c r="Y4112" s="23" t="str">
        <f aca="false">IF(AND(ISNUMBER(C4112),ISNUMBER(D4112)),D4112-C4112,"")</f>
        <v/>
      </c>
      <c r="Z4112" s="23" t="str">
        <f aca="false">IF(B4112="","",IF(MATCH(B4112,$B$2:$B$12000,0)=ROW()-1,1,0))</f>
        <v/>
      </c>
    </row>
    <row r="4113" customFormat="false" ht="15" hidden="false" customHeight="false" outlineLevel="0" collapsed="false">
      <c r="V4113" s="23" t="str">
        <f aca="false">IF(ISNUMBER(C4113),YEAR(C4113),"")</f>
        <v/>
      </c>
      <c r="W4113" s="23" t="str">
        <f aca="false">IF(ISNUMBER(C4113),MONTH(C4113),"")</f>
        <v/>
      </c>
      <c r="X4113" s="23" t="str">
        <f aca="false">IF(T4113="","",IF(T4113=0,"No discount",IF(T4113&lt;=0.2,"Low (1-20%)",IF(T4113&lt;=0.4,"Medium (21-40%)","High (&gt;40%)"))))</f>
        <v/>
      </c>
      <c r="Y4113" s="23" t="str">
        <f aca="false">IF(AND(ISNUMBER(C4113),ISNUMBER(D4113)),D4113-C4113,"")</f>
        <v/>
      </c>
      <c r="Z4113" s="23" t="str">
        <f aca="false">IF(B4113="","",IF(MATCH(B4113,$B$2:$B$12000,0)=ROW()-1,1,0))</f>
        <v/>
      </c>
    </row>
    <row r="4114" customFormat="false" ht="15" hidden="false" customHeight="false" outlineLevel="0" collapsed="false">
      <c r="V4114" s="23" t="str">
        <f aca="false">IF(ISNUMBER(C4114),YEAR(C4114),"")</f>
        <v/>
      </c>
      <c r="W4114" s="23" t="str">
        <f aca="false">IF(ISNUMBER(C4114),MONTH(C4114),"")</f>
        <v/>
      </c>
      <c r="X4114" s="23" t="str">
        <f aca="false">IF(T4114="","",IF(T4114=0,"No discount",IF(T4114&lt;=0.2,"Low (1-20%)",IF(T4114&lt;=0.4,"Medium (21-40%)","High (&gt;40%)"))))</f>
        <v/>
      </c>
      <c r="Y4114" s="23" t="str">
        <f aca="false">IF(AND(ISNUMBER(C4114),ISNUMBER(D4114)),D4114-C4114,"")</f>
        <v/>
      </c>
      <c r="Z4114" s="23" t="str">
        <f aca="false">IF(B4114="","",IF(MATCH(B4114,$B$2:$B$12000,0)=ROW()-1,1,0))</f>
        <v/>
      </c>
    </row>
    <row r="4115" customFormat="false" ht="15" hidden="false" customHeight="false" outlineLevel="0" collapsed="false">
      <c r="V4115" s="23" t="str">
        <f aca="false">IF(ISNUMBER(C4115),YEAR(C4115),"")</f>
        <v/>
      </c>
      <c r="W4115" s="23" t="str">
        <f aca="false">IF(ISNUMBER(C4115),MONTH(C4115),"")</f>
        <v/>
      </c>
      <c r="X4115" s="23" t="str">
        <f aca="false">IF(T4115="","",IF(T4115=0,"No discount",IF(T4115&lt;=0.2,"Low (1-20%)",IF(T4115&lt;=0.4,"Medium (21-40%)","High (&gt;40%)"))))</f>
        <v/>
      </c>
      <c r="Y4115" s="23" t="str">
        <f aca="false">IF(AND(ISNUMBER(C4115),ISNUMBER(D4115)),D4115-C4115,"")</f>
        <v/>
      </c>
      <c r="Z4115" s="23" t="str">
        <f aca="false">IF(B4115="","",IF(MATCH(B4115,$B$2:$B$12000,0)=ROW()-1,1,0))</f>
        <v/>
      </c>
    </row>
    <row r="4116" customFormat="false" ht="15" hidden="false" customHeight="false" outlineLevel="0" collapsed="false">
      <c r="V4116" s="23" t="str">
        <f aca="false">IF(ISNUMBER(C4116),YEAR(C4116),"")</f>
        <v/>
      </c>
      <c r="W4116" s="23" t="str">
        <f aca="false">IF(ISNUMBER(C4116),MONTH(C4116),"")</f>
        <v/>
      </c>
      <c r="X4116" s="23" t="str">
        <f aca="false">IF(T4116="","",IF(T4116=0,"No discount",IF(T4116&lt;=0.2,"Low (1-20%)",IF(T4116&lt;=0.4,"Medium (21-40%)","High (&gt;40%)"))))</f>
        <v/>
      </c>
      <c r="Y4116" s="23" t="str">
        <f aca="false">IF(AND(ISNUMBER(C4116),ISNUMBER(D4116)),D4116-C4116,"")</f>
        <v/>
      </c>
      <c r="Z4116" s="23" t="str">
        <f aca="false">IF(B4116="","",IF(MATCH(B4116,$B$2:$B$12000,0)=ROW()-1,1,0))</f>
        <v/>
      </c>
    </row>
    <row r="4117" customFormat="false" ht="15" hidden="false" customHeight="false" outlineLevel="0" collapsed="false">
      <c r="V4117" s="23" t="str">
        <f aca="false">IF(ISNUMBER(C4117),YEAR(C4117),"")</f>
        <v/>
      </c>
      <c r="W4117" s="23" t="str">
        <f aca="false">IF(ISNUMBER(C4117),MONTH(C4117),"")</f>
        <v/>
      </c>
      <c r="X4117" s="23" t="str">
        <f aca="false">IF(T4117="","",IF(T4117=0,"No discount",IF(T4117&lt;=0.2,"Low (1-20%)",IF(T4117&lt;=0.4,"Medium (21-40%)","High (&gt;40%)"))))</f>
        <v/>
      </c>
      <c r="Y4117" s="23" t="str">
        <f aca="false">IF(AND(ISNUMBER(C4117),ISNUMBER(D4117)),D4117-C4117,"")</f>
        <v/>
      </c>
      <c r="Z4117" s="23" t="str">
        <f aca="false">IF(B4117="","",IF(MATCH(B4117,$B$2:$B$12000,0)=ROW()-1,1,0))</f>
        <v/>
      </c>
    </row>
    <row r="4118" customFormat="false" ht="15" hidden="false" customHeight="false" outlineLevel="0" collapsed="false">
      <c r="V4118" s="23" t="str">
        <f aca="false">IF(ISNUMBER(C4118),YEAR(C4118),"")</f>
        <v/>
      </c>
      <c r="W4118" s="23" t="str">
        <f aca="false">IF(ISNUMBER(C4118),MONTH(C4118),"")</f>
        <v/>
      </c>
      <c r="X4118" s="23" t="str">
        <f aca="false">IF(T4118="","",IF(T4118=0,"No discount",IF(T4118&lt;=0.2,"Low (1-20%)",IF(T4118&lt;=0.4,"Medium (21-40%)","High (&gt;40%)"))))</f>
        <v/>
      </c>
      <c r="Y4118" s="23" t="str">
        <f aca="false">IF(AND(ISNUMBER(C4118),ISNUMBER(D4118)),D4118-C4118,"")</f>
        <v/>
      </c>
      <c r="Z4118" s="23" t="str">
        <f aca="false">IF(B4118="","",IF(MATCH(B4118,$B$2:$B$12000,0)=ROW()-1,1,0))</f>
        <v/>
      </c>
    </row>
    <row r="4119" customFormat="false" ht="15" hidden="false" customHeight="false" outlineLevel="0" collapsed="false">
      <c r="V4119" s="23" t="str">
        <f aca="false">IF(ISNUMBER(C4119),YEAR(C4119),"")</f>
        <v/>
      </c>
      <c r="W4119" s="23" t="str">
        <f aca="false">IF(ISNUMBER(C4119),MONTH(C4119),"")</f>
        <v/>
      </c>
      <c r="X4119" s="23" t="str">
        <f aca="false">IF(T4119="","",IF(T4119=0,"No discount",IF(T4119&lt;=0.2,"Low (1-20%)",IF(T4119&lt;=0.4,"Medium (21-40%)","High (&gt;40%)"))))</f>
        <v/>
      </c>
      <c r="Y4119" s="23" t="str">
        <f aca="false">IF(AND(ISNUMBER(C4119),ISNUMBER(D4119)),D4119-C4119,"")</f>
        <v/>
      </c>
      <c r="Z4119" s="23" t="str">
        <f aca="false">IF(B4119="","",IF(MATCH(B4119,$B$2:$B$12000,0)=ROW()-1,1,0))</f>
        <v/>
      </c>
    </row>
    <row r="4120" customFormat="false" ht="15" hidden="false" customHeight="false" outlineLevel="0" collapsed="false">
      <c r="V4120" s="23" t="str">
        <f aca="false">IF(ISNUMBER(C4120),YEAR(C4120),"")</f>
        <v/>
      </c>
      <c r="W4120" s="23" t="str">
        <f aca="false">IF(ISNUMBER(C4120),MONTH(C4120),"")</f>
        <v/>
      </c>
      <c r="X4120" s="23" t="str">
        <f aca="false">IF(T4120="","",IF(T4120=0,"No discount",IF(T4120&lt;=0.2,"Low (1-20%)",IF(T4120&lt;=0.4,"Medium (21-40%)","High (&gt;40%)"))))</f>
        <v/>
      </c>
      <c r="Y4120" s="23" t="str">
        <f aca="false">IF(AND(ISNUMBER(C4120),ISNUMBER(D4120)),D4120-C4120,"")</f>
        <v/>
      </c>
      <c r="Z4120" s="23" t="str">
        <f aca="false">IF(B4120="","",IF(MATCH(B4120,$B$2:$B$12000,0)=ROW()-1,1,0))</f>
        <v/>
      </c>
    </row>
    <row r="4121" customFormat="false" ht="15" hidden="false" customHeight="false" outlineLevel="0" collapsed="false">
      <c r="V4121" s="23" t="str">
        <f aca="false">IF(ISNUMBER(C4121),YEAR(C4121),"")</f>
        <v/>
      </c>
      <c r="W4121" s="23" t="str">
        <f aca="false">IF(ISNUMBER(C4121),MONTH(C4121),"")</f>
        <v/>
      </c>
      <c r="X4121" s="23" t="str">
        <f aca="false">IF(T4121="","",IF(T4121=0,"No discount",IF(T4121&lt;=0.2,"Low (1-20%)",IF(T4121&lt;=0.4,"Medium (21-40%)","High (&gt;40%)"))))</f>
        <v/>
      </c>
      <c r="Y4121" s="23" t="str">
        <f aca="false">IF(AND(ISNUMBER(C4121),ISNUMBER(D4121)),D4121-C4121,"")</f>
        <v/>
      </c>
      <c r="Z4121" s="23" t="str">
        <f aca="false">IF(B4121="","",IF(MATCH(B4121,$B$2:$B$12000,0)=ROW()-1,1,0))</f>
        <v/>
      </c>
    </row>
    <row r="4122" customFormat="false" ht="15" hidden="false" customHeight="false" outlineLevel="0" collapsed="false">
      <c r="V4122" s="23" t="str">
        <f aca="false">IF(ISNUMBER(C4122),YEAR(C4122),"")</f>
        <v/>
      </c>
      <c r="W4122" s="23" t="str">
        <f aca="false">IF(ISNUMBER(C4122),MONTH(C4122),"")</f>
        <v/>
      </c>
      <c r="X4122" s="23" t="str">
        <f aca="false">IF(T4122="","",IF(T4122=0,"No discount",IF(T4122&lt;=0.2,"Low (1-20%)",IF(T4122&lt;=0.4,"Medium (21-40%)","High (&gt;40%)"))))</f>
        <v/>
      </c>
      <c r="Y4122" s="23" t="str">
        <f aca="false">IF(AND(ISNUMBER(C4122),ISNUMBER(D4122)),D4122-C4122,"")</f>
        <v/>
      </c>
      <c r="Z4122" s="23" t="str">
        <f aca="false">IF(B4122="","",IF(MATCH(B4122,$B$2:$B$12000,0)=ROW()-1,1,0))</f>
        <v/>
      </c>
    </row>
    <row r="4123" customFormat="false" ht="15" hidden="false" customHeight="false" outlineLevel="0" collapsed="false">
      <c r="V4123" s="23" t="str">
        <f aca="false">IF(ISNUMBER(C4123),YEAR(C4123),"")</f>
        <v/>
      </c>
      <c r="W4123" s="23" t="str">
        <f aca="false">IF(ISNUMBER(C4123),MONTH(C4123),"")</f>
        <v/>
      </c>
      <c r="X4123" s="23" t="str">
        <f aca="false">IF(T4123="","",IF(T4123=0,"No discount",IF(T4123&lt;=0.2,"Low (1-20%)",IF(T4123&lt;=0.4,"Medium (21-40%)","High (&gt;40%)"))))</f>
        <v/>
      </c>
      <c r="Y4123" s="23" t="str">
        <f aca="false">IF(AND(ISNUMBER(C4123),ISNUMBER(D4123)),D4123-C4123,"")</f>
        <v/>
      </c>
      <c r="Z4123" s="23" t="str">
        <f aca="false">IF(B4123="","",IF(MATCH(B4123,$B$2:$B$12000,0)=ROW()-1,1,0))</f>
        <v/>
      </c>
    </row>
    <row r="4124" customFormat="false" ht="15" hidden="false" customHeight="false" outlineLevel="0" collapsed="false">
      <c r="V4124" s="23" t="str">
        <f aca="false">IF(ISNUMBER(C4124),YEAR(C4124),"")</f>
        <v/>
      </c>
      <c r="W4124" s="23" t="str">
        <f aca="false">IF(ISNUMBER(C4124),MONTH(C4124),"")</f>
        <v/>
      </c>
      <c r="X4124" s="23" t="str">
        <f aca="false">IF(T4124="","",IF(T4124=0,"No discount",IF(T4124&lt;=0.2,"Low (1-20%)",IF(T4124&lt;=0.4,"Medium (21-40%)","High (&gt;40%)"))))</f>
        <v/>
      </c>
      <c r="Y4124" s="23" t="str">
        <f aca="false">IF(AND(ISNUMBER(C4124),ISNUMBER(D4124)),D4124-C4124,"")</f>
        <v/>
      </c>
      <c r="Z4124" s="23" t="str">
        <f aca="false">IF(B4124="","",IF(MATCH(B4124,$B$2:$B$12000,0)=ROW()-1,1,0))</f>
        <v/>
      </c>
    </row>
    <row r="4125" customFormat="false" ht="15" hidden="false" customHeight="false" outlineLevel="0" collapsed="false">
      <c r="V4125" s="23" t="str">
        <f aca="false">IF(ISNUMBER(C4125),YEAR(C4125),"")</f>
        <v/>
      </c>
      <c r="W4125" s="23" t="str">
        <f aca="false">IF(ISNUMBER(C4125),MONTH(C4125),"")</f>
        <v/>
      </c>
      <c r="X4125" s="23" t="str">
        <f aca="false">IF(T4125="","",IF(T4125=0,"No discount",IF(T4125&lt;=0.2,"Low (1-20%)",IF(T4125&lt;=0.4,"Medium (21-40%)","High (&gt;40%)"))))</f>
        <v/>
      </c>
      <c r="Y4125" s="23" t="str">
        <f aca="false">IF(AND(ISNUMBER(C4125),ISNUMBER(D4125)),D4125-C4125,"")</f>
        <v/>
      </c>
      <c r="Z4125" s="23" t="str">
        <f aca="false">IF(B4125="","",IF(MATCH(B4125,$B$2:$B$12000,0)=ROW()-1,1,0))</f>
        <v/>
      </c>
    </row>
    <row r="4126" customFormat="false" ht="15" hidden="false" customHeight="false" outlineLevel="0" collapsed="false">
      <c r="V4126" s="23" t="str">
        <f aca="false">IF(ISNUMBER(C4126),YEAR(C4126),"")</f>
        <v/>
      </c>
      <c r="W4126" s="23" t="str">
        <f aca="false">IF(ISNUMBER(C4126),MONTH(C4126),"")</f>
        <v/>
      </c>
      <c r="X4126" s="23" t="str">
        <f aca="false">IF(T4126="","",IF(T4126=0,"No discount",IF(T4126&lt;=0.2,"Low (1-20%)",IF(T4126&lt;=0.4,"Medium (21-40%)","High (&gt;40%)"))))</f>
        <v/>
      </c>
      <c r="Y4126" s="23" t="str">
        <f aca="false">IF(AND(ISNUMBER(C4126),ISNUMBER(D4126)),D4126-C4126,"")</f>
        <v/>
      </c>
      <c r="Z4126" s="23" t="str">
        <f aca="false">IF(B4126="","",IF(MATCH(B4126,$B$2:$B$12000,0)=ROW()-1,1,0))</f>
        <v/>
      </c>
    </row>
    <row r="4127" customFormat="false" ht="15" hidden="false" customHeight="false" outlineLevel="0" collapsed="false">
      <c r="V4127" s="23" t="str">
        <f aca="false">IF(ISNUMBER(C4127),YEAR(C4127),"")</f>
        <v/>
      </c>
      <c r="W4127" s="23" t="str">
        <f aca="false">IF(ISNUMBER(C4127),MONTH(C4127),"")</f>
        <v/>
      </c>
      <c r="X4127" s="23" t="str">
        <f aca="false">IF(T4127="","",IF(T4127=0,"No discount",IF(T4127&lt;=0.2,"Low (1-20%)",IF(T4127&lt;=0.4,"Medium (21-40%)","High (&gt;40%)"))))</f>
        <v/>
      </c>
      <c r="Y4127" s="23" t="str">
        <f aca="false">IF(AND(ISNUMBER(C4127),ISNUMBER(D4127)),D4127-C4127,"")</f>
        <v/>
      </c>
      <c r="Z4127" s="23" t="str">
        <f aca="false">IF(B4127="","",IF(MATCH(B4127,$B$2:$B$12000,0)=ROW()-1,1,0))</f>
        <v/>
      </c>
    </row>
    <row r="4128" customFormat="false" ht="15" hidden="false" customHeight="false" outlineLevel="0" collapsed="false">
      <c r="V4128" s="23" t="str">
        <f aca="false">IF(ISNUMBER(C4128),YEAR(C4128),"")</f>
        <v/>
      </c>
      <c r="W4128" s="23" t="str">
        <f aca="false">IF(ISNUMBER(C4128),MONTH(C4128),"")</f>
        <v/>
      </c>
      <c r="X4128" s="23" t="str">
        <f aca="false">IF(T4128="","",IF(T4128=0,"No discount",IF(T4128&lt;=0.2,"Low (1-20%)",IF(T4128&lt;=0.4,"Medium (21-40%)","High (&gt;40%)"))))</f>
        <v/>
      </c>
      <c r="Y4128" s="23" t="str">
        <f aca="false">IF(AND(ISNUMBER(C4128),ISNUMBER(D4128)),D4128-C4128,"")</f>
        <v/>
      </c>
      <c r="Z4128" s="23" t="str">
        <f aca="false">IF(B4128="","",IF(MATCH(B4128,$B$2:$B$12000,0)=ROW()-1,1,0))</f>
        <v/>
      </c>
    </row>
    <row r="4129" customFormat="false" ht="15" hidden="false" customHeight="false" outlineLevel="0" collapsed="false">
      <c r="V4129" s="23" t="str">
        <f aca="false">IF(ISNUMBER(C4129),YEAR(C4129),"")</f>
        <v/>
      </c>
      <c r="W4129" s="23" t="str">
        <f aca="false">IF(ISNUMBER(C4129),MONTH(C4129),"")</f>
        <v/>
      </c>
      <c r="X4129" s="23" t="str">
        <f aca="false">IF(T4129="","",IF(T4129=0,"No discount",IF(T4129&lt;=0.2,"Low (1-20%)",IF(T4129&lt;=0.4,"Medium (21-40%)","High (&gt;40%)"))))</f>
        <v/>
      </c>
      <c r="Y4129" s="23" t="str">
        <f aca="false">IF(AND(ISNUMBER(C4129),ISNUMBER(D4129)),D4129-C4129,"")</f>
        <v/>
      </c>
      <c r="Z4129" s="23" t="str">
        <f aca="false">IF(B4129="","",IF(MATCH(B4129,$B$2:$B$12000,0)=ROW()-1,1,0))</f>
        <v/>
      </c>
    </row>
    <row r="4130" customFormat="false" ht="15" hidden="false" customHeight="false" outlineLevel="0" collapsed="false">
      <c r="V4130" s="23" t="str">
        <f aca="false">IF(ISNUMBER(C4130),YEAR(C4130),"")</f>
        <v/>
      </c>
      <c r="W4130" s="23" t="str">
        <f aca="false">IF(ISNUMBER(C4130),MONTH(C4130),"")</f>
        <v/>
      </c>
      <c r="X4130" s="23" t="str">
        <f aca="false">IF(T4130="","",IF(T4130=0,"No discount",IF(T4130&lt;=0.2,"Low (1-20%)",IF(T4130&lt;=0.4,"Medium (21-40%)","High (&gt;40%)"))))</f>
        <v/>
      </c>
      <c r="Y4130" s="23" t="str">
        <f aca="false">IF(AND(ISNUMBER(C4130),ISNUMBER(D4130)),D4130-C4130,"")</f>
        <v/>
      </c>
      <c r="Z4130" s="23" t="str">
        <f aca="false">IF(B4130="","",IF(MATCH(B4130,$B$2:$B$12000,0)=ROW()-1,1,0))</f>
        <v/>
      </c>
    </row>
    <row r="4131" customFormat="false" ht="15" hidden="false" customHeight="false" outlineLevel="0" collapsed="false">
      <c r="V4131" s="23" t="str">
        <f aca="false">IF(ISNUMBER(C4131),YEAR(C4131),"")</f>
        <v/>
      </c>
      <c r="W4131" s="23" t="str">
        <f aca="false">IF(ISNUMBER(C4131),MONTH(C4131),"")</f>
        <v/>
      </c>
      <c r="X4131" s="23" t="str">
        <f aca="false">IF(T4131="","",IF(T4131=0,"No discount",IF(T4131&lt;=0.2,"Low (1-20%)",IF(T4131&lt;=0.4,"Medium (21-40%)","High (&gt;40%)"))))</f>
        <v/>
      </c>
      <c r="Y4131" s="23" t="str">
        <f aca="false">IF(AND(ISNUMBER(C4131),ISNUMBER(D4131)),D4131-C4131,"")</f>
        <v/>
      </c>
      <c r="Z4131" s="23" t="str">
        <f aca="false">IF(B4131="","",IF(MATCH(B4131,$B$2:$B$12000,0)=ROW()-1,1,0))</f>
        <v/>
      </c>
    </row>
    <row r="4132" customFormat="false" ht="15" hidden="false" customHeight="false" outlineLevel="0" collapsed="false">
      <c r="V4132" s="23" t="str">
        <f aca="false">IF(ISNUMBER(C4132),YEAR(C4132),"")</f>
        <v/>
      </c>
      <c r="W4132" s="23" t="str">
        <f aca="false">IF(ISNUMBER(C4132),MONTH(C4132),"")</f>
        <v/>
      </c>
      <c r="X4132" s="23" t="str">
        <f aca="false">IF(T4132="","",IF(T4132=0,"No discount",IF(T4132&lt;=0.2,"Low (1-20%)",IF(T4132&lt;=0.4,"Medium (21-40%)","High (&gt;40%)"))))</f>
        <v/>
      </c>
      <c r="Y4132" s="23" t="str">
        <f aca="false">IF(AND(ISNUMBER(C4132),ISNUMBER(D4132)),D4132-C4132,"")</f>
        <v/>
      </c>
      <c r="Z4132" s="23" t="str">
        <f aca="false">IF(B4132="","",IF(MATCH(B4132,$B$2:$B$12000,0)=ROW()-1,1,0))</f>
        <v/>
      </c>
    </row>
    <row r="4133" customFormat="false" ht="15" hidden="false" customHeight="false" outlineLevel="0" collapsed="false">
      <c r="V4133" s="23" t="str">
        <f aca="false">IF(ISNUMBER(C4133),YEAR(C4133),"")</f>
        <v/>
      </c>
      <c r="W4133" s="23" t="str">
        <f aca="false">IF(ISNUMBER(C4133),MONTH(C4133),"")</f>
        <v/>
      </c>
      <c r="X4133" s="23" t="str">
        <f aca="false">IF(T4133="","",IF(T4133=0,"No discount",IF(T4133&lt;=0.2,"Low (1-20%)",IF(T4133&lt;=0.4,"Medium (21-40%)","High (&gt;40%)"))))</f>
        <v/>
      </c>
      <c r="Y4133" s="23" t="str">
        <f aca="false">IF(AND(ISNUMBER(C4133),ISNUMBER(D4133)),D4133-C4133,"")</f>
        <v/>
      </c>
      <c r="Z4133" s="23" t="str">
        <f aca="false">IF(B4133="","",IF(MATCH(B4133,$B$2:$B$12000,0)=ROW()-1,1,0))</f>
        <v/>
      </c>
    </row>
    <row r="4134" customFormat="false" ht="15" hidden="false" customHeight="false" outlineLevel="0" collapsed="false">
      <c r="V4134" s="23" t="str">
        <f aca="false">IF(ISNUMBER(C4134),YEAR(C4134),"")</f>
        <v/>
      </c>
      <c r="W4134" s="23" t="str">
        <f aca="false">IF(ISNUMBER(C4134),MONTH(C4134),"")</f>
        <v/>
      </c>
      <c r="X4134" s="23" t="str">
        <f aca="false">IF(T4134="","",IF(T4134=0,"No discount",IF(T4134&lt;=0.2,"Low (1-20%)",IF(T4134&lt;=0.4,"Medium (21-40%)","High (&gt;40%)"))))</f>
        <v/>
      </c>
      <c r="Y4134" s="23" t="str">
        <f aca="false">IF(AND(ISNUMBER(C4134),ISNUMBER(D4134)),D4134-C4134,"")</f>
        <v/>
      </c>
      <c r="Z4134" s="23" t="str">
        <f aca="false">IF(B4134="","",IF(MATCH(B4134,$B$2:$B$12000,0)=ROW()-1,1,0))</f>
        <v/>
      </c>
    </row>
    <row r="4135" customFormat="false" ht="15" hidden="false" customHeight="false" outlineLevel="0" collapsed="false">
      <c r="V4135" s="23" t="str">
        <f aca="false">IF(ISNUMBER(C4135),YEAR(C4135),"")</f>
        <v/>
      </c>
      <c r="W4135" s="23" t="str">
        <f aca="false">IF(ISNUMBER(C4135),MONTH(C4135),"")</f>
        <v/>
      </c>
      <c r="X4135" s="23" t="str">
        <f aca="false">IF(T4135="","",IF(T4135=0,"No discount",IF(T4135&lt;=0.2,"Low (1-20%)",IF(T4135&lt;=0.4,"Medium (21-40%)","High (&gt;40%)"))))</f>
        <v/>
      </c>
      <c r="Y4135" s="23" t="str">
        <f aca="false">IF(AND(ISNUMBER(C4135),ISNUMBER(D4135)),D4135-C4135,"")</f>
        <v/>
      </c>
      <c r="Z4135" s="23" t="str">
        <f aca="false">IF(B4135="","",IF(MATCH(B4135,$B$2:$B$12000,0)=ROW()-1,1,0))</f>
        <v/>
      </c>
    </row>
    <row r="4136" customFormat="false" ht="15" hidden="false" customHeight="false" outlineLevel="0" collapsed="false">
      <c r="V4136" s="23" t="str">
        <f aca="false">IF(ISNUMBER(C4136),YEAR(C4136),"")</f>
        <v/>
      </c>
      <c r="W4136" s="23" t="str">
        <f aca="false">IF(ISNUMBER(C4136),MONTH(C4136),"")</f>
        <v/>
      </c>
      <c r="X4136" s="23" t="str">
        <f aca="false">IF(T4136="","",IF(T4136=0,"No discount",IF(T4136&lt;=0.2,"Low (1-20%)",IF(T4136&lt;=0.4,"Medium (21-40%)","High (&gt;40%)"))))</f>
        <v/>
      </c>
      <c r="Y4136" s="23" t="str">
        <f aca="false">IF(AND(ISNUMBER(C4136),ISNUMBER(D4136)),D4136-C4136,"")</f>
        <v/>
      </c>
      <c r="Z4136" s="23" t="str">
        <f aca="false">IF(B4136="","",IF(MATCH(B4136,$B$2:$B$12000,0)=ROW()-1,1,0))</f>
        <v/>
      </c>
    </row>
    <row r="4137" customFormat="false" ht="15" hidden="false" customHeight="false" outlineLevel="0" collapsed="false">
      <c r="V4137" s="23" t="str">
        <f aca="false">IF(ISNUMBER(C4137),YEAR(C4137),"")</f>
        <v/>
      </c>
      <c r="W4137" s="23" t="str">
        <f aca="false">IF(ISNUMBER(C4137),MONTH(C4137),"")</f>
        <v/>
      </c>
      <c r="X4137" s="23" t="str">
        <f aca="false">IF(T4137="","",IF(T4137=0,"No discount",IF(T4137&lt;=0.2,"Low (1-20%)",IF(T4137&lt;=0.4,"Medium (21-40%)","High (&gt;40%)"))))</f>
        <v/>
      </c>
      <c r="Y4137" s="23" t="str">
        <f aca="false">IF(AND(ISNUMBER(C4137),ISNUMBER(D4137)),D4137-C4137,"")</f>
        <v/>
      </c>
      <c r="Z4137" s="23" t="str">
        <f aca="false">IF(B4137="","",IF(MATCH(B4137,$B$2:$B$12000,0)=ROW()-1,1,0))</f>
        <v/>
      </c>
    </row>
    <row r="4138" customFormat="false" ht="15" hidden="false" customHeight="false" outlineLevel="0" collapsed="false">
      <c r="V4138" s="23" t="str">
        <f aca="false">IF(ISNUMBER(C4138),YEAR(C4138),"")</f>
        <v/>
      </c>
      <c r="W4138" s="23" t="str">
        <f aca="false">IF(ISNUMBER(C4138),MONTH(C4138),"")</f>
        <v/>
      </c>
      <c r="X4138" s="23" t="str">
        <f aca="false">IF(T4138="","",IF(T4138=0,"No discount",IF(T4138&lt;=0.2,"Low (1-20%)",IF(T4138&lt;=0.4,"Medium (21-40%)","High (&gt;40%)"))))</f>
        <v/>
      </c>
      <c r="Y4138" s="23" t="str">
        <f aca="false">IF(AND(ISNUMBER(C4138),ISNUMBER(D4138)),D4138-C4138,"")</f>
        <v/>
      </c>
      <c r="Z4138" s="23" t="str">
        <f aca="false">IF(B4138="","",IF(MATCH(B4138,$B$2:$B$12000,0)=ROW()-1,1,0))</f>
        <v/>
      </c>
    </row>
    <row r="4139" customFormat="false" ht="15" hidden="false" customHeight="false" outlineLevel="0" collapsed="false">
      <c r="V4139" s="23" t="str">
        <f aca="false">IF(ISNUMBER(C4139),YEAR(C4139),"")</f>
        <v/>
      </c>
      <c r="W4139" s="23" t="str">
        <f aca="false">IF(ISNUMBER(C4139),MONTH(C4139),"")</f>
        <v/>
      </c>
      <c r="X4139" s="23" t="str">
        <f aca="false">IF(T4139="","",IF(T4139=0,"No discount",IF(T4139&lt;=0.2,"Low (1-20%)",IF(T4139&lt;=0.4,"Medium (21-40%)","High (&gt;40%)"))))</f>
        <v/>
      </c>
      <c r="Y4139" s="23" t="str">
        <f aca="false">IF(AND(ISNUMBER(C4139),ISNUMBER(D4139)),D4139-C4139,"")</f>
        <v/>
      </c>
      <c r="Z4139" s="23" t="str">
        <f aca="false">IF(B4139="","",IF(MATCH(B4139,$B$2:$B$12000,0)=ROW()-1,1,0))</f>
        <v/>
      </c>
    </row>
    <row r="4140" customFormat="false" ht="15" hidden="false" customHeight="false" outlineLevel="0" collapsed="false">
      <c r="V4140" s="23" t="str">
        <f aca="false">IF(ISNUMBER(C4140),YEAR(C4140),"")</f>
        <v/>
      </c>
      <c r="W4140" s="23" t="str">
        <f aca="false">IF(ISNUMBER(C4140),MONTH(C4140),"")</f>
        <v/>
      </c>
      <c r="X4140" s="23" t="str">
        <f aca="false">IF(T4140="","",IF(T4140=0,"No discount",IF(T4140&lt;=0.2,"Low (1-20%)",IF(T4140&lt;=0.4,"Medium (21-40%)","High (&gt;40%)"))))</f>
        <v/>
      </c>
      <c r="Y4140" s="23" t="str">
        <f aca="false">IF(AND(ISNUMBER(C4140),ISNUMBER(D4140)),D4140-C4140,"")</f>
        <v/>
      </c>
      <c r="Z4140" s="23" t="str">
        <f aca="false">IF(B4140="","",IF(MATCH(B4140,$B$2:$B$12000,0)=ROW()-1,1,0))</f>
        <v/>
      </c>
    </row>
    <row r="4141" customFormat="false" ht="15" hidden="false" customHeight="false" outlineLevel="0" collapsed="false">
      <c r="V4141" s="23" t="str">
        <f aca="false">IF(ISNUMBER(C4141),YEAR(C4141),"")</f>
        <v/>
      </c>
      <c r="W4141" s="23" t="str">
        <f aca="false">IF(ISNUMBER(C4141),MONTH(C4141),"")</f>
        <v/>
      </c>
      <c r="X4141" s="23" t="str">
        <f aca="false">IF(T4141="","",IF(T4141=0,"No discount",IF(T4141&lt;=0.2,"Low (1-20%)",IF(T4141&lt;=0.4,"Medium (21-40%)","High (&gt;40%)"))))</f>
        <v/>
      </c>
      <c r="Y4141" s="23" t="str">
        <f aca="false">IF(AND(ISNUMBER(C4141),ISNUMBER(D4141)),D4141-C4141,"")</f>
        <v/>
      </c>
      <c r="Z4141" s="23" t="str">
        <f aca="false">IF(B4141="","",IF(MATCH(B4141,$B$2:$B$12000,0)=ROW()-1,1,0))</f>
        <v/>
      </c>
    </row>
    <row r="4142" customFormat="false" ht="15" hidden="false" customHeight="false" outlineLevel="0" collapsed="false">
      <c r="V4142" s="23" t="str">
        <f aca="false">IF(ISNUMBER(C4142),YEAR(C4142),"")</f>
        <v/>
      </c>
      <c r="W4142" s="23" t="str">
        <f aca="false">IF(ISNUMBER(C4142),MONTH(C4142),"")</f>
        <v/>
      </c>
      <c r="X4142" s="23" t="str">
        <f aca="false">IF(T4142="","",IF(T4142=0,"No discount",IF(T4142&lt;=0.2,"Low (1-20%)",IF(T4142&lt;=0.4,"Medium (21-40%)","High (&gt;40%)"))))</f>
        <v/>
      </c>
      <c r="Y4142" s="23" t="str">
        <f aca="false">IF(AND(ISNUMBER(C4142),ISNUMBER(D4142)),D4142-C4142,"")</f>
        <v/>
      </c>
      <c r="Z4142" s="23" t="str">
        <f aca="false">IF(B4142="","",IF(MATCH(B4142,$B$2:$B$12000,0)=ROW()-1,1,0))</f>
        <v/>
      </c>
    </row>
    <row r="4143" customFormat="false" ht="15" hidden="false" customHeight="false" outlineLevel="0" collapsed="false">
      <c r="V4143" s="23" t="str">
        <f aca="false">IF(ISNUMBER(C4143),YEAR(C4143),"")</f>
        <v/>
      </c>
      <c r="W4143" s="23" t="str">
        <f aca="false">IF(ISNUMBER(C4143),MONTH(C4143),"")</f>
        <v/>
      </c>
      <c r="X4143" s="23" t="str">
        <f aca="false">IF(T4143="","",IF(T4143=0,"No discount",IF(T4143&lt;=0.2,"Low (1-20%)",IF(T4143&lt;=0.4,"Medium (21-40%)","High (&gt;40%)"))))</f>
        <v/>
      </c>
      <c r="Y4143" s="23" t="str">
        <f aca="false">IF(AND(ISNUMBER(C4143),ISNUMBER(D4143)),D4143-C4143,"")</f>
        <v/>
      </c>
      <c r="Z4143" s="23" t="str">
        <f aca="false">IF(B4143="","",IF(MATCH(B4143,$B$2:$B$12000,0)=ROW()-1,1,0))</f>
        <v/>
      </c>
    </row>
    <row r="4144" customFormat="false" ht="15" hidden="false" customHeight="false" outlineLevel="0" collapsed="false">
      <c r="V4144" s="23" t="str">
        <f aca="false">IF(ISNUMBER(C4144),YEAR(C4144),"")</f>
        <v/>
      </c>
      <c r="W4144" s="23" t="str">
        <f aca="false">IF(ISNUMBER(C4144),MONTH(C4144),"")</f>
        <v/>
      </c>
      <c r="X4144" s="23" t="str">
        <f aca="false">IF(T4144="","",IF(T4144=0,"No discount",IF(T4144&lt;=0.2,"Low (1-20%)",IF(T4144&lt;=0.4,"Medium (21-40%)","High (&gt;40%)"))))</f>
        <v/>
      </c>
      <c r="Y4144" s="23" t="str">
        <f aca="false">IF(AND(ISNUMBER(C4144),ISNUMBER(D4144)),D4144-C4144,"")</f>
        <v/>
      </c>
      <c r="Z4144" s="23" t="str">
        <f aca="false">IF(B4144="","",IF(MATCH(B4144,$B$2:$B$12000,0)=ROW()-1,1,0))</f>
        <v/>
      </c>
    </row>
    <row r="4145" customFormat="false" ht="15" hidden="false" customHeight="false" outlineLevel="0" collapsed="false">
      <c r="V4145" s="23" t="str">
        <f aca="false">IF(ISNUMBER(C4145),YEAR(C4145),"")</f>
        <v/>
      </c>
      <c r="W4145" s="23" t="str">
        <f aca="false">IF(ISNUMBER(C4145),MONTH(C4145),"")</f>
        <v/>
      </c>
      <c r="X4145" s="23" t="str">
        <f aca="false">IF(T4145="","",IF(T4145=0,"No discount",IF(T4145&lt;=0.2,"Low (1-20%)",IF(T4145&lt;=0.4,"Medium (21-40%)","High (&gt;40%)"))))</f>
        <v/>
      </c>
      <c r="Y4145" s="23" t="str">
        <f aca="false">IF(AND(ISNUMBER(C4145),ISNUMBER(D4145)),D4145-C4145,"")</f>
        <v/>
      </c>
      <c r="Z4145" s="23" t="str">
        <f aca="false">IF(B4145="","",IF(MATCH(B4145,$B$2:$B$12000,0)=ROW()-1,1,0))</f>
        <v/>
      </c>
    </row>
    <row r="4146" customFormat="false" ht="15" hidden="false" customHeight="false" outlineLevel="0" collapsed="false">
      <c r="V4146" s="23" t="str">
        <f aca="false">IF(ISNUMBER(C4146),YEAR(C4146),"")</f>
        <v/>
      </c>
      <c r="W4146" s="23" t="str">
        <f aca="false">IF(ISNUMBER(C4146),MONTH(C4146),"")</f>
        <v/>
      </c>
      <c r="X4146" s="23" t="str">
        <f aca="false">IF(T4146="","",IF(T4146=0,"No discount",IF(T4146&lt;=0.2,"Low (1-20%)",IF(T4146&lt;=0.4,"Medium (21-40%)","High (&gt;40%)"))))</f>
        <v/>
      </c>
      <c r="Y4146" s="23" t="str">
        <f aca="false">IF(AND(ISNUMBER(C4146),ISNUMBER(D4146)),D4146-C4146,"")</f>
        <v/>
      </c>
      <c r="Z4146" s="23" t="str">
        <f aca="false">IF(B4146="","",IF(MATCH(B4146,$B$2:$B$12000,0)=ROW()-1,1,0))</f>
        <v/>
      </c>
    </row>
    <row r="4147" customFormat="false" ht="15" hidden="false" customHeight="false" outlineLevel="0" collapsed="false">
      <c r="V4147" s="23" t="str">
        <f aca="false">IF(ISNUMBER(C4147),YEAR(C4147),"")</f>
        <v/>
      </c>
      <c r="W4147" s="23" t="str">
        <f aca="false">IF(ISNUMBER(C4147),MONTH(C4147),"")</f>
        <v/>
      </c>
      <c r="X4147" s="23" t="str">
        <f aca="false">IF(T4147="","",IF(T4147=0,"No discount",IF(T4147&lt;=0.2,"Low (1-20%)",IF(T4147&lt;=0.4,"Medium (21-40%)","High (&gt;40%)"))))</f>
        <v/>
      </c>
      <c r="Y4147" s="23" t="str">
        <f aca="false">IF(AND(ISNUMBER(C4147),ISNUMBER(D4147)),D4147-C4147,"")</f>
        <v/>
      </c>
      <c r="Z4147" s="23" t="str">
        <f aca="false">IF(B4147="","",IF(MATCH(B4147,$B$2:$B$12000,0)=ROW()-1,1,0))</f>
        <v/>
      </c>
    </row>
    <row r="4148" customFormat="false" ht="15" hidden="false" customHeight="false" outlineLevel="0" collapsed="false">
      <c r="V4148" s="23" t="str">
        <f aca="false">IF(ISNUMBER(C4148),YEAR(C4148),"")</f>
        <v/>
      </c>
      <c r="W4148" s="23" t="str">
        <f aca="false">IF(ISNUMBER(C4148),MONTH(C4148),"")</f>
        <v/>
      </c>
      <c r="X4148" s="23" t="str">
        <f aca="false">IF(T4148="","",IF(T4148=0,"No discount",IF(T4148&lt;=0.2,"Low (1-20%)",IF(T4148&lt;=0.4,"Medium (21-40%)","High (&gt;40%)"))))</f>
        <v/>
      </c>
      <c r="Y4148" s="23" t="str">
        <f aca="false">IF(AND(ISNUMBER(C4148),ISNUMBER(D4148)),D4148-C4148,"")</f>
        <v/>
      </c>
      <c r="Z4148" s="23" t="str">
        <f aca="false">IF(B4148="","",IF(MATCH(B4148,$B$2:$B$12000,0)=ROW()-1,1,0))</f>
        <v/>
      </c>
    </row>
    <row r="4149" customFormat="false" ht="15" hidden="false" customHeight="false" outlineLevel="0" collapsed="false">
      <c r="V4149" s="23" t="str">
        <f aca="false">IF(ISNUMBER(C4149),YEAR(C4149),"")</f>
        <v/>
      </c>
      <c r="W4149" s="23" t="str">
        <f aca="false">IF(ISNUMBER(C4149),MONTH(C4149),"")</f>
        <v/>
      </c>
      <c r="X4149" s="23" t="str">
        <f aca="false">IF(T4149="","",IF(T4149=0,"No discount",IF(T4149&lt;=0.2,"Low (1-20%)",IF(T4149&lt;=0.4,"Medium (21-40%)","High (&gt;40%)"))))</f>
        <v/>
      </c>
      <c r="Y4149" s="23" t="str">
        <f aca="false">IF(AND(ISNUMBER(C4149),ISNUMBER(D4149)),D4149-C4149,"")</f>
        <v/>
      </c>
      <c r="Z4149" s="23" t="str">
        <f aca="false">IF(B4149="","",IF(MATCH(B4149,$B$2:$B$12000,0)=ROW()-1,1,0))</f>
        <v/>
      </c>
    </row>
    <row r="4150" customFormat="false" ht="15" hidden="false" customHeight="false" outlineLevel="0" collapsed="false">
      <c r="V4150" s="23" t="str">
        <f aca="false">IF(ISNUMBER(C4150),YEAR(C4150),"")</f>
        <v/>
      </c>
      <c r="W4150" s="23" t="str">
        <f aca="false">IF(ISNUMBER(C4150),MONTH(C4150),"")</f>
        <v/>
      </c>
      <c r="X4150" s="23" t="str">
        <f aca="false">IF(T4150="","",IF(T4150=0,"No discount",IF(T4150&lt;=0.2,"Low (1-20%)",IF(T4150&lt;=0.4,"Medium (21-40%)","High (&gt;40%)"))))</f>
        <v/>
      </c>
      <c r="Y4150" s="23" t="str">
        <f aca="false">IF(AND(ISNUMBER(C4150),ISNUMBER(D4150)),D4150-C4150,"")</f>
        <v/>
      </c>
      <c r="Z4150" s="23" t="str">
        <f aca="false">IF(B4150="","",IF(MATCH(B4150,$B$2:$B$12000,0)=ROW()-1,1,0))</f>
        <v/>
      </c>
    </row>
    <row r="4151" customFormat="false" ht="15" hidden="false" customHeight="false" outlineLevel="0" collapsed="false">
      <c r="V4151" s="23" t="str">
        <f aca="false">IF(ISNUMBER(C4151),YEAR(C4151),"")</f>
        <v/>
      </c>
      <c r="W4151" s="23" t="str">
        <f aca="false">IF(ISNUMBER(C4151),MONTH(C4151),"")</f>
        <v/>
      </c>
      <c r="X4151" s="23" t="str">
        <f aca="false">IF(T4151="","",IF(T4151=0,"No discount",IF(T4151&lt;=0.2,"Low (1-20%)",IF(T4151&lt;=0.4,"Medium (21-40%)","High (&gt;40%)"))))</f>
        <v/>
      </c>
      <c r="Y4151" s="23" t="str">
        <f aca="false">IF(AND(ISNUMBER(C4151),ISNUMBER(D4151)),D4151-C4151,"")</f>
        <v/>
      </c>
      <c r="Z4151" s="23" t="str">
        <f aca="false">IF(B4151="","",IF(MATCH(B4151,$B$2:$B$12000,0)=ROW()-1,1,0))</f>
        <v/>
      </c>
    </row>
    <row r="4152" customFormat="false" ht="15" hidden="false" customHeight="false" outlineLevel="0" collapsed="false">
      <c r="V4152" s="23" t="str">
        <f aca="false">IF(ISNUMBER(C4152),YEAR(C4152),"")</f>
        <v/>
      </c>
      <c r="W4152" s="23" t="str">
        <f aca="false">IF(ISNUMBER(C4152),MONTH(C4152),"")</f>
        <v/>
      </c>
      <c r="X4152" s="23" t="str">
        <f aca="false">IF(T4152="","",IF(T4152=0,"No discount",IF(T4152&lt;=0.2,"Low (1-20%)",IF(T4152&lt;=0.4,"Medium (21-40%)","High (&gt;40%)"))))</f>
        <v/>
      </c>
      <c r="Y4152" s="23" t="str">
        <f aca="false">IF(AND(ISNUMBER(C4152),ISNUMBER(D4152)),D4152-C4152,"")</f>
        <v/>
      </c>
      <c r="Z4152" s="23" t="str">
        <f aca="false">IF(B4152="","",IF(MATCH(B4152,$B$2:$B$12000,0)=ROW()-1,1,0))</f>
        <v/>
      </c>
    </row>
    <row r="4153" customFormat="false" ht="15" hidden="false" customHeight="false" outlineLevel="0" collapsed="false">
      <c r="V4153" s="23" t="str">
        <f aca="false">IF(ISNUMBER(C4153),YEAR(C4153),"")</f>
        <v/>
      </c>
      <c r="W4153" s="23" t="str">
        <f aca="false">IF(ISNUMBER(C4153),MONTH(C4153),"")</f>
        <v/>
      </c>
      <c r="X4153" s="23" t="str">
        <f aca="false">IF(T4153="","",IF(T4153=0,"No discount",IF(T4153&lt;=0.2,"Low (1-20%)",IF(T4153&lt;=0.4,"Medium (21-40%)","High (&gt;40%)"))))</f>
        <v/>
      </c>
      <c r="Y4153" s="23" t="str">
        <f aca="false">IF(AND(ISNUMBER(C4153),ISNUMBER(D4153)),D4153-C4153,"")</f>
        <v/>
      </c>
      <c r="Z4153" s="23" t="str">
        <f aca="false">IF(B4153="","",IF(MATCH(B4153,$B$2:$B$12000,0)=ROW()-1,1,0))</f>
        <v/>
      </c>
    </row>
    <row r="4154" customFormat="false" ht="15" hidden="false" customHeight="false" outlineLevel="0" collapsed="false">
      <c r="V4154" s="23" t="str">
        <f aca="false">IF(ISNUMBER(C4154),YEAR(C4154),"")</f>
        <v/>
      </c>
      <c r="W4154" s="23" t="str">
        <f aca="false">IF(ISNUMBER(C4154),MONTH(C4154),"")</f>
        <v/>
      </c>
      <c r="X4154" s="23" t="str">
        <f aca="false">IF(T4154="","",IF(T4154=0,"No discount",IF(T4154&lt;=0.2,"Low (1-20%)",IF(T4154&lt;=0.4,"Medium (21-40%)","High (&gt;40%)"))))</f>
        <v/>
      </c>
      <c r="Y4154" s="23" t="str">
        <f aca="false">IF(AND(ISNUMBER(C4154),ISNUMBER(D4154)),D4154-C4154,"")</f>
        <v/>
      </c>
      <c r="Z4154" s="23" t="str">
        <f aca="false">IF(B4154="","",IF(MATCH(B4154,$B$2:$B$12000,0)=ROW()-1,1,0))</f>
        <v/>
      </c>
    </row>
    <row r="4155" customFormat="false" ht="15" hidden="false" customHeight="false" outlineLevel="0" collapsed="false">
      <c r="V4155" s="23" t="str">
        <f aca="false">IF(ISNUMBER(C4155),YEAR(C4155),"")</f>
        <v/>
      </c>
      <c r="W4155" s="23" t="str">
        <f aca="false">IF(ISNUMBER(C4155),MONTH(C4155),"")</f>
        <v/>
      </c>
      <c r="X4155" s="23" t="str">
        <f aca="false">IF(T4155="","",IF(T4155=0,"No discount",IF(T4155&lt;=0.2,"Low (1-20%)",IF(T4155&lt;=0.4,"Medium (21-40%)","High (&gt;40%)"))))</f>
        <v/>
      </c>
      <c r="Y4155" s="23" t="str">
        <f aca="false">IF(AND(ISNUMBER(C4155),ISNUMBER(D4155)),D4155-C4155,"")</f>
        <v/>
      </c>
      <c r="Z4155" s="23" t="str">
        <f aca="false">IF(B4155="","",IF(MATCH(B4155,$B$2:$B$12000,0)=ROW()-1,1,0))</f>
        <v/>
      </c>
    </row>
    <row r="4156" customFormat="false" ht="15" hidden="false" customHeight="false" outlineLevel="0" collapsed="false">
      <c r="V4156" s="23" t="str">
        <f aca="false">IF(ISNUMBER(C4156),YEAR(C4156),"")</f>
        <v/>
      </c>
      <c r="W4156" s="23" t="str">
        <f aca="false">IF(ISNUMBER(C4156),MONTH(C4156),"")</f>
        <v/>
      </c>
      <c r="X4156" s="23" t="str">
        <f aca="false">IF(T4156="","",IF(T4156=0,"No discount",IF(T4156&lt;=0.2,"Low (1-20%)",IF(T4156&lt;=0.4,"Medium (21-40%)","High (&gt;40%)"))))</f>
        <v/>
      </c>
      <c r="Y4156" s="23" t="str">
        <f aca="false">IF(AND(ISNUMBER(C4156),ISNUMBER(D4156)),D4156-C4156,"")</f>
        <v/>
      </c>
      <c r="Z4156" s="23" t="str">
        <f aca="false">IF(B4156="","",IF(MATCH(B4156,$B$2:$B$12000,0)=ROW()-1,1,0))</f>
        <v/>
      </c>
    </row>
    <row r="4157" customFormat="false" ht="15" hidden="false" customHeight="false" outlineLevel="0" collapsed="false">
      <c r="V4157" s="23" t="str">
        <f aca="false">IF(ISNUMBER(C4157),YEAR(C4157),"")</f>
        <v/>
      </c>
      <c r="W4157" s="23" t="str">
        <f aca="false">IF(ISNUMBER(C4157),MONTH(C4157),"")</f>
        <v/>
      </c>
      <c r="X4157" s="23" t="str">
        <f aca="false">IF(T4157="","",IF(T4157=0,"No discount",IF(T4157&lt;=0.2,"Low (1-20%)",IF(T4157&lt;=0.4,"Medium (21-40%)","High (&gt;40%)"))))</f>
        <v/>
      </c>
      <c r="Y4157" s="23" t="str">
        <f aca="false">IF(AND(ISNUMBER(C4157),ISNUMBER(D4157)),D4157-C4157,"")</f>
        <v/>
      </c>
      <c r="Z4157" s="23" t="str">
        <f aca="false">IF(B4157="","",IF(MATCH(B4157,$B$2:$B$12000,0)=ROW()-1,1,0))</f>
        <v/>
      </c>
    </row>
    <row r="4158" customFormat="false" ht="15" hidden="false" customHeight="false" outlineLevel="0" collapsed="false">
      <c r="V4158" s="23" t="str">
        <f aca="false">IF(ISNUMBER(C4158),YEAR(C4158),"")</f>
        <v/>
      </c>
      <c r="W4158" s="23" t="str">
        <f aca="false">IF(ISNUMBER(C4158),MONTH(C4158),"")</f>
        <v/>
      </c>
      <c r="X4158" s="23" t="str">
        <f aca="false">IF(T4158="","",IF(T4158=0,"No discount",IF(T4158&lt;=0.2,"Low (1-20%)",IF(T4158&lt;=0.4,"Medium (21-40%)","High (&gt;40%)"))))</f>
        <v/>
      </c>
      <c r="Y4158" s="23" t="str">
        <f aca="false">IF(AND(ISNUMBER(C4158),ISNUMBER(D4158)),D4158-C4158,"")</f>
        <v/>
      </c>
      <c r="Z4158" s="23" t="str">
        <f aca="false">IF(B4158="","",IF(MATCH(B4158,$B$2:$B$12000,0)=ROW()-1,1,0))</f>
        <v/>
      </c>
    </row>
    <row r="4159" customFormat="false" ht="15" hidden="false" customHeight="false" outlineLevel="0" collapsed="false">
      <c r="V4159" s="23" t="str">
        <f aca="false">IF(ISNUMBER(C4159),YEAR(C4159),"")</f>
        <v/>
      </c>
      <c r="W4159" s="23" t="str">
        <f aca="false">IF(ISNUMBER(C4159),MONTH(C4159),"")</f>
        <v/>
      </c>
      <c r="X4159" s="23" t="str">
        <f aca="false">IF(T4159="","",IF(T4159=0,"No discount",IF(T4159&lt;=0.2,"Low (1-20%)",IF(T4159&lt;=0.4,"Medium (21-40%)","High (&gt;40%)"))))</f>
        <v/>
      </c>
      <c r="Y4159" s="23" t="str">
        <f aca="false">IF(AND(ISNUMBER(C4159),ISNUMBER(D4159)),D4159-C4159,"")</f>
        <v/>
      </c>
      <c r="Z4159" s="23" t="str">
        <f aca="false">IF(B4159="","",IF(MATCH(B4159,$B$2:$B$12000,0)=ROW()-1,1,0))</f>
        <v/>
      </c>
    </row>
    <row r="4160" customFormat="false" ht="15" hidden="false" customHeight="false" outlineLevel="0" collapsed="false">
      <c r="V4160" s="23" t="str">
        <f aca="false">IF(ISNUMBER(C4160),YEAR(C4160),"")</f>
        <v/>
      </c>
      <c r="W4160" s="23" t="str">
        <f aca="false">IF(ISNUMBER(C4160),MONTH(C4160),"")</f>
        <v/>
      </c>
      <c r="X4160" s="23" t="str">
        <f aca="false">IF(T4160="","",IF(T4160=0,"No discount",IF(T4160&lt;=0.2,"Low (1-20%)",IF(T4160&lt;=0.4,"Medium (21-40%)","High (&gt;40%)"))))</f>
        <v/>
      </c>
      <c r="Y4160" s="23" t="str">
        <f aca="false">IF(AND(ISNUMBER(C4160),ISNUMBER(D4160)),D4160-C4160,"")</f>
        <v/>
      </c>
      <c r="Z4160" s="23" t="str">
        <f aca="false">IF(B4160="","",IF(MATCH(B4160,$B$2:$B$12000,0)=ROW()-1,1,0))</f>
        <v/>
      </c>
    </row>
    <row r="4161" customFormat="false" ht="15" hidden="false" customHeight="false" outlineLevel="0" collapsed="false">
      <c r="V4161" s="23" t="str">
        <f aca="false">IF(ISNUMBER(C4161),YEAR(C4161),"")</f>
        <v/>
      </c>
      <c r="W4161" s="23" t="str">
        <f aca="false">IF(ISNUMBER(C4161),MONTH(C4161),"")</f>
        <v/>
      </c>
      <c r="X4161" s="23" t="str">
        <f aca="false">IF(T4161="","",IF(T4161=0,"No discount",IF(T4161&lt;=0.2,"Low (1-20%)",IF(T4161&lt;=0.4,"Medium (21-40%)","High (&gt;40%)"))))</f>
        <v/>
      </c>
      <c r="Y4161" s="23" t="str">
        <f aca="false">IF(AND(ISNUMBER(C4161),ISNUMBER(D4161)),D4161-C4161,"")</f>
        <v/>
      </c>
      <c r="Z4161" s="23" t="str">
        <f aca="false">IF(B4161="","",IF(MATCH(B4161,$B$2:$B$12000,0)=ROW()-1,1,0))</f>
        <v/>
      </c>
    </row>
    <row r="4162" customFormat="false" ht="15" hidden="false" customHeight="false" outlineLevel="0" collapsed="false">
      <c r="V4162" s="23" t="str">
        <f aca="false">IF(ISNUMBER(C4162),YEAR(C4162),"")</f>
        <v/>
      </c>
      <c r="W4162" s="23" t="str">
        <f aca="false">IF(ISNUMBER(C4162),MONTH(C4162),"")</f>
        <v/>
      </c>
      <c r="X4162" s="23" t="str">
        <f aca="false">IF(T4162="","",IF(T4162=0,"No discount",IF(T4162&lt;=0.2,"Low (1-20%)",IF(T4162&lt;=0.4,"Medium (21-40%)","High (&gt;40%)"))))</f>
        <v/>
      </c>
      <c r="Y4162" s="23" t="str">
        <f aca="false">IF(AND(ISNUMBER(C4162),ISNUMBER(D4162)),D4162-C4162,"")</f>
        <v/>
      </c>
      <c r="Z4162" s="23" t="str">
        <f aca="false">IF(B4162="","",IF(MATCH(B4162,$B$2:$B$12000,0)=ROW()-1,1,0))</f>
        <v/>
      </c>
    </row>
    <row r="4163" customFormat="false" ht="15" hidden="false" customHeight="false" outlineLevel="0" collapsed="false">
      <c r="V4163" s="23" t="str">
        <f aca="false">IF(ISNUMBER(C4163),YEAR(C4163),"")</f>
        <v/>
      </c>
      <c r="W4163" s="23" t="str">
        <f aca="false">IF(ISNUMBER(C4163),MONTH(C4163),"")</f>
        <v/>
      </c>
      <c r="X4163" s="23" t="str">
        <f aca="false">IF(T4163="","",IF(T4163=0,"No discount",IF(T4163&lt;=0.2,"Low (1-20%)",IF(T4163&lt;=0.4,"Medium (21-40%)","High (&gt;40%)"))))</f>
        <v/>
      </c>
      <c r="Y4163" s="23" t="str">
        <f aca="false">IF(AND(ISNUMBER(C4163),ISNUMBER(D4163)),D4163-C4163,"")</f>
        <v/>
      </c>
      <c r="Z4163" s="23" t="str">
        <f aca="false">IF(B4163="","",IF(MATCH(B4163,$B$2:$B$12000,0)=ROW()-1,1,0))</f>
        <v/>
      </c>
    </row>
    <row r="4164" customFormat="false" ht="15" hidden="false" customHeight="false" outlineLevel="0" collapsed="false">
      <c r="V4164" s="23" t="str">
        <f aca="false">IF(ISNUMBER(C4164),YEAR(C4164),"")</f>
        <v/>
      </c>
      <c r="W4164" s="23" t="str">
        <f aca="false">IF(ISNUMBER(C4164),MONTH(C4164),"")</f>
        <v/>
      </c>
      <c r="X4164" s="23" t="str">
        <f aca="false">IF(T4164="","",IF(T4164=0,"No discount",IF(T4164&lt;=0.2,"Low (1-20%)",IF(T4164&lt;=0.4,"Medium (21-40%)","High (&gt;40%)"))))</f>
        <v/>
      </c>
      <c r="Y4164" s="23" t="str">
        <f aca="false">IF(AND(ISNUMBER(C4164),ISNUMBER(D4164)),D4164-C4164,"")</f>
        <v/>
      </c>
      <c r="Z4164" s="23" t="str">
        <f aca="false">IF(B4164="","",IF(MATCH(B4164,$B$2:$B$12000,0)=ROW()-1,1,0))</f>
        <v/>
      </c>
    </row>
    <row r="4165" customFormat="false" ht="15" hidden="false" customHeight="false" outlineLevel="0" collapsed="false">
      <c r="V4165" s="23" t="str">
        <f aca="false">IF(ISNUMBER(C4165),YEAR(C4165),"")</f>
        <v/>
      </c>
      <c r="W4165" s="23" t="str">
        <f aca="false">IF(ISNUMBER(C4165),MONTH(C4165),"")</f>
        <v/>
      </c>
      <c r="X4165" s="23" t="str">
        <f aca="false">IF(T4165="","",IF(T4165=0,"No discount",IF(T4165&lt;=0.2,"Low (1-20%)",IF(T4165&lt;=0.4,"Medium (21-40%)","High (&gt;40%)"))))</f>
        <v/>
      </c>
      <c r="Y4165" s="23" t="str">
        <f aca="false">IF(AND(ISNUMBER(C4165),ISNUMBER(D4165)),D4165-C4165,"")</f>
        <v/>
      </c>
      <c r="Z4165" s="23" t="str">
        <f aca="false">IF(B4165="","",IF(MATCH(B4165,$B$2:$B$12000,0)=ROW()-1,1,0))</f>
        <v/>
      </c>
    </row>
    <row r="4166" customFormat="false" ht="15" hidden="false" customHeight="false" outlineLevel="0" collapsed="false">
      <c r="V4166" s="23" t="str">
        <f aca="false">IF(ISNUMBER(C4166),YEAR(C4166),"")</f>
        <v/>
      </c>
      <c r="W4166" s="23" t="str">
        <f aca="false">IF(ISNUMBER(C4166),MONTH(C4166),"")</f>
        <v/>
      </c>
      <c r="X4166" s="23" t="str">
        <f aca="false">IF(T4166="","",IF(T4166=0,"No discount",IF(T4166&lt;=0.2,"Low (1-20%)",IF(T4166&lt;=0.4,"Medium (21-40%)","High (&gt;40%)"))))</f>
        <v/>
      </c>
      <c r="Y4166" s="23" t="str">
        <f aca="false">IF(AND(ISNUMBER(C4166),ISNUMBER(D4166)),D4166-C4166,"")</f>
        <v/>
      </c>
      <c r="Z4166" s="23" t="str">
        <f aca="false">IF(B4166="","",IF(MATCH(B4166,$B$2:$B$12000,0)=ROW()-1,1,0))</f>
        <v/>
      </c>
    </row>
    <row r="4167" customFormat="false" ht="15" hidden="false" customHeight="false" outlineLevel="0" collapsed="false">
      <c r="V4167" s="23" t="str">
        <f aca="false">IF(ISNUMBER(C4167),YEAR(C4167),"")</f>
        <v/>
      </c>
      <c r="W4167" s="23" t="str">
        <f aca="false">IF(ISNUMBER(C4167),MONTH(C4167),"")</f>
        <v/>
      </c>
      <c r="X4167" s="23" t="str">
        <f aca="false">IF(T4167="","",IF(T4167=0,"No discount",IF(T4167&lt;=0.2,"Low (1-20%)",IF(T4167&lt;=0.4,"Medium (21-40%)","High (&gt;40%)"))))</f>
        <v/>
      </c>
      <c r="Y4167" s="23" t="str">
        <f aca="false">IF(AND(ISNUMBER(C4167),ISNUMBER(D4167)),D4167-C4167,"")</f>
        <v/>
      </c>
      <c r="Z4167" s="23" t="str">
        <f aca="false">IF(B4167="","",IF(MATCH(B4167,$B$2:$B$12000,0)=ROW()-1,1,0))</f>
        <v/>
      </c>
    </row>
    <row r="4168" customFormat="false" ht="15" hidden="false" customHeight="false" outlineLevel="0" collapsed="false">
      <c r="V4168" s="23" t="str">
        <f aca="false">IF(ISNUMBER(C4168),YEAR(C4168),"")</f>
        <v/>
      </c>
      <c r="W4168" s="23" t="str">
        <f aca="false">IF(ISNUMBER(C4168),MONTH(C4168),"")</f>
        <v/>
      </c>
      <c r="X4168" s="23" t="str">
        <f aca="false">IF(T4168="","",IF(T4168=0,"No discount",IF(T4168&lt;=0.2,"Low (1-20%)",IF(T4168&lt;=0.4,"Medium (21-40%)","High (&gt;40%)"))))</f>
        <v/>
      </c>
      <c r="Y4168" s="23" t="str">
        <f aca="false">IF(AND(ISNUMBER(C4168),ISNUMBER(D4168)),D4168-C4168,"")</f>
        <v/>
      </c>
      <c r="Z4168" s="23" t="str">
        <f aca="false">IF(B4168="","",IF(MATCH(B4168,$B$2:$B$12000,0)=ROW()-1,1,0))</f>
        <v/>
      </c>
    </row>
    <row r="4169" customFormat="false" ht="15" hidden="false" customHeight="false" outlineLevel="0" collapsed="false">
      <c r="V4169" s="23" t="str">
        <f aca="false">IF(ISNUMBER(C4169),YEAR(C4169),"")</f>
        <v/>
      </c>
      <c r="W4169" s="23" t="str">
        <f aca="false">IF(ISNUMBER(C4169),MONTH(C4169),"")</f>
        <v/>
      </c>
      <c r="X4169" s="23" t="str">
        <f aca="false">IF(T4169="","",IF(T4169=0,"No discount",IF(T4169&lt;=0.2,"Low (1-20%)",IF(T4169&lt;=0.4,"Medium (21-40%)","High (&gt;40%)"))))</f>
        <v/>
      </c>
      <c r="Y4169" s="23" t="str">
        <f aca="false">IF(AND(ISNUMBER(C4169),ISNUMBER(D4169)),D4169-C4169,"")</f>
        <v/>
      </c>
      <c r="Z4169" s="23" t="str">
        <f aca="false">IF(B4169="","",IF(MATCH(B4169,$B$2:$B$12000,0)=ROW()-1,1,0))</f>
        <v/>
      </c>
    </row>
    <row r="4170" customFormat="false" ht="15" hidden="false" customHeight="false" outlineLevel="0" collapsed="false">
      <c r="V4170" s="23" t="str">
        <f aca="false">IF(ISNUMBER(C4170),YEAR(C4170),"")</f>
        <v/>
      </c>
      <c r="W4170" s="23" t="str">
        <f aca="false">IF(ISNUMBER(C4170),MONTH(C4170),"")</f>
        <v/>
      </c>
      <c r="X4170" s="23" t="str">
        <f aca="false">IF(T4170="","",IF(T4170=0,"No discount",IF(T4170&lt;=0.2,"Low (1-20%)",IF(T4170&lt;=0.4,"Medium (21-40%)","High (&gt;40%)"))))</f>
        <v/>
      </c>
      <c r="Y4170" s="23" t="str">
        <f aca="false">IF(AND(ISNUMBER(C4170),ISNUMBER(D4170)),D4170-C4170,"")</f>
        <v/>
      </c>
      <c r="Z4170" s="23" t="str">
        <f aca="false">IF(B4170="","",IF(MATCH(B4170,$B$2:$B$12000,0)=ROW()-1,1,0))</f>
        <v/>
      </c>
    </row>
    <row r="4171" customFormat="false" ht="15" hidden="false" customHeight="false" outlineLevel="0" collapsed="false">
      <c r="V4171" s="23" t="str">
        <f aca="false">IF(ISNUMBER(C4171),YEAR(C4171),"")</f>
        <v/>
      </c>
      <c r="W4171" s="23" t="str">
        <f aca="false">IF(ISNUMBER(C4171),MONTH(C4171),"")</f>
        <v/>
      </c>
      <c r="X4171" s="23" t="str">
        <f aca="false">IF(T4171="","",IF(T4171=0,"No discount",IF(T4171&lt;=0.2,"Low (1-20%)",IF(T4171&lt;=0.4,"Medium (21-40%)","High (&gt;40%)"))))</f>
        <v/>
      </c>
      <c r="Y4171" s="23" t="str">
        <f aca="false">IF(AND(ISNUMBER(C4171),ISNUMBER(D4171)),D4171-C4171,"")</f>
        <v/>
      </c>
      <c r="Z4171" s="23" t="str">
        <f aca="false">IF(B4171="","",IF(MATCH(B4171,$B$2:$B$12000,0)=ROW()-1,1,0))</f>
        <v/>
      </c>
    </row>
    <row r="4172" customFormat="false" ht="15" hidden="false" customHeight="false" outlineLevel="0" collapsed="false">
      <c r="V4172" s="23" t="str">
        <f aca="false">IF(ISNUMBER(C4172),YEAR(C4172),"")</f>
        <v/>
      </c>
      <c r="W4172" s="23" t="str">
        <f aca="false">IF(ISNUMBER(C4172),MONTH(C4172),"")</f>
        <v/>
      </c>
      <c r="X4172" s="23" t="str">
        <f aca="false">IF(T4172="","",IF(T4172=0,"No discount",IF(T4172&lt;=0.2,"Low (1-20%)",IF(T4172&lt;=0.4,"Medium (21-40%)","High (&gt;40%)"))))</f>
        <v/>
      </c>
      <c r="Y4172" s="23" t="str">
        <f aca="false">IF(AND(ISNUMBER(C4172),ISNUMBER(D4172)),D4172-C4172,"")</f>
        <v/>
      </c>
      <c r="Z4172" s="23" t="str">
        <f aca="false">IF(B4172="","",IF(MATCH(B4172,$B$2:$B$12000,0)=ROW()-1,1,0))</f>
        <v/>
      </c>
    </row>
    <row r="4173" customFormat="false" ht="15" hidden="false" customHeight="false" outlineLevel="0" collapsed="false">
      <c r="V4173" s="23" t="str">
        <f aca="false">IF(ISNUMBER(C4173),YEAR(C4173),"")</f>
        <v/>
      </c>
      <c r="W4173" s="23" t="str">
        <f aca="false">IF(ISNUMBER(C4173),MONTH(C4173),"")</f>
        <v/>
      </c>
      <c r="X4173" s="23" t="str">
        <f aca="false">IF(T4173="","",IF(T4173=0,"No discount",IF(T4173&lt;=0.2,"Low (1-20%)",IF(T4173&lt;=0.4,"Medium (21-40%)","High (&gt;40%)"))))</f>
        <v/>
      </c>
      <c r="Y4173" s="23" t="str">
        <f aca="false">IF(AND(ISNUMBER(C4173),ISNUMBER(D4173)),D4173-C4173,"")</f>
        <v/>
      </c>
      <c r="Z4173" s="23" t="str">
        <f aca="false">IF(B4173="","",IF(MATCH(B4173,$B$2:$B$12000,0)=ROW()-1,1,0))</f>
        <v/>
      </c>
    </row>
    <row r="4174" customFormat="false" ht="15" hidden="false" customHeight="false" outlineLevel="0" collapsed="false">
      <c r="V4174" s="23" t="str">
        <f aca="false">IF(ISNUMBER(C4174),YEAR(C4174),"")</f>
        <v/>
      </c>
      <c r="W4174" s="23" t="str">
        <f aca="false">IF(ISNUMBER(C4174),MONTH(C4174),"")</f>
        <v/>
      </c>
      <c r="X4174" s="23" t="str">
        <f aca="false">IF(T4174="","",IF(T4174=0,"No discount",IF(T4174&lt;=0.2,"Low (1-20%)",IF(T4174&lt;=0.4,"Medium (21-40%)","High (&gt;40%)"))))</f>
        <v/>
      </c>
      <c r="Y4174" s="23" t="str">
        <f aca="false">IF(AND(ISNUMBER(C4174),ISNUMBER(D4174)),D4174-C4174,"")</f>
        <v/>
      </c>
      <c r="Z4174" s="23" t="str">
        <f aca="false">IF(B4174="","",IF(MATCH(B4174,$B$2:$B$12000,0)=ROW()-1,1,0))</f>
        <v/>
      </c>
    </row>
    <row r="4175" customFormat="false" ht="15" hidden="false" customHeight="false" outlineLevel="0" collapsed="false">
      <c r="V4175" s="23" t="str">
        <f aca="false">IF(ISNUMBER(C4175),YEAR(C4175),"")</f>
        <v/>
      </c>
      <c r="W4175" s="23" t="str">
        <f aca="false">IF(ISNUMBER(C4175),MONTH(C4175),"")</f>
        <v/>
      </c>
      <c r="X4175" s="23" t="str">
        <f aca="false">IF(T4175="","",IF(T4175=0,"No discount",IF(T4175&lt;=0.2,"Low (1-20%)",IF(T4175&lt;=0.4,"Medium (21-40%)","High (&gt;40%)"))))</f>
        <v/>
      </c>
      <c r="Y4175" s="23" t="str">
        <f aca="false">IF(AND(ISNUMBER(C4175),ISNUMBER(D4175)),D4175-C4175,"")</f>
        <v/>
      </c>
      <c r="Z4175" s="23" t="str">
        <f aca="false">IF(B4175="","",IF(MATCH(B4175,$B$2:$B$12000,0)=ROW()-1,1,0))</f>
        <v/>
      </c>
    </row>
    <row r="4176" customFormat="false" ht="15" hidden="false" customHeight="false" outlineLevel="0" collapsed="false">
      <c r="V4176" s="23" t="str">
        <f aca="false">IF(ISNUMBER(C4176),YEAR(C4176),"")</f>
        <v/>
      </c>
      <c r="W4176" s="23" t="str">
        <f aca="false">IF(ISNUMBER(C4176),MONTH(C4176),"")</f>
        <v/>
      </c>
      <c r="X4176" s="23" t="str">
        <f aca="false">IF(T4176="","",IF(T4176=0,"No discount",IF(T4176&lt;=0.2,"Low (1-20%)",IF(T4176&lt;=0.4,"Medium (21-40%)","High (&gt;40%)"))))</f>
        <v/>
      </c>
      <c r="Y4176" s="23" t="str">
        <f aca="false">IF(AND(ISNUMBER(C4176),ISNUMBER(D4176)),D4176-C4176,"")</f>
        <v/>
      </c>
      <c r="Z4176" s="23" t="str">
        <f aca="false">IF(B4176="","",IF(MATCH(B4176,$B$2:$B$12000,0)=ROW()-1,1,0))</f>
        <v/>
      </c>
    </row>
    <row r="4177" customFormat="false" ht="15" hidden="false" customHeight="false" outlineLevel="0" collapsed="false">
      <c r="V4177" s="23" t="str">
        <f aca="false">IF(ISNUMBER(C4177),YEAR(C4177),"")</f>
        <v/>
      </c>
      <c r="W4177" s="23" t="str">
        <f aca="false">IF(ISNUMBER(C4177),MONTH(C4177),"")</f>
        <v/>
      </c>
      <c r="X4177" s="23" t="str">
        <f aca="false">IF(T4177="","",IF(T4177=0,"No discount",IF(T4177&lt;=0.2,"Low (1-20%)",IF(T4177&lt;=0.4,"Medium (21-40%)","High (&gt;40%)"))))</f>
        <v/>
      </c>
      <c r="Y4177" s="23" t="str">
        <f aca="false">IF(AND(ISNUMBER(C4177),ISNUMBER(D4177)),D4177-C4177,"")</f>
        <v/>
      </c>
      <c r="Z4177" s="23" t="str">
        <f aca="false">IF(B4177="","",IF(MATCH(B4177,$B$2:$B$12000,0)=ROW()-1,1,0))</f>
        <v/>
      </c>
    </row>
    <row r="4178" customFormat="false" ht="15" hidden="false" customHeight="false" outlineLevel="0" collapsed="false">
      <c r="V4178" s="23" t="str">
        <f aca="false">IF(ISNUMBER(C4178),YEAR(C4178),"")</f>
        <v/>
      </c>
      <c r="W4178" s="23" t="str">
        <f aca="false">IF(ISNUMBER(C4178),MONTH(C4178),"")</f>
        <v/>
      </c>
      <c r="X4178" s="23" t="str">
        <f aca="false">IF(T4178="","",IF(T4178=0,"No discount",IF(T4178&lt;=0.2,"Low (1-20%)",IF(T4178&lt;=0.4,"Medium (21-40%)","High (&gt;40%)"))))</f>
        <v/>
      </c>
      <c r="Y4178" s="23" t="str">
        <f aca="false">IF(AND(ISNUMBER(C4178),ISNUMBER(D4178)),D4178-C4178,"")</f>
        <v/>
      </c>
      <c r="Z4178" s="23" t="str">
        <f aca="false">IF(B4178="","",IF(MATCH(B4178,$B$2:$B$12000,0)=ROW()-1,1,0))</f>
        <v/>
      </c>
    </row>
    <row r="4179" customFormat="false" ht="15" hidden="false" customHeight="false" outlineLevel="0" collapsed="false">
      <c r="V4179" s="23" t="str">
        <f aca="false">IF(ISNUMBER(C4179),YEAR(C4179),"")</f>
        <v/>
      </c>
      <c r="W4179" s="23" t="str">
        <f aca="false">IF(ISNUMBER(C4179),MONTH(C4179),"")</f>
        <v/>
      </c>
      <c r="X4179" s="23" t="str">
        <f aca="false">IF(T4179="","",IF(T4179=0,"No discount",IF(T4179&lt;=0.2,"Low (1-20%)",IF(T4179&lt;=0.4,"Medium (21-40%)","High (&gt;40%)"))))</f>
        <v/>
      </c>
      <c r="Y4179" s="23" t="str">
        <f aca="false">IF(AND(ISNUMBER(C4179),ISNUMBER(D4179)),D4179-C4179,"")</f>
        <v/>
      </c>
      <c r="Z4179" s="23" t="str">
        <f aca="false">IF(B4179="","",IF(MATCH(B4179,$B$2:$B$12000,0)=ROW()-1,1,0))</f>
        <v/>
      </c>
    </row>
    <row r="4180" customFormat="false" ht="15" hidden="false" customHeight="false" outlineLevel="0" collapsed="false">
      <c r="V4180" s="23" t="str">
        <f aca="false">IF(ISNUMBER(C4180),YEAR(C4180),"")</f>
        <v/>
      </c>
      <c r="W4180" s="23" t="str">
        <f aca="false">IF(ISNUMBER(C4180),MONTH(C4180),"")</f>
        <v/>
      </c>
      <c r="X4180" s="23" t="str">
        <f aca="false">IF(T4180="","",IF(T4180=0,"No discount",IF(T4180&lt;=0.2,"Low (1-20%)",IF(T4180&lt;=0.4,"Medium (21-40%)","High (&gt;40%)"))))</f>
        <v/>
      </c>
      <c r="Y4180" s="23" t="str">
        <f aca="false">IF(AND(ISNUMBER(C4180),ISNUMBER(D4180)),D4180-C4180,"")</f>
        <v/>
      </c>
      <c r="Z4180" s="23" t="str">
        <f aca="false">IF(B4180="","",IF(MATCH(B4180,$B$2:$B$12000,0)=ROW()-1,1,0))</f>
        <v/>
      </c>
    </row>
    <row r="4181" customFormat="false" ht="15" hidden="false" customHeight="false" outlineLevel="0" collapsed="false">
      <c r="V4181" s="23" t="str">
        <f aca="false">IF(ISNUMBER(C4181),YEAR(C4181),"")</f>
        <v/>
      </c>
      <c r="W4181" s="23" t="str">
        <f aca="false">IF(ISNUMBER(C4181),MONTH(C4181),"")</f>
        <v/>
      </c>
      <c r="X4181" s="23" t="str">
        <f aca="false">IF(T4181="","",IF(T4181=0,"No discount",IF(T4181&lt;=0.2,"Low (1-20%)",IF(T4181&lt;=0.4,"Medium (21-40%)","High (&gt;40%)"))))</f>
        <v/>
      </c>
      <c r="Y4181" s="23" t="str">
        <f aca="false">IF(AND(ISNUMBER(C4181),ISNUMBER(D4181)),D4181-C4181,"")</f>
        <v/>
      </c>
      <c r="Z4181" s="23" t="str">
        <f aca="false">IF(B4181="","",IF(MATCH(B4181,$B$2:$B$12000,0)=ROW()-1,1,0))</f>
        <v/>
      </c>
    </row>
    <row r="4182" customFormat="false" ht="15" hidden="false" customHeight="false" outlineLevel="0" collapsed="false">
      <c r="V4182" s="23" t="str">
        <f aca="false">IF(ISNUMBER(C4182),YEAR(C4182),"")</f>
        <v/>
      </c>
      <c r="W4182" s="23" t="str">
        <f aca="false">IF(ISNUMBER(C4182),MONTH(C4182),"")</f>
        <v/>
      </c>
      <c r="X4182" s="23" t="str">
        <f aca="false">IF(T4182="","",IF(T4182=0,"No discount",IF(T4182&lt;=0.2,"Low (1-20%)",IF(T4182&lt;=0.4,"Medium (21-40%)","High (&gt;40%)"))))</f>
        <v/>
      </c>
      <c r="Y4182" s="23" t="str">
        <f aca="false">IF(AND(ISNUMBER(C4182),ISNUMBER(D4182)),D4182-C4182,"")</f>
        <v/>
      </c>
      <c r="Z4182" s="23" t="str">
        <f aca="false">IF(B4182="","",IF(MATCH(B4182,$B$2:$B$12000,0)=ROW()-1,1,0))</f>
        <v/>
      </c>
    </row>
    <row r="4183" customFormat="false" ht="15" hidden="false" customHeight="false" outlineLevel="0" collapsed="false">
      <c r="V4183" s="23" t="str">
        <f aca="false">IF(ISNUMBER(C4183),YEAR(C4183),"")</f>
        <v/>
      </c>
      <c r="W4183" s="23" t="str">
        <f aca="false">IF(ISNUMBER(C4183),MONTH(C4183),"")</f>
        <v/>
      </c>
      <c r="X4183" s="23" t="str">
        <f aca="false">IF(T4183="","",IF(T4183=0,"No discount",IF(T4183&lt;=0.2,"Low (1-20%)",IF(T4183&lt;=0.4,"Medium (21-40%)","High (&gt;40%)"))))</f>
        <v/>
      </c>
      <c r="Y4183" s="23" t="str">
        <f aca="false">IF(AND(ISNUMBER(C4183),ISNUMBER(D4183)),D4183-C4183,"")</f>
        <v/>
      </c>
      <c r="Z4183" s="23" t="str">
        <f aca="false">IF(B4183="","",IF(MATCH(B4183,$B$2:$B$12000,0)=ROW()-1,1,0))</f>
        <v/>
      </c>
    </row>
    <row r="4184" customFormat="false" ht="15" hidden="false" customHeight="false" outlineLevel="0" collapsed="false">
      <c r="V4184" s="23" t="str">
        <f aca="false">IF(ISNUMBER(C4184),YEAR(C4184),"")</f>
        <v/>
      </c>
      <c r="W4184" s="23" t="str">
        <f aca="false">IF(ISNUMBER(C4184),MONTH(C4184),"")</f>
        <v/>
      </c>
      <c r="X4184" s="23" t="str">
        <f aca="false">IF(T4184="","",IF(T4184=0,"No discount",IF(T4184&lt;=0.2,"Low (1-20%)",IF(T4184&lt;=0.4,"Medium (21-40%)","High (&gt;40%)"))))</f>
        <v/>
      </c>
      <c r="Y4184" s="23" t="str">
        <f aca="false">IF(AND(ISNUMBER(C4184),ISNUMBER(D4184)),D4184-C4184,"")</f>
        <v/>
      </c>
      <c r="Z4184" s="23" t="str">
        <f aca="false">IF(B4184="","",IF(MATCH(B4184,$B$2:$B$12000,0)=ROW()-1,1,0))</f>
        <v/>
      </c>
    </row>
    <row r="4185" customFormat="false" ht="15" hidden="false" customHeight="false" outlineLevel="0" collapsed="false">
      <c r="V4185" s="23" t="str">
        <f aca="false">IF(ISNUMBER(C4185),YEAR(C4185),"")</f>
        <v/>
      </c>
      <c r="W4185" s="23" t="str">
        <f aca="false">IF(ISNUMBER(C4185),MONTH(C4185),"")</f>
        <v/>
      </c>
      <c r="X4185" s="23" t="str">
        <f aca="false">IF(T4185="","",IF(T4185=0,"No discount",IF(T4185&lt;=0.2,"Low (1-20%)",IF(T4185&lt;=0.4,"Medium (21-40%)","High (&gt;40%)"))))</f>
        <v/>
      </c>
      <c r="Y4185" s="23" t="str">
        <f aca="false">IF(AND(ISNUMBER(C4185),ISNUMBER(D4185)),D4185-C4185,"")</f>
        <v/>
      </c>
      <c r="Z4185" s="23" t="str">
        <f aca="false">IF(B4185="","",IF(MATCH(B4185,$B$2:$B$12000,0)=ROW()-1,1,0))</f>
        <v/>
      </c>
    </row>
    <row r="4186" customFormat="false" ht="15" hidden="false" customHeight="false" outlineLevel="0" collapsed="false">
      <c r="V4186" s="23" t="str">
        <f aca="false">IF(ISNUMBER(C4186),YEAR(C4186),"")</f>
        <v/>
      </c>
      <c r="W4186" s="23" t="str">
        <f aca="false">IF(ISNUMBER(C4186),MONTH(C4186),"")</f>
        <v/>
      </c>
      <c r="X4186" s="23" t="str">
        <f aca="false">IF(T4186="","",IF(T4186=0,"No discount",IF(T4186&lt;=0.2,"Low (1-20%)",IF(T4186&lt;=0.4,"Medium (21-40%)","High (&gt;40%)"))))</f>
        <v/>
      </c>
      <c r="Y4186" s="23" t="str">
        <f aca="false">IF(AND(ISNUMBER(C4186),ISNUMBER(D4186)),D4186-C4186,"")</f>
        <v/>
      </c>
      <c r="Z4186" s="23" t="str">
        <f aca="false">IF(B4186="","",IF(MATCH(B4186,$B$2:$B$12000,0)=ROW()-1,1,0))</f>
        <v/>
      </c>
    </row>
    <row r="4187" customFormat="false" ht="15" hidden="false" customHeight="false" outlineLevel="0" collapsed="false">
      <c r="V4187" s="23" t="str">
        <f aca="false">IF(ISNUMBER(C4187),YEAR(C4187),"")</f>
        <v/>
      </c>
      <c r="W4187" s="23" t="str">
        <f aca="false">IF(ISNUMBER(C4187),MONTH(C4187),"")</f>
        <v/>
      </c>
      <c r="X4187" s="23" t="str">
        <f aca="false">IF(T4187="","",IF(T4187=0,"No discount",IF(T4187&lt;=0.2,"Low (1-20%)",IF(T4187&lt;=0.4,"Medium (21-40%)","High (&gt;40%)"))))</f>
        <v/>
      </c>
      <c r="Y4187" s="23" t="str">
        <f aca="false">IF(AND(ISNUMBER(C4187),ISNUMBER(D4187)),D4187-C4187,"")</f>
        <v/>
      </c>
      <c r="Z4187" s="23" t="str">
        <f aca="false">IF(B4187="","",IF(MATCH(B4187,$B$2:$B$12000,0)=ROW()-1,1,0))</f>
        <v/>
      </c>
    </row>
    <row r="4188" customFormat="false" ht="15" hidden="false" customHeight="false" outlineLevel="0" collapsed="false">
      <c r="V4188" s="23" t="str">
        <f aca="false">IF(ISNUMBER(C4188),YEAR(C4188),"")</f>
        <v/>
      </c>
      <c r="W4188" s="23" t="str">
        <f aca="false">IF(ISNUMBER(C4188),MONTH(C4188),"")</f>
        <v/>
      </c>
      <c r="X4188" s="23" t="str">
        <f aca="false">IF(T4188="","",IF(T4188=0,"No discount",IF(T4188&lt;=0.2,"Low (1-20%)",IF(T4188&lt;=0.4,"Medium (21-40%)","High (&gt;40%)"))))</f>
        <v/>
      </c>
      <c r="Y4188" s="23" t="str">
        <f aca="false">IF(AND(ISNUMBER(C4188),ISNUMBER(D4188)),D4188-C4188,"")</f>
        <v/>
      </c>
      <c r="Z4188" s="23" t="str">
        <f aca="false">IF(B4188="","",IF(MATCH(B4188,$B$2:$B$12000,0)=ROW()-1,1,0))</f>
        <v/>
      </c>
    </row>
    <row r="4189" customFormat="false" ht="15" hidden="false" customHeight="false" outlineLevel="0" collapsed="false">
      <c r="V4189" s="23" t="str">
        <f aca="false">IF(ISNUMBER(C4189),YEAR(C4189),"")</f>
        <v/>
      </c>
      <c r="W4189" s="23" t="str">
        <f aca="false">IF(ISNUMBER(C4189),MONTH(C4189),"")</f>
        <v/>
      </c>
      <c r="X4189" s="23" t="str">
        <f aca="false">IF(T4189="","",IF(T4189=0,"No discount",IF(T4189&lt;=0.2,"Low (1-20%)",IF(T4189&lt;=0.4,"Medium (21-40%)","High (&gt;40%)"))))</f>
        <v/>
      </c>
      <c r="Y4189" s="23" t="str">
        <f aca="false">IF(AND(ISNUMBER(C4189),ISNUMBER(D4189)),D4189-C4189,"")</f>
        <v/>
      </c>
      <c r="Z4189" s="23" t="str">
        <f aca="false">IF(B4189="","",IF(MATCH(B4189,$B$2:$B$12000,0)=ROW()-1,1,0))</f>
        <v/>
      </c>
    </row>
    <row r="4190" customFormat="false" ht="15" hidden="false" customHeight="false" outlineLevel="0" collapsed="false">
      <c r="V4190" s="23" t="str">
        <f aca="false">IF(ISNUMBER(C4190),YEAR(C4190),"")</f>
        <v/>
      </c>
      <c r="W4190" s="23" t="str">
        <f aca="false">IF(ISNUMBER(C4190),MONTH(C4190),"")</f>
        <v/>
      </c>
      <c r="X4190" s="23" t="str">
        <f aca="false">IF(T4190="","",IF(T4190=0,"No discount",IF(T4190&lt;=0.2,"Low (1-20%)",IF(T4190&lt;=0.4,"Medium (21-40%)","High (&gt;40%)"))))</f>
        <v/>
      </c>
      <c r="Y4190" s="23" t="str">
        <f aca="false">IF(AND(ISNUMBER(C4190),ISNUMBER(D4190)),D4190-C4190,"")</f>
        <v/>
      </c>
      <c r="Z4190" s="23" t="str">
        <f aca="false">IF(B4190="","",IF(MATCH(B4190,$B$2:$B$12000,0)=ROW()-1,1,0))</f>
        <v/>
      </c>
    </row>
    <row r="4191" customFormat="false" ht="15" hidden="false" customHeight="false" outlineLevel="0" collapsed="false">
      <c r="V4191" s="23" t="str">
        <f aca="false">IF(ISNUMBER(C4191),YEAR(C4191),"")</f>
        <v/>
      </c>
      <c r="W4191" s="23" t="str">
        <f aca="false">IF(ISNUMBER(C4191),MONTH(C4191),"")</f>
        <v/>
      </c>
      <c r="X4191" s="23" t="str">
        <f aca="false">IF(T4191="","",IF(T4191=0,"No discount",IF(T4191&lt;=0.2,"Low (1-20%)",IF(T4191&lt;=0.4,"Medium (21-40%)","High (&gt;40%)"))))</f>
        <v/>
      </c>
      <c r="Y4191" s="23" t="str">
        <f aca="false">IF(AND(ISNUMBER(C4191),ISNUMBER(D4191)),D4191-C4191,"")</f>
        <v/>
      </c>
      <c r="Z4191" s="23" t="str">
        <f aca="false">IF(B4191="","",IF(MATCH(B4191,$B$2:$B$12000,0)=ROW()-1,1,0))</f>
        <v/>
      </c>
    </row>
    <row r="4192" customFormat="false" ht="15" hidden="false" customHeight="false" outlineLevel="0" collapsed="false">
      <c r="V4192" s="23" t="str">
        <f aca="false">IF(ISNUMBER(C4192),YEAR(C4192),"")</f>
        <v/>
      </c>
      <c r="W4192" s="23" t="str">
        <f aca="false">IF(ISNUMBER(C4192),MONTH(C4192),"")</f>
        <v/>
      </c>
      <c r="X4192" s="23" t="str">
        <f aca="false">IF(T4192="","",IF(T4192=0,"No discount",IF(T4192&lt;=0.2,"Low (1-20%)",IF(T4192&lt;=0.4,"Medium (21-40%)","High (&gt;40%)"))))</f>
        <v/>
      </c>
      <c r="Y4192" s="23" t="str">
        <f aca="false">IF(AND(ISNUMBER(C4192),ISNUMBER(D4192)),D4192-C4192,"")</f>
        <v/>
      </c>
      <c r="Z4192" s="23" t="str">
        <f aca="false">IF(B4192="","",IF(MATCH(B4192,$B$2:$B$12000,0)=ROW()-1,1,0))</f>
        <v/>
      </c>
    </row>
    <row r="4193" customFormat="false" ht="15" hidden="false" customHeight="false" outlineLevel="0" collapsed="false">
      <c r="V4193" s="23" t="str">
        <f aca="false">IF(ISNUMBER(C4193),YEAR(C4193),"")</f>
        <v/>
      </c>
      <c r="W4193" s="23" t="str">
        <f aca="false">IF(ISNUMBER(C4193),MONTH(C4193),"")</f>
        <v/>
      </c>
      <c r="X4193" s="23" t="str">
        <f aca="false">IF(T4193="","",IF(T4193=0,"No discount",IF(T4193&lt;=0.2,"Low (1-20%)",IF(T4193&lt;=0.4,"Medium (21-40%)","High (&gt;40%)"))))</f>
        <v/>
      </c>
      <c r="Y4193" s="23" t="str">
        <f aca="false">IF(AND(ISNUMBER(C4193),ISNUMBER(D4193)),D4193-C4193,"")</f>
        <v/>
      </c>
      <c r="Z4193" s="23" t="str">
        <f aca="false">IF(B4193="","",IF(MATCH(B4193,$B$2:$B$12000,0)=ROW()-1,1,0))</f>
        <v/>
      </c>
    </row>
    <row r="4194" customFormat="false" ht="15" hidden="false" customHeight="false" outlineLevel="0" collapsed="false">
      <c r="V4194" s="23" t="str">
        <f aca="false">IF(ISNUMBER(C4194),YEAR(C4194),"")</f>
        <v/>
      </c>
      <c r="W4194" s="23" t="str">
        <f aca="false">IF(ISNUMBER(C4194),MONTH(C4194),"")</f>
        <v/>
      </c>
      <c r="X4194" s="23" t="str">
        <f aca="false">IF(T4194="","",IF(T4194=0,"No discount",IF(T4194&lt;=0.2,"Low (1-20%)",IF(T4194&lt;=0.4,"Medium (21-40%)","High (&gt;40%)"))))</f>
        <v/>
      </c>
      <c r="Y4194" s="23" t="str">
        <f aca="false">IF(AND(ISNUMBER(C4194),ISNUMBER(D4194)),D4194-C4194,"")</f>
        <v/>
      </c>
      <c r="Z4194" s="23" t="str">
        <f aca="false">IF(B4194="","",IF(MATCH(B4194,$B$2:$B$12000,0)=ROW()-1,1,0))</f>
        <v/>
      </c>
    </row>
    <row r="4195" customFormat="false" ht="15" hidden="false" customHeight="false" outlineLevel="0" collapsed="false">
      <c r="V4195" s="23" t="str">
        <f aca="false">IF(ISNUMBER(C4195),YEAR(C4195),"")</f>
        <v/>
      </c>
      <c r="W4195" s="23" t="str">
        <f aca="false">IF(ISNUMBER(C4195),MONTH(C4195),"")</f>
        <v/>
      </c>
      <c r="X4195" s="23" t="str">
        <f aca="false">IF(T4195="","",IF(T4195=0,"No discount",IF(T4195&lt;=0.2,"Low (1-20%)",IF(T4195&lt;=0.4,"Medium (21-40%)","High (&gt;40%)"))))</f>
        <v/>
      </c>
      <c r="Y4195" s="23" t="str">
        <f aca="false">IF(AND(ISNUMBER(C4195),ISNUMBER(D4195)),D4195-C4195,"")</f>
        <v/>
      </c>
      <c r="Z4195" s="23" t="str">
        <f aca="false">IF(B4195="","",IF(MATCH(B4195,$B$2:$B$12000,0)=ROW()-1,1,0))</f>
        <v/>
      </c>
    </row>
    <row r="4196" customFormat="false" ht="15" hidden="false" customHeight="false" outlineLevel="0" collapsed="false">
      <c r="V4196" s="23" t="str">
        <f aca="false">IF(ISNUMBER(C4196),YEAR(C4196),"")</f>
        <v/>
      </c>
      <c r="W4196" s="23" t="str">
        <f aca="false">IF(ISNUMBER(C4196),MONTH(C4196),"")</f>
        <v/>
      </c>
      <c r="X4196" s="23" t="str">
        <f aca="false">IF(T4196="","",IF(T4196=0,"No discount",IF(T4196&lt;=0.2,"Low (1-20%)",IF(T4196&lt;=0.4,"Medium (21-40%)","High (&gt;40%)"))))</f>
        <v/>
      </c>
      <c r="Y4196" s="23" t="str">
        <f aca="false">IF(AND(ISNUMBER(C4196),ISNUMBER(D4196)),D4196-C4196,"")</f>
        <v/>
      </c>
      <c r="Z4196" s="23" t="str">
        <f aca="false">IF(B4196="","",IF(MATCH(B4196,$B$2:$B$12000,0)=ROW()-1,1,0))</f>
        <v/>
      </c>
    </row>
    <row r="4197" customFormat="false" ht="15" hidden="false" customHeight="false" outlineLevel="0" collapsed="false">
      <c r="V4197" s="23" t="str">
        <f aca="false">IF(ISNUMBER(C4197),YEAR(C4197),"")</f>
        <v/>
      </c>
      <c r="W4197" s="23" t="str">
        <f aca="false">IF(ISNUMBER(C4197),MONTH(C4197),"")</f>
        <v/>
      </c>
      <c r="X4197" s="23" t="str">
        <f aca="false">IF(T4197="","",IF(T4197=0,"No discount",IF(T4197&lt;=0.2,"Low (1-20%)",IF(T4197&lt;=0.4,"Medium (21-40%)","High (&gt;40%)"))))</f>
        <v/>
      </c>
      <c r="Y4197" s="23" t="str">
        <f aca="false">IF(AND(ISNUMBER(C4197),ISNUMBER(D4197)),D4197-C4197,"")</f>
        <v/>
      </c>
      <c r="Z4197" s="23" t="str">
        <f aca="false">IF(B4197="","",IF(MATCH(B4197,$B$2:$B$12000,0)=ROW()-1,1,0))</f>
        <v/>
      </c>
    </row>
    <row r="4198" customFormat="false" ht="15" hidden="false" customHeight="false" outlineLevel="0" collapsed="false">
      <c r="V4198" s="23" t="str">
        <f aca="false">IF(ISNUMBER(C4198),YEAR(C4198),"")</f>
        <v/>
      </c>
      <c r="W4198" s="23" t="str">
        <f aca="false">IF(ISNUMBER(C4198),MONTH(C4198),"")</f>
        <v/>
      </c>
      <c r="X4198" s="23" t="str">
        <f aca="false">IF(T4198="","",IF(T4198=0,"No discount",IF(T4198&lt;=0.2,"Low (1-20%)",IF(T4198&lt;=0.4,"Medium (21-40%)","High (&gt;40%)"))))</f>
        <v/>
      </c>
      <c r="Y4198" s="23" t="str">
        <f aca="false">IF(AND(ISNUMBER(C4198),ISNUMBER(D4198)),D4198-C4198,"")</f>
        <v/>
      </c>
      <c r="Z4198" s="23" t="str">
        <f aca="false">IF(B4198="","",IF(MATCH(B4198,$B$2:$B$12000,0)=ROW()-1,1,0))</f>
        <v/>
      </c>
    </row>
    <row r="4199" customFormat="false" ht="15" hidden="false" customHeight="false" outlineLevel="0" collapsed="false">
      <c r="V4199" s="23" t="str">
        <f aca="false">IF(ISNUMBER(C4199),YEAR(C4199),"")</f>
        <v/>
      </c>
      <c r="W4199" s="23" t="str">
        <f aca="false">IF(ISNUMBER(C4199),MONTH(C4199),"")</f>
        <v/>
      </c>
      <c r="X4199" s="23" t="str">
        <f aca="false">IF(T4199="","",IF(T4199=0,"No discount",IF(T4199&lt;=0.2,"Low (1-20%)",IF(T4199&lt;=0.4,"Medium (21-40%)","High (&gt;40%)"))))</f>
        <v/>
      </c>
      <c r="Y4199" s="23" t="str">
        <f aca="false">IF(AND(ISNUMBER(C4199),ISNUMBER(D4199)),D4199-C4199,"")</f>
        <v/>
      </c>
      <c r="Z4199" s="23" t="str">
        <f aca="false">IF(B4199="","",IF(MATCH(B4199,$B$2:$B$12000,0)=ROW()-1,1,0))</f>
        <v/>
      </c>
    </row>
    <row r="4200" customFormat="false" ht="15" hidden="false" customHeight="false" outlineLevel="0" collapsed="false">
      <c r="V4200" s="23" t="str">
        <f aca="false">IF(ISNUMBER(C4200),YEAR(C4200),"")</f>
        <v/>
      </c>
      <c r="W4200" s="23" t="str">
        <f aca="false">IF(ISNUMBER(C4200),MONTH(C4200),"")</f>
        <v/>
      </c>
      <c r="X4200" s="23" t="str">
        <f aca="false">IF(T4200="","",IF(T4200=0,"No discount",IF(T4200&lt;=0.2,"Low (1-20%)",IF(T4200&lt;=0.4,"Medium (21-40%)","High (&gt;40%)"))))</f>
        <v/>
      </c>
      <c r="Y4200" s="23" t="str">
        <f aca="false">IF(AND(ISNUMBER(C4200),ISNUMBER(D4200)),D4200-C4200,"")</f>
        <v/>
      </c>
      <c r="Z4200" s="23" t="str">
        <f aca="false">IF(B4200="","",IF(MATCH(B4200,$B$2:$B$12000,0)=ROW()-1,1,0))</f>
        <v/>
      </c>
    </row>
    <row r="4201" customFormat="false" ht="15" hidden="false" customHeight="false" outlineLevel="0" collapsed="false">
      <c r="V4201" s="23" t="str">
        <f aca="false">IF(ISNUMBER(C4201),YEAR(C4201),"")</f>
        <v/>
      </c>
      <c r="W4201" s="23" t="str">
        <f aca="false">IF(ISNUMBER(C4201),MONTH(C4201),"")</f>
        <v/>
      </c>
      <c r="X4201" s="23" t="str">
        <f aca="false">IF(T4201="","",IF(T4201=0,"No discount",IF(T4201&lt;=0.2,"Low (1-20%)",IF(T4201&lt;=0.4,"Medium (21-40%)","High (&gt;40%)"))))</f>
        <v/>
      </c>
      <c r="Y4201" s="23" t="str">
        <f aca="false">IF(AND(ISNUMBER(C4201),ISNUMBER(D4201)),D4201-C4201,"")</f>
        <v/>
      </c>
      <c r="Z4201" s="23" t="str">
        <f aca="false">IF(B4201="","",IF(MATCH(B4201,$B$2:$B$12000,0)=ROW()-1,1,0))</f>
        <v/>
      </c>
    </row>
    <row r="4202" customFormat="false" ht="15" hidden="false" customHeight="false" outlineLevel="0" collapsed="false">
      <c r="V4202" s="23" t="str">
        <f aca="false">IF(ISNUMBER(C4202),YEAR(C4202),"")</f>
        <v/>
      </c>
      <c r="W4202" s="23" t="str">
        <f aca="false">IF(ISNUMBER(C4202),MONTH(C4202),"")</f>
        <v/>
      </c>
      <c r="X4202" s="23" t="str">
        <f aca="false">IF(T4202="","",IF(T4202=0,"No discount",IF(T4202&lt;=0.2,"Low (1-20%)",IF(T4202&lt;=0.4,"Medium (21-40%)","High (&gt;40%)"))))</f>
        <v/>
      </c>
      <c r="Y4202" s="23" t="str">
        <f aca="false">IF(AND(ISNUMBER(C4202),ISNUMBER(D4202)),D4202-C4202,"")</f>
        <v/>
      </c>
      <c r="Z4202" s="23" t="str">
        <f aca="false">IF(B4202="","",IF(MATCH(B4202,$B$2:$B$12000,0)=ROW()-1,1,0))</f>
        <v/>
      </c>
    </row>
    <row r="4203" customFormat="false" ht="15" hidden="false" customHeight="false" outlineLevel="0" collapsed="false">
      <c r="V4203" s="23" t="str">
        <f aca="false">IF(ISNUMBER(C4203),YEAR(C4203),"")</f>
        <v/>
      </c>
      <c r="W4203" s="23" t="str">
        <f aca="false">IF(ISNUMBER(C4203),MONTH(C4203),"")</f>
        <v/>
      </c>
      <c r="X4203" s="23" t="str">
        <f aca="false">IF(T4203="","",IF(T4203=0,"No discount",IF(T4203&lt;=0.2,"Low (1-20%)",IF(T4203&lt;=0.4,"Medium (21-40%)","High (&gt;40%)"))))</f>
        <v/>
      </c>
      <c r="Y4203" s="23" t="str">
        <f aca="false">IF(AND(ISNUMBER(C4203),ISNUMBER(D4203)),D4203-C4203,"")</f>
        <v/>
      </c>
      <c r="Z4203" s="23" t="str">
        <f aca="false">IF(B4203="","",IF(MATCH(B4203,$B$2:$B$12000,0)=ROW()-1,1,0))</f>
        <v/>
      </c>
    </row>
    <row r="4204" customFormat="false" ht="15" hidden="false" customHeight="false" outlineLevel="0" collapsed="false">
      <c r="V4204" s="23" t="str">
        <f aca="false">IF(ISNUMBER(C4204),YEAR(C4204),"")</f>
        <v/>
      </c>
      <c r="W4204" s="23" t="str">
        <f aca="false">IF(ISNUMBER(C4204),MONTH(C4204),"")</f>
        <v/>
      </c>
      <c r="X4204" s="23" t="str">
        <f aca="false">IF(T4204="","",IF(T4204=0,"No discount",IF(T4204&lt;=0.2,"Low (1-20%)",IF(T4204&lt;=0.4,"Medium (21-40%)","High (&gt;40%)"))))</f>
        <v/>
      </c>
      <c r="Y4204" s="23" t="str">
        <f aca="false">IF(AND(ISNUMBER(C4204),ISNUMBER(D4204)),D4204-C4204,"")</f>
        <v/>
      </c>
      <c r="Z4204" s="23" t="str">
        <f aca="false">IF(B4204="","",IF(MATCH(B4204,$B$2:$B$12000,0)=ROW()-1,1,0))</f>
        <v/>
      </c>
    </row>
    <row r="4205" customFormat="false" ht="15" hidden="false" customHeight="false" outlineLevel="0" collapsed="false">
      <c r="V4205" s="23" t="str">
        <f aca="false">IF(ISNUMBER(C4205),YEAR(C4205),"")</f>
        <v/>
      </c>
      <c r="W4205" s="23" t="str">
        <f aca="false">IF(ISNUMBER(C4205),MONTH(C4205),"")</f>
        <v/>
      </c>
      <c r="X4205" s="23" t="str">
        <f aca="false">IF(T4205="","",IF(T4205=0,"No discount",IF(T4205&lt;=0.2,"Low (1-20%)",IF(T4205&lt;=0.4,"Medium (21-40%)","High (&gt;40%)"))))</f>
        <v/>
      </c>
      <c r="Y4205" s="23" t="str">
        <f aca="false">IF(AND(ISNUMBER(C4205),ISNUMBER(D4205)),D4205-C4205,"")</f>
        <v/>
      </c>
      <c r="Z4205" s="23" t="str">
        <f aca="false">IF(B4205="","",IF(MATCH(B4205,$B$2:$B$12000,0)=ROW()-1,1,0))</f>
        <v/>
      </c>
    </row>
    <row r="4206" customFormat="false" ht="15" hidden="false" customHeight="false" outlineLevel="0" collapsed="false">
      <c r="V4206" s="23" t="str">
        <f aca="false">IF(ISNUMBER(C4206),YEAR(C4206),"")</f>
        <v/>
      </c>
      <c r="W4206" s="23" t="str">
        <f aca="false">IF(ISNUMBER(C4206),MONTH(C4206),"")</f>
        <v/>
      </c>
      <c r="X4206" s="23" t="str">
        <f aca="false">IF(T4206="","",IF(T4206=0,"No discount",IF(T4206&lt;=0.2,"Low (1-20%)",IF(T4206&lt;=0.4,"Medium (21-40%)","High (&gt;40%)"))))</f>
        <v/>
      </c>
      <c r="Y4206" s="23" t="str">
        <f aca="false">IF(AND(ISNUMBER(C4206),ISNUMBER(D4206)),D4206-C4206,"")</f>
        <v/>
      </c>
      <c r="Z4206" s="23" t="str">
        <f aca="false">IF(B4206="","",IF(MATCH(B4206,$B$2:$B$12000,0)=ROW()-1,1,0))</f>
        <v/>
      </c>
    </row>
    <row r="4207" customFormat="false" ht="15" hidden="false" customHeight="false" outlineLevel="0" collapsed="false">
      <c r="V4207" s="23" t="str">
        <f aca="false">IF(ISNUMBER(C4207),YEAR(C4207),"")</f>
        <v/>
      </c>
      <c r="W4207" s="23" t="str">
        <f aca="false">IF(ISNUMBER(C4207),MONTH(C4207),"")</f>
        <v/>
      </c>
      <c r="X4207" s="23" t="str">
        <f aca="false">IF(T4207="","",IF(T4207=0,"No discount",IF(T4207&lt;=0.2,"Low (1-20%)",IF(T4207&lt;=0.4,"Medium (21-40%)","High (&gt;40%)"))))</f>
        <v/>
      </c>
      <c r="Y4207" s="23" t="str">
        <f aca="false">IF(AND(ISNUMBER(C4207),ISNUMBER(D4207)),D4207-C4207,"")</f>
        <v/>
      </c>
      <c r="Z4207" s="23" t="str">
        <f aca="false">IF(B4207="","",IF(MATCH(B4207,$B$2:$B$12000,0)=ROW()-1,1,0))</f>
        <v/>
      </c>
    </row>
    <row r="4208" customFormat="false" ht="15" hidden="false" customHeight="false" outlineLevel="0" collapsed="false">
      <c r="V4208" s="23" t="str">
        <f aca="false">IF(ISNUMBER(C4208),YEAR(C4208),"")</f>
        <v/>
      </c>
      <c r="W4208" s="23" t="str">
        <f aca="false">IF(ISNUMBER(C4208),MONTH(C4208),"")</f>
        <v/>
      </c>
      <c r="X4208" s="23" t="str">
        <f aca="false">IF(T4208="","",IF(T4208=0,"No discount",IF(T4208&lt;=0.2,"Low (1-20%)",IF(T4208&lt;=0.4,"Medium (21-40%)","High (&gt;40%)"))))</f>
        <v/>
      </c>
      <c r="Y4208" s="23" t="str">
        <f aca="false">IF(AND(ISNUMBER(C4208),ISNUMBER(D4208)),D4208-C4208,"")</f>
        <v/>
      </c>
      <c r="Z4208" s="23" t="str">
        <f aca="false">IF(B4208="","",IF(MATCH(B4208,$B$2:$B$12000,0)=ROW()-1,1,0))</f>
        <v/>
      </c>
    </row>
    <row r="4209" customFormat="false" ht="15" hidden="false" customHeight="false" outlineLevel="0" collapsed="false">
      <c r="V4209" s="23" t="str">
        <f aca="false">IF(ISNUMBER(C4209),YEAR(C4209),"")</f>
        <v/>
      </c>
      <c r="W4209" s="23" t="str">
        <f aca="false">IF(ISNUMBER(C4209),MONTH(C4209),"")</f>
        <v/>
      </c>
      <c r="X4209" s="23" t="str">
        <f aca="false">IF(T4209="","",IF(T4209=0,"No discount",IF(T4209&lt;=0.2,"Low (1-20%)",IF(T4209&lt;=0.4,"Medium (21-40%)","High (&gt;40%)"))))</f>
        <v/>
      </c>
      <c r="Y4209" s="23" t="str">
        <f aca="false">IF(AND(ISNUMBER(C4209),ISNUMBER(D4209)),D4209-C4209,"")</f>
        <v/>
      </c>
      <c r="Z4209" s="23" t="str">
        <f aca="false">IF(B4209="","",IF(MATCH(B4209,$B$2:$B$12000,0)=ROW()-1,1,0))</f>
        <v/>
      </c>
    </row>
    <row r="4210" customFormat="false" ht="15" hidden="false" customHeight="false" outlineLevel="0" collapsed="false">
      <c r="V4210" s="23" t="str">
        <f aca="false">IF(ISNUMBER(C4210),YEAR(C4210),"")</f>
        <v/>
      </c>
      <c r="W4210" s="23" t="str">
        <f aca="false">IF(ISNUMBER(C4210),MONTH(C4210),"")</f>
        <v/>
      </c>
      <c r="X4210" s="23" t="str">
        <f aca="false">IF(T4210="","",IF(T4210=0,"No discount",IF(T4210&lt;=0.2,"Low (1-20%)",IF(T4210&lt;=0.4,"Medium (21-40%)","High (&gt;40%)"))))</f>
        <v/>
      </c>
      <c r="Y4210" s="23" t="str">
        <f aca="false">IF(AND(ISNUMBER(C4210),ISNUMBER(D4210)),D4210-C4210,"")</f>
        <v/>
      </c>
      <c r="Z4210" s="23" t="str">
        <f aca="false">IF(B4210="","",IF(MATCH(B4210,$B$2:$B$12000,0)=ROW()-1,1,0))</f>
        <v/>
      </c>
    </row>
    <row r="4211" customFormat="false" ht="15" hidden="false" customHeight="false" outlineLevel="0" collapsed="false">
      <c r="V4211" s="23" t="str">
        <f aca="false">IF(ISNUMBER(C4211),YEAR(C4211),"")</f>
        <v/>
      </c>
      <c r="W4211" s="23" t="str">
        <f aca="false">IF(ISNUMBER(C4211),MONTH(C4211),"")</f>
        <v/>
      </c>
      <c r="X4211" s="23" t="str">
        <f aca="false">IF(T4211="","",IF(T4211=0,"No discount",IF(T4211&lt;=0.2,"Low (1-20%)",IF(T4211&lt;=0.4,"Medium (21-40%)","High (&gt;40%)"))))</f>
        <v/>
      </c>
      <c r="Y4211" s="23" t="str">
        <f aca="false">IF(AND(ISNUMBER(C4211),ISNUMBER(D4211)),D4211-C4211,"")</f>
        <v/>
      </c>
      <c r="Z4211" s="23" t="str">
        <f aca="false">IF(B4211="","",IF(MATCH(B4211,$B$2:$B$12000,0)=ROW()-1,1,0))</f>
        <v/>
      </c>
    </row>
    <row r="4212" customFormat="false" ht="15" hidden="false" customHeight="false" outlineLevel="0" collapsed="false">
      <c r="V4212" s="23" t="str">
        <f aca="false">IF(ISNUMBER(C4212),YEAR(C4212),"")</f>
        <v/>
      </c>
      <c r="W4212" s="23" t="str">
        <f aca="false">IF(ISNUMBER(C4212),MONTH(C4212),"")</f>
        <v/>
      </c>
      <c r="X4212" s="23" t="str">
        <f aca="false">IF(T4212="","",IF(T4212=0,"No discount",IF(T4212&lt;=0.2,"Low (1-20%)",IF(T4212&lt;=0.4,"Medium (21-40%)","High (&gt;40%)"))))</f>
        <v/>
      </c>
      <c r="Y4212" s="23" t="str">
        <f aca="false">IF(AND(ISNUMBER(C4212),ISNUMBER(D4212)),D4212-C4212,"")</f>
        <v/>
      </c>
      <c r="Z4212" s="23" t="str">
        <f aca="false">IF(B4212="","",IF(MATCH(B4212,$B$2:$B$12000,0)=ROW()-1,1,0))</f>
        <v/>
      </c>
    </row>
    <row r="4213" customFormat="false" ht="15" hidden="false" customHeight="false" outlineLevel="0" collapsed="false">
      <c r="V4213" s="23" t="str">
        <f aca="false">IF(ISNUMBER(C4213),YEAR(C4213),"")</f>
        <v/>
      </c>
      <c r="W4213" s="23" t="str">
        <f aca="false">IF(ISNUMBER(C4213),MONTH(C4213),"")</f>
        <v/>
      </c>
      <c r="X4213" s="23" t="str">
        <f aca="false">IF(T4213="","",IF(T4213=0,"No discount",IF(T4213&lt;=0.2,"Low (1-20%)",IF(T4213&lt;=0.4,"Medium (21-40%)","High (&gt;40%)"))))</f>
        <v/>
      </c>
      <c r="Y4213" s="23" t="str">
        <f aca="false">IF(AND(ISNUMBER(C4213),ISNUMBER(D4213)),D4213-C4213,"")</f>
        <v/>
      </c>
      <c r="Z4213" s="23" t="str">
        <f aca="false">IF(B4213="","",IF(MATCH(B4213,$B$2:$B$12000,0)=ROW()-1,1,0))</f>
        <v/>
      </c>
    </row>
    <row r="4214" customFormat="false" ht="15" hidden="false" customHeight="false" outlineLevel="0" collapsed="false">
      <c r="V4214" s="23" t="str">
        <f aca="false">IF(ISNUMBER(C4214),YEAR(C4214),"")</f>
        <v/>
      </c>
      <c r="W4214" s="23" t="str">
        <f aca="false">IF(ISNUMBER(C4214),MONTH(C4214),"")</f>
        <v/>
      </c>
      <c r="X4214" s="23" t="str">
        <f aca="false">IF(T4214="","",IF(T4214=0,"No discount",IF(T4214&lt;=0.2,"Low (1-20%)",IF(T4214&lt;=0.4,"Medium (21-40%)","High (&gt;40%)"))))</f>
        <v/>
      </c>
      <c r="Y4214" s="23" t="str">
        <f aca="false">IF(AND(ISNUMBER(C4214),ISNUMBER(D4214)),D4214-C4214,"")</f>
        <v/>
      </c>
      <c r="Z4214" s="23" t="str">
        <f aca="false">IF(B4214="","",IF(MATCH(B4214,$B$2:$B$12000,0)=ROW()-1,1,0))</f>
        <v/>
      </c>
    </row>
    <row r="4215" customFormat="false" ht="15" hidden="false" customHeight="false" outlineLevel="0" collapsed="false">
      <c r="V4215" s="23" t="str">
        <f aca="false">IF(ISNUMBER(C4215),YEAR(C4215),"")</f>
        <v/>
      </c>
      <c r="W4215" s="23" t="str">
        <f aca="false">IF(ISNUMBER(C4215),MONTH(C4215),"")</f>
        <v/>
      </c>
      <c r="X4215" s="23" t="str">
        <f aca="false">IF(T4215="","",IF(T4215=0,"No discount",IF(T4215&lt;=0.2,"Low (1-20%)",IF(T4215&lt;=0.4,"Medium (21-40%)","High (&gt;40%)"))))</f>
        <v/>
      </c>
      <c r="Y4215" s="23" t="str">
        <f aca="false">IF(AND(ISNUMBER(C4215),ISNUMBER(D4215)),D4215-C4215,"")</f>
        <v/>
      </c>
      <c r="Z4215" s="23" t="str">
        <f aca="false">IF(B4215="","",IF(MATCH(B4215,$B$2:$B$12000,0)=ROW()-1,1,0))</f>
        <v/>
      </c>
    </row>
    <row r="4216" customFormat="false" ht="15" hidden="false" customHeight="false" outlineLevel="0" collapsed="false">
      <c r="V4216" s="23" t="str">
        <f aca="false">IF(ISNUMBER(C4216),YEAR(C4216),"")</f>
        <v/>
      </c>
      <c r="W4216" s="23" t="str">
        <f aca="false">IF(ISNUMBER(C4216),MONTH(C4216),"")</f>
        <v/>
      </c>
      <c r="X4216" s="23" t="str">
        <f aca="false">IF(T4216="","",IF(T4216=0,"No discount",IF(T4216&lt;=0.2,"Low (1-20%)",IF(T4216&lt;=0.4,"Medium (21-40%)","High (&gt;40%)"))))</f>
        <v/>
      </c>
      <c r="Y4216" s="23" t="str">
        <f aca="false">IF(AND(ISNUMBER(C4216),ISNUMBER(D4216)),D4216-C4216,"")</f>
        <v/>
      </c>
      <c r="Z4216" s="23" t="str">
        <f aca="false">IF(B4216="","",IF(MATCH(B4216,$B$2:$B$12000,0)=ROW()-1,1,0))</f>
        <v/>
      </c>
    </row>
    <row r="4217" customFormat="false" ht="15" hidden="false" customHeight="false" outlineLevel="0" collapsed="false">
      <c r="V4217" s="23" t="str">
        <f aca="false">IF(ISNUMBER(C4217),YEAR(C4217),"")</f>
        <v/>
      </c>
      <c r="W4217" s="23" t="str">
        <f aca="false">IF(ISNUMBER(C4217),MONTH(C4217),"")</f>
        <v/>
      </c>
      <c r="X4217" s="23" t="str">
        <f aca="false">IF(T4217="","",IF(T4217=0,"No discount",IF(T4217&lt;=0.2,"Low (1-20%)",IF(T4217&lt;=0.4,"Medium (21-40%)","High (&gt;40%)"))))</f>
        <v/>
      </c>
      <c r="Y4217" s="23" t="str">
        <f aca="false">IF(AND(ISNUMBER(C4217),ISNUMBER(D4217)),D4217-C4217,"")</f>
        <v/>
      </c>
      <c r="Z4217" s="23" t="str">
        <f aca="false">IF(B4217="","",IF(MATCH(B4217,$B$2:$B$12000,0)=ROW()-1,1,0))</f>
        <v/>
      </c>
    </row>
    <row r="4218" customFormat="false" ht="15" hidden="false" customHeight="false" outlineLevel="0" collapsed="false">
      <c r="V4218" s="23" t="str">
        <f aca="false">IF(ISNUMBER(C4218),YEAR(C4218),"")</f>
        <v/>
      </c>
      <c r="W4218" s="23" t="str">
        <f aca="false">IF(ISNUMBER(C4218),MONTH(C4218),"")</f>
        <v/>
      </c>
      <c r="X4218" s="23" t="str">
        <f aca="false">IF(T4218="","",IF(T4218=0,"No discount",IF(T4218&lt;=0.2,"Low (1-20%)",IF(T4218&lt;=0.4,"Medium (21-40%)","High (&gt;40%)"))))</f>
        <v/>
      </c>
      <c r="Y4218" s="23" t="str">
        <f aca="false">IF(AND(ISNUMBER(C4218),ISNUMBER(D4218)),D4218-C4218,"")</f>
        <v/>
      </c>
      <c r="Z4218" s="23" t="str">
        <f aca="false">IF(B4218="","",IF(MATCH(B4218,$B$2:$B$12000,0)=ROW()-1,1,0))</f>
        <v/>
      </c>
    </row>
    <row r="4219" customFormat="false" ht="15" hidden="false" customHeight="false" outlineLevel="0" collapsed="false">
      <c r="V4219" s="23" t="str">
        <f aca="false">IF(ISNUMBER(C4219),YEAR(C4219),"")</f>
        <v/>
      </c>
      <c r="W4219" s="23" t="str">
        <f aca="false">IF(ISNUMBER(C4219),MONTH(C4219),"")</f>
        <v/>
      </c>
      <c r="X4219" s="23" t="str">
        <f aca="false">IF(T4219="","",IF(T4219=0,"No discount",IF(T4219&lt;=0.2,"Low (1-20%)",IF(T4219&lt;=0.4,"Medium (21-40%)","High (&gt;40%)"))))</f>
        <v/>
      </c>
      <c r="Y4219" s="23" t="str">
        <f aca="false">IF(AND(ISNUMBER(C4219),ISNUMBER(D4219)),D4219-C4219,"")</f>
        <v/>
      </c>
      <c r="Z4219" s="23" t="str">
        <f aca="false">IF(B4219="","",IF(MATCH(B4219,$B$2:$B$12000,0)=ROW()-1,1,0))</f>
        <v/>
      </c>
    </row>
    <row r="4220" customFormat="false" ht="15" hidden="false" customHeight="false" outlineLevel="0" collapsed="false">
      <c r="V4220" s="23" t="str">
        <f aca="false">IF(ISNUMBER(C4220),YEAR(C4220),"")</f>
        <v/>
      </c>
      <c r="W4220" s="23" t="str">
        <f aca="false">IF(ISNUMBER(C4220),MONTH(C4220),"")</f>
        <v/>
      </c>
      <c r="X4220" s="23" t="str">
        <f aca="false">IF(T4220="","",IF(T4220=0,"No discount",IF(T4220&lt;=0.2,"Low (1-20%)",IF(T4220&lt;=0.4,"Medium (21-40%)","High (&gt;40%)"))))</f>
        <v/>
      </c>
      <c r="Y4220" s="23" t="str">
        <f aca="false">IF(AND(ISNUMBER(C4220),ISNUMBER(D4220)),D4220-C4220,"")</f>
        <v/>
      </c>
      <c r="Z4220" s="23" t="str">
        <f aca="false">IF(B4220="","",IF(MATCH(B4220,$B$2:$B$12000,0)=ROW()-1,1,0))</f>
        <v/>
      </c>
    </row>
    <row r="4221" customFormat="false" ht="15" hidden="false" customHeight="false" outlineLevel="0" collapsed="false">
      <c r="V4221" s="23" t="str">
        <f aca="false">IF(ISNUMBER(C4221),YEAR(C4221),"")</f>
        <v/>
      </c>
      <c r="W4221" s="23" t="str">
        <f aca="false">IF(ISNUMBER(C4221),MONTH(C4221),"")</f>
        <v/>
      </c>
      <c r="X4221" s="23" t="str">
        <f aca="false">IF(T4221="","",IF(T4221=0,"No discount",IF(T4221&lt;=0.2,"Low (1-20%)",IF(T4221&lt;=0.4,"Medium (21-40%)","High (&gt;40%)"))))</f>
        <v/>
      </c>
      <c r="Y4221" s="23" t="str">
        <f aca="false">IF(AND(ISNUMBER(C4221),ISNUMBER(D4221)),D4221-C4221,"")</f>
        <v/>
      </c>
      <c r="Z4221" s="23" t="str">
        <f aca="false">IF(B4221="","",IF(MATCH(B4221,$B$2:$B$12000,0)=ROW()-1,1,0))</f>
        <v/>
      </c>
    </row>
    <row r="4222" customFormat="false" ht="15" hidden="false" customHeight="false" outlineLevel="0" collapsed="false">
      <c r="V4222" s="23" t="str">
        <f aca="false">IF(ISNUMBER(C4222),YEAR(C4222),"")</f>
        <v/>
      </c>
      <c r="W4222" s="23" t="str">
        <f aca="false">IF(ISNUMBER(C4222),MONTH(C4222),"")</f>
        <v/>
      </c>
      <c r="X4222" s="23" t="str">
        <f aca="false">IF(T4222="","",IF(T4222=0,"No discount",IF(T4222&lt;=0.2,"Low (1-20%)",IF(T4222&lt;=0.4,"Medium (21-40%)","High (&gt;40%)"))))</f>
        <v/>
      </c>
      <c r="Y4222" s="23" t="str">
        <f aca="false">IF(AND(ISNUMBER(C4222),ISNUMBER(D4222)),D4222-C4222,"")</f>
        <v/>
      </c>
      <c r="Z4222" s="23" t="str">
        <f aca="false">IF(B4222="","",IF(MATCH(B4222,$B$2:$B$12000,0)=ROW()-1,1,0))</f>
        <v/>
      </c>
    </row>
    <row r="4223" customFormat="false" ht="15" hidden="false" customHeight="false" outlineLevel="0" collapsed="false">
      <c r="V4223" s="23" t="str">
        <f aca="false">IF(ISNUMBER(C4223),YEAR(C4223),"")</f>
        <v/>
      </c>
      <c r="W4223" s="23" t="str">
        <f aca="false">IF(ISNUMBER(C4223),MONTH(C4223),"")</f>
        <v/>
      </c>
      <c r="X4223" s="23" t="str">
        <f aca="false">IF(T4223="","",IF(T4223=0,"No discount",IF(T4223&lt;=0.2,"Low (1-20%)",IF(T4223&lt;=0.4,"Medium (21-40%)","High (&gt;40%)"))))</f>
        <v/>
      </c>
      <c r="Y4223" s="23" t="str">
        <f aca="false">IF(AND(ISNUMBER(C4223),ISNUMBER(D4223)),D4223-C4223,"")</f>
        <v/>
      </c>
      <c r="Z4223" s="23" t="str">
        <f aca="false">IF(B4223="","",IF(MATCH(B4223,$B$2:$B$12000,0)=ROW()-1,1,0))</f>
        <v/>
      </c>
    </row>
    <row r="4224" customFormat="false" ht="15" hidden="false" customHeight="false" outlineLevel="0" collapsed="false">
      <c r="V4224" s="23" t="str">
        <f aca="false">IF(ISNUMBER(C4224),YEAR(C4224),"")</f>
        <v/>
      </c>
      <c r="W4224" s="23" t="str">
        <f aca="false">IF(ISNUMBER(C4224),MONTH(C4224),"")</f>
        <v/>
      </c>
      <c r="X4224" s="23" t="str">
        <f aca="false">IF(T4224="","",IF(T4224=0,"No discount",IF(T4224&lt;=0.2,"Low (1-20%)",IF(T4224&lt;=0.4,"Medium (21-40%)","High (&gt;40%)"))))</f>
        <v/>
      </c>
      <c r="Y4224" s="23" t="str">
        <f aca="false">IF(AND(ISNUMBER(C4224),ISNUMBER(D4224)),D4224-C4224,"")</f>
        <v/>
      </c>
      <c r="Z4224" s="23" t="str">
        <f aca="false">IF(B4224="","",IF(MATCH(B4224,$B$2:$B$12000,0)=ROW()-1,1,0))</f>
        <v/>
      </c>
    </row>
    <row r="4225" customFormat="false" ht="15" hidden="false" customHeight="false" outlineLevel="0" collapsed="false">
      <c r="V4225" s="23" t="str">
        <f aca="false">IF(ISNUMBER(C4225),YEAR(C4225),"")</f>
        <v/>
      </c>
      <c r="W4225" s="23" t="str">
        <f aca="false">IF(ISNUMBER(C4225),MONTH(C4225),"")</f>
        <v/>
      </c>
      <c r="X4225" s="23" t="str">
        <f aca="false">IF(T4225="","",IF(T4225=0,"No discount",IF(T4225&lt;=0.2,"Low (1-20%)",IF(T4225&lt;=0.4,"Medium (21-40%)","High (&gt;40%)"))))</f>
        <v/>
      </c>
      <c r="Y4225" s="23" t="str">
        <f aca="false">IF(AND(ISNUMBER(C4225),ISNUMBER(D4225)),D4225-C4225,"")</f>
        <v/>
      </c>
      <c r="Z4225" s="23" t="str">
        <f aca="false">IF(B4225="","",IF(MATCH(B4225,$B$2:$B$12000,0)=ROW()-1,1,0))</f>
        <v/>
      </c>
    </row>
    <row r="4226" customFormat="false" ht="15" hidden="false" customHeight="false" outlineLevel="0" collapsed="false">
      <c r="V4226" s="23" t="str">
        <f aca="false">IF(ISNUMBER(C4226),YEAR(C4226),"")</f>
        <v/>
      </c>
      <c r="W4226" s="23" t="str">
        <f aca="false">IF(ISNUMBER(C4226),MONTH(C4226),"")</f>
        <v/>
      </c>
      <c r="X4226" s="23" t="str">
        <f aca="false">IF(T4226="","",IF(T4226=0,"No discount",IF(T4226&lt;=0.2,"Low (1-20%)",IF(T4226&lt;=0.4,"Medium (21-40%)","High (&gt;40%)"))))</f>
        <v/>
      </c>
      <c r="Y4226" s="23" t="str">
        <f aca="false">IF(AND(ISNUMBER(C4226),ISNUMBER(D4226)),D4226-C4226,"")</f>
        <v/>
      </c>
      <c r="Z4226" s="23" t="str">
        <f aca="false">IF(B4226="","",IF(MATCH(B4226,$B$2:$B$12000,0)=ROW()-1,1,0))</f>
        <v/>
      </c>
    </row>
    <row r="4227" customFormat="false" ht="15" hidden="false" customHeight="false" outlineLevel="0" collapsed="false">
      <c r="V4227" s="23" t="str">
        <f aca="false">IF(ISNUMBER(C4227),YEAR(C4227),"")</f>
        <v/>
      </c>
      <c r="W4227" s="23" t="str">
        <f aca="false">IF(ISNUMBER(C4227),MONTH(C4227),"")</f>
        <v/>
      </c>
      <c r="X4227" s="23" t="str">
        <f aca="false">IF(T4227="","",IF(T4227=0,"No discount",IF(T4227&lt;=0.2,"Low (1-20%)",IF(T4227&lt;=0.4,"Medium (21-40%)","High (&gt;40%)"))))</f>
        <v/>
      </c>
      <c r="Y4227" s="23" t="str">
        <f aca="false">IF(AND(ISNUMBER(C4227),ISNUMBER(D4227)),D4227-C4227,"")</f>
        <v/>
      </c>
      <c r="Z4227" s="23" t="str">
        <f aca="false">IF(B4227="","",IF(MATCH(B4227,$B$2:$B$12000,0)=ROW()-1,1,0))</f>
        <v/>
      </c>
    </row>
    <row r="4228" customFormat="false" ht="15" hidden="false" customHeight="false" outlineLevel="0" collapsed="false">
      <c r="V4228" s="23" t="str">
        <f aca="false">IF(ISNUMBER(C4228),YEAR(C4228),"")</f>
        <v/>
      </c>
      <c r="W4228" s="23" t="str">
        <f aca="false">IF(ISNUMBER(C4228),MONTH(C4228),"")</f>
        <v/>
      </c>
      <c r="X4228" s="23" t="str">
        <f aca="false">IF(T4228="","",IF(T4228=0,"No discount",IF(T4228&lt;=0.2,"Low (1-20%)",IF(T4228&lt;=0.4,"Medium (21-40%)","High (&gt;40%)"))))</f>
        <v/>
      </c>
      <c r="Y4228" s="23" t="str">
        <f aca="false">IF(AND(ISNUMBER(C4228),ISNUMBER(D4228)),D4228-C4228,"")</f>
        <v/>
      </c>
      <c r="Z4228" s="23" t="str">
        <f aca="false">IF(B4228="","",IF(MATCH(B4228,$B$2:$B$12000,0)=ROW()-1,1,0))</f>
        <v/>
      </c>
    </row>
    <row r="4229" customFormat="false" ht="15" hidden="false" customHeight="false" outlineLevel="0" collapsed="false">
      <c r="V4229" s="23" t="str">
        <f aca="false">IF(ISNUMBER(C4229),YEAR(C4229),"")</f>
        <v/>
      </c>
      <c r="W4229" s="23" t="str">
        <f aca="false">IF(ISNUMBER(C4229),MONTH(C4229),"")</f>
        <v/>
      </c>
      <c r="X4229" s="23" t="str">
        <f aca="false">IF(T4229="","",IF(T4229=0,"No discount",IF(T4229&lt;=0.2,"Low (1-20%)",IF(T4229&lt;=0.4,"Medium (21-40%)","High (&gt;40%)"))))</f>
        <v/>
      </c>
      <c r="Y4229" s="23" t="str">
        <f aca="false">IF(AND(ISNUMBER(C4229),ISNUMBER(D4229)),D4229-C4229,"")</f>
        <v/>
      </c>
      <c r="Z4229" s="23" t="str">
        <f aca="false">IF(B4229="","",IF(MATCH(B4229,$B$2:$B$12000,0)=ROW()-1,1,0))</f>
        <v/>
      </c>
    </row>
    <row r="4230" customFormat="false" ht="15" hidden="false" customHeight="false" outlineLevel="0" collapsed="false">
      <c r="V4230" s="23" t="str">
        <f aca="false">IF(ISNUMBER(C4230),YEAR(C4230),"")</f>
        <v/>
      </c>
      <c r="W4230" s="23" t="str">
        <f aca="false">IF(ISNUMBER(C4230),MONTH(C4230),"")</f>
        <v/>
      </c>
      <c r="X4230" s="23" t="str">
        <f aca="false">IF(T4230="","",IF(T4230=0,"No discount",IF(T4230&lt;=0.2,"Low (1-20%)",IF(T4230&lt;=0.4,"Medium (21-40%)","High (&gt;40%)"))))</f>
        <v/>
      </c>
      <c r="Y4230" s="23" t="str">
        <f aca="false">IF(AND(ISNUMBER(C4230),ISNUMBER(D4230)),D4230-C4230,"")</f>
        <v/>
      </c>
      <c r="Z4230" s="23" t="str">
        <f aca="false">IF(B4230="","",IF(MATCH(B4230,$B$2:$B$12000,0)=ROW()-1,1,0))</f>
        <v/>
      </c>
    </row>
    <row r="4231" customFormat="false" ht="15" hidden="false" customHeight="false" outlineLevel="0" collapsed="false">
      <c r="V4231" s="23" t="str">
        <f aca="false">IF(ISNUMBER(C4231),YEAR(C4231),"")</f>
        <v/>
      </c>
      <c r="W4231" s="23" t="str">
        <f aca="false">IF(ISNUMBER(C4231),MONTH(C4231),"")</f>
        <v/>
      </c>
      <c r="X4231" s="23" t="str">
        <f aca="false">IF(T4231="","",IF(T4231=0,"No discount",IF(T4231&lt;=0.2,"Low (1-20%)",IF(T4231&lt;=0.4,"Medium (21-40%)","High (&gt;40%)"))))</f>
        <v/>
      </c>
      <c r="Y4231" s="23" t="str">
        <f aca="false">IF(AND(ISNUMBER(C4231),ISNUMBER(D4231)),D4231-C4231,"")</f>
        <v/>
      </c>
      <c r="Z4231" s="23" t="str">
        <f aca="false">IF(B4231="","",IF(MATCH(B4231,$B$2:$B$12000,0)=ROW()-1,1,0))</f>
        <v/>
      </c>
    </row>
    <row r="4232" customFormat="false" ht="15" hidden="false" customHeight="false" outlineLevel="0" collapsed="false">
      <c r="V4232" s="23" t="str">
        <f aca="false">IF(ISNUMBER(C4232),YEAR(C4232),"")</f>
        <v/>
      </c>
      <c r="W4232" s="23" t="str">
        <f aca="false">IF(ISNUMBER(C4232),MONTH(C4232),"")</f>
        <v/>
      </c>
      <c r="X4232" s="23" t="str">
        <f aca="false">IF(T4232="","",IF(T4232=0,"No discount",IF(T4232&lt;=0.2,"Low (1-20%)",IF(T4232&lt;=0.4,"Medium (21-40%)","High (&gt;40%)"))))</f>
        <v/>
      </c>
      <c r="Y4232" s="23" t="str">
        <f aca="false">IF(AND(ISNUMBER(C4232),ISNUMBER(D4232)),D4232-C4232,"")</f>
        <v/>
      </c>
      <c r="Z4232" s="23" t="str">
        <f aca="false">IF(B4232="","",IF(MATCH(B4232,$B$2:$B$12000,0)=ROW()-1,1,0))</f>
        <v/>
      </c>
    </row>
    <row r="4233" customFormat="false" ht="15" hidden="false" customHeight="false" outlineLevel="0" collapsed="false">
      <c r="V4233" s="23" t="str">
        <f aca="false">IF(ISNUMBER(C4233),YEAR(C4233),"")</f>
        <v/>
      </c>
      <c r="W4233" s="23" t="str">
        <f aca="false">IF(ISNUMBER(C4233),MONTH(C4233),"")</f>
        <v/>
      </c>
      <c r="X4233" s="23" t="str">
        <f aca="false">IF(T4233="","",IF(T4233=0,"No discount",IF(T4233&lt;=0.2,"Low (1-20%)",IF(T4233&lt;=0.4,"Medium (21-40%)","High (&gt;40%)"))))</f>
        <v/>
      </c>
      <c r="Y4233" s="23" t="str">
        <f aca="false">IF(AND(ISNUMBER(C4233),ISNUMBER(D4233)),D4233-C4233,"")</f>
        <v/>
      </c>
      <c r="Z4233" s="23" t="str">
        <f aca="false">IF(B4233="","",IF(MATCH(B4233,$B$2:$B$12000,0)=ROW()-1,1,0))</f>
        <v/>
      </c>
    </row>
    <row r="4234" customFormat="false" ht="15" hidden="false" customHeight="false" outlineLevel="0" collapsed="false">
      <c r="V4234" s="23" t="str">
        <f aca="false">IF(ISNUMBER(C4234),YEAR(C4234),"")</f>
        <v/>
      </c>
      <c r="W4234" s="23" t="str">
        <f aca="false">IF(ISNUMBER(C4234),MONTH(C4234),"")</f>
        <v/>
      </c>
      <c r="X4234" s="23" t="str">
        <f aca="false">IF(T4234="","",IF(T4234=0,"No discount",IF(T4234&lt;=0.2,"Low (1-20%)",IF(T4234&lt;=0.4,"Medium (21-40%)","High (&gt;40%)"))))</f>
        <v/>
      </c>
      <c r="Y4234" s="23" t="str">
        <f aca="false">IF(AND(ISNUMBER(C4234),ISNUMBER(D4234)),D4234-C4234,"")</f>
        <v/>
      </c>
      <c r="Z4234" s="23" t="str">
        <f aca="false">IF(B4234="","",IF(MATCH(B4234,$B$2:$B$12000,0)=ROW()-1,1,0))</f>
        <v/>
      </c>
    </row>
    <row r="4235" customFormat="false" ht="15" hidden="false" customHeight="false" outlineLevel="0" collapsed="false">
      <c r="V4235" s="23" t="str">
        <f aca="false">IF(ISNUMBER(C4235),YEAR(C4235),"")</f>
        <v/>
      </c>
      <c r="W4235" s="23" t="str">
        <f aca="false">IF(ISNUMBER(C4235),MONTH(C4235),"")</f>
        <v/>
      </c>
      <c r="X4235" s="23" t="str">
        <f aca="false">IF(T4235="","",IF(T4235=0,"No discount",IF(T4235&lt;=0.2,"Low (1-20%)",IF(T4235&lt;=0.4,"Medium (21-40%)","High (&gt;40%)"))))</f>
        <v/>
      </c>
      <c r="Y4235" s="23" t="str">
        <f aca="false">IF(AND(ISNUMBER(C4235),ISNUMBER(D4235)),D4235-C4235,"")</f>
        <v/>
      </c>
      <c r="Z4235" s="23" t="str">
        <f aca="false">IF(B4235="","",IF(MATCH(B4235,$B$2:$B$12000,0)=ROW()-1,1,0))</f>
        <v/>
      </c>
    </row>
    <row r="4236" customFormat="false" ht="15" hidden="false" customHeight="false" outlineLevel="0" collapsed="false">
      <c r="V4236" s="23" t="str">
        <f aca="false">IF(ISNUMBER(C4236),YEAR(C4236),"")</f>
        <v/>
      </c>
      <c r="W4236" s="23" t="str">
        <f aca="false">IF(ISNUMBER(C4236),MONTH(C4236),"")</f>
        <v/>
      </c>
      <c r="X4236" s="23" t="str">
        <f aca="false">IF(T4236="","",IF(T4236=0,"No discount",IF(T4236&lt;=0.2,"Low (1-20%)",IF(T4236&lt;=0.4,"Medium (21-40%)","High (&gt;40%)"))))</f>
        <v/>
      </c>
      <c r="Y4236" s="23" t="str">
        <f aca="false">IF(AND(ISNUMBER(C4236),ISNUMBER(D4236)),D4236-C4236,"")</f>
        <v/>
      </c>
      <c r="Z4236" s="23" t="str">
        <f aca="false">IF(B4236="","",IF(MATCH(B4236,$B$2:$B$12000,0)=ROW()-1,1,0))</f>
        <v/>
      </c>
    </row>
    <row r="4237" customFormat="false" ht="15" hidden="false" customHeight="false" outlineLevel="0" collapsed="false">
      <c r="V4237" s="23" t="str">
        <f aca="false">IF(ISNUMBER(C4237),YEAR(C4237),"")</f>
        <v/>
      </c>
      <c r="W4237" s="23" t="str">
        <f aca="false">IF(ISNUMBER(C4237),MONTH(C4237),"")</f>
        <v/>
      </c>
      <c r="X4237" s="23" t="str">
        <f aca="false">IF(T4237="","",IF(T4237=0,"No discount",IF(T4237&lt;=0.2,"Low (1-20%)",IF(T4237&lt;=0.4,"Medium (21-40%)","High (&gt;40%)"))))</f>
        <v/>
      </c>
      <c r="Y4237" s="23" t="str">
        <f aca="false">IF(AND(ISNUMBER(C4237),ISNUMBER(D4237)),D4237-C4237,"")</f>
        <v/>
      </c>
      <c r="Z4237" s="23" t="str">
        <f aca="false">IF(B4237="","",IF(MATCH(B4237,$B$2:$B$12000,0)=ROW()-1,1,0))</f>
        <v/>
      </c>
    </row>
    <row r="4238" customFormat="false" ht="15" hidden="false" customHeight="false" outlineLevel="0" collapsed="false">
      <c r="V4238" s="23" t="str">
        <f aca="false">IF(ISNUMBER(C4238),YEAR(C4238),"")</f>
        <v/>
      </c>
      <c r="W4238" s="23" t="str">
        <f aca="false">IF(ISNUMBER(C4238),MONTH(C4238),"")</f>
        <v/>
      </c>
      <c r="X4238" s="23" t="str">
        <f aca="false">IF(T4238="","",IF(T4238=0,"No discount",IF(T4238&lt;=0.2,"Low (1-20%)",IF(T4238&lt;=0.4,"Medium (21-40%)","High (&gt;40%)"))))</f>
        <v/>
      </c>
      <c r="Y4238" s="23" t="str">
        <f aca="false">IF(AND(ISNUMBER(C4238),ISNUMBER(D4238)),D4238-C4238,"")</f>
        <v/>
      </c>
      <c r="Z4238" s="23" t="str">
        <f aca="false">IF(B4238="","",IF(MATCH(B4238,$B$2:$B$12000,0)=ROW()-1,1,0))</f>
        <v/>
      </c>
    </row>
    <row r="4239" customFormat="false" ht="15" hidden="false" customHeight="false" outlineLevel="0" collapsed="false">
      <c r="V4239" s="23" t="str">
        <f aca="false">IF(ISNUMBER(C4239),YEAR(C4239),"")</f>
        <v/>
      </c>
      <c r="W4239" s="23" t="str">
        <f aca="false">IF(ISNUMBER(C4239),MONTH(C4239),"")</f>
        <v/>
      </c>
      <c r="X4239" s="23" t="str">
        <f aca="false">IF(T4239="","",IF(T4239=0,"No discount",IF(T4239&lt;=0.2,"Low (1-20%)",IF(T4239&lt;=0.4,"Medium (21-40%)","High (&gt;40%)"))))</f>
        <v/>
      </c>
      <c r="Y4239" s="23" t="str">
        <f aca="false">IF(AND(ISNUMBER(C4239),ISNUMBER(D4239)),D4239-C4239,"")</f>
        <v/>
      </c>
      <c r="Z4239" s="23" t="str">
        <f aca="false">IF(B4239="","",IF(MATCH(B4239,$B$2:$B$12000,0)=ROW()-1,1,0))</f>
        <v/>
      </c>
    </row>
    <row r="4240" customFormat="false" ht="15" hidden="false" customHeight="false" outlineLevel="0" collapsed="false">
      <c r="V4240" s="23" t="str">
        <f aca="false">IF(ISNUMBER(C4240),YEAR(C4240),"")</f>
        <v/>
      </c>
      <c r="W4240" s="23" t="str">
        <f aca="false">IF(ISNUMBER(C4240),MONTH(C4240),"")</f>
        <v/>
      </c>
      <c r="X4240" s="23" t="str">
        <f aca="false">IF(T4240="","",IF(T4240=0,"No discount",IF(T4240&lt;=0.2,"Low (1-20%)",IF(T4240&lt;=0.4,"Medium (21-40%)","High (&gt;40%)"))))</f>
        <v/>
      </c>
      <c r="Y4240" s="23" t="str">
        <f aca="false">IF(AND(ISNUMBER(C4240),ISNUMBER(D4240)),D4240-C4240,"")</f>
        <v/>
      </c>
      <c r="Z4240" s="23" t="str">
        <f aca="false">IF(B4240="","",IF(MATCH(B4240,$B$2:$B$12000,0)=ROW()-1,1,0))</f>
        <v/>
      </c>
    </row>
    <row r="4241" customFormat="false" ht="15" hidden="false" customHeight="false" outlineLevel="0" collapsed="false">
      <c r="V4241" s="23" t="str">
        <f aca="false">IF(ISNUMBER(C4241),YEAR(C4241),"")</f>
        <v/>
      </c>
      <c r="W4241" s="23" t="str">
        <f aca="false">IF(ISNUMBER(C4241),MONTH(C4241),"")</f>
        <v/>
      </c>
      <c r="X4241" s="23" t="str">
        <f aca="false">IF(T4241="","",IF(T4241=0,"No discount",IF(T4241&lt;=0.2,"Low (1-20%)",IF(T4241&lt;=0.4,"Medium (21-40%)","High (&gt;40%)"))))</f>
        <v/>
      </c>
      <c r="Y4241" s="23" t="str">
        <f aca="false">IF(AND(ISNUMBER(C4241),ISNUMBER(D4241)),D4241-C4241,"")</f>
        <v/>
      </c>
      <c r="Z4241" s="23" t="str">
        <f aca="false">IF(B4241="","",IF(MATCH(B4241,$B$2:$B$12000,0)=ROW()-1,1,0))</f>
        <v/>
      </c>
    </row>
    <row r="4242" customFormat="false" ht="15" hidden="false" customHeight="false" outlineLevel="0" collapsed="false">
      <c r="V4242" s="23" t="str">
        <f aca="false">IF(ISNUMBER(C4242),YEAR(C4242),"")</f>
        <v/>
      </c>
      <c r="W4242" s="23" t="str">
        <f aca="false">IF(ISNUMBER(C4242),MONTH(C4242),"")</f>
        <v/>
      </c>
      <c r="X4242" s="23" t="str">
        <f aca="false">IF(T4242="","",IF(T4242=0,"No discount",IF(T4242&lt;=0.2,"Low (1-20%)",IF(T4242&lt;=0.4,"Medium (21-40%)","High (&gt;40%)"))))</f>
        <v/>
      </c>
      <c r="Y4242" s="23" t="str">
        <f aca="false">IF(AND(ISNUMBER(C4242),ISNUMBER(D4242)),D4242-C4242,"")</f>
        <v/>
      </c>
      <c r="Z4242" s="23" t="str">
        <f aca="false">IF(B4242="","",IF(MATCH(B4242,$B$2:$B$12000,0)=ROW()-1,1,0))</f>
        <v/>
      </c>
    </row>
    <row r="4243" customFormat="false" ht="15" hidden="false" customHeight="false" outlineLevel="0" collapsed="false">
      <c r="V4243" s="23" t="str">
        <f aca="false">IF(ISNUMBER(C4243),YEAR(C4243),"")</f>
        <v/>
      </c>
      <c r="W4243" s="23" t="str">
        <f aca="false">IF(ISNUMBER(C4243),MONTH(C4243),"")</f>
        <v/>
      </c>
      <c r="X4243" s="23" t="str">
        <f aca="false">IF(T4243="","",IF(T4243=0,"No discount",IF(T4243&lt;=0.2,"Low (1-20%)",IF(T4243&lt;=0.4,"Medium (21-40%)","High (&gt;40%)"))))</f>
        <v/>
      </c>
      <c r="Y4243" s="23" t="str">
        <f aca="false">IF(AND(ISNUMBER(C4243),ISNUMBER(D4243)),D4243-C4243,"")</f>
        <v/>
      </c>
      <c r="Z4243" s="23" t="str">
        <f aca="false">IF(B4243="","",IF(MATCH(B4243,$B$2:$B$12000,0)=ROW()-1,1,0))</f>
        <v/>
      </c>
    </row>
    <row r="4244" customFormat="false" ht="15" hidden="false" customHeight="false" outlineLevel="0" collapsed="false">
      <c r="V4244" s="23" t="str">
        <f aca="false">IF(ISNUMBER(C4244),YEAR(C4244),"")</f>
        <v/>
      </c>
      <c r="W4244" s="23" t="str">
        <f aca="false">IF(ISNUMBER(C4244),MONTH(C4244),"")</f>
        <v/>
      </c>
      <c r="X4244" s="23" t="str">
        <f aca="false">IF(T4244="","",IF(T4244=0,"No discount",IF(T4244&lt;=0.2,"Low (1-20%)",IF(T4244&lt;=0.4,"Medium (21-40%)","High (&gt;40%)"))))</f>
        <v/>
      </c>
      <c r="Y4244" s="23" t="str">
        <f aca="false">IF(AND(ISNUMBER(C4244),ISNUMBER(D4244)),D4244-C4244,"")</f>
        <v/>
      </c>
      <c r="Z4244" s="23" t="str">
        <f aca="false">IF(B4244="","",IF(MATCH(B4244,$B$2:$B$12000,0)=ROW()-1,1,0))</f>
        <v/>
      </c>
    </row>
    <row r="4245" customFormat="false" ht="15" hidden="false" customHeight="false" outlineLevel="0" collapsed="false">
      <c r="V4245" s="23" t="str">
        <f aca="false">IF(ISNUMBER(C4245),YEAR(C4245),"")</f>
        <v/>
      </c>
      <c r="W4245" s="23" t="str">
        <f aca="false">IF(ISNUMBER(C4245),MONTH(C4245),"")</f>
        <v/>
      </c>
      <c r="X4245" s="23" t="str">
        <f aca="false">IF(T4245="","",IF(T4245=0,"No discount",IF(T4245&lt;=0.2,"Low (1-20%)",IF(T4245&lt;=0.4,"Medium (21-40%)","High (&gt;40%)"))))</f>
        <v/>
      </c>
      <c r="Y4245" s="23" t="str">
        <f aca="false">IF(AND(ISNUMBER(C4245),ISNUMBER(D4245)),D4245-C4245,"")</f>
        <v/>
      </c>
      <c r="Z4245" s="23" t="str">
        <f aca="false">IF(B4245="","",IF(MATCH(B4245,$B$2:$B$12000,0)=ROW()-1,1,0))</f>
        <v/>
      </c>
    </row>
    <row r="4246" customFormat="false" ht="15" hidden="false" customHeight="false" outlineLevel="0" collapsed="false">
      <c r="V4246" s="23" t="str">
        <f aca="false">IF(ISNUMBER(C4246),YEAR(C4246),"")</f>
        <v/>
      </c>
      <c r="W4246" s="23" t="str">
        <f aca="false">IF(ISNUMBER(C4246),MONTH(C4246),"")</f>
        <v/>
      </c>
      <c r="X4246" s="23" t="str">
        <f aca="false">IF(T4246="","",IF(T4246=0,"No discount",IF(T4246&lt;=0.2,"Low (1-20%)",IF(T4246&lt;=0.4,"Medium (21-40%)","High (&gt;40%)"))))</f>
        <v/>
      </c>
      <c r="Y4246" s="23" t="str">
        <f aca="false">IF(AND(ISNUMBER(C4246),ISNUMBER(D4246)),D4246-C4246,"")</f>
        <v/>
      </c>
      <c r="Z4246" s="23" t="str">
        <f aca="false">IF(B4246="","",IF(MATCH(B4246,$B$2:$B$12000,0)=ROW()-1,1,0))</f>
        <v/>
      </c>
    </row>
    <row r="4247" customFormat="false" ht="15" hidden="false" customHeight="false" outlineLevel="0" collapsed="false">
      <c r="V4247" s="23" t="str">
        <f aca="false">IF(ISNUMBER(C4247),YEAR(C4247),"")</f>
        <v/>
      </c>
      <c r="W4247" s="23" t="str">
        <f aca="false">IF(ISNUMBER(C4247),MONTH(C4247),"")</f>
        <v/>
      </c>
      <c r="X4247" s="23" t="str">
        <f aca="false">IF(T4247="","",IF(T4247=0,"No discount",IF(T4247&lt;=0.2,"Low (1-20%)",IF(T4247&lt;=0.4,"Medium (21-40%)","High (&gt;40%)"))))</f>
        <v/>
      </c>
      <c r="Y4247" s="23" t="str">
        <f aca="false">IF(AND(ISNUMBER(C4247),ISNUMBER(D4247)),D4247-C4247,"")</f>
        <v/>
      </c>
      <c r="Z4247" s="23" t="str">
        <f aca="false">IF(B4247="","",IF(MATCH(B4247,$B$2:$B$12000,0)=ROW()-1,1,0))</f>
        <v/>
      </c>
    </row>
    <row r="4248" customFormat="false" ht="15" hidden="false" customHeight="false" outlineLevel="0" collapsed="false">
      <c r="V4248" s="23" t="str">
        <f aca="false">IF(ISNUMBER(C4248),YEAR(C4248),"")</f>
        <v/>
      </c>
      <c r="W4248" s="23" t="str">
        <f aca="false">IF(ISNUMBER(C4248),MONTH(C4248),"")</f>
        <v/>
      </c>
      <c r="X4248" s="23" t="str">
        <f aca="false">IF(T4248="","",IF(T4248=0,"No discount",IF(T4248&lt;=0.2,"Low (1-20%)",IF(T4248&lt;=0.4,"Medium (21-40%)","High (&gt;40%)"))))</f>
        <v/>
      </c>
      <c r="Y4248" s="23" t="str">
        <f aca="false">IF(AND(ISNUMBER(C4248),ISNUMBER(D4248)),D4248-C4248,"")</f>
        <v/>
      </c>
      <c r="Z4248" s="23" t="str">
        <f aca="false">IF(B4248="","",IF(MATCH(B4248,$B$2:$B$12000,0)=ROW()-1,1,0))</f>
        <v/>
      </c>
    </row>
    <row r="4249" customFormat="false" ht="15" hidden="false" customHeight="false" outlineLevel="0" collapsed="false">
      <c r="V4249" s="23" t="str">
        <f aca="false">IF(ISNUMBER(C4249),YEAR(C4249),"")</f>
        <v/>
      </c>
      <c r="W4249" s="23" t="str">
        <f aca="false">IF(ISNUMBER(C4249),MONTH(C4249),"")</f>
        <v/>
      </c>
      <c r="X4249" s="23" t="str">
        <f aca="false">IF(T4249="","",IF(T4249=0,"No discount",IF(T4249&lt;=0.2,"Low (1-20%)",IF(T4249&lt;=0.4,"Medium (21-40%)","High (&gt;40%)"))))</f>
        <v/>
      </c>
      <c r="Y4249" s="23" t="str">
        <f aca="false">IF(AND(ISNUMBER(C4249),ISNUMBER(D4249)),D4249-C4249,"")</f>
        <v/>
      </c>
      <c r="Z4249" s="23" t="str">
        <f aca="false">IF(B4249="","",IF(MATCH(B4249,$B$2:$B$12000,0)=ROW()-1,1,0))</f>
        <v/>
      </c>
    </row>
    <row r="4250" customFormat="false" ht="15" hidden="false" customHeight="false" outlineLevel="0" collapsed="false">
      <c r="V4250" s="23" t="str">
        <f aca="false">IF(ISNUMBER(C4250),YEAR(C4250),"")</f>
        <v/>
      </c>
      <c r="W4250" s="23" t="str">
        <f aca="false">IF(ISNUMBER(C4250),MONTH(C4250),"")</f>
        <v/>
      </c>
      <c r="X4250" s="23" t="str">
        <f aca="false">IF(T4250="","",IF(T4250=0,"No discount",IF(T4250&lt;=0.2,"Low (1-20%)",IF(T4250&lt;=0.4,"Medium (21-40%)","High (&gt;40%)"))))</f>
        <v/>
      </c>
      <c r="Y4250" s="23" t="str">
        <f aca="false">IF(AND(ISNUMBER(C4250),ISNUMBER(D4250)),D4250-C4250,"")</f>
        <v/>
      </c>
      <c r="Z4250" s="23" t="str">
        <f aca="false">IF(B4250="","",IF(MATCH(B4250,$B$2:$B$12000,0)=ROW()-1,1,0))</f>
        <v/>
      </c>
    </row>
    <row r="4251" customFormat="false" ht="15" hidden="false" customHeight="false" outlineLevel="0" collapsed="false">
      <c r="V4251" s="23" t="str">
        <f aca="false">IF(ISNUMBER(C4251),YEAR(C4251),"")</f>
        <v/>
      </c>
      <c r="W4251" s="23" t="str">
        <f aca="false">IF(ISNUMBER(C4251),MONTH(C4251),"")</f>
        <v/>
      </c>
      <c r="X4251" s="23" t="str">
        <f aca="false">IF(T4251="","",IF(T4251=0,"No discount",IF(T4251&lt;=0.2,"Low (1-20%)",IF(T4251&lt;=0.4,"Medium (21-40%)","High (&gt;40%)"))))</f>
        <v/>
      </c>
      <c r="Y4251" s="23" t="str">
        <f aca="false">IF(AND(ISNUMBER(C4251),ISNUMBER(D4251)),D4251-C4251,"")</f>
        <v/>
      </c>
      <c r="Z4251" s="23" t="str">
        <f aca="false">IF(B4251="","",IF(MATCH(B4251,$B$2:$B$12000,0)=ROW()-1,1,0))</f>
        <v/>
      </c>
    </row>
    <row r="4252" customFormat="false" ht="15" hidden="false" customHeight="false" outlineLevel="0" collapsed="false">
      <c r="V4252" s="23" t="str">
        <f aca="false">IF(ISNUMBER(C4252),YEAR(C4252),"")</f>
        <v/>
      </c>
      <c r="W4252" s="23" t="str">
        <f aca="false">IF(ISNUMBER(C4252),MONTH(C4252),"")</f>
        <v/>
      </c>
      <c r="X4252" s="23" t="str">
        <f aca="false">IF(T4252="","",IF(T4252=0,"No discount",IF(T4252&lt;=0.2,"Low (1-20%)",IF(T4252&lt;=0.4,"Medium (21-40%)","High (&gt;40%)"))))</f>
        <v/>
      </c>
      <c r="Y4252" s="23" t="str">
        <f aca="false">IF(AND(ISNUMBER(C4252),ISNUMBER(D4252)),D4252-C4252,"")</f>
        <v/>
      </c>
      <c r="Z4252" s="23" t="str">
        <f aca="false">IF(B4252="","",IF(MATCH(B4252,$B$2:$B$12000,0)=ROW()-1,1,0))</f>
        <v/>
      </c>
    </row>
    <row r="4253" customFormat="false" ht="15" hidden="false" customHeight="false" outlineLevel="0" collapsed="false">
      <c r="V4253" s="23" t="str">
        <f aca="false">IF(ISNUMBER(C4253),YEAR(C4253),"")</f>
        <v/>
      </c>
      <c r="W4253" s="23" t="str">
        <f aca="false">IF(ISNUMBER(C4253),MONTH(C4253),"")</f>
        <v/>
      </c>
      <c r="X4253" s="23" t="str">
        <f aca="false">IF(T4253="","",IF(T4253=0,"No discount",IF(T4253&lt;=0.2,"Low (1-20%)",IF(T4253&lt;=0.4,"Medium (21-40%)","High (&gt;40%)"))))</f>
        <v/>
      </c>
      <c r="Y4253" s="23" t="str">
        <f aca="false">IF(AND(ISNUMBER(C4253),ISNUMBER(D4253)),D4253-C4253,"")</f>
        <v/>
      </c>
      <c r="Z4253" s="23" t="str">
        <f aca="false">IF(B4253="","",IF(MATCH(B4253,$B$2:$B$12000,0)=ROW()-1,1,0))</f>
        <v/>
      </c>
    </row>
    <row r="4254" customFormat="false" ht="15" hidden="false" customHeight="false" outlineLevel="0" collapsed="false">
      <c r="V4254" s="23" t="str">
        <f aca="false">IF(ISNUMBER(C4254),YEAR(C4254),"")</f>
        <v/>
      </c>
      <c r="W4254" s="23" t="str">
        <f aca="false">IF(ISNUMBER(C4254),MONTH(C4254),"")</f>
        <v/>
      </c>
      <c r="X4254" s="23" t="str">
        <f aca="false">IF(T4254="","",IF(T4254=0,"No discount",IF(T4254&lt;=0.2,"Low (1-20%)",IF(T4254&lt;=0.4,"Medium (21-40%)","High (&gt;40%)"))))</f>
        <v/>
      </c>
      <c r="Y4254" s="23" t="str">
        <f aca="false">IF(AND(ISNUMBER(C4254),ISNUMBER(D4254)),D4254-C4254,"")</f>
        <v/>
      </c>
      <c r="Z4254" s="23" t="str">
        <f aca="false">IF(B4254="","",IF(MATCH(B4254,$B$2:$B$12000,0)=ROW()-1,1,0))</f>
        <v/>
      </c>
    </row>
    <row r="4255" customFormat="false" ht="15" hidden="false" customHeight="false" outlineLevel="0" collapsed="false">
      <c r="V4255" s="23" t="str">
        <f aca="false">IF(ISNUMBER(C4255),YEAR(C4255),"")</f>
        <v/>
      </c>
      <c r="W4255" s="23" t="str">
        <f aca="false">IF(ISNUMBER(C4255),MONTH(C4255),"")</f>
        <v/>
      </c>
      <c r="X4255" s="23" t="str">
        <f aca="false">IF(T4255="","",IF(T4255=0,"No discount",IF(T4255&lt;=0.2,"Low (1-20%)",IF(T4255&lt;=0.4,"Medium (21-40%)","High (&gt;40%)"))))</f>
        <v/>
      </c>
      <c r="Y4255" s="23" t="str">
        <f aca="false">IF(AND(ISNUMBER(C4255),ISNUMBER(D4255)),D4255-C4255,"")</f>
        <v/>
      </c>
      <c r="Z4255" s="23" t="str">
        <f aca="false">IF(B4255="","",IF(MATCH(B4255,$B$2:$B$12000,0)=ROW()-1,1,0))</f>
        <v/>
      </c>
    </row>
    <row r="4256" customFormat="false" ht="15" hidden="false" customHeight="false" outlineLevel="0" collapsed="false">
      <c r="V4256" s="23" t="str">
        <f aca="false">IF(ISNUMBER(C4256),YEAR(C4256),"")</f>
        <v/>
      </c>
      <c r="W4256" s="23" t="str">
        <f aca="false">IF(ISNUMBER(C4256),MONTH(C4256),"")</f>
        <v/>
      </c>
      <c r="X4256" s="23" t="str">
        <f aca="false">IF(T4256="","",IF(T4256=0,"No discount",IF(T4256&lt;=0.2,"Low (1-20%)",IF(T4256&lt;=0.4,"Medium (21-40%)","High (&gt;40%)"))))</f>
        <v/>
      </c>
      <c r="Y4256" s="23" t="str">
        <f aca="false">IF(AND(ISNUMBER(C4256),ISNUMBER(D4256)),D4256-C4256,"")</f>
        <v/>
      </c>
      <c r="Z4256" s="23" t="str">
        <f aca="false">IF(B4256="","",IF(MATCH(B4256,$B$2:$B$12000,0)=ROW()-1,1,0))</f>
        <v/>
      </c>
    </row>
    <row r="4257" customFormat="false" ht="15" hidden="false" customHeight="false" outlineLevel="0" collapsed="false">
      <c r="V4257" s="23" t="str">
        <f aca="false">IF(ISNUMBER(C4257),YEAR(C4257),"")</f>
        <v/>
      </c>
      <c r="W4257" s="23" t="str">
        <f aca="false">IF(ISNUMBER(C4257),MONTH(C4257),"")</f>
        <v/>
      </c>
      <c r="X4257" s="23" t="str">
        <f aca="false">IF(T4257="","",IF(T4257=0,"No discount",IF(T4257&lt;=0.2,"Low (1-20%)",IF(T4257&lt;=0.4,"Medium (21-40%)","High (&gt;40%)"))))</f>
        <v/>
      </c>
      <c r="Y4257" s="23" t="str">
        <f aca="false">IF(AND(ISNUMBER(C4257),ISNUMBER(D4257)),D4257-C4257,"")</f>
        <v/>
      </c>
      <c r="Z4257" s="23" t="str">
        <f aca="false">IF(B4257="","",IF(MATCH(B4257,$B$2:$B$12000,0)=ROW()-1,1,0))</f>
        <v/>
      </c>
    </row>
    <row r="4258" customFormat="false" ht="15" hidden="false" customHeight="false" outlineLevel="0" collapsed="false">
      <c r="V4258" s="23" t="str">
        <f aca="false">IF(ISNUMBER(C4258),YEAR(C4258),"")</f>
        <v/>
      </c>
      <c r="W4258" s="23" t="str">
        <f aca="false">IF(ISNUMBER(C4258),MONTH(C4258),"")</f>
        <v/>
      </c>
      <c r="X4258" s="23" t="str">
        <f aca="false">IF(T4258="","",IF(T4258=0,"No discount",IF(T4258&lt;=0.2,"Low (1-20%)",IF(T4258&lt;=0.4,"Medium (21-40%)","High (&gt;40%)"))))</f>
        <v/>
      </c>
      <c r="Y4258" s="23" t="str">
        <f aca="false">IF(AND(ISNUMBER(C4258),ISNUMBER(D4258)),D4258-C4258,"")</f>
        <v/>
      </c>
      <c r="Z4258" s="23" t="str">
        <f aca="false">IF(B4258="","",IF(MATCH(B4258,$B$2:$B$12000,0)=ROW()-1,1,0))</f>
        <v/>
      </c>
    </row>
    <row r="4259" customFormat="false" ht="15" hidden="false" customHeight="false" outlineLevel="0" collapsed="false">
      <c r="V4259" s="23" t="str">
        <f aca="false">IF(ISNUMBER(C4259),YEAR(C4259),"")</f>
        <v/>
      </c>
      <c r="W4259" s="23" t="str">
        <f aca="false">IF(ISNUMBER(C4259),MONTH(C4259),"")</f>
        <v/>
      </c>
      <c r="X4259" s="23" t="str">
        <f aca="false">IF(T4259="","",IF(T4259=0,"No discount",IF(T4259&lt;=0.2,"Low (1-20%)",IF(T4259&lt;=0.4,"Medium (21-40%)","High (&gt;40%)"))))</f>
        <v/>
      </c>
      <c r="Y4259" s="23" t="str">
        <f aca="false">IF(AND(ISNUMBER(C4259),ISNUMBER(D4259)),D4259-C4259,"")</f>
        <v/>
      </c>
      <c r="Z4259" s="23" t="str">
        <f aca="false">IF(B4259="","",IF(MATCH(B4259,$B$2:$B$12000,0)=ROW()-1,1,0))</f>
        <v/>
      </c>
    </row>
    <row r="4260" customFormat="false" ht="15" hidden="false" customHeight="false" outlineLevel="0" collapsed="false">
      <c r="V4260" s="23" t="str">
        <f aca="false">IF(ISNUMBER(C4260),YEAR(C4260),"")</f>
        <v/>
      </c>
      <c r="W4260" s="23" t="str">
        <f aca="false">IF(ISNUMBER(C4260),MONTH(C4260),"")</f>
        <v/>
      </c>
      <c r="X4260" s="23" t="str">
        <f aca="false">IF(T4260="","",IF(T4260=0,"No discount",IF(T4260&lt;=0.2,"Low (1-20%)",IF(T4260&lt;=0.4,"Medium (21-40%)","High (&gt;40%)"))))</f>
        <v/>
      </c>
      <c r="Y4260" s="23" t="str">
        <f aca="false">IF(AND(ISNUMBER(C4260),ISNUMBER(D4260)),D4260-C4260,"")</f>
        <v/>
      </c>
      <c r="Z4260" s="23" t="str">
        <f aca="false">IF(B4260="","",IF(MATCH(B4260,$B$2:$B$12000,0)=ROW()-1,1,0))</f>
        <v/>
      </c>
    </row>
    <row r="4261" customFormat="false" ht="15" hidden="false" customHeight="false" outlineLevel="0" collapsed="false">
      <c r="V4261" s="23" t="str">
        <f aca="false">IF(ISNUMBER(C4261),YEAR(C4261),"")</f>
        <v/>
      </c>
      <c r="W4261" s="23" t="str">
        <f aca="false">IF(ISNUMBER(C4261),MONTH(C4261),"")</f>
        <v/>
      </c>
      <c r="X4261" s="23" t="str">
        <f aca="false">IF(T4261="","",IF(T4261=0,"No discount",IF(T4261&lt;=0.2,"Low (1-20%)",IF(T4261&lt;=0.4,"Medium (21-40%)","High (&gt;40%)"))))</f>
        <v/>
      </c>
      <c r="Y4261" s="23" t="str">
        <f aca="false">IF(AND(ISNUMBER(C4261),ISNUMBER(D4261)),D4261-C4261,"")</f>
        <v/>
      </c>
      <c r="Z4261" s="23" t="str">
        <f aca="false">IF(B4261="","",IF(MATCH(B4261,$B$2:$B$12000,0)=ROW()-1,1,0))</f>
        <v/>
      </c>
    </row>
    <row r="4262" customFormat="false" ht="15" hidden="false" customHeight="false" outlineLevel="0" collapsed="false">
      <c r="V4262" s="23" t="str">
        <f aca="false">IF(ISNUMBER(C4262),YEAR(C4262),"")</f>
        <v/>
      </c>
      <c r="W4262" s="23" t="str">
        <f aca="false">IF(ISNUMBER(C4262),MONTH(C4262),"")</f>
        <v/>
      </c>
      <c r="X4262" s="23" t="str">
        <f aca="false">IF(T4262="","",IF(T4262=0,"No discount",IF(T4262&lt;=0.2,"Low (1-20%)",IF(T4262&lt;=0.4,"Medium (21-40%)","High (&gt;40%)"))))</f>
        <v/>
      </c>
      <c r="Y4262" s="23" t="str">
        <f aca="false">IF(AND(ISNUMBER(C4262),ISNUMBER(D4262)),D4262-C4262,"")</f>
        <v/>
      </c>
      <c r="Z4262" s="23" t="str">
        <f aca="false">IF(B4262="","",IF(MATCH(B4262,$B$2:$B$12000,0)=ROW()-1,1,0))</f>
        <v/>
      </c>
    </row>
    <row r="4263" customFormat="false" ht="15" hidden="false" customHeight="false" outlineLevel="0" collapsed="false">
      <c r="V4263" s="23" t="str">
        <f aca="false">IF(ISNUMBER(C4263),YEAR(C4263),"")</f>
        <v/>
      </c>
      <c r="W4263" s="23" t="str">
        <f aca="false">IF(ISNUMBER(C4263),MONTH(C4263),"")</f>
        <v/>
      </c>
      <c r="X4263" s="23" t="str">
        <f aca="false">IF(T4263="","",IF(T4263=0,"No discount",IF(T4263&lt;=0.2,"Low (1-20%)",IF(T4263&lt;=0.4,"Medium (21-40%)","High (&gt;40%)"))))</f>
        <v/>
      </c>
      <c r="Y4263" s="23" t="str">
        <f aca="false">IF(AND(ISNUMBER(C4263),ISNUMBER(D4263)),D4263-C4263,"")</f>
        <v/>
      </c>
      <c r="Z4263" s="23" t="str">
        <f aca="false">IF(B4263="","",IF(MATCH(B4263,$B$2:$B$12000,0)=ROW()-1,1,0))</f>
        <v/>
      </c>
    </row>
    <row r="4264" customFormat="false" ht="15" hidden="false" customHeight="false" outlineLevel="0" collapsed="false">
      <c r="V4264" s="23" t="str">
        <f aca="false">IF(ISNUMBER(C4264),YEAR(C4264),"")</f>
        <v/>
      </c>
      <c r="W4264" s="23" t="str">
        <f aca="false">IF(ISNUMBER(C4264),MONTH(C4264),"")</f>
        <v/>
      </c>
      <c r="X4264" s="23" t="str">
        <f aca="false">IF(T4264="","",IF(T4264=0,"No discount",IF(T4264&lt;=0.2,"Low (1-20%)",IF(T4264&lt;=0.4,"Medium (21-40%)","High (&gt;40%)"))))</f>
        <v/>
      </c>
      <c r="Y4264" s="23" t="str">
        <f aca="false">IF(AND(ISNUMBER(C4264),ISNUMBER(D4264)),D4264-C4264,"")</f>
        <v/>
      </c>
      <c r="Z4264" s="23" t="str">
        <f aca="false">IF(B4264="","",IF(MATCH(B4264,$B$2:$B$12000,0)=ROW()-1,1,0))</f>
        <v/>
      </c>
    </row>
    <row r="4265" customFormat="false" ht="15" hidden="false" customHeight="false" outlineLevel="0" collapsed="false">
      <c r="V4265" s="23" t="str">
        <f aca="false">IF(ISNUMBER(C4265),YEAR(C4265),"")</f>
        <v/>
      </c>
      <c r="W4265" s="23" t="str">
        <f aca="false">IF(ISNUMBER(C4265),MONTH(C4265),"")</f>
        <v/>
      </c>
      <c r="X4265" s="23" t="str">
        <f aca="false">IF(T4265="","",IF(T4265=0,"No discount",IF(T4265&lt;=0.2,"Low (1-20%)",IF(T4265&lt;=0.4,"Medium (21-40%)","High (&gt;40%)"))))</f>
        <v/>
      </c>
      <c r="Y4265" s="23" t="str">
        <f aca="false">IF(AND(ISNUMBER(C4265),ISNUMBER(D4265)),D4265-C4265,"")</f>
        <v/>
      </c>
      <c r="Z4265" s="23" t="str">
        <f aca="false">IF(B4265="","",IF(MATCH(B4265,$B$2:$B$12000,0)=ROW()-1,1,0))</f>
        <v/>
      </c>
    </row>
    <row r="4266" customFormat="false" ht="15" hidden="false" customHeight="false" outlineLevel="0" collapsed="false">
      <c r="V4266" s="23" t="str">
        <f aca="false">IF(ISNUMBER(C4266),YEAR(C4266),"")</f>
        <v/>
      </c>
      <c r="W4266" s="23" t="str">
        <f aca="false">IF(ISNUMBER(C4266),MONTH(C4266),"")</f>
        <v/>
      </c>
      <c r="X4266" s="23" t="str">
        <f aca="false">IF(T4266="","",IF(T4266=0,"No discount",IF(T4266&lt;=0.2,"Low (1-20%)",IF(T4266&lt;=0.4,"Medium (21-40%)","High (&gt;40%)"))))</f>
        <v/>
      </c>
      <c r="Y4266" s="23" t="str">
        <f aca="false">IF(AND(ISNUMBER(C4266),ISNUMBER(D4266)),D4266-C4266,"")</f>
        <v/>
      </c>
      <c r="Z4266" s="23" t="str">
        <f aca="false">IF(B4266="","",IF(MATCH(B4266,$B$2:$B$12000,0)=ROW()-1,1,0))</f>
        <v/>
      </c>
    </row>
    <row r="4267" customFormat="false" ht="15" hidden="false" customHeight="false" outlineLevel="0" collapsed="false">
      <c r="V4267" s="23" t="str">
        <f aca="false">IF(ISNUMBER(C4267),YEAR(C4267),"")</f>
        <v/>
      </c>
      <c r="W4267" s="23" t="str">
        <f aca="false">IF(ISNUMBER(C4267),MONTH(C4267),"")</f>
        <v/>
      </c>
      <c r="X4267" s="23" t="str">
        <f aca="false">IF(T4267="","",IF(T4267=0,"No discount",IF(T4267&lt;=0.2,"Low (1-20%)",IF(T4267&lt;=0.4,"Medium (21-40%)","High (&gt;40%)"))))</f>
        <v/>
      </c>
      <c r="Y4267" s="23" t="str">
        <f aca="false">IF(AND(ISNUMBER(C4267),ISNUMBER(D4267)),D4267-C4267,"")</f>
        <v/>
      </c>
      <c r="Z4267" s="23" t="str">
        <f aca="false">IF(B4267="","",IF(MATCH(B4267,$B$2:$B$12000,0)=ROW()-1,1,0))</f>
        <v/>
      </c>
    </row>
    <row r="4268" customFormat="false" ht="15" hidden="false" customHeight="false" outlineLevel="0" collapsed="false">
      <c r="V4268" s="23" t="str">
        <f aca="false">IF(ISNUMBER(C4268),YEAR(C4268),"")</f>
        <v/>
      </c>
      <c r="W4268" s="23" t="str">
        <f aca="false">IF(ISNUMBER(C4268),MONTH(C4268),"")</f>
        <v/>
      </c>
      <c r="X4268" s="23" t="str">
        <f aca="false">IF(T4268="","",IF(T4268=0,"No discount",IF(T4268&lt;=0.2,"Low (1-20%)",IF(T4268&lt;=0.4,"Medium (21-40%)","High (&gt;40%)"))))</f>
        <v/>
      </c>
      <c r="Y4268" s="23" t="str">
        <f aca="false">IF(AND(ISNUMBER(C4268),ISNUMBER(D4268)),D4268-C4268,"")</f>
        <v/>
      </c>
      <c r="Z4268" s="23" t="str">
        <f aca="false">IF(B4268="","",IF(MATCH(B4268,$B$2:$B$12000,0)=ROW()-1,1,0))</f>
        <v/>
      </c>
    </row>
    <row r="4269" customFormat="false" ht="15" hidden="false" customHeight="false" outlineLevel="0" collapsed="false">
      <c r="V4269" s="23" t="str">
        <f aca="false">IF(ISNUMBER(C4269),YEAR(C4269),"")</f>
        <v/>
      </c>
      <c r="W4269" s="23" t="str">
        <f aca="false">IF(ISNUMBER(C4269),MONTH(C4269),"")</f>
        <v/>
      </c>
      <c r="X4269" s="23" t="str">
        <f aca="false">IF(T4269="","",IF(T4269=0,"No discount",IF(T4269&lt;=0.2,"Low (1-20%)",IF(T4269&lt;=0.4,"Medium (21-40%)","High (&gt;40%)"))))</f>
        <v/>
      </c>
      <c r="Y4269" s="23" t="str">
        <f aca="false">IF(AND(ISNUMBER(C4269),ISNUMBER(D4269)),D4269-C4269,"")</f>
        <v/>
      </c>
      <c r="Z4269" s="23" t="str">
        <f aca="false">IF(B4269="","",IF(MATCH(B4269,$B$2:$B$12000,0)=ROW()-1,1,0))</f>
        <v/>
      </c>
    </row>
    <row r="4270" customFormat="false" ht="15" hidden="false" customHeight="false" outlineLevel="0" collapsed="false">
      <c r="V4270" s="23" t="str">
        <f aca="false">IF(ISNUMBER(C4270),YEAR(C4270),"")</f>
        <v/>
      </c>
      <c r="W4270" s="23" t="str">
        <f aca="false">IF(ISNUMBER(C4270),MONTH(C4270),"")</f>
        <v/>
      </c>
      <c r="X4270" s="23" t="str">
        <f aca="false">IF(T4270="","",IF(T4270=0,"No discount",IF(T4270&lt;=0.2,"Low (1-20%)",IF(T4270&lt;=0.4,"Medium (21-40%)","High (&gt;40%)"))))</f>
        <v/>
      </c>
      <c r="Y4270" s="23" t="str">
        <f aca="false">IF(AND(ISNUMBER(C4270),ISNUMBER(D4270)),D4270-C4270,"")</f>
        <v/>
      </c>
      <c r="Z4270" s="23" t="str">
        <f aca="false">IF(B4270="","",IF(MATCH(B4270,$B$2:$B$12000,0)=ROW()-1,1,0))</f>
        <v/>
      </c>
    </row>
    <row r="4271" customFormat="false" ht="15" hidden="false" customHeight="false" outlineLevel="0" collapsed="false">
      <c r="V4271" s="23" t="str">
        <f aca="false">IF(ISNUMBER(C4271),YEAR(C4271),"")</f>
        <v/>
      </c>
      <c r="W4271" s="23" t="str">
        <f aca="false">IF(ISNUMBER(C4271),MONTH(C4271),"")</f>
        <v/>
      </c>
      <c r="X4271" s="23" t="str">
        <f aca="false">IF(T4271="","",IF(T4271=0,"No discount",IF(T4271&lt;=0.2,"Low (1-20%)",IF(T4271&lt;=0.4,"Medium (21-40%)","High (&gt;40%)"))))</f>
        <v/>
      </c>
      <c r="Y4271" s="23" t="str">
        <f aca="false">IF(AND(ISNUMBER(C4271),ISNUMBER(D4271)),D4271-C4271,"")</f>
        <v/>
      </c>
      <c r="Z4271" s="23" t="str">
        <f aca="false">IF(B4271="","",IF(MATCH(B4271,$B$2:$B$12000,0)=ROW()-1,1,0))</f>
        <v/>
      </c>
    </row>
    <row r="4272" customFormat="false" ht="15" hidden="false" customHeight="false" outlineLevel="0" collapsed="false">
      <c r="V4272" s="23" t="str">
        <f aca="false">IF(ISNUMBER(C4272),YEAR(C4272),"")</f>
        <v/>
      </c>
      <c r="W4272" s="23" t="str">
        <f aca="false">IF(ISNUMBER(C4272),MONTH(C4272),"")</f>
        <v/>
      </c>
      <c r="X4272" s="23" t="str">
        <f aca="false">IF(T4272="","",IF(T4272=0,"No discount",IF(T4272&lt;=0.2,"Low (1-20%)",IF(T4272&lt;=0.4,"Medium (21-40%)","High (&gt;40%)"))))</f>
        <v/>
      </c>
      <c r="Y4272" s="23" t="str">
        <f aca="false">IF(AND(ISNUMBER(C4272),ISNUMBER(D4272)),D4272-C4272,"")</f>
        <v/>
      </c>
      <c r="Z4272" s="23" t="str">
        <f aca="false">IF(B4272="","",IF(MATCH(B4272,$B$2:$B$12000,0)=ROW()-1,1,0))</f>
        <v/>
      </c>
    </row>
    <row r="4273" customFormat="false" ht="15" hidden="false" customHeight="false" outlineLevel="0" collapsed="false">
      <c r="V4273" s="23" t="str">
        <f aca="false">IF(ISNUMBER(C4273),YEAR(C4273),"")</f>
        <v/>
      </c>
      <c r="W4273" s="23" t="str">
        <f aca="false">IF(ISNUMBER(C4273),MONTH(C4273),"")</f>
        <v/>
      </c>
      <c r="X4273" s="23" t="str">
        <f aca="false">IF(T4273="","",IF(T4273=0,"No discount",IF(T4273&lt;=0.2,"Low (1-20%)",IF(T4273&lt;=0.4,"Medium (21-40%)","High (&gt;40%)"))))</f>
        <v/>
      </c>
      <c r="Y4273" s="23" t="str">
        <f aca="false">IF(AND(ISNUMBER(C4273),ISNUMBER(D4273)),D4273-C4273,"")</f>
        <v/>
      </c>
      <c r="Z4273" s="23" t="str">
        <f aca="false">IF(B4273="","",IF(MATCH(B4273,$B$2:$B$12000,0)=ROW()-1,1,0))</f>
        <v/>
      </c>
    </row>
    <row r="4274" customFormat="false" ht="15" hidden="false" customHeight="false" outlineLevel="0" collapsed="false">
      <c r="V4274" s="23" t="str">
        <f aca="false">IF(ISNUMBER(C4274),YEAR(C4274),"")</f>
        <v/>
      </c>
      <c r="W4274" s="23" t="str">
        <f aca="false">IF(ISNUMBER(C4274),MONTH(C4274),"")</f>
        <v/>
      </c>
      <c r="X4274" s="23" t="str">
        <f aca="false">IF(T4274="","",IF(T4274=0,"No discount",IF(T4274&lt;=0.2,"Low (1-20%)",IF(T4274&lt;=0.4,"Medium (21-40%)","High (&gt;40%)"))))</f>
        <v/>
      </c>
      <c r="Y4274" s="23" t="str">
        <f aca="false">IF(AND(ISNUMBER(C4274),ISNUMBER(D4274)),D4274-C4274,"")</f>
        <v/>
      </c>
      <c r="Z4274" s="23" t="str">
        <f aca="false">IF(B4274="","",IF(MATCH(B4274,$B$2:$B$12000,0)=ROW()-1,1,0))</f>
        <v/>
      </c>
    </row>
    <row r="4275" customFormat="false" ht="15" hidden="false" customHeight="false" outlineLevel="0" collapsed="false">
      <c r="V4275" s="23" t="str">
        <f aca="false">IF(ISNUMBER(C4275),YEAR(C4275),"")</f>
        <v/>
      </c>
      <c r="W4275" s="23" t="str">
        <f aca="false">IF(ISNUMBER(C4275),MONTH(C4275),"")</f>
        <v/>
      </c>
      <c r="X4275" s="23" t="str">
        <f aca="false">IF(T4275="","",IF(T4275=0,"No discount",IF(T4275&lt;=0.2,"Low (1-20%)",IF(T4275&lt;=0.4,"Medium (21-40%)","High (&gt;40%)"))))</f>
        <v/>
      </c>
      <c r="Y4275" s="23" t="str">
        <f aca="false">IF(AND(ISNUMBER(C4275),ISNUMBER(D4275)),D4275-C4275,"")</f>
        <v/>
      </c>
      <c r="Z4275" s="23" t="str">
        <f aca="false">IF(B4275="","",IF(MATCH(B4275,$B$2:$B$12000,0)=ROW()-1,1,0))</f>
        <v/>
      </c>
    </row>
    <row r="4276" customFormat="false" ht="15" hidden="false" customHeight="false" outlineLevel="0" collapsed="false">
      <c r="V4276" s="23" t="str">
        <f aca="false">IF(ISNUMBER(C4276),YEAR(C4276),"")</f>
        <v/>
      </c>
      <c r="W4276" s="23" t="str">
        <f aca="false">IF(ISNUMBER(C4276),MONTH(C4276),"")</f>
        <v/>
      </c>
      <c r="X4276" s="23" t="str">
        <f aca="false">IF(T4276="","",IF(T4276=0,"No discount",IF(T4276&lt;=0.2,"Low (1-20%)",IF(T4276&lt;=0.4,"Medium (21-40%)","High (&gt;40%)"))))</f>
        <v/>
      </c>
      <c r="Y4276" s="23" t="str">
        <f aca="false">IF(AND(ISNUMBER(C4276),ISNUMBER(D4276)),D4276-C4276,"")</f>
        <v/>
      </c>
      <c r="Z4276" s="23" t="str">
        <f aca="false">IF(B4276="","",IF(MATCH(B4276,$B$2:$B$12000,0)=ROW()-1,1,0))</f>
        <v/>
      </c>
    </row>
    <row r="4277" customFormat="false" ht="15" hidden="false" customHeight="false" outlineLevel="0" collapsed="false">
      <c r="V4277" s="23" t="str">
        <f aca="false">IF(ISNUMBER(C4277),YEAR(C4277),"")</f>
        <v/>
      </c>
      <c r="W4277" s="23" t="str">
        <f aca="false">IF(ISNUMBER(C4277),MONTH(C4277),"")</f>
        <v/>
      </c>
      <c r="X4277" s="23" t="str">
        <f aca="false">IF(T4277="","",IF(T4277=0,"No discount",IF(T4277&lt;=0.2,"Low (1-20%)",IF(T4277&lt;=0.4,"Medium (21-40%)","High (&gt;40%)"))))</f>
        <v/>
      </c>
      <c r="Y4277" s="23" t="str">
        <f aca="false">IF(AND(ISNUMBER(C4277),ISNUMBER(D4277)),D4277-C4277,"")</f>
        <v/>
      </c>
      <c r="Z4277" s="23" t="str">
        <f aca="false">IF(B4277="","",IF(MATCH(B4277,$B$2:$B$12000,0)=ROW()-1,1,0))</f>
        <v/>
      </c>
    </row>
    <row r="4278" customFormat="false" ht="15" hidden="false" customHeight="false" outlineLevel="0" collapsed="false">
      <c r="V4278" s="23" t="str">
        <f aca="false">IF(ISNUMBER(C4278),YEAR(C4278),"")</f>
        <v/>
      </c>
      <c r="W4278" s="23" t="str">
        <f aca="false">IF(ISNUMBER(C4278),MONTH(C4278),"")</f>
        <v/>
      </c>
      <c r="X4278" s="23" t="str">
        <f aca="false">IF(T4278="","",IF(T4278=0,"No discount",IF(T4278&lt;=0.2,"Low (1-20%)",IF(T4278&lt;=0.4,"Medium (21-40%)","High (&gt;40%)"))))</f>
        <v/>
      </c>
      <c r="Y4278" s="23" t="str">
        <f aca="false">IF(AND(ISNUMBER(C4278),ISNUMBER(D4278)),D4278-C4278,"")</f>
        <v/>
      </c>
      <c r="Z4278" s="23" t="str">
        <f aca="false">IF(B4278="","",IF(MATCH(B4278,$B$2:$B$12000,0)=ROW()-1,1,0))</f>
        <v/>
      </c>
    </row>
    <row r="4279" customFormat="false" ht="15" hidden="false" customHeight="false" outlineLevel="0" collapsed="false">
      <c r="V4279" s="23" t="str">
        <f aca="false">IF(ISNUMBER(C4279),YEAR(C4279),"")</f>
        <v/>
      </c>
      <c r="W4279" s="23" t="str">
        <f aca="false">IF(ISNUMBER(C4279),MONTH(C4279),"")</f>
        <v/>
      </c>
      <c r="X4279" s="23" t="str">
        <f aca="false">IF(T4279="","",IF(T4279=0,"No discount",IF(T4279&lt;=0.2,"Low (1-20%)",IF(T4279&lt;=0.4,"Medium (21-40%)","High (&gt;40%)"))))</f>
        <v/>
      </c>
      <c r="Y4279" s="23" t="str">
        <f aca="false">IF(AND(ISNUMBER(C4279),ISNUMBER(D4279)),D4279-C4279,"")</f>
        <v/>
      </c>
      <c r="Z4279" s="23" t="str">
        <f aca="false">IF(B4279="","",IF(MATCH(B4279,$B$2:$B$12000,0)=ROW()-1,1,0))</f>
        <v/>
      </c>
    </row>
    <row r="4280" customFormat="false" ht="15" hidden="false" customHeight="false" outlineLevel="0" collapsed="false">
      <c r="V4280" s="23" t="str">
        <f aca="false">IF(ISNUMBER(C4280),YEAR(C4280),"")</f>
        <v/>
      </c>
      <c r="W4280" s="23" t="str">
        <f aca="false">IF(ISNUMBER(C4280),MONTH(C4280),"")</f>
        <v/>
      </c>
      <c r="X4280" s="23" t="str">
        <f aca="false">IF(T4280="","",IF(T4280=0,"No discount",IF(T4280&lt;=0.2,"Low (1-20%)",IF(T4280&lt;=0.4,"Medium (21-40%)","High (&gt;40%)"))))</f>
        <v/>
      </c>
      <c r="Y4280" s="23" t="str">
        <f aca="false">IF(AND(ISNUMBER(C4280),ISNUMBER(D4280)),D4280-C4280,"")</f>
        <v/>
      </c>
      <c r="Z4280" s="23" t="str">
        <f aca="false">IF(B4280="","",IF(MATCH(B4280,$B$2:$B$12000,0)=ROW()-1,1,0))</f>
        <v/>
      </c>
    </row>
    <row r="4281" customFormat="false" ht="15" hidden="false" customHeight="false" outlineLevel="0" collapsed="false">
      <c r="V4281" s="23" t="str">
        <f aca="false">IF(ISNUMBER(C4281),YEAR(C4281),"")</f>
        <v/>
      </c>
      <c r="W4281" s="23" t="str">
        <f aca="false">IF(ISNUMBER(C4281),MONTH(C4281),"")</f>
        <v/>
      </c>
      <c r="X4281" s="23" t="str">
        <f aca="false">IF(T4281="","",IF(T4281=0,"No discount",IF(T4281&lt;=0.2,"Low (1-20%)",IF(T4281&lt;=0.4,"Medium (21-40%)","High (&gt;40%)"))))</f>
        <v/>
      </c>
      <c r="Y4281" s="23" t="str">
        <f aca="false">IF(AND(ISNUMBER(C4281),ISNUMBER(D4281)),D4281-C4281,"")</f>
        <v/>
      </c>
      <c r="Z4281" s="23" t="str">
        <f aca="false">IF(B4281="","",IF(MATCH(B4281,$B$2:$B$12000,0)=ROW()-1,1,0))</f>
        <v/>
      </c>
    </row>
    <row r="4282" customFormat="false" ht="15" hidden="false" customHeight="false" outlineLevel="0" collapsed="false">
      <c r="V4282" s="23" t="str">
        <f aca="false">IF(ISNUMBER(C4282),YEAR(C4282),"")</f>
        <v/>
      </c>
      <c r="W4282" s="23" t="str">
        <f aca="false">IF(ISNUMBER(C4282),MONTH(C4282),"")</f>
        <v/>
      </c>
      <c r="X4282" s="23" t="str">
        <f aca="false">IF(T4282="","",IF(T4282=0,"No discount",IF(T4282&lt;=0.2,"Low (1-20%)",IF(T4282&lt;=0.4,"Medium (21-40%)","High (&gt;40%)"))))</f>
        <v/>
      </c>
      <c r="Y4282" s="23" t="str">
        <f aca="false">IF(AND(ISNUMBER(C4282),ISNUMBER(D4282)),D4282-C4282,"")</f>
        <v/>
      </c>
      <c r="Z4282" s="23" t="str">
        <f aca="false">IF(B4282="","",IF(MATCH(B4282,$B$2:$B$12000,0)=ROW()-1,1,0))</f>
        <v/>
      </c>
    </row>
    <row r="4283" customFormat="false" ht="15" hidden="false" customHeight="false" outlineLevel="0" collapsed="false">
      <c r="V4283" s="23" t="str">
        <f aca="false">IF(ISNUMBER(C4283),YEAR(C4283),"")</f>
        <v/>
      </c>
      <c r="W4283" s="23" t="str">
        <f aca="false">IF(ISNUMBER(C4283),MONTH(C4283),"")</f>
        <v/>
      </c>
      <c r="X4283" s="23" t="str">
        <f aca="false">IF(T4283="","",IF(T4283=0,"No discount",IF(T4283&lt;=0.2,"Low (1-20%)",IF(T4283&lt;=0.4,"Medium (21-40%)","High (&gt;40%)"))))</f>
        <v/>
      </c>
      <c r="Y4283" s="23" t="str">
        <f aca="false">IF(AND(ISNUMBER(C4283),ISNUMBER(D4283)),D4283-C4283,"")</f>
        <v/>
      </c>
      <c r="Z4283" s="23" t="str">
        <f aca="false">IF(B4283="","",IF(MATCH(B4283,$B$2:$B$12000,0)=ROW()-1,1,0))</f>
        <v/>
      </c>
    </row>
    <row r="4284" customFormat="false" ht="15" hidden="false" customHeight="false" outlineLevel="0" collapsed="false">
      <c r="V4284" s="23" t="str">
        <f aca="false">IF(ISNUMBER(C4284),YEAR(C4284),"")</f>
        <v/>
      </c>
      <c r="W4284" s="23" t="str">
        <f aca="false">IF(ISNUMBER(C4284),MONTH(C4284),"")</f>
        <v/>
      </c>
      <c r="X4284" s="23" t="str">
        <f aca="false">IF(T4284="","",IF(T4284=0,"No discount",IF(T4284&lt;=0.2,"Low (1-20%)",IF(T4284&lt;=0.4,"Medium (21-40%)","High (&gt;40%)"))))</f>
        <v/>
      </c>
      <c r="Y4284" s="23" t="str">
        <f aca="false">IF(AND(ISNUMBER(C4284),ISNUMBER(D4284)),D4284-C4284,"")</f>
        <v/>
      </c>
      <c r="Z4284" s="23" t="str">
        <f aca="false">IF(B4284="","",IF(MATCH(B4284,$B$2:$B$12000,0)=ROW()-1,1,0))</f>
        <v/>
      </c>
    </row>
    <row r="4285" customFormat="false" ht="15" hidden="false" customHeight="false" outlineLevel="0" collapsed="false">
      <c r="V4285" s="23" t="str">
        <f aca="false">IF(ISNUMBER(C4285),YEAR(C4285),"")</f>
        <v/>
      </c>
      <c r="W4285" s="23" t="str">
        <f aca="false">IF(ISNUMBER(C4285),MONTH(C4285),"")</f>
        <v/>
      </c>
      <c r="X4285" s="23" t="str">
        <f aca="false">IF(T4285="","",IF(T4285=0,"No discount",IF(T4285&lt;=0.2,"Low (1-20%)",IF(T4285&lt;=0.4,"Medium (21-40%)","High (&gt;40%)"))))</f>
        <v/>
      </c>
      <c r="Y4285" s="23" t="str">
        <f aca="false">IF(AND(ISNUMBER(C4285),ISNUMBER(D4285)),D4285-C4285,"")</f>
        <v/>
      </c>
      <c r="Z4285" s="23" t="str">
        <f aca="false">IF(B4285="","",IF(MATCH(B4285,$B$2:$B$12000,0)=ROW()-1,1,0))</f>
        <v/>
      </c>
    </row>
    <row r="4286" customFormat="false" ht="15" hidden="false" customHeight="false" outlineLevel="0" collapsed="false">
      <c r="V4286" s="23" t="str">
        <f aca="false">IF(ISNUMBER(C4286),YEAR(C4286),"")</f>
        <v/>
      </c>
      <c r="W4286" s="23" t="str">
        <f aca="false">IF(ISNUMBER(C4286),MONTH(C4286),"")</f>
        <v/>
      </c>
      <c r="X4286" s="23" t="str">
        <f aca="false">IF(T4286="","",IF(T4286=0,"No discount",IF(T4286&lt;=0.2,"Low (1-20%)",IF(T4286&lt;=0.4,"Medium (21-40%)","High (&gt;40%)"))))</f>
        <v/>
      </c>
      <c r="Y4286" s="23" t="str">
        <f aca="false">IF(AND(ISNUMBER(C4286),ISNUMBER(D4286)),D4286-C4286,"")</f>
        <v/>
      </c>
      <c r="Z4286" s="23" t="str">
        <f aca="false">IF(B4286="","",IF(MATCH(B4286,$B$2:$B$12000,0)=ROW()-1,1,0))</f>
        <v/>
      </c>
    </row>
    <row r="4287" customFormat="false" ht="15" hidden="false" customHeight="false" outlineLevel="0" collapsed="false">
      <c r="V4287" s="23" t="str">
        <f aca="false">IF(ISNUMBER(C4287),YEAR(C4287),"")</f>
        <v/>
      </c>
      <c r="W4287" s="23" t="str">
        <f aca="false">IF(ISNUMBER(C4287),MONTH(C4287),"")</f>
        <v/>
      </c>
      <c r="X4287" s="23" t="str">
        <f aca="false">IF(T4287="","",IF(T4287=0,"No discount",IF(T4287&lt;=0.2,"Low (1-20%)",IF(T4287&lt;=0.4,"Medium (21-40%)","High (&gt;40%)"))))</f>
        <v/>
      </c>
      <c r="Y4287" s="23" t="str">
        <f aca="false">IF(AND(ISNUMBER(C4287),ISNUMBER(D4287)),D4287-C4287,"")</f>
        <v/>
      </c>
      <c r="Z4287" s="23" t="str">
        <f aca="false">IF(B4287="","",IF(MATCH(B4287,$B$2:$B$12000,0)=ROW()-1,1,0))</f>
        <v/>
      </c>
    </row>
    <row r="4288" customFormat="false" ht="15" hidden="false" customHeight="false" outlineLevel="0" collapsed="false">
      <c r="V4288" s="23" t="str">
        <f aca="false">IF(ISNUMBER(C4288),YEAR(C4288),"")</f>
        <v/>
      </c>
      <c r="W4288" s="23" t="str">
        <f aca="false">IF(ISNUMBER(C4288),MONTH(C4288),"")</f>
        <v/>
      </c>
      <c r="X4288" s="23" t="str">
        <f aca="false">IF(T4288="","",IF(T4288=0,"No discount",IF(T4288&lt;=0.2,"Low (1-20%)",IF(T4288&lt;=0.4,"Medium (21-40%)","High (&gt;40%)"))))</f>
        <v/>
      </c>
      <c r="Y4288" s="23" t="str">
        <f aca="false">IF(AND(ISNUMBER(C4288),ISNUMBER(D4288)),D4288-C4288,"")</f>
        <v/>
      </c>
      <c r="Z4288" s="23" t="str">
        <f aca="false">IF(B4288="","",IF(MATCH(B4288,$B$2:$B$12000,0)=ROW()-1,1,0))</f>
        <v/>
      </c>
    </row>
    <row r="4289" customFormat="false" ht="15" hidden="false" customHeight="false" outlineLevel="0" collapsed="false">
      <c r="V4289" s="23" t="str">
        <f aca="false">IF(ISNUMBER(C4289),YEAR(C4289),"")</f>
        <v/>
      </c>
      <c r="W4289" s="23" t="str">
        <f aca="false">IF(ISNUMBER(C4289),MONTH(C4289),"")</f>
        <v/>
      </c>
      <c r="X4289" s="23" t="str">
        <f aca="false">IF(T4289="","",IF(T4289=0,"No discount",IF(T4289&lt;=0.2,"Low (1-20%)",IF(T4289&lt;=0.4,"Medium (21-40%)","High (&gt;40%)"))))</f>
        <v/>
      </c>
      <c r="Y4289" s="23" t="str">
        <f aca="false">IF(AND(ISNUMBER(C4289),ISNUMBER(D4289)),D4289-C4289,"")</f>
        <v/>
      </c>
      <c r="Z4289" s="23" t="str">
        <f aca="false">IF(B4289="","",IF(MATCH(B4289,$B$2:$B$12000,0)=ROW()-1,1,0))</f>
        <v/>
      </c>
    </row>
    <row r="4290" customFormat="false" ht="15" hidden="false" customHeight="false" outlineLevel="0" collapsed="false">
      <c r="V4290" s="23" t="str">
        <f aca="false">IF(ISNUMBER(C4290),YEAR(C4290),"")</f>
        <v/>
      </c>
      <c r="W4290" s="23" t="str">
        <f aca="false">IF(ISNUMBER(C4290),MONTH(C4290),"")</f>
        <v/>
      </c>
      <c r="X4290" s="23" t="str">
        <f aca="false">IF(T4290="","",IF(T4290=0,"No discount",IF(T4290&lt;=0.2,"Low (1-20%)",IF(T4290&lt;=0.4,"Medium (21-40%)","High (&gt;40%)"))))</f>
        <v/>
      </c>
      <c r="Y4290" s="23" t="str">
        <f aca="false">IF(AND(ISNUMBER(C4290),ISNUMBER(D4290)),D4290-C4290,"")</f>
        <v/>
      </c>
      <c r="Z4290" s="23" t="str">
        <f aca="false">IF(B4290="","",IF(MATCH(B4290,$B$2:$B$12000,0)=ROW()-1,1,0))</f>
        <v/>
      </c>
    </row>
    <row r="4291" customFormat="false" ht="15" hidden="false" customHeight="false" outlineLevel="0" collapsed="false">
      <c r="V4291" s="23" t="str">
        <f aca="false">IF(ISNUMBER(C4291),YEAR(C4291),"")</f>
        <v/>
      </c>
      <c r="W4291" s="23" t="str">
        <f aca="false">IF(ISNUMBER(C4291),MONTH(C4291),"")</f>
        <v/>
      </c>
      <c r="X4291" s="23" t="str">
        <f aca="false">IF(T4291="","",IF(T4291=0,"No discount",IF(T4291&lt;=0.2,"Low (1-20%)",IF(T4291&lt;=0.4,"Medium (21-40%)","High (&gt;40%)"))))</f>
        <v/>
      </c>
      <c r="Y4291" s="23" t="str">
        <f aca="false">IF(AND(ISNUMBER(C4291),ISNUMBER(D4291)),D4291-C4291,"")</f>
        <v/>
      </c>
      <c r="Z4291" s="23" t="str">
        <f aca="false">IF(B4291="","",IF(MATCH(B4291,$B$2:$B$12000,0)=ROW()-1,1,0))</f>
        <v/>
      </c>
    </row>
    <row r="4292" customFormat="false" ht="15" hidden="false" customHeight="false" outlineLevel="0" collapsed="false">
      <c r="V4292" s="23" t="str">
        <f aca="false">IF(ISNUMBER(C4292),YEAR(C4292),"")</f>
        <v/>
      </c>
      <c r="W4292" s="23" t="str">
        <f aca="false">IF(ISNUMBER(C4292),MONTH(C4292),"")</f>
        <v/>
      </c>
      <c r="X4292" s="23" t="str">
        <f aca="false">IF(T4292="","",IF(T4292=0,"No discount",IF(T4292&lt;=0.2,"Low (1-20%)",IF(T4292&lt;=0.4,"Medium (21-40%)","High (&gt;40%)"))))</f>
        <v/>
      </c>
      <c r="Y4292" s="23" t="str">
        <f aca="false">IF(AND(ISNUMBER(C4292),ISNUMBER(D4292)),D4292-C4292,"")</f>
        <v/>
      </c>
      <c r="Z4292" s="23" t="str">
        <f aca="false">IF(B4292="","",IF(MATCH(B4292,$B$2:$B$12000,0)=ROW()-1,1,0))</f>
        <v/>
      </c>
    </row>
    <row r="4293" customFormat="false" ht="15" hidden="false" customHeight="false" outlineLevel="0" collapsed="false">
      <c r="V4293" s="23" t="str">
        <f aca="false">IF(ISNUMBER(C4293),YEAR(C4293),"")</f>
        <v/>
      </c>
      <c r="W4293" s="23" t="str">
        <f aca="false">IF(ISNUMBER(C4293),MONTH(C4293),"")</f>
        <v/>
      </c>
      <c r="X4293" s="23" t="str">
        <f aca="false">IF(T4293="","",IF(T4293=0,"No discount",IF(T4293&lt;=0.2,"Low (1-20%)",IF(T4293&lt;=0.4,"Medium (21-40%)","High (&gt;40%)"))))</f>
        <v/>
      </c>
      <c r="Y4293" s="23" t="str">
        <f aca="false">IF(AND(ISNUMBER(C4293),ISNUMBER(D4293)),D4293-C4293,"")</f>
        <v/>
      </c>
      <c r="Z4293" s="23" t="str">
        <f aca="false">IF(B4293="","",IF(MATCH(B4293,$B$2:$B$12000,0)=ROW()-1,1,0))</f>
        <v/>
      </c>
    </row>
    <row r="4294" customFormat="false" ht="15" hidden="false" customHeight="false" outlineLevel="0" collapsed="false">
      <c r="V4294" s="23" t="str">
        <f aca="false">IF(ISNUMBER(C4294),YEAR(C4294),"")</f>
        <v/>
      </c>
      <c r="W4294" s="23" t="str">
        <f aca="false">IF(ISNUMBER(C4294),MONTH(C4294),"")</f>
        <v/>
      </c>
      <c r="X4294" s="23" t="str">
        <f aca="false">IF(T4294="","",IF(T4294=0,"No discount",IF(T4294&lt;=0.2,"Low (1-20%)",IF(T4294&lt;=0.4,"Medium (21-40%)","High (&gt;40%)"))))</f>
        <v/>
      </c>
      <c r="Y4294" s="23" t="str">
        <f aca="false">IF(AND(ISNUMBER(C4294),ISNUMBER(D4294)),D4294-C4294,"")</f>
        <v/>
      </c>
      <c r="Z4294" s="23" t="str">
        <f aca="false">IF(B4294="","",IF(MATCH(B4294,$B$2:$B$12000,0)=ROW()-1,1,0))</f>
        <v/>
      </c>
    </row>
    <row r="4295" customFormat="false" ht="15" hidden="false" customHeight="false" outlineLevel="0" collapsed="false">
      <c r="V4295" s="23" t="str">
        <f aca="false">IF(ISNUMBER(C4295),YEAR(C4295),"")</f>
        <v/>
      </c>
      <c r="W4295" s="23" t="str">
        <f aca="false">IF(ISNUMBER(C4295),MONTH(C4295),"")</f>
        <v/>
      </c>
      <c r="X4295" s="23" t="str">
        <f aca="false">IF(T4295="","",IF(T4295=0,"No discount",IF(T4295&lt;=0.2,"Low (1-20%)",IF(T4295&lt;=0.4,"Medium (21-40%)","High (&gt;40%)"))))</f>
        <v/>
      </c>
      <c r="Y4295" s="23" t="str">
        <f aca="false">IF(AND(ISNUMBER(C4295),ISNUMBER(D4295)),D4295-C4295,"")</f>
        <v/>
      </c>
      <c r="Z4295" s="23" t="str">
        <f aca="false">IF(B4295="","",IF(MATCH(B4295,$B$2:$B$12000,0)=ROW()-1,1,0))</f>
        <v/>
      </c>
    </row>
    <row r="4296" customFormat="false" ht="15" hidden="false" customHeight="false" outlineLevel="0" collapsed="false">
      <c r="V4296" s="23" t="str">
        <f aca="false">IF(ISNUMBER(C4296),YEAR(C4296),"")</f>
        <v/>
      </c>
      <c r="W4296" s="23" t="str">
        <f aca="false">IF(ISNUMBER(C4296),MONTH(C4296),"")</f>
        <v/>
      </c>
      <c r="X4296" s="23" t="str">
        <f aca="false">IF(T4296="","",IF(T4296=0,"No discount",IF(T4296&lt;=0.2,"Low (1-20%)",IF(T4296&lt;=0.4,"Medium (21-40%)","High (&gt;40%)"))))</f>
        <v/>
      </c>
      <c r="Y4296" s="23" t="str">
        <f aca="false">IF(AND(ISNUMBER(C4296),ISNUMBER(D4296)),D4296-C4296,"")</f>
        <v/>
      </c>
      <c r="Z4296" s="23" t="str">
        <f aca="false">IF(B4296="","",IF(MATCH(B4296,$B$2:$B$12000,0)=ROW()-1,1,0))</f>
        <v/>
      </c>
    </row>
    <row r="4297" customFormat="false" ht="15" hidden="false" customHeight="false" outlineLevel="0" collapsed="false">
      <c r="V4297" s="23" t="str">
        <f aca="false">IF(ISNUMBER(C4297),YEAR(C4297),"")</f>
        <v/>
      </c>
      <c r="W4297" s="23" t="str">
        <f aca="false">IF(ISNUMBER(C4297),MONTH(C4297),"")</f>
        <v/>
      </c>
      <c r="X4297" s="23" t="str">
        <f aca="false">IF(T4297="","",IF(T4297=0,"No discount",IF(T4297&lt;=0.2,"Low (1-20%)",IF(T4297&lt;=0.4,"Medium (21-40%)","High (&gt;40%)"))))</f>
        <v/>
      </c>
      <c r="Y4297" s="23" t="str">
        <f aca="false">IF(AND(ISNUMBER(C4297),ISNUMBER(D4297)),D4297-C4297,"")</f>
        <v/>
      </c>
      <c r="Z4297" s="23" t="str">
        <f aca="false">IF(B4297="","",IF(MATCH(B4297,$B$2:$B$12000,0)=ROW()-1,1,0))</f>
        <v/>
      </c>
    </row>
    <row r="4298" customFormat="false" ht="15" hidden="false" customHeight="false" outlineLevel="0" collapsed="false">
      <c r="V4298" s="23" t="str">
        <f aca="false">IF(ISNUMBER(C4298),YEAR(C4298),"")</f>
        <v/>
      </c>
      <c r="W4298" s="23" t="str">
        <f aca="false">IF(ISNUMBER(C4298),MONTH(C4298),"")</f>
        <v/>
      </c>
      <c r="X4298" s="23" t="str">
        <f aca="false">IF(T4298="","",IF(T4298=0,"No discount",IF(T4298&lt;=0.2,"Low (1-20%)",IF(T4298&lt;=0.4,"Medium (21-40%)","High (&gt;40%)"))))</f>
        <v/>
      </c>
      <c r="Y4298" s="23" t="str">
        <f aca="false">IF(AND(ISNUMBER(C4298),ISNUMBER(D4298)),D4298-C4298,"")</f>
        <v/>
      </c>
      <c r="Z4298" s="23" t="str">
        <f aca="false">IF(B4298="","",IF(MATCH(B4298,$B$2:$B$12000,0)=ROW()-1,1,0))</f>
        <v/>
      </c>
    </row>
    <row r="4299" customFormat="false" ht="15" hidden="false" customHeight="false" outlineLevel="0" collapsed="false">
      <c r="V4299" s="23" t="str">
        <f aca="false">IF(ISNUMBER(C4299),YEAR(C4299),"")</f>
        <v/>
      </c>
      <c r="W4299" s="23" t="str">
        <f aca="false">IF(ISNUMBER(C4299),MONTH(C4299),"")</f>
        <v/>
      </c>
      <c r="X4299" s="23" t="str">
        <f aca="false">IF(T4299="","",IF(T4299=0,"No discount",IF(T4299&lt;=0.2,"Low (1-20%)",IF(T4299&lt;=0.4,"Medium (21-40%)","High (&gt;40%)"))))</f>
        <v/>
      </c>
      <c r="Y4299" s="23" t="str">
        <f aca="false">IF(AND(ISNUMBER(C4299),ISNUMBER(D4299)),D4299-C4299,"")</f>
        <v/>
      </c>
      <c r="Z4299" s="23" t="str">
        <f aca="false">IF(B4299="","",IF(MATCH(B4299,$B$2:$B$12000,0)=ROW()-1,1,0))</f>
        <v/>
      </c>
    </row>
    <row r="4300" customFormat="false" ht="15" hidden="false" customHeight="false" outlineLevel="0" collapsed="false">
      <c r="V4300" s="23" t="str">
        <f aca="false">IF(ISNUMBER(C4300),YEAR(C4300),"")</f>
        <v/>
      </c>
      <c r="W4300" s="23" t="str">
        <f aca="false">IF(ISNUMBER(C4300),MONTH(C4300),"")</f>
        <v/>
      </c>
      <c r="X4300" s="23" t="str">
        <f aca="false">IF(T4300="","",IF(T4300=0,"No discount",IF(T4300&lt;=0.2,"Low (1-20%)",IF(T4300&lt;=0.4,"Medium (21-40%)","High (&gt;40%)"))))</f>
        <v/>
      </c>
      <c r="Y4300" s="23" t="str">
        <f aca="false">IF(AND(ISNUMBER(C4300),ISNUMBER(D4300)),D4300-C4300,"")</f>
        <v/>
      </c>
      <c r="Z4300" s="23" t="str">
        <f aca="false">IF(B4300="","",IF(MATCH(B4300,$B$2:$B$12000,0)=ROW()-1,1,0))</f>
        <v/>
      </c>
    </row>
    <row r="4301" customFormat="false" ht="15" hidden="false" customHeight="false" outlineLevel="0" collapsed="false">
      <c r="V4301" s="23" t="str">
        <f aca="false">IF(ISNUMBER(C4301),YEAR(C4301),"")</f>
        <v/>
      </c>
      <c r="W4301" s="23" t="str">
        <f aca="false">IF(ISNUMBER(C4301),MONTH(C4301),"")</f>
        <v/>
      </c>
      <c r="X4301" s="23" t="str">
        <f aca="false">IF(T4301="","",IF(T4301=0,"No discount",IF(T4301&lt;=0.2,"Low (1-20%)",IF(T4301&lt;=0.4,"Medium (21-40%)","High (&gt;40%)"))))</f>
        <v/>
      </c>
      <c r="Y4301" s="23" t="str">
        <f aca="false">IF(AND(ISNUMBER(C4301),ISNUMBER(D4301)),D4301-C4301,"")</f>
        <v/>
      </c>
      <c r="Z4301" s="23" t="str">
        <f aca="false">IF(B4301="","",IF(MATCH(B4301,$B$2:$B$12000,0)=ROW()-1,1,0))</f>
        <v/>
      </c>
    </row>
    <row r="4302" customFormat="false" ht="15" hidden="false" customHeight="false" outlineLevel="0" collapsed="false">
      <c r="V4302" s="23" t="str">
        <f aca="false">IF(ISNUMBER(C4302),YEAR(C4302),"")</f>
        <v/>
      </c>
      <c r="W4302" s="23" t="str">
        <f aca="false">IF(ISNUMBER(C4302),MONTH(C4302),"")</f>
        <v/>
      </c>
      <c r="X4302" s="23" t="str">
        <f aca="false">IF(T4302="","",IF(T4302=0,"No discount",IF(T4302&lt;=0.2,"Low (1-20%)",IF(T4302&lt;=0.4,"Medium (21-40%)","High (&gt;40%)"))))</f>
        <v/>
      </c>
      <c r="Y4302" s="23" t="str">
        <f aca="false">IF(AND(ISNUMBER(C4302),ISNUMBER(D4302)),D4302-C4302,"")</f>
        <v/>
      </c>
      <c r="Z4302" s="23" t="str">
        <f aca="false">IF(B4302="","",IF(MATCH(B4302,$B$2:$B$12000,0)=ROW()-1,1,0))</f>
        <v/>
      </c>
    </row>
    <row r="4303" customFormat="false" ht="15" hidden="false" customHeight="false" outlineLevel="0" collapsed="false">
      <c r="V4303" s="23" t="str">
        <f aca="false">IF(ISNUMBER(C4303),YEAR(C4303),"")</f>
        <v/>
      </c>
      <c r="W4303" s="23" t="str">
        <f aca="false">IF(ISNUMBER(C4303),MONTH(C4303),"")</f>
        <v/>
      </c>
      <c r="X4303" s="23" t="str">
        <f aca="false">IF(T4303="","",IF(T4303=0,"No discount",IF(T4303&lt;=0.2,"Low (1-20%)",IF(T4303&lt;=0.4,"Medium (21-40%)","High (&gt;40%)"))))</f>
        <v/>
      </c>
      <c r="Y4303" s="23" t="str">
        <f aca="false">IF(AND(ISNUMBER(C4303),ISNUMBER(D4303)),D4303-C4303,"")</f>
        <v/>
      </c>
      <c r="Z4303" s="23" t="str">
        <f aca="false">IF(B4303="","",IF(MATCH(B4303,$B$2:$B$12000,0)=ROW()-1,1,0))</f>
        <v/>
      </c>
    </row>
    <row r="4304" customFormat="false" ht="15" hidden="false" customHeight="false" outlineLevel="0" collapsed="false">
      <c r="V4304" s="23" t="str">
        <f aca="false">IF(ISNUMBER(C4304),YEAR(C4304),"")</f>
        <v/>
      </c>
      <c r="W4304" s="23" t="str">
        <f aca="false">IF(ISNUMBER(C4304),MONTH(C4304),"")</f>
        <v/>
      </c>
      <c r="X4304" s="23" t="str">
        <f aca="false">IF(T4304="","",IF(T4304=0,"No discount",IF(T4304&lt;=0.2,"Low (1-20%)",IF(T4304&lt;=0.4,"Medium (21-40%)","High (&gt;40%)"))))</f>
        <v/>
      </c>
      <c r="Y4304" s="23" t="str">
        <f aca="false">IF(AND(ISNUMBER(C4304),ISNUMBER(D4304)),D4304-C4304,"")</f>
        <v/>
      </c>
      <c r="Z4304" s="23" t="str">
        <f aca="false">IF(B4304="","",IF(MATCH(B4304,$B$2:$B$12000,0)=ROW()-1,1,0))</f>
        <v/>
      </c>
    </row>
    <row r="4305" customFormat="false" ht="15" hidden="false" customHeight="false" outlineLevel="0" collapsed="false">
      <c r="V4305" s="23" t="str">
        <f aca="false">IF(ISNUMBER(C4305),YEAR(C4305),"")</f>
        <v/>
      </c>
      <c r="W4305" s="23" t="str">
        <f aca="false">IF(ISNUMBER(C4305),MONTH(C4305),"")</f>
        <v/>
      </c>
      <c r="X4305" s="23" t="str">
        <f aca="false">IF(T4305="","",IF(T4305=0,"No discount",IF(T4305&lt;=0.2,"Low (1-20%)",IF(T4305&lt;=0.4,"Medium (21-40%)","High (&gt;40%)"))))</f>
        <v/>
      </c>
      <c r="Y4305" s="23" t="str">
        <f aca="false">IF(AND(ISNUMBER(C4305),ISNUMBER(D4305)),D4305-C4305,"")</f>
        <v/>
      </c>
      <c r="Z4305" s="23" t="str">
        <f aca="false">IF(B4305="","",IF(MATCH(B4305,$B$2:$B$12000,0)=ROW()-1,1,0))</f>
        <v/>
      </c>
    </row>
    <row r="4306" customFormat="false" ht="15" hidden="false" customHeight="false" outlineLevel="0" collapsed="false">
      <c r="V4306" s="23" t="str">
        <f aca="false">IF(ISNUMBER(C4306),YEAR(C4306),"")</f>
        <v/>
      </c>
      <c r="W4306" s="23" t="str">
        <f aca="false">IF(ISNUMBER(C4306),MONTH(C4306),"")</f>
        <v/>
      </c>
      <c r="X4306" s="23" t="str">
        <f aca="false">IF(T4306="","",IF(T4306=0,"No discount",IF(T4306&lt;=0.2,"Low (1-20%)",IF(T4306&lt;=0.4,"Medium (21-40%)","High (&gt;40%)"))))</f>
        <v/>
      </c>
      <c r="Y4306" s="23" t="str">
        <f aca="false">IF(AND(ISNUMBER(C4306),ISNUMBER(D4306)),D4306-C4306,"")</f>
        <v/>
      </c>
      <c r="Z4306" s="23" t="str">
        <f aca="false">IF(B4306="","",IF(MATCH(B4306,$B$2:$B$12000,0)=ROW()-1,1,0))</f>
        <v/>
      </c>
    </row>
    <row r="4307" customFormat="false" ht="15" hidden="false" customHeight="false" outlineLevel="0" collapsed="false">
      <c r="V4307" s="23" t="str">
        <f aca="false">IF(ISNUMBER(C4307),YEAR(C4307),"")</f>
        <v/>
      </c>
      <c r="W4307" s="23" t="str">
        <f aca="false">IF(ISNUMBER(C4307),MONTH(C4307),"")</f>
        <v/>
      </c>
      <c r="X4307" s="23" t="str">
        <f aca="false">IF(T4307="","",IF(T4307=0,"No discount",IF(T4307&lt;=0.2,"Low (1-20%)",IF(T4307&lt;=0.4,"Medium (21-40%)","High (&gt;40%)"))))</f>
        <v/>
      </c>
      <c r="Y4307" s="23" t="str">
        <f aca="false">IF(AND(ISNUMBER(C4307),ISNUMBER(D4307)),D4307-C4307,"")</f>
        <v/>
      </c>
      <c r="Z4307" s="23" t="str">
        <f aca="false">IF(B4307="","",IF(MATCH(B4307,$B$2:$B$12000,0)=ROW()-1,1,0))</f>
        <v/>
      </c>
    </row>
    <row r="4308" customFormat="false" ht="15" hidden="false" customHeight="false" outlineLevel="0" collapsed="false">
      <c r="V4308" s="23" t="str">
        <f aca="false">IF(ISNUMBER(C4308),YEAR(C4308),"")</f>
        <v/>
      </c>
      <c r="W4308" s="23" t="str">
        <f aca="false">IF(ISNUMBER(C4308),MONTH(C4308),"")</f>
        <v/>
      </c>
      <c r="X4308" s="23" t="str">
        <f aca="false">IF(T4308="","",IF(T4308=0,"No discount",IF(T4308&lt;=0.2,"Low (1-20%)",IF(T4308&lt;=0.4,"Medium (21-40%)","High (&gt;40%)"))))</f>
        <v/>
      </c>
      <c r="Y4308" s="23" t="str">
        <f aca="false">IF(AND(ISNUMBER(C4308),ISNUMBER(D4308)),D4308-C4308,"")</f>
        <v/>
      </c>
      <c r="Z4308" s="23" t="str">
        <f aca="false">IF(B4308="","",IF(MATCH(B4308,$B$2:$B$12000,0)=ROW()-1,1,0))</f>
        <v/>
      </c>
    </row>
    <row r="4309" customFormat="false" ht="15" hidden="false" customHeight="false" outlineLevel="0" collapsed="false">
      <c r="V4309" s="23" t="str">
        <f aca="false">IF(ISNUMBER(C4309),YEAR(C4309),"")</f>
        <v/>
      </c>
      <c r="W4309" s="23" t="str">
        <f aca="false">IF(ISNUMBER(C4309),MONTH(C4309),"")</f>
        <v/>
      </c>
      <c r="X4309" s="23" t="str">
        <f aca="false">IF(T4309="","",IF(T4309=0,"No discount",IF(T4309&lt;=0.2,"Low (1-20%)",IF(T4309&lt;=0.4,"Medium (21-40%)","High (&gt;40%)"))))</f>
        <v/>
      </c>
      <c r="Y4309" s="23" t="str">
        <f aca="false">IF(AND(ISNUMBER(C4309),ISNUMBER(D4309)),D4309-C4309,"")</f>
        <v/>
      </c>
      <c r="Z4309" s="23" t="str">
        <f aca="false">IF(B4309="","",IF(MATCH(B4309,$B$2:$B$12000,0)=ROW()-1,1,0))</f>
        <v/>
      </c>
    </row>
    <row r="4310" customFormat="false" ht="15" hidden="false" customHeight="false" outlineLevel="0" collapsed="false">
      <c r="V4310" s="23" t="str">
        <f aca="false">IF(ISNUMBER(C4310),YEAR(C4310),"")</f>
        <v/>
      </c>
      <c r="W4310" s="23" t="str">
        <f aca="false">IF(ISNUMBER(C4310),MONTH(C4310),"")</f>
        <v/>
      </c>
      <c r="X4310" s="23" t="str">
        <f aca="false">IF(T4310="","",IF(T4310=0,"No discount",IF(T4310&lt;=0.2,"Low (1-20%)",IF(T4310&lt;=0.4,"Medium (21-40%)","High (&gt;40%)"))))</f>
        <v/>
      </c>
      <c r="Y4310" s="23" t="str">
        <f aca="false">IF(AND(ISNUMBER(C4310),ISNUMBER(D4310)),D4310-C4310,"")</f>
        <v/>
      </c>
      <c r="Z4310" s="23" t="str">
        <f aca="false">IF(B4310="","",IF(MATCH(B4310,$B$2:$B$12000,0)=ROW()-1,1,0))</f>
        <v/>
      </c>
    </row>
    <row r="4311" customFormat="false" ht="15" hidden="false" customHeight="false" outlineLevel="0" collapsed="false">
      <c r="V4311" s="23" t="str">
        <f aca="false">IF(ISNUMBER(C4311),YEAR(C4311),"")</f>
        <v/>
      </c>
      <c r="W4311" s="23" t="str">
        <f aca="false">IF(ISNUMBER(C4311),MONTH(C4311),"")</f>
        <v/>
      </c>
      <c r="X4311" s="23" t="str">
        <f aca="false">IF(T4311="","",IF(T4311=0,"No discount",IF(T4311&lt;=0.2,"Low (1-20%)",IF(T4311&lt;=0.4,"Medium (21-40%)","High (&gt;40%)"))))</f>
        <v/>
      </c>
      <c r="Y4311" s="23" t="str">
        <f aca="false">IF(AND(ISNUMBER(C4311),ISNUMBER(D4311)),D4311-C4311,"")</f>
        <v/>
      </c>
      <c r="Z4311" s="23" t="str">
        <f aca="false">IF(B4311="","",IF(MATCH(B4311,$B$2:$B$12000,0)=ROW()-1,1,0))</f>
        <v/>
      </c>
    </row>
    <row r="4312" customFormat="false" ht="15" hidden="false" customHeight="false" outlineLevel="0" collapsed="false">
      <c r="V4312" s="23" t="str">
        <f aca="false">IF(ISNUMBER(C4312),YEAR(C4312),"")</f>
        <v/>
      </c>
      <c r="W4312" s="23" t="str">
        <f aca="false">IF(ISNUMBER(C4312),MONTH(C4312),"")</f>
        <v/>
      </c>
      <c r="X4312" s="23" t="str">
        <f aca="false">IF(T4312="","",IF(T4312=0,"No discount",IF(T4312&lt;=0.2,"Low (1-20%)",IF(T4312&lt;=0.4,"Medium (21-40%)","High (&gt;40%)"))))</f>
        <v/>
      </c>
      <c r="Y4312" s="23" t="str">
        <f aca="false">IF(AND(ISNUMBER(C4312),ISNUMBER(D4312)),D4312-C4312,"")</f>
        <v/>
      </c>
      <c r="Z4312" s="23" t="str">
        <f aca="false">IF(B4312="","",IF(MATCH(B4312,$B$2:$B$12000,0)=ROW()-1,1,0))</f>
        <v/>
      </c>
    </row>
    <row r="4313" customFormat="false" ht="15" hidden="false" customHeight="false" outlineLevel="0" collapsed="false">
      <c r="V4313" s="23" t="str">
        <f aca="false">IF(ISNUMBER(C4313),YEAR(C4313),"")</f>
        <v/>
      </c>
      <c r="W4313" s="23" t="str">
        <f aca="false">IF(ISNUMBER(C4313),MONTH(C4313),"")</f>
        <v/>
      </c>
      <c r="X4313" s="23" t="str">
        <f aca="false">IF(T4313="","",IF(T4313=0,"No discount",IF(T4313&lt;=0.2,"Low (1-20%)",IF(T4313&lt;=0.4,"Medium (21-40%)","High (&gt;40%)"))))</f>
        <v/>
      </c>
      <c r="Y4313" s="23" t="str">
        <f aca="false">IF(AND(ISNUMBER(C4313),ISNUMBER(D4313)),D4313-C4313,"")</f>
        <v/>
      </c>
      <c r="Z4313" s="23" t="str">
        <f aca="false">IF(B4313="","",IF(MATCH(B4313,$B$2:$B$12000,0)=ROW()-1,1,0))</f>
        <v/>
      </c>
    </row>
    <row r="4314" customFormat="false" ht="15" hidden="false" customHeight="false" outlineLevel="0" collapsed="false">
      <c r="V4314" s="23" t="str">
        <f aca="false">IF(ISNUMBER(C4314),YEAR(C4314),"")</f>
        <v/>
      </c>
      <c r="W4314" s="23" t="str">
        <f aca="false">IF(ISNUMBER(C4314),MONTH(C4314),"")</f>
        <v/>
      </c>
      <c r="X4314" s="23" t="str">
        <f aca="false">IF(T4314="","",IF(T4314=0,"No discount",IF(T4314&lt;=0.2,"Low (1-20%)",IF(T4314&lt;=0.4,"Medium (21-40%)","High (&gt;40%)"))))</f>
        <v/>
      </c>
      <c r="Y4314" s="23" t="str">
        <f aca="false">IF(AND(ISNUMBER(C4314),ISNUMBER(D4314)),D4314-C4314,"")</f>
        <v/>
      </c>
      <c r="Z4314" s="23" t="str">
        <f aca="false">IF(B4314="","",IF(MATCH(B4314,$B$2:$B$12000,0)=ROW()-1,1,0))</f>
        <v/>
      </c>
    </row>
    <row r="4315" customFormat="false" ht="15" hidden="false" customHeight="false" outlineLevel="0" collapsed="false">
      <c r="V4315" s="23" t="str">
        <f aca="false">IF(ISNUMBER(C4315),YEAR(C4315),"")</f>
        <v/>
      </c>
      <c r="W4315" s="23" t="str">
        <f aca="false">IF(ISNUMBER(C4315),MONTH(C4315),"")</f>
        <v/>
      </c>
      <c r="X4315" s="23" t="str">
        <f aca="false">IF(T4315="","",IF(T4315=0,"No discount",IF(T4315&lt;=0.2,"Low (1-20%)",IF(T4315&lt;=0.4,"Medium (21-40%)","High (&gt;40%)"))))</f>
        <v/>
      </c>
      <c r="Y4315" s="23" t="str">
        <f aca="false">IF(AND(ISNUMBER(C4315),ISNUMBER(D4315)),D4315-C4315,"")</f>
        <v/>
      </c>
      <c r="Z4315" s="23" t="str">
        <f aca="false">IF(B4315="","",IF(MATCH(B4315,$B$2:$B$12000,0)=ROW()-1,1,0))</f>
        <v/>
      </c>
    </row>
    <row r="4316" customFormat="false" ht="15" hidden="false" customHeight="false" outlineLevel="0" collapsed="false">
      <c r="V4316" s="23" t="str">
        <f aca="false">IF(ISNUMBER(C4316),YEAR(C4316),"")</f>
        <v/>
      </c>
      <c r="W4316" s="23" t="str">
        <f aca="false">IF(ISNUMBER(C4316),MONTH(C4316),"")</f>
        <v/>
      </c>
      <c r="X4316" s="23" t="str">
        <f aca="false">IF(T4316="","",IF(T4316=0,"No discount",IF(T4316&lt;=0.2,"Low (1-20%)",IF(T4316&lt;=0.4,"Medium (21-40%)","High (&gt;40%)"))))</f>
        <v/>
      </c>
      <c r="Y4316" s="23" t="str">
        <f aca="false">IF(AND(ISNUMBER(C4316),ISNUMBER(D4316)),D4316-C4316,"")</f>
        <v/>
      </c>
      <c r="Z4316" s="23" t="str">
        <f aca="false">IF(B4316="","",IF(MATCH(B4316,$B$2:$B$12000,0)=ROW()-1,1,0))</f>
        <v/>
      </c>
    </row>
    <row r="4317" customFormat="false" ht="15" hidden="false" customHeight="false" outlineLevel="0" collapsed="false">
      <c r="V4317" s="23" t="str">
        <f aca="false">IF(ISNUMBER(C4317),YEAR(C4317),"")</f>
        <v/>
      </c>
      <c r="W4317" s="23" t="str">
        <f aca="false">IF(ISNUMBER(C4317),MONTH(C4317),"")</f>
        <v/>
      </c>
      <c r="X4317" s="23" t="str">
        <f aca="false">IF(T4317="","",IF(T4317=0,"No discount",IF(T4317&lt;=0.2,"Low (1-20%)",IF(T4317&lt;=0.4,"Medium (21-40%)","High (&gt;40%)"))))</f>
        <v/>
      </c>
      <c r="Y4317" s="23" t="str">
        <f aca="false">IF(AND(ISNUMBER(C4317),ISNUMBER(D4317)),D4317-C4317,"")</f>
        <v/>
      </c>
      <c r="Z4317" s="23" t="str">
        <f aca="false">IF(B4317="","",IF(MATCH(B4317,$B$2:$B$12000,0)=ROW()-1,1,0))</f>
        <v/>
      </c>
    </row>
    <row r="4318" customFormat="false" ht="15" hidden="false" customHeight="false" outlineLevel="0" collapsed="false">
      <c r="V4318" s="23" t="str">
        <f aca="false">IF(ISNUMBER(C4318),YEAR(C4318),"")</f>
        <v/>
      </c>
      <c r="W4318" s="23" t="str">
        <f aca="false">IF(ISNUMBER(C4318),MONTH(C4318),"")</f>
        <v/>
      </c>
      <c r="X4318" s="23" t="str">
        <f aca="false">IF(T4318="","",IF(T4318=0,"No discount",IF(T4318&lt;=0.2,"Low (1-20%)",IF(T4318&lt;=0.4,"Medium (21-40%)","High (&gt;40%)"))))</f>
        <v/>
      </c>
      <c r="Y4318" s="23" t="str">
        <f aca="false">IF(AND(ISNUMBER(C4318),ISNUMBER(D4318)),D4318-C4318,"")</f>
        <v/>
      </c>
      <c r="Z4318" s="23" t="str">
        <f aca="false">IF(B4318="","",IF(MATCH(B4318,$B$2:$B$12000,0)=ROW()-1,1,0))</f>
        <v/>
      </c>
    </row>
    <row r="4319" customFormat="false" ht="15" hidden="false" customHeight="false" outlineLevel="0" collapsed="false">
      <c r="V4319" s="23" t="str">
        <f aca="false">IF(ISNUMBER(C4319),YEAR(C4319),"")</f>
        <v/>
      </c>
      <c r="W4319" s="23" t="str">
        <f aca="false">IF(ISNUMBER(C4319),MONTH(C4319),"")</f>
        <v/>
      </c>
      <c r="X4319" s="23" t="str">
        <f aca="false">IF(T4319="","",IF(T4319=0,"No discount",IF(T4319&lt;=0.2,"Low (1-20%)",IF(T4319&lt;=0.4,"Medium (21-40%)","High (&gt;40%)"))))</f>
        <v/>
      </c>
      <c r="Y4319" s="23" t="str">
        <f aca="false">IF(AND(ISNUMBER(C4319),ISNUMBER(D4319)),D4319-C4319,"")</f>
        <v/>
      </c>
      <c r="Z4319" s="23" t="str">
        <f aca="false">IF(B4319="","",IF(MATCH(B4319,$B$2:$B$12000,0)=ROW()-1,1,0))</f>
        <v/>
      </c>
    </row>
    <row r="4320" customFormat="false" ht="15" hidden="false" customHeight="false" outlineLevel="0" collapsed="false">
      <c r="V4320" s="23" t="str">
        <f aca="false">IF(ISNUMBER(C4320),YEAR(C4320),"")</f>
        <v/>
      </c>
      <c r="W4320" s="23" t="str">
        <f aca="false">IF(ISNUMBER(C4320),MONTH(C4320),"")</f>
        <v/>
      </c>
      <c r="X4320" s="23" t="str">
        <f aca="false">IF(T4320="","",IF(T4320=0,"No discount",IF(T4320&lt;=0.2,"Low (1-20%)",IF(T4320&lt;=0.4,"Medium (21-40%)","High (&gt;40%)"))))</f>
        <v/>
      </c>
      <c r="Y4320" s="23" t="str">
        <f aca="false">IF(AND(ISNUMBER(C4320),ISNUMBER(D4320)),D4320-C4320,"")</f>
        <v/>
      </c>
      <c r="Z4320" s="23" t="str">
        <f aca="false">IF(B4320="","",IF(MATCH(B4320,$B$2:$B$12000,0)=ROW()-1,1,0))</f>
        <v/>
      </c>
    </row>
    <row r="4321" customFormat="false" ht="15" hidden="false" customHeight="false" outlineLevel="0" collapsed="false">
      <c r="V4321" s="23" t="str">
        <f aca="false">IF(ISNUMBER(C4321),YEAR(C4321),"")</f>
        <v/>
      </c>
      <c r="W4321" s="23" t="str">
        <f aca="false">IF(ISNUMBER(C4321),MONTH(C4321),"")</f>
        <v/>
      </c>
      <c r="X4321" s="23" t="str">
        <f aca="false">IF(T4321="","",IF(T4321=0,"No discount",IF(T4321&lt;=0.2,"Low (1-20%)",IF(T4321&lt;=0.4,"Medium (21-40%)","High (&gt;40%)"))))</f>
        <v/>
      </c>
      <c r="Y4321" s="23" t="str">
        <f aca="false">IF(AND(ISNUMBER(C4321),ISNUMBER(D4321)),D4321-C4321,"")</f>
        <v/>
      </c>
      <c r="Z4321" s="23" t="str">
        <f aca="false">IF(B4321="","",IF(MATCH(B4321,$B$2:$B$12000,0)=ROW()-1,1,0))</f>
        <v/>
      </c>
    </row>
    <row r="4322" customFormat="false" ht="15" hidden="false" customHeight="false" outlineLevel="0" collapsed="false">
      <c r="V4322" s="23" t="str">
        <f aca="false">IF(ISNUMBER(C4322),YEAR(C4322),"")</f>
        <v/>
      </c>
      <c r="W4322" s="23" t="str">
        <f aca="false">IF(ISNUMBER(C4322),MONTH(C4322),"")</f>
        <v/>
      </c>
      <c r="X4322" s="23" t="str">
        <f aca="false">IF(T4322="","",IF(T4322=0,"No discount",IF(T4322&lt;=0.2,"Low (1-20%)",IF(T4322&lt;=0.4,"Medium (21-40%)","High (&gt;40%)"))))</f>
        <v/>
      </c>
      <c r="Y4322" s="23" t="str">
        <f aca="false">IF(AND(ISNUMBER(C4322),ISNUMBER(D4322)),D4322-C4322,"")</f>
        <v/>
      </c>
      <c r="Z4322" s="23" t="str">
        <f aca="false">IF(B4322="","",IF(MATCH(B4322,$B$2:$B$12000,0)=ROW()-1,1,0))</f>
        <v/>
      </c>
    </row>
    <row r="4323" customFormat="false" ht="15" hidden="false" customHeight="false" outlineLevel="0" collapsed="false">
      <c r="V4323" s="23" t="str">
        <f aca="false">IF(ISNUMBER(C4323),YEAR(C4323),"")</f>
        <v/>
      </c>
      <c r="W4323" s="23" t="str">
        <f aca="false">IF(ISNUMBER(C4323),MONTH(C4323),"")</f>
        <v/>
      </c>
      <c r="X4323" s="23" t="str">
        <f aca="false">IF(T4323="","",IF(T4323=0,"No discount",IF(T4323&lt;=0.2,"Low (1-20%)",IF(T4323&lt;=0.4,"Medium (21-40%)","High (&gt;40%)"))))</f>
        <v/>
      </c>
      <c r="Y4323" s="23" t="str">
        <f aca="false">IF(AND(ISNUMBER(C4323),ISNUMBER(D4323)),D4323-C4323,"")</f>
        <v/>
      </c>
      <c r="Z4323" s="23" t="str">
        <f aca="false">IF(B4323="","",IF(MATCH(B4323,$B$2:$B$12000,0)=ROW()-1,1,0))</f>
        <v/>
      </c>
    </row>
    <row r="4324" customFormat="false" ht="15" hidden="false" customHeight="false" outlineLevel="0" collapsed="false">
      <c r="V4324" s="23" t="str">
        <f aca="false">IF(ISNUMBER(C4324),YEAR(C4324),"")</f>
        <v/>
      </c>
      <c r="W4324" s="23" t="str">
        <f aca="false">IF(ISNUMBER(C4324),MONTH(C4324),"")</f>
        <v/>
      </c>
      <c r="X4324" s="23" t="str">
        <f aca="false">IF(T4324="","",IF(T4324=0,"No discount",IF(T4324&lt;=0.2,"Low (1-20%)",IF(T4324&lt;=0.4,"Medium (21-40%)","High (&gt;40%)"))))</f>
        <v/>
      </c>
      <c r="Y4324" s="23" t="str">
        <f aca="false">IF(AND(ISNUMBER(C4324),ISNUMBER(D4324)),D4324-C4324,"")</f>
        <v/>
      </c>
      <c r="Z4324" s="23" t="str">
        <f aca="false">IF(B4324="","",IF(MATCH(B4324,$B$2:$B$12000,0)=ROW()-1,1,0))</f>
        <v/>
      </c>
    </row>
    <row r="4325" customFormat="false" ht="15" hidden="false" customHeight="false" outlineLevel="0" collapsed="false">
      <c r="V4325" s="23" t="str">
        <f aca="false">IF(ISNUMBER(C4325),YEAR(C4325),"")</f>
        <v/>
      </c>
      <c r="W4325" s="23" t="str">
        <f aca="false">IF(ISNUMBER(C4325),MONTH(C4325),"")</f>
        <v/>
      </c>
      <c r="X4325" s="23" t="str">
        <f aca="false">IF(T4325="","",IF(T4325=0,"No discount",IF(T4325&lt;=0.2,"Low (1-20%)",IF(T4325&lt;=0.4,"Medium (21-40%)","High (&gt;40%)"))))</f>
        <v/>
      </c>
      <c r="Y4325" s="23" t="str">
        <f aca="false">IF(AND(ISNUMBER(C4325),ISNUMBER(D4325)),D4325-C4325,"")</f>
        <v/>
      </c>
      <c r="Z4325" s="23" t="str">
        <f aca="false">IF(B4325="","",IF(MATCH(B4325,$B$2:$B$12000,0)=ROW()-1,1,0))</f>
        <v/>
      </c>
    </row>
    <row r="4326" customFormat="false" ht="15" hidden="false" customHeight="false" outlineLevel="0" collapsed="false">
      <c r="V4326" s="23" t="str">
        <f aca="false">IF(ISNUMBER(C4326),YEAR(C4326),"")</f>
        <v/>
      </c>
      <c r="W4326" s="23" t="str">
        <f aca="false">IF(ISNUMBER(C4326),MONTH(C4326),"")</f>
        <v/>
      </c>
      <c r="X4326" s="23" t="str">
        <f aca="false">IF(T4326="","",IF(T4326=0,"No discount",IF(T4326&lt;=0.2,"Low (1-20%)",IF(T4326&lt;=0.4,"Medium (21-40%)","High (&gt;40%)"))))</f>
        <v/>
      </c>
      <c r="Y4326" s="23" t="str">
        <f aca="false">IF(AND(ISNUMBER(C4326),ISNUMBER(D4326)),D4326-C4326,"")</f>
        <v/>
      </c>
      <c r="Z4326" s="23" t="str">
        <f aca="false">IF(B4326="","",IF(MATCH(B4326,$B$2:$B$12000,0)=ROW()-1,1,0))</f>
        <v/>
      </c>
    </row>
    <row r="4327" customFormat="false" ht="15" hidden="false" customHeight="false" outlineLevel="0" collapsed="false">
      <c r="V4327" s="23" t="str">
        <f aca="false">IF(ISNUMBER(C4327),YEAR(C4327),"")</f>
        <v/>
      </c>
      <c r="W4327" s="23" t="str">
        <f aca="false">IF(ISNUMBER(C4327),MONTH(C4327),"")</f>
        <v/>
      </c>
      <c r="X4327" s="23" t="str">
        <f aca="false">IF(T4327="","",IF(T4327=0,"No discount",IF(T4327&lt;=0.2,"Low (1-20%)",IF(T4327&lt;=0.4,"Medium (21-40%)","High (&gt;40%)"))))</f>
        <v/>
      </c>
      <c r="Y4327" s="23" t="str">
        <f aca="false">IF(AND(ISNUMBER(C4327),ISNUMBER(D4327)),D4327-C4327,"")</f>
        <v/>
      </c>
      <c r="Z4327" s="23" t="str">
        <f aca="false">IF(B4327="","",IF(MATCH(B4327,$B$2:$B$12000,0)=ROW()-1,1,0))</f>
        <v/>
      </c>
    </row>
    <row r="4328" customFormat="false" ht="15" hidden="false" customHeight="false" outlineLevel="0" collapsed="false">
      <c r="V4328" s="23" t="str">
        <f aca="false">IF(ISNUMBER(C4328),YEAR(C4328),"")</f>
        <v/>
      </c>
      <c r="W4328" s="23" t="str">
        <f aca="false">IF(ISNUMBER(C4328),MONTH(C4328),"")</f>
        <v/>
      </c>
      <c r="X4328" s="23" t="str">
        <f aca="false">IF(T4328="","",IF(T4328=0,"No discount",IF(T4328&lt;=0.2,"Low (1-20%)",IF(T4328&lt;=0.4,"Medium (21-40%)","High (&gt;40%)"))))</f>
        <v/>
      </c>
      <c r="Y4328" s="23" t="str">
        <f aca="false">IF(AND(ISNUMBER(C4328),ISNUMBER(D4328)),D4328-C4328,"")</f>
        <v/>
      </c>
      <c r="Z4328" s="23" t="str">
        <f aca="false">IF(B4328="","",IF(MATCH(B4328,$B$2:$B$12000,0)=ROW()-1,1,0))</f>
        <v/>
      </c>
    </row>
    <row r="4329" customFormat="false" ht="15" hidden="false" customHeight="false" outlineLevel="0" collapsed="false">
      <c r="V4329" s="23" t="str">
        <f aca="false">IF(ISNUMBER(C4329),YEAR(C4329),"")</f>
        <v/>
      </c>
      <c r="W4329" s="23" t="str">
        <f aca="false">IF(ISNUMBER(C4329),MONTH(C4329),"")</f>
        <v/>
      </c>
      <c r="X4329" s="23" t="str">
        <f aca="false">IF(T4329="","",IF(T4329=0,"No discount",IF(T4329&lt;=0.2,"Low (1-20%)",IF(T4329&lt;=0.4,"Medium (21-40%)","High (&gt;40%)"))))</f>
        <v/>
      </c>
      <c r="Y4329" s="23" t="str">
        <f aca="false">IF(AND(ISNUMBER(C4329),ISNUMBER(D4329)),D4329-C4329,"")</f>
        <v/>
      </c>
      <c r="Z4329" s="23" t="str">
        <f aca="false">IF(B4329="","",IF(MATCH(B4329,$B$2:$B$12000,0)=ROW()-1,1,0))</f>
        <v/>
      </c>
    </row>
    <row r="4330" customFormat="false" ht="15" hidden="false" customHeight="false" outlineLevel="0" collapsed="false">
      <c r="V4330" s="23" t="str">
        <f aca="false">IF(ISNUMBER(C4330),YEAR(C4330),"")</f>
        <v/>
      </c>
      <c r="W4330" s="23" t="str">
        <f aca="false">IF(ISNUMBER(C4330),MONTH(C4330),"")</f>
        <v/>
      </c>
      <c r="X4330" s="23" t="str">
        <f aca="false">IF(T4330="","",IF(T4330=0,"No discount",IF(T4330&lt;=0.2,"Low (1-20%)",IF(T4330&lt;=0.4,"Medium (21-40%)","High (&gt;40%)"))))</f>
        <v/>
      </c>
      <c r="Y4330" s="23" t="str">
        <f aca="false">IF(AND(ISNUMBER(C4330),ISNUMBER(D4330)),D4330-C4330,"")</f>
        <v/>
      </c>
      <c r="Z4330" s="23" t="str">
        <f aca="false">IF(B4330="","",IF(MATCH(B4330,$B$2:$B$12000,0)=ROW()-1,1,0))</f>
        <v/>
      </c>
    </row>
    <row r="4331" customFormat="false" ht="15" hidden="false" customHeight="false" outlineLevel="0" collapsed="false">
      <c r="V4331" s="23" t="str">
        <f aca="false">IF(ISNUMBER(C4331),YEAR(C4331),"")</f>
        <v/>
      </c>
      <c r="W4331" s="23" t="str">
        <f aca="false">IF(ISNUMBER(C4331),MONTH(C4331),"")</f>
        <v/>
      </c>
      <c r="X4331" s="23" t="str">
        <f aca="false">IF(T4331="","",IF(T4331=0,"No discount",IF(T4331&lt;=0.2,"Low (1-20%)",IF(T4331&lt;=0.4,"Medium (21-40%)","High (&gt;40%)"))))</f>
        <v/>
      </c>
      <c r="Y4331" s="23" t="str">
        <f aca="false">IF(AND(ISNUMBER(C4331),ISNUMBER(D4331)),D4331-C4331,"")</f>
        <v/>
      </c>
      <c r="Z4331" s="23" t="str">
        <f aca="false">IF(B4331="","",IF(MATCH(B4331,$B$2:$B$12000,0)=ROW()-1,1,0))</f>
        <v/>
      </c>
    </row>
    <row r="4332" customFormat="false" ht="15" hidden="false" customHeight="false" outlineLevel="0" collapsed="false">
      <c r="V4332" s="23" t="str">
        <f aca="false">IF(ISNUMBER(C4332),YEAR(C4332),"")</f>
        <v/>
      </c>
      <c r="W4332" s="23" t="str">
        <f aca="false">IF(ISNUMBER(C4332),MONTH(C4332),"")</f>
        <v/>
      </c>
      <c r="X4332" s="23" t="str">
        <f aca="false">IF(T4332="","",IF(T4332=0,"No discount",IF(T4332&lt;=0.2,"Low (1-20%)",IF(T4332&lt;=0.4,"Medium (21-40%)","High (&gt;40%)"))))</f>
        <v/>
      </c>
      <c r="Y4332" s="23" t="str">
        <f aca="false">IF(AND(ISNUMBER(C4332),ISNUMBER(D4332)),D4332-C4332,"")</f>
        <v/>
      </c>
      <c r="Z4332" s="23" t="str">
        <f aca="false">IF(B4332="","",IF(MATCH(B4332,$B$2:$B$12000,0)=ROW()-1,1,0))</f>
        <v/>
      </c>
    </row>
    <row r="4333" customFormat="false" ht="15" hidden="false" customHeight="false" outlineLevel="0" collapsed="false">
      <c r="V4333" s="23" t="str">
        <f aca="false">IF(ISNUMBER(C4333),YEAR(C4333),"")</f>
        <v/>
      </c>
      <c r="W4333" s="23" t="str">
        <f aca="false">IF(ISNUMBER(C4333),MONTH(C4333),"")</f>
        <v/>
      </c>
      <c r="X4333" s="23" t="str">
        <f aca="false">IF(T4333="","",IF(T4333=0,"No discount",IF(T4333&lt;=0.2,"Low (1-20%)",IF(T4333&lt;=0.4,"Medium (21-40%)","High (&gt;40%)"))))</f>
        <v/>
      </c>
      <c r="Y4333" s="23" t="str">
        <f aca="false">IF(AND(ISNUMBER(C4333),ISNUMBER(D4333)),D4333-C4333,"")</f>
        <v/>
      </c>
      <c r="Z4333" s="23" t="str">
        <f aca="false">IF(B4333="","",IF(MATCH(B4333,$B$2:$B$12000,0)=ROW()-1,1,0))</f>
        <v/>
      </c>
    </row>
    <row r="4334" customFormat="false" ht="15" hidden="false" customHeight="false" outlineLevel="0" collapsed="false">
      <c r="V4334" s="23" t="str">
        <f aca="false">IF(ISNUMBER(C4334),YEAR(C4334),"")</f>
        <v/>
      </c>
      <c r="W4334" s="23" t="str">
        <f aca="false">IF(ISNUMBER(C4334),MONTH(C4334),"")</f>
        <v/>
      </c>
      <c r="X4334" s="23" t="str">
        <f aca="false">IF(T4334="","",IF(T4334=0,"No discount",IF(T4334&lt;=0.2,"Low (1-20%)",IF(T4334&lt;=0.4,"Medium (21-40%)","High (&gt;40%)"))))</f>
        <v/>
      </c>
      <c r="Y4334" s="23" t="str">
        <f aca="false">IF(AND(ISNUMBER(C4334),ISNUMBER(D4334)),D4334-C4334,"")</f>
        <v/>
      </c>
      <c r="Z4334" s="23" t="str">
        <f aca="false">IF(B4334="","",IF(MATCH(B4334,$B$2:$B$12000,0)=ROW()-1,1,0))</f>
        <v/>
      </c>
    </row>
    <row r="4335" customFormat="false" ht="15" hidden="false" customHeight="false" outlineLevel="0" collapsed="false">
      <c r="V4335" s="23" t="str">
        <f aca="false">IF(ISNUMBER(C4335),YEAR(C4335),"")</f>
        <v/>
      </c>
      <c r="W4335" s="23" t="str">
        <f aca="false">IF(ISNUMBER(C4335),MONTH(C4335),"")</f>
        <v/>
      </c>
      <c r="X4335" s="23" t="str">
        <f aca="false">IF(T4335="","",IF(T4335=0,"No discount",IF(T4335&lt;=0.2,"Low (1-20%)",IF(T4335&lt;=0.4,"Medium (21-40%)","High (&gt;40%)"))))</f>
        <v/>
      </c>
      <c r="Y4335" s="23" t="str">
        <f aca="false">IF(AND(ISNUMBER(C4335),ISNUMBER(D4335)),D4335-C4335,"")</f>
        <v/>
      </c>
      <c r="Z4335" s="23" t="str">
        <f aca="false">IF(B4335="","",IF(MATCH(B4335,$B$2:$B$12000,0)=ROW()-1,1,0))</f>
        <v/>
      </c>
    </row>
    <row r="4336" customFormat="false" ht="15" hidden="false" customHeight="false" outlineLevel="0" collapsed="false">
      <c r="V4336" s="23" t="str">
        <f aca="false">IF(ISNUMBER(C4336),YEAR(C4336),"")</f>
        <v/>
      </c>
      <c r="W4336" s="23" t="str">
        <f aca="false">IF(ISNUMBER(C4336),MONTH(C4336),"")</f>
        <v/>
      </c>
      <c r="X4336" s="23" t="str">
        <f aca="false">IF(T4336="","",IF(T4336=0,"No discount",IF(T4336&lt;=0.2,"Low (1-20%)",IF(T4336&lt;=0.4,"Medium (21-40%)","High (&gt;40%)"))))</f>
        <v/>
      </c>
      <c r="Y4336" s="23" t="str">
        <f aca="false">IF(AND(ISNUMBER(C4336),ISNUMBER(D4336)),D4336-C4336,"")</f>
        <v/>
      </c>
      <c r="Z4336" s="23" t="str">
        <f aca="false">IF(B4336="","",IF(MATCH(B4336,$B$2:$B$12000,0)=ROW()-1,1,0))</f>
        <v/>
      </c>
    </row>
    <row r="4337" customFormat="false" ht="15" hidden="false" customHeight="false" outlineLevel="0" collapsed="false">
      <c r="V4337" s="23" t="str">
        <f aca="false">IF(ISNUMBER(C4337),YEAR(C4337),"")</f>
        <v/>
      </c>
      <c r="W4337" s="23" t="str">
        <f aca="false">IF(ISNUMBER(C4337),MONTH(C4337),"")</f>
        <v/>
      </c>
      <c r="X4337" s="23" t="str">
        <f aca="false">IF(T4337="","",IF(T4337=0,"No discount",IF(T4337&lt;=0.2,"Low (1-20%)",IF(T4337&lt;=0.4,"Medium (21-40%)","High (&gt;40%)"))))</f>
        <v/>
      </c>
      <c r="Y4337" s="23" t="str">
        <f aca="false">IF(AND(ISNUMBER(C4337),ISNUMBER(D4337)),D4337-C4337,"")</f>
        <v/>
      </c>
      <c r="Z4337" s="23" t="str">
        <f aca="false">IF(B4337="","",IF(MATCH(B4337,$B$2:$B$12000,0)=ROW()-1,1,0))</f>
        <v/>
      </c>
    </row>
    <row r="4338" customFormat="false" ht="15" hidden="false" customHeight="false" outlineLevel="0" collapsed="false">
      <c r="V4338" s="23" t="str">
        <f aca="false">IF(ISNUMBER(C4338),YEAR(C4338),"")</f>
        <v/>
      </c>
      <c r="W4338" s="23" t="str">
        <f aca="false">IF(ISNUMBER(C4338),MONTH(C4338),"")</f>
        <v/>
      </c>
      <c r="X4338" s="23" t="str">
        <f aca="false">IF(T4338="","",IF(T4338=0,"No discount",IF(T4338&lt;=0.2,"Low (1-20%)",IF(T4338&lt;=0.4,"Medium (21-40%)","High (&gt;40%)"))))</f>
        <v/>
      </c>
      <c r="Y4338" s="23" t="str">
        <f aca="false">IF(AND(ISNUMBER(C4338),ISNUMBER(D4338)),D4338-C4338,"")</f>
        <v/>
      </c>
      <c r="Z4338" s="23" t="str">
        <f aca="false">IF(B4338="","",IF(MATCH(B4338,$B$2:$B$12000,0)=ROW()-1,1,0))</f>
        <v/>
      </c>
    </row>
    <row r="4339" customFormat="false" ht="15" hidden="false" customHeight="false" outlineLevel="0" collapsed="false">
      <c r="V4339" s="23" t="str">
        <f aca="false">IF(ISNUMBER(C4339),YEAR(C4339),"")</f>
        <v/>
      </c>
      <c r="W4339" s="23" t="str">
        <f aca="false">IF(ISNUMBER(C4339),MONTH(C4339),"")</f>
        <v/>
      </c>
      <c r="X4339" s="23" t="str">
        <f aca="false">IF(T4339="","",IF(T4339=0,"No discount",IF(T4339&lt;=0.2,"Low (1-20%)",IF(T4339&lt;=0.4,"Medium (21-40%)","High (&gt;40%)"))))</f>
        <v/>
      </c>
      <c r="Y4339" s="23" t="str">
        <f aca="false">IF(AND(ISNUMBER(C4339),ISNUMBER(D4339)),D4339-C4339,"")</f>
        <v/>
      </c>
      <c r="Z4339" s="23" t="str">
        <f aca="false">IF(B4339="","",IF(MATCH(B4339,$B$2:$B$12000,0)=ROW()-1,1,0))</f>
        <v/>
      </c>
    </row>
    <row r="4340" customFormat="false" ht="15" hidden="false" customHeight="false" outlineLevel="0" collapsed="false">
      <c r="V4340" s="23" t="str">
        <f aca="false">IF(ISNUMBER(C4340),YEAR(C4340),"")</f>
        <v/>
      </c>
      <c r="W4340" s="23" t="str">
        <f aca="false">IF(ISNUMBER(C4340),MONTH(C4340),"")</f>
        <v/>
      </c>
      <c r="X4340" s="23" t="str">
        <f aca="false">IF(T4340="","",IF(T4340=0,"No discount",IF(T4340&lt;=0.2,"Low (1-20%)",IF(T4340&lt;=0.4,"Medium (21-40%)","High (&gt;40%)"))))</f>
        <v/>
      </c>
      <c r="Y4340" s="23" t="str">
        <f aca="false">IF(AND(ISNUMBER(C4340),ISNUMBER(D4340)),D4340-C4340,"")</f>
        <v/>
      </c>
      <c r="Z4340" s="23" t="str">
        <f aca="false">IF(B4340="","",IF(MATCH(B4340,$B$2:$B$12000,0)=ROW()-1,1,0))</f>
        <v/>
      </c>
    </row>
    <row r="4341" customFormat="false" ht="15" hidden="false" customHeight="false" outlineLevel="0" collapsed="false">
      <c r="V4341" s="23" t="str">
        <f aca="false">IF(ISNUMBER(C4341),YEAR(C4341),"")</f>
        <v/>
      </c>
      <c r="W4341" s="23" t="str">
        <f aca="false">IF(ISNUMBER(C4341),MONTH(C4341),"")</f>
        <v/>
      </c>
      <c r="X4341" s="23" t="str">
        <f aca="false">IF(T4341="","",IF(T4341=0,"No discount",IF(T4341&lt;=0.2,"Low (1-20%)",IF(T4341&lt;=0.4,"Medium (21-40%)","High (&gt;40%)"))))</f>
        <v/>
      </c>
      <c r="Y4341" s="23" t="str">
        <f aca="false">IF(AND(ISNUMBER(C4341),ISNUMBER(D4341)),D4341-C4341,"")</f>
        <v/>
      </c>
      <c r="Z4341" s="23" t="str">
        <f aca="false">IF(B4341="","",IF(MATCH(B4341,$B$2:$B$12000,0)=ROW()-1,1,0))</f>
        <v/>
      </c>
    </row>
    <row r="4342" customFormat="false" ht="15" hidden="false" customHeight="false" outlineLevel="0" collapsed="false">
      <c r="V4342" s="23" t="str">
        <f aca="false">IF(ISNUMBER(C4342),YEAR(C4342),"")</f>
        <v/>
      </c>
      <c r="W4342" s="23" t="str">
        <f aca="false">IF(ISNUMBER(C4342),MONTH(C4342),"")</f>
        <v/>
      </c>
      <c r="X4342" s="23" t="str">
        <f aca="false">IF(T4342="","",IF(T4342=0,"No discount",IF(T4342&lt;=0.2,"Low (1-20%)",IF(T4342&lt;=0.4,"Medium (21-40%)","High (&gt;40%)"))))</f>
        <v/>
      </c>
      <c r="Y4342" s="23" t="str">
        <f aca="false">IF(AND(ISNUMBER(C4342),ISNUMBER(D4342)),D4342-C4342,"")</f>
        <v/>
      </c>
      <c r="Z4342" s="23" t="str">
        <f aca="false">IF(B4342="","",IF(MATCH(B4342,$B$2:$B$12000,0)=ROW()-1,1,0))</f>
        <v/>
      </c>
    </row>
    <row r="4343" customFormat="false" ht="15" hidden="false" customHeight="false" outlineLevel="0" collapsed="false">
      <c r="V4343" s="23" t="str">
        <f aca="false">IF(ISNUMBER(C4343),YEAR(C4343),"")</f>
        <v/>
      </c>
      <c r="W4343" s="23" t="str">
        <f aca="false">IF(ISNUMBER(C4343),MONTH(C4343),"")</f>
        <v/>
      </c>
      <c r="X4343" s="23" t="str">
        <f aca="false">IF(T4343="","",IF(T4343=0,"No discount",IF(T4343&lt;=0.2,"Low (1-20%)",IF(T4343&lt;=0.4,"Medium (21-40%)","High (&gt;40%)"))))</f>
        <v/>
      </c>
      <c r="Y4343" s="23" t="str">
        <f aca="false">IF(AND(ISNUMBER(C4343),ISNUMBER(D4343)),D4343-C4343,"")</f>
        <v/>
      </c>
      <c r="Z4343" s="23" t="str">
        <f aca="false">IF(B4343="","",IF(MATCH(B4343,$B$2:$B$12000,0)=ROW()-1,1,0))</f>
        <v/>
      </c>
    </row>
    <row r="4344" customFormat="false" ht="15" hidden="false" customHeight="false" outlineLevel="0" collapsed="false">
      <c r="V4344" s="23" t="str">
        <f aca="false">IF(ISNUMBER(C4344),YEAR(C4344),"")</f>
        <v/>
      </c>
      <c r="W4344" s="23" t="str">
        <f aca="false">IF(ISNUMBER(C4344),MONTH(C4344),"")</f>
        <v/>
      </c>
      <c r="X4344" s="23" t="str">
        <f aca="false">IF(T4344="","",IF(T4344=0,"No discount",IF(T4344&lt;=0.2,"Low (1-20%)",IF(T4344&lt;=0.4,"Medium (21-40%)","High (&gt;40%)"))))</f>
        <v/>
      </c>
      <c r="Y4344" s="23" t="str">
        <f aca="false">IF(AND(ISNUMBER(C4344),ISNUMBER(D4344)),D4344-C4344,"")</f>
        <v/>
      </c>
      <c r="Z4344" s="23" t="str">
        <f aca="false">IF(B4344="","",IF(MATCH(B4344,$B$2:$B$12000,0)=ROW()-1,1,0))</f>
        <v/>
      </c>
    </row>
    <row r="4345" customFormat="false" ht="15" hidden="false" customHeight="false" outlineLevel="0" collapsed="false">
      <c r="V4345" s="23" t="str">
        <f aca="false">IF(ISNUMBER(C4345),YEAR(C4345),"")</f>
        <v/>
      </c>
      <c r="W4345" s="23" t="str">
        <f aca="false">IF(ISNUMBER(C4345),MONTH(C4345),"")</f>
        <v/>
      </c>
      <c r="X4345" s="23" t="str">
        <f aca="false">IF(T4345="","",IF(T4345=0,"No discount",IF(T4345&lt;=0.2,"Low (1-20%)",IF(T4345&lt;=0.4,"Medium (21-40%)","High (&gt;40%)"))))</f>
        <v/>
      </c>
      <c r="Y4345" s="23" t="str">
        <f aca="false">IF(AND(ISNUMBER(C4345),ISNUMBER(D4345)),D4345-C4345,"")</f>
        <v/>
      </c>
      <c r="Z4345" s="23" t="str">
        <f aca="false">IF(B4345="","",IF(MATCH(B4345,$B$2:$B$12000,0)=ROW()-1,1,0))</f>
        <v/>
      </c>
    </row>
    <row r="4346" customFormat="false" ht="15" hidden="false" customHeight="false" outlineLevel="0" collapsed="false">
      <c r="V4346" s="23" t="str">
        <f aca="false">IF(ISNUMBER(C4346),YEAR(C4346),"")</f>
        <v/>
      </c>
      <c r="W4346" s="23" t="str">
        <f aca="false">IF(ISNUMBER(C4346),MONTH(C4346),"")</f>
        <v/>
      </c>
      <c r="X4346" s="23" t="str">
        <f aca="false">IF(T4346="","",IF(T4346=0,"No discount",IF(T4346&lt;=0.2,"Low (1-20%)",IF(T4346&lt;=0.4,"Medium (21-40%)","High (&gt;40%)"))))</f>
        <v/>
      </c>
      <c r="Y4346" s="23" t="str">
        <f aca="false">IF(AND(ISNUMBER(C4346),ISNUMBER(D4346)),D4346-C4346,"")</f>
        <v/>
      </c>
      <c r="Z4346" s="23" t="str">
        <f aca="false">IF(B4346="","",IF(MATCH(B4346,$B$2:$B$12000,0)=ROW()-1,1,0))</f>
        <v/>
      </c>
    </row>
    <row r="4347" customFormat="false" ht="15" hidden="false" customHeight="false" outlineLevel="0" collapsed="false">
      <c r="V4347" s="23" t="str">
        <f aca="false">IF(ISNUMBER(C4347),YEAR(C4347),"")</f>
        <v/>
      </c>
      <c r="W4347" s="23" t="str">
        <f aca="false">IF(ISNUMBER(C4347),MONTH(C4347),"")</f>
        <v/>
      </c>
      <c r="X4347" s="23" t="str">
        <f aca="false">IF(T4347="","",IF(T4347=0,"No discount",IF(T4347&lt;=0.2,"Low (1-20%)",IF(T4347&lt;=0.4,"Medium (21-40%)","High (&gt;40%)"))))</f>
        <v/>
      </c>
      <c r="Y4347" s="23" t="str">
        <f aca="false">IF(AND(ISNUMBER(C4347),ISNUMBER(D4347)),D4347-C4347,"")</f>
        <v/>
      </c>
      <c r="Z4347" s="23" t="str">
        <f aca="false">IF(B4347="","",IF(MATCH(B4347,$B$2:$B$12000,0)=ROW()-1,1,0))</f>
        <v/>
      </c>
    </row>
    <row r="4348" customFormat="false" ht="15" hidden="false" customHeight="false" outlineLevel="0" collapsed="false">
      <c r="V4348" s="23" t="str">
        <f aca="false">IF(ISNUMBER(C4348),YEAR(C4348),"")</f>
        <v/>
      </c>
      <c r="W4348" s="23" t="str">
        <f aca="false">IF(ISNUMBER(C4348),MONTH(C4348),"")</f>
        <v/>
      </c>
      <c r="X4348" s="23" t="str">
        <f aca="false">IF(T4348="","",IF(T4348=0,"No discount",IF(T4348&lt;=0.2,"Low (1-20%)",IF(T4348&lt;=0.4,"Medium (21-40%)","High (&gt;40%)"))))</f>
        <v/>
      </c>
      <c r="Y4348" s="23" t="str">
        <f aca="false">IF(AND(ISNUMBER(C4348),ISNUMBER(D4348)),D4348-C4348,"")</f>
        <v/>
      </c>
      <c r="Z4348" s="23" t="str">
        <f aca="false">IF(B4348="","",IF(MATCH(B4348,$B$2:$B$12000,0)=ROW()-1,1,0))</f>
        <v/>
      </c>
    </row>
    <row r="4349" customFormat="false" ht="15" hidden="false" customHeight="false" outlineLevel="0" collapsed="false">
      <c r="V4349" s="23" t="str">
        <f aca="false">IF(ISNUMBER(C4349),YEAR(C4349),"")</f>
        <v/>
      </c>
      <c r="W4349" s="23" t="str">
        <f aca="false">IF(ISNUMBER(C4349),MONTH(C4349),"")</f>
        <v/>
      </c>
      <c r="X4349" s="23" t="str">
        <f aca="false">IF(T4349="","",IF(T4349=0,"No discount",IF(T4349&lt;=0.2,"Low (1-20%)",IF(T4349&lt;=0.4,"Medium (21-40%)","High (&gt;40%)"))))</f>
        <v/>
      </c>
      <c r="Y4349" s="23" t="str">
        <f aca="false">IF(AND(ISNUMBER(C4349),ISNUMBER(D4349)),D4349-C4349,"")</f>
        <v/>
      </c>
      <c r="Z4349" s="23" t="str">
        <f aca="false">IF(B4349="","",IF(MATCH(B4349,$B$2:$B$12000,0)=ROW()-1,1,0))</f>
        <v/>
      </c>
    </row>
    <row r="4350" customFormat="false" ht="15" hidden="false" customHeight="false" outlineLevel="0" collapsed="false">
      <c r="V4350" s="23" t="str">
        <f aca="false">IF(ISNUMBER(C4350),YEAR(C4350),"")</f>
        <v/>
      </c>
      <c r="W4350" s="23" t="str">
        <f aca="false">IF(ISNUMBER(C4350),MONTH(C4350),"")</f>
        <v/>
      </c>
      <c r="X4350" s="23" t="str">
        <f aca="false">IF(T4350="","",IF(T4350=0,"No discount",IF(T4350&lt;=0.2,"Low (1-20%)",IF(T4350&lt;=0.4,"Medium (21-40%)","High (&gt;40%)"))))</f>
        <v/>
      </c>
      <c r="Y4350" s="23" t="str">
        <f aca="false">IF(AND(ISNUMBER(C4350),ISNUMBER(D4350)),D4350-C4350,"")</f>
        <v/>
      </c>
      <c r="Z4350" s="23" t="str">
        <f aca="false">IF(B4350="","",IF(MATCH(B4350,$B$2:$B$12000,0)=ROW()-1,1,0))</f>
        <v/>
      </c>
    </row>
    <row r="4351" customFormat="false" ht="15" hidden="false" customHeight="false" outlineLevel="0" collapsed="false">
      <c r="V4351" s="23" t="str">
        <f aca="false">IF(ISNUMBER(C4351),YEAR(C4351),"")</f>
        <v/>
      </c>
      <c r="W4351" s="23" t="str">
        <f aca="false">IF(ISNUMBER(C4351),MONTH(C4351),"")</f>
        <v/>
      </c>
      <c r="X4351" s="23" t="str">
        <f aca="false">IF(T4351="","",IF(T4351=0,"No discount",IF(T4351&lt;=0.2,"Low (1-20%)",IF(T4351&lt;=0.4,"Medium (21-40%)","High (&gt;40%)"))))</f>
        <v/>
      </c>
      <c r="Y4351" s="23" t="str">
        <f aca="false">IF(AND(ISNUMBER(C4351),ISNUMBER(D4351)),D4351-C4351,"")</f>
        <v/>
      </c>
      <c r="Z4351" s="23" t="str">
        <f aca="false">IF(B4351="","",IF(MATCH(B4351,$B$2:$B$12000,0)=ROW()-1,1,0))</f>
        <v/>
      </c>
    </row>
    <row r="4352" customFormat="false" ht="15" hidden="false" customHeight="false" outlineLevel="0" collapsed="false">
      <c r="V4352" s="23" t="str">
        <f aca="false">IF(ISNUMBER(C4352),YEAR(C4352),"")</f>
        <v/>
      </c>
      <c r="W4352" s="23" t="str">
        <f aca="false">IF(ISNUMBER(C4352),MONTH(C4352),"")</f>
        <v/>
      </c>
      <c r="X4352" s="23" t="str">
        <f aca="false">IF(T4352="","",IF(T4352=0,"No discount",IF(T4352&lt;=0.2,"Low (1-20%)",IF(T4352&lt;=0.4,"Medium (21-40%)","High (&gt;40%)"))))</f>
        <v/>
      </c>
      <c r="Y4352" s="23" t="str">
        <f aca="false">IF(AND(ISNUMBER(C4352),ISNUMBER(D4352)),D4352-C4352,"")</f>
        <v/>
      </c>
      <c r="Z4352" s="23" t="str">
        <f aca="false">IF(B4352="","",IF(MATCH(B4352,$B$2:$B$12000,0)=ROW()-1,1,0))</f>
        <v/>
      </c>
    </row>
    <row r="4353" customFormat="false" ht="15" hidden="false" customHeight="false" outlineLevel="0" collapsed="false">
      <c r="V4353" s="23" t="str">
        <f aca="false">IF(ISNUMBER(C4353),YEAR(C4353),"")</f>
        <v/>
      </c>
      <c r="W4353" s="23" t="str">
        <f aca="false">IF(ISNUMBER(C4353),MONTH(C4353),"")</f>
        <v/>
      </c>
      <c r="X4353" s="23" t="str">
        <f aca="false">IF(T4353="","",IF(T4353=0,"No discount",IF(T4353&lt;=0.2,"Low (1-20%)",IF(T4353&lt;=0.4,"Medium (21-40%)","High (&gt;40%)"))))</f>
        <v/>
      </c>
      <c r="Y4353" s="23" t="str">
        <f aca="false">IF(AND(ISNUMBER(C4353),ISNUMBER(D4353)),D4353-C4353,"")</f>
        <v/>
      </c>
      <c r="Z4353" s="23" t="str">
        <f aca="false">IF(B4353="","",IF(MATCH(B4353,$B$2:$B$12000,0)=ROW()-1,1,0))</f>
        <v/>
      </c>
    </row>
    <row r="4354" customFormat="false" ht="15" hidden="false" customHeight="false" outlineLevel="0" collapsed="false">
      <c r="V4354" s="23" t="str">
        <f aca="false">IF(ISNUMBER(C4354),YEAR(C4354),"")</f>
        <v/>
      </c>
      <c r="W4354" s="23" t="str">
        <f aca="false">IF(ISNUMBER(C4354),MONTH(C4354),"")</f>
        <v/>
      </c>
      <c r="X4354" s="23" t="str">
        <f aca="false">IF(T4354="","",IF(T4354=0,"No discount",IF(T4354&lt;=0.2,"Low (1-20%)",IF(T4354&lt;=0.4,"Medium (21-40%)","High (&gt;40%)"))))</f>
        <v/>
      </c>
      <c r="Y4354" s="23" t="str">
        <f aca="false">IF(AND(ISNUMBER(C4354),ISNUMBER(D4354)),D4354-C4354,"")</f>
        <v/>
      </c>
      <c r="Z4354" s="23" t="str">
        <f aca="false">IF(B4354="","",IF(MATCH(B4354,$B$2:$B$12000,0)=ROW()-1,1,0))</f>
        <v/>
      </c>
    </row>
    <row r="4355" customFormat="false" ht="15" hidden="false" customHeight="false" outlineLevel="0" collapsed="false">
      <c r="V4355" s="23" t="str">
        <f aca="false">IF(ISNUMBER(C4355),YEAR(C4355),"")</f>
        <v/>
      </c>
      <c r="W4355" s="23" t="str">
        <f aca="false">IF(ISNUMBER(C4355),MONTH(C4355),"")</f>
        <v/>
      </c>
      <c r="X4355" s="23" t="str">
        <f aca="false">IF(T4355="","",IF(T4355=0,"No discount",IF(T4355&lt;=0.2,"Low (1-20%)",IF(T4355&lt;=0.4,"Medium (21-40%)","High (&gt;40%)"))))</f>
        <v/>
      </c>
      <c r="Y4355" s="23" t="str">
        <f aca="false">IF(AND(ISNUMBER(C4355),ISNUMBER(D4355)),D4355-C4355,"")</f>
        <v/>
      </c>
      <c r="Z4355" s="23" t="str">
        <f aca="false">IF(B4355="","",IF(MATCH(B4355,$B$2:$B$12000,0)=ROW()-1,1,0))</f>
        <v/>
      </c>
    </row>
    <row r="4356" customFormat="false" ht="15" hidden="false" customHeight="false" outlineLevel="0" collapsed="false">
      <c r="V4356" s="23" t="str">
        <f aca="false">IF(ISNUMBER(C4356),YEAR(C4356),"")</f>
        <v/>
      </c>
      <c r="W4356" s="23" t="str">
        <f aca="false">IF(ISNUMBER(C4356),MONTH(C4356),"")</f>
        <v/>
      </c>
      <c r="X4356" s="23" t="str">
        <f aca="false">IF(T4356="","",IF(T4356=0,"No discount",IF(T4356&lt;=0.2,"Low (1-20%)",IF(T4356&lt;=0.4,"Medium (21-40%)","High (&gt;40%)"))))</f>
        <v/>
      </c>
      <c r="Y4356" s="23" t="str">
        <f aca="false">IF(AND(ISNUMBER(C4356),ISNUMBER(D4356)),D4356-C4356,"")</f>
        <v/>
      </c>
      <c r="Z4356" s="23" t="str">
        <f aca="false">IF(B4356="","",IF(MATCH(B4356,$B$2:$B$12000,0)=ROW()-1,1,0))</f>
        <v/>
      </c>
    </row>
    <row r="4357" customFormat="false" ht="15" hidden="false" customHeight="false" outlineLevel="0" collapsed="false">
      <c r="V4357" s="23" t="str">
        <f aca="false">IF(ISNUMBER(C4357),YEAR(C4357),"")</f>
        <v/>
      </c>
      <c r="W4357" s="23" t="str">
        <f aca="false">IF(ISNUMBER(C4357),MONTH(C4357),"")</f>
        <v/>
      </c>
      <c r="X4357" s="23" t="str">
        <f aca="false">IF(T4357="","",IF(T4357=0,"No discount",IF(T4357&lt;=0.2,"Low (1-20%)",IF(T4357&lt;=0.4,"Medium (21-40%)","High (&gt;40%)"))))</f>
        <v/>
      </c>
      <c r="Y4357" s="23" t="str">
        <f aca="false">IF(AND(ISNUMBER(C4357),ISNUMBER(D4357)),D4357-C4357,"")</f>
        <v/>
      </c>
      <c r="Z4357" s="23" t="str">
        <f aca="false">IF(B4357="","",IF(MATCH(B4357,$B$2:$B$12000,0)=ROW()-1,1,0))</f>
        <v/>
      </c>
    </row>
    <row r="4358" customFormat="false" ht="15" hidden="false" customHeight="false" outlineLevel="0" collapsed="false">
      <c r="V4358" s="23" t="str">
        <f aca="false">IF(ISNUMBER(C4358),YEAR(C4358),"")</f>
        <v/>
      </c>
      <c r="W4358" s="23" t="str">
        <f aca="false">IF(ISNUMBER(C4358),MONTH(C4358),"")</f>
        <v/>
      </c>
      <c r="X4358" s="23" t="str">
        <f aca="false">IF(T4358="","",IF(T4358=0,"No discount",IF(T4358&lt;=0.2,"Low (1-20%)",IF(T4358&lt;=0.4,"Medium (21-40%)","High (&gt;40%)"))))</f>
        <v/>
      </c>
      <c r="Y4358" s="23" t="str">
        <f aca="false">IF(AND(ISNUMBER(C4358),ISNUMBER(D4358)),D4358-C4358,"")</f>
        <v/>
      </c>
      <c r="Z4358" s="23" t="str">
        <f aca="false">IF(B4358="","",IF(MATCH(B4358,$B$2:$B$12000,0)=ROW()-1,1,0))</f>
        <v/>
      </c>
    </row>
    <row r="4359" customFormat="false" ht="15" hidden="false" customHeight="false" outlineLevel="0" collapsed="false">
      <c r="V4359" s="23" t="str">
        <f aca="false">IF(ISNUMBER(C4359),YEAR(C4359),"")</f>
        <v/>
      </c>
      <c r="W4359" s="23" t="str">
        <f aca="false">IF(ISNUMBER(C4359),MONTH(C4359),"")</f>
        <v/>
      </c>
      <c r="X4359" s="23" t="str">
        <f aca="false">IF(T4359="","",IF(T4359=0,"No discount",IF(T4359&lt;=0.2,"Low (1-20%)",IF(T4359&lt;=0.4,"Medium (21-40%)","High (&gt;40%)"))))</f>
        <v/>
      </c>
      <c r="Y4359" s="23" t="str">
        <f aca="false">IF(AND(ISNUMBER(C4359),ISNUMBER(D4359)),D4359-C4359,"")</f>
        <v/>
      </c>
      <c r="Z4359" s="23" t="str">
        <f aca="false">IF(B4359="","",IF(MATCH(B4359,$B$2:$B$12000,0)=ROW()-1,1,0))</f>
        <v/>
      </c>
    </row>
    <row r="4360" customFormat="false" ht="15" hidden="false" customHeight="false" outlineLevel="0" collapsed="false">
      <c r="V4360" s="23" t="str">
        <f aca="false">IF(ISNUMBER(C4360),YEAR(C4360),"")</f>
        <v/>
      </c>
      <c r="W4360" s="23" t="str">
        <f aca="false">IF(ISNUMBER(C4360),MONTH(C4360),"")</f>
        <v/>
      </c>
      <c r="X4360" s="23" t="str">
        <f aca="false">IF(T4360="","",IF(T4360=0,"No discount",IF(T4360&lt;=0.2,"Low (1-20%)",IF(T4360&lt;=0.4,"Medium (21-40%)","High (&gt;40%)"))))</f>
        <v/>
      </c>
      <c r="Y4360" s="23" t="str">
        <f aca="false">IF(AND(ISNUMBER(C4360),ISNUMBER(D4360)),D4360-C4360,"")</f>
        <v/>
      </c>
      <c r="Z4360" s="23" t="str">
        <f aca="false">IF(B4360="","",IF(MATCH(B4360,$B$2:$B$12000,0)=ROW()-1,1,0))</f>
        <v/>
      </c>
    </row>
    <row r="4361" customFormat="false" ht="15" hidden="false" customHeight="false" outlineLevel="0" collapsed="false">
      <c r="V4361" s="23" t="str">
        <f aca="false">IF(ISNUMBER(C4361),YEAR(C4361),"")</f>
        <v/>
      </c>
      <c r="W4361" s="23" t="str">
        <f aca="false">IF(ISNUMBER(C4361),MONTH(C4361),"")</f>
        <v/>
      </c>
      <c r="X4361" s="23" t="str">
        <f aca="false">IF(T4361="","",IF(T4361=0,"No discount",IF(T4361&lt;=0.2,"Low (1-20%)",IF(T4361&lt;=0.4,"Medium (21-40%)","High (&gt;40%)"))))</f>
        <v/>
      </c>
      <c r="Y4361" s="23" t="str">
        <f aca="false">IF(AND(ISNUMBER(C4361),ISNUMBER(D4361)),D4361-C4361,"")</f>
        <v/>
      </c>
      <c r="Z4361" s="23" t="str">
        <f aca="false">IF(B4361="","",IF(MATCH(B4361,$B$2:$B$12000,0)=ROW()-1,1,0))</f>
        <v/>
      </c>
    </row>
    <row r="4362" customFormat="false" ht="15" hidden="false" customHeight="false" outlineLevel="0" collapsed="false">
      <c r="V4362" s="23" t="str">
        <f aca="false">IF(ISNUMBER(C4362),YEAR(C4362),"")</f>
        <v/>
      </c>
      <c r="W4362" s="23" t="str">
        <f aca="false">IF(ISNUMBER(C4362),MONTH(C4362),"")</f>
        <v/>
      </c>
      <c r="X4362" s="23" t="str">
        <f aca="false">IF(T4362="","",IF(T4362=0,"No discount",IF(T4362&lt;=0.2,"Low (1-20%)",IF(T4362&lt;=0.4,"Medium (21-40%)","High (&gt;40%)"))))</f>
        <v/>
      </c>
      <c r="Y4362" s="23" t="str">
        <f aca="false">IF(AND(ISNUMBER(C4362),ISNUMBER(D4362)),D4362-C4362,"")</f>
        <v/>
      </c>
      <c r="Z4362" s="23" t="str">
        <f aca="false">IF(B4362="","",IF(MATCH(B4362,$B$2:$B$12000,0)=ROW()-1,1,0))</f>
        <v/>
      </c>
    </row>
    <row r="4363" customFormat="false" ht="15" hidden="false" customHeight="false" outlineLevel="0" collapsed="false">
      <c r="V4363" s="23" t="str">
        <f aca="false">IF(ISNUMBER(C4363),YEAR(C4363),"")</f>
        <v/>
      </c>
      <c r="W4363" s="23" t="str">
        <f aca="false">IF(ISNUMBER(C4363),MONTH(C4363),"")</f>
        <v/>
      </c>
      <c r="X4363" s="23" t="str">
        <f aca="false">IF(T4363="","",IF(T4363=0,"No discount",IF(T4363&lt;=0.2,"Low (1-20%)",IF(T4363&lt;=0.4,"Medium (21-40%)","High (&gt;40%)"))))</f>
        <v/>
      </c>
      <c r="Y4363" s="23" t="str">
        <f aca="false">IF(AND(ISNUMBER(C4363),ISNUMBER(D4363)),D4363-C4363,"")</f>
        <v/>
      </c>
      <c r="Z4363" s="23" t="str">
        <f aca="false">IF(B4363="","",IF(MATCH(B4363,$B$2:$B$12000,0)=ROW()-1,1,0))</f>
        <v/>
      </c>
    </row>
    <row r="4364" customFormat="false" ht="15" hidden="false" customHeight="false" outlineLevel="0" collapsed="false">
      <c r="V4364" s="23" t="str">
        <f aca="false">IF(ISNUMBER(C4364),YEAR(C4364),"")</f>
        <v/>
      </c>
      <c r="W4364" s="23" t="str">
        <f aca="false">IF(ISNUMBER(C4364),MONTH(C4364),"")</f>
        <v/>
      </c>
      <c r="X4364" s="23" t="str">
        <f aca="false">IF(T4364="","",IF(T4364=0,"No discount",IF(T4364&lt;=0.2,"Low (1-20%)",IF(T4364&lt;=0.4,"Medium (21-40%)","High (&gt;40%)"))))</f>
        <v/>
      </c>
      <c r="Y4364" s="23" t="str">
        <f aca="false">IF(AND(ISNUMBER(C4364),ISNUMBER(D4364)),D4364-C4364,"")</f>
        <v/>
      </c>
      <c r="Z4364" s="23" t="str">
        <f aca="false">IF(B4364="","",IF(MATCH(B4364,$B$2:$B$12000,0)=ROW()-1,1,0))</f>
        <v/>
      </c>
    </row>
    <row r="4365" customFormat="false" ht="15" hidden="false" customHeight="false" outlineLevel="0" collapsed="false">
      <c r="V4365" s="23" t="str">
        <f aca="false">IF(ISNUMBER(C4365),YEAR(C4365),"")</f>
        <v/>
      </c>
      <c r="W4365" s="23" t="str">
        <f aca="false">IF(ISNUMBER(C4365),MONTH(C4365),"")</f>
        <v/>
      </c>
      <c r="X4365" s="23" t="str">
        <f aca="false">IF(T4365="","",IF(T4365=0,"No discount",IF(T4365&lt;=0.2,"Low (1-20%)",IF(T4365&lt;=0.4,"Medium (21-40%)","High (&gt;40%)"))))</f>
        <v/>
      </c>
      <c r="Y4365" s="23" t="str">
        <f aca="false">IF(AND(ISNUMBER(C4365),ISNUMBER(D4365)),D4365-C4365,"")</f>
        <v/>
      </c>
      <c r="Z4365" s="23" t="str">
        <f aca="false">IF(B4365="","",IF(MATCH(B4365,$B$2:$B$12000,0)=ROW()-1,1,0))</f>
        <v/>
      </c>
    </row>
    <row r="4366" customFormat="false" ht="15" hidden="false" customHeight="false" outlineLevel="0" collapsed="false">
      <c r="V4366" s="23" t="str">
        <f aca="false">IF(ISNUMBER(C4366),YEAR(C4366),"")</f>
        <v/>
      </c>
      <c r="W4366" s="23" t="str">
        <f aca="false">IF(ISNUMBER(C4366),MONTH(C4366),"")</f>
        <v/>
      </c>
      <c r="X4366" s="23" t="str">
        <f aca="false">IF(T4366="","",IF(T4366=0,"No discount",IF(T4366&lt;=0.2,"Low (1-20%)",IF(T4366&lt;=0.4,"Medium (21-40%)","High (&gt;40%)"))))</f>
        <v/>
      </c>
      <c r="Y4366" s="23" t="str">
        <f aca="false">IF(AND(ISNUMBER(C4366),ISNUMBER(D4366)),D4366-C4366,"")</f>
        <v/>
      </c>
      <c r="Z4366" s="23" t="str">
        <f aca="false">IF(B4366="","",IF(MATCH(B4366,$B$2:$B$12000,0)=ROW()-1,1,0))</f>
        <v/>
      </c>
    </row>
    <row r="4367" customFormat="false" ht="15" hidden="false" customHeight="false" outlineLevel="0" collapsed="false">
      <c r="V4367" s="23" t="str">
        <f aca="false">IF(ISNUMBER(C4367),YEAR(C4367),"")</f>
        <v/>
      </c>
      <c r="W4367" s="23" t="str">
        <f aca="false">IF(ISNUMBER(C4367),MONTH(C4367),"")</f>
        <v/>
      </c>
      <c r="X4367" s="23" t="str">
        <f aca="false">IF(T4367="","",IF(T4367=0,"No discount",IF(T4367&lt;=0.2,"Low (1-20%)",IF(T4367&lt;=0.4,"Medium (21-40%)","High (&gt;40%)"))))</f>
        <v/>
      </c>
      <c r="Y4367" s="23" t="str">
        <f aca="false">IF(AND(ISNUMBER(C4367),ISNUMBER(D4367)),D4367-C4367,"")</f>
        <v/>
      </c>
      <c r="Z4367" s="23" t="str">
        <f aca="false">IF(B4367="","",IF(MATCH(B4367,$B$2:$B$12000,0)=ROW()-1,1,0))</f>
        <v/>
      </c>
    </row>
    <row r="4368" customFormat="false" ht="15" hidden="false" customHeight="false" outlineLevel="0" collapsed="false">
      <c r="V4368" s="23" t="str">
        <f aca="false">IF(ISNUMBER(C4368),YEAR(C4368),"")</f>
        <v/>
      </c>
      <c r="W4368" s="23" t="str">
        <f aca="false">IF(ISNUMBER(C4368),MONTH(C4368),"")</f>
        <v/>
      </c>
      <c r="X4368" s="23" t="str">
        <f aca="false">IF(T4368="","",IF(T4368=0,"No discount",IF(T4368&lt;=0.2,"Low (1-20%)",IF(T4368&lt;=0.4,"Medium (21-40%)","High (&gt;40%)"))))</f>
        <v/>
      </c>
      <c r="Y4368" s="23" t="str">
        <f aca="false">IF(AND(ISNUMBER(C4368),ISNUMBER(D4368)),D4368-C4368,"")</f>
        <v/>
      </c>
      <c r="Z4368" s="23" t="str">
        <f aca="false">IF(B4368="","",IF(MATCH(B4368,$B$2:$B$12000,0)=ROW()-1,1,0))</f>
        <v/>
      </c>
    </row>
    <row r="4369" customFormat="false" ht="15" hidden="false" customHeight="false" outlineLevel="0" collapsed="false">
      <c r="V4369" s="23" t="str">
        <f aca="false">IF(ISNUMBER(C4369),YEAR(C4369),"")</f>
        <v/>
      </c>
      <c r="W4369" s="23" t="str">
        <f aca="false">IF(ISNUMBER(C4369),MONTH(C4369),"")</f>
        <v/>
      </c>
      <c r="X4369" s="23" t="str">
        <f aca="false">IF(T4369="","",IF(T4369=0,"No discount",IF(T4369&lt;=0.2,"Low (1-20%)",IF(T4369&lt;=0.4,"Medium (21-40%)","High (&gt;40%)"))))</f>
        <v/>
      </c>
      <c r="Y4369" s="23" t="str">
        <f aca="false">IF(AND(ISNUMBER(C4369),ISNUMBER(D4369)),D4369-C4369,"")</f>
        <v/>
      </c>
      <c r="Z4369" s="23" t="str">
        <f aca="false">IF(B4369="","",IF(MATCH(B4369,$B$2:$B$12000,0)=ROW()-1,1,0))</f>
        <v/>
      </c>
    </row>
    <row r="4370" customFormat="false" ht="15" hidden="false" customHeight="false" outlineLevel="0" collapsed="false">
      <c r="V4370" s="23" t="str">
        <f aca="false">IF(ISNUMBER(C4370),YEAR(C4370),"")</f>
        <v/>
      </c>
      <c r="W4370" s="23" t="str">
        <f aca="false">IF(ISNUMBER(C4370),MONTH(C4370),"")</f>
        <v/>
      </c>
      <c r="X4370" s="23" t="str">
        <f aca="false">IF(T4370="","",IF(T4370=0,"No discount",IF(T4370&lt;=0.2,"Low (1-20%)",IF(T4370&lt;=0.4,"Medium (21-40%)","High (&gt;40%)"))))</f>
        <v/>
      </c>
      <c r="Y4370" s="23" t="str">
        <f aca="false">IF(AND(ISNUMBER(C4370),ISNUMBER(D4370)),D4370-C4370,"")</f>
        <v/>
      </c>
      <c r="Z4370" s="23" t="str">
        <f aca="false">IF(B4370="","",IF(MATCH(B4370,$B$2:$B$12000,0)=ROW()-1,1,0))</f>
        <v/>
      </c>
    </row>
    <row r="4371" customFormat="false" ht="15" hidden="false" customHeight="false" outlineLevel="0" collapsed="false">
      <c r="V4371" s="23" t="str">
        <f aca="false">IF(ISNUMBER(C4371),YEAR(C4371),"")</f>
        <v/>
      </c>
      <c r="W4371" s="23" t="str">
        <f aca="false">IF(ISNUMBER(C4371),MONTH(C4371),"")</f>
        <v/>
      </c>
      <c r="X4371" s="23" t="str">
        <f aca="false">IF(T4371="","",IF(T4371=0,"No discount",IF(T4371&lt;=0.2,"Low (1-20%)",IF(T4371&lt;=0.4,"Medium (21-40%)","High (&gt;40%)"))))</f>
        <v/>
      </c>
      <c r="Y4371" s="23" t="str">
        <f aca="false">IF(AND(ISNUMBER(C4371),ISNUMBER(D4371)),D4371-C4371,"")</f>
        <v/>
      </c>
      <c r="Z4371" s="23" t="str">
        <f aca="false">IF(B4371="","",IF(MATCH(B4371,$B$2:$B$12000,0)=ROW()-1,1,0))</f>
        <v/>
      </c>
    </row>
    <row r="4372" customFormat="false" ht="15" hidden="false" customHeight="false" outlineLevel="0" collapsed="false">
      <c r="V4372" s="23" t="str">
        <f aca="false">IF(ISNUMBER(C4372),YEAR(C4372),"")</f>
        <v/>
      </c>
      <c r="W4372" s="23" t="str">
        <f aca="false">IF(ISNUMBER(C4372),MONTH(C4372),"")</f>
        <v/>
      </c>
      <c r="X4372" s="23" t="str">
        <f aca="false">IF(T4372="","",IF(T4372=0,"No discount",IF(T4372&lt;=0.2,"Low (1-20%)",IF(T4372&lt;=0.4,"Medium (21-40%)","High (&gt;40%)"))))</f>
        <v/>
      </c>
      <c r="Y4372" s="23" t="str">
        <f aca="false">IF(AND(ISNUMBER(C4372),ISNUMBER(D4372)),D4372-C4372,"")</f>
        <v/>
      </c>
      <c r="Z4372" s="23" t="str">
        <f aca="false">IF(B4372="","",IF(MATCH(B4372,$B$2:$B$12000,0)=ROW()-1,1,0))</f>
        <v/>
      </c>
    </row>
    <row r="4373" customFormat="false" ht="15" hidden="false" customHeight="false" outlineLevel="0" collapsed="false">
      <c r="V4373" s="23" t="str">
        <f aca="false">IF(ISNUMBER(C4373),YEAR(C4373),"")</f>
        <v/>
      </c>
      <c r="W4373" s="23" t="str">
        <f aca="false">IF(ISNUMBER(C4373),MONTH(C4373),"")</f>
        <v/>
      </c>
      <c r="X4373" s="23" t="str">
        <f aca="false">IF(T4373="","",IF(T4373=0,"No discount",IF(T4373&lt;=0.2,"Low (1-20%)",IF(T4373&lt;=0.4,"Medium (21-40%)","High (&gt;40%)"))))</f>
        <v/>
      </c>
      <c r="Y4373" s="23" t="str">
        <f aca="false">IF(AND(ISNUMBER(C4373),ISNUMBER(D4373)),D4373-C4373,"")</f>
        <v/>
      </c>
      <c r="Z4373" s="23" t="str">
        <f aca="false">IF(B4373="","",IF(MATCH(B4373,$B$2:$B$12000,0)=ROW()-1,1,0))</f>
        <v/>
      </c>
    </row>
    <row r="4374" customFormat="false" ht="15" hidden="false" customHeight="false" outlineLevel="0" collapsed="false">
      <c r="V4374" s="23" t="str">
        <f aca="false">IF(ISNUMBER(C4374),YEAR(C4374),"")</f>
        <v/>
      </c>
      <c r="W4374" s="23" t="str">
        <f aca="false">IF(ISNUMBER(C4374),MONTH(C4374),"")</f>
        <v/>
      </c>
      <c r="X4374" s="23" t="str">
        <f aca="false">IF(T4374="","",IF(T4374=0,"No discount",IF(T4374&lt;=0.2,"Low (1-20%)",IF(T4374&lt;=0.4,"Medium (21-40%)","High (&gt;40%)"))))</f>
        <v/>
      </c>
      <c r="Y4374" s="23" t="str">
        <f aca="false">IF(AND(ISNUMBER(C4374),ISNUMBER(D4374)),D4374-C4374,"")</f>
        <v/>
      </c>
      <c r="Z4374" s="23" t="str">
        <f aca="false">IF(B4374="","",IF(MATCH(B4374,$B$2:$B$12000,0)=ROW()-1,1,0))</f>
        <v/>
      </c>
    </row>
    <row r="4375" customFormat="false" ht="15" hidden="false" customHeight="false" outlineLevel="0" collapsed="false">
      <c r="V4375" s="23" t="str">
        <f aca="false">IF(ISNUMBER(C4375),YEAR(C4375),"")</f>
        <v/>
      </c>
      <c r="W4375" s="23" t="str">
        <f aca="false">IF(ISNUMBER(C4375),MONTH(C4375),"")</f>
        <v/>
      </c>
      <c r="X4375" s="23" t="str">
        <f aca="false">IF(T4375="","",IF(T4375=0,"No discount",IF(T4375&lt;=0.2,"Low (1-20%)",IF(T4375&lt;=0.4,"Medium (21-40%)","High (&gt;40%)"))))</f>
        <v/>
      </c>
      <c r="Y4375" s="23" t="str">
        <f aca="false">IF(AND(ISNUMBER(C4375),ISNUMBER(D4375)),D4375-C4375,"")</f>
        <v/>
      </c>
      <c r="Z4375" s="23" t="str">
        <f aca="false">IF(B4375="","",IF(MATCH(B4375,$B$2:$B$12000,0)=ROW()-1,1,0))</f>
        <v/>
      </c>
    </row>
    <row r="4376" customFormat="false" ht="15" hidden="false" customHeight="false" outlineLevel="0" collapsed="false">
      <c r="V4376" s="23" t="str">
        <f aca="false">IF(ISNUMBER(C4376),YEAR(C4376),"")</f>
        <v/>
      </c>
      <c r="W4376" s="23" t="str">
        <f aca="false">IF(ISNUMBER(C4376),MONTH(C4376),"")</f>
        <v/>
      </c>
      <c r="X4376" s="23" t="str">
        <f aca="false">IF(T4376="","",IF(T4376=0,"No discount",IF(T4376&lt;=0.2,"Low (1-20%)",IF(T4376&lt;=0.4,"Medium (21-40%)","High (&gt;40%)"))))</f>
        <v/>
      </c>
      <c r="Y4376" s="23" t="str">
        <f aca="false">IF(AND(ISNUMBER(C4376),ISNUMBER(D4376)),D4376-C4376,"")</f>
        <v/>
      </c>
      <c r="Z4376" s="23" t="str">
        <f aca="false">IF(B4376="","",IF(MATCH(B4376,$B$2:$B$12000,0)=ROW()-1,1,0))</f>
        <v/>
      </c>
    </row>
    <row r="4377" customFormat="false" ht="15" hidden="false" customHeight="false" outlineLevel="0" collapsed="false">
      <c r="V4377" s="23" t="str">
        <f aca="false">IF(ISNUMBER(C4377),YEAR(C4377),"")</f>
        <v/>
      </c>
      <c r="W4377" s="23" t="str">
        <f aca="false">IF(ISNUMBER(C4377),MONTH(C4377),"")</f>
        <v/>
      </c>
      <c r="X4377" s="23" t="str">
        <f aca="false">IF(T4377="","",IF(T4377=0,"No discount",IF(T4377&lt;=0.2,"Low (1-20%)",IF(T4377&lt;=0.4,"Medium (21-40%)","High (&gt;40%)"))))</f>
        <v/>
      </c>
      <c r="Y4377" s="23" t="str">
        <f aca="false">IF(AND(ISNUMBER(C4377),ISNUMBER(D4377)),D4377-C4377,"")</f>
        <v/>
      </c>
      <c r="Z4377" s="23" t="str">
        <f aca="false">IF(B4377="","",IF(MATCH(B4377,$B$2:$B$12000,0)=ROW()-1,1,0))</f>
        <v/>
      </c>
    </row>
    <row r="4378" customFormat="false" ht="15" hidden="false" customHeight="false" outlineLevel="0" collapsed="false">
      <c r="V4378" s="23" t="str">
        <f aca="false">IF(ISNUMBER(C4378),YEAR(C4378),"")</f>
        <v/>
      </c>
      <c r="W4378" s="23" t="str">
        <f aca="false">IF(ISNUMBER(C4378),MONTH(C4378),"")</f>
        <v/>
      </c>
      <c r="X4378" s="23" t="str">
        <f aca="false">IF(T4378="","",IF(T4378=0,"No discount",IF(T4378&lt;=0.2,"Low (1-20%)",IF(T4378&lt;=0.4,"Medium (21-40%)","High (&gt;40%)"))))</f>
        <v/>
      </c>
      <c r="Y4378" s="23" t="str">
        <f aca="false">IF(AND(ISNUMBER(C4378),ISNUMBER(D4378)),D4378-C4378,"")</f>
        <v/>
      </c>
      <c r="Z4378" s="23" t="str">
        <f aca="false">IF(B4378="","",IF(MATCH(B4378,$B$2:$B$12000,0)=ROW()-1,1,0))</f>
        <v/>
      </c>
    </row>
    <row r="4379" customFormat="false" ht="15" hidden="false" customHeight="false" outlineLevel="0" collapsed="false">
      <c r="V4379" s="23" t="str">
        <f aca="false">IF(ISNUMBER(C4379),YEAR(C4379),"")</f>
        <v/>
      </c>
      <c r="W4379" s="23" t="str">
        <f aca="false">IF(ISNUMBER(C4379),MONTH(C4379),"")</f>
        <v/>
      </c>
      <c r="X4379" s="23" t="str">
        <f aca="false">IF(T4379="","",IF(T4379=0,"No discount",IF(T4379&lt;=0.2,"Low (1-20%)",IF(T4379&lt;=0.4,"Medium (21-40%)","High (&gt;40%)"))))</f>
        <v/>
      </c>
      <c r="Y4379" s="23" t="str">
        <f aca="false">IF(AND(ISNUMBER(C4379),ISNUMBER(D4379)),D4379-C4379,"")</f>
        <v/>
      </c>
      <c r="Z4379" s="23" t="str">
        <f aca="false">IF(B4379="","",IF(MATCH(B4379,$B$2:$B$12000,0)=ROW()-1,1,0))</f>
        <v/>
      </c>
    </row>
    <row r="4380" customFormat="false" ht="15" hidden="false" customHeight="false" outlineLevel="0" collapsed="false">
      <c r="V4380" s="23" t="str">
        <f aca="false">IF(ISNUMBER(C4380),YEAR(C4380),"")</f>
        <v/>
      </c>
      <c r="W4380" s="23" t="str">
        <f aca="false">IF(ISNUMBER(C4380),MONTH(C4380),"")</f>
        <v/>
      </c>
      <c r="X4380" s="23" t="str">
        <f aca="false">IF(T4380="","",IF(T4380=0,"No discount",IF(T4380&lt;=0.2,"Low (1-20%)",IF(T4380&lt;=0.4,"Medium (21-40%)","High (&gt;40%)"))))</f>
        <v/>
      </c>
      <c r="Y4380" s="23" t="str">
        <f aca="false">IF(AND(ISNUMBER(C4380),ISNUMBER(D4380)),D4380-C4380,"")</f>
        <v/>
      </c>
      <c r="Z4380" s="23" t="str">
        <f aca="false">IF(B4380="","",IF(MATCH(B4380,$B$2:$B$12000,0)=ROW()-1,1,0))</f>
        <v/>
      </c>
    </row>
    <row r="4381" customFormat="false" ht="15" hidden="false" customHeight="false" outlineLevel="0" collapsed="false">
      <c r="V4381" s="23" t="str">
        <f aca="false">IF(ISNUMBER(C4381),YEAR(C4381),"")</f>
        <v/>
      </c>
      <c r="W4381" s="23" t="str">
        <f aca="false">IF(ISNUMBER(C4381),MONTH(C4381),"")</f>
        <v/>
      </c>
      <c r="X4381" s="23" t="str">
        <f aca="false">IF(T4381="","",IF(T4381=0,"No discount",IF(T4381&lt;=0.2,"Low (1-20%)",IF(T4381&lt;=0.4,"Medium (21-40%)","High (&gt;40%)"))))</f>
        <v/>
      </c>
      <c r="Y4381" s="23" t="str">
        <f aca="false">IF(AND(ISNUMBER(C4381),ISNUMBER(D4381)),D4381-C4381,"")</f>
        <v/>
      </c>
      <c r="Z4381" s="23" t="str">
        <f aca="false">IF(B4381="","",IF(MATCH(B4381,$B$2:$B$12000,0)=ROW()-1,1,0))</f>
        <v/>
      </c>
    </row>
    <row r="4382" customFormat="false" ht="15" hidden="false" customHeight="false" outlineLevel="0" collapsed="false">
      <c r="V4382" s="23" t="str">
        <f aca="false">IF(ISNUMBER(C4382),YEAR(C4382),"")</f>
        <v/>
      </c>
      <c r="W4382" s="23" t="str">
        <f aca="false">IF(ISNUMBER(C4382),MONTH(C4382),"")</f>
        <v/>
      </c>
      <c r="X4382" s="23" t="str">
        <f aca="false">IF(T4382="","",IF(T4382=0,"No discount",IF(T4382&lt;=0.2,"Low (1-20%)",IF(T4382&lt;=0.4,"Medium (21-40%)","High (&gt;40%)"))))</f>
        <v/>
      </c>
      <c r="Y4382" s="23" t="str">
        <f aca="false">IF(AND(ISNUMBER(C4382),ISNUMBER(D4382)),D4382-C4382,"")</f>
        <v/>
      </c>
      <c r="Z4382" s="23" t="str">
        <f aca="false">IF(B4382="","",IF(MATCH(B4382,$B$2:$B$12000,0)=ROW()-1,1,0))</f>
        <v/>
      </c>
    </row>
    <row r="4383" customFormat="false" ht="15" hidden="false" customHeight="false" outlineLevel="0" collapsed="false">
      <c r="V4383" s="23" t="str">
        <f aca="false">IF(ISNUMBER(C4383),YEAR(C4383),"")</f>
        <v/>
      </c>
      <c r="W4383" s="23" t="str">
        <f aca="false">IF(ISNUMBER(C4383),MONTH(C4383),"")</f>
        <v/>
      </c>
      <c r="X4383" s="23" t="str">
        <f aca="false">IF(T4383="","",IF(T4383=0,"No discount",IF(T4383&lt;=0.2,"Low (1-20%)",IF(T4383&lt;=0.4,"Medium (21-40%)","High (&gt;40%)"))))</f>
        <v/>
      </c>
      <c r="Y4383" s="23" t="str">
        <f aca="false">IF(AND(ISNUMBER(C4383),ISNUMBER(D4383)),D4383-C4383,"")</f>
        <v/>
      </c>
      <c r="Z4383" s="23" t="str">
        <f aca="false">IF(B4383="","",IF(MATCH(B4383,$B$2:$B$12000,0)=ROW()-1,1,0))</f>
        <v/>
      </c>
    </row>
    <row r="4384" customFormat="false" ht="15" hidden="false" customHeight="false" outlineLevel="0" collapsed="false">
      <c r="V4384" s="23" t="str">
        <f aca="false">IF(ISNUMBER(C4384),YEAR(C4384),"")</f>
        <v/>
      </c>
      <c r="W4384" s="23" t="str">
        <f aca="false">IF(ISNUMBER(C4384),MONTH(C4384),"")</f>
        <v/>
      </c>
      <c r="X4384" s="23" t="str">
        <f aca="false">IF(T4384="","",IF(T4384=0,"No discount",IF(T4384&lt;=0.2,"Low (1-20%)",IF(T4384&lt;=0.4,"Medium (21-40%)","High (&gt;40%)"))))</f>
        <v/>
      </c>
      <c r="Y4384" s="23" t="str">
        <f aca="false">IF(AND(ISNUMBER(C4384),ISNUMBER(D4384)),D4384-C4384,"")</f>
        <v/>
      </c>
      <c r="Z4384" s="23" t="str">
        <f aca="false">IF(B4384="","",IF(MATCH(B4384,$B$2:$B$12000,0)=ROW()-1,1,0))</f>
        <v/>
      </c>
    </row>
    <row r="4385" customFormat="false" ht="15" hidden="false" customHeight="false" outlineLevel="0" collapsed="false">
      <c r="V4385" s="23" t="str">
        <f aca="false">IF(ISNUMBER(C4385),YEAR(C4385),"")</f>
        <v/>
      </c>
      <c r="W4385" s="23" t="str">
        <f aca="false">IF(ISNUMBER(C4385),MONTH(C4385),"")</f>
        <v/>
      </c>
      <c r="X4385" s="23" t="str">
        <f aca="false">IF(T4385="","",IF(T4385=0,"No discount",IF(T4385&lt;=0.2,"Low (1-20%)",IF(T4385&lt;=0.4,"Medium (21-40%)","High (&gt;40%)"))))</f>
        <v/>
      </c>
      <c r="Y4385" s="23" t="str">
        <f aca="false">IF(AND(ISNUMBER(C4385),ISNUMBER(D4385)),D4385-C4385,"")</f>
        <v/>
      </c>
      <c r="Z4385" s="23" t="str">
        <f aca="false">IF(B4385="","",IF(MATCH(B4385,$B$2:$B$12000,0)=ROW()-1,1,0))</f>
        <v/>
      </c>
    </row>
    <row r="4386" customFormat="false" ht="15" hidden="false" customHeight="false" outlineLevel="0" collapsed="false">
      <c r="V4386" s="23" t="str">
        <f aca="false">IF(ISNUMBER(C4386),YEAR(C4386),"")</f>
        <v/>
      </c>
      <c r="W4386" s="23" t="str">
        <f aca="false">IF(ISNUMBER(C4386),MONTH(C4386),"")</f>
        <v/>
      </c>
      <c r="X4386" s="23" t="str">
        <f aca="false">IF(T4386="","",IF(T4386=0,"No discount",IF(T4386&lt;=0.2,"Low (1-20%)",IF(T4386&lt;=0.4,"Medium (21-40%)","High (&gt;40%)"))))</f>
        <v/>
      </c>
      <c r="Y4386" s="23" t="str">
        <f aca="false">IF(AND(ISNUMBER(C4386),ISNUMBER(D4386)),D4386-C4386,"")</f>
        <v/>
      </c>
      <c r="Z4386" s="23" t="str">
        <f aca="false">IF(B4386="","",IF(MATCH(B4386,$B$2:$B$12000,0)=ROW()-1,1,0))</f>
        <v/>
      </c>
    </row>
    <row r="4387" customFormat="false" ht="15" hidden="false" customHeight="false" outlineLevel="0" collapsed="false">
      <c r="V4387" s="23" t="str">
        <f aca="false">IF(ISNUMBER(C4387),YEAR(C4387),"")</f>
        <v/>
      </c>
      <c r="W4387" s="23" t="str">
        <f aca="false">IF(ISNUMBER(C4387),MONTH(C4387),"")</f>
        <v/>
      </c>
      <c r="X4387" s="23" t="str">
        <f aca="false">IF(T4387="","",IF(T4387=0,"No discount",IF(T4387&lt;=0.2,"Low (1-20%)",IF(T4387&lt;=0.4,"Medium (21-40%)","High (&gt;40%)"))))</f>
        <v/>
      </c>
      <c r="Y4387" s="23" t="str">
        <f aca="false">IF(AND(ISNUMBER(C4387),ISNUMBER(D4387)),D4387-C4387,"")</f>
        <v/>
      </c>
      <c r="Z4387" s="23" t="str">
        <f aca="false">IF(B4387="","",IF(MATCH(B4387,$B$2:$B$12000,0)=ROW()-1,1,0))</f>
        <v/>
      </c>
    </row>
    <row r="4388" customFormat="false" ht="15" hidden="false" customHeight="false" outlineLevel="0" collapsed="false">
      <c r="V4388" s="23" t="str">
        <f aca="false">IF(ISNUMBER(C4388),YEAR(C4388),"")</f>
        <v/>
      </c>
      <c r="W4388" s="23" t="str">
        <f aca="false">IF(ISNUMBER(C4388),MONTH(C4388),"")</f>
        <v/>
      </c>
      <c r="X4388" s="23" t="str">
        <f aca="false">IF(T4388="","",IF(T4388=0,"No discount",IF(T4388&lt;=0.2,"Low (1-20%)",IF(T4388&lt;=0.4,"Medium (21-40%)","High (&gt;40%)"))))</f>
        <v/>
      </c>
      <c r="Y4388" s="23" t="str">
        <f aca="false">IF(AND(ISNUMBER(C4388),ISNUMBER(D4388)),D4388-C4388,"")</f>
        <v/>
      </c>
      <c r="Z4388" s="23" t="str">
        <f aca="false">IF(B4388="","",IF(MATCH(B4388,$B$2:$B$12000,0)=ROW()-1,1,0))</f>
        <v/>
      </c>
    </row>
    <row r="4389" customFormat="false" ht="15" hidden="false" customHeight="false" outlineLevel="0" collapsed="false">
      <c r="V4389" s="23" t="str">
        <f aca="false">IF(ISNUMBER(C4389),YEAR(C4389),"")</f>
        <v/>
      </c>
      <c r="W4389" s="23" t="str">
        <f aca="false">IF(ISNUMBER(C4389),MONTH(C4389),"")</f>
        <v/>
      </c>
      <c r="X4389" s="23" t="str">
        <f aca="false">IF(T4389="","",IF(T4389=0,"No discount",IF(T4389&lt;=0.2,"Low (1-20%)",IF(T4389&lt;=0.4,"Medium (21-40%)","High (&gt;40%)"))))</f>
        <v/>
      </c>
      <c r="Y4389" s="23" t="str">
        <f aca="false">IF(AND(ISNUMBER(C4389),ISNUMBER(D4389)),D4389-C4389,"")</f>
        <v/>
      </c>
      <c r="Z4389" s="23" t="str">
        <f aca="false">IF(B4389="","",IF(MATCH(B4389,$B$2:$B$12000,0)=ROW()-1,1,0))</f>
        <v/>
      </c>
    </row>
    <row r="4390" customFormat="false" ht="15" hidden="false" customHeight="false" outlineLevel="0" collapsed="false">
      <c r="V4390" s="23" t="str">
        <f aca="false">IF(ISNUMBER(C4390),YEAR(C4390),"")</f>
        <v/>
      </c>
      <c r="W4390" s="23" t="str">
        <f aca="false">IF(ISNUMBER(C4390),MONTH(C4390),"")</f>
        <v/>
      </c>
      <c r="X4390" s="23" t="str">
        <f aca="false">IF(T4390="","",IF(T4390=0,"No discount",IF(T4390&lt;=0.2,"Low (1-20%)",IF(T4390&lt;=0.4,"Medium (21-40%)","High (&gt;40%)"))))</f>
        <v/>
      </c>
      <c r="Y4390" s="23" t="str">
        <f aca="false">IF(AND(ISNUMBER(C4390),ISNUMBER(D4390)),D4390-C4390,"")</f>
        <v/>
      </c>
      <c r="Z4390" s="23" t="str">
        <f aca="false">IF(B4390="","",IF(MATCH(B4390,$B$2:$B$12000,0)=ROW()-1,1,0))</f>
        <v/>
      </c>
    </row>
    <row r="4391" customFormat="false" ht="15" hidden="false" customHeight="false" outlineLevel="0" collapsed="false">
      <c r="V4391" s="23" t="str">
        <f aca="false">IF(ISNUMBER(C4391),YEAR(C4391),"")</f>
        <v/>
      </c>
      <c r="W4391" s="23" t="str">
        <f aca="false">IF(ISNUMBER(C4391),MONTH(C4391),"")</f>
        <v/>
      </c>
      <c r="X4391" s="23" t="str">
        <f aca="false">IF(T4391="","",IF(T4391=0,"No discount",IF(T4391&lt;=0.2,"Low (1-20%)",IF(T4391&lt;=0.4,"Medium (21-40%)","High (&gt;40%)"))))</f>
        <v/>
      </c>
      <c r="Y4391" s="23" t="str">
        <f aca="false">IF(AND(ISNUMBER(C4391),ISNUMBER(D4391)),D4391-C4391,"")</f>
        <v/>
      </c>
      <c r="Z4391" s="23" t="str">
        <f aca="false">IF(B4391="","",IF(MATCH(B4391,$B$2:$B$12000,0)=ROW()-1,1,0))</f>
        <v/>
      </c>
    </row>
    <row r="4392" customFormat="false" ht="15" hidden="false" customHeight="false" outlineLevel="0" collapsed="false">
      <c r="V4392" s="23" t="str">
        <f aca="false">IF(ISNUMBER(C4392),YEAR(C4392),"")</f>
        <v/>
      </c>
      <c r="W4392" s="23" t="str">
        <f aca="false">IF(ISNUMBER(C4392),MONTH(C4392),"")</f>
        <v/>
      </c>
      <c r="X4392" s="23" t="str">
        <f aca="false">IF(T4392="","",IF(T4392=0,"No discount",IF(T4392&lt;=0.2,"Low (1-20%)",IF(T4392&lt;=0.4,"Medium (21-40%)","High (&gt;40%)"))))</f>
        <v/>
      </c>
      <c r="Y4392" s="23" t="str">
        <f aca="false">IF(AND(ISNUMBER(C4392),ISNUMBER(D4392)),D4392-C4392,"")</f>
        <v/>
      </c>
      <c r="Z4392" s="23" t="str">
        <f aca="false">IF(B4392="","",IF(MATCH(B4392,$B$2:$B$12000,0)=ROW()-1,1,0))</f>
        <v/>
      </c>
    </row>
    <row r="4393" customFormat="false" ht="15" hidden="false" customHeight="false" outlineLevel="0" collapsed="false">
      <c r="V4393" s="23" t="str">
        <f aca="false">IF(ISNUMBER(C4393),YEAR(C4393),"")</f>
        <v/>
      </c>
      <c r="W4393" s="23" t="str">
        <f aca="false">IF(ISNUMBER(C4393),MONTH(C4393),"")</f>
        <v/>
      </c>
      <c r="X4393" s="23" t="str">
        <f aca="false">IF(T4393="","",IF(T4393=0,"No discount",IF(T4393&lt;=0.2,"Low (1-20%)",IF(T4393&lt;=0.4,"Medium (21-40%)","High (&gt;40%)"))))</f>
        <v/>
      </c>
      <c r="Y4393" s="23" t="str">
        <f aca="false">IF(AND(ISNUMBER(C4393),ISNUMBER(D4393)),D4393-C4393,"")</f>
        <v/>
      </c>
      <c r="Z4393" s="23" t="str">
        <f aca="false">IF(B4393="","",IF(MATCH(B4393,$B$2:$B$12000,0)=ROW()-1,1,0))</f>
        <v/>
      </c>
    </row>
    <row r="4394" customFormat="false" ht="15" hidden="false" customHeight="false" outlineLevel="0" collapsed="false">
      <c r="V4394" s="23" t="str">
        <f aca="false">IF(ISNUMBER(C4394),YEAR(C4394),"")</f>
        <v/>
      </c>
      <c r="W4394" s="23" t="str">
        <f aca="false">IF(ISNUMBER(C4394),MONTH(C4394),"")</f>
        <v/>
      </c>
      <c r="X4394" s="23" t="str">
        <f aca="false">IF(T4394="","",IF(T4394=0,"No discount",IF(T4394&lt;=0.2,"Low (1-20%)",IF(T4394&lt;=0.4,"Medium (21-40%)","High (&gt;40%)"))))</f>
        <v/>
      </c>
      <c r="Y4394" s="23" t="str">
        <f aca="false">IF(AND(ISNUMBER(C4394),ISNUMBER(D4394)),D4394-C4394,"")</f>
        <v/>
      </c>
      <c r="Z4394" s="23" t="str">
        <f aca="false">IF(B4394="","",IF(MATCH(B4394,$B$2:$B$12000,0)=ROW()-1,1,0))</f>
        <v/>
      </c>
    </row>
    <row r="4395" customFormat="false" ht="15" hidden="false" customHeight="false" outlineLevel="0" collapsed="false">
      <c r="V4395" s="23" t="str">
        <f aca="false">IF(ISNUMBER(C4395),YEAR(C4395),"")</f>
        <v/>
      </c>
      <c r="W4395" s="23" t="str">
        <f aca="false">IF(ISNUMBER(C4395),MONTH(C4395),"")</f>
        <v/>
      </c>
      <c r="X4395" s="23" t="str">
        <f aca="false">IF(T4395="","",IF(T4395=0,"No discount",IF(T4395&lt;=0.2,"Low (1-20%)",IF(T4395&lt;=0.4,"Medium (21-40%)","High (&gt;40%)"))))</f>
        <v/>
      </c>
      <c r="Y4395" s="23" t="str">
        <f aca="false">IF(AND(ISNUMBER(C4395),ISNUMBER(D4395)),D4395-C4395,"")</f>
        <v/>
      </c>
      <c r="Z4395" s="23" t="str">
        <f aca="false">IF(B4395="","",IF(MATCH(B4395,$B$2:$B$12000,0)=ROW()-1,1,0))</f>
        <v/>
      </c>
    </row>
    <row r="4396" customFormat="false" ht="15" hidden="false" customHeight="false" outlineLevel="0" collapsed="false">
      <c r="V4396" s="23" t="str">
        <f aca="false">IF(ISNUMBER(C4396),YEAR(C4396),"")</f>
        <v/>
      </c>
      <c r="W4396" s="23" t="str">
        <f aca="false">IF(ISNUMBER(C4396),MONTH(C4396),"")</f>
        <v/>
      </c>
      <c r="X4396" s="23" t="str">
        <f aca="false">IF(T4396="","",IF(T4396=0,"No discount",IF(T4396&lt;=0.2,"Low (1-20%)",IF(T4396&lt;=0.4,"Medium (21-40%)","High (&gt;40%)"))))</f>
        <v/>
      </c>
      <c r="Y4396" s="23" t="str">
        <f aca="false">IF(AND(ISNUMBER(C4396),ISNUMBER(D4396)),D4396-C4396,"")</f>
        <v/>
      </c>
      <c r="Z4396" s="23" t="str">
        <f aca="false">IF(B4396="","",IF(MATCH(B4396,$B$2:$B$12000,0)=ROW()-1,1,0))</f>
        <v/>
      </c>
    </row>
    <row r="4397" customFormat="false" ht="15" hidden="false" customHeight="false" outlineLevel="0" collapsed="false">
      <c r="V4397" s="23" t="str">
        <f aca="false">IF(ISNUMBER(C4397),YEAR(C4397),"")</f>
        <v/>
      </c>
      <c r="W4397" s="23" t="str">
        <f aca="false">IF(ISNUMBER(C4397),MONTH(C4397),"")</f>
        <v/>
      </c>
      <c r="X4397" s="23" t="str">
        <f aca="false">IF(T4397="","",IF(T4397=0,"No discount",IF(T4397&lt;=0.2,"Low (1-20%)",IF(T4397&lt;=0.4,"Medium (21-40%)","High (&gt;40%)"))))</f>
        <v/>
      </c>
      <c r="Y4397" s="23" t="str">
        <f aca="false">IF(AND(ISNUMBER(C4397),ISNUMBER(D4397)),D4397-C4397,"")</f>
        <v/>
      </c>
      <c r="Z4397" s="23" t="str">
        <f aca="false">IF(B4397="","",IF(MATCH(B4397,$B$2:$B$12000,0)=ROW()-1,1,0))</f>
        <v/>
      </c>
    </row>
    <row r="4398" customFormat="false" ht="15" hidden="false" customHeight="false" outlineLevel="0" collapsed="false">
      <c r="V4398" s="23" t="str">
        <f aca="false">IF(ISNUMBER(C4398),YEAR(C4398),"")</f>
        <v/>
      </c>
      <c r="W4398" s="23" t="str">
        <f aca="false">IF(ISNUMBER(C4398),MONTH(C4398),"")</f>
        <v/>
      </c>
      <c r="X4398" s="23" t="str">
        <f aca="false">IF(T4398="","",IF(T4398=0,"No discount",IF(T4398&lt;=0.2,"Low (1-20%)",IF(T4398&lt;=0.4,"Medium (21-40%)","High (&gt;40%)"))))</f>
        <v/>
      </c>
      <c r="Y4398" s="23" t="str">
        <f aca="false">IF(AND(ISNUMBER(C4398),ISNUMBER(D4398)),D4398-C4398,"")</f>
        <v/>
      </c>
      <c r="Z4398" s="23" t="str">
        <f aca="false">IF(B4398="","",IF(MATCH(B4398,$B$2:$B$12000,0)=ROW()-1,1,0))</f>
        <v/>
      </c>
    </row>
    <row r="4399" customFormat="false" ht="15" hidden="false" customHeight="false" outlineLevel="0" collapsed="false">
      <c r="V4399" s="23" t="str">
        <f aca="false">IF(ISNUMBER(C4399),YEAR(C4399),"")</f>
        <v/>
      </c>
      <c r="W4399" s="23" t="str">
        <f aca="false">IF(ISNUMBER(C4399),MONTH(C4399),"")</f>
        <v/>
      </c>
      <c r="X4399" s="23" t="str">
        <f aca="false">IF(T4399="","",IF(T4399=0,"No discount",IF(T4399&lt;=0.2,"Low (1-20%)",IF(T4399&lt;=0.4,"Medium (21-40%)","High (&gt;40%)"))))</f>
        <v/>
      </c>
      <c r="Y4399" s="23" t="str">
        <f aca="false">IF(AND(ISNUMBER(C4399),ISNUMBER(D4399)),D4399-C4399,"")</f>
        <v/>
      </c>
      <c r="Z4399" s="23" t="str">
        <f aca="false">IF(B4399="","",IF(MATCH(B4399,$B$2:$B$12000,0)=ROW()-1,1,0))</f>
        <v/>
      </c>
    </row>
    <row r="4400" customFormat="false" ht="15" hidden="false" customHeight="false" outlineLevel="0" collapsed="false">
      <c r="V4400" s="23" t="str">
        <f aca="false">IF(ISNUMBER(C4400),YEAR(C4400),"")</f>
        <v/>
      </c>
      <c r="W4400" s="23" t="str">
        <f aca="false">IF(ISNUMBER(C4400),MONTH(C4400),"")</f>
        <v/>
      </c>
      <c r="X4400" s="23" t="str">
        <f aca="false">IF(T4400="","",IF(T4400=0,"No discount",IF(T4400&lt;=0.2,"Low (1-20%)",IF(T4400&lt;=0.4,"Medium (21-40%)","High (&gt;40%)"))))</f>
        <v/>
      </c>
      <c r="Y4400" s="23" t="str">
        <f aca="false">IF(AND(ISNUMBER(C4400),ISNUMBER(D4400)),D4400-C4400,"")</f>
        <v/>
      </c>
      <c r="Z4400" s="23" t="str">
        <f aca="false">IF(B4400="","",IF(MATCH(B4400,$B$2:$B$12000,0)=ROW()-1,1,0))</f>
        <v/>
      </c>
    </row>
    <row r="4401" customFormat="false" ht="15" hidden="false" customHeight="false" outlineLevel="0" collapsed="false">
      <c r="V4401" s="23" t="str">
        <f aca="false">IF(ISNUMBER(C4401),YEAR(C4401),"")</f>
        <v/>
      </c>
      <c r="W4401" s="23" t="str">
        <f aca="false">IF(ISNUMBER(C4401),MONTH(C4401),"")</f>
        <v/>
      </c>
      <c r="X4401" s="23" t="str">
        <f aca="false">IF(T4401="","",IF(T4401=0,"No discount",IF(T4401&lt;=0.2,"Low (1-20%)",IF(T4401&lt;=0.4,"Medium (21-40%)","High (&gt;40%)"))))</f>
        <v/>
      </c>
      <c r="Y4401" s="23" t="str">
        <f aca="false">IF(AND(ISNUMBER(C4401),ISNUMBER(D4401)),D4401-C4401,"")</f>
        <v/>
      </c>
      <c r="Z4401" s="23" t="str">
        <f aca="false">IF(B4401="","",IF(MATCH(B4401,$B$2:$B$12000,0)=ROW()-1,1,0))</f>
        <v/>
      </c>
    </row>
    <row r="4402" customFormat="false" ht="15" hidden="false" customHeight="false" outlineLevel="0" collapsed="false">
      <c r="V4402" s="23" t="str">
        <f aca="false">IF(ISNUMBER(C4402),YEAR(C4402),"")</f>
        <v/>
      </c>
      <c r="W4402" s="23" t="str">
        <f aca="false">IF(ISNUMBER(C4402),MONTH(C4402),"")</f>
        <v/>
      </c>
      <c r="X4402" s="23" t="str">
        <f aca="false">IF(T4402="","",IF(T4402=0,"No discount",IF(T4402&lt;=0.2,"Low (1-20%)",IF(T4402&lt;=0.4,"Medium (21-40%)","High (&gt;40%)"))))</f>
        <v/>
      </c>
      <c r="Y4402" s="23" t="str">
        <f aca="false">IF(AND(ISNUMBER(C4402),ISNUMBER(D4402)),D4402-C4402,"")</f>
        <v/>
      </c>
      <c r="Z4402" s="23" t="str">
        <f aca="false">IF(B4402="","",IF(MATCH(B4402,$B$2:$B$12000,0)=ROW()-1,1,0))</f>
        <v/>
      </c>
    </row>
    <row r="4403" customFormat="false" ht="15" hidden="false" customHeight="false" outlineLevel="0" collapsed="false">
      <c r="V4403" s="23" t="str">
        <f aca="false">IF(ISNUMBER(C4403),YEAR(C4403),"")</f>
        <v/>
      </c>
      <c r="W4403" s="23" t="str">
        <f aca="false">IF(ISNUMBER(C4403),MONTH(C4403),"")</f>
        <v/>
      </c>
      <c r="X4403" s="23" t="str">
        <f aca="false">IF(T4403="","",IF(T4403=0,"No discount",IF(T4403&lt;=0.2,"Low (1-20%)",IF(T4403&lt;=0.4,"Medium (21-40%)","High (&gt;40%)"))))</f>
        <v/>
      </c>
      <c r="Y4403" s="23" t="str">
        <f aca="false">IF(AND(ISNUMBER(C4403),ISNUMBER(D4403)),D4403-C4403,"")</f>
        <v/>
      </c>
      <c r="Z4403" s="23" t="str">
        <f aca="false">IF(B4403="","",IF(MATCH(B4403,$B$2:$B$12000,0)=ROW()-1,1,0))</f>
        <v/>
      </c>
    </row>
    <row r="4404" customFormat="false" ht="15" hidden="false" customHeight="false" outlineLevel="0" collapsed="false">
      <c r="V4404" s="23" t="str">
        <f aca="false">IF(ISNUMBER(C4404),YEAR(C4404),"")</f>
        <v/>
      </c>
      <c r="W4404" s="23" t="str">
        <f aca="false">IF(ISNUMBER(C4404),MONTH(C4404),"")</f>
        <v/>
      </c>
      <c r="X4404" s="23" t="str">
        <f aca="false">IF(T4404="","",IF(T4404=0,"No discount",IF(T4404&lt;=0.2,"Low (1-20%)",IF(T4404&lt;=0.4,"Medium (21-40%)","High (&gt;40%)"))))</f>
        <v/>
      </c>
      <c r="Y4404" s="23" t="str">
        <f aca="false">IF(AND(ISNUMBER(C4404),ISNUMBER(D4404)),D4404-C4404,"")</f>
        <v/>
      </c>
      <c r="Z4404" s="23" t="str">
        <f aca="false">IF(B4404="","",IF(MATCH(B4404,$B$2:$B$12000,0)=ROW()-1,1,0))</f>
        <v/>
      </c>
    </row>
    <row r="4405" customFormat="false" ht="15" hidden="false" customHeight="false" outlineLevel="0" collapsed="false">
      <c r="V4405" s="23" t="str">
        <f aca="false">IF(ISNUMBER(C4405),YEAR(C4405),"")</f>
        <v/>
      </c>
      <c r="W4405" s="23" t="str">
        <f aca="false">IF(ISNUMBER(C4405),MONTH(C4405),"")</f>
        <v/>
      </c>
      <c r="X4405" s="23" t="str">
        <f aca="false">IF(T4405="","",IF(T4405=0,"No discount",IF(T4405&lt;=0.2,"Low (1-20%)",IF(T4405&lt;=0.4,"Medium (21-40%)","High (&gt;40%)"))))</f>
        <v/>
      </c>
      <c r="Y4405" s="23" t="str">
        <f aca="false">IF(AND(ISNUMBER(C4405),ISNUMBER(D4405)),D4405-C4405,"")</f>
        <v/>
      </c>
      <c r="Z4405" s="23" t="str">
        <f aca="false">IF(B4405="","",IF(MATCH(B4405,$B$2:$B$12000,0)=ROW()-1,1,0))</f>
        <v/>
      </c>
    </row>
    <row r="4406" customFormat="false" ht="15" hidden="false" customHeight="false" outlineLevel="0" collapsed="false">
      <c r="V4406" s="23" t="str">
        <f aca="false">IF(ISNUMBER(C4406),YEAR(C4406),"")</f>
        <v/>
      </c>
      <c r="W4406" s="23" t="str">
        <f aca="false">IF(ISNUMBER(C4406),MONTH(C4406),"")</f>
        <v/>
      </c>
      <c r="X4406" s="23" t="str">
        <f aca="false">IF(T4406="","",IF(T4406=0,"No discount",IF(T4406&lt;=0.2,"Low (1-20%)",IF(T4406&lt;=0.4,"Medium (21-40%)","High (&gt;40%)"))))</f>
        <v/>
      </c>
      <c r="Y4406" s="23" t="str">
        <f aca="false">IF(AND(ISNUMBER(C4406),ISNUMBER(D4406)),D4406-C4406,"")</f>
        <v/>
      </c>
      <c r="Z4406" s="23" t="str">
        <f aca="false">IF(B4406="","",IF(MATCH(B4406,$B$2:$B$12000,0)=ROW()-1,1,0))</f>
        <v/>
      </c>
    </row>
    <row r="4407" customFormat="false" ht="15" hidden="false" customHeight="false" outlineLevel="0" collapsed="false">
      <c r="V4407" s="23" t="str">
        <f aca="false">IF(ISNUMBER(C4407),YEAR(C4407),"")</f>
        <v/>
      </c>
      <c r="W4407" s="23" t="str">
        <f aca="false">IF(ISNUMBER(C4407),MONTH(C4407),"")</f>
        <v/>
      </c>
      <c r="X4407" s="23" t="str">
        <f aca="false">IF(T4407="","",IF(T4407=0,"No discount",IF(T4407&lt;=0.2,"Low (1-20%)",IF(T4407&lt;=0.4,"Medium (21-40%)","High (&gt;40%)"))))</f>
        <v/>
      </c>
      <c r="Y4407" s="23" t="str">
        <f aca="false">IF(AND(ISNUMBER(C4407),ISNUMBER(D4407)),D4407-C4407,"")</f>
        <v/>
      </c>
      <c r="Z4407" s="23" t="str">
        <f aca="false">IF(B4407="","",IF(MATCH(B4407,$B$2:$B$12000,0)=ROW()-1,1,0))</f>
        <v/>
      </c>
    </row>
    <row r="4408" customFormat="false" ht="15" hidden="false" customHeight="false" outlineLevel="0" collapsed="false">
      <c r="V4408" s="23" t="str">
        <f aca="false">IF(ISNUMBER(C4408),YEAR(C4408),"")</f>
        <v/>
      </c>
      <c r="W4408" s="23" t="str">
        <f aca="false">IF(ISNUMBER(C4408),MONTH(C4408),"")</f>
        <v/>
      </c>
      <c r="X4408" s="23" t="str">
        <f aca="false">IF(T4408="","",IF(T4408=0,"No discount",IF(T4408&lt;=0.2,"Low (1-20%)",IF(T4408&lt;=0.4,"Medium (21-40%)","High (&gt;40%)"))))</f>
        <v/>
      </c>
      <c r="Y4408" s="23" t="str">
        <f aca="false">IF(AND(ISNUMBER(C4408),ISNUMBER(D4408)),D4408-C4408,"")</f>
        <v/>
      </c>
      <c r="Z4408" s="23" t="str">
        <f aca="false">IF(B4408="","",IF(MATCH(B4408,$B$2:$B$12000,0)=ROW()-1,1,0))</f>
        <v/>
      </c>
    </row>
    <row r="4409" customFormat="false" ht="15" hidden="false" customHeight="false" outlineLevel="0" collapsed="false">
      <c r="V4409" s="23" t="str">
        <f aca="false">IF(ISNUMBER(C4409),YEAR(C4409),"")</f>
        <v/>
      </c>
      <c r="W4409" s="23" t="str">
        <f aca="false">IF(ISNUMBER(C4409),MONTH(C4409),"")</f>
        <v/>
      </c>
      <c r="X4409" s="23" t="str">
        <f aca="false">IF(T4409="","",IF(T4409=0,"No discount",IF(T4409&lt;=0.2,"Low (1-20%)",IF(T4409&lt;=0.4,"Medium (21-40%)","High (&gt;40%)"))))</f>
        <v/>
      </c>
      <c r="Y4409" s="23" t="str">
        <f aca="false">IF(AND(ISNUMBER(C4409),ISNUMBER(D4409)),D4409-C4409,"")</f>
        <v/>
      </c>
      <c r="Z4409" s="23" t="str">
        <f aca="false">IF(B4409="","",IF(MATCH(B4409,$B$2:$B$12000,0)=ROW()-1,1,0))</f>
        <v/>
      </c>
    </row>
    <row r="4410" customFormat="false" ht="15" hidden="false" customHeight="false" outlineLevel="0" collapsed="false">
      <c r="V4410" s="23" t="str">
        <f aca="false">IF(ISNUMBER(C4410),YEAR(C4410),"")</f>
        <v/>
      </c>
      <c r="W4410" s="23" t="str">
        <f aca="false">IF(ISNUMBER(C4410),MONTH(C4410),"")</f>
        <v/>
      </c>
      <c r="X4410" s="23" t="str">
        <f aca="false">IF(T4410="","",IF(T4410=0,"No discount",IF(T4410&lt;=0.2,"Low (1-20%)",IF(T4410&lt;=0.4,"Medium (21-40%)","High (&gt;40%)"))))</f>
        <v/>
      </c>
      <c r="Y4410" s="23" t="str">
        <f aca="false">IF(AND(ISNUMBER(C4410),ISNUMBER(D4410)),D4410-C4410,"")</f>
        <v/>
      </c>
      <c r="Z4410" s="23" t="str">
        <f aca="false">IF(B4410="","",IF(MATCH(B4410,$B$2:$B$12000,0)=ROW()-1,1,0))</f>
        <v/>
      </c>
    </row>
    <row r="4411" customFormat="false" ht="15" hidden="false" customHeight="false" outlineLevel="0" collapsed="false">
      <c r="V4411" s="23" t="str">
        <f aca="false">IF(ISNUMBER(C4411),YEAR(C4411),"")</f>
        <v/>
      </c>
      <c r="W4411" s="23" t="str">
        <f aca="false">IF(ISNUMBER(C4411),MONTH(C4411),"")</f>
        <v/>
      </c>
      <c r="X4411" s="23" t="str">
        <f aca="false">IF(T4411="","",IF(T4411=0,"No discount",IF(T4411&lt;=0.2,"Low (1-20%)",IF(T4411&lt;=0.4,"Medium (21-40%)","High (&gt;40%)"))))</f>
        <v/>
      </c>
      <c r="Y4411" s="23" t="str">
        <f aca="false">IF(AND(ISNUMBER(C4411),ISNUMBER(D4411)),D4411-C4411,"")</f>
        <v/>
      </c>
      <c r="Z4411" s="23" t="str">
        <f aca="false">IF(B4411="","",IF(MATCH(B4411,$B$2:$B$12000,0)=ROW()-1,1,0))</f>
        <v/>
      </c>
    </row>
    <row r="4412" customFormat="false" ht="15" hidden="false" customHeight="false" outlineLevel="0" collapsed="false">
      <c r="V4412" s="23" t="str">
        <f aca="false">IF(ISNUMBER(C4412),YEAR(C4412),"")</f>
        <v/>
      </c>
      <c r="W4412" s="23" t="str">
        <f aca="false">IF(ISNUMBER(C4412),MONTH(C4412),"")</f>
        <v/>
      </c>
      <c r="X4412" s="23" t="str">
        <f aca="false">IF(T4412="","",IF(T4412=0,"No discount",IF(T4412&lt;=0.2,"Low (1-20%)",IF(T4412&lt;=0.4,"Medium (21-40%)","High (&gt;40%)"))))</f>
        <v/>
      </c>
      <c r="Y4412" s="23" t="str">
        <f aca="false">IF(AND(ISNUMBER(C4412),ISNUMBER(D4412)),D4412-C4412,"")</f>
        <v/>
      </c>
      <c r="Z4412" s="23" t="str">
        <f aca="false">IF(B4412="","",IF(MATCH(B4412,$B$2:$B$12000,0)=ROW()-1,1,0))</f>
        <v/>
      </c>
    </row>
    <row r="4413" customFormat="false" ht="15" hidden="false" customHeight="false" outlineLevel="0" collapsed="false">
      <c r="V4413" s="23" t="str">
        <f aca="false">IF(ISNUMBER(C4413),YEAR(C4413),"")</f>
        <v/>
      </c>
      <c r="W4413" s="23" t="str">
        <f aca="false">IF(ISNUMBER(C4413),MONTH(C4413),"")</f>
        <v/>
      </c>
      <c r="X4413" s="23" t="str">
        <f aca="false">IF(T4413="","",IF(T4413=0,"No discount",IF(T4413&lt;=0.2,"Low (1-20%)",IF(T4413&lt;=0.4,"Medium (21-40%)","High (&gt;40%)"))))</f>
        <v/>
      </c>
      <c r="Y4413" s="23" t="str">
        <f aca="false">IF(AND(ISNUMBER(C4413),ISNUMBER(D4413)),D4413-C4413,"")</f>
        <v/>
      </c>
      <c r="Z4413" s="23" t="str">
        <f aca="false">IF(B4413="","",IF(MATCH(B4413,$B$2:$B$12000,0)=ROW()-1,1,0))</f>
        <v/>
      </c>
    </row>
    <row r="4414" customFormat="false" ht="15" hidden="false" customHeight="false" outlineLevel="0" collapsed="false">
      <c r="V4414" s="23" t="str">
        <f aca="false">IF(ISNUMBER(C4414),YEAR(C4414),"")</f>
        <v/>
      </c>
      <c r="W4414" s="23" t="str">
        <f aca="false">IF(ISNUMBER(C4414),MONTH(C4414),"")</f>
        <v/>
      </c>
      <c r="X4414" s="23" t="str">
        <f aca="false">IF(T4414="","",IF(T4414=0,"No discount",IF(T4414&lt;=0.2,"Low (1-20%)",IF(T4414&lt;=0.4,"Medium (21-40%)","High (&gt;40%)"))))</f>
        <v/>
      </c>
      <c r="Y4414" s="23" t="str">
        <f aca="false">IF(AND(ISNUMBER(C4414),ISNUMBER(D4414)),D4414-C4414,"")</f>
        <v/>
      </c>
      <c r="Z4414" s="23" t="str">
        <f aca="false">IF(B4414="","",IF(MATCH(B4414,$B$2:$B$12000,0)=ROW()-1,1,0))</f>
        <v/>
      </c>
    </row>
    <row r="4415" customFormat="false" ht="15" hidden="false" customHeight="false" outlineLevel="0" collapsed="false">
      <c r="V4415" s="23" t="str">
        <f aca="false">IF(ISNUMBER(C4415),YEAR(C4415),"")</f>
        <v/>
      </c>
      <c r="W4415" s="23" t="str">
        <f aca="false">IF(ISNUMBER(C4415),MONTH(C4415),"")</f>
        <v/>
      </c>
      <c r="X4415" s="23" t="str">
        <f aca="false">IF(T4415="","",IF(T4415=0,"No discount",IF(T4415&lt;=0.2,"Low (1-20%)",IF(T4415&lt;=0.4,"Medium (21-40%)","High (&gt;40%)"))))</f>
        <v/>
      </c>
      <c r="Y4415" s="23" t="str">
        <f aca="false">IF(AND(ISNUMBER(C4415),ISNUMBER(D4415)),D4415-C4415,"")</f>
        <v/>
      </c>
      <c r="Z4415" s="23" t="str">
        <f aca="false">IF(B4415="","",IF(MATCH(B4415,$B$2:$B$12000,0)=ROW()-1,1,0))</f>
        <v/>
      </c>
    </row>
    <row r="4416" customFormat="false" ht="15" hidden="false" customHeight="false" outlineLevel="0" collapsed="false">
      <c r="V4416" s="23" t="str">
        <f aca="false">IF(ISNUMBER(C4416),YEAR(C4416),"")</f>
        <v/>
      </c>
      <c r="W4416" s="23" t="str">
        <f aca="false">IF(ISNUMBER(C4416),MONTH(C4416),"")</f>
        <v/>
      </c>
      <c r="X4416" s="23" t="str">
        <f aca="false">IF(T4416="","",IF(T4416=0,"No discount",IF(T4416&lt;=0.2,"Low (1-20%)",IF(T4416&lt;=0.4,"Medium (21-40%)","High (&gt;40%)"))))</f>
        <v/>
      </c>
      <c r="Y4416" s="23" t="str">
        <f aca="false">IF(AND(ISNUMBER(C4416),ISNUMBER(D4416)),D4416-C4416,"")</f>
        <v/>
      </c>
      <c r="Z4416" s="23" t="str">
        <f aca="false">IF(B4416="","",IF(MATCH(B4416,$B$2:$B$12000,0)=ROW()-1,1,0))</f>
        <v/>
      </c>
    </row>
    <row r="4417" customFormat="false" ht="15" hidden="false" customHeight="false" outlineLevel="0" collapsed="false">
      <c r="V4417" s="23" t="str">
        <f aca="false">IF(ISNUMBER(C4417),YEAR(C4417),"")</f>
        <v/>
      </c>
      <c r="W4417" s="23" t="str">
        <f aca="false">IF(ISNUMBER(C4417),MONTH(C4417),"")</f>
        <v/>
      </c>
      <c r="X4417" s="23" t="str">
        <f aca="false">IF(T4417="","",IF(T4417=0,"No discount",IF(T4417&lt;=0.2,"Low (1-20%)",IF(T4417&lt;=0.4,"Medium (21-40%)","High (&gt;40%)"))))</f>
        <v/>
      </c>
      <c r="Y4417" s="23" t="str">
        <f aca="false">IF(AND(ISNUMBER(C4417),ISNUMBER(D4417)),D4417-C4417,"")</f>
        <v/>
      </c>
      <c r="Z4417" s="23" t="str">
        <f aca="false">IF(B4417="","",IF(MATCH(B4417,$B$2:$B$12000,0)=ROW()-1,1,0))</f>
        <v/>
      </c>
    </row>
    <row r="4418" customFormat="false" ht="15" hidden="false" customHeight="false" outlineLevel="0" collapsed="false">
      <c r="V4418" s="23" t="str">
        <f aca="false">IF(ISNUMBER(C4418),YEAR(C4418),"")</f>
        <v/>
      </c>
      <c r="W4418" s="23" t="str">
        <f aca="false">IF(ISNUMBER(C4418),MONTH(C4418),"")</f>
        <v/>
      </c>
      <c r="X4418" s="23" t="str">
        <f aca="false">IF(T4418="","",IF(T4418=0,"No discount",IF(T4418&lt;=0.2,"Low (1-20%)",IF(T4418&lt;=0.4,"Medium (21-40%)","High (&gt;40%)"))))</f>
        <v/>
      </c>
      <c r="Y4418" s="23" t="str">
        <f aca="false">IF(AND(ISNUMBER(C4418),ISNUMBER(D4418)),D4418-C4418,"")</f>
        <v/>
      </c>
      <c r="Z4418" s="23" t="str">
        <f aca="false">IF(B4418="","",IF(MATCH(B4418,$B$2:$B$12000,0)=ROW()-1,1,0))</f>
        <v/>
      </c>
    </row>
    <row r="4419" customFormat="false" ht="15" hidden="false" customHeight="false" outlineLevel="0" collapsed="false">
      <c r="V4419" s="23" t="str">
        <f aca="false">IF(ISNUMBER(C4419),YEAR(C4419),"")</f>
        <v/>
      </c>
      <c r="W4419" s="23" t="str">
        <f aca="false">IF(ISNUMBER(C4419),MONTH(C4419),"")</f>
        <v/>
      </c>
      <c r="X4419" s="23" t="str">
        <f aca="false">IF(T4419="","",IF(T4419=0,"No discount",IF(T4419&lt;=0.2,"Low (1-20%)",IF(T4419&lt;=0.4,"Medium (21-40%)","High (&gt;40%)"))))</f>
        <v/>
      </c>
      <c r="Y4419" s="23" t="str">
        <f aca="false">IF(AND(ISNUMBER(C4419),ISNUMBER(D4419)),D4419-C4419,"")</f>
        <v/>
      </c>
      <c r="Z4419" s="23" t="str">
        <f aca="false">IF(B4419="","",IF(MATCH(B4419,$B$2:$B$12000,0)=ROW()-1,1,0))</f>
        <v/>
      </c>
    </row>
    <row r="4420" customFormat="false" ht="15" hidden="false" customHeight="false" outlineLevel="0" collapsed="false">
      <c r="V4420" s="23" t="str">
        <f aca="false">IF(ISNUMBER(C4420),YEAR(C4420),"")</f>
        <v/>
      </c>
      <c r="W4420" s="23" t="str">
        <f aca="false">IF(ISNUMBER(C4420),MONTH(C4420),"")</f>
        <v/>
      </c>
      <c r="X4420" s="23" t="str">
        <f aca="false">IF(T4420="","",IF(T4420=0,"No discount",IF(T4420&lt;=0.2,"Low (1-20%)",IF(T4420&lt;=0.4,"Medium (21-40%)","High (&gt;40%)"))))</f>
        <v/>
      </c>
      <c r="Y4420" s="23" t="str">
        <f aca="false">IF(AND(ISNUMBER(C4420),ISNUMBER(D4420)),D4420-C4420,"")</f>
        <v/>
      </c>
      <c r="Z4420" s="23" t="str">
        <f aca="false">IF(B4420="","",IF(MATCH(B4420,$B$2:$B$12000,0)=ROW()-1,1,0))</f>
        <v/>
      </c>
    </row>
    <row r="4421" customFormat="false" ht="15" hidden="false" customHeight="false" outlineLevel="0" collapsed="false">
      <c r="V4421" s="23" t="str">
        <f aca="false">IF(ISNUMBER(C4421),YEAR(C4421),"")</f>
        <v/>
      </c>
      <c r="W4421" s="23" t="str">
        <f aca="false">IF(ISNUMBER(C4421),MONTH(C4421),"")</f>
        <v/>
      </c>
      <c r="X4421" s="23" t="str">
        <f aca="false">IF(T4421="","",IF(T4421=0,"No discount",IF(T4421&lt;=0.2,"Low (1-20%)",IF(T4421&lt;=0.4,"Medium (21-40%)","High (&gt;40%)"))))</f>
        <v/>
      </c>
      <c r="Y4421" s="23" t="str">
        <f aca="false">IF(AND(ISNUMBER(C4421),ISNUMBER(D4421)),D4421-C4421,"")</f>
        <v/>
      </c>
      <c r="Z4421" s="23" t="str">
        <f aca="false">IF(B4421="","",IF(MATCH(B4421,$B$2:$B$12000,0)=ROW()-1,1,0))</f>
        <v/>
      </c>
    </row>
    <row r="4422" customFormat="false" ht="15" hidden="false" customHeight="false" outlineLevel="0" collapsed="false">
      <c r="V4422" s="23" t="str">
        <f aca="false">IF(ISNUMBER(C4422),YEAR(C4422),"")</f>
        <v/>
      </c>
      <c r="W4422" s="23" t="str">
        <f aca="false">IF(ISNUMBER(C4422),MONTH(C4422),"")</f>
        <v/>
      </c>
      <c r="X4422" s="23" t="str">
        <f aca="false">IF(T4422="","",IF(T4422=0,"No discount",IF(T4422&lt;=0.2,"Low (1-20%)",IF(T4422&lt;=0.4,"Medium (21-40%)","High (&gt;40%)"))))</f>
        <v/>
      </c>
      <c r="Y4422" s="23" t="str">
        <f aca="false">IF(AND(ISNUMBER(C4422),ISNUMBER(D4422)),D4422-C4422,"")</f>
        <v/>
      </c>
      <c r="Z4422" s="23" t="str">
        <f aca="false">IF(B4422="","",IF(MATCH(B4422,$B$2:$B$12000,0)=ROW()-1,1,0))</f>
        <v/>
      </c>
    </row>
    <row r="4423" customFormat="false" ht="15" hidden="false" customHeight="false" outlineLevel="0" collapsed="false">
      <c r="V4423" s="23" t="str">
        <f aca="false">IF(ISNUMBER(C4423),YEAR(C4423),"")</f>
        <v/>
      </c>
      <c r="W4423" s="23" t="str">
        <f aca="false">IF(ISNUMBER(C4423),MONTH(C4423),"")</f>
        <v/>
      </c>
      <c r="X4423" s="23" t="str">
        <f aca="false">IF(T4423="","",IF(T4423=0,"No discount",IF(T4423&lt;=0.2,"Low (1-20%)",IF(T4423&lt;=0.4,"Medium (21-40%)","High (&gt;40%)"))))</f>
        <v/>
      </c>
      <c r="Y4423" s="23" t="str">
        <f aca="false">IF(AND(ISNUMBER(C4423),ISNUMBER(D4423)),D4423-C4423,"")</f>
        <v/>
      </c>
      <c r="Z4423" s="23" t="str">
        <f aca="false">IF(B4423="","",IF(MATCH(B4423,$B$2:$B$12000,0)=ROW()-1,1,0))</f>
        <v/>
      </c>
    </row>
    <row r="4424" customFormat="false" ht="15" hidden="false" customHeight="false" outlineLevel="0" collapsed="false">
      <c r="V4424" s="23" t="str">
        <f aca="false">IF(ISNUMBER(C4424),YEAR(C4424),"")</f>
        <v/>
      </c>
      <c r="W4424" s="23" t="str">
        <f aca="false">IF(ISNUMBER(C4424),MONTH(C4424),"")</f>
        <v/>
      </c>
      <c r="X4424" s="23" t="str">
        <f aca="false">IF(T4424="","",IF(T4424=0,"No discount",IF(T4424&lt;=0.2,"Low (1-20%)",IF(T4424&lt;=0.4,"Medium (21-40%)","High (&gt;40%)"))))</f>
        <v/>
      </c>
      <c r="Y4424" s="23" t="str">
        <f aca="false">IF(AND(ISNUMBER(C4424),ISNUMBER(D4424)),D4424-C4424,"")</f>
        <v/>
      </c>
      <c r="Z4424" s="23" t="str">
        <f aca="false">IF(B4424="","",IF(MATCH(B4424,$B$2:$B$12000,0)=ROW()-1,1,0))</f>
        <v/>
      </c>
    </row>
    <row r="4425" customFormat="false" ht="15" hidden="false" customHeight="false" outlineLevel="0" collapsed="false">
      <c r="V4425" s="23" t="str">
        <f aca="false">IF(ISNUMBER(C4425),YEAR(C4425),"")</f>
        <v/>
      </c>
      <c r="W4425" s="23" t="str">
        <f aca="false">IF(ISNUMBER(C4425),MONTH(C4425),"")</f>
        <v/>
      </c>
      <c r="X4425" s="23" t="str">
        <f aca="false">IF(T4425="","",IF(T4425=0,"No discount",IF(T4425&lt;=0.2,"Low (1-20%)",IF(T4425&lt;=0.4,"Medium (21-40%)","High (&gt;40%)"))))</f>
        <v/>
      </c>
      <c r="Y4425" s="23" t="str">
        <f aca="false">IF(AND(ISNUMBER(C4425),ISNUMBER(D4425)),D4425-C4425,"")</f>
        <v/>
      </c>
      <c r="Z4425" s="23" t="str">
        <f aca="false">IF(B4425="","",IF(MATCH(B4425,$B$2:$B$12000,0)=ROW()-1,1,0))</f>
        <v/>
      </c>
    </row>
    <row r="4426" customFormat="false" ht="15" hidden="false" customHeight="false" outlineLevel="0" collapsed="false">
      <c r="V4426" s="23" t="str">
        <f aca="false">IF(ISNUMBER(C4426),YEAR(C4426),"")</f>
        <v/>
      </c>
      <c r="W4426" s="23" t="str">
        <f aca="false">IF(ISNUMBER(C4426),MONTH(C4426),"")</f>
        <v/>
      </c>
      <c r="X4426" s="23" t="str">
        <f aca="false">IF(T4426="","",IF(T4426=0,"No discount",IF(T4426&lt;=0.2,"Low (1-20%)",IF(T4426&lt;=0.4,"Medium (21-40%)","High (&gt;40%)"))))</f>
        <v/>
      </c>
      <c r="Y4426" s="23" t="str">
        <f aca="false">IF(AND(ISNUMBER(C4426),ISNUMBER(D4426)),D4426-C4426,"")</f>
        <v/>
      </c>
      <c r="Z4426" s="23" t="str">
        <f aca="false">IF(B4426="","",IF(MATCH(B4426,$B$2:$B$12000,0)=ROW()-1,1,0))</f>
        <v/>
      </c>
    </row>
    <row r="4427" customFormat="false" ht="15" hidden="false" customHeight="false" outlineLevel="0" collapsed="false">
      <c r="V4427" s="23" t="str">
        <f aca="false">IF(ISNUMBER(C4427),YEAR(C4427),"")</f>
        <v/>
      </c>
      <c r="W4427" s="23" t="str">
        <f aca="false">IF(ISNUMBER(C4427),MONTH(C4427),"")</f>
        <v/>
      </c>
      <c r="X4427" s="23" t="str">
        <f aca="false">IF(T4427="","",IF(T4427=0,"No discount",IF(T4427&lt;=0.2,"Low (1-20%)",IF(T4427&lt;=0.4,"Medium (21-40%)","High (&gt;40%)"))))</f>
        <v/>
      </c>
      <c r="Y4427" s="23" t="str">
        <f aca="false">IF(AND(ISNUMBER(C4427),ISNUMBER(D4427)),D4427-C4427,"")</f>
        <v/>
      </c>
      <c r="Z4427" s="23" t="str">
        <f aca="false">IF(B4427="","",IF(MATCH(B4427,$B$2:$B$12000,0)=ROW()-1,1,0))</f>
        <v/>
      </c>
    </row>
    <row r="4428" customFormat="false" ht="15" hidden="false" customHeight="false" outlineLevel="0" collapsed="false">
      <c r="V4428" s="23" t="str">
        <f aca="false">IF(ISNUMBER(C4428),YEAR(C4428),"")</f>
        <v/>
      </c>
      <c r="W4428" s="23" t="str">
        <f aca="false">IF(ISNUMBER(C4428),MONTH(C4428),"")</f>
        <v/>
      </c>
      <c r="X4428" s="23" t="str">
        <f aca="false">IF(T4428="","",IF(T4428=0,"No discount",IF(T4428&lt;=0.2,"Low (1-20%)",IF(T4428&lt;=0.4,"Medium (21-40%)","High (&gt;40%)"))))</f>
        <v/>
      </c>
      <c r="Y4428" s="23" t="str">
        <f aca="false">IF(AND(ISNUMBER(C4428),ISNUMBER(D4428)),D4428-C4428,"")</f>
        <v/>
      </c>
      <c r="Z4428" s="23" t="str">
        <f aca="false">IF(B4428="","",IF(MATCH(B4428,$B$2:$B$12000,0)=ROW()-1,1,0))</f>
        <v/>
      </c>
    </row>
    <row r="4429" customFormat="false" ht="15" hidden="false" customHeight="false" outlineLevel="0" collapsed="false">
      <c r="V4429" s="23" t="str">
        <f aca="false">IF(ISNUMBER(C4429),YEAR(C4429),"")</f>
        <v/>
      </c>
      <c r="W4429" s="23" t="str">
        <f aca="false">IF(ISNUMBER(C4429),MONTH(C4429),"")</f>
        <v/>
      </c>
      <c r="X4429" s="23" t="str">
        <f aca="false">IF(T4429="","",IF(T4429=0,"No discount",IF(T4429&lt;=0.2,"Low (1-20%)",IF(T4429&lt;=0.4,"Medium (21-40%)","High (&gt;40%)"))))</f>
        <v/>
      </c>
      <c r="Y4429" s="23" t="str">
        <f aca="false">IF(AND(ISNUMBER(C4429),ISNUMBER(D4429)),D4429-C4429,"")</f>
        <v/>
      </c>
      <c r="Z4429" s="23" t="str">
        <f aca="false">IF(B4429="","",IF(MATCH(B4429,$B$2:$B$12000,0)=ROW()-1,1,0))</f>
        <v/>
      </c>
    </row>
    <row r="4430" customFormat="false" ht="15" hidden="false" customHeight="false" outlineLevel="0" collapsed="false">
      <c r="V4430" s="23" t="str">
        <f aca="false">IF(ISNUMBER(C4430),YEAR(C4430),"")</f>
        <v/>
      </c>
      <c r="W4430" s="23" t="str">
        <f aca="false">IF(ISNUMBER(C4430),MONTH(C4430),"")</f>
        <v/>
      </c>
      <c r="X4430" s="23" t="str">
        <f aca="false">IF(T4430="","",IF(T4430=0,"No discount",IF(T4430&lt;=0.2,"Low (1-20%)",IF(T4430&lt;=0.4,"Medium (21-40%)","High (&gt;40%)"))))</f>
        <v/>
      </c>
      <c r="Y4430" s="23" t="str">
        <f aca="false">IF(AND(ISNUMBER(C4430),ISNUMBER(D4430)),D4430-C4430,"")</f>
        <v/>
      </c>
      <c r="Z4430" s="23" t="str">
        <f aca="false">IF(B4430="","",IF(MATCH(B4430,$B$2:$B$12000,0)=ROW()-1,1,0))</f>
        <v/>
      </c>
    </row>
    <row r="4431" customFormat="false" ht="15" hidden="false" customHeight="false" outlineLevel="0" collapsed="false">
      <c r="V4431" s="23" t="str">
        <f aca="false">IF(ISNUMBER(C4431),YEAR(C4431),"")</f>
        <v/>
      </c>
      <c r="W4431" s="23" t="str">
        <f aca="false">IF(ISNUMBER(C4431),MONTH(C4431),"")</f>
        <v/>
      </c>
      <c r="X4431" s="23" t="str">
        <f aca="false">IF(T4431="","",IF(T4431=0,"No discount",IF(T4431&lt;=0.2,"Low (1-20%)",IF(T4431&lt;=0.4,"Medium (21-40%)","High (&gt;40%)"))))</f>
        <v/>
      </c>
      <c r="Y4431" s="23" t="str">
        <f aca="false">IF(AND(ISNUMBER(C4431),ISNUMBER(D4431)),D4431-C4431,"")</f>
        <v/>
      </c>
      <c r="Z4431" s="23" t="str">
        <f aca="false">IF(B4431="","",IF(MATCH(B4431,$B$2:$B$12000,0)=ROW()-1,1,0))</f>
        <v/>
      </c>
    </row>
    <row r="4432" customFormat="false" ht="15" hidden="false" customHeight="false" outlineLevel="0" collapsed="false">
      <c r="V4432" s="23" t="str">
        <f aca="false">IF(ISNUMBER(C4432),YEAR(C4432),"")</f>
        <v/>
      </c>
      <c r="W4432" s="23" t="str">
        <f aca="false">IF(ISNUMBER(C4432),MONTH(C4432),"")</f>
        <v/>
      </c>
      <c r="X4432" s="23" t="str">
        <f aca="false">IF(T4432="","",IF(T4432=0,"No discount",IF(T4432&lt;=0.2,"Low (1-20%)",IF(T4432&lt;=0.4,"Medium (21-40%)","High (&gt;40%)"))))</f>
        <v/>
      </c>
      <c r="Y4432" s="23" t="str">
        <f aca="false">IF(AND(ISNUMBER(C4432),ISNUMBER(D4432)),D4432-C4432,"")</f>
        <v/>
      </c>
      <c r="Z4432" s="23" t="str">
        <f aca="false">IF(B4432="","",IF(MATCH(B4432,$B$2:$B$12000,0)=ROW()-1,1,0))</f>
        <v/>
      </c>
    </row>
    <row r="4433" customFormat="false" ht="15" hidden="false" customHeight="false" outlineLevel="0" collapsed="false">
      <c r="V4433" s="23" t="str">
        <f aca="false">IF(ISNUMBER(C4433),YEAR(C4433),"")</f>
        <v/>
      </c>
      <c r="W4433" s="23" t="str">
        <f aca="false">IF(ISNUMBER(C4433),MONTH(C4433),"")</f>
        <v/>
      </c>
      <c r="X4433" s="23" t="str">
        <f aca="false">IF(T4433="","",IF(T4433=0,"No discount",IF(T4433&lt;=0.2,"Low (1-20%)",IF(T4433&lt;=0.4,"Medium (21-40%)","High (&gt;40%)"))))</f>
        <v/>
      </c>
      <c r="Y4433" s="23" t="str">
        <f aca="false">IF(AND(ISNUMBER(C4433),ISNUMBER(D4433)),D4433-C4433,"")</f>
        <v/>
      </c>
      <c r="Z4433" s="23" t="str">
        <f aca="false">IF(B4433="","",IF(MATCH(B4433,$B$2:$B$12000,0)=ROW()-1,1,0))</f>
        <v/>
      </c>
    </row>
    <row r="4434" customFormat="false" ht="15" hidden="false" customHeight="false" outlineLevel="0" collapsed="false">
      <c r="V4434" s="23" t="str">
        <f aca="false">IF(ISNUMBER(C4434),YEAR(C4434),"")</f>
        <v/>
      </c>
      <c r="W4434" s="23" t="str">
        <f aca="false">IF(ISNUMBER(C4434),MONTH(C4434),"")</f>
        <v/>
      </c>
      <c r="X4434" s="23" t="str">
        <f aca="false">IF(T4434="","",IF(T4434=0,"No discount",IF(T4434&lt;=0.2,"Low (1-20%)",IF(T4434&lt;=0.4,"Medium (21-40%)","High (&gt;40%)"))))</f>
        <v/>
      </c>
      <c r="Y4434" s="23" t="str">
        <f aca="false">IF(AND(ISNUMBER(C4434),ISNUMBER(D4434)),D4434-C4434,"")</f>
        <v/>
      </c>
      <c r="Z4434" s="23" t="str">
        <f aca="false">IF(B4434="","",IF(MATCH(B4434,$B$2:$B$12000,0)=ROW()-1,1,0))</f>
        <v/>
      </c>
    </row>
    <row r="4435" customFormat="false" ht="15" hidden="false" customHeight="false" outlineLevel="0" collapsed="false">
      <c r="V4435" s="23" t="str">
        <f aca="false">IF(ISNUMBER(C4435),YEAR(C4435),"")</f>
        <v/>
      </c>
      <c r="W4435" s="23" t="str">
        <f aca="false">IF(ISNUMBER(C4435),MONTH(C4435),"")</f>
        <v/>
      </c>
      <c r="X4435" s="23" t="str">
        <f aca="false">IF(T4435="","",IF(T4435=0,"No discount",IF(T4435&lt;=0.2,"Low (1-20%)",IF(T4435&lt;=0.4,"Medium (21-40%)","High (&gt;40%)"))))</f>
        <v/>
      </c>
      <c r="Y4435" s="23" t="str">
        <f aca="false">IF(AND(ISNUMBER(C4435),ISNUMBER(D4435)),D4435-C4435,"")</f>
        <v/>
      </c>
      <c r="Z4435" s="23" t="str">
        <f aca="false">IF(B4435="","",IF(MATCH(B4435,$B$2:$B$12000,0)=ROW()-1,1,0))</f>
        <v/>
      </c>
    </row>
    <row r="4436" customFormat="false" ht="15" hidden="false" customHeight="false" outlineLevel="0" collapsed="false">
      <c r="V4436" s="23" t="str">
        <f aca="false">IF(ISNUMBER(C4436),YEAR(C4436),"")</f>
        <v/>
      </c>
      <c r="W4436" s="23" t="str">
        <f aca="false">IF(ISNUMBER(C4436),MONTH(C4436),"")</f>
        <v/>
      </c>
      <c r="X4436" s="23" t="str">
        <f aca="false">IF(T4436="","",IF(T4436=0,"No discount",IF(T4436&lt;=0.2,"Low (1-20%)",IF(T4436&lt;=0.4,"Medium (21-40%)","High (&gt;40%)"))))</f>
        <v/>
      </c>
      <c r="Y4436" s="23" t="str">
        <f aca="false">IF(AND(ISNUMBER(C4436),ISNUMBER(D4436)),D4436-C4436,"")</f>
        <v/>
      </c>
      <c r="Z4436" s="23" t="str">
        <f aca="false">IF(B4436="","",IF(MATCH(B4436,$B$2:$B$12000,0)=ROW()-1,1,0))</f>
        <v/>
      </c>
    </row>
    <row r="4437" customFormat="false" ht="15" hidden="false" customHeight="false" outlineLevel="0" collapsed="false">
      <c r="V4437" s="23" t="str">
        <f aca="false">IF(ISNUMBER(C4437),YEAR(C4437),"")</f>
        <v/>
      </c>
      <c r="W4437" s="23" t="str">
        <f aca="false">IF(ISNUMBER(C4437),MONTH(C4437),"")</f>
        <v/>
      </c>
      <c r="X4437" s="23" t="str">
        <f aca="false">IF(T4437="","",IF(T4437=0,"No discount",IF(T4437&lt;=0.2,"Low (1-20%)",IF(T4437&lt;=0.4,"Medium (21-40%)","High (&gt;40%)"))))</f>
        <v/>
      </c>
      <c r="Y4437" s="23" t="str">
        <f aca="false">IF(AND(ISNUMBER(C4437),ISNUMBER(D4437)),D4437-C4437,"")</f>
        <v/>
      </c>
      <c r="Z4437" s="23" t="str">
        <f aca="false">IF(B4437="","",IF(MATCH(B4437,$B$2:$B$12000,0)=ROW()-1,1,0))</f>
        <v/>
      </c>
    </row>
    <row r="4438" customFormat="false" ht="15" hidden="false" customHeight="false" outlineLevel="0" collapsed="false">
      <c r="V4438" s="23" t="str">
        <f aca="false">IF(ISNUMBER(C4438),YEAR(C4438),"")</f>
        <v/>
      </c>
      <c r="W4438" s="23" t="str">
        <f aca="false">IF(ISNUMBER(C4438),MONTH(C4438),"")</f>
        <v/>
      </c>
      <c r="X4438" s="23" t="str">
        <f aca="false">IF(T4438="","",IF(T4438=0,"No discount",IF(T4438&lt;=0.2,"Low (1-20%)",IF(T4438&lt;=0.4,"Medium (21-40%)","High (&gt;40%)"))))</f>
        <v/>
      </c>
      <c r="Y4438" s="23" t="str">
        <f aca="false">IF(AND(ISNUMBER(C4438),ISNUMBER(D4438)),D4438-C4438,"")</f>
        <v/>
      </c>
      <c r="Z4438" s="23" t="str">
        <f aca="false">IF(B4438="","",IF(MATCH(B4438,$B$2:$B$12000,0)=ROW()-1,1,0))</f>
        <v/>
      </c>
    </row>
    <row r="4439" customFormat="false" ht="15" hidden="false" customHeight="false" outlineLevel="0" collapsed="false">
      <c r="V4439" s="23" t="str">
        <f aca="false">IF(ISNUMBER(C4439),YEAR(C4439),"")</f>
        <v/>
      </c>
      <c r="W4439" s="23" t="str">
        <f aca="false">IF(ISNUMBER(C4439),MONTH(C4439),"")</f>
        <v/>
      </c>
      <c r="X4439" s="23" t="str">
        <f aca="false">IF(T4439="","",IF(T4439=0,"No discount",IF(T4439&lt;=0.2,"Low (1-20%)",IF(T4439&lt;=0.4,"Medium (21-40%)","High (&gt;40%)"))))</f>
        <v/>
      </c>
      <c r="Y4439" s="23" t="str">
        <f aca="false">IF(AND(ISNUMBER(C4439),ISNUMBER(D4439)),D4439-C4439,"")</f>
        <v/>
      </c>
      <c r="Z4439" s="23" t="str">
        <f aca="false">IF(B4439="","",IF(MATCH(B4439,$B$2:$B$12000,0)=ROW()-1,1,0))</f>
        <v/>
      </c>
    </row>
    <row r="4440" customFormat="false" ht="15" hidden="false" customHeight="false" outlineLevel="0" collapsed="false">
      <c r="V4440" s="23" t="str">
        <f aca="false">IF(ISNUMBER(C4440),YEAR(C4440),"")</f>
        <v/>
      </c>
      <c r="W4440" s="23" t="str">
        <f aca="false">IF(ISNUMBER(C4440),MONTH(C4440),"")</f>
        <v/>
      </c>
      <c r="X4440" s="23" t="str">
        <f aca="false">IF(T4440="","",IF(T4440=0,"No discount",IF(T4440&lt;=0.2,"Low (1-20%)",IF(T4440&lt;=0.4,"Medium (21-40%)","High (&gt;40%)"))))</f>
        <v/>
      </c>
      <c r="Y4440" s="23" t="str">
        <f aca="false">IF(AND(ISNUMBER(C4440),ISNUMBER(D4440)),D4440-C4440,"")</f>
        <v/>
      </c>
      <c r="Z4440" s="23" t="str">
        <f aca="false">IF(B4440="","",IF(MATCH(B4440,$B$2:$B$12000,0)=ROW()-1,1,0))</f>
        <v/>
      </c>
    </row>
    <row r="4441" customFormat="false" ht="15" hidden="false" customHeight="false" outlineLevel="0" collapsed="false">
      <c r="V4441" s="23" t="str">
        <f aca="false">IF(ISNUMBER(C4441),YEAR(C4441),"")</f>
        <v/>
      </c>
      <c r="W4441" s="23" t="str">
        <f aca="false">IF(ISNUMBER(C4441),MONTH(C4441),"")</f>
        <v/>
      </c>
      <c r="X4441" s="23" t="str">
        <f aca="false">IF(T4441="","",IF(T4441=0,"No discount",IF(T4441&lt;=0.2,"Low (1-20%)",IF(T4441&lt;=0.4,"Medium (21-40%)","High (&gt;40%)"))))</f>
        <v/>
      </c>
      <c r="Y4441" s="23" t="str">
        <f aca="false">IF(AND(ISNUMBER(C4441),ISNUMBER(D4441)),D4441-C4441,"")</f>
        <v/>
      </c>
      <c r="Z4441" s="23" t="str">
        <f aca="false">IF(B4441="","",IF(MATCH(B4441,$B$2:$B$12000,0)=ROW()-1,1,0))</f>
        <v/>
      </c>
    </row>
    <row r="4442" customFormat="false" ht="15" hidden="false" customHeight="false" outlineLevel="0" collapsed="false">
      <c r="V4442" s="23" t="str">
        <f aca="false">IF(ISNUMBER(C4442),YEAR(C4442),"")</f>
        <v/>
      </c>
      <c r="W4442" s="23" t="str">
        <f aca="false">IF(ISNUMBER(C4442),MONTH(C4442),"")</f>
        <v/>
      </c>
      <c r="X4442" s="23" t="str">
        <f aca="false">IF(T4442="","",IF(T4442=0,"No discount",IF(T4442&lt;=0.2,"Low (1-20%)",IF(T4442&lt;=0.4,"Medium (21-40%)","High (&gt;40%)"))))</f>
        <v/>
      </c>
      <c r="Y4442" s="23" t="str">
        <f aca="false">IF(AND(ISNUMBER(C4442),ISNUMBER(D4442)),D4442-C4442,"")</f>
        <v/>
      </c>
      <c r="Z4442" s="23" t="str">
        <f aca="false">IF(B4442="","",IF(MATCH(B4442,$B$2:$B$12000,0)=ROW()-1,1,0))</f>
        <v/>
      </c>
    </row>
    <row r="4443" customFormat="false" ht="15" hidden="false" customHeight="false" outlineLevel="0" collapsed="false">
      <c r="V4443" s="23" t="str">
        <f aca="false">IF(ISNUMBER(C4443),YEAR(C4443),"")</f>
        <v/>
      </c>
      <c r="W4443" s="23" t="str">
        <f aca="false">IF(ISNUMBER(C4443),MONTH(C4443),"")</f>
        <v/>
      </c>
      <c r="X4443" s="23" t="str">
        <f aca="false">IF(T4443="","",IF(T4443=0,"No discount",IF(T4443&lt;=0.2,"Low (1-20%)",IF(T4443&lt;=0.4,"Medium (21-40%)","High (&gt;40%)"))))</f>
        <v/>
      </c>
      <c r="Y4443" s="23" t="str">
        <f aca="false">IF(AND(ISNUMBER(C4443),ISNUMBER(D4443)),D4443-C4443,"")</f>
        <v/>
      </c>
      <c r="Z4443" s="23" t="str">
        <f aca="false">IF(B4443="","",IF(MATCH(B4443,$B$2:$B$12000,0)=ROW()-1,1,0))</f>
        <v/>
      </c>
    </row>
    <row r="4444" customFormat="false" ht="15" hidden="false" customHeight="false" outlineLevel="0" collapsed="false">
      <c r="V4444" s="23" t="str">
        <f aca="false">IF(ISNUMBER(C4444),YEAR(C4444),"")</f>
        <v/>
      </c>
      <c r="W4444" s="23" t="str">
        <f aca="false">IF(ISNUMBER(C4444),MONTH(C4444),"")</f>
        <v/>
      </c>
      <c r="X4444" s="23" t="str">
        <f aca="false">IF(T4444="","",IF(T4444=0,"No discount",IF(T4444&lt;=0.2,"Low (1-20%)",IF(T4444&lt;=0.4,"Medium (21-40%)","High (&gt;40%)"))))</f>
        <v/>
      </c>
      <c r="Y4444" s="23" t="str">
        <f aca="false">IF(AND(ISNUMBER(C4444),ISNUMBER(D4444)),D4444-C4444,"")</f>
        <v/>
      </c>
      <c r="Z4444" s="23" t="str">
        <f aca="false">IF(B4444="","",IF(MATCH(B4444,$B$2:$B$12000,0)=ROW()-1,1,0))</f>
        <v/>
      </c>
    </row>
    <row r="4445" customFormat="false" ht="15" hidden="false" customHeight="false" outlineLevel="0" collapsed="false">
      <c r="V4445" s="23" t="str">
        <f aca="false">IF(ISNUMBER(C4445),YEAR(C4445),"")</f>
        <v/>
      </c>
      <c r="W4445" s="23" t="str">
        <f aca="false">IF(ISNUMBER(C4445),MONTH(C4445),"")</f>
        <v/>
      </c>
      <c r="X4445" s="23" t="str">
        <f aca="false">IF(T4445="","",IF(T4445=0,"No discount",IF(T4445&lt;=0.2,"Low (1-20%)",IF(T4445&lt;=0.4,"Medium (21-40%)","High (&gt;40%)"))))</f>
        <v/>
      </c>
      <c r="Y4445" s="23" t="str">
        <f aca="false">IF(AND(ISNUMBER(C4445),ISNUMBER(D4445)),D4445-C4445,"")</f>
        <v/>
      </c>
      <c r="Z4445" s="23" t="str">
        <f aca="false">IF(B4445="","",IF(MATCH(B4445,$B$2:$B$12000,0)=ROW()-1,1,0))</f>
        <v/>
      </c>
    </row>
    <row r="4446" customFormat="false" ht="15" hidden="false" customHeight="false" outlineLevel="0" collapsed="false">
      <c r="V4446" s="23" t="str">
        <f aca="false">IF(ISNUMBER(C4446),YEAR(C4446),"")</f>
        <v/>
      </c>
      <c r="W4446" s="23" t="str">
        <f aca="false">IF(ISNUMBER(C4446),MONTH(C4446),"")</f>
        <v/>
      </c>
      <c r="X4446" s="23" t="str">
        <f aca="false">IF(T4446="","",IF(T4446=0,"No discount",IF(T4446&lt;=0.2,"Low (1-20%)",IF(T4446&lt;=0.4,"Medium (21-40%)","High (&gt;40%)"))))</f>
        <v/>
      </c>
      <c r="Y4446" s="23" t="str">
        <f aca="false">IF(AND(ISNUMBER(C4446),ISNUMBER(D4446)),D4446-C4446,"")</f>
        <v/>
      </c>
      <c r="Z4446" s="23" t="str">
        <f aca="false">IF(B4446="","",IF(MATCH(B4446,$B$2:$B$12000,0)=ROW()-1,1,0))</f>
        <v/>
      </c>
    </row>
    <row r="4447" customFormat="false" ht="15" hidden="false" customHeight="false" outlineLevel="0" collapsed="false">
      <c r="V4447" s="23" t="str">
        <f aca="false">IF(ISNUMBER(C4447),YEAR(C4447),"")</f>
        <v/>
      </c>
      <c r="W4447" s="23" t="str">
        <f aca="false">IF(ISNUMBER(C4447),MONTH(C4447),"")</f>
        <v/>
      </c>
      <c r="X4447" s="23" t="str">
        <f aca="false">IF(T4447="","",IF(T4447=0,"No discount",IF(T4447&lt;=0.2,"Low (1-20%)",IF(T4447&lt;=0.4,"Medium (21-40%)","High (&gt;40%)"))))</f>
        <v/>
      </c>
      <c r="Y4447" s="23" t="str">
        <f aca="false">IF(AND(ISNUMBER(C4447),ISNUMBER(D4447)),D4447-C4447,"")</f>
        <v/>
      </c>
      <c r="Z4447" s="23" t="str">
        <f aca="false">IF(B4447="","",IF(MATCH(B4447,$B$2:$B$12000,0)=ROW()-1,1,0))</f>
        <v/>
      </c>
    </row>
    <row r="4448" customFormat="false" ht="15" hidden="false" customHeight="false" outlineLevel="0" collapsed="false">
      <c r="V4448" s="23" t="str">
        <f aca="false">IF(ISNUMBER(C4448),YEAR(C4448),"")</f>
        <v/>
      </c>
      <c r="W4448" s="23" t="str">
        <f aca="false">IF(ISNUMBER(C4448),MONTH(C4448),"")</f>
        <v/>
      </c>
      <c r="X4448" s="23" t="str">
        <f aca="false">IF(T4448="","",IF(T4448=0,"No discount",IF(T4448&lt;=0.2,"Low (1-20%)",IF(T4448&lt;=0.4,"Medium (21-40%)","High (&gt;40%)"))))</f>
        <v/>
      </c>
      <c r="Y4448" s="23" t="str">
        <f aca="false">IF(AND(ISNUMBER(C4448),ISNUMBER(D4448)),D4448-C4448,"")</f>
        <v/>
      </c>
      <c r="Z4448" s="23" t="str">
        <f aca="false">IF(B4448="","",IF(MATCH(B4448,$B$2:$B$12000,0)=ROW()-1,1,0))</f>
        <v/>
      </c>
    </row>
    <row r="4449" customFormat="false" ht="15" hidden="false" customHeight="false" outlineLevel="0" collapsed="false">
      <c r="V4449" s="23" t="str">
        <f aca="false">IF(ISNUMBER(C4449),YEAR(C4449),"")</f>
        <v/>
      </c>
      <c r="W4449" s="23" t="str">
        <f aca="false">IF(ISNUMBER(C4449),MONTH(C4449),"")</f>
        <v/>
      </c>
      <c r="X4449" s="23" t="str">
        <f aca="false">IF(T4449="","",IF(T4449=0,"No discount",IF(T4449&lt;=0.2,"Low (1-20%)",IF(T4449&lt;=0.4,"Medium (21-40%)","High (&gt;40%)"))))</f>
        <v/>
      </c>
      <c r="Y4449" s="23" t="str">
        <f aca="false">IF(AND(ISNUMBER(C4449),ISNUMBER(D4449)),D4449-C4449,"")</f>
        <v/>
      </c>
      <c r="Z4449" s="23" t="str">
        <f aca="false">IF(B4449="","",IF(MATCH(B4449,$B$2:$B$12000,0)=ROW()-1,1,0))</f>
        <v/>
      </c>
    </row>
    <row r="4450" customFormat="false" ht="15" hidden="false" customHeight="false" outlineLevel="0" collapsed="false">
      <c r="V4450" s="23" t="str">
        <f aca="false">IF(ISNUMBER(C4450),YEAR(C4450),"")</f>
        <v/>
      </c>
      <c r="W4450" s="23" t="str">
        <f aca="false">IF(ISNUMBER(C4450),MONTH(C4450),"")</f>
        <v/>
      </c>
      <c r="X4450" s="23" t="str">
        <f aca="false">IF(T4450="","",IF(T4450=0,"No discount",IF(T4450&lt;=0.2,"Low (1-20%)",IF(T4450&lt;=0.4,"Medium (21-40%)","High (&gt;40%)"))))</f>
        <v/>
      </c>
      <c r="Y4450" s="23" t="str">
        <f aca="false">IF(AND(ISNUMBER(C4450),ISNUMBER(D4450)),D4450-C4450,"")</f>
        <v/>
      </c>
      <c r="Z4450" s="23" t="str">
        <f aca="false">IF(B4450="","",IF(MATCH(B4450,$B$2:$B$12000,0)=ROW()-1,1,0))</f>
        <v/>
      </c>
    </row>
    <row r="4451" customFormat="false" ht="15" hidden="false" customHeight="false" outlineLevel="0" collapsed="false">
      <c r="V4451" s="23" t="str">
        <f aca="false">IF(ISNUMBER(C4451),YEAR(C4451),"")</f>
        <v/>
      </c>
      <c r="W4451" s="23" t="str">
        <f aca="false">IF(ISNUMBER(C4451),MONTH(C4451),"")</f>
        <v/>
      </c>
      <c r="X4451" s="23" t="str">
        <f aca="false">IF(T4451="","",IF(T4451=0,"No discount",IF(T4451&lt;=0.2,"Low (1-20%)",IF(T4451&lt;=0.4,"Medium (21-40%)","High (&gt;40%)"))))</f>
        <v/>
      </c>
      <c r="Y4451" s="23" t="str">
        <f aca="false">IF(AND(ISNUMBER(C4451),ISNUMBER(D4451)),D4451-C4451,"")</f>
        <v/>
      </c>
      <c r="Z4451" s="23" t="str">
        <f aca="false">IF(B4451="","",IF(MATCH(B4451,$B$2:$B$12000,0)=ROW()-1,1,0))</f>
        <v/>
      </c>
    </row>
    <row r="4452" customFormat="false" ht="15" hidden="false" customHeight="false" outlineLevel="0" collapsed="false">
      <c r="V4452" s="23" t="str">
        <f aca="false">IF(ISNUMBER(C4452),YEAR(C4452),"")</f>
        <v/>
      </c>
      <c r="W4452" s="23" t="str">
        <f aca="false">IF(ISNUMBER(C4452),MONTH(C4452),"")</f>
        <v/>
      </c>
      <c r="X4452" s="23" t="str">
        <f aca="false">IF(T4452="","",IF(T4452=0,"No discount",IF(T4452&lt;=0.2,"Low (1-20%)",IF(T4452&lt;=0.4,"Medium (21-40%)","High (&gt;40%)"))))</f>
        <v/>
      </c>
      <c r="Y4452" s="23" t="str">
        <f aca="false">IF(AND(ISNUMBER(C4452),ISNUMBER(D4452)),D4452-C4452,"")</f>
        <v/>
      </c>
      <c r="Z4452" s="23" t="str">
        <f aca="false">IF(B4452="","",IF(MATCH(B4452,$B$2:$B$12000,0)=ROW()-1,1,0))</f>
        <v/>
      </c>
    </row>
    <row r="4453" customFormat="false" ht="15" hidden="false" customHeight="false" outlineLevel="0" collapsed="false">
      <c r="V4453" s="23" t="str">
        <f aca="false">IF(ISNUMBER(C4453),YEAR(C4453),"")</f>
        <v/>
      </c>
      <c r="W4453" s="23" t="str">
        <f aca="false">IF(ISNUMBER(C4453),MONTH(C4453),"")</f>
        <v/>
      </c>
      <c r="X4453" s="23" t="str">
        <f aca="false">IF(T4453="","",IF(T4453=0,"No discount",IF(T4453&lt;=0.2,"Low (1-20%)",IF(T4453&lt;=0.4,"Medium (21-40%)","High (&gt;40%)"))))</f>
        <v/>
      </c>
      <c r="Y4453" s="23" t="str">
        <f aca="false">IF(AND(ISNUMBER(C4453),ISNUMBER(D4453)),D4453-C4453,"")</f>
        <v/>
      </c>
      <c r="Z4453" s="23" t="str">
        <f aca="false">IF(B4453="","",IF(MATCH(B4453,$B$2:$B$12000,0)=ROW()-1,1,0))</f>
        <v/>
      </c>
    </row>
    <row r="4454" customFormat="false" ht="15" hidden="false" customHeight="false" outlineLevel="0" collapsed="false">
      <c r="V4454" s="23" t="str">
        <f aca="false">IF(ISNUMBER(C4454),YEAR(C4454),"")</f>
        <v/>
      </c>
      <c r="W4454" s="23" t="str">
        <f aca="false">IF(ISNUMBER(C4454),MONTH(C4454),"")</f>
        <v/>
      </c>
      <c r="X4454" s="23" t="str">
        <f aca="false">IF(T4454="","",IF(T4454=0,"No discount",IF(T4454&lt;=0.2,"Low (1-20%)",IF(T4454&lt;=0.4,"Medium (21-40%)","High (&gt;40%)"))))</f>
        <v/>
      </c>
      <c r="Y4454" s="23" t="str">
        <f aca="false">IF(AND(ISNUMBER(C4454),ISNUMBER(D4454)),D4454-C4454,"")</f>
        <v/>
      </c>
      <c r="Z4454" s="23" t="str">
        <f aca="false">IF(B4454="","",IF(MATCH(B4454,$B$2:$B$12000,0)=ROW()-1,1,0))</f>
        <v/>
      </c>
    </row>
    <row r="4455" customFormat="false" ht="15" hidden="false" customHeight="false" outlineLevel="0" collapsed="false">
      <c r="V4455" s="23" t="str">
        <f aca="false">IF(ISNUMBER(C4455),YEAR(C4455),"")</f>
        <v/>
      </c>
      <c r="W4455" s="23" t="str">
        <f aca="false">IF(ISNUMBER(C4455),MONTH(C4455),"")</f>
        <v/>
      </c>
      <c r="X4455" s="23" t="str">
        <f aca="false">IF(T4455="","",IF(T4455=0,"No discount",IF(T4455&lt;=0.2,"Low (1-20%)",IF(T4455&lt;=0.4,"Medium (21-40%)","High (&gt;40%)"))))</f>
        <v/>
      </c>
      <c r="Y4455" s="23" t="str">
        <f aca="false">IF(AND(ISNUMBER(C4455),ISNUMBER(D4455)),D4455-C4455,"")</f>
        <v/>
      </c>
      <c r="Z4455" s="23" t="str">
        <f aca="false">IF(B4455="","",IF(MATCH(B4455,$B$2:$B$12000,0)=ROW()-1,1,0))</f>
        <v/>
      </c>
    </row>
    <row r="4456" customFormat="false" ht="15" hidden="false" customHeight="false" outlineLevel="0" collapsed="false">
      <c r="V4456" s="23" t="str">
        <f aca="false">IF(ISNUMBER(C4456),YEAR(C4456),"")</f>
        <v/>
      </c>
      <c r="W4456" s="23" t="str">
        <f aca="false">IF(ISNUMBER(C4456),MONTH(C4456),"")</f>
        <v/>
      </c>
      <c r="X4456" s="23" t="str">
        <f aca="false">IF(T4456="","",IF(T4456=0,"No discount",IF(T4456&lt;=0.2,"Low (1-20%)",IF(T4456&lt;=0.4,"Medium (21-40%)","High (&gt;40%)"))))</f>
        <v/>
      </c>
      <c r="Y4456" s="23" t="str">
        <f aca="false">IF(AND(ISNUMBER(C4456),ISNUMBER(D4456)),D4456-C4456,"")</f>
        <v/>
      </c>
      <c r="Z4456" s="23" t="str">
        <f aca="false">IF(B4456="","",IF(MATCH(B4456,$B$2:$B$12000,0)=ROW()-1,1,0))</f>
        <v/>
      </c>
    </row>
    <row r="4457" customFormat="false" ht="15" hidden="false" customHeight="false" outlineLevel="0" collapsed="false">
      <c r="V4457" s="23" t="str">
        <f aca="false">IF(ISNUMBER(C4457),YEAR(C4457),"")</f>
        <v/>
      </c>
      <c r="W4457" s="23" t="str">
        <f aca="false">IF(ISNUMBER(C4457),MONTH(C4457),"")</f>
        <v/>
      </c>
      <c r="X4457" s="23" t="str">
        <f aca="false">IF(T4457="","",IF(T4457=0,"No discount",IF(T4457&lt;=0.2,"Low (1-20%)",IF(T4457&lt;=0.4,"Medium (21-40%)","High (&gt;40%)"))))</f>
        <v/>
      </c>
      <c r="Y4457" s="23" t="str">
        <f aca="false">IF(AND(ISNUMBER(C4457),ISNUMBER(D4457)),D4457-C4457,"")</f>
        <v/>
      </c>
      <c r="Z4457" s="23" t="str">
        <f aca="false">IF(B4457="","",IF(MATCH(B4457,$B$2:$B$12000,0)=ROW()-1,1,0))</f>
        <v/>
      </c>
    </row>
    <row r="4458" customFormat="false" ht="15" hidden="false" customHeight="false" outlineLevel="0" collapsed="false">
      <c r="V4458" s="23" t="str">
        <f aca="false">IF(ISNUMBER(C4458),YEAR(C4458),"")</f>
        <v/>
      </c>
      <c r="W4458" s="23" t="str">
        <f aca="false">IF(ISNUMBER(C4458),MONTH(C4458),"")</f>
        <v/>
      </c>
      <c r="X4458" s="23" t="str">
        <f aca="false">IF(T4458="","",IF(T4458=0,"No discount",IF(T4458&lt;=0.2,"Low (1-20%)",IF(T4458&lt;=0.4,"Medium (21-40%)","High (&gt;40%)"))))</f>
        <v/>
      </c>
      <c r="Y4458" s="23" t="str">
        <f aca="false">IF(AND(ISNUMBER(C4458),ISNUMBER(D4458)),D4458-C4458,"")</f>
        <v/>
      </c>
      <c r="Z4458" s="23" t="str">
        <f aca="false">IF(B4458="","",IF(MATCH(B4458,$B$2:$B$12000,0)=ROW()-1,1,0))</f>
        <v/>
      </c>
    </row>
    <row r="4459" customFormat="false" ht="15" hidden="false" customHeight="false" outlineLevel="0" collapsed="false">
      <c r="V4459" s="23" t="str">
        <f aca="false">IF(ISNUMBER(C4459),YEAR(C4459),"")</f>
        <v/>
      </c>
      <c r="W4459" s="23" t="str">
        <f aca="false">IF(ISNUMBER(C4459),MONTH(C4459),"")</f>
        <v/>
      </c>
      <c r="X4459" s="23" t="str">
        <f aca="false">IF(T4459="","",IF(T4459=0,"No discount",IF(T4459&lt;=0.2,"Low (1-20%)",IF(T4459&lt;=0.4,"Medium (21-40%)","High (&gt;40%)"))))</f>
        <v/>
      </c>
      <c r="Y4459" s="23" t="str">
        <f aca="false">IF(AND(ISNUMBER(C4459),ISNUMBER(D4459)),D4459-C4459,"")</f>
        <v/>
      </c>
      <c r="Z4459" s="23" t="str">
        <f aca="false">IF(B4459="","",IF(MATCH(B4459,$B$2:$B$12000,0)=ROW()-1,1,0))</f>
        <v/>
      </c>
    </row>
    <row r="4460" customFormat="false" ht="15" hidden="false" customHeight="false" outlineLevel="0" collapsed="false">
      <c r="V4460" s="23" t="str">
        <f aca="false">IF(ISNUMBER(C4460),YEAR(C4460),"")</f>
        <v/>
      </c>
      <c r="W4460" s="23" t="str">
        <f aca="false">IF(ISNUMBER(C4460),MONTH(C4460),"")</f>
        <v/>
      </c>
      <c r="X4460" s="23" t="str">
        <f aca="false">IF(T4460="","",IF(T4460=0,"No discount",IF(T4460&lt;=0.2,"Low (1-20%)",IF(T4460&lt;=0.4,"Medium (21-40%)","High (&gt;40%)"))))</f>
        <v/>
      </c>
      <c r="Y4460" s="23" t="str">
        <f aca="false">IF(AND(ISNUMBER(C4460),ISNUMBER(D4460)),D4460-C4460,"")</f>
        <v/>
      </c>
      <c r="Z4460" s="23" t="str">
        <f aca="false">IF(B4460="","",IF(MATCH(B4460,$B$2:$B$12000,0)=ROW()-1,1,0))</f>
        <v/>
      </c>
    </row>
    <row r="4461" customFormat="false" ht="15" hidden="false" customHeight="false" outlineLevel="0" collapsed="false">
      <c r="V4461" s="23" t="str">
        <f aca="false">IF(ISNUMBER(C4461),YEAR(C4461),"")</f>
        <v/>
      </c>
      <c r="W4461" s="23" t="str">
        <f aca="false">IF(ISNUMBER(C4461),MONTH(C4461),"")</f>
        <v/>
      </c>
      <c r="X4461" s="23" t="str">
        <f aca="false">IF(T4461="","",IF(T4461=0,"No discount",IF(T4461&lt;=0.2,"Low (1-20%)",IF(T4461&lt;=0.4,"Medium (21-40%)","High (&gt;40%)"))))</f>
        <v/>
      </c>
      <c r="Y4461" s="23" t="str">
        <f aca="false">IF(AND(ISNUMBER(C4461),ISNUMBER(D4461)),D4461-C4461,"")</f>
        <v/>
      </c>
      <c r="Z4461" s="23" t="str">
        <f aca="false">IF(B4461="","",IF(MATCH(B4461,$B$2:$B$12000,0)=ROW()-1,1,0))</f>
        <v/>
      </c>
    </row>
    <row r="4462" customFormat="false" ht="15" hidden="false" customHeight="false" outlineLevel="0" collapsed="false">
      <c r="V4462" s="23" t="str">
        <f aca="false">IF(ISNUMBER(C4462),YEAR(C4462),"")</f>
        <v/>
      </c>
      <c r="W4462" s="23" t="str">
        <f aca="false">IF(ISNUMBER(C4462),MONTH(C4462),"")</f>
        <v/>
      </c>
      <c r="X4462" s="23" t="str">
        <f aca="false">IF(T4462="","",IF(T4462=0,"No discount",IF(T4462&lt;=0.2,"Low (1-20%)",IF(T4462&lt;=0.4,"Medium (21-40%)","High (&gt;40%)"))))</f>
        <v/>
      </c>
      <c r="Y4462" s="23" t="str">
        <f aca="false">IF(AND(ISNUMBER(C4462),ISNUMBER(D4462)),D4462-C4462,"")</f>
        <v/>
      </c>
      <c r="Z4462" s="23" t="str">
        <f aca="false">IF(B4462="","",IF(MATCH(B4462,$B$2:$B$12000,0)=ROW()-1,1,0))</f>
        <v/>
      </c>
    </row>
    <row r="4463" customFormat="false" ht="15" hidden="false" customHeight="false" outlineLevel="0" collapsed="false">
      <c r="V4463" s="23" t="str">
        <f aca="false">IF(ISNUMBER(C4463),YEAR(C4463),"")</f>
        <v/>
      </c>
      <c r="W4463" s="23" t="str">
        <f aca="false">IF(ISNUMBER(C4463),MONTH(C4463),"")</f>
        <v/>
      </c>
      <c r="X4463" s="23" t="str">
        <f aca="false">IF(T4463="","",IF(T4463=0,"No discount",IF(T4463&lt;=0.2,"Low (1-20%)",IF(T4463&lt;=0.4,"Medium (21-40%)","High (&gt;40%)"))))</f>
        <v/>
      </c>
      <c r="Y4463" s="23" t="str">
        <f aca="false">IF(AND(ISNUMBER(C4463),ISNUMBER(D4463)),D4463-C4463,"")</f>
        <v/>
      </c>
      <c r="Z4463" s="23" t="str">
        <f aca="false">IF(B4463="","",IF(MATCH(B4463,$B$2:$B$12000,0)=ROW()-1,1,0))</f>
        <v/>
      </c>
    </row>
    <row r="4464" customFormat="false" ht="15" hidden="false" customHeight="false" outlineLevel="0" collapsed="false">
      <c r="V4464" s="23" t="str">
        <f aca="false">IF(ISNUMBER(C4464),YEAR(C4464),"")</f>
        <v/>
      </c>
      <c r="W4464" s="23" t="str">
        <f aca="false">IF(ISNUMBER(C4464),MONTH(C4464),"")</f>
        <v/>
      </c>
      <c r="X4464" s="23" t="str">
        <f aca="false">IF(T4464="","",IF(T4464=0,"No discount",IF(T4464&lt;=0.2,"Low (1-20%)",IF(T4464&lt;=0.4,"Medium (21-40%)","High (&gt;40%)"))))</f>
        <v/>
      </c>
      <c r="Y4464" s="23" t="str">
        <f aca="false">IF(AND(ISNUMBER(C4464),ISNUMBER(D4464)),D4464-C4464,"")</f>
        <v/>
      </c>
      <c r="Z4464" s="23" t="str">
        <f aca="false">IF(B4464="","",IF(MATCH(B4464,$B$2:$B$12000,0)=ROW()-1,1,0))</f>
        <v/>
      </c>
    </row>
    <row r="4465" customFormat="false" ht="15" hidden="false" customHeight="false" outlineLevel="0" collapsed="false">
      <c r="V4465" s="23" t="str">
        <f aca="false">IF(ISNUMBER(C4465),YEAR(C4465),"")</f>
        <v/>
      </c>
      <c r="W4465" s="23" t="str">
        <f aca="false">IF(ISNUMBER(C4465),MONTH(C4465),"")</f>
        <v/>
      </c>
      <c r="X4465" s="23" t="str">
        <f aca="false">IF(T4465="","",IF(T4465=0,"No discount",IF(T4465&lt;=0.2,"Low (1-20%)",IF(T4465&lt;=0.4,"Medium (21-40%)","High (&gt;40%)"))))</f>
        <v/>
      </c>
      <c r="Y4465" s="23" t="str">
        <f aca="false">IF(AND(ISNUMBER(C4465),ISNUMBER(D4465)),D4465-C4465,"")</f>
        <v/>
      </c>
      <c r="Z4465" s="23" t="str">
        <f aca="false">IF(B4465="","",IF(MATCH(B4465,$B$2:$B$12000,0)=ROW()-1,1,0))</f>
        <v/>
      </c>
    </row>
    <row r="4466" customFormat="false" ht="15" hidden="false" customHeight="false" outlineLevel="0" collapsed="false">
      <c r="V4466" s="23" t="str">
        <f aca="false">IF(ISNUMBER(C4466),YEAR(C4466),"")</f>
        <v/>
      </c>
      <c r="W4466" s="23" t="str">
        <f aca="false">IF(ISNUMBER(C4466),MONTH(C4466),"")</f>
        <v/>
      </c>
      <c r="X4466" s="23" t="str">
        <f aca="false">IF(T4466="","",IF(T4466=0,"No discount",IF(T4466&lt;=0.2,"Low (1-20%)",IF(T4466&lt;=0.4,"Medium (21-40%)","High (&gt;40%)"))))</f>
        <v/>
      </c>
      <c r="Y4466" s="23" t="str">
        <f aca="false">IF(AND(ISNUMBER(C4466),ISNUMBER(D4466)),D4466-C4466,"")</f>
        <v/>
      </c>
      <c r="Z4466" s="23" t="str">
        <f aca="false">IF(B4466="","",IF(MATCH(B4466,$B$2:$B$12000,0)=ROW()-1,1,0))</f>
        <v/>
      </c>
    </row>
    <row r="4467" customFormat="false" ht="15" hidden="false" customHeight="false" outlineLevel="0" collapsed="false">
      <c r="V4467" s="23" t="str">
        <f aca="false">IF(ISNUMBER(C4467),YEAR(C4467),"")</f>
        <v/>
      </c>
      <c r="W4467" s="23" t="str">
        <f aca="false">IF(ISNUMBER(C4467),MONTH(C4467),"")</f>
        <v/>
      </c>
      <c r="X4467" s="23" t="str">
        <f aca="false">IF(T4467="","",IF(T4467=0,"No discount",IF(T4467&lt;=0.2,"Low (1-20%)",IF(T4467&lt;=0.4,"Medium (21-40%)","High (&gt;40%)"))))</f>
        <v/>
      </c>
      <c r="Y4467" s="23" t="str">
        <f aca="false">IF(AND(ISNUMBER(C4467),ISNUMBER(D4467)),D4467-C4467,"")</f>
        <v/>
      </c>
      <c r="Z4467" s="23" t="str">
        <f aca="false">IF(B4467="","",IF(MATCH(B4467,$B$2:$B$12000,0)=ROW()-1,1,0))</f>
        <v/>
      </c>
    </row>
    <row r="4468" customFormat="false" ht="15" hidden="false" customHeight="false" outlineLevel="0" collapsed="false">
      <c r="V4468" s="23" t="str">
        <f aca="false">IF(ISNUMBER(C4468),YEAR(C4468),"")</f>
        <v/>
      </c>
      <c r="W4468" s="23" t="str">
        <f aca="false">IF(ISNUMBER(C4468),MONTH(C4468),"")</f>
        <v/>
      </c>
      <c r="X4468" s="23" t="str">
        <f aca="false">IF(T4468="","",IF(T4468=0,"No discount",IF(T4468&lt;=0.2,"Low (1-20%)",IF(T4468&lt;=0.4,"Medium (21-40%)","High (&gt;40%)"))))</f>
        <v/>
      </c>
      <c r="Y4468" s="23" t="str">
        <f aca="false">IF(AND(ISNUMBER(C4468),ISNUMBER(D4468)),D4468-C4468,"")</f>
        <v/>
      </c>
      <c r="Z4468" s="23" t="str">
        <f aca="false">IF(B4468="","",IF(MATCH(B4468,$B$2:$B$12000,0)=ROW()-1,1,0))</f>
        <v/>
      </c>
    </row>
    <row r="4469" customFormat="false" ht="15" hidden="false" customHeight="false" outlineLevel="0" collapsed="false">
      <c r="V4469" s="23" t="str">
        <f aca="false">IF(ISNUMBER(C4469),YEAR(C4469),"")</f>
        <v/>
      </c>
      <c r="W4469" s="23" t="str">
        <f aca="false">IF(ISNUMBER(C4469),MONTH(C4469),"")</f>
        <v/>
      </c>
      <c r="X4469" s="23" t="str">
        <f aca="false">IF(T4469="","",IF(T4469=0,"No discount",IF(T4469&lt;=0.2,"Low (1-20%)",IF(T4469&lt;=0.4,"Medium (21-40%)","High (&gt;40%)"))))</f>
        <v/>
      </c>
      <c r="Y4469" s="23" t="str">
        <f aca="false">IF(AND(ISNUMBER(C4469),ISNUMBER(D4469)),D4469-C4469,"")</f>
        <v/>
      </c>
      <c r="Z4469" s="23" t="str">
        <f aca="false">IF(B4469="","",IF(MATCH(B4469,$B$2:$B$12000,0)=ROW()-1,1,0))</f>
        <v/>
      </c>
    </row>
    <row r="4470" customFormat="false" ht="15" hidden="false" customHeight="false" outlineLevel="0" collapsed="false">
      <c r="V4470" s="23" t="str">
        <f aca="false">IF(ISNUMBER(C4470),YEAR(C4470),"")</f>
        <v/>
      </c>
      <c r="W4470" s="23" t="str">
        <f aca="false">IF(ISNUMBER(C4470),MONTH(C4470),"")</f>
        <v/>
      </c>
      <c r="X4470" s="23" t="str">
        <f aca="false">IF(T4470="","",IF(T4470=0,"No discount",IF(T4470&lt;=0.2,"Low (1-20%)",IF(T4470&lt;=0.4,"Medium (21-40%)","High (&gt;40%)"))))</f>
        <v/>
      </c>
      <c r="Y4470" s="23" t="str">
        <f aca="false">IF(AND(ISNUMBER(C4470),ISNUMBER(D4470)),D4470-C4470,"")</f>
        <v/>
      </c>
      <c r="Z4470" s="23" t="str">
        <f aca="false">IF(B4470="","",IF(MATCH(B4470,$B$2:$B$12000,0)=ROW()-1,1,0))</f>
        <v/>
      </c>
    </row>
    <row r="4471" customFormat="false" ht="15" hidden="false" customHeight="false" outlineLevel="0" collapsed="false">
      <c r="V4471" s="23" t="str">
        <f aca="false">IF(ISNUMBER(C4471),YEAR(C4471),"")</f>
        <v/>
      </c>
      <c r="W4471" s="23" t="str">
        <f aca="false">IF(ISNUMBER(C4471),MONTH(C4471),"")</f>
        <v/>
      </c>
      <c r="X4471" s="23" t="str">
        <f aca="false">IF(T4471="","",IF(T4471=0,"No discount",IF(T4471&lt;=0.2,"Low (1-20%)",IF(T4471&lt;=0.4,"Medium (21-40%)","High (&gt;40%)"))))</f>
        <v/>
      </c>
      <c r="Y4471" s="23" t="str">
        <f aca="false">IF(AND(ISNUMBER(C4471),ISNUMBER(D4471)),D4471-C4471,"")</f>
        <v/>
      </c>
      <c r="Z4471" s="23" t="str">
        <f aca="false">IF(B4471="","",IF(MATCH(B4471,$B$2:$B$12000,0)=ROW()-1,1,0))</f>
        <v/>
      </c>
    </row>
    <row r="4472" customFormat="false" ht="15" hidden="false" customHeight="false" outlineLevel="0" collapsed="false">
      <c r="V4472" s="23" t="str">
        <f aca="false">IF(ISNUMBER(C4472),YEAR(C4472),"")</f>
        <v/>
      </c>
      <c r="W4472" s="23" t="str">
        <f aca="false">IF(ISNUMBER(C4472),MONTH(C4472),"")</f>
        <v/>
      </c>
      <c r="X4472" s="23" t="str">
        <f aca="false">IF(T4472="","",IF(T4472=0,"No discount",IF(T4472&lt;=0.2,"Low (1-20%)",IF(T4472&lt;=0.4,"Medium (21-40%)","High (&gt;40%)"))))</f>
        <v/>
      </c>
      <c r="Y4472" s="23" t="str">
        <f aca="false">IF(AND(ISNUMBER(C4472),ISNUMBER(D4472)),D4472-C4472,"")</f>
        <v/>
      </c>
      <c r="Z4472" s="23" t="str">
        <f aca="false">IF(B4472="","",IF(MATCH(B4472,$B$2:$B$12000,0)=ROW()-1,1,0))</f>
        <v/>
      </c>
    </row>
    <row r="4473" customFormat="false" ht="15" hidden="false" customHeight="false" outlineLevel="0" collapsed="false">
      <c r="V4473" s="23" t="str">
        <f aca="false">IF(ISNUMBER(C4473),YEAR(C4473),"")</f>
        <v/>
      </c>
      <c r="W4473" s="23" t="str">
        <f aca="false">IF(ISNUMBER(C4473),MONTH(C4473),"")</f>
        <v/>
      </c>
      <c r="X4473" s="23" t="str">
        <f aca="false">IF(T4473="","",IF(T4473=0,"No discount",IF(T4473&lt;=0.2,"Low (1-20%)",IF(T4473&lt;=0.4,"Medium (21-40%)","High (&gt;40%)"))))</f>
        <v/>
      </c>
      <c r="Y4473" s="23" t="str">
        <f aca="false">IF(AND(ISNUMBER(C4473),ISNUMBER(D4473)),D4473-C4473,"")</f>
        <v/>
      </c>
      <c r="Z4473" s="23" t="str">
        <f aca="false">IF(B4473="","",IF(MATCH(B4473,$B$2:$B$12000,0)=ROW()-1,1,0))</f>
        <v/>
      </c>
    </row>
    <row r="4474" customFormat="false" ht="15" hidden="false" customHeight="false" outlineLevel="0" collapsed="false">
      <c r="V4474" s="23" t="str">
        <f aca="false">IF(ISNUMBER(C4474),YEAR(C4474),"")</f>
        <v/>
      </c>
      <c r="W4474" s="23" t="str">
        <f aca="false">IF(ISNUMBER(C4474),MONTH(C4474),"")</f>
        <v/>
      </c>
      <c r="X4474" s="23" t="str">
        <f aca="false">IF(T4474="","",IF(T4474=0,"No discount",IF(T4474&lt;=0.2,"Low (1-20%)",IF(T4474&lt;=0.4,"Medium (21-40%)","High (&gt;40%)"))))</f>
        <v/>
      </c>
      <c r="Y4474" s="23" t="str">
        <f aca="false">IF(AND(ISNUMBER(C4474),ISNUMBER(D4474)),D4474-C4474,"")</f>
        <v/>
      </c>
      <c r="Z4474" s="23" t="str">
        <f aca="false">IF(B4474="","",IF(MATCH(B4474,$B$2:$B$12000,0)=ROW()-1,1,0))</f>
        <v/>
      </c>
    </row>
    <row r="4475" customFormat="false" ht="15" hidden="false" customHeight="false" outlineLevel="0" collapsed="false">
      <c r="V4475" s="23" t="str">
        <f aca="false">IF(ISNUMBER(C4475),YEAR(C4475),"")</f>
        <v/>
      </c>
      <c r="W4475" s="23" t="str">
        <f aca="false">IF(ISNUMBER(C4475),MONTH(C4475),"")</f>
        <v/>
      </c>
      <c r="X4475" s="23" t="str">
        <f aca="false">IF(T4475="","",IF(T4475=0,"No discount",IF(T4475&lt;=0.2,"Low (1-20%)",IF(T4475&lt;=0.4,"Medium (21-40%)","High (&gt;40%)"))))</f>
        <v/>
      </c>
      <c r="Y4475" s="23" t="str">
        <f aca="false">IF(AND(ISNUMBER(C4475),ISNUMBER(D4475)),D4475-C4475,"")</f>
        <v/>
      </c>
      <c r="Z4475" s="23" t="str">
        <f aca="false">IF(B4475="","",IF(MATCH(B4475,$B$2:$B$12000,0)=ROW()-1,1,0))</f>
        <v/>
      </c>
    </row>
    <row r="4476" customFormat="false" ht="15" hidden="false" customHeight="false" outlineLevel="0" collapsed="false">
      <c r="V4476" s="23" t="str">
        <f aca="false">IF(ISNUMBER(C4476),YEAR(C4476),"")</f>
        <v/>
      </c>
      <c r="W4476" s="23" t="str">
        <f aca="false">IF(ISNUMBER(C4476),MONTH(C4476),"")</f>
        <v/>
      </c>
      <c r="X4476" s="23" t="str">
        <f aca="false">IF(T4476="","",IF(T4476=0,"No discount",IF(T4476&lt;=0.2,"Low (1-20%)",IF(T4476&lt;=0.4,"Medium (21-40%)","High (&gt;40%)"))))</f>
        <v/>
      </c>
      <c r="Y4476" s="23" t="str">
        <f aca="false">IF(AND(ISNUMBER(C4476),ISNUMBER(D4476)),D4476-C4476,"")</f>
        <v/>
      </c>
      <c r="Z4476" s="23" t="str">
        <f aca="false">IF(B4476="","",IF(MATCH(B4476,$B$2:$B$12000,0)=ROW()-1,1,0))</f>
        <v/>
      </c>
    </row>
    <row r="4477" customFormat="false" ht="15" hidden="false" customHeight="false" outlineLevel="0" collapsed="false">
      <c r="V4477" s="23" t="str">
        <f aca="false">IF(ISNUMBER(C4477),YEAR(C4477),"")</f>
        <v/>
      </c>
      <c r="W4477" s="23" t="str">
        <f aca="false">IF(ISNUMBER(C4477),MONTH(C4477),"")</f>
        <v/>
      </c>
      <c r="X4477" s="23" t="str">
        <f aca="false">IF(T4477="","",IF(T4477=0,"No discount",IF(T4477&lt;=0.2,"Low (1-20%)",IF(T4477&lt;=0.4,"Medium (21-40%)","High (&gt;40%)"))))</f>
        <v/>
      </c>
      <c r="Y4477" s="23" t="str">
        <f aca="false">IF(AND(ISNUMBER(C4477),ISNUMBER(D4477)),D4477-C4477,"")</f>
        <v/>
      </c>
      <c r="Z4477" s="23" t="str">
        <f aca="false">IF(B4477="","",IF(MATCH(B4477,$B$2:$B$12000,0)=ROW()-1,1,0))</f>
        <v/>
      </c>
    </row>
    <row r="4478" customFormat="false" ht="15" hidden="false" customHeight="false" outlineLevel="0" collapsed="false">
      <c r="V4478" s="23" t="str">
        <f aca="false">IF(ISNUMBER(C4478),YEAR(C4478),"")</f>
        <v/>
      </c>
      <c r="W4478" s="23" t="str">
        <f aca="false">IF(ISNUMBER(C4478),MONTH(C4478),"")</f>
        <v/>
      </c>
      <c r="X4478" s="23" t="str">
        <f aca="false">IF(T4478="","",IF(T4478=0,"No discount",IF(T4478&lt;=0.2,"Low (1-20%)",IF(T4478&lt;=0.4,"Medium (21-40%)","High (&gt;40%)"))))</f>
        <v/>
      </c>
      <c r="Y4478" s="23" t="str">
        <f aca="false">IF(AND(ISNUMBER(C4478),ISNUMBER(D4478)),D4478-C4478,"")</f>
        <v/>
      </c>
      <c r="Z4478" s="23" t="str">
        <f aca="false">IF(B4478="","",IF(MATCH(B4478,$B$2:$B$12000,0)=ROW()-1,1,0))</f>
        <v/>
      </c>
    </row>
    <row r="4479" customFormat="false" ht="15" hidden="false" customHeight="false" outlineLevel="0" collapsed="false">
      <c r="V4479" s="23" t="str">
        <f aca="false">IF(ISNUMBER(C4479),YEAR(C4479),"")</f>
        <v/>
      </c>
      <c r="W4479" s="23" t="str">
        <f aca="false">IF(ISNUMBER(C4479),MONTH(C4479),"")</f>
        <v/>
      </c>
      <c r="X4479" s="23" t="str">
        <f aca="false">IF(T4479="","",IF(T4479=0,"No discount",IF(T4479&lt;=0.2,"Low (1-20%)",IF(T4479&lt;=0.4,"Medium (21-40%)","High (&gt;40%)"))))</f>
        <v/>
      </c>
      <c r="Y4479" s="23" t="str">
        <f aca="false">IF(AND(ISNUMBER(C4479),ISNUMBER(D4479)),D4479-C4479,"")</f>
        <v/>
      </c>
      <c r="Z4479" s="23" t="str">
        <f aca="false">IF(B4479="","",IF(MATCH(B4479,$B$2:$B$12000,0)=ROW()-1,1,0))</f>
        <v/>
      </c>
    </row>
    <row r="4480" customFormat="false" ht="15" hidden="false" customHeight="false" outlineLevel="0" collapsed="false">
      <c r="V4480" s="23" t="str">
        <f aca="false">IF(ISNUMBER(C4480),YEAR(C4480),"")</f>
        <v/>
      </c>
      <c r="W4480" s="23" t="str">
        <f aca="false">IF(ISNUMBER(C4480),MONTH(C4480),"")</f>
        <v/>
      </c>
      <c r="X4480" s="23" t="str">
        <f aca="false">IF(T4480="","",IF(T4480=0,"No discount",IF(T4480&lt;=0.2,"Low (1-20%)",IF(T4480&lt;=0.4,"Medium (21-40%)","High (&gt;40%)"))))</f>
        <v/>
      </c>
      <c r="Y4480" s="23" t="str">
        <f aca="false">IF(AND(ISNUMBER(C4480),ISNUMBER(D4480)),D4480-C4480,"")</f>
        <v/>
      </c>
      <c r="Z4480" s="23" t="str">
        <f aca="false">IF(B4480="","",IF(MATCH(B4480,$B$2:$B$12000,0)=ROW()-1,1,0))</f>
        <v/>
      </c>
    </row>
    <row r="4481" customFormat="false" ht="15" hidden="false" customHeight="false" outlineLevel="0" collapsed="false">
      <c r="V4481" s="23" t="str">
        <f aca="false">IF(ISNUMBER(C4481),YEAR(C4481),"")</f>
        <v/>
      </c>
      <c r="W4481" s="23" t="str">
        <f aca="false">IF(ISNUMBER(C4481),MONTH(C4481),"")</f>
        <v/>
      </c>
      <c r="X4481" s="23" t="str">
        <f aca="false">IF(T4481="","",IF(T4481=0,"No discount",IF(T4481&lt;=0.2,"Low (1-20%)",IF(T4481&lt;=0.4,"Medium (21-40%)","High (&gt;40%)"))))</f>
        <v/>
      </c>
      <c r="Y4481" s="23" t="str">
        <f aca="false">IF(AND(ISNUMBER(C4481),ISNUMBER(D4481)),D4481-C4481,"")</f>
        <v/>
      </c>
      <c r="Z4481" s="23" t="str">
        <f aca="false">IF(B4481="","",IF(MATCH(B4481,$B$2:$B$12000,0)=ROW()-1,1,0))</f>
        <v/>
      </c>
    </row>
    <row r="4482" customFormat="false" ht="15" hidden="false" customHeight="false" outlineLevel="0" collapsed="false">
      <c r="V4482" s="23" t="str">
        <f aca="false">IF(ISNUMBER(C4482),YEAR(C4482),"")</f>
        <v/>
      </c>
      <c r="W4482" s="23" t="str">
        <f aca="false">IF(ISNUMBER(C4482),MONTH(C4482),"")</f>
        <v/>
      </c>
      <c r="X4482" s="23" t="str">
        <f aca="false">IF(T4482="","",IF(T4482=0,"No discount",IF(T4482&lt;=0.2,"Low (1-20%)",IF(T4482&lt;=0.4,"Medium (21-40%)","High (&gt;40%)"))))</f>
        <v/>
      </c>
      <c r="Y4482" s="23" t="str">
        <f aca="false">IF(AND(ISNUMBER(C4482),ISNUMBER(D4482)),D4482-C4482,"")</f>
        <v/>
      </c>
      <c r="Z4482" s="23" t="str">
        <f aca="false">IF(B4482="","",IF(MATCH(B4482,$B$2:$B$12000,0)=ROW()-1,1,0))</f>
        <v/>
      </c>
    </row>
    <row r="4483" customFormat="false" ht="15" hidden="false" customHeight="false" outlineLevel="0" collapsed="false">
      <c r="V4483" s="23" t="str">
        <f aca="false">IF(ISNUMBER(C4483),YEAR(C4483),"")</f>
        <v/>
      </c>
      <c r="W4483" s="23" t="str">
        <f aca="false">IF(ISNUMBER(C4483),MONTH(C4483),"")</f>
        <v/>
      </c>
      <c r="X4483" s="23" t="str">
        <f aca="false">IF(T4483="","",IF(T4483=0,"No discount",IF(T4483&lt;=0.2,"Low (1-20%)",IF(T4483&lt;=0.4,"Medium (21-40%)","High (&gt;40%)"))))</f>
        <v/>
      </c>
      <c r="Y4483" s="23" t="str">
        <f aca="false">IF(AND(ISNUMBER(C4483),ISNUMBER(D4483)),D4483-C4483,"")</f>
        <v/>
      </c>
      <c r="Z4483" s="23" t="str">
        <f aca="false">IF(B4483="","",IF(MATCH(B4483,$B$2:$B$12000,0)=ROW()-1,1,0))</f>
        <v/>
      </c>
    </row>
    <row r="4484" customFormat="false" ht="15" hidden="false" customHeight="false" outlineLevel="0" collapsed="false">
      <c r="V4484" s="23" t="str">
        <f aca="false">IF(ISNUMBER(C4484),YEAR(C4484),"")</f>
        <v/>
      </c>
      <c r="W4484" s="23" t="str">
        <f aca="false">IF(ISNUMBER(C4484),MONTH(C4484),"")</f>
        <v/>
      </c>
      <c r="X4484" s="23" t="str">
        <f aca="false">IF(T4484="","",IF(T4484=0,"No discount",IF(T4484&lt;=0.2,"Low (1-20%)",IF(T4484&lt;=0.4,"Medium (21-40%)","High (&gt;40%)"))))</f>
        <v/>
      </c>
      <c r="Y4484" s="23" t="str">
        <f aca="false">IF(AND(ISNUMBER(C4484),ISNUMBER(D4484)),D4484-C4484,"")</f>
        <v/>
      </c>
      <c r="Z4484" s="23" t="str">
        <f aca="false">IF(B4484="","",IF(MATCH(B4484,$B$2:$B$12000,0)=ROW()-1,1,0))</f>
        <v/>
      </c>
    </row>
    <row r="4485" customFormat="false" ht="15" hidden="false" customHeight="false" outlineLevel="0" collapsed="false">
      <c r="V4485" s="23" t="str">
        <f aca="false">IF(ISNUMBER(C4485),YEAR(C4485),"")</f>
        <v/>
      </c>
      <c r="W4485" s="23" t="str">
        <f aca="false">IF(ISNUMBER(C4485),MONTH(C4485),"")</f>
        <v/>
      </c>
      <c r="X4485" s="23" t="str">
        <f aca="false">IF(T4485="","",IF(T4485=0,"No discount",IF(T4485&lt;=0.2,"Low (1-20%)",IF(T4485&lt;=0.4,"Medium (21-40%)","High (&gt;40%)"))))</f>
        <v/>
      </c>
      <c r="Y4485" s="23" t="str">
        <f aca="false">IF(AND(ISNUMBER(C4485),ISNUMBER(D4485)),D4485-C4485,"")</f>
        <v/>
      </c>
      <c r="Z4485" s="23" t="str">
        <f aca="false">IF(B4485="","",IF(MATCH(B4485,$B$2:$B$12000,0)=ROW()-1,1,0))</f>
        <v/>
      </c>
    </row>
    <row r="4486" customFormat="false" ht="15" hidden="false" customHeight="false" outlineLevel="0" collapsed="false">
      <c r="V4486" s="23" t="str">
        <f aca="false">IF(ISNUMBER(C4486),YEAR(C4486),"")</f>
        <v/>
      </c>
      <c r="W4486" s="23" t="str">
        <f aca="false">IF(ISNUMBER(C4486),MONTH(C4486),"")</f>
        <v/>
      </c>
      <c r="X4486" s="23" t="str">
        <f aca="false">IF(T4486="","",IF(T4486=0,"No discount",IF(T4486&lt;=0.2,"Low (1-20%)",IF(T4486&lt;=0.4,"Medium (21-40%)","High (&gt;40%)"))))</f>
        <v/>
      </c>
      <c r="Y4486" s="23" t="str">
        <f aca="false">IF(AND(ISNUMBER(C4486),ISNUMBER(D4486)),D4486-C4486,"")</f>
        <v/>
      </c>
      <c r="Z4486" s="23" t="str">
        <f aca="false">IF(B4486="","",IF(MATCH(B4486,$B$2:$B$12000,0)=ROW()-1,1,0))</f>
        <v/>
      </c>
    </row>
    <row r="4487" customFormat="false" ht="15" hidden="false" customHeight="false" outlineLevel="0" collapsed="false">
      <c r="V4487" s="23" t="str">
        <f aca="false">IF(ISNUMBER(C4487),YEAR(C4487),"")</f>
        <v/>
      </c>
      <c r="W4487" s="23" t="str">
        <f aca="false">IF(ISNUMBER(C4487),MONTH(C4487),"")</f>
        <v/>
      </c>
      <c r="X4487" s="23" t="str">
        <f aca="false">IF(T4487="","",IF(T4487=0,"No discount",IF(T4487&lt;=0.2,"Low (1-20%)",IF(T4487&lt;=0.4,"Medium (21-40%)","High (&gt;40%)"))))</f>
        <v/>
      </c>
      <c r="Y4487" s="23" t="str">
        <f aca="false">IF(AND(ISNUMBER(C4487),ISNUMBER(D4487)),D4487-C4487,"")</f>
        <v/>
      </c>
      <c r="Z4487" s="23" t="str">
        <f aca="false">IF(B4487="","",IF(MATCH(B4487,$B$2:$B$12000,0)=ROW()-1,1,0))</f>
        <v/>
      </c>
    </row>
    <row r="4488" customFormat="false" ht="15" hidden="false" customHeight="false" outlineLevel="0" collapsed="false">
      <c r="V4488" s="23" t="str">
        <f aca="false">IF(ISNUMBER(C4488),YEAR(C4488),"")</f>
        <v/>
      </c>
      <c r="W4488" s="23" t="str">
        <f aca="false">IF(ISNUMBER(C4488),MONTH(C4488),"")</f>
        <v/>
      </c>
      <c r="X4488" s="23" t="str">
        <f aca="false">IF(T4488="","",IF(T4488=0,"No discount",IF(T4488&lt;=0.2,"Low (1-20%)",IF(T4488&lt;=0.4,"Medium (21-40%)","High (&gt;40%)"))))</f>
        <v/>
      </c>
      <c r="Y4488" s="23" t="str">
        <f aca="false">IF(AND(ISNUMBER(C4488),ISNUMBER(D4488)),D4488-C4488,"")</f>
        <v/>
      </c>
      <c r="Z4488" s="23" t="str">
        <f aca="false">IF(B4488="","",IF(MATCH(B4488,$B$2:$B$12000,0)=ROW()-1,1,0))</f>
        <v/>
      </c>
    </row>
    <row r="4489" customFormat="false" ht="15" hidden="false" customHeight="false" outlineLevel="0" collapsed="false">
      <c r="V4489" s="23" t="str">
        <f aca="false">IF(ISNUMBER(C4489),YEAR(C4489),"")</f>
        <v/>
      </c>
      <c r="W4489" s="23" t="str">
        <f aca="false">IF(ISNUMBER(C4489),MONTH(C4489),"")</f>
        <v/>
      </c>
      <c r="X4489" s="23" t="str">
        <f aca="false">IF(T4489="","",IF(T4489=0,"No discount",IF(T4489&lt;=0.2,"Low (1-20%)",IF(T4489&lt;=0.4,"Medium (21-40%)","High (&gt;40%)"))))</f>
        <v/>
      </c>
      <c r="Y4489" s="23" t="str">
        <f aca="false">IF(AND(ISNUMBER(C4489),ISNUMBER(D4489)),D4489-C4489,"")</f>
        <v/>
      </c>
      <c r="Z4489" s="23" t="str">
        <f aca="false">IF(B4489="","",IF(MATCH(B4489,$B$2:$B$12000,0)=ROW()-1,1,0))</f>
        <v/>
      </c>
    </row>
    <row r="4490" customFormat="false" ht="15" hidden="false" customHeight="false" outlineLevel="0" collapsed="false">
      <c r="V4490" s="23" t="str">
        <f aca="false">IF(ISNUMBER(C4490),YEAR(C4490),"")</f>
        <v/>
      </c>
      <c r="W4490" s="23" t="str">
        <f aca="false">IF(ISNUMBER(C4490),MONTH(C4490),"")</f>
        <v/>
      </c>
      <c r="X4490" s="23" t="str">
        <f aca="false">IF(T4490="","",IF(T4490=0,"No discount",IF(T4490&lt;=0.2,"Low (1-20%)",IF(T4490&lt;=0.4,"Medium (21-40%)","High (&gt;40%)"))))</f>
        <v/>
      </c>
      <c r="Y4490" s="23" t="str">
        <f aca="false">IF(AND(ISNUMBER(C4490),ISNUMBER(D4490)),D4490-C4490,"")</f>
        <v/>
      </c>
      <c r="Z4490" s="23" t="str">
        <f aca="false">IF(B4490="","",IF(MATCH(B4490,$B$2:$B$12000,0)=ROW()-1,1,0))</f>
        <v/>
      </c>
    </row>
    <row r="4491" customFormat="false" ht="15" hidden="false" customHeight="false" outlineLevel="0" collapsed="false">
      <c r="V4491" s="23" t="str">
        <f aca="false">IF(ISNUMBER(C4491),YEAR(C4491),"")</f>
        <v/>
      </c>
      <c r="W4491" s="23" t="str">
        <f aca="false">IF(ISNUMBER(C4491),MONTH(C4491),"")</f>
        <v/>
      </c>
      <c r="X4491" s="23" t="str">
        <f aca="false">IF(T4491="","",IF(T4491=0,"No discount",IF(T4491&lt;=0.2,"Low (1-20%)",IF(T4491&lt;=0.4,"Medium (21-40%)","High (&gt;40%)"))))</f>
        <v/>
      </c>
      <c r="Y4491" s="23" t="str">
        <f aca="false">IF(AND(ISNUMBER(C4491),ISNUMBER(D4491)),D4491-C4491,"")</f>
        <v/>
      </c>
      <c r="Z4491" s="23" t="str">
        <f aca="false">IF(B4491="","",IF(MATCH(B4491,$B$2:$B$12000,0)=ROW()-1,1,0))</f>
        <v/>
      </c>
    </row>
    <row r="4492" customFormat="false" ht="15" hidden="false" customHeight="false" outlineLevel="0" collapsed="false">
      <c r="V4492" s="23" t="str">
        <f aca="false">IF(ISNUMBER(C4492),YEAR(C4492),"")</f>
        <v/>
      </c>
      <c r="W4492" s="23" t="str">
        <f aca="false">IF(ISNUMBER(C4492),MONTH(C4492),"")</f>
        <v/>
      </c>
      <c r="X4492" s="23" t="str">
        <f aca="false">IF(T4492="","",IF(T4492=0,"No discount",IF(T4492&lt;=0.2,"Low (1-20%)",IF(T4492&lt;=0.4,"Medium (21-40%)","High (&gt;40%)"))))</f>
        <v/>
      </c>
      <c r="Y4492" s="23" t="str">
        <f aca="false">IF(AND(ISNUMBER(C4492),ISNUMBER(D4492)),D4492-C4492,"")</f>
        <v/>
      </c>
      <c r="Z4492" s="23" t="str">
        <f aca="false">IF(B4492="","",IF(MATCH(B4492,$B$2:$B$12000,0)=ROW()-1,1,0))</f>
        <v/>
      </c>
    </row>
    <row r="4493" customFormat="false" ht="15" hidden="false" customHeight="false" outlineLevel="0" collapsed="false">
      <c r="V4493" s="23" t="str">
        <f aca="false">IF(ISNUMBER(C4493),YEAR(C4493),"")</f>
        <v/>
      </c>
      <c r="W4493" s="23" t="str">
        <f aca="false">IF(ISNUMBER(C4493),MONTH(C4493),"")</f>
        <v/>
      </c>
      <c r="X4493" s="23" t="str">
        <f aca="false">IF(T4493="","",IF(T4493=0,"No discount",IF(T4493&lt;=0.2,"Low (1-20%)",IF(T4493&lt;=0.4,"Medium (21-40%)","High (&gt;40%)"))))</f>
        <v/>
      </c>
      <c r="Y4493" s="23" t="str">
        <f aca="false">IF(AND(ISNUMBER(C4493),ISNUMBER(D4493)),D4493-C4493,"")</f>
        <v/>
      </c>
      <c r="Z4493" s="23" t="str">
        <f aca="false">IF(B4493="","",IF(MATCH(B4493,$B$2:$B$12000,0)=ROW()-1,1,0))</f>
        <v/>
      </c>
    </row>
    <row r="4494" customFormat="false" ht="15" hidden="false" customHeight="false" outlineLevel="0" collapsed="false">
      <c r="V4494" s="23" t="str">
        <f aca="false">IF(ISNUMBER(C4494),YEAR(C4494),"")</f>
        <v/>
      </c>
      <c r="W4494" s="23" t="str">
        <f aca="false">IF(ISNUMBER(C4494),MONTH(C4494),"")</f>
        <v/>
      </c>
      <c r="X4494" s="23" t="str">
        <f aca="false">IF(T4494="","",IF(T4494=0,"No discount",IF(T4494&lt;=0.2,"Low (1-20%)",IF(T4494&lt;=0.4,"Medium (21-40%)","High (&gt;40%)"))))</f>
        <v/>
      </c>
      <c r="Y4494" s="23" t="str">
        <f aca="false">IF(AND(ISNUMBER(C4494),ISNUMBER(D4494)),D4494-C4494,"")</f>
        <v/>
      </c>
      <c r="Z4494" s="23" t="str">
        <f aca="false">IF(B4494="","",IF(MATCH(B4494,$B$2:$B$12000,0)=ROW()-1,1,0))</f>
        <v/>
      </c>
    </row>
    <row r="4495" customFormat="false" ht="15" hidden="false" customHeight="false" outlineLevel="0" collapsed="false">
      <c r="V4495" s="23" t="str">
        <f aca="false">IF(ISNUMBER(C4495),YEAR(C4495),"")</f>
        <v/>
      </c>
      <c r="W4495" s="23" t="str">
        <f aca="false">IF(ISNUMBER(C4495),MONTH(C4495),"")</f>
        <v/>
      </c>
      <c r="X4495" s="23" t="str">
        <f aca="false">IF(T4495="","",IF(T4495=0,"No discount",IF(T4495&lt;=0.2,"Low (1-20%)",IF(T4495&lt;=0.4,"Medium (21-40%)","High (&gt;40%)"))))</f>
        <v/>
      </c>
      <c r="Y4495" s="23" t="str">
        <f aca="false">IF(AND(ISNUMBER(C4495),ISNUMBER(D4495)),D4495-C4495,"")</f>
        <v/>
      </c>
      <c r="Z4495" s="23" t="str">
        <f aca="false">IF(B4495="","",IF(MATCH(B4495,$B$2:$B$12000,0)=ROW()-1,1,0))</f>
        <v/>
      </c>
    </row>
    <row r="4496" customFormat="false" ht="15" hidden="false" customHeight="false" outlineLevel="0" collapsed="false">
      <c r="V4496" s="23" t="str">
        <f aca="false">IF(ISNUMBER(C4496),YEAR(C4496),"")</f>
        <v/>
      </c>
      <c r="W4496" s="23" t="str">
        <f aca="false">IF(ISNUMBER(C4496),MONTH(C4496),"")</f>
        <v/>
      </c>
      <c r="X4496" s="23" t="str">
        <f aca="false">IF(T4496="","",IF(T4496=0,"No discount",IF(T4496&lt;=0.2,"Low (1-20%)",IF(T4496&lt;=0.4,"Medium (21-40%)","High (&gt;40%)"))))</f>
        <v/>
      </c>
      <c r="Y4496" s="23" t="str">
        <f aca="false">IF(AND(ISNUMBER(C4496),ISNUMBER(D4496)),D4496-C4496,"")</f>
        <v/>
      </c>
      <c r="Z4496" s="23" t="str">
        <f aca="false">IF(B4496="","",IF(MATCH(B4496,$B$2:$B$12000,0)=ROW()-1,1,0))</f>
        <v/>
      </c>
    </row>
    <row r="4497" customFormat="false" ht="15" hidden="false" customHeight="false" outlineLevel="0" collapsed="false">
      <c r="V4497" s="23" t="str">
        <f aca="false">IF(ISNUMBER(C4497),YEAR(C4497),"")</f>
        <v/>
      </c>
      <c r="W4497" s="23" t="str">
        <f aca="false">IF(ISNUMBER(C4497),MONTH(C4497),"")</f>
        <v/>
      </c>
      <c r="X4497" s="23" t="str">
        <f aca="false">IF(T4497="","",IF(T4497=0,"No discount",IF(T4497&lt;=0.2,"Low (1-20%)",IF(T4497&lt;=0.4,"Medium (21-40%)","High (&gt;40%)"))))</f>
        <v/>
      </c>
      <c r="Y4497" s="23" t="str">
        <f aca="false">IF(AND(ISNUMBER(C4497),ISNUMBER(D4497)),D4497-C4497,"")</f>
        <v/>
      </c>
      <c r="Z4497" s="23" t="str">
        <f aca="false">IF(B4497="","",IF(MATCH(B4497,$B$2:$B$12000,0)=ROW()-1,1,0))</f>
        <v/>
      </c>
    </row>
    <row r="4498" customFormat="false" ht="15" hidden="false" customHeight="false" outlineLevel="0" collapsed="false">
      <c r="V4498" s="23" t="str">
        <f aca="false">IF(ISNUMBER(C4498),YEAR(C4498),"")</f>
        <v/>
      </c>
      <c r="W4498" s="23" t="str">
        <f aca="false">IF(ISNUMBER(C4498),MONTH(C4498),"")</f>
        <v/>
      </c>
      <c r="X4498" s="23" t="str">
        <f aca="false">IF(T4498="","",IF(T4498=0,"No discount",IF(T4498&lt;=0.2,"Low (1-20%)",IF(T4498&lt;=0.4,"Medium (21-40%)","High (&gt;40%)"))))</f>
        <v/>
      </c>
      <c r="Y4498" s="23" t="str">
        <f aca="false">IF(AND(ISNUMBER(C4498),ISNUMBER(D4498)),D4498-C4498,"")</f>
        <v/>
      </c>
      <c r="Z4498" s="23" t="str">
        <f aca="false">IF(B4498="","",IF(MATCH(B4498,$B$2:$B$12000,0)=ROW()-1,1,0))</f>
        <v/>
      </c>
    </row>
    <row r="4499" customFormat="false" ht="15" hidden="false" customHeight="false" outlineLevel="0" collapsed="false">
      <c r="V4499" s="23" t="str">
        <f aca="false">IF(ISNUMBER(C4499),YEAR(C4499),"")</f>
        <v/>
      </c>
      <c r="W4499" s="23" t="str">
        <f aca="false">IF(ISNUMBER(C4499),MONTH(C4499),"")</f>
        <v/>
      </c>
      <c r="X4499" s="23" t="str">
        <f aca="false">IF(T4499="","",IF(T4499=0,"No discount",IF(T4499&lt;=0.2,"Low (1-20%)",IF(T4499&lt;=0.4,"Medium (21-40%)","High (&gt;40%)"))))</f>
        <v/>
      </c>
      <c r="Y4499" s="23" t="str">
        <f aca="false">IF(AND(ISNUMBER(C4499),ISNUMBER(D4499)),D4499-C4499,"")</f>
        <v/>
      </c>
      <c r="Z4499" s="23" t="str">
        <f aca="false">IF(B4499="","",IF(MATCH(B4499,$B$2:$B$12000,0)=ROW()-1,1,0))</f>
        <v/>
      </c>
    </row>
    <row r="4500" customFormat="false" ht="15" hidden="false" customHeight="false" outlineLevel="0" collapsed="false">
      <c r="V4500" s="23" t="str">
        <f aca="false">IF(ISNUMBER(C4500),YEAR(C4500),"")</f>
        <v/>
      </c>
      <c r="W4500" s="23" t="str">
        <f aca="false">IF(ISNUMBER(C4500),MONTH(C4500),"")</f>
        <v/>
      </c>
      <c r="X4500" s="23" t="str">
        <f aca="false">IF(T4500="","",IF(T4500=0,"No discount",IF(T4500&lt;=0.2,"Low (1-20%)",IF(T4500&lt;=0.4,"Medium (21-40%)","High (&gt;40%)"))))</f>
        <v/>
      </c>
      <c r="Y4500" s="23" t="str">
        <f aca="false">IF(AND(ISNUMBER(C4500),ISNUMBER(D4500)),D4500-C4500,"")</f>
        <v/>
      </c>
      <c r="Z4500" s="23" t="str">
        <f aca="false">IF(B4500="","",IF(MATCH(B4500,$B$2:$B$12000,0)=ROW()-1,1,0))</f>
        <v/>
      </c>
    </row>
    <row r="4501" customFormat="false" ht="15" hidden="false" customHeight="false" outlineLevel="0" collapsed="false">
      <c r="V4501" s="23" t="str">
        <f aca="false">IF(ISNUMBER(C4501),YEAR(C4501),"")</f>
        <v/>
      </c>
      <c r="W4501" s="23" t="str">
        <f aca="false">IF(ISNUMBER(C4501),MONTH(C4501),"")</f>
        <v/>
      </c>
      <c r="X4501" s="23" t="str">
        <f aca="false">IF(T4501="","",IF(T4501=0,"No discount",IF(T4501&lt;=0.2,"Low (1-20%)",IF(T4501&lt;=0.4,"Medium (21-40%)","High (&gt;40%)"))))</f>
        <v/>
      </c>
      <c r="Y4501" s="23" t="str">
        <f aca="false">IF(AND(ISNUMBER(C4501),ISNUMBER(D4501)),D4501-C4501,"")</f>
        <v/>
      </c>
      <c r="Z4501" s="23" t="str">
        <f aca="false">IF(B4501="","",IF(MATCH(B4501,$B$2:$B$12000,0)=ROW()-1,1,0))</f>
        <v/>
      </c>
    </row>
    <row r="4502" customFormat="false" ht="15" hidden="false" customHeight="false" outlineLevel="0" collapsed="false">
      <c r="V4502" s="23" t="str">
        <f aca="false">IF(ISNUMBER(C4502),YEAR(C4502),"")</f>
        <v/>
      </c>
      <c r="W4502" s="23" t="str">
        <f aca="false">IF(ISNUMBER(C4502),MONTH(C4502),"")</f>
        <v/>
      </c>
      <c r="X4502" s="23" t="str">
        <f aca="false">IF(T4502="","",IF(T4502=0,"No discount",IF(T4502&lt;=0.2,"Low (1-20%)",IF(T4502&lt;=0.4,"Medium (21-40%)","High (&gt;40%)"))))</f>
        <v/>
      </c>
      <c r="Y4502" s="23" t="str">
        <f aca="false">IF(AND(ISNUMBER(C4502),ISNUMBER(D4502)),D4502-C4502,"")</f>
        <v/>
      </c>
      <c r="Z4502" s="23" t="str">
        <f aca="false">IF(B4502="","",IF(MATCH(B4502,$B$2:$B$12000,0)=ROW()-1,1,0))</f>
        <v/>
      </c>
    </row>
    <row r="4503" customFormat="false" ht="15" hidden="false" customHeight="false" outlineLevel="0" collapsed="false">
      <c r="V4503" s="23" t="str">
        <f aca="false">IF(ISNUMBER(C4503),YEAR(C4503),"")</f>
        <v/>
      </c>
      <c r="W4503" s="23" t="str">
        <f aca="false">IF(ISNUMBER(C4503),MONTH(C4503),"")</f>
        <v/>
      </c>
      <c r="X4503" s="23" t="str">
        <f aca="false">IF(T4503="","",IF(T4503=0,"No discount",IF(T4503&lt;=0.2,"Low (1-20%)",IF(T4503&lt;=0.4,"Medium (21-40%)","High (&gt;40%)"))))</f>
        <v/>
      </c>
      <c r="Y4503" s="23" t="str">
        <f aca="false">IF(AND(ISNUMBER(C4503),ISNUMBER(D4503)),D4503-C4503,"")</f>
        <v/>
      </c>
      <c r="Z4503" s="23" t="str">
        <f aca="false">IF(B4503="","",IF(MATCH(B4503,$B$2:$B$12000,0)=ROW()-1,1,0))</f>
        <v/>
      </c>
    </row>
    <row r="4504" customFormat="false" ht="15" hidden="false" customHeight="false" outlineLevel="0" collapsed="false">
      <c r="V4504" s="23" t="str">
        <f aca="false">IF(ISNUMBER(C4504),YEAR(C4504),"")</f>
        <v/>
      </c>
      <c r="W4504" s="23" t="str">
        <f aca="false">IF(ISNUMBER(C4504),MONTH(C4504),"")</f>
        <v/>
      </c>
      <c r="X4504" s="23" t="str">
        <f aca="false">IF(T4504="","",IF(T4504=0,"No discount",IF(T4504&lt;=0.2,"Low (1-20%)",IF(T4504&lt;=0.4,"Medium (21-40%)","High (&gt;40%)"))))</f>
        <v/>
      </c>
      <c r="Y4504" s="23" t="str">
        <f aca="false">IF(AND(ISNUMBER(C4504),ISNUMBER(D4504)),D4504-C4504,"")</f>
        <v/>
      </c>
      <c r="Z4504" s="23" t="str">
        <f aca="false">IF(B4504="","",IF(MATCH(B4504,$B$2:$B$12000,0)=ROW()-1,1,0))</f>
        <v/>
      </c>
    </row>
    <row r="4505" customFormat="false" ht="15" hidden="false" customHeight="false" outlineLevel="0" collapsed="false">
      <c r="V4505" s="23" t="str">
        <f aca="false">IF(ISNUMBER(C4505),YEAR(C4505),"")</f>
        <v/>
      </c>
      <c r="W4505" s="23" t="str">
        <f aca="false">IF(ISNUMBER(C4505),MONTH(C4505),"")</f>
        <v/>
      </c>
      <c r="X4505" s="23" t="str">
        <f aca="false">IF(T4505="","",IF(T4505=0,"No discount",IF(T4505&lt;=0.2,"Low (1-20%)",IF(T4505&lt;=0.4,"Medium (21-40%)","High (&gt;40%)"))))</f>
        <v/>
      </c>
      <c r="Y4505" s="23" t="str">
        <f aca="false">IF(AND(ISNUMBER(C4505),ISNUMBER(D4505)),D4505-C4505,"")</f>
        <v/>
      </c>
      <c r="Z4505" s="23" t="str">
        <f aca="false">IF(B4505="","",IF(MATCH(B4505,$B$2:$B$12000,0)=ROW()-1,1,0))</f>
        <v/>
      </c>
    </row>
    <row r="4506" customFormat="false" ht="15" hidden="false" customHeight="false" outlineLevel="0" collapsed="false">
      <c r="V4506" s="23" t="str">
        <f aca="false">IF(ISNUMBER(C4506),YEAR(C4506),"")</f>
        <v/>
      </c>
      <c r="W4506" s="23" t="str">
        <f aca="false">IF(ISNUMBER(C4506),MONTH(C4506),"")</f>
        <v/>
      </c>
      <c r="X4506" s="23" t="str">
        <f aca="false">IF(T4506="","",IF(T4506=0,"No discount",IF(T4506&lt;=0.2,"Low (1-20%)",IF(T4506&lt;=0.4,"Medium (21-40%)","High (&gt;40%)"))))</f>
        <v/>
      </c>
      <c r="Y4506" s="23" t="str">
        <f aca="false">IF(AND(ISNUMBER(C4506),ISNUMBER(D4506)),D4506-C4506,"")</f>
        <v/>
      </c>
      <c r="Z4506" s="23" t="str">
        <f aca="false">IF(B4506="","",IF(MATCH(B4506,$B$2:$B$12000,0)=ROW()-1,1,0))</f>
        <v/>
      </c>
    </row>
    <row r="4507" customFormat="false" ht="15" hidden="false" customHeight="false" outlineLevel="0" collapsed="false">
      <c r="V4507" s="23" t="str">
        <f aca="false">IF(ISNUMBER(C4507),YEAR(C4507),"")</f>
        <v/>
      </c>
      <c r="W4507" s="23" t="str">
        <f aca="false">IF(ISNUMBER(C4507),MONTH(C4507),"")</f>
        <v/>
      </c>
      <c r="X4507" s="23" t="str">
        <f aca="false">IF(T4507="","",IF(T4507=0,"No discount",IF(T4507&lt;=0.2,"Low (1-20%)",IF(T4507&lt;=0.4,"Medium (21-40%)","High (&gt;40%)"))))</f>
        <v/>
      </c>
      <c r="Y4507" s="23" t="str">
        <f aca="false">IF(AND(ISNUMBER(C4507),ISNUMBER(D4507)),D4507-C4507,"")</f>
        <v/>
      </c>
      <c r="Z4507" s="23" t="str">
        <f aca="false">IF(B4507="","",IF(MATCH(B4507,$B$2:$B$12000,0)=ROW()-1,1,0))</f>
        <v/>
      </c>
    </row>
    <row r="4508" customFormat="false" ht="15" hidden="false" customHeight="false" outlineLevel="0" collapsed="false">
      <c r="V4508" s="23" t="str">
        <f aca="false">IF(ISNUMBER(C4508),YEAR(C4508),"")</f>
        <v/>
      </c>
      <c r="W4508" s="23" t="str">
        <f aca="false">IF(ISNUMBER(C4508),MONTH(C4508),"")</f>
        <v/>
      </c>
      <c r="X4508" s="23" t="str">
        <f aca="false">IF(T4508="","",IF(T4508=0,"No discount",IF(T4508&lt;=0.2,"Low (1-20%)",IF(T4508&lt;=0.4,"Medium (21-40%)","High (&gt;40%)"))))</f>
        <v/>
      </c>
      <c r="Y4508" s="23" t="str">
        <f aca="false">IF(AND(ISNUMBER(C4508),ISNUMBER(D4508)),D4508-C4508,"")</f>
        <v/>
      </c>
      <c r="Z4508" s="23" t="str">
        <f aca="false">IF(B4508="","",IF(MATCH(B4508,$B$2:$B$12000,0)=ROW()-1,1,0))</f>
        <v/>
      </c>
    </row>
    <row r="4509" customFormat="false" ht="15" hidden="false" customHeight="false" outlineLevel="0" collapsed="false">
      <c r="V4509" s="23" t="str">
        <f aca="false">IF(ISNUMBER(C4509),YEAR(C4509),"")</f>
        <v/>
      </c>
      <c r="W4509" s="23" t="str">
        <f aca="false">IF(ISNUMBER(C4509),MONTH(C4509),"")</f>
        <v/>
      </c>
      <c r="X4509" s="23" t="str">
        <f aca="false">IF(T4509="","",IF(T4509=0,"No discount",IF(T4509&lt;=0.2,"Low (1-20%)",IF(T4509&lt;=0.4,"Medium (21-40%)","High (&gt;40%)"))))</f>
        <v/>
      </c>
      <c r="Y4509" s="23" t="str">
        <f aca="false">IF(AND(ISNUMBER(C4509),ISNUMBER(D4509)),D4509-C4509,"")</f>
        <v/>
      </c>
      <c r="Z4509" s="23" t="str">
        <f aca="false">IF(B4509="","",IF(MATCH(B4509,$B$2:$B$12000,0)=ROW()-1,1,0))</f>
        <v/>
      </c>
    </row>
    <row r="4510" customFormat="false" ht="15" hidden="false" customHeight="false" outlineLevel="0" collapsed="false">
      <c r="V4510" s="23" t="str">
        <f aca="false">IF(ISNUMBER(C4510),YEAR(C4510),"")</f>
        <v/>
      </c>
      <c r="W4510" s="23" t="str">
        <f aca="false">IF(ISNUMBER(C4510),MONTH(C4510),"")</f>
        <v/>
      </c>
      <c r="X4510" s="23" t="str">
        <f aca="false">IF(T4510="","",IF(T4510=0,"No discount",IF(T4510&lt;=0.2,"Low (1-20%)",IF(T4510&lt;=0.4,"Medium (21-40%)","High (&gt;40%)"))))</f>
        <v/>
      </c>
      <c r="Y4510" s="23" t="str">
        <f aca="false">IF(AND(ISNUMBER(C4510),ISNUMBER(D4510)),D4510-C4510,"")</f>
        <v/>
      </c>
      <c r="Z4510" s="23" t="str">
        <f aca="false">IF(B4510="","",IF(MATCH(B4510,$B$2:$B$12000,0)=ROW()-1,1,0))</f>
        <v/>
      </c>
    </row>
    <row r="4511" customFormat="false" ht="15" hidden="false" customHeight="false" outlineLevel="0" collapsed="false">
      <c r="V4511" s="23" t="str">
        <f aca="false">IF(ISNUMBER(C4511),YEAR(C4511),"")</f>
        <v/>
      </c>
      <c r="W4511" s="23" t="str">
        <f aca="false">IF(ISNUMBER(C4511),MONTH(C4511),"")</f>
        <v/>
      </c>
      <c r="X4511" s="23" t="str">
        <f aca="false">IF(T4511="","",IF(T4511=0,"No discount",IF(T4511&lt;=0.2,"Low (1-20%)",IF(T4511&lt;=0.4,"Medium (21-40%)","High (&gt;40%)"))))</f>
        <v/>
      </c>
      <c r="Y4511" s="23" t="str">
        <f aca="false">IF(AND(ISNUMBER(C4511),ISNUMBER(D4511)),D4511-C4511,"")</f>
        <v/>
      </c>
      <c r="Z4511" s="23" t="str">
        <f aca="false">IF(B4511="","",IF(MATCH(B4511,$B$2:$B$12000,0)=ROW()-1,1,0))</f>
        <v/>
      </c>
    </row>
    <row r="4512" customFormat="false" ht="15" hidden="false" customHeight="false" outlineLevel="0" collapsed="false">
      <c r="V4512" s="23" t="str">
        <f aca="false">IF(ISNUMBER(C4512),YEAR(C4512),"")</f>
        <v/>
      </c>
      <c r="W4512" s="23" t="str">
        <f aca="false">IF(ISNUMBER(C4512),MONTH(C4512),"")</f>
        <v/>
      </c>
      <c r="X4512" s="23" t="str">
        <f aca="false">IF(T4512="","",IF(T4512=0,"No discount",IF(T4512&lt;=0.2,"Low (1-20%)",IF(T4512&lt;=0.4,"Medium (21-40%)","High (&gt;40%)"))))</f>
        <v/>
      </c>
      <c r="Y4512" s="23" t="str">
        <f aca="false">IF(AND(ISNUMBER(C4512),ISNUMBER(D4512)),D4512-C4512,"")</f>
        <v/>
      </c>
      <c r="Z4512" s="23" t="str">
        <f aca="false">IF(B4512="","",IF(MATCH(B4512,$B$2:$B$12000,0)=ROW()-1,1,0))</f>
        <v/>
      </c>
    </row>
    <row r="4513" customFormat="false" ht="15" hidden="false" customHeight="false" outlineLevel="0" collapsed="false">
      <c r="V4513" s="23" t="str">
        <f aca="false">IF(ISNUMBER(C4513),YEAR(C4513),"")</f>
        <v/>
      </c>
      <c r="W4513" s="23" t="str">
        <f aca="false">IF(ISNUMBER(C4513),MONTH(C4513),"")</f>
        <v/>
      </c>
      <c r="X4513" s="23" t="str">
        <f aca="false">IF(T4513="","",IF(T4513=0,"No discount",IF(T4513&lt;=0.2,"Low (1-20%)",IF(T4513&lt;=0.4,"Medium (21-40%)","High (&gt;40%)"))))</f>
        <v/>
      </c>
      <c r="Y4513" s="23" t="str">
        <f aca="false">IF(AND(ISNUMBER(C4513),ISNUMBER(D4513)),D4513-C4513,"")</f>
        <v/>
      </c>
      <c r="Z4513" s="23" t="str">
        <f aca="false">IF(B4513="","",IF(MATCH(B4513,$B$2:$B$12000,0)=ROW()-1,1,0))</f>
        <v/>
      </c>
    </row>
    <row r="4514" customFormat="false" ht="15" hidden="false" customHeight="false" outlineLevel="0" collapsed="false">
      <c r="V4514" s="23" t="str">
        <f aca="false">IF(ISNUMBER(C4514),YEAR(C4514),"")</f>
        <v/>
      </c>
      <c r="W4514" s="23" t="str">
        <f aca="false">IF(ISNUMBER(C4514),MONTH(C4514),"")</f>
        <v/>
      </c>
      <c r="X4514" s="23" t="str">
        <f aca="false">IF(T4514="","",IF(T4514=0,"No discount",IF(T4514&lt;=0.2,"Low (1-20%)",IF(T4514&lt;=0.4,"Medium (21-40%)","High (&gt;40%)"))))</f>
        <v/>
      </c>
      <c r="Y4514" s="23" t="str">
        <f aca="false">IF(AND(ISNUMBER(C4514),ISNUMBER(D4514)),D4514-C4514,"")</f>
        <v/>
      </c>
      <c r="Z4514" s="23" t="str">
        <f aca="false">IF(B4514="","",IF(MATCH(B4514,$B$2:$B$12000,0)=ROW()-1,1,0))</f>
        <v/>
      </c>
    </row>
    <row r="4515" customFormat="false" ht="15" hidden="false" customHeight="false" outlineLevel="0" collapsed="false">
      <c r="V4515" s="23" t="str">
        <f aca="false">IF(ISNUMBER(C4515),YEAR(C4515),"")</f>
        <v/>
      </c>
      <c r="W4515" s="23" t="str">
        <f aca="false">IF(ISNUMBER(C4515),MONTH(C4515),"")</f>
        <v/>
      </c>
      <c r="X4515" s="23" t="str">
        <f aca="false">IF(T4515="","",IF(T4515=0,"No discount",IF(T4515&lt;=0.2,"Low (1-20%)",IF(T4515&lt;=0.4,"Medium (21-40%)","High (&gt;40%)"))))</f>
        <v/>
      </c>
      <c r="Y4515" s="23" t="str">
        <f aca="false">IF(AND(ISNUMBER(C4515),ISNUMBER(D4515)),D4515-C4515,"")</f>
        <v/>
      </c>
      <c r="Z4515" s="23" t="str">
        <f aca="false">IF(B4515="","",IF(MATCH(B4515,$B$2:$B$12000,0)=ROW()-1,1,0))</f>
        <v/>
      </c>
    </row>
    <row r="4516" customFormat="false" ht="15" hidden="false" customHeight="false" outlineLevel="0" collapsed="false">
      <c r="V4516" s="23" t="str">
        <f aca="false">IF(ISNUMBER(C4516),YEAR(C4516),"")</f>
        <v/>
      </c>
      <c r="W4516" s="23" t="str">
        <f aca="false">IF(ISNUMBER(C4516),MONTH(C4516),"")</f>
        <v/>
      </c>
      <c r="X4516" s="23" t="str">
        <f aca="false">IF(T4516="","",IF(T4516=0,"No discount",IF(T4516&lt;=0.2,"Low (1-20%)",IF(T4516&lt;=0.4,"Medium (21-40%)","High (&gt;40%)"))))</f>
        <v/>
      </c>
      <c r="Y4516" s="23" t="str">
        <f aca="false">IF(AND(ISNUMBER(C4516),ISNUMBER(D4516)),D4516-C4516,"")</f>
        <v/>
      </c>
      <c r="Z4516" s="23" t="str">
        <f aca="false">IF(B4516="","",IF(MATCH(B4516,$B$2:$B$12000,0)=ROW()-1,1,0))</f>
        <v/>
      </c>
    </row>
    <row r="4517" customFormat="false" ht="15" hidden="false" customHeight="false" outlineLevel="0" collapsed="false">
      <c r="V4517" s="23" t="str">
        <f aca="false">IF(ISNUMBER(C4517),YEAR(C4517),"")</f>
        <v/>
      </c>
      <c r="W4517" s="23" t="str">
        <f aca="false">IF(ISNUMBER(C4517),MONTH(C4517),"")</f>
        <v/>
      </c>
      <c r="X4517" s="23" t="str">
        <f aca="false">IF(T4517="","",IF(T4517=0,"No discount",IF(T4517&lt;=0.2,"Low (1-20%)",IF(T4517&lt;=0.4,"Medium (21-40%)","High (&gt;40%)"))))</f>
        <v/>
      </c>
      <c r="Y4517" s="23" t="str">
        <f aca="false">IF(AND(ISNUMBER(C4517),ISNUMBER(D4517)),D4517-C4517,"")</f>
        <v/>
      </c>
      <c r="Z4517" s="23" t="str">
        <f aca="false">IF(B4517="","",IF(MATCH(B4517,$B$2:$B$12000,0)=ROW()-1,1,0))</f>
        <v/>
      </c>
    </row>
    <row r="4518" customFormat="false" ht="15" hidden="false" customHeight="false" outlineLevel="0" collapsed="false">
      <c r="V4518" s="23" t="str">
        <f aca="false">IF(ISNUMBER(C4518),YEAR(C4518),"")</f>
        <v/>
      </c>
      <c r="W4518" s="23" t="str">
        <f aca="false">IF(ISNUMBER(C4518),MONTH(C4518),"")</f>
        <v/>
      </c>
      <c r="X4518" s="23" t="str">
        <f aca="false">IF(T4518="","",IF(T4518=0,"No discount",IF(T4518&lt;=0.2,"Low (1-20%)",IF(T4518&lt;=0.4,"Medium (21-40%)","High (&gt;40%)"))))</f>
        <v/>
      </c>
      <c r="Y4518" s="23" t="str">
        <f aca="false">IF(AND(ISNUMBER(C4518),ISNUMBER(D4518)),D4518-C4518,"")</f>
        <v/>
      </c>
      <c r="Z4518" s="23" t="str">
        <f aca="false">IF(B4518="","",IF(MATCH(B4518,$B$2:$B$12000,0)=ROW()-1,1,0))</f>
        <v/>
      </c>
    </row>
    <row r="4519" customFormat="false" ht="15" hidden="false" customHeight="false" outlineLevel="0" collapsed="false">
      <c r="V4519" s="23" t="str">
        <f aca="false">IF(ISNUMBER(C4519),YEAR(C4519),"")</f>
        <v/>
      </c>
      <c r="W4519" s="23" t="str">
        <f aca="false">IF(ISNUMBER(C4519),MONTH(C4519),"")</f>
        <v/>
      </c>
      <c r="X4519" s="23" t="str">
        <f aca="false">IF(T4519="","",IF(T4519=0,"No discount",IF(T4519&lt;=0.2,"Low (1-20%)",IF(T4519&lt;=0.4,"Medium (21-40%)","High (&gt;40%)"))))</f>
        <v/>
      </c>
      <c r="Y4519" s="23" t="str">
        <f aca="false">IF(AND(ISNUMBER(C4519),ISNUMBER(D4519)),D4519-C4519,"")</f>
        <v/>
      </c>
      <c r="Z4519" s="23" t="str">
        <f aca="false">IF(B4519="","",IF(MATCH(B4519,$B$2:$B$12000,0)=ROW()-1,1,0))</f>
        <v/>
      </c>
    </row>
    <row r="4520" customFormat="false" ht="15" hidden="false" customHeight="false" outlineLevel="0" collapsed="false">
      <c r="V4520" s="23" t="str">
        <f aca="false">IF(ISNUMBER(C4520),YEAR(C4520),"")</f>
        <v/>
      </c>
      <c r="W4520" s="23" t="str">
        <f aca="false">IF(ISNUMBER(C4520),MONTH(C4520),"")</f>
        <v/>
      </c>
      <c r="X4520" s="23" t="str">
        <f aca="false">IF(T4520="","",IF(T4520=0,"No discount",IF(T4520&lt;=0.2,"Low (1-20%)",IF(T4520&lt;=0.4,"Medium (21-40%)","High (&gt;40%)"))))</f>
        <v/>
      </c>
      <c r="Y4520" s="23" t="str">
        <f aca="false">IF(AND(ISNUMBER(C4520),ISNUMBER(D4520)),D4520-C4520,"")</f>
        <v/>
      </c>
      <c r="Z4520" s="23" t="str">
        <f aca="false">IF(B4520="","",IF(MATCH(B4520,$B$2:$B$12000,0)=ROW()-1,1,0))</f>
        <v/>
      </c>
    </row>
    <row r="4521" customFormat="false" ht="15" hidden="false" customHeight="false" outlineLevel="0" collapsed="false">
      <c r="V4521" s="23" t="str">
        <f aca="false">IF(ISNUMBER(C4521),YEAR(C4521),"")</f>
        <v/>
      </c>
      <c r="W4521" s="23" t="str">
        <f aca="false">IF(ISNUMBER(C4521),MONTH(C4521),"")</f>
        <v/>
      </c>
      <c r="X4521" s="23" t="str">
        <f aca="false">IF(T4521="","",IF(T4521=0,"No discount",IF(T4521&lt;=0.2,"Low (1-20%)",IF(T4521&lt;=0.4,"Medium (21-40%)","High (&gt;40%)"))))</f>
        <v/>
      </c>
      <c r="Y4521" s="23" t="str">
        <f aca="false">IF(AND(ISNUMBER(C4521),ISNUMBER(D4521)),D4521-C4521,"")</f>
        <v/>
      </c>
      <c r="Z4521" s="23" t="str">
        <f aca="false">IF(B4521="","",IF(MATCH(B4521,$B$2:$B$12000,0)=ROW()-1,1,0))</f>
        <v/>
      </c>
    </row>
    <row r="4522" customFormat="false" ht="15" hidden="false" customHeight="false" outlineLevel="0" collapsed="false">
      <c r="V4522" s="23" t="str">
        <f aca="false">IF(ISNUMBER(C4522),YEAR(C4522),"")</f>
        <v/>
      </c>
      <c r="W4522" s="23" t="str">
        <f aca="false">IF(ISNUMBER(C4522),MONTH(C4522),"")</f>
        <v/>
      </c>
      <c r="X4522" s="23" t="str">
        <f aca="false">IF(T4522="","",IF(T4522=0,"No discount",IF(T4522&lt;=0.2,"Low (1-20%)",IF(T4522&lt;=0.4,"Medium (21-40%)","High (&gt;40%)"))))</f>
        <v/>
      </c>
      <c r="Y4522" s="23" t="str">
        <f aca="false">IF(AND(ISNUMBER(C4522),ISNUMBER(D4522)),D4522-C4522,"")</f>
        <v/>
      </c>
      <c r="Z4522" s="23" t="str">
        <f aca="false">IF(B4522="","",IF(MATCH(B4522,$B$2:$B$12000,0)=ROW()-1,1,0))</f>
        <v/>
      </c>
    </row>
    <row r="4523" customFormat="false" ht="15" hidden="false" customHeight="false" outlineLevel="0" collapsed="false">
      <c r="V4523" s="23" t="str">
        <f aca="false">IF(ISNUMBER(C4523),YEAR(C4523),"")</f>
        <v/>
      </c>
      <c r="W4523" s="23" t="str">
        <f aca="false">IF(ISNUMBER(C4523),MONTH(C4523),"")</f>
        <v/>
      </c>
      <c r="X4523" s="23" t="str">
        <f aca="false">IF(T4523="","",IF(T4523=0,"No discount",IF(T4523&lt;=0.2,"Low (1-20%)",IF(T4523&lt;=0.4,"Medium (21-40%)","High (&gt;40%)"))))</f>
        <v/>
      </c>
      <c r="Y4523" s="23" t="str">
        <f aca="false">IF(AND(ISNUMBER(C4523),ISNUMBER(D4523)),D4523-C4523,"")</f>
        <v/>
      </c>
      <c r="Z4523" s="23" t="str">
        <f aca="false">IF(B4523="","",IF(MATCH(B4523,$B$2:$B$12000,0)=ROW()-1,1,0))</f>
        <v/>
      </c>
    </row>
    <row r="4524" customFormat="false" ht="15" hidden="false" customHeight="false" outlineLevel="0" collapsed="false">
      <c r="V4524" s="23" t="str">
        <f aca="false">IF(ISNUMBER(C4524),YEAR(C4524),"")</f>
        <v/>
      </c>
      <c r="W4524" s="23" t="str">
        <f aca="false">IF(ISNUMBER(C4524),MONTH(C4524),"")</f>
        <v/>
      </c>
      <c r="X4524" s="23" t="str">
        <f aca="false">IF(T4524="","",IF(T4524=0,"No discount",IF(T4524&lt;=0.2,"Low (1-20%)",IF(T4524&lt;=0.4,"Medium (21-40%)","High (&gt;40%)"))))</f>
        <v/>
      </c>
      <c r="Y4524" s="23" t="str">
        <f aca="false">IF(AND(ISNUMBER(C4524),ISNUMBER(D4524)),D4524-C4524,"")</f>
        <v/>
      </c>
      <c r="Z4524" s="23" t="str">
        <f aca="false">IF(B4524="","",IF(MATCH(B4524,$B$2:$B$12000,0)=ROW()-1,1,0))</f>
        <v/>
      </c>
    </row>
    <row r="4525" customFormat="false" ht="15" hidden="false" customHeight="false" outlineLevel="0" collapsed="false">
      <c r="V4525" s="23" t="str">
        <f aca="false">IF(ISNUMBER(C4525),YEAR(C4525),"")</f>
        <v/>
      </c>
      <c r="W4525" s="23" t="str">
        <f aca="false">IF(ISNUMBER(C4525),MONTH(C4525),"")</f>
        <v/>
      </c>
      <c r="X4525" s="23" t="str">
        <f aca="false">IF(T4525="","",IF(T4525=0,"No discount",IF(T4525&lt;=0.2,"Low (1-20%)",IF(T4525&lt;=0.4,"Medium (21-40%)","High (&gt;40%)"))))</f>
        <v/>
      </c>
      <c r="Y4525" s="23" t="str">
        <f aca="false">IF(AND(ISNUMBER(C4525),ISNUMBER(D4525)),D4525-C4525,"")</f>
        <v/>
      </c>
      <c r="Z4525" s="23" t="str">
        <f aca="false">IF(B4525="","",IF(MATCH(B4525,$B$2:$B$12000,0)=ROW()-1,1,0))</f>
        <v/>
      </c>
    </row>
    <row r="4526" customFormat="false" ht="15" hidden="false" customHeight="false" outlineLevel="0" collapsed="false">
      <c r="V4526" s="23" t="str">
        <f aca="false">IF(ISNUMBER(C4526),YEAR(C4526),"")</f>
        <v/>
      </c>
      <c r="W4526" s="23" t="str">
        <f aca="false">IF(ISNUMBER(C4526),MONTH(C4526),"")</f>
        <v/>
      </c>
      <c r="X4526" s="23" t="str">
        <f aca="false">IF(T4526="","",IF(T4526=0,"No discount",IF(T4526&lt;=0.2,"Low (1-20%)",IF(T4526&lt;=0.4,"Medium (21-40%)","High (&gt;40%)"))))</f>
        <v/>
      </c>
      <c r="Y4526" s="23" t="str">
        <f aca="false">IF(AND(ISNUMBER(C4526),ISNUMBER(D4526)),D4526-C4526,"")</f>
        <v/>
      </c>
      <c r="Z4526" s="23" t="str">
        <f aca="false">IF(B4526="","",IF(MATCH(B4526,$B$2:$B$12000,0)=ROW()-1,1,0))</f>
        <v/>
      </c>
    </row>
    <row r="4527" customFormat="false" ht="15" hidden="false" customHeight="false" outlineLevel="0" collapsed="false">
      <c r="V4527" s="23" t="str">
        <f aca="false">IF(ISNUMBER(C4527),YEAR(C4527),"")</f>
        <v/>
      </c>
      <c r="W4527" s="23" t="str">
        <f aca="false">IF(ISNUMBER(C4527),MONTH(C4527),"")</f>
        <v/>
      </c>
      <c r="X4527" s="23" t="str">
        <f aca="false">IF(T4527="","",IF(T4527=0,"No discount",IF(T4527&lt;=0.2,"Low (1-20%)",IF(T4527&lt;=0.4,"Medium (21-40%)","High (&gt;40%)"))))</f>
        <v/>
      </c>
      <c r="Y4527" s="23" t="str">
        <f aca="false">IF(AND(ISNUMBER(C4527),ISNUMBER(D4527)),D4527-C4527,"")</f>
        <v/>
      </c>
      <c r="Z4527" s="23" t="str">
        <f aca="false">IF(B4527="","",IF(MATCH(B4527,$B$2:$B$12000,0)=ROW()-1,1,0))</f>
        <v/>
      </c>
    </row>
    <row r="4528" customFormat="false" ht="15" hidden="false" customHeight="false" outlineLevel="0" collapsed="false">
      <c r="V4528" s="23" t="str">
        <f aca="false">IF(ISNUMBER(C4528),YEAR(C4528),"")</f>
        <v/>
      </c>
      <c r="W4528" s="23" t="str">
        <f aca="false">IF(ISNUMBER(C4528),MONTH(C4528),"")</f>
        <v/>
      </c>
      <c r="X4528" s="23" t="str">
        <f aca="false">IF(T4528="","",IF(T4528=0,"No discount",IF(T4528&lt;=0.2,"Low (1-20%)",IF(T4528&lt;=0.4,"Medium (21-40%)","High (&gt;40%)"))))</f>
        <v/>
      </c>
      <c r="Y4528" s="23" t="str">
        <f aca="false">IF(AND(ISNUMBER(C4528),ISNUMBER(D4528)),D4528-C4528,"")</f>
        <v/>
      </c>
      <c r="Z4528" s="23" t="str">
        <f aca="false">IF(B4528="","",IF(MATCH(B4528,$B$2:$B$12000,0)=ROW()-1,1,0))</f>
        <v/>
      </c>
    </row>
    <row r="4529" customFormat="false" ht="15" hidden="false" customHeight="false" outlineLevel="0" collapsed="false">
      <c r="V4529" s="23" t="str">
        <f aca="false">IF(ISNUMBER(C4529),YEAR(C4529),"")</f>
        <v/>
      </c>
      <c r="W4529" s="23" t="str">
        <f aca="false">IF(ISNUMBER(C4529),MONTH(C4529),"")</f>
        <v/>
      </c>
      <c r="X4529" s="23" t="str">
        <f aca="false">IF(T4529="","",IF(T4529=0,"No discount",IF(T4529&lt;=0.2,"Low (1-20%)",IF(T4529&lt;=0.4,"Medium (21-40%)","High (&gt;40%)"))))</f>
        <v/>
      </c>
      <c r="Y4529" s="23" t="str">
        <f aca="false">IF(AND(ISNUMBER(C4529),ISNUMBER(D4529)),D4529-C4529,"")</f>
        <v/>
      </c>
      <c r="Z4529" s="23" t="str">
        <f aca="false">IF(B4529="","",IF(MATCH(B4529,$B$2:$B$12000,0)=ROW()-1,1,0))</f>
        <v/>
      </c>
    </row>
    <row r="4530" customFormat="false" ht="15" hidden="false" customHeight="false" outlineLevel="0" collapsed="false">
      <c r="V4530" s="23" t="str">
        <f aca="false">IF(ISNUMBER(C4530),YEAR(C4530),"")</f>
        <v/>
      </c>
      <c r="W4530" s="23" t="str">
        <f aca="false">IF(ISNUMBER(C4530),MONTH(C4530),"")</f>
        <v/>
      </c>
      <c r="X4530" s="23" t="str">
        <f aca="false">IF(T4530="","",IF(T4530=0,"No discount",IF(T4530&lt;=0.2,"Low (1-20%)",IF(T4530&lt;=0.4,"Medium (21-40%)","High (&gt;40%)"))))</f>
        <v/>
      </c>
      <c r="Y4530" s="23" t="str">
        <f aca="false">IF(AND(ISNUMBER(C4530),ISNUMBER(D4530)),D4530-C4530,"")</f>
        <v/>
      </c>
      <c r="Z4530" s="23" t="str">
        <f aca="false">IF(B4530="","",IF(MATCH(B4530,$B$2:$B$12000,0)=ROW()-1,1,0))</f>
        <v/>
      </c>
    </row>
    <row r="4531" customFormat="false" ht="15" hidden="false" customHeight="false" outlineLevel="0" collapsed="false">
      <c r="V4531" s="23" t="str">
        <f aca="false">IF(ISNUMBER(C4531),YEAR(C4531),"")</f>
        <v/>
      </c>
      <c r="W4531" s="23" t="str">
        <f aca="false">IF(ISNUMBER(C4531),MONTH(C4531),"")</f>
        <v/>
      </c>
      <c r="X4531" s="23" t="str">
        <f aca="false">IF(T4531="","",IF(T4531=0,"No discount",IF(T4531&lt;=0.2,"Low (1-20%)",IF(T4531&lt;=0.4,"Medium (21-40%)","High (&gt;40%)"))))</f>
        <v/>
      </c>
      <c r="Y4531" s="23" t="str">
        <f aca="false">IF(AND(ISNUMBER(C4531),ISNUMBER(D4531)),D4531-C4531,"")</f>
        <v/>
      </c>
      <c r="Z4531" s="23" t="str">
        <f aca="false">IF(B4531="","",IF(MATCH(B4531,$B$2:$B$12000,0)=ROW()-1,1,0))</f>
        <v/>
      </c>
    </row>
    <row r="4532" customFormat="false" ht="15" hidden="false" customHeight="false" outlineLevel="0" collapsed="false">
      <c r="V4532" s="23" t="str">
        <f aca="false">IF(ISNUMBER(C4532),YEAR(C4532),"")</f>
        <v/>
      </c>
      <c r="W4532" s="23" t="str">
        <f aca="false">IF(ISNUMBER(C4532),MONTH(C4532),"")</f>
        <v/>
      </c>
      <c r="X4532" s="23" t="str">
        <f aca="false">IF(T4532="","",IF(T4532=0,"No discount",IF(T4532&lt;=0.2,"Low (1-20%)",IF(T4532&lt;=0.4,"Medium (21-40%)","High (&gt;40%)"))))</f>
        <v/>
      </c>
      <c r="Y4532" s="23" t="str">
        <f aca="false">IF(AND(ISNUMBER(C4532),ISNUMBER(D4532)),D4532-C4532,"")</f>
        <v/>
      </c>
      <c r="Z4532" s="23" t="str">
        <f aca="false">IF(B4532="","",IF(MATCH(B4532,$B$2:$B$12000,0)=ROW()-1,1,0))</f>
        <v/>
      </c>
    </row>
    <row r="4533" customFormat="false" ht="15" hidden="false" customHeight="false" outlineLevel="0" collapsed="false">
      <c r="V4533" s="23" t="str">
        <f aca="false">IF(ISNUMBER(C4533),YEAR(C4533),"")</f>
        <v/>
      </c>
      <c r="W4533" s="23" t="str">
        <f aca="false">IF(ISNUMBER(C4533),MONTH(C4533),"")</f>
        <v/>
      </c>
      <c r="X4533" s="23" t="str">
        <f aca="false">IF(T4533="","",IF(T4533=0,"No discount",IF(T4533&lt;=0.2,"Low (1-20%)",IF(T4533&lt;=0.4,"Medium (21-40%)","High (&gt;40%)"))))</f>
        <v/>
      </c>
      <c r="Y4533" s="23" t="str">
        <f aca="false">IF(AND(ISNUMBER(C4533),ISNUMBER(D4533)),D4533-C4533,"")</f>
        <v/>
      </c>
      <c r="Z4533" s="23" t="str">
        <f aca="false">IF(B4533="","",IF(MATCH(B4533,$B$2:$B$12000,0)=ROW()-1,1,0))</f>
        <v/>
      </c>
    </row>
    <row r="4534" customFormat="false" ht="15" hidden="false" customHeight="false" outlineLevel="0" collapsed="false">
      <c r="V4534" s="23" t="str">
        <f aca="false">IF(ISNUMBER(C4534),YEAR(C4534),"")</f>
        <v/>
      </c>
      <c r="W4534" s="23" t="str">
        <f aca="false">IF(ISNUMBER(C4534),MONTH(C4534),"")</f>
        <v/>
      </c>
      <c r="X4534" s="23" t="str">
        <f aca="false">IF(T4534="","",IF(T4534=0,"No discount",IF(T4534&lt;=0.2,"Low (1-20%)",IF(T4534&lt;=0.4,"Medium (21-40%)","High (&gt;40%)"))))</f>
        <v/>
      </c>
      <c r="Y4534" s="23" t="str">
        <f aca="false">IF(AND(ISNUMBER(C4534),ISNUMBER(D4534)),D4534-C4534,"")</f>
        <v/>
      </c>
      <c r="Z4534" s="23" t="str">
        <f aca="false">IF(B4534="","",IF(MATCH(B4534,$B$2:$B$12000,0)=ROW()-1,1,0))</f>
        <v/>
      </c>
    </row>
    <row r="4535" customFormat="false" ht="15" hidden="false" customHeight="false" outlineLevel="0" collapsed="false">
      <c r="V4535" s="23" t="str">
        <f aca="false">IF(ISNUMBER(C4535),YEAR(C4535),"")</f>
        <v/>
      </c>
      <c r="W4535" s="23" t="str">
        <f aca="false">IF(ISNUMBER(C4535),MONTH(C4535),"")</f>
        <v/>
      </c>
      <c r="X4535" s="23" t="str">
        <f aca="false">IF(T4535="","",IF(T4535=0,"No discount",IF(T4535&lt;=0.2,"Low (1-20%)",IF(T4535&lt;=0.4,"Medium (21-40%)","High (&gt;40%)"))))</f>
        <v/>
      </c>
      <c r="Y4535" s="23" t="str">
        <f aca="false">IF(AND(ISNUMBER(C4535),ISNUMBER(D4535)),D4535-C4535,"")</f>
        <v/>
      </c>
      <c r="Z4535" s="23" t="str">
        <f aca="false">IF(B4535="","",IF(MATCH(B4535,$B$2:$B$12000,0)=ROW()-1,1,0))</f>
        <v/>
      </c>
    </row>
    <row r="4536" customFormat="false" ht="15" hidden="false" customHeight="false" outlineLevel="0" collapsed="false">
      <c r="V4536" s="23" t="str">
        <f aca="false">IF(ISNUMBER(C4536),YEAR(C4536),"")</f>
        <v/>
      </c>
      <c r="W4536" s="23" t="str">
        <f aca="false">IF(ISNUMBER(C4536),MONTH(C4536),"")</f>
        <v/>
      </c>
      <c r="X4536" s="23" t="str">
        <f aca="false">IF(T4536="","",IF(T4536=0,"No discount",IF(T4536&lt;=0.2,"Low (1-20%)",IF(T4536&lt;=0.4,"Medium (21-40%)","High (&gt;40%)"))))</f>
        <v/>
      </c>
      <c r="Y4536" s="23" t="str">
        <f aca="false">IF(AND(ISNUMBER(C4536),ISNUMBER(D4536)),D4536-C4536,"")</f>
        <v/>
      </c>
      <c r="Z4536" s="23" t="str">
        <f aca="false">IF(B4536="","",IF(MATCH(B4536,$B$2:$B$12000,0)=ROW()-1,1,0))</f>
        <v/>
      </c>
    </row>
    <row r="4537" customFormat="false" ht="15" hidden="false" customHeight="false" outlineLevel="0" collapsed="false">
      <c r="V4537" s="23" t="str">
        <f aca="false">IF(ISNUMBER(C4537),YEAR(C4537),"")</f>
        <v/>
      </c>
      <c r="W4537" s="23" t="str">
        <f aca="false">IF(ISNUMBER(C4537),MONTH(C4537),"")</f>
        <v/>
      </c>
      <c r="X4537" s="23" t="str">
        <f aca="false">IF(T4537="","",IF(T4537=0,"No discount",IF(T4537&lt;=0.2,"Low (1-20%)",IF(T4537&lt;=0.4,"Medium (21-40%)","High (&gt;40%)"))))</f>
        <v/>
      </c>
      <c r="Y4537" s="23" t="str">
        <f aca="false">IF(AND(ISNUMBER(C4537),ISNUMBER(D4537)),D4537-C4537,"")</f>
        <v/>
      </c>
      <c r="Z4537" s="23" t="str">
        <f aca="false">IF(B4537="","",IF(MATCH(B4537,$B$2:$B$12000,0)=ROW()-1,1,0))</f>
        <v/>
      </c>
    </row>
    <row r="4538" customFormat="false" ht="15" hidden="false" customHeight="false" outlineLevel="0" collapsed="false">
      <c r="V4538" s="23" t="str">
        <f aca="false">IF(ISNUMBER(C4538),YEAR(C4538),"")</f>
        <v/>
      </c>
      <c r="W4538" s="23" t="str">
        <f aca="false">IF(ISNUMBER(C4538),MONTH(C4538),"")</f>
        <v/>
      </c>
      <c r="X4538" s="23" t="str">
        <f aca="false">IF(T4538="","",IF(T4538=0,"No discount",IF(T4538&lt;=0.2,"Low (1-20%)",IF(T4538&lt;=0.4,"Medium (21-40%)","High (&gt;40%)"))))</f>
        <v/>
      </c>
      <c r="Y4538" s="23" t="str">
        <f aca="false">IF(AND(ISNUMBER(C4538),ISNUMBER(D4538)),D4538-C4538,"")</f>
        <v/>
      </c>
      <c r="Z4538" s="23" t="str">
        <f aca="false">IF(B4538="","",IF(MATCH(B4538,$B$2:$B$12000,0)=ROW()-1,1,0))</f>
        <v/>
      </c>
    </row>
    <row r="4539" customFormat="false" ht="15" hidden="false" customHeight="false" outlineLevel="0" collapsed="false">
      <c r="V4539" s="23" t="str">
        <f aca="false">IF(ISNUMBER(C4539),YEAR(C4539),"")</f>
        <v/>
      </c>
      <c r="W4539" s="23" t="str">
        <f aca="false">IF(ISNUMBER(C4539),MONTH(C4539),"")</f>
        <v/>
      </c>
      <c r="X4539" s="23" t="str">
        <f aca="false">IF(T4539="","",IF(T4539=0,"No discount",IF(T4539&lt;=0.2,"Low (1-20%)",IF(T4539&lt;=0.4,"Medium (21-40%)","High (&gt;40%)"))))</f>
        <v/>
      </c>
      <c r="Y4539" s="23" t="str">
        <f aca="false">IF(AND(ISNUMBER(C4539),ISNUMBER(D4539)),D4539-C4539,"")</f>
        <v/>
      </c>
      <c r="Z4539" s="23" t="str">
        <f aca="false">IF(B4539="","",IF(MATCH(B4539,$B$2:$B$12000,0)=ROW()-1,1,0))</f>
        <v/>
      </c>
    </row>
    <row r="4540" customFormat="false" ht="15" hidden="false" customHeight="false" outlineLevel="0" collapsed="false">
      <c r="V4540" s="23" t="str">
        <f aca="false">IF(ISNUMBER(C4540),YEAR(C4540),"")</f>
        <v/>
      </c>
      <c r="W4540" s="23" t="str">
        <f aca="false">IF(ISNUMBER(C4540),MONTH(C4540),"")</f>
        <v/>
      </c>
      <c r="X4540" s="23" t="str">
        <f aca="false">IF(T4540="","",IF(T4540=0,"No discount",IF(T4540&lt;=0.2,"Low (1-20%)",IF(T4540&lt;=0.4,"Medium (21-40%)","High (&gt;40%)"))))</f>
        <v/>
      </c>
      <c r="Y4540" s="23" t="str">
        <f aca="false">IF(AND(ISNUMBER(C4540),ISNUMBER(D4540)),D4540-C4540,"")</f>
        <v/>
      </c>
      <c r="Z4540" s="23" t="str">
        <f aca="false">IF(B4540="","",IF(MATCH(B4540,$B$2:$B$12000,0)=ROW()-1,1,0))</f>
        <v/>
      </c>
    </row>
    <row r="4541" customFormat="false" ht="15" hidden="false" customHeight="false" outlineLevel="0" collapsed="false">
      <c r="V4541" s="23" t="str">
        <f aca="false">IF(ISNUMBER(C4541),YEAR(C4541),"")</f>
        <v/>
      </c>
      <c r="W4541" s="23" t="str">
        <f aca="false">IF(ISNUMBER(C4541),MONTH(C4541),"")</f>
        <v/>
      </c>
      <c r="X4541" s="23" t="str">
        <f aca="false">IF(T4541="","",IF(T4541=0,"No discount",IF(T4541&lt;=0.2,"Low (1-20%)",IF(T4541&lt;=0.4,"Medium (21-40%)","High (&gt;40%)"))))</f>
        <v/>
      </c>
      <c r="Y4541" s="23" t="str">
        <f aca="false">IF(AND(ISNUMBER(C4541),ISNUMBER(D4541)),D4541-C4541,"")</f>
        <v/>
      </c>
      <c r="Z4541" s="23" t="str">
        <f aca="false">IF(B4541="","",IF(MATCH(B4541,$B$2:$B$12000,0)=ROW()-1,1,0))</f>
        <v/>
      </c>
    </row>
    <row r="4542" customFormat="false" ht="15" hidden="false" customHeight="false" outlineLevel="0" collapsed="false">
      <c r="V4542" s="23" t="str">
        <f aca="false">IF(ISNUMBER(C4542),YEAR(C4542),"")</f>
        <v/>
      </c>
      <c r="W4542" s="23" t="str">
        <f aca="false">IF(ISNUMBER(C4542),MONTH(C4542),"")</f>
        <v/>
      </c>
      <c r="X4542" s="23" t="str">
        <f aca="false">IF(T4542="","",IF(T4542=0,"No discount",IF(T4542&lt;=0.2,"Low (1-20%)",IF(T4542&lt;=0.4,"Medium (21-40%)","High (&gt;40%)"))))</f>
        <v/>
      </c>
      <c r="Y4542" s="23" t="str">
        <f aca="false">IF(AND(ISNUMBER(C4542),ISNUMBER(D4542)),D4542-C4542,"")</f>
        <v/>
      </c>
      <c r="Z4542" s="23" t="str">
        <f aca="false">IF(B4542="","",IF(MATCH(B4542,$B$2:$B$12000,0)=ROW()-1,1,0))</f>
        <v/>
      </c>
    </row>
    <row r="4543" customFormat="false" ht="15" hidden="false" customHeight="false" outlineLevel="0" collapsed="false">
      <c r="V4543" s="23" t="str">
        <f aca="false">IF(ISNUMBER(C4543),YEAR(C4543),"")</f>
        <v/>
      </c>
      <c r="W4543" s="23" t="str">
        <f aca="false">IF(ISNUMBER(C4543),MONTH(C4543),"")</f>
        <v/>
      </c>
      <c r="X4543" s="23" t="str">
        <f aca="false">IF(T4543="","",IF(T4543=0,"No discount",IF(T4543&lt;=0.2,"Low (1-20%)",IF(T4543&lt;=0.4,"Medium (21-40%)","High (&gt;40%)"))))</f>
        <v/>
      </c>
      <c r="Y4543" s="23" t="str">
        <f aca="false">IF(AND(ISNUMBER(C4543),ISNUMBER(D4543)),D4543-C4543,"")</f>
        <v/>
      </c>
      <c r="Z4543" s="23" t="str">
        <f aca="false">IF(B4543="","",IF(MATCH(B4543,$B$2:$B$12000,0)=ROW()-1,1,0))</f>
        <v/>
      </c>
    </row>
    <row r="4544" customFormat="false" ht="15" hidden="false" customHeight="false" outlineLevel="0" collapsed="false">
      <c r="V4544" s="23" t="str">
        <f aca="false">IF(ISNUMBER(C4544),YEAR(C4544),"")</f>
        <v/>
      </c>
      <c r="W4544" s="23" t="str">
        <f aca="false">IF(ISNUMBER(C4544),MONTH(C4544),"")</f>
        <v/>
      </c>
      <c r="X4544" s="23" t="str">
        <f aca="false">IF(T4544="","",IF(T4544=0,"No discount",IF(T4544&lt;=0.2,"Low (1-20%)",IF(T4544&lt;=0.4,"Medium (21-40%)","High (&gt;40%)"))))</f>
        <v/>
      </c>
      <c r="Y4544" s="23" t="str">
        <f aca="false">IF(AND(ISNUMBER(C4544),ISNUMBER(D4544)),D4544-C4544,"")</f>
        <v/>
      </c>
      <c r="Z4544" s="23" t="str">
        <f aca="false">IF(B4544="","",IF(MATCH(B4544,$B$2:$B$12000,0)=ROW()-1,1,0))</f>
        <v/>
      </c>
    </row>
    <row r="4545" customFormat="false" ht="15" hidden="false" customHeight="false" outlineLevel="0" collapsed="false">
      <c r="V4545" s="23" t="str">
        <f aca="false">IF(ISNUMBER(C4545),YEAR(C4545),"")</f>
        <v/>
      </c>
      <c r="W4545" s="23" t="str">
        <f aca="false">IF(ISNUMBER(C4545),MONTH(C4545),"")</f>
        <v/>
      </c>
      <c r="X4545" s="23" t="str">
        <f aca="false">IF(T4545="","",IF(T4545=0,"No discount",IF(T4545&lt;=0.2,"Low (1-20%)",IF(T4545&lt;=0.4,"Medium (21-40%)","High (&gt;40%)"))))</f>
        <v/>
      </c>
      <c r="Y4545" s="23" t="str">
        <f aca="false">IF(AND(ISNUMBER(C4545),ISNUMBER(D4545)),D4545-C4545,"")</f>
        <v/>
      </c>
      <c r="Z4545" s="23" t="str">
        <f aca="false">IF(B4545="","",IF(MATCH(B4545,$B$2:$B$12000,0)=ROW()-1,1,0))</f>
        <v/>
      </c>
    </row>
    <row r="4546" customFormat="false" ht="15" hidden="false" customHeight="false" outlineLevel="0" collapsed="false">
      <c r="V4546" s="23" t="str">
        <f aca="false">IF(ISNUMBER(C4546),YEAR(C4546),"")</f>
        <v/>
      </c>
      <c r="W4546" s="23" t="str">
        <f aca="false">IF(ISNUMBER(C4546),MONTH(C4546),"")</f>
        <v/>
      </c>
      <c r="X4546" s="23" t="str">
        <f aca="false">IF(T4546="","",IF(T4546=0,"No discount",IF(T4546&lt;=0.2,"Low (1-20%)",IF(T4546&lt;=0.4,"Medium (21-40%)","High (&gt;40%)"))))</f>
        <v/>
      </c>
      <c r="Y4546" s="23" t="str">
        <f aca="false">IF(AND(ISNUMBER(C4546),ISNUMBER(D4546)),D4546-C4546,"")</f>
        <v/>
      </c>
      <c r="Z4546" s="23" t="str">
        <f aca="false">IF(B4546="","",IF(MATCH(B4546,$B$2:$B$12000,0)=ROW()-1,1,0))</f>
        <v/>
      </c>
    </row>
    <row r="4547" customFormat="false" ht="15" hidden="false" customHeight="false" outlineLevel="0" collapsed="false">
      <c r="V4547" s="23" t="str">
        <f aca="false">IF(ISNUMBER(C4547),YEAR(C4547),"")</f>
        <v/>
      </c>
      <c r="W4547" s="23" t="str">
        <f aca="false">IF(ISNUMBER(C4547),MONTH(C4547),"")</f>
        <v/>
      </c>
      <c r="X4547" s="23" t="str">
        <f aca="false">IF(T4547="","",IF(T4547=0,"No discount",IF(T4547&lt;=0.2,"Low (1-20%)",IF(T4547&lt;=0.4,"Medium (21-40%)","High (&gt;40%)"))))</f>
        <v/>
      </c>
      <c r="Y4547" s="23" t="str">
        <f aca="false">IF(AND(ISNUMBER(C4547),ISNUMBER(D4547)),D4547-C4547,"")</f>
        <v/>
      </c>
      <c r="Z4547" s="23" t="str">
        <f aca="false">IF(B4547="","",IF(MATCH(B4547,$B$2:$B$12000,0)=ROW()-1,1,0))</f>
        <v/>
      </c>
    </row>
    <row r="4548" customFormat="false" ht="15" hidden="false" customHeight="false" outlineLevel="0" collapsed="false">
      <c r="V4548" s="23" t="str">
        <f aca="false">IF(ISNUMBER(C4548),YEAR(C4548),"")</f>
        <v/>
      </c>
      <c r="W4548" s="23" t="str">
        <f aca="false">IF(ISNUMBER(C4548),MONTH(C4548),"")</f>
        <v/>
      </c>
      <c r="X4548" s="23" t="str">
        <f aca="false">IF(T4548="","",IF(T4548=0,"No discount",IF(T4548&lt;=0.2,"Low (1-20%)",IF(T4548&lt;=0.4,"Medium (21-40%)","High (&gt;40%)"))))</f>
        <v/>
      </c>
      <c r="Y4548" s="23" t="str">
        <f aca="false">IF(AND(ISNUMBER(C4548),ISNUMBER(D4548)),D4548-C4548,"")</f>
        <v/>
      </c>
      <c r="Z4548" s="23" t="str">
        <f aca="false">IF(B4548="","",IF(MATCH(B4548,$B$2:$B$12000,0)=ROW()-1,1,0))</f>
        <v/>
      </c>
    </row>
    <row r="4549" customFormat="false" ht="15" hidden="false" customHeight="false" outlineLevel="0" collapsed="false">
      <c r="V4549" s="23" t="str">
        <f aca="false">IF(ISNUMBER(C4549),YEAR(C4549),"")</f>
        <v/>
      </c>
      <c r="W4549" s="23" t="str">
        <f aca="false">IF(ISNUMBER(C4549),MONTH(C4549),"")</f>
        <v/>
      </c>
      <c r="X4549" s="23" t="str">
        <f aca="false">IF(T4549="","",IF(T4549=0,"No discount",IF(T4549&lt;=0.2,"Low (1-20%)",IF(T4549&lt;=0.4,"Medium (21-40%)","High (&gt;40%)"))))</f>
        <v/>
      </c>
      <c r="Y4549" s="23" t="str">
        <f aca="false">IF(AND(ISNUMBER(C4549),ISNUMBER(D4549)),D4549-C4549,"")</f>
        <v/>
      </c>
      <c r="Z4549" s="23" t="str">
        <f aca="false">IF(B4549="","",IF(MATCH(B4549,$B$2:$B$12000,0)=ROW()-1,1,0))</f>
        <v/>
      </c>
    </row>
    <row r="4550" customFormat="false" ht="15" hidden="false" customHeight="false" outlineLevel="0" collapsed="false">
      <c r="V4550" s="23" t="str">
        <f aca="false">IF(ISNUMBER(C4550),YEAR(C4550),"")</f>
        <v/>
      </c>
      <c r="W4550" s="23" t="str">
        <f aca="false">IF(ISNUMBER(C4550),MONTH(C4550),"")</f>
        <v/>
      </c>
      <c r="X4550" s="23" t="str">
        <f aca="false">IF(T4550="","",IF(T4550=0,"No discount",IF(T4550&lt;=0.2,"Low (1-20%)",IF(T4550&lt;=0.4,"Medium (21-40%)","High (&gt;40%)"))))</f>
        <v/>
      </c>
      <c r="Y4550" s="23" t="str">
        <f aca="false">IF(AND(ISNUMBER(C4550),ISNUMBER(D4550)),D4550-C4550,"")</f>
        <v/>
      </c>
      <c r="Z4550" s="23" t="str">
        <f aca="false">IF(B4550="","",IF(MATCH(B4550,$B$2:$B$12000,0)=ROW()-1,1,0))</f>
        <v/>
      </c>
    </row>
    <row r="4551" customFormat="false" ht="15" hidden="false" customHeight="false" outlineLevel="0" collapsed="false">
      <c r="V4551" s="23" t="str">
        <f aca="false">IF(ISNUMBER(C4551),YEAR(C4551),"")</f>
        <v/>
      </c>
      <c r="W4551" s="23" t="str">
        <f aca="false">IF(ISNUMBER(C4551),MONTH(C4551),"")</f>
        <v/>
      </c>
      <c r="X4551" s="23" t="str">
        <f aca="false">IF(T4551="","",IF(T4551=0,"No discount",IF(T4551&lt;=0.2,"Low (1-20%)",IF(T4551&lt;=0.4,"Medium (21-40%)","High (&gt;40%)"))))</f>
        <v/>
      </c>
      <c r="Y4551" s="23" t="str">
        <f aca="false">IF(AND(ISNUMBER(C4551),ISNUMBER(D4551)),D4551-C4551,"")</f>
        <v/>
      </c>
      <c r="Z4551" s="23" t="str">
        <f aca="false">IF(B4551="","",IF(MATCH(B4551,$B$2:$B$12000,0)=ROW()-1,1,0))</f>
        <v/>
      </c>
    </row>
    <row r="4552" customFormat="false" ht="15" hidden="false" customHeight="false" outlineLevel="0" collapsed="false">
      <c r="V4552" s="23" t="str">
        <f aca="false">IF(ISNUMBER(C4552),YEAR(C4552),"")</f>
        <v/>
      </c>
      <c r="W4552" s="23" t="str">
        <f aca="false">IF(ISNUMBER(C4552),MONTH(C4552),"")</f>
        <v/>
      </c>
      <c r="X4552" s="23" t="str">
        <f aca="false">IF(T4552="","",IF(T4552=0,"No discount",IF(T4552&lt;=0.2,"Low (1-20%)",IF(T4552&lt;=0.4,"Medium (21-40%)","High (&gt;40%)"))))</f>
        <v/>
      </c>
      <c r="Y4552" s="23" t="str">
        <f aca="false">IF(AND(ISNUMBER(C4552),ISNUMBER(D4552)),D4552-C4552,"")</f>
        <v/>
      </c>
      <c r="Z4552" s="23" t="str">
        <f aca="false">IF(B4552="","",IF(MATCH(B4552,$B$2:$B$12000,0)=ROW()-1,1,0))</f>
        <v/>
      </c>
    </row>
    <row r="4553" customFormat="false" ht="15" hidden="false" customHeight="false" outlineLevel="0" collapsed="false">
      <c r="V4553" s="23" t="str">
        <f aca="false">IF(ISNUMBER(C4553),YEAR(C4553),"")</f>
        <v/>
      </c>
      <c r="W4553" s="23" t="str">
        <f aca="false">IF(ISNUMBER(C4553),MONTH(C4553),"")</f>
        <v/>
      </c>
      <c r="X4553" s="23" t="str">
        <f aca="false">IF(T4553="","",IF(T4553=0,"No discount",IF(T4553&lt;=0.2,"Low (1-20%)",IF(T4553&lt;=0.4,"Medium (21-40%)","High (&gt;40%)"))))</f>
        <v/>
      </c>
      <c r="Y4553" s="23" t="str">
        <f aca="false">IF(AND(ISNUMBER(C4553),ISNUMBER(D4553)),D4553-C4553,"")</f>
        <v/>
      </c>
      <c r="Z4553" s="23" t="str">
        <f aca="false">IF(B4553="","",IF(MATCH(B4553,$B$2:$B$12000,0)=ROW()-1,1,0))</f>
        <v/>
      </c>
    </row>
    <row r="4554" customFormat="false" ht="15" hidden="false" customHeight="false" outlineLevel="0" collapsed="false">
      <c r="V4554" s="23" t="str">
        <f aca="false">IF(ISNUMBER(C4554),YEAR(C4554),"")</f>
        <v/>
      </c>
      <c r="W4554" s="23" t="str">
        <f aca="false">IF(ISNUMBER(C4554),MONTH(C4554),"")</f>
        <v/>
      </c>
      <c r="X4554" s="23" t="str">
        <f aca="false">IF(T4554="","",IF(T4554=0,"No discount",IF(T4554&lt;=0.2,"Low (1-20%)",IF(T4554&lt;=0.4,"Medium (21-40%)","High (&gt;40%)"))))</f>
        <v/>
      </c>
      <c r="Y4554" s="23" t="str">
        <f aca="false">IF(AND(ISNUMBER(C4554),ISNUMBER(D4554)),D4554-C4554,"")</f>
        <v/>
      </c>
      <c r="Z4554" s="23" t="str">
        <f aca="false">IF(B4554="","",IF(MATCH(B4554,$B$2:$B$12000,0)=ROW()-1,1,0))</f>
        <v/>
      </c>
    </row>
    <row r="4555" customFormat="false" ht="15" hidden="false" customHeight="false" outlineLevel="0" collapsed="false">
      <c r="V4555" s="23" t="str">
        <f aca="false">IF(ISNUMBER(C4555),YEAR(C4555),"")</f>
        <v/>
      </c>
      <c r="W4555" s="23" t="str">
        <f aca="false">IF(ISNUMBER(C4555),MONTH(C4555),"")</f>
        <v/>
      </c>
      <c r="X4555" s="23" t="str">
        <f aca="false">IF(T4555="","",IF(T4555=0,"No discount",IF(T4555&lt;=0.2,"Low (1-20%)",IF(T4555&lt;=0.4,"Medium (21-40%)","High (&gt;40%)"))))</f>
        <v/>
      </c>
      <c r="Y4555" s="23" t="str">
        <f aca="false">IF(AND(ISNUMBER(C4555),ISNUMBER(D4555)),D4555-C4555,"")</f>
        <v/>
      </c>
      <c r="Z4555" s="23" t="str">
        <f aca="false">IF(B4555="","",IF(MATCH(B4555,$B$2:$B$12000,0)=ROW()-1,1,0))</f>
        <v/>
      </c>
    </row>
    <row r="4556" customFormat="false" ht="15" hidden="false" customHeight="false" outlineLevel="0" collapsed="false">
      <c r="V4556" s="23" t="str">
        <f aca="false">IF(ISNUMBER(C4556),YEAR(C4556),"")</f>
        <v/>
      </c>
      <c r="W4556" s="23" t="str">
        <f aca="false">IF(ISNUMBER(C4556),MONTH(C4556),"")</f>
        <v/>
      </c>
      <c r="X4556" s="23" t="str">
        <f aca="false">IF(T4556="","",IF(T4556=0,"No discount",IF(T4556&lt;=0.2,"Low (1-20%)",IF(T4556&lt;=0.4,"Medium (21-40%)","High (&gt;40%)"))))</f>
        <v/>
      </c>
      <c r="Y4556" s="23" t="str">
        <f aca="false">IF(AND(ISNUMBER(C4556),ISNUMBER(D4556)),D4556-C4556,"")</f>
        <v/>
      </c>
      <c r="Z4556" s="23" t="str">
        <f aca="false">IF(B4556="","",IF(MATCH(B4556,$B$2:$B$12000,0)=ROW()-1,1,0))</f>
        <v/>
      </c>
    </row>
    <row r="4557" customFormat="false" ht="15" hidden="false" customHeight="false" outlineLevel="0" collapsed="false">
      <c r="V4557" s="23" t="str">
        <f aca="false">IF(ISNUMBER(C4557),YEAR(C4557),"")</f>
        <v/>
      </c>
      <c r="W4557" s="23" t="str">
        <f aca="false">IF(ISNUMBER(C4557),MONTH(C4557),"")</f>
        <v/>
      </c>
      <c r="X4557" s="23" t="str">
        <f aca="false">IF(T4557="","",IF(T4557=0,"No discount",IF(T4557&lt;=0.2,"Low (1-20%)",IF(T4557&lt;=0.4,"Medium (21-40%)","High (&gt;40%)"))))</f>
        <v/>
      </c>
      <c r="Y4557" s="23" t="str">
        <f aca="false">IF(AND(ISNUMBER(C4557),ISNUMBER(D4557)),D4557-C4557,"")</f>
        <v/>
      </c>
      <c r="Z4557" s="23" t="str">
        <f aca="false">IF(B4557="","",IF(MATCH(B4557,$B$2:$B$12000,0)=ROW()-1,1,0))</f>
        <v/>
      </c>
    </row>
    <row r="4558" customFormat="false" ht="15" hidden="false" customHeight="false" outlineLevel="0" collapsed="false">
      <c r="V4558" s="23" t="str">
        <f aca="false">IF(ISNUMBER(C4558),YEAR(C4558),"")</f>
        <v/>
      </c>
      <c r="W4558" s="23" t="str">
        <f aca="false">IF(ISNUMBER(C4558),MONTH(C4558),"")</f>
        <v/>
      </c>
      <c r="X4558" s="23" t="str">
        <f aca="false">IF(T4558="","",IF(T4558=0,"No discount",IF(T4558&lt;=0.2,"Low (1-20%)",IF(T4558&lt;=0.4,"Medium (21-40%)","High (&gt;40%)"))))</f>
        <v/>
      </c>
      <c r="Y4558" s="23" t="str">
        <f aca="false">IF(AND(ISNUMBER(C4558),ISNUMBER(D4558)),D4558-C4558,"")</f>
        <v/>
      </c>
      <c r="Z4558" s="23" t="str">
        <f aca="false">IF(B4558="","",IF(MATCH(B4558,$B$2:$B$12000,0)=ROW()-1,1,0))</f>
        <v/>
      </c>
    </row>
    <row r="4559" customFormat="false" ht="15" hidden="false" customHeight="false" outlineLevel="0" collapsed="false">
      <c r="V4559" s="23" t="str">
        <f aca="false">IF(ISNUMBER(C4559),YEAR(C4559),"")</f>
        <v/>
      </c>
      <c r="W4559" s="23" t="str">
        <f aca="false">IF(ISNUMBER(C4559),MONTH(C4559),"")</f>
        <v/>
      </c>
      <c r="X4559" s="23" t="str">
        <f aca="false">IF(T4559="","",IF(T4559=0,"No discount",IF(T4559&lt;=0.2,"Low (1-20%)",IF(T4559&lt;=0.4,"Medium (21-40%)","High (&gt;40%)"))))</f>
        <v/>
      </c>
      <c r="Y4559" s="23" t="str">
        <f aca="false">IF(AND(ISNUMBER(C4559),ISNUMBER(D4559)),D4559-C4559,"")</f>
        <v/>
      </c>
      <c r="Z4559" s="23" t="str">
        <f aca="false">IF(B4559="","",IF(MATCH(B4559,$B$2:$B$12000,0)=ROW()-1,1,0))</f>
        <v/>
      </c>
    </row>
    <row r="4560" customFormat="false" ht="15" hidden="false" customHeight="false" outlineLevel="0" collapsed="false">
      <c r="V4560" s="23" t="str">
        <f aca="false">IF(ISNUMBER(C4560),YEAR(C4560),"")</f>
        <v/>
      </c>
      <c r="W4560" s="23" t="str">
        <f aca="false">IF(ISNUMBER(C4560),MONTH(C4560),"")</f>
        <v/>
      </c>
      <c r="X4560" s="23" t="str">
        <f aca="false">IF(T4560="","",IF(T4560=0,"No discount",IF(T4560&lt;=0.2,"Low (1-20%)",IF(T4560&lt;=0.4,"Medium (21-40%)","High (&gt;40%)"))))</f>
        <v/>
      </c>
      <c r="Y4560" s="23" t="str">
        <f aca="false">IF(AND(ISNUMBER(C4560),ISNUMBER(D4560)),D4560-C4560,"")</f>
        <v/>
      </c>
      <c r="Z4560" s="23" t="str">
        <f aca="false">IF(B4560="","",IF(MATCH(B4560,$B$2:$B$12000,0)=ROW()-1,1,0))</f>
        <v/>
      </c>
    </row>
    <row r="4561" customFormat="false" ht="15" hidden="false" customHeight="false" outlineLevel="0" collapsed="false">
      <c r="V4561" s="23" t="str">
        <f aca="false">IF(ISNUMBER(C4561),YEAR(C4561),"")</f>
        <v/>
      </c>
      <c r="W4561" s="23" t="str">
        <f aca="false">IF(ISNUMBER(C4561),MONTH(C4561),"")</f>
        <v/>
      </c>
      <c r="X4561" s="23" t="str">
        <f aca="false">IF(T4561="","",IF(T4561=0,"No discount",IF(T4561&lt;=0.2,"Low (1-20%)",IF(T4561&lt;=0.4,"Medium (21-40%)","High (&gt;40%)"))))</f>
        <v/>
      </c>
      <c r="Y4561" s="23" t="str">
        <f aca="false">IF(AND(ISNUMBER(C4561),ISNUMBER(D4561)),D4561-C4561,"")</f>
        <v/>
      </c>
      <c r="Z4561" s="23" t="str">
        <f aca="false">IF(B4561="","",IF(MATCH(B4561,$B$2:$B$12000,0)=ROW()-1,1,0))</f>
        <v/>
      </c>
    </row>
    <row r="4562" customFormat="false" ht="15" hidden="false" customHeight="false" outlineLevel="0" collapsed="false">
      <c r="V4562" s="23" t="str">
        <f aca="false">IF(ISNUMBER(C4562),YEAR(C4562),"")</f>
        <v/>
      </c>
      <c r="W4562" s="23" t="str">
        <f aca="false">IF(ISNUMBER(C4562),MONTH(C4562),"")</f>
        <v/>
      </c>
      <c r="X4562" s="23" t="str">
        <f aca="false">IF(T4562="","",IF(T4562=0,"No discount",IF(T4562&lt;=0.2,"Low (1-20%)",IF(T4562&lt;=0.4,"Medium (21-40%)","High (&gt;40%)"))))</f>
        <v/>
      </c>
      <c r="Y4562" s="23" t="str">
        <f aca="false">IF(AND(ISNUMBER(C4562),ISNUMBER(D4562)),D4562-C4562,"")</f>
        <v/>
      </c>
      <c r="Z4562" s="23" t="str">
        <f aca="false">IF(B4562="","",IF(MATCH(B4562,$B$2:$B$12000,0)=ROW()-1,1,0))</f>
        <v/>
      </c>
    </row>
    <row r="4563" customFormat="false" ht="15" hidden="false" customHeight="false" outlineLevel="0" collapsed="false">
      <c r="V4563" s="23" t="str">
        <f aca="false">IF(ISNUMBER(C4563),YEAR(C4563),"")</f>
        <v/>
      </c>
      <c r="W4563" s="23" t="str">
        <f aca="false">IF(ISNUMBER(C4563),MONTH(C4563),"")</f>
        <v/>
      </c>
      <c r="X4563" s="23" t="str">
        <f aca="false">IF(T4563="","",IF(T4563=0,"No discount",IF(T4563&lt;=0.2,"Low (1-20%)",IF(T4563&lt;=0.4,"Medium (21-40%)","High (&gt;40%)"))))</f>
        <v/>
      </c>
      <c r="Y4563" s="23" t="str">
        <f aca="false">IF(AND(ISNUMBER(C4563),ISNUMBER(D4563)),D4563-C4563,"")</f>
        <v/>
      </c>
      <c r="Z4563" s="23" t="str">
        <f aca="false">IF(B4563="","",IF(MATCH(B4563,$B$2:$B$12000,0)=ROW()-1,1,0))</f>
        <v/>
      </c>
    </row>
    <row r="4564" customFormat="false" ht="15" hidden="false" customHeight="false" outlineLevel="0" collapsed="false">
      <c r="V4564" s="23" t="str">
        <f aca="false">IF(ISNUMBER(C4564),YEAR(C4564),"")</f>
        <v/>
      </c>
      <c r="W4564" s="23" t="str">
        <f aca="false">IF(ISNUMBER(C4564),MONTH(C4564),"")</f>
        <v/>
      </c>
      <c r="X4564" s="23" t="str">
        <f aca="false">IF(T4564="","",IF(T4564=0,"No discount",IF(T4564&lt;=0.2,"Low (1-20%)",IF(T4564&lt;=0.4,"Medium (21-40%)","High (&gt;40%)"))))</f>
        <v/>
      </c>
      <c r="Y4564" s="23" t="str">
        <f aca="false">IF(AND(ISNUMBER(C4564),ISNUMBER(D4564)),D4564-C4564,"")</f>
        <v/>
      </c>
      <c r="Z4564" s="23" t="str">
        <f aca="false">IF(B4564="","",IF(MATCH(B4564,$B$2:$B$12000,0)=ROW()-1,1,0))</f>
        <v/>
      </c>
    </row>
    <row r="4565" customFormat="false" ht="15" hidden="false" customHeight="false" outlineLevel="0" collapsed="false">
      <c r="V4565" s="23" t="str">
        <f aca="false">IF(ISNUMBER(C4565),YEAR(C4565),"")</f>
        <v/>
      </c>
      <c r="W4565" s="23" t="str">
        <f aca="false">IF(ISNUMBER(C4565),MONTH(C4565),"")</f>
        <v/>
      </c>
      <c r="X4565" s="23" t="str">
        <f aca="false">IF(T4565="","",IF(T4565=0,"No discount",IF(T4565&lt;=0.2,"Low (1-20%)",IF(T4565&lt;=0.4,"Medium (21-40%)","High (&gt;40%)"))))</f>
        <v/>
      </c>
      <c r="Y4565" s="23" t="str">
        <f aca="false">IF(AND(ISNUMBER(C4565),ISNUMBER(D4565)),D4565-C4565,"")</f>
        <v/>
      </c>
      <c r="Z4565" s="23" t="str">
        <f aca="false">IF(B4565="","",IF(MATCH(B4565,$B$2:$B$12000,0)=ROW()-1,1,0))</f>
        <v/>
      </c>
    </row>
    <row r="4566" customFormat="false" ht="15" hidden="false" customHeight="false" outlineLevel="0" collapsed="false">
      <c r="V4566" s="23" t="str">
        <f aca="false">IF(ISNUMBER(C4566),YEAR(C4566),"")</f>
        <v/>
      </c>
      <c r="W4566" s="23" t="str">
        <f aca="false">IF(ISNUMBER(C4566),MONTH(C4566),"")</f>
        <v/>
      </c>
      <c r="X4566" s="23" t="str">
        <f aca="false">IF(T4566="","",IF(T4566=0,"No discount",IF(T4566&lt;=0.2,"Low (1-20%)",IF(T4566&lt;=0.4,"Medium (21-40%)","High (&gt;40%)"))))</f>
        <v/>
      </c>
      <c r="Y4566" s="23" t="str">
        <f aca="false">IF(AND(ISNUMBER(C4566),ISNUMBER(D4566)),D4566-C4566,"")</f>
        <v/>
      </c>
      <c r="Z4566" s="23" t="str">
        <f aca="false">IF(B4566="","",IF(MATCH(B4566,$B$2:$B$12000,0)=ROW()-1,1,0))</f>
        <v/>
      </c>
    </row>
    <row r="4567" customFormat="false" ht="15" hidden="false" customHeight="false" outlineLevel="0" collapsed="false">
      <c r="V4567" s="23" t="str">
        <f aca="false">IF(ISNUMBER(C4567),YEAR(C4567),"")</f>
        <v/>
      </c>
      <c r="W4567" s="23" t="str">
        <f aca="false">IF(ISNUMBER(C4567),MONTH(C4567),"")</f>
        <v/>
      </c>
      <c r="X4567" s="23" t="str">
        <f aca="false">IF(T4567="","",IF(T4567=0,"No discount",IF(T4567&lt;=0.2,"Low (1-20%)",IF(T4567&lt;=0.4,"Medium (21-40%)","High (&gt;40%)"))))</f>
        <v/>
      </c>
      <c r="Y4567" s="23" t="str">
        <f aca="false">IF(AND(ISNUMBER(C4567),ISNUMBER(D4567)),D4567-C4567,"")</f>
        <v/>
      </c>
      <c r="Z4567" s="23" t="str">
        <f aca="false">IF(B4567="","",IF(MATCH(B4567,$B$2:$B$12000,0)=ROW()-1,1,0))</f>
        <v/>
      </c>
    </row>
    <row r="4568" customFormat="false" ht="15" hidden="false" customHeight="false" outlineLevel="0" collapsed="false">
      <c r="V4568" s="23" t="str">
        <f aca="false">IF(ISNUMBER(C4568),YEAR(C4568),"")</f>
        <v/>
      </c>
      <c r="W4568" s="23" t="str">
        <f aca="false">IF(ISNUMBER(C4568),MONTH(C4568),"")</f>
        <v/>
      </c>
      <c r="X4568" s="23" t="str">
        <f aca="false">IF(T4568="","",IF(T4568=0,"No discount",IF(T4568&lt;=0.2,"Low (1-20%)",IF(T4568&lt;=0.4,"Medium (21-40%)","High (&gt;40%)"))))</f>
        <v/>
      </c>
      <c r="Y4568" s="23" t="str">
        <f aca="false">IF(AND(ISNUMBER(C4568),ISNUMBER(D4568)),D4568-C4568,"")</f>
        <v/>
      </c>
      <c r="Z4568" s="23" t="str">
        <f aca="false">IF(B4568="","",IF(MATCH(B4568,$B$2:$B$12000,0)=ROW()-1,1,0))</f>
        <v/>
      </c>
    </row>
    <row r="4569" customFormat="false" ht="15" hidden="false" customHeight="false" outlineLevel="0" collapsed="false">
      <c r="V4569" s="23" t="str">
        <f aca="false">IF(ISNUMBER(C4569),YEAR(C4569),"")</f>
        <v/>
      </c>
      <c r="W4569" s="23" t="str">
        <f aca="false">IF(ISNUMBER(C4569),MONTH(C4569),"")</f>
        <v/>
      </c>
      <c r="X4569" s="23" t="str">
        <f aca="false">IF(T4569="","",IF(T4569=0,"No discount",IF(T4569&lt;=0.2,"Low (1-20%)",IF(T4569&lt;=0.4,"Medium (21-40%)","High (&gt;40%)"))))</f>
        <v/>
      </c>
      <c r="Y4569" s="23" t="str">
        <f aca="false">IF(AND(ISNUMBER(C4569),ISNUMBER(D4569)),D4569-C4569,"")</f>
        <v/>
      </c>
      <c r="Z4569" s="23" t="str">
        <f aca="false">IF(B4569="","",IF(MATCH(B4569,$B$2:$B$12000,0)=ROW()-1,1,0))</f>
        <v/>
      </c>
    </row>
    <row r="4570" customFormat="false" ht="15" hidden="false" customHeight="false" outlineLevel="0" collapsed="false">
      <c r="V4570" s="23" t="str">
        <f aca="false">IF(ISNUMBER(C4570),YEAR(C4570),"")</f>
        <v/>
      </c>
      <c r="W4570" s="23" t="str">
        <f aca="false">IF(ISNUMBER(C4570),MONTH(C4570),"")</f>
        <v/>
      </c>
      <c r="X4570" s="23" t="str">
        <f aca="false">IF(T4570="","",IF(T4570=0,"No discount",IF(T4570&lt;=0.2,"Low (1-20%)",IF(T4570&lt;=0.4,"Medium (21-40%)","High (&gt;40%)"))))</f>
        <v/>
      </c>
      <c r="Y4570" s="23" t="str">
        <f aca="false">IF(AND(ISNUMBER(C4570),ISNUMBER(D4570)),D4570-C4570,"")</f>
        <v/>
      </c>
      <c r="Z4570" s="23" t="str">
        <f aca="false">IF(B4570="","",IF(MATCH(B4570,$B$2:$B$12000,0)=ROW()-1,1,0))</f>
        <v/>
      </c>
    </row>
    <row r="4571" customFormat="false" ht="15" hidden="false" customHeight="false" outlineLevel="0" collapsed="false">
      <c r="V4571" s="23" t="str">
        <f aca="false">IF(ISNUMBER(C4571),YEAR(C4571),"")</f>
        <v/>
      </c>
      <c r="W4571" s="23" t="str">
        <f aca="false">IF(ISNUMBER(C4571),MONTH(C4571),"")</f>
        <v/>
      </c>
      <c r="X4571" s="23" t="str">
        <f aca="false">IF(T4571="","",IF(T4571=0,"No discount",IF(T4571&lt;=0.2,"Low (1-20%)",IF(T4571&lt;=0.4,"Medium (21-40%)","High (&gt;40%)"))))</f>
        <v/>
      </c>
      <c r="Y4571" s="23" t="str">
        <f aca="false">IF(AND(ISNUMBER(C4571),ISNUMBER(D4571)),D4571-C4571,"")</f>
        <v/>
      </c>
      <c r="Z4571" s="23" t="str">
        <f aca="false">IF(B4571="","",IF(MATCH(B4571,$B$2:$B$12000,0)=ROW()-1,1,0))</f>
        <v/>
      </c>
    </row>
    <row r="4572" customFormat="false" ht="15" hidden="false" customHeight="false" outlineLevel="0" collapsed="false">
      <c r="V4572" s="23" t="str">
        <f aca="false">IF(ISNUMBER(C4572),YEAR(C4572),"")</f>
        <v/>
      </c>
      <c r="W4572" s="23" t="str">
        <f aca="false">IF(ISNUMBER(C4572),MONTH(C4572),"")</f>
        <v/>
      </c>
      <c r="X4572" s="23" t="str">
        <f aca="false">IF(T4572="","",IF(T4572=0,"No discount",IF(T4572&lt;=0.2,"Low (1-20%)",IF(T4572&lt;=0.4,"Medium (21-40%)","High (&gt;40%)"))))</f>
        <v/>
      </c>
      <c r="Y4572" s="23" t="str">
        <f aca="false">IF(AND(ISNUMBER(C4572),ISNUMBER(D4572)),D4572-C4572,"")</f>
        <v/>
      </c>
      <c r="Z4572" s="23" t="str">
        <f aca="false">IF(B4572="","",IF(MATCH(B4572,$B$2:$B$12000,0)=ROW()-1,1,0))</f>
        <v/>
      </c>
    </row>
    <row r="4573" customFormat="false" ht="15" hidden="false" customHeight="false" outlineLevel="0" collapsed="false">
      <c r="V4573" s="23" t="str">
        <f aca="false">IF(ISNUMBER(C4573),YEAR(C4573),"")</f>
        <v/>
      </c>
      <c r="W4573" s="23" t="str">
        <f aca="false">IF(ISNUMBER(C4573),MONTH(C4573),"")</f>
        <v/>
      </c>
      <c r="X4573" s="23" t="str">
        <f aca="false">IF(T4573="","",IF(T4573=0,"No discount",IF(T4573&lt;=0.2,"Low (1-20%)",IF(T4573&lt;=0.4,"Medium (21-40%)","High (&gt;40%)"))))</f>
        <v/>
      </c>
      <c r="Y4573" s="23" t="str">
        <f aca="false">IF(AND(ISNUMBER(C4573),ISNUMBER(D4573)),D4573-C4573,"")</f>
        <v/>
      </c>
      <c r="Z4573" s="23" t="str">
        <f aca="false">IF(B4573="","",IF(MATCH(B4573,$B$2:$B$12000,0)=ROW()-1,1,0))</f>
        <v/>
      </c>
    </row>
    <row r="4574" customFormat="false" ht="15" hidden="false" customHeight="false" outlineLevel="0" collapsed="false">
      <c r="V4574" s="23" t="str">
        <f aca="false">IF(ISNUMBER(C4574),YEAR(C4574),"")</f>
        <v/>
      </c>
      <c r="W4574" s="23" t="str">
        <f aca="false">IF(ISNUMBER(C4574),MONTH(C4574),"")</f>
        <v/>
      </c>
      <c r="X4574" s="23" t="str">
        <f aca="false">IF(T4574="","",IF(T4574=0,"No discount",IF(T4574&lt;=0.2,"Low (1-20%)",IF(T4574&lt;=0.4,"Medium (21-40%)","High (&gt;40%)"))))</f>
        <v/>
      </c>
      <c r="Y4574" s="23" t="str">
        <f aca="false">IF(AND(ISNUMBER(C4574),ISNUMBER(D4574)),D4574-C4574,"")</f>
        <v/>
      </c>
      <c r="Z4574" s="23" t="str">
        <f aca="false">IF(B4574="","",IF(MATCH(B4574,$B$2:$B$12000,0)=ROW()-1,1,0))</f>
        <v/>
      </c>
    </row>
    <row r="4575" customFormat="false" ht="15" hidden="false" customHeight="false" outlineLevel="0" collapsed="false">
      <c r="V4575" s="23" t="str">
        <f aca="false">IF(ISNUMBER(C4575),YEAR(C4575),"")</f>
        <v/>
      </c>
      <c r="W4575" s="23" t="str">
        <f aca="false">IF(ISNUMBER(C4575),MONTH(C4575),"")</f>
        <v/>
      </c>
      <c r="X4575" s="23" t="str">
        <f aca="false">IF(T4575="","",IF(T4575=0,"No discount",IF(T4575&lt;=0.2,"Low (1-20%)",IF(T4575&lt;=0.4,"Medium (21-40%)","High (&gt;40%)"))))</f>
        <v/>
      </c>
      <c r="Y4575" s="23" t="str">
        <f aca="false">IF(AND(ISNUMBER(C4575),ISNUMBER(D4575)),D4575-C4575,"")</f>
        <v/>
      </c>
      <c r="Z4575" s="23" t="str">
        <f aca="false">IF(B4575="","",IF(MATCH(B4575,$B$2:$B$12000,0)=ROW()-1,1,0))</f>
        <v/>
      </c>
    </row>
    <row r="4576" customFormat="false" ht="15" hidden="false" customHeight="false" outlineLevel="0" collapsed="false">
      <c r="V4576" s="23" t="str">
        <f aca="false">IF(ISNUMBER(C4576),YEAR(C4576),"")</f>
        <v/>
      </c>
      <c r="W4576" s="23" t="str">
        <f aca="false">IF(ISNUMBER(C4576),MONTH(C4576),"")</f>
        <v/>
      </c>
      <c r="X4576" s="23" t="str">
        <f aca="false">IF(T4576="","",IF(T4576=0,"No discount",IF(T4576&lt;=0.2,"Low (1-20%)",IF(T4576&lt;=0.4,"Medium (21-40%)","High (&gt;40%)"))))</f>
        <v/>
      </c>
      <c r="Y4576" s="23" t="str">
        <f aca="false">IF(AND(ISNUMBER(C4576),ISNUMBER(D4576)),D4576-C4576,"")</f>
        <v/>
      </c>
      <c r="Z4576" s="23" t="str">
        <f aca="false">IF(B4576="","",IF(MATCH(B4576,$B$2:$B$12000,0)=ROW()-1,1,0))</f>
        <v/>
      </c>
    </row>
    <row r="4577" customFormat="false" ht="15" hidden="false" customHeight="false" outlineLevel="0" collapsed="false">
      <c r="V4577" s="23" t="str">
        <f aca="false">IF(ISNUMBER(C4577),YEAR(C4577),"")</f>
        <v/>
      </c>
      <c r="W4577" s="23" t="str">
        <f aca="false">IF(ISNUMBER(C4577),MONTH(C4577),"")</f>
        <v/>
      </c>
      <c r="X4577" s="23" t="str">
        <f aca="false">IF(T4577="","",IF(T4577=0,"No discount",IF(T4577&lt;=0.2,"Low (1-20%)",IF(T4577&lt;=0.4,"Medium (21-40%)","High (&gt;40%)"))))</f>
        <v/>
      </c>
      <c r="Y4577" s="23" t="str">
        <f aca="false">IF(AND(ISNUMBER(C4577),ISNUMBER(D4577)),D4577-C4577,"")</f>
        <v/>
      </c>
      <c r="Z4577" s="23" t="str">
        <f aca="false">IF(B4577="","",IF(MATCH(B4577,$B$2:$B$12000,0)=ROW()-1,1,0))</f>
        <v/>
      </c>
    </row>
    <row r="4578" customFormat="false" ht="15" hidden="false" customHeight="false" outlineLevel="0" collapsed="false">
      <c r="V4578" s="23" t="str">
        <f aca="false">IF(ISNUMBER(C4578),YEAR(C4578),"")</f>
        <v/>
      </c>
      <c r="W4578" s="23" t="str">
        <f aca="false">IF(ISNUMBER(C4578),MONTH(C4578),"")</f>
        <v/>
      </c>
      <c r="X4578" s="23" t="str">
        <f aca="false">IF(T4578="","",IF(T4578=0,"No discount",IF(T4578&lt;=0.2,"Low (1-20%)",IF(T4578&lt;=0.4,"Medium (21-40%)","High (&gt;40%)"))))</f>
        <v/>
      </c>
      <c r="Y4578" s="23" t="str">
        <f aca="false">IF(AND(ISNUMBER(C4578),ISNUMBER(D4578)),D4578-C4578,"")</f>
        <v/>
      </c>
      <c r="Z4578" s="23" t="str">
        <f aca="false">IF(B4578="","",IF(MATCH(B4578,$B$2:$B$12000,0)=ROW()-1,1,0))</f>
        <v/>
      </c>
    </row>
    <row r="4579" customFormat="false" ht="15" hidden="false" customHeight="false" outlineLevel="0" collapsed="false">
      <c r="V4579" s="23" t="str">
        <f aca="false">IF(ISNUMBER(C4579),YEAR(C4579),"")</f>
        <v/>
      </c>
      <c r="W4579" s="23" t="str">
        <f aca="false">IF(ISNUMBER(C4579),MONTH(C4579),"")</f>
        <v/>
      </c>
      <c r="X4579" s="23" t="str">
        <f aca="false">IF(T4579="","",IF(T4579=0,"No discount",IF(T4579&lt;=0.2,"Low (1-20%)",IF(T4579&lt;=0.4,"Medium (21-40%)","High (&gt;40%)"))))</f>
        <v/>
      </c>
      <c r="Y4579" s="23" t="str">
        <f aca="false">IF(AND(ISNUMBER(C4579),ISNUMBER(D4579)),D4579-C4579,"")</f>
        <v/>
      </c>
      <c r="Z4579" s="23" t="str">
        <f aca="false">IF(B4579="","",IF(MATCH(B4579,$B$2:$B$12000,0)=ROW()-1,1,0))</f>
        <v/>
      </c>
    </row>
    <row r="4580" customFormat="false" ht="15" hidden="false" customHeight="false" outlineLevel="0" collapsed="false">
      <c r="V4580" s="23" t="str">
        <f aca="false">IF(ISNUMBER(C4580),YEAR(C4580),"")</f>
        <v/>
      </c>
      <c r="W4580" s="23" t="str">
        <f aca="false">IF(ISNUMBER(C4580),MONTH(C4580),"")</f>
        <v/>
      </c>
      <c r="X4580" s="23" t="str">
        <f aca="false">IF(T4580="","",IF(T4580=0,"No discount",IF(T4580&lt;=0.2,"Low (1-20%)",IF(T4580&lt;=0.4,"Medium (21-40%)","High (&gt;40%)"))))</f>
        <v/>
      </c>
      <c r="Y4580" s="23" t="str">
        <f aca="false">IF(AND(ISNUMBER(C4580),ISNUMBER(D4580)),D4580-C4580,"")</f>
        <v/>
      </c>
      <c r="Z4580" s="23" t="str">
        <f aca="false">IF(B4580="","",IF(MATCH(B4580,$B$2:$B$12000,0)=ROW()-1,1,0))</f>
        <v/>
      </c>
    </row>
    <row r="4581" customFormat="false" ht="15" hidden="false" customHeight="false" outlineLevel="0" collapsed="false">
      <c r="V4581" s="23" t="str">
        <f aca="false">IF(ISNUMBER(C4581),YEAR(C4581),"")</f>
        <v/>
      </c>
      <c r="W4581" s="23" t="str">
        <f aca="false">IF(ISNUMBER(C4581),MONTH(C4581),"")</f>
        <v/>
      </c>
      <c r="X4581" s="23" t="str">
        <f aca="false">IF(T4581="","",IF(T4581=0,"No discount",IF(T4581&lt;=0.2,"Low (1-20%)",IF(T4581&lt;=0.4,"Medium (21-40%)","High (&gt;40%)"))))</f>
        <v/>
      </c>
      <c r="Y4581" s="23" t="str">
        <f aca="false">IF(AND(ISNUMBER(C4581),ISNUMBER(D4581)),D4581-C4581,"")</f>
        <v/>
      </c>
      <c r="Z4581" s="23" t="str">
        <f aca="false">IF(B4581="","",IF(MATCH(B4581,$B$2:$B$12000,0)=ROW()-1,1,0))</f>
        <v/>
      </c>
    </row>
    <row r="4582" customFormat="false" ht="15" hidden="false" customHeight="false" outlineLevel="0" collapsed="false">
      <c r="V4582" s="23" t="str">
        <f aca="false">IF(ISNUMBER(C4582),YEAR(C4582),"")</f>
        <v/>
      </c>
      <c r="W4582" s="23" t="str">
        <f aca="false">IF(ISNUMBER(C4582),MONTH(C4582),"")</f>
        <v/>
      </c>
      <c r="X4582" s="23" t="str">
        <f aca="false">IF(T4582="","",IF(T4582=0,"No discount",IF(T4582&lt;=0.2,"Low (1-20%)",IF(T4582&lt;=0.4,"Medium (21-40%)","High (&gt;40%)"))))</f>
        <v/>
      </c>
      <c r="Y4582" s="23" t="str">
        <f aca="false">IF(AND(ISNUMBER(C4582),ISNUMBER(D4582)),D4582-C4582,"")</f>
        <v/>
      </c>
      <c r="Z4582" s="23" t="str">
        <f aca="false">IF(B4582="","",IF(MATCH(B4582,$B$2:$B$12000,0)=ROW()-1,1,0))</f>
        <v/>
      </c>
    </row>
    <row r="4583" customFormat="false" ht="15" hidden="false" customHeight="false" outlineLevel="0" collapsed="false">
      <c r="V4583" s="23" t="str">
        <f aca="false">IF(ISNUMBER(C4583),YEAR(C4583),"")</f>
        <v/>
      </c>
      <c r="W4583" s="23" t="str">
        <f aca="false">IF(ISNUMBER(C4583),MONTH(C4583),"")</f>
        <v/>
      </c>
      <c r="X4583" s="23" t="str">
        <f aca="false">IF(T4583="","",IF(T4583=0,"No discount",IF(T4583&lt;=0.2,"Low (1-20%)",IF(T4583&lt;=0.4,"Medium (21-40%)","High (&gt;40%)"))))</f>
        <v/>
      </c>
      <c r="Y4583" s="23" t="str">
        <f aca="false">IF(AND(ISNUMBER(C4583),ISNUMBER(D4583)),D4583-C4583,"")</f>
        <v/>
      </c>
      <c r="Z4583" s="23" t="str">
        <f aca="false">IF(B4583="","",IF(MATCH(B4583,$B$2:$B$12000,0)=ROW()-1,1,0))</f>
        <v/>
      </c>
    </row>
    <row r="4584" customFormat="false" ht="15" hidden="false" customHeight="false" outlineLevel="0" collapsed="false">
      <c r="V4584" s="23" t="str">
        <f aca="false">IF(ISNUMBER(C4584),YEAR(C4584),"")</f>
        <v/>
      </c>
      <c r="W4584" s="23" t="str">
        <f aca="false">IF(ISNUMBER(C4584),MONTH(C4584),"")</f>
        <v/>
      </c>
      <c r="X4584" s="23" t="str">
        <f aca="false">IF(T4584="","",IF(T4584=0,"No discount",IF(T4584&lt;=0.2,"Low (1-20%)",IF(T4584&lt;=0.4,"Medium (21-40%)","High (&gt;40%)"))))</f>
        <v/>
      </c>
      <c r="Y4584" s="23" t="str">
        <f aca="false">IF(AND(ISNUMBER(C4584),ISNUMBER(D4584)),D4584-C4584,"")</f>
        <v/>
      </c>
      <c r="Z4584" s="23" t="str">
        <f aca="false">IF(B4584="","",IF(MATCH(B4584,$B$2:$B$12000,0)=ROW()-1,1,0))</f>
        <v/>
      </c>
    </row>
    <row r="4585" customFormat="false" ht="15" hidden="false" customHeight="false" outlineLevel="0" collapsed="false">
      <c r="V4585" s="23" t="str">
        <f aca="false">IF(ISNUMBER(C4585),YEAR(C4585),"")</f>
        <v/>
      </c>
      <c r="W4585" s="23" t="str">
        <f aca="false">IF(ISNUMBER(C4585),MONTH(C4585),"")</f>
        <v/>
      </c>
      <c r="X4585" s="23" t="str">
        <f aca="false">IF(T4585="","",IF(T4585=0,"No discount",IF(T4585&lt;=0.2,"Low (1-20%)",IF(T4585&lt;=0.4,"Medium (21-40%)","High (&gt;40%)"))))</f>
        <v/>
      </c>
      <c r="Y4585" s="23" t="str">
        <f aca="false">IF(AND(ISNUMBER(C4585),ISNUMBER(D4585)),D4585-C4585,"")</f>
        <v/>
      </c>
      <c r="Z4585" s="23" t="str">
        <f aca="false">IF(B4585="","",IF(MATCH(B4585,$B$2:$B$12000,0)=ROW()-1,1,0))</f>
        <v/>
      </c>
    </row>
    <row r="4586" customFormat="false" ht="15" hidden="false" customHeight="false" outlineLevel="0" collapsed="false">
      <c r="V4586" s="23" t="str">
        <f aca="false">IF(ISNUMBER(C4586),YEAR(C4586),"")</f>
        <v/>
      </c>
      <c r="W4586" s="23" t="str">
        <f aca="false">IF(ISNUMBER(C4586),MONTH(C4586),"")</f>
        <v/>
      </c>
      <c r="X4586" s="23" t="str">
        <f aca="false">IF(T4586="","",IF(T4586=0,"No discount",IF(T4586&lt;=0.2,"Low (1-20%)",IF(T4586&lt;=0.4,"Medium (21-40%)","High (&gt;40%)"))))</f>
        <v/>
      </c>
      <c r="Y4586" s="23" t="str">
        <f aca="false">IF(AND(ISNUMBER(C4586),ISNUMBER(D4586)),D4586-C4586,"")</f>
        <v/>
      </c>
      <c r="Z4586" s="23" t="str">
        <f aca="false">IF(B4586="","",IF(MATCH(B4586,$B$2:$B$12000,0)=ROW()-1,1,0))</f>
        <v/>
      </c>
    </row>
    <row r="4587" customFormat="false" ht="15" hidden="false" customHeight="false" outlineLevel="0" collapsed="false">
      <c r="V4587" s="23" t="str">
        <f aca="false">IF(ISNUMBER(C4587),YEAR(C4587),"")</f>
        <v/>
      </c>
      <c r="W4587" s="23" t="str">
        <f aca="false">IF(ISNUMBER(C4587),MONTH(C4587),"")</f>
        <v/>
      </c>
      <c r="X4587" s="23" t="str">
        <f aca="false">IF(T4587="","",IF(T4587=0,"No discount",IF(T4587&lt;=0.2,"Low (1-20%)",IF(T4587&lt;=0.4,"Medium (21-40%)","High (&gt;40%)"))))</f>
        <v/>
      </c>
      <c r="Y4587" s="23" t="str">
        <f aca="false">IF(AND(ISNUMBER(C4587),ISNUMBER(D4587)),D4587-C4587,"")</f>
        <v/>
      </c>
      <c r="Z4587" s="23" t="str">
        <f aca="false">IF(B4587="","",IF(MATCH(B4587,$B$2:$B$12000,0)=ROW()-1,1,0))</f>
        <v/>
      </c>
    </row>
    <row r="4588" customFormat="false" ht="15" hidden="false" customHeight="false" outlineLevel="0" collapsed="false">
      <c r="V4588" s="23" t="str">
        <f aca="false">IF(ISNUMBER(C4588),YEAR(C4588),"")</f>
        <v/>
      </c>
      <c r="W4588" s="23" t="str">
        <f aca="false">IF(ISNUMBER(C4588),MONTH(C4588),"")</f>
        <v/>
      </c>
      <c r="X4588" s="23" t="str">
        <f aca="false">IF(T4588="","",IF(T4588=0,"No discount",IF(T4588&lt;=0.2,"Low (1-20%)",IF(T4588&lt;=0.4,"Medium (21-40%)","High (&gt;40%)"))))</f>
        <v/>
      </c>
      <c r="Y4588" s="23" t="str">
        <f aca="false">IF(AND(ISNUMBER(C4588),ISNUMBER(D4588)),D4588-C4588,"")</f>
        <v/>
      </c>
      <c r="Z4588" s="23" t="str">
        <f aca="false">IF(B4588="","",IF(MATCH(B4588,$B$2:$B$12000,0)=ROW()-1,1,0))</f>
        <v/>
      </c>
    </row>
    <row r="4589" customFormat="false" ht="15" hidden="false" customHeight="false" outlineLevel="0" collapsed="false">
      <c r="V4589" s="23" t="str">
        <f aca="false">IF(ISNUMBER(C4589),YEAR(C4589),"")</f>
        <v/>
      </c>
      <c r="W4589" s="23" t="str">
        <f aca="false">IF(ISNUMBER(C4589),MONTH(C4589),"")</f>
        <v/>
      </c>
      <c r="X4589" s="23" t="str">
        <f aca="false">IF(T4589="","",IF(T4589=0,"No discount",IF(T4589&lt;=0.2,"Low (1-20%)",IF(T4589&lt;=0.4,"Medium (21-40%)","High (&gt;40%)"))))</f>
        <v/>
      </c>
      <c r="Y4589" s="23" t="str">
        <f aca="false">IF(AND(ISNUMBER(C4589),ISNUMBER(D4589)),D4589-C4589,"")</f>
        <v/>
      </c>
      <c r="Z4589" s="23" t="str">
        <f aca="false">IF(B4589="","",IF(MATCH(B4589,$B$2:$B$12000,0)=ROW()-1,1,0))</f>
        <v/>
      </c>
    </row>
    <row r="4590" customFormat="false" ht="15" hidden="false" customHeight="false" outlineLevel="0" collapsed="false">
      <c r="V4590" s="23" t="str">
        <f aca="false">IF(ISNUMBER(C4590),YEAR(C4590),"")</f>
        <v/>
      </c>
      <c r="W4590" s="23" t="str">
        <f aca="false">IF(ISNUMBER(C4590),MONTH(C4590),"")</f>
        <v/>
      </c>
      <c r="X4590" s="23" t="str">
        <f aca="false">IF(T4590="","",IF(T4590=0,"No discount",IF(T4590&lt;=0.2,"Low (1-20%)",IF(T4590&lt;=0.4,"Medium (21-40%)","High (&gt;40%)"))))</f>
        <v/>
      </c>
      <c r="Y4590" s="23" t="str">
        <f aca="false">IF(AND(ISNUMBER(C4590),ISNUMBER(D4590)),D4590-C4590,"")</f>
        <v/>
      </c>
      <c r="Z4590" s="23" t="str">
        <f aca="false">IF(B4590="","",IF(MATCH(B4590,$B$2:$B$12000,0)=ROW()-1,1,0))</f>
        <v/>
      </c>
    </row>
    <row r="4591" customFormat="false" ht="15" hidden="false" customHeight="false" outlineLevel="0" collapsed="false">
      <c r="V4591" s="23" t="str">
        <f aca="false">IF(ISNUMBER(C4591),YEAR(C4591),"")</f>
        <v/>
      </c>
      <c r="W4591" s="23" t="str">
        <f aca="false">IF(ISNUMBER(C4591),MONTH(C4591),"")</f>
        <v/>
      </c>
      <c r="X4591" s="23" t="str">
        <f aca="false">IF(T4591="","",IF(T4591=0,"No discount",IF(T4591&lt;=0.2,"Low (1-20%)",IF(T4591&lt;=0.4,"Medium (21-40%)","High (&gt;40%)"))))</f>
        <v/>
      </c>
      <c r="Y4591" s="23" t="str">
        <f aca="false">IF(AND(ISNUMBER(C4591),ISNUMBER(D4591)),D4591-C4591,"")</f>
        <v/>
      </c>
      <c r="Z4591" s="23" t="str">
        <f aca="false">IF(B4591="","",IF(MATCH(B4591,$B$2:$B$12000,0)=ROW()-1,1,0))</f>
        <v/>
      </c>
    </row>
    <row r="4592" customFormat="false" ht="15" hidden="false" customHeight="false" outlineLevel="0" collapsed="false">
      <c r="V4592" s="23" t="str">
        <f aca="false">IF(ISNUMBER(C4592),YEAR(C4592),"")</f>
        <v/>
      </c>
      <c r="W4592" s="23" t="str">
        <f aca="false">IF(ISNUMBER(C4592),MONTH(C4592),"")</f>
        <v/>
      </c>
      <c r="X4592" s="23" t="str">
        <f aca="false">IF(T4592="","",IF(T4592=0,"No discount",IF(T4592&lt;=0.2,"Low (1-20%)",IF(T4592&lt;=0.4,"Medium (21-40%)","High (&gt;40%)"))))</f>
        <v/>
      </c>
      <c r="Y4592" s="23" t="str">
        <f aca="false">IF(AND(ISNUMBER(C4592),ISNUMBER(D4592)),D4592-C4592,"")</f>
        <v/>
      </c>
      <c r="Z4592" s="23" t="str">
        <f aca="false">IF(B4592="","",IF(MATCH(B4592,$B$2:$B$12000,0)=ROW()-1,1,0))</f>
        <v/>
      </c>
    </row>
    <row r="4593" customFormat="false" ht="15" hidden="false" customHeight="false" outlineLevel="0" collapsed="false">
      <c r="V4593" s="23" t="str">
        <f aca="false">IF(ISNUMBER(C4593),YEAR(C4593),"")</f>
        <v/>
      </c>
      <c r="W4593" s="23" t="str">
        <f aca="false">IF(ISNUMBER(C4593),MONTH(C4593),"")</f>
        <v/>
      </c>
      <c r="X4593" s="23" t="str">
        <f aca="false">IF(T4593="","",IF(T4593=0,"No discount",IF(T4593&lt;=0.2,"Low (1-20%)",IF(T4593&lt;=0.4,"Medium (21-40%)","High (&gt;40%)"))))</f>
        <v/>
      </c>
      <c r="Y4593" s="23" t="str">
        <f aca="false">IF(AND(ISNUMBER(C4593),ISNUMBER(D4593)),D4593-C4593,"")</f>
        <v/>
      </c>
      <c r="Z4593" s="23" t="str">
        <f aca="false">IF(B4593="","",IF(MATCH(B4593,$B$2:$B$12000,0)=ROW()-1,1,0))</f>
        <v/>
      </c>
    </row>
    <row r="4594" customFormat="false" ht="15" hidden="false" customHeight="false" outlineLevel="0" collapsed="false">
      <c r="V4594" s="23" t="str">
        <f aca="false">IF(ISNUMBER(C4594),YEAR(C4594),"")</f>
        <v/>
      </c>
      <c r="W4594" s="23" t="str">
        <f aca="false">IF(ISNUMBER(C4594),MONTH(C4594),"")</f>
        <v/>
      </c>
      <c r="X4594" s="23" t="str">
        <f aca="false">IF(T4594="","",IF(T4594=0,"No discount",IF(T4594&lt;=0.2,"Low (1-20%)",IF(T4594&lt;=0.4,"Medium (21-40%)","High (&gt;40%)"))))</f>
        <v/>
      </c>
      <c r="Y4594" s="23" t="str">
        <f aca="false">IF(AND(ISNUMBER(C4594),ISNUMBER(D4594)),D4594-C4594,"")</f>
        <v/>
      </c>
      <c r="Z4594" s="23" t="str">
        <f aca="false">IF(B4594="","",IF(MATCH(B4594,$B$2:$B$12000,0)=ROW()-1,1,0))</f>
        <v/>
      </c>
    </row>
    <row r="4595" customFormat="false" ht="15" hidden="false" customHeight="false" outlineLevel="0" collapsed="false">
      <c r="V4595" s="23" t="str">
        <f aca="false">IF(ISNUMBER(C4595),YEAR(C4595),"")</f>
        <v/>
      </c>
      <c r="W4595" s="23" t="str">
        <f aca="false">IF(ISNUMBER(C4595),MONTH(C4595),"")</f>
        <v/>
      </c>
      <c r="X4595" s="23" t="str">
        <f aca="false">IF(T4595="","",IF(T4595=0,"No discount",IF(T4595&lt;=0.2,"Low (1-20%)",IF(T4595&lt;=0.4,"Medium (21-40%)","High (&gt;40%)"))))</f>
        <v/>
      </c>
      <c r="Y4595" s="23" t="str">
        <f aca="false">IF(AND(ISNUMBER(C4595),ISNUMBER(D4595)),D4595-C4595,"")</f>
        <v/>
      </c>
      <c r="Z4595" s="23" t="str">
        <f aca="false">IF(B4595="","",IF(MATCH(B4595,$B$2:$B$12000,0)=ROW()-1,1,0))</f>
        <v/>
      </c>
    </row>
    <row r="4596" customFormat="false" ht="15" hidden="false" customHeight="false" outlineLevel="0" collapsed="false">
      <c r="V4596" s="23" t="str">
        <f aca="false">IF(ISNUMBER(C4596),YEAR(C4596),"")</f>
        <v/>
      </c>
      <c r="W4596" s="23" t="str">
        <f aca="false">IF(ISNUMBER(C4596),MONTH(C4596),"")</f>
        <v/>
      </c>
      <c r="X4596" s="23" t="str">
        <f aca="false">IF(T4596="","",IF(T4596=0,"No discount",IF(T4596&lt;=0.2,"Low (1-20%)",IF(T4596&lt;=0.4,"Medium (21-40%)","High (&gt;40%)"))))</f>
        <v/>
      </c>
      <c r="Y4596" s="23" t="str">
        <f aca="false">IF(AND(ISNUMBER(C4596),ISNUMBER(D4596)),D4596-C4596,"")</f>
        <v/>
      </c>
      <c r="Z4596" s="23" t="str">
        <f aca="false">IF(B4596="","",IF(MATCH(B4596,$B$2:$B$12000,0)=ROW()-1,1,0))</f>
        <v/>
      </c>
    </row>
    <row r="4597" customFormat="false" ht="15" hidden="false" customHeight="false" outlineLevel="0" collapsed="false">
      <c r="V4597" s="23" t="str">
        <f aca="false">IF(ISNUMBER(C4597),YEAR(C4597),"")</f>
        <v/>
      </c>
      <c r="W4597" s="23" t="str">
        <f aca="false">IF(ISNUMBER(C4597),MONTH(C4597),"")</f>
        <v/>
      </c>
      <c r="X4597" s="23" t="str">
        <f aca="false">IF(T4597="","",IF(T4597=0,"No discount",IF(T4597&lt;=0.2,"Low (1-20%)",IF(T4597&lt;=0.4,"Medium (21-40%)","High (&gt;40%)"))))</f>
        <v/>
      </c>
      <c r="Y4597" s="23" t="str">
        <f aca="false">IF(AND(ISNUMBER(C4597),ISNUMBER(D4597)),D4597-C4597,"")</f>
        <v/>
      </c>
      <c r="Z4597" s="23" t="str">
        <f aca="false">IF(B4597="","",IF(MATCH(B4597,$B$2:$B$12000,0)=ROW()-1,1,0))</f>
        <v/>
      </c>
    </row>
    <row r="4598" customFormat="false" ht="15" hidden="false" customHeight="false" outlineLevel="0" collapsed="false">
      <c r="V4598" s="23" t="str">
        <f aca="false">IF(ISNUMBER(C4598),YEAR(C4598),"")</f>
        <v/>
      </c>
      <c r="W4598" s="23" t="str">
        <f aca="false">IF(ISNUMBER(C4598),MONTH(C4598),"")</f>
        <v/>
      </c>
      <c r="X4598" s="23" t="str">
        <f aca="false">IF(T4598="","",IF(T4598=0,"No discount",IF(T4598&lt;=0.2,"Low (1-20%)",IF(T4598&lt;=0.4,"Medium (21-40%)","High (&gt;40%)"))))</f>
        <v/>
      </c>
      <c r="Y4598" s="23" t="str">
        <f aca="false">IF(AND(ISNUMBER(C4598),ISNUMBER(D4598)),D4598-C4598,"")</f>
        <v/>
      </c>
      <c r="Z4598" s="23" t="str">
        <f aca="false">IF(B4598="","",IF(MATCH(B4598,$B$2:$B$12000,0)=ROW()-1,1,0))</f>
        <v/>
      </c>
    </row>
    <row r="4599" customFormat="false" ht="15" hidden="false" customHeight="false" outlineLevel="0" collapsed="false">
      <c r="V4599" s="23" t="str">
        <f aca="false">IF(ISNUMBER(C4599),YEAR(C4599),"")</f>
        <v/>
      </c>
      <c r="W4599" s="23" t="str">
        <f aca="false">IF(ISNUMBER(C4599),MONTH(C4599),"")</f>
        <v/>
      </c>
      <c r="X4599" s="23" t="str">
        <f aca="false">IF(T4599="","",IF(T4599=0,"No discount",IF(T4599&lt;=0.2,"Low (1-20%)",IF(T4599&lt;=0.4,"Medium (21-40%)","High (&gt;40%)"))))</f>
        <v/>
      </c>
      <c r="Y4599" s="23" t="str">
        <f aca="false">IF(AND(ISNUMBER(C4599),ISNUMBER(D4599)),D4599-C4599,"")</f>
        <v/>
      </c>
      <c r="Z4599" s="23" t="str">
        <f aca="false">IF(B4599="","",IF(MATCH(B4599,$B$2:$B$12000,0)=ROW()-1,1,0))</f>
        <v/>
      </c>
    </row>
    <row r="4600" customFormat="false" ht="15" hidden="false" customHeight="false" outlineLevel="0" collapsed="false">
      <c r="V4600" s="23" t="str">
        <f aca="false">IF(ISNUMBER(C4600),YEAR(C4600),"")</f>
        <v/>
      </c>
      <c r="W4600" s="23" t="str">
        <f aca="false">IF(ISNUMBER(C4600),MONTH(C4600),"")</f>
        <v/>
      </c>
      <c r="X4600" s="23" t="str">
        <f aca="false">IF(T4600="","",IF(T4600=0,"No discount",IF(T4600&lt;=0.2,"Low (1-20%)",IF(T4600&lt;=0.4,"Medium (21-40%)","High (&gt;40%)"))))</f>
        <v/>
      </c>
      <c r="Y4600" s="23" t="str">
        <f aca="false">IF(AND(ISNUMBER(C4600),ISNUMBER(D4600)),D4600-C4600,"")</f>
        <v/>
      </c>
      <c r="Z4600" s="23" t="str">
        <f aca="false">IF(B4600="","",IF(MATCH(B4600,$B$2:$B$12000,0)=ROW()-1,1,0))</f>
        <v/>
      </c>
    </row>
    <row r="4601" customFormat="false" ht="15" hidden="false" customHeight="false" outlineLevel="0" collapsed="false">
      <c r="V4601" s="23" t="str">
        <f aca="false">IF(ISNUMBER(C4601),YEAR(C4601),"")</f>
        <v/>
      </c>
      <c r="W4601" s="23" t="str">
        <f aca="false">IF(ISNUMBER(C4601),MONTH(C4601),"")</f>
        <v/>
      </c>
      <c r="X4601" s="23" t="str">
        <f aca="false">IF(T4601="","",IF(T4601=0,"No discount",IF(T4601&lt;=0.2,"Low (1-20%)",IF(T4601&lt;=0.4,"Medium (21-40%)","High (&gt;40%)"))))</f>
        <v/>
      </c>
      <c r="Y4601" s="23" t="str">
        <f aca="false">IF(AND(ISNUMBER(C4601),ISNUMBER(D4601)),D4601-C4601,"")</f>
        <v/>
      </c>
      <c r="Z4601" s="23" t="str">
        <f aca="false">IF(B4601="","",IF(MATCH(B4601,$B$2:$B$12000,0)=ROW()-1,1,0))</f>
        <v/>
      </c>
    </row>
    <row r="4602" customFormat="false" ht="15" hidden="false" customHeight="false" outlineLevel="0" collapsed="false">
      <c r="V4602" s="23" t="str">
        <f aca="false">IF(ISNUMBER(C4602),YEAR(C4602),"")</f>
        <v/>
      </c>
      <c r="W4602" s="23" t="str">
        <f aca="false">IF(ISNUMBER(C4602),MONTH(C4602),"")</f>
        <v/>
      </c>
      <c r="X4602" s="23" t="str">
        <f aca="false">IF(T4602="","",IF(T4602=0,"No discount",IF(T4602&lt;=0.2,"Low (1-20%)",IF(T4602&lt;=0.4,"Medium (21-40%)","High (&gt;40%)"))))</f>
        <v/>
      </c>
      <c r="Y4602" s="23" t="str">
        <f aca="false">IF(AND(ISNUMBER(C4602),ISNUMBER(D4602)),D4602-C4602,"")</f>
        <v/>
      </c>
      <c r="Z4602" s="23" t="str">
        <f aca="false">IF(B4602="","",IF(MATCH(B4602,$B$2:$B$12000,0)=ROW()-1,1,0))</f>
        <v/>
      </c>
    </row>
    <row r="4603" customFormat="false" ht="15" hidden="false" customHeight="false" outlineLevel="0" collapsed="false">
      <c r="V4603" s="23" t="str">
        <f aca="false">IF(ISNUMBER(C4603),YEAR(C4603),"")</f>
        <v/>
      </c>
      <c r="W4603" s="23" t="str">
        <f aca="false">IF(ISNUMBER(C4603),MONTH(C4603),"")</f>
        <v/>
      </c>
      <c r="X4603" s="23" t="str">
        <f aca="false">IF(T4603="","",IF(T4603=0,"No discount",IF(T4603&lt;=0.2,"Low (1-20%)",IF(T4603&lt;=0.4,"Medium (21-40%)","High (&gt;40%)"))))</f>
        <v/>
      </c>
      <c r="Y4603" s="23" t="str">
        <f aca="false">IF(AND(ISNUMBER(C4603),ISNUMBER(D4603)),D4603-C4603,"")</f>
        <v/>
      </c>
      <c r="Z4603" s="23" t="str">
        <f aca="false">IF(B4603="","",IF(MATCH(B4603,$B$2:$B$12000,0)=ROW()-1,1,0))</f>
        <v/>
      </c>
    </row>
    <row r="4604" customFormat="false" ht="15" hidden="false" customHeight="false" outlineLevel="0" collapsed="false">
      <c r="V4604" s="23" t="str">
        <f aca="false">IF(ISNUMBER(C4604),YEAR(C4604),"")</f>
        <v/>
      </c>
      <c r="W4604" s="23" t="str">
        <f aca="false">IF(ISNUMBER(C4604),MONTH(C4604),"")</f>
        <v/>
      </c>
      <c r="X4604" s="23" t="str">
        <f aca="false">IF(T4604="","",IF(T4604=0,"No discount",IF(T4604&lt;=0.2,"Low (1-20%)",IF(T4604&lt;=0.4,"Medium (21-40%)","High (&gt;40%)"))))</f>
        <v/>
      </c>
      <c r="Y4604" s="23" t="str">
        <f aca="false">IF(AND(ISNUMBER(C4604),ISNUMBER(D4604)),D4604-C4604,"")</f>
        <v/>
      </c>
      <c r="Z4604" s="23" t="str">
        <f aca="false">IF(B4604="","",IF(MATCH(B4604,$B$2:$B$12000,0)=ROW()-1,1,0))</f>
        <v/>
      </c>
    </row>
    <row r="4605" customFormat="false" ht="15" hidden="false" customHeight="false" outlineLevel="0" collapsed="false">
      <c r="V4605" s="23" t="str">
        <f aca="false">IF(ISNUMBER(C4605),YEAR(C4605),"")</f>
        <v/>
      </c>
      <c r="W4605" s="23" t="str">
        <f aca="false">IF(ISNUMBER(C4605),MONTH(C4605),"")</f>
        <v/>
      </c>
      <c r="X4605" s="23" t="str">
        <f aca="false">IF(T4605="","",IF(T4605=0,"No discount",IF(T4605&lt;=0.2,"Low (1-20%)",IF(T4605&lt;=0.4,"Medium (21-40%)","High (&gt;40%)"))))</f>
        <v/>
      </c>
      <c r="Y4605" s="23" t="str">
        <f aca="false">IF(AND(ISNUMBER(C4605),ISNUMBER(D4605)),D4605-C4605,"")</f>
        <v/>
      </c>
      <c r="Z4605" s="23" t="str">
        <f aca="false">IF(B4605="","",IF(MATCH(B4605,$B$2:$B$12000,0)=ROW()-1,1,0))</f>
        <v/>
      </c>
    </row>
    <row r="4606" customFormat="false" ht="15" hidden="false" customHeight="false" outlineLevel="0" collapsed="false">
      <c r="V4606" s="23" t="str">
        <f aca="false">IF(ISNUMBER(C4606),YEAR(C4606),"")</f>
        <v/>
      </c>
      <c r="W4606" s="23" t="str">
        <f aca="false">IF(ISNUMBER(C4606),MONTH(C4606),"")</f>
        <v/>
      </c>
      <c r="X4606" s="23" t="str">
        <f aca="false">IF(T4606="","",IF(T4606=0,"No discount",IF(T4606&lt;=0.2,"Low (1-20%)",IF(T4606&lt;=0.4,"Medium (21-40%)","High (&gt;40%)"))))</f>
        <v/>
      </c>
      <c r="Y4606" s="23" t="str">
        <f aca="false">IF(AND(ISNUMBER(C4606),ISNUMBER(D4606)),D4606-C4606,"")</f>
        <v/>
      </c>
      <c r="Z4606" s="23" t="str">
        <f aca="false">IF(B4606="","",IF(MATCH(B4606,$B$2:$B$12000,0)=ROW()-1,1,0))</f>
        <v/>
      </c>
    </row>
    <row r="4607" customFormat="false" ht="15" hidden="false" customHeight="false" outlineLevel="0" collapsed="false">
      <c r="V4607" s="23" t="str">
        <f aca="false">IF(ISNUMBER(C4607),YEAR(C4607),"")</f>
        <v/>
      </c>
      <c r="W4607" s="23" t="str">
        <f aca="false">IF(ISNUMBER(C4607),MONTH(C4607),"")</f>
        <v/>
      </c>
      <c r="X4607" s="23" t="str">
        <f aca="false">IF(T4607="","",IF(T4607=0,"No discount",IF(T4607&lt;=0.2,"Low (1-20%)",IF(T4607&lt;=0.4,"Medium (21-40%)","High (&gt;40%)"))))</f>
        <v/>
      </c>
      <c r="Y4607" s="23" t="str">
        <f aca="false">IF(AND(ISNUMBER(C4607),ISNUMBER(D4607)),D4607-C4607,"")</f>
        <v/>
      </c>
      <c r="Z4607" s="23" t="str">
        <f aca="false">IF(B4607="","",IF(MATCH(B4607,$B$2:$B$12000,0)=ROW()-1,1,0))</f>
        <v/>
      </c>
    </row>
    <row r="4608" customFormat="false" ht="15" hidden="false" customHeight="false" outlineLevel="0" collapsed="false">
      <c r="V4608" s="23" t="str">
        <f aca="false">IF(ISNUMBER(C4608),YEAR(C4608),"")</f>
        <v/>
      </c>
      <c r="W4608" s="23" t="str">
        <f aca="false">IF(ISNUMBER(C4608),MONTH(C4608),"")</f>
        <v/>
      </c>
      <c r="X4608" s="23" t="str">
        <f aca="false">IF(T4608="","",IF(T4608=0,"No discount",IF(T4608&lt;=0.2,"Low (1-20%)",IF(T4608&lt;=0.4,"Medium (21-40%)","High (&gt;40%)"))))</f>
        <v/>
      </c>
      <c r="Y4608" s="23" t="str">
        <f aca="false">IF(AND(ISNUMBER(C4608),ISNUMBER(D4608)),D4608-C4608,"")</f>
        <v/>
      </c>
      <c r="Z4608" s="23" t="str">
        <f aca="false">IF(B4608="","",IF(MATCH(B4608,$B$2:$B$12000,0)=ROW()-1,1,0))</f>
        <v/>
      </c>
    </row>
    <row r="4609" customFormat="false" ht="15" hidden="false" customHeight="false" outlineLevel="0" collapsed="false">
      <c r="V4609" s="23" t="str">
        <f aca="false">IF(ISNUMBER(C4609),YEAR(C4609),"")</f>
        <v/>
      </c>
      <c r="W4609" s="23" t="str">
        <f aca="false">IF(ISNUMBER(C4609),MONTH(C4609),"")</f>
        <v/>
      </c>
      <c r="X4609" s="23" t="str">
        <f aca="false">IF(T4609="","",IF(T4609=0,"No discount",IF(T4609&lt;=0.2,"Low (1-20%)",IF(T4609&lt;=0.4,"Medium (21-40%)","High (&gt;40%)"))))</f>
        <v/>
      </c>
      <c r="Y4609" s="23" t="str">
        <f aca="false">IF(AND(ISNUMBER(C4609),ISNUMBER(D4609)),D4609-C4609,"")</f>
        <v/>
      </c>
      <c r="Z4609" s="23" t="str">
        <f aca="false">IF(B4609="","",IF(MATCH(B4609,$B$2:$B$12000,0)=ROW()-1,1,0))</f>
        <v/>
      </c>
    </row>
    <row r="4610" customFormat="false" ht="15" hidden="false" customHeight="false" outlineLevel="0" collapsed="false">
      <c r="V4610" s="23" t="str">
        <f aca="false">IF(ISNUMBER(C4610),YEAR(C4610),"")</f>
        <v/>
      </c>
      <c r="W4610" s="23" t="str">
        <f aca="false">IF(ISNUMBER(C4610),MONTH(C4610),"")</f>
        <v/>
      </c>
      <c r="X4610" s="23" t="str">
        <f aca="false">IF(T4610="","",IF(T4610=0,"No discount",IF(T4610&lt;=0.2,"Low (1-20%)",IF(T4610&lt;=0.4,"Medium (21-40%)","High (&gt;40%)"))))</f>
        <v/>
      </c>
      <c r="Y4610" s="23" t="str">
        <f aca="false">IF(AND(ISNUMBER(C4610),ISNUMBER(D4610)),D4610-C4610,"")</f>
        <v/>
      </c>
      <c r="Z4610" s="23" t="str">
        <f aca="false">IF(B4610="","",IF(MATCH(B4610,$B$2:$B$12000,0)=ROW()-1,1,0))</f>
        <v/>
      </c>
    </row>
    <row r="4611" customFormat="false" ht="15" hidden="false" customHeight="false" outlineLevel="0" collapsed="false">
      <c r="V4611" s="23" t="str">
        <f aca="false">IF(ISNUMBER(C4611),YEAR(C4611),"")</f>
        <v/>
      </c>
      <c r="W4611" s="23" t="str">
        <f aca="false">IF(ISNUMBER(C4611),MONTH(C4611),"")</f>
        <v/>
      </c>
      <c r="X4611" s="23" t="str">
        <f aca="false">IF(T4611="","",IF(T4611=0,"No discount",IF(T4611&lt;=0.2,"Low (1-20%)",IF(T4611&lt;=0.4,"Medium (21-40%)","High (&gt;40%)"))))</f>
        <v/>
      </c>
      <c r="Y4611" s="23" t="str">
        <f aca="false">IF(AND(ISNUMBER(C4611),ISNUMBER(D4611)),D4611-C4611,"")</f>
        <v/>
      </c>
      <c r="Z4611" s="23" t="str">
        <f aca="false">IF(B4611="","",IF(MATCH(B4611,$B$2:$B$12000,0)=ROW()-1,1,0))</f>
        <v/>
      </c>
    </row>
    <row r="4612" customFormat="false" ht="15" hidden="false" customHeight="false" outlineLevel="0" collapsed="false">
      <c r="V4612" s="23" t="str">
        <f aca="false">IF(ISNUMBER(C4612),YEAR(C4612),"")</f>
        <v/>
      </c>
      <c r="W4612" s="23" t="str">
        <f aca="false">IF(ISNUMBER(C4612),MONTH(C4612),"")</f>
        <v/>
      </c>
      <c r="X4612" s="23" t="str">
        <f aca="false">IF(T4612="","",IF(T4612=0,"No discount",IF(T4612&lt;=0.2,"Low (1-20%)",IF(T4612&lt;=0.4,"Medium (21-40%)","High (&gt;40%)"))))</f>
        <v/>
      </c>
      <c r="Y4612" s="23" t="str">
        <f aca="false">IF(AND(ISNUMBER(C4612),ISNUMBER(D4612)),D4612-C4612,"")</f>
        <v/>
      </c>
      <c r="Z4612" s="23" t="str">
        <f aca="false">IF(B4612="","",IF(MATCH(B4612,$B$2:$B$12000,0)=ROW()-1,1,0))</f>
        <v/>
      </c>
    </row>
    <row r="4613" customFormat="false" ht="15" hidden="false" customHeight="false" outlineLevel="0" collapsed="false">
      <c r="V4613" s="23" t="str">
        <f aca="false">IF(ISNUMBER(C4613),YEAR(C4613),"")</f>
        <v/>
      </c>
      <c r="W4613" s="23" t="str">
        <f aca="false">IF(ISNUMBER(C4613),MONTH(C4613),"")</f>
        <v/>
      </c>
      <c r="X4613" s="23" t="str">
        <f aca="false">IF(T4613="","",IF(T4613=0,"No discount",IF(T4613&lt;=0.2,"Low (1-20%)",IF(T4613&lt;=0.4,"Medium (21-40%)","High (&gt;40%)"))))</f>
        <v/>
      </c>
      <c r="Y4613" s="23" t="str">
        <f aca="false">IF(AND(ISNUMBER(C4613),ISNUMBER(D4613)),D4613-C4613,"")</f>
        <v/>
      </c>
      <c r="Z4613" s="23" t="str">
        <f aca="false">IF(B4613="","",IF(MATCH(B4613,$B$2:$B$12000,0)=ROW()-1,1,0))</f>
        <v/>
      </c>
    </row>
    <row r="4614" customFormat="false" ht="15" hidden="false" customHeight="false" outlineLevel="0" collapsed="false">
      <c r="V4614" s="23" t="str">
        <f aca="false">IF(ISNUMBER(C4614),YEAR(C4614),"")</f>
        <v/>
      </c>
      <c r="W4614" s="23" t="str">
        <f aca="false">IF(ISNUMBER(C4614),MONTH(C4614),"")</f>
        <v/>
      </c>
      <c r="X4614" s="23" t="str">
        <f aca="false">IF(T4614="","",IF(T4614=0,"No discount",IF(T4614&lt;=0.2,"Low (1-20%)",IF(T4614&lt;=0.4,"Medium (21-40%)","High (&gt;40%)"))))</f>
        <v/>
      </c>
      <c r="Y4614" s="23" t="str">
        <f aca="false">IF(AND(ISNUMBER(C4614),ISNUMBER(D4614)),D4614-C4614,"")</f>
        <v/>
      </c>
      <c r="Z4614" s="23" t="str">
        <f aca="false">IF(B4614="","",IF(MATCH(B4614,$B$2:$B$12000,0)=ROW()-1,1,0))</f>
        <v/>
      </c>
    </row>
    <row r="4615" customFormat="false" ht="15" hidden="false" customHeight="false" outlineLevel="0" collapsed="false">
      <c r="V4615" s="23" t="str">
        <f aca="false">IF(ISNUMBER(C4615),YEAR(C4615),"")</f>
        <v/>
      </c>
      <c r="W4615" s="23" t="str">
        <f aca="false">IF(ISNUMBER(C4615),MONTH(C4615),"")</f>
        <v/>
      </c>
      <c r="X4615" s="23" t="str">
        <f aca="false">IF(T4615="","",IF(T4615=0,"No discount",IF(T4615&lt;=0.2,"Low (1-20%)",IF(T4615&lt;=0.4,"Medium (21-40%)","High (&gt;40%)"))))</f>
        <v/>
      </c>
      <c r="Y4615" s="23" t="str">
        <f aca="false">IF(AND(ISNUMBER(C4615),ISNUMBER(D4615)),D4615-C4615,"")</f>
        <v/>
      </c>
      <c r="Z4615" s="23" t="str">
        <f aca="false">IF(B4615="","",IF(MATCH(B4615,$B$2:$B$12000,0)=ROW()-1,1,0))</f>
        <v/>
      </c>
    </row>
    <row r="4616" customFormat="false" ht="15" hidden="false" customHeight="false" outlineLevel="0" collapsed="false">
      <c r="V4616" s="23" t="str">
        <f aca="false">IF(ISNUMBER(C4616),YEAR(C4616),"")</f>
        <v/>
      </c>
      <c r="W4616" s="23" t="str">
        <f aca="false">IF(ISNUMBER(C4616),MONTH(C4616),"")</f>
        <v/>
      </c>
      <c r="X4616" s="23" t="str">
        <f aca="false">IF(T4616="","",IF(T4616=0,"No discount",IF(T4616&lt;=0.2,"Low (1-20%)",IF(T4616&lt;=0.4,"Medium (21-40%)","High (&gt;40%)"))))</f>
        <v/>
      </c>
      <c r="Y4616" s="23" t="str">
        <f aca="false">IF(AND(ISNUMBER(C4616),ISNUMBER(D4616)),D4616-C4616,"")</f>
        <v/>
      </c>
      <c r="Z4616" s="23" t="str">
        <f aca="false">IF(B4616="","",IF(MATCH(B4616,$B$2:$B$12000,0)=ROW()-1,1,0))</f>
        <v/>
      </c>
    </row>
    <row r="4617" customFormat="false" ht="15" hidden="false" customHeight="false" outlineLevel="0" collapsed="false">
      <c r="V4617" s="23" t="str">
        <f aca="false">IF(ISNUMBER(C4617),YEAR(C4617),"")</f>
        <v/>
      </c>
      <c r="W4617" s="23" t="str">
        <f aca="false">IF(ISNUMBER(C4617),MONTH(C4617),"")</f>
        <v/>
      </c>
      <c r="X4617" s="23" t="str">
        <f aca="false">IF(T4617="","",IF(T4617=0,"No discount",IF(T4617&lt;=0.2,"Low (1-20%)",IF(T4617&lt;=0.4,"Medium (21-40%)","High (&gt;40%)"))))</f>
        <v/>
      </c>
      <c r="Y4617" s="23" t="str">
        <f aca="false">IF(AND(ISNUMBER(C4617),ISNUMBER(D4617)),D4617-C4617,"")</f>
        <v/>
      </c>
      <c r="Z4617" s="23" t="str">
        <f aca="false">IF(B4617="","",IF(MATCH(B4617,$B$2:$B$12000,0)=ROW()-1,1,0))</f>
        <v/>
      </c>
    </row>
    <row r="4618" customFormat="false" ht="15" hidden="false" customHeight="false" outlineLevel="0" collapsed="false">
      <c r="V4618" s="23" t="str">
        <f aca="false">IF(ISNUMBER(C4618),YEAR(C4618),"")</f>
        <v/>
      </c>
      <c r="W4618" s="23" t="str">
        <f aca="false">IF(ISNUMBER(C4618),MONTH(C4618),"")</f>
        <v/>
      </c>
      <c r="X4618" s="23" t="str">
        <f aca="false">IF(T4618="","",IF(T4618=0,"No discount",IF(T4618&lt;=0.2,"Low (1-20%)",IF(T4618&lt;=0.4,"Medium (21-40%)","High (&gt;40%)"))))</f>
        <v/>
      </c>
      <c r="Y4618" s="23" t="str">
        <f aca="false">IF(AND(ISNUMBER(C4618),ISNUMBER(D4618)),D4618-C4618,"")</f>
        <v/>
      </c>
      <c r="Z4618" s="23" t="str">
        <f aca="false">IF(B4618="","",IF(MATCH(B4618,$B$2:$B$12000,0)=ROW()-1,1,0))</f>
        <v/>
      </c>
    </row>
    <row r="4619" customFormat="false" ht="15" hidden="false" customHeight="false" outlineLevel="0" collapsed="false">
      <c r="V4619" s="23" t="str">
        <f aca="false">IF(ISNUMBER(C4619),YEAR(C4619),"")</f>
        <v/>
      </c>
      <c r="W4619" s="23" t="str">
        <f aca="false">IF(ISNUMBER(C4619),MONTH(C4619),"")</f>
        <v/>
      </c>
      <c r="X4619" s="23" t="str">
        <f aca="false">IF(T4619="","",IF(T4619=0,"No discount",IF(T4619&lt;=0.2,"Low (1-20%)",IF(T4619&lt;=0.4,"Medium (21-40%)","High (&gt;40%)"))))</f>
        <v/>
      </c>
      <c r="Y4619" s="23" t="str">
        <f aca="false">IF(AND(ISNUMBER(C4619),ISNUMBER(D4619)),D4619-C4619,"")</f>
        <v/>
      </c>
      <c r="Z4619" s="23" t="str">
        <f aca="false">IF(B4619="","",IF(MATCH(B4619,$B$2:$B$12000,0)=ROW()-1,1,0))</f>
        <v/>
      </c>
    </row>
    <row r="4620" customFormat="false" ht="15" hidden="false" customHeight="false" outlineLevel="0" collapsed="false">
      <c r="V4620" s="23" t="str">
        <f aca="false">IF(ISNUMBER(C4620),YEAR(C4620),"")</f>
        <v/>
      </c>
      <c r="W4620" s="23" t="str">
        <f aca="false">IF(ISNUMBER(C4620),MONTH(C4620),"")</f>
        <v/>
      </c>
      <c r="X4620" s="23" t="str">
        <f aca="false">IF(T4620="","",IF(T4620=0,"No discount",IF(T4620&lt;=0.2,"Low (1-20%)",IF(T4620&lt;=0.4,"Medium (21-40%)","High (&gt;40%)"))))</f>
        <v/>
      </c>
      <c r="Y4620" s="23" t="str">
        <f aca="false">IF(AND(ISNUMBER(C4620),ISNUMBER(D4620)),D4620-C4620,"")</f>
        <v/>
      </c>
      <c r="Z4620" s="23" t="str">
        <f aca="false">IF(B4620="","",IF(MATCH(B4620,$B$2:$B$12000,0)=ROW()-1,1,0))</f>
        <v/>
      </c>
    </row>
    <row r="4621" customFormat="false" ht="15" hidden="false" customHeight="false" outlineLevel="0" collapsed="false">
      <c r="V4621" s="23" t="str">
        <f aca="false">IF(ISNUMBER(C4621),YEAR(C4621),"")</f>
        <v/>
      </c>
      <c r="W4621" s="23" t="str">
        <f aca="false">IF(ISNUMBER(C4621),MONTH(C4621),"")</f>
        <v/>
      </c>
      <c r="X4621" s="23" t="str">
        <f aca="false">IF(T4621="","",IF(T4621=0,"No discount",IF(T4621&lt;=0.2,"Low (1-20%)",IF(T4621&lt;=0.4,"Medium (21-40%)","High (&gt;40%)"))))</f>
        <v/>
      </c>
      <c r="Y4621" s="23" t="str">
        <f aca="false">IF(AND(ISNUMBER(C4621),ISNUMBER(D4621)),D4621-C4621,"")</f>
        <v/>
      </c>
      <c r="Z4621" s="23" t="str">
        <f aca="false">IF(B4621="","",IF(MATCH(B4621,$B$2:$B$12000,0)=ROW()-1,1,0))</f>
        <v/>
      </c>
    </row>
    <row r="4622" customFormat="false" ht="15" hidden="false" customHeight="false" outlineLevel="0" collapsed="false">
      <c r="V4622" s="23" t="str">
        <f aca="false">IF(ISNUMBER(C4622),YEAR(C4622),"")</f>
        <v/>
      </c>
      <c r="W4622" s="23" t="str">
        <f aca="false">IF(ISNUMBER(C4622),MONTH(C4622),"")</f>
        <v/>
      </c>
      <c r="X4622" s="23" t="str">
        <f aca="false">IF(T4622="","",IF(T4622=0,"No discount",IF(T4622&lt;=0.2,"Low (1-20%)",IF(T4622&lt;=0.4,"Medium (21-40%)","High (&gt;40%)"))))</f>
        <v/>
      </c>
      <c r="Y4622" s="23" t="str">
        <f aca="false">IF(AND(ISNUMBER(C4622),ISNUMBER(D4622)),D4622-C4622,"")</f>
        <v/>
      </c>
      <c r="Z4622" s="23" t="str">
        <f aca="false">IF(B4622="","",IF(MATCH(B4622,$B$2:$B$12000,0)=ROW()-1,1,0))</f>
        <v/>
      </c>
    </row>
    <row r="4623" customFormat="false" ht="15" hidden="false" customHeight="false" outlineLevel="0" collapsed="false">
      <c r="V4623" s="23" t="str">
        <f aca="false">IF(ISNUMBER(C4623),YEAR(C4623),"")</f>
        <v/>
      </c>
      <c r="W4623" s="23" t="str">
        <f aca="false">IF(ISNUMBER(C4623),MONTH(C4623),"")</f>
        <v/>
      </c>
      <c r="X4623" s="23" t="str">
        <f aca="false">IF(T4623="","",IF(T4623=0,"No discount",IF(T4623&lt;=0.2,"Low (1-20%)",IF(T4623&lt;=0.4,"Medium (21-40%)","High (&gt;40%)"))))</f>
        <v/>
      </c>
      <c r="Y4623" s="23" t="str">
        <f aca="false">IF(AND(ISNUMBER(C4623),ISNUMBER(D4623)),D4623-C4623,"")</f>
        <v/>
      </c>
      <c r="Z4623" s="23" t="str">
        <f aca="false">IF(B4623="","",IF(MATCH(B4623,$B$2:$B$12000,0)=ROW()-1,1,0))</f>
        <v/>
      </c>
    </row>
    <row r="4624" customFormat="false" ht="15" hidden="false" customHeight="false" outlineLevel="0" collapsed="false">
      <c r="V4624" s="23" t="str">
        <f aca="false">IF(ISNUMBER(C4624),YEAR(C4624),"")</f>
        <v/>
      </c>
      <c r="W4624" s="23" t="str">
        <f aca="false">IF(ISNUMBER(C4624),MONTH(C4624),"")</f>
        <v/>
      </c>
      <c r="X4624" s="23" t="str">
        <f aca="false">IF(T4624="","",IF(T4624=0,"No discount",IF(T4624&lt;=0.2,"Low (1-20%)",IF(T4624&lt;=0.4,"Medium (21-40%)","High (&gt;40%)"))))</f>
        <v/>
      </c>
      <c r="Y4624" s="23" t="str">
        <f aca="false">IF(AND(ISNUMBER(C4624),ISNUMBER(D4624)),D4624-C4624,"")</f>
        <v/>
      </c>
      <c r="Z4624" s="23" t="str">
        <f aca="false">IF(B4624="","",IF(MATCH(B4624,$B$2:$B$12000,0)=ROW()-1,1,0))</f>
        <v/>
      </c>
    </row>
    <row r="4625" customFormat="false" ht="15" hidden="false" customHeight="false" outlineLevel="0" collapsed="false">
      <c r="V4625" s="23" t="str">
        <f aca="false">IF(ISNUMBER(C4625),YEAR(C4625),"")</f>
        <v/>
      </c>
      <c r="W4625" s="23" t="str">
        <f aca="false">IF(ISNUMBER(C4625),MONTH(C4625),"")</f>
        <v/>
      </c>
      <c r="X4625" s="23" t="str">
        <f aca="false">IF(T4625="","",IF(T4625=0,"No discount",IF(T4625&lt;=0.2,"Low (1-20%)",IF(T4625&lt;=0.4,"Medium (21-40%)","High (&gt;40%)"))))</f>
        <v/>
      </c>
      <c r="Y4625" s="23" t="str">
        <f aca="false">IF(AND(ISNUMBER(C4625),ISNUMBER(D4625)),D4625-C4625,"")</f>
        <v/>
      </c>
      <c r="Z4625" s="23" t="str">
        <f aca="false">IF(B4625="","",IF(MATCH(B4625,$B$2:$B$12000,0)=ROW()-1,1,0))</f>
        <v/>
      </c>
    </row>
    <row r="4626" customFormat="false" ht="15" hidden="false" customHeight="false" outlineLevel="0" collapsed="false">
      <c r="V4626" s="23" t="str">
        <f aca="false">IF(ISNUMBER(C4626),YEAR(C4626),"")</f>
        <v/>
      </c>
      <c r="W4626" s="23" t="str">
        <f aca="false">IF(ISNUMBER(C4626),MONTH(C4626),"")</f>
        <v/>
      </c>
      <c r="X4626" s="23" t="str">
        <f aca="false">IF(T4626="","",IF(T4626=0,"No discount",IF(T4626&lt;=0.2,"Low (1-20%)",IF(T4626&lt;=0.4,"Medium (21-40%)","High (&gt;40%)"))))</f>
        <v/>
      </c>
      <c r="Y4626" s="23" t="str">
        <f aca="false">IF(AND(ISNUMBER(C4626),ISNUMBER(D4626)),D4626-C4626,"")</f>
        <v/>
      </c>
      <c r="Z4626" s="23" t="str">
        <f aca="false">IF(B4626="","",IF(MATCH(B4626,$B$2:$B$12000,0)=ROW()-1,1,0))</f>
        <v/>
      </c>
    </row>
    <row r="4627" customFormat="false" ht="15" hidden="false" customHeight="false" outlineLevel="0" collapsed="false">
      <c r="V4627" s="23" t="str">
        <f aca="false">IF(ISNUMBER(C4627),YEAR(C4627),"")</f>
        <v/>
      </c>
      <c r="W4627" s="23" t="str">
        <f aca="false">IF(ISNUMBER(C4627),MONTH(C4627),"")</f>
        <v/>
      </c>
      <c r="X4627" s="23" t="str">
        <f aca="false">IF(T4627="","",IF(T4627=0,"No discount",IF(T4627&lt;=0.2,"Low (1-20%)",IF(T4627&lt;=0.4,"Medium (21-40%)","High (&gt;40%)"))))</f>
        <v/>
      </c>
      <c r="Y4627" s="23" t="str">
        <f aca="false">IF(AND(ISNUMBER(C4627),ISNUMBER(D4627)),D4627-C4627,"")</f>
        <v/>
      </c>
      <c r="Z4627" s="23" t="str">
        <f aca="false">IF(B4627="","",IF(MATCH(B4627,$B$2:$B$12000,0)=ROW()-1,1,0))</f>
        <v/>
      </c>
    </row>
    <row r="4628" customFormat="false" ht="15" hidden="false" customHeight="false" outlineLevel="0" collapsed="false">
      <c r="V4628" s="23" t="str">
        <f aca="false">IF(ISNUMBER(C4628),YEAR(C4628),"")</f>
        <v/>
      </c>
      <c r="W4628" s="23" t="str">
        <f aca="false">IF(ISNUMBER(C4628),MONTH(C4628),"")</f>
        <v/>
      </c>
      <c r="X4628" s="23" t="str">
        <f aca="false">IF(T4628="","",IF(T4628=0,"No discount",IF(T4628&lt;=0.2,"Low (1-20%)",IF(T4628&lt;=0.4,"Medium (21-40%)","High (&gt;40%)"))))</f>
        <v/>
      </c>
      <c r="Y4628" s="23" t="str">
        <f aca="false">IF(AND(ISNUMBER(C4628),ISNUMBER(D4628)),D4628-C4628,"")</f>
        <v/>
      </c>
      <c r="Z4628" s="23" t="str">
        <f aca="false">IF(B4628="","",IF(MATCH(B4628,$B$2:$B$12000,0)=ROW()-1,1,0))</f>
        <v/>
      </c>
    </row>
    <row r="4629" customFormat="false" ht="15" hidden="false" customHeight="false" outlineLevel="0" collapsed="false">
      <c r="V4629" s="23" t="str">
        <f aca="false">IF(ISNUMBER(C4629),YEAR(C4629),"")</f>
        <v/>
      </c>
      <c r="W4629" s="23" t="str">
        <f aca="false">IF(ISNUMBER(C4629),MONTH(C4629),"")</f>
        <v/>
      </c>
      <c r="X4629" s="23" t="str">
        <f aca="false">IF(T4629="","",IF(T4629=0,"No discount",IF(T4629&lt;=0.2,"Low (1-20%)",IF(T4629&lt;=0.4,"Medium (21-40%)","High (&gt;40%)"))))</f>
        <v/>
      </c>
      <c r="Y4629" s="23" t="str">
        <f aca="false">IF(AND(ISNUMBER(C4629),ISNUMBER(D4629)),D4629-C4629,"")</f>
        <v/>
      </c>
      <c r="Z4629" s="23" t="str">
        <f aca="false">IF(B4629="","",IF(MATCH(B4629,$B$2:$B$12000,0)=ROW()-1,1,0))</f>
        <v/>
      </c>
    </row>
    <row r="4630" customFormat="false" ht="15" hidden="false" customHeight="false" outlineLevel="0" collapsed="false">
      <c r="V4630" s="23" t="str">
        <f aca="false">IF(ISNUMBER(C4630),YEAR(C4630),"")</f>
        <v/>
      </c>
      <c r="W4630" s="23" t="str">
        <f aca="false">IF(ISNUMBER(C4630),MONTH(C4630),"")</f>
        <v/>
      </c>
      <c r="X4630" s="23" t="str">
        <f aca="false">IF(T4630="","",IF(T4630=0,"No discount",IF(T4630&lt;=0.2,"Low (1-20%)",IF(T4630&lt;=0.4,"Medium (21-40%)","High (&gt;40%)"))))</f>
        <v/>
      </c>
      <c r="Y4630" s="23" t="str">
        <f aca="false">IF(AND(ISNUMBER(C4630),ISNUMBER(D4630)),D4630-C4630,"")</f>
        <v/>
      </c>
      <c r="Z4630" s="23" t="str">
        <f aca="false">IF(B4630="","",IF(MATCH(B4630,$B$2:$B$12000,0)=ROW()-1,1,0))</f>
        <v/>
      </c>
    </row>
    <row r="4631" customFormat="false" ht="15" hidden="false" customHeight="false" outlineLevel="0" collapsed="false">
      <c r="V4631" s="23" t="str">
        <f aca="false">IF(ISNUMBER(C4631),YEAR(C4631),"")</f>
        <v/>
      </c>
      <c r="W4631" s="23" t="str">
        <f aca="false">IF(ISNUMBER(C4631),MONTH(C4631),"")</f>
        <v/>
      </c>
      <c r="X4631" s="23" t="str">
        <f aca="false">IF(T4631="","",IF(T4631=0,"No discount",IF(T4631&lt;=0.2,"Low (1-20%)",IF(T4631&lt;=0.4,"Medium (21-40%)","High (&gt;40%)"))))</f>
        <v/>
      </c>
      <c r="Y4631" s="23" t="str">
        <f aca="false">IF(AND(ISNUMBER(C4631),ISNUMBER(D4631)),D4631-C4631,"")</f>
        <v/>
      </c>
      <c r="Z4631" s="23" t="str">
        <f aca="false">IF(B4631="","",IF(MATCH(B4631,$B$2:$B$12000,0)=ROW()-1,1,0))</f>
        <v/>
      </c>
    </row>
    <row r="4632" customFormat="false" ht="15" hidden="false" customHeight="false" outlineLevel="0" collapsed="false">
      <c r="V4632" s="23" t="str">
        <f aca="false">IF(ISNUMBER(C4632),YEAR(C4632),"")</f>
        <v/>
      </c>
      <c r="W4632" s="23" t="str">
        <f aca="false">IF(ISNUMBER(C4632),MONTH(C4632),"")</f>
        <v/>
      </c>
      <c r="X4632" s="23" t="str">
        <f aca="false">IF(T4632="","",IF(T4632=0,"No discount",IF(T4632&lt;=0.2,"Low (1-20%)",IF(T4632&lt;=0.4,"Medium (21-40%)","High (&gt;40%)"))))</f>
        <v/>
      </c>
      <c r="Y4632" s="23" t="str">
        <f aca="false">IF(AND(ISNUMBER(C4632),ISNUMBER(D4632)),D4632-C4632,"")</f>
        <v/>
      </c>
      <c r="Z4632" s="23" t="str">
        <f aca="false">IF(B4632="","",IF(MATCH(B4632,$B$2:$B$12000,0)=ROW()-1,1,0))</f>
        <v/>
      </c>
    </row>
    <row r="4633" customFormat="false" ht="15" hidden="false" customHeight="false" outlineLevel="0" collapsed="false">
      <c r="V4633" s="23" t="str">
        <f aca="false">IF(ISNUMBER(C4633),YEAR(C4633),"")</f>
        <v/>
      </c>
      <c r="W4633" s="23" t="str">
        <f aca="false">IF(ISNUMBER(C4633),MONTH(C4633),"")</f>
        <v/>
      </c>
      <c r="X4633" s="23" t="str">
        <f aca="false">IF(T4633="","",IF(T4633=0,"No discount",IF(T4633&lt;=0.2,"Low (1-20%)",IF(T4633&lt;=0.4,"Medium (21-40%)","High (&gt;40%)"))))</f>
        <v/>
      </c>
      <c r="Y4633" s="23" t="str">
        <f aca="false">IF(AND(ISNUMBER(C4633),ISNUMBER(D4633)),D4633-C4633,"")</f>
        <v/>
      </c>
      <c r="Z4633" s="23" t="str">
        <f aca="false">IF(B4633="","",IF(MATCH(B4633,$B$2:$B$12000,0)=ROW()-1,1,0))</f>
        <v/>
      </c>
    </row>
    <row r="4634" customFormat="false" ht="15" hidden="false" customHeight="false" outlineLevel="0" collapsed="false">
      <c r="V4634" s="23" t="str">
        <f aca="false">IF(ISNUMBER(C4634),YEAR(C4634),"")</f>
        <v/>
      </c>
      <c r="W4634" s="23" t="str">
        <f aca="false">IF(ISNUMBER(C4634),MONTH(C4634),"")</f>
        <v/>
      </c>
      <c r="X4634" s="23" t="str">
        <f aca="false">IF(T4634="","",IF(T4634=0,"No discount",IF(T4634&lt;=0.2,"Low (1-20%)",IF(T4634&lt;=0.4,"Medium (21-40%)","High (&gt;40%)"))))</f>
        <v/>
      </c>
      <c r="Y4634" s="23" t="str">
        <f aca="false">IF(AND(ISNUMBER(C4634),ISNUMBER(D4634)),D4634-C4634,"")</f>
        <v/>
      </c>
      <c r="Z4634" s="23" t="str">
        <f aca="false">IF(B4634="","",IF(MATCH(B4634,$B$2:$B$12000,0)=ROW()-1,1,0))</f>
        <v/>
      </c>
    </row>
    <row r="4635" customFormat="false" ht="15" hidden="false" customHeight="false" outlineLevel="0" collapsed="false">
      <c r="V4635" s="23" t="str">
        <f aca="false">IF(ISNUMBER(C4635),YEAR(C4635),"")</f>
        <v/>
      </c>
      <c r="W4635" s="23" t="str">
        <f aca="false">IF(ISNUMBER(C4635),MONTH(C4635),"")</f>
        <v/>
      </c>
      <c r="X4635" s="23" t="str">
        <f aca="false">IF(T4635="","",IF(T4635=0,"No discount",IF(T4635&lt;=0.2,"Low (1-20%)",IF(T4635&lt;=0.4,"Medium (21-40%)","High (&gt;40%)"))))</f>
        <v/>
      </c>
      <c r="Y4635" s="23" t="str">
        <f aca="false">IF(AND(ISNUMBER(C4635),ISNUMBER(D4635)),D4635-C4635,"")</f>
        <v/>
      </c>
      <c r="Z4635" s="23" t="str">
        <f aca="false">IF(B4635="","",IF(MATCH(B4635,$B$2:$B$12000,0)=ROW()-1,1,0))</f>
        <v/>
      </c>
    </row>
    <row r="4636" customFormat="false" ht="15" hidden="false" customHeight="false" outlineLevel="0" collapsed="false">
      <c r="V4636" s="23" t="str">
        <f aca="false">IF(ISNUMBER(C4636),YEAR(C4636),"")</f>
        <v/>
      </c>
      <c r="W4636" s="23" t="str">
        <f aca="false">IF(ISNUMBER(C4636),MONTH(C4636),"")</f>
        <v/>
      </c>
      <c r="X4636" s="23" t="str">
        <f aca="false">IF(T4636="","",IF(T4636=0,"No discount",IF(T4636&lt;=0.2,"Low (1-20%)",IF(T4636&lt;=0.4,"Medium (21-40%)","High (&gt;40%)"))))</f>
        <v/>
      </c>
      <c r="Y4636" s="23" t="str">
        <f aca="false">IF(AND(ISNUMBER(C4636),ISNUMBER(D4636)),D4636-C4636,"")</f>
        <v/>
      </c>
      <c r="Z4636" s="23" t="str">
        <f aca="false">IF(B4636="","",IF(MATCH(B4636,$B$2:$B$12000,0)=ROW()-1,1,0))</f>
        <v/>
      </c>
    </row>
    <row r="4637" customFormat="false" ht="15" hidden="false" customHeight="false" outlineLevel="0" collapsed="false">
      <c r="V4637" s="23" t="str">
        <f aca="false">IF(ISNUMBER(C4637),YEAR(C4637),"")</f>
        <v/>
      </c>
      <c r="W4637" s="23" t="str">
        <f aca="false">IF(ISNUMBER(C4637),MONTH(C4637),"")</f>
        <v/>
      </c>
      <c r="X4637" s="23" t="str">
        <f aca="false">IF(T4637="","",IF(T4637=0,"No discount",IF(T4637&lt;=0.2,"Low (1-20%)",IF(T4637&lt;=0.4,"Medium (21-40%)","High (&gt;40%)"))))</f>
        <v/>
      </c>
      <c r="Y4637" s="23" t="str">
        <f aca="false">IF(AND(ISNUMBER(C4637),ISNUMBER(D4637)),D4637-C4637,"")</f>
        <v/>
      </c>
      <c r="Z4637" s="23" t="str">
        <f aca="false">IF(B4637="","",IF(MATCH(B4637,$B$2:$B$12000,0)=ROW()-1,1,0))</f>
        <v/>
      </c>
    </row>
    <row r="4638" customFormat="false" ht="15" hidden="false" customHeight="false" outlineLevel="0" collapsed="false">
      <c r="V4638" s="23" t="str">
        <f aca="false">IF(ISNUMBER(C4638),YEAR(C4638),"")</f>
        <v/>
      </c>
      <c r="W4638" s="23" t="str">
        <f aca="false">IF(ISNUMBER(C4638),MONTH(C4638),"")</f>
        <v/>
      </c>
      <c r="X4638" s="23" t="str">
        <f aca="false">IF(T4638="","",IF(T4638=0,"No discount",IF(T4638&lt;=0.2,"Low (1-20%)",IF(T4638&lt;=0.4,"Medium (21-40%)","High (&gt;40%)"))))</f>
        <v/>
      </c>
      <c r="Y4638" s="23" t="str">
        <f aca="false">IF(AND(ISNUMBER(C4638),ISNUMBER(D4638)),D4638-C4638,"")</f>
        <v/>
      </c>
      <c r="Z4638" s="23" t="str">
        <f aca="false">IF(B4638="","",IF(MATCH(B4638,$B$2:$B$12000,0)=ROW()-1,1,0))</f>
        <v/>
      </c>
    </row>
    <row r="4639" customFormat="false" ht="15" hidden="false" customHeight="false" outlineLevel="0" collapsed="false">
      <c r="V4639" s="23" t="str">
        <f aca="false">IF(ISNUMBER(C4639),YEAR(C4639),"")</f>
        <v/>
      </c>
      <c r="W4639" s="23" t="str">
        <f aca="false">IF(ISNUMBER(C4639),MONTH(C4639),"")</f>
        <v/>
      </c>
      <c r="X4639" s="23" t="str">
        <f aca="false">IF(T4639="","",IF(T4639=0,"No discount",IF(T4639&lt;=0.2,"Low (1-20%)",IF(T4639&lt;=0.4,"Medium (21-40%)","High (&gt;40%)"))))</f>
        <v/>
      </c>
      <c r="Y4639" s="23" t="str">
        <f aca="false">IF(AND(ISNUMBER(C4639),ISNUMBER(D4639)),D4639-C4639,"")</f>
        <v/>
      </c>
      <c r="Z4639" s="23" t="str">
        <f aca="false">IF(B4639="","",IF(MATCH(B4639,$B$2:$B$12000,0)=ROW()-1,1,0))</f>
        <v/>
      </c>
    </row>
    <row r="4640" customFormat="false" ht="15" hidden="false" customHeight="false" outlineLevel="0" collapsed="false">
      <c r="V4640" s="23" t="str">
        <f aca="false">IF(ISNUMBER(C4640),YEAR(C4640),"")</f>
        <v/>
      </c>
      <c r="W4640" s="23" t="str">
        <f aca="false">IF(ISNUMBER(C4640),MONTH(C4640),"")</f>
        <v/>
      </c>
      <c r="X4640" s="23" t="str">
        <f aca="false">IF(T4640="","",IF(T4640=0,"No discount",IF(T4640&lt;=0.2,"Low (1-20%)",IF(T4640&lt;=0.4,"Medium (21-40%)","High (&gt;40%)"))))</f>
        <v/>
      </c>
      <c r="Y4640" s="23" t="str">
        <f aca="false">IF(AND(ISNUMBER(C4640),ISNUMBER(D4640)),D4640-C4640,"")</f>
        <v/>
      </c>
      <c r="Z4640" s="23" t="str">
        <f aca="false">IF(B4640="","",IF(MATCH(B4640,$B$2:$B$12000,0)=ROW()-1,1,0))</f>
        <v/>
      </c>
    </row>
    <row r="4641" customFormat="false" ht="15" hidden="false" customHeight="false" outlineLevel="0" collapsed="false">
      <c r="V4641" s="23" t="str">
        <f aca="false">IF(ISNUMBER(C4641),YEAR(C4641),"")</f>
        <v/>
      </c>
      <c r="W4641" s="23" t="str">
        <f aca="false">IF(ISNUMBER(C4641),MONTH(C4641),"")</f>
        <v/>
      </c>
      <c r="X4641" s="23" t="str">
        <f aca="false">IF(T4641="","",IF(T4641=0,"No discount",IF(T4641&lt;=0.2,"Low (1-20%)",IF(T4641&lt;=0.4,"Medium (21-40%)","High (&gt;40%)"))))</f>
        <v/>
      </c>
      <c r="Y4641" s="23" t="str">
        <f aca="false">IF(AND(ISNUMBER(C4641),ISNUMBER(D4641)),D4641-C4641,"")</f>
        <v/>
      </c>
      <c r="Z4641" s="23" t="str">
        <f aca="false">IF(B4641="","",IF(MATCH(B4641,$B$2:$B$12000,0)=ROW()-1,1,0))</f>
        <v/>
      </c>
    </row>
    <row r="4642" customFormat="false" ht="15" hidden="false" customHeight="false" outlineLevel="0" collapsed="false">
      <c r="V4642" s="23" t="str">
        <f aca="false">IF(ISNUMBER(C4642),YEAR(C4642),"")</f>
        <v/>
      </c>
      <c r="W4642" s="23" t="str">
        <f aca="false">IF(ISNUMBER(C4642),MONTH(C4642),"")</f>
        <v/>
      </c>
      <c r="X4642" s="23" t="str">
        <f aca="false">IF(T4642="","",IF(T4642=0,"No discount",IF(T4642&lt;=0.2,"Low (1-20%)",IF(T4642&lt;=0.4,"Medium (21-40%)","High (&gt;40%)"))))</f>
        <v/>
      </c>
      <c r="Y4642" s="23" t="str">
        <f aca="false">IF(AND(ISNUMBER(C4642),ISNUMBER(D4642)),D4642-C4642,"")</f>
        <v/>
      </c>
      <c r="Z4642" s="23" t="str">
        <f aca="false">IF(B4642="","",IF(MATCH(B4642,$B$2:$B$12000,0)=ROW()-1,1,0))</f>
        <v/>
      </c>
    </row>
    <row r="4643" customFormat="false" ht="15" hidden="false" customHeight="false" outlineLevel="0" collapsed="false">
      <c r="V4643" s="23" t="str">
        <f aca="false">IF(ISNUMBER(C4643),YEAR(C4643),"")</f>
        <v/>
      </c>
      <c r="W4643" s="23" t="str">
        <f aca="false">IF(ISNUMBER(C4643),MONTH(C4643),"")</f>
        <v/>
      </c>
      <c r="X4643" s="23" t="str">
        <f aca="false">IF(T4643="","",IF(T4643=0,"No discount",IF(T4643&lt;=0.2,"Low (1-20%)",IF(T4643&lt;=0.4,"Medium (21-40%)","High (&gt;40%)"))))</f>
        <v/>
      </c>
      <c r="Y4643" s="23" t="str">
        <f aca="false">IF(AND(ISNUMBER(C4643),ISNUMBER(D4643)),D4643-C4643,"")</f>
        <v/>
      </c>
      <c r="Z4643" s="23" t="str">
        <f aca="false">IF(B4643="","",IF(MATCH(B4643,$B$2:$B$12000,0)=ROW()-1,1,0))</f>
        <v/>
      </c>
    </row>
    <row r="4644" customFormat="false" ht="15" hidden="false" customHeight="false" outlineLevel="0" collapsed="false">
      <c r="V4644" s="23" t="str">
        <f aca="false">IF(ISNUMBER(C4644),YEAR(C4644),"")</f>
        <v/>
      </c>
      <c r="W4644" s="23" t="str">
        <f aca="false">IF(ISNUMBER(C4644),MONTH(C4644),"")</f>
        <v/>
      </c>
      <c r="X4644" s="23" t="str">
        <f aca="false">IF(T4644="","",IF(T4644=0,"No discount",IF(T4644&lt;=0.2,"Low (1-20%)",IF(T4644&lt;=0.4,"Medium (21-40%)","High (&gt;40%)"))))</f>
        <v/>
      </c>
      <c r="Y4644" s="23" t="str">
        <f aca="false">IF(AND(ISNUMBER(C4644),ISNUMBER(D4644)),D4644-C4644,"")</f>
        <v/>
      </c>
      <c r="Z4644" s="23" t="str">
        <f aca="false">IF(B4644="","",IF(MATCH(B4644,$B$2:$B$12000,0)=ROW()-1,1,0))</f>
        <v/>
      </c>
    </row>
    <row r="4645" customFormat="false" ht="15" hidden="false" customHeight="false" outlineLevel="0" collapsed="false">
      <c r="V4645" s="23" t="str">
        <f aca="false">IF(ISNUMBER(C4645),YEAR(C4645),"")</f>
        <v/>
      </c>
      <c r="W4645" s="23" t="str">
        <f aca="false">IF(ISNUMBER(C4645),MONTH(C4645),"")</f>
        <v/>
      </c>
      <c r="X4645" s="23" t="str">
        <f aca="false">IF(T4645="","",IF(T4645=0,"No discount",IF(T4645&lt;=0.2,"Low (1-20%)",IF(T4645&lt;=0.4,"Medium (21-40%)","High (&gt;40%)"))))</f>
        <v/>
      </c>
      <c r="Y4645" s="23" t="str">
        <f aca="false">IF(AND(ISNUMBER(C4645),ISNUMBER(D4645)),D4645-C4645,"")</f>
        <v/>
      </c>
      <c r="Z4645" s="23" t="str">
        <f aca="false">IF(B4645="","",IF(MATCH(B4645,$B$2:$B$12000,0)=ROW()-1,1,0))</f>
        <v/>
      </c>
    </row>
    <row r="4646" customFormat="false" ht="15" hidden="false" customHeight="false" outlineLevel="0" collapsed="false">
      <c r="V4646" s="23" t="str">
        <f aca="false">IF(ISNUMBER(C4646),YEAR(C4646),"")</f>
        <v/>
      </c>
      <c r="W4646" s="23" t="str">
        <f aca="false">IF(ISNUMBER(C4646),MONTH(C4646),"")</f>
        <v/>
      </c>
      <c r="X4646" s="23" t="str">
        <f aca="false">IF(T4646="","",IF(T4646=0,"No discount",IF(T4646&lt;=0.2,"Low (1-20%)",IF(T4646&lt;=0.4,"Medium (21-40%)","High (&gt;40%)"))))</f>
        <v/>
      </c>
      <c r="Y4646" s="23" t="str">
        <f aca="false">IF(AND(ISNUMBER(C4646),ISNUMBER(D4646)),D4646-C4646,"")</f>
        <v/>
      </c>
      <c r="Z4646" s="23" t="str">
        <f aca="false">IF(B4646="","",IF(MATCH(B4646,$B$2:$B$12000,0)=ROW()-1,1,0))</f>
        <v/>
      </c>
    </row>
    <row r="4647" customFormat="false" ht="15" hidden="false" customHeight="false" outlineLevel="0" collapsed="false">
      <c r="V4647" s="23" t="str">
        <f aca="false">IF(ISNUMBER(C4647),YEAR(C4647),"")</f>
        <v/>
      </c>
      <c r="W4647" s="23" t="str">
        <f aca="false">IF(ISNUMBER(C4647),MONTH(C4647),"")</f>
        <v/>
      </c>
      <c r="X4647" s="23" t="str">
        <f aca="false">IF(T4647="","",IF(T4647=0,"No discount",IF(T4647&lt;=0.2,"Low (1-20%)",IF(T4647&lt;=0.4,"Medium (21-40%)","High (&gt;40%)"))))</f>
        <v/>
      </c>
      <c r="Y4647" s="23" t="str">
        <f aca="false">IF(AND(ISNUMBER(C4647),ISNUMBER(D4647)),D4647-C4647,"")</f>
        <v/>
      </c>
      <c r="Z4647" s="23" t="str">
        <f aca="false">IF(B4647="","",IF(MATCH(B4647,$B$2:$B$12000,0)=ROW()-1,1,0))</f>
        <v/>
      </c>
    </row>
    <row r="4648" customFormat="false" ht="15" hidden="false" customHeight="false" outlineLevel="0" collapsed="false">
      <c r="V4648" s="23" t="str">
        <f aca="false">IF(ISNUMBER(C4648),YEAR(C4648),"")</f>
        <v/>
      </c>
      <c r="W4648" s="23" t="str">
        <f aca="false">IF(ISNUMBER(C4648),MONTH(C4648),"")</f>
        <v/>
      </c>
      <c r="X4648" s="23" t="str">
        <f aca="false">IF(T4648="","",IF(T4648=0,"No discount",IF(T4648&lt;=0.2,"Low (1-20%)",IF(T4648&lt;=0.4,"Medium (21-40%)","High (&gt;40%)"))))</f>
        <v/>
      </c>
      <c r="Y4648" s="23" t="str">
        <f aca="false">IF(AND(ISNUMBER(C4648),ISNUMBER(D4648)),D4648-C4648,"")</f>
        <v/>
      </c>
      <c r="Z4648" s="23" t="str">
        <f aca="false">IF(B4648="","",IF(MATCH(B4648,$B$2:$B$12000,0)=ROW()-1,1,0))</f>
        <v/>
      </c>
    </row>
    <row r="4649" customFormat="false" ht="15" hidden="false" customHeight="false" outlineLevel="0" collapsed="false">
      <c r="V4649" s="23" t="str">
        <f aca="false">IF(ISNUMBER(C4649),YEAR(C4649),"")</f>
        <v/>
      </c>
      <c r="W4649" s="23" t="str">
        <f aca="false">IF(ISNUMBER(C4649),MONTH(C4649),"")</f>
        <v/>
      </c>
      <c r="X4649" s="23" t="str">
        <f aca="false">IF(T4649="","",IF(T4649=0,"No discount",IF(T4649&lt;=0.2,"Low (1-20%)",IF(T4649&lt;=0.4,"Medium (21-40%)","High (&gt;40%)"))))</f>
        <v/>
      </c>
      <c r="Y4649" s="23" t="str">
        <f aca="false">IF(AND(ISNUMBER(C4649),ISNUMBER(D4649)),D4649-C4649,"")</f>
        <v/>
      </c>
      <c r="Z4649" s="23" t="str">
        <f aca="false">IF(B4649="","",IF(MATCH(B4649,$B$2:$B$12000,0)=ROW()-1,1,0))</f>
        <v/>
      </c>
    </row>
    <row r="4650" customFormat="false" ht="15" hidden="false" customHeight="false" outlineLevel="0" collapsed="false">
      <c r="V4650" s="23" t="str">
        <f aca="false">IF(ISNUMBER(C4650),YEAR(C4650),"")</f>
        <v/>
      </c>
      <c r="W4650" s="23" t="str">
        <f aca="false">IF(ISNUMBER(C4650),MONTH(C4650),"")</f>
        <v/>
      </c>
      <c r="X4650" s="23" t="str">
        <f aca="false">IF(T4650="","",IF(T4650=0,"No discount",IF(T4650&lt;=0.2,"Low (1-20%)",IF(T4650&lt;=0.4,"Medium (21-40%)","High (&gt;40%)"))))</f>
        <v/>
      </c>
      <c r="Y4650" s="23" t="str">
        <f aca="false">IF(AND(ISNUMBER(C4650),ISNUMBER(D4650)),D4650-C4650,"")</f>
        <v/>
      </c>
      <c r="Z4650" s="23" t="str">
        <f aca="false">IF(B4650="","",IF(MATCH(B4650,$B$2:$B$12000,0)=ROW()-1,1,0))</f>
        <v/>
      </c>
    </row>
    <row r="4651" customFormat="false" ht="15" hidden="false" customHeight="false" outlineLevel="0" collapsed="false">
      <c r="V4651" s="23" t="str">
        <f aca="false">IF(ISNUMBER(C4651),YEAR(C4651),"")</f>
        <v/>
      </c>
      <c r="W4651" s="23" t="str">
        <f aca="false">IF(ISNUMBER(C4651),MONTH(C4651),"")</f>
        <v/>
      </c>
      <c r="X4651" s="23" t="str">
        <f aca="false">IF(T4651="","",IF(T4651=0,"No discount",IF(T4651&lt;=0.2,"Low (1-20%)",IF(T4651&lt;=0.4,"Medium (21-40%)","High (&gt;40%)"))))</f>
        <v/>
      </c>
      <c r="Y4651" s="23" t="str">
        <f aca="false">IF(AND(ISNUMBER(C4651),ISNUMBER(D4651)),D4651-C4651,"")</f>
        <v/>
      </c>
      <c r="Z4651" s="23" t="str">
        <f aca="false">IF(B4651="","",IF(MATCH(B4651,$B$2:$B$12000,0)=ROW()-1,1,0))</f>
        <v/>
      </c>
    </row>
    <row r="4652" customFormat="false" ht="15" hidden="false" customHeight="false" outlineLevel="0" collapsed="false">
      <c r="V4652" s="23" t="str">
        <f aca="false">IF(ISNUMBER(C4652),YEAR(C4652),"")</f>
        <v/>
      </c>
      <c r="W4652" s="23" t="str">
        <f aca="false">IF(ISNUMBER(C4652),MONTH(C4652),"")</f>
        <v/>
      </c>
      <c r="X4652" s="23" t="str">
        <f aca="false">IF(T4652="","",IF(T4652=0,"No discount",IF(T4652&lt;=0.2,"Low (1-20%)",IF(T4652&lt;=0.4,"Medium (21-40%)","High (&gt;40%)"))))</f>
        <v/>
      </c>
      <c r="Y4652" s="23" t="str">
        <f aca="false">IF(AND(ISNUMBER(C4652),ISNUMBER(D4652)),D4652-C4652,"")</f>
        <v/>
      </c>
      <c r="Z4652" s="23" t="str">
        <f aca="false">IF(B4652="","",IF(MATCH(B4652,$B$2:$B$12000,0)=ROW()-1,1,0))</f>
        <v/>
      </c>
    </row>
    <row r="4653" customFormat="false" ht="15" hidden="false" customHeight="false" outlineLevel="0" collapsed="false">
      <c r="V4653" s="23" t="str">
        <f aca="false">IF(ISNUMBER(C4653),YEAR(C4653),"")</f>
        <v/>
      </c>
      <c r="W4653" s="23" t="str">
        <f aca="false">IF(ISNUMBER(C4653),MONTH(C4653),"")</f>
        <v/>
      </c>
      <c r="X4653" s="23" t="str">
        <f aca="false">IF(T4653="","",IF(T4653=0,"No discount",IF(T4653&lt;=0.2,"Low (1-20%)",IF(T4653&lt;=0.4,"Medium (21-40%)","High (&gt;40%)"))))</f>
        <v/>
      </c>
      <c r="Y4653" s="23" t="str">
        <f aca="false">IF(AND(ISNUMBER(C4653),ISNUMBER(D4653)),D4653-C4653,"")</f>
        <v/>
      </c>
      <c r="Z4653" s="23" t="str">
        <f aca="false">IF(B4653="","",IF(MATCH(B4653,$B$2:$B$12000,0)=ROW()-1,1,0))</f>
        <v/>
      </c>
    </row>
    <row r="4654" customFormat="false" ht="15" hidden="false" customHeight="false" outlineLevel="0" collapsed="false">
      <c r="V4654" s="23" t="str">
        <f aca="false">IF(ISNUMBER(C4654),YEAR(C4654),"")</f>
        <v/>
      </c>
      <c r="W4654" s="23" t="str">
        <f aca="false">IF(ISNUMBER(C4654),MONTH(C4654),"")</f>
        <v/>
      </c>
      <c r="X4654" s="23" t="str">
        <f aca="false">IF(T4654="","",IF(T4654=0,"No discount",IF(T4654&lt;=0.2,"Low (1-20%)",IF(T4654&lt;=0.4,"Medium (21-40%)","High (&gt;40%)"))))</f>
        <v/>
      </c>
      <c r="Y4654" s="23" t="str">
        <f aca="false">IF(AND(ISNUMBER(C4654),ISNUMBER(D4654)),D4654-C4654,"")</f>
        <v/>
      </c>
      <c r="Z4654" s="23" t="str">
        <f aca="false">IF(B4654="","",IF(MATCH(B4654,$B$2:$B$12000,0)=ROW()-1,1,0))</f>
        <v/>
      </c>
    </row>
    <row r="4655" customFormat="false" ht="15" hidden="false" customHeight="false" outlineLevel="0" collapsed="false">
      <c r="V4655" s="23" t="str">
        <f aca="false">IF(ISNUMBER(C4655),YEAR(C4655),"")</f>
        <v/>
      </c>
      <c r="W4655" s="23" t="str">
        <f aca="false">IF(ISNUMBER(C4655),MONTH(C4655),"")</f>
        <v/>
      </c>
      <c r="X4655" s="23" t="str">
        <f aca="false">IF(T4655="","",IF(T4655=0,"No discount",IF(T4655&lt;=0.2,"Low (1-20%)",IF(T4655&lt;=0.4,"Medium (21-40%)","High (&gt;40%)"))))</f>
        <v/>
      </c>
      <c r="Y4655" s="23" t="str">
        <f aca="false">IF(AND(ISNUMBER(C4655),ISNUMBER(D4655)),D4655-C4655,"")</f>
        <v/>
      </c>
      <c r="Z4655" s="23" t="str">
        <f aca="false">IF(B4655="","",IF(MATCH(B4655,$B$2:$B$12000,0)=ROW()-1,1,0))</f>
        <v/>
      </c>
    </row>
    <row r="4656" customFormat="false" ht="15" hidden="false" customHeight="false" outlineLevel="0" collapsed="false">
      <c r="V4656" s="23" t="str">
        <f aca="false">IF(ISNUMBER(C4656),YEAR(C4656),"")</f>
        <v/>
      </c>
      <c r="W4656" s="23" t="str">
        <f aca="false">IF(ISNUMBER(C4656),MONTH(C4656),"")</f>
        <v/>
      </c>
      <c r="X4656" s="23" t="str">
        <f aca="false">IF(T4656="","",IF(T4656=0,"No discount",IF(T4656&lt;=0.2,"Low (1-20%)",IF(T4656&lt;=0.4,"Medium (21-40%)","High (&gt;40%)"))))</f>
        <v/>
      </c>
      <c r="Y4656" s="23" t="str">
        <f aca="false">IF(AND(ISNUMBER(C4656),ISNUMBER(D4656)),D4656-C4656,"")</f>
        <v/>
      </c>
      <c r="Z4656" s="23" t="str">
        <f aca="false">IF(B4656="","",IF(MATCH(B4656,$B$2:$B$12000,0)=ROW()-1,1,0))</f>
        <v/>
      </c>
    </row>
    <row r="4657" customFormat="false" ht="15" hidden="false" customHeight="false" outlineLevel="0" collapsed="false">
      <c r="V4657" s="23" t="str">
        <f aca="false">IF(ISNUMBER(C4657),YEAR(C4657),"")</f>
        <v/>
      </c>
      <c r="W4657" s="23" t="str">
        <f aca="false">IF(ISNUMBER(C4657),MONTH(C4657),"")</f>
        <v/>
      </c>
      <c r="X4657" s="23" t="str">
        <f aca="false">IF(T4657="","",IF(T4657=0,"No discount",IF(T4657&lt;=0.2,"Low (1-20%)",IF(T4657&lt;=0.4,"Medium (21-40%)","High (&gt;40%)"))))</f>
        <v/>
      </c>
      <c r="Y4657" s="23" t="str">
        <f aca="false">IF(AND(ISNUMBER(C4657),ISNUMBER(D4657)),D4657-C4657,"")</f>
        <v/>
      </c>
      <c r="Z4657" s="23" t="str">
        <f aca="false">IF(B4657="","",IF(MATCH(B4657,$B$2:$B$12000,0)=ROW()-1,1,0))</f>
        <v/>
      </c>
    </row>
    <row r="4658" customFormat="false" ht="15" hidden="false" customHeight="false" outlineLevel="0" collapsed="false">
      <c r="V4658" s="23" t="str">
        <f aca="false">IF(ISNUMBER(C4658),YEAR(C4658),"")</f>
        <v/>
      </c>
      <c r="W4658" s="23" t="str">
        <f aca="false">IF(ISNUMBER(C4658),MONTH(C4658),"")</f>
        <v/>
      </c>
      <c r="X4658" s="23" t="str">
        <f aca="false">IF(T4658="","",IF(T4658=0,"No discount",IF(T4658&lt;=0.2,"Low (1-20%)",IF(T4658&lt;=0.4,"Medium (21-40%)","High (&gt;40%)"))))</f>
        <v/>
      </c>
      <c r="Y4658" s="23" t="str">
        <f aca="false">IF(AND(ISNUMBER(C4658),ISNUMBER(D4658)),D4658-C4658,"")</f>
        <v/>
      </c>
      <c r="Z4658" s="23" t="str">
        <f aca="false">IF(B4658="","",IF(MATCH(B4658,$B$2:$B$12000,0)=ROW()-1,1,0))</f>
        <v/>
      </c>
    </row>
    <row r="4659" customFormat="false" ht="15" hidden="false" customHeight="false" outlineLevel="0" collapsed="false">
      <c r="V4659" s="23" t="str">
        <f aca="false">IF(ISNUMBER(C4659),YEAR(C4659),"")</f>
        <v/>
      </c>
      <c r="W4659" s="23" t="str">
        <f aca="false">IF(ISNUMBER(C4659),MONTH(C4659),"")</f>
        <v/>
      </c>
      <c r="X4659" s="23" t="str">
        <f aca="false">IF(T4659="","",IF(T4659=0,"No discount",IF(T4659&lt;=0.2,"Low (1-20%)",IF(T4659&lt;=0.4,"Medium (21-40%)","High (&gt;40%)"))))</f>
        <v/>
      </c>
      <c r="Y4659" s="23" t="str">
        <f aca="false">IF(AND(ISNUMBER(C4659),ISNUMBER(D4659)),D4659-C4659,"")</f>
        <v/>
      </c>
      <c r="Z4659" s="23" t="str">
        <f aca="false">IF(B4659="","",IF(MATCH(B4659,$B$2:$B$12000,0)=ROW()-1,1,0))</f>
        <v/>
      </c>
    </row>
    <row r="4660" customFormat="false" ht="15" hidden="false" customHeight="false" outlineLevel="0" collapsed="false">
      <c r="V4660" s="23" t="str">
        <f aca="false">IF(ISNUMBER(C4660),YEAR(C4660),"")</f>
        <v/>
      </c>
      <c r="W4660" s="23" t="str">
        <f aca="false">IF(ISNUMBER(C4660),MONTH(C4660),"")</f>
        <v/>
      </c>
      <c r="X4660" s="23" t="str">
        <f aca="false">IF(T4660="","",IF(T4660=0,"No discount",IF(T4660&lt;=0.2,"Low (1-20%)",IF(T4660&lt;=0.4,"Medium (21-40%)","High (&gt;40%)"))))</f>
        <v/>
      </c>
      <c r="Y4660" s="23" t="str">
        <f aca="false">IF(AND(ISNUMBER(C4660),ISNUMBER(D4660)),D4660-C4660,"")</f>
        <v/>
      </c>
      <c r="Z4660" s="23" t="str">
        <f aca="false">IF(B4660="","",IF(MATCH(B4660,$B$2:$B$12000,0)=ROW()-1,1,0))</f>
        <v/>
      </c>
    </row>
    <row r="4661" customFormat="false" ht="15" hidden="false" customHeight="false" outlineLevel="0" collapsed="false">
      <c r="V4661" s="23" t="str">
        <f aca="false">IF(ISNUMBER(C4661),YEAR(C4661),"")</f>
        <v/>
      </c>
      <c r="W4661" s="23" t="str">
        <f aca="false">IF(ISNUMBER(C4661),MONTH(C4661),"")</f>
        <v/>
      </c>
      <c r="X4661" s="23" t="str">
        <f aca="false">IF(T4661="","",IF(T4661=0,"No discount",IF(T4661&lt;=0.2,"Low (1-20%)",IF(T4661&lt;=0.4,"Medium (21-40%)","High (&gt;40%)"))))</f>
        <v/>
      </c>
      <c r="Y4661" s="23" t="str">
        <f aca="false">IF(AND(ISNUMBER(C4661),ISNUMBER(D4661)),D4661-C4661,"")</f>
        <v/>
      </c>
      <c r="Z4661" s="23" t="str">
        <f aca="false">IF(B4661="","",IF(MATCH(B4661,$B$2:$B$12000,0)=ROW()-1,1,0))</f>
        <v/>
      </c>
    </row>
    <row r="4662" customFormat="false" ht="15" hidden="false" customHeight="false" outlineLevel="0" collapsed="false">
      <c r="V4662" s="23" t="str">
        <f aca="false">IF(ISNUMBER(C4662),YEAR(C4662),"")</f>
        <v/>
      </c>
      <c r="W4662" s="23" t="str">
        <f aca="false">IF(ISNUMBER(C4662),MONTH(C4662),"")</f>
        <v/>
      </c>
      <c r="X4662" s="23" t="str">
        <f aca="false">IF(T4662="","",IF(T4662=0,"No discount",IF(T4662&lt;=0.2,"Low (1-20%)",IF(T4662&lt;=0.4,"Medium (21-40%)","High (&gt;40%)"))))</f>
        <v/>
      </c>
      <c r="Y4662" s="23" t="str">
        <f aca="false">IF(AND(ISNUMBER(C4662),ISNUMBER(D4662)),D4662-C4662,"")</f>
        <v/>
      </c>
      <c r="Z4662" s="23" t="str">
        <f aca="false">IF(B4662="","",IF(MATCH(B4662,$B$2:$B$12000,0)=ROW()-1,1,0))</f>
        <v/>
      </c>
    </row>
    <row r="4663" customFormat="false" ht="15" hidden="false" customHeight="false" outlineLevel="0" collapsed="false">
      <c r="V4663" s="23" t="str">
        <f aca="false">IF(ISNUMBER(C4663),YEAR(C4663),"")</f>
        <v/>
      </c>
      <c r="W4663" s="23" t="str">
        <f aca="false">IF(ISNUMBER(C4663),MONTH(C4663),"")</f>
        <v/>
      </c>
      <c r="X4663" s="23" t="str">
        <f aca="false">IF(T4663="","",IF(T4663=0,"No discount",IF(T4663&lt;=0.2,"Low (1-20%)",IF(T4663&lt;=0.4,"Medium (21-40%)","High (&gt;40%)"))))</f>
        <v/>
      </c>
      <c r="Y4663" s="23" t="str">
        <f aca="false">IF(AND(ISNUMBER(C4663),ISNUMBER(D4663)),D4663-C4663,"")</f>
        <v/>
      </c>
      <c r="Z4663" s="23" t="str">
        <f aca="false">IF(B4663="","",IF(MATCH(B4663,$B$2:$B$12000,0)=ROW()-1,1,0))</f>
        <v/>
      </c>
    </row>
    <row r="4664" customFormat="false" ht="15" hidden="false" customHeight="false" outlineLevel="0" collapsed="false">
      <c r="V4664" s="23" t="str">
        <f aca="false">IF(ISNUMBER(C4664),YEAR(C4664),"")</f>
        <v/>
      </c>
      <c r="W4664" s="23" t="str">
        <f aca="false">IF(ISNUMBER(C4664),MONTH(C4664),"")</f>
        <v/>
      </c>
      <c r="X4664" s="23" t="str">
        <f aca="false">IF(T4664="","",IF(T4664=0,"No discount",IF(T4664&lt;=0.2,"Low (1-20%)",IF(T4664&lt;=0.4,"Medium (21-40%)","High (&gt;40%)"))))</f>
        <v/>
      </c>
      <c r="Y4664" s="23" t="str">
        <f aca="false">IF(AND(ISNUMBER(C4664),ISNUMBER(D4664)),D4664-C4664,"")</f>
        <v/>
      </c>
      <c r="Z4664" s="23" t="str">
        <f aca="false">IF(B4664="","",IF(MATCH(B4664,$B$2:$B$12000,0)=ROW()-1,1,0))</f>
        <v/>
      </c>
    </row>
    <row r="4665" customFormat="false" ht="15" hidden="false" customHeight="false" outlineLevel="0" collapsed="false">
      <c r="V4665" s="23" t="str">
        <f aca="false">IF(ISNUMBER(C4665),YEAR(C4665),"")</f>
        <v/>
      </c>
      <c r="W4665" s="23" t="str">
        <f aca="false">IF(ISNUMBER(C4665),MONTH(C4665),"")</f>
        <v/>
      </c>
      <c r="X4665" s="23" t="str">
        <f aca="false">IF(T4665="","",IF(T4665=0,"No discount",IF(T4665&lt;=0.2,"Low (1-20%)",IF(T4665&lt;=0.4,"Medium (21-40%)","High (&gt;40%)"))))</f>
        <v/>
      </c>
      <c r="Y4665" s="23" t="str">
        <f aca="false">IF(AND(ISNUMBER(C4665),ISNUMBER(D4665)),D4665-C4665,"")</f>
        <v/>
      </c>
      <c r="Z4665" s="23" t="str">
        <f aca="false">IF(B4665="","",IF(MATCH(B4665,$B$2:$B$12000,0)=ROW()-1,1,0))</f>
        <v/>
      </c>
    </row>
    <row r="4666" customFormat="false" ht="15" hidden="false" customHeight="false" outlineLevel="0" collapsed="false">
      <c r="V4666" s="23" t="str">
        <f aca="false">IF(ISNUMBER(C4666),YEAR(C4666),"")</f>
        <v/>
      </c>
      <c r="W4666" s="23" t="str">
        <f aca="false">IF(ISNUMBER(C4666),MONTH(C4666),"")</f>
        <v/>
      </c>
      <c r="X4666" s="23" t="str">
        <f aca="false">IF(T4666="","",IF(T4666=0,"No discount",IF(T4666&lt;=0.2,"Low (1-20%)",IF(T4666&lt;=0.4,"Medium (21-40%)","High (&gt;40%)"))))</f>
        <v/>
      </c>
      <c r="Y4666" s="23" t="str">
        <f aca="false">IF(AND(ISNUMBER(C4666),ISNUMBER(D4666)),D4666-C4666,"")</f>
        <v/>
      </c>
      <c r="Z4666" s="23" t="str">
        <f aca="false">IF(B4666="","",IF(MATCH(B4666,$B$2:$B$12000,0)=ROW()-1,1,0))</f>
        <v/>
      </c>
    </row>
    <row r="4667" customFormat="false" ht="15" hidden="false" customHeight="false" outlineLevel="0" collapsed="false">
      <c r="V4667" s="23" t="str">
        <f aca="false">IF(ISNUMBER(C4667),YEAR(C4667),"")</f>
        <v/>
      </c>
      <c r="W4667" s="23" t="str">
        <f aca="false">IF(ISNUMBER(C4667),MONTH(C4667),"")</f>
        <v/>
      </c>
      <c r="X4667" s="23" t="str">
        <f aca="false">IF(T4667="","",IF(T4667=0,"No discount",IF(T4667&lt;=0.2,"Low (1-20%)",IF(T4667&lt;=0.4,"Medium (21-40%)","High (&gt;40%)"))))</f>
        <v/>
      </c>
      <c r="Y4667" s="23" t="str">
        <f aca="false">IF(AND(ISNUMBER(C4667),ISNUMBER(D4667)),D4667-C4667,"")</f>
        <v/>
      </c>
      <c r="Z4667" s="23" t="str">
        <f aca="false">IF(B4667="","",IF(MATCH(B4667,$B$2:$B$12000,0)=ROW()-1,1,0))</f>
        <v/>
      </c>
    </row>
    <row r="4668" customFormat="false" ht="15" hidden="false" customHeight="false" outlineLevel="0" collapsed="false">
      <c r="V4668" s="23" t="str">
        <f aca="false">IF(ISNUMBER(C4668),YEAR(C4668),"")</f>
        <v/>
      </c>
      <c r="W4668" s="23" t="str">
        <f aca="false">IF(ISNUMBER(C4668),MONTH(C4668),"")</f>
        <v/>
      </c>
      <c r="X4668" s="23" t="str">
        <f aca="false">IF(T4668="","",IF(T4668=0,"No discount",IF(T4668&lt;=0.2,"Low (1-20%)",IF(T4668&lt;=0.4,"Medium (21-40%)","High (&gt;40%)"))))</f>
        <v/>
      </c>
      <c r="Y4668" s="23" t="str">
        <f aca="false">IF(AND(ISNUMBER(C4668),ISNUMBER(D4668)),D4668-C4668,"")</f>
        <v/>
      </c>
      <c r="Z4668" s="23" t="str">
        <f aca="false">IF(B4668="","",IF(MATCH(B4668,$B$2:$B$12000,0)=ROW()-1,1,0))</f>
        <v/>
      </c>
    </row>
    <row r="4669" customFormat="false" ht="15" hidden="false" customHeight="false" outlineLevel="0" collapsed="false">
      <c r="V4669" s="23" t="str">
        <f aca="false">IF(ISNUMBER(C4669),YEAR(C4669),"")</f>
        <v/>
      </c>
      <c r="W4669" s="23" t="str">
        <f aca="false">IF(ISNUMBER(C4669),MONTH(C4669),"")</f>
        <v/>
      </c>
      <c r="X4669" s="23" t="str">
        <f aca="false">IF(T4669="","",IF(T4669=0,"No discount",IF(T4669&lt;=0.2,"Low (1-20%)",IF(T4669&lt;=0.4,"Medium (21-40%)","High (&gt;40%)"))))</f>
        <v/>
      </c>
      <c r="Y4669" s="23" t="str">
        <f aca="false">IF(AND(ISNUMBER(C4669),ISNUMBER(D4669)),D4669-C4669,"")</f>
        <v/>
      </c>
      <c r="Z4669" s="23" t="str">
        <f aca="false">IF(B4669="","",IF(MATCH(B4669,$B$2:$B$12000,0)=ROW()-1,1,0))</f>
        <v/>
      </c>
    </row>
    <row r="4670" customFormat="false" ht="15" hidden="false" customHeight="false" outlineLevel="0" collapsed="false">
      <c r="V4670" s="23" t="str">
        <f aca="false">IF(ISNUMBER(C4670),YEAR(C4670),"")</f>
        <v/>
      </c>
      <c r="W4670" s="23" t="str">
        <f aca="false">IF(ISNUMBER(C4670),MONTH(C4670),"")</f>
        <v/>
      </c>
      <c r="X4670" s="23" t="str">
        <f aca="false">IF(T4670="","",IF(T4670=0,"No discount",IF(T4670&lt;=0.2,"Low (1-20%)",IF(T4670&lt;=0.4,"Medium (21-40%)","High (&gt;40%)"))))</f>
        <v/>
      </c>
      <c r="Y4670" s="23" t="str">
        <f aca="false">IF(AND(ISNUMBER(C4670),ISNUMBER(D4670)),D4670-C4670,"")</f>
        <v/>
      </c>
      <c r="Z4670" s="23" t="str">
        <f aca="false">IF(B4670="","",IF(MATCH(B4670,$B$2:$B$12000,0)=ROW()-1,1,0))</f>
        <v/>
      </c>
    </row>
    <row r="4671" customFormat="false" ht="15" hidden="false" customHeight="false" outlineLevel="0" collapsed="false">
      <c r="V4671" s="23" t="str">
        <f aca="false">IF(ISNUMBER(C4671),YEAR(C4671),"")</f>
        <v/>
      </c>
      <c r="W4671" s="23" t="str">
        <f aca="false">IF(ISNUMBER(C4671),MONTH(C4671),"")</f>
        <v/>
      </c>
      <c r="X4671" s="23" t="str">
        <f aca="false">IF(T4671="","",IF(T4671=0,"No discount",IF(T4671&lt;=0.2,"Low (1-20%)",IF(T4671&lt;=0.4,"Medium (21-40%)","High (&gt;40%)"))))</f>
        <v/>
      </c>
      <c r="Y4671" s="23" t="str">
        <f aca="false">IF(AND(ISNUMBER(C4671),ISNUMBER(D4671)),D4671-C4671,"")</f>
        <v/>
      </c>
      <c r="Z4671" s="23" t="str">
        <f aca="false">IF(B4671="","",IF(MATCH(B4671,$B$2:$B$12000,0)=ROW()-1,1,0))</f>
        <v/>
      </c>
    </row>
    <row r="4672" customFormat="false" ht="15" hidden="false" customHeight="false" outlineLevel="0" collapsed="false">
      <c r="V4672" s="23" t="str">
        <f aca="false">IF(ISNUMBER(C4672),YEAR(C4672),"")</f>
        <v/>
      </c>
      <c r="W4672" s="23" t="str">
        <f aca="false">IF(ISNUMBER(C4672),MONTH(C4672),"")</f>
        <v/>
      </c>
      <c r="X4672" s="23" t="str">
        <f aca="false">IF(T4672="","",IF(T4672=0,"No discount",IF(T4672&lt;=0.2,"Low (1-20%)",IF(T4672&lt;=0.4,"Medium (21-40%)","High (&gt;40%)"))))</f>
        <v/>
      </c>
      <c r="Y4672" s="23" t="str">
        <f aca="false">IF(AND(ISNUMBER(C4672),ISNUMBER(D4672)),D4672-C4672,"")</f>
        <v/>
      </c>
      <c r="Z4672" s="23" t="str">
        <f aca="false">IF(B4672="","",IF(MATCH(B4672,$B$2:$B$12000,0)=ROW()-1,1,0))</f>
        <v/>
      </c>
    </row>
    <row r="4673" customFormat="false" ht="15" hidden="false" customHeight="false" outlineLevel="0" collapsed="false">
      <c r="V4673" s="23" t="str">
        <f aca="false">IF(ISNUMBER(C4673),YEAR(C4673),"")</f>
        <v/>
      </c>
      <c r="W4673" s="23" t="str">
        <f aca="false">IF(ISNUMBER(C4673),MONTH(C4673),"")</f>
        <v/>
      </c>
      <c r="X4673" s="23" t="str">
        <f aca="false">IF(T4673="","",IF(T4673=0,"No discount",IF(T4673&lt;=0.2,"Low (1-20%)",IF(T4673&lt;=0.4,"Medium (21-40%)","High (&gt;40%)"))))</f>
        <v/>
      </c>
      <c r="Y4673" s="23" t="str">
        <f aca="false">IF(AND(ISNUMBER(C4673),ISNUMBER(D4673)),D4673-C4673,"")</f>
        <v/>
      </c>
      <c r="Z4673" s="23" t="str">
        <f aca="false">IF(B4673="","",IF(MATCH(B4673,$B$2:$B$12000,0)=ROW()-1,1,0))</f>
        <v/>
      </c>
    </row>
    <row r="4674" customFormat="false" ht="15" hidden="false" customHeight="false" outlineLevel="0" collapsed="false">
      <c r="V4674" s="23" t="str">
        <f aca="false">IF(ISNUMBER(C4674),YEAR(C4674),"")</f>
        <v/>
      </c>
      <c r="W4674" s="23" t="str">
        <f aca="false">IF(ISNUMBER(C4674),MONTH(C4674),"")</f>
        <v/>
      </c>
      <c r="X4674" s="23" t="str">
        <f aca="false">IF(T4674="","",IF(T4674=0,"No discount",IF(T4674&lt;=0.2,"Low (1-20%)",IF(T4674&lt;=0.4,"Medium (21-40%)","High (&gt;40%)"))))</f>
        <v/>
      </c>
      <c r="Y4674" s="23" t="str">
        <f aca="false">IF(AND(ISNUMBER(C4674),ISNUMBER(D4674)),D4674-C4674,"")</f>
        <v/>
      </c>
      <c r="Z4674" s="23" t="str">
        <f aca="false">IF(B4674="","",IF(MATCH(B4674,$B$2:$B$12000,0)=ROW()-1,1,0))</f>
        <v/>
      </c>
    </row>
    <row r="4675" customFormat="false" ht="15" hidden="false" customHeight="false" outlineLevel="0" collapsed="false">
      <c r="V4675" s="23" t="str">
        <f aca="false">IF(ISNUMBER(C4675),YEAR(C4675),"")</f>
        <v/>
      </c>
      <c r="W4675" s="23" t="str">
        <f aca="false">IF(ISNUMBER(C4675),MONTH(C4675),"")</f>
        <v/>
      </c>
      <c r="X4675" s="23" t="str">
        <f aca="false">IF(T4675="","",IF(T4675=0,"No discount",IF(T4675&lt;=0.2,"Low (1-20%)",IF(T4675&lt;=0.4,"Medium (21-40%)","High (&gt;40%)"))))</f>
        <v/>
      </c>
      <c r="Y4675" s="23" t="str">
        <f aca="false">IF(AND(ISNUMBER(C4675),ISNUMBER(D4675)),D4675-C4675,"")</f>
        <v/>
      </c>
      <c r="Z4675" s="23" t="str">
        <f aca="false">IF(B4675="","",IF(MATCH(B4675,$B$2:$B$12000,0)=ROW()-1,1,0))</f>
        <v/>
      </c>
    </row>
    <row r="4676" customFormat="false" ht="15" hidden="false" customHeight="false" outlineLevel="0" collapsed="false">
      <c r="V4676" s="23" t="str">
        <f aca="false">IF(ISNUMBER(C4676),YEAR(C4676),"")</f>
        <v/>
      </c>
      <c r="W4676" s="23" t="str">
        <f aca="false">IF(ISNUMBER(C4676),MONTH(C4676),"")</f>
        <v/>
      </c>
      <c r="X4676" s="23" t="str">
        <f aca="false">IF(T4676="","",IF(T4676=0,"No discount",IF(T4676&lt;=0.2,"Low (1-20%)",IF(T4676&lt;=0.4,"Medium (21-40%)","High (&gt;40%)"))))</f>
        <v/>
      </c>
      <c r="Y4676" s="23" t="str">
        <f aca="false">IF(AND(ISNUMBER(C4676),ISNUMBER(D4676)),D4676-C4676,"")</f>
        <v/>
      </c>
      <c r="Z4676" s="23" t="str">
        <f aca="false">IF(B4676="","",IF(MATCH(B4676,$B$2:$B$12000,0)=ROW()-1,1,0))</f>
        <v/>
      </c>
    </row>
    <row r="4677" customFormat="false" ht="15" hidden="false" customHeight="false" outlineLevel="0" collapsed="false">
      <c r="V4677" s="23" t="str">
        <f aca="false">IF(ISNUMBER(C4677),YEAR(C4677),"")</f>
        <v/>
      </c>
      <c r="W4677" s="23" t="str">
        <f aca="false">IF(ISNUMBER(C4677),MONTH(C4677),"")</f>
        <v/>
      </c>
      <c r="X4677" s="23" t="str">
        <f aca="false">IF(T4677="","",IF(T4677=0,"No discount",IF(T4677&lt;=0.2,"Low (1-20%)",IF(T4677&lt;=0.4,"Medium (21-40%)","High (&gt;40%)"))))</f>
        <v/>
      </c>
      <c r="Y4677" s="23" t="str">
        <f aca="false">IF(AND(ISNUMBER(C4677),ISNUMBER(D4677)),D4677-C4677,"")</f>
        <v/>
      </c>
      <c r="Z4677" s="23" t="str">
        <f aca="false">IF(B4677="","",IF(MATCH(B4677,$B$2:$B$12000,0)=ROW()-1,1,0))</f>
        <v/>
      </c>
    </row>
    <row r="4678" customFormat="false" ht="15" hidden="false" customHeight="false" outlineLevel="0" collapsed="false">
      <c r="V4678" s="23" t="str">
        <f aca="false">IF(ISNUMBER(C4678),YEAR(C4678),"")</f>
        <v/>
      </c>
      <c r="W4678" s="23" t="str">
        <f aca="false">IF(ISNUMBER(C4678),MONTH(C4678),"")</f>
        <v/>
      </c>
      <c r="X4678" s="23" t="str">
        <f aca="false">IF(T4678="","",IF(T4678=0,"No discount",IF(T4678&lt;=0.2,"Low (1-20%)",IF(T4678&lt;=0.4,"Medium (21-40%)","High (&gt;40%)"))))</f>
        <v/>
      </c>
      <c r="Y4678" s="23" t="str">
        <f aca="false">IF(AND(ISNUMBER(C4678),ISNUMBER(D4678)),D4678-C4678,"")</f>
        <v/>
      </c>
      <c r="Z4678" s="23" t="str">
        <f aca="false">IF(B4678="","",IF(MATCH(B4678,$B$2:$B$12000,0)=ROW()-1,1,0))</f>
        <v/>
      </c>
    </row>
    <row r="4679" customFormat="false" ht="15" hidden="false" customHeight="false" outlineLevel="0" collapsed="false">
      <c r="V4679" s="23" t="str">
        <f aca="false">IF(ISNUMBER(C4679),YEAR(C4679),"")</f>
        <v/>
      </c>
      <c r="W4679" s="23" t="str">
        <f aca="false">IF(ISNUMBER(C4679),MONTH(C4679),"")</f>
        <v/>
      </c>
      <c r="X4679" s="23" t="str">
        <f aca="false">IF(T4679="","",IF(T4679=0,"No discount",IF(T4679&lt;=0.2,"Low (1-20%)",IF(T4679&lt;=0.4,"Medium (21-40%)","High (&gt;40%)"))))</f>
        <v/>
      </c>
      <c r="Y4679" s="23" t="str">
        <f aca="false">IF(AND(ISNUMBER(C4679),ISNUMBER(D4679)),D4679-C4679,"")</f>
        <v/>
      </c>
      <c r="Z4679" s="23" t="str">
        <f aca="false">IF(B4679="","",IF(MATCH(B4679,$B$2:$B$12000,0)=ROW()-1,1,0))</f>
        <v/>
      </c>
    </row>
    <row r="4680" customFormat="false" ht="15" hidden="false" customHeight="false" outlineLevel="0" collapsed="false">
      <c r="V4680" s="23" t="str">
        <f aca="false">IF(ISNUMBER(C4680),YEAR(C4680),"")</f>
        <v/>
      </c>
      <c r="W4680" s="23" t="str">
        <f aca="false">IF(ISNUMBER(C4680),MONTH(C4680),"")</f>
        <v/>
      </c>
      <c r="X4680" s="23" t="str">
        <f aca="false">IF(T4680="","",IF(T4680=0,"No discount",IF(T4680&lt;=0.2,"Low (1-20%)",IF(T4680&lt;=0.4,"Medium (21-40%)","High (&gt;40%)"))))</f>
        <v/>
      </c>
      <c r="Y4680" s="23" t="str">
        <f aca="false">IF(AND(ISNUMBER(C4680),ISNUMBER(D4680)),D4680-C4680,"")</f>
        <v/>
      </c>
      <c r="Z4680" s="23" t="str">
        <f aca="false">IF(B4680="","",IF(MATCH(B4680,$B$2:$B$12000,0)=ROW()-1,1,0))</f>
        <v/>
      </c>
    </row>
    <row r="4681" customFormat="false" ht="15" hidden="false" customHeight="false" outlineLevel="0" collapsed="false">
      <c r="V4681" s="23" t="str">
        <f aca="false">IF(ISNUMBER(C4681),YEAR(C4681),"")</f>
        <v/>
      </c>
      <c r="W4681" s="23" t="str">
        <f aca="false">IF(ISNUMBER(C4681),MONTH(C4681),"")</f>
        <v/>
      </c>
      <c r="X4681" s="23" t="str">
        <f aca="false">IF(T4681="","",IF(T4681=0,"No discount",IF(T4681&lt;=0.2,"Low (1-20%)",IF(T4681&lt;=0.4,"Medium (21-40%)","High (&gt;40%)"))))</f>
        <v/>
      </c>
      <c r="Y4681" s="23" t="str">
        <f aca="false">IF(AND(ISNUMBER(C4681),ISNUMBER(D4681)),D4681-C4681,"")</f>
        <v/>
      </c>
      <c r="Z4681" s="23" t="str">
        <f aca="false">IF(B4681="","",IF(MATCH(B4681,$B$2:$B$12000,0)=ROW()-1,1,0))</f>
        <v/>
      </c>
    </row>
    <row r="4682" customFormat="false" ht="15" hidden="false" customHeight="false" outlineLevel="0" collapsed="false">
      <c r="V4682" s="23" t="str">
        <f aca="false">IF(ISNUMBER(C4682),YEAR(C4682),"")</f>
        <v/>
      </c>
      <c r="W4682" s="23" t="str">
        <f aca="false">IF(ISNUMBER(C4682),MONTH(C4682),"")</f>
        <v/>
      </c>
      <c r="X4682" s="23" t="str">
        <f aca="false">IF(T4682="","",IF(T4682=0,"No discount",IF(T4682&lt;=0.2,"Low (1-20%)",IF(T4682&lt;=0.4,"Medium (21-40%)","High (&gt;40%)"))))</f>
        <v/>
      </c>
      <c r="Y4682" s="23" t="str">
        <f aca="false">IF(AND(ISNUMBER(C4682),ISNUMBER(D4682)),D4682-C4682,"")</f>
        <v/>
      </c>
      <c r="Z4682" s="23" t="str">
        <f aca="false">IF(B4682="","",IF(MATCH(B4682,$B$2:$B$12000,0)=ROW()-1,1,0))</f>
        <v/>
      </c>
    </row>
    <row r="4683" customFormat="false" ht="15" hidden="false" customHeight="false" outlineLevel="0" collapsed="false">
      <c r="V4683" s="23" t="str">
        <f aca="false">IF(ISNUMBER(C4683),YEAR(C4683),"")</f>
        <v/>
      </c>
      <c r="W4683" s="23" t="str">
        <f aca="false">IF(ISNUMBER(C4683),MONTH(C4683),"")</f>
        <v/>
      </c>
      <c r="X4683" s="23" t="str">
        <f aca="false">IF(T4683="","",IF(T4683=0,"No discount",IF(T4683&lt;=0.2,"Low (1-20%)",IF(T4683&lt;=0.4,"Medium (21-40%)","High (&gt;40%)"))))</f>
        <v/>
      </c>
      <c r="Y4683" s="23" t="str">
        <f aca="false">IF(AND(ISNUMBER(C4683),ISNUMBER(D4683)),D4683-C4683,"")</f>
        <v/>
      </c>
      <c r="Z4683" s="23" t="str">
        <f aca="false">IF(B4683="","",IF(MATCH(B4683,$B$2:$B$12000,0)=ROW()-1,1,0))</f>
        <v/>
      </c>
    </row>
    <row r="4684" customFormat="false" ht="15" hidden="false" customHeight="false" outlineLevel="0" collapsed="false">
      <c r="V4684" s="23" t="str">
        <f aca="false">IF(ISNUMBER(C4684),YEAR(C4684),"")</f>
        <v/>
      </c>
      <c r="W4684" s="23" t="str">
        <f aca="false">IF(ISNUMBER(C4684),MONTH(C4684),"")</f>
        <v/>
      </c>
      <c r="X4684" s="23" t="str">
        <f aca="false">IF(T4684="","",IF(T4684=0,"No discount",IF(T4684&lt;=0.2,"Low (1-20%)",IF(T4684&lt;=0.4,"Medium (21-40%)","High (&gt;40%)"))))</f>
        <v/>
      </c>
      <c r="Y4684" s="23" t="str">
        <f aca="false">IF(AND(ISNUMBER(C4684),ISNUMBER(D4684)),D4684-C4684,"")</f>
        <v/>
      </c>
      <c r="Z4684" s="23" t="str">
        <f aca="false">IF(B4684="","",IF(MATCH(B4684,$B$2:$B$12000,0)=ROW()-1,1,0))</f>
        <v/>
      </c>
    </row>
    <row r="4685" customFormat="false" ht="15" hidden="false" customHeight="false" outlineLevel="0" collapsed="false">
      <c r="V4685" s="23" t="str">
        <f aca="false">IF(ISNUMBER(C4685),YEAR(C4685),"")</f>
        <v/>
      </c>
      <c r="W4685" s="23" t="str">
        <f aca="false">IF(ISNUMBER(C4685),MONTH(C4685),"")</f>
        <v/>
      </c>
      <c r="X4685" s="23" t="str">
        <f aca="false">IF(T4685="","",IF(T4685=0,"No discount",IF(T4685&lt;=0.2,"Low (1-20%)",IF(T4685&lt;=0.4,"Medium (21-40%)","High (&gt;40%)"))))</f>
        <v/>
      </c>
      <c r="Y4685" s="23" t="str">
        <f aca="false">IF(AND(ISNUMBER(C4685),ISNUMBER(D4685)),D4685-C4685,"")</f>
        <v/>
      </c>
      <c r="Z4685" s="23" t="str">
        <f aca="false">IF(B4685="","",IF(MATCH(B4685,$B$2:$B$12000,0)=ROW()-1,1,0))</f>
        <v/>
      </c>
    </row>
    <row r="4686" customFormat="false" ht="15" hidden="false" customHeight="false" outlineLevel="0" collapsed="false">
      <c r="V4686" s="23" t="str">
        <f aca="false">IF(ISNUMBER(C4686),YEAR(C4686),"")</f>
        <v/>
      </c>
      <c r="W4686" s="23" t="str">
        <f aca="false">IF(ISNUMBER(C4686),MONTH(C4686),"")</f>
        <v/>
      </c>
      <c r="X4686" s="23" t="str">
        <f aca="false">IF(T4686="","",IF(T4686=0,"No discount",IF(T4686&lt;=0.2,"Low (1-20%)",IF(T4686&lt;=0.4,"Medium (21-40%)","High (&gt;40%)"))))</f>
        <v/>
      </c>
      <c r="Y4686" s="23" t="str">
        <f aca="false">IF(AND(ISNUMBER(C4686),ISNUMBER(D4686)),D4686-C4686,"")</f>
        <v/>
      </c>
      <c r="Z4686" s="23" t="str">
        <f aca="false">IF(B4686="","",IF(MATCH(B4686,$B$2:$B$12000,0)=ROW()-1,1,0))</f>
        <v/>
      </c>
    </row>
    <row r="4687" customFormat="false" ht="15" hidden="false" customHeight="false" outlineLevel="0" collapsed="false">
      <c r="V4687" s="23" t="str">
        <f aca="false">IF(ISNUMBER(C4687),YEAR(C4687),"")</f>
        <v/>
      </c>
      <c r="W4687" s="23" t="str">
        <f aca="false">IF(ISNUMBER(C4687),MONTH(C4687),"")</f>
        <v/>
      </c>
      <c r="X4687" s="23" t="str">
        <f aca="false">IF(T4687="","",IF(T4687=0,"No discount",IF(T4687&lt;=0.2,"Low (1-20%)",IF(T4687&lt;=0.4,"Medium (21-40%)","High (&gt;40%)"))))</f>
        <v/>
      </c>
      <c r="Y4687" s="23" t="str">
        <f aca="false">IF(AND(ISNUMBER(C4687),ISNUMBER(D4687)),D4687-C4687,"")</f>
        <v/>
      </c>
      <c r="Z4687" s="23" t="str">
        <f aca="false">IF(B4687="","",IF(MATCH(B4687,$B$2:$B$12000,0)=ROW()-1,1,0))</f>
        <v/>
      </c>
    </row>
    <row r="4688" customFormat="false" ht="15" hidden="false" customHeight="false" outlineLevel="0" collapsed="false">
      <c r="V4688" s="23" t="str">
        <f aca="false">IF(ISNUMBER(C4688),YEAR(C4688),"")</f>
        <v/>
      </c>
      <c r="W4688" s="23" t="str">
        <f aca="false">IF(ISNUMBER(C4688),MONTH(C4688),"")</f>
        <v/>
      </c>
      <c r="X4688" s="23" t="str">
        <f aca="false">IF(T4688="","",IF(T4688=0,"No discount",IF(T4688&lt;=0.2,"Low (1-20%)",IF(T4688&lt;=0.4,"Medium (21-40%)","High (&gt;40%)"))))</f>
        <v/>
      </c>
      <c r="Y4688" s="23" t="str">
        <f aca="false">IF(AND(ISNUMBER(C4688),ISNUMBER(D4688)),D4688-C4688,"")</f>
        <v/>
      </c>
      <c r="Z4688" s="23" t="str">
        <f aca="false">IF(B4688="","",IF(MATCH(B4688,$B$2:$B$12000,0)=ROW()-1,1,0))</f>
        <v/>
      </c>
    </row>
    <row r="4689" customFormat="false" ht="15" hidden="false" customHeight="false" outlineLevel="0" collapsed="false">
      <c r="V4689" s="23" t="str">
        <f aca="false">IF(ISNUMBER(C4689),YEAR(C4689),"")</f>
        <v/>
      </c>
      <c r="W4689" s="23" t="str">
        <f aca="false">IF(ISNUMBER(C4689),MONTH(C4689),"")</f>
        <v/>
      </c>
      <c r="X4689" s="23" t="str">
        <f aca="false">IF(T4689="","",IF(T4689=0,"No discount",IF(T4689&lt;=0.2,"Low (1-20%)",IF(T4689&lt;=0.4,"Medium (21-40%)","High (&gt;40%)"))))</f>
        <v/>
      </c>
      <c r="Y4689" s="23" t="str">
        <f aca="false">IF(AND(ISNUMBER(C4689),ISNUMBER(D4689)),D4689-C4689,"")</f>
        <v/>
      </c>
      <c r="Z4689" s="23" t="str">
        <f aca="false">IF(B4689="","",IF(MATCH(B4689,$B$2:$B$12000,0)=ROW()-1,1,0))</f>
        <v/>
      </c>
    </row>
    <row r="4690" customFormat="false" ht="15" hidden="false" customHeight="false" outlineLevel="0" collapsed="false">
      <c r="V4690" s="23" t="str">
        <f aca="false">IF(ISNUMBER(C4690),YEAR(C4690),"")</f>
        <v/>
      </c>
      <c r="W4690" s="23" t="str">
        <f aca="false">IF(ISNUMBER(C4690),MONTH(C4690),"")</f>
        <v/>
      </c>
      <c r="X4690" s="23" t="str">
        <f aca="false">IF(T4690="","",IF(T4690=0,"No discount",IF(T4690&lt;=0.2,"Low (1-20%)",IF(T4690&lt;=0.4,"Medium (21-40%)","High (&gt;40%)"))))</f>
        <v/>
      </c>
      <c r="Y4690" s="23" t="str">
        <f aca="false">IF(AND(ISNUMBER(C4690),ISNUMBER(D4690)),D4690-C4690,"")</f>
        <v/>
      </c>
      <c r="Z4690" s="23" t="str">
        <f aca="false">IF(B4690="","",IF(MATCH(B4690,$B$2:$B$12000,0)=ROW()-1,1,0))</f>
        <v/>
      </c>
    </row>
    <row r="4691" customFormat="false" ht="15" hidden="false" customHeight="false" outlineLevel="0" collapsed="false">
      <c r="V4691" s="23" t="str">
        <f aca="false">IF(ISNUMBER(C4691),YEAR(C4691),"")</f>
        <v/>
      </c>
      <c r="W4691" s="23" t="str">
        <f aca="false">IF(ISNUMBER(C4691),MONTH(C4691),"")</f>
        <v/>
      </c>
      <c r="X4691" s="23" t="str">
        <f aca="false">IF(T4691="","",IF(T4691=0,"No discount",IF(T4691&lt;=0.2,"Low (1-20%)",IF(T4691&lt;=0.4,"Medium (21-40%)","High (&gt;40%)"))))</f>
        <v/>
      </c>
      <c r="Y4691" s="23" t="str">
        <f aca="false">IF(AND(ISNUMBER(C4691),ISNUMBER(D4691)),D4691-C4691,"")</f>
        <v/>
      </c>
      <c r="Z4691" s="23" t="str">
        <f aca="false">IF(B4691="","",IF(MATCH(B4691,$B$2:$B$12000,0)=ROW()-1,1,0))</f>
        <v/>
      </c>
    </row>
    <row r="4692" customFormat="false" ht="15" hidden="false" customHeight="false" outlineLevel="0" collapsed="false">
      <c r="V4692" s="23" t="str">
        <f aca="false">IF(ISNUMBER(C4692),YEAR(C4692),"")</f>
        <v/>
      </c>
      <c r="W4692" s="23" t="str">
        <f aca="false">IF(ISNUMBER(C4692),MONTH(C4692),"")</f>
        <v/>
      </c>
      <c r="X4692" s="23" t="str">
        <f aca="false">IF(T4692="","",IF(T4692=0,"No discount",IF(T4692&lt;=0.2,"Low (1-20%)",IF(T4692&lt;=0.4,"Medium (21-40%)","High (&gt;40%)"))))</f>
        <v/>
      </c>
      <c r="Y4692" s="23" t="str">
        <f aca="false">IF(AND(ISNUMBER(C4692),ISNUMBER(D4692)),D4692-C4692,"")</f>
        <v/>
      </c>
      <c r="Z4692" s="23" t="str">
        <f aca="false">IF(B4692="","",IF(MATCH(B4692,$B$2:$B$12000,0)=ROW()-1,1,0))</f>
        <v/>
      </c>
    </row>
    <row r="4693" customFormat="false" ht="15" hidden="false" customHeight="false" outlineLevel="0" collapsed="false">
      <c r="V4693" s="23" t="str">
        <f aca="false">IF(ISNUMBER(C4693),YEAR(C4693),"")</f>
        <v/>
      </c>
      <c r="W4693" s="23" t="str">
        <f aca="false">IF(ISNUMBER(C4693),MONTH(C4693),"")</f>
        <v/>
      </c>
      <c r="X4693" s="23" t="str">
        <f aca="false">IF(T4693="","",IF(T4693=0,"No discount",IF(T4693&lt;=0.2,"Low (1-20%)",IF(T4693&lt;=0.4,"Medium (21-40%)","High (&gt;40%)"))))</f>
        <v/>
      </c>
      <c r="Y4693" s="23" t="str">
        <f aca="false">IF(AND(ISNUMBER(C4693),ISNUMBER(D4693)),D4693-C4693,"")</f>
        <v/>
      </c>
      <c r="Z4693" s="23" t="str">
        <f aca="false">IF(B4693="","",IF(MATCH(B4693,$B$2:$B$12000,0)=ROW()-1,1,0))</f>
        <v/>
      </c>
    </row>
    <row r="4694" customFormat="false" ht="15" hidden="false" customHeight="false" outlineLevel="0" collapsed="false">
      <c r="V4694" s="23" t="str">
        <f aca="false">IF(ISNUMBER(C4694),YEAR(C4694),"")</f>
        <v/>
      </c>
      <c r="W4694" s="23" t="str">
        <f aca="false">IF(ISNUMBER(C4694),MONTH(C4694),"")</f>
        <v/>
      </c>
      <c r="X4694" s="23" t="str">
        <f aca="false">IF(T4694="","",IF(T4694=0,"No discount",IF(T4694&lt;=0.2,"Low (1-20%)",IF(T4694&lt;=0.4,"Medium (21-40%)","High (&gt;40%)"))))</f>
        <v/>
      </c>
      <c r="Y4694" s="23" t="str">
        <f aca="false">IF(AND(ISNUMBER(C4694),ISNUMBER(D4694)),D4694-C4694,"")</f>
        <v/>
      </c>
      <c r="Z4694" s="23" t="str">
        <f aca="false">IF(B4694="","",IF(MATCH(B4694,$B$2:$B$12000,0)=ROW()-1,1,0))</f>
        <v/>
      </c>
    </row>
    <row r="4695" customFormat="false" ht="15" hidden="false" customHeight="false" outlineLevel="0" collapsed="false">
      <c r="V4695" s="23" t="str">
        <f aca="false">IF(ISNUMBER(C4695),YEAR(C4695),"")</f>
        <v/>
      </c>
      <c r="W4695" s="23" t="str">
        <f aca="false">IF(ISNUMBER(C4695),MONTH(C4695),"")</f>
        <v/>
      </c>
      <c r="X4695" s="23" t="str">
        <f aca="false">IF(T4695="","",IF(T4695=0,"No discount",IF(T4695&lt;=0.2,"Low (1-20%)",IF(T4695&lt;=0.4,"Medium (21-40%)","High (&gt;40%)"))))</f>
        <v/>
      </c>
      <c r="Y4695" s="23" t="str">
        <f aca="false">IF(AND(ISNUMBER(C4695),ISNUMBER(D4695)),D4695-C4695,"")</f>
        <v/>
      </c>
      <c r="Z4695" s="23" t="str">
        <f aca="false">IF(B4695="","",IF(MATCH(B4695,$B$2:$B$12000,0)=ROW()-1,1,0))</f>
        <v/>
      </c>
    </row>
    <row r="4696" customFormat="false" ht="15" hidden="false" customHeight="false" outlineLevel="0" collapsed="false">
      <c r="V4696" s="23" t="str">
        <f aca="false">IF(ISNUMBER(C4696),YEAR(C4696),"")</f>
        <v/>
      </c>
      <c r="W4696" s="23" t="str">
        <f aca="false">IF(ISNUMBER(C4696),MONTH(C4696),"")</f>
        <v/>
      </c>
      <c r="X4696" s="23" t="str">
        <f aca="false">IF(T4696="","",IF(T4696=0,"No discount",IF(T4696&lt;=0.2,"Low (1-20%)",IF(T4696&lt;=0.4,"Medium (21-40%)","High (&gt;40%)"))))</f>
        <v/>
      </c>
      <c r="Y4696" s="23" t="str">
        <f aca="false">IF(AND(ISNUMBER(C4696),ISNUMBER(D4696)),D4696-C4696,"")</f>
        <v/>
      </c>
      <c r="Z4696" s="23" t="str">
        <f aca="false">IF(B4696="","",IF(MATCH(B4696,$B$2:$B$12000,0)=ROW()-1,1,0))</f>
        <v/>
      </c>
    </row>
    <row r="4697" customFormat="false" ht="15" hidden="false" customHeight="false" outlineLevel="0" collapsed="false">
      <c r="V4697" s="23" t="str">
        <f aca="false">IF(ISNUMBER(C4697),YEAR(C4697),"")</f>
        <v/>
      </c>
      <c r="W4697" s="23" t="str">
        <f aca="false">IF(ISNUMBER(C4697),MONTH(C4697),"")</f>
        <v/>
      </c>
      <c r="X4697" s="23" t="str">
        <f aca="false">IF(T4697="","",IF(T4697=0,"No discount",IF(T4697&lt;=0.2,"Low (1-20%)",IF(T4697&lt;=0.4,"Medium (21-40%)","High (&gt;40%)"))))</f>
        <v/>
      </c>
      <c r="Y4697" s="23" t="str">
        <f aca="false">IF(AND(ISNUMBER(C4697),ISNUMBER(D4697)),D4697-C4697,"")</f>
        <v/>
      </c>
      <c r="Z4697" s="23" t="str">
        <f aca="false">IF(B4697="","",IF(MATCH(B4697,$B$2:$B$12000,0)=ROW()-1,1,0))</f>
        <v/>
      </c>
    </row>
    <row r="4698" customFormat="false" ht="15" hidden="false" customHeight="false" outlineLevel="0" collapsed="false">
      <c r="V4698" s="23" t="str">
        <f aca="false">IF(ISNUMBER(C4698),YEAR(C4698),"")</f>
        <v/>
      </c>
      <c r="W4698" s="23" t="str">
        <f aca="false">IF(ISNUMBER(C4698),MONTH(C4698),"")</f>
        <v/>
      </c>
      <c r="X4698" s="23" t="str">
        <f aca="false">IF(T4698="","",IF(T4698=0,"No discount",IF(T4698&lt;=0.2,"Low (1-20%)",IF(T4698&lt;=0.4,"Medium (21-40%)","High (&gt;40%)"))))</f>
        <v/>
      </c>
      <c r="Y4698" s="23" t="str">
        <f aca="false">IF(AND(ISNUMBER(C4698),ISNUMBER(D4698)),D4698-C4698,"")</f>
        <v/>
      </c>
      <c r="Z4698" s="23" t="str">
        <f aca="false">IF(B4698="","",IF(MATCH(B4698,$B$2:$B$12000,0)=ROW()-1,1,0))</f>
        <v/>
      </c>
    </row>
    <row r="4699" customFormat="false" ht="15" hidden="false" customHeight="false" outlineLevel="0" collapsed="false">
      <c r="V4699" s="23" t="str">
        <f aca="false">IF(ISNUMBER(C4699),YEAR(C4699),"")</f>
        <v/>
      </c>
      <c r="W4699" s="23" t="str">
        <f aca="false">IF(ISNUMBER(C4699),MONTH(C4699),"")</f>
        <v/>
      </c>
      <c r="X4699" s="23" t="str">
        <f aca="false">IF(T4699="","",IF(T4699=0,"No discount",IF(T4699&lt;=0.2,"Low (1-20%)",IF(T4699&lt;=0.4,"Medium (21-40%)","High (&gt;40%)"))))</f>
        <v/>
      </c>
      <c r="Y4699" s="23" t="str">
        <f aca="false">IF(AND(ISNUMBER(C4699),ISNUMBER(D4699)),D4699-C4699,"")</f>
        <v/>
      </c>
      <c r="Z4699" s="23" t="str">
        <f aca="false">IF(B4699="","",IF(MATCH(B4699,$B$2:$B$12000,0)=ROW()-1,1,0))</f>
        <v/>
      </c>
    </row>
    <row r="4700" customFormat="false" ht="15" hidden="false" customHeight="false" outlineLevel="0" collapsed="false">
      <c r="V4700" s="23" t="str">
        <f aca="false">IF(ISNUMBER(C4700),YEAR(C4700),"")</f>
        <v/>
      </c>
      <c r="W4700" s="23" t="str">
        <f aca="false">IF(ISNUMBER(C4700),MONTH(C4700),"")</f>
        <v/>
      </c>
      <c r="X4700" s="23" t="str">
        <f aca="false">IF(T4700="","",IF(T4700=0,"No discount",IF(T4700&lt;=0.2,"Low (1-20%)",IF(T4700&lt;=0.4,"Medium (21-40%)","High (&gt;40%)"))))</f>
        <v/>
      </c>
      <c r="Y4700" s="23" t="str">
        <f aca="false">IF(AND(ISNUMBER(C4700),ISNUMBER(D4700)),D4700-C4700,"")</f>
        <v/>
      </c>
      <c r="Z4700" s="23" t="str">
        <f aca="false">IF(B4700="","",IF(MATCH(B4700,$B$2:$B$12000,0)=ROW()-1,1,0))</f>
        <v/>
      </c>
    </row>
    <row r="4701" customFormat="false" ht="15" hidden="false" customHeight="false" outlineLevel="0" collapsed="false">
      <c r="V4701" s="23" t="str">
        <f aca="false">IF(ISNUMBER(C4701),YEAR(C4701),"")</f>
        <v/>
      </c>
      <c r="W4701" s="23" t="str">
        <f aca="false">IF(ISNUMBER(C4701),MONTH(C4701),"")</f>
        <v/>
      </c>
      <c r="X4701" s="23" t="str">
        <f aca="false">IF(T4701="","",IF(T4701=0,"No discount",IF(T4701&lt;=0.2,"Low (1-20%)",IF(T4701&lt;=0.4,"Medium (21-40%)","High (&gt;40%)"))))</f>
        <v/>
      </c>
      <c r="Y4701" s="23" t="str">
        <f aca="false">IF(AND(ISNUMBER(C4701),ISNUMBER(D4701)),D4701-C4701,"")</f>
        <v/>
      </c>
      <c r="Z4701" s="23" t="str">
        <f aca="false">IF(B4701="","",IF(MATCH(B4701,$B$2:$B$12000,0)=ROW()-1,1,0))</f>
        <v/>
      </c>
    </row>
    <row r="4702" customFormat="false" ht="15" hidden="false" customHeight="false" outlineLevel="0" collapsed="false">
      <c r="V4702" s="23" t="str">
        <f aca="false">IF(ISNUMBER(C4702),YEAR(C4702),"")</f>
        <v/>
      </c>
      <c r="W4702" s="23" t="str">
        <f aca="false">IF(ISNUMBER(C4702),MONTH(C4702),"")</f>
        <v/>
      </c>
      <c r="X4702" s="23" t="str">
        <f aca="false">IF(T4702="","",IF(T4702=0,"No discount",IF(T4702&lt;=0.2,"Low (1-20%)",IF(T4702&lt;=0.4,"Medium (21-40%)","High (&gt;40%)"))))</f>
        <v/>
      </c>
      <c r="Y4702" s="23" t="str">
        <f aca="false">IF(AND(ISNUMBER(C4702),ISNUMBER(D4702)),D4702-C4702,"")</f>
        <v/>
      </c>
      <c r="Z4702" s="23" t="str">
        <f aca="false">IF(B4702="","",IF(MATCH(B4702,$B$2:$B$12000,0)=ROW()-1,1,0))</f>
        <v/>
      </c>
    </row>
    <row r="4703" customFormat="false" ht="15" hidden="false" customHeight="false" outlineLevel="0" collapsed="false">
      <c r="V4703" s="23" t="str">
        <f aca="false">IF(ISNUMBER(C4703),YEAR(C4703),"")</f>
        <v/>
      </c>
      <c r="W4703" s="23" t="str">
        <f aca="false">IF(ISNUMBER(C4703),MONTH(C4703),"")</f>
        <v/>
      </c>
      <c r="X4703" s="23" t="str">
        <f aca="false">IF(T4703="","",IF(T4703=0,"No discount",IF(T4703&lt;=0.2,"Low (1-20%)",IF(T4703&lt;=0.4,"Medium (21-40%)","High (&gt;40%)"))))</f>
        <v/>
      </c>
      <c r="Y4703" s="23" t="str">
        <f aca="false">IF(AND(ISNUMBER(C4703),ISNUMBER(D4703)),D4703-C4703,"")</f>
        <v/>
      </c>
      <c r="Z4703" s="23" t="str">
        <f aca="false">IF(B4703="","",IF(MATCH(B4703,$B$2:$B$12000,0)=ROW()-1,1,0))</f>
        <v/>
      </c>
    </row>
    <row r="4704" customFormat="false" ht="15" hidden="false" customHeight="false" outlineLevel="0" collapsed="false">
      <c r="V4704" s="23" t="str">
        <f aca="false">IF(ISNUMBER(C4704),YEAR(C4704),"")</f>
        <v/>
      </c>
      <c r="W4704" s="23" t="str">
        <f aca="false">IF(ISNUMBER(C4704),MONTH(C4704),"")</f>
        <v/>
      </c>
      <c r="X4704" s="23" t="str">
        <f aca="false">IF(T4704="","",IF(T4704=0,"No discount",IF(T4704&lt;=0.2,"Low (1-20%)",IF(T4704&lt;=0.4,"Medium (21-40%)","High (&gt;40%)"))))</f>
        <v/>
      </c>
      <c r="Y4704" s="23" t="str">
        <f aca="false">IF(AND(ISNUMBER(C4704),ISNUMBER(D4704)),D4704-C4704,"")</f>
        <v/>
      </c>
      <c r="Z4704" s="23" t="str">
        <f aca="false">IF(B4704="","",IF(MATCH(B4704,$B$2:$B$12000,0)=ROW()-1,1,0))</f>
        <v/>
      </c>
    </row>
    <row r="4705" customFormat="false" ht="15" hidden="false" customHeight="false" outlineLevel="0" collapsed="false">
      <c r="V4705" s="23" t="str">
        <f aca="false">IF(ISNUMBER(C4705),YEAR(C4705),"")</f>
        <v/>
      </c>
      <c r="W4705" s="23" t="str">
        <f aca="false">IF(ISNUMBER(C4705),MONTH(C4705),"")</f>
        <v/>
      </c>
      <c r="X4705" s="23" t="str">
        <f aca="false">IF(T4705="","",IF(T4705=0,"No discount",IF(T4705&lt;=0.2,"Low (1-20%)",IF(T4705&lt;=0.4,"Medium (21-40%)","High (&gt;40%)"))))</f>
        <v/>
      </c>
      <c r="Y4705" s="23" t="str">
        <f aca="false">IF(AND(ISNUMBER(C4705),ISNUMBER(D4705)),D4705-C4705,"")</f>
        <v/>
      </c>
      <c r="Z4705" s="23" t="str">
        <f aca="false">IF(B4705="","",IF(MATCH(B4705,$B$2:$B$12000,0)=ROW()-1,1,0))</f>
        <v/>
      </c>
    </row>
    <row r="4706" customFormat="false" ht="15" hidden="false" customHeight="false" outlineLevel="0" collapsed="false">
      <c r="V4706" s="23" t="str">
        <f aca="false">IF(ISNUMBER(C4706),YEAR(C4706),"")</f>
        <v/>
      </c>
      <c r="W4706" s="23" t="str">
        <f aca="false">IF(ISNUMBER(C4706),MONTH(C4706),"")</f>
        <v/>
      </c>
      <c r="X4706" s="23" t="str">
        <f aca="false">IF(T4706="","",IF(T4706=0,"No discount",IF(T4706&lt;=0.2,"Low (1-20%)",IF(T4706&lt;=0.4,"Medium (21-40%)","High (&gt;40%)"))))</f>
        <v/>
      </c>
      <c r="Y4706" s="23" t="str">
        <f aca="false">IF(AND(ISNUMBER(C4706),ISNUMBER(D4706)),D4706-C4706,"")</f>
        <v/>
      </c>
      <c r="Z4706" s="23" t="str">
        <f aca="false">IF(B4706="","",IF(MATCH(B4706,$B$2:$B$12000,0)=ROW()-1,1,0))</f>
        <v/>
      </c>
    </row>
    <row r="4707" customFormat="false" ht="15" hidden="false" customHeight="false" outlineLevel="0" collapsed="false">
      <c r="V4707" s="23" t="str">
        <f aca="false">IF(ISNUMBER(C4707),YEAR(C4707),"")</f>
        <v/>
      </c>
      <c r="W4707" s="23" t="str">
        <f aca="false">IF(ISNUMBER(C4707),MONTH(C4707),"")</f>
        <v/>
      </c>
      <c r="X4707" s="23" t="str">
        <f aca="false">IF(T4707="","",IF(T4707=0,"No discount",IF(T4707&lt;=0.2,"Low (1-20%)",IF(T4707&lt;=0.4,"Medium (21-40%)","High (&gt;40%)"))))</f>
        <v/>
      </c>
      <c r="Y4707" s="23" t="str">
        <f aca="false">IF(AND(ISNUMBER(C4707),ISNUMBER(D4707)),D4707-C4707,"")</f>
        <v/>
      </c>
      <c r="Z4707" s="23" t="str">
        <f aca="false">IF(B4707="","",IF(MATCH(B4707,$B$2:$B$12000,0)=ROW()-1,1,0))</f>
        <v/>
      </c>
    </row>
    <row r="4708" customFormat="false" ht="15" hidden="false" customHeight="false" outlineLevel="0" collapsed="false">
      <c r="V4708" s="23" t="str">
        <f aca="false">IF(ISNUMBER(C4708),YEAR(C4708),"")</f>
        <v/>
      </c>
      <c r="W4708" s="23" t="str">
        <f aca="false">IF(ISNUMBER(C4708),MONTH(C4708),"")</f>
        <v/>
      </c>
      <c r="X4708" s="23" t="str">
        <f aca="false">IF(T4708="","",IF(T4708=0,"No discount",IF(T4708&lt;=0.2,"Low (1-20%)",IF(T4708&lt;=0.4,"Medium (21-40%)","High (&gt;40%)"))))</f>
        <v/>
      </c>
      <c r="Y4708" s="23" t="str">
        <f aca="false">IF(AND(ISNUMBER(C4708),ISNUMBER(D4708)),D4708-C4708,"")</f>
        <v/>
      </c>
      <c r="Z4708" s="23" t="str">
        <f aca="false">IF(B4708="","",IF(MATCH(B4708,$B$2:$B$12000,0)=ROW()-1,1,0))</f>
        <v/>
      </c>
    </row>
    <row r="4709" customFormat="false" ht="15" hidden="false" customHeight="false" outlineLevel="0" collapsed="false">
      <c r="V4709" s="23" t="str">
        <f aca="false">IF(ISNUMBER(C4709),YEAR(C4709),"")</f>
        <v/>
      </c>
      <c r="W4709" s="23" t="str">
        <f aca="false">IF(ISNUMBER(C4709),MONTH(C4709),"")</f>
        <v/>
      </c>
      <c r="X4709" s="23" t="str">
        <f aca="false">IF(T4709="","",IF(T4709=0,"No discount",IF(T4709&lt;=0.2,"Low (1-20%)",IF(T4709&lt;=0.4,"Medium (21-40%)","High (&gt;40%)"))))</f>
        <v/>
      </c>
      <c r="Y4709" s="23" t="str">
        <f aca="false">IF(AND(ISNUMBER(C4709),ISNUMBER(D4709)),D4709-C4709,"")</f>
        <v/>
      </c>
      <c r="Z4709" s="23" t="str">
        <f aca="false">IF(B4709="","",IF(MATCH(B4709,$B$2:$B$12000,0)=ROW()-1,1,0))</f>
        <v/>
      </c>
    </row>
    <row r="4710" customFormat="false" ht="15" hidden="false" customHeight="false" outlineLevel="0" collapsed="false">
      <c r="V4710" s="23" t="str">
        <f aca="false">IF(ISNUMBER(C4710),YEAR(C4710),"")</f>
        <v/>
      </c>
      <c r="W4710" s="23" t="str">
        <f aca="false">IF(ISNUMBER(C4710),MONTH(C4710),"")</f>
        <v/>
      </c>
      <c r="X4710" s="23" t="str">
        <f aca="false">IF(T4710="","",IF(T4710=0,"No discount",IF(T4710&lt;=0.2,"Low (1-20%)",IF(T4710&lt;=0.4,"Medium (21-40%)","High (&gt;40%)"))))</f>
        <v/>
      </c>
      <c r="Y4710" s="23" t="str">
        <f aca="false">IF(AND(ISNUMBER(C4710),ISNUMBER(D4710)),D4710-C4710,"")</f>
        <v/>
      </c>
      <c r="Z4710" s="23" t="str">
        <f aca="false">IF(B4710="","",IF(MATCH(B4710,$B$2:$B$12000,0)=ROW()-1,1,0))</f>
        <v/>
      </c>
    </row>
    <row r="4711" customFormat="false" ht="15" hidden="false" customHeight="false" outlineLevel="0" collapsed="false">
      <c r="V4711" s="23" t="str">
        <f aca="false">IF(ISNUMBER(C4711),YEAR(C4711),"")</f>
        <v/>
      </c>
      <c r="W4711" s="23" t="str">
        <f aca="false">IF(ISNUMBER(C4711),MONTH(C4711),"")</f>
        <v/>
      </c>
      <c r="X4711" s="23" t="str">
        <f aca="false">IF(T4711="","",IF(T4711=0,"No discount",IF(T4711&lt;=0.2,"Low (1-20%)",IF(T4711&lt;=0.4,"Medium (21-40%)","High (&gt;40%)"))))</f>
        <v/>
      </c>
      <c r="Y4711" s="23" t="str">
        <f aca="false">IF(AND(ISNUMBER(C4711),ISNUMBER(D4711)),D4711-C4711,"")</f>
        <v/>
      </c>
      <c r="Z4711" s="23" t="str">
        <f aca="false">IF(B4711="","",IF(MATCH(B4711,$B$2:$B$12000,0)=ROW()-1,1,0))</f>
        <v/>
      </c>
    </row>
    <row r="4712" customFormat="false" ht="15" hidden="false" customHeight="false" outlineLevel="0" collapsed="false">
      <c r="V4712" s="23" t="str">
        <f aca="false">IF(ISNUMBER(C4712),YEAR(C4712),"")</f>
        <v/>
      </c>
      <c r="W4712" s="23" t="str">
        <f aca="false">IF(ISNUMBER(C4712),MONTH(C4712),"")</f>
        <v/>
      </c>
      <c r="X4712" s="23" t="str">
        <f aca="false">IF(T4712="","",IF(T4712=0,"No discount",IF(T4712&lt;=0.2,"Low (1-20%)",IF(T4712&lt;=0.4,"Medium (21-40%)","High (&gt;40%)"))))</f>
        <v/>
      </c>
      <c r="Y4712" s="23" t="str">
        <f aca="false">IF(AND(ISNUMBER(C4712),ISNUMBER(D4712)),D4712-C4712,"")</f>
        <v/>
      </c>
      <c r="Z4712" s="23" t="str">
        <f aca="false">IF(B4712="","",IF(MATCH(B4712,$B$2:$B$12000,0)=ROW()-1,1,0))</f>
        <v/>
      </c>
    </row>
    <row r="4713" customFormat="false" ht="15" hidden="false" customHeight="false" outlineLevel="0" collapsed="false">
      <c r="V4713" s="23" t="str">
        <f aca="false">IF(ISNUMBER(C4713),YEAR(C4713),"")</f>
        <v/>
      </c>
      <c r="W4713" s="23" t="str">
        <f aca="false">IF(ISNUMBER(C4713),MONTH(C4713),"")</f>
        <v/>
      </c>
      <c r="X4713" s="23" t="str">
        <f aca="false">IF(T4713="","",IF(T4713=0,"No discount",IF(T4713&lt;=0.2,"Low (1-20%)",IF(T4713&lt;=0.4,"Medium (21-40%)","High (&gt;40%)"))))</f>
        <v/>
      </c>
      <c r="Y4713" s="23" t="str">
        <f aca="false">IF(AND(ISNUMBER(C4713),ISNUMBER(D4713)),D4713-C4713,"")</f>
        <v/>
      </c>
      <c r="Z4713" s="23" t="str">
        <f aca="false">IF(B4713="","",IF(MATCH(B4713,$B$2:$B$12000,0)=ROW()-1,1,0))</f>
        <v/>
      </c>
    </row>
    <row r="4714" customFormat="false" ht="15" hidden="false" customHeight="false" outlineLevel="0" collapsed="false">
      <c r="V4714" s="23" t="str">
        <f aca="false">IF(ISNUMBER(C4714),YEAR(C4714),"")</f>
        <v/>
      </c>
      <c r="W4714" s="23" t="str">
        <f aca="false">IF(ISNUMBER(C4714),MONTH(C4714),"")</f>
        <v/>
      </c>
      <c r="X4714" s="23" t="str">
        <f aca="false">IF(T4714="","",IF(T4714=0,"No discount",IF(T4714&lt;=0.2,"Low (1-20%)",IF(T4714&lt;=0.4,"Medium (21-40%)","High (&gt;40%)"))))</f>
        <v/>
      </c>
      <c r="Y4714" s="23" t="str">
        <f aca="false">IF(AND(ISNUMBER(C4714),ISNUMBER(D4714)),D4714-C4714,"")</f>
        <v/>
      </c>
      <c r="Z4714" s="23" t="str">
        <f aca="false">IF(B4714="","",IF(MATCH(B4714,$B$2:$B$12000,0)=ROW()-1,1,0))</f>
        <v/>
      </c>
    </row>
    <row r="4715" customFormat="false" ht="15" hidden="false" customHeight="false" outlineLevel="0" collapsed="false">
      <c r="V4715" s="23" t="str">
        <f aca="false">IF(ISNUMBER(C4715),YEAR(C4715),"")</f>
        <v/>
      </c>
      <c r="W4715" s="23" t="str">
        <f aca="false">IF(ISNUMBER(C4715),MONTH(C4715),"")</f>
        <v/>
      </c>
      <c r="X4715" s="23" t="str">
        <f aca="false">IF(T4715="","",IF(T4715=0,"No discount",IF(T4715&lt;=0.2,"Low (1-20%)",IF(T4715&lt;=0.4,"Medium (21-40%)","High (&gt;40%)"))))</f>
        <v/>
      </c>
      <c r="Y4715" s="23" t="str">
        <f aca="false">IF(AND(ISNUMBER(C4715),ISNUMBER(D4715)),D4715-C4715,"")</f>
        <v/>
      </c>
      <c r="Z4715" s="23" t="str">
        <f aca="false">IF(B4715="","",IF(MATCH(B4715,$B$2:$B$12000,0)=ROW()-1,1,0))</f>
        <v/>
      </c>
    </row>
    <row r="4716" customFormat="false" ht="15" hidden="false" customHeight="false" outlineLevel="0" collapsed="false">
      <c r="V4716" s="23" t="str">
        <f aca="false">IF(ISNUMBER(C4716),YEAR(C4716),"")</f>
        <v/>
      </c>
      <c r="W4716" s="23" t="str">
        <f aca="false">IF(ISNUMBER(C4716),MONTH(C4716),"")</f>
        <v/>
      </c>
      <c r="X4716" s="23" t="str">
        <f aca="false">IF(T4716="","",IF(T4716=0,"No discount",IF(T4716&lt;=0.2,"Low (1-20%)",IF(T4716&lt;=0.4,"Medium (21-40%)","High (&gt;40%)"))))</f>
        <v/>
      </c>
      <c r="Y4716" s="23" t="str">
        <f aca="false">IF(AND(ISNUMBER(C4716),ISNUMBER(D4716)),D4716-C4716,"")</f>
        <v/>
      </c>
      <c r="Z4716" s="23" t="str">
        <f aca="false">IF(B4716="","",IF(MATCH(B4716,$B$2:$B$12000,0)=ROW()-1,1,0))</f>
        <v/>
      </c>
    </row>
    <row r="4717" customFormat="false" ht="15" hidden="false" customHeight="false" outlineLevel="0" collapsed="false">
      <c r="V4717" s="23" t="str">
        <f aca="false">IF(ISNUMBER(C4717),YEAR(C4717),"")</f>
        <v/>
      </c>
      <c r="W4717" s="23" t="str">
        <f aca="false">IF(ISNUMBER(C4717),MONTH(C4717),"")</f>
        <v/>
      </c>
      <c r="X4717" s="23" t="str">
        <f aca="false">IF(T4717="","",IF(T4717=0,"No discount",IF(T4717&lt;=0.2,"Low (1-20%)",IF(T4717&lt;=0.4,"Medium (21-40%)","High (&gt;40%)"))))</f>
        <v/>
      </c>
      <c r="Y4717" s="23" t="str">
        <f aca="false">IF(AND(ISNUMBER(C4717),ISNUMBER(D4717)),D4717-C4717,"")</f>
        <v/>
      </c>
      <c r="Z4717" s="23" t="str">
        <f aca="false">IF(B4717="","",IF(MATCH(B4717,$B$2:$B$12000,0)=ROW()-1,1,0))</f>
        <v/>
      </c>
    </row>
    <row r="4718" customFormat="false" ht="15" hidden="false" customHeight="false" outlineLevel="0" collapsed="false">
      <c r="V4718" s="23" t="str">
        <f aca="false">IF(ISNUMBER(C4718),YEAR(C4718),"")</f>
        <v/>
      </c>
      <c r="W4718" s="23" t="str">
        <f aca="false">IF(ISNUMBER(C4718),MONTH(C4718),"")</f>
        <v/>
      </c>
      <c r="X4718" s="23" t="str">
        <f aca="false">IF(T4718="","",IF(T4718=0,"No discount",IF(T4718&lt;=0.2,"Low (1-20%)",IF(T4718&lt;=0.4,"Medium (21-40%)","High (&gt;40%)"))))</f>
        <v/>
      </c>
      <c r="Y4718" s="23" t="str">
        <f aca="false">IF(AND(ISNUMBER(C4718),ISNUMBER(D4718)),D4718-C4718,"")</f>
        <v/>
      </c>
      <c r="Z4718" s="23" t="str">
        <f aca="false">IF(B4718="","",IF(MATCH(B4718,$B$2:$B$12000,0)=ROW()-1,1,0))</f>
        <v/>
      </c>
    </row>
    <row r="4719" customFormat="false" ht="15" hidden="false" customHeight="false" outlineLevel="0" collapsed="false">
      <c r="V4719" s="23" t="str">
        <f aca="false">IF(ISNUMBER(C4719),YEAR(C4719),"")</f>
        <v/>
      </c>
      <c r="W4719" s="23" t="str">
        <f aca="false">IF(ISNUMBER(C4719),MONTH(C4719),"")</f>
        <v/>
      </c>
      <c r="X4719" s="23" t="str">
        <f aca="false">IF(T4719="","",IF(T4719=0,"No discount",IF(T4719&lt;=0.2,"Low (1-20%)",IF(T4719&lt;=0.4,"Medium (21-40%)","High (&gt;40%)"))))</f>
        <v/>
      </c>
      <c r="Y4719" s="23" t="str">
        <f aca="false">IF(AND(ISNUMBER(C4719),ISNUMBER(D4719)),D4719-C4719,"")</f>
        <v/>
      </c>
      <c r="Z4719" s="23" t="str">
        <f aca="false">IF(B4719="","",IF(MATCH(B4719,$B$2:$B$12000,0)=ROW()-1,1,0))</f>
        <v/>
      </c>
    </row>
    <row r="4720" customFormat="false" ht="15" hidden="false" customHeight="false" outlineLevel="0" collapsed="false">
      <c r="V4720" s="23" t="str">
        <f aca="false">IF(ISNUMBER(C4720),YEAR(C4720),"")</f>
        <v/>
      </c>
      <c r="W4720" s="23" t="str">
        <f aca="false">IF(ISNUMBER(C4720),MONTH(C4720),"")</f>
        <v/>
      </c>
      <c r="X4720" s="23" t="str">
        <f aca="false">IF(T4720="","",IF(T4720=0,"No discount",IF(T4720&lt;=0.2,"Low (1-20%)",IF(T4720&lt;=0.4,"Medium (21-40%)","High (&gt;40%)"))))</f>
        <v/>
      </c>
      <c r="Y4720" s="23" t="str">
        <f aca="false">IF(AND(ISNUMBER(C4720),ISNUMBER(D4720)),D4720-C4720,"")</f>
        <v/>
      </c>
      <c r="Z4720" s="23" t="str">
        <f aca="false">IF(B4720="","",IF(MATCH(B4720,$B$2:$B$12000,0)=ROW()-1,1,0))</f>
        <v/>
      </c>
    </row>
    <row r="4721" customFormat="false" ht="15" hidden="false" customHeight="false" outlineLevel="0" collapsed="false">
      <c r="V4721" s="23" t="str">
        <f aca="false">IF(ISNUMBER(C4721),YEAR(C4721),"")</f>
        <v/>
      </c>
      <c r="W4721" s="23" t="str">
        <f aca="false">IF(ISNUMBER(C4721),MONTH(C4721),"")</f>
        <v/>
      </c>
      <c r="X4721" s="23" t="str">
        <f aca="false">IF(T4721="","",IF(T4721=0,"No discount",IF(T4721&lt;=0.2,"Low (1-20%)",IF(T4721&lt;=0.4,"Medium (21-40%)","High (&gt;40%)"))))</f>
        <v/>
      </c>
      <c r="Y4721" s="23" t="str">
        <f aca="false">IF(AND(ISNUMBER(C4721),ISNUMBER(D4721)),D4721-C4721,"")</f>
        <v/>
      </c>
      <c r="Z4721" s="23" t="str">
        <f aca="false">IF(B4721="","",IF(MATCH(B4721,$B$2:$B$12000,0)=ROW()-1,1,0))</f>
        <v/>
      </c>
    </row>
    <row r="4722" customFormat="false" ht="15" hidden="false" customHeight="false" outlineLevel="0" collapsed="false">
      <c r="V4722" s="23" t="str">
        <f aca="false">IF(ISNUMBER(C4722),YEAR(C4722),"")</f>
        <v/>
      </c>
      <c r="W4722" s="23" t="str">
        <f aca="false">IF(ISNUMBER(C4722),MONTH(C4722),"")</f>
        <v/>
      </c>
      <c r="X4722" s="23" t="str">
        <f aca="false">IF(T4722="","",IF(T4722=0,"No discount",IF(T4722&lt;=0.2,"Low (1-20%)",IF(T4722&lt;=0.4,"Medium (21-40%)","High (&gt;40%)"))))</f>
        <v/>
      </c>
      <c r="Y4722" s="23" t="str">
        <f aca="false">IF(AND(ISNUMBER(C4722),ISNUMBER(D4722)),D4722-C4722,"")</f>
        <v/>
      </c>
      <c r="Z4722" s="23" t="str">
        <f aca="false">IF(B4722="","",IF(MATCH(B4722,$B$2:$B$12000,0)=ROW()-1,1,0))</f>
        <v/>
      </c>
    </row>
    <row r="4723" customFormat="false" ht="15" hidden="false" customHeight="false" outlineLevel="0" collapsed="false">
      <c r="V4723" s="23" t="str">
        <f aca="false">IF(ISNUMBER(C4723),YEAR(C4723),"")</f>
        <v/>
      </c>
      <c r="W4723" s="23" t="str">
        <f aca="false">IF(ISNUMBER(C4723),MONTH(C4723),"")</f>
        <v/>
      </c>
      <c r="X4723" s="23" t="str">
        <f aca="false">IF(T4723="","",IF(T4723=0,"No discount",IF(T4723&lt;=0.2,"Low (1-20%)",IF(T4723&lt;=0.4,"Medium (21-40%)","High (&gt;40%)"))))</f>
        <v/>
      </c>
      <c r="Y4723" s="23" t="str">
        <f aca="false">IF(AND(ISNUMBER(C4723),ISNUMBER(D4723)),D4723-C4723,"")</f>
        <v/>
      </c>
      <c r="Z4723" s="23" t="str">
        <f aca="false">IF(B4723="","",IF(MATCH(B4723,$B$2:$B$12000,0)=ROW()-1,1,0))</f>
        <v/>
      </c>
    </row>
    <row r="4724" customFormat="false" ht="15" hidden="false" customHeight="false" outlineLevel="0" collapsed="false">
      <c r="V4724" s="23" t="str">
        <f aca="false">IF(ISNUMBER(C4724),YEAR(C4724),"")</f>
        <v/>
      </c>
      <c r="W4724" s="23" t="str">
        <f aca="false">IF(ISNUMBER(C4724),MONTH(C4724),"")</f>
        <v/>
      </c>
      <c r="X4724" s="23" t="str">
        <f aca="false">IF(T4724="","",IF(T4724=0,"No discount",IF(T4724&lt;=0.2,"Low (1-20%)",IF(T4724&lt;=0.4,"Medium (21-40%)","High (&gt;40%)"))))</f>
        <v/>
      </c>
      <c r="Y4724" s="23" t="str">
        <f aca="false">IF(AND(ISNUMBER(C4724),ISNUMBER(D4724)),D4724-C4724,"")</f>
        <v/>
      </c>
      <c r="Z4724" s="23" t="str">
        <f aca="false">IF(B4724="","",IF(MATCH(B4724,$B$2:$B$12000,0)=ROW()-1,1,0))</f>
        <v/>
      </c>
    </row>
    <row r="4725" customFormat="false" ht="15" hidden="false" customHeight="false" outlineLevel="0" collapsed="false">
      <c r="V4725" s="23" t="str">
        <f aca="false">IF(ISNUMBER(C4725),YEAR(C4725),"")</f>
        <v/>
      </c>
      <c r="W4725" s="23" t="str">
        <f aca="false">IF(ISNUMBER(C4725),MONTH(C4725),"")</f>
        <v/>
      </c>
      <c r="X4725" s="23" t="str">
        <f aca="false">IF(T4725="","",IF(T4725=0,"No discount",IF(T4725&lt;=0.2,"Low (1-20%)",IF(T4725&lt;=0.4,"Medium (21-40%)","High (&gt;40%)"))))</f>
        <v/>
      </c>
      <c r="Y4725" s="23" t="str">
        <f aca="false">IF(AND(ISNUMBER(C4725),ISNUMBER(D4725)),D4725-C4725,"")</f>
        <v/>
      </c>
      <c r="Z4725" s="23" t="str">
        <f aca="false">IF(B4725="","",IF(MATCH(B4725,$B$2:$B$12000,0)=ROW()-1,1,0))</f>
        <v/>
      </c>
    </row>
    <row r="4726" customFormat="false" ht="15" hidden="false" customHeight="false" outlineLevel="0" collapsed="false">
      <c r="V4726" s="23" t="str">
        <f aca="false">IF(ISNUMBER(C4726),YEAR(C4726),"")</f>
        <v/>
      </c>
      <c r="W4726" s="23" t="str">
        <f aca="false">IF(ISNUMBER(C4726),MONTH(C4726),"")</f>
        <v/>
      </c>
      <c r="X4726" s="23" t="str">
        <f aca="false">IF(T4726="","",IF(T4726=0,"No discount",IF(T4726&lt;=0.2,"Low (1-20%)",IF(T4726&lt;=0.4,"Medium (21-40%)","High (&gt;40%)"))))</f>
        <v/>
      </c>
      <c r="Y4726" s="23" t="str">
        <f aca="false">IF(AND(ISNUMBER(C4726),ISNUMBER(D4726)),D4726-C4726,"")</f>
        <v/>
      </c>
      <c r="Z4726" s="23" t="str">
        <f aca="false">IF(B4726="","",IF(MATCH(B4726,$B$2:$B$12000,0)=ROW()-1,1,0))</f>
        <v/>
      </c>
    </row>
    <row r="4727" customFormat="false" ht="15" hidden="false" customHeight="false" outlineLevel="0" collapsed="false">
      <c r="V4727" s="23" t="str">
        <f aca="false">IF(ISNUMBER(C4727),YEAR(C4727),"")</f>
        <v/>
      </c>
      <c r="W4727" s="23" t="str">
        <f aca="false">IF(ISNUMBER(C4727),MONTH(C4727),"")</f>
        <v/>
      </c>
      <c r="X4727" s="23" t="str">
        <f aca="false">IF(T4727="","",IF(T4727=0,"No discount",IF(T4727&lt;=0.2,"Low (1-20%)",IF(T4727&lt;=0.4,"Medium (21-40%)","High (&gt;40%)"))))</f>
        <v/>
      </c>
      <c r="Y4727" s="23" t="str">
        <f aca="false">IF(AND(ISNUMBER(C4727),ISNUMBER(D4727)),D4727-C4727,"")</f>
        <v/>
      </c>
      <c r="Z4727" s="23" t="str">
        <f aca="false">IF(B4727="","",IF(MATCH(B4727,$B$2:$B$12000,0)=ROW()-1,1,0))</f>
        <v/>
      </c>
    </row>
    <row r="4728" customFormat="false" ht="15" hidden="false" customHeight="false" outlineLevel="0" collapsed="false">
      <c r="V4728" s="23" t="str">
        <f aca="false">IF(ISNUMBER(C4728),YEAR(C4728),"")</f>
        <v/>
      </c>
      <c r="W4728" s="23" t="str">
        <f aca="false">IF(ISNUMBER(C4728),MONTH(C4728),"")</f>
        <v/>
      </c>
      <c r="X4728" s="23" t="str">
        <f aca="false">IF(T4728="","",IF(T4728=0,"No discount",IF(T4728&lt;=0.2,"Low (1-20%)",IF(T4728&lt;=0.4,"Medium (21-40%)","High (&gt;40%)"))))</f>
        <v/>
      </c>
      <c r="Y4728" s="23" t="str">
        <f aca="false">IF(AND(ISNUMBER(C4728),ISNUMBER(D4728)),D4728-C4728,"")</f>
        <v/>
      </c>
      <c r="Z4728" s="23" t="str">
        <f aca="false">IF(B4728="","",IF(MATCH(B4728,$B$2:$B$12000,0)=ROW()-1,1,0))</f>
        <v/>
      </c>
    </row>
    <row r="4729" customFormat="false" ht="15" hidden="false" customHeight="false" outlineLevel="0" collapsed="false">
      <c r="V4729" s="23" t="str">
        <f aca="false">IF(ISNUMBER(C4729),YEAR(C4729),"")</f>
        <v/>
      </c>
      <c r="W4729" s="23" t="str">
        <f aca="false">IF(ISNUMBER(C4729),MONTH(C4729),"")</f>
        <v/>
      </c>
      <c r="X4729" s="23" t="str">
        <f aca="false">IF(T4729="","",IF(T4729=0,"No discount",IF(T4729&lt;=0.2,"Low (1-20%)",IF(T4729&lt;=0.4,"Medium (21-40%)","High (&gt;40%)"))))</f>
        <v/>
      </c>
      <c r="Y4729" s="23" t="str">
        <f aca="false">IF(AND(ISNUMBER(C4729),ISNUMBER(D4729)),D4729-C4729,"")</f>
        <v/>
      </c>
      <c r="Z4729" s="23" t="str">
        <f aca="false">IF(B4729="","",IF(MATCH(B4729,$B$2:$B$12000,0)=ROW()-1,1,0))</f>
        <v/>
      </c>
    </row>
    <row r="4730" customFormat="false" ht="15" hidden="false" customHeight="false" outlineLevel="0" collapsed="false">
      <c r="V4730" s="23" t="str">
        <f aca="false">IF(ISNUMBER(C4730),YEAR(C4730),"")</f>
        <v/>
      </c>
      <c r="W4730" s="23" t="str">
        <f aca="false">IF(ISNUMBER(C4730),MONTH(C4730),"")</f>
        <v/>
      </c>
      <c r="X4730" s="23" t="str">
        <f aca="false">IF(T4730="","",IF(T4730=0,"No discount",IF(T4730&lt;=0.2,"Low (1-20%)",IF(T4730&lt;=0.4,"Medium (21-40%)","High (&gt;40%)"))))</f>
        <v/>
      </c>
      <c r="Y4730" s="23" t="str">
        <f aca="false">IF(AND(ISNUMBER(C4730),ISNUMBER(D4730)),D4730-C4730,"")</f>
        <v/>
      </c>
      <c r="Z4730" s="23" t="str">
        <f aca="false">IF(B4730="","",IF(MATCH(B4730,$B$2:$B$12000,0)=ROW()-1,1,0))</f>
        <v/>
      </c>
    </row>
    <row r="4731" customFormat="false" ht="15" hidden="false" customHeight="false" outlineLevel="0" collapsed="false">
      <c r="V4731" s="23" t="str">
        <f aca="false">IF(ISNUMBER(C4731),YEAR(C4731),"")</f>
        <v/>
      </c>
      <c r="W4731" s="23" t="str">
        <f aca="false">IF(ISNUMBER(C4731),MONTH(C4731),"")</f>
        <v/>
      </c>
      <c r="X4731" s="23" t="str">
        <f aca="false">IF(T4731="","",IF(T4731=0,"No discount",IF(T4731&lt;=0.2,"Low (1-20%)",IF(T4731&lt;=0.4,"Medium (21-40%)","High (&gt;40%)"))))</f>
        <v/>
      </c>
      <c r="Y4731" s="23" t="str">
        <f aca="false">IF(AND(ISNUMBER(C4731),ISNUMBER(D4731)),D4731-C4731,"")</f>
        <v/>
      </c>
      <c r="Z4731" s="23" t="str">
        <f aca="false">IF(B4731="","",IF(MATCH(B4731,$B$2:$B$12000,0)=ROW()-1,1,0))</f>
        <v/>
      </c>
    </row>
    <row r="4732" customFormat="false" ht="15" hidden="false" customHeight="false" outlineLevel="0" collapsed="false">
      <c r="V4732" s="23" t="str">
        <f aca="false">IF(ISNUMBER(C4732),YEAR(C4732),"")</f>
        <v/>
      </c>
      <c r="W4732" s="23" t="str">
        <f aca="false">IF(ISNUMBER(C4732),MONTH(C4732),"")</f>
        <v/>
      </c>
      <c r="X4732" s="23" t="str">
        <f aca="false">IF(T4732="","",IF(T4732=0,"No discount",IF(T4732&lt;=0.2,"Low (1-20%)",IF(T4732&lt;=0.4,"Medium (21-40%)","High (&gt;40%)"))))</f>
        <v/>
      </c>
      <c r="Y4732" s="23" t="str">
        <f aca="false">IF(AND(ISNUMBER(C4732),ISNUMBER(D4732)),D4732-C4732,"")</f>
        <v/>
      </c>
      <c r="Z4732" s="23" t="str">
        <f aca="false">IF(B4732="","",IF(MATCH(B4732,$B$2:$B$12000,0)=ROW()-1,1,0))</f>
        <v/>
      </c>
    </row>
    <row r="4733" customFormat="false" ht="15" hidden="false" customHeight="false" outlineLevel="0" collapsed="false">
      <c r="V4733" s="23" t="str">
        <f aca="false">IF(ISNUMBER(C4733),YEAR(C4733),"")</f>
        <v/>
      </c>
      <c r="W4733" s="23" t="str">
        <f aca="false">IF(ISNUMBER(C4733),MONTH(C4733),"")</f>
        <v/>
      </c>
      <c r="X4733" s="23" t="str">
        <f aca="false">IF(T4733="","",IF(T4733=0,"No discount",IF(T4733&lt;=0.2,"Low (1-20%)",IF(T4733&lt;=0.4,"Medium (21-40%)","High (&gt;40%)"))))</f>
        <v/>
      </c>
      <c r="Y4733" s="23" t="str">
        <f aca="false">IF(AND(ISNUMBER(C4733),ISNUMBER(D4733)),D4733-C4733,"")</f>
        <v/>
      </c>
      <c r="Z4733" s="23" t="str">
        <f aca="false">IF(B4733="","",IF(MATCH(B4733,$B$2:$B$12000,0)=ROW()-1,1,0))</f>
        <v/>
      </c>
    </row>
    <row r="4734" customFormat="false" ht="15" hidden="false" customHeight="false" outlineLevel="0" collapsed="false">
      <c r="V4734" s="23" t="str">
        <f aca="false">IF(ISNUMBER(C4734),YEAR(C4734),"")</f>
        <v/>
      </c>
      <c r="W4734" s="23" t="str">
        <f aca="false">IF(ISNUMBER(C4734),MONTH(C4734),"")</f>
        <v/>
      </c>
      <c r="X4734" s="23" t="str">
        <f aca="false">IF(T4734="","",IF(T4734=0,"No discount",IF(T4734&lt;=0.2,"Low (1-20%)",IF(T4734&lt;=0.4,"Medium (21-40%)","High (&gt;40%)"))))</f>
        <v/>
      </c>
      <c r="Y4734" s="23" t="str">
        <f aca="false">IF(AND(ISNUMBER(C4734),ISNUMBER(D4734)),D4734-C4734,"")</f>
        <v/>
      </c>
      <c r="Z4734" s="23" t="str">
        <f aca="false">IF(B4734="","",IF(MATCH(B4734,$B$2:$B$12000,0)=ROW()-1,1,0))</f>
        <v/>
      </c>
    </row>
    <row r="4735" customFormat="false" ht="15" hidden="false" customHeight="false" outlineLevel="0" collapsed="false">
      <c r="V4735" s="23" t="str">
        <f aca="false">IF(ISNUMBER(C4735),YEAR(C4735),"")</f>
        <v/>
      </c>
      <c r="W4735" s="23" t="str">
        <f aca="false">IF(ISNUMBER(C4735),MONTH(C4735),"")</f>
        <v/>
      </c>
      <c r="X4735" s="23" t="str">
        <f aca="false">IF(T4735="","",IF(T4735=0,"No discount",IF(T4735&lt;=0.2,"Low (1-20%)",IF(T4735&lt;=0.4,"Medium (21-40%)","High (&gt;40%)"))))</f>
        <v/>
      </c>
      <c r="Y4735" s="23" t="str">
        <f aca="false">IF(AND(ISNUMBER(C4735),ISNUMBER(D4735)),D4735-C4735,"")</f>
        <v/>
      </c>
      <c r="Z4735" s="23" t="str">
        <f aca="false">IF(B4735="","",IF(MATCH(B4735,$B$2:$B$12000,0)=ROW()-1,1,0))</f>
        <v/>
      </c>
    </row>
    <row r="4736" customFormat="false" ht="15" hidden="false" customHeight="false" outlineLevel="0" collapsed="false">
      <c r="V4736" s="23" t="str">
        <f aca="false">IF(ISNUMBER(C4736),YEAR(C4736),"")</f>
        <v/>
      </c>
      <c r="W4736" s="23" t="str">
        <f aca="false">IF(ISNUMBER(C4736),MONTH(C4736),"")</f>
        <v/>
      </c>
      <c r="X4736" s="23" t="str">
        <f aca="false">IF(T4736="","",IF(T4736=0,"No discount",IF(T4736&lt;=0.2,"Low (1-20%)",IF(T4736&lt;=0.4,"Medium (21-40%)","High (&gt;40%)"))))</f>
        <v/>
      </c>
      <c r="Y4736" s="23" t="str">
        <f aca="false">IF(AND(ISNUMBER(C4736),ISNUMBER(D4736)),D4736-C4736,"")</f>
        <v/>
      </c>
      <c r="Z4736" s="23" t="str">
        <f aca="false">IF(B4736="","",IF(MATCH(B4736,$B$2:$B$12000,0)=ROW()-1,1,0))</f>
        <v/>
      </c>
    </row>
    <row r="4737" customFormat="false" ht="15" hidden="false" customHeight="false" outlineLevel="0" collapsed="false">
      <c r="V4737" s="23" t="str">
        <f aca="false">IF(ISNUMBER(C4737),YEAR(C4737),"")</f>
        <v/>
      </c>
      <c r="W4737" s="23" t="str">
        <f aca="false">IF(ISNUMBER(C4737),MONTH(C4737),"")</f>
        <v/>
      </c>
      <c r="X4737" s="23" t="str">
        <f aca="false">IF(T4737="","",IF(T4737=0,"No discount",IF(T4737&lt;=0.2,"Low (1-20%)",IF(T4737&lt;=0.4,"Medium (21-40%)","High (&gt;40%)"))))</f>
        <v/>
      </c>
      <c r="Y4737" s="23" t="str">
        <f aca="false">IF(AND(ISNUMBER(C4737),ISNUMBER(D4737)),D4737-C4737,"")</f>
        <v/>
      </c>
      <c r="Z4737" s="23" t="str">
        <f aca="false">IF(B4737="","",IF(MATCH(B4737,$B$2:$B$12000,0)=ROW()-1,1,0))</f>
        <v/>
      </c>
    </row>
    <row r="4738" customFormat="false" ht="15" hidden="false" customHeight="false" outlineLevel="0" collapsed="false">
      <c r="V4738" s="23" t="str">
        <f aca="false">IF(ISNUMBER(C4738),YEAR(C4738),"")</f>
        <v/>
      </c>
      <c r="W4738" s="23" t="str">
        <f aca="false">IF(ISNUMBER(C4738),MONTH(C4738),"")</f>
        <v/>
      </c>
      <c r="X4738" s="23" t="str">
        <f aca="false">IF(T4738="","",IF(T4738=0,"No discount",IF(T4738&lt;=0.2,"Low (1-20%)",IF(T4738&lt;=0.4,"Medium (21-40%)","High (&gt;40%)"))))</f>
        <v/>
      </c>
      <c r="Y4738" s="23" t="str">
        <f aca="false">IF(AND(ISNUMBER(C4738),ISNUMBER(D4738)),D4738-C4738,"")</f>
        <v/>
      </c>
      <c r="Z4738" s="23" t="str">
        <f aca="false">IF(B4738="","",IF(MATCH(B4738,$B$2:$B$12000,0)=ROW()-1,1,0))</f>
        <v/>
      </c>
    </row>
    <row r="4739" customFormat="false" ht="15" hidden="false" customHeight="false" outlineLevel="0" collapsed="false">
      <c r="V4739" s="23" t="str">
        <f aca="false">IF(ISNUMBER(C4739),YEAR(C4739),"")</f>
        <v/>
      </c>
      <c r="W4739" s="23" t="str">
        <f aca="false">IF(ISNUMBER(C4739),MONTH(C4739),"")</f>
        <v/>
      </c>
      <c r="X4739" s="23" t="str">
        <f aca="false">IF(T4739="","",IF(T4739=0,"No discount",IF(T4739&lt;=0.2,"Low (1-20%)",IF(T4739&lt;=0.4,"Medium (21-40%)","High (&gt;40%)"))))</f>
        <v/>
      </c>
      <c r="Y4739" s="23" t="str">
        <f aca="false">IF(AND(ISNUMBER(C4739),ISNUMBER(D4739)),D4739-C4739,"")</f>
        <v/>
      </c>
      <c r="Z4739" s="23" t="str">
        <f aca="false">IF(B4739="","",IF(MATCH(B4739,$B$2:$B$12000,0)=ROW()-1,1,0))</f>
        <v/>
      </c>
    </row>
    <row r="4740" customFormat="false" ht="15" hidden="false" customHeight="false" outlineLevel="0" collapsed="false">
      <c r="V4740" s="23" t="str">
        <f aca="false">IF(ISNUMBER(C4740),YEAR(C4740),"")</f>
        <v/>
      </c>
      <c r="W4740" s="23" t="str">
        <f aca="false">IF(ISNUMBER(C4740),MONTH(C4740),"")</f>
        <v/>
      </c>
      <c r="X4740" s="23" t="str">
        <f aca="false">IF(T4740="","",IF(T4740=0,"No discount",IF(T4740&lt;=0.2,"Low (1-20%)",IF(T4740&lt;=0.4,"Medium (21-40%)","High (&gt;40%)"))))</f>
        <v/>
      </c>
      <c r="Y4740" s="23" t="str">
        <f aca="false">IF(AND(ISNUMBER(C4740),ISNUMBER(D4740)),D4740-C4740,"")</f>
        <v/>
      </c>
      <c r="Z4740" s="23" t="str">
        <f aca="false">IF(B4740="","",IF(MATCH(B4740,$B$2:$B$12000,0)=ROW()-1,1,0))</f>
        <v/>
      </c>
    </row>
    <row r="4741" customFormat="false" ht="15" hidden="false" customHeight="false" outlineLevel="0" collapsed="false">
      <c r="V4741" s="23" t="str">
        <f aca="false">IF(ISNUMBER(C4741),YEAR(C4741),"")</f>
        <v/>
      </c>
      <c r="W4741" s="23" t="str">
        <f aca="false">IF(ISNUMBER(C4741),MONTH(C4741),"")</f>
        <v/>
      </c>
      <c r="X4741" s="23" t="str">
        <f aca="false">IF(T4741="","",IF(T4741=0,"No discount",IF(T4741&lt;=0.2,"Low (1-20%)",IF(T4741&lt;=0.4,"Medium (21-40%)","High (&gt;40%)"))))</f>
        <v/>
      </c>
      <c r="Y4741" s="23" t="str">
        <f aca="false">IF(AND(ISNUMBER(C4741),ISNUMBER(D4741)),D4741-C4741,"")</f>
        <v/>
      </c>
      <c r="Z4741" s="23" t="str">
        <f aca="false">IF(B4741="","",IF(MATCH(B4741,$B$2:$B$12000,0)=ROW()-1,1,0))</f>
        <v/>
      </c>
    </row>
    <row r="4742" customFormat="false" ht="15" hidden="false" customHeight="false" outlineLevel="0" collapsed="false">
      <c r="V4742" s="23" t="str">
        <f aca="false">IF(ISNUMBER(C4742),YEAR(C4742),"")</f>
        <v/>
      </c>
      <c r="W4742" s="23" t="str">
        <f aca="false">IF(ISNUMBER(C4742),MONTH(C4742),"")</f>
        <v/>
      </c>
      <c r="X4742" s="23" t="str">
        <f aca="false">IF(T4742="","",IF(T4742=0,"No discount",IF(T4742&lt;=0.2,"Low (1-20%)",IF(T4742&lt;=0.4,"Medium (21-40%)","High (&gt;40%)"))))</f>
        <v/>
      </c>
      <c r="Y4742" s="23" t="str">
        <f aca="false">IF(AND(ISNUMBER(C4742),ISNUMBER(D4742)),D4742-C4742,"")</f>
        <v/>
      </c>
      <c r="Z4742" s="23" t="str">
        <f aca="false">IF(B4742="","",IF(MATCH(B4742,$B$2:$B$12000,0)=ROW()-1,1,0))</f>
        <v/>
      </c>
    </row>
    <row r="4743" customFormat="false" ht="15" hidden="false" customHeight="false" outlineLevel="0" collapsed="false">
      <c r="V4743" s="23" t="str">
        <f aca="false">IF(ISNUMBER(C4743),YEAR(C4743),"")</f>
        <v/>
      </c>
      <c r="W4743" s="23" t="str">
        <f aca="false">IF(ISNUMBER(C4743),MONTH(C4743),"")</f>
        <v/>
      </c>
      <c r="X4743" s="23" t="str">
        <f aca="false">IF(T4743="","",IF(T4743=0,"No discount",IF(T4743&lt;=0.2,"Low (1-20%)",IF(T4743&lt;=0.4,"Medium (21-40%)","High (&gt;40%)"))))</f>
        <v/>
      </c>
      <c r="Y4743" s="23" t="str">
        <f aca="false">IF(AND(ISNUMBER(C4743),ISNUMBER(D4743)),D4743-C4743,"")</f>
        <v/>
      </c>
      <c r="Z4743" s="23" t="str">
        <f aca="false">IF(B4743="","",IF(MATCH(B4743,$B$2:$B$12000,0)=ROW()-1,1,0))</f>
        <v/>
      </c>
    </row>
    <row r="4744" customFormat="false" ht="15" hidden="false" customHeight="false" outlineLevel="0" collapsed="false">
      <c r="V4744" s="23" t="str">
        <f aca="false">IF(ISNUMBER(C4744),YEAR(C4744),"")</f>
        <v/>
      </c>
      <c r="W4744" s="23" t="str">
        <f aca="false">IF(ISNUMBER(C4744),MONTH(C4744),"")</f>
        <v/>
      </c>
      <c r="X4744" s="23" t="str">
        <f aca="false">IF(T4744="","",IF(T4744=0,"No discount",IF(T4744&lt;=0.2,"Low (1-20%)",IF(T4744&lt;=0.4,"Medium (21-40%)","High (&gt;40%)"))))</f>
        <v/>
      </c>
      <c r="Y4744" s="23" t="str">
        <f aca="false">IF(AND(ISNUMBER(C4744),ISNUMBER(D4744)),D4744-C4744,"")</f>
        <v/>
      </c>
      <c r="Z4744" s="23" t="str">
        <f aca="false">IF(B4744="","",IF(MATCH(B4744,$B$2:$B$12000,0)=ROW()-1,1,0))</f>
        <v/>
      </c>
    </row>
    <row r="4745" customFormat="false" ht="15" hidden="false" customHeight="false" outlineLevel="0" collapsed="false">
      <c r="V4745" s="23" t="str">
        <f aca="false">IF(ISNUMBER(C4745),YEAR(C4745),"")</f>
        <v/>
      </c>
      <c r="W4745" s="23" t="str">
        <f aca="false">IF(ISNUMBER(C4745),MONTH(C4745),"")</f>
        <v/>
      </c>
      <c r="X4745" s="23" t="str">
        <f aca="false">IF(T4745="","",IF(T4745=0,"No discount",IF(T4745&lt;=0.2,"Low (1-20%)",IF(T4745&lt;=0.4,"Medium (21-40%)","High (&gt;40%)"))))</f>
        <v/>
      </c>
      <c r="Y4745" s="23" t="str">
        <f aca="false">IF(AND(ISNUMBER(C4745),ISNUMBER(D4745)),D4745-C4745,"")</f>
        <v/>
      </c>
      <c r="Z4745" s="23" t="str">
        <f aca="false">IF(B4745="","",IF(MATCH(B4745,$B$2:$B$12000,0)=ROW()-1,1,0))</f>
        <v/>
      </c>
    </row>
    <row r="4746" customFormat="false" ht="15" hidden="false" customHeight="false" outlineLevel="0" collapsed="false">
      <c r="V4746" s="23" t="str">
        <f aca="false">IF(ISNUMBER(C4746),YEAR(C4746),"")</f>
        <v/>
      </c>
      <c r="W4746" s="23" t="str">
        <f aca="false">IF(ISNUMBER(C4746),MONTH(C4746),"")</f>
        <v/>
      </c>
      <c r="X4746" s="23" t="str">
        <f aca="false">IF(T4746="","",IF(T4746=0,"No discount",IF(T4746&lt;=0.2,"Low (1-20%)",IF(T4746&lt;=0.4,"Medium (21-40%)","High (&gt;40%)"))))</f>
        <v/>
      </c>
      <c r="Y4746" s="23" t="str">
        <f aca="false">IF(AND(ISNUMBER(C4746),ISNUMBER(D4746)),D4746-C4746,"")</f>
        <v/>
      </c>
      <c r="Z4746" s="23" t="str">
        <f aca="false">IF(B4746="","",IF(MATCH(B4746,$B$2:$B$12000,0)=ROW()-1,1,0))</f>
        <v/>
      </c>
    </row>
    <row r="4747" customFormat="false" ht="15" hidden="false" customHeight="false" outlineLevel="0" collapsed="false">
      <c r="V4747" s="23" t="str">
        <f aca="false">IF(ISNUMBER(C4747),YEAR(C4747),"")</f>
        <v/>
      </c>
      <c r="W4747" s="23" t="str">
        <f aca="false">IF(ISNUMBER(C4747),MONTH(C4747),"")</f>
        <v/>
      </c>
      <c r="X4747" s="23" t="str">
        <f aca="false">IF(T4747="","",IF(T4747=0,"No discount",IF(T4747&lt;=0.2,"Low (1-20%)",IF(T4747&lt;=0.4,"Medium (21-40%)","High (&gt;40%)"))))</f>
        <v/>
      </c>
      <c r="Y4747" s="23" t="str">
        <f aca="false">IF(AND(ISNUMBER(C4747),ISNUMBER(D4747)),D4747-C4747,"")</f>
        <v/>
      </c>
      <c r="Z4747" s="23" t="str">
        <f aca="false">IF(B4747="","",IF(MATCH(B4747,$B$2:$B$12000,0)=ROW()-1,1,0))</f>
        <v/>
      </c>
    </row>
    <row r="4748" customFormat="false" ht="15" hidden="false" customHeight="false" outlineLevel="0" collapsed="false">
      <c r="V4748" s="23" t="str">
        <f aca="false">IF(ISNUMBER(C4748),YEAR(C4748),"")</f>
        <v/>
      </c>
      <c r="W4748" s="23" t="str">
        <f aca="false">IF(ISNUMBER(C4748),MONTH(C4748),"")</f>
        <v/>
      </c>
      <c r="X4748" s="23" t="str">
        <f aca="false">IF(T4748="","",IF(T4748=0,"No discount",IF(T4748&lt;=0.2,"Low (1-20%)",IF(T4748&lt;=0.4,"Medium (21-40%)","High (&gt;40%)"))))</f>
        <v/>
      </c>
      <c r="Y4748" s="23" t="str">
        <f aca="false">IF(AND(ISNUMBER(C4748),ISNUMBER(D4748)),D4748-C4748,"")</f>
        <v/>
      </c>
      <c r="Z4748" s="23" t="str">
        <f aca="false">IF(B4748="","",IF(MATCH(B4748,$B$2:$B$12000,0)=ROW()-1,1,0))</f>
        <v/>
      </c>
    </row>
    <row r="4749" customFormat="false" ht="15" hidden="false" customHeight="false" outlineLevel="0" collapsed="false">
      <c r="V4749" s="23" t="str">
        <f aca="false">IF(ISNUMBER(C4749),YEAR(C4749),"")</f>
        <v/>
      </c>
      <c r="W4749" s="23" t="str">
        <f aca="false">IF(ISNUMBER(C4749),MONTH(C4749),"")</f>
        <v/>
      </c>
      <c r="X4749" s="23" t="str">
        <f aca="false">IF(T4749="","",IF(T4749=0,"No discount",IF(T4749&lt;=0.2,"Low (1-20%)",IF(T4749&lt;=0.4,"Medium (21-40%)","High (&gt;40%)"))))</f>
        <v/>
      </c>
      <c r="Y4749" s="23" t="str">
        <f aca="false">IF(AND(ISNUMBER(C4749),ISNUMBER(D4749)),D4749-C4749,"")</f>
        <v/>
      </c>
      <c r="Z4749" s="23" t="str">
        <f aca="false">IF(B4749="","",IF(MATCH(B4749,$B$2:$B$12000,0)=ROW()-1,1,0))</f>
        <v/>
      </c>
    </row>
    <row r="4750" customFormat="false" ht="15" hidden="false" customHeight="false" outlineLevel="0" collapsed="false">
      <c r="V4750" s="23" t="str">
        <f aca="false">IF(ISNUMBER(C4750),YEAR(C4750),"")</f>
        <v/>
      </c>
      <c r="W4750" s="23" t="str">
        <f aca="false">IF(ISNUMBER(C4750),MONTH(C4750),"")</f>
        <v/>
      </c>
      <c r="X4750" s="23" t="str">
        <f aca="false">IF(T4750="","",IF(T4750=0,"No discount",IF(T4750&lt;=0.2,"Low (1-20%)",IF(T4750&lt;=0.4,"Medium (21-40%)","High (&gt;40%)"))))</f>
        <v/>
      </c>
      <c r="Y4750" s="23" t="str">
        <f aca="false">IF(AND(ISNUMBER(C4750),ISNUMBER(D4750)),D4750-C4750,"")</f>
        <v/>
      </c>
      <c r="Z4750" s="23" t="str">
        <f aca="false">IF(B4750="","",IF(MATCH(B4750,$B$2:$B$12000,0)=ROW()-1,1,0))</f>
        <v/>
      </c>
    </row>
    <row r="4751" customFormat="false" ht="15" hidden="false" customHeight="false" outlineLevel="0" collapsed="false">
      <c r="V4751" s="23" t="str">
        <f aca="false">IF(ISNUMBER(C4751),YEAR(C4751),"")</f>
        <v/>
      </c>
      <c r="W4751" s="23" t="str">
        <f aca="false">IF(ISNUMBER(C4751),MONTH(C4751),"")</f>
        <v/>
      </c>
      <c r="X4751" s="23" t="str">
        <f aca="false">IF(T4751="","",IF(T4751=0,"No discount",IF(T4751&lt;=0.2,"Low (1-20%)",IF(T4751&lt;=0.4,"Medium (21-40%)","High (&gt;40%)"))))</f>
        <v/>
      </c>
      <c r="Y4751" s="23" t="str">
        <f aca="false">IF(AND(ISNUMBER(C4751),ISNUMBER(D4751)),D4751-C4751,"")</f>
        <v/>
      </c>
      <c r="Z4751" s="23" t="str">
        <f aca="false">IF(B4751="","",IF(MATCH(B4751,$B$2:$B$12000,0)=ROW()-1,1,0))</f>
        <v/>
      </c>
    </row>
    <row r="4752" customFormat="false" ht="15" hidden="false" customHeight="false" outlineLevel="0" collapsed="false">
      <c r="V4752" s="23" t="str">
        <f aca="false">IF(ISNUMBER(C4752),YEAR(C4752),"")</f>
        <v/>
      </c>
      <c r="W4752" s="23" t="str">
        <f aca="false">IF(ISNUMBER(C4752),MONTH(C4752),"")</f>
        <v/>
      </c>
      <c r="X4752" s="23" t="str">
        <f aca="false">IF(T4752="","",IF(T4752=0,"No discount",IF(T4752&lt;=0.2,"Low (1-20%)",IF(T4752&lt;=0.4,"Medium (21-40%)","High (&gt;40%)"))))</f>
        <v/>
      </c>
      <c r="Y4752" s="23" t="str">
        <f aca="false">IF(AND(ISNUMBER(C4752),ISNUMBER(D4752)),D4752-C4752,"")</f>
        <v/>
      </c>
      <c r="Z4752" s="23" t="str">
        <f aca="false">IF(B4752="","",IF(MATCH(B4752,$B$2:$B$12000,0)=ROW()-1,1,0))</f>
        <v/>
      </c>
    </row>
    <row r="4753" customFormat="false" ht="15" hidden="false" customHeight="false" outlineLevel="0" collapsed="false">
      <c r="V4753" s="23" t="str">
        <f aca="false">IF(ISNUMBER(C4753),YEAR(C4753),"")</f>
        <v/>
      </c>
      <c r="W4753" s="23" t="str">
        <f aca="false">IF(ISNUMBER(C4753),MONTH(C4753),"")</f>
        <v/>
      </c>
      <c r="X4753" s="23" t="str">
        <f aca="false">IF(T4753="","",IF(T4753=0,"No discount",IF(T4753&lt;=0.2,"Low (1-20%)",IF(T4753&lt;=0.4,"Medium (21-40%)","High (&gt;40%)"))))</f>
        <v/>
      </c>
      <c r="Y4753" s="23" t="str">
        <f aca="false">IF(AND(ISNUMBER(C4753),ISNUMBER(D4753)),D4753-C4753,"")</f>
        <v/>
      </c>
      <c r="Z4753" s="23" t="str">
        <f aca="false">IF(B4753="","",IF(MATCH(B4753,$B$2:$B$12000,0)=ROW()-1,1,0))</f>
        <v/>
      </c>
    </row>
    <row r="4754" customFormat="false" ht="15" hidden="false" customHeight="false" outlineLevel="0" collapsed="false">
      <c r="V4754" s="23" t="str">
        <f aca="false">IF(ISNUMBER(C4754),YEAR(C4754),"")</f>
        <v/>
      </c>
      <c r="W4754" s="23" t="str">
        <f aca="false">IF(ISNUMBER(C4754),MONTH(C4754),"")</f>
        <v/>
      </c>
      <c r="X4754" s="23" t="str">
        <f aca="false">IF(T4754="","",IF(T4754=0,"No discount",IF(T4754&lt;=0.2,"Low (1-20%)",IF(T4754&lt;=0.4,"Medium (21-40%)","High (&gt;40%)"))))</f>
        <v/>
      </c>
      <c r="Y4754" s="23" t="str">
        <f aca="false">IF(AND(ISNUMBER(C4754),ISNUMBER(D4754)),D4754-C4754,"")</f>
        <v/>
      </c>
      <c r="Z4754" s="23" t="str">
        <f aca="false">IF(B4754="","",IF(MATCH(B4754,$B$2:$B$12000,0)=ROW()-1,1,0))</f>
        <v/>
      </c>
    </row>
    <row r="4755" customFormat="false" ht="15" hidden="false" customHeight="false" outlineLevel="0" collapsed="false">
      <c r="V4755" s="23" t="str">
        <f aca="false">IF(ISNUMBER(C4755),YEAR(C4755),"")</f>
        <v/>
      </c>
      <c r="W4755" s="23" t="str">
        <f aca="false">IF(ISNUMBER(C4755),MONTH(C4755),"")</f>
        <v/>
      </c>
      <c r="X4755" s="23" t="str">
        <f aca="false">IF(T4755="","",IF(T4755=0,"No discount",IF(T4755&lt;=0.2,"Low (1-20%)",IF(T4755&lt;=0.4,"Medium (21-40%)","High (&gt;40%)"))))</f>
        <v/>
      </c>
      <c r="Y4755" s="23" t="str">
        <f aca="false">IF(AND(ISNUMBER(C4755),ISNUMBER(D4755)),D4755-C4755,"")</f>
        <v/>
      </c>
      <c r="Z4755" s="23" t="str">
        <f aca="false">IF(B4755="","",IF(MATCH(B4755,$B$2:$B$12000,0)=ROW()-1,1,0))</f>
        <v/>
      </c>
    </row>
    <row r="4756" customFormat="false" ht="15" hidden="false" customHeight="false" outlineLevel="0" collapsed="false">
      <c r="V4756" s="23" t="str">
        <f aca="false">IF(ISNUMBER(C4756),YEAR(C4756),"")</f>
        <v/>
      </c>
      <c r="W4756" s="23" t="str">
        <f aca="false">IF(ISNUMBER(C4756),MONTH(C4756),"")</f>
        <v/>
      </c>
      <c r="X4756" s="23" t="str">
        <f aca="false">IF(T4756="","",IF(T4756=0,"No discount",IF(T4756&lt;=0.2,"Low (1-20%)",IF(T4756&lt;=0.4,"Medium (21-40%)","High (&gt;40%)"))))</f>
        <v/>
      </c>
      <c r="Y4756" s="23" t="str">
        <f aca="false">IF(AND(ISNUMBER(C4756),ISNUMBER(D4756)),D4756-C4756,"")</f>
        <v/>
      </c>
      <c r="Z4756" s="23" t="str">
        <f aca="false">IF(B4756="","",IF(MATCH(B4756,$B$2:$B$12000,0)=ROW()-1,1,0))</f>
        <v/>
      </c>
    </row>
    <row r="4757" customFormat="false" ht="15" hidden="false" customHeight="false" outlineLevel="0" collapsed="false">
      <c r="V4757" s="23" t="str">
        <f aca="false">IF(ISNUMBER(C4757),YEAR(C4757),"")</f>
        <v/>
      </c>
      <c r="W4757" s="23" t="str">
        <f aca="false">IF(ISNUMBER(C4757),MONTH(C4757),"")</f>
        <v/>
      </c>
      <c r="X4757" s="23" t="str">
        <f aca="false">IF(T4757="","",IF(T4757=0,"No discount",IF(T4757&lt;=0.2,"Low (1-20%)",IF(T4757&lt;=0.4,"Medium (21-40%)","High (&gt;40%)"))))</f>
        <v/>
      </c>
      <c r="Y4757" s="23" t="str">
        <f aca="false">IF(AND(ISNUMBER(C4757),ISNUMBER(D4757)),D4757-C4757,"")</f>
        <v/>
      </c>
      <c r="Z4757" s="23" t="str">
        <f aca="false">IF(B4757="","",IF(MATCH(B4757,$B$2:$B$12000,0)=ROW()-1,1,0))</f>
        <v/>
      </c>
    </row>
    <row r="4758" customFormat="false" ht="15" hidden="false" customHeight="false" outlineLevel="0" collapsed="false">
      <c r="V4758" s="23" t="str">
        <f aca="false">IF(ISNUMBER(C4758),YEAR(C4758),"")</f>
        <v/>
      </c>
      <c r="W4758" s="23" t="str">
        <f aca="false">IF(ISNUMBER(C4758),MONTH(C4758),"")</f>
        <v/>
      </c>
      <c r="X4758" s="23" t="str">
        <f aca="false">IF(T4758="","",IF(T4758=0,"No discount",IF(T4758&lt;=0.2,"Low (1-20%)",IF(T4758&lt;=0.4,"Medium (21-40%)","High (&gt;40%)"))))</f>
        <v/>
      </c>
      <c r="Y4758" s="23" t="str">
        <f aca="false">IF(AND(ISNUMBER(C4758),ISNUMBER(D4758)),D4758-C4758,"")</f>
        <v/>
      </c>
      <c r="Z4758" s="23" t="str">
        <f aca="false">IF(B4758="","",IF(MATCH(B4758,$B$2:$B$12000,0)=ROW()-1,1,0))</f>
        <v/>
      </c>
    </row>
    <row r="4759" customFormat="false" ht="15" hidden="false" customHeight="false" outlineLevel="0" collapsed="false">
      <c r="V4759" s="23" t="str">
        <f aca="false">IF(ISNUMBER(C4759),YEAR(C4759),"")</f>
        <v/>
      </c>
      <c r="W4759" s="23" t="str">
        <f aca="false">IF(ISNUMBER(C4759),MONTH(C4759),"")</f>
        <v/>
      </c>
      <c r="X4759" s="23" t="str">
        <f aca="false">IF(T4759="","",IF(T4759=0,"No discount",IF(T4759&lt;=0.2,"Low (1-20%)",IF(T4759&lt;=0.4,"Medium (21-40%)","High (&gt;40%)"))))</f>
        <v/>
      </c>
      <c r="Y4759" s="23" t="str">
        <f aca="false">IF(AND(ISNUMBER(C4759),ISNUMBER(D4759)),D4759-C4759,"")</f>
        <v/>
      </c>
      <c r="Z4759" s="23" t="str">
        <f aca="false">IF(B4759="","",IF(MATCH(B4759,$B$2:$B$12000,0)=ROW()-1,1,0))</f>
        <v/>
      </c>
    </row>
    <row r="4760" customFormat="false" ht="15" hidden="false" customHeight="false" outlineLevel="0" collapsed="false">
      <c r="V4760" s="23" t="str">
        <f aca="false">IF(ISNUMBER(C4760),YEAR(C4760),"")</f>
        <v/>
      </c>
      <c r="W4760" s="23" t="str">
        <f aca="false">IF(ISNUMBER(C4760),MONTH(C4760),"")</f>
        <v/>
      </c>
      <c r="X4760" s="23" t="str">
        <f aca="false">IF(T4760="","",IF(T4760=0,"No discount",IF(T4760&lt;=0.2,"Low (1-20%)",IF(T4760&lt;=0.4,"Medium (21-40%)","High (&gt;40%)"))))</f>
        <v/>
      </c>
      <c r="Y4760" s="23" t="str">
        <f aca="false">IF(AND(ISNUMBER(C4760),ISNUMBER(D4760)),D4760-C4760,"")</f>
        <v/>
      </c>
      <c r="Z4760" s="23" t="str">
        <f aca="false">IF(B4760="","",IF(MATCH(B4760,$B$2:$B$12000,0)=ROW()-1,1,0))</f>
        <v/>
      </c>
    </row>
    <row r="4761" customFormat="false" ht="15" hidden="false" customHeight="false" outlineLevel="0" collapsed="false">
      <c r="V4761" s="23" t="str">
        <f aca="false">IF(ISNUMBER(C4761),YEAR(C4761),"")</f>
        <v/>
      </c>
      <c r="W4761" s="23" t="str">
        <f aca="false">IF(ISNUMBER(C4761),MONTH(C4761),"")</f>
        <v/>
      </c>
      <c r="X4761" s="23" t="str">
        <f aca="false">IF(T4761="","",IF(T4761=0,"No discount",IF(T4761&lt;=0.2,"Low (1-20%)",IF(T4761&lt;=0.4,"Medium (21-40%)","High (&gt;40%)"))))</f>
        <v/>
      </c>
      <c r="Y4761" s="23" t="str">
        <f aca="false">IF(AND(ISNUMBER(C4761),ISNUMBER(D4761)),D4761-C4761,"")</f>
        <v/>
      </c>
      <c r="Z4761" s="23" t="str">
        <f aca="false">IF(B4761="","",IF(MATCH(B4761,$B$2:$B$12000,0)=ROW()-1,1,0))</f>
        <v/>
      </c>
    </row>
    <row r="4762" customFormat="false" ht="15" hidden="false" customHeight="false" outlineLevel="0" collapsed="false">
      <c r="V4762" s="23" t="str">
        <f aca="false">IF(ISNUMBER(C4762),YEAR(C4762),"")</f>
        <v/>
      </c>
      <c r="W4762" s="23" t="str">
        <f aca="false">IF(ISNUMBER(C4762),MONTH(C4762),"")</f>
        <v/>
      </c>
      <c r="X4762" s="23" t="str">
        <f aca="false">IF(T4762="","",IF(T4762=0,"No discount",IF(T4762&lt;=0.2,"Low (1-20%)",IF(T4762&lt;=0.4,"Medium (21-40%)","High (&gt;40%)"))))</f>
        <v/>
      </c>
      <c r="Y4762" s="23" t="str">
        <f aca="false">IF(AND(ISNUMBER(C4762),ISNUMBER(D4762)),D4762-C4762,"")</f>
        <v/>
      </c>
      <c r="Z4762" s="23" t="str">
        <f aca="false">IF(B4762="","",IF(MATCH(B4762,$B$2:$B$12000,0)=ROW()-1,1,0))</f>
        <v/>
      </c>
    </row>
    <row r="4763" customFormat="false" ht="15" hidden="false" customHeight="false" outlineLevel="0" collapsed="false">
      <c r="V4763" s="23" t="str">
        <f aca="false">IF(ISNUMBER(C4763),YEAR(C4763),"")</f>
        <v/>
      </c>
      <c r="W4763" s="23" t="str">
        <f aca="false">IF(ISNUMBER(C4763),MONTH(C4763),"")</f>
        <v/>
      </c>
      <c r="X4763" s="23" t="str">
        <f aca="false">IF(T4763="","",IF(T4763=0,"No discount",IF(T4763&lt;=0.2,"Low (1-20%)",IF(T4763&lt;=0.4,"Medium (21-40%)","High (&gt;40%)"))))</f>
        <v/>
      </c>
      <c r="Y4763" s="23" t="str">
        <f aca="false">IF(AND(ISNUMBER(C4763),ISNUMBER(D4763)),D4763-C4763,"")</f>
        <v/>
      </c>
      <c r="Z4763" s="23" t="str">
        <f aca="false">IF(B4763="","",IF(MATCH(B4763,$B$2:$B$12000,0)=ROW()-1,1,0))</f>
        <v/>
      </c>
    </row>
    <row r="4764" customFormat="false" ht="15" hidden="false" customHeight="false" outlineLevel="0" collapsed="false">
      <c r="V4764" s="23" t="str">
        <f aca="false">IF(ISNUMBER(C4764),YEAR(C4764),"")</f>
        <v/>
      </c>
      <c r="W4764" s="23" t="str">
        <f aca="false">IF(ISNUMBER(C4764),MONTH(C4764),"")</f>
        <v/>
      </c>
      <c r="X4764" s="23" t="str">
        <f aca="false">IF(T4764="","",IF(T4764=0,"No discount",IF(T4764&lt;=0.2,"Low (1-20%)",IF(T4764&lt;=0.4,"Medium (21-40%)","High (&gt;40%)"))))</f>
        <v/>
      </c>
      <c r="Y4764" s="23" t="str">
        <f aca="false">IF(AND(ISNUMBER(C4764),ISNUMBER(D4764)),D4764-C4764,"")</f>
        <v/>
      </c>
      <c r="Z4764" s="23" t="str">
        <f aca="false">IF(B4764="","",IF(MATCH(B4764,$B$2:$B$12000,0)=ROW()-1,1,0))</f>
        <v/>
      </c>
    </row>
    <row r="4765" customFormat="false" ht="15" hidden="false" customHeight="false" outlineLevel="0" collapsed="false">
      <c r="V4765" s="23" t="str">
        <f aca="false">IF(ISNUMBER(C4765),YEAR(C4765),"")</f>
        <v/>
      </c>
      <c r="W4765" s="23" t="str">
        <f aca="false">IF(ISNUMBER(C4765),MONTH(C4765),"")</f>
        <v/>
      </c>
      <c r="X4765" s="23" t="str">
        <f aca="false">IF(T4765="","",IF(T4765=0,"No discount",IF(T4765&lt;=0.2,"Low (1-20%)",IF(T4765&lt;=0.4,"Medium (21-40%)","High (&gt;40%)"))))</f>
        <v/>
      </c>
      <c r="Y4765" s="23" t="str">
        <f aca="false">IF(AND(ISNUMBER(C4765),ISNUMBER(D4765)),D4765-C4765,"")</f>
        <v/>
      </c>
      <c r="Z4765" s="23" t="str">
        <f aca="false">IF(B4765="","",IF(MATCH(B4765,$B$2:$B$12000,0)=ROW()-1,1,0))</f>
        <v/>
      </c>
    </row>
    <row r="4766" customFormat="false" ht="15" hidden="false" customHeight="false" outlineLevel="0" collapsed="false">
      <c r="V4766" s="23" t="str">
        <f aca="false">IF(ISNUMBER(C4766),YEAR(C4766),"")</f>
        <v/>
      </c>
      <c r="W4766" s="23" t="str">
        <f aca="false">IF(ISNUMBER(C4766),MONTH(C4766),"")</f>
        <v/>
      </c>
      <c r="X4766" s="23" t="str">
        <f aca="false">IF(T4766="","",IF(T4766=0,"No discount",IF(T4766&lt;=0.2,"Low (1-20%)",IF(T4766&lt;=0.4,"Medium (21-40%)","High (&gt;40%)"))))</f>
        <v/>
      </c>
      <c r="Y4766" s="23" t="str">
        <f aca="false">IF(AND(ISNUMBER(C4766),ISNUMBER(D4766)),D4766-C4766,"")</f>
        <v/>
      </c>
      <c r="Z4766" s="23" t="str">
        <f aca="false">IF(B4766="","",IF(MATCH(B4766,$B$2:$B$12000,0)=ROW()-1,1,0))</f>
        <v/>
      </c>
    </row>
    <row r="4767" customFormat="false" ht="15" hidden="false" customHeight="false" outlineLevel="0" collapsed="false">
      <c r="V4767" s="23" t="str">
        <f aca="false">IF(ISNUMBER(C4767),YEAR(C4767),"")</f>
        <v/>
      </c>
      <c r="W4767" s="23" t="str">
        <f aca="false">IF(ISNUMBER(C4767),MONTH(C4767),"")</f>
        <v/>
      </c>
      <c r="X4767" s="23" t="str">
        <f aca="false">IF(T4767="","",IF(T4767=0,"No discount",IF(T4767&lt;=0.2,"Low (1-20%)",IF(T4767&lt;=0.4,"Medium (21-40%)","High (&gt;40%)"))))</f>
        <v/>
      </c>
      <c r="Y4767" s="23" t="str">
        <f aca="false">IF(AND(ISNUMBER(C4767),ISNUMBER(D4767)),D4767-C4767,"")</f>
        <v/>
      </c>
      <c r="Z4767" s="23" t="str">
        <f aca="false">IF(B4767="","",IF(MATCH(B4767,$B$2:$B$12000,0)=ROW()-1,1,0))</f>
        <v/>
      </c>
    </row>
    <row r="4768" customFormat="false" ht="15" hidden="false" customHeight="false" outlineLevel="0" collapsed="false">
      <c r="V4768" s="23" t="str">
        <f aca="false">IF(ISNUMBER(C4768),YEAR(C4768),"")</f>
        <v/>
      </c>
      <c r="W4768" s="23" t="str">
        <f aca="false">IF(ISNUMBER(C4768),MONTH(C4768),"")</f>
        <v/>
      </c>
      <c r="X4768" s="23" t="str">
        <f aca="false">IF(T4768="","",IF(T4768=0,"No discount",IF(T4768&lt;=0.2,"Low (1-20%)",IF(T4768&lt;=0.4,"Medium (21-40%)","High (&gt;40%)"))))</f>
        <v/>
      </c>
      <c r="Y4768" s="23" t="str">
        <f aca="false">IF(AND(ISNUMBER(C4768),ISNUMBER(D4768)),D4768-C4768,"")</f>
        <v/>
      </c>
      <c r="Z4768" s="23" t="str">
        <f aca="false">IF(B4768="","",IF(MATCH(B4768,$B$2:$B$12000,0)=ROW()-1,1,0))</f>
        <v/>
      </c>
    </row>
    <row r="4769" customFormat="false" ht="15" hidden="false" customHeight="false" outlineLevel="0" collapsed="false">
      <c r="V4769" s="23" t="str">
        <f aca="false">IF(ISNUMBER(C4769),YEAR(C4769),"")</f>
        <v/>
      </c>
      <c r="W4769" s="23" t="str">
        <f aca="false">IF(ISNUMBER(C4769),MONTH(C4769),"")</f>
        <v/>
      </c>
      <c r="X4769" s="23" t="str">
        <f aca="false">IF(T4769="","",IF(T4769=0,"No discount",IF(T4769&lt;=0.2,"Low (1-20%)",IF(T4769&lt;=0.4,"Medium (21-40%)","High (&gt;40%)"))))</f>
        <v/>
      </c>
      <c r="Y4769" s="23" t="str">
        <f aca="false">IF(AND(ISNUMBER(C4769),ISNUMBER(D4769)),D4769-C4769,"")</f>
        <v/>
      </c>
      <c r="Z4769" s="23" t="str">
        <f aca="false">IF(B4769="","",IF(MATCH(B4769,$B$2:$B$12000,0)=ROW()-1,1,0))</f>
        <v/>
      </c>
    </row>
    <row r="4770" customFormat="false" ht="15" hidden="false" customHeight="false" outlineLevel="0" collapsed="false">
      <c r="V4770" s="23" t="str">
        <f aca="false">IF(ISNUMBER(C4770),YEAR(C4770),"")</f>
        <v/>
      </c>
      <c r="W4770" s="23" t="str">
        <f aca="false">IF(ISNUMBER(C4770),MONTH(C4770),"")</f>
        <v/>
      </c>
      <c r="X4770" s="23" t="str">
        <f aca="false">IF(T4770="","",IF(T4770=0,"No discount",IF(T4770&lt;=0.2,"Low (1-20%)",IF(T4770&lt;=0.4,"Medium (21-40%)","High (&gt;40%)"))))</f>
        <v/>
      </c>
      <c r="Y4770" s="23" t="str">
        <f aca="false">IF(AND(ISNUMBER(C4770),ISNUMBER(D4770)),D4770-C4770,"")</f>
        <v/>
      </c>
      <c r="Z4770" s="23" t="str">
        <f aca="false">IF(B4770="","",IF(MATCH(B4770,$B$2:$B$12000,0)=ROW()-1,1,0))</f>
        <v/>
      </c>
    </row>
    <row r="4771" customFormat="false" ht="15" hidden="false" customHeight="false" outlineLevel="0" collapsed="false">
      <c r="V4771" s="23" t="str">
        <f aca="false">IF(ISNUMBER(C4771),YEAR(C4771),"")</f>
        <v/>
      </c>
      <c r="W4771" s="23" t="str">
        <f aca="false">IF(ISNUMBER(C4771),MONTH(C4771),"")</f>
        <v/>
      </c>
      <c r="X4771" s="23" t="str">
        <f aca="false">IF(T4771="","",IF(T4771=0,"No discount",IF(T4771&lt;=0.2,"Low (1-20%)",IF(T4771&lt;=0.4,"Medium (21-40%)","High (&gt;40%)"))))</f>
        <v/>
      </c>
      <c r="Y4771" s="23" t="str">
        <f aca="false">IF(AND(ISNUMBER(C4771),ISNUMBER(D4771)),D4771-C4771,"")</f>
        <v/>
      </c>
      <c r="Z4771" s="23" t="str">
        <f aca="false">IF(B4771="","",IF(MATCH(B4771,$B$2:$B$12000,0)=ROW()-1,1,0))</f>
        <v/>
      </c>
    </row>
    <row r="4772" customFormat="false" ht="15" hidden="false" customHeight="false" outlineLevel="0" collapsed="false">
      <c r="V4772" s="23" t="str">
        <f aca="false">IF(ISNUMBER(C4772),YEAR(C4772),"")</f>
        <v/>
      </c>
      <c r="W4772" s="23" t="str">
        <f aca="false">IF(ISNUMBER(C4772),MONTH(C4772),"")</f>
        <v/>
      </c>
      <c r="X4772" s="23" t="str">
        <f aca="false">IF(T4772="","",IF(T4772=0,"No discount",IF(T4772&lt;=0.2,"Low (1-20%)",IF(T4772&lt;=0.4,"Medium (21-40%)","High (&gt;40%)"))))</f>
        <v/>
      </c>
      <c r="Y4772" s="23" t="str">
        <f aca="false">IF(AND(ISNUMBER(C4772),ISNUMBER(D4772)),D4772-C4772,"")</f>
        <v/>
      </c>
      <c r="Z4772" s="23" t="str">
        <f aca="false">IF(B4772="","",IF(MATCH(B4772,$B$2:$B$12000,0)=ROW()-1,1,0))</f>
        <v/>
      </c>
    </row>
    <row r="4773" customFormat="false" ht="15" hidden="false" customHeight="false" outlineLevel="0" collapsed="false">
      <c r="V4773" s="23" t="str">
        <f aca="false">IF(ISNUMBER(C4773),YEAR(C4773),"")</f>
        <v/>
      </c>
      <c r="W4773" s="23" t="str">
        <f aca="false">IF(ISNUMBER(C4773),MONTH(C4773),"")</f>
        <v/>
      </c>
      <c r="X4773" s="23" t="str">
        <f aca="false">IF(T4773="","",IF(T4773=0,"No discount",IF(T4773&lt;=0.2,"Low (1-20%)",IF(T4773&lt;=0.4,"Medium (21-40%)","High (&gt;40%)"))))</f>
        <v/>
      </c>
      <c r="Y4773" s="23" t="str">
        <f aca="false">IF(AND(ISNUMBER(C4773),ISNUMBER(D4773)),D4773-C4773,"")</f>
        <v/>
      </c>
      <c r="Z4773" s="23" t="str">
        <f aca="false">IF(B4773="","",IF(MATCH(B4773,$B$2:$B$12000,0)=ROW()-1,1,0))</f>
        <v/>
      </c>
    </row>
    <row r="4774" customFormat="false" ht="15" hidden="false" customHeight="false" outlineLevel="0" collapsed="false">
      <c r="V4774" s="23" t="str">
        <f aca="false">IF(ISNUMBER(C4774),YEAR(C4774),"")</f>
        <v/>
      </c>
      <c r="W4774" s="23" t="str">
        <f aca="false">IF(ISNUMBER(C4774),MONTH(C4774),"")</f>
        <v/>
      </c>
      <c r="X4774" s="23" t="str">
        <f aca="false">IF(T4774="","",IF(T4774=0,"No discount",IF(T4774&lt;=0.2,"Low (1-20%)",IF(T4774&lt;=0.4,"Medium (21-40%)","High (&gt;40%)"))))</f>
        <v/>
      </c>
      <c r="Y4774" s="23" t="str">
        <f aca="false">IF(AND(ISNUMBER(C4774),ISNUMBER(D4774)),D4774-C4774,"")</f>
        <v/>
      </c>
      <c r="Z4774" s="23" t="str">
        <f aca="false">IF(B4774="","",IF(MATCH(B4774,$B$2:$B$12000,0)=ROW()-1,1,0))</f>
        <v/>
      </c>
    </row>
    <row r="4775" customFormat="false" ht="15" hidden="false" customHeight="false" outlineLevel="0" collapsed="false">
      <c r="V4775" s="23" t="str">
        <f aca="false">IF(ISNUMBER(C4775),YEAR(C4775),"")</f>
        <v/>
      </c>
      <c r="W4775" s="23" t="str">
        <f aca="false">IF(ISNUMBER(C4775),MONTH(C4775),"")</f>
        <v/>
      </c>
      <c r="X4775" s="23" t="str">
        <f aca="false">IF(T4775="","",IF(T4775=0,"No discount",IF(T4775&lt;=0.2,"Low (1-20%)",IF(T4775&lt;=0.4,"Medium (21-40%)","High (&gt;40%)"))))</f>
        <v/>
      </c>
      <c r="Y4775" s="23" t="str">
        <f aca="false">IF(AND(ISNUMBER(C4775),ISNUMBER(D4775)),D4775-C4775,"")</f>
        <v/>
      </c>
      <c r="Z4775" s="23" t="str">
        <f aca="false">IF(B4775="","",IF(MATCH(B4775,$B$2:$B$12000,0)=ROW()-1,1,0))</f>
        <v/>
      </c>
    </row>
    <row r="4776" customFormat="false" ht="15" hidden="false" customHeight="false" outlineLevel="0" collapsed="false">
      <c r="V4776" s="23" t="str">
        <f aca="false">IF(ISNUMBER(C4776),YEAR(C4776),"")</f>
        <v/>
      </c>
      <c r="W4776" s="23" t="str">
        <f aca="false">IF(ISNUMBER(C4776),MONTH(C4776),"")</f>
        <v/>
      </c>
      <c r="X4776" s="23" t="str">
        <f aca="false">IF(T4776="","",IF(T4776=0,"No discount",IF(T4776&lt;=0.2,"Low (1-20%)",IF(T4776&lt;=0.4,"Medium (21-40%)","High (&gt;40%)"))))</f>
        <v/>
      </c>
      <c r="Y4776" s="23" t="str">
        <f aca="false">IF(AND(ISNUMBER(C4776),ISNUMBER(D4776)),D4776-C4776,"")</f>
        <v/>
      </c>
      <c r="Z4776" s="23" t="str">
        <f aca="false">IF(B4776="","",IF(MATCH(B4776,$B$2:$B$12000,0)=ROW()-1,1,0))</f>
        <v/>
      </c>
    </row>
    <row r="4777" customFormat="false" ht="15" hidden="false" customHeight="false" outlineLevel="0" collapsed="false">
      <c r="V4777" s="23" t="str">
        <f aca="false">IF(ISNUMBER(C4777),YEAR(C4777),"")</f>
        <v/>
      </c>
      <c r="W4777" s="23" t="str">
        <f aca="false">IF(ISNUMBER(C4777),MONTH(C4777),"")</f>
        <v/>
      </c>
      <c r="X4777" s="23" t="str">
        <f aca="false">IF(T4777="","",IF(T4777=0,"No discount",IF(T4777&lt;=0.2,"Low (1-20%)",IF(T4777&lt;=0.4,"Medium (21-40%)","High (&gt;40%)"))))</f>
        <v/>
      </c>
      <c r="Y4777" s="23" t="str">
        <f aca="false">IF(AND(ISNUMBER(C4777),ISNUMBER(D4777)),D4777-C4777,"")</f>
        <v/>
      </c>
      <c r="Z4777" s="23" t="str">
        <f aca="false">IF(B4777="","",IF(MATCH(B4777,$B$2:$B$12000,0)=ROW()-1,1,0))</f>
        <v/>
      </c>
    </row>
    <row r="4778" customFormat="false" ht="15" hidden="false" customHeight="false" outlineLevel="0" collapsed="false">
      <c r="V4778" s="23" t="str">
        <f aca="false">IF(ISNUMBER(C4778),YEAR(C4778),"")</f>
        <v/>
      </c>
      <c r="W4778" s="23" t="str">
        <f aca="false">IF(ISNUMBER(C4778),MONTH(C4778),"")</f>
        <v/>
      </c>
      <c r="X4778" s="23" t="str">
        <f aca="false">IF(T4778="","",IF(T4778=0,"No discount",IF(T4778&lt;=0.2,"Low (1-20%)",IF(T4778&lt;=0.4,"Medium (21-40%)","High (&gt;40%)"))))</f>
        <v/>
      </c>
      <c r="Y4778" s="23" t="str">
        <f aca="false">IF(AND(ISNUMBER(C4778),ISNUMBER(D4778)),D4778-C4778,"")</f>
        <v/>
      </c>
      <c r="Z4778" s="23" t="str">
        <f aca="false">IF(B4778="","",IF(MATCH(B4778,$B$2:$B$12000,0)=ROW()-1,1,0))</f>
        <v/>
      </c>
    </row>
    <row r="4779" customFormat="false" ht="15" hidden="false" customHeight="false" outlineLevel="0" collapsed="false">
      <c r="V4779" s="23" t="str">
        <f aca="false">IF(ISNUMBER(C4779),YEAR(C4779),"")</f>
        <v/>
      </c>
      <c r="W4779" s="23" t="str">
        <f aca="false">IF(ISNUMBER(C4779),MONTH(C4779),"")</f>
        <v/>
      </c>
      <c r="X4779" s="23" t="str">
        <f aca="false">IF(T4779="","",IF(T4779=0,"No discount",IF(T4779&lt;=0.2,"Low (1-20%)",IF(T4779&lt;=0.4,"Medium (21-40%)","High (&gt;40%)"))))</f>
        <v/>
      </c>
      <c r="Y4779" s="23" t="str">
        <f aca="false">IF(AND(ISNUMBER(C4779),ISNUMBER(D4779)),D4779-C4779,"")</f>
        <v/>
      </c>
      <c r="Z4779" s="23" t="str">
        <f aca="false">IF(B4779="","",IF(MATCH(B4779,$B$2:$B$12000,0)=ROW()-1,1,0))</f>
        <v/>
      </c>
    </row>
    <row r="4780" customFormat="false" ht="15" hidden="false" customHeight="false" outlineLevel="0" collapsed="false">
      <c r="V4780" s="23" t="str">
        <f aca="false">IF(ISNUMBER(C4780),YEAR(C4780),"")</f>
        <v/>
      </c>
      <c r="W4780" s="23" t="str">
        <f aca="false">IF(ISNUMBER(C4780),MONTH(C4780),"")</f>
        <v/>
      </c>
      <c r="X4780" s="23" t="str">
        <f aca="false">IF(T4780="","",IF(T4780=0,"No discount",IF(T4780&lt;=0.2,"Low (1-20%)",IF(T4780&lt;=0.4,"Medium (21-40%)","High (&gt;40%)"))))</f>
        <v/>
      </c>
      <c r="Y4780" s="23" t="str">
        <f aca="false">IF(AND(ISNUMBER(C4780),ISNUMBER(D4780)),D4780-C4780,"")</f>
        <v/>
      </c>
      <c r="Z4780" s="23" t="str">
        <f aca="false">IF(B4780="","",IF(MATCH(B4780,$B$2:$B$12000,0)=ROW()-1,1,0))</f>
        <v/>
      </c>
    </row>
    <row r="4781" customFormat="false" ht="15" hidden="false" customHeight="false" outlineLevel="0" collapsed="false">
      <c r="V4781" s="23" t="str">
        <f aca="false">IF(ISNUMBER(C4781),YEAR(C4781),"")</f>
        <v/>
      </c>
      <c r="W4781" s="23" t="str">
        <f aca="false">IF(ISNUMBER(C4781),MONTH(C4781),"")</f>
        <v/>
      </c>
      <c r="X4781" s="23" t="str">
        <f aca="false">IF(T4781="","",IF(T4781=0,"No discount",IF(T4781&lt;=0.2,"Low (1-20%)",IF(T4781&lt;=0.4,"Medium (21-40%)","High (&gt;40%)"))))</f>
        <v/>
      </c>
      <c r="Y4781" s="23" t="str">
        <f aca="false">IF(AND(ISNUMBER(C4781),ISNUMBER(D4781)),D4781-C4781,"")</f>
        <v/>
      </c>
      <c r="Z4781" s="23" t="str">
        <f aca="false">IF(B4781="","",IF(MATCH(B4781,$B$2:$B$12000,0)=ROW()-1,1,0))</f>
        <v/>
      </c>
    </row>
    <row r="4782" customFormat="false" ht="15" hidden="false" customHeight="false" outlineLevel="0" collapsed="false">
      <c r="V4782" s="23" t="str">
        <f aca="false">IF(ISNUMBER(C4782),YEAR(C4782),"")</f>
        <v/>
      </c>
      <c r="W4782" s="23" t="str">
        <f aca="false">IF(ISNUMBER(C4782),MONTH(C4782),"")</f>
        <v/>
      </c>
      <c r="X4782" s="23" t="str">
        <f aca="false">IF(T4782="","",IF(T4782=0,"No discount",IF(T4782&lt;=0.2,"Low (1-20%)",IF(T4782&lt;=0.4,"Medium (21-40%)","High (&gt;40%)"))))</f>
        <v/>
      </c>
      <c r="Y4782" s="23" t="str">
        <f aca="false">IF(AND(ISNUMBER(C4782),ISNUMBER(D4782)),D4782-C4782,"")</f>
        <v/>
      </c>
      <c r="Z4782" s="23" t="str">
        <f aca="false">IF(B4782="","",IF(MATCH(B4782,$B$2:$B$12000,0)=ROW()-1,1,0))</f>
        <v/>
      </c>
    </row>
    <row r="4783" customFormat="false" ht="15" hidden="false" customHeight="false" outlineLevel="0" collapsed="false">
      <c r="V4783" s="23" t="str">
        <f aca="false">IF(ISNUMBER(C4783),YEAR(C4783),"")</f>
        <v/>
      </c>
      <c r="W4783" s="23" t="str">
        <f aca="false">IF(ISNUMBER(C4783),MONTH(C4783),"")</f>
        <v/>
      </c>
      <c r="X4783" s="23" t="str">
        <f aca="false">IF(T4783="","",IF(T4783=0,"No discount",IF(T4783&lt;=0.2,"Low (1-20%)",IF(T4783&lt;=0.4,"Medium (21-40%)","High (&gt;40%)"))))</f>
        <v/>
      </c>
      <c r="Y4783" s="23" t="str">
        <f aca="false">IF(AND(ISNUMBER(C4783),ISNUMBER(D4783)),D4783-C4783,"")</f>
        <v/>
      </c>
      <c r="Z4783" s="23" t="str">
        <f aca="false">IF(B4783="","",IF(MATCH(B4783,$B$2:$B$12000,0)=ROW()-1,1,0))</f>
        <v/>
      </c>
    </row>
    <row r="4784" customFormat="false" ht="15" hidden="false" customHeight="false" outlineLevel="0" collapsed="false">
      <c r="V4784" s="23" t="str">
        <f aca="false">IF(ISNUMBER(C4784),YEAR(C4784),"")</f>
        <v/>
      </c>
      <c r="W4784" s="23" t="str">
        <f aca="false">IF(ISNUMBER(C4784),MONTH(C4784),"")</f>
        <v/>
      </c>
      <c r="X4784" s="23" t="str">
        <f aca="false">IF(T4784="","",IF(T4784=0,"No discount",IF(T4784&lt;=0.2,"Low (1-20%)",IF(T4784&lt;=0.4,"Medium (21-40%)","High (&gt;40%)"))))</f>
        <v/>
      </c>
      <c r="Y4784" s="23" t="str">
        <f aca="false">IF(AND(ISNUMBER(C4784),ISNUMBER(D4784)),D4784-C4784,"")</f>
        <v/>
      </c>
      <c r="Z4784" s="23" t="str">
        <f aca="false">IF(B4784="","",IF(MATCH(B4784,$B$2:$B$12000,0)=ROW()-1,1,0))</f>
        <v/>
      </c>
    </row>
    <row r="4785" customFormat="false" ht="15" hidden="false" customHeight="false" outlineLevel="0" collapsed="false">
      <c r="V4785" s="23" t="str">
        <f aca="false">IF(ISNUMBER(C4785),YEAR(C4785),"")</f>
        <v/>
      </c>
      <c r="W4785" s="23" t="str">
        <f aca="false">IF(ISNUMBER(C4785),MONTH(C4785),"")</f>
        <v/>
      </c>
      <c r="X4785" s="23" t="str">
        <f aca="false">IF(T4785="","",IF(T4785=0,"No discount",IF(T4785&lt;=0.2,"Low (1-20%)",IF(T4785&lt;=0.4,"Medium (21-40%)","High (&gt;40%)"))))</f>
        <v/>
      </c>
      <c r="Y4785" s="23" t="str">
        <f aca="false">IF(AND(ISNUMBER(C4785),ISNUMBER(D4785)),D4785-C4785,"")</f>
        <v/>
      </c>
      <c r="Z4785" s="23" t="str">
        <f aca="false">IF(B4785="","",IF(MATCH(B4785,$B$2:$B$12000,0)=ROW()-1,1,0))</f>
        <v/>
      </c>
    </row>
    <row r="4786" customFormat="false" ht="15" hidden="false" customHeight="false" outlineLevel="0" collapsed="false">
      <c r="V4786" s="23" t="str">
        <f aca="false">IF(ISNUMBER(C4786),YEAR(C4786),"")</f>
        <v/>
      </c>
      <c r="W4786" s="23" t="str">
        <f aca="false">IF(ISNUMBER(C4786),MONTH(C4786),"")</f>
        <v/>
      </c>
      <c r="X4786" s="23" t="str">
        <f aca="false">IF(T4786="","",IF(T4786=0,"No discount",IF(T4786&lt;=0.2,"Low (1-20%)",IF(T4786&lt;=0.4,"Medium (21-40%)","High (&gt;40%)"))))</f>
        <v/>
      </c>
      <c r="Y4786" s="23" t="str">
        <f aca="false">IF(AND(ISNUMBER(C4786),ISNUMBER(D4786)),D4786-C4786,"")</f>
        <v/>
      </c>
      <c r="Z4786" s="23" t="str">
        <f aca="false">IF(B4786="","",IF(MATCH(B4786,$B$2:$B$12000,0)=ROW()-1,1,0))</f>
        <v/>
      </c>
    </row>
    <row r="4787" customFormat="false" ht="15" hidden="false" customHeight="false" outlineLevel="0" collapsed="false">
      <c r="V4787" s="23" t="str">
        <f aca="false">IF(ISNUMBER(C4787),YEAR(C4787),"")</f>
        <v/>
      </c>
      <c r="W4787" s="23" t="str">
        <f aca="false">IF(ISNUMBER(C4787),MONTH(C4787),"")</f>
        <v/>
      </c>
      <c r="X4787" s="23" t="str">
        <f aca="false">IF(T4787="","",IF(T4787=0,"No discount",IF(T4787&lt;=0.2,"Low (1-20%)",IF(T4787&lt;=0.4,"Medium (21-40%)","High (&gt;40%)"))))</f>
        <v/>
      </c>
      <c r="Y4787" s="23" t="str">
        <f aca="false">IF(AND(ISNUMBER(C4787),ISNUMBER(D4787)),D4787-C4787,"")</f>
        <v/>
      </c>
      <c r="Z4787" s="23" t="str">
        <f aca="false">IF(B4787="","",IF(MATCH(B4787,$B$2:$B$12000,0)=ROW()-1,1,0))</f>
        <v/>
      </c>
    </row>
    <row r="4788" customFormat="false" ht="15" hidden="false" customHeight="false" outlineLevel="0" collapsed="false">
      <c r="V4788" s="23" t="str">
        <f aca="false">IF(ISNUMBER(C4788),YEAR(C4788),"")</f>
        <v/>
      </c>
      <c r="W4788" s="23" t="str">
        <f aca="false">IF(ISNUMBER(C4788),MONTH(C4788),"")</f>
        <v/>
      </c>
      <c r="X4788" s="23" t="str">
        <f aca="false">IF(T4788="","",IF(T4788=0,"No discount",IF(T4788&lt;=0.2,"Low (1-20%)",IF(T4788&lt;=0.4,"Medium (21-40%)","High (&gt;40%)"))))</f>
        <v/>
      </c>
      <c r="Y4788" s="23" t="str">
        <f aca="false">IF(AND(ISNUMBER(C4788),ISNUMBER(D4788)),D4788-C4788,"")</f>
        <v/>
      </c>
      <c r="Z4788" s="23" t="str">
        <f aca="false">IF(B4788="","",IF(MATCH(B4788,$B$2:$B$12000,0)=ROW()-1,1,0))</f>
        <v/>
      </c>
    </row>
    <row r="4789" customFormat="false" ht="15" hidden="false" customHeight="false" outlineLevel="0" collapsed="false">
      <c r="V4789" s="23" t="str">
        <f aca="false">IF(ISNUMBER(C4789),YEAR(C4789),"")</f>
        <v/>
      </c>
      <c r="W4789" s="23" t="str">
        <f aca="false">IF(ISNUMBER(C4789),MONTH(C4789),"")</f>
        <v/>
      </c>
      <c r="X4789" s="23" t="str">
        <f aca="false">IF(T4789="","",IF(T4789=0,"No discount",IF(T4789&lt;=0.2,"Low (1-20%)",IF(T4789&lt;=0.4,"Medium (21-40%)","High (&gt;40%)"))))</f>
        <v/>
      </c>
      <c r="Y4789" s="23" t="str">
        <f aca="false">IF(AND(ISNUMBER(C4789),ISNUMBER(D4789)),D4789-C4789,"")</f>
        <v/>
      </c>
      <c r="Z4789" s="23" t="str">
        <f aca="false">IF(B4789="","",IF(MATCH(B4789,$B$2:$B$12000,0)=ROW()-1,1,0))</f>
        <v/>
      </c>
    </row>
    <row r="4790" customFormat="false" ht="15" hidden="false" customHeight="false" outlineLevel="0" collapsed="false">
      <c r="V4790" s="23" t="str">
        <f aca="false">IF(ISNUMBER(C4790),YEAR(C4790),"")</f>
        <v/>
      </c>
      <c r="W4790" s="23" t="str">
        <f aca="false">IF(ISNUMBER(C4790),MONTH(C4790),"")</f>
        <v/>
      </c>
      <c r="X4790" s="23" t="str">
        <f aca="false">IF(T4790="","",IF(T4790=0,"No discount",IF(T4790&lt;=0.2,"Low (1-20%)",IF(T4790&lt;=0.4,"Medium (21-40%)","High (&gt;40%)"))))</f>
        <v/>
      </c>
      <c r="Y4790" s="23" t="str">
        <f aca="false">IF(AND(ISNUMBER(C4790),ISNUMBER(D4790)),D4790-C4790,"")</f>
        <v/>
      </c>
      <c r="Z4790" s="23" t="str">
        <f aca="false">IF(B4790="","",IF(MATCH(B4790,$B$2:$B$12000,0)=ROW()-1,1,0))</f>
        <v/>
      </c>
    </row>
    <row r="4791" customFormat="false" ht="15" hidden="false" customHeight="false" outlineLevel="0" collapsed="false">
      <c r="V4791" s="23" t="str">
        <f aca="false">IF(ISNUMBER(C4791),YEAR(C4791),"")</f>
        <v/>
      </c>
      <c r="W4791" s="23" t="str">
        <f aca="false">IF(ISNUMBER(C4791),MONTH(C4791),"")</f>
        <v/>
      </c>
      <c r="X4791" s="23" t="str">
        <f aca="false">IF(T4791="","",IF(T4791=0,"No discount",IF(T4791&lt;=0.2,"Low (1-20%)",IF(T4791&lt;=0.4,"Medium (21-40%)","High (&gt;40%)"))))</f>
        <v/>
      </c>
      <c r="Y4791" s="23" t="str">
        <f aca="false">IF(AND(ISNUMBER(C4791),ISNUMBER(D4791)),D4791-C4791,"")</f>
        <v/>
      </c>
      <c r="Z4791" s="23" t="str">
        <f aca="false">IF(B4791="","",IF(MATCH(B4791,$B$2:$B$12000,0)=ROW()-1,1,0))</f>
        <v/>
      </c>
    </row>
    <row r="4792" customFormat="false" ht="15" hidden="false" customHeight="false" outlineLevel="0" collapsed="false">
      <c r="V4792" s="23" t="str">
        <f aca="false">IF(ISNUMBER(C4792),YEAR(C4792),"")</f>
        <v/>
      </c>
      <c r="W4792" s="23" t="str">
        <f aca="false">IF(ISNUMBER(C4792),MONTH(C4792),"")</f>
        <v/>
      </c>
      <c r="X4792" s="23" t="str">
        <f aca="false">IF(T4792="","",IF(T4792=0,"No discount",IF(T4792&lt;=0.2,"Low (1-20%)",IF(T4792&lt;=0.4,"Medium (21-40%)","High (&gt;40%)"))))</f>
        <v/>
      </c>
      <c r="Y4792" s="23" t="str">
        <f aca="false">IF(AND(ISNUMBER(C4792),ISNUMBER(D4792)),D4792-C4792,"")</f>
        <v/>
      </c>
      <c r="Z4792" s="23" t="str">
        <f aca="false">IF(B4792="","",IF(MATCH(B4792,$B$2:$B$12000,0)=ROW()-1,1,0))</f>
        <v/>
      </c>
    </row>
    <row r="4793" customFormat="false" ht="15" hidden="false" customHeight="false" outlineLevel="0" collapsed="false">
      <c r="V4793" s="23" t="str">
        <f aca="false">IF(ISNUMBER(C4793),YEAR(C4793),"")</f>
        <v/>
      </c>
      <c r="W4793" s="23" t="str">
        <f aca="false">IF(ISNUMBER(C4793),MONTH(C4793),"")</f>
        <v/>
      </c>
      <c r="X4793" s="23" t="str">
        <f aca="false">IF(T4793="","",IF(T4793=0,"No discount",IF(T4793&lt;=0.2,"Low (1-20%)",IF(T4793&lt;=0.4,"Medium (21-40%)","High (&gt;40%)"))))</f>
        <v/>
      </c>
      <c r="Y4793" s="23" t="str">
        <f aca="false">IF(AND(ISNUMBER(C4793),ISNUMBER(D4793)),D4793-C4793,"")</f>
        <v/>
      </c>
      <c r="Z4793" s="23" t="str">
        <f aca="false">IF(B4793="","",IF(MATCH(B4793,$B$2:$B$12000,0)=ROW()-1,1,0))</f>
        <v/>
      </c>
    </row>
    <row r="4794" customFormat="false" ht="15" hidden="false" customHeight="false" outlineLevel="0" collapsed="false">
      <c r="V4794" s="23" t="str">
        <f aca="false">IF(ISNUMBER(C4794),YEAR(C4794),"")</f>
        <v/>
      </c>
      <c r="W4794" s="23" t="str">
        <f aca="false">IF(ISNUMBER(C4794),MONTH(C4794),"")</f>
        <v/>
      </c>
      <c r="X4794" s="23" t="str">
        <f aca="false">IF(T4794="","",IF(T4794=0,"No discount",IF(T4794&lt;=0.2,"Low (1-20%)",IF(T4794&lt;=0.4,"Medium (21-40%)","High (&gt;40%)"))))</f>
        <v/>
      </c>
      <c r="Y4794" s="23" t="str">
        <f aca="false">IF(AND(ISNUMBER(C4794),ISNUMBER(D4794)),D4794-C4794,"")</f>
        <v/>
      </c>
      <c r="Z4794" s="23" t="str">
        <f aca="false">IF(B4794="","",IF(MATCH(B4794,$B$2:$B$12000,0)=ROW()-1,1,0))</f>
        <v/>
      </c>
    </row>
    <row r="4795" customFormat="false" ht="15" hidden="false" customHeight="false" outlineLevel="0" collapsed="false">
      <c r="V4795" s="23" t="str">
        <f aca="false">IF(ISNUMBER(C4795),YEAR(C4795),"")</f>
        <v/>
      </c>
      <c r="W4795" s="23" t="str">
        <f aca="false">IF(ISNUMBER(C4795),MONTH(C4795),"")</f>
        <v/>
      </c>
      <c r="X4795" s="23" t="str">
        <f aca="false">IF(T4795="","",IF(T4795=0,"No discount",IF(T4795&lt;=0.2,"Low (1-20%)",IF(T4795&lt;=0.4,"Medium (21-40%)","High (&gt;40%)"))))</f>
        <v/>
      </c>
      <c r="Y4795" s="23" t="str">
        <f aca="false">IF(AND(ISNUMBER(C4795),ISNUMBER(D4795)),D4795-C4795,"")</f>
        <v/>
      </c>
      <c r="Z4795" s="23" t="str">
        <f aca="false">IF(B4795="","",IF(MATCH(B4795,$B$2:$B$12000,0)=ROW()-1,1,0))</f>
        <v/>
      </c>
    </row>
    <row r="4796" customFormat="false" ht="15" hidden="false" customHeight="false" outlineLevel="0" collapsed="false">
      <c r="V4796" s="23" t="str">
        <f aca="false">IF(ISNUMBER(C4796),YEAR(C4796),"")</f>
        <v/>
      </c>
      <c r="W4796" s="23" t="str">
        <f aca="false">IF(ISNUMBER(C4796),MONTH(C4796),"")</f>
        <v/>
      </c>
      <c r="X4796" s="23" t="str">
        <f aca="false">IF(T4796="","",IF(T4796=0,"No discount",IF(T4796&lt;=0.2,"Low (1-20%)",IF(T4796&lt;=0.4,"Medium (21-40%)","High (&gt;40%)"))))</f>
        <v/>
      </c>
      <c r="Y4796" s="23" t="str">
        <f aca="false">IF(AND(ISNUMBER(C4796),ISNUMBER(D4796)),D4796-C4796,"")</f>
        <v/>
      </c>
      <c r="Z4796" s="23" t="str">
        <f aca="false">IF(B4796="","",IF(MATCH(B4796,$B$2:$B$12000,0)=ROW()-1,1,0))</f>
        <v/>
      </c>
    </row>
    <row r="4797" customFormat="false" ht="15" hidden="false" customHeight="false" outlineLevel="0" collapsed="false">
      <c r="V4797" s="23" t="str">
        <f aca="false">IF(ISNUMBER(C4797),YEAR(C4797),"")</f>
        <v/>
      </c>
      <c r="W4797" s="23" t="str">
        <f aca="false">IF(ISNUMBER(C4797),MONTH(C4797),"")</f>
        <v/>
      </c>
      <c r="X4797" s="23" t="str">
        <f aca="false">IF(T4797="","",IF(T4797=0,"No discount",IF(T4797&lt;=0.2,"Low (1-20%)",IF(T4797&lt;=0.4,"Medium (21-40%)","High (&gt;40%)"))))</f>
        <v/>
      </c>
      <c r="Y4797" s="23" t="str">
        <f aca="false">IF(AND(ISNUMBER(C4797),ISNUMBER(D4797)),D4797-C4797,"")</f>
        <v/>
      </c>
      <c r="Z4797" s="23" t="str">
        <f aca="false">IF(B4797="","",IF(MATCH(B4797,$B$2:$B$12000,0)=ROW()-1,1,0))</f>
        <v/>
      </c>
    </row>
    <row r="4798" customFormat="false" ht="15" hidden="false" customHeight="false" outlineLevel="0" collapsed="false">
      <c r="V4798" s="23" t="str">
        <f aca="false">IF(ISNUMBER(C4798),YEAR(C4798),"")</f>
        <v/>
      </c>
      <c r="W4798" s="23" t="str">
        <f aca="false">IF(ISNUMBER(C4798),MONTH(C4798),"")</f>
        <v/>
      </c>
      <c r="X4798" s="23" t="str">
        <f aca="false">IF(T4798="","",IF(T4798=0,"No discount",IF(T4798&lt;=0.2,"Low (1-20%)",IF(T4798&lt;=0.4,"Medium (21-40%)","High (&gt;40%)"))))</f>
        <v/>
      </c>
      <c r="Y4798" s="23" t="str">
        <f aca="false">IF(AND(ISNUMBER(C4798),ISNUMBER(D4798)),D4798-C4798,"")</f>
        <v/>
      </c>
      <c r="Z4798" s="23" t="str">
        <f aca="false">IF(B4798="","",IF(MATCH(B4798,$B$2:$B$12000,0)=ROW()-1,1,0))</f>
        <v/>
      </c>
    </row>
    <row r="4799" customFormat="false" ht="15" hidden="false" customHeight="false" outlineLevel="0" collapsed="false">
      <c r="V4799" s="23" t="str">
        <f aca="false">IF(ISNUMBER(C4799),YEAR(C4799),"")</f>
        <v/>
      </c>
      <c r="W4799" s="23" t="str">
        <f aca="false">IF(ISNUMBER(C4799),MONTH(C4799),"")</f>
        <v/>
      </c>
      <c r="X4799" s="23" t="str">
        <f aca="false">IF(T4799="","",IF(T4799=0,"No discount",IF(T4799&lt;=0.2,"Low (1-20%)",IF(T4799&lt;=0.4,"Medium (21-40%)","High (&gt;40%)"))))</f>
        <v/>
      </c>
      <c r="Y4799" s="23" t="str">
        <f aca="false">IF(AND(ISNUMBER(C4799),ISNUMBER(D4799)),D4799-C4799,"")</f>
        <v/>
      </c>
      <c r="Z4799" s="23" t="str">
        <f aca="false">IF(B4799="","",IF(MATCH(B4799,$B$2:$B$12000,0)=ROW()-1,1,0))</f>
        <v/>
      </c>
    </row>
    <row r="4800" customFormat="false" ht="15" hidden="false" customHeight="false" outlineLevel="0" collapsed="false">
      <c r="V4800" s="23" t="str">
        <f aca="false">IF(ISNUMBER(C4800),YEAR(C4800),"")</f>
        <v/>
      </c>
      <c r="W4800" s="23" t="str">
        <f aca="false">IF(ISNUMBER(C4800),MONTH(C4800),"")</f>
        <v/>
      </c>
      <c r="X4800" s="23" t="str">
        <f aca="false">IF(T4800="","",IF(T4800=0,"No discount",IF(T4800&lt;=0.2,"Low (1-20%)",IF(T4800&lt;=0.4,"Medium (21-40%)","High (&gt;40%)"))))</f>
        <v/>
      </c>
      <c r="Y4800" s="23" t="str">
        <f aca="false">IF(AND(ISNUMBER(C4800),ISNUMBER(D4800)),D4800-C4800,"")</f>
        <v/>
      </c>
      <c r="Z4800" s="23" t="str">
        <f aca="false">IF(B4800="","",IF(MATCH(B4800,$B$2:$B$12000,0)=ROW()-1,1,0))</f>
        <v/>
      </c>
    </row>
    <row r="4801" customFormat="false" ht="15" hidden="false" customHeight="false" outlineLevel="0" collapsed="false">
      <c r="V4801" s="23" t="str">
        <f aca="false">IF(ISNUMBER(C4801),YEAR(C4801),"")</f>
        <v/>
      </c>
      <c r="W4801" s="23" t="str">
        <f aca="false">IF(ISNUMBER(C4801),MONTH(C4801),"")</f>
        <v/>
      </c>
      <c r="X4801" s="23" t="str">
        <f aca="false">IF(T4801="","",IF(T4801=0,"No discount",IF(T4801&lt;=0.2,"Low (1-20%)",IF(T4801&lt;=0.4,"Medium (21-40%)","High (&gt;40%)"))))</f>
        <v/>
      </c>
      <c r="Y4801" s="23" t="str">
        <f aca="false">IF(AND(ISNUMBER(C4801),ISNUMBER(D4801)),D4801-C4801,"")</f>
        <v/>
      </c>
      <c r="Z4801" s="23" t="str">
        <f aca="false">IF(B4801="","",IF(MATCH(B4801,$B$2:$B$12000,0)=ROW()-1,1,0))</f>
        <v/>
      </c>
    </row>
    <row r="4802" customFormat="false" ht="15" hidden="false" customHeight="false" outlineLevel="0" collapsed="false">
      <c r="V4802" s="23" t="str">
        <f aca="false">IF(ISNUMBER(C4802),YEAR(C4802),"")</f>
        <v/>
      </c>
      <c r="W4802" s="23" t="str">
        <f aca="false">IF(ISNUMBER(C4802),MONTH(C4802),"")</f>
        <v/>
      </c>
      <c r="X4802" s="23" t="str">
        <f aca="false">IF(T4802="","",IF(T4802=0,"No discount",IF(T4802&lt;=0.2,"Low (1-20%)",IF(T4802&lt;=0.4,"Medium (21-40%)","High (&gt;40%)"))))</f>
        <v/>
      </c>
      <c r="Y4802" s="23" t="str">
        <f aca="false">IF(AND(ISNUMBER(C4802),ISNUMBER(D4802)),D4802-C4802,"")</f>
        <v/>
      </c>
      <c r="Z4802" s="23" t="str">
        <f aca="false">IF(B4802="","",IF(MATCH(B4802,$B$2:$B$12000,0)=ROW()-1,1,0))</f>
        <v/>
      </c>
    </row>
    <row r="4803" customFormat="false" ht="15" hidden="false" customHeight="false" outlineLevel="0" collapsed="false">
      <c r="V4803" s="23" t="str">
        <f aca="false">IF(ISNUMBER(C4803),YEAR(C4803),"")</f>
        <v/>
      </c>
      <c r="W4803" s="23" t="str">
        <f aca="false">IF(ISNUMBER(C4803),MONTH(C4803),"")</f>
        <v/>
      </c>
      <c r="X4803" s="23" t="str">
        <f aca="false">IF(T4803="","",IF(T4803=0,"No discount",IF(T4803&lt;=0.2,"Low (1-20%)",IF(T4803&lt;=0.4,"Medium (21-40%)","High (&gt;40%)"))))</f>
        <v/>
      </c>
      <c r="Y4803" s="23" t="str">
        <f aca="false">IF(AND(ISNUMBER(C4803),ISNUMBER(D4803)),D4803-C4803,"")</f>
        <v/>
      </c>
      <c r="Z4803" s="23" t="str">
        <f aca="false">IF(B4803="","",IF(MATCH(B4803,$B$2:$B$12000,0)=ROW()-1,1,0))</f>
        <v/>
      </c>
    </row>
    <row r="4804" customFormat="false" ht="15" hidden="false" customHeight="false" outlineLevel="0" collapsed="false">
      <c r="V4804" s="23" t="str">
        <f aca="false">IF(ISNUMBER(C4804),YEAR(C4804),"")</f>
        <v/>
      </c>
      <c r="W4804" s="23" t="str">
        <f aca="false">IF(ISNUMBER(C4804),MONTH(C4804),"")</f>
        <v/>
      </c>
      <c r="X4804" s="23" t="str">
        <f aca="false">IF(T4804="","",IF(T4804=0,"No discount",IF(T4804&lt;=0.2,"Low (1-20%)",IF(T4804&lt;=0.4,"Medium (21-40%)","High (&gt;40%)"))))</f>
        <v/>
      </c>
      <c r="Y4804" s="23" t="str">
        <f aca="false">IF(AND(ISNUMBER(C4804),ISNUMBER(D4804)),D4804-C4804,"")</f>
        <v/>
      </c>
      <c r="Z4804" s="23" t="str">
        <f aca="false">IF(B4804="","",IF(MATCH(B4804,$B$2:$B$12000,0)=ROW()-1,1,0))</f>
        <v/>
      </c>
    </row>
    <row r="4805" customFormat="false" ht="15" hidden="false" customHeight="false" outlineLevel="0" collapsed="false">
      <c r="V4805" s="23" t="str">
        <f aca="false">IF(ISNUMBER(C4805),YEAR(C4805),"")</f>
        <v/>
      </c>
      <c r="W4805" s="23" t="str">
        <f aca="false">IF(ISNUMBER(C4805),MONTH(C4805),"")</f>
        <v/>
      </c>
      <c r="X4805" s="23" t="str">
        <f aca="false">IF(T4805="","",IF(T4805=0,"No discount",IF(T4805&lt;=0.2,"Low (1-20%)",IF(T4805&lt;=0.4,"Medium (21-40%)","High (&gt;40%)"))))</f>
        <v/>
      </c>
      <c r="Y4805" s="23" t="str">
        <f aca="false">IF(AND(ISNUMBER(C4805),ISNUMBER(D4805)),D4805-C4805,"")</f>
        <v/>
      </c>
      <c r="Z4805" s="23" t="str">
        <f aca="false">IF(B4805="","",IF(MATCH(B4805,$B$2:$B$12000,0)=ROW()-1,1,0))</f>
        <v/>
      </c>
    </row>
    <row r="4806" customFormat="false" ht="15" hidden="false" customHeight="false" outlineLevel="0" collapsed="false">
      <c r="V4806" s="23" t="str">
        <f aca="false">IF(ISNUMBER(C4806),YEAR(C4806),"")</f>
        <v/>
      </c>
      <c r="W4806" s="23" t="str">
        <f aca="false">IF(ISNUMBER(C4806),MONTH(C4806),"")</f>
        <v/>
      </c>
      <c r="X4806" s="23" t="str">
        <f aca="false">IF(T4806="","",IF(T4806=0,"No discount",IF(T4806&lt;=0.2,"Low (1-20%)",IF(T4806&lt;=0.4,"Medium (21-40%)","High (&gt;40%)"))))</f>
        <v/>
      </c>
      <c r="Y4806" s="23" t="str">
        <f aca="false">IF(AND(ISNUMBER(C4806),ISNUMBER(D4806)),D4806-C4806,"")</f>
        <v/>
      </c>
      <c r="Z4806" s="23" t="str">
        <f aca="false">IF(B4806="","",IF(MATCH(B4806,$B$2:$B$12000,0)=ROW()-1,1,0))</f>
        <v/>
      </c>
    </row>
    <row r="4807" customFormat="false" ht="15" hidden="false" customHeight="false" outlineLevel="0" collapsed="false">
      <c r="V4807" s="23" t="str">
        <f aca="false">IF(ISNUMBER(C4807),YEAR(C4807),"")</f>
        <v/>
      </c>
      <c r="W4807" s="23" t="str">
        <f aca="false">IF(ISNUMBER(C4807),MONTH(C4807),"")</f>
        <v/>
      </c>
      <c r="X4807" s="23" t="str">
        <f aca="false">IF(T4807="","",IF(T4807=0,"No discount",IF(T4807&lt;=0.2,"Low (1-20%)",IF(T4807&lt;=0.4,"Medium (21-40%)","High (&gt;40%)"))))</f>
        <v/>
      </c>
      <c r="Y4807" s="23" t="str">
        <f aca="false">IF(AND(ISNUMBER(C4807),ISNUMBER(D4807)),D4807-C4807,"")</f>
        <v/>
      </c>
      <c r="Z4807" s="23" t="str">
        <f aca="false">IF(B4807="","",IF(MATCH(B4807,$B$2:$B$12000,0)=ROW()-1,1,0))</f>
        <v/>
      </c>
    </row>
    <row r="4808" customFormat="false" ht="15" hidden="false" customHeight="false" outlineLevel="0" collapsed="false">
      <c r="V4808" s="23" t="str">
        <f aca="false">IF(ISNUMBER(C4808),YEAR(C4808),"")</f>
        <v/>
      </c>
      <c r="W4808" s="23" t="str">
        <f aca="false">IF(ISNUMBER(C4808),MONTH(C4808),"")</f>
        <v/>
      </c>
      <c r="X4808" s="23" t="str">
        <f aca="false">IF(T4808="","",IF(T4808=0,"No discount",IF(T4808&lt;=0.2,"Low (1-20%)",IF(T4808&lt;=0.4,"Medium (21-40%)","High (&gt;40%)"))))</f>
        <v/>
      </c>
      <c r="Y4808" s="23" t="str">
        <f aca="false">IF(AND(ISNUMBER(C4808),ISNUMBER(D4808)),D4808-C4808,"")</f>
        <v/>
      </c>
      <c r="Z4808" s="23" t="str">
        <f aca="false">IF(B4808="","",IF(MATCH(B4808,$B$2:$B$12000,0)=ROW()-1,1,0))</f>
        <v/>
      </c>
    </row>
    <row r="4809" customFormat="false" ht="15" hidden="false" customHeight="false" outlineLevel="0" collapsed="false">
      <c r="V4809" s="23" t="str">
        <f aca="false">IF(ISNUMBER(C4809),YEAR(C4809),"")</f>
        <v/>
      </c>
      <c r="W4809" s="23" t="str">
        <f aca="false">IF(ISNUMBER(C4809),MONTH(C4809),"")</f>
        <v/>
      </c>
      <c r="X4809" s="23" t="str">
        <f aca="false">IF(T4809="","",IF(T4809=0,"No discount",IF(T4809&lt;=0.2,"Low (1-20%)",IF(T4809&lt;=0.4,"Medium (21-40%)","High (&gt;40%)"))))</f>
        <v/>
      </c>
      <c r="Y4809" s="23" t="str">
        <f aca="false">IF(AND(ISNUMBER(C4809),ISNUMBER(D4809)),D4809-C4809,"")</f>
        <v/>
      </c>
      <c r="Z4809" s="23" t="str">
        <f aca="false">IF(B4809="","",IF(MATCH(B4809,$B$2:$B$12000,0)=ROW()-1,1,0))</f>
        <v/>
      </c>
    </row>
    <row r="4810" customFormat="false" ht="15" hidden="false" customHeight="false" outlineLevel="0" collapsed="false">
      <c r="V4810" s="23" t="str">
        <f aca="false">IF(ISNUMBER(C4810),YEAR(C4810),"")</f>
        <v/>
      </c>
      <c r="W4810" s="23" t="str">
        <f aca="false">IF(ISNUMBER(C4810),MONTH(C4810),"")</f>
        <v/>
      </c>
      <c r="X4810" s="23" t="str">
        <f aca="false">IF(T4810="","",IF(T4810=0,"No discount",IF(T4810&lt;=0.2,"Low (1-20%)",IF(T4810&lt;=0.4,"Medium (21-40%)","High (&gt;40%)"))))</f>
        <v/>
      </c>
      <c r="Y4810" s="23" t="str">
        <f aca="false">IF(AND(ISNUMBER(C4810),ISNUMBER(D4810)),D4810-C4810,"")</f>
        <v/>
      </c>
      <c r="Z4810" s="23" t="str">
        <f aca="false">IF(B4810="","",IF(MATCH(B4810,$B$2:$B$12000,0)=ROW()-1,1,0))</f>
        <v/>
      </c>
    </row>
    <row r="4811" customFormat="false" ht="15" hidden="false" customHeight="false" outlineLevel="0" collapsed="false">
      <c r="V4811" s="23" t="str">
        <f aca="false">IF(ISNUMBER(C4811),YEAR(C4811),"")</f>
        <v/>
      </c>
      <c r="W4811" s="23" t="str">
        <f aca="false">IF(ISNUMBER(C4811),MONTH(C4811),"")</f>
        <v/>
      </c>
      <c r="X4811" s="23" t="str">
        <f aca="false">IF(T4811="","",IF(T4811=0,"No discount",IF(T4811&lt;=0.2,"Low (1-20%)",IF(T4811&lt;=0.4,"Medium (21-40%)","High (&gt;40%)"))))</f>
        <v/>
      </c>
      <c r="Y4811" s="23" t="str">
        <f aca="false">IF(AND(ISNUMBER(C4811),ISNUMBER(D4811)),D4811-C4811,"")</f>
        <v/>
      </c>
      <c r="Z4811" s="23" t="str">
        <f aca="false">IF(B4811="","",IF(MATCH(B4811,$B$2:$B$12000,0)=ROW()-1,1,0))</f>
        <v/>
      </c>
    </row>
    <row r="4812" customFormat="false" ht="15" hidden="false" customHeight="false" outlineLevel="0" collapsed="false">
      <c r="V4812" s="23" t="str">
        <f aca="false">IF(ISNUMBER(C4812),YEAR(C4812),"")</f>
        <v/>
      </c>
      <c r="W4812" s="23" t="str">
        <f aca="false">IF(ISNUMBER(C4812),MONTH(C4812),"")</f>
        <v/>
      </c>
      <c r="X4812" s="23" t="str">
        <f aca="false">IF(T4812="","",IF(T4812=0,"No discount",IF(T4812&lt;=0.2,"Low (1-20%)",IF(T4812&lt;=0.4,"Medium (21-40%)","High (&gt;40%)"))))</f>
        <v/>
      </c>
      <c r="Y4812" s="23" t="str">
        <f aca="false">IF(AND(ISNUMBER(C4812),ISNUMBER(D4812)),D4812-C4812,"")</f>
        <v/>
      </c>
      <c r="Z4812" s="23" t="str">
        <f aca="false">IF(B4812="","",IF(MATCH(B4812,$B$2:$B$12000,0)=ROW()-1,1,0))</f>
        <v/>
      </c>
    </row>
    <row r="4813" customFormat="false" ht="15" hidden="false" customHeight="false" outlineLevel="0" collapsed="false">
      <c r="V4813" s="23" t="str">
        <f aca="false">IF(ISNUMBER(C4813),YEAR(C4813),"")</f>
        <v/>
      </c>
      <c r="W4813" s="23" t="str">
        <f aca="false">IF(ISNUMBER(C4813),MONTH(C4813),"")</f>
        <v/>
      </c>
      <c r="X4813" s="23" t="str">
        <f aca="false">IF(T4813="","",IF(T4813=0,"No discount",IF(T4813&lt;=0.2,"Low (1-20%)",IF(T4813&lt;=0.4,"Medium (21-40%)","High (&gt;40%)"))))</f>
        <v/>
      </c>
      <c r="Y4813" s="23" t="str">
        <f aca="false">IF(AND(ISNUMBER(C4813),ISNUMBER(D4813)),D4813-C4813,"")</f>
        <v/>
      </c>
      <c r="Z4813" s="23" t="str">
        <f aca="false">IF(B4813="","",IF(MATCH(B4813,$B$2:$B$12000,0)=ROW()-1,1,0))</f>
        <v/>
      </c>
    </row>
    <row r="4814" customFormat="false" ht="15" hidden="false" customHeight="false" outlineLevel="0" collapsed="false">
      <c r="V4814" s="23" t="str">
        <f aca="false">IF(ISNUMBER(C4814),YEAR(C4814),"")</f>
        <v/>
      </c>
      <c r="W4814" s="23" t="str">
        <f aca="false">IF(ISNUMBER(C4814),MONTH(C4814),"")</f>
        <v/>
      </c>
      <c r="X4814" s="23" t="str">
        <f aca="false">IF(T4814="","",IF(T4814=0,"No discount",IF(T4814&lt;=0.2,"Low (1-20%)",IF(T4814&lt;=0.4,"Medium (21-40%)","High (&gt;40%)"))))</f>
        <v/>
      </c>
      <c r="Y4814" s="23" t="str">
        <f aca="false">IF(AND(ISNUMBER(C4814),ISNUMBER(D4814)),D4814-C4814,"")</f>
        <v/>
      </c>
      <c r="Z4814" s="23" t="str">
        <f aca="false">IF(B4814="","",IF(MATCH(B4814,$B$2:$B$12000,0)=ROW()-1,1,0))</f>
        <v/>
      </c>
    </row>
    <row r="4815" customFormat="false" ht="15" hidden="false" customHeight="false" outlineLevel="0" collapsed="false">
      <c r="V4815" s="23" t="str">
        <f aca="false">IF(ISNUMBER(C4815),YEAR(C4815),"")</f>
        <v/>
      </c>
      <c r="W4815" s="23" t="str">
        <f aca="false">IF(ISNUMBER(C4815),MONTH(C4815),"")</f>
        <v/>
      </c>
      <c r="X4815" s="23" t="str">
        <f aca="false">IF(T4815="","",IF(T4815=0,"No discount",IF(T4815&lt;=0.2,"Low (1-20%)",IF(T4815&lt;=0.4,"Medium (21-40%)","High (&gt;40%)"))))</f>
        <v/>
      </c>
      <c r="Y4815" s="23" t="str">
        <f aca="false">IF(AND(ISNUMBER(C4815),ISNUMBER(D4815)),D4815-C4815,"")</f>
        <v/>
      </c>
      <c r="Z4815" s="23" t="str">
        <f aca="false">IF(B4815="","",IF(MATCH(B4815,$B$2:$B$12000,0)=ROW()-1,1,0))</f>
        <v/>
      </c>
    </row>
    <row r="4816" customFormat="false" ht="15" hidden="false" customHeight="false" outlineLevel="0" collapsed="false">
      <c r="V4816" s="23" t="str">
        <f aca="false">IF(ISNUMBER(C4816),YEAR(C4816),"")</f>
        <v/>
      </c>
      <c r="W4816" s="23" t="str">
        <f aca="false">IF(ISNUMBER(C4816),MONTH(C4816),"")</f>
        <v/>
      </c>
      <c r="X4816" s="23" t="str">
        <f aca="false">IF(T4816="","",IF(T4816=0,"No discount",IF(T4816&lt;=0.2,"Low (1-20%)",IF(T4816&lt;=0.4,"Medium (21-40%)","High (&gt;40%)"))))</f>
        <v/>
      </c>
      <c r="Y4816" s="23" t="str">
        <f aca="false">IF(AND(ISNUMBER(C4816),ISNUMBER(D4816)),D4816-C4816,"")</f>
        <v/>
      </c>
      <c r="Z4816" s="23" t="str">
        <f aca="false">IF(B4816="","",IF(MATCH(B4816,$B$2:$B$12000,0)=ROW()-1,1,0))</f>
        <v/>
      </c>
    </row>
    <row r="4817" customFormat="false" ht="15" hidden="false" customHeight="false" outlineLevel="0" collapsed="false">
      <c r="V4817" s="23" t="str">
        <f aca="false">IF(ISNUMBER(C4817),YEAR(C4817),"")</f>
        <v/>
      </c>
      <c r="W4817" s="23" t="str">
        <f aca="false">IF(ISNUMBER(C4817),MONTH(C4817),"")</f>
        <v/>
      </c>
      <c r="X4817" s="23" t="str">
        <f aca="false">IF(T4817="","",IF(T4817=0,"No discount",IF(T4817&lt;=0.2,"Low (1-20%)",IF(T4817&lt;=0.4,"Medium (21-40%)","High (&gt;40%)"))))</f>
        <v/>
      </c>
      <c r="Y4817" s="23" t="str">
        <f aca="false">IF(AND(ISNUMBER(C4817),ISNUMBER(D4817)),D4817-C4817,"")</f>
        <v/>
      </c>
      <c r="Z4817" s="23" t="str">
        <f aca="false">IF(B4817="","",IF(MATCH(B4817,$B$2:$B$12000,0)=ROW()-1,1,0))</f>
        <v/>
      </c>
    </row>
    <row r="4818" customFormat="false" ht="15" hidden="false" customHeight="false" outlineLevel="0" collapsed="false">
      <c r="V4818" s="23" t="str">
        <f aca="false">IF(ISNUMBER(C4818),YEAR(C4818),"")</f>
        <v/>
      </c>
      <c r="W4818" s="23" t="str">
        <f aca="false">IF(ISNUMBER(C4818),MONTH(C4818),"")</f>
        <v/>
      </c>
      <c r="X4818" s="23" t="str">
        <f aca="false">IF(T4818="","",IF(T4818=0,"No discount",IF(T4818&lt;=0.2,"Low (1-20%)",IF(T4818&lt;=0.4,"Medium (21-40%)","High (&gt;40%)"))))</f>
        <v/>
      </c>
      <c r="Y4818" s="23" t="str">
        <f aca="false">IF(AND(ISNUMBER(C4818),ISNUMBER(D4818)),D4818-C4818,"")</f>
        <v/>
      </c>
      <c r="Z4818" s="23" t="str">
        <f aca="false">IF(B4818="","",IF(MATCH(B4818,$B$2:$B$12000,0)=ROW()-1,1,0))</f>
        <v/>
      </c>
    </row>
    <row r="4819" customFormat="false" ht="15" hidden="false" customHeight="false" outlineLevel="0" collapsed="false">
      <c r="V4819" s="23" t="str">
        <f aca="false">IF(ISNUMBER(C4819),YEAR(C4819),"")</f>
        <v/>
      </c>
      <c r="W4819" s="23" t="str">
        <f aca="false">IF(ISNUMBER(C4819),MONTH(C4819),"")</f>
        <v/>
      </c>
      <c r="X4819" s="23" t="str">
        <f aca="false">IF(T4819="","",IF(T4819=0,"No discount",IF(T4819&lt;=0.2,"Low (1-20%)",IF(T4819&lt;=0.4,"Medium (21-40%)","High (&gt;40%)"))))</f>
        <v/>
      </c>
      <c r="Y4819" s="23" t="str">
        <f aca="false">IF(AND(ISNUMBER(C4819),ISNUMBER(D4819)),D4819-C4819,"")</f>
        <v/>
      </c>
      <c r="Z4819" s="23" t="str">
        <f aca="false">IF(B4819="","",IF(MATCH(B4819,$B$2:$B$12000,0)=ROW()-1,1,0))</f>
        <v/>
      </c>
    </row>
    <row r="4820" customFormat="false" ht="15" hidden="false" customHeight="false" outlineLevel="0" collapsed="false">
      <c r="V4820" s="23" t="str">
        <f aca="false">IF(ISNUMBER(C4820),YEAR(C4820),"")</f>
        <v/>
      </c>
      <c r="W4820" s="23" t="str">
        <f aca="false">IF(ISNUMBER(C4820),MONTH(C4820),"")</f>
        <v/>
      </c>
      <c r="X4820" s="23" t="str">
        <f aca="false">IF(T4820="","",IF(T4820=0,"No discount",IF(T4820&lt;=0.2,"Low (1-20%)",IF(T4820&lt;=0.4,"Medium (21-40%)","High (&gt;40%)"))))</f>
        <v/>
      </c>
      <c r="Y4820" s="23" t="str">
        <f aca="false">IF(AND(ISNUMBER(C4820),ISNUMBER(D4820)),D4820-C4820,"")</f>
        <v/>
      </c>
      <c r="Z4820" s="23" t="str">
        <f aca="false">IF(B4820="","",IF(MATCH(B4820,$B$2:$B$12000,0)=ROW()-1,1,0))</f>
        <v/>
      </c>
    </row>
    <row r="4821" customFormat="false" ht="15" hidden="false" customHeight="false" outlineLevel="0" collapsed="false">
      <c r="V4821" s="23" t="str">
        <f aca="false">IF(ISNUMBER(C4821),YEAR(C4821),"")</f>
        <v/>
      </c>
      <c r="W4821" s="23" t="str">
        <f aca="false">IF(ISNUMBER(C4821),MONTH(C4821),"")</f>
        <v/>
      </c>
      <c r="X4821" s="23" t="str">
        <f aca="false">IF(T4821="","",IF(T4821=0,"No discount",IF(T4821&lt;=0.2,"Low (1-20%)",IF(T4821&lt;=0.4,"Medium (21-40%)","High (&gt;40%)"))))</f>
        <v/>
      </c>
      <c r="Y4821" s="23" t="str">
        <f aca="false">IF(AND(ISNUMBER(C4821),ISNUMBER(D4821)),D4821-C4821,"")</f>
        <v/>
      </c>
      <c r="Z4821" s="23" t="str">
        <f aca="false">IF(B4821="","",IF(MATCH(B4821,$B$2:$B$12000,0)=ROW()-1,1,0))</f>
        <v/>
      </c>
    </row>
    <row r="4822" customFormat="false" ht="15" hidden="false" customHeight="false" outlineLevel="0" collapsed="false">
      <c r="V4822" s="23" t="str">
        <f aca="false">IF(ISNUMBER(C4822),YEAR(C4822),"")</f>
        <v/>
      </c>
      <c r="W4822" s="23" t="str">
        <f aca="false">IF(ISNUMBER(C4822),MONTH(C4822),"")</f>
        <v/>
      </c>
      <c r="X4822" s="23" t="str">
        <f aca="false">IF(T4822="","",IF(T4822=0,"No discount",IF(T4822&lt;=0.2,"Low (1-20%)",IF(T4822&lt;=0.4,"Medium (21-40%)","High (&gt;40%)"))))</f>
        <v/>
      </c>
      <c r="Y4822" s="23" t="str">
        <f aca="false">IF(AND(ISNUMBER(C4822),ISNUMBER(D4822)),D4822-C4822,"")</f>
        <v/>
      </c>
      <c r="Z4822" s="23" t="str">
        <f aca="false">IF(B4822="","",IF(MATCH(B4822,$B$2:$B$12000,0)=ROW()-1,1,0))</f>
        <v/>
      </c>
    </row>
    <row r="4823" customFormat="false" ht="15" hidden="false" customHeight="false" outlineLevel="0" collapsed="false">
      <c r="V4823" s="23" t="str">
        <f aca="false">IF(ISNUMBER(C4823),YEAR(C4823),"")</f>
        <v/>
      </c>
      <c r="W4823" s="23" t="str">
        <f aca="false">IF(ISNUMBER(C4823),MONTH(C4823),"")</f>
        <v/>
      </c>
      <c r="X4823" s="23" t="str">
        <f aca="false">IF(T4823="","",IF(T4823=0,"No discount",IF(T4823&lt;=0.2,"Low (1-20%)",IF(T4823&lt;=0.4,"Medium (21-40%)","High (&gt;40%)"))))</f>
        <v/>
      </c>
      <c r="Y4823" s="23" t="str">
        <f aca="false">IF(AND(ISNUMBER(C4823),ISNUMBER(D4823)),D4823-C4823,"")</f>
        <v/>
      </c>
      <c r="Z4823" s="23" t="str">
        <f aca="false">IF(B4823="","",IF(MATCH(B4823,$B$2:$B$12000,0)=ROW()-1,1,0))</f>
        <v/>
      </c>
    </row>
    <row r="4824" customFormat="false" ht="15" hidden="false" customHeight="false" outlineLevel="0" collapsed="false">
      <c r="V4824" s="23" t="str">
        <f aca="false">IF(ISNUMBER(C4824),YEAR(C4824),"")</f>
        <v/>
      </c>
      <c r="W4824" s="23" t="str">
        <f aca="false">IF(ISNUMBER(C4824),MONTH(C4824),"")</f>
        <v/>
      </c>
      <c r="X4824" s="23" t="str">
        <f aca="false">IF(T4824="","",IF(T4824=0,"No discount",IF(T4824&lt;=0.2,"Low (1-20%)",IF(T4824&lt;=0.4,"Medium (21-40%)","High (&gt;40%)"))))</f>
        <v/>
      </c>
      <c r="Y4824" s="23" t="str">
        <f aca="false">IF(AND(ISNUMBER(C4824),ISNUMBER(D4824)),D4824-C4824,"")</f>
        <v/>
      </c>
      <c r="Z4824" s="23" t="str">
        <f aca="false">IF(B4824="","",IF(MATCH(B4824,$B$2:$B$12000,0)=ROW()-1,1,0))</f>
        <v/>
      </c>
    </row>
    <row r="4825" customFormat="false" ht="15" hidden="false" customHeight="false" outlineLevel="0" collapsed="false">
      <c r="V4825" s="23" t="str">
        <f aca="false">IF(ISNUMBER(C4825),YEAR(C4825),"")</f>
        <v/>
      </c>
      <c r="W4825" s="23" t="str">
        <f aca="false">IF(ISNUMBER(C4825),MONTH(C4825),"")</f>
        <v/>
      </c>
      <c r="X4825" s="23" t="str">
        <f aca="false">IF(T4825="","",IF(T4825=0,"No discount",IF(T4825&lt;=0.2,"Low (1-20%)",IF(T4825&lt;=0.4,"Medium (21-40%)","High (&gt;40%)"))))</f>
        <v/>
      </c>
      <c r="Y4825" s="23" t="str">
        <f aca="false">IF(AND(ISNUMBER(C4825),ISNUMBER(D4825)),D4825-C4825,"")</f>
        <v/>
      </c>
      <c r="Z4825" s="23" t="str">
        <f aca="false">IF(B4825="","",IF(MATCH(B4825,$B$2:$B$12000,0)=ROW()-1,1,0))</f>
        <v/>
      </c>
    </row>
    <row r="4826" customFormat="false" ht="15" hidden="false" customHeight="false" outlineLevel="0" collapsed="false">
      <c r="V4826" s="23" t="str">
        <f aca="false">IF(ISNUMBER(C4826),YEAR(C4826),"")</f>
        <v/>
      </c>
      <c r="W4826" s="23" t="str">
        <f aca="false">IF(ISNUMBER(C4826),MONTH(C4826),"")</f>
        <v/>
      </c>
      <c r="X4826" s="23" t="str">
        <f aca="false">IF(T4826="","",IF(T4826=0,"No discount",IF(T4826&lt;=0.2,"Low (1-20%)",IF(T4826&lt;=0.4,"Medium (21-40%)","High (&gt;40%)"))))</f>
        <v/>
      </c>
      <c r="Y4826" s="23" t="str">
        <f aca="false">IF(AND(ISNUMBER(C4826),ISNUMBER(D4826)),D4826-C4826,"")</f>
        <v/>
      </c>
      <c r="Z4826" s="23" t="str">
        <f aca="false">IF(B4826="","",IF(MATCH(B4826,$B$2:$B$12000,0)=ROW()-1,1,0))</f>
        <v/>
      </c>
    </row>
    <row r="4827" customFormat="false" ht="15" hidden="false" customHeight="false" outlineLevel="0" collapsed="false">
      <c r="V4827" s="23" t="str">
        <f aca="false">IF(ISNUMBER(C4827),YEAR(C4827),"")</f>
        <v/>
      </c>
      <c r="W4827" s="23" t="str">
        <f aca="false">IF(ISNUMBER(C4827),MONTH(C4827),"")</f>
        <v/>
      </c>
      <c r="X4827" s="23" t="str">
        <f aca="false">IF(T4827="","",IF(T4827=0,"No discount",IF(T4827&lt;=0.2,"Low (1-20%)",IF(T4827&lt;=0.4,"Medium (21-40%)","High (&gt;40%)"))))</f>
        <v/>
      </c>
      <c r="Y4827" s="23" t="str">
        <f aca="false">IF(AND(ISNUMBER(C4827),ISNUMBER(D4827)),D4827-C4827,"")</f>
        <v/>
      </c>
      <c r="Z4827" s="23" t="str">
        <f aca="false">IF(B4827="","",IF(MATCH(B4827,$B$2:$B$12000,0)=ROW()-1,1,0))</f>
        <v/>
      </c>
    </row>
    <row r="4828" customFormat="false" ht="15" hidden="false" customHeight="false" outlineLevel="0" collapsed="false">
      <c r="V4828" s="23" t="str">
        <f aca="false">IF(ISNUMBER(C4828),YEAR(C4828),"")</f>
        <v/>
      </c>
      <c r="W4828" s="23" t="str">
        <f aca="false">IF(ISNUMBER(C4828),MONTH(C4828),"")</f>
        <v/>
      </c>
      <c r="X4828" s="23" t="str">
        <f aca="false">IF(T4828="","",IF(T4828=0,"No discount",IF(T4828&lt;=0.2,"Low (1-20%)",IF(T4828&lt;=0.4,"Medium (21-40%)","High (&gt;40%)"))))</f>
        <v/>
      </c>
      <c r="Y4828" s="23" t="str">
        <f aca="false">IF(AND(ISNUMBER(C4828),ISNUMBER(D4828)),D4828-C4828,"")</f>
        <v/>
      </c>
      <c r="Z4828" s="23" t="str">
        <f aca="false">IF(B4828="","",IF(MATCH(B4828,$B$2:$B$12000,0)=ROW()-1,1,0))</f>
        <v/>
      </c>
    </row>
    <row r="4829" customFormat="false" ht="15" hidden="false" customHeight="false" outlineLevel="0" collapsed="false">
      <c r="V4829" s="23" t="str">
        <f aca="false">IF(ISNUMBER(C4829),YEAR(C4829),"")</f>
        <v/>
      </c>
      <c r="W4829" s="23" t="str">
        <f aca="false">IF(ISNUMBER(C4829),MONTH(C4829),"")</f>
        <v/>
      </c>
      <c r="X4829" s="23" t="str">
        <f aca="false">IF(T4829="","",IF(T4829=0,"No discount",IF(T4829&lt;=0.2,"Low (1-20%)",IF(T4829&lt;=0.4,"Medium (21-40%)","High (&gt;40%)"))))</f>
        <v/>
      </c>
      <c r="Y4829" s="23" t="str">
        <f aca="false">IF(AND(ISNUMBER(C4829),ISNUMBER(D4829)),D4829-C4829,"")</f>
        <v/>
      </c>
      <c r="Z4829" s="23" t="str">
        <f aca="false">IF(B4829="","",IF(MATCH(B4829,$B$2:$B$12000,0)=ROW()-1,1,0))</f>
        <v/>
      </c>
    </row>
    <row r="4830" customFormat="false" ht="15" hidden="false" customHeight="false" outlineLevel="0" collapsed="false">
      <c r="V4830" s="23" t="str">
        <f aca="false">IF(ISNUMBER(C4830),YEAR(C4830),"")</f>
        <v/>
      </c>
      <c r="W4830" s="23" t="str">
        <f aca="false">IF(ISNUMBER(C4830),MONTH(C4830),"")</f>
        <v/>
      </c>
      <c r="X4830" s="23" t="str">
        <f aca="false">IF(T4830="","",IF(T4830=0,"No discount",IF(T4830&lt;=0.2,"Low (1-20%)",IF(T4830&lt;=0.4,"Medium (21-40%)","High (&gt;40%)"))))</f>
        <v/>
      </c>
      <c r="Y4830" s="23" t="str">
        <f aca="false">IF(AND(ISNUMBER(C4830),ISNUMBER(D4830)),D4830-C4830,"")</f>
        <v/>
      </c>
      <c r="Z4830" s="23" t="str">
        <f aca="false">IF(B4830="","",IF(MATCH(B4830,$B$2:$B$12000,0)=ROW()-1,1,0))</f>
        <v/>
      </c>
    </row>
    <row r="4831" customFormat="false" ht="15" hidden="false" customHeight="false" outlineLevel="0" collapsed="false">
      <c r="V4831" s="23" t="str">
        <f aca="false">IF(ISNUMBER(C4831),YEAR(C4831),"")</f>
        <v/>
      </c>
      <c r="W4831" s="23" t="str">
        <f aca="false">IF(ISNUMBER(C4831),MONTH(C4831),"")</f>
        <v/>
      </c>
      <c r="X4831" s="23" t="str">
        <f aca="false">IF(T4831="","",IF(T4831=0,"No discount",IF(T4831&lt;=0.2,"Low (1-20%)",IF(T4831&lt;=0.4,"Medium (21-40%)","High (&gt;40%)"))))</f>
        <v/>
      </c>
      <c r="Y4831" s="23" t="str">
        <f aca="false">IF(AND(ISNUMBER(C4831),ISNUMBER(D4831)),D4831-C4831,"")</f>
        <v/>
      </c>
      <c r="Z4831" s="23" t="str">
        <f aca="false">IF(B4831="","",IF(MATCH(B4831,$B$2:$B$12000,0)=ROW()-1,1,0))</f>
        <v/>
      </c>
    </row>
    <row r="4832" customFormat="false" ht="15" hidden="false" customHeight="false" outlineLevel="0" collapsed="false">
      <c r="V4832" s="23" t="str">
        <f aca="false">IF(ISNUMBER(C4832),YEAR(C4832),"")</f>
        <v/>
      </c>
      <c r="W4832" s="23" t="str">
        <f aca="false">IF(ISNUMBER(C4832),MONTH(C4832),"")</f>
        <v/>
      </c>
      <c r="X4832" s="23" t="str">
        <f aca="false">IF(T4832="","",IF(T4832=0,"No discount",IF(T4832&lt;=0.2,"Low (1-20%)",IF(T4832&lt;=0.4,"Medium (21-40%)","High (&gt;40%)"))))</f>
        <v/>
      </c>
      <c r="Y4832" s="23" t="str">
        <f aca="false">IF(AND(ISNUMBER(C4832),ISNUMBER(D4832)),D4832-C4832,"")</f>
        <v/>
      </c>
      <c r="Z4832" s="23" t="str">
        <f aca="false">IF(B4832="","",IF(MATCH(B4832,$B$2:$B$12000,0)=ROW()-1,1,0))</f>
        <v/>
      </c>
    </row>
    <row r="4833" customFormat="false" ht="15" hidden="false" customHeight="false" outlineLevel="0" collapsed="false">
      <c r="V4833" s="23" t="str">
        <f aca="false">IF(ISNUMBER(C4833),YEAR(C4833),"")</f>
        <v/>
      </c>
      <c r="W4833" s="23" t="str">
        <f aca="false">IF(ISNUMBER(C4833),MONTH(C4833),"")</f>
        <v/>
      </c>
      <c r="X4833" s="23" t="str">
        <f aca="false">IF(T4833="","",IF(T4833=0,"No discount",IF(T4833&lt;=0.2,"Low (1-20%)",IF(T4833&lt;=0.4,"Medium (21-40%)","High (&gt;40%)"))))</f>
        <v/>
      </c>
      <c r="Y4833" s="23" t="str">
        <f aca="false">IF(AND(ISNUMBER(C4833),ISNUMBER(D4833)),D4833-C4833,"")</f>
        <v/>
      </c>
      <c r="Z4833" s="23" t="str">
        <f aca="false">IF(B4833="","",IF(MATCH(B4833,$B$2:$B$12000,0)=ROW()-1,1,0))</f>
        <v/>
      </c>
    </row>
    <row r="4834" customFormat="false" ht="15" hidden="false" customHeight="false" outlineLevel="0" collapsed="false">
      <c r="V4834" s="23" t="str">
        <f aca="false">IF(ISNUMBER(C4834),YEAR(C4834),"")</f>
        <v/>
      </c>
      <c r="W4834" s="23" t="str">
        <f aca="false">IF(ISNUMBER(C4834),MONTH(C4834),"")</f>
        <v/>
      </c>
      <c r="X4834" s="23" t="str">
        <f aca="false">IF(T4834="","",IF(T4834=0,"No discount",IF(T4834&lt;=0.2,"Low (1-20%)",IF(T4834&lt;=0.4,"Medium (21-40%)","High (&gt;40%)"))))</f>
        <v/>
      </c>
      <c r="Y4834" s="23" t="str">
        <f aca="false">IF(AND(ISNUMBER(C4834),ISNUMBER(D4834)),D4834-C4834,"")</f>
        <v/>
      </c>
      <c r="Z4834" s="23" t="str">
        <f aca="false">IF(B4834="","",IF(MATCH(B4834,$B$2:$B$12000,0)=ROW()-1,1,0))</f>
        <v/>
      </c>
    </row>
    <row r="4835" customFormat="false" ht="15" hidden="false" customHeight="false" outlineLevel="0" collapsed="false">
      <c r="V4835" s="23" t="str">
        <f aca="false">IF(ISNUMBER(C4835),YEAR(C4835),"")</f>
        <v/>
      </c>
      <c r="W4835" s="23" t="str">
        <f aca="false">IF(ISNUMBER(C4835),MONTH(C4835),"")</f>
        <v/>
      </c>
      <c r="X4835" s="23" t="str">
        <f aca="false">IF(T4835="","",IF(T4835=0,"No discount",IF(T4835&lt;=0.2,"Low (1-20%)",IF(T4835&lt;=0.4,"Medium (21-40%)","High (&gt;40%)"))))</f>
        <v/>
      </c>
      <c r="Y4835" s="23" t="str">
        <f aca="false">IF(AND(ISNUMBER(C4835),ISNUMBER(D4835)),D4835-C4835,"")</f>
        <v/>
      </c>
      <c r="Z4835" s="23" t="str">
        <f aca="false">IF(B4835="","",IF(MATCH(B4835,$B$2:$B$12000,0)=ROW()-1,1,0))</f>
        <v/>
      </c>
    </row>
    <row r="4836" customFormat="false" ht="15" hidden="false" customHeight="false" outlineLevel="0" collapsed="false">
      <c r="V4836" s="23" t="str">
        <f aca="false">IF(ISNUMBER(C4836),YEAR(C4836),"")</f>
        <v/>
      </c>
      <c r="W4836" s="23" t="str">
        <f aca="false">IF(ISNUMBER(C4836),MONTH(C4836),"")</f>
        <v/>
      </c>
      <c r="X4836" s="23" t="str">
        <f aca="false">IF(T4836="","",IF(T4836=0,"No discount",IF(T4836&lt;=0.2,"Low (1-20%)",IF(T4836&lt;=0.4,"Medium (21-40%)","High (&gt;40%)"))))</f>
        <v/>
      </c>
      <c r="Y4836" s="23" t="str">
        <f aca="false">IF(AND(ISNUMBER(C4836),ISNUMBER(D4836)),D4836-C4836,"")</f>
        <v/>
      </c>
      <c r="Z4836" s="23" t="str">
        <f aca="false">IF(B4836="","",IF(MATCH(B4836,$B$2:$B$12000,0)=ROW()-1,1,0))</f>
        <v/>
      </c>
    </row>
    <row r="4837" customFormat="false" ht="15" hidden="false" customHeight="false" outlineLevel="0" collapsed="false">
      <c r="V4837" s="23" t="str">
        <f aca="false">IF(ISNUMBER(C4837),YEAR(C4837),"")</f>
        <v/>
      </c>
      <c r="W4837" s="23" t="str">
        <f aca="false">IF(ISNUMBER(C4837),MONTH(C4837),"")</f>
        <v/>
      </c>
      <c r="X4837" s="23" t="str">
        <f aca="false">IF(T4837="","",IF(T4837=0,"No discount",IF(T4837&lt;=0.2,"Low (1-20%)",IF(T4837&lt;=0.4,"Medium (21-40%)","High (&gt;40%)"))))</f>
        <v/>
      </c>
      <c r="Y4837" s="23" t="str">
        <f aca="false">IF(AND(ISNUMBER(C4837),ISNUMBER(D4837)),D4837-C4837,"")</f>
        <v/>
      </c>
      <c r="Z4837" s="23" t="str">
        <f aca="false">IF(B4837="","",IF(MATCH(B4837,$B$2:$B$12000,0)=ROW()-1,1,0))</f>
        <v/>
      </c>
    </row>
    <row r="4838" customFormat="false" ht="15" hidden="false" customHeight="false" outlineLevel="0" collapsed="false">
      <c r="V4838" s="23" t="str">
        <f aca="false">IF(ISNUMBER(C4838),YEAR(C4838),"")</f>
        <v/>
      </c>
      <c r="W4838" s="23" t="str">
        <f aca="false">IF(ISNUMBER(C4838),MONTH(C4838),"")</f>
        <v/>
      </c>
      <c r="X4838" s="23" t="str">
        <f aca="false">IF(T4838="","",IF(T4838=0,"No discount",IF(T4838&lt;=0.2,"Low (1-20%)",IF(T4838&lt;=0.4,"Medium (21-40%)","High (&gt;40%)"))))</f>
        <v/>
      </c>
      <c r="Y4838" s="23" t="str">
        <f aca="false">IF(AND(ISNUMBER(C4838),ISNUMBER(D4838)),D4838-C4838,"")</f>
        <v/>
      </c>
      <c r="Z4838" s="23" t="str">
        <f aca="false">IF(B4838="","",IF(MATCH(B4838,$B$2:$B$12000,0)=ROW()-1,1,0))</f>
        <v/>
      </c>
    </row>
    <row r="4839" customFormat="false" ht="15" hidden="false" customHeight="false" outlineLevel="0" collapsed="false">
      <c r="V4839" s="23" t="str">
        <f aca="false">IF(ISNUMBER(C4839),YEAR(C4839),"")</f>
        <v/>
      </c>
      <c r="W4839" s="23" t="str">
        <f aca="false">IF(ISNUMBER(C4839),MONTH(C4839),"")</f>
        <v/>
      </c>
      <c r="X4839" s="23" t="str">
        <f aca="false">IF(T4839="","",IF(T4839=0,"No discount",IF(T4839&lt;=0.2,"Low (1-20%)",IF(T4839&lt;=0.4,"Medium (21-40%)","High (&gt;40%)"))))</f>
        <v/>
      </c>
      <c r="Y4839" s="23" t="str">
        <f aca="false">IF(AND(ISNUMBER(C4839),ISNUMBER(D4839)),D4839-C4839,"")</f>
        <v/>
      </c>
      <c r="Z4839" s="23" t="str">
        <f aca="false">IF(B4839="","",IF(MATCH(B4839,$B$2:$B$12000,0)=ROW()-1,1,0))</f>
        <v/>
      </c>
    </row>
    <row r="4840" customFormat="false" ht="15" hidden="false" customHeight="false" outlineLevel="0" collapsed="false">
      <c r="V4840" s="23" t="str">
        <f aca="false">IF(ISNUMBER(C4840),YEAR(C4840),"")</f>
        <v/>
      </c>
      <c r="W4840" s="23" t="str">
        <f aca="false">IF(ISNUMBER(C4840),MONTH(C4840),"")</f>
        <v/>
      </c>
      <c r="X4840" s="23" t="str">
        <f aca="false">IF(T4840="","",IF(T4840=0,"No discount",IF(T4840&lt;=0.2,"Low (1-20%)",IF(T4840&lt;=0.4,"Medium (21-40%)","High (&gt;40%)"))))</f>
        <v/>
      </c>
      <c r="Y4840" s="23" t="str">
        <f aca="false">IF(AND(ISNUMBER(C4840),ISNUMBER(D4840)),D4840-C4840,"")</f>
        <v/>
      </c>
      <c r="Z4840" s="23" t="str">
        <f aca="false">IF(B4840="","",IF(MATCH(B4840,$B$2:$B$12000,0)=ROW()-1,1,0))</f>
        <v/>
      </c>
    </row>
    <row r="4841" customFormat="false" ht="15" hidden="false" customHeight="false" outlineLevel="0" collapsed="false">
      <c r="V4841" s="23" t="str">
        <f aca="false">IF(ISNUMBER(C4841),YEAR(C4841),"")</f>
        <v/>
      </c>
      <c r="W4841" s="23" t="str">
        <f aca="false">IF(ISNUMBER(C4841),MONTH(C4841),"")</f>
        <v/>
      </c>
      <c r="X4841" s="23" t="str">
        <f aca="false">IF(T4841="","",IF(T4841=0,"No discount",IF(T4841&lt;=0.2,"Low (1-20%)",IF(T4841&lt;=0.4,"Medium (21-40%)","High (&gt;40%)"))))</f>
        <v/>
      </c>
      <c r="Y4841" s="23" t="str">
        <f aca="false">IF(AND(ISNUMBER(C4841),ISNUMBER(D4841)),D4841-C4841,"")</f>
        <v/>
      </c>
      <c r="Z4841" s="23" t="str">
        <f aca="false">IF(B4841="","",IF(MATCH(B4841,$B$2:$B$12000,0)=ROW()-1,1,0))</f>
        <v/>
      </c>
    </row>
    <row r="4842" customFormat="false" ht="15" hidden="false" customHeight="false" outlineLevel="0" collapsed="false">
      <c r="V4842" s="23" t="str">
        <f aca="false">IF(ISNUMBER(C4842),YEAR(C4842),"")</f>
        <v/>
      </c>
      <c r="W4842" s="23" t="str">
        <f aca="false">IF(ISNUMBER(C4842),MONTH(C4842),"")</f>
        <v/>
      </c>
      <c r="X4842" s="23" t="str">
        <f aca="false">IF(T4842="","",IF(T4842=0,"No discount",IF(T4842&lt;=0.2,"Low (1-20%)",IF(T4842&lt;=0.4,"Medium (21-40%)","High (&gt;40%)"))))</f>
        <v/>
      </c>
      <c r="Y4842" s="23" t="str">
        <f aca="false">IF(AND(ISNUMBER(C4842),ISNUMBER(D4842)),D4842-C4842,"")</f>
        <v/>
      </c>
      <c r="Z4842" s="23" t="str">
        <f aca="false">IF(B4842="","",IF(MATCH(B4842,$B$2:$B$12000,0)=ROW()-1,1,0))</f>
        <v/>
      </c>
    </row>
    <row r="4843" customFormat="false" ht="15" hidden="false" customHeight="false" outlineLevel="0" collapsed="false">
      <c r="V4843" s="23" t="str">
        <f aca="false">IF(ISNUMBER(C4843),YEAR(C4843),"")</f>
        <v/>
      </c>
      <c r="W4843" s="23" t="str">
        <f aca="false">IF(ISNUMBER(C4843),MONTH(C4843),"")</f>
        <v/>
      </c>
      <c r="X4843" s="23" t="str">
        <f aca="false">IF(T4843="","",IF(T4843=0,"No discount",IF(T4843&lt;=0.2,"Low (1-20%)",IF(T4843&lt;=0.4,"Medium (21-40%)","High (&gt;40%)"))))</f>
        <v/>
      </c>
      <c r="Y4843" s="23" t="str">
        <f aca="false">IF(AND(ISNUMBER(C4843),ISNUMBER(D4843)),D4843-C4843,"")</f>
        <v/>
      </c>
      <c r="Z4843" s="23" t="str">
        <f aca="false">IF(B4843="","",IF(MATCH(B4843,$B$2:$B$12000,0)=ROW()-1,1,0))</f>
        <v/>
      </c>
    </row>
    <row r="4844" customFormat="false" ht="15" hidden="false" customHeight="false" outlineLevel="0" collapsed="false">
      <c r="V4844" s="23" t="str">
        <f aca="false">IF(ISNUMBER(C4844),YEAR(C4844),"")</f>
        <v/>
      </c>
      <c r="W4844" s="23" t="str">
        <f aca="false">IF(ISNUMBER(C4844),MONTH(C4844),"")</f>
        <v/>
      </c>
      <c r="X4844" s="23" t="str">
        <f aca="false">IF(T4844="","",IF(T4844=0,"No discount",IF(T4844&lt;=0.2,"Low (1-20%)",IF(T4844&lt;=0.4,"Medium (21-40%)","High (&gt;40%)"))))</f>
        <v/>
      </c>
      <c r="Y4844" s="23" t="str">
        <f aca="false">IF(AND(ISNUMBER(C4844),ISNUMBER(D4844)),D4844-C4844,"")</f>
        <v/>
      </c>
      <c r="Z4844" s="23" t="str">
        <f aca="false">IF(B4844="","",IF(MATCH(B4844,$B$2:$B$12000,0)=ROW()-1,1,0))</f>
        <v/>
      </c>
    </row>
    <row r="4845" customFormat="false" ht="15" hidden="false" customHeight="false" outlineLevel="0" collapsed="false">
      <c r="V4845" s="23" t="str">
        <f aca="false">IF(ISNUMBER(C4845),YEAR(C4845),"")</f>
        <v/>
      </c>
      <c r="W4845" s="23" t="str">
        <f aca="false">IF(ISNUMBER(C4845),MONTH(C4845),"")</f>
        <v/>
      </c>
      <c r="X4845" s="23" t="str">
        <f aca="false">IF(T4845="","",IF(T4845=0,"No discount",IF(T4845&lt;=0.2,"Low (1-20%)",IF(T4845&lt;=0.4,"Medium (21-40%)","High (&gt;40%)"))))</f>
        <v/>
      </c>
      <c r="Y4845" s="23" t="str">
        <f aca="false">IF(AND(ISNUMBER(C4845),ISNUMBER(D4845)),D4845-C4845,"")</f>
        <v/>
      </c>
      <c r="Z4845" s="23" t="str">
        <f aca="false">IF(B4845="","",IF(MATCH(B4845,$B$2:$B$12000,0)=ROW()-1,1,0))</f>
        <v/>
      </c>
    </row>
    <row r="4846" customFormat="false" ht="15" hidden="false" customHeight="false" outlineLevel="0" collapsed="false">
      <c r="V4846" s="23" t="str">
        <f aca="false">IF(ISNUMBER(C4846),YEAR(C4846),"")</f>
        <v/>
      </c>
      <c r="W4846" s="23" t="str">
        <f aca="false">IF(ISNUMBER(C4846),MONTH(C4846),"")</f>
        <v/>
      </c>
      <c r="X4846" s="23" t="str">
        <f aca="false">IF(T4846="","",IF(T4846=0,"No discount",IF(T4846&lt;=0.2,"Low (1-20%)",IF(T4846&lt;=0.4,"Medium (21-40%)","High (&gt;40%)"))))</f>
        <v/>
      </c>
      <c r="Y4846" s="23" t="str">
        <f aca="false">IF(AND(ISNUMBER(C4846),ISNUMBER(D4846)),D4846-C4846,"")</f>
        <v/>
      </c>
      <c r="Z4846" s="23" t="str">
        <f aca="false">IF(B4846="","",IF(MATCH(B4846,$B$2:$B$12000,0)=ROW()-1,1,0))</f>
        <v/>
      </c>
    </row>
    <row r="4847" customFormat="false" ht="15" hidden="false" customHeight="false" outlineLevel="0" collapsed="false">
      <c r="V4847" s="23" t="str">
        <f aca="false">IF(ISNUMBER(C4847),YEAR(C4847),"")</f>
        <v/>
      </c>
      <c r="W4847" s="23" t="str">
        <f aca="false">IF(ISNUMBER(C4847),MONTH(C4847),"")</f>
        <v/>
      </c>
      <c r="X4847" s="23" t="str">
        <f aca="false">IF(T4847="","",IF(T4847=0,"No discount",IF(T4847&lt;=0.2,"Low (1-20%)",IF(T4847&lt;=0.4,"Medium (21-40%)","High (&gt;40%)"))))</f>
        <v/>
      </c>
      <c r="Y4847" s="23" t="str">
        <f aca="false">IF(AND(ISNUMBER(C4847),ISNUMBER(D4847)),D4847-C4847,"")</f>
        <v/>
      </c>
      <c r="Z4847" s="23" t="str">
        <f aca="false">IF(B4847="","",IF(MATCH(B4847,$B$2:$B$12000,0)=ROW()-1,1,0))</f>
        <v/>
      </c>
    </row>
    <row r="4848" customFormat="false" ht="15" hidden="false" customHeight="false" outlineLevel="0" collapsed="false">
      <c r="V4848" s="23" t="str">
        <f aca="false">IF(ISNUMBER(C4848),YEAR(C4848),"")</f>
        <v/>
      </c>
      <c r="W4848" s="23" t="str">
        <f aca="false">IF(ISNUMBER(C4848),MONTH(C4848),"")</f>
        <v/>
      </c>
      <c r="X4848" s="23" t="str">
        <f aca="false">IF(T4848="","",IF(T4848=0,"No discount",IF(T4848&lt;=0.2,"Low (1-20%)",IF(T4848&lt;=0.4,"Medium (21-40%)","High (&gt;40%)"))))</f>
        <v/>
      </c>
      <c r="Y4848" s="23" t="str">
        <f aca="false">IF(AND(ISNUMBER(C4848),ISNUMBER(D4848)),D4848-C4848,"")</f>
        <v/>
      </c>
      <c r="Z4848" s="23" t="str">
        <f aca="false">IF(B4848="","",IF(MATCH(B4848,$B$2:$B$12000,0)=ROW()-1,1,0))</f>
        <v/>
      </c>
    </row>
    <row r="4849" customFormat="false" ht="15" hidden="false" customHeight="false" outlineLevel="0" collapsed="false">
      <c r="V4849" s="23" t="str">
        <f aca="false">IF(ISNUMBER(C4849),YEAR(C4849),"")</f>
        <v/>
      </c>
      <c r="W4849" s="23" t="str">
        <f aca="false">IF(ISNUMBER(C4849),MONTH(C4849),"")</f>
        <v/>
      </c>
      <c r="X4849" s="23" t="str">
        <f aca="false">IF(T4849="","",IF(T4849=0,"No discount",IF(T4849&lt;=0.2,"Low (1-20%)",IF(T4849&lt;=0.4,"Medium (21-40%)","High (&gt;40%)"))))</f>
        <v/>
      </c>
      <c r="Y4849" s="23" t="str">
        <f aca="false">IF(AND(ISNUMBER(C4849),ISNUMBER(D4849)),D4849-C4849,"")</f>
        <v/>
      </c>
      <c r="Z4849" s="23" t="str">
        <f aca="false">IF(B4849="","",IF(MATCH(B4849,$B$2:$B$12000,0)=ROW()-1,1,0))</f>
        <v/>
      </c>
    </row>
    <row r="4850" customFormat="false" ht="15" hidden="false" customHeight="false" outlineLevel="0" collapsed="false">
      <c r="V4850" s="23" t="str">
        <f aca="false">IF(ISNUMBER(C4850),YEAR(C4850),"")</f>
        <v/>
      </c>
      <c r="W4850" s="23" t="str">
        <f aca="false">IF(ISNUMBER(C4850),MONTH(C4850),"")</f>
        <v/>
      </c>
      <c r="X4850" s="23" t="str">
        <f aca="false">IF(T4850="","",IF(T4850=0,"No discount",IF(T4850&lt;=0.2,"Low (1-20%)",IF(T4850&lt;=0.4,"Medium (21-40%)","High (&gt;40%)"))))</f>
        <v/>
      </c>
      <c r="Y4850" s="23" t="str">
        <f aca="false">IF(AND(ISNUMBER(C4850),ISNUMBER(D4850)),D4850-C4850,"")</f>
        <v/>
      </c>
      <c r="Z4850" s="23" t="str">
        <f aca="false">IF(B4850="","",IF(MATCH(B4850,$B$2:$B$12000,0)=ROW()-1,1,0))</f>
        <v/>
      </c>
    </row>
    <row r="4851" customFormat="false" ht="15" hidden="false" customHeight="false" outlineLevel="0" collapsed="false">
      <c r="V4851" s="23" t="str">
        <f aca="false">IF(ISNUMBER(C4851),YEAR(C4851),"")</f>
        <v/>
      </c>
      <c r="W4851" s="23" t="str">
        <f aca="false">IF(ISNUMBER(C4851),MONTH(C4851),"")</f>
        <v/>
      </c>
      <c r="X4851" s="23" t="str">
        <f aca="false">IF(T4851="","",IF(T4851=0,"No discount",IF(T4851&lt;=0.2,"Low (1-20%)",IF(T4851&lt;=0.4,"Medium (21-40%)","High (&gt;40%)"))))</f>
        <v/>
      </c>
      <c r="Y4851" s="23" t="str">
        <f aca="false">IF(AND(ISNUMBER(C4851),ISNUMBER(D4851)),D4851-C4851,"")</f>
        <v/>
      </c>
      <c r="Z4851" s="23" t="str">
        <f aca="false">IF(B4851="","",IF(MATCH(B4851,$B$2:$B$12000,0)=ROW()-1,1,0))</f>
        <v/>
      </c>
    </row>
    <row r="4852" customFormat="false" ht="15" hidden="false" customHeight="false" outlineLevel="0" collapsed="false">
      <c r="V4852" s="23" t="str">
        <f aca="false">IF(ISNUMBER(C4852),YEAR(C4852),"")</f>
        <v/>
      </c>
      <c r="W4852" s="23" t="str">
        <f aca="false">IF(ISNUMBER(C4852),MONTH(C4852),"")</f>
        <v/>
      </c>
      <c r="X4852" s="23" t="str">
        <f aca="false">IF(T4852="","",IF(T4852=0,"No discount",IF(T4852&lt;=0.2,"Low (1-20%)",IF(T4852&lt;=0.4,"Medium (21-40%)","High (&gt;40%)"))))</f>
        <v/>
      </c>
      <c r="Y4852" s="23" t="str">
        <f aca="false">IF(AND(ISNUMBER(C4852),ISNUMBER(D4852)),D4852-C4852,"")</f>
        <v/>
      </c>
      <c r="Z4852" s="23" t="str">
        <f aca="false">IF(B4852="","",IF(MATCH(B4852,$B$2:$B$12000,0)=ROW()-1,1,0))</f>
        <v/>
      </c>
    </row>
    <row r="4853" customFormat="false" ht="15" hidden="false" customHeight="false" outlineLevel="0" collapsed="false">
      <c r="V4853" s="23" t="str">
        <f aca="false">IF(ISNUMBER(C4853),YEAR(C4853),"")</f>
        <v/>
      </c>
      <c r="W4853" s="23" t="str">
        <f aca="false">IF(ISNUMBER(C4853),MONTH(C4853),"")</f>
        <v/>
      </c>
      <c r="X4853" s="23" t="str">
        <f aca="false">IF(T4853="","",IF(T4853=0,"No discount",IF(T4853&lt;=0.2,"Low (1-20%)",IF(T4853&lt;=0.4,"Medium (21-40%)","High (&gt;40%)"))))</f>
        <v/>
      </c>
      <c r="Y4853" s="23" t="str">
        <f aca="false">IF(AND(ISNUMBER(C4853),ISNUMBER(D4853)),D4853-C4853,"")</f>
        <v/>
      </c>
      <c r="Z4853" s="23" t="str">
        <f aca="false">IF(B4853="","",IF(MATCH(B4853,$B$2:$B$12000,0)=ROW()-1,1,0))</f>
        <v/>
      </c>
    </row>
    <row r="4854" customFormat="false" ht="15" hidden="false" customHeight="false" outlineLevel="0" collapsed="false">
      <c r="V4854" s="23" t="str">
        <f aca="false">IF(ISNUMBER(C4854),YEAR(C4854),"")</f>
        <v/>
      </c>
      <c r="W4854" s="23" t="str">
        <f aca="false">IF(ISNUMBER(C4854),MONTH(C4854),"")</f>
        <v/>
      </c>
      <c r="X4854" s="23" t="str">
        <f aca="false">IF(T4854="","",IF(T4854=0,"No discount",IF(T4854&lt;=0.2,"Low (1-20%)",IF(T4854&lt;=0.4,"Medium (21-40%)","High (&gt;40%)"))))</f>
        <v/>
      </c>
      <c r="Y4854" s="23" t="str">
        <f aca="false">IF(AND(ISNUMBER(C4854),ISNUMBER(D4854)),D4854-C4854,"")</f>
        <v/>
      </c>
      <c r="Z4854" s="23" t="str">
        <f aca="false">IF(B4854="","",IF(MATCH(B4854,$B$2:$B$12000,0)=ROW()-1,1,0))</f>
        <v/>
      </c>
    </row>
    <row r="4855" customFormat="false" ht="15" hidden="false" customHeight="false" outlineLevel="0" collapsed="false">
      <c r="V4855" s="23" t="str">
        <f aca="false">IF(ISNUMBER(C4855),YEAR(C4855),"")</f>
        <v/>
      </c>
      <c r="W4855" s="23" t="str">
        <f aca="false">IF(ISNUMBER(C4855),MONTH(C4855),"")</f>
        <v/>
      </c>
      <c r="X4855" s="23" t="str">
        <f aca="false">IF(T4855="","",IF(T4855=0,"No discount",IF(T4855&lt;=0.2,"Low (1-20%)",IF(T4855&lt;=0.4,"Medium (21-40%)","High (&gt;40%)"))))</f>
        <v/>
      </c>
      <c r="Y4855" s="23" t="str">
        <f aca="false">IF(AND(ISNUMBER(C4855),ISNUMBER(D4855)),D4855-C4855,"")</f>
        <v/>
      </c>
      <c r="Z4855" s="23" t="str">
        <f aca="false">IF(B4855="","",IF(MATCH(B4855,$B$2:$B$12000,0)=ROW()-1,1,0))</f>
        <v/>
      </c>
    </row>
    <row r="4856" customFormat="false" ht="15" hidden="false" customHeight="false" outlineLevel="0" collapsed="false">
      <c r="V4856" s="23" t="str">
        <f aca="false">IF(ISNUMBER(C4856),YEAR(C4856),"")</f>
        <v/>
      </c>
      <c r="W4856" s="23" t="str">
        <f aca="false">IF(ISNUMBER(C4856),MONTH(C4856),"")</f>
        <v/>
      </c>
      <c r="X4856" s="23" t="str">
        <f aca="false">IF(T4856="","",IF(T4856=0,"No discount",IF(T4856&lt;=0.2,"Low (1-20%)",IF(T4856&lt;=0.4,"Medium (21-40%)","High (&gt;40%)"))))</f>
        <v/>
      </c>
      <c r="Y4856" s="23" t="str">
        <f aca="false">IF(AND(ISNUMBER(C4856),ISNUMBER(D4856)),D4856-C4856,"")</f>
        <v/>
      </c>
      <c r="Z4856" s="23" t="str">
        <f aca="false">IF(B4856="","",IF(MATCH(B4856,$B$2:$B$12000,0)=ROW()-1,1,0))</f>
        <v/>
      </c>
    </row>
    <row r="4857" customFormat="false" ht="15" hidden="false" customHeight="false" outlineLevel="0" collapsed="false">
      <c r="V4857" s="23" t="str">
        <f aca="false">IF(ISNUMBER(C4857),YEAR(C4857),"")</f>
        <v/>
      </c>
      <c r="W4857" s="23" t="str">
        <f aca="false">IF(ISNUMBER(C4857),MONTH(C4857),"")</f>
        <v/>
      </c>
      <c r="X4857" s="23" t="str">
        <f aca="false">IF(T4857="","",IF(T4857=0,"No discount",IF(T4857&lt;=0.2,"Low (1-20%)",IF(T4857&lt;=0.4,"Medium (21-40%)","High (&gt;40%)"))))</f>
        <v/>
      </c>
      <c r="Y4857" s="23" t="str">
        <f aca="false">IF(AND(ISNUMBER(C4857),ISNUMBER(D4857)),D4857-C4857,"")</f>
        <v/>
      </c>
      <c r="Z4857" s="23" t="str">
        <f aca="false">IF(B4857="","",IF(MATCH(B4857,$B$2:$B$12000,0)=ROW()-1,1,0))</f>
        <v/>
      </c>
    </row>
    <row r="4858" customFormat="false" ht="15" hidden="false" customHeight="false" outlineLevel="0" collapsed="false">
      <c r="V4858" s="23" t="str">
        <f aca="false">IF(ISNUMBER(C4858),YEAR(C4858),"")</f>
        <v/>
      </c>
      <c r="W4858" s="23" t="str">
        <f aca="false">IF(ISNUMBER(C4858),MONTH(C4858),"")</f>
        <v/>
      </c>
      <c r="X4858" s="23" t="str">
        <f aca="false">IF(T4858="","",IF(T4858=0,"No discount",IF(T4858&lt;=0.2,"Low (1-20%)",IF(T4858&lt;=0.4,"Medium (21-40%)","High (&gt;40%)"))))</f>
        <v/>
      </c>
      <c r="Y4858" s="23" t="str">
        <f aca="false">IF(AND(ISNUMBER(C4858),ISNUMBER(D4858)),D4858-C4858,"")</f>
        <v/>
      </c>
      <c r="Z4858" s="23" t="str">
        <f aca="false">IF(B4858="","",IF(MATCH(B4858,$B$2:$B$12000,0)=ROW()-1,1,0))</f>
        <v/>
      </c>
    </row>
    <row r="4859" customFormat="false" ht="15" hidden="false" customHeight="false" outlineLevel="0" collapsed="false">
      <c r="V4859" s="23" t="str">
        <f aca="false">IF(ISNUMBER(C4859),YEAR(C4859),"")</f>
        <v/>
      </c>
      <c r="W4859" s="23" t="str">
        <f aca="false">IF(ISNUMBER(C4859),MONTH(C4859),"")</f>
        <v/>
      </c>
      <c r="X4859" s="23" t="str">
        <f aca="false">IF(T4859="","",IF(T4859=0,"No discount",IF(T4859&lt;=0.2,"Low (1-20%)",IF(T4859&lt;=0.4,"Medium (21-40%)","High (&gt;40%)"))))</f>
        <v/>
      </c>
      <c r="Y4859" s="23" t="str">
        <f aca="false">IF(AND(ISNUMBER(C4859),ISNUMBER(D4859)),D4859-C4859,"")</f>
        <v/>
      </c>
      <c r="Z4859" s="23" t="str">
        <f aca="false">IF(B4859="","",IF(MATCH(B4859,$B$2:$B$12000,0)=ROW()-1,1,0))</f>
        <v/>
      </c>
    </row>
    <row r="4860" customFormat="false" ht="15" hidden="false" customHeight="false" outlineLevel="0" collapsed="false">
      <c r="V4860" s="23" t="str">
        <f aca="false">IF(ISNUMBER(C4860),YEAR(C4860),"")</f>
        <v/>
      </c>
      <c r="W4860" s="23" t="str">
        <f aca="false">IF(ISNUMBER(C4860),MONTH(C4860),"")</f>
        <v/>
      </c>
      <c r="X4860" s="23" t="str">
        <f aca="false">IF(T4860="","",IF(T4860=0,"No discount",IF(T4860&lt;=0.2,"Low (1-20%)",IF(T4860&lt;=0.4,"Medium (21-40%)","High (&gt;40%)"))))</f>
        <v/>
      </c>
      <c r="Y4860" s="23" t="str">
        <f aca="false">IF(AND(ISNUMBER(C4860),ISNUMBER(D4860)),D4860-C4860,"")</f>
        <v/>
      </c>
      <c r="Z4860" s="23" t="str">
        <f aca="false">IF(B4860="","",IF(MATCH(B4860,$B$2:$B$12000,0)=ROW()-1,1,0))</f>
        <v/>
      </c>
    </row>
    <row r="4861" customFormat="false" ht="15" hidden="false" customHeight="false" outlineLevel="0" collapsed="false">
      <c r="V4861" s="23" t="str">
        <f aca="false">IF(ISNUMBER(C4861),YEAR(C4861),"")</f>
        <v/>
      </c>
      <c r="W4861" s="23" t="str">
        <f aca="false">IF(ISNUMBER(C4861),MONTH(C4861),"")</f>
        <v/>
      </c>
      <c r="X4861" s="23" t="str">
        <f aca="false">IF(T4861="","",IF(T4861=0,"No discount",IF(T4861&lt;=0.2,"Low (1-20%)",IF(T4861&lt;=0.4,"Medium (21-40%)","High (&gt;40%)"))))</f>
        <v/>
      </c>
      <c r="Y4861" s="23" t="str">
        <f aca="false">IF(AND(ISNUMBER(C4861),ISNUMBER(D4861)),D4861-C4861,"")</f>
        <v/>
      </c>
      <c r="Z4861" s="23" t="str">
        <f aca="false">IF(B4861="","",IF(MATCH(B4861,$B$2:$B$12000,0)=ROW()-1,1,0))</f>
        <v/>
      </c>
    </row>
    <row r="4862" customFormat="false" ht="15" hidden="false" customHeight="false" outlineLevel="0" collapsed="false">
      <c r="V4862" s="23" t="str">
        <f aca="false">IF(ISNUMBER(C4862),YEAR(C4862),"")</f>
        <v/>
      </c>
      <c r="W4862" s="23" t="str">
        <f aca="false">IF(ISNUMBER(C4862),MONTH(C4862),"")</f>
        <v/>
      </c>
      <c r="X4862" s="23" t="str">
        <f aca="false">IF(T4862="","",IF(T4862=0,"No discount",IF(T4862&lt;=0.2,"Low (1-20%)",IF(T4862&lt;=0.4,"Medium (21-40%)","High (&gt;40%)"))))</f>
        <v/>
      </c>
      <c r="Y4862" s="23" t="str">
        <f aca="false">IF(AND(ISNUMBER(C4862),ISNUMBER(D4862)),D4862-C4862,"")</f>
        <v/>
      </c>
      <c r="Z4862" s="23" t="str">
        <f aca="false">IF(B4862="","",IF(MATCH(B4862,$B$2:$B$12000,0)=ROW()-1,1,0))</f>
        <v/>
      </c>
    </row>
    <row r="4863" customFormat="false" ht="15" hidden="false" customHeight="false" outlineLevel="0" collapsed="false">
      <c r="V4863" s="23" t="str">
        <f aca="false">IF(ISNUMBER(C4863),YEAR(C4863),"")</f>
        <v/>
      </c>
      <c r="W4863" s="23" t="str">
        <f aca="false">IF(ISNUMBER(C4863),MONTH(C4863),"")</f>
        <v/>
      </c>
      <c r="X4863" s="23" t="str">
        <f aca="false">IF(T4863="","",IF(T4863=0,"No discount",IF(T4863&lt;=0.2,"Low (1-20%)",IF(T4863&lt;=0.4,"Medium (21-40%)","High (&gt;40%)"))))</f>
        <v/>
      </c>
      <c r="Y4863" s="23" t="str">
        <f aca="false">IF(AND(ISNUMBER(C4863),ISNUMBER(D4863)),D4863-C4863,"")</f>
        <v/>
      </c>
      <c r="Z4863" s="23" t="str">
        <f aca="false">IF(B4863="","",IF(MATCH(B4863,$B$2:$B$12000,0)=ROW()-1,1,0))</f>
        <v/>
      </c>
    </row>
    <row r="4864" customFormat="false" ht="15" hidden="false" customHeight="false" outlineLevel="0" collapsed="false">
      <c r="V4864" s="23" t="str">
        <f aca="false">IF(ISNUMBER(C4864),YEAR(C4864),"")</f>
        <v/>
      </c>
      <c r="W4864" s="23" t="str">
        <f aca="false">IF(ISNUMBER(C4864),MONTH(C4864),"")</f>
        <v/>
      </c>
      <c r="X4864" s="23" t="str">
        <f aca="false">IF(T4864="","",IF(T4864=0,"No discount",IF(T4864&lt;=0.2,"Low (1-20%)",IF(T4864&lt;=0.4,"Medium (21-40%)","High (&gt;40%)"))))</f>
        <v/>
      </c>
      <c r="Y4864" s="23" t="str">
        <f aca="false">IF(AND(ISNUMBER(C4864),ISNUMBER(D4864)),D4864-C4864,"")</f>
        <v/>
      </c>
      <c r="Z4864" s="23" t="str">
        <f aca="false">IF(B4864="","",IF(MATCH(B4864,$B$2:$B$12000,0)=ROW()-1,1,0))</f>
        <v/>
      </c>
    </row>
    <row r="4865" customFormat="false" ht="15" hidden="false" customHeight="false" outlineLevel="0" collapsed="false">
      <c r="V4865" s="23" t="str">
        <f aca="false">IF(ISNUMBER(C4865),YEAR(C4865),"")</f>
        <v/>
      </c>
      <c r="W4865" s="23" t="str">
        <f aca="false">IF(ISNUMBER(C4865),MONTH(C4865),"")</f>
        <v/>
      </c>
      <c r="X4865" s="23" t="str">
        <f aca="false">IF(T4865="","",IF(T4865=0,"No discount",IF(T4865&lt;=0.2,"Low (1-20%)",IF(T4865&lt;=0.4,"Medium (21-40%)","High (&gt;40%)"))))</f>
        <v/>
      </c>
      <c r="Y4865" s="23" t="str">
        <f aca="false">IF(AND(ISNUMBER(C4865),ISNUMBER(D4865)),D4865-C4865,"")</f>
        <v/>
      </c>
      <c r="Z4865" s="23" t="str">
        <f aca="false">IF(B4865="","",IF(MATCH(B4865,$B$2:$B$12000,0)=ROW()-1,1,0))</f>
        <v/>
      </c>
    </row>
    <row r="4866" customFormat="false" ht="15" hidden="false" customHeight="false" outlineLevel="0" collapsed="false">
      <c r="V4866" s="23" t="str">
        <f aca="false">IF(ISNUMBER(C4866),YEAR(C4866),"")</f>
        <v/>
      </c>
      <c r="W4866" s="23" t="str">
        <f aca="false">IF(ISNUMBER(C4866),MONTH(C4866),"")</f>
        <v/>
      </c>
      <c r="X4866" s="23" t="str">
        <f aca="false">IF(T4866="","",IF(T4866=0,"No discount",IF(T4866&lt;=0.2,"Low (1-20%)",IF(T4866&lt;=0.4,"Medium (21-40%)","High (&gt;40%)"))))</f>
        <v/>
      </c>
      <c r="Y4866" s="23" t="str">
        <f aca="false">IF(AND(ISNUMBER(C4866),ISNUMBER(D4866)),D4866-C4866,"")</f>
        <v/>
      </c>
      <c r="Z4866" s="23" t="str">
        <f aca="false">IF(B4866="","",IF(MATCH(B4866,$B$2:$B$12000,0)=ROW()-1,1,0))</f>
        <v/>
      </c>
    </row>
    <row r="4867" customFormat="false" ht="15" hidden="false" customHeight="false" outlineLevel="0" collapsed="false">
      <c r="V4867" s="23" t="str">
        <f aca="false">IF(ISNUMBER(C4867),YEAR(C4867),"")</f>
        <v/>
      </c>
      <c r="W4867" s="23" t="str">
        <f aca="false">IF(ISNUMBER(C4867),MONTH(C4867),"")</f>
        <v/>
      </c>
      <c r="X4867" s="23" t="str">
        <f aca="false">IF(T4867="","",IF(T4867=0,"No discount",IF(T4867&lt;=0.2,"Low (1-20%)",IF(T4867&lt;=0.4,"Medium (21-40%)","High (&gt;40%)"))))</f>
        <v/>
      </c>
      <c r="Y4867" s="23" t="str">
        <f aca="false">IF(AND(ISNUMBER(C4867),ISNUMBER(D4867)),D4867-C4867,"")</f>
        <v/>
      </c>
      <c r="Z4867" s="23" t="str">
        <f aca="false">IF(B4867="","",IF(MATCH(B4867,$B$2:$B$12000,0)=ROW()-1,1,0))</f>
        <v/>
      </c>
    </row>
    <row r="4868" customFormat="false" ht="15" hidden="false" customHeight="false" outlineLevel="0" collapsed="false">
      <c r="V4868" s="23" t="str">
        <f aca="false">IF(ISNUMBER(C4868),YEAR(C4868),"")</f>
        <v/>
      </c>
      <c r="W4868" s="23" t="str">
        <f aca="false">IF(ISNUMBER(C4868),MONTH(C4868),"")</f>
        <v/>
      </c>
      <c r="X4868" s="23" t="str">
        <f aca="false">IF(T4868="","",IF(T4868=0,"No discount",IF(T4868&lt;=0.2,"Low (1-20%)",IF(T4868&lt;=0.4,"Medium (21-40%)","High (&gt;40%)"))))</f>
        <v/>
      </c>
      <c r="Y4868" s="23" t="str">
        <f aca="false">IF(AND(ISNUMBER(C4868),ISNUMBER(D4868)),D4868-C4868,"")</f>
        <v/>
      </c>
      <c r="Z4868" s="23" t="str">
        <f aca="false">IF(B4868="","",IF(MATCH(B4868,$B$2:$B$12000,0)=ROW()-1,1,0))</f>
        <v/>
      </c>
    </row>
    <row r="4869" customFormat="false" ht="15" hidden="false" customHeight="false" outlineLevel="0" collapsed="false">
      <c r="V4869" s="23" t="str">
        <f aca="false">IF(ISNUMBER(C4869),YEAR(C4869),"")</f>
        <v/>
      </c>
      <c r="W4869" s="23" t="str">
        <f aca="false">IF(ISNUMBER(C4869),MONTH(C4869),"")</f>
        <v/>
      </c>
      <c r="X4869" s="23" t="str">
        <f aca="false">IF(T4869="","",IF(T4869=0,"No discount",IF(T4869&lt;=0.2,"Low (1-20%)",IF(T4869&lt;=0.4,"Medium (21-40%)","High (&gt;40%)"))))</f>
        <v/>
      </c>
      <c r="Y4869" s="23" t="str">
        <f aca="false">IF(AND(ISNUMBER(C4869),ISNUMBER(D4869)),D4869-C4869,"")</f>
        <v/>
      </c>
      <c r="Z4869" s="23" t="str">
        <f aca="false">IF(B4869="","",IF(MATCH(B4869,$B$2:$B$12000,0)=ROW()-1,1,0))</f>
        <v/>
      </c>
    </row>
    <row r="4870" customFormat="false" ht="15" hidden="false" customHeight="false" outlineLevel="0" collapsed="false">
      <c r="V4870" s="23" t="str">
        <f aca="false">IF(ISNUMBER(C4870),YEAR(C4870),"")</f>
        <v/>
      </c>
      <c r="W4870" s="23" t="str">
        <f aca="false">IF(ISNUMBER(C4870),MONTH(C4870),"")</f>
        <v/>
      </c>
      <c r="X4870" s="23" t="str">
        <f aca="false">IF(T4870="","",IF(T4870=0,"No discount",IF(T4870&lt;=0.2,"Low (1-20%)",IF(T4870&lt;=0.4,"Medium (21-40%)","High (&gt;40%)"))))</f>
        <v/>
      </c>
      <c r="Y4870" s="23" t="str">
        <f aca="false">IF(AND(ISNUMBER(C4870),ISNUMBER(D4870)),D4870-C4870,"")</f>
        <v/>
      </c>
      <c r="Z4870" s="23" t="str">
        <f aca="false">IF(B4870="","",IF(MATCH(B4870,$B$2:$B$12000,0)=ROW()-1,1,0))</f>
        <v/>
      </c>
    </row>
    <row r="4871" customFormat="false" ht="15" hidden="false" customHeight="false" outlineLevel="0" collapsed="false">
      <c r="V4871" s="23" t="str">
        <f aca="false">IF(ISNUMBER(C4871),YEAR(C4871),"")</f>
        <v/>
      </c>
      <c r="W4871" s="23" t="str">
        <f aca="false">IF(ISNUMBER(C4871),MONTH(C4871),"")</f>
        <v/>
      </c>
      <c r="X4871" s="23" t="str">
        <f aca="false">IF(T4871="","",IF(T4871=0,"No discount",IF(T4871&lt;=0.2,"Low (1-20%)",IF(T4871&lt;=0.4,"Medium (21-40%)","High (&gt;40%)"))))</f>
        <v/>
      </c>
      <c r="Y4871" s="23" t="str">
        <f aca="false">IF(AND(ISNUMBER(C4871),ISNUMBER(D4871)),D4871-C4871,"")</f>
        <v/>
      </c>
      <c r="Z4871" s="23" t="str">
        <f aca="false">IF(B4871="","",IF(MATCH(B4871,$B$2:$B$12000,0)=ROW()-1,1,0))</f>
        <v/>
      </c>
    </row>
    <row r="4872" customFormat="false" ht="15" hidden="false" customHeight="false" outlineLevel="0" collapsed="false">
      <c r="V4872" s="23" t="str">
        <f aca="false">IF(ISNUMBER(C4872),YEAR(C4872),"")</f>
        <v/>
      </c>
      <c r="W4872" s="23" t="str">
        <f aca="false">IF(ISNUMBER(C4872),MONTH(C4872),"")</f>
        <v/>
      </c>
      <c r="X4872" s="23" t="str">
        <f aca="false">IF(T4872="","",IF(T4872=0,"No discount",IF(T4872&lt;=0.2,"Low (1-20%)",IF(T4872&lt;=0.4,"Medium (21-40%)","High (&gt;40%)"))))</f>
        <v/>
      </c>
      <c r="Y4872" s="23" t="str">
        <f aca="false">IF(AND(ISNUMBER(C4872),ISNUMBER(D4872)),D4872-C4872,"")</f>
        <v/>
      </c>
      <c r="Z4872" s="23" t="str">
        <f aca="false">IF(B4872="","",IF(MATCH(B4872,$B$2:$B$12000,0)=ROW()-1,1,0))</f>
        <v/>
      </c>
    </row>
    <row r="4873" customFormat="false" ht="15" hidden="false" customHeight="false" outlineLevel="0" collapsed="false">
      <c r="V4873" s="23" t="str">
        <f aca="false">IF(ISNUMBER(C4873),YEAR(C4873),"")</f>
        <v/>
      </c>
      <c r="W4873" s="23" t="str">
        <f aca="false">IF(ISNUMBER(C4873),MONTH(C4873),"")</f>
        <v/>
      </c>
      <c r="X4873" s="23" t="str">
        <f aca="false">IF(T4873="","",IF(T4873=0,"No discount",IF(T4873&lt;=0.2,"Low (1-20%)",IF(T4873&lt;=0.4,"Medium (21-40%)","High (&gt;40%)"))))</f>
        <v/>
      </c>
      <c r="Y4873" s="23" t="str">
        <f aca="false">IF(AND(ISNUMBER(C4873),ISNUMBER(D4873)),D4873-C4873,"")</f>
        <v/>
      </c>
      <c r="Z4873" s="23" t="str">
        <f aca="false">IF(B4873="","",IF(MATCH(B4873,$B$2:$B$12000,0)=ROW()-1,1,0))</f>
        <v/>
      </c>
    </row>
    <row r="4874" customFormat="false" ht="15" hidden="false" customHeight="false" outlineLevel="0" collapsed="false">
      <c r="V4874" s="23" t="str">
        <f aca="false">IF(ISNUMBER(C4874),YEAR(C4874),"")</f>
        <v/>
      </c>
      <c r="W4874" s="23" t="str">
        <f aca="false">IF(ISNUMBER(C4874),MONTH(C4874),"")</f>
        <v/>
      </c>
      <c r="X4874" s="23" t="str">
        <f aca="false">IF(T4874="","",IF(T4874=0,"No discount",IF(T4874&lt;=0.2,"Low (1-20%)",IF(T4874&lt;=0.4,"Medium (21-40%)","High (&gt;40%)"))))</f>
        <v/>
      </c>
      <c r="Y4874" s="23" t="str">
        <f aca="false">IF(AND(ISNUMBER(C4874),ISNUMBER(D4874)),D4874-C4874,"")</f>
        <v/>
      </c>
      <c r="Z4874" s="23" t="str">
        <f aca="false">IF(B4874="","",IF(MATCH(B4874,$B$2:$B$12000,0)=ROW()-1,1,0))</f>
        <v/>
      </c>
    </row>
    <row r="4875" customFormat="false" ht="15" hidden="false" customHeight="false" outlineLevel="0" collapsed="false">
      <c r="V4875" s="23" t="str">
        <f aca="false">IF(ISNUMBER(C4875),YEAR(C4875),"")</f>
        <v/>
      </c>
      <c r="W4875" s="23" t="str">
        <f aca="false">IF(ISNUMBER(C4875),MONTH(C4875),"")</f>
        <v/>
      </c>
      <c r="X4875" s="23" t="str">
        <f aca="false">IF(T4875="","",IF(T4875=0,"No discount",IF(T4875&lt;=0.2,"Low (1-20%)",IF(T4875&lt;=0.4,"Medium (21-40%)","High (&gt;40%)"))))</f>
        <v/>
      </c>
      <c r="Y4875" s="23" t="str">
        <f aca="false">IF(AND(ISNUMBER(C4875),ISNUMBER(D4875)),D4875-C4875,"")</f>
        <v/>
      </c>
      <c r="Z4875" s="23" t="str">
        <f aca="false">IF(B4875="","",IF(MATCH(B4875,$B$2:$B$12000,0)=ROW()-1,1,0))</f>
        <v/>
      </c>
    </row>
    <row r="4876" customFormat="false" ht="15" hidden="false" customHeight="false" outlineLevel="0" collapsed="false">
      <c r="V4876" s="23" t="str">
        <f aca="false">IF(ISNUMBER(C4876),YEAR(C4876),"")</f>
        <v/>
      </c>
      <c r="W4876" s="23" t="str">
        <f aca="false">IF(ISNUMBER(C4876),MONTH(C4876),"")</f>
        <v/>
      </c>
      <c r="X4876" s="23" t="str">
        <f aca="false">IF(T4876="","",IF(T4876=0,"No discount",IF(T4876&lt;=0.2,"Low (1-20%)",IF(T4876&lt;=0.4,"Medium (21-40%)","High (&gt;40%)"))))</f>
        <v/>
      </c>
      <c r="Y4876" s="23" t="str">
        <f aca="false">IF(AND(ISNUMBER(C4876),ISNUMBER(D4876)),D4876-C4876,"")</f>
        <v/>
      </c>
      <c r="Z4876" s="23" t="str">
        <f aca="false">IF(B4876="","",IF(MATCH(B4876,$B$2:$B$12000,0)=ROW()-1,1,0))</f>
        <v/>
      </c>
    </row>
    <row r="4877" customFormat="false" ht="15" hidden="false" customHeight="false" outlineLevel="0" collapsed="false">
      <c r="V4877" s="23" t="str">
        <f aca="false">IF(ISNUMBER(C4877),YEAR(C4877),"")</f>
        <v/>
      </c>
      <c r="W4877" s="23" t="str">
        <f aca="false">IF(ISNUMBER(C4877),MONTH(C4877),"")</f>
        <v/>
      </c>
      <c r="X4877" s="23" t="str">
        <f aca="false">IF(T4877="","",IF(T4877=0,"No discount",IF(T4877&lt;=0.2,"Low (1-20%)",IF(T4877&lt;=0.4,"Medium (21-40%)","High (&gt;40%)"))))</f>
        <v/>
      </c>
      <c r="Y4877" s="23" t="str">
        <f aca="false">IF(AND(ISNUMBER(C4877),ISNUMBER(D4877)),D4877-C4877,"")</f>
        <v/>
      </c>
      <c r="Z4877" s="23" t="str">
        <f aca="false">IF(B4877="","",IF(MATCH(B4877,$B$2:$B$12000,0)=ROW()-1,1,0))</f>
        <v/>
      </c>
    </row>
    <row r="4878" customFormat="false" ht="15" hidden="false" customHeight="false" outlineLevel="0" collapsed="false">
      <c r="V4878" s="23" t="str">
        <f aca="false">IF(ISNUMBER(C4878),YEAR(C4878),"")</f>
        <v/>
      </c>
      <c r="W4878" s="23" t="str">
        <f aca="false">IF(ISNUMBER(C4878),MONTH(C4878),"")</f>
        <v/>
      </c>
      <c r="X4878" s="23" t="str">
        <f aca="false">IF(T4878="","",IF(T4878=0,"No discount",IF(T4878&lt;=0.2,"Low (1-20%)",IF(T4878&lt;=0.4,"Medium (21-40%)","High (&gt;40%)"))))</f>
        <v/>
      </c>
      <c r="Y4878" s="23" t="str">
        <f aca="false">IF(AND(ISNUMBER(C4878),ISNUMBER(D4878)),D4878-C4878,"")</f>
        <v/>
      </c>
      <c r="Z4878" s="23" t="str">
        <f aca="false">IF(B4878="","",IF(MATCH(B4878,$B$2:$B$12000,0)=ROW()-1,1,0))</f>
        <v/>
      </c>
    </row>
    <row r="4879" customFormat="false" ht="15" hidden="false" customHeight="false" outlineLevel="0" collapsed="false">
      <c r="V4879" s="23" t="str">
        <f aca="false">IF(ISNUMBER(C4879),YEAR(C4879),"")</f>
        <v/>
      </c>
      <c r="W4879" s="23" t="str">
        <f aca="false">IF(ISNUMBER(C4879),MONTH(C4879),"")</f>
        <v/>
      </c>
      <c r="X4879" s="23" t="str">
        <f aca="false">IF(T4879="","",IF(T4879=0,"No discount",IF(T4879&lt;=0.2,"Low (1-20%)",IF(T4879&lt;=0.4,"Medium (21-40%)","High (&gt;40%)"))))</f>
        <v/>
      </c>
      <c r="Y4879" s="23" t="str">
        <f aca="false">IF(AND(ISNUMBER(C4879),ISNUMBER(D4879)),D4879-C4879,"")</f>
        <v/>
      </c>
      <c r="Z4879" s="23" t="str">
        <f aca="false">IF(B4879="","",IF(MATCH(B4879,$B$2:$B$12000,0)=ROW()-1,1,0))</f>
        <v/>
      </c>
    </row>
    <row r="4880" customFormat="false" ht="15" hidden="false" customHeight="false" outlineLevel="0" collapsed="false">
      <c r="V4880" s="23" t="str">
        <f aca="false">IF(ISNUMBER(C4880),YEAR(C4880),"")</f>
        <v/>
      </c>
      <c r="W4880" s="23" t="str">
        <f aca="false">IF(ISNUMBER(C4880),MONTH(C4880),"")</f>
        <v/>
      </c>
      <c r="X4880" s="23" t="str">
        <f aca="false">IF(T4880="","",IF(T4880=0,"No discount",IF(T4880&lt;=0.2,"Low (1-20%)",IF(T4880&lt;=0.4,"Medium (21-40%)","High (&gt;40%)"))))</f>
        <v/>
      </c>
      <c r="Y4880" s="23" t="str">
        <f aca="false">IF(AND(ISNUMBER(C4880),ISNUMBER(D4880)),D4880-C4880,"")</f>
        <v/>
      </c>
      <c r="Z4880" s="23" t="str">
        <f aca="false">IF(B4880="","",IF(MATCH(B4880,$B$2:$B$12000,0)=ROW()-1,1,0))</f>
        <v/>
      </c>
    </row>
    <row r="4881" customFormat="false" ht="15" hidden="false" customHeight="false" outlineLevel="0" collapsed="false">
      <c r="V4881" s="23" t="str">
        <f aca="false">IF(ISNUMBER(C4881),YEAR(C4881),"")</f>
        <v/>
      </c>
      <c r="W4881" s="23" t="str">
        <f aca="false">IF(ISNUMBER(C4881),MONTH(C4881),"")</f>
        <v/>
      </c>
      <c r="X4881" s="23" t="str">
        <f aca="false">IF(T4881="","",IF(T4881=0,"No discount",IF(T4881&lt;=0.2,"Low (1-20%)",IF(T4881&lt;=0.4,"Medium (21-40%)","High (&gt;40%)"))))</f>
        <v/>
      </c>
      <c r="Y4881" s="23" t="str">
        <f aca="false">IF(AND(ISNUMBER(C4881),ISNUMBER(D4881)),D4881-C4881,"")</f>
        <v/>
      </c>
      <c r="Z4881" s="23" t="str">
        <f aca="false">IF(B4881="","",IF(MATCH(B4881,$B$2:$B$12000,0)=ROW()-1,1,0))</f>
        <v/>
      </c>
    </row>
    <row r="4882" customFormat="false" ht="15" hidden="false" customHeight="false" outlineLevel="0" collapsed="false">
      <c r="V4882" s="23" t="str">
        <f aca="false">IF(ISNUMBER(C4882),YEAR(C4882),"")</f>
        <v/>
      </c>
      <c r="W4882" s="23" t="str">
        <f aca="false">IF(ISNUMBER(C4882),MONTH(C4882),"")</f>
        <v/>
      </c>
      <c r="X4882" s="23" t="str">
        <f aca="false">IF(T4882="","",IF(T4882=0,"No discount",IF(T4882&lt;=0.2,"Low (1-20%)",IF(T4882&lt;=0.4,"Medium (21-40%)","High (&gt;40%)"))))</f>
        <v/>
      </c>
      <c r="Y4882" s="23" t="str">
        <f aca="false">IF(AND(ISNUMBER(C4882),ISNUMBER(D4882)),D4882-C4882,"")</f>
        <v/>
      </c>
      <c r="Z4882" s="23" t="str">
        <f aca="false">IF(B4882="","",IF(MATCH(B4882,$B$2:$B$12000,0)=ROW()-1,1,0))</f>
        <v/>
      </c>
    </row>
    <row r="4883" customFormat="false" ht="15" hidden="false" customHeight="false" outlineLevel="0" collapsed="false">
      <c r="V4883" s="23" t="str">
        <f aca="false">IF(ISNUMBER(C4883),YEAR(C4883),"")</f>
        <v/>
      </c>
      <c r="W4883" s="23" t="str">
        <f aca="false">IF(ISNUMBER(C4883),MONTH(C4883),"")</f>
        <v/>
      </c>
      <c r="X4883" s="23" t="str">
        <f aca="false">IF(T4883="","",IF(T4883=0,"No discount",IF(T4883&lt;=0.2,"Low (1-20%)",IF(T4883&lt;=0.4,"Medium (21-40%)","High (&gt;40%)"))))</f>
        <v/>
      </c>
      <c r="Y4883" s="23" t="str">
        <f aca="false">IF(AND(ISNUMBER(C4883),ISNUMBER(D4883)),D4883-C4883,"")</f>
        <v/>
      </c>
      <c r="Z4883" s="23" t="str">
        <f aca="false">IF(B4883="","",IF(MATCH(B4883,$B$2:$B$12000,0)=ROW()-1,1,0))</f>
        <v/>
      </c>
    </row>
    <row r="4884" customFormat="false" ht="15" hidden="false" customHeight="false" outlineLevel="0" collapsed="false">
      <c r="V4884" s="23" t="str">
        <f aca="false">IF(ISNUMBER(C4884),YEAR(C4884),"")</f>
        <v/>
      </c>
      <c r="W4884" s="23" t="str">
        <f aca="false">IF(ISNUMBER(C4884),MONTH(C4884),"")</f>
        <v/>
      </c>
      <c r="X4884" s="23" t="str">
        <f aca="false">IF(T4884="","",IF(T4884=0,"No discount",IF(T4884&lt;=0.2,"Low (1-20%)",IF(T4884&lt;=0.4,"Medium (21-40%)","High (&gt;40%)"))))</f>
        <v/>
      </c>
      <c r="Y4884" s="23" t="str">
        <f aca="false">IF(AND(ISNUMBER(C4884),ISNUMBER(D4884)),D4884-C4884,"")</f>
        <v/>
      </c>
      <c r="Z4884" s="23" t="str">
        <f aca="false">IF(B4884="","",IF(MATCH(B4884,$B$2:$B$12000,0)=ROW()-1,1,0))</f>
        <v/>
      </c>
    </row>
    <row r="4885" customFormat="false" ht="15" hidden="false" customHeight="false" outlineLevel="0" collapsed="false">
      <c r="V4885" s="23" t="str">
        <f aca="false">IF(ISNUMBER(C4885),YEAR(C4885),"")</f>
        <v/>
      </c>
      <c r="W4885" s="23" t="str">
        <f aca="false">IF(ISNUMBER(C4885),MONTH(C4885),"")</f>
        <v/>
      </c>
      <c r="X4885" s="23" t="str">
        <f aca="false">IF(T4885="","",IF(T4885=0,"No discount",IF(T4885&lt;=0.2,"Low (1-20%)",IF(T4885&lt;=0.4,"Medium (21-40%)","High (&gt;40%)"))))</f>
        <v/>
      </c>
      <c r="Y4885" s="23" t="str">
        <f aca="false">IF(AND(ISNUMBER(C4885),ISNUMBER(D4885)),D4885-C4885,"")</f>
        <v/>
      </c>
      <c r="Z4885" s="23" t="str">
        <f aca="false">IF(B4885="","",IF(MATCH(B4885,$B$2:$B$12000,0)=ROW()-1,1,0))</f>
        <v/>
      </c>
    </row>
    <row r="4886" customFormat="false" ht="15" hidden="false" customHeight="false" outlineLevel="0" collapsed="false">
      <c r="V4886" s="23" t="str">
        <f aca="false">IF(ISNUMBER(C4886),YEAR(C4886),"")</f>
        <v/>
      </c>
      <c r="W4886" s="23" t="str">
        <f aca="false">IF(ISNUMBER(C4886),MONTH(C4886),"")</f>
        <v/>
      </c>
      <c r="X4886" s="23" t="str">
        <f aca="false">IF(T4886="","",IF(T4886=0,"No discount",IF(T4886&lt;=0.2,"Low (1-20%)",IF(T4886&lt;=0.4,"Medium (21-40%)","High (&gt;40%)"))))</f>
        <v/>
      </c>
      <c r="Y4886" s="23" t="str">
        <f aca="false">IF(AND(ISNUMBER(C4886),ISNUMBER(D4886)),D4886-C4886,"")</f>
        <v/>
      </c>
      <c r="Z4886" s="23" t="str">
        <f aca="false">IF(B4886="","",IF(MATCH(B4886,$B$2:$B$12000,0)=ROW()-1,1,0))</f>
        <v/>
      </c>
    </row>
    <row r="4887" customFormat="false" ht="15" hidden="false" customHeight="false" outlineLevel="0" collapsed="false">
      <c r="V4887" s="23" t="str">
        <f aca="false">IF(ISNUMBER(C4887),YEAR(C4887),"")</f>
        <v/>
      </c>
      <c r="W4887" s="23" t="str">
        <f aca="false">IF(ISNUMBER(C4887),MONTH(C4887),"")</f>
        <v/>
      </c>
      <c r="X4887" s="23" t="str">
        <f aca="false">IF(T4887="","",IF(T4887=0,"No discount",IF(T4887&lt;=0.2,"Low (1-20%)",IF(T4887&lt;=0.4,"Medium (21-40%)","High (&gt;40%)"))))</f>
        <v/>
      </c>
      <c r="Y4887" s="23" t="str">
        <f aca="false">IF(AND(ISNUMBER(C4887),ISNUMBER(D4887)),D4887-C4887,"")</f>
        <v/>
      </c>
      <c r="Z4887" s="23" t="str">
        <f aca="false">IF(B4887="","",IF(MATCH(B4887,$B$2:$B$12000,0)=ROW()-1,1,0))</f>
        <v/>
      </c>
    </row>
    <row r="4888" customFormat="false" ht="15" hidden="false" customHeight="false" outlineLevel="0" collapsed="false">
      <c r="V4888" s="23" t="str">
        <f aca="false">IF(ISNUMBER(C4888),YEAR(C4888),"")</f>
        <v/>
      </c>
      <c r="W4888" s="23" t="str">
        <f aca="false">IF(ISNUMBER(C4888),MONTH(C4888),"")</f>
        <v/>
      </c>
      <c r="X4888" s="23" t="str">
        <f aca="false">IF(T4888="","",IF(T4888=0,"No discount",IF(T4888&lt;=0.2,"Low (1-20%)",IF(T4888&lt;=0.4,"Medium (21-40%)","High (&gt;40%)"))))</f>
        <v/>
      </c>
      <c r="Y4888" s="23" t="str">
        <f aca="false">IF(AND(ISNUMBER(C4888),ISNUMBER(D4888)),D4888-C4888,"")</f>
        <v/>
      </c>
      <c r="Z4888" s="23" t="str">
        <f aca="false">IF(B4888="","",IF(MATCH(B4888,$B$2:$B$12000,0)=ROW()-1,1,0))</f>
        <v/>
      </c>
    </row>
    <row r="4889" customFormat="false" ht="15" hidden="false" customHeight="false" outlineLevel="0" collapsed="false">
      <c r="V4889" s="23" t="str">
        <f aca="false">IF(ISNUMBER(C4889),YEAR(C4889),"")</f>
        <v/>
      </c>
      <c r="W4889" s="23" t="str">
        <f aca="false">IF(ISNUMBER(C4889),MONTH(C4889),"")</f>
        <v/>
      </c>
      <c r="X4889" s="23" t="str">
        <f aca="false">IF(T4889="","",IF(T4889=0,"No discount",IF(T4889&lt;=0.2,"Low (1-20%)",IF(T4889&lt;=0.4,"Medium (21-40%)","High (&gt;40%)"))))</f>
        <v/>
      </c>
      <c r="Y4889" s="23" t="str">
        <f aca="false">IF(AND(ISNUMBER(C4889),ISNUMBER(D4889)),D4889-C4889,"")</f>
        <v/>
      </c>
      <c r="Z4889" s="23" t="str">
        <f aca="false">IF(B4889="","",IF(MATCH(B4889,$B$2:$B$12000,0)=ROW()-1,1,0))</f>
        <v/>
      </c>
    </row>
    <row r="4890" customFormat="false" ht="15" hidden="false" customHeight="false" outlineLevel="0" collapsed="false">
      <c r="V4890" s="23" t="str">
        <f aca="false">IF(ISNUMBER(C4890),YEAR(C4890),"")</f>
        <v/>
      </c>
      <c r="W4890" s="23" t="str">
        <f aca="false">IF(ISNUMBER(C4890),MONTH(C4890),"")</f>
        <v/>
      </c>
      <c r="X4890" s="23" t="str">
        <f aca="false">IF(T4890="","",IF(T4890=0,"No discount",IF(T4890&lt;=0.2,"Low (1-20%)",IF(T4890&lt;=0.4,"Medium (21-40%)","High (&gt;40%)"))))</f>
        <v/>
      </c>
      <c r="Y4890" s="23" t="str">
        <f aca="false">IF(AND(ISNUMBER(C4890),ISNUMBER(D4890)),D4890-C4890,"")</f>
        <v/>
      </c>
      <c r="Z4890" s="23" t="str">
        <f aca="false">IF(B4890="","",IF(MATCH(B4890,$B$2:$B$12000,0)=ROW()-1,1,0))</f>
        <v/>
      </c>
    </row>
    <row r="4891" customFormat="false" ht="15" hidden="false" customHeight="false" outlineLevel="0" collapsed="false">
      <c r="V4891" s="23" t="str">
        <f aca="false">IF(ISNUMBER(C4891),YEAR(C4891),"")</f>
        <v/>
      </c>
      <c r="W4891" s="23" t="str">
        <f aca="false">IF(ISNUMBER(C4891),MONTH(C4891),"")</f>
        <v/>
      </c>
      <c r="X4891" s="23" t="str">
        <f aca="false">IF(T4891="","",IF(T4891=0,"No discount",IF(T4891&lt;=0.2,"Low (1-20%)",IF(T4891&lt;=0.4,"Medium (21-40%)","High (&gt;40%)"))))</f>
        <v/>
      </c>
      <c r="Y4891" s="23" t="str">
        <f aca="false">IF(AND(ISNUMBER(C4891),ISNUMBER(D4891)),D4891-C4891,"")</f>
        <v/>
      </c>
      <c r="Z4891" s="23" t="str">
        <f aca="false">IF(B4891="","",IF(MATCH(B4891,$B$2:$B$12000,0)=ROW()-1,1,0))</f>
        <v/>
      </c>
    </row>
    <row r="4892" customFormat="false" ht="15" hidden="false" customHeight="false" outlineLevel="0" collapsed="false">
      <c r="V4892" s="23" t="str">
        <f aca="false">IF(ISNUMBER(C4892),YEAR(C4892),"")</f>
        <v/>
      </c>
      <c r="W4892" s="23" t="str">
        <f aca="false">IF(ISNUMBER(C4892),MONTH(C4892),"")</f>
        <v/>
      </c>
      <c r="X4892" s="23" t="str">
        <f aca="false">IF(T4892="","",IF(T4892=0,"No discount",IF(T4892&lt;=0.2,"Low (1-20%)",IF(T4892&lt;=0.4,"Medium (21-40%)","High (&gt;40%)"))))</f>
        <v/>
      </c>
      <c r="Y4892" s="23" t="str">
        <f aca="false">IF(AND(ISNUMBER(C4892),ISNUMBER(D4892)),D4892-C4892,"")</f>
        <v/>
      </c>
      <c r="Z4892" s="23" t="str">
        <f aca="false">IF(B4892="","",IF(MATCH(B4892,$B$2:$B$12000,0)=ROW()-1,1,0))</f>
        <v/>
      </c>
    </row>
    <row r="4893" customFormat="false" ht="15" hidden="false" customHeight="false" outlineLevel="0" collapsed="false">
      <c r="V4893" s="23" t="str">
        <f aca="false">IF(ISNUMBER(C4893),YEAR(C4893),"")</f>
        <v/>
      </c>
      <c r="W4893" s="23" t="str">
        <f aca="false">IF(ISNUMBER(C4893),MONTH(C4893),"")</f>
        <v/>
      </c>
      <c r="X4893" s="23" t="str">
        <f aca="false">IF(T4893="","",IF(T4893=0,"No discount",IF(T4893&lt;=0.2,"Low (1-20%)",IF(T4893&lt;=0.4,"Medium (21-40%)","High (&gt;40%)"))))</f>
        <v/>
      </c>
      <c r="Y4893" s="23" t="str">
        <f aca="false">IF(AND(ISNUMBER(C4893),ISNUMBER(D4893)),D4893-C4893,"")</f>
        <v/>
      </c>
      <c r="Z4893" s="23" t="str">
        <f aca="false">IF(B4893="","",IF(MATCH(B4893,$B$2:$B$12000,0)=ROW()-1,1,0))</f>
        <v/>
      </c>
    </row>
    <row r="4894" customFormat="false" ht="15" hidden="false" customHeight="false" outlineLevel="0" collapsed="false">
      <c r="V4894" s="23" t="str">
        <f aca="false">IF(ISNUMBER(C4894),YEAR(C4894),"")</f>
        <v/>
      </c>
      <c r="W4894" s="23" t="str">
        <f aca="false">IF(ISNUMBER(C4894),MONTH(C4894),"")</f>
        <v/>
      </c>
      <c r="X4894" s="23" t="str">
        <f aca="false">IF(T4894="","",IF(T4894=0,"No discount",IF(T4894&lt;=0.2,"Low (1-20%)",IF(T4894&lt;=0.4,"Medium (21-40%)","High (&gt;40%)"))))</f>
        <v/>
      </c>
      <c r="Y4894" s="23" t="str">
        <f aca="false">IF(AND(ISNUMBER(C4894),ISNUMBER(D4894)),D4894-C4894,"")</f>
        <v/>
      </c>
      <c r="Z4894" s="23" t="str">
        <f aca="false">IF(B4894="","",IF(MATCH(B4894,$B$2:$B$12000,0)=ROW()-1,1,0))</f>
        <v/>
      </c>
    </row>
    <row r="4895" customFormat="false" ht="15" hidden="false" customHeight="false" outlineLevel="0" collapsed="false">
      <c r="V4895" s="23" t="str">
        <f aca="false">IF(ISNUMBER(C4895),YEAR(C4895),"")</f>
        <v/>
      </c>
      <c r="W4895" s="23" t="str">
        <f aca="false">IF(ISNUMBER(C4895),MONTH(C4895),"")</f>
        <v/>
      </c>
      <c r="X4895" s="23" t="str">
        <f aca="false">IF(T4895="","",IF(T4895=0,"No discount",IF(T4895&lt;=0.2,"Low (1-20%)",IF(T4895&lt;=0.4,"Medium (21-40%)","High (&gt;40%)"))))</f>
        <v/>
      </c>
      <c r="Y4895" s="23" t="str">
        <f aca="false">IF(AND(ISNUMBER(C4895),ISNUMBER(D4895)),D4895-C4895,"")</f>
        <v/>
      </c>
      <c r="Z4895" s="23" t="str">
        <f aca="false">IF(B4895="","",IF(MATCH(B4895,$B$2:$B$12000,0)=ROW()-1,1,0))</f>
        <v/>
      </c>
    </row>
    <row r="4896" customFormat="false" ht="15" hidden="false" customHeight="false" outlineLevel="0" collapsed="false">
      <c r="V4896" s="23" t="str">
        <f aca="false">IF(ISNUMBER(C4896),YEAR(C4896),"")</f>
        <v/>
      </c>
      <c r="W4896" s="23" t="str">
        <f aca="false">IF(ISNUMBER(C4896),MONTH(C4896),"")</f>
        <v/>
      </c>
      <c r="X4896" s="23" t="str">
        <f aca="false">IF(T4896="","",IF(T4896=0,"No discount",IF(T4896&lt;=0.2,"Low (1-20%)",IF(T4896&lt;=0.4,"Medium (21-40%)","High (&gt;40%)"))))</f>
        <v/>
      </c>
      <c r="Y4896" s="23" t="str">
        <f aca="false">IF(AND(ISNUMBER(C4896),ISNUMBER(D4896)),D4896-C4896,"")</f>
        <v/>
      </c>
      <c r="Z4896" s="23" t="str">
        <f aca="false">IF(B4896="","",IF(MATCH(B4896,$B$2:$B$12000,0)=ROW()-1,1,0))</f>
        <v/>
      </c>
    </row>
    <row r="4897" customFormat="false" ht="15" hidden="false" customHeight="false" outlineLevel="0" collapsed="false">
      <c r="V4897" s="23" t="str">
        <f aca="false">IF(ISNUMBER(C4897),YEAR(C4897),"")</f>
        <v/>
      </c>
      <c r="W4897" s="23" t="str">
        <f aca="false">IF(ISNUMBER(C4897),MONTH(C4897),"")</f>
        <v/>
      </c>
      <c r="X4897" s="23" t="str">
        <f aca="false">IF(T4897="","",IF(T4897=0,"No discount",IF(T4897&lt;=0.2,"Low (1-20%)",IF(T4897&lt;=0.4,"Medium (21-40%)","High (&gt;40%)"))))</f>
        <v/>
      </c>
      <c r="Y4897" s="23" t="str">
        <f aca="false">IF(AND(ISNUMBER(C4897),ISNUMBER(D4897)),D4897-C4897,"")</f>
        <v/>
      </c>
      <c r="Z4897" s="23" t="str">
        <f aca="false">IF(B4897="","",IF(MATCH(B4897,$B$2:$B$12000,0)=ROW()-1,1,0))</f>
        <v/>
      </c>
    </row>
    <row r="4898" customFormat="false" ht="15" hidden="false" customHeight="false" outlineLevel="0" collapsed="false">
      <c r="V4898" s="23" t="str">
        <f aca="false">IF(ISNUMBER(C4898),YEAR(C4898),"")</f>
        <v/>
      </c>
      <c r="W4898" s="23" t="str">
        <f aca="false">IF(ISNUMBER(C4898),MONTH(C4898),"")</f>
        <v/>
      </c>
      <c r="X4898" s="23" t="str">
        <f aca="false">IF(T4898="","",IF(T4898=0,"No discount",IF(T4898&lt;=0.2,"Low (1-20%)",IF(T4898&lt;=0.4,"Medium (21-40%)","High (&gt;40%)"))))</f>
        <v/>
      </c>
      <c r="Y4898" s="23" t="str">
        <f aca="false">IF(AND(ISNUMBER(C4898),ISNUMBER(D4898)),D4898-C4898,"")</f>
        <v/>
      </c>
      <c r="Z4898" s="23" t="str">
        <f aca="false">IF(B4898="","",IF(MATCH(B4898,$B$2:$B$12000,0)=ROW()-1,1,0))</f>
        <v/>
      </c>
    </row>
    <row r="4899" customFormat="false" ht="15" hidden="false" customHeight="false" outlineLevel="0" collapsed="false">
      <c r="V4899" s="23" t="str">
        <f aca="false">IF(ISNUMBER(C4899),YEAR(C4899),"")</f>
        <v/>
      </c>
      <c r="W4899" s="23" t="str">
        <f aca="false">IF(ISNUMBER(C4899),MONTH(C4899),"")</f>
        <v/>
      </c>
      <c r="X4899" s="23" t="str">
        <f aca="false">IF(T4899="","",IF(T4899=0,"No discount",IF(T4899&lt;=0.2,"Low (1-20%)",IF(T4899&lt;=0.4,"Medium (21-40%)","High (&gt;40%)"))))</f>
        <v/>
      </c>
      <c r="Y4899" s="23" t="str">
        <f aca="false">IF(AND(ISNUMBER(C4899),ISNUMBER(D4899)),D4899-C4899,"")</f>
        <v/>
      </c>
      <c r="Z4899" s="23" t="str">
        <f aca="false">IF(B4899="","",IF(MATCH(B4899,$B$2:$B$12000,0)=ROW()-1,1,0))</f>
        <v/>
      </c>
    </row>
    <row r="4900" customFormat="false" ht="15" hidden="false" customHeight="false" outlineLevel="0" collapsed="false">
      <c r="V4900" s="23" t="str">
        <f aca="false">IF(ISNUMBER(C4900),YEAR(C4900),"")</f>
        <v/>
      </c>
      <c r="W4900" s="23" t="str">
        <f aca="false">IF(ISNUMBER(C4900),MONTH(C4900),"")</f>
        <v/>
      </c>
      <c r="X4900" s="23" t="str">
        <f aca="false">IF(T4900="","",IF(T4900=0,"No discount",IF(T4900&lt;=0.2,"Low (1-20%)",IF(T4900&lt;=0.4,"Medium (21-40%)","High (&gt;40%)"))))</f>
        <v/>
      </c>
      <c r="Y4900" s="23" t="str">
        <f aca="false">IF(AND(ISNUMBER(C4900),ISNUMBER(D4900)),D4900-C4900,"")</f>
        <v/>
      </c>
      <c r="Z4900" s="23" t="str">
        <f aca="false">IF(B4900="","",IF(MATCH(B4900,$B$2:$B$12000,0)=ROW()-1,1,0))</f>
        <v/>
      </c>
    </row>
    <row r="4901" customFormat="false" ht="15" hidden="false" customHeight="false" outlineLevel="0" collapsed="false">
      <c r="V4901" s="23" t="str">
        <f aca="false">IF(ISNUMBER(C4901),YEAR(C4901),"")</f>
        <v/>
      </c>
      <c r="W4901" s="23" t="str">
        <f aca="false">IF(ISNUMBER(C4901),MONTH(C4901),"")</f>
        <v/>
      </c>
      <c r="X4901" s="23" t="str">
        <f aca="false">IF(T4901="","",IF(T4901=0,"No discount",IF(T4901&lt;=0.2,"Low (1-20%)",IF(T4901&lt;=0.4,"Medium (21-40%)","High (&gt;40%)"))))</f>
        <v/>
      </c>
      <c r="Y4901" s="23" t="str">
        <f aca="false">IF(AND(ISNUMBER(C4901),ISNUMBER(D4901)),D4901-C4901,"")</f>
        <v/>
      </c>
      <c r="Z4901" s="23" t="str">
        <f aca="false">IF(B4901="","",IF(MATCH(B4901,$B$2:$B$12000,0)=ROW()-1,1,0))</f>
        <v/>
      </c>
    </row>
    <row r="4902" customFormat="false" ht="15" hidden="false" customHeight="false" outlineLevel="0" collapsed="false">
      <c r="V4902" s="23" t="str">
        <f aca="false">IF(ISNUMBER(C4902),YEAR(C4902),"")</f>
        <v/>
      </c>
      <c r="W4902" s="23" t="str">
        <f aca="false">IF(ISNUMBER(C4902),MONTH(C4902),"")</f>
        <v/>
      </c>
      <c r="X4902" s="23" t="str">
        <f aca="false">IF(T4902="","",IF(T4902=0,"No discount",IF(T4902&lt;=0.2,"Low (1-20%)",IF(T4902&lt;=0.4,"Medium (21-40%)","High (&gt;40%)"))))</f>
        <v/>
      </c>
      <c r="Y4902" s="23" t="str">
        <f aca="false">IF(AND(ISNUMBER(C4902),ISNUMBER(D4902)),D4902-C4902,"")</f>
        <v/>
      </c>
      <c r="Z4902" s="23" t="str">
        <f aca="false">IF(B4902="","",IF(MATCH(B4902,$B$2:$B$12000,0)=ROW()-1,1,0))</f>
        <v/>
      </c>
    </row>
    <row r="4903" customFormat="false" ht="15" hidden="false" customHeight="false" outlineLevel="0" collapsed="false">
      <c r="V4903" s="23" t="str">
        <f aca="false">IF(ISNUMBER(C4903),YEAR(C4903),"")</f>
        <v/>
      </c>
      <c r="W4903" s="23" t="str">
        <f aca="false">IF(ISNUMBER(C4903),MONTH(C4903),"")</f>
        <v/>
      </c>
      <c r="X4903" s="23" t="str">
        <f aca="false">IF(T4903="","",IF(T4903=0,"No discount",IF(T4903&lt;=0.2,"Low (1-20%)",IF(T4903&lt;=0.4,"Medium (21-40%)","High (&gt;40%)"))))</f>
        <v/>
      </c>
      <c r="Y4903" s="23" t="str">
        <f aca="false">IF(AND(ISNUMBER(C4903),ISNUMBER(D4903)),D4903-C4903,"")</f>
        <v/>
      </c>
      <c r="Z4903" s="23" t="str">
        <f aca="false">IF(B4903="","",IF(MATCH(B4903,$B$2:$B$12000,0)=ROW()-1,1,0))</f>
        <v/>
      </c>
    </row>
    <row r="4904" customFormat="false" ht="15" hidden="false" customHeight="false" outlineLevel="0" collapsed="false">
      <c r="V4904" s="23" t="str">
        <f aca="false">IF(ISNUMBER(C4904),YEAR(C4904),"")</f>
        <v/>
      </c>
      <c r="W4904" s="23" t="str">
        <f aca="false">IF(ISNUMBER(C4904),MONTH(C4904),"")</f>
        <v/>
      </c>
      <c r="X4904" s="23" t="str">
        <f aca="false">IF(T4904="","",IF(T4904=0,"No discount",IF(T4904&lt;=0.2,"Low (1-20%)",IF(T4904&lt;=0.4,"Medium (21-40%)","High (&gt;40%)"))))</f>
        <v/>
      </c>
      <c r="Y4904" s="23" t="str">
        <f aca="false">IF(AND(ISNUMBER(C4904),ISNUMBER(D4904)),D4904-C4904,"")</f>
        <v/>
      </c>
      <c r="Z4904" s="23" t="str">
        <f aca="false">IF(B4904="","",IF(MATCH(B4904,$B$2:$B$12000,0)=ROW()-1,1,0))</f>
        <v/>
      </c>
    </row>
    <row r="4905" customFormat="false" ht="15" hidden="false" customHeight="false" outlineLevel="0" collapsed="false">
      <c r="V4905" s="23" t="str">
        <f aca="false">IF(ISNUMBER(C4905),YEAR(C4905),"")</f>
        <v/>
      </c>
      <c r="W4905" s="23" t="str">
        <f aca="false">IF(ISNUMBER(C4905),MONTH(C4905),"")</f>
        <v/>
      </c>
      <c r="X4905" s="23" t="str">
        <f aca="false">IF(T4905="","",IF(T4905=0,"No discount",IF(T4905&lt;=0.2,"Low (1-20%)",IF(T4905&lt;=0.4,"Medium (21-40%)","High (&gt;40%)"))))</f>
        <v/>
      </c>
      <c r="Y4905" s="23" t="str">
        <f aca="false">IF(AND(ISNUMBER(C4905),ISNUMBER(D4905)),D4905-C4905,"")</f>
        <v/>
      </c>
      <c r="Z4905" s="23" t="str">
        <f aca="false">IF(B4905="","",IF(MATCH(B4905,$B$2:$B$12000,0)=ROW()-1,1,0))</f>
        <v/>
      </c>
    </row>
    <row r="4906" customFormat="false" ht="15" hidden="false" customHeight="false" outlineLevel="0" collapsed="false">
      <c r="V4906" s="23" t="str">
        <f aca="false">IF(ISNUMBER(C4906),YEAR(C4906),"")</f>
        <v/>
      </c>
      <c r="W4906" s="23" t="str">
        <f aca="false">IF(ISNUMBER(C4906),MONTH(C4906),"")</f>
        <v/>
      </c>
      <c r="X4906" s="23" t="str">
        <f aca="false">IF(T4906="","",IF(T4906=0,"No discount",IF(T4906&lt;=0.2,"Low (1-20%)",IF(T4906&lt;=0.4,"Medium (21-40%)","High (&gt;40%)"))))</f>
        <v/>
      </c>
      <c r="Y4906" s="23" t="str">
        <f aca="false">IF(AND(ISNUMBER(C4906),ISNUMBER(D4906)),D4906-C4906,"")</f>
        <v/>
      </c>
      <c r="Z4906" s="23" t="str">
        <f aca="false">IF(B4906="","",IF(MATCH(B4906,$B$2:$B$12000,0)=ROW()-1,1,0))</f>
        <v/>
      </c>
    </row>
    <row r="4907" customFormat="false" ht="15" hidden="false" customHeight="false" outlineLevel="0" collapsed="false">
      <c r="V4907" s="23" t="str">
        <f aca="false">IF(ISNUMBER(C4907),YEAR(C4907),"")</f>
        <v/>
      </c>
      <c r="W4907" s="23" t="str">
        <f aca="false">IF(ISNUMBER(C4907),MONTH(C4907),"")</f>
        <v/>
      </c>
      <c r="X4907" s="23" t="str">
        <f aca="false">IF(T4907="","",IF(T4907=0,"No discount",IF(T4907&lt;=0.2,"Low (1-20%)",IF(T4907&lt;=0.4,"Medium (21-40%)","High (&gt;40%)"))))</f>
        <v/>
      </c>
      <c r="Y4907" s="23" t="str">
        <f aca="false">IF(AND(ISNUMBER(C4907),ISNUMBER(D4907)),D4907-C4907,"")</f>
        <v/>
      </c>
      <c r="Z4907" s="23" t="str">
        <f aca="false">IF(B4907="","",IF(MATCH(B4907,$B$2:$B$12000,0)=ROW()-1,1,0))</f>
        <v/>
      </c>
    </row>
    <row r="4908" customFormat="false" ht="15" hidden="false" customHeight="false" outlineLevel="0" collapsed="false">
      <c r="V4908" s="23" t="str">
        <f aca="false">IF(ISNUMBER(C4908),YEAR(C4908),"")</f>
        <v/>
      </c>
      <c r="W4908" s="23" t="str">
        <f aca="false">IF(ISNUMBER(C4908),MONTH(C4908),"")</f>
        <v/>
      </c>
      <c r="X4908" s="23" t="str">
        <f aca="false">IF(T4908="","",IF(T4908=0,"No discount",IF(T4908&lt;=0.2,"Low (1-20%)",IF(T4908&lt;=0.4,"Medium (21-40%)","High (&gt;40%)"))))</f>
        <v/>
      </c>
      <c r="Y4908" s="23" t="str">
        <f aca="false">IF(AND(ISNUMBER(C4908),ISNUMBER(D4908)),D4908-C4908,"")</f>
        <v/>
      </c>
      <c r="Z4908" s="23" t="str">
        <f aca="false">IF(B4908="","",IF(MATCH(B4908,$B$2:$B$12000,0)=ROW()-1,1,0))</f>
        <v/>
      </c>
    </row>
    <row r="4909" customFormat="false" ht="15" hidden="false" customHeight="false" outlineLevel="0" collapsed="false">
      <c r="V4909" s="23" t="str">
        <f aca="false">IF(ISNUMBER(C4909),YEAR(C4909),"")</f>
        <v/>
      </c>
      <c r="W4909" s="23" t="str">
        <f aca="false">IF(ISNUMBER(C4909),MONTH(C4909),"")</f>
        <v/>
      </c>
      <c r="X4909" s="23" t="str">
        <f aca="false">IF(T4909="","",IF(T4909=0,"No discount",IF(T4909&lt;=0.2,"Low (1-20%)",IF(T4909&lt;=0.4,"Medium (21-40%)","High (&gt;40%)"))))</f>
        <v/>
      </c>
      <c r="Y4909" s="23" t="str">
        <f aca="false">IF(AND(ISNUMBER(C4909),ISNUMBER(D4909)),D4909-C4909,"")</f>
        <v/>
      </c>
      <c r="Z4909" s="23" t="str">
        <f aca="false">IF(B4909="","",IF(MATCH(B4909,$B$2:$B$12000,0)=ROW()-1,1,0))</f>
        <v/>
      </c>
    </row>
    <row r="4910" customFormat="false" ht="15" hidden="false" customHeight="false" outlineLevel="0" collapsed="false">
      <c r="V4910" s="23" t="str">
        <f aca="false">IF(ISNUMBER(C4910),YEAR(C4910),"")</f>
        <v/>
      </c>
      <c r="W4910" s="23" t="str">
        <f aca="false">IF(ISNUMBER(C4910),MONTH(C4910),"")</f>
        <v/>
      </c>
      <c r="X4910" s="23" t="str">
        <f aca="false">IF(T4910="","",IF(T4910=0,"No discount",IF(T4910&lt;=0.2,"Low (1-20%)",IF(T4910&lt;=0.4,"Medium (21-40%)","High (&gt;40%)"))))</f>
        <v/>
      </c>
      <c r="Y4910" s="23" t="str">
        <f aca="false">IF(AND(ISNUMBER(C4910),ISNUMBER(D4910)),D4910-C4910,"")</f>
        <v/>
      </c>
      <c r="Z4910" s="23" t="str">
        <f aca="false">IF(B4910="","",IF(MATCH(B4910,$B$2:$B$12000,0)=ROW()-1,1,0))</f>
        <v/>
      </c>
    </row>
    <row r="4911" customFormat="false" ht="15" hidden="false" customHeight="false" outlineLevel="0" collapsed="false">
      <c r="V4911" s="23" t="str">
        <f aca="false">IF(ISNUMBER(C4911),YEAR(C4911),"")</f>
        <v/>
      </c>
      <c r="W4911" s="23" t="str">
        <f aca="false">IF(ISNUMBER(C4911),MONTH(C4911),"")</f>
        <v/>
      </c>
      <c r="X4911" s="23" t="str">
        <f aca="false">IF(T4911="","",IF(T4911=0,"No discount",IF(T4911&lt;=0.2,"Low (1-20%)",IF(T4911&lt;=0.4,"Medium (21-40%)","High (&gt;40%)"))))</f>
        <v/>
      </c>
      <c r="Y4911" s="23" t="str">
        <f aca="false">IF(AND(ISNUMBER(C4911),ISNUMBER(D4911)),D4911-C4911,"")</f>
        <v/>
      </c>
      <c r="Z4911" s="23" t="str">
        <f aca="false">IF(B4911="","",IF(MATCH(B4911,$B$2:$B$12000,0)=ROW()-1,1,0))</f>
        <v/>
      </c>
    </row>
    <row r="4912" customFormat="false" ht="15" hidden="false" customHeight="false" outlineLevel="0" collapsed="false">
      <c r="V4912" s="23" t="str">
        <f aca="false">IF(ISNUMBER(C4912),YEAR(C4912),"")</f>
        <v/>
      </c>
      <c r="W4912" s="23" t="str">
        <f aca="false">IF(ISNUMBER(C4912),MONTH(C4912),"")</f>
        <v/>
      </c>
      <c r="X4912" s="23" t="str">
        <f aca="false">IF(T4912="","",IF(T4912=0,"No discount",IF(T4912&lt;=0.2,"Low (1-20%)",IF(T4912&lt;=0.4,"Medium (21-40%)","High (&gt;40%)"))))</f>
        <v/>
      </c>
      <c r="Y4912" s="23" t="str">
        <f aca="false">IF(AND(ISNUMBER(C4912),ISNUMBER(D4912)),D4912-C4912,"")</f>
        <v/>
      </c>
      <c r="Z4912" s="23" t="str">
        <f aca="false">IF(B4912="","",IF(MATCH(B4912,$B$2:$B$12000,0)=ROW()-1,1,0))</f>
        <v/>
      </c>
    </row>
    <row r="4913" customFormat="false" ht="15" hidden="false" customHeight="false" outlineLevel="0" collapsed="false">
      <c r="V4913" s="23" t="str">
        <f aca="false">IF(ISNUMBER(C4913),YEAR(C4913),"")</f>
        <v/>
      </c>
      <c r="W4913" s="23" t="str">
        <f aca="false">IF(ISNUMBER(C4913),MONTH(C4913),"")</f>
        <v/>
      </c>
      <c r="X4913" s="23" t="str">
        <f aca="false">IF(T4913="","",IF(T4913=0,"No discount",IF(T4913&lt;=0.2,"Low (1-20%)",IF(T4913&lt;=0.4,"Medium (21-40%)","High (&gt;40%)"))))</f>
        <v/>
      </c>
      <c r="Y4913" s="23" t="str">
        <f aca="false">IF(AND(ISNUMBER(C4913),ISNUMBER(D4913)),D4913-C4913,"")</f>
        <v/>
      </c>
      <c r="Z4913" s="23" t="str">
        <f aca="false">IF(B4913="","",IF(MATCH(B4913,$B$2:$B$12000,0)=ROW()-1,1,0))</f>
        <v/>
      </c>
    </row>
    <row r="4914" customFormat="false" ht="15" hidden="false" customHeight="false" outlineLevel="0" collapsed="false">
      <c r="V4914" s="23" t="str">
        <f aca="false">IF(ISNUMBER(C4914),YEAR(C4914),"")</f>
        <v/>
      </c>
      <c r="W4914" s="23" t="str">
        <f aca="false">IF(ISNUMBER(C4914),MONTH(C4914),"")</f>
        <v/>
      </c>
      <c r="X4914" s="23" t="str">
        <f aca="false">IF(T4914="","",IF(T4914=0,"No discount",IF(T4914&lt;=0.2,"Low (1-20%)",IF(T4914&lt;=0.4,"Medium (21-40%)","High (&gt;40%)"))))</f>
        <v/>
      </c>
      <c r="Y4914" s="23" t="str">
        <f aca="false">IF(AND(ISNUMBER(C4914),ISNUMBER(D4914)),D4914-C4914,"")</f>
        <v/>
      </c>
      <c r="Z4914" s="23" t="str">
        <f aca="false">IF(B4914="","",IF(MATCH(B4914,$B$2:$B$12000,0)=ROW()-1,1,0))</f>
        <v/>
      </c>
    </row>
    <row r="4915" customFormat="false" ht="15" hidden="false" customHeight="false" outlineLevel="0" collapsed="false">
      <c r="V4915" s="23" t="str">
        <f aca="false">IF(ISNUMBER(C4915),YEAR(C4915),"")</f>
        <v/>
      </c>
      <c r="W4915" s="23" t="str">
        <f aca="false">IF(ISNUMBER(C4915),MONTH(C4915),"")</f>
        <v/>
      </c>
      <c r="X4915" s="23" t="str">
        <f aca="false">IF(T4915="","",IF(T4915=0,"No discount",IF(T4915&lt;=0.2,"Low (1-20%)",IF(T4915&lt;=0.4,"Medium (21-40%)","High (&gt;40%)"))))</f>
        <v/>
      </c>
      <c r="Y4915" s="23" t="str">
        <f aca="false">IF(AND(ISNUMBER(C4915),ISNUMBER(D4915)),D4915-C4915,"")</f>
        <v/>
      </c>
      <c r="Z4915" s="23" t="str">
        <f aca="false">IF(B4915="","",IF(MATCH(B4915,$B$2:$B$12000,0)=ROW()-1,1,0))</f>
        <v/>
      </c>
    </row>
    <row r="4916" customFormat="false" ht="15" hidden="false" customHeight="false" outlineLevel="0" collapsed="false">
      <c r="V4916" s="23" t="str">
        <f aca="false">IF(ISNUMBER(C4916),YEAR(C4916),"")</f>
        <v/>
      </c>
      <c r="W4916" s="23" t="str">
        <f aca="false">IF(ISNUMBER(C4916),MONTH(C4916),"")</f>
        <v/>
      </c>
      <c r="X4916" s="23" t="str">
        <f aca="false">IF(T4916="","",IF(T4916=0,"No discount",IF(T4916&lt;=0.2,"Low (1-20%)",IF(T4916&lt;=0.4,"Medium (21-40%)","High (&gt;40%)"))))</f>
        <v/>
      </c>
      <c r="Y4916" s="23" t="str">
        <f aca="false">IF(AND(ISNUMBER(C4916),ISNUMBER(D4916)),D4916-C4916,"")</f>
        <v/>
      </c>
      <c r="Z4916" s="23" t="str">
        <f aca="false">IF(B4916="","",IF(MATCH(B4916,$B$2:$B$12000,0)=ROW()-1,1,0))</f>
        <v/>
      </c>
    </row>
    <row r="4917" customFormat="false" ht="15" hidden="false" customHeight="false" outlineLevel="0" collapsed="false">
      <c r="V4917" s="23" t="str">
        <f aca="false">IF(ISNUMBER(C4917),YEAR(C4917),"")</f>
        <v/>
      </c>
      <c r="W4917" s="23" t="str">
        <f aca="false">IF(ISNUMBER(C4917),MONTH(C4917),"")</f>
        <v/>
      </c>
      <c r="X4917" s="23" t="str">
        <f aca="false">IF(T4917="","",IF(T4917=0,"No discount",IF(T4917&lt;=0.2,"Low (1-20%)",IF(T4917&lt;=0.4,"Medium (21-40%)","High (&gt;40%)"))))</f>
        <v/>
      </c>
      <c r="Y4917" s="23" t="str">
        <f aca="false">IF(AND(ISNUMBER(C4917),ISNUMBER(D4917)),D4917-C4917,"")</f>
        <v/>
      </c>
      <c r="Z4917" s="23" t="str">
        <f aca="false">IF(B4917="","",IF(MATCH(B4917,$B$2:$B$12000,0)=ROW()-1,1,0))</f>
        <v/>
      </c>
    </row>
    <row r="4918" customFormat="false" ht="15" hidden="false" customHeight="false" outlineLevel="0" collapsed="false">
      <c r="V4918" s="23" t="str">
        <f aca="false">IF(ISNUMBER(C4918),YEAR(C4918),"")</f>
        <v/>
      </c>
      <c r="W4918" s="23" t="str">
        <f aca="false">IF(ISNUMBER(C4918),MONTH(C4918),"")</f>
        <v/>
      </c>
      <c r="X4918" s="23" t="str">
        <f aca="false">IF(T4918="","",IF(T4918=0,"No discount",IF(T4918&lt;=0.2,"Low (1-20%)",IF(T4918&lt;=0.4,"Medium (21-40%)","High (&gt;40%)"))))</f>
        <v/>
      </c>
      <c r="Y4918" s="23" t="str">
        <f aca="false">IF(AND(ISNUMBER(C4918),ISNUMBER(D4918)),D4918-C4918,"")</f>
        <v/>
      </c>
      <c r="Z4918" s="23" t="str">
        <f aca="false">IF(B4918="","",IF(MATCH(B4918,$B$2:$B$12000,0)=ROW()-1,1,0))</f>
        <v/>
      </c>
    </row>
    <row r="4919" customFormat="false" ht="15" hidden="false" customHeight="false" outlineLevel="0" collapsed="false">
      <c r="V4919" s="23" t="str">
        <f aca="false">IF(ISNUMBER(C4919),YEAR(C4919),"")</f>
        <v/>
      </c>
      <c r="W4919" s="23" t="str">
        <f aca="false">IF(ISNUMBER(C4919),MONTH(C4919),"")</f>
        <v/>
      </c>
      <c r="X4919" s="23" t="str">
        <f aca="false">IF(T4919="","",IF(T4919=0,"No discount",IF(T4919&lt;=0.2,"Low (1-20%)",IF(T4919&lt;=0.4,"Medium (21-40%)","High (&gt;40%)"))))</f>
        <v/>
      </c>
      <c r="Y4919" s="23" t="str">
        <f aca="false">IF(AND(ISNUMBER(C4919),ISNUMBER(D4919)),D4919-C4919,"")</f>
        <v/>
      </c>
      <c r="Z4919" s="23" t="str">
        <f aca="false">IF(B4919="","",IF(MATCH(B4919,$B$2:$B$12000,0)=ROW()-1,1,0))</f>
        <v/>
      </c>
    </row>
    <row r="4920" customFormat="false" ht="15" hidden="false" customHeight="false" outlineLevel="0" collapsed="false">
      <c r="V4920" s="23" t="str">
        <f aca="false">IF(ISNUMBER(C4920),YEAR(C4920),"")</f>
        <v/>
      </c>
      <c r="W4920" s="23" t="str">
        <f aca="false">IF(ISNUMBER(C4920),MONTH(C4920),"")</f>
        <v/>
      </c>
      <c r="X4920" s="23" t="str">
        <f aca="false">IF(T4920="","",IF(T4920=0,"No discount",IF(T4920&lt;=0.2,"Low (1-20%)",IF(T4920&lt;=0.4,"Medium (21-40%)","High (&gt;40%)"))))</f>
        <v/>
      </c>
      <c r="Y4920" s="23" t="str">
        <f aca="false">IF(AND(ISNUMBER(C4920),ISNUMBER(D4920)),D4920-C4920,"")</f>
        <v/>
      </c>
      <c r="Z4920" s="23" t="str">
        <f aca="false">IF(B4920="","",IF(MATCH(B4920,$B$2:$B$12000,0)=ROW()-1,1,0))</f>
        <v/>
      </c>
    </row>
    <row r="4921" customFormat="false" ht="15" hidden="false" customHeight="false" outlineLevel="0" collapsed="false">
      <c r="V4921" s="23" t="str">
        <f aca="false">IF(ISNUMBER(C4921),YEAR(C4921),"")</f>
        <v/>
      </c>
      <c r="W4921" s="23" t="str">
        <f aca="false">IF(ISNUMBER(C4921),MONTH(C4921),"")</f>
        <v/>
      </c>
      <c r="X4921" s="23" t="str">
        <f aca="false">IF(T4921="","",IF(T4921=0,"No discount",IF(T4921&lt;=0.2,"Low (1-20%)",IF(T4921&lt;=0.4,"Medium (21-40%)","High (&gt;40%)"))))</f>
        <v/>
      </c>
      <c r="Y4921" s="23" t="str">
        <f aca="false">IF(AND(ISNUMBER(C4921),ISNUMBER(D4921)),D4921-C4921,"")</f>
        <v/>
      </c>
      <c r="Z4921" s="23" t="str">
        <f aca="false">IF(B4921="","",IF(MATCH(B4921,$B$2:$B$12000,0)=ROW()-1,1,0))</f>
        <v/>
      </c>
    </row>
    <row r="4922" customFormat="false" ht="15" hidden="false" customHeight="false" outlineLevel="0" collapsed="false">
      <c r="V4922" s="23" t="str">
        <f aca="false">IF(ISNUMBER(C4922),YEAR(C4922),"")</f>
        <v/>
      </c>
      <c r="W4922" s="23" t="str">
        <f aca="false">IF(ISNUMBER(C4922),MONTH(C4922),"")</f>
        <v/>
      </c>
      <c r="X4922" s="23" t="str">
        <f aca="false">IF(T4922="","",IF(T4922=0,"No discount",IF(T4922&lt;=0.2,"Low (1-20%)",IF(T4922&lt;=0.4,"Medium (21-40%)","High (&gt;40%)"))))</f>
        <v/>
      </c>
      <c r="Y4922" s="23" t="str">
        <f aca="false">IF(AND(ISNUMBER(C4922),ISNUMBER(D4922)),D4922-C4922,"")</f>
        <v/>
      </c>
      <c r="Z4922" s="23" t="str">
        <f aca="false">IF(B4922="","",IF(MATCH(B4922,$B$2:$B$12000,0)=ROW()-1,1,0))</f>
        <v/>
      </c>
    </row>
    <row r="4923" customFormat="false" ht="15" hidden="false" customHeight="false" outlineLevel="0" collapsed="false">
      <c r="V4923" s="23" t="str">
        <f aca="false">IF(ISNUMBER(C4923),YEAR(C4923),"")</f>
        <v/>
      </c>
      <c r="W4923" s="23" t="str">
        <f aca="false">IF(ISNUMBER(C4923),MONTH(C4923),"")</f>
        <v/>
      </c>
      <c r="X4923" s="23" t="str">
        <f aca="false">IF(T4923="","",IF(T4923=0,"No discount",IF(T4923&lt;=0.2,"Low (1-20%)",IF(T4923&lt;=0.4,"Medium (21-40%)","High (&gt;40%)"))))</f>
        <v/>
      </c>
      <c r="Y4923" s="23" t="str">
        <f aca="false">IF(AND(ISNUMBER(C4923),ISNUMBER(D4923)),D4923-C4923,"")</f>
        <v/>
      </c>
      <c r="Z4923" s="23" t="str">
        <f aca="false">IF(B4923="","",IF(MATCH(B4923,$B$2:$B$12000,0)=ROW()-1,1,0))</f>
        <v/>
      </c>
    </row>
    <row r="4924" customFormat="false" ht="15" hidden="false" customHeight="false" outlineLevel="0" collapsed="false">
      <c r="V4924" s="23" t="str">
        <f aca="false">IF(ISNUMBER(C4924),YEAR(C4924),"")</f>
        <v/>
      </c>
      <c r="W4924" s="23" t="str">
        <f aca="false">IF(ISNUMBER(C4924),MONTH(C4924),"")</f>
        <v/>
      </c>
      <c r="X4924" s="23" t="str">
        <f aca="false">IF(T4924="","",IF(T4924=0,"No discount",IF(T4924&lt;=0.2,"Low (1-20%)",IF(T4924&lt;=0.4,"Medium (21-40%)","High (&gt;40%)"))))</f>
        <v/>
      </c>
      <c r="Y4924" s="23" t="str">
        <f aca="false">IF(AND(ISNUMBER(C4924),ISNUMBER(D4924)),D4924-C4924,"")</f>
        <v/>
      </c>
      <c r="Z4924" s="23" t="str">
        <f aca="false">IF(B4924="","",IF(MATCH(B4924,$B$2:$B$12000,0)=ROW()-1,1,0))</f>
        <v/>
      </c>
    </row>
    <row r="4925" customFormat="false" ht="15" hidden="false" customHeight="false" outlineLevel="0" collapsed="false">
      <c r="V4925" s="23" t="str">
        <f aca="false">IF(ISNUMBER(C4925),YEAR(C4925),"")</f>
        <v/>
      </c>
      <c r="W4925" s="23" t="str">
        <f aca="false">IF(ISNUMBER(C4925),MONTH(C4925),"")</f>
        <v/>
      </c>
      <c r="X4925" s="23" t="str">
        <f aca="false">IF(T4925="","",IF(T4925=0,"No discount",IF(T4925&lt;=0.2,"Low (1-20%)",IF(T4925&lt;=0.4,"Medium (21-40%)","High (&gt;40%)"))))</f>
        <v/>
      </c>
      <c r="Y4925" s="23" t="str">
        <f aca="false">IF(AND(ISNUMBER(C4925),ISNUMBER(D4925)),D4925-C4925,"")</f>
        <v/>
      </c>
      <c r="Z4925" s="23" t="str">
        <f aca="false">IF(B4925="","",IF(MATCH(B4925,$B$2:$B$12000,0)=ROW()-1,1,0))</f>
        <v/>
      </c>
    </row>
    <row r="4926" customFormat="false" ht="15" hidden="false" customHeight="false" outlineLevel="0" collapsed="false">
      <c r="V4926" s="23" t="str">
        <f aca="false">IF(ISNUMBER(C4926),YEAR(C4926),"")</f>
        <v/>
      </c>
      <c r="W4926" s="23" t="str">
        <f aca="false">IF(ISNUMBER(C4926),MONTH(C4926),"")</f>
        <v/>
      </c>
      <c r="X4926" s="23" t="str">
        <f aca="false">IF(T4926="","",IF(T4926=0,"No discount",IF(T4926&lt;=0.2,"Low (1-20%)",IF(T4926&lt;=0.4,"Medium (21-40%)","High (&gt;40%)"))))</f>
        <v/>
      </c>
      <c r="Y4926" s="23" t="str">
        <f aca="false">IF(AND(ISNUMBER(C4926),ISNUMBER(D4926)),D4926-C4926,"")</f>
        <v/>
      </c>
      <c r="Z4926" s="23" t="str">
        <f aca="false">IF(B4926="","",IF(MATCH(B4926,$B$2:$B$12000,0)=ROW()-1,1,0))</f>
        <v/>
      </c>
    </row>
    <row r="4927" customFormat="false" ht="15" hidden="false" customHeight="false" outlineLevel="0" collapsed="false">
      <c r="V4927" s="23" t="str">
        <f aca="false">IF(ISNUMBER(C4927),YEAR(C4927),"")</f>
        <v/>
      </c>
      <c r="W4927" s="23" t="str">
        <f aca="false">IF(ISNUMBER(C4927),MONTH(C4927),"")</f>
        <v/>
      </c>
      <c r="X4927" s="23" t="str">
        <f aca="false">IF(T4927="","",IF(T4927=0,"No discount",IF(T4927&lt;=0.2,"Low (1-20%)",IF(T4927&lt;=0.4,"Medium (21-40%)","High (&gt;40%)"))))</f>
        <v/>
      </c>
      <c r="Y4927" s="23" t="str">
        <f aca="false">IF(AND(ISNUMBER(C4927),ISNUMBER(D4927)),D4927-C4927,"")</f>
        <v/>
      </c>
      <c r="Z4927" s="23" t="str">
        <f aca="false">IF(B4927="","",IF(MATCH(B4927,$B$2:$B$12000,0)=ROW()-1,1,0))</f>
        <v/>
      </c>
    </row>
    <row r="4928" customFormat="false" ht="15" hidden="false" customHeight="false" outlineLevel="0" collapsed="false">
      <c r="V4928" s="23" t="str">
        <f aca="false">IF(ISNUMBER(C4928),YEAR(C4928),"")</f>
        <v/>
      </c>
      <c r="W4928" s="23" t="str">
        <f aca="false">IF(ISNUMBER(C4928),MONTH(C4928),"")</f>
        <v/>
      </c>
      <c r="X4928" s="23" t="str">
        <f aca="false">IF(T4928="","",IF(T4928=0,"No discount",IF(T4928&lt;=0.2,"Low (1-20%)",IF(T4928&lt;=0.4,"Medium (21-40%)","High (&gt;40%)"))))</f>
        <v/>
      </c>
      <c r="Y4928" s="23" t="str">
        <f aca="false">IF(AND(ISNUMBER(C4928),ISNUMBER(D4928)),D4928-C4928,"")</f>
        <v/>
      </c>
      <c r="Z4928" s="23" t="str">
        <f aca="false">IF(B4928="","",IF(MATCH(B4928,$B$2:$B$12000,0)=ROW()-1,1,0))</f>
        <v/>
      </c>
    </row>
    <row r="4929" customFormat="false" ht="15" hidden="false" customHeight="false" outlineLevel="0" collapsed="false">
      <c r="V4929" s="23" t="str">
        <f aca="false">IF(ISNUMBER(C4929),YEAR(C4929),"")</f>
        <v/>
      </c>
      <c r="W4929" s="23" t="str">
        <f aca="false">IF(ISNUMBER(C4929),MONTH(C4929),"")</f>
        <v/>
      </c>
      <c r="X4929" s="23" t="str">
        <f aca="false">IF(T4929="","",IF(T4929=0,"No discount",IF(T4929&lt;=0.2,"Low (1-20%)",IF(T4929&lt;=0.4,"Medium (21-40%)","High (&gt;40%)"))))</f>
        <v/>
      </c>
      <c r="Y4929" s="23" t="str">
        <f aca="false">IF(AND(ISNUMBER(C4929),ISNUMBER(D4929)),D4929-C4929,"")</f>
        <v/>
      </c>
      <c r="Z4929" s="23" t="str">
        <f aca="false">IF(B4929="","",IF(MATCH(B4929,$B$2:$B$12000,0)=ROW()-1,1,0))</f>
        <v/>
      </c>
    </row>
    <row r="4930" customFormat="false" ht="15" hidden="false" customHeight="false" outlineLevel="0" collapsed="false">
      <c r="V4930" s="23" t="str">
        <f aca="false">IF(ISNUMBER(C4930),YEAR(C4930),"")</f>
        <v/>
      </c>
      <c r="W4930" s="23" t="str">
        <f aca="false">IF(ISNUMBER(C4930),MONTH(C4930),"")</f>
        <v/>
      </c>
      <c r="X4930" s="23" t="str">
        <f aca="false">IF(T4930="","",IF(T4930=0,"No discount",IF(T4930&lt;=0.2,"Low (1-20%)",IF(T4930&lt;=0.4,"Medium (21-40%)","High (&gt;40%)"))))</f>
        <v/>
      </c>
      <c r="Y4930" s="23" t="str">
        <f aca="false">IF(AND(ISNUMBER(C4930),ISNUMBER(D4930)),D4930-C4930,"")</f>
        <v/>
      </c>
      <c r="Z4930" s="23" t="str">
        <f aca="false">IF(B4930="","",IF(MATCH(B4930,$B$2:$B$12000,0)=ROW()-1,1,0))</f>
        <v/>
      </c>
    </row>
    <row r="4931" customFormat="false" ht="15" hidden="false" customHeight="false" outlineLevel="0" collapsed="false">
      <c r="V4931" s="23" t="str">
        <f aca="false">IF(ISNUMBER(C4931),YEAR(C4931),"")</f>
        <v/>
      </c>
      <c r="W4931" s="23" t="str">
        <f aca="false">IF(ISNUMBER(C4931),MONTH(C4931),"")</f>
        <v/>
      </c>
      <c r="X4931" s="23" t="str">
        <f aca="false">IF(T4931="","",IF(T4931=0,"No discount",IF(T4931&lt;=0.2,"Low (1-20%)",IF(T4931&lt;=0.4,"Medium (21-40%)","High (&gt;40%)"))))</f>
        <v/>
      </c>
      <c r="Y4931" s="23" t="str">
        <f aca="false">IF(AND(ISNUMBER(C4931),ISNUMBER(D4931)),D4931-C4931,"")</f>
        <v/>
      </c>
      <c r="Z4931" s="23" t="str">
        <f aca="false">IF(B4931="","",IF(MATCH(B4931,$B$2:$B$12000,0)=ROW()-1,1,0))</f>
        <v/>
      </c>
    </row>
    <row r="4932" customFormat="false" ht="15" hidden="false" customHeight="false" outlineLevel="0" collapsed="false">
      <c r="V4932" s="23" t="str">
        <f aca="false">IF(ISNUMBER(C4932),YEAR(C4932),"")</f>
        <v/>
      </c>
      <c r="W4932" s="23" t="str">
        <f aca="false">IF(ISNUMBER(C4932),MONTH(C4932),"")</f>
        <v/>
      </c>
      <c r="X4932" s="23" t="str">
        <f aca="false">IF(T4932="","",IF(T4932=0,"No discount",IF(T4932&lt;=0.2,"Low (1-20%)",IF(T4932&lt;=0.4,"Medium (21-40%)","High (&gt;40%)"))))</f>
        <v/>
      </c>
      <c r="Y4932" s="23" t="str">
        <f aca="false">IF(AND(ISNUMBER(C4932),ISNUMBER(D4932)),D4932-C4932,"")</f>
        <v/>
      </c>
      <c r="Z4932" s="23" t="str">
        <f aca="false">IF(B4932="","",IF(MATCH(B4932,$B$2:$B$12000,0)=ROW()-1,1,0))</f>
        <v/>
      </c>
    </row>
    <row r="4933" customFormat="false" ht="15" hidden="false" customHeight="false" outlineLevel="0" collapsed="false">
      <c r="V4933" s="23" t="str">
        <f aca="false">IF(ISNUMBER(C4933),YEAR(C4933),"")</f>
        <v/>
      </c>
      <c r="W4933" s="23" t="str">
        <f aca="false">IF(ISNUMBER(C4933),MONTH(C4933),"")</f>
        <v/>
      </c>
      <c r="X4933" s="23" t="str">
        <f aca="false">IF(T4933="","",IF(T4933=0,"No discount",IF(T4933&lt;=0.2,"Low (1-20%)",IF(T4933&lt;=0.4,"Medium (21-40%)","High (&gt;40%)"))))</f>
        <v/>
      </c>
      <c r="Y4933" s="23" t="str">
        <f aca="false">IF(AND(ISNUMBER(C4933),ISNUMBER(D4933)),D4933-C4933,"")</f>
        <v/>
      </c>
      <c r="Z4933" s="23" t="str">
        <f aca="false">IF(B4933="","",IF(MATCH(B4933,$B$2:$B$12000,0)=ROW()-1,1,0))</f>
        <v/>
      </c>
    </row>
    <row r="4934" customFormat="false" ht="15" hidden="false" customHeight="false" outlineLevel="0" collapsed="false">
      <c r="V4934" s="23" t="str">
        <f aca="false">IF(ISNUMBER(C4934),YEAR(C4934),"")</f>
        <v/>
      </c>
      <c r="W4934" s="23" t="str">
        <f aca="false">IF(ISNUMBER(C4934),MONTH(C4934),"")</f>
        <v/>
      </c>
      <c r="X4934" s="23" t="str">
        <f aca="false">IF(T4934="","",IF(T4934=0,"No discount",IF(T4934&lt;=0.2,"Low (1-20%)",IF(T4934&lt;=0.4,"Medium (21-40%)","High (&gt;40%)"))))</f>
        <v/>
      </c>
      <c r="Y4934" s="23" t="str">
        <f aca="false">IF(AND(ISNUMBER(C4934),ISNUMBER(D4934)),D4934-C4934,"")</f>
        <v/>
      </c>
      <c r="Z4934" s="23" t="str">
        <f aca="false">IF(B4934="","",IF(MATCH(B4934,$B$2:$B$12000,0)=ROW()-1,1,0))</f>
        <v/>
      </c>
    </row>
    <row r="4935" customFormat="false" ht="15" hidden="false" customHeight="false" outlineLevel="0" collapsed="false">
      <c r="V4935" s="23" t="str">
        <f aca="false">IF(ISNUMBER(C4935),YEAR(C4935),"")</f>
        <v/>
      </c>
      <c r="W4935" s="23" t="str">
        <f aca="false">IF(ISNUMBER(C4935),MONTH(C4935),"")</f>
        <v/>
      </c>
      <c r="X4935" s="23" t="str">
        <f aca="false">IF(T4935="","",IF(T4935=0,"No discount",IF(T4935&lt;=0.2,"Low (1-20%)",IF(T4935&lt;=0.4,"Medium (21-40%)","High (&gt;40%)"))))</f>
        <v/>
      </c>
      <c r="Y4935" s="23" t="str">
        <f aca="false">IF(AND(ISNUMBER(C4935),ISNUMBER(D4935)),D4935-C4935,"")</f>
        <v/>
      </c>
      <c r="Z4935" s="23" t="str">
        <f aca="false">IF(B4935="","",IF(MATCH(B4935,$B$2:$B$12000,0)=ROW()-1,1,0))</f>
        <v/>
      </c>
    </row>
    <row r="4936" customFormat="false" ht="15" hidden="false" customHeight="false" outlineLevel="0" collapsed="false">
      <c r="V4936" s="23" t="str">
        <f aca="false">IF(ISNUMBER(C4936),YEAR(C4936),"")</f>
        <v/>
      </c>
      <c r="W4936" s="23" t="str">
        <f aca="false">IF(ISNUMBER(C4936),MONTH(C4936),"")</f>
        <v/>
      </c>
      <c r="X4936" s="23" t="str">
        <f aca="false">IF(T4936="","",IF(T4936=0,"No discount",IF(T4936&lt;=0.2,"Low (1-20%)",IF(T4936&lt;=0.4,"Medium (21-40%)","High (&gt;40%)"))))</f>
        <v/>
      </c>
      <c r="Y4936" s="23" t="str">
        <f aca="false">IF(AND(ISNUMBER(C4936),ISNUMBER(D4936)),D4936-C4936,"")</f>
        <v/>
      </c>
      <c r="Z4936" s="23" t="str">
        <f aca="false">IF(B4936="","",IF(MATCH(B4936,$B$2:$B$12000,0)=ROW()-1,1,0))</f>
        <v/>
      </c>
    </row>
    <row r="4937" customFormat="false" ht="15" hidden="false" customHeight="false" outlineLevel="0" collapsed="false">
      <c r="V4937" s="23" t="str">
        <f aca="false">IF(ISNUMBER(C4937),YEAR(C4937),"")</f>
        <v/>
      </c>
      <c r="W4937" s="23" t="str">
        <f aca="false">IF(ISNUMBER(C4937),MONTH(C4937),"")</f>
        <v/>
      </c>
      <c r="X4937" s="23" t="str">
        <f aca="false">IF(T4937="","",IF(T4937=0,"No discount",IF(T4937&lt;=0.2,"Low (1-20%)",IF(T4937&lt;=0.4,"Medium (21-40%)","High (&gt;40%)"))))</f>
        <v/>
      </c>
      <c r="Y4937" s="23" t="str">
        <f aca="false">IF(AND(ISNUMBER(C4937),ISNUMBER(D4937)),D4937-C4937,"")</f>
        <v/>
      </c>
      <c r="Z4937" s="23" t="str">
        <f aca="false">IF(B4937="","",IF(MATCH(B4937,$B$2:$B$12000,0)=ROW()-1,1,0))</f>
        <v/>
      </c>
    </row>
    <row r="4938" customFormat="false" ht="15" hidden="false" customHeight="false" outlineLevel="0" collapsed="false">
      <c r="V4938" s="23" t="str">
        <f aca="false">IF(ISNUMBER(C4938),YEAR(C4938),"")</f>
        <v/>
      </c>
      <c r="W4938" s="23" t="str">
        <f aca="false">IF(ISNUMBER(C4938),MONTH(C4938),"")</f>
        <v/>
      </c>
      <c r="X4938" s="23" t="str">
        <f aca="false">IF(T4938="","",IF(T4938=0,"No discount",IF(T4938&lt;=0.2,"Low (1-20%)",IF(T4938&lt;=0.4,"Medium (21-40%)","High (&gt;40%)"))))</f>
        <v/>
      </c>
      <c r="Y4938" s="23" t="str">
        <f aca="false">IF(AND(ISNUMBER(C4938),ISNUMBER(D4938)),D4938-C4938,"")</f>
        <v/>
      </c>
      <c r="Z4938" s="23" t="str">
        <f aca="false">IF(B4938="","",IF(MATCH(B4938,$B$2:$B$12000,0)=ROW()-1,1,0))</f>
        <v/>
      </c>
    </row>
    <row r="4939" customFormat="false" ht="15" hidden="false" customHeight="false" outlineLevel="0" collapsed="false">
      <c r="V4939" s="23" t="str">
        <f aca="false">IF(ISNUMBER(C4939),YEAR(C4939),"")</f>
        <v/>
      </c>
      <c r="W4939" s="23" t="str">
        <f aca="false">IF(ISNUMBER(C4939),MONTH(C4939),"")</f>
        <v/>
      </c>
      <c r="X4939" s="23" t="str">
        <f aca="false">IF(T4939="","",IF(T4939=0,"No discount",IF(T4939&lt;=0.2,"Low (1-20%)",IF(T4939&lt;=0.4,"Medium (21-40%)","High (&gt;40%)"))))</f>
        <v/>
      </c>
      <c r="Y4939" s="23" t="str">
        <f aca="false">IF(AND(ISNUMBER(C4939),ISNUMBER(D4939)),D4939-C4939,"")</f>
        <v/>
      </c>
      <c r="Z4939" s="23" t="str">
        <f aca="false">IF(B4939="","",IF(MATCH(B4939,$B$2:$B$12000,0)=ROW()-1,1,0))</f>
        <v/>
      </c>
    </row>
    <row r="4940" customFormat="false" ht="15" hidden="false" customHeight="false" outlineLevel="0" collapsed="false">
      <c r="V4940" s="23" t="str">
        <f aca="false">IF(ISNUMBER(C4940),YEAR(C4940),"")</f>
        <v/>
      </c>
      <c r="W4940" s="23" t="str">
        <f aca="false">IF(ISNUMBER(C4940),MONTH(C4940),"")</f>
        <v/>
      </c>
      <c r="X4940" s="23" t="str">
        <f aca="false">IF(T4940="","",IF(T4940=0,"No discount",IF(T4940&lt;=0.2,"Low (1-20%)",IF(T4940&lt;=0.4,"Medium (21-40%)","High (&gt;40%)"))))</f>
        <v/>
      </c>
      <c r="Y4940" s="23" t="str">
        <f aca="false">IF(AND(ISNUMBER(C4940),ISNUMBER(D4940)),D4940-C4940,"")</f>
        <v/>
      </c>
      <c r="Z4940" s="23" t="str">
        <f aca="false">IF(B4940="","",IF(MATCH(B4940,$B$2:$B$12000,0)=ROW()-1,1,0))</f>
        <v/>
      </c>
    </row>
    <row r="4941" customFormat="false" ht="15" hidden="false" customHeight="false" outlineLevel="0" collapsed="false">
      <c r="V4941" s="23" t="str">
        <f aca="false">IF(ISNUMBER(C4941),YEAR(C4941),"")</f>
        <v/>
      </c>
      <c r="W4941" s="23" t="str">
        <f aca="false">IF(ISNUMBER(C4941),MONTH(C4941),"")</f>
        <v/>
      </c>
      <c r="X4941" s="23" t="str">
        <f aca="false">IF(T4941="","",IF(T4941=0,"No discount",IF(T4941&lt;=0.2,"Low (1-20%)",IF(T4941&lt;=0.4,"Medium (21-40%)","High (&gt;40%)"))))</f>
        <v/>
      </c>
      <c r="Y4941" s="23" t="str">
        <f aca="false">IF(AND(ISNUMBER(C4941),ISNUMBER(D4941)),D4941-C4941,"")</f>
        <v/>
      </c>
      <c r="Z4941" s="23" t="str">
        <f aca="false">IF(B4941="","",IF(MATCH(B4941,$B$2:$B$12000,0)=ROW()-1,1,0))</f>
        <v/>
      </c>
    </row>
    <row r="4942" customFormat="false" ht="15" hidden="false" customHeight="false" outlineLevel="0" collapsed="false">
      <c r="V4942" s="23" t="str">
        <f aca="false">IF(ISNUMBER(C4942),YEAR(C4942),"")</f>
        <v/>
      </c>
      <c r="W4942" s="23" t="str">
        <f aca="false">IF(ISNUMBER(C4942),MONTH(C4942),"")</f>
        <v/>
      </c>
      <c r="X4942" s="23" t="str">
        <f aca="false">IF(T4942="","",IF(T4942=0,"No discount",IF(T4942&lt;=0.2,"Low (1-20%)",IF(T4942&lt;=0.4,"Medium (21-40%)","High (&gt;40%)"))))</f>
        <v/>
      </c>
      <c r="Y4942" s="23" t="str">
        <f aca="false">IF(AND(ISNUMBER(C4942),ISNUMBER(D4942)),D4942-C4942,"")</f>
        <v/>
      </c>
      <c r="Z4942" s="23" t="str">
        <f aca="false">IF(B4942="","",IF(MATCH(B4942,$B$2:$B$12000,0)=ROW()-1,1,0))</f>
        <v/>
      </c>
    </row>
    <row r="4943" customFormat="false" ht="15" hidden="false" customHeight="false" outlineLevel="0" collapsed="false">
      <c r="V4943" s="23" t="str">
        <f aca="false">IF(ISNUMBER(C4943),YEAR(C4943),"")</f>
        <v/>
      </c>
      <c r="W4943" s="23" t="str">
        <f aca="false">IF(ISNUMBER(C4943),MONTH(C4943),"")</f>
        <v/>
      </c>
      <c r="X4943" s="23" t="str">
        <f aca="false">IF(T4943="","",IF(T4943=0,"No discount",IF(T4943&lt;=0.2,"Low (1-20%)",IF(T4943&lt;=0.4,"Medium (21-40%)","High (&gt;40%)"))))</f>
        <v/>
      </c>
      <c r="Y4943" s="23" t="str">
        <f aca="false">IF(AND(ISNUMBER(C4943),ISNUMBER(D4943)),D4943-C4943,"")</f>
        <v/>
      </c>
      <c r="Z4943" s="23" t="str">
        <f aca="false">IF(B4943="","",IF(MATCH(B4943,$B$2:$B$12000,0)=ROW()-1,1,0))</f>
        <v/>
      </c>
    </row>
    <row r="4944" customFormat="false" ht="15" hidden="false" customHeight="false" outlineLevel="0" collapsed="false">
      <c r="V4944" s="23" t="str">
        <f aca="false">IF(ISNUMBER(C4944),YEAR(C4944),"")</f>
        <v/>
      </c>
      <c r="W4944" s="23" t="str">
        <f aca="false">IF(ISNUMBER(C4944),MONTH(C4944),"")</f>
        <v/>
      </c>
      <c r="X4944" s="23" t="str">
        <f aca="false">IF(T4944="","",IF(T4944=0,"No discount",IF(T4944&lt;=0.2,"Low (1-20%)",IF(T4944&lt;=0.4,"Medium (21-40%)","High (&gt;40%)"))))</f>
        <v/>
      </c>
      <c r="Y4944" s="23" t="str">
        <f aca="false">IF(AND(ISNUMBER(C4944),ISNUMBER(D4944)),D4944-C4944,"")</f>
        <v/>
      </c>
      <c r="Z4944" s="23" t="str">
        <f aca="false">IF(B4944="","",IF(MATCH(B4944,$B$2:$B$12000,0)=ROW()-1,1,0))</f>
        <v/>
      </c>
    </row>
    <row r="4945" customFormat="false" ht="15" hidden="false" customHeight="false" outlineLevel="0" collapsed="false">
      <c r="V4945" s="23" t="str">
        <f aca="false">IF(ISNUMBER(C4945),YEAR(C4945),"")</f>
        <v/>
      </c>
      <c r="W4945" s="23" t="str">
        <f aca="false">IF(ISNUMBER(C4945),MONTH(C4945),"")</f>
        <v/>
      </c>
      <c r="X4945" s="23" t="str">
        <f aca="false">IF(T4945="","",IF(T4945=0,"No discount",IF(T4945&lt;=0.2,"Low (1-20%)",IF(T4945&lt;=0.4,"Medium (21-40%)","High (&gt;40%)"))))</f>
        <v/>
      </c>
      <c r="Y4945" s="23" t="str">
        <f aca="false">IF(AND(ISNUMBER(C4945),ISNUMBER(D4945)),D4945-C4945,"")</f>
        <v/>
      </c>
      <c r="Z4945" s="23" t="str">
        <f aca="false">IF(B4945="","",IF(MATCH(B4945,$B$2:$B$12000,0)=ROW()-1,1,0))</f>
        <v/>
      </c>
    </row>
    <row r="4946" customFormat="false" ht="15" hidden="false" customHeight="false" outlineLevel="0" collapsed="false">
      <c r="V4946" s="23" t="str">
        <f aca="false">IF(ISNUMBER(C4946),YEAR(C4946),"")</f>
        <v/>
      </c>
      <c r="W4946" s="23" t="str">
        <f aca="false">IF(ISNUMBER(C4946),MONTH(C4946),"")</f>
        <v/>
      </c>
      <c r="X4946" s="23" t="str">
        <f aca="false">IF(T4946="","",IF(T4946=0,"No discount",IF(T4946&lt;=0.2,"Low (1-20%)",IF(T4946&lt;=0.4,"Medium (21-40%)","High (&gt;40%)"))))</f>
        <v/>
      </c>
      <c r="Y4946" s="23" t="str">
        <f aca="false">IF(AND(ISNUMBER(C4946),ISNUMBER(D4946)),D4946-C4946,"")</f>
        <v/>
      </c>
      <c r="Z4946" s="23" t="str">
        <f aca="false">IF(B4946="","",IF(MATCH(B4946,$B$2:$B$12000,0)=ROW()-1,1,0))</f>
        <v/>
      </c>
    </row>
    <row r="4947" customFormat="false" ht="15" hidden="false" customHeight="false" outlineLevel="0" collapsed="false">
      <c r="V4947" s="23" t="str">
        <f aca="false">IF(ISNUMBER(C4947),YEAR(C4947),"")</f>
        <v/>
      </c>
      <c r="W4947" s="23" t="str">
        <f aca="false">IF(ISNUMBER(C4947),MONTH(C4947),"")</f>
        <v/>
      </c>
      <c r="X4947" s="23" t="str">
        <f aca="false">IF(T4947="","",IF(T4947=0,"No discount",IF(T4947&lt;=0.2,"Low (1-20%)",IF(T4947&lt;=0.4,"Medium (21-40%)","High (&gt;40%)"))))</f>
        <v/>
      </c>
      <c r="Y4947" s="23" t="str">
        <f aca="false">IF(AND(ISNUMBER(C4947),ISNUMBER(D4947)),D4947-C4947,"")</f>
        <v/>
      </c>
      <c r="Z4947" s="23" t="str">
        <f aca="false">IF(B4947="","",IF(MATCH(B4947,$B$2:$B$12000,0)=ROW()-1,1,0))</f>
        <v/>
      </c>
    </row>
    <row r="4948" customFormat="false" ht="15" hidden="false" customHeight="false" outlineLevel="0" collapsed="false">
      <c r="V4948" s="23" t="str">
        <f aca="false">IF(ISNUMBER(C4948),YEAR(C4948),"")</f>
        <v/>
      </c>
      <c r="W4948" s="23" t="str">
        <f aca="false">IF(ISNUMBER(C4948),MONTH(C4948),"")</f>
        <v/>
      </c>
      <c r="X4948" s="23" t="str">
        <f aca="false">IF(T4948="","",IF(T4948=0,"No discount",IF(T4948&lt;=0.2,"Low (1-20%)",IF(T4948&lt;=0.4,"Medium (21-40%)","High (&gt;40%)"))))</f>
        <v/>
      </c>
      <c r="Y4948" s="23" t="str">
        <f aca="false">IF(AND(ISNUMBER(C4948),ISNUMBER(D4948)),D4948-C4948,"")</f>
        <v/>
      </c>
      <c r="Z4948" s="23" t="str">
        <f aca="false">IF(B4948="","",IF(MATCH(B4948,$B$2:$B$12000,0)=ROW()-1,1,0))</f>
        <v/>
      </c>
    </row>
    <row r="4949" customFormat="false" ht="15" hidden="false" customHeight="false" outlineLevel="0" collapsed="false">
      <c r="V4949" s="23" t="str">
        <f aca="false">IF(ISNUMBER(C4949),YEAR(C4949),"")</f>
        <v/>
      </c>
      <c r="W4949" s="23" t="str">
        <f aca="false">IF(ISNUMBER(C4949),MONTH(C4949),"")</f>
        <v/>
      </c>
      <c r="X4949" s="23" t="str">
        <f aca="false">IF(T4949="","",IF(T4949=0,"No discount",IF(T4949&lt;=0.2,"Low (1-20%)",IF(T4949&lt;=0.4,"Medium (21-40%)","High (&gt;40%)"))))</f>
        <v/>
      </c>
      <c r="Y4949" s="23" t="str">
        <f aca="false">IF(AND(ISNUMBER(C4949),ISNUMBER(D4949)),D4949-C4949,"")</f>
        <v/>
      </c>
      <c r="Z4949" s="23" t="str">
        <f aca="false">IF(B4949="","",IF(MATCH(B4949,$B$2:$B$12000,0)=ROW()-1,1,0))</f>
        <v/>
      </c>
    </row>
    <row r="4950" customFormat="false" ht="15" hidden="false" customHeight="false" outlineLevel="0" collapsed="false">
      <c r="V4950" s="23" t="str">
        <f aca="false">IF(ISNUMBER(C4950),YEAR(C4950),"")</f>
        <v/>
      </c>
      <c r="W4950" s="23" t="str">
        <f aca="false">IF(ISNUMBER(C4950),MONTH(C4950),"")</f>
        <v/>
      </c>
      <c r="X4950" s="23" t="str">
        <f aca="false">IF(T4950="","",IF(T4950=0,"No discount",IF(T4950&lt;=0.2,"Low (1-20%)",IF(T4950&lt;=0.4,"Medium (21-40%)","High (&gt;40%)"))))</f>
        <v/>
      </c>
      <c r="Y4950" s="23" t="str">
        <f aca="false">IF(AND(ISNUMBER(C4950),ISNUMBER(D4950)),D4950-C4950,"")</f>
        <v/>
      </c>
      <c r="Z4950" s="23" t="str">
        <f aca="false">IF(B4950="","",IF(MATCH(B4950,$B$2:$B$12000,0)=ROW()-1,1,0))</f>
        <v/>
      </c>
    </row>
    <row r="4951" customFormat="false" ht="15" hidden="false" customHeight="false" outlineLevel="0" collapsed="false">
      <c r="V4951" s="23" t="str">
        <f aca="false">IF(ISNUMBER(C4951),YEAR(C4951),"")</f>
        <v/>
      </c>
      <c r="W4951" s="23" t="str">
        <f aca="false">IF(ISNUMBER(C4951),MONTH(C4951),"")</f>
        <v/>
      </c>
      <c r="X4951" s="23" t="str">
        <f aca="false">IF(T4951="","",IF(T4951=0,"No discount",IF(T4951&lt;=0.2,"Low (1-20%)",IF(T4951&lt;=0.4,"Medium (21-40%)","High (&gt;40%)"))))</f>
        <v/>
      </c>
      <c r="Y4951" s="23" t="str">
        <f aca="false">IF(AND(ISNUMBER(C4951),ISNUMBER(D4951)),D4951-C4951,"")</f>
        <v/>
      </c>
      <c r="Z4951" s="23" t="str">
        <f aca="false">IF(B4951="","",IF(MATCH(B4951,$B$2:$B$12000,0)=ROW()-1,1,0))</f>
        <v/>
      </c>
    </row>
    <row r="4952" customFormat="false" ht="15" hidden="false" customHeight="false" outlineLevel="0" collapsed="false">
      <c r="V4952" s="23" t="str">
        <f aca="false">IF(ISNUMBER(C4952),YEAR(C4952),"")</f>
        <v/>
      </c>
      <c r="W4952" s="23" t="str">
        <f aca="false">IF(ISNUMBER(C4952),MONTH(C4952),"")</f>
        <v/>
      </c>
      <c r="X4952" s="23" t="str">
        <f aca="false">IF(T4952="","",IF(T4952=0,"No discount",IF(T4952&lt;=0.2,"Low (1-20%)",IF(T4952&lt;=0.4,"Medium (21-40%)","High (&gt;40%)"))))</f>
        <v/>
      </c>
      <c r="Y4952" s="23" t="str">
        <f aca="false">IF(AND(ISNUMBER(C4952),ISNUMBER(D4952)),D4952-C4952,"")</f>
        <v/>
      </c>
      <c r="Z4952" s="23" t="str">
        <f aca="false">IF(B4952="","",IF(MATCH(B4952,$B$2:$B$12000,0)=ROW()-1,1,0))</f>
        <v/>
      </c>
    </row>
    <row r="4953" customFormat="false" ht="15" hidden="false" customHeight="false" outlineLevel="0" collapsed="false">
      <c r="V4953" s="23" t="str">
        <f aca="false">IF(ISNUMBER(C4953),YEAR(C4953),"")</f>
        <v/>
      </c>
      <c r="W4953" s="23" t="str">
        <f aca="false">IF(ISNUMBER(C4953),MONTH(C4953),"")</f>
        <v/>
      </c>
      <c r="X4953" s="23" t="str">
        <f aca="false">IF(T4953="","",IF(T4953=0,"No discount",IF(T4953&lt;=0.2,"Low (1-20%)",IF(T4953&lt;=0.4,"Medium (21-40%)","High (&gt;40%)"))))</f>
        <v/>
      </c>
      <c r="Y4953" s="23" t="str">
        <f aca="false">IF(AND(ISNUMBER(C4953),ISNUMBER(D4953)),D4953-C4953,"")</f>
        <v/>
      </c>
      <c r="Z4953" s="23" t="str">
        <f aca="false">IF(B4953="","",IF(MATCH(B4953,$B$2:$B$12000,0)=ROW()-1,1,0))</f>
        <v/>
      </c>
    </row>
    <row r="4954" customFormat="false" ht="15" hidden="false" customHeight="false" outlineLevel="0" collapsed="false">
      <c r="V4954" s="23" t="str">
        <f aca="false">IF(ISNUMBER(C4954),YEAR(C4954),"")</f>
        <v/>
      </c>
      <c r="W4954" s="23" t="str">
        <f aca="false">IF(ISNUMBER(C4954),MONTH(C4954),"")</f>
        <v/>
      </c>
      <c r="X4954" s="23" t="str">
        <f aca="false">IF(T4954="","",IF(T4954=0,"No discount",IF(T4954&lt;=0.2,"Low (1-20%)",IF(T4954&lt;=0.4,"Medium (21-40%)","High (&gt;40%)"))))</f>
        <v/>
      </c>
      <c r="Y4954" s="23" t="str">
        <f aca="false">IF(AND(ISNUMBER(C4954),ISNUMBER(D4954)),D4954-C4954,"")</f>
        <v/>
      </c>
      <c r="Z4954" s="23" t="str">
        <f aca="false">IF(B4954="","",IF(MATCH(B4954,$B$2:$B$12000,0)=ROW()-1,1,0))</f>
        <v/>
      </c>
    </row>
    <row r="4955" customFormat="false" ht="15" hidden="false" customHeight="false" outlineLevel="0" collapsed="false">
      <c r="V4955" s="23" t="str">
        <f aca="false">IF(ISNUMBER(C4955),YEAR(C4955),"")</f>
        <v/>
      </c>
      <c r="W4955" s="23" t="str">
        <f aca="false">IF(ISNUMBER(C4955),MONTH(C4955),"")</f>
        <v/>
      </c>
      <c r="X4955" s="23" t="str">
        <f aca="false">IF(T4955="","",IF(T4955=0,"No discount",IF(T4955&lt;=0.2,"Low (1-20%)",IF(T4955&lt;=0.4,"Medium (21-40%)","High (&gt;40%)"))))</f>
        <v/>
      </c>
      <c r="Y4955" s="23" t="str">
        <f aca="false">IF(AND(ISNUMBER(C4955),ISNUMBER(D4955)),D4955-C4955,"")</f>
        <v/>
      </c>
      <c r="Z4955" s="23" t="str">
        <f aca="false">IF(B4955="","",IF(MATCH(B4955,$B$2:$B$12000,0)=ROW()-1,1,0))</f>
        <v/>
      </c>
    </row>
    <row r="4956" customFormat="false" ht="15" hidden="false" customHeight="false" outlineLevel="0" collapsed="false">
      <c r="V4956" s="23" t="str">
        <f aca="false">IF(ISNUMBER(C4956),YEAR(C4956),"")</f>
        <v/>
      </c>
      <c r="W4956" s="23" t="str">
        <f aca="false">IF(ISNUMBER(C4956),MONTH(C4956),"")</f>
        <v/>
      </c>
      <c r="X4956" s="23" t="str">
        <f aca="false">IF(T4956="","",IF(T4956=0,"No discount",IF(T4956&lt;=0.2,"Low (1-20%)",IF(T4956&lt;=0.4,"Medium (21-40%)","High (&gt;40%)"))))</f>
        <v/>
      </c>
      <c r="Y4956" s="23" t="str">
        <f aca="false">IF(AND(ISNUMBER(C4956),ISNUMBER(D4956)),D4956-C4956,"")</f>
        <v/>
      </c>
      <c r="Z4956" s="23" t="str">
        <f aca="false">IF(B4956="","",IF(MATCH(B4956,$B$2:$B$12000,0)=ROW()-1,1,0))</f>
        <v/>
      </c>
    </row>
    <row r="4957" customFormat="false" ht="15" hidden="false" customHeight="false" outlineLevel="0" collapsed="false">
      <c r="V4957" s="23" t="str">
        <f aca="false">IF(ISNUMBER(C4957),YEAR(C4957),"")</f>
        <v/>
      </c>
      <c r="W4957" s="23" t="str">
        <f aca="false">IF(ISNUMBER(C4957),MONTH(C4957),"")</f>
        <v/>
      </c>
      <c r="X4957" s="23" t="str">
        <f aca="false">IF(T4957="","",IF(T4957=0,"No discount",IF(T4957&lt;=0.2,"Low (1-20%)",IF(T4957&lt;=0.4,"Medium (21-40%)","High (&gt;40%)"))))</f>
        <v/>
      </c>
      <c r="Y4957" s="23" t="str">
        <f aca="false">IF(AND(ISNUMBER(C4957),ISNUMBER(D4957)),D4957-C4957,"")</f>
        <v/>
      </c>
      <c r="Z4957" s="23" t="str">
        <f aca="false">IF(B4957="","",IF(MATCH(B4957,$B$2:$B$12000,0)=ROW()-1,1,0))</f>
        <v/>
      </c>
    </row>
    <row r="4958" customFormat="false" ht="15" hidden="false" customHeight="false" outlineLevel="0" collapsed="false">
      <c r="V4958" s="23" t="str">
        <f aca="false">IF(ISNUMBER(C4958),YEAR(C4958),"")</f>
        <v/>
      </c>
      <c r="W4958" s="23" t="str">
        <f aca="false">IF(ISNUMBER(C4958),MONTH(C4958),"")</f>
        <v/>
      </c>
      <c r="X4958" s="23" t="str">
        <f aca="false">IF(T4958="","",IF(T4958=0,"No discount",IF(T4958&lt;=0.2,"Low (1-20%)",IF(T4958&lt;=0.4,"Medium (21-40%)","High (&gt;40%)"))))</f>
        <v/>
      </c>
      <c r="Y4958" s="23" t="str">
        <f aca="false">IF(AND(ISNUMBER(C4958),ISNUMBER(D4958)),D4958-C4958,"")</f>
        <v/>
      </c>
      <c r="Z4958" s="23" t="str">
        <f aca="false">IF(B4958="","",IF(MATCH(B4958,$B$2:$B$12000,0)=ROW()-1,1,0))</f>
        <v/>
      </c>
    </row>
    <row r="4959" customFormat="false" ht="15" hidden="false" customHeight="false" outlineLevel="0" collapsed="false">
      <c r="V4959" s="23" t="str">
        <f aca="false">IF(ISNUMBER(C4959),YEAR(C4959),"")</f>
        <v/>
      </c>
      <c r="W4959" s="23" t="str">
        <f aca="false">IF(ISNUMBER(C4959),MONTH(C4959),"")</f>
        <v/>
      </c>
      <c r="X4959" s="23" t="str">
        <f aca="false">IF(T4959="","",IF(T4959=0,"No discount",IF(T4959&lt;=0.2,"Low (1-20%)",IF(T4959&lt;=0.4,"Medium (21-40%)","High (&gt;40%)"))))</f>
        <v/>
      </c>
      <c r="Y4959" s="23" t="str">
        <f aca="false">IF(AND(ISNUMBER(C4959),ISNUMBER(D4959)),D4959-C4959,"")</f>
        <v/>
      </c>
      <c r="Z4959" s="23" t="str">
        <f aca="false">IF(B4959="","",IF(MATCH(B4959,$B$2:$B$12000,0)=ROW()-1,1,0))</f>
        <v/>
      </c>
    </row>
    <row r="4960" customFormat="false" ht="15" hidden="false" customHeight="false" outlineLevel="0" collapsed="false">
      <c r="V4960" s="23" t="str">
        <f aca="false">IF(ISNUMBER(C4960),YEAR(C4960),"")</f>
        <v/>
      </c>
      <c r="W4960" s="23" t="str">
        <f aca="false">IF(ISNUMBER(C4960),MONTH(C4960),"")</f>
        <v/>
      </c>
      <c r="X4960" s="23" t="str">
        <f aca="false">IF(T4960="","",IF(T4960=0,"No discount",IF(T4960&lt;=0.2,"Low (1-20%)",IF(T4960&lt;=0.4,"Medium (21-40%)","High (&gt;40%)"))))</f>
        <v/>
      </c>
      <c r="Y4960" s="23" t="str">
        <f aca="false">IF(AND(ISNUMBER(C4960),ISNUMBER(D4960)),D4960-C4960,"")</f>
        <v/>
      </c>
      <c r="Z4960" s="23" t="str">
        <f aca="false">IF(B4960="","",IF(MATCH(B4960,$B$2:$B$12000,0)=ROW()-1,1,0))</f>
        <v/>
      </c>
    </row>
    <row r="4961" customFormat="false" ht="15" hidden="false" customHeight="false" outlineLevel="0" collapsed="false">
      <c r="V4961" s="23" t="str">
        <f aca="false">IF(ISNUMBER(C4961),YEAR(C4961),"")</f>
        <v/>
      </c>
      <c r="W4961" s="23" t="str">
        <f aca="false">IF(ISNUMBER(C4961),MONTH(C4961),"")</f>
        <v/>
      </c>
      <c r="X4961" s="23" t="str">
        <f aca="false">IF(T4961="","",IF(T4961=0,"No discount",IF(T4961&lt;=0.2,"Low (1-20%)",IF(T4961&lt;=0.4,"Medium (21-40%)","High (&gt;40%)"))))</f>
        <v/>
      </c>
      <c r="Y4961" s="23" t="str">
        <f aca="false">IF(AND(ISNUMBER(C4961),ISNUMBER(D4961)),D4961-C4961,"")</f>
        <v/>
      </c>
      <c r="Z4961" s="23" t="str">
        <f aca="false">IF(B4961="","",IF(MATCH(B4961,$B$2:$B$12000,0)=ROW()-1,1,0))</f>
        <v/>
      </c>
    </row>
    <row r="4962" customFormat="false" ht="15" hidden="false" customHeight="false" outlineLevel="0" collapsed="false">
      <c r="V4962" s="23" t="str">
        <f aca="false">IF(ISNUMBER(C4962),YEAR(C4962),"")</f>
        <v/>
      </c>
      <c r="W4962" s="23" t="str">
        <f aca="false">IF(ISNUMBER(C4962),MONTH(C4962),"")</f>
        <v/>
      </c>
      <c r="X4962" s="23" t="str">
        <f aca="false">IF(T4962="","",IF(T4962=0,"No discount",IF(T4962&lt;=0.2,"Low (1-20%)",IF(T4962&lt;=0.4,"Medium (21-40%)","High (&gt;40%)"))))</f>
        <v/>
      </c>
      <c r="Y4962" s="23" t="str">
        <f aca="false">IF(AND(ISNUMBER(C4962),ISNUMBER(D4962)),D4962-C4962,"")</f>
        <v/>
      </c>
      <c r="Z4962" s="23" t="str">
        <f aca="false">IF(B4962="","",IF(MATCH(B4962,$B$2:$B$12000,0)=ROW()-1,1,0))</f>
        <v/>
      </c>
    </row>
    <row r="4963" customFormat="false" ht="15" hidden="false" customHeight="false" outlineLevel="0" collapsed="false">
      <c r="V4963" s="23" t="str">
        <f aca="false">IF(ISNUMBER(C4963),YEAR(C4963),"")</f>
        <v/>
      </c>
      <c r="W4963" s="23" t="str">
        <f aca="false">IF(ISNUMBER(C4963),MONTH(C4963),"")</f>
        <v/>
      </c>
      <c r="X4963" s="23" t="str">
        <f aca="false">IF(T4963="","",IF(T4963=0,"No discount",IF(T4963&lt;=0.2,"Low (1-20%)",IF(T4963&lt;=0.4,"Medium (21-40%)","High (&gt;40%)"))))</f>
        <v/>
      </c>
      <c r="Y4963" s="23" t="str">
        <f aca="false">IF(AND(ISNUMBER(C4963),ISNUMBER(D4963)),D4963-C4963,"")</f>
        <v/>
      </c>
      <c r="Z4963" s="23" t="str">
        <f aca="false">IF(B4963="","",IF(MATCH(B4963,$B$2:$B$12000,0)=ROW()-1,1,0))</f>
        <v/>
      </c>
    </row>
    <row r="4964" customFormat="false" ht="15" hidden="false" customHeight="false" outlineLevel="0" collapsed="false">
      <c r="V4964" s="23" t="str">
        <f aca="false">IF(ISNUMBER(C4964),YEAR(C4964),"")</f>
        <v/>
      </c>
      <c r="W4964" s="23" t="str">
        <f aca="false">IF(ISNUMBER(C4964),MONTH(C4964),"")</f>
        <v/>
      </c>
      <c r="X4964" s="23" t="str">
        <f aca="false">IF(T4964="","",IF(T4964=0,"No discount",IF(T4964&lt;=0.2,"Low (1-20%)",IF(T4964&lt;=0.4,"Medium (21-40%)","High (&gt;40%)"))))</f>
        <v/>
      </c>
      <c r="Y4964" s="23" t="str">
        <f aca="false">IF(AND(ISNUMBER(C4964),ISNUMBER(D4964)),D4964-C4964,"")</f>
        <v/>
      </c>
      <c r="Z4964" s="23" t="str">
        <f aca="false">IF(B4964="","",IF(MATCH(B4964,$B$2:$B$12000,0)=ROW()-1,1,0))</f>
        <v/>
      </c>
    </row>
    <row r="4965" customFormat="false" ht="15" hidden="false" customHeight="false" outlineLevel="0" collapsed="false">
      <c r="V4965" s="23" t="str">
        <f aca="false">IF(ISNUMBER(C4965),YEAR(C4965),"")</f>
        <v/>
      </c>
      <c r="W4965" s="23" t="str">
        <f aca="false">IF(ISNUMBER(C4965),MONTH(C4965),"")</f>
        <v/>
      </c>
      <c r="X4965" s="23" t="str">
        <f aca="false">IF(T4965="","",IF(T4965=0,"No discount",IF(T4965&lt;=0.2,"Low (1-20%)",IF(T4965&lt;=0.4,"Medium (21-40%)","High (&gt;40%)"))))</f>
        <v/>
      </c>
      <c r="Y4965" s="23" t="str">
        <f aca="false">IF(AND(ISNUMBER(C4965),ISNUMBER(D4965)),D4965-C4965,"")</f>
        <v/>
      </c>
      <c r="Z4965" s="23" t="str">
        <f aca="false">IF(B4965="","",IF(MATCH(B4965,$B$2:$B$12000,0)=ROW()-1,1,0))</f>
        <v/>
      </c>
    </row>
    <row r="4966" customFormat="false" ht="15" hidden="false" customHeight="false" outlineLevel="0" collapsed="false">
      <c r="V4966" s="23" t="str">
        <f aca="false">IF(ISNUMBER(C4966),YEAR(C4966),"")</f>
        <v/>
      </c>
      <c r="W4966" s="23" t="str">
        <f aca="false">IF(ISNUMBER(C4966),MONTH(C4966),"")</f>
        <v/>
      </c>
      <c r="X4966" s="23" t="str">
        <f aca="false">IF(T4966="","",IF(T4966=0,"No discount",IF(T4966&lt;=0.2,"Low (1-20%)",IF(T4966&lt;=0.4,"Medium (21-40%)","High (&gt;40%)"))))</f>
        <v/>
      </c>
      <c r="Y4966" s="23" t="str">
        <f aca="false">IF(AND(ISNUMBER(C4966),ISNUMBER(D4966)),D4966-C4966,"")</f>
        <v/>
      </c>
      <c r="Z4966" s="23" t="str">
        <f aca="false">IF(B4966="","",IF(MATCH(B4966,$B$2:$B$12000,0)=ROW()-1,1,0))</f>
        <v/>
      </c>
    </row>
    <row r="4967" customFormat="false" ht="15" hidden="false" customHeight="false" outlineLevel="0" collapsed="false">
      <c r="V4967" s="23" t="str">
        <f aca="false">IF(ISNUMBER(C4967),YEAR(C4967),"")</f>
        <v/>
      </c>
      <c r="W4967" s="23" t="str">
        <f aca="false">IF(ISNUMBER(C4967),MONTH(C4967),"")</f>
        <v/>
      </c>
      <c r="X4967" s="23" t="str">
        <f aca="false">IF(T4967="","",IF(T4967=0,"No discount",IF(T4967&lt;=0.2,"Low (1-20%)",IF(T4967&lt;=0.4,"Medium (21-40%)","High (&gt;40%)"))))</f>
        <v/>
      </c>
      <c r="Y4967" s="23" t="str">
        <f aca="false">IF(AND(ISNUMBER(C4967),ISNUMBER(D4967)),D4967-C4967,"")</f>
        <v/>
      </c>
      <c r="Z4967" s="23" t="str">
        <f aca="false">IF(B4967="","",IF(MATCH(B4967,$B$2:$B$12000,0)=ROW()-1,1,0))</f>
        <v/>
      </c>
    </row>
    <row r="4968" customFormat="false" ht="15" hidden="false" customHeight="false" outlineLevel="0" collapsed="false">
      <c r="V4968" s="23" t="str">
        <f aca="false">IF(ISNUMBER(C4968),YEAR(C4968),"")</f>
        <v/>
      </c>
      <c r="W4968" s="23" t="str">
        <f aca="false">IF(ISNUMBER(C4968),MONTH(C4968),"")</f>
        <v/>
      </c>
      <c r="X4968" s="23" t="str">
        <f aca="false">IF(T4968="","",IF(T4968=0,"No discount",IF(T4968&lt;=0.2,"Low (1-20%)",IF(T4968&lt;=0.4,"Medium (21-40%)","High (&gt;40%)"))))</f>
        <v/>
      </c>
      <c r="Y4968" s="23" t="str">
        <f aca="false">IF(AND(ISNUMBER(C4968),ISNUMBER(D4968)),D4968-C4968,"")</f>
        <v/>
      </c>
      <c r="Z4968" s="23" t="str">
        <f aca="false">IF(B4968="","",IF(MATCH(B4968,$B$2:$B$12000,0)=ROW()-1,1,0))</f>
        <v/>
      </c>
    </row>
    <row r="4969" customFormat="false" ht="15" hidden="false" customHeight="false" outlineLevel="0" collapsed="false">
      <c r="V4969" s="23" t="str">
        <f aca="false">IF(ISNUMBER(C4969),YEAR(C4969),"")</f>
        <v/>
      </c>
      <c r="W4969" s="23" t="str">
        <f aca="false">IF(ISNUMBER(C4969),MONTH(C4969),"")</f>
        <v/>
      </c>
      <c r="X4969" s="23" t="str">
        <f aca="false">IF(T4969="","",IF(T4969=0,"No discount",IF(T4969&lt;=0.2,"Low (1-20%)",IF(T4969&lt;=0.4,"Medium (21-40%)","High (&gt;40%)"))))</f>
        <v/>
      </c>
      <c r="Y4969" s="23" t="str">
        <f aca="false">IF(AND(ISNUMBER(C4969),ISNUMBER(D4969)),D4969-C4969,"")</f>
        <v/>
      </c>
      <c r="Z4969" s="23" t="str">
        <f aca="false">IF(B4969="","",IF(MATCH(B4969,$B$2:$B$12000,0)=ROW()-1,1,0))</f>
        <v/>
      </c>
    </row>
    <row r="4970" customFormat="false" ht="15" hidden="false" customHeight="false" outlineLevel="0" collapsed="false">
      <c r="V4970" s="23" t="str">
        <f aca="false">IF(ISNUMBER(C4970),YEAR(C4970),"")</f>
        <v/>
      </c>
      <c r="W4970" s="23" t="str">
        <f aca="false">IF(ISNUMBER(C4970),MONTH(C4970),"")</f>
        <v/>
      </c>
      <c r="X4970" s="23" t="str">
        <f aca="false">IF(T4970="","",IF(T4970=0,"No discount",IF(T4970&lt;=0.2,"Low (1-20%)",IF(T4970&lt;=0.4,"Medium (21-40%)","High (&gt;40%)"))))</f>
        <v/>
      </c>
      <c r="Y4970" s="23" t="str">
        <f aca="false">IF(AND(ISNUMBER(C4970),ISNUMBER(D4970)),D4970-C4970,"")</f>
        <v/>
      </c>
      <c r="Z4970" s="23" t="str">
        <f aca="false">IF(B4970="","",IF(MATCH(B4970,$B$2:$B$12000,0)=ROW()-1,1,0))</f>
        <v/>
      </c>
    </row>
    <row r="4971" customFormat="false" ht="15" hidden="false" customHeight="false" outlineLevel="0" collapsed="false">
      <c r="V4971" s="23" t="str">
        <f aca="false">IF(ISNUMBER(C4971),YEAR(C4971),"")</f>
        <v/>
      </c>
      <c r="W4971" s="23" t="str">
        <f aca="false">IF(ISNUMBER(C4971),MONTH(C4971),"")</f>
        <v/>
      </c>
      <c r="X4971" s="23" t="str">
        <f aca="false">IF(T4971="","",IF(T4971=0,"No discount",IF(T4971&lt;=0.2,"Low (1-20%)",IF(T4971&lt;=0.4,"Medium (21-40%)","High (&gt;40%)"))))</f>
        <v/>
      </c>
      <c r="Y4971" s="23" t="str">
        <f aca="false">IF(AND(ISNUMBER(C4971),ISNUMBER(D4971)),D4971-C4971,"")</f>
        <v/>
      </c>
      <c r="Z4971" s="23" t="str">
        <f aca="false">IF(B4971="","",IF(MATCH(B4971,$B$2:$B$12000,0)=ROW()-1,1,0))</f>
        <v/>
      </c>
    </row>
    <row r="4972" customFormat="false" ht="15" hidden="false" customHeight="false" outlineLevel="0" collapsed="false">
      <c r="V4972" s="23" t="str">
        <f aca="false">IF(ISNUMBER(C4972),YEAR(C4972),"")</f>
        <v/>
      </c>
      <c r="W4972" s="23" t="str">
        <f aca="false">IF(ISNUMBER(C4972),MONTH(C4972),"")</f>
        <v/>
      </c>
      <c r="X4972" s="23" t="str">
        <f aca="false">IF(T4972="","",IF(T4972=0,"No discount",IF(T4972&lt;=0.2,"Low (1-20%)",IF(T4972&lt;=0.4,"Medium (21-40%)","High (&gt;40%)"))))</f>
        <v/>
      </c>
      <c r="Y4972" s="23" t="str">
        <f aca="false">IF(AND(ISNUMBER(C4972),ISNUMBER(D4972)),D4972-C4972,"")</f>
        <v/>
      </c>
      <c r="Z4972" s="23" t="str">
        <f aca="false">IF(B4972="","",IF(MATCH(B4972,$B$2:$B$12000,0)=ROW()-1,1,0))</f>
        <v/>
      </c>
    </row>
    <row r="4973" customFormat="false" ht="15" hidden="false" customHeight="false" outlineLevel="0" collapsed="false">
      <c r="V4973" s="23" t="str">
        <f aca="false">IF(ISNUMBER(C4973),YEAR(C4973),"")</f>
        <v/>
      </c>
      <c r="W4973" s="23" t="str">
        <f aca="false">IF(ISNUMBER(C4973),MONTH(C4973),"")</f>
        <v/>
      </c>
      <c r="X4973" s="23" t="str">
        <f aca="false">IF(T4973="","",IF(T4973=0,"No discount",IF(T4973&lt;=0.2,"Low (1-20%)",IF(T4973&lt;=0.4,"Medium (21-40%)","High (&gt;40%)"))))</f>
        <v/>
      </c>
      <c r="Y4973" s="23" t="str">
        <f aca="false">IF(AND(ISNUMBER(C4973),ISNUMBER(D4973)),D4973-C4973,"")</f>
        <v/>
      </c>
      <c r="Z4973" s="23" t="str">
        <f aca="false">IF(B4973="","",IF(MATCH(B4973,$B$2:$B$12000,0)=ROW()-1,1,0))</f>
        <v/>
      </c>
    </row>
    <row r="4974" customFormat="false" ht="15" hidden="false" customHeight="false" outlineLevel="0" collapsed="false">
      <c r="V4974" s="23" t="str">
        <f aca="false">IF(ISNUMBER(C4974),YEAR(C4974),"")</f>
        <v/>
      </c>
      <c r="W4974" s="23" t="str">
        <f aca="false">IF(ISNUMBER(C4974),MONTH(C4974),"")</f>
        <v/>
      </c>
      <c r="X4974" s="23" t="str">
        <f aca="false">IF(T4974="","",IF(T4974=0,"No discount",IF(T4974&lt;=0.2,"Low (1-20%)",IF(T4974&lt;=0.4,"Medium (21-40%)","High (&gt;40%)"))))</f>
        <v/>
      </c>
      <c r="Y4974" s="23" t="str">
        <f aca="false">IF(AND(ISNUMBER(C4974),ISNUMBER(D4974)),D4974-C4974,"")</f>
        <v/>
      </c>
      <c r="Z4974" s="23" t="str">
        <f aca="false">IF(B4974="","",IF(MATCH(B4974,$B$2:$B$12000,0)=ROW()-1,1,0))</f>
        <v/>
      </c>
    </row>
    <row r="4975" customFormat="false" ht="15" hidden="false" customHeight="false" outlineLevel="0" collapsed="false">
      <c r="V4975" s="23" t="str">
        <f aca="false">IF(ISNUMBER(C4975),YEAR(C4975),"")</f>
        <v/>
      </c>
      <c r="W4975" s="23" t="str">
        <f aca="false">IF(ISNUMBER(C4975),MONTH(C4975),"")</f>
        <v/>
      </c>
      <c r="X4975" s="23" t="str">
        <f aca="false">IF(T4975="","",IF(T4975=0,"No discount",IF(T4975&lt;=0.2,"Low (1-20%)",IF(T4975&lt;=0.4,"Medium (21-40%)","High (&gt;40%)"))))</f>
        <v/>
      </c>
      <c r="Y4975" s="23" t="str">
        <f aca="false">IF(AND(ISNUMBER(C4975),ISNUMBER(D4975)),D4975-C4975,"")</f>
        <v/>
      </c>
      <c r="Z4975" s="23" t="str">
        <f aca="false">IF(B4975="","",IF(MATCH(B4975,$B$2:$B$12000,0)=ROW()-1,1,0))</f>
        <v/>
      </c>
    </row>
    <row r="4976" customFormat="false" ht="15" hidden="false" customHeight="false" outlineLevel="0" collapsed="false">
      <c r="V4976" s="23" t="str">
        <f aca="false">IF(ISNUMBER(C4976),YEAR(C4976),"")</f>
        <v/>
      </c>
      <c r="W4976" s="23" t="str">
        <f aca="false">IF(ISNUMBER(C4976),MONTH(C4976),"")</f>
        <v/>
      </c>
      <c r="X4976" s="23" t="str">
        <f aca="false">IF(T4976="","",IF(T4976=0,"No discount",IF(T4976&lt;=0.2,"Low (1-20%)",IF(T4976&lt;=0.4,"Medium (21-40%)","High (&gt;40%)"))))</f>
        <v/>
      </c>
      <c r="Y4976" s="23" t="str">
        <f aca="false">IF(AND(ISNUMBER(C4976),ISNUMBER(D4976)),D4976-C4976,"")</f>
        <v/>
      </c>
      <c r="Z4976" s="23" t="str">
        <f aca="false">IF(B4976="","",IF(MATCH(B4976,$B$2:$B$12000,0)=ROW()-1,1,0))</f>
        <v/>
      </c>
    </row>
    <row r="4977" customFormat="false" ht="15" hidden="false" customHeight="false" outlineLevel="0" collapsed="false">
      <c r="V4977" s="23" t="str">
        <f aca="false">IF(ISNUMBER(C4977),YEAR(C4977),"")</f>
        <v/>
      </c>
      <c r="W4977" s="23" t="str">
        <f aca="false">IF(ISNUMBER(C4977),MONTH(C4977),"")</f>
        <v/>
      </c>
      <c r="X4977" s="23" t="str">
        <f aca="false">IF(T4977="","",IF(T4977=0,"No discount",IF(T4977&lt;=0.2,"Low (1-20%)",IF(T4977&lt;=0.4,"Medium (21-40%)","High (&gt;40%)"))))</f>
        <v/>
      </c>
      <c r="Y4977" s="23" t="str">
        <f aca="false">IF(AND(ISNUMBER(C4977),ISNUMBER(D4977)),D4977-C4977,"")</f>
        <v/>
      </c>
      <c r="Z4977" s="23" t="str">
        <f aca="false">IF(B4977="","",IF(MATCH(B4977,$B$2:$B$12000,0)=ROW()-1,1,0))</f>
        <v/>
      </c>
    </row>
    <row r="4978" customFormat="false" ht="15" hidden="false" customHeight="false" outlineLevel="0" collapsed="false">
      <c r="V4978" s="23" t="str">
        <f aca="false">IF(ISNUMBER(C4978),YEAR(C4978),"")</f>
        <v/>
      </c>
      <c r="W4978" s="23" t="str">
        <f aca="false">IF(ISNUMBER(C4978),MONTH(C4978),"")</f>
        <v/>
      </c>
      <c r="X4978" s="23" t="str">
        <f aca="false">IF(T4978="","",IF(T4978=0,"No discount",IF(T4978&lt;=0.2,"Low (1-20%)",IF(T4978&lt;=0.4,"Medium (21-40%)","High (&gt;40%)"))))</f>
        <v/>
      </c>
      <c r="Y4978" s="23" t="str">
        <f aca="false">IF(AND(ISNUMBER(C4978),ISNUMBER(D4978)),D4978-C4978,"")</f>
        <v/>
      </c>
      <c r="Z4978" s="23" t="str">
        <f aca="false">IF(B4978="","",IF(MATCH(B4978,$B$2:$B$12000,0)=ROW()-1,1,0))</f>
        <v/>
      </c>
    </row>
    <row r="4979" customFormat="false" ht="15" hidden="false" customHeight="false" outlineLevel="0" collapsed="false">
      <c r="V4979" s="23" t="str">
        <f aca="false">IF(ISNUMBER(C4979),YEAR(C4979),"")</f>
        <v/>
      </c>
      <c r="W4979" s="23" t="str">
        <f aca="false">IF(ISNUMBER(C4979),MONTH(C4979),"")</f>
        <v/>
      </c>
      <c r="X4979" s="23" t="str">
        <f aca="false">IF(T4979="","",IF(T4979=0,"No discount",IF(T4979&lt;=0.2,"Low (1-20%)",IF(T4979&lt;=0.4,"Medium (21-40%)","High (&gt;40%)"))))</f>
        <v/>
      </c>
      <c r="Y4979" s="23" t="str">
        <f aca="false">IF(AND(ISNUMBER(C4979),ISNUMBER(D4979)),D4979-C4979,"")</f>
        <v/>
      </c>
      <c r="Z4979" s="23" t="str">
        <f aca="false">IF(B4979="","",IF(MATCH(B4979,$B$2:$B$12000,0)=ROW()-1,1,0))</f>
        <v/>
      </c>
    </row>
    <row r="4980" customFormat="false" ht="15" hidden="false" customHeight="false" outlineLevel="0" collapsed="false">
      <c r="V4980" s="23" t="str">
        <f aca="false">IF(ISNUMBER(C4980),YEAR(C4980),"")</f>
        <v/>
      </c>
      <c r="W4980" s="23" t="str">
        <f aca="false">IF(ISNUMBER(C4980),MONTH(C4980),"")</f>
        <v/>
      </c>
      <c r="X4980" s="23" t="str">
        <f aca="false">IF(T4980="","",IF(T4980=0,"No discount",IF(T4980&lt;=0.2,"Low (1-20%)",IF(T4980&lt;=0.4,"Medium (21-40%)","High (&gt;40%)"))))</f>
        <v/>
      </c>
      <c r="Y4980" s="23" t="str">
        <f aca="false">IF(AND(ISNUMBER(C4980),ISNUMBER(D4980)),D4980-C4980,"")</f>
        <v/>
      </c>
      <c r="Z4980" s="23" t="str">
        <f aca="false">IF(B4980="","",IF(MATCH(B4980,$B$2:$B$12000,0)=ROW()-1,1,0))</f>
        <v/>
      </c>
    </row>
    <row r="4981" customFormat="false" ht="15" hidden="false" customHeight="false" outlineLevel="0" collapsed="false">
      <c r="V4981" s="23" t="str">
        <f aca="false">IF(ISNUMBER(C4981),YEAR(C4981),"")</f>
        <v/>
      </c>
      <c r="W4981" s="23" t="str">
        <f aca="false">IF(ISNUMBER(C4981),MONTH(C4981),"")</f>
        <v/>
      </c>
      <c r="X4981" s="23" t="str">
        <f aca="false">IF(T4981="","",IF(T4981=0,"No discount",IF(T4981&lt;=0.2,"Low (1-20%)",IF(T4981&lt;=0.4,"Medium (21-40%)","High (&gt;40%)"))))</f>
        <v/>
      </c>
      <c r="Y4981" s="23" t="str">
        <f aca="false">IF(AND(ISNUMBER(C4981),ISNUMBER(D4981)),D4981-C4981,"")</f>
        <v/>
      </c>
      <c r="Z4981" s="23" t="str">
        <f aca="false">IF(B4981="","",IF(MATCH(B4981,$B$2:$B$12000,0)=ROW()-1,1,0))</f>
        <v/>
      </c>
    </row>
    <row r="4982" customFormat="false" ht="15" hidden="false" customHeight="false" outlineLevel="0" collapsed="false">
      <c r="V4982" s="23" t="str">
        <f aca="false">IF(ISNUMBER(C4982),YEAR(C4982),"")</f>
        <v/>
      </c>
      <c r="W4982" s="23" t="str">
        <f aca="false">IF(ISNUMBER(C4982),MONTH(C4982),"")</f>
        <v/>
      </c>
      <c r="X4982" s="23" t="str">
        <f aca="false">IF(T4982="","",IF(T4982=0,"No discount",IF(T4982&lt;=0.2,"Low (1-20%)",IF(T4982&lt;=0.4,"Medium (21-40%)","High (&gt;40%)"))))</f>
        <v/>
      </c>
      <c r="Y4982" s="23" t="str">
        <f aca="false">IF(AND(ISNUMBER(C4982),ISNUMBER(D4982)),D4982-C4982,"")</f>
        <v/>
      </c>
      <c r="Z4982" s="23" t="str">
        <f aca="false">IF(B4982="","",IF(MATCH(B4982,$B$2:$B$12000,0)=ROW()-1,1,0))</f>
        <v/>
      </c>
    </row>
    <row r="4983" customFormat="false" ht="15" hidden="false" customHeight="false" outlineLevel="0" collapsed="false">
      <c r="V4983" s="23" t="str">
        <f aca="false">IF(ISNUMBER(C4983),YEAR(C4983),"")</f>
        <v/>
      </c>
      <c r="W4983" s="23" t="str">
        <f aca="false">IF(ISNUMBER(C4983),MONTH(C4983),"")</f>
        <v/>
      </c>
      <c r="X4983" s="23" t="str">
        <f aca="false">IF(T4983="","",IF(T4983=0,"No discount",IF(T4983&lt;=0.2,"Low (1-20%)",IF(T4983&lt;=0.4,"Medium (21-40%)","High (&gt;40%)"))))</f>
        <v/>
      </c>
      <c r="Y4983" s="23" t="str">
        <f aca="false">IF(AND(ISNUMBER(C4983),ISNUMBER(D4983)),D4983-C4983,"")</f>
        <v/>
      </c>
      <c r="Z4983" s="23" t="str">
        <f aca="false">IF(B4983="","",IF(MATCH(B4983,$B$2:$B$12000,0)=ROW()-1,1,0))</f>
        <v/>
      </c>
    </row>
    <row r="4984" customFormat="false" ht="15" hidden="false" customHeight="false" outlineLevel="0" collapsed="false">
      <c r="V4984" s="23" t="str">
        <f aca="false">IF(ISNUMBER(C4984),YEAR(C4984),"")</f>
        <v/>
      </c>
      <c r="W4984" s="23" t="str">
        <f aca="false">IF(ISNUMBER(C4984),MONTH(C4984),"")</f>
        <v/>
      </c>
      <c r="X4984" s="23" t="str">
        <f aca="false">IF(T4984="","",IF(T4984=0,"No discount",IF(T4984&lt;=0.2,"Low (1-20%)",IF(T4984&lt;=0.4,"Medium (21-40%)","High (&gt;40%)"))))</f>
        <v/>
      </c>
      <c r="Y4984" s="23" t="str">
        <f aca="false">IF(AND(ISNUMBER(C4984),ISNUMBER(D4984)),D4984-C4984,"")</f>
        <v/>
      </c>
      <c r="Z4984" s="23" t="str">
        <f aca="false">IF(B4984="","",IF(MATCH(B4984,$B$2:$B$12000,0)=ROW()-1,1,0))</f>
        <v/>
      </c>
    </row>
    <row r="4985" customFormat="false" ht="15" hidden="false" customHeight="false" outlineLevel="0" collapsed="false">
      <c r="V4985" s="23" t="str">
        <f aca="false">IF(ISNUMBER(C4985),YEAR(C4985),"")</f>
        <v/>
      </c>
      <c r="W4985" s="23" t="str">
        <f aca="false">IF(ISNUMBER(C4985),MONTH(C4985),"")</f>
        <v/>
      </c>
      <c r="X4985" s="23" t="str">
        <f aca="false">IF(T4985="","",IF(T4985=0,"No discount",IF(T4985&lt;=0.2,"Low (1-20%)",IF(T4985&lt;=0.4,"Medium (21-40%)","High (&gt;40%)"))))</f>
        <v/>
      </c>
      <c r="Y4985" s="23" t="str">
        <f aca="false">IF(AND(ISNUMBER(C4985),ISNUMBER(D4985)),D4985-C4985,"")</f>
        <v/>
      </c>
      <c r="Z4985" s="23" t="str">
        <f aca="false">IF(B4985="","",IF(MATCH(B4985,$B$2:$B$12000,0)=ROW()-1,1,0))</f>
        <v/>
      </c>
    </row>
    <row r="4986" customFormat="false" ht="15" hidden="false" customHeight="false" outlineLevel="0" collapsed="false">
      <c r="V4986" s="23" t="str">
        <f aca="false">IF(ISNUMBER(C4986),YEAR(C4986),"")</f>
        <v/>
      </c>
      <c r="W4986" s="23" t="str">
        <f aca="false">IF(ISNUMBER(C4986),MONTH(C4986),"")</f>
        <v/>
      </c>
      <c r="X4986" s="23" t="str">
        <f aca="false">IF(T4986="","",IF(T4986=0,"No discount",IF(T4986&lt;=0.2,"Low (1-20%)",IF(T4986&lt;=0.4,"Medium (21-40%)","High (&gt;40%)"))))</f>
        <v/>
      </c>
      <c r="Y4986" s="23" t="str">
        <f aca="false">IF(AND(ISNUMBER(C4986),ISNUMBER(D4986)),D4986-C4986,"")</f>
        <v/>
      </c>
      <c r="Z4986" s="23" t="str">
        <f aca="false">IF(B4986="","",IF(MATCH(B4986,$B$2:$B$12000,0)=ROW()-1,1,0))</f>
        <v/>
      </c>
    </row>
    <row r="4987" customFormat="false" ht="15" hidden="false" customHeight="false" outlineLevel="0" collapsed="false">
      <c r="V4987" s="23" t="str">
        <f aca="false">IF(ISNUMBER(C4987),YEAR(C4987),"")</f>
        <v/>
      </c>
      <c r="W4987" s="23" t="str">
        <f aca="false">IF(ISNUMBER(C4987),MONTH(C4987),"")</f>
        <v/>
      </c>
      <c r="X4987" s="23" t="str">
        <f aca="false">IF(T4987="","",IF(T4987=0,"No discount",IF(T4987&lt;=0.2,"Low (1-20%)",IF(T4987&lt;=0.4,"Medium (21-40%)","High (&gt;40%)"))))</f>
        <v/>
      </c>
      <c r="Y4987" s="23" t="str">
        <f aca="false">IF(AND(ISNUMBER(C4987),ISNUMBER(D4987)),D4987-C4987,"")</f>
        <v/>
      </c>
      <c r="Z4987" s="23" t="str">
        <f aca="false">IF(B4987="","",IF(MATCH(B4987,$B$2:$B$12000,0)=ROW()-1,1,0))</f>
        <v/>
      </c>
    </row>
    <row r="4988" customFormat="false" ht="15" hidden="false" customHeight="false" outlineLevel="0" collapsed="false">
      <c r="V4988" s="23" t="str">
        <f aca="false">IF(ISNUMBER(C4988),YEAR(C4988),"")</f>
        <v/>
      </c>
      <c r="W4988" s="23" t="str">
        <f aca="false">IF(ISNUMBER(C4988),MONTH(C4988),"")</f>
        <v/>
      </c>
      <c r="X4988" s="23" t="str">
        <f aca="false">IF(T4988="","",IF(T4988=0,"No discount",IF(T4988&lt;=0.2,"Low (1-20%)",IF(T4988&lt;=0.4,"Medium (21-40%)","High (&gt;40%)"))))</f>
        <v/>
      </c>
      <c r="Y4988" s="23" t="str">
        <f aca="false">IF(AND(ISNUMBER(C4988),ISNUMBER(D4988)),D4988-C4988,"")</f>
        <v/>
      </c>
      <c r="Z4988" s="23" t="str">
        <f aca="false">IF(B4988="","",IF(MATCH(B4988,$B$2:$B$12000,0)=ROW()-1,1,0))</f>
        <v/>
      </c>
    </row>
    <row r="4989" customFormat="false" ht="15" hidden="false" customHeight="false" outlineLevel="0" collapsed="false">
      <c r="V4989" s="23" t="str">
        <f aca="false">IF(ISNUMBER(C4989),YEAR(C4989),"")</f>
        <v/>
      </c>
      <c r="W4989" s="23" t="str">
        <f aca="false">IF(ISNUMBER(C4989),MONTH(C4989),"")</f>
        <v/>
      </c>
      <c r="X4989" s="23" t="str">
        <f aca="false">IF(T4989="","",IF(T4989=0,"No discount",IF(T4989&lt;=0.2,"Low (1-20%)",IF(T4989&lt;=0.4,"Medium (21-40%)","High (&gt;40%)"))))</f>
        <v/>
      </c>
      <c r="Y4989" s="23" t="str">
        <f aca="false">IF(AND(ISNUMBER(C4989),ISNUMBER(D4989)),D4989-C4989,"")</f>
        <v/>
      </c>
      <c r="Z4989" s="23" t="str">
        <f aca="false">IF(B4989="","",IF(MATCH(B4989,$B$2:$B$12000,0)=ROW()-1,1,0))</f>
        <v/>
      </c>
    </row>
    <row r="4990" customFormat="false" ht="15" hidden="false" customHeight="false" outlineLevel="0" collapsed="false">
      <c r="V4990" s="23" t="str">
        <f aca="false">IF(ISNUMBER(C4990),YEAR(C4990),"")</f>
        <v/>
      </c>
      <c r="W4990" s="23" t="str">
        <f aca="false">IF(ISNUMBER(C4990),MONTH(C4990),"")</f>
        <v/>
      </c>
      <c r="X4990" s="23" t="str">
        <f aca="false">IF(T4990="","",IF(T4990=0,"No discount",IF(T4990&lt;=0.2,"Low (1-20%)",IF(T4990&lt;=0.4,"Medium (21-40%)","High (&gt;40%)"))))</f>
        <v/>
      </c>
      <c r="Y4990" s="23" t="str">
        <f aca="false">IF(AND(ISNUMBER(C4990),ISNUMBER(D4990)),D4990-C4990,"")</f>
        <v/>
      </c>
      <c r="Z4990" s="23" t="str">
        <f aca="false">IF(B4990="","",IF(MATCH(B4990,$B$2:$B$12000,0)=ROW()-1,1,0))</f>
        <v/>
      </c>
    </row>
    <row r="4991" customFormat="false" ht="15" hidden="false" customHeight="false" outlineLevel="0" collapsed="false">
      <c r="V4991" s="23" t="str">
        <f aca="false">IF(ISNUMBER(C4991),YEAR(C4991),"")</f>
        <v/>
      </c>
      <c r="W4991" s="23" t="str">
        <f aca="false">IF(ISNUMBER(C4991),MONTH(C4991),"")</f>
        <v/>
      </c>
      <c r="X4991" s="23" t="str">
        <f aca="false">IF(T4991="","",IF(T4991=0,"No discount",IF(T4991&lt;=0.2,"Low (1-20%)",IF(T4991&lt;=0.4,"Medium (21-40%)","High (&gt;40%)"))))</f>
        <v/>
      </c>
      <c r="Y4991" s="23" t="str">
        <f aca="false">IF(AND(ISNUMBER(C4991),ISNUMBER(D4991)),D4991-C4991,"")</f>
        <v/>
      </c>
      <c r="Z4991" s="23" t="str">
        <f aca="false">IF(B4991="","",IF(MATCH(B4991,$B$2:$B$12000,0)=ROW()-1,1,0))</f>
        <v/>
      </c>
    </row>
    <row r="4992" customFormat="false" ht="15" hidden="false" customHeight="false" outlineLevel="0" collapsed="false">
      <c r="V4992" s="23" t="str">
        <f aca="false">IF(ISNUMBER(C4992),YEAR(C4992),"")</f>
        <v/>
      </c>
      <c r="W4992" s="23" t="str">
        <f aca="false">IF(ISNUMBER(C4992),MONTH(C4992),"")</f>
        <v/>
      </c>
      <c r="X4992" s="23" t="str">
        <f aca="false">IF(T4992="","",IF(T4992=0,"No discount",IF(T4992&lt;=0.2,"Low (1-20%)",IF(T4992&lt;=0.4,"Medium (21-40%)","High (&gt;40%)"))))</f>
        <v/>
      </c>
      <c r="Y4992" s="23" t="str">
        <f aca="false">IF(AND(ISNUMBER(C4992),ISNUMBER(D4992)),D4992-C4992,"")</f>
        <v/>
      </c>
      <c r="Z4992" s="23" t="str">
        <f aca="false">IF(B4992="","",IF(MATCH(B4992,$B$2:$B$12000,0)=ROW()-1,1,0))</f>
        <v/>
      </c>
    </row>
    <row r="4993" customFormat="false" ht="15" hidden="false" customHeight="false" outlineLevel="0" collapsed="false">
      <c r="V4993" s="23" t="str">
        <f aca="false">IF(ISNUMBER(C4993),YEAR(C4993),"")</f>
        <v/>
      </c>
      <c r="W4993" s="23" t="str">
        <f aca="false">IF(ISNUMBER(C4993),MONTH(C4993),"")</f>
        <v/>
      </c>
      <c r="X4993" s="23" t="str">
        <f aca="false">IF(T4993="","",IF(T4993=0,"No discount",IF(T4993&lt;=0.2,"Low (1-20%)",IF(T4993&lt;=0.4,"Medium (21-40%)","High (&gt;40%)"))))</f>
        <v/>
      </c>
      <c r="Y4993" s="23" t="str">
        <f aca="false">IF(AND(ISNUMBER(C4993),ISNUMBER(D4993)),D4993-C4993,"")</f>
        <v/>
      </c>
      <c r="Z4993" s="23" t="str">
        <f aca="false">IF(B4993="","",IF(MATCH(B4993,$B$2:$B$12000,0)=ROW()-1,1,0))</f>
        <v/>
      </c>
    </row>
    <row r="4994" customFormat="false" ht="15" hidden="false" customHeight="false" outlineLevel="0" collapsed="false">
      <c r="V4994" s="23" t="str">
        <f aca="false">IF(ISNUMBER(C4994),YEAR(C4994),"")</f>
        <v/>
      </c>
      <c r="W4994" s="23" t="str">
        <f aca="false">IF(ISNUMBER(C4994),MONTH(C4994),"")</f>
        <v/>
      </c>
      <c r="X4994" s="23" t="str">
        <f aca="false">IF(T4994="","",IF(T4994=0,"No discount",IF(T4994&lt;=0.2,"Low (1-20%)",IF(T4994&lt;=0.4,"Medium (21-40%)","High (&gt;40%)"))))</f>
        <v/>
      </c>
      <c r="Y4994" s="23" t="str">
        <f aca="false">IF(AND(ISNUMBER(C4994),ISNUMBER(D4994)),D4994-C4994,"")</f>
        <v/>
      </c>
      <c r="Z4994" s="23" t="str">
        <f aca="false">IF(B4994="","",IF(MATCH(B4994,$B$2:$B$12000,0)=ROW()-1,1,0))</f>
        <v/>
      </c>
    </row>
    <row r="4995" customFormat="false" ht="15" hidden="false" customHeight="false" outlineLevel="0" collapsed="false">
      <c r="V4995" s="23" t="str">
        <f aca="false">IF(ISNUMBER(C4995),YEAR(C4995),"")</f>
        <v/>
      </c>
      <c r="W4995" s="23" t="str">
        <f aca="false">IF(ISNUMBER(C4995),MONTH(C4995),"")</f>
        <v/>
      </c>
      <c r="X4995" s="23" t="str">
        <f aca="false">IF(T4995="","",IF(T4995=0,"No discount",IF(T4995&lt;=0.2,"Low (1-20%)",IF(T4995&lt;=0.4,"Medium (21-40%)","High (&gt;40%)"))))</f>
        <v/>
      </c>
      <c r="Y4995" s="23" t="str">
        <f aca="false">IF(AND(ISNUMBER(C4995),ISNUMBER(D4995)),D4995-C4995,"")</f>
        <v/>
      </c>
      <c r="Z4995" s="23" t="str">
        <f aca="false">IF(B4995="","",IF(MATCH(B4995,$B$2:$B$12000,0)=ROW()-1,1,0))</f>
        <v/>
      </c>
    </row>
    <row r="4996" customFormat="false" ht="15" hidden="false" customHeight="false" outlineLevel="0" collapsed="false">
      <c r="V4996" s="23" t="str">
        <f aca="false">IF(ISNUMBER(C4996),YEAR(C4996),"")</f>
        <v/>
      </c>
      <c r="W4996" s="23" t="str">
        <f aca="false">IF(ISNUMBER(C4996),MONTH(C4996),"")</f>
        <v/>
      </c>
      <c r="X4996" s="23" t="str">
        <f aca="false">IF(T4996="","",IF(T4996=0,"No discount",IF(T4996&lt;=0.2,"Low (1-20%)",IF(T4996&lt;=0.4,"Medium (21-40%)","High (&gt;40%)"))))</f>
        <v/>
      </c>
      <c r="Y4996" s="23" t="str">
        <f aca="false">IF(AND(ISNUMBER(C4996),ISNUMBER(D4996)),D4996-C4996,"")</f>
        <v/>
      </c>
      <c r="Z4996" s="23" t="str">
        <f aca="false">IF(B4996="","",IF(MATCH(B4996,$B$2:$B$12000,0)=ROW()-1,1,0))</f>
        <v/>
      </c>
    </row>
    <row r="4997" customFormat="false" ht="15" hidden="false" customHeight="false" outlineLevel="0" collapsed="false">
      <c r="V4997" s="23" t="str">
        <f aca="false">IF(ISNUMBER(C4997),YEAR(C4997),"")</f>
        <v/>
      </c>
      <c r="W4997" s="23" t="str">
        <f aca="false">IF(ISNUMBER(C4997),MONTH(C4997),"")</f>
        <v/>
      </c>
      <c r="X4997" s="23" t="str">
        <f aca="false">IF(T4997="","",IF(T4997=0,"No discount",IF(T4997&lt;=0.2,"Low (1-20%)",IF(T4997&lt;=0.4,"Medium (21-40%)","High (&gt;40%)"))))</f>
        <v/>
      </c>
      <c r="Y4997" s="23" t="str">
        <f aca="false">IF(AND(ISNUMBER(C4997),ISNUMBER(D4997)),D4997-C4997,"")</f>
        <v/>
      </c>
      <c r="Z4997" s="23" t="str">
        <f aca="false">IF(B4997="","",IF(MATCH(B4997,$B$2:$B$12000,0)=ROW()-1,1,0))</f>
        <v/>
      </c>
    </row>
    <row r="4998" customFormat="false" ht="15" hidden="false" customHeight="false" outlineLevel="0" collapsed="false">
      <c r="V4998" s="23" t="str">
        <f aca="false">IF(ISNUMBER(C4998),YEAR(C4998),"")</f>
        <v/>
      </c>
      <c r="W4998" s="23" t="str">
        <f aca="false">IF(ISNUMBER(C4998),MONTH(C4998),"")</f>
        <v/>
      </c>
      <c r="X4998" s="23" t="str">
        <f aca="false">IF(T4998="","",IF(T4998=0,"No discount",IF(T4998&lt;=0.2,"Low (1-20%)",IF(T4998&lt;=0.4,"Medium (21-40%)","High (&gt;40%)"))))</f>
        <v/>
      </c>
      <c r="Y4998" s="23" t="str">
        <f aca="false">IF(AND(ISNUMBER(C4998),ISNUMBER(D4998)),D4998-C4998,"")</f>
        <v/>
      </c>
      <c r="Z4998" s="23" t="str">
        <f aca="false">IF(B4998="","",IF(MATCH(B4998,$B$2:$B$12000,0)=ROW()-1,1,0))</f>
        <v/>
      </c>
    </row>
    <row r="4999" customFormat="false" ht="15" hidden="false" customHeight="false" outlineLevel="0" collapsed="false">
      <c r="V4999" s="23" t="str">
        <f aca="false">IF(ISNUMBER(C4999),YEAR(C4999),"")</f>
        <v/>
      </c>
      <c r="W4999" s="23" t="str">
        <f aca="false">IF(ISNUMBER(C4999),MONTH(C4999),"")</f>
        <v/>
      </c>
      <c r="X4999" s="23" t="str">
        <f aca="false">IF(T4999="","",IF(T4999=0,"No discount",IF(T4999&lt;=0.2,"Low (1-20%)",IF(T4999&lt;=0.4,"Medium (21-40%)","High (&gt;40%)"))))</f>
        <v/>
      </c>
      <c r="Y4999" s="23" t="str">
        <f aca="false">IF(AND(ISNUMBER(C4999),ISNUMBER(D4999)),D4999-C4999,"")</f>
        <v/>
      </c>
      <c r="Z4999" s="23" t="str">
        <f aca="false">IF(B4999="","",IF(MATCH(B4999,$B$2:$B$12000,0)=ROW()-1,1,0))</f>
        <v/>
      </c>
    </row>
    <row r="5000" customFormat="false" ht="15" hidden="false" customHeight="false" outlineLevel="0" collapsed="false">
      <c r="V5000" s="23" t="str">
        <f aca="false">IF(ISNUMBER(C5000),YEAR(C5000),"")</f>
        <v/>
      </c>
      <c r="W5000" s="23" t="str">
        <f aca="false">IF(ISNUMBER(C5000),MONTH(C5000),"")</f>
        <v/>
      </c>
      <c r="X5000" s="23" t="str">
        <f aca="false">IF(T5000="","",IF(T5000=0,"No discount",IF(T5000&lt;=0.2,"Low (1-20%)",IF(T5000&lt;=0.4,"Medium (21-40%)","High (&gt;40%)"))))</f>
        <v/>
      </c>
      <c r="Y5000" s="23" t="str">
        <f aca="false">IF(AND(ISNUMBER(C5000),ISNUMBER(D5000)),D5000-C5000,"")</f>
        <v/>
      </c>
      <c r="Z5000" s="23" t="str">
        <f aca="false">IF(B5000="","",IF(MATCH(B5000,$B$2:$B$12000,0)=ROW()-1,1,0))</f>
        <v/>
      </c>
    </row>
    <row r="5001" customFormat="false" ht="15" hidden="false" customHeight="false" outlineLevel="0" collapsed="false">
      <c r="V5001" s="23" t="str">
        <f aca="false">IF(ISNUMBER(C5001),YEAR(C5001),"")</f>
        <v/>
      </c>
      <c r="W5001" s="23" t="str">
        <f aca="false">IF(ISNUMBER(C5001),MONTH(C5001),"")</f>
        <v/>
      </c>
      <c r="X5001" s="23" t="str">
        <f aca="false">IF(T5001="","",IF(T5001=0,"No discount",IF(T5001&lt;=0.2,"Low (1-20%)",IF(T5001&lt;=0.4,"Medium (21-40%)","High (&gt;40%)"))))</f>
        <v/>
      </c>
      <c r="Y5001" s="23" t="str">
        <f aca="false">IF(AND(ISNUMBER(C5001),ISNUMBER(D5001)),D5001-C5001,"")</f>
        <v/>
      </c>
      <c r="Z5001" s="23" t="str">
        <f aca="false">IF(B5001="","",IF(MATCH(B5001,$B$2:$B$12000,0)=ROW()-1,1,0))</f>
        <v/>
      </c>
    </row>
    <row r="5002" customFormat="false" ht="15" hidden="false" customHeight="false" outlineLevel="0" collapsed="false">
      <c r="V5002" s="23" t="str">
        <f aca="false">IF(ISNUMBER(C5002),YEAR(C5002),"")</f>
        <v/>
      </c>
      <c r="W5002" s="23" t="str">
        <f aca="false">IF(ISNUMBER(C5002),MONTH(C5002),"")</f>
        <v/>
      </c>
      <c r="X5002" s="23" t="str">
        <f aca="false">IF(T5002="","",IF(T5002=0,"No discount",IF(T5002&lt;=0.2,"Low (1-20%)",IF(T5002&lt;=0.4,"Medium (21-40%)","High (&gt;40%)"))))</f>
        <v/>
      </c>
      <c r="Y5002" s="23" t="str">
        <f aca="false">IF(AND(ISNUMBER(C5002),ISNUMBER(D5002)),D5002-C5002,"")</f>
        <v/>
      </c>
      <c r="Z5002" s="23" t="str">
        <f aca="false">IF(B5002="","",IF(MATCH(B5002,$B$2:$B$12000,0)=ROW()-1,1,0))</f>
        <v/>
      </c>
    </row>
    <row r="5003" customFormat="false" ht="15" hidden="false" customHeight="false" outlineLevel="0" collapsed="false">
      <c r="V5003" s="23" t="str">
        <f aca="false">IF(ISNUMBER(C5003),YEAR(C5003),"")</f>
        <v/>
      </c>
      <c r="W5003" s="23" t="str">
        <f aca="false">IF(ISNUMBER(C5003),MONTH(C5003),"")</f>
        <v/>
      </c>
      <c r="X5003" s="23" t="str">
        <f aca="false">IF(T5003="","",IF(T5003=0,"No discount",IF(T5003&lt;=0.2,"Low (1-20%)",IF(T5003&lt;=0.4,"Medium (21-40%)","High (&gt;40%)"))))</f>
        <v/>
      </c>
      <c r="Y5003" s="23" t="str">
        <f aca="false">IF(AND(ISNUMBER(C5003),ISNUMBER(D5003)),D5003-C5003,"")</f>
        <v/>
      </c>
      <c r="Z5003" s="23" t="str">
        <f aca="false">IF(B5003="","",IF(MATCH(B5003,$B$2:$B$12000,0)=ROW()-1,1,0))</f>
        <v/>
      </c>
    </row>
    <row r="5004" customFormat="false" ht="15" hidden="false" customHeight="false" outlineLevel="0" collapsed="false">
      <c r="V5004" s="23" t="str">
        <f aca="false">IF(ISNUMBER(C5004),YEAR(C5004),"")</f>
        <v/>
      </c>
      <c r="W5004" s="23" t="str">
        <f aca="false">IF(ISNUMBER(C5004),MONTH(C5004),"")</f>
        <v/>
      </c>
      <c r="X5004" s="23" t="str">
        <f aca="false">IF(T5004="","",IF(T5004=0,"No discount",IF(T5004&lt;=0.2,"Low (1-20%)",IF(T5004&lt;=0.4,"Medium (21-40%)","High (&gt;40%)"))))</f>
        <v/>
      </c>
      <c r="Y5004" s="23" t="str">
        <f aca="false">IF(AND(ISNUMBER(C5004),ISNUMBER(D5004)),D5004-C5004,"")</f>
        <v/>
      </c>
      <c r="Z5004" s="23" t="str">
        <f aca="false">IF(B5004="","",IF(MATCH(B5004,$B$2:$B$12000,0)=ROW()-1,1,0))</f>
        <v/>
      </c>
    </row>
    <row r="5005" customFormat="false" ht="15" hidden="false" customHeight="false" outlineLevel="0" collapsed="false">
      <c r="V5005" s="23" t="str">
        <f aca="false">IF(ISNUMBER(C5005),YEAR(C5005),"")</f>
        <v/>
      </c>
      <c r="W5005" s="23" t="str">
        <f aca="false">IF(ISNUMBER(C5005),MONTH(C5005),"")</f>
        <v/>
      </c>
      <c r="X5005" s="23" t="str">
        <f aca="false">IF(T5005="","",IF(T5005=0,"No discount",IF(T5005&lt;=0.2,"Low (1-20%)",IF(T5005&lt;=0.4,"Medium (21-40%)","High (&gt;40%)"))))</f>
        <v/>
      </c>
      <c r="Y5005" s="23" t="str">
        <f aca="false">IF(AND(ISNUMBER(C5005),ISNUMBER(D5005)),D5005-C5005,"")</f>
        <v/>
      </c>
      <c r="Z5005" s="23" t="str">
        <f aca="false">IF(B5005="","",IF(MATCH(B5005,$B$2:$B$12000,0)=ROW()-1,1,0))</f>
        <v/>
      </c>
    </row>
    <row r="5006" customFormat="false" ht="15" hidden="false" customHeight="false" outlineLevel="0" collapsed="false">
      <c r="V5006" s="23" t="str">
        <f aca="false">IF(ISNUMBER(C5006),YEAR(C5006),"")</f>
        <v/>
      </c>
      <c r="W5006" s="23" t="str">
        <f aca="false">IF(ISNUMBER(C5006),MONTH(C5006),"")</f>
        <v/>
      </c>
      <c r="X5006" s="23" t="str">
        <f aca="false">IF(T5006="","",IF(T5006=0,"No discount",IF(T5006&lt;=0.2,"Low (1-20%)",IF(T5006&lt;=0.4,"Medium (21-40%)","High (&gt;40%)"))))</f>
        <v/>
      </c>
      <c r="Y5006" s="23" t="str">
        <f aca="false">IF(AND(ISNUMBER(C5006),ISNUMBER(D5006)),D5006-C5006,"")</f>
        <v/>
      </c>
      <c r="Z5006" s="23" t="str">
        <f aca="false">IF(B5006="","",IF(MATCH(B5006,$B$2:$B$12000,0)=ROW()-1,1,0))</f>
        <v/>
      </c>
    </row>
    <row r="5007" customFormat="false" ht="15" hidden="false" customHeight="false" outlineLevel="0" collapsed="false">
      <c r="V5007" s="23" t="str">
        <f aca="false">IF(ISNUMBER(C5007),YEAR(C5007),"")</f>
        <v/>
      </c>
      <c r="W5007" s="23" t="str">
        <f aca="false">IF(ISNUMBER(C5007),MONTH(C5007),"")</f>
        <v/>
      </c>
      <c r="X5007" s="23" t="str">
        <f aca="false">IF(T5007="","",IF(T5007=0,"No discount",IF(T5007&lt;=0.2,"Low (1-20%)",IF(T5007&lt;=0.4,"Medium (21-40%)","High (&gt;40%)"))))</f>
        <v/>
      </c>
      <c r="Y5007" s="23" t="str">
        <f aca="false">IF(AND(ISNUMBER(C5007),ISNUMBER(D5007)),D5007-C5007,"")</f>
        <v/>
      </c>
      <c r="Z5007" s="23" t="str">
        <f aca="false">IF(B5007="","",IF(MATCH(B5007,$B$2:$B$12000,0)=ROW()-1,1,0))</f>
        <v/>
      </c>
    </row>
    <row r="5008" customFormat="false" ht="15" hidden="false" customHeight="false" outlineLevel="0" collapsed="false">
      <c r="V5008" s="23" t="str">
        <f aca="false">IF(ISNUMBER(C5008),YEAR(C5008),"")</f>
        <v/>
      </c>
      <c r="W5008" s="23" t="str">
        <f aca="false">IF(ISNUMBER(C5008),MONTH(C5008),"")</f>
        <v/>
      </c>
      <c r="X5008" s="23" t="str">
        <f aca="false">IF(T5008="","",IF(T5008=0,"No discount",IF(T5008&lt;=0.2,"Low (1-20%)",IF(T5008&lt;=0.4,"Medium (21-40%)","High (&gt;40%)"))))</f>
        <v/>
      </c>
      <c r="Y5008" s="23" t="str">
        <f aca="false">IF(AND(ISNUMBER(C5008),ISNUMBER(D5008)),D5008-C5008,"")</f>
        <v/>
      </c>
      <c r="Z5008" s="23" t="str">
        <f aca="false">IF(B5008="","",IF(MATCH(B5008,$B$2:$B$12000,0)=ROW()-1,1,0))</f>
        <v/>
      </c>
    </row>
    <row r="5009" customFormat="false" ht="15" hidden="false" customHeight="false" outlineLevel="0" collapsed="false">
      <c r="V5009" s="23" t="str">
        <f aca="false">IF(ISNUMBER(C5009),YEAR(C5009),"")</f>
        <v/>
      </c>
      <c r="W5009" s="23" t="str">
        <f aca="false">IF(ISNUMBER(C5009),MONTH(C5009),"")</f>
        <v/>
      </c>
      <c r="X5009" s="23" t="str">
        <f aca="false">IF(T5009="","",IF(T5009=0,"No discount",IF(T5009&lt;=0.2,"Low (1-20%)",IF(T5009&lt;=0.4,"Medium (21-40%)","High (&gt;40%)"))))</f>
        <v/>
      </c>
      <c r="Y5009" s="23" t="str">
        <f aca="false">IF(AND(ISNUMBER(C5009),ISNUMBER(D5009)),D5009-C5009,"")</f>
        <v/>
      </c>
      <c r="Z5009" s="23" t="str">
        <f aca="false">IF(B5009="","",IF(MATCH(B5009,$B$2:$B$12000,0)=ROW()-1,1,0))</f>
        <v/>
      </c>
    </row>
    <row r="5010" customFormat="false" ht="15" hidden="false" customHeight="false" outlineLevel="0" collapsed="false">
      <c r="V5010" s="23" t="str">
        <f aca="false">IF(ISNUMBER(C5010),YEAR(C5010),"")</f>
        <v/>
      </c>
      <c r="W5010" s="23" t="str">
        <f aca="false">IF(ISNUMBER(C5010),MONTH(C5010),"")</f>
        <v/>
      </c>
      <c r="X5010" s="23" t="str">
        <f aca="false">IF(T5010="","",IF(T5010=0,"No discount",IF(T5010&lt;=0.2,"Low (1-20%)",IF(T5010&lt;=0.4,"Medium (21-40%)","High (&gt;40%)"))))</f>
        <v/>
      </c>
      <c r="Y5010" s="23" t="str">
        <f aca="false">IF(AND(ISNUMBER(C5010),ISNUMBER(D5010)),D5010-C5010,"")</f>
        <v/>
      </c>
      <c r="Z5010" s="23" t="str">
        <f aca="false">IF(B5010="","",IF(MATCH(B5010,$B$2:$B$12000,0)=ROW()-1,1,0))</f>
        <v/>
      </c>
    </row>
    <row r="5011" customFormat="false" ht="15" hidden="false" customHeight="false" outlineLevel="0" collapsed="false">
      <c r="V5011" s="23" t="str">
        <f aca="false">IF(ISNUMBER(C5011),YEAR(C5011),"")</f>
        <v/>
      </c>
      <c r="W5011" s="23" t="str">
        <f aca="false">IF(ISNUMBER(C5011),MONTH(C5011),"")</f>
        <v/>
      </c>
      <c r="X5011" s="23" t="str">
        <f aca="false">IF(T5011="","",IF(T5011=0,"No discount",IF(T5011&lt;=0.2,"Low (1-20%)",IF(T5011&lt;=0.4,"Medium (21-40%)","High (&gt;40%)"))))</f>
        <v/>
      </c>
      <c r="Y5011" s="23" t="str">
        <f aca="false">IF(AND(ISNUMBER(C5011),ISNUMBER(D5011)),D5011-C5011,"")</f>
        <v/>
      </c>
      <c r="Z5011" s="23" t="str">
        <f aca="false">IF(B5011="","",IF(MATCH(B5011,$B$2:$B$12000,0)=ROW()-1,1,0))</f>
        <v/>
      </c>
    </row>
    <row r="5012" customFormat="false" ht="15" hidden="false" customHeight="false" outlineLevel="0" collapsed="false">
      <c r="V5012" s="23" t="str">
        <f aca="false">IF(ISNUMBER(C5012),YEAR(C5012),"")</f>
        <v/>
      </c>
      <c r="W5012" s="23" t="str">
        <f aca="false">IF(ISNUMBER(C5012),MONTH(C5012),"")</f>
        <v/>
      </c>
      <c r="X5012" s="23" t="str">
        <f aca="false">IF(T5012="","",IF(T5012=0,"No discount",IF(T5012&lt;=0.2,"Low (1-20%)",IF(T5012&lt;=0.4,"Medium (21-40%)","High (&gt;40%)"))))</f>
        <v/>
      </c>
      <c r="Y5012" s="23" t="str">
        <f aca="false">IF(AND(ISNUMBER(C5012),ISNUMBER(D5012)),D5012-C5012,"")</f>
        <v/>
      </c>
      <c r="Z5012" s="23" t="str">
        <f aca="false">IF(B5012="","",IF(MATCH(B5012,$B$2:$B$12000,0)=ROW()-1,1,0))</f>
        <v/>
      </c>
    </row>
    <row r="5013" customFormat="false" ht="15" hidden="false" customHeight="false" outlineLevel="0" collapsed="false">
      <c r="V5013" s="23" t="str">
        <f aca="false">IF(ISNUMBER(C5013),YEAR(C5013),"")</f>
        <v/>
      </c>
      <c r="W5013" s="23" t="str">
        <f aca="false">IF(ISNUMBER(C5013),MONTH(C5013),"")</f>
        <v/>
      </c>
      <c r="X5013" s="23" t="str">
        <f aca="false">IF(T5013="","",IF(T5013=0,"No discount",IF(T5013&lt;=0.2,"Low (1-20%)",IF(T5013&lt;=0.4,"Medium (21-40%)","High (&gt;40%)"))))</f>
        <v/>
      </c>
      <c r="Y5013" s="23" t="str">
        <f aca="false">IF(AND(ISNUMBER(C5013),ISNUMBER(D5013)),D5013-C5013,"")</f>
        <v/>
      </c>
      <c r="Z5013" s="23" t="str">
        <f aca="false">IF(B5013="","",IF(MATCH(B5013,$B$2:$B$12000,0)=ROW()-1,1,0))</f>
        <v/>
      </c>
    </row>
    <row r="5014" customFormat="false" ht="15" hidden="false" customHeight="false" outlineLevel="0" collapsed="false">
      <c r="V5014" s="23" t="str">
        <f aca="false">IF(ISNUMBER(C5014),YEAR(C5014),"")</f>
        <v/>
      </c>
      <c r="W5014" s="23" t="str">
        <f aca="false">IF(ISNUMBER(C5014),MONTH(C5014),"")</f>
        <v/>
      </c>
      <c r="X5014" s="23" t="str">
        <f aca="false">IF(T5014="","",IF(T5014=0,"No discount",IF(T5014&lt;=0.2,"Low (1-20%)",IF(T5014&lt;=0.4,"Medium (21-40%)","High (&gt;40%)"))))</f>
        <v/>
      </c>
      <c r="Y5014" s="23" t="str">
        <f aca="false">IF(AND(ISNUMBER(C5014),ISNUMBER(D5014)),D5014-C5014,"")</f>
        <v/>
      </c>
      <c r="Z5014" s="23" t="str">
        <f aca="false">IF(B5014="","",IF(MATCH(B5014,$B$2:$B$12000,0)=ROW()-1,1,0))</f>
        <v/>
      </c>
    </row>
    <row r="5015" customFormat="false" ht="15" hidden="false" customHeight="false" outlineLevel="0" collapsed="false">
      <c r="V5015" s="23" t="str">
        <f aca="false">IF(ISNUMBER(C5015),YEAR(C5015),"")</f>
        <v/>
      </c>
      <c r="W5015" s="23" t="str">
        <f aca="false">IF(ISNUMBER(C5015),MONTH(C5015),"")</f>
        <v/>
      </c>
      <c r="X5015" s="23" t="str">
        <f aca="false">IF(T5015="","",IF(T5015=0,"No discount",IF(T5015&lt;=0.2,"Low (1-20%)",IF(T5015&lt;=0.4,"Medium (21-40%)","High (&gt;40%)"))))</f>
        <v/>
      </c>
      <c r="Y5015" s="23" t="str">
        <f aca="false">IF(AND(ISNUMBER(C5015),ISNUMBER(D5015)),D5015-C5015,"")</f>
        <v/>
      </c>
      <c r="Z5015" s="23" t="str">
        <f aca="false">IF(B5015="","",IF(MATCH(B5015,$B$2:$B$12000,0)=ROW()-1,1,0))</f>
        <v/>
      </c>
    </row>
    <row r="5016" customFormat="false" ht="15" hidden="false" customHeight="false" outlineLevel="0" collapsed="false">
      <c r="V5016" s="23" t="str">
        <f aca="false">IF(ISNUMBER(C5016),YEAR(C5016),"")</f>
        <v/>
      </c>
      <c r="W5016" s="23" t="str">
        <f aca="false">IF(ISNUMBER(C5016),MONTH(C5016),"")</f>
        <v/>
      </c>
      <c r="X5016" s="23" t="str">
        <f aca="false">IF(T5016="","",IF(T5016=0,"No discount",IF(T5016&lt;=0.2,"Low (1-20%)",IF(T5016&lt;=0.4,"Medium (21-40%)","High (&gt;40%)"))))</f>
        <v/>
      </c>
      <c r="Y5016" s="23" t="str">
        <f aca="false">IF(AND(ISNUMBER(C5016),ISNUMBER(D5016)),D5016-C5016,"")</f>
        <v/>
      </c>
      <c r="Z5016" s="23" t="str">
        <f aca="false">IF(B5016="","",IF(MATCH(B5016,$B$2:$B$12000,0)=ROW()-1,1,0))</f>
        <v/>
      </c>
    </row>
    <row r="5017" customFormat="false" ht="15" hidden="false" customHeight="false" outlineLevel="0" collapsed="false">
      <c r="V5017" s="23" t="str">
        <f aca="false">IF(ISNUMBER(C5017),YEAR(C5017),"")</f>
        <v/>
      </c>
      <c r="W5017" s="23" t="str">
        <f aca="false">IF(ISNUMBER(C5017),MONTH(C5017),"")</f>
        <v/>
      </c>
      <c r="X5017" s="23" t="str">
        <f aca="false">IF(T5017="","",IF(T5017=0,"No discount",IF(T5017&lt;=0.2,"Low (1-20%)",IF(T5017&lt;=0.4,"Medium (21-40%)","High (&gt;40%)"))))</f>
        <v/>
      </c>
      <c r="Y5017" s="23" t="str">
        <f aca="false">IF(AND(ISNUMBER(C5017),ISNUMBER(D5017)),D5017-C5017,"")</f>
        <v/>
      </c>
      <c r="Z5017" s="23" t="str">
        <f aca="false">IF(B5017="","",IF(MATCH(B5017,$B$2:$B$12000,0)=ROW()-1,1,0))</f>
        <v/>
      </c>
    </row>
    <row r="5018" customFormat="false" ht="15" hidden="false" customHeight="false" outlineLevel="0" collapsed="false">
      <c r="V5018" s="23" t="str">
        <f aca="false">IF(ISNUMBER(C5018),YEAR(C5018),"")</f>
        <v/>
      </c>
      <c r="W5018" s="23" t="str">
        <f aca="false">IF(ISNUMBER(C5018),MONTH(C5018),"")</f>
        <v/>
      </c>
      <c r="X5018" s="23" t="str">
        <f aca="false">IF(T5018="","",IF(T5018=0,"No discount",IF(T5018&lt;=0.2,"Low (1-20%)",IF(T5018&lt;=0.4,"Medium (21-40%)","High (&gt;40%)"))))</f>
        <v/>
      </c>
      <c r="Y5018" s="23" t="str">
        <f aca="false">IF(AND(ISNUMBER(C5018),ISNUMBER(D5018)),D5018-C5018,"")</f>
        <v/>
      </c>
      <c r="Z5018" s="23" t="str">
        <f aca="false">IF(B5018="","",IF(MATCH(B5018,$B$2:$B$12000,0)=ROW()-1,1,0))</f>
        <v/>
      </c>
    </row>
    <row r="5019" customFormat="false" ht="15" hidden="false" customHeight="false" outlineLevel="0" collapsed="false">
      <c r="V5019" s="23" t="str">
        <f aca="false">IF(ISNUMBER(C5019),YEAR(C5019),"")</f>
        <v/>
      </c>
      <c r="W5019" s="23" t="str">
        <f aca="false">IF(ISNUMBER(C5019),MONTH(C5019),"")</f>
        <v/>
      </c>
      <c r="X5019" s="23" t="str">
        <f aca="false">IF(T5019="","",IF(T5019=0,"No discount",IF(T5019&lt;=0.2,"Low (1-20%)",IF(T5019&lt;=0.4,"Medium (21-40%)","High (&gt;40%)"))))</f>
        <v/>
      </c>
      <c r="Y5019" s="23" t="str">
        <f aca="false">IF(AND(ISNUMBER(C5019),ISNUMBER(D5019)),D5019-C5019,"")</f>
        <v/>
      </c>
      <c r="Z5019" s="23" t="str">
        <f aca="false">IF(B5019="","",IF(MATCH(B5019,$B$2:$B$12000,0)=ROW()-1,1,0))</f>
        <v/>
      </c>
    </row>
    <row r="5020" customFormat="false" ht="15" hidden="false" customHeight="false" outlineLevel="0" collapsed="false">
      <c r="V5020" s="23" t="str">
        <f aca="false">IF(ISNUMBER(C5020),YEAR(C5020),"")</f>
        <v/>
      </c>
      <c r="W5020" s="23" t="str">
        <f aca="false">IF(ISNUMBER(C5020),MONTH(C5020),"")</f>
        <v/>
      </c>
      <c r="X5020" s="23" t="str">
        <f aca="false">IF(T5020="","",IF(T5020=0,"No discount",IF(T5020&lt;=0.2,"Low (1-20%)",IF(T5020&lt;=0.4,"Medium (21-40%)","High (&gt;40%)"))))</f>
        <v/>
      </c>
      <c r="Y5020" s="23" t="str">
        <f aca="false">IF(AND(ISNUMBER(C5020),ISNUMBER(D5020)),D5020-C5020,"")</f>
        <v/>
      </c>
      <c r="Z5020" s="23" t="str">
        <f aca="false">IF(B5020="","",IF(MATCH(B5020,$B$2:$B$12000,0)=ROW()-1,1,0))</f>
        <v/>
      </c>
    </row>
    <row r="5021" customFormat="false" ht="15" hidden="false" customHeight="false" outlineLevel="0" collapsed="false">
      <c r="V5021" s="23" t="str">
        <f aca="false">IF(ISNUMBER(C5021),YEAR(C5021),"")</f>
        <v/>
      </c>
      <c r="W5021" s="23" t="str">
        <f aca="false">IF(ISNUMBER(C5021),MONTH(C5021),"")</f>
        <v/>
      </c>
      <c r="X5021" s="23" t="str">
        <f aca="false">IF(T5021="","",IF(T5021=0,"No discount",IF(T5021&lt;=0.2,"Low (1-20%)",IF(T5021&lt;=0.4,"Medium (21-40%)","High (&gt;40%)"))))</f>
        <v/>
      </c>
      <c r="Y5021" s="23" t="str">
        <f aca="false">IF(AND(ISNUMBER(C5021),ISNUMBER(D5021)),D5021-C5021,"")</f>
        <v/>
      </c>
      <c r="Z5021" s="23" t="str">
        <f aca="false">IF(B5021="","",IF(MATCH(B5021,$B$2:$B$12000,0)=ROW()-1,1,0))</f>
        <v/>
      </c>
    </row>
    <row r="5022" customFormat="false" ht="15" hidden="false" customHeight="false" outlineLevel="0" collapsed="false">
      <c r="V5022" s="23" t="str">
        <f aca="false">IF(ISNUMBER(C5022),YEAR(C5022),"")</f>
        <v/>
      </c>
      <c r="W5022" s="23" t="str">
        <f aca="false">IF(ISNUMBER(C5022),MONTH(C5022),"")</f>
        <v/>
      </c>
      <c r="X5022" s="23" t="str">
        <f aca="false">IF(T5022="","",IF(T5022=0,"No discount",IF(T5022&lt;=0.2,"Low (1-20%)",IF(T5022&lt;=0.4,"Medium (21-40%)","High (&gt;40%)"))))</f>
        <v/>
      </c>
      <c r="Y5022" s="23" t="str">
        <f aca="false">IF(AND(ISNUMBER(C5022),ISNUMBER(D5022)),D5022-C5022,"")</f>
        <v/>
      </c>
      <c r="Z5022" s="23" t="str">
        <f aca="false">IF(B5022="","",IF(MATCH(B5022,$B$2:$B$12000,0)=ROW()-1,1,0))</f>
        <v/>
      </c>
    </row>
    <row r="5023" customFormat="false" ht="15" hidden="false" customHeight="false" outlineLevel="0" collapsed="false">
      <c r="V5023" s="23" t="str">
        <f aca="false">IF(ISNUMBER(C5023),YEAR(C5023),"")</f>
        <v/>
      </c>
      <c r="W5023" s="23" t="str">
        <f aca="false">IF(ISNUMBER(C5023),MONTH(C5023),"")</f>
        <v/>
      </c>
      <c r="X5023" s="23" t="str">
        <f aca="false">IF(T5023="","",IF(T5023=0,"No discount",IF(T5023&lt;=0.2,"Low (1-20%)",IF(T5023&lt;=0.4,"Medium (21-40%)","High (&gt;40%)"))))</f>
        <v/>
      </c>
      <c r="Y5023" s="23" t="str">
        <f aca="false">IF(AND(ISNUMBER(C5023),ISNUMBER(D5023)),D5023-C5023,"")</f>
        <v/>
      </c>
      <c r="Z5023" s="23" t="str">
        <f aca="false">IF(B5023="","",IF(MATCH(B5023,$B$2:$B$12000,0)=ROW()-1,1,0))</f>
        <v/>
      </c>
    </row>
    <row r="5024" customFormat="false" ht="15" hidden="false" customHeight="false" outlineLevel="0" collapsed="false">
      <c r="V5024" s="23" t="str">
        <f aca="false">IF(ISNUMBER(C5024),YEAR(C5024),"")</f>
        <v/>
      </c>
      <c r="W5024" s="23" t="str">
        <f aca="false">IF(ISNUMBER(C5024),MONTH(C5024),"")</f>
        <v/>
      </c>
      <c r="X5024" s="23" t="str">
        <f aca="false">IF(T5024="","",IF(T5024=0,"No discount",IF(T5024&lt;=0.2,"Low (1-20%)",IF(T5024&lt;=0.4,"Medium (21-40%)","High (&gt;40%)"))))</f>
        <v/>
      </c>
      <c r="Y5024" s="23" t="str">
        <f aca="false">IF(AND(ISNUMBER(C5024),ISNUMBER(D5024)),D5024-C5024,"")</f>
        <v/>
      </c>
      <c r="Z5024" s="23" t="str">
        <f aca="false">IF(B5024="","",IF(MATCH(B5024,$B$2:$B$12000,0)=ROW()-1,1,0))</f>
        <v/>
      </c>
    </row>
    <row r="5025" customFormat="false" ht="15" hidden="false" customHeight="false" outlineLevel="0" collapsed="false">
      <c r="V5025" s="23" t="str">
        <f aca="false">IF(ISNUMBER(C5025),YEAR(C5025),"")</f>
        <v/>
      </c>
      <c r="W5025" s="23" t="str">
        <f aca="false">IF(ISNUMBER(C5025),MONTH(C5025),"")</f>
        <v/>
      </c>
      <c r="X5025" s="23" t="str">
        <f aca="false">IF(T5025="","",IF(T5025=0,"No discount",IF(T5025&lt;=0.2,"Low (1-20%)",IF(T5025&lt;=0.4,"Medium (21-40%)","High (&gt;40%)"))))</f>
        <v/>
      </c>
      <c r="Y5025" s="23" t="str">
        <f aca="false">IF(AND(ISNUMBER(C5025),ISNUMBER(D5025)),D5025-C5025,"")</f>
        <v/>
      </c>
      <c r="Z5025" s="23" t="str">
        <f aca="false">IF(B5025="","",IF(MATCH(B5025,$B$2:$B$12000,0)=ROW()-1,1,0))</f>
        <v/>
      </c>
    </row>
    <row r="5026" customFormat="false" ht="15" hidden="false" customHeight="false" outlineLevel="0" collapsed="false">
      <c r="V5026" s="23" t="str">
        <f aca="false">IF(ISNUMBER(C5026),YEAR(C5026),"")</f>
        <v/>
      </c>
      <c r="W5026" s="23" t="str">
        <f aca="false">IF(ISNUMBER(C5026),MONTH(C5026),"")</f>
        <v/>
      </c>
      <c r="X5026" s="23" t="str">
        <f aca="false">IF(T5026="","",IF(T5026=0,"No discount",IF(T5026&lt;=0.2,"Low (1-20%)",IF(T5026&lt;=0.4,"Medium (21-40%)","High (&gt;40%)"))))</f>
        <v/>
      </c>
      <c r="Y5026" s="23" t="str">
        <f aca="false">IF(AND(ISNUMBER(C5026),ISNUMBER(D5026)),D5026-C5026,"")</f>
        <v/>
      </c>
      <c r="Z5026" s="23" t="str">
        <f aca="false">IF(B5026="","",IF(MATCH(B5026,$B$2:$B$12000,0)=ROW()-1,1,0))</f>
        <v/>
      </c>
    </row>
    <row r="5027" customFormat="false" ht="15" hidden="false" customHeight="false" outlineLevel="0" collapsed="false">
      <c r="V5027" s="23" t="str">
        <f aca="false">IF(ISNUMBER(C5027),YEAR(C5027),"")</f>
        <v/>
      </c>
      <c r="W5027" s="23" t="str">
        <f aca="false">IF(ISNUMBER(C5027),MONTH(C5027),"")</f>
        <v/>
      </c>
      <c r="X5027" s="23" t="str">
        <f aca="false">IF(T5027="","",IF(T5027=0,"No discount",IF(T5027&lt;=0.2,"Low (1-20%)",IF(T5027&lt;=0.4,"Medium (21-40%)","High (&gt;40%)"))))</f>
        <v/>
      </c>
      <c r="Y5027" s="23" t="str">
        <f aca="false">IF(AND(ISNUMBER(C5027),ISNUMBER(D5027)),D5027-C5027,"")</f>
        <v/>
      </c>
      <c r="Z5027" s="23" t="str">
        <f aca="false">IF(B5027="","",IF(MATCH(B5027,$B$2:$B$12000,0)=ROW()-1,1,0))</f>
        <v/>
      </c>
    </row>
    <row r="5028" customFormat="false" ht="15" hidden="false" customHeight="false" outlineLevel="0" collapsed="false">
      <c r="V5028" s="23" t="str">
        <f aca="false">IF(ISNUMBER(C5028),YEAR(C5028),"")</f>
        <v/>
      </c>
      <c r="W5028" s="23" t="str">
        <f aca="false">IF(ISNUMBER(C5028),MONTH(C5028),"")</f>
        <v/>
      </c>
      <c r="X5028" s="23" t="str">
        <f aca="false">IF(T5028="","",IF(T5028=0,"No discount",IF(T5028&lt;=0.2,"Low (1-20%)",IF(T5028&lt;=0.4,"Medium (21-40%)","High (&gt;40%)"))))</f>
        <v/>
      </c>
      <c r="Y5028" s="23" t="str">
        <f aca="false">IF(AND(ISNUMBER(C5028),ISNUMBER(D5028)),D5028-C5028,"")</f>
        <v/>
      </c>
      <c r="Z5028" s="23" t="str">
        <f aca="false">IF(B5028="","",IF(MATCH(B5028,$B$2:$B$12000,0)=ROW()-1,1,0))</f>
        <v/>
      </c>
    </row>
    <row r="5029" customFormat="false" ht="15" hidden="false" customHeight="false" outlineLevel="0" collapsed="false">
      <c r="V5029" s="23" t="str">
        <f aca="false">IF(ISNUMBER(C5029),YEAR(C5029),"")</f>
        <v/>
      </c>
      <c r="W5029" s="23" t="str">
        <f aca="false">IF(ISNUMBER(C5029),MONTH(C5029),"")</f>
        <v/>
      </c>
      <c r="X5029" s="23" t="str">
        <f aca="false">IF(T5029="","",IF(T5029=0,"No discount",IF(T5029&lt;=0.2,"Low (1-20%)",IF(T5029&lt;=0.4,"Medium (21-40%)","High (&gt;40%)"))))</f>
        <v/>
      </c>
      <c r="Y5029" s="23" t="str">
        <f aca="false">IF(AND(ISNUMBER(C5029),ISNUMBER(D5029)),D5029-C5029,"")</f>
        <v/>
      </c>
      <c r="Z5029" s="23" t="str">
        <f aca="false">IF(B5029="","",IF(MATCH(B5029,$B$2:$B$12000,0)=ROW()-1,1,0))</f>
        <v/>
      </c>
    </row>
    <row r="5030" customFormat="false" ht="15" hidden="false" customHeight="false" outlineLevel="0" collapsed="false">
      <c r="V5030" s="23" t="str">
        <f aca="false">IF(ISNUMBER(C5030),YEAR(C5030),"")</f>
        <v/>
      </c>
      <c r="W5030" s="23" t="str">
        <f aca="false">IF(ISNUMBER(C5030),MONTH(C5030),"")</f>
        <v/>
      </c>
      <c r="X5030" s="23" t="str">
        <f aca="false">IF(T5030="","",IF(T5030=0,"No discount",IF(T5030&lt;=0.2,"Low (1-20%)",IF(T5030&lt;=0.4,"Medium (21-40%)","High (&gt;40%)"))))</f>
        <v/>
      </c>
      <c r="Y5030" s="23" t="str">
        <f aca="false">IF(AND(ISNUMBER(C5030),ISNUMBER(D5030)),D5030-C5030,"")</f>
        <v/>
      </c>
      <c r="Z5030" s="23" t="str">
        <f aca="false">IF(B5030="","",IF(MATCH(B5030,$B$2:$B$12000,0)=ROW()-1,1,0))</f>
        <v/>
      </c>
    </row>
    <row r="5031" customFormat="false" ht="15" hidden="false" customHeight="false" outlineLevel="0" collapsed="false">
      <c r="V5031" s="23" t="str">
        <f aca="false">IF(ISNUMBER(C5031),YEAR(C5031),"")</f>
        <v/>
      </c>
      <c r="W5031" s="23" t="str">
        <f aca="false">IF(ISNUMBER(C5031),MONTH(C5031),"")</f>
        <v/>
      </c>
      <c r="X5031" s="23" t="str">
        <f aca="false">IF(T5031="","",IF(T5031=0,"No discount",IF(T5031&lt;=0.2,"Low (1-20%)",IF(T5031&lt;=0.4,"Medium (21-40%)","High (&gt;40%)"))))</f>
        <v/>
      </c>
      <c r="Y5031" s="23" t="str">
        <f aca="false">IF(AND(ISNUMBER(C5031),ISNUMBER(D5031)),D5031-C5031,"")</f>
        <v/>
      </c>
      <c r="Z5031" s="23" t="str">
        <f aca="false">IF(B5031="","",IF(MATCH(B5031,$B$2:$B$12000,0)=ROW()-1,1,0))</f>
        <v/>
      </c>
    </row>
    <row r="5032" customFormat="false" ht="15" hidden="false" customHeight="false" outlineLevel="0" collapsed="false">
      <c r="V5032" s="23" t="str">
        <f aca="false">IF(ISNUMBER(C5032),YEAR(C5032),"")</f>
        <v/>
      </c>
      <c r="W5032" s="23" t="str">
        <f aca="false">IF(ISNUMBER(C5032),MONTH(C5032),"")</f>
        <v/>
      </c>
      <c r="X5032" s="23" t="str">
        <f aca="false">IF(T5032="","",IF(T5032=0,"No discount",IF(T5032&lt;=0.2,"Low (1-20%)",IF(T5032&lt;=0.4,"Medium (21-40%)","High (&gt;40%)"))))</f>
        <v/>
      </c>
      <c r="Y5032" s="23" t="str">
        <f aca="false">IF(AND(ISNUMBER(C5032),ISNUMBER(D5032)),D5032-C5032,"")</f>
        <v/>
      </c>
      <c r="Z5032" s="23" t="str">
        <f aca="false">IF(B5032="","",IF(MATCH(B5032,$B$2:$B$12000,0)=ROW()-1,1,0))</f>
        <v/>
      </c>
    </row>
    <row r="5033" customFormat="false" ht="15" hidden="false" customHeight="false" outlineLevel="0" collapsed="false">
      <c r="V5033" s="23" t="str">
        <f aca="false">IF(ISNUMBER(C5033),YEAR(C5033),"")</f>
        <v/>
      </c>
      <c r="W5033" s="23" t="str">
        <f aca="false">IF(ISNUMBER(C5033),MONTH(C5033),"")</f>
        <v/>
      </c>
      <c r="X5033" s="23" t="str">
        <f aca="false">IF(T5033="","",IF(T5033=0,"No discount",IF(T5033&lt;=0.2,"Low (1-20%)",IF(T5033&lt;=0.4,"Medium (21-40%)","High (&gt;40%)"))))</f>
        <v/>
      </c>
      <c r="Y5033" s="23" t="str">
        <f aca="false">IF(AND(ISNUMBER(C5033),ISNUMBER(D5033)),D5033-C5033,"")</f>
        <v/>
      </c>
      <c r="Z5033" s="23" t="str">
        <f aca="false">IF(B5033="","",IF(MATCH(B5033,$B$2:$B$12000,0)=ROW()-1,1,0))</f>
        <v/>
      </c>
    </row>
    <row r="5034" customFormat="false" ht="15" hidden="false" customHeight="false" outlineLevel="0" collapsed="false">
      <c r="V5034" s="23" t="str">
        <f aca="false">IF(ISNUMBER(C5034),YEAR(C5034),"")</f>
        <v/>
      </c>
      <c r="W5034" s="23" t="str">
        <f aca="false">IF(ISNUMBER(C5034),MONTH(C5034),"")</f>
        <v/>
      </c>
      <c r="X5034" s="23" t="str">
        <f aca="false">IF(T5034="","",IF(T5034=0,"No discount",IF(T5034&lt;=0.2,"Low (1-20%)",IF(T5034&lt;=0.4,"Medium (21-40%)","High (&gt;40%)"))))</f>
        <v/>
      </c>
      <c r="Y5034" s="23" t="str">
        <f aca="false">IF(AND(ISNUMBER(C5034),ISNUMBER(D5034)),D5034-C5034,"")</f>
        <v/>
      </c>
      <c r="Z5034" s="23" t="str">
        <f aca="false">IF(B5034="","",IF(MATCH(B5034,$B$2:$B$12000,0)=ROW()-1,1,0))</f>
        <v/>
      </c>
    </row>
    <row r="5035" customFormat="false" ht="15" hidden="false" customHeight="false" outlineLevel="0" collapsed="false">
      <c r="V5035" s="23" t="str">
        <f aca="false">IF(ISNUMBER(C5035),YEAR(C5035),"")</f>
        <v/>
      </c>
      <c r="W5035" s="23" t="str">
        <f aca="false">IF(ISNUMBER(C5035),MONTH(C5035),"")</f>
        <v/>
      </c>
      <c r="X5035" s="23" t="str">
        <f aca="false">IF(T5035="","",IF(T5035=0,"No discount",IF(T5035&lt;=0.2,"Low (1-20%)",IF(T5035&lt;=0.4,"Medium (21-40%)","High (&gt;40%)"))))</f>
        <v/>
      </c>
      <c r="Y5035" s="23" t="str">
        <f aca="false">IF(AND(ISNUMBER(C5035),ISNUMBER(D5035)),D5035-C5035,"")</f>
        <v/>
      </c>
      <c r="Z5035" s="23" t="str">
        <f aca="false">IF(B5035="","",IF(MATCH(B5035,$B$2:$B$12000,0)=ROW()-1,1,0))</f>
        <v/>
      </c>
    </row>
    <row r="5036" customFormat="false" ht="15" hidden="false" customHeight="false" outlineLevel="0" collapsed="false">
      <c r="V5036" s="23" t="str">
        <f aca="false">IF(ISNUMBER(C5036),YEAR(C5036),"")</f>
        <v/>
      </c>
      <c r="W5036" s="23" t="str">
        <f aca="false">IF(ISNUMBER(C5036),MONTH(C5036),"")</f>
        <v/>
      </c>
      <c r="X5036" s="23" t="str">
        <f aca="false">IF(T5036="","",IF(T5036=0,"No discount",IF(T5036&lt;=0.2,"Low (1-20%)",IF(T5036&lt;=0.4,"Medium (21-40%)","High (&gt;40%)"))))</f>
        <v/>
      </c>
      <c r="Y5036" s="23" t="str">
        <f aca="false">IF(AND(ISNUMBER(C5036),ISNUMBER(D5036)),D5036-C5036,"")</f>
        <v/>
      </c>
      <c r="Z5036" s="23" t="str">
        <f aca="false">IF(B5036="","",IF(MATCH(B5036,$B$2:$B$12000,0)=ROW()-1,1,0))</f>
        <v/>
      </c>
    </row>
    <row r="5037" customFormat="false" ht="15" hidden="false" customHeight="false" outlineLevel="0" collapsed="false">
      <c r="V5037" s="23" t="str">
        <f aca="false">IF(ISNUMBER(C5037),YEAR(C5037),"")</f>
        <v/>
      </c>
      <c r="W5037" s="23" t="str">
        <f aca="false">IF(ISNUMBER(C5037),MONTH(C5037),"")</f>
        <v/>
      </c>
      <c r="X5037" s="23" t="str">
        <f aca="false">IF(T5037="","",IF(T5037=0,"No discount",IF(T5037&lt;=0.2,"Low (1-20%)",IF(T5037&lt;=0.4,"Medium (21-40%)","High (&gt;40%)"))))</f>
        <v/>
      </c>
      <c r="Y5037" s="23" t="str">
        <f aca="false">IF(AND(ISNUMBER(C5037),ISNUMBER(D5037)),D5037-C5037,"")</f>
        <v/>
      </c>
      <c r="Z5037" s="23" t="str">
        <f aca="false">IF(B5037="","",IF(MATCH(B5037,$B$2:$B$12000,0)=ROW()-1,1,0))</f>
        <v/>
      </c>
    </row>
    <row r="5038" customFormat="false" ht="15" hidden="false" customHeight="false" outlineLevel="0" collapsed="false">
      <c r="V5038" s="23" t="str">
        <f aca="false">IF(ISNUMBER(C5038),YEAR(C5038),"")</f>
        <v/>
      </c>
      <c r="W5038" s="23" t="str">
        <f aca="false">IF(ISNUMBER(C5038),MONTH(C5038),"")</f>
        <v/>
      </c>
      <c r="X5038" s="23" t="str">
        <f aca="false">IF(T5038="","",IF(T5038=0,"No discount",IF(T5038&lt;=0.2,"Low (1-20%)",IF(T5038&lt;=0.4,"Medium (21-40%)","High (&gt;40%)"))))</f>
        <v/>
      </c>
      <c r="Y5038" s="23" t="str">
        <f aca="false">IF(AND(ISNUMBER(C5038),ISNUMBER(D5038)),D5038-C5038,"")</f>
        <v/>
      </c>
      <c r="Z5038" s="23" t="str">
        <f aca="false">IF(B5038="","",IF(MATCH(B5038,$B$2:$B$12000,0)=ROW()-1,1,0))</f>
        <v/>
      </c>
    </row>
    <row r="5039" customFormat="false" ht="15" hidden="false" customHeight="false" outlineLevel="0" collapsed="false">
      <c r="V5039" s="23" t="str">
        <f aca="false">IF(ISNUMBER(C5039),YEAR(C5039),"")</f>
        <v/>
      </c>
      <c r="W5039" s="23" t="str">
        <f aca="false">IF(ISNUMBER(C5039),MONTH(C5039),"")</f>
        <v/>
      </c>
      <c r="X5039" s="23" t="str">
        <f aca="false">IF(T5039="","",IF(T5039=0,"No discount",IF(T5039&lt;=0.2,"Low (1-20%)",IF(T5039&lt;=0.4,"Medium (21-40%)","High (&gt;40%)"))))</f>
        <v/>
      </c>
      <c r="Y5039" s="23" t="str">
        <f aca="false">IF(AND(ISNUMBER(C5039),ISNUMBER(D5039)),D5039-C5039,"")</f>
        <v/>
      </c>
      <c r="Z5039" s="23" t="str">
        <f aca="false">IF(B5039="","",IF(MATCH(B5039,$B$2:$B$12000,0)=ROW()-1,1,0))</f>
        <v/>
      </c>
    </row>
    <row r="5040" customFormat="false" ht="15" hidden="false" customHeight="false" outlineLevel="0" collapsed="false">
      <c r="V5040" s="23" t="str">
        <f aca="false">IF(ISNUMBER(C5040),YEAR(C5040),"")</f>
        <v/>
      </c>
      <c r="W5040" s="23" t="str">
        <f aca="false">IF(ISNUMBER(C5040),MONTH(C5040),"")</f>
        <v/>
      </c>
      <c r="X5040" s="23" t="str">
        <f aca="false">IF(T5040="","",IF(T5040=0,"No discount",IF(T5040&lt;=0.2,"Low (1-20%)",IF(T5040&lt;=0.4,"Medium (21-40%)","High (&gt;40%)"))))</f>
        <v/>
      </c>
      <c r="Y5040" s="23" t="str">
        <f aca="false">IF(AND(ISNUMBER(C5040),ISNUMBER(D5040)),D5040-C5040,"")</f>
        <v/>
      </c>
      <c r="Z5040" s="23" t="str">
        <f aca="false">IF(B5040="","",IF(MATCH(B5040,$B$2:$B$12000,0)=ROW()-1,1,0))</f>
        <v/>
      </c>
    </row>
    <row r="5041" customFormat="false" ht="15" hidden="false" customHeight="false" outlineLevel="0" collapsed="false">
      <c r="V5041" s="23" t="str">
        <f aca="false">IF(ISNUMBER(C5041),YEAR(C5041),"")</f>
        <v/>
      </c>
      <c r="W5041" s="23" t="str">
        <f aca="false">IF(ISNUMBER(C5041),MONTH(C5041),"")</f>
        <v/>
      </c>
      <c r="X5041" s="23" t="str">
        <f aca="false">IF(T5041="","",IF(T5041=0,"No discount",IF(T5041&lt;=0.2,"Low (1-20%)",IF(T5041&lt;=0.4,"Medium (21-40%)","High (&gt;40%)"))))</f>
        <v/>
      </c>
      <c r="Y5041" s="23" t="str">
        <f aca="false">IF(AND(ISNUMBER(C5041),ISNUMBER(D5041)),D5041-C5041,"")</f>
        <v/>
      </c>
      <c r="Z5041" s="23" t="str">
        <f aca="false">IF(B5041="","",IF(MATCH(B5041,$B$2:$B$12000,0)=ROW()-1,1,0))</f>
        <v/>
      </c>
    </row>
    <row r="5042" customFormat="false" ht="15" hidden="false" customHeight="false" outlineLevel="0" collapsed="false">
      <c r="V5042" s="23" t="str">
        <f aca="false">IF(ISNUMBER(C5042),YEAR(C5042),"")</f>
        <v/>
      </c>
      <c r="W5042" s="23" t="str">
        <f aca="false">IF(ISNUMBER(C5042),MONTH(C5042),"")</f>
        <v/>
      </c>
      <c r="X5042" s="23" t="str">
        <f aca="false">IF(T5042="","",IF(T5042=0,"No discount",IF(T5042&lt;=0.2,"Low (1-20%)",IF(T5042&lt;=0.4,"Medium (21-40%)","High (&gt;40%)"))))</f>
        <v/>
      </c>
      <c r="Y5042" s="23" t="str">
        <f aca="false">IF(AND(ISNUMBER(C5042),ISNUMBER(D5042)),D5042-C5042,"")</f>
        <v/>
      </c>
      <c r="Z5042" s="23" t="str">
        <f aca="false">IF(B5042="","",IF(MATCH(B5042,$B$2:$B$12000,0)=ROW()-1,1,0))</f>
        <v/>
      </c>
    </row>
    <row r="5043" customFormat="false" ht="15" hidden="false" customHeight="false" outlineLevel="0" collapsed="false">
      <c r="V5043" s="23" t="str">
        <f aca="false">IF(ISNUMBER(C5043),YEAR(C5043),"")</f>
        <v/>
      </c>
      <c r="W5043" s="23" t="str">
        <f aca="false">IF(ISNUMBER(C5043),MONTH(C5043),"")</f>
        <v/>
      </c>
      <c r="X5043" s="23" t="str">
        <f aca="false">IF(T5043="","",IF(T5043=0,"No discount",IF(T5043&lt;=0.2,"Low (1-20%)",IF(T5043&lt;=0.4,"Medium (21-40%)","High (&gt;40%)"))))</f>
        <v/>
      </c>
      <c r="Y5043" s="23" t="str">
        <f aca="false">IF(AND(ISNUMBER(C5043),ISNUMBER(D5043)),D5043-C5043,"")</f>
        <v/>
      </c>
      <c r="Z5043" s="23" t="str">
        <f aca="false">IF(B5043="","",IF(MATCH(B5043,$B$2:$B$12000,0)=ROW()-1,1,0))</f>
        <v/>
      </c>
    </row>
    <row r="5044" customFormat="false" ht="15" hidden="false" customHeight="false" outlineLevel="0" collapsed="false">
      <c r="V5044" s="23" t="str">
        <f aca="false">IF(ISNUMBER(C5044),YEAR(C5044),"")</f>
        <v/>
      </c>
      <c r="W5044" s="23" t="str">
        <f aca="false">IF(ISNUMBER(C5044),MONTH(C5044),"")</f>
        <v/>
      </c>
      <c r="X5044" s="23" t="str">
        <f aca="false">IF(T5044="","",IF(T5044=0,"No discount",IF(T5044&lt;=0.2,"Low (1-20%)",IF(T5044&lt;=0.4,"Medium (21-40%)","High (&gt;40%)"))))</f>
        <v/>
      </c>
      <c r="Y5044" s="23" t="str">
        <f aca="false">IF(AND(ISNUMBER(C5044),ISNUMBER(D5044)),D5044-C5044,"")</f>
        <v/>
      </c>
      <c r="Z5044" s="23" t="str">
        <f aca="false">IF(B5044="","",IF(MATCH(B5044,$B$2:$B$12000,0)=ROW()-1,1,0))</f>
        <v/>
      </c>
    </row>
    <row r="5045" customFormat="false" ht="15" hidden="false" customHeight="false" outlineLevel="0" collapsed="false">
      <c r="V5045" s="23" t="str">
        <f aca="false">IF(ISNUMBER(C5045),YEAR(C5045),"")</f>
        <v/>
      </c>
      <c r="W5045" s="23" t="str">
        <f aca="false">IF(ISNUMBER(C5045),MONTH(C5045),"")</f>
        <v/>
      </c>
      <c r="X5045" s="23" t="str">
        <f aca="false">IF(T5045="","",IF(T5045=0,"No discount",IF(T5045&lt;=0.2,"Low (1-20%)",IF(T5045&lt;=0.4,"Medium (21-40%)","High (&gt;40%)"))))</f>
        <v/>
      </c>
      <c r="Y5045" s="23" t="str">
        <f aca="false">IF(AND(ISNUMBER(C5045),ISNUMBER(D5045)),D5045-C5045,"")</f>
        <v/>
      </c>
      <c r="Z5045" s="23" t="str">
        <f aca="false">IF(B5045="","",IF(MATCH(B5045,$B$2:$B$12000,0)=ROW()-1,1,0))</f>
        <v/>
      </c>
    </row>
    <row r="5046" customFormat="false" ht="15" hidden="false" customHeight="false" outlineLevel="0" collapsed="false">
      <c r="V5046" s="23" t="str">
        <f aca="false">IF(ISNUMBER(C5046),YEAR(C5046),"")</f>
        <v/>
      </c>
      <c r="W5046" s="23" t="str">
        <f aca="false">IF(ISNUMBER(C5046),MONTH(C5046),"")</f>
        <v/>
      </c>
      <c r="X5046" s="23" t="str">
        <f aca="false">IF(T5046="","",IF(T5046=0,"No discount",IF(T5046&lt;=0.2,"Low (1-20%)",IF(T5046&lt;=0.4,"Medium (21-40%)","High (&gt;40%)"))))</f>
        <v/>
      </c>
      <c r="Y5046" s="23" t="str">
        <f aca="false">IF(AND(ISNUMBER(C5046),ISNUMBER(D5046)),D5046-C5046,"")</f>
        <v/>
      </c>
      <c r="Z5046" s="23" t="str">
        <f aca="false">IF(B5046="","",IF(MATCH(B5046,$B$2:$B$12000,0)=ROW()-1,1,0))</f>
        <v/>
      </c>
    </row>
    <row r="5047" customFormat="false" ht="15" hidden="false" customHeight="false" outlineLevel="0" collapsed="false">
      <c r="V5047" s="23" t="str">
        <f aca="false">IF(ISNUMBER(C5047),YEAR(C5047),"")</f>
        <v/>
      </c>
      <c r="W5047" s="23" t="str">
        <f aca="false">IF(ISNUMBER(C5047),MONTH(C5047),"")</f>
        <v/>
      </c>
      <c r="X5047" s="23" t="str">
        <f aca="false">IF(T5047="","",IF(T5047=0,"No discount",IF(T5047&lt;=0.2,"Low (1-20%)",IF(T5047&lt;=0.4,"Medium (21-40%)","High (&gt;40%)"))))</f>
        <v/>
      </c>
      <c r="Y5047" s="23" t="str">
        <f aca="false">IF(AND(ISNUMBER(C5047),ISNUMBER(D5047)),D5047-C5047,"")</f>
        <v/>
      </c>
      <c r="Z5047" s="23" t="str">
        <f aca="false">IF(B5047="","",IF(MATCH(B5047,$B$2:$B$12000,0)=ROW()-1,1,0))</f>
        <v/>
      </c>
    </row>
    <row r="5048" customFormat="false" ht="15" hidden="false" customHeight="false" outlineLevel="0" collapsed="false">
      <c r="V5048" s="23" t="str">
        <f aca="false">IF(ISNUMBER(C5048),YEAR(C5048),"")</f>
        <v/>
      </c>
      <c r="W5048" s="23" t="str">
        <f aca="false">IF(ISNUMBER(C5048),MONTH(C5048),"")</f>
        <v/>
      </c>
      <c r="X5048" s="23" t="str">
        <f aca="false">IF(T5048="","",IF(T5048=0,"No discount",IF(T5048&lt;=0.2,"Low (1-20%)",IF(T5048&lt;=0.4,"Medium (21-40%)","High (&gt;40%)"))))</f>
        <v/>
      </c>
      <c r="Y5048" s="23" t="str">
        <f aca="false">IF(AND(ISNUMBER(C5048),ISNUMBER(D5048)),D5048-C5048,"")</f>
        <v/>
      </c>
      <c r="Z5048" s="23" t="str">
        <f aca="false">IF(B5048="","",IF(MATCH(B5048,$B$2:$B$12000,0)=ROW()-1,1,0))</f>
        <v/>
      </c>
    </row>
    <row r="5049" customFormat="false" ht="15" hidden="false" customHeight="false" outlineLevel="0" collapsed="false">
      <c r="V5049" s="23" t="str">
        <f aca="false">IF(ISNUMBER(C5049),YEAR(C5049),"")</f>
        <v/>
      </c>
      <c r="W5049" s="23" t="str">
        <f aca="false">IF(ISNUMBER(C5049),MONTH(C5049),"")</f>
        <v/>
      </c>
      <c r="X5049" s="23" t="str">
        <f aca="false">IF(T5049="","",IF(T5049=0,"No discount",IF(T5049&lt;=0.2,"Low (1-20%)",IF(T5049&lt;=0.4,"Medium (21-40%)","High (&gt;40%)"))))</f>
        <v/>
      </c>
      <c r="Y5049" s="23" t="str">
        <f aca="false">IF(AND(ISNUMBER(C5049),ISNUMBER(D5049)),D5049-C5049,"")</f>
        <v/>
      </c>
      <c r="Z5049" s="23" t="str">
        <f aca="false">IF(B5049="","",IF(MATCH(B5049,$B$2:$B$12000,0)=ROW()-1,1,0))</f>
        <v/>
      </c>
    </row>
    <row r="5050" customFormat="false" ht="15" hidden="false" customHeight="false" outlineLevel="0" collapsed="false">
      <c r="V5050" s="23" t="str">
        <f aca="false">IF(ISNUMBER(C5050),YEAR(C5050),"")</f>
        <v/>
      </c>
      <c r="W5050" s="23" t="str">
        <f aca="false">IF(ISNUMBER(C5050),MONTH(C5050),"")</f>
        <v/>
      </c>
      <c r="X5050" s="23" t="str">
        <f aca="false">IF(T5050="","",IF(T5050=0,"No discount",IF(T5050&lt;=0.2,"Low (1-20%)",IF(T5050&lt;=0.4,"Medium (21-40%)","High (&gt;40%)"))))</f>
        <v/>
      </c>
      <c r="Y5050" s="23" t="str">
        <f aca="false">IF(AND(ISNUMBER(C5050),ISNUMBER(D5050)),D5050-C5050,"")</f>
        <v/>
      </c>
      <c r="Z5050" s="23" t="str">
        <f aca="false">IF(B5050="","",IF(MATCH(B5050,$B$2:$B$12000,0)=ROW()-1,1,0))</f>
        <v/>
      </c>
    </row>
    <row r="5051" customFormat="false" ht="15" hidden="false" customHeight="false" outlineLevel="0" collapsed="false">
      <c r="V5051" s="23" t="str">
        <f aca="false">IF(ISNUMBER(C5051),YEAR(C5051),"")</f>
        <v/>
      </c>
      <c r="W5051" s="23" t="str">
        <f aca="false">IF(ISNUMBER(C5051),MONTH(C5051),"")</f>
        <v/>
      </c>
      <c r="X5051" s="23" t="str">
        <f aca="false">IF(T5051="","",IF(T5051=0,"No discount",IF(T5051&lt;=0.2,"Low (1-20%)",IF(T5051&lt;=0.4,"Medium (21-40%)","High (&gt;40%)"))))</f>
        <v/>
      </c>
      <c r="Y5051" s="23" t="str">
        <f aca="false">IF(AND(ISNUMBER(C5051),ISNUMBER(D5051)),D5051-C5051,"")</f>
        <v/>
      </c>
      <c r="Z5051" s="23" t="str">
        <f aca="false">IF(B5051="","",IF(MATCH(B5051,$B$2:$B$12000,0)=ROW()-1,1,0))</f>
        <v/>
      </c>
    </row>
    <row r="5052" customFormat="false" ht="15" hidden="false" customHeight="false" outlineLevel="0" collapsed="false">
      <c r="V5052" s="23" t="str">
        <f aca="false">IF(ISNUMBER(C5052),YEAR(C5052),"")</f>
        <v/>
      </c>
      <c r="W5052" s="23" t="str">
        <f aca="false">IF(ISNUMBER(C5052),MONTH(C5052),"")</f>
        <v/>
      </c>
      <c r="X5052" s="23" t="str">
        <f aca="false">IF(T5052="","",IF(T5052=0,"No discount",IF(T5052&lt;=0.2,"Low (1-20%)",IF(T5052&lt;=0.4,"Medium (21-40%)","High (&gt;40%)"))))</f>
        <v/>
      </c>
      <c r="Y5052" s="23" t="str">
        <f aca="false">IF(AND(ISNUMBER(C5052),ISNUMBER(D5052)),D5052-C5052,"")</f>
        <v/>
      </c>
      <c r="Z5052" s="23" t="str">
        <f aca="false">IF(B5052="","",IF(MATCH(B5052,$B$2:$B$12000,0)=ROW()-1,1,0))</f>
        <v/>
      </c>
    </row>
    <row r="5053" customFormat="false" ht="15" hidden="false" customHeight="false" outlineLevel="0" collapsed="false">
      <c r="V5053" s="23" t="str">
        <f aca="false">IF(ISNUMBER(C5053),YEAR(C5053),"")</f>
        <v/>
      </c>
      <c r="W5053" s="23" t="str">
        <f aca="false">IF(ISNUMBER(C5053),MONTH(C5053),"")</f>
        <v/>
      </c>
      <c r="X5053" s="23" t="str">
        <f aca="false">IF(T5053="","",IF(T5053=0,"No discount",IF(T5053&lt;=0.2,"Low (1-20%)",IF(T5053&lt;=0.4,"Medium (21-40%)","High (&gt;40%)"))))</f>
        <v/>
      </c>
      <c r="Y5053" s="23" t="str">
        <f aca="false">IF(AND(ISNUMBER(C5053),ISNUMBER(D5053)),D5053-C5053,"")</f>
        <v/>
      </c>
      <c r="Z5053" s="23" t="str">
        <f aca="false">IF(B5053="","",IF(MATCH(B5053,$B$2:$B$12000,0)=ROW()-1,1,0))</f>
        <v/>
      </c>
    </row>
    <row r="5054" customFormat="false" ht="15" hidden="false" customHeight="false" outlineLevel="0" collapsed="false">
      <c r="V5054" s="23" t="str">
        <f aca="false">IF(ISNUMBER(C5054),YEAR(C5054),"")</f>
        <v/>
      </c>
      <c r="W5054" s="23" t="str">
        <f aca="false">IF(ISNUMBER(C5054),MONTH(C5054),"")</f>
        <v/>
      </c>
      <c r="X5054" s="23" t="str">
        <f aca="false">IF(T5054="","",IF(T5054=0,"No discount",IF(T5054&lt;=0.2,"Low (1-20%)",IF(T5054&lt;=0.4,"Medium (21-40%)","High (&gt;40%)"))))</f>
        <v/>
      </c>
      <c r="Y5054" s="23" t="str">
        <f aca="false">IF(AND(ISNUMBER(C5054),ISNUMBER(D5054)),D5054-C5054,"")</f>
        <v/>
      </c>
      <c r="Z5054" s="23" t="str">
        <f aca="false">IF(B5054="","",IF(MATCH(B5054,$B$2:$B$12000,0)=ROW()-1,1,0))</f>
        <v/>
      </c>
    </row>
    <row r="5055" customFormat="false" ht="15" hidden="false" customHeight="false" outlineLevel="0" collapsed="false">
      <c r="V5055" s="23" t="str">
        <f aca="false">IF(ISNUMBER(C5055),YEAR(C5055),"")</f>
        <v/>
      </c>
      <c r="W5055" s="23" t="str">
        <f aca="false">IF(ISNUMBER(C5055),MONTH(C5055),"")</f>
        <v/>
      </c>
      <c r="X5055" s="23" t="str">
        <f aca="false">IF(T5055="","",IF(T5055=0,"No discount",IF(T5055&lt;=0.2,"Low (1-20%)",IF(T5055&lt;=0.4,"Medium (21-40%)","High (&gt;40%)"))))</f>
        <v/>
      </c>
      <c r="Y5055" s="23" t="str">
        <f aca="false">IF(AND(ISNUMBER(C5055),ISNUMBER(D5055)),D5055-C5055,"")</f>
        <v/>
      </c>
      <c r="Z5055" s="23" t="str">
        <f aca="false">IF(B5055="","",IF(MATCH(B5055,$B$2:$B$12000,0)=ROW()-1,1,0))</f>
        <v/>
      </c>
    </row>
    <row r="5056" customFormat="false" ht="15" hidden="false" customHeight="false" outlineLevel="0" collapsed="false">
      <c r="V5056" s="23" t="str">
        <f aca="false">IF(ISNUMBER(C5056),YEAR(C5056),"")</f>
        <v/>
      </c>
      <c r="W5056" s="23" t="str">
        <f aca="false">IF(ISNUMBER(C5056),MONTH(C5056),"")</f>
        <v/>
      </c>
      <c r="X5056" s="23" t="str">
        <f aca="false">IF(T5056="","",IF(T5056=0,"No discount",IF(T5056&lt;=0.2,"Low (1-20%)",IF(T5056&lt;=0.4,"Medium (21-40%)","High (&gt;40%)"))))</f>
        <v/>
      </c>
      <c r="Y5056" s="23" t="str">
        <f aca="false">IF(AND(ISNUMBER(C5056),ISNUMBER(D5056)),D5056-C5056,"")</f>
        <v/>
      </c>
      <c r="Z5056" s="23" t="str">
        <f aca="false">IF(B5056="","",IF(MATCH(B5056,$B$2:$B$12000,0)=ROW()-1,1,0))</f>
        <v/>
      </c>
    </row>
    <row r="5057" customFormat="false" ht="15" hidden="false" customHeight="false" outlineLevel="0" collapsed="false">
      <c r="V5057" s="23" t="str">
        <f aca="false">IF(ISNUMBER(C5057),YEAR(C5057),"")</f>
        <v/>
      </c>
      <c r="W5057" s="23" t="str">
        <f aca="false">IF(ISNUMBER(C5057),MONTH(C5057),"")</f>
        <v/>
      </c>
      <c r="X5057" s="23" t="str">
        <f aca="false">IF(T5057="","",IF(T5057=0,"No discount",IF(T5057&lt;=0.2,"Low (1-20%)",IF(T5057&lt;=0.4,"Medium (21-40%)","High (&gt;40%)"))))</f>
        <v/>
      </c>
      <c r="Y5057" s="23" t="str">
        <f aca="false">IF(AND(ISNUMBER(C5057),ISNUMBER(D5057)),D5057-C5057,"")</f>
        <v/>
      </c>
      <c r="Z5057" s="23" t="str">
        <f aca="false">IF(B5057="","",IF(MATCH(B5057,$B$2:$B$12000,0)=ROW()-1,1,0))</f>
        <v/>
      </c>
    </row>
    <row r="5058" customFormat="false" ht="15" hidden="false" customHeight="false" outlineLevel="0" collapsed="false">
      <c r="V5058" s="23" t="str">
        <f aca="false">IF(ISNUMBER(C5058),YEAR(C5058),"")</f>
        <v/>
      </c>
      <c r="W5058" s="23" t="str">
        <f aca="false">IF(ISNUMBER(C5058),MONTH(C5058),"")</f>
        <v/>
      </c>
      <c r="X5058" s="23" t="str">
        <f aca="false">IF(T5058="","",IF(T5058=0,"No discount",IF(T5058&lt;=0.2,"Low (1-20%)",IF(T5058&lt;=0.4,"Medium (21-40%)","High (&gt;40%)"))))</f>
        <v/>
      </c>
      <c r="Y5058" s="23" t="str">
        <f aca="false">IF(AND(ISNUMBER(C5058),ISNUMBER(D5058)),D5058-C5058,"")</f>
        <v/>
      </c>
      <c r="Z5058" s="23" t="str">
        <f aca="false">IF(B5058="","",IF(MATCH(B5058,$B$2:$B$12000,0)=ROW()-1,1,0))</f>
        <v/>
      </c>
    </row>
    <row r="5059" customFormat="false" ht="15" hidden="false" customHeight="false" outlineLevel="0" collapsed="false">
      <c r="V5059" s="23" t="str">
        <f aca="false">IF(ISNUMBER(C5059),YEAR(C5059),"")</f>
        <v/>
      </c>
      <c r="W5059" s="23" t="str">
        <f aca="false">IF(ISNUMBER(C5059),MONTH(C5059),"")</f>
        <v/>
      </c>
      <c r="X5059" s="23" t="str">
        <f aca="false">IF(T5059="","",IF(T5059=0,"No discount",IF(T5059&lt;=0.2,"Low (1-20%)",IF(T5059&lt;=0.4,"Medium (21-40%)","High (&gt;40%)"))))</f>
        <v/>
      </c>
      <c r="Y5059" s="23" t="str">
        <f aca="false">IF(AND(ISNUMBER(C5059),ISNUMBER(D5059)),D5059-C5059,"")</f>
        <v/>
      </c>
      <c r="Z5059" s="23" t="str">
        <f aca="false">IF(B5059="","",IF(MATCH(B5059,$B$2:$B$12000,0)=ROW()-1,1,0))</f>
        <v/>
      </c>
    </row>
    <row r="5060" customFormat="false" ht="15" hidden="false" customHeight="false" outlineLevel="0" collapsed="false">
      <c r="V5060" s="23" t="str">
        <f aca="false">IF(ISNUMBER(C5060),YEAR(C5060),"")</f>
        <v/>
      </c>
      <c r="W5060" s="23" t="str">
        <f aca="false">IF(ISNUMBER(C5060),MONTH(C5060),"")</f>
        <v/>
      </c>
      <c r="X5060" s="23" t="str">
        <f aca="false">IF(T5060="","",IF(T5060=0,"No discount",IF(T5060&lt;=0.2,"Low (1-20%)",IF(T5060&lt;=0.4,"Medium (21-40%)","High (&gt;40%)"))))</f>
        <v/>
      </c>
      <c r="Y5060" s="23" t="str">
        <f aca="false">IF(AND(ISNUMBER(C5060),ISNUMBER(D5060)),D5060-C5060,"")</f>
        <v/>
      </c>
      <c r="Z5060" s="23" t="str">
        <f aca="false">IF(B5060="","",IF(MATCH(B5060,$B$2:$B$12000,0)=ROW()-1,1,0))</f>
        <v/>
      </c>
    </row>
    <row r="5061" customFormat="false" ht="15" hidden="false" customHeight="false" outlineLevel="0" collapsed="false">
      <c r="V5061" s="23" t="str">
        <f aca="false">IF(ISNUMBER(C5061),YEAR(C5061),"")</f>
        <v/>
      </c>
      <c r="W5061" s="23" t="str">
        <f aca="false">IF(ISNUMBER(C5061),MONTH(C5061),"")</f>
        <v/>
      </c>
      <c r="X5061" s="23" t="str">
        <f aca="false">IF(T5061="","",IF(T5061=0,"No discount",IF(T5061&lt;=0.2,"Low (1-20%)",IF(T5061&lt;=0.4,"Medium (21-40%)","High (&gt;40%)"))))</f>
        <v/>
      </c>
      <c r="Y5061" s="23" t="str">
        <f aca="false">IF(AND(ISNUMBER(C5061),ISNUMBER(D5061)),D5061-C5061,"")</f>
        <v/>
      </c>
      <c r="Z5061" s="23" t="str">
        <f aca="false">IF(B5061="","",IF(MATCH(B5061,$B$2:$B$12000,0)=ROW()-1,1,0))</f>
        <v/>
      </c>
    </row>
    <row r="5062" customFormat="false" ht="15" hidden="false" customHeight="false" outlineLevel="0" collapsed="false">
      <c r="V5062" s="23" t="str">
        <f aca="false">IF(ISNUMBER(C5062),YEAR(C5062),"")</f>
        <v/>
      </c>
      <c r="W5062" s="23" t="str">
        <f aca="false">IF(ISNUMBER(C5062),MONTH(C5062),"")</f>
        <v/>
      </c>
      <c r="X5062" s="23" t="str">
        <f aca="false">IF(T5062="","",IF(T5062=0,"No discount",IF(T5062&lt;=0.2,"Low (1-20%)",IF(T5062&lt;=0.4,"Medium (21-40%)","High (&gt;40%)"))))</f>
        <v/>
      </c>
      <c r="Y5062" s="23" t="str">
        <f aca="false">IF(AND(ISNUMBER(C5062),ISNUMBER(D5062)),D5062-C5062,"")</f>
        <v/>
      </c>
      <c r="Z5062" s="23" t="str">
        <f aca="false">IF(B5062="","",IF(MATCH(B5062,$B$2:$B$12000,0)=ROW()-1,1,0))</f>
        <v/>
      </c>
    </row>
    <row r="5063" customFormat="false" ht="15" hidden="false" customHeight="false" outlineLevel="0" collapsed="false">
      <c r="V5063" s="23" t="str">
        <f aca="false">IF(ISNUMBER(C5063),YEAR(C5063),"")</f>
        <v/>
      </c>
      <c r="W5063" s="23" t="str">
        <f aca="false">IF(ISNUMBER(C5063),MONTH(C5063),"")</f>
        <v/>
      </c>
      <c r="X5063" s="23" t="str">
        <f aca="false">IF(T5063="","",IF(T5063=0,"No discount",IF(T5063&lt;=0.2,"Low (1-20%)",IF(T5063&lt;=0.4,"Medium (21-40%)","High (&gt;40%)"))))</f>
        <v/>
      </c>
      <c r="Y5063" s="23" t="str">
        <f aca="false">IF(AND(ISNUMBER(C5063),ISNUMBER(D5063)),D5063-C5063,"")</f>
        <v/>
      </c>
      <c r="Z5063" s="23" t="str">
        <f aca="false">IF(B5063="","",IF(MATCH(B5063,$B$2:$B$12000,0)=ROW()-1,1,0))</f>
        <v/>
      </c>
    </row>
    <row r="5064" customFormat="false" ht="15" hidden="false" customHeight="false" outlineLevel="0" collapsed="false">
      <c r="V5064" s="23" t="str">
        <f aca="false">IF(ISNUMBER(C5064),YEAR(C5064),"")</f>
        <v/>
      </c>
      <c r="W5064" s="23" t="str">
        <f aca="false">IF(ISNUMBER(C5064),MONTH(C5064),"")</f>
        <v/>
      </c>
      <c r="X5064" s="23" t="str">
        <f aca="false">IF(T5064="","",IF(T5064=0,"No discount",IF(T5064&lt;=0.2,"Low (1-20%)",IF(T5064&lt;=0.4,"Medium (21-40%)","High (&gt;40%)"))))</f>
        <v/>
      </c>
      <c r="Y5064" s="23" t="str">
        <f aca="false">IF(AND(ISNUMBER(C5064),ISNUMBER(D5064)),D5064-C5064,"")</f>
        <v/>
      </c>
      <c r="Z5064" s="23" t="str">
        <f aca="false">IF(B5064="","",IF(MATCH(B5064,$B$2:$B$12000,0)=ROW()-1,1,0))</f>
        <v/>
      </c>
    </row>
    <row r="5065" customFormat="false" ht="15" hidden="false" customHeight="false" outlineLevel="0" collapsed="false">
      <c r="V5065" s="23" t="str">
        <f aca="false">IF(ISNUMBER(C5065),YEAR(C5065),"")</f>
        <v/>
      </c>
      <c r="W5065" s="23" t="str">
        <f aca="false">IF(ISNUMBER(C5065),MONTH(C5065),"")</f>
        <v/>
      </c>
      <c r="X5065" s="23" t="str">
        <f aca="false">IF(T5065="","",IF(T5065=0,"No discount",IF(T5065&lt;=0.2,"Low (1-20%)",IF(T5065&lt;=0.4,"Medium (21-40%)","High (&gt;40%)"))))</f>
        <v/>
      </c>
      <c r="Y5065" s="23" t="str">
        <f aca="false">IF(AND(ISNUMBER(C5065),ISNUMBER(D5065)),D5065-C5065,"")</f>
        <v/>
      </c>
      <c r="Z5065" s="23" t="str">
        <f aca="false">IF(B5065="","",IF(MATCH(B5065,$B$2:$B$12000,0)=ROW()-1,1,0))</f>
        <v/>
      </c>
    </row>
    <row r="5066" customFormat="false" ht="15" hidden="false" customHeight="false" outlineLevel="0" collapsed="false">
      <c r="V5066" s="23" t="str">
        <f aca="false">IF(ISNUMBER(C5066),YEAR(C5066),"")</f>
        <v/>
      </c>
      <c r="W5066" s="23" t="str">
        <f aca="false">IF(ISNUMBER(C5066),MONTH(C5066),"")</f>
        <v/>
      </c>
      <c r="X5066" s="23" t="str">
        <f aca="false">IF(T5066="","",IF(T5066=0,"No discount",IF(T5066&lt;=0.2,"Low (1-20%)",IF(T5066&lt;=0.4,"Medium (21-40%)","High (&gt;40%)"))))</f>
        <v/>
      </c>
      <c r="Y5066" s="23" t="str">
        <f aca="false">IF(AND(ISNUMBER(C5066),ISNUMBER(D5066)),D5066-C5066,"")</f>
        <v/>
      </c>
      <c r="Z5066" s="23" t="str">
        <f aca="false">IF(B5066="","",IF(MATCH(B5066,$B$2:$B$12000,0)=ROW()-1,1,0))</f>
        <v/>
      </c>
    </row>
    <row r="5067" customFormat="false" ht="15" hidden="false" customHeight="false" outlineLevel="0" collapsed="false">
      <c r="V5067" s="23" t="str">
        <f aca="false">IF(ISNUMBER(C5067),YEAR(C5067),"")</f>
        <v/>
      </c>
      <c r="W5067" s="23" t="str">
        <f aca="false">IF(ISNUMBER(C5067),MONTH(C5067),"")</f>
        <v/>
      </c>
      <c r="X5067" s="23" t="str">
        <f aca="false">IF(T5067="","",IF(T5067=0,"No discount",IF(T5067&lt;=0.2,"Low (1-20%)",IF(T5067&lt;=0.4,"Medium (21-40%)","High (&gt;40%)"))))</f>
        <v/>
      </c>
      <c r="Y5067" s="23" t="str">
        <f aca="false">IF(AND(ISNUMBER(C5067),ISNUMBER(D5067)),D5067-C5067,"")</f>
        <v/>
      </c>
      <c r="Z5067" s="23" t="str">
        <f aca="false">IF(B5067="","",IF(MATCH(B5067,$B$2:$B$12000,0)=ROW()-1,1,0))</f>
        <v/>
      </c>
    </row>
    <row r="5068" customFormat="false" ht="15" hidden="false" customHeight="false" outlineLevel="0" collapsed="false">
      <c r="V5068" s="23" t="str">
        <f aca="false">IF(ISNUMBER(C5068),YEAR(C5068),"")</f>
        <v/>
      </c>
      <c r="W5068" s="23" t="str">
        <f aca="false">IF(ISNUMBER(C5068),MONTH(C5068),"")</f>
        <v/>
      </c>
      <c r="X5068" s="23" t="str">
        <f aca="false">IF(T5068="","",IF(T5068=0,"No discount",IF(T5068&lt;=0.2,"Low (1-20%)",IF(T5068&lt;=0.4,"Medium (21-40%)","High (&gt;40%)"))))</f>
        <v/>
      </c>
      <c r="Y5068" s="23" t="str">
        <f aca="false">IF(AND(ISNUMBER(C5068),ISNUMBER(D5068)),D5068-C5068,"")</f>
        <v/>
      </c>
      <c r="Z5068" s="23" t="str">
        <f aca="false">IF(B5068="","",IF(MATCH(B5068,$B$2:$B$12000,0)=ROW()-1,1,0))</f>
        <v/>
      </c>
    </row>
    <row r="5069" customFormat="false" ht="15" hidden="false" customHeight="false" outlineLevel="0" collapsed="false">
      <c r="V5069" s="23" t="str">
        <f aca="false">IF(ISNUMBER(C5069),YEAR(C5069),"")</f>
        <v/>
      </c>
      <c r="W5069" s="23" t="str">
        <f aca="false">IF(ISNUMBER(C5069),MONTH(C5069),"")</f>
        <v/>
      </c>
      <c r="X5069" s="23" t="str">
        <f aca="false">IF(T5069="","",IF(T5069=0,"No discount",IF(T5069&lt;=0.2,"Low (1-20%)",IF(T5069&lt;=0.4,"Medium (21-40%)","High (&gt;40%)"))))</f>
        <v/>
      </c>
      <c r="Y5069" s="23" t="str">
        <f aca="false">IF(AND(ISNUMBER(C5069),ISNUMBER(D5069)),D5069-C5069,"")</f>
        <v/>
      </c>
      <c r="Z5069" s="23" t="str">
        <f aca="false">IF(B5069="","",IF(MATCH(B5069,$B$2:$B$12000,0)=ROW()-1,1,0))</f>
        <v/>
      </c>
    </row>
    <row r="5070" customFormat="false" ht="15" hidden="false" customHeight="false" outlineLevel="0" collapsed="false">
      <c r="V5070" s="23" t="str">
        <f aca="false">IF(ISNUMBER(C5070),YEAR(C5070),"")</f>
        <v/>
      </c>
      <c r="W5070" s="23" t="str">
        <f aca="false">IF(ISNUMBER(C5070),MONTH(C5070),"")</f>
        <v/>
      </c>
      <c r="X5070" s="23" t="str">
        <f aca="false">IF(T5070="","",IF(T5070=0,"No discount",IF(T5070&lt;=0.2,"Low (1-20%)",IF(T5070&lt;=0.4,"Medium (21-40%)","High (&gt;40%)"))))</f>
        <v/>
      </c>
      <c r="Y5070" s="23" t="str">
        <f aca="false">IF(AND(ISNUMBER(C5070),ISNUMBER(D5070)),D5070-C5070,"")</f>
        <v/>
      </c>
      <c r="Z5070" s="23" t="str">
        <f aca="false">IF(B5070="","",IF(MATCH(B5070,$B$2:$B$12000,0)=ROW()-1,1,0))</f>
        <v/>
      </c>
    </row>
    <row r="5071" customFormat="false" ht="15" hidden="false" customHeight="false" outlineLevel="0" collapsed="false">
      <c r="V5071" s="23" t="str">
        <f aca="false">IF(ISNUMBER(C5071),YEAR(C5071),"")</f>
        <v/>
      </c>
      <c r="W5071" s="23" t="str">
        <f aca="false">IF(ISNUMBER(C5071),MONTH(C5071),"")</f>
        <v/>
      </c>
      <c r="X5071" s="23" t="str">
        <f aca="false">IF(T5071="","",IF(T5071=0,"No discount",IF(T5071&lt;=0.2,"Low (1-20%)",IF(T5071&lt;=0.4,"Medium (21-40%)","High (&gt;40%)"))))</f>
        <v/>
      </c>
      <c r="Y5071" s="23" t="str">
        <f aca="false">IF(AND(ISNUMBER(C5071),ISNUMBER(D5071)),D5071-C5071,"")</f>
        <v/>
      </c>
      <c r="Z5071" s="23" t="str">
        <f aca="false">IF(B5071="","",IF(MATCH(B5071,$B$2:$B$12000,0)=ROW()-1,1,0))</f>
        <v/>
      </c>
    </row>
    <row r="5072" customFormat="false" ht="15" hidden="false" customHeight="false" outlineLevel="0" collapsed="false">
      <c r="V5072" s="23" t="str">
        <f aca="false">IF(ISNUMBER(C5072),YEAR(C5072),"")</f>
        <v/>
      </c>
      <c r="W5072" s="23" t="str">
        <f aca="false">IF(ISNUMBER(C5072),MONTH(C5072),"")</f>
        <v/>
      </c>
      <c r="X5072" s="23" t="str">
        <f aca="false">IF(T5072="","",IF(T5072=0,"No discount",IF(T5072&lt;=0.2,"Low (1-20%)",IF(T5072&lt;=0.4,"Medium (21-40%)","High (&gt;40%)"))))</f>
        <v/>
      </c>
      <c r="Y5072" s="23" t="str">
        <f aca="false">IF(AND(ISNUMBER(C5072),ISNUMBER(D5072)),D5072-C5072,"")</f>
        <v/>
      </c>
      <c r="Z5072" s="23" t="str">
        <f aca="false">IF(B5072="","",IF(MATCH(B5072,$B$2:$B$12000,0)=ROW()-1,1,0))</f>
        <v/>
      </c>
    </row>
    <row r="5073" customFormat="false" ht="15" hidden="false" customHeight="false" outlineLevel="0" collapsed="false">
      <c r="V5073" s="23" t="str">
        <f aca="false">IF(ISNUMBER(C5073),YEAR(C5073),"")</f>
        <v/>
      </c>
      <c r="W5073" s="23" t="str">
        <f aca="false">IF(ISNUMBER(C5073),MONTH(C5073),"")</f>
        <v/>
      </c>
      <c r="X5073" s="23" t="str">
        <f aca="false">IF(T5073="","",IF(T5073=0,"No discount",IF(T5073&lt;=0.2,"Low (1-20%)",IF(T5073&lt;=0.4,"Medium (21-40%)","High (&gt;40%)"))))</f>
        <v/>
      </c>
      <c r="Y5073" s="23" t="str">
        <f aca="false">IF(AND(ISNUMBER(C5073),ISNUMBER(D5073)),D5073-C5073,"")</f>
        <v/>
      </c>
      <c r="Z5073" s="23" t="str">
        <f aca="false">IF(B5073="","",IF(MATCH(B5073,$B$2:$B$12000,0)=ROW()-1,1,0))</f>
        <v/>
      </c>
    </row>
    <row r="5074" customFormat="false" ht="15" hidden="false" customHeight="false" outlineLevel="0" collapsed="false">
      <c r="V5074" s="23" t="str">
        <f aca="false">IF(ISNUMBER(C5074),YEAR(C5074),"")</f>
        <v/>
      </c>
      <c r="W5074" s="23" t="str">
        <f aca="false">IF(ISNUMBER(C5074),MONTH(C5074),"")</f>
        <v/>
      </c>
      <c r="X5074" s="23" t="str">
        <f aca="false">IF(T5074="","",IF(T5074=0,"No discount",IF(T5074&lt;=0.2,"Low (1-20%)",IF(T5074&lt;=0.4,"Medium (21-40%)","High (&gt;40%)"))))</f>
        <v/>
      </c>
      <c r="Y5074" s="23" t="str">
        <f aca="false">IF(AND(ISNUMBER(C5074),ISNUMBER(D5074)),D5074-C5074,"")</f>
        <v/>
      </c>
      <c r="Z5074" s="23" t="str">
        <f aca="false">IF(B5074="","",IF(MATCH(B5074,$B$2:$B$12000,0)=ROW()-1,1,0))</f>
        <v/>
      </c>
    </row>
    <row r="5075" customFormat="false" ht="15" hidden="false" customHeight="false" outlineLevel="0" collapsed="false">
      <c r="V5075" s="23" t="str">
        <f aca="false">IF(ISNUMBER(C5075),YEAR(C5075),"")</f>
        <v/>
      </c>
      <c r="W5075" s="23" t="str">
        <f aca="false">IF(ISNUMBER(C5075),MONTH(C5075),"")</f>
        <v/>
      </c>
      <c r="X5075" s="23" t="str">
        <f aca="false">IF(T5075="","",IF(T5075=0,"No discount",IF(T5075&lt;=0.2,"Low (1-20%)",IF(T5075&lt;=0.4,"Medium (21-40%)","High (&gt;40%)"))))</f>
        <v/>
      </c>
      <c r="Y5075" s="23" t="str">
        <f aca="false">IF(AND(ISNUMBER(C5075),ISNUMBER(D5075)),D5075-C5075,"")</f>
        <v/>
      </c>
      <c r="Z5075" s="23" t="str">
        <f aca="false">IF(B5075="","",IF(MATCH(B5075,$B$2:$B$12000,0)=ROW()-1,1,0))</f>
        <v/>
      </c>
    </row>
    <row r="5076" customFormat="false" ht="15" hidden="false" customHeight="false" outlineLevel="0" collapsed="false">
      <c r="V5076" s="23" t="str">
        <f aca="false">IF(ISNUMBER(C5076),YEAR(C5076),"")</f>
        <v/>
      </c>
      <c r="W5076" s="23" t="str">
        <f aca="false">IF(ISNUMBER(C5076),MONTH(C5076),"")</f>
        <v/>
      </c>
      <c r="X5076" s="23" t="str">
        <f aca="false">IF(T5076="","",IF(T5076=0,"No discount",IF(T5076&lt;=0.2,"Low (1-20%)",IF(T5076&lt;=0.4,"Medium (21-40%)","High (&gt;40%)"))))</f>
        <v/>
      </c>
      <c r="Y5076" s="23" t="str">
        <f aca="false">IF(AND(ISNUMBER(C5076),ISNUMBER(D5076)),D5076-C5076,"")</f>
        <v/>
      </c>
      <c r="Z5076" s="23" t="str">
        <f aca="false">IF(B5076="","",IF(MATCH(B5076,$B$2:$B$12000,0)=ROW()-1,1,0))</f>
        <v/>
      </c>
    </row>
    <row r="5077" customFormat="false" ht="15" hidden="false" customHeight="false" outlineLevel="0" collapsed="false">
      <c r="V5077" s="23" t="str">
        <f aca="false">IF(ISNUMBER(C5077),YEAR(C5077),"")</f>
        <v/>
      </c>
      <c r="W5077" s="23" t="str">
        <f aca="false">IF(ISNUMBER(C5077),MONTH(C5077),"")</f>
        <v/>
      </c>
      <c r="X5077" s="23" t="str">
        <f aca="false">IF(T5077="","",IF(T5077=0,"No discount",IF(T5077&lt;=0.2,"Low (1-20%)",IF(T5077&lt;=0.4,"Medium (21-40%)","High (&gt;40%)"))))</f>
        <v/>
      </c>
      <c r="Y5077" s="23" t="str">
        <f aca="false">IF(AND(ISNUMBER(C5077),ISNUMBER(D5077)),D5077-C5077,"")</f>
        <v/>
      </c>
      <c r="Z5077" s="23" t="str">
        <f aca="false">IF(B5077="","",IF(MATCH(B5077,$B$2:$B$12000,0)=ROW()-1,1,0))</f>
        <v/>
      </c>
    </row>
    <row r="5078" customFormat="false" ht="15" hidden="false" customHeight="false" outlineLevel="0" collapsed="false">
      <c r="V5078" s="23" t="str">
        <f aca="false">IF(ISNUMBER(C5078),YEAR(C5078),"")</f>
        <v/>
      </c>
      <c r="W5078" s="23" t="str">
        <f aca="false">IF(ISNUMBER(C5078),MONTH(C5078),"")</f>
        <v/>
      </c>
      <c r="X5078" s="23" t="str">
        <f aca="false">IF(T5078="","",IF(T5078=0,"No discount",IF(T5078&lt;=0.2,"Low (1-20%)",IF(T5078&lt;=0.4,"Medium (21-40%)","High (&gt;40%)"))))</f>
        <v/>
      </c>
      <c r="Y5078" s="23" t="str">
        <f aca="false">IF(AND(ISNUMBER(C5078),ISNUMBER(D5078)),D5078-C5078,"")</f>
        <v/>
      </c>
      <c r="Z5078" s="23" t="str">
        <f aca="false">IF(B5078="","",IF(MATCH(B5078,$B$2:$B$12000,0)=ROW()-1,1,0))</f>
        <v/>
      </c>
    </row>
    <row r="5079" customFormat="false" ht="15" hidden="false" customHeight="false" outlineLevel="0" collapsed="false">
      <c r="V5079" s="23" t="str">
        <f aca="false">IF(ISNUMBER(C5079),YEAR(C5079),"")</f>
        <v/>
      </c>
      <c r="W5079" s="23" t="str">
        <f aca="false">IF(ISNUMBER(C5079),MONTH(C5079),"")</f>
        <v/>
      </c>
      <c r="X5079" s="23" t="str">
        <f aca="false">IF(T5079="","",IF(T5079=0,"No discount",IF(T5079&lt;=0.2,"Low (1-20%)",IF(T5079&lt;=0.4,"Medium (21-40%)","High (&gt;40%)"))))</f>
        <v/>
      </c>
      <c r="Y5079" s="23" t="str">
        <f aca="false">IF(AND(ISNUMBER(C5079),ISNUMBER(D5079)),D5079-C5079,"")</f>
        <v/>
      </c>
      <c r="Z5079" s="23" t="str">
        <f aca="false">IF(B5079="","",IF(MATCH(B5079,$B$2:$B$12000,0)=ROW()-1,1,0))</f>
        <v/>
      </c>
    </row>
    <row r="5080" customFormat="false" ht="15" hidden="false" customHeight="false" outlineLevel="0" collapsed="false">
      <c r="V5080" s="23" t="str">
        <f aca="false">IF(ISNUMBER(C5080),YEAR(C5080),"")</f>
        <v/>
      </c>
      <c r="W5080" s="23" t="str">
        <f aca="false">IF(ISNUMBER(C5080),MONTH(C5080),"")</f>
        <v/>
      </c>
      <c r="X5080" s="23" t="str">
        <f aca="false">IF(T5080="","",IF(T5080=0,"No discount",IF(T5080&lt;=0.2,"Low (1-20%)",IF(T5080&lt;=0.4,"Medium (21-40%)","High (&gt;40%)"))))</f>
        <v/>
      </c>
      <c r="Y5080" s="23" t="str">
        <f aca="false">IF(AND(ISNUMBER(C5080),ISNUMBER(D5080)),D5080-C5080,"")</f>
        <v/>
      </c>
      <c r="Z5080" s="23" t="str">
        <f aca="false">IF(B5080="","",IF(MATCH(B5080,$B$2:$B$12000,0)=ROW()-1,1,0))</f>
        <v/>
      </c>
    </row>
    <row r="5081" customFormat="false" ht="15" hidden="false" customHeight="false" outlineLevel="0" collapsed="false">
      <c r="V5081" s="23" t="str">
        <f aca="false">IF(ISNUMBER(C5081),YEAR(C5081),"")</f>
        <v/>
      </c>
      <c r="W5081" s="23" t="str">
        <f aca="false">IF(ISNUMBER(C5081),MONTH(C5081),"")</f>
        <v/>
      </c>
      <c r="X5081" s="23" t="str">
        <f aca="false">IF(T5081="","",IF(T5081=0,"No discount",IF(T5081&lt;=0.2,"Low (1-20%)",IF(T5081&lt;=0.4,"Medium (21-40%)","High (&gt;40%)"))))</f>
        <v/>
      </c>
      <c r="Y5081" s="23" t="str">
        <f aca="false">IF(AND(ISNUMBER(C5081),ISNUMBER(D5081)),D5081-C5081,"")</f>
        <v/>
      </c>
      <c r="Z5081" s="23" t="str">
        <f aca="false">IF(B5081="","",IF(MATCH(B5081,$B$2:$B$12000,0)=ROW()-1,1,0))</f>
        <v/>
      </c>
    </row>
    <row r="5082" customFormat="false" ht="15" hidden="false" customHeight="false" outlineLevel="0" collapsed="false">
      <c r="V5082" s="23" t="str">
        <f aca="false">IF(ISNUMBER(C5082),YEAR(C5082),"")</f>
        <v/>
      </c>
      <c r="W5082" s="23" t="str">
        <f aca="false">IF(ISNUMBER(C5082),MONTH(C5082),"")</f>
        <v/>
      </c>
      <c r="X5082" s="23" t="str">
        <f aca="false">IF(T5082="","",IF(T5082=0,"No discount",IF(T5082&lt;=0.2,"Low (1-20%)",IF(T5082&lt;=0.4,"Medium (21-40%)","High (&gt;40%)"))))</f>
        <v/>
      </c>
      <c r="Y5082" s="23" t="str">
        <f aca="false">IF(AND(ISNUMBER(C5082),ISNUMBER(D5082)),D5082-C5082,"")</f>
        <v/>
      </c>
      <c r="Z5082" s="23" t="str">
        <f aca="false">IF(B5082="","",IF(MATCH(B5082,$B$2:$B$12000,0)=ROW()-1,1,0))</f>
        <v/>
      </c>
    </row>
    <row r="5083" customFormat="false" ht="15" hidden="false" customHeight="false" outlineLevel="0" collapsed="false">
      <c r="V5083" s="23" t="str">
        <f aca="false">IF(ISNUMBER(C5083),YEAR(C5083),"")</f>
        <v/>
      </c>
      <c r="W5083" s="23" t="str">
        <f aca="false">IF(ISNUMBER(C5083),MONTH(C5083),"")</f>
        <v/>
      </c>
      <c r="X5083" s="23" t="str">
        <f aca="false">IF(T5083="","",IF(T5083=0,"No discount",IF(T5083&lt;=0.2,"Low (1-20%)",IF(T5083&lt;=0.4,"Medium (21-40%)","High (&gt;40%)"))))</f>
        <v/>
      </c>
      <c r="Y5083" s="23" t="str">
        <f aca="false">IF(AND(ISNUMBER(C5083),ISNUMBER(D5083)),D5083-C5083,"")</f>
        <v/>
      </c>
      <c r="Z5083" s="23" t="str">
        <f aca="false">IF(B5083="","",IF(MATCH(B5083,$B$2:$B$12000,0)=ROW()-1,1,0))</f>
        <v/>
      </c>
    </row>
    <row r="5084" customFormat="false" ht="15" hidden="false" customHeight="false" outlineLevel="0" collapsed="false">
      <c r="V5084" s="23" t="str">
        <f aca="false">IF(ISNUMBER(C5084),YEAR(C5084),"")</f>
        <v/>
      </c>
      <c r="W5084" s="23" t="str">
        <f aca="false">IF(ISNUMBER(C5084),MONTH(C5084),"")</f>
        <v/>
      </c>
      <c r="X5084" s="23" t="str">
        <f aca="false">IF(T5084="","",IF(T5084=0,"No discount",IF(T5084&lt;=0.2,"Low (1-20%)",IF(T5084&lt;=0.4,"Medium (21-40%)","High (&gt;40%)"))))</f>
        <v/>
      </c>
      <c r="Y5084" s="23" t="str">
        <f aca="false">IF(AND(ISNUMBER(C5084),ISNUMBER(D5084)),D5084-C5084,"")</f>
        <v/>
      </c>
      <c r="Z5084" s="23" t="str">
        <f aca="false">IF(B5084="","",IF(MATCH(B5084,$B$2:$B$12000,0)=ROW()-1,1,0))</f>
        <v/>
      </c>
    </row>
    <row r="5085" customFormat="false" ht="15" hidden="false" customHeight="false" outlineLevel="0" collapsed="false">
      <c r="V5085" s="23" t="str">
        <f aca="false">IF(ISNUMBER(C5085),YEAR(C5085),"")</f>
        <v/>
      </c>
      <c r="W5085" s="23" t="str">
        <f aca="false">IF(ISNUMBER(C5085),MONTH(C5085),"")</f>
        <v/>
      </c>
      <c r="X5085" s="23" t="str">
        <f aca="false">IF(T5085="","",IF(T5085=0,"No discount",IF(T5085&lt;=0.2,"Low (1-20%)",IF(T5085&lt;=0.4,"Medium (21-40%)","High (&gt;40%)"))))</f>
        <v/>
      </c>
      <c r="Y5085" s="23" t="str">
        <f aca="false">IF(AND(ISNUMBER(C5085),ISNUMBER(D5085)),D5085-C5085,"")</f>
        <v/>
      </c>
      <c r="Z5085" s="23" t="str">
        <f aca="false">IF(B5085="","",IF(MATCH(B5085,$B$2:$B$12000,0)=ROW()-1,1,0))</f>
        <v/>
      </c>
    </row>
    <row r="5086" customFormat="false" ht="15" hidden="false" customHeight="false" outlineLevel="0" collapsed="false">
      <c r="V5086" s="23" t="str">
        <f aca="false">IF(ISNUMBER(C5086),YEAR(C5086),"")</f>
        <v/>
      </c>
      <c r="W5086" s="23" t="str">
        <f aca="false">IF(ISNUMBER(C5086),MONTH(C5086),"")</f>
        <v/>
      </c>
      <c r="X5086" s="23" t="str">
        <f aca="false">IF(T5086="","",IF(T5086=0,"No discount",IF(T5086&lt;=0.2,"Low (1-20%)",IF(T5086&lt;=0.4,"Medium (21-40%)","High (&gt;40%)"))))</f>
        <v/>
      </c>
      <c r="Y5086" s="23" t="str">
        <f aca="false">IF(AND(ISNUMBER(C5086),ISNUMBER(D5086)),D5086-C5086,"")</f>
        <v/>
      </c>
      <c r="Z5086" s="23" t="str">
        <f aca="false">IF(B5086="","",IF(MATCH(B5086,$B$2:$B$12000,0)=ROW()-1,1,0))</f>
        <v/>
      </c>
    </row>
    <row r="5087" customFormat="false" ht="15" hidden="false" customHeight="false" outlineLevel="0" collapsed="false">
      <c r="V5087" s="23" t="str">
        <f aca="false">IF(ISNUMBER(C5087),YEAR(C5087),"")</f>
        <v/>
      </c>
      <c r="W5087" s="23" t="str">
        <f aca="false">IF(ISNUMBER(C5087),MONTH(C5087),"")</f>
        <v/>
      </c>
      <c r="X5087" s="23" t="str">
        <f aca="false">IF(T5087="","",IF(T5087=0,"No discount",IF(T5087&lt;=0.2,"Low (1-20%)",IF(T5087&lt;=0.4,"Medium (21-40%)","High (&gt;40%)"))))</f>
        <v/>
      </c>
      <c r="Y5087" s="23" t="str">
        <f aca="false">IF(AND(ISNUMBER(C5087),ISNUMBER(D5087)),D5087-C5087,"")</f>
        <v/>
      </c>
      <c r="Z5087" s="23" t="str">
        <f aca="false">IF(B5087="","",IF(MATCH(B5087,$B$2:$B$12000,0)=ROW()-1,1,0))</f>
        <v/>
      </c>
    </row>
    <row r="5088" customFormat="false" ht="15" hidden="false" customHeight="false" outlineLevel="0" collapsed="false">
      <c r="V5088" s="23" t="str">
        <f aca="false">IF(ISNUMBER(C5088),YEAR(C5088),"")</f>
        <v/>
      </c>
      <c r="W5088" s="23" t="str">
        <f aca="false">IF(ISNUMBER(C5088),MONTH(C5088),"")</f>
        <v/>
      </c>
      <c r="X5088" s="23" t="str">
        <f aca="false">IF(T5088="","",IF(T5088=0,"No discount",IF(T5088&lt;=0.2,"Low (1-20%)",IF(T5088&lt;=0.4,"Medium (21-40%)","High (&gt;40%)"))))</f>
        <v/>
      </c>
      <c r="Y5088" s="23" t="str">
        <f aca="false">IF(AND(ISNUMBER(C5088),ISNUMBER(D5088)),D5088-C5088,"")</f>
        <v/>
      </c>
      <c r="Z5088" s="23" t="str">
        <f aca="false">IF(B5088="","",IF(MATCH(B5088,$B$2:$B$12000,0)=ROW()-1,1,0))</f>
        <v/>
      </c>
    </row>
    <row r="5089" customFormat="false" ht="15" hidden="false" customHeight="false" outlineLevel="0" collapsed="false">
      <c r="V5089" s="23" t="str">
        <f aca="false">IF(ISNUMBER(C5089),YEAR(C5089),"")</f>
        <v/>
      </c>
      <c r="W5089" s="23" t="str">
        <f aca="false">IF(ISNUMBER(C5089),MONTH(C5089),"")</f>
        <v/>
      </c>
      <c r="X5089" s="23" t="str">
        <f aca="false">IF(T5089="","",IF(T5089=0,"No discount",IF(T5089&lt;=0.2,"Low (1-20%)",IF(T5089&lt;=0.4,"Medium (21-40%)","High (&gt;40%)"))))</f>
        <v/>
      </c>
      <c r="Y5089" s="23" t="str">
        <f aca="false">IF(AND(ISNUMBER(C5089),ISNUMBER(D5089)),D5089-C5089,"")</f>
        <v/>
      </c>
      <c r="Z5089" s="23" t="str">
        <f aca="false">IF(B5089="","",IF(MATCH(B5089,$B$2:$B$12000,0)=ROW()-1,1,0))</f>
        <v/>
      </c>
    </row>
    <row r="5090" customFormat="false" ht="15" hidden="false" customHeight="false" outlineLevel="0" collapsed="false">
      <c r="V5090" s="23" t="str">
        <f aca="false">IF(ISNUMBER(C5090),YEAR(C5090),"")</f>
        <v/>
      </c>
      <c r="W5090" s="23" t="str">
        <f aca="false">IF(ISNUMBER(C5090),MONTH(C5090),"")</f>
        <v/>
      </c>
      <c r="X5090" s="23" t="str">
        <f aca="false">IF(T5090="","",IF(T5090=0,"No discount",IF(T5090&lt;=0.2,"Low (1-20%)",IF(T5090&lt;=0.4,"Medium (21-40%)","High (&gt;40%)"))))</f>
        <v/>
      </c>
      <c r="Y5090" s="23" t="str">
        <f aca="false">IF(AND(ISNUMBER(C5090),ISNUMBER(D5090)),D5090-C5090,"")</f>
        <v/>
      </c>
      <c r="Z5090" s="23" t="str">
        <f aca="false">IF(B5090="","",IF(MATCH(B5090,$B$2:$B$12000,0)=ROW()-1,1,0))</f>
        <v/>
      </c>
    </row>
    <row r="5091" customFormat="false" ht="15" hidden="false" customHeight="false" outlineLevel="0" collapsed="false">
      <c r="V5091" s="23" t="str">
        <f aca="false">IF(ISNUMBER(C5091),YEAR(C5091),"")</f>
        <v/>
      </c>
      <c r="W5091" s="23" t="str">
        <f aca="false">IF(ISNUMBER(C5091),MONTH(C5091),"")</f>
        <v/>
      </c>
      <c r="X5091" s="23" t="str">
        <f aca="false">IF(T5091="","",IF(T5091=0,"No discount",IF(T5091&lt;=0.2,"Low (1-20%)",IF(T5091&lt;=0.4,"Medium (21-40%)","High (&gt;40%)"))))</f>
        <v/>
      </c>
      <c r="Y5091" s="23" t="str">
        <f aca="false">IF(AND(ISNUMBER(C5091),ISNUMBER(D5091)),D5091-C5091,"")</f>
        <v/>
      </c>
      <c r="Z5091" s="23" t="str">
        <f aca="false">IF(B5091="","",IF(MATCH(B5091,$B$2:$B$12000,0)=ROW()-1,1,0))</f>
        <v/>
      </c>
    </row>
    <row r="5092" customFormat="false" ht="15" hidden="false" customHeight="false" outlineLevel="0" collapsed="false">
      <c r="V5092" s="23" t="str">
        <f aca="false">IF(ISNUMBER(C5092),YEAR(C5092),"")</f>
        <v/>
      </c>
      <c r="W5092" s="23" t="str">
        <f aca="false">IF(ISNUMBER(C5092),MONTH(C5092),"")</f>
        <v/>
      </c>
      <c r="X5092" s="23" t="str">
        <f aca="false">IF(T5092="","",IF(T5092=0,"No discount",IF(T5092&lt;=0.2,"Low (1-20%)",IF(T5092&lt;=0.4,"Medium (21-40%)","High (&gt;40%)"))))</f>
        <v/>
      </c>
      <c r="Y5092" s="23" t="str">
        <f aca="false">IF(AND(ISNUMBER(C5092),ISNUMBER(D5092)),D5092-C5092,"")</f>
        <v/>
      </c>
      <c r="Z5092" s="23" t="str">
        <f aca="false">IF(B5092="","",IF(MATCH(B5092,$B$2:$B$12000,0)=ROW()-1,1,0))</f>
        <v/>
      </c>
    </row>
    <row r="5093" customFormat="false" ht="15" hidden="false" customHeight="false" outlineLevel="0" collapsed="false">
      <c r="V5093" s="23" t="str">
        <f aca="false">IF(ISNUMBER(C5093),YEAR(C5093),"")</f>
        <v/>
      </c>
      <c r="W5093" s="23" t="str">
        <f aca="false">IF(ISNUMBER(C5093),MONTH(C5093),"")</f>
        <v/>
      </c>
      <c r="X5093" s="23" t="str">
        <f aca="false">IF(T5093="","",IF(T5093=0,"No discount",IF(T5093&lt;=0.2,"Low (1-20%)",IF(T5093&lt;=0.4,"Medium (21-40%)","High (&gt;40%)"))))</f>
        <v/>
      </c>
      <c r="Y5093" s="23" t="str">
        <f aca="false">IF(AND(ISNUMBER(C5093),ISNUMBER(D5093)),D5093-C5093,"")</f>
        <v/>
      </c>
      <c r="Z5093" s="23" t="str">
        <f aca="false">IF(B5093="","",IF(MATCH(B5093,$B$2:$B$12000,0)=ROW()-1,1,0))</f>
        <v/>
      </c>
    </row>
    <row r="5094" customFormat="false" ht="15" hidden="false" customHeight="false" outlineLevel="0" collapsed="false">
      <c r="V5094" s="23" t="str">
        <f aca="false">IF(ISNUMBER(C5094),YEAR(C5094),"")</f>
        <v/>
      </c>
      <c r="W5094" s="23" t="str">
        <f aca="false">IF(ISNUMBER(C5094),MONTH(C5094),"")</f>
        <v/>
      </c>
      <c r="X5094" s="23" t="str">
        <f aca="false">IF(T5094="","",IF(T5094=0,"No discount",IF(T5094&lt;=0.2,"Low (1-20%)",IF(T5094&lt;=0.4,"Medium (21-40%)","High (&gt;40%)"))))</f>
        <v/>
      </c>
      <c r="Y5094" s="23" t="str">
        <f aca="false">IF(AND(ISNUMBER(C5094),ISNUMBER(D5094)),D5094-C5094,"")</f>
        <v/>
      </c>
      <c r="Z5094" s="23" t="str">
        <f aca="false">IF(B5094="","",IF(MATCH(B5094,$B$2:$B$12000,0)=ROW()-1,1,0))</f>
        <v/>
      </c>
    </row>
    <row r="5095" customFormat="false" ht="15" hidden="false" customHeight="false" outlineLevel="0" collapsed="false">
      <c r="V5095" s="23" t="str">
        <f aca="false">IF(ISNUMBER(C5095),YEAR(C5095),"")</f>
        <v/>
      </c>
      <c r="W5095" s="23" t="str">
        <f aca="false">IF(ISNUMBER(C5095),MONTH(C5095),"")</f>
        <v/>
      </c>
      <c r="X5095" s="23" t="str">
        <f aca="false">IF(T5095="","",IF(T5095=0,"No discount",IF(T5095&lt;=0.2,"Low (1-20%)",IF(T5095&lt;=0.4,"Medium (21-40%)","High (&gt;40%)"))))</f>
        <v/>
      </c>
      <c r="Y5095" s="23" t="str">
        <f aca="false">IF(AND(ISNUMBER(C5095),ISNUMBER(D5095)),D5095-C5095,"")</f>
        <v/>
      </c>
      <c r="Z5095" s="23" t="str">
        <f aca="false">IF(B5095="","",IF(MATCH(B5095,$B$2:$B$12000,0)=ROW()-1,1,0))</f>
        <v/>
      </c>
    </row>
    <row r="5096" customFormat="false" ht="15" hidden="false" customHeight="false" outlineLevel="0" collapsed="false">
      <c r="V5096" s="23" t="str">
        <f aca="false">IF(ISNUMBER(C5096),YEAR(C5096),"")</f>
        <v/>
      </c>
      <c r="W5096" s="23" t="str">
        <f aca="false">IF(ISNUMBER(C5096),MONTH(C5096),"")</f>
        <v/>
      </c>
      <c r="X5096" s="23" t="str">
        <f aca="false">IF(T5096="","",IF(T5096=0,"No discount",IF(T5096&lt;=0.2,"Low (1-20%)",IF(T5096&lt;=0.4,"Medium (21-40%)","High (&gt;40%)"))))</f>
        <v/>
      </c>
      <c r="Y5096" s="23" t="str">
        <f aca="false">IF(AND(ISNUMBER(C5096),ISNUMBER(D5096)),D5096-C5096,"")</f>
        <v/>
      </c>
      <c r="Z5096" s="23" t="str">
        <f aca="false">IF(B5096="","",IF(MATCH(B5096,$B$2:$B$12000,0)=ROW()-1,1,0))</f>
        <v/>
      </c>
    </row>
    <row r="5097" customFormat="false" ht="15" hidden="false" customHeight="false" outlineLevel="0" collapsed="false">
      <c r="V5097" s="23" t="str">
        <f aca="false">IF(ISNUMBER(C5097),YEAR(C5097),"")</f>
        <v/>
      </c>
      <c r="W5097" s="23" t="str">
        <f aca="false">IF(ISNUMBER(C5097),MONTH(C5097),"")</f>
        <v/>
      </c>
      <c r="X5097" s="23" t="str">
        <f aca="false">IF(T5097="","",IF(T5097=0,"No discount",IF(T5097&lt;=0.2,"Low (1-20%)",IF(T5097&lt;=0.4,"Medium (21-40%)","High (&gt;40%)"))))</f>
        <v/>
      </c>
      <c r="Y5097" s="23" t="str">
        <f aca="false">IF(AND(ISNUMBER(C5097),ISNUMBER(D5097)),D5097-C5097,"")</f>
        <v/>
      </c>
      <c r="Z5097" s="23" t="str">
        <f aca="false">IF(B5097="","",IF(MATCH(B5097,$B$2:$B$12000,0)=ROW()-1,1,0))</f>
        <v/>
      </c>
    </row>
    <row r="5098" customFormat="false" ht="15" hidden="false" customHeight="false" outlineLevel="0" collapsed="false">
      <c r="V5098" s="23" t="str">
        <f aca="false">IF(ISNUMBER(C5098),YEAR(C5098),"")</f>
        <v/>
      </c>
      <c r="W5098" s="23" t="str">
        <f aca="false">IF(ISNUMBER(C5098),MONTH(C5098),"")</f>
        <v/>
      </c>
      <c r="X5098" s="23" t="str">
        <f aca="false">IF(T5098="","",IF(T5098=0,"No discount",IF(T5098&lt;=0.2,"Low (1-20%)",IF(T5098&lt;=0.4,"Medium (21-40%)","High (&gt;40%)"))))</f>
        <v/>
      </c>
      <c r="Y5098" s="23" t="str">
        <f aca="false">IF(AND(ISNUMBER(C5098),ISNUMBER(D5098)),D5098-C5098,"")</f>
        <v/>
      </c>
      <c r="Z5098" s="23" t="str">
        <f aca="false">IF(B5098="","",IF(MATCH(B5098,$B$2:$B$12000,0)=ROW()-1,1,0))</f>
        <v/>
      </c>
    </row>
    <row r="5099" customFormat="false" ht="15" hidden="false" customHeight="false" outlineLevel="0" collapsed="false">
      <c r="V5099" s="23" t="str">
        <f aca="false">IF(ISNUMBER(C5099),YEAR(C5099),"")</f>
        <v/>
      </c>
      <c r="W5099" s="23" t="str">
        <f aca="false">IF(ISNUMBER(C5099),MONTH(C5099),"")</f>
        <v/>
      </c>
      <c r="X5099" s="23" t="str">
        <f aca="false">IF(T5099="","",IF(T5099=0,"No discount",IF(T5099&lt;=0.2,"Low (1-20%)",IF(T5099&lt;=0.4,"Medium (21-40%)","High (&gt;40%)"))))</f>
        <v/>
      </c>
      <c r="Y5099" s="23" t="str">
        <f aca="false">IF(AND(ISNUMBER(C5099),ISNUMBER(D5099)),D5099-C5099,"")</f>
        <v/>
      </c>
      <c r="Z5099" s="23" t="str">
        <f aca="false">IF(B5099="","",IF(MATCH(B5099,$B$2:$B$12000,0)=ROW()-1,1,0))</f>
        <v/>
      </c>
    </row>
    <row r="5100" customFormat="false" ht="15" hidden="false" customHeight="false" outlineLevel="0" collapsed="false">
      <c r="V5100" s="23" t="str">
        <f aca="false">IF(ISNUMBER(C5100),YEAR(C5100),"")</f>
        <v/>
      </c>
      <c r="W5100" s="23" t="str">
        <f aca="false">IF(ISNUMBER(C5100),MONTH(C5100),"")</f>
        <v/>
      </c>
      <c r="X5100" s="23" t="str">
        <f aca="false">IF(T5100="","",IF(T5100=0,"No discount",IF(T5100&lt;=0.2,"Low (1-20%)",IF(T5100&lt;=0.4,"Medium (21-40%)","High (&gt;40%)"))))</f>
        <v/>
      </c>
      <c r="Y5100" s="23" t="str">
        <f aca="false">IF(AND(ISNUMBER(C5100),ISNUMBER(D5100)),D5100-C5100,"")</f>
        <v/>
      </c>
      <c r="Z5100" s="23" t="str">
        <f aca="false">IF(B5100="","",IF(MATCH(B5100,$B$2:$B$12000,0)=ROW()-1,1,0))</f>
        <v/>
      </c>
    </row>
    <row r="5101" customFormat="false" ht="15" hidden="false" customHeight="false" outlineLevel="0" collapsed="false">
      <c r="V5101" s="23" t="str">
        <f aca="false">IF(ISNUMBER(C5101),YEAR(C5101),"")</f>
        <v/>
      </c>
      <c r="W5101" s="23" t="str">
        <f aca="false">IF(ISNUMBER(C5101),MONTH(C5101),"")</f>
        <v/>
      </c>
      <c r="X5101" s="23" t="str">
        <f aca="false">IF(T5101="","",IF(T5101=0,"No discount",IF(T5101&lt;=0.2,"Low (1-20%)",IF(T5101&lt;=0.4,"Medium (21-40%)","High (&gt;40%)"))))</f>
        <v/>
      </c>
      <c r="Y5101" s="23" t="str">
        <f aca="false">IF(AND(ISNUMBER(C5101),ISNUMBER(D5101)),D5101-C5101,"")</f>
        <v/>
      </c>
      <c r="Z5101" s="23" t="str">
        <f aca="false">IF(B5101="","",IF(MATCH(B5101,$B$2:$B$12000,0)=ROW()-1,1,0))</f>
        <v/>
      </c>
    </row>
    <row r="5102" customFormat="false" ht="15" hidden="false" customHeight="false" outlineLevel="0" collapsed="false">
      <c r="V5102" s="23" t="str">
        <f aca="false">IF(ISNUMBER(C5102),YEAR(C5102),"")</f>
        <v/>
      </c>
      <c r="W5102" s="23" t="str">
        <f aca="false">IF(ISNUMBER(C5102),MONTH(C5102),"")</f>
        <v/>
      </c>
      <c r="X5102" s="23" t="str">
        <f aca="false">IF(T5102="","",IF(T5102=0,"No discount",IF(T5102&lt;=0.2,"Low (1-20%)",IF(T5102&lt;=0.4,"Medium (21-40%)","High (&gt;40%)"))))</f>
        <v/>
      </c>
      <c r="Y5102" s="23" t="str">
        <f aca="false">IF(AND(ISNUMBER(C5102),ISNUMBER(D5102)),D5102-C5102,"")</f>
        <v/>
      </c>
      <c r="Z5102" s="23" t="str">
        <f aca="false">IF(B5102="","",IF(MATCH(B5102,$B$2:$B$12000,0)=ROW()-1,1,0))</f>
        <v/>
      </c>
    </row>
    <row r="5103" customFormat="false" ht="15" hidden="false" customHeight="false" outlineLevel="0" collapsed="false">
      <c r="V5103" s="23" t="str">
        <f aca="false">IF(ISNUMBER(C5103),YEAR(C5103),"")</f>
        <v/>
      </c>
      <c r="W5103" s="23" t="str">
        <f aca="false">IF(ISNUMBER(C5103),MONTH(C5103),"")</f>
        <v/>
      </c>
      <c r="X5103" s="23" t="str">
        <f aca="false">IF(T5103="","",IF(T5103=0,"No discount",IF(T5103&lt;=0.2,"Low (1-20%)",IF(T5103&lt;=0.4,"Medium (21-40%)","High (&gt;40%)"))))</f>
        <v/>
      </c>
      <c r="Y5103" s="23" t="str">
        <f aca="false">IF(AND(ISNUMBER(C5103),ISNUMBER(D5103)),D5103-C5103,"")</f>
        <v/>
      </c>
      <c r="Z5103" s="23" t="str">
        <f aca="false">IF(B5103="","",IF(MATCH(B5103,$B$2:$B$12000,0)=ROW()-1,1,0))</f>
        <v/>
      </c>
    </row>
    <row r="5104" customFormat="false" ht="15" hidden="false" customHeight="false" outlineLevel="0" collapsed="false">
      <c r="V5104" s="23" t="str">
        <f aca="false">IF(ISNUMBER(C5104),YEAR(C5104),"")</f>
        <v/>
      </c>
      <c r="W5104" s="23" t="str">
        <f aca="false">IF(ISNUMBER(C5104),MONTH(C5104),"")</f>
        <v/>
      </c>
      <c r="X5104" s="23" t="str">
        <f aca="false">IF(T5104="","",IF(T5104=0,"No discount",IF(T5104&lt;=0.2,"Low (1-20%)",IF(T5104&lt;=0.4,"Medium (21-40%)","High (&gt;40%)"))))</f>
        <v/>
      </c>
      <c r="Y5104" s="23" t="str">
        <f aca="false">IF(AND(ISNUMBER(C5104),ISNUMBER(D5104)),D5104-C5104,"")</f>
        <v/>
      </c>
      <c r="Z5104" s="23" t="str">
        <f aca="false">IF(B5104="","",IF(MATCH(B5104,$B$2:$B$12000,0)=ROW()-1,1,0))</f>
        <v/>
      </c>
    </row>
    <row r="5105" customFormat="false" ht="15" hidden="false" customHeight="false" outlineLevel="0" collapsed="false">
      <c r="V5105" s="23" t="str">
        <f aca="false">IF(ISNUMBER(C5105),YEAR(C5105),"")</f>
        <v/>
      </c>
      <c r="W5105" s="23" t="str">
        <f aca="false">IF(ISNUMBER(C5105),MONTH(C5105),"")</f>
        <v/>
      </c>
      <c r="X5105" s="23" t="str">
        <f aca="false">IF(T5105="","",IF(T5105=0,"No discount",IF(T5105&lt;=0.2,"Low (1-20%)",IF(T5105&lt;=0.4,"Medium (21-40%)","High (&gt;40%)"))))</f>
        <v/>
      </c>
      <c r="Y5105" s="23" t="str">
        <f aca="false">IF(AND(ISNUMBER(C5105),ISNUMBER(D5105)),D5105-C5105,"")</f>
        <v/>
      </c>
      <c r="Z5105" s="23" t="str">
        <f aca="false">IF(B5105="","",IF(MATCH(B5105,$B$2:$B$12000,0)=ROW()-1,1,0))</f>
        <v/>
      </c>
    </row>
    <row r="5106" customFormat="false" ht="15" hidden="false" customHeight="false" outlineLevel="0" collapsed="false">
      <c r="V5106" s="23" t="str">
        <f aca="false">IF(ISNUMBER(C5106),YEAR(C5106),"")</f>
        <v/>
      </c>
      <c r="W5106" s="23" t="str">
        <f aca="false">IF(ISNUMBER(C5106),MONTH(C5106),"")</f>
        <v/>
      </c>
      <c r="X5106" s="23" t="str">
        <f aca="false">IF(T5106="","",IF(T5106=0,"No discount",IF(T5106&lt;=0.2,"Low (1-20%)",IF(T5106&lt;=0.4,"Medium (21-40%)","High (&gt;40%)"))))</f>
        <v/>
      </c>
      <c r="Y5106" s="23" t="str">
        <f aca="false">IF(AND(ISNUMBER(C5106),ISNUMBER(D5106)),D5106-C5106,"")</f>
        <v/>
      </c>
      <c r="Z5106" s="23" t="str">
        <f aca="false">IF(B5106="","",IF(MATCH(B5106,$B$2:$B$12000,0)=ROW()-1,1,0))</f>
        <v/>
      </c>
    </row>
    <row r="5107" customFormat="false" ht="15" hidden="false" customHeight="false" outlineLevel="0" collapsed="false">
      <c r="V5107" s="23" t="str">
        <f aca="false">IF(ISNUMBER(C5107),YEAR(C5107),"")</f>
        <v/>
      </c>
      <c r="W5107" s="23" t="str">
        <f aca="false">IF(ISNUMBER(C5107),MONTH(C5107),"")</f>
        <v/>
      </c>
      <c r="X5107" s="23" t="str">
        <f aca="false">IF(T5107="","",IF(T5107=0,"No discount",IF(T5107&lt;=0.2,"Low (1-20%)",IF(T5107&lt;=0.4,"Medium (21-40%)","High (&gt;40%)"))))</f>
        <v/>
      </c>
      <c r="Y5107" s="23" t="str">
        <f aca="false">IF(AND(ISNUMBER(C5107),ISNUMBER(D5107)),D5107-C5107,"")</f>
        <v/>
      </c>
      <c r="Z5107" s="23" t="str">
        <f aca="false">IF(B5107="","",IF(MATCH(B5107,$B$2:$B$12000,0)=ROW()-1,1,0))</f>
        <v/>
      </c>
    </row>
    <row r="5108" customFormat="false" ht="15" hidden="false" customHeight="false" outlineLevel="0" collapsed="false">
      <c r="V5108" s="23" t="str">
        <f aca="false">IF(ISNUMBER(C5108),YEAR(C5108),"")</f>
        <v/>
      </c>
      <c r="W5108" s="23" t="str">
        <f aca="false">IF(ISNUMBER(C5108),MONTH(C5108),"")</f>
        <v/>
      </c>
      <c r="X5108" s="23" t="str">
        <f aca="false">IF(T5108="","",IF(T5108=0,"No discount",IF(T5108&lt;=0.2,"Low (1-20%)",IF(T5108&lt;=0.4,"Medium (21-40%)","High (&gt;40%)"))))</f>
        <v/>
      </c>
      <c r="Y5108" s="23" t="str">
        <f aca="false">IF(AND(ISNUMBER(C5108),ISNUMBER(D5108)),D5108-C5108,"")</f>
        <v/>
      </c>
      <c r="Z5108" s="23" t="str">
        <f aca="false">IF(B5108="","",IF(MATCH(B5108,$B$2:$B$12000,0)=ROW()-1,1,0))</f>
        <v/>
      </c>
    </row>
    <row r="5109" customFormat="false" ht="15" hidden="false" customHeight="false" outlineLevel="0" collapsed="false">
      <c r="V5109" s="23" t="str">
        <f aca="false">IF(ISNUMBER(C5109),YEAR(C5109),"")</f>
        <v/>
      </c>
      <c r="W5109" s="23" t="str">
        <f aca="false">IF(ISNUMBER(C5109),MONTH(C5109),"")</f>
        <v/>
      </c>
      <c r="X5109" s="23" t="str">
        <f aca="false">IF(T5109="","",IF(T5109=0,"No discount",IF(T5109&lt;=0.2,"Low (1-20%)",IF(T5109&lt;=0.4,"Medium (21-40%)","High (&gt;40%)"))))</f>
        <v/>
      </c>
      <c r="Y5109" s="23" t="str">
        <f aca="false">IF(AND(ISNUMBER(C5109),ISNUMBER(D5109)),D5109-C5109,"")</f>
        <v/>
      </c>
      <c r="Z5109" s="23" t="str">
        <f aca="false">IF(B5109="","",IF(MATCH(B5109,$B$2:$B$12000,0)=ROW()-1,1,0))</f>
        <v/>
      </c>
    </row>
    <row r="5110" customFormat="false" ht="15" hidden="false" customHeight="false" outlineLevel="0" collapsed="false">
      <c r="V5110" s="23" t="str">
        <f aca="false">IF(ISNUMBER(C5110),YEAR(C5110),"")</f>
        <v/>
      </c>
      <c r="W5110" s="23" t="str">
        <f aca="false">IF(ISNUMBER(C5110),MONTH(C5110),"")</f>
        <v/>
      </c>
      <c r="X5110" s="23" t="str">
        <f aca="false">IF(T5110="","",IF(T5110=0,"No discount",IF(T5110&lt;=0.2,"Low (1-20%)",IF(T5110&lt;=0.4,"Medium (21-40%)","High (&gt;40%)"))))</f>
        <v/>
      </c>
      <c r="Y5110" s="23" t="str">
        <f aca="false">IF(AND(ISNUMBER(C5110),ISNUMBER(D5110)),D5110-C5110,"")</f>
        <v/>
      </c>
      <c r="Z5110" s="23" t="str">
        <f aca="false">IF(B5110="","",IF(MATCH(B5110,$B$2:$B$12000,0)=ROW()-1,1,0))</f>
        <v/>
      </c>
    </row>
    <row r="5111" customFormat="false" ht="15" hidden="false" customHeight="false" outlineLevel="0" collapsed="false">
      <c r="V5111" s="23" t="str">
        <f aca="false">IF(ISNUMBER(C5111),YEAR(C5111),"")</f>
        <v/>
      </c>
      <c r="W5111" s="23" t="str">
        <f aca="false">IF(ISNUMBER(C5111),MONTH(C5111),"")</f>
        <v/>
      </c>
      <c r="X5111" s="23" t="str">
        <f aca="false">IF(T5111="","",IF(T5111=0,"No discount",IF(T5111&lt;=0.2,"Low (1-20%)",IF(T5111&lt;=0.4,"Medium (21-40%)","High (&gt;40%)"))))</f>
        <v/>
      </c>
      <c r="Y5111" s="23" t="str">
        <f aca="false">IF(AND(ISNUMBER(C5111),ISNUMBER(D5111)),D5111-C5111,"")</f>
        <v/>
      </c>
      <c r="Z5111" s="23" t="str">
        <f aca="false">IF(B5111="","",IF(MATCH(B5111,$B$2:$B$12000,0)=ROW()-1,1,0))</f>
        <v/>
      </c>
    </row>
    <row r="5112" customFormat="false" ht="15" hidden="false" customHeight="false" outlineLevel="0" collapsed="false">
      <c r="V5112" s="23" t="str">
        <f aca="false">IF(ISNUMBER(C5112),YEAR(C5112),"")</f>
        <v/>
      </c>
      <c r="W5112" s="23" t="str">
        <f aca="false">IF(ISNUMBER(C5112),MONTH(C5112),"")</f>
        <v/>
      </c>
      <c r="X5112" s="23" t="str">
        <f aca="false">IF(T5112="","",IF(T5112=0,"No discount",IF(T5112&lt;=0.2,"Low (1-20%)",IF(T5112&lt;=0.4,"Medium (21-40%)","High (&gt;40%)"))))</f>
        <v/>
      </c>
      <c r="Y5112" s="23" t="str">
        <f aca="false">IF(AND(ISNUMBER(C5112),ISNUMBER(D5112)),D5112-C5112,"")</f>
        <v/>
      </c>
      <c r="Z5112" s="23" t="str">
        <f aca="false">IF(B5112="","",IF(MATCH(B5112,$B$2:$B$12000,0)=ROW()-1,1,0))</f>
        <v/>
      </c>
    </row>
    <row r="5113" customFormat="false" ht="15" hidden="false" customHeight="false" outlineLevel="0" collapsed="false">
      <c r="V5113" s="23" t="str">
        <f aca="false">IF(ISNUMBER(C5113),YEAR(C5113),"")</f>
        <v/>
      </c>
      <c r="W5113" s="23" t="str">
        <f aca="false">IF(ISNUMBER(C5113),MONTH(C5113),"")</f>
        <v/>
      </c>
      <c r="X5113" s="23" t="str">
        <f aca="false">IF(T5113="","",IF(T5113=0,"No discount",IF(T5113&lt;=0.2,"Low (1-20%)",IF(T5113&lt;=0.4,"Medium (21-40%)","High (&gt;40%)"))))</f>
        <v/>
      </c>
      <c r="Y5113" s="23" t="str">
        <f aca="false">IF(AND(ISNUMBER(C5113),ISNUMBER(D5113)),D5113-C5113,"")</f>
        <v/>
      </c>
      <c r="Z5113" s="23" t="str">
        <f aca="false">IF(B5113="","",IF(MATCH(B5113,$B$2:$B$12000,0)=ROW()-1,1,0))</f>
        <v/>
      </c>
    </row>
    <row r="5114" customFormat="false" ht="15" hidden="false" customHeight="false" outlineLevel="0" collapsed="false">
      <c r="V5114" s="23" t="str">
        <f aca="false">IF(ISNUMBER(C5114),YEAR(C5114),"")</f>
        <v/>
      </c>
      <c r="W5114" s="23" t="str">
        <f aca="false">IF(ISNUMBER(C5114),MONTH(C5114),"")</f>
        <v/>
      </c>
      <c r="X5114" s="23" t="str">
        <f aca="false">IF(T5114="","",IF(T5114=0,"No discount",IF(T5114&lt;=0.2,"Low (1-20%)",IF(T5114&lt;=0.4,"Medium (21-40%)","High (&gt;40%)"))))</f>
        <v/>
      </c>
      <c r="Y5114" s="23" t="str">
        <f aca="false">IF(AND(ISNUMBER(C5114),ISNUMBER(D5114)),D5114-C5114,"")</f>
        <v/>
      </c>
      <c r="Z5114" s="23" t="str">
        <f aca="false">IF(B5114="","",IF(MATCH(B5114,$B$2:$B$12000,0)=ROW()-1,1,0))</f>
        <v/>
      </c>
    </row>
    <row r="5115" customFormat="false" ht="15" hidden="false" customHeight="false" outlineLevel="0" collapsed="false">
      <c r="V5115" s="23" t="str">
        <f aca="false">IF(ISNUMBER(C5115),YEAR(C5115),"")</f>
        <v/>
      </c>
      <c r="W5115" s="23" t="str">
        <f aca="false">IF(ISNUMBER(C5115),MONTH(C5115),"")</f>
        <v/>
      </c>
      <c r="X5115" s="23" t="str">
        <f aca="false">IF(T5115="","",IF(T5115=0,"No discount",IF(T5115&lt;=0.2,"Low (1-20%)",IF(T5115&lt;=0.4,"Medium (21-40%)","High (&gt;40%)"))))</f>
        <v/>
      </c>
      <c r="Y5115" s="23" t="str">
        <f aca="false">IF(AND(ISNUMBER(C5115),ISNUMBER(D5115)),D5115-C5115,"")</f>
        <v/>
      </c>
      <c r="Z5115" s="23" t="str">
        <f aca="false">IF(B5115="","",IF(MATCH(B5115,$B$2:$B$12000,0)=ROW()-1,1,0))</f>
        <v/>
      </c>
    </row>
    <row r="5116" customFormat="false" ht="15" hidden="false" customHeight="false" outlineLevel="0" collapsed="false">
      <c r="V5116" s="23" t="str">
        <f aca="false">IF(ISNUMBER(C5116),YEAR(C5116),"")</f>
        <v/>
      </c>
      <c r="W5116" s="23" t="str">
        <f aca="false">IF(ISNUMBER(C5116),MONTH(C5116),"")</f>
        <v/>
      </c>
      <c r="X5116" s="23" t="str">
        <f aca="false">IF(T5116="","",IF(T5116=0,"No discount",IF(T5116&lt;=0.2,"Low (1-20%)",IF(T5116&lt;=0.4,"Medium (21-40%)","High (&gt;40%)"))))</f>
        <v/>
      </c>
      <c r="Y5116" s="23" t="str">
        <f aca="false">IF(AND(ISNUMBER(C5116),ISNUMBER(D5116)),D5116-C5116,"")</f>
        <v/>
      </c>
      <c r="Z5116" s="23" t="str">
        <f aca="false">IF(B5116="","",IF(MATCH(B5116,$B$2:$B$12000,0)=ROW()-1,1,0))</f>
        <v/>
      </c>
    </row>
    <row r="5117" customFormat="false" ht="15" hidden="false" customHeight="false" outlineLevel="0" collapsed="false">
      <c r="V5117" s="23" t="str">
        <f aca="false">IF(ISNUMBER(C5117),YEAR(C5117),"")</f>
        <v/>
      </c>
      <c r="W5117" s="23" t="str">
        <f aca="false">IF(ISNUMBER(C5117),MONTH(C5117),"")</f>
        <v/>
      </c>
      <c r="X5117" s="23" t="str">
        <f aca="false">IF(T5117="","",IF(T5117=0,"No discount",IF(T5117&lt;=0.2,"Low (1-20%)",IF(T5117&lt;=0.4,"Medium (21-40%)","High (&gt;40%)"))))</f>
        <v/>
      </c>
      <c r="Y5117" s="23" t="str">
        <f aca="false">IF(AND(ISNUMBER(C5117),ISNUMBER(D5117)),D5117-C5117,"")</f>
        <v/>
      </c>
      <c r="Z5117" s="23" t="str">
        <f aca="false">IF(B5117="","",IF(MATCH(B5117,$B$2:$B$12000,0)=ROW()-1,1,0))</f>
        <v/>
      </c>
    </row>
    <row r="5118" customFormat="false" ht="15" hidden="false" customHeight="false" outlineLevel="0" collapsed="false">
      <c r="V5118" s="23" t="str">
        <f aca="false">IF(ISNUMBER(C5118),YEAR(C5118),"")</f>
        <v/>
      </c>
      <c r="W5118" s="23" t="str">
        <f aca="false">IF(ISNUMBER(C5118),MONTH(C5118),"")</f>
        <v/>
      </c>
      <c r="X5118" s="23" t="str">
        <f aca="false">IF(T5118="","",IF(T5118=0,"No discount",IF(T5118&lt;=0.2,"Low (1-20%)",IF(T5118&lt;=0.4,"Medium (21-40%)","High (&gt;40%)"))))</f>
        <v/>
      </c>
      <c r="Y5118" s="23" t="str">
        <f aca="false">IF(AND(ISNUMBER(C5118),ISNUMBER(D5118)),D5118-C5118,"")</f>
        <v/>
      </c>
      <c r="Z5118" s="23" t="str">
        <f aca="false">IF(B5118="","",IF(MATCH(B5118,$B$2:$B$12000,0)=ROW()-1,1,0))</f>
        <v/>
      </c>
    </row>
    <row r="5119" customFormat="false" ht="15" hidden="false" customHeight="false" outlineLevel="0" collapsed="false">
      <c r="V5119" s="23" t="str">
        <f aca="false">IF(ISNUMBER(C5119),YEAR(C5119),"")</f>
        <v/>
      </c>
      <c r="W5119" s="23" t="str">
        <f aca="false">IF(ISNUMBER(C5119),MONTH(C5119),"")</f>
        <v/>
      </c>
      <c r="X5119" s="23" t="str">
        <f aca="false">IF(T5119="","",IF(T5119=0,"No discount",IF(T5119&lt;=0.2,"Low (1-20%)",IF(T5119&lt;=0.4,"Medium (21-40%)","High (&gt;40%)"))))</f>
        <v/>
      </c>
      <c r="Y5119" s="23" t="str">
        <f aca="false">IF(AND(ISNUMBER(C5119),ISNUMBER(D5119)),D5119-C5119,"")</f>
        <v/>
      </c>
      <c r="Z5119" s="23" t="str">
        <f aca="false">IF(B5119="","",IF(MATCH(B5119,$B$2:$B$12000,0)=ROW()-1,1,0))</f>
        <v/>
      </c>
    </row>
    <row r="5120" customFormat="false" ht="15" hidden="false" customHeight="false" outlineLevel="0" collapsed="false">
      <c r="V5120" s="23" t="str">
        <f aca="false">IF(ISNUMBER(C5120),YEAR(C5120),"")</f>
        <v/>
      </c>
      <c r="W5120" s="23" t="str">
        <f aca="false">IF(ISNUMBER(C5120),MONTH(C5120),"")</f>
        <v/>
      </c>
      <c r="X5120" s="23" t="str">
        <f aca="false">IF(T5120="","",IF(T5120=0,"No discount",IF(T5120&lt;=0.2,"Low (1-20%)",IF(T5120&lt;=0.4,"Medium (21-40%)","High (&gt;40%)"))))</f>
        <v/>
      </c>
      <c r="Y5120" s="23" t="str">
        <f aca="false">IF(AND(ISNUMBER(C5120),ISNUMBER(D5120)),D5120-C5120,"")</f>
        <v/>
      </c>
      <c r="Z5120" s="23" t="str">
        <f aca="false">IF(B5120="","",IF(MATCH(B5120,$B$2:$B$12000,0)=ROW()-1,1,0))</f>
        <v/>
      </c>
    </row>
    <row r="5121" customFormat="false" ht="15" hidden="false" customHeight="false" outlineLevel="0" collapsed="false">
      <c r="V5121" s="23" t="str">
        <f aca="false">IF(ISNUMBER(C5121),YEAR(C5121),"")</f>
        <v/>
      </c>
      <c r="W5121" s="23" t="str">
        <f aca="false">IF(ISNUMBER(C5121),MONTH(C5121),"")</f>
        <v/>
      </c>
      <c r="X5121" s="23" t="str">
        <f aca="false">IF(T5121="","",IF(T5121=0,"No discount",IF(T5121&lt;=0.2,"Low (1-20%)",IF(T5121&lt;=0.4,"Medium (21-40%)","High (&gt;40%)"))))</f>
        <v/>
      </c>
      <c r="Y5121" s="23" t="str">
        <f aca="false">IF(AND(ISNUMBER(C5121),ISNUMBER(D5121)),D5121-C5121,"")</f>
        <v/>
      </c>
      <c r="Z5121" s="23" t="str">
        <f aca="false">IF(B5121="","",IF(MATCH(B5121,$B$2:$B$12000,0)=ROW()-1,1,0))</f>
        <v/>
      </c>
    </row>
    <row r="5122" customFormat="false" ht="15" hidden="false" customHeight="false" outlineLevel="0" collapsed="false">
      <c r="V5122" s="23" t="str">
        <f aca="false">IF(ISNUMBER(C5122),YEAR(C5122),"")</f>
        <v/>
      </c>
      <c r="W5122" s="23" t="str">
        <f aca="false">IF(ISNUMBER(C5122),MONTH(C5122),"")</f>
        <v/>
      </c>
      <c r="X5122" s="23" t="str">
        <f aca="false">IF(T5122="","",IF(T5122=0,"No discount",IF(T5122&lt;=0.2,"Low (1-20%)",IF(T5122&lt;=0.4,"Medium (21-40%)","High (&gt;40%)"))))</f>
        <v/>
      </c>
      <c r="Y5122" s="23" t="str">
        <f aca="false">IF(AND(ISNUMBER(C5122),ISNUMBER(D5122)),D5122-C5122,"")</f>
        <v/>
      </c>
      <c r="Z5122" s="23" t="str">
        <f aca="false">IF(B5122="","",IF(MATCH(B5122,$B$2:$B$12000,0)=ROW()-1,1,0))</f>
        <v/>
      </c>
    </row>
    <row r="5123" customFormat="false" ht="15" hidden="false" customHeight="false" outlineLevel="0" collapsed="false">
      <c r="V5123" s="23" t="str">
        <f aca="false">IF(ISNUMBER(C5123),YEAR(C5123),"")</f>
        <v/>
      </c>
      <c r="W5123" s="23" t="str">
        <f aca="false">IF(ISNUMBER(C5123),MONTH(C5123),"")</f>
        <v/>
      </c>
      <c r="X5123" s="23" t="str">
        <f aca="false">IF(T5123="","",IF(T5123=0,"No discount",IF(T5123&lt;=0.2,"Low (1-20%)",IF(T5123&lt;=0.4,"Medium (21-40%)","High (&gt;40%)"))))</f>
        <v/>
      </c>
      <c r="Y5123" s="23" t="str">
        <f aca="false">IF(AND(ISNUMBER(C5123),ISNUMBER(D5123)),D5123-C5123,"")</f>
        <v/>
      </c>
      <c r="Z5123" s="23" t="str">
        <f aca="false">IF(B5123="","",IF(MATCH(B5123,$B$2:$B$12000,0)=ROW()-1,1,0))</f>
        <v/>
      </c>
    </row>
    <row r="5124" customFormat="false" ht="15" hidden="false" customHeight="false" outlineLevel="0" collapsed="false">
      <c r="V5124" s="23" t="str">
        <f aca="false">IF(ISNUMBER(C5124),YEAR(C5124),"")</f>
        <v/>
      </c>
      <c r="W5124" s="23" t="str">
        <f aca="false">IF(ISNUMBER(C5124),MONTH(C5124),"")</f>
        <v/>
      </c>
      <c r="X5124" s="23" t="str">
        <f aca="false">IF(T5124="","",IF(T5124=0,"No discount",IF(T5124&lt;=0.2,"Low (1-20%)",IF(T5124&lt;=0.4,"Medium (21-40%)","High (&gt;40%)"))))</f>
        <v/>
      </c>
      <c r="Y5124" s="23" t="str">
        <f aca="false">IF(AND(ISNUMBER(C5124),ISNUMBER(D5124)),D5124-C5124,"")</f>
        <v/>
      </c>
      <c r="Z5124" s="23" t="str">
        <f aca="false">IF(B5124="","",IF(MATCH(B5124,$B$2:$B$12000,0)=ROW()-1,1,0))</f>
        <v/>
      </c>
    </row>
    <row r="5125" customFormat="false" ht="15" hidden="false" customHeight="false" outlineLevel="0" collapsed="false">
      <c r="V5125" s="23" t="str">
        <f aca="false">IF(ISNUMBER(C5125),YEAR(C5125),"")</f>
        <v/>
      </c>
      <c r="W5125" s="23" t="str">
        <f aca="false">IF(ISNUMBER(C5125),MONTH(C5125),"")</f>
        <v/>
      </c>
      <c r="X5125" s="23" t="str">
        <f aca="false">IF(T5125="","",IF(T5125=0,"No discount",IF(T5125&lt;=0.2,"Low (1-20%)",IF(T5125&lt;=0.4,"Medium (21-40%)","High (&gt;40%)"))))</f>
        <v/>
      </c>
      <c r="Y5125" s="23" t="str">
        <f aca="false">IF(AND(ISNUMBER(C5125),ISNUMBER(D5125)),D5125-C5125,"")</f>
        <v/>
      </c>
      <c r="Z5125" s="23" t="str">
        <f aca="false">IF(B5125="","",IF(MATCH(B5125,$B$2:$B$12000,0)=ROW()-1,1,0))</f>
        <v/>
      </c>
    </row>
    <row r="5126" customFormat="false" ht="15" hidden="false" customHeight="false" outlineLevel="0" collapsed="false">
      <c r="V5126" s="23" t="str">
        <f aca="false">IF(ISNUMBER(C5126),YEAR(C5126),"")</f>
        <v/>
      </c>
      <c r="W5126" s="23" t="str">
        <f aca="false">IF(ISNUMBER(C5126),MONTH(C5126),"")</f>
        <v/>
      </c>
      <c r="X5126" s="23" t="str">
        <f aca="false">IF(T5126="","",IF(T5126=0,"No discount",IF(T5126&lt;=0.2,"Low (1-20%)",IF(T5126&lt;=0.4,"Medium (21-40%)","High (&gt;40%)"))))</f>
        <v/>
      </c>
      <c r="Y5126" s="23" t="str">
        <f aca="false">IF(AND(ISNUMBER(C5126),ISNUMBER(D5126)),D5126-C5126,"")</f>
        <v/>
      </c>
      <c r="Z5126" s="23" t="str">
        <f aca="false">IF(B5126="","",IF(MATCH(B5126,$B$2:$B$12000,0)=ROW()-1,1,0))</f>
        <v/>
      </c>
    </row>
    <row r="5127" customFormat="false" ht="15" hidden="false" customHeight="false" outlineLevel="0" collapsed="false">
      <c r="V5127" s="23" t="str">
        <f aca="false">IF(ISNUMBER(C5127),YEAR(C5127),"")</f>
        <v/>
      </c>
      <c r="W5127" s="23" t="str">
        <f aca="false">IF(ISNUMBER(C5127),MONTH(C5127),"")</f>
        <v/>
      </c>
      <c r="X5127" s="23" t="str">
        <f aca="false">IF(T5127="","",IF(T5127=0,"No discount",IF(T5127&lt;=0.2,"Low (1-20%)",IF(T5127&lt;=0.4,"Medium (21-40%)","High (&gt;40%)"))))</f>
        <v/>
      </c>
      <c r="Y5127" s="23" t="str">
        <f aca="false">IF(AND(ISNUMBER(C5127),ISNUMBER(D5127)),D5127-C5127,"")</f>
        <v/>
      </c>
      <c r="Z5127" s="23" t="str">
        <f aca="false">IF(B5127="","",IF(MATCH(B5127,$B$2:$B$12000,0)=ROW()-1,1,0))</f>
        <v/>
      </c>
    </row>
    <row r="5128" customFormat="false" ht="15" hidden="false" customHeight="false" outlineLevel="0" collapsed="false">
      <c r="V5128" s="23" t="str">
        <f aca="false">IF(ISNUMBER(C5128),YEAR(C5128),"")</f>
        <v/>
      </c>
      <c r="W5128" s="23" t="str">
        <f aca="false">IF(ISNUMBER(C5128),MONTH(C5128),"")</f>
        <v/>
      </c>
      <c r="X5128" s="23" t="str">
        <f aca="false">IF(T5128="","",IF(T5128=0,"No discount",IF(T5128&lt;=0.2,"Low (1-20%)",IF(T5128&lt;=0.4,"Medium (21-40%)","High (&gt;40%)"))))</f>
        <v/>
      </c>
      <c r="Y5128" s="23" t="str">
        <f aca="false">IF(AND(ISNUMBER(C5128),ISNUMBER(D5128)),D5128-C5128,"")</f>
        <v/>
      </c>
      <c r="Z5128" s="23" t="str">
        <f aca="false">IF(B5128="","",IF(MATCH(B5128,$B$2:$B$12000,0)=ROW()-1,1,0))</f>
        <v/>
      </c>
    </row>
    <row r="5129" customFormat="false" ht="15" hidden="false" customHeight="false" outlineLevel="0" collapsed="false">
      <c r="V5129" s="23" t="str">
        <f aca="false">IF(ISNUMBER(C5129),YEAR(C5129),"")</f>
        <v/>
      </c>
      <c r="W5129" s="23" t="str">
        <f aca="false">IF(ISNUMBER(C5129),MONTH(C5129),"")</f>
        <v/>
      </c>
      <c r="X5129" s="23" t="str">
        <f aca="false">IF(T5129="","",IF(T5129=0,"No discount",IF(T5129&lt;=0.2,"Low (1-20%)",IF(T5129&lt;=0.4,"Medium (21-40%)","High (&gt;40%)"))))</f>
        <v/>
      </c>
      <c r="Y5129" s="23" t="str">
        <f aca="false">IF(AND(ISNUMBER(C5129),ISNUMBER(D5129)),D5129-C5129,"")</f>
        <v/>
      </c>
      <c r="Z5129" s="23" t="str">
        <f aca="false">IF(B5129="","",IF(MATCH(B5129,$B$2:$B$12000,0)=ROW()-1,1,0))</f>
        <v/>
      </c>
    </row>
    <row r="5130" customFormat="false" ht="15" hidden="false" customHeight="false" outlineLevel="0" collapsed="false">
      <c r="V5130" s="23" t="str">
        <f aca="false">IF(ISNUMBER(C5130),YEAR(C5130),"")</f>
        <v/>
      </c>
      <c r="W5130" s="23" t="str">
        <f aca="false">IF(ISNUMBER(C5130),MONTH(C5130),"")</f>
        <v/>
      </c>
      <c r="X5130" s="23" t="str">
        <f aca="false">IF(T5130="","",IF(T5130=0,"No discount",IF(T5130&lt;=0.2,"Low (1-20%)",IF(T5130&lt;=0.4,"Medium (21-40%)","High (&gt;40%)"))))</f>
        <v/>
      </c>
      <c r="Y5130" s="23" t="str">
        <f aca="false">IF(AND(ISNUMBER(C5130),ISNUMBER(D5130)),D5130-C5130,"")</f>
        <v/>
      </c>
      <c r="Z5130" s="23" t="str">
        <f aca="false">IF(B5130="","",IF(MATCH(B5130,$B$2:$B$12000,0)=ROW()-1,1,0))</f>
        <v/>
      </c>
    </row>
    <row r="5131" customFormat="false" ht="15" hidden="false" customHeight="false" outlineLevel="0" collapsed="false">
      <c r="V5131" s="23" t="str">
        <f aca="false">IF(ISNUMBER(C5131),YEAR(C5131),"")</f>
        <v/>
      </c>
      <c r="W5131" s="23" t="str">
        <f aca="false">IF(ISNUMBER(C5131),MONTH(C5131),"")</f>
        <v/>
      </c>
      <c r="X5131" s="23" t="str">
        <f aca="false">IF(T5131="","",IF(T5131=0,"No discount",IF(T5131&lt;=0.2,"Low (1-20%)",IF(T5131&lt;=0.4,"Medium (21-40%)","High (&gt;40%)"))))</f>
        <v/>
      </c>
      <c r="Y5131" s="23" t="str">
        <f aca="false">IF(AND(ISNUMBER(C5131),ISNUMBER(D5131)),D5131-C5131,"")</f>
        <v/>
      </c>
      <c r="Z5131" s="23" t="str">
        <f aca="false">IF(B5131="","",IF(MATCH(B5131,$B$2:$B$12000,0)=ROW()-1,1,0))</f>
        <v/>
      </c>
    </row>
    <row r="5132" customFormat="false" ht="15" hidden="false" customHeight="false" outlineLevel="0" collapsed="false">
      <c r="V5132" s="23" t="str">
        <f aca="false">IF(ISNUMBER(C5132),YEAR(C5132),"")</f>
        <v/>
      </c>
      <c r="W5132" s="23" t="str">
        <f aca="false">IF(ISNUMBER(C5132),MONTH(C5132),"")</f>
        <v/>
      </c>
      <c r="X5132" s="23" t="str">
        <f aca="false">IF(T5132="","",IF(T5132=0,"No discount",IF(T5132&lt;=0.2,"Low (1-20%)",IF(T5132&lt;=0.4,"Medium (21-40%)","High (&gt;40%)"))))</f>
        <v/>
      </c>
      <c r="Y5132" s="23" t="str">
        <f aca="false">IF(AND(ISNUMBER(C5132),ISNUMBER(D5132)),D5132-C5132,"")</f>
        <v/>
      </c>
      <c r="Z5132" s="23" t="str">
        <f aca="false">IF(B5132="","",IF(MATCH(B5132,$B$2:$B$12000,0)=ROW()-1,1,0))</f>
        <v/>
      </c>
    </row>
    <row r="5133" customFormat="false" ht="15" hidden="false" customHeight="false" outlineLevel="0" collapsed="false">
      <c r="V5133" s="23" t="str">
        <f aca="false">IF(ISNUMBER(C5133),YEAR(C5133),"")</f>
        <v/>
      </c>
      <c r="W5133" s="23" t="str">
        <f aca="false">IF(ISNUMBER(C5133),MONTH(C5133),"")</f>
        <v/>
      </c>
      <c r="X5133" s="23" t="str">
        <f aca="false">IF(T5133="","",IF(T5133=0,"No discount",IF(T5133&lt;=0.2,"Low (1-20%)",IF(T5133&lt;=0.4,"Medium (21-40%)","High (&gt;40%)"))))</f>
        <v/>
      </c>
      <c r="Y5133" s="23" t="str">
        <f aca="false">IF(AND(ISNUMBER(C5133),ISNUMBER(D5133)),D5133-C5133,"")</f>
        <v/>
      </c>
      <c r="Z5133" s="23" t="str">
        <f aca="false">IF(B5133="","",IF(MATCH(B5133,$B$2:$B$12000,0)=ROW()-1,1,0))</f>
        <v/>
      </c>
    </row>
    <row r="5134" customFormat="false" ht="15" hidden="false" customHeight="false" outlineLevel="0" collapsed="false">
      <c r="V5134" s="23" t="str">
        <f aca="false">IF(ISNUMBER(C5134),YEAR(C5134),"")</f>
        <v/>
      </c>
      <c r="W5134" s="23" t="str">
        <f aca="false">IF(ISNUMBER(C5134),MONTH(C5134),"")</f>
        <v/>
      </c>
      <c r="X5134" s="23" t="str">
        <f aca="false">IF(T5134="","",IF(T5134=0,"No discount",IF(T5134&lt;=0.2,"Low (1-20%)",IF(T5134&lt;=0.4,"Medium (21-40%)","High (&gt;40%)"))))</f>
        <v/>
      </c>
      <c r="Y5134" s="23" t="str">
        <f aca="false">IF(AND(ISNUMBER(C5134),ISNUMBER(D5134)),D5134-C5134,"")</f>
        <v/>
      </c>
      <c r="Z5134" s="23" t="str">
        <f aca="false">IF(B5134="","",IF(MATCH(B5134,$B$2:$B$12000,0)=ROW()-1,1,0))</f>
        <v/>
      </c>
    </row>
    <row r="5135" customFormat="false" ht="15" hidden="false" customHeight="false" outlineLevel="0" collapsed="false">
      <c r="V5135" s="23" t="str">
        <f aca="false">IF(ISNUMBER(C5135),YEAR(C5135),"")</f>
        <v/>
      </c>
      <c r="W5135" s="23" t="str">
        <f aca="false">IF(ISNUMBER(C5135),MONTH(C5135),"")</f>
        <v/>
      </c>
      <c r="X5135" s="23" t="str">
        <f aca="false">IF(T5135="","",IF(T5135=0,"No discount",IF(T5135&lt;=0.2,"Low (1-20%)",IF(T5135&lt;=0.4,"Medium (21-40%)","High (&gt;40%)"))))</f>
        <v/>
      </c>
      <c r="Y5135" s="23" t="str">
        <f aca="false">IF(AND(ISNUMBER(C5135),ISNUMBER(D5135)),D5135-C5135,"")</f>
        <v/>
      </c>
      <c r="Z5135" s="23" t="str">
        <f aca="false">IF(B5135="","",IF(MATCH(B5135,$B$2:$B$12000,0)=ROW()-1,1,0))</f>
        <v/>
      </c>
    </row>
    <row r="5136" customFormat="false" ht="15" hidden="false" customHeight="false" outlineLevel="0" collapsed="false">
      <c r="V5136" s="23" t="str">
        <f aca="false">IF(ISNUMBER(C5136),YEAR(C5136),"")</f>
        <v/>
      </c>
      <c r="W5136" s="23" t="str">
        <f aca="false">IF(ISNUMBER(C5136),MONTH(C5136),"")</f>
        <v/>
      </c>
      <c r="X5136" s="23" t="str">
        <f aca="false">IF(T5136="","",IF(T5136=0,"No discount",IF(T5136&lt;=0.2,"Low (1-20%)",IF(T5136&lt;=0.4,"Medium (21-40%)","High (&gt;40%)"))))</f>
        <v/>
      </c>
      <c r="Y5136" s="23" t="str">
        <f aca="false">IF(AND(ISNUMBER(C5136),ISNUMBER(D5136)),D5136-C5136,"")</f>
        <v/>
      </c>
      <c r="Z5136" s="23" t="str">
        <f aca="false">IF(B5136="","",IF(MATCH(B5136,$B$2:$B$12000,0)=ROW()-1,1,0))</f>
        <v/>
      </c>
    </row>
    <row r="5137" customFormat="false" ht="15" hidden="false" customHeight="false" outlineLevel="0" collapsed="false">
      <c r="V5137" s="23" t="str">
        <f aca="false">IF(ISNUMBER(C5137),YEAR(C5137),"")</f>
        <v/>
      </c>
      <c r="W5137" s="23" t="str">
        <f aca="false">IF(ISNUMBER(C5137),MONTH(C5137),"")</f>
        <v/>
      </c>
      <c r="X5137" s="23" t="str">
        <f aca="false">IF(T5137="","",IF(T5137=0,"No discount",IF(T5137&lt;=0.2,"Low (1-20%)",IF(T5137&lt;=0.4,"Medium (21-40%)","High (&gt;40%)"))))</f>
        <v/>
      </c>
      <c r="Y5137" s="23" t="str">
        <f aca="false">IF(AND(ISNUMBER(C5137),ISNUMBER(D5137)),D5137-C5137,"")</f>
        <v/>
      </c>
      <c r="Z5137" s="23" t="str">
        <f aca="false">IF(B5137="","",IF(MATCH(B5137,$B$2:$B$12000,0)=ROW()-1,1,0))</f>
        <v/>
      </c>
    </row>
    <row r="5138" customFormat="false" ht="15" hidden="false" customHeight="false" outlineLevel="0" collapsed="false">
      <c r="V5138" s="23" t="str">
        <f aca="false">IF(ISNUMBER(C5138),YEAR(C5138),"")</f>
        <v/>
      </c>
      <c r="W5138" s="23" t="str">
        <f aca="false">IF(ISNUMBER(C5138),MONTH(C5138),"")</f>
        <v/>
      </c>
      <c r="X5138" s="23" t="str">
        <f aca="false">IF(T5138="","",IF(T5138=0,"No discount",IF(T5138&lt;=0.2,"Low (1-20%)",IF(T5138&lt;=0.4,"Medium (21-40%)","High (&gt;40%)"))))</f>
        <v/>
      </c>
      <c r="Y5138" s="23" t="str">
        <f aca="false">IF(AND(ISNUMBER(C5138),ISNUMBER(D5138)),D5138-C5138,"")</f>
        <v/>
      </c>
      <c r="Z5138" s="23" t="str">
        <f aca="false">IF(B5138="","",IF(MATCH(B5138,$B$2:$B$12000,0)=ROW()-1,1,0))</f>
        <v/>
      </c>
    </row>
    <row r="5139" customFormat="false" ht="15" hidden="false" customHeight="false" outlineLevel="0" collapsed="false">
      <c r="V5139" s="23" t="str">
        <f aca="false">IF(ISNUMBER(C5139),YEAR(C5139),"")</f>
        <v/>
      </c>
      <c r="W5139" s="23" t="str">
        <f aca="false">IF(ISNUMBER(C5139),MONTH(C5139),"")</f>
        <v/>
      </c>
      <c r="X5139" s="23" t="str">
        <f aca="false">IF(T5139="","",IF(T5139=0,"No discount",IF(T5139&lt;=0.2,"Low (1-20%)",IF(T5139&lt;=0.4,"Medium (21-40%)","High (&gt;40%)"))))</f>
        <v/>
      </c>
      <c r="Y5139" s="23" t="str">
        <f aca="false">IF(AND(ISNUMBER(C5139),ISNUMBER(D5139)),D5139-C5139,"")</f>
        <v/>
      </c>
      <c r="Z5139" s="23" t="str">
        <f aca="false">IF(B5139="","",IF(MATCH(B5139,$B$2:$B$12000,0)=ROW()-1,1,0))</f>
        <v/>
      </c>
    </row>
    <row r="5140" customFormat="false" ht="15" hidden="false" customHeight="false" outlineLevel="0" collapsed="false">
      <c r="V5140" s="23" t="str">
        <f aca="false">IF(ISNUMBER(C5140),YEAR(C5140),"")</f>
        <v/>
      </c>
      <c r="W5140" s="23" t="str">
        <f aca="false">IF(ISNUMBER(C5140),MONTH(C5140),"")</f>
        <v/>
      </c>
      <c r="X5140" s="23" t="str">
        <f aca="false">IF(T5140="","",IF(T5140=0,"No discount",IF(T5140&lt;=0.2,"Low (1-20%)",IF(T5140&lt;=0.4,"Medium (21-40%)","High (&gt;40%)"))))</f>
        <v/>
      </c>
      <c r="Y5140" s="23" t="str">
        <f aca="false">IF(AND(ISNUMBER(C5140),ISNUMBER(D5140)),D5140-C5140,"")</f>
        <v/>
      </c>
      <c r="Z5140" s="23" t="str">
        <f aca="false">IF(B5140="","",IF(MATCH(B5140,$B$2:$B$12000,0)=ROW()-1,1,0))</f>
        <v/>
      </c>
    </row>
    <row r="5141" customFormat="false" ht="15" hidden="false" customHeight="false" outlineLevel="0" collapsed="false">
      <c r="V5141" s="23" t="str">
        <f aca="false">IF(ISNUMBER(C5141),YEAR(C5141),"")</f>
        <v/>
      </c>
      <c r="W5141" s="23" t="str">
        <f aca="false">IF(ISNUMBER(C5141),MONTH(C5141),"")</f>
        <v/>
      </c>
      <c r="X5141" s="23" t="str">
        <f aca="false">IF(T5141="","",IF(T5141=0,"No discount",IF(T5141&lt;=0.2,"Low (1-20%)",IF(T5141&lt;=0.4,"Medium (21-40%)","High (&gt;40%)"))))</f>
        <v/>
      </c>
      <c r="Y5141" s="23" t="str">
        <f aca="false">IF(AND(ISNUMBER(C5141),ISNUMBER(D5141)),D5141-C5141,"")</f>
        <v/>
      </c>
      <c r="Z5141" s="23" t="str">
        <f aca="false">IF(B5141="","",IF(MATCH(B5141,$B$2:$B$12000,0)=ROW()-1,1,0))</f>
        <v/>
      </c>
    </row>
    <row r="5142" customFormat="false" ht="15" hidden="false" customHeight="false" outlineLevel="0" collapsed="false">
      <c r="V5142" s="23" t="str">
        <f aca="false">IF(ISNUMBER(C5142),YEAR(C5142),"")</f>
        <v/>
      </c>
      <c r="W5142" s="23" t="str">
        <f aca="false">IF(ISNUMBER(C5142),MONTH(C5142),"")</f>
        <v/>
      </c>
      <c r="X5142" s="23" t="str">
        <f aca="false">IF(T5142="","",IF(T5142=0,"No discount",IF(T5142&lt;=0.2,"Low (1-20%)",IF(T5142&lt;=0.4,"Medium (21-40%)","High (&gt;40%)"))))</f>
        <v/>
      </c>
      <c r="Y5142" s="23" t="str">
        <f aca="false">IF(AND(ISNUMBER(C5142),ISNUMBER(D5142)),D5142-C5142,"")</f>
        <v/>
      </c>
      <c r="Z5142" s="23" t="str">
        <f aca="false">IF(B5142="","",IF(MATCH(B5142,$B$2:$B$12000,0)=ROW()-1,1,0))</f>
        <v/>
      </c>
    </row>
    <row r="5143" customFormat="false" ht="15" hidden="false" customHeight="false" outlineLevel="0" collapsed="false">
      <c r="V5143" s="23" t="str">
        <f aca="false">IF(ISNUMBER(C5143),YEAR(C5143),"")</f>
        <v/>
      </c>
      <c r="W5143" s="23" t="str">
        <f aca="false">IF(ISNUMBER(C5143),MONTH(C5143),"")</f>
        <v/>
      </c>
      <c r="X5143" s="23" t="str">
        <f aca="false">IF(T5143="","",IF(T5143=0,"No discount",IF(T5143&lt;=0.2,"Low (1-20%)",IF(T5143&lt;=0.4,"Medium (21-40%)","High (&gt;40%)"))))</f>
        <v/>
      </c>
      <c r="Y5143" s="23" t="str">
        <f aca="false">IF(AND(ISNUMBER(C5143),ISNUMBER(D5143)),D5143-C5143,"")</f>
        <v/>
      </c>
      <c r="Z5143" s="23" t="str">
        <f aca="false">IF(B5143="","",IF(MATCH(B5143,$B$2:$B$12000,0)=ROW()-1,1,0))</f>
        <v/>
      </c>
    </row>
    <row r="5144" customFormat="false" ht="15" hidden="false" customHeight="false" outlineLevel="0" collapsed="false">
      <c r="V5144" s="23" t="str">
        <f aca="false">IF(ISNUMBER(C5144),YEAR(C5144),"")</f>
        <v/>
      </c>
      <c r="W5144" s="23" t="str">
        <f aca="false">IF(ISNUMBER(C5144),MONTH(C5144),"")</f>
        <v/>
      </c>
      <c r="X5144" s="23" t="str">
        <f aca="false">IF(T5144="","",IF(T5144=0,"No discount",IF(T5144&lt;=0.2,"Low (1-20%)",IF(T5144&lt;=0.4,"Medium (21-40%)","High (&gt;40%)"))))</f>
        <v/>
      </c>
      <c r="Y5144" s="23" t="str">
        <f aca="false">IF(AND(ISNUMBER(C5144),ISNUMBER(D5144)),D5144-C5144,"")</f>
        <v/>
      </c>
      <c r="Z5144" s="23" t="str">
        <f aca="false">IF(B5144="","",IF(MATCH(B5144,$B$2:$B$12000,0)=ROW()-1,1,0))</f>
        <v/>
      </c>
    </row>
    <row r="5145" customFormat="false" ht="15" hidden="false" customHeight="false" outlineLevel="0" collapsed="false">
      <c r="V5145" s="23" t="str">
        <f aca="false">IF(ISNUMBER(C5145),YEAR(C5145),"")</f>
        <v/>
      </c>
      <c r="W5145" s="23" t="str">
        <f aca="false">IF(ISNUMBER(C5145),MONTH(C5145),"")</f>
        <v/>
      </c>
      <c r="X5145" s="23" t="str">
        <f aca="false">IF(T5145="","",IF(T5145=0,"No discount",IF(T5145&lt;=0.2,"Low (1-20%)",IF(T5145&lt;=0.4,"Medium (21-40%)","High (&gt;40%)"))))</f>
        <v/>
      </c>
      <c r="Y5145" s="23" t="str">
        <f aca="false">IF(AND(ISNUMBER(C5145),ISNUMBER(D5145)),D5145-C5145,"")</f>
        <v/>
      </c>
      <c r="Z5145" s="23" t="str">
        <f aca="false">IF(B5145="","",IF(MATCH(B5145,$B$2:$B$12000,0)=ROW()-1,1,0))</f>
        <v/>
      </c>
    </row>
    <row r="5146" customFormat="false" ht="15" hidden="false" customHeight="false" outlineLevel="0" collapsed="false">
      <c r="V5146" s="23" t="str">
        <f aca="false">IF(ISNUMBER(C5146),YEAR(C5146),"")</f>
        <v/>
      </c>
      <c r="W5146" s="23" t="str">
        <f aca="false">IF(ISNUMBER(C5146),MONTH(C5146),"")</f>
        <v/>
      </c>
      <c r="X5146" s="23" t="str">
        <f aca="false">IF(T5146="","",IF(T5146=0,"No discount",IF(T5146&lt;=0.2,"Low (1-20%)",IF(T5146&lt;=0.4,"Medium (21-40%)","High (&gt;40%)"))))</f>
        <v/>
      </c>
      <c r="Y5146" s="23" t="str">
        <f aca="false">IF(AND(ISNUMBER(C5146),ISNUMBER(D5146)),D5146-C5146,"")</f>
        <v/>
      </c>
      <c r="Z5146" s="23" t="str">
        <f aca="false">IF(B5146="","",IF(MATCH(B5146,$B$2:$B$12000,0)=ROW()-1,1,0))</f>
        <v/>
      </c>
    </row>
    <row r="5147" customFormat="false" ht="15" hidden="false" customHeight="false" outlineLevel="0" collapsed="false">
      <c r="V5147" s="23" t="str">
        <f aca="false">IF(ISNUMBER(C5147),YEAR(C5147),"")</f>
        <v/>
      </c>
      <c r="W5147" s="23" t="str">
        <f aca="false">IF(ISNUMBER(C5147),MONTH(C5147),"")</f>
        <v/>
      </c>
      <c r="X5147" s="23" t="str">
        <f aca="false">IF(T5147="","",IF(T5147=0,"No discount",IF(T5147&lt;=0.2,"Low (1-20%)",IF(T5147&lt;=0.4,"Medium (21-40%)","High (&gt;40%)"))))</f>
        <v/>
      </c>
      <c r="Y5147" s="23" t="str">
        <f aca="false">IF(AND(ISNUMBER(C5147),ISNUMBER(D5147)),D5147-C5147,"")</f>
        <v/>
      </c>
      <c r="Z5147" s="23" t="str">
        <f aca="false">IF(B5147="","",IF(MATCH(B5147,$B$2:$B$12000,0)=ROW()-1,1,0))</f>
        <v/>
      </c>
    </row>
    <row r="5148" customFormat="false" ht="15" hidden="false" customHeight="false" outlineLevel="0" collapsed="false">
      <c r="V5148" s="23" t="str">
        <f aca="false">IF(ISNUMBER(C5148),YEAR(C5148),"")</f>
        <v/>
      </c>
      <c r="W5148" s="23" t="str">
        <f aca="false">IF(ISNUMBER(C5148),MONTH(C5148),"")</f>
        <v/>
      </c>
      <c r="X5148" s="23" t="str">
        <f aca="false">IF(T5148="","",IF(T5148=0,"No discount",IF(T5148&lt;=0.2,"Low (1-20%)",IF(T5148&lt;=0.4,"Medium (21-40%)","High (&gt;40%)"))))</f>
        <v/>
      </c>
      <c r="Y5148" s="23" t="str">
        <f aca="false">IF(AND(ISNUMBER(C5148),ISNUMBER(D5148)),D5148-C5148,"")</f>
        <v/>
      </c>
      <c r="Z5148" s="23" t="str">
        <f aca="false">IF(B5148="","",IF(MATCH(B5148,$B$2:$B$12000,0)=ROW()-1,1,0))</f>
        <v/>
      </c>
    </row>
    <row r="5149" customFormat="false" ht="15" hidden="false" customHeight="false" outlineLevel="0" collapsed="false">
      <c r="V5149" s="23" t="str">
        <f aca="false">IF(ISNUMBER(C5149),YEAR(C5149),"")</f>
        <v/>
      </c>
      <c r="W5149" s="23" t="str">
        <f aca="false">IF(ISNUMBER(C5149),MONTH(C5149),"")</f>
        <v/>
      </c>
      <c r="X5149" s="23" t="str">
        <f aca="false">IF(T5149="","",IF(T5149=0,"No discount",IF(T5149&lt;=0.2,"Low (1-20%)",IF(T5149&lt;=0.4,"Medium (21-40%)","High (&gt;40%)"))))</f>
        <v/>
      </c>
      <c r="Y5149" s="23" t="str">
        <f aca="false">IF(AND(ISNUMBER(C5149),ISNUMBER(D5149)),D5149-C5149,"")</f>
        <v/>
      </c>
      <c r="Z5149" s="23" t="str">
        <f aca="false">IF(B5149="","",IF(MATCH(B5149,$B$2:$B$12000,0)=ROW()-1,1,0))</f>
        <v/>
      </c>
    </row>
    <row r="5150" customFormat="false" ht="15" hidden="false" customHeight="false" outlineLevel="0" collapsed="false">
      <c r="V5150" s="23" t="str">
        <f aca="false">IF(ISNUMBER(C5150),YEAR(C5150),"")</f>
        <v/>
      </c>
      <c r="W5150" s="23" t="str">
        <f aca="false">IF(ISNUMBER(C5150),MONTH(C5150),"")</f>
        <v/>
      </c>
      <c r="X5150" s="23" t="str">
        <f aca="false">IF(T5150="","",IF(T5150=0,"No discount",IF(T5150&lt;=0.2,"Low (1-20%)",IF(T5150&lt;=0.4,"Medium (21-40%)","High (&gt;40%)"))))</f>
        <v/>
      </c>
      <c r="Y5150" s="23" t="str">
        <f aca="false">IF(AND(ISNUMBER(C5150),ISNUMBER(D5150)),D5150-C5150,"")</f>
        <v/>
      </c>
      <c r="Z5150" s="23" t="str">
        <f aca="false">IF(B5150="","",IF(MATCH(B5150,$B$2:$B$12000,0)=ROW()-1,1,0))</f>
        <v/>
      </c>
    </row>
    <row r="5151" customFormat="false" ht="15" hidden="false" customHeight="false" outlineLevel="0" collapsed="false">
      <c r="V5151" s="23" t="str">
        <f aca="false">IF(ISNUMBER(C5151),YEAR(C5151),"")</f>
        <v/>
      </c>
      <c r="W5151" s="23" t="str">
        <f aca="false">IF(ISNUMBER(C5151),MONTH(C5151),"")</f>
        <v/>
      </c>
      <c r="X5151" s="23" t="str">
        <f aca="false">IF(T5151="","",IF(T5151=0,"No discount",IF(T5151&lt;=0.2,"Low (1-20%)",IF(T5151&lt;=0.4,"Medium (21-40%)","High (&gt;40%)"))))</f>
        <v/>
      </c>
      <c r="Y5151" s="23" t="str">
        <f aca="false">IF(AND(ISNUMBER(C5151),ISNUMBER(D5151)),D5151-C5151,"")</f>
        <v/>
      </c>
      <c r="Z5151" s="23" t="str">
        <f aca="false">IF(B5151="","",IF(MATCH(B5151,$B$2:$B$12000,0)=ROW()-1,1,0))</f>
        <v/>
      </c>
    </row>
    <row r="5152" customFormat="false" ht="15" hidden="false" customHeight="false" outlineLevel="0" collapsed="false">
      <c r="V5152" s="23" t="str">
        <f aca="false">IF(ISNUMBER(C5152),YEAR(C5152),"")</f>
        <v/>
      </c>
      <c r="W5152" s="23" t="str">
        <f aca="false">IF(ISNUMBER(C5152),MONTH(C5152),"")</f>
        <v/>
      </c>
      <c r="X5152" s="23" t="str">
        <f aca="false">IF(T5152="","",IF(T5152=0,"No discount",IF(T5152&lt;=0.2,"Low (1-20%)",IF(T5152&lt;=0.4,"Medium (21-40%)","High (&gt;40%)"))))</f>
        <v/>
      </c>
      <c r="Y5152" s="23" t="str">
        <f aca="false">IF(AND(ISNUMBER(C5152),ISNUMBER(D5152)),D5152-C5152,"")</f>
        <v/>
      </c>
      <c r="Z5152" s="23" t="str">
        <f aca="false">IF(B5152="","",IF(MATCH(B5152,$B$2:$B$12000,0)=ROW()-1,1,0))</f>
        <v/>
      </c>
    </row>
    <row r="5153" customFormat="false" ht="15" hidden="false" customHeight="false" outlineLevel="0" collapsed="false">
      <c r="V5153" s="23" t="str">
        <f aca="false">IF(ISNUMBER(C5153),YEAR(C5153),"")</f>
        <v/>
      </c>
      <c r="W5153" s="23" t="str">
        <f aca="false">IF(ISNUMBER(C5153),MONTH(C5153),"")</f>
        <v/>
      </c>
      <c r="X5153" s="23" t="str">
        <f aca="false">IF(T5153="","",IF(T5153=0,"No discount",IF(T5153&lt;=0.2,"Low (1-20%)",IF(T5153&lt;=0.4,"Medium (21-40%)","High (&gt;40%)"))))</f>
        <v/>
      </c>
      <c r="Y5153" s="23" t="str">
        <f aca="false">IF(AND(ISNUMBER(C5153),ISNUMBER(D5153)),D5153-C5153,"")</f>
        <v/>
      </c>
      <c r="Z5153" s="23" t="str">
        <f aca="false">IF(B5153="","",IF(MATCH(B5153,$B$2:$B$12000,0)=ROW()-1,1,0))</f>
        <v/>
      </c>
    </row>
    <row r="5154" customFormat="false" ht="15" hidden="false" customHeight="false" outlineLevel="0" collapsed="false">
      <c r="V5154" s="23" t="str">
        <f aca="false">IF(ISNUMBER(C5154),YEAR(C5154),"")</f>
        <v/>
      </c>
      <c r="W5154" s="23" t="str">
        <f aca="false">IF(ISNUMBER(C5154),MONTH(C5154),"")</f>
        <v/>
      </c>
      <c r="X5154" s="23" t="str">
        <f aca="false">IF(T5154="","",IF(T5154=0,"No discount",IF(T5154&lt;=0.2,"Low (1-20%)",IF(T5154&lt;=0.4,"Medium (21-40%)","High (&gt;40%)"))))</f>
        <v/>
      </c>
      <c r="Y5154" s="23" t="str">
        <f aca="false">IF(AND(ISNUMBER(C5154),ISNUMBER(D5154)),D5154-C5154,"")</f>
        <v/>
      </c>
      <c r="Z5154" s="23" t="str">
        <f aca="false">IF(B5154="","",IF(MATCH(B5154,$B$2:$B$12000,0)=ROW()-1,1,0))</f>
        <v/>
      </c>
    </row>
    <row r="5155" customFormat="false" ht="15" hidden="false" customHeight="false" outlineLevel="0" collapsed="false">
      <c r="V5155" s="23" t="str">
        <f aca="false">IF(ISNUMBER(C5155),YEAR(C5155),"")</f>
        <v/>
      </c>
      <c r="W5155" s="23" t="str">
        <f aca="false">IF(ISNUMBER(C5155),MONTH(C5155),"")</f>
        <v/>
      </c>
      <c r="X5155" s="23" t="str">
        <f aca="false">IF(T5155="","",IF(T5155=0,"No discount",IF(T5155&lt;=0.2,"Low (1-20%)",IF(T5155&lt;=0.4,"Medium (21-40%)","High (&gt;40%)"))))</f>
        <v/>
      </c>
      <c r="Y5155" s="23" t="str">
        <f aca="false">IF(AND(ISNUMBER(C5155),ISNUMBER(D5155)),D5155-C5155,"")</f>
        <v/>
      </c>
      <c r="Z5155" s="23" t="str">
        <f aca="false">IF(B5155="","",IF(MATCH(B5155,$B$2:$B$12000,0)=ROW()-1,1,0))</f>
        <v/>
      </c>
    </row>
    <row r="5156" customFormat="false" ht="15" hidden="false" customHeight="false" outlineLevel="0" collapsed="false">
      <c r="V5156" s="23" t="str">
        <f aca="false">IF(ISNUMBER(C5156),YEAR(C5156),"")</f>
        <v/>
      </c>
      <c r="W5156" s="23" t="str">
        <f aca="false">IF(ISNUMBER(C5156),MONTH(C5156),"")</f>
        <v/>
      </c>
      <c r="X5156" s="23" t="str">
        <f aca="false">IF(T5156="","",IF(T5156=0,"No discount",IF(T5156&lt;=0.2,"Low (1-20%)",IF(T5156&lt;=0.4,"Medium (21-40%)","High (&gt;40%)"))))</f>
        <v/>
      </c>
      <c r="Y5156" s="23" t="str">
        <f aca="false">IF(AND(ISNUMBER(C5156),ISNUMBER(D5156)),D5156-C5156,"")</f>
        <v/>
      </c>
      <c r="Z5156" s="23" t="str">
        <f aca="false">IF(B5156="","",IF(MATCH(B5156,$B$2:$B$12000,0)=ROW()-1,1,0))</f>
        <v/>
      </c>
    </row>
    <row r="5157" customFormat="false" ht="15" hidden="false" customHeight="false" outlineLevel="0" collapsed="false">
      <c r="V5157" s="23" t="str">
        <f aca="false">IF(ISNUMBER(C5157),YEAR(C5157),"")</f>
        <v/>
      </c>
      <c r="W5157" s="23" t="str">
        <f aca="false">IF(ISNUMBER(C5157),MONTH(C5157),"")</f>
        <v/>
      </c>
      <c r="X5157" s="23" t="str">
        <f aca="false">IF(T5157="","",IF(T5157=0,"No discount",IF(T5157&lt;=0.2,"Low (1-20%)",IF(T5157&lt;=0.4,"Medium (21-40%)","High (&gt;40%)"))))</f>
        <v/>
      </c>
      <c r="Y5157" s="23" t="str">
        <f aca="false">IF(AND(ISNUMBER(C5157),ISNUMBER(D5157)),D5157-C5157,"")</f>
        <v/>
      </c>
      <c r="Z5157" s="23" t="str">
        <f aca="false">IF(B5157="","",IF(MATCH(B5157,$B$2:$B$12000,0)=ROW()-1,1,0))</f>
        <v/>
      </c>
    </row>
    <row r="5158" customFormat="false" ht="15" hidden="false" customHeight="false" outlineLevel="0" collapsed="false">
      <c r="V5158" s="23" t="str">
        <f aca="false">IF(ISNUMBER(C5158),YEAR(C5158),"")</f>
        <v/>
      </c>
      <c r="W5158" s="23" t="str">
        <f aca="false">IF(ISNUMBER(C5158),MONTH(C5158),"")</f>
        <v/>
      </c>
      <c r="X5158" s="23" t="str">
        <f aca="false">IF(T5158="","",IF(T5158=0,"No discount",IF(T5158&lt;=0.2,"Low (1-20%)",IF(T5158&lt;=0.4,"Medium (21-40%)","High (&gt;40%)"))))</f>
        <v/>
      </c>
      <c r="Y5158" s="23" t="str">
        <f aca="false">IF(AND(ISNUMBER(C5158),ISNUMBER(D5158)),D5158-C5158,"")</f>
        <v/>
      </c>
      <c r="Z5158" s="23" t="str">
        <f aca="false">IF(B5158="","",IF(MATCH(B5158,$B$2:$B$12000,0)=ROW()-1,1,0))</f>
        <v/>
      </c>
    </row>
    <row r="5159" customFormat="false" ht="15" hidden="false" customHeight="false" outlineLevel="0" collapsed="false">
      <c r="V5159" s="23" t="str">
        <f aca="false">IF(ISNUMBER(C5159),YEAR(C5159),"")</f>
        <v/>
      </c>
      <c r="W5159" s="23" t="str">
        <f aca="false">IF(ISNUMBER(C5159),MONTH(C5159),"")</f>
        <v/>
      </c>
      <c r="X5159" s="23" t="str">
        <f aca="false">IF(T5159="","",IF(T5159=0,"No discount",IF(T5159&lt;=0.2,"Low (1-20%)",IF(T5159&lt;=0.4,"Medium (21-40%)","High (&gt;40%)"))))</f>
        <v/>
      </c>
      <c r="Y5159" s="23" t="str">
        <f aca="false">IF(AND(ISNUMBER(C5159),ISNUMBER(D5159)),D5159-C5159,"")</f>
        <v/>
      </c>
      <c r="Z5159" s="23" t="str">
        <f aca="false">IF(B5159="","",IF(MATCH(B5159,$B$2:$B$12000,0)=ROW()-1,1,0))</f>
        <v/>
      </c>
    </row>
    <row r="5160" customFormat="false" ht="15" hidden="false" customHeight="false" outlineLevel="0" collapsed="false">
      <c r="V5160" s="23" t="str">
        <f aca="false">IF(ISNUMBER(C5160),YEAR(C5160),"")</f>
        <v/>
      </c>
      <c r="W5160" s="23" t="str">
        <f aca="false">IF(ISNUMBER(C5160),MONTH(C5160),"")</f>
        <v/>
      </c>
      <c r="X5160" s="23" t="str">
        <f aca="false">IF(T5160="","",IF(T5160=0,"No discount",IF(T5160&lt;=0.2,"Low (1-20%)",IF(T5160&lt;=0.4,"Medium (21-40%)","High (&gt;40%)"))))</f>
        <v/>
      </c>
      <c r="Y5160" s="23" t="str">
        <f aca="false">IF(AND(ISNUMBER(C5160),ISNUMBER(D5160)),D5160-C5160,"")</f>
        <v/>
      </c>
      <c r="Z5160" s="23" t="str">
        <f aca="false">IF(B5160="","",IF(MATCH(B5160,$B$2:$B$12000,0)=ROW()-1,1,0))</f>
        <v/>
      </c>
    </row>
    <row r="5161" customFormat="false" ht="15" hidden="false" customHeight="false" outlineLevel="0" collapsed="false">
      <c r="V5161" s="23" t="str">
        <f aca="false">IF(ISNUMBER(C5161),YEAR(C5161),"")</f>
        <v/>
      </c>
      <c r="W5161" s="23" t="str">
        <f aca="false">IF(ISNUMBER(C5161),MONTH(C5161),"")</f>
        <v/>
      </c>
      <c r="X5161" s="23" t="str">
        <f aca="false">IF(T5161="","",IF(T5161=0,"No discount",IF(T5161&lt;=0.2,"Low (1-20%)",IF(T5161&lt;=0.4,"Medium (21-40%)","High (&gt;40%)"))))</f>
        <v/>
      </c>
      <c r="Y5161" s="23" t="str">
        <f aca="false">IF(AND(ISNUMBER(C5161),ISNUMBER(D5161)),D5161-C5161,"")</f>
        <v/>
      </c>
      <c r="Z5161" s="23" t="str">
        <f aca="false">IF(B5161="","",IF(MATCH(B5161,$B$2:$B$12000,0)=ROW()-1,1,0))</f>
        <v/>
      </c>
    </row>
    <row r="5162" customFormat="false" ht="15" hidden="false" customHeight="false" outlineLevel="0" collapsed="false">
      <c r="V5162" s="23" t="str">
        <f aca="false">IF(ISNUMBER(C5162),YEAR(C5162),"")</f>
        <v/>
      </c>
      <c r="W5162" s="23" t="str">
        <f aca="false">IF(ISNUMBER(C5162),MONTH(C5162),"")</f>
        <v/>
      </c>
      <c r="X5162" s="23" t="str">
        <f aca="false">IF(T5162="","",IF(T5162=0,"No discount",IF(T5162&lt;=0.2,"Low (1-20%)",IF(T5162&lt;=0.4,"Medium (21-40%)","High (&gt;40%)"))))</f>
        <v/>
      </c>
      <c r="Y5162" s="23" t="str">
        <f aca="false">IF(AND(ISNUMBER(C5162),ISNUMBER(D5162)),D5162-C5162,"")</f>
        <v/>
      </c>
      <c r="Z5162" s="23" t="str">
        <f aca="false">IF(B5162="","",IF(MATCH(B5162,$B$2:$B$12000,0)=ROW()-1,1,0))</f>
        <v/>
      </c>
    </row>
    <row r="5163" customFormat="false" ht="15" hidden="false" customHeight="false" outlineLevel="0" collapsed="false">
      <c r="V5163" s="23" t="str">
        <f aca="false">IF(ISNUMBER(C5163),YEAR(C5163),"")</f>
        <v/>
      </c>
      <c r="W5163" s="23" t="str">
        <f aca="false">IF(ISNUMBER(C5163),MONTH(C5163),"")</f>
        <v/>
      </c>
      <c r="X5163" s="23" t="str">
        <f aca="false">IF(T5163="","",IF(T5163=0,"No discount",IF(T5163&lt;=0.2,"Low (1-20%)",IF(T5163&lt;=0.4,"Medium (21-40%)","High (&gt;40%)"))))</f>
        <v/>
      </c>
      <c r="Y5163" s="23" t="str">
        <f aca="false">IF(AND(ISNUMBER(C5163),ISNUMBER(D5163)),D5163-C5163,"")</f>
        <v/>
      </c>
      <c r="Z5163" s="23" t="str">
        <f aca="false">IF(B5163="","",IF(MATCH(B5163,$B$2:$B$12000,0)=ROW()-1,1,0))</f>
        <v/>
      </c>
    </row>
    <row r="5164" customFormat="false" ht="15" hidden="false" customHeight="false" outlineLevel="0" collapsed="false">
      <c r="V5164" s="23" t="str">
        <f aca="false">IF(ISNUMBER(C5164),YEAR(C5164),"")</f>
        <v/>
      </c>
      <c r="W5164" s="23" t="str">
        <f aca="false">IF(ISNUMBER(C5164),MONTH(C5164),"")</f>
        <v/>
      </c>
      <c r="X5164" s="23" t="str">
        <f aca="false">IF(T5164="","",IF(T5164=0,"No discount",IF(T5164&lt;=0.2,"Low (1-20%)",IF(T5164&lt;=0.4,"Medium (21-40%)","High (&gt;40%)"))))</f>
        <v/>
      </c>
      <c r="Y5164" s="23" t="str">
        <f aca="false">IF(AND(ISNUMBER(C5164),ISNUMBER(D5164)),D5164-C5164,"")</f>
        <v/>
      </c>
      <c r="Z5164" s="23" t="str">
        <f aca="false">IF(B5164="","",IF(MATCH(B5164,$B$2:$B$12000,0)=ROW()-1,1,0))</f>
        <v/>
      </c>
    </row>
    <row r="5165" customFormat="false" ht="15" hidden="false" customHeight="false" outlineLevel="0" collapsed="false">
      <c r="V5165" s="23" t="str">
        <f aca="false">IF(ISNUMBER(C5165),YEAR(C5165),"")</f>
        <v/>
      </c>
      <c r="W5165" s="23" t="str">
        <f aca="false">IF(ISNUMBER(C5165),MONTH(C5165),"")</f>
        <v/>
      </c>
      <c r="X5165" s="23" t="str">
        <f aca="false">IF(T5165="","",IF(T5165=0,"No discount",IF(T5165&lt;=0.2,"Low (1-20%)",IF(T5165&lt;=0.4,"Medium (21-40%)","High (&gt;40%)"))))</f>
        <v/>
      </c>
      <c r="Y5165" s="23" t="str">
        <f aca="false">IF(AND(ISNUMBER(C5165),ISNUMBER(D5165)),D5165-C5165,"")</f>
        <v/>
      </c>
      <c r="Z5165" s="23" t="str">
        <f aca="false">IF(B5165="","",IF(MATCH(B5165,$B$2:$B$12000,0)=ROW()-1,1,0))</f>
        <v/>
      </c>
    </row>
    <row r="5166" customFormat="false" ht="15" hidden="false" customHeight="false" outlineLevel="0" collapsed="false">
      <c r="V5166" s="23" t="str">
        <f aca="false">IF(ISNUMBER(C5166),YEAR(C5166),"")</f>
        <v/>
      </c>
      <c r="W5166" s="23" t="str">
        <f aca="false">IF(ISNUMBER(C5166),MONTH(C5166),"")</f>
        <v/>
      </c>
      <c r="X5166" s="23" t="str">
        <f aca="false">IF(T5166="","",IF(T5166=0,"No discount",IF(T5166&lt;=0.2,"Low (1-20%)",IF(T5166&lt;=0.4,"Medium (21-40%)","High (&gt;40%)"))))</f>
        <v/>
      </c>
      <c r="Y5166" s="23" t="str">
        <f aca="false">IF(AND(ISNUMBER(C5166),ISNUMBER(D5166)),D5166-C5166,"")</f>
        <v/>
      </c>
      <c r="Z5166" s="23" t="str">
        <f aca="false">IF(B5166="","",IF(MATCH(B5166,$B$2:$B$12000,0)=ROW()-1,1,0))</f>
        <v/>
      </c>
    </row>
    <row r="5167" customFormat="false" ht="15" hidden="false" customHeight="false" outlineLevel="0" collapsed="false">
      <c r="V5167" s="23" t="str">
        <f aca="false">IF(ISNUMBER(C5167),YEAR(C5167),"")</f>
        <v/>
      </c>
      <c r="W5167" s="23" t="str">
        <f aca="false">IF(ISNUMBER(C5167),MONTH(C5167),"")</f>
        <v/>
      </c>
      <c r="X5167" s="23" t="str">
        <f aca="false">IF(T5167="","",IF(T5167=0,"No discount",IF(T5167&lt;=0.2,"Low (1-20%)",IF(T5167&lt;=0.4,"Medium (21-40%)","High (&gt;40%)"))))</f>
        <v/>
      </c>
      <c r="Y5167" s="23" t="str">
        <f aca="false">IF(AND(ISNUMBER(C5167),ISNUMBER(D5167)),D5167-C5167,"")</f>
        <v/>
      </c>
      <c r="Z5167" s="23" t="str">
        <f aca="false">IF(B5167="","",IF(MATCH(B5167,$B$2:$B$12000,0)=ROW()-1,1,0))</f>
        <v/>
      </c>
    </row>
    <row r="5168" customFormat="false" ht="15" hidden="false" customHeight="false" outlineLevel="0" collapsed="false">
      <c r="V5168" s="23" t="str">
        <f aca="false">IF(ISNUMBER(C5168),YEAR(C5168),"")</f>
        <v/>
      </c>
      <c r="W5168" s="23" t="str">
        <f aca="false">IF(ISNUMBER(C5168),MONTH(C5168),"")</f>
        <v/>
      </c>
      <c r="X5168" s="23" t="str">
        <f aca="false">IF(T5168="","",IF(T5168=0,"No discount",IF(T5168&lt;=0.2,"Low (1-20%)",IF(T5168&lt;=0.4,"Medium (21-40%)","High (&gt;40%)"))))</f>
        <v/>
      </c>
      <c r="Y5168" s="23" t="str">
        <f aca="false">IF(AND(ISNUMBER(C5168),ISNUMBER(D5168)),D5168-C5168,"")</f>
        <v/>
      </c>
      <c r="Z5168" s="23" t="str">
        <f aca="false">IF(B5168="","",IF(MATCH(B5168,$B$2:$B$12000,0)=ROW()-1,1,0))</f>
        <v/>
      </c>
    </row>
    <row r="5169" customFormat="false" ht="15" hidden="false" customHeight="false" outlineLevel="0" collapsed="false">
      <c r="V5169" s="23" t="str">
        <f aca="false">IF(ISNUMBER(C5169),YEAR(C5169),"")</f>
        <v/>
      </c>
      <c r="W5169" s="23" t="str">
        <f aca="false">IF(ISNUMBER(C5169),MONTH(C5169),"")</f>
        <v/>
      </c>
      <c r="X5169" s="23" t="str">
        <f aca="false">IF(T5169="","",IF(T5169=0,"No discount",IF(T5169&lt;=0.2,"Low (1-20%)",IF(T5169&lt;=0.4,"Medium (21-40%)","High (&gt;40%)"))))</f>
        <v/>
      </c>
      <c r="Y5169" s="23" t="str">
        <f aca="false">IF(AND(ISNUMBER(C5169),ISNUMBER(D5169)),D5169-C5169,"")</f>
        <v/>
      </c>
      <c r="Z5169" s="23" t="str">
        <f aca="false">IF(B5169="","",IF(MATCH(B5169,$B$2:$B$12000,0)=ROW()-1,1,0))</f>
        <v/>
      </c>
    </row>
    <row r="5170" customFormat="false" ht="15" hidden="false" customHeight="false" outlineLevel="0" collapsed="false">
      <c r="V5170" s="23" t="str">
        <f aca="false">IF(ISNUMBER(C5170),YEAR(C5170),"")</f>
        <v/>
      </c>
      <c r="W5170" s="23" t="str">
        <f aca="false">IF(ISNUMBER(C5170),MONTH(C5170),"")</f>
        <v/>
      </c>
      <c r="X5170" s="23" t="str">
        <f aca="false">IF(T5170="","",IF(T5170=0,"No discount",IF(T5170&lt;=0.2,"Low (1-20%)",IF(T5170&lt;=0.4,"Medium (21-40%)","High (&gt;40%)"))))</f>
        <v/>
      </c>
      <c r="Y5170" s="23" t="str">
        <f aca="false">IF(AND(ISNUMBER(C5170),ISNUMBER(D5170)),D5170-C5170,"")</f>
        <v/>
      </c>
      <c r="Z5170" s="23" t="str">
        <f aca="false">IF(B5170="","",IF(MATCH(B5170,$B$2:$B$12000,0)=ROW()-1,1,0))</f>
        <v/>
      </c>
    </row>
    <row r="5171" customFormat="false" ht="15" hidden="false" customHeight="false" outlineLevel="0" collapsed="false">
      <c r="V5171" s="23" t="str">
        <f aca="false">IF(ISNUMBER(C5171),YEAR(C5171),"")</f>
        <v/>
      </c>
      <c r="W5171" s="23" t="str">
        <f aca="false">IF(ISNUMBER(C5171),MONTH(C5171),"")</f>
        <v/>
      </c>
      <c r="X5171" s="23" t="str">
        <f aca="false">IF(T5171="","",IF(T5171=0,"No discount",IF(T5171&lt;=0.2,"Low (1-20%)",IF(T5171&lt;=0.4,"Medium (21-40%)","High (&gt;40%)"))))</f>
        <v/>
      </c>
      <c r="Y5171" s="23" t="str">
        <f aca="false">IF(AND(ISNUMBER(C5171),ISNUMBER(D5171)),D5171-C5171,"")</f>
        <v/>
      </c>
      <c r="Z5171" s="23" t="str">
        <f aca="false">IF(B5171="","",IF(MATCH(B5171,$B$2:$B$12000,0)=ROW()-1,1,0))</f>
        <v/>
      </c>
    </row>
    <row r="5172" customFormat="false" ht="15" hidden="false" customHeight="false" outlineLevel="0" collapsed="false">
      <c r="V5172" s="23" t="str">
        <f aca="false">IF(ISNUMBER(C5172),YEAR(C5172),"")</f>
        <v/>
      </c>
      <c r="W5172" s="23" t="str">
        <f aca="false">IF(ISNUMBER(C5172),MONTH(C5172),"")</f>
        <v/>
      </c>
      <c r="X5172" s="23" t="str">
        <f aca="false">IF(T5172="","",IF(T5172=0,"No discount",IF(T5172&lt;=0.2,"Low (1-20%)",IF(T5172&lt;=0.4,"Medium (21-40%)","High (&gt;40%)"))))</f>
        <v/>
      </c>
      <c r="Y5172" s="23" t="str">
        <f aca="false">IF(AND(ISNUMBER(C5172),ISNUMBER(D5172)),D5172-C5172,"")</f>
        <v/>
      </c>
      <c r="Z5172" s="23" t="str">
        <f aca="false">IF(B5172="","",IF(MATCH(B5172,$B$2:$B$12000,0)=ROW()-1,1,0))</f>
        <v/>
      </c>
    </row>
    <row r="5173" customFormat="false" ht="15" hidden="false" customHeight="false" outlineLevel="0" collapsed="false">
      <c r="V5173" s="23" t="str">
        <f aca="false">IF(ISNUMBER(C5173),YEAR(C5173),"")</f>
        <v/>
      </c>
      <c r="W5173" s="23" t="str">
        <f aca="false">IF(ISNUMBER(C5173),MONTH(C5173),"")</f>
        <v/>
      </c>
      <c r="X5173" s="23" t="str">
        <f aca="false">IF(T5173="","",IF(T5173=0,"No discount",IF(T5173&lt;=0.2,"Low (1-20%)",IF(T5173&lt;=0.4,"Medium (21-40%)","High (&gt;40%)"))))</f>
        <v/>
      </c>
      <c r="Y5173" s="23" t="str">
        <f aca="false">IF(AND(ISNUMBER(C5173),ISNUMBER(D5173)),D5173-C5173,"")</f>
        <v/>
      </c>
      <c r="Z5173" s="23" t="str">
        <f aca="false">IF(B5173="","",IF(MATCH(B5173,$B$2:$B$12000,0)=ROW()-1,1,0))</f>
        <v/>
      </c>
    </row>
    <row r="5174" customFormat="false" ht="15" hidden="false" customHeight="false" outlineLevel="0" collapsed="false">
      <c r="V5174" s="23" t="str">
        <f aca="false">IF(ISNUMBER(C5174),YEAR(C5174),"")</f>
        <v/>
      </c>
      <c r="W5174" s="23" t="str">
        <f aca="false">IF(ISNUMBER(C5174),MONTH(C5174),"")</f>
        <v/>
      </c>
      <c r="X5174" s="23" t="str">
        <f aca="false">IF(T5174="","",IF(T5174=0,"No discount",IF(T5174&lt;=0.2,"Low (1-20%)",IF(T5174&lt;=0.4,"Medium (21-40%)","High (&gt;40%)"))))</f>
        <v/>
      </c>
      <c r="Y5174" s="23" t="str">
        <f aca="false">IF(AND(ISNUMBER(C5174),ISNUMBER(D5174)),D5174-C5174,"")</f>
        <v/>
      </c>
      <c r="Z5174" s="23" t="str">
        <f aca="false">IF(B5174="","",IF(MATCH(B5174,$B$2:$B$12000,0)=ROW()-1,1,0))</f>
        <v/>
      </c>
    </row>
    <row r="5175" customFormat="false" ht="15" hidden="false" customHeight="false" outlineLevel="0" collapsed="false">
      <c r="V5175" s="23" t="str">
        <f aca="false">IF(ISNUMBER(C5175),YEAR(C5175),"")</f>
        <v/>
      </c>
      <c r="W5175" s="23" t="str">
        <f aca="false">IF(ISNUMBER(C5175),MONTH(C5175),"")</f>
        <v/>
      </c>
      <c r="X5175" s="23" t="str">
        <f aca="false">IF(T5175="","",IF(T5175=0,"No discount",IF(T5175&lt;=0.2,"Low (1-20%)",IF(T5175&lt;=0.4,"Medium (21-40%)","High (&gt;40%)"))))</f>
        <v/>
      </c>
      <c r="Y5175" s="23" t="str">
        <f aca="false">IF(AND(ISNUMBER(C5175),ISNUMBER(D5175)),D5175-C5175,"")</f>
        <v/>
      </c>
      <c r="Z5175" s="23" t="str">
        <f aca="false">IF(B5175="","",IF(MATCH(B5175,$B$2:$B$12000,0)=ROW()-1,1,0))</f>
        <v/>
      </c>
    </row>
    <row r="5176" customFormat="false" ht="15" hidden="false" customHeight="false" outlineLevel="0" collapsed="false">
      <c r="V5176" s="23" t="str">
        <f aca="false">IF(ISNUMBER(C5176),YEAR(C5176),"")</f>
        <v/>
      </c>
      <c r="W5176" s="23" t="str">
        <f aca="false">IF(ISNUMBER(C5176),MONTH(C5176),"")</f>
        <v/>
      </c>
      <c r="X5176" s="23" t="str">
        <f aca="false">IF(T5176="","",IF(T5176=0,"No discount",IF(T5176&lt;=0.2,"Low (1-20%)",IF(T5176&lt;=0.4,"Medium (21-40%)","High (&gt;40%)"))))</f>
        <v/>
      </c>
      <c r="Y5176" s="23" t="str">
        <f aca="false">IF(AND(ISNUMBER(C5176),ISNUMBER(D5176)),D5176-C5176,"")</f>
        <v/>
      </c>
      <c r="Z5176" s="23" t="str">
        <f aca="false">IF(B5176="","",IF(MATCH(B5176,$B$2:$B$12000,0)=ROW()-1,1,0))</f>
        <v/>
      </c>
    </row>
    <row r="5177" customFormat="false" ht="15" hidden="false" customHeight="false" outlineLevel="0" collapsed="false">
      <c r="V5177" s="23" t="str">
        <f aca="false">IF(ISNUMBER(C5177),YEAR(C5177),"")</f>
        <v/>
      </c>
      <c r="W5177" s="23" t="str">
        <f aca="false">IF(ISNUMBER(C5177),MONTH(C5177),"")</f>
        <v/>
      </c>
      <c r="X5177" s="23" t="str">
        <f aca="false">IF(T5177="","",IF(T5177=0,"No discount",IF(T5177&lt;=0.2,"Low (1-20%)",IF(T5177&lt;=0.4,"Medium (21-40%)","High (&gt;40%)"))))</f>
        <v/>
      </c>
      <c r="Y5177" s="23" t="str">
        <f aca="false">IF(AND(ISNUMBER(C5177),ISNUMBER(D5177)),D5177-C5177,"")</f>
        <v/>
      </c>
      <c r="Z5177" s="23" t="str">
        <f aca="false">IF(B5177="","",IF(MATCH(B5177,$B$2:$B$12000,0)=ROW()-1,1,0))</f>
        <v/>
      </c>
    </row>
    <row r="5178" customFormat="false" ht="15" hidden="false" customHeight="false" outlineLevel="0" collapsed="false">
      <c r="V5178" s="23" t="str">
        <f aca="false">IF(ISNUMBER(C5178),YEAR(C5178),"")</f>
        <v/>
      </c>
      <c r="W5178" s="23" t="str">
        <f aca="false">IF(ISNUMBER(C5178),MONTH(C5178),"")</f>
        <v/>
      </c>
      <c r="X5178" s="23" t="str">
        <f aca="false">IF(T5178="","",IF(T5178=0,"No discount",IF(T5178&lt;=0.2,"Low (1-20%)",IF(T5178&lt;=0.4,"Medium (21-40%)","High (&gt;40%)"))))</f>
        <v/>
      </c>
      <c r="Y5178" s="23" t="str">
        <f aca="false">IF(AND(ISNUMBER(C5178),ISNUMBER(D5178)),D5178-C5178,"")</f>
        <v/>
      </c>
      <c r="Z5178" s="23" t="str">
        <f aca="false">IF(B5178="","",IF(MATCH(B5178,$B$2:$B$12000,0)=ROW()-1,1,0))</f>
        <v/>
      </c>
    </row>
    <row r="5179" customFormat="false" ht="15" hidden="false" customHeight="false" outlineLevel="0" collapsed="false">
      <c r="V5179" s="23" t="str">
        <f aca="false">IF(ISNUMBER(C5179),YEAR(C5179),"")</f>
        <v/>
      </c>
      <c r="W5179" s="23" t="str">
        <f aca="false">IF(ISNUMBER(C5179),MONTH(C5179),"")</f>
        <v/>
      </c>
      <c r="X5179" s="23" t="str">
        <f aca="false">IF(T5179="","",IF(T5179=0,"No discount",IF(T5179&lt;=0.2,"Low (1-20%)",IF(T5179&lt;=0.4,"Medium (21-40%)","High (&gt;40%)"))))</f>
        <v/>
      </c>
      <c r="Y5179" s="23" t="str">
        <f aca="false">IF(AND(ISNUMBER(C5179),ISNUMBER(D5179)),D5179-C5179,"")</f>
        <v/>
      </c>
      <c r="Z5179" s="23" t="str">
        <f aca="false">IF(B5179="","",IF(MATCH(B5179,$B$2:$B$12000,0)=ROW()-1,1,0))</f>
        <v/>
      </c>
    </row>
    <row r="5180" customFormat="false" ht="15" hidden="false" customHeight="false" outlineLevel="0" collapsed="false">
      <c r="V5180" s="23" t="str">
        <f aca="false">IF(ISNUMBER(C5180),YEAR(C5180),"")</f>
        <v/>
      </c>
      <c r="W5180" s="23" t="str">
        <f aca="false">IF(ISNUMBER(C5180),MONTH(C5180),"")</f>
        <v/>
      </c>
      <c r="X5180" s="23" t="str">
        <f aca="false">IF(T5180="","",IF(T5180=0,"No discount",IF(T5180&lt;=0.2,"Low (1-20%)",IF(T5180&lt;=0.4,"Medium (21-40%)","High (&gt;40%)"))))</f>
        <v/>
      </c>
      <c r="Y5180" s="23" t="str">
        <f aca="false">IF(AND(ISNUMBER(C5180),ISNUMBER(D5180)),D5180-C5180,"")</f>
        <v/>
      </c>
      <c r="Z5180" s="23" t="str">
        <f aca="false">IF(B5180="","",IF(MATCH(B5180,$B$2:$B$12000,0)=ROW()-1,1,0))</f>
        <v/>
      </c>
    </row>
    <row r="5181" customFormat="false" ht="15" hidden="false" customHeight="false" outlineLevel="0" collapsed="false">
      <c r="V5181" s="23" t="str">
        <f aca="false">IF(ISNUMBER(C5181),YEAR(C5181),"")</f>
        <v/>
      </c>
      <c r="W5181" s="23" t="str">
        <f aca="false">IF(ISNUMBER(C5181),MONTH(C5181),"")</f>
        <v/>
      </c>
      <c r="X5181" s="23" t="str">
        <f aca="false">IF(T5181="","",IF(T5181=0,"No discount",IF(T5181&lt;=0.2,"Low (1-20%)",IF(T5181&lt;=0.4,"Medium (21-40%)","High (&gt;40%)"))))</f>
        <v/>
      </c>
      <c r="Y5181" s="23" t="str">
        <f aca="false">IF(AND(ISNUMBER(C5181),ISNUMBER(D5181)),D5181-C5181,"")</f>
        <v/>
      </c>
      <c r="Z5181" s="23" t="str">
        <f aca="false">IF(B5181="","",IF(MATCH(B5181,$B$2:$B$12000,0)=ROW()-1,1,0))</f>
        <v/>
      </c>
    </row>
    <row r="5182" customFormat="false" ht="15" hidden="false" customHeight="false" outlineLevel="0" collapsed="false">
      <c r="V5182" s="23" t="str">
        <f aca="false">IF(ISNUMBER(C5182),YEAR(C5182),"")</f>
        <v/>
      </c>
      <c r="W5182" s="23" t="str">
        <f aca="false">IF(ISNUMBER(C5182),MONTH(C5182),"")</f>
        <v/>
      </c>
      <c r="X5182" s="23" t="str">
        <f aca="false">IF(T5182="","",IF(T5182=0,"No discount",IF(T5182&lt;=0.2,"Low (1-20%)",IF(T5182&lt;=0.4,"Medium (21-40%)","High (&gt;40%)"))))</f>
        <v/>
      </c>
      <c r="Y5182" s="23" t="str">
        <f aca="false">IF(AND(ISNUMBER(C5182),ISNUMBER(D5182)),D5182-C5182,"")</f>
        <v/>
      </c>
      <c r="Z5182" s="23" t="str">
        <f aca="false">IF(B5182="","",IF(MATCH(B5182,$B$2:$B$12000,0)=ROW()-1,1,0))</f>
        <v/>
      </c>
    </row>
    <row r="5183" customFormat="false" ht="15" hidden="false" customHeight="false" outlineLevel="0" collapsed="false">
      <c r="V5183" s="23" t="str">
        <f aca="false">IF(ISNUMBER(C5183),YEAR(C5183),"")</f>
        <v/>
      </c>
      <c r="W5183" s="23" t="str">
        <f aca="false">IF(ISNUMBER(C5183),MONTH(C5183),"")</f>
        <v/>
      </c>
      <c r="X5183" s="23" t="str">
        <f aca="false">IF(T5183="","",IF(T5183=0,"No discount",IF(T5183&lt;=0.2,"Low (1-20%)",IF(T5183&lt;=0.4,"Medium (21-40%)","High (&gt;40%)"))))</f>
        <v/>
      </c>
      <c r="Y5183" s="23" t="str">
        <f aca="false">IF(AND(ISNUMBER(C5183),ISNUMBER(D5183)),D5183-C5183,"")</f>
        <v/>
      </c>
      <c r="Z5183" s="23" t="str">
        <f aca="false">IF(B5183="","",IF(MATCH(B5183,$B$2:$B$12000,0)=ROW()-1,1,0))</f>
        <v/>
      </c>
    </row>
    <row r="5184" customFormat="false" ht="15" hidden="false" customHeight="false" outlineLevel="0" collapsed="false">
      <c r="V5184" s="23" t="str">
        <f aca="false">IF(ISNUMBER(C5184),YEAR(C5184),"")</f>
        <v/>
      </c>
      <c r="W5184" s="23" t="str">
        <f aca="false">IF(ISNUMBER(C5184),MONTH(C5184),"")</f>
        <v/>
      </c>
      <c r="X5184" s="23" t="str">
        <f aca="false">IF(T5184="","",IF(T5184=0,"No discount",IF(T5184&lt;=0.2,"Low (1-20%)",IF(T5184&lt;=0.4,"Medium (21-40%)","High (&gt;40%)"))))</f>
        <v/>
      </c>
      <c r="Y5184" s="23" t="str">
        <f aca="false">IF(AND(ISNUMBER(C5184),ISNUMBER(D5184)),D5184-C5184,"")</f>
        <v/>
      </c>
      <c r="Z5184" s="23" t="str">
        <f aca="false">IF(B5184="","",IF(MATCH(B5184,$B$2:$B$12000,0)=ROW()-1,1,0))</f>
        <v/>
      </c>
    </row>
    <row r="5185" customFormat="false" ht="15" hidden="false" customHeight="false" outlineLevel="0" collapsed="false">
      <c r="V5185" s="23" t="str">
        <f aca="false">IF(ISNUMBER(C5185),YEAR(C5185),"")</f>
        <v/>
      </c>
      <c r="W5185" s="23" t="str">
        <f aca="false">IF(ISNUMBER(C5185),MONTH(C5185),"")</f>
        <v/>
      </c>
      <c r="X5185" s="23" t="str">
        <f aca="false">IF(T5185="","",IF(T5185=0,"No discount",IF(T5185&lt;=0.2,"Low (1-20%)",IF(T5185&lt;=0.4,"Medium (21-40%)","High (&gt;40%)"))))</f>
        <v/>
      </c>
      <c r="Y5185" s="23" t="str">
        <f aca="false">IF(AND(ISNUMBER(C5185),ISNUMBER(D5185)),D5185-C5185,"")</f>
        <v/>
      </c>
      <c r="Z5185" s="23" t="str">
        <f aca="false">IF(B5185="","",IF(MATCH(B5185,$B$2:$B$12000,0)=ROW()-1,1,0))</f>
        <v/>
      </c>
    </row>
    <row r="5186" customFormat="false" ht="15" hidden="false" customHeight="false" outlineLevel="0" collapsed="false">
      <c r="V5186" s="23" t="str">
        <f aca="false">IF(ISNUMBER(C5186),YEAR(C5186),"")</f>
        <v/>
      </c>
      <c r="W5186" s="23" t="str">
        <f aca="false">IF(ISNUMBER(C5186),MONTH(C5186),"")</f>
        <v/>
      </c>
      <c r="X5186" s="23" t="str">
        <f aca="false">IF(T5186="","",IF(T5186=0,"No discount",IF(T5186&lt;=0.2,"Low (1-20%)",IF(T5186&lt;=0.4,"Medium (21-40%)","High (&gt;40%)"))))</f>
        <v/>
      </c>
      <c r="Y5186" s="23" t="str">
        <f aca="false">IF(AND(ISNUMBER(C5186),ISNUMBER(D5186)),D5186-C5186,"")</f>
        <v/>
      </c>
      <c r="Z5186" s="23" t="str">
        <f aca="false">IF(B5186="","",IF(MATCH(B5186,$B$2:$B$12000,0)=ROW()-1,1,0))</f>
        <v/>
      </c>
    </row>
    <row r="5187" customFormat="false" ht="15" hidden="false" customHeight="false" outlineLevel="0" collapsed="false">
      <c r="V5187" s="23" t="str">
        <f aca="false">IF(ISNUMBER(C5187),YEAR(C5187),"")</f>
        <v/>
      </c>
      <c r="W5187" s="23" t="str">
        <f aca="false">IF(ISNUMBER(C5187),MONTH(C5187),"")</f>
        <v/>
      </c>
      <c r="X5187" s="23" t="str">
        <f aca="false">IF(T5187="","",IF(T5187=0,"No discount",IF(T5187&lt;=0.2,"Low (1-20%)",IF(T5187&lt;=0.4,"Medium (21-40%)","High (&gt;40%)"))))</f>
        <v/>
      </c>
      <c r="Y5187" s="23" t="str">
        <f aca="false">IF(AND(ISNUMBER(C5187),ISNUMBER(D5187)),D5187-C5187,"")</f>
        <v/>
      </c>
      <c r="Z5187" s="23" t="str">
        <f aca="false">IF(B5187="","",IF(MATCH(B5187,$B$2:$B$12000,0)=ROW()-1,1,0))</f>
        <v/>
      </c>
    </row>
    <row r="5188" customFormat="false" ht="15" hidden="false" customHeight="false" outlineLevel="0" collapsed="false">
      <c r="V5188" s="23" t="str">
        <f aca="false">IF(ISNUMBER(C5188),YEAR(C5188),"")</f>
        <v/>
      </c>
      <c r="W5188" s="23" t="str">
        <f aca="false">IF(ISNUMBER(C5188),MONTH(C5188),"")</f>
        <v/>
      </c>
      <c r="X5188" s="23" t="str">
        <f aca="false">IF(T5188="","",IF(T5188=0,"No discount",IF(T5188&lt;=0.2,"Low (1-20%)",IF(T5188&lt;=0.4,"Medium (21-40%)","High (&gt;40%)"))))</f>
        <v/>
      </c>
      <c r="Y5188" s="23" t="str">
        <f aca="false">IF(AND(ISNUMBER(C5188),ISNUMBER(D5188)),D5188-C5188,"")</f>
        <v/>
      </c>
      <c r="Z5188" s="23" t="str">
        <f aca="false">IF(B5188="","",IF(MATCH(B5188,$B$2:$B$12000,0)=ROW()-1,1,0))</f>
        <v/>
      </c>
    </row>
    <row r="5189" customFormat="false" ht="15" hidden="false" customHeight="false" outlineLevel="0" collapsed="false">
      <c r="V5189" s="23" t="str">
        <f aca="false">IF(ISNUMBER(C5189),YEAR(C5189),"")</f>
        <v/>
      </c>
      <c r="W5189" s="23" t="str">
        <f aca="false">IF(ISNUMBER(C5189),MONTH(C5189),"")</f>
        <v/>
      </c>
      <c r="X5189" s="23" t="str">
        <f aca="false">IF(T5189="","",IF(T5189=0,"No discount",IF(T5189&lt;=0.2,"Low (1-20%)",IF(T5189&lt;=0.4,"Medium (21-40%)","High (&gt;40%)"))))</f>
        <v/>
      </c>
      <c r="Y5189" s="23" t="str">
        <f aca="false">IF(AND(ISNUMBER(C5189),ISNUMBER(D5189)),D5189-C5189,"")</f>
        <v/>
      </c>
      <c r="Z5189" s="23" t="str">
        <f aca="false">IF(B5189="","",IF(MATCH(B5189,$B$2:$B$12000,0)=ROW()-1,1,0))</f>
        <v/>
      </c>
    </row>
    <row r="5190" customFormat="false" ht="15" hidden="false" customHeight="false" outlineLevel="0" collapsed="false">
      <c r="V5190" s="23" t="str">
        <f aca="false">IF(ISNUMBER(C5190),YEAR(C5190),"")</f>
        <v/>
      </c>
      <c r="W5190" s="23" t="str">
        <f aca="false">IF(ISNUMBER(C5190),MONTH(C5190),"")</f>
        <v/>
      </c>
      <c r="X5190" s="23" t="str">
        <f aca="false">IF(T5190="","",IF(T5190=0,"No discount",IF(T5190&lt;=0.2,"Low (1-20%)",IF(T5190&lt;=0.4,"Medium (21-40%)","High (&gt;40%)"))))</f>
        <v/>
      </c>
      <c r="Y5190" s="23" t="str">
        <f aca="false">IF(AND(ISNUMBER(C5190),ISNUMBER(D5190)),D5190-C5190,"")</f>
        <v/>
      </c>
      <c r="Z5190" s="23" t="str">
        <f aca="false">IF(B5190="","",IF(MATCH(B5190,$B$2:$B$12000,0)=ROW()-1,1,0))</f>
        <v/>
      </c>
    </row>
    <row r="5191" customFormat="false" ht="15" hidden="false" customHeight="false" outlineLevel="0" collapsed="false">
      <c r="V5191" s="23" t="str">
        <f aca="false">IF(ISNUMBER(C5191),YEAR(C5191),"")</f>
        <v/>
      </c>
      <c r="W5191" s="23" t="str">
        <f aca="false">IF(ISNUMBER(C5191),MONTH(C5191),"")</f>
        <v/>
      </c>
      <c r="X5191" s="23" t="str">
        <f aca="false">IF(T5191="","",IF(T5191=0,"No discount",IF(T5191&lt;=0.2,"Low (1-20%)",IF(T5191&lt;=0.4,"Medium (21-40%)","High (&gt;40%)"))))</f>
        <v/>
      </c>
      <c r="Y5191" s="23" t="str">
        <f aca="false">IF(AND(ISNUMBER(C5191),ISNUMBER(D5191)),D5191-C5191,"")</f>
        <v/>
      </c>
      <c r="Z5191" s="23" t="str">
        <f aca="false">IF(B5191="","",IF(MATCH(B5191,$B$2:$B$12000,0)=ROW()-1,1,0))</f>
        <v/>
      </c>
    </row>
    <row r="5192" customFormat="false" ht="15" hidden="false" customHeight="false" outlineLevel="0" collapsed="false">
      <c r="V5192" s="23" t="str">
        <f aca="false">IF(ISNUMBER(C5192),YEAR(C5192),"")</f>
        <v/>
      </c>
      <c r="W5192" s="23" t="str">
        <f aca="false">IF(ISNUMBER(C5192),MONTH(C5192),"")</f>
        <v/>
      </c>
      <c r="X5192" s="23" t="str">
        <f aca="false">IF(T5192="","",IF(T5192=0,"No discount",IF(T5192&lt;=0.2,"Low (1-20%)",IF(T5192&lt;=0.4,"Medium (21-40%)","High (&gt;40%)"))))</f>
        <v/>
      </c>
      <c r="Y5192" s="23" t="str">
        <f aca="false">IF(AND(ISNUMBER(C5192),ISNUMBER(D5192)),D5192-C5192,"")</f>
        <v/>
      </c>
      <c r="Z5192" s="23" t="str">
        <f aca="false">IF(B5192="","",IF(MATCH(B5192,$B$2:$B$12000,0)=ROW()-1,1,0))</f>
        <v/>
      </c>
    </row>
    <row r="5193" customFormat="false" ht="15" hidden="false" customHeight="false" outlineLevel="0" collapsed="false">
      <c r="V5193" s="23" t="str">
        <f aca="false">IF(ISNUMBER(C5193),YEAR(C5193),"")</f>
        <v/>
      </c>
      <c r="W5193" s="23" t="str">
        <f aca="false">IF(ISNUMBER(C5193),MONTH(C5193),"")</f>
        <v/>
      </c>
      <c r="X5193" s="23" t="str">
        <f aca="false">IF(T5193="","",IF(T5193=0,"No discount",IF(T5193&lt;=0.2,"Low (1-20%)",IF(T5193&lt;=0.4,"Medium (21-40%)","High (&gt;40%)"))))</f>
        <v/>
      </c>
      <c r="Y5193" s="23" t="str">
        <f aca="false">IF(AND(ISNUMBER(C5193),ISNUMBER(D5193)),D5193-C5193,"")</f>
        <v/>
      </c>
      <c r="Z5193" s="23" t="str">
        <f aca="false">IF(B5193="","",IF(MATCH(B5193,$B$2:$B$12000,0)=ROW()-1,1,0))</f>
        <v/>
      </c>
    </row>
    <row r="5194" customFormat="false" ht="15" hidden="false" customHeight="false" outlineLevel="0" collapsed="false">
      <c r="V5194" s="23" t="str">
        <f aca="false">IF(ISNUMBER(C5194),YEAR(C5194),"")</f>
        <v/>
      </c>
      <c r="W5194" s="23" t="str">
        <f aca="false">IF(ISNUMBER(C5194),MONTH(C5194),"")</f>
        <v/>
      </c>
      <c r="X5194" s="23" t="str">
        <f aca="false">IF(T5194="","",IF(T5194=0,"No discount",IF(T5194&lt;=0.2,"Low (1-20%)",IF(T5194&lt;=0.4,"Medium (21-40%)","High (&gt;40%)"))))</f>
        <v/>
      </c>
      <c r="Y5194" s="23" t="str">
        <f aca="false">IF(AND(ISNUMBER(C5194),ISNUMBER(D5194)),D5194-C5194,"")</f>
        <v/>
      </c>
      <c r="Z5194" s="23" t="str">
        <f aca="false">IF(B5194="","",IF(MATCH(B5194,$B$2:$B$12000,0)=ROW()-1,1,0))</f>
        <v/>
      </c>
    </row>
    <row r="5195" customFormat="false" ht="15" hidden="false" customHeight="false" outlineLevel="0" collapsed="false">
      <c r="V5195" s="23" t="str">
        <f aca="false">IF(ISNUMBER(C5195),YEAR(C5195),"")</f>
        <v/>
      </c>
      <c r="W5195" s="23" t="str">
        <f aca="false">IF(ISNUMBER(C5195),MONTH(C5195),"")</f>
        <v/>
      </c>
      <c r="X5195" s="23" t="str">
        <f aca="false">IF(T5195="","",IF(T5195=0,"No discount",IF(T5195&lt;=0.2,"Low (1-20%)",IF(T5195&lt;=0.4,"Medium (21-40%)","High (&gt;40%)"))))</f>
        <v/>
      </c>
      <c r="Y5195" s="23" t="str">
        <f aca="false">IF(AND(ISNUMBER(C5195),ISNUMBER(D5195)),D5195-C5195,"")</f>
        <v/>
      </c>
      <c r="Z5195" s="23" t="str">
        <f aca="false">IF(B5195="","",IF(MATCH(B5195,$B$2:$B$12000,0)=ROW()-1,1,0))</f>
        <v/>
      </c>
    </row>
    <row r="5196" customFormat="false" ht="15" hidden="false" customHeight="false" outlineLevel="0" collapsed="false">
      <c r="V5196" s="23" t="str">
        <f aca="false">IF(ISNUMBER(C5196),YEAR(C5196),"")</f>
        <v/>
      </c>
      <c r="W5196" s="23" t="str">
        <f aca="false">IF(ISNUMBER(C5196),MONTH(C5196),"")</f>
        <v/>
      </c>
      <c r="X5196" s="23" t="str">
        <f aca="false">IF(T5196="","",IF(T5196=0,"No discount",IF(T5196&lt;=0.2,"Low (1-20%)",IF(T5196&lt;=0.4,"Medium (21-40%)","High (&gt;40%)"))))</f>
        <v/>
      </c>
      <c r="Y5196" s="23" t="str">
        <f aca="false">IF(AND(ISNUMBER(C5196),ISNUMBER(D5196)),D5196-C5196,"")</f>
        <v/>
      </c>
      <c r="Z5196" s="23" t="str">
        <f aca="false">IF(B5196="","",IF(MATCH(B5196,$B$2:$B$12000,0)=ROW()-1,1,0))</f>
        <v/>
      </c>
    </row>
    <row r="5197" customFormat="false" ht="15" hidden="false" customHeight="false" outlineLevel="0" collapsed="false">
      <c r="V5197" s="23" t="str">
        <f aca="false">IF(ISNUMBER(C5197),YEAR(C5197),"")</f>
        <v/>
      </c>
      <c r="W5197" s="23" t="str">
        <f aca="false">IF(ISNUMBER(C5197),MONTH(C5197),"")</f>
        <v/>
      </c>
      <c r="X5197" s="23" t="str">
        <f aca="false">IF(T5197="","",IF(T5197=0,"No discount",IF(T5197&lt;=0.2,"Low (1-20%)",IF(T5197&lt;=0.4,"Medium (21-40%)","High (&gt;40%)"))))</f>
        <v/>
      </c>
      <c r="Y5197" s="23" t="str">
        <f aca="false">IF(AND(ISNUMBER(C5197),ISNUMBER(D5197)),D5197-C5197,"")</f>
        <v/>
      </c>
      <c r="Z5197" s="23" t="str">
        <f aca="false">IF(B5197="","",IF(MATCH(B5197,$B$2:$B$12000,0)=ROW()-1,1,0))</f>
        <v/>
      </c>
    </row>
    <row r="5198" customFormat="false" ht="15" hidden="false" customHeight="false" outlineLevel="0" collapsed="false">
      <c r="V5198" s="23" t="str">
        <f aca="false">IF(ISNUMBER(C5198),YEAR(C5198),"")</f>
        <v/>
      </c>
      <c r="W5198" s="23" t="str">
        <f aca="false">IF(ISNUMBER(C5198),MONTH(C5198),"")</f>
        <v/>
      </c>
      <c r="X5198" s="23" t="str">
        <f aca="false">IF(T5198="","",IF(T5198=0,"No discount",IF(T5198&lt;=0.2,"Low (1-20%)",IF(T5198&lt;=0.4,"Medium (21-40%)","High (&gt;40%)"))))</f>
        <v/>
      </c>
      <c r="Y5198" s="23" t="str">
        <f aca="false">IF(AND(ISNUMBER(C5198),ISNUMBER(D5198)),D5198-C5198,"")</f>
        <v/>
      </c>
      <c r="Z5198" s="23" t="str">
        <f aca="false">IF(B5198="","",IF(MATCH(B5198,$B$2:$B$12000,0)=ROW()-1,1,0))</f>
        <v/>
      </c>
    </row>
    <row r="5199" customFormat="false" ht="15" hidden="false" customHeight="false" outlineLevel="0" collapsed="false">
      <c r="V5199" s="23" t="str">
        <f aca="false">IF(ISNUMBER(C5199),YEAR(C5199),"")</f>
        <v/>
      </c>
      <c r="W5199" s="23" t="str">
        <f aca="false">IF(ISNUMBER(C5199),MONTH(C5199),"")</f>
        <v/>
      </c>
      <c r="X5199" s="23" t="str">
        <f aca="false">IF(T5199="","",IF(T5199=0,"No discount",IF(T5199&lt;=0.2,"Low (1-20%)",IF(T5199&lt;=0.4,"Medium (21-40%)","High (&gt;40%)"))))</f>
        <v/>
      </c>
      <c r="Y5199" s="23" t="str">
        <f aca="false">IF(AND(ISNUMBER(C5199),ISNUMBER(D5199)),D5199-C5199,"")</f>
        <v/>
      </c>
      <c r="Z5199" s="23" t="str">
        <f aca="false">IF(B5199="","",IF(MATCH(B5199,$B$2:$B$12000,0)=ROW()-1,1,0))</f>
        <v/>
      </c>
    </row>
    <row r="5200" customFormat="false" ht="15" hidden="false" customHeight="false" outlineLevel="0" collapsed="false">
      <c r="V5200" s="23" t="str">
        <f aca="false">IF(ISNUMBER(C5200),YEAR(C5200),"")</f>
        <v/>
      </c>
      <c r="W5200" s="23" t="str">
        <f aca="false">IF(ISNUMBER(C5200),MONTH(C5200),"")</f>
        <v/>
      </c>
      <c r="X5200" s="23" t="str">
        <f aca="false">IF(T5200="","",IF(T5200=0,"No discount",IF(T5200&lt;=0.2,"Low (1-20%)",IF(T5200&lt;=0.4,"Medium (21-40%)","High (&gt;40%)"))))</f>
        <v/>
      </c>
      <c r="Y5200" s="23" t="str">
        <f aca="false">IF(AND(ISNUMBER(C5200),ISNUMBER(D5200)),D5200-C5200,"")</f>
        <v/>
      </c>
      <c r="Z5200" s="23" t="str">
        <f aca="false">IF(B5200="","",IF(MATCH(B5200,$B$2:$B$12000,0)=ROW()-1,1,0))</f>
        <v/>
      </c>
    </row>
    <row r="5201" customFormat="false" ht="15" hidden="false" customHeight="false" outlineLevel="0" collapsed="false">
      <c r="V5201" s="23" t="str">
        <f aca="false">IF(ISNUMBER(C5201),YEAR(C5201),"")</f>
        <v/>
      </c>
      <c r="W5201" s="23" t="str">
        <f aca="false">IF(ISNUMBER(C5201),MONTH(C5201),"")</f>
        <v/>
      </c>
      <c r="X5201" s="23" t="str">
        <f aca="false">IF(T5201="","",IF(T5201=0,"No discount",IF(T5201&lt;=0.2,"Low (1-20%)",IF(T5201&lt;=0.4,"Medium (21-40%)","High (&gt;40%)"))))</f>
        <v/>
      </c>
      <c r="Y5201" s="23" t="str">
        <f aca="false">IF(AND(ISNUMBER(C5201),ISNUMBER(D5201)),D5201-C5201,"")</f>
        <v/>
      </c>
      <c r="Z5201" s="23" t="str">
        <f aca="false">IF(B5201="","",IF(MATCH(B5201,$B$2:$B$12000,0)=ROW()-1,1,0))</f>
        <v/>
      </c>
    </row>
    <row r="5202" customFormat="false" ht="15" hidden="false" customHeight="false" outlineLevel="0" collapsed="false">
      <c r="V5202" s="23" t="str">
        <f aca="false">IF(ISNUMBER(C5202),YEAR(C5202),"")</f>
        <v/>
      </c>
      <c r="W5202" s="23" t="str">
        <f aca="false">IF(ISNUMBER(C5202),MONTH(C5202),"")</f>
        <v/>
      </c>
      <c r="X5202" s="23" t="str">
        <f aca="false">IF(T5202="","",IF(T5202=0,"No discount",IF(T5202&lt;=0.2,"Low (1-20%)",IF(T5202&lt;=0.4,"Medium (21-40%)","High (&gt;40%)"))))</f>
        <v/>
      </c>
      <c r="Y5202" s="23" t="str">
        <f aca="false">IF(AND(ISNUMBER(C5202),ISNUMBER(D5202)),D5202-C5202,"")</f>
        <v/>
      </c>
      <c r="Z5202" s="23" t="str">
        <f aca="false">IF(B5202="","",IF(MATCH(B5202,$B$2:$B$12000,0)=ROW()-1,1,0))</f>
        <v/>
      </c>
    </row>
    <row r="5203" customFormat="false" ht="15" hidden="false" customHeight="false" outlineLevel="0" collapsed="false">
      <c r="V5203" s="23" t="str">
        <f aca="false">IF(ISNUMBER(C5203),YEAR(C5203),"")</f>
        <v/>
      </c>
      <c r="W5203" s="23" t="str">
        <f aca="false">IF(ISNUMBER(C5203),MONTH(C5203),"")</f>
        <v/>
      </c>
      <c r="X5203" s="23" t="str">
        <f aca="false">IF(T5203="","",IF(T5203=0,"No discount",IF(T5203&lt;=0.2,"Low (1-20%)",IF(T5203&lt;=0.4,"Medium (21-40%)","High (&gt;40%)"))))</f>
        <v/>
      </c>
      <c r="Y5203" s="23" t="str">
        <f aca="false">IF(AND(ISNUMBER(C5203),ISNUMBER(D5203)),D5203-C5203,"")</f>
        <v/>
      </c>
      <c r="Z5203" s="23" t="str">
        <f aca="false">IF(B5203="","",IF(MATCH(B5203,$B$2:$B$12000,0)=ROW()-1,1,0))</f>
        <v/>
      </c>
    </row>
    <row r="5204" customFormat="false" ht="15" hidden="false" customHeight="false" outlineLevel="0" collapsed="false">
      <c r="V5204" s="23" t="str">
        <f aca="false">IF(ISNUMBER(C5204),YEAR(C5204),"")</f>
        <v/>
      </c>
      <c r="W5204" s="23" t="str">
        <f aca="false">IF(ISNUMBER(C5204),MONTH(C5204),"")</f>
        <v/>
      </c>
      <c r="X5204" s="23" t="str">
        <f aca="false">IF(T5204="","",IF(T5204=0,"No discount",IF(T5204&lt;=0.2,"Low (1-20%)",IF(T5204&lt;=0.4,"Medium (21-40%)","High (&gt;40%)"))))</f>
        <v/>
      </c>
      <c r="Y5204" s="23" t="str">
        <f aca="false">IF(AND(ISNUMBER(C5204),ISNUMBER(D5204)),D5204-C5204,"")</f>
        <v/>
      </c>
      <c r="Z5204" s="23" t="str">
        <f aca="false">IF(B5204="","",IF(MATCH(B5204,$B$2:$B$12000,0)=ROW()-1,1,0))</f>
        <v/>
      </c>
    </row>
    <row r="5205" customFormat="false" ht="15" hidden="false" customHeight="false" outlineLevel="0" collapsed="false">
      <c r="V5205" s="23" t="str">
        <f aca="false">IF(ISNUMBER(C5205),YEAR(C5205),"")</f>
        <v/>
      </c>
      <c r="W5205" s="23" t="str">
        <f aca="false">IF(ISNUMBER(C5205),MONTH(C5205),"")</f>
        <v/>
      </c>
      <c r="X5205" s="23" t="str">
        <f aca="false">IF(T5205="","",IF(T5205=0,"No discount",IF(T5205&lt;=0.2,"Low (1-20%)",IF(T5205&lt;=0.4,"Medium (21-40%)","High (&gt;40%)"))))</f>
        <v/>
      </c>
      <c r="Y5205" s="23" t="str">
        <f aca="false">IF(AND(ISNUMBER(C5205),ISNUMBER(D5205)),D5205-C5205,"")</f>
        <v/>
      </c>
      <c r="Z5205" s="23" t="str">
        <f aca="false">IF(B5205="","",IF(MATCH(B5205,$B$2:$B$12000,0)=ROW()-1,1,0))</f>
        <v/>
      </c>
    </row>
    <row r="5206" customFormat="false" ht="15" hidden="false" customHeight="false" outlineLevel="0" collapsed="false">
      <c r="V5206" s="23" t="str">
        <f aca="false">IF(ISNUMBER(C5206),YEAR(C5206),"")</f>
        <v/>
      </c>
      <c r="W5206" s="23" t="str">
        <f aca="false">IF(ISNUMBER(C5206),MONTH(C5206),"")</f>
        <v/>
      </c>
      <c r="X5206" s="23" t="str">
        <f aca="false">IF(T5206="","",IF(T5206=0,"No discount",IF(T5206&lt;=0.2,"Low (1-20%)",IF(T5206&lt;=0.4,"Medium (21-40%)","High (&gt;40%)"))))</f>
        <v/>
      </c>
      <c r="Y5206" s="23" t="str">
        <f aca="false">IF(AND(ISNUMBER(C5206),ISNUMBER(D5206)),D5206-C5206,"")</f>
        <v/>
      </c>
      <c r="Z5206" s="23" t="str">
        <f aca="false">IF(B5206="","",IF(MATCH(B5206,$B$2:$B$12000,0)=ROW()-1,1,0))</f>
        <v/>
      </c>
    </row>
    <row r="5207" customFormat="false" ht="15" hidden="false" customHeight="false" outlineLevel="0" collapsed="false">
      <c r="V5207" s="23" t="str">
        <f aca="false">IF(ISNUMBER(C5207),YEAR(C5207),"")</f>
        <v/>
      </c>
      <c r="W5207" s="23" t="str">
        <f aca="false">IF(ISNUMBER(C5207),MONTH(C5207),"")</f>
        <v/>
      </c>
      <c r="X5207" s="23" t="str">
        <f aca="false">IF(T5207="","",IF(T5207=0,"No discount",IF(T5207&lt;=0.2,"Low (1-20%)",IF(T5207&lt;=0.4,"Medium (21-40%)","High (&gt;40%)"))))</f>
        <v/>
      </c>
      <c r="Y5207" s="23" t="str">
        <f aca="false">IF(AND(ISNUMBER(C5207),ISNUMBER(D5207)),D5207-C5207,"")</f>
        <v/>
      </c>
      <c r="Z5207" s="23" t="str">
        <f aca="false">IF(B5207="","",IF(MATCH(B5207,$B$2:$B$12000,0)=ROW()-1,1,0))</f>
        <v/>
      </c>
    </row>
    <row r="5208" customFormat="false" ht="15" hidden="false" customHeight="false" outlineLevel="0" collapsed="false">
      <c r="V5208" s="23" t="str">
        <f aca="false">IF(ISNUMBER(C5208),YEAR(C5208),"")</f>
        <v/>
      </c>
      <c r="W5208" s="23" t="str">
        <f aca="false">IF(ISNUMBER(C5208),MONTH(C5208),"")</f>
        <v/>
      </c>
      <c r="X5208" s="23" t="str">
        <f aca="false">IF(T5208="","",IF(T5208=0,"No discount",IF(T5208&lt;=0.2,"Low (1-20%)",IF(T5208&lt;=0.4,"Medium (21-40%)","High (&gt;40%)"))))</f>
        <v/>
      </c>
      <c r="Y5208" s="23" t="str">
        <f aca="false">IF(AND(ISNUMBER(C5208),ISNUMBER(D5208)),D5208-C5208,"")</f>
        <v/>
      </c>
      <c r="Z5208" s="23" t="str">
        <f aca="false">IF(B5208="","",IF(MATCH(B5208,$B$2:$B$12000,0)=ROW()-1,1,0))</f>
        <v/>
      </c>
    </row>
    <row r="5209" customFormat="false" ht="15" hidden="false" customHeight="false" outlineLevel="0" collapsed="false">
      <c r="V5209" s="23" t="str">
        <f aca="false">IF(ISNUMBER(C5209),YEAR(C5209),"")</f>
        <v/>
      </c>
      <c r="W5209" s="23" t="str">
        <f aca="false">IF(ISNUMBER(C5209),MONTH(C5209),"")</f>
        <v/>
      </c>
      <c r="X5209" s="23" t="str">
        <f aca="false">IF(T5209="","",IF(T5209=0,"No discount",IF(T5209&lt;=0.2,"Low (1-20%)",IF(T5209&lt;=0.4,"Medium (21-40%)","High (&gt;40%)"))))</f>
        <v/>
      </c>
      <c r="Y5209" s="23" t="str">
        <f aca="false">IF(AND(ISNUMBER(C5209),ISNUMBER(D5209)),D5209-C5209,"")</f>
        <v/>
      </c>
      <c r="Z5209" s="23" t="str">
        <f aca="false">IF(B5209="","",IF(MATCH(B5209,$B$2:$B$12000,0)=ROW()-1,1,0))</f>
        <v/>
      </c>
    </row>
    <row r="5210" customFormat="false" ht="15" hidden="false" customHeight="false" outlineLevel="0" collapsed="false">
      <c r="V5210" s="23" t="str">
        <f aca="false">IF(ISNUMBER(C5210),YEAR(C5210),"")</f>
        <v/>
      </c>
      <c r="W5210" s="23" t="str">
        <f aca="false">IF(ISNUMBER(C5210),MONTH(C5210),"")</f>
        <v/>
      </c>
      <c r="X5210" s="23" t="str">
        <f aca="false">IF(T5210="","",IF(T5210=0,"No discount",IF(T5210&lt;=0.2,"Low (1-20%)",IF(T5210&lt;=0.4,"Medium (21-40%)","High (&gt;40%)"))))</f>
        <v/>
      </c>
      <c r="Y5210" s="23" t="str">
        <f aca="false">IF(AND(ISNUMBER(C5210),ISNUMBER(D5210)),D5210-C5210,"")</f>
        <v/>
      </c>
      <c r="Z5210" s="23" t="str">
        <f aca="false">IF(B5210="","",IF(MATCH(B5210,$B$2:$B$12000,0)=ROW()-1,1,0))</f>
        <v/>
      </c>
    </row>
    <row r="5211" customFormat="false" ht="15" hidden="false" customHeight="false" outlineLevel="0" collapsed="false">
      <c r="V5211" s="23" t="str">
        <f aca="false">IF(ISNUMBER(C5211),YEAR(C5211),"")</f>
        <v/>
      </c>
      <c r="W5211" s="23" t="str">
        <f aca="false">IF(ISNUMBER(C5211),MONTH(C5211),"")</f>
        <v/>
      </c>
      <c r="X5211" s="23" t="str">
        <f aca="false">IF(T5211="","",IF(T5211=0,"No discount",IF(T5211&lt;=0.2,"Low (1-20%)",IF(T5211&lt;=0.4,"Medium (21-40%)","High (&gt;40%)"))))</f>
        <v/>
      </c>
      <c r="Y5211" s="23" t="str">
        <f aca="false">IF(AND(ISNUMBER(C5211),ISNUMBER(D5211)),D5211-C5211,"")</f>
        <v/>
      </c>
      <c r="Z5211" s="23" t="str">
        <f aca="false">IF(B5211="","",IF(MATCH(B5211,$B$2:$B$12000,0)=ROW()-1,1,0))</f>
        <v/>
      </c>
    </row>
    <row r="5212" customFormat="false" ht="15" hidden="false" customHeight="false" outlineLevel="0" collapsed="false">
      <c r="V5212" s="23" t="str">
        <f aca="false">IF(ISNUMBER(C5212),YEAR(C5212),"")</f>
        <v/>
      </c>
      <c r="W5212" s="23" t="str">
        <f aca="false">IF(ISNUMBER(C5212),MONTH(C5212),"")</f>
        <v/>
      </c>
      <c r="X5212" s="23" t="str">
        <f aca="false">IF(T5212="","",IF(T5212=0,"No discount",IF(T5212&lt;=0.2,"Low (1-20%)",IF(T5212&lt;=0.4,"Medium (21-40%)","High (&gt;40%)"))))</f>
        <v/>
      </c>
      <c r="Y5212" s="23" t="str">
        <f aca="false">IF(AND(ISNUMBER(C5212),ISNUMBER(D5212)),D5212-C5212,"")</f>
        <v/>
      </c>
      <c r="Z5212" s="23" t="str">
        <f aca="false">IF(B5212="","",IF(MATCH(B5212,$B$2:$B$12000,0)=ROW()-1,1,0))</f>
        <v/>
      </c>
    </row>
    <row r="5213" customFormat="false" ht="15" hidden="false" customHeight="false" outlineLevel="0" collapsed="false">
      <c r="V5213" s="23" t="str">
        <f aca="false">IF(ISNUMBER(C5213),YEAR(C5213),"")</f>
        <v/>
      </c>
      <c r="W5213" s="23" t="str">
        <f aca="false">IF(ISNUMBER(C5213),MONTH(C5213),"")</f>
        <v/>
      </c>
      <c r="X5213" s="23" t="str">
        <f aca="false">IF(T5213="","",IF(T5213=0,"No discount",IF(T5213&lt;=0.2,"Low (1-20%)",IF(T5213&lt;=0.4,"Medium (21-40%)","High (&gt;40%)"))))</f>
        <v/>
      </c>
      <c r="Y5213" s="23" t="str">
        <f aca="false">IF(AND(ISNUMBER(C5213),ISNUMBER(D5213)),D5213-C5213,"")</f>
        <v/>
      </c>
      <c r="Z5213" s="23" t="str">
        <f aca="false">IF(B5213="","",IF(MATCH(B5213,$B$2:$B$12000,0)=ROW()-1,1,0))</f>
        <v/>
      </c>
    </row>
    <row r="5214" customFormat="false" ht="15" hidden="false" customHeight="false" outlineLevel="0" collapsed="false">
      <c r="V5214" s="23" t="str">
        <f aca="false">IF(ISNUMBER(C5214),YEAR(C5214),"")</f>
        <v/>
      </c>
      <c r="W5214" s="23" t="str">
        <f aca="false">IF(ISNUMBER(C5214),MONTH(C5214),"")</f>
        <v/>
      </c>
      <c r="X5214" s="23" t="str">
        <f aca="false">IF(T5214="","",IF(T5214=0,"No discount",IF(T5214&lt;=0.2,"Low (1-20%)",IF(T5214&lt;=0.4,"Medium (21-40%)","High (&gt;40%)"))))</f>
        <v/>
      </c>
      <c r="Y5214" s="23" t="str">
        <f aca="false">IF(AND(ISNUMBER(C5214),ISNUMBER(D5214)),D5214-C5214,"")</f>
        <v/>
      </c>
      <c r="Z5214" s="23" t="str">
        <f aca="false">IF(B5214="","",IF(MATCH(B5214,$B$2:$B$12000,0)=ROW()-1,1,0))</f>
        <v/>
      </c>
    </row>
    <row r="5215" customFormat="false" ht="15" hidden="false" customHeight="false" outlineLevel="0" collapsed="false">
      <c r="V5215" s="23" t="str">
        <f aca="false">IF(ISNUMBER(C5215),YEAR(C5215),"")</f>
        <v/>
      </c>
      <c r="W5215" s="23" t="str">
        <f aca="false">IF(ISNUMBER(C5215),MONTH(C5215),"")</f>
        <v/>
      </c>
      <c r="X5215" s="23" t="str">
        <f aca="false">IF(T5215="","",IF(T5215=0,"No discount",IF(T5215&lt;=0.2,"Low (1-20%)",IF(T5215&lt;=0.4,"Medium (21-40%)","High (&gt;40%)"))))</f>
        <v/>
      </c>
      <c r="Y5215" s="23" t="str">
        <f aca="false">IF(AND(ISNUMBER(C5215),ISNUMBER(D5215)),D5215-C5215,"")</f>
        <v/>
      </c>
      <c r="Z5215" s="23" t="str">
        <f aca="false">IF(B5215="","",IF(MATCH(B5215,$B$2:$B$12000,0)=ROW()-1,1,0))</f>
        <v/>
      </c>
    </row>
    <row r="5216" customFormat="false" ht="15" hidden="false" customHeight="false" outlineLevel="0" collapsed="false">
      <c r="V5216" s="23" t="str">
        <f aca="false">IF(ISNUMBER(C5216),YEAR(C5216),"")</f>
        <v/>
      </c>
      <c r="W5216" s="23" t="str">
        <f aca="false">IF(ISNUMBER(C5216),MONTH(C5216),"")</f>
        <v/>
      </c>
      <c r="X5216" s="23" t="str">
        <f aca="false">IF(T5216="","",IF(T5216=0,"No discount",IF(T5216&lt;=0.2,"Low (1-20%)",IF(T5216&lt;=0.4,"Medium (21-40%)","High (&gt;40%)"))))</f>
        <v/>
      </c>
      <c r="Y5216" s="23" t="str">
        <f aca="false">IF(AND(ISNUMBER(C5216),ISNUMBER(D5216)),D5216-C5216,"")</f>
        <v/>
      </c>
      <c r="Z5216" s="23" t="str">
        <f aca="false">IF(B5216="","",IF(MATCH(B5216,$B$2:$B$12000,0)=ROW()-1,1,0))</f>
        <v/>
      </c>
    </row>
    <row r="5217" customFormat="false" ht="15" hidden="false" customHeight="false" outlineLevel="0" collapsed="false">
      <c r="V5217" s="23" t="str">
        <f aca="false">IF(ISNUMBER(C5217),YEAR(C5217),"")</f>
        <v/>
      </c>
      <c r="W5217" s="23" t="str">
        <f aca="false">IF(ISNUMBER(C5217),MONTH(C5217),"")</f>
        <v/>
      </c>
      <c r="X5217" s="23" t="str">
        <f aca="false">IF(T5217="","",IF(T5217=0,"No discount",IF(T5217&lt;=0.2,"Low (1-20%)",IF(T5217&lt;=0.4,"Medium (21-40%)","High (&gt;40%)"))))</f>
        <v/>
      </c>
      <c r="Y5217" s="23" t="str">
        <f aca="false">IF(AND(ISNUMBER(C5217),ISNUMBER(D5217)),D5217-C5217,"")</f>
        <v/>
      </c>
      <c r="Z5217" s="23" t="str">
        <f aca="false">IF(B5217="","",IF(MATCH(B5217,$B$2:$B$12000,0)=ROW()-1,1,0))</f>
        <v/>
      </c>
    </row>
    <row r="5218" customFormat="false" ht="15" hidden="false" customHeight="false" outlineLevel="0" collapsed="false">
      <c r="V5218" s="23" t="str">
        <f aca="false">IF(ISNUMBER(C5218),YEAR(C5218),"")</f>
        <v/>
      </c>
      <c r="W5218" s="23" t="str">
        <f aca="false">IF(ISNUMBER(C5218),MONTH(C5218),"")</f>
        <v/>
      </c>
      <c r="X5218" s="23" t="str">
        <f aca="false">IF(T5218="","",IF(T5218=0,"No discount",IF(T5218&lt;=0.2,"Low (1-20%)",IF(T5218&lt;=0.4,"Medium (21-40%)","High (&gt;40%)"))))</f>
        <v/>
      </c>
      <c r="Y5218" s="23" t="str">
        <f aca="false">IF(AND(ISNUMBER(C5218),ISNUMBER(D5218)),D5218-C5218,"")</f>
        <v/>
      </c>
      <c r="Z5218" s="23" t="str">
        <f aca="false">IF(B5218="","",IF(MATCH(B5218,$B$2:$B$12000,0)=ROW()-1,1,0))</f>
        <v/>
      </c>
    </row>
    <row r="5219" customFormat="false" ht="15" hidden="false" customHeight="false" outlineLevel="0" collapsed="false">
      <c r="V5219" s="23" t="str">
        <f aca="false">IF(ISNUMBER(C5219),YEAR(C5219),"")</f>
        <v/>
      </c>
      <c r="W5219" s="23" t="str">
        <f aca="false">IF(ISNUMBER(C5219),MONTH(C5219),"")</f>
        <v/>
      </c>
      <c r="X5219" s="23" t="str">
        <f aca="false">IF(T5219="","",IF(T5219=0,"No discount",IF(T5219&lt;=0.2,"Low (1-20%)",IF(T5219&lt;=0.4,"Medium (21-40%)","High (&gt;40%)"))))</f>
        <v/>
      </c>
      <c r="Y5219" s="23" t="str">
        <f aca="false">IF(AND(ISNUMBER(C5219),ISNUMBER(D5219)),D5219-C5219,"")</f>
        <v/>
      </c>
      <c r="Z5219" s="23" t="str">
        <f aca="false">IF(B5219="","",IF(MATCH(B5219,$B$2:$B$12000,0)=ROW()-1,1,0))</f>
        <v/>
      </c>
    </row>
    <row r="5220" customFormat="false" ht="15" hidden="false" customHeight="false" outlineLevel="0" collapsed="false">
      <c r="V5220" s="23" t="str">
        <f aca="false">IF(ISNUMBER(C5220),YEAR(C5220),"")</f>
        <v/>
      </c>
      <c r="W5220" s="23" t="str">
        <f aca="false">IF(ISNUMBER(C5220),MONTH(C5220),"")</f>
        <v/>
      </c>
      <c r="X5220" s="23" t="str">
        <f aca="false">IF(T5220="","",IF(T5220=0,"No discount",IF(T5220&lt;=0.2,"Low (1-20%)",IF(T5220&lt;=0.4,"Medium (21-40%)","High (&gt;40%)"))))</f>
        <v/>
      </c>
      <c r="Y5220" s="23" t="str">
        <f aca="false">IF(AND(ISNUMBER(C5220),ISNUMBER(D5220)),D5220-C5220,"")</f>
        <v/>
      </c>
      <c r="Z5220" s="23" t="str">
        <f aca="false">IF(B5220="","",IF(MATCH(B5220,$B$2:$B$12000,0)=ROW()-1,1,0))</f>
        <v/>
      </c>
    </row>
    <row r="5221" customFormat="false" ht="15" hidden="false" customHeight="false" outlineLevel="0" collapsed="false">
      <c r="V5221" s="23" t="str">
        <f aca="false">IF(ISNUMBER(C5221),YEAR(C5221),"")</f>
        <v/>
      </c>
      <c r="W5221" s="23" t="str">
        <f aca="false">IF(ISNUMBER(C5221),MONTH(C5221),"")</f>
        <v/>
      </c>
      <c r="X5221" s="23" t="str">
        <f aca="false">IF(T5221="","",IF(T5221=0,"No discount",IF(T5221&lt;=0.2,"Low (1-20%)",IF(T5221&lt;=0.4,"Medium (21-40%)","High (&gt;40%)"))))</f>
        <v/>
      </c>
      <c r="Y5221" s="23" t="str">
        <f aca="false">IF(AND(ISNUMBER(C5221),ISNUMBER(D5221)),D5221-C5221,"")</f>
        <v/>
      </c>
      <c r="Z5221" s="23" t="str">
        <f aca="false">IF(B5221="","",IF(MATCH(B5221,$B$2:$B$12000,0)=ROW()-1,1,0))</f>
        <v/>
      </c>
    </row>
    <row r="5222" customFormat="false" ht="15" hidden="false" customHeight="false" outlineLevel="0" collapsed="false">
      <c r="V5222" s="23" t="str">
        <f aca="false">IF(ISNUMBER(C5222),YEAR(C5222),"")</f>
        <v/>
      </c>
      <c r="W5222" s="23" t="str">
        <f aca="false">IF(ISNUMBER(C5222),MONTH(C5222),"")</f>
        <v/>
      </c>
      <c r="X5222" s="23" t="str">
        <f aca="false">IF(T5222="","",IF(T5222=0,"No discount",IF(T5222&lt;=0.2,"Low (1-20%)",IF(T5222&lt;=0.4,"Medium (21-40%)","High (&gt;40%)"))))</f>
        <v/>
      </c>
      <c r="Y5222" s="23" t="str">
        <f aca="false">IF(AND(ISNUMBER(C5222),ISNUMBER(D5222)),D5222-C5222,"")</f>
        <v/>
      </c>
      <c r="Z5222" s="23" t="str">
        <f aca="false">IF(B5222="","",IF(MATCH(B5222,$B$2:$B$12000,0)=ROW()-1,1,0))</f>
        <v/>
      </c>
    </row>
    <row r="5223" customFormat="false" ht="15" hidden="false" customHeight="false" outlineLevel="0" collapsed="false">
      <c r="V5223" s="23" t="str">
        <f aca="false">IF(ISNUMBER(C5223),YEAR(C5223),"")</f>
        <v/>
      </c>
      <c r="W5223" s="23" t="str">
        <f aca="false">IF(ISNUMBER(C5223),MONTH(C5223),"")</f>
        <v/>
      </c>
      <c r="X5223" s="23" t="str">
        <f aca="false">IF(T5223="","",IF(T5223=0,"No discount",IF(T5223&lt;=0.2,"Low (1-20%)",IF(T5223&lt;=0.4,"Medium (21-40%)","High (&gt;40%)"))))</f>
        <v/>
      </c>
      <c r="Y5223" s="23" t="str">
        <f aca="false">IF(AND(ISNUMBER(C5223),ISNUMBER(D5223)),D5223-C5223,"")</f>
        <v/>
      </c>
      <c r="Z5223" s="23" t="str">
        <f aca="false">IF(B5223="","",IF(MATCH(B5223,$B$2:$B$12000,0)=ROW()-1,1,0))</f>
        <v/>
      </c>
    </row>
    <row r="5224" customFormat="false" ht="15" hidden="false" customHeight="false" outlineLevel="0" collapsed="false">
      <c r="V5224" s="23" t="str">
        <f aca="false">IF(ISNUMBER(C5224),YEAR(C5224),"")</f>
        <v/>
      </c>
      <c r="W5224" s="23" t="str">
        <f aca="false">IF(ISNUMBER(C5224),MONTH(C5224),"")</f>
        <v/>
      </c>
      <c r="X5224" s="23" t="str">
        <f aca="false">IF(T5224="","",IF(T5224=0,"No discount",IF(T5224&lt;=0.2,"Low (1-20%)",IF(T5224&lt;=0.4,"Medium (21-40%)","High (&gt;40%)"))))</f>
        <v/>
      </c>
      <c r="Y5224" s="23" t="str">
        <f aca="false">IF(AND(ISNUMBER(C5224),ISNUMBER(D5224)),D5224-C5224,"")</f>
        <v/>
      </c>
      <c r="Z5224" s="23" t="str">
        <f aca="false">IF(B5224="","",IF(MATCH(B5224,$B$2:$B$12000,0)=ROW()-1,1,0))</f>
        <v/>
      </c>
    </row>
    <row r="5225" customFormat="false" ht="15" hidden="false" customHeight="false" outlineLevel="0" collapsed="false">
      <c r="V5225" s="23" t="str">
        <f aca="false">IF(ISNUMBER(C5225),YEAR(C5225),"")</f>
        <v/>
      </c>
      <c r="W5225" s="23" t="str">
        <f aca="false">IF(ISNUMBER(C5225),MONTH(C5225),"")</f>
        <v/>
      </c>
      <c r="X5225" s="23" t="str">
        <f aca="false">IF(T5225="","",IF(T5225=0,"No discount",IF(T5225&lt;=0.2,"Low (1-20%)",IF(T5225&lt;=0.4,"Medium (21-40%)","High (&gt;40%)"))))</f>
        <v/>
      </c>
      <c r="Y5225" s="23" t="str">
        <f aca="false">IF(AND(ISNUMBER(C5225),ISNUMBER(D5225)),D5225-C5225,"")</f>
        <v/>
      </c>
      <c r="Z5225" s="23" t="str">
        <f aca="false">IF(B5225="","",IF(MATCH(B5225,$B$2:$B$12000,0)=ROW()-1,1,0))</f>
        <v/>
      </c>
    </row>
    <row r="5226" customFormat="false" ht="15" hidden="false" customHeight="false" outlineLevel="0" collapsed="false">
      <c r="V5226" s="23" t="str">
        <f aca="false">IF(ISNUMBER(C5226),YEAR(C5226),"")</f>
        <v/>
      </c>
      <c r="W5226" s="23" t="str">
        <f aca="false">IF(ISNUMBER(C5226),MONTH(C5226),"")</f>
        <v/>
      </c>
      <c r="X5226" s="23" t="str">
        <f aca="false">IF(T5226="","",IF(T5226=0,"No discount",IF(T5226&lt;=0.2,"Low (1-20%)",IF(T5226&lt;=0.4,"Medium (21-40%)","High (&gt;40%)"))))</f>
        <v/>
      </c>
      <c r="Y5226" s="23" t="str">
        <f aca="false">IF(AND(ISNUMBER(C5226),ISNUMBER(D5226)),D5226-C5226,"")</f>
        <v/>
      </c>
      <c r="Z5226" s="23" t="str">
        <f aca="false">IF(B5226="","",IF(MATCH(B5226,$B$2:$B$12000,0)=ROW()-1,1,0))</f>
        <v/>
      </c>
    </row>
    <row r="5227" customFormat="false" ht="15" hidden="false" customHeight="false" outlineLevel="0" collapsed="false">
      <c r="V5227" s="23" t="str">
        <f aca="false">IF(ISNUMBER(C5227),YEAR(C5227),"")</f>
        <v/>
      </c>
      <c r="W5227" s="23" t="str">
        <f aca="false">IF(ISNUMBER(C5227),MONTH(C5227),"")</f>
        <v/>
      </c>
      <c r="X5227" s="23" t="str">
        <f aca="false">IF(T5227="","",IF(T5227=0,"No discount",IF(T5227&lt;=0.2,"Low (1-20%)",IF(T5227&lt;=0.4,"Medium (21-40%)","High (&gt;40%)"))))</f>
        <v/>
      </c>
      <c r="Y5227" s="23" t="str">
        <f aca="false">IF(AND(ISNUMBER(C5227),ISNUMBER(D5227)),D5227-C5227,"")</f>
        <v/>
      </c>
      <c r="Z5227" s="23" t="str">
        <f aca="false">IF(B5227="","",IF(MATCH(B5227,$B$2:$B$12000,0)=ROW()-1,1,0))</f>
        <v/>
      </c>
    </row>
    <row r="5228" customFormat="false" ht="15" hidden="false" customHeight="false" outlineLevel="0" collapsed="false">
      <c r="V5228" s="23" t="str">
        <f aca="false">IF(ISNUMBER(C5228),YEAR(C5228),"")</f>
        <v/>
      </c>
      <c r="W5228" s="23" t="str">
        <f aca="false">IF(ISNUMBER(C5228),MONTH(C5228),"")</f>
        <v/>
      </c>
      <c r="X5228" s="23" t="str">
        <f aca="false">IF(T5228="","",IF(T5228=0,"No discount",IF(T5228&lt;=0.2,"Low (1-20%)",IF(T5228&lt;=0.4,"Medium (21-40%)","High (&gt;40%)"))))</f>
        <v/>
      </c>
      <c r="Y5228" s="23" t="str">
        <f aca="false">IF(AND(ISNUMBER(C5228),ISNUMBER(D5228)),D5228-C5228,"")</f>
        <v/>
      </c>
      <c r="Z5228" s="23" t="str">
        <f aca="false">IF(B5228="","",IF(MATCH(B5228,$B$2:$B$12000,0)=ROW()-1,1,0))</f>
        <v/>
      </c>
    </row>
    <row r="5229" customFormat="false" ht="15" hidden="false" customHeight="false" outlineLevel="0" collapsed="false">
      <c r="V5229" s="23" t="str">
        <f aca="false">IF(ISNUMBER(C5229),YEAR(C5229),"")</f>
        <v/>
      </c>
      <c r="W5229" s="23" t="str">
        <f aca="false">IF(ISNUMBER(C5229),MONTH(C5229),"")</f>
        <v/>
      </c>
      <c r="X5229" s="23" t="str">
        <f aca="false">IF(T5229="","",IF(T5229=0,"No discount",IF(T5229&lt;=0.2,"Low (1-20%)",IF(T5229&lt;=0.4,"Medium (21-40%)","High (&gt;40%)"))))</f>
        <v/>
      </c>
      <c r="Y5229" s="23" t="str">
        <f aca="false">IF(AND(ISNUMBER(C5229),ISNUMBER(D5229)),D5229-C5229,"")</f>
        <v/>
      </c>
      <c r="Z5229" s="23" t="str">
        <f aca="false">IF(B5229="","",IF(MATCH(B5229,$B$2:$B$12000,0)=ROW()-1,1,0))</f>
        <v/>
      </c>
    </row>
    <row r="5230" customFormat="false" ht="15" hidden="false" customHeight="false" outlineLevel="0" collapsed="false">
      <c r="V5230" s="23" t="str">
        <f aca="false">IF(ISNUMBER(C5230),YEAR(C5230),"")</f>
        <v/>
      </c>
      <c r="W5230" s="23" t="str">
        <f aca="false">IF(ISNUMBER(C5230),MONTH(C5230),"")</f>
        <v/>
      </c>
      <c r="X5230" s="23" t="str">
        <f aca="false">IF(T5230="","",IF(T5230=0,"No discount",IF(T5230&lt;=0.2,"Low (1-20%)",IF(T5230&lt;=0.4,"Medium (21-40%)","High (&gt;40%)"))))</f>
        <v/>
      </c>
      <c r="Y5230" s="23" t="str">
        <f aca="false">IF(AND(ISNUMBER(C5230),ISNUMBER(D5230)),D5230-C5230,"")</f>
        <v/>
      </c>
      <c r="Z5230" s="23" t="str">
        <f aca="false">IF(B5230="","",IF(MATCH(B5230,$B$2:$B$12000,0)=ROW()-1,1,0))</f>
        <v/>
      </c>
    </row>
    <row r="5231" customFormat="false" ht="15" hidden="false" customHeight="false" outlineLevel="0" collapsed="false">
      <c r="V5231" s="23" t="str">
        <f aca="false">IF(ISNUMBER(C5231),YEAR(C5231),"")</f>
        <v/>
      </c>
      <c r="W5231" s="23" t="str">
        <f aca="false">IF(ISNUMBER(C5231),MONTH(C5231),"")</f>
        <v/>
      </c>
      <c r="X5231" s="23" t="str">
        <f aca="false">IF(T5231="","",IF(T5231=0,"No discount",IF(T5231&lt;=0.2,"Low (1-20%)",IF(T5231&lt;=0.4,"Medium (21-40%)","High (&gt;40%)"))))</f>
        <v/>
      </c>
      <c r="Y5231" s="23" t="str">
        <f aca="false">IF(AND(ISNUMBER(C5231),ISNUMBER(D5231)),D5231-C5231,"")</f>
        <v/>
      </c>
      <c r="Z5231" s="23" t="str">
        <f aca="false">IF(B5231="","",IF(MATCH(B5231,$B$2:$B$12000,0)=ROW()-1,1,0))</f>
        <v/>
      </c>
    </row>
    <row r="5232" customFormat="false" ht="15" hidden="false" customHeight="false" outlineLevel="0" collapsed="false">
      <c r="V5232" s="23" t="str">
        <f aca="false">IF(ISNUMBER(C5232),YEAR(C5232),"")</f>
        <v/>
      </c>
      <c r="W5232" s="23" t="str">
        <f aca="false">IF(ISNUMBER(C5232),MONTH(C5232),"")</f>
        <v/>
      </c>
      <c r="X5232" s="23" t="str">
        <f aca="false">IF(T5232="","",IF(T5232=0,"No discount",IF(T5232&lt;=0.2,"Low (1-20%)",IF(T5232&lt;=0.4,"Medium (21-40%)","High (&gt;40%)"))))</f>
        <v/>
      </c>
      <c r="Y5232" s="23" t="str">
        <f aca="false">IF(AND(ISNUMBER(C5232),ISNUMBER(D5232)),D5232-C5232,"")</f>
        <v/>
      </c>
      <c r="Z5232" s="23" t="str">
        <f aca="false">IF(B5232="","",IF(MATCH(B5232,$B$2:$B$12000,0)=ROW()-1,1,0))</f>
        <v/>
      </c>
    </row>
    <row r="5233" customFormat="false" ht="15" hidden="false" customHeight="false" outlineLevel="0" collapsed="false">
      <c r="V5233" s="23" t="str">
        <f aca="false">IF(ISNUMBER(C5233),YEAR(C5233),"")</f>
        <v/>
      </c>
      <c r="W5233" s="23" t="str">
        <f aca="false">IF(ISNUMBER(C5233),MONTH(C5233),"")</f>
        <v/>
      </c>
      <c r="X5233" s="23" t="str">
        <f aca="false">IF(T5233="","",IF(T5233=0,"No discount",IF(T5233&lt;=0.2,"Low (1-20%)",IF(T5233&lt;=0.4,"Medium (21-40%)","High (&gt;40%)"))))</f>
        <v/>
      </c>
      <c r="Y5233" s="23" t="str">
        <f aca="false">IF(AND(ISNUMBER(C5233),ISNUMBER(D5233)),D5233-C5233,"")</f>
        <v/>
      </c>
      <c r="Z5233" s="23" t="str">
        <f aca="false">IF(B5233="","",IF(MATCH(B5233,$B$2:$B$12000,0)=ROW()-1,1,0))</f>
        <v/>
      </c>
    </row>
    <row r="5234" customFormat="false" ht="15" hidden="false" customHeight="false" outlineLevel="0" collapsed="false">
      <c r="V5234" s="23" t="str">
        <f aca="false">IF(ISNUMBER(C5234),YEAR(C5234),"")</f>
        <v/>
      </c>
      <c r="W5234" s="23" t="str">
        <f aca="false">IF(ISNUMBER(C5234),MONTH(C5234),"")</f>
        <v/>
      </c>
      <c r="X5234" s="23" t="str">
        <f aca="false">IF(T5234="","",IF(T5234=0,"No discount",IF(T5234&lt;=0.2,"Low (1-20%)",IF(T5234&lt;=0.4,"Medium (21-40%)","High (&gt;40%)"))))</f>
        <v/>
      </c>
      <c r="Y5234" s="23" t="str">
        <f aca="false">IF(AND(ISNUMBER(C5234),ISNUMBER(D5234)),D5234-C5234,"")</f>
        <v/>
      </c>
      <c r="Z5234" s="23" t="str">
        <f aca="false">IF(B5234="","",IF(MATCH(B5234,$B$2:$B$12000,0)=ROW()-1,1,0))</f>
        <v/>
      </c>
    </row>
    <row r="5235" customFormat="false" ht="15" hidden="false" customHeight="false" outlineLevel="0" collapsed="false">
      <c r="V5235" s="23" t="str">
        <f aca="false">IF(ISNUMBER(C5235),YEAR(C5235),"")</f>
        <v/>
      </c>
      <c r="W5235" s="23" t="str">
        <f aca="false">IF(ISNUMBER(C5235),MONTH(C5235),"")</f>
        <v/>
      </c>
      <c r="X5235" s="23" t="str">
        <f aca="false">IF(T5235="","",IF(T5235=0,"No discount",IF(T5235&lt;=0.2,"Low (1-20%)",IF(T5235&lt;=0.4,"Medium (21-40%)","High (&gt;40%)"))))</f>
        <v/>
      </c>
      <c r="Y5235" s="23" t="str">
        <f aca="false">IF(AND(ISNUMBER(C5235),ISNUMBER(D5235)),D5235-C5235,"")</f>
        <v/>
      </c>
      <c r="Z5235" s="23" t="str">
        <f aca="false">IF(B5235="","",IF(MATCH(B5235,$B$2:$B$12000,0)=ROW()-1,1,0))</f>
        <v/>
      </c>
    </row>
    <row r="5236" customFormat="false" ht="15" hidden="false" customHeight="false" outlineLevel="0" collapsed="false">
      <c r="V5236" s="23" t="str">
        <f aca="false">IF(ISNUMBER(C5236),YEAR(C5236),"")</f>
        <v/>
      </c>
      <c r="W5236" s="23" t="str">
        <f aca="false">IF(ISNUMBER(C5236),MONTH(C5236),"")</f>
        <v/>
      </c>
      <c r="X5236" s="23" t="str">
        <f aca="false">IF(T5236="","",IF(T5236=0,"No discount",IF(T5236&lt;=0.2,"Low (1-20%)",IF(T5236&lt;=0.4,"Medium (21-40%)","High (&gt;40%)"))))</f>
        <v/>
      </c>
      <c r="Y5236" s="23" t="str">
        <f aca="false">IF(AND(ISNUMBER(C5236),ISNUMBER(D5236)),D5236-C5236,"")</f>
        <v/>
      </c>
      <c r="Z5236" s="23" t="str">
        <f aca="false">IF(B5236="","",IF(MATCH(B5236,$B$2:$B$12000,0)=ROW()-1,1,0))</f>
        <v/>
      </c>
    </row>
    <row r="5237" customFormat="false" ht="15" hidden="false" customHeight="false" outlineLevel="0" collapsed="false">
      <c r="V5237" s="23" t="str">
        <f aca="false">IF(ISNUMBER(C5237),YEAR(C5237),"")</f>
        <v/>
      </c>
      <c r="W5237" s="23" t="str">
        <f aca="false">IF(ISNUMBER(C5237),MONTH(C5237),"")</f>
        <v/>
      </c>
      <c r="X5237" s="23" t="str">
        <f aca="false">IF(T5237="","",IF(T5237=0,"No discount",IF(T5237&lt;=0.2,"Low (1-20%)",IF(T5237&lt;=0.4,"Medium (21-40%)","High (&gt;40%)"))))</f>
        <v/>
      </c>
      <c r="Y5237" s="23" t="str">
        <f aca="false">IF(AND(ISNUMBER(C5237),ISNUMBER(D5237)),D5237-C5237,"")</f>
        <v/>
      </c>
      <c r="Z5237" s="23" t="str">
        <f aca="false">IF(B5237="","",IF(MATCH(B5237,$B$2:$B$12000,0)=ROW()-1,1,0))</f>
        <v/>
      </c>
    </row>
    <row r="5238" customFormat="false" ht="15" hidden="false" customHeight="false" outlineLevel="0" collapsed="false">
      <c r="V5238" s="23" t="str">
        <f aca="false">IF(ISNUMBER(C5238),YEAR(C5238),"")</f>
        <v/>
      </c>
      <c r="W5238" s="23" t="str">
        <f aca="false">IF(ISNUMBER(C5238),MONTH(C5238),"")</f>
        <v/>
      </c>
      <c r="X5238" s="23" t="str">
        <f aca="false">IF(T5238="","",IF(T5238=0,"No discount",IF(T5238&lt;=0.2,"Low (1-20%)",IF(T5238&lt;=0.4,"Medium (21-40%)","High (&gt;40%)"))))</f>
        <v/>
      </c>
      <c r="Y5238" s="23" t="str">
        <f aca="false">IF(AND(ISNUMBER(C5238),ISNUMBER(D5238)),D5238-C5238,"")</f>
        <v/>
      </c>
      <c r="Z5238" s="23" t="str">
        <f aca="false">IF(B5238="","",IF(MATCH(B5238,$B$2:$B$12000,0)=ROW()-1,1,0))</f>
        <v/>
      </c>
    </row>
    <row r="5239" customFormat="false" ht="15" hidden="false" customHeight="false" outlineLevel="0" collapsed="false">
      <c r="V5239" s="23" t="str">
        <f aca="false">IF(ISNUMBER(C5239),YEAR(C5239),"")</f>
        <v/>
      </c>
      <c r="W5239" s="23" t="str">
        <f aca="false">IF(ISNUMBER(C5239),MONTH(C5239),"")</f>
        <v/>
      </c>
      <c r="X5239" s="23" t="str">
        <f aca="false">IF(T5239="","",IF(T5239=0,"No discount",IF(T5239&lt;=0.2,"Low (1-20%)",IF(T5239&lt;=0.4,"Medium (21-40%)","High (&gt;40%)"))))</f>
        <v/>
      </c>
      <c r="Y5239" s="23" t="str">
        <f aca="false">IF(AND(ISNUMBER(C5239),ISNUMBER(D5239)),D5239-C5239,"")</f>
        <v/>
      </c>
      <c r="Z5239" s="23" t="str">
        <f aca="false">IF(B5239="","",IF(MATCH(B5239,$B$2:$B$12000,0)=ROW()-1,1,0))</f>
        <v/>
      </c>
    </row>
    <row r="5240" customFormat="false" ht="15" hidden="false" customHeight="false" outlineLevel="0" collapsed="false">
      <c r="V5240" s="23" t="str">
        <f aca="false">IF(ISNUMBER(C5240),YEAR(C5240),"")</f>
        <v/>
      </c>
      <c r="W5240" s="23" t="str">
        <f aca="false">IF(ISNUMBER(C5240),MONTH(C5240),"")</f>
        <v/>
      </c>
      <c r="X5240" s="23" t="str">
        <f aca="false">IF(T5240="","",IF(T5240=0,"No discount",IF(T5240&lt;=0.2,"Low (1-20%)",IF(T5240&lt;=0.4,"Medium (21-40%)","High (&gt;40%)"))))</f>
        <v/>
      </c>
      <c r="Y5240" s="23" t="str">
        <f aca="false">IF(AND(ISNUMBER(C5240),ISNUMBER(D5240)),D5240-C5240,"")</f>
        <v/>
      </c>
      <c r="Z5240" s="23" t="str">
        <f aca="false">IF(B5240="","",IF(MATCH(B5240,$B$2:$B$12000,0)=ROW()-1,1,0))</f>
        <v/>
      </c>
    </row>
    <row r="5241" customFormat="false" ht="15" hidden="false" customHeight="false" outlineLevel="0" collapsed="false">
      <c r="V5241" s="23" t="str">
        <f aca="false">IF(ISNUMBER(C5241),YEAR(C5241),"")</f>
        <v/>
      </c>
      <c r="W5241" s="23" t="str">
        <f aca="false">IF(ISNUMBER(C5241),MONTH(C5241),"")</f>
        <v/>
      </c>
      <c r="X5241" s="23" t="str">
        <f aca="false">IF(T5241="","",IF(T5241=0,"No discount",IF(T5241&lt;=0.2,"Low (1-20%)",IF(T5241&lt;=0.4,"Medium (21-40%)","High (&gt;40%)"))))</f>
        <v/>
      </c>
      <c r="Y5241" s="23" t="str">
        <f aca="false">IF(AND(ISNUMBER(C5241),ISNUMBER(D5241)),D5241-C5241,"")</f>
        <v/>
      </c>
      <c r="Z5241" s="23" t="str">
        <f aca="false">IF(B5241="","",IF(MATCH(B5241,$B$2:$B$12000,0)=ROW()-1,1,0))</f>
        <v/>
      </c>
    </row>
    <row r="5242" customFormat="false" ht="15" hidden="false" customHeight="false" outlineLevel="0" collapsed="false">
      <c r="V5242" s="23" t="str">
        <f aca="false">IF(ISNUMBER(C5242),YEAR(C5242),"")</f>
        <v/>
      </c>
      <c r="W5242" s="23" t="str">
        <f aca="false">IF(ISNUMBER(C5242),MONTH(C5242),"")</f>
        <v/>
      </c>
      <c r="X5242" s="23" t="str">
        <f aca="false">IF(T5242="","",IF(T5242=0,"No discount",IF(T5242&lt;=0.2,"Low (1-20%)",IF(T5242&lt;=0.4,"Medium (21-40%)","High (&gt;40%)"))))</f>
        <v/>
      </c>
      <c r="Y5242" s="23" t="str">
        <f aca="false">IF(AND(ISNUMBER(C5242),ISNUMBER(D5242)),D5242-C5242,"")</f>
        <v/>
      </c>
      <c r="Z5242" s="23" t="str">
        <f aca="false">IF(B5242="","",IF(MATCH(B5242,$B$2:$B$12000,0)=ROW()-1,1,0))</f>
        <v/>
      </c>
    </row>
    <row r="5243" customFormat="false" ht="15" hidden="false" customHeight="false" outlineLevel="0" collapsed="false">
      <c r="V5243" s="23" t="str">
        <f aca="false">IF(ISNUMBER(C5243),YEAR(C5243),"")</f>
        <v/>
      </c>
      <c r="W5243" s="23" t="str">
        <f aca="false">IF(ISNUMBER(C5243),MONTH(C5243),"")</f>
        <v/>
      </c>
      <c r="X5243" s="23" t="str">
        <f aca="false">IF(T5243="","",IF(T5243=0,"No discount",IF(T5243&lt;=0.2,"Low (1-20%)",IF(T5243&lt;=0.4,"Medium (21-40%)","High (&gt;40%)"))))</f>
        <v/>
      </c>
      <c r="Y5243" s="23" t="str">
        <f aca="false">IF(AND(ISNUMBER(C5243),ISNUMBER(D5243)),D5243-C5243,"")</f>
        <v/>
      </c>
      <c r="Z5243" s="23" t="str">
        <f aca="false">IF(B5243="","",IF(MATCH(B5243,$B$2:$B$12000,0)=ROW()-1,1,0))</f>
        <v/>
      </c>
    </row>
    <row r="5244" customFormat="false" ht="15" hidden="false" customHeight="false" outlineLevel="0" collapsed="false">
      <c r="V5244" s="23" t="str">
        <f aca="false">IF(ISNUMBER(C5244),YEAR(C5244),"")</f>
        <v/>
      </c>
      <c r="W5244" s="23" t="str">
        <f aca="false">IF(ISNUMBER(C5244),MONTH(C5244),"")</f>
        <v/>
      </c>
      <c r="X5244" s="23" t="str">
        <f aca="false">IF(T5244="","",IF(T5244=0,"No discount",IF(T5244&lt;=0.2,"Low (1-20%)",IF(T5244&lt;=0.4,"Medium (21-40%)","High (&gt;40%)"))))</f>
        <v/>
      </c>
      <c r="Y5244" s="23" t="str">
        <f aca="false">IF(AND(ISNUMBER(C5244),ISNUMBER(D5244)),D5244-C5244,"")</f>
        <v/>
      </c>
      <c r="Z5244" s="23" t="str">
        <f aca="false">IF(B5244="","",IF(MATCH(B5244,$B$2:$B$12000,0)=ROW()-1,1,0))</f>
        <v/>
      </c>
    </row>
    <row r="5245" customFormat="false" ht="15" hidden="false" customHeight="false" outlineLevel="0" collapsed="false">
      <c r="V5245" s="23" t="str">
        <f aca="false">IF(ISNUMBER(C5245),YEAR(C5245),"")</f>
        <v/>
      </c>
      <c r="W5245" s="23" t="str">
        <f aca="false">IF(ISNUMBER(C5245),MONTH(C5245),"")</f>
        <v/>
      </c>
      <c r="X5245" s="23" t="str">
        <f aca="false">IF(T5245="","",IF(T5245=0,"No discount",IF(T5245&lt;=0.2,"Low (1-20%)",IF(T5245&lt;=0.4,"Medium (21-40%)","High (&gt;40%)"))))</f>
        <v/>
      </c>
      <c r="Y5245" s="23" t="str">
        <f aca="false">IF(AND(ISNUMBER(C5245),ISNUMBER(D5245)),D5245-C5245,"")</f>
        <v/>
      </c>
      <c r="Z5245" s="23" t="str">
        <f aca="false">IF(B5245="","",IF(MATCH(B5245,$B$2:$B$12000,0)=ROW()-1,1,0))</f>
        <v/>
      </c>
    </row>
    <row r="5246" customFormat="false" ht="15" hidden="false" customHeight="false" outlineLevel="0" collapsed="false">
      <c r="V5246" s="23" t="str">
        <f aca="false">IF(ISNUMBER(C5246),YEAR(C5246),"")</f>
        <v/>
      </c>
      <c r="W5246" s="23" t="str">
        <f aca="false">IF(ISNUMBER(C5246),MONTH(C5246),"")</f>
        <v/>
      </c>
      <c r="X5246" s="23" t="str">
        <f aca="false">IF(T5246="","",IF(T5246=0,"No discount",IF(T5246&lt;=0.2,"Low (1-20%)",IF(T5246&lt;=0.4,"Medium (21-40%)","High (&gt;40%)"))))</f>
        <v/>
      </c>
      <c r="Y5246" s="23" t="str">
        <f aca="false">IF(AND(ISNUMBER(C5246),ISNUMBER(D5246)),D5246-C5246,"")</f>
        <v/>
      </c>
      <c r="Z5246" s="23" t="str">
        <f aca="false">IF(B5246="","",IF(MATCH(B5246,$B$2:$B$12000,0)=ROW()-1,1,0))</f>
        <v/>
      </c>
    </row>
    <row r="5247" customFormat="false" ht="15" hidden="false" customHeight="false" outlineLevel="0" collapsed="false">
      <c r="V5247" s="23" t="str">
        <f aca="false">IF(ISNUMBER(C5247),YEAR(C5247),"")</f>
        <v/>
      </c>
      <c r="W5247" s="23" t="str">
        <f aca="false">IF(ISNUMBER(C5247),MONTH(C5247),"")</f>
        <v/>
      </c>
      <c r="X5247" s="23" t="str">
        <f aca="false">IF(T5247="","",IF(T5247=0,"No discount",IF(T5247&lt;=0.2,"Low (1-20%)",IF(T5247&lt;=0.4,"Medium (21-40%)","High (&gt;40%)"))))</f>
        <v/>
      </c>
      <c r="Y5247" s="23" t="str">
        <f aca="false">IF(AND(ISNUMBER(C5247),ISNUMBER(D5247)),D5247-C5247,"")</f>
        <v/>
      </c>
      <c r="Z5247" s="23" t="str">
        <f aca="false">IF(B5247="","",IF(MATCH(B5247,$B$2:$B$12000,0)=ROW()-1,1,0))</f>
        <v/>
      </c>
    </row>
    <row r="5248" customFormat="false" ht="15" hidden="false" customHeight="false" outlineLevel="0" collapsed="false">
      <c r="V5248" s="23" t="str">
        <f aca="false">IF(ISNUMBER(C5248),YEAR(C5248),"")</f>
        <v/>
      </c>
      <c r="W5248" s="23" t="str">
        <f aca="false">IF(ISNUMBER(C5248),MONTH(C5248),"")</f>
        <v/>
      </c>
      <c r="X5248" s="23" t="str">
        <f aca="false">IF(T5248="","",IF(T5248=0,"No discount",IF(T5248&lt;=0.2,"Low (1-20%)",IF(T5248&lt;=0.4,"Medium (21-40%)","High (&gt;40%)"))))</f>
        <v/>
      </c>
      <c r="Y5248" s="23" t="str">
        <f aca="false">IF(AND(ISNUMBER(C5248),ISNUMBER(D5248)),D5248-C5248,"")</f>
        <v/>
      </c>
      <c r="Z5248" s="23" t="str">
        <f aca="false">IF(B5248="","",IF(MATCH(B5248,$B$2:$B$12000,0)=ROW()-1,1,0))</f>
        <v/>
      </c>
    </row>
    <row r="5249" customFormat="false" ht="15" hidden="false" customHeight="false" outlineLevel="0" collapsed="false">
      <c r="V5249" s="23" t="str">
        <f aca="false">IF(ISNUMBER(C5249),YEAR(C5249),"")</f>
        <v/>
      </c>
      <c r="W5249" s="23" t="str">
        <f aca="false">IF(ISNUMBER(C5249),MONTH(C5249),"")</f>
        <v/>
      </c>
      <c r="X5249" s="23" t="str">
        <f aca="false">IF(T5249="","",IF(T5249=0,"No discount",IF(T5249&lt;=0.2,"Low (1-20%)",IF(T5249&lt;=0.4,"Medium (21-40%)","High (&gt;40%)"))))</f>
        <v/>
      </c>
      <c r="Y5249" s="23" t="str">
        <f aca="false">IF(AND(ISNUMBER(C5249),ISNUMBER(D5249)),D5249-C5249,"")</f>
        <v/>
      </c>
      <c r="Z5249" s="23" t="str">
        <f aca="false">IF(B5249="","",IF(MATCH(B5249,$B$2:$B$12000,0)=ROW()-1,1,0))</f>
        <v/>
      </c>
    </row>
    <row r="5250" customFormat="false" ht="15" hidden="false" customHeight="false" outlineLevel="0" collapsed="false">
      <c r="V5250" s="23" t="str">
        <f aca="false">IF(ISNUMBER(C5250),YEAR(C5250),"")</f>
        <v/>
      </c>
      <c r="W5250" s="23" t="str">
        <f aca="false">IF(ISNUMBER(C5250),MONTH(C5250),"")</f>
        <v/>
      </c>
      <c r="X5250" s="23" t="str">
        <f aca="false">IF(T5250="","",IF(T5250=0,"No discount",IF(T5250&lt;=0.2,"Low (1-20%)",IF(T5250&lt;=0.4,"Medium (21-40%)","High (&gt;40%)"))))</f>
        <v/>
      </c>
      <c r="Y5250" s="23" t="str">
        <f aca="false">IF(AND(ISNUMBER(C5250),ISNUMBER(D5250)),D5250-C5250,"")</f>
        <v/>
      </c>
      <c r="Z5250" s="23" t="str">
        <f aca="false">IF(B5250="","",IF(MATCH(B5250,$B$2:$B$12000,0)=ROW()-1,1,0))</f>
        <v/>
      </c>
    </row>
    <row r="5251" customFormat="false" ht="15" hidden="false" customHeight="false" outlineLevel="0" collapsed="false">
      <c r="V5251" s="23" t="str">
        <f aca="false">IF(ISNUMBER(C5251),YEAR(C5251),"")</f>
        <v/>
      </c>
      <c r="W5251" s="23" t="str">
        <f aca="false">IF(ISNUMBER(C5251),MONTH(C5251),"")</f>
        <v/>
      </c>
      <c r="X5251" s="23" t="str">
        <f aca="false">IF(T5251="","",IF(T5251=0,"No discount",IF(T5251&lt;=0.2,"Low (1-20%)",IF(T5251&lt;=0.4,"Medium (21-40%)","High (&gt;40%)"))))</f>
        <v/>
      </c>
      <c r="Y5251" s="23" t="str">
        <f aca="false">IF(AND(ISNUMBER(C5251),ISNUMBER(D5251)),D5251-C5251,"")</f>
        <v/>
      </c>
      <c r="Z5251" s="23" t="str">
        <f aca="false">IF(B5251="","",IF(MATCH(B5251,$B$2:$B$12000,0)=ROW()-1,1,0))</f>
        <v/>
      </c>
    </row>
    <row r="5252" customFormat="false" ht="15" hidden="false" customHeight="false" outlineLevel="0" collapsed="false">
      <c r="V5252" s="23" t="str">
        <f aca="false">IF(ISNUMBER(C5252),YEAR(C5252),"")</f>
        <v/>
      </c>
      <c r="W5252" s="23" t="str">
        <f aca="false">IF(ISNUMBER(C5252),MONTH(C5252),"")</f>
        <v/>
      </c>
      <c r="X5252" s="23" t="str">
        <f aca="false">IF(T5252="","",IF(T5252=0,"No discount",IF(T5252&lt;=0.2,"Low (1-20%)",IF(T5252&lt;=0.4,"Medium (21-40%)","High (&gt;40%)"))))</f>
        <v/>
      </c>
      <c r="Y5252" s="23" t="str">
        <f aca="false">IF(AND(ISNUMBER(C5252),ISNUMBER(D5252)),D5252-C5252,"")</f>
        <v/>
      </c>
      <c r="Z5252" s="23" t="str">
        <f aca="false">IF(B5252="","",IF(MATCH(B5252,$B$2:$B$12000,0)=ROW()-1,1,0))</f>
        <v/>
      </c>
    </row>
    <row r="5253" customFormat="false" ht="15" hidden="false" customHeight="false" outlineLevel="0" collapsed="false">
      <c r="V5253" s="23" t="str">
        <f aca="false">IF(ISNUMBER(C5253),YEAR(C5253),"")</f>
        <v/>
      </c>
      <c r="W5253" s="23" t="str">
        <f aca="false">IF(ISNUMBER(C5253),MONTH(C5253),"")</f>
        <v/>
      </c>
      <c r="X5253" s="23" t="str">
        <f aca="false">IF(T5253="","",IF(T5253=0,"No discount",IF(T5253&lt;=0.2,"Low (1-20%)",IF(T5253&lt;=0.4,"Medium (21-40%)","High (&gt;40%)"))))</f>
        <v/>
      </c>
      <c r="Y5253" s="23" t="str">
        <f aca="false">IF(AND(ISNUMBER(C5253),ISNUMBER(D5253)),D5253-C5253,"")</f>
        <v/>
      </c>
      <c r="Z5253" s="23" t="str">
        <f aca="false">IF(B5253="","",IF(MATCH(B5253,$B$2:$B$12000,0)=ROW()-1,1,0))</f>
        <v/>
      </c>
    </row>
    <row r="5254" customFormat="false" ht="15" hidden="false" customHeight="false" outlineLevel="0" collapsed="false">
      <c r="V5254" s="23" t="str">
        <f aca="false">IF(ISNUMBER(C5254),YEAR(C5254),"")</f>
        <v/>
      </c>
      <c r="W5254" s="23" t="str">
        <f aca="false">IF(ISNUMBER(C5254),MONTH(C5254),"")</f>
        <v/>
      </c>
      <c r="X5254" s="23" t="str">
        <f aca="false">IF(T5254="","",IF(T5254=0,"No discount",IF(T5254&lt;=0.2,"Low (1-20%)",IF(T5254&lt;=0.4,"Medium (21-40%)","High (&gt;40%)"))))</f>
        <v/>
      </c>
      <c r="Y5254" s="23" t="str">
        <f aca="false">IF(AND(ISNUMBER(C5254),ISNUMBER(D5254)),D5254-C5254,"")</f>
        <v/>
      </c>
      <c r="Z5254" s="23" t="str">
        <f aca="false">IF(B5254="","",IF(MATCH(B5254,$B$2:$B$12000,0)=ROW()-1,1,0))</f>
        <v/>
      </c>
    </row>
    <row r="5255" customFormat="false" ht="15" hidden="false" customHeight="false" outlineLevel="0" collapsed="false">
      <c r="V5255" s="23" t="str">
        <f aca="false">IF(ISNUMBER(C5255),YEAR(C5255),"")</f>
        <v/>
      </c>
      <c r="W5255" s="23" t="str">
        <f aca="false">IF(ISNUMBER(C5255),MONTH(C5255),"")</f>
        <v/>
      </c>
      <c r="X5255" s="23" t="str">
        <f aca="false">IF(T5255="","",IF(T5255=0,"No discount",IF(T5255&lt;=0.2,"Low (1-20%)",IF(T5255&lt;=0.4,"Medium (21-40%)","High (&gt;40%)"))))</f>
        <v/>
      </c>
      <c r="Y5255" s="23" t="str">
        <f aca="false">IF(AND(ISNUMBER(C5255),ISNUMBER(D5255)),D5255-C5255,"")</f>
        <v/>
      </c>
      <c r="Z5255" s="23" t="str">
        <f aca="false">IF(B5255="","",IF(MATCH(B5255,$B$2:$B$12000,0)=ROW()-1,1,0))</f>
        <v/>
      </c>
    </row>
    <row r="5256" customFormat="false" ht="15" hidden="false" customHeight="false" outlineLevel="0" collapsed="false">
      <c r="V5256" s="23" t="str">
        <f aca="false">IF(ISNUMBER(C5256),YEAR(C5256),"")</f>
        <v/>
      </c>
      <c r="W5256" s="23" t="str">
        <f aca="false">IF(ISNUMBER(C5256),MONTH(C5256),"")</f>
        <v/>
      </c>
      <c r="X5256" s="23" t="str">
        <f aca="false">IF(T5256="","",IF(T5256=0,"No discount",IF(T5256&lt;=0.2,"Low (1-20%)",IF(T5256&lt;=0.4,"Medium (21-40%)","High (&gt;40%)"))))</f>
        <v/>
      </c>
      <c r="Y5256" s="23" t="str">
        <f aca="false">IF(AND(ISNUMBER(C5256),ISNUMBER(D5256)),D5256-C5256,"")</f>
        <v/>
      </c>
      <c r="Z5256" s="23" t="str">
        <f aca="false">IF(B5256="","",IF(MATCH(B5256,$B$2:$B$12000,0)=ROW()-1,1,0))</f>
        <v/>
      </c>
    </row>
    <row r="5257" customFormat="false" ht="15" hidden="false" customHeight="false" outlineLevel="0" collapsed="false">
      <c r="V5257" s="23" t="str">
        <f aca="false">IF(ISNUMBER(C5257),YEAR(C5257),"")</f>
        <v/>
      </c>
      <c r="W5257" s="23" t="str">
        <f aca="false">IF(ISNUMBER(C5257),MONTH(C5257),"")</f>
        <v/>
      </c>
      <c r="X5257" s="23" t="str">
        <f aca="false">IF(T5257="","",IF(T5257=0,"No discount",IF(T5257&lt;=0.2,"Low (1-20%)",IF(T5257&lt;=0.4,"Medium (21-40%)","High (&gt;40%)"))))</f>
        <v/>
      </c>
      <c r="Y5257" s="23" t="str">
        <f aca="false">IF(AND(ISNUMBER(C5257),ISNUMBER(D5257)),D5257-C5257,"")</f>
        <v/>
      </c>
      <c r="Z5257" s="23" t="str">
        <f aca="false">IF(B5257="","",IF(MATCH(B5257,$B$2:$B$12000,0)=ROW()-1,1,0))</f>
        <v/>
      </c>
    </row>
    <row r="5258" customFormat="false" ht="15" hidden="false" customHeight="false" outlineLevel="0" collapsed="false">
      <c r="V5258" s="23" t="str">
        <f aca="false">IF(ISNUMBER(C5258),YEAR(C5258),"")</f>
        <v/>
      </c>
      <c r="W5258" s="23" t="str">
        <f aca="false">IF(ISNUMBER(C5258),MONTH(C5258),"")</f>
        <v/>
      </c>
      <c r="X5258" s="23" t="str">
        <f aca="false">IF(T5258="","",IF(T5258=0,"No discount",IF(T5258&lt;=0.2,"Low (1-20%)",IF(T5258&lt;=0.4,"Medium (21-40%)","High (&gt;40%)"))))</f>
        <v/>
      </c>
      <c r="Y5258" s="23" t="str">
        <f aca="false">IF(AND(ISNUMBER(C5258),ISNUMBER(D5258)),D5258-C5258,"")</f>
        <v/>
      </c>
      <c r="Z5258" s="23" t="str">
        <f aca="false">IF(B5258="","",IF(MATCH(B5258,$B$2:$B$12000,0)=ROW()-1,1,0))</f>
        <v/>
      </c>
    </row>
    <row r="5259" customFormat="false" ht="15" hidden="false" customHeight="false" outlineLevel="0" collapsed="false">
      <c r="V5259" s="23" t="str">
        <f aca="false">IF(ISNUMBER(C5259),YEAR(C5259),"")</f>
        <v/>
      </c>
      <c r="W5259" s="23" t="str">
        <f aca="false">IF(ISNUMBER(C5259),MONTH(C5259),"")</f>
        <v/>
      </c>
      <c r="X5259" s="23" t="str">
        <f aca="false">IF(T5259="","",IF(T5259=0,"No discount",IF(T5259&lt;=0.2,"Low (1-20%)",IF(T5259&lt;=0.4,"Medium (21-40%)","High (&gt;40%)"))))</f>
        <v/>
      </c>
      <c r="Y5259" s="23" t="str">
        <f aca="false">IF(AND(ISNUMBER(C5259),ISNUMBER(D5259)),D5259-C5259,"")</f>
        <v/>
      </c>
      <c r="Z5259" s="23" t="str">
        <f aca="false">IF(B5259="","",IF(MATCH(B5259,$B$2:$B$12000,0)=ROW()-1,1,0))</f>
        <v/>
      </c>
    </row>
    <row r="5260" customFormat="false" ht="15" hidden="false" customHeight="false" outlineLevel="0" collapsed="false">
      <c r="V5260" s="23" t="str">
        <f aca="false">IF(ISNUMBER(C5260),YEAR(C5260),"")</f>
        <v/>
      </c>
      <c r="W5260" s="23" t="str">
        <f aca="false">IF(ISNUMBER(C5260),MONTH(C5260),"")</f>
        <v/>
      </c>
      <c r="X5260" s="23" t="str">
        <f aca="false">IF(T5260="","",IF(T5260=0,"No discount",IF(T5260&lt;=0.2,"Low (1-20%)",IF(T5260&lt;=0.4,"Medium (21-40%)","High (&gt;40%)"))))</f>
        <v/>
      </c>
      <c r="Y5260" s="23" t="str">
        <f aca="false">IF(AND(ISNUMBER(C5260),ISNUMBER(D5260)),D5260-C5260,"")</f>
        <v/>
      </c>
      <c r="Z5260" s="23" t="str">
        <f aca="false">IF(B5260="","",IF(MATCH(B5260,$B$2:$B$12000,0)=ROW()-1,1,0))</f>
        <v/>
      </c>
    </row>
    <row r="5261" customFormat="false" ht="15" hidden="false" customHeight="false" outlineLevel="0" collapsed="false">
      <c r="V5261" s="23" t="str">
        <f aca="false">IF(ISNUMBER(C5261),YEAR(C5261),"")</f>
        <v/>
      </c>
      <c r="W5261" s="23" t="str">
        <f aca="false">IF(ISNUMBER(C5261),MONTH(C5261),"")</f>
        <v/>
      </c>
      <c r="X5261" s="23" t="str">
        <f aca="false">IF(T5261="","",IF(T5261=0,"No discount",IF(T5261&lt;=0.2,"Low (1-20%)",IF(T5261&lt;=0.4,"Medium (21-40%)","High (&gt;40%)"))))</f>
        <v/>
      </c>
      <c r="Y5261" s="23" t="str">
        <f aca="false">IF(AND(ISNUMBER(C5261),ISNUMBER(D5261)),D5261-C5261,"")</f>
        <v/>
      </c>
      <c r="Z5261" s="23" t="str">
        <f aca="false">IF(B5261="","",IF(MATCH(B5261,$B$2:$B$12000,0)=ROW()-1,1,0))</f>
        <v/>
      </c>
    </row>
    <row r="5262" customFormat="false" ht="15" hidden="false" customHeight="false" outlineLevel="0" collapsed="false">
      <c r="V5262" s="23" t="str">
        <f aca="false">IF(ISNUMBER(C5262),YEAR(C5262),"")</f>
        <v/>
      </c>
      <c r="W5262" s="23" t="str">
        <f aca="false">IF(ISNUMBER(C5262),MONTH(C5262),"")</f>
        <v/>
      </c>
      <c r="X5262" s="23" t="str">
        <f aca="false">IF(T5262="","",IF(T5262=0,"No discount",IF(T5262&lt;=0.2,"Low (1-20%)",IF(T5262&lt;=0.4,"Medium (21-40%)","High (&gt;40%)"))))</f>
        <v/>
      </c>
      <c r="Y5262" s="23" t="str">
        <f aca="false">IF(AND(ISNUMBER(C5262),ISNUMBER(D5262)),D5262-C5262,"")</f>
        <v/>
      </c>
      <c r="Z5262" s="23" t="str">
        <f aca="false">IF(B5262="","",IF(MATCH(B5262,$B$2:$B$12000,0)=ROW()-1,1,0))</f>
        <v/>
      </c>
    </row>
    <row r="5263" customFormat="false" ht="15" hidden="false" customHeight="false" outlineLevel="0" collapsed="false">
      <c r="V5263" s="23" t="str">
        <f aca="false">IF(ISNUMBER(C5263),YEAR(C5263),"")</f>
        <v/>
      </c>
      <c r="W5263" s="23" t="str">
        <f aca="false">IF(ISNUMBER(C5263),MONTH(C5263),"")</f>
        <v/>
      </c>
      <c r="X5263" s="23" t="str">
        <f aca="false">IF(T5263="","",IF(T5263=0,"No discount",IF(T5263&lt;=0.2,"Low (1-20%)",IF(T5263&lt;=0.4,"Medium (21-40%)","High (&gt;40%)"))))</f>
        <v/>
      </c>
      <c r="Y5263" s="23" t="str">
        <f aca="false">IF(AND(ISNUMBER(C5263),ISNUMBER(D5263)),D5263-C5263,"")</f>
        <v/>
      </c>
      <c r="Z5263" s="23" t="str">
        <f aca="false">IF(B5263="","",IF(MATCH(B5263,$B$2:$B$12000,0)=ROW()-1,1,0))</f>
        <v/>
      </c>
    </row>
    <row r="5264" customFormat="false" ht="15" hidden="false" customHeight="false" outlineLevel="0" collapsed="false">
      <c r="V5264" s="23" t="str">
        <f aca="false">IF(ISNUMBER(C5264),YEAR(C5264),"")</f>
        <v/>
      </c>
      <c r="W5264" s="23" t="str">
        <f aca="false">IF(ISNUMBER(C5264),MONTH(C5264),"")</f>
        <v/>
      </c>
      <c r="X5264" s="23" t="str">
        <f aca="false">IF(T5264="","",IF(T5264=0,"No discount",IF(T5264&lt;=0.2,"Low (1-20%)",IF(T5264&lt;=0.4,"Medium (21-40%)","High (&gt;40%)"))))</f>
        <v/>
      </c>
      <c r="Y5264" s="23" t="str">
        <f aca="false">IF(AND(ISNUMBER(C5264),ISNUMBER(D5264)),D5264-C5264,"")</f>
        <v/>
      </c>
      <c r="Z5264" s="23" t="str">
        <f aca="false">IF(B5264="","",IF(MATCH(B5264,$B$2:$B$12000,0)=ROW()-1,1,0))</f>
        <v/>
      </c>
    </row>
    <row r="5265" customFormat="false" ht="15" hidden="false" customHeight="false" outlineLevel="0" collapsed="false">
      <c r="V5265" s="23" t="str">
        <f aca="false">IF(ISNUMBER(C5265),YEAR(C5265),"")</f>
        <v/>
      </c>
      <c r="W5265" s="23" t="str">
        <f aca="false">IF(ISNUMBER(C5265),MONTH(C5265),"")</f>
        <v/>
      </c>
      <c r="X5265" s="23" t="str">
        <f aca="false">IF(T5265="","",IF(T5265=0,"No discount",IF(T5265&lt;=0.2,"Low (1-20%)",IF(T5265&lt;=0.4,"Medium (21-40%)","High (&gt;40%)"))))</f>
        <v/>
      </c>
      <c r="Y5265" s="23" t="str">
        <f aca="false">IF(AND(ISNUMBER(C5265),ISNUMBER(D5265)),D5265-C5265,"")</f>
        <v/>
      </c>
      <c r="Z5265" s="23" t="str">
        <f aca="false">IF(B5265="","",IF(MATCH(B5265,$B$2:$B$12000,0)=ROW()-1,1,0))</f>
        <v/>
      </c>
    </row>
    <row r="5266" customFormat="false" ht="15" hidden="false" customHeight="false" outlineLevel="0" collapsed="false">
      <c r="V5266" s="23" t="str">
        <f aca="false">IF(ISNUMBER(C5266),YEAR(C5266),"")</f>
        <v/>
      </c>
      <c r="W5266" s="23" t="str">
        <f aca="false">IF(ISNUMBER(C5266),MONTH(C5266),"")</f>
        <v/>
      </c>
      <c r="X5266" s="23" t="str">
        <f aca="false">IF(T5266="","",IF(T5266=0,"No discount",IF(T5266&lt;=0.2,"Low (1-20%)",IF(T5266&lt;=0.4,"Medium (21-40%)","High (&gt;40%)"))))</f>
        <v/>
      </c>
      <c r="Y5266" s="23" t="str">
        <f aca="false">IF(AND(ISNUMBER(C5266),ISNUMBER(D5266)),D5266-C5266,"")</f>
        <v/>
      </c>
      <c r="Z5266" s="23" t="str">
        <f aca="false">IF(B5266="","",IF(MATCH(B5266,$B$2:$B$12000,0)=ROW()-1,1,0))</f>
        <v/>
      </c>
    </row>
    <row r="5267" customFormat="false" ht="15" hidden="false" customHeight="false" outlineLevel="0" collapsed="false">
      <c r="V5267" s="23" t="str">
        <f aca="false">IF(ISNUMBER(C5267),YEAR(C5267),"")</f>
        <v/>
      </c>
      <c r="W5267" s="23" t="str">
        <f aca="false">IF(ISNUMBER(C5267),MONTH(C5267),"")</f>
        <v/>
      </c>
      <c r="X5267" s="23" t="str">
        <f aca="false">IF(T5267="","",IF(T5267=0,"No discount",IF(T5267&lt;=0.2,"Low (1-20%)",IF(T5267&lt;=0.4,"Medium (21-40%)","High (&gt;40%)"))))</f>
        <v/>
      </c>
      <c r="Y5267" s="23" t="str">
        <f aca="false">IF(AND(ISNUMBER(C5267),ISNUMBER(D5267)),D5267-C5267,"")</f>
        <v/>
      </c>
      <c r="Z5267" s="23" t="str">
        <f aca="false">IF(B5267="","",IF(MATCH(B5267,$B$2:$B$12000,0)=ROW()-1,1,0))</f>
        <v/>
      </c>
    </row>
    <row r="5268" customFormat="false" ht="15" hidden="false" customHeight="false" outlineLevel="0" collapsed="false">
      <c r="V5268" s="23" t="str">
        <f aca="false">IF(ISNUMBER(C5268),YEAR(C5268),"")</f>
        <v/>
      </c>
      <c r="W5268" s="23" t="str">
        <f aca="false">IF(ISNUMBER(C5268),MONTH(C5268),"")</f>
        <v/>
      </c>
      <c r="X5268" s="23" t="str">
        <f aca="false">IF(T5268="","",IF(T5268=0,"No discount",IF(T5268&lt;=0.2,"Low (1-20%)",IF(T5268&lt;=0.4,"Medium (21-40%)","High (&gt;40%)"))))</f>
        <v/>
      </c>
      <c r="Y5268" s="23" t="str">
        <f aca="false">IF(AND(ISNUMBER(C5268),ISNUMBER(D5268)),D5268-C5268,"")</f>
        <v/>
      </c>
      <c r="Z5268" s="23" t="str">
        <f aca="false">IF(B5268="","",IF(MATCH(B5268,$B$2:$B$12000,0)=ROW()-1,1,0))</f>
        <v/>
      </c>
    </row>
    <row r="5269" customFormat="false" ht="15" hidden="false" customHeight="false" outlineLevel="0" collapsed="false">
      <c r="V5269" s="23" t="str">
        <f aca="false">IF(ISNUMBER(C5269),YEAR(C5269),"")</f>
        <v/>
      </c>
      <c r="W5269" s="23" t="str">
        <f aca="false">IF(ISNUMBER(C5269),MONTH(C5269),"")</f>
        <v/>
      </c>
      <c r="X5269" s="23" t="str">
        <f aca="false">IF(T5269="","",IF(T5269=0,"No discount",IF(T5269&lt;=0.2,"Low (1-20%)",IF(T5269&lt;=0.4,"Medium (21-40%)","High (&gt;40%)"))))</f>
        <v/>
      </c>
      <c r="Y5269" s="23" t="str">
        <f aca="false">IF(AND(ISNUMBER(C5269),ISNUMBER(D5269)),D5269-C5269,"")</f>
        <v/>
      </c>
      <c r="Z5269" s="23" t="str">
        <f aca="false">IF(B5269="","",IF(MATCH(B5269,$B$2:$B$12000,0)=ROW()-1,1,0))</f>
        <v/>
      </c>
    </row>
    <row r="5270" customFormat="false" ht="15" hidden="false" customHeight="false" outlineLevel="0" collapsed="false">
      <c r="V5270" s="23" t="str">
        <f aca="false">IF(ISNUMBER(C5270),YEAR(C5270),"")</f>
        <v/>
      </c>
      <c r="W5270" s="23" t="str">
        <f aca="false">IF(ISNUMBER(C5270),MONTH(C5270),"")</f>
        <v/>
      </c>
      <c r="X5270" s="23" t="str">
        <f aca="false">IF(T5270="","",IF(T5270=0,"No discount",IF(T5270&lt;=0.2,"Low (1-20%)",IF(T5270&lt;=0.4,"Medium (21-40%)","High (&gt;40%)"))))</f>
        <v/>
      </c>
      <c r="Y5270" s="23" t="str">
        <f aca="false">IF(AND(ISNUMBER(C5270),ISNUMBER(D5270)),D5270-C5270,"")</f>
        <v/>
      </c>
      <c r="Z5270" s="23" t="str">
        <f aca="false">IF(B5270="","",IF(MATCH(B5270,$B$2:$B$12000,0)=ROW()-1,1,0))</f>
        <v/>
      </c>
    </row>
    <row r="5271" customFormat="false" ht="15" hidden="false" customHeight="false" outlineLevel="0" collapsed="false">
      <c r="V5271" s="23" t="str">
        <f aca="false">IF(ISNUMBER(C5271),YEAR(C5271),"")</f>
        <v/>
      </c>
      <c r="W5271" s="23" t="str">
        <f aca="false">IF(ISNUMBER(C5271),MONTH(C5271),"")</f>
        <v/>
      </c>
      <c r="X5271" s="23" t="str">
        <f aca="false">IF(T5271="","",IF(T5271=0,"No discount",IF(T5271&lt;=0.2,"Low (1-20%)",IF(T5271&lt;=0.4,"Medium (21-40%)","High (&gt;40%)"))))</f>
        <v/>
      </c>
      <c r="Y5271" s="23" t="str">
        <f aca="false">IF(AND(ISNUMBER(C5271),ISNUMBER(D5271)),D5271-C5271,"")</f>
        <v/>
      </c>
      <c r="Z5271" s="23" t="str">
        <f aca="false">IF(B5271="","",IF(MATCH(B5271,$B$2:$B$12000,0)=ROW()-1,1,0))</f>
        <v/>
      </c>
    </row>
    <row r="5272" customFormat="false" ht="15" hidden="false" customHeight="false" outlineLevel="0" collapsed="false">
      <c r="V5272" s="23" t="str">
        <f aca="false">IF(ISNUMBER(C5272),YEAR(C5272),"")</f>
        <v/>
      </c>
      <c r="W5272" s="23" t="str">
        <f aca="false">IF(ISNUMBER(C5272),MONTH(C5272),"")</f>
        <v/>
      </c>
      <c r="X5272" s="23" t="str">
        <f aca="false">IF(T5272="","",IF(T5272=0,"No discount",IF(T5272&lt;=0.2,"Low (1-20%)",IF(T5272&lt;=0.4,"Medium (21-40%)","High (&gt;40%)"))))</f>
        <v/>
      </c>
      <c r="Y5272" s="23" t="str">
        <f aca="false">IF(AND(ISNUMBER(C5272),ISNUMBER(D5272)),D5272-C5272,"")</f>
        <v/>
      </c>
      <c r="Z5272" s="23" t="str">
        <f aca="false">IF(B5272="","",IF(MATCH(B5272,$B$2:$B$12000,0)=ROW()-1,1,0))</f>
        <v/>
      </c>
    </row>
    <row r="5273" customFormat="false" ht="15" hidden="false" customHeight="false" outlineLevel="0" collapsed="false">
      <c r="V5273" s="23" t="str">
        <f aca="false">IF(ISNUMBER(C5273),YEAR(C5273),"")</f>
        <v/>
      </c>
      <c r="W5273" s="23" t="str">
        <f aca="false">IF(ISNUMBER(C5273),MONTH(C5273),"")</f>
        <v/>
      </c>
      <c r="X5273" s="23" t="str">
        <f aca="false">IF(T5273="","",IF(T5273=0,"No discount",IF(T5273&lt;=0.2,"Low (1-20%)",IF(T5273&lt;=0.4,"Medium (21-40%)","High (&gt;40%)"))))</f>
        <v/>
      </c>
      <c r="Y5273" s="23" t="str">
        <f aca="false">IF(AND(ISNUMBER(C5273),ISNUMBER(D5273)),D5273-C5273,"")</f>
        <v/>
      </c>
      <c r="Z5273" s="23" t="str">
        <f aca="false">IF(B5273="","",IF(MATCH(B5273,$B$2:$B$12000,0)=ROW()-1,1,0))</f>
        <v/>
      </c>
    </row>
    <row r="5274" customFormat="false" ht="15" hidden="false" customHeight="false" outlineLevel="0" collapsed="false">
      <c r="V5274" s="23" t="str">
        <f aca="false">IF(ISNUMBER(C5274),YEAR(C5274),"")</f>
        <v/>
      </c>
      <c r="W5274" s="23" t="str">
        <f aca="false">IF(ISNUMBER(C5274),MONTH(C5274),"")</f>
        <v/>
      </c>
      <c r="X5274" s="23" t="str">
        <f aca="false">IF(T5274="","",IF(T5274=0,"No discount",IF(T5274&lt;=0.2,"Low (1-20%)",IF(T5274&lt;=0.4,"Medium (21-40%)","High (&gt;40%)"))))</f>
        <v/>
      </c>
      <c r="Y5274" s="23" t="str">
        <f aca="false">IF(AND(ISNUMBER(C5274),ISNUMBER(D5274)),D5274-C5274,"")</f>
        <v/>
      </c>
      <c r="Z5274" s="23" t="str">
        <f aca="false">IF(B5274="","",IF(MATCH(B5274,$B$2:$B$12000,0)=ROW()-1,1,0))</f>
        <v/>
      </c>
    </row>
    <row r="5275" customFormat="false" ht="15" hidden="false" customHeight="false" outlineLevel="0" collapsed="false">
      <c r="V5275" s="23" t="str">
        <f aca="false">IF(ISNUMBER(C5275),YEAR(C5275),"")</f>
        <v/>
      </c>
      <c r="W5275" s="23" t="str">
        <f aca="false">IF(ISNUMBER(C5275),MONTH(C5275),"")</f>
        <v/>
      </c>
      <c r="X5275" s="23" t="str">
        <f aca="false">IF(T5275="","",IF(T5275=0,"No discount",IF(T5275&lt;=0.2,"Low (1-20%)",IF(T5275&lt;=0.4,"Medium (21-40%)","High (&gt;40%)"))))</f>
        <v/>
      </c>
      <c r="Y5275" s="23" t="str">
        <f aca="false">IF(AND(ISNUMBER(C5275),ISNUMBER(D5275)),D5275-C5275,"")</f>
        <v/>
      </c>
      <c r="Z5275" s="23" t="str">
        <f aca="false">IF(B5275="","",IF(MATCH(B5275,$B$2:$B$12000,0)=ROW()-1,1,0))</f>
        <v/>
      </c>
    </row>
    <row r="5276" customFormat="false" ht="15" hidden="false" customHeight="false" outlineLevel="0" collapsed="false">
      <c r="V5276" s="23" t="str">
        <f aca="false">IF(ISNUMBER(C5276),YEAR(C5276),"")</f>
        <v/>
      </c>
      <c r="W5276" s="23" t="str">
        <f aca="false">IF(ISNUMBER(C5276),MONTH(C5276),"")</f>
        <v/>
      </c>
      <c r="X5276" s="23" t="str">
        <f aca="false">IF(T5276="","",IF(T5276=0,"No discount",IF(T5276&lt;=0.2,"Low (1-20%)",IF(T5276&lt;=0.4,"Medium (21-40%)","High (&gt;40%)"))))</f>
        <v/>
      </c>
      <c r="Y5276" s="23" t="str">
        <f aca="false">IF(AND(ISNUMBER(C5276),ISNUMBER(D5276)),D5276-C5276,"")</f>
        <v/>
      </c>
      <c r="Z5276" s="23" t="str">
        <f aca="false">IF(B5276="","",IF(MATCH(B5276,$B$2:$B$12000,0)=ROW()-1,1,0))</f>
        <v/>
      </c>
    </row>
    <row r="5277" customFormat="false" ht="15" hidden="false" customHeight="false" outlineLevel="0" collapsed="false">
      <c r="V5277" s="23" t="str">
        <f aca="false">IF(ISNUMBER(C5277),YEAR(C5277),"")</f>
        <v/>
      </c>
      <c r="W5277" s="23" t="str">
        <f aca="false">IF(ISNUMBER(C5277),MONTH(C5277),"")</f>
        <v/>
      </c>
      <c r="X5277" s="23" t="str">
        <f aca="false">IF(T5277="","",IF(T5277=0,"No discount",IF(T5277&lt;=0.2,"Low (1-20%)",IF(T5277&lt;=0.4,"Medium (21-40%)","High (&gt;40%)"))))</f>
        <v/>
      </c>
      <c r="Y5277" s="23" t="str">
        <f aca="false">IF(AND(ISNUMBER(C5277),ISNUMBER(D5277)),D5277-C5277,"")</f>
        <v/>
      </c>
      <c r="Z5277" s="23" t="str">
        <f aca="false">IF(B5277="","",IF(MATCH(B5277,$B$2:$B$12000,0)=ROW()-1,1,0))</f>
        <v/>
      </c>
    </row>
    <row r="5278" customFormat="false" ht="15" hidden="false" customHeight="false" outlineLevel="0" collapsed="false">
      <c r="V5278" s="23" t="str">
        <f aca="false">IF(ISNUMBER(C5278),YEAR(C5278),"")</f>
        <v/>
      </c>
      <c r="W5278" s="23" t="str">
        <f aca="false">IF(ISNUMBER(C5278),MONTH(C5278),"")</f>
        <v/>
      </c>
      <c r="X5278" s="23" t="str">
        <f aca="false">IF(T5278="","",IF(T5278=0,"No discount",IF(T5278&lt;=0.2,"Low (1-20%)",IF(T5278&lt;=0.4,"Medium (21-40%)","High (&gt;40%)"))))</f>
        <v/>
      </c>
      <c r="Y5278" s="23" t="str">
        <f aca="false">IF(AND(ISNUMBER(C5278),ISNUMBER(D5278)),D5278-C5278,"")</f>
        <v/>
      </c>
      <c r="Z5278" s="23" t="str">
        <f aca="false">IF(B5278="","",IF(MATCH(B5278,$B$2:$B$12000,0)=ROW()-1,1,0))</f>
        <v/>
      </c>
    </row>
    <row r="5279" customFormat="false" ht="15" hidden="false" customHeight="false" outlineLevel="0" collapsed="false">
      <c r="V5279" s="23" t="str">
        <f aca="false">IF(ISNUMBER(C5279),YEAR(C5279),"")</f>
        <v/>
      </c>
      <c r="W5279" s="23" t="str">
        <f aca="false">IF(ISNUMBER(C5279),MONTH(C5279),"")</f>
        <v/>
      </c>
      <c r="X5279" s="23" t="str">
        <f aca="false">IF(T5279="","",IF(T5279=0,"No discount",IF(T5279&lt;=0.2,"Low (1-20%)",IF(T5279&lt;=0.4,"Medium (21-40%)","High (&gt;40%)"))))</f>
        <v/>
      </c>
      <c r="Y5279" s="23" t="str">
        <f aca="false">IF(AND(ISNUMBER(C5279),ISNUMBER(D5279)),D5279-C5279,"")</f>
        <v/>
      </c>
      <c r="Z5279" s="23" t="str">
        <f aca="false">IF(B5279="","",IF(MATCH(B5279,$B$2:$B$12000,0)=ROW()-1,1,0))</f>
        <v/>
      </c>
    </row>
    <row r="5280" customFormat="false" ht="15" hidden="false" customHeight="false" outlineLevel="0" collapsed="false">
      <c r="V5280" s="23" t="str">
        <f aca="false">IF(ISNUMBER(C5280),YEAR(C5280),"")</f>
        <v/>
      </c>
      <c r="W5280" s="23" t="str">
        <f aca="false">IF(ISNUMBER(C5280),MONTH(C5280),"")</f>
        <v/>
      </c>
      <c r="X5280" s="23" t="str">
        <f aca="false">IF(T5280="","",IF(T5280=0,"No discount",IF(T5280&lt;=0.2,"Low (1-20%)",IF(T5280&lt;=0.4,"Medium (21-40%)","High (&gt;40%)"))))</f>
        <v/>
      </c>
      <c r="Y5280" s="23" t="str">
        <f aca="false">IF(AND(ISNUMBER(C5280),ISNUMBER(D5280)),D5280-C5280,"")</f>
        <v/>
      </c>
      <c r="Z5280" s="23" t="str">
        <f aca="false">IF(B5280="","",IF(MATCH(B5280,$B$2:$B$12000,0)=ROW()-1,1,0))</f>
        <v/>
      </c>
    </row>
    <row r="5281" customFormat="false" ht="15" hidden="false" customHeight="false" outlineLevel="0" collapsed="false">
      <c r="V5281" s="23" t="str">
        <f aca="false">IF(ISNUMBER(C5281),YEAR(C5281),"")</f>
        <v/>
      </c>
      <c r="W5281" s="23" t="str">
        <f aca="false">IF(ISNUMBER(C5281),MONTH(C5281),"")</f>
        <v/>
      </c>
      <c r="X5281" s="23" t="str">
        <f aca="false">IF(T5281="","",IF(T5281=0,"No discount",IF(T5281&lt;=0.2,"Low (1-20%)",IF(T5281&lt;=0.4,"Medium (21-40%)","High (&gt;40%)"))))</f>
        <v/>
      </c>
      <c r="Y5281" s="23" t="str">
        <f aca="false">IF(AND(ISNUMBER(C5281),ISNUMBER(D5281)),D5281-C5281,"")</f>
        <v/>
      </c>
      <c r="Z5281" s="23" t="str">
        <f aca="false">IF(B5281="","",IF(MATCH(B5281,$B$2:$B$12000,0)=ROW()-1,1,0))</f>
        <v/>
      </c>
    </row>
    <row r="5282" customFormat="false" ht="15" hidden="false" customHeight="false" outlineLevel="0" collapsed="false">
      <c r="V5282" s="23" t="str">
        <f aca="false">IF(ISNUMBER(C5282),YEAR(C5282),"")</f>
        <v/>
      </c>
      <c r="W5282" s="23" t="str">
        <f aca="false">IF(ISNUMBER(C5282),MONTH(C5282),"")</f>
        <v/>
      </c>
      <c r="X5282" s="23" t="str">
        <f aca="false">IF(T5282="","",IF(T5282=0,"No discount",IF(T5282&lt;=0.2,"Low (1-20%)",IF(T5282&lt;=0.4,"Medium (21-40%)","High (&gt;40%)"))))</f>
        <v/>
      </c>
      <c r="Y5282" s="23" t="str">
        <f aca="false">IF(AND(ISNUMBER(C5282),ISNUMBER(D5282)),D5282-C5282,"")</f>
        <v/>
      </c>
      <c r="Z5282" s="23" t="str">
        <f aca="false">IF(B5282="","",IF(MATCH(B5282,$B$2:$B$12000,0)=ROW()-1,1,0))</f>
        <v/>
      </c>
    </row>
    <row r="5283" customFormat="false" ht="15" hidden="false" customHeight="false" outlineLevel="0" collapsed="false">
      <c r="V5283" s="23" t="str">
        <f aca="false">IF(ISNUMBER(C5283),YEAR(C5283),"")</f>
        <v/>
      </c>
      <c r="W5283" s="23" t="str">
        <f aca="false">IF(ISNUMBER(C5283),MONTH(C5283),"")</f>
        <v/>
      </c>
      <c r="X5283" s="23" t="str">
        <f aca="false">IF(T5283="","",IF(T5283=0,"No discount",IF(T5283&lt;=0.2,"Low (1-20%)",IF(T5283&lt;=0.4,"Medium (21-40%)","High (&gt;40%)"))))</f>
        <v/>
      </c>
      <c r="Y5283" s="23" t="str">
        <f aca="false">IF(AND(ISNUMBER(C5283),ISNUMBER(D5283)),D5283-C5283,"")</f>
        <v/>
      </c>
      <c r="Z5283" s="23" t="str">
        <f aca="false">IF(B5283="","",IF(MATCH(B5283,$B$2:$B$12000,0)=ROW()-1,1,0))</f>
        <v/>
      </c>
    </row>
    <row r="5284" customFormat="false" ht="15" hidden="false" customHeight="false" outlineLevel="0" collapsed="false">
      <c r="V5284" s="23" t="str">
        <f aca="false">IF(ISNUMBER(C5284),YEAR(C5284),"")</f>
        <v/>
      </c>
      <c r="W5284" s="23" t="str">
        <f aca="false">IF(ISNUMBER(C5284),MONTH(C5284),"")</f>
        <v/>
      </c>
      <c r="X5284" s="23" t="str">
        <f aca="false">IF(T5284="","",IF(T5284=0,"No discount",IF(T5284&lt;=0.2,"Low (1-20%)",IF(T5284&lt;=0.4,"Medium (21-40%)","High (&gt;40%)"))))</f>
        <v/>
      </c>
      <c r="Y5284" s="23" t="str">
        <f aca="false">IF(AND(ISNUMBER(C5284),ISNUMBER(D5284)),D5284-C5284,"")</f>
        <v/>
      </c>
      <c r="Z5284" s="23" t="str">
        <f aca="false">IF(B5284="","",IF(MATCH(B5284,$B$2:$B$12000,0)=ROW()-1,1,0))</f>
        <v/>
      </c>
    </row>
    <row r="5285" customFormat="false" ht="15" hidden="false" customHeight="false" outlineLevel="0" collapsed="false">
      <c r="V5285" s="23" t="str">
        <f aca="false">IF(ISNUMBER(C5285),YEAR(C5285),"")</f>
        <v/>
      </c>
      <c r="W5285" s="23" t="str">
        <f aca="false">IF(ISNUMBER(C5285),MONTH(C5285),"")</f>
        <v/>
      </c>
      <c r="X5285" s="23" t="str">
        <f aca="false">IF(T5285="","",IF(T5285=0,"No discount",IF(T5285&lt;=0.2,"Low (1-20%)",IF(T5285&lt;=0.4,"Medium (21-40%)","High (&gt;40%)"))))</f>
        <v/>
      </c>
      <c r="Y5285" s="23" t="str">
        <f aca="false">IF(AND(ISNUMBER(C5285),ISNUMBER(D5285)),D5285-C5285,"")</f>
        <v/>
      </c>
      <c r="Z5285" s="23" t="str">
        <f aca="false">IF(B5285="","",IF(MATCH(B5285,$B$2:$B$12000,0)=ROW()-1,1,0))</f>
        <v/>
      </c>
    </row>
    <row r="5286" customFormat="false" ht="15" hidden="false" customHeight="false" outlineLevel="0" collapsed="false">
      <c r="V5286" s="23" t="str">
        <f aca="false">IF(ISNUMBER(C5286),YEAR(C5286),"")</f>
        <v/>
      </c>
      <c r="W5286" s="23" t="str">
        <f aca="false">IF(ISNUMBER(C5286),MONTH(C5286),"")</f>
        <v/>
      </c>
      <c r="X5286" s="23" t="str">
        <f aca="false">IF(T5286="","",IF(T5286=0,"No discount",IF(T5286&lt;=0.2,"Low (1-20%)",IF(T5286&lt;=0.4,"Medium (21-40%)","High (&gt;40%)"))))</f>
        <v/>
      </c>
      <c r="Y5286" s="23" t="str">
        <f aca="false">IF(AND(ISNUMBER(C5286),ISNUMBER(D5286)),D5286-C5286,"")</f>
        <v/>
      </c>
      <c r="Z5286" s="23" t="str">
        <f aca="false">IF(B5286="","",IF(MATCH(B5286,$B$2:$B$12000,0)=ROW()-1,1,0))</f>
        <v/>
      </c>
    </row>
    <row r="5287" customFormat="false" ht="15" hidden="false" customHeight="false" outlineLevel="0" collapsed="false">
      <c r="V5287" s="23" t="str">
        <f aca="false">IF(ISNUMBER(C5287),YEAR(C5287),"")</f>
        <v/>
      </c>
      <c r="W5287" s="23" t="str">
        <f aca="false">IF(ISNUMBER(C5287),MONTH(C5287),"")</f>
        <v/>
      </c>
      <c r="X5287" s="23" t="str">
        <f aca="false">IF(T5287="","",IF(T5287=0,"No discount",IF(T5287&lt;=0.2,"Low (1-20%)",IF(T5287&lt;=0.4,"Medium (21-40%)","High (&gt;40%)"))))</f>
        <v/>
      </c>
      <c r="Y5287" s="23" t="str">
        <f aca="false">IF(AND(ISNUMBER(C5287),ISNUMBER(D5287)),D5287-C5287,"")</f>
        <v/>
      </c>
      <c r="Z5287" s="23" t="str">
        <f aca="false">IF(B5287="","",IF(MATCH(B5287,$B$2:$B$12000,0)=ROW()-1,1,0))</f>
        <v/>
      </c>
    </row>
    <row r="5288" customFormat="false" ht="15" hidden="false" customHeight="false" outlineLevel="0" collapsed="false">
      <c r="V5288" s="23" t="str">
        <f aca="false">IF(ISNUMBER(C5288),YEAR(C5288),"")</f>
        <v/>
      </c>
      <c r="W5288" s="23" t="str">
        <f aca="false">IF(ISNUMBER(C5288),MONTH(C5288),"")</f>
        <v/>
      </c>
      <c r="X5288" s="23" t="str">
        <f aca="false">IF(T5288="","",IF(T5288=0,"No discount",IF(T5288&lt;=0.2,"Low (1-20%)",IF(T5288&lt;=0.4,"Medium (21-40%)","High (&gt;40%)"))))</f>
        <v/>
      </c>
      <c r="Y5288" s="23" t="str">
        <f aca="false">IF(AND(ISNUMBER(C5288),ISNUMBER(D5288)),D5288-C5288,"")</f>
        <v/>
      </c>
      <c r="Z5288" s="23" t="str">
        <f aca="false">IF(B5288="","",IF(MATCH(B5288,$B$2:$B$12000,0)=ROW()-1,1,0))</f>
        <v/>
      </c>
    </row>
    <row r="5289" customFormat="false" ht="15" hidden="false" customHeight="false" outlineLevel="0" collapsed="false">
      <c r="V5289" s="23" t="str">
        <f aca="false">IF(ISNUMBER(C5289),YEAR(C5289),"")</f>
        <v/>
      </c>
      <c r="W5289" s="23" t="str">
        <f aca="false">IF(ISNUMBER(C5289),MONTH(C5289),"")</f>
        <v/>
      </c>
      <c r="X5289" s="23" t="str">
        <f aca="false">IF(T5289="","",IF(T5289=0,"No discount",IF(T5289&lt;=0.2,"Low (1-20%)",IF(T5289&lt;=0.4,"Medium (21-40%)","High (&gt;40%)"))))</f>
        <v/>
      </c>
      <c r="Y5289" s="23" t="str">
        <f aca="false">IF(AND(ISNUMBER(C5289),ISNUMBER(D5289)),D5289-C5289,"")</f>
        <v/>
      </c>
      <c r="Z5289" s="23" t="str">
        <f aca="false">IF(B5289="","",IF(MATCH(B5289,$B$2:$B$12000,0)=ROW()-1,1,0))</f>
        <v/>
      </c>
    </row>
    <row r="5290" customFormat="false" ht="15" hidden="false" customHeight="false" outlineLevel="0" collapsed="false">
      <c r="V5290" s="23" t="str">
        <f aca="false">IF(ISNUMBER(C5290),YEAR(C5290),"")</f>
        <v/>
      </c>
      <c r="W5290" s="23" t="str">
        <f aca="false">IF(ISNUMBER(C5290),MONTH(C5290),"")</f>
        <v/>
      </c>
      <c r="X5290" s="23" t="str">
        <f aca="false">IF(T5290="","",IF(T5290=0,"No discount",IF(T5290&lt;=0.2,"Low (1-20%)",IF(T5290&lt;=0.4,"Medium (21-40%)","High (&gt;40%)"))))</f>
        <v/>
      </c>
      <c r="Y5290" s="23" t="str">
        <f aca="false">IF(AND(ISNUMBER(C5290),ISNUMBER(D5290)),D5290-C5290,"")</f>
        <v/>
      </c>
      <c r="Z5290" s="23" t="str">
        <f aca="false">IF(B5290="","",IF(MATCH(B5290,$B$2:$B$12000,0)=ROW()-1,1,0))</f>
        <v/>
      </c>
    </row>
    <row r="5291" customFormat="false" ht="15" hidden="false" customHeight="false" outlineLevel="0" collapsed="false">
      <c r="V5291" s="23" t="str">
        <f aca="false">IF(ISNUMBER(C5291),YEAR(C5291),"")</f>
        <v/>
      </c>
      <c r="W5291" s="23" t="str">
        <f aca="false">IF(ISNUMBER(C5291),MONTH(C5291),"")</f>
        <v/>
      </c>
      <c r="X5291" s="23" t="str">
        <f aca="false">IF(T5291="","",IF(T5291=0,"No discount",IF(T5291&lt;=0.2,"Low (1-20%)",IF(T5291&lt;=0.4,"Medium (21-40%)","High (&gt;40%)"))))</f>
        <v/>
      </c>
      <c r="Y5291" s="23" t="str">
        <f aca="false">IF(AND(ISNUMBER(C5291),ISNUMBER(D5291)),D5291-C5291,"")</f>
        <v/>
      </c>
      <c r="Z5291" s="23" t="str">
        <f aca="false">IF(B5291="","",IF(MATCH(B5291,$B$2:$B$12000,0)=ROW()-1,1,0))</f>
        <v/>
      </c>
    </row>
    <row r="5292" customFormat="false" ht="15" hidden="false" customHeight="false" outlineLevel="0" collapsed="false">
      <c r="V5292" s="23" t="str">
        <f aca="false">IF(ISNUMBER(C5292),YEAR(C5292),"")</f>
        <v/>
      </c>
      <c r="W5292" s="23" t="str">
        <f aca="false">IF(ISNUMBER(C5292),MONTH(C5292),"")</f>
        <v/>
      </c>
      <c r="X5292" s="23" t="str">
        <f aca="false">IF(T5292="","",IF(T5292=0,"No discount",IF(T5292&lt;=0.2,"Low (1-20%)",IF(T5292&lt;=0.4,"Medium (21-40%)","High (&gt;40%)"))))</f>
        <v/>
      </c>
      <c r="Y5292" s="23" t="str">
        <f aca="false">IF(AND(ISNUMBER(C5292),ISNUMBER(D5292)),D5292-C5292,"")</f>
        <v/>
      </c>
      <c r="Z5292" s="23" t="str">
        <f aca="false">IF(B5292="","",IF(MATCH(B5292,$B$2:$B$12000,0)=ROW()-1,1,0))</f>
        <v/>
      </c>
    </row>
    <row r="5293" customFormat="false" ht="15" hidden="false" customHeight="false" outlineLevel="0" collapsed="false">
      <c r="V5293" s="23" t="str">
        <f aca="false">IF(ISNUMBER(C5293),YEAR(C5293),"")</f>
        <v/>
      </c>
      <c r="W5293" s="23" t="str">
        <f aca="false">IF(ISNUMBER(C5293),MONTH(C5293),"")</f>
        <v/>
      </c>
      <c r="X5293" s="23" t="str">
        <f aca="false">IF(T5293="","",IF(T5293=0,"No discount",IF(T5293&lt;=0.2,"Low (1-20%)",IF(T5293&lt;=0.4,"Medium (21-40%)","High (&gt;40%)"))))</f>
        <v/>
      </c>
      <c r="Y5293" s="23" t="str">
        <f aca="false">IF(AND(ISNUMBER(C5293),ISNUMBER(D5293)),D5293-C5293,"")</f>
        <v/>
      </c>
      <c r="Z5293" s="23" t="str">
        <f aca="false">IF(B5293="","",IF(MATCH(B5293,$B$2:$B$12000,0)=ROW()-1,1,0))</f>
        <v/>
      </c>
    </row>
    <row r="5294" customFormat="false" ht="15" hidden="false" customHeight="false" outlineLevel="0" collapsed="false">
      <c r="V5294" s="23" t="str">
        <f aca="false">IF(ISNUMBER(C5294),YEAR(C5294),"")</f>
        <v/>
      </c>
      <c r="W5294" s="23" t="str">
        <f aca="false">IF(ISNUMBER(C5294),MONTH(C5294),"")</f>
        <v/>
      </c>
      <c r="X5294" s="23" t="str">
        <f aca="false">IF(T5294="","",IF(T5294=0,"No discount",IF(T5294&lt;=0.2,"Low (1-20%)",IF(T5294&lt;=0.4,"Medium (21-40%)","High (&gt;40%)"))))</f>
        <v/>
      </c>
      <c r="Y5294" s="23" t="str">
        <f aca="false">IF(AND(ISNUMBER(C5294),ISNUMBER(D5294)),D5294-C5294,"")</f>
        <v/>
      </c>
      <c r="Z5294" s="23" t="str">
        <f aca="false">IF(B5294="","",IF(MATCH(B5294,$B$2:$B$12000,0)=ROW()-1,1,0))</f>
        <v/>
      </c>
    </row>
    <row r="5295" customFormat="false" ht="15" hidden="false" customHeight="false" outlineLevel="0" collapsed="false">
      <c r="V5295" s="23" t="str">
        <f aca="false">IF(ISNUMBER(C5295),YEAR(C5295),"")</f>
        <v/>
      </c>
      <c r="W5295" s="23" t="str">
        <f aca="false">IF(ISNUMBER(C5295),MONTH(C5295),"")</f>
        <v/>
      </c>
      <c r="X5295" s="23" t="str">
        <f aca="false">IF(T5295="","",IF(T5295=0,"No discount",IF(T5295&lt;=0.2,"Low (1-20%)",IF(T5295&lt;=0.4,"Medium (21-40%)","High (&gt;40%)"))))</f>
        <v/>
      </c>
      <c r="Y5295" s="23" t="str">
        <f aca="false">IF(AND(ISNUMBER(C5295),ISNUMBER(D5295)),D5295-C5295,"")</f>
        <v/>
      </c>
      <c r="Z5295" s="23" t="str">
        <f aca="false">IF(B5295="","",IF(MATCH(B5295,$B$2:$B$12000,0)=ROW()-1,1,0))</f>
        <v/>
      </c>
    </row>
    <row r="5296" customFormat="false" ht="15" hidden="false" customHeight="false" outlineLevel="0" collapsed="false">
      <c r="V5296" s="23" t="str">
        <f aca="false">IF(ISNUMBER(C5296),YEAR(C5296),"")</f>
        <v/>
      </c>
      <c r="W5296" s="23" t="str">
        <f aca="false">IF(ISNUMBER(C5296),MONTH(C5296),"")</f>
        <v/>
      </c>
      <c r="X5296" s="23" t="str">
        <f aca="false">IF(T5296="","",IF(T5296=0,"No discount",IF(T5296&lt;=0.2,"Low (1-20%)",IF(T5296&lt;=0.4,"Medium (21-40%)","High (&gt;40%)"))))</f>
        <v/>
      </c>
      <c r="Y5296" s="23" t="str">
        <f aca="false">IF(AND(ISNUMBER(C5296),ISNUMBER(D5296)),D5296-C5296,"")</f>
        <v/>
      </c>
      <c r="Z5296" s="23" t="str">
        <f aca="false">IF(B5296="","",IF(MATCH(B5296,$B$2:$B$12000,0)=ROW()-1,1,0))</f>
        <v/>
      </c>
    </row>
    <row r="5297" customFormat="false" ht="15" hidden="false" customHeight="false" outlineLevel="0" collapsed="false">
      <c r="V5297" s="23" t="str">
        <f aca="false">IF(ISNUMBER(C5297),YEAR(C5297),"")</f>
        <v/>
      </c>
      <c r="W5297" s="23" t="str">
        <f aca="false">IF(ISNUMBER(C5297),MONTH(C5297),"")</f>
        <v/>
      </c>
      <c r="X5297" s="23" t="str">
        <f aca="false">IF(T5297="","",IF(T5297=0,"No discount",IF(T5297&lt;=0.2,"Low (1-20%)",IF(T5297&lt;=0.4,"Medium (21-40%)","High (&gt;40%)"))))</f>
        <v/>
      </c>
      <c r="Y5297" s="23" t="str">
        <f aca="false">IF(AND(ISNUMBER(C5297),ISNUMBER(D5297)),D5297-C5297,"")</f>
        <v/>
      </c>
      <c r="Z5297" s="23" t="str">
        <f aca="false">IF(B5297="","",IF(MATCH(B5297,$B$2:$B$12000,0)=ROW()-1,1,0))</f>
        <v/>
      </c>
    </row>
    <row r="5298" customFormat="false" ht="15" hidden="false" customHeight="false" outlineLevel="0" collapsed="false">
      <c r="V5298" s="23" t="str">
        <f aca="false">IF(ISNUMBER(C5298),YEAR(C5298),"")</f>
        <v/>
      </c>
      <c r="W5298" s="23" t="str">
        <f aca="false">IF(ISNUMBER(C5298),MONTH(C5298),"")</f>
        <v/>
      </c>
      <c r="X5298" s="23" t="str">
        <f aca="false">IF(T5298="","",IF(T5298=0,"No discount",IF(T5298&lt;=0.2,"Low (1-20%)",IF(T5298&lt;=0.4,"Medium (21-40%)","High (&gt;40%)"))))</f>
        <v/>
      </c>
      <c r="Y5298" s="23" t="str">
        <f aca="false">IF(AND(ISNUMBER(C5298),ISNUMBER(D5298)),D5298-C5298,"")</f>
        <v/>
      </c>
      <c r="Z5298" s="23" t="str">
        <f aca="false">IF(B5298="","",IF(MATCH(B5298,$B$2:$B$12000,0)=ROW()-1,1,0))</f>
        <v/>
      </c>
    </row>
    <row r="5299" customFormat="false" ht="15" hidden="false" customHeight="false" outlineLevel="0" collapsed="false">
      <c r="V5299" s="23" t="str">
        <f aca="false">IF(ISNUMBER(C5299),YEAR(C5299),"")</f>
        <v/>
      </c>
      <c r="W5299" s="23" t="str">
        <f aca="false">IF(ISNUMBER(C5299),MONTH(C5299),"")</f>
        <v/>
      </c>
      <c r="X5299" s="23" t="str">
        <f aca="false">IF(T5299="","",IF(T5299=0,"No discount",IF(T5299&lt;=0.2,"Low (1-20%)",IF(T5299&lt;=0.4,"Medium (21-40%)","High (&gt;40%)"))))</f>
        <v/>
      </c>
      <c r="Y5299" s="23" t="str">
        <f aca="false">IF(AND(ISNUMBER(C5299),ISNUMBER(D5299)),D5299-C5299,"")</f>
        <v/>
      </c>
      <c r="Z5299" s="23" t="str">
        <f aca="false">IF(B5299="","",IF(MATCH(B5299,$B$2:$B$12000,0)=ROW()-1,1,0))</f>
        <v/>
      </c>
    </row>
    <row r="5300" customFormat="false" ht="15" hidden="false" customHeight="false" outlineLevel="0" collapsed="false">
      <c r="V5300" s="23" t="str">
        <f aca="false">IF(ISNUMBER(C5300),YEAR(C5300),"")</f>
        <v/>
      </c>
      <c r="W5300" s="23" t="str">
        <f aca="false">IF(ISNUMBER(C5300),MONTH(C5300),"")</f>
        <v/>
      </c>
      <c r="X5300" s="23" t="str">
        <f aca="false">IF(T5300="","",IF(T5300=0,"No discount",IF(T5300&lt;=0.2,"Low (1-20%)",IF(T5300&lt;=0.4,"Medium (21-40%)","High (&gt;40%)"))))</f>
        <v/>
      </c>
      <c r="Y5300" s="23" t="str">
        <f aca="false">IF(AND(ISNUMBER(C5300),ISNUMBER(D5300)),D5300-C5300,"")</f>
        <v/>
      </c>
      <c r="Z5300" s="23" t="str">
        <f aca="false">IF(B5300="","",IF(MATCH(B5300,$B$2:$B$12000,0)=ROW()-1,1,0))</f>
        <v/>
      </c>
    </row>
    <row r="5301" customFormat="false" ht="15" hidden="false" customHeight="false" outlineLevel="0" collapsed="false">
      <c r="V5301" s="23" t="str">
        <f aca="false">IF(ISNUMBER(C5301),YEAR(C5301),"")</f>
        <v/>
      </c>
      <c r="W5301" s="23" t="str">
        <f aca="false">IF(ISNUMBER(C5301),MONTH(C5301),"")</f>
        <v/>
      </c>
      <c r="X5301" s="23" t="str">
        <f aca="false">IF(T5301="","",IF(T5301=0,"No discount",IF(T5301&lt;=0.2,"Low (1-20%)",IF(T5301&lt;=0.4,"Medium (21-40%)","High (&gt;40%)"))))</f>
        <v/>
      </c>
      <c r="Y5301" s="23" t="str">
        <f aca="false">IF(AND(ISNUMBER(C5301),ISNUMBER(D5301)),D5301-C5301,"")</f>
        <v/>
      </c>
      <c r="Z5301" s="23" t="str">
        <f aca="false">IF(B5301="","",IF(MATCH(B5301,$B$2:$B$12000,0)=ROW()-1,1,0))</f>
        <v/>
      </c>
    </row>
    <row r="5302" customFormat="false" ht="15" hidden="false" customHeight="false" outlineLevel="0" collapsed="false">
      <c r="V5302" s="23" t="str">
        <f aca="false">IF(ISNUMBER(C5302),YEAR(C5302),"")</f>
        <v/>
      </c>
      <c r="W5302" s="23" t="str">
        <f aca="false">IF(ISNUMBER(C5302),MONTH(C5302),"")</f>
        <v/>
      </c>
      <c r="X5302" s="23" t="str">
        <f aca="false">IF(T5302="","",IF(T5302=0,"No discount",IF(T5302&lt;=0.2,"Low (1-20%)",IF(T5302&lt;=0.4,"Medium (21-40%)","High (&gt;40%)"))))</f>
        <v/>
      </c>
      <c r="Y5302" s="23" t="str">
        <f aca="false">IF(AND(ISNUMBER(C5302),ISNUMBER(D5302)),D5302-C5302,"")</f>
        <v/>
      </c>
      <c r="Z5302" s="23" t="str">
        <f aca="false">IF(B5302="","",IF(MATCH(B5302,$B$2:$B$12000,0)=ROW()-1,1,0))</f>
        <v/>
      </c>
    </row>
    <row r="5303" customFormat="false" ht="15" hidden="false" customHeight="false" outlineLevel="0" collapsed="false">
      <c r="V5303" s="23" t="str">
        <f aca="false">IF(ISNUMBER(C5303),YEAR(C5303),"")</f>
        <v/>
      </c>
      <c r="W5303" s="23" t="str">
        <f aca="false">IF(ISNUMBER(C5303),MONTH(C5303),"")</f>
        <v/>
      </c>
      <c r="X5303" s="23" t="str">
        <f aca="false">IF(T5303="","",IF(T5303=0,"No discount",IF(T5303&lt;=0.2,"Low (1-20%)",IF(T5303&lt;=0.4,"Medium (21-40%)","High (&gt;40%)"))))</f>
        <v/>
      </c>
      <c r="Y5303" s="23" t="str">
        <f aca="false">IF(AND(ISNUMBER(C5303),ISNUMBER(D5303)),D5303-C5303,"")</f>
        <v/>
      </c>
      <c r="Z5303" s="23" t="str">
        <f aca="false">IF(B5303="","",IF(MATCH(B5303,$B$2:$B$12000,0)=ROW()-1,1,0))</f>
        <v/>
      </c>
    </row>
    <row r="5304" customFormat="false" ht="15" hidden="false" customHeight="false" outlineLevel="0" collapsed="false">
      <c r="V5304" s="23" t="str">
        <f aca="false">IF(ISNUMBER(C5304),YEAR(C5304),"")</f>
        <v/>
      </c>
      <c r="W5304" s="23" t="str">
        <f aca="false">IF(ISNUMBER(C5304),MONTH(C5304),"")</f>
        <v/>
      </c>
      <c r="X5304" s="23" t="str">
        <f aca="false">IF(T5304="","",IF(T5304=0,"No discount",IF(T5304&lt;=0.2,"Low (1-20%)",IF(T5304&lt;=0.4,"Medium (21-40%)","High (&gt;40%)"))))</f>
        <v/>
      </c>
      <c r="Y5304" s="23" t="str">
        <f aca="false">IF(AND(ISNUMBER(C5304),ISNUMBER(D5304)),D5304-C5304,"")</f>
        <v/>
      </c>
      <c r="Z5304" s="23" t="str">
        <f aca="false">IF(B5304="","",IF(MATCH(B5304,$B$2:$B$12000,0)=ROW()-1,1,0))</f>
        <v/>
      </c>
    </row>
    <row r="5305" customFormat="false" ht="15" hidden="false" customHeight="false" outlineLevel="0" collapsed="false">
      <c r="V5305" s="23" t="str">
        <f aca="false">IF(ISNUMBER(C5305),YEAR(C5305),"")</f>
        <v/>
      </c>
      <c r="W5305" s="23" t="str">
        <f aca="false">IF(ISNUMBER(C5305),MONTH(C5305),"")</f>
        <v/>
      </c>
      <c r="X5305" s="23" t="str">
        <f aca="false">IF(T5305="","",IF(T5305=0,"No discount",IF(T5305&lt;=0.2,"Low (1-20%)",IF(T5305&lt;=0.4,"Medium (21-40%)","High (&gt;40%)"))))</f>
        <v/>
      </c>
      <c r="Y5305" s="23" t="str">
        <f aca="false">IF(AND(ISNUMBER(C5305),ISNUMBER(D5305)),D5305-C5305,"")</f>
        <v/>
      </c>
      <c r="Z5305" s="23" t="str">
        <f aca="false">IF(B5305="","",IF(MATCH(B5305,$B$2:$B$12000,0)=ROW()-1,1,0))</f>
        <v/>
      </c>
    </row>
    <row r="5306" customFormat="false" ht="15" hidden="false" customHeight="false" outlineLevel="0" collapsed="false">
      <c r="V5306" s="23" t="str">
        <f aca="false">IF(ISNUMBER(C5306),YEAR(C5306),"")</f>
        <v/>
      </c>
      <c r="W5306" s="23" t="str">
        <f aca="false">IF(ISNUMBER(C5306),MONTH(C5306),"")</f>
        <v/>
      </c>
      <c r="X5306" s="23" t="str">
        <f aca="false">IF(T5306="","",IF(T5306=0,"No discount",IF(T5306&lt;=0.2,"Low (1-20%)",IF(T5306&lt;=0.4,"Medium (21-40%)","High (&gt;40%)"))))</f>
        <v/>
      </c>
      <c r="Y5306" s="23" t="str">
        <f aca="false">IF(AND(ISNUMBER(C5306),ISNUMBER(D5306)),D5306-C5306,"")</f>
        <v/>
      </c>
      <c r="Z5306" s="23" t="str">
        <f aca="false">IF(B5306="","",IF(MATCH(B5306,$B$2:$B$12000,0)=ROW()-1,1,0))</f>
        <v/>
      </c>
    </row>
    <row r="5307" customFormat="false" ht="15" hidden="false" customHeight="false" outlineLevel="0" collapsed="false">
      <c r="V5307" s="23" t="str">
        <f aca="false">IF(ISNUMBER(C5307),YEAR(C5307),"")</f>
        <v/>
      </c>
      <c r="W5307" s="23" t="str">
        <f aca="false">IF(ISNUMBER(C5307),MONTH(C5307),"")</f>
        <v/>
      </c>
      <c r="X5307" s="23" t="str">
        <f aca="false">IF(T5307="","",IF(T5307=0,"No discount",IF(T5307&lt;=0.2,"Low (1-20%)",IF(T5307&lt;=0.4,"Medium (21-40%)","High (&gt;40%)"))))</f>
        <v/>
      </c>
      <c r="Y5307" s="23" t="str">
        <f aca="false">IF(AND(ISNUMBER(C5307),ISNUMBER(D5307)),D5307-C5307,"")</f>
        <v/>
      </c>
      <c r="Z5307" s="23" t="str">
        <f aca="false">IF(B5307="","",IF(MATCH(B5307,$B$2:$B$12000,0)=ROW()-1,1,0))</f>
        <v/>
      </c>
    </row>
    <row r="5308" customFormat="false" ht="15" hidden="false" customHeight="false" outlineLevel="0" collapsed="false">
      <c r="V5308" s="23" t="str">
        <f aca="false">IF(ISNUMBER(C5308),YEAR(C5308),"")</f>
        <v/>
      </c>
      <c r="W5308" s="23" t="str">
        <f aca="false">IF(ISNUMBER(C5308),MONTH(C5308),"")</f>
        <v/>
      </c>
      <c r="X5308" s="23" t="str">
        <f aca="false">IF(T5308="","",IF(T5308=0,"No discount",IF(T5308&lt;=0.2,"Low (1-20%)",IF(T5308&lt;=0.4,"Medium (21-40%)","High (&gt;40%)"))))</f>
        <v/>
      </c>
      <c r="Y5308" s="23" t="str">
        <f aca="false">IF(AND(ISNUMBER(C5308),ISNUMBER(D5308)),D5308-C5308,"")</f>
        <v/>
      </c>
      <c r="Z5308" s="23" t="str">
        <f aca="false">IF(B5308="","",IF(MATCH(B5308,$B$2:$B$12000,0)=ROW()-1,1,0))</f>
        <v/>
      </c>
    </row>
    <row r="5309" customFormat="false" ht="15" hidden="false" customHeight="false" outlineLevel="0" collapsed="false">
      <c r="V5309" s="23" t="str">
        <f aca="false">IF(ISNUMBER(C5309),YEAR(C5309),"")</f>
        <v/>
      </c>
      <c r="W5309" s="23" t="str">
        <f aca="false">IF(ISNUMBER(C5309),MONTH(C5309),"")</f>
        <v/>
      </c>
      <c r="X5309" s="23" t="str">
        <f aca="false">IF(T5309="","",IF(T5309=0,"No discount",IF(T5309&lt;=0.2,"Low (1-20%)",IF(T5309&lt;=0.4,"Medium (21-40%)","High (&gt;40%)"))))</f>
        <v/>
      </c>
      <c r="Y5309" s="23" t="str">
        <f aca="false">IF(AND(ISNUMBER(C5309),ISNUMBER(D5309)),D5309-C5309,"")</f>
        <v/>
      </c>
      <c r="Z5309" s="23" t="str">
        <f aca="false">IF(B5309="","",IF(MATCH(B5309,$B$2:$B$12000,0)=ROW()-1,1,0))</f>
        <v/>
      </c>
    </row>
    <row r="5310" customFormat="false" ht="15" hidden="false" customHeight="false" outlineLevel="0" collapsed="false">
      <c r="V5310" s="23" t="str">
        <f aca="false">IF(ISNUMBER(C5310),YEAR(C5310),"")</f>
        <v/>
      </c>
      <c r="W5310" s="23" t="str">
        <f aca="false">IF(ISNUMBER(C5310),MONTH(C5310),"")</f>
        <v/>
      </c>
      <c r="X5310" s="23" t="str">
        <f aca="false">IF(T5310="","",IF(T5310=0,"No discount",IF(T5310&lt;=0.2,"Low (1-20%)",IF(T5310&lt;=0.4,"Medium (21-40%)","High (&gt;40%)"))))</f>
        <v/>
      </c>
      <c r="Y5310" s="23" t="str">
        <f aca="false">IF(AND(ISNUMBER(C5310),ISNUMBER(D5310)),D5310-C5310,"")</f>
        <v/>
      </c>
      <c r="Z5310" s="23" t="str">
        <f aca="false">IF(B5310="","",IF(MATCH(B5310,$B$2:$B$12000,0)=ROW()-1,1,0))</f>
        <v/>
      </c>
    </row>
    <row r="5311" customFormat="false" ht="15" hidden="false" customHeight="false" outlineLevel="0" collapsed="false">
      <c r="V5311" s="23" t="str">
        <f aca="false">IF(ISNUMBER(C5311),YEAR(C5311),"")</f>
        <v/>
      </c>
      <c r="W5311" s="23" t="str">
        <f aca="false">IF(ISNUMBER(C5311),MONTH(C5311),"")</f>
        <v/>
      </c>
      <c r="X5311" s="23" t="str">
        <f aca="false">IF(T5311="","",IF(T5311=0,"No discount",IF(T5311&lt;=0.2,"Low (1-20%)",IF(T5311&lt;=0.4,"Medium (21-40%)","High (&gt;40%)"))))</f>
        <v/>
      </c>
      <c r="Y5311" s="23" t="str">
        <f aca="false">IF(AND(ISNUMBER(C5311),ISNUMBER(D5311)),D5311-C5311,"")</f>
        <v/>
      </c>
      <c r="Z5311" s="23" t="str">
        <f aca="false">IF(B5311="","",IF(MATCH(B5311,$B$2:$B$12000,0)=ROW()-1,1,0))</f>
        <v/>
      </c>
    </row>
    <row r="5312" customFormat="false" ht="15" hidden="false" customHeight="false" outlineLevel="0" collapsed="false">
      <c r="V5312" s="23" t="str">
        <f aca="false">IF(ISNUMBER(C5312),YEAR(C5312),"")</f>
        <v/>
      </c>
      <c r="W5312" s="23" t="str">
        <f aca="false">IF(ISNUMBER(C5312),MONTH(C5312),"")</f>
        <v/>
      </c>
      <c r="X5312" s="23" t="str">
        <f aca="false">IF(T5312="","",IF(T5312=0,"No discount",IF(T5312&lt;=0.2,"Low (1-20%)",IF(T5312&lt;=0.4,"Medium (21-40%)","High (&gt;40%)"))))</f>
        <v/>
      </c>
      <c r="Y5312" s="23" t="str">
        <f aca="false">IF(AND(ISNUMBER(C5312),ISNUMBER(D5312)),D5312-C5312,"")</f>
        <v/>
      </c>
      <c r="Z5312" s="23" t="str">
        <f aca="false">IF(B5312="","",IF(MATCH(B5312,$B$2:$B$12000,0)=ROW()-1,1,0))</f>
        <v/>
      </c>
    </row>
    <row r="5313" customFormat="false" ht="15" hidden="false" customHeight="false" outlineLevel="0" collapsed="false">
      <c r="V5313" s="23" t="str">
        <f aca="false">IF(ISNUMBER(C5313),YEAR(C5313),"")</f>
        <v/>
      </c>
      <c r="W5313" s="23" t="str">
        <f aca="false">IF(ISNUMBER(C5313),MONTH(C5313),"")</f>
        <v/>
      </c>
      <c r="X5313" s="23" t="str">
        <f aca="false">IF(T5313="","",IF(T5313=0,"No discount",IF(T5313&lt;=0.2,"Low (1-20%)",IF(T5313&lt;=0.4,"Medium (21-40%)","High (&gt;40%)"))))</f>
        <v/>
      </c>
      <c r="Y5313" s="23" t="str">
        <f aca="false">IF(AND(ISNUMBER(C5313),ISNUMBER(D5313)),D5313-C5313,"")</f>
        <v/>
      </c>
      <c r="Z5313" s="23" t="str">
        <f aca="false">IF(B5313="","",IF(MATCH(B5313,$B$2:$B$12000,0)=ROW()-1,1,0))</f>
        <v/>
      </c>
    </row>
    <row r="5314" customFormat="false" ht="15" hidden="false" customHeight="false" outlineLevel="0" collapsed="false">
      <c r="V5314" s="23" t="str">
        <f aca="false">IF(ISNUMBER(C5314),YEAR(C5314),"")</f>
        <v/>
      </c>
      <c r="W5314" s="23" t="str">
        <f aca="false">IF(ISNUMBER(C5314),MONTH(C5314),"")</f>
        <v/>
      </c>
      <c r="X5314" s="23" t="str">
        <f aca="false">IF(T5314="","",IF(T5314=0,"No discount",IF(T5314&lt;=0.2,"Low (1-20%)",IF(T5314&lt;=0.4,"Medium (21-40%)","High (&gt;40%)"))))</f>
        <v/>
      </c>
      <c r="Y5314" s="23" t="str">
        <f aca="false">IF(AND(ISNUMBER(C5314),ISNUMBER(D5314)),D5314-C5314,"")</f>
        <v/>
      </c>
      <c r="Z5314" s="23" t="str">
        <f aca="false">IF(B5314="","",IF(MATCH(B5314,$B$2:$B$12000,0)=ROW()-1,1,0))</f>
        <v/>
      </c>
    </row>
    <row r="5315" customFormat="false" ht="15" hidden="false" customHeight="false" outlineLevel="0" collapsed="false">
      <c r="V5315" s="23" t="str">
        <f aca="false">IF(ISNUMBER(C5315),YEAR(C5315),"")</f>
        <v/>
      </c>
      <c r="W5315" s="23" t="str">
        <f aca="false">IF(ISNUMBER(C5315),MONTH(C5315),"")</f>
        <v/>
      </c>
      <c r="X5315" s="23" t="str">
        <f aca="false">IF(T5315="","",IF(T5315=0,"No discount",IF(T5315&lt;=0.2,"Low (1-20%)",IF(T5315&lt;=0.4,"Medium (21-40%)","High (&gt;40%)"))))</f>
        <v/>
      </c>
      <c r="Y5315" s="23" t="str">
        <f aca="false">IF(AND(ISNUMBER(C5315),ISNUMBER(D5315)),D5315-C5315,"")</f>
        <v/>
      </c>
      <c r="Z5315" s="23" t="str">
        <f aca="false">IF(B5315="","",IF(MATCH(B5315,$B$2:$B$12000,0)=ROW()-1,1,0))</f>
        <v/>
      </c>
    </row>
    <row r="5316" customFormat="false" ht="15" hidden="false" customHeight="false" outlineLevel="0" collapsed="false">
      <c r="V5316" s="23" t="str">
        <f aca="false">IF(ISNUMBER(C5316),YEAR(C5316),"")</f>
        <v/>
      </c>
      <c r="W5316" s="23" t="str">
        <f aca="false">IF(ISNUMBER(C5316),MONTH(C5316),"")</f>
        <v/>
      </c>
      <c r="X5316" s="23" t="str">
        <f aca="false">IF(T5316="","",IF(T5316=0,"No discount",IF(T5316&lt;=0.2,"Low (1-20%)",IF(T5316&lt;=0.4,"Medium (21-40%)","High (&gt;40%)"))))</f>
        <v/>
      </c>
      <c r="Y5316" s="23" t="str">
        <f aca="false">IF(AND(ISNUMBER(C5316),ISNUMBER(D5316)),D5316-C5316,"")</f>
        <v/>
      </c>
      <c r="Z5316" s="23" t="str">
        <f aca="false">IF(B5316="","",IF(MATCH(B5316,$B$2:$B$12000,0)=ROW()-1,1,0))</f>
        <v/>
      </c>
    </row>
    <row r="5317" customFormat="false" ht="15" hidden="false" customHeight="false" outlineLevel="0" collapsed="false">
      <c r="V5317" s="23" t="str">
        <f aca="false">IF(ISNUMBER(C5317),YEAR(C5317),"")</f>
        <v/>
      </c>
      <c r="W5317" s="23" t="str">
        <f aca="false">IF(ISNUMBER(C5317),MONTH(C5317),"")</f>
        <v/>
      </c>
      <c r="X5317" s="23" t="str">
        <f aca="false">IF(T5317="","",IF(T5317=0,"No discount",IF(T5317&lt;=0.2,"Low (1-20%)",IF(T5317&lt;=0.4,"Medium (21-40%)","High (&gt;40%)"))))</f>
        <v/>
      </c>
      <c r="Y5317" s="23" t="str">
        <f aca="false">IF(AND(ISNUMBER(C5317),ISNUMBER(D5317)),D5317-C5317,"")</f>
        <v/>
      </c>
      <c r="Z5317" s="23" t="str">
        <f aca="false">IF(B5317="","",IF(MATCH(B5317,$B$2:$B$12000,0)=ROW()-1,1,0))</f>
        <v/>
      </c>
    </row>
    <row r="5318" customFormat="false" ht="15" hidden="false" customHeight="false" outlineLevel="0" collapsed="false">
      <c r="V5318" s="23" t="str">
        <f aca="false">IF(ISNUMBER(C5318),YEAR(C5318),"")</f>
        <v/>
      </c>
      <c r="W5318" s="23" t="str">
        <f aca="false">IF(ISNUMBER(C5318),MONTH(C5318),"")</f>
        <v/>
      </c>
      <c r="X5318" s="23" t="str">
        <f aca="false">IF(T5318="","",IF(T5318=0,"No discount",IF(T5318&lt;=0.2,"Low (1-20%)",IF(T5318&lt;=0.4,"Medium (21-40%)","High (&gt;40%)"))))</f>
        <v/>
      </c>
      <c r="Y5318" s="23" t="str">
        <f aca="false">IF(AND(ISNUMBER(C5318),ISNUMBER(D5318)),D5318-C5318,"")</f>
        <v/>
      </c>
      <c r="Z5318" s="23" t="str">
        <f aca="false">IF(B5318="","",IF(MATCH(B5318,$B$2:$B$12000,0)=ROW()-1,1,0))</f>
        <v/>
      </c>
    </row>
    <row r="5319" customFormat="false" ht="15" hidden="false" customHeight="false" outlineLevel="0" collapsed="false">
      <c r="V5319" s="23" t="str">
        <f aca="false">IF(ISNUMBER(C5319),YEAR(C5319),"")</f>
        <v/>
      </c>
      <c r="W5319" s="23" t="str">
        <f aca="false">IF(ISNUMBER(C5319),MONTH(C5319),"")</f>
        <v/>
      </c>
      <c r="X5319" s="23" t="str">
        <f aca="false">IF(T5319="","",IF(T5319=0,"No discount",IF(T5319&lt;=0.2,"Low (1-20%)",IF(T5319&lt;=0.4,"Medium (21-40%)","High (&gt;40%)"))))</f>
        <v/>
      </c>
      <c r="Y5319" s="23" t="str">
        <f aca="false">IF(AND(ISNUMBER(C5319),ISNUMBER(D5319)),D5319-C5319,"")</f>
        <v/>
      </c>
      <c r="Z5319" s="23" t="str">
        <f aca="false">IF(B5319="","",IF(MATCH(B5319,$B$2:$B$12000,0)=ROW()-1,1,0))</f>
        <v/>
      </c>
    </row>
    <row r="5320" customFormat="false" ht="15" hidden="false" customHeight="false" outlineLevel="0" collapsed="false">
      <c r="V5320" s="23" t="str">
        <f aca="false">IF(ISNUMBER(C5320),YEAR(C5320),"")</f>
        <v/>
      </c>
      <c r="W5320" s="23" t="str">
        <f aca="false">IF(ISNUMBER(C5320),MONTH(C5320),"")</f>
        <v/>
      </c>
      <c r="X5320" s="23" t="str">
        <f aca="false">IF(T5320="","",IF(T5320=0,"No discount",IF(T5320&lt;=0.2,"Low (1-20%)",IF(T5320&lt;=0.4,"Medium (21-40%)","High (&gt;40%)"))))</f>
        <v/>
      </c>
      <c r="Y5320" s="23" t="str">
        <f aca="false">IF(AND(ISNUMBER(C5320),ISNUMBER(D5320)),D5320-C5320,"")</f>
        <v/>
      </c>
      <c r="Z5320" s="23" t="str">
        <f aca="false">IF(B5320="","",IF(MATCH(B5320,$B$2:$B$12000,0)=ROW()-1,1,0))</f>
        <v/>
      </c>
    </row>
    <row r="5321" customFormat="false" ht="15" hidden="false" customHeight="false" outlineLevel="0" collapsed="false">
      <c r="V5321" s="23" t="str">
        <f aca="false">IF(ISNUMBER(C5321),YEAR(C5321),"")</f>
        <v/>
      </c>
      <c r="W5321" s="23" t="str">
        <f aca="false">IF(ISNUMBER(C5321),MONTH(C5321),"")</f>
        <v/>
      </c>
      <c r="X5321" s="23" t="str">
        <f aca="false">IF(T5321="","",IF(T5321=0,"No discount",IF(T5321&lt;=0.2,"Low (1-20%)",IF(T5321&lt;=0.4,"Medium (21-40%)","High (&gt;40%)"))))</f>
        <v/>
      </c>
      <c r="Y5321" s="23" t="str">
        <f aca="false">IF(AND(ISNUMBER(C5321),ISNUMBER(D5321)),D5321-C5321,"")</f>
        <v/>
      </c>
      <c r="Z5321" s="23" t="str">
        <f aca="false">IF(B5321="","",IF(MATCH(B5321,$B$2:$B$12000,0)=ROW()-1,1,0))</f>
        <v/>
      </c>
    </row>
    <row r="5322" customFormat="false" ht="15" hidden="false" customHeight="false" outlineLevel="0" collapsed="false">
      <c r="V5322" s="23" t="str">
        <f aca="false">IF(ISNUMBER(C5322),YEAR(C5322),"")</f>
        <v/>
      </c>
      <c r="W5322" s="23" t="str">
        <f aca="false">IF(ISNUMBER(C5322),MONTH(C5322),"")</f>
        <v/>
      </c>
      <c r="X5322" s="23" t="str">
        <f aca="false">IF(T5322="","",IF(T5322=0,"No discount",IF(T5322&lt;=0.2,"Low (1-20%)",IF(T5322&lt;=0.4,"Medium (21-40%)","High (&gt;40%)"))))</f>
        <v/>
      </c>
      <c r="Y5322" s="23" t="str">
        <f aca="false">IF(AND(ISNUMBER(C5322),ISNUMBER(D5322)),D5322-C5322,"")</f>
        <v/>
      </c>
      <c r="Z5322" s="23" t="str">
        <f aca="false">IF(B5322="","",IF(MATCH(B5322,$B$2:$B$12000,0)=ROW()-1,1,0))</f>
        <v/>
      </c>
    </row>
    <row r="5323" customFormat="false" ht="15" hidden="false" customHeight="false" outlineLevel="0" collapsed="false">
      <c r="V5323" s="23" t="str">
        <f aca="false">IF(ISNUMBER(C5323),YEAR(C5323),"")</f>
        <v/>
      </c>
      <c r="W5323" s="23" t="str">
        <f aca="false">IF(ISNUMBER(C5323),MONTH(C5323),"")</f>
        <v/>
      </c>
      <c r="X5323" s="23" t="str">
        <f aca="false">IF(T5323="","",IF(T5323=0,"No discount",IF(T5323&lt;=0.2,"Low (1-20%)",IF(T5323&lt;=0.4,"Medium (21-40%)","High (&gt;40%)"))))</f>
        <v/>
      </c>
      <c r="Y5323" s="23" t="str">
        <f aca="false">IF(AND(ISNUMBER(C5323),ISNUMBER(D5323)),D5323-C5323,"")</f>
        <v/>
      </c>
      <c r="Z5323" s="23" t="str">
        <f aca="false">IF(B5323="","",IF(MATCH(B5323,$B$2:$B$12000,0)=ROW()-1,1,0))</f>
        <v/>
      </c>
    </row>
    <row r="5324" customFormat="false" ht="15" hidden="false" customHeight="false" outlineLevel="0" collapsed="false">
      <c r="V5324" s="23" t="str">
        <f aca="false">IF(ISNUMBER(C5324),YEAR(C5324),"")</f>
        <v/>
      </c>
      <c r="W5324" s="23" t="str">
        <f aca="false">IF(ISNUMBER(C5324),MONTH(C5324),"")</f>
        <v/>
      </c>
      <c r="X5324" s="23" t="str">
        <f aca="false">IF(T5324="","",IF(T5324=0,"No discount",IF(T5324&lt;=0.2,"Low (1-20%)",IF(T5324&lt;=0.4,"Medium (21-40%)","High (&gt;40%)"))))</f>
        <v/>
      </c>
      <c r="Y5324" s="23" t="str">
        <f aca="false">IF(AND(ISNUMBER(C5324),ISNUMBER(D5324)),D5324-C5324,"")</f>
        <v/>
      </c>
      <c r="Z5324" s="23" t="str">
        <f aca="false">IF(B5324="","",IF(MATCH(B5324,$B$2:$B$12000,0)=ROW()-1,1,0))</f>
        <v/>
      </c>
    </row>
    <row r="5325" customFormat="false" ht="15" hidden="false" customHeight="false" outlineLevel="0" collapsed="false">
      <c r="V5325" s="23" t="str">
        <f aca="false">IF(ISNUMBER(C5325),YEAR(C5325),"")</f>
        <v/>
      </c>
      <c r="W5325" s="23" t="str">
        <f aca="false">IF(ISNUMBER(C5325),MONTH(C5325),"")</f>
        <v/>
      </c>
      <c r="X5325" s="23" t="str">
        <f aca="false">IF(T5325="","",IF(T5325=0,"No discount",IF(T5325&lt;=0.2,"Low (1-20%)",IF(T5325&lt;=0.4,"Medium (21-40%)","High (&gt;40%)"))))</f>
        <v/>
      </c>
      <c r="Y5325" s="23" t="str">
        <f aca="false">IF(AND(ISNUMBER(C5325),ISNUMBER(D5325)),D5325-C5325,"")</f>
        <v/>
      </c>
      <c r="Z5325" s="23" t="str">
        <f aca="false">IF(B5325="","",IF(MATCH(B5325,$B$2:$B$12000,0)=ROW()-1,1,0))</f>
        <v/>
      </c>
    </row>
    <row r="5326" customFormat="false" ht="15" hidden="false" customHeight="false" outlineLevel="0" collapsed="false">
      <c r="V5326" s="23" t="str">
        <f aca="false">IF(ISNUMBER(C5326),YEAR(C5326),"")</f>
        <v/>
      </c>
      <c r="W5326" s="23" t="str">
        <f aca="false">IF(ISNUMBER(C5326),MONTH(C5326),"")</f>
        <v/>
      </c>
      <c r="X5326" s="23" t="str">
        <f aca="false">IF(T5326="","",IF(T5326=0,"No discount",IF(T5326&lt;=0.2,"Low (1-20%)",IF(T5326&lt;=0.4,"Medium (21-40%)","High (&gt;40%)"))))</f>
        <v/>
      </c>
      <c r="Y5326" s="23" t="str">
        <f aca="false">IF(AND(ISNUMBER(C5326),ISNUMBER(D5326)),D5326-C5326,"")</f>
        <v/>
      </c>
      <c r="Z5326" s="23" t="str">
        <f aca="false">IF(B5326="","",IF(MATCH(B5326,$B$2:$B$12000,0)=ROW()-1,1,0))</f>
        <v/>
      </c>
    </row>
    <row r="5327" customFormat="false" ht="15" hidden="false" customHeight="false" outlineLevel="0" collapsed="false">
      <c r="V5327" s="23" t="str">
        <f aca="false">IF(ISNUMBER(C5327),YEAR(C5327),"")</f>
        <v/>
      </c>
      <c r="W5327" s="23" t="str">
        <f aca="false">IF(ISNUMBER(C5327),MONTH(C5327),"")</f>
        <v/>
      </c>
      <c r="X5327" s="23" t="str">
        <f aca="false">IF(T5327="","",IF(T5327=0,"No discount",IF(T5327&lt;=0.2,"Low (1-20%)",IF(T5327&lt;=0.4,"Medium (21-40%)","High (&gt;40%)"))))</f>
        <v/>
      </c>
      <c r="Y5327" s="23" t="str">
        <f aca="false">IF(AND(ISNUMBER(C5327),ISNUMBER(D5327)),D5327-C5327,"")</f>
        <v/>
      </c>
      <c r="Z5327" s="23" t="str">
        <f aca="false">IF(B5327="","",IF(MATCH(B5327,$B$2:$B$12000,0)=ROW()-1,1,0))</f>
        <v/>
      </c>
    </row>
    <row r="5328" customFormat="false" ht="15" hidden="false" customHeight="false" outlineLevel="0" collapsed="false">
      <c r="V5328" s="23" t="str">
        <f aca="false">IF(ISNUMBER(C5328),YEAR(C5328),"")</f>
        <v/>
      </c>
      <c r="W5328" s="23" t="str">
        <f aca="false">IF(ISNUMBER(C5328),MONTH(C5328),"")</f>
        <v/>
      </c>
      <c r="X5328" s="23" t="str">
        <f aca="false">IF(T5328="","",IF(T5328=0,"No discount",IF(T5328&lt;=0.2,"Low (1-20%)",IF(T5328&lt;=0.4,"Medium (21-40%)","High (&gt;40%)"))))</f>
        <v/>
      </c>
      <c r="Y5328" s="23" t="str">
        <f aca="false">IF(AND(ISNUMBER(C5328),ISNUMBER(D5328)),D5328-C5328,"")</f>
        <v/>
      </c>
      <c r="Z5328" s="23" t="str">
        <f aca="false">IF(B5328="","",IF(MATCH(B5328,$B$2:$B$12000,0)=ROW()-1,1,0))</f>
        <v/>
      </c>
    </row>
    <row r="5329" customFormat="false" ht="15" hidden="false" customHeight="false" outlineLevel="0" collapsed="false">
      <c r="V5329" s="23" t="str">
        <f aca="false">IF(ISNUMBER(C5329),YEAR(C5329),"")</f>
        <v/>
      </c>
      <c r="W5329" s="23" t="str">
        <f aca="false">IF(ISNUMBER(C5329),MONTH(C5329),"")</f>
        <v/>
      </c>
      <c r="X5329" s="23" t="str">
        <f aca="false">IF(T5329="","",IF(T5329=0,"No discount",IF(T5329&lt;=0.2,"Low (1-20%)",IF(T5329&lt;=0.4,"Medium (21-40%)","High (&gt;40%)"))))</f>
        <v/>
      </c>
      <c r="Y5329" s="23" t="str">
        <f aca="false">IF(AND(ISNUMBER(C5329),ISNUMBER(D5329)),D5329-C5329,"")</f>
        <v/>
      </c>
      <c r="Z5329" s="23" t="str">
        <f aca="false">IF(B5329="","",IF(MATCH(B5329,$B$2:$B$12000,0)=ROW()-1,1,0))</f>
        <v/>
      </c>
    </row>
    <row r="5330" customFormat="false" ht="15" hidden="false" customHeight="false" outlineLevel="0" collapsed="false">
      <c r="V5330" s="23" t="str">
        <f aca="false">IF(ISNUMBER(C5330),YEAR(C5330),"")</f>
        <v/>
      </c>
      <c r="W5330" s="23" t="str">
        <f aca="false">IF(ISNUMBER(C5330),MONTH(C5330),"")</f>
        <v/>
      </c>
      <c r="X5330" s="23" t="str">
        <f aca="false">IF(T5330="","",IF(T5330=0,"No discount",IF(T5330&lt;=0.2,"Low (1-20%)",IF(T5330&lt;=0.4,"Medium (21-40%)","High (&gt;40%)"))))</f>
        <v/>
      </c>
      <c r="Y5330" s="23" t="str">
        <f aca="false">IF(AND(ISNUMBER(C5330),ISNUMBER(D5330)),D5330-C5330,"")</f>
        <v/>
      </c>
      <c r="Z5330" s="23" t="str">
        <f aca="false">IF(B5330="","",IF(MATCH(B5330,$B$2:$B$12000,0)=ROW()-1,1,0))</f>
        <v/>
      </c>
    </row>
    <row r="5331" customFormat="false" ht="15" hidden="false" customHeight="false" outlineLevel="0" collapsed="false">
      <c r="V5331" s="23" t="str">
        <f aca="false">IF(ISNUMBER(C5331),YEAR(C5331),"")</f>
        <v/>
      </c>
      <c r="W5331" s="23" t="str">
        <f aca="false">IF(ISNUMBER(C5331),MONTH(C5331),"")</f>
        <v/>
      </c>
      <c r="X5331" s="23" t="str">
        <f aca="false">IF(T5331="","",IF(T5331=0,"No discount",IF(T5331&lt;=0.2,"Low (1-20%)",IF(T5331&lt;=0.4,"Medium (21-40%)","High (&gt;40%)"))))</f>
        <v/>
      </c>
      <c r="Y5331" s="23" t="str">
        <f aca="false">IF(AND(ISNUMBER(C5331),ISNUMBER(D5331)),D5331-C5331,"")</f>
        <v/>
      </c>
      <c r="Z5331" s="23" t="str">
        <f aca="false">IF(B5331="","",IF(MATCH(B5331,$B$2:$B$12000,0)=ROW()-1,1,0))</f>
        <v/>
      </c>
    </row>
    <row r="5332" customFormat="false" ht="15" hidden="false" customHeight="false" outlineLevel="0" collapsed="false">
      <c r="V5332" s="23" t="str">
        <f aca="false">IF(ISNUMBER(C5332),YEAR(C5332),"")</f>
        <v/>
      </c>
      <c r="W5332" s="23" t="str">
        <f aca="false">IF(ISNUMBER(C5332),MONTH(C5332),"")</f>
        <v/>
      </c>
      <c r="X5332" s="23" t="str">
        <f aca="false">IF(T5332="","",IF(T5332=0,"No discount",IF(T5332&lt;=0.2,"Low (1-20%)",IF(T5332&lt;=0.4,"Medium (21-40%)","High (&gt;40%)"))))</f>
        <v/>
      </c>
      <c r="Y5332" s="23" t="str">
        <f aca="false">IF(AND(ISNUMBER(C5332),ISNUMBER(D5332)),D5332-C5332,"")</f>
        <v/>
      </c>
      <c r="Z5332" s="23" t="str">
        <f aca="false">IF(B5332="","",IF(MATCH(B5332,$B$2:$B$12000,0)=ROW()-1,1,0))</f>
        <v/>
      </c>
    </row>
    <row r="5333" customFormat="false" ht="15" hidden="false" customHeight="false" outlineLevel="0" collapsed="false">
      <c r="V5333" s="23" t="str">
        <f aca="false">IF(ISNUMBER(C5333),YEAR(C5333),"")</f>
        <v/>
      </c>
      <c r="W5333" s="23" t="str">
        <f aca="false">IF(ISNUMBER(C5333),MONTH(C5333),"")</f>
        <v/>
      </c>
      <c r="X5333" s="23" t="str">
        <f aca="false">IF(T5333="","",IF(T5333=0,"No discount",IF(T5333&lt;=0.2,"Low (1-20%)",IF(T5333&lt;=0.4,"Medium (21-40%)","High (&gt;40%)"))))</f>
        <v/>
      </c>
      <c r="Y5333" s="23" t="str">
        <f aca="false">IF(AND(ISNUMBER(C5333),ISNUMBER(D5333)),D5333-C5333,"")</f>
        <v/>
      </c>
      <c r="Z5333" s="23" t="str">
        <f aca="false">IF(B5333="","",IF(MATCH(B5333,$B$2:$B$12000,0)=ROW()-1,1,0))</f>
        <v/>
      </c>
    </row>
    <row r="5334" customFormat="false" ht="15" hidden="false" customHeight="false" outlineLevel="0" collapsed="false">
      <c r="V5334" s="23" t="str">
        <f aca="false">IF(ISNUMBER(C5334),YEAR(C5334),"")</f>
        <v/>
      </c>
      <c r="W5334" s="23" t="str">
        <f aca="false">IF(ISNUMBER(C5334),MONTH(C5334),"")</f>
        <v/>
      </c>
      <c r="X5334" s="23" t="str">
        <f aca="false">IF(T5334="","",IF(T5334=0,"No discount",IF(T5334&lt;=0.2,"Low (1-20%)",IF(T5334&lt;=0.4,"Medium (21-40%)","High (&gt;40%)"))))</f>
        <v/>
      </c>
      <c r="Y5334" s="23" t="str">
        <f aca="false">IF(AND(ISNUMBER(C5334),ISNUMBER(D5334)),D5334-C5334,"")</f>
        <v/>
      </c>
      <c r="Z5334" s="23" t="str">
        <f aca="false">IF(B5334="","",IF(MATCH(B5334,$B$2:$B$12000,0)=ROW()-1,1,0))</f>
        <v/>
      </c>
    </row>
    <row r="5335" customFormat="false" ht="15" hidden="false" customHeight="false" outlineLevel="0" collapsed="false">
      <c r="V5335" s="23" t="str">
        <f aca="false">IF(ISNUMBER(C5335),YEAR(C5335),"")</f>
        <v/>
      </c>
      <c r="W5335" s="23" t="str">
        <f aca="false">IF(ISNUMBER(C5335),MONTH(C5335),"")</f>
        <v/>
      </c>
      <c r="X5335" s="23" t="str">
        <f aca="false">IF(T5335="","",IF(T5335=0,"No discount",IF(T5335&lt;=0.2,"Low (1-20%)",IF(T5335&lt;=0.4,"Medium (21-40%)","High (&gt;40%)"))))</f>
        <v/>
      </c>
      <c r="Y5335" s="23" t="str">
        <f aca="false">IF(AND(ISNUMBER(C5335),ISNUMBER(D5335)),D5335-C5335,"")</f>
        <v/>
      </c>
      <c r="Z5335" s="23" t="str">
        <f aca="false">IF(B5335="","",IF(MATCH(B5335,$B$2:$B$12000,0)=ROW()-1,1,0))</f>
        <v/>
      </c>
    </row>
    <row r="5336" customFormat="false" ht="15" hidden="false" customHeight="false" outlineLevel="0" collapsed="false">
      <c r="V5336" s="23" t="str">
        <f aca="false">IF(ISNUMBER(C5336),YEAR(C5336),"")</f>
        <v/>
      </c>
      <c r="W5336" s="23" t="str">
        <f aca="false">IF(ISNUMBER(C5336),MONTH(C5336),"")</f>
        <v/>
      </c>
      <c r="X5336" s="23" t="str">
        <f aca="false">IF(T5336="","",IF(T5336=0,"No discount",IF(T5336&lt;=0.2,"Low (1-20%)",IF(T5336&lt;=0.4,"Medium (21-40%)","High (&gt;40%)"))))</f>
        <v/>
      </c>
      <c r="Y5336" s="23" t="str">
        <f aca="false">IF(AND(ISNUMBER(C5336),ISNUMBER(D5336)),D5336-C5336,"")</f>
        <v/>
      </c>
      <c r="Z5336" s="23" t="str">
        <f aca="false">IF(B5336="","",IF(MATCH(B5336,$B$2:$B$12000,0)=ROW()-1,1,0))</f>
        <v/>
      </c>
    </row>
    <row r="5337" customFormat="false" ht="15" hidden="false" customHeight="false" outlineLevel="0" collapsed="false">
      <c r="V5337" s="23" t="str">
        <f aca="false">IF(ISNUMBER(C5337),YEAR(C5337),"")</f>
        <v/>
      </c>
      <c r="W5337" s="23" t="str">
        <f aca="false">IF(ISNUMBER(C5337),MONTH(C5337),"")</f>
        <v/>
      </c>
      <c r="X5337" s="23" t="str">
        <f aca="false">IF(T5337="","",IF(T5337=0,"No discount",IF(T5337&lt;=0.2,"Low (1-20%)",IF(T5337&lt;=0.4,"Medium (21-40%)","High (&gt;40%)"))))</f>
        <v/>
      </c>
      <c r="Y5337" s="23" t="str">
        <f aca="false">IF(AND(ISNUMBER(C5337),ISNUMBER(D5337)),D5337-C5337,"")</f>
        <v/>
      </c>
      <c r="Z5337" s="23" t="str">
        <f aca="false">IF(B5337="","",IF(MATCH(B5337,$B$2:$B$12000,0)=ROW()-1,1,0))</f>
        <v/>
      </c>
    </row>
    <row r="5338" customFormat="false" ht="15" hidden="false" customHeight="false" outlineLevel="0" collapsed="false">
      <c r="V5338" s="23" t="str">
        <f aca="false">IF(ISNUMBER(C5338),YEAR(C5338),"")</f>
        <v/>
      </c>
      <c r="W5338" s="23" t="str">
        <f aca="false">IF(ISNUMBER(C5338),MONTH(C5338),"")</f>
        <v/>
      </c>
      <c r="X5338" s="23" t="str">
        <f aca="false">IF(T5338="","",IF(T5338=0,"No discount",IF(T5338&lt;=0.2,"Low (1-20%)",IF(T5338&lt;=0.4,"Medium (21-40%)","High (&gt;40%)"))))</f>
        <v/>
      </c>
      <c r="Y5338" s="23" t="str">
        <f aca="false">IF(AND(ISNUMBER(C5338),ISNUMBER(D5338)),D5338-C5338,"")</f>
        <v/>
      </c>
      <c r="Z5338" s="23" t="str">
        <f aca="false">IF(B5338="","",IF(MATCH(B5338,$B$2:$B$12000,0)=ROW()-1,1,0))</f>
        <v/>
      </c>
    </row>
    <row r="5339" customFormat="false" ht="15" hidden="false" customHeight="false" outlineLevel="0" collapsed="false">
      <c r="V5339" s="23" t="str">
        <f aca="false">IF(ISNUMBER(C5339),YEAR(C5339),"")</f>
        <v/>
      </c>
      <c r="W5339" s="23" t="str">
        <f aca="false">IF(ISNUMBER(C5339),MONTH(C5339),"")</f>
        <v/>
      </c>
      <c r="X5339" s="23" t="str">
        <f aca="false">IF(T5339="","",IF(T5339=0,"No discount",IF(T5339&lt;=0.2,"Low (1-20%)",IF(T5339&lt;=0.4,"Medium (21-40%)","High (&gt;40%)"))))</f>
        <v/>
      </c>
      <c r="Y5339" s="23" t="str">
        <f aca="false">IF(AND(ISNUMBER(C5339),ISNUMBER(D5339)),D5339-C5339,"")</f>
        <v/>
      </c>
      <c r="Z5339" s="23" t="str">
        <f aca="false">IF(B5339="","",IF(MATCH(B5339,$B$2:$B$12000,0)=ROW()-1,1,0))</f>
        <v/>
      </c>
    </row>
    <row r="5340" customFormat="false" ht="15" hidden="false" customHeight="false" outlineLevel="0" collapsed="false">
      <c r="V5340" s="23" t="str">
        <f aca="false">IF(ISNUMBER(C5340),YEAR(C5340),"")</f>
        <v/>
      </c>
      <c r="W5340" s="23" t="str">
        <f aca="false">IF(ISNUMBER(C5340),MONTH(C5340),"")</f>
        <v/>
      </c>
      <c r="X5340" s="23" t="str">
        <f aca="false">IF(T5340="","",IF(T5340=0,"No discount",IF(T5340&lt;=0.2,"Low (1-20%)",IF(T5340&lt;=0.4,"Medium (21-40%)","High (&gt;40%)"))))</f>
        <v/>
      </c>
      <c r="Y5340" s="23" t="str">
        <f aca="false">IF(AND(ISNUMBER(C5340),ISNUMBER(D5340)),D5340-C5340,"")</f>
        <v/>
      </c>
      <c r="Z5340" s="23" t="str">
        <f aca="false">IF(B5340="","",IF(MATCH(B5340,$B$2:$B$12000,0)=ROW()-1,1,0))</f>
        <v/>
      </c>
    </row>
    <row r="5341" customFormat="false" ht="15" hidden="false" customHeight="false" outlineLevel="0" collapsed="false">
      <c r="V5341" s="23" t="str">
        <f aca="false">IF(ISNUMBER(C5341),YEAR(C5341),"")</f>
        <v/>
      </c>
      <c r="W5341" s="23" t="str">
        <f aca="false">IF(ISNUMBER(C5341),MONTH(C5341),"")</f>
        <v/>
      </c>
      <c r="X5341" s="23" t="str">
        <f aca="false">IF(T5341="","",IF(T5341=0,"No discount",IF(T5341&lt;=0.2,"Low (1-20%)",IF(T5341&lt;=0.4,"Medium (21-40%)","High (&gt;40%)"))))</f>
        <v/>
      </c>
      <c r="Y5341" s="23" t="str">
        <f aca="false">IF(AND(ISNUMBER(C5341),ISNUMBER(D5341)),D5341-C5341,"")</f>
        <v/>
      </c>
      <c r="Z5341" s="23" t="str">
        <f aca="false">IF(B5341="","",IF(MATCH(B5341,$B$2:$B$12000,0)=ROW()-1,1,0))</f>
        <v/>
      </c>
    </row>
    <row r="5342" customFormat="false" ht="15" hidden="false" customHeight="false" outlineLevel="0" collapsed="false">
      <c r="V5342" s="23" t="str">
        <f aca="false">IF(ISNUMBER(C5342),YEAR(C5342),"")</f>
        <v/>
      </c>
      <c r="W5342" s="23" t="str">
        <f aca="false">IF(ISNUMBER(C5342),MONTH(C5342),"")</f>
        <v/>
      </c>
      <c r="X5342" s="23" t="str">
        <f aca="false">IF(T5342="","",IF(T5342=0,"No discount",IF(T5342&lt;=0.2,"Low (1-20%)",IF(T5342&lt;=0.4,"Medium (21-40%)","High (&gt;40%)"))))</f>
        <v/>
      </c>
      <c r="Y5342" s="23" t="str">
        <f aca="false">IF(AND(ISNUMBER(C5342),ISNUMBER(D5342)),D5342-C5342,"")</f>
        <v/>
      </c>
      <c r="Z5342" s="23" t="str">
        <f aca="false">IF(B5342="","",IF(MATCH(B5342,$B$2:$B$12000,0)=ROW()-1,1,0))</f>
        <v/>
      </c>
    </row>
    <row r="5343" customFormat="false" ht="15" hidden="false" customHeight="false" outlineLevel="0" collapsed="false">
      <c r="V5343" s="23" t="str">
        <f aca="false">IF(ISNUMBER(C5343),YEAR(C5343),"")</f>
        <v/>
      </c>
      <c r="W5343" s="23" t="str">
        <f aca="false">IF(ISNUMBER(C5343),MONTH(C5343),"")</f>
        <v/>
      </c>
      <c r="X5343" s="23" t="str">
        <f aca="false">IF(T5343="","",IF(T5343=0,"No discount",IF(T5343&lt;=0.2,"Low (1-20%)",IF(T5343&lt;=0.4,"Medium (21-40%)","High (&gt;40%)"))))</f>
        <v/>
      </c>
      <c r="Y5343" s="23" t="str">
        <f aca="false">IF(AND(ISNUMBER(C5343),ISNUMBER(D5343)),D5343-C5343,"")</f>
        <v/>
      </c>
      <c r="Z5343" s="23" t="str">
        <f aca="false">IF(B5343="","",IF(MATCH(B5343,$B$2:$B$12000,0)=ROW()-1,1,0))</f>
        <v/>
      </c>
    </row>
    <row r="5344" customFormat="false" ht="15" hidden="false" customHeight="false" outlineLevel="0" collapsed="false">
      <c r="V5344" s="23" t="str">
        <f aca="false">IF(ISNUMBER(C5344),YEAR(C5344),"")</f>
        <v/>
      </c>
      <c r="W5344" s="23" t="str">
        <f aca="false">IF(ISNUMBER(C5344),MONTH(C5344),"")</f>
        <v/>
      </c>
      <c r="X5344" s="23" t="str">
        <f aca="false">IF(T5344="","",IF(T5344=0,"No discount",IF(T5344&lt;=0.2,"Low (1-20%)",IF(T5344&lt;=0.4,"Medium (21-40%)","High (&gt;40%)"))))</f>
        <v/>
      </c>
      <c r="Y5344" s="23" t="str">
        <f aca="false">IF(AND(ISNUMBER(C5344),ISNUMBER(D5344)),D5344-C5344,"")</f>
        <v/>
      </c>
      <c r="Z5344" s="23" t="str">
        <f aca="false">IF(B5344="","",IF(MATCH(B5344,$B$2:$B$12000,0)=ROW()-1,1,0))</f>
        <v/>
      </c>
    </row>
    <row r="5345" customFormat="false" ht="15" hidden="false" customHeight="false" outlineLevel="0" collapsed="false">
      <c r="V5345" s="23" t="str">
        <f aca="false">IF(ISNUMBER(C5345),YEAR(C5345),"")</f>
        <v/>
      </c>
      <c r="W5345" s="23" t="str">
        <f aca="false">IF(ISNUMBER(C5345),MONTH(C5345),"")</f>
        <v/>
      </c>
      <c r="X5345" s="23" t="str">
        <f aca="false">IF(T5345="","",IF(T5345=0,"No discount",IF(T5345&lt;=0.2,"Low (1-20%)",IF(T5345&lt;=0.4,"Medium (21-40%)","High (&gt;40%)"))))</f>
        <v/>
      </c>
      <c r="Y5345" s="23" t="str">
        <f aca="false">IF(AND(ISNUMBER(C5345),ISNUMBER(D5345)),D5345-C5345,"")</f>
        <v/>
      </c>
      <c r="Z5345" s="23" t="str">
        <f aca="false">IF(B5345="","",IF(MATCH(B5345,$B$2:$B$12000,0)=ROW()-1,1,0))</f>
        <v/>
      </c>
    </row>
    <row r="5346" customFormat="false" ht="15" hidden="false" customHeight="false" outlineLevel="0" collapsed="false">
      <c r="V5346" s="23" t="str">
        <f aca="false">IF(ISNUMBER(C5346),YEAR(C5346),"")</f>
        <v/>
      </c>
      <c r="W5346" s="23" t="str">
        <f aca="false">IF(ISNUMBER(C5346),MONTH(C5346),"")</f>
        <v/>
      </c>
      <c r="X5346" s="23" t="str">
        <f aca="false">IF(T5346="","",IF(T5346=0,"No discount",IF(T5346&lt;=0.2,"Low (1-20%)",IF(T5346&lt;=0.4,"Medium (21-40%)","High (&gt;40%)"))))</f>
        <v/>
      </c>
      <c r="Y5346" s="23" t="str">
        <f aca="false">IF(AND(ISNUMBER(C5346),ISNUMBER(D5346)),D5346-C5346,"")</f>
        <v/>
      </c>
      <c r="Z5346" s="23" t="str">
        <f aca="false">IF(B5346="","",IF(MATCH(B5346,$B$2:$B$12000,0)=ROW()-1,1,0))</f>
        <v/>
      </c>
    </row>
    <row r="5347" customFormat="false" ht="15" hidden="false" customHeight="false" outlineLevel="0" collapsed="false">
      <c r="V5347" s="23" t="str">
        <f aca="false">IF(ISNUMBER(C5347),YEAR(C5347),"")</f>
        <v/>
      </c>
      <c r="W5347" s="23" t="str">
        <f aca="false">IF(ISNUMBER(C5347),MONTH(C5347),"")</f>
        <v/>
      </c>
      <c r="X5347" s="23" t="str">
        <f aca="false">IF(T5347="","",IF(T5347=0,"No discount",IF(T5347&lt;=0.2,"Low (1-20%)",IF(T5347&lt;=0.4,"Medium (21-40%)","High (&gt;40%)"))))</f>
        <v/>
      </c>
      <c r="Y5347" s="23" t="str">
        <f aca="false">IF(AND(ISNUMBER(C5347),ISNUMBER(D5347)),D5347-C5347,"")</f>
        <v/>
      </c>
      <c r="Z5347" s="23" t="str">
        <f aca="false">IF(B5347="","",IF(MATCH(B5347,$B$2:$B$12000,0)=ROW()-1,1,0))</f>
        <v/>
      </c>
    </row>
    <row r="5348" customFormat="false" ht="15" hidden="false" customHeight="false" outlineLevel="0" collapsed="false">
      <c r="V5348" s="23" t="str">
        <f aca="false">IF(ISNUMBER(C5348),YEAR(C5348),"")</f>
        <v/>
      </c>
      <c r="W5348" s="23" t="str">
        <f aca="false">IF(ISNUMBER(C5348),MONTH(C5348),"")</f>
        <v/>
      </c>
      <c r="X5348" s="23" t="str">
        <f aca="false">IF(T5348="","",IF(T5348=0,"No discount",IF(T5348&lt;=0.2,"Low (1-20%)",IF(T5348&lt;=0.4,"Medium (21-40%)","High (&gt;40%)"))))</f>
        <v/>
      </c>
      <c r="Y5348" s="23" t="str">
        <f aca="false">IF(AND(ISNUMBER(C5348),ISNUMBER(D5348)),D5348-C5348,"")</f>
        <v/>
      </c>
      <c r="Z5348" s="23" t="str">
        <f aca="false">IF(B5348="","",IF(MATCH(B5348,$B$2:$B$12000,0)=ROW()-1,1,0))</f>
        <v/>
      </c>
    </row>
    <row r="5349" customFormat="false" ht="15" hidden="false" customHeight="false" outlineLevel="0" collapsed="false">
      <c r="V5349" s="23" t="str">
        <f aca="false">IF(ISNUMBER(C5349),YEAR(C5349),"")</f>
        <v/>
      </c>
      <c r="W5349" s="23" t="str">
        <f aca="false">IF(ISNUMBER(C5349),MONTH(C5349),"")</f>
        <v/>
      </c>
      <c r="X5349" s="23" t="str">
        <f aca="false">IF(T5349="","",IF(T5349=0,"No discount",IF(T5349&lt;=0.2,"Low (1-20%)",IF(T5349&lt;=0.4,"Medium (21-40%)","High (&gt;40%)"))))</f>
        <v/>
      </c>
      <c r="Y5349" s="23" t="str">
        <f aca="false">IF(AND(ISNUMBER(C5349),ISNUMBER(D5349)),D5349-C5349,"")</f>
        <v/>
      </c>
      <c r="Z5349" s="23" t="str">
        <f aca="false">IF(B5349="","",IF(MATCH(B5349,$B$2:$B$12000,0)=ROW()-1,1,0))</f>
        <v/>
      </c>
    </row>
    <row r="5350" customFormat="false" ht="15" hidden="false" customHeight="false" outlineLevel="0" collapsed="false">
      <c r="V5350" s="23" t="str">
        <f aca="false">IF(ISNUMBER(C5350),YEAR(C5350),"")</f>
        <v/>
      </c>
      <c r="W5350" s="23" t="str">
        <f aca="false">IF(ISNUMBER(C5350),MONTH(C5350),"")</f>
        <v/>
      </c>
      <c r="X5350" s="23" t="str">
        <f aca="false">IF(T5350="","",IF(T5350=0,"No discount",IF(T5350&lt;=0.2,"Low (1-20%)",IF(T5350&lt;=0.4,"Medium (21-40%)","High (&gt;40%)"))))</f>
        <v/>
      </c>
      <c r="Y5350" s="23" t="str">
        <f aca="false">IF(AND(ISNUMBER(C5350),ISNUMBER(D5350)),D5350-C5350,"")</f>
        <v/>
      </c>
      <c r="Z5350" s="23" t="str">
        <f aca="false">IF(B5350="","",IF(MATCH(B5350,$B$2:$B$12000,0)=ROW()-1,1,0))</f>
        <v/>
      </c>
    </row>
    <row r="5351" customFormat="false" ht="15" hidden="false" customHeight="false" outlineLevel="0" collapsed="false">
      <c r="V5351" s="23" t="str">
        <f aca="false">IF(ISNUMBER(C5351),YEAR(C5351),"")</f>
        <v/>
      </c>
      <c r="W5351" s="23" t="str">
        <f aca="false">IF(ISNUMBER(C5351),MONTH(C5351),"")</f>
        <v/>
      </c>
      <c r="X5351" s="23" t="str">
        <f aca="false">IF(T5351="","",IF(T5351=0,"No discount",IF(T5351&lt;=0.2,"Low (1-20%)",IF(T5351&lt;=0.4,"Medium (21-40%)","High (&gt;40%)"))))</f>
        <v/>
      </c>
      <c r="Y5351" s="23" t="str">
        <f aca="false">IF(AND(ISNUMBER(C5351),ISNUMBER(D5351)),D5351-C5351,"")</f>
        <v/>
      </c>
      <c r="Z5351" s="23" t="str">
        <f aca="false">IF(B5351="","",IF(MATCH(B5351,$B$2:$B$12000,0)=ROW()-1,1,0))</f>
        <v/>
      </c>
    </row>
    <row r="5352" customFormat="false" ht="15" hidden="false" customHeight="false" outlineLevel="0" collapsed="false">
      <c r="V5352" s="23" t="str">
        <f aca="false">IF(ISNUMBER(C5352),YEAR(C5352),"")</f>
        <v/>
      </c>
      <c r="W5352" s="23" t="str">
        <f aca="false">IF(ISNUMBER(C5352),MONTH(C5352),"")</f>
        <v/>
      </c>
      <c r="X5352" s="23" t="str">
        <f aca="false">IF(T5352="","",IF(T5352=0,"No discount",IF(T5352&lt;=0.2,"Low (1-20%)",IF(T5352&lt;=0.4,"Medium (21-40%)","High (&gt;40%)"))))</f>
        <v/>
      </c>
      <c r="Y5352" s="23" t="str">
        <f aca="false">IF(AND(ISNUMBER(C5352),ISNUMBER(D5352)),D5352-C5352,"")</f>
        <v/>
      </c>
      <c r="Z5352" s="23" t="str">
        <f aca="false">IF(B5352="","",IF(MATCH(B5352,$B$2:$B$12000,0)=ROW()-1,1,0))</f>
        <v/>
      </c>
    </row>
    <row r="5353" customFormat="false" ht="15" hidden="false" customHeight="false" outlineLevel="0" collapsed="false">
      <c r="V5353" s="23" t="str">
        <f aca="false">IF(ISNUMBER(C5353),YEAR(C5353),"")</f>
        <v/>
      </c>
      <c r="W5353" s="23" t="str">
        <f aca="false">IF(ISNUMBER(C5353),MONTH(C5353),"")</f>
        <v/>
      </c>
      <c r="X5353" s="23" t="str">
        <f aca="false">IF(T5353="","",IF(T5353=0,"No discount",IF(T5353&lt;=0.2,"Low (1-20%)",IF(T5353&lt;=0.4,"Medium (21-40%)","High (&gt;40%)"))))</f>
        <v/>
      </c>
      <c r="Y5353" s="23" t="str">
        <f aca="false">IF(AND(ISNUMBER(C5353),ISNUMBER(D5353)),D5353-C5353,"")</f>
        <v/>
      </c>
      <c r="Z5353" s="23" t="str">
        <f aca="false">IF(B5353="","",IF(MATCH(B5353,$B$2:$B$12000,0)=ROW()-1,1,0))</f>
        <v/>
      </c>
    </row>
    <row r="5354" customFormat="false" ht="15" hidden="false" customHeight="false" outlineLevel="0" collapsed="false">
      <c r="V5354" s="23" t="str">
        <f aca="false">IF(ISNUMBER(C5354),YEAR(C5354),"")</f>
        <v/>
      </c>
      <c r="W5354" s="23" t="str">
        <f aca="false">IF(ISNUMBER(C5354),MONTH(C5354),"")</f>
        <v/>
      </c>
      <c r="X5354" s="23" t="str">
        <f aca="false">IF(T5354="","",IF(T5354=0,"No discount",IF(T5354&lt;=0.2,"Low (1-20%)",IF(T5354&lt;=0.4,"Medium (21-40%)","High (&gt;40%)"))))</f>
        <v/>
      </c>
      <c r="Y5354" s="23" t="str">
        <f aca="false">IF(AND(ISNUMBER(C5354),ISNUMBER(D5354)),D5354-C5354,"")</f>
        <v/>
      </c>
      <c r="Z5354" s="23" t="str">
        <f aca="false">IF(B5354="","",IF(MATCH(B5354,$B$2:$B$12000,0)=ROW()-1,1,0))</f>
        <v/>
      </c>
    </row>
    <row r="5355" customFormat="false" ht="15" hidden="false" customHeight="false" outlineLevel="0" collapsed="false">
      <c r="V5355" s="23" t="str">
        <f aca="false">IF(ISNUMBER(C5355),YEAR(C5355),"")</f>
        <v/>
      </c>
      <c r="W5355" s="23" t="str">
        <f aca="false">IF(ISNUMBER(C5355),MONTH(C5355),"")</f>
        <v/>
      </c>
      <c r="X5355" s="23" t="str">
        <f aca="false">IF(T5355="","",IF(T5355=0,"No discount",IF(T5355&lt;=0.2,"Low (1-20%)",IF(T5355&lt;=0.4,"Medium (21-40%)","High (&gt;40%)"))))</f>
        <v/>
      </c>
      <c r="Y5355" s="23" t="str">
        <f aca="false">IF(AND(ISNUMBER(C5355),ISNUMBER(D5355)),D5355-C5355,"")</f>
        <v/>
      </c>
      <c r="Z5355" s="23" t="str">
        <f aca="false">IF(B5355="","",IF(MATCH(B5355,$B$2:$B$12000,0)=ROW()-1,1,0))</f>
        <v/>
      </c>
    </row>
    <row r="5356" customFormat="false" ht="15" hidden="false" customHeight="false" outlineLevel="0" collapsed="false">
      <c r="V5356" s="23" t="str">
        <f aca="false">IF(ISNUMBER(C5356),YEAR(C5356),"")</f>
        <v/>
      </c>
      <c r="W5356" s="23" t="str">
        <f aca="false">IF(ISNUMBER(C5356),MONTH(C5356),"")</f>
        <v/>
      </c>
      <c r="X5356" s="23" t="str">
        <f aca="false">IF(T5356="","",IF(T5356=0,"No discount",IF(T5356&lt;=0.2,"Low (1-20%)",IF(T5356&lt;=0.4,"Medium (21-40%)","High (&gt;40%)"))))</f>
        <v/>
      </c>
      <c r="Y5356" s="23" t="str">
        <f aca="false">IF(AND(ISNUMBER(C5356),ISNUMBER(D5356)),D5356-C5356,"")</f>
        <v/>
      </c>
      <c r="Z5356" s="23" t="str">
        <f aca="false">IF(B5356="","",IF(MATCH(B5356,$B$2:$B$12000,0)=ROW()-1,1,0))</f>
        <v/>
      </c>
    </row>
    <row r="5357" customFormat="false" ht="15" hidden="false" customHeight="false" outlineLevel="0" collapsed="false">
      <c r="V5357" s="23" t="str">
        <f aca="false">IF(ISNUMBER(C5357),YEAR(C5357),"")</f>
        <v/>
      </c>
      <c r="W5357" s="23" t="str">
        <f aca="false">IF(ISNUMBER(C5357),MONTH(C5357),"")</f>
        <v/>
      </c>
      <c r="X5357" s="23" t="str">
        <f aca="false">IF(T5357="","",IF(T5357=0,"No discount",IF(T5357&lt;=0.2,"Low (1-20%)",IF(T5357&lt;=0.4,"Medium (21-40%)","High (&gt;40%)"))))</f>
        <v/>
      </c>
      <c r="Y5357" s="23" t="str">
        <f aca="false">IF(AND(ISNUMBER(C5357),ISNUMBER(D5357)),D5357-C5357,"")</f>
        <v/>
      </c>
      <c r="Z5357" s="23" t="str">
        <f aca="false">IF(B5357="","",IF(MATCH(B5357,$B$2:$B$12000,0)=ROW()-1,1,0))</f>
        <v/>
      </c>
    </row>
    <row r="5358" customFormat="false" ht="15" hidden="false" customHeight="false" outlineLevel="0" collapsed="false">
      <c r="V5358" s="23" t="str">
        <f aca="false">IF(ISNUMBER(C5358),YEAR(C5358),"")</f>
        <v/>
      </c>
      <c r="W5358" s="23" t="str">
        <f aca="false">IF(ISNUMBER(C5358),MONTH(C5358),"")</f>
        <v/>
      </c>
      <c r="X5358" s="23" t="str">
        <f aca="false">IF(T5358="","",IF(T5358=0,"No discount",IF(T5358&lt;=0.2,"Low (1-20%)",IF(T5358&lt;=0.4,"Medium (21-40%)","High (&gt;40%)"))))</f>
        <v/>
      </c>
      <c r="Y5358" s="23" t="str">
        <f aca="false">IF(AND(ISNUMBER(C5358),ISNUMBER(D5358)),D5358-C5358,"")</f>
        <v/>
      </c>
      <c r="Z5358" s="23" t="str">
        <f aca="false">IF(B5358="","",IF(MATCH(B5358,$B$2:$B$12000,0)=ROW()-1,1,0))</f>
        <v/>
      </c>
    </row>
    <row r="5359" customFormat="false" ht="15" hidden="false" customHeight="false" outlineLevel="0" collapsed="false">
      <c r="V5359" s="23" t="str">
        <f aca="false">IF(ISNUMBER(C5359),YEAR(C5359),"")</f>
        <v/>
      </c>
      <c r="W5359" s="23" t="str">
        <f aca="false">IF(ISNUMBER(C5359),MONTH(C5359),"")</f>
        <v/>
      </c>
      <c r="X5359" s="23" t="str">
        <f aca="false">IF(T5359="","",IF(T5359=0,"No discount",IF(T5359&lt;=0.2,"Low (1-20%)",IF(T5359&lt;=0.4,"Medium (21-40%)","High (&gt;40%)"))))</f>
        <v/>
      </c>
      <c r="Y5359" s="23" t="str">
        <f aca="false">IF(AND(ISNUMBER(C5359),ISNUMBER(D5359)),D5359-C5359,"")</f>
        <v/>
      </c>
      <c r="Z5359" s="23" t="str">
        <f aca="false">IF(B5359="","",IF(MATCH(B5359,$B$2:$B$12000,0)=ROW()-1,1,0))</f>
        <v/>
      </c>
    </row>
    <row r="5360" customFormat="false" ht="15" hidden="false" customHeight="false" outlineLevel="0" collapsed="false">
      <c r="V5360" s="23" t="str">
        <f aca="false">IF(ISNUMBER(C5360),YEAR(C5360),"")</f>
        <v/>
      </c>
      <c r="W5360" s="23" t="str">
        <f aca="false">IF(ISNUMBER(C5360),MONTH(C5360),"")</f>
        <v/>
      </c>
      <c r="X5360" s="23" t="str">
        <f aca="false">IF(T5360="","",IF(T5360=0,"No discount",IF(T5360&lt;=0.2,"Low (1-20%)",IF(T5360&lt;=0.4,"Medium (21-40%)","High (&gt;40%)"))))</f>
        <v/>
      </c>
      <c r="Y5360" s="23" t="str">
        <f aca="false">IF(AND(ISNUMBER(C5360),ISNUMBER(D5360)),D5360-C5360,"")</f>
        <v/>
      </c>
      <c r="Z5360" s="23" t="str">
        <f aca="false">IF(B5360="","",IF(MATCH(B5360,$B$2:$B$12000,0)=ROW()-1,1,0))</f>
        <v/>
      </c>
    </row>
    <row r="5361" customFormat="false" ht="15" hidden="false" customHeight="false" outlineLevel="0" collapsed="false">
      <c r="V5361" s="23" t="str">
        <f aca="false">IF(ISNUMBER(C5361),YEAR(C5361),"")</f>
        <v/>
      </c>
      <c r="W5361" s="23" t="str">
        <f aca="false">IF(ISNUMBER(C5361),MONTH(C5361),"")</f>
        <v/>
      </c>
      <c r="X5361" s="23" t="str">
        <f aca="false">IF(T5361="","",IF(T5361=0,"No discount",IF(T5361&lt;=0.2,"Low (1-20%)",IF(T5361&lt;=0.4,"Medium (21-40%)","High (&gt;40%)"))))</f>
        <v/>
      </c>
      <c r="Y5361" s="23" t="str">
        <f aca="false">IF(AND(ISNUMBER(C5361),ISNUMBER(D5361)),D5361-C5361,"")</f>
        <v/>
      </c>
      <c r="Z5361" s="23" t="str">
        <f aca="false">IF(B5361="","",IF(MATCH(B5361,$B$2:$B$12000,0)=ROW()-1,1,0))</f>
        <v/>
      </c>
    </row>
    <row r="5362" customFormat="false" ht="15" hidden="false" customHeight="false" outlineLevel="0" collapsed="false">
      <c r="V5362" s="23" t="str">
        <f aca="false">IF(ISNUMBER(C5362),YEAR(C5362),"")</f>
        <v/>
      </c>
      <c r="W5362" s="23" t="str">
        <f aca="false">IF(ISNUMBER(C5362),MONTH(C5362),"")</f>
        <v/>
      </c>
      <c r="X5362" s="23" t="str">
        <f aca="false">IF(T5362="","",IF(T5362=0,"No discount",IF(T5362&lt;=0.2,"Low (1-20%)",IF(T5362&lt;=0.4,"Medium (21-40%)","High (&gt;40%)"))))</f>
        <v/>
      </c>
      <c r="Y5362" s="23" t="str">
        <f aca="false">IF(AND(ISNUMBER(C5362),ISNUMBER(D5362)),D5362-C5362,"")</f>
        <v/>
      </c>
      <c r="Z5362" s="23" t="str">
        <f aca="false">IF(B5362="","",IF(MATCH(B5362,$B$2:$B$12000,0)=ROW()-1,1,0))</f>
        <v/>
      </c>
    </row>
    <row r="5363" customFormat="false" ht="15" hidden="false" customHeight="false" outlineLevel="0" collapsed="false">
      <c r="V5363" s="23" t="str">
        <f aca="false">IF(ISNUMBER(C5363),YEAR(C5363),"")</f>
        <v/>
      </c>
      <c r="W5363" s="23" t="str">
        <f aca="false">IF(ISNUMBER(C5363),MONTH(C5363),"")</f>
        <v/>
      </c>
      <c r="X5363" s="23" t="str">
        <f aca="false">IF(T5363="","",IF(T5363=0,"No discount",IF(T5363&lt;=0.2,"Low (1-20%)",IF(T5363&lt;=0.4,"Medium (21-40%)","High (&gt;40%)"))))</f>
        <v/>
      </c>
      <c r="Y5363" s="23" t="str">
        <f aca="false">IF(AND(ISNUMBER(C5363),ISNUMBER(D5363)),D5363-C5363,"")</f>
        <v/>
      </c>
      <c r="Z5363" s="23" t="str">
        <f aca="false">IF(B5363="","",IF(MATCH(B5363,$B$2:$B$12000,0)=ROW()-1,1,0))</f>
        <v/>
      </c>
    </row>
    <row r="5364" customFormat="false" ht="15" hidden="false" customHeight="false" outlineLevel="0" collapsed="false">
      <c r="V5364" s="23" t="str">
        <f aca="false">IF(ISNUMBER(C5364),YEAR(C5364),"")</f>
        <v/>
      </c>
      <c r="W5364" s="23" t="str">
        <f aca="false">IF(ISNUMBER(C5364),MONTH(C5364),"")</f>
        <v/>
      </c>
      <c r="X5364" s="23" t="str">
        <f aca="false">IF(T5364="","",IF(T5364=0,"No discount",IF(T5364&lt;=0.2,"Low (1-20%)",IF(T5364&lt;=0.4,"Medium (21-40%)","High (&gt;40%)"))))</f>
        <v/>
      </c>
      <c r="Y5364" s="23" t="str">
        <f aca="false">IF(AND(ISNUMBER(C5364),ISNUMBER(D5364)),D5364-C5364,"")</f>
        <v/>
      </c>
      <c r="Z5364" s="23" t="str">
        <f aca="false">IF(B5364="","",IF(MATCH(B5364,$B$2:$B$12000,0)=ROW()-1,1,0))</f>
        <v/>
      </c>
    </row>
    <row r="5365" customFormat="false" ht="15" hidden="false" customHeight="false" outlineLevel="0" collapsed="false">
      <c r="V5365" s="23" t="str">
        <f aca="false">IF(ISNUMBER(C5365),YEAR(C5365),"")</f>
        <v/>
      </c>
      <c r="W5365" s="23" t="str">
        <f aca="false">IF(ISNUMBER(C5365),MONTH(C5365),"")</f>
        <v/>
      </c>
      <c r="X5365" s="23" t="str">
        <f aca="false">IF(T5365="","",IF(T5365=0,"No discount",IF(T5365&lt;=0.2,"Low (1-20%)",IF(T5365&lt;=0.4,"Medium (21-40%)","High (&gt;40%)"))))</f>
        <v/>
      </c>
      <c r="Y5365" s="23" t="str">
        <f aca="false">IF(AND(ISNUMBER(C5365),ISNUMBER(D5365)),D5365-C5365,"")</f>
        <v/>
      </c>
      <c r="Z5365" s="23" t="str">
        <f aca="false">IF(B5365="","",IF(MATCH(B5365,$B$2:$B$12000,0)=ROW()-1,1,0))</f>
        <v/>
      </c>
    </row>
    <row r="5366" customFormat="false" ht="15" hidden="false" customHeight="false" outlineLevel="0" collapsed="false">
      <c r="V5366" s="23" t="str">
        <f aca="false">IF(ISNUMBER(C5366),YEAR(C5366),"")</f>
        <v/>
      </c>
      <c r="W5366" s="23" t="str">
        <f aca="false">IF(ISNUMBER(C5366),MONTH(C5366),"")</f>
        <v/>
      </c>
      <c r="X5366" s="23" t="str">
        <f aca="false">IF(T5366="","",IF(T5366=0,"No discount",IF(T5366&lt;=0.2,"Low (1-20%)",IF(T5366&lt;=0.4,"Medium (21-40%)","High (&gt;40%)"))))</f>
        <v/>
      </c>
      <c r="Y5366" s="23" t="str">
        <f aca="false">IF(AND(ISNUMBER(C5366),ISNUMBER(D5366)),D5366-C5366,"")</f>
        <v/>
      </c>
      <c r="Z5366" s="23" t="str">
        <f aca="false">IF(B5366="","",IF(MATCH(B5366,$B$2:$B$12000,0)=ROW()-1,1,0))</f>
        <v/>
      </c>
    </row>
    <row r="5367" customFormat="false" ht="15" hidden="false" customHeight="false" outlineLevel="0" collapsed="false">
      <c r="V5367" s="23" t="str">
        <f aca="false">IF(ISNUMBER(C5367),YEAR(C5367),"")</f>
        <v/>
      </c>
      <c r="W5367" s="23" t="str">
        <f aca="false">IF(ISNUMBER(C5367),MONTH(C5367),"")</f>
        <v/>
      </c>
      <c r="X5367" s="23" t="str">
        <f aca="false">IF(T5367="","",IF(T5367=0,"No discount",IF(T5367&lt;=0.2,"Low (1-20%)",IF(T5367&lt;=0.4,"Medium (21-40%)","High (&gt;40%)"))))</f>
        <v/>
      </c>
      <c r="Y5367" s="23" t="str">
        <f aca="false">IF(AND(ISNUMBER(C5367),ISNUMBER(D5367)),D5367-C5367,"")</f>
        <v/>
      </c>
      <c r="Z5367" s="23" t="str">
        <f aca="false">IF(B5367="","",IF(MATCH(B5367,$B$2:$B$12000,0)=ROW()-1,1,0))</f>
        <v/>
      </c>
    </row>
    <row r="5368" customFormat="false" ht="15" hidden="false" customHeight="false" outlineLevel="0" collapsed="false">
      <c r="V5368" s="23" t="str">
        <f aca="false">IF(ISNUMBER(C5368),YEAR(C5368),"")</f>
        <v/>
      </c>
      <c r="W5368" s="23" t="str">
        <f aca="false">IF(ISNUMBER(C5368),MONTH(C5368),"")</f>
        <v/>
      </c>
      <c r="X5368" s="23" t="str">
        <f aca="false">IF(T5368="","",IF(T5368=0,"No discount",IF(T5368&lt;=0.2,"Low (1-20%)",IF(T5368&lt;=0.4,"Medium (21-40%)","High (&gt;40%)"))))</f>
        <v/>
      </c>
      <c r="Y5368" s="23" t="str">
        <f aca="false">IF(AND(ISNUMBER(C5368),ISNUMBER(D5368)),D5368-C5368,"")</f>
        <v/>
      </c>
      <c r="Z5368" s="23" t="str">
        <f aca="false">IF(B5368="","",IF(MATCH(B5368,$B$2:$B$12000,0)=ROW()-1,1,0))</f>
        <v/>
      </c>
    </row>
    <row r="5369" customFormat="false" ht="15" hidden="false" customHeight="false" outlineLevel="0" collapsed="false">
      <c r="V5369" s="23" t="str">
        <f aca="false">IF(ISNUMBER(C5369),YEAR(C5369),"")</f>
        <v/>
      </c>
      <c r="W5369" s="23" t="str">
        <f aca="false">IF(ISNUMBER(C5369),MONTH(C5369),"")</f>
        <v/>
      </c>
      <c r="X5369" s="23" t="str">
        <f aca="false">IF(T5369="","",IF(T5369=0,"No discount",IF(T5369&lt;=0.2,"Low (1-20%)",IF(T5369&lt;=0.4,"Medium (21-40%)","High (&gt;40%)"))))</f>
        <v/>
      </c>
      <c r="Y5369" s="23" t="str">
        <f aca="false">IF(AND(ISNUMBER(C5369),ISNUMBER(D5369)),D5369-C5369,"")</f>
        <v/>
      </c>
      <c r="Z5369" s="23" t="str">
        <f aca="false">IF(B5369="","",IF(MATCH(B5369,$B$2:$B$12000,0)=ROW()-1,1,0))</f>
        <v/>
      </c>
    </row>
    <row r="5370" customFormat="false" ht="15" hidden="false" customHeight="false" outlineLevel="0" collapsed="false">
      <c r="V5370" s="23" t="str">
        <f aca="false">IF(ISNUMBER(C5370),YEAR(C5370),"")</f>
        <v/>
      </c>
      <c r="W5370" s="23" t="str">
        <f aca="false">IF(ISNUMBER(C5370),MONTH(C5370),"")</f>
        <v/>
      </c>
      <c r="X5370" s="23" t="str">
        <f aca="false">IF(T5370="","",IF(T5370=0,"No discount",IF(T5370&lt;=0.2,"Low (1-20%)",IF(T5370&lt;=0.4,"Medium (21-40%)","High (&gt;40%)"))))</f>
        <v/>
      </c>
      <c r="Y5370" s="23" t="str">
        <f aca="false">IF(AND(ISNUMBER(C5370),ISNUMBER(D5370)),D5370-C5370,"")</f>
        <v/>
      </c>
      <c r="Z5370" s="23" t="str">
        <f aca="false">IF(B5370="","",IF(MATCH(B5370,$B$2:$B$12000,0)=ROW()-1,1,0))</f>
        <v/>
      </c>
    </row>
    <row r="5371" customFormat="false" ht="15" hidden="false" customHeight="false" outlineLevel="0" collapsed="false">
      <c r="V5371" s="23" t="str">
        <f aca="false">IF(ISNUMBER(C5371),YEAR(C5371),"")</f>
        <v/>
      </c>
      <c r="W5371" s="23" t="str">
        <f aca="false">IF(ISNUMBER(C5371),MONTH(C5371),"")</f>
        <v/>
      </c>
      <c r="X5371" s="23" t="str">
        <f aca="false">IF(T5371="","",IF(T5371=0,"No discount",IF(T5371&lt;=0.2,"Low (1-20%)",IF(T5371&lt;=0.4,"Medium (21-40%)","High (&gt;40%)"))))</f>
        <v/>
      </c>
      <c r="Y5371" s="23" t="str">
        <f aca="false">IF(AND(ISNUMBER(C5371),ISNUMBER(D5371)),D5371-C5371,"")</f>
        <v/>
      </c>
      <c r="Z5371" s="23" t="str">
        <f aca="false">IF(B5371="","",IF(MATCH(B5371,$B$2:$B$12000,0)=ROW()-1,1,0))</f>
        <v/>
      </c>
    </row>
    <row r="5372" customFormat="false" ht="15" hidden="false" customHeight="false" outlineLevel="0" collapsed="false">
      <c r="V5372" s="23" t="str">
        <f aca="false">IF(ISNUMBER(C5372),YEAR(C5372),"")</f>
        <v/>
      </c>
      <c r="W5372" s="23" t="str">
        <f aca="false">IF(ISNUMBER(C5372),MONTH(C5372),"")</f>
        <v/>
      </c>
      <c r="X5372" s="23" t="str">
        <f aca="false">IF(T5372="","",IF(T5372=0,"No discount",IF(T5372&lt;=0.2,"Low (1-20%)",IF(T5372&lt;=0.4,"Medium (21-40%)","High (&gt;40%)"))))</f>
        <v/>
      </c>
      <c r="Y5372" s="23" t="str">
        <f aca="false">IF(AND(ISNUMBER(C5372),ISNUMBER(D5372)),D5372-C5372,"")</f>
        <v/>
      </c>
      <c r="Z5372" s="23" t="str">
        <f aca="false">IF(B5372="","",IF(MATCH(B5372,$B$2:$B$12000,0)=ROW()-1,1,0))</f>
        <v/>
      </c>
    </row>
    <row r="5373" customFormat="false" ht="15" hidden="false" customHeight="false" outlineLevel="0" collapsed="false">
      <c r="V5373" s="23" t="str">
        <f aca="false">IF(ISNUMBER(C5373),YEAR(C5373),"")</f>
        <v/>
      </c>
      <c r="W5373" s="23" t="str">
        <f aca="false">IF(ISNUMBER(C5373),MONTH(C5373),"")</f>
        <v/>
      </c>
      <c r="X5373" s="23" t="str">
        <f aca="false">IF(T5373="","",IF(T5373=0,"No discount",IF(T5373&lt;=0.2,"Low (1-20%)",IF(T5373&lt;=0.4,"Medium (21-40%)","High (&gt;40%)"))))</f>
        <v/>
      </c>
      <c r="Y5373" s="23" t="str">
        <f aca="false">IF(AND(ISNUMBER(C5373),ISNUMBER(D5373)),D5373-C5373,"")</f>
        <v/>
      </c>
      <c r="Z5373" s="23" t="str">
        <f aca="false">IF(B5373="","",IF(MATCH(B5373,$B$2:$B$12000,0)=ROW()-1,1,0))</f>
        <v/>
      </c>
    </row>
    <row r="5374" customFormat="false" ht="15" hidden="false" customHeight="false" outlineLevel="0" collapsed="false">
      <c r="V5374" s="23" t="str">
        <f aca="false">IF(ISNUMBER(C5374),YEAR(C5374),"")</f>
        <v/>
      </c>
      <c r="W5374" s="23" t="str">
        <f aca="false">IF(ISNUMBER(C5374),MONTH(C5374),"")</f>
        <v/>
      </c>
      <c r="X5374" s="23" t="str">
        <f aca="false">IF(T5374="","",IF(T5374=0,"No discount",IF(T5374&lt;=0.2,"Low (1-20%)",IF(T5374&lt;=0.4,"Medium (21-40%)","High (&gt;40%)"))))</f>
        <v/>
      </c>
      <c r="Y5374" s="23" t="str">
        <f aca="false">IF(AND(ISNUMBER(C5374),ISNUMBER(D5374)),D5374-C5374,"")</f>
        <v/>
      </c>
      <c r="Z5374" s="23" t="str">
        <f aca="false">IF(B5374="","",IF(MATCH(B5374,$B$2:$B$12000,0)=ROW()-1,1,0))</f>
        <v/>
      </c>
    </row>
    <row r="5375" customFormat="false" ht="15" hidden="false" customHeight="false" outlineLevel="0" collapsed="false">
      <c r="V5375" s="23" t="str">
        <f aca="false">IF(ISNUMBER(C5375),YEAR(C5375),"")</f>
        <v/>
      </c>
      <c r="W5375" s="23" t="str">
        <f aca="false">IF(ISNUMBER(C5375),MONTH(C5375),"")</f>
        <v/>
      </c>
      <c r="X5375" s="23" t="str">
        <f aca="false">IF(T5375="","",IF(T5375=0,"No discount",IF(T5375&lt;=0.2,"Low (1-20%)",IF(T5375&lt;=0.4,"Medium (21-40%)","High (&gt;40%)"))))</f>
        <v/>
      </c>
      <c r="Y5375" s="23" t="str">
        <f aca="false">IF(AND(ISNUMBER(C5375),ISNUMBER(D5375)),D5375-C5375,"")</f>
        <v/>
      </c>
      <c r="Z5375" s="23" t="str">
        <f aca="false">IF(B5375="","",IF(MATCH(B5375,$B$2:$B$12000,0)=ROW()-1,1,0))</f>
        <v/>
      </c>
    </row>
    <row r="5376" customFormat="false" ht="15" hidden="false" customHeight="false" outlineLevel="0" collapsed="false">
      <c r="V5376" s="23" t="str">
        <f aca="false">IF(ISNUMBER(C5376),YEAR(C5376),"")</f>
        <v/>
      </c>
      <c r="W5376" s="23" t="str">
        <f aca="false">IF(ISNUMBER(C5376),MONTH(C5376),"")</f>
        <v/>
      </c>
      <c r="X5376" s="23" t="str">
        <f aca="false">IF(T5376="","",IF(T5376=0,"No discount",IF(T5376&lt;=0.2,"Low (1-20%)",IF(T5376&lt;=0.4,"Medium (21-40%)","High (&gt;40%)"))))</f>
        <v/>
      </c>
      <c r="Y5376" s="23" t="str">
        <f aca="false">IF(AND(ISNUMBER(C5376),ISNUMBER(D5376)),D5376-C5376,"")</f>
        <v/>
      </c>
      <c r="Z5376" s="23" t="str">
        <f aca="false">IF(B5376="","",IF(MATCH(B5376,$B$2:$B$12000,0)=ROW()-1,1,0))</f>
        <v/>
      </c>
    </row>
    <row r="5377" customFormat="false" ht="15" hidden="false" customHeight="false" outlineLevel="0" collapsed="false">
      <c r="V5377" s="23" t="str">
        <f aca="false">IF(ISNUMBER(C5377),YEAR(C5377),"")</f>
        <v/>
      </c>
      <c r="W5377" s="23" t="str">
        <f aca="false">IF(ISNUMBER(C5377),MONTH(C5377),"")</f>
        <v/>
      </c>
      <c r="X5377" s="23" t="str">
        <f aca="false">IF(T5377="","",IF(T5377=0,"No discount",IF(T5377&lt;=0.2,"Low (1-20%)",IF(T5377&lt;=0.4,"Medium (21-40%)","High (&gt;40%)"))))</f>
        <v/>
      </c>
      <c r="Y5377" s="23" t="str">
        <f aca="false">IF(AND(ISNUMBER(C5377),ISNUMBER(D5377)),D5377-C5377,"")</f>
        <v/>
      </c>
      <c r="Z5377" s="23" t="str">
        <f aca="false">IF(B5377="","",IF(MATCH(B5377,$B$2:$B$12000,0)=ROW()-1,1,0))</f>
        <v/>
      </c>
    </row>
    <row r="5378" customFormat="false" ht="15" hidden="false" customHeight="false" outlineLevel="0" collapsed="false">
      <c r="V5378" s="23" t="str">
        <f aca="false">IF(ISNUMBER(C5378),YEAR(C5378),"")</f>
        <v/>
      </c>
      <c r="W5378" s="23" t="str">
        <f aca="false">IF(ISNUMBER(C5378),MONTH(C5378),"")</f>
        <v/>
      </c>
      <c r="X5378" s="23" t="str">
        <f aca="false">IF(T5378="","",IF(T5378=0,"No discount",IF(T5378&lt;=0.2,"Low (1-20%)",IF(T5378&lt;=0.4,"Medium (21-40%)","High (&gt;40%)"))))</f>
        <v/>
      </c>
      <c r="Y5378" s="23" t="str">
        <f aca="false">IF(AND(ISNUMBER(C5378),ISNUMBER(D5378)),D5378-C5378,"")</f>
        <v/>
      </c>
      <c r="Z5378" s="23" t="str">
        <f aca="false">IF(B5378="","",IF(MATCH(B5378,$B$2:$B$12000,0)=ROW()-1,1,0))</f>
        <v/>
      </c>
    </row>
    <row r="5379" customFormat="false" ht="15" hidden="false" customHeight="false" outlineLevel="0" collapsed="false">
      <c r="V5379" s="23" t="str">
        <f aca="false">IF(ISNUMBER(C5379),YEAR(C5379),"")</f>
        <v/>
      </c>
      <c r="W5379" s="23" t="str">
        <f aca="false">IF(ISNUMBER(C5379),MONTH(C5379),"")</f>
        <v/>
      </c>
      <c r="X5379" s="23" t="str">
        <f aca="false">IF(T5379="","",IF(T5379=0,"No discount",IF(T5379&lt;=0.2,"Low (1-20%)",IF(T5379&lt;=0.4,"Medium (21-40%)","High (&gt;40%)"))))</f>
        <v/>
      </c>
      <c r="Y5379" s="23" t="str">
        <f aca="false">IF(AND(ISNUMBER(C5379),ISNUMBER(D5379)),D5379-C5379,"")</f>
        <v/>
      </c>
      <c r="Z5379" s="23" t="str">
        <f aca="false">IF(B5379="","",IF(MATCH(B5379,$B$2:$B$12000,0)=ROW()-1,1,0))</f>
        <v/>
      </c>
    </row>
    <row r="5380" customFormat="false" ht="15" hidden="false" customHeight="false" outlineLevel="0" collapsed="false">
      <c r="V5380" s="23" t="str">
        <f aca="false">IF(ISNUMBER(C5380),YEAR(C5380),"")</f>
        <v/>
      </c>
      <c r="W5380" s="23" t="str">
        <f aca="false">IF(ISNUMBER(C5380),MONTH(C5380),"")</f>
        <v/>
      </c>
      <c r="X5380" s="23" t="str">
        <f aca="false">IF(T5380="","",IF(T5380=0,"No discount",IF(T5380&lt;=0.2,"Low (1-20%)",IF(T5380&lt;=0.4,"Medium (21-40%)","High (&gt;40%)"))))</f>
        <v/>
      </c>
      <c r="Y5380" s="23" t="str">
        <f aca="false">IF(AND(ISNUMBER(C5380),ISNUMBER(D5380)),D5380-C5380,"")</f>
        <v/>
      </c>
      <c r="Z5380" s="23" t="str">
        <f aca="false">IF(B5380="","",IF(MATCH(B5380,$B$2:$B$12000,0)=ROW()-1,1,0))</f>
        <v/>
      </c>
    </row>
    <row r="5381" customFormat="false" ht="15" hidden="false" customHeight="false" outlineLevel="0" collapsed="false">
      <c r="V5381" s="23" t="str">
        <f aca="false">IF(ISNUMBER(C5381),YEAR(C5381),"")</f>
        <v/>
      </c>
      <c r="W5381" s="23" t="str">
        <f aca="false">IF(ISNUMBER(C5381),MONTH(C5381),"")</f>
        <v/>
      </c>
      <c r="X5381" s="23" t="str">
        <f aca="false">IF(T5381="","",IF(T5381=0,"No discount",IF(T5381&lt;=0.2,"Low (1-20%)",IF(T5381&lt;=0.4,"Medium (21-40%)","High (&gt;40%)"))))</f>
        <v/>
      </c>
      <c r="Y5381" s="23" t="str">
        <f aca="false">IF(AND(ISNUMBER(C5381),ISNUMBER(D5381)),D5381-C5381,"")</f>
        <v/>
      </c>
      <c r="Z5381" s="23" t="str">
        <f aca="false">IF(B5381="","",IF(MATCH(B5381,$B$2:$B$12000,0)=ROW()-1,1,0))</f>
        <v/>
      </c>
    </row>
    <row r="5382" customFormat="false" ht="15" hidden="false" customHeight="false" outlineLevel="0" collapsed="false">
      <c r="V5382" s="23" t="str">
        <f aca="false">IF(ISNUMBER(C5382),YEAR(C5382),"")</f>
        <v/>
      </c>
      <c r="W5382" s="23" t="str">
        <f aca="false">IF(ISNUMBER(C5382),MONTH(C5382),"")</f>
        <v/>
      </c>
      <c r="X5382" s="23" t="str">
        <f aca="false">IF(T5382="","",IF(T5382=0,"No discount",IF(T5382&lt;=0.2,"Low (1-20%)",IF(T5382&lt;=0.4,"Medium (21-40%)","High (&gt;40%)"))))</f>
        <v/>
      </c>
      <c r="Y5382" s="23" t="str">
        <f aca="false">IF(AND(ISNUMBER(C5382),ISNUMBER(D5382)),D5382-C5382,"")</f>
        <v/>
      </c>
      <c r="Z5382" s="23" t="str">
        <f aca="false">IF(B5382="","",IF(MATCH(B5382,$B$2:$B$12000,0)=ROW()-1,1,0))</f>
        <v/>
      </c>
    </row>
    <row r="5383" customFormat="false" ht="15" hidden="false" customHeight="false" outlineLevel="0" collapsed="false">
      <c r="V5383" s="23" t="str">
        <f aca="false">IF(ISNUMBER(C5383),YEAR(C5383),"")</f>
        <v/>
      </c>
      <c r="W5383" s="23" t="str">
        <f aca="false">IF(ISNUMBER(C5383),MONTH(C5383),"")</f>
        <v/>
      </c>
      <c r="X5383" s="23" t="str">
        <f aca="false">IF(T5383="","",IF(T5383=0,"No discount",IF(T5383&lt;=0.2,"Low (1-20%)",IF(T5383&lt;=0.4,"Medium (21-40%)","High (&gt;40%)"))))</f>
        <v/>
      </c>
      <c r="Y5383" s="23" t="str">
        <f aca="false">IF(AND(ISNUMBER(C5383),ISNUMBER(D5383)),D5383-C5383,"")</f>
        <v/>
      </c>
      <c r="Z5383" s="23" t="str">
        <f aca="false">IF(B5383="","",IF(MATCH(B5383,$B$2:$B$12000,0)=ROW()-1,1,0))</f>
        <v/>
      </c>
    </row>
    <row r="5384" customFormat="false" ht="15" hidden="false" customHeight="false" outlineLevel="0" collapsed="false">
      <c r="V5384" s="23" t="str">
        <f aca="false">IF(ISNUMBER(C5384),YEAR(C5384),"")</f>
        <v/>
      </c>
      <c r="W5384" s="23" t="str">
        <f aca="false">IF(ISNUMBER(C5384),MONTH(C5384),"")</f>
        <v/>
      </c>
      <c r="X5384" s="23" t="str">
        <f aca="false">IF(T5384="","",IF(T5384=0,"No discount",IF(T5384&lt;=0.2,"Low (1-20%)",IF(T5384&lt;=0.4,"Medium (21-40%)","High (&gt;40%)"))))</f>
        <v/>
      </c>
      <c r="Y5384" s="23" t="str">
        <f aca="false">IF(AND(ISNUMBER(C5384),ISNUMBER(D5384)),D5384-C5384,"")</f>
        <v/>
      </c>
      <c r="Z5384" s="23" t="str">
        <f aca="false">IF(B5384="","",IF(MATCH(B5384,$B$2:$B$12000,0)=ROW()-1,1,0))</f>
        <v/>
      </c>
    </row>
    <row r="5385" customFormat="false" ht="15" hidden="false" customHeight="false" outlineLevel="0" collapsed="false">
      <c r="V5385" s="23" t="str">
        <f aca="false">IF(ISNUMBER(C5385),YEAR(C5385),"")</f>
        <v/>
      </c>
      <c r="W5385" s="23" t="str">
        <f aca="false">IF(ISNUMBER(C5385),MONTH(C5385),"")</f>
        <v/>
      </c>
      <c r="X5385" s="23" t="str">
        <f aca="false">IF(T5385="","",IF(T5385=0,"No discount",IF(T5385&lt;=0.2,"Low (1-20%)",IF(T5385&lt;=0.4,"Medium (21-40%)","High (&gt;40%)"))))</f>
        <v/>
      </c>
      <c r="Y5385" s="23" t="str">
        <f aca="false">IF(AND(ISNUMBER(C5385),ISNUMBER(D5385)),D5385-C5385,"")</f>
        <v/>
      </c>
      <c r="Z5385" s="23" t="str">
        <f aca="false">IF(B5385="","",IF(MATCH(B5385,$B$2:$B$12000,0)=ROW()-1,1,0))</f>
        <v/>
      </c>
    </row>
    <row r="5386" customFormat="false" ht="15" hidden="false" customHeight="false" outlineLevel="0" collapsed="false">
      <c r="V5386" s="23" t="str">
        <f aca="false">IF(ISNUMBER(C5386),YEAR(C5386),"")</f>
        <v/>
      </c>
      <c r="W5386" s="23" t="str">
        <f aca="false">IF(ISNUMBER(C5386),MONTH(C5386),"")</f>
        <v/>
      </c>
      <c r="X5386" s="23" t="str">
        <f aca="false">IF(T5386="","",IF(T5386=0,"No discount",IF(T5386&lt;=0.2,"Low (1-20%)",IF(T5386&lt;=0.4,"Medium (21-40%)","High (&gt;40%)"))))</f>
        <v/>
      </c>
      <c r="Y5386" s="23" t="str">
        <f aca="false">IF(AND(ISNUMBER(C5386),ISNUMBER(D5386)),D5386-C5386,"")</f>
        <v/>
      </c>
      <c r="Z5386" s="23" t="str">
        <f aca="false">IF(B5386="","",IF(MATCH(B5386,$B$2:$B$12000,0)=ROW()-1,1,0))</f>
        <v/>
      </c>
    </row>
    <row r="5387" customFormat="false" ht="15" hidden="false" customHeight="false" outlineLevel="0" collapsed="false">
      <c r="V5387" s="23" t="str">
        <f aca="false">IF(ISNUMBER(C5387),YEAR(C5387),"")</f>
        <v/>
      </c>
      <c r="W5387" s="23" t="str">
        <f aca="false">IF(ISNUMBER(C5387),MONTH(C5387),"")</f>
        <v/>
      </c>
      <c r="X5387" s="23" t="str">
        <f aca="false">IF(T5387="","",IF(T5387=0,"No discount",IF(T5387&lt;=0.2,"Low (1-20%)",IF(T5387&lt;=0.4,"Medium (21-40%)","High (&gt;40%)"))))</f>
        <v/>
      </c>
      <c r="Y5387" s="23" t="str">
        <f aca="false">IF(AND(ISNUMBER(C5387),ISNUMBER(D5387)),D5387-C5387,"")</f>
        <v/>
      </c>
      <c r="Z5387" s="23" t="str">
        <f aca="false">IF(B5387="","",IF(MATCH(B5387,$B$2:$B$12000,0)=ROW()-1,1,0))</f>
        <v/>
      </c>
    </row>
    <row r="5388" customFormat="false" ht="15" hidden="false" customHeight="false" outlineLevel="0" collapsed="false">
      <c r="V5388" s="23" t="str">
        <f aca="false">IF(ISNUMBER(C5388),YEAR(C5388),"")</f>
        <v/>
      </c>
      <c r="W5388" s="23" t="str">
        <f aca="false">IF(ISNUMBER(C5388),MONTH(C5388),"")</f>
        <v/>
      </c>
      <c r="X5388" s="23" t="str">
        <f aca="false">IF(T5388="","",IF(T5388=0,"No discount",IF(T5388&lt;=0.2,"Low (1-20%)",IF(T5388&lt;=0.4,"Medium (21-40%)","High (&gt;40%)"))))</f>
        <v/>
      </c>
      <c r="Y5388" s="23" t="str">
        <f aca="false">IF(AND(ISNUMBER(C5388),ISNUMBER(D5388)),D5388-C5388,"")</f>
        <v/>
      </c>
      <c r="Z5388" s="23" t="str">
        <f aca="false">IF(B5388="","",IF(MATCH(B5388,$B$2:$B$12000,0)=ROW()-1,1,0))</f>
        <v/>
      </c>
    </row>
    <row r="5389" customFormat="false" ht="15" hidden="false" customHeight="false" outlineLevel="0" collapsed="false">
      <c r="V5389" s="23" t="str">
        <f aca="false">IF(ISNUMBER(C5389),YEAR(C5389),"")</f>
        <v/>
      </c>
      <c r="W5389" s="23" t="str">
        <f aca="false">IF(ISNUMBER(C5389),MONTH(C5389),"")</f>
        <v/>
      </c>
      <c r="X5389" s="23" t="str">
        <f aca="false">IF(T5389="","",IF(T5389=0,"No discount",IF(T5389&lt;=0.2,"Low (1-20%)",IF(T5389&lt;=0.4,"Medium (21-40%)","High (&gt;40%)"))))</f>
        <v/>
      </c>
      <c r="Y5389" s="23" t="str">
        <f aca="false">IF(AND(ISNUMBER(C5389),ISNUMBER(D5389)),D5389-C5389,"")</f>
        <v/>
      </c>
      <c r="Z5389" s="23" t="str">
        <f aca="false">IF(B5389="","",IF(MATCH(B5389,$B$2:$B$12000,0)=ROW()-1,1,0))</f>
        <v/>
      </c>
    </row>
    <row r="5390" customFormat="false" ht="15" hidden="false" customHeight="false" outlineLevel="0" collapsed="false">
      <c r="V5390" s="23" t="str">
        <f aca="false">IF(ISNUMBER(C5390),YEAR(C5390),"")</f>
        <v/>
      </c>
      <c r="W5390" s="23" t="str">
        <f aca="false">IF(ISNUMBER(C5390),MONTH(C5390),"")</f>
        <v/>
      </c>
      <c r="X5390" s="23" t="str">
        <f aca="false">IF(T5390="","",IF(T5390=0,"No discount",IF(T5390&lt;=0.2,"Low (1-20%)",IF(T5390&lt;=0.4,"Medium (21-40%)","High (&gt;40%)"))))</f>
        <v/>
      </c>
      <c r="Y5390" s="23" t="str">
        <f aca="false">IF(AND(ISNUMBER(C5390),ISNUMBER(D5390)),D5390-C5390,"")</f>
        <v/>
      </c>
      <c r="Z5390" s="23" t="str">
        <f aca="false">IF(B5390="","",IF(MATCH(B5390,$B$2:$B$12000,0)=ROW()-1,1,0))</f>
        <v/>
      </c>
    </row>
    <row r="5391" customFormat="false" ht="15" hidden="false" customHeight="false" outlineLevel="0" collapsed="false">
      <c r="V5391" s="23" t="str">
        <f aca="false">IF(ISNUMBER(C5391),YEAR(C5391),"")</f>
        <v/>
      </c>
      <c r="W5391" s="23" t="str">
        <f aca="false">IF(ISNUMBER(C5391),MONTH(C5391),"")</f>
        <v/>
      </c>
      <c r="X5391" s="23" t="str">
        <f aca="false">IF(T5391="","",IF(T5391=0,"No discount",IF(T5391&lt;=0.2,"Low (1-20%)",IF(T5391&lt;=0.4,"Medium (21-40%)","High (&gt;40%)"))))</f>
        <v/>
      </c>
      <c r="Y5391" s="23" t="str">
        <f aca="false">IF(AND(ISNUMBER(C5391),ISNUMBER(D5391)),D5391-C5391,"")</f>
        <v/>
      </c>
      <c r="Z5391" s="23" t="str">
        <f aca="false">IF(B5391="","",IF(MATCH(B5391,$B$2:$B$12000,0)=ROW()-1,1,0))</f>
        <v/>
      </c>
    </row>
    <row r="5392" customFormat="false" ht="15" hidden="false" customHeight="false" outlineLevel="0" collapsed="false">
      <c r="V5392" s="23" t="str">
        <f aca="false">IF(ISNUMBER(C5392),YEAR(C5392),"")</f>
        <v/>
      </c>
      <c r="W5392" s="23" t="str">
        <f aca="false">IF(ISNUMBER(C5392),MONTH(C5392),"")</f>
        <v/>
      </c>
      <c r="X5392" s="23" t="str">
        <f aca="false">IF(T5392="","",IF(T5392=0,"No discount",IF(T5392&lt;=0.2,"Low (1-20%)",IF(T5392&lt;=0.4,"Medium (21-40%)","High (&gt;40%)"))))</f>
        <v/>
      </c>
      <c r="Y5392" s="23" t="str">
        <f aca="false">IF(AND(ISNUMBER(C5392),ISNUMBER(D5392)),D5392-C5392,"")</f>
        <v/>
      </c>
      <c r="Z5392" s="23" t="str">
        <f aca="false">IF(B5392="","",IF(MATCH(B5392,$B$2:$B$12000,0)=ROW()-1,1,0))</f>
        <v/>
      </c>
    </row>
    <row r="5393" customFormat="false" ht="15" hidden="false" customHeight="false" outlineLevel="0" collapsed="false">
      <c r="V5393" s="23" t="str">
        <f aca="false">IF(ISNUMBER(C5393),YEAR(C5393),"")</f>
        <v/>
      </c>
      <c r="W5393" s="23" t="str">
        <f aca="false">IF(ISNUMBER(C5393),MONTH(C5393),"")</f>
        <v/>
      </c>
      <c r="X5393" s="23" t="str">
        <f aca="false">IF(T5393="","",IF(T5393=0,"No discount",IF(T5393&lt;=0.2,"Low (1-20%)",IF(T5393&lt;=0.4,"Medium (21-40%)","High (&gt;40%)"))))</f>
        <v/>
      </c>
      <c r="Y5393" s="23" t="str">
        <f aca="false">IF(AND(ISNUMBER(C5393),ISNUMBER(D5393)),D5393-C5393,"")</f>
        <v/>
      </c>
      <c r="Z5393" s="23" t="str">
        <f aca="false">IF(B5393="","",IF(MATCH(B5393,$B$2:$B$12000,0)=ROW()-1,1,0))</f>
        <v/>
      </c>
    </row>
    <row r="5394" customFormat="false" ht="15" hidden="false" customHeight="false" outlineLevel="0" collapsed="false">
      <c r="V5394" s="23" t="str">
        <f aca="false">IF(ISNUMBER(C5394),YEAR(C5394),"")</f>
        <v/>
      </c>
      <c r="W5394" s="23" t="str">
        <f aca="false">IF(ISNUMBER(C5394),MONTH(C5394),"")</f>
        <v/>
      </c>
      <c r="X5394" s="23" t="str">
        <f aca="false">IF(T5394="","",IF(T5394=0,"No discount",IF(T5394&lt;=0.2,"Low (1-20%)",IF(T5394&lt;=0.4,"Medium (21-40%)","High (&gt;40%)"))))</f>
        <v/>
      </c>
      <c r="Y5394" s="23" t="str">
        <f aca="false">IF(AND(ISNUMBER(C5394),ISNUMBER(D5394)),D5394-C5394,"")</f>
        <v/>
      </c>
      <c r="Z5394" s="23" t="str">
        <f aca="false">IF(B5394="","",IF(MATCH(B5394,$B$2:$B$12000,0)=ROW()-1,1,0))</f>
        <v/>
      </c>
    </row>
    <row r="5395" customFormat="false" ht="15" hidden="false" customHeight="false" outlineLevel="0" collapsed="false">
      <c r="V5395" s="23" t="str">
        <f aca="false">IF(ISNUMBER(C5395),YEAR(C5395),"")</f>
        <v/>
      </c>
      <c r="W5395" s="23" t="str">
        <f aca="false">IF(ISNUMBER(C5395),MONTH(C5395),"")</f>
        <v/>
      </c>
      <c r="X5395" s="23" t="str">
        <f aca="false">IF(T5395="","",IF(T5395=0,"No discount",IF(T5395&lt;=0.2,"Low (1-20%)",IF(T5395&lt;=0.4,"Medium (21-40%)","High (&gt;40%)"))))</f>
        <v/>
      </c>
      <c r="Y5395" s="23" t="str">
        <f aca="false">IF(AND(ISNUMBER(C5395),ISNUMBER(D5395)),D5395-C5395,"")</f>
        <v/>
      </c>
      <c r="Z5395" s="23" t="str">
        <f aca="false">IF(B5395="","",IF(MATCH(B5395,$B$2:$B$12000,0)=ROW()-1,1,0))</f>
        <v/>
      </c>
    </row>
    <row r="5396" customFormat="false" ht="15" hidden="false" customHeight="false" outlineLevel="0" collapsed="false">
      <c r="V5396" s="23" t="str">
        <f aca="false">IF(ISNUMBER(C5396),YEAR(C5396),"")</f>
        <v/>
      </c>
      <c r="W5396" s="23" t="str">
        <f aca="false">IF(ISNUMBER(C5396),MONTH(C5396),"")</f>
        <v/>
      </c>
      <c r="X5396" s="23" t="str">
        <f aca="false">IF(T5396="","",IF(T5396=0,"No discount",IF(T5396&lt;=0.2,"Low (1-20%)",IF(T5396&lt;=0.4,"Medium (21-40%)","High (&gt;40%)"))))</f>
        <v/>
      </c>
      <c r="Y5396" s="23" t="str">
        <f aca="false">IF(AND(ISNUMBER(C5396),ISNUMBER(D5396)),D5396-C5396,"")</f>
        <v/>
      </c>
      <c r="Z5396" s="23" t="str">
        <f aca="false">IF(B5396="","",IF(MATCH(B5396,$B$2:$B$12000,0)=ROW()-1,1,0))</f>
        <v/>
      </c>
    </row>
    <row r="5397" customFormat="false" ht="15" hidden="false" customHeight="false" outlineLevel="0" collapsed="false">
      <c r="V5397" s="23" t="str">
        <f aca="false">IF(ISNUMBER(C5397),YEAR(C5397),"")</f>
        <v/>
      </c>
      <c r="W5397" s="23" t="str">
        <f aca="false">IF(ISNUMBER(C5397),MONTH(C5397),"")</f>
        <v/>
      </c>
      <c r="X5397" s="23" t="str">
        <f aca="false">IF(T5397="","",IF(T5397=0,"No discount",IF(T5397&lt;=0.2,"Low (1-20%)",IF(T5397&lt;=0.4,"Medium (21-40%)","High (&gt;40%)"))))</f>
        <v/>
      </c>
      <c r="Y5397" s="23" t="str">
        <f aca="false">IF(AND(ISNUMBER(C5397),ISNUMBER(D5397)),D5397-C5397,"")</f>
        <v/>
      </c>
      <c r="Z5397" s="23" t="str">
        <f aca="false">IF(B5397="","",IF(MATCH(B5397,$B$2:$B$12000,0)=ROW()-1,1,0))</f>
        <v/>
      </c>
    </row>
    <row r="5398" customFormat="false" ht="15" hidden="false" customHeight="false" outlineLevel="0" collapsed="false">
      <c r="V5398" s="23" t="str">
        <f aca="false">IF(ISNUMBER(C5398),YEAR(C5398),"")</f>
        <v/>
      </c>
      <c r="W5398" s="23" t="str">
        <f aca="false">IF(ISNUMBER(C5398),MONTH(C5398),"")</f>
        <v/>
      </c>
      <c r="X5398" s="23" t="str">
        <f aca="false">IF(T5398="","",IF(T5398=0,"No discount",IF(T5398&lt;=0.2,"Low (1-20%)",IF(T5398&lt;=0.4,"Medium (21-40%)","High (&gt;40%)"))))</f>
        <v/>
      </c>
      <c r="Y5398" s="23" t="str">
        <f aca="false">IF(AND(ISNUMBER(C5398),ISNUMBER(D5398)),D5398-C5398,"")</f>
        <v/>
      </c>
      <c r="Z5398" s="23" t="str">
        <f aca="false">IF(B5398="","",IF(MATCH(B5398,$B$2:$B$12000,0)=ROW()-1,1,0))</f>
        <v/>
      </c>
    </row>
    <row r="5399" customFormat="false" ht="15" hidden="false" customHeight="false" outlineLevel="0" collapsed="false">
      <c r="V5399" s="23" t="str">
        <f aca="false">IF(ISNUMBER(C5399),YEAR(C5399),"")</f>
        <v/>
      </c>
      <c r="W5399" s="23" t="str">
        <f aca="false">IF(ISNUMBER(C5399),MONTH(C5399),"")</f>
        <v/>
      </c>
      <c r="X5399" s="23" t="str">
        <f aca="false">IF(T5399="","",IF(T5399=0,"No discount",IF(T5399&lt;=0.2,"Low (1-20%)",IF(T5399&lt;=0.4,"Medium (21-40%)","High (&gt;40%)"))))</f>
        <v/>
      </c>
      <c r="Y5399" s="23" t="str">
        <f aca="false">IF(AND(ISNUMBER(C5399),ISNUMBER(D5399)),D5399-C5399,"")</f>
        <v/>
      </c>
      <c r="Z5399" s="23" t="str">
        <f aca="false">IF(B5399="","",IF(MATCH(B5399,$B$2:$B$12000,0)=ROW()-1,1,0))</f>
        <v/>
      </c>
    </row>
    <row r="5400" customFormat="false" ht="15" hidden="false" customHeight="false" outlineLevel="0" collapsed="false">
      <c r="V5400" s="23" t="str">
        <f aca="false">IF(ISNUMBER(C5400),YEAR(C5400),"")</f>
        <v/>
      </c>
      <c r="W5400" s="23" t="str">
        <f aca="false">IF(ISNUMBER(C5400),MONTH(C5400),"")</f>
        <v/>
      </c>
      <c r="X5400" s="23" t="str">
        <f aca="false">IF(T5400="","",IF(T5400=0,"No discount",IF(T5400&lt;=0.2,"Low (1-20%)",IF(T5400&lt;=0.4,"Medium (21-40%)","High (&gt;40%)"))))</f>
        <v/>
      </c>
      <c r="Y5400" s="23" t="str">
        <f aca="false">IF(AND(ISNUMBER(C5400),ISNUMBER(D5400)),D5400-C5400,"")</f>
        <v/>
      </c>
      <c r="Z5400" s="23" t="str">
        <f aca="false">IF(B5400="","",IF(MATCH(B5400,$B$2:$B$12000,0)=ROW()-1,1,0))</f>
        <v/>
      </c>
    </row>
    <row r="5401" customFormat="false" ht="15" hidden="false" customHeight="false" outlineLevel="0" collapsed="false">
      <c r="V5401" s="23" t="str">
        <f aca="false">IF(ISNUMBER(C5401),YEAR(C5401),"")</f>
        <v/>
      </c>
      <c r="W5401" s="23" t="str">
        <f aca="false">IF(ISNUMBER(C5401),MONTH(C5401),"")</f>
        <v/>
      </c>
      <c r="X5401" s="23" t="str">
        <f aca="false">IF(T5401="","",IF(T5401=0,"No discount",IF(T5401&lt;=0.2,"Low (1-20%)",IF(T5401&lt;=0.4,"Medium (21-40%)","High (&gt;40%)"))))</f>
        <v/>
      </c>
      <c r="Y5401" s="23" t="str">
        <f aca="false">IF(AND(ISNUMBER(C5401),ISNUMBER(D5401)),D5401-C5401,"")</f>
        <v/>
      </c>
      <c r="Z5401" s="23" t="str">
        <f aca="false">IF(B5401="","",IF(MATCH(B5401,$B$2:$B$12000,0)=ROW()-1,1,0))</f>
        <v/>
      </c>
    </row>
    <row r="5402" customFormat="false" ht="15" hidden="false" customHeight="false" outlineLevel="0" collapsed="false">
      <c r="V5402" s="23" t="str">
        <f aca="false">IF(ISNUMBER(C5402),YEAR(C5402),"")</f>
        <v/>
      </c>
      <c r="W5402" s="23" t="str">
        <f aca="false">IF(ISNUMBER(C5402),MONTH(C5402),"")</f>
        <v/>
      </c>
      <c r="X5402" s="23" t="str">
        <f aca="false">IF(T5402="","",IF(T5402=0,"No discount",IF(T5402&lt;=0.2,"Low (1-20%)",IF(T5402&lt;=0.4,"Medium (21-40%)","High (&gt;40%)"))))</f>
        <v/>
      </c>
      <c r="Y5402" s="23" t="str">
        <f aca="false">IF(AND(ISNUMBER(C5402),ISNUMBER(D5402)),D5402-C5402,"")</f>
        <v/>
      </c>
      <c r="Z5402" s="23" t="str">
        <f aca="false">IF(B5402="","",IF(MATCH(B5402,$B$2:$B$12000,0)=ROW()-1,1,0))</f>
        <v/>
      </c>
    </row>
    <row r="5403" customFormat="false" ht="15" hidden="false" customHeight="false" outlineLevel="0" collapsed="false">
      <c r="V5403" s="23" t="str">
        <f aca="false">IF(ISNUMBER(C5403),YEAR(C5403),"")</f>
        <v/>
      </c>
      <c r="W5403" s="23" t="str">
        <f aca="false">IF(ISNUMBER(C5403),MONTH(C5403),"")</f>
        <v/>
      </c>
      <c r="X5403" s="23" t="str">
        <f aca="false">IF(T5403="","",IF(T5403=0,"No discount",IF(T5403&lt;=0.2,"Low (1-20%)",IF(T5403&lt;=0.4,"Medium (21-40%)","High (&gt;40%)"))))</f>
        <v/>
      </c>
      <c r="Y5403" s="23" t="str">
        <f aca="false">IF(AND(ISNUMBER(C5403),ISNUMBER(D5403)),D5403-C5403,"")</f>
        <v/>
      </c>
      <c r="Z5403" s="23" t="str">
        <f aca="false">IF(B5403="","",IF(MATCH(B5403,$B$2:$B$12000,0)=ROW()-1,1,0))</f>
        <v/>
      </c>
    </row>
    <row r="5404" customFormat="false" ht="15" hidden="false" customHeight="false" outlineLevel="0" collapsed="false">
      <c r="V5404" s="23" t="str">
        <f aca="false">IF(ISNUMBER(C5404),YEAR(C5404),"")</f>
        <v/>
      </c>
      <c r="W5404" s="23" t="str">
        <f aca="false">IF(ISNUMBER(C5404),MONTH(C5404),"")</f>
        <v/>
      </c>
      <c r="X5404" s="23" t="str">
        <f aca="false">IF(T5404="","",IF(T5404=0,"No discount",IF(T5404&lt;=0.2,"Low (1-20%)",IF(T5404&lt;=0.4,"Medium (21-40%)","High (&gt;40%)"))))</f>
        <v/>
      </c>
      <c r="Y5404" s="23" t="str">
        <f aca="false">IF(AND(ISNUMBER(C5404),ISNUMBER(D5404)),D5404-C5404,"")</f>
        <v/>
      </c>
      <c r="Z5404" s="23" t="str">
        <f aca="false">IF(B5404="","",IF(MATCH(B5404,$B$2:$B$12000,0)=ROW()-1,1,0))</f>
        <v/>
      </c>
    </row>
    <row r="5405" customFormat="false" ht="15" hidden="false" customHeight="false" outlineLevel="0" collapsed="false">
      <c r="V5405" s="23" t="str">
        <f aca="false">IF(ISNUMBER(C5405),YEAR(C5405),"")</f>
        <v/>
      </c>
      <c r="W5405" s="23" t="str">
        <f aca="false">IF(ISNUMBER(C5405),MONTH(C5405),"")</f>
        <v/>
      </c>
      <c r="X5405" s="23" t="str">
        <f aca="false">IF(T5405="","",IF(T5405=0,"No discount",IF(T5405&lt;=0.2,"Low (1-20%)",IF(T5405&lt;=0.4,"Medium (21-40%)","High (&gt;40%)"))))</f>
        <v/>
      </c>
      <c r="Y5405" s="23" t="str">
        <f aca="false">IF(AND(ISNUMBER(C5405),ISNUMBER(D5405)),D5405-C5405,"")</f>
        <v/>
      </c>
      <c r="Z5405" s="23" t="str">
        <f aca="false">IF(B5405="","",IF(MATCH(B5405,$B$2:$B$12000,0)=ROW()-1,1,0))</f>
        <v/>
      </c>
    </row>
    <row r="5406" customFormat="false" ht="15" hidden="false" customHeight="false" outlineLevel="0" collapsed="false">
      <c r="V5406" s="23" t="str">
        <f aca="false">IF(ISNUMBER(C5406),YEAR(C5406),"")</f>
        <v/>
      </c>
      <c r="W5406" s="23" t="str">
        <f aca="false">IF(ISNUMBER(C5406),MONTH(C5406),"")</f>
        <v/>
      </c>
      <c r="X5406" s="23" t="str">
        <f aca="false">IF(T5406="","",IF(T5406=0,"No discount",IF(T5406&lt;=0.2,"Low (1-20%)",IF(T5406&lt;=0.4,"Medium (21-40%)","High (&gt;40%)"))))</f>
        <v/>
      </c>
      <c r="Y5406" s="23" t="str">
        <f aca="false">IF(AND(ISNUMBER(C5406),ISNUMBER(D5406)),D5406-C5406,"")</f>
        <v/>
      </c>
      <c r="Z5406" s="23" t="str">
        <f aca="false">IF(B5406="","",IF(MATCH(B5406,$B$2:$B$12000,0)=ROW()-1,1,0))</f>
        <v/>
      </c>
    </row>
    <row r="5407" customFormat="false" ht="15" hidden="false" customHeight="false" outlineLevel="0" collapsed="false">
      <c r="V5407" s="23" t="str">
        <f aca="false">IF(ISNUMBER(C5407),YEAR(C5407),"")</f>
        <v/>
      </c>
      <c r="W5407" s="23" t="str">
        <f aca="false">IF(ISNUMBER(C5407),MONTH(C5407),"")</f>
        <v/>
      </c>
      <c r="X5407" s="23" t="str">
        <f aca="false">IF(T5407="","",IF(T5407=0,"No discount",IF(T5407&lt;=0.2,"Low (1-20%)",IF(T5407&lt;=0.4,"Medium (21-40%)","High (&gt;40%)"))))</f>
        <v/>
      </c>
      <c r="Y5407" s="23" t="str">
        <f aca="false">IF(AND(ISNUMBER(C5407),ISNUMBER(D5407)),D5407-C5407,"")</f>
        <v/>
      </c>
      <c r="Z5407" s="23" t="str">
        <f aca="false">IF(B5407="","",IF(MATCH(B5407,$B$2:$B$12000,0)=ROW()-1,1,0))</f>
        <v/>
      </c>
    </row>
    <row r="5408" customFormat="false" ht="15" hidden="false" customHeight="false" outlineLevel="0" collapsed="false">
      <c r="V5408" s="23" t="str">
        <f aca="false">IF(ISNUMBER(C5408),YEAR(C5408),"")</f>
        <v/>
      </c>
      <c r="W5408" s="23" t="str">
        <f aca="false">IF(ISNUMBER(C5408),MONTH(C5408),"")</f>
        <v/>
      </c>
      <c r="X5408" s="23" t="str">
        <f aca="false">IF(T5408="","",IF(T5408=0,"No discount",IF(T5408&lt;=0.2,"Low (1-20%)",IF(T5408&lt;=0.4,"Medium (21-40%)","High (&gt;40%)"))))</f>
        <v/>
      </c>
      <c r="Y5408" s="23" t="str">
        <f aca="false">IF(AND(ISNUMBER(C5408),ISNUMBER(D5408)),D5408-C5408,"")</f>
        <v/>
      </c>
      <c r="Z5408" s="23" t="str">
        <f aca="false">IF(B5408="","",IF(MATCH(B5408,$B$2:$B$12000,0)=ROW()-1,1,0))</f>
        <v/>
      </c>
    </row>
    <row r="5409" customFormat="false" ht="15" hidden="false" customHeight="false" outlineLevel="0" collapsed="false">
      <c r="V5409" s="23" t="str">
        <f aca="false">IF(ISNUMBER(C5409),YEAR(C5409),"")</f>
        <v/>
      </c>
      <c r="W5409" s="23" t="str">
        <f aca="false">IF(ISNUMBER(C5409),MONTH(C5409),"")</f>
        <v/>
      </c>
      <c r="X5409" s="23" t="str">
        <f aca="false">IF(T5409="","",IF(T5409=0,"No discount",IF(T5409&lt;=0.2,"Low (1-20%)",IF(T5409&lt;=0.4,"Medium (21-40%)","High (&gt;40%)"))))</f>
        <v/>
      </c>
      <c r="Y5409" s="23" t="str">
        <f aca="false">IF(AND(ISNUMBER(C5409),ISNUMBER(D5409)),D5409-C5409,"")</f>
        <v/>
      </c>
      <c r="Z5409" s="23" t="str">
        <f aca="false">IF(B5409="","",IF(MATCH(B5409,$B$2:$B$12000,0)=ROW()-1,1,0))</f>
        <v/>
      </c>
    </row>
    <row r="5410" customFormat="false" ht="15" hidden="false" customHeight="false" outlineLevel="0" collapsed="false">
      <c r="V5410" s="23" t="str">
        <f aca="false">IF(ISNUMBER(C5410),YEAR(C5410),"")</f>
        <v/>
      </c>
      <c r="W5410" s="23" t="str">
        <f aca="false">IF(ISNUMBER(C5410),MONTH(C5410),"")</f>
        <v/>
      </c>
      <c r="X5410" s="23" t="str">
        <f aca="false">IF(T5410="","",IF(T5410=0,"No discount",IF(T5410&lt;=0.2,"Low (1-20%)",IF(T5410&lt;=0.4,"Medium (21-40%)","High (&gt;40%)"))))</f>
        <v/>
      </c>
      <c r="Y5410" s="23" t="str">
        <f aca="false">IF(AND(ISNUMBER(C5410),ISNUMBER(D5410)),D5410-C5410,"")</f>
        <v/>
      </c>
      <c r="Z5410" s="23" t="str">
        <f aca="false">IF(B5410="","",IF(MATCH(B5410,$B$2:$B$12000,0)=ROW()-1,1,0))</f>
        <v/>
      </c>
    </row>
    <row r="5411" customFormat="false" ht="15" hidden="false" customHeight="false" outlineLevel="0" collapsed="false">
      <c r="V5411" s="23" t="str">
        <f aca="false">IF(ISNUMBER(C5411),YEAR(C5411),"")</f>
        <v/>
      </c>
      <c r="W5411" s="23" t="str">
        <f aca="false">IF(ISNUMBER(C5411),MONTH(C5411),"")</f>
        <v/>
      </c>
      <c r="X5411" s="23" t="str">
        <f aca="false">IF(T5411="","",IF(T5411=0,"No discount",IF(T5411&lt;=0.2,"Low (1-20%)",IF(T5411&lt;=0.4,"Medium (21-40%)","High (&gt;40%)"))))</f>
        <v/>
      </c>
      <c r="Y5411" s="23" t="str">
        <f aca="false">IF(AND(ISNUMBER(C5411),ISNUMBER(D5411)),D5411-C5411,"")</f>
        <v/>
      </c>
      <c r="Z5411" s="23" t="str">
        <f aca="false">IF(B5411="","",IF(MATCH(B5411,$B$2:$B$12000,0)=ROW()-1,1,0))</f>
        <v/>
      </c>
    </row>
    <row r="5412" customFormat="false" ht="15" hidden="false" customHeight="false" outlineLevel="0" collapsed="false">
      <c r="V5412" s="23" t="str">
        <f aca="false">IF(ISNUMBER(C5412),YEAR(C5412),"")</f>
        <v/>
      </c>
      <c r="W5412" s="23" t="str">
        <f aca="false">IF(ISNUMBER(C5412),MONTH(C5412),"")</f>
        <v/>
      </c>
      <c r="X5412" s="23" t="str">
        <f aca="false">IF(T5412="","",IF(T5412=0,"No discount",IF(T5412&lt;=0.2,"Low (1-20%)",IF(T5412&lt;=0.4,"Medium (21-40%)","High (&gt;40%)"))))</f>
        <v/>
      </c>
      <c r="Y5412" s="23" t="str">
        <f aca="false">IF(AND(ISNUMBER(C5412),ISNUMBER(D5412)),D5412-C5412,"")</f>
        <v/>
      </c>
      <c r="Z5412" s="23" t="str">
        <f aca="false">IF(B5412="","",IF(MATCH(B5412,$B$2:$B$12000,0)=ROW()-1,1,0))</f>
        <v/>
      </c>
    </row>
    <row r="5413" customFormat="false" ht="15" hidden="false" customHeight="false" outlineLevel="0" collapsed="false">
      <c r="V5413" s="23" t="str">
        <f aca="false">IF(ISNUMBER(C5413),YEAR(C5413),"")</f>
        <v/>
      </c>
      <c r="W5413" s="23" t="str">
        <f aca="false">IF(ISNUMBER(C5413),MONTH(C5413),"")</f>
        <v/>
      </c>
      <c r="X5413" s="23" t="str">
        <f aca="false">IF(T5413="","",IF(T5413=0,"No discount",IF(T5413&lt;=0.2,"Low (1-20%)",IF(T5413&lt;=0.4,"Medium (21-40%)","High (&gt;40%)"))))</f>
        <v/>
      </c>
      <c r="Y5413" s="23" t="str">
        <f aca="false">IF(AND(ISNUMBER(C5413),ISNUMBER(D5413)),D5413-C5413,"")</f>
        <v/>
      </c>
      <c r="Z5413" s="23" t="str">
        <f aca="false">IF(B5413="","",IF(MATCH(B5413,$B$2:$B$12000,0)=ROW()-1,1,0))</f>
        <v/>
      </c>
    </row>
    <row r="5414" customFormat="false" ht="15" hidden="false" customHeight="false" outlineLevel="0" collapsed="false">
      <c r="V5414" s="23" t="str">
        <f aca="false">IF(ISNUMBER(C5414),YEAR(C5414),"")</f>
        <v/>
      </c>
      <c r="W5414" s="23" t="str">
        <f aca="false">IF(ISNUMBER(C5414),MONTH(C5414),"")</f>
        <v/>
      </c>
      <c r="X5414" s="23" t="str">
        <f aca="false">IF(T5414="","",IF(T5414=0,"No discount",IF(T5414&lt;=0.2,"Low (1-20%)",IF(T5414&lt;=0.4,"Medium (21-40%)","High (&gt;40%)"))))</f>
        <v/>
      </c>
      <c r="Y5414" s="23" t="str">
        <f aca="false">IF(AND(ISNUMBER(C5414),ISNUMBER(D5414)),D5414-C5414,"")</f>
        <v/>
      </c>
      <c r="Z5414" s="23" t="str">
        <f aca="false">IF(B5414="","",IF(MATCH(B5414,$B$2:$B$12000,0)=ROW()-1,1,0))</f>
        <v/>
      </c>
    </row>
    <row r="5415" customFormat="false" ht="15" hidden="false" customHeight="false" outlineLevel="0" collapsed="false">
      <c r="V5415" s="23" t="str">
        <f aca="false">IF(ISNUMBER(C5415),YEAR(C5415),"")</f>
        <v/>
      </c>
      <c r="W5415" s="23" t="str">
        <f aca="false">IF(ISNUMBER(C5415),MONTH(C5415),"")</f>
        <v/>
      </c>
      <c r="X5415" s="23" t="str">
        <f aca="false">IF(T5415="","",IF(T5415=0,"No discount",IF(T5415&lt;=0.2,"Low (1-20%)",IF(T5415&lt;=0.4,"Medium (21-40%)","High (&gt;40%)"))))</f>
        <v/>
      </c>
      <c r="Y5415" s="23" t="str">
        <f aca="false">IF(AND(ISNUMBER(C5415),ISNUMBER(D5415)),D5415-C5415,"")</f>
        <v/>
      </c>
      <c r="Z5415" s="23" t="str">
        <f aca="false">IF(B5415="","",IF(MATCH(B5415,$B$2:$B$12000,0)=ROW()-1,1,0))</f>
        <v/>
      </c>
    </row>
    <row r="5416" customFormat="false" ht="15" hidden="false" customHeight="false" outlineLevel="0" collapsed="false">
      <c r="V5416" s="23" t="str">
        <f aca="false">IF(ISNUMBER(C5416),YEAR(C5416),"")</f>
        <v/>
      </c>
      <c r="W5416" s="23" t="str">
        <f aca="false">IF(ISNUMBER(C5416),MONTH(C5416),"")</f>
        <v/>
      </c>
      <c r="X5416" s="23" t="str">
        <f aca="false">IF(T5416="","",IF(T5416=0,"No discount",IF(T5416&lt;=0.2,"Low (1-20%)",IF(T5416&lt;=0.4,"Medium (21-40%)","High (&gt;40%)"))))</f>
        <v/>
      </c>
      <c r="Y5416" s="23" t="str">
        <f aca="false">IF(AND(ISNUMBER(C5416),ISNUMBER(D5416)),D5416-C5416,"")</f>
        <v/>
      </c>
      <c r="Z5416" s="23" t="str">
        <f aca="false">IF(B5416="","",IF(MATCH(B5416,$B$2:$B$12000,0)=ROW()-1,1,0))</f>
        <v/>
      </c>
    </row>
    <row r="5417" customFormat="false" ht="15" hidden="false" customHeight="false" outlineLevel="0" collapsed="false">
      <c r="V5417" s="23" t="str">
        <f aca="false">IF(ISNUMBER(C5417),YEAR(C5417),"")</f>
        <v/>
      </c>
      <c r="W5417" s="23" t="str">
        <f aca="false">IF(ISNUMBER(C5417),MONTH(C5417),"")</f>
        <v/>
      </c>
      <c r="X5417" s="23" t="str">
        <f aca="false">IF(T5417="","",IF(T5417=0,"No discount",IF(T5417&lt;=0.2,"Low (1-20%)",IF(T5417&lt;=0.4,"Medium (21-40%)","High (&gt;40%)"))))</f>
        <v/>
      </c>
      <c r="Y5417" s="23" t="str">
        <f aca="false">IF(AND(ISNUMBER(C5417),ISNUMBER(D5417)),D5417-C5417,"")</f>
        <v/>
      </c>
      <c r="Z5417" s="23" t="str">
        <f aca="false">IF(B5417="","",IF(MATCH(B5417,$B$2:$B$12000,0)=ROW()-1,1,0))</f>
        <v/>
      </c>
    </row>
    <row r="5418" customFormat="false" ht="15" hidden="false" customHeight="false" outlineLevel="0" collapsed="false">
      <c r="V5418" s="23" t="str">
        <f aca="false">IF(ISNUMBER(C5418),YEAR(C5418),"")</f>
        <v/>
      </c>
      <c r="W5418" s="23" t="str">
        <f aca="false">IF(ISNUMBER(C5418),MONTH(C5418),"")</f>
        <v/>
      </c>
      <c r="X5418" s="23" t="str">
        <f aca="false">IF(T5418="","",IF(T5418=0,"No discount",IF(T5418&lt;=0.2,"Low (1-20%)",IF(T5418&lt;=0.4,"Medium (21-40%)","High (&gt;40%)"))))</f>
        <v/>
      </c>
      <c r="Y5418" s="23" t="str">
        <f aca="false">IF(AND(ISNUMBER(C5418),ISNUMBER(D5418)),D5418-C5418,"")</f>
        <v/>
      </c>
      <c r="Z5418" s="23" t="str">
        <f aca="false">IF(B5418="","",IF(MATCH(B5418,$B$2:$B$12000,0)=ROW()-1,1,0))</f>
        <v/>
      </c>
    </row>
    <row r="5419" customFormat="false" ht="15" hidden="false" customHeight="false" outlineLevel="0" collapsed="false">
      <c r="V5419" s="23" t="str">
        <f aca="false">IF(ISNUMBER(C5419),YEAR(C5419),"")</f>
        <v/>
      </c>
      <c r="W5419" s="23" t="str">
        <f aca="false">IF(ISNUMBER(C5419),MONTH(C5419),"")</f>
        <v/>
      </c>
      <c r="X5419" s="23" t="str">
        <f aca="false">IF(T5419="","",IF(T5419=0,"No discount",IF(T5419&lt;=0.2,"Low (1-20%)",IF(T5419&lt;=0.4,"Medium (21-40%)","High (&gt;40%)"))))</f>
        <v/>
      </c>
      <c r="Y5419" s="23" t="str">
        <f aca="false">IF(AND(ISNUMBER(C5419),ISNUMBER(D5419)),D5419-C5419,"")</f>
        <v/>
      </c>
      <c r="Z5419" s="23" t="str">
        <f aca="false">IF(B5419="","",IF(MATCH(B5419,$B$2:$B$12000,0)=ROW()-1,1,0))</f>
        <v/>
      </c>
    </row>
    <row r="5420" customFormat="false" ht="15" hidden="false" customHeight="false" outlineLevel="0" collapsed="false">
      <c r="V5420" s="23" t="str">
        <f aca="false">IF(ISNUMBER(C5420),YEAR(C5420),"")</f>
        <v/>
      </c>
      <c r="W5420" s="23" t="str">
        <f aca="false">IF(ISNUMBER(C5420),MONTH(C5420),"")</f>
        <v/>
      </c>
      <c r="X5420" s="23" t="str">
        <f aca="false">IF(T5420="","",IF(T5420=0,"No discount",IF(T5420&lt;=0.2,"Low (1-20%)",IF(T5420&lt;=0.4,"Medium (21-40%)","High (&gt;40%)"))))</f>
        <v/>
      </c>
      <c r="Y5420" s="23" t="str">
        <f aca="false">IF(AND(ISNUMBER(C5420),ISNUMBER(D5420)),D5420-C5420,"")</f>
        <v/>
      </c>
      <c r="Z5420" s="23" t="str">
        <f aca="false">IF(B5420="","",IF(MATCH(B5420,$B$2:$B$12000,0)=ROW()-1,1,0))</f>
        <v/>
      </c>
    </row>
    <row r="5421" customFormat="false" ht="15" hidden="false" customHeight="false" outlineLevel="0" collapsed="false">
      <c r="V5421" s="23" t="str">
        <f aca="false">IF(ISNUMBER(C5421),YEAR(C5421),"")</f>
        <v/>
      </c>
      <c r="W5421" s="23" t="str">
        <f aca="false">IF(ISNUMBER(C5421),MONTH(C5421),"")</f>
        <v/>
      </c>
      <c r="X5421" s="23" t="str">
        <f aca="false">IF(T5421="","",IF(T5421=0,"No discount",IF(T5421&lt;=0.2,"Low (1-20%)",IF(T5421&lt;=0.4,"Medium (21-40%)","High (&gt;40%)"))))</f>
        <v/>
      </c>
      <c r="Y5421" s="23" t="str">
        <f aca="false">IF(AND(ISNUMBER(C5421),ISNUMBER(D5421)),D5421-C5421,"")</f>
        <v/>
      </c>
      <c r="Z5421" s="23" t="str">
        <f aca="false">IF(B5421="","",IF(MATCH(B5421,$B$2:$B$12000,0)=ROW()-1,1,0))</f>
        <v/>
      </c>
    </row>
    <row r="5422" customFormat="false" ht="15" hidden="false" customHeight="false" outlineLevel="0" collapsed="false">
      <c r="V5422" s="23" t="str">
        <f aca="false">IF(ISNUMBER(C5422),YEAR(C5422),"")</f>
        <v/>
      </c>
      <c r="W5422" s="23" t="str">
        <f aca="false">IF(ISNUMBER(C5422),MONTH(C5422),"")</f>
        <v/>
      </c>
      <c r="X5422" s="23" t="str">
        <f aca="false">IF(T5422="","",IF(T5422=0,"No discount",IF(T5422&lt;=0.2,"Low (1-20%)",IF(T5422&lt;=0.4,"Medium (21-40%)","High (&gt;40%)"))))</f>
        <v/>
      </c>
      <c r="Y5422" s="23" t="str">
        <f aca="false">IF(AND(ISNUMBER(C5422),ISNUMBER(D5422)),D5422-C5422,"")</f>
        <v/>
      </c>
      <c r="Z5422" s="23" t="str">
        <f aca="false">IF(B5422="","",IF(MATCH(B5422,$B$2:$B$12000,0)=ROW()-1,1,0))</f>
        <v/>
      </c>
    </row>
    <row r="5423" customFormat="false" ht="15" hidden="false" customHeight="false" outlineLevel="0" collapsed="false">
      <c r="V5423" s="23" t="str">
        <f aca="false">IF(ISNUMBER(C5423),YEAR(C5423),"")</f>
        <v/>
      </c>
      <c r="W5423" s="23" t="str">
        <f aca="false">IF(ISNUMBER(C5423),MONTH(C5423),"")</f>
        <v/>
      </c>
      <c r="X5423" s="23" t="str">
        <f aca="false">IF(T5423="","",IF(T5423=0,"No discount",IF(T5423&lt;=0.2,"Low (1-20%)",IF(T5423&lt;=0.4,"Medium (21-40%)","High (&gt;40%)"))))</f>
        <v/>
      </c>
      <c r="Y5423" s="23" t="str">
        <f aca="false">IF(AND(ISNUMBER(C5423),ISNUMBER(D5423)),D5423-C5423,"")</f>
        <v/>
      </c>
      <c r="Z5423" s="23" t="str">
        <f aca="false">IF(B5423="","",IF(MATCH(B5423,$B$2:$B$12000,0)=ROW()-1,1,0))</f>
        <v/>
      </c>
    </row>
    <row r="5424" customFormat="false" ht="15" hidden="false" customHeight="false" outlineLevel="0" collapsed="false">
      <c r="V5424" s="23" t="str">
        <f aca="false">IF(ISNUMBER(C5424),YEAR(C5424),"")</f>
        <v/>
      </c>
      <c r="W5424" s="23" t="str">
        <f aca="false">IF(ISNUMBER(C5424),MONTH(C5424),"")</f>
        <v/>
      </c>
      <c r="X5424" s="23" t="str">
        <f aca="false">IF(T5424="","",IF(T5424=0,"No discount",IF(T5424&lt;=0.2,"Low (1-20%)",IF(T5424&lt;=0.4,"Medium (21-40%)","High (&gt;40%)"))))</f>
        <v/>
      </c>
      <c r="Y5424" s="23" t="str">
        <f aca="false">IF(AND(ISNUMBER(C5424),ISNUMBER(D5424)),D5424-C5424,"")</f>
        <v/>
      </c>
      <c r="Z5424" s="23" t="str">
        <f aca="false">IF(B5424="","",IF(MATCH(B5424,$B$2:$B$12000,0)=ROW()-1,1,0))</f>
        <v/>
      </c>
    </row>
    <row r="5425" customFormat="false" ht="15" hidden="false" customHeight="false" outlineLevel="0" collapsed="false">
      <c r="V5425" s="23" t="str">
        <f aca="false">IF(ISNUMBER(C5425),YEAR(C5425),"")</f>
        <v/>
      </c>
      <c r="W5425" s="23" t="str">
        <f aca="false">IF(ISNUMBER(C5425),MONTH(C5425),"")</f>
        <v/>
      </c>
      <c r="X5425" s="23" t="str">
        <f aca="false">IF(T5425="","",IF(T5425=0,"No discount",IF(T5425&lt;=0.2,"Low (1-20%)",IF(T5425&lt;=0.4,"Medium (21-40%)","High (&gt;40%)"))))</f>
        <v/>
      </c>
      <c r="Y5425" s="23" t="str">
        <f aca="false">IF(AND(ISNUMBER(C5425),ISNUMBER(D5425)),D5425-C5425,"")</f>
        <v/>
      </c>
      <c r="Z5425" s="23" t="str">
        <f aca="false">IF(B5425="","",IF(MATCH(B5425,$B$2:$B$12000,0)=ROW()-1,1,0))</f>
        <v/>
      </c>
    </row>
    <row r="5426" customFormat="false" ht="15" hidden="false" customHeight="false" outlineLevel="0" collapsed="false">
      <c r="V5426" s="23" t="str">
        <f aca="false">IF(ISNUMBER(C5426),YEAR(C5426),"")</f>
        <v/>
      </c>
      <c r="W5426" s="23" t="str">
        <f aca="false">IF(ISNUMBER(C5426),MONTH(C5426),"")</f>
        <v/>
      </c>
      <c r="X5426" s="23" t="str">
        <f aca="false">IF(T5426="","",IF(T5426=0,"No discount",IF(T5426&lt;=0.2,"Low (1-20%)",IF(T5426&lt;=0.4,"Medium (21-40%)","High (&gt;40%)"))))</f>
        <v/>
      </c>
      <c r="Y5426" s="23" t="str">
        <f aca="false">IF(AND(ISNUMBER(C5426),ISNUMBER(D5426)),D5426-C5426,"")</f>
        <v/>
      </c>
      <c r="Z5426" s="23" t="str">
        <f aca="false">IF(B5426="","",IF(MATCH(B5426,$B$2:$B$12000,0)=ROW()-1,1,0))</f>
        <v/>
      </c>
    </row>
    <row r="5427" customFormat="false" ht="15" hidden="false" customHeight="false" outlineLevel="0" collapsed="false">
      <c r="V5427" s="23" t="str">
        <f aca="false">IF(ISNUMBER(C5427),YEAR(C5427),"")</f>
        <v/>
      </c>
      <c r="W5427" s="23" t="str">
        <f aca="false">IF(ISNUMBER(C5427),MONTH(C5427),"")</f>
        <v/>
      </c>
      <c r="X5427" s="23" t="str">
        <f aca="false">IF(T5427="","",IF(T5427=0,"No discount",IF(T5427&lt;=0.2,"Low (1-20%)",IF(T5427&lt;=0.4,"Medium (21-40%)","High (&gt;40%)"))))</f>
        <v/>
      </c>
      <c r="Y5427" s="23" t="str">
        <f aca="false">IF(AND(ISNUMBER(C5427),ISNUMBER(D5427)),D5427-C5427,"")</f>
        <v/>
      </c>
      <c r="Z5427" s="23" t="str">
        <f aca="false">IF(B5427="","",IF(MATCH(B5427,$B$2:$B$12000,0)=ROW()-1,1,0))</f>
        <v/>
      </c>
    </row>
    <row r="5428" customFormat="false" ht="15" hidden="false" customHeight="false" outlineLevel="0" collapsed="false">
      <c r="V5428" s="23" t="str">
        <f aca="false">IF(ISNUMBER(C5428),YEAR(C5428),"")</f>
        <v/>
      </c>
      <c r="W5428" s="23" t="str">
        <f aca="false">IF(ISNUMBER(C5428),MONTH(C5428),"")</f>
        <v/>
      </c>
      <c r="X5428" s="23" t="str">
        <f aca="false">IF(T5428="","",IF(T5428=0,"No discount",IF(T5428&lt;=0.2,"Low (1-20%)",IF(T5428&lt;=0.4,"Medium (21-40%)","High (&gt;40%)"))))</f>
        <v/>
      </c>
      <c r="Y5428" s="23" t="str">
        <f aca="false">IF(AND(ISNUMBER(C5428),ISNUMBER(D5428)),D5428-C5428,"")</f>
        <v/>
      </c>
      <c r="Z5428" s="23" t="str">
        <f aca="false">IF(B5428="","",IF(MATCH(B5428,$B$2:$B$12000,0)=ROW()-1,1,0))</f>
        <v/>
      </c>
    </row>
    <row r="5429" customFormat="false" ht="15" hidden="false" customHeight="false" outlineLevel="0" collapsed="false">
      <c r="V5429" s="23" t="str">
        <f aca="false">IF(ISNUMBER(C5429),YEAR(C5429),"")</f>
        <v/>
      </c>
      <c r="W5429" s="23" t="str">
        <f aca="false">IF(ISNUMBER(C5429),MONTH(C5429),"")</f>
        <v/>
      </c>
      <c r="X5429" s="23" t="str">
        <f aca="false">IF(T5429="","",IF(T5429=0,"No discount",IF(T5429&lt;=0.2,"Low (1-20%)",IF(T5429&lt;=0.4,"Medium (21-40%)","High (&gt;40%)"))))</f>
        <v/>
      </c>
      <c r="Y5429" s="23" t="str">
        <f aca="false">IF(AND(ISNUMBER(C5429),ISNUMBER(D5429)),D5429-C5429,"")</f>
        <v/>
      </c>
      <c r="Z5429" s="23" t="str">
        <f aca="false">IF(B5429="","",IF(MATCH(B5429,$B$2:$B$12000,0)=ROW()-1,1,0))</f>
        <v/>
      </c>
    </row>
    <row r="5430" customFormat="false" ht="15" hidden="false" customHeight="false" outlineLevel="0" collapsed="false">
      <c r="V5430" s="23" t="str">
        <f aca="false">IF(ISNUMBER(C5430),YEAR(C5430),"")</f>
        <v/>
      </c>
      <c r="W5430" s="23" t="str">
        <f aca="false">IF(ISNUMBER(C5430),MONTH(C5430),"")</f>
        <v/>
      </c>
      <c r="X5430" s="23" t="str">
        <f aca="false">IF(T5430="","",IF(T5430=0,"No discount",IF(T5430&lt;=0.2,"Low (1-20%)",IF(T5430&lt;=0.4,"Medium (21-40%)","High (&gt;40%)"))))</f>
        <v/>
      </c>
      <c r="Y5430" s="23" t="str">
        <f aca="false">IF(AND(ISNUMBER(C5430),ISNUMBER(D5430)),D5430-C5430,"")</f>
        <v/>
      </c>
      <c r="Z5430" s="23" t="str">
        <f aca="false">IF(B5430="","",IF(MATCH(B5430,$B$2:$B$12000,0)=ROW()-1,1,0))</f>
        <v/>
      </c>
    </row>
    <row r="5431" customFormat="false" ht="15" hidden="false" customHeight="false" outlineLevel="0" collapsed="false">
      <c r="V5431" s="23" t="str">
        <f aca="false">IF(ISNUMBER(C5431),YEAR(C5431),"")</f>
        <v/>
      </c>
      <c r="W5431" s="23" t="str">
        <f aca="false">IF(ISNUMBER(C5431),MONTH(C5431),"")</f>
        <v/>
      </c>
      <c r="X5431" s="23" t="str">
        <f aca="false">IF(T5431="","",IF(T5431=0,"No discount",IF(T5431&lt;=0.2,"Low (1-20%)",IF(T5431&lt;=0.4,"Medium (21-40%)","High (&gt;40%)"))))</f>
        <v/>
      </c>
      <c r="Y5431" s="23" t="str">
        <f aca="false">IF(AND(ISNUMBER(C5431),ISNUMBER(D5431)),D5431-C5431,"")</f>
        <v/>
      </c>
      <c r="Z5431" s="23" t="str">
        <f aca="false">IF(B5431="","",IF(MATCH(B5431,$B$2:$B$12000,0)=ROW()-1,1,0))</f>
        <v/>
      </c>
    </row>
    <row r="5432" customFormat="false" ht="15" hidden="false" customHeight="false" outlineLevel="0" collapsed="false">
      <c r="V5432" s="23" t="str">
        <f aca="false">IF(ISNUMBER(C5432),YEAR(C5432),"")</f>
        <v/>
      </c>
      <c r="W5432" s="23" t="str">
        <f aca="false">IF(ISNUMBER(C5432),MONTH(C5432),"")</f>
        <v/>
      </c>
      <c r="X5432" s="23" t="str">
        <f aca="false">IF(T5432="","",IF(T5432=0,"No discount",IF(T5432&lt;=0.2,"Low (1-20%)",IF(T5432&lt;=0.4,"Medium (21-40%)","High (&gt;40%)"))))</f>
        <v/>
      </c>
      <c r="Y5432" s="23" t="str">
        <f aca="false">IF(AND(ISNUMBER(C5432),ISNUMBER(D5432)),D5432-C5432,"")</f>
        <v/>
      </c>
      <c r="Z5432" s="23" t="str">
        <f aca="false">IF(B5432="","",IF(MATCH(B5432,$B$2:$B$12000,0)=ROW()-1,1,0))</f>
        <v/>
      </c>
    </row>
    <row r="5433" customFormat="false" ht="15" hidden="false" customHeight="false" outlineLevel="0" collapsed="false">
      <c r="V5433" s="23" t="str">
        <f aca="false">IF(ISNUMBER(C5433),YEAR(C5433),"")</f>
        <v/>
      </c>
      <c r="W5433" s="23" t="str">
        <f aca="false">IF(ISNUMBER(C5433),MONTH(C5433),"")</f>
        <v/>
      </c>
      <c r="X5433" s="23" t="str">
        <f aca="false">IF(T5433="","",IF(T5433=0,"No discount",IF(T5433&lt;=0.2,"Low (1-20%)",IF(T5433&lt;=0.4,"Medium (21-40%)","High (&gt;40%)"))))</f>
        <v/>
      </c>
      <c r="Y5433" s="23" t="str">
        <f aca="false">IF(AND(ISNUMBER(C5433),ISNUMBER(D5433)),D5433-C5433,"")</f>
        <v/>
      </c>
      <c r="Z5433" s="23" t="str">
        <f aca="false">IF(B5433="","",IF(MATCH(B5433,$B$2:$B$12000,0)=ROW()-1,1,0))</f>
        <v/>
      </c>
    </row>
    <row r="5434" customFormat="false" ht="15" hidden="false" customHeight="false" outlineLevel="0" collapsed="false">
      <c r="V5434" s="23" t="str">
        <f aca="false">IF(ISNUMBER(C5434),YEAR(C5434),"")</f>
        <v/>
      </c>
      <c r="W5434" s="23" t="str">
        <f aca="false">IF(ISNUMBER(C5434),MONTH(C5434),"")</f>
        <v/>
      </c>
      <c r="X5434" s="23" t="str">
        <f aca="false">IF(T5434="","",IF(T5434=0,"No discount",IF(T5434&lt;=0.2,"Low (1-20%)",IF(T5434&lt;=0.4,"Medium (21-40%)","High (&gt;40%)"))))</f>
        <v/>
      </c>
      <c r="Y5434" s="23" t="str">
        <f aca="false">IF(AND(ISNUMBER(C5434),ISNUMBER(D5434)),D5434-C5434,"")</f>
        <v/>
      </c>
      <c r="Z5434" s="23" t="str">
        <f aca="false">IF(B5434="","",IF(MATCH(B5434,$B$2:$B$12000,0)=ROW()-1,1,0))</f>
        <v/>
      </c>
    </row>
    <row r="5435" customFormat="false" ht="15" hidden="false" customHeight="false" outlineLevel="0" collapsed="false">
      <c r="V5435" s="23" t="str">
        <f aca="false">IF(ISNUMBER(C5435),YEAR(C5435),"")</f>
        <v/>
      </c>
      <c r="W5435" s="23" t="str">
        <f aca="false">IF(ISNUMBER(C5435),MONTH(C5435),"")</f>
        <v/>
      </c>
      <c r="X5435" s="23" t="str">
        <f aca="false">IF(T5435="","",IF(T5435=0,"No discount",IF(T5435&lt;=0.2,"Low (1-20%)",IF(T5435&lt;=0.4,"Medium (21-40%)","High (&gt;40%)"))))</f>
        <v/>
      </c>
      <c r="Y5435" s="23" t="str">
        <f aca="false">IF(AND(ISNUMBER(C5435),ISNUMBER(D5435)),D5435-C5435,"")</f>
        <v/>
      </c>
      <c r="Z5435" s="23" t="str">
        <f aca="false">IF(B5435="","",IF(MATCH(B5435,$B$2:$B$12000,0)=ROW()-1,1,0))</f>
        <v/>
      </c>
    </row>
    <row r="5436" customFormat="false" ht="15" hidden="false" customHeight="false" outlineLevel="0" collapsed="false">
      <c r="V5436" s="23" t="str">
        <f aca="false">IF(ISNUMBER(C5436),YEAR(C5436),"")</f>
        <v/>
      </c>
      <c r="W5436" s="23" t="str">
        <f aca="false">IF(ISNUMBER(C5436),MONTH(C5436),"")</f>
        <v/>
      </c>
      <c r="X5436" s="23" t="str">
        <f aca="false">IF(T5436="","",IF(T5436=0,"No discount",IF(T5436&lt;=0.2,"Low (1-20%)",IF(T5436&lt;=0.4,"Medium (21-40%)","High (&gt;40%)"))))</f>
        <v/>
      </c>
      <c r="Y5436" s="23" t="str">
        <f aca="false">IF(AND(ISNUMBER(C5436),ISNUMBER(D5436)),D5436-C5436,"")</f>
        <v/>
      </c>
      <c r="Z5436" s="23" t="str">
        <f aca="false">IF(B5436="","",IF(MATCH(B5436,$B$2:$B$12000,0)=ROW()-1,1,0))</f>
        <v/>
      </c>
    </row>
    <row r="5437" customFormat="false" ht="15" hidden="false" customHeight="false" outlineLevel="0" collapsed="false">
      <c r="V5437" s="23" t="str">
        <f aca="false">IF(ISNUMBER(C5437),YEAR(C5437),"")</f>
        <v/>
      </c>
      <c r="W5437" s="23" t="str">
        <f aca="false">IF(ISNUMBER(C5437),MONTH(C5437),"")</f>
        <v/>
      </c>
      <c r="X5437" s="23" t="str">
        <f aca="false">IF(T5437="","",IF(T5437=0,"No discount",IF(T5437&lt;=0.2,"Low (1-20%)",IF(T5437&lt;=0.4,"Medium (21-40%)","High (&gt;40%)"))))</f>
        <v/>
      </c>
      <c r="Y5437" s="23" t="str">
        <f aca="false">IF(AND(ISNUMBER(C5437),ISNUMBER(D5437)),D5437-C5437,"")</f>
        <v/>
      </c>
      <c r="Z5437" s="23" t="str">
        <f aca="false">IF(B5437="","",IF(MATCH(B5437,$B$2:$B$12000,0)=ROW()-1,1,0))</f>
        <v/>
      </c>
    </row>
    <row r="5438" customFormat="false" ht="15" hidden="false" customHeight="false" outlineLevel="0" collapsed="false">
      <c r="V5438" s="23" t="str">
        <f aca="false">IF(ISNUMBER(C5438),YEAR(C5438),"")</f>
        <v/>
      </c>
      <c r="W5438" s="23" t="str">
        <f aca="false">IF(ISNUMBER(C5438),MONTH(C5438),"")</f>
        <v/>
      </c>
      <c r="X5438" s="23" t="str">
        <f aca="false">IF(T5438="","",IF(T5438=0,"No discount",IF(T5438&lt;=0.2,"Low (1-20%)",IF(T5438&lt;=0.4,"Medium (21-40%)","High (&gt;40%)"))))</f>
        <v/>
      </c>
      <c r="Y5438" s="23" t="str">
        <f aca="false">IF(AND(ISNUMBER(C5438),ISNUMBER(D5438)),D5438-C5438,"")</f>
        <v/>
      </c>
      <c r="Z5438" s="23" t="str">
        <f aca="false">IF(B5438="","",IF(MATCH(B5438,$B$2:$B$12000,0)=ROW()-1,1,0))</f>
        <v/>
      </c>
    </row>
    <row r="5439" customFormat="false" ht="15" hidden="false" customHeight="false" outlineLevel="0" collapsed="false">
      <c r="V5439" s="23" t="str">
        <f aca="false">IF(ISNUMBER(C5439),YEAR(C5439),"")</f>
        <v/>
      </c>
      <c r="W5439" s="23" t="str">
        <f aca="false">IF(ISNUMBER(C5439),MONTH(C5439),"")</f>
        <v/>
      </c>
      <c r="X5439" s="23" t="str">
        <f aca="false">IF(T5439="","",IF(T5439=0,"No discount",IF(T5439&lt;=0.2,"Low (1-20%)",IF(T5439&lt;=0.4,"Medium (21-40%)","High (&gt;40%)"))))</f>
        <v/>
      </c>
      <c r="Y5439" s="23" t="str">
        <f aca="false">IF(AND(ISNUMBER(C5439),ISNUMBER(D5439)),D5439-C5439,"")</f>
        <v/>
      </c>
      <c r="Z5439" s="23" t="str">
        <f aca="false">IF(B5439="","",IF(MATCH(B5439,$B$2:$B$12000,0)=ROW()-1,1,0))</f>
        <v/>
      </c>
    </row>
    <row r="5440" customFormat="false" ht="15" hidden="false" customHeight="false" outlineLevel="0" collapsed="false">
      <c r="V5440" s="23" t="str">
        <f aca="false">IF(ISNUMBER(C5440),YEAR(C5440),"")</f>
        <v/>
      </c>
      <c r="W5440" s="23" t="str">
        <f aca="false">IF(ISNUMBER(C5440),MONTH(C5440),"")</f>
        <v/>
      </c>
      <c r="X5440" s="23" t="str">
        <f aca="false">IF(T5440="","",IF(T5440=0,"No discount",IF(T5440&lt;=0.2,"Low (1-20%)",IF(T5440&lt;=0.4,"Medium (21-40%)","High (&gt;40%)"))))</f>
        <v/>
      </c>
      <c r="Y5440" s="23" t="str">
        <f aca="false">IF(AND(ISNUMBER(C5440),ISNUMBER(D5440)),D5440-C5440,"")</f>
        <v/>
      </c>
      <c r="Z5440" s="23" t="str">
        <f aca="false">IF(B5440="","",IF(MATCH(B5440,$B$2:$B$12000,0)=ROW()-1,1,0))</f>
        <v/>
      </c>
    </row>
    <row r="5441" customFormat="false" ht="15" hidden="false" customHeight="false" outlineLevel="0" collapsed="false">
      <c r="V5441" s="23" t="str">
        <f aca="false">IF(ISNUMBER(C5441),YEAR(C5441),"")</f>
        <v/>
      </c>
      <c r="W5441" s="23" t="str">
        <f aca="false">IF(ISNUMBER(C5441),MONTH(C5441),"")</f>
        <v/>
      </c>
      <c r="X5441" s="23" t="str">
        <f aca="false">IF(T5441="","",IF(T5441=0,"No discount",IF(T5441&lt;=0.2,"Low (1-20%)",IF(T5441&lt;=0.4,"Medium (21-40%)","High (&gt;40%)"))))</f>
        <v/>
      </c>
      <c r="Y5441" s="23" t="str">
        <f aca="false">IF(AND(ISNUMBER(C5441),ISNUMBER(D5441)),D5441-C5441,"")</f>
        <v/>
      </c>
      <c r="Z5441" s="23" t="str">
        <f aca="false">IF(B5441="","",IF(MATCH(B5441,$B$2:$B$12000,0)=ROW()-1,1,0))</f>
        <v/>
      </c>
    </row>
    <row r="5442" customFormat="false" ht="15" hidden="false" customHeight="false" outlineLevel="0" collapsed="false">
      <c r="V5442" s="23" t="str">
        <f aca="false">IF(ISNUMBER(C5442),YEAR(C5442),"")</f>
        <v/>
      </c>
      <c r="W5442" s="23" t="str">
        <f aca="false">IF(ISNUMBER(C5442),MONTH(C5442),"")</f>
        <v/>
      </c>
      <c r="X5442" s="23" t="str">
        <f aca="false">IF(T5442="","",IF(T5442=0,"No discount",IF(T5442&lt;=0.2,"Low (1-20%)",IF(T5442&lt;=0.4,"Medium (21-40%)","High (&gt;40%)"))))</f>
        <v/>
      </c>
      <c r="Y5442" s="23" t="str">
        <f aca="false">IF(AND(ISNUMBER(C5442),ISNUMBER(D5442)),D5442-C5442,"")</f>
        <v/>
      </c>
      <c r="Z5442" s="23" t="str">
        <f aca="false">IF(B5442="","",IF(MATCH(B5442,$B$2:$B$12000,0)=ROW()-1,1,0))</f>
        <v/>
      </c>
    </row>
    <row r="5443" customFormat="false" ht="15" hidden="false" customHeight="false" outlineLevel="0" collapsed="false">
      <c r="V5443" s="23" t="str">
        <f aca="false">IF(ISNUMBER(C5443),YEAR(C5443),"")</f>
        <v/>
      </c>
      <c r="W5443" s="23" t="str">
        <f aca="false">IF(ISNUMBER(C5443),MONTH(C5443),"")</f>
        <v/>
      </c>
      <c r="X5443" s="23" t="str">
        <f aca="false">IF(T5443="","",IF(T5443=0,"No discount",IF(T5443&lt;=0.2,"Low (1-20%)",IF(T5443&lt;=0.4,"Medium (21-40%)","High (&gt;40%)"))))</f>
        <v/>
      </c>
      <c r="Y5443" s="23" t="str">
        <f aca="false">IF(AND(ISNUMBER(C5443),ISNUMBER(D5443)),D5443-C5443,"")</f>
        <v/>
      </c>
      <c r="Z5443" s="23" t="str">
        <f aca="false">IF(B5443="","",IF(MATCH(B5443,$B$2:$B$12000,0)=ROW()-1,1,0))</f>
        <v/>
      </c>
    </row>
    <row r="5444" customFormat="false" ht="15" hidden="false" customHeight="false" outlineLevel="0" collapsed="false">
      <c r="V5444" s="23" t="str">
        <f aca="false">IF(ISNUMBER(C5444),YEAR(C5444),"")</f>
        <v/>
      </c>
      <c r="W5444" s="23" t="str">
        <f aca="false">IF(ISNUMBER(C5444),MONTH(C5444),"")</f>
        <v/>
      </c>
      <c r="X5444" s="23" t="str">
        <f aca="false">IF(T5444="","",IF(T5444=0,"No discount",IF(T5444&lt;=0.2,"Low (1-20%)",IF(T5444&lt;=0.4,"Medium (21-40%)","High (&gt;40%)"))))</f>
        <v/>
      </c>
      <c r="Y5444" s="23" t="str">
        <f aca="false">IF(AND(ISNUMBER(C5444),ISNUMBER(D5444)),D5444-C5444,"")</f>
        <v/>
      </c>
      <c r="Z5444" s="23" t="str">
        <f aca="false">IF(B5444="","",IF(MATCH(B5444,$B$2:$B$12000,0)=ROW()-1,1,0))</f>
        <v/>
      </c>
    </row>
    <row r="5445" customFormat="false" ht="15" hidden="false" customHeight="false" outlineLevel="0" collapsed="false">
      <c r="V5445" s="23" t="str">
        <f aca="false">IF(ISNUMBER(C5445),YEAR(C5445),"")</f>
        <v/>
      </c>
      <c r="W5445" s="23" t="str">
        <f aca="false">IF(ISNUMBER(C5445),MONTH(C5445),"")</f>
        <v/>
      </c>
      <c r="X5445" s="23" t="str">
        <f aca="false">IF(T5445="","",IF(T5445=0,"No discount",IF(T5445&lt;=0.2,"Low (1-20%)",IF(T5445&lt;=0.4,"Medium (21-40%)","High (&gt;40%)"))))</f>
        <v/>
      </c>
      <c r="Y5445" s="23" t="str">
        <f aca="false">IF(AND(ISNUMBER(C5445),ISNUMBER(D5445)),D5445-C5445,"")</f>
        <v/>
      </c>
      <c r="Z5445" s="23" t="str">
        <f aca="false">IF(B5445="","",IF(MATCH(B5445,$B$2:$B$12000,0)=ROW()-1,1,0))</f>
        <v/>
      </c>
    </row>
    <row r="5446" customFormat="false" ht="15" hidden="false" customHeight="false" outlineLevel="0" collapsed="false">
      <c r="V5446" s="23" t="str">
        <f aca="false">IF(ISNUMBER(C5446),YEAR(C5446),"")</f>
        <v/>
      </c>
      <c r="W5446" s="23" t="str">
        <f aca="false">IF(ISNUMBER(C5446),MONTH(C5446),"")</f>
        <v/>
      </c>
      <c r="X5446" s="23" t="str">
        <f aca="false">IF(T5446="","",IF(T5446=0,"No discount",IF(T5446&lt;=0.2,"Low (1-20%)",IF(T5446&lt;=0.4,"Medium (21-40%)","High (&gt;40%)"))))</f>
        <v/>
      </c>
      <c r="Y5446" s="23" t="str">
        <f aca="false">IF(AND(ISNUMBER(C5446),ISNUMBER(D5446)),D5446-C5446,"")</f>
        <v/>
      </c>
      <c r="Z5446" s="23" t="str">
        <f aca="false">IF(B5446="","",IF(MATCH(B5446,$B$2:$B$12000,0)=ROW()-1,1,0))</f>
        <v/>
      </c>
    </row>
    <row r="5447" customFormat="false" ht="15" hidden="false" customHeight="false" outlineLevel="0" collapsed="false">
      <c r="V5447" s="23" t="str">
        <f aca="false">IF(ISNUMBER(C5447),YEAR(C5447),"")</f>
        <v/>
      </c>
      <c r="W5447" s="23" t="str">
        <f aca="false">IF(ISNUMBER(C5447),MONTH(C5447),"")</f>
        <v/>
      </c>
      <c r="X5447" s="23" t="str">
        <f aca="false">IF(T5447="","",IF(T5447=0,"No discount",IF(T5447&lt;=0.2,"Low (1-20%)",IF(T5447&lt;=0.4,"Medium (21-40%)","High (&gt;40%)"))))</f>
        <v/>
      </c>
      <c r="Y5447" s="23" t="str">
        <f aca="false">IF(AND(ISNUMBER(C5447),ISNUMBER(D5447)),D5447-C5447,"")</f>
        <v/>
      </c>
      <c r="Z5447" s="23" t="str">
        <f aca="false">IF(B5447="","",IF(MATCH(B5447,$B$2:$B$12000,0)=ROW()-1,1,0))</f>
        <v/>
      </c>
    </row>
    <row r="5448" customFormat="false" ht="15" hidden="false" customHeight="false" outlineLevel="0" collapsed="false">
      <c r="V5448" s="23" t="str">
        <f aca="false">IF(ISNUMBER(C5448),YEAR(C5448),"")</f>
        <v/>
      </c>
      <c r="W5448" s="23" t="str">
        <f aca="false">IF(ISNUMBER(C5448),MONTH(C5448),"")</f>
        <v/>
      </c>
      <c r="X5448" s="23" t="str">
        <f aca="false">IF(T5448="","",IF(T5448=0,"No discount",IF(T5448&lt;=0.2,"Low (1-20%)",IF(T5448&lt;=0.4,"Medium (21-40%)","High (&gt;40%)"))))</f>
        <v/>
      </c>
      <c r="Y5448" s="23" t="str">
        <f aca="false">IF(AND(ISNUMBER(C5448),ISNUMBER(D5448)),D5448-C5448,"")</f>
        <v/>
      </c>
      <c r="Z5448" s="23" t="str">
        <f aca="false">IF(B5448="","",IF(MATCH(B5448,$B$2:$B$12000,0)=ROW()-1,1,0))</f>
        <v/>
      </c>
    </row>
    <row r="5449" customFormat="false" ht="15" hidden="false" customHeight="false" outlineLevel="0" collapsed="false">
      <c r="V5449" s="23" t="str">
        <f aca="false">IF(ISNUMBER(C5449),YEAR(C5449),"")</f>
        <v/>
      </c>
      <c r="W5449" s="23" t="str">
        <f aca="false">IF(ISNUMBER(C5449),MONTH(C5449),"")</f>
        <v/>
      </c>
      <c r="X5449" s="23" t="str">
        <f aca="false">IF(T5449="","",IF(T5449=0,"No discount",IF(T5449&lt;=0.2,"Low (1-20%)",IF(T5449&lt;=0.4,"Medium (21-40%)","High (&gt;40%)"))))</f>
        <v/>
      </c>
      <c r="Y5449" s="23" t="str">
        <f aca="false">IF(AND(ISNUMBER(C5449),ISNUMBER(D5449)),D5449-C5449,"")</f>
        <v/>
      </c>
      <c r="Z5449" s="23" t="str">
        <f aca="false">IF(B5449="","",IF(MATCH(B5449,$B$2:$B$12000,0)=ROW()-1,1,0))</f>
        <v/>
      </c>
    </row>
    <row r="5450" customFormat="false" ht="15" hidden="false" customHeight="false" outlineLevel="0" collapsed="false">
      <c r="V5450" s="23" t="str">
        <f aca="false">IF(ISNUMBER(C5450),YEAR(C5450),"")</f>
        <v/>
      </c>
      <c r="W5450" s="23" t="str">
        <f aca="false">IF(ISNUMBER(C5450),MONTH(C5450),"")</f>
        <v/>
      </c>
      <c r="X5450" s="23" t="str">
        <f aca="false">IF(T5450="","",IF(T5450=0,"No discount",IF(T5450&lt;=0.2,"Low (1-20%)",IF(T5450&lt;=0.4,"Medium (21-40%)","High (&gt;40%)"))))</f>
        <v/>
      </c>
      <c r="Y5450" s="23" t="str">
        <f aca="false">IF(AND(ISNUMBER(C5450),ISNUMBER(D5450)),D5450-C5450,"")</f>
        <v/>
      </c>
      <c r="Z5450" s="23" t="str">
        <f aca="false">IF(B5450="","",IF(MATCH(B5450,$B$2:$B$12000,0)=ROW()-1,1,0))</f>
        <v/>
      </c>
    </row>
    <row r="5451" customFormat="false" ht="15" hidden="false" customHeight="false" outlineLevel="0" collapsed="false">
      <c r="V5451" s="23" t="str">
        <f aca="false">IF(ISNUMBER(C5451),YEAR(C5451),"")</f>
        <v/>
      </c>
      <c r="W5451" s="23" t="str">
        <f aca="false">IF(ISNUMBER(C5451),MONTH(C5451),"")</f>
        <v/>
      </c>
      <c r="X5451" s="23" t="str">
        <f aca="false">IF(T5451="","",IF(T5451=0,"No discount",IF(T5451&lt;=0.2,"Low (1-20%)",IF(T5451&lt;=0.4,"Medium (21-40%)","High (&gt;40%)"))))</f>
        <v/>
      </c>
      <c r="Y5451" s="23" t="str">
        <f aca="false">IF(AND(ISNUMBER(C5451),ISNUMBER(D5451)),D5451-C5451,"")</f>
        <v/>
      </c>
      <c r="Z5451" s="23" t="str">
        <f aca="false">IF(B5451="","",IF(MATCH(B5451,$B$2:$B$12000,0)=ROW()-1,1,0))</f>
        <v/>
      </c>
    </row>
    <row r="5452" customFormat="false" ht="15" hidden="false" customHeight="false" outlineLevel="0" collapsed="false">
      <c r="V5452" s="23" t="str">
        <f aca="false">IF(ISNUMBER(C5452),YEAR(C5452),"")</f>
        <v/>
      </c>
      <c r="W5452" s="23" t="str">
        <f aca="false">IF(ISNUMBER(C5452),MONTH(C5452),"")</f>
        <v/>
      </c>
      <c r="X5452" s="23" t="str">
        <f aca="false">IF(T5452="","",IF(T5452=0,"No discount",IF(T5452&lt;=0.2,"Low (1-20%)",IF(T5452&lt;=0.4,"Medium (21-40%)","High (&gt;40%)"))))</f>
        <v/>
      </c>
      <c r="Y5452" s="23" t="str">
        <f aca="false">IF(AND(ISNUMBER(C5452),ISNUMBER(D5452)),D5452-C5452,"")</f>
        <v/>
      </c>
      <c r="Z5452" s="23" t="str">
        <f aca="false">IF(B5452="","",IF(MATCH(B5452,$B$2:$B$12000,0)=ROW()-1,1,0))</f>
        <v/>
      </c>
    </row>
    <row r="5453" customFormat="false" ht="15" hidden="false" customHeight="false" outlineLevel="0" collapsed="false">
      <c r="V5453" s="23" t="str">
        <f aca="false">IF(ISNUMBER(C5453),YEAR(C5453),"")</f>
        <v/>
      </c>
      <c r="W5453" s="23" t="str">
        <f aca="false">IF(ISNUMBER(C5453),MONTH(C5453),"")</f>
        <v/>
      </c>
      <c r="X5453" s="23" t="str">
        <f aca="false">IF(T5453="","",IF(T5453=0,"No discount",IF(T5453&lt;=0.2,"Low (1-20%)",IF(T5453&lt;=0.4,"Medium (21-40%)","High (&gt;40%)"))))</f>
        <v/>
      </c>
      <c r="Y5453" s="23" t="str">
        <f aca="false">IF(AND(ISNUMBER(C5453),ISNUMBER(D5453)),D5453-C5453,"")</f>
        <v/>
      </c>
      <c r="Z5453" s="23" t="str">
        <f aca="false">IF(B5453="","",IF(MATCH(B5453,$B$2:$B$12000,0)=ROW()-1,1,0))</f>
        <v/>
      </c>
    </row>
    <row r="5454" customFormat="false" ht="15" hidden="false" customHeight="false" outlineLevel="0" collapsed="false">
      <c r="V5454" s="23" t="str">
        <f aca="false">IF(ISNUMBER(C5454),YEAR(C5454),"")</f>
        <v/>
      </c>
      <c r="W5454" s="23" t="str">
        <f aca="false">IF(ISNUMBER(C5454),MONTH(C5454),"")</f>
        <v/>
      </c>
      <c r="X5454" s="23" t="str">
        <f aca="false">IF(T5454="","",IF(T5454=0,"No discount",IF(T5454&lt;=0.2,"Low (1-20%)",IF(T5454&lt;=0.4,"Medium (21-40%)","High (&gt;40%)"))))</f>
        <v/>
      </c>
      <c r="Y5454" s="23" t="str">
        <f aca="false">IF(AND(ISNUMBER(C5454),ISNUMBER(D5454)),D5454-C5454,"")</f>
        <v/>
      </c>
      <c r="Z5454" s="23" t="str">
        <f aca="false">IF(B5454="","",IF(MATCH(B5454,$B$2:$B$12000,0)=ROW()-1,1,0))</f>
        <v/>
      </c>
    </row>
    <row r="5455" customFormat="false" ht="15" hidden="false" customHeight="false" outlineLevel="0" collapsed="false">
      <c r="V5455" s="23" t="str">
        <f aca="false">IF(ISNUMBER(C5455),YEAR(C5455),"")</f>
        <v/>
      </c>
      <c r="W5455" s="23" t="str">
        <f aca="false">IF(ISNUMBER(C5455),MONTH(C5455),"")</f>
        <v/>
      </c>
      <c r="X5455" s="23" t="str">
        <f aca="false">IF(T5455="","",IF(T5455=0,"No discount",IF(T5455&lt;=0.2,"Low (1-20%)",IF(T5455&lt;=0.4,"Medium (21-40%)","High (&gt;40%)"))))</f>
        <v/>
      </c>
      <c r="Y5455" s="23" t="str">
        <f aca="false">IF(AND(ISNUMBER(C5455),ISNUMBER(D5455)),D5455-C5455,"")</f>
        <v/>
      </c>
      <c r="Z5455" s="23" t="str">
        <f aca="false">IF(B5455="","",IF(MATCH(B5455,$B$2:$B$12000,0)=ROW()-1,1,0))</f>
        <v/>
      </c>
    </row>
    <row r="5456" customFormat="false" ht="15" hidden="false" customHeight="false" outlineLevel="0" collapsed="false">
      <c r="V5456" s="23" t="str">
        <f aca="false">IF(ISNUMBER(C5456),YEAR(C5456),"")</f>
        <v/>
      </c>
      <c r="W5456" s="23" t="str">
        <f aca="false">IF(ISNUMBER(C5456),MONTH(C5456),"")</f>
        <v/>
      </c>
      <c r="X5456" s="23" t="str">
        <f aca="false">IF(T5456="","",IF(T5456=0,"No discount",IF(T5456&lt;=0.2,"Low (1-20%)",IF(T5456&lt;=0.4,"Medium (21-40%)","High (&gt;40%)"))))</f>
        <v/>
      </c>
      <c r="Y5456" s="23" t="str">
        <f aca="false">IF(AND(ISNUMBER(C5456),ISNUMBER(D5456)),D5456-C5456,"")</f>
        <v/>
      </c>
      <c r="Z5456" s="23" t="str">
        <f aca="false">IF(B5456="","",IF(MATCH(B5456,$B$2:$B$12000,0)=ROW()-1,1,0))</f>
        <v/>
      </c>
    </row>
    <row r="5457" customFormat="false" ht="15" hidden="false" customHeight="false" outlineLevel="0" collapsed="false">
      <c r="V5457" s="23" t="str">
        <f aca="false">IF(ISNUMBER(C5457),YEAR(C5457),"")</f>
        <v/>
      </c>
      <c r="W5457" s="23" t="str">
        <f aca="false">IF(ISNUMBER(C5457),MONTH(C5457),"")</f>
        <v/>
      </c>
      <c r="X5457" s="23" t="str">
        <f aca="false">IF(T5457="","",IF(T5457=0,"No discount",IF(T5457&lt;=0.2,"Low (1-20%)",IF(T5457&lt;=0.4,"Medium (21-40%)","High (&gt;40%)"))))</f>
        <v/>
      </c>
      <c r="Y5457" s="23" t="str">
        <f aca="false">IF(AND(ISNUMBER(C5457),ISNUMBER(D5457)),D5457-C5457,"")</f>
        <v/>
      </c>
      <c r="Z5457" s="23" t="str">
        <f aca="false">IF(B5457="","",IF(MATCH(B5457,$B$2:$B$12000,0)=ROW()-1,1,0))</f>
        <v/>
      </c>
    </row>
    <row r="5458" customFormat="false" ht="15" hidden="false" customHeight="false" outlineLevel="0" collapsed="false">
      <c r="V5458" s="23" t="str">
        <f aca="false">IF(ISNUMBER(C5458),YEAR(C5458),"")</f>
        <v/>
      </c>
      <c r="W5458" s="23" t="str">
        <f aca="false">IF(ISNUMBER(C5458),MONTH(C5458),"")</f>
        <v/>
      </c>
      <c r="X5458" s="23" t="str">
        <f aca="false">IF(T5458="","",IF(T5458=0,"No discount",IF(T5458&lt;=0.2,"Low (1-20%)",IF(T5458&lt;=0.4,"Medium (21-40%)","High (&gt;40%)"))))</f>
        <v/>
      </c>
      <c r="Y5458" s="23" t="str">
        <f aca="false">IF(AND(ISNUMBER(C5458),ISNUMBER(D5458)),D5458-C5458,"")</f>
        <v/>
      </c>
      <c r="Z5458" s="23" t="str">
        <f aca="false">IF(B5458="","",IF(MATCH(B5458,$B$2:$B$12000,0)=ROW()-1,1,0))</f>
        <v/>
      </c>
    </row>
    <row r="5459" customFormat="false" ht="15" hidden="false" customHeight="false" outlineLevel="0" collapsed="false">
      <c r="V5459" s="23" t="str">
        <f aca="false">IF(ISNUMBER(C5459),YEAR(C5459),"")</f>
        <v/>
      </c>
      <c r="W5459" s="23" t="str">
        <f aca="false">IF(ISNUMBER(C5459),MONTH(C5459),"")</f>
        <v/>
      </c>
      <c r="X5459" s="23" t="str">
        <f aca="false">IF(T5459="","",IF(T5459=0,"No discount",IF(T5459&lt;=0.2,"Low (1-20%)",IF(T5459&lt;=0.4,"Medium (21-40%)","High (&gt;40%)"))))</f>
        <v/>
      </c>
      <c r="Y5459" s="23" t="str">
        <f aca="false">IF(AND(ISNUMBER(C5459),ISNUMBER(D5459)),D5459-C5459,"")</f>
        <v/>
      </c>
      <c r="Z5459" s="23" t="str">
        <f aca="false">IF(B5459="","",IF(MATCH(B5459,$B$2:$B$12000,0)=ROW()-1,1,0))</f>
        <v/>
      </c>
    </row>
    <row r="5460" customFormat="false" ht="15" hidden="false" customHeight="false" outlineLevel="0" collapsed="false">
      <c r="V5460" s="23" t="str">
        <f aca="false">IF(ISNUMBER(C5460),YEAR(C5460),"")</f>
        <v/>
      </c>
      <c r="W5460" s="23" t="str">
        <f aca="false">IF(ISNUMBER(C5460),MONTH(C5460),"")</f>
        <v/>
      </c>
      <c r="X5460" s="23" t="str">
        <f aca="false">IF(T5460="","",IF(T5460=0,"No discount",IF(T5460&lt;=0.2,"Low (1-20%)",IF(T5460&lt;=0.4,"Medium (21-40%)","High (&gt;40%)"))))</f>
        <v/>
      </c>
      <c r="Y5460" s="23" t="str">
        <f aca="false">IF(AND(ISNUMBER(C5460),ISNUMBER(D5460)),D5460-C5460,"")</f>
        <v/>
      </c>
      <c r="Z5460" s="23" t="str">
        <f aca="false">IF(B5460="","",IF(MATCH(B5460,$B$2:$B$12000,0)=ROW()-1,1,0))</f>
        <v/>
      </c>
    </row>
    <row r="5461" customFormat="false" ht="15" hidden="false" customHeight="false" outlineLevel="0" collapsed="false">
      <c r="V5461" s="23" t="str">
        <f aca="false">IF(ISNUMBER(C5461),YEAR(C5461),"")</f>
        <v/>
      </c>
      <c r="W5461" s="23" t="str">
        <f aca="false">IF(ISNUMBER(C5461),MONTH(C5461),"")</f>
        <v/>
      </c>
      <c r="X5461" s="23" t="str">
        <f aca="false">IF(T5461="","",IF(T5461=0,"No discount",IF(T5461&lt;=0.2,"Low (1-20%)",IF(T5461&lt;=0.4,"Medium (21-40%)","High (&gt;40%)"))))</f>
        <v/>
      </c>
      <c r="Y5461" s="23" t="str">
        <f aca="false">IF(AND(ISNUMBER(C5461),ISNUMBER(D5461)),D5461-C5461,"")</f>
        <v/>
      </c>
      <c r="Z5461" s="23" t="str">
        <f aca="false">IF(B5461="","",IF(MATCH(B5461,$B$2:$B$12000,0)=ROW()-1,1,0))</f>
        <v/>
      </c>
    </row>
    <row r="5462" customFormat="false" ht="15" hidden="false" customHeight="false" outlineLevel="0" collapsed="false">
      <c r="V5462" s="23" t="str">
        <f aca="false">IF(ISNUMBER(C5462),YEAR(C5462),"")</f>
        <v/>
      </c>
      <c r="W5462" s="23" t="str">
        <f aca="false">IF(ISNUMBER(C5462),MONTH(C5462),"")</f>
        <v/>
      </c>
      <c r="X5462" s="23" t="str">
        <f aca="false">IF(T5462="","",IF(T5462=0,"No discount",IF(T5462&lt;=0.2,"Low (1-20%)",IF(T5462&lt;=0.4,"Medium (21-40%)","High (&gt;40%)"))))</f>
        <v/>
      </c>
      <c r="Y5462" s="23" t="str">
        <f aca="false">IF(AND(ISNUMBER(C5462),ISNUMBER(D5462)),D5462-C5462,"")</f>
        <v/>
      </c>
      <c r="Z5462" s="23" t="str">
        <f aca="false">IF(B5462="","",IF(MATCH(B5462,$B$2:$B$12000,0)=ROW()-1,1,0))</f>
        <v/>
      </c>
    </row>
    <row r="5463" customFormat="false" ht="15" hidden="false" customHeight="false" outlineLevel="0" collapsed="false">
      <c r="V5463" s="23" t="str">
        <f aca="false">IF(ISNUMBER(C5463),YEAR(C5463),"")</f>
        <v/>
      </c>
      <c r="W5463" s="23" t="str">
        <f aca="false">IF(ISNUMBER(C5463),MONTH(C5463),"")</f>
        <v/>
      </c>
      <c r="X5463" s="23" t="str">
        <f aca="false">IF(T5463="","",IF(T5463=0,"No discount",IF(T5463&lt;=0.2,"Low (1-20%)",IF(T5463&lt;=0.4,"Medium (21-40%)","High (&gt;40%)"))))</f>
        <v/>
      </c>
      <c r="Y5463" s="23" t="str">
        <f aca="false">IF(AND(ISNUMBER(C5463),ISNUMBER(D5463)),D5463-C5463,"")</f>
        <v/>
      </c>
      <c r="Z5463" s="23" t="str">
        <f aca="false">IF(B5463="","",IF(MATCH(B5463,$B$2:$B$12000,0)=ROW()-1,1,0))</f>
        <v/>
      </c>
    </row>
    <row r="5464" customFormat="false" ht="15" hidden="false" customHeight="false" outlineLevel="0" collapsed="false">
      <c r="V5464" s="23" t="str">
        <f aca="false">IF(ISNUMBER(C5464),YEAR(C5464),"")</f>
        <v/>
      </c>
      <c r="W5464" s="23" t="str">
        <f aca="false">IF(ISNUMBER(C5464),MONTH(C5464),"")</f>
        <v/>
      </c>
      <c r="X5464" s="23" t="str">
        <f aca="false">IF(T5464="","",IF(T5464=0,"No discount",IF(T5464&lt;=0.2,"Low (1-20%)",IF(T5464&lt;=0.4,"Medium (21-40%)","High (&gt;40%)"))))</f>
        <v/>
      </c>
      <c r="Y5464" s="23" t="str">
        <f aca="false">IF(AND(ISNUMBER(C5464),ISNUMBER(D5464)),D5464-C5464,"")</f>
        <v/>
      </c>
      <c r="Z5464" s="23" t="str">
        <f aca="false">IF(B5464="","",IF(MATCH(B5464,$B$2:$B$12000,0)=ROW()-1,1,0))</f>
        <v/>
      </c>
    </row>
    <row r="5465" customFormat="false" ht="15" hidden="false" customHeight="false" outlineLevel="0" collapsed="false">
      <c r="V5465" s="23" t="str">
        <f aca="false">IF(ISNUMBER(C5465),YEAR(C5465),"")</f>
        <v/>
      </c>
      <c r="W5465" s="23" t="str">
        <f aca="false">IF(ISNUMBER(C5465),MONTH(C5465),"")</f>
        <v/>
      </c>
      <c r="X5465" s="23" t="str">
        <f aca="false">IF(T5465="","",IF(T5465=0,"No discount",IF(T5465&lt;=0.2,"Low (1-20%)",IF(T5465&lt;=0.4,"Medium (21-40%)","High (&gt;40%)"))))</f>
        <v/>
      </c>
      <c r="Y5465" s="23" t="str">
        <f aca="false">IF(AND(ISNUMBER(C5465),ISNUMBER(D5465)),D5465-C5465,"")</f>
        <v/>
      </c>
      <c r="Z5465" s="23" t="str">
        <f aca="false">IF(B5465="","",IF(MATCH(B5465,$B$2:$B$12000,0)=ROW()-1,1,0))</f>
        <v/>
      </c>
    </row>
    <row r="5466" customFormat="false" ht="15" hidden="false" customHeight="false" outlineLevel="0" collapsed="false">
      <c r="V5466" s="23" t="str">
        <f aca="false">IF(ISNUMBER(C5466),YEAR(C5466),"")</f>
        <v/>
      </c>
      <c r="W5466" s="23" t="str">
        <f aca="false">IF(ISNUMBER(C5466),MONTH(C5466),"")</f>
        <v/>
      </c>
      <c r="X5466" s="23" t="str">
        <f aca="false">IF(T5466="","",IF(T5466=0,"No discount",IF(T5466&lt;=0.2,"Low (1-20%)",IF(T5466&lt;=0.4,"Medium (21-40%)","High (&gt;40%)"))))</f>
        <v/>
      </c>
      <c r="Y5466" s="23" t="str">
        <f aca="false">IF(AND(ISNUMBER(C5466),ISNUMBER(D5466)),D5466-C5466,"")</f>
        <v/>
      </c>
      <c r="Z5466" s="23" t="str">
        <f aca="false">IF(B5466="","",IF(MATCH(B5466,$B$2:$B$12000,0)=ROW()-1,1,0))</f>
        <v/>
      </c>
    </row>
    <row r="5467" customFormat="false" ht="15" hidden="false" customHeight="false" outlineLevel="0" collapsed="false">
      <c r="V5467" s="23" t="str">
        <f aca="false">IF(ISNUMBER(C5467),YEAR(C5467),"")</f>
        <v/>
      </c>
      <c r="W5467" s="23" t="str">
        <f aca="false">IF(ISNUMBER(C5467),MONTH(C5467),"")</f>
        <v/>
      </c>
      <c r="X5467" s="23" t="str">
        <f aca="false">IF(T5467="","",IF(T5467=0,"No discount",IF(T5467&lt;=0.2,"Low (1-20%)",IF(T5467&lt;=0.4,"Medium (21-40%)","High (&gt;40%)"))))</f>
        <v/>
      </c>
      <c r="Y5467" s="23" t="str">
        <f aca="false">IF(AND(ISNUMBER(C5467),ISNUMBER(D5467)),D5467-C5467,"")</f>
        <v/>
      </c>
      <c r="Z5467" s="23" t="str">
        <f aca="false">IF(B5467="","",IF(MATCH(B5467,$B$2:$B$12000,0)=ROW()-1,1,0))</f>
        <v/>
      </c>
    </row>
    <row r="5468" customFormat="false" ht="15" hidden="false" customHeight="false" outlineLevel="0" collapsed="false">
      <c r="V5468" s="23" t="str">
        <f aca="false">IF(ISNUMBER(C5468),YEAR(C5468),"")</f>
        <v/>
      </c>
      <c r="W5468" s="23" t="str">
        <f aca="false">IF(ISNUMBER(C5468),MONTH(C5468),"")</f>
        <v/>
      </c>
      <c r="X5468" s="23" t="str">
        <f aca="false">IF(T5468="","",IF(T5468=0,"No discount",IF(T5468&lt;=0.2,"Low (1-20%)",IF(T5468&lt;=0.4,"Medium (21-40%)","High (&gt;40%)"))))</f>
        <v/>
      </c>
      <c r="Y5468" s="23" t="str">
        <f aca="false">IF(AND(ISNUMBER(C5468),ISNUMBER(D5468)),D5468-C5468,"")</f>
        <v/>
      </c>
      <c r="Z5468" s="23" t="str">
        <f aca="false">IF(B5468="","",IF(MATCH(B5468,$B$2:$B$12000,0)=ROW()-1,1,0))</f>
        <v/>
      </c>
    </row>
    <row r="5469" customFormat="false" ht="15" hidden="false" customHeight="false" outlineLevel="0" collapsed="false">
      <c r="V5469" s="23" t="str">
        <f aca="false">IF(ISNUMBER(C5469),YEAR(C5469),"")</f>
        <v/>
      </c>
      <c r="W5469" s="23" t="str">
        <f aca="false">IF(ISNUMBER(C5469),MONTH(C5469),"")</f>
        <v/>
      </c>
      <c r="X5469" s="23" t="str">
        <f aca="false">IF(T5469="","",IF(T5469=0,"No discount",IF(T5469&lt;=0.2,"Low (1-20%)",IF(T5469&lt;=0.4,"Medium (21-40%)","High (&gt;40%)"))))</f>
        <v/>
      </c>
      <c r="Y5469" s="23" t="str">
        <f aca="false">IF(AND(ISNUMBER(C5469),ISNUMBER(D5469)),D5469-C5469,"")</f>
        <v/>
      </c>
      <c r="Z5469" s="23" t="str">
        <f aca="false">IF(B5469="","",IF(MATCH(B5469,$B$2:$B$12000,0)=ROW()-1,1,0))</f>
        <v/>
      </c>
    </row>
    <row r="5470" customFormat="false" ht="15" hidden="false" customHeight="false" outlineLevel="0" collapsed="false">
      <c r="V5470" s="23" t="str">
        <f aca="false">IF(ISNUMBER(C5470),YEAR(C5470),"")</f>
        <v/>
      </c>
      <c r="W5470" s="23" t="str">
        <f aca="false">IF(ISNUMBER(C5470),MONTH(C5470),"")</f>
        <v/>
      </c>
      <c r="X5470" s="23" t="str">
        <f aca="false">IF(T5470="","",IF(T5470=0,"No discount",IF(T5470&lt;=0.2,"Low (1-20%)",IF(T5470&lt;=0.4,"Medium (21-40%)","High (&gt;40%)"))))</f>
        <v/>
      </c>
      <c r="Y5470" s="23" t="str">
        <f aca="false">IF(AND(ISNUMBER(C5470),ISNUMBER(D5470)),D5470-C5470,"")</f>
        <v/>
      </c>
      <c r="Z5470" s="23" t="str">
        <f aca="false">IF(B5470="","",IF(MATCH(B5470,$B$2:$B$12000,0)=ROW()-1,1,0))</f>
        <v/>
      </c>
    </row>
    <row r="5471" customFormat="false" ht="15" hidden="false" customHeight="false" outlineLevel="0" collapsed="false">
      <c r="V5471" s="23" t="str">
        <f aca="false">IF(ISNUMBER(C5471),YEAR(C5471),"")</f>
        <v/>
      </c>
      <c r="W5471" s="23" t="str">
        <f aca="false">IF(ISNUMBER(C5471),MONTH(C5471),"")</f>
        <v/>
      </c>
      <c r="X5471" s="23" t="str">
        <f aca="false">IF(T5471="","",IF(T5471=0,"No discount",IF(T5471&lt;=0.2,"Low (1-20%)",IF(T5471&lt;=0.4,"Medium (21-40%)","High (&gt;40%)"))))</f>
        <v/>
      </c>
      <c r="Y5471" s="23" t="str">
        <f aca="false">IF(AND(ISNUMBER(C5471),ISNUMBER(D5471)),D5471-C5471,"")</f>
        <v/>
      </c>
      <c r="Z5471" s="23" t="str">
        <f aca="false">IF(B5471="","",IF(MATCH(B5471,$B$2:$B$12000,0)=ROW()-1,1,0))</f>
        <v/>
      </c>
    </row>
    <row r="5472" customFormat="false" ht="15" hidden="false" customHeight="false" outlineLevel="0" collapsed="false">
      <c r="V5472" s="23" t="str">
        <f aca="false">IF(ISNUMBER(C5472),YEAR(C5472),"")</f>
        <v/>
      </c>
      <c r="W5472" s="23" t="str">
        <f aca="false">IF(ISNUMBER(C5472),MONTH(C5472),"")</f>
        <v/>
      </c>
      <c r="X5472" s="23" t="str">
        <f aca="false">IF(T5472="","",IF(T5472=0,"No discount",IF(T5472&lt;=0.2,"Low (1-20%)",IF(T5472&lt;=0.4,"Medium (21-40%)","High (&gt;40%)"))))</f>
        <v/>
      </c>
      <c r="Y5472" s="23" t="str">
        <f aca="false">IF(AND(ISNUMBER(C5472),ISNUMBER(D5472)),D5472-C5472,"")</f>
        <v/>
      </c>
      <c r="Z5472" s="23" t="str">
        <f aca="false">IF(B5472="","",IF(MATCH(B5472,$B$2:$B$12000,0)=ROW()-1,1,0))</f>
        <v/>
      </c>
    </row>
    <row r="5473" customFormat="false" ht="15" hidden="false" customHeight="false" outlineLevel="0" collapsed="false">
      <c r="V5473" s="23" t="str">
        <f aca="false">IF(ISNUMBER(C5473),YEAR(C5473),"")</f>
        <v/>
      </c>
      <c r="W5473" s="23" t="str">
        <f aca="false">IF(ISNUMBER(C5473),MONTH(C5473),"")</f>
        <v/>
      </c>
      <c r="X5473" s="23" t="str">
        <f aca="false">IF(T5473="","",IF(T5473=0,"No discount",IF(T5473&lt;=0.2,"Low (1-20%)",IF(T5473&lt;=0.4,"Medium (21-40%)","High (&gt;40%)"))))</f>
        <v/>
      </c>
      <c r="Y5473" s="23" t="str">
        <f aca="false">IF(AND(ISNUMBER(C5473),ISNUMBER(D5473)),D5473-C5473,"")</f>
        <v/>
      </c>
      <c r="Z5473" s="23" t="str">
        <f aca="false">IF(B5473="","",IF(MATCH(B5473,$B$2:$B$12000,0)=ROW()-1,1,0))</f>
        <v/>
      </c>
    </row>
    <row r="5474" customFormat="false" ht="15" hidden="false" customHeight="false" outlineLevel="0" collapsed="false">
      <c r="V5474" s="23" t="str">
        <f aca="false">IF(ISNUMBER(C5474),YEAR(C5474),"")</f>
        <v/>
      </c>
      <c r="W5474" s="23" t="str">
        <f aca="false">IF(ISNUMBER(C5474),MONTH(C5474),"")</f>
        <v/>
      </c>
      <c r="X5474" s="23" t="str">
        <f aca="false">IF(T5474="","",IF(T5474=0,"No discount",IF(T5474&lt;=0.2,"Low (1-20%)",IF(T5474&lt;=0.4,"Medium (21-40%)","High (&gt;40%)"))))</f>
        <v/>
      </c>
      <c r="Y5474" s="23" t="str">
        <f aca="false">IF(AND(ISNUMBER(C5474),ISNUMBER(D5474)),D5474-C5474,"")</f>
        <v/>
      </c>
      <c r="Z5474" s="23" t="str">
        <f aca="false">IF(B5474="","",IF(MATCH(B5474,$B$2:$B$12000,0)=ROW()-1,1,0))</f>
        <v/>
      </c>
    </row>
    <row r="5475" customFormat="false" ht="15" hidden="false" customHeight="false" outlineLevel="0" collapsed="false">
      <c r="V5475" s="23" t="str">
        <f aca="false">IF(ISNUMBER(C5475),YEAR(C5475),"")</f>
        <v/>
      </c>
      <c r="W5475" s="23" t="str">
        <f aca="false">IF(ISNUMBER(C5475),MONTH(C5475),"")</f>
        <v/>
      </c>
      <c r="X5475" s="23" t="str">
        <f aca="false">IF(T5475="","",IF(T5475=0,"No discount",IF(T5475&lt;=0.2,"Low (1-20%)",IF(T5475&lt;=0.4,"Medium (21-40%)","High (&gt;40%)"))))</f>
        <v/>
      </c>
      <c r="Y5475" s="23" t="str">
        <f aca="false">IF(AND(ISNUMBER(C5475),ISNUMBER(D5475)),D5475-C5475,"")</f>
        <v/>
      </c>
      <c r="Z5475" s="23" t="str">
        <f aca="false">IF(B5475="","",IF(MATCH(B5475,$B$2:$B$12000,0)=ROW()-1,1,0))</f>
        <v/>
      </c>
    </row>
    <row r="5476" customFormat="false" ht="15" hidden="false" customHeight="false" outlineLevel="0" collapsed="false">
      <c r="V5476" s="23" t="str">
        <f aca="false">IF(ISNUMBER(C5476),YEAR(C5476),"")</f>
        <v/>
      </c>
      <c r="W5476" s="23" t="str">
        <f aca="false">IF(ISNUMBER(C5476),MONTH(C5476),"")</f>
        <v/>
      </c>
      <c r="X5476" s="23" t="str">
        <f aca="false">IF(T5476="","",IF(T5476=0,"No discount",IF(T5476&lt;=0.2,"Low (1-20%)",IF(T5476&lt;=0.4,"Medium (21-40%)","High (&gt;40%)"))))</f>
        <v/>
      </c>
      <c r="Y5476" s="23" t="str">
        <f aca="false">IF(AND(ISNUMBER(C5476),ISNUMBER(D5476)),D5476-C5476,"")</f>
        <v/>
      </c>
      <c r="Z5476" s="23" t="str">
        <f aca="false">IF(B5476="","",IF(MATCH(B5476,$B$2:$B$12000,0)=ROW()-1,1,0))</f>
        <v/>
      </c>
    </row>
    <row r="5477" customFormat="false" ht="15" hidden="false" customHeight="false" outlineLevel="0" collapsed="false">
      <c r="V5477" s="23" t="str">
        <f aca="false">IF(ISNUMBER(C5477),YEAR(C5477),"")</f>
        <v/>
      </c>
      <c r="W5477" s="23" t="str">
        <f aca="false">IF(ISNUMBER(C5477),MONTH(C5477),"")</f>
        <v/>
      </c>
      <c r="X5477" s="23" t="str">
        <f aca="false">IF(T5477="","",IF(T5477=0,"No discount",IF(T5477&lt;=0.2,"Low (1-20%)",IF(T5477&lt;=0.4,"Medium (21-40%)","High (&gt;40%)"))))</f>
        <v/>
      </c>
      <c r="Y5477" s="23" t="str">
        <f aca="false">IF(AND(ISNUMBER(C5477),ISNUMBER(D5477)),D5477-C5477,"")</f>
        <v/>
      </c>
      <c r="Z5477" s="23" t="str">
        <f aca="false">IF(B5477="","",IF(MATCH(B5477,$B$2:$B$12000,0)=ROW()-1,1,0))</f>
        <v/>
      </c>
    </row>
    <row r="5478" customFormat="false" ht="15" hidden="false" customHeight="false" outlineLevel="0" collapsed="false">
      <c r="V5478" s="23" t="str">
        <f aca="false">IF(ISNUMBER(C5478),YEAR(C5478),"")</f>
        <v/>
      </c>
      <c r="W5478" s="23" t="str">
        <f aca="false">IF(ISNUMBER(C5478),MONTH(C5478),"")</f>
        <v/>
      </c>
      <c r="X5478" s="23" t="str">
        <f aca="false">IF(T5478="","",IF(T5478=0,"No discount",IF(T5478&lt;=0.2,"Low (1-20%)",IF(T5478&lt;=0.4,"Medium (21-40%)","High (&gt;40%)"))))</f>
        <v/>
      </c>
      <c r="Y5478" s="23" t="str">
        <f aca="false">IF(AND(ISNUMBER(C5478),ISNUMBER(D5478)),D5478-C5478,"")</f>
        <v/>
      </c>
      <c r="Z5478" s="23" t="str">
        <f aca="false">IF(B5478="","",IF(MATCH(B5478,$B$2:$B$12000,0)=ROW()-1,1,0))</f>
        <v/>
      </c>
    </row>
    <row r="5479" customFormat="false" ht="15" hidden="false" customHeight="false" outlineLevel="0" collapsed="false">
      <c r="V5479" s="23" t="str">
        <f aca="false">IF(ISNUMBER(C5479),YEAR(C5479),"")</f>
        <v/>
      </c>
      <c r="W5479" s="23" t="str">
        <f aca="false">IF(ISNUMBER(C5479),MONTH(C5479),"")</f>
        <v/>
      </c>
      <c r="X5479" s="23" t="str">
        <f aca="false">IF(T5479="","",IF(T5479=0,"No discount",IF(T5479&lt;=0.2,"Low (1-20%)",IF(T5479&lt;=0.4,"Medium (21-40%)","High (&gt;40%)"))))</f>
        <v/>
      </c>
      <c r="Y5479" s="23" t="str">
        <f aca="false">IF(AND(ISNUMBER(C5479),ISNUMBER(D5479)),D5479-C5479,"")</f>
        <v/>
      </c>
      <c r="Z5479" s="23" t="str">
        <f aca="false">IF(B5479="","",IF(MATCH(B5479,$B$2:$B$12000,0)=ROW()-1,1,0))</f>
        <v/>
      </c>
    </row>
    <row r="5480" customFormat="false" ht="15" hidden="false" customHeight="false" outlineLevel="0" collapsed="false">
      <c r="V5480" s="23" t="str">
        <f aca="false">IF(ISNUMBER(C5480),YEAR(C5480),"")</f>
        <v/>
      </c>
      <c r="W5480" s="23" t="str">
        <f aca="false">IF(ISNUMBER(C5480),MONTH(C5480),"")</f>
        <v/>
      </c>
      <c r="X5480" s="23" t="str">
        <f aca="false">IF(T5480="","",IF(T5480=0,"No discount",IF(T5480&lt;=0.2,"Low (1-20%)",IF(T5480&lt;=0.4,"Medium (21-40%)","High (&gt;40%)"))))</f>
        <v/>
      </c>
      <c r="Y5480" s="23" t="str">
        <f aca="false">IF(AND(ISNUMBER(C5480),ISNUMBER(D5480)),D5480-C5480,"")</f>
        <v/>
      </c>
      <c r="Z5480" s="23" t="str">
        <f aca="false">IF(B5480="","",IF(MATCH(B5480,$B$2:$B$12000,0)=ROW()-1,1,0))</f>
        <v/>
      </c>
    </row>
    <row r="5481" customFormat="false" ht="15" hidden="false" customHeight="false" outlineLevel="0" collapsed="false">
      <c r="V5481" s="23" t="str">
        <f aca="false">IF(ISNUMBER(C5481),YEAR(C5481),"")</f>
        <v/>
      </c>
      <c r="W5481" s="23" t="str">
        <f aca="false">IF(ISNUMBER(C5481),MONTH(C5481),"")</f>
        <v/>
      </c>
      <c r="X5481" s="23" t="str">
        <f aca="false">IF(T5481="","",IF(T5481=0,"No discount",IF(T5481&lt;=0.2,"Low (1-20%)",IF(T5481&lt;=0.4,"Medium (21-40%)","High (&gt;40%)"))))</f>
        <v/>
      </c>
      <c r="Y5481" s="23" t="str">
        <f aca="false">IF(AND(ISNUMBER(C5481),ISNUMBER(D5481)),D5481-C5481,"")</f>
        <v/>
      </c>
      <c r="Z5481" s="23" t="str">
        <f aca="false">IF(B5481="","",IF(MATCH(B5481,$B$2:$B$12000,0)=ROW()-1,1,0))</f>
        <v/>
      </c>
    </row>
    <row r="5482" customFormat="false" ht="15" hidden="false" customHeight="false" outlineLevel="0" collapsed="false">
      <c r="V5482" s="23" t="str">
        <f aca="false">IF(ISNUMBER(C5482),YEAR(C5482),"")</f>
        <v/>
      </c>
      <c r="W5482" s="23" t="str">
        <f aca="false">IF(ISNUMBER(C5482),MONTH(C5482),"")</f>
        <v/>
      </c>
      <c r="X5482" s="23" t="str">
        <f aca="false">IF(T5482="","",IF(T5482=0,"No discount",IF(T5482&lt;=0.2,"Low (1-20%)",IF(T5482&lt;=0.4,"Medium (21-40%)","High (&gt;40%)"))))</f>
        <v/>
      </c>
      <c r="Y5482" s="23" t="str">
        <f aca="false">IF(AND(ISNUMBER(C5482),ISNUMBER(D5482)),D5482-C5482,"")</f>
        <v/>
      </c>
      <c r="Z5482" s="23" t="str">
        <f aca="false">IF(B5482="","",IF(MATCH(B5482,$B$2:$B$12000,0)=ROW()-1,1,0))</f>
        <v/>
      </c>
    </row>
    <row r="5483" customFormat="false" ht="15" hidden="false" customHeight="false" outlineLevel="0" collapsed="false">
      <c r="V5483" s="23" t="str">
        <f aca="false">IF(ISNUMBER(C5483),YEAR(C5483),"")</f>
        <v/>
      </c>
      <c r="W5483" s="23" t="str">
        <f aca="false">IF(ISNUMBER(C5483),MONTH(C5483),"")</f>
        <v/>
      </c>
      <c r="X5483" s="23" t="str">
        <f aca="false">IF(T5483="","",IF(T5483=0,"No discount",IF(T5483&lt;=0.2,"Low (1-20%)",IF(T5483&lt;=0.4,"Medium (21-40%)","High (&gt;40%)"))))</f>
        <v/>
      </c>
      <c r="Y5483" s="23" t="str">
        <f aca="false">IF(AND(ISNUMBER(C5483),ISNUMBER(D5483)),D5483-C5483,"")</f>
        <v/>
      </c>
      <c r="Z5483" s="23" t="str">
        <f aca="false">IF(B5483="","",IF(MATCH(B5483,$B$2:$B$12000,0)=ROW()-1,1,0))</f>
        <v/>
      </c>
    </row>
    <row r="5484" customFormat="false" ht="15" hidden="false" customHeight="false" outlineLevel="0" collapsed="false">
      <c r="V5484" s="23" t="str">
        <f aca="false">IF(ISNUMBER(C5484),YEAR(C5484),"")</f>
        <v/>
      </c>
      <c r="W5484" s="23" t="str">
        <f aca="false">IF(ISNUMBER(C5484),MONTH(C5484),"")</f>
        <v/>
      </c>
      <c r="X5484" s="23" t="str">
        <f aca="false">IF(T5484="","",IF(T5484=0,"No discount",IF(T5484&lt;=0.2,"Low (1-20%)",IF(T5484&lt;=0.4,"Medium (21-40%)","High (&gt;40%)"))))</f>
        <v/>
      </c>
      <c r="Y5484" s="23" t="str">
        <f aca="false">IF(AND(ISNUMBER(C5484),ISNUMBER(D5484)),D5484-C5484,"")</f>
        <v/>
      </c>
      <c r="Z5484" s="23" t="str">
        <f aca="false">IF(B5484="","",IF(MATCH(B5484,$B$2:$B$12000,0)=ROW()-1,1,0))</f>
        <v/>
      </c>
    </row>
    <row r="5485" customFormat="false" ht="15" hidden="false" customHeight="false" outlineLevel="0" collapsed="false">
      <c r="V5485" s="23" t="str">
        <f aca="false">IF(ISNUMBER(C5485),YEAR(C5485),"")</f>
        <v/>
      </c>
      <c r="W5485" s="23" t="str">
        <f aca="false">IF(ISNUMBER(C5485),MONTH(C5485),"")</f>
        <v/>
      </c>
      <c r="X5485" s="23" t="str">
        <f aca="false">IF(T5485="","",IF(T5485=0,"No discount",IF(T5485&lt;=0.2,"Low (1-20%)",IF(T5485&lt;=0.4,"Medium (21-40%)","High (&gt;40%)"))))</f>
        <v/>
      </c>
      <c r="Y5485" s="23" t="str">
        <f aca="false">IF(AND(ISNUMBER(C5485),ISNUMBER(D5485)),D5485-C5485,"")</f>
        <v/>
      </c>
      <c r="Z5485" s="23" t="str">
        <f aca="false">IF(B5485="","",IF(MATCH(B5485,$B$2:$B$12000,0)=ROW()-1,1,0))</f>
        <v/>
      </c>
    </row>
    <row r="5486" customFormat="false" ht="15" hidden="false" customHeight="false" outlineLevel="0" collapsed="false">
      <c r="V5486" s="23" t="str">
        <f aca="false">IF(ISNUMBER(C5486),YEAR(C5486),"")</f>
        <v/>
      </c>
      <c r="W5486" s="23" t="str">
        <f aca="false">IF(ISNUMBER(C5486),MONTH(C5486),"")</f>
        <v/>
      </c>
      <c r="X5486" s="23" t="str">
        <f aca="false">IF(T5486="","",IF(T5486=0,"No discount",IF(T5486&lt;=0.2,"Low (1-20%)",IF(T5486&lt;=0.4,"Medium (21-40%)","High (&gt;40%)"))))</f>
        <v/>
      </c>
      <c r="Y5486" s="23" t="str">
        <f aca="false">IF(AND(ISNUMBER(C5486),ISNUMBER(D5486)),D5486-C5486,"")</f>
        <v/>
      </c>
      <c r="Z5486" s="23" t="str">
        <f aca="false">IF(B5486="","",IF(MATCH(B5486,$B$2:$B$12000,0)=ROW()-1,1,0))</f>
        <v/>
      </c>
    </row>
    <row r="5487" customFormat="false" ht="15" hidden="false" customHeight="false" outlineLevel="0" collapsed="false">
      <c r="V5487" s="23" t="str">
        <f aca="false">IF(ISNUMBER(C5487),YEAR(C5487),"")</f>
        <v/>
      </c>
      <c r="W5487" s="23" t="str">
        <f aca="false">IF(ISNUMBER(C5487),MONTH(C5487),"")</f>
        <v/>
      </c>
      <c r="X5487" s="23" t="str">
        <f aca="false">IF(T5487="","",IF(T5487=0,"No discount",IF(T5487&lt;=0.2,"Low (1-20%)",IF(T5487&lt;=0.4,"Medium (21-40%)","High (&gt;40%)"))))</f>
        <v/>
      </c>
      <c r="Y5487" s="23" t="str">
        <f aca="false">IF(AND(ISNUMBER(C5487),ISNUMBER(D5487)),D5487-C5487,"")</f>
        <v/>
      </c>
      <c r="Z5487" s="23" t="str">
        <f aca="false">IF(B5487="","",IF(MATCH(B5487,$B$2:$B$12000,0)=ROW()-1,1,0))</f>
        <v/>
      </c>
    </row>
    <row r="5488" customFormat="false" ht="15" hidden="false" customHeight="false" outlineLevel="0" collapsed="false">
      <c r="V5488" s="23" t="str">
        <f aca="false">IF(ISNUMBER(C5488),YEAR(C5488),"")</f>
        <v/>
      </c>
      <c r="W5488" s="23" t="str">
        <f aca="false">IF(ISNUMBER(C5488),MONTH(C5488),"")</f>
        <v/>
      </c>
      <c r="X5488" s="23" t="str">
        <f aca="false">IF(T5488="","",IF(T5488=0,"No discount",IF(T5488&lt;=0.2,"Low (1-20%)",IF(T5488&lt;=0.4,"Medium (21-40%)","High (&gt;40%)"))))</f>
        <v/>
      </c>
      <c r="Y5488" s="23" t="str">
        <f aca="false">IF(AND(ISNUMBER(C5488),ISNUMBER(D5488)),D5488-C5488,"")</f>
        <v/>
      </c>
      <c r="Z5488" s="23" t="str">
        <f aca="false">IF(B5488="","",IF(MATCH(B5488,$B$2:$B$12000,0)=ROW()-1,1,0))</f>
        <v/>
      </c>
    </row>
    <row r="5489" customFormat="false" ht="15" hidden="false" customHeight="false" outlineLevel="0" collapsed="false">
      <c r="V5489" s="23" t="str">
        <f aca="false">IF(ISNUMBER(C5489),YEAR(C5489),"")</f>
        <v/>
      </c>
      <c r="W5489" s="23" t="str">
        <f aca="false">IF(ISNUMBER(C5489),MONTH(C5489),"")</f>
        <v/>
      </c>
      <c r="X5489" s="23" t="str">
        <f aca="false">IF(T5489="","",IF(T5489=0,"No discount",IF(T5489&lt;=0.2,"Low (1-20%)",IF(T5489&lt;=0.4,"Medium (21-40%)","High (&gt;40%)"))))</f>
        <v/>
      </c>
      <c r="Y5489" s="23" t="str">
        <f aca="false">IF(AND(ISNUMBER(C5489),ISNUMBER(D5489)),D5489-C5489,"")</f>
        <v/>
      </c>
      <c r="Z5489" s="23" t="str">
        <f aca="false">IF(B5489="","",IF(MATCH(B5489,$B$2:$B$12000,0)=ROW()-1,1,0))</f>
        <v/>
      </c>
    </row>
    <row r="5490" customFormat="false" ht="15" hidden="false" customHeight="false" outlineLevel="0" collapsed="false">
      <c r="V5490" s="23" t="str">
        <f aca="false">IF(ISNUMBER(C5490),YEAR(C5490),"")</f>
        <v/>
      </c>
      <c r="W5490" s="23" t="str">
        <f aca="false">IF(ISNUMBER(C5490),MONTH(C5490),"")</f>
        <v/>
      </c>
      <c r="X5490" s="23" t="str">
        <f aca="false">IF(T5490="","",IF(T5490=0,"No discount",IF(T5490&lt;=0.2,"Low (1-20%)",IF(T5490&lt;=0.4,"Medium (21-40%)","High (&gt;40%)"))))</f>
        <v/>
      </c>
      <c r="Y5490" s="23" t="str">
        <f aca="false">IF(AND(ISNUMBER(C5490),ISNUMBER(D5490)),D5490-C5490,"")</f>
        <v/>
      </c>
      <c r="Z5490" s="23" t="str">
        <f aca="false">IF(B5490="","",IF(MATCH(B5490,$B$2:$B$12000,0)=ROW()-1,1,0))</f>
        <v/>
      </c>
    </row>
    <row r="5491" customFormat="false" ht="15" hidden="false" customHeight="false" outlineLevel="0" collapsed="false">
      <c r="V5491" s="23" t="str">
        <f aca="false">IF(ISNUMBER(C5491),YEAR(C5491),"")</f>
        <v/>
      </c>
      <c r="W5491" s="23" t="str">
        <f aca="false">IF(ISNUMBER(C5491),MONTH(C5491),"")</f>
        <v/>
      </c>
      <c r="X5491" s="23" t="str">
        <f aca="false">IF(T5491="","",IF(T5491=0,"No discount",IF(T5491&lt;=0.2,"Low (1-20%)",IF(T5491&lt;=0.4,"Medium (21-40%)","High (&gt;40%)"))))</f>
        <v/>
      </c>
      <c r="Y5491" s="23" t="str">
        <f aca="false">IF(AND(ISNUMBER(C5491),ISNUMBER(D5491)),D5491-C5491,"")</f>
        <v/>
      </c>
      <c r="Z5491" s="23" t="str">
        <f aca="false">IF(B5491="","",IF(MATCH(B5491,$B$2:$B$12000,0)=ROW()-1,1,0))</f>
        <v/>
      </c>
    </row>
    <row r="5492" customFormat="false" ht="15" hidden="false" customHeight="false" outlineLevel="0" collapsed="false">
      <c r="V5492" s="23" t="str">
        <f aca="false">IF(ISNUMBER(C5492),YEAR(C5492),"")</f>
        <v/>
      </c>
      <c r="W5492" s="23" t="str">
        <f aca="false">IF(ISNUMBER(C5492),MONTH(C5492),"")</f>
        <v/>
      </c>
      <c r="X5492" s="23" t="str">
        <f aca="false">IF(T5492="","",IF(T5492=0,"No discount",IF(T5492&lt;=0.2,"Low (1-20%)",IF(T5492&lt;=0.4,"Medium (21-40%)","High (&gt;40%)"))))</f>
        <v/>
      </c>
      <c r="Y5492" s="23" t="str">
        <f aca="false">IF(AND(ISNUMBER(C5492),ISNUMBER(D5492)),D5492-C5492,"")</f>
        <v/>
      </c>
      <c r="Z5492" s="23" t="str">
        <f aca="false">IF(B5492="","",IF(MATCH(B5492,$B$2:$B$12000,0)=ROW()-1,1,0))</f>
        <v/>
      </c>
    </row>
    <row r="5493" customFormat="false" ht="15" hidden="false" customHeight="false" outlineLevel="0" collapsed="false">
      <c r="V5493" s="23" t="str">
        <f aca="false">IF(ISNUMBER(C5493),YEAR(C5493),"")</f>
        <v/>
      </c>
      <c r="W5493" s="23" t="str">
        <f aca="false">IF(ISNUMBER(C5493),MONTH(C5493),"")</f>
        <v/>
      </c>
      <c r="X5493" s="23" t="str">
        <f aca="false">IF(T5493="","",IF(T5493=0,"No discount",IF(T5493&lt;=0.2,"Low (1-20%)",IF(T5493&lt;=0.4,"Medium (21-40%)","High (&gt;40%)"))))</f>
        <v/>
      </c>
      <c r="Y5493" s="23" t="str">
        <f aca="false">IF(AND(ISNUMBER(C5493),ISNUMBER(D5493)),D5493-C5493,"")</f>
        <v/>
      </c>
      <c r="Z5493" s="23" t="str">
        <f aca="false">IF(B5493="","",IF(MATCH(B5493,$B$2:$B$12000,0)=ROW()-1,1,0))</f>
        <v/>
      </c>
    </row>
    <row r="5494" customFormat="false" ht="15" hidden="false" customHeight="false" outlineLevel="0" collapsed="false">
      <c r="V5494" s="23" t="str">
        <f aca="false">IF(ISNUMBER(C5494),YEAR(C5494),"")</f>
        <v/>
      </c>
      <c r="W5494" s="23" t="str">
        <f aca="false">IF(ISNUMBER(C5494),MONTH(C5494),"")</f>
        <v/>
      </c>
      <c r="X5494" s="23" t="str">
        <f aca="false">IF(T5494="","",IF(T5494=0,"No discount",IF(T5494&lt;=0.2,"Low (1-20%)",IF(T5494&lt;=0.4,"Medium (21-40%)","High (&gt;40%)"))))</f>
        <v/>
      </c>
      <c r="Y5494" s="23" t="str">
        <f aca="false">IF(AND(ISNUMBER(C5494),ISNUMBER(D5494)),D5494-C5494,"")</f>
        <v/>
      </c>
      <c r="Z5494" s="23" t="str">
        <f aca="false">IF(B5494="","",IF(MATCH(B5494,$B$2:$B$12000,0)=ROW()-1,1,0))</f>
        <v/>
      </c>
    </row>
    <row r="5495" customFormat="false" ht="15" hidden="false" customHeight="false" outlineLevel="0" collapsed="false">
      <c r="V5495" s="23" t="str">
        <f aca="false">IF(ISNUMBER(C5495),YEAR(C5495),"")</f>
        <v/>
      </c>
      <c r="W5495" s="23" t="str">
        <f aca="false">IF(ISNUMBER(C5495),MONTH(C5495),"")</f>
        <v/>
      </c>
      <c r="X5495" s="23" t="str">
        <f aca="false">IF(T5495="","",IF(T5495=0,"No discount",IF(T5495&lt;=0.2,"Low (1-20%)",IF(T5495&lt;=0.4,"Medium (21-40%)","High (&gt;40%)"))))</f>
        <v/>
      </c>
      <c r="Y5495" s="23" t="str">
        <f aca="false">IF(AND(ISNUMBER(C5495),ISNUMBER(D5495)),D5495-C5495,"")</f>
        <v/>
      </c>
      <c r="Z5495" s="23" t="str">
        <f aca="false">IF(B5495="","",IF(MATCH(B5495,$B$2:$B$12000,0)=ROW()-1,1,0))</f>
        <v/>
      </c>
    </row>
    <row r="5496" customFormat="false" ht="15" hidden="false" customHeight="false" outlineLevel="0" collapsed="false">
      <c r="V5496" s="23" t="str">
        <f aca="false">IF(ISNUMBER(C5496),YEAR(C5496),"")</f>
        <v/>
      </c>
      <c r="W5496" s="23" t="str">
        <f aca="false">IF(ISNUMBER(C5496),MONTH(C5496),"")</f>
        <v/>
      </c>
      <c r="X5496" s="23" t="str">
        <f aca="false">IF(T5496="","",IF(T5496=0,"No discount",IF(T5496&lt;=0.2,"Low (1-20%)",IF(T5496&lt;=0.4,"Medium (21-40%)","High (&gt;40%)"))))</f>
        <v/>
      </c>
      <c r="Y5496" s="23" t="str">
        <f aca="false">IF(AND(ISNUMBER(C5496),ISNUMBER(D5496)),D5496-C5496,"")</f>
        <v/>
      </c>
      <c r="Z5496" s="23" t="str">
        <f aca="false">IF(B5496="","",IF(MATCH(B5496,$B$2:$B$12000,0)=ROW()-1,1,0))</f>
        <v/>
      </c>
    </row>
    <row r="5497" customFormat="false" ht="15" hidden="false" customHeight="false" outlineLevel="0" collapsed="false">
      <c r="V5497" s="23" t="str">
        <f aca="false">IF(ISNUMBER(C5497),YEAR(C5497),"")</f>
        <v/>
      </c>
      <c r="W5497" s="23" t="str">
        <f aca="false">IF(ISNUMBER(C5497),MONTH(C5497),"")</f>
        <v/>
      </c>
      <c r="X5497" s="23" t="str">
        <f aca="false">IF(T5497="","",IF(T5497=0,"No discount",IF(T5497&lt;=0.2,"Low (1-20%)",IF(T5497&lt;=0.4,"Medium (21-40%)","High (&gt;40%)"))))</f>
        <v/>
      </c>
      <c r="Y5497" s="23" t="str">
        <f aca="false">IF(AND(ISNUMBER(C5497),ISNUMBER(D5497)),D5497-C5497,"")</f>
        <v/>
      </c>
      <c r="Z5497" s="23" t="str">
        <f aca="false">IF(B5497="","",IF(MATCH(B5497,$B$2:$B$12000,0)=ROW()-1,1,0))</f>
        <v/>
      </c>
    </row>
    <row r="5498" customFormat="false" ht="15" hidden="false" customHeight="false" outlineLevel="0" collapsed="false">
      <c r="V5498" s="23" t="str">
        <f aca="false">IF(ISNUMBER(C5498),YEAR(C5498),"")</f>
        <v/>
      </c>
      <c r="W5498" s="23" t="str">
        <f aca="false">IF(ISNUMBER(C5498),MONTH(C5498),"")</f>
        <v/>
      </c>
      <c r="X5498" s="23" t="str">
        <f aca="false">IF(T5498="","",IF(T5498=0,"No discount",IF(T5498&lt;=0.2,"Low (1-20%)",IF(T5498&lt;=0.4,"Medium (21-40%)","High (&gt;40%)"))))</f>
        <v/>
      </c>
      <c r="Y5498" s="23" t="str">
        <f aca="false">IF(AND(ISNUMBER(C5498),ISNUMBER(D5498)),D5498-C5498,"")</f>
        <v/>
      </c>
      <c r="Z5498" s="23" t="str">
        <f aca="false">IF(B5498="","",IF(MATCH(B5498,$B$2:$B$12000,0)=ROW()-1,1,0))</f>
        <v/>
      </c>
    </row>
    <row r="5499" customFormat="false" ht="15" hidden="false" customHeight="false" outlineLevel="0" collapsed="false">
      <c r="V5499" s="23" t="str">
        <f aca="false">IF(ISNUMBER(C5499),YEAR(C5499),"")</f>
        <v/>
      </c>
      <c r="W5499" s="23" t="str">
        <f aca="false">IF(ISNUMBER(C5499),MONTH(C5499),"")</f>
        <v/>
      </c>
      <c r="X5499" s="23" t="str">
        <f aca="false">IF(T5499="","",IF(T5499=0,"No discount",IF(T5499&lt;=0.2,"Low (1-20%)",IF(T5499&lt;=0.4,"Medium (21-40%)","High (&gt;40%)"))))</f>
        <v/>
      </c>
      <c r="Y5499" s="23" t="str">
        <f aca="false">IF(AND(ISNUMBER(C5499),ISNUMBER(D5499)),D5499-C5499,"")</f>
        <v/>
      </c>
      <c r="Z5499" s="23" t="str">
        <f aca="false">IF(B5499="","",IF(MATCH(B5499,$B$2:$B$12000,0)=ROW()-1,1,0))</f>
        <v/>
      </c>
    </row>
    <row r="5500" customFormat="false" ht="15" hidden="false" customHeight="false" outlineLevel="0" collapsed="false">
      <c r="V5500" s="23" t="str">
        <f aca="false">IF(ISNUMBER(C5500),YEAR(C5500),"")</f>
        <v/>
      </c>
      <c r="W5500" s="23" t="str">
        <f aca="false">IF(ISNUMBER(C5500),MONTH(C5500),"")</f>
        <v/>
      </c>
      <c r="X5500" s="23" t="str">
        <f aca="false">IF(T5500="","",IF(T5500=0,"No discount",IF(T5500&lt;=0.2,"Low (1-20%)",IF(T5500&lt;=0.4,"Medium (21-40%)","High (&gt;40%)"))))</f>
        <v/>
      </c>
      <c r="Y5500" s="23" t="str">
        <f aca="false">IF(AND(ISNUMBER(C5500),ISNUMBER(D5500)),D5500-C5500,"")</f>
        <v/>
      </c>
      <c r="Z5500" s="23" t="str">
        <f aca="false">IF(B5500="","",IF(MATCH(B5500,$B$2:$B$12000,0)=ROW()-1,1,0))</f>
        <v/>
      </c>
    </row>
    <row r="5501" customFormat="false" ht="15" hidden="false" customHeight="false" outlineLevel="0" collapsed="false">
      <c r="V5501" s="23" t="str">
        <f aca="false">IF(ISNUMBER(C5501),YEAR(C5501),"")</f>
        <v/>
      </c>
      <c r="W5501" s="23" t="str">
        <f aca="false">IF(ISNUMBER(C5501),MONTH(C5501),"")</f>
        <v/>
      </c>
      <c r="X5501" s="23" t="str">
        <f aca="false">IF(T5501="","",IF(T5501=0,"No discount",IF(T5501&lt;=0.2,"Low (1-20%)",IF(T5501&lt;=0.4,"Medium (21-40%)","High (&gt;40%)"))))</f>
        <v/>
      </c>
      <c r="Y5501" s="23" t="str">
        <f aca="false">IF(AND(ISNUMBER(C5501),ISNUMBER(D5501)),D5501-C5501,"")</f>
        <v/>
      </c>
      <c r="Z5501" s="23" t="str">
        <f aca="false">IF(B5501="","",IF(MATCH(B5501,$B$2:$B$12000,0)=ROW()-1,1,0))</f>
        <v/>
      </c>
    </row>
    <row r="5502" customFormat="false" ht="15" hidden="false" customHeight="false" outlineLevel="0" collapsed="false">
      <c r="V5502" s="23" t="str">
        <f aca="false">IF(ISNUMBER(C5502),YEAR(C5502),"")</f>
        <v/>
      </c>
      <c r="W5502" s="23" t="str">
        <f aca="false">IF(ISNUMBER(C5502),MONTH(C5502),"")</f>
        <v/>
      </c>
      <c r="X5502" s="23" t="str">
        <f aca="false">IF(T5502="","",IF(T5502=0,"No discount",IF(T5502&lt;=0.2,"Low (1-20%)",IF(T5502&lt;=0.4,"Medium (21-40%)","High (&gt;40%)"))))</f>
        <v/>
      </c>
      <c r="Y5502" s="23" t="str">
        <f aca="false">IF(AND(ISNUMBER(C5502),ISNUMBER(D5502)),D5502-C5502,"")</f>
        <v/>
      </c>
      <c r="Z5502" s="23" t="str">
        <f aca="false">IF(B5502="","",IF(MATCH(B5502,$B$2:$B$12000,0)=ROW()-1,1,0))</f>
        <v/>
      </c>
    </row>
    <row r="5503" customFormat="false" ht="15" hidden="false" customHeight="false" outlineLevel="0" collapsed="false">
      <c r="V5503" s="23" t="str">
        <f aca="false">IF(ISNUMBER(C5503),YEAR(C5503),"")</f>
        <v/>
      </c>
      <c r="W5503" s="23" t="str">
        <f aca="false">IF(ISNUMBER(C5503),MONTH(C5503),"")</f>
        <v/>
      </c>
      <c r="X5503" s="23" t="str">
        <f aca="false">IF(T5503="","",IF(T5503=0,"No discount",IF(T5503&lt;=0.2,"Low (1-20%)",IF(T5503&lt;=0.4,"Medium (21-40%)","High (&gt;40%)"))))</f>
        <v/>
      </c>
      <c r="Y5503" s="23" t="str">
        <f aca="false">IF(AND(ISNUMBER(C5503),ISNUMBER(D5503)),D5503-C5503,"")</f>
        <v/>
      </c>
      <c r="Z5503" s="23" t="str">
        <f aca="false">IF(B5503="","",IF(MATCH(B5503,$B$2:$B$12000,0)=ROW()-1,1,0))</f>
        <v/>
      </c>
    </row>
    <row r="5504" customFormat="false" ht="15" hidden="false" customHeight="false" outlineLevel="0" collapsed="false">
      <c r="V5504" s="23" t="str">
        <f aca="false">IF(ISNUMBER(C5504),YEAR(C5504),"")</f>
        <v/>
      </c>
      <c r="W5504" s="23" t="str">
        <f aca="false">IF(ISNUMBER(C5504),MONTH(C5504),"")</f>
        <v/>
      </c>
      <c r="X5504" s="23" t="str">
        <f aca="false">IF(T5504="","",IF(T5504=0,"No discount",IF(T5504&lt;=0.2,"Low (1-20%)",IF(T5504&lt;=0.4,"Medium (21-40%)","High (&gt;40%)"))))</f>
        <v/>
      </c>
      <c r="Y5504" s="23" t="str">
        <f aca="false">IF(AND(ISNUMBER(C5504),ISNUMBER(D5504)),D5504-C5504,"")</f>
        <v/>
      </c>
      <c r="Z5504" s="23" t="str">
        <f aca="false">IF(B5504="","",IF(MATCH(B5504,$B$2:$B$12000,0)=ROW()-1,1,0))</f>
        <v/>
      </c>
    </row>
    <row r="5505" customFormat="false" ht="15" hidden="false" customHeight="false" outlineLevel="0" collapsed="false">
      <c r="V5505" s="23" t="str">
        <f aca="false">IF(ISNUMBER(C5505),YEAR(C5505),"")</f>
        <v/>
      </c>
      <c r="W5505" s="23" t="str">
        <f aca="false">IF(ISNUMBER(C5505),MONTH(C5505),"")</f>
        <v/>
      </c>
      <c r="X5505" s="23" t="str">
        <f aca="false">IF(T5505="","",IF(T5505=0,"No discount",IF(T5505&lt;=0.2,"Low (1-20%)",IF(T5505&lt;=0.4,"Medium (21-40%)","High (&gt;40%)"))))</f>
        <v/>
      </c>
      <c r="Y5505" s="23" t="str">
        <f aca="false">IF(AND(ISNUMBER(C5505),ISNUMBER(D5505)),D5505-C5505,"")</f>
        <v/>
      </c>
      <c r="Z5505" s="23" t="str">
        <f aca="false">IF(B5505="","",IF(MATCH(B5505,$B$2:$B$12000,0)=ROW()-1,1,0))</f>
        <v/>
      </c>
    </row>
    <row r="5506" customFormat="false" ht="15" hidden="false" customHeight="false" outlineLevel="0" collapsed="false">
      <c r="V5506" s="23" t="str">
        <f aca="false">IF(ISNUMBER(C5506),YEAR(C5506),"")</f>
        <v/>
      </c>
      <c r="W5506" s="23" t="str">
        <f aca="false">IF(ISNUMBER(C5506),MONTH(C5506),"")</f>
        <v/>
      </c>
      <c r="X5506" s="23" t="str">
        <f aca="false">IF(T5506="","",IF(T5506=0,"No discount",IF(T5506&lt;=0.2,"Low (1-20%)",IF(T5506&lt;=0.4,"Medium (21-40%)","High (&gt;40%)"))))</f>
        <v/>
      </c>
      <c r="Y5506" s="23" t="str">
        <f aca="false">IF(AND(ISNUMBER(C5506),ISNUMBER(D5506)),D5506-C5506,"")</f>
        <v/>
      </c>
      <c r="Z5506" s="23" t="str">
        <f aca="false">IF(B5506="","",IF(MATCH(B5506,$B$2:$B$12000,0)=ROW()-1,1,0))</f>
        <v/>
      </c>
    </row>
    <row r="5507" customFormat="false" ht="15" hidden="false" customHeight="false" outlineLevel="0" collapsed="false">
      <c r="V5507" s="23" t="str">
        <f aca="false">IF(ISNUMBER(C5507),YEAR(C5507),"")</f>
        <v/>
      </c>
      <c r="W5507" s="23" t="str">
        <f aca="false">IF(ISNUMBER(C5507),MONTH(C5507),"")</f>
        <v/>
      </c>
      <c r="X5507" s="23" t="str">
        <f aca="false">IF(T5507="","",IF(T5507=0,"No discount",IF(T5507&lt;=0.2,"Low (1-20%)",IF(T5507&lt;=0.4,"Medium (21-40%)","High (&gt;40%)"))))</f>
        <v/>
      </c>
      <c r="Y5507" s="23" t="str">
        <f aca="false">IF(AND(ISNUMBER(C5507),ISNUMBER(D5507)),D5507-C5507,"")</f>
        <v/>
      </c>
      <c r="Z5507" s="23" t="str">
        <f aca="false">IF(B5507="","",IF(MATCH(B5507,$B$2:$B$12000,0)=ROW()-1,1,0))</f>
        <v/>
      </c>
    </row>
    <row r="5508" customFormat="false" ht="15" hidden="false" customHeight="false" outlineLevel="0" collapsed="false">
      <c r="V5508" s="23" t="str">
        <f aca="false">IF(ISNUMBER(C5508),YEAR(C5508),"")</f>
        <v/>
      </c>
      <c r="W5508" s="23" t="str">
        <f aca="false">IF(ISNUMBER(C5508),MONTH(C5508),"")</f>
        <v/>
      </c>
      <c r="X5508" s="23" t="str">
        <f aca="false">IF(T5508="","",IF(T5508=0,"No discount",IF(T5508&lt;=0.2,"Low (1-20%)",IF(T5508&lt;=0.4,"Medium (21-40%)","High (&gt;40%)"))))</f>
        <v/>
      </c>
      <c r="Y5508" s="23" t="str">
        <f aca="false">IF(AND(ISNUMBER(C5508),ISNUMBER(D5508)),D5508-C5508,"")</f>
        <v/>
      </c>
      <c r="Z5508" s="23" t="str">
        <f aca="false">IF(B5508="","",IF(MATCH(B5508,$B$2:$B$12000,0)=ROW()-1,1,0))</f>
        <v/>
      </c>
    </row>
    <row r="5509" customFormat="false" ht="15" hidden="false" customHeight="false" outlineLevel="0" collapsed="false">
      <c r="V5509" s="23" t="str">
        <f aca="false">IF(ISNUMBER(C5509),YEAR(C5509),"")</f>
        <v/>
      </c>
      <c r="W5509" s="23" t="str">
        <f aca="false">IF(ISNUMBER(C5509),MONTH(C5509),"")</f>
        <v/>
      </c>
      <c r="X5509" s="23" t="str">
        <f aca="false">IF(T5509="","",IF(T5509=0,"No discount",IF(T5509&lt;=0.2,"Low (1-20%)",IF(T5509&lt;=0.4,"Medium (21-40%)","High (&gt;40%)"))))</f>
        <v/>
      </c>
      <c r="Y5509" s="23" t="str">
        <f aca="false">IF(AND(ISNUMBER(C5509),ISNUMBER(D5509)),D5509-C5509,"")</f>
        <v/>
      </c>
      <c r="Z5509" s="23" t="str">
        <f aca="false">IF(B5509="","",IF(MATCH(B5509,$B$2:$B$12000,0)=ROW()-1,1,0))</f>
        <v/>
      </c>
    </row>
    <row r="5510" customFormat="false" ht="15" hidden="false" customHeight="false" outlineLevel="0" collapsed="false">
      <c r="V5510" s="23" t="str">
        <f aca="false">IF(ISNUMBER(C5510),YEAR(C5510),"")</f>
        <v/>
      </c>
      <c r="W5510" s="23" t="str">
        <f aca="false">IF(ISNUMBER(C5510),MONTH(C5510),"")</f>
        <v/>
      </c>
      <c r="X5510" s="23" t="str">
        <f aca="false">IF(T5510="","",IF(T5510=0,"No discount",IF(T5510&lt;=0.2,"Low (1-20%)",IF(T5510&lt;=0.4,"Medium (21-40%)","High (&gt;40%)"))))</f>
        <v/>
      </c>
      <c r="Y5510" s="23" t="str">
        <f aca="false">IF(AND(ISNUMBER(C5510),ISNUMBER(D5510)),D5510-C5510,"")</f>
        <v/>
      </c>
      <c r="Z5510" s="23" t="str">
        <f aca="false">IF(B5510="","",IF(MATCH(B5510,$B$2:$B$12000,0)=ROW()-1,1,0))</f>
        <v/>
      </c>
    </row>
    <row r="5511" customFormat="false" ht="15" hidden="false" customHeight="false" outlineLevel="0" collapsed="false">
      <c r="V5511" s="23" t="str">
        <f aca="false">IF(ISNUMBER(C5511),YEAR(C5511),"")</f>
        <v/>
      </c>
      <c r="W5511" s="23" t="str">
        <f aca="false">IF(ISNUMBER(C5511),MONTH(C5511),"")</f>
        <v/>
      </c>
      <c r="X5511" s="23" t="str">
        <f aca="false">IF(T5511="","",IF(T5511=0,"No discount",IF(T5511&lt;=0.2,"Low (1-20%)",IF(T5511&lt;=0.4,"Medium (21-40%)","High (&gt;40%)"))))</f>
        <v/>
      </c>
      <c r="Y5511" s="23" t="str">
        <f aca="false">IF(AND(ISNUMBER(C5511),ISNUMBER(D5511)),D5511-C5511,"")</f>
        <v/>
      </c>
      <c r="Z5511" s="23" t="str">
        <f aca="false">IF(B5511="","",IF(MATCH(B5511,$B$2:$B$12000,0)=ROW()-1,1,0))</f>
        <v/>
      </c>
    </row>
    <row r="5512" customFormat="false" ht="15" hidden="false" customHeight="false" outlineLevel="0" collapsed="false">
      <c r="V5512" s="23" t="str">
        <f aca="false">IF(ISNUMBER(C5512),YEAR(C5512),"")</f>
        <v/>
      </c>
      <c r="W5512" s="23" t="str">
        <f aca="false">IF(ISNUMBER(C5512),MONTH(C5512),"")</f>
        <v/>
      </c>
      <c r="X5512" s="23" t="str">
        <f aca="false">IF(T5512="","",IF(T5512=0,"No discount",IF(T5512&lt;=0.2,"Low (1-20%)",IF(T5512&lt;=0.4,"Medium (21-40%)","High (&gt;40%)"))))</f>
        <v/>
      </c>
      <c r="Y5512" s="23" t="str">
        <f aca="false">IF(AND(ISNUMBER(C5512),ISNUMBER(D5512)),D5512-C5512,"")</f>
        <v/>
      </c>
      <c r="Z5512" s="23" t="str">
        <f aca="false">IF(B5512="","",IF(MATCH(B5512,$B$2:$B$12000,0)=ROW()-1,1,0))</f>
        <v/>
      </c>
    </row>
    <row r="5513" customFormat="false" ht="15" hidden="false" customHeight="false" outlineLevel="0" collapsed="false">
      <c r="V5513" s="23" t="str">
        <f aca="false">IF(ISNUMBER(C5513),YEAR(C5513),"")</f>
        <v/>
      </c>
      <c r="W5513" s="23" t="str">
        <f aca="false">IF(ISNUMBER(C5513),MONTH(C5513),"")</f>
        <v/>
      </c>
      <c r="X5513" s="23" t="str">
        <f aca="false">IF(T5513="","",IF(T5513=0,"No discount",IF(T5513&lt;=0.2,"Low (1-20%)",IF(T5513&lt;=0.4,"Medium (21-40%)","High (&gt;40%)"))))</f>
        <v/>
      </c>
      <c r="Y5513" s="23" t="str">
        <f aca="false">IF(AND(ISNUMBER(C5513),ISNUMBER(D5513)),D5513-C5513,"")</f>
        <v/>
      </c>
      <c r="Z5513" s="23" t="str">
        <f aca="false">IF(B5513="","",IF(MATCH(B5513,$B$2:$B$12000,0)=ROW()-1,1,0))</f>
        <v/>
      </c>
    </row>
    <row r="5514" customFormat="false" ht="15" hidden="false" customHeight="false" outlineLevel="0" collapsed="false">
      <c r="V5514" s="23" t="str">
        <f aca="false">IF(ISNUMBER(C5514),YEAR(C5514),"")</f>
        <v/>
      </c>
      <c r="W5514" s="23" t="str">
        <f aca="false">IF(ISNUMBER(C5514),MONTH(C5514),"")</f>
        <v/>
      </c>
      <c r="X5514" s="23" t="str">
        <f aca="false">IF(T5514="","",IF(T5514=0,"No discount",IF(T5514&lt;=0.2,"Low (1-20%)",IF(T5514&lt;=0.4,"Medium (21-40%)","High (&gt;40%)"))))</f>
        <v/>
      </c>
      <c r="Y5514" s="23" t="str">
        <f aca="false">IF(AND(ISNUMBER(C5514),ISNUMBER(D5514)),D5514-C5514,"")</f>
        <v/>
      </c>
      <c r="Z5514" s="23" t="str">
        <f aca="false">IF(B5514="","",IF(MATCH(B5514,$B$2:$B$12000,0)=ROW()-1,1,0))</f>
        <v/>
      </c>
    </row>
    <row r="5515" customFormat="false" ht="15" hidden="false" customHeight="false" outlineLevel="0" collapsed="false">
      <c r="V5515" s="23" t="str">
        <f aca="false">IF(ISNUMBER(C5515),YEAR(C5515),"")</f>
        <v/>
      </c>
      <c r="W5515" s="23" t="str">
        <f aca="false">IF(ISNUMBER(C5515),MONTH(C5515),"")</f>
        <v/>
      </c>
      <c r="X5515" s="23" t="str">
        <f aca="false">IF(T5515="","",IF(T5515=0,"No discount",IF(T5515&lt;=0.2,"Low (1-20%)",IF(T5515&lt;=0.4,"Medium (21-40%)","High (&gt;40%)"))))</f>
        <v/>
      </c>
      <c r="Y5515" s="23" t="str">
        <f aca="false">IF(AND(ISNUMBER(C5515),ISNUMBER(D5515)),D5515-C5515,"")</f>
        <v/>
      </c>
      <c r="Z5515" s="23" t="str">
        <f aca="false">IF(B5515="","",IF(MATCH(B5515,$B$2:$B$12000,0)=ROW()-1,1,0))</f>
        <v/>
      </c>
    </row>
    <row r="5516" customFormat="false" ht="15" hidden="false" customHeight="false" outlineLevel="0" collapsed="false">
      <c r="V5516" s="23" t="str">
        <f aca="false">IF(ISNUMBER(C5516),YEAR(C5516),"")</f>
        <v/>
      </c>
      <c r="W5516" s="23" t="str">
        <f aca="false">IF(ISNUMBER(C5516),MONTH(C5516),"")</f>
        <v/>
      </c>
      <c r="X5516" s="23" t="str">
        <f aca="false">IF(T5516="","",IF(T5516=0,"No discount",IF(T5516&lt;=0.2,"Low (1-20%)",IF(T5516&lt;=0.4,"Medium (21-40%)","High (&gt;40%)"))))</f>
        <v/>
      </c>
      <c r="Y5516" s="23" t="str">
        <f aca="false">IF(AND(ISNUMBER(C5516),ISNUMBER(D5516)),D5516-C5516,"")</f>
        <v/>
      </c>
      <c r="Z5516" s="23" t="str">
        <f aca="false">IF(B5516="","",IF(MATCH(B5516,$B$2:$B$12000,0)=ROW()-1,1,0))</f>
        <v/>
      </c>
    </row>
    <row r="5517" customFormat="false" ht="15" hidden="false" customHeight="false" outlineLevel="0" collapsed="false">
      <c r="V5517" s="23" t="str">
        <f aca="false">IF(ISNUMBER(C5517),YEAR(C5517),"")</f>
        <v/>
      </c>
      <c r="W5517" s="23" t="str">
        <f aca="false">IF(ISNUMBER(C5517),MONTH(C5517),"")</f>
        <v/>
      </c>
      <c r="X5517" s="23" t="str">
        <f aca="false">IF(T5517="","",IF(T5517=0,"No discount",IF(T5517&lt;=0.2,"Low (1-20%)",IF(T5517&lt;=0.4,"Medium (21-40%)","High (&gt;40%)"))))</f>
        <v/>
      </c>
      <c r="Y5517" s="23" t="str">
        <f aca="false">IF(AND(ISNUMBER(C5517),ISNUMBER(D5517)),D5517-C5517,"")</f>
        <v/>
      </c>
      <c r="Z5517" s="23" t="str">
        <f aca="false">IF(B5517="","",IF(MATCH(B5517,$B$2:$B$12000,0)=ROW()-1,1,0))</f>
        <v/>
      </c>
    </row>
    <row r="5518" customFormat="false" ht="15" hidden="false" customHeight="false" outlineLevel="0" collapsed="false">
      <c r="V5518" s="23" t="str">
        <f aca="false">IF(ISNUMBER(C5518),YEAR(C5518),"")</f>
        <v/>
      </c>
      <c r="W5518" s="23" t="str">
        <f aca="false">IF(ISNUMBER(C5518),MONTH(C5518),"")</f>
        <v/>
      </c>
      <c r="X5518" s="23" t="str">
        <f aca="false">IF(T5518="","",IF(T5518=0,"No discount",IF(T5518&lt;=0.2,"Low (1-20%)",IF(T5518&lt;=0.4,"Medium (21-40%)","High (&gt;40%)"))))</f>
        <v/>
      </c>
      <c r="Y5518" s="23" t="str">
        <f aca="false">IF(AND(ISNUMBER(C5518),ISNUMBER(D5518)),D5518-C5518,"")</f>
        <v/>
      </c>
      <c r="Z5518" s="23" t="str">
        <f aca="false">IF(B5518="","",IF(MATCH(B5518,$B$2:$B$12000,0)=ROW()-1,1,0))</f>
        <v/>
      </c>
    </row>
    <row r="5519" customFormat="false" ht="15" hidden="false" customHeight="false" outlineLevel="0" collapsed="false">
      <c r="V5519" s="23" t="str">
        <f aca="false">IF(ISNUMBER(C5519),YEAR(C5519),"")</f>
        <v/>
      </c>
      <c r="W5519" s="23" t="str">
        <f aca="false">IF(ISNUMBER(C5519),MONTH(C5519),"")</f>
        <v/>
      </c>
      <c r="X5519" s="23" t="str">
        <f aca="false">IF(T5519="","",IF(T5519=0,"No discount",IF(T5519&lt;=0.2,"Low (1-20%)",IF(T5519&lt;=0.4,"Medium (21-40%)","High (&gt;40%)"))))</f>
        <v/>
      </c>
      <c r="Y5519" s="23" t="str">
        <f aca="false">IF(AND(ISNUMBER(C5519),ISNUMBER(D5519)),D5519-C5519,"")</f>
        <v/>
      </c>
      <c r="Z5519" s="23" t="str">
        <f aca="false">IF(B5519="","",IF(MATCH(B5519,$B$2:$B$12000,0)=ROW()-1,1,0))</f>
        <v/>
      </c>
    </row>
    <row r="5520" customFormat="false" ht="15" hidden="false" customHeight="false" outlineLevel="0" collapsed="false">
      <c r="V5520" s="23" t="str">
        <f aca="false">IF(ISNUMBER(C5520),YEAR(C5520),"")</f>
        <v/>
      </c>
      <c r="W5520" s="23" t="str">
        <f aca="false">IF(ISNUMBER(C5520),MONTH(C5520),"")</f>
        <v/>
      </c>
      <c r="X5520" s="23" t="str">
        <f aca="false">IF(T5520="","",IF(T5520=0,"No discount",IF(T5520&lt;=0.2,"Low (1-20%)",IF(T5520&lt;=0.4,"Medium (21-40%)","High (&gt;40%)"))))</f>
        <v/>
      </c>
      <c r="Y5520" s="23" t="str">
        <f aca="false">IF(AND(ISNUMBER(C5520),ISNUMBER(D5520)),D5520-C5520,"")</f>
        <v/>
      </c>
      <c r="Z5520" s="23" t="str">
        <f aca="false">IF(B5520="","",IF(MATCH(B5520,$B$2:$B$12000,0)=ROW()-1,1,0))</f>
        <v/>
      </c>
    </row>
    <row r="5521" customFormat="false" ht="15" hidden="false" customHeight="false" outlineLevel="0" collapsed="false">
      <c r="V5521" s="23" t="str">
        <f aca="false">IF(ISNUMBER(C5521),YEAR(C5521),"")</f>
        <v/>
      </c>
      <c r="W5521" s="23" t="str">
        <f aca="false">IF(ISNUMBER(C5521),MONTH(C5521),"")</f>
        <v/>
      </c>
      <c r="X5521" s="23" t="str">
        <f aca="false">IF(T5521="","",IF(T5521=0,"No discount",IF(T5521&lt;=0.2,"Low (1-20%)",IF(T5521&lt;=0.4,"Medium (21-40%)","High (&gt;40%)"))))</f>
        <v/>
      </c>
      <c r="Y5521" s="23" t="str">
        <f aca="false">IF(AND(ISNUMBER(C5521),ISNUMBER(D5521)),D5521-C5521,"")</f>
        <v/>
      </c>
      <c r="Z5521" s="23" t="str">
        <f aca="false">IF(B5521="","",IF(MATCH(B5521,$B$2:$B$12000,0)=ROW()-1,1,0))</f>
        <v/>
      </c>
    </row>
    <row r="5522" customFormat="false" ht="15" hidden="false" customHeight="false" outlineLevel="0" collapsed="false">
      <c r="V5522" s="23" t="str">
        <f aca="false">IF(ISNUMBER(C5522),YEAR(C5522),"")</f>
        <v/>
      </c>
      <c r="W5522" s="23" t="str">
        <f aca="false">IF(ISNUMBER(C5522),MONTH(C5522),"")</f>
        <v/>
      </c>
      <c r="X5522" s="23" t="str">
        <f aca="false">IF(T5522="","",IF(T5522=0,"No discount",IF(T5522&lt;=0.2,"Low (1-20%)",IF(T5522&lt;=0.4,"Medium (21-40%)","High (&gt;40%)"))))</f>
        <v/>
      </c>
      <c r="Y5522" s="23" t="str">
        <f aca="false">IF(AND(ISNUMBER(C5522),ISNUMBER(D5522)),D5522-C5522,"")</f>
        <v/>
      </c>
      <c r="Z5522" s="23" t="str">
        <f aca="false">IF(B5522="","",IF(MATCH(B5522,$B$2:$B$12000,0)=ROW()-1,1,0))</f>
        <v/>
      </c>
    </row>
    <row r="5523" customFormat="false" ht="15" hidden="false" customHeight="false" outlineLevel="0" collapsed="false">
      <c r="V5523" s="23" t="str">
        <f aca="false">IF(ISNUMBER(C5523),YEAR(C5523),"")</f>
        <v/>
      </c>
      <c r="W5523" s="23" t="str">
        <f aca="false">IF(ISNUMBER(C5523),MONTH(C5523),"")</f>
        <v/>
      </c>
      <c r="X5523" s="23" t="str">
        <f aca="false">IF(T5523="","",IF(T5523=0,"No discount",IF(T5523&lt;=0.2,"Low (1-20%)",IF(T5523&lt;=0.4,"Medium (21-40%)","High (&gt;40%)"))))</f>
        <v/>
      </c>
      <c r="Y5523" s="23" t="str">
        <f aca="false">IF(AND(ISNUMBER(C5523),ISNUMBER(D5523)),D5523-C5523,"")</f>
        <v/>
      </c>
      <c r="Z5523" s="23" t="str">
        <f aca="false">IF(B5523="","",IF(MATCH(B5523,$B$2:$B$12000,0)=ROW()-1,1,0))</f>
        <v/>
      </c>
    </row>
    <row r="5524" customFormat="false" ht="15" hidden="false" customHeight="false" outlineLevel="0" collapsed="false">
      <c r="V5524" s="23" t="str">
        <f aca="false">IF(ISNUMBER(C5524),YEAR(C5524),"")</f>
        <v/>
      </c>
      <c r="W5524" s="23" t="str">
        <f aca="false">IF(ISNUMBER(C5524),MONTH(C5524),"")</f>
        <v/>
      </c>
      <c r="X5524" s="23" t="str">
        <f aca="false">IF(T5524="","",IF(T5524=0,"No discount",IF(T5524&lt;=0.2,"Low (1-20%)",IF(T5524&lt;=0.4,"Medium (21-40%)","High (&gt;40%)"))))</f>
        <v/>
      </c>
      <c r="Y5524" s="23" t="str">
        <f aca="false">IF(AND(ISNUMBER(C5524),ISNUMBER(D5524)),D5524-C5524,"")</f>
        <v/>
      </c>
      <c r="Z5524" s="23" t="str">
        <f aca="false">IF(B5524="","",IF(MATCH(B5524,$B$2:$B$12000,0)=ROW()-1,1,0))</f>
        <v/>
      </c>
    </row>
    <row r="5525" customFormat="false" ht="15" hidden="false" customHeight="false" outlineLevel="0" collapsed="false">
      <c r="V5525" s="23" t="str">
        <f aca="false">IF(ISNUMBER(C5525),YEAR(C5525),"")</f>
        <v/>
      </c>
      <c r="W5525" s="23" t="str">
        <f aca="false">IF(ISNUMBER(C5525),MONTH(C5525),"")</f>
        <v/>
      </c>
      <c r="X5525" s="23" t="str">
        <f aca="false">IF(T5525="","",IF(T5525=0,"No discount",IF(T5525&lt;=0.2,"Low (1-20%)",IF(T5525&lt;=0.4,"Medium (21-40%)","High (&gt;40%)"))))</f>
        <v/>
      </c>
      <c r="Y5525" s="23" t="str">
        <f aca="false">IF(AND(ISNUMBER(C5525),ISNUMBER(D5525)),D5525-C5525,"")</f>
        <v/>
      </c>
      <c r="Z5525" s="23" t="str">
        <f aca="false">IF(B5525="","",IF(MATCH(B5525,$B$2:$B$12000,0)=ROW()-1,1,0))</f>
        <v/>
      </c>
    </row>
    <row r="5526" customFormat="false" ht="15" hidden="false" customHeight="false" outlineLevel="0" collapsed="false">
      <c r="V5526" s="23" t="str">
        <f aca="false">IF(ISNUMBER(C5526),YEAR(C5526),"")</f>
        <v/>
      </c>
      <c r="W5526" s="23" t="str">
        <f aca="false">IF(ISNUMBER(C5526),MONTH(C5526),"")</f>
        <v/>
      </c>
      <c r="X5526" s="23" t="str">
        <f aca="false">IF(T5526="","",IF(T5526=0,"No discount",IF(T5526&lt;=0.2,"Low (1-20%)",IF(T5526&lt;=0.4,"Medium (21-40%)","High (&gt;40%)"))))</f>
        <v/>
      </c>
      <c r="Y5526" s="23" t="str">
        <f aca="false">IF(AND(ISNUMBER(C5526),ISNUMBER(D5526)),D5526-C5526,"")</f>
        <v/>
      </c>
      <c r="Z5526" s="23" t="str">
        <f aca="false">IF(B5526="","",IF(MATCH(B5526,$B$2:$B$12000,0)=ROW()-1,1,0))</f>
        <v/>
      </c>
    </row>
    <row r="5527" customFormat="false" ht="15" hidden="false" customHeight="false" outlineLevel="0" collapsed="false">
      <c r="V5527" s="23" t="str">
        <f aca="false">IF(ISNUMBER(C5527),YEAR(C5527),"")</f>
        <v/>
      </c>
      <c r="W5527" s="23" t="str">
        <f aca="false">IF(ISNUMBER(C5527),MONTH(C5527),"")</f>
        <v/>
      </c>
      <c r="X5527" s="23" t="str">
        <f aca="false">IF(T5527="","",IF(T5527=0,"No discount",IF(T5527&lt;=0.2,"Low (1-20%)",IF(T5527&lt;=0.4,"Medium (21-40%)","High (&gt;40%)"))))</f>
        <v/>
      </c>
      <c r="Y5527" s="23" t="str">
        <f aca="false">IF(AND(ISNUMBER(C5527),ISNUMBER(D5527)),D5527-C5527,"")</f>
        <v/>
      </c>
      <c r="Z5527" s="23" t="str">
        <f aca="false">IF(B5527="","",IF(MATCH(B5527,$B$2:$B$12000,0)=ROW()-1,1,0))</f>
        <v/>
      </c>
    </row>
    <row r="5528" customFormat="false" ht="15" hidden="false" customHeight="false" outlineLevel="0" collapsed="false">
      <c r="V5528" s="23" t="str">
        <f aca="false">IF(ISNUMBER(C5528),YEAR(C5528),"")</f>
        <v/>
      </c>
      <c r="W5528" s="23" t="str">
        <f aca="false">IF(ISNUMBER(C5528),MONTH(C5528),"")</f>
        <v/>
      </c>
      <c r="X5528" s="23" t="str">
        <f aca="false">IF(T5528="","",IF(T5528=0,"No discount",IF(T5528&lt;=0.2,"Low (1-20%)",IF(T5528&lt;=0.4,"Medium (21-40%)","High (&gt;40%)"))))</f>
        <v/>
      </c>
      <c r="Y5528" s="23" t="str">
        <f aca="false">IF(AND(ISNUMBER(C5528),ISNUMBER(D5528)),D5528-C5528,"")</f>
        <v/>
      </c>
      <c r="Z5528" s="23" t="str">
        <f aca="false">IF(B5528="","",IF(MATCH(B5528,$B$2:$B$12000,0)=ROW()-1,1,0))</f>
        <v/>
      </c>
    </row>
    <row r="5529" customFormat="false" ht="15" hidden="false" customHeight="false" outlineLevel="0" collapsed="false">
      <c r="V5529" s="23" t="str">
        <f aca="false">IF(ISNUMBER(C5529),YEAR(C5529),"")</f>
        <v/>
      </c>
      <c r="W5529" s="23" t="str">
        <f aca="false">IF(ISNUMBER(C5529),MONTH(C5529),"")</f>
        <v/>
      </c>
      <c r="X5529" s="23" t="str">
        <f aca="false">IF(T5529="","",IF(T5529=0,"No discount",IF(T5529&lt;=0.2,"Low (1-20%)",IF(T5529&lt;=0.4,"Medium (21-40%)","High (&gt;40%)"))))</f>
        <v/>
      </c>
      <c r="Y5529" s="23" t="str">
        <f aca="false">IF(AND(ISNUMBER(C5529),ISNUMBER(D5529)),D5529-C5529,"")</f>
        <v/>
      </c>
      <c r="Z5529" s="23" t="str">
        <f aca="false">IF(B5529="","",IF(MATCH(B5529,$B$2:$B$12000,0)=ROW()-1,1,0))</f>
        <v/>
      </c>
    </row>
    <row r="5530" customFormat="false" ht="15" hidden="false" customHeight="false" outlineLevel="0" collapsed="false">
      <c r="V5530" s="23" t="str">
        <f aca="false">IF(ISNUMBER(C5530),YEAR(C5530),"")</f>
        <v/>
      </c>
      <c r="W5530" s="23" t="str">
        <f aca="false">IF(ISNUMBER(C5530),MONTH(C5530),"")</f>
        <v/>
      </c>
      <c r="X5530" s="23" t="str">
        <f aca="false">IF(T5530="","",IF(T5530=0,"No discount",IF(T5530&lt;=0.2,"Low (1-20%)",IF(T5530&lt;=0.4,"Medium (21-40%)","High (&gt;40%)"))))</f>
        <v/>
      </c>
      <c r="Y5530" s="23" t="str">
        <f aca="false">IF(AND(ISNUMBER(C5530),ISNUMBER(D5530)),D5530-C5530,"")</f>
        <v/>
      </c>
      <c r="Z5530" s="23" t="str">
        <f aca="false">IF(B5530="","",IF(MATCH(B5530,$B$2:$B$12000,0)=ROW()-1,1,0))</f>
        <v/>
      </c>
    </row>
    <row r="5531" customFormat="false" ht="15" hidden="false" customHeight="false" outlineLevel="0" collapsed="false">
      <c r="V5531" s="23" t="str">
        <f aca="false">IF(ISNUMBER(C5531),YEAR(C5531),"")</f>
        <v/>
      </c>
      <c r="W5531" s="23" t="str">
        <f aca="false">IF(ISNUMBER(C5531),MONTH(C5531),"")</f>
        <v/>
      </c>
      <c r="X5531" s="23" t="str">
        <f aca="false">IF(T5531="","",IF(T5531=0,"No discount",IF(T5531&lt;=0.2,"Low (1-20%)",IF(T5531&lt;=0.4,"Medium (21-40%)","High (&gt;40%)"))))</f>
        <v/>
      </c>
      <c r="Y5531" s="23" t="str">
        <f aca="false">IF(AND(ISNUMBER(C5531),ISNUMBER(D5531)),D5531-C5531,"")</f>
        <v/>
      </c>
      <c r="Z5531" s="23" t="str">
        <f aca="false">IF(B5531="","",IF(MATCH(B5531,$B$2:$B$12000,0)=ROW()-1,1,0))</f>
        <v/>
      </c>
    </row>
    <row r="5532" customFormat="false" ht="15" hidden="false" customHeight="false" outlineLevel="0" collapsed="false">
      <c r="V5532" s="23" t="str">
        <f aca="false">IF(ISNUMBER(C5532),YEAR(C5532),"")</f>
        <v/>
      </c>
      <c r="W5532" s="23" t="str">
        <f aca="false">IF(ISNUMBER(C5532),MONTH(C5532),"")</f>
        <v/>
      </c>
      <c r="X5532" s="23" t="str">
        <f aca="false">IF(T5532="","",IF(T5532=0,"No discount",IF(T5532&lt;=0.2,"Low (1-20%)",IF(T5532&lt;=0.4,"Medium (21-40%)","High (&gt;40%)"))))</f>
        <v/>
      </c>
      <c r="Y5532" s="23" t="str">
        <f aca="false">IF(AND(ISNUMBER(C5532),ISNUMBER(D5532)),D5532-C5532,"")</f>
        <v/>
      </c>
      <c r="Z5532" s="23" t="str">
        <f aca="false">IF(B5532="","",IF(MATCH(B5532,$B$2:$B$12000,0)=ROW()-1,1,0))</f>
        <v/>
      </c>
    </row>
    <row r="5533" customFormat="false" ht="15" hidden="false" customHeight="false" outlineLevel="0" collapsed="false">
      <c r="V5533" s="23" t="str">
        <f aca="false">IF(ISNUMBER(C5533),YEAR(C5533),"")</f>
        <v/>
      </c>
      <c r="W5533" s="23" t="str">
        <f aca="false">IF(ISNUMBER(C5533),MONTH(C5533),"")</f>
        <v/>
      </c>
      <c r="X5533" s="23" t="str">
        <f aca="false">IF(T5533="","",IF(T5533=0,"No discount",IF(T5533&lt;=0.2,"Low (1-20%)",IF(T5533&lt;=0.4,"Medium (21-40%)","High (&gt;40%)"))))</f>
        <v/>
      </c>
      <c r="Y5533" s="23" t="str">
        <f aca="false">IF(AND(ISNUMBER(C5533),ISNUMBER(D5533)),D5533-C5533,"")</f>
        <v/>
      </c>
      <c r="Z5533" s="23" t="str">
        <f aca="false">IF(B5533="","",IF(MATCH(B5533,$B$2:$B$12000,0)=ROW()-1,1,0))</f>
        <v/>
      </c>
    </row>
    <row r="5534" customFormat="false" ht="15" hidden="false" customHeight="false" outlineLevel="0" collapsed="false">
      <c r="V5534" s="23" t="str">
        <f aca="false">IF(ISNUMBER(C5534),YEAR(C5534),"")</f>
        <v/>
      </c>
      <c r="W5534" s="23" t="str">
        <f aca="false">IF(ISNUMBER(C5534),MONTH(C5534),"")</f>
        <v/>
      </c>
      <c r="X5534" s="23" t="str">
        <f aca="false">IF(T5534="","",IF(T5534=0,"No discount",IF(T5534&lt;=0.2,"Low (1-20%)",IF(T5534&lt;=0.4,"Medium (21-40%)","High (&gt;40%)"))))</f>
        <v/>
      </c>
      <c r="Y5534" s="23" t="str">
        <f aca="false">IF(AND(ISNUMBER(C5534),ISNUMBER(D5534)),D5534-C5534,"")</f>
        <v/>
      </c>
      <c r="Z5534" s="23" t="str">
        <f aca="false">IF(B5534="","",IF(MATCH(B5534,$B$2:$B$12000,0)=ROW()-1,1,0))</f>
        <v/>
      </c>
    </row>
    <row r="5535" customFormat="false" ht="15" hidden="false" customHeight="false" outlineLevel="0" collapsed="false">
      <c r="V5535" s="23" t="str">
        <f aca="false">IF(ISNUMBER(C5535),YEAR(C5535),"")</f>
        <v/>
      </c>
      <c r="W5535" s="23" t="str">
        <f aca="false">IF(ISNUMBER(C5535),MONTH(C5535),"")</f>
        <v/>
      </c>
      <c r="X5535" s="23" t="str">
        <f aca="false">IF(T5535="","",IF(T5535=0,"No discount",IF(T5535&lt;=0.2,"Low (1-20%)",IF(T5535&lt;=0.4,"Medium (21-40%)","High (&gt;40%)"))))</f>
        <v/>
      </c>
      <c r="Y5535" s="23" t="str">
        <f aca="false">IF(AND(ISNUMBER(C5535),ISNUMBER(D5535)),D5535-C5535,"")</f>
        <v/>
      </c>
      <c r="Z5535" s="23" t="str">
        <f aca="false">IF(B5535="","",IF(MATCH(B5535,$B$2:$B$12000,0)=ROW()-1,1,0))</f>
        <v/>
      </c>
    </row>
    <row r="5536" customFormat="false" ht="15" hidden="false" customHeight="false" outlineLevel="0" collapsed="false">
      <c r="V5536" s="23" t="str">
        <f aca="false">IF(ISNUMBER(C5536),YEAR(C5536),"")</f>
        <v/>
      </c>
      <c r="W5536" s="23" t="str">
        <f aca="false">IF(ISNUMBER(C5536),MONTH(C5536),"")</f>
        <v/>
      </c>
      <c r="X5536" s="23" t="str">
        <f aca="false">IF(T5536="","",IF(T5536=0,"No discount",IF(T5536&lt;=0.2,"Low (1-20%)",IF(T5536&lt;=0.4,"Medium (21-40%)","High (&gt;40%)"))))</f>
        <v/>
      </c>
      <c r="Y5536" s="23" t="str">
        <f aca="false">IF(AND(ISNUMBER(C5536),ISNUMBER(D5536)),D5536-C5536,"")</f>
        <v/>
      </c>
      <c r="Z5536" s="23" t="str">
        <f aca="false">IF(B5536="","",IF(MATCH(B5536,$B$2:$B$12000,0)=ROW()-1,1,0))</f>
        <v/>
      </c>
    </row>
    <row r="5537" customFormat="false" ht="15" hidden="false" customHeight="false" outlineLevel="0" collapsed="false">
      <c r="V5537" s="23" t="str">
        <f aca="false">IF(ISNUMBER(C5537),YEAR(C5537),"")</f>
        <v/>
      </c>
      <c r="W5537" s="23" t="str">
        <f aca="false">IF(ISNUMBER(C5537),MONTH(C5537),"")</f>
        <v/>
      </c>
      <c r="X5537" s="23" t="str">
        <f aca="false">IF(T5537="","",IF(T5537=0,"No discount",IF(T5537&lt;=0.2,"Low (1-20%)",IF(T5537&lt;=0.4,"Medium (21-40%)","High (&gt;40%)"))))</f>
        <v/>
      </c>
      <c r="Y5537" s="23" t="str">
        <f aca="false">IF(AND(ISNUMBER(C5537),ISNUMBER(D5537)),D5537-C5537,"")</f>
        <v/>
      </c>
      <c r="Z5537" s="23" t="str">
        <f aca="false">IF(B5537="","",IF(MATCH(B5537,$B$2:$B$12000,0)=ROW()-1,1,0))</f>
        <v/>
      </c>
    </row>
    <row r="5538" customFormat="false" ht="15" hidden="false" customHeight="false" outlineLevel="0" collapsed="false">
      <c r="V5538" s="23" t="str">
        <f aca="false">IF(ISNUMBER(C5538),YEAR(C5538),"")</f>
        <v/>
      </c>
      <c r="W5538" s="23" t="str">
        <f aca="false">IF(ISNUMBER(C5538),MONTH(C5538),"")</f>
        <v/>
      </c>
      <c r="X5538" s="23" t="str">
        <f aca="false">IF(T5538="","",IF(T5538=0,"No discount",IF(T5538&lt;=0.2,"Low (1-20%)",IF(T5538&lt;=0.4,"Medium (21-40%)","High (&gt;40%)"))))</f>
        <v/>
      </c>
      <c r="Y5538" s="23" t="str">
        <f aca="false">IF(AND(ISNUMBER(C5538),ISNUMBER(D5538)),D5538-C5538,"")</f>
        <v/>
      </c>
      <c r="Z5538" s="23" t="str">
        <f aca="false">IF(B5538="","",IF(MATCH(B5538,$B$2:$B$12000,0)=ROW()-1,1,0))</f>
        <v/>
      </c>
    </row>
    <row r="5539" customFormat="false" ht="15" hidden="false" customHeight="false" outlineLevel="0" collapsed="false">
      <c r="V5539" s="23" t="str">
        <f aca="false">IF(ISNUMBER(C5539),YEAR(C5539),"")</f>
        <v/>
      </c>
      <c r="W5539" s="23" t="str">
        <f aca="false">IF(ISNUMBER(C5539),MONTH(C5539),"")</f>
        <v/>
      </c>
      <c r="X5539" s="23" t="str">
        <f aca="false">IF(T5539="","",IF(T5539=0,"No discount",IF(T5539&lt;=0.2,"Low (1-20%)",IF(T5539&lt;=0.4,"Medium (21-40%)","High (&gt;40%)"))))</f>
        <v/>
      </c>
      <c r="Y5539" s="23" t="str">
        <f aca="false">IF(AND(ISNUMBER(C5539),ISNUMBER(D5539)),D5539-C5539,"")</f>
        <v/>
      </c>
      <c r="Z5539" s="23" t="str">
        <f aca="false">IF(B5539="","",IF(MATCH(B5539,$B$2:$B$12000,0)=ROW()-1,1,0))</f>
        <v/>
      </c>
    </row>
    <row r="5540" customFormat="false" ht="15" hidden="false" customHeight="false" outlineLevel="0" collapsed="false">
      <c r="V5540" s="23" t="str">
        <f aca="false">IF(ISNUMBER(C5540),YEAR(C5540),"")</f>
        <v/>
      </c>
      <c r="W5540" s="23" t="str">
        <f aca="false">IF(ISNUMBER(C5540),MONTH(C5540),"")</f>
        <v/>
      </c>
      <c r="X5540" s="23" t="str">
        <f aca="false">IF(T5540="","",IF(T5540=0,"No discount",IF(T5540&lt;=0.2,"Low (1-20%)",IF(T5540&lt;=0.4,"Medium (21-40%)","High (&gt;40%)"))))</f>
        <v/>
      </c>
      <c r="Y5540" s="23" t="str">
        <f aca="false">IF(AND(ISNUMBER(C5540),ISNUMBER(D5540)),D5540-C5540,"")</f>
        <v/>
      </c>
      <c r="Z5540" s="23" t="str">
        <f aca="false">IF(B5540="","",IF(MATCH(B5540,$B$2:$B$12000,0)=ROW()-1,1,0))</f>
        <v/>
      </c>
    </row>
    <row r="5541" customFormat="false" ht="15" hidden="false" customHeight="false" outlineLevel="0" collapsed="false">
      <c r="V5541" s="23" t="str">
        <f aca="false">IF(ISNUMBER(C5541),YEAR(C5541),"")</f>
        <v/>
      </c>
      <c r="W5541" s="23" t="str">
        <f aca="false">IF(ISNUMBER(C5541),MONTH(C5541),"")</f>
        <v/>
      </c>
      <c r="X5541" s="23" t="str">
        <f aca="false">IF(T5541="","",IF(T5541=0,"No discount",IF(T5541&lt;=0.2,"Low (1-20%)",IF(T5541&lt;=0.4,"Medium (21-40%)","High (&gt;40%)"))))</f>
        <v/>
      </c>
      <c r="Y5541" s="23" t="str">
        <f aca="false">IF(AND(ISNUMBER(C5541),ISNUMBER(D5541)),D5541-C5541,"")</f>
        <v/>
      </c>
      <c r="Z5541" s="23" t="str">
        <f aca="false">IF(B5541="","",IF(MATCH(B5541,$B$2:$B$12000,0)=ROW()-1,1,0))</f>
        <v/>
      </c>
    </row>
    <row r="5542" customFormat="false" ht="15" hidden="false" customHeight="false" outlineLevel="0" collapsed="false">
      <c r="V5542" s="23" t="str">
        <f aca="false">IF(ISNUMBER(C5542),YEAR(C5542),"")</f>
        <v/>
      </c>
      <c r="W5542" s="23" t="str">
        <f aca="false">IF(ISNUMBER(C5542),MONTH(C5542),"")</f>
        <v/>
      </c>
      <c r="X5542" s="23" t="str">
        <f aca="false">IF(T5542="","",IF(T5542=0,"No discount",IF(T5542&lt;=0.2,"Low (1-20%)",IF(T5542&lt;=0.4,"Medium (21-40%)","High (&gt;40%)"))))</f>
        <v/>
      </c>
      <c r="Y5542" s="23" t="str">
        <f aca="false">IF(AND(ISNUMBER(C5542),ISNUMBER(D5542)),D5542-C5542,"")</f>
        <v/>
      </c>
      <c r="Z5542" s="23" t="str">
        <f aca="false">IF(B5542="","",IF(MATCH(B5542,$B$2:$B$12000,0)=ROW()-1,1,0))</f>
        <v/>
      </c>
    </row>
    <row r="5543" customFormat="false" ht="15" hidden="false" customHeight="false" outlineLevel="0" collapsed="false">
      <c r="V5543" s="23" t="str">
        <f aca="false">IF(ISNUMBER(C5543),YEAR(C5543),"")</f>
        <v/>
      </c>
      <c r="W5543" s="23" t="str">
        <f aca="false">IF(ISNUMBER(C5543),MONTH(C5543),"")</f>
        <v/>
      </c>
      <c r="X5543" s="23" t="str">
        <f aca="false">IF(T5543="","",IF(T5543=0,"No discount",IF(T5543&lt;=0.2,"Low (1-20%)",IF(T5543&lt;=0.4,"Medium (21-40%)","High (&gt;40%)"))))</f>
        <v/>
      </c>
      <c r="Y5543" s="23" t="str">
        <f aca="false">IF(AND(ISNUMBER(C5543),ISNUMBER(D5543)),D5543-C5543,"")</f>
        <v/>
      </c>
      <c r="Z5543" s="23" t="str">
        <f aca="false">IF(B5543="","",IF(MATCH(B5543,$B$2:$B$12000,0)=ROW()-1,1,0))</f>
        <v/>
      </c>
    </row>
    <row r="5544" customFormat="false" ht="15" hidden="false" customHeight="false" outlineLevel="0" collapsed="false">
      <c r="V5544" s="23" t="str">
        <f aca="false">IF(ISNUMBER(C5544),YEAR(C5544),"")</f>
        <v/>
      </c>
      <c r="W5544" s="23" t="str">
        <f aca="false">IF(ISNUMBER(C5544),MONTH(C5544),"")</f>
        <v/>
      </c>
      <c r="X5544" s="23" t="str">
        <f aca="false">IF(T5544="","",IF(T5544=0,"No discount",IF(T5544&lt;=0.2,"Low (1-20%)",IF(T5544&lt;=0.4,"Medium (21-40%)","High (&gt;40%)"))))</f>
        <v/>
      </c>
      <c r="Y5544" s="23" t="str">
        <f aca="false">IF(AND(ISNUMBER(C5544),ISNUMBER(D5544)),D5544-C5544,"")</f>
        <v/>
      </c>
      <c r="Z5544" s="23" t="str">
        <f aca="false">IF(B5544="","",IF(MATCH(B5544,$B$2:$B$12000,0)=ROW()-1,1,0))</f>
        <v/>
      </c>
    </row>
    <row r="5545" customFormat="false" ht="15" hidden="false" customHeight="false" outlineLevel="0" collapsed="false">
      <c r="V5545" s="23" t="str">
        <f aca="false">IF(ISNUMBER(C5545),YEAR(C5545),"")</f>
        <v/>
      </c>
      <c r="W5545" s="23" t="str">
        <f aca="false">IF(ISNUMBER(C5545),MONTH(C5545),"")</f>
        <v/>
      </c>
      <c r="X5545" s="23" t="str">
        <f aca="false">IF(T5545="","",IF(T5545=0,"No discount",IF(T5545&lt;=0.2,"Low (1-20%)",IF(T5545&lt;=0.4,"Medium (21-40%)","High (&gt;40%)"))))</f>
        <v/>
      </c>
      <c r="Y5545" s="23" t="str">
        <f aca="false">IF(AND(ISNUMBER(C5545),ISNUMBER(D5545)),D5545-C5545,"")</f>
        <v/>
      </c>
      <c r="Z5545" s="23" t="str">
        <f aca="false">IF(B5545="","",IF(MATCH(B5545,$B$2:$B$12000,0)=ROW()-1,1,0))</f>
        <v/>
      </c>
    </row>
    <row r="5546" customFormat="false" ht="15" hidden="false" customHeight="false" outlineLevel="0" collapsed="false">
      <c r="V5546" s="23" t="str">
        <f aca="false">IF(ISNUMBER(C5546),YEAR(C5546),"")</f>
        <v/>
      </c>
      <c r="W5546" s="23" t="str">
        <f aca="false">IF(ISNUMBER(C5546),MONTH(C5546),"")</f>
        <v/>
      </c>
      <c r="X5546" s="23" t="str">
        <f aca="false">IF(T5546="","",IF(T5546=0,"No discount",IF(T5546&lt;=0.2,"Low (1-20%)",IF(T5546&lt;=0.4,"Medium (21-40%)","High (&gt;40%)"))))</f>
        <v/>
      </c>
      <c r="Y5546" s="23" t="str">
        <f aca="false">IF(AND(ISNUMBER(C5546),ISNUMBER(D5546)),D5546-C5546,"")</f>
        <v/>
      </c>
      <c r="Z5546" s="23" t="str">
        <f aca="false">IF(B5546="","",IF(MATCH(B5546,$B$2:$B$12000,0)=ROW()-1,1,0))</f>
        <v/>
      </c>
    </row>
    <row r="5547" customFormat="false" ht="15" hidden="false" customHeight="false" outlineLevel="0" collapsed="false">
      <c r="V5547" s="23" t="str">
        <f aca="false">IF(ISNUMBER(C5547),YEAR(C5547),"")</f>
        <v/>
      </c>
      <c r="W5547" s="23" t="str">
        <f aca="false">IF(ISNUMBER(C5547),MONTH(C5547),"")</f>
        <v/>
      </c>
      <c r="X5547" s="23" t="str">
        <f aca="false">IF(T5547="","",IF(T5547=0,"No discount",IF(T5547&lt;=0.2,"Low (1-20%)",IF(T5547&lt;=0.4,"Medium (21-40%)","High (&gt;40%)"))))</f>
        <v/>
      </c>
      <c r="Y5547" s="23" t="str">
        <f aca="false">IF(AND(ISNUMBER(C5547),ISNUMBER(D5547)),D5547-C5547,"")</f>
        <v/>
      </c>
      <c r="Z5547" s="23" t="str">
        <f aca="false">IF(B5547="","",IF(MATCH(B5547,$B$2:$B$12000,0)=ROW()-1,1,0))</f>
        <v/>
      </c>
    </row>
    <row r="5548" customFormat="false" ht="15" hidden="false" customHeight="false" outlineLevel="0" collapsed="false">
      <c r="V5548" s="23" t="str">
        <f aca="false">IF(ISNUMBER(C5548),YEAR(C5548),"")</f>
        <v/>
      </c>
      <c r="W5548" s="23" t="str">
        <f aca="false">IF(ISNUMBER(C5548),MONTH(C5548),"")</f>
        <v/>
      </c>
      <c r="X5548" s="23" t="str">
        <f aca="false">IF(T5548="","",IF(T5548=0,"No discount",IF(T5548&lt;=0.2,"Low (1-20%)",IF(T5548&lt;=0.4,"Medium (21-40%)","High (&gt;40%)"))))</f>
        <v/>
      </c>
      <c r="Y5548" s="23" t="str">
        <f aca="false">IF(AND(ISNUMBER(C5548),ISNUMBER(D5548)),D5548-C5548,"")</f>
        <v/>
      </c>
      <c r="Z5548" s="23" t="str">
        <f aca="false">IF(B5548="","",IF(MATCH(B5548,$B$2:$B$12000,0)=ROW()-1,1,0))</f>
        <v/>
      </c>
    </row>
    <row r="5549" customFormat="false" ht="15" hidden="false" customHeight="false" outlineLevel="0" collapsed="false">
      <c r="V5549" s="23" t="str">
        <f aca="false">IF(ISNUMBER(C5549),YEAR(C5549),"")</f>
        <v/>
      </c>
      <c r="W5549" s="23" t="str">
        <f aca="false">IF(ISNUMBER(C5549),MONTH(C5549),"")</f>
        <v/>
      </c>
      <c r="X5549" s="23" t="str">
        <f aca="false">IF(T5549="","",IF(T5549=0,"No discount",IF(T5549&lt;=0.2,"Low (1-20%)",IF(T5549&lt;=0.4,"Medium (21-40%)","High (&gt;40%)"))))</f>
        <v/>
      </c>
      <c r="Y5549" s="23" t="str">
        <f aca="false">IF(AND(ISNUMBER(C5549),ISNUMBER(D5549)),D5549-C5549,"")</f>
        <v/>
      </c>
      <c r="Z5549" s="23" t="str">
        <f aca="false">IF(B5549="","",IF(MATCH(B5549,$B$2:$B$12000,0)=ROW()-1,1,0))</f>
        <v/>
      </c>
    </row>
    <row r="5550" customFormat="false" ht="15" hidden="false" customHeight="false" outlineLevel="0" collapsed="false">
      <c r="V5550" s="23" t="str">
        <f aca="false">IF(ISNUMBER(C5550),YEAR(C5550),"")</f>
        <v/>
      </c>
      <c r="W5550" s="23" t="str">
        <f aca="false">IF(ISNUMBER(C5550),MONTH(C5550),"")</f>
        <v/>
      </c>
      <c r="X5550" s="23" t="str">
        <f aca="false">IF(T5550="","",IF(T5550=0,"No discount",IF(T5550&lt;=0.2,"Low (1-20%)",IF(T5550&lt;=0.4,"Medium (21-40%)","High (&gt;40%)"))))</f>
        <v/>
      </c>
      <c r="Y5550" s="23" t="str">
        <f aca="false">IF(AND(ISNUMBER(C5550),ISNUMBER(D5550)),D5550-C5550,"")</f>
        <v/>
      </c>
      <c r="Z5550" s="23" t="str">
        <f aca="false">IF(B5550="","",IF(MATCH(B5550,$B$2:$B$12000,0)=ROW()-1,1,0))</f>
        <v/>
      </c>
    </row>
    <row r="5551" customFormat="false" ht="15" hidden="false" customHeight="false" outlineLevel="0" collapsed="false">
      <c r="V5551" s="23" t="str">
        <f aca="false">IF(ISNUMBER(C5551),YEAR(C5551),"")</f>
        <v/>
      </c>
      <c r="W5551" s="23" t="str">
        <f aca="false">IF(ISNUMBER(C5551),MONTH(C5551),"")</f>
        <v/>
      </c>
      <c r="X5551" s="23" t="str">
        <f aca="false">IF(T5551="","",IF(T5551=0,"No discount",IF(T5551&lt;=0.2,"Low (1-20%)",IF(T5551&lt;=0.4,"Medium (21-40%)","High (&gt;40%)"))))</f>
        <v/>
      </c>
      <c r="Y5551" s="23" t="str">
        <f aca="false">IF(AND(ISNUMBER(C5551),ISNUMBER(D5551)),D5551-C5551,"")</f>
        <v/>
      </c>
      <c r="Z5551" s="23" t="str">
        <f aca="false">IF(B5551="","",IF(MATCH(B5551,$B$2:$B$12000,0)=ROW()-1,1,0))</f>
        <v/>
      </c>
    </row>
    <row r="5552" customFormat="false" ht="15" hidden="false" customHeight="false" outlineLevel="0" collapsed="false">
      <c r="V5552" s="23" t="str">
        <f aca="false">IF(ISNUMBER(C5552),YEAR(C5552),"")</f>
        <v/>
      </c>
      <c r="W5552" s="23" t="str">
        <f aca="false">IF(ISNUMBER(C5552),MONTH(C5552),"")</f>
        <v/>
      </c>
      <c r="X5552" s="23" t="str">
        <f aca="false">IF(T5552="","",IF(T5552=0,"No discount",IF(T5552&lt;=0.2,"Low (1-20%)",IF(T5552&lt;=0.4,"Medium (21-40%)","High (&gt;40%)"))))</f>
        <v/>
      </c>
      <c r="Y5552" s="23" t="str">
        <f aca="false">IF(AND(ISNUMBER(C5552),ISNUMBER(D5552)),D5552-C5552,"")</f>
        <v/>
      </c>
      <c r="Z5552" s="23" t="str">
        <f aca="false">IF(B5552="","",IF(MATCH(B5552,$B$2:$B$12000,0)=ROW()-1,1,0))</f>
        <v/>
      </c>
    </row>
    <row r="5553" customFormat="false" ht="15" hidden="false" customHeight="false" outlineLevel="0" collapsed="false">
      <c r="V5553" s="23" t="str">
        <f aca="false">IF(ISNUMBER(C5553),YEAR(C5553),"")</f>
        <v/>
      </c>
      <c r="W5553" s="23" t="str">
        <f aca="false">IF(ISNUMBER(C5553),MONTH(C5553),"")</f>
        <v/>
      </c>
      <c r="X5553" s="23" t="str">
        <f aca="false">IF(T5553="","",IF(T5553=0,"No discount",IF(T5553&lt;=0.2,"Low (1-20%)",IF(T5553&lt;=0.4,"Medium (21-40%)","High (&gt;40%)"))))</f>
        <v/>
      </c>
      <c r="Y5553" s="23" t="str">
        <f aca="false">IF(AND(ISNUMBER(C5553),ISNUMBER(D5553)),D5553-C5553,"")</f>
        <v/>
      </c>
      <c r="Z5553" s="23" t="str">
        <f aca="false">IF(B5553="","",IF(MATCH(B5553,$B$2:$B$12000,0)=ROW()-1,1,0))</f>
        <v/>
      </c>
    </row>
    <row r="5554" customFormat="false" ht="15" hidden="false" customHeight="false" outlineLevel="0" collapsed="false">
      <c r="V5554" s="23" t="str">
        <f aca="false">IF(ISNUMBER(C5554),YEAR(C5554),"")</f>
        <v/>
      </c>
      <c r="W5554" s="23" t="str">
        <f aca="false">IF(ISNUMBER(C5554),MONTH(C5554),"")</f>
        <v/>
      </c>
      <c r="X5554" s="23" t="str">
        <f aca="false">IF(T5554="","",IF(T5554=0,"No discount",IF(T5554&lt;=0.2,"Low (1-20%)",IF(T5554&lt;=0.4,"Medium (21-40%)","High (&gt;40%)"))))</f>
        <v/>
      </c>
      <c r="Y5554" s="23" t="str">
        <f aca="false">IF(AND(ISNUMBER(C5554),ISNUMBER(D5554)),D5554-C5554,"")</f>
        <v/>
      </c>
      <c r="Z5554" s="23" t="str">
        <f aca="false">IF(B5554="","",IF(MATCH(B5554,$B$2:$B$12000,0)=ROW()-1,1,0))</f>
        <v/>
      </c>
    </row>
    <row r="5555" customFormat="false" ht="15" hidden="false" customHeight="false" outlineLevel="0" collapsed="false">
      <c r="V5555" s="23" t="str">
        <f aca="false">IF(ISNUMBER(C5555),YEAR(C5555),"")</f>
        <v/>
      </c>
      <c r="W5555" s="23" t="str">
        <f aca="false">IF(ISNUMBER(C5555),MONTH(C5555),"")</f>
        <v/>
      </c>
      <c r="X5555" s="23" t="str">
        <f aca="false">IF(T5555="","",IF(T5555=0,"No discount",IF(T5555&lt;=0.2,"Low (1-20%)",IF(T5555&lt;=0.4,"Medium (21-40%)","High (&gt;40%)"))))</f>
        <v/>
      </c>
      <c r="Y5555" s="23" t="str">
        <f aca="false">IF(AND(ISNUMBER(C5555),ISNUMBER(D5555)),D5555-C5555,"")</f>
        <v/>
      </c>
      <c r="Z5555" s="23" t="str">
        <f aca="false">IF(B5555="","",IF(MATCH(B5555,$B$2:$B$12000,0)=ROW()-1,1,0))</f>
        <v/>
      </c>
    </row>
    <row r="5556" customFormat="false" ht="15" hidden="false" customHeight="false" outlineLevel="0" collapsed="false">
      <c r="V5556" s="23" t="str">
        <f aca="false">IF(ISNUMBER(C5556),YEAR(C5556),"")</f>
        <v/>
      </c>
      <c r="W5556" s="23" t="str">
        <f aca="false">IF(ISNUMBER(C5556),MONTH(C5556),"")</f>
        <v/>
      </c>
      <c r="X5556" s="23" t="str">
        <f aca="false">IF(T5556="","",IF(T5556=0,"No discount",IF(T5556&lt;=0.2,"Low (1-20%)",IF(T5556&lt;=0.4,"Medium (21-40%)","High (&gt;40%)"))))</f>
        <v/>
      </c>
      <c r="Y5556" s="23" t="str">
        <f aca="false">IF(AND(ISNUMBER(C5556),ISNUMBER(D5556)),D5556-C5556,"")</f>
        <v/>
      </c>
      <c r="Z5556" s="23" t="str">
        <f aca="false">IF(B5556="","",IF(MATCH(B5556,$B$2:$B$12000,0)=ROW()-1,1,0))</f>
        <v/>
      </c>
    </row>
    <row r="5557" customFormat="false" ht="15" hidden="false" customHeight="false" outlineLevel="0" collapsed="false">
      <c r="V5557" s="23" t="str">
        <f aca="false">IF(ISNUMBER(C5557),YEAR(C5557),"")</f>
        <v/>
      </c>
      <c r="W5557" s="23" t="str">
        <f aca="false">IF(ISNUMBER(C5557),MONTH(C5557),"")</f>
        <v/>
      </c>
      <c r="X5557" s="23" t="str">
        <f aca="false">IF(T5557="","",IF(T5557=0,"No discount",IF(T5557&lt;=0.2,"Low (1-20%)",IF(T5557&lt;=0.4,"Medium (21-40%)","High (&gt;40%)"))))</f>
        <v/>
      </c>
      <c r="Y5557" s="23" t="str">
        <f aca="false">IF(AND(ISNUMBER(C5557),ISNUMBER(D5557)),D5557-C5557,"")</f>
        <v/>
      </c>
      <c r="Z5557" s="23" t="str">
        <f aca="false">IF(B5557="","",IF(MATCH(B5557,$B$2:$B$12000,0)=ROW()-1,1,0))</f>
        <v/>
      </c>
    </row>
    <row r="5558" customFormat="false" ht="15" hidden="false" customHeight="false" outlineLevel="0" collapsed="false">
      <c r="V5558" s="23" t="str">
        <f aca="false">IF(ISNUMBER(C5558),YEAR(C5558),"")</f>
        <v/>
      </c>
      <c r="W5558" s="23" t="str">
        <f aca="false">IF(ISNUMBER(C5558),MONTH(C5558),"")</f>
        <v/>
      </c>
      <c r="X5558" s="23" t="str">
        <f aca="false">IF(T5558="","",IF(T5558=0,"No discount",IF(T5558&lt;=0.2,"Low (1-20%)",IF(T5558&lt;=0.4,"Medium (21-40%)","High (&gt;40%)"))))</f>
        <v/>
      </c>
      <c r="Y5558" s="23" t="str">
        <f aca="false">IF(AND(ISNUMBER(C5558),ISNUMBER(D5558)),D5558-C5558,"")</f>
        <v/>
      </c>
      <c r="Z5558" s="23" t="str">
        <f aca="false">IF(B5558="","",IF(MATCH(B5558,$B$2:$B$12000,0)=ROW()-1,1,0))</f>
        <v/>
      </c>
    </row>
    <row r="5559" customFormat="false" ht="15" hidden="false" customHeight="false" outlineLevel="0" collapsed="false">
      <c r="V5559" s="23" t="str">
        <f aca="false">IF(ISNUMBER(C5559),YEAR(C5559),"")</f>
        <v/>
      </c>
      <c r="W5559" s="23" t="str">
        <f aca="false">IF(ISNUMBER(C5559),MONTH(C5559),"")</f>
        <v/>
      </c>
      <c r="X5559" s="23" t="str">
        <f aca="false">IF(T5559="","",IF(T5559=0,"No discount",IF(T5559&lt;=0.2,"Low (1-20%)",IF(T5559&lt;=0.4,"Medium (21-40%)","High (&gt;40%)"))))</f>
        <v/>
      </c>
      <c r="Y5559" s="23" t="str">
        <f aca="false">IF(AND(ISNUMBER(C5559),ISNUMBER(D5559)),D5559-C5559,"")</f>
        <v/>
      </c>
      <c r="Z5559" s="23" t="str">
        <f aca="false">IF(B5559="","",IF(MATCH(B5559,$B$2:$B$12000,0)=ROW()-1,1,0))</f>
        <v/>
      </c>
    </row>
    <row r="5560" customFormat="false" ht="15" hidden="false" customHeight="false" outlineLevel="0" collapsed="false">
      <c r="V5560" s="23" t="str">
        <f aca="false">IF(ISNUMBER(C5560),YEAR(C5560),"")</f>
        <v/>
      </c>
      <c r="W5560" s="23" t="str">
        <f aca="false">IF(ISNUMBER(C5560),MONTH(C5560),"")</f>
        <v/>
      </c>
      <c r="X5560" s="23" t="str">
        <f aca="false">IF(T5560="","",IF(T5560=0,"No discount",IF(T5560&lt;=0.2,"Low (1-20%)",IF(T5560&lt;=0.4,"Medium (21-40%)","High (&gt;40%)"))))</f>
        <v/>
      </c>
      <c r="Y5560" s="23" t="str">
        <f aca="false">IF(AND(ISNUMBER(C5560),ISNUMBER(D5560)),D5560-C5560,"")</f>
        <v/>
      </c>
      <c r="Z5560" s="23" t="str">
        <f aca="false">IF(B5560="","",IF(MATCH(B5560,$B$2:$B$12000,0)=ROW()-1,1,0))</f>
        <v/>
      </c>
    </row>
    <row r="5561" customFormat="false" ht="15" hidden="false" customHeight="false" outlineLevel="0" collapsed="false">
      <c r="V5561" s="23" t="str">
        <f aca="false">IF(ISNUMBER(C5561),YEAR(C5561),"")</f>
        <v/>
      </c>
      <c r="W5561" s="23" t="str">
        <f aca="false">IF(ISNUMBER(C5561),MONTH(C5561),"")</f>
        <v/>
      </c>
      <c r="X5561" s="23" t="str">
        <f aca="false">IF(T5561="","",IF(T5561=0,"No discount",IF(T5561&lt;=0.2,"Low (1-20%)",IF(T5561&lt;=0.4,"Medium (21-40%)","High (&gt;40%)"))))</f>
        <v/>
      </c>
      <c r="Y5561" s="23" t="str">
        <f aca="false">IF(AND(ISNUMBER(C5561),ISNUMBER(D5561)),D5561-C5561,"")</f>
        <v/>
      </c>
      <c r="Z5561" s="23" t="str">
        <f aca="false">IF(B5561="","",IF(MATCH(B5561,$B$2:$B$12000,0)=ROW()-1,1,0))</f>
        <v/>
      </c>
    </row>
    <row r="5562" customFormat="false" ht="15" hidden="false" customHeight="false" outlineLevel="0" collapsed="false">
      <c r="V5562" s="23" t="str">
        <f aca="false">IF(ISNUMBER(C5562),YEAR(C5562),"")</f>
        <v/>
      </c>
      <c r="W5562" s="23" t="str">
        <f aca="false">IF(ISNUMBER(C5562),MONTH(C5562),"")</f>
        <v/>
      </c>
      <c r="X5562" s="23" t="str">
        <f aca="false">IF(T5562="","",IF(T5562=0,"No discount",IF(T5562&lt;=0.2,"Low (1-20%)",IF(T5562&lt;=0.4,"Medium (21-40%)","High (&gt;40%)"))))</f>
        <v/>
      </c>
      <c r="Y5562" s="23" t="str">
        <f aca="false">IF(AND(ISNUMBER(C5562),ISNUMBER(D5562)),D5562-C5562,"")</f>
        <v/>
      </c>
      <c r="Z5562" s="23" t="str">
        <f aca="false">IF(B5562="","",IF(MATCH(B5562,$B$2:$B$12000,0)=ROW()-1,1,0))</f>
        <v/>
      </c>
    </row>
    <row r="5563" customFormat="false" ht="15" hidden="false" customHeight="false" outlineLevel="0" collapsed="false">
      <c r="V5563" s="23" t="str">
        <f aca="false">IF(ISNUMBER(C5563),YEAR(C5563),"")</f>
        <v/>
      </c>
      <c r="W5563" s="23" t="str">
        <f aca="false">IF(ISNUMBER(C5563),MONTH(C5563),"")</f>
        <v/>
      </c>
      <c r="X5563" s="23" t="str">
        <f aca="false">IF(T5563="","",IF(T5563=0,"No discount",IF(T5563&lt;=0.2,"Low (1-20%)",IF(T5563&lt;=0.4,"Medium (21-40%)","High (&gt;40%)"))))</f>
        <v/>
      </c>
      <c r="Y5563" s="23" t="str">
        <f aca="false">IF(AND(ISNUMBER(C5563),ISNUMBER(D5563)),D5563-C5563,"")</f>
        <v/>
      </c>
      <c r="Z5563" s="23" t="str">
        <f aca="false">IF(B5563="","",IF(MATCH(B5563,$B$2:$B$12000,0)=ROW()-1,1,0))</f>
        <v/>
      </c>
    </row>
    <row r="5564" customFormat="false" ht="15" hidden="false" customHeight="false" outlineLevel="0" collapsed="false">
      <c r="V5564" s="23" t="str">
        <f aca="false">IF(ISNUMBER(C5564),YEAR(C5564),"")</f>
        <v/>
      </c>
      <c r="W5564" s="23" t="str">
        <f aca="false">IF(ISNUMBER(C5564),MONTH(C5564),"")</f>
        <v/>
      </c>
      <c r="X5564" s="23" t="str">
        <f aca="false">IF(T5564="","",IF(T5564=0,"No discount",IF(T5564&lt;=0.2,"Low (1-20%)",IF(T5564&lt;=0.4,"Medium (21-40%)","High (&gt;40%)"))))</f>
        <v/>
      </c>
      <c r="Y5564" s="23" t="str">
        <f aca="false">IF(AND(ISNUMBER(C5564),ISNUMBER(D5564)),D5564-C5564,"")</f>
        <v/>
      </c>
      <c r="Z5564" s="23" t="str">
        <f aca="false">IF(B5564="","",IF(MATCH(B5564,$B$2:$B$12000,0)=ROW()-1,1,0))</f>
        <v/>
      </c>
    </row>
    <row r="5565" customFormat="false" ht="15" hidden="false" customHeight="false" outlineLevel="0" collapsed="false">
      <c r="V5565" s="23" t="str">
        <f aca="false">IF(ISNUMBER(C5565),YEAR(C5565),"")</f>
        <v/>
      </c>
      <c r="W5565" s="23" t="str">
        <f aca="false">IF(ISNUMBER(C5565),MONTH(C5565),"")</f>
        <v/>
      </c>
      <c r="X5565" s="23" t="str">
        <f aca="false">IF(T5565="","",IF(T5565=0,"No discount",IF(T5565&lt;=0.2,"Low (1-20%)",IF(T5565&lt;=0.4,"Medium (21-40%)","High (&gt;40%)"))))</f>
        <v/>
      </c>
      <c r="Y5565" s="23" t="str">
        <f aca="false">IF(AND(ISNUMBER(C5565),ISNUMBER(D5565)),D5565-C5565,"")</f>
        <v/>
      </c>
      <c r="Z5565" s="23" t="str">
        <f aca="false">IF(B5565="","",IF(MATCH(B5565,$B$2:$B$12000,0)=ROW()-1,1,0))</f>
        <v/>
      </c>
    </row>
    <row r="5566" customFormat="false" ht="15" hidden="false" customHeight="false" outlineLevel="0" collapsed="false">
      <c r="V5566" s="23" t="str">
        <f aca="false">IF(ISNUMBER(C5566),YEAR(C5566),"")</f>
        <v/>
      </c>
      <c r="W5566" s="23" t="str">
        <f aca="false">IF(ISNUMBER(C5566),MONTH(C5566),"")</f>
        <v/>
      </c>
      <c r="X5566" s="23" t="str">
        <f aca="false">IF(T5566="","",IF(T5566=0,"No discount",IF(T5566&lt;=0.2,"Low (1-20%)",IF(T5566&lt;=0.4,"Medium (21-40%)","High (&gt;40%)"))))</f>
        <v/>
      </c>
      <c r="Y5566" s="23" t="str">
        <f aca="false">IF(AND(ISNUMBER(C5566),ISNUMBER(D5566)),D5566-C5566,"")</f>
        <v/>
      </c>
      <c r="Z5566" s="23" t="str">
        <f aca="false">IF(B5566="","",IF(MATCH(B5566,$B$2:$B$12000,0)=ROW()-1,1,0))</f>
        <v/>
      </c>
    </row>
    <row r="5567" customFormat="false" ht="15" hidden="false" customHeight="false" outlineLevel="0" collapsed="false">
      <c r="V5567" s="23" t="str">
        <f aca="false">IF(ISNUMBER(C5567),YEAR(C5567),"")</f>
        <v/>
      </c>
      <c r="W5567" s="23" t="str">
        <f aca="false">IF(ISNUMBER(C5567),MONTH(C5567),"")</f>
        <v/>
      </c>
      <c r="X5567" s="23" t="str">
        <f aca="false">IF(T5567="","",IF(T5567=0,"No discount",IF(T5567&lt;=0.2,"Low (1-20%)",IF(T5567&lt;=0.4,"Medium (21-40%)","High (&gt;40%)"))))</f>
        <v/>
      </c>
      <c r="Y5567" s="23" t="str">
        <f aca="false">IF(AND(ISNUMBER(C5567),ISNUMBER(D5567)),D5567-C5567,"")</f>
        <v/>
      </c>
      <c r="Z5567" s="23" t="str">
        <f aca="false">IF(B5567="","",IF(MATCH(B5567,$B$2:$B$12000,0)=ROW()-1,1,0))</f>
        <v/>
      </c>
    </row>
    <row r="5568" customFormat="false" ht="15" hidden="false" customHeight="false" outlineLevel="0" collapsed="false">
      <c r="V5568" s="23" t="str">
        <f aca="false">IF(ISNUMBER(C5568),YEAR(C5568),"")</f>
        <v/>
      </c>
      <c r="W5568" s="23" t="str">
        <f aca="false">IF(ISNUMBER(C5568),MONTH(C5568),"")</f>
        <v/>
      </c>
      <c r="X5568" s="23" t="str">
        <f aca="false">IF(T5568="","",IF(T5568=0,"No discount",IF(T5568&lt;=0.2,"Low (1-20%)",IF(T5568&lt;=0.4,"Medium (21-40%)","High (&gt;40%)"))))</f>
        <v/>
      </c>
      <c r="Y5568" s="23" t="str">
        <f aca="false">IF(AND(ISNUMBER(C5568),ISNUMBER(D5568)),D5568-C5568,"")</f>
        <v/>
      </c>
      <c r="Z5568" s="23" t="str">
        <f aca="false">IF(B5568="","",IF(MATCH(B5568,$B$2:$B$12000,0)=ROW()-1,1,0))</f>
        <v/>
      </c>
    </row>
    <row r="5569" customFormat="false" ht="15" hidden="false" customHeight="false" outlineLevel="0" collapsed="false">
      <c r="V5569" s="23" t="str">
        <f aca="false">IF(ISNUMBER(C5569),YEAR(C5569),"")</f>
        <v/>
      </c>
      <c r="W5569" s="23" t="str">
        <f aca="false">IF(ISNUMBER(C5569),MONTH(C5569),"")</f>
        <v/>
      </c>
      <c r="X5569" s="23" t="str">
        <f aca="false">IF(T5569="","",IF(T5569=0,"No discount",IF(T5569&lt;=0.2,"Low (1-20%)",IF(T5569&lt;=0.4,"Medium (21-40%)","High (&gt;40%)"))))</f>
        <v/>
      </c>
      <c r="Y5569" s="23" t="str">
        <f aca="false">IF(AND(ISNUMBER(C5569),ISNUMBER(D5569)),D5569-C5569,"")</f>
        <v/>
      </c>
      <c r="Z5569" s="23" t="str">
        <f aca="false">IF(B5569="","",IF(MATCH(B5569,$B$2:$B$12000,0)=ROW()-1,1,0))</f>
        <v/>
      </c>
    </row>
    <row r="5570" customFormat="false" ht="15" hidden="false" customHeight="false" outlineLevel="0" collapsed="false">
      <c r="V5570" s="23" t="str">
        <f aca="false">IF(ISNUMBER(C5570),YEAR(C5570),"")</f>
        <v/>
      </c>
      <c r="W5570" s="23" t="str">
        <f aca="false">IF(ISNUMBER(C5570),MONTH(C5570),"")</f>
        <v/>
      </c>
      <c r="X5570" s="23" t="str">
        <f aca="false">IF(T5570="","",IF(T5570=0,"No discount",IF(T5570&lt;=0.2,"Low (1-20%)",IF(T5570&lt;=0.4,"Medium (21-40%)","High (&gt;40%)"))))</f>
        <v/>
      </c>
      <c r="Y5570" s="23" t="str">
        <f aca="false">IF(AND(ISNUMBER(C5570),ISNUMBER(D5570)),D5570-C5570,"")</f>
        <v/>
      </c>
      <c r="Z5570" s="23" t="str">
        <f aca="false">IF(B5570="","",IF(MATCH(B5570,$B$2:$B$12000,0)=ROW()-1,1,0))</f>
        <v/>
      </c>
    </row>
    <row r="5571" customFormat="false" ht="15" hidden="false" customHeight="false" outlineLevel="0" collapsed="false">
      <c r="V5571" s="23" t="str">
        <f aca="false">IF(ISNUMBER(C5571),YEAR(C5571),"")</f>
        <v/>
      </c>
      <c r="W5571" s="23" t="str">
        <f aca="false">IF(ISNUMBER(C5571),MONTH(C5571),"")</f>
        <v/>
      </c>
      <c r="X5571" s="23" t="str">
        <f aca="false">IF(T5571="","",IF(T5571=0,"No discount",IF(T5571&lt;=0.2,"Low (1-20%)",IF(T5571&lt;=0.4,"Medium (21-40%)","High (&gt;40%)"))))</f>
        <v/>
      </c>
      <c r="Y5571" s="23" t="str">
        <f aca="false">IF(AND(ISNUMBER(C5571),ISNUMBER(D5571)),D5571-C5571,"")</f>
        <v/>
      </c>
      <c r="Z5571" s="23" t="str">
        <f aca="false">IF(B5571="","",IF(MATCH(B5571,$B$2:$B$12000,0)=ROW()-1,1,0))</f>
        <v/>
      </c>
    </row>
    <row r="5572" customFormat="false" ht="15" hidden="false" customHeight="false" outlineLevel="0" collapsed="false">
      <c r="V5572" s="23" t="str">
        <f aca="false">IF(ISNUMBER(C5572),YEAR(C5572),"")</f>
        <v/>
      </c>
      <c r="W5572" s="23" t="str">
        <f aca="false">IF(ISNUMBER(C5572),MONTH(C5572),"")</f>
        <v/>
      </c>
      <c r="X5572" s="23" t="str">
        <f aca="false">IF(T5572="","",IF(T5572=0,"No discount",IF(T5572&lt;=0.2,"Low (1-20%)",IF(T5572&lt;=0.4,"Medium (21-40%)","High (&gt;40%)"))))</f>
        <v/>
      </c>
      <c r="Y5572" s="23" t="str">
        <f aca="false">IF(AND(ISNUMBER(C5572),ISNUMBER(D5572)),D5572-C5572,"")</f>
        <v/>
      </c>
      <c r="Z5572" s="23" t="str">
        <f aca="false">IF(B5572="","",IF(MATCH(B5572,$B$2:$B$12000,0)=ROW()-1,1,0))</f>
        <v/>
      </c>
    </row>
    <row r="5573" customFormat="false" ht="15" hidden="false" customHeight="false" outlineLevel="0" collapsed="false">
      <c r="V5573" s="23" t="str">
        <f aca="false">IF(ISNUMBER(C5573),YEAR(C5573),"")</f>
        <v/>
      </c>
      <c r="W5573" s="23" t="str">
        <f aca="false">IF(ISNUMBER(C5573),MONTH(C5573),"")</f>
        <v/>
      </c>
      <c r="X5573" s="23" t="str">
        <f aca="false">IF(T5573="","",IF(T5573=0,"No discount",IF(T5573&lt;=0.2,"Low (1-20%)",IF(T5573&lt;=0.4,"Medium (21-40%)","High (&gt;40%)"))))</f>
        <v/>
      </c>
      <c r="Y5573" s="23" t="str">
        <f aca="false">IF(AND(ISNUMBER(C5573),ISNUMBER(D5573)),D5573-C5573,"")</f>
        <v/>
      </c>
      <c r="Z5573" s="23" t="str">
        <f aca="false">IF(B5573="","",IF(MATCH(B5573,$B$2:$B$12000,0)=ROW()-1,1,0))</f>
        <v/>
      </c>
    </row>
    <row r="5574" customFormat="false" ht="15" hidden="false" customHeight="false" outlineLevel="0" collapsed="false">
      <c r="V5574" s="23" t="str">
        <f aca="false">IF(ISNUMBER(C5574),YEAR(C5574),"")</f>
        <v/>
      </c>
      <c r="W5574" s="23" t="str">
        <f aca="false">IF(ISNUMBER(C5574),MONTH(C5574),"")</f>
        <v/>
      </c>
      <c r="X5574" s="23" t="str">
        <f aca="false">IF(T5574="","",IF(T5574=0,"No discount",IF(T5574&lt;=0.2,"Low (1-20%)",IF(T5574&lt;=0.4,"Medium (21-40%)","High (&gt;40%)"))))</f>
        <v/>
      </c>
      <c r="Y5574" s="23" t="str">
        <f aca="false">IF(AND(ISNUMBER(C5574),ISNUMBER(D5574)),D5574-C5574,"")</f>
        <v/>
      </c>
      <c r="Z5574" s="23" t="str">
        <f aca="false">IF(B5574="","",IF(MATCH(B5574,$B$2:$B$12000,0)=ROW()-1,1,0))</f>
        <v/>
      </c>
    </row>
    <row r="5575" customFormat="false" ht="15" hidden="false" customHeight="false" outlineLevel="0" collapsed="false">
      <c r="V5575" s="23" t="str">
        <f aca="false">IF(ISNUMBER(C5575),YEAR(C5575),"")</f>
        <v/>
      </c>
      <c r="W5575" s="23" t="str">
        <f aca="false">IF(ISNUMBER(C5575),MONTH(C5575),"")</f>
        <v/>
      </c>
      <c r="X5575" s="23" t="str">
        <f aca="false">IF(T5575="","",IF(T5575=0,"No discount",IF(T5575&lt;=0.2,"Low (1-20%)",IF(T5575&lt;=0.4,"Medium (21-40%)","High (&gt;40%)"))))</f>
        <v/>
      </c>
      <c r="Y5575" s="23" t="str">
        <f aca="false">IF(AND(ISNUMBER(C5575),ISNUMBER(D5575)),D5575-C5575,"")</f>
        <v/>
      </c>
      <c r="Z5575" s="23" t="str">
        <f aca="false">IF(B5575="","",IF(MATCH(B5575,$B$2:$B$12000,0)=ROW()-1,1,0))</f>
        <v/>
      </c>
    </row>
    <row r="5576" customFormat="false" ht="15" hidden="false" customHeight="false" outlineLevel="0" collapsed="false">
      <c r="V5576" s="23" t="str">
        <f aca="false">IF(ISNUMBER(C5576),YEAR(C5576),"")</f>
        <v/>
      </c>
      <c r="W5576" s="23" t="str">
        <f aca="false">IF(ISNUMBER(C5576),MONTH(C5576),"")</f>
        <v/>
      </c>
      <c r="X5576" s="23" t="str">
        <f aca="false">IF(T5576="","",IF(T5576=0,"No discount",IF(T5576&lt;=0.2,"Low (1-20%)",IF(T5576&lt;=0.4,"Medium (21-40%)","High (&gt;40%)"))))</f>
        <v/>
      </c>
      <c r="Y5576" s="23" t="str">
        <f aca="false">IF(AND(ISNUMBER(C5576),ISNUMBER(D5576)),D5576-C5576,"")</f>
        <v/>
      </c>
      <c r="Z5576" s="23" t="str">
        <f aca="false">IF(B5576="","",IF(MATCH(B5576,$B$2:$B$12000,0)=ROW()-1,1,0))</f>
        <v/>
      </c>
    </row>
    <row r="5577" customFormat="false" ht="15" hidden="false" customHeight="false" outlineLevel="0" collapsed="false">
      <c r="V5577" s="23" t="str">
        <f aca="false">IF(ISNUMBER(C5577),YEAR(C5577),"")</f>
        <v/>
      </c>
      <c r="W5577" s="23" t="str">
        <f aca="false">IF(ISNUMBER(C5577),MONTH(C5577),"")</f>
        <v/>
      </c>
      <c r="X5577" s="23" t="str">
        <f aca="false">IF(T5577="","",IF(T5577=0,"No discount",IF(T5577&lt;=0.2,"Low (1-20%)",IF(T5577&lt;=0.4,"Medium (21-40%)","High (&gt;40%)"))))</f>
        <v/>
      </c>
      <c r="Y5577" s="23" t="str">
        <f aca="false">IF(AND(ISNUMBER(C5577),ISNUMBER(D5577)),D5577-C5577,"")</f>
        <v/>
      </c>
      <c r="Z5577" s="23" t="str">
        <f aca="false">IF(B5577="","",IF(MATCH(B5577,$B$2:$B$12000,0)=ROW()-1,1,0))</f>
        <v/>
      </c>
    </row>
    <row r="5578" customFormat="false" ht="15" hidden="false" customHeight="false" outlineLevel="0" collapsed="false">
      <c r="V5578" s="23" t="str">
        <f aca="false">IF(ISNUMBER(C5578),YEAR(C5578),"")</f>
        <v/>
      </c>
      <c r="W5578" s="23" t="str">
        <f aca="false">IF(ISNUMBER(C5578),MONTH(C5578),"")</f>
        <v/>
      </c>
      <c r="X5578" s="23" t="str">
        <f aca="false">IF(T5578="","",IF(T5578=0,"No discount",IF(T5578&lt;=0.2,"Low (1-20%)",IF(T5578&lt;=0.4,"Medium (21-40%)","High (&gt;40%)"))))</f>
        <v/>
      </c>
      <c r="Y5578" s="23" t="str">
        <f aca="false">IF(AND(ISNUMBER(C5578),ISNUMBER(D5578)),D5578-C5578,"")</f>
        <v/>
      </c>
      <c r="Z5578" s="23" t="str">
        <f aca="false">IF(B5578="","",IF(MATCH(B5578,$B$2:$B$12000,0)=ROW()-1,1,0))</f>
        <v/>
      </c>
    </row>
    <row r="5579" customFormat="false" ht="15" hidden="false" customHeight="false" outlineLevel="0" collapsed="false">
      <c r="V5579" s="23" t="str">
        <f aca="false">IF(ISNUMBER(C5579),YEAR(C5579),"")</f>
        <v/>
      </c>
      <c r="W5579" s="23" t="str">
        <f aca="false">IF(ISNUMBER(C5579),MONTH(C5579),"")</f>
        <v/>
      </c>
      <c r="X5579" s="23" t="str">
        <f aca="false">IF(T5579="","",IF(T5579=0,"No discount",IF(T5579&lt;=0.2,"Low (1-20%)",IF(T5579&lt;=0.4,"Medium (21-40%)","High (&gt;40%)"))))</f>
        <v/>
      </c>
      <c r="Y5579" s="23" t="str">
        <f aca="false">IF(AND(ISNUMBER(C5579),ISNUMBER(D5579)),D5579-C5579,"")</f>
        <v/>
      </c>
      <c r="Z5579" s="23" t="str">
        <f aca="false">IF(B5579="","",IF(MATCH(B5579,$B$2:$B$12000,0)=ROW()-1,1,0))</f>
        <v/>
      </c>
    </row>
    <row r="5580" customFormat="false" ht="15" hidden="false" customHeight="false" outlineLevel="0" collapsed="false">
      <c r="V5580" s="23" t="str">
        <f aca="false">IF(ISNUMBER(C5580),YEAR(C5580),"")</f>
        <v/>
      </c>
      <c r="W5580" s="23" t="str">
        <f aca="false">IF(ISNUMBER(C5580),MONTH(C5580),"")</f>
        <v/>
      </c>
      <c r="X5580" s="23" t="str">
        <f aca="false">IF(T5580="","",IF(T5580=0,"No discount",IF(T5580&lt;=0.2,"Low (1-20%)",IF(T5580&lt;=0.4,"Medium (21-40%)","High (&gt;40%)"))))</f>
        <v/>
      </c>
      <c r="Y5580" s="23" t="str">
        <f aca="false">IF(AND(ISNUMBER(C5580),ISNUMBER(D5580)),D5580-C5580,"")</f>
        <v/>
      </c>
      <c r="Z5580" s="23" t="str">
        <f aca="false">IF(B5580="","",IF(MATCH(B5580,$B$2:$B$12000,0)=ROW()-1,1,0))</f>
        <v/>
      </c>
    </row>
    <row r="5581" customFormat="false" ht="15" hidden="false" customHeight="false" outlineLevel="0" collapsed="false">
      <c r="V5581" s="23" t="str">
        <f aca="false">IF(ISNUMBER(C5581),YEAR(C5581),"")</f>
        <v/>
      </c>
      <c r="W5581" s="23" t="str">
        <f aca="false">IF(ISNUMBER(C5581),MONTH(C5581),"")</f>
        <v/>
      </c>
      <c r="X5581" s="23" t="str">
        <f aca="false">IF(T5581="","",IF(T5581=0,"No discount",IF(T5581&lt;=0.2,"Low (1-20%)",IF(T5581&lt;=0.4,"Medium (21-40%)","High (&gt;40%)"))))</f>
        <v/>
      </c>
      <c r="Y5581" s="23" t="str">
        <f aca="false">IF(AND(ISNUMBER(C5581),ISNUMBER(D5581)),D5581-C5581,"")</f>
        <v/>
      </c>
      <c r="Z5581" s="23" t="str">
        <f aca="false">IF(B5581="","",IF(MATCH(B5581,$B$2:$B$12000,0)=ROW()-1,1,0))</f>
        <v/>
      </c>
    </row>
    <row r="5582" customFormat="false" ht="15" hidden="false" customHeight="false" outlineLevel="0" collapsed="false">
      <c r="V5582" s="23" t="str">
        <f aca="false">IF(ISNUMBER(C5582),YEAR(C5582),"")</f>
        <v/>
      </c>
      <c r="W5582" s="23" t="str">
        <f aca="false">IF(ISNUMBER(C5582),MONTH(C5582),"")</f>
        <v/>
      </c>
      <c r="X5582" s="23" t="str">
        <f aca="false">IF(T5582="","",IF(T5582=0,"No discount",IF(T5582&lt;=0.2,"Low (1-20%)",IF(T5582&lt;=0.4,"Medium (21-40%)","High (&gt;40%)"))))</f>
        <v/>
      </c>
      <c r="Y5582" s="23" t="str">
        <f aca="false">IF(AND(ISNUMBER(C5582),ISNUMBER(D5582)),D5582-C5582,"")</f>
        <v/>
      </c>
      <c r="Z5582" s="23" t="str">
        <f aca="false">IF(B5582="","",IF(MATCH(B5582,$B$2:$B$12000,0)=ROW()-1,1,0))</f>
        <v/>
      </c>
    </row>
    <row r="5583" customFormat="false" ht="15" hidden="false" customHeight="false" outlineLevel="0" collapsed="false">
      <c r="V5583" s="23" t="str">
        <f aca="false">IF(ISNUMBER(C5583),YEAR(C5583),"")</f>
        <v/>
      </c>
      <c r="W5583" s="23" t="str">
        <f aca="false">IF(ISNUMBER(C5583),MONTH(C5583),"")</f>
        <v/>
      </c>
      <c r="X5583" s="23" t="str">
        <f aca="false">IF(T5583="","",IF(T5583=0,"No discount",IF(T5583&lt;=0.2,"Low (1-20%)",IF(T5583&lt;=0.4,"Medium (21-40%)","High (&gt;40%)"))))</f>
        <v/>
      </c>
      <c r="Y5583" s="23" t="str">
        <f aca="false">IF(AND(ISNUMBER(C5583),ISNUMBER(D5583)),D5583-C5583,"")</f>
        <v/>
      </c>
      <c r="Z5583" s="23" t="str">
        <f aca="false">IF(B5583="","",IF(MATCH(B5583,$B$2:$B$12000,0)=ROW()-1,1,0))</f>
        <v/>
      </c>
    </row>
    <row r="5584" customFormat="false" ht="15" hidden="false" customHeight="false" outlineLevel="0" collapsed="false">
      <c r="V5584" s="23" t="str">
        <f aca="false">IF(ISNUMBER(C5584),YEAR(C5584),"")</f>
        <v/>
      </c>
      <c r="W5584" s="23" t="str">
        <f aca="false">IF(ISNUMBER(C5584),MONTH(C5584),"")</f>
        <v/>
      </c>
      <c r="X5584" s="23" t="str">
        <f aca="false">IF(T5584="","",IF(T5584=0,"No discount",IF(T5584&lt;=0.2,"Low (1-20%)",IF(T5584&lt;=0.4,"Medium (21-40%)","High (&gt;40%)"))))</f>
        <v/>
      </c>
      <c r="Y5584" s="23" t="str">
        <f aca="false">IF(AND(ISNUMBER(C5584),ISNUMBER(D5584)),D5584-C5584,"")</f>
        <v/>
      </c>
      <c r="Z5584" s="23" t="str">
        <f aca="false">IF(B5584="","",IF(MATCH(B5584,$B$2:$B$12000,0)=ROW()-1,1,0))</f>
        <v/>
      </c>
    </row>
    <row r="5585" customFormat="false" ht="15" hidden="false" customHeight="false" outlineLevel="0" collapsed="false">
      <c r="V5585" s="23" t="str">
        <f aca="false">IF(ISNUMBER(C5585),YEAR(C5585),"")</f>
        <v/>
      </c>
      <c r="W5585" s="23" t="str">
        <f aca="false">IF(ISNUMBER(C5585),MONTH(C5585),"")</f>
        <v/>
      </c>
      <c r="X5585" s="23" t="str">
        <f aca="false">IF(T5585="","",IF(T5585=0,"No discount",IF(T5585&lt;=0.2,"Low (1-20%)",IF(T5585&lt;=0.4,"Medium (21-40%)","High (&gt;40%)"))))</f>
        <v/>
      </c>
      <c r="Y5585" s="23" t="str">
        <f aca="false">IF(AND(ISNUMBER(C5585),ISNUMBER(D5585)),D5585-C5585,"")</f>
        <v/>
      </c>
      <c r="Z5585" s="23" t="str">
        <f aca="false">IF(B5585="","",IF(MATCH(B5585,$B$2:$B$12000,0)=ROW()-1,1,0))</f>
        <v/>
      </c>
    </row>
    <row r="5586" customFormat="false" ht="15" hidden="false" customHeight="false" outlineLevel="0" collapsed="false">
      <c r="V5586" s="23" t="str">
        <f aca="false">IF(ISNUMBER(C5586),YEAR(C5586),"")</f>
        <v/>
      </c>
      <c r="W5586" s="23" t="str">
        <f aca="false">IF(ISNUMBER(C5586),MONTH(C5586),"")</f>
        <v/>
      </c>
      <c r="X5586" s="23" t="str">
        <f aca="false">IF(T5586="","",IF(T5586=0,"No discount",IF(T5586&lt;=0.2,"Low (1-20%)",IF(T5586&lt;=0.4,"Medium (21-40%)","High (&gt;40%)"))))</f>
        <v/>
      </c>
      <c r="Y5586" s="23" t="str">
        <f aca="false">IF(AND(ISNUMBER(C5586),ISNUMBER(D5586)),D5586-C5586,"")</f>
        <v/>
      </c>
      <c r="Z5586" s="23" t="str">
        <f aca="false">IF(B5586="","",IF(MATCH(B5586,$B$2:$B$12000,0)=ROW()-1,1,0))</f>
        <v/>
      </c>
    </row>
    <row r="5587" customFormat="false" ht="15" hidden="false" customHeight="false" outlineLevel="0" collapsed="false">
      <c r="V5587" s="23" t="str">
        <f aca="false">IF(ISNUMBER(C5587),YEAR(C5587),"")</f>
        <v/>
      </c>
      <c r="W5587" s="23" t="str">
        <f aca="false">IF(ISNUMBER(C5587),MONTH(C5587),"")</f>
        <v/>
      </c>
      <c r="X5587" s="23" t="str">
        <f aca="false">IF(T5587="","",IF(T5587=0,"No discount",IF(T5587&lt;=0.2,"Low (1-20%)",IF(T5587&lt;=0.4,"Medium (21-40%)","High (&gt;40%)"))))</f>
        <v/>
      </c>
      <c r="Y5587" s="23" t="str">
        <f aca="false">IF(AND(ISNUMBER(C5587),ISNUMBER(D5587)),D5587-C5587,"")</f>
        <v/>
      </c>
      <c r="Z5587" s="23" t="str">
        <f aca="false">IF(B5587="","",IF(MATCH(B5587,$B$2:$B$12000,0)=ROW()-1,1,0))</f>
        <v/>
      </c>
    </row>
    <row r="5588" customFormat="false" ht="15" hidden="false" customHeight="false" outlineLevel="0" collapsed="false">
      <c r="V5588" s="23" t="str">
        <f aca="false">IF(ISNUMBER(C5588),YEAR(C5588),"")</f>
        <v/>
      </c>
      <c r="W5588" s="23" t="str">
        <f aca="false">IF(ISNUMBER(C5588),MONTH(C5588),"")</f>
        <v/>
      </c>
      <c r="X5588" s="23" t="str">
        <f aca="false">IF(T5588="","",IF(T5588=0,"No discount",IF(T5588&lt;=0.2,"Low (1-20%)",IF(T5588&lt;=0.4,"Medium (21-40%)","High (&gt;40%)"))))</f>
        <v/>
      </c>
      <c r="Y5588" s="23" t="str">
        <f aca="false">IF(AND(ISNUMBER(C5588),ISNUMBER(D5588)),D5588-C5588,"")</f>
        <v/>
      </c>
      <c r="Z5588" s="23" t="str">
        <f aca="false">IF(B5588="","",IF(MATCH(B5588,$B$2:$B$12000,0)=ROW()-1,1,0))</f>
        <v/>
      </c>
    </row>
    <row r="5589" customFormat="false" ht="15" hidden="false" customHeight="false" outlineLevel="0" collapsed="false">
      <c r="V5589" s="23" t="str">
        <f aca="false">IF(ISNUMBER(C5589),YEAR(C5589),"")</f>
        <v/>
      </c>
      <c r="W5589" s="23" t="str">
        <f aca="false">IF(ISNUMBER(C5589),MONTH(C5589),"")</f>
        <v/>
      </c>
      <c r="X5589" s="23" t="str">
        <f aca="false">IF(T5589="","",IF(T5589=0,"No discount",IF(T5589&lt;=0.2,"Low (1-20%)",IF(T5589&lt;=0.4,"Medium (21-40%)","High (&gt;40%)"))))</f>
        <v/>
      </c>
      <c r="Y5589" s="23" t="str">
        <f aca="false">IF(AND(ISNUMBER(C5589),ISNUMBER(D5589)),D5589-C5589,"")</f>
        <v/>
      </c>
      <c r="Z5589" s="23" t="str">
        <f aca="false">IF(B5589="","",IF(MATCH(B5589,$B$2:$B$12000,0)=ROW()-1,1,0))</f>
        <v/>
      </c>
    </row>
    <row r="5590" customFormat="false" ht="15" hidden="false" customHeight="false" outlineLevel="0" collapsed="false">
      <c r="V5590" s="23" t="str">
        <f aca="false">IF(ISNUMBER(C5590),YEAR(C5590),"")</f>
        <v/>
      </c>
      <c r="W5590" s="23" t="str">
        <f aca="false">IF(ISNUMBER(C5590),MONTH(C5590),"")</f>
        <v/>
      </c>
      <c r="X5590" s="23" t="str">
        <f aca="false">IF(T5590="","",IF(T5590=0,"No discount",IF(T5590&lt;=0.2,"Low (1-20%)",IF(T5590&lt;=0.4,"Medium (21-40%)","High (&gt;40%)"))))</f>
        <v/>
      </c>
      <c r="Y5590" s="23" t="str">
        <f aca="false">IF(AND(ISNUMBER(C5590),ISNUMBER(D5590)),D5590-C5590,"")</f>
        <v/>
      </c>
      <c r="Z5590" s="23" t="str">
        <f aca="false">IF(B5590="","",IF(MATCH(B5590,$B$2:$B$12000,0)=ROW()-1,1,0))</f>
        <v/>
      </c>
    </row>
    <row r="5591" customFormat="false" ht="15" hidden="false" customHeight="false" outlineLevel="0" collapsed="false">
      <c r="V5591" s="23" t="str">
        <f aca="false">IF(ISNUMBER(C5591),YEAR(C5591),"")</f>
        <v/>
      </c>
      <c r="W5591" s="23" t="str">
        <f aca="false">IF(ISNUMBER(C5591),MONTH(C5591),"")</f>
        <v/>
      </c>
      <c r="X5591" s="23" t="str">
        <f aca="false">IF(T5591="","",IF(T5591=0,"No discount",IF(T5591&lt;=0.2,"Low (1-20%)",IF(T5591&lt;=0.4,"Medium (21-40%)","High (&gt;40%)"))))</f>
        <v/>
      </c>
      <c r="Y5591" s="23" t="str">
        <f aca="false">IF(AND(ISNUMBER(C5591),ISNUMBER(D5591)),D5591-C5591,"")</f>
        <v/>
      </c>
      <c r="Z5591" s="23" t="str">
        <f aca="false">IF(B5591="","",IF(MATCH(B5591,$B$2:$B$12000,0)=ROW()-1,1,0))</f>
        <v/>
      </c>
    </row>
    <row r="5592" customFormat="false" ht="15" hidden="false" customHeight="false" outlineLevel="0" collapsed="false">
      <c r="V5592" s="23" t="str">
        <f aca="false">IF(ISNUMBER(C5592),YEAR(C5592),"")</f>
        <v/>
      </c>
      <c r="W5592" s="23" t="str">
        <f aca="false">IF(ISNUMBER(C5592),MONTH(C5592),"")</f>
        <v/>
      </c>
      <c r="X5592" s="23" t="str">
        <f aca="false">IF(T5592="","",IF(T5592=0,"No discount",IF(T5592&lt;=0.2,"Low (1-20%)",IF(T5592&lt;=0.4,"Medium (21-40%)","High (&gt;40%)"))))</f>
        <v/>
      </c>
      <c r="Y5592" s="23" t="str">
        <f aca="false">IF(AND(ISNUMBER(C5592),ISNUMBER(D5592)),D5592-C5592,"")</f>
        <v/>
      </c>
      <c r="Z5592" s="23" t="str">
        <f aca="false">IF(B5592="","",IF(MATCH(B5592,$B$2:$B$12000,0)=ROW()-1,1,0))</f>
        <v/>
      </c>
    </row>
    <row r="5593" customFormat="false" ht="15" hidden="false" customHeight="false" outlineLevel="0" collapsed="false">
      <c r="V5593" s="23" t="str">
        <f aca="false">IF(ISNUMBER(C5593),YEAR(C5593),"")</f>
        <v/>
      </c>
      <c r="W5593" s="23" t="str">
        <f aca="false">IF(ISNUMBER(C5593),MONTH(C5593),"")</f>
        <v/>
      </c>
      <c r="X5593" s="23" t="str">
        <f aca="false">IF(T5593="","",IF(T5593=0,"No discount",IF(T5593&lt;=0.2,"Low (1-20%)",IF(T5593&lt;=0.4,"Medium (21-40%)","High (&gt;40%)"))))</f>
        <v/>
      </c>
      <c r="Y5593" s="23" t="str">
        <f aca="false">IF(AND(ISNUMBER(C5593),ISNUMBER(D5593)),D5593-C5593,"")</f>
        <v/>
      </c>
      <c r="Z5593" s="23" t="str">
        <f aca="false">IF(B5593="","",IF(MATCH(B5593,$B$2:$B$12000,0)=ROW()-1,1,0))</f>
        <v/>
      </c>
    </row>
    <row r="5594" customFormat="false" ht="15" hidden="false" customHeight="false" outlineLevel="0" collapsed="false">
      <c r="V5594" s="23" t="str">
        <f aca="false">IF(ISNUMBER(C5594),YEAR(C5594),"")</f>
        <v/>
      </c>
      <c r="W5594" s="23" t="str">
        <f aca="false">IF(ISNUMBER(C5594),MONTH(C5594),"")</f>
        <v/>
      </c>
      <c r="X5594" s="23" t="str">
        <f aca="false">IF(T5594="","",IF(T5594=0,"No discount",IF(T5594&lt;=0.2,"Low (1-20%)",IF(T5594&lt;=0.4,"Medium (21-40%)","High (&gt;40%)"))))</f>
        <v/>
      </c>
      <c r="Y5594" s="23" t="str">
        <f aca="false">IF(AND(ISNUMBER(C5594),ISNUMBER(D5594)),D5594-C5594,"")</f>
        <v/>
      </c>
      <c r="Z5594" s="23" t="str">
        <f aca="false">IF(B5594="","",IF(MATCH(B5594,$B$2:$B$12000,0)=ROW()-1,1,0))</f>
        <v/>
      </c>
    </row>
    <row r="5595" customFormat="false" ht="15" hidden="false" customHeight="false" outlineLevel="0" collapsed="false">
      <c r="V5595" s="23" t="str">
        <f aca="false">IF(ISNUMBER(C5595),YEAR(C5595),"")</f>
        <v/>
      </c>
      <c r="W5595" s="23" t="str">
        <f aca="false">IF(ISNUMBER(C5595),MONTH(C5595),"")</f>
        <v/>
      </c>
      <c r="X5595" s="23" t="str">
        <f aca="false">IF(T5595="","",IF(T5595=0,"No discount",IF(T5595&lt;=0.2,"Low (1-20%)",IF(T5595&lt;=0.4,"Medium (21-40%)","High (&gt;40%)"))))</f>
        <v/>
      </c>
      <c r="Y5595" s="23" t="str">
        <f aca="false">IF(AND(ISNUMBER(C5595),ISNUMBER(D5595)),D5595-C5595,"")</f>
        <v/>
      </c>
      <c r="Z5595" s="23" t="str">
        <f aca="false">IF(B5595="","",IF(MATCH(B5595,$B$2:$B$12000,0)=ROW()-1,1,0))</f>
        <v/>
      </c>
    </row>
    <row r="5596" customFormat="false" ht="15" hidden="false" customHeight="false" outlineLevel="0" collapsed="false">
      <c r="V5596" s="23" t="str">
        <f aca="false">IF(ISNUMBER(C5596),YEAR(C5596),"")</f>
        <v/>
      </c>
      <c r="W5596" s="23" t="str">
        <f aca="false">IF(ISNUMBER(C5596),MONTH(C5596),"")</f>
        <v/>
      </c>
      <c r="X5596" s="23" t="str">
        <f aca="false">IF(T5596="","",IF(T5596=0,"No discount",IF(T5596&lt;=0.2,"Low (1-20%)",IF(T5596&lt;=0.4,"Medium (21-40%)","High (&gt;40%)"))))</f>
        <v/>
      </c>
      <c r="Y5596" s="23" t="str">
        <f aca="false">IF(AND(ISNUMBER(C5596),ISNUMBER(D5596)),D5596-C5596,"")</f>
        <v/>
      </c>
      <c r="Z5596" s="23" t="str">
        <f aca="false">IF(B5596="","",IF(MATCH(B5596,$B$2:$B$12000,0)=ROW()-1,1,0))</f>
        <v/>
      </c>
    </row>
    <row r="5597" customFormat="false" ht="15" hidden="false" customHeight="false" outlineLevel="0" collapsed="false">
      <c r="V5597" s="23" t="str">
        <f aca="false">IF(ISNUMBER(C5597),YEAR(C5597),"")</f>
        <v/>
      </c>
      <c r="W5597" s="23" t="str">
        <f aca="false">IF(ISNUMBER(C5597),MONTH(C5597),"")</f>
        <v/>
      </c>
      <c r="X5597" s="23" t="str">
        <f aca="false">IF(T5597="","",IF(T5597=0,"No discount",IF(T5597&lt;=0.2,"Low (1-20%)",IF(T5597&lt;=0.4,"Medium (21-40%)","High (&gt;40%)"))))</f>
        <v/>
      </c>
      <c r="Y5597" s="23" t="str">
        <f aca="false">IF(AND(ISNUMBER(C5597),ISNUMBER(D5597)),D5597-C5597,"")</f>
        <v/>
      </c>
      <c r="Z5597" s="23" t="str">
        <f aca="false">IF(B5597="","",IF(MATCH(B5597,$B$2:$B$12000,0)=ROW()-1,1,0))</f>
        <v/>
      </c>
    </row>
    <row r="5598" customFormat="false" ht="15" hidden="false" customHeight="false" outlineLevel="0" collapsed="false">
      <c r="V5598" s="23" t="str">
        <f aca="false">IF(ISNUMBER(C5598),YEAR(C5598),"")</f>
        <v/>
      </c>
      <c r="W5598" s="23" t="str">
        <f aca="false">IF(ISNUMBER(C5598),MONTH(C5598),"")</f>
        <v/>
      </c>
      <c r="X5598" s="23" t="str">
        <f aca="false">IF(T5598="","",IF(T5598=0,"No discount",IF(T5598&lt;=0.2,"Low (1-20%)",IF(T5598&lt;=0.4,"Medium (21-40%)","High (&gt;40%)"))))</f>
        <v/>
      </c>
      <c r="Y5598" s="23" t="str">
        <f aca="false">IF(AND(ISNUMBER(C5598),ISNUMBER(D5598)),D5598-C5598,"")</f>
        <v/>
      </c>
      <c r="Z5598" s="23" t="str">
        <f aca="false">IF(B5598="","",IF(MATCH(B5598,$B$2:$B$12000,0)=ROW()-1,1,0))</f>
        <v/>
      </c>
    </row>
    <row r="5599" customFormat="false" ht="15" hidden="false" customHeight="false" outlineLevel="0" collapsed="false">
      <c r="V5599" s="23" t="str">
        <f aca="false">IF(ISNUMBER(C5599),YEAR(C5599),"")</f>
        <v/>
      </c>
      <c r="W5599" s="23" t="str">
        <f aca="false">IF(ISNUMBER(C5599),MONTH(C5599),"")</f>
        <v/>
      </c>
      <c r="X5599" s="23" t="str">
        <f aca="false">IF(T5599="","",IF(T5599=0,"No discount",IF(T5599&lt;=0.2,"Low (1-20%)",IF(T5599&lt;=0.4,"Medium (21-40%)","High (&gt;40%)"))))</f>
        <v/>
      </c>
      <c r="Y5599" s="23" t="str">
        <f aca="false">IF(AND(ISNUMBER(C5599),ISNUMBER(D5599)),D5599-C5599,"")</f>
        <v/>
      </c>
      <c r="Z5599" s="23" t="str">
        <f aca="false">IF(B5599="","",IF(MATCH(B5599,$B$2:$B$12000,0)=ROW()-1,1,0))</f>
        <v/>
      </c>
    </row>
    <row r="5600" customFormat="false" ht="15" hidden="false" customHeight="false" outlineLevel="0" collapsed="false">
      <c r="V5600" s="23" t="str">
        <f aca="false">IF(ISNUMBER(C5600),YEAR(C5600),"")</f>
        <v/>
      </c>
      <c r="W5600" s="23" t="str">
        <f aca="false">IF(ISNUMBER(C5600),MONTH(C5600),"")</f>
        <v/>
      </c>
      <c r="X5600" s="23" t="str">
        <f aca="false">IF(T5600="","",IF(T5600=0,"No discount",IF(T5600&lt;=0.2,"Low (1-20%)",IF(T5600&lt;=0.4,"Medium (21-40%)","High (&gt;40%)"))))</f>
        <v/>
      </c>
      <c r="Y5600" s="23" t="str">
        <f aca="false">IF(AND(ISNUMBER(C5600),ISNUMBER(D5600)),D5600-C5600,"")</f>
        <v/>
      </c>
      <c r="Z5600" s="23" t="str">
        <f aca="false">IF(B5600="","",IF(MATCH(B5600,$B$2:$B$12000,0)=ROW()-1,1,0))</f>
        <v/>
      </c>
    </row>
    <row r="5601" customFormat="false" ht="15" hidden="false" customHeight="false" outlineLevel="0" collapsed="false">
      <c r="V5601" s="23" t="str">
        <f aca="false">IF(ISNUMBER(C5601),YEAR(C5601),"")</f>
        <v/>
      </c>
      <c r="W5601" s="23" t="str">
        <f aca="false">IF(ISNUMBER(C5601),MONTH(C5601),"")</f>
        <v/>
      </c>
      <c r="X5601" s="23" t="str">
        <f aca="false">IF(T5601="","",IF(T5601=0,"No discount",IF(T5601&lt;=0.2,"Low (1-20%)",IF(T5601&lt;=0.4,"Medium (21-40%)","High (&gt;40%)"))))</f>
        <v/>
      </c>
      <c r="Y5601" s="23" t="str">
        <f aca="false">IF(AND(ISNUMBER(C5601),ISNUMBER(D5601)),D5601-C5601,"")</f>
        <v/>
      </c>
      <c r="Z5601" s="23" t="str">
        <f aca="false">IF(B5601="","",IF(MATCH(B5601,$B$2:$B$12000,0)=ROW()-1,1,0))</f>
        <v/>
      </c>
    </row>
    <row r="5602" customFormat="false" ht="15" hidden="false" customHeight="false" outlineLevel="0" collapsed="false">
      <c r="V5602" s="23" t="str">
        <f aca="false">IF(ISNUMBER(C5602),YEAR(C5602),"")</f>
        <v/>
      </c>
      <c r="W5602" s="23" t="str">
        <f aca="false">IF(ISNUMBER(C5602),MONTH(C5602),"")</f>
        <v/>
      </c>
      <c r="X5602" s="23" t="str">
        <f aca="false">IF(T5602="","",IF(T5602=0,"No discount",IF(T5602&lt;=0.2,"Low (1-20%)",IF(T5602&lt;=0.4,"Medium (21-40%)","High (&gt;40%)"))))</f>
        <v/>
      </c>
      <c r="Y5602" s="23" t="str">
        <f aca="false">IF(AND(ISNUMBER(C5602),ISNUMBER(D5602)),D5602-C5602,"")</f>
        <v/>
      </c>
      <c r="Z5602" s="23" t="str">
        <f aca="false">IF(B5602="","",IF(MATCH(B5602,$B$2:$B$12000,0)=ROW()-1,1,0))</f>
        <v/>
      </c>
    </row>
    <row r="5603" customFormat="false" ht="15" hidden="false" customHeight="false" outlineLevel="0" collapsed="false">
      <c r="V5603" s="23" t="str">
        <f aca="false">IF(ISNUMBER(C5603),YEAR(C5603),"")</f>
        <v/>
      </c>
      <c r="W5603" s="23" t="str">
        <f aca="false">IF(ISNUMBER(C5603),MONTH(C5603),"")</f>
        <v/>
      </c>
      <c r="X5603" s="23" t="str">
        <f aca="false">IF(T5603="","",IF(T5603=0,"No discount",IF(T5603&lt;=0.2,"Low (1-20%)",IF(T5603&lt;=0.4,"Medium (21-40%)","High (&gt;40%)"))))</f>
        <v/>
      </c>
      <c r="Y5603" s="23" t="str">
        <f aca="false">IF(AND(ISNUMBER(C5603),ISNUMBER(D5603)),D5603-C5603,"")</f>
        <v/>
      </c>
      <c r="Z5603" s="23" t="str">
        <f aca="false">IF(B5603="","",IF(MATCH(B5603,$B$2:$B$12000,0)=ROW()-1,1,0))</f>
        <v/>
      </c>
    </row>
    <row r="5604" customFormat="false" ht="15" hidden="false" customHeight="false" outlineLevel="0" collapsed="false">
      <c r="V5604" s="23" t="str">
        <f aca="false">IF(ISNUMBER(C5604),YEAR(C5604),"")</f>
        <v/>
      </c>
      <c r="W5604" s="23" t="str">
        <f aca="false">IF(ISNUMBER(C5604),MONTH(C5604),"")</f>
        <v/>
      </c>
      <c r="X5604" s="23" t="str">
        <f aca="false">IF(T5604="","",IF(T5604=0,"No discount",IF(T5604&lt;=0.2,"Low (1-20%)",IF(T5604&lt;=0.4,"Medium (21-40%)","High (&gt;40%)"))))</f>
        <v/>
      </c>
      <c r="Y5604" s="23" t="str">
        <f aca="false">IF(AND(ISNUMBER(C5604),ISNUMBER(D5604)),D5604-C5604,"")</f>
        <v/>
      </c>
      <c r="Z5604" s="23" t="str">
        <f aca="false">IF(B5604="","",IF(MATCH(B5604,$B$2:$B$12000,0)=ROW()-1,1,0))</f>
        <v/>
      </c>
    </row>
    <row r="5605" customFormat="false" ht="15" hidden="false" customHeight="false" outlineLevel="0" collapsed="false">
      <c r="V5605" s="23" t="str">
        <f aca="false">IF(ISNUMBER(C5605),YEAR(C5605),"")</f>
        <v/>
      </c>
      <c r="W5605" s="23" t="str">
        <f aca="false">IF(ISNUMBER(C5605),MONTH(C5605),"")</f>
        <v/>
      </c>
      <c r="X5605" s="23" t="str">
        <f aca="false">IF(T5605="","",IF(T5605=0,"No discount",IF(T5605&lt;=0.2,"Low (1-20%)",IF(T5605&lt;=0.4,"Medium (21-40%)","High (&gt;40%)"))))</f>
        <v/>
      </c>
      <c r="Y5605" s="23" t="str">
        <f aca="false">IF(AND(ISNUMBER(C5605),ISNUMBER(D5605)),D5605-C5605,"")</f>
        <v/>
      </c>
      <c r="Z5605" s="23" t="str">
        <f aca="false">IF(B5605="","",IF(MATCH(B5605,$B$2:$B$12000,0)=ROW()-1,1,0))</f>
        <v/>
      </c>
    </row>
    <row r="5606" customFormat="false" ht="15" hidden="false" customHeight="false" outlineLevel="0" collapsed="false">
      <c r="V5606" s="23" t="str">
        <f aca="false">IF(ISNUMBER(C5606),YEAR(C5606),"")</f>
        <v/>
      </c>
      <c r="W5606" s="23" t="str">
        <f aca="false">IF(ISNUMBER(C5606),MONTH(C5606),"")</f>
        <v/>
      </c>
      <c r="X5606" s="23" t="str">
        <f aca="false">IF(T5606="","",IF(T5606=0,"No discount",IF(T5606&lt;=0.2,"Low (1-20%)",IF(T5606&lt;=0.4,"Medium (21-40%)","High (&gt;40%)"))))</f>
        <v/>
      </c>
      <c r="Y5606" s="23" t="str">
        <f aca="false">IF(AND(ISNUMBER(C5606),ISNUMBER(D5606)),D5606-C5606,"")</f>
        <v/>
      </c>
      <c r="Z5606" s="23" t="str">
        <f aca="false">IF(B5606="","",IF(MATCH(B5606,$B$2:$B$12000,0)=ROW()-1,1,0))</f>
        <v/>
      </c>
    </row>
    <row r="5607" customFormat="false" ht="15" hidden="false" customHeight="false" outlineLevel="0" collapsed="false">
      <c r="V5607" s="23" t="str">
        <f aca="false">IF(ISNUMBER(C5607),YEAR(C5607),"")</f>
        <v/>
      </c>
      <c r="W5607" s="23" t="str">
        <f aca="false">IF(ISNUMBER(C5607),MONTH(C5607),"")</f>
        <v/>
      </c>
      <c r="X5607" s="23" t="str">
        <f aca="false">IF(T5607="","",IF(T5607=0,"No discount",IF(T5607&lt;=0.2,"Low (1-20%)",IF(T5607&lt;=0.4,"Medium (21-40%)","High (&gt;40%)"))))</f>
        <v/>
      </c>
      <c r="Y5607" s="23" t="str">
        <f aca="false">IF(AND(ISNUMBER(C5607),ISNUMBER(D5607)),D5607-C5607,"")</f>
        <v/>
      </c>
      <c r="Z5607" s="23" t="str">
        <f aca="false">IF(B5607="","",IF(MATCH(B5607,$B$2:$B$12000,0)=ROW()-1,1,0))</f>
        <v/>
      </c>
    </row>
    <row r="5608" customFormat="false" ht="15" hidden="false" customHeight="false" outlineLevel="0" collapsed="false">
      <c r="V5608" s="23" t="str">
        <f aca="false">IF(ISNUMBER(C5608),YEAR(C5608),"")</f>
        <v/>
      </c>
      <c r="W5608" s="23" t="str">
        <f aca="false">IF(ISNUMBER(C5608),MONTH(C5608),"")</f>
        <v/>
      </c>
      <c r="X5608" s="23" t="str">
        <f aca="false">IF(T5608="","",IF(T5608=0,"No discount",IF(T5608&lt;=0.2,"Low (1-20%)",IF(T5608&lt;=0.4,"Medium (21-40%)","High (&gt;40%)"))))</f>
        <v/>
      </c>
      <c r="Y5608" s="23" t="str">
        <f aca="false">IF(AND(ISNUMBER(C5608),ISNUMBER(D5608)),D5608-C5608,"")</f>
        <v/>
      </c>
      <c r="Z5608" s="23" t="str">
        <f aca="false">IF(B5608="","",IF(MATCH(B5608,$B$2:$B$12000,0)=ROW()-1,1,0))</f>
        <v/>
      </c>
    </row>
    <row r="5609" customFormat="false" ht="15" hidden="false" customHeight="false" outlineLevel="0" collapsed="false">
      <c r="V5609" s="23" t="str">
        <f aca="false">IF(ISNUMBER(C5609),YEAR(C5609),"")</f>
        <v/>
      </c>
      <c r="W5609" s="23" t="str">
        <f aca="false">IF(ISNUMBER(C5609),MONTH(C5609),"")</f>
        <v/>
      </c>
      <c r="X5609" s="23" t="str">
        <f aca="false">IF(T5609="","",IF(T5609=0,"No discount",IF(T5609&lt;=0.2,"Low (1-20%)",IF(T5609&lt;=0.4,"Medium (21-40%)","High (&gt;40%)"))))</f>
        <v/>
      </c>
      <c r="Y5609" s="23" t="str">
        <f aca="false">IF(AND(ISNUMBER(C5609),ISNUMBER(D5609)),D5609-C5609,"")</f>
        <v/>
      </c>
      <c r="Z5609" s="23" t="str">
        <f aca="false">IF(B5609="","",IF(MATCH(B5609,$B$2:$B$12000,0)=ROW()-1,1,0))</f>
        <v/>
      </c>
    </row>
    <row r="5610" customFormat="false" ht="15" hidden="false" customHeight="false" outlineLevel="0" collapsed="false">
      <c r="V5610" s="23" t="str">
        <f aca="false">IF(ISNUMBER(C5610),YEAR(C5610),"")</f>
        <v/>
      </c>
      <c r="W5610" s="23" t="str">
        <f aca="false">IF(ISNUMBER(C5610),MONTH(C5610),"")</f>
        <v/>
      </c>
      <c r="X5610" s="23" t="str">
        <f aca="false">IF(T5610="","",IF(T5610=0,"No discount",IF(T5610&lt;=0.2,"Low (1-20%)",IF(T5610&lt;=0.4,"Medium (21-40%)","High (&gt;40%)"))))</f>
        <v/>
      </c>
      <c r="Y5610" s="23" t="str">
        <f aca="false">IF(AND(ISNUMBER(C5610),ISNUMBER(D5610)),D5610-C5610,"")</f>
        <v/>
      </c>
      <c r="Z5610" s="23" t="str">
        <f aca="false">IF(B5610="","",IF(MATCH(B5610,$B$2:$B$12000,0)=ROW()-1,1,0))</f>
        <v/>
      </c>
    </row>
    <row r="5611" customFormat="false" ht="15" hidden="false" customHeight="false" outlineLevel="0" collapsed="false">
      <c r="V5611" s="23" t="str">
        <f aca="false">IF(ISNUMBER(C5611),YEAR(C5611),"")</f>
        <v/>
      </c>
      <c r="W5611" s="23" t="str">
        <f aca="false">IF(ISNUMBER(C5611),MONTH(C5611),"")</f>
        <v/>
      </c>
      <c r="X5611" s="23" t="str">
        <f aca="false">IF(T5611="","",IF(T5611=0,"No discount",IF(T5611&lt;=0.2,"Low (1-20%)",IF(T5611&lt;=0.4,"Medium (21-40%)","High (&gt;40%)"))))</f>
        <v/>
      </c>
      <c r="Y5611" s="23" t="str">
        <f aca="false">IF(AND(ISNUMBER(C5611),ISNUMBER(D5611)),D5611-C5611,"")</f>
        <v/>
      </c>
      <c r="Z5611" s="23" t="str">
        <f aca="false">IF(B5611="","",IF(MATCH(B5611,$B$2:$B$12000,0)=ROW()-1,1,0))</f>
        <v/>
      </c>
    </row>
    <row r="5612" customFormat="false" ht="15" hidden="false" customHeight="false" outlineLevel="0" collapsed="false">
      <c r="V5612" s="23" t="str">
        <f aca="false">IF(ISNUMBER(C5612),YEAR(C5612),"")</f>
        <v/>
      </c>
      <c r="W5612" s="23" t="str">
        <f aca="false">IF(ISNUMBER(C5612),MONTH(C5612),"")</f>
        <v/>
      </c>
      <c r="X5612" s="23" t="str">
        <f aca="false">IF(T5612="","",IF(T5612=0,"No discount",IF(T5612&lt;=0.2,"Low (1-20%)",IF(T5612&lt;=0.4,"Medium (21-40%)","High (&gt;40%)"))))</f>
        <v/>
      </c>
      <c r="Y5612" s="23" t="str">
        <f aca="false">IF(AND(ISNUMBER(C5612),ISNUMBER(D5612)),D5612-C5612,"")</f>
        <v/>
      </c>
      <c r="Z5612" s="23" t="str">
        <f aca="false">IF(B5612="","",IF(MATCH(B5612,$B$2:$B$12000,0)=ROW()-1,1,0))</f>
        <v/>
      </c>
    </row>
    <row r="5613" customFormat="false" ht="15" hidden="false" customHeight="false" outlineLevel="0" collapsed="false">
      <c r="V5613" s="23" t="str">
        <f aca="false">IF(ISNUMBER(C5613),YEAR(C5613),"")</f>
        <v/>
      </c>
      <c r="W5613" s="23" t="str">
        <f aca="false">IF(ISNUMBER(C5613),MONTH(C5613),"")</f>
        <v/>
      </c>
      <c r="X5613" s="23" t="str">
        <f aca="false">IF(T5613="","",IF(T5613=0,"No discount",IF(T5613&lt;=0.2,"Low (1-20%)",IF(T5613&lt;=0.4,"Medium (21-40%)","High (&gt;40%)"))))</f>
        <v/>
      </c>
      <c r="Y5613" s="23" t="str">
        <f aca="false">IF(AND(ISNUMBER(C5613),ISNUMBER(D5613)),D5613-C5613,"")</f>
        <v/>
      </c>
      <c r="Z5613" s="23" t="str">
        <f aca="false">IF(B5613="","",IF(MATCH(B5613,$B$2:$B$12000,0)=ROW()-1,1,0))</f>
        <v/>
      </c>
    </row>
    <row r="5614" customFormat="false" ht="15" hidden="false" customHeight="false" outlineLevel="0" collapsed="false">
      <c r="V5614" s="23" t="str">
        <f aca="false">IF(ISNUMBER(C5614),YEAR(C5614),"")</f>
        <v/>
      </c>
      <c r="W5614" s="23" t="str">
        <f aca="false">IF(ISNUMBER(C5614),MONTH(C5614),"")</f>
        <v/>
      </c>
      <c r="X5614" s="23" t="str">
        <f aca="false">IF(T5614="","",IF(T5614=0,"No discount",IF(T5614&lt;=0.2,"Low (1-20%)",IF(T5614&lt;=0.4,"Medium (21-40%)","High (&gt;40%)"))))</f>
        <v/>
      </c>
      <c r="Y5614" s="23" t="str">
        <f aca="false">IF(AND(ISNUMBER(C5614),ISNUMBER(D5614)),D5614-C5614,"")</f>
        <v/>
      </c>
      <c r="Z5614" s="23" t="str">
        <f aca="false">IF(B5614="","",IF(MATCH(B5614,$B$2:$B$12000,0)=ROW()-1,1,0))</f>
        <v/>
      </c>
    </row>
    <row r="5615" customFormat="false" ht="15" hidden="false" customHeight="false" outlineLevel="0" collapsed="false">
      <c r="V5615" s="23" t="str">
        <f aca="false">IF(ISNUMBER(C5615),YEAR(C5615),"")</f>
        <v/>
      </c>
      <c r="W5615" s="23" t="str">
        <f aca="false">IF(ISNUMBER(C5615),MONTH(C5615),"")</f>
        <v/>
      </c>
      <c r="X5615" s="23" t="str">
        <f aca="false">IF(T5615="","",IF(T5615=0,"No discount",IF(T5615&lt;=0.2,"Low (1-20%)",IF(T5615&lt;=0.4,"Medium (21-40%)","High (&gt;40%)"))))</f>
        <v/>
      </c>
      <c r="Y5615" s="23" t="str">
        <f aca="false">IF(AND(ISNUMBER(C5615),ISNUMBER(D5615)),D5615-C5615,"")</f>
        <v/>
      </c>
      <c r="Z5615" s="23" t="str">
        <f aca="false">IF(B5615="","",IF(MATCH(B5615,$B$2:$B$12000,0)=ROW()-1,1,0))</f>
        <v/>
      </c>
    </row>
    <row r="5616" customFormat="false" ht="15" hidden="false" customHeight="false" outlineLevel="0" collapsed="false">
      <c r="V5616" s="23" t="str">
        <f aca="false">IF(ISNUMBER(C5616),YEAR(C5616),"")</f>
        <v/>
      </c>
      <c r="W5616" s="23" t="str">
        <f aca="false">IF(ISNUMBER(C5616),MONTH(C5616),"")</f>
        <v/>
      </c>
      <c r="X5616" s="23" t="str">
        <f aca="false">IF(T5616="","",IF(T5616=0,"No discount",IF(T5616&lt;=0.2,"Low (1-20%)",IF(T5616&lt;=0.4,"Medium (21-40%)","High (&gt;40%)"))))</f>
        <v/>
      </c>
      <c r="Y5616" s="23" t="str">
        <f aca="false">IF(AND(ISNUMBER(C5616),ISNUMBER(D5616)),D5616-C5616,"")</f>
        <v/>
      </c>
      <c r="Z5616" s="23" t="str">
        <f aca="false">IF(B5616="","",IF(MATCH(B5616,$B$2:$B$12000,0)=ROW()-1,1,0))</f>
        <v/>
      </c>
    </row>
    <row r="5617" customFormat="false" ht="15" hidden="false" customHeight="false" outlineLevel="0" collapsed="false">
      <c r="V5617" s="23" t="str">
        <f aca="false">IF(ISNUMBER(C5617),YEAR(C5617),"")</f>
        <v/>
      </c>
      <c r="W5617" s="23" t="str">
        <f aca="false">IF(ISNUMBER(C5617),MONTH(C5617),"")</f>
        <v/>
      </c>
      <c r="X5617" s="23" t="str">
        <f aca="false">IF(T5617="","",IF(T5617=0,"No discount",IF(T5617&lt;=0.2,"Low (1-20%)",IF(T5617&lt;=0.4,"Medium (21-40%)","High (&gt;40%)"))))</f>
        <v/>
      </c>
      <c r="Y5617" s="23" t="str">
        <f aca="false">IF(AND(ISNUMBER(C5617),ISNUMBER(D5617)),D5617-C5617,"")</f>
        <v/>
      </c>
      <c r="Z5617" s="23" t="str">
        <f aca="false">IF(B5617="","",IF(MATCH(B5617,$B$2:$B$12000,0)=ROW()-1,1,0))</f>
        <v/>
      </c>
    </row>
    <row r="5618" customFormat="false" ht="15" hidden="false" customHeight="false" outlineLevel="0" collapsed="false">
      <c r="V5618" s="23" t="str">
        <f aca="false">IF(ISNUMBER(C5618),YEAR(C5618),"")</f>
        <v/>
      </c>
      <c r="W5618" s="23" t="str">
        <f aca="false">IF(ISNUMBER(C5618),MONTH(C5618),"")</f>
        <v/>
      </c>
      <c r="X5618" s="23" t="str">
        <f aca="false">IF(T5618="","",IF(T5618=0,"No discount",IF(T5618&lt;=0.2,"Low (1-20%)",IF(T5618&lt;=0.4,"Medium (21-40%)","High (&gt;40%)"))))</f>
        <v/>
      </c>
      <c r="Y5618" s="23" t="str">
        <f aca="false">IF(AND(ISNUMBER(C5618),ISNUMBER(D5618)),D5618-C5618,"")</f>
        <v/>
      </c>
      <c r="Z5618" s="23" t="str">
        <f aca="false">IF(B5618="","",IF(MATCH(B5618,$B$2:$B$12000,0)=ROW()-1,1,0))</f>
        <v/>
      </c>
    </row>
    <row r="5619" customFormat="false" ht="15" hidden="false" customHeight="false" outlineLevel="0" collapsed="false">
      <c r="V5619" s="23" t="str">
        <f aca="false">IF(ISNUMBER(C5619),YEAR(C5619),"")</f>
        <v/>
      </c>
      <c r="W5619" s="23" t="str">
        <f aca="false">IF(ISNUMBER(C5619),MONTH(C5619),"")</f>
        <v/>
      </c>
      <c r="X5619" s="23" t="str">
        <f aca="false">IF(T5619="","",IF(T5619=0,"No discount",IF(T5619&lt;=0.2,"Low (1-20%)",IF(T5619&lt;=0.4,"Medium (21-40%)","High (&gt;40%)"))))</f>
        <v/>
      </c>
      <c r="Y5619" s="23" t="str">
        <f aca="false">IF(AND(ISNUMBER(C5619),ISNUMBER(D5619)),D5619-C5619,"")</f>
        <v/>
      </c>
      <c r="Z5619" s="23" t="str">
        <f aca="false">IF(B5619="","",IF(MATCH(B5619,$B$2:$B$12000,0)=ROW()-1,1,0))</f>
        <v/>
      </c>
    </row>
    <row r="5620" customFormat="false" ht="15" hidden="false" customHeight="false" outlineLevel="0" collapsed="false">
      <c r="V5620" s="23" t="str">
        <f aca="false">IF(ISNUMBER(C5620),YEAR(C5620),"")</f>
        <v/>
      </c>
      <c r="W5620" s="23" t="str">
        <f aca="false">IF(ISNUMBER(C5620),MONTH(C5620),"")</f>
        <v/>
      </c>
      <c r="X5620" s="23" t="str">
        <f aca="false">IF(T5620="","",IF(T5620=0,"No discount",IF(T5620&lt;=0.2,"Low (1-20%)",IF(T5620&lt;=0.4,"Medium (21-40%)","High (&gt;40%)"))))</f>
        <v/>
      </c>
      <c r="Y5620" s="23" t="str">
        <f aca="false">IF(AND(ISNUMBER(C5620),ISNUMBER(D5620)),D5620-C5620,"")</f>
        <v/>
      </c>
      <c r="Z5620" s="23" t="str">
        <f aca="false">IF(B5620="","",IF(MATCH(B5620,$B$2:$B$12000,0)=ROW()-1,1,0))</f>
        <v/>
      </c>
    </row>
    <row r="5621" customFormat="false" ht="15" hidden="false" customHeight="false" outlineLevel="0" collapsed="false">
      <c r="V5621" s="23" t="str">
        <f aca="false">IF(ISNUMBER(C5621),YEAR(C5621),"")</f>
        <v/>
      </c>
      <c r="W5621" s="23" t="str">
        <f aca="false">IF(ISNUMBER(C5621),MONTH(C5621),"")</f>
        <v/>
      </c>
      <c r="X5621" s="23" t="str">
        <f aca="false">IF(T5621="","",IF(T5621=0,"No discount",IF(T5621&lt;=0.2,"Low (1-20%)",IF(T5621&lt;=0.4,"Medium (21-40%)","High (&gt;40%)"))))</f>
        <v/>
      </c>
      <c r="Y5621" s="23" t="str">
        <f aca="false">IF(AND(ISNUMBER(C5621),ISNUMBER(D5621)),D5621-C5621,"")</f>
        <v/>
      </c>
      <c r="Z5621" s="23" t="str">
        <f aca="false">IF(B5621="","",IF(MATCH(B5621,$B$2:$B$12000,0)=ROW()-1,1,0))</f>
        <v/>
      </c>
    </row>
    <row r="5622" customFormat="false" ht="15" hidden="false" customHeight="false" outlineLevel="0" collapsed="false">
      <c r="V5622" s="23" t="str">
        <f aca="false">IF(ISNUMBER(C5622),YEAR(C5622),"")</f>
        <v/>
      </c>
      <c r="W5622" s="23" t="str">
        <f aca="false">IF(ISNUMBER(C5622),MONTH(C5622),"")</f>
        <v/>
      </c>
      <c r="X5622" s="23" t="str">
        <f aca="false">IF(T5622="","",IF(T5622=0,"No discount",IF(T5622&lt;=0.2,"Low (1-20%)",IF(T5622&lt;=0.4,"Medium (21-40%)","High (&gt;40%)"))))</f>
        <v/>
      </c>
      <c r="Y5622" s="23" t="str">
        <f aca="false">IF(AND(ISNUMBER(C5622),ISNUMBER(D5622)),D5622-C5622,"")</f>
        <v/>
      </c>
      <c r="Z5622" s="23" t="str">
        <f aca="false">IF(B5622="","",IF(MATCH(B5622,$B$2:$B$12000,0)=ROW()-1,1,0))</f>
        <v/>
      </c>
    </row>
    <row r="5623" customFormat="false" ht="15" hidden="false" customHeight="false" outlineLevel="0" collapsed="false">
      <c r="V5623" s="23" t="str">
        <f aca="false">IF(ISNUMBER(C5623),YEAR(C5623),"")</f>
        <v/>
      </c>
      <c r="W5623" s="23" t="str">
        <f aca="false">IF(ISNUMBER(C5623),MONTH(C5623),"")</f>
        <v/>
      </c>
      <c r="X5623" s="23" t="str">
        <f aca="false">IF(T5623="","",IF(T5623=0,"No discount",IF(T5623&lt;=0.2,"Low (1-20%)",IF(T5623&lt;=0.4,"Medium (21-40%)","High (&gt;40%)"))))</f>
        <v/>
      </c>
      <c r="Y5623" s="23" t="str">
        <f aca="false">IF(AND(ISNUMBER(C5623),ISNUMBER(D5623)),D5623-C5623,"")</f>
        <v/>
      </c>
      <c r="Z5623" s="23" t="str">
        <f aca="false">IF(B5623="","",IF(MATCH(B5623,$B$2:$B$12000,0)=ROW()-1,1,0))</f>
        <v/>
      </c>
    </row>
    <row r="5624" customFormat="false" ht="15" hidden="false" customHeight="false" outlineLevel="0" collapsed="false">
      <c r="V5624" s="23" t="str">
        <f aca="false">IF(ISNUMBER(C5624),YEAR(C5624),"")</f>
        <v/>
      </c>
      <c r="W5624" s="23" t="str">
        <f aca="false">IF(ISNUMBER(C5624),MONTH(C5624),"")</f>
        <v/>
      </c>
      <c r="X5624" s="23" t="str">
        <f aca="false">IF(T5624="","",IF(T5624=0,"No discount",IF(T5624&lt;=0.2,"Low (1-20%)",IF(T5624&lt;=0.4,"Medium (21-40%)","High (&gt;40%)"))))</f>
        <v/>
      </c>
      <c r="Y5624" s="23" t="str">
        <f aca="false">IF(AND(ISNUMBER(C5624),ISNUMBER(D5624)),D5624-C5624,"")</f>
        <v/>
      </c>
      <c r="Z5624" s="23" t="str">
        <f aca="false">IF(B5624="","",IF(MATCH(B5624,$B$2:$B$12000,0)=ROW()-1,1,0))</f>
        <v/>
      </c>
    </row>
    <row r="5625" customFormat="false" ht="15" hidden="false" customHeight="false" outlineLevel="0" collapsed="false">
      <c r="V5625" s="23" t="str">
        <f aca="false">IF(ISNUMBER(C5625),YEAR(C5625),"")</f>
        <v/>
      </c>
      <c r="W5625" s="23" t="str">
        <f aca="false">IF(ISNUMBER(C5625),MONTH(C5625),"")</f>
        <v/>
      </c>
      <c r="X5625" s="23" t="str">
        <f aca="false">IF(T5625="","",IF(T5625=0,"No discount",IF(T5625&lt;=0.2,"Low (1-20%)",IF(T5625&lt;=0.4,"Medium (21-40%)","High (&gt;40%)"))))</f>
        <v/>
      </c>
      <c r="Y5625" s="23" t="str">
        <f aca="false">IF(AND(ISNUMBER(C5625),ISNUMBER(D5625)),D5625-C5625,"")</f>
        <v/>
      </c>
      <c r="Z5625" s="23" t="str">
        <f aca="false">IF(B5625="","",IF(MATCH(B5625,$B$2:$B$12000,0)=ROW()-1,1,0))</f>
        <v/>
      </c>
    </row>
    <row r="5626" customFormat="false" ht="15" hidden="false" customHeight="false" outlineLevel="0" collapsed="false">
      <c r="V5626" s="23" t="str">
        <f aca="false">IF(ISNUMBER(C5626),YEAR(C5626),"")</f>
        <v/>
      </c>
      <c r="W5626" s="23" t="str">
        <f aca="false">IF(ISNUMBER(C5626),MONTH(C5626),"")</f>
        <v/>
      </c>
      <c r="X5626" s="23" t="str">
        <f aca="false">IF(T5626="","",IF(T5626=0,"No discount",IF(T5626&lt;=0.2,"Low (1-20%)",IF(T5626&lt;=0.4,"Medium (21-40%)","High (&gt;40%)"))))</f>
        <v/>
      </c>
      <c r="Y5626" s="23" t="str">
        <f aca="false">IF(AND(ISNUMBER(C5626),ISNUMBER(D5626)),D5626-C5626,"")</f>
        <v/>
      </c>
      <c r="Z5626" s="23" t="str">
        <f aca="false">IF(B5626="","",IF(MATCH(B5626,$B$2:$B$12000,0)=ROW()-1,1,0))</f>
        <v/>
      </c>
    </row>
    <row r="5627" customFormat="false" ht="15" hidden="false" customHeight="false" outlineLevel="0" collapsed="false">
      <c r="V5627" s="23" t="str">
        <f aca="false">IF(ISNUMBER(C5627),YEAR(C5627),"")</f>
        <v/>
      </c>
      <c r="W5627" s="23" t="str">
        <f aca="false">IF(ISNUMBER(C5627),MONTH(C5627),"")</f>
        <v/>
      </c>
      <c r="X5627" s="23" t="str">
        <f aca="false">IF(T5627="","",IF(T5627=0,"No discount",IF(T5627&lt;=0.2,"Low (1-20%)",IF(T5627&lt;=0.4,"Medium (21-40%)","High (&gt;40%)"))))</f>
        <v/>
      </c>
      <c r="Y5627" s="23" t="str">
        <f aca="false">IF(AND(ISNUMBER(C5627),ISNUMBER(D5627)),D5627-C5627,"")</f>
        <v/>
      </c>
      <c r="Z5627" s="23" t="str">
        <f aca="false">IF(B5627="","",IF(MATCH(B5627,$B$2:$B$12000,0)=ROW()-1,1,0))</f>
        <v/>
      </c>
    </row>
    <row r="5628" customFormat="false" ht="15" hidden="false" customHeight="false" outlineLevel="0" collapsed="false">
      <c r="V5628" s="23" t="str">
        <f aca="false">IF(ISNUMBER(C5628),YEAR(C5628),"")</f>
        <v/>
      </c>
      <c r="W5628" s="23" t="str">
        <f aca="false">IF(ISNUMBER(C5628),MONTH(C5628),"")</f>
        <v/>
      </c>
      <c r="X5628" s="23" t="str">
        <f aca="false">IF(T5628="","",IF(T5628=0,"No discount",IF(T5628&lt;=0.2,"Low (1-20%)",IF(T5628&lt;=0.4,"Medium (21-40%)","High (&gt;40%)"))))</f>
        <v/>
      </c>
      <c r="Y5628" s="23" t="str">
        <f aca="false">IF(AND(ISNUMBER(C5628),ISNUMBER(D5628)),D5628-C5628,"")</f>
        <v/>
      </c>
      <c r="Z5628" s="23" t="str">
        <f aca="false">IF(B5628="","",IF(MATCH(B5628,$B$2:$B$12000,0)=ROW()-1,1,0))</f>
        <v/>
      </c>
    </row>
    <row r="5629" customFormat="false" ht="15" hidden="false" customHeight="false" outlineLevel="0" collapsed="false">
      <c r="V5629" s="23" t="str">
        <f aca="false">IF(ISNUMBER(C5629),YEAR(C5629),"")</f>
        <v/>
      </c>
      <c r="W5629" s="23" t="str">
        <f aca="false">IF(ISNUMBER(C5629),MONTH(C5629),"")</f>
        <v/>
      </c>
      <c r="X5629" s="23" t="str">
        <f aca="false">IF(T5629="","",IF(T5629=0,"No discount",IF(T5629&lt;=0.2,"Low (1-20%)",IF(T5629&lt;=0.4,"Medium (21-40%)","High (&gt;40%)"))))</f>
        <v/>
      </c>
      <c r="Y5629" s="23" t="str">
        <f aca="false">IF(AND(ISNUMBER(C5629),ISNUMBER(D5629)),D5629-C5629,"")</f>
        <v/>
      </c>
      <c r="Z5629" s="23" t="str">
        <f aca="false">IF(B5629="","",IF(MATCH(B5629,$B$2:$B$12000,0)=ROW()-1,1,0))</f>
        <v/>
      </c>
    </row>
    <row r="5630" customFormat="false" ht="15" hidden="false" customHeight="false" outlineLevel="0" collapsed="false">
      <c r="V5630" s="23" t="str">
        <f aca="false">IF(ISNUMBER(C5630),YEAR(C5630),"")</f>
        <v/>
      </c>
      <c r="W5630" s="23" t="str">
        <f aca="false">IF(ISNUMBER(C5630),MONTH(C5630),"")</f>
        <v/>
      </c>
      <c r="X5630" s="23" t="str">
        <f aca="false">IF(T5630="","",IF(T5630=0,"No discount",IF(T5630&lt;=0.2,"Low (1-20%)",IF(T5630&lt;=0.4,"Medium (21-40%)","High (&gt;40%)"))))</f>
        <v/>
      </c>
      <c r="Y5630" s="23" t="str">
        <f aca="false">IF(AND(ISNUMBER(C5630),ISNUMBER(D5630)),D5630-C5630,"")</f>
        <v/>
      </c>
      <c r="Z5630" s="23" t="str">
        <f aca="false">IF(B5630="","",IF(MATCH(B5630,$B$2:$B$12000,0)=ROW()-1,1,0))</f>
        <v/>
      </c>
    </row>
    <row r="5631" customFormat="false" ht="15" hidden="false" customHeight="false" outlineLevel="0" collapsed="false">
      <c r="V5631" s="23" t="str">
        <f aca="false">IF(ISNUMBER(C5631),YEAR(C5631),"")</f>
        <v/>
      </c>
      <c r="W5631" s="23" t="str">
        <f aca="false">IF(ISNUMBER(C5631),MONTH(C5631),"")</f>
        <v/>
      </c>
      <c r="X5631" s="23" t="str">
        <f aca="false">IF(T5631="","",IF(T5631=0,"No discount",IF(T5631&lt;=0.2,"Low (1-20%)",IF(T5631&lt;=0.4,"Medium (21-40%)","High (&gt;40%)"))))</f>
        <v/>
      </c>
      <c r="Y5631" s="23" t="str">
        <f aca="false">IF(AND(ISNUMBER(C5631),ISNUMBER(D5631)),D5631-C5631,"")</f>
        <v/>
      </c>
      <c r="Z5631" s="23" t="str">
        <f aca="false">IF(B5631="","",IF(MATCH(B5631,$B$2:$B$12000,0)=ROW()-1,1,0))</f>
        <v/>
      </c>
    </row>
    <row r="5632" customFormat="false" ht="15" hidden="false" customHeight="false" outlineLevel="0" collapsed="false">
      <c r="V5632" s="23" t="str">
        <f aca="false">IF(ISNUMBER(C5632),YEAR(C5632),"")</f>
        <v/>
      </c>
      <c r="W5632" s="23" t="str">
        <f aca="false">IF(ISNUMBER(C5632),MONTH(C5632),"")</f>
        <v/>
      </c>
      <c r="X5632" s="23" t="str">
        <f aca="false">IF(T5632="","",IF(T5632=0,"No discount",IF(T5632&lt;=0.2,"Low (1-20%)",IF(T5632&lt;=0.4,"Medium (21-40%)","High (&gt;40%)"))))</f>
        <v/>
      </c>
      <c r="Y5632" s="23" t="str">
        <f aca="false">IF(AND(ISNUMBER(C5632),ISNUMBER(D5632)),D5632-C5632,"")</f>
        <v/>
      </c>
      <c r="Z5632" s="23" t="str">
        <f aca="false">IF(B5632="","",IF(MATCH(B5632,$B$2:$B$12000,0)=ROW()-1,1,0))</f>
        <v/>
      </c>
    </row>
    <row r="5633" customFormat="false" ht="15" hidden="false" customHeight="false" outlineLevel="0" collapsed="false">
      <c r="V5633" s="23" t="str">
        <f aca="false">IF(ISNUMBER(C5633),YEAR(C5633),"")</f>
        <v/>
      </c>
      <c r="W5633" s="23" t="str">
        <f aca="false">IF(ISNUMBER(C5633),MONTH(C5633),"")</f>
        <v/>
      </c>
      <c r="X5633" s="23" t="str">
        <f aca="false">IF(T5633="","",IF(T5633=0,"No discount",IF(T5633&lt;=0.2,"Low (1-20%)",IF(T5633&lt;=0.4,"Medium (21-40%)","High (&gt;40%)"))))</f>
        <v/>
      </c>
      <c r="Y5633" s="23" t="str">
        <f aca="false">IF(AND(ISNUMBER(C5633),ISNUMBER(D5633)),D5633-C5633,"")</f>
        <v/>
      </c>
      <c r="Z5633" s="23" t="str">
        <f aca="false">IF(B5633="","",IF(MATCH(B5633,$B$2:$B$12000,0)=ROW()-1,1,0))</f>
        <v/>
      </c>
    </row>
    <row r="5634" customFormat="false" ht="15" hidden="false" customHeight="false" outlineLevel="0" collapsed="false">
      <c r="V5634" s="23" t="str">
        <f aca="false">IF(ISNUMBER(C5634),YEAR(C5634),"")</f>
        <v/>
      </c>
      <c r="W5634" s="23" t="str">
        <f aca="false">IF(ISNUMBER(C5634),MONTH(C5634),"")</f>
        <v/>
      </c>
      <c r="X5634" s="23" t="str">
        <f aca="false">IF(T5634="","",IF(T5634=0,"No discount",IF(T5634&lt;=0.2,"Low (1-20%)",IF(T5634&lt;=0.4,"Medium (21-40%)","High (&gt;40%)"))))</f>
        <v/>
      </c>
      <c r="Y5634" s="23" t="str">
        <f aca="false">IF(AND(ISNUMBER(C5634),ISNUMBER(D5634)),D5634-C5634,"")</f>
        <v/>
      </c>
      <c r="Z5634" s="23" t="str">
        <f aca="false">IF(B5634="","",IF(MATCH(B5634,$B$2:$B$12000,0)=ROW()-1,1,0))</f>
        <v/>
      </c>
    </row>
    <row r="5635" customFormat="false" ht="15" hidden="false" customHeight="false" outlineLevel="0" collapsed="false">
      <c r="V5635" s="23" t="str">
        <f aca="false">IF(ISNUMBER(C5635),YEAR(C5635),"")</f>
        <v/>
      </c>
      <c r="W5635" s="23" t="str">
        <f aca="false">IF(ISNUMBER(C5635),MONTH(C5635),"")</f>
        <v/>
      </c>
      <c r="X5635" s="23" t="str">
        <f aca="false">IF(T5635="","",IF(T5635=0,"No discount",IF(T5635&lt;=0.2,"Low (1-20%)",IF(T5635&lt;=0.4,"Medium (21-40%)","High (&gt;40%)"))))</f>
        <v/>
      </c>
      <c r="Y5635" s="23" t="str">
        <f aca="false">IF(AND(ISNUMBER(C5635),ISNUMBER(D5635)),D5635-C5635,"")</f>
        <v/>
      </c>
      <c r="Z5635" s="23" t="str">
        <f aca="false">IF(B5635="","",IF(MATCH(B5635,$B$2:$B$12000,0)=ROW()-1,1,0))</f>
        <v/>
      </c>
    </row>
    <row r="5636" customFormat="false" ht="15" hidden="false" customHeight="false" outlineLevel="0" collapsed="false">
      <c r="V5636" s="23" t="str">
        <f aca="false">IF(ISNUMBER(C5636),YEAR(C5636),"")</f>
        <v/>
      </c>
      <c r="W5636" s="23" t="str">
        <f aca="false">IF(ISNUMBER(C5636),MONTH(C5636),"")</f>
        <v/>
      </c>
      <c r="X5636" s="23" t="str">
        <f aca="false">IF(T5636="","",IF(T5636=0,"No discount",IF(T5636&lt;=0.2,"Low (1-20%)",IF(T5636&lt;=0.4,"Medium (21-40%)","High (&gt;40%)"))))</f>
        <v/>
      </c>
      <c r="Y5636" s="23" t="str">
        <f aca="false">IF(AND(ISNUMBER(C5636),ISNUMBER(D5636)),D5636-C5636,"")</f>
        <v/>
      </c>
      <c r="Z5636" s="23" t="str">
        <f aca="false">IF(B5636="","",IF(MATCH(B5636,$B$2:$B$12000,0)=ROW()-1,1,0))</f>
        <v/>
      </c>
    </row>
    <row r="5637" customFormat="false" ht="15" hidden="false" customHeight="false" outlineLevel="0" collapsed="false">
      <c r="V5637" s="23" t="str">
        <f aca="false">IF(ISNUMBER(C5637),YEAR(C5637),"")</f>
        <v/>
      </c>
      <c r="W5637" s="23" t="str">
        <f aca="false">IF(ISNUMBER(C5637),MONTH(C5637),"")</f>
        <v/>
      </c>
      <c r="X5637" s="23" t="str">
        <f aca="false">IF(T5637="","",IF(T5637=0,"No discount",IF(T5637&lt;=0.2,"Low (1-20%)",IF(T5637&lt;=0.4,"Medium (21-40%)","High (&gt;40%)"))))</f>
        <v/>
      </c>
      <c r="Y5637" s="23" t="str">
        <f aca="false">IF(AND(ISNUMBER(C5637),ISNUMBER(D5637)),D5637-C5637,"")</f>
        <v/>
      </c>
      <c r="Z5637" s="23" t="str">
        <f aca="false">IF(B5637="","",IF(MATCH(B5637,$B$2:$B$12000,0)=ROW()-1,1,0))</f>
        <v/>
      </c>
    </row>
    <row r="5638" customFormat="false" ht="15" hidden="false" customHeight="false" outlineLevel="0" collapsed="false">
      <c r="V5638" s="23" t="str">
        <f aca="false">IF(ISNUMBER(C5638),YEAR(C5638),"")</f>
        <v/>
      </c>
      <c r="W5638" s="23" t="str">
        <f aca="false">IF(ISNUMBER(C5638),MONTH(C5638),"")</f>
        <v/>
      </c>
      <c r="X5638" s="23" t="str">
        <f aca="false">IF(T5638="","",IF(T5638=0,"No discount",IF(T5638&lt;=0.2,"Low (1-20%)",IF(T5638&lt;=0.4,"Medium (21-40%)","High (&gt;40%)"))))</f>
        <v/>
      </c>
      <c r="Y5638" s="23" t="str">
        <f aca="false">IF(AND(ISNUMBER(C5638),ISNUMBER(D5638)),D5638-C5638,"")</f>
        <v/>
      </c>
      <c r="Z5638" s="23" t="str">
        <f aca="false">IF(B5638="","",IF(MATCH(B5638,$B$2:$B$12000,0)=ROW()-1,1,0))</f>
        <v/>
      </c>
    </row>
    <row r="5639" customFormat="false" ht="15" hidden="false" customHeight="false" outlineLevel="0" collapsed="false">
      <c r="V5639" s="23" t="str">
        <f aca="false">IF(ISNUMBER(C5639),YEAR(C5639),"")</f>
        <v/>
      </c>
      <c r="W5639" s="23" t="str">
        <f aca="false">IF(ISNUMBER(C5639),MONTH(C5639),"")</f>
        <v/>
      </c>
      <c r="X5639" s="23" t="str">
        <f aca="false">IF(T5639="","",IF(T5639=0,"No discount",IF(T5639&lt;=0.2,"Low (1-20%)",IF(T5639&lt;=0.4,"Medium (21-40%)","High (&gt;40%)"))))</f>
        <v/>
      </c>
      <c r="Y5639" s="23" t="str">
        <f aca="false">IF(AND(ISNUMBER(C5639),ISNUMBER(D5639)),D5639-C5639,"")</f>
        <v/>
      </c>
      <c r="Z5639" s="23" t="str">
        <f aca="false">IF(B5639="","",IF(MATCH(B5639,$B$2:$B$12000,0)=ROW()-1,1,0))</f>
        <v/>
      </c>
    </row>
    <row r="5640" customFormat="false" ht="15" hidden="false" customHeight="false" outlineLevel="0" collapsed="false">
      <c r="V5640" s="23" t="str">
        <f aca="false">IF(ISNUMBER(C5640),YEAR(C5640),"")</f>
        <v/>
      </c>
      <c r="W5640" s="23" t="str">
        <f aca="false">IF(ISNUMBER(C5640),MONTH(C5640),"")</f>
        <v/>
      </c>
      <c r="X5640" s="23" t="str">
        <f aca="false">IF(T5640="","",IF(T5640=0,"No discount",IF(T5640&lt;=0.2,"Low (1-20%)",IF(T5640&lt;=0.4,"Medium (21-40%)","High (&gt;40%)"))))</f>
        <v/>
      </c>
      <c r="Y5640" s="23" t="str">
        <f aca="false">IF(AND(ISNUMBER(C5640),ISNUMBER(D5640)),D5640-C5640,"")</f>
        <v/>
      </c>
      <c r="Z5640" s="23" t="str">
        <f aca="false">IF(B5640="","",IF(MATCH(B5640,$B$2:$B$12000,0)=ROW()-1,1,0))</f>
        <v/>
      </c>
    </row>
    <row r="5641" customFormat="false" ht="15" hidden="false" customHeight="false" outlineLevel="0" collapsed="false">
      <c r="V5641" s="23" t="str">
        <f aca="false">IF(ISNUMBER(C5641),YEAR(C5641),"")</f>
        <v/>
      </c>
      <c r="W5641" s="23" t="str">
        <f aca="false">IF(ISNUMBER(C5641),MONTH(C5641),"")</f>
        <v/>
      </c>
      <c r="X5641" s="23" t="str">
        <f aca="false">IF(T5641="","",IF(T5641=0,"No discount",IF(T5641&lt;=0.2,"Low (1-20%)",IF(T5641&lt;=0.4,"Medium (21-40%)","High (&gt;40%)"))))</f>
        <v/>
      </c>
      <c r="Y5641" s="23" t="str">
        <f aca="false">IF(AND(ISNUMBER(C5641),ISNUMBER(D5641)),D5641-C5641,"")</f>
        <v/>
      </c>
      <c r="Z5641" s="23" t="str">
        <f aca="false">IF(B5641="","",IF(MATCH(B5641,$B$2:$B$12000,0)=ROW()-1,1,0))</f>
        <v/>
      </c>
    </row>
    <row r="5642" customFormat="false" ht="15" hidden="false" customHeight="false" outlineLevel="0" collapsed="false">
      <c r="V5642" s="23" t="str">
        <f aca="false">IF(ISNUMBER(C5642),YEAR(C5642),"")</f>
        <v/>
      </c>
      <c r="W5642" s="23" t="str">
        <f aca="false">IF(ISNUMBER(C5642),MONTH(C5642),"")</f>
        <v/>
      </c>
      <c r="X5642" s="23" t="str">
        <f aca="false">IF(T5642="","",IF(T5642=0,"No discount",IF(T5642&lt;=0.2,"Low (1-20%)",IF(T5642&lt;=0.4,"Medium (21-40%)","High (&gt;40%)"))))</f>
        <v/>
      </c>
      <c r="Y5642" s="23" t="str">
        <f aca="false">IF(AND(ISNUMBER(C5642),ISNUMBER(D5642)),D5642-C5642,"")</f>
        <v/>
      </c>
      <c r="Z5642" s="23" t="str">
        <f aca="false">IF(B5642="","",IF(MATCH(B5642,$B$2:$B$12000,0)=ROW()-1,1,0))</f>
        <v/>
      </c>
    </row>
    <row r="5643" customFormat="false" ht="15" hidden="false" customHeight="false" outlineLevel="0" collapsed="false">
      <c r="V5643" s="23" t="str">
        <f aca="false">IF(ISNUMBER(C5643),YEAR(C5643),"")</f>
        <v/>
      </c>
      <c r="W5643" s="23" t="str">
        <f aca="false">IF(ISNUMBER(C5643),MONTH(C5643),"")</f>
        <v/>
      </c>
      <c r="X5643" s="23" t="str">
        <f aca="false">IF(T5643="","",IF(T5643=0,"No discount",IF(T5643&lt;=0.2,"Low (1-20%)",IF(T5643&lt;=0.4,"Medium (21-40%)","High (&gt;40%)"))))</f>
        <v/>
      </c>
      <c r="Y5643" s="23" t="str">
        <f aca="false">IF(AND(ISNUMBER(C5643),ISNUMBER(D5643)),D5643-C5643,"")</f>
        <v/>
      </c>
      <c r="Z5643" s="23" t="str">
        <f aca="false">IF(B5643="","",IF(MATCH(B5643,$B$2:$B$12000,0)=ROW()-1,1,0))</f>
        <v/>
      </c>
    </row>
    <row r="5644" customFormat="false" ht="15" hidden="false" customHeight="false" outlineLevel="0" collapsed="false">
      <c r="V5644" s="23" t="str">
        <f aca="false">IF(ISNUMBER(C5644),YEAR(C5644),"")</f>
        <v/>
      </c>
      <c r="W5644" s="23" t="str">
        <f aca="false">IF(ISNUMBER(C5644),MONTH(C5644),"")</f>
        <v/>
      </c>
      <c r="X5644" s="23" t="str">
        <f aca="false">IF(T5644="","",IF(T5644=0,"No discount",IF(T5644&lt;=0.2,"Low (1-20%)",IF(T5644&lt;=0.4,"Medium (21-40%)","High (&gt;40%)"))))</f>
        <v/>
      </c>
      <c r="Y5644" s="23" t="str">
        <f aca="false">IF(AND(ISNUMBER(C5644),ISNUMBER(D5644)),D5644-C5644,"")</f>
        <v/>
      </c>
      <c r="Z5644" s="23" t="str">
        <f aca="false">IF(B5644="","",IF(MATCH(B5644,$B$2:$B$12000,0)=ROW()-1,1,0))</f>
        <v/>
      </c>
    </row>
    <row r="5645" customFormat="false" ht="15" hidden="false" customHeight="false" outlineLevel="0" collapsed="false">
      <c r="V5645" s="23" t="str">
        <f aca="false">IF(ISNUMBER(C5645),YEAR(C5645),"")</f>
        <v/>
      </c>
      <c r="W5645" s="23" t="str">
        <f aca="false">IF(ISNUMBER(C5645),MONTH(C5645),"")</f>
        <v/>
      </c>
      <c r="X5645" s="23" t="str">
        <f aca="false">IF(T5645="","",IF(T5645=0,"No discount",IF(T5645&lt;=0.2,"Low (1-20%)",IF(T5645&lt;=0.4,"Medium (21-40%)","High (&gt;40%)"))))</f>
        <v/>
      </c>
      <c r="Y5645" s="23" t="str">
        <f aca="false">IF(AND(ISNUMBER(C5645),ISNUMBER(D5645)),D5645-C5645,"")</f>
        <v/>
      </c>
      <c r="Z5645" s="23" t="str">
        <f aca="false">IF(B5645="","",IF(MATCH(B5645,$B$2:$B$12000,0)=ROW()-1,1,0))</f>
        <v/>
      </c>
    </row>
    <row r="5646" customFormat="false" ht="15" hidden="false" customHeight="false" outlineLevel="0" collapsed="false">
      <c r="V5646" s="23" t="str">
        <f aca="false">IF(ISNUMBER(C5646),YEAR(C5646),"")</f>
        <v/>
      </c>
      <c r="W5646" s="23" t="str">
        <f aca="false">IF(ISNUMBER(C5646),MONTH(C5646),"")</f>
        <v/>
      </c>
      <c r="X5646" s="23" t="str">
        <f aca="false">IF(T5646="","",IF(T5646=0,"No discount",IF(T5646&lt;=0.2,"Low (1-20%)",IF(T5646&lt;=0.4,"Medium (21-40%)","High (&gt;40%)"))))</f>
        <v/>
      </c>
      <c r="Y5646" s="23" t="str">
        <f aca="false">IF(AND(ISNUMBER(C5646),ISNUMBER(D5646)),D5646-C5646,"")</f>
        <v/>
      </c>
      <c r="Z5646" s="23" t="str">
        <f aca="false">IF(B5646="","",IF(MATCH(B5646,$B$2:$B$12000,0)=ROW()-1,1,0))</f>
        <v/>
      </c>
    </row>
    <row r="5647" customFormat="false" ht="15" hidden="false" customHeight="false" outlineLevel="0" collapsed="false">
      <c r="V5647" s="23" t="str">
        <f aca="false">IF(ISNUMBER(C5647),YEAR(C5647),"")</f>
        <v/>
      </c>
      <c r="W5647" s="23" t="str">
        <f aca="false">IF(ISNUMBER(C5647),MONTH(C5647),"")</f>
        <v/>
      </c>
      <c r="X5647" s="23" t="str">
        <f aca="false">IF(T5647="","",IF(T5647=0,"No discount",IF(T5647&lt;=0.2,"Low (1-20%)",IF(T5647&lt;=0.4,"Medium (21-40%)","High (&gt;40%)"))))</f>
        <v/>
      </c>
      <c r="Y5647" s="23" t="str">
        <f aca="false">IF(AND(ISNUMBER(C5647),ISNUMBER(D5647)),D5647-C5647,"")</f>
        <v/>
      </c>
      <c r="Z5647" s="23" t="str">
        <f aca="false">IF(B5647="","",IF(MATCH(B5647,$B$2:$B$12000,0)=ROW()-1,1,0))</f>
        <v/>
      </c>
    </row>
    <row r="5648" customFormat="false" ht="15" hidden="false" customHeight="false" outlineLevel="0" collapsed="false">
      <c r="V5648" s="23" t="str">
        <f aca="false">IF(ISNUMBER(C5648),YEAR(C5648),"")</f>
        <v/>
      </c>
      <c r="W5648" s="23" t="str">
        <f aca="false">IF(ISNUMBER(C5648),MONTH(C5648),"")</f>
        <v/>
      </c>
      <c r="X5648" s="23" t="str">
        <f aca="false">IF(T5648="","",IF(T5648=0,"No discount",IF(T5648&lt;=0.2,"Low (1-20%)",IF(T5648&lt;=0.4,"Medium (21-40%)","High (&gt;40%)"))))</f>
        <v/>
      </c>
      <c r="Y5648" s="23" t="str">
        <f aca="false">IF(AND(ISNUMBER(C5648),ISNUMBER(D5648)),D5648-C5648,"")</f>
        <v/>
      </c>
      <c r="Z5648" s="23" t="str">
        <f aca="false">IF(B5648="","",IF(MATCH(B5648,$B$2:$B$12000,0)=ROW()-1,1,0))</f>
        <v/>
      </c>
    </row>
    <row r="5649" customFormat="false" ht="15" hidden="false" customHeight="false" outlineLevel="0" collapsed="false">
      <c r="V5649" s="23" t="str">
        <f aca="false">IF(ISNUMBER(C5649),YEAR(C5649),"")</f>
        <v/>
      </c>
      <c r="W5649" s="23" t="str">
        <f aca="false">IF(ISNUMBER(C5649),MONTH(C5649),"")</f>
        <v/>
      </c>
      <c r="X5649" s="23" t="str">
        <f aca="false">IF(T5649="","",IF(T5649=0,"No discount",IF(T5649&lt;=0.2,"Low (1-20%)",IF(T5649&lt;=0.4,"Medium (21-40%)","High (&gt;40%)"))))</f>
        <v/>
      </c>
      <c r="Y5649" s="23" t="str">
        <f aca="false">IF(AND(ISNUMBER(C5649),ISNUMBER(D5649)),D5649-C5649,"")</f>
        <v/>
      </c>
      <c r="Z5649" s="23" t="str">
        <f aca="false">IF(B5649="","",IF(MATCH(B5649,$B$2:$B$12000,0)=ROW()-1,1,0))</f>
        <v/>
      </c>
    </row>
    <row r="5650" customFormat="false" ht="15" hidden="false" customHeight="false" outlineLevel="0" collapsed="false">
      <c r="V5650" s="23" t="str">
        <f aca="false">IF(ISNUMBER(C5650),YEAR(C5650),"")</f>
        <v/>
      </c>
      <c r="W5650" s="23" t="str">
        <f aca="false">IF(ISNUMBER(C5650),MONTH(C5650),"")</f>
        <v/>
      </c>
      <c r="X5650" s="23" t="str">
        <f aca="false">IF(T5650="","",IF(T5650=0,"No discount",IF(T5650&lt;=0.2,"Low (1-20%)",IF(T5650&lt;=0.4,"Medium (21-40%)","High (&gt;40%)"))))</f>
        <v/>
      </c>
      <c r="Y5650" s="23" t="str">
        <f aca="false">IF(AND(ISNUMBER(C5650),ISNUMBER(D5650)),D5650-C5650,"")</f>
        <v/>
      </c>
      <c r="Z5650" s="23" t="str">
        <f aca="false">IF(B5650="","",IF(MATCH(B5650,$B$2:$B$12000,0)=ROW()-1,1,0))</f>
        <v/>
      </c>
    </row>
    <row r="5651" customFormat="false" ht="15" hidden="false" customHeight="false" outlineLevel="0" collapsed="false">
      <c r="V5651" s="23" t="str">
        <f aca="false">IF(ISNUMBER(C5651),YEAR(C5651),"")</f>
        <v/>
      </c>
      <c r="W5651" s="23" t="str">
        <f aca="false">IF(ISNUMBER(C5651),MONTH(C5651),"")</f>
        <v/>
      </c>
      <c r="X5651" s="23" t="str">
        <f aca="false">IF(T5651="","",IF(T5651=0,"No discount",IF(T5651&lt;=0.2,"Low (1-20%)",IF(T5651&lt;=0.4,"Medium (21-40%)","High (&gt;40%)"))))</f>
        <v/>
      </c>
      <c r="Y5651" s="23" t="str">
        <f aca="false">IF(AND(ISNUMBER(C5651),ISNUMBER(D5651)),D5651-C5651,"")</f>
        <v/>
      </c>
      <c r="Z5651" s="23" t="str">
        <f aca="false">IF(B5651="","",IF(MATCH(B5651,$B$2:$B$12000,0)=ROW()-1,1,0))</f>
        <v/>
      </c>
    </row>
    <row r="5652" customFormat="false" ht="15" hidden="false" customHeight="false" outlineLevel="0" collapsed="false">
      <c r="V5652" s="23" t="str">
        <f aca="false">IF(ISNUMBER(C5652),YEAR(C5652),"")</f>
        <v/>
      </c>
      <c r="W5652" s="23" t="str">
        <f aca="false">IF(ISNUMBER(C5652),MONTH(C5652),"")</f>
        <v/>
      </c>
      <c r="X5652" s="23" t="str">
        <f aca="false">IF(T5652="","",IF(T5652=0,"No discount",IF(T5652&lt;=0.2,"Low (1-20%)",IF(T5652&lt;=0.4,"Medium (21-40%)","High (&gt;40%)"))))</f>
        <v/>
      </c>
      <c r="Y5652" s="23" t="str">
        <f aca="false">IF(AND(ISNUMBER(C5652),ISNUMBER(D5652)),D5652-C5652,"")</f>
        <v/>
      </c>
      <c r="Z5652" s="23" t="str">
        <f aca="false">IF(B5652="","",IF(MATCH(B5652,$B$2:$B$12000,0)=ROW()-1,1,0))</f>
        <v/>
      </c>
    </row>
    <row r="5653" customFormat="false" ht="15" hidden="false" customHeight="false" outlineLevel="0" collapsed="false">
      <c r="V5653" s="23" t="str">
        <f aca="false">IF(ISNUMBER(C5653),YEAR(C5653),"")</f>
        <v/>
      </c>
      <c r="W5653" s="23" t="str">
        <f aca="false">IF(ISNUMBER(C5653),MONTH(C5653),"")</f>
        <v/>
      </c>
      <c r="X5653" s="23" t="str">
        <f aca="false">IF(T5653="","",IF(T5653=0,"No discount",IF(T5653&lt;=0.2,"Low (1-20%)",IF(T5653&lt;=0.4,"Medium (21-40%)","High (&gt;40%)"))))</f>
        <v/>
      </c>
      <c r="Y5653" s="23" t="str">
        <f aca="false">IF(AND(ISNUMBER(C5653),ISNUMBER(D5653)),D5653-C5653,"")</f>
        <v/>
      </c>
      <c r="Z5653" s="23" t="str">
        <f aca="false">IF(B5653="","",IF(MATCH(B5653,$B$2:$B$12000,0)=ROW()-1,1,0))</f>
        <v/>
      </c>
    </row>
    <row r="5654" customFormat="false" ht="15" hidden="false" customHeight="false" outlineLevel="0" collapsed="false">
      <c r="V5654" s="23" t="str">
        <f aca="false">IF(ISNUMBER(C5654),YEAR(C5654),"")</f>
        <v/>
      </c>
      <c r="W5654" s="23" t="str">
        <f aca="false">IF(ISNUMBER(C5654),MONTH(C5654),"")</f>
        <v/>
      </c>
      <c r="X5654" s="23" t="str">
        <f aca="false">IF(T5654="","",IF(T5654=0,"No discount",IF(T5654&lt;=0.2,"Low (1-20%)",IF(T5654&lt;=0.4,"Medium (21-40%)","High (&gt;40%)"))))</f>
        <v/>
      </c>
      <c r="Y5654" s="23" t="str">
        <f aca="false">IF(AND(ISNUMBER(C5654),ISNUMBER(D5654)),D5654-C5654,"")</f>
        <v/>
      </c>
      <c r="Z5654" s="23" t="str">
        <f aca="false">IF(B5654="","",IF(MATCH(B5654,$B$2:$B$12000,0)=ROW()-1,1,0))</f>
        <v/>
      </c>
    </row>
    <row r="5655" customFormat="false" ht="15" hidden="false" customHeight="false" outlineLevel="0" collapsed="false">
      <c r="V5655" s="23" t="str">
        <f aca="false">IF(ISNUMBER(C5655),YEAR(C5655),"")</f>
        <v/>
      </c>
      <c r="W5655" s="23" t="str">
        <f aca="false">IF(ISNUMBER(C5655),MONTH(C5655),"")</f>
        <v/>
      </c>
      <c r="X5655" s="23" t="str">
        <f aca="false">IF(T5655="","",IF(T5655=0,"No discount",IF(T5655&lt;=0.2,"Low (1-20%)",IF(T5655&lt;=0.4,"Medium (21-40%)","High (&gt;40%)"))))</f>
        <v/>
      </c>
      <c r="Y5655" s="23" t="str">
        <f aca="false">IF(AND(ISNUMBER(C5655),ISNUMBER(D5655)),D5655-C5655,"")</f>
        <v/>
      </c>
      <c r="Z5655" s="23" t="str">
        <f aca="false">IF(B5655="","",IF(MATCH(B5655,$B$2:$B$12000,0)=ROW()-1,1,0))</f>
        <v/>
      </c>
    </row>
    <row r="5656" customFormat="false" ht="15" hidden="false" customHeight="false" outlineLevel="0" collapsed="false">
      <c r="V5656" s="23" t="str">
        <f aca="false">IF(ISNUMBER(C5656),YEAR(C5656),"")</f>
        <v/>
      </c>
      <c r="W5656" s="23" t="str">
        <f aca="false">IF(ISNUMBER(C5656),MONTH(C5656),"")</f>
        <v/>
      </c>
      <c r="X5656" s="23" t="str">
        <f aca="false">IF(T5656="","",IF(T5656=0,"No discount",IF(T5656&lt;=0.2,"Low (1-20%)",IF(T5656&lt;=0.4,"Medium (21-40%)","High (&gt;40%)"))))</f>
        <v/>
      </c>
      <c r="Y5656" s="23" t="str">
        <f aca="false">IF(AND(ISNUMBER(C5656),ISNUMBER(D5656)),D5656-C5656,"")</f>
        <v/>
      </c>
      <c r="Z5656" s="23" t="str">
        <f aca="false">IF(B5656="","",IF(MATCH(B5656,$B$2:$B$12000,0)=ROW()-1,1,0))</f>
        <v/>
      </c>
    </row>
    <row r="5657" customFormat="false" ht="15" hidden="false" customHeight="false" outlineLevel="0" collapsed="false">
      <c r="V5657" s="23" t="str">
        <f aca="false">IF(ISNUMBER(C5657),YEAR(C5657),"")</f>
        <v/>
      </c>
      <c r="W5657" s="23" t="str">
        <f aca="false">IF(ISNUMBER(C5657),MONTH(C5657),"")</f>
        <v/>
      </c>
      <c r="X5657" s="23" t="str">
        <f aca="false">IF(T5657="","",IF(T5657=0,"No discount",IF(T5657&lt;=0.2,"Low (1-20%)",IF(T5657&lt;=0.4,"Medium (21-40%)","High (&gt;40%)"))))</f>
        <v/>
      </c>
      <c r="Y5657" s="23" t="str">
        <f aca="false">IF(AND(ISNUMBER(C5657),ISNUMBER(D5657)),D5657-C5657,"")</f>
        <v/>
      </c>
      <c r="Z5657" s="23" t="str">
        <f aca="false">IF(B5657="","",IF(MATCH(B5657,$B$2:$B$12000,0)=ROW()-1,1,0))</f>
        <v/>
      </c>
    </row>
    <row r="5658" customFormat="false" ht="15" hidden="false" customHeight="false" outlineLevel="0" collapsed="false">
      <c r="V5658" s="23" t="str">
        <f aca="false">IF(ISNUMBER(C5658),YEAR(C5658),"")</f>
        <v/>
      </c>
      <c r="W5658" s="23" t="str">
        <f aca="false">IF(ISNUMBER(C5658),MONTH(C5658),"")</f>
        <v/>
      </c>
      <c r="X5658" s="23" t="str">
        <f aca="false">IF(T5658="","",IF(T5658=0,"No discount",IF(T5658&lt;=0.2,"Low (1-20%)",IF(T5658&lt;=0.4,"Medium (21-40%)","High (&gt;40%)"))))</f>
        <v/>
      </c>
      <c r="Y5658" s="23" t="str">
        <f aca="false">IF(AND(ISNUMBER(C5658),ISNUMBER(D5658)),D5658-C5658,"")</f>
        <v/>
      </c>
      <c r="Z5658" s="23" t="str">
        <f aca="false">IF(B5658="","",IF(MATCH(B5658,$B$2:$B$12000,0)=ROW()-1,1,0))</f>
        <v/>
      </c>
    </row>
    <row r="5659" customFormat="false" ht="15" hidden="false" customHeight="false" outlineLevel="0" collapsed="false">
      <c r="V5659" s="23" t="str">
        <f aca="false">IF(ISNUMBER(C5659),YEAR(C5659),"")</f>
        <v/>
      </c>
      <c r="W5659" s="23" t="str">
        <f aca="false">IF(ISNUMBER(C5659),MONTH(C5659),"")</f>
        <v/>
      </c>
      <c r="X5659" s="23" t="str">
        <f aca="false">IF(T5659="","",IF(T5659=0,"No discount",IF(T5659&lt;=0.2,"Low (1-20%)",IF(T5659&lt;=0.4,"Medium (21-40%)","High (&gt;40%)"))))</f>
        <v/>
      </c>
      <c r="Y5659" s="23" t="str">
        <f aca="false">IF(AND(ISNUMBER(C5659),ISNUMBER(D5659)),D5659-C5659,"")</f>
        <v/>
      </c>
      <c r="Z5659" s="23" t="str">
        <f aca="false">IF(B5659="","",IF(MATCH(B5659,$B$2:$B$12000,0)=ROW()-1,1,0))</f>
        <v/>
      </c>
    </row>
    <row r="5660" customFormat="false" ht="15" hidden="false" customHeight="false" outlineLevel="0" collapsed="false">
      <c r="V5660" s="23" t="str">
        <f aca="false">IF(ISNUMBER(C5660),YEAR(C5660),"")</f>
        <v/>
      </c>
      <c r="W5660" s="23" t="str">
        <f aca="false">IF(ISNUMBER(C5660),MONTH(C5660),"")</f>
        <v/>
      </c>
      <c r="X5660" s="23" t="str">
        <f aca="false">IF(T5660="","",IF(T5660=0,"No discount",IF(T5660&lt;=0.2,"Low (1-20%)",IF(T5660&lt;=0.4,"Medium (21-40%)","High (&gt;40%)"))))</f>
        <v/>
      </c>
      <c r="Y5660" s="23" t="str">
        <f aca="false">IF(AND(ISNUMBER(C5660),ISNUMBER(D5660)),D5660-C5660,"")</f>
        <v/>
      </c>
      <c r="Z5660" s="23" t="str">
        <f aca="false">IF(B5660="","",IF(MATCH(B5660,$B$2:$B$12000,0)=ROW()-1,1,0))</f>
        <v/>
      </c>
    </row>
    <row r="5661" customFormat="false" ht="15" hidden="false" customHeight="false" outlineLevel="0" collapsed="false">
      <c r="V5661" s="23" t="str">
        <f aca="false">IF(ISNUMBER(C5661),YEAR(C5661),"")</f>
        <v/>
      </c>
      <c r="W5661" s="23" t="str">
        <f aca="false">IF(ISNUMBER(C5661),MONTH(C5661),"")</f>
        <v/>
      </c>
      <c r="X5661" s="23" t="str">
        <f aca="false">IF(T5661="","",IF(T5661=0,"No discount",IF(T5661&lt;=0.2,"Low (1-20%)",IF(T5661&lt;=0.4,"Medium (21-40%)","High (&gt;40%)"))))</f>
        <v/>
      </c>
      <c r="Y5661" s="23" t="str">
        <f aca="false">IF(AND(ISNUMBER(C5661),ISNUMBER(D5661)),D5661-C5661,"")</f>
        <v/>
      </c>
      <c r="Z5661" s="23" t="str">
        <f aca="false">IF(B5661="","",IF(MATCH(B5661,$B$2:$B$12000,0)=ROW()-1,1,0))</f>
        <v/>
      </c>
    </row>
    <row r="5662" customFormat="false" ht="15" hidden="false" customHeight="false" outlineLevel="0" collapsed="false">
      <c r="V5662" s="23" t="str">
        <f aca="false">IF(ISNUMBER(C5662),YEAR(C5662),"")</f>
        <v/>
      </c>
      <c r="W5662" s="23" t="str">
        <f aca="false">IF(ISNUMBER(C5662),MONTH(C5662),"")</f>
        <v/>
      </c>
      <c r="X5662" s="23" t="str">
        <f aca="false">IF(T5662="","",IF(T5662=0,"No discount",IF(T5662&lt;=0.2,"Low (1-20%)",IF(T5662&lt;=0.4,"Medium (21-40%)","High (&gt;40%)"))))</f>
        <v/>
      </c>
      <c r="Y5662" s="23" t="str">
        <f aca="false">IF(AND(ISNUMBER(C5662),ISNUMBER(D5662)),D5662-C5662,"")</f>
        <v/>
      </c>
      <c r="Z5662" s="23" t="str">
        <f aca="false">IF(B5662="","",IF(MATCH(B5662,$B$2:$B$12000,0)=ROW()-1,1,0))</f>
        <v/>
      </c>
    </row>
    <row r="5663" customFormat="false" ht="15" hidden="false" customHeight="false" outlineLevel="0" collapsed="false">
      <c r="V5663" s="23" t="str">
        <f aca="false">IF(ISNUMBER(C5663),YEAR(C5663),"")</f>
        <v/>
      </c>
      <c r="W5663" s="23" t="str">
        <f aca="false">IF(ISNUMBER(C5663),MONTH(C5663),"")</f>
        <v/>
      </c>
      <c r="X5663" s="23" t="str">
        <f aca="false">IF(T5663="","",IF(T5663=0,"No discount",IF(T5663&lt;=0.2,"Low (1-20%)",IF(T5663&lt;=0.4,"Medium (21-40%)","High (&gt;40%)"))))</f>
        <v/>
      </c>
      <c r="Y5663" s="23" t="str">
        <f aca="false">IF(AND(ISNUMBER(C5663),ISNUMBER(D5663)),D5663-C5663,"")</f>
        <v/>
      </c>
      <c r="Z5663" s="23" t="str">
        <f aca="false">IF(B5663="","",IF(MATCH(B5663,$B$2:$B$12000,0)=ROW()-1,1,0))</f>
        <v/>
      </c>
    </row>
    <row r="5664" customFormat="false" ht="15" hidden="false" customHeight="false" outlineLevel="0" collapsed="false">
      <c r="V5664" s="23" t="str">
        <f aca="false">IF(ISNUMBER(C5664),YEAR(C5664),"")</f>
        <v/>
      </c>
      <c r="W5664" s="23" t="str">
        <f aca="false">IF(ISNUMBER(C5664),MONTH(C5664),"")</f>
        <v/>
      </c>
      <c r="X5664" s="23" t="str">
        <f aca="false">IF(T5664="","",IF(T5664=0,"No discount",IF(T5664&lt;=0.2,"Low (1-20%)",IF(T5664&lt;=0.4,"Medium (21-40%)","High (&gt;40%)"))))</f>
        <v/>
      </c>
      <c r="Y5664" s="23" t="str">
        <f aca="false">IF(AND(ISNUMBER(C5664),ISNUMBER(D5664)),D5664-C5664,"")</f>
        <v/>
      </c>
      <c r="Z5664" s="23" t="str">
        <f aca="false">IF(B5664="","",IF(MATCH(B5664,$B$2:$B$12000,0)=ROW()-1,1,0))</f>
        <v/>
      </c>
    </row>
    <row r="5665" customFormat="false" ht="15" hidden="false" customHeight="false" outlineLevel="0" collapsed="false">
      <c r="V5665" s="23" t="str">
        <f aca="false">IF(ISNUMBER(C5665),YEAR(C5665),"")</f>
        <v/>
      </c>
      <c r="W5665" s="23" t="str">
        <f aca="false">IF(ISNUMBER(C5665),MONTH(C5665),"")</f>
        <v/>
      </c>
      <c r="X5665" s="23" t="str">
        <f aca="false">IF(T5665="","",IF(T5665=0,"No discount",IF(T5665&lt;=0.2,"Low (1-20%)",IF(T5665&lt;=0.4,"Medium (21-40%)","High (&gt;40%)"))))</f>
        <v/>
      </c>
      <c r="Y5665" s="23" t="str">
        <f aca="false">IF(AND(ISNUMBER(C5665),ISNUMBER(D5665)),D5665-C5665,"")</f>
        <v/>
      </c>
      <c r="Z5665" s="23" t="str">
        <f aca="false">IF(B5665="","",IF(MATCH(B5665,$B$2:$B$12000,0)=ROW()-1,1,0))</f>
        <v/>
      </c>
    </row>
    <row r="5666" customFormat="false" ht="15" hidden="false" customHeight="false" outlineLevel="0" collapsed="false">
      <c r="V5666" s="23" t="str">
        <f aca="false">IF(ISNUMBER(C5666),YEAR(C5666),"")</f>
        <v/>
      </c>
      <c r="W5666" s="23" t="str">
        <f aca="false">IF(ISNUMBER(C5666),MONTH(C5666),"")</f>
        <v/>
      </c>
      <c r="X5666" s="23" t="str">
        <f aca="false">IF(T5666="","",IF(T5666=0,"No discount",IF(T5666&lt;=0.2,"Low (1-20%)",IF(T5666&lt;=0.4,"Medium (21-40%)","High (&gt;40%)"))))</f>
        <v/>
      </c>
      <c r="Y5666" s="23" t="str">
        <f aca="false">IF(AND(ISNUMBER(C5666),ISNUMBER(D5666)),D5666-C5666,"")</f>
        <v/>
      </c>
      <c r="Z5666" s="23" t="str">
        <f aca="false">IF(B5666="","",IF(MATCH(B5666,$B$2:$B$12000,0)=ROW()-1,1,0))</f>
        <v/>
      </c>
    </row>
    <row r="5667" customFormat="false" ht="15" hidden="false" customHeight="false" outlineLevel="0" collapsed="false">
      <c r="V5667" s="23" t="str">
        <f aca="false">IF(ISNUMBER(C5667),YEAR(C5667),"")</f>
        <v/>
      </c>
      <c r="W5667" s="23" t="str">
        <f aca="false">IF(ISNUMBER(C5667),MONTH(C5667),"")</f>
        <v/>
      </c>
      <c r="X5667" s="23" t="str">
        <f aca="false">IF(T5667="","",IF(T5667=0,"No discount",IF(T5667&lt;=0.2,"Low (1-20%)",IF(T5667&lt;=0.4,"Medium (21-40%)","High (&gt;40%)"))))</f>
        <v/>
      </c>
      <c r="Y5667" s="23" t="str">
        <f aca="false">IF(AND(ISNUMBER(C5667),ISNUMBER(D5667)),D5667-C5667,"")</f>
        <v/>
      </c>
      <c r="Z5667" s="23" t="str">
        <f aca="false">IF(B5667="","",IF(MATCH(B5667,$B$2:$B$12000,0)=ROW()-1,1,0))</f>
        <v/>
      </c>
    </row>
    <row r="5668" customFormat="false" ht="15" hidden="false" customHeight="false" outlineLevel="0" collapsed="false">
      <c r="V5668" s="23" t="str">
        <f aca="false">IF(ISNUMBER(C5668),YEAR(C5668),"")</f>
        <v/>
      </c>
      <c r="W5668" s="23" t="str">
        <f aca="false">IF(ISNUMBER(C5668),MONTH(C5668),"")</f>
        <v/>
      </c>
      <c r="X5668" s="23" t="str">
        <f aca="false">IF(T5668="","",IF(T5668=0,"No discount",IF(T5668&lt;=0.2,"Low (1-20%)",IF(T5668&lt;=0.4,"Medium (21-40%)","High (&gt;40%)"))))</f>
        <v/>
      </c>
      <c r="Y5668" s="23" t="str">
        <f aca="false">IF(AND(ISNUMBER(C5668),ISNUMBER(D5668)),D5668-C5668,"")</f>
        <v/>
      </c>
      <c r="Z5668" s="23" t="str">
        <f aca="false">IF(B5668="","",IF(MATCH(B5668,$B$2:$B$12000,0)=ROW()-1,1,0))</f>
        <v/>
      </c>
    </row>
    <row r="5669" customFormat="false" ht="15" hidden="false" customHeight="false" outlineLevel="0" collapsed="false">
      <c r="V5669" s="23" t="str">
        <f aca="false">IF(ISNUMBER(C5669),YEAR(C5669),"")</f>
        <v/>
      </c>
      <c r="W5669" s="23" t="str">
        <f aca="false">IF(ISNUMBER(C5669),MONTH(C5669),"")</f>
        <v/>
      </c>
      <c r="X5669" s="23" t="str">
        <f aca="false">IF(T5669="","",IF(T5669=0,"No discount",IF(T5669&lt;=0.2,"Low (1-20%)",IF(T5669&lt;=0.4,"Medium (21-40%)","High (&gt;40%)"))))</f>
        <v/>
      </c>
      <c r="Y5669" s="23" t="str">
        <f aca="false">IF(AND(ISNUMBER(C5669),ISNUMBER(D5669)),D5669-C5669,"")</f>
        <v/>
      </c>
      <c r="Z5669" s="23" t="str">
        <f aca="false">IF(B5669="","",IF(MATCH(B5669,$B$2:$B$12000,0)=ROW()-1,1,0))</f>
        <v/>
      </c>
    </row>
    <row r="5670" customFormat="false" ht="15" hidden="false" customHeight="false" outlineLevel="0" collapsed="false">
      <c r="V5670" s="23" t="str">
        <f aca="false">IF(ISNUMBER(C5670),YEAR(C5670),"")</f>
        <v/>
      </c>
      <c r="W5670" s="23" t="str">
        <f aca="false">IF(ISNUMBER(C5670),MONTH(C5670),"")</f>
        <v/>
      </c>
      <c r="X5670" s="23" t="str">
        <f aca="false">IF(T5670="","",IF(T5670=0,"No discount",IF(T5670&lt;=0.2,"Low (1-20%)",IF(T5670&lt;=0.4,"Medium (21-40%)","High (&gt;40%)"))))</f>
        <v/>
      </c>
      <c r="Y5670" s="23" t="str">
        <f aca="false">IF(AND(ISNUMBER(C5670),ISNUMBER(D5670)),D5670-C5670,"")</f>
        <v/>
      </c>
      <c r="Z5670" s="23" t="str">
        <f aca="false">IF(B5670="","",IF(MATCH(B5670,$B$2:$B$12000,0)=ROW()-1,1,0))</f>
        <v/>
      </c>
    </row>
    <row r="5671" customFormat="false" ht="15" hidden="false" customHeight="false" outlineLevel="0" collapsed="false">
      <c r="V5671" s="23" t="str">
        <f aca="false">IF(ISNUMBER(C5671),YEAR(C5671),"")</f>
        <v/>
      </c>
      <c r="W5671" s="23" t="str">
        <f aca="false">IF(ISNUMBER(C5671),MONTH(C5671),"")</f>
        <v/>
      </c>
      <c r="X5671" s="23" t="str">
        <f aca="false">IF(T5671="","",IF(T5671=0,"No discount",IF(T5671&lt;=0.2,"Low (1-20%)",IF(T5671&lt;=0.4,"Medium (21-40%)","High (&gt;40%)"))))</f>
        <v/>
      </c>
      <c r="Y5671" s="23" t="str">
        <f aca="false">IF(AND(ISNUMBER(C5671),ISNUMBER(D5671)),D5671-C5671,"")</f>
        <v/>
      </c>
      <c r="Z5671" s="23" t="str">
        <f aca="false">IF(B5671="","",IF(MATCH(B5671,$B$2:$B$12000,0)=ROW()-1,1,0))</f>
        <v/>
      </c>
    </row>
    <row r="5672" customFormat="false" ht="15" hidden="false" customHeight="false" outlineLevel="0" collapsed="false">
      <c r="V5672" s="23" t="str">
        <f aca="false">IF(ISNUMBER(C5672),YEAR(C5672),"")</f>
        <v/>
      </c>
      <c r="W5672" s="23" t="str">
        <f aca="false">IF(ISNUMBER(C5672),MONTH(C5672),"")</f>
        <v/>
      </c>
      <c r="X5672" s="23" t="str">
        <f aca="false">IF(T5672="","",IF(T5672=0,"No discount",IF(T5672&lt;=0.2,"Low (1-20%)",IF(T5672&lt;=0.4,"Medium (21-40%)","High (&gt;40%)"))))</f>
        <v/>
      </c>
      <c r="Y5672" s="23" t="str">
        <f aca="false">IF(AND(ISNUMBER(C5672),ISNUMBER(D5672)),D5672-C5672,"")</f>
        <v/>
      </c>
      <c r="Z5672" s="23" t="str">
        <f aca="false">IF(B5672="","",IF(MATCH(B5672,$B$2:$B$12000,0)=ROW()-1,1,0))</f>
        <v/>
      </c>
    </row>
    <row r="5673" customFormat="false" ht="15" hidden="false" customHeight="false" outlineLevel="0" collapsed="false">
      <c r="V5673" s="23" t="str">
        <f aca="false">IF(ISNUMBER(C5673),YEAR(C5673),"")</f>
        <v/>
      </c>
      <c r="W5673" s="23" t="str">
        <f aca="false">IF(ISNUMBER(C5673),MONTH(C5673),"")</f>
        <v/>
      </c>
      <c r="X5673" s="23" t="str">
        <f aca="false">IF(T5673="","",IF(T5673=0,"No discount",IF(T5673&lt;=0.2,"Low (1-20%)",IF(T5673&lt;=0.4,"Medium (21-40%)","High (&gt;40%)"))))</f>
        <v/>
      </c>
      <c r="Y5673" s="23" t="str">
        <f aca="false">IF(AND(ISNUMBER(C5673),ISNUMBER(D5673)),D5673-C5673,"")</f>
        <v/>
      </c>
      <c r="Z5673" s="23" t="str">
        <f aca="false">IF(B5673="","",IF(MATCH(B5673,$B$2:$B$12000,0)=ROW()-1,1,0))</f>
        <v/>
      </c>
    </row>
    <row r="5674" customFormat="false" ht="15" hidden="false" customHeight="false" outlineLevel="0" collapsed="false">
      <c r="V5674" s="23" t="str">
        <f aca="false">IF(ISNUMBER(C5674),YEAR(C5674),"")</f>
        <v/>
      </c>
      <c r="W5674" s="23" t="str">
        <f aca="false">IF(ISNUMBER(C5674),MONTH(C5674),"")</f>
        <v/>
      </c>
      <c r="X5674" s="23" t="str">
        <f aca="false">IF(T5674="","",IF(T5674=0,"No discount",IF(T5674&lt;=0.2,"Low (1-20%)",IF(T5674&lt;=0.4,"Medium (21-40%)","High (&gt;40%)"))))</f>
        <v/>
      </c>
      <c r="Y5674" s="23" t="str">
        <f aca="false">IF(AND(ISNUMBER(C5674),ISNUMBER(D5674)),D5674-C5674,"")</f>
        <v/>
      </c>
      <c r="Z5674" s="23" t="str">
        <f aca="false">IF(B5674="","",IF(MATCH(B5674,$B$2:$B$12000,0)=ROW()-1,1,0))</f>
        <v/>
      </c>
    </row>
    <row r="5675" customFormat="false" ht="15" hidden="false" customHeight="false" outlineLevel="0" collapsed="false">
      <c r="V5675" s="23" t="str">
        <f aca="false">IF(ISNUMBER(C5675),YEAR(C5675),"")</f>
        <v/>
      </c>
      <c r="W5675" s="23" t="str">
        <f aca="false">IF(ISNUMBER(C5675),MONTH(C5675),"")</f>
        <v/>
      </c>
      <c r="X5675" s="23" t="str">
        <f aca="false">IF(T5675="","",IF(T5675=0,"No discount",IF(T5675&lt;=0.2,"Low (1-20%)",IF(T5675&lt;=0.4,"Medium (21-40%)","High (&gt;40%)"))))</f>
        <v/>
      </c>
      <c r="Y5675" s="23" t="str">
        <f aca="false">IF(AND(ISNUMBER(C5675),ISNUMBER(D5675)),D5675-C5675,"")</f>
        <v/>
      </c>
      <c r="Z5675" s="23" t="str">
        <f aca="false">IF(B5675="","",IF(MATCH(B5675,$B$2:$B$12000,0)=ROW()-1,1,0))</f>
        <v/>
      </c>
    </row>
    <row r="5676" customFormat="false" ht="15" hidden="false" customHeight="false" outlineLevel="0" collapsed="false">
      <c r="V5676" s="23" t="str">
        <f aca="false">IF(ISNUMBER(C5676),YEAR(C5676),"")</f>
        <v/>
      </c>
      <c r="W5676" s="23" t="str">
        <f aca="false">IF(ISNUMBER(C5676),MONTH(C5676),"")</f>
        <v/>
      </c>
      <c r="X5676" s="23" t="str">
        <f aca="false">IF(T5676="","",IF(T5676=0,"No discount",IF(T5676&lt;=0.2,"Low (1-20%)",IF(T5676&lt;=0.4,"Medium (21-40%)","High (&gt;40%)"))))</f>
        <v/>
      </c>
      <c r="Y5676" s="23" t="str">
        <f aca="false">IF(AND(ISNUMBER(C5676),ISNUMBER(D5676)),D5676-C5676,"")</f>
        <v/>
      </c>
      <c r="Z5676" s="23" t="str">
        <f aca="false">IF(B5676="","",IF(MATCH(B5676,$B$2:$B$12000,0)=ROW()-1,1,0))</f>
        <v/>
      </c>
    </row>
    <row r="5677" customFormat="false" ht="15" hidden="false" customHeight="false" outlineLevel="0" collapsed="false">
      <c r="V5677" s="23" t="str">
        <f aca="false">IF(ISNUMBER(C5677),YEAR(C5677),"")</f>
        <v/>
      </c>
      <c r="W5677" s="23" t="str">
        <f aca="false">IF(ISNUMBER(C5677),MONTH(C5677),"")</f>
        <v/>
      </c>
      <c r="X5677" s="23" t="str">
        <f aca="false">IF(T5677="","",IF(T5677=0,"No discount",IF(T5677&lt;=0.2,"Low (1-20%)",IF(T5677&lt;=0.4,"Medium (21-40%)","High (&gt;40%)"))))</f>
        <v/>
      </c>
      <c r="Y5677" s="23" t="str">
        <f aca="false">IF(AND(ISNUMBER(C5677),ISNUMBER(D5677)),D5677-C5677,"")</f>
        <v/>
      </c>
      <c r="Z5677" s="23" t="str">
        <f aca="false">IF(B5677="","",IF(MATCH(B5677,$B$2:$B$12000,0)=ROW()-1,1,0))</f>
        <v/>
      </c>
    </row>
    <row r="5678" customFormat="false" ht="15" hidden="false" customHeight="false" outlineLevel="0" collapsed="false">
      <c r="V5678" s="23" t="str">
        <f aca="false">IF(ISNUMBER(C5678),YEAR(C5678),"")</f>
        <v/>
      </c>
      <c r="W5678" s="23" t="str">
        <f aca="false">IF(ISNUMBER(C5678),MONTH(C5678),"")</f>
        <v/>
      </c>
      <c r="X5678" s="23" t="str">
        <f aca="false">IF(T5678="","",IF(T5678=0,"No discount",IF(T5678&lt;=0.2,"Low (1-20%)",IF(T5678&lt;=0.4,"Medium (21-40%)","High (&gt;40%)"))))</f>
        <v/>
      </c>
      <c r="Y5678" s="23" t="str">
        <f aca="false">IF(AND(ISNUMBER(C5678),ISNUMBER(D5678)),D5678-C5678,"")</f>
        <v/>
      </c>
      <c r="Z5678" s="23" t="str">
        <f aca="false">IF(B5678="","",IF(MATCH(B5678,$B$2:$B$12000,0)=ROW()-1,1,0))</f>
        <v/>
      </c>
    </row>
    <row r="5679" customFormat="false" ht="15" hidden="false" customHeight="false" outlineLevel="0" collapsed="false">
      <c r="V5679" s="23" t="str">
        <f aca="false">IF(ISNUMBER(C5679),YEAR(C5679),"")</f>
        <v/>
      </c>
      <c r="W5679" s="23" t="str">
        <f aca="false">IF(ISNUMBER(C5679),MONTH(C5679),"")</f>
        <v/>
      </c>
      <c r="X5679" s="23" t="str">
        <f aca="false">IF(T5679="","",IF(T5679=0,"No discount",IF(T5679&lt;=0.2,"Low (1-20%)",IF(T5679&lt;=0.4,"Medium (21-40%)","High (&gt;40%)"))))</f>
        <v/>
      </c>
      <c r="Y5679" s="23" t="str">
        <f aca="false">IF(AND(ISNUMBER(C5679),ISNUMBER(D5679)),D5679-C5679,"")</f>
        <v/>
      </c>
      <c r="Z5679" s="23" t="str">
        <f aca="false">IF(B5679="","",IF(MATCH(B5679,$B$2:$B$12000,0)=ROW()-1,1,0))</f>
        <v/>
      </c>
    </row>
    <row r="5680" customFormat="false" ht="15" hidden="false" customHeight="false" outlineLevel="0" collapsed="false">
      <c r="V5680" s="23" t="str">
        <f aca="false">IF(ISNUMBER(C5680),YEAR(C5680),"")</f>
        <v/>
      </c>
      <c r="W5680" s="23" t="str">
        <f aca="false">IF(ISNUMBER(C5680),MONTH(C5680),"")</f>
        <v/>
      </c>
      <c r="X5680" s="23" t="str">
        <f aca="false">IF(T5680="","",IF(T5680=0,"No discount",IF(T5680&lt;=0.2,"Low (1-20%)",IF(T5680&lt;=0.4,"Medium (21-40%)","High (&gt;40%)"))))</f>
        <v/>
      </c>
      <c r="Y5680" s="23" t="str">
        <f aca="false">IF(AND(ISNUMBER(C5680),ISNUMBER(D5680)),D5680-C5680,"")</f>
        <v/>
      </c>
      <c r="Z5680" s="23" t="str">
        <f aca="false">IF(B5680="","",IF(MATCH(B5680,$B$2:$B$12000,0)=ROW()-1,1,0))</f>
        <v/>
      </c>
    </row>
    <row r="5681" customFormat="false" ht="15" hidden="false" customHeight="false" outlineLevel="0" collapsed="false">
      <c r="V5681" s="23" t="str">
        <f aca="false">IF(ISNUMBER(C5681),YEAR(C5681),"")</f>
        <v/>
      </c>
      <c r="W5681" s="23" t="str">
        <f aca="false">IF(ISNUMBER(C5681),MONTH(C5681),"")</f>
        <v/>
      </c>
      <c r="X5681" s="23" t="str">
        <f aca="false">IF(T5681="","",IF(T5681=0,"No discount",IF(T5681&lt;=0.2,"Low (1-20%)",IF(T5681&lt;=0.4,"Medium (21-40%)","High (&gt;40%)"))))</f>
        <v/>
      </c>
      <c r="Y5681" s="23" t="str">
        <f aca="false">IF(AND(ISNUMBER(C5681),ISNUMBER(D5681)),D5681-C5681,"")</f>
        <v/>
      </c>
      <c r="Z5681" s="23" t="str">
        <f aca="false">IF(B5681="","",IF(MATCH(B5681,$B$2:$B$12000,0)=ROW()-1,1,0))</f>
        <v/>
      </c>
    </row>
    <row r="5682" customFormat="false" ht="15" hidden="false" customHeight="false" outlineLevel="0" collapsed="false">
      <c r="V5682" s="23" t="str">
        <f aca="false">IF(ISNUMBER(C5682),YEAR(C5682),"")</f>
        <v/>
      </c>
      <c r="W5682" s="23" t="str">
        <f aca="false">IF(ISNUMBER(C5682),MONTH(C5682),"")</f>
        <v/>
      </c>
      <c r="X5682" s="23" t="str">
        <f aca="false">IF(T5682="","",IF(T5682=0,"No discount",IF(T5682&lt;=0.2,"Low (1-20%)",IF(T5682&lt;=0.4,"Medium (21-40%)","High (&gt;40%)"))))</f>
        <v/>
      </c>
      <c r="Y5682" s="23" t="str">
        <f aca="false">IF(AND(ISNUMBER(C5682),ISNUMBER(D5682)),D5682-C5682,"")</f>
        <v/>
      </c>
      <c r="Z5682" s="23" t="str">
        <f aca="false">IF(B5682="","",IF(MATCH(B5682,$B$2:$B$12000,0)=ROW()-1,1,0))</f>
        <v/>
      </c>
    </row>
    <row r="5683" customFormat="false" ht="15" hidden="false" customHeight="false" outlineLevel="0" collapsed="false">
      <c r="V5683" s="23" t="str">
        <f aca="false">IF(ISNUMBER(C5683),YEAR(C5683),"")</f>
        <v/>
      </c>
      <c r="W5683" s="23" t="str">
        <f aca="false">IF(ISNUMBER(C5683),MONTH(C5683),"")</f>
        <v/>
      </c>
      <c r="X5683" s="23" t="str">
        <f aca="false">IF(T5683="","",IF(T5683=0,"No discount",IF(T5683&lt;=0.2,"Low (1-20%)",IF(T5683&lt;=0.4,"Medium (21-40%)","High (&gt;40%)"))))</f>
        <v/>
      </c>
      <c r="Y5683" s="23" t="str">
        <f aca="false">IF(AND(ISNUMBER(C5683),ISNUMBER(D5683)),D5683-C5683,"")</f>
        <v/>
      </c>
      <c r="Z5683" s="23" t="str">
        <f aca="false">IF(B5683="","",IF(MATCH(B5683,$B$2:$B$12000,0)=ROW()-1,1,0))</f>
        <v/>
      </c>
    </row>
    <row r="5684" customFormat="false" ht="15" hidden="false" customHeight="false" outlineLevel="0" collapsed="false">
      <c r="V5684" s="23" t="str">
        <f aca="false">IF(ISNUMBER(C5684),YEAR(C5684),"")</f>
        <v/>
      </c>
      <c r="W5684" s="23" t="str">
        <f aca="false">IF(ISNUMBER(C5684),MONTH(C5684),"")</f>
        <v/>
      </c>
      <c r="X5684" s="23" t="str">
        <f aca="false">IF(T5684="","",IF(T5684=0,"No discount",IF(T5684&lt;=0.2,"Low (1-20%)",IF(T5684&lt;=0.4,"Medium (21-40%)","High (&gt;40%)"))))</f>
        <v/>
      </c>
      <c r="Y5684" s="23" t="str">
        <f aca="false">IF(AND(ISNUMBER(C5684),ISNUMBER(D5684)),D5684-C5684,"")</f>
        <v/>
      </c>
      <c r="Z5684" s="23" t="str">
        <f aca="false">IF(B5684="","",IF(MATCH(B5684,$B$2:$B$12000,0)=ROW()-1,1,0))</f>
        <v/>
      </c>
    </row>
    <row r="5685" customFormat="false" ht="15" hidden="false" customHeight="false" outlineLevel="0" collapsed="false">
      <c r="V5685" s="23" t="str">
        <f aca="false">IF(ISNUMBER(C5685),YEAR(C5685),"")</f>
        <v/>
      </c>
      <c r="W5685" s="23" t="str">
        <f aca="false">IF(ISNUMBER(C5685),MONTH(C5685),"")</f>
        <v/>
      </c>
      <c r="X5685" s="23" t="str">
        <f aca="false">IF(T5685="","",IF(T5685=0,"No discount",IF(T5685&lt;=0.2,"Low (1-20%)",IF(T5685&lt;=0.4,"Medium (21-40%)","High (&gt;40%)"))))</f>
        <v/>
      </c>
      <c r="Y5685" s="23" t="str">
        <f aca="false">IF(AND(ISNUMBER(C5685),ISNUMBER(D5685)),D5685-C5685,"")</f>
        <v/>
      </c>
      <c r="Z5685" s="23" t="str">
        <f aca="false">IF(B5685="","",IF(MATCH(B5685,$B$2:$B$12000,0)=ROW()-1,1,0))</f>
        <v/>
      </c>
    </row>
    <row r="5686" customFormat="false" ht="15" hidden="false" customHeight="false" outlineLevel="0" collapsed="false">
      <c r="V5686" s="23" t="str">
        <f aca="false">IF(ISNUMBER(C5686),YEAR(C5686),"")</f>
        <v/>
      </c>
      <c r="W5686" s="23" t="str">
        <f aca="false">IF(ISNUMBER(C5686),MONTH(C5686),"")</f>
        <v/>
      </c>
      <c r="X5686" s="23" t="str">
        <f aca="false">IF(T5686="","",IF(T5686=0,"No discount",IF(T5686&lt;=0.2,"Low (1-20%)",IF(T5686&lt;=0.4,"Medium (21-40%)","High (&gt;40%)"))))</f>
        <v/>
      </c>
      <c r="Y5686" s="23" t="str">
        <f aca="false">IF(AND(ISNUMBER(C5686),ISNUMBER(D5686)),D5686-C5686,"")</f>
        <v/>
      </c>
      <c r="Z5686" s="23" t="str">
        <f aca="false">IF(B5686="","",IF(MATCH(B5686,$B$2:$B$12000,0)=ROW()-1,1,0))</f>
        <v/>
      </c>
    </row>
    <row r="5687" customFormat="false" ht="15" hidden="false" customHeight="false" outlineLevel="0" collapsed="false">
      <c r="V5687" s="23" t="str">
        <f aca="false">IF(ISNUMBER(C5687),YEAR(C5687),"")</f>
        <v/>
      </c>
      <c r="W5687" s="23" t="str">
        <f aca="false">IF(ISNUMBER(C5687),MONTH(C5687),"")</f>
        <v/>
      </c>
      <c r="X5687" s="23" t="str">
        <f aca="false">IF(T5687="","",IF(T5687=0,"No discount",IF(T5687&lt;=0.2,"Low (1-20%)",IF(T5687&lt;=0.4,"Medium (21-40%)","High (&gt;40%)"))))</f>
        <v/>
      </c>
      <c r="Y5687" s="23" t="str">
        <f aca="false">IF(AND(ISNUMBER(C5687),ISNUMBER(D5687)),D5687-C5687,"")</f>
        <v/>
      </c>
      <c r="Z5687" s="23" t="str">
        <f aca="false">IF(B5687="","",IF(MATCH(B5687,$B$2:$B$12000,0)=ROW()-1,1,0))</f>
        <v/>
      </c>
    </row>
    <row r="5688" customFormat="false" ht="15" hidden="false" customHeight="false" outlineLevel="0" collapsed="false">
      <c r="V5688" s="23" t="str">
        <f aca="false">IF(ISNUMBER(C5688),YEAR(C5688),"")</f>
        <v/>
      </c>
      <c r="W5688" s="23" t="str">
        <f aca="false">IF(ISNUMBER(C5688),MONTH(C5688),"")</f>
        <v/>
      </c>
      <c r="X5688" s="23" t="str">
        <f aca="false">IF(T5688="","",IF(T5688=0,"No discount",IF(T5688&lt;=0.2,"Low (1-20%)",IF(T5688&lt;=0.4,"Medium (21-40%)","High (&gt;40%)"))))</f>
        <v/>
      </c>
      <c r="Y5688" s="23" t="str">
        <f aca="false">IF(AND(ISNUMBER(C5688),ISNUMBER(D5688)),D5688-C5688,"")</f>
        <v/>
      </c>
      <c r="Z5688" s="23" t="str">
        <f aca="false">IF(B5688="","",IF(MATCH(B5688,$B$2:$B$12000,0)=ROW()-1,1,0))</f>
        <v/>
      </c>
    </row>
    <row r="5689" customFormat="false" ht="15" hidden="false" customHeight="false" outlineLevel="0" collapsed="false">
      <c r="V5689" s="23" t="str">
        <f aca="false">IF(ISNUMBER(C5689),YEAR(C5689),"")</f>
        <v/>
      </c>
      <c r="W5689" s="23" t="str">
        <f aca="false">IF(ISNUMBER(C5689),MONTH(C5689),"")</f>
        <v/>
      </c>
      <c r="X5689" s="23" t="str">
        <f aca="false">IF(T5689="","",IF(T5689=0,"No discount",IF(T5689&lt;=0.2,"Low (1-20%)",IF(T5689&lt;=0.4,"Medium (21-40%)","High (&gt;40%)"))))</f>
        <v/>
      </c>
      <c r="Y5689" s="23" t="str">
        <f aca="false">IF(AND(ISNUMBER(C5689),ISNUMBER(D5689)),D5689-C5689,"")</f>
        <v/>
      </c>
      <c r="Z5689" s="23" t="str">
        <f aca="false">IF(B5689="","",IF(MATCH(B5689,$B$2:$B$12000,0)=ROW()-1,1,0))</f>
        <v/>
      </c>
    </row>
    <row r="5690" customFormat="false" ht="15" hidden="false" customHeight="false" outlineLevel="0" collapsed="false">
      <c r="V5690" s="23" t="str">
        <f aca="false">IF(ISNUMBER(C5690),YEAR(C5690),"")</f>
        <v/>
      </c>
      <c r="W5690" s="23" t="str">
        <f aca="false">IF(ISNUMBER(C5690),MONTH(C5690),"")</f>
        <v/>
      </c>
      <c r="X5690" s="23" t="str">
        <f aca="false">IF(T5690="","",IF(T5690=0,"No discount",IF(T5690&lt;=0.2,"Low (1-20%)",IF(T5690&lt;=0.4,"Medium (21-40%)","High (&gt;40%)"))))</f>
        <v/>
      </c>
      <c r="Y5690" s="23" t="str">
        <f aca="false">IF(AND(ISNUMBER(C5690),ISNUMBER(D5690)),D5690-C5690,"")</f>
        <v/>
      </c>
      <c r="Z5690" s="23" t="str">
        <f aca="false">IF(B5690="","",IF(MATCH(B5690,$B$2:$B$12000,0)=ROW()-1,1,0))</f>
        <v/>
      </c>
    </row>
    <row r="5691" customFormat="false" ht="15" hidden="false" customHeight="false" outlineLevel="0" collapsed="false">
      <c r="V5691" s="23" t="str">
        <f aca="false">IF(ISNUMBER(C5691),YEAR(C5691),"")</f>
        <v/>
      </c>
      <c r="W5691" s="23" t="str">
        <f aca="false">IF(ISNUMBER(C5691),MONTH(C5691),"")</f>
        <v/>
      </c>
      <c r="X5691" s="23" t="str">
        <f aca="false">IF(T5691="","",IF(T5691=0,"No discount",IF(T5691&lt;=0.2,"Low (1-20%)",IF(T5691&lt;=0.4,"Medium (21-40%)","High (&gt;40%)"))))</f>
        <v/>
      </c>
      <c r="Y5691" s="23" t="str">
        <f aca="false">IF(AND(ISNUMBER(C5691),ISNUMBER(D5691)),D5691-C5691,"")</f>
        <v/>
      </c>
      <c r="Z5691" s="23" t="str">
        <f aca="false">IF(B5691="","",IF(MATCH(B5691,$B$2:$B$12000,0)=ROW()-1,1,0))</f>
        <v/>
      </c>
    </row>
    <row r="5692" customFormat="false" ht="15" hidden="false" customHeight="false" outlineLevel="0" collapsed="false">
      <c r="V5692" s="23" t="str">
        <f aca="false">IF(ISNUMBER(C5692),YEAR(C5692),"")</f>
        <v/>
      </c>
      <c r="W5692" s="23" t="str">
        <f aca="false">IF(ISNUMBER(C5692),MONTH(C5692),"")</f>
        <v/>
      </c>
      <c r="X5692" s="23" t="str">
        <f aca="false">IF(T5692="","",IF(T5692=0,"No discount",IF(T5692&lt;=0.2,"Low (1-20%)",IF(T5692&lt;=0.4,"Medium (21-40%)","High (&gt;40%)"))))</f>
        <v/>
      </c>
      <c r="Y5692" s="23" t="str">
        <f aca="false">IF(AND(ISNUMBER(C5692),ISNUMBER(D5692)),D5692-C5692,"")</f>
        <v/>
      </c>
      <c r="Z5692" s="23" t="str">
        <f aca="false">IF(B5692="","",IF(MATCH(B5692,$B$2:$B$12000,0)=ROW()-1,1,0))</f>
        <v/>
      </c>
    </row>
    <row r="5693" customFormat="false" ht="15" hidden="false" customHeight="false" outlineLevel="0" collapsed="false">
      <c r="V5693" s="23" t="str">
        <f aca="false">IF(ISNUMBER(C5693),YEAR(C5693),"")</f>
        <v/>
      </c>
      <c r="W5693" s="23" t="str">
        <f aca="false">IF(ISNUMBER(C5693),MONTH(C5693),"")</f>
        <v/>
      </c>
      <c r="X5693" s="23" t="str">
        <f aca="false">IF(T5693="","",IF(T5693=0,"No discount",IF(T5693&lt;=0.2,"Low (1-20%)",IF(T5693&lt;=0.4,"Medium (21-40%)","High (&gt;40%)"))))</f>
        <v/>
      </c>
      <c r="Y5693" s="23" t="str">
        <f aca="false">IF(AND(ISNUMBER(C5693),ISNUMBER(D5693)),D5693-C5693,"")</f>
        <v/>
      </c>
      <c r="Z5693" s="23" t="str">
        <f aca="false">IF(B5693="","",IF(MATCH(B5693,$B$2:$B$12000,0)=ROW()-1,1,0))</f>
        <v/>
      </c>
    </row>
    <row r="5694" customFormat="false" ht="15" hidden="false" customHeight="false" outlineLevel="0" collapsed="false">
      <c r="V5694" s="23" t="str">
        <f aca="false">IF(ISNUMBER(C5694),YEAR(C5694),"")</f>
        <v/>
      </c>
      <c r="W5694" s="23" t="str">
        <f aca="false">IF(ISNUMBER(C5694),MONTH(C5694),"")</f>
        <v/>
      </c>
      <c r="X5694" s="23" t="str">
        <f aca="false">IF(T5694="","",IF(T5694=0,"No discount",IF(T5694&lt;=0.2,"Low (1-20%)",IF(T5694&lt;=0.4,"Medium (21-40%)","High (&gt;40%)"))))</f>
        <v/>
      </c>
      <c r="Y5694" s="23" t="str">
        <f aca="false">IF(AND(ISNUMBER(C5694),ISNUMBER(D5694)),D5694-C5694,"")</f>
        <v/>
      </c>
      <c r="Z5694" s="23" t="str">
        <f aca="false">IF(B5694="","",IF(MATCH(B5694,$B$2:$B$12000,0)=ROW()-1,1,0))</f>
        <v/>
      </c>
    </row>
    <row r="5695" customFormat="false" ht="15" hidden="false" customHeight="false" outlineLevel="0" collapsed="false">
      <c r="V5695" s="23" t="str">
        <f aca="false">IF(ISNUMBER(C5695),YEAR(C5695),"")</f>
        <v/>
      </c>
      <c r="W5695" s="23" t="str">
        <f aca="false">IF(ISNUMBER(C5695),MONTH(C5695),"")</f>
        <v/>
      </c>
      <c r="X5695" s="23" t="str">
        <f aca="false">IF(T5695="","",IF(T5695=0,"No discount",IF(T5695&lt;=0.2,"Low (1-20%)",IF(T5695&lt;=0.4,"Medium (21-40%)","High (&gt;40%)"))))</f>
        <v/>
      </c>
      <c r="Y5695" s="23" t="str">
        <f aca="false">IF(AND(ISNUMBER(C5695),ISNUMBER(D5695)),D5695-C5695,"")</f>
        <v/>
      </c>
      <c r="Z5695" s="23" t="str">
        <f aca="false">IF(B5695="","",IF(MATCH(B5695,$B$2:$B$12000,0)=ROW()-1,1,0))</f>
        <v/>
      </c>
    </row>
    <row r="5696" customFormat="false" ht="15" hidden="false" customHeight="false" outlineLevel="0" collapsed="false">
      <c r="V5696" s="23" t="str">
        <f aca="false">IF(ISNUMBER(C5696),YEAR(C5696),"")</f>
        <v/>
      </c>
      <c r="W5696" s="23" t="str">
        <f aca="false">IF(ISNUMBER(C5696),MONTH(C5696),"")</f>
        <v/>
      </c>
      <c r="X5696" s="23" t="str">
        <f aca="false">IF(T5696="","",IF(T5696=0,"No discount",IF(T5696&lt;=0.2,"Low (1-20%)",IF(T5696&lt;=0.4,"Medium (21-40%)","High (&gt;40%)"))))</f>
        <v/>
      </c>
      <c r="Y5696" s="23" t="str">
        <f aca="false">IF(AND(ISNUMBER(C5696),ISNUMBER(D5696)),D5696-C5696,"")</f>
        <v/>
      </c>
      <c r="Z5696" s="23" t="str">
        <f aca="false">IF(B5696="","",IF(MATCH(B5696,$B$2:$B$12000,0)=ROW()-1,1,0))</f>
        <v/>
      </c>
    </row>
    <row r="5697" customFormat="false" ht="15" hidden="false" customHeight="false" outlineLevel="0" collapsed="false">
      <c r="V5697" s="23" t="str">
        <f aca="false">IF(ISNUMBER(C5697),YEAR(C5697),"")</f>
        <v/>
      </c>
      <c r="W5697" s="23" t="str">
        <f aca="false">IF(ISNUMBER(C5697),MONTH(C5697),"")</f>
        <v/>
      </c>
      <c r="X5697" s="23" t="str">
        <f aca="false">IF(T5697="","",IF(T5697=0,"No discount",IF(T5697&lt;=0.2,"Low (1-20%)",IF(T5697&lt;=0.4,"Medium (21-40%)","High (&gt;40%)"))))</f>
        <v/>
      </c>
      <c r="Y5697" s="23" t="str">
        <f aca="false">IF(AND(ISNUMBER(C5697),ISNUMBER(D5697)),D5697-C5697,"")</f>
        <v/>
      </c>
      <c r="Z5697" s="23" t="str">
        <f aca="false">IF(B5697="","",IF(MATCH(B5697,$B$2:$B$12000,0)=ROW()-1,1,0))</f>
        <v/>
      </c>
    </row>
    <row r="5698" customFormat="false" ht="15" hidden="false" customHeight="false" outlineLevel="0" collapsed="false">
      <c r="V5698" s="23" t="str">
        <f aca="false">IF(ISNUMBER(C5698),YEAR(C5698),"")</f>
        <v/>
      </c>
      <c r="W5698" s="23" t="str">
        <f aca="false">IF(ISNUMBER(C5698),MONTH(C5698),"")</f>
        <v/>
      </c>
      <c r="X5698" s="23" t="str">
        <f aca="false">IF(T5698="","",IF(T5698=0,"No discount",IF(T5698&lt;=0.2,"Low (1-20%)",IF(T5698&lt;=0.4,"Medium (21-40%)","High (&gt;40%)"))))</f>
        <v/>
      </c>
      <c r="Y5698" s="23" t="str">
        <f aca="false">IF(AND(ISNUMBER(C5698),ISNUMBER(D5698)),D5698-C5698,"")</f>
        <v/>
      </c>
      <c r="Z5698" s="23" t="str">
        <f aca="false">IF(B5698="","",IF(MATCH(B5698,$B$2:$B$12000,0)=ROW()-1,1,0))</f>
        <v/>
      </c>
    </row>
    <row r="5699" customFormat="false" ht="15" hidden="false" customHeight="false" outlineLevel="0" collapsed="false">
      <c r="V5699" s="23" t="str">
        <f aca="false">IF(ISNUMBER(C5699),YEAR(C5699),"")</f>
        <v/>
      </c>
      <c r="W5699" s="23" t="str">
        <f aca="false">IF(ISNUMBER(C5699),MONTH(C5699),"")</f>
        <v/>
      </c>
      <c r="X5699" s="23" t="str">
        <f aca="false">IF(T5699="","",IF(T5699=0,"No discount",IF(T5699&lt;=0.2,"Low (1-20%)",IF(T5699&lt;=0.4,"Medium (21-40%)","High (&gt;40%)"))))</f>
        <v/>
      </c>
      <c r="Y5699" s="23" t="str">
        <f aca="false">IF(AND(ISNUMBER(C5699),ISNUMBER(D5699)),D5699-C5699,"")</f>
        <v/>
      </c>
      <c r="Z5699" s="23" t="str">
        <f aca="false">IF(B5699="","",IF(MATCH(B5699,$B$2:$B$12000,0)=ROW()-1,1,0))</f>
        <v/>
      </c>
    </row>
    <row r="5700" customFormat="false" ht="15" hidden="false" customHeight="false" outlineLevel="0" collapsed="false">
      <c r="V5700" s="23" t="str">
        <f aca="false">IF(ISNUMBER(C5700),YEAR(C5700),"")</f>
        <v/>
      </c>
      <c r="W5700" s="23" t="str">
        <f aca="false">IF(ISNUMBER(C5700),MONTH(C5700),"")</f>
        <v/>
      </c>
      <c r="X5700" s="23" t="str">
        <f aca="false">IF(T5700="","",IF(T5700=0,"No discount",IF(T5700&lt;=0.2,"Low (1-20%)",IF(T5700&lt;=0.4,"Medium (21-40%)","High (&gt;40%)"))))</f>
        <v/>
      </c>
      <c r="Y5700" s="23" t="str">
        <f aca="false">IF(AND(ISNUMBER(C5700),ISNUMBER(D5700)),D5700-C5700,"")</f>
        <v/>
      </c>
      <c r="Z5700" s="23" t="str">
        <f aca="false">IF(B5700="","",IF(MATCH(B5700,$B$2:$B$12000,0)=ROW()-1,1,0))</f>
        <v/>
      </c>
    </row>
    <row r="5701" customFormat="false" ht="15" hidden="false" customHeight="false" outlineLevel="0" collapsed="false">
      <c r="V5701" s="23" t="str">
        <f aca="false">IF(ISNUMBER(C5701),YEAR(C5701),"")</f>
        <v/>
      </c>
      <c r="W5701" s="23" t="str">
        <f aca="false">IF(ISNUMBER(C5701),MONTH(C5701),"")</f>
        <v/>
      </c>
      <c r="X5701" s="23" t="str">
        <f aca="false">IF(T5701="","",IF(T5701=0,"No discount",IF(T5701&lt;=0.2,"Low (1-20%)",IF(T5701&lt;=0.4,"Medium (21-40%)","High (&gt;40%)"))))</f>
        <v/>
      </c>
      <c r="Y5701" s="23" t="str">
        <f aca="false">IF(AND(ISNUMBER(C5701),ISNUMBER(D5701)),D5701-C5701,"")</f>
        <v/>
      </c>
      <c r="Z5701" s="23" t="str">
        <f aca="false">IF(B5701="","",IF(MATCH(B5701,$B$2:$B$12000,0)=ROW()-1,1,0))</f>
        <v/>
      </c>
    </row>
    <row r="5702" customFormat="false" ht="15" hidden="false" customHeight="false" outlineLevel="0" collapsed="false">
      <c r="V5702" s="23" t="str">
        <f aca="false">IF(ISNUMBER(C5702),YEAR(C5702),"")</f>
        <v/>
      </c>
      <c r="W5702" s="23" t="str">
        <f aca="false">IF(ISNUMBER(C5702),MONTH(C5702),"")</f>
        <v/>
      </c>
      <c r="X5702" s="23" t="str">
        <f aca="false">IF(T5702="","",IF(T5702=0,"No discount",IF(T5702&lt;=0.2,"Low (1-20%)",IF(T5702&lt;=0.4,"Medium (21-40%)","High (&gt;40%)"))))</f>
        <v/>
      </c>
      <c r="Y5702" s="23" t="str">
        <f aca="false">IF(AND(ISNUMBER(C5702),ISNUMBER(D5702)),D5702-C5702,"")</f>
        <v/>
      </c>
      <c r="Z5702" s="23" t="str">
        <f aca="false">IF(B5702="","",IF(MATCH(B5702,$B$2:$B$12000,0)=ROW()-1,1,0))</f>
        <v/>
      </c>
    </row>
    <row r="5703" customFormat="false" ht="15" hidden="false" customHeight="false" outlineLevel="0" collapsed="false">
      <c r="V5703" s="23" t="str">
        <f aca="false">IF(ISNUMBER(C5703),YEAR(C5703),"")</f>
        <v/>
      </c>
      <c r="W5703" s="23" t="str">
        <f aca="false">IF(ISNUMBER(C5703),MONTH(C5703),"")</f>
        <v/>
      </c>
      <c r="X5703" s="23" t="str">
        <f aca="false">IF(T5703="","",IF(T5703=0,"No discount",IF(T5703&lt;=0.2,"Low (1-20%)",IF(T5703&lt;=0.4,"Medium (21-40%)","High (&gt;40%)"))))</f>
        <v/>
      </c>
      <c r="Y5703" s="23" t="str">
        <f aca="false">IF(AND(ISNUMBER(C5703),ISNUMBER(D5703)),D5703-C5703,"")</f>
        <v/>
      </c>
      <c r="Z5703" s="23" t="str">
        <f aca="false">IF(B5703="","",IF(MATCH(B5703,$B$2:$B$12000,0)=ROW()-1,1,0))</f>
        <v/>
      </c>
    </row>
    <row r="5704" customFormat="false" ht="15" hidden="false" customHeight="false" outlineLevel="0" collapsed="false">
      <c r="V5704" s="23" t="str">
        <f aca="false">IF(ISNUMBER(C5704),YEAR(C5704),"")</f>
        <v/>
      </c>
      <c r="W5704" s="23" t="str">
        <f aca="false">IF(ISNUMBER(C5704),MONTH(C5704),"")</f>
        <v/>
      </c>
      <c r="X5704" s="23" t="str">
        <f aca="false">IF(T5704="","",IF(T5704=0,"No discount",IF(T5704&lt;=0.2,"Low (1-20%)",IF(T5704&lt;=0.4,"Medium (21-40%)","High (&gt;40%)"))))</f>
        <v/>
      </c>
      <c r="Y5704" s="23" t="str">
        <f aca="false">IF(AND(ISNUMBER(C5704),ISNUMBER(D5704)),D5704-C5704,"")</f>
        <v/>
      </c>
      <c r="Z5704" s="23" t="str">
        <f aca="false">IF(B5704="","",IF(MATCH(B5704,$B$2:$B$12000,0)=ROW()-1,1,0))</f>
        <v/>
      </c>
    </row>
    <row r="5705" customFormat="false" ht="15" hidden="false" customHeight="false" outlineLevel="0" collapsed="false">
      <c r="V5705" s="23" t="str">
        <f aca="false">IF(ISNUMBER(C5705),YEAR(C5705),"")</f>
        <v/>
      </c>
      <c r="W5705" s="23" t="str">
        <f aca="false">IF(ISNUMBER(C5705),MONTH(C5705),"")</f>
        <v/>
      </c>
      <c r="X5705" s="23" t="str">
        <f aca="false">IF(T5705="","",IF(T5705=0,"No discount",IF(T5705&lt;=0.2,"Low (1-20%)",IF(T5705&lt;=0.4,"Medium (21-40%)","High (&gt;40%)"))))</f>
        <v/>
      </c>
      <c r="Y5705" s="23" t="str">
        <f aca="false">IF(AND(ISNUMBER(C5705),ISNUMBER(D5705)),D5705-C5705,"")</f>
        <v/>
      </c>
      <c r="Z5705" s="23" t="str">
        <f aca="false">IF(B5705="","",IF(MATCH(B5705,$B$2:$B$12000,0)=ROW()-1,1,0))</f>
        <v/>
      </c>
    </row>
    <row r="5706" customFormat="false" ht="15" hidden="false" customHeight="false" outlineLevel="0" collapsed="false">
      <c r="V5706" s="23" t="str">
        <f aca="false">IF(ISNUMBER(C5706),YEAR(C5706),"")</f>
        <v/>
      </c>
      <c r="W5706" s="23" t="str">
        <f aca="false">IF(ISNUMBER(C5706),MONTH(C5706),"")</f>
        <v/>
      </c>
      <c r="X5706" s="23" t="str">
        <f aca="false">IF(T5706="","",IF(T5706=0,"No discount",IF(T5706&lt;=0.2,"Low (1-20%)",IF(T5706&lt;=0.4,"Medium (21-40%)","High (&gt;40%)"))))</f>
        <v/>
      </c>
      <c r="Y5706" s="23" t="str">
        <f aca="false">IF(AND(ISNUMBER(C5706),ISNUMBER(D5706)),D5706-C5706,"")</f>
        <v/>
      </c>
      <c r="Z5706" s="23" t="str">
        <f aca="false">IF(B5706="","",IF(MATCH(B5706,$B$2:$B$12000,0)=ROW()-1,1,0))</f>
        <v/>
      </c>
    </row>
    <row r="5707" customFormat="false" ht="15" hidden="false" customHeight="false" outlineLevel="0" collapsed="false">
      <c r="V5707" s="23" t="str">
        <f aca="false">IF(ISNUMBER(C5707),YEAR(C5707),"")</f>
        <v/>
      </c>
      <c r="W5707" s="23" t="str">
        <f aca="false">IF(ISNUMBER(C5707),MONTH(C5707),"")</f>
        <v/>
      </c>
      <c r="X5707" s="23" t="str">
        <f aca="false">IF(T5707="","",IF(T5707=0,"No discount",IF(T5707&lt;=0.2,"Low (1-20%)",IF(T5707&lt;=0.4,"Medium (21-40%)","High (&gt;40%)"))))</f>
        <v/>
      </c>
      <c r="Y5707" s="23" t="str">
        <f aca="false">IF(AND(ISNUMBER(C5707),ISNUMBER(D5707)),D5707-C5707,"")</f>
        <v/>
      </c>
      <c r="Z5707" s="23" t="str">
        <f aca="false">IF(B5707="","",IF(MATCH(B5707,$B$2:$B$12000,0)=ROW()-1,1,0))</f>
        <v/>
      </c>
    </row>
    <row r="5708" customFormat="false" ht="15" hidden="false" customHeight="false" outlineLevel="0" collapsed="false">
      <c r="V5708" s="23" t="str">
        <f aca="false">IF(ISNUMBER(C5708),YEAR(C5708),"")</f>
        <v/>
      </c>
      <c r="W5708" s="23" t="str">
        <f aca="false">IF(ISNUMBER(C5708),MONTH(C5708),"")</f>
        <v/>
      </c>
      <c r="X5708" s="23" t="str">
        <f aca="false">IF(T5708="","",IF(T5708=0,"No discount",IF(T5708&lt;=0.2,"Low (1-20%)",IF(T5708&lt;=0.4,"Medium (21-40%)","High (&gt;40%)"))))</f>
        <v/>
      </c>
      <c r="Y5708" s="23" t="str">
        <f aca="false">IF(AND(ISNUMBER(C5708),ISNUMBER(D5708)),D5708-C5708,"")</f>
        <v/>
      </c>
      <c r="Z5708" s="23" t="str">
        <f aca="false">IF(B5708="","",IF(MATCH(B5708,$B$2:$B$12000,0)=ROW()-1,1,0))</f>
        <v/>
      </c>
    </row>
    <row r="5709" customFormat="false" ht="15" hidden="false" customHeight="false" outlineLevel="0" collapsed="false">
      <c r="V5709" s="23" t="str">
        <f aca="false">IF(ISNUMBER(C5709),YEAR(C5709),"")</f>
        <v/>
      </c>
      <c r="W5709" s="23" t="str">
        <f aca="false">IF(ISNUMBER(C5709),MONTH(C5709),"")</f>
        <v/>
      </c>
      <c r="X5709" s="23" t="str">
        <f aca="false">IF(T5709="","",IF(T5709=0,"No discount",IF(T5709&lt;=0.2,"Low (1-20%)",IF(T5709&lt;=0.4,"Medium (21-40%)","High (&gt;40%)"))))</f>
        <v/>
      </c>
      <c r="Y5709" s="23" t="str">
        <f aca="false">IF(AND(ISNUMBER(C5709),ISNUMBER(D5709)),D5709-C5709,"")</f>
        <v/>
      </c>
      <c r="Z5709" s="23" t="str">
        <f aca="false">IF(B5709="","",IF(MATCH(B5709,$B$2:$B$12000,0)=ROW()-1,1,0))</f>
        <v/>
      </c>
    </row>
    <row r="5710" customFormat="false" ht="15" hidden="false" customHeight="false" outlineLevel="0" collapsed="false">
      <c r="V5710" s="23" t="str">
        <f aca="false">IF(ISNUMBER(C5710),YEAR(C5710),"")</f>
        <v/>
      </c>
      <c r="W5710" s="23" t="str">
        <f aca="false">IF(ISNUMBER(C5710),MONTH(C5710),"")</f>
        <v/>
      </c>
      <c r="X5710" s="23" t="str">
        <f aca="false">IF(T5710="","",IF(T5710=0,"No discount",IF(T5710&lt;=0.2,"Low (1-20%)",IF(T5710&lt;=0.4,"Medium (21-40%)","High (&gt;40%)"))))</f>
        <v/>
      </c>
      <c r="Y5710" s="23" t="str">
        <f aca="false">IF(AND(ISNUMBER(C5710),ISNUMBER(D5710)),D5710-C5710,"")</f>
        <v/>
      </c>
      <c r="Z5710" s="23" t="str">
        <f aca="false">IF(B5710="","",IF(MATCH(B5710,$B$2:$B$12000,0)=ROW()-1,1,0))</f>
        <v/>
      </c>
    </row>
    <row r="5711" customFormat="false" ht="15" hidden="false" customHeight="false" outlineLevel="0" collapsed="false">
      <c r="V5711" s="23" t="str">
        <f aca="false">IF(ISNUMBER(C5711),YEAR(C5711),"")</f>
        <v/>
      </c>
      <c r="W5711" s="23" t="str">
        <f aca="false">IF(ISNUMBER(C5711),MONTH(C5711),"")</f>
        <v/>
      </c>
      <c r="X5711" s="23" t="str">
        <f aca="false">IF(T5711="","",IF(T5711=0,"No discount",IF(T5711&lt;=0.2,"Low (1-20%)",IF(T5711&lt;=0.4,"Medium (21-40%)","High (&gt;40%)"))))</f>
        <v/>
      </c>
      <c r="Y5711" s="23" t="str">
        <f aca="false">IF(AND(ISNUMBER(C5711),ISNUMBER(D5711)),D5711-C5711,"")</f>
        <v/>
      </c>
      <c r="Z5711" s="23" t="str">
        <f aca="false">IF(B5711="","",IF(MATCH(B5711,$B$2:$B$12000,0)=ROW()-1,1,0))</f>
        <v/>
      </c>
    </row>
    <row r="5712" customFormat="false" ht="15" hidden="false" customHeight="false" outlineLevel="0" collapsed="false">
      <c r="V5712" s="23" t="str">
        <f aca="false">IF(ISNUMBER(C5712),YEAR(C5712),"")</f>
        <v/>
      </c>
      <c r="W5712" s="23" t="str">
        <f aca="false">IF(ISNUMBER(C5712),MONTH(C5712),"")</f>
        <v/>
      </c>
      <c r="X5712" s="23" t="str">
        <f aca="false">IF(T5712="","",IF(T5712=0,"No discount",IF(T5712&lt;=0.2,"Low (1-20%)",IF(T5712&lt;=0.4,"Medium (21-40%)","High (&gt;40%)"))))</f>
        <v/>
      </c>
      <c r="Y5712" s="23" t="str">
        <f aca="false">IF(AND(ISNUMBER(C5712),ISNUMBER(D5712)),D5712-C5712,"")</f>
        <v/>
      </c>
      <c r="Z5712" s="23" t="str">
        <f aca="false">IF(B5712="","",IF(MATCH(B5712,$B$2:$B$12000,0)=ROW()-1,1,0))</f>
        <v/>
      </c>
    </row>
    <row r="5713" customFormat="false" ht="15" hidden="false" customHeight="false" outlineLevel="0" collapsed="false">
      <c r="V5713" s="23" t="str">
        <f aca="false">IF(ISNUMBER(C5713),YEAR(C5713),"")</f>
        <v/>
      </c>
      <c r="W5713" s="23" t="str">
        <f aca="false">IF(ISNUMBER(C5713),MONTH(C5713),"")</f>
        <v/>
      </c>
      <c r="X5713" s="23" t="str">
        <f aca="false">IF(T5713="","",IF(T5713=0,"No discount",IF(T5713&lt;=0.2,"Low (1-20%)",IF(T5713&lt;=0.4,"Medium (21-40%)","High (&gt;40%)"))))</f>
        <v/>
      </c>
      <c r="Y5713" s="23" t="str">
        <f aca="false">IF(AND(ISNUMBER(C5713),ISNUMBER(D5713)),D5713-C5713,"")</f>
        <v/>
      </c>
      <c r="Z5713" s="23" t="str">
        <f aca="false">IF(B5713="","",IF(MATCH(B5713,$B$2:$B$12000,0)=ROW()-1,1,0))</f>
        <v/>
      </c>
    </row>
    <row r="5714" customFormat="false" ht="15" hidden="false" customHeight="false" outlineLevel="0" collapsed="false">
      <c r="V5714" s="23" t="str">
        <f aca="false">IF(ISNUMBER(C5714),YEAR(C5714),"")</f>
        <v/>
      </c>
      <c r="W5714" s="23" t="str">
        <f aca="false">IF(ISNUMBER(C5714),MONTH(C5714),"")</f>
        <v/>
      </c>
      <c r="X5714" s="23" t="str">
        <f aca="false">IF(T5714="","",IF(T5714=0,"No discount",IF(T5714&lt;=0.2,"Low (1-20%)",IF(T5714&lt;=0.4,"Medium (21-40%)","High (&gt;40%)"))))</f>
        <v/>
      </c>
      <c r="Y5714" s="23" t="str">
        <f aca="false">IF(AND(ISNUMBER(C5714),ISNUMBER(D5714)),D5714-C5714,"")</f>
        <v/>
      </c>
      <c r="Z5714" s="23" t="str">
        <f aca="false">IF(B5714="","",IF(MATCH(B5714,$B$2:$B$12000,0)=ROW()-1,1,0))</f>
        <v/>
      </c>
    </row>
    <row r="5715" customFormat="false" ht="15" hidden="false" customHeight="false" outlineLevel="0" collapsed="false">
      <c r="V5715" s="23" t="str">
        <f aca="false">IF(ISNUMBER(C5715),YEAR(C5715),"")</f>
        <v/>
      </c>
      <c r="W5715" s="23" t="str">
        <f aca="false">IF(ISNUMBER(C5715),MONTH(C5715),"")</f>
        <v/>
      </c>
      <c r="X5715" s="23" t="str">
        <f aca="false">IF(T5715="","",IF(T5715=0,"No discount",IF(T5715&lt;=0.2,"Low (1-20%)",IF(T5715&lt;=0.4,"Medium (21-40%)","High (&gt;40%)"))))</f>
        <v/>
      </c>
      <c r="Y5715" s="23" t="str">
        <f aca="false">IF(AND(ISNUMBER(C5715),ISNUMBER(D5715)),D5715-C5715,"")</f>
        <v/>
      </c>
      <c r="Z5715" s="23" t="str">
        <f aca="false">IF(B5715="","",IF(MATCH(B5715,$B$2:$B$12000,0)=ROW()-1,1,0))</f>
        <v/>
      </c>
    </row>
    <row r="5716" customFormat="false" ht="15" hidden="false" customHeight="false" outlineLevel="0" collapsed="false">
      <c r="V5716" s="23" t="str">
        <f aca="false">IF(ISNUMBER(C5716),YEAR(C5716),"")</f>
        <v/>
      </c>
      <c r="W5716" s="23" t="str">
        <f aca="false">IF(ISNUMBER(C5716),MONTH(C5716),"")</f>
        <v/>
      </c>
      <c r="X5716" s="23" t="str">
        <f aca="false">IF(T5716="","",IF(T5716=0,"No discount",IF(T5716&lt;=0.2,"Low (1-20%)",IF(T5716&lt;=0.4,"Medium (21-40%)","High (&gt;40%)"))))</f>
        <v/>
      </c>
      <c r="Y5716" s="23" t="str">
        <f aca="false">IF(AND(ISNUMBER(C5716),ISNUMBER(D5716)),D5716-C5716,"")</f>
        <v/>
      </c>
      <c r="Z5716" s="23" t="str">
        <f aca="false">IF(B5716="","",IF(MATCH(B5716,$B$2:$B$12000,0)=ROW()-1,1,0))</f>
        <v/>
      </c>
    </row>
    <row r="5717" customFormat="false" ht="15" hidden="false" customHeight="false" outlineLevel="0" collapsed="false">
      <c r="V5717" s="23" t="str">
        <f aca="false">IF(ISNUMBER(C5717),YEAR(C5717),"")</f>
        <v/>
      </c>
      <c r="W5717" s="23" t="str">
        <f aca="false">IF(ISNUMBER(C5717),MONTH(C5717),"")</f>
        <v/>
      </c>
      <c r="X5717" s="23" t="str">
        <f aca="false">IF(T5717="","",IF(T5717=0,"No discount",IF(T5717&lt;=0.2,"Low (1-20%)",IF(T5717&lt;=0.4,"Medium (21-40%)","High (&gt;40%)"))))</f>
        <v/>
      </c>
      <c r="Y5717" s="23" t="str">
        <f aca="false">IF(AND(ISNUMBER(C5717),ISNUMBER(D5717)),D5717-C5717,"")</f>
        <v/>
      </c>
      <c r="Z5717" s="23" t="str">
        <f aca="false">IF(B5717="","",IF(MATCH(B5717,$B$2:$B$12000,0)=ROW()-1,1,0))</f>
        <v/>
      </c>
    </row>
    <row r="5718" customFormat="false" ht="15" hidden="false" customHeight="false" outlineLevel="0" collapsed="false">
      <c r="V5718" s="23" t="str">
        <f aca="false">IF(ISNUMBER(C5718),YEAR(C5718),"")</f>
        <v/>
      </c>
      <c r="W5718" s="23" t="str">
        <f aca="false">IF(ISNUMBER(C5718),MONTH(C5718),"")</f>
        <v/>
      </c>
      <c r="X5718" s="23" t="str">
        <f aca="false">IF(T5718="","",IF(T5718=0,"No discount",IF(T5718&lt;=0.2,"Low (1-20%)",IF(T5718&lt;=0.4,"Medium (21-40%)","High (&gt;40%)"))))</f>
        <v/>
      </c>
      <c r="Y5718" s="23" t="str">
        <f aca="false">IF(AND(ISNUMBER(C5718),ISNUMBER(D5718)),D5718-C5718,"")</f>
        <v/>
      </c>
      <c r="Z5718" s="23" t="str">
        <f aca="false">IF(B5718="","",IF(MATCH(B5718,$B$2:$B$12000,0)=ROW()-1,1,0))</f>
        <v/>
      </c>
    </row>
    <row r="5719" customFormat="false" ht="15" hidden="false" customHeight="false" outlineLevel="0" collapsed="false">
      <c r="V5719" s="23" t="str">
        <f aca="false">IF(ISNUMBER(C5719),YEAR(C5719),"")</f>
        <v/>
      </c>
      <c r="W5719" s="23" t="str">
        <f aca="false">IF(ISNUMBER(C5719),MONTH(C5719),"")</f>
        <v/>
      </c>
      <c r="X5719" s="23" t="str">
        <f aca="false">IF(T5719="","",IF(T5719=0,"No discount",IF(T5719&lt;=0.2,"Low (1-20%)",IF(T5719&lt;=0.4,"Medium (21-40%)","High (&gt;40%)"))))</f>
        <v/>
      </c>
      <c r="Y5719" s="23" t="str">
        <f aca="false">IF(AND(ISNUMBER(C5719),ISNUMBER(D5719)),D5719-C5719,"")</f>
        <v/>
      </c>
      <c r="Z5719" s="23" t="str">
        <f aca="false">IF(B5719="","",IF(MATCH(B5719,$B$2:$B$12000,0)=ROW()-1,1,0))</f>
        <v/>
      </c>
    </row>
    <row r="5720" customFormat="false" ht="15" hidden="false" customHeight="false" outlineLevel="0" collapsed="false">
      <c r="V5720" s="23" t="str">
        <f aca="false">IF(ISNUMBER(C5720),YEAR(C5720),"")</f>
        <v/>
      </c>
      <c r="W5720" s="23" t="str">
        <f aca="false">IF(ISNUMBER(C5720),MONTH(C5720),"")</f>
        <v/>
      </c>
      <c r="X5720" s="23" t="str">
        <f aca="false">IF(T5720="","",IF(T5720=0,"No discount",IF(T5720&lt;=0.2,"Low (1-20%)",IF(T5720&lt;=0.4,"Medium (21-40%)","High (&gt;40%)"))))</f>
        <v/>
      </c>
      <c r="Y5720" s="23" t="str">
        <f aca="false">IF(AND(ISNUMBER(C5720),ISNUMBER(D5720)),D5720-C5720,"")</f>
        <v/>
      </c>
      <c r="Z5720" s="23" t="str">
        <f aca="false">IF(B5720="","",IF(MATCH(B5720,$B$2:$B$12000,0)=ROW()-1,1,0))</f>
        <v/>
      </c>
    </row>
    <row r="5721" customFormat="false" ht="15" hidden="false" customHeight="false" outlineLevel="0" collapsed="false">
      <c r="V5721" s="23" t="str">
        <f aca="false">IF(ISNUMBER(C5721),YEAR(C5721),"")</f>
        <v/>
      </c>
      <c r="W5721" s="23" t="str">
        <f aca="false">IF(ISNUMBER(C5721),MONTH(C5721),"")</f>
        <v/>
      </c>
      <c r="X5721" s="23" t="str">
        <f aca="false">IF(T5721="","",IF(T5721=0,"No discount",IF(T5721&lt;=0.2,"Low (1-20%)",IF(T5721&lt;=0.4,"Medium (21-40%)","High (&gt;40%)"))))</f>
        <v/>
      </c>
      <c r="Y5721" s="23" t="str">
        <f aca="false">IF(AND(ISNUMBER(C5721),ISNUMBER(D5721)),D5721-C5721,"")</f>
        <v/>
      </c>
      <c r="Z5721" s="23" t="str">
        <f aca="false">IF(B5721="","",IF(MATCH(B5721,$B$2:$B$12000,0)=ROW()-1,1,0))</f>
        <v/>
      </c>
    </row>
    <row r="5722" customFormat="false" ht="15" hidden="false" customHeight="false" outlineLevel="0" collapsed="false">
      <c r="V5722" s="23" t="str">
        <f aca="false">IF(ISNUMBER(C5722),YEAR(C5722),"")</f>
        <v/>
      </c>
      <c r="W5722" s="23" t="str">
        <f aca="false">IF(ISNUMBER(C5722),MONTH(C5722),"")</f>
        <v/>
      </c>
      <c r="X5722" s="23" t="str">
        <f aca="false">IF(T5722="","",IF(T5722=0,"No discount",IF(T5722&lt;=0.2,"Low (1-20%)",IF(T5722&lt;=0.4,"Medium (21-40%)","High (&gt;40%)"))))</f>
        <v/>
      </c>
      <c r="Y5722" s="23" t="str">
        <f aca="false">IF(AND(ISNUMBER(C5722),ISNUMBER(D5722)),D5722-C5722,"")</f>
        <v/>
      </c>
      <c r="Z5722" s="23" t="str">
        <f aca="false">IF(B5722="","",IF(MATCH(B5722,$B$2:$B$12000,0)=ROW()-1,1,0))</f>
        <v/>
      </c>
    </row>
    <row r="5723" customFormat="false" ht="15" hidden="false" customHeight="false" outlineLevel="0" collapsed="false">
      <c r="V5723" s="23" t="str">
        <f aca="false">IF(ISNUMBER(C5723),YEAR(C5723),"")</f>
        <v/>
      </c>
      <c r="W5723" s="23" t="str">
        <f aca="false">IF(ISNUMBER(C5723),MONTH(C5723),"")</f>
        <v/>
      </c>
      <c r="X5723" s="23" t="str">
        <f aca="false">IF(T5723="","",IF(T5723=0,"No discount",IF(T5723&lt;=0.2,"Low (1-20%)",IF(T5723&lt;=0.4,"Medium (21-40%)","High (&gt;40%)"))))</f>
        <v/>
      </c>
      <c r="Y5723" s="23" t="str">
        <f aca="false">IF(AND(ISNUMBER(C5723),ISNUMBER(D5723)),D5723-C5723,"")</f>
        <v/>
      </c>
      <c r="Z5723" s="23" t="str">
        <f aca="false">IF(B5723="","",IF(MATCH(B5723,$B$2:$B$12000,0)=ROW()-1,1,0))</f>
        <v/>
      </c>
    </row>
    <row r="5724" customFormat="false" ht="15" hidden="false" customHeight="false" outlineLevel="0" collapsed="false">
      <c r="V5724" s="23" t="str">
        <f aca="false">IF(ISNUMBER(C5724),YEAR(C5724),"")</f>
        <v/>
      </c>
      <c r="W5724" s="23" t="str">
        <f aca="false">IF(ISNUMBER(C5724),MONTH(C5724),"")</f>
        <v/>
      </c>
      <c r="X5724" s="23" t="str">
        <f aca="false">IF(T5724="","",IF(T5724=0,"No discount",IF(T5724&lt;=0.2,"Low (1-20%)",IF(T5724&lt;=0.4,"Medium (21-40%)","High (&gt;40%)"))))</f>
        <v/>
      </c>
      <c r="Y5724" s="23" t="str">
        <f aca="false">IF(AND(ISNUMBER(C5724),ISNUMBER(D5724)),D5724-C5724,"")</f>
        <v/>
      </c>
      <c r="Z5724" s="23" t="str">
        <f aca="false">IF(B5724="","",IF(MATCH(B5724,$B$2:$B$12000,0)=ROW()-1,1,0))</f>
        <v/>
      </c>
    </row>
    <row r="5725" customFormat="false" ht="15" hidden="false" customHeight="false" outlineLevel="0" collapsed="false">
      <c r="V5725" s="23" t="str">
        <f aca="false">IF(ISNUMBER(C5725),YEAR(C5725),"")</f>
        <v/>
      </c>
      <c r="W5725" s="23" t="str">
        <f aca="false">IF(ISNUMBER(C5725),MONTH(C5725),"")</f>
        <v/>
      </c>
      <c r="X5725" s="23" t="str">
        <f aca="false">IF(T5725="","",IF(T5725=0,"No discount",IF(T5725&lt;=0.2,"Low (1-20%)",IF(T5725&lt;=0.4,"Medium (21-40%)","High (&gt;40%)"))))</f>
        <v/>
      </c>
      <c r="Y5725" s="23" t="str">
        <f aca="false">IF(AND(ISNUMBER(C5725),ISNUMBER(D5725)),D5725-C5725,"")</f>
        <v/>
      </c>
      <c r="Z5725" s="23" t="str">
        <f aca="false">IF(B5725="","",IF(MATCH(B5725,$B$2:$B$12000,0)=ROW()-1,1,0))</f>
        <v/>
      </c>
    </row>
    <row r="5726" customFormat="false" ht="15" hidden="false" customHeight="false" outlineLevel="0" collapsed="false">
      <c r="V5726" s="23" t="str">
        <f aca="false">IF(ISNUMBER(C5726),YEAR(C5726),"")</f>
        <v/>
      </c>
      <c r="W5726" s="23" t="str">
        <f aca="false">IF(ISNUMBER(C5726),MONTH(C5726),"")</f>
        <v/>
      </c>
      <c r="X5726" s="23" t="str">
        <f aca="false">IF(T5726="","",IF(T5726=0,"No discount",IF(T5726&lt;=0.2,"Low (1-20%)",IF(T5726&lt;=0.4,"Medium (21-40%)","High (&gt;40%)"))))</f>
        <v/>
      </c>
      <c r="Y5726" s="23" t="str">
        <f aca="false">IF(AND(ISNUMBER(C5726),ISNUMBER(D5726)),D5726-C5726,"")</f>
        <v/>
      </c>
      <c r="Z5726" s="23" t="str">
        <f aca="false">IF(B5726="","",IF(MATCH(B5726,$B$2:$B$12000,0)=ROW()-1,1,0))</f>
        <v/>
      </c>
    </row>
    <row r="5727" customFormat="false" ht="15" hidden="false" customHeight="false" outlineLevel="0" collapsed="false">
      <c r="V5727" s="23" t="str">
        <f aca="false">IF(ISNUMBER(C5727),YEAR(C5727),"")</f>
        <v/>
      </c>
      <c r="W5727" s="23" t="str">
        <f aca="false">IF(ISNUMBER(C5727),MONTH(C5727),"")</f>
        <v/>
      </c>
      <c r="X5727" s="23" t="str">
        <f aca="false">IF(T5727="","",IF(T5727=0,"No discount",IF(T5727&lt;=0.2,"Low (1-20%)",IF(T5727&lt;=0.4,"Medium (21-40%)","High (&gt;40%)"))))</f>
        <v/>
      </c>
      <c r="Y5727" s="23" t="str">
        <f aca="false">IF(AND(ISNUMBER(C5727),ISNUMBER(D5727)),D5727-C5727,"")</f>
        <v/>
      </c>
      <c r="Z5727" s="23" t="str">
        <f aca="false">IF(B5727="","",IF(MATCH(B5727,$B$2:$B$12000,0)=ROW()-1,1,0))</f>
        <v/>
      </c>
    </row>
    <row r="5728" customFormat="false" ht="15" hidden="false" customHeight="false" outlineLevel="0" collapsed="false">
      <c r="V5728" s="23" t="str">
        <f aca="false">IF(ISNUMBER(C5728),YEAR(C5728),"")</f>
        <v/>
      </c>
      <c r="W5728" s="23" t="str">
        <f aca="false">IF(ISNUMBER(C5728),MONTH(C5728),"")</f>
        <v/>
      </c>
      <c r="X5728" s="23" t="str">
        <f aca="false">IF(T5728="","",IF(T5728=0,"No discount",IF(T5728&lt;=0.2,"Low (1-20%)",IF(T5728&lt;=0.4,"Medium (21-40%)","High (&gt;40%)"))))</f>
        <v/>
      </c>
      <c r="Y5728" s="23" t="str">
        <f aca="false">IF(AND(ISNUMBER(C5728),ISNUMBER(D5728)),D5728-C5728,"")</f>
        <v/>
      </c>
      <c r="Z5728" s="23" t="str">
        <f aca="false">IF(B5728="","",IF(MATCH(B5728,$B$2:$B$12000,0)=ROW()-1,1,0))</f>
        <v/>
      </c>
    </row>
    <row r="5729" customFormat="false" ht="15" hidden="false" customHeight="false" outlineLevel="0" collapsed="false">
      <c r="V5729" s="23" t="str">
        <f aca="false">IF(ISNUMBER(C5729),YEAR(C5729),"")</f>
        <v/>
      </c>
      <c r="W5729" s="23" t="str">
        <f aca="false">IF(ISNUMBER(C5729),MONTH(C5729),"")</f>
        <v/>
      </c>
      <c r="X5729" s="23" t="str">
        <f aca="false">IF(T5729="","",IF(T5729=0,"No discount",IF(T5729&lt;=0.2,"Low (1-20%)",IF(T5729&lt;=0.4,"Medium (21-40%)","High (&gt;40%)"))))</f>
        <v/>
      </c>
      <c r="Y5729" s="23" t="str">
        <f aca="false">IF(AND(ISNUMBER(C5729),ISNUMBER(D5729)),D5729-C5729,"")</f>
        <v/>
      </c>
      <c r="Z5729" s="23" t="str">
        <f aca="false">IF(B5729="","",IF(MATCH(B5729,$B$2:$B$12000,0)=ROW()-1,1,0))</f>
        <v/>
      </c>
    </row>
    <row r="5730" customFormat="false" ht="15" hidden="false" customHeight="false" outlineLevel="0" collapsed="false">
      <c r="V5730" s="23" t="str">
        <f aca="false">IF(ISNUMBER(C5730),YEAR(C5730),"")</f>
        <v/>
      </c>
      <c r="W5730" s="23" t="str">
        <f aca="false">IF(ISNUMBER(C5730),MONTH(C5730),"")</f>
        <v/>
      </c>
      <c r="X5730" s="23" t="str">
        <f aca="false">IF(T5730="","",IF(T5730=0,"No discount",IF(T5730&lt;=0.2,"Low (1-20%)",IF(T5730&lt;=0.4,"Medium (21-40%)","High (&gt;40%)"))))</f>
        <v/>
      </c>
      <c r="Y5730" s="23" t="str">
        <f aca="false">IF(AND(ISNUMBER(C5730),ISNUMBER(D5730)),D5730-C5730,"")</f>
        <v/>
      </c>
      <c r="Z5730" s="23" t="str">
        <f aca="false">IF(B5730="","",IF(MATCH(B5730,$B$2:$B$12000,0)=ROW()-1,1,0))</f>
        <v/>
      </c>
    </row>
    <row r="5731" customFormat="false" ht="15" hidden="false" customHeight="false" outlineLevel="0" collapsed="false">
      <c r="V5731" s="23" t="str">
        <f aca="false">IF(ISNUMBER(C5731),YEAR(C5731),"")</f>
        <v/>
      </c>
      <c r="W5731" s="23" t="str">
        <f aca="false">IF(ISNUMBER(C5731),MONTH(C5731),"")</f>
        <v/>
      </c>
      <c r="X5731" s="23" t="str">
        <f aca="false">IF(T5731="","",IF(T5731=0,"No discount",IF(T5731&lt;=0.2,"Low (1-20%)",IF(T5731&lt;=0.4,"Medium (21-40%)","High (&gt;40%)"))))</f>
        <v/>
      </c>
      <c r="Y5731" s="23" t="str">
        <f aca="false">IF(AND(ISNUMBER(C5731),ISNUMBER(D5731)),D5731-C5731,"")</f>
        <v/>
      </c>
      <c r="Z5731" s="23" t="str">
        <f aca="false">IF(B5731="","",IF(MATCH(B5731,$B$2:$B$12000,0)=ROW()-1,1,0))</f>
        <v/>
      </c>
    </row>
    <row r="5732" customFormat="false" ht="15" hidden="false" customHeight="false" outlineLevel="0" collapsed="false">
      <c r="V5732" s="23" t="str">
        <f aca="false">IF(ISNUMBER(C5732),YEAR(C5732),"")</f>
        <v/>
      </c>
      <c r="W5732" s="23" t="str">
        <f aca="false">IF(ISNUMBER(C5732),MONTH(C5732),"")</f>
        <v/>
      </c>
      <c r="X5732" s="23" t="str">
        <f aca="false">IF(T5732="","",IF(T5732=0,"No discount",IF(T5732&lt;=0.2,"Low (1-20%)",IF(T5732&lt;=0.4,"Medium (21-40%)","High (&gt;40%)"))))</f>
        <v/>
      </c>
      <c r="Y5732" s="23" t="str">
        <f aca="false">IF(AND(ISNUMBER(C5732),ISNUMBER(D5732)),D5732-C5732,"")</f>
        <v/>
      </c>
      <c r="Z5732" s="23" t="str">
        <f aca="false">IF(B5732="","",IF(MATCH(B5732,$B$2:$B$12000,0)=ROW()-1,1,0))</f>
        <v/>
      </c>
    </row>
    <row r="5733" customFormat="false" ht="15" hidden="false" customHeight="false" outlineLevel="0" collapsed="false">
      <c r="V5733" s="23" t="str">
        <f aca="false">IF(ISNUMBER(C5733),YEAR(C5733),"")</f>
        <v/>
      </c>
      <c r="W5733" s="23" t="str">
        <f aca="false">IF(ISNUMBER(C5733),MONTH(C5733),"")</f>
        <v/>
      </c>
      <c r="X5733" s="23" t="str">
        <f aca="false">IF(T5733="","",IF(T5733=0,"No discount",IF(T5733&lt;=0.2,"Low (1-20%)",IF(T5733&lt;=0.4,"Medium (21-40%)","High (&gt;40%)"))))</f>
        <v/>
      </c>
      <c r="Y5733" s="23" t="str">
        <f aca="false">IF(AND(ISNUMBER(C5733),ISNUMBER(D5733)),D5733-C5733,"")</f>
        <v/>
      </c>
      <c r="Z5733" s="23" t="str">
        <f aca="false">IF(B5733="","",IF(MATCH(B5733,$B$2:$B$12000,0)=ROW()-1,1,0))</f>
        <v/>
      </c>
    </row>
    <row r="5734" customFormat="false" ht="15" hidden="false" customHeight="false" outlineLevel="0" collapsed="false">
      <c r="V5734" s="23" t="str">
        <f aca="false">IF(ISNUMBER(C5734),YEAR(C5734),"")</f>
        <v/>
      </c>
      <c r="W5734" s="23" t="str">
        <f aca="false">IF(ISNUMBER(C5734),MONTH(C5734),"")</f>
        <v/>
      </c>
      <c r="X5734" s="23" t="str">
        <f aca="false">IF(T5734="","",IF(T5734=0,"No discount",IF(T5734&lt;=0.2,"Low (1-20%)",IF(T5734&lt;=0.4,"Medium (21-40%)","High (&gt;40%)"))))</f>
        <v/>
      </c>
      <c r="Y5734" s="23" t="str">
        <f aca="false">IF(AND(ISNUMBER(C5734),ISNUMBER(D5734)),D5734-C5734,"")</f>
        <v/>
      </c>
      <c r="Z5734" s="23" t="str">
        <f aca="false">IF(B5734="","",IF(MATCH(B5734,$B$2:$B$12000,0)=ROW()-1,1,0))</f>
        <v/>
      </c>
    </row>
    <row r="5735" customFormat="false" ht="15" hidden="false" customHeight="false" outlineLevel="0" collapsed="false">
      <c r="V5735" s="23" t="str">
        <f aca="false">IF(ISNUMBER(C5735),YEAR(C5735),"")</f>
        <v/>
      </c>
      <c r="W5735" s="23" t="str">
        <f aca="false">IF(ISNUMBER(C5735),MONTH(C5735),"")</f>
        <v/>
      </c>
      <c r="X5735" s="23" t="str">
        <f aca="false">IF(T5735="","",IF(T5735=0,"No discount",IF(T5735&lt;=0.2,"Low (1-20%)",IF(T5735&lt;=0.4,"Medium (21-40%)","High (&gt;40%)"))))</f>
        <v/>
      </c>
      <c r="Y5735" s="23" t="str">
        <f aca="false">IF(AND(ISNUMBER(C5735),ISNUMBER(D5735)),D5735-C5735,"")</f>
        <v/>
      </c>
      <c r="Z5735" s="23" t="str">
        <f aca="false">IF(B5735="","",IF(MATCH(B5735,$B$2:$B$12000,0)=ROW()-1,1,0))</f>
        <v/>
      </c>
    </row>
    <row r="5736" customFormat="false" ht="15" hidden="false" customHeight="false" outlineLevel="0" collapsed="false">
      <c r="V5736" s="23" t="str">
        <f aca="false">IF(ISNUMBER(C5736),YEAR(C5736),"")</f>
        <v/>
      </c>
      <c r="W5736" s="23" t="str">
        <f aca="false">IF(ISNUMBER(C5736),MONTH(C5736),"")</f>
        <v/>
      </c>
      <c r="X5736" s="23" t="str">
        <f aca="false">IF(T5736="","",IF(T5736=0,"No discount",IF(T5736&lt;=0.2,"Low (1-20%)",IF(T5736&lt;=0.4,"Medium (21-40%)","High (&gt;40%)"))))</f>
        <v/>
      </c>
      <c r="Y5736" s="23" t="str">
        <f aca="false">IF(AND(ISNUMBER(C5736),ISNUMBER(D5736)),D5736-C5736,"")</f>
        <v/>
      </c>
      <c r="Z5736" s="23" t="str">
        <f aca="false">IF(B5736="","",IF(MATCH(B5736,$B$2:$B$12000,0)=ROW()-1,1,0))</f>
        <v/>
      </c>
    </row>
    <row r="5737" customFormat="false" ht="15" hidden="false" customHeight="false" outlineLevel="0" collapsed="false">
      <c r="V5737" s="23" t="str">
        <f aca="false">IF(ISNUMBER(C5737),YEAR(C5737),"")</f>
        <v/>
      </c>
      <c r="W5737" s="23" t="str">
        <f aca="false">IF(ISNUMBER(C5737),MONTH(C5737),"")</f>
        <v/>
      </c>
      <c r="X5737" s="23" t="str">
        <f aca="false">IF(T5737="","",IF(T5737=0,"No discount",IF(T5737&lt;=0.2,"Low (1-20%)",IF(T5737&lt;=0.4,"Medium (21-40%)","High (&gt;40%)"))))</f>
        <v/>
      </c>
      <c r="Y5737" s="23" t="str">
        <f aca="false">IF(AND(ISNUMBER(C5737),ISNUMBER(D5737)),D5737-C5737,"")</f>
        <v/>
      </c>
      <c r="Z5737" s="23" t="str">
        <f aca="false">IF(B5737="","",IF(MATCH(B5737,$B$2:$B$12000,0)=ROW()-1,1,0))</f>
        <v/>
      </c>
    </row>
    <row r="5738" customFormat="false" ht="15" hidden="false" customHeight="false" outlineLevel="0" collapsed="false">
      <c r="V5738" s="23" t="str">
        <f aca="false">IF(ISNUMBER(C5738),YEAR(C5738),"")</f>
        <v/>
      </c>
      <c r="W5738" s="23" t="str">
        <f aca="false">IF(ISNUMBER(C5738),MONTH(C5738),"")</f>
        <v/>
      </c>
      <c r="X5738" s="23" t="str">
        <f aca="false">IF(T5738="","",IF(T5738=0,"No discount",IF(T5738&lt;=0.2,"Low (1-20%)",IF(T5738&lt;=0.4,"Medium (21-40%)","High (&gt;40%)"))))</f>
        <v/>
      </c>
      <c r="Y5738" s="23" t="str">
        <f aca="false">IF(AND(ISNUMBER(C5738),ISNUMBER(D5738)),D5738-C5738,"")</f>
        <v/>
      </c>
      <c r="Z5738" s="23" t="str">
        <f aca="false">IF(B5738="","",IF(MATCH(B5738,$B$2:$B$12000,0)=ROW()-1,1,0))</f>
        <v/>
      </c>
    </row>
    <row r="5739" customFormat="false" ht="15" hidden="false" customHeight="false" outlineLevel="0" collapsed="false">
      <c r="V5739" s="23" t="str">
        <f aca="false">IF(ISNUMBER(C5739),YEAR(C5739),"")</f>
        <v/>
      </c>
      <c r="W5739" s="23" t="str">
        <f aca="false">IF(ISNUMBER(C5739),MONTH(C5739),"")</f>
        <v/>
      </c>
      <c r="X5739" s="23" t="str">
        <f aca="false">IF(T5739="","",IF(T5739=0,"No discount",IF(T5739&lt;=0.2,"Low (1-20%)",IF(T5739&lt;=0.4,"Medium (21-40%)","High (&gt;40%)"))))</f>
        <v/>
      </c>
      <c r="Y5739" s="23" t="str">
        <f aca="false">IF(AND(ISNUMBER(C5739),ISNUMBER(D5739)),D5739-C5739,"")</f>
        <v/>
      </c>
      <c r="Z5739" s="23" t="str">
        <f aca="false">IF(B5739="","",IF(MATCH(B5739,$B$2:$B$12000,0)=ROW()-1,1,0))</f>
        <v/>
      </c>
    </row>
    <row r="5740" customFormat="false" ht="15" hidden="false" customHeight="false" outlineLevel="0" collapsed="false">
      <c r="V5740" s="23" t="str">
        <f aca="false">IF(ISNUMBER(C5740),YEAR(C5740),"")</f>
        <v/>
      </c>
      <c r="W5740" s="23" t="str">
        <f aca="false">IF(ISNUMBER(C5740),MONTH(C5740),"")</f>
        <v/>
      </c>
      <c r="X5740" s="23" t="str">
        <f aca="false">IF(T5740="","",IF(T5740=0,"No discount",IF(T5740&lt;=0.2,"Low (1-20%)",IF(T5740&lt;=0.4,"Medium (21-40%)","High (&gt;40%)"))))</f>
        <v/>
      </c>
      <c r="Y5740" s="23" t="str">
        <f aca="false">IF(AND(ISNUMBER(C5740),ISNUMBER(D5740)),D5740-C5740,"")</f>
        <v/>
      </c>
      <c r="Z5740" s="23" t="str">
        <f aca="false">IF(B5740="","",IF(MATCH(B5740,$B$2:$B$12000,0)=ROW()-1,1,0))</f>
        <v/>
      </c>
    </row>
    <row r="5741" customFormat="false" ht="15" hidden="false" customHeight="false" outlineLevel="0" collapsed="false">
      <c r="V5741" s="23" t="str">
        <f aca="false">IF(ISNUMBER(C5741),YEAR(C5741),"")</f>
        <v/>
      </c>
      <c r="W5741" s="23" t="str">
        <f aca="false">IF(ISNUMBER(C5741),MONTH(C5741),"")</f>
        <v/>
      </c>
      <c r="X5741" s="23" t="str">
        <f aca="false">IF(T5741="","",IF(T5741=0,"No discount",IF(T5741&lt;=0.2,"Low (1-20%)",IF(T5741&lt;=0.4,"Medium (21-40%)","High (&gt;40%)"))))</f>
        <v/>
      </c>
      <c r="Y5741" s="23" t="str">
        <f aca="false">IF(AND(ISNUMBER(C5741),ISNUMBER(D5741)),D5741-C5741,"")</f>
        <v/>
      </c>
      <c r="Z5741" s="23" t="str">
        <f aca="false">IF(B5741="","",IF(MATCH(B5741,$B$2:$B$12000,0)=ROW()-1,1,0))</f>
        <v/>
      </c>
    </row>
    <row r="5742" customFormat="false" ht="15" hidden="false" customHeight="false" outlineLevel="0" collapsed="false">
      <c r="V5742" s="23" t="str">
        <f aca="false">IF(ISNUMBER(C5742),YEAR(C5742),"")</f>
        <v/>
      </c>
      <c r="W5742" s="23" t="str">
        <f aca="false">IF(ISNUMBER(C5742),MONTH(C5742),"")</f>
        <v/>
      </c>
      <c r="X5742" s="23" t="str">
        <f aca="false">IF(T5742="","",IF(T5742=0,"No discount",IF(T5742&lt;=0.2,"Low (1-20%)",IF(T5742&lt;=0.4,"Medium (21-40%)","High (&gt;40%)"))))</f>
        <v/>
      </c>
      <c r="Y5742" s="23" t="str">
        <f aca="false">IF(AND(ISNUMBER(C5742),ISNUMBER(D5742)),D5742-C5742,"")</f>
        <v/>
      </c>
      <c r="Z5742" s="23" t="str">
        <f aca="false">IF(B5742="","",IF(MATCH(B5742,$B$2:$B$12000,0)=ROW()-1,1,0))</f>
        <v/>
      </c>
    </row>
    <row r="5743" customFormat="false" ht="15" hidden="false" customHeight="false" outlineLevel="0" collapsed="false">
      <c r="V5743" s="23" t="str">
        <f aca="false">IF(ISNUMBER(C5743),YEAR(C5743),"")</f>
        <v/>
      </c>
      <c r="W5743" s="23" t="str">
        <f aca="false">IF(ISNUMBER(C5743),MONTH(C5743),"")</f>
        <v/>
      </c>
      <c r="X5743" s="23" t="str">
        <f aca="false">IF(T5743="","",IF(T5743=0,"No discount",IF(T5743&lt;=0.2,"Low (1-20%)",IF(T5743&lt;=0.4,"Medium (21-40%)","High (&gt;40%)"))))</f>
        <v/>
      </c>
      <c r="Y5743" s="23" t="str">
        <f aca="false">IF(AND(ISNUMBER(C5743),ISNUMBER(D5743)),D5743-C5743,"")</f>
        <v/>
      </c>
      <c r="Z5743" s="23" t="str">
        <f aca="false">IF(B5743="","",IF(MATCH(B5743,$B$2:$B$12000,0)=ROW()-1,1,0))</f>
        <v/>
      </c>
    </row>
    <row r="5744" customFormat="false" ht="15" hidden="false" customHeight="false" outlineLevel="0" collapsed="false">
      <c r="V5744" s="23" t="str">
        <f aca="false">IF(ISNUMBER(C5744),YEAR(C5744),"")</f>
        <v/>
      </c>
      <c r="W5744" s="23" t="str">
        <f aca="false">IF(ISNUMBER(C5744),MONTH(C5744),"")</f>
        <v/>
      </c>
      <c r="X5744" s="23" t="str">
        <f aca="false">IF(T5744="","",IF(T5744=0,"No discount",IF(T5744&lt;=0.2,"Low (1-20%)",IF(T5744&lt;=0.4,"Medium (21-40%)","High (&gt;40%)"))))</f>
        <v/>
      </c>
      <c r="Y5744" s="23" t="str">
        <f aca="false">IF(AND(ISNUMBER(C5744),ISNUMBER(D5744)),D5744-C5744,"")</f>
        <v/>
      </c>
      <c r="Z5744" s="23" t="str">
        <f aca="false">IF(B5744="","",IF(MATCH(B5744,$B$2:$B$12000,0)=ROW()-1,1,0))</f>
        <v/>
      </c>
    </row>
    <row r="5745" customFormat="false" ht="15" hidden="false" customHeight="false" outlineLevel="0" collapsed="false">
      <c r="V5745" s="23" t="str">
        <f aca="false">IF(ISNUMBER(C5745),YEAR(C5745),"")</f>
        <v/>
      </c>
      <c r="W5745" s="23" t="str">
        <f aca="false">IF(ISNUMBER(C5745),MONTH(C5745),"")</f>
        <v/>
      </c>
      <c r="X5745" s="23" t="str">
        <f aca="false">IF(T5745="","",IF(T5745=0,"No discount",IF(T5745&lt;=0.2,"Low (1-20%)",IF(T5745&lt;=0.4,"Medium (21-40%)","High (&gt;40%)"))))</f>
        <v/>
      </c>
      <c r="Y5745" s="23" t="str">
        <f aca="false">IF(AND(ISNUMBER(C5745),ISNUMBER(D5745)),D5745-C5745,"")</f>
        <v/>
      </c>
      <c r="Z5745" s="23" t="str">
        <f aca="false">IF(B5745="","",IF(MATCH(B5745,$B$2:$B$12000,0)=ROW()-1,1,0))</f>
        <v/>
      </c>
    </row>
    <row r="5746" customFormat="false" ht="15" hidden="false" customHeight="false" outlineLevel="0" collapsed="false">
      <c r="V5746" s="23" t="str">
        <f aca="false">IF(ISNUMBER(C5746),YEAR(C5746),"")</f>
        <v/>
      </c>
      <c r="W5746" s="23" t="str">
        <f aca="false">IF(ISNUMBER(C5746),MONTH(C5746),"")</f>
        <v/>
      </c>
      <c r="X5746" s="23" t="str">
        <f aca="false">IF(T5746="","",IF(T5746=0,"No discount",IF(T5746&lt;=0.2,"Low (1-20%)",IF(T5746&lt;=0.4,"Medium (21-40%)","High (&gt;40%)"))))</f>
        <v/>
      </c>
      <c r="Y5746" s="23" t="str">
        <f aca="false">IF(AND(ISNUMBER(C5746),ISNUMBER(D5746)),D5746-C5746,"")</f>
        <v/>
      </c>
      <c r="Z5746" s="23" t="str">
        <f aca="false">IF(B5746="","",IF(MATCH(B5746,$B$2:$B$12000,0)=ROW()-1,1,0))</f>
        <v/>
      </c>
    </row>
    <row r="5747" customFormat="false" ht="15" hidden="false" customHeight="false" outlineLevel="0" collapsed="false">
      <c r="V5747" s="23" t="str">
        <f aca="false">IF(ISNUMBER(C5747),YEAR(C5747),"")</f>
        <v/>
      </c>
      <c r="W5747" s="23" t="str">
        <f aca="false">IF(ISNUMBER(C5747),MONTH(C5747),"")</f>
        <v/>
      </c>
      <c r="X5747" s="23" t="str">
        <f aca="false">IF(T5747="","",IF(T5747=0,"No discount",IF(T5747&lt;=0.2,"Low (1-20%)",IF(T5747&lt;=0.4,"Medium (21-40%)","High (&gt;40%)"))))</f>
        <v/>
      </c>
      <c r="Y5747" s="23" t="str">
        <f aca="false">IF(AND(ISNUMBER(C5747),ISNUMBER(D5747)),D5747-C5747,"")</f>
        <v/>
      </c>
      <c r="Z5747" s="23" t="str">
        <f aca="false">IF(B5747="","",IF(MATCH(B5747,$B$2:$B$12000,0)=ROW()-1,1,0))</f>
        <v/>
      </c>
    </row>
    <row r="5748" customFormat="false" ht="15" hidden="false" customHeight="false" outlineLevel="0" collapsed="false">
      <c r="V5748" s="23" t="str">
        <f aca="false">IF(ISNUMBER(C5748),YEAR(C5748),"")</f>
        <v/>
      </c>
      <c r="W5748" s="23" t="str">
        <f aca="false">IF(ISNUMBER(C5748),MONTH(C5748),"")</f>
        <v/>
      </c>
      <c r="X5748" s="23" t="str">
        <f aca="false">IF(T5748="","",IF(T5748=0,"No discount",IF(T5748&lt;=0.2,"Low (1-20%)",IF(T5748&lt;=0.4,"Medium (21-40%)","High (&gt;40%)"))))</f>
        <v/>
      </c>
      <c r="Y5748" s="23" t="str">
        <f aca="false">IF(AND(ISNUMBER(C5748),ISNUMBER(D5748)),D5748-C5748,"")</f>
        <v/>
      </c>
      <c r="Z5748" s="23" t="str">
        <f aca="false">IF(B5748="","",IF(MATCH(B5748,$B$2:$B$12000,0)=ROW()-1,1,0))</f>
        <v/>
      </c>
    </row>
    <row r="5749" customFormat="false" ht="15" hidden="false" customHeight="false" outlineLevel="0" collapsed="false">
      <c r="V5749" s="23" t="str">
        <f aca="false">IF(ISNUMBER(C5749),YEAR(C5749),"")</f>
        <v/>
      </c>
      <c r="W5749" s="23" t="str">
        <f aca="false">IF(ISNUMBER(C5749),MONTH(C5749),"")</f>
        <v/>
      </c>
      <c r="X5749" s="23" t="str">
        <f aca="false">IF(T5749="","",IF(T5749=0,"No discount",IF(T5749&lt;=0.2,"Low (1-20%)",IF(T5749&lt;=0.4,"Medium (21-40%)","High (&gt;40%)"))))</f>
        <v/>
      </c>
      <c r="Y5749" s="23" t="str">
        <f aca="false">IF(AND(ISNUMBER(C5749),ISNUMBER(D5749)),D5749-C5749,"")</f>
        <v/>
      </c>
      <c r="Z5749" s="23" t="str">
        <f aca="false">IF(B5749="","",IF(MATCH(B5749,$B$2:$B$12000,0)=ROW()-1,1,0))</f>
        <v/>
      </c>
    </row>
    <row r="5750" customFormat="false" ht="15" hidden="false" customHeight="false" outlineLevel="0" collapsed="false">
      <c r="V5750" s="23" t="str">
        <f aca="false">IF(ISNUMBER(C5750),YEAR(C5750),"")</f>
        <v/>
      </c>
      <c r="W5750" s="23" t="str">
        <f aca="false">IF(ISNUMBER(C5750),MONTH(C5750),"")</f>
        <v/>
      </c>
      <c r="X5750" s="23" t="str">
        <f aca="false">IF(T5750="","",IF(T5750=0,"No discount",IF(T5750&lt;=0.2,"Low (1-20%)",IF(T5750&lt;=0.4,"Medium (21-40%)","High (&gt;40%)"))))</f>
        <v/>
      </c>
      <c r="Y5750" s="23" t="str">
        <f aca="false">IF(AND(ISNUMBER(C5750),ISNUMBER(D5750)),D5750-C5750,"")</f>
        <v/>
      </c>
      <c r="Z5750" s="23" t="str">
        <f aca="false">IF(B5750="","",IF(MATCH(B5750,$B$2:$B$12000,0)=ROW()-1,1,0))</f>
        <v/>
      </c>
    </row>
    <row r="5751" customFormat="false" ht="15" hidden="false" customHeight="false" outlineLevel="0" collapsed="false">
      <c r="V5751" s="23" t="str">
        <f aca="false">IF(ISNUMBER(C5751),YEAR(C5751),"")</f>
        <v/>
      </c>
      <c r="W5751" s="23" t="str">
        <f aca="false">IF(ISNUMBER(C5751),MONTH(C5751),"")</f>
        <v/>
      </c>
      <c r="X5751" s="23" t="str">
        <f aca="false">IF(T5751="","",IF(T5751=0,"No discount",IF(T5751&lt;=0.2,"Low (1-20%)",IF(T5751&lt;=0.4,"Medium (21-40%)","High (&gt;40%)"))))</f>
        <v/>
      </c>
      <c r="Y5751" s="23" t="str">
        <f aca="false">IF(AND(ISNUMBER(C5751),ISNUMBER(D5751)),D5751-C5751,"")</f>
        <v/>
      </c>
      <c r="Z5751" s="23" t="str">
        <f aca="false">IF(B5751="","",IF(MATCH(B5751,$B$2:$B$12000,0)=ROW()-1,1,0))</f>
        <v/>
      </c>
    </row>
    <row r="5752" customFormat="false" ht="15" hidden="false" customHeight="false" outlineLevel="0" collapsed="false">
      <c r="V5752" s="23" t="str">
        <f aca="false">IF(ISNUMBER(C5752),YEAR(C5752),"")</f>
        <v/>
      </c>
      <c r="W5752" s="23" t="str">
        <f aca="false">IF(ISNUMBER(C5752),MONTH(C5752),"")</f>
        <v/>
      </c>
      <c r="X5752" s="23" t="str">
        <f aca="false">IF(T5752="","",IF(T5752=0,"No discount",IF(T5752&lt;=0.2,"Low (1-20%)",IF(T5752&lt;=0.4,"Medium (21-40%)","High (&gt;40%)"))))</f>
        <v/>
      </c>
      <c r="Y5752" s="23" t="str">
        <f aca="false">IF(AND(ISNUMBER(C5752),ISNUMBER(D5752)),D5752-C5752,"")</f>
        <v/>
      </c>
      <c r="Z5752" s="23" t="str">
        <f aca="false">IF(B5752="","",IF(MATCH(B5752,$B$2:$B$12000,0)=ROW()-1,1,0))</f>
        <v/>
      </c>
    </row>
    <row r="5753" customFormat="false" ht="15" hidden="false" customHeight="false" outlineLevel="0" collapsed="false">
      <c r="V5753" s="23" t="str">
        <f aca="false">IF(ISNUMBER(C5753),YEAR(C5753),"")</f>
        <v/>
      </c>
      <c r="W5753" s="23" t="str">
        <f aca="false">IF(ISNUMBER(C5753),MONTH(C5753),"")</f>
        <v/>
      </c>
      <c r="X5753" s="23" t="str">
        <f aca="false">IF(T5753="","",IF(T5753=0,"No discount",IF(T5753&lt;=0.2,"Low (1-20%)",IF(T5753&lt;=0.4,"Medium (21-40%)","High (&gt;40%)"))))</f>
        <v/>
      </c>
      <c r="Y5753" s="23" t="str">
        <f aca="false">IF(AND(ISNUMBER(C5753),ISNUMBER(D5753)),D5753-C5753,"")</f>
        <v/>
      </c>
      <c r="Z5753" s="23" t="str">
        <f aca="false">IF(B5753="","",IF(MATCH(B5753,$B$2:$B$12000,0)=ROW()-1,1,0))</f>
        <v/>
      </c>
    </row>
    <row r="5754" customFormat="false" ht="15" hidden="false" customHeight="false" outlineLevel="0" collapsed="false">
      <c r="V5754" s="23" t="str">
        <f aca="false">IF(ISNUMBER(C5754),YEAR(C5754),"")</f>
        <v/>
      </c>
      <c r="W5754" s="23" t="str">
        <f aca="false">IF(ISNUMBER(C5754),MONTH(C5754),"")</f>
        <v/>
      </c>
      <c r="X5754" s="23" t="str">
        <f aca="false">IF(T5754="","",IF(T5754=0,"No discount",IF(T5754&lt;=0.2,"Low (1-20%)",IF(T5754&lt;=0.4,"Medium (21-40%)","High (&gt;40%)"))))</f>
        <v/>
      </c>
      <c r="Y5754" s="23" t="str">
        <f aca="false">IF(AND(ISNUMBER(C5754),ISNUMBER(D5754)),D5754-C5754,"")</f>
        <v/>
      </c>
      <c r="Z5754" s="23" t="str">
        <f aca="false">IF(B5754="","",IF(MATCH(B5754,$B$2:$B$12000,0)=ROW()-1,1,0))</f>
        <v/>
      </c>
    </row>
    <row r="5755" customFormat="false" ht="15" hidden="false" customHeight="false" outlineLevel="0" collapsed="false">
      <c r="V5755" s="23" t="str">
        <f aca="false">IF(ISNUMBER(C5755),YEAR(C5755),"")</f>
        <v/>
      </c>
      <c r="W5755" s="23" t="str">
        <f aca="false">IF(ISNUMBER(C5755),MONTH(C5755),"")</f>
        <v/>
      </c>
      <c r="X5755" s="23" t="str">
        <f aca="false">IF(T5755="","",IF(T5755=0,"No discount",IF(T5755&lt;=0.2,"Low (1-20%)",IF(T5755&lt;=0.4,"Medium (21-40%)","High (&gt;40%)"))))</f>
        <v/>
      </c>
      <c r="Y5755" s="23" t="str">
        <f aca="false">IF(AND(ISNUMBER(C5755),ISNUMBER(D5755)),D5755-C5755,"")</f>
        <v/>
      </c>
      <c r="Z5755" s="23" t="str">
        <f aca="false">IF(B5755="","",IF(MATCH(B5755,$B$2:$B$12000,0)=ROW()-1,1,0))</f>
        <v/>
      </c>
    </row>
    <row r="5756" customFormat="false" ht="15" hidden="false" customHeight="false" outlineLevel="0" collapsed="false">
      <c r="V5756" s="23" t="str">
        <f aca="false">IF(ISNUMBER(C5756),YEAR(C5756),"")</f>
        <v/>
      </c>
      <c r="W5756" s="23" t="str">
        <f aca="false">IF(ISNUMBER(C5756),MONTH(C5756),"")</f>
        <v/>
      </c>
      <c r="X5756" s="23" t="str">
        <f aca="false">IF(T5756="","",IF(T5756=0,"No discount",IF(T5756&lt;=0.2,"Low (1-20%)",IF(T5756&lt;=0.4,"Medium (21-40%)","High (&gt;40%)"))))</f>
        <v/>
      </c>
      <c r="Y5756" s="23" t="str">
        <f aca="false">IF(AND(ISNUMBER(C5756),ISNUMBER(D5756)),D5756-C5756,"")</f>
        <v/>
      </c>
      <c r="Z5756" s="23" t="str">
        <f aca="false">IF(B5756="","",IF(MATCH(B5756,$B$2:$B$12000,0)=ROW()-1,1,0))</f>
        <v/>
      </c>
    </row>
    <row r="5757" customFormat="false" ht="15" hidden="false" customHeight="false" outlineLevel="0" collapsed="false">
      <c r="V5757" s="23" t="str">
        <f aca="false">IF(ISNUMBER(C5757),YEAR(C5757),"")</f>
        <v/>
      </c>
      <c r="W5757" s="23" t="str">
        <f aca="false">IF(ISNUMBER(C5757),MONTH(C5757),"")</f>
        <v/>
      </c>
      <c r="X5757" s="23" t="str">
        <f aca="false">IF(T5757="","",IF(T5757=0,"No discount",IF(T5757&lt;=0.2,"Low (1-20%)",IF(T5757&lt;=0.4,"Medium (21-40%)","High (&gt;40%)"))))</f>
        <v/>
      </c>
      <c r="Y5757" s="23" t="str">
        <f aca="false">IF(AND(ISNUMBER(C5757),ISNUMBER(D5757)),D5757-C5757,"")</f>
        <v/>
      </c>
      <c r="Z5757" s="23" t="str">
        <f aca="false">IF(B5757="","",IF(MATCH(B5757,$B$2:$B$12000,0)=ROW()-1,1,0))</f>
        <v/>
      </c>
    </row>
    <row r="5758" customFormat="false" ht="15" hidden="false" customHeight="false" outlineLevel="0" collapsed="false">
      <c r="V5758" s="23" t="str">
        <f aca="false">IF(ISNUMBER(C5758),YEAR(C5758),"")</f>
        <v/>
      </c>
      <c r="W5758" s="23" t="str">
        <f aca="false">IF(ISNUMBER(C5758),MONTH(C5758),"")</f>
        <v/>
      </c>
      <c r="X5758" s="23" t="str">
        <f aca="false">IF(T5758="","",IF(T5758=0,"No discount",IF(T5758&lt;=0.2,"Low (1-20%)",IF(T5758&lt;=0.4,"Medium (21-40%)","High (&gt;40%)"))))</f>
        <v/>
      </c>
      <c r="Y5758" s="23" t="str">
        <f aca="false">IF(AND(ISNUMBER(C5758),ISNUMBER(D5758)),D5758-C5758,"")</f>
        <v/>
      </c>
      <c r="Z5758" s="23" t="str">
        <f aca="false">IF(B5758="","",IF(MATCH(B5758,$B$2:$B$12000,0)=ROW()-1,1,0))</f>
        <v/>
      </c>
    </row>
    <row r="5759" customFormat="false" ht="15" hidden="false" customHeight="false" outlineLevel="0" collapsed="false">
      <c r="V5759" s="23" t="str">
        <f aca="false">IF(ISNUMBER(C5759),YEAR(C5759),"")</f>
        <v/>
      </c>
      <c r="W5759" s="23" t="str">
        <f aca="false">IF(ISNUMBER(C5759),MONTH(C5759),"")</f>
        <v/>
      </c>
      <c r="X5759" s="23" t="str">
        <f aca="false">IF(T5759="","",IF(T5759=0,"No discount",IF(T5759&lt;=0.2,"Low (1-20%)",IF(T5759&lt;=0.4,"Medium (21-40%)","High (&gt;40%)"))))</f>
        <v/>
      </c>
      <c r="Y5759" s="23" t="str">
        <f aca="false">IF(AND(ISNUMBER(C5759),ISNUMBER(D5759)),D5759-C5759,"")</f>
        <v/>
      </c>
      <c r="Z5759" s="23" t="str">
        <f aca="false">IF(B5759="","",IF(MATCH(B5759,$B$2:$B$12000,0)=ROW()-1,1,0))</f>
        <v/>
      </c>
    </row>
    <row r="5760" customFormat="false" ht="15" hidden="false" customHeight="false" outlineLevel="0" collapsed="false">
      <c r="V5760" s="23" t="str">
        <f aca="false">IF(ISNUMBER(C5760),YEAR(C5760),"")</f>
        <v/>
      </c>
      <c r="W5760" s="23" t="str">
        <f aca="false">IF(ISNUMBER(C5760),MONTH(C5760),"")</f>
        <v/>
      </c>
      <c r="X5760" s="23" t="str">
        <f aca="false">IF(T5760="","",IF(T5760=0,"No discount",IF(T5760&lt;=0.2,"Low (1-20%)",IF(T5760&lt;=0.4,"Medium (21-40%)","High (&gt;40%)"))))</f>
        <v/>
      </c>
      <c r="Y5760" s="23" t="str">
        <f aca="false">IF(AND(ISNUMBER(C5760),ISNUMBER(D5760)),D5760-C5760,"")</f>
        <v/>
      </c>
      <c r="Z5760" s="23" t="str">
        <f aca="false">IF(B5760="","",IF(MATCH(B5760,$B$2:$B$12000,0)=ROW()-1,1,0))</f>
        <v/>
      </c>
    </row>
    <row r="5761" customFormat="false" ht="15" hidden="false" customHeight="false" outlineLevel="0" collapsed="false">
      <c r="V5761" s="23" t="str">
        <f aca="false">IF(ISNUMBER(C5761),YEAR(C5761),"")</f>
        <v/>
      </c>
      <c r="W5761" s="23" t="str">
        <f aca="false">IF(ISNUMBER(C5761),MONTH(C5761),"")</f>
        <v/>
      </c>
      <c r="X5761" s="23" t="str">
        <f aca="false">IF(T5761="","",IF(T5761=0,"No discount",IF(T5761&lt;=0.2,"Low (1-20%)",IF(T5761&lt;=0.4,"Medium (21-40%)","High (&gt;40%)"))))</f>
        <v/>
      </c>
      <c r="Y5761" s="23" t="str">
        <f aca="false">IF(AND(ISNUMBER(C5761),ISNUMBER(D5761)),D5761-C5761,"")</f>
        <v/>
      </c>
      <c r="Z5761" s="23" t="str">
        <f aca="false">IF(B5761="","",IF(MATCH(B5761,$B$2:$B$12000,0)=ROW()-1,1,0))</f>
        <v/>
      </c>
    </row>
    <row r="5762" customFormat="false" ht="15" hidden="false" customHeight="false" outlineLevel="0" collapsed="false">
      <c r="V5762" s="23" t="str">
        <f aca="false">IF(ISNUMBER(C5762),YEAR(C5762),"")</f>
        <v/>
      </c>
      <c r="W5762" s="23" t="str">
        <f aca="false">IF(ISNUMBER(C5762),MONTH(C5762),"")</f>
        <v/>
      </c>
      <c r="X5762" s="23" t="str">
        <f aca="false">IF(T5762="","",IF(T5762=0,"No discount",IF(T5762&lt;=0.2,"Low (1-20%)",IF(T5762&lt;=0.4,"Medium (21-40%)","High (&gt;40%)"))))</f>
        <v/>
      </c>
      <c r="Y5762" s="23" t="str">
        <f aca="false">IF(AND(ISNUMBER(C5762),ISNUMBER(D5762)),D5762-C5762,"")</f>
        <v/>
      </c>
      <c r="Z5762" s="23" t="str">
        <f aca="false">IF(B5762="","",IF(MATCH(B5762,$B$2:$B$12000,0)=ROW()-1,1,0))</f>
        <v/>
      </c>
    </row>
    <row r="5763" customFormat="false" ht="15" hidden="false" customHeight="false" outlineLevel="0" collapsed="false">
      <c r="V5763" s="23" t="str">
        <f aca="false">IF(ISNUMBER(C5763),YEAR(C5763),"")</f>
        <v/>
      </c>
      <c r="W5763" s="23" t="str">
        <f aca="false">IF(ISNUMBER(C5763),MONTH(C5763),"")</f>
        <v/>
      </c>
      <c r="X5763" s="23" t="str">
        <f aca="false">IF(T5763="","",IF(T5763=0,"No discount",IF(T5763&lt;=0.2,"Low (1-20%)",IF(T5763&lt;=0.4,"Medium (21-40%)","High (&gt;40%)"))))</f>
        <v/>
      </c>
      <c r="Y5763" s="23" t="str">
        <f aca="false">IF(AND(ISNUMBER(C5763),ISNUMBER(D5763)),D5763-C5763,"")</f>
        <v/>
      </c>
      <c r="Z5763" s="23" t="str">
        <f aca="false">IF(B5763="","",IF(MATCH(B5763,$B$2:$B$12000,0)=ROW()-1,1,0))</f>
        <v/>
      </c>
    </row>
    <row r="5764" customFormat="false" ht="15" hidden="false" customHeight="false" outlineLevel="0" collapsed="false">
      <c r="V5764" s="23" t="str">
        <f aca="false">IF(ISNUMBER(C5764),YEAR(C5764),"")</f>
        <v/>
      </c>
      <c r="W5764" s="23" t="str">
        <f aca="false">IF(ISNUMBER(C5764),MONTH(C5764),"")</f>
        <v/>
      </c>
      <c r="X5764" s="23" t="str">
        <f aca="false">IF(T5764="","",IF(T5764=0,"No discount",IF(T5764&lt;=0.2,"Low (1-20%)",IF(T5764&lt;=0.4,"Medium (21-40%)","High (&gt;40%)"))))</f>
        <v/>
      </c>
      <c r="Y5764" s="23" t="str">
        <f aca="false">IF(AND(ISNUMBER(C5764),ISNUMBER(D5764)),D5764-C5764,"")</f>
        <v/>
      </c>
      <c r="Z5764" s="23" t="str">
        <f aca="false">IF(B5764="","",IF(MATCH(B5764,$B$2:$B$12000,0)=ROW()-1,1,0))</f>
        <v/>
      </c>
    </row>
    <row r="5765" customFormat="false" ht="15" hidden="false" customHeight="false" outlineLevel="0" collapsed="false">
      <c r="V5765" s="23" t="str">
        <f aca="false">IF(ISNUMBER(C5765),YEAR(C5765),"")</f>
        <v/>
      </c>
      <c r="W5765" s="23" t="str">
        <f aca="false">IF(ISNUMBER(C5765),MONTH(C5765),"")</f>
        <v/>
      </c>
      <c r="X5765" s="23" t="str">
        <f aca="false">IF(T5765="","",IF(T5765=0,"No discount",IF(T5765&lt;=0.2,"Low (1-20%)",IF(T5765&lt;=0.4,"Medium (21-40%)","High (&gt;40%)"))))</f>
        <v/>
      </c>
      <c r="Y5765" s="23" t="str">
        <f aca="false">IF(AND(ISNUMBER(C5765),ISNUMBER(D5765)),D5765-C5765,"")</f>
        <v/>
      </c>
      <c r="Z5765" s="23" t="str">
        <f aca="false">IF(B5765="","",IF(MATCH(B5765,$B$2:$B$12000,0)=ROW()-1,1,0))</f>
        <v/>
      </c>
    </row>
    <row r="5766" customFormat="false" ht="15" hidden="false" customHeight="false" outlineLevel="0" collapsed="false">
      <c r="V5766" s="23" t="str">
        <f aca="false">IF(ISNUMBER(C5766),YEAR(C5766),"")</f>
        <v/>
      </c>
      <c r="W5766" s="23" t="str">
        <f aca="false">IF(ISNUMBER(C5766),MONTH(C5766),"")</f>
        <v/>
      </c>
      <c r="X5766" s="23" t="str">
        <f aca="false">IF(T5766="","",IF(T5766=0,"No discount",IF(T5766&lt;=0.2,"Low (1-20%)",IF(T5766&lt;=0.4,"Medium (21-40%)","High (&gt;40%)"))))</f>
        <v/>
      </c>
      <c r="Y5766" s="23" t="str">
        <f aca="false">IF(AND(ISNUMBER(C5766),ISNUMBER(D5766)),D5766-C5766,"")</f>
        <v/>
      </c>
      <c r="Z5766" s="23" t="str">
        <f aca="false">IF(B5766="","",IF(MATCH(B5766,$B$2:$B$12000,0)=ROW()-1,1,0))</f>
        <v/>
      </c>
    </row>
    <row r="5767" customFormat="false" ht="15" hidden="false" customHeight="false" outlineLevel="0" collapsed="false">
      <c r="V5767" s="23" t="str">
        <f aca="false">IF(ISNUMBER(C5767),YEAR(C5767),"")</f>
        <v/>
      </c>
      <c r="W5767" s="23" t="str">
        <f aca="false">IF(ISNUMBER(C5767),MONTH(C5767),"")</f>
        <v/>
      </c>
      <c r="X5767" s="23" t="str">
        <f aca="false">IF(T5767="","",IF(T5767=0,"No discount",IF(T5767&lt;=0.2,"Low (1-20%)",IF(T5767&lt;=0.4,"Medium (21-40%)","High (&gt;40%)"))))</f>
        <v/>
      </c>
      <c r="Y5767" s="23" t="str">
        <f aca="false">IF(AND(ISNUMBER(C5767),ISNUMBER(D5767)),D5767-C5767,"")</f>
        <v/>
      </c>
      <c r="Z5767" s="23" t="str">
        <f aca="false">IF(B5767="","",IF(MATCH(B5767,$B$2:$B$12000,0)=ROW()-1,1,0))</f>
        <v/>
      </c>
    </row>
    <row r="5768" customFormat="false" ht="15" hidden="false" customHeight="false" outlineLevel="0" collapsed="false">
      <c r="V5768" s="23" t="str">
        <f aca="false">IF(ISNUMBER(C5768),YEAR(C5768),"")</f>
        <v/>
      </c>
      <c r="W5768" s="23" t="str">
        <f aca="false">IF(ISNUMBER(C5768),MONTH(C5768),"")</f>
        <v/>
      </c>
      <c r="X5768" s="23" t="str">
        <f aca="false">IF(T5768="","",IF(T5768=0,"No discount",IF(T5768&lt;=0.2,"Low (1-20%)",IF(T5768&lt;=0.4,"Medium (21-40%)","High (&gt;40%)"))))</f>
        <v/>
      </c>
      <c r="Y5768" s="23" t="str">
        <f aca="false">IF(AND(ISNUMBER(C5768),ISNUMBER(D5768)),D5768-C5768,"")</f>
        <v/>
      </c>
      <c r="Z5768" s="23" t="str">
        <f aca="false">IF(B5768="","",IF(MATCH(B5768,$B$2:$B$12000,0)=ROW()-1,1,0))</f>
        <v/>
      </c>
    </row>
    <row r="5769" customFormat="false" ht="15" hidden="false" customHeight="false" outlineLevel="0" collapsed="false">
      <c r="V5769" s="23" t="str">
        <f aca="false">IF(ISNUMBER(C5769),YEAR(C5769),"")</f>
        <v/>
      </c>
      <c r="W5769" s="23" t="str">
        <f aca="false">IF(ISNUMBER(C5769),MONTH(C5769),"")</f>
        <v/>
      </c>
      <c r="X5769" s="23" t="str">
        <f aca="false">IF(T5769="","",IF(T5769=0,"No discount",IF(T5769&lt;=0.2,"Low (1-20%)",IF(T5769&lt;=0.4,"Medium (21-40%)","High (&gt;40%)"))))</f>
        <v/>
      </c>
      <c r="Y5769" s="23" t="str">
        <f aca="false">IF(AND(ISNUMBER(C5769),ISNUMBER(D5769)),D5769-C5769,"")</f>
        <v/>
      </c>
      <c r="Z5769" s="23" t="str">
        <f aca="false">IF(B5769="","",IF(MATCH(B5769,$B$2:$B$12000,0)=ROW()-1,1,0))</f>
        <v/>
      </c>
    </row>
    <row r="5770" customFormat="false" ht="15" hidden="false" customHeight="false" outlineLevel="0" collapsed="false">
      <c r="V5770" s="23" t="str">
        <f aca="false">IF(ISNUMBER(C5770),YEAR(C5770),"")</f>
        <v/>
      </c>
      <c r="W5770" s="23" t="str">
        <f aca="false">IF(ISNUMBER(C5770),MONTH(C5770),"")</f>
        <v/>
      </c>
      <c r="X5770" s="23" t="str">
        <f aca="false">IF(T5770="","",IF(T5770=0,"No discount",IF(T5770&lt;=0.2,"Low (1-20%)",IF(T5770&lt;=0.4,"Medium (21-40%)","High (&gt;40%)"))))</f>
        <v/>
      </c>
      <c r="Y5770" s="23" t="str">
        <f aca="false">IF(AND(ISNUMBER(C5770),ISNUMBER(D5770)),D5770-C5770,"")</f>
        <v/>
      </c>
      <c r="Z5770" s="23" t="str">
        <f aca="false">IF(B5770="","",IF(MATCH(B5770,$B$2:$B$12000,0)=ROW()-1,1,0))</f>
        <v/>
      </c>
    </row>
    <row r="5771" customFormat="false" ht="15" hidden="false" customHeight="false" outlineLevel="0" collapsed="false">
      <c r="V5771" s="23" t="str">
        <f aca="false">IF(ISNUMBER(C5771),YEAR(C5771),"")</f>
        <v/>
      </c>
      <c r="W5771" s="23" t="str">
        <f aca="false">IF(ISNUMBER(C5771),MONTH(C5771),"")</f>
        <v/>
      </c>
      <c r="X5771" s="23" t="str">
        <f aca="false">IF(T5771="","",IF(T5771=0,"No discount",IF(T5771&lt;=0.2,"Low (1-20%)",IF(T5771&lt;=0.4,"Medium (21-40%)","High (&gt;40%)"))))</f>
        <v/>
      </c>
      <c r="Y5771" s="23" t="str">
        <f aca="false">IF(AND(ISNUMBER(C5771),ISNUMBER(D5771)),D5771-C5771,"")</f>
        <v/>
      </c>
      <c r="Z5771" s="23" t="str">
        <f aca="false">IF(B5771="","",IF(MATCH(B5771,$B$2:$B$12000,0)=ROW()-1,1,0))</f>
        <v/>
      </c>
    </row>
    <row r="5772" customFormat="false" ht="15" hidden="false" customHeight="false" outlineLevel="0" collapsed="false">
      <c r="V5772" s="23" t="str">
        <f aca="false">IF(ISNUMBER(C5772),YEAR(C5772),"")</f>
        <v/>
      </c>
      <c r="W5772" s="23" t="str">
        <f aca="false">IF(ISNUMBER(C5772),MONTH(C5772),"")</f>
        <v/>
      </c>
      <c r="X5772" s="23" t="str">
        <f aca="false">IF(T5772="","",IF(T5772=0,"No discount",IF(T5772&lt;=0.2,"Low (1-20%)",IF(T5772&lt;=0.4,"Medium (21-40%)","High (&gt;40%)"))))</f>
        <v/>
      </c>
      <c r="Y5772" s="23" t="str">
        <f aca="false">IF(AND(ISNUMBER(C5772),ISNUMBER(D5772)),D5772-C5772,"")</f>
        <v/>
      </c>
      <c r="Z5772" s="23" t="str">
        <f aca="false">IF(B5772="","",IF(MATCH(B5772,$B$2:$B$12000,0)=ROW()-1,1,0))</f>
        <v/>
      </c>
    </row>
    <row r="5773" customFormat="false" ht="15" hidden="false" customHeight="false" outlineLevel="0" collapsed="false">
      <c r="V5773" s="23" t="str">
        <f aca="false">IF(ISNUMBER(C5773),YEAR(C5773),"")</f>
        <v/>
      </c>
      <c r="W5773" s="23" t="str">
        <f aca="false">IF(ISNUMBER(C5773),MONTH(C5773),"")</f>
        <v/>
      </c>
      <c r="X5773" s="23" t="str">
        <f aca="false">IF(T5773="","",IF(T5773=0,"No discount",IF(T5773&lt;=0.2,"Low (1-20%)",IF(T5773&lt;=0.4,"Medium (21-40%)","High (&gt;40%)"))))</f>
        <v/>
      </c>
      <c r="Y5773" s="23" t="str">
        <f aca="false">IF(AND(ISNUMBER(C5773),ISNUMBER(D5773)),D5773-C5773,"")</f>
        <v/>
      </c>
      <c r="Z5773" s="23" t="str">
        <f aca="false">IF(B5773="","",IF(MATCH(B5773,$B$2:$B$12000,0)=ROW()-1,1,0))</f>
        <v/>
      </c>
    </row>
    <row r="5774" customFormat="false" ht="15" hidden="false" customHeight="false" outlineLevel="0" collapsed="false">
      <c r="V5774" s="23" t="str">
        <f aca="false">IF(ISNUMBER(C5774),YEAR(C5774),"")</f>
        <v/>
      </c>
      <c r="W5774" s="23" t="str">
        <f aca="false">IF(ISNUMBER(C5774),MONTH(C5774),"")</f>
        <v/>
      </c>
      <c r="X5774" s="23" t="str">
        <f aca="false">IF(T5774="","",IF(T5774=0,"No discount",IF(T5774&lt;=0.2,"Low (1-20%)",IF(T5774&lt;=0.4,"Medium (21-40%)","High (&gt;40%)"))))</f>
        <v/>
      </c>
      <c r="Y5774" s="23" t="str">
        <f aca="false">IF(AND(ISNUMBER(C5774),ISNUMBER(D5774)),D5774-C5774,"")</f>
        <v/>
      </c>
      <c r="Z5774" s="23" t="str">
        <f aca="false">IF(B5774="","",IF(MATCH(B5774,$B$2:$B$12000,0)=ROW()-1,1,0))</f>
        <v/>
      </c>
    </row>
    <row r="5775" customFormat="false" ht="15" hidden="false" customHeight="false" outlineLevel="0" collapsed="false">
      <c r="V5775" s="23" t="str">
        <f aca="false">IF(ISNUMBER(C5775),YEAR(C5775),"")</f>
        <v/>
      </c>
      <c r="W5775" s="23" t="str">
        <f aca="false">IF(ISNUMBER(C5775),MONTH(C5775),"")</f>
        <v/>
      </c>
      <c r="X5775" s="23" t="str">
        <f aca="false">IF(T5775="","",IF(T5775=0,"No discount",IF(T5775&lt;=0.2,"Low (1-20%)",IF(T5775&lt;=0.4,"Medium (21-40%)","High (&gt;40%)"))))</f>
        <v/>
      </c>
      <c r="Y5775" s="23" t="str">
        <f aca="false">IF(AND(ISNUMBER(C5775),ISNUMBER(D5775)),D5775-C5775,"")</f>
        <v/>
      </c>
      <c r="Z5775" s="23" t="str">
        <f aca="false">IF(B5775="","",IF(MATCH(B5775,$B$2:$B$12000,0)=ROW()-1,1,0))</f>
        <v/>
      </c>
    </row>
    <row r="5776" customFormat="false" ht="15" hidden="false" customHeight="false" outlineLevel="0" collapsed="false">
      <c r="V5776" s="23" t="str">
        <f aca="false">IF(ISNUMBER(C5776),YEAR(C5776),"")</f>
        <v/>
      </c>
      <c r="W5776" s="23" t="str">
        <f aca="false">IF(ISNUMBER(C5776),MONTH(C5776),"")</f>
        <v/>
      </c>
      <c r="X5776" s="23" t="str">
        <f aca="false">IF(T5776="","",IF(T5776=0,"No discount",IF(T5776&lt;=0.2,"Low (1-20%)",IF(T5776&lt;=0.4,"Medium (21-40%)","High (&gt;40%)"))))</f>
        <v/>
      </c>
      <c r="Y5776" s="23" t="str">
        <f aca="false">IF(AND(ISNUMBER(C5776),ISNUMBER(D5776)),D5776-C5776,"")</f>
        <v/>
      </c>
      <c r="Z5776" s="23" t="str">
        <f aca="false">IF(B5776="","",IF(MATCH(B5776,$B$2:$B$12000,0)=ROW()-1,1,0))</f>
        <v/>
      </c>
    </row>
    <row r="5777" customFormat="false" ht="15" hidden="false" customHeight="false" outlineLevel="0" collapsed="false">
      <c r="V5777" s="23" t="str">
        <f aca="false">IF(ISNUMBER(C5777),YEAR(C5777),"")</f>
        <v/>
      </c>
      <c r="W5777" s="23" t="str">
        <f aca="false">IF(ISNUMBER(C5777),MONTH(C5777),"")</f>
        <v/>
      </c>
      <c r="X5777" s="23" t="str">
        <f aca="false">IF(T5777="","",IF(T5777=0,"No discount",IF(T5777&lt;=0.2,"Low (1-20%)",IF(T5777&lt;=0.4,"Medium (21-40%)","High (&gt;40%)"))))</f>
        <v/>
      </c>
      <c r="Y5777" s="23" t="str">
        <f aca="false">IF(AND(ISNUMBER(C5777),ISNUMBER(D5777)),D5777-C5777,"")</f>
        <v/>
      </c>
      <c r="Z5777" s="23" t="str">
        <f aca="false">IF(B5777="","",IF(MATCH(B5777,$B$2:$B$12000,0)=ROW()-1,1,0))</f>
        <v/>
      </c>
    </row>
    <row r="5778" customFormat="false" ht="15" hidden="false" customHeight="false" outlineLevel="0" collapsed="false">
      <c r="V5778" s="23" t="str">
        <f aca="false">IF(ISNUMBER(C5778),YEAR(C5778),"")</f>
        <v/>
      </c>
      <c r="W5778" s="23" t="str">
        <f aca="false">IF(ISNUMBER(C5778),MONTH(C5778),"")</f>
        <v/>
      </c>
      <c r="X5778" s="23" t="str">
        <f aca="false">IF(T5778="","",IF(T5778=0,"No discount",IF(T5778&lt;=0.2,"Low (1-20%)",IF(T5778&lt;=0.4,"Medium (21-40%)","High (&gt;40%)"))))</f>
        <v/>
      </c>
      <c r="Y5778" s="23" t="str">
        <f aca="false">IF(AND(ISNUMBER(C5778),ISNUMBER(D5778)),D5778-C5778,"")</f>
        <v/>
      </c>
      <c r="Z5778" s="23" t="str">
        <f aca="false">IF(B5778="","",IF(MATCH(B5778,$B$2:$B$12000,0)=ROW()-1,1,0))</f>
        <v/>
      </c>
    </row>
    <row r="5779" customFormat="false" ht="15" hidden="false" customHeight="false" outlineLevel="0" collapsed="false">
      <c r="V5779" s="23" t="str">
        <f aca="false">IF(ISNUMBER(C5779),YEAR(C5779),"")</f>
        <v/>
      </c>
      <c r="W5779" s="23" t="str">
        <f aca="false">IF(ISNUMBER(C5779),MONTH(C5779),"")</f>
        <v/>
      </c>
      <c r="X5779" s="23" t="str">
        <f aca="false">IF(T5779="","",IF(T5779=0,"No discount",IF(T5779&lt;=0.2,"Low (1-20%)",IF(T5779&lt;=0.4,"Medium (21-40%)","High (&gt;40%)"))))</f>
        <v/>
      </c>
      <c r="Y5779" s="23" t="str">
        <f aca="false">IF(AND(ISNUMBER(C5779),ISNUMBER(D5779)),D5779-C5779,"")</f>
        <v/>
      </c>
      <c r="Z5779" s="23" t="str">
        <f aca="false">IF(B5779="","",IF(MATCH(B5779,$B$2:$B$12000,0)=ROW()-1,1,0))</f>
        <v/>
      </c>
    </row>
    <row r="5780" customFormat="false" ht="15" hidden="false" customHeight="false" outlineLevel="0" collapsed="false">
      <c r="V5780" s="23" t="str">
        <f aca="false">IF(ISNUMBER(C5780),YEAR(C5780),"")</f>
        <v/>
      </c>
      <c r="W5780" s="23" t="str">
        <f aca="false">IF(ISNUMBER(C5780),MONTH(C5780),"")</f>
        <v/>
      </c>
      <c r="X5780" s="23" t="str">
        <f aca="false">IF(T5780="","",IF(T5780=0,"No discount",IF(T5780&lt;=0.2,"Low (1-20%)",IF(T5780&lt;=0.4,"Medium (21-40%)","High (&gt;40%)"))))</f>
        <v/>
      </c>
      <c r="Y5780" s="23" t="str">
        <f aca="false">IF(AND(ISNUMBER(C5780),ISNUMBER(D5780)),D5780-C5780,"")</f>
        <v/>
      </c>
      <c r="Z5780" s="23" t="str">
        <f aca="false">IF(B5780="","",IF(MATCH(B5780,$B$2:$B$12000,0)=ROW()-1,1,0))</f>
        <v/>
      </c>
    </row>
    <row r="5781" customFormat="false" ht="15" hidden="false" customHeight="false" outlineLevel="0" collapsed="false">
      <c r="V5781" s="23" t="str">
        <f aca="false">IF(ISNUMBER(C5781),YEAR(C5781),"")</f>
        <v/>
      </c>
      <c r="W5781" s="23" t="str">
        <f aca="false">IF(ISNUMBER(C5781),MONTH(C5781),"")</f>
        <v/>
      </c>
      <c r="X5781" s="23" t="str">
        <f aca="false">IF(T5781="","",IF(T5781=0,"No discount",IF(T5781&lt;=0.2,"Low (1-20%)",IF(T5781&lt;=0.4,"Medium (21-40%)","High (&gt;40%)"))))</f>
        <v/>
      </c>
      <c r="Y5781" s="23" t="str">
        <f aca="false">IF(AND(ISNUMBER(C5781),ISNUMBER(D5781)),D5781-C5781,"")</f>
        <v/>
      </c>
      <c r="Z5781" s="23" t="str">
        <f aca="false">IF(B5781="","",IF(MATCH(B5781,$B$2:$B$12000,0)=ROW()-1,1,0))</f>
        <v/>
      </c>
    </row>
    <row r="5782" customFormat="false" ht="15" hidden="false" customHeight="false" outlineLevel="0" collapsed="false">
      <c r="V5782" s="23" t="str">
        <f aca="false">IF(ISNUMBER(C5782),YEAR(C5782),"")</f>
        <v/>
      </c>
      <c r="W5782" s="23" t="str">
        <f aca="false">IF(ISNUMBER(C5782),MONTH(C5782),"")</f>
        <v/>
      </c>
      <c r="X5782" s="23" t="str">
        <f aca="false">IF(T5782="","",IF(T5782=0,"No discount",IF(T5782&lt;=0.2,"Low (1-20%)",IF(T5782&lt;=0.4,"Medium (21-40%)","High (&gt;40%)"))))</f>
        <v/>
      </c>
      <c r="Y5782" s="23" t="str">
        <f aca="false">IF(AND(ISNUMBER(C5782),ISNUMBER(D5782)),D5782-C5782,"")</f>
        <v/>
      </c>
      <c r="Z5782" s="23" t="str">
        <f aca="false">IF(B5782="","",IF(MATCH(B5782,$B$2:$B$12000,0)=ROW()-1,1,0))</f>
        <v/>
      </c>
    </row>
    <row r="5783" customFormat="false" ht="15" hidden="false" customHeight="false" outlineLevel="0" collapsed="false">
      <c r="V5783" s="23" t="str">
        <f aca="false">IF(ISNUMBER(C5783),YEAR(C5783),"")</f>
        <v/>
      </c>
      <c r="W5783" s="23" t="str">
        <f aca="false">IF(ISNUMBER(C5783),MONTH(C5783),"")</f>
        <v/>
      </c>
      <c r="X5783" s="23" t="str">
        <f aca="false">IF(T5783="","",IF(T5783=0,"No discount",IF(T5783&lt;=0.2,"Low (1-20%)",IF(T5783&lt;=0.4,"Medium (21-40%)","High (&gt;40%)"))))</f>
        <v/>
      </c>
      <c r="Y5783" s="23" t="str">
        <f aca="false">IF(AND(ISNUMBER(C5783),ISNUMBER(D5783)),D5783-C5783,"")</f>
        <v/>
      </c>
      <c r="Z5783" s="23" t="str">
        <f aca="false">IF(B5783="","",IF(MATCH(B5783,$B$2:$B$12000,0)=ROW()-1,1,0))</f>
        <v/>
      </c>
    </row>
    <row r="5784" customFormat="false" ht="15" hidden="false" customHeight="false" outlineLevel="0" collapsed="false">
      <c r="V5784" s="23" t="str">
        <f aca="false">IF(ISNUMBER(C5784),YEAR(C5784),"")</f>
        <v/>
      </c>
      <c r="W5784" s="23" t="str">
        <f aca="false">IF(ISNUMBER(C5784),MONTH(C5784),"")</f>
        <v/>
      </c>
      <c r="X5784" s="23" t="str">
        <f aca="false">IF(T5784="","",IF(T5784=0,"No discount",IF(T5784&lt;=0.2,"Low (1-20%)",IF(T5784&lt;=0.4,"Medium (21-40%)","High (&gt;40%)"))))</f>
        <v/>
      </c>
      <c r="Y5784" s="23" t="str">
        <f aca="false">IF(AND(ISNUMBER(C5784),ISNUMBER(D5784)),D5784-C5784,"")</f>
        <v/>
      </c>
      <c r="Z5784" s="23" t="str">
        <f aca="false">IF(B5784="","",IF(MATCH(B5784,$B$2:$B$12000,0)=ROW()-1,1,0))</f>
        <v/>
      </c>
    </row>
    <row r="5785" customFormat="false" ht="15" hidden="false" customHeight="false" outlineLevel="0" collapsed="false">
      <c r="V5785" s="23" t="str">
        <f aca="false">IF(ISNUMBER(C5785),YEAR(C5785),"")</f>
        <v/>
      </c>
      <c r="W5785" s="23" t="str">
        <f aca="false">IF(ISNUMBER(C5785),MONTH(C5785),"")</f>
        <v/>
      </c>
      <c r="X5785" s="23" t="str">
        <f aca="false">IF(T5785="","",IF(T5785=0,"No discount",IF(T5785&lt;=0.2,"Low (1-20%)",IF(T5785&lt;=0.4,"Medium (21-40%)","High (&gt;40%)"))))</f>
        <v/>
      </c>
      <c r="Y5785" s="23" t="str">
        <f aca="false">IF(AND(ISNUMBER(C5785),ISNUMBER(D5785)),D5785-C5785,"")</f>
        <v/>
      </c>
      <c r="Z5785" s="23" t="str">
        <f aca="false">IF(B5785="","",IF(MATCH(B5785,$B$2:$B$12000,0)=ROW()-1,1,0))</f>
        <v/>
      </c>
    </row>
    <row r="5786" customFormat="false" ht="15" hidden="false" customHeight="false" outlineLevel="0" collapsed="false">
      <c r="V5786" s="23" t="str">
        <f aca="false">IF(ISNUMBER(C5786),YEAR(C5786),"")</f>
        <v/>
      </c>
      <c r="W5786" s="23" t="str">
        <f aca="false">IF(ISNUMBER(C5786),MONTH(C5786),"")</f>
        <v/>
      </c>
      <c r="X5786" s="23" t="str">
        <f aca="false">IF(T5786="","",IF(T5786=0,"No discount",IF(T5786&lt;=0.2,"Low (1-20%)",IF(T5786&lt;=0.4,"Medium (21-40%)","High (&gt;40%)"))))</f>
        <v/>
      </c>
      <c r="Y5786" s="23" t="str">
        <f aca="false">IF(AND(ISNUMBER(C5786),ISNUMBER(D5786)),D5786-C5786,"")</f>
        <v/>
      </c>
      <c r="Z5786" s="23" t="str">
        <f aca="false">IF(B5786="","",IF(MATCH(B5786,$B$2:$B$12000,0)=ROW()-1,1,0))</f>
        <v/>
      </c>
    </row>
    <row r="5787" customFormat="false" ht="15" hidden="false" customHeight="false" outlineLevel="0" collapsed="false">
      <c r="V5787" s="23" t="str">
        <f aca="false">IF(ISNUMBER(C5787),YEAR(C5787),"")</f>
        <v/>
      </c>
      <c r="W5787" s="23" t="str">
        <f aca="false">IF(ISNUMBER(C5787),MONTH(C5787),"")</f>
        <v/>
      </c>
      <c r="X5787" s="23" t="str">
        <f aca="false">IF(T5787="","",IF(T5787=0,"No discount",IF(T5787&lt;=0.2,"Low (1-20%)",IF(T5787&lt;=0.4,"Medium (21-40%)","High (&gt;40%)"))))</f>
        <v/>
      </c>
      <c r="Y5787" s="23" t="str">
        <f aca="false">IF(AND(ISNUMBER(C5787),ISNUMBER(D5787)),D5787-C5787,"")</f>
        <v/>
      </c>
      <c r="Z5787" s="23" t="str">
        <f aca="false">IF(B5787="","",IF(MATCH(B5787,$B$2:$B$12000,0)=ROW()-1,1,0))</f>
        <v/>
      </c>
    </row>
    <row r="5788" customFormat="false" ht="15" hidden="false" customHeight="false" outlineLevel="0" collapsed="false">
      <c r="V5788" s="23" t="str">
        <f aca="false">IF(ISNUMBER(C5788),YEAR(C5788),"")</f>
        <v/>
      </c>
      <c r="W5788" s="23" t="str">
        <f aca="false">IF(ISNUMBER(C5788),MONTH(C5788),"")</f>
        <v/>
      </c>
      <c r="X5788" s="23" t="str">
        <f aca="false">IF(T5788="","",IF(T5788=0,"No discount",IF(T5788&lt;=0.2,"Low (1-20%)",IF(T5788&lt;=0.4,"Medium (21-40%)","High (&gt;40%)"))))</f>
        <v/>
      </c>
      <c r="Y5788" s="23" t="str">
        <f aca="false">IF(AND(ISNUMBER(C5788),ISNUMBER(D5788)),D5788-C5788,"")</f>
        <v/>
      </c>
      <c r="Z5788" s="23" t="str">
        <f aca="false">IF(B5788="","",IF(MATCH(B5788,$B$2:$B$12000,0)=ROW()-1,1,0))</f>
        <v/>
      </c>
    </row>
    <row r="5789" customFormat="false" ht="15" hidden="false" customHeight="false" outlineLevel="0" collapsed="false">
      <c r="V5789" s="23" t="str">
        <f aca="false">IF(ISNUMBER(C5789),YEAR(C5789),"")</f>
        <v/>
      </c>
      <c r="W5789" s="23" t="str">
        <f aca="false">IF(ISNUMBER(C5789),MONTH(C5789),"")</f>
        <v/>
      </c>
      <c r="X5789" s="23" t="str">
        <f aca="false">IF(T5789="","",IF(T5789=0,"No discount",IF(T5789&lt;=0.2,"Low (1-20%)",IF(T5789&lt;=0.4,"Medium (21-40%)","High (&gt;40%)"))))</f>
        <v/>
      </c>
      <c r="Y5789" s="23" t="str">
        <f aca="false">IF(AND(ISNUMBER(C5789),ISNUMBER(D5789)),D5789-C5789,"")</f>
        <v/>
      </c>
      <c r="Z5789" s="23" t="str">
        <f aca="false">IF(B5789="","",IF(MATCH(B5789,$B$2:$B$12000,0)=ROW()-1,1,0))</f>
        <v/>
      </c>
    </row>
    <row r="5790" customFormat="false" ht="15" hidden="false" customHeight="false" outlineLevel="0" collapsed="false">
      <c r="V5790" s="23" t="str">
        <f aca="false">IF(ISNUMBER(C5790),YEAR(C5790),"")</f>
        <v/>
      </c>
      <c r="W5790" s="23" t="str">
        <f aca="false">IF(ISNUMBER(C5790),MONTH(C5790),"")</f>
        <v/>
      </c>
      <c r="X5790" s="23" t="str">
        <f aca="false">IF(T5790="","",IF(T5790=0,"No discount",IF(T5790&lt;=0.2,"Low (1-20%)",IF(T5790&lt;=0.4,"Medium (21-40%)","High (&gt;40%)"))))</f>
        <v/>
      </c>
      <c r="Y5790" s="23" t="str">
        <f aca="false">IF(AND(ISNUMBER(C5790),ISNUMBER(D5790)),D5790-C5790,"")</f>
        <v/>
      </c>
      <c r="Z5790" s="23" t="str">
        <f aca="false">IF(B5790="","",IF(MATCH(B5790,$B$2:$B$12000,0)=ROW()-1,1,0))</f>
        <v/>
      </c>
    </row>
    <row r="5791" customFormat="false" ht="15" hidden="false" customHeight="false" outlineLevel="0" collapsed="false">
      <c r="V5791" s="23" t="str">
        <f aca="false">IF(ISNUMBER(C5791),YEAR(C5791),"")</f>
        <v/>
      </c>
      <c r="W5791" s="23" t="str">
        <f aca="false">IF(ISNUMBER(C5791),MONTH(C5791),"")</f>
        <v/>
      </c>
      <c r="X5791" s="23" t="str">
        <f aca="false">IF(T5791="","",IF(T5791=0,"No discount",IF(T5791&lt;=0.2,"Low (1-20%)",IF(T5791&lt;=0.4,"Medium (21-40%)","High (&gt;40%)"))))</f>
        <v/>
      </c>
      <c r="Y5791" s="23" t="str">
        <f aca="false">IF(AND(ISNUMBER(C5791),ISNUMBER(D5791)),D5791-C5791,"")</f>
        <v/>
      </c>
      <c r="Z5791" s="23" t="str">
        <f aca="false">IF(B5791="","",IF(MATCH(B5791,$B$2:$B$12000,0)=ROW()-1,1,0))</f>
        <v/>
      </c>
    </row>
    <row r="5792" customFormat="false" ht="15" hidden="false" customHeight="false" outlineLevel="0" collapsed="false">
      <c r="V5792" s="23" t="str">
        <f aca="false">IF(ISNUMBER(C5792),YEAR(C5792),"")</f>
        <v/>
      </c>
      <c r="W5792" s="23" t="str">
        <f aca="false">IF(ISNUMBER(C5792),MONTH(C5792),"")</f>
        <v/>
      </c>
      <c r="X5792" s="23" t="str">
        <f aca="false">IF(T5792="","",IF(T5792=0,"No discount",IF(T5792&lt;=0.2,"Low (1-20%)",IF(T5792&lt;=0.4,"Medium (21-40%)","High (&gt;40%)"))))</f>
        <v/>
      </c>
      <c r="Y5792" s="23" t="str">
        <f aca="false">IF(AND(ISNUMBER(C5792),ISNUMBER(D5792)),D5792-C5792,"")</f>
        <v/>
      </c>
      <c r="Z5792" s="23" t="str">
        <f aca="false">IF(B5792="","",IF(MATCH(B5792,$B$2:$B$12000,0)=ROW()-1,1,0))</f>
        <v/>
      </c>
    </row>
    <row r="5793" customFormat="false" ht="15" hidden="false" customHeight="false" outlineLevel="0" collapsed="false">
      <c r="V5793" s="23" t="str">
        <f aca="false">IF(ISNUMBER(C5793),YEAR(C5793),"")</f>
        <v/>
      </c>
      <c r="W5793" s="23" t="str">
        <f aca="false">IF(ISNUMBER(C5793),MONTH(C5793),"")</f>
        <v/>
      </c>
      <c r="X5793" s="23" t="str">
        <f aca="false">IF(T5793="","",IF(T5793=0,"No discount",IF(T5793&lt;=0.2,"Low (1-20%)",IF(T5793&lt;=0.4,"Medium (21-40%)","High (&gt;40%)"))))</f>
        <v/>
      </c>
      <c r="Y5793" s="23" t="str">
        <f aca="false">IF(AND(ISNUMBER(C5793),ISNUMBER(D5793)),D5793-C5793,"")</f>
        <v/>
      </c>
      <c r="Z5793" s="23" t="str">
        <f aca="false">IF(B5793="","",IF(MATCH(B5793,$B$2:$B$12000,0)=ROW()-1,1,0))</f>
        <v/>
      </c>
    </row>
    <row r="5794" customFormat="false" ht="15" hidden="false" customHeight="false" outlineLevel="0" collapsed="false">
      <c r="V5794" s="23" t="str">
        <f aca="false">IF(ISNUMBER(C5794),YEAR(C5794),"")</f>
        <v/>
      </c>
      <c r="W5794" s="23" t="str">
        <f aca="false">IF(ISNUMBER(C5794),MONTH(C5794),"")</f>
        <v/>
      </c>
      <c r="X5794" s="23" t="str">
        <f aca="false">IF(T5794="","",IF(T5794=0,"No discount",IF(T5794&lt;=0.2,"Low (1-20%)",IF(T5794&lt;=0.4,"Medium (21-40%)","High (&gt;40%)"))))</f>
        <v/>
      </c>
      <c r="Y5794" s="23" t="str">
        <f aca="false">IF(AND(ISNUMBER(C5794),ISNUMBER(D5794)),D5794-C5794,"")</f>
        <v/>
      </c>
      <c r="Z5794" s="23" t="str">
        <f aca="false">IF(B5794="","",IF(MATCH(B5794,$B$2:$B$12000,0)=ROW()-1,1,0))</f>
        <v/>
      </c>
    </row>
    <row r="5795" customFormat="false" ht="15" hidden="false" customHeight="false" outlineLevel="0" collapsed="false">
      <c r="V5795" s="23" t="str">
        <f aca="false">IF(ISNUMBER(C5795),YEAR(C5795),"")</f>
        <v/>
      </c>
      <c r="W5795" s="23" t="str">
        <f aca="false">IF(ISNUMBER(C5795),MONTH(C5795),"")</f>
        <v/>
      </c>
      <c r="X5795" s="23" t="str">
        <f aca="false">IF(T5795="","",IF(T5795=0,"No discount",IF(T5795&lt;=0.2,"Low (1-20%)",IF(T5795&lt;=0.4,"Medium (21-40%)","High (&gt;40%)"))))</f>
        <v/>
      </c>
      <c r="Y5795" s="23" t="str">
        <f aca="false">IF(AND(ISNUMBER(C5795),ISNUMBER(D5795)),D5795-C5795,"")</f>
        <v/>
      </c>
      <c r="Z5795" s="23" t="str">
        <f aca="false">IF(B5795="","",IF(MATCH(B5795,$B$2:$B$12000,0)=ROW()-1,1,0))</f>
        <v/>
      </c>
    </row>
    <row r="5796" customFormat="false" ht="15" hidden="false" customHeight="false" outlineLevel="0" collapsed="false">
      <c r="V5796" s="23" t="str">
        <f aca="false">IF(ISNUMBER(C5796),YEAR(C5796),"")</f>
        <v/>
      </c>
      <c r="W5796" s="23" t="str">
        <f aca="false">IF(ISNUMBER(C5796),MONTH(C5796),"")</f>
        <v/>
      </c>
      <c r="X5796" s="23" t="str">
        <f aca="false">IF(T5796="","",IF(T5796=0,"No discount",IF(T5796&lt;=0.2,"Low (1-20%)",IF(T5796&lt;=0.4,"Medium (21-40%)","High (&gt;40%)"))))</f>
        <v/>
      </c>
      <c r="Y5796" s="23" t="str">
        <f aca="false">IF(AND(ISNUMBER(C5796),ISNUMBER(D5796)),D5796-C5796,"")</f>
        <v/>
      </c>
      <c r="Z5796" s="23" t="str">
        <f aca="false">IF(B5796="","",IF(MATCH(B5796,$B$2:$B$12000,0)=ROW()-1,1,0))</f>
        <v/>
      </c>
    </row>
    <row r="5797" customFormat="false" ht="15" hidden="false" customHeight="false" outlineLevel="0" collapsed="false">
      <c r="V5797" s="23" t="str">
        <f aca="false">IF(ISNUMBER(C5797),YEAR(C5797),"")</f>
        <v/>
      </c>
      <c r="W5797" s="23" t="str">
        <f aca="false">IF(ISNUMBER(C5797),MONTH(C5797),"")</f>
        <v/>
      </c>
      <c r="X5797" s="23" t="str">
        <f aca="false">IF(T5797="","",IF(T5797=0,"No discount",IF(T5797&lt;=0.2,"Low (1-20%)",IF(T5797&lt;=0.4,"Medium (21-40%)","High (&gt;40%)"))))</f>
        <v/>
      </c>
      <c r="Y5797" s="23" t="str">
        <f aca="false">IF(AND(ISNUMBER(C5797),ISNUMBER(D5797)),D5797-C5797,"")</f>
        <v/>
      </c>
      <c r="Z5797" s="23" t="str">
        <f aca="false">IF(B5797="","",IF(MATCH(B5797,$B$2:$B$12000,0)=ROW()-1,1,0))</f>
        <v/>
      </c>
    </row>
    <row r="5798" customFormat="false" ht="15" hidden="false" customHeight="false" outlineLevel="0" collapsed="false">
      <c r="V5798" s="23" t="str">
        <f aca="false">IF(ISNUMBER(C5798),YEAR(C5798),"")</f>
        <v/>
      </c>
      <c r="W5798" s="23" t="str">
        <f aca="false">IF(ISNUMBER(C5798),MONTH(C5798),"")</f>
        <v/>
      </c>
      <c r="X5798" s="23" t="str">
        <f aca="false">IF(T5798="","",IF(T5798=0,"No discount",IF(T5798&lt;=0.2,"Low (1-20%)",IF(T5798&lt;=0.4,"Medium (21-40%)","High (&gt;40%)"))))</f>
        <v/>
      </c>
      <c r="Y5798" s="23" t="str">
        <f aca="false">IF(AND(ISNUMBER(C5798),ISNUMBER(D5798)),D5798-C5798,"")</f>
        <v/>
      </c>
      <c r="Z5798" s="23" t="str">
        <f aca="false">IF(B5798="","",IF(MATCH(B5798,$B$2:$B$12000,0)=ROW()-1,1,0))</f>
        <v/>
      </c>
    </row>
    <row r="5799" customFormat="false" ht="15" hidden="false" customHeight="false" outlineLevel="0" collapsed="false">
      <c r="V5799" s="23" t="str">
        <f aca="false">IF(ISNUMBER(C5799),YEAR(C5799),"")</f>
        <v/>
      </c>
      <c r="W5799" s="23" t="str">
        <f aca="false">IF(ISNUMBER(C5799),MONTH(C5799),"")</f>
        <v/>
      </c>
      <c r="X5799" s="23" t="str">
        <f aca="false">IF(T5799="","",IF(T5799=0,"No discount",IF(T5799&lt;=0.2,"Low (1-20%)",IF(T5799&lt;=0.4,"Medium (21-40%)","High (&gt;40%)"))))</f>
        <v/>
      </c>
      <c r="Y5799" s="23" t="str">
        <f aca="false">IF(AND(ISNUMBER(C5799),ISNUMBER(D5799)),D5799-C5799,"")</f>
        <v/>
      </c>
      <c r="Z5799" s="23" t="str">
        <f aca="false">IF(B5799="","",IF(MATCH(B5799,$B$2:$B$12000,0)=ROW()-1,1,0))</f>
        <v/>
      </c>
    </row>
    <row r="5800" customFormat="false" ht="15" hidden="false" customHeight="false" outlineLevel="0" collapsed="false">
      <c r="V5800" s="23" t="str">
        <f aca="false">IF(ISNUMBER(C5800),YEAR(C5800),"")</f>
        <v/>
      </c>
      <c r="W5800" s="23" t="str">
        <f aca="false">IF(ISNUMBER(C5800),MONTH(C5800),"")</f>
        <v/>
      </c>
      <c r="X5800" s="23" t="str">
        <f aca="false">IF(T5800="","",IF(T5800=0,"No discount",IF(T5800&lt;=0.2,"Low (1-20%)",IF(T5800&lt;=0.4,"Medium (21-40%)","High (&gt;40%)"))))</f>
        <v/>
      </c>
      <c r="Y5800" s="23" t="str">
        <f aca="false">IF(AND(ISNUMBER(C5800),ISNUMBER(D5800)),D5800-C5800,"")</f>
        <v/>
      </c>
      <c r="Z5800" s="23" t="str">
        <f aca="false">IF(B5800="","",IF(MATCH(B5800,$B$2:$B$12000,0)=ROW()-1,1,0))</f>
        <v/>
      </c>
    </row>
    <row r="5801" customFormat="false" ht="15" hidden="false" customHeight="false" outlineLevel="0" collapsed="false">
      <c r="V5801" s="23" t="str">
        <f aca="false">IF(ISNUMBER(C5801),YEAR(C5801),"")</f>
        <v/>
      </c>
      <c r="W5801" s="23" t="str">
        <f aca="false">IF(ISNUMBER(C5801),MONTH(C5801),"")</f>
        <v/>
      </c>
      <c r="X5801" s="23" t="str">
        <f aca="false">IF(T5801="","",IF(T5801=0,"No discount",IF(T5801&lt;=0.2,"Low (1-20%)",IF(T5801&lt;=0.4,"Medium (21-40%)","High (&gt;40%)"))))</f>
        <v/>
      </c>
      <c r="Y5801" s="23" t="str">
        <f aca="false">IF(AND(ISNUMBER(C5801),ISNUMBER(D5801)),D5801-C5801,"")</f>
        <v/>
      </c>
      <c r="Z5801" s="23" t="str">
        <f aca="false">IF(B5801="","",IF(MATCH(B5801,$B$2:$B$12000,0)=ROW()-1,1,0))</f>
        <v/>
      </c>
    </row>
    <row r="5802" customFormat="false" ht="15" hidden="false" customHeight="false" outlineLevel="0" collapsed="false">
      <c r="V5802" s="23" t="str">
        <f aca="false">IF(ISNUMBER(C5802),YEAR(C5802),"")</f>
        <v/>
      </c>
      <c r="W5802" s="23" t="str">
        <f aca="false">IF(ISNUMBER(C5802),MONTH(C5802),"")</f>
        <v/>
      </c>
      <c r="X5802" s="23" t="str">
        <f aca="false">IF(T5802="","",IF(T5802=0,"No discount",IF(T5802&lt;=0.2,"Low (1-20%)",IF(T5802&lt;=0.4,"Medium (21-40%)","High (&gt;40%)"))))</f>
        <v/>
      </c>
      <c r="Y5802" s="23" t="str">
        <f aca="false">IF(AND(ISNUMBER(C5802),ISNUMBER(D5802)),D5802-C5802,"")</f>
        <v/>
      </c>
      <c r="Z5802" s="23" t="str">
        <f aca="false">IF(B5802="","",IF(MATCH(B5802,$B$2:$B$12000,0)=ROW()-1,1,0))</f>
        <v/>
      </c>
    </row>
    <row r="5803" customFormat="false" ht="15" hidden="false" customHeight="false" outlineLevel="0" collapsed="false">
      <c r="V5803" s="23" t="str">
        <f aca="false">IF(ISNUMBER(C5803),YEAR(C5803),"")</f>
        <v/>
      </c>
      <c r="W5803" s="23" t="str">
        <f aca="false">IF(ISNUMBER(C5803),MONTH(C5803),"")</f>
        <v/>
      </c>
      <c r="X5803" s="23" t="str">
        <f aca="false">IF(T5803="","",IF(T5803=0,"No discount",IF(T5803&lt;=0.2,"Low (1-20%)",IF(T5803&lt;=0.4,"Medium (21-40%)","High (&gt;40%)"))))</f>
        <v/>
      </c>
      <c r="Y5803" s="23" t="str">
        <f aca="false">IF(AND(ISNUMBER(C5803),ISNUMBER(D5803)),D5803-C5803,"")</f>
        <v/>
      </c>
      <c r="Z5803" s="23" t="str">
        <f aca="false">IF(B5803="","",IF(MATCH(B5803,$B$2:$B$12000,0)=ROW()-1,1,0))</f>
        <v/>
      </c>
    </row>
    <row r="5804" customFormat="false" ht="15" hidden="false" customHeight="false" outlineLevel="0" collapsed="false">
      <c r="V5804" s="23" t="str">
        <f aca="false">IF(ISNUMBER(C5804),YEAR(C5804),"")</f>
        <v/>
      </c>
      <c r="W5804" s="23" t="str">
        <f aca="false">IF(ISNUMBER(C5804),MONTH(C5804),"")</f>
        <v/>
      </c>
      <c r="X5804" s="23" t="str">
        <f aca="false">IF(T5804="","",IF(T5804=0,"No discount",IF(T5804&lt;=0.2,"Low (1-20%)",IF(T5804&lt;=0.4,"Medium (21-40%)","High (&gt;40%)"))))</f>
        <v/>
      </c>
      <c r="Y5804" s="23" t="str">
        <f aca="false">IF(AND(ISNUMBER(C5804),ISNUMBER(D5804)),D5804-C5804,"")</f>
        <v/>
      </c>
      <c r="Z5804" s="23" t="str">
        <f aca="false">IF(B5804="","",IF(MATCH(B5804,$B$2:$B$12000,0)=ROW()-1,1,0))</f>
        <v/>
      </c>
    </row>
    <row r="5805" customFormat="false" ht="15" hidden="false" customHeight="false" outlineLevel="0" collapsed="false">
      <c r="V5805" s="23" t="str">
        <f aca="false">IF(ISNUMBER(C5805),YEAR(C5805),"")</f>
        <v/>
      </c>
      <c r="W5805" s="23" t="str">
        <f aca="false">IF(ISNUMBER(C5805),MONTH(C5805),"")</f>
        <v/>
      </c>
      <c r="X5805" s="23" t="str">
        <f aca="false">IF(T5805="","",IF(T5805=0,"No discount",IF(T5805&lt;=0.2,"Low (1-20%)",IF(T5805&lt;=0.4,"Medium (21-40%)","High (&gt;40%)"))))</f>
        <v/>
      </c>
      <c r="Y5805" s="23" t="str">
        <f aca="false">IF(AND(ISNUMBER(C5805),ISNUMBER(D5805)),D5805-C5805,"")</f>
        <v/>
      </c>
      <c r="Z5805" s="23" t="str">
        <f aca="false">IF(B5805="","",IF(MATCH(B5805,$B$2:$B$12000,0)=ROW()-1,1,0))</f>
        <v/>
      </c>
    </row>
    <row r="5806" customFormat="false" ht="15" hidden="false" customHeight="false" outlineLevel="0" collapsed="false">
      <c r="V5806" s="23" t="str">
        <f aca="false">IF(ISNUMBER(C5806),YEAR(C5806),"")</f>
        <v/>
      </c>
      <c r="W5806" s="23" t="str">
        <f aca="false">IF(ISNUMBER(C5806),MONTH(C5806),"")</f>
        <v/>
      </c>
      <c r="X5806" s="23" t="str">
        <f aca="false">IF(T5806="","",IF(T5806=0,"No discount",IF(T5806&lt;=0.2,"Low (1-20%)",IF(T5806&lt;=0.4,"Medium (21-40%)","High (&gt;40%)"))))</f>
        <v/>
      </c>
      <c r="Y5806" s="23" t="str">
        <f aca="false">IF(AND(ISNUMBER(C5806),ISNUMBER(D5806)),D5806-C5806,"")</f>
        <v/>
      </c>
      <c r="Z5806" s="23" t="str">
        <f aca="false">IF(B5806="","",IF(MATCH(B5806,$B$2:$B$12000,0)=ROW()-1,1,0))</f>
        <v/>
      </c>
    </row>
    <row r="5807" customFormat="false" ht="15" hidden="false" customHeight="false" outlineLevel="0" collapsed="false">
      <c r="V5807" s="23" t="str">
        <f aca="false">IF(ISNUMBER(C5807),YEAR(C5807),"")</f>
        <v/>
      </c>
      <c r="W5807" s="23" t="str">
        <f aca="false">IF(ISNUMBER(C5807),MONTH(C5807),"")</f>
        <v/>
      </c>
      <c r="X5807" s="23" t="str">
        <f aca="false">IF(T5807="","",IF(T5807=0,"No discount",IF(T5807&lt;=0.2,"Low (1-20%)",IF(T5807&lt;=0.4,"Medium (21-40%)","High (&gt;40%)"))))</f>
        <v/>
      </c>
      <c r="Y5807" s="23" t="str">
        <f aca="false">IF(AND(ISNUMBER(C5807),ISNUMBER(D5807)),D5807-C5807,"")</f>
        <v/>
      </c>
      <c r="Z5807" s="23" t="str">
        <f aca="false">IF(B5807="","",IF(MATCH(B5807,$B$2:$B$12000,0)=ROW()-1,1,0))</f>
        <v/>
      </c>
    </row>
    <row r="5808" customFormat="false" ht="15" hidden="false" customHeight="false" outlineLevel="0" collapsed="false">
      <c r="V5808" s="23" t="str">
        <f aca="false">IF(ISNUMBER(C5808),YEAR(C5808),"")</f>
        <v/>
      </c>
      <c r="W5808" s="23" t="str">
        <f aca="false">IF(ISNUMBER(C5808),MONTH(C5808),"")</f>
        <v/>
      </c>
      <c r="X5808" s="23" t="str">
        <f aca="false">IF(T5808="","",IF(T5808=0,"No discount",IF(T5808&lt;=0.2,"Low (1-20%)",IF(T5808&lt;=0.4,"Medium (21-40%)","High (&gt;40%)"))))</f>
        <v/>
      </c>
      <c r="Y5808" s="23" t="str">
        <f aca="false">IF(AND(ISNUMBER(C5808),ISNUMBER(D5808)),D5808-C5808,"")</f>
        <v/>
      </c>
      <c r="Z5808" s="23" t="str">
        <f aca="false">IF(B5808="","",IF(MATCH(B5808,$B$2:$B$12000,0)=ROW()-1,1,0))</f>
        <v/>
      </c>
    </row>
    <row r="5809" customFormat="false" ht="15" hidden="false" customHeight="false" outlineLevel="0" collapsed="false">
      <c r="V5809" s="23" t="str">
        <f aca="false">IF(ISNUMBER(C5809),YEAR(C5809),"")</f>
        <v/>
      </c>
      <c r="W5809" s="23" t="str">
        <f aca="false">IF(ISNUMBER(C5809),MONTH(C5809),"")</f>
        <v/>
      </c>
      <c r="X5809" s="23" t="str">
        <f aca="false">IF(T5809="","",IF(T5809=0,"No discount",IF(T5809&lt;=0.2,"Low (1-20%)",IF(T5809&lt;=0.4,"Medium (21-40%)","High (&gt;40%)"))))</f>
        <v/>
      </c>
      <c r="Y5809" s="23" t="str">
        <f aca="false">IF(AND(ISNUMBER(C5809),ISNUMBER(D5809)),D5809-C5809,"")</f>
        <v/>
      </c>
      <c r="Z5809" s="23" t="str">
        <f aca="false">IF(B5809="","",IF(MATCH(B5809,$B$2:$B$12000,0)=ROW()-1,1,0))</f>
        <v/>
      </c>
    </row>
    <row r="5810" customFormat="false" ht="15" hidden="false" customHeight="false" outlineLevel="0" collapsed="false">
      <c r="V5810" s="23" t="str">
        <f aca="false">IF(ISNUMBER(C5810),YEAR(C5810),"")</f>
        <v/>
      </c>
      <c r="W5810" s="23" t="str">
        <f aca="false">IF(ISNUMBER(C5810),MONTH(C5810),"")</f>
        <v/>
      </c>
      <c r="X5810" s="23" t="str">
        <f aca="false">IF(T5810="","",IF(T5810=0,"No discount",IF(T5810&lt;=0.2,"Low (1-20%)",IF(T5810&lt;=0.4,"Medium (21-40%)","High (&gt;40%)"))))</f>
        <v/>
      </c>
      <c r="Y5810" s="23" t="str">
        <f aca="false">IF(AND(ISNUMBER(C5810),ISNUMBER(D5810)),D5810-C5810,"")</f>
        <v/>
      </c>
      <c r="Z5810" s="23" t="str">
        <f aca="false">IF(B5810="","",IF(MATCH(B5810,$B$2:$B$12000,0)=ROW()-1,1,0))</f>
        <v/>
      </c>
    </row>
    <row r="5811" customFormat="false" ht="15" hidden="false" customHeight="false" outlineLevel="0" collapsed="false">
      <c r="V5811" s="23" t="str">
        <f aca="false">IF(ISNUMBER(C5811),YEAR(C5811),"")</f>
        <v/>
      </c>
      <c r="W5811" s="23" t="str">
        <f aca="false">IF(ISNUMBER(C5811),MONTH(C5811),"")</f>
        <v/>
      </c>
      <c r="X5811" s="23" t="str">
        <f aca="false">IF(T5811="","",IF(T5811=0,"No discount",IF(T5811&lt;=0.2,"Low (1-20%)",IF(T5811&lt;=0.4,"Medium (21-40%)","High (&gt;40%)"))))</f>
        <v/>
      </c>
      <c r="Y5811" s="23" t="str">
        <f aca="false">IF(AND(ISNUMBER(C5811),ISNUMBER(D5811)),D5811-C5811,"")</f>
        <v/>
      </c>
      <c r="Z5811" s="23" t="str">
        <f aca="false">IF(B5811="","",IF(MATCH(B5811,$B$2:$B$12000,0)=ROW()-1,1,0))</f>
        <v/>
      </c>
    </row>
    <row r="5812" customFormat="false" ht="15" hidden="false" customHeight="false" outlineLevel="0" collapsed="false">
      <c r="V5812" s="23" t="str">
        <f aca="false">IF(ISNUMBER(C5812),YEAR(C5812),"")</f>
        <v/>
      </c>
      <c r="W5812" s="23" t="str">
        <f aca="false">IF(ISNUMBER(C5812),MONTH(C5812),"")</f>
        <v/>
      </c>
      <c r="X5812" s="23" t="str">
        <f aca="false">IF(T5812="","",IF(T5812=0,"No discount",IF(T5812&lt;=0.2,"Low (1-20%)",IF(T5812&lt;=0.4,"Medium (21-40%)","High (&gt;40%)"))))</f>
        <v/>
      </c>
      <c r="Y5812" s="23" t="str">
        <f aca="false">IF(AND(ISNUMBER(C5812),ISNUMBER(D5812)),D5812-C5812,"")</f>
        <v/>
      </c>
      <c r="Z5812" s="23" t="str">
        <f aca="false">IF(B5812="","",IF(MATCH(B5812,$B$2:$B$12000,0)=ROW()-1,1,0))</f>
        <v/>
      </c>
    </row>
    <row r="5813" customFormat="false" ht="15" hidden="false" customHeight="false" outlineLevel="0" collapsed="false">
      <c r="V5813" s="23" t="str">
        <f aca="false">IF(ISNUMBER(C5813),YEAR(C5813),"")</f>
        <v/>
      </c>
      <c r="W5813" s="23" t="str">
        <f aca="false">IF(ISNUMBER(C5813),MONTH(C5813),"")</f>
        <v/>
      </c>
      <c r="X5813" s="23" t="str">
        <f aca="false">IF(T5813="","",IF(T5813=0,"No discount",IF(T5813&lt;=0.2,"Low (1-20%)",IF(T5813&lt;=0.4,"Medium (21-40%)","High (&gt;40%)"))))</f>
        <v/>
      </c>
      <c r="Y5813" s="23" t="str">
        <f aca="false">IF(AND(ISNUMBER(C5813),ISNUMBER(D5813)),D5813-C5813,"")</f>
        <v/>
      </c>
      <c r="Z5813" s="23" t="str">
        <f aca="false">IF(B5813="","",IF(MATCH(B5813,$B$2:$B$12000,0)=ROW()-1,1,0))</f>
        <v/>
      </c>
    </row>
    <row r="5814" customFormat="false" ht="15" hidden="false" customHeight="false" outlineLevel="0" collapsed="false">
      <c r="V5814" s="23" t="str">
        <f aca="false">IF(ISNUMBER(C5814),YEAR(C5814),"")</f>
        <v/>
      </c>
      <c r="W5814" s="23" t="str">
        <f aca="false">IF(ISNUMBER(C5814),MONTH(C5814),"")</f>
        <v/>
      </c>
      <c r="X5814" s="23" t="str">
        <f aca="false">IF(T5814="","",IF(T5814=0,"No discount",IF(T5814&lt;=0.2,"Low (1-20%)",IF(T5814&lt;=0.4,"Medium (21-40%)","High (&gt;40%)"))))</f>
        <v/>
      </c>
      <c r="Y5814" s="23" t="str">
        <f aca="false">IF(AND(ISNUMBER(C5814),ISNUMBER(D5814)),D5814-C5814,"")</f>
        <v/>
      </c>
      <c r="Z5814" s="23" t="str">
        <f aca="false">IF(B5814="","",IF(MATCH(B5814,$B$2:$B$12000,0)=ROW()-1,1,0))</f>
        <v/>
      </c>
    </row>
    <row r="5815" customFormat="false" ht="15" hidden="false" customHeight="false" outlineLevel="0" collapsed="false">
      <c r="V5815" s="23" t="str">
        <f aca="false">IF(ISNUMBER(C5815),YEAR(C5815),"")</f>
        <v/>
      </c>
      <c r="W5815" s="23" t="str">
        <f aca="false">IF(ISNUMBER(C5815),MONTH(C5815),"")</f>
        <v/>
      </c>
      <c r="X5815" s="23" t="str">
        <f aca="false">IF(T5815="","",IF(T5815=0,"No discount",IF(T5815&lt;=0.2,"Low (1-20%)",IF(T5815&lt;=0.4,"Medium (21-40%)","High (&gt;40%)"))))</f>
        <v/>
      </c>
      <c r="Y5815" s="23" t="str">
        <f aca="false">IF(AND(ISNUMBER(C5815),ISNUMBER(D5815)),D5815-C5815,"")</f>
        <v/>
      </c>
      <c r="Z5815" s="23" t="str">
        <f aca="false">IF(B5815="","",IF(MATCH(B5815,$B$2:$B$12000,0)=ROW()-1,1,0))</f>
        <v/>
      </c>
    </row>
    <row r="5816" customFormat="false" ht="15" hidden="false" customHeight="false" outlineLevel="0" collapsed="false">
      <c r="V5816" s="23" t="str">
        <f aca="false">IF(ISNUMBER(C5816),YEAR(C5816),"")</f>
        <v/>
      </c>
      <c r="W5816" s="23" t="str">
        <f aca="false">IF(ISNUMBER(C5816),MONTH(C5816),"")</f>
        <v/>
      </c>
      <c r="X5816" s="23" t="str">
        <f aca="false">IF(T5816="","",IF(T5816=0,"No discount",IF(T5816&lt;=0.2,"Low (1-20%)",IF(T5816&lt;=0.4,"Medium (21-40%)","High (&gt;40%)"))))</f>
        <v/>
      </c>
      <c r="Y5816" s="23" t="str">
        <f aca="false">IF(AND(ISNUMBER(C5816),ISNUMBER(D5816)),D5816-C5816,"")</f>
        <v/>
      </c>
      <c r="Z5816" s="23" t="str">
        <f aca="false">IF(B5816="","",IF(MATCH(B5816,$B$2:$B$12000,0)=ROW()-1,1,0))</f>
        <v/>
      </c>
    </row>
    <row r="5817" customFormat="false" ht="15" hidden="false" customHeight="false" outlineLevel="0" collapsed="false">
      <c r="V5817" s="23" t="str">
        <f aca="false">IF(ISNUMBER(C5817),YEAR(C5817),"")</f>
        <v/>
      </c>
      <c r="W5817" s="23" t="str">
        <f aca="false">IF(ISNUMBER(C5817),MONTH(C5817),"")</f>
        <v/>
      </c>
      <c r="X5817" s="23" t="str">
        <f aca="false">IF(T5817="","",IF(T5817=0,"No discount",IF(T5817&lt;=0.2,"Low (1-20%)",IF(T5817&lt;=0.4,"Medium (21-40%)","High (&gt;40%)"))))</f>
        <v/>
      </c>
      <c r="Y5817" s="23" t="str">
        <f aca="false">IF(AND(ISNUMBER(C5817),ISNUMBER(D5817)),D5817-C5817,"")</f>
        <v/>
      </c>
      <c r="Z5817" s="23" t="str">
        <f aca="false">IF(B5817="","",IF(MATCH(B5817,$B$2:$B$12000,0)=ROW()-1,1,0))</f>
        <v/>
      </c>
    </row>
    <row r="5818" customFormat="false" ht="15" hidden="false" customHeight="false" outlineLevel="0" collapsed="false">
      <c r="V5818" s="23" t="str">
        <f aca="false">IF(ISNUMBER(C5818),YEAR(C5818),"")</f>
        <v/>
      </c>
      <c r="W5818" s="23" t="str">
        <f aca="false">IF(ISNUMBER(C5818),MONTH(C5818),"")</f>
        <v/>
      </c>
      <c r="X5818" s="23" t="str">
        <f aca="false">IF(T5818="","",IF(T5818=0,"No discount",IF(T5818&lt;=0.2,"Low (1-20%)",IF(T5818&lt;=0.4,"Medium (21-40%)","High (&gt;40%)"))))</f>
        <v/>
      </c>
      <c r="Y5818" s="23" t="str">
        <f aca="false">IF(AND(ISNUMBER(C5818),ISNUMBER(D5818)),D5818-C5818,"")</f>
        <v/>
      </c>
      <c r="Z5818" s="23" t="str">
        <f aca="false">IF(B5818="","",IF(MATCH(B5818,$B$2:$B$12000,0)=ROW()-1,1,0))</f>
        <v/>
      </c>
    </row>
    <row r="5819" customFormat="false" ht="15" hidden="false" customHeight="false" outlineLevel="0" collapsed="false">
      <c r="V5819" s="23" t="str">
        <f aca="false">IF(ISNUMBER(C5819),YEAR(C5819),"")</f>
        <v/>
      </c>
      <c r="W5819" s="23" t="str">
        <f aca="false">IF(ISNUMBER(C5819),MONTH(C5819),"")</f>
        <v/>
      </c>
      <c r="X5819" s="23" t="str">
        <f aca="false">IF(T5819="","",IF(T5819=0,"No discount",IF(T5819&lt;=0.2,"Low (1-20%)",IF(T5819&lt;=0.4,"Medium (21-40%)","High (&gt;40%)"))))</f>
        <v/>
      </c>
      <c r="Y5819" s="23" t="str">
        <f aca="false">IF(AND(ISNUMBER(C5819),ISNUMBER(D5819)),D5819-C5819,"")</f>
        <v/>
      </c>
      <c r="Z5819" s="23" t="str">
        <f aca="false">IF(B5819="","",IF(MATCH(B5819,$B$2:$B$12000,0)=ROW()-1,1,0))</f>
        <v/>
      </c>
    </row>
    <row r="5820" customFormat="false" ht="15" hidden="false" customHeight="false" outlineLevel="0" collapsed="false">
      <c r="V5820" s="23" t="str">
        <f aca="false">IF(ISNUMBER(C5820),YEAR(C5820),"")</f>
        <v/>
      </c>
      <c r="W5820" s="23" t="str">
        <f aca="false">IF(ISNUMBER(C5820),MONTH(C5820),"")</f>
        <v/>
      </c>
      <c r="X5820" s="23" t="str">
        <f aca="false">IF(T5820="","",IF(T5820=0,"No discount",IF(T5820&lt;=0.2,"Low (1-20%)",IF(T5820&lt;=0.4,"Medium (21-40%)","High (&gt;40%)"))))</f>
        <v/>
      </c>
      <c r="Y5820" s="23" t="str">
        <f aca="false">IF(AND(ISNUMBER(C5820),ISNUMBER(D5820)),D5820-C5820,"")</f>
        <v/>
      </c>
      <c r="Z5820" s="23" t="str">
        <f aca="false">IF(B5820="","",IF(MATCH(B5820,$B$2:$B$12000,0)=ROW()-1,1,0))</f>
        <v/>
      </c>
    </row>
    <row r="5821" customFormat="false" ht="15" hidden="false" customHeight="false" outlineLevel="0" collapsed="false">
      <c r="V5821" s="23" t="str">
        <f aca="false">IF(ISNUMBER(C5821),YEAR(C5821),"")</f>
        <v/>
      </c>
      <c r="W5821" s="23" t="str">
        <f aca="false">IF(ISNUMBER(C5821),MONTH(C5821),"")</f>
        <v/>
      </c>
      <c r="X5821" s="23" t="str">
        <f aca="false">IF(T5821="","",IF(T5821=0,"No discount",IF(T5821&lt;=0.2,"Low (1-20%)",IF(T5821&lt;=0.4,"Medium (21-40%)","High (&gt;40%)"))))</f>
        <v/>
      </c>
      <c r="Y5821" s="23" t="str">
        <f aca="false">IF(AND(ISNUMBER(C5821),ISNUMBER(D5821)),D5821-C5821,"")</f>
        <v/>
      </c>
      <c r="Z5821" s="23" t="str">
        <f aca="false">IF(B5821="","",IF(MATCH(B5821,$B$2:$B$12000,0)=ROW()-1,1,0))</f>
        <v/>
      </c>
    </row>
    <row r="5822" customFormat="false" ht="15" hidden="false" customHeight="false" outlineLevel="0" collapsed="false">
      <c r="V5822" s="23" t="str">
        <f aca="false">IF(ISNUMBER(C5822),YEAR(C5822),"")</f>
        <v/>
      </c>
      <c r="W5822" s="23" t="str">
        <f aca="false">IF(ISNUMBER(C5822),MONTH(C5822),"")</f>
        <v/>
      </c>
      <c r="X5822" s="23" t="str">
        <f aca="false">IF(T5822="","",IF(T5822=0,"No discount",IF(T5822&lt;=0.2,"Low (1-20%)",IF(T5822&lt;=0.4,"Medium (21-40%)","High (&gt;40%)"))))</f>
        <v/>
      </c>
      <c r="Y5822" s="23" t="str">
        <f aca="false">IF(AND(ISNUMBER(C5822),ISNUMBER(D5822)),D5822-C5822,"")</f>
        <v/>
      </c>
      <c r="Z5822" s="23" t="str">
        <f aca="false">IF(B5822="","",IF(MATCH(B5822,$B$2:$B$12000,0)=ROW()-1,1,0))</f>
        <v/>
      </c>
    </row>
    <row r="5823" customFormat="false" ht="15" hidden="false" customHeight="false" outlineLevel="0" collapsed="false">
      <c r="V5823" s="23" t="str">
        <f aca="false">IF(ISNUMBER(C5823),YEAR(C5823),"")</f>
        <v/>
      </c>
      <c r="W5823" s="23" t="str">
        <f aca="false">IF(ISNUMBER(C5823),MONTH(C5823),"")</f>
        <v/>
      </c>
      <c r="X5823" s="23" t="str">
        <f aca="false">IF(T5823="","",IF(T5823=0,"No discount",IF(T5823&lt;=0.2,"Low (1-20%)",IF(T5823&lt;=0.4,"Medium (21-40%)","High (&gt;40%)"))))</f>
        <v/>
      </c>
      <c r="Y5823" s="23" t="str">
        <f aca="false">IF(AND(ISNUMBER(C5823),ISNUMBER(D5823)),D5823-C5823,"")</f>
        <v/>
      </c>
      <c r="Z5823" s="23" t="str">
        <f aca="false">IF(B5823="","",IF(MATCH(B5823,$B$2:$B$12000,0)=ROW()-1,1,0))</f>
        <v/>
      </c>
    </row>
    <row r="5824" customFormat="false" ht="15" hidden="false" customHeight="false" outlineLevel="0" collapsed="false">
      <c r="V5824" s="23" t="str">
        <f aca="false">IF(ISNUMBER(C5824),YEAR(C5824),"")</f>
        <v/>
      </c>
      <c r="W5824" s="23" t="str">
        <f aca="false">IF(ISNUMBER(C5824),MONTH(C5824),"")</f>
        <v/>
      </c>
      <c r="X5824" s="23" t="str">
        <f aca="false">IF(T5824="","",IF(T5824=0,"No discount",IF(T5824&lt;=0.2,"Low (1-20%)",IF(T5824&lt;=0.4,"Medium (21-40%)","High (&gt;40%)"))))</f>
        <v/>
      </c>
      <c r="Y5824" s="23" t="str">
        <f aca="false">IF(AND(ISNUMBER(C5824),ISNUMBER(D5824)),D5824-C5824,"")</f>
        <v/>
      </c>
      <c r="Z5824" s="23" t="str">
        <f aca="false">IF(B5824="","",IF(MATCH(B5824,$B$2:$B$12000,0)=ROW()-1,1,0))</f>
        <v/>
      </c>
    </row>
    <row r="5825" customFormat="false" ht="15" hidden="false" customHeight="false" outlineLevel="0" collapsed="false">
      <c r="V5825" s="23" t="str">
        <f aca="false">IF(ISNUMBER(C5825),YEAR(C5825),"")</f>
        <v/>
      </c>
      <c r="W5825" s="23" t="str">
        <f aca="false">IF(ISNUMBER(C5825),MONTH(C5825),"")</f>
        <v/>
      </c>
      <c r="X5825" s="23" t="str">
        <f aca="false">IF(T5825="","",IF(T5825=0,"No discount",IF(T5825&lt;=0.2,"Low (1-20%)",IF(T5825&lt;=0.4,"Medium (21-40%)","High (&gt;40%)"))))</f>
        <v/>
      </c>
      <c r="Y5825" s="23" t="str">
        <f aca="false">IF(AND(ISNUMBER(C5825),ISNUMBER(D5825)),D5825-C5825,"")</f>
        <v/>
      </c>
      <c r="Z5825" s="23" t="str">
        <f aca="false">IF(B5825="","",IF(MATCH(B5825,$B$2:$B$12000,0)=ROW()-1,1,0))</f>
        <v/>
      </c>
    </row>
    <row r="5826" customFormat="false" ht="15" hidden="false" customHeight="false" outlineLevel="0" collapsed="false">
      <c r="V5826" s="23" t="str">
        <f aca="false">IF(ISNUMBER(C5826),YEAR(C5826),"")</f>
        <v/>
      </c>
      <c r="W5826" s="23" t="str">
        <f aca="false">IF(ISNUMBER(C5826),MONTH(C5826),"")</f>
        <v/>
      </c>
      <c r="X5826" s="23" t="str">
        <f aca="false">IF(T5826="","",IF(T5826=0,"No discount",IF(T5826&lt;=0.2,"Low (1-20%)",IF(T5826&lt;=0.4,"Medium (21-40%)","High (&gt;40%)"))))</f>
        <v/>
      </c>
      <c r="Y5826" s="23" t="str">
        <f aca="false">IF(AND(ISNUMBER(C5826),ISNUMBER(D5826)),D5826-C5826,"")</f>
        <v/>
      </c>
      <c r="Z5826" s="23" t="str">
        <f aca="false">IF(B5826="","",IF(MATCH(B5826,$B$2:$B$12000,0)=ROW()-1,1,0))</f>
        <v/>
      </c>
    </row>
    <row r="5827" customFormat="false" ht="15" hidden="false" customHeight="false" outlineLevel="0" collapsed="false">
      <c r="V5827" s="23" t="str">
        <f aca="false">IF(ISNUMBER(C5827),YEAR(C5827),"")</f>
        <v/>
      </c>
      <c r="W5827" s="23" t="str">
        <f aca="false">IF(ISNUMBER(C5827),MONTH(C5827),"")</f>
        <v/>
      </c>
      <c r="X5827" s="23" t="str">
        <f aca="false">IF(T5827="","",IF(T5827=0,"No discount",IF(T5827&lt;=0.2,"Low (1-20%)",IF(T5827&lt;=0.4,"Medium (21-40%)","High (&gt;40%)"))))</f>
        <v/>
      </c>
      <c r="Y5827" s="23" t="str">
        <f aca="false">IF(AND(ISNUMBER(C5827),ISNUMBER(D5827)),D5827-C5827,"")</f>
        <v/>
      </c>
      <c r="Z5827" s="23" t="str">
        <f aca="false">IF(B5827="","",IF(MATCH(B5827,$B$2:$B$12000,0)=ROW()-1,1,0))</f>
        <v/>
      </c>
    </row>
    <row r="5828" customFormat="false" ht="15" hidden="false" customHeight="false" outlineLevel="0" collapsed="false">
      <c r="V5828" s="23" t="str">
        <f aca="false">IF(ISNUMBER(C5828),YEAR(C5828),"")</f>
        <v/>
      </c>
      <c r="W5828" s="23" t="str">
        <f aca="false">IF(ISNUMBER(C5828),MONTH(C5828),"")</f>
        <v/>
      </c>
      <c r="X5828" s="23" t="str">
        <f aca="false">IF(T5828="","",IF(T5828=0,"No discount",IF(T5828&lt;=0.2,"Low (1-20%)",IF(T5828&lt;=0.4,"Medium (21-40%)","High (&gt;40%)"))))</f>
        <v/>
      </c>
      <c r="Y5828" s="23" t="str">
        <f aca="false">IF(AND(ISNUMBER(C5828),ISNUMBER(D5828)),D5828-C5828,"")</f>
        <v/>
      </c>
      <c r="Z5828" s="23" t="str">
        <f aca="false">IF(B5828="","",IF(MATCH(B5828,$B$2:$B$12000,0)=ROW()-1,1,0))</f>
        <v/>
      </c>
    </row>
    <row r="5829" customFormat="false" ht="15" hidden="false" customHeight="false" outlineLevel="0" collapsed="false">
      <c r="V5829" s="23" t="str">
        <f aca="false">IF(ISNUMBER(C5829),YEAR(C5829),"")</f>
        <v/>
      </c>
      <c r="W5829" s="23" t="str">
        <f aca="false">IF(ISNUMBER(C5829),MONTH(C5829),"")</f>
        <v/>
      </c>
      <c r="X5829" s="23" t="str">
        <f aca="false">IF(T5829="","",IF(T5829=0,"No discount",IF(T5829&lt;=0.2,"Low (1-20%)",IF(T5829&lt;=0.4,"Medium (21-40%)","High (&gt;40%)"))))</f>
        <v/>
      </c>
      <c r="Y5829" s="23" t="str">
        <f aca="false">IF(AND(ISNUMBER(C5829),ISNUMBER(D5829)),D5829-C5829,"")</f>
        <v/>
      </c>
      <c r="Z5829" s="23" t="str">
        <f aca="false">IF(B5829="","",IF(MATCH(B5829,$B$2:$B$12000,0)=ROW()-1,1,0))</f>
        <v/>
      </c>
    </row>
    <row r="5830" customFormat="false" ht="15" hidden="false" customHeight="false" outlineLevel="0" collapsed="false">
      <c r="V5830" s="23" t="str">
        <f aca="false">IF(ISNUMBER(C5830),YEAR(C5830),"")</f>
        <v/>
      </c>
      <c r="W5830" s="23" t="str">
        <f aca="false">IF(ISNUMBER(C5830),MONTH(C5830),"")</f>
        <v/>
      </c>
      <c r="X5830" s="23" t="str">
        <f aca="false">IF(T5830="","",IF(T5830=0,"No discount",IF(T5830&lt;=0.2,"Low (1-20%)",IF(T5830&lt;=0.4,"Medium (21-40%)","High (&gt;40%)"))))</f>
        <v/>
      </c>
      <c r="Y5830" s="23" t="str">
        <f aca="false">IF(AND(ISNUMBER(C5830),ISNUMBER(D5830)),D5830-C5830,"")</f>
        <v/>
      </c>
      <c r="Z5830" s="23" t="str">
        <f aca="false">IF(B5830="","",IF(MATCH(B5830,$B$2:$B$12000,0)=ROW()-1,1,0))</f>
        <v/>
      </c>
    </row>
    <row r="5831" customFormat="false" ht="15" hidden="false" customHeight="false" outlineLevel="0" collapsed="false">
      <c r="V5831" s="23" t="str">
        <f aca="false">IF(ISNUMBER(C5831),YEAR(C5831),"")</f>
        <v/>
      </c>
      <c r="W5831" s="23" t="str">
        <f aca="false">IF(ISNUMBER(C5831),MONTH(C5831),"")</f>
        <v/>
      </c>
      <c r="X5831" s="23" t="str">
        <f aca="false">IF(T5831="","",IF(T5831=0,"No discount",IF(T5831&lt;=0.2,"Low (1-20%)",IF(T5831&lt;=0.4,"Medium (21-40%)","High (&gt;40%)"))))</f>
        <v/>
      </c>
      <c r="Y5831" s="23" t="str">
        <f aca="false">IF(AND(ISNUMBER(C5831),ISNUMBER(D5831)),D5831-C5831,"")</f>
        <v/>
      </c>
      <c r="Z5831" s="23" t="str">
        <f aca="false">IF(B5831="","",IF(MATCH(B5831,$B$2:$B$12000,0)=ROW()-1,1,0))</f>
        <v/>
      </c>
    </row>
    <row r="5832" customFormat="false" ht="15" hidden="false" customHeight="false" outlineLevel="0" collapsed="false">
      <c r="V5832" s="23" t="str">
        <f aca="false">IF(ISNUMBER(C5832),YEAR(C5832),"")</f>
        <v/>
      </c>
      <c r="W5832" s="23" t="str">
        <f aca="false">IF(ISNUMBER(C5832),MONTH(C5832),"")</f>
        <v/>
      </c>
      <c r="X5832" s="23" t="str">
        <f aca="false">IF(T5832="","",IF(T5832=0,"No discount",IF(T5832&lt;=0.2,"Low (1-20%)",IF(T5832&lt;=0.4,"Medium (21-40%)","High (&gt;40%)"))))</f>
        <v/>
      </c>
      <c r="Y5832" s="23" t="str">
        <f aca="false">IF(AND(ISNUMBER(C5832),ISNUMBER(D5832)),D5832-C5832,"")</f>
        <v/>
      </c>
      <c r="Z5832" s="23" t="str">
        <f aca="false">IF(B5832="","",IF(MATCH(B5832,$B$2:$B$12000,0)=ROW()-1,1,0))</f>
        <v/>
      </c>
    </row>
    <row r="5833" customFormat="false" ht="15" hidden="false" customHeight="false" outlineLevel="0" collapsed="false">
      <c r="V5833" s="23" t="str">
        <f aca="false">IF(ISNUMBER(C5833),YEAR(C5833),"")</f>
        <v/>
      </c>
      <c r="W5833" s="23" t="str">
        <f aca="false">IF(ISNUMBER(C5833),MONTH(C5833),"")</f>
        <v/>
      </c>
      <c r="X5833" s="23" t="str">
        <f aca="false">IF(T5833="","",IF(T5833=0,"No discount",IF(T5833&lt;=0.2,"Low (1-20%)",IF(T5833&lt;=0.4,"Medium (21-40%)","High (&gt;40%)"))))</f>
        <v/>
      </c>
      <c r="Y5833" s="23" t="str">
        <f aca="false">IF(AND(ISNUMBER(C5833),ISNUMBER(D5833)),D5833-C5833,"")</f>
        <v/>
      </c>
      <c r="Z5833" s="23" t="str">
        <f aca="false">IF(B5833="","",IF(MATCH(B5833,$B$2:$B$12000,0)=ROW()-1,1,0))</f>
        <v/>
      </c>
    </row>
    <row r="5834" customFormat="false" ht="15" hidden="false" customHeight="false" outlineLevel="0" collapsed="false">
      <c r="V5834" s="23" t="str">
        <f aca="false">IF(ISNUMBER(C5834),YEAR(C5834),"")</f>
        <v/>
      </c>
      <c r="W5834" s="23" t="str">
        <f aca="false">IF(ISNUMBER(C5834),MONTH(C5834),"")</f>
        <v/>
      </c>
      <c r="X5834" s="23" t="str">
        <f aca="false">IF(T5834="","",IF(T5834=0,"No discount",IF(T5834&lt;=0.2,"Low (1-20%)",IF(T5834&lt;=0.4,"Medium (21-40%)","High (&gt;40%)"))))</f>
        <v/>
      </c>
      <c r="Y5834" s="23" t="str">
        <f aca="false">IF(AND(ISNUMBER(C5834),ISNUMBER(D5834)),D5834-C5834,"")</f>
        <v/>
      </c>
      <c r="Z5834" s="23" t="str">
        <f aca="false">IF(B5834="","",IF(MATCH(B5834,$B$2:$B$12000,0)=ROW()-1,1,0))</f>
        <v/>
      </c>
    </row>
    <row r="5835" customFormat="false" ht="15" hidden="false" customHeight="false" outlineLevel="0" collapsed="false">
      <c r="V5835" s="23" t="str">
        <f aca="false">IF(ISNUMBER(C5835),YEAR(C5835),"")</f>
        <v/>
      </c>
      <c r="W5835" s="23" t="str">
        <f aca="false">IF(ISNUMBER(C5835),MONTH(C5835),"")</f>
        <v/>
      </c>
      <c r="X5835" s="23" t="str">
        <f aca="false">IF(T5835="","",IF(T5835=0,"No discount",IF(T5835&lt;=0.2,"Low (1-20%)",IF(T5835&lt;=0.4,"Medium (21-40%)","High (&gt;40%)"))))</f>
        <v/>
      </c>
      <c r="Y5835" s="23" t="str">
        <f aca="false">IF(AND(ISNUMBER(C5835),ISNUMBER(D5835)),D5835-C5835,"")</f>
        <v/>
      </c>
      <c r="Z5835" s="23" t="str">
        <f aca="false">IF(B5835="","",IF(MATCH(B5835,$B$2:$B$12000,0)=ROW()-1,1,0))</f>
        <v/>
      </c>
    </row>
    <row r="5836" customFormat="false" ht="15" hidden="false" customHeight="false" outlineLevel="0" collapsed="false">
      <c r="V5836" s="23" t="str">
        <f aca="false">IF(ISNUMBER(C5836),YEAR(C5836),"")</f>
        <v/>
      </c>
      <c r="W5836" s="23" t="str">
        <f aca="false">IF(ISNUMBER(C5836),MONTH(C5836),"")</f>
        <v/>
      </c>
      <c r="X5836" s="23" t="str">
        <f aca="false">IF(T5836="","",IF(T5836=0,"No discount",IF(T5836&lt;=0.2,"Low (1-20%)",IF(T5836&lt;=0.4,"Medium (21-40%)","High (&gt;40%)"))))</f>
        <v/>
      </c>
      <c r="Y5836" s="23" t="str">
        <f aca="false">IF(AND(ISNUMBER(C5836),ISNUMBER(D5836)),D5836-C5836,"")</f>
        <v/>
      </c>
      <c r="Z5836" s="23" t="str">
        <f aca="false">IF(B5836="","",IF(MATCH(B5836,$B$2:$B$12000,0)=ROW()-1,1,0))</f>
        <v/>
      </c>
    </row>
    <row r="5837" customFormat="false" ht="15" hidden="false" customHeight="false" outlineLevel="0" collapsed="false">
      <c r="V5837" s="23" t="str">
        <f aca="false">IF(ISNUMBER(C5837),YEAR(C5837),"")</f>
        <v/>
      </c>
      <c r="W5837" s="23" t="str">
        <f aca="false">IF(ISNUMBER(C5837),MONTH(C5837),"")</f>
        <v/>
      </c>
      <c r="X5837" s="23" t="str">
        <f aca="false">IF(T5837="","",IF(T5837=0,"No discount",IF(T5837&lt;=0.2,"Low (1-20%)",IF(T5837&lt;=0.4,"Medium (21-40%)","High (&gt;40%)"))))</f>
        <v/>
      </c>
      <c r="Y5837" s="23" t="str">
        <f aca="false">IF(AND(ISNUMBER(C5837),ISNUMBER(D5837)),D5837-C5837,"")</f>
        <v/>
      </c>
      <c r="Z5837" s="23" t="str">
        <f aca="false">IF(B5837="","",IF(MATCH(B5837,$B$2:$B$12000,0)=ROW()-1,1,0))</f>
        <v/>
      </c>
    </row>
    <row r="5838" customFormat="false" ht="15" hidden="false" customHeight="false" outlineLevel="0" collapsed="false">
      <c r="V5838" s="23" t="str">
        <f aca="false">IF(ISNUMBER(C5838),YEAR(C5838),"")</f>
        <v/>
      </c>
      <c r="W5838" s="23" t="str">
        <f aca="false">IF(ISNUMBER(C5838),MONTH(C5838),"")</f>
        <v/>
      </c>
      <c r="X5838" s="23" t="str">
        <f aca="false">IF(T5838="","",IF(T5838=0,"No discount",IF(T5838&lt;=0.2,"Low (1-20%)",IF(T5838&lt;=0.4,"Medium (21-40%)","High (&gt;40%)"))))</f>
        <v/>
      </c>
      <c r="Y5838" s="23" t="str">
        <f aca="false">IF(AND(ISNUMBER(C5838),ISNUMBER(D5838)),D5838-C5838,"")</f>
        <v/>
      </c>
      <c r="Z5838" s="23" t="str">
        <f aca="false">IF(B5838="","",IF(MATCH(B5838,$B$2:$B$12000,0)=ROW()-1,1,0))</f>
        <v/>
      </c>
    </row>
    <row r="5839" customFormat="false" ht="15" hidden="false" customHeight="false" outlineLevel="0" collapsed="false">
      <c r="V5839" s="23" t="str">
        <f aca="false">IF(ISNUMBER(C5839),YEAR(C5839),"")</f>
        <v/>
      </c>
      <c r="W5839" s="23" t="str">
        <f aca="false">IF(ISNUMBER(C5839),MONTH(C5839),"")</f>
        <v/>
      </c>
      <c r="X5839" s="23" t="str">
        <f aca="false">IF(T5839="","",IF(T5839=0,"No discount",IF(T5839&lt;=0.2,"Low (1-20%)",IF(T5839&lt;=0.4,"Medium (21-40%)","High (&gt;40%)"))))</f>
        <v/>
      </c>
      <c r="Y5839" s="23" t="str">
        <f aca="false">IF(AND(ISNUMBER(C5839),ISNUMBER(D5839)),D5839-C5839,"")</f>
        <v/>
      </c>
      <c r="Z5839" s="23" t="str">
        <f aca="false">IF(B5839="","",IF(MATCH(B5839,$B$2:$B$12000,0)=ROW()-1,1,0))</f>
        <v/>
      </c>
    </row>
    <row r="5840" customFormat="false" ht="15" hidden="false" customHeight="false" outlineLevel="0" collapsed="false">
      <c r="V5840" s="23" t="str">
        <f aca="false">IF(ISNUMBER(C5840),YEAR(C5840),"")</f>
        <v/>
      </c>
      <c r="W5840" s="23" t="str">
        <f aca="false">IF(ISNUMBER(C5840),MONTH(C5840),"")</f>
        <v/>
      </c>
      <c r="X5840" s="23" t="str">
        <f aca="false">IF(T5840="","",IF(T5840=0,"No discount",IF(T5840&lt;=0.2,"Low (1-20%)",IF(T5840&lt;=0.4,"Medium (21-40%)","High (&gt;40%)"))))</f>
        <v/>
      </c>
      <c r="Y5840" s="23" t="str">
        <f aca="false">IF(AND(ISNUMBER(C5840),ISNUMBER(D5840)),D5840-C5840,"")</f>
        <v/>
      </c>
      <c r="Z5840" s="23" t="str">
        <f aca="false">IF(B5840="","",IF(MATCH(B5840,$B$2:$B$12000,0)=ROW()-1,1,0))</f>
        <v/>
      </c>
    </row>
    <row r="5841" customFormat="false" ht="15" hidden="false" customHeight="false" outlineLevel="0" collapsed="false">
      <c r="V5841" s="23" t="str">
        <f aca="false">IF(ISNUMBER(C5841),YEAR(C5841),"")</f>
        <v/>
      </c>
      <c r="W5841" s="23" t="str">
        <f aca="false">IF(ISNUMBER(C5841),MONTH(C5841),"")</f>
        <v/>
      </c>
      <c r="X5841" s="23" t="str">
        <f aca="false">IF(T5841="","",IF(T5841=0,"No discount",IF(T5841&lt;=0.2,"Low (1-20%)",IF(T5841&lt;=0.4,"Medium (21-40%)","High (&gt;40%)"))))</f>
        <v/>
      </c>
      <c r="Y5841" s="23" t="str">
        <f aca="false">IF(AND(ISNUMBER(C5841),ISNUMBER(D5841)),D5841-C5841,"")</f>
        <v/>
      </c>
      <c r="Z5841" s="23" t="str">
        <f aca="false">IF(B5841="","",IF(MATCH(B5841,$B$2:$B$12000,0)=ROW()-1,1,0))</f>
        <v/>
      </c>
    </row>
    <row r="5842" customFormat="false" ht="15" hidden="false" customHeight="false" outlineLevel="0" collapsed="false">
      <c r="V5842" s="23" t="str">
        <f aca="false">IF(ISNUMBER(C5842),YEAR(C5842),"")</f>
        <v/>
      </c>
      <c r="W5842" s="23" t="str">
        <f aca="false">IF(ISNUMBER(C5842),MONTH(C5842),"")</f>
        <v/>
      </c>
      <c r="X5842" s="23" t="str">
        <f aca="false">IF(T5842="","",IF(T5842=0,"No discount",IF(T5842&lt;=0.2,"Low (1-20%)",IF(T5842&lt;=0.4,"Medium (21-40%)","High (&gt;40%)"))))</f>
        <v/>
      </c>
      <c r="Y5842" s="23" t="str">
        <f aca="false">IF(AND(ISNUMBER(C5842),ISNUMBER(D5842)),D5842-C5842,"")</f>
        <v/>
      </c>
      <c r="Z5842" s="23" t="str">
        <f aca="false">IF(B5842="","",IF(MATCH(B5842,$B$2:$B$12000,0)=ROW()-1,1,0))</f>
        <v/>
      </c>
    </row>
    <row r="5843" customFormat="false" ht="15" hidden="false" customHeight="false" outlineLevel="0" collapsed="false">
      <c r="V5843" s="23" t="str">
        <f aca="false">IF(ISNUMBER(C5843),YEAR(C5843),"")</f>
        <v/>
      </c>
      <c r="W5843" s="23" t="str">
        <f aca="false">IF(ISNUMBER(C5843),MONTH(C5843),"")</f>
        <v/>
      </c>
      <c r="X5843" s="23" t="str">
        <f aca="false">IF(T5843="","",IF(T5843=0,"No discount",IF(T5843&lt;=0.2,"Low (1-20%)",IF(T5843&lt;=0.4,"Medium (21-40%)","High (&gt;40%)"))))</f>
        <v/>
      </c>
      <c r="Y5843" s="23" t="str">
        <f aca="false">IF(AND(ISNUMBER(C5843),ISNUMBER(D5843)),D5843-C5843,"")</f>
        <v/>
      </c>
      <c r="Z5843" s="23" t="str">
        <f aca="false">IF(B5843="","",IF(MATCH(B5843,$B$2:$B$12000,0)=ROW()-1,1,0))</f>
        <v/>
      </c>
    </row>
    <row r="5844" customFormat="false" ht="15" hidden="false" customHeight="false" outlineLevel="0" collapsed="false">
      <c r="V5844" s="23" t="str">
        <f aca="false">IF(ISNUMBER(C5844),YEAR(C5844),"")</f>
        <v/>
      </c>
      <c r="W5844" s="23" t="str">
        <f aca="false">IF(ISNUMBER(C5844),MONTH(C5844),"")</f>
        <v/>
      </c>
      <c r="X5844" s="23" t="str">
        <f aca="false">IF(T5844="","",IF(T5844=0,"No discount",IF(T5844&lt;=0.2,"Low (1-20%)",IF(T5844&lt;=0.4,"Medium (21-40%)","High (&gt;40%)"))))</f>
        <v/>
      </c>
      <c r="Y5844" s="23" t="str">
        <f aca="false">IF(AND(ISNUMBER(C5844),ISNUMBER(D5844)),D5844-C5844,"")</f>
        <v/>
      </c>
      <c r="Z5844" s="23" t="str">
        <f aca="false">IF(B5844="","",IF(MATCH(B5844,$B$2:$B$12000,0)=ROW()-1,1,0))</f>
        <v/>
      </c>
    </row>
    <row r="5845" customFormat="false" ht="15" hidden="false" customHeight="false" outlineLevel="0" collapsed="false">
      <c r="V5845" s="23" t="str">
        <f aca="false">IF(ISNUMBER(C5845),YEAR(C5845),"")</f>
        <v/>
      </c>
      <c r="W5845" s="23" t="str">
        <f aca="false">IF(ISNUMBER(C5845),MONTH(C5845),"")</f>
        <v/>
      </c>
      <c r="X5845" s="23" t="str">
        <f aca="false">IF(T5845="","",IF(T5845=0,"No discount",IF(T5845&lt;=0.2,"Low (1-20%)",IF(T5845&lt;=0.4,"Medium (21-40%)","High (&gt;40%)"))))</f>
        <v/>
      </c>
      <c r="Y5845" s="23" t="str">
        <f aca="false">IF(AND(ISNUMBER(C5845),ISNUMBER(D5845)),D5845-C5845,"")</f>
        <v/>
      </c>
      <c r="Z5845" s="23" t="str">
        <f aca="false">IF(B5845="","",IF(MATCH(B5845,$B$2:$B$12000,0)=ROW()-1,1,0))</f>
        <v/>
      </c>
    </row>
    <row r="5846" customFormat="false" ht="15" hidden="false" customHeight="false" outlineLevel="0" collapsed="false">
      <c r="V5846" s="23" t="str">
        <f aca="false">IF(ISNUMBER(C5846),YEAR(C5846),"")</f>
        <v/>
      </c>
      <c r="W5846" s="23" t="str">
        <f aca="false">IF(ISNUMBER(C5846),MONTH(C5846),"")</f>
        <v/>
      </c>
      <c r="X5846" s="23" t="str">
        <f aca="false">IF(T5846="","",IF(T5846=0,"No discount",IF(T5846&lt;=0.2,"Low (1-20%)",IF(T5846&lt;=0.4,"Medium (21-40%)","High (&gt;40%)"))))</f>
        <v/>
      </c>
      <c r="Y5846" s="23" t="str">
        <f aca="false">IF(AND(ISNUMBER(C5846),ISNUMBER(D5846)),D5846-C5846,"")</f>
        <v/>
      </c>
      <c r="Z5846" s="23" t="str">
        <f aca="false">IF(B5846="","",IF(MATCH(B5846,$B$2:$B$12000,0)=ROW()-1,1,0))</f>
        <v/>
      </c>
    </row>
    <row r="5847" customFormat="false" ht="15" hidden="false" customHeight="false" outlineLevel="0" collapsed="false">
      <c r="V5847" s="23" t="str">
        <f aca="false">IF(ISNUMBER(C5847),YEAR(C5847),"")</f>
        <v/>
      </c>
      <c r="W5847" s="23" t="str">
        <f aca="false">IF(ISNUMBER(C5847),MONTH(C5847),"")</f>
        <v/>
      </c>
      <c r="X5847" s="23" t="str">
        <f aca="false">IF(T5847="","",IF(T5847=0,"No discount",IF(T5847&lt;=0.2,"Low (1-20%)",IF(T5847&lt;=0.4,"Medium (21-40%)","High (&gt;40%)"))))</f>
        <v/>
      </c>
      <c r="Y5847" s="23" t="str">
        <f aca="false">IF(AND(ISNUMBER(C5847),ISNUMBER(D5847)),D5847-C5847,"")</f>
        <v/>
      </c>
      <c r="Z5847" s="23" t="str">
        <f aca="false">IF(B5847="","",IF(MATCH(B5847,$B$2:$B$12000,0)=ROW()-1,1,0))</f>
        <v/>
      </c>
    </row>
    <row r="5848" customFormat="false" ht="15" hidden="false" customHeight="false" outlineLevel="0" collapsed="false">
      <c r="V5848" s="23" t="str">
        <f aca="false">IF(ISNUMBER(C5848),YEAR(C5848),"")</f>
        <v/>
      </c>
      <c r="W5848" s="23" t="str">
        <f aca="false">IF(ISNUMBER(C5848),MONTH(C5848),"")</f>
        <v/>
      </c>
      <c r="X5848" s="23" t="str">
        <f aca="false">IF(T5848="","",IF(T5848=0,"No discount",IF(T5848&lt;=0.2,"Low (1-20%)",IF(T5848&lt;=0.4,"Medium (21-40%)","High (&gt;40%)"))))</f>
        <v/>
      </c>
      <c r="Y5848" s="23" t="str">
        <f aca="false">IF(AND(ISNUMBER(C5848),ISNUMBER(D5848)),D5848-C5848,"")</f>
        <v/>
      </c>
      <c r="Z5848" s="23" t="str">
        <f aca="false">IF(B5848="","",IF(MATCH(B5848,$B$2:$B$12000,0)=ROW()-1,1,0))</f>
        <v/>
      </c>
    </row>
    <row r="5849" customFormat="false" ht="15" hidden="false" customHeight="false" outlineLevel="0" collapsed="false">
      <c r="V5849" s="23" t="str">
        <f aca="false">IF(ISNUMBER(C5849),YEAR(C5849),"")</f>
        <v/>
      </c>
      <c r="W5849" s="23" t="str">
        <f aca="false">IF(ISNUMBER(C5849),MONTH(C5849),"")</f>
        <v/>
      </c>
      <c r="X5849" s="23" t="str">
        <f aca="false">IF(T5849="","",IF(T5849=0,"No discount",IF(T5849&lt;=0.2,"Low (1-20%)",IF(T5849&lt;=0.4,"Medium (21-40%)","High (&gt;40%)"))))</f>
        <v/>
      </c>
      <c r="Y5849" s="23" t="str">
        <f aca="false">IF(AND(ISNUMBER(C5849),ISNUMBER(D5849)),D5849-C5849,"")</f>
        <v/>
      </c>
      <c r="Z5849" s="23" t="str">
        <f aca="false">IF(B5849="","",IF(MATCH(B5849,$B$2:$B$12000,0)=ROW()-1,1,0))</f>
        <v/>
      </c>
    </row>
    <row r="5850" customFormat="false" ht="15" hidden="false" customHeight="false" outlineLevel="0" collapsed="false">
      <c r="V5850" s="23" t="str">
        <f aca="false">IF(ISNUMBER(C5850),YEAR(C5850),"")</f>
        <v/>
      </c>
      <c r="W5850" s="23" t="str">
        <f aca="false">IF(ISNUMBER(C5850),MONTH(C5850),"")</f>
        <v/>
      </c>
      <c r="X5850" s="23" t="str">
        <f aca="false">IF(T5850="","",IF(T5850=0,"No discount",IF(T5850&lt;=0.2,"Low (1-20%)",IF(T5850&lt;=0.4,"Medium (21-40%)","High (&gt;40%)"))))</f>
        <v/>
      </c>
      <c r="Y5850" s="23" t="str">
        <f aca="false">IF(AND(ISNUMBER(C5850),ISNUMBER(D5850)),D5850-C5850,"")</f>
        <v/>
      </c>
      <c r="Z5850" s="23" t="str">
        <f aca="false">IF(B5850="","",IF(MATCH(B5850,$B$2:$B$12000,0)=ROW()-1,1,0))</f>
        <v/>
      </c>
    </row>
    <row r="5851" customFormat="false" ht="15" hidden="false" customHeight="false" outlineLevel="0" collapsed="false">
      <c r="V5851" s="23" t="str">
        <f aca="false">IF(ISNUMBER(C5851),YEAR(C5851),"")</f>
        <v/>
      </c>
      <c r="W5851" s="23" t="str">
        <f aca="false">IF(ISNUMBER(C5851),MONTH(C5851),"")</f>
        <v/>
      </c>
      <c r="X5851" s="23" t="str">
        <f aca="false">IF(T5851="","",IF(T5851=0,"No discount",IF(T5851&lt;=0.2,"Low (1-20%)",IF(T5851&lt;=0.4,"Medium (21-40%)","High (&gt;40%)"))))</f>
        <v/>
      </c>
      <c r="Y5851" s="23" t="str">
        <f aca="false">IF(AND(ISNUMBER(C5851),ISNUMBER(D5851)),D5851-C5851,"")</f>
        <v/>
      </c>
      <c r="Z5851" s="23" t="str">
        <f aca="false">IF(B5851="","",IF(MATCH(B5851,$B$2:$B$12000,0)=ROW()-1,1,0))</f>
        <v/>
      </c>
    </row>
    <row r="5852" customFormat="false" ht="15" hidden="false" customHeight="false" outlineLevel="0" collapsed="false">
      <c r="V5852" s="23" t="str">
        <f aca="false">IF(ISNUMBER(C5852),YEAR(C5852),"")</f>
        <v/>
      </c>
      <c r="W5852" s="23" t="str">
        <f aca="false">IF(ISNUMBER(C5852),MONTH(C5852),"")</f>
        <v/>
      </c>
      <c r="X5852" s="23" t="str">
        <f aca="false">IF(T5852="","",IF(T5852=0,"No discount",IF(T5852&lt;=0.2,"Low (1-20%)",IF(T5852&lt;=0.4,"Medium (21-40%)","High (&gt;40%)"))))</f>
        <v/>
      </c>
      <c r="Y5852" s="23" t="str">
        <f aca="false">IF(AND(ISNUMBER(C5852),ISNUMBER(D5852)),D5852-C5852,"")</f>
        <v/>
      </c>
      <c r="Z5852" s="23" t="str">
        <f aca="false">IF(B5852="","",IF(MATCH(B5852,$B$2:$B$12000,0)=ROW()-1,1,0))</f>
        <v/>
      </c>
    </row>
    <row r="5853" customFormat="false" ht="15" hidden="false" customHeight="false" outlineLevel="0" collapsed="false">
      <c r="V5853" s="23" t="str">
        <f aca="false">IF(ISNUMBER(C5853),YEAR(C5853),"")</f>
        <v/>
      </c>
      <c r="W5853" s="23" t="str">
        <f aca="false">IF(ISNUMBER(C5853),MONTH(C5853),"")</f>
        <v/>
      </c>
      <c r="X5853" s="23" t="str">
        <f aca="false">IF(T5853="","",IF(T5853=0,"No discount",IF(T5853&lt;=0.2,"Low (1-20%)",IF(T5853&lt;=0.4,"Medium (21-40%)","High (&gt;40%)"))))</f>
        <v/>
      </c>
      <c r="Y5853" s="23" t="str">
        <f aca="false">IF(AND(ISNUMBER(C5853),ISNUMBER(D5853)),D5853-C5853,"")</f>
        <v/>
      </c>
      <c r="Z5853" s="23" t="str">
        <f aca="false">IF(B5853="","",IF(MATCH(B5853,$B$2:$B$12000,0)=ROW()-1,1,0))</f>
        <v/>
      </c>
    </row>
    <row r="5854" customFormat="false" ht="15" hidden="false" customHeight="false" outlineLevel="0" collapsed="false">
      <c r="V5854" s="23" t="str">
        <f aca="false">IF(ISNUMBER(C5854),YEAR(C5854),"")</f>
        <v/>
      </c>
      <c r="W5854" s="23" t="str">
        <f aca="false">IF(ISNUMBER(C5854),MONTH(C5854),"")</f>
        <v/>
      </c>
      <c r="X5854" s="23" t="str">
        <f aca="false">IF(T5854="","",IF(T5854=0,"No discount",IF(T5854&lt;=0.2,"Low (1-20%)",IF(T5854&lt;=0.4,"Medium (21-40%)","High (&gt;40%)"))))</f>
        <v/>
      </c>
      <c r="Y5854" s="23" t="str">
        <f aca="false">IF(AND(ISNUMBER(C5854),ISNUMBER(D5854)),D5854-C5854,"")</f>
        <v/>
      </c>
      <c r="Z5854" s="23" t="str">
        <f aca="false">IF(B5854="","",IF(MATCH(B5854,$B$2:$B$12000,0)=ROW()-1,1,0))</f>
        <v/>
      </c>
    </row>
    <row r="5855" customFormat="false" ht="15" hidden="false" customHeight="false" outlineLevel="0" collapsed="false">
      <c r="V5855" s="23" t="str">
        <f aca="false">IF(ISNUMBER(C5855),YEAR(C5855),"")</f>
        <v/>
      </c>
      <c r="W5855" s="23" t="str">
        <f aca="false">IF(ISNUMBER(C5855),MONTH(C5855),"")</f>
        <v/>
      </c>
      <c r="X5855" s="23" t="str">
        <f aca="false">IF(T5855="","",IF(T5855=0,"No discount",IF(T5855&lt;=0.2,"Low (1-20%)",IF(T5855&lt;=0.4,"Medium (21-40%)","High (&gt;40%)"))))</f>
        <v/>
      </c>
      <c r="Y5855" s="23" t="str">
        <f aca="false">IF(AND(ISNUMBER(C5855),ISNUMBER(D5855)),D5855-C5855,"")</f>
        <v/>
      </c>
      <c r="Z5855" s="23" t="str">
        <f aca="false">IF(B5855="","",IF(MATCH(B5855,$B$2:$B$12000,0)=ROW()-1,1,0))</f>
        <v/>
      </c>
    </row>
    <row r="5856" customFormat="false" ht="15" hidden="false" customHeight="false" outlineLevel="0" collapsed="false">
      <c r="V5856" s="23" t="str">
        <f aca="false">IF(ISNUMBER(C5856),YEAR(C5856),"")</f>
        <v/>
      </c>
      <c r="W5856" s="23" t="str">
        <f aca="false">IF(ISNUMBER(C5856),MONTH(C5856),"")</f>
        <v/>
      </c>
      <c r="X5856" s="23" t="str">
        <f aca="false">IF(T5856="","",IF(T5856=0,"No discount",IF(T5856&lt;=0.2,"Low (1-20%)",IF(T5856&lt;=0.4,"Medium (21-40%)","High (&gt;40%)"))))</f>
        <v/>
      </c>
      <c r="Y5856" s="23" t="str">
        <f aca="false">IF(AND(ISNUMBER(C5856),ISNUMBER(D5856)),D5856-C5856,"")</f>
        <v/>
      </c>
      <c r="Z5856" s="23" t="str">
        <f aca="false">IF(B5856="","",IF(MATCH(B5856,$B$2:$B$12000,0)=ROW()-1,1,0))</f>
        <v/>
      </c>
    </row>
    <row r="5857" customFormat="false" ht="15" hidden="false" customHeight="false" outlineLevel="0" collapsed="false">
      <c r="V5857" s="23" t="str">
        <f aca="false">IF(ISNUMBER(C5857),YEAR(C5857),"")</f>
        <v/>
      </c>
      <c r="W5857" s="23" t="str">
        <f aca="false">IF(ISNUMBER(C5857),MONTH(C5857),"")</f>
        <v/>
      </c>
      <c r="X5857" s="23" t="str">
        <f aca="false">IF(T5857="","",IF(T5857=0,"No discount",IF(T5857&lt;=0.2,"Low (1-20%)",IF(T5857&lt;=0.4,"Medium (21-40%)","High (&gt;40%)"))))</f>
        <v/>
      </c>
      <c r="Y5857" s="23" t="str">
        <f aca="false">IF(AND(ISNUMBER(C5857),ISNUMBER(D5857)),D5857-C5857,"")</f>
        <v/>
      </c>
      <c r="Z5857" s="23" t="str">
        <f aca="false">IF(B5857="","",IF(MATCH(B5857,$B$2:$B$12000,0)=ROW()-1,1,0))</f>
        <v/>
      </c>
    </row>
    <row r="5858" customFormat="false" ht="15" hidden="false" customHeight="false" outlineLevel="0" collapsed="false">
      <c r="V5858" s="23" t="str">
        <f aca="false">IF(ISNUMBER(C5858),YEAR(C5858),"")</f>
        <v/>
      </c>
      <c r="W5858" s="23" t="str">
        <f aca="false">IF(ISNUMBER(C5858),MONTH(C5858),"")</f>
        <v/>
      </c>
      <c r="X5858" s="23" t="str">
        <f aca="false">IF(T5858="","",IF(T5858=0,"No discount",IF(T5858&lt;=0.2,"Low (1-20%)",IF(T5858&lt;=0.4,"Medium (21-40%)","High (&gt;40%)"))))</f>
        <v/>
      </c>
      <c r="Y5858" s="23" t="str">
        <f aca="false">IF(AND(ISNUMBER(C5858),ISNUMBER(D5858)),D5858-C5858,"")</f>
        <v/>
      </c>
      <c r="Z5858" s="23" t="str">
        <f aca="false">IF(B5858="","",IF(MATCH(B5858,$B$2:$B$12000,0)=ROW()-1,1,0))</f>
        <v/>
      </c>
    </row>
    <row r="5859" customFormat="false" ht="15" hidden="false" customHeight="false" outlineLevel="0" collapsed="false">
      <c r="V5859" s="23" t="str">
        <f aca="false">IF(ISNUMBER(C5859),YEAR(C5859),"")</f>
        <v/>
      </c>
      <c r="W5859" s="23" t="str">
        <f aca="false">IF(ISNUMBER(C5859),MONTH(C5859),"")</f>
        <v/>
      </c>
      <c r="X5859" s="23" t="str">
        <f aca="false">IF(T5859="","",IF(T5859=0,"No discount",IF(T5859&lt;=0.2,"Low (1-20%)",IF(T5859&lt;=0.4,"Medium (21-40%)","High (&gt;40%)"))))</f>
        <v/>
      </c>
      <c r="Y5859" s="23" t="str">
        <f aca="false">IF(AND(ISNUMBER(C5859),ISNUMBER(D5859)),D5859-C5859,"")</f>
        <v/>
      </c>
      <c r="Z5859" s="23" t="str">
        <f aca="false">IF(B5859="","",IF(MATCH(B5859,$B$2:$B$12000,0)=ROW()-1,1,0))</f>
        <v/>
      </c>
    </row>
    <row r="5860" customFormat="false" ht="15" hidden="false" customHeight="false" outlineLevel="0" collapsed="false">
      <c r="V5860" s="23" t="str">
        <f aca="false">IF(ISNUMBER(C5860),YEAR(C5860),"")</f>
        <v/>
      </c>
      <c r="W5860" s="23" t="str">
        <f aca="false">IF(ISNUMBER(C5860),MONTH(C5860),"")</f>
        <v/>
      </c>
      <c r="X5860" s="23" t="str">
        <f aca="false">IF(T5860="","",IF(T5860=0,"No discount",IF(T5860&lt;=0.2,"Low (1-20%)",IF(T5860&lt;=0.4,"Medium (21-40%)","High (&gt;40%)"))))</f>
        <v/>
      </c>
      <c r="Y5860" s="23" t="str">
        <f aca="false">IF(AND(ISNUMBER(C5860),ISNUMBER(D5860)),D5860-C5860,"")</f>
        <v/>
      </c>
      <c r="Z5860" s="23" t="str">
        <f aca="false">IF(B5860="","",IF(MATCH(B5860,$B$2:$B$12000,0)=ROW()-1,1,0))</f>
        <v/>
      </c>
    </row>
    <row r="5861" customFormat="false" ht="15" hidden="false" customHeight="false" outlineLevel="0" collapsed="false">
      <c r="V5861" s="23" t="str">
        <f aca="false">IF(ISNUMBER(C5861),YEAR(C5861),"")</f>
        <v/>
      </c>
      <c r="W5861" s="23" t="str">
        <f aca="false">IF(ISNUMBER(C5861),MONTH(C5861),"")</f>
        <v/>
      </c>
      <c r="X5861" s="23" t="str">
        <f aca="false">IF(T5861="","",IF(T5861=0,"No discount",IF(T5861&lt;=0.2,"Low (1-20%)",IF(T5861&lt;=0.4,"Medium (21-40%)","High (&gt;40%)"))))</f>
        <v/>
      </c>
      <c r="Y5861" s="23" t="str">
        <f aca="false">IF(AND(ISNUMBER(C5861),ISNUMBER(D5861)),D5861-C5861,"")</f>
        <v/>
      </c>
      <c r="Z5861" s="23" t="str">
        <f aca="false">IF(B5861="","",IF(MATCH(B5861,$B$2:$B$12000,0)=ROW()-1,1,0))</f>
        <v/>
      </c>
    </row>
    <row r="5862" customFormat="false" ht="15" hidden="false" customHeight="false" outlineLevel="0" collapsed="false">
      <c r="V5862" s="23" t="str">
        <f aca="false">IF(ISNUMBER(C5862),YEAR(C5862),"")</f>
        <v/>
      </c>
      <c r="W5862" s="23" t="str">
        <f aca="false">IF(ISNUMBER(C5862),MONTH(C5862),"")</f>
        <v/>
      </c>
      <c r="X5862" s="23" t="str">
        <f aca="false">IF(T5862="","",IF(T5862=0,"No discount",IF(T5862&lt;=0.2,"Low (1-20%)",IF(T5862&lt;=0.4,"Medium (21-40%)","High (&gt;40%)"))))</f>
        <v/>
      </c>
      <c r="Y5862" s="23" t="str">
        <f aca="false">IF(AND(ISNUMBER(C5862),ISNUMBER(D5862)),D5862-C5862,"")</f>
        <v/>
      </c>
      <c r="Z5862" s="23" t="str">
        <f aca="false">IF(B5862="","",IF(MATCH(B5862,$B$2:$B$12000,0)=ROW()-1,1,0))</f>
        <v/>
      </c>
    </row>
    <row r="5863" customFormat="false" ht="15" hidden="false" customHeight="false" outlineLevel="0" collapsed="false">
      <c r="V5863" s="23" t="str">
        <f aca="false">IF(ISNUMBER(C5863),YEAR(C5863),"")</f>
        <v/>
      </c>
      <c r="W5863" s="23" t="str">
        <f aca="false">IF(ISNUMBER(C5863),MONTH(C5863),"")</f>
        <v/>
      </c>
      <c r="X5863" s="23" t="str">
        <f aca="false">IF(T5863="","",IF(T5863=0,"No discount",IF(T5863&lt;=0.2,"Low (1-20%)",IF(T5863&lt;=0.4,"Medium (21-40%)","High (&gt;40%)"))))</f>
        <v/>
      </c>
      <c r="Y5863" s="23" t="str">
        <f aca="false">IF(AND(ISNUMBER(C5863),ISNUMBER(D5863)),D5863-C5863,"")</f>
        <v/>
      </c>
      <c r="Z5863" s="23" t="str">
        <f aca="false">IF(B5863="","",IF(MATCH(B5863,$B$2:$B$12000,0)=ROW()-1,1,0))</f>
        <v/>
      </c>
    </row>
    <row r="5864" customFormat="false" ht="15" hidden="false" customHeight="false" outlineLevel="0" collapsed="false">
      <c r="V5864" s="23" t="str">
        <f aca="false">IF(ISNUMBER(C5864),YEAR(C5864),"")</f>
        <v/>
      </c>
      <c r="W5864" s="23" t="str">
        <f aca="false">IF(ISNUMBER(C5864),MONTH(C5864),"")</f>
        <v/>
      </c>
      <c r="X5864" s="23" t="str">
        <f aca="false">IF(T5864="","",IF(T5864=0,"No discount",IF(T5864&lt;=0.2,"Low (1-20%)",IF(T5864&lt;=0.4,"Medium (21-40%)","High (&gt;40%)"))))</f>
        <v/>
      </c>
      <c r="Y5864" s="23" t="str">
        <f aca="false">IF(AND(ISNUMBER(C5864),ISNUMBER(D5864)),D5864-C5864,"")</f>
        <v/>
      </c>
      <c r="Z5864" s="23" t="str">
        <f aca="false">IF(B5864="","",IF(MATCH(B5864,$B$2:$B$12000,0)=ROW()-1,1,0))</f>
        <v/>
      </c>
    </row>
    <row r="5865" customFormat="false" ht="15" hidden="false" customHeight="false" outlineLevel="0" collapsed="false">
      <c r="V5865" s="23" t="str">
        <f aca="false">IF(ISNUMBER(C5865),YEAR(C5865),"")</f>
        <v/>
      </c>
      <c r="W5865" s="23" t="str">
        <f aca="false">IF(ISNUMBER(C5865),MONTH(C5865),"")</f>
        <v/>
      </c>
      <c r="X5865" s="23" t="str">
        <f aca="false">IF(T5865="","",IF(T5865=0,"No discount",IF(T5865&lt;=0.2,"Low (1-20%)",IF(T5865&lt;=0.4,"Medium (21-40%)","High (&gt;40%)"))))</f>
        <v/>
      </c>
      <c r="Y5865" s="23" t="str">
        <f aca="false">IF(AND(ISNUMBER(C5865),ISNUMBER(D5865)),D5865-C5865,"")</f>
        <v/>
      </c>
      <c r="Z5865" s="23" t="str">
        <f aca="false">IF(B5865="","",IF(MATCH(B5865,$B$2:$B$12000,0)=ROW()-1,1,0))</f>
        <v/>
      </c>
    </row>
    <row r="5866" customFormat="false" ht="15" hidden="false" customHeight="false" outlineLevel="0" collapsed="false">
      <c r="V5866" s="23" t="str">
        <f aca="false">IF(ISNUMBER(C5866),YEAR(C5866),"")</f>
        <v/>
      </c>
      <c r="W5866" s="23" t="str">
        <f aca="false">IF(ISNUMBER(C5866),MONTH(C5866),"")</f>
        <v/>
      </c>
      <c r="X5866" s="23" t="str">
        <f aca="false">IF(T5866="","",IF(T5866=0,"No discount",IF(T5866&lt;=0.2,"Low (1-20%)",IF(T5866&lt;=0.4,"Medium (21-40%)","High (&gt;40%)"))))</f>
        <v/>
      </c>
      <c r="Y5866" s="23" t="str">
        <f aca="false">IF(AND(ISNUMBER(C5866),ISNUMBER(D5866)),D5866-C5866,"")</f>
        <v/>
      </c>
      <c r="Z5866" s="23" t="str">
        <f aca="false">IF(B5866="","",IF(MATCH(B5866,$B$2:$B$12000,0)=ROW()-1,1,0))</f>
        <v/>
      </c>
    </row>
    <row r="5867" customFormat="false" ht="15" hidden="false" customHeight="false" outlineLevel="0" collapsed="false">
      <c r="V5867" s="23" t="str">
        <f aca="false">IF(ISNUMBER(C5867),YEAR(C5867),"")</f>
        <v/>
      </c>
      <c r="W5867" s="23" t="str">
        <f aca="false">IF(ISNUMBER(C5867),MONTH(C5867),"")</f>
        <v/>
      </c>
      <c r="X5867" s="23" t="str">
        <f aca="false">IF(T5867="","",IF(T5867=0,"No discount",IF(T5867&lt;=0.2,"Low (1-20%)",IF(T5867&lt;=0.4,"Medium (21-40%)","High (&gt;40%)"))))</f>
        <v/>
      </c>
      <c r="Y5867" s="23" t="str">
        <f aca="false">IF(AND(ISNUMBER(C5867),ISNUMBER(D5867)),D5867-C5867,"")</f>
        <v/>
      </c>
      <c r="Z5867" s="23" t="str">
        <f aca="false">IF(B5867="","",IF(MATCH(B5867,$B$2:$B$12000,0)=ROW()-1,1,0))</f>
        <v/>
      </c>
    </row>
    <row r="5868" customFormat="false" ht="15" hidden="false" customHeight="false" outlineLevel="0" collapsed="false">
      <c r="V5868" s="23" t="str">
        <f aca="false">IF(ISNUMBER(C5868),YEAR(C5868),"")</f>
        <v/>
      </c>
      <c r="W5868" s="23" t="str">
        <f aca="false">IF(ISNUMBER(C5868),MONTH(C5868),"")</f>
        <v/>
      </c>
      <c r="X5868" s="23" t="str">
        <f aca="false">IF(T5868="","",IF(T5868=0,"No discount",IF(T5868&lt;=0.2,"Low (1-20%)",IF(T5868&lt;=0.4,"Medium (21-40%)","High (&gt;40%)"))))</f>
        <v/>
      </c>
      <c r="Y5868" s="23" t="str">
        <f aca="false">IF(AND(ISNUMBER(C5868),ISNUMBER(D5868)),D5868-C5868,"")</f>
        <v/>
      </c>
      <c r="Z5868" s="23" t="str">
        <f aca="false">IF(B5868="","",IF(MATCH(B5868,$B$2:$B$12000,0)=ROW()-1,1,0))</f>
        <v/>
      </c>
    </row>
    <row r="5869" customFormat="false" ht="15" hidden="false" customHeight="false" outlineLevel="0" collapsed="false">
      <c r="V5869" s="23" t="str">
        <f aca="false">IF(ISNUMBER(C5869),YEAR(C5869),"")</f>
        <v/>
      </c>
      <c r="W5869" s="23" t="str">
        <f aca="false">IF(ISNUMBER(C5869),MONTH(C5869),"")</f>
        <v/>
      </c>
      <c r="X5869" s="23" t="str">
        <f aca="false">IF(T5869="","",IF(T5869=0,"No discount",IF(T5869&lt;=0.2,"Low (1-20%)",IF(T5869&lt;=0.4,"Medium (21-40%)","High (&gt;40%)"))))</f>
        <v/>
      </c>
      <c r="Y5869" s="23" t="str">
        <f aca="false">IF(AND(ISNUMBER(C5869),ISNUMBER(D5869)),D5869-C5869,"")</f>
        <v/>
      </c>
      <c r="Z5869" s="23" t="str">
        <f aca="false">IF(B5869="","",IF(MATCH(B5869,$B$2:$B$12000,0)=ROW()-1,1,0))</f>
        <v/>
      </c>
    </row>
    <row r="5870" customFormat="false" ht="15" hidden="false" customHeight="false" outlineLevel="0" collapsed="false">
      <c r="V5870" s="23" t="str">
        <f aca="false">IF(ISNUMBER(C5870),YEAR(C5870),"")</f>
        <v/>
      </c>
      <c r="W5870" s="23" t="str">
        <f aca="false">IF(ISNUMBER(C5870),MONTH(C5870),"")</f>
        <v/>
      </c>
      <c r="X5870" s="23" t="str">
        <f aca="false">IF(T5870="","",IF(T5870=0,"No discount",IF(T5870&lt;=0.2,"Low (1-20%)",IF(T5870&lt;=0.4,"Medium (21-40%)","High (&gt;40%)"))))</f>
        <v/>
      </c>
      <c r="Y5870" s="23" t="str">
        <f aca="false">IF(AND(ISNUMBER(C5870),ISNUMBER(D5870)),D5870-C5870,"")</f>
        <v/>
      </c>
      <c r="Z5870" s="23" t="str">
        <f aca="false">IF(B5870="","",IF(MATCH(B5870,$B$2:$B$12000,0)=ROW()-1,1,0))</f>
        <v/>
      </c>
    </row>
    <row r="5871" customFormat="false" ht="15" hidden="false" customHeight="false" outlineLevel="0" collapsed="false">
      <c r="V5871" s="23" t="str">
        <f aca="false">IF(ISNUMBER(C5871),YEAR(C5871),"")</f>
        <v/>
      </c>
      <c r="W5871" s="23" t="str">
        <f aca="false">IF(ISNUMBER(C5871),MONTH(C5871),"")</f>
        <v/>
      </c>
      <c r="X5871" s="23" t="str">
        <f aca="false">IF(T5871="","",IF(T5871=0,"No discount",IF(T5871&lt;=0.2,"Low (1-20%)",IF(T5871&lt;=0.4,"Medium (21-40%)","High (&gt;40%)"))))</f>
        <v/>
      </c>
      <c r="Y5871" s="23" t="str">
        <f aca="false">IF(AND(ISNUMBER(C5871),ISNUMBER(D5871)),D5871-C5871,"")</f>
        <v/>
      </c>
      <c r="Z5871" s="23" t="str">
        <f aca="false">IF(B5871="","",IF(MATCH(B5871,$B$2:$B$12000,0)=ROW()-1,1,0))</f>
        <v/>
      </c>
    </row>
    <row r="5872" customFormat="false" ht="15" hidden="false" customHeight="false" outlineLevel="0" collapsed="false">
      <c r="V5872" s="23" t="str">
        <f aca="false">IF(ISNUMBER(C5872),YEAR(C5872),"")</f>
        <v/>
      </c>
      <c r="W5872" s="23" t="str">
        <f aca="false">IF(ISNUMBER(C5872),MONTH(C5872),"")</f>
        <v/>
      </c>
      <c r="X5872" s="23" t="str">
        <f aca="false">IF(T5872="","",IF(T5872=0,"No discount",IF(T5872&lt;=0.2,"Low (1-20%)",IF(T5872&lt;=0.4,"Medium (21-40%)","High (&gt;40%)"))))</f>
        <v/>
      </c>
      <c r="Y5872" s="23" t="str">
        <f aca="false">IF(AND(ISNUMBER(C5872),ISNUMBER(D5872)),D5872-C5872,"")</f>
        <v/>
      </c>
      <c r="Z5872" s="23" t="str">
        <f aca="false">IF(B5872="","",IF(MATCH(B5872,$B$2:$B$12000,0)=ROW()-1,1,0))</f>
        <v/>
      </c>
    </row>
    <row r="5873" customFormat="false" ht="15" hidden="false" customHeight="false" outlineLevel="0" collapsed="false">
      <c r="V5873" s="23" t="str">
        <f aca="false">IF(ISNUMBER(C5873),YEAR(C5873),"")</f>
        <v/>
      </c>
      <c r="W5873" s="23" t="str">
        <f aca="false">IF(ISNUMBER(C5873),MONTH(C5873),"")</f>
        <v/>
      </c>
      <c r="X5873" s="23" t="str">
        <f aca="false">IF(T5873="","",IF(T5873=0,"No discount",IF(T5873&lt;=0.2,"Low (1-20%)",IF(T5873&lt;=0.4,"Medium (21-40%)","High (&gt;40%)"))))</f>
        <v/>
      </c>
      <c r="Y5873" s="23" t="str">
        <f aca="false">IF(AND(ISNUMBER(C5873),ISNUMBER(D5873)),D5873-C5873,"")</f>
        <v/>
      </c>
      <c r="Z5873" s="23" t="str">
        <f aca="false">IF(B5873="","",IF(MATCH(B5873,$B$2:$B$12000,0)=ROW()-1,1,0))</f>
        <v/>
      </c>
    </row>
    <row r="5874" customFormat="false" ht="15" hidden="false" customHeight="false" outlineLevel="0" collapsed="false">
      <c r="V5874" s="23" t="str">
        <f aca="false">IF(ISNUMBER(C5874),YEAR(C5874),"")</f>
        <v/>
      </c>
      <c r="W5874" s="23" t="str">
        <f aca="false">IF(ISNUMBER(C5874),MONTH(C5874),"")</f>
        <v/>
      </c>
      <c r="X5874" s="23" t="str">
        <f aca="false">IF(T5874="","",IF(T5874=0,"No discount",IF(T5874&lt;=0.2,"Low (1-20%)",IF(T5874&lt;=0.4,"Medium (21-40%)","High (&gt;40%)"))))</f>
        <v/>
      </c>
      <c r="Y5874" s="23" t="str">
        <f aca="false">IF(AND(ISNUMBER(C5874),ISNUMBER(D5874)),D5874-C5874,"")</f>
        <v/>
      </c>
      <c r="Z5874" s="23" t="str">
        <f aca="false">IF(B5874="","",IF(MATCH(B5874,$B$2:$B$12000,0)=ROW()-1,1,0))</f>
        <v/>
      </c>
    </row>
    <row r="5875" customFormat="false" ht="15" hidden="false" customHeight="false" outlineLevel="0" collapsed="false">
      <c r="V5875" s="23" t="str">
        <f aca="false">IF(ISNUMBER(C5875),YEAR(C5875),"")</f>
        <v/>
      </c>
      <c r="W5875" s="23" t="str">
        <f aca="false">IF(ISNUMBER(C5875),MONTH(C5875),"")</f>
        <v/>
      </c>
      <c r="X5875" s="23" t="str">
        <f aca="false">IF(T5875="","",IF(T5875=0,"No discount",IF(T5875&lt;=0.2,"Low (1-20%)",IF(T5875&lt;=0.4,"Medium (21-40%)","High (&gt;40%)"))))</f>
        <v/>
      </c>
      <c r="Y5875" s="23" t="str">
        <f aca="false">IF(AND(ISNUMBER(C5875),ISNUMBER(D5875)),D5875-C5875,"")</f>
        <v/>
      </c>
      <c r="Z5875" s="23" t="str">
        <f aca="false">IF(B5875="","",IF(MATCH(B5875,$B$2:$B$12000,0)=ROW()-1,1,0))</f>
        <v/>
      </c>
    </row>
    <row r="5876" customFormat="false" ht="15" hidden="false" customHeight="false" outlineLevel="0" collapsed="false">
      <c r="V5876" s="23" t="str">
        <f aca="false">IF(ISNUMBER(C5876),YEAR(C5876),"")</f>
        <v/>
      </c>
      <c r="W5876" s="23" t="str">
        <f aca="false">IF(ISNUMBER(C5876),MONTH(C5876),"")</f>
        <v/>
      </c>
      <c r="X5876" s="23" t="str">
        <f aca="false">IF(T5876="","",IF(T5876=0,"No discount",IF(T5876&lt;=0.2,"Low (1-20%)",IF(T5876&lt;=0.4,"Medium (21-40%)","High (&gt;40%)"))))</f>
        <v/>
      </c>
      <c r="Y5876" s="23" t="str">
        <f aca="false">IF(AND(ISNUMBER(C5876),ISNUMBER(D5876)),D5876-C5876,"")</f>
        <v/>
      </c>
      <c r="Z5876" s="23" t="str">
        <f aca="false">IF(B5876="","",IF(MATCH(B5876,$B$2:$B$12000,0)=ROW()-1,1,0))</f>
        <v/>
      </c>
    </row>
    <row r="5877" customFormat="false" ht="15" hidden="false" customHeight="false" outlineLevel="0" collapsed="false">
      <c r="V5877" s="23" t="str">
        <f aca="false">IF(ISNUMBER(C5877),YEAR(C5877),"")</f>
        <v/>
      </c>
      <c r="W5877" s="23" t="str">
        <f aca="false">IF(ISNUMBER(C5877),MONTH(C5877),"")</f>
        <v/>
      </c>
      <c r="X5877" s="23" t="str">
        <f aca="false">IF(T5877="","",IF(T5877=0,"No discount",IF(T5877&lt;=0.2,"Low (1-20%)",IF(T5877&lt;=0.4,"Medium (21-40%)","High (&gt;40%)"))))</f>
        <v/>
      </c>
      <c r="Y5877" s="23" t="str">
        <f aca="false">IF(AND(ISNUMBER(C5877),ISNUMBER(D5877)),D5877-C5877,"")</f>
        <v/>
      </c>
      <c r="Z5877" s="23" t="str">
        <f aca="false">IF(B5877="","",IF(MATCH(B5877,$B$2:$B$12000,0)=ROW()-1,1,0))</f>
        <v/>
      </c>
    </row>
    <row r="5878" customFormat="false" ht="15" hidden="false" customHeight="false" outlineLevel="0" collapsed="false">
      <c r="V5878" s="23" t="str">
        <f aca="false">IF(ISNUMBER(C5878),YEAR(C5878),"")</f>
        <v/>
      </c>
      <c r="W5878" s="23" t="str">
        <f aca="false">IF(ISNUMBER(C5878),MONTH(C5878),"")</f>
        <v/>
      </c>
      <c r="X5878" s="23" t="str">
        <f aca="false">IF(T5878="","",IF(T5878=0,"No discount",IF(T5878&lt;=0.2,"Low (1-20%)",IF(T5878&lt;=0.4,"Medium (21-40%)","High (&gt;40%)"))))</f>
        <v/>
      </c>
      <c r="Y5878" s="23" t="str">
        <f aca="false">IF(AND(ISNUMBER(C5878),ISNUMBER(D5878)),D5878-C5878,"")</f>
        <v/>
      </c>
      <c r="Z5878" s="23" t="str">
        <f aca="false">IF(B5878="","",IF(MATCH(B5878,$B$2:$B$12000,0)=ROW()-1,1,0))</f>
        <v/>
      </c>
    </row>
    <row r="5879" customFormat="false" ht="15" hidden="false" customHeight="false" outlineLevel="0" collapsed="false">
      <c r="V5879" s="23" t="str">
        <f aca="false">IF(ISNUMBER(C5879),YEAR(C5879),"")</f>
        <v/>
      </c>
      <c r="W5879" s="23" t="str">
        <f aca="false">IF(ISNUMBER(C5879),MONTH(C5879),"")</f>
        <v/>
      </c>
      <c r="X5879" s="23" t="str">
        <f aca="false">IF(T5879="","",IF(T5879=0,"No discount",IF(T5879&lt;=0.2,"Low (1-20%)",IF(T5879&lt;=0.4,"Medium (21-40%)","High (&gt;40%)"))))</f>
        <v/>
      </c>
      <c r="Y5879" s="23" t="str">
        <f aca="false">IF(AND(ISNUMBER(C5879),ISNUMBER(D5879)),D5879-C5879,"")</f>
        <v/>
      </c>
      <c r="Z5879" s="23" t="str">
        <f aca="false">IF(B5879="","",IF(MATCH(B5879,$B$2:$B$12000,0)=ROW()-1,1,0))</f>
        <v/>
      </c>
    </row>
    <row r="5880" customFormat="false" ht="15" hidden="false" customHeight="false" outlineLevel="0" collapsed="false">
      <c r="V5880" s="23" t="str">
        <f aca="false">IF(ISNUMBER(C5880),YEAR(C5880),"")</f>
        <v/>
      </c>
      <c r="W5880" s="23" t="str">
        <f aca="false">IF(ISNUMBER(C5880),MONTH(C5880),"")</f>
        <v/>
      </c>
      <c r="X5880" s="23" t="str">
        <f aca="false">IF(T5880="","",IF(T5880=0,"No discount",IF(T5880&lt;=0.2,"Low (1-20%)",IF(T5880&lt;=0.4,"Medium (21-40%)","High (&gt;40%)"))))</f>
        <v/>
      </c>
      <c r="Y5880" s="23" t="str">
        <f aca="false">IF(AND(ISNUMBER(C5880),ISNUMBER(D5880)),D5880-C5880,"")</f>
        <v/>
      </c>
      <c r="Z5880" s="23" t="str">
        <f aca="false">IF(B5880="","",IF(MATCH(B5880,$B$2:$B$12000,0)=ROW()-1,1,0))</f>
        <v/>
      </c>
    </row>
    <row r="5881" customFormat="false" ht="15" hidden="false" customHeight="false" outlineLevel="0" collapsed="false">
      <c r="V5881" s="23" t="str">
        <f aca="false">IF(ISNUMBER(C5881),YEAR(C5881),"")</f>
        <v/>
      </c>
      <c r="W5881" s="23" t="str">
        <f aca="false">IF(ISNUMBER(C5881),MONTH(C5881),"")</f>
        <v/>
      </c>
      <c r="X5881" s="23" t="str">
        <f aca="false">IF(T5881="","",IF(T5881=0,"No discount",IF(T5881&lt;=0.2,"Low (1-20%)",IF(T5881&lt;=0.4,"Medium (21-40%)","High (&gt;40%)"))))</f>
        <v/>
      </c>
      <c r="Y5881" s="23" t="str">
        <f aca="false">IF(AND(ISNUMBER(C5881),ISNUMBER(D5881)),D5881-C5881,"")</f>
        <v/>
      </c>
      <c r="Z5881" s="23" t="str">
        <f aca="false">IF(B5881="","",IF(MATCH(B5881,$B$2:$B$12000,0)=ROW()-1,1,0))</f>
        <v/>
      </c>
    </row>
    <row r="5882" customFormat="false" ht="15" hidden="false" customHeight="false" outlineLevel="0" collapsed="false">
      <c r="V5882" s="23" t="str">
        <f aca="false">IF(ISNUMBER(C5882),YEAR(C5882),"")</f>
        <v/>
      </c>
      <c r="W5882" s="23" t="str">
        <f aca="false">IF(ISNUMBER(C5882),MONTH(C5882),"")</f>
        <v/>
      </c>
      <c r="X5882" s="23" t="str">
        <f aca="false">IF(T5882="","",IF(T5882=0,"No discount",IF(T5882&lt;=0.2,"Low (1-20%)",IF(T5882&lt;=0.4,"Medium (21-40%)","High (&gt;40%)"))))</f>
        <v/>
      </c>
      <c r="Y5882" s="23" t="str">
        <f aca="false">IF(AND(ISNUMBER(C5882),ISNUMBER(D5882)),D5882-C5882,"")</f>
        <v/>
      </c>
      <c r="Z5882" s="23" t="str">
        <f aca="false">IF(B5882="","",IF(MATCH(B5882,$B$2:$B$12000,0)=ROW()-1,1,0))</f>
        <v/>
      </c>
    </row>
    <row r="5883" customFormat="false" ht="15" hidden="false" customHeight="false" outlineLevel="0" collapsed="false">
      <c r="V5883" s="23" t="str">
        <f aca="false">IF(ISNUMBER(C5883),YEAR(C5883),"")</f>
        <v/>
      </c>
      <c r="W5883" s="23" t="str">
        <f aca="false">IF(ISNUMBER(C5883),MONTH(C5883),"")</f>
        <v/>
      </c>
      <c r="X5883" s="23" t="str">
        <f aca="false">IF(T5883="","",IF(T5883=0,"No discount",IF(T5883&lt;=0.2,"Low (1-20%)",IF(T5883&lt;=0.4,"Medium (21-40%)","High (&gt;40%)"))))</f>
        <v/>
      </c>
      <c r="Y5883" s="23" t="str">
        <f aca="false">IF(AND(ISNUMBER(C5883),ISNUMBER(D5883)),D5883-C5883,"")</f>
        <v/>
      </c>
      <c r="Z5883" s="23" t="str">
        <f aca="false">IF(B5883="","",IF(MATCH(B5883,$B$2:$B$12000,0)=ROW()-1,1,0))</f>
        <v/>
      </c>
    </row>
    <row r="5884" customFormat="false" ht="15" hidden="false" customHeight="false" outlineLevel="0" collapsed="false">
      <c r="V5884" s="23" t="str">
        <f aca="false">IF(ISNUMBER(C5884),YEAR(C5884),"")</f>
        <v/>
      </c>
      <c r="W5884" s="23" t="str">
        <f aca="false">IF(ISNUMBER(C5884),MONTH(C5884),"")</f>
        <v/>
      </c>
      <c r="X5884" s="23" t="str">
        <f aca="false">IF(T5884="","",IF(T5884=0,"No discount",IF(T5884&lt;=0.2,"Low (1-20%)",IF(T5884&lt;=0.4,"Medium (21-40%)","High (&gt;40%)"))))</f>
        <v/>
      </c>
      <c r="Y5884" s="23" t="str">
        <f aca="false">IF(AND(ISNUMBER(C5884),ISNUMBER(D5884)),D5884-C5884,"")</f>
        <v/>
      </c>
      <c r="Z5884" s="23" t="str">
        <f aca="false">IF(B5884="","",IF(MATCH(B5884,$B$2:$B$12000,0)=ROW()-1,1,0))</f>
        <v/>
      </c>
    </row>
    <row r="5885" customFormat="false" ht="15" hidden="false" customHeight="false" outlineLevel="0" collapsed="false">
      <c r="V5885" s="23" t="str">
        <f aca="false">IF(ISNUMBER(C5885),YEAR(C5885),"")</f>
        <v/>
      </c>
      <c r="W5885" s="23" t="str">
        <f aca="false">IF(ISNUMBER(C5885),MONTH(C5885),"")</f>
        <v/>
      </c>
      <c r="X5885" s="23" t="str">
        <f aca="false">IF(T5885="","",IF(T5885=0,"No discount",IF(T5885&lt;=0.2,"Low (1-20%)",IF(T5885&lt;=0.4,"Medium (21-40%)","High (&gt;40%)"))))</f>
        <v/>
      </c>
      <c r="Y5885" s="23" t="str">
        <f aca="false">IF(AND(ISNUMBER(C5885),ISNUMBER(D5885)),D5885-C5885,"")</f>
        <v/>
      </c>
      <c r="Z5885" s="23" t="str">
        <f aca="false">IF(B5885="","",IF(MATCH(B5885,$B$2:$B$12000,0)=ROW()-1,1,0))</f>
        <v/>
      </c>
    </row>
    <row r="5886" customFormat="false" ht="15" hidden="false" customHeight="false" outlineLevel="0" collapsed="false">
      <c r="V5886" s="23" t="str">
        <f aca="false">IF(ISNUMBER(C5886),YEAR(C5886),"")</f>
        <v/>
      </c>
      <c r="W5886" s="23" t="str">
        <f aca="false">IF(ISNUMBER(C5886),MONTH(C5886),"")</f>
        <v/>
      </c>
      <c r="X5886" s="23" t="str">
        <f aca="false">IF(T5886="","",IF(T5886=0,"No discount",IF(T5886&lt;=0.2,"Low (1-20%)",IF(T5886&lt;=0.4,"Medium (21-40%)","High (&gt;40%)"))))</f>
        <v/>
      </c>
      <c r="Y5886" s="23" t="str">
        <f aca="false">IF(AND(ISNUMBER(C5886),ISNUMBER(D5886)),D5886-C5886,"")</f>
        <v/>
      </c>
      <c r="Z5886" s="23" t="str">
        <f aca="false">IF(B5886="","",IF(MATCH(B5886,$B$2:$B$12000,0)=ROW()-1,1,0))</f>
        <v/>
      </c>
    </row>
    <row r="5887" customFormat="false" ht="15" hidden="false" customHeight="false" outlineLevel="0" collapsed="false">
      <c r="V5887" s="23" t="str">
        <f aca="false">IF(ISNUMBER(C5887),YEAR(C5887),"")</f>
        <v/>
      </c>
      <c r="W5887" s="23" t="str">
        <f aca="false">IF(ISNUMBER(C5887),MONTH(C5887),"")</f>
        <v/>
      </c>
      <c r="X5887" s="23" t="str">
        <f aca="false">IF(T5887="","",IF(T5887=0,"No discount",IF(T5887&lt;=0.2,"Low (1-20%)",IF(T5887&lt;=0.4,"Medium (21-40%)","High (&gt;40%)"))))</f>
        <v/>
      </c>
      <c r="Y5887" s="23" t="str">
        <f aca="false">IF(AND(ISNUMBER(C5887),ISNUMBER(D5887)),D5887-C5887,"")</f>
        <v/>
      </c>
      <c r="Z5887" s="23" t="str">
        <f aca="false">IF(B5887="","",IF(MATCH(B5887,$B$2:$B$12000,0)=ROW()-1,1,0))</f>
        <v/>
      </c>
    </row>
    <row r="5888" customFormat="false" ht="15" hidden="false" customHeight="false" outlineLevel="0" collapsed="false">
      <c r="V5888" s="23" t="str">
        <f aca="false">IF(ISNUMBER(C5888),YEAR(C5888),"")</f>
        <v/>
      </c>
      <c r="W5888" s="23" t="str">
        <f aca="false">IF(ISNUMBER(C5888),MONTH(C5888),"")</f>
        <v/>
      </c>
      <c r="X5888" s="23" t="str">
        <f aca="false">IF(T5888="","",IF(T5888=0,"No discount",IF(T5888&lt;=0.2,"Low (1-20%)",IF(T5888&lt;=0.4,"Medium (21-40%)","High (&gt;40%)"))))</f>
        <v/>
      </c>
      <c r="Y5888" s="23" t="str">
        <f aca="false">IF(AND(ISNUMBER(C5888),ISNUMBER(D5888)),D5888-C5888,"")</f>
        <v/>
      </c>
      <c r="Z5888" s="23" t="str">
        <f aca="false">IF(B5888="","",IF(MATCH(B5888,$B$2:$B$12000,0)=ROW()-1,1,0))</f>
        <v/>
      </c>
    </row>
    <row r="5889" customFormat="false" ht="15" hidden="false" customHeight="false" outlineLevel="0" collapsed="false">
      <c r="V5889" s="23" t="str">
        <f aca="false">IF(ISNUMBER(C5889),YEAR(C5889),"")</f>
        <v/>
      </c>
      <c r="W5889" s="23" t="str">
        <f aca="false">IF(ISNUMBER(C5889),MONTH(C5889),"")</f>
        <v/>
      </c>
      <c r="X5889" s="23" t="str">
        <f aca="false">IF(T5889="","",IF(T5889=0,"No discount",IF(T5889&lt;=0.2,"Low (1-20%)",IF(T5889&lt;=0.4,"Medium (21-40%)","High (&gt;40%)"))))</f>
        <v/>
      </c>
      <c r="Y5889" s="23" t="str">
        <f aca="false">IF(AND(ISNUMBER(C5889),ISNUMBER(D5889)),D5889-C5889,"")</f>
        <v/>
      </c>
      <c r="Z5889" s="23" t="str">
        <f aca="false">IF(B5889="","",IF(MATCH(B5889,$B$2:$B$12000,0)=ROW()-1,1,0))</f>
        <v/>
      </c>
    </row>
    <row r="5890" customFormat="false" ht="15" hidden="false" customHeight="false" outlineLevel="0" collapsed="false">
      <c r="V5890" s="23" t="str">
        <f aca="false">IF(ISNUMBER(C5890),YEAR(C5890),"")</f>
        <v/>
      </c>
      <c r="W5890" s="23" t="str">
        <f aca="false">IF(ISNUMBER(C5890),MONTH(C5890),"")</f>
        <v/>
      </c>
      <c r="X5890" s="23" t="str">
        <f aca="false">IF(T5890="","",IF(T5890=0,"No discount",IF(T5890&lt;=0.2,"Low (1-20%)",IF(T5890&lt;=0.4,"Medium (21-40%)","High (&gt;40%)"))))</f>
        <v/>
      </c>
      <c r="Y5890" s="23" t="str">
        <f aca="false">IF(AND(ISNUMBER(C5890),ISNUMBER(D5890)),D5890-C5890,"")</f>
        <v/>
      </c>
      <c r="Z5890" s="23" t="str">
        <f aca="false">IF(B5890="","",IF(MATCH(B5890,$B$2:$B$12000,0)=ROW()-1,1,0))</f>
        <v/>
      </c>
    </row>
    <row r="5891" customFormat="false" ht="15" hidden="false" customHeight="false" outlineLevel="0" collapsed="false">
      <c r="V5891" s="23" t="str">
        <f aca="false">IF(ISNUMBER(C5891),YEAR(C5891),"")</f>
        <v/>
      </c>
      <c r="W5891" s="23" t="str">
        <f aca="false">IF(ISNUMBER(C5891),MONTH(C5891),"")</f>
        <v/>
      </c>
      <c r="X5891" s="23" t="str">
        <f aca="false">IF(T5891="","",IF(T5891=0,"No discount",IF(T5891&lt;=0.2,"Low (1-20%)",IF(T5891&lt;=0.4,"Medium (21-40%)","High (&gt;40%)"))))</f>
        <v/>
      </c>
      <c r="Y5891" s="23" t="str">
        <f aca="false">IF(AND(ISNUMBER(C5891),ISNUMBER(D5891)),D5891-C5891,"")</f>
        <v/>
      </c>
      <c r="Z5891" s="23" t="str">
        <f aca="false">IF(B5891="","",IF(MATCH(B5891,$B$2:$B$12000,0)=ROW()-1,1,0))</f>
        <v/>
      </c>
    </row>
    <row r="5892" customFormat="false" ht="15" hidden="false" customHeight="false" outlineLevel="0" collapsed="false">
      <c r="V5892" s="23" t="str">
        <f aca="false">IF(ISNUMBER(C5892),YEAR(C5892),"")</f>
        <v/>
      </c>
      <c r="W5892" s="23" t="str">
        <f aca="false">IF(ISNUMBER(C5892),MONTH(C5892),"")</f>
        <v/>
      </c>
      <c r="X5892" s="23" t="str">
        <f aca="false">IF(T5892="","",IF(T5892=0,"No discount",IF(T5892&lt;=0.2,"Low (1-20%)",IF(T5892&lt;=0.4,"Medium (21-40%)","High (&gt;40%)"))))</f>
        <v/>
      </c>
      <c r="Y5892" s="23" t="str">
        <f aca="false">IF(AND(ISNUMBER(C5892),ISNUMBER(D5892)),D5892-C5892,"")</f>
        <v/>
      </c>
      <c r="Z5892" s="23" t="str">
        <f aca="false">IF(B5892="","",IF(MATCH(B5892,$B$2:$B$12000,0)=ROW()-1,1,0))</f>
        <v/>
      </c>
    </row>
    <row r="5893" customFormat="false" ht="15" hidden="false" customHeight="false" outlineLevel="0" collapsed="false">
      <c r="V5893" s="23" t="str">
        <f aca="false">IF(ISNUMBER(C5893),YEAR(C5893),"")</f>
        <v/>
      </c>
      <c r="W5893" s="23" t="str">
        <f aca="false">IF(ISNUMBER(C5893),MONTH(C5893),"")</f>
        <v/>
      </c>
      <c r="X5893" s="23" t="str">
        <f aca="false">IF(T5893="","",IF(T5893=0,"No discount",IF(T5893&lt;=0.2,"Low (1-20%)",IF(T5893&lt;=0.4,"Medium (21-40%)","High (&gt;40%)"))))</f>
        <v/>
      </c>
      <c r="Y5893" s="23" t="str">
        <f aca="false">IF(AND(ISNUMBER(C5893),ISNUMBER(D5893)),D5893-C5893,"")</f>
        <v/>
      </c>
      <c r="Z5893" s="23" t="str">
        <f aca="false">IF(B5893="","",IF(MATCH(B5893,$B$2:$B$12000,0)=ROW()-1,1,0))</f>
        <v/>
      </c>
    </row>
    <row r="5894" customFormat="false" ht="15" hidden="false" customHeight="false" outlineLevel="0" collapsed="false">
      <c r="V5894" s="23" t="str">
        <f aca="false">IF(ISNUMBER(C5894),YEAR(C5894),"")</f>
        <v/>
      </c>
      <c r="W5894" s="23" t="str">
        <f aca="false">IF(ISNUMBER(C5894),MONTH(C5894),"")</f>
        <v/>
      </c>
      <c r="X5894" s="23" t="str">
        <f aca="false">IF(T5894="","",IF(T5894=0,"No discount",IF(T5894&lt;=0.2,"Low (1-20%)",IF(T5894&lt;=0.4,"Medium (21-40%)","High (&gt;40%)"))))</f>
        <v/>
      </c>
      <c r="Y5894" s="23" t="str">
        <f aca="false">IF(AND(ISNUMBER(C5894),ISNUMBER(D5894)),D5894-C5894,"")</f>
        <v/>
      </c>
      <c r="Z5894" s="23" t="str">
        <f aca="false">IF(B5894="","",IF(MATCH(B5894,$B$2:$B$12000,0)=ROW()-1,1,0))</f>
        <v/>
      </c>
    </row>
    <row r="5895" customFormat="false" ht="15" hidden="false" customHeight="false" outlineLevel="0" collapsed="false">
      <c r="V5895" s="23" t="str">
        <f aca="false">IF(ISNUMBER(C5895),YEAR(C5895),"")</f>
        <v/>
      </c>
      <c r="W5895" s="23" t="str">
        <f aca="false">IF(ISNUMBER(C5895),MONTH(C5895),"")</f>
        <v/>
      </c>
      <c r="X5895" s="23" t="str">
        <f aca="false">IF(T5895="","",IF(T5895=0,"No discount",IF(T5895&lt;=0.2,"Low (1-20%)",IF(T5895&lt;=0.4,"Medium (21-40%)","High (&gt;40%)"))))</f>
        <v/>
      </c>
      <c r="Y5895" s="23" t="str">
        <f aca="false">IF(AND(ISNUMBER(C5895),ISNUMBER(D5895)),D5895-C5895,"")</f>
        <v/>
      </c>
      <c r="Z5895" s="23" t="str">
        <f aca="false">IF(B5895="","",IF(MATCH(B5895,$B$2:$B$12000,0)=ROW()-1,1,0))</f>
        <v/>
      </c>
    </row>
    <row r="5896" customFormat="false" ht="15" hidden="false" customHeight="false" outlineLevel="0" collapsed="false">
      <c r="V5896" s="23" t="str">
        <f aca="false">IF(ISNUMBER(C5896),YEAR(C5896),"")</f>
        <v/>
      </c>
      <c r="W5896" s="23" t="str">
        <f aca="false">IF(ISNUMBER(C5896),MONTH(C5896),"")</f>
        <v/>
      </c>
      <c r="X5896" s="23" t="str">
        <f aca="false">IF(T5896="","",IF(T5896=0,"No discount",IF(T5896&lt;=0.2,"Low (1-20%)",IF(T5896&lt;=0.4,"Medium (21-40%)","High (&gt;40%)"))))</f>
        <v/>
      </c>
      <c r="Y5896" s="23" t="str">
        <f aca="false">IF(AND(ISNUMBER(C5896),ISNUMBER(D5896)),D5896-C5896,"")</f>
        <v/>
      </c>
      <c r="Z5896" s="23" t="str">
        <f aca="false">IF(B5896="","",IF(MATCH(B5896,$B$2:$B$12000,0)=ROW()-1,1,0))</f>
        <v/>
      </c>
    </row>
    <row r="5897" customFormat="false" ht="15" hidden="false" customHeight="false" outlineLevel="0" collapsed="false">
      <c r="V5897" s="23" t="str">
        <f aca="false">IF(ISNUMBER(C5897),YEAR(C5897),"")</f>
        <v/>
      </c>
      <c r="W5897" s="23" t="str">
        <f aca="false">IF(ISNUMBER(C5897),MONTH(C5897),"")</f>
        <v/>
      </c>
      <c r="X5897" s="23" t="str">
        <f aca="false">IF(T5897="","",IF(T5897=0,"No discount",IF(T5897&lt;=0.2,"Low (1-20%)",IF(T5897&lt;=0.4,"Medium (21-40%)","High (&gt;40%)"))))</f>
        <v/>
      </c>
      <c r="Y5897" s="23" t="str">
        <f aca="false">IF(AND(ISNUMBER(C5897),ISNUMBER(D5897)),D5897-C5897,"")</f>
        <v/>
      </c>
      <c r="Z5897" s="23" t="str">
        <f aca="false">IF(B5897="","",IF(MATCH(B5897,$B$2:$B$12000,0)=ROW()-1,1,0))</f>
        <v/>
      </c>
    </row>
    <row r="5898" customFormat="false" ht="15" hidden="false" customHeight="false" outlineLevel="0" collapsed="false">
      <c r="V5898" s="23" t="str">
        <f aca="false">IF(ISNUMBER(C5898),YEAR(C5898),"")</f>
        <v/>
      </c>
      <c r="W5898" s="23" t="str">
        <f aca="false">IF(ISNUMBER(C5898),MONTH(C5898),"")</f>
        <v/>
      </c>
      <c r="X5898" s="23" t="str">
        <f aca="false">IF(T5898="","",IF(T5898=0,"No discount",IF(T5898&lt;=0.2,"Low (1-20%)",IF(T5898&lt;=0.4,"Medium (21-40%)","High (&gt;40%)"))))</f>
        <v/>
      </c>
      <c r="Y5898" s="23" t="str">
        <f aca="false">IF(AND(ISNUMBER(C5898),ISNUMBER(D5898)),D5898-C5898,"")</f>
        <v/>
      </c>
      <c r="Z5898" s="23" t="str">
        <f aca="false">IF(B5898="","",IF(MATCH(B5898,$B$2:$B$12000,0)=ROW()-1,1,0))</f>
        <v/>
      </c>
    </row>
    <row r="5899" customFormat="false" ht="15" hidden="false" customHeight="false" outlineLevel="0" collapsed="false">
      <c r="V5899" s="23" t="str">
        <f aca="false">IF(ISNUMBER(C5899),YEAR(C5899),"")</f>
        <v/>
      </c>
      <c r="W5899" s="23" t="str">
        <f aca="false">IF(ISNUMBER(C5899),MONTH(C5899),"")</f>
        <v/>
      </c>
      <c r="X5899" s="23" t="str">
        <f aca="false">IF(T5899="","",IF(T5899=0,"No discount",IF(T5899&lt;=0.2,"Low (1-20%)",IF(T5899&lt;=0.4,"Medium (21-40%)","High (&gt;40%)"))))</f>
        <v/>
      </c>
      <c r="Y5899" s="23" t="str">
        <f aca="false">IF(AND(ISNUMBER(C5899),ISNUMBER(D5899)),D5899-C5899,"")</f>
        <v/>
      </c>
      <c r="Z5899" s="23" t="str">
        <f aca="false">IF(B5899="","",IF(MATCH(B5899,$B$2:$B$12000,0)=ROW()-1,1,0))</f>
        <v/>
      </c>
    </row>
    <row r="5900" customFormat="false" ht="15" hidden="false" customHeight="false" outlineLevel="0" collapsed="false">
      <c r="V5900" s="23" t="str">
        <f aca="false">IF(ISNUMBER(C5900),YEAR(C5900),"")</f>
        <v/>
      </c>
      <c r="W5900" s="23" t="str">
        <f aca="false">IF(ISNUMBER(C5900),MONTH(C5900),"")</f>
        <v/>
      </c>
      <c r="X5900" s="23" t="str">
        <f aca="false">IF(T5900="","",IF(T5900=0,"No discount",IF(T5900&lt;=0.2,"Low (1-20%)",IF(T5900&lt;=0.4,"Medium (21-40%)","High (&gt;40%)"))))</f>
        <v/>
      </c>
      <c r="Y5900" s="23" t="str">
        <f aca="false">IF(AND(ISNUMBER(C5900),ISNUMBER(D5900)),D5900-C5900,"")</f>
        <v/>
      </c>
      <c r="Z5900" s="23" t="str">
        <f aca="false">IF(B5900="","",IF(MATCH(B5900,$B$2:$B$12000,0)=ROW()-1,1,0))</f>
        <v/>
      </c>
    </row>
    <row r="5901" customFormat="false" ht="15" hidden="false" customHeight="false" outlineLevel="0" collapsed="false">
      <c r="V5901" s="23" t="str">
        <f aca="false">IF(ISNUMBER(C5901),YEAR(C5901),"")</f>
        <v/>
      </c>
      <c r="W5901" s="23" t="str">
        <f aca="false">IF(ISNUMBER(C5901),MONTH(C5901),"")</f>
        <v/>
      </c>
      <c r="X5901" s="23" t="str">
        <f aca="false">IF(T5901="","",IF(T5901=0,"No discount",IF(T5901&lt;=0.2,"Low (1-20%)",IF(T5901&lt;=0.4,"Medium (21-40%)","High (&gt;40%)"))))</f>
        <v/>
      </c>
      <c r="Y5901" s="23" t="str">
        <f aca="false">IF(AND(ISNUMBER(C5901),ISNUMBER(D5901)),D5901-C5901,"")</f>
        <v/>
      </c>
      <c r="Z5901" s="23" t="str">
        <f aca="false">IF(B5901="","",IF(MATCH(B5901,$B$2:$B$12000,0)=ROW()-1,1,0))</f>
        <v/>
      </c>
    </row>
    <row r="5902" customFormat="false" ht="15" hidden="false" customHeight="false" outlineLevel="0" collapsed="false">
      <c r="V5902" s="23" t="str">
        <f aca="false">IF(ISNUMBER(C5902),YEAR(C5902),"")</f>
        <v/>
      </c>
      <c r="W5902" s="23" t="str">
        <f aca="false">IF(ISNUMBER(C5902),MONTH(C5902),"")</f>
        <v/>
      </c>
      <c r="X5902" s="23" t="str">
        <f aca="false">IF(T5902="","",IF(T5902=0,"No discount",IF(T5902&lt;=0.2,"Low (1-20%)",IF(T5902&lt;=0.4,"Medium (21-40%)","High (&gt;40%)"))))</f>
        <v/>
      </c>
      <c r="Y5902" s="23" t="str">
        <f aca="false">IF(AND(ISNUMBER(C5902),ISNUMBER(D5902)),D5902-C5902,"")</f>
        <v/>
      </c>
      <c r="Z5902" s="23" t="str">
        <f aca="false">IF(B5902="","",IF(MATCH(B5902,$B$2:$B$12000,0)=ROW()-1,1,0))</f>
        <v/>
      </c>
    </row>
    <row r="5903" customFormat="false" ht="15" hidden="false" customHeight="false" outlineLevel="0" collapsed="false">
      <c r="V5903" s="23" t="str">
        <f aca="false">IF(ISNUMBER(C5903),YEAR(C5903),"")</f>
        <v/>
      </c>
      <c r="W5903" s="23" t="str">
        <f aca="false">IF(ISNUMBER(C5903),MONTH(C5903),"")</f>
        <v/>
      </c>
      <c r="X5903" s="23" t="str">
        <f aca="false">IF(T5903="","",IF(T5903=0,"No discount",IF(T5903&lt;=0.2,"Low (1-20%)",IF(T5903&lt;=0.4,"Medium (21-40%)","High (&gt;40%)"))))</f>
        <v/>
      </c>
      <c r="Y5903" s="23" t="str">
        <f aca="false">IF(AND(ISNUMBER(C5903),ISNUMBER(D5903)),D5903-C5903,"")</f>
        <v/>
      </c>
      <c r="Z5903" s="23" t="str">
        <f aca="false">IF(B5903="","",IF(MATCH(B5903,$B$2:$B$12000,0)=ROW()-1,1,0))</f>
        <v/>
      </c>
    </row>
    <row r="5904" customFormat="false" ht="15" hidden="false" customHeight="false" outlineLevel="0" collapsed="false">
      <c r="V5904" s="23" t="str">
        <f aca="false">IF(ISNUMBER(C5904),YEAR(C5904),"")</f>
        <v/>
      </c>
      <c r="W5904" s="23" t="str">
        <f aca="false">IF(ISNUMBER(C5904),MONTH(C5904),"")</f>
        <v/>
      </c>
      <c r="X5904" s="23" t="str">
        <f aca="false">IF(T5904="","",IF(T5904=0,"No discount",IF(T5904&lt;=0.2,"Low (1-20%)",IF(T5904&lt;=0.4,"Medium (21-40%)","High (&gt;40%)"))))</f>
        <v/>
      </c>
      <c r="Y5904" s="23" t="str">
        <f aca="false">IF(AND(ISNUMBER(C5904),ISNUMBER(D5904)),D5904-C5904,"")</f>
        <v/>
      </c>
      <c r="Z5904" s="23" t="str">
        <f aca="false">IF(B5904="","",IF(MATCH(B5904,$B$2:$B$12000,0)=ROW()-1,1,0))</f>
        <v/>
      </c>
    </row>
    <row r="5905" customFormat="false" ht="15" hidden="false" customHeight="false" outlineLevel="0" collapsed="false">
      <c r="V5905" s="23" t="str">
        <f aca="false">IF(ISNUMBER(C5905),YEAR(C5905),"")</f>
        <v/>
      </c>
      <c r="W5905" s="23" t="str">
        <f aca="false">IF(ISNUMBER(C5905),MONTH(C5905),"")</f>
        <v/>
      </c>
      <c r="X5905" s="23" t="str">
        <f aca="false">IF(T5905="","",IF(T5905=0,"No discount",IF(T5905&lt;=0.2,"Low (1-20%)",IF(T5905&lt;=0.4,"Medium (21-40%)","High (&gt;40%)"))))</f>
        <v/>
      </c>
      <c r="Y5905" s="23" t="str">
        <f aca="false">IF(AND(ISNUMBER(C5905),ISNUMBER(D5905)),D5905-C5905,"")</f>
        <v/>
      </c>
      <c r="Z5905" s="23" t="str">
        <f aca="false">IF(B5905="","",IF(MATCH(B5905,$B$2:$B$12000,0)=ROW()-1,1,0))</f>
        <v/>
      </c>
    </row>
    <row r="5906" customFormat="false" ht="15" hidden="false" customHeight="false" outlineLevel="0" collapsed="false">
      <c r="V5906" s="23" t="str">
        <f aca="false">IF(ISNUMBER(C5906),YEAR(C5906),"")</f>
        <v/>
      </c>
      <c r="W5906" s="23" t="str">
        <f aca="false">IF(ISNUMBER(C5906),MONTH(C5906),"")</f>
        <v/>
      </c>
      <c r="X5906" s="23" t="str">
        <f aca="false">IF(T5906="","",IF(T5906=0,"No discount",IF(T5906&lt;=0.2,"Low (1-20%)",IF(T5906&lt;=0.4,"Medium (21-40%)","High (&gt;40%)"))))</f>
        <v/>
      </c>
      <c r="Y5906" s="23" t="str">
        <f aca="false">IF(AND(ISNUMBER(C5906),ISNUMBER(D5906)),D5906-C5906,"")</f>
        <v/>
      </c>
      <c r="Z5906" s="23" t="str">
        <f aca="false">IF(B5906="","",IF(MATCH(B5906,$B$2:$B$12000,0)=ROW()-1,1,0))</f>
        <v/>
      </c>
    </row>
    <row r="5907" customFormat="false" ht="15" hidden="false" customHeight="false" outlineLevel="0" collapsed="false">
      <c r="V5907" s="23" t="str">
        <f aca="false">IF(ISNUMBER(C5907),YEAR(C5907),"")</f>
        <v/>
      </c>
      <c r="W5907" s="23" t="str">
        <f aca="false">IF(ISNUMBER(C5907),MONTH(C5907),"")</f>
        <v/>
      </c>
      <c r="X5907" s="23" t="str">
        <f aca="false">IF(T5907="","",IF(T5907=0,"No discount",IF(T5907&lt;=0.2,"Low (1-20%)",IF(T5907&lt;=0.4,"Medium (21-40%)","High (&gt;40%)"))))</f>
        <v/>
      </c>
      <c r="Y5907" s="23" t="str">
        <f aca="false">IF(AND(ISNUMBER(C5907),ISNUMBER(D5907)),D5907-C5907,"")</f>
        <v/>
      </c>
      <c r="Z5907" s="23" t="str">
        <f aca="false">IF(B5907="","",IF(MATCH(B5907,$B$2:$B$12000,0)=ROW()-1,1,0))</f>
        <v/>
      </c>
    </row>
    <row r="5908" customFormat="false" ht="15" hidden="false" customHeight="false" outlineLevel="0" collapsed="false">
      <c r="V5908" s="23" t="str">
        <f aca="false">IF(ISNUMBER(C5908),YEAR(C5908),"")</f>
        <v/>
      </c>
      <c r="W5908" s="23" t="str">
        <f aca="false">IF(ISNUMBER(C5908),MONTH(C5908),"")</f>
        <v/>
      </c>
      <c r="X5908" s="23" t="str">
        <f aca="false">IF(T5908="","",IF(T5908=0,"No discount",IF(T5908&lt;=0.2,"Low (1-20%)",IF(T5908&lt;=0.4,"Medium (21-40%)","High (&gt;40%)"))))</f>
        <v/>
      </c>
      <c r="Y5908" s="23" t="str">
        <f aca="false">IF(AND(ISNUMBER(C5908),ISNUMBER(D5908)),D5908-C5908,"")</f>
        <v/>
      </c>
      <c r="Z5908" s="23" t="str">
        <f aca="false">IF(B5908="","",IF(MATCH(B5908,$B$2:$B$12000,0)=ROW()-1,1,0))</f>
        <v/>
      </c>
    </row>
    <row r="5909" customFormat="false" ht="15" hidden="false" customHeight="false" outlineLevel="0" collapsed="false">
      <c r="V5909" s="23" t="str">
        <f aca="false">IF(ISNUMBER(C5909),YEAR(C5909),"")</f>
        <v/>
      </c>
      <c r="W5909" s="23" t="str">
        <f aca="false">IF(ISNUMBER(C5909),MONTH(C5909),"")</f>
        <v/>
      </c>
      <c r="X5909" s="23" t="str">
        <f aca="false">IF(T5909="","",IF(T5909=0,"No discount",IF(T5909&lt;=0.2,"Low (1-20%)",IF(T5909&lt;=0.4,"Medium (21-40%)","High (&gt;40%)"))))</f>
        <v/>
      </c>
      <c r="Y5909" s="23" t="str">
        <f aca="false">IF(AND(ISNUMBER(C5909),ISNUMBER(D5909)),D5909-C5909,"")</f>
        <v/>
      </c>
      <c r="Z5909" s="23" t="str">
        <f aca="false">IF(B5909="","",IF(MATCH(B5909,$B$2:$B$12000,0)=ROW()-1,1,0))</f>
        <v/>
      </c>
    </row>
    <row r="5910" customFormat="false" ht="15" hidden="false" customHeight="false" outlineLevel="0" collapsed="false">
      <c r="V5910" s="23" t="str">
        <f aca="false">IF(ISNUMBER(C5910),YEAR(C5910),"")</f>
        <v/>
      </c>
      <c r="W5910" s="23" t="str">
        <f aca="false">IF(ISNUMBER(C5910),MONTH(C5910),"")</f>
        <v/>
      </c>
      <c r="X5910" s="23" t="str">
        <f aca="false">IF(T5910="","",IF(T5910=0,"No discount",IF(T5910&lt;=0.2,"Low (1-20%)",IF(T5910&lt;=0.4,"Medium (21-40%)","High (&gt;40%)"))))</f>
        <v/>
      </c>
      <c r="Y5910" s="23" t="str">
        <f aca="false">IF(AND(ISNUMBER(C5910),ISNUMBER(D5910)),D5910-C5910,"")</f>
        <v/>
      </c>
      <c r="Z5910" s="23" t="str">
        <f aca="false">IF(B5910="","",IF(MATCH(B5910,$B$2:$B$12000,0)=ROW()-1,1,0))</f>
        <v/>
      </c>
    </row>
    <row r="5911" customFormat="false" ht="15" hidden="false" customHeight="false" outlineLevel="0" collapsed="false">
      <c r="V5911" s="23" t="str">
        <f aca="false">IF(ISNUMBER(C5911),YEAR(C5911),"")</f>
        <v/>
      </c>
      <c r="W5911" s="23" t="str">
        <f aca="false">IF(ISNUMBER(C5911),MONTH(C5911),"")</f>
        <v/>
      </c>
      <c r="X5911" s="23" t="str">
        <f aca="false">IF(T5911="","",IF(T5911=0,"No discount",IF(T5911&lt;=0.2,"Low (1-20%)",IF(T5911&lt;=0.4,"Medium (21-40%)","High (&gt;40%)"))))</f>
        <v/>
      </c>
      <c r="Y5911" s="23" t="str">
        <f aca="false">IF(AND(ISNUMBER(C5911),ISNUMBER(D5911)),D5911-C5911,"")</f>
        <v/>
      </c>
      <c r="Z5911" s="23" t="str">
        <f aca="false">IF(B5911="","",IF(MATCH(B5911,$B$2:$B$12000,0)=ROW()-1,1,0))</f>
        <v/>
      </c>
    </row>
    <row r="5912" customFormat="false" ht="15" hidden="false" customHeight="false" outlineLevel="0" collapsed="false">
      <c r="V5912" s="23" t="str">
        <f aca="false">IF(ISNUMBER(C5912),YEAR(C5912),"")</f>
        <v/>
      </c>
      <c r="W5912" s="23" t="str">
        <f aca="false">IF(ISNUMBER(C5912),MONTH(C5912),"")</f>
        <v/>
      </c>
      <c r="X5912" s="23" t="str">
        <f aca="false">IF(T5912="","",IF(T5912=0,"No discount",IF(T5912&lt;=0.2,"Low (1-20%)",IF(T5912&lt;=0.4,"Medium (21-40%)","High (&gt;40%)"))))</f>
        <v/>
      </c>
      <c r="Y5912" s="23" t="str">
        <f aca="false">IF(AND(ISNUMBER(C5912),ISNUMBER(D5912)),D5912-C5912,"")</f>
        <v/>
      </c>
      <c r="Z5912" s="23" t="str">
        <f aca="false">IF(B5912="","",IF(MATCH(B5912,$B$2:$B$12000,0)=ROW()-1,1,0))</f>
        <v/>
      </c>
    </row>
    <row r="5913" customFormat="false" ht="15" hidden="false" customHeight="false" outlineLevel="0" collapsed="false">
      <c r="V5913" s="23" t="str">
        <f aca="false">IF(ISNUMBER(C5913),YEAR(C5913),"")</f>
        <v/>
      </c>
      <c r="W5913" s="23" t="str">
        <f aca="false">IF(ISNUMBER(C5913),MONTH(C5913),"")</f>
        <v/>
      </c>
      <c r="X5913" s="23" t="str">
        <f aca="false">IF(T5913="","",IF(T5913=0,"No discount",IF(T5913&lt;=0.2,"Low (1-20%)",IF(T5913&lt;=0.4,"Medium (21-40%)","High (&gt;40%)"))))</f>
        <v/>
      </c>
      <c r="Y5913" s="23" t="str">
        <f aca="false">IF(AND(ISNUMBER(C5913),ISNUMBER(D5913)),D5913-C5913,"")</f>
        <v/>
      </c>
      <c r="Z5913" s="23" t="str">
        <f aca="false">IF(B5913="","",IF(MATCH(B5913,$B$2:$B$12000,0)=ROW()-1,1,0))</f>
        <v/>
      </c>
    </row>
    <row r="5914" customFormat="false" ht="15" hidden="false" customHeight="false" outlineLevel="0" collapsed="false">
      <c r="V5914" s="23" t="str">
        <f aca="false">IF(ISNUMBER(C5914),YEAR(C5914),"")</f>
        <v/>
      </c>
      <c r="W5914" s="23" t="str">
        <f aca="false">IF(ISNUMBER(C5914),MONTH(C5914),"")</f>
        <v/>
      </c>
      <c r="X5914" s="23" t="str">
        <f aca="false">IF(T5914="","",IF(T5914=0,"No discount",IF(T5914&lt;=0.2,"Low (1-20%)",IF(T5914&lt;=0.4,"Medium (21-40%)","High (&gt;40%)"))))</f>
        <v/>
      </c>
      <c r="Y5914" s="23" t="str">
        <f aca="false">IF(AND(ISNUMBER(C5914),ISNUMBER(D5914)),D5914-C5914,"")</f>
        <v/>
      </c>
      <c r="Z5914" s="23" t="str">
        <f aca="false">IF(B5914="","",IF(MATCH(B5914,$B$2:$B$12000,0)=ROW()-1,1,0))</f>
        <v/>
      </c>
    </row>
    <row r="5915" customFormat="false" ht="15" hidden="false" customHeight="false" outlineLevel="0" collapsed="false">
      <c r="V5915" s="23" t="str">
        <f aca="false">IF(ISNUMBER(C5915),YEAR(C5915),"")</f>
        <v/>
      </c>
      <c r="W5915" s="23" t="str">
        <f aca="false">IF(ISNUMBER(C5915),MONTH(C5915),"")</f>
        <v/>
      </c>
      <c r="X5915" s="23" t="str">
        <f aca="false">IF(T5915="","",IF(T5915=0,"No discount",IF(T5915&lt;=0.2,"Low (1-20%)",IF(T5915&lt;=0.4,"Medium (21-40%)","High (&gt;40%)"))))</f>
        <v/>
      </c>
      <c r="Y5915" s="23" t="str">
        <f aca="false">IF(AND(ISNUMBER(C5915),ISNUMBER(D5915)),D5915-C5915,"")</f>
        <v/>
      </c>
      <c r="Z5915" s="23" t="str">
        <f aca="false">IF(B5915="","",IF(MATCH(B5915,$B$2:$B$12000,0)=ROW()-1,1,0))</f>
        <v/>
      </c>
    </row>
    <row r="5916" customFormat="false" ht="15" hidden="false" customHeight="false" outlineLevel="0" collapsed="false">
      <c r="V5916" s="23" t="str">
        <f aca="false">IF(ISNUMBER(C5916),YEAR(C5916),"")</f>
        <v/>
      </c>
      <c r="W5916" s="23" t="str">
        <f aca="false">IF(ISNUMBER(C5916),MONTH(C5916),"")</f>
        <v/>
      </c>
      <c r="X5916" s="23" t="str">
        <f aca="false">IF(T5916="","",IF(T5916=0,"No discount",IF(T5916&lt;=0.2,"Low (1-20%)",IF(T5916&lt;=0.4,"Medium (21-40%)","High (&gt;40%)"))))</f>
        <v/>
      </c>
      <c r="Y5916" s="23" t="str">
        <f aca="false">IF(AND(ISNUMBER(C5916),ISNUMBER(D5916)),D5916-C5916,"")</f>
        <v/>
      </c>
      <c r="Z5916" s="23" t="str">
        <f aca="false">IF(B5916="","",IF(MATCH(B5916,$B$2:$B$12000,0)=ROW()-1,1,0))</f>
        <v/>
      </c>
    </row>
    <row r="5917" customFormat="false" ht="15" hidden="false" customHeight="false" outlineLevel="0" collapsed="false">
      <c r="V5917" s="23" t="str">
        <f aca="false">IF(ISNUMBER(C5917),YEAR(C5917),"")</f>
        <v/>
      </c>
      <c r="W5917" s="23" t="str">
        <f aca="false">IF(ISNUMBER(C5917),MONTH(C5917),"")</f>
        <v/>
      </c>
      <c r="X5917" s="23" t="str">
        <f aca="false">IF(T5917="","",IF(T5917=0,"No discount",IF(T5917&lt;=0.2,"Low (1-20%)",IF(T5917&lt;=0.4,"Medium (21-40%)","High (&gt;40%)"))))</f>
        <v/>
      </c>
      <c r="Y5917" s="23" t="str">
        <f aca="false">IF(AND(ISNUMBER(C5917),ISNUMBER(D5917)),D5917-C5917,"")</f>
        <v/>
      </c>
      <c r="Z5917" s="23" t="str">
        <f aca="false">IF(B5917="","",IF(MATCH(B5917,$B$2:$B$12000,0)=ROW()-1,1,0))</f>
        <v/>
      </c>
    </row>
    <row r="5918" customFormat="false" ht="15" hidden="false" customHeight="false" outlineLevel="0" collapsed="false">
      <c r="V5918" s="23" t="str">
        <f aca="false">IF(ISNUMBER(C5918),YEAR(C5918),"")</f>
        <v/>
      </c>
      <c r="W5918" s="23" t="str">
        <f aca="false">IF(ISNUMBER(C5918),MONTH(C5918),"")</f>
        <v/>
      </c>
      <c r="X5918" s="23" t="str">
        <f aca="false">IF(T5918="","",IF(T5918=0,"No discount",IF(T5918&lt;=0.2,"Low (1-20%)",IF(T5918&lt;=0.4,"Medium (21-40%)","High (&gt;40%)"))))</f>
        <v/>
      </c>
      <c r="Y5918" s="23" t="str">
        <f aca="false">IF(AND(ISNUMBER(C5918),ISNUMBER(D5918)),D5918-C5918,"")</f>
        <v/>
      </c>
      <c r="Z5918" s="23" t="str">
        <f aca="false">IF(B5918="","",IF(MATCH(B5918,$B$2:$B$12000,0)=ROW()-1,1,0))</f>
        <v/>
      </c>
    </row>
    <row r="5919" customFormat="false" ht="15" hidden="false" customHeight="false" outlineLevel="0" collapsed="false">
      <c r="V5919" s="23" t="str">
        <f aca="false">IF(ISNUMBER(C5919),YEAR(C5919),"")</f>
        <v/>
      </c>
      <c r="W5919" s="23" t="str">
        <f aca="false">IF(ISNUMBER(C5919),MONTH(C5919),"")</f>
        <v/>
      </c>
      <c r="X5919" s="23" t="str">
        <f aca="false">IF(T5919="","",IF(T5919=0,"No discount",IF(T5919&lt;=0.2,"Low (1-20%)",IF(T5919&lt;=0.4,"Medium (21-40%)","High (&gt;40%)"))))</f>
        <v/>
      </c>
      <c r="Y5919" s="23" t="str">
        <f aca="false">IF(AND(ISNUMBER(C5919),ISNUMBER(D5919)),D5919-C5919,"")</f>
        <v/>
      </c>
      <c r="Z5919" s="23" t="str">
        <f aca="false">IF(B5919="","",IF(MATCH(B5919,$B$2:$B$12000,0)=ROW()-1,1,0))</f>
        <v/>
      </c>
    </row>
    <row r="5920" customFormat="false" ht="15" hidden="false" customHeight="false" outlineLevel="0" collapsed="false">
      <c r="V5920" s="23" t="str">
        <f aca="false">IF(ISNUMBER(C5920),YEAR(C5920),"")</f>
        <v/>
      </c>
      <c r="W5920" s="23" t="str">
        <f aca="false">IF(ISNUMBER(C5920),MONTH(C5920),"")</f>
        <v/>
      </c>
      <c r="X5920" s="23" t="str">
        <f aca="false">IF(T5920="","",IF(T5920=0,"No discount",IF(T5920&lt;=0.2,"Low (1-20%)",IF(T5920&lt;=0.4,"Medium (21-40%)","High (&gt;40%)"))))</f>
        <v/>
      </c>
      <c r="Y5920" s="23" t="str">
        <f aca="false">IF(AND(ISNUMBER(C5920),ISNUMBER(D5920)),D5920-C5920,"")</f>
        <v/>
      </c>
      <c r="Z5920" s="23" t="str">
        <f aca="false">IF(B5920="","",IF(MATCH(B5920,$B$2:$B$12000,0)=ROW()-1,1,0))</f>
        <v/>
      </c>
    </row>
    <row r="5921" customFormat="false" ht="15" hidden="false" customHeight="false" outlineLevel="0" collapsed="false">
      <c r="V5921" s="23" t="str">
        <f aca="false">IF(ISNUMBER(C5921),YEAR(C5921),"")</f>
        <v/>
      </c>
      <c r="W5921" s="23" t="str">
        <f aca="false">IF(ISNUMBER(C5921),MONTH(C5921),"")</f>
        <v/>
      </c>
      <c r="X5921" s="23" t="str">
        <f aca="false">IF(T5921="","",IF(T5921=0,"No discount",IF(T5921&lt;=0.2,"Low (1-20%)",IF(T5921&lt;=0.4,"Medium (21-40%)","High (&gt;40%)"))))</f>
        <v/>
      </c>
      <c r="Y5921" s="23" t="str">
        <f aca="false">IF(AND(ISNUMBER(C5921),ISNUMBER(D5921)),D5921-C5921,"")</f>
        <v/>
      </c>
      <c r="Z5921" s="23" t="str">
        <f aca="false">IF(B5921="","",IF(MATCH(B5921,$B$2:$B$12000,0)=ROW()-1,1,0))</f>
        <v/>
      </c>
    </row>
    <row r="5922" customFormat="false" ht="15" hidden="false" customHeight="false" outlineLevel="0" collapsed="false">
      <c r="V5922" s="23" t="str">
        <f aca="false">IF(ISNUMBER(C5922),YEAR(C5922),"")</f>
        <v/>
      </c>
      <c r="W5922" s="23" t="str">
        <f aca="false">IF(ISNUMBER(C5922),MONTH(C5922),"")</f>
        <v/>
      </c>
      <c r="X5922" s="23" t="str">
        <f aca="false">IF(T5922="","",IF(T5922=0,"No discount",IF(T5922&lt;=0.2,"Low (1-20%)",IF(T5922&lt;=0.4,"Medium (21-40%)","High (&gt;40%)"))))</f>
        <v/>
      </c>
      <c r="Y5922" s="23" t="str">
        <f aca="false">IF(AND(ISNUMBER(C5922),ISNUMBER(D5922)),D5922-C5922,"")</f>
        <v/>
      </c>
      <c r="Z5922" s="23" t="str">
        <f aca="false">IF(B5922="","",IF(MATCH(B5922,$B$2:$B$12000,0)=ROW()-1,1,0))</f>
        <v/>
      </c>
    </row>
    <row r="5923" customFormat="false" ht="15" hidden="false" customHeight="false" outlineLevel="0" collapsed="false">
      <c r="V5923" s="23" t="str">
        <f aca="false">IF(ISNUMBER(C5923),YEAR(C5923),"")</f>
        <v/>
      </c>
      <c r="W5923" s="23" t="str">
        <f aca="false">IF(ISNUMBER(C5923),MONTH(C5923),"")</f>
        <v/>
      </c>
      <c r="X5923" s="23" t="str">
        <f aca="false">IF(T5923="","",IF(T5923=0,"No discount",IF(T5923&lt;=0.2,"Low (1-20%)",IF(T5923&lt;=0.4,"Medium (21-40%)","High (&gt;40%)"))))</f>
        <v/>
      </c>
      <c r="Y5923" s="23" t="str">
        <f aca="false">IF(AND(ISNUMBER(C5923),ISNUMBER(D5923)),D5923-C5923,"")</f>
        <v/>
      </c>
      <c r="Z5923" s="23" t="str">
        <f aca="false">IF(B5923="","",IF(MATCH(B5923,$B$2:$B$12000,0)=ROW()-1,1,0))</f>
        <v/>
      </c>
    </row>
    <row r="5924" customFormat="false" ht="15" hidden="false" customHeight="false" outlineLevel="0" collapsed="false">
      <c r="V5924" s="23" t="str">
        <f aca="false">IF(ISNUMBER(C5924),YEAR(C5924),"")</f>
        <v/>
      </c>
      <c r="W5924" s="23" t="str">
        <f aca="false">IF(ISNUMBER(C5924),MONTH(C5924),"")</f>
        <v/>
      </c>
      <c r="X5924" s="23" t="str">
        <f aca="false">IF(T5924="","",IF(T5924=0,"No discount",IF(T5924&lt;=0.2,"Low (1-20%)",IF(T5924&lt;=0.4,"Medium (21-40%)","High (&gt;40%)"))))</f>
        <v/>
      </c>
      <c r="Y5924" s="23" t="str">
        <f aca="false">IF(AND(ISNUMBER(C5924),ISNUMBER(D5924)),D5924-C5924,"")</f>
        <v/>
      </c>
      <c r="Z5924" s="23" t="str">
        <f aca="false">IF(B5924="","",IF(MATCH(B5924,$B$2:$B$12000,0)=ROW()-1,1,0))</f>
        <v/>
      </c>
    </row>
    <row r="5925" customFormat="false" ht="15" hidden="false" customHeight="false" outlineLevel="0" collapsed="false">
      <c r="V5925" s="23" t="str">
        <f aca="false">IF(ISNUMBER(C5925),YEAR(C5925),"")</f>
        <v/>
      </c>
      <c r="W5925" s="23" t="str">
        <f aca="false">IF(ISNUMBER(C5925),MONTH(C5925),"")</f>
        <v/>
      </c>
      <c r="X5925" s="23" t="str">
        <f aca="false">IF(T5925="","",IF(T5925=0,"No discount",IF(T5925&lt;=0.2,"Low (1-20%)",IF(T5925&lt;=0.4,"Medium (21-40%)","High (&gt;40%)"))))</f>
        <v/>
      </c>
      <c r="Y5925" s="23" t="str">
        <f aca="false">IF(AND(ISNUMBER(C5925),ISNUMBER(D5925)),D5925-C5925,"")</f>
        <v/>
      </c>
      <c r="Z5925" s="23" t="str">
        <f aca="false">IF(B5925="","",IF(MATCH(B5925,$B$2:$B$12000,0)=ROW()-1,1,0))</f>
        <v/>
      </c>
    </row>
    <row r="5926" customFormat="false" ht="15" hidden="false" customHeight="false" outlineLevel="0" collapsed="false">
      <c r="V5926" s="23" t="str">
        <f aca="false">IF(ISNUMBER(C5926),YEAR(C5926),"")</f>
        <v/>
      </c>
      <c r="W5926" s="23" t="str">
        <f aca="false">IF(ISNUMBER(C5926),MONTH(C5926),"")</f>
        <v/>
      </c>
      <c r="X5926" s="23" t="str">
        <f aca="false">IF(T5926="","",IF(T5926=0,"No discount",IF(T5926&lt;=0.2,"Low (1-20%)",IF(T5926&lt;=0.4,"Medium (21-40%)","High (&gt;40%)"))))</f>
        <v/>
      </c>
      <c r="Y5926" s="23" t="str">
        <f aca="false">IF(AND(ISNUMBER(C5926),ISNUMBER(D5926)),D5926-C5926,"")</f>
        <v/>
      </c>
      <c r="Z5926" s="23" t="str">
        <f aca="false">IF(B5926="","",IF(MATCH(B5926,$B$2:$B$12000,0)=ROW()-1,1,0))</f>
        <v/>
      </c>
    </row>
    <row r="5927" customFormat="false" ht="15" hidden="false" customHeight="false" outlineLevel="0" collapsed="false">
      <c r="V5927" s="23" t="str">
        <f aca="false">IF(ISNUMBER(C5927),YEAR(C5927),"")</f>
        <v/>
      </c>
      <c r="W5927" s="23" t="str">
        <f aca="false">IF(ISNUMBER(C5927),MONTH(C5927),"")</f>
        <v/>
      </c>
      <c r="X5927" s="23" t="str">
        <f aca="false">IF(T5927="","",IF(T5927=0,"No discount",IF(T5927&lt;=0.2,"Low (1-20%)",IF(T5927&lt;=0.4,"Medium (21-40%)","High (&gt;40%)"))))</f>
        <v/>
      </c>
      <c r="Y5927" s="23" t="str">
        <f aca="false">IF(AND(ISNUMBER(C5927),ISNUMBER(D5927)),D5927-C5927,"")</f>
        <v/>
      </c>
      <c r="Z5927" s="23" t="str">
        <f aca="false">IF(B5927="","",IF(MATCH(B5927,$B$2:$B$12000,0)=ROW()-1,1,0))</f>
        <v/>
      </c>
    </row>
    <row r="5928" customFormat="false" ht="15" hidden="false" customHeight="false" outlineLevel="0" collapsed="false">
      <c r="V5928" s="23" t="str">
        <f aca="false">IF(ISNUMBER(C5928),YEAR(C5928),"")</f>
        <v/>
      </c>
      <c r="W5928" s="23" t="str">
        <f aca="false">IF(ISNUMBER(C5928),MONTH(C5928),"")</f>
        <v/>
      </c>
      <c r="X5928" s="23" t="str">
        <f aca="false">IF(T5928="","",IF(T5928=0,"No discount",IF(T5928&lt;=0.2,"Low (1-20%)",IF(T5928&lt;=0.4,"Medium (21-40%)","High (&gt;40%)"))))</f>
        <v/>
      </c>
      <c r="Y5928" s="23" t="str">
        <f aca="false">IF(AND(ISNUMBER(C5928),ISNUMBER(D5928)),D5928-C5928,"")</f>
        <v/>
      </c>
      <c r="Z5928" s="23" t="str">
        <f aca="false">IF(B5928="","",IF(MATCH(B5928,$B$2:$B$12000,0)=ROW()-1,1,0))</f>
        <v/>
      </c>
    </row>
    <row r="5929" customFormat="false" ht="15" hidden="false" customHeight="false" outlineLevel="0" collapsed="false">
      <c r="V5929" s="23" t="str">
        <f aca="false">IF(ISNUMBER(C5929),YEAR(C5929),"")</f>
        <v/>
      </c>
      <c r="W5929" s="23" t="str">
        <f aca="false">IF(ISNUMBER(C5929),MONTH(C5929),"")</f>
        <v/>
      </c>
      <c r="X5929" s="23" t="str">
        <f aca="false">IF(T5929="","",IF(T5929=0,"No discount",IF(T5929&lt;=0.2,"Low (1-20%)",IF(T5929&lt;=0.4,"Medium (21-40%)","High (&gt;40%)"))))</f>
        <v/>
      </c>
      <c r="Y5929" s="23" t="str">
        <f aca="false">IF(AND(ISNUMBER(C5929),ISNUMBER(D5929)),D5929-C5929,"")</f>
        <v/>
      </c>
      <c r="Z5929" s="23" t="str">
        <f aca="false">IF(B5929="","",IF(MATCH(B5929,$B$2:$B$12000,0)=ROW()-1,1,0))</f>
        <v/>
      </c>
    </row>
    <row r="5930" customFormat="false" ht="15" hidden="false" customHeight="false" outlineLevel="0" collapsed="false">
      <c r="V5930" s="23" t="str">
        <f aca="false">IF(ISNUMBER(C5930),YEAR(C5930),"")</f>
        <v/>
      </c>
      <c r="W5930" s="23" t="str">
        <f aca="false">IF(ISNUMBER(C5930),MONTH(C5930),"")</f>
        <v/>
      </c>
      <c r="X5930" s="23" t="str">
        <f aca="false">IF(T5930="","",IF(T5930=0,"No discount",IF(T5930&lt;=0.2,"Low (1-20%)",IF(T5930&lt;=0.4,"Medium (21-40%)","High (&gt;40%)"))))</f>
        <v/>
      </c>
      <c r="Y5930" s="23" t="str">
        <f aca="false">IF(AND(ISNUMBER(C5930),ISNUMBER(D5930)),D5930-C5930,"")</f>
        <v/>
      </c>
      <c r="Z5930" s="23" t="str">
        <f aca="false">IF(B5930="","",IF(MATCH(B5930,$B$2:$B$12000,0)=ROW()-1,1,0))</f>
        <v/>
      </c>
    </row>
    <row r="5931" customFormat="false" ht="15" hidden="false" customHeight="false" outlineLevel="0" collapsed="false">
      <c r="V5931" s="23" t="str">
        <f aca="false">IF(ISNUMBER(C5931),YEAR(C5931),"")</f>
        <v/>
      </c>
      <c r="W5931" s="23" t="str">
        <f aca="false">IF(ISNUMBER(C5931),MONTH(C5931),"")</f>
        <v/>
      </c>
      <c r="X5931" s="23" t="str">
        <f aca="false">IF(T5931="","",IF(T5931=0,"No discount",IF(T5931&lt;=0.2,"Low (1-20%)",IF(T5931&lt;=0.4,"Medium (21-40%)","High (&gt;40%)"))))</f>
        <v/>
      </c>
      <c r="Y5931" s="23" t="str">
        <f aca="false">IF(AND(ISNUMBER(C5931),ISNUMBER(D5931)),D5931-C5931,"")</f>
        <v/>
      </c>
      <c r="Z5931" s="23" t="str">
        <f aca="false">IF(B5931="","",IF(MATCH(B5931,$B$2:$B$12000,0)=ROW()-1,1,0))</f>
        <v/>
      </c>
    </row>
    <row r="5932" customFormat="false" ht="15" hidden="false" customHeight="false" outlineLevel="0" collapsed="false">
      <c r="V5932" s="23" t="str">
        <f aca="false">IF(ISNUMBER(C5932),YEAR(C5932),"")</f>
        <v/>
      </c>
      <c r="W5932" s="23" t="str">
        <f aca="false">IF(ISNUMBER(C5932),MONTH(C5932),"")</f>
        <v/>
      </c>
      <c r="X5932" s="23" t="str">
        <f aca="false">IF(T5932="","",IF(T5932=0,"No discount",IF(T5932&lt;=0.2,"Low (1-20%)",IF(T5932&lt;=0.4,"Medium (21-40%)","High (&gt;40%)"))))</f>
        <v/>
      </c>
      <c r="Y5932" s="23" t="str">
        <f aca="false">IF(AND(ISNUMBER(C5932),ISNUMBER(D5932)),D5932-C5932,"")</f>
        <v/>
      </c>
      <c r="Z5932" s="23" t="str">
        <f aca="false">IF(B5932="","",IF(MATCH(B5932,$B$2:$B$12000,0)=ROW()-1,1,0))</f>
        <v/>
      </c>
    </row>
    <row r="5933" customFormat="false" ht="15" hidden="false" customHeight="false" outlineLevel="0" collapsed="false">
      <c r="V5933" s="23" t="str">
        <f aca="false">IF(ISNUMBER(C5933),YEAR(C5933),"")</f>
        <v/>
      </c>
      <c r="W5933" s="23" t="str">
        <f aca="false">IF(ISNUMBER(C5933),MONTH(C5933),"")</f>
        <v/>
      </c>
      <c r="X5933" s="23" t="str">
        <f aca="false">IF(T5933="","",IF(T5933=0,"No discount",IF(T5933&lt;=0.2,"Low (1-20%)",IF(T5933&lt;=0.4,"Medium (21-40%)","High (&gt;40%)"))))</f>
        <v/>
      </c>
      <c r="Y5933" s="23" t="str">
        <f aca="false">IF(AND(ISNUMBER(C5933),ISNUMBER(D5933)),D5933-C5933,"")</f>
        <v/>
      </c>
      <c r="Z5933" s="23" t="str">
        <f aca="false">IF(B5933="","",IF(MATCH(B5933,$B$2:$B$12000,0)=ROW()-1,1,0))</f>
        <v/>
      </c>
    </row>
    <row r="5934" customFormat="false" ht="15" hidden="false" customHeight="false" outlineLevel="0" collapsed="false">
      <c r="V5934" s="23" t="str">
        <f aca="false">IF(ISNUMBER(C5934),YEAR(C5934),"")</f>
        <v/>
      </c>
      <c r="W5934" s="23" t="str">
        <f aca="false">IF(ISNUMBER(C5934),MONTH(C5934),"")</f>
        <v/>
      </c>
      <c r="X5934" s="23" t="str">
        <f aca="false">IF(T5934="","",IF(T5934=0,"No discount",IF(T5934&lt;=0.2,"Low (1-20%)",IF(T5934&lt;=0.4,"Medium (21-40%)","High (&gt;40%)"))))</f>
        <v/>
      </c>
      <c r="Y5934" s="23" t="str">
        <f aca="false">IF(AND(ISNUMBER(C5934),ISNUMBER(D5934)),D5934-C5934,"")</f>
        <v/>
      </c>
      <c r="Z5934" s="23" t="str">
        <f aca="false">IF(B5934="","",IF(MATCH(B5934,$B$2:$B$12000,0)=ROW()-1,1,0))</f>
        <v/>
      </c>
    </row>
    <row r="5935" customFormat="false" ht="15" hidden="false" customHeight="false" outlineLevel="0" collapsed="false">
      <c r="V5935" s="23" t="str">
        <f aca="false">IF(ISNUMBER(C5935),YEAR(C5935),"")</f>
        <v/>
      </c>
      <c r="W5935" s="23" t="str">
        <f aca="false">IF(ISNUMBER(C5935),MONTH(C5935),"")</f>
        <v/>
      </c>
      <c r="X5935" s="23" t="str">
        <f aca="false">IF(T5935="","",IF(T5935=0,"No discount",IF(T5935&lt;=0.2,"Low (1-20%)",IF(T5935&lt;=0.4,"Medium (21-40%)","High (&gt;40%)"))))</f>
        <v/>
      </c>
      <c r="Y5935" s="23" t="str">
        <f aca="false">IF(AND(ISNUMBER(C5935),ISNUMBER(D5935)),D5935-C5935,"")</f>
        <v/>
      </c>
      <c r="Z5935" s="23" t="str">
        <f aca="false">IF(B5935="","",IF(MATCH(B5935,$B$2:$B$12000,0)=ROW()-1,1,0))</f>
        <v/>
      </c>
    </row>
    <row r="5936" customFormat="false" ht="15" hidden="false" customHeight="false" outlineLevel="0" collapsed="false">
      <c r="V5936" s="23" t="str">
        <f aca="false">IF(ISNUMBER(C5936),YEAR(C5936),"")</f>
        <v/>
      </c>
      <c r="W5936" s="23" t="str">
        <f aca="false">IF(ISNUMBER(C5936),MONTH(C5936),"")</f>
        <v/>
      </c>
      <c r="X5936" s="23" t="str">
        <f aca="false">IF(T5936="","",IF(T5936=0,"No discount",IF(T5936&lt;=0.2,"Low (1-20%)",IF(T5936&lt;=0.4,"Medium (21-40%)","High (&gt;40%)"))))</f>
        <v/>
      </c>
      <c r="Y5936" s="23" t="str">
        <f aca="false">IF(AND(ISNUMBER(C5936),ISNUMBER(D5936)),D5936-C5936,"")</f>
        <v/>
      </c>
      <c r="Z5936" s="23" t="str">
        <f aca="false">IF(B5936="","",IF(MATCH(B5936,$B$2:$B$12000,0)=ROW()-1,1,0))</f>
        <v/>
      </c>
    </row>
    <row r="5937" customFormat="false" ht="15" hidden="false" customHeight="false" outlineLevel="0" collapsed="false">
      <c r="V5937" s="23" t="str">
        <f aca="false">IF(ISNUMBER(C5937),YEAR(C5937),"")</f>
        <v/>
      </c>
      <c r="W5937" s="23" t="str">
        <f aca="false">IF(ISNUMBER(C5937),MONTH(C5937),"")</f>
        <v/>
      </c>
      <c r="X5937" s="23" t="str">
        <f aca="false">IF(T5937="","",IF(T5937=0,"No discount",IF(T5937&lt;=0.2,"Low (1-20%)",IF(T5937&lt;=0.4,"Medium (21-40%)","High (&gt;40%)"))))</f>
        <v/>
      </c>
      <c r="Y5937" s="23" t="str">
        <f aca="false">IF(AND(ISNUMBER(C5937),ISNUMBER(D5937)),D5937-C5937,"")</f>
        <v/>
      </c>
      <c r="Z5937" s="23" t="str">
        <f aca="false">IF(B5937="","",IF(MATCH(B5937,$B$2:$B$12000,0)=ROW()-1,1,0))</f>
        <v/>
      </c>
    </row>
    <row r="5938" customFormat="false" ht="15" hidden="false" customHeight="false" outlineLevel="0" collapsed="false">
      <c r="V5938" s="23" t="str">
        <f aca="false">IF(ISNUMBER(C5938),YEAR(C5938),"")</f>
        <v/>
      </c>
      <c r="W5938" s="23" t="str">
        <f aca="false">IF(ISNUMBER(C5938),MONTH(C5938),"")</f>
        <v/>
      </c>
      <c r="X5938" s="23" t="str">
        <f aca="false">IF(T5938="","",IF(T5938=0,"No discount",IF(T5938&lt;=0.2,"Low (1-20%)",IF(T5938&lt;=0.4,"Medium (21-40%)","High (&gt;40%)"))))</f>
        <v/>
      </c>
      <c r="Y5938" s="23" t="str">
        <f aca="false">IF(AND(ISNUMBER(C5938),ISNUMBER(D5938)),D5938-C5938,"")</f>
        <v/>
      </c>
      <c r="Z5938" s="23" t="str">
        <f aca="false">IF(B5938="","",IF(MATCH(B5938,$B$2:$B$12000,0)=ROW()-1,1,0))</f>
        <v/>
      </c>
    </row>
    <row r="5939" customFormat="false" ht="15" hidden="false" customHeight="false" outlineLevel="0" collapsed="false">
      <c r="V5939" s="23" t="str">
        <f aca="false">IF(ISNUMBER(C5939),YEAR(C5939),"")</f>
        <v/>
      </c>
      <c r="W5939" s="23" t="str">
        <f aca="false">IF(ISNUMBER(C5939),MONTH(C5939),"")</f>
        <v/>
      </c>
      <c r="X5939" s="23" t="str">
        <f aca="false">IF(T5939="","",IF(T5939=0,"No discount",IF(T5939&lt;=0.2,"Low (1-20%)",IF(T5939&lt;=0.4,"Medium (21-40%)","High (&gt;40%)"))))</f>
        <v/>
      </c>
      <c r="Y5939" s="23" t="str">
        <f aca="false">IF(AND(ISNUMBER(C5939),ISNUMBER(D5939)),D5939-C5939,"")</f>
        <v/>
      </c>
      <c r="Z5939" s="23" t="str">
        <f aca="false">IF(B5939="","",IF(MATCH(B5939,$B$2:$B$12000,0)=ROW()-1,1,0))</f>
        <v/>
      </c>
    </row>
    <row r="5940" customFormat="false" ht="15" hidden="false" customHeight="false" outlineLevel="0" collapsed="false">
      <c r="V5940" s="23" t="str">
        <f aca="false">IF(ISNUMBER(C5940),YEAR(C5940),"")</f>
        <v/>
      </c>
      <c r="W5940" s="23" t="str">
        <f aca="false">IF(ISNUMBER(C5940),MONTH(C5940),"")</f>
        <v/>
      </c>
      <c r="X5940" s="23" t="str">
        <f aca="false">IF(T5940="","",IF(T5940=0,"No discount",IF(T5940&lt;=0.2,"Low (1-20%)",IF(T5940&lt;=0.4,"Medium (21-40%)","High (&gt;40%)"))))</f>
        <v/>
      </c>
      <c r="Y5940" s="23" t="str">
        <f aca="false">IF(AND(ISNUMBER(C5940),ISNUMBER(D5940)),D5940-C5940,"")</f>
        <v/>
      </c>
      <c r="Z5940" s="23" t="str">
        <f aca="false">IF(B5940="","",IF(MATCH(B5940,$B$2:$B$12000,0)=ROW()-1,1,0))</f>
        <v/>
      </c>
    </row>
    <row r="5941" customFormat="false" ht="15" hidden="false" customHeight="false" outlineLevel="0" collapsed="false">
      <c r="V5941" s="23" t="str">
        <f aca="false">IF(ISNUMBER(C5941),YEAR(C5941),"")</f>
        <v/>
      </c>
      <c r="W5941" s="23" t="str">
        <f aca="false">IF(ISNUMBER(C5941),MONTH(C5941),"")</f>
        <v/>
      </c>
      <c r="X5941" s="23" t="str">
        <f aca="false">IF(T5941="","",IF(T5941=0,"No discount",IF(T5941&lt;=0.2,"Low (1-20%)",IF(T5941&lt;=0.4,"Medium (21-40%)","High (&gt;40%)"))))</f>
        <v/>
      </c>
      <c r="Y5941" s="23" t="str">
        <f aca="false">IF(AND(ISNUMBER(C5941),ISNUMBER(D5941)),D5941-C5941,"")</f>
        <v/>
      </c>
      <c r="Z5941" s="23" t="str">
        <f aca="false">IF(B5941="","",IF(MATCH(B5941,$B$2:$B$12000,0)=ROW()-1,1,0))</f>
        <v/>
      </c>
    </row>
    <row r="5942" customFormat="false" ht="15" hidden="false" customHeight="false" outlineLevel="0" collapsed="false">
      <c r="V5942" s="23" t="str">
        <f aca="false">IF(ISNUMBER(C5942),YEAR(C5942),"")</f>
        <v/>
      </c>
      <c r="W5942" s="23" t="str">
        <f aca="false">IF(ISNUMBER(C5942),MONTH(C5942),"")</f>
        <v/>
      </c>
      <c r="X5942" s="23" t="str">
        <f aca="false">IF(T5942="","",IF(T5942=0,"No discount",IF(T5942&lt;=0.2,"Low (1-20%)",IF(T5942&lt;=0.4,"Medium (21-40%)","High (&gt;40%)"))))</f>
        <v/>
      </c>
      <c r="Y5942" s="23" t="str">
        <f aca="false">IF(AND(ISNUMBER(C5942),ISNUMBER(D5942)),D5942-C5942,"")</f>
        <v/>
      </c>
      <c r="Z5942" s="23" t="str">
        <f aca="false">IF(B5942="","",IF(MATCH(B5942,$B$2:$B$12000,0)=ROW()-1,1,0))</f>
        <v/>
      </c>
    </row>
    <row r="5943" customFormat="false" ht="15" hidden="false" customHeight="false" outlineLevel="0" collapsed="false">
      <c r="V5943" s="23" t="str">
        <f aca="false">IF(ISNUMBER(C5943),YEAR(C5943),"")</f>
        <v/>
      </c>
      <c r="W5943" s="23" t="str">
        <f aca="false">IF(ISNUMBER(C5943),MONTH(C5943),"")</f>
        <v/>
      </c>
      <c r="X5943" s="23" t="str">
        <f aca="false">IF(T5943="","",IF(T5943=0,"No discount",IF(T5943&lt;=0.2,"Low (1-20%)",IF(T5943&lt;=0.4,"Medium (21-40%)","High (&gt;40%)"))))</f>
        <v/>
      </c>
      <c r="Y5943" s="23" t="str">
        <f aca="false">IF(AND(ISNUMBER(C5943),ISNUMBER(D5943)),D5943-C5943,"")</f>
        <v/>
      </c>
      <c r="Z5943" s="23" t="str">
        <f aca="false">IF(B5943="","",IF(MATCH(B5943,$B$2:$B$12000,0)=ROW()-1,1,0))</f>
        <v/>
      </c>
    </row>
    <row r="5944" customFormat="false" ht="15" hidden="false" customHeight="false" outlineLevel="0" collapsed="false">
      <c r="V5944" s="23" t="str">
        <f aca="false">IF(ISNUMBER(C5944),YEAR(C5944),"")</f>
        <v/>
      </c>
      <c r="W5944" s="23" t="str">
        <f aca="false">IF(ISNUMBER(C5944),MONTH(C5944),"")</f>
        <v/>
      </c>
      <c r="X5944" s="23" t="str">
        <f aca="false">IF(T5944="","",IF(T5944=0,"No discount",IF(T5944&lt;=0.2,"Low (1-20%)",IF(T5944&lt;=0.4,"Medium (21-40%)","High (&gt;40%)"))))</f>
        <v/>
      </c>
      <c r="Y5944" s="23" t="str">
        <f aca="false">IF(AND(ISNUMBER(C5944),ISNUMBER(D5944)),D5944-C5944,"")</f>
        <v/>
      </c>
      <c r="Z5944" s="23" t="str">
        <f aca="false">IF(B5944="","",IF(MATCH(B5944,$B$2:$B$12000,0)=ROW()-1,1,0))</f>
        <v/>
      </c>
    </row>
    <row r="5945" customFormat="false" ht="15" hidden="false" customHeight="false" outlineLevel="0" collapsed="false">
      <c r="V5945" s="23" t="str">
        <f aca="false">IF(ISNUMBER(C5945),YEAR(C5945),"")</f>
        <v/>
      </c>
      <c r="W5945" s="23" t="str">
        <f aca="false">IF(ISNUMBER(C5945),MONTH(C5945),"")</f>
        <v/>
      </c>
      <c r="X5945" s="23" t="str">
        <f aca="false">IF(T5945="","",IF(T5945=0,"No discount",IF(T5945&lt;=0.2,"Low (1-20%)",IF(T5945&lt;=0.4,"Medium (21-40%)","High (&gt;40%)"))))</f>
        <v/>
      </c>
      <c r="Y5945" s="23" t="str">
        <f aca="false">IF(AND(ISNUMBER(C5945),ISNUMBER(D5945)),D5945-C5945,"")</f>
        <v/>
      </c>
      <c r="Z5945" s="23" t="str">
        <f aca="false">IF(B5945="","",IF(MATCH(B5945,$B$2:$B$12000,0)=ROW()-1,1,0))</f>
        <v/>
      </c>
    </row>
    <row r="5946" customFormat="false" ht="15" hidden="false" customHeight="false" outlineLevel="0" collapsed="false">
      <c r="V5946" s="23" t="str">
        <f aca="false">IF(ISNUMBER(C5946),YEAR(C5946),"")</f>
        <v/>
      </c>
      <c r="W5946" s="23" t="str">
        <f aca="false">IF(ISNUMBER(C5946),MONTH(C5946),"")</f>
        <v/>
      </c>
      <c r="X5946" s="23" t="str">
        <f aca="false">IF(T5946="","",IF(T5946=0,"No discount",IF(T5946&lt;=0.2,"Low (1-20%)",IF(T5946&lt;=0.4,"Medium (21-40%)","High (&gt;40%)"))))</f>
        <v/>
      </c>
      <c r="Y5946" s="23" t="str">
        <f aca="false">IF(AND(ISNUMBER(C5946),ISNUMBER(D5946)),D5946-C5946,"")</f>
        <v/>
      </c>
      <c r="Z5946" s="23" t="str">
        <f aca="false">IF(B5946="","",IF(MATCH(B5946,$B$2:$B$12000,0)=ROW()-1,1,0))</f>
        <v/>
      </c>
    </row>
    <row r="5947" customFormat="false" ht="15" hidden="false" customHeight="false" outlineLevel="0" collapsed="false">
      <c r="V5947" s="23" t="str">
        <f aca="false">IF(ISNUMBER(C5947),YEAR(C5947),"")</f>
        <v/>
      </c>
      <c r="W5947" s="23" t="str">
        <f aca="false">IF(ISNUMBER(C5947),MONTH(C5947),"")</f>
        <v/>
      </c>
      <c r="X5947" s="23" t="str">
        <f aca="false">IF(T5947="","",IF(T5947=0,"No discount",IF(T5947&lt;=0.2,"Low (1-20%)",IF(T5947&lt;=0.4,"Medium (21-40%)","High (&gt;40%)"))))</f>
        <v/>
      </c>
      <c r="Y5947" s="23" t="str">
        <f aca="false">IF(AND(ISNUMBER(C5947),ISNUMBER(D5947)),D5947-C5947,"")</f>
        <v/>
      </c>
      <c r="Z5947" s="23" t="str">
        <f aca="false">IF(B5947="","",IF(MATCH(B5947,$B$2:$B$12000,0)=ROW()-1,1,0))</f>
        <v/>
      </c>
    </row>
    <row r="5948" customFormat="false" ht="15" hidden="false" customHeight="false" outlineLevel="0" collapsed="false">
      <c r="V5948" s="23" t="str">
        <f aca="false">IF(ISNUMBER(C5948),YEAR(C5948),"")</f>
        <v/>
      </c>
      <c r="W5948" s="23" t="str">
        <f aca="false">IF(ISNUMBER(C5948),MONTH(C5948),"")</f>
        <v/>
      </c>
      <c r="X5948" s="23" t="str">
        <f aca="false">IF(T5948="","",IF(T5948=0,"No discount",IF(T5948&lt;=0.2,"Low (1-20%)",IF(T5948&lt;=0.4,"Medium (21-40%)","High (&gt;40%)"))))</f>
        <v/>
      </c>
      <c r="Y5948" s="23" t="str">
        <f aca="false">IF(AND(ISNUMBER(C5948),ISNUMBER(D5948)),D5948-C5948,"")</f>
        <v/>
      </c>
      <c r="Z5948" s="23" t="str">
        <f aca="false">IF(B5948="","",IF(MATCH(B5948,$B$2:$B$12000,0)=ROW()-1,1,0))</f>
        <v/>
      </c>
    </row>
    <row r="5949" customFormat="false" ht="15" hidden="false" customHeight="false" outlineLevel="0" collapsed="false">
      <c r="V5949" s="23" t="str">
        <f aca="false">IF(ISNUMBER(C5949),YEAR(C5949),"")</f>
        <v/>
      </c>
      <c r="W5949" s="23" t="str">
        <f aca="false">IF(ISNUMBER(C5949),MONTH(C5949),"")</f>
        <v/>
      </c>
      <c r="X5949" s="23" t="str">
        <f aca="false">IF(T5949="","",IF(T5949=0,"No discount",IF(T5949&lt;=0.2,"Low (1-20%)",IF(T5949&lt;=0.4,"Medium (21-40%)","High (&gt;40%)"))))</f>
        <v/>
      </c>
      <c r="Y5949" s="23" t="str">
        <f aca="false">IF(AND(ISNUMBER(C5949),ISNUMBER(D5949)),D5949-C5949,"")</f>
        <v/>
      </c>
      <c r="Z5949" s="23" t="str">
        <f aca="false">IF(B5949="","",IF(MATCH(B5949,$B$2:$B$12000,0)=ROW()-1,1,0))</f>
        <v/>
      </c>
    </row>
    <row r="5950" customFormat="false" ht="15" hidden="false" customHeight="false" outlineLevel="0" collapsed="false">
      <c r="V5950" s="23" t="str">
        <f aca="false">IF(ISNUMBER(C5950),YEAR(C5950),"")</f>
        <v/>
      </c>
      <c r="W5950" s="23" t="str">
        <f aca="false">IF(ISNUMBER(C5950),MONTH(C5950),"")</f>
        <v/>
      </c>
      <c r="X5950" s="23" t="str">
        <f aca="false">IF(T5950="","",IF(T5950=0,"No discount",IF(T5950&lt;=0.2,"Low (1-20%)",IF(T5950&lt;=0.4,"Medium (21-40%)","High (&gt;40%)"))))</f>
        <v/>
      </c>
      <c r="Y5950" s="23" t="str">
        <f aca="false">IF(AND(ISNUMBER(C5950),ISNUMBER(D5950)),D5950-C5950,"")</f>
        <v/>
      </c>
      <c r="Z5950" s="23" t="str">
        <f aca="false">IF(B5950="","",IF(MATCH(B5950,$B$2:$B$12000,0)=ROW()-1,1,0))</f>
        <v/>
      </c>
    </row>
    <row r="5951" customFormat="false" ht="15" hidden="false" customHeight="false" outlineLevel="0" collapsed="false">
      <c r="V5951" s="23" t="str">
        <f aca="false">IF(ISNUMBER(C5951),YEAR(C5951),"")</f>
        <v/>
      </c>
      <c r="W5951" s="23" t="str">
        <f aca="false">IF(ISNUMBER(C5951),MONTH(C5951),"")</f>
        <v/>
      </c>
      <c r="X5951" s="23" t="str">
        <f aca="false">IF(T5951="","",IF(T5951=0,"No discount",IF(T5951&lt;=0.2,"Low (1-20%)",IF(T5951&lt;=0.4,"Medium (21-40%)","High (&gt;40%)"))))</f>
        <v/>
      </c>
      <c r="Y5951" s="23" t="str">
        <f aca="false">IF(AND(ISNUMBER(C5951),ISNUMBER(D5951)),D5951-C5951,"")</f>
        <v/>
      </c>
      <c r="Z5951" s="23" t="str">
        <f aca="false">IF(B5951="","",IF(MATCH(B5951,$B$2:$B$12000,0)=ROW()-1,1,0))</f>
        <v/>
      </c>
    </row>
    <row r="5952" customFormat="false" ht="15" hidden="false" customHeight="false" outlineLevel="0" collapsed="false">
      <c r="V5952" s="23" t="str">
        <f aca="false">IF(ISNUMBER(C5952),YEAR(C5952),"")</f>
        <v/>
      </c>
      <c r="W5952" s="23" t="str">
        <f aca="false">IF(ISNUMBER(C5952),MONTH(C5952),"")</f>
        <v/>
      </c>
      <c r="X5952" s="23" t="str">
        <f aca="false">IF(T5952="","",IF(T5952=0,"No discount",IF(T5952&lt;=0.2,"Low (1-20%)",IF(T5952&lt;=0.4,"Medium (21-40%)","High (&gt;40%)"))))</f>
        <v/>
      </c>
      <c r="Y5952" s="23" t="str">
        <f aca="false">IF(AND(ISNUMBER(C5952),ISNUMBER(D5952)),D5952-C5952,"")</f>
        <v/>
      </c>
      <c r="Z5952" s="23" t="str">
        <f aca="false">IF(B5952="","",IF(MATCH(B5952,$B$2:$B$12000,0)=ROW()-1,1,0))</f>
        <v/>
      </c>
    </row>
    <row r="5953" customFormat="false" ht="15" hidden="false" customHeight="false" outlineLevel="0" collapsed="false">
      <c r="V5953" s="23" t="str">
        <f aca="false">IF(ISNUMBER(C5953),YEAR(C5953),"")</f>
        <v/>
      </c>
      <c r="W5953" s="23" t="str">
        <f aca="false">IF(ISNUMBER(C5953),MONTH(C5953),"")</f>
        <v/>
      </c>
      <c r="X5953" s="23" t="str">
        <f aca="false">IF(T5953="","",IF(T5953=0,"No discount",IF(T5953&lt;=0.2,"Low (1-20%)",IF(T5953&lt;=0.4,"Medium (21-40%)","High (&gt;40%)"))))</f>
        <v/>
      </c>
      <c r="Y5953" s="23" t="str">
        <f aca="false">IF(AND(ISNUMBER(C5953),ISNUMBER(D5953)),D5953-C5953,"")</f>
        <v/>
      </c>
      <c r="Z5953" s="23" t="str">
        <f aca="false">IF(B5953="","",IF(MATCH(B5953,$B$2:$B$12000,0)=ROW()-1,1,0))</f>
        <v/>
      </c>
    </row>
    <row r="5954" customFormat="false" ht="15" hidden="false" customHeight="false" outlineLevel="0" collapsed="false">
      <c r="V5954" s="23" t="str">
        <f aca="false">IF(ISNUMBER(C5954),YEAR(C5954),"")</f>
        <v/>
      </c>
      <c r="W5954" s="23" t="str">
        <f aca="false">IF(ISNUMBER(C5954),MONTH(C5954),"")</f>
        <v/>
      </c>
      <c r="X5954" s="23" t="str">
        <f aca="false">IF(T5954="","",IF(T5954=0,"No discount",IF(T5954&lt;=0.2,"Low (1-20%)",IF(T5954&lt;=0.4,"Medium (21-40%)","High (&gt;40%)"))))</f>
        <v/>
      </c>
      <c r="Y5954" s="23" t="str">
        <f aca="false">IF(AND(ISNUMBER(C5954),ISNUMBER(D5954)),D5954-C5954,"")</f>
        <v/>
      </c>
      <c r="Z5954" s="23" t="str">
        <f aca="false">IF(B5954="","",IF(MATCH(B5954,$B$2:$B$12000,0)=ROW()-1,1,0))</f>
        <v/>
      </c>
    </row>
    <row r="5955" customFormat="false" ht="15" hidden="false" customHeight="false" outlineLevel="0" collapsed="false">
      <c r="V5955" s="23" t="str">
        <f aca="false">IF(ISNUMBER(C5955),YEAR(C5955),"")</f>
        <v/>
      </c>
      <c r="W5955" s="23" t="str">
        <f aca="false">IF(ISNUMBER(C5955),MONTH(C5955),"")</f>
        <v/>
      </c>
      <c r="X5955" s="23" t="str">
        <f aca="false">IF(T5955="","",IF(T5955=0,"No discount",IF(T5955&lt;=0.2,"Low (1-20%)",IF(T5955&lt;=0.4,"Medium (21-40%)","High (&gt;40%)"))))</f>
        <v/>
      </c>
      <c r="Y5955" s="23" t="str">
        <f aca="false">IF(AND(ISNUMBER(C5955),ISNUMBER(D5955)),D5955-C5955,"")</f>
        <v/>
      </c>
      <c r="Z5955" s="23" t="str">
        <f aca="false">IF(B5955="","",IF(MATCH(B5955,$B$2:$B$12000,0)=ROW()-1,1,0))</f>
        <v/>
      </c>
    </row>
    <row r="5956" customFormat="false" ht="15" hidden="false" customHeight="false" outlineLevel="0" collapsed="false">
      <c r="V5956" s="23" t="str">
        <f aca="false">IF(ISNUMBER(C5956),YEAR(C5956),"")</f>
        <v/>
      </c>
      <c r="W5956" s="23" t="str">
        <f aca="false">IF(ISNUMBER(C5956),MONTH(C5956),"")</f>
        <v/>
      </c>
      <c r="X5956" s="23" t="str">
        <f aca="false">IF(T5956="","",IF(T5956=0,"No discount",IF(T5956&lt;=0.2,"Low (1-20%)",IF(T5956&lt;=0.4,"Medium (21-40%)","High (&gt;40%)"))))</f>
        <v/>
      </c>
      <c r="Y5956" s="23" t="str">
        <f aca="false">IF(AND(ISNUMBER(C5956),ISNUMBER(D5956)),D5956-C5956,"")</f>
        <v/>
      </c>
      <c r="Z5956" s="23" t="str">
        <f aca="false">IF(B5956="","",IF(MATCH(B5956,$B$2:$B$12000,0)=ROW()-1,1,0))</f>
        <v/>
      </c>
    </row>
    <row r="5957" customFormat="false" ht="15" hidden="false" customHeight="false" outlineLevel="0" collapsed="false">
      <c r="V5957" s="23" t="str">
        <f aca="false">IF(ISNUMBER(C5957),YEAR(C5957),"")</f>
        <v/>
      </c>
      <c r="W5957" s="23" t="str">
        <f aca="false">IF(ISNUMBER(C5957),MONTH(C5957),"")</f>
        <v/>
      </c>
      <c r="X5957" s="23" t="str">
        <f aca="false">IF(T5957="","",IF(T5957=0,"No discount",IF(T5957&lt;=0.2,"Low (1-20%)",IF(T5957&lt;=0.4,"Medium (21-40%)","High (&gt;40%)"))))</f>
        <v/>
      </c>
      <c r="Y5957" s="23" t="str">
        <f aca="false">IF(AND(ISNUMBER(C5957),ISNUMBER(D5957)),D5957-C5957,"")</f>
        <v/>
      </c>
      <c r="Z5957" s="23" t="str">
        <f aca="false">IF(B5957="","",IF(MATCH(B5957,$B$2:$B$12000,0)=ROW()-1,1,0))</f>
        <v/>
      </c>
    </row>
    <row r="5958" customFormat="false" ht="15" hidden="false" customHeight="false" outlineLevel="0" collapsed="false">
      <c r="V5958" s="23" t="str">
        <f aca="false">IF(ISNUMBER(C5958),YEAR(C5958),"")</f>
        <v/>
      </c>
      <c r="W5958" s="23" t="str">
        <f aca="false">IF(ISNUMBER(C5958),MONTH(C5958),"")</f>
        <v/>
      </c>
      <c r="X5958" s="23" t="str">
        <f aca="false">IF(T5958="","",IF(T5958=0,"No discount",IF(T5958&lt;=0.2,"Low (1-20%)",IF(T5958&lt;=0.4,"Medium (21-40%)","High (&gt;40%)"))))</f>
        <v/>
      </c>
      <c r="Y5958" s="23" t="str">
        <f aca="false">IF(AND(ISNUMBER(C5958),ISNUMBER(D5958)),D5958-C5958,"")</f>
        <v/>
      </c>
      <c r="Z5958" s="23" t="str">
        <f aca="false">IF(B5958="","",IF(MATCH(B5958,$B$2:$B$12000,0)=ROW()-1,1,0))</f>
        <v/>
      </c>
    </row>
    <row r="5959" customFormat="false" ht="15" hidden="false" customHeight="false" outlineLevel="0" collapsed="false">
      <c r="V5959" s="23" t="str">
        <f aca="false">IF(ISNUMBER(C5959),YEAR(C5959),"")</f>
        <v/>
      </c>
      <c r="W5959" s="23" t="str">
        <f aca="false">IF(ISNUMBER(C5959),MONTH(C5959),"")</f>
        <v/>
      </c>
      <c r="X5959" s="23" t="str">
        <f aca="false">IF(T5959="","",IF(T5959=0,"No discount",IF(T5959&lt;=0.2,"Low (1-20%)",IF(T5959&lt;=0.4,"Medium (21-40%)","High (&gt;40%)"))))</f>
        <v/>
      </c>
      <c r="Y5959" s="23" t="str">
        <f aca="false">IF(AND(ISNUMBER(C5959),ISNUMBER(D5959)),D5959-C5959,"")</f>
        <v/>
      </c>
      <c r="Z5959" s="23" t="str">
        <f aca="false">IF(B5959="","",IF(MATCH(B5959,$B$2:$B$12000,0)=ROW()-1,1,0))</f>
        <v/>
      </c>
    </row>
    <row r="5960" customFormat="false" ht="15" hidden="false" customHeight="false" outlineLevel="0" collapsed="false">
      <c r="V5960" s="23" t="str">
        <f aca="false">IF(ISNUMBER(C5960),YEAR(C5960),"")</f>
        <v/>
      </c>
      <c r="W5960" s="23" t="str">
        <f aca="false">IF(ISNUMBER(C5960),MONTH(C5960),"")</f>
        <v/>
      </c>
      <c r="X5960" s="23" t="str">
        <f aca="false">IF(T5960="","",IF(T5960=0,"No discount",IF(T5960&lt;=0.2,"Low (1-20%)",IF(T5960&lt;=0.4,"Medium (21-40%)","High (&gt;40%)"))))</f>
        <v/>
      </c>
      <c r="Y5960" s="23" t="str">
        <f aca="false">IF(AND(ISNUMBER(C5960),ISNUMBER(D5960)),D5960-C5960,"")</f>
        <v/>
      </c>
      <c r="Z5960" s="23" t="str">
        <f aca="false">IF(B5960="","",IF(MATCH(B5960,$B$2:$B$12000,0)=ROW()-1,1,0))</f>
        <v/>
      </c>
    </row>
    <row r="5961" customFormat="false" ht="15" hidden="false" customHeight="false" outlineLevel="0" collapsed="false">
      <c r="V5961" s="23" t="str">
        <f aca="false">IF(ISNUMBER(C5961),YEAR(C5961),"")</f>
        <v/>
      </c>
      <c r="W5961" s="23" t="str">
        <f aca="false">IF(ISNUMBER(C5961),MONTH(C5961),"")</f>
        <v/>
      </c>
      <c r="X5961" s="23" t="str">
        <f aca="false">IF(T5961="","",IF(T5961=0,"No discount",IF(T5961&lt;=0.2,"Low (1-20%)",IF(T5961&lt;=0.4,"Medium (21-40%)","High (&gt;40%)"))))</f>
        <v/>
      </c>
      <c r="Y5961" s="23" t="str">
        <f aca="false">IF(AND(ISNUMBER(C5961),ISNUMBER(D5961)),D5961-C5961,"")</f>
        <v/>
      </c>
      <c r="Z5961" s="23" t="str">
        <f aca="false">IF(B5961="","",IF(MATCH(B5961,$B$2:$B$12000,0)=ROW()-1,1,0))</f>
        <v/>
      </c>
    </row>
    <row r="5962" customFormat="false" ht="15" hidden="false" customHeight="false" outlineLevel="0" collapsed="false">
      <c r="V5962" s="23" t="str">
        <f aca="false">IF(ISNUMBER(C5962),YEAR(C5962),"")</f>
        <v/>
      </c>
      <c r="W5962" s="23" t="str">
        <f aca="false">IF(ISNUMBER(C5962),MONTH(C5962),"")</f>
        <v/>
      </c>
      <c r="X5962" s="23" t="str">
        <f aca="false">IF(T5962="","",IF(T5962=0,"No discount",IF(T5962&lt;=0.2,"Low (1-20%)",IF(T5962&lt;=0.4,"Medium (21-40%)","High (&gt;40%)"))))</f>
        <v/>
      </c>
      <c r="Y5962" s="23" t="str">
        <f aca="false">IF(AND(ISNUMBER(C5962),ISNUMBER(D5962)),D5962-C5962,"")</f>
        <v/>
      </c>
      <c r="Z5962" s="23" t="str">
        <f aca="false">IF(B5962="","",IF(MATCH(B5962,$B$2:$B$12000,0)=ROW()-1,1,0))</f>
        <v/>
      </c>
    </row>
    <row r="5963" customFormat="false" ht="15" hidden="false" customHeight="false" outlineLevel="0" collapsed="false">
      <c r="V5963" s="23" t="str">
        <f aca="false">IF(ISNUMBER(C5963),YEAR(C5963),"")</f>
        <v/>
      </c>
      <c r="W5963" s="23" t="str">
        <f aca="false">IF(ISNUMBER(C5963),MONTH(C5963),"")</f>
        <v/>
      </c>
      <c r="X5963" s="23" t="str">
        <f aca="false">IF(T5963="","",IF(T5963=0,"No discount",IF(T5963&lt;=0.2,"Low (1-20%)",IF(T5963&lt;=0.4,"Medium (21-40%)","High (&gt;40%)"))))</f>
        <v/>
      </c>
      <c r="Y5963" s="23" t="str">
        <f aca="false">IF(AND(ISNUMBER(C5963),ISNUMBER(D5963)),D5963-C5963,"")</f>
        <v/>
      </c>
      <c r="Z5963" s="23" t="str">
        <f aca="false">IF(B5963="","",IF(MATCH(B5963,$B$2:$B$12000,0)=ROW()-1,1,0))</f>
        <v/>
      </c>
    </row>
    <row r="5964" customFormat="false" ht="15" hidden="false" customHeight="false" outlineLevel="0" collapsed="false">
      <c r="V5964" s="23" t="str">
        <f aca="false">IF(ISNUMBER(C5964),YEAR(C5964),"")</f>
        <v/>
      </c>
      <c r="W5964" s="23" t="str">
        <f aca="false">IF(ISNUMBER(C5964),MONTH(C5964),"")</f>
        <v/>
      </c>
      <c r="X5964" s="23" t="str">
        <f aca="false">IF(T5964="","",IF(T5964=0,"No discount",IF(T5964&lt;=0.2,"Low (1-20%)",IF(T5964&lt;=0.4,"Medium (21-40%)","High (&gt;40%)"))))</f>
        <v/>
      </c>
      <c r="Y5964" s="23" t="str">
        <f aca="false">IF(AND(ISNUMBER(C5964),ISNUMBER(D5964)),D5964-C5964,"")</f>
        <v/>
      </c>
      <c r="Z5964" s="23" t="str">
        <f aca="false">IF(B5964="","",IF(MATCH(B5964,$B$2:$B$12000,0)=ROW()-1,1,0))</f>
        <v/>
      </c>
    </row>
    <row r="5965" customFormat="false" ht="15" hidden="false" customHeight="false" outlineLevel="0" collapsed="false">
      <c r="V5965" s="23" t="str">
        <f aca="false">IF(ISNUMBER(C5965),YEAR(C5965),"")</f>
        <v/>
      </c>
      <c r="W5965" s="23" t="str">
        <f aca="false">IF(ISNUMBER(C5965),MONTH(C5965),"")</f>
        <v/>
      </c>
      <c r="X5965" s="23" t="str">
        <f aca="false">IF(T5965="","",IF(T5965=0,"No discount",IF(T5965&lt;=0.2,"Low (1-20%)",IF(T5965&lt;=0.4,"Medium (21-40%)","High (&gt;40%)"))))</f>
        <v/>
      </c>
      <c r="Y5965" s="23" t="str">
        <f aca="false">IF(AND(ISNUMBER(C5965),ISNUMBER(D5965)),D5965-C5965,"")</f>
        <v/>
      </c>
      <c r="Z5965" s="23" t="str">
        <f aca="false">IF(B5965="","",IF(MATCH(B5965,$B$2:$B$12000,0)=ROW()-1,1,0))</f>
        <v/>
      </c>
    </row>
    <row r="5966" customFormat="false" ht="15" hidden="false" customHeight="false" outlineLevel="0" collapsed="false">
      <c r="V5966" s="23" t="str">
        <f aca="false">IF(ISNUMBER(C5966),YEAR(C5966),"")</f>
        <v/>
      </c>
      <c r="W5966" s="23" t="str">
        <f aca="false">IF(ISNUMBER(C5966),MONTH(C5966),"")</f>
        <v/>
      </c>
      <c r="X5966" s="23" t="str">
        <f aca="false">IF(T5966="","",IF(T5966=0,"No discount",IF(T5966&lt;=0.2,"Low (1-20%)",IF(T5966&lt;=0.4,"Medium (21-40%)","High (&gt;40%)"))))</f>
        <v/>
      </c>
      <c r="Y5966" s="23" t="str">
        <f aca="false">IF(AND(ISNUMBER(C5966),ISNUMBER(D5966)),D5966-C5966,"")</f>
        <v/>
      </c>
      <c r="Z5966" s="23" t="str">
        <f aca="false">IF(B5966="","",IF(MATCH(B5966,$B$2:$B$12000,0)=ROW()-1,1,0))</f>
        <v/>
      </c>
    </row>
    <row r="5967" customFormat="false" ht="15" hidden="false" customHeight="false" outlineLevel="0" collapsed="false">
      <c r="V5967" s="23" t="str">
        <f aca="false">IF(ISNUMBER(C5967),YEAR(C5967),"")</f>
        <v/>
      </c>
      <c r="W5967" s="23" t="str">
        <f aca="false">IF(ISNUMBER(C5967),MONTH(C5967),"")</f>
        <v/>
      </c>
      <c r="X5967" s="23" t="str">
        <f aca="false">IF(T5967="","",IF(T5967=0,"No discount",IF(T5967&lt;=0.2,"Low (1-20%)",IF(T5967&lt;=0.4,"Medium (21-40%)","High (&gt;40%)"))))</f>
        <v/>
      </c>
      <c r="Y5967" s="23" t="str">
        <f aca="false">IF(AND(ISNUMBER(C5967),ISNUMBER(D5967)),D5967-C5967,"")</f>
        <v/>
      </c>
      <c r="Z5967" s="23" t="str">
        <f aca="false">IF(B5967="","",IF(MATCH(B5967,$B$2:$B$12000,0)=ROW()-1,1,0))</f>
        <v/>
      </c>
    </row>
    <row r="5968" customFormat="false" ht="15" hidden="false" customHeight="false" outlineLevel="0" collapsed="false">
      <c r="V5968" s="23" t="str">
        <f aca="false">IF(ISNUMBER(C5968),YEAR(C5968),"")</f>
        <v/>
      </c>
      <c r="W5968" s="23" t="str">
        <f aca="false">IF(ISNUMBER(C5968),MONTH(C5968),"")</f>
        <v/>
      </c>
      <c r="X5968" s="23" t="str">
        <f aca="false">IF(T5968="","",IF(T5968=0,"No discount",IF(T5968&lt;=0.2,"Low (1-20%)",IF(T5968&lt;=0.4,"Medium (21-40%)","High (&gt;40%)"))))</f>
        <v/>
      </c>
      <c r="Y5968" s="23" t="str">
        <f aca="false">IF(AND(ISNUMBER(C5968),ISNUMBER(D5968)),D5968-C5968,"")</f>
        <v/>
      </c>
      <c r="Z5968" s="23" t="str">
        <f aca="false">IF(B5968="","",IF(MATCH(B5968,$B$2:$B$12000,0)=ROW()-1,1,0))</f>
        <v/>
      </c>
    </row>
    <row r="5969" customFormat="false" ht="15" hidden="false" customHeight="false" outlineLevel="0" collapsed="false">
      <c r="V5969" s="23" t="str">
        <f aca="false">IF(ISNUMBER(C5969),YEAR(C5969),"")</f>
        <v/>
      </c>
      <c r="W5969" s="23" t="str">
        <f aca="false">IF(ISNUMBER(C5969),MONTH(C5969),"")</f>
        <v/>
      </c>
      <c r="X5969" s="23" t="str">
        <f aca="false">IF(T5969="","",IF(T5969=0,"No discount",IF(T5969&lt;=0.2,"Low (1-20%)",IF(T5969&lt;=0.4,"Medium (21-40%)","High (&gt;40%)"))))</f>
        <v/>
      </c>
      <c r="Y5969" s="23" t="str">
        <f aca="false">IF(AND(ISNUMBER(C5969),ISNUMBER(D5969)),D5969-C5969,"")</f>
        <v/>
      </c>
      <c r="Z5969" s="23" t="str">
        <f aca="false">IF(B5969="","",IF(MATCH(B5969,$B$2:$B$12000,0)=ROW()-1,1,0))</f>
        <v/>
      </c>
    </row>
    <row r="5970" customFormat="false" ht="15" hidden="false" customHeight="false" outlineLevel="0" collapsed="false">
      <c r="V5970" s="23" t="str">
        <f aca="false">IF(ISNUMBER(C5970),YEAR(C5970),"")</f>
        <v/>
      </c>
      <c r="W5970" s="23" t="str">
        <f aca="false">IF(ISNUMBER(C5970),MONTH(C5970),"")</f>
        <v/>
      </c>
      <c r="X5970" s="23" t="str">
        <f aca="false">IF(T5970="","",IF(T5970=0,"No discount",IF(T5970&lt;=0.2,"Low (1-20%)",IF(T5970&lt;=0.4,"Medium (21-40%)","High (&gt;40%)"))))</f>
        <v/>
      </c>
      <c r="Y5970" s="23" t="str">
        <f aca="false">IF(AND(ISNUMBER(C5970),ISNUMBER(D5970)),D5970-C5970,"")</f>
        <v/>
      </c>
      <c r="Z5970" s="23" t="str">
        <f aca="false">IF(B5970="","",IF(MATCH(B5970,$B$2:$B$12000,0)=ROW()-1,1,0))</f>
        <v/>
      </c>
    </row>
    <row r="5971" customFormat="false" ht="15" hidden="false" customHeight="false" outlineLevel="0" collapsed="false">
      <c r="V5971" s="23" t="str">
        <f aca="false">IF(ISNUMBER(C5971),YEAR(C5971),"")</f>
        <v/>
      </c>
      <c r="W5971" s="23" t="str">
        <f aca="false">IF(ISNUMBER(C5971),MONTH(C5971),"")</f>
        <v/>
      </c>
      <c r="X5971" s="23" t="str">
        <f aca="false">IF(T5971="","",IF(T5971=0,"No discount",IF(T5971&lt;=0.2,"Low (1-20%)",IF(T5971&lt;=0.4,"Medium (21-40%)","High (&gt;40%)"))))</f>
        <v/>
      </c>
      <c r="Y5971" s="23" t="str">
        <f aca="false">IF(AND(ISNUMBER(C5971),ISNUMBER(D5971)),D5971-C5971,"")</f>
        <v/>
      </c>
      <c r="Z5971" s="23" t="str">
        <f aca="false">IF(B5971="","",IF(MATCH(B5971,$B$2:$B$12000,0)=ROW()-1,1,0))</f>
        <v/>
      </c>
    </row>
    <row r="5972" customFormat="false" ht="15" hidden="false" customHeight="false" outlineLevel="0" collapsed="false">
      <c r="V5972" s="23" t="str">
        <f aca="false">IF(ISNUMBER(C5972),YEAR(C5972),"")</f>
        <v/>
      </c>
      <c r="W5972" s="23" t="str">
        <f aca="false">IF(ISNUMBER(C5972),MONTH(C5972),"")</f>
        <v/>
      </c>
      <c r="X5972" s="23" t="str">
        <f aca="false">IF(T5972="","",IF(T5972=0,"No discount",IF(T5972&lt;=0.2,"Low (1-20%)",IF(T5972&lt;=0.4,"Medium (21-40%)","High (&gt;40%)"))))</f>
        <v/>
      </c>
      <c r="Y5972" s="23" t="str">
        <f aca="false">IF(AND(ISNUMBER(C5972),ISNUMBER(D5972)),D5972-C5972,"")</f>
        <v/>
      </c>
      <c r="Z5972" s="23" t="str">
        <f aca="false">IF(B5972="","",IF(MATCH(B5972,$B$2:$B$12000,0)=ROW()-1,1,0))</f>
        <v/>
      </c>
    </row>
    <row r="5973" customFormat="false" ht="15" hidden="false" customHeight="false" outlineLevel="0" collapsed="false">
      <c r="V5973" s="23" t="str">
        <f aca="false">IF(ISNUMBER(C5973),YEAR(C5973),"")</f>
        <v/>
      </c>
      <c r="W5973" s="23" t="str">
        <f aca="false">IF(ISNUMBER(C5973),MONTH(C5973),"")</f>
        <v/>
      </c>
      <c r="X5973" s="23" t="str">
        <f aca="false">IF(T5973="","",IF(T5973=0,"No discount",IF(T5973&lt;=0.2,"Low (1-20%)",IF(T5973&lt;=0.4,"Medium (21-40%)","High (&gt;40%)"))))</f>
        <v/>
      </c>
      <c r="Y5973" s="23" t="str">
        <f aca="false">IF(AND(ISNUMBER(C5973),ISNUMBER(D5973)),D5973-C5973,"")</f>
        <v/>
      </c>
      <c r="Z5973" s="23" t="str">
        <f aca="false">IF(B5973="","",IF(MATCH(B5973,$B$2:$B$12000,0)=ROW()-1,1,0))</f>
        <v/>
      </c>
    </row>
    <row r="5974" customFormat="false" ht="15" hidden="false" customHeight="false" outlineLevel="0" collapsed="false">
      <c r="V5974" s="23" t="str">
        <f aca="false">IF(ISNUMBER(C5974),YEAR(C5974),"")</f>
        <v/>
      </c>
      <c r="W5974" s="23" t="str">
        <f aca="false">IF(ISNUMBER(C5974),MONTH(C5974),"")</f>
        <v/>
      </c>
      <c r="X5974" s="23" t="str">
        <f aca="false">IF(T5974="","",IF(T5974=0,"No discount",IF(T5974&lt;=0.2,"Low (1-20%)",IF(T5974&lt;=0.4,"Medium (21-40%)","High (&gt;40%)"))))</f>
        <v/>
      </c>
      <c r="Y5974" s="23" t="str">
        <f aca="false">IF(AND(ISNUMBER(C5974),ISNUMBER(D5974)),D5974-C5974,"")</f>
        <v/>
      </c>
      <c r="Z5974" s="23" t="str">
        <f aca="false">IF(B5974="","",IF(MATCH(B5974,$B$2:$B$12000,0)=ROW()-1,1,0))</f>
        <v/>
      </c>
    </row>
    <row r="5975" customFormat="false" ht="15" hidden="false" customHeight="false" outlineLevel="0" collapsed="false">
      <c r="V5975" s="23" t="str">
        <f aca="false">IF(ISNUMBER(C5975),YEAR(C5975),"")</f>
        <v/>
      </c>
      <c r="W5975" s="23" t="str">
        <f aca="false">IF(ISNUMBER(C5975),MONTH(C5975),"")</f>
        <v/>
      </c>
      <c r="X5975" s="23" t="str">
        <f aca="false">IF(T5975="","",IF(T5975=0,"No discount",IF(T5975&lt;=0.2,"Low (1-20%)",IF(T5975&lt;=0.4,"Medium (21-40%)","High (&gt;40%)"))))</f>
        <v/>
      </c>
      <c r="Y5975" s="23" t="str">
        <f aca="false">IF(AND(ISNUMBER(C5975),ISNUMBER(D5975)),D5975-C5975,"")</f>
        <v/>
      </c>
      <c r="Z5975" s="23" t="str">
        <f aca="false">IF(B5975="","",IF(MATCH(B5975,$B$2:$B$12000,0)=ROW()-1,1,0))</f>
        <v/>
      </c>
    </row>
    <row r="5976" customFormat="false" ht="15" hidden="false" customHeight="false" outlineLevel="0" collapsed="false">
      <c r="V5976" s="23" t="str">
        <f aca="false">IF(ISNUMBER(C5976),YEAR(C5976),"")</f>
        <v/>
      </c>
      <c r="W5976" s="23" t="str">
        <f aca="false">IF(ISNUMBER(C5976),MONTH(C5976),"")</f>
        <v/>
      </c>
      <c r="X5976" s="23" t="str">
        <f aca="false">IF(T5976="","",IF(T5976=0,"No discount",IF(T5976&lt;=0.2,"Low (1-20%)",IF(T5976&lt;=0.4,"Medium (21-40%)","High (&gt;40%)"))))</f>
        <v/>
      </c>
      <c r="Y5976" s="23" t="str">
        <f aca="false">IF(AND(ISNUMBER(C5976),ISNUMBER(D5976)),D5976-C5976,"")</f>
        <v/>
      </c>
      <c r="Z5976" s="23" t="str">
        <f aca="false">IF(B5976="","",IF(MATCH(B5976,$B$2:$B$12000,0)=ROW()-1,1,0))</f>
        <v/>
      </c>
    </row>
    <row r="5977" customFormat="false" ht="15" hidden="false" customHeight="false" outlineLevel="0" collapsed="false">
      <c r="V5977" s="23" t="str">
        <f aca="false">IF(ISNUMBER(C5977),YEAR(C5977),"")</f>
        <v/>
      </c>
      <c r="W5977" s="23" t="str">
        <f aca="false">IF(ISNUMBER(C5977),MONTH(C5977),"")</f>
        <v/>
      </c>
      <c r="X5977" s="23" t="str">
        <f aca="false">IF(T5977="","",IF(T5977=0,"No discount",IF(T5977&lt;=0.2,"Low (1-20%)",IF(T5977&lt;=0.4,"Medium (21-40%)","High (&gt;40%)"))))</f>
        <v/>
      </c>
      <c r="Y5977" s="23" t="str">
        <f aca="false">IF(AND(ISNUMBER(C5977),ISNUMBER(D5977)),D5977-C5977,"")</f>
        <v/>
      </c>
      <c r="Z5977" s="23" t="str">
        <f aca="false">IF(B5977="","",IF(MATCH(B5977,$B$2:$B$12000,0)=ROW()-1,1,0))</f>
        <v/>
      </c>
    </row>
    <row r="5978" customFormat="false" ht="15" hidden="false" customHeight="false" outlineLevel="0" collapsed="false">
      <c r="V5978" s="23" t="str">
        <f aca="false">IF(ISNUMBER(C5978),YEAR(C5978),"")</f>
        <v/>
      </c>
      <c r="W5978" s="23" t="str">
        <f aca="false">IF(ISNUMBER(C5978),MONTH(C5978),"")</f>
        <v/>
      </c>
      <c r="X5978" s="23" t="str">
        <f aca="false">IF(T5978="","",IF(T5978=0,"No discount",IF(T5978&lt;=0.2,"Low (1-20%)",IF(T5978&lt;=0.4,"Medium (21-40%)","High (&gt;40%)"))))</f>
        <v/>
      </c>
      <c r="Y5978" s="23" t="str">
        <f aca="false">IF(AND(ISNUMBER(C5978),ISNUMBER(D5978)),D5978-C5978,"")</f>
        <v/>
      </c>
      <c r="Z5978" s="23" t="str">
        <f aca="false">IF(B5978="","",IF(MATCH(B5978,$B$2:$B$12000,0)=ROW()-1,1,0))</f>
        <v/>
      </c>
    </row>
    <row r="5979" customFormat="false" ht="15" hidden="false" customHeight="false" outlineLevel="0" collapsed="false">
      <c r="V5979" s="23" t="str">
        <f aca="false">IF(ISNUMBER(C5979),YEAR(C5979),"")</f>
        <v/>
      </c>
      <c r="W5979" s="23" t="str">
        <f aca="false">IF(ISNUMBER(C5979),MONTH(C5979),"")</f>
        <v/>
      </c>
      <c r="X5979" s="23" t="str">
        <f aca="false">IF(T5979="","",IF(T5979=0,"No discount",IF(T5979&lt;=0.2,"Low (1-20%)",IF(T5979&lt;=0.4,"Medium (21-40%)","High (&gt;40%)"))))</f>
        <v/>
      </c>
      <c r="Y5979" s="23" t="str">
        <f aca="false">IF(AND(ISNUMBER(C5979),ISNUMBER(D5979)),D5979-C5979,"")</f>
        <v/>
      </c>
      <c r="Z5979" s="23" t="str">
        <f aca="false">IF(B5979="","",IF(MATCH(B5979,$B$2:$B$12000,0)=ROW()-1,1,0))</f>
        <v/>
      </c>
    </row>
    <row r="5980" customFormat="false" ht="15" hidden="false" customHeight="false" outlineLevel="0" collapsed="false">
      <c r="V5980" s="23" t="str">
        <f aca="false">IF(ISNUMBER(C5980),YEAR(C5980),"")</f>
        <v/>
      </c>
      <c r="W5980" s="23" t="str">
        <f aca="false">IF(ISNUMBER(C5980),MONTH(C5980),"")</f>
        <v/>
      </c>
      <c r="X5980" s="23" t="str">
        <f aca="false">IF(T5980="","",IF(T5980=0,"No discount",IF(T5980&lt;=0.2,"Low (1-20%)",IF(T5980&lt;=0.4,"Medium (21-40%)","High (&gt;40%)"))))</f>
        <v/>
      </c>
      <c r="Y5980" s="23" t="str">
        <f aca="false">IF(AND(ISNUMBER(C5980),ISNUMBER(D5980)),D5980-C5980,"")</f>
        <v/>
      </c>
      <c r="Z5980" s="23" t="str">
        <f aca="false">IF(B5980="","",IF(MATCH(B5980,$B$2:$B$12000,0)=ROW()-1,1,0))</f>
        <v/>
      </c>
    </row>
    <row r="5981" customFormat="false" ht="15" hidden="false" customHeight="false" outlineLevel="0" collapsed="false">
      <c r="V5981" s="23" t="str">
        <f aca="false">IF(ISNUMBER(C5981),YEAR(C5981),"")</f>
        <v/>
      </c>
      <c r="W5981" s="23" t="str">
        <f aca="false">IF(ISNUMBER(C5981),MONTH(C5981),"")</f>
        <v/>
      </c>
      <c r="X5981" s="23" t="str">
        <f aca="false">IF(T5981="","",IF(T5981=0,"No discount",IF(T5981&lt;=0.2,"Low (1-20%)",IF(T5981&lt;=0.4,"Medium (21-40%)","High (&gt;40%)"))))</f>
        <v/>
      </c>
      <c r="Y5981" s="23" t="str">
        <f aca="false">IF(AND(ISNUMBER(C5981),ISNUMBER(D5981)),D5981-C5981,"")</f>
        <v/>
      </c>
      <c r="Z5981" s="23" t="str">
        <f aca="false">IF(B5981="","",IF(MATCH(B5981,$B$2:$B$12000,0)=ROW()-1,1,0))</f>
        <v/>
      </c>
    </row>
    <row r="5982" customFormat="false" ht="15" hidden="false" customHeight="false" outlineLevel="0" collapsed="false">
      <c r="V5982" s="23" t="str">
        <f aca="false">IF(ISNUMBER(C5982),YEAR(C5982),"")</f>
        <v/>
      </c>
      <c r="W5982" s="23" t="str">
        <f aca="false">IF(ISNUMBER(C5982),MONTH(C5982),"")</f>
        <v/>
      </c>
      <c r="X5982" s="23" t="str">
        <f aca="false">IF(T5982="","",IF(T5982=0,"No discount",IF(T5982&lt;=0.2,"Low (1-20%)",IF(T5982&lt;=0.4,"Medium (21-40%)","High (&gt;40%)"))))</f>
        <v/>
      </c>
      <c r="Y5982" s="23" t="str">
        <f aca="false">IF(AND(ISNUMBER(C5982),ISNUMBER(D5982)),D5982-C5982,"")</f>
        <v/>
      </c>
      <c r="Z5982" s="23" t="str">
        <f aca="false">IF(B5982="","",IF(MATCH(B5982,$B$2:$B$12000,0)=ROW()-1,1,0))</f>
        <v/>
      </c>
    </row>
    <row r="5983" customFormat="false" ht="15" hidden="false" customHeight="false" outlineLevel="0" collapsed="false">
      <c r="V5983" s="23" t="str">
        <f aca="false">IF(ISNUMBER(C5983),YEAR(C5983),"")</f>
        <v/>
      </c>
      <c r="W5983" s="23" t="str">
        <f aca="false">IF(ISNUMBER(C5983),MONTH(C5983),"")</f>
        <v/>
      </c>
      <c r="X5983" s="23" t="str">
        <f aca="false">IF(T5983="","",IF(T5983=0,"No discount",IF(T5983&lt;=0.2,"Low (1-20%)",IF(T5983&lt;=0.4,"Medium (21-40%)","High (&gt;40%)"))))</f>
        <v/>
      </c>
      <c r="Y5983" s="23" t="str">
        <f aca="false">IF(AND(ISNUMBER(C5983),ISNUMBER(D5983)),D5983-C5983,"")</f>
        <v/>
      </c>
      <c r="Z5983" s="23" t="str">
        <f aca="false">IF(B5983="","",IF(MATCH(B5983,$B$2:$B$12000,0)=ROW()-1,1,0))</f>
        <v/>
      </c>
    </row>
    <row r="5984" customFormat="false" ht="15" hidden="false" customHeight="false" outlineLevel="0" collapsed="false">
      <c r="V5984" s="23" t="str">
        <f aca="false">IF(ISNUMBER(C5984),YEAR(C5984),"")</f>
        <v/>
      </c>
      <c r="W5984" s="23" t="str">
        <f aca="false">IF(ISNUMBER(C5984),MONTH(C5984),"")</f>
        <v/>
      </c>
      <c r="X5984" s="23" t="str">
        <f aca="false">IF(T5984="","",IF(T5984=0,"No discount",IF(T5984&lt;=0.2,"Low (1-20%)",IF(T5984&lt;=0.4,"Medium (21-40%)","High (&gt;40%)"))))</f>
        <v/>
      </c>
      <c r="Y5984" s="23" t="str">
        <f aca="false">IF(AND(ISNUMBER(C5984),ISNUMBER(D5984)),D5984-C5984,"")</f>
        <v/>
      </c>
      <c r="Z5984" s="23" t="str">
        <f aca="false">IF(B5984="","",IF(MATCH(B5984,$B$2:$B$12000,0)=ROW()-1,1,0))</f>
        <v/>
      </c>
    </row>
    <row r="5985" customFormat="false" ht="15" hidden="false" customHeight="false" outlineLevel="0" collapsed="false">
      <c r="V5985" s="23" t="str">
        <f aca="false">IF(ISNUMBER(C5985),YEAR(C5985),"")</f>
        <v/>
      </c>
      <c r="W5985" s="23" t="str">
        <f aca="false">IF(ISNUMBER(C5985),MONTH(C5985),"")</f>
        <v/>
      </c>
      <c r="X5985" s="23" t="str">
        <f aca="false">IF(T5985="","",IF(T5985=0,"No discount",IF(T5985&lt;=0.2,"Low (1-20%)",IF(T5985&lt;=0.4,"Medium (21-40%)","High (&gt;40%)"))))</f>
        <v/>
      </c>
      <c r="Y5985" s="23" t="str">
        <f aca="false">IF(AND(ISNUMBER(C5985),ISNUMBER(D5985)),D5985-C5985,"")</f>
        <v/>
      </c>
      <c r="Z5985" s="23" t="str">
        <f aca="false">IF(B5985="","",IF(MATCH(B5985,$B$2:$B$12000,0)=ROW()-1,1,0))</f>
        <v/>
      </c>
    </row>
    <row r="5986" customFormat="false" ht="15" hidden="false" customHeight="false" outlineLevel="0" collapsed="false">
      <c r="V5986" s="23" t="str">
        <f aca="false">IF(ISNUMBER(C5986),YEAR(C5986),"")</f>
        <v/>
      </c>
      <c r="W5986" s="23" t="str">
        <f aca="false">IF(ISNUMBER(C5986),MONTH(C5986),"")</f>
        <v/>
      </c>
      <c r="X5986" s="23" t="str">
        <f aca="false">IF(T5986="","",IF(T5986=0,"No discount",IF(T5986&lt;=0.2,"Low (1-20%)",IF(T5986&lt;=0.4,"Medium (21-40%)","High (&gt;40%)"))))</f>
        <v/>
      </c>
      <c r="Y5986" s="23" t="str">
        <f aca="false">IF(AND(ISNUMBER(C5986),ISNUMBER(D5986)),D5986-C5986,"")</f>
        <v/>
      </c>
      <c r="Z5986" s="23" t="str">
        <f aca="false">IF(B5986="","",IF(MATCH(B5986,$B$2:$B$12000,0)=ROW()-1,1,0))</f>
        <v/>
      </c>
    </row>
    <row r="5987" customFormat="false" ht="15" hidden="false" customHeight="false" outlineLevel="0" collapsed="false">
      <c r="V5987" s="23" t="str">
        <f aca="false">IF(ISNUMBER(C5987),YEAR(C5987),"")</f>
        <v/>
      </c>
      <c r="W5987" s="23" t="str">
        <f aca="false">IF(ISNUMBER(C5987),MONTH(C5987),"")</f>
        <v/>
      </c>
      <c r="X5987" s="23" t="str">
        <f aca="false">IF(T5987="","",IF(T5987=0,"No discount",IF(T5987&lt;=0.2,"Low (1-20%)",IF(T5987&lt;=0.4,"Medium (21-40%)","High (&gt;40%)"))))</f>
        <v/>
      </c>
      <c r="Y5987" s="23" t="str">
        <f aca="false">IF(AND(ISNUMBER(C5987),ISNUMBER(D5987)),D5987-C5987,"")</f>
        <v/>
      </c>
      <c r="Z5987" s="23" t="str">
        <f aca="false">IF(B5987="","",IF(MATCH(B5987,$B$2:$B$12000,0)=ROW()-1,1,0))</f>
        <v/>
      </c>
    </row>
    <row r="5988" customFormat="false" ht="15" hidden="false" customHeight="false" outlineLevel="0" collapsed="false">
      <c r="V5988" s="23" t="str">
        <f aca="false">IF(ISNUMBER(C5988),YEAR(C5988),"")</f>
        <v/>
      </c>
      <c r="W5988" s="23" t="str">
        <f aca="false">IF(ISNUMBER(C5988),MONTH(C5988),"")</f>
        <v/>
      </c>
      <c r="X5988" s="23" t="str">
        <f aca="false">IF(T5988="","",IF(T5988=0,"No discount",IF(T5988&lt;=0.2,"Low (1-20%)",IF(T5988&lt;=0.4,"Medium (21-40%)","High (&gt;40%)"))))</f>
        <v/>
      </c>
      <c r="Y5988" s="23" t="str">
        <f aca="false">IF(AND(ISNUMBER(C5988),ISNUMBER(D5988)),D5988-C5988,"")</f>
        <v/>
      </c>
      <c r="Z5988" s="23" t="str">
        <f aca="false">IF(B5988="","",IF(MATCH(B5988,$B$2:$B$12000,0)=ROW()-1,1,0))</f>
        <v/>
      </c>
    </row>
    <row r="5989" customFormat="false" ht="15" hidden="false" customHeight="false" outlineLevel="0" collapsed="false">
      <c r="V5989" s="23" t="str">
        <f aca="false">IF(ISNUMBER(C5989),YEAR(C5989),"")</f>
        <v/>
      </c>
      <c r="W5989" s="23" t="str">
        <f aca="false">IF(ISNUMBER(C5989),MONTH(C5989),"")</f>
        <v/>
      </c>
      <c r="X5989" s="23" t="str">
        <f aca="false">IF(T5989="","",IF(T5989=0,"No discount",IF(T5989&lt;=0.2,"Low (1-20%)",IF(T5989&lt;=0.4,"Medium (21-40%)","High (&gt;40%)"))))</f>
        <v/>
      </c>
      <c r="Y5989" s="23" t="str">
        <f aca="false">IF(AND(ISNUMBER(C5989),ISNUMBER(D5989)),D5989-C5989,"")</f>
        <v/>
      </c>
      <c r="Z5989" s="23" t="str">
        <f aca="false">IF(B5989="","",IF(MATCH(B5989,$B$2:$B$12000,0)=ROW()-1,1,0))</f>
        <v/>
      </c>
    </row>
    <row r="5990" customFormat="false" ht="15" hidden="false" customHeight="false" outlineLevel="0" collapsed="false">
      <c r="V5990" s="23" t="str">
        <f aca="false">IF(ISNUMBER(C5990),YEAR(C5990),"")</f>
        <v/>
      </c>
      <c r="W5990" s="23" t="str">
        <f aca="false">IF(ISNUMBER(C5990),MONTH(C5990),"")</f>
        <v/>
      </c>
      <c r="X5990" s="23" t="str">
        <f aca="false">IF(T5990="","",IF(T5990=0,"No discount",IF(T5990&lt;=0.2,"Low (1-20%)",IF(T5990&lt;=0.4,"Medium (21-40%)","High (&gt;40%)"))))</f>
        <v/>
      </c>
      <c r="Y5990" s="23" t="str">
        <f aca="false">IF(AND(ISNUMBER(C5990),ISNUMBER(D5990)),D5990-C5990,"")</f>
        <v/>
      </c>
      <c r="Z5990" s="23" t="str">
        <f aca="false">IF(B5990="","",IF(MATCH(B5990,$B$2:$B$12000,0)=ROW()-1,1,0))</f>
        <v/>
      </c>
    </row>
    <row r="5991" customFormat="false" ht="15" hidden="false" customHeight="false" outlineLevel="0" collapsed="false">
      <c r="V5991" s="23" t="str">
        <f aca="false">IF(ISNUMBER(C5991),YEAR(C5991),"")</f>
        <v/>
      </c>
      <c r="W5991" s="23" t="str">
        <f aca="false">IF(ISNUMBER(C5991),MONTH(C5991),"")</f>
        <v/>
      </c>
      <c r="X5991" s="23" t="str">
        <f aca="false">IF(T5991="","",IF(T5991=0,"No discount",IF(T5991&lt;=0.2,"Low (1-20%)",IF(T5991&lt;=0.4,"Medium (21-40%)","High (&gt;40%)"))))</f>
        <v/>
      </c>
      <c r="Y5991" s="23" t="str">
        <f aca="false">IF(AND(ISNUMBER(C5991),ISNUMBER(D5991)),D5991-C5991,"")</f>
        <v/>
      </c>
      <c r="Z5991" s="23" t="str">
        <f aca="false">IF(B5991="","",IF(MATCH(B5991,$B$2:$B$12000,0)=ROW()-1,1,0))</f>
        <v/>
      </c>
    </row>
    <row r="5992" customFormat="false" ht="15" hidden="false" customHeight="false" outlineLevel="0" collapsed="false">
      <c r="V5992" s="23" t="str">
        <f aca="false">IF(ISNUMBER(C5992),YEAR(C5992),"")</f>
        <v/>
      </c>
      <c r="W5992" s="23" t="str">
        <f aca="false">IF(ISNUMBER(C5992),MONTH(C5992),"")</f>
        <v/>
      </c>
      <c r="X5992" s="23" t="str">
        <f aca="false">IF(T5992="","",IF(T5992=0,"No discount",IF(T5992&lt;=0.2,"Low (1-20%)",IF(T5992&lt;=0.4,"Medium (21-40%)","High (&gt;40%)"))))</f>
        <v/>
      </c>
      <c r="Y5992" s="23" t="str">
        <f aca="false">IF(AND(ISNUMBER(C5992),ISNUMBER(D5992)),D5992-C5992,"")</f>
        <v/>
      </c>
      <c r="Z5992" s="23" t="str">
        <f aca="false">IF(B5992="","",IF(MATCH(B5992,$B$2:$B$12000,0)=ROW()-1,1,0))</f>
        <v/>
      </c>
    </row>
    <row r="5993" customFormat="false" ht="15" hidden="false" customHeight="false" outlineLevel="0" collapsed="false">
      <c r="V5993" s="23" t="str">
        <f aca="false">IF(ISNUMBER(C5993),YEAR(C5993),"")</f>
        <v/>
      </c>
      <c r="W5993" s="23" t="str">
        <f aca="false">IF(ISNUMBER(C5993),MONTH(C5993),"")</f>
        <v/>
      </c>
      <c r="X5993" s="23" t="str">
        <f aca="false">IF(T5993="","",IF(T5993=0,"No discount",IF(T5993&lt;=0.2,"Low (1-20%)",IF(T5993&lt;=0.4,"Medium (21-40%)","High (&gt;40%)"))))</f>
        <v/>
      </c>
      <c r="Y5993" s="23" t="str">
        <f aca="false">IF(AND(ISNUMBER(C5993),ISNUMBER(D5993)),D5993-C5993,"")</f>
        <v/>
      </c>
      <c r="Z5993" s="23" t="str">
        <f aca="false">IF(B5993="","",IF(MATCH(B5993,$B$2:$B$12000,0)=ROW()-1,1,0))</f>
        <v/>
      </c>
    </row>
    <row r="5994" customFormat="false" ht="15" hidden="false" customHeight="false" outlineLevel="0" collapsed="false">
      <c r="V5994" s="23" t="str">
        <f aca="false">IF(ISNUMBER(C5994),YEAR(C5994),"")</f>
        <v/>
      </c>
      <c r="W5994" s="23" t="str">
        <f aca="false">IF(ISNUMBER(C5994),MONTH(C5994),"")</f>
        <v/>
      </c>
      <c r="X5994" s="23" t="str">
        <f aca="false">IF(T5994="","",IF(T5994=0,"No discount",IF(T5994&lt;=0.2,"Low (1-20%)",IF(T5994&lt;=0.4,"Medium (21-40%)","High (&gt;40%)"))))</f>
        <v/>
      </c>
      <c r="Y5994" s="23" t="str">
        <f aca="false">IF(AND(ISNUMBER(C5994),ISNUMBER(D5994)),D5994-C5994,"")</f>
        <v/>
      </c>
      <c r="Z5994" s="23" t="str">
        <f aca="false">IF(B5994="","",IF(MATCH(B5994,$B$2:$B$12000,0)=ROW()-1,1,0))</f>
        <v/>
      </c>
    </row>
    <row r="5995" customFormat="false" ht="15" hidden="false" customHeight="false" outlineLevel="0" collapsed="false">
      <c r="V5995" s="23" t="str">
        <f aca="false">IF(ISNUMBER(C5995),YEAR(C5995),"")</f>
        <v/>
      </c>
      <c r="W5995" s="23" t="str">
        <f aca="false">IF(ISNUMBER(C5995),MONTH(C5995),"")</f>
        <v/>
      </c>
      <c r="X5995" s="23" t="str">
        <f aca="false">IF(T5995="","",IF(T5995=0,"No discount",IF(T5995&lt;=0.2,"Low (1-20%)",IF(T5995&lt;=0.4,"Medium (21-40%)","High (&gt;40%)"))))</f>
        <v/>
      </c>
      <c r="Y5995" s="23" t="str">
        <f aca="false">IF(AND(ISNUMBER(C5995),ISNUMBER(D5995)),D5995-C5995,"")</f>
        <v/>
      </c>
      <c r="Z5995" s="23" t="str">
        <f aca="false">IF(B5995="","",IF(MATCH(B5995,$B$2:$B$12000,0)=ROW()-1,1,0))</f>
        <v/>
      </c>
    </row>
    <row r="5996" customFormat="false" ht="15" hidden="false" customHeight="false" outlineLevel="0" collapsed="false">
      <c r="V5996" s="23" t="str">
        <f aca="false">IF(ISNUMBER(C5996),YEAR(C5996),"")</f>
        <v/>
      </c>
      <c r="W5996" s="23" t="str">
        <f aca="false">IF(ISNUMBER(C5996),MONTH(C5996),"")</f>
        <v/>
      </c>
      <c r="X5996" s="23" t="str">
        <f aca="false">IF(T5996="","",IF(T5996=0,"No discount",IF(T5996&lt;=0.2,"Low (1-20%)",IF(T5996&lt;=0.4,"Medium (21-40%)","High (&gt;40%)"))))</f>
        <v/>
      </c>
      <c r="Y5996" s="23" t="str">
        <f aca="false">IF(AND(ISNUMBER(C5996),ISNUMBER(D5996)),D5996-C5996,"")</f>
        <v/>
      </c>
      <c r="Z5996" s="23" t="str">
        <f aca="false">IF(B5996="","",IF(MATCH(B5996,$B$2:$B$12000,0)=ROW()-1,1,0))</f>
        <v/>
      </c>
    </row>
    <row r="5997" customFormat="false" ht="15" hidden="false" customHeight="false" outlineLevel="0" collapsed="false">
      <c r="V5997" s="23" t="str">
        <f aca="false">IF(ISNUMBER(C5997),YEAR(C5997),"")</f>
        <v/>
      </c>
      <c r="W5997" s="23" t="str">
        <f aca="false">IF(ISNUMBER(C5997),MONTH(C5997),"")</f>
        <v/>
      </c>
      <c r="X5997" s="23" t="str">
        <f aca="false">IF(T5997="","",IF(T5997=0,"No discount",IF(T5997&lt;=0.2,"Low (1-20%)",IF(T5997&lt;=0.4,"Medium (21-40%)","High (&gt;40%)"))))</f>
        <v/>
      </c>
      <c r="Y5997" s="23" t="str">
        <f aca="false">IF(AND(ISNUMBER(C5997),ISNUMBER(D5997)),D5997-C5997,"")</f>
        <v/>
      </c>
      <c r="Z5997" s="23" t="str">
        <f aca="false">IF(B5997="","",IF(MATCH(B5997,$B$2:$B$12000,0)=ROW()-1,1,0))</f>
        <v/>
      </c>
    </row>
    <row r="5998" customFormat="false" ht="15" hidden="false" customHeight="false" outlineLevel="0" collapsed="false">
      <c r="V5998" s="23" t="str">
        <f aca="false">IF(ISNUMBER(C5998),YEAR(C5998),"")</f>
        <v/>
      </c>
      <c r="W5998" s="23" t="str">
        <f aca="false">IF(ISNUMBER(C5998),MONTH(C5998),"")</f>
        <v/>
      </c>
      <c r="X5998" s="23" t="str">
        <f aca="false">IF(T5998="","",IF(T5998=0,"No discount",IF(T5998&lt;=0.2,"Low (1-20%)",IF(T5998&lt;=0.4,"Medium (21-40%)","High (&gt;40%)"))))</f>
        <v/>
      </c>
      <c r="Y5998" s="23" t="str">
        <f aca="false">IF(AND(ISNUMBER(C5998),ISNUMBER(D5998)),D5998-C5998,"")</f>
        <v/>
      </c>
      <c r="Z5998" s="23" t="str">
        <f aca="false">IF(B5998="","",IF(MATCH(B5998,$B$2:$B$12000,0)=ROW()-1,1,0))</f>
        <v/>
      </c>
    </row>
    <row r="5999" customFormat="false" ht="15" hidden="false" customHeight="false" outlineLevel="0" collapsed="false">
      <c r="V5999" s="23" t="str">
        <f aca="false">IF(ISNUMBER(C5999),YEAR(C5999),"")</f>
        <v/>
      </c>
      <c r="W5999" s="23" t="str">
        <f aca="false">IF(ISNUMBER(C5999),MONTH(C5999),"")</f>
        <v/>
      </c>
      <c r="X5999" s="23" t="str">
        <f aca="false">IF(T5999="","",IF(T5999=0,"No discount",IF(T5999&lt;=0.2,"Low (1-20%)",IF(T5999&lt;=0.4,"Medium (21-40%)","High (&gt;40%)"))))</f>
        <v/>
      </c>
      <c r="Y5999" s="23" t="str">
        <f aca="false">IF(AND(ISNUMBER(C5999),ISNUMBER(D5999)),D5999-C5999,"")</f>
        <v/>
      </c>
      <c r="Z5999" s="23" t="str">
        <f aca="false">IF(B5999="","",IF(MATCH(B5999,$B$2:$B$12000,0)=ROW()-1,1,0))</f>
        <v/>
      </c>
    </row>
    <row r="6000" customFormat="false" ht="15" hidden="false" customHeight="false" outlineLevel="0" collapsed="false">
      <c r="V6000" s="23" t="str">
        <f aca="false">IF(ISNUMBER(C6000),YEAR(C6000),"")</f>
        <v/>
      </c>
      <c r="W6000" s="23" t="str">
        <f aca="false">IF(ISNUMBER(C6000),MONTH(C6000),"")</f>
        <v/>
      </c>
      <c r="X6000" s="23" t="str">
        <f aca="false">IF(T6000="","",IF(T6000=0,"No discount",IF(T6000&lt;=0.2,"Low (1-20%)",IF(T6000&lt;=0.4,"Medium (21-40%)","High (&gt;40%)"))))</f>
        <v/>
      </c>
      <c r="Y6000" s="23" t="str">
        <f aca="false">IF(AND(ISNUMBER(C6000),ISNUMBER(D6000)),D6000-C6000,"")</f>
        <v/>
      </c>
      <c r="Z6000" s="23" t="str">
        <f aca="false">IF(B6000="","",IF(MATCH(B6000,$B$2:$B$12000,0)=ROW()-1,1,0))</f>
        <v/>
      </c>
    </row>
    <row r="6001" customFormat="false" ht="15" hidden="false" customHeight="false" outlineLevel="0" collapsed="false">
      <c r="V6001" s="23" t="str">
        <f aca="false">IF(ISNUMBER(C6001),YEAR(C6001),"")</f>
        <v/>
      </c>
      <c r="W6001" s="23" t="str">
        <f aca="false">IF(ISNUMBER(C6001),MONTH(C6001),"")</f>
        <v/>
      </c>
      <c r="X6001" s="23" t="str">
        <f aca="false">IF(T6001="","",IF(T6001=0,"No discount",IF(T6001&lt;=0.2,"Low (1-20%)",IF(T6001&lt;=0.4,"Medium (21-40%)","High (&gt;40%)"))))</f>
        <v/>
      </c>
      <c r="Y6001" s="23" t="str">
        <f aca="false">IF(AND(ISNUMBER(C6001),ISNUMBER(D6001)),D6001-C6001,"")</f>
        <v/>
      </c>
      <c r="Z6001" s="23" t="str">
        <f aca="false">IF(B6001="","",IF(MATCH(B6001,$B$2:$B$12000,0)=ROW()-1,1,0))</f>
        <v/>
      </c>
    </row>
    <row r="6002" customFormat="false" ht="15" hidden="false" customHeight="false" outlineLevel="0" collapsed="false">
      <c r="V6002" s="23" t="str">
        <f aca="false">IF(ISNUMBER(C6002),YEAR(C6002),"")</f>
        <v/>
      </c>
      <c r="W6002" s="23" t="str">
        <f aca="false">IF(ISNUMBER(C6002),MONTH(C6002),"")</f>
        <v/>
      </c>
      <c r="X6002" s="23" t="str">
        <f aca="false">IF(T6002="","",IF(T6002=0,"No discount",IF(T6002&lt;=0.2,"Low (1-20%)",IF(T6002&lt;=0.4,"Medium (21-40%)","High (&gt;40%)"))))</f>
        <v/>
      </c>
      <c r="Y6002" s="23" t="str">
        <f aca="false">IF(AND(ISNUMBER(C6002),ISNUMBER(D6002)),D6002-C6002,"")</f>
        <v/>
      </c>
      <c r="Z6002" s="23" t="str">
        <f aca="false">IF(B6002="","",IF(MATCH(B6002,$B$2:$B$12000,0)=ROW()-1,1,0))</f>
        <v/>
      </c>
    </row>
    <row r="6003" customFormat="false" ht="15" hidden="false" customHeight="false" outlineLevel="0" collapsed="false">
      <c r="V6003" s="23" t="str">
        <f aca="false">IF(ISNUMBER(C6003),YEAR(C6003),"")</f>
        <v/>
      </c>
      <c r="W6003" s="23" t="str">
        <f aca="false">IF(ISNUMBER(C6003),MONTH(C6003),"")</f>
        <v/>
      </c>
      <c r="X6003" s="23" t="str">
        <f aca="false">IF(T6003="","",IF(T6003=0,"No discount",IF(T6003&lt;=0.2,"Low (1-20%)",IF(T6003&lt;=0.4,"Medium (21-40%)","High (&gt;40%)"))))</f>
        <v/>
      </c>
      <c r="Y6003" s="23" t="str">
        <f aca="false">IF(AND(ISNUMBER(C6003),ISNUMBER(D6003)),D6003-C6003,"")</f>
        <v/>
      </c>
      <c r="Z6003" s="23" t="str">
        <f aca="false">IF(B6003="","",IF(MATCH(B6003,$B$2:$B$12000,0)=ROW()-1,1,0))</f>
        <v/>
      </c>
    </row>
    <row r="6004" customFormat="false" ht="15" hidden="false" customHeight="false" outlineLevel="0" collapsed="false">
      <c r="V6004" s="23" t="str">
        <f aca="false">IF(ISNUMBER(C6004),YEAR(C6004),"")</f>
        <v/>
      </c>
      <c r="W6004" s="23" t="str">
        <f aca="false">IF(ISNUMBER(C6004),MONTH(C6004),"")</f>
        <v/>
      </c>
      <c r="X6004" s="23" t="str">
        <f aca="false">IF(T6004="","",IF(T6004=0,"No discount",IF(T6004&lt;=0.2,"Low (1-20%)",IF(T6004&lt;=0.4,"Medium (21-40%)","High (&gt;40%)"))))</f>
        <v/>
      </c>
      <c r="Y6004" s="23" t="str">
        <f aca="false">IF(AND(ISNUMBER(C6004),ISNUMBER(D6004)),D6004-C6004,"")</f>
        <v/>
      </c>
      <c r="Z6004" s="23" t="str">
        <f aca="false">IF(B6004="","",IF(MATCH(B6004,$B$2:$B$12000,0)=ROW()-1,1,0))</f>
        <v/>
      </c>
    </row>
    <row r="6005" customFormat="false" ht="15" hidden="false" customHeight="false" outlineLevel="0" collapsed="false">
      <c r="V6005" s="23" t="str">
        <f aca="false">IF(ISNUMBER(C6005),YEAR(C6005),"")</f>
        <v/>
      </c>
      <c r="W6005" s="23" t="str">
        <f aca="false">IF(ISNUMBER(C6005),MONTH(C6005),"")</f>
        <v/>
      </c>
      <c r="X6005" s="23" t="str">
        <f aca="false">IF(T6005="","",IF(T6005=0,"No discount",IF(T6005&lt;=0.2,"Low (1-20%)",IF(T6005&lt;=0.4,"Medium (21-40%)","High (&gt;40%)"))))</f>
        <v/>
      </c>
      <c r="Y6005" s="23" t="str">
        <f aca="false">IF(AND(ISNUMBER(C6005),ISNUMBER(D6005)),D6005-C6005,"")</f>
        <v/>
      </c>
      <c r="Z6005" s="23" t="str">
        <f aca="false">IF(B6005="","",IF(MATCH(B6005,$B$2:$B$12000,0)=ROW()-1,1,0))</f>
        <v/>
      </c>
    </row>
    <row r="6006" customFormat="false" ht="15" hidden="false" customHeight="false" outlineLevel="0" collapsed="false">
      <c r="V6006" s="23" t="str">
        <f aca="false">IF(ISNUMBER(C6006),YEAR(C6006),"")</f>
        <v/>
      </c>
      <c r="W6006" s="23" t="str">
        <f aca="false">IF(ISNUMBER(C6006),MONTH(C6006),"")</f>
        <v/>
      </c>
      <c r="X6006" s="23" t="str">
        <f aca="false">IF(T6006="","",IF(T6006=0,"No discount",IF(T6006&lt;=0.2,"Low (1-20%)",IF(T6006&lt;=0.4,"Medium (21-40%)","High (&gt;40%)"))))</f>
        <v/>
      </c>
      <c r="Y6006" s="23" t="str">
        <f aca="false">IF(AND(ISNUMBER(C6006),ISNUMBER(D6006)),D6006-C6006,"")</f>
        <v/>
      </c>
      <c r="Z6006" s="23" t="str">
        <f aca="false">IF(B6006="","",IF(MATCH(B6006,$B$2:$B$12000,0)=ROW()-1,1,0))</f>
        <v/>
      </c>
    </row>
    <row r="6007" customFormat="false" ht="15" hidden="false" customHeight="false" outlineLevel="0" collapsed="false">
      <c r="V6007" s="23" t="str">
        <f aca="false">IF(ISNUMBER(C6007),YEAR(C6007),"")</f>
        <v/>
      </c>
      <c r="W6007" s="23" t="str">
        <f aca="false">IF(ISNUMBER(C6007),MONTH(C6007),"")</f>
        <v/>
      </c>
      <c r="X6007" s="23" t="str">
        <f aca="false">IF(T6007="","",IF(T6007=0,"No discount",IF(T6007&lt;=0.2,"Low (1-20%)",IF(T6007&lt;=0.4,"Medium (21-40%)","High (&gt;40%)"))))</f>
        <v/>
      </c>
      <c r="Y6007" s="23" t="str">
        <f aca="false">IF(AND(ISNUMBER(C6007),ISNUMBER(D6007)),D6007-C6007,"")</f>
        <v/>
      </c>
      <c r="Z6007" s="23" t="str">
        <f aca="false">IF(B6007="","",IF(MATCH(B6007,$B$2:$B$12000,0)=ROW()-1,1,0))</f>
        <v/>
      </c>
    </row>
    <row r="6008" customFormat="false" ht="15" hidden="false" customHeight="false" outlineLevel="0" collapsed="false">
      <c r="V6008" s="23" t="str">
        <f aca="false">IF(ISNUMBER(C6008),YEAR(C6008),"")</f>
        <v/>
      </c>
      <c r="W6008" s="23" t="str">
        <f aca="false">IF(ISNUMBER(C6008),MONTH(C6008),"")</f>
        <v/>
      </c>
      <c r="X6008" s="23" t="str">
        <f aca="false">IF(T6008="","",IF(T6008=0,"No discount",IF(T6008&lt;=0.2,"Low (1-20%)",IF(T6008&lt;=0.4,"Medium (21-40%)","High (&gt;40%)"))))</f>
        <v/>
      </c>
      <c r="Y6008" s="23" t="str">
        <f aca="false">IF(AND(ISNUMBER(C6008),ISNUMBER(D6008)),D6008-C6008,"")</f>
        <v/>
      </c>
      <c r="Z6008" s="23" t="str">
        <f aca="false">IF(B6008="","",IF(MATCH(B6008,$B$2:$B$12000,0)=ROW()-1,1,0))</f>
        <v/>
      </c>
    </row>
    <row r="6009" customFormat="false" ht="15" hidden="false" customHeight="false" outlineLevel="0" collapsed="false">
      <c r="V6009" s="23" t="str">
        <f aca="false">IF(ISNUMBER(C6009),YEAR(C6009),"")</f>
        <v/>
      </c>
      <c r="W6009" s="23" t="str">
        <f aca="false">IF(ISNUMBER(C6009),MONTH(C6009),"")</f>
        <v/>
      </c>
      <c r="X6009" s="23" t="str">
        <f aca="false">IF(T6009="","",IF(T6009=0,"No discount",IF(T6009&lt;=0.2,"Low (1-20%)",IF(T6009&lt;=0.4,"Medium (21-40%)","High (&gt;40%)"))))</f>
        <v/>
      </c>
      <c r="Y6009" s="23" t="str">
        <f aca="false">IF(AND(ISNUMBER(C6009),ISNUMBER(D6009)),D6009-C6009,"")</f>
        <v/>
      </c>
      <c r="Z6009" s="23" t="str">
        <f aca="false">IF(B6009="","",IF(MATCH(B6009,$B$2:$B$12000,0)=ROW()-1,1,0))</f>
        <v/>
      </c>
    </row>
    <row r="6010" customFormat="false" ht="15" hidden="false" customHeight="false" outlineLevel="0" collapsed="false">
      <c r="V6010" s="23" t="str">
        <f aca="false">IF(ISNUMBER(C6010),YEAR(C6010),"")</f>
        <v/>
      </c>
      <c r="W6010" s="23" t="str">
        <f aca="false">IF(ISNUMBER(C6010),MONTH(C6010),"")</f>
        <v/>
      </c>
      <c r="X6010" s="23" t="str">
        <f aca="false">IF(T6010="","",IF(T6010=0,"No discount",IF(T6010&lt;=0.2,"Low (1-20%)",IF(T6010&lt;=0.4,"Medium (21-40%)","High (&gt;40%)"))))</f>
        <v/>
      </c>
      <c r="Y6010" s="23" t="str">
        <f aca="false">IF(AND(ISNUMBER(C6010),ISNUMBER(D6010)),D6010-C6010,"")</f>
        <v/>
      </c>
      <c r="Z6010" s="23" t="str">
        <f aca="false">IF(B6010="","",IF(MATCH(B6010,$B$2:$B$12000,0)=ROW()-1,1,0))</f>
        <v/>
      </c>
    </row>
    <row r="6011" customFormat="false" ht="15" hidden="false" customHeight="false" outlineLevel="0" collapsed="false">
      <c r="V6011" s="23" t="str">
        <f aca="false">IF(ISNUMBER(C6011),YEAR(C6011),"")</f>
        <v/>
      </c>
      <c r="W6011" s="23" t="str">
        <f aca="false">IF(ISNUMBER(C6011),MONTH(C6011),"")</f>
        <v/>
      </c>
      <c r="X6011" s="23" t="str">
        <f aca="false">IF(T6011="","",IF(T6011=0,"No discount",IF(T6011&lt;=0.2,"Low (1-20%)",IF(T6011&lt;=0.4,"Medium (21-40%)","High (&gt;40%)"))))</f>
        <v/>
      </c>
      <c r="Y6011" s="23" t="str">
        <f aca="false">IF(AND(ISNUMBER(C6011),ISNUMBER(D6011)),D6011-C6011,"")</f>
        <v/>
      </c>
      <c r="Z6011" s="23" t="str">
        <f aca="false">IF(B6011="","",IF(MATCH(B6011,$B$2:$B$12000,0)=ROW()-1,1,0))</f>
        <v/>
      </c>
    </row>
    <row r="6012" customFormat="false" ht="15" hidden="false" customHeight="false" outlineLevel="0" collapsed="false">
      <c r="V6012" s="23" t="str">
        <f aca="false">IF(ISNUMBER(C6012),YEAR(C6012),"")</f>
        <v/>
      </c>
      <c r="W6012" s="23" t="str">
        <f aca="false">IF(ISNUMBER(C6012),MONTH(C6012),"")</f>
        <v/>
      </c>
      <c r="X6012" s="23" t="str">
        <f aca="false">IF(T6012="","",IF(T6012=0,"No discount",IF(T6012&lt;=0.2,"Low (1-20%)",IF(T6012&lt;=0.4,"Medium (21-40%)","High (&gt;40%)"))))</f>
        <v/>
      </c>
      <c r="Y6012" s="23" t="str">
        <f aca="false">IF(AND(ISNUMBER(C6012),ISNUMBER(D6012)),D6012-C6012,"")</f>
        <v/>
      </c>
      <c r="Z6012" s="23" t="str">
        <f aca="false">IF(B6012="","",IF(MATCH(B6012,$B$2:$B$12000,0)=ROW()-1,1,0))</f>
        <v/>
      </c>
    </row>
    <row r="6013" customFormat="false" ht="15" hidden="false" customHeight="false" outlineLevel="0" collapsed="false">
      <c r="V6013" s="23" t="str">
        <f aca="false">IF(ISNUMBER(C6013),YEAR(C6013),"")</f>
        <v/>
      </c>
      <c r="W6013" s="23" t="str">
        <f aca="false">IF(ISNUMBER(C6013),MONTH(C6013),"")</f>
        <v/>
      </c>
      <c r="X6013" s="23" t="str">
        <f aca="false">IF(T6013="","",IF(T6013=0,"No discount",IF(T6013&lt;=0.2,"Low (1-20%)",IF(T6013&lt;=0.4,"Medium (21-40%)","High (&gt;40%)"))))</f>
        <v/>
      </c>
      <c r="Y6013" s="23" t="str">
        <f aca="false">IF(AND(ISNUMBER(C6013),ISNUMBER(D6013)),D6013-C6013,"")</f>
        <v/>
      </c>
      <c r="Z6013" s="23" t="str">
        <f aca="false">IF(B6013="","",IF(MATCH(B6013,$B$2:$B$12000,0)=ROW()-1,1,0))</f>
        <v/>
      </c>
    </row>
    <row r="6014" customFormat="false" ht="15" hidden="false" customHeight="false" outlineLevel="0" collapsed="false">
      <c r="V6014" s="23" t="str">
        <f aca="false">IF(ISNUMBER(C6014),YEAR(C6014),"")</f>
        <v/>
      </c>
      <c r="W6014" s="23" t="str">
        <f aca="false">IF(ISNUMBER(C6014),MONTH(C6014),"")</f>
        <v/>
      </c>
      <c r="X6014" s="23" t="str">
        <f aca="false">IF(T6014="","",IF(T6014=0,"No discount",IF(T6014&lt;=0.2,"Low (1-20%)",IF(T6014&lt;=0.4,"Medium (21-40%)","High (&gt;40%)"))))</f>
        <v/>
      </c>
      <c r="Y6014" s="23" t="str">
        <f aca="false">IF(AND(ISNUMBER(C6014),ISNUMBER(D6014)),D6014-C6014,"")</f>
        <v/>
      </c>
      <c r="Z6014" s="23" t="str">
        <f aca="false">IF(B6014="","",IF(MATCH(B6014,$B$2:$B$12000,0)=ROW()-1,1,0))</f>
        <v/>
      </c>
    </row>
    <row r="6015" customFormat="false" ht="15" hidden="false" customHeight="false" outlineLevel="0" collapsed="false">
      <c r="V6015" s="23" t="str">
        <f aca="false">IF(ISNUMBER(C6015),YEAR(C6015),"")</f>
        <v/>
      </c>
      <c r="W6015" s="23" t="str">
        <f aca="false">IF(ISNUMBER(C6015),MONTH(C6015),"")</f>
        <v/>
      </c>
      <c r="X6015" s="23" t="str">
        <f aca="false">IF(T6015="","",IF(T6015=0,"No discount",IF(T6015&lt;=0.2,"Low (1-20%)",IF(T6015&lt;=0.4,"Medium (21-40%)","High (&gt;40%)"))))</f>
        <v/>
      </c>
      <c r="Y6015" s="23" t="str">
        <f aca="false">IF(AND(ISNUMBER(C6015),ISNUMBER(D6015)),D6015-C6015,"")</f>
        <v/>
      </c>
      <c r="Z6015" s="23" t="str">
        <f aca="false">IF(B6015="","",IF(MATCH(B6015,$B$2:$B$12000,0)=ROW()-1,1,0))</f>
        <v/>
      </c>
    </row>
    <row r="6016" customFormat="false" ht="15" hidden="false" customHeight="false" outlineLevel="0" collapsed="false">
      <c r="V6016" s="23" t="str">
        <f aca="false">IF(ISNUMBER(C6016),YEAR(C6016),"")</f>
        <v/>
      </c>
      <c r="W6016" s="23" t="str">
        <f aca="false">IF(ISNUMBER(C6016),MONTH(C6016),"")</f>
        <v/>
      </c>
      <c r="X6016" s="23" t="str">
        <f aca="false">IF(T6016="","",IF(T6016=0,"No discount",IF(T6016&lt;=0.2,"Low (1-20%)",IF(T6016&lt;=0.4,"Medium (21-40%)","High (&gt;40%)"))))</f>
        <v/>
      </c>
      <c r="Y6016" s="23" t="str">
        <f aca="false">IF(AND(ISNUMBER(C6016),ISNUMBER(D6016)),D6016-C6016,"")</f>
        <v/>
      </c>
      <c r="Z6016" s="23" t="str">
        <f aca="false">IF(B6016="","",IF(MATCH(B6016,$B$2:$B$12000,0)=ROW()-1,1,0))</f>
        <v/>
      </c>
    </row>
    <row r="6017" customFormat="false" ht="15" hidden="false" customHeight="false" outlineLevel="0" collapsed="false">
      <c r="V6017" s="23" t="str">
        <f aca="false">IF(ISNUMBER(C6017),YEAR(C6017),"")</f>
        <v/>
      </c>
      <c r="W6017" s="23" t="str">
        <f aca="false">IF(ISNUMBER(C6017),MONTH(C6017),"")</f>
        <v/>
      </c>
      <c r="X6017" s="23" t="str">
        <f aca="false">IF(T6017="","",IF(T6017=0,"No discount",IF(T6017&lt;=0.2,"Low (1-20%)",IF(T6017&lt;=0.4,"Medium (21-40%)","High (&gt;40%)"))))</f>
        <v/>
      </c>
      <c r="Y6017" s="23" t="str">
        <f aca="false">IF(AND(ISNUMBER(C6017),ISNUMBER(D6017)),D6017-C6017,"")</f>
        <v/>
      </c>
      <c r="Z6017" s="23" t="str">
        <f aca="false">IF(B6017="","",IF(MATCH(B6017,$B$2:$B$12000,0)=ROW()-1,1,0))</f>
        <v/>
      </c>
    </row>
    <row r="6018" customFormat="false" ht="15" hidden="false" customHeight="false" outlineLevel="0" collapsed="false">
      <c r="V6018" s="23" t="str">
        <f aca="false">IF(ISNUMBER(C6018),YEAR(C6018),"")</f>
        <v/>
      </c>
      <c r="W6018" s="23" t="str">
        <f aca="false">IF(ISNUMBER(C6018),MONTH(C6018),"")</f>
        <v/>
      </c>
      <c r="X6018" s="23" t="str">
        <f aca="false">IF(T6018="","",IF(T6018=0,"No discount",IF(T6018&lt;=0.2,"Low (1-20%)",IF(T6018&lt;=0.4,"Medium (21-40%)","High (&gt;40%)"))))</f>
        <v/>
      </c>
      <c r="Y6018" s="23" t="str">
        <f aca="false">IF(AND(ISNUMBER(C6018),ISNUMBER(D6018)),D6018-C6018,"")</f>
        <v/>
      </c>
      <c r="Z6018" s="23" t="str">
        <f aca="false">IF(B6018="","",IF(MATCH(B6018,$B$2:$B$12000,0)=ROW()-1,1,0))</f>
        <v/>
      </c>
    </row>
    <row r="6019" customFormat="false" ht="15" hidden="false" customHeight="false" outlineLevel="0" collapsed="false">
      <c r="V6019" s="23" t="str">
        <f aca="false">IF(ISNUMBER(C6019),YEAR(C6019),"")</f>
        <v/>
      </c>
      <c r="W6019" s="23" t="str">
        <f aca="false">IF(ISNUMBER(C6019),MONTH(C6019),"")</f>
        <v/>
      </c>
      <c r="X6019" s="23" t="str">
        <f aca="false">IF(T6019="","",IF(T6019=0,"No discount",IF(T6019&lt;=0.2,"Low (1-20%)",IF(T6019&lt;=0.4,"Medium (21-40%)","High (&gt;40%)"))))</f>
        <v/>
      </c>
      <c r="Y6019" s="23" t="str">
        <f aca="false">IF(AND(ISNUMBER(C6019),ISNUMBER(D6019)),D6019-C6019,"")</f>
        <v/>
      </c>
      <c r="Z6019" s="23" t="str">
        <f aca="false">IF(B6019="","",IF(MATCH(B6019,$B$2:$B$12000,0)=ROW()-1,1,0))</f>
        <v/>
      </c>
    </row>
    <row r="6020" customFormat="false" ht="15" hidden="false" customHeight="false" outlineLevel="0" collapsed="false">
      <c r="V6020" s="23" t="str">
        <f aca="false">IF(ISNUMBER(C6020),YEAR(C6020),"")</f>
        <v/>
      </c>
      <c r="W6020" s="23" t="str">
        <f aca="false">IF(ISNUMBER(C6020),MONTH(C6020),"")</f>
        <v/>
      </c>
      <c r="X6020" s="23" t="str">
        <f aca="false">IF(T6020="","",IF(T6020=0,"No discount",IF(T6020&lt;=0.2,"Low (1-20%)",IF(T6020&lt;=0.4,"Medium (21-40%)","High (&gt;40%)"))))</f>
        <v/>
      </c>
      <c r="Y6020" s="23" t="str">
        <f aca="false">IF(AND(ISNUMBER(C6020),ISNUMBER(D6020)),D6020-C6020,"")</f>
        <v/>
      </c>
      <c r="Z6020" s="23" t="str">
        <f aca="false">IF(B6020="","",IF(MATCH(B6020,$B$2:$B$12000,0)=ROW()-1,1,0))</f>
        <v/>
      </c>
    </row>
    <row r="6021" customFormat="false" ht="15" hidden="false" customHeight="false" outlineLevel="0" collapsed="false">
      <c r="V6021" s="23" t="str">
        <f aca="false">IF(ISNUMBER(C6021),YEAR(C6021),"")</f>
        <v/>
      </c>
      <c r="W6021" s="23" t="str">
        <f aca="false">IF(ISNUMBER(C6021),MONTH(C6021),"")</f>
        <v/>
      </c>
      <c r="X6021" s="23" t="str">
        <f aca="false">IF(T6021="","",IF(T6021=0,"No discount",IF(T6021&lt;=0.2,"Low (1-20%)",IF(T6021&lt;=0.4,"Medium (21-40%)","High (&gt;40%)"))))</f>
        <v/>
      </c>
      <c r="Y6021" s="23" t="str">
        <f aca="false">IF(AND(ISNUMBER(C6021),ISNUMBER(D6021)),D6021-C6021,"")</f>
        <v/>
      </c>
      <c r="Z6021" s="23" t="str">
        <f aca="false">IF(B6021="","",IF(MATCH(B6021,$B$2:$B$12000,0)=ROW()-1,1,0))</f>
        <v/>
      </c>
    </row>
    <row r="6022" customFormat="false" ht="15" hidden="false" customHeight="false" outlineLevel="0" collapsed="false">
      <c r="V6022" s="23" t="str">
        <f aca="false">IF(ISNUMBER(C6022),YEAR(C6022),"")</f>
        <v/>
      </c>
      <c r="W6022" s="23" t="str">
        <f aca="false">IF(ISNUMBER(C6022),MONTH(C6022),"")</f>
        <v/>
      </c>
      <c r="X6022" s="23" t="str">
        <f aca="false">IF(T6022="","",IF(T6022=0,"No discount",IF(T6022&lt;=0.2,"Low (1-20%)",IF(T6022&lt;=0.4,"Medium (21-40%)","High (&gt;40%)"))))</f>
        <v/>
      </c>
      <c r="Y6022" s="23" t="str">
        <f aca="false">IF(AND(ISNUMBER(C6022),ISNUMBER(D6022)),D6022-C6022,"")</f>
        <v/>
      </c>
      <c r="Z6022" s="23" t="str">
        <f aca="false">IF(B6022="","",IF(MATCH(B6022,$B$2:$B$12000,0)=ROW()-1,1,0))</f>
        <v/>
      </c>
    </row>
    <row r="6023" customFormat="false" ht="15" hidden="false" customHeight="false" outlineLevel="0" collapsed="false">
      <c r="V6023" s="23" t="str">
        <f aca="false">IF(ISNUMBER(C6023),YEAR(C6023),"")</f>
        <v/>
      </c>
      <c r="W6023" s="23" t="str">
        <f aca="false">IF(ISNUMBER(C6023),MONTH(C6023),"")</f>
        <v/>
      </c>
      <c r="X6023" s="23" t="str">
        <f aca="false">IF(T6023="","",IF(T6023=0,"No discount",IF(T6023&lt;=0.2,"Low (1-20%)",IF(T6023&lt;=0.4,"Medium (21-40%)","High (&gt;40%)"))))</f>
        <v/>
      </c>
      <c r="Y6023" s="23" t="str">
        <f aca="false">IF(AND(ISNUMBER(C6023),ISNUMBER(D6023)),D6023-C6023,"")</f>
        <v/>
      </c>
      <c r="Z6023" s="23" t="str">
        <f aca="false">IF(B6023="","",IF(MATCH(B6023,$B$2:$B$12000,0)=ROW()-1,1,0))</f>
        <v/>
      </c>
    </row>
    <row r="6024" customFormat="false" ht="15" hidden="false" customHeight="false" outlineLevel="0" collapsed="false">
      <c r="V6024" s="23" t="str">
        <f aca="false">IF(ISNUMBER(C6024),YEAR(C6024),"")</f>
        <v/>
      </c>
      <c r="W6024" s="23" t="str">
        <f aca="false">IF(ISNUMBER(C6024),MONTH(C6024),"")</f>
        <v/>
      </c>
      <c r="X6024" s="23" t="str">
        <f aca="false">IF(T6024="","",IF(T6024=0,"No discount",IF(T6024&lt;=0.2,"Low (1-20%)",IF(T6024&lt;=0.4,"Medium (21-40%)","High (&gt;40%)"))))</f>
        <v/>
      </c>
      <c r="Y6024" s="23" t="str">
        <f aca="false">IF(AND(ISNUMBER(C6024),ISNUMBER(D6024)),D6024-C6024,"")</f>
        <v/>
      </c>
      <c r="Z6024" s="23" t="str">
        <f aca="false">IF(B6024="","",IF(MATCH(B6024,$B$2:$B$12000,0)=ROW()-1,1,0))</f>
        <v/>
      </c>
    </row>
    <row r="6025" customFormat="false" ht="15" hidden="false" customHeight="false" outlineLevel="0" collapsed="false">
      <c r="V6025" s="23" t="str">
        <f aca="false">IF(ISNUMBER(C6025),YEAR(C6025),"")</f>
        <v/>
      </c>
      <c r="W6025" s="23" t="str">
        <f aca="false">IF(ISNUMBER(C6025),MONTH(C6025),"")</f>
        <v/>
      </c>
      <c r="X6025" s="23" t="str">
        <f aca="false">IF(T6025="","",IF(T6025=0,"No discount",IF(T6025&lt;=0.2,"Low (1-20%)",IF(T6025&lt;=0.4,"Medium (21-40%)","High (&gt;40%)"))))</f>
        <v/>
      </c>
      <c r="Y6025" s="23" t="str">
        <f aca="false">IF(AND(ISNUMBER(C6025),ISNUMBER(D6025)),D6025-C6025,"")</f>
        <v/>
      </c>
      <c r="Z6025" s="23" t="str">
        <f aca="false">IF(B6025="","",IF(MATCH(B6025,$B$2:$B$12000,0)=ROW()-1,1,0))</f>
        <v/>
      </c>
    </row>
    <row r="6026" customFormat="false" ht="15" hidden="false" customHeight="false" outlineLevel="0" collapsed="false">
      <c r="V6026" s="23" t="str">
        <f aca="false">IF(ISNUMBER(C6026),YEAR(C6026),"")</f>
        <v/>
      </c>
      <c r="W6026" s="23" t="str">
        <f aca="false">IF(ISNUMBER(C6026),MONTH(C6026),"")</f>
        <v/>
      </c>
      <c r="X6026" s="23" t="str">
        <f aca="false">IF(T6026="","",IF(T6026=0,"No discount",IF(T6026&lt;=0.2,"Low (1-20%)",IF(T6026&lt;=0.4,"Medium (21-40%)","High (&gt;40%)"))))</f>
        <v/>
      </c>
      <c r="Y6026" s="23" t="str">
        <f aca="false">IF(AND(ISNUMBER(C6026),ISNUMBER(D6026)),D6026-C6026,"")</f>
        <v/>
      </c>
      <c r="Z6026" s="23" t="str">
        <f aca="false">IF(B6026="","",IF(MATCH(B6026,$B$2:$B$12000,0)=ROW()-1,1,0))</f>
        <v/>
      </c>
    </row>
    <row r="6027" customFormat="false" ht="15" hidden="false" customHeight="false" outlineLevel="0" collapsed="false">
      <c r="V6027" s="23" t="str">
        <f aca="false">IF(ISNUMBER(C6027),YEAR(C6027),"")</f>
        <v/>
      </c>
      <c r="W6027" s="23" t="str">
        <f aca="false">IF(ISNUMBER(C6027),MONTH(C6027),"")</f>
        <v/>
      </c>
      <c r="X6027" s="23" t="str">
        <f aca="false">IF(T6027="","",IF(T6027=0,"No discount",IF(T6027&lt;=0.2,"Low (1-20%)",IF(T6027&lt;=0.4,"Medium (21-40%)","High (&gt;40%)"))))</f>
        <v/>
      </c>
      <c r="Y6027" s="23" t="str">
        <f aca="false">IF(AND(ISNUMBER(C6027),ISNUMBER(D6027)),D6027-C6027,"")</f>
        <v/>
      </c>
      <c r="Z6027" s="23" t="str">
        <f aca="false">IF(B6027="","",IF(MATCH(B6027,$B$2:$B$12000,0)=ROW()-1,1,0))</f>
        <v/>
      </c>
    </row>
    <row r="6028" customFormat="false" ht="15" hidden="false" customHeight="false" outlineLevel="0" collapsed="false">
      <c r="V6028" s="23" t="str">
        <f aca="false">IF(ISNUMBER(C6028),YEAR(C6028),"")</f>
        <v/>
      </c>
      <c r="W6028" s="23" t="str">
        <f aca="false">IF(ISNUMBER(C6028),MONTH(C6028),"")</f>
        <v/>
      </c>
      <c r="X6028" s="23" t="str">
        <f aca="false">IF(T6028="","",IF(T6028=0,"No discount",IF(T6028&lt;=0.2,"Low (1-20%)",IF(T6028&lt;=0.4,"Medium (21-40%)","High (&gt;40%)"))))</f>
        <v/>
      </c>
      <c r="Y6028" s="23" t="str">
        <f aca="false">IF(AND(ISNUMBER(C6028),ISNUMBER(D6028)),D6028-C6028,"")</f>
        <v/>
      </c>
      <c r="Z6028" s="23" t="str">
        <f aca="false">IF(B6028="","",IF(MATCH(B6028,$B$2:$B$12000,0)=ROW()-1,1,0))</f>
        <v/>
      </c>
    </row>
    <row r="6029" customFormat="false" ht="15" hidden="false" customHeight="false" outlineLevel="0" collapsed="false">
      <c r="V6029" s="23" t="str">
        <f aca="false">IF(ISNUMBER(C6029),YEAR(C6029),"")</f>
        <v/>
      </c>
      <c r="W6029" s="23" t="str">
        <f aca="false">IF(ISNUMBER(C6029),MONTH(C6029),"")</f>
        <v/>
      </c>
      <c r="X6029" s="23" t="str">
        <f aca="false">IF(T6029="","",IF(T6029=0,"No discount",IF(T6029&lt;=0.2,"Low (1-20%)",IF(T6029&lt;=0.4,"Medium (21-40%)","High (&gt;40%)"))))</f>
        <v/>
      </c>
      <c r="Y6029" s="23" t="str">
        <f aca="false">IF(AND(ISNUMBER(C6029),ISNUMBER(D6029)),D6029-C6029,"")</f>
        <v/>
      </c>
      <c r="Z6029" s="23" t="str">
        <f aca="false">IF(B6029="","",IF(MATCH(B6029,$B$2:$B$12000,0)=ROW()-1,1,0))</f>
        <v/>
      </c>
    </row>
    <row r="6030" customFormat="false" ht="15" hidden="false" customHeight="false" outlineLevel="0" collapsed="false">
      <c r="V6030" s="23" t="str">
        <f aca="false">IF(ISNUMBER(C6030),YEAR(C6030),"")</f>
        <v/>
      </c>
      <c r="W6030" s="23" t="str">
        <f aca="false">IF(ISNUMBER(C6030),MONTH(C6030),"")</f>
        <v/>
      </c>
      <c r="X6030" s="23" t="str">
        <f aca="false">IF(T6030="","",IF(T6030=0,"No discount",IF(T6030&lt;=0.2,"Low (1-20%)",IF(T6030&lt;=0.4,"Medium (21-40%)","High (&gt;40%)"))))</f>
        <v/>
      </c>
      <c r="Y6030" s="23" t="str">
        <f aca="false">IF(AND(ISNUMBER(C6030),ISNUMBER(D6030)),D6030-C6030,"")</f>
        <v/>
      </c>
      <c r="Z6030" s="23" t="str">
        <f aca="false">IF(B6030="","",IF(MATCH(B6030,$B$2:$B$12000,0)=ROW()-1,1,0))</f>
        <v/>
      </c>
    </row>
    <row r="6031" customFormat="false" ht="15" hidden="false" customHeight="false" outlineLevel="0" collapsed="false">
      <c r="V6031" s="23" t="str">
        <f aca="false">IF(ISNUMBER(C6031),YEAR(C6031),"")</f>
        <v/>
      </c>
      <c r="W6031" s="23" t="str">
        <f aca="false">IF(ISNUMBER(C6031),MONTH(C6031),"")</f>
        <v/>
      </c>
      <c r="X6031" s="23" t="str">
        <f aca="false">IF(T6031="","",IF(T6031=0,"No discount",IF(T6031&lt;=0.2,"Low (1-20%)",IF(T6031&lt;=0.4,"Medium (21-40%)","High (&gt;40%)"))))</f>
        <v/>
      </c>
      <c r="Y6031" s="23" t="str">
        <f aca="false">IF(AND(ISNUMBER(C6031),ISNUMBER(D6031)),D6031-C6031,"")</f>
        <v/>
      </c>
      <c r="Z6031" s="23" t="str">
        <f aca="false">IF(B6031="","",IF(MATCH(B6031,$B$2:$B$12000,0)=ROW()-1,1,0))</f>
        <v/>
      </c>
    </row>
    <row r="6032" customFormat="false" ht="15" hidden="false" customHeight="false" outlineLevel="0" collapsed="false">
      <c r="V6032" s="23" t="str">
        <f aca="false">IF(ISNUMBER(C6032),YEAR(C6032),"")</f>
        <v/>
      </c>
      <c r="W6032" s="23" t="str">
        <f aca="false">IF(ISNUMBER(C6032),MONTH(C6032),"")</f>
        <v/>
      </c>
      <c r="X6032" s="23" t="str">
        <f aca="false">IF(T6032="","",IF(T6032=0,"No discount",IF(T6032&lt;=0.2,"Low (1-20%)",IF(T6032&lt;=0.4,"Medium (21-40%)","High (&gt;40%)"))))</f>
        <v/>
      </c>
      <c r="Y6032" s="23" t="str">
        <f aca="false">IF(AND(ISNUMBER(C6032),ISNUMBER(D6032)),D6032-C6032,"")</f>
        <v/>
      </c>
      <c r="Z6032" s="23" t="str">
        <f aca="false">IF(B6032="","",IF(MATCH(B6032,$B$2:$B$12000,0)=ROW()-1,1,0))</f>
        <v/>
      </c>
    </row>
    <row r="6033" customFormat="false" ht="15" hidden="false" customHeight="false" outlineLevel="0" collapsed="false">
      <c r="V6033" s="23" t="str">
        <f aca="false">IF(ISNUMBER(C6033),YEAR(C6033),"")</f>
        <v/>
      </c>
      <c r="W6033" s="23" t="str">
        <f aca="false">IF(ISNUMBER(C6033),MONTH(C6033),"")</f>
        <v/>
      </c>
      <c r="X6033" s="23" t="str">
        <f aca="false">IF(T6033="","",IF(T6033=0,"No discount",IF(T6033&lt;=0.2,"Low (1-20%)",IF(T6033&lt;=0.4,"Medium (21-40%)","High (&gt;40%)"))))</f>
        <v/>
      </c>
      <c r="Y6033" s="23" t="str">
        <f aca="false">IF(AND(ISNUMBER(C6033),ISNUMBER(D6033)),D6033-C6033,"")</f>
        <v/>
      </c>
      <c r="Z6033" s="23" t="str">
        <f aca="false">IF(B6033="","",IF(MATCH(B6033,$B$2:$B$12000,0)=ROW()-1,1,0))</f>
        <v/>
      </c>
    </row>
    <row r="6034" customFormat="false" ht="15" hidden="false" customHeight="false" outlineLevel="0" collapsed="false">
      <c r="V6034" s="23" t="str">
        <f aca="false">IF(ISNUMBER(C6034),YEAR(C6034),"")</f>
        <v/>
      </c>
      <c r="W6034" s="23" t="str">
        <f aca="false">IF(ISNUMBER(C6034),MONTH(C6034),"")</f>
        <v/>
      </c>
      <c r="X6034" s="23" t="str">
        <f aca="false">IF(T6034="","",IF(T6034=0,"No discount",IF(T6034&lt;=0.2,"Low (1-20%)",IF(T6034&lt;=0.4,"Medium (21-40%)","High (&gt;40%)"))))</f>
        <v/>
      </c>
      <c r="Y6034" s="23" t="str">
        <f aca="false">IF(AND(ISNUMBER(C6034),ISNUMBER(D6034)),D6034-C6034,"")</f>
        <v/>
      </c>
      <c r="Z6034" s="23" t="str">
        <f aca="false">IF(B6034="","",IF(MATCH(B6034,$B$2:$B$12000,0)=ROW()-1,1,0))</f>
        <v/>
      </c>
    </row>
    <row r="6035" customFormat="false" ht="15" hidden="false" customHeight="false" outlineLevel="0" collapsed="false">
      <c r="V6035" s="23" t="str">
        <f aca="false">IF(ISNUMBER(C6035),YEAR(C6035),"")</f>
        <v/>
      </c>
      <c r="W6035" s="23" t="str">
        <f aca="false">IF(ISNUMBER(C6035),MONTH(C6035),"")</f>
        <v/>
      </c>
      <c r="X6035" s="23" t="str">
        <f aca="false">IF(T6035="","",IF(T6035=0,"No discount",IF(T6035&lt;=0.2,"Low (1-20%)",IF(T6035&lt;=0.4,"Medium (21-40%)","High (&gt;40%)"))))</f>
        <v/>
      </c>
      <c r="Y6035" s="23" t="str">
        <f aca="false">IF(AND(ISNUMBER(C6035),ISNUMBER(D6035)),D6035-C6035,"")</f>
        <v/>
      </c>
      <c r="Z6035" s="23" t="str">
        <f aca="false">IF(B6035="","",IF(MATCH(B6035,$B$2:$B$12000,0)=ROW()-1,1,0))</f>
        <v/>
      </c>
    </row>
    <row r="6036" customFormat="false" ht="15" hidden="false" customHeight="false" outlineLevel="0" collapsed="false">
      <c r="V6036" s="23" t="str">
        <f aca="false">IF(ISNUMBER(C6036),YEAR(C6036),"")</f>
        <v/>
      </c>
      <c r="W6036" s="23" t="str">
        <f aca="false">IF(ISNUMBER(C6036),MONTH(C6036),"")</f>
        <v/>
      </c>
      <c r="X6036" s="23" t="str">
        <f aca="false">IF(T6036="","",IF(T6036=0,"No discount",IF(T6036&lt;=0.2,"Low (1-20%)",IF(T6036&lt;=0.4,"Medium (21-40%)","High (&gt;40%)"))))</f>
        <v/>
      </c>
      <c r="Y6036" s="23" t="str">
        <f aca="false">IF(AND(ISNUMBER(C6036),ISNUMBER(D6036)),D6036-C6036,"")</f>
        <v/>
      </c>
      <c r="Z6036" s="23" t="str">
        <f aca="false">IF(B6036="","",IF(MATCH(B6036,$B$2:$B$12000,0)=ROW()-1,1,0))</f>
        <v/>
      </c>
    </row>
    <row r="6037" customFormat="false" ht="15" hidden="false" customHeight="false" outlineLevel="0" collapsed="false">
      <c r="V6037" s="23" t="str">
        <f aca="false">IF(ISNUMBER(C6037),YEAR(C6037),"")</f>
        <v/>
      </c>
      <c r="W6037" s="23" t="str">
        <f aca="false">IF(ISNUMBER(C6037),MONTH(C6037),"")</f>
        <v/>
      </c>
      <c r="X6037" s="23" t="str">
        <f aca="false">IF(T6037="","",IF(T6037=0,"No discount",IF(T6037&lt;=0.2,"Low (1-20%)",IF(T6037&lt;=0.4,"Medium (21-40%)","High (&gt;40%)"))))</f>
        <v/>
      </c>
      <c r="Y6037" s="23" t="str">
        <f aca="false">IF(AND(ISNUMBER(C6037),ISNUMBER(D6037)),D6037-C6037,"")</f>
        <v/>
      </c>
      <c r="Z6037" s="23" t="str">
        <f aca="false">IF(B6037="","",IF(MATCH(B6037,$B$2:$B$12000,0)=ROW()-1,1,0))</f>
        <v/>
      </c>
    </row>
    <row r="6038" customFormat="false" ht="15" hidden="false" customHeight="false" outlineLevel="0" collapsed="false">
      <c r="V6038" s="23" t="str">
        <f aca="false">IF(ISNUMBER(C6038),YEAR(C6038),"")</f>
        <v/>
      </c>
      <c r="W6038" s="23" t="str">
        <f aca="false">IF(ISNUMBER(C6038),MONTH(C6038),"")</f>
        <v/>
      </c>
      <c r="X6038" s="23" t="str">
        <f aca="false">IF(T6038="","",IF(T6038=0,"No discount",IF(T6038&lt;=0.2,"Low (1-20%)",IF(T6038&lt;=0.4,"Medium (21-40%)","High (&gt;40%)"))))</f>
        <v/>
      </c>
      <c r="Y6038" s="23" t="str">
        <f aca="false">IF(AND(ISNUMBER(C6038),ISNUMBER(D6038)),D6038-C6038,"")</f>
        <v/>
      </c>
      <c r="Z6038" s="23" t="str">
        <f aca="false">IF(B6038="","",IF(MATCH(B6038,$B$2:$B$12000,0)=ROW()-1,1,0))</f>
        <v/>
      </c>
    </row>
    <row r="6039" customFormat="false" ht="15" hidden="false" customHeight="false" outlineLevel="0" collapsed="false">
      <c r="V6039" s="23" t="str">
        <f aca="false">IF(ISNUMBER(C6039),YEAR(C6039),"")</f>
        <v/>
      </c>
      <c r="W6039" s="23" t="str">
        <f aca="false">IF(ISNUMBER(C6039),MONTH(C6039),"")</f>
        <v/>
      </c>
      <c r="X6039" s="23" t="str">
        <f aca="false">IF(T6039="","",IF(T6039=0,"No discount",IF(T6039&lt;=0.2,"Low (1-20%)",IF(T6039&lt;=0.4,"Medium (21-40%)","High (&gt;40%)"))))</f>
        <v/>
      </c>
      <c r="Y6039" s="23" t="str">
        <f aca="false">IF(AND(ISNUMBER(C6039),ISNUMBER(D6039)),D6039-C6039,"")</f>
        <v/>
      </c>
      <c r="Z6039" s="23" t="str">
        <f aca="false">IF(B6039="","",IF(MATCH(B6039,$B$2:$B$12000,0)=ROW()-1,1,0))</f>
        <v/>
      </c>
    </row>
    <row r="6040" customFormat="false" ht="15" hidden="false" customHeight="false" outlineLevel="0" collapsed="false">
      <c r="V6040" s="23" t="str">
        <f aca="false">IF(ISNUMBER(C6040),YEAR(C6040),"")</f>
        <v/>
      </c>
      <c r="W6040" s="23" t="str">
        <f aca="false">IF(ISNUMBER(C6040),MONTH(C6040),"")</f>
        <v/>
      </c>
      <c r="X6040" s="23" t="str">
        <f aca="false">IF(T6040="","",IF(T6040=0,"No discount",IF(T6040&lt;=0.2,"Low (1-20%)",IF(T6040&lt;=0.4,"Medium (21-40%)","High (&gt;40%)"))))</f>
        <v/>
      </c>
      <c r="Y6040" s="23" t="str">
        <f aca="false">IF(AND(ISNUMBER(C6040),ISNUMBER(D6040)),D6040-C6040,"")</f>
        <v/>
      </c>
      <c r="Z6040" s="23" t="str">
        <f aca="false">IF(B6040="","",IF(MATCH(B6040,$B$2:$B$12000,0)=ROW()-1,1,0))</f>
        <v/>
      </c>
    </row>
    <row r="6041" customFormat="false" ht="15" hidden="false" customHeight="false" outlineLevel="0" collapsed="false">
      <c r="V6041" s="23" t="str">
        <f aca="false">IF(ISNUMBER(C6041),YEAR(C6041),"")</f>
        <v/>
      </c>
      <c r="W6041" s="23" t="str">
        <f aca="false">IF(ISNUMBER(C6041),MONTH(C6041),"")</f>
        <v/>
      </c>
      <c r="X6041" s="23" t="str">
        <f aca="false">IF(T6041="","",IF(T6041=0,"No discount",IF(T6041&lt;=0.2,"Low (1-20%)",IF(T6041&lt;=0.4,"Medium (21-40%)","High (&gt;40%)"))))</f>
        <v/>
      </c>
      <c r="Y6041" s="23" t="str">
        <f aca="false">IF(AND(ISNUMBER(C6041),ISNUMBER(D6041)),D6041-C6041,"")</f>
        <v/>
      </c>
      <c r="Z6041" s="23" t="str">
        <f aca="false">IF(B6041="","",IF(MATCH(B6041,$B$2:$B$12000,0)=ROW()-1,1,0))</f>
        <v/>
      </c>
    </row>
    <row r="6042" customFormat="false" ht="15" hidden="false" customHeight="false" outlineLevel="0" collapsed="false">
      <c r="V6042" s="23" t="str">
        <f aca="false">IF(ISNUMBER(C6042),YEAR(C6042),"")</f>
        <v/>
      </c>
      <c r="W6042" s="23" t="str">
        <f aca="false">IF(ISNUMBER(C6042),MONTH(C6042),"")</f>
        <v/>
      </c>
      <c r="X6042" s="23" t="str">
        <f aca="false">IF(T6042="","",IF(T6042=0,"No discount",IF(T6042&lt;=0.2,"Low (1-20%)",IF(T6042&lt;=0.4,"Medium (21-40%)","High (&gt;40%)"))))</f>
        <v/>
      </c>
      <c r="Y6042" s="23" t="str">
        <f aca="false">IF(AND(ISNUMBER(C6042),ISNUMBER(D6042)),D6042-C6042,"")</f>
        <v/>
      </c>
      <c r="Z6042" s="23" t="str">
        <f aca="false">IF(B6042="","",IF(MATCH(B6042,$B$2:$B$12000,0)=ROW()-1,1,0))</f>
        <v/>
      </c>
    </row>
    <row r="6043" customFormat="false" ht="15" hidden="false" customHeight="false" outlineLevel="0" collapsed="false">
      <c r="V6043" s="23" t="str">
        <f aca="false">IF(ISNUMBER(C6043),YEAR(C6043),"")</f>
        <v/>
      </c>
      <c r="W6043" s="23" t="str">
        <f aca="false">IF(ISNUMBER(C6043),MONTH(C6043),"")</f>
        <v/>
      </c>
      <c r="X6043" s="23" t="str">
        <f aca="false">IF(T6043="","",IF(T6043=0,"No discount",IF(T6043&lt;=0.2,"Low (1-20%)",IF(T6043&lt;=0.4,"Medium (21-40%)","High (&gt;40%)"))))</f>
        <v/>
      </c>
      <c r="Y6043" s="23" t="str">
        <f aca="false">IF(AND(ISNUMBER(C6043),ISNUMBER(D6043)),D6043-C6043,"")</f>
        <v/>
      </c>
      <c r="Z6043" s="23" t="str">
        <f aca="false">IF(B6043="","",IF(MATCH(B6043,$B$2:$B$12000,0)=ROW()-1,1,0))</f>
        <v/>
      </c>
    </row>
    <row r="6044" customFormat="false" ht="15" hidden="false" customHeight="false" outlineLevel="0" collapsed="false">
      <c r="V6044" s="23" t="str">
        <f aca="false">IF(ISNUMBER(C6044),YEAR(C6044),"")</f>
        <v/>
      </c>
      <c r="W6044" s="23" t="str">
        <f aca="false">IF(ISNUMBER(C6044),MONTH(C6044),"")</f>
        <v/>
      </c>
      <c r="X6044" s="23" t="str">
        <f aca="false">IF(T6044="","",IF(T6044=0,"No discount",IF(T6044&lt;=0.2,"Low (1-20%)",IF(T6044&lt;=0.4,"Medium (21-40%)","High (&gt;40%)"))))</f>
        <v/>
      </c>
      <c r="Y6044" s="23" t="str">
        <f aca="false">IF(AND(ISNUMBER(C6044),ISNUMBER(D6044)),D6044-C6044,"")</f>
        <v/>
      </c>
      <c r="Z6044" s="23" t="str">
        <f aca="false">IF(B6044="","",IF(MATCH(B6044,$B$2:$B$12000,0)=ROW()-1,1,0))</f>
        <v/>
      </c>
    </row>
    <row r="6045" customFormat="false" ht="15" hidden="false" customHeight="false" outlineLevel="0" collapsed="false">
      <c r="V6045" s="23" t="str">
        <f aca="false">IF(ISNUMBER(C6045),YEAR(C6045),"")</f>
        <v/>
      </c>
      <c r="W6045" s="23" t="str">
        <f aca="false">IF(ISNUMBER(C6045),MONTH(C6045),"")</f>
        <v/>
      </c>
      <c r="X6045" s="23" t="str">
        <f aca="false">IF(T6045="","",IF(T6045=0,"No discount",IF(T6045&lt;=0.2,"Low (1-20%)",IF(T6045&lt;=0.4,"Medium (21-40%)","High (&gt;40%)"))))</f>
        <v/>
      </c>
      <c r="Y6045" s="23" t="str">
        <f aca="false">IF(AND(ISNUMBER(C6045),ISNUMBER(D6045)),D6045-C6045,"")</f>
        <v/>
      </c>
      <c r="Z6045" s="23" t="str">
        <f aca="false">IF(B6045="","",IF(MATCH(B6045,$B$2:$B$12000,0)=ROW()-1,1,0))</f>
        <v/>
      </c>
    </row>
    <row r="6046" customFormat="false" ht="15" hidden="false" customHeight="false" outlineLevel="0" collapsed="false">
      <c r="V6046" s="23" t="str">
        <f aca="false">IF(ISNUMBER(C6046),YEAR(C6046),"")</f>
        <v/>
      </c>
      <c r="W6046" s="23" t="str">
        <f aca="false">IF(ISNUMBER(C6046),MONTH(C6046),"")</f>
        <v/>
      </c>
      <c r="X6046" s="23" t="str">
        <f aca="false">IF(T6046="","",IF(T6046=0,"No discount",IF(T6046&lt;=0.2,"Low (1-20%)",IF(T6046&lt;=0.4,"Medium (21-40%)","High (&gt;40%)"))))</f>
        <v/>
      </c>
      <c r="Y6046" s="23" t="str">
        <f aca="false">IF(AND(ISNUMBER(C6046),ISNUMBER(D6046)),D6046-C6046,"")</f>
        <v/>
      </c>
      <c r="Z6046" s="23" t="str">
        <f aca="false">IF(B6046="","",IF(MATCH(B6046,$B$2:$B$12000,0)=ROW()-1,1,0))</f>
        <v/>
      </c>
    </row>
    <row r="6047" customFormat="false" ht="15" hidden="false" customHeight="false" outlineLevel="0" collapsed="false">
      <c r="V6047" s="23" t="str">
        <f aca="false">IF(ISNUMBER(C6047),YEAR(C6047),"")</f>
        <v/>
      </c>
      <c r="W6047" s="23" t="str">
        <f aca="false">IF(ISNUMBER(C6047),MONTH(C6047),"")</f>
        <v/>
      </c>
      <c r="X6047" s="23" t="str">
        <f aca="false">IF(T6047="","",IF(T6047=0,"No discount",IF(T6047&lt;=0.2,"Low (1-20%)",IF(T6047&lt;=0.4,"Medium (21-40%)","High (&gt;40%)"))))</f>
        <v/>
      </c>
      <c r="Y6047" s="23" t="str">
        <f aca="false">IF(AND(ISNUMBER(C6047),ISNUMBER(D6047)),D6047-C6047,"")</f>
        <v/>
      </c>
      <c r="Z6047" s="23" t="str">
        <f aca="false">IF(B6047="","",IF(MATCH(B6047,$B$2:$B$12000,0)=ROW()-1,1,0))</f>
        <v/>
      </c>
    </row>
    <row r="6048" customFormat="false" ht="15" hidden="false" customHeight="false" outlineLevel="0" collapsed="false">
      <c r="V6048" s="23" t="str">
        <f aca="false">IF(ISNUMBER(C6048),YEAR(C6048),"")</f>
        <v/>
      </c>
      <c r="W6048" s="23" t="str">
        <f aca="false">IF(ISNUMBER(C6048),MONTH(C6048),"")</f>
        <v/>
      </c>
      <c r="X6048" s="23" t="str">
        <f aca="false">IF(T6048="","",IF(T6048=0,"No discount",IF(T6048&lt;=0.2,"Low (1-20%)",IF(T6048&lt;=0.4,"Medium (21-40%)","High (&gt;40%)"))))</f>
        <v/>
      </c>
      <c r="Y6048" s="23" t="str">
        <f aca="false">IF(AND(ISNUMBER(C6048),ISNUMBER(D6048)),D6048-C6048,"")</f>
        <v/>
      </c>
      <c r="Z6048" s="23" t="str">
        <f aca="false">IF(B6048="","",IF(MATCH(B6048,$B$2:$B$12000,0)=ROW()-1,1,0))</f>
        <v/>
      </c>
    </row>
    <row r="6049" customFormat="false" ht="15" hidden="false" customHeight="false" outlineLevel="0" collapsed="false">
      <c r="V6049" s="23" t="str">
        <f aca="false">IF(ISNUMBER(C6049),YEAR(C6049),"")</f>
        <v/>
      </c>
      <c r="W6049" s="23" t="str">
        <f aca="false">IF(ISNUMBER(C6049),MONTH(C6049),"")</f>
        <v/>
      </c>
      <c r="X6049" s="23" t="str">
        <f aca="false">IF(T6049="","",IF(T6049=0,"No discount",IF(T6049&lt;=0.2,"Low (1-20%)",IF(T6049&lt;=0.4,"Medium (21-40%)","High (&gt;40%)"))))</f>
        <v/>
      </c>
      <c r="Y6049" s="23" t="str">
        <f aca="false">IF(AND(ISNUMBER(C6049),ISNUMBER(D6049)),D6049-C6049,"")</f>
        <v/>
      </c>
      <c r="Z6049" s="23" t="str">
        <f aca="false">IF(B6049="","",IF(MATCH(B6049,$B$2:$B$12000,0)=ROW()-1,1,0))</f>
        <v/>
      </c>
    </row>
    <row r="6050" customFormat="false" ht="15" hidden="false" customHeight="false" outlineLevel="0" collapsed="false">
      <c r="V6050" s="23" t="str">
        <f aca="false">IF(ISNUMBER(C6050),YEAR(C6050),"")</f>
        <v/>
      </c>
      <c r="W6050" s="23" t="str">
        <f aca="false">IF(ISNUMBER(C6050),MONTH(C6050),"")</f>
        <v/>
      </c>
      <c r="X6050" s="23" t="str">
        <f aca="false">IF(T6050="","",IF(T6050=0,"No discount",IF(T6050&lt;=0.2,"Low (1-20%)",IF(T6050&lt;=0.4,"Medium (21-40%)","High (&gt;40%)"))))</f>
        <v/>
      </c>
      <c r="Y6050" s="23" t="str">
        <f aca="false">IF(AND(ISNUMBER(C6050),ISNUMBER(D6050)),D6050-C6050,"")</f>
        <v/>
      </c>
      <c r="Z6050" s="23" t="str">
        <f aca="false">IF(B6050="","",IF(MATCH(B6050,$B$2:$B$12000,0)=ROW()-1,1,0))</f>
        <v/>
      </c>
    </row>
    <row r="6051" customFormat="false" ht="15" hidden="false" customHeight="false" outlineLevel="0" collapsed="false">
      <c r="V6051" s="23" t="str">
        <f aca="false">IF(ISNUMBER(C6051),YEAR(C6051),"")</f>
        <v/>
      </c>
      <c r="W6051" s="23" t="str">
        <f aca="false">IF(ISNUMBER(C6051),MONTH(C6051),"")</f>
        <v/>
      </c>
      <c r="X6051" s="23" t="str">
        <f aca="false">IF(T6051="","",IF(T6051=0,"No discount",IF(T6051&lt;=0.2,"Low (1-20%)",IF(T6051&lt;=0.4,"Medium (21-40%)","High (&gt;40%)"))))</f>
        <v/>
      </c>
      <c r="Y6051" s="23" t="str">
        <f aca="false">IF(AND(ISNUMBER(C6051),ISNUMBER(D6051)),D6051-C6051,"")</f>
        <v/>
      </c>
      <c r="Z6051" s="23" t="str">
        <f aca="false">IF(B6051="","",IF(MATCH(B6051,$B$2:$B$12000,0)=ROW()-1,1,0))</f>
        <v/>
      </c>
    </row>
    <row r="6052" customFormat="false" ht="15" hidden="false" customHeight="false" outlineLevel="0" collapsed="false">
      <c r="V6052" s="23" t="str">
        <f aca="false">IF(ISNUMBER(C6052),YEAR(C6052),"")</f>
        <v/>
      </c>
      <c r="W6052" s="23" t="str">
        <f aca="false">IF(ISNUMBER(C6052),MONTH(C6052),"")</f>
        <v/>
      </c>
      <c r="X6052" s="23" t="str">
        <f aca="false">IF(T6052="","",IF(T6052=0,"No discount",IF(T6052&lt;=0.2,"Low (1-20%)",IF(T6052&lt;=0.4,"Medium (21-40%)","High (&gt;40%)"))))</f>
        <v/>
      </c>
      <c r="Y6052" s="23" t="str">
        <f aca="false">IF(AND(ISNUMBER(C6052),ISNUMBER(D6052)),D6052-C6052,"")</f>
        <v/>
      </c>
      <c r="Z6052" s="23" t="str">
        <f aca="false">IF(B6052="","",IF(MATCH(B6052,$B$2:$B$12000,0)=ROW()-1,1,0))</f>
        <v/>
      </c>
    </row>
    <row r="6053" customFormat="false" ht="15" hidden="false" customHeight="false" outlineLevel="0" collapsed="false">
      <c r="V6053" s="23" t="str">
        <f aca="false">IF(ISNUMBER(C6053),YEAR(C6053),"")</f>
        <v/>
      </c>
      <c r="W6053" s="23" t="str">
        <f aca="false">IF(ISNUMBER(C6053),MONTH(C6053),"")</f>
        <v/>
      </c>
      <c r="X6053" s="23" t="str">
        <f aca="false">IF(T6053="","",IF(T6053=0,"No discount",IF(T6053&lt;=0.2,"Low (1-20%)",IF(T6053&lt;=0.4,"Medium (21-40%)","High (&gt;40%)"))))</f>
        <v/>
      </c>
      <c r="Y6053" s="23" t="str">
        <f aca="false">IF(AND(ISNUMBER(C6053),ISNUMBER(D6053)),D6053-C6053,"")</f>
        <v/>
      </c>
      <c r="Z6053" s="23" t="str">
        <f aca="false">IF(B6053="","",IF(MATCH(B6053,$B$2:$B$12000,0)=ROW()-1,1,0))</f>
        <v/>
      </c>
    </row>
    <row r="6054" customFormat="false" ht="15" hidden="false" customHeight="false" outlineLevel="0" collapsed="false">
      <c r="V6054" s="23" t="str">
        <f aca="false">IF(ISNUMBER(C6054),YEAR(C6054),"")</f>
        <v/>
      </c>
      <c r="W6054" s="23" t="str">
        <f aca="false">IF(ISNUMBER(C6054),MONTH(C6054),"")</f>
        <v/>
      </c>
      <c r="X6054" s="23" t="str">
        <f aca="false">IF(T6054="","",IF(T6054=0,"No discount",IF(T6054&lt;=0.2,"Low (1-20%)",IF(T6054&lt;=0.4,"Medium (21-40%)","High (&gt;40%)"))))</f>
        <v/>
      </c>
      <c r="Y6054" s="23" t="str">
        <f aca="false">IF(AND(ISNUMBER(C6054),ISNUMBER(D6054)),D6054-C6054,"")</f>
        <v/>
      </c>
      <c r="Z6054" s="23" t="str">
        <f aca="false">IF(B6054="","",IF(MATCH(B6054,$B$2:$B$12000,0)=ROW()-1,1,0))</f>
        <v/>
      </c>
    </row>
    <row r="6055" customFormat="false" ht="15" hidden="false" customHeight="false" outlineLevel="0" collapsed="false">
      <c r="V6055" s="23" t="str">
        <f aca="false">IF(ISNUMBER(C6055),YEAR(C6055),"")</f>
        <v/>
      </c>
      <c r="W6055" s="23" t="str">
        <f aca="false">IF(ISNUMBER(C6055),MONTH(C6055),"")</f>
        <v/>
      </c>
      <c r="X6055" s="23" t="str">
        <f aca="false">IF(T6055="","",IF(T6055=0,"No discount",IF(T6055&lt;=0.2,"Low (1-20%)",IF(T6055&lt;=0.4,"Medium (21-40%)","High (&gt;40%)"))))</f>
        <v/>
      </c>
      <c r="Y6055" s="23" t="str">
        <f aca="false">IF(AND(ISNUMBER(C6055),ISNUMBER(D6055)),D6055-C6055,"")</f>
        <v/>
      </c>
      <c r="Z6055" s="23" t="str">
        <f aca="false">IF(B6055="","",IF(MATCH(B6055,$B$2:$B$12000,0)=ROW()-1,1,0))</f>
        <v/>
      </c>
    </row>
    <row r="6056" customFormat="false" ht="15" hidden="false" customHeight="false" outlineLevel="0" collapsed="false">
      <c r="V6056" s="23" t="str">
        <f aca="false">IF(ISNUMBER(C6056),YEAR(C6056),"")</f>
        <v/>
      </c>
      <c r="W6056" s="23" t="str">
        <f aca="false">IF(ISNUMBER(C6056),MONTH(C6056),"")</f>
        <v/>
      </c>
      <c r="X6056" s="23" t="str">
        <f aca="false">IF(T6056="","",IF(T6056=0,"No discount",IF(T6056&lt;=0.2,"Low (1-20%)",IF(T6056&lt;=0.4,"Medium (21-40%)","High (&gt;40%)"))))</f>
        <v/>
      </c>
      <c r="Y6056" s="23" t="str">
        <f aca="false">IF(AND(ISNUMBER(C6056),ISNUMBER(D6056)),D6056-C6056,"")</f>
        <v/>
      </c>
      <c r="Z6056" s="23" t="str">
        <f aca="false">IF(B6056="","",IF(MATCH(B6056,$B$2:$B$12000,0)=ROW()-1,1,0))</f>
        <v/>
      </c>
    </row>
    <row r="6057" customFormat="false" ht="15" hidden="false" customHeight="false" outlineLevel="0" collapsed="false">
      <c r="V6057" s="23" t="str">
        <f aca="false">IF(ISNUMBER(C6057),YEAR(C6057),"")</f>
        <v/>
      </c>
      <c r="W6057" s="23" t="str">
        <f aca="false">IF(ISNUMBER(C6057),MONTH(C6057),"")</f>
        <v/>
      </c>
      <c r="X6057" s="23" t="str">
        <f aca="false">IF(T6057="","",IF(T6057=0,"No discount",IF(T6057&lt;=0.2,"Low (1-20%)",IF(T6057&lt;=0.4,"Medium (21-40%)","High (&gt;40%)"))))</f>
        <v/>
      </c>
      <c r="Y6057" s="23" t="str">
        <f aca="false">IF(AND(ISNUMBER(C6057),ISNUMBER(D6057)),D6057-C6057,"")</f>
        <v/>
      </c>
      <c r="Z6057" s="23" t="str">
        <f aca="false">IF(B6057="","",IF(MATCH(B6057,$B$2:$B$12000,0)=ROW()-1,1,0))</f>
        <v/>
      </c>
    </row>
    <row r="6058" customFormat="false" ht="15" hidden="false" customHeight="false" outlineLevel="0" collapsed="false">
      <c r="V6058" s="23" t="str">
        <f aca="false">IF(ISNUMBER(C6058),YEAR(C6058),"")</f>
        <v/>
      </c>
      <c r="W6058" s="23" t="str">
        <f aca="false">IF(ISNUMBER(C6058),MONTH(C6058),"")</f>
        <v/>
      </c>
      <c r="X6058" s="23" t="str">
        <f aca="false">IF(T6058="","",IF(T6058=0,"No discount",IF(T6058&lt;=0.2,"Low (1-20%)",IF(T6058&lt;=0.4,"Medium (21-40%)","High (&gt;40%)"))))</f>
        <v/>
      </c>
      <c r="Y6058" s="23" t="str">
        <f aca="false">IF(AND(ISNUMBER(C6058),ISNUMBER(D6058)),D6058-C6058,"")</f>
        <v/>
      </c>
      <c r="Z6058" s="23" t="str">
        <f aca="false">IF(B6058="","",IF(MATCH(B6058,$B$2:$B$12000,0)=ROW()-1,1,0))</f>
        <v/>
      </c>
    </row>
    <row r="6059" customFormat="false" ht="15" hidden="false" customHeight="false" outlineLevel="0" collapsed="false">
      <c r="V6059" s="23" t="str">
        <f aca="false">IF(ISNUMBER(C6059),YEAR(C6059),"")</f>
        <v/>
      </c>
      <c r="W6059" s="23" t="str">
        <f aca="false">IF(ISNUMBER(C6059),MONTH(C6059),"")</f>
        <v/>
      </c>
      <c r="X6059" s="23" t="str">
        <f aca="false">IF(T6059="","",IF(T6059=0,"No discount",IF(T6059&lt;=0.2,"Low (1-20%)",IF(T6059&lt;=0.4,"Medium (21-40%)","High (&gt;40%)"))))</f>
        <v/>
      </c>
      <c r="Y6059" s="23" t="str">
        <f aca="false">IF(AND(ISNUMBER(C6059),ISNUMBER(D6059)),D6059-C6059,"")</f>
        <v/>
      </c>
      <c r="Z6059" s="23" t="str">
        <f aca="false">IF(B6059="","",IF(MATCH(B6059,$B$2:$B$12000,0)=ROW()-1,1,0))</f>
        <v/>
      </c>
    </row>
    <row r="6060" customFormat="false" ht="15" hidden="false" customHeight="false" outlineLevel="0" collapsed="false">
      <c r="V6060" s="23" t="str">
        <f aca="false">IF(ISNUMBER(C6060),YEAR(C6060),"")</f>
        <v/>
      </c>
      <c r="W6060" s="23" t="str">
        <f aca="false">IF(ISNUMBER(C6060),MONTH(C6060),"")</f>
        <v/>
      </c>
      <c r="X6060" s="23" t="str">
        <f aca="false">IF(T6060="","",IF(T6060=0,"No discount",IF(T6060&lt;=0.2,"Low (1-20%)",IF(T6060&lt;=0.4,"Medium (21-40%)","High (&gt;40%)"))))</f>
        <v/>
      </c>
      <c r="Y6060" s="23" t="str">
        <f aca="false">IF(AND(ISNUMBER(C6060),ISNUMBER(D6060)),D6060-C6060,"")</f>
        <v/>
      </c>
      <c r="Z6060" s="23" t="str">
        <f aca="false">IF(B6060="","",IF(MATCH(B6060,$B$2:$B$12000,0)=ROW()-1,1,0))</f>
        <v/>
      </c>
    </row>
    <row r="6061" customFormat="false" ht="15" hidden="false" customHeight="false" outlineLevel="0" collapsed="false">
      <c r="V6061" s="23" t="str">
        <f aca="false">IF(ISNUMBER(C6061),YEAR(C6061),"")</f>
        <v/>
      </c>
      <c r="W6061" s="23" t="str">
        <f aca="false">IF(ISNUMBER(C6061),MONTH(C6061),"")</f>
        <v/>
      </c>
      <c r="X6061" s="23" t="str">
        <f aca="false">IF(T6061="","",IF(T6061=0,"No discount",IF(T6061&lt;=0.2,"Low (1-20%)",IF(T6061&lt;=0.4,"Medium (21-40%)","High (&gt;40%)"))))</f>
        <v/>
      </c>
      <c r="Y6061" s="23" t="str">
        <f aca="false">IF(AND(ISNUMBER(C6061),ISNUMBER(D6061)),D6061-C6061,"")</f>
        <v/>
      </c>
      <c r="Z6061" s="23" t="str">
        <f aca="false">IF(B6061="","",IF(MATCH(B6061,$B$2:$B$12000,0)=ROW()-1,1,0))</f>
        <v/>
      </c>
    </row>
    <row r="6062" customFormat="false" ht="15" hidden="false" customHeight="false" outlineLevel="0" collapsed="false">
      <c r="V6062" s="23" t="str">
        <f aca="false">IF(ISNUMBER(C6062),YEAR(C6062),"")</f>
        <v/>
      </c>
      <c r="W6062" s="23" t="str">
        <f aca="false">IF(ISNUMBER(C6062),MONTH(C6062),"")</f>
        <v/>
      </c>
      <c r="X6062" s="23" t="str">
        <f aca="false">IF(T6062="","",IF(T6062=0,"No discount",IF(T6062&lt;=0.2,"Low (1-20%)",IF(T6062&lt;=0.4,"Medium (21-40%)","High (&gt;40%)"))))</f>
        <v/>
      </c>
      <c r="Y6062" s="23" t="str">
        <f aca="false">IF(AND(ISNUMBER(C6062),ISNUMBER(D6062)),D6062-C6062,"")</f>
        <v/>
      </c>
      <c r="Z6062" s="23" t="str">
        <f aca="false">IF(B6062="","",IF(MATCH(B6062,$B$2:$B$12000,0)=ROW()-1,1,0))</f>
        <v/>
      </c>
    </row>
    <row r="6063" customFormat="false" ht="15" hidden="false" customHeight="false" outlineLevel="0" collapsed="false">
      <c r="V6063" s="23" t="str">
        <f aca="false">IF(ISNUMBER(C6063),YEAR(C6063),"")</f>
        <v/>
      </c>
      <c r="W6063" s="23" t="str">
        <f aca="false">IF(ISNUMBER(C6063),MONTH(C6063),"")</f>
        <v/>
      </c>
      <c r="X6063" s="23" t="str">
        <f aca="false">IF(T6063="","",IF(T6063=0,"No discount",IF(T6063&lt;=0.2,"Low (1-20%)",IF(T6063&lt;=0.4,"Medium (21-40%)","High (&gt;40%)"))))</f>
        <v/>
      </c>
      <c r="Y6063" s="23" t="str">
        <f aca="false">IF(AND(ISNUMBER(C6063),ISNUMBER(D6063)),D6063-C6063,"")</f>
        <v/>
      </c>
      <c r="Z6063" s="23" t="str">
        <f aca="false">IF(B6063="","",IF(MATCH(B6063,$B$2:$B$12000,0)=ROW()-1,1,0))</f>
        <v/>
      </c>
    </row>
    <row r="6064" customFormat="false" ht="15" hidden="false" customHeight="false" outlineLevel="0" collapsed="false">
      <c r="V6064" s="23" t="str">
        <f aca="false">IF(ISNUMBER(C6064),YEAR(C6064),"")</f>
        <v/>
      </c>
      <c r="W6064" s="23" t="str">
        <f aca="false">IF(ISNUMBER(C6064),MONTH(C6064),"")</f>
        <v/>
      </c>
      <c r="X6064" s="23" t="str">
        <f aca="false">IF(T6064="","",IF(T6064=0,"No discount",IF(T6064&lt;=0.2,"Low (1-20%)",IF(T6064&lt;=0.4,"Medium (21-40%)","High (&gt;40%)"))))</f>
        <v/>
      </c>
      <c r="Y6064" s="23" t="str">
        <f aca="false">IF(AND(ISNUMBER(C6064),ISNUMBER(D6064)),D6064-C6064,"")</f>
        <v/>
      </c>
      <c r="Z6064" s="23" t="str">
        <f aca="false">IF(B6064="","",IF(MATCH(B6064,$B$2:$B$12000,0)=ROW()-1,1,0))</f>
        <v/>
      </c>
    </row>
    <row r="6065" customFormat="false" ht="15" hidden="false" customHeight="false" outlineLevel="0" collapsed="false">
      <c r="V6065" s="23" t="str">
        <f aca="false">IF(ISNUMBER(C6065),YEAR(C6065),"")</f>
        <v/>
      </c>
      <c r="W6065" s="23" t="str">
        <f aca="false">IF(ISNUMBER(C6065),MONTH(C6065),"")</f>
        <v/>
      </c>
      <c r="X6065" s="23" t="str">
        <f aca="false">IF(T6065="","",IF(T6065=0,"No discount",IF(T6065&lt;=0.2,"Low (1-20%)",IF(T6065&lt;=0.4,"Medium (21-40%)","High (&gt;40%)"))))</f>
        <v/>
      </c>
      <c r="Y6065" s="23" t="str">
        <f aca="false">IF(AND(ISNUMBER(C6065),ISNUMBER(D6065)),D6065-C6065,"")</f>
        <v/>
      </c>
      <c r="Z6065" s="23" t="str">
        <f aca="false">IF(B6065="","",IF(MATCH(B6065,$B$2:$B$12000,0)=ROW()-1,1,0))</f>
        <v/>
      </c>
    </row>
    <row r="6066" customFormat="false" ht="15" hidden="false" customHeight="false" outlineLevel="0" collapsed="false">
      <c r="V6066" s="23" t="str">
        <f aca="false">IF(ISNUMBER(C6066),YEAR(C6066),"")</f>
        <v/>
      </c>
      <c r="W6066" s="23" t="str">
        <f aca="false">IF(ISNUMBER(C6066),MONTH(C6066),"")</f>
        <v/>
      </c>
      <c r="X6066" s="23" t="str">
        <f aca="false">IF(T6066="","",IF(T6066=0,"No discount",IF(T6066&lt;=0.2,"Low (1-20%)",IF(T6066&lt;=0.4,"Medium (21-40%)","High (&gt;40%)"))))</f>
        <v/>
      </c>
      <c r="Y6066" s="23" t="str">
        <f aca="false">IF(AND(ISNUMBER(C6066),ISNUMBER(D6066)),D6066-C6066,"")</f>
        <v/>
      </c>
      <c r="Z6066" s="23" t="str">
        <f aca="false">IF(B6066="","",IF(MATCH(B6066,$B$2:$B$12000,0)=ROW()-1,1,0))</f>
        <v/>
      </c>
    </row>
    <row r="6067" customFormat="false" ht="15" hidden="false" customHeight="false" outlineLevel="0" collapsed="false">
      <c r="V6067" s="23" t="str">
        <f aca="false">IF(ISNUMBER(C6067),YEAR(C6067),"")</f>
        <v/>
      </c>
      <c r="W6067" s="23" t="str">
        <f aca="false">IF(ISNUMBER(C6067),MONTH(C6067),"")</f>
        <v/>
      </c>
      <c r="X6067" s="23" t="str">
        <f aca="false">IF(T6067="","",IF(T6067=0,"No discount",IF(T6067&lt;=0.2,"Low (1-20%)",IF(T6067&lt;=0.4,"Medium (21-40%)","High (&gt;40%)"))))</f>
        <v/>
      </c>
      <c r="Y6067" s="23" t="str">
        <f aca="false">IF(AND(ISNUMBER(C6067),ISNUMBER(D6067)),D6067-C6067,"")</f>
        <v/>
      </c>
      <c r="Z6067" s="23" t="str">
        <f aca="false">IF(B6067="","",IF(MATCH(B6067,$B$2:$B$12000,0)=ROW()-1,1,0))</f>
        <v/>
      </c>
    </row>
    <row r="6068" customFormat="false" ht="15" hidden="false" customHeight="false" outlineLevel="0" collapsed="false">
      <c r="V6068" s="23" t="str">
        <f aca="false">IF(ISNUMBER(C6068),YEAR(C6068),"")</f>
        <v/>
      </c>
      <c r="W6068" s="23" t="str">
        <f aca="false">IF(ISNUMBER(C6068),MONTH(C6068),"")</f>
        <v/>
      </c>
      <c r="X6068" s="23" t="str">
        <f aca="false">IF(T6068="","",IF(T6068=0,"No discount",IF(T6068&lt;=0.2,"Low (1-20%)",IF(T6068&lt;=0.4,"Medium (21-40%)","High (&gt;40%)"))))</f>
        <v/>
      </c>
      <c r="Y6068" s="23" t="str">
        <f aca="false">IF(AND(ISNUMBER(C6068),ISNUMBER(D6068)),D6068-C6068,"")</f>
        <v/>
      </c>
      <c r="Z6068" s="23" t="str">
        <f aca="false">IF(B6068="","",IF(MATCH(B6068,$B$2:$B$12000,0)=ROW()-1,1,0))</f>
        <v/>
      </c>
    </row>
    <row r="6069" customFormat="false" ht="15" hidden="false" customHeight="false" outlineLevel="0" collapsed="false">
      <c r="V6069" s="23" t="str">
        <f aca="false">IF(ISNUMBER(C6069),YEAR(C6069),"")</f>
        <v/>
      </c>
      <c r="W6069" s="23" t="str">
        <f aca="false">IF(ISNUMBER(C6069),MONTH(C6069),"")</f>
        <v/>
      </c>
      <c r="X6069" s="23" t="str">
        <f aca="false">IF(T6069="","",IF(T6069=0,"No discount",IF(T6069&lt;=0.2,"Low (1-20%)",IF(T6069&lt;=0.4,"Medium (21-40%)","High (&gt;40%)"))))</f>
        <v/>
      </c>
      <c r="Y6069" s="23" t="str">
        <f aca="false">IF(AND(ISNUMBER(C6069),ISNUMBER(D6069)),D6069-C6069,"")</f>
        <v/>
      </c>
      <c r="Z6069" s="23" t="str">
        <f aca="false">IF(B6069="","",IF(MATCH(B6069,$B$2:$B$12000,0)=ROW()-1,1,0))</f>
        <v/>
      </c>
    </row>
    <row r="6070" customFormat="false" ht="15" hidden="false" customHeight="false" outlineLevel="0" collapsed="false">
      <c r="V6070" s="23" t="str">
        <f aca="false">IF(ISNUMBER(C6070),YEAR(C6070),"")</f>
        <v/>
      </c>
      <c r="W6070" s="23" t="str">
        <f aca="false">IF(ISNUMBER(C6070),MONTH(C6070),"")</f>
        <v/>
      </c>
      <c r="X6070" s="23" t="str">
        <f aca="false">IF(T6070="","",IF(T6070=0,"No discount",IF(T6070&lt;=0.2,"Low (1-20%)",IF(T6070&lt;=0.4,"Medium (21-40%)","High (&gt;40%)"))))</f>
        <v/>
      </c>
      <c r="Y6070" s="23" t="str">
        <f aca="false">IF(AND(ISNUMBER(C6070),ISNUMBER(D6070)),D6070-C6070,"")</f>
        <v/>
      </c>
      <c r="Z6070" s="23" t="str">
        <f aca="false">IF(B6070="","",IF(MATCH(B6070,$B$2:$B$12000,0)=ROW()-1,1,0))</f>
        <v/>
      </c>
    </row>
    <row r="6071" customFormat="false" ht="15" hidden="false" customHeight="false" outlineLevel="0" collapsed="false">
      <c r="V6071" s="23" t="str">
        <f aca="false">IF(ISNUMBER(C6071),YEAR(C6071),"")</f>
        <v/>
      </c>
      <c r="W6071" s="23" t="str">
        <f aca="false">IF(ISNUMBER(C6071),MONTH(C6071),"")</f>
        <v/>
      </c>
      <c r="X6071" s="23" t="str">
        <f aca="false">IF(T6071="","",IF(T6071=0,"No discount",IF(T6071&lt;=0.2,"Low (1-20%)",IF(T6071&lt;=0.4,"Medium (21-40%)","High (&gt;40%)"))))</f>
        <v/>
      </c>
      <c r="Y6071" s="23" t="str">
        <f aca="false">IF(AND(ISNUMBER(C6071),ISNUMBER(D6071)),D6071-C6071,"")</f>
        <v/>
      </c>
      <c r="Z6071" s="23" t="str">
        <f aca="false">IF(B6071="","",IF(MATCH(B6071,$B$2:$B$12000,0)=ROW()-1,1,0))</f>
        <v/>
      </c>
    </row>
    <row r="6072" customFormat="false" ht="15" hidden="false" customHeight="false" outlineLevel="0" collapsed="false">
      <c r="V6072" s="23" t="str">
        <f aca="false">IF(ISNUMBER(C6072),YEAR(C6072),"")</f>
        <v/>
      </c>
      <c r="W6072" s="23" t="str">
        <f aca="false">IF(ISNUMBER(C6072),MONTH(C6072),"")</f>
        <v/>
      </c>
      <c r="X6072" s="23" t="str">
        <f aca="false">IF(T6072="","",IF(T6072=0,"No discount",IF(T6072&lt;=0.2,"Low (1-20%)",IF(T6072&lt;=0.4,"Medium (21-40%)","High (&gt;40%)"))))</f>
        <v/>
      </c>
      <c r="Y6072" s="23" t="str">
        <f aca="false">IF(AND(ISNUMBER(C6072),ISNUMBER(D6072)),D6072-C6072,"")</f>
        <v/>
      </c>
      <c r="Z6072" s="23" t="str">
        <f aca="false">IF(B6072="","",IF(MATCH(B6072,$B$2:$B$12000,0)=ROW()-1,1,0))</f>
        <v/>
      </c>
    </row>
    <row r="6073" customFormat="false" ht="15" hidden="false" customHeight="false" outlineLevel="0" collapsed="false">
      <c r="V6073" s="23" t="str">
        <f aca="false">IF(ISNUMBER(C6073),YEAR(C6073),"")</f>
        <v/>
      </c>
      <c r="W6073" s="23" t="str">
        <f aca="false">IF(ISNUMBER(C6073),MONTH(C6073),"")</f>
        <v/>
      </c>
      <c r="X6073" s="23" t="str">
        <f aca="false">IF(T6073="","",IF(T6073=0,"No discount",IF(T6073&lt;=0.2,"Low (1-20%)",IF(T6073&lt;=0.4,"Medium (21-40%)","High (&gt;40%)"))))</f>
        <v/>
      </c>
      <c r="Y6073" s="23" t="str">
        <f aca="false">IF(AND(ISNUMBER(C6073),ISNUMBER(D6073)),D6073-C6073,"")</f>
        <v/>
      </c>
      <c r="Z6073" s="23" t="str">
        <f aca="false">IF(B6073="","",IF(MATCH(B6073,$B$2:$B$12000,0)=ROW()-1,1,0))</f>
        <v/>
      </c>
    </row>
    <row r="6074" customFormat="false" ht="15" hidden="false" customHeight="false" outlineLevel="0" collapsed="false">
      <c r="V6074" s="23" t="str">
        <f aca="false">IF(ISNUMBER(C6074),YEAR(C6074),"")</f>
        <v/>
      </c>
      <c r="W6074" s="23" t="str">
        <f aca="false">IF(ISNUMBER(C6074),MONTH(C6074),"")</f>
        <v/>
      </c>
      <c r="X6074" s="23" t="str">
        <f aca="false">IF(T6074="","",IF(T6074=0,"No discount",IF(T6074&lt;=0.2,"Low (1-20%)",IF(T6074&lt;=0.4,"Medium (21-40%)","High (&gt;40%)"))))</f>
        <v/>
      </c>
      <c r="Y6074" s="23" t="str">
        <f aca="false">IF(AND(ISNUMBER(C6074),ISNUMBER(D6074)),D6074-C6074,"")</f>
        <v/>
      </c>
      <c r="Z6074" s="23" t="str">
        <f aca="false">IF(B6074="","",IF(MATCH(B6074,$B$2:$B$12000,0)=ROW()-1,1,0))</f>
        <v/>
      </c>
    </row>
    <row r="6075" customFormat="false" ht="15" hidden="false" customHeight="false" outlineLevel="0" collapsed="false">
      <c r="V6075" s="23" t="str">
        <f aca="false">IF(ISNUMBER(C6075),YEAR(C6075),"")</f>
        <v/>
      </c>
      <c r="W6075" s="23" t="str">
        <f aca="false">IF(ISNUMBER(C6075),MONTH(C6075),"")</f>
        <v/>
      </c>
      <c r="X6075" s="23" t="str">
        <f aca="false">IF(T6075="","",IF(T6075=0,"No discount",IF(T6075&lt;=0.2,"Low (1-20%)",IF(T6075&lt;=0.4,"Medium (21-40%)","High (&gt;40%)"))))</f>
        <v/>
      </c>
      <c r="Y6075" s="23" t="str">
        <f aca="false">IF(AND(ISNUMBER(C6075),ISNUMBER(D6075)),D6075-C6075,"")</f>
        <v/>
      </c>
      <c r="Z6075" s="23" t="str">
        <f aca="false">IF(B6075="","",IF(MATCH(B6075,$B$2:$B$12000,0)=ROW()-1,1,0))</f>
        <v/>
      </c>
    </row>
    <row r="6076" customFormat="false" ht="15" hidden="false" customHeight="false" outlineLevel="0" collapsed="false">
      <c r="V6076" s="23" t="str">
        <f aca="false">IF(ISNUMBER(C6076),YEAR(C6076),"")</f>
        <v/>
      </c>
      <c r="W6076" s="23" t="str">
        <f aca="false">IF(ISNUMBER(C6076),MONTH(C6076),"")</f>
        <v/>
      </c>
      <c r="X6076" s="23" t="str">
        <f aca="false">IF(T6076="","",IF(T6076=0,"No discount",IF(T6076&lt;=0.2,"Low (1-20%)",IF(T6076&lt;=0.4,"Medium (21-40%)","High (&gt;40%)"))))</f>
        <v/>
      </c>
      <c r="Y6076" s="23" t="str">
        <f aca="false">IF(AND(ISNUMBER(C6076),ISNUMBER(D6076)),D6076-C6076,"")</f>
        <v/>
      </c>
      <c r="Z6076" s="23" t="str">
        <f aca="false">IF(B6076="","",IF(MATCH(B6076,$B$2:$B$12000,0)=ROW()-1,1,0))</f>
        <v/>
      </c>
    </row>
    <row r="6077" customFormat="false" ht="15" hidden="false" customHeight="false" outlineLevel="0" collapsed="false">
      <c r="V6077" s="23" t="str">
        <f aca="false">IF(ISNUMBER(C6077),YEAR(C6077),"")</f>
        <v/>
      </c>
      <c r="W6077" s="23" t="str">
        <f aca="false">IF(ISNUMBER(C6077),MONTH(C6077),"")</f>
        <v/>
      </c>
      <c r="X6077" s="23" t="str">
        <f aca="false">IF(T6077="","",IF(T6077=0,"No discount",IF(T6077&lt;=0.2,"Low (1-20%)",IF(T6077&lt;=0.4,"Medium (21-40%)","High (&gt;40%)"))))</f>
        <v/>
      </c>
      <c r="Y6077" s="23" t="str">
        <f aca="false">IF(AND(ISNUMBER(C6077),ISNUMBER(D6077)),D6077-C6077,"")</f>
        <v/>
      </c>
      <c r="Z6077" s="23" t="str">
        <f aca="false">IF(B6077="","",IF(MATCH(B6077,$B$2:$B$12000,0)=ROW()-1,1,0))</f>
        <v/>
      </c>
    </row>
    <row r="6078" customFormat="false" ht="15" hidden="false" customHeight="false" outlineLevel="0" collapsed="false">
      <c r="V6078" s="23" t="str">
        <f aca="false">IF(ISNUMBER(C6078),YEAR(C6078),"")</f>
        <v/>
      </c>
      <c r="W6078" s="23" t="str">
        <f aca="false">IF(ISNUMBER(C6078),MONTH(C6078),"")</f>
        <v/>
      </c>
      <c r="X6078" s="23" t="str">
        <f aca="false">IF(T6078="","",IF(T6078=0,"No discount",IF(T6078&lt;=0.2,"Low (1-20%)",IF(T6078&lt;=0.4,"Medium (21-40%)","High (&gt;40%)"))))</f>
        <v/>
      </c>
      <c r="Y6078" s="23" t="str">
        <f aca="false">IF(AND(ISNUMBER(C6078),ISNUMBER(D6078)),D6078-C6078,"")</f>
        <v/>
      </c>
      <c r="Z6078" s="23" t="str">
        <f aca="false">IF(B6078="","",IF(MATCH(B6078,$B$2:$B$12000,0)=ROW()-1,1,0))</f>
        <v/>
      </c>
    </row>
    <row r="6079" customFormat="false" ht="15" hidden="false" customHeight="false" outlineLevel="0" collapsed="false">
      <c r="V6079" s="23" t="str">
        <f aca="false">IF(ISNUMBER(C6079),YEAR(C6079),"")</f>
        <v/>
      </c>
      <c r="W6079" s="23" t="str">
        <f aca="false">IF(ISNUMBER(C6079),MONTH(C6079),"")</f>
        <v/>
      </c>
      <c r="X6079" s="23" t="str">
        <f aca="false">IF(T6079="","",IF(T6079=0,"No discount",IF(T6079&lt;=0.2,"Low (1-20%)",IF(T6079&lt;=0.4,"Medium (21-40%)","High (&gt;40%)"))))</f>
        <v/>
      </c>
      <c r="Y6079" s="23" t="str">
        <f aca="false">IF(AND(ISNUMBER(C6079),ISNUMBER(D6079)),D6079-C6079,"")</f>
        <v/>
      </c>
      <c r="Z6079" s="23" t="str">
        <f aca="false">IF(B6079="","",IF(MATCH(B6079,$B$2:$B$12000,0)=ROW()-1,1,0))</f>
        <v/>
      </c>
    </row>
    <row r="6080" customFormat="false" ht="15" hidden="false" customHeight="false" outlineLevel="0" collapsed="false">
      <c r="V6080" s="23" t="str">
        <f aca="false">IF(ISNUMBER(C6080),YEAR(C6080),"")</f>
        <v/>
      </c>
      <c r="W6080" s="23" t="str">
        <f aca="false">IF(ISNUMBER(C6080),MONTH(C6080),"")</f>
        <v/>
      </c>
      <c r="X6080" s="23" t="str">
        <f aca="false">IF(T6080="","",IF(T6080=0,"No discount",IF(T6080&lt;=0.2,"Low (1-20%)",IF(T6080&lt;=0.4,"Medium (21-40%)","High (&gt;40%)"))))</f>
        <v/>
      </c>
      <c r="Y6080" s="23" t="str">
        <f aca="false">IF(AND(ISNUMBER(C6080),ISNUMBER(D6080)),D6080-C6080,"")</f>
        <v/>
      </c>
      <c r="Z6080" s="23" t="str">
        <f aca="false">IF(B6080="","",IF(MATCH(B6080,$B$2:$B$12000,0)=ROW()-1,1,0))</f>
        <v/>
      </c>
    </row>
    <row r="6081" customFormat="false" ht="15" hidden="false" customHeight="false" outlineLevel="0" collapsed="false">
      <c r="V6081" s="23" t="str">
        <f aca="false">IF(ISNUMBER(C6081),YEAR(C6081),"")</f>
        <v/>
      </c>
      <c r="W6081" s="23" t="str">
        <f aca="false">IF(ISNUMBER(C6081),MONTH(C6081),"")</f>
        <v/>
      </c>
      <c r="X6081" s="23" t="str">
        <f aca="false">IF(T6081="","",IF(T6081=0,"No discount",IF(T6081&lt;=0.2,"Low (1-20%)",IF(T6081&lt;=0.4,"Medium (21-40%)","High (&gt;40%)"))))</f>
        <v/>
      </c>
      <c r="Y6081" s="23" t="str">
        <f aca="false">IF(AND(ISNUMBER(C6081),ISNUMBER(D6081)),D6081-C6081,"")</f>
        <v/>
      </c>
      <c r="Z6081" s="23" t="str">
        <f aca="false">IF(B6081="","",IF(MATCH(B6081,$B$2:$B$12000,0)=ROW()-1,1,0))</f>
        <v/>
      </c>
    </row>
    <row r="6082" customFormat="false" ht="15" hidden="false" customHeight="false" outlineLevel="0" collapsed="false">
      <c r="V6082" s="23" t="str">
        <f aca="false">IF(ISNUMBER(C6082),YEAR(C6082),"")</f>
        <v/>
      </c>
      <c r="W6082" s="23" t="str">
        <f aca="false">IF(ISNUMBER(C6082),MONTH(C6082),"")</f>
        <v/>
      </c>
      <c r="X6082" s="23" t="str">
        <f aca="false">IF(T6082="","",IF(T6082=0,"No discount",IF(T6082&lt;=0.2,"Low (1-20%)",IF(T6082&lt;=0.4,"Medium (21-40%)","High (&gt;40%)"))))</f>
        <v/>
      </c>
      <c r="Y6082" s="23" t="str">
        <f aca="false">IF(AND(ISNUMBER(C6082),ISNUMBER(D6082)),D6082-C6082,"")</f>
        <v/>
      </c>
      <c r="Z6082" s="23" t="str">
        <f aca="false">IF(B6082="","",IF(MATCH(B6082,$B$2:$B$12000,0)=ROW()-1,1,0))</f>
        <v/>
      </c>
    </row>
    <row r="6083" customFormat="false" ht="15" hidden="false" customHeight="false" outlineLevel="0" collapsed="false">
      <c r="V6083" s="23" t="str">
        <f aca="false">IF(ISNUMBER(C6083),YEAR(C6083),"")</f>
        <v/>
      </c>
      <c r="W6083" s="23" t="str">
        <f aca="false">IF(ISNUMBER(C6083),MONTH(C6083),"")</f>
        <v/>
      </c>
      <c r="X6083" s="23" t="str">
        <f aca="false">IF(T6083="","",IF(T6083=0,"No discount",IF(T6083&lt;=0.2,"Low (1-20%)",IF(T6083&lt;=0.4,"Medium (21-40%)","High (&gt;40%)"))))</f>
        <v/>
      </c>
      <c r="Y6083" s="23" t="str">
        <f aca="false">IF(AND(ISNUMBER(C6083),ISNUMBER(D6083)),D6083-C6083,"")</f>
        <v/>
      </c>
      <c r="Z6083" s="23" t="str">
        <f aca="false">IF(B6083="","",IF(MATCH(B6083,$B$2:$B$12000,0)=ROW()-1,1,0))</f>
        <v/>
      </c>
    </row>
    <row r="6084" customFormat="false" ht="15" hidden="false" customHeight="false" outlineLevel="0" collapsed="false">
      <c r="V6084" s="23" t="str">
        <f aca="false">IF(ISNUMBER(C6084),YEAR(C6084),"")</f>
        <v/>
      </c>
      <c r="W6084" s="23" t="str">
        <f aca="false">IF(ISNUMBER(C6084),MONTH(C6084),"")</f>
        <v/>
      </c>
      <c r="X6084" s="23" t="str">
        <f aca="false">IF(T6084="","",IF(T6084=0,"No discount",IF(T6084&lt;=0.2,"Low (1-20%)",IF(T6084&lt;=0.4,"Medium (21-40%)","High (&gt;40%)"))))</f>
        <v/>
      </c>
      <c r="Y6084" s="23" t="str">
        <f aca="false">IF(AND(ISNUMBER(C6084),ISNUMBER(D6084)),D6084-C6084,"")</f>
        <v/>
      </c>
      <c r="Z6084" s="23" t="str">
        <f aca="false">IF(B6084="","",IF(MATCH(B6084,$B$2:$B$12000,0)=ROW()-1,1,0))</f>
        <v/>
      </c>
    </row>
    <row r="6085" customFormat="false" ht="15" hidden="false" customHeight="false" outlineLevel="0" collapsed="false">
      <c r="V6085" s="23" t="str">
        <f aca="false">IF(ISNUMBER(C6085),YEAR(C6085),"")</f>
        <v/>
      </c>
      <c r="W6085" s="23" t="str">
        <f aca="false">IF(ISNUMBER(C6085),MONTH(C6085),"")</f>
        <v/>
      </c>
      <c r="X6085" s="23" t="str">
        <f aca="false">IF(T6085="","",IF(T6085=0,"No discount",IF(T6085&lt;=0.2,"Low (1-20%)",IF(T6085&lt;=0.4,"Medium (21-40%)","High (&gt;40%)"))))</f>
        <v/>
      </c>
      <c r="Y6085" s="23" t="str">
        <f aca="false">IF(AND(ISNUMBER(C6085),ISNUMBER(D6085)),D6085-C6085,"")</f>
        <v/>
      </c>
      <c r="Z6085" s="23" t="str">
        <f aca="false">IF(B6085="","",IF(MATCH(B6085,$B$2:$B$12000,0)=ROW()-1,1,0))</f>
        <v/>
      </c>
    </row>
    <row r="6086" customFormat="false" ht="15" hidden="false" customHeight="false" outlineLevel="0" collapsed="false">
      <c r="V6086" s="23" t="str">
        <f aca="false">IF(ISNUMBER(C6086),YEAR(C6086),"")</f>
        <v/>
      </c>
      <c r="W6086" s="23" t="str">
        <f aca="false">IF(ISNUMBER(C6086),MONTH(C6086),"")</f>
        <v/>
      </c>
      <c r="X6086" s="23" t="str">
        <f aca="false">IF(T6086="","",IF(T6086=0,"No discount",IF(T6086&lt;=0.2,"Low (1-20%)",IF(T6086&lt;=0.4,"Medium (21-40%)","High (&gt;40%)"))))</f>
        <v/>
      </c>
      <c r="Y6086" s="23" t="str">
        <f aca="false">IF(AND(ISNUMBER(C6086),ISNUMBER(D6086)),D6086-C6086,"")</f>
        <v/>
      </c>
      <c r="Z6086" s="23" t="str">
        <f aca="false">IF(B6086="","",IF(MATCH(B6086,$B$2:$B$12000,0)=ROW()-1,1,0))</f>
        <v/>
      </c>
    </row>
    <row r="6087" customFormat="false" ht="15" hidden="false" customHeight="false" outlineLevel="0" collapsed="false">
      <c r="V6087" s="23" t="str">
        <f aca="false">IF(ISNUMBER(C6087),YEAR(C6087),"")</f>
        <v/>
      </c>
      <c r="W6087" s="23" t="str">
        <f aca="false">IF(ISNUMBER(C6087),MONTH(C6087),"")</f>
        <v/>
      </c>
      <c r="X6087" s="23" t="str">
        <f aca="false">IF(T6087="","",IF(T6087=0,"No discount",IF(T6087&lt;=0.2,"Low (1-20%)",IF(T6087&lt;=0.4,"Medium (21-40%)","High (&gt;40%)"))))</f>
        <v/>
      </c>
      <c r="Y6087" s="23" t="str">
        <f aca="false">IF(AND(ISNUMBER(C6087),ISNUMBER(D6087)),D6087-C6087,"")</f>
        <v/>
      </c>
      <c r="Z6087" s="23" t="str">
        <f aca="false">IF(B6087="","",IF(MATCH(B6087,$B$2:$B$12000,0)=ROW()-1,1,0))</f>
        <v/>
      </c>
    </row>
    <row r="6088" customFormat="false" ht="15" hidden="false" customHeight="false" outlineLevel="0" collapsed="false">
      <c r="V6088" s="23" t="str">
        <f aca="false">IF(ISNUMBER(C6088),YEAR(C6088),"")</f>
        <v/>
      </c>
      <c r="W6088" s="23" t="str">
        <f aca="false">IF(ISNUMBER(C6088),MONTH(C6088),"")</f>
        <v/>
      </c>
      <c r="X6088" s="23" t="str">
        <f aca="false">IF(T6088="","",IF(T6088=0,"No discount",IF(T6088&lt;=0.2,"Low (1-20%)",IF(T6088&lt;=0.4,"Medium (21-40%)","High (&gt;40%)"))))</f>
        <v/>
      </c>
      <c r="Y6088" s="23" t="str">
        <f aca="false">IF(AND(ISNUMBER(C6088),ISNUMBER(D6088)),D6088-C6088,"")</f>
        <v/>
      </c>
      <c r="Z6088" s="23" t="str">
        <f aca="false">IF(B6088="","",IF(MATCH(B6088,$B$2:$B$12000,0)=ROW()-1,1,0))</f>
        <v/>
      </c>
    </row>
    <row r="6089" customFormat="false" ht="15" hidden="false" customHeight="false" outlineLevel="0" collapsed="false">
      <c r="V6089" s="23" t="str">
        <f aca="false">IF(ISNUMBER(C6089),YEAR(C6089),"")</f>
        <v/>
      </c>
      <c r="W6089" s="23" t="str">
        <f aca="false">IF(ISNUMBER(C6089),MONTH(C6089),"")</f>
        <v/>
      </c>
      <c r="X6089" s="23" t="str">
        <f aca="false">IF(T6089="","",IF(T6089=0,"No discount",IF(T6089&lt;=0.2,"Low (1-20%)",IF(T6089&lt;=0.4,"Medium (21-40%)","High (&gt;40%)"))))</f>
        <v/>
      </c>
      <c r="Y6089" s="23" t="str">
        <f aca="false">IF(AND(ISNUMBER(C6089),ISNUMBER(D6089)),D6089-C6089,"")</f>
        <v/>
      </c>
      <c r="Z6089" s="23" t="str">
        <f aca="false">IF(B6089="","",IF(MATCH(B6089,$B$2:$B$12000,0)=ROW()-1,1,0))</f>
        <v/>
      </c>
    </row>
    <row r="6090" customFormat="false" ht="15" hidden="false" customHeight="false" outlineLevel="0" collapsed="false">
      <c r="V6090" s="23" t="str">
        <f aca="false">IF(ISNUMBER(C6090),YEAR(C6090),"")</f>
        <v/>
      </c>
      <c r="W6090" s="23" t="str">
        <f aca="false">IF(ISNUMBER(C6090),MONTH(C6090),"")</f>
        <v/>
      </c>
      <c r="X6090" s="23" t="str">
        <f aca="false">IF(T6090="","",IF(T6090=0,"No discount",IF(T6090&lt;=0.2,"Low (1-20%)",IF(T6090&lt;=0.4,"Medium (21-40%)","High (&gt;40%)"))))</f>
        <v/>
      </c>
      <c r="Y6090" s="23" t="str">
        <f aca="false">IF(AND(ISNUMBER(C6090),ISNUMBER(D6090)),D6090-C6090,"")</f>
        <v/>
      </c>
      <c r="Z6090" s="23" t="str">
        <f aca="false">IF(B6090="","",IF(MATCH(B6090,$B$2:$B$12000,0)=ROW()-1,1,0))</f>
        <v/>
      </c>
    </row>
    <row r="6091" customFormat="false" ht="15" hidden="false" customHeight="false" outlineLevel="0" collapsed="false">
      <c r="V6091" s="23" t="str">
        <f aca="false">IF(ISNUMBER(C6091),YEAR(C6091),"")</f>
        <v/>
      </c>
      <c r="W6091" s="23" t="str">
        <f aca="false">IF(ISNUMBER(C6091),MONTH(C6091),"")</f>
        <v/>
      </c>
      <c r="X6091" s="23" t="str">
        <f aca="false">IF(T6091="","",IF(T6091=0,"No discount",IF(T6091&lt;=0.2,"Low (1-20%)",IF(T6091&lt;=0.4,"Medium (21-40%)","High (&gt;40%)"))))</f>
        <v/>
      </c>
      <c r="Y6091" s="23" t="str">
        <f aca="false">IF(AND(ISNUMBER(C6091),ISNUMBER(D6091)),D6091-C6091,"")</f>
        <v/>
      </c>
      <c r="Z6091" s="23" t="str">
        <f aca="false">IF(B6091="","",IF(MATCH(B6091,$B$2:$B$12000,0)=ROW()-1,1,0))</f>
        <v/>
      </c>
    </row>
    <row r="6092" customFormat="false" ht="15" hidden="false" customHeight="false" outlineLevel="0" collapsed="false">
      <c r="V6092" s="23" t="str">
        <f aca="false">IF(ISNUMBER(C6092),YEAR(C6092),"")</f>
        <v/>
      </c>
      <c r="W6092" s="23" t="str">
        <f aca="false">IF(ISNUMBER(C6092),MONTH(C6092),"")</f>
        <v/>
      </c>
      <c r="X6092" s="23" t="str">
        <f aca="false">IF(T6092="","",IF(T6092=0,"No discount",IF(T6092&lt;=0.2,"Low (1-20%)",IF(T6092&lt;=0.4,"Medium (21-40%)","High (&gt;40%)"))))</f>
        <v/>
      </c>
      <c r="Y6092" s="23" t="str">
        <f aca="false">IF(AND(ISNUMBER(C6092),ISNUMBER(D6092)),D6092-C6092,"")</f>
        <v/>
      </c>
      <c r="Z6092" s="23" t="str">
        <f aca="false">IF(B6092="","",IF(MATCH(B6092,$B$2:$B$12000,0)=ROW()-1,1,0))</f>
        <v/>
      </c>
    </row>
    <row r="6093" customFormat="false" ht="15" hidden="false" customHeight="false" outlineLevel="0" collapsed="false">
      <c r="V6093" s="23" t="str">
        <f aca="false">IF(ISNUMBER(C6093),YEAR(C6093),"")</f>
        <v/>
      </c>
      <c r="W6093" s="23" t="str">
        <f aca="false">IF(ISNUMBER(C6093),MONTH(C6093),"")</f>
        <v/>
      </c>
      <c r="X6093" s="23" t="str">
        <f aca="false">IF(T6093="","",IF(T6093=0,"No discount",IF(T6093&lt;=0.2,"Low (1-20%)",IF(T6093&lt;=0.4,"Medium (21-40%)","High (&gt;40%)"))))</f>
        <v/>
      </c>
      <c r="Y6093" s="23" t="str">
        <f aca="false">IF(AND(ISNUMBER(C6093),ISNUMBER(D6093)),D6093-C6093,"")</f>
        <v/>
      </c>
      <c r="Z6093" s="23" t="str">
        <f aca="false">IF(B6093="","",IF(MATCH(B6093,$B$2:$B$12000,0)=ROW()-1,1,0))</f>
        <v/>
      </c>
    </row>
    <row r="6094" customFormat="false" ht="15" hidden="false" customHeight="false" outlineLevel="0" collapsed="false">
      <c r="V6094" s="23" t="str">
        <f aca="false">IF(ISNUMBER(C6094),YEAR(C6094),"")</f>
        <v/>
      </c>
      <c r="W6094" s="23" t="str">
        <f aca="false">IF(ISNUMBER(C6094),MONTH(C6094),"")</f>
        <v/>
      </c>
      <c r="X6094" s="23" t="str">
        <f aca="false">IF(T6094="","",IF(T6094=0,"No discount",IF(T6094&lt;=0.2,"Low (1-20%)",IF(T6094&lt;=0.4,"Medium (21-40%)","High (&gt;40%)"))))</f>
        <v/>
      </c>
      <c r="Y6094" s="23" t="str">
        <f aca="false">IF(AND(ISNUMBER(C6094),ISNUMBER(D6094)),D6094-C6094,"")</f>
        <v/>
      </c>
      <c r="Z6094" s="23" t="str">
        <f aca="false">IF(B6094="","",IF(MATCH(B6094,$B$2:$B$12000,0)=ROW()-1,1,0))</f>
        <v/>
      </c>
    </row>
    <row r="6095" customFormat="false" ht="15" hidden="false" customHeight="false" outlineLevel="0" collapsed="false">
      <c r="V6095" s="23" t="str">
        <f aca="false">IF(ISNUMBER(C6095),YEAR(C6095),"")</f>
        <v/>
      </c>
      <c r="W6095" s="23" t="str">
        <f aca="false">IF(ISNUMBER(C6095),MONTH(C6095),"")</f>
        <v/>
      </c>
      <c r="X6095" s="23" t="str">
        <f aca="false">IF(T6095="","",IF(T6095=0,"No discount",IF(T6095&lt;=0.2,"Low (1-20%)",IF(T6095&lt;=0.4,"Medium (21-40%)","High (&gt;40%)"))))</f>
        <v/>
      </c>
      <c r="Y6095" s="23" t="str">
        <f aca="false">IF(AND(ISNUMBER(C6095),ISNUMBER(D6095)),D6095-C6095,"")</f>
        <v/>
      </c>
      <c r="Z6095" s="23" t="str">
        <f aca="false">IF(B6095="","",IF(MATCH(B6095,$B$2:$B$12000,0)=ROW()-1,1,0))</f>
        <v/>
      </c>
    </row>
    <row r="6096" customFormat="false" ht="15" hidden="false" customHeight="false" outlineLevel="0" collapsed="false">
      <c r="V6096" s="23" t="str">
        <f aca="false">IF(ISNUMBER(C6096),YEAR(C6096),"")</f>
        <v/>
      </c>
      <c r="W6096" s="23" t="str">
        <f aca="false">IF(ISNUMBER(C6096),MONTH(C6096),"")</f>
        <v/>
      </c>
      <c r="X6096" s="23" t="str">
        <f aca="false">IF(T6096="","",IF(T6096=0,"No discount",IF(T6096&lt;=0.2,"Low (1-20%)",IF(T6096&lt;=0.4,"Medium (21-40%)","High (&gt;40%)"))))</f>
        <v/>
      </c>
      <c r="Y6096" s="23" t="str">
        <f aca="false">IF(AND(ISNUMBER(C6096),ISNUMBER(D6096)),D6096-C6096,"")</f>
        <v/>
      </c>
      <c r="Z6096" s="23" t="str">
        <f aca="false">IF(B6096="","",IF(MATCH(B6096,$B$2:$B$12000,0)=ROW()-1,1,0))</f>
        <v/>
      </c>
    </row>
    <row r="6097" customFormat="false" ht="15" hidden="false" customHeight="false" outlineLevel="0" collapsed="false">
      <c r="V6097" s="23" t="str">
        <f aca="false">IF(ISNUMBER(C6097),YEAR(C6097),"")</f>
        <v/>
      </c>
      <c r="W6097" s="23" t="str">
        <f aca="false">IF(ISNUMBER(C6097),MONTH(C6097),"")</f>
        <v/>
      </c>
      <c r="X6097" s="23" t="str">
        <f aca="false">IF(T6097="","",IF(T6097=0,"No discount",IF(T6097&lt;=0.2,"Low (1-20%)",IF(T6097&lt;=0.4,"Medium (21-40%)","High (&gt;40%)"))))</f>
        <v/>
      </c>
      <c r="Y6097" s="23" t="str">
        <f aca="false">IF(AND(ISNUMBER(C6097),ISNUMBER(D6097)),D6097-C6097,"")</f>
        <v/>
      </c>
      <c r="Z6097" s="23" t="str">
        <f aca="false">IF(B6097="","",IF(MATCH(B6097,$B$2:$B$12000,0)=ROW()-1,1,0))</f>
        <v/>
      </c>
    </row>
    <row r="6098" customFormat="false" ht="15" hidden="false" customHeight="false" outlineLevel="0" collapsed="false">
      <c r="V6098" s="23" t="str">
        <f aca="false">IF(ISNUMBER(C6098),YEAR(C6098),"")</f>
        <v/>
      </c>
      <c r="W6098" s="23" t="str">
        <f aca="false">IF(ISNUMBER(C6098),MONTH(C6098),"")</f>
        <v/>
      </c>
      <c r="X6098" s="23" t="str">
        <f aca="false">IF(T6098="","",IF(T6098=0,"No discount",IF(T6098&lt;=0.2,"Low (1-20%)",IF(T6098&lt;=0.4,"Medium (21-40%)","High (&gt;40%)"))))</f>
        <v/>
      </c>
      <c r="Y6098" s="23" t="str">
        <f aca="false">IF(AND(ISNUMBER(C6098),ISNUMBER(D6098)),D6098-C6098,"")</f>
        <v/>
      </c>
      <c r="Z6098" s="23" t="str">
        <f aca="false">IF(B6098="","",IF(MATCH(B6098,$B$2:$B$12000,0)=ROW()-1,1,0))</f>
        <v/>
      </c>
    </row>
    <row r="6099" customFormat="false" ht="15" hidden="false" customHeight="false" outlineLevel="0" collapsed="false">
      <c r="V6099" s="23" t="str">
        <f aca="false">IF(ISNUMBER(C6099),YEAR(C6099),"")</f>
        <v/>
      </c>
      <c r="W6099" s="23" t="str">
        <f aca="false">IF(ISNUMBER(C6099),MONTH(C6099),"")</f>
        <v/>
      </c>
      <c r="X6099" s="23" t="str">
        <f aca="false">IF(T6099="","",IF(T6099=0,"No discount",IF(T6099&lt;=0.2,"Low (1-20%)",IF(T6099&lt;=0.4,"Medium (21-40%)","High (&gt;40%)"))))</f>
        <v/>
      </c>
      <c r="Y6099" s="23" t="str">
        <f aca="false">IF(AND(ISNUMBER(C6099),ISNUMBER(D6099)),D6099-C6099,"")</f>
        <v/>
      </c>
      <c r="Z6099" s="23" t="str">
        <f aca="false">IF(B6099="","",IF(MATCH(B6099,$B$2:$B$12000,0)=ROW()-1,1,0))</f>
        <v/>
      </c>
    </row>
    <row r="6100" customFormat="false" ht="15" hidden="false" customHeight="false" outlineLevel="0" collapsed="false">
      <c r="V6100" s="23" t="str">
        <f aca="false">IF(ISNUMBER(C6100),YEAR(C6100),"")</f>
        <v/>
      </c>
      <c r="W6100" s="23" t="str">
        <f aca="false">IF(ISNUMBER(C6100),MONTH(C6100),"")</f>
        <v/>
      </c>
      <c r="X6100" s="23" t="str">
        <f aca="false">IF(T6100="","",IF(T6100=0,"No discount",IF(T6100&lt;=0.2,"Low (1-20%)",IF(T6100&lt;=0.4,"Medium (21-40%)","High (&gt;40%)"))))</f>
        <v/>
      </c>
      <c r="Y6100" s="23" t="str">
        <f aca="false">IF(AND(ISNUMBER(C6100),ISNUMBER(D6100)),D6100-C6100,"")</f>
        <v/>
      </c>
      <c r="Z6100" s="23" t="str">
        <f aca="false">IF(B6100="","",IF(MATCH(B6100,$B$2:$B$12000,0)=ROW()-1,1,0))</f>
        <v/>
      </c>
    </row>
    <row r="6101" customFormat="false" ht="15" hidden="false" customHeight="false" outlineLevel="0" collapsed="false">
      <c r="V6101" s="23" t="str">
        <f aca="false">IF(ISNUMBER(C6101),YEAR(C6101),"")</f>
        <v/>
      </c>
      <c r="W6101" s="23" t="str">
        <f aca="false">IF(ISNUMBER(C6101),MONTH(C6101),"")</f>
        <v/>
      </c>
      <c r="X6101" s="23" t="str">
        <f aca="false">IF(T6101="","",IF(T6101=0,"No discount",IF(T6101&lt;=0.2,"Low (1-20%)",IF(T6101&lt;=0.4,"Medium (21-40%)","High (&gt;40%)"))))</f>
        <v/>
      </c>
      <c r="Y6101" s="23" t="str">
        <f aca="false">IF(AND(ISNUMBER(C6101),ISNUMBER(D6101)),D6101-C6101,"")</f>
        <v/>
      </c>
      <c r="Z6101" s="23" t="str">
        <f aca="false">IF(B6101="","",IF(MATCH(B6101,$B$2:$B$12000,0)=ROW()-1,1,0))</f>
        <v/>
      </c>
    </row>
    <row r="6102" customFormat="false" ht="15" hidden="false" customHeight="false" outlineLevel="0" collapsed="false">
      <c r="V6102" s="23" t="str">
        <f aca="false">IF(ISNUMBER(C6102),YEAR(C6102),"")</f>
        <v/>
      </c>
      <c r="W6102" s="23" t="str">
        <f aca="false">IF(ISNUMBER(C6102),MONTH(C6102),"")</f>
        <v/>
      </c>
      <c r="X6102" s="23" t="str">
        <f aca="false">IF(T6102="","",IF(T6102=0,"No discount",IF(T6102&lt;=0.2,"Low (1-20%)",IF(T6102&lt;=0.4,"Medium (21-40%)","High (&gt;40%)"))))</f>
        <v/>
      </c>
      <c r="Y6102" s="23" t="str">
        <f aca="false">IF(AND(ISNUMBER(C6102),ISNUMBER(D6102)),D6102-C6102,"")</f>
        <v/>
      </c>
      <c r="Z6102" s="23" t="str">
        <f aca="false">IF(B6102="","",IF(MATCH(B6102,$B$2:$B$12000,0)=ROW()-1,1,0))</f>
        <v/>
      </c>
    </row>
    <row r="6103" customFormat="false" ht="15" hidden="false" customHeight="false" outlineLevel="0" collapsed="false">
      <c r="V6103" s="23" t="str">
        <f aca="false">IF(ISNUMBER(C6103),YEAR(C6103),"")</f>
        <v/>
      </c>
      <c r="W6103" s="23" t="str">
        <f aca="false">IF(ISNUMBER(C6103),MONTH(C6103),"")</f>
        <v/>
      </c>
      <c r="X6103" s="23" t="str">
        <f aca="false">IF(T6103="","",IF(T6103=0,"No discount",IF(T6103&lt;=0.2,"Low (1-20%)",IF(T6103&lt;=0.4,"Medium (21-40%)","High (&gt;40%)"))))</f>
        <v/>
      </c>
      <c r="Y6103" s="23" t="str">
        <f aca="false">IF(AND(ISNUMBER(C6103),ISNUMBER(D6103)),D6103-C6103,"")</f>
        <v/>
      </c>
      <c r="Z6103" s="23" t="str">
        <f aca="false">IF(B6103="","",IF(MATCH(B6103,$B$2:$B$12000,0)=ROW()-1,1,0))</f>
        <v/>
      </c>
    </row>
    <row r="6104" customFormat="false" ht="15" hidden="false" customHeight="false" outlineLevel="0" collapsed="false">
      <c r="V6104" s="23" t="str">
        <f aca="false">IF(ISNUMBER(C6104),YEAR(C6104),"")</f>
        <v/>
      </c>
      <c r="W6104" s="23" t="str">
        <f aca="false">IF(ISNUMBER(C6104),MONTH(C6104),"")</f>
        <v/>
      </c>
      <c r="X6104" s="23" t="str">
        <f aca="false">IF(T6104="","",IF(T6104=0,"No discount",IF(T6104&lt;=0.2,"Low (1-20%)",IF(T6104&lt;=0.4,"Medium (21-40%)","High (&gt;40%)"))))</f>
        <v/>
      </c>
      <c r="Y6104" s="23" t="str">
        <f aca="false">IF(AND(ISNUMBER(C6104),ISNUMBER(D6104)),D6104-C6104,"")</f>
        <v/>
      </c>
      <c r="Z6104" s="23" t="str">
        <f aca="false">IF(B6104="","",IF(MATCH(B6104,$B$2:$B$12000,0)=ROW()-1,1,0))</f>
        <v/>
      </c>
    </row>
    <row r="6105" customFormat="false" ht="15" hidden="false" customHeight="false" outlineLevel="0" collapsed="false">
      <c r="V6105" s="23" t="str">
        <f aca="false">IF(ISNUMBER(C6105),YEAR(C6105),"")</f>
        <v/>
      </c>
      <c r="W6105" s="23" t="str">
        <f aca="false">IF(ISNUMBER(C6105),MONTH(C6105),"")</f>
        <v/>
      </c>
      <c r="X6105" s="23" t="str">
        <f aca="false">IF(T6105="","",IF(T6105=0,"No discount",IF(T6105&lt;=0.2,"Low (1-20%)",IF(T6105&lt;=0.4,"Medium (21-40%)","High (&gt;40%)"))))</f>
        <v/>
      </c>
      <c r="Y6105" s="23" t="str">
        <f aca="false">IF(AND(ISNUMBER(C6105),ISNUMBER(D6105)),D6105-C6105,"")</f>
        <v/>
      </c>
      <c r="Z6105" s="23" t="str">
        <f aca="false">IF(B6105="","",IF(MATCH(B6105,$B$2:$B$12000,0)=ROW()-1,1,0))</f>
        <v/>
      </c>
    </row>
    <row r="6106" customFormat="false" ht="15" hidden="false" customHeight="false" outlineLevel="0" collapsed="false">
      <c r="V6106" s="23" t="str">
        <f aca="false">IF(ISNUMBER(C6106),YEAR(C6106),"")</f>
        <v/>
      </c>
      <c r="W6106" s="23" t="str">
        <f aca="false">IF(ISNUMBER(C6106),MONTH(C6106),"")</f>
        <v/>
      </c>
      <c r="X6106" s="23" t="str">
        <f aca="false">IF(T6106="","",IF(T6106=0,"No discount",IF(T6106&lt;=0.2,"Low (1-20%)",IF(T6106&lt;=0.4,"Medium (21-40%)","High (&gt;40%)"))))</f>
        <v/>
      </c>
      <c r="Y6106" s="23" t="str">
        <f aca="false">IF(AND(ISNUMBER(C6106),ISNUMBER(D6106)),D6106-C6106,"")</f>
        <v/>
      </c>
      <c r="Z6106" s="23" t="str">
        <f aca="false">IF(B6106="","",IF(MATCH(B6106,$B$2:$B$12000,0)=ROW()-1,1,0))</f>
        <v/>
      </c>
    </row>
    <row r="6107" customFormat="false" ht="15" hidden="false" customHeight="false" outlineLevel="0" collapsed="false">
      <c r="V6107" s="23" t="str">
        <f aca="false">IF(ISNUMBER(C6107),YEAR(C6107),"")</f>
        <v/>
      </c>
      <c r="W6107" s="23" t="str">
        <f aca="false">IF(ISNUMBER(C6107),MONTH(C6107),"")</f>
        <v/>
      </c>
      <c r="X6107" s="23" t="str">
        <f aca="false">IF(T6107="","",IF(T6107=0,"No discount",IF(T6107&lt;=0.2,"Low (1-20%)",IF(T6107&lt;=0.4,"Medium (21-40%)","High (&gt;40%)"))))</f>
        <v/>
      </c>
      <c r="Y6107" s="23" t="str">
        <f aca="false">IF(AND(ISNUMBER(C6107),ISNUMBER(D6107)),D6107-C6107,"")</f>
        <v/>
      </c>
      <c r="Z6107" s="23" t="str">
        <f aca="false">IF(B6107="","",IF(MATCH(B6107,$B$2:$B$12000,0)=ROW()-1,1,0))</f>
        <v/>
      </c>
    </row>
    <row r="6108" customFormat="false" ht="15" hidden="false" customHeight="false" outlineLevel="0" collapsed="false">
      <c r="V6108" s="23" t="str">
        <f aca="false">IF(ISNUMBER(C6108),YEAR(C6108),"")</f>
        <v/>
      </c>
      <c r="W6108" s="23" t="str">
        <f aca="false">IF(ISNUMBER(C6108),MONTH(C6108),"")</f>
        <v/>
      </c>
      <c r="X6108" s="23" t="str">
        <f aca="false">IF(T6108="","",IF(T6108=0,"No discount",IF(T6108&lt;=0.2,"Low (1-20%)",IF(T6108&lt;=0.4,"Medium (21-40%)","High (&gt;40%)"))))</f>
        <v/>
      </c>
      <c r="Y6108" s="23" t="str">
        <f aca="false">IF(AND(ISNUMBER(C6108),ISNUMBER(D6108)),D6108-C6108,"")</f>
        <v/>
      </c>
      <c r="Z6108" s="23" t="str">
        <f aca="false">IF(B6108="","",IF(MATCH(B6108,$B$2:$B$12000,0)=ROW()-1,1,0))</f>
        <v/>
      </c>
    </row>
    <row r="6109" customFormat="false" ht="15" hidden="false" customHeight="false" outlineLevel="0" collapsed="false">
      <c r="V6109" s="23" t="str">
        <f aca="false">IF(ISNUMBER(C6109),YEAR(C6109),"")</f>
        <v/>
      </c>
      <c r="W6109" s="23" t="str">
        <f aca="false">IF(ISNUMBER(C6109),MONTH(C6109),"")</f>
        <v/>
      </c>
      <c r="X6109" s="23" t="str">
        <f aca="false">IF(T6109="","",IF(T6109=0,"No discount",IF(T6109&lt;=0.2,"Low (1-20%)",IF(T6109&lt;=0.4,"Medium (21-40%)","High (&gt;40%)"))))</f>
        <v/>
      </c>
      <c r="Y6109" s="23" t="str">
        <f aca="false">IF(AND(ISNUMBER(C6109),ISNUMBER(D6109)),D6109-C6109,"")</f>
        <v/>
      </c>
      <c r="Z6109" s="23" t="str">
        <f aca="false">IF(B6109="","",IF(MATCH(B6109,$B$2:$B$12000,0)=ROW()-1,1,0))</f>
        <v/>
      </c>
    </row>
    <row r="6110" customFormat="false" ht="15" hidden="false" customHeight="false" outlineLevel="0" collapsed="false">
      <c r="V6110" s="23" t="str">
        <f aca="false">IF(ISNUMBER(C6110),YEAR(C6110),"")</f>
        <v/>
      </c>
      <c r="W6110" s="23" t="str">
        <f aca="false">IF(ISNUMBER(C6110),MONTH(C6110),"")</f>
        <v/>
      </c>
      <c r="X6110" s="23" t="str">
        <f aca="false">IF(T6110="","",IF(T6110=0,"No discount",IF(T6110&lt;=0.2,"Low (1-20%)",IF(T6110&lt;=0.4,"Medium (21-40%)","High (&gt;40%)"))))</f>
        <v/>
      </c>
      <c r="Y6110" s="23" t="str">
        <f aca="false">IF(AND(ISNUMBER(C6110),ISNUMBER(D6110)),D6110-C6110,"")</f>
        <v/>
      </c>
      <c r="Z6110" s="23" t="str">
        <f aca="false">IF(B6110="","",IF(MATCH(B6110,$B$2:$B$12000,0)=ROW()-1,1,0))</f>
        <v/>
      </c>
    </row>
    <row r="6111" customFormat="false" ht="15" hidden="false" customHeight="false" outlineLevel="0" collapsed="false">
      <c r="V6111" s="23" t="str">
        <f aca="false">IF(ISNUMBER(C6111),YEAR(C6111),"")</f>
        <v/>
      </c>
      <c r="W6111" s="23" t="str">
        <f aca="false">IF(ISNUMBER(C6111),MONTH(C6111),"")</f>
        <v/>
      </c>
      <c r="X6111" s="23" t="str">
        <f aca="false">IF(T6111="","",IF(T6111=0,"No discount",IF(T6111&lt;=0.2,"Low (1-20%)",IF(T6111&lt;=0.4,"Medium (21-40%)","High (&gt;40%)"))))</f>
        <v/>
      </c>
      <c r="Y6111" s="23" t="str">
        <f aca="false">IF(AND(ISNUMBER(C6111),ISNUMBER(D6111)),D6111-C6111,"")</f>
        <v/>
      </c>
      <c r="Z6111" s="23" t="str">
        <f aca="false">IF(B6111="","",IF(MATCH(B6111,$B$2:$B$12000,0)=ROW()-1,1,0))</f>
        <v/>
      </c>
    </row>
    <row r="6112" customFormat="false" ht="15" hidden="false" customHeight="false" outlineLevel="0" collapsed="false">
      <c r="V6112" s="23" t="str">
        <f aca="false">IF(ISNUMBER(C6112),YEAR(C6112),"")</f>
        <v/>
      </c>
      <c r="W6112" s="23" t="str">
        <f aca="false">IF(ISNUMBER(C6112),MONTH(C6112),"")</f>
        <v/>
      </c>
      <c r="X6112" s="23" t="str">
        <f aca="false">IF(T6112="","",IF(T6112=0,"No discount",IF(T6112&lt;=0.2,"Low (1-20%)",IF(T6112&lt;=0.4,"Medium (21-40%)","High (&gt;40%)"))))</f>
        <v/>
      </c>
      <c r="Y6112" s="23" t="str">
        <f aca="false">IF(AND(ISNUMBER(C6112),ISNUMBER(D6112)),D6112-C6112,"")</f>
        <v/>
      </c>
      <c r="Z6112" s="23" t="str">
        <f aca="false">IF(B6112="","",IF(MATCH(B6112,$B$2:$B$12000,0)=ROW()-1,1,0))</f>
        <v/>
      </c>
    </row>
    <row r="6113" customFormat="false" ht="15" hidden="false" customHeight="false" outlineLevel="0" collapsed="false">
      <c r="V6113" s="23" t="str">
        <f aca="false">IF(ISNUMBER(C6113),YEAR(C6113),"")</f>
        <v/>
      </c>
      <c r="W6113" s="23" t="str">
        <f aca="false">IF(ISNUMBER(C6113),MONTH(C6113),"")</f>
        <v/>
      </c>
      <c r="X6113" s="23" t="str">
        <f aca="false">IF(T6113="","",IF(T6113=0,"No discount",IF(T6113&lt;=0.2,"Low (1-20%)",IF(T6113&lt;=0.4,"Medium (21-40%)","High (&gt;40%)"))))</f>
        <v/>
      </c>
      <c r="Y6113" s="23" t="str">
        <f aca="false">IF(AND(ISNUMBER(C6113),ISNUMBER(D6113)),D6113-C6113,"")</f>
        <v/>
      </c>
      <c r="Z6113" s="23" t="str">
        <f aca="false">IF(B6113="","",IF(MATCH(B6113,$B$2:$B$12000,0)=ROW()-1,1,0))</f>
        <v/>
      </c>
    </row>
    <row r="6114" customFormat="false" ht="15" hidden="false" customHeight="false" outlineLevel="0" collapsed="false">
      <c r="V6114" s="23" t="str">
        <f aca="false">IF(ISNUMBER(C6114),YEAR(C6114),"")</f>
        <v/>
      </c>
      <c r="W6114" s="23" t="str">
        <f aca="false">IF(ISNUMBER(C6114),MONTH(C6114),"")</f>
        <v/>
      </c>
      <c r="X6114" s="23" t="str">
        <f aca="false">IF(T6114="","",IF(T6114=0,"No discount",IF(T6114&lt;=0.2,"Low (1-20%)",IF(T6114&lt;=0.4,"Medium (21-40%)","High (&gt;40%)"))))</f>
        <v/>
      </c>
      <c r="Y6114" s="23" t="str">
        <f aca="false">IF(AND(ISNUMBER(C6114),ISNUMBER(D6114)),D6114-C6114,"")</f>
        <v/>
      </c>
      <c r="Z6114" s="23" t="str">
        <f aca="false">IF(B6114="","",IF(MATCH(B6114,$B$2:$B$12000,0)=ROW()-1,1,0))</f>
        <v/>
      </c>
    </row>
    <row r="6115" customFormat="false" ht="15" hidden="false" customHeight="false" outlineLevel="0" collapsed="false">
      <c r="V6115" s="23" t="str">
        <f aca="false">IF(ISNUMBER(C6115),YEAR(C6115),"")</f>
        <v/>
      </c>
      <c r="W6115" s="23" t="str">
        <f aca="false">IF(ISNUMBER(C6115),MONTH(C6115),"")</f>
        <v/>
      </c>
      <c r="X6115" s="23" t="str">
        <f aca="false">IF(T6115="","",IF(T6115=0,"No discount",IF(T6115&lt;=0.2,"Low (1-20%)",IF(T6115&lt;=0.4,"Medium (21-40%)","High (&gt;40%)"))))</f>
        <v/>
      </c>
      <c r="Y6115" s="23" t="str">
        <f aca="false">IF(AND(ISNUMBER(C6115),ISNUMBER(D6115)),D6115-C6115,"")</f>
        <v/>
      </c>
      <c r="Z6115" s="23" t="str">
        <f aca="false">IF(B6115="","",IF(MATCH(B6115,$B$2:$B$12000,0)=ROW()-1,1,0))</f>
        <v/>
      </c>
    </row>
    <row r="6116" customFormat="false" ht="15" hidden="false" customHeight="false" outlineLevel="0" collapsed="false">
      <c r="V6116" s="23" t="str">
        <f aca="false">IF(ISNUMBER(C6116),YEAR(C6116),"")</f>
        <v/>
      </c>
      <c r="W6116" s="23" t="str">
        <f aca="false">IF(ISNUMBER(C6116),MONTH(C6116),"")</f>
        <v/>
      </c>
      <c r="X6116" s="23" t="str">
        <f aca="false">IF(T6116="","",IF(T6116=0,"No discount",IF(T6116&lt;=0.2,"Low (1-20%)",IF(T6116&lt;=0.4,"Medium (21-40%)","High (&gt;40%)"))))</f>
        <v/>
      </c>
      <c r="Y6116" s="23" t="str">
        <f aca="false">IF(AND(ISNUMBER(C6116),ISNUMBER(D6116)),D6116-C6116,"")</f>
        <v/>
      </c>
      <c r="Z6116" s="23" t="str">
        <f aca="false">IF(B6116="","",IF(MATCH(B6116,$B$2:$B$12000,0)=ROW()-1,1,0))</f>
        <v/>
      </c>
    </row>
    <row r="6117" customFormat="false" ht="15" hidden="false" customHeight="false" outlineLevel="0" collapsed="false">
      <c r="V6117" s="23" t="str">
        <f aca="false">IF(ISNUMBER(C6117),YEAR(C6117),"")</f>
        <v/>
      </c>
      <c r="W6117" s="23" t="str">
        <f aca="false">IF(ISNUMBER(C6117),MONTH(C6117),"")</f>
        <v/>
      </c>
      <c r="X6117" s="23" t="str">
        <f aca="false">IF(T6117="","",IF(T6117=0,"No discount",IF(T6117&lt;=0.2,"Low (1-20%)",IF(T6117&lt;=0.4,"Medium (21-40%)","High (&gt;40%)"))))</f>
        <v/>
      </c>
      <c r="Y6117" s="23" t="str">
        <f aca="false">IF(AND(ISNUMBER(C6117),ISNUMBER(D6117)),D6117-C6117,"")</f>
        <v/>
      </c>
      <c r="Z6117" s="23" t="str">
        <f aca="false">IF(B6117="","",IF(MATCH(B6117,$B$2:$B$12000,0)=ROW()-1,1,0))</f>
        <v/>
      </c>
    </row>
    <row r="6118" customFormat="false" ht="15" hidden="false" customHeight="false" outlineLevel="0" collapsed="false">
      <c r="V6118" s="23" t="str">
        <f aca="false">IF(ISNUMBER(C6118),YEAR(C6118),"")</f>
        <v/>
      </c>
      <c r="W6118" s="23" t="str">
        <f aca="false">IF(ISNUMBER(C6118),MONTH(C6118),"")</f>
        <v/>
      </c>
      <c r="X6118" s="23" t="str">
        <f aca="false">IF(T6118="","",IF(T6118=0,"No discount",IF(T6118&lt;=0.2,"Low (1-20%)",IF(T6118&lt;=0.4,"Medium (21-40%)","High (&gt;40%)"))))</f>
        <v/>
      </c>
      <c r="Y6118" s="23" t="str">
        <f aca="false">IF(AND(ISNUMBER(C6118),ISNUMBER(D6118)),D6118-C6118,"")</f>
        <v/>
      </c>
      <c r="Z6118" s="23" t="str">
        <f aca="false">IF(B6118="","",IF(MATCH(B6118,$B$2:$B$12000,0)=ROW()-1,1,0))</f>
        <v/>
      </c>
    </row>
    <row r="6119" customFormat="false" ht="15" hidden="false" customHeight="false" outlineLevel="0" collapsed="false">
      <c r="V6119" s="23" t="str">
        <f aca="false">IF(ISNUMBER(C6119),YEAR(C6119),"")</f>
        <v/>
      </c>
      <c r="W6119" s="23" t="str">
        <f aca="false">IF(ISNUMBER(C6119),MONTH(C6119),"")</f>
        <v/>
      </c>
      <c r="X6119" s="23" t="str">
        <f aca="false">IF(T6119="","",IF(T6119=0,"No discount",IF(T6119&lt;=0.2,"Low (1-20%)",IF(T6119&lt;=0.4,"Medium (21-40%)","High (&gt;40%)"))))</f>
        <v/>
      </c>
      <c r="Y6119" s="23" t="str">
        <f aca="false">IF(AND(ISNUMBER(C6119),ISNUMBER(D6119)),D6119-C6119,"")</f>
        <v/>
      </c>
      <c r="Z6119" s="23" t="str">
        <f aca="false">IF(B6119="","",IF(MATCH(B6119,$B$2:$B$12000,0)=ROW()-1,1,0))</f>
        <v/>
      </c>
    </row>
    <row r="6120" customFormat="false" ht="15" hidden="false" customHeight="false" outlineLevel="0" collapsed="false">
      <c r="V6120" s="23" t="str">
        <f aca="false">IF(ISNUMBER(C6120),YEAR(C6120),"")</f>
        <v/>
      </c>
      <c r="W6120" s="23" t="str">
        <f aca="false">IF(ISNUMBER(C6120),MONTH(C6120),"")</f>
        <v/>
      </c>
      <c r="X6120" s="23" t="str">
        <f aca="false">IF(T6120="","",IF(T6120=0,"No discount",IF(T6120&lt;=0.2,"Low (1-20%)",IF(T6120&lt;=0.4,"Medium (21-40%)","High (&gt;40%)"))))</f>
        <v/>
      </c>
      <c r="Y6120" s="23" t="str">
        <f aca="false">IF(AND(ISNUMBER(C6120),ISNUMBER(D6120)),D6120-C6120,"")</f>
        <v/>
      </c>
      <c r="Z6120" s="23" t="str">
        <f aca="false">IF(B6120="","",IF(MATCH(B6120,$B$2:$B$12000,0)=ROW()-1,1,0))</f>
        <v/>
      </c>
    </row>
    <row r="6121" customFormat="false" ht="15" hidden="false" customHeight="false" outlineLevel="0" collapsed="false">
      <c r="V6121" s="23" t="str">
        <f aca="false">IF(ISNUMBER(C6121),YEAR(C6121),"")</f>
        <v/>
      </c>
      <c r="W6121" s="23" t="str">
        <f aca="false">IF(ISNUMBER(C6121),MONTH(C6121),"")</f>
        <v/>
      </c>
      <c r="X6121" s="23" t="str">
        <f aca="false">IF(T6121="","",IF(T6121=0,"No discount",IF(T6121&lt;=0.2,"Low (1-20%)",IF(T6121&lt;=0.4,"Medium (21-40%)","High (&gt;40%)"))))</f>
        <v/>
      </c>
      <c r="Y6121" s="23" t="str">
        <f aca="false">IF(AND(ISNUMBER(C6121),ISNUMBER(D6121)),D6121-C6121,"")</f>
        <v/>
      </c>
      <c r="Z6121" s="23" t="str">
        <f aca="false">IF(B6121="","",IF(MATCH(B6121,$B$2:$B$12000,0)=ROW()-1,1,0))</f>
        <v/>
      </c>
    </row>
    <row r="6122" customFormat="false" ht="15" hidden="false" customHeight="false" outlineLevel="0" collapsed="false">
      <c r="V6122" s="23" t="str">
        <f aca="false">IF(ISNUMBER(C6122),YEAR(C6122),"")</f>
        <v/>
      </c>
      <c r="W6122" s="23" t="str">
        <f aca="false">IF(ISNUMBER(C6122),MONTH(C6122),"")</f>
        <v/>
      </c>
      <c r="X6122" s="23" t="str">
        <f aca="false">IF(T6122="","",IF(T6122=0,"No discount",IF(T6122&lt;=0.2,"Low (1-20%)",IF(T6122&lt;=0.4,"Medium (21-40%)","High (&gt;40%)"))))</f>
        <v/>
      </c>
      <c r="Y6122" s="23" t="str">
        <f aca="false">IF(AND(ISNUMBER(C6122),ISNUMBER(D6122)),D6122-C6122,"")</f>
        <v/>
      </c>
      <c r="Z6122" s="23" t="str">
        <f aca="false">IF(B6122="","",IF(MATCH(B6122,$B$2:$B$12000,0)=ROW()-1,1,0))</f>
        <v/>
      </c>
    </row>
    <row r="6123" customFormat="false" ht="15" hidden="false" customHeight="false" outlineLevel="0" collapsed="false">
      <c r="V6123" s="23" t="str">
        <f aca="false">IF(ISNUMBER(C6123),YEAR(C6123),"")</f>
        <v/>
      </c>
      <c r="W6123" s="23" t="str">
        <f aca="false">IF(ISNUMBER(C6123),MONTH(C6123),"")</f>
        <v/>
      </c>
      <c r="X6123" s="23" t="str">
        <f aca="false">IF(T6123="","",IF(T6123=0,"No discount",IF(T6123&lt;=0.2,"Low (1-20%)",IF(T6123&lt;=0.4,"Medium (21-40%)","High (&gt;40%)"))))</f>
        <v/>
      </c>
      <c r="Y6123" s="23" t="str">
        <f aca="false">IF(AND(ISNUMBER(C6123),ISNUMBER(D6123)),D6123-C6123,"")</f>
        <v/>
      </c>
      <c r="Z6123" s="23" t="str">
        <f aca="false">IF(B6123="","",IF(MATCH(B6123,$B$2:$B$12000,0)=ROW()-1,1,0))</f>
        <v/>
      </c>
    </row>
    <row r="6124" customFormat="false" ht="15" hidden="false" customHeight="false" outlineLevel="0" collapsed="false">
      <c r="V6124" s="23" t="str">
        <f aca="false">IF(ISNUMBER(C6124),YEAR(C6124),"")</f>
        <v/>
      </c>
      <c r="W6124" s="23" t="str">
        <f aca="false">IF(ISNUMBER(C6124),MONTH(C6124),"")</f>
        <v/>
      </c>
      <c r="X6124" s="23" t="str">
        <f aca="false">IF(T6124="","",IF(T6124=0,"No discount",IF(T6124&lt;=0.2,"Low (1-20%)",IF(T6124&lt;=0.4,"Medium (21-40%)","High (&gt;40%)"))))</f>
        <v/>
      </c>
      <c r="Y6124" s="23" t="str">
        <f aca="false">IF(AND(ISNUMBER(C6124),ISNUMBER(D6124)),D6124-C6124,"")</f>
        <v/>
      </c>
      <c r="Z6124" s="23" t="str">
        <f aca="false">IF(B6124="","",IF(MATCH(B6124,$B$2:$B$12000,0)=ROW()-1,1,0))</f>
        <v/>
      </c>
    </row>
    <row r="6125" customFormat="false" ht="15" hidden="false" customHeight="false" outlineLevel="0" collapsed="false">
      <c r="V6125" s="23" t="str">
        <f aca="false">IF(ISNUMBER(C6125),YEAR(C6125),"")</f>
        <v/>
      </c>
      <c r="W6125" s="23" t="str">
        <f aca="false">IF(ISNUMBER(C6125),MONTH(C6125),"")</f>
        <v/>
      </c>
      <c r="X6125" s="23" t="str">
        <f aca="false">IF(T6125="","",IF(T6125=0,"No discount",IF(T6125&lt;=0.2,"Low (1-20%)",IF(T6125&lt;=0.4,"Medium (21-40%)","High (&gt;40%)"))))</f>
        <v/>
      </c>
      <c r="Y6125" s="23" t="str">
        <f aca="false">IF(AND(ISNUMBER(C6125),ISNUMBER(D6125)),D6125-C6125,"")</f>
        <v/>
      </c>
      <c r="Z6125" s="23" t="str">
        <f aca="false">IF(B6125="","",IF(MATCH(B6125,$B$2:$B$12000,0)=ROW()-1,1,0))</f>
        <v/>
      </c>
    </row>
    <row r="6126" customFormat="false" ht="15" hidden="false" customHeight="false" outlineLevel="0" collapsed="false">
      <c r="V6126" s="23" t="str">
        <f aca="false">IF(ISNUMBER(C6126),YEAR(C6126),"")</f>
        <v/>
      </c>
      <c r="W6126" s="23" t="str">
        <f aca="false">IF(ISNUMBER(C6126),MONTH(C6126),"")</f>
        <v/>
      </c>
      <c r="X6126" s="23" t="str">
        <f aca="false">IF(T6126="","",IF(T6126=0,"No discount",IF(T6126&lt;=0.2,"Low (1-20%)",IF(T6126&lt;=0.4,"Medium (21-40%)","High (&gt;40%)"))))</f>
        <v/>
      </c>
      <c r="Y6126" s="23" t="str">
        <f aca="false">IF(AND(ISNUMBER(C6126),ISNUMBER(D6126)),D6126-C6126,"")</f>
        <v/>
      </c>
      <c r="Z6126" s="23" t="str">
        <f aca="false">IF(B6126="","",IF(MATCH(B6126,$B$2:$B$12000,0)=ROW()-1,1,0))</f>
        <v/>
      </c>
    </row>
    <row r="6127" customFormat="false" ht="15" hidden="false" customHeight="false" outlineLevel="0" collapsed="false">
      <c r="V6127" s="23" t="str">
        <f aca="false">IF(ISNUMBER(C6127),YEAR(C6127),"")</f>
        <v/>
      </c>
      <c r="W6127" s="23" t="str">
        <f aca="false">IF(ISNUMBER(C6127),MONTH(C6127),"")</f>
        <v/>
      </c>
      <c r="X6127" s="23" t="str">
        <f aca="false">IF(T6127="","",IF(T6127=0,"No discount",IF(T6127&lt;=0.2,"Low (1-20%)",IF(T6127&lt;=0.4,"Medium (21-40%)","High (&gt;40%)"))))</f>
        <v/>
      </c>
      <c r="Y6127" s="23" t="str">
        <f aca="false">IF(AND(ISNUMBER(C6127),ISNUMBER(D6127)),D6127-C6127,"")</f>
        <v/>
      </c>
      <c r="Z6127" s="23" t="str">
        <f aca="false">IF(B6127="","",IF(MATCH(B6127,$B$2:$B$12000,0)=ROW()-1,1,0))</f>
        <v/>
      </c>
    </row>
    <row r="6128" customFormat="false" ht="15" hidden="false" customHeight="false" outlineLevel="0" collapsed="false">
      <c r="V6128" s="23" t="str">
        <f aca="false">IF(ISNUMBER(C6128),YEAR(C6128),"")</f>
        <v/>
      </c>
      <c r="W6128" s="23" t="str">
        <f aca="false">IF(ISNUMBER(C6128),MONTH(C6128),"")</f>
        <v/>
      </c>
      <c r="X6128" s="23" t="str">
        <f aca="false">IF(T6128="","",IF(T6128=0,"No discount",IF(T6128&lt;=0.2,"Low (1-20%)",IF(T6128&lt;=0.4,"Medium (21-40%)","High (&gt;40%)"))))</f>
        <v/>
      </c>
      <c r="Y6128" s="23" t="str">
        <f aca="false">IF(AND(ISNUMBER(C6128),ISNUMBER(D6128)),D6128-C6128,"")</f>
        <v/>
      </c>
      <c r="Z6128" s="23" t="str">
        <f aca="false">IF(B6128="","",IF(MATCH(B6128,$B$2:$B$12000,0)=ROW()-1,1,0))</f>
        <v/>
      </c>
    </row>
    <row r="6129" customFormat="false" ht="15" hidden="false" customHeight="false" outlineLevel="0" collapsed="false">
      <c r="V6129" s="23" t="str">
        <f aca="false">IF(ISNUMBER(C6129),YEAR(C6129),"")</f>
        <v/>
      </c>
      <c r="W6129" s="23" t="str">
        <f aca="false">IF(ISNUMBER(C6129),MONTH(C6129),"")</f>
        <v/>
      </c>
      <c r="X6129" s="23" t="str">
        <f aca="false">IF(T6129="","",IF(T6129=0,"No discount",IF(T6129&lt;=0.2,"Low (1-20%)",IF(T6129&lt;=0.4,"Medium (21-40%)","High (&gt;40%)"))))</f>
        <v/>
      </c>
      <c r="Y6129" s="23" t="str">
        <f aca="false">IF(AND(ISNUMBER(C6129),ISNUMBER(D6129)),D6129-C6129,"")</f>
        <v/>
      </c>
      <c r="Z6129" s="23" t="str">
        <f aca="false">IF(B6129="","",IF(MATCH(B6129,$B$2:$B$12000,0)=ROW()-1,1,0))</f>
        <v/>
      </c>
    </row>
    <row r="6130" customFormat="false" ht="15" hidden="false" customHeight="false" outlineLevel="0" collapsed="false">
      <c r="V6130" s="23" t="str">
        <f aca="false">IF(ISNUMBER(C6130),YEAR(C6130),"")</f>
        <v/>
      </c>
      <c r="W6130" s="23" t="str">
        <f aca="false">IF(ISNUMBER(C6130),MONTH(C6130),"")</f>
        <v/>
      </c>
      <c r="X6130" s="23" t="str">
        <f aca="false">IF(T6130="","",IF(T6130=0,"No discount",IF(T6130&lt;=0.2,"Low (1-20%)",IF(T6130&lt;=0.4,"Medium (21-40%)","High (&gt;40%)"))))</f>
        <v/>
      </c>
      <c r="Y6130" s="23" t="str">
        <f aca="false">IF(AND(ISNUMBER(C6130),ISNUMBER(D6130)),D6130-C6130,"")</f>
        <v/>
      </c>
      <c r="Z6130" s="23" t="str">
        <f aca="false">IF(B6130="","",IF(MATCH(B6130,$B$2:$B$12000,0)=ROW()-1,1,0))</f>
        <v/>
      </c>
    </row>
    <row r="6131" customFormat="false" ht="15" hidden="false" customHeight="false" outlineLevel="0" collapsed="false">
      <c r="V6131" s="23" t="str">
        <f aca="false">IF(ISNUMBER(C6131),YEAR(C6131),"")</f>
        <v/>
      </c>
      <c r="W6131" s="23" t="str">
        <f aca="false">IF(ISNUMBER(C6131),MONTH(C6131),"")</f>
        <v/>
      </c>
      <c r="X6131" s="23" t="str">
        <f aca="false">IF(T6131="","",IF(T6131=0,"No discount",IF(T6131&lt;=0.2,"Low (1-20%)",IF(T6131&lt;=0.4,"Medium (21-40%)","High (&gt;40%)"))))</f>
        <v/>
      </c>
      <c r="Y6131" s="23" t="str">
        <f aca="false">IF(AND(ISNUMBER(C6131),ISNUMBER(D6131)),D6131-C6131,"")</f>
        <v/>
      </c>
      <c r="Z6131" s="23" t="str">
        <f aca="false">IF(B6131="","",IF(MATCH(B6131,$B$2:$B$12000,0)=ROW()-1,1,0))</f>
        <v/>
      </c>
    </row>
    <row r="6132" customFormat="false" ht="15" hidden="false" customHeight="false" outlineLevel="0" collapsed="false">
      <c r="V6132" s="23" t="str">
        <f aca="false">IF(ISNUMBER(C6132),YEAR(C6132),"")</f>
        <v/>
      </c>
      <c r="W6132" s="23" t="str">
        <f aca="false">IF(ISNUMBER(C6132),MONTH(C6132),"")</f>
        <v/>
      </c>
      <c r="X6132" s="23" t="str">
        <f aca="false">IF(T6132="","",IF(T6132=0,"No discount",IF(T6132&lt;=0.2,"Low (1-20%)",IF(T6132&lt;=0.4,"Medium (21-40%)","High (&gt;40%)"))))</f>
        <v/>
      </c>
      <c r="Y6132" s="23" t="str">
        <f aca="false">IF(AND(ISNUMBER(C6132),ISNUMBER(D6132)),D6132-C6132,"")</f>
        <v/>
      </c>
      <c r="Z6132" s="23" t="str">
        <f aca="false">IF(B6132="","",IF(MATCH(B6132,$B$2:$B$12000,0)=ROW()-1,1,0))</f>
        <v/>
      </c>
    </row>
    <row r="6133" customFormat="false" ht="15" hidden="false" customHeight="false" outlineLevel="0" collapsed="false">
      <c r="V6133" s="23" t="str">
        <f aca="false">IF(ISNUMBER(C6133),YEAR(C6133),"")</f>
        <v/>
      </c>
      <c r="W6133" s="23" t="str">
        <f aca="false">IF(ISNUMBER(C6133),MONTH(C6133),"")</f>
        <v/>
      </c>
      <c r="X6133" s="23" t="str">
        <f aca="false">IF(T6133="","",IF(T6133=0,"No discount",IF(T6133&lt;=0.2,"Low (1-20%)",IF(T6133&lt;=0.4,"Medium (21-40%)","High (&gt;40%)"))))</f>
        <v/>
      </c>
      <c r="Y6133" s="23" t="str">
        <f aca="false">IF(AND(ISNUMBER(C6133),ISNUMBER(D6133)),D6133-C6133,"")</f>
        <v/>
      </c>
      <c r="Z6133" s="23" t="str">
        <f aca="false">IF(B6133="","",IF(MATCH(B6133,$B$2:$B$12000,0)=ROW()-1,1,0))</f>
        <v/>
      </c>
    </row>
    <row r="6134" customFormat="false" ht="15" hidden="false" customHeight="false" outlineLevel="0" collapsed="false">
      <c r="V6134" s="23" t="str">
        <f aca="false">IF(ISNUMBER(C6134),YEAR(C6134),"")</f>
        <v/>
      </c>
      <c r="W6134" s="23" t="str">
        <f aca="false">IF(ISNUMBER(C6134),MONTH(C6134),"")</f>
        <v/>
      </c>
      <c r="X6134" s="23" t="str">
        <f aca="false">IF(T6134="","",IF(T6134=0,"No discount",IF(T6134&lt;=0.2,"Low (1-20%)",IF(T6134&lt;=0.4,"Medium (21-40%)","High (&gt;40%)"))))</f>
        <v/>
      </c>
      <c r="Y6134" s="23" t="str">
        <f aca="false">IF(AND(ISNUMBER(C6134),ISNUMBER(D6134)),D6134-C6134,"")</f>
        <v/>
      </c>
      <c r="Z6134" s="23" t="str">
        <f aca="false">IF(B6134="","",IF(MATCH(B6134,$B$2:$B$12000,0)=ROW()-1,1,0))</f>
        <v/>
      </c>
    </row>
    <row r="6135" customFormat="false" ht="15" hidden="false" customHeight="false" outlineLevel="0" collapsed="false">
      <c r="V6135" s="23" t="str">
        <f aca="false">IF(ISNUMBER(C6135),YEAR(C6135),"")</f>
        <v/>
      </c>
      <c r="W6135" s="23" t="str">
        <f aca="false">IF(ISNUMBER(C6135),MONTH(C6135),"")</f>
        <v/>
      </c>
      <c r="X6135" s="23" t="str">
        <f aca="false">IF(T6135="","",IF(T6135=0,"No discount",IF(T6135&lt;=0.2,"Low (1-20%)",IF(T6135&lt;=0.4,"Medium (21-40%)","High (&gt;40%)"))))</f>
        <v/>
      </c>
      <c r="Y6135" s="23" t="str">
        <f aca="false">IF(AND(ISNUMBER(C6135),ISNUMBER(D6135)),D6135-C6135,"")</f>
        <v/>
      </c>
      <c r="Z6135" s="23" t="str">
        <f aca="false">IF(B6135="","",IF(MATCH(B6135,$B$2:$B$12000,0)=ROW()-1,1,0))</f>
        <v/>
      </c>
    </row>
    <row r="6136" customFormat="false" ht="15" hidden="false" customHeight="false" outlineLevel="0" collapsed="false">
      <c r="V6136" s="23" t="str">
        <f aca="false">IF(ISNUMBER(C6136),YEAR(C6136),"")</f>
        <v/>
      </c>
      <c r="W6136" s="23" t="str">
        <f aca="false">IF(ISNUMBER(C6136),MONTH(C6136),"")</f>
        <v/>
      </c>
      <c r="X6136" s="23" t="str">
        <f aca="false">IF(T6136="","",IF(T6136=0,"No discount",IF(T6136&lt;=0.2,"Low (1-20%)",IF(T6136&lt;=0.4,"Medium (21-40%)","High (&gt;40%)"))))</f>
        <v/>
      </c>
      <c r="Y6136" s="23" t="str">
        <f aca="false">IF(AND(ISNUMBER(C6136),ISNUMBER(D6136)),D6136-C6136,"")</f>
        <v/>
      </c>
      <c r="Z6136" s="23" t="str">
        <f aca="false">IF(B6136="","",IF(MATCH(B6136,$B$2:$B$12000,0)=ROW()-1,1,0))</f>
        <v/>
      </c>
    </row>
    <row r="6137" customFormat="false" ht="15" hidden="false" customHeight="false" outlineLevel="0" collapsed="false">
      <c r="V6137" s="23" t="str">
        <f aca="false">IF(ISNUMBER(C6137),YEAR(C6137),"")</f>
        <v/>
      </c>
      <c r="W6137" s="23" t="str">
        <f aca="false">IF(ISNUMBER(C6137),MONTH(C6137),"")</f>
        <v/>
      </c>
      <c r="X6137" s="23" t="str">
        <f aca="false">IF(T6137="","",IF(T6137=0,"No discount",IF(T6137&lt;=0.2,"Low (1-20%)",IF(T6137&lt;=0.4,"Medium (21-40%)","High (&gt;40%)"))))</f>
        <v/>
      </c>
      <c r="Y6137" s="23" t="str">
        <f aca="false">IF(AND(ISNUMBER(C6137),ISNUMBER(D6137)),D6137-C6137,"")</f>
        <v/>
      </c>
      <c r="Z6137" s="23" t="str">
        <f aca="false">IF(B6137="","",IF(MATCH(B6137,$B$2:$B$12000,0)=ROW()-1,1,0))</f>
        <v/>
      </c>
    </row>
    <row r="6138" customFormat="false" ht="15" hidden="false" customHeight="false" outlineLevel="0" collapsed="false">
      <c r="V6138" s="23" t="str">
        <f aca="false">IF(ISNUMBER(C6138),YEAR(C6138),"")</f>
        <v/>
      </c>
      <c r="W6138" s="23" t="str">
        <f aca="false">IF(ISNUMBER(C6138),MONTH(C6138),"")</f>
        <v/>
      </c>
      <c r="X6138" s="23" t="str">
        <f aca="false">IF(T6138="","",IF(T6138=0,"No discount",IF(T6138&lt;=0.2,"Low (1-20%)",IF(T6138&lt;=0.4,"Medium (21-40%)","High (&gt;40%)"))))</f>
        <v/>
      </c>
      <c r="Y6138" s="23" t="str">
        <f aca="false">IF(AND(ISNUMBER(C6138),ISNUMBER(D6138)),D6138-C6138,"")</f>
        <v/>
      </c>
      <c r="Z6138" s="23" t="str">
        <f aca="false">IF(B6138="","",IF(MATCH(B6138,$B$2:$B$12000,0)=ROW()-1,1,0))</f>
        <v/>
      </c>
    </row>
    <row r="6139" customFormat="false" ht="15" hidden="false" customHeight="false" outlineLevel="0" collapsed="false">
      <c r="V6139" s="23" t="str">
        <f aca="false">IF(ISNUMBER(C6139),YEAR(C6139),"")</f>
        <v/>
      </c>
      <c r="W6139" s="23" t="str">
        <f aca="false">IF(ISNUMBER(C6139),MONTH(C6139),"")</f>
        <v/>
      </c>
      <c r="X6139" s="23" t="str">
        <f aca="false">IF(T6139="","",IF(T6139=0,"No discount",IF(T6139&lt;=0.2,"Low (1-20%)",IF(T6139&lt;=0.4,"Medium (21-40%)","High (&gt;40%)"))))</f>
        <v/>
      </c>
      <c r="Y6139" s="23" t="str">
        <f aca="false">IF(AND(ISNUMBER(C6139),ISNUMBER(D6139)),D6139-C6139,"")</f>
        <v/>
      </c>
      <c r="Z6139" s="23" t="str">
        <f aca="false">IF(B6139="","",IF(MATCH(B6139,$B$2:$B$12000,0)=ROW()-1,1,0))</f>
        <v/>
      </c>
    </row>
    <row r="6140" customFormat="false" ht="15" hidden="false" customHeight="false" outlineLevel="0" collapsed="false">
      <c r="V6140" s="23" t="str">
        <f aca="false">IF(ISNUMBER(C6140),YEAR(C6140),"")</f>
        <v/>
      </c>
      <c r="W6140" s="23" t="str">
        <f aca="false">IF(ISNUMBER(C6140),MONTH(C6140),"")</f>
        <v/>
      </c>
      <c r="X6140" s="23" t="str">
        <f aca="false">IF(T6140="","",IF(T6140=0,"No discount",IF(T6140&lt;=0.2,"Low (1-20%)",IF(T6140&lt;=0.4,"Medium (21-40%)","High (&gt;40%)"))))</f>
        <v/>
      </c>
      <c r="Y6140" s="23" t="str">
        <f aca="false">IF(AND(ISNUMBER(C6140),ISNUMBER(D6140)),D6140-C6140,"")</f>
        <v/>
      </c>
      <c r="Z6140" s="23" t="str">
        <f aca="false">IF(B6140="","",IF(MATCH(B6140,$B$2:$B$12000,0)=ROW()-1,1,0))</f>
        <v/>
      </c>
    </row>
    <row r="6141" customFormat="false" ht="15" hidden="false" customHeight="false" outlineLevel="0" collapsed="false">
      <c r="V6141" s="23" t="str">
        <f aca="false">IF(ISNUMBER(C6141),YEAR(C6141),"")</f>
        <v/>
      </c>
      <c r="W6141" s="23" t="str">
        <f aca="false">IF(ISNUMBER(C6141),MONTH(C6141),"")</f>
        <v/>
      </c>
      <c r="X6141" s="23" t="str">
        <f aca="false">IF(T6141="","",IF(T6141=0,"No discount",IF(T6141&lt;=0.2,"Low (1-20%)",IF(T6141&lt;=0.4,"Medium (21-40%)","High (&gt;40%)"))))</f>
        <v/>
      </c>
      <c r="Y6141" s="23" t="str">
        <f aca="false">IF(AND(ISNUMBER(C6141),ISNUMBER(D6141)),D6141-C6141,"")</f>
        <v/>
      </c>
      <c r="Z6141" s="23" t="str">
        <f aca="false">IF(B6141="","",IF(MATCH(B6141,$B$2:$B$12000,0)=ROW()-1,1,0))</f>
        <v/>
      </c>
    </row>
    <row r="6142" customFormat="false" ht="15" hidden="false" customHeight="false" outlineLevel="0" collapsed="false">
      <c r="V6142" s="23" t="str">
        <f aca="false">IF(ISNUMBER(C6142),YEAR(C6142),"")</f>
        <v/>
      </c>
      <c r="W6142" s="23" t="str">
        <f aca="false">IF(ISNUMBER(C6142),MONTH(C6142),"")</f>
        <v/>
      </c>
      <c r="X6142" s="23" t="str">
        <f aca="false">IF(T6142="","",IF(T6142=0,"No discount",IF(T6142&lt;=0.2,"Low (1-20%)",IF(T6142&lt;=0.4,"Medium (21-40%)","High (&gt;40%)"))))</f>
        <v/>
      </c>
      <c r="Y6142" s="23" t="str">
        <f aca="false">IF(AND(ISNUMBER(C6142),ISNUMBER(D6142)),D6142-C6142,"")</f>
        <v/>
      </c>
      <c r="Z6142" s="23" t="str">
        <f aca="false">IF(B6142="","",IF(MATCH(B6142,$B$2:$B$12000,0)=ROW()-1,1,0))</f>
        <v/>
      </c>
    </row>
    <row r="6143" customFormat="false" ht="15" hidden="false" customHeight="false" outlineLevel="0" collapsed="false">
      <c r="V6143" s="23" t="str">
        <f aca="false">IF(ISNUMBER(C6143),YEAR(C6143),"")</f>
        <v/>
      </c>
      <c r="W6143" s="23" t="str">
        <f aca="false">IF(ISNUMBER(C6143),MONTH(C6143),"")</f>
        <v/>
      </c>
      <c r="X6143" s="23" t="str">
        <f aca="false">IF(T6143="","",IF(T6143=0,"No discount",IF(T6143&lt;=0.2,"Low (1-20%)",IF(T6143&lt;=0.4,"Medium (21-40%)","High (&gt;40%)"))))</f>
        <v/>
      </c>
      <c r="Y6143" s="23" t="str">
        <f aca="false">IF(AND(ISNUMBER(C6143),ISNUMBER(D6143)),D6143-C6143,"")</f>
        <v/>
      </c>
      <c r="Z6143" s="23" t="str">
        <f aca="false">IF(B6143="","",IF(MATCH(B6143,$B$2:$B$12000,0)=ROW()-1,1,0))</f>
        <v/>
      </c>
    </row>
    <row r="6144" customFormat="false" ht="15" hidden="false" customHeight="false" outlineLevel="0" collapsed="false">
      <c r="V6144" s="23" t="str">
        <f aca="false">IF(ISNUMBER(C6144),YEAR(C6144),"")</f>
        <v/>
      </c>
      <c r="W6144" s="23" t="str">
        <f aca="false">IF(ISNUMBER(C6144),MONTH(C6144),"")</f>
        <v/>
      </c>
      <c r="X6144" s="23" t="str">
        <f aca="false">IF(T6144="","",IF(T6144=0,"No discount",IF(T6144&lt;=0.2,"Low (1-20%)",IF(T6144&lt;=0.4,"Medium (21-40%)","High (&gt;40%)"))))</f>
        <v/>
      </c>
      <c r="Y6144" s="23" t="str">
        <f aca="false">IF(AND(ISNUMBER(C6144),ISNUMBER(D6144)),D6144-C6144,"")</f>
        <v/>
      </c>
      <c r="Z6144" s="23" t="str">
        <f aca="false">IF(B6144="","",IF(MATCH(B6144,$B$2:$B$12000,0)=ROW()-1,1,0))</f>
        <v/>
      </c>
    </row>
    <row r="6145" customFormat="false" ht="15" hidden="false" customHeight="false" outlineLevel="0" collapsed="false">
      <c r="V6145" s="23" t="str">
        <f aca="false">IF(ISNUMBER(C6145),YEAR(C6145),"")</f>
        <v/>
      </c>
      <c r="W6145" s="23" t="str">
        <f aca="false">IF(ISNUMBER(C6145),MONTH(C6145),"")</f>
        <v/>
      </c>
      <c r="X6145" s="23" t="str">
        <f aca="false">IF(T6145="","",IF(T6145=0,"No discount",IF(T6145&lt;=0.2,"Low (1-20%)",IF(T6145&lt;=0.4,"Medium (21-40%)","High (&gt;40%)"))))</f>
        <v/>
      </c>
      <c r="Y6145" s="23" t="str">
        <f aca="false">IF(AND(ISNUMBER(C6145),ISNUMBER(D6145)),D6145-C6145,"")</f>
        <v/>
      </c>
      <c r="Z6145" s="23" t="str">
        <f aca="false">IF(B6145="","",IF(MATCH(B6145,$B$2:$B$12000,0)=ROW()-1,1,0))</f>
        <v/>
      </c>
    </row>
    <row r="6146" customFormat="false" ht="15" hidden="false" customHeight="false" outlineLevel="0" collapsed="false">
      <c r="V6146" s="23" t="str">
        <f aca="false">IF(ISNUMBER(C6146),YEAR(C6146),"")</f>
        <v/>
      </c>
      <c r="W6146" s="23" t="str">
        <f aca="false">IF(ISNUMBER(C6146),MONTH(C6146),"")</f>
        <v/>
      </c>
      <c r="X6146" s="23" t="str">
        <f aca="false">IF(T6146="","",IF(T6146=0,"No discount",IF(T6146&lt;=0.2,"Low (1-20%)",IF(T6146&lt;=0.4,"Medium (21-40%)","High (&gt;40%)"))))</f>
        <v/>
      </c>
      <c r="Y6146" s="23" t="str">
        <f aca="false">IF(AND(ISNUMBER(C6146),ISNUMBER(D6146)),D6146-C6146,"")</f>
        <v/>
      </c>
      <c r="Z6146" s="23" t="str">
        <f aca="false">IF(B6146="","",IF(MATCH(B6146,$B$2:$B$12000,0)=ROW()-1,1,0))</f>
        <v/>
      </c>
    </row>
    <row r="6147" customFormat="false" ht="15" hidden="false" customHeight="false" outlineLevel="0" collapsed="false">
      <c r="V6147" s="23" t="str">
        <f aca="false">IF(ISNUMBER(C6147),YEAR(C6147),"")</f>
        <v/>
      </c>
      <c r="W6147" s="23" t="str">
        <f aca="false">IF(ISNUMBER(C6147),MONTH(C6147),"")</f>
        <v/>
      </c>
      <c r="X6147" s="23" t="str">
        <f aca="false">IF(T6147="","",IF(T6147=0,"No discount",IF(T6147&lt;=0.2,"Low (1-20%)",IF(T6147&lt;=0.4,"Medium (21-40%)","High (&gt;40%)"))))</f>
        <v/>
      </c>
      <c r="Y6147" s="23" t="str">
        <f aca="false">IF(AND(ISNUMBER(C6147),ISNUMBER(D6147)),D6147-C6147,"")</f>
        <v/>
      </c>
      <c r="Z6147" s="23" t="str">
        <f aca="false">IF(B6147="","",IF(MATCH(B6147,$B$2:$B$12000,0)=ROW()-1,1,0))</f>
        <v/>
      </c>
    </row>
    <row r="6148" customFormat="false" ht="15" hidden="false" customHeight="false" outlineLevel="0" collapsed="false">
      <c r="V6148" s="23" t="str">
        <f aca="false">IF(ISNUMBER(C6148),YEAR(C6148),"")</f>
        <v/>
      </c>
      <c r="W6148" s="23" t="str">
        <f aca="false">IF(ISNUMBER(C6148),MONTH(C6148),"")</f>
        <v/>
      </c>
      <c r="X6148" s="23" t="str">
        <f aca="false">IF(T6148="","",IF(T6148=0,"No discount",IF(T6148&lt;=0.2,"Low (1-20%)",IF(T6148&lt;=0.4,"Medium (21-40%)","High (&gt;40%)"))))</f>
        <v/>
      </c>
      <c r="Y6148" s="23" t="str">
        <f aca="false">IF(AND(ISNUMBER(C6148),ISNUMBER(D6148)),D6148-C6148,"")</f>
        <v/>
      </c>
      <c r="Z6148" s="23" t="str">
        <f aca="false">IF(B6148="","",IF(MATCH(B6148,$B$2:$B$12000,0)=ROW()-1,1,0))</f>
        <v/>
      </c>
    </row>
    <row r="6149" customFormat="false" ht="15" hidden="false" customHeight="false" outlineLevel="0" collapsed="false">
      <c r="V6149" s="23" t="str">
        <f aca="false">IF(ISNUMBER(C6149),YEAR(C6149),"")</f>
        <v/>
      </c>
      <c r="W6149" s="23" t="str">
        <f aca="false">IF(ISNUMBER(C6149),MONTH(C6149),"")</f>
        <v/>
      </c>
      <c r="X6149" s="23" t="str">
        <f aca="false">IF(T6149="","",IF(T6149=0,"No discount",IF(T6149&lt;=0.2,"Low (1-20%)",IF(T6149&lt;=0.4,"Medium (21-40%)","High (&gt;40%)"))))</f>
        <v/>
      </c>
      <c r="Y6149" s="23" t="str">
        <f aca="false">IF(AND(ISNUMBER(C6149),ISNUMBER(D6149)),D6149-C6149,"")</f>
        <v/>
      </c>
      <c r="Z6149" s="23" t="str">
        <f aca="false">IF(B6149="","",IF(MATCH(B6149,$B$2:$B$12000,0)=ROW()-1,1,0))</f>
        <v/>
      </c>
    </row>
    <row r="6150" customFormat="false" ht="15" hidden="false" customHeight="false" outlineLevel="0" collapsed="false">
      <c r="V6150" s="23" t="str">
        <f aca="false">IF(ISNUMBER(C6150),YEAR(C6150),"")</f>
        <v/>
      </c>
      <c r="W6150" s="23" t="str">
        <f aca="false">IF(ISNUMBER(C6150),MONTH(C6150),"")</f>
        <v/>
      </c>
      <c r="X6150" s="23" t="str">
        <f aca="false">IF(T6150="","",IF(T6150=0,"No discount",IF(T6150&lt;=0.2,"Low (1-20%)",IF(T6150&lt;=0.4,"Medium (21-40%)","High (&gt;40%)"))))</f>
        <v/>
      </c>
      <c r="Y6150" s="23" t="str">
        <f aca="false">IF(AND(ISNUMBER(C6150),ISNUMBER(D6150)),D6150-C6150,"")</f>
        <v/>
      </c>
      <c r="Z6150" s="23" t="str">
        <f aca="false">IF(B6150="","",IF(MATCH(B6150,$B$2:$B$12000,0)=ROW()-1,1,0))</f>
        <v/>
      </c>
    </row>
    <row r="6151" customFormat="false" ht="15" hidden="false" customHeight="false" outlineLevel="0" collapsed="false">
      <c r="V6151" s="23" t="str">
        <f aca="false">IF(ISNUMBER(C6151),YEAR(C6151),"")</f>
        <v/>
      </c>
      <c r="W6151" s="23" t="str">
        <f aca="false">IF(ISNUMBER(C6151),MONTH(C6151),"")</f>
        <v/>
      </c>
      <c r="X6151" s="23" t="str">
        <f aca="false">IF(T6151="","",IF(T6151=0,"No discount",IF(T6151&lt;=0.2,"Low (1-20%)",IF(T6151&lt;=0.4,"Medium (21-40%)","High (&gt;40%)"))))</f>
        <v/>
      </c>
      <c r="Y6151" s="23" t="str">
        <f aca="false">IF(AND(ISNUMBER(C6151),ISNUMBER(D6151)),D6151-C6151,"")</f>
        <v/>
      </c>
      <c r="Z6151" s="23" t="str">
        <f aca="false">IF(B6151="","",IF(MATCH(B6151,$B$2:$B$12000,0)=ROW()-1,1,0))</f>
        <v/>
      </c>
    </row>
    <row r="6152" customFormat="false" ht="15" hidden="false" customHeight="false" outlineLevel="0" collapsed="false">
      <c r="V6152" s="23" t="str">
        <f aca="false">IF(ISNUMBER(C6152),YEAR(C6152),"")</f>
        <v/>
      </c>
      <c r="W6152" s="23" t="str">
        <f aca="false">IF(ISNUMBER(C6152),MONTH(C6152),"")</f>
        <v/>
      </c>
      <c r="X6152" s="23" t="str">
        <f aca="false">IF(T6152="","",IF(T6152=0,"No discount",IF(T6152&lt;=0.2,"Low (1-20%)",IF(T6152&lt;=0.4,"Medium (21-40%)","High (&gt;40%)"))))</f>
        <v/>
      </c>
      <c r="Y6152" s="23" t="str">
        <f aca="false">IF(AND(ISNUMBER(C6152),ISNUMBER(D6152)),D6152-C6152,"")</f>
        <v/>
      </c>
      <c r="Z6152" s="23" t="str">
        <f aca="false">IF(B6152="","",IF(MATCH(B6152,$B$2:$B$12000,0)=ROW()-1,1,0))</f>
        <v/>
      </c>
    </row>
    <row r="6153" customFormat="false" ht="15" hidden="false" customHeight="false" outlineLevel="0" collapsed="false">
      <c r="V6153" s="23" t="str">
        <f aca="false">IF(ISNUMBER(C6153),YEAR(C6153),"")</f>
        <v/>
      </c>
      <c r="W6153" s="23" t="str">
        <f aca="false">IF(ISNUMBER(C6153),MONTH(C6153),"")</f>
        <v/>
      </c>
      <c r="X6153" s="23" t="str">
        <f aca="false">IF(T6153="","",IF(T6153=0,"No discount",IF(T6153&lt;=0.2,"Low (1-20%)",IF(T6153&lt;=0.4,"Medium (21-40%)","High (&gt;40%)"))))</f>
        <v/>
      </c>
      <c r="Y6153" s="23" t="str">
        <f aca="false">IF(AND(ISNUMBER(C6153),ISNUMBER(D6153)),D6153-C6153,"")</f>
        <v/>
      </c>
      <c r="Z6153" s="23" t="str">
        <f aca="false">IF(B6153="","",IF(MATCH(B6153,$B$2:$B$12000,0)=ROW()-1,1,0))</f>
        <v/>
      </c>
    </row>
    <row r="6154" customFormat="false" ht="15" hidden="false" customHeight="false" outlineLevel="0" collapsed="false">
      <c r="V6154" s="23" t="str">
        <f aca="false">IF(ISNUMBER(C6154),YEAR(C6154),"")</f>
        <v/>
      </c>
      <c r="W6154" s="23" t="str">
        <f aca="false">IF(ISNUMBER(C6154),MONTH(C6154),"")</f>
        <v/>
      </c>
      <c r="X6154" s="23" t="str">
        <f aca="false">IF(T6154="","",IF(T6154=0,"No discount",IF(T6154&lt;=0.2,"Low (1-20%)",IF(T6154&lt;=0.4,"Medium (21-40%)","High (&gt;40%)"))))</f>
        <v/>
      </c>
      <c r="Y6154" s="23" t="str">
        <f aca="false">IF(AND(ISNUMBER(C6154),ISNUMBER(D6154)),D6154-C6154,"")</f>
        <v/>
      </c>
      <c r="Z6154" s="23" t="str">
        <f aca="false">IF(B6154="","",IF(MATCH(B6154,$B$2:$B$12000,0)=ROW()-1,1,0))</f>
        <v/>
      </c>
    </row>
    <row r="6155" customFormat="false" ht="15" hidden="false" customHeight="false" outlineLevel="0" collapsed="false">
      <c r="V6155" s="23" t="str">
        <f aca="false">IF(ISNUMBER(C6155),YEAR(C6155),"")</f>
        <v/>
      </c>
      <c r="W6155" s="23" t="str">
        <f aca="false">IF(ISNUMBER(C6155),MONTH(C6155),"")</f>
        <v/>
      </c>
      <c r="X6155" s="23" t="str">
        <f aca="false">IF(T6155="","",IF(T6155=0,"No discount",IF(T6155&lt;=0.2,"Low (1-20%)",IF(T6155&lt;=0.4,"Medium (21-40%)","High (&gt;40%)"))))</f>
        <v/>
      </c>
      <c r="Y6155" s="23" t="str">
        <f aca="false">IF(AND(ISNUMBER(C6155),ISNUMBER(D6155)),D6155-C6155,"")</f>
        <v/>
      </c>
      <c r="Z6155" s="23" t="str">
        <f aca="false">IF(B6155="","",IF(MATCH(B6155,$B$2:$B$12000,0)=ROW()-1,1,0))</f>
        <v/>
      </c>
    </row>
    <row r="6156" customFormat="false" ht="15" hidden="false" customHeight="false" outlineLevel="0" collapsed="false">
      <c r="V6156" s="23" t="str">
        <f aca="false">IF(ISNUMBER(C6156),YEAR(C6156),"")</f>
        <v/>
      </c>
      <c r="W6156" s="23" t="str">
        <f aca="false">IF(ISNUMBER(C6156),MONTH(C6156),"")</f>
        <v/>
      </c>
      <c r="X6156" s="23" t="str">
        <f aca="false">IF(T6156="","",IF(T6156=0,"No discount",IF(T6156&lt;=0.2,"Low (1-20%)",IF(T6156&lt;=0.4,"Medium (21-40%)","High (&gt;40%)"))))</f>
        <v/>
      </c>
      <c r="Y6156" s="23" t="str">
        <f aca="false">IF(AND(ISNUMBER(C6156),ISNUMBER(D6156)),D6156-C6156,"")</f>
        <v/>
      </c>
      <c r="Z6156" s="23" t="str">
        <f aca="false">IF(B6156="","",IF(MATCH(B6156,$B$2:$B$12000,0)=ROW()-1,1,0))</f>
        <v/>
      </c>
    </row>
    <row r="6157" customFormat="false" ht="15" hidden="false" customHeight="false" outlineLevel="0" collapsed="false">
      <c r="V6157" s="23" t="str">
        <f aca="false">IF(ISNUMBER(C6157),YEAR(C6157),"")</f>
        <v/>
      </c>
      <c r="W6157" s="23" t="str">
        <f aca="false">IF(ISNUMBER(C6157),MONTH(C6157),"")</f>
        <v/>
      </c>
      <c r="X6157" s="23" t="str">
        <f aca="false">IF(T6157="","",IF(T6157=0,"No discount",IF(T6157&lt;=0.2,"Low (1-20%)",IF(T6157&lt;=0.4,"Medium (21-40%)","High (&gt;40%)"))))</f>
        <v/>
      </c>
      <c r="Y6157" s="23" t="str">
        <f aca="false">IF(AND(ISNUMBER(C6157),ISNUMBER(D6157)),D6157-C6157,"")</f>
        <v/>
      </c>
      <c r="Z6157" s="23" t="str">
        <f aca="false">IF(B6157="","",IF(MATCH(B6157,$B$2:$B$12000,0)=ROW()-1,1,0))</f>
        <v/>
      </c>
    </row>
    <row r="6158" customFormat="false" ht="15" hidden="false" customHeight="false" outlineLevel="0" collapsed="false">
      <c r="V6158" s="23" t="str">
        <f aca="false">IF(ISNUMBER(C6158),YEAR(C6158),"")</f>
        <v/>
      </c>
      <c r="W6158" s="23" t="str">
        <f aca="false">IF(ISNUMBER(C6158),MONTH(C6158),"")</f>
        <v/>
      </c>
      <c r="X6158" s="23" t="str">
        <f aca="false">IF(T6158="","",IF(T6158=0,"No discount",IF(T6158&lt;=0.2,"Low (1-20%)",IF(T6158&lt;=0.4,"Medium (21-40%)","High (&gt;40%)"))))</f>
        <v/>
      </c>
      <c r="Y6158" s="23" t="str">
        <f aca="false">IF(AND(ISNUMBER(C6158),ISNUMBER(D6158)),D6158-C6158,"")</f>
        <v/>
      </c>
      <c r="Z6158" s="23" t="str">
        <f aca="false">IF(B6158="","",IF(MATCH(B6158,$B$2:$B$12000,0)=ROW()-1,1,0))</f>
        <v/>
      </c>
    </row>
    <row r="6159" customFormat="false" ht="15" hidden="false" customHeight="false" outlineLevel="0" collapsed="false">
      <c r="V6159" s="23" t="str">
        <f aca="false">IF(ISNUMBER(C6159),YEAR(C6159),"")</f>
        <v/>
      </c>
      <c r="W6159" s="23" t="str">
        <f aca="false">IF(ISNUMBER(C6159),MONTH(C6159),"")</f>
        <v/>
      </c>
      <c r="X6159" s="23" t="str">
        <f aca="false">IF(T6159="","",IF(T6159=0,"No discount",IF(T6159&lt;=0.2,"Low (1-20%)",IF(T6159&lt;=0.4,"Medium (21-40%)","High (&gt;40%)"))))</f>
        <v/>
      </c>
      <c r="Y6159" s="23" t="str">
        <f aca="false">IF(AND(ISNUMBER(C6159),ISNUMBER(D6159)),D6159-C6159,"")</f>
        <v/>
      </c>
      <c r="Z6159" s="23" t="str">
        <f aca="false">IF(B6159="","",IF(MATCH(B6159,$B$2:$B$12000,0)=ROW()-1,1,0))</f>
        <v/>
      </c>
    </row>
    <row r="6160" customFormat="false" ht="15" hidden="false" customHeight="false" outlineLevel="0" collapsed="false">
      <c r="V6160" s="23" t="str">
        <f aca="false">IF(ISNUMBER(C6160),YEAR(C6160),"")</f>
        <v/>
      </c>
      <c r="W6160" s="23" t="str">
        <f aca="false">IF(ISNUMBER(C6160),MONTH(C6160),"")</f>
        <v/>
      </c>
      <c r="X6160" s="23" t="str">
        <f aca="false">IF(T6160="","",IF(T6160=0,"No discount",IF(T6160&lt;=0.2,"Low (1-20%)",IF(T6160&lt;=0.4,"Medium (21-40%)","High (&gt;40%)"))))</f>
        <v/>
      </c>
      <c r="Y6160" s="23" t="str">
        <f aca="false">IF(AND(ISNUMBER(C6160),ISNUMBER(D6160)),D6160-C6160,"")</f>
        <v/>
      </c>
      <c r="Z6160" s="23" t="str">
        <f aca="false">IF(B6160="","",IF(MATCH(B6160,$B$2:$B$12000,0)=ROW()-1,1,0))</f>
        <v/>
      </c>
    </row>
    <row r="6161" customFormat="false" ht="15" hidden="false" customHeight="false" outlineLevel="0" collapsed="false">
      <c r="V6161" s="23" t="str">
        <f aca="false">IF(ISNUMBER(C6161),YEAR(C6161),"")</f>
        <v/>
      </c>
      <c r="W6161" s="23" t="str">
        <f aca="false">IF(ISNUMBER(C6161),MONTH(C6161),"")</f>
        <v/>
      </c>
      <c r="X6161" s="23" t="str">
        <f aca="false">IF(T6161="","",IF(T6161=0,"No discount",IF(T6161&lt;=0.2,"Low (1-20%)",IF(T6161&lt;=0.4,"Medium (21-40%)","High (&gt;40%)"))))</f>
        <v/>
      </c>
      <c r="Y6161" s="23" t="str">
        <f aca="false">IF(AND(ISNUMBER(C6161),ISNUMBER(D6161)),D6161-C6161,"")</f>
        <v/>
      </c>
      <c r="Z6161" s="23" t="str">
        <f aca="false">IF(B6161="","",IF(MATCH(B6161,$B$2:$B$12000,0)=ROW()-1,1,0))</f>
        <v/>
      </c>
    </row>
    <row r="6162" customFormat="false" ht="15" hidden="false" customHeight="false" outlineLevel="0" collapsed="false">
      <c r="V6162" s="23" t="str">
        <f aca="false">IF(ISNUMBER(C6162),YEAR(C6162),"")</f>
        <v/>
      </c>
      <c r="W6162" s="23" t="str">
        <f aca="false">IF(ISNUMBER(C6162),MONTH(C6162),"")</f>
        <v/>
      </c>
      <c r="X6162" s="23" t="str">
        <f aca="false">IF(T6162="","",IF(T6162=0,"No discount",IF(T6162&lt;=0.2,"Low (1-20%)",IF(T6162&lt;=0.4,"Medium (21-40%)","High (&gt;40%)"))))</f>
        <v/>
      </c>
      <c r="Y6162" s="23" t="str">
        <f aca="false">IF(AND(ISNUMBER(C6162),ISNUMBER(D6162)),D6162-C6162,"")</f>
        <v/>
      </c>
      <c r="Z6162" s="23" t="str">
        <f aca="false">IF(B6162="","",IF(MATCH(B6162,$B$2:$B$12000,0)=ROW()-1,1,0))</f>
        <v/>
      </c>
    </row>
    <row r="6163" customFormat="false" ht="15" hidden="false" customHeight="false" outlineLevel="0" collapsed="false">
      <c r="V6163" s="23" t="str">
        <f aca="false">IF(ISNUMBER(C6163),YEAR(C6163),"")</f>
        <v/>
      </c>
      <c r="W6163" s="23" t="str">
        <f aca="false">IF(ISNUMBER(C6163),MONTH(C6163),"")</f>
        <v/>
      </c>
      <c r="X6163" s="23" t="str">
        <f aca="false">IF(T6163="","",IF(T6163=0,"No discount",IF(T6163&lt;=0.2,"Low (1-20%)",IF(T6163&lt;=0.4,"Medium (21-40%)","High (&gt;40%)"))))</f>
        <v/>
      </c>
      <c r="Y6163" s="23" t="str">
        <f aca="false">IF(AND(ISNUMBER(C6163),ISNUMBER(D6163)),D6163-C6163,"")</f>
        <v/>
      </c>
      <c r="Z6163" s="23" t="str">
        <f aca="false">IF(B6163="","",IF(MATCH(B6163,$B$2:$B$12000,0)=ROW()-1,1,0))</f>
        <v/>
      </c>
    </row>
    <row r="6164" customFormat="false" ht="15" hidden="false" customHeight="false" outlineLevel="0" collapsed="false">
      <c r="V6164" s="23" t="str">
        <f aca="false">IF(ISNUMBER(C6164),YEAR(C6164),"")</f>
        <v/>
      </c>
      <c r="W6164" s="23" t="str">
        <f aca="false">IF(ISNUMBER(C6164),MONTH(C6164),"")</f>
        <v/>
      </c>
      <c r="X6164" s="23" t="str">
        <f aca="false">IF(T6164="","",IF(T6164=0,"No discount",IF(T6164&lt;=0.2,"Low (1-20%)",IF(T6164&lt;=0.4,"Medium (21-40%)","High (&gt;40%)"))))</f>
        <v/>
      </c>
      <c r="Y6164" s="23" t="str">
        <f aca="false">IF(AND(ISNUMBER(C6164),ISNUMBER(D6164)),D6164-C6164,"")</f>
        <v/>
      </c>
      <c r="Z6164" s="23" t="str">
        <f aca="false">IF(B6164="","",IF(MATCH(B6164,$B$2:$B$12000,0)=ROW()-1,1,0))</f>
        <v/>
      </c>
    </row>
    <row r="6165" customFormat="false" ht="15" hidden="false" customHeight="false" outlineLevel="0" collapsed="false">
      <c r="V6165" s="23" t="str">
        <f aca="false">IF(ISNUMBER(C6165),YEAR(C6165),"")</f>
        <v/>
      </c>
      <c r="W6165" s="23" t="str">
        <f aca="false">IF(ISNUMBER(C6165),MONTH(C6165),"")</f>
        <v/>
      </c>
      <c r="X6165" s="23" t="str">
        <f aca="false">IF(T6165="","",IF(T6165=0,"No discount",IF(T6165&lt;=0.2,"Low (1-20%)",IF(T6165&lt;=0.4,"Medium (21-40%)","High (&gt;40%)"))))</f>
        <v/>
      </c>
      <c r="Y6165" s="23" t="str">
        <f aca="false">IF(AND(ISNUMBER(C6165),ISNUMBER(D6165)),D6165-C6165,"")</f>
        <v/>
      </c>
      <c r="Z6165" s="23" t="str">
        <f aca="false">IF(B6165="","",IF(MATCH(B6165,$B$2:$B$12000,0)=ROW()-1,1,0))</f>
        <v/>
      </c>
    </row>
    <row r="6166" customFormat="false" ht="15" hidden="false" customHeight="false" outlineLevel="0" collapsed="false">
      <c r="V6166" s="23" t="str">
        <f aca="false">IF(ISNUMBER(C6166),YEAR(C6166),"")</f>
        <v/>
      </c>
      <c r="W6166" s="23" t="str">
        <f aca="false">IF(ISNUMBER(C6166),MONTH(C6166),"")</f>
        <v/>
      </c>
      <c r="X6166" s="23" t="str">
        <f aca="false">IF(T6166="","",IF(T6166=0,"No discount",IF(T6166&lt;=0.2,"Low (1-20%)",IF(T6166&lt;=0.4,"Medium (21-40%)","High (&gt;40%)"))))</f>
        <v/>
      </c>
      <c r="Y6166" s="23" t="str">
        <f aca="false">IF(AND(ISNUMBER(C6166),ISNUMBER(D6166)),D6166-C6166,"")</f>
        <v/>
      </c>
      <c r="Z6166" s="23" t="str">
        <f aca="false">IF(B6166="","",IF(MATCH(B6166,$B$2:$B$12000,0)=ROW()-1,1,0))</f>
        <v/>
      </c>
    </row>
    <row r="6167" customFormat="false" ht="15" hidden="false" customHeight="false" outlineLevel="0" collapsed="false">
      <c r="V6167" s="23" t="str">
        <f aca="false">IF(ISNUMBER(C6167),YEAR(C6167),"")</f>
        <v/>
      </c>
      <c r="W6167" s="23" t="str">
        <f aca="false">IF(ISNUMBER(C6167),MONTH(C6167),"")</f>
        <v/>
      </c>
      <c r="X6167" s="23" t="str">
        <f aca="false">IF(T6167="","",IF(T6167=0,"No discount",IF(T6167&lt;=0.2,"Low (1-20%)",IF(T6167&lt;=0.4,"Medium (21-40%)","High (&gt;40%)"))))</f>
        <v/>
      </c>
      <c r="Y6167" s="23" t="str">
        <f aca="false">IF(AND(ISNUMBER(C6167),ISNUMBER(D6167)),D6167-C6167,"")</f>
        <v/>
      </c>
      <c r="Z6167" s="23" t="str">
        <f aca="false">IF(B6167="","",IF(MATCH(B6167,$B$2:$B$12000,0)=ROW()-1,1,0))</f>
        <v/>
      </c>
    </row>
    <row r="6168" customFormat="false" ht="15" hidden="false" customHeight="false" outlineLevel="0" collapsed="false">
      <c r="V6168" s="23" t="str">
        <f aca="false">IF(ISNUMBER(C6168),YEAR(C6168),"")</f>
        <v/>
      </c>
      <c r="W6168" s="23" t="str">
        <f aca="false">IF(ISNUMBER(C6168),MONTH(C6168),"")</f>
        <v/>
      </c>
      <c r="X6168" s="23" t="str">
        <f aca="false">IF(T6168="","",IF(T6168=0,"No discount",IF(T6168&lt;=0.2,"Low (1-20%)",IF(T6168&lt;=0.4,"Medium (21-40%)","High (&gt;40%)"))))</f>
        <v/>
      </c>
      <c r="Y6168" s="23" t="str">
        <f aca="false">IF(AND(ISNUMBER(C6168),ISNUMBER(D6168)),D6168-C6168,"")</f>
        <v/>
      </c>
      <c r="Z6168" s="23" t="str">
        <f aca="false">IF(B6168="","",IF(MATCH(B6168,$B$2:$B$12000,0)=ROW()-1,1,0))</f>
        <v/>
      </c>
    </row>
    <row r="6169" customFormat="false" ht="15" hidden="false" customHeight="false" outlineLevel="0" collapsed="false">
      <c r="V6169" s="23" t="str">
        <f aca="false">IF(ISNUMBER(C6169),YEAR(C6169),"")</f>
        <v/>
      </c>
      <c r="W6169" s="23" t="str">
        <f aca="false">IF(ISNUMBER(C6169),MONTH(C6169),"")</f>
        <v/>
      </c>
      <c r="X6169" s="23" t="str">
        <f aca="false">IF(T6169="","",IF(T6169=0,"No discount",IF(T6169&lt;=0.2,"Low (1-20%)",IF(T6169&lt;=0.4,"Medium (21-40%)","High (&gt;40%)"))))</f>
        <v/>
      </c>
      <c r="Y6169" s="23" t="str">
        <f aca="false">IF(AND(ISNUMBER(C6169),ISNUMBER(D6169)),D6169-C6169,"")</f>
        <v/>
      </c>
      <c r="Z6169" s="23" t="str">
        <f aca="false">IF(B6169="","",IF(MATCH(B6169,$B$2:$B$12000,0)=ROW()-1,1,0))</f>
        <v/>
      </c>
    </row>
    <row r="6170" customFormat="false" ht="15" hidden="false" customHeight="false" outlineLevel="0" collapsed="false">
      <c r="V6170" s="23" t="str">
        <f aca="false">IF(ISNUMBER(C6170),YEAR(C6170),"")</f>
        <v/>
      </c>
      <c r="W6170" s="23" t="str">
        <f aca="false">IF(ISNUMBER(C6170),MONTH(C6170),"")</f>
        <v/>
      </c>
      <c r="X6170" s="23" t="str">
        <f aca="false">IF(T6170="","",IF(T6170=0,"No discount",IF(T6170&lt;=0.2,"Low (1-20%)",IF(T6170&lt;=0.4,"Medium (21-40%)","High (&gt;40%)"))))</f>
        <v/>
      </c>
      <c r="Y6170" s="23" t="str">
        <f aca="false">IF(AND(ISNUMBER(C6170),ISNUMBER(D6170)),D6170-C6170,"")</f>
        <v/>
      </c>
      <c r="Z6170" s="23" t="str">
        <f aca="false">IF(B6170="","",IF(MATCH(B6170,$B$2:$B$12000,0)=ROW()-1,1,0))</f>
        <v/>
      </c>
    </row>
    <row r="6171" customFormat="false" ht="15" hidden="false" customHeight="false" outlineLevel="0" collapsed="false">
      <c r="V6171" s="23" t="str">
        <f aca="false">IF(ISNUMBER(C6171),YEAR(C6171),"")</f>
        <v/>
      </c>
      <c r="W6171" s="23" t="str">
        <f aca="false">IF(ISNUMBER(C6171),MONTH(C6171),"")</f>
        <v/>
      </c>
      <c r="X6171" s="23" t="str">
        <f aca="false">IF(T6171="","",IF(T6171=0,"No discount",IF(T6171&lt;=0.2,"Low (1-20%)",IF(T6171&lt;=0.4,"Medium (21-40%)","High (&gt;40%)"))))</f>
        <v/>
      </c>
      <c r="Y6171" s="23" t="str">
        <f aca="false">IF(AND(ISNUMBER(C6171),ISNUMBER(D6171)),D6171-C6171,"")</f>
        <v/>
      </c>
      <c r="Z6171" s="23" t="str">
        <f aca="false">IF(B6171="","",IF(MATCH(B6171,$B$2:$B$12000,0)=ROW()-1,1,0))</f>
        <v/>
      </c>
    </row>
    <row r="6172" customFormat="false" ht="15" hidden="false" customHeight="false" outlineLevel="0" collapsed="false">
      <c r="V6172" s="23" t="str">
        <f aca="false">IF(ISNUMBER(C6172),YEAR(C6172),"")</f>
        <v/>
      </c>
      <c r="W6172" s="23" t="str">
        <f aca="false">IF(ISNUMBER(C6172),MONTH(C6172),"")</f>
        <v/>
      </c>
      <c r="X6172" s="23" t="str">
        <f aca="false">IF(T6172="","",IF(T6172=0,"No discount",IF(T6172&lt;=0.2,"Low (1-20%)",IF(T6172&lt;=0.4,"Medium (21-40%)","High (&gt;40%)"))))</f>
        <v/>
      </c>
      <c r="Y6172" s="23" t="str">
        <f aca="false">IF(AND(ISNUMBER(C6172),ISNUMBER(D6172)),D6172-C6172,"")</f>
        <v/>
      </c>
      <c r="Z6172" s="23" t="str">
        <f aca="false">IF(B6172="","",IF(MATCH(B6172,$B$2:$B$12000,0)=ROW()-1,1,0))</f>
        <v/>
      </c>
    </row>
    <row r="6173" customFormat="false" ht="15" hidden="false" customHeight="false" outlineLevel="0" collapsed="false">
      <c r="V6173" s="23" t="str">
        <f aca="false">IF(ISNUMBER(C6173),YEAR(C6173),"")</f>
        <v/>
      </c>
      <c r="W6173" s="23" t="str">
        <f aca="false">IF(ISNUMBER(C6173),MONTH(C6173),"")</f>
        <v/>
      </c>
      <c r="X6173" s="23" t="str">
        <f aca="false">IF(T6173="","",IF(T6173=0,"No discount",IF(T6173&lt;=0.2,"Low (1-20%)",IF(T6173&lt;=0.4,"Medium (21-40%)","High (&gt;40%)"))))</f>
        <v/>
      </c>
      <c r="Y6173" s="23" t="str">
        <f aca="false">IF(AND(ISNUMBER(C6173),ISNUMBER(D6173)),D6173-C6173,"")</f>
        <v/>
      </c>
      <c r="Z6173" s="23" t="str">
        <f aca="false">IF(B6173="","",IF(MATCH(B6173,$B$2:$B$12000,0)=ROW()-1,1,0))</f>
        <v/>
      </c>
    </row>
    <row r="6174" customFormat="false" ht="15" hidden="false" customHeight="false" outlineLevel="0" collapsed="false">
      <c r="V6174" s="23" t="str">
        <f aca="false">IF(ISNUMBER(C6174),YEAR(C6174),"")</f>
        <v/>
      </c>
      <c r="W6174" s="23" t="str">
        <f aca="false">IF(ISNUMBER(C6174),MONTH(C6174),"")</f>
        <v/>
      </c>
      <c r="X6174" s="23" t="str">
        <f aca="false">IF(T6174="","",IF(T6174=0,"No discount",IF(T6174&lt;=0.2,"Low (1-20%)",IF(T6174&lt;=0.4,"Medium (21-40%)","High (&gt;40%)"))))</f>
        <v/>
      </c>
      <c r="Y6174" s="23" t="str">
        <f aca="false">IF(AND(ISNUMBER(C6174),ISNUMBER(D6174)),D6174-C6174,"")</f>
        <v/>
      </c>
      <c r="Z6174" s="23" t="str">
        <f aca="false">IF(B6174="","",IF(MATCH(B6174,$B$2:$B$12000,0)=ROW()-1,1,0))</f>
        <v/>
      </c>
    </row>
    <row r="6175" customFormat="false" ht="15" hidden="false" customHeight="false" outlineLevel="0" collapsed="false">
      <c r="V6175" s="23" t="str">
        <f aca="false">IF(ISNUMBER(C6175),YEAR(C6175),"")</f>
        <v/>
      </c>
      <c r="W6175" s="23" t="str">
        <f aca="false">IF(ISNUMBER(C6175),MONTH(C6175),"")</f>
        <v/>
      </c>
      <c r="X6175" s="23" t="str">
        <f aca="false">IF(T6175="","",IF(T6175=0,"No discount",IF(T6175&lt;=0.2,"Low (1-20%)",IF(T6175&lt;=0.4,"Medium (21-40%)","High (&gt;40%)"))))</f>
        <v/>
      </c>
      <c r="Y6175" s="23" t="str">
        <f aca="false">IF(AND(ISNUMBER(C6175),ISNUMBER(D6175)),D6175-C6175,"")</f>
        <v/>
      </c>
      <c r="Z6175" s="23" t="str">
        <f aca="false">IF(B6175="","",IF(MATCH(B6175,$B$2:$B$12000,0)=ROW()-1,1,0))</f>
        <v/>
      </c>
    </row>
    <row r="6176" customFormat="false" ht="15" hidden="false" customHeight="false" outlineLevel="0" collapsed="false">
      <c r="V6176" s="23" t="str">
        <f aca="false">IF(ISNUMBER(C6176),YEAR(C6176),"")</f>
        <v/>
      </c>
      <c r="W6176" s="23" t="str">
        <f aca="false">IF(ISNUMBER(C6176),MONTH(C6176),"")</f>
        <v/>
      </c>
      <c r="X6176" s="23" t="str">
        <f aca="false">IF(T6176="","",IF(T6176=0,"No discount",IF(T6176&lt;=0.2,"Low (1-20%)",IF(T6176&lt;=0.4,"Medium (21-40%)","High (&gt;40%)"))))</f>
        <v/>
      </c>
      <c r="Y6176" s="23" t="str">
        <f aca="false">IF(AND(ISNUMBER(C6176),ISNUMBER(D6176)),D6176-C6176,"")</f>
        <v/>
      </c>
      <c r="Z6176" s="23" t="str">
        <f aca="false">IF(B6176="","",IF(MATCH(B6176,$B$2:$B$12000,0)=ROW()-1,1,0))</f>
        <v/>
      </c>
    </row>
    <row r="6177" customFormat="false" ht="15" hidden="false" customHeight="false" outlineLevel="0" collapsed="false">
      <c r="V6177" s="23" t="str">
        <f aca="false">IF(ISNUMBER(C6177),YEAR(C6177),"")</f>
        <v/>
      </c>
      <c r="W6177" s="23" t="str">
        <f aca="false">IF(ISNUMBER(C6177),MONTH(C6177),"")</f>
        <v/>
      </c>
      <c r="X6177" s="23" t="str">
        <f aca="false">IF(T6177="","",IF(T6177=0,"No discount",IF(T6177&lt;=0.2,"Low (1-20%)",IF(T6177&lt;=0.4,"Medium (21-40%)","High (&gt;40%)"))))</f>
        <v/>
      </c>
      <c r="Y6177" s="23" t="str">
        <f aca="false">IF(AND(ISNUMBER(C6177),ISNUMBER(D6177)),D6177-C6177,"")</f>
        <v/>
      </c>
      <c r="Z6177" s="23" t="str">
        <f aca="false">IF(B6177="","",IF(MATCH(B6177,$B$2:$B$12000,0)=ROW()-1,1,0))</f>
        <v/>
      </c>
    </row>
    <row r="6178" customFormat="false" ht="15" hidden="false" customHeight="false" outlineLevel="0" collapsed="false">
      <c r="V6178" s="23" t="str">
        <f aca="false">IF(ISNUMBER(C6178),YEAR(C6178),"")</f>
        <v/>
      </c>
      <c r="W6178" s="23" t="str">
        <f aca="false">IF(ISNUMBER(C6178),MONTH(C6178),"")</f>
        <v/>
      </c>
      <c r="X6178" s="23" t="str">
        <f aca="false">IF(T6178="","",IF(T6178=0,"No discount",IF(T6178&lt;=0.2,"Low (1-20%)",IF(T6178&lt;=0.4,"Medium (21-40%)","High (&gt;40%)"))))</f>
        <v/>
      </c>
      <c r="Y6178" s="23" t="str">
        <f aca="false">IF(AND(ISNUMBER(C6178),ISNUMBER(D6178)),D6178-C6178,"")</f>
        <v/>
      </c>
      <c r="Z6178" s="23" t="str">
        <f aca="false">IF(B6178="","",IF(MATCH(B6178,$B$2:$B$12000,0)=ROW()-1,1,0))</f>
        <v/>
      </c>
    </row>
    <row r="6179" customFormat="false" ht="15" hidden="false" customHeight="false" outlineLevel="0" collapsed="false">
      <c r="V6179" s="23" t="str">
        <f aca="false">IF(ISNUMBER(C6179),YEAR(C6179),"")</f>
        <v/>
      </c>
      <c r="W6179" s="23" t="str">
        <f aca="false">IF(ISNUMBER(C6179),MONTH(C6179),"")</f>
        <v/>
      </c>
      <c r="X6179" s="23" t="str">
        <f aca="false">IF(T6179="","",IF(T6179=0,"No discount",IF(T6179&lt;=0.2,"Low (1-20%)",IF(T6179&lt;=0.4,"Medium (21-40%)","High (&gt;40%)"))))</f>
        <v/>
      </c>
      <c r="Y6179" s="23" t="str">
        <f aca="false">IF(AND(ISNUMBER(C6179),ISNUMBER(D6179)),D6179-C6179,"")</f>
        <v/>
      </c>
      <c r="Z6179" s="23" t="str">
        <f aca="false">IF(B6179="","",IF(MATCH(B6179,$B$2:$B$12000,0)=ROW()-1,1,0))</f>
        <v/>
      </c>
    </row>
    <row r="6180" customFormat="false" ht="15" hidden="false" customHeight="false" outlineLevel="0" collapsed="false">
      <c r="V6180" s="23" t="str">
        <f aca="false">IF(ISNUMBER(C6180),YEAR(C6180),"")</f>
        <v/>
      </c>
      <c r="W6180" s="23" t="str">
        <f aca="false">IF(ISNUMBER(C6180),MONTH(C6180),"")</f>
        <v/>
      </c>
      <c r="X6180" s="23" t="str">
        <f aca="false">IF(T6180="","",IF(T6180=0,"No discount",IF(T6180&lt;=0.2,"Low (1-20%)",IF(T6180&lt;=0.4,"Medium (21-40%)","High (&gt;40%)"))))</f>
        <v/>
      </c>
      <c r="Y6180" s="23" t="str">
        <f aca="false">IF(AND(ISNUMBER(C6180),ISNUMBER(D6180)),D6180-C6180,"")</f>
        <v/>
      </c>
      <c r="Z6180" s="23" t="str">
        <f aca="false">IF(B6180="","",IF(MATCH(B6180,$B$2:$B$12000,0)=ROW()-1,1,0))</f>
        <v/>
      </c>
    </row>
    <row r="6181" customFormat="false" ht="15" hidden="false" customHeight="false" outlineLevel="0" collapsed="false">
      <c r="V6181" s="23" t="str">
        <f aca="false">IF(ISNUMBER(C6181),YEAR(C6181),"")</f>
        <v/>
      </c>
      <c r="W6181" s="23" t="str">
        <f aca="false">IF(ISNUMBER(C6181),MONTH(C6181),"")</f>
        <v/>
      </c>
      <c r="X6181" s="23" t="str">
        <f aca="false">IF(T6181="","",IF(T6181=0,"No discount",IF(T6181&lt;=0.2,"Low (1-20%)",IF(T6181&lt;=0.4,"Medium (21-40%)","High (&gt;40%)"))))</f>
        <v/>
      </c>
      <c r="Y6181" s="23" t="str">
        <f aca="false">IF(AND(ISNUMBER(C6181),ISNUMBER(D6181)),D6181-C6181,"")</f>
        <v/>
      </c>
      <c r="Z6181" s="23" t="str">
        <f aca="false">IF(B6181="","",IF(MATCH(B6181,$B$2:$B$12000,0)=ROW()-1,1,0))</f>
        <v/>
      </c>
    </row>
    <row r="6182" customFormat="false" ht="15" hidden="false" customHeight="false" outlineLevel="0" collapsed="false">
      <c r="V6182" s="23" t="str">
        <f aca="false">IF(ISNUMBER(C6182),YEAR(C6182),"")</f>
        <v/>
      </c>
      <c r="W6182" s="23" t="str">
        <f aca="false">IF(ISNUMBER(C6182),MONTH(C6182),"")</f>
        <v/>
      </c>
      <c r="X6182" s="23" t="str">
        <f aca="false">IF(T6182="","",IF(T6182=0,"No discount",IF(T6182&lt;=0.2,"Low (1-20%)",IF(T6182&lt;=0.4,"Medium (21-40%)","High (&gt;40%)"))))</f>
        <v/>
      </c>
      <c r="Y6182" s="23" t="str">
        <f aca="false">IF(AND(ISNUMBER(C6182),ISNUMBER(D6182)),D6182-C6182,"")</f>
        <v/>
      </c>
      <c r="Z6182" s="23" t="str">
        <f aca="false">IF(B6182="","",IF(MATCH(B6182,$B$2:$B$12000,0)=ROW()-1,1,0))</f>
        <v/>
      </c>
    </row>
    <row r="6183" customFormat="false" ht="15" hidden="false" customHeight="false" outlineLevel="0" collapsed="false">
      <c r="V6183" s="23" t="str">
        <f aca="false">IF(ISNUMBER(C6183),YEAR(C6183),"")</f>
        <v/>
      </c>
      <c r="W6183" s="23" t="str">
        <f aca="false">IF(ISNUMBER(C6183),MONTH(C6183),"")</f>
        <v/>
      </c>
      <c r="X6183" s="23" t="str">
        <f aca="false">IF(T6183="","",IF(T6183=0,"No discount",IF(T6183&lt;=0.2,"Low (1-20%)",IF(T6183&lt;=0.4,"Medium (21-40%)","High (&gt;40%)"))))</f>
        <v/>
      </c>
      <c r="Y6183" s="23" t="str">
        <f aca="false">IF(AND(ISNUMBER(C6183),ISNUMBER(D6183)),D6183-C6183,"")</f>
        <v/>
      </c>
      <c r="Z6183" s="23" t="str">
        <f aca="false">IF(B6183="","",IF(MATCH(B6183,$B$2:$B$12000,0)=ROW()-1,1,0))</f>
        <v/>
      </c>
    </row>
    <row r="6184" customFormat="false" ht="15" hidden="false" customHeight="false" outlineLevel="0" collapsed="false">
      <c r="V6184" s="23" t="str">
        <f aca="false">IF(ISNUMBER(C6184),YEAR(C6184),"")</f>
        <v/>
      </c>
      <c r="W6184" s="23" t="str">
        <f aca="false">IF(ISNUMBER(C6184),MONTH(C6184),"")</f>
        <v/>
      </c>
      <c r="X6184" s="23" t="str">
        <f aca="false">IF(T6184="","",IF(T6184=0,"No discount",IF(T6184&lt;=0.2,"Low (1-20%)",IF(T6184&lt;=0.4,"Medium (21-40%)","High (&gt;40%)"))))</f>
        <v/>
      </c>
      <c r="Y6184" s="23" t="str">
        <f aca="false">IF(AND(ISNUMBER(C6184),ISNUMBER(D6184)),D6184-C6184,"")</f>
        <v/>
      </c>
      <c r="Z6184" s="23" t="str">
        <f aca="false">IF(B6184="","",IF(MATCH(B6184,$B$2:$B$12000,0)=ROW()-1,1,0))</f>
        <v/>
      </c>
    </row>
    <row r="6185" customFormat="false" ht="15" hidden="false" customHeight="false" outlineLevel="0" collapsed="false">
      <c r="V6185" s="23" t="str">
        <f aca="false">IF(ISNUMBER(C6185),YEAR(C6185),"")</f>
        <v/>
      </c>
      <c r="W6185" s="23" t="str">
        <f aca="false">IF(ISNUMBER(C6185),MONTH(C6185),"")</f>
        <v/>
      </c>
      <c r="X6185" s="23" t="str">
        <f aca="false">IF(T6185="","",IF(T6185=0,"No discount",IF(T6185&lt;=0.2,"Low (1-20%)",IF(T6185&lt;=0.4,"Medium (21-40%)","High (&gt;40%)"))))</f>
        <v/>
      </c>
      <c r="Y6185" s="23" t="str">
        <f aca="false">IF(AND(ISNUMBER(C6185),ISNUMBER(D6185)),D6185-C6185,"")</f>
        <v/>
      </c>
      <c r="Z6185" s="23" t="str">
        <f aca="false">IF(B6185="","",IF(MATCH(B6185,$B$2:$B$12000,0)=ROW()-1,1,0))</f>
        <v/>
      </c>
    </row>
    <row r="6186" customFormat="false" ht="15" hidden="false" customHeight="false" outlineLevel="0" collapsed="false">
      <c r="V6186" s="23" t="str">
        <f aca="false">IF(ISNUMBER(C6186),YEAR(C6186),"")</f>
        <v/>
      </c>
      <c r="W6186" s="23" t="str">
        <f aca="false">IF(ISNUMBER(C6186),MONTH(C6186),"")</f>
        <v/>
      </c>
      <c r="X6186" s="23" t="str">
        <f aca="false">IF(T6186="","",IF(T6186=0,"No discount",IF(T6186&lt;=0.2,"Low (1-20%)",IF(T6186&lt;=0.4,"Medium (21-40%)","High (&gt;40%)"))))</f>
        <v/>
      </c>
      <c r="Y6186" s="23" t="str">
        <f aca="false">IF(AND(ISNUMBER(C6186),ISNUMBER(D6186)),D6186-C6186,"")</f>
        <v/>
      </c>
      <c r="Z6186" s="23" t="str">
        <f aca="false">IF(B6186="","",IF(MATCH(B6186,$B$2:$B$12000,0)=ROW()-1,1,0))</f>
        <v/>
      </c>
    </row>
    <row r="6187" customFormat="false" ht="15" hidden="false" customHeight="false" outlineLevel="0" collapsed="false">
      <c r="V6187" s="23" t="str">
        <f aca="false">IF(ISNUMBER(C6187),YEAR(C6187),"")</f>
        <v/>
      </c>
      <c r="W6187" s="23" t="str">
        <f aca="false">IF(ISNUMBER(C6187),MONTH(C6187),"")</f>
        <v/>
      </c>
      <c r="X6187" s="23" t="str">
        <f aca="false">IF(T6187="","",IF(T6187=0,"No discount",IF(T6187&lt;=0.2,"Low (1-20%)",IF(T6187&lt;=0.4,"Medium (21-40%)","High (&gt;40%)"))))</f>
        <v/>
      </c>
      <c r="Y6187" s="23" t="str">
        <f aca="false">IF(AND(ISNUMBER(C6187),ISNUMBER(D6187)),D6187-C6187,"")</f>
        <v/>
      </c>
      <c r="Z6187" s="23" t="str">
        <f aca="false">IF(B6187="","",IF(MATCH(B6187,$B$2:$B$12000,0)=ROW()-1,1,0))</f>
        <v/>
      </c>
    </row>
    <row r="6188" customFormat="false" ht="15" hidden="false" customHeight="false" outlineLevel="0" collapsed="false">
      <c r="V6188" s="23" t="str">
        <f aca="false">IF(ISNUMBER(C6188),YEAR(C6188),"")</f>
        <v/>
      </c>
      <c r="W6188" s="23" t="str">
        <f aca="false">IF(ISNUMBER(C6188),MONTH(C6188),"")</f>
        <v/>
      </c>
      <c r="X6188" s="23" t="str">
        <f aca="false">IF(T6188="","",IF(T6188=0,"No discount",IF(T6188&lt;=0.2,"Low (1-20%)",IF(T6188&lt;=0.4,"Medium (21-40%)","High (&gt;40%)"))))</f>
        <v/>
      </c>
      <c r="Y6188" s="23" t="str">
        <f aca="false">IF(AND(ISNUMBER(C6188),ISNUMBER(D6188)),D6188-C6188,"")</f>
        <v/>
      </c>
      <c r="Z6188" s="23" t="str">
        <f aca="false">IF(B6188="","",IF(MATCH(B6188,$B$2:$B$12000,0)=ROW()-1,1,0))</f>
        <v/>
      </c>
    </row>
    <row r="6189" customFormat="false" ht="15" hidden="false" customHeight="false" outlineLevel="0" collapsed="false">
      <c r="V6189" s="23" t="str">
        <f aca="false">IF(ISNUMBER(C6189),YEAR(C6189),"")</f>
        <v/>
      </c>
      <c r="W6189" s="23" t="str">
        <f aca="false">IF(ISNUMBER(C6189),MONTH(C6189),"")</f>
        <v/>
      </c>
      <c r="X6189" s="23" t="str">
        <f aca="false">IF(T6189="","",IF(T6189=0,"No discount",IF(T6189&lt;=0.2,"Low (1-20%)",IF(T6189&lt;=0.4,"Medium (21-40%)","High (&gt;40%)"))))</f>
        <v/>
      </c>
      <c r="Y6189" s="23" t="str">
        <f aca="false">IF(AND(ISNUMBER(C6189),ISNUMBER(D6189)),D6189-C6189,"")</f>
        <v/>
      </c>
      <c r="Z6189" s="23" t="str">
        <f aca="false">IF(B6189="","",IF(MATCH(B6189,$B$2:$B$12000,0)=ROW()-1,1,0))</f>
        <v/>
      </c>
    </row>
    <row r="6190" customFormat="false" ht="15" hidden="false" customHeight="false" outlineLevel="0" collapsed="false">
      <c r="V6190" s="23" t="str">
        <f aca="false">IF(ISNUMBER(C6190),YEAR(C6190),"")</f>
        <v/>
      </c>
      <c r="W6190" s="23" t="str">
        <f aca="false">IF(ISNUMBER(C6190),MONTH(C6190),"")</f>
        <v/>
      </c>
      <c r="X6190" s="23" t="str">
        <f aca="false">IF(T6190="","",IF(T6190=0,"No discount",IF(T6190&lt;=0.2,"Low (1-20%)",IF(T6190&lt;=0.4,"Medium (21-40%)","High (&gt;40%)"))))</f>
        <v/>
      </c>
      <c r="Y6190" s="23" t="str">
        <f aca="false">IF(AND(ISNUMBER(C6190),ISNUMBER(D6190)),D6190-C6190,"")</f>
        <v/>
      </c>
      <c r="Z6190" s="23" t="str">
        <f aca="false">IF(B6190="","",IF(MATCH(B6190,$B$2:$B$12000,0)=ROW()-1,1,0))</f>
        <v/>
      </c>
    </row>
    <row r="6191" customFormat="false" ht="15" hidden="false" customHeight="false" outlineLevel="0" collapsed="false">
      <c r="V6191" s="23" t="str">
        <f aca="false">IF(ISNUMBER(C6191),YEAR(C6191),"")</f>
        <v/>
      </c>
      <c r="W6191" s="23" t="str">
        <f aca="false">IF(ISNUMBER(C6191),MONTH(C6191),"")</f>
        <v/>
      </c>
      <c r="X6191" s="23" t="str">
        <f aca="false">IF(T6191="","",IF(T6191=0,"No discount",IF(T6191&lt;=0.2,"Low (1-20%)",IF(T6191&lt;=0.4,"Medium (21-40%)","High (&gt;40%)"))))</f>
        <v/>
      </c>
      <c r="Y6191" s="23" t="str">
        <f aca="false">IF(AND(ISNUMBER(C6191),ISNUMBER(D6191)),D6191-C6191,"")</f>
        <v/>
      </c>
      <c r="Z6191" s="23" t="str">
        <f aca="false">IF(B6191="","",IF(MATCH(B6191,$B$2:$B$12000,0)=ROW()-1,1,0))</f>
        <v/>
      </c>
    </row>
    <row r="6192" customFormat="false" ht="15" hidden="false" customHeight="false" outlineLevel="0" collapsed="false">
      <c r="V6192" s="23" t="str">
        <f aca="false">IF(ISNUMBER(C6192),YEAR(C6192),"")</f>
        <v/>
      </c>
      <c r="W6192" s="23" t="str">
        <f aca="false">IF(ISNUMBER(C6192),MONTH(C6192),"")</f>
        <v/>
      </c>
      <c r="X6192" s="23" t="str">
        <f aca="false">IF(T6192="","",IF(T6192=0,"No discount",IF(T6192&lt;=0.2,"Low (1-20%)",IF(T6192&lt;=0.4,"Medium (21-40%)","High (&gt;40%)"))))</f>
        <v/>
      </c>
      <c r="Y6192" s="23" t="str">
        <f aca="false">IF(AND(ISNUMBER(C6192),ISNUMBER(D6192)),D6192-C6192,"")</f>
        <v/>
      </c>
      <c r="Z6192" s="23" t="str">
        <f aca="false">IF(B6192="","",IF(MATCH(B6192,$B$2:$B$12000,0)=ROW()-1,1,0))</f>
        <v/>
      </c>
    </row>
    <row r="6193" customFormat="false" ht="15" hidden="false" customHeight="false" outlineLevel="0" collapsed="false">
      <c r="V6193" s="23" t="str">
        <f aca="false">IF(ISNUMBER(C6193),YEAR(C6193),"")</f>
        <v/>
      </c>
      <c r="W6193" s="23" t="str">
        <f aca="false">IF(ISNUMBER(C6193),MONTH(C6193),"")</f>
        <v/>
      </c>
      <c r="X6193" s="23" t="str">
        <f aca="false">IF(T6193="","",IF(T6193=0,"No discount",IF(T6193&lt;=0.2,"Low (1-20%)",IF(T6193&lt;=0.4,"Medium (21-40%)","High (&gt;40%)"))))</f>
        <v/>
      </c>
      <c r="Y6193" s="23" t="str">
        <f aca="false">IF(AND(ISNUMBER(C6193),ISNUMBER(D6193)),D6193-C6193,"")</f>
        <v/>
      </c>
      <c r="Z6193" s="23" t="str">
        <f aca="false">IF(B6193="","",IF(MATCH(B6193,$B$2:$B$12000,0)=ROW()-1,1,0))</f>
        <v/>
      </c>
    </row>
    <row r="6194" customFormat="false" ht="15" hidden="false" customHeight="false" outlineLevel="0" collapsed="false">
      <c r="V6194" s="23" t="str">
        <f aca="false">IF(ISNUMBER(C6194),YEAR(C6194),"")</f>
        <v/>
      </c>
      <c r="W6194" s="23" t="str">
        <f aca="false">IF(ISNUMBER(C6194),MONTH(C6194),"")</f>
        <v/>
      </c>
      <c r="X6194" s="23" t="str">
        <f aca="false">IF(T6194="","",IF(T6194=0,"No discount",IF(T6194&lt;=0.2,"Low (1-20%)",IF(T6194&lt;=0.4,"Medium (21-40%)","High (&gt;40%)"))))</f>
        <v/>
      </c>
      <c r="Y6194" s="23" t="str">
        <f aca="false">IF(AND(ISNUMBER(C6194),ISNUMBER(D6194)),D6194-C6194,"")</f>
        <v/>
      </c>
      <c r="Z6194" s="23" t="str">
        <f aca="false">IF(B6194="","",IF(MATCH(B6194,$B$2:$B$12000,0)=ROW()-1,1,0))</f>
        <v/>
      </c>
    </row>
    <row r="6195" customFormat="false" ht="15" hidden="false" customHeight="false" outlineLevel="0" collapsed="false">
      <c r="V6195" s="23" t="str">
        <f aca="false">IF(ISNUMBER(C6195),YEAR(C6195),"")</f>
        <v/>
      </c>
      <c r="W6195" s="23" t="str">
        <f aca="false">IF(ISNUMBER(C6195),MONTH(C6195),"")</f>
        <v/>
      </c>
      <c r="X6195" s="23" t="str">
        <f aca="false">IF(T6195="","",IF(T6195=0,"No discount",IF(T6195&lt;=0.2,"Low (1-20%)",IF(T6195&lt;=0.4,"Medium (21-40%)","High (&gt;40%)"))))</f>
        <v/>
      </c>
      <c r="Y6195" s="23" t="str">
        <f aca="false">IF(AND(ISNUMBER(C6195),ISNUMBER(D6195)),D6195-C6195,"")</f>
        <v/>
      </c>
      <c r="Z6195" s="23" t="str">
        <f aca="false">IF(B6195="","",IF(MATCH(B6195,$B$2:$B$12000,0)=ROW()-1,1,0))</f>
        <v/>
      </c>
    </row>
    <row r="6196" customFormat="false" ht="15" hidden="false" customHeight="false" outlineLevel="0" collapsed="false">
      <c r="V6196" s="23" t="str">
        <f aca="false">IF(ISNUMBER(C6196),YEAR(C6196),"")</f>
        <v/>
      </c>
      <c r="W6196" s="23" t="str">
        <f aca="false">IF(ISNUMBER(C6196),MONTH(C6196),"")</f>
        <v/>
      </c>
      <c r="X6196" s="23" t="str">
        <f aca="false">IF(T6196="","",IF(T6196=0,"No discount",IF(T6196&lt;=0.2,"Low (1-20%)",IF(T6196&lt;=0.4,"Medium (21-40%)","High (&gt;40%)"))))</f>
        <v/>
      </c>
      <c r="Y6196" s="23" t="str">
        <f aca="false">IF(AND(ISNUMBER(C6196),ISNUMBER(D6196)),D6196-C6196,"")</f>
        <v/>
      </c>
      <c r="Z6196" s="23" t="str">
        <f aca="false">IF(B6196="","",IF(MATCH(B6196,$B$2:$B$12000,0)=ROW()-1,1,0))</f>
        <v/>
      </c>
    </row>
    <row r="6197" customFormat="false" ht="15" hidden="false" customHeight="false" outlineLevel="0" collapsed="false">
      <c r="V6197" s="23" t="str">
        <f aca="false">IF(ISNUMBER(C6197),YEAR(C6197),"")</f>
        <v/>
      </c>
      <c r="W6197" s="23" t="str">
        <f aca="false">IF(ISNUMBER(C6197),MONTH(C6197),"")</f>
        <v/>
      </c>
      <c r="X6197" s="23" t="str">
        <f aca="false">IF(T6197="","",IF(T6197=0,"No discount",IF(T6197&lt;=0.2,"Low (1-20%)",IF(T6197&lt;=0.4,"Medium (21-40%)","High (&gt;40%)"))))</f>
        <v/>
      </c>
      <c r="Y6197" s="23" t="str">
        <f aca="false">IF(AND(ISNUMBER(C6197),ISNUMBER(D6197)),D6197-C6197,"")</f>
        <v/>
      </c>
      <c r="Z6197" s="23" t="str">
        <f aca="false">IF(B6197="","",IF(MATCH(B6197,$B$2:$B$12000,0)=ROW()-1,1,0))</f>
        <v/>
      </c>
    </row>
    <row r="6198" customFormat="false" ht="15" hidden="false" customHeight="false" outlineLevel="0" collapsed="false">
      <c r="V6198" s="23" t="str">
        <f aca="false">IF(ISNUMBER(C6198),YEAR(C6198),"")</f>
        <v/>
      </c>
      <c r="W6198" s="23" t="str">
        <f aca="false">IF(ISNUMBER(C6198),MONTH(C6198),"")</f>
        <v/>
      </c>
      <c r="X6198" s="23" t="str">
        <f aca="false">IF(T6198="","",IF(T6198=0,"No discount",IF(T6198&lt;=0.2,"Low (1-20%)",IF(T6198&lt;=0.4,"Medium (21-40%)","High (&gt;40%)"))))</f>
        <v/>
      </c>
      <c r="Y6198" s="23" t="str">
        <f aca="false">IF(AND(ISNUMBER(C6198),ISNUMBER(D6198)),D6198-C6198,"")</f>
        <v/>
      </c>
      <c r="Z6198" s="23" t="str">
        <f aca="false">IF(B6198="","",IF(MATCH(B6198,$B$2:$B$12000,0)=ROW()-1,1,0))</f>
        <v/>
      </c>
    </row>
    <row r="6199" customFormat="false" ht="15" hidden="false" customHeight="false" outlineLevel="0" collapsed="false">
      <c r="V6199" s="23" t="str">
        <f aca="false">IF(ISNUMBER(C6199),YEAR(C6199),"")</f>
        <v/>
      </c>
      <c r="W6199" s="23" t="str">
        <f aca="false">IF(ISNUMBER(C6199),MONTH(C6199),"")</f>
        <v/>
      </c>
      <c r="X6199" s="23" t="str">
        <f aca="false">IF(T6199="","",IF(T6199=0,"No discount",IF(T6199&lt;=0.2,"Low (1-20%)",IF(T6199&lt;=0.4,"Medium (21-40%)","High (&gt;40%)"))))</f>
        <v/>
      </c>
      <c r="Y6199" s="23" t="str">
        <f aca="false">IF(AND(ISNUMBER(C6199),ISNUMBER(D6199)),D6199-C6199,"")</f>
        <v/>
      </c>
      <c r="Z6199" s="23" t="str">
        <f aca="false">IF(B6199="","",IF(MATCH(B6199,$B$2:$B$12000,0)=ROW()-1,1,0))</f>
        <v/>
      </c>
    </row>
    <row r="6200" customFormat="false" ht="15" hidden="false" customHeight="false" outlineLevel="0" collapsed="false">
      <c r="V6200" s="23" t="str">
        <f aca="false">IF(ISNUMBER(C6200),YEAR(C6200),"")</f>
        <v/>
      </c>
      <c r="W6200" s="23" t="str">
        <f aca="false">IF(ISNUMBER(C6200),MONTH(C6200),"")</f>
        <v/>
      </c>
      <c r="X6200" s="23" t="str">
        <f aca="false">IF(T6200="","",IF(T6200=0,"No discount",IF(T6200&lt;=0.2,"Low (1-20%)",IF(T6200&lt;=0.4,"Medium (21-40%)","High (&gt;40%)"))))</f>
        <v/>
      </c>
      <c r="Y6200" s="23" t="str">
        <f aca="false">IF(AND(ISNUMBER(C6200),ISNUMBER(D6200)),D6200-C6200,"")</f>
        <v/>
      </c>
      <c r="Z6200" s="23" t="str">
        <f aca="false">IF(B6200="","",IF(MATCH(B6200,$B$2:$B$12000,0)=ROW()-1,1,0))</f>
        <v/>
      </c>
    </row>
    <row r="6201" customFormat="false" ht="15" hidden="false" customHeight="false" outlineLevel="0" collapsed="false">
      <c r="V6201" s="23" t="str">
        <f aca="false">IF(ISNUMBER(C6201),YEAR(C6201),"")</f>
        <v/>
      </c>
      <c r="W6201" s="23" t="str">
        <f aca="false">IF(ISNUMBER(C6201),MONTH(C6201),"")</f>
        <v/>
      </c>
      <c r="X6201" s="23" t="str">
        <f aca="false">IF(T6201="","",IF(T6201=0,"No discount",IF(T6201&lt;=0.2,"Low (1-20%)",IF(T6201&lt;=0.4,"Medium (21-40%)","High (&gt;40%)"))))</f>
        <v/>
      </c>
      <c r="Y6201" s="23" t="str">
        <f aca="false">IF(AND(ISNUMBER(C6201),ISNUMBER(D6201)),D6201-C6201,"")</f>
        <v/>
      </c>
      <c r="Z6201" s="23" t="str">
        <f aca="false">IF(B6201="","",IF(MATCH(B6201,$B$2:$B$12000,0)=ROW()-1,1,0))</f>
        <v/>
      </c>
    </row>
    <row r="6202" customFormat="false" ht="15" hidden="false" customHeight="false" outlineLevel="0" collapsed="false">
      <c r="V6202" s="23" t="str">
        <f aca="false">IF(ISNUMBER(C6202),YEAR(C6202),"")</f>
        <v/>
      </c>
      <c r="W6202" s="23" t="str">
        <f aca="false">IF(ISNUMBER(C6202),MONTH(C6202),"")</f>
        <v/>
      </c>
      <c r="X6202" s="23" t="str">
        <f aca="false">IF(T6202="","",IF(T6202=0,"No discount",IF(T6202&lt;=0.2,"Low (1-20%)",IF(T6202&lt;=0.4,"Medium (21-40%)","High (&gt;40%)"))))</f>
        <v/>
      </c>
      <c r="Y6202" s="23" t="str">
        <f aca="false">IF(AND(ISNUMBER(C6202),ISNUMBER(D6202)),D6202-C6202,"")</f>
        <v/>
      </c>
      <c r="Z6202" s="23" t="str">
        <f aca="false">IF(B6202="","",IF(MATCH(B6202,$B$2:$B$12000,0)=ROW()-1,1,0))</f>
        <v/>
      </c>
    </row>
    <row r="6203" customFormat="false" ht="15" hidden="false" customHeight="false" outlineLevel="0" collapsed="false">
      <c r="V6203" s="23" t="str">
        <f aca="false">IF(ISNUMBER(C6203),YEAR(C6203),"")</f>
        <v/>
      </c>
      <c r="W6203" s="23" t="str">
        <f aca="false">IF(ISNUMBER(C6203),MONTH(C6203),"")</f>
        <v/>
      </c>
      <c r="X6203" s="23" t="str">
        <f aca="false">IF(T6203="","",IF(T6203=0,"No discount",IF(T6203&lt;=0.2,"Low (1-20%)",IF(T6203&lt;=0.4,"Medium (21-40%)","High (&gt;40%)"))))</f>
        <v/>
      </c>
      <c r="Y6203" s="23" t="str">
        <f aca="false">IF(AND(ISNUMBER(C6203),ISNUMBER(D6203)),D6203-C6203,"")</f>
        <v/>
      </c>
      <c r="Z6203" s="23" t="str">
        <f aca="false">IF(B6203="","",IF(MATCH(B6203,$B$2:$B$12000,0)=ROW()-1,1,0))</f>
        <v/>
      </c>
    </row>
    <row r="6204" customFormat="false" ht="15" hidden="false" customHeight="false" outlineLevel="0" collapsed="false">
      <c r="V6204" s="23" t="str">
        <f aca="false">IF(ISNUMBER(C6204),YEAR(C6204),"")</f>
        <v/>
      </c>
      <c r="W6204" s="23" t="str">
        <f aca="false">IF(ISNUMBER(C6204),MONTH(C6204),"")</f>
        <v/>
      </c>
      <c r="X6204" s="23" t="str">
        <f aca="false">IF(T6204="","",IF(T6204=0,"No discount",IF(T6204&lt;=0.2,"Low (1-20%)",IF(T6204&lt;=0.4,"Medium (21-40%)","High (&gt;40%)"))))</f>
        <v/>
      </c>
      <c r="Y6204" s="23" t="str">
        <f aca="false">IF(AND(ISNUMBER(C6204),ISNUMBER(D6204)),D6204-C6204,"")</f>
        <v/>
      </c>
      <c r="Z6204" s="23" t="str">
        <f aca="false">IF(B6204="","",IF(MATCH(B6204,$B$2:$B$12000,0)=ROW()-1,1,0))</f>
        <v/>
      </c>
    </row>
    <row r="6205" customFormat="false" ht="15" hidden="false" customHeight="false" outlineLevel="0" collapsed="false">
      <c r="V6205" s="23" t="str">
        <f aca="false">IF(ISNUMBER(C6205),YEAR(C6205),"")</f>
        <v/>
      </c>
      <c r="W6205" s="23" t="str">
        <f aca="false">IF(ISNUMBER(C6205),MONTH(C6205),"")</f>
        <v/>
      </c>
      <c r="X6205" s="23" t="str">
        <f aca="false">IF(T6205="","",IF(T6205=0,"No discount",IF(T6205&lt;=0.2,"Low (1-20%)",IF(T6205&lt;=0.4,"Medium (21-40%)","High (&gt;40%)"))))</f>
        <v/>
      </c>
      <c r="Y6205" s="23" t="str">
        <f aca="false">IF(AND(ISNUMBER(C6205),ISNUMBER(D6205)),D6205-C6205,"")</f>
        <v/>
      </c>
      <c r="Z6205" s="23" t="str">
        <f aca="false">IF(B6205="","",IF(MATCH(B6205,$B$2:$B$12000,0)=ROW()-1,1,0))</f>
        <v/>
      </c>
    </row>
    <row r="6206" customFormat="false" ht="15" hidden="false" customHeight="false" outlineLevel="0" collapsed="false">
      <c r="V6206" s="23" t="str">
        <f aca="false">IF(ISNUMBER(C6206),YEAR(C6206),"")</f>
        <v/>
      </c>
      <c r="W6206" s="23" t="str">
        <f aca="false">IF(ISNUMBER(C6206),MONTH(C6206),"")</f>
        <v/>
      </c>
      <c r="X6206" s="23" t="str">
        <f aca="false">IF(T6206="","",IF(T6206=0,"No discount",IF(T6206&lt;=0.2,"Low (1-20%)",IF(T6206&lt;=0.4,"Medium (21-40%)","High (&gt;40%)"))))</f>
        <v/>
      </c>
      <c r="Y6206" s="23" t="str">
        <f aca="false">IF(AND(ISNUMBER(C6206),ISNUMBER(D6206)),D6206-C6206,"")</f>
        <v/>
      </c>
      <c r="Z6206" s="23" t="str">
        <f aca="false">IF(B6206="","",IF(MATCH(B6206,$B$2:$B$12000,0)=ROW()-1,1,0))</f>
        <v/>
      </c>
    </row>
    <row r="6207" customFormat="false" ht="15" hidden="false" customHeight="false" outlineLevel="0" collapsed="false">
      <c r="V6207" s="23" t="str">
        <f aca="false">IF(ISNUMBER(C6207),YEAR(C6207),"")</f>
        <v/>
      </c>
      <c r="W6207" s="23" t="str">
        <f aca="false">IF(ISNUMBER(C6207),MONTH(C6207),"")</f>
        <v/>
      </c>
      <c r="X6207" s="23" t="str">
        <f aca="false">IF(T6207="","",IF(T6207=0,"No discount",IF(T6207&lt;=0.2,"Low (1-20%)",IF(T6207&lt;=0.4,"Medium (21-40%)","High (&gt;40%)"))))</f>
        <v/>
      </c>
      <c r="Y6207" s="23" t="str">
        <f aca="false">IF(AND(ISNUMBER(C6207),ISNUMBER(D6207)),D6207-C6207,"")</f>
        <v/>
      </c>
      <c r="Z6207" s="23" t="str">
        <f aca="false">IF(B6207="","",IF(MATCH(B6207,$B$2:$B$12000,0)=ROW()-1,1,0))</f>
        <v/>
      </c>
    </row>
    <row r="6208" customFormat="false" ht="15" hidden="false" customHeight="false" outlineLevel="0" collapsed="false">
      <c r="V6208" s="23" t="str">
        <f aca="false">IF(ISNUMBER(C6208),YEAR(C6208),"")</f>
        <v/>
      </c>
      <c r="W6208" s="23" t="str">
        <f aca="false">IF(ISNUMBER(C6208),MONTH(C6208),"")</f>
        <v/>
      </c>
      <c r="X6208" s="23" t="str">
        <f aca="false">IF(T6208="","",IF(T6208=0,"No discount",IF(T6208&lt;=0.2,"Low (1-20%)",IF(T6208&lt;=0.4,"Medium (21-40%)","High (&gt;40%)"))))</f>
        <v/>
      </c>
      <c r="Y6208" s="23" t="str">
        <f aca="false">IF(AND(ISNUMBER(C6208),ISNUMBER(D6208)),D6208-C6208,"")</f>
        <v/>
      </c>
      <c r="Z6208" s="23" t="str">
        <f aca="false">IF(B6208="","",IF(MATCH(B6208,$B$2:$B$12000,0)=ROW()-1,1,0))</f>
        <v/>
      </c>
    </row>
    <row r="6209" customFormat="false" ht="15" hidden="false" customHeight="false" outlineLevel="0" collapsed="false">
      <c r="V6209" s="23" t="str">
        <f aca="false">IF(ISNUMBER(C6209),YEAR(C6209),"")</f>
        <v/>
      </c>
      <c r="W6209" s="23" t="str">
        <f aca="false">IF(ISNUMBER(C6209),MONTH(C6209),"")</f>
        <v/>
      </c>
      <c r="X6209" s="23" t="str">
        <f aca="false">IF(T6209="","",IF(T6209=0,"No discount",IF(T6209&lt;=0.2,"Low (1-20%)",IF(T6209&lt;=0.4,"Medium (21-40%)","High (&gt;40%)"))))</f>
        <v/>
      </c>
      <c r="Y6209" s="23" t="str">
        <f aca="false">IF(AND(ISNUMBER(C6209),ISNUMBER(D6209)),D6209-C6209,"")</f>
        <v/>
      </c>
      <c r="Z6209" s="23" t="str">
        <f aca="false">IF(B6209="","",IF(MATCH(B6209,$B$2:$B$12000,0)=ROW()-1,1,0))</f>
        <v/>
      </c>
    </row>
    <row r="6210" customFormat="false" ht="15" hidden="false" customHeight="false" outlineLevel="0" collapsed="false">
      <c r="V6210" s="23" t="str">
        <f aca="false">IF(ISNUMBER(C6210),YEAR(C6210),"")</f>
        <v/>
      </c>
      <c r="W6210" s="23" t="str">
        <f aca="false">IF(ISNUMBER(C6210),MONTH(C6210),"")</f>
        <v/>
      </c>
      <c r="X6210" s="23" t="str">
        <f aca="false">IF(T6210="","",IF(T6210=0,"No discount",IF(T6210&lt;=0.2,"Low (1-20%)",IF(T6210&lt;=0.4,"Medium (21-40%)","High (&gt;40%)"))))</f>
        <v/>
      </c>
      <c r="Y6210" s="23" t="str">
        <f aca="false">IF(AND(ISNUMBER(C6210),ISNUMBER(D6210)),D6210-C6210,"")</f>
        <v/>
      </c>
      <c r="Z6210" s="23" t="str">
        <f aca="false">IF(B6210="","",IF(MATCH(B6210,$B$2:$B$12000,0)=ROW()-1,1,0))</f>
        <v/>
      </c>
    </row>
    <row r="6211" customFormat="false" ht="15" hidden="false" customHeight="false" outlineLevel="0" collapsed="false">
      <c r="V6211" s="23" t="str">
        <f aca="false">IF(ISNUMBER(C6211),YEAR(C6211),"")</f>
        <v/>
      </c>
      <c r="W6211" s="23" t="str">
        <f aca="false">IF(ISNUMBER(C6211),MONTH(C6211),"")</f>
        <v/>
      </c>
      <c r="X6211" s="23" t="str">
        <f aca="false">IF(T6211="","",IF(T6211=0,"No discount",IF(T6211&lt;=0.2,"Low (1-20%)",IF(T6211&lt;=0.4,"Medium (21-40%)","High (&gt;40%)"))))</f>
        <v/>
      </c>
      <c r="Y6211" s="23" t="str">
        <f aca="false">IF(AND(ISNUMBER(C6211),ISNUMBER(D6211)),D6211-C6211,"")</f>
        <v/>
      </c>
      <c r="Z6211" s="23" t="str">
        <f aca="false">IF(B6211="","",IF(MATCH(B6211,$B$2:$B$12000,0)=ROW()-1,1,0))</f>
        <v/>
      </c>
    </row>
    <row r="6212" customFormat="false" ht="15" hidden="false" customHeight="false" outlineLevel="0" collapsed="false">
      <c r="V6212" s="23" t="str">
        <f aca="false">IF(ISNUMBER(C6212),YEAR(C6212),"")</f>
        <v/>
      </c>
      <c r="W6212" s="23" t="str">
        <f aca="false">IF(ISNUMBER(C6212),MONTH(C6212),"")</f>
        <v/>
      </c>
      <c r="X6212" s="23" t="str">
        <f aca="false">IF(T6212="","",IF(T6212=0,"No discount",IF(T6212&lt;=0.2,"Low (1-20%)",IF(T6212&lt;=0.4,"Medium (21-40%)","High (&gt;40%)"))))</f>
        <v/>
      </c>
      <c r="Y6212" s="23" t="str">
        <f aca="false">IF(AND(ISNUMBER(C6212),ISNUMBER(D6212)),D6212-C6212,"")</f>
        <v/>
      </c>
      <c r="Z6212" s="23" t="str">
        <f aca="false">IF(B6212="","",IF(MATCH(B6212,$B$2:$B$12000,0)=ROW()-1,1,0))</f>
        <v/>
      </c>
    </row>
    <row r="6213" customFormat="false" ht="15" hidden="false" customHeight="false" outlineLevel="0" collapsed="false">
      <c r="V6213" s="23" t="str">
        <f aca="false">IF(ISNUMBER(C6213),YEAR(C6213),"")</f>
        <v/>
      </c>
      <c r="W6213" s="23" t="str">
        <f aca="false">IF(ISNUMBER(C6213),MONTH(C6213),"")</f>
        <v/>
      </c>
      <c r="X6213" s="23" t="str">
        <f aca="false">IF(T6213="","",IF(T6213=0,"No discount",IF(T6213&lt;=0.2,"Low (1-20%)",IF(T6213&lt;=0.4,"Medium (21-40%)","High (&gt;40%)"))))</f>
        <v/>
      </c>
      <c r="Y6213" s="23" t="str">
        <f aca="false">IF(AND(ISNUMBER(C6213),ISNUMBER(D6213)),D6213-C6213,"")</f>
        <v/>
      </c>
      <c r="Z6213" s="23" t="str">
        <f aca="false">IF(B6213="","",IF(MATCH(B6213,$B$2:$B$12000,0)=ROW()-1,1,0))</f>
        <v/>
      </c>
    </row>
    <row r="6214" customFormat="false" ht="15" hidden="false" customHeight="false" outlineLevel="0" collapsed="false">
      <c r="V6214" s="23" t="str">
        <f aca="false">IF(ISNUMBER(C6214),YEAR(C6214),"")</f>
        <v/>
      </c>
      <c r="W6214" s="23" t="str">
        <f aca="false">IF(ISNUMBER(C6214),MONTH(C6214),"")</f>
        <v/>
      </c>
      <c r="X6214" s="23" t="str">
        <f aca="false">IF(T6214="","",IF(T6214=0,"No discount",IF(T6214&lt;=0.2,"Low (1-20%)",IF(T6214&lt;=0.4,"Medium (21-40%)","High (&gt;40%)"))))</f>
        <v/>
      </c>
      <c r="Y6214" s="23" t="str">
        <f aca="false">IF(AND(ISNUMBER(C6214),ISNUMBER(D6214)),D6214-C6214,"")</f>
        <v/>
      </c>
      <c r="Z6214" s="23" t="str">
        <f aca="false">IF(B6214="","",IF(MATCH(B6214,$B$2:$B$12000,0)=ROW()-1,1,0))</f>
        <v/>
      </c>
    </row>
    <row r="6215" customFormat="false" ht="15" hidden="false" customHeight="false" outlineLevel="0" collapsed="false">
      <c r="V6215" s="23" t="str">
        <f aca="false">IF(ISNUMBER(C6215),YEAR(C6215),"")</f>
        <v/>
      </c>
      <c r="W6215" s="23" t="str">
        <f aca="false">IF(ISNUMBER(C6215),MONTH(C6215),"")</f>
        <v/>
      </c>
      <c r="X6215" s="23" t="str">
        <f aca="false">IF(T6215="","",IF(T6215=0,"No discount",IF(T6215&lt;=0.2,"Low (1-20%)",IF(T6215&lt;=0.4,"Medium (21-40%)","High (&gt;40%)"))))</f>
        <v/>
      </c>
      <c r="Y6215" s="23" t="str">
        <f aca="false">IF(AND(ISNUMBER(C6215),ISNUMBER(D6215)),D6215-C6215,"")</f>
        <v/>
      </c>
      <c r="Z6215" s="23" t="str">
        <f aca="false">IF(B6215="","",IF(MATCH(B6215,$B$2:$B$12000,0)=ROW()-1,1,0))</f>
        <v/>
      </c>
    </row>
    <row r="6216" customFormat="false" ht="15" hidden="false" customHeight="false" outlineLevel="0" collapsed="false">
      <c r="V6216" s="23" t="str">
        <f aca="false">IF(ISNUMBER(C6216),YEAR(C6216),"")</f>
        <v/>
      </c>
      <c r="W6216" s="23" t="str">
        <f aca="false">IF(ISNUMBER(C6216),MONTH(C6216),"")</f>
        <v/>
      </c>
      <c r="X6216" s="23" t="str">
        <f aca="false">IF(T6216="","",IF(T6216=0,"No discount",IF(T6216&lt;=0.2,"Low (1-20%)",IF(T6216&lt;=0.4,"Medium (21-40%)","High (&gt;40%)"))))</f>
        <v/>
      </c>
      <c r="Y6216" s="23" t="str">
        <f aca="false">IF(AND(ISNUMBER(C6216),ISNUMBER(D6216)),D6216-C6216,"")</f>
        <v/>
      </c>
      <c r="Z6216" s="23" t="str">
        <f aca="false">IF(B6216="","",IF(MATCH(B6216,$B$2:$B$12000,0)=ROW()-1,1,0))</f>
        <v/>
      </c>
    </row>
    <row r="6217" customFormat="false" ht="15" hidden="false" customHeight="false" outlineLevel="0" collapsed="false">
      <c r="V6217" s="23" t="str">
        <f aca="false">IF(ISNUMBER(C6217),YEAR(C6217),"")</f>
        <v/>
      </c>
      <c r="W6217" s="23" t="str">
        <f aca="false">IF(ISNUMBER(C6217),MONTH(C6217),"")</f>
        <v/>
      </c>
      <c r="X6217" s="23" t="str">
        <f aca="false">IF(T6217="","",IF(T6217=0,"No discount",IF(T6217&lt;=0.2,"Low (1-20%)",IF(T6217&lt;=0.4,"Medium (21-40%)","High (&gt;40%)"))))</f>
        <v/>
      </c>
      <c r="Y6217" s="23" t="str">
        <f aca="false">IF(AND(ISNUMBER(C6217),ISNUMBER(D6217)),D6217-C6217,"")</f>
        <v/>
      </c>
      <c r="Z6217" s="23" t="str">
        <f aca="false">IF(B6217="","",IF(MATCH(B6217,$B$2:$B$12000,0)=ROW()-1,1,0))</f>
        <v/>
      </c>
    </row>
    <row r="6218" customFormat="false" ht="15" hidden="false" customHeight="false" outlineLevel="0" collapsed="false">
      <c r="V6218" s="23" t="str">
        <f aca="false">IF(ISNUMBER(C6218),YEAR(C6218),"")</f>
        <v/>
      </c>
      <c r="W6218" s="23" t="str">
        <f aca="false">IF(ISNUMBER(C6218),MONTH(C6218),"")</f>
        <v/>
      </c>
      <c r="X6218" s="23" t="str">
        <f aca="false">IF(T6218="","",IF(T6218=0,"No discount",IF(T6218&lt;=0.2,"Low (1-20%)",IF(T6218&lt;=0.4,"Medium (21-40%)","High (&gt;40%)"))))</f>
        <v/>
      </c>
      <c r="Y6218" s="23" t="str">
        <f aca="false">IF(AND(ISNUMBER(C6218),ISNUMBER(D6218)),D6218-C6218,"")</f>
        <v/>
      </c>
      <c r="Z6218" s="23" t="str">
        <f aca="false">IF(B6218="","",IF(MATCH(B6218,$B$2:$B$12000,0)=ROW()-1,1,0))</f>
        <v/>
      </c>
    </row>
    <row r="6219" customFormat="false" ht="15" hidden="false" customHeight="false" outlineLevel="0" collapsed="false">
      <c r="V6219" s="23" t="str">
        <f aca="false">IF(ISNUMBER(C6219),YEAR(C6219),"")</f>
        <v/>
      </c>
      <c r="W6219" s="23" t="str">
        <f aca="false">IF(ISNUMBER(C6219),MONTH(C6219),"")</f>
        <v/>
      </c>
      <c r="X6219" s="23" t="str">
        <f aca="false">IF(T6219="","",IF(T6219=0,"No discount",IF(T6219&lt;=0.2,"Low (1-20%)",IF(T6219&lt;=0.4,"Medium (21-40%)","High (&gt;40%)"))))</f>
        <v/>
      </c>
      <c r="Y6219" s="23" t="str">
        <f aca="false">IF(AND(ISNUMBER(C6219),ISNUMBER(D6219)),D6219-C6219,"")</f>
        <v/>
      </c>
      <c r="Z6219" s="23" t="str">
        <f aca="false">IF(B6219="","",IF(MATCH(B6219,$B$2:$B$12000,0)=ROW()-1,1,0))</f>
        <v/>
      </c>
    </row>
    <row r="6220" customFormat="false" ht="15" hidden="false" customHeight="false" outlineLevel="0" collapsed="false">
      <c r="V6220" s="23" t="str">
        <f aca="false">IF(ISNUMBER(C6220),YEAR(C6220),"")</f>
        <v/>
      </c>
      <c r="W6220" s="23" t="str">
        <f aca="false">IF(ISNUMBER(C6220),MONTH(C6220),"")</f>
        <v/>
      </c>
      <c r="X6220" s="23" t="str">
        <f aca="false">IF(T6220="","",IF(T6220=0,"No discount",IF(T6220&lt;=0.2,"Low (1-20%)",IF(T6220&lt;=0.4,"Medium (21-40%)","High (&gt;40%)"))))</f>
        <v/>
      </c>
      <c r="Y6220" s="23" t="str">
        <f aca="false">IF(AND(ISNUMBER(C6220),ISNUMBER(D6220)),D6220-C6220,"")</f>
        <v/>
      </c>
      <c r="Z6220" s="23" t="str">
        <f aca="false">IF(B6220="","",IF(MATCH(B6220,$B$2:$B$12000,0)=ROW()-1,1,0))</f>
        <v/>
      </c>
    </row>
    <row r="6221" customFormat="false" ht="15" hidden="false" customHeight="false" outlineLevel="0" collapsed="false">
      <c r="V6221" s="23" t="str">
        <f aca="false">IF(ISNUMBER(C6221),YEAR(C6221),"")</f>
        <v/>
      </c>
      <c r="W6221" s="23" t="str">
        <f aca="false">IF(ISNUMBER(C6221),MONTH(C6221),"")</f>
        <v/>
      </c>
      <c r="X6221" s="23" t="str">
        <f aca="false">IF(T6221="","",IF(T6221=0,"No discount",IF(T6221&lt;=0.2,"Low (1-20%)",IF(T6221&lt;=0.4,"Medium (21-40%)","High (&gt;40%)"))))</f>
        <v/>
      </c>
      <c r="Y6221" s="23" t="str">
        <f aca="false">IF(AND(ISNUMBER(C6221),ISNUMBER(D6221)),D6221-C6221,"")</f>
        <v/>
      </c>
      <c r="Z6221" s="23" t="str">
        <f aca="false">IF(B6221="","",IF(MATCH(B6221,$B$2:$B$12000,0)=ROW()-1,1,0))</f>
        <v/>
      </c>
    </row>
    <row r="6222" customFormat="false" ht="15" hidden="false" customHeight="false" outlineLevel="0" collapsed="false">
      <c r="V6222" s="23" t="str">
        <f aca="false">IF(ISNUMBER(C6222),YEAR(C6222),"")</f>
        <v/>
      </c>
      <c r="W6222" s="23" t="str">
        <f aca="false">IF(ISNUMBER(C6222),MONTH(C6222),"")</f>
        <v/>
      </c>
      <c r="X6222" s="23" t="str">
        <f aca="false">IF(T6222="","",IF(T6222=0,"No discount",IF(T6222&lt;=0.2,"Low (1-20%)",IF(T6222&lt;=0.4,"Medium (21-40%)","High (&gt;40%)"))))</f>
        <v/>
      </c>
      <c r="Y6222" s="23" t="str">
        <f aca="false">IF(AND(ISNUMBER(C6222),ISNUMBER(D6222)),D6222-C6222,"")</f>
        <v/>
      </c>
      <c r="Z6222" s="23" t="str">
        <f aca="false">IF(B6222="","",IF(MATCH(B6222,$B$2:$B$12000,0)=ROW()-1,1,0))</f>
        <v/>
      </c>
    </row>
    <row r="6223" customFormat="false" ht="15" hidden="false" customHeight="false" outlineLevel="0" collapsed="false">
      <c r="V6223" s="23" t="str">
        <f aca="false">IF(ISNUMBER(C6223),YEAR(C6223),"")</f>
        <v/>
      </c>
      <c r="W6223" s="23" t="str">
        <f aca="false">IF(ISNUMBER(C6223),MONTH(C6223),"")</f>
        <v/>
      </c>
      <c r="X6223" s="23" t="str">
        <f aca="false">IF(T6223="","",IF(T6223=0,"No discount",IF(T6223&lt;=0.2,"Low (1-20%)",IF(T6223&lt;=0.4,"Medium (21-40%)","High (&gt;40%)"))))</f>
        <v/>
      </c>
      <c r="Y6223" s="23" t="str">
        <f aca="false">IF(AND(ISNUMBER(C6223),ISNUMBER(D6223)),D6223-C6223,"")</f>
        <v/>
      </c>
      <c r="Z6223" s="23" t="str">
        <f aca="false">IF(B6223="","",IF(MATCH(B6223,$B$2:$B$12000,0)=ROW()-1,1,0))</f>
        <v/>
      </c>
    </row>
    <row r="6224" customFormat="false" ht="15" hidden="false" customHeight="false" outlineLevel="0" collapsed="false">
      <c r="V6224" s="23" t="str">
        <f aca="false">IF(ISNUMBER(C6224),YEAR(C6224),"")</f>
        <v/>
      </c>
      <c r="W6224" s="23" t="str">
        <f aca="false">IF(ISNUMBER(C6224),MONTH(C6224),"")</f>
        <v/>
      </c>
      <c r="X6224" s="23" t="str">
        <f aca="false">IF(T6224="","",IF(T6224=0,"No discount",IF(T6224&lt;=0.2,"Low (1-20%)",IF(T6224&lt;=0.4,"Medium (21-40%)","High (&gt;40%)"))))</f>
        <v/>
      </c>
      <c r="Y6224" s="23" t="str">
        <f aca="false">IF(AND(ISNUMBER(C6224),ISNUMBER(D6224)),D6224-C6224,"")</f>
        <v/>
      </c>
      <c r="Z6224" s="23" t="str">
        <f aca="false">IF(B6224="","",IF(MATCH(B6224,$B$2:$B$12000,0)=ROW()-1,1,0))</f>
        <v/>
      </c>
    </row>
    <row r="6225" customFormat="false" ht="15" hidden="false" customHeight="false" outlineLevel="0" collapsed="false">
      <c r="V6225" s="23" t="str">
        <f aca="false">IF(ISNUMBER(C6225),YEAR(C6225),"")</f>
        <v/>
      </c>
      <c r="W6225" s="23" t="str">
        <f aca="false">IF(ISNUMBER(C6225),MONTH(C6225),"")</f>
        <v/>
      </c>
      <c r="X6225" s="23" t="str">
        <f aca="false">IF(T6225="","",IF(T6225=0,"No discount",IF(T6225&lt;=0.2,"Low (1-20%)",IF(T6225&lt;=0.4,"Medium (21-40%)","High (&gt;40%)"))))</f>
        <v/>
      </c>
      <c r="Y6225" s="23" t="str">
        <f aca="false">IF(AND(ISNUMBER(C6225),ISNUMBER(D6225)),D6225-C6225,"")</f>
        <v/>
      </c>
      <c r="Z6225" s="23" t="str">
        <f aca="false">IF(B6225="","",IF(MATCH(B6225,$B$2:$B$12000,0)=ROW()-1,1,0))</f>
        <v/>
      </c>
    </row>
    <row r="6226" customFormat="false" ht="15" hidden="false" customHeight="false" outlineLevel="0" collapsed="false">
      <c r="V6226" s="23" t="str">
        <f aca="false">IF(ISNUMBER(C6226),YEAR(C6226),"")</f>
        <v/>
      </c>
      <c r="W6226" s="23" t="str">
        <f aca="false">IF(ISNUMBER(C6226),MONTH(C6226),"")</f>
        <v/>
      </c>
      <c r="X6226" s="23" t="str">
        <f aca="false">IF(T6226="","",IF(T6226=0,"No discount",IF(T6226&lt;=0.2,"Low (1-20%)",IF(T6226&lt;=0.4,"Medium (21-40%)","High (&gt;40%)"))))</f>
        <v/>
      </c>
      <c r="Y6226" s="23" t="str">
        <f aca="false">IF(AND(ISNUMBER(C6226),ISNUMBER(D6226)),D6226-C6226,"")</f>
        <v/>
      </c>
      <c r="Z6226" s="23" t="str">
        <f aca="false">IF(B6226="","",IF(MATCH(B6226,$B$2:$B$12000,0)=ROW()-1,1,0))</f>
        <v/>
      </c>
    </row>
    <row r="6227" customFormat="false" ht="15" hidden="false" customHeight="false" outlineLevel="0" collapsed="false">
      <c r="V6227" s="23" t="str">
        <f aca="false">IF(ISNUMBER(C6227),YEAR(C6227),"")</f>
        <v/>
      </c>
      <c r="W6227" s="23" t="str">
        <f aca="false">IF(ISNUMBER(C6227),MONTH(C6227),"")</f>
        <v/>
      </c>
      <c r="X6227" s="23" t="str">
        <f aca="false">IF(T6227="","",IF(T6227=0,"No discount",IF(T6227&lt;=0.2,"Low (1-20%)",IF(T6227&lt;=0.4,"Medium (21-40%)","High (&gt;40%)"))))</f>
        <v/>
      </c>
      <c r="Y6227" s="23" t="str">
        <f aca="false">IF(AND(ISNUMBER(C6227),ISNUMBER(D6227)),D6227-C6227,"")</f>
        <v/>
      </c>
      <c r="Z6227" s="23" t="str">
        <f aca="false">IF(B6227="","",IF(MATCH(B6227,$B$2:$B$12000,0)=ROW()-1,1,0))</f>
        <v/>
      </c>
    </row>
    <row r="6228" customFormat="false" ht="15" hidden="false" customHeight="false" outlineLevel="0" collapsed="false">
      <c r="V6228" s="23" t="str">
        <f aca="false">IF(ISNUMBER(C6228),YEAR(C6228),"")</f>
        <v/>
      </c>
      <c r="W6228" s="23" t="str">
        <f aca="false">IF(ISNUMBER(C6228),MONTH(C6228),"")</f>
        <v/>
      </c>
      <c r="X6228" s="23" t="str">
        <f aca="false">IF(T6228="","",IF(T6228=0,"No discount",IF(T6228&lt;=0.2,"Low (1-20%)",IF(T6228&lt;=0.4,"Medium (21-40%)","High (&gt;40%)"))))</f>
        <v/>
      </c>
      <c r="Y6228" s="23" t="str">
        <f aca="false">IF(AND(ISNUMBER(C6228),ISNUMBER(D6228)),D6228-C6228,"")</f>
        <v/>
      </c>
      <c r="Z6228" s="23" t="str">
        <f aca="false">IF(B6228="","",IF(MATCH(B6228,$B$2:$B$12000,0)=ROW()-1,1,0))</f>
        <v/>
      </c>
    </row>
    <row r="6229" customFormat="false" ht="15" hidden="false" customHeight="false" outlineLevel="0" collapsed="false">
      <c r="V6229" s="23" t="str">
        <f aca="false">IF(ISNUMBER(C6229),YEAR(C6229),"")</f>
        <v/>
      </c>
      <c r="W6229" s="23" t="str">
        <f aca="false">IF(ISNUMBER(C6229),MONTH(C6229),"")</f>
        <v/>
      </c>
      <c r="X6229" s="23" t="str">
        <f aca="false">IF(T6229="","",IF(T6229=0,"No discount",IF(T6229&lt;=0.2,"Low (1-20%)",IF(T6229&lt;=0.4,"Medium (21-40%)","High (&gt;40%)"))))</f>
        <v/>
      </c>
      <c r="Y6229" s="23" t="str">
        <f aca="false">IF(AND(ISNUMBER(C6229),ISNUMBER(D6229)),D6229-C6229,"")</f>
        <v/>
      </c>
      <c r="Z6229" s="23" t="str">
        <f aca="false">IF(B6229="","",IF(MATCH(B6229,$B$2:$B$12000,0)=ROW()-1,1,0))</f>
        <v/>
      </c>
    </row>
    <row r="6230" customFormat="false" ht="15" hidden="false" customHeight="false" outlineLevel="0" collapsed="false">
      <c r="V6230" s="23" t="str">
        <f aca="false">IF(ISNUMBER(C6230),YEAR(C6230),"")</f>
        <v/>
      </c>
      <c r="W6230" s="23" t="str">
        <f aca="false">IF(ISNUMBER(C6230),MONTH(C6230),"")</f>
        <v/>
      </c>
      <c r="X6230" s="23" t="str">
        <f aca="false">IF(T6230="","",IF(T6230=0,"No discount",IF(T6230&lt;=0.2,"Low (1-20%)",IF(T6230&lt;=0.4,"Medium (21-40%)","High (&gt;40%)"))))</f>
        <v/>
      </c>
      <c r="Y6230" s="23" t="str">
        <f aca="false">IF(AND(ISNUMBER(C6230),ISNUMBER(D6230)),D6230-C6230,"")</f>
        <v/>
      </c>
      <c r="Z6230" s="23" t="str">
        <f aca="false">IF(B6230="","",IF(MATCH(B6230,$B$2:$B$12000,0)=ROW()-1,1,0))</f>
        <v/>
      </c>
    </row>
    <row r="6231" customFormat="false" ht="15" hidden="false" customHeight="false" outlineLevel="0" collapsed="false">
      <c r="V6231" s="23" t="str">
        <f aca="false">IF(ISNUMBER(C6231),YEAR(C6231),"")</f>
        <v/>
      </c>
      <c r="W6231" s="23" t="str">
        <f aca="false">IF(ISNUMBER(C6231),MONTH(C6231),"")</f>
        <v/>
      </c>
      <c r="X6231" s="23" t="str">
        <f aca="false">IF(T6231="","",IF(T6231=0,"No discount",IF(T6231&lt;=0.2,"Low (1-20%)",IF(T6231&lt;=0.4,"Medium (21-40%)","High (&gt;40%)"))))</f>
        <v/>
      </c>
      <c r="Y6231" s="23" t="str">
        <f aca="false">IF(AND(ISNUMBER(C6231),ISNUMBER(D6231)),D6231-C6231,"")</f>
        <v/>
      </c>
      <c r="Z6231" s="23" t="str">
        <f aca="false">IF(B6231="","",IF(MATCH(B6231,$B$2:$B$12000,0)=ROW()-1,1,0))</f>
        <v/>
      </c>
    </row>
    <row r="6232" customFormat="false" ht="15" hidden="false" customHeight="false" outlineLevel="0" collapsed="false">
      <c r="V6232" s="23" t="str">
        <f aca="false">IF(ISNUMBER(C6232),YEAR(C6232),"")</f>
        <v/>
      </c>
      <c r="W6232" s="23" t="str">
        <f aca="false">IF(ISNUMBER(C6232),MONTH(C6232),"")</f>
        <v/>
      </c>
      <c r="X6232" s="23" t="str">
        <f aca="false">IF(T6232="","",IF(T6232=0,"No discount",IF(T6232&lt;=0.2,"Low (1-20%)",IF(T6232&lt;=0.4,"Medium (21-40%)","High (&gt;40%)"))))</f>
        <v/>
      </c>
      <c r="Y6232" s="23" t="str">
        <f aca="false">IF(AND(ISNUMBER(C6232),ISNUMBER(D6232)),D6232-C6232,"")</f>
        <v/>
      </c>
      <c r="Z6232" s="23" t="str">
        <f aca="false">IF(B6232="","",IF(MATCH(B6232,$B$2:$B$12000,0)=ROW()-1,1,0))</f>
        <v/>
      </c>
    </row>
    <row r="6233" customFormat="false" ht="15" hidden="false" customHeight="false" outlineLevel="0" collapsed="false">
      <c r="V6233" s="23" t="str">
        <f aca="false">IF(ISNUMBER(C6233),YEAR(C6233),"")</f>
        <v/>
      </c>
      <c r="W6233" s="23" t="str">
        <f aca="false">IF(ISNUMBER(C6233),MONTH(C6233),"")</f>
        <v/>
      </c>
      <c r="X6233" s="23" t="str">
        <f aca="false">IF(T6233="","",IF(T6233=0,"No discount",IF(T6233&lt;=0.2,"Low (1-20%)",IF(T6233&lt;=0.4,"Medium (21-40%)","High (&gt;40%)"))))</f>
        <v/>
      </c>
      <c r="Y6233" s="23" t="str">
        <f aca="false">IF(AND(ISNUMBER(C6233),ISNUMBER(D6233)),D6233-C6233,"")</f>
        <v/>
      </c>
      <c r="Z6233" s="23" t="str">
        <f aca="false">IF(B6233="","",IF(MATCH(B6233,$B$2:$B$12000,0)=ROW()-1,1,0))</f>
        <v/>
      </c>
    </row>
    <row r="6234" customFormat="false" ht="15" hidden="false" customHeight="false" outlineLevel="0" collapsed="false">
      <c r="V6234" s="23" t="str">
        <f aca="false">IF(ISNUMBER(C6234),YEAR(C6234),"")</f>
        <v/>
      </c>
      <c r="W6234" s="23" t="str">
        <f aca="false">IF(ISNUMBER(C6234),MONTH(C6234),"")</f>
        <v/>
      </c>
      <c r="X6234" s="23" t="str">
        <f aca="false">IF(T6234="","",IF(T6234=0,"No discount",IF(T6234&lt;=0.2,"Low (1-20%)",IF(T6234&lt;=0.4,"Medium (21-40%)","High (&gt;40%)"))))</f>
        <v/>
      </c>
      <c r="Y6234" s="23" t="str">
        <f aca="false">IF(AND(ISNUMBER(C6234),ISNUMBER(D6234)),D6234-C6234,"")</f>
        <v/>
      </c>
      <c r="Z6234" s="23" t="str">
        <f aca="false">IF(B6234="","",IF(MATCH(B6234,$B$2:$B$12000,0)=ROW()-1,1,0))</f>
        <v/>
      </c>
    </row>
    <row r="6235" customFormat="false" ht="15" hidden="false" customHeight="false" outlineLevel="0" collapsed="false">
      <c r="V6235" s="23" t="str">
        <f aca="false">IF(ISNUMBER(C6235),YEAR(C6235),"")</f>
        <v/>
      </c>
      <c r="W6235" s="23" t="str">
        <f aca="false">IF(ISNUMBER(C6235),MONTH(C6235),"")</f>
        <v/>
      </c>
      <c r="X6235" s="23" t="str">
        <f aca="false">IF(T6235="","",IF(T6235=0,"No discount",IF(T6235&lt;=0.2,"Low (1-20%)",IF(T6235&lt;=0.4,"Medium (21-40%)","High (&gt;40%)"))))</f>
        <v/>
      </c>
      <c r="Y6235" s="23" t="str">
        <f aca="false">IF(AND(ISNUMBER(C6235),ISNUMBER(D6235)),D6235-C6235,"")</f>
        <v/>
      </c>
      <c r="Z6235" s="23" t="str">
        <f aca="false">IF(B6235="","",IF(MATCH(B6235,$B$2:$B$12000,0)=ROW()-1,1,0))</f>
        <v/>
      </c>
    </row>
    <row r="6236" customFormat="false" ht="15" hidden="false" customHeight="false" outlineLevel="0" collapsed="false">
      <c r="V6236" s="23" t="str">
        <f aca="false">IF(ISNUMBER(C6236),YEAR(C6236),"")</f>
        <v/>
      </c>
      <c r="W6236" s="23" t="str">
        <f aca="false">IF(ISNUMBER(C6236),MONTH(C6236),"")</f>
        <v/>
      </c>
      <c r="X6236" s="23" t="str">
        <f aca="false">IF(T6236="","",IF(T6236=0,"No discount",IF(T6236&lt;=0.2,"Low (1-20%)",IF(T6236&lt;=0.4,"Medium (21-40%)","High (&gt;40%)"))))</f>
        <v/>
      </c>
      <c r="Y6236" s="23" t="str">
        <f aca="false">IF(AND(ISNUMBER(C6236),ISNUMBER(D6236)),D6236-C6236,"")</f>
        <v/>
      </c>
      <c r="Z6236" s="23" t="str">
        <f aca="false">IF(B6236="","",IF(MATCH(B6236,$B$2:$B$12000,0)=ROW()-1,1,0))</f>
        <v/>
      </c>
    </row>
    <row r="6237" customFormat="false" ht="15" hidden="false" customHeight="false" outlineLevel="0" collapsed="false">
      <c r="V6237" s="23" t="str">
        <f aca="false">IF(ISNUMBER(C6237),YEAR(C6237),"")</f>
        <v/>
      </c>
      <c r="W6237" s="23" t="str">
        <f aca="false">IF(ISNUMBER(C6237),MONTH(C6237),"")</f>
        <v/>
      </c>
      <c r="X6237" s="23" t="str">
        <f aca="false">IF(T6237="","",IF(T6237=0,"No discount",IF(T6237&lt;=0.2,"Low (1-20%)",IF(T6237&lt;=0.4,"Medium (21-40%)","High (&gt;40%)"))))</f>
        <v/>
      </c>
      <c r="Y6237" s="23" t="str">
        <f aca="false">IF(AND(ISNUMBER(C6237),ISNUMBER(D6237)),D6237-C6237,"")</f>
        <v/>
      </c>
      <c r="Z6237" s="23" t="str">
        <f aca="false">IF(B6237="","",IF(MATCH(B6237,$B$2:$B$12000,0)=ROW()-1,1,0))</f>
        <v/>
      </c>
    </row>
    <row r="6238" customFormat="false" ht="15" hidden="false" customHeight="false" outlineLevel="0" collapsed="false">
      <c r="V6238" s="23" t="str">
        <f aca="false">IF(ISNUMBER(C6238),YEAR(C6238),"")</f>
        <v/>
      </c>
      <c r="W6238" s="23" t="str">
        <f aca="false">IF(ISNUMBER(C6238),MONTH(C6238),"")</f>
        <v/>
      </c>
      <c r="X6238" s="23" t="str">
        <f aca="false">IF(T6238="","",IF(T6238=0,"No discount",IF(T6238&lt;=0.2,"Low (1-20%)",IF(T6238&lt;=0.4,"Medium (21-40%)","High (&gt;40%)"))))</f>
        <v/>
      </c>
      <c r="Y6238" s="23" t="str">
        <f aca="false">IF(AND(ISNUMBER(C6238),ISNUMBER(D6238)),D6238-C6238,"")</f>
        <v/>
      </c>
      <c r="Z6238" s="23" t="str">
        <f aca="false">IF(B6238="","",IF(MATCH(B6238,$B$2:$B$12000,0)=ROW()-1,1,0))</f>
        <v/>
      </c>
    </row>
    <row r="6239" customFormat="false" ht="15" hidden="false" customHeight="false" outlineLevel="0" collapsed="false">
      <c r="V6239" s="23" t="str">
        <f aca="false">IF(ISNUMBER(C6239),YEAR(C6239),"")</f>
        <v/>
      </c>
      <c r="W6239" s="23" t="str">
        <f aca="false">IF(ISNUMBER(C6239),MONTH(C6239),"")</f>
        <v/>
      </c>
      <c r="X6239" s="23" t="str">
        <f aca="false">IF(T6239="","",IF(T6239=0,"No discount",IF(T6239&lt;=0.2,"Low (1-20%)",IF(T6239&lt;=0.4,"Medium (21-40%)","High (&gt;40%)"))))</f>
        <v/>
      </c>
      <c r="Y6239" s="23" t="str">
        <f aca="false">IF(AND(ISNUMBER(C6239),ISNUMBER(D6239)),D6239-C6239,"")</f>
        <v/>
      </c>
      <c r="Z6239" s="23" t="str">
        <f aca="false">IF(B6239="","",IF(MATCH(B6239,$B$2:$B$12000,0)=ROW()-1,1,0))</f>
        <v/>
      </c>
    </row>
    <row r="6240" customFormat="false" ht="15" hidden="false" customHeight="false" outlineLevel="0" collapsed="false">
      <c r="V6240" s="23" t="str">
        <f aca="false">IF(ISNUMBER(C6240),YEAR(C6240),"")</f>
        <v/>
      </c>
      <c r="W6240" s="23" t="str">
        <f aca="false">IF(ISNUMBER(C6240),MONTH(C6240),"")</f>
        <v/>
      </c>
      <c r="X6240" s="23" t="str">
        <f aca="false">IF(T6240="","",IF(T6240=0,"No discount",IF(T6240&lt;=0.2,"Low (1-20%)",IF(T6240&lt;=0.4,"Medium (21-40%)","High (&gt;40%)"))))</f>
        <v/>
      </c>
      <c r="Y6240" s="23" t="str">
        <f aca="false">IF(AND(ISNUMBER(C6240),ISNUMBER(D6240)),D6240-C6240,"")</f>
        <v/>
      </c>
      <c r="Z6240" s="23" t="str">
        <f aca="false">IF(B6240="","",IF(MATCH(B6240,$B$2:$B$12000,0)=ROW()-1,1,0))</f>
        <v/>
      </c>
    </row>
    <row r="6241" customFormat="false" ht="15" hidden="false" customHeight="false" outlineLevel="0" collapsed="false">
      <c r="V6241" s="23" t="str">
        <f aca="false">IF(ISNUMBER(C6241),YEAR(C6241),"")</f>
        <v/>
      </c>
      <c r="W6241" s="23" t="str">
        <f aca="false">IF(ISNUMBER(C6241),MONTH(C6241),"")</f>
        <v/>
      </c>
      <c r="X6241" s="23" t="str">
        <f aca="false">IF(T6241="","",IF(T6241=0,"No discount",IF(T6241&lt;=0.2,"Low (1-20%)",IF(T6241&lt;=0.4,"Medium (21-40%)","High (&gt;40%)"))))</f>
        <v/>
      </c>
      <c r="Y6241" s="23" t="str">
        <f aca="false">IF(AND(ISNUMBER(C6241),ISNUMBER(D6241)),D6241-C6241,"")</f>
        <v/>
      </c>
      <c r="Z6241" s="23" t="str">
        <f aca="false">IF(B6241="","",IF(MATCH(B6241,$B$2:$B$12000,0)=ROW()-1,1,0))</f>
        <v/>
      </c>
    </row>
    <row r="6242" customFormat="false" ht="15" hidden="false" customHeight="false" outlineLevel="0" collapsed="false">
      <c r="V6242" s="23" t="str">
        <f aca="false">IF(ISNUMBER(C6242),YEAR(C6242),"")</f>
        <v/>
      </c>
      <c r="W6242" s="23" t="str">
        <f aca="false">IF(ISNUMBER(C6242),MONTH(C6242),"")</f>
        <v/>
      </c>
      <c r="X6242" s="23" t="str">
        <f aca="false">IF(T6242="","",IF(T6242=0,"No discount",IF(T6242&lt;=0.2,"Low (1-20%)",IF(T6242&lt;=0.4,"Medium (21-40%)","High (&gt;40%)"))))</f>
        <v/>
      </c>
      <c r="Y6242" s="23" t="str">
        <f aca="false">IF(AND(ISNUMBER(C6242),ISNUMBER(D6242)),D6242-C6242,"")</f>
        <v/>
      </c>
      <c r="Z6242" s="23" t="str">
        <f aca="false">IF(B6242="","",IF(MATCH(B6242,$B$2:$B$12000,0)=ROW()-1,1,0))</f>
        <v/>
      </c>
    </row>
    <row r="6243" customFormat="false" ht="15" hidden="false" customHeight="false" outlineLevel="0" collapsed="false">
      <c r="V6243" s="23" t="str">
        <f aca="false">IF(ISNUMBER(C6243),YEAR(C6243),"")</f>
        <v/>
      </c>
      <c r="W6243" s="23" t="str">
        <f aca="false">IF(ISNUMBER(C6243),MONTH(C6243),"")</f>
        <v/>
      </c>
      <c r="X6243" s="23" t="str">
        <f aca="false">IF(T6243="","",IF(T6243=0,"No discount",IF(T6243&lt;=0.2,"Low (1-20%)",IF(T6243&lt;=0.4,"Medium (21-40%)","High (&gt;40%)"))))</f>
        <v/>
      </c>
      <c r="Y6243" s="23" t="str">
        <f aca="false">IF(AND(ISNUMBER(C6243),ISNUMBER(D6243)),D6243-C6243,"")</f>
        <v/>
      </c>
      <c r="Z6243" s="23" t="str">
        <f aca="false">IF(B6243="","",IF(MATCH(B6243,$B$2:$B$12000,0)=ROW()-1,1,0))</f>
        <v/>
      </c>
    </row>
    <row r="6244" customFormat="false" ht="15" hidden="false" customHeight="false" outlineLevel="0" collapsed="false">
      <c r="V6244" s="23" t="str">
        <f aca="false">IF(ISNUMBER(C6244),YEAR(C6244),"")</f>
        <v/>
      </c>
      <c r="W6244" s="23" t="str">
        <f aca="false">IF(ISNUMBER(C6244),MONTH(C6244),"")</f>
        <v/>
      </c>
      <c r="X6244" s="23" t="str">
        <f aca="false">IF(T6244="","",IF(T6244=0,"No discount",IF(T6244&lt;=0.2,"Low (1-20%)",IF(T6244&lt;=0.4,"Medium (21-40%)","High (&gt;40%)"))))</f>
        <v/>
      </c>
      <c r="Y6244" s="23" t="str">
        <f aca="false">IF(AND(ISNUMBER(C6244),ISNUMBER(D6244)),D6244-C6244,"")</f>
        <v/>
      </c>
      <c r="Z6244" s="23" t="str">
        <f aca="false">IF(B6244="","",IF(MATCH(B6244,$B$2:$B$12000,0)=ROW()-1,1,0))</f>
        <v/>
      </c>
    </row>
    <row r="6245" customFormat="false" ht="15" hidden="false" customHeight="false" outlineLevel="0" collapsed="false">
      <c r="V6245" s="23" t="str">
        <f aca="false">IF(ISNUMBER(C6245),YEAR(C6245),"")</f>
        <v/>
      </c>
      <c r="W6245" s="23" t="str">
        <f aca="false">IF(ISNUMBER(C6245),MONTH(C6245),"")</f>
        <v/>
      </c>
      <c r="X6245" s="23" t="str">
        <f aca="false">IF(T6245="","",IF(T6245=0,"No discount",IF(T6245&lt;=0.2,"Low (1-20%)",IF(T6245&lt;=0.4,"Medium (21-40%)","High (&gt;40%)"))))</f>
        <v/>
      </c>
      <c r="Y6245" s="23" t="str">
        <f aca="false">IF(AND(ISNUMBER(C6245),ISNUMBER(D6245)),D6245-C6245,"")</f>
        <v/>
      </c>
      <c r="Z6245" s="23" t="str">
        <f aca="false">IF(B6245="","",IF(MATCH(B6245,$B$2:$B$12000,0)=ROW()-1,1,0))</f>
        <v/>
      </c>
    </row>
    <row r="6246" customFormat="false" ht="15" hidden="false" customHeight="false" outlineLevel="0" collapsed="false">
      <c r="V6246" s="23" t="str">
        <f aca="false">IF(ISNUMBER(C6246),YEAR(C6246),"")</f>
        <v/>
      </c>
      <c r="W6246" s="23" t="str">
        <f aca="false">IF(ISNUMBER(C6246),MONTH(C6246),"")</f>
        <v/>
      </c>
      <c r="X6246" s="23" t="str">
        <f aca="false">IF(T6246="","",IF(T6246=0,"No discount",IF(T6246&lt;=0.2,"Low (1-20%)",IF(T6246&lt;=0.4,"Medium (21-40%)","High (&gt;40%)"))))</f>
        <v/>
      </c>
      <c r="Y6246" s="23" t="str">
        <f aca="false">IF(AND(ISNUMBER(C6246),ISNUMBER(D6246)),D6246-C6246,"")</f>
        <v/>
      </c>
      <c r="Z6246" s="23" t="str">
        <f aca="false">IF(B6246="","",IF(MATCH(B6246,$B$2:$B$12000,0)=ROW()-1,1,0))</f>
        <v/>
      </c>
    </row>
    <row r="6247" customFormat="false" ht="15" hidden="false" customHeight="false" outlineLevel="0" collapsed="false">
      <c r="V6247" s="23" t="str">
        <f aca="false">IF(ISNUMBER(C6247),YEAR(C6247),"")</f>
        <v/>
      </c>
      <c r="W6247" s="23" t="str">
        <f aca="false">IF(ISNUMBER(C6247),MONTH(C6247),"")</f>
        <v/>
      </c>
      <c r="X6247" s="23" t="str">
        <f aca="false">IF(T6247="","",IF(T6247=0,"No discount",IF(T6247&lt;=0.2,"Low (1-20%)",IF(T6247&lt;=0.4,"Medium (21-40%)","High (&gt;40%)"))))</f>
        <v/>
      </c>
      <c r="Y6247" s="23" t="str">
        <f aca="false">IF(AND(ISNUMBER(C6247),ISNUMBER(D6247)),D6247-C6247,"")</f>
        <v/>
      </c>
      <c r="Z6247" s="23" t="str">
        <f aca="false">IF(B6247="","",IF(MATCH(B6247,$B$2:$B$12000,0)=ROW()-1,1,0))</f>
        <v/>
      </c>
    </row>
    <row r="6248" customFormat="false" ht="15" hidden="false" customHeight="false" outlineLevel="0" collapsed="false">
      <c r="V6248" s="23" t="str">
        <f aca="false">IF(ISNUMBER(C6248),YEAR(C6248),"")</f>
        <v/>
      </c>
      <c r="W6248" s="23" t="str">
        <f aca="false">IF(ISNUMBER(C6248),MONTH(C6248),"")</f>
        <v/>
      </c>
      <c r="X6248" s="23" t="str">
        <f aca="false">IF(T6248="","",IF(T6248=0,"No discount",IF(T6248&lt;=0.2,"Low (1-20%)",IF(T6248&lt;=0.4,"Medium (21-40%)","High (&gt;40%)"))))</f>
        <v/>
      </c>
      <c r="Y6248" s="23" t="str">
        <f aca="false">IF(AND(ISNUMBER(C6248),ISNUMBER(D6248)),D6248-C6248,"")</f>
        <v/>
      </c>
      <c r="Z6248" s="23" t="str">
        <f aca="false">IF(B6248="","",IF(MATCH(B6248,$B$2:$B$12000,0)=ROW()-1,1,0))</f>
        <v/>
      </c>
    </row>
    <row r="6249" customFormat="false" ht="15" hidden="false" customHeight="false" outlineLevel="0" collapsed="false">
      <c r="V6249" s="23" t="str">
        <f aca="false">IF(ISNUMBER(C6249),YEAR(C6249),"")</f>
        <v/>
      </c>
      <c r="W6249" s="23" t="str">
        <f aca="false">IF(ISNUMBER(C6249),MONTH(C6249),"")</f>
        <v/>
      </c>
      <c r="X6249" s="23" t="str">
        <f aca="false">IF(T6249="","",IF(T6249=0,"No discount",IF(T6249&lt;=0.2,"Low (1-20%)",IF(T6249&lt;=0.4,"Medium (21-40%)","High (&gt;40%)"))))</f>
        <v/>
      </c>
      <c r="Y6249" s="23" t="str">
        <f aca="false">IF(AND(ISNUMBER(C6249),ISNUMBER(D6249)),D6249-C6249,"")</f>
        <v/>
      </c>
      <c r="Z6249" s="23" t="str">
        <f aca="false">IF(B6249="","",IF(MATCH(B6249,$B$2:$B$12000,0)=ROW()-1,1,0))</f>
        <v/>
      </c>
    </row>
    <row r="6250" customFormat="false" ht="15" hidden="false" customHeight="false" outlineLevel="0" collapsed="false">
      <c r="V6250" s="23" t="str">
        <f aca="false">IF(ISNUMBER(C6250),YEAR(C6250),"")</f>
        <v/>
      </c>
      <c r="W6250" s="23" t="str">
        <f aca="false">IF(ISNUMBER(C6250),MONTH(C6250),"")</f>
        <v/>
      </c>
      <c r="X6250" s="23" t="str">
        <f aca="false">IF(T6250="","",IF(T6250=0,"No discount",IF(T6250&lt;=0.2,"Low (1-20%)",IF(T6250&lt;=0.4,"Medium (21-40%)","High (&gt;40%)"))))</f>
        <v/>
      </c>
      <c r="Y6250" s="23" t="str">
        <f aca="false">IF(AND(ISNUMBER(C6250),ISNUMBER(D6250)),D6250-C6250,"")</f>
        <v/>
      </c>
      <c r="Z6250" s="23" t="str">
        <f aca="false">IF(B6250="","",IF(MATCH(B6250,$B$2:$B$12000,0)=ROW()-1,1,0))</f>
        <v/>
      </c>
    </row>
    <row r="6251" customFormat="false" ht="15" hidden="false" customHeight="false" outlineLevel="0" collapsed="false">
      <c r="V6251" s="23" t="str">
        <f aca="false">IF(ISNUMBER(C6251),YEAR(C6251),"")</f>
        <v/>
      </c>
      <c r="W6251" s="23" t="str">
        <f aca="false">IF(ISNUMBER(C6251),MONTH(C6251),"")</f>
        <v/>
      </c>
      <c r="X6251" s="23" t="str">
        <f aca="false">IF(T6251="","",IF(T6251=0,"No discount",IF(T6251&lt;=0.2,"Low (1-20%)",IF(T6251&lt;=0.4,"Medium (21-40%)","High (&gt;40%)"))))</f>
        <v/>
      </c>
      <c r="Y6251" s="23" t="str">
        <f aca="false">IF(AND(ISNUMBER(C6251),ISNUMBER(D6251)),D6251-C6251,"")</f>
        <v/>
      </c>
      <c r="Z6251" s="23" t="str">
        <f aca="false">IF(B6251="","",IF(MATCH(B6251,$B$2:$B$12000,0)=ROW()-1,1,0))</f>
        <v/>
      </c>
    </row>
    <row r="6252" customFormat="false" ht="15" hidden="false" customHeight="false" outlineLevel="0" collapsed="false">
      <c r="V6252" s="23" t="str">
        <f aca="false">IF(ISNUMBER(C6252),YEAR(C6252),"")</f>
        <v/>
      </c>
      <c r="W6252" s="23" t="str">
        <f aca="false">IF(ISNUMBER(C6252),MONTH(C6252),"")</f>
        <v/>
      </c>
      <c r="X6252" s="23" t="str">
        <f aca="false">IF(T6252="","",IF(T6252=0,"No discount",IF(T6252&lt;=0.2,"Low (1-20%)",IF(T6252&lt;=0.4,"Medium (21-40%)","High (&gt;40%)"))))</f>
        <v/>
      </c>
      <c r="Y6252" s="23" t="str">
        <f aca="false">IF(AND(ISNUMBER(C6252),ISNUMBER(D6252)),D6252-C6252,"")</f>
        <v/>
      </c>
      <c r="Z6252" s="23" t="str">
        <f aca="false">IF(B6252="","",IF(MATCH(B6252,$B$2:$B$12000,0)=ROW()-1,1,0))</f>
        <v/>
      </c>
    </row>
    <row r="6253" customFormat="false" ht="15" hidden="false" customHeight="false" outlineLevel="0" collapsed="false">
      <c r="V6253" s="23" t="str">
        <f aca="false">IF(ISNUMBER(C6253),YEAR(C6253),"")</f>
        <v/>
      </c>
      <c r="W6253" s="23" t="str">
        <f aca="false">IF(ISNUMBER(C6253),MONTH(C6253),"")</f>
        <v/>
      </c>
      <c r="X6253" s="23" t="str">
        <f aca="false">IF(T6253="","",IF(T6253=0,"No discount",IF(T6253&lt;=0.2,"Low (1-20%)",IF(T6253&lt;=0.4,"Medium (21-40%)","High (&gt;40%)"))))</f>
        <v/>
      </c>
      <c r="Y6253" s="23" t="str">
        <f aca="false">IF(AND(ISNUMBER(C6253),ISNUMBER(D6253)),D6253-C6253,"")</f>
        <v/>
      </c>
      <c r="Z6253" s="23" t="str">
        <f aca="false">IF(B6253="","",IF(MATCH(B6253,$B$2:$B$12000,0)=ROW()-1,1,0))</f>
        <v/>
      </c>
    </row>
    <row r="6254" customFormat="false" ht="15" hidden="false" customHeight="false" outlineLevel="0" collapsed="false">
      <c r="V6254" s="23" t="str">
        <f aca="false">IF(ISNUMBER(C6254),YEAR(C6254),"")</f>
        <v/>
      </c>
      <c r="W6254" s="23" t="str">
        <f aca="false">IF(ISNUMBER(C6254),MONTH(C6254),"")</f>
        <v/>
      </c>
      <c r="X6254" s="23" t="str">
        <f aca="false">IF(T6254="","",IF(T6254=0,"No discount",IF(T6254&lt;=0.2,"Low (1-20%)",IF(T6254&lt;=0.4,"Medium (21-40%)","High (&gt;40%)"))))</f>
        <v/>
      </c>
      <c r="Y6254" s="23" t="str">
        <f aca="false">IF(AND(ISNUMBER(C6254),ISNUMBER(D6254)),D6254-C6254,"")</f>
        <v/>
      </c>
      <c r="Z6254" s="23" t="str">
        <f aca="false">IF(B6254="","",IF(MATCH(B6254,$B$2:$B$12000,0)=ROW()-1,1,0))</f>
        <v/>
      </c>
    </row>
    <row r="6255" customFormat="false" ht="15" hidden="false" customHeight="false" outlineLevel="0" collapsed="false">
      <c r="V6255" s="23" t="str">
        <f aca="false">IF(ISNUMBER(C6255),YEAR(C6255),"")</f>
        <v/>
      </c>
      <c r="W6255" s="23" t="str">
        <f aca="false">IF(ISNUMBER(C6255),MONTH(C6255),"")</f>
        <v/>
      </c>
      <c r="X6255" s="23" t="str">
        <f aca="false">IF(T6255="","",IF(T6255=0,"No discount",IF(T6255&lt;=0.2,"Low (1-20%)",IF(T6255&lt;=0.4,"Medium (21-40%)","High (&gt;40%)"))))</f>
        <v/>
      </c>
      <c r="Y6255" s="23" t="str">
        <f aca="false">IF(AND(ISNUMBER(C6255),ISNUMBER(D6255)),D6255-C6255,"")</f>
        <v/>
      </c>
      <c r="Z6255" s="23" t="str">
        <f aca="false">IF(B6255="","",IF(MATCH(B6255,$B$2:$B$12000,0)=ROW()-1,1,0))</f>
        <v/>
      </c>
    </row>
    <row r="6256" customFormat="false" ht="15" hidden="false" customHeight="false" outlineLevel="0" collapsed="false">
      <c r="V6256" s="23" t="str">
        <f aca="false">IF(ISNUMBER(C6256),YEAR(C6256),"")</f>
        <v/>
      </c>
      <c r="W6256" s="23" t="str">
        <f aca="false">IF(ISNUMBER(C6256),MONTH(C6256),"")</f>
        <v/>
      </c>
      <c r="X6256" s="23" t="str">
        <f aca="false">IF(T6256="","",IF(T6256=0,"No discount",IF(T6256&lt;=0.2,"Low (1-20%)",IF(T6256&lt;=0.4,"Medium (21-40%)","High (&gt;40%)"))))</f>
        <v/>
      </c>
      <c r="Y6256" s="23" t="str">
        <f aca="false">IF(AND(ISNUMBER(C6256),ISNUMBER(D6256)),D6256-C6256,"")</f>
        <v/>
      </c>
      <c r="Z6256" s="23" t="str">
        <f aca="false">IF(B6256="","",IF(MATCH(B6256,$B$2:$B$12000,0)=ROW()-1,1,0))</f>
        <v/>
      </c>
    </row>
    <row r="6257" customFormat="false" ht="15" hidden="false" customHeight="false" outlineLevel="0" collapsed="false">
      <c r="V6257" s="23" t="str">
        <f aca="false">IF(ISNUMBER(C6257),YEAR(C6257),"")</f>
        <v/>
      </c>
      <c r="W6257" s="23" t="str">
        <f aca="false">IF(ISNUMBER(C6257),MONTH(C6257),"")</f>
        <v/>
      </c>
      <c r="X6257" s="23" t="str">
        <f aca="false">IF(T6257="","",IF(T6257=0,"No discount",IF(T6257&lt;=0.2,"Low (1-20%)",IF(T6257&lt;=0.4,"Medium (21-40%)","High (&gt;40%)"))))</f>
        <v/>
      </c>
      <c r="Y6257" s="23" t="str">
        <f aca="false">IF(AND(ISNUMBER(C6257),ISNUMBER(D6257)),D6257-C6257,"")</f>
        <v/>
      </c>
      <c r="Z6257" s="23" t="str">
        <f aca="false">IF(B6257="","",IF(MATCH(B6257,$B$2:$B$12000,0)=ROW()-1,1,0))</f>
        <v/>
      </c>
    </row>
    <row r="6258" customFormat="false" ht="15" hidden="false" customHeight="false" outlineLevel="0" collapsed="false">
      <c r="V6258" s="23" t="str">
        <f aca="false">IF(ISNUMBER(C6258),YEAR(C6258),"")</f>
        <v/>
      </c>
      <c r="W6258" s="23" t="str">
        <f aca="false">IF(ISNUMBER(C6258),MONTH(C6258),"")</f>
        <v/>
      </c>
      <c r="X6258" s="23" t="str">
        <f aca="false">IF(T6258="","",IF(T6258=0,"No discount",IF(T6258&lt;=0.2,"Low (1-20%)",IF(T6258&lt;=0.4,"Medium (21-40%)","High (&gt;40%)"))))</f>
        <v/>
      </c>
      <c r="Y6258" s="23" t="str">
        <f aca="false">IF(AND(ISNUMBER(C6258),ISNUMBER(D6258)),D6258-C6258,"")</f>
        <v/>
      </c>
      <c r="Z6258" s="23" t="str">
        <f aca="false">IF(B6258="","",IF(MATCH(B6258,$B$2:$B$12000,0)=ROW()-1,1,0))</f>
        <v/>
      </c>
    </row>
    <row r="6259" customFormat="false" ht="15" hidden="false" customHeight="false" outlineLevel="0" collapsed="false">
      <c r="V6259" s="23" t="str">
        <f aca="false">IF(ISNUMBER(C6259),YEAR(C6259),"")</f>
        <v/>
      </c>
      <c r="W6259" s="23" t="str">
        <f aca="false">IF(ISNUMBER(C6259),MONTH(C6259),"")</f>
        <v/>
      </c>
      <c r="X6259" s="23" t="str">
        <f aca="false">IF(T6259="","",IF(T6259=0,"No discount",IF(T6259&lt;=0.2,"Low (1-20%)",IF(T6259&lt;=0.4,"Medium (21-40%)","High (&gt;40%)"))))</f>
        <v/>
      </c>
      <c r="Y6259" s="23" t="str">
        <f aca="false">IF(AND(ISNUMBER(C6259),ISNUMBER(D6259)),D6259-C6259,"")</f>
        <v/>
      </c>
      <c r="Z6259" s="23" t="str">
        <f aca="false">IF(B6259="","",IF(MATCH(B6259,$B$2:$B$12000,0)=ROW()-1,1,0))</f>
        <v/>
      </c>
    </row>
    <row r="6260" customFormat="false" ht="15" hidden="false" customHeight="false" outlineLevel="0" collapsed="false">
      <c r="V6260" s="23" t="str">
        <f aca="false">IF(ISNUMBER(C6260),YEAR(C6260),"")</f>
        <v/>
      </c>
      <c r="W6260" s="23" t="str">
        <f aca="false">IF(ISNUMBER(C6260),MONTH(C6260),"")</f>
        <v/>
      </c>
      <c r="X6260" s="23" t="str">
        <f aca="false">IF(T6260="","",IF(T6260=0,"No discount",IF(T6260&lt;=0.2,"Low (1-20%)",IF(T6260&lt;=0.4,"Medium (21-40%)","High (&gt;40%)"))))</f>
        <v/>
      </c>
      <c r="Y6260" s="23" t="str">
        <f aca="false">IF(AND(ISNUMBER(C6260),ISNUMBER(D6260)),D6260-C6260,"")</f>
        <v/>
      </c>
      <c r="Z6260" s="23" t="str">
        <f aca="false">IF(B6260="","",IF(MATCH(B6260,$B$2:$B$12000,0)=ROW()-1,1,0))</f>
        <v/>
      </c>
    </row>
    <row r="6261" customFormat="false" ht="15" hidden="false" customHeight="false" outlineLevel="0" collapsed="false">
      <c r="V6261" s="23" t="str">
        <f aca="false">IF(ISNUMBER(C6261),YEAR(C6261),"")</f>
        <v/>
      </c>
      <c r="W6261" s="23" t="str">
        <f aca="false">IF(ISNUMBER(C6261),MONTH(C6261),"")</f>
        <v/>
      </c>
      <c r="X6261" s="23" t="str">
        <f aca="false">IF(T6261="","",IF(T6261=0,"No discount",IF(T6261&lt;=0.2,"Low (1-20%)",IF(T6261&lt;=0.4,"Medium (21-40%)","High (&gt;40%)"))))</f>
        <v/>
      </c>
      <c r="Y6261" s="23" t="str">
        <f aca="false">IF(AND(ISNUMBER(C6261),ISNUMBER(D6261)),D6261-C6261,"")</f>
        <v/>
      </c>
      <c r="Z6261" s="23" t="str">
        <f aca="false">IF(B6261="","",IF(MATCH(B6261,$B$2:$B$12000,0)=ROW()-1,1,0))</f>
        <v/>
      </c>
    </row>
    <row r="6262" customFormat="false" ht="15" hidden="false" customHeight="false" outlineLevel="0" collapsed="false">
      <c r="V6262" s="23" t="str">
        <f aca="false">IF(ISNUMBER(C6262),YEAR(C6262),"")</f>
        <v/>
      </c>
      <c r="W6262" s="23" t="str">
        <f aca="false">IF(ISNUMBER(C6262),MONTH(C6262),"")</f>
        <v/>
      </c>
      <c r="X6262" s="23" t="str">
        <f aca="false">IF(T6262="","",IF(T6262=0,"No discount",IF(T6262&lt;=0.2,"Low (1-20%)",IF(T6262&lt;=0.4,"Medium (21-40%)","High (&gt;40%)"))))</f>
        <v/>
      </c>
      <c r="Y6262" s="23" t="str">
        <f aca="false">IF(AND(ISNUMBER(C6262),ISNUMBER(D6262)),D6262-C6262,"")</f>
        <v/>
      </c>
      <c r="Z6262" s="23" t="str">
        <f aca="false">IF(B6262="","",IF(MATCH(B6262,$B$2:$B$12000,0)=ROW()-1,1,0))</f>
        <v/>
      </c>
    </row>
    <row r="6263" customFormat="false" ht="15" hidden="false" customHeight="false" outlineLevel="0" collapsed="false">
      <c r="V6263" s="23" t="str">
        <f aca="false">IF(ISNUMBER(C6263),YEAR(C6263),"")</f>
        <v/>
      </c>
      <c r="W6263" s="23" t="str">
        <f aca="false">IF(ISNUMBER(C6263),MONTH(C6263),"")</f>
        <v/>
      </c>
      <c r="X6263" s="23" t="str">
        <f aca="false">IF(T6263="","",IF(T6263=0,"No discount",IF(T6263&lt;=0.2,"Low (1-20%)",IF(T6263&lt;=0.4,"Medium (21-40%)","High (&gt;40%)"))))</f>
        <v/>
      </c>
      <c r="Y6263" s="23" t="str">
        <f aca="false">IF(AND(ISNUMBER(C6263),ISNUMBER(D6263)),D6263-C6263,"")</f>
        <v/>
      </c>
      <c r="Z6263" s="23" t="str">
        <f aca="false">IF(B6263="","",IF(MATCH(B6263,$B$2:$B$12000,0)=ROW()-1,1,0))</f>
        <v/>
      </c>
    </row>
    <row r="6264" customFormat="false" ht="15" hidden="false" customHeight="false" outlineLevel="0" collapsed="false">
      <c r="V6264" s="23" t="str">
        <f aca="false">IF(ISNUMBER(C6264),YEAR(C6264),"")</f>
        <v/>
      </c>
      <c r="W6264" s="23" t="str">
        <f aca="false">IF(ISNUMBER(C6264),MONTH(C6264),"")</f>
        <v/>
      </c>
      <c r="X6264" s="23" t="str">
        <f aca="false">IF(T6264="","",IF(T6264=0,"No discount",IF(T6264&lt;=0.2,"Low (1-20%)",IF(T6264&lt;=0.4,"Medium (21-40%)","High (&gt;40%)"))))</f>
        <v/>
      </c>
      <c r="Y6264" s="23" t="str">
        <f aca="false">IF(AND(ISNUMBER(C6264),ISNUMBER(D6264)),D6264-C6264,"")</f>
        <v/>
      </c>
      <c r="Z6264" s="23" t="str">
        <f aca="false">IF(B6264="","",IF(MATCH(B6264,$B$2:$B$12000,0)=ROW()-1,1,0))</f>
        <v/>
      </c>
    </row>
    <row r="6265" customFormat="false" ht="15" hidden="false" customHeight="false" outlineLevel="0" collapsed="false">
      <c r="V6265" s="23" t="str">
        <f aca="false">IF(ISNUMBER(C6265),YEAR(C6265),"")</f>
        <v/>
      </c>
      <c r="W6265" s="23" t="str">
        <f aca="false">IF(ISNUMBER(C6265),MONTH(C6265),"")</f>
        <v/>
      </c>
      <c r="X6265" s="23" t="str">
        <f aca="false">IF(T6265="","",IF(T6265=0,"No discount",IF(T6265&lt;=0.2,"Low (1-20%)",IF(T6265&lt;=0.4,"Medium (21-40%)","High (&gt;40%)"))))</f>
        <v/>
      </c>
      <c r="Y6265" s="23" t="str">
        <f aca="false">IF(AND(ISNUMBER(C6265),ISNUMBER(D6265)),D6265-C6265,"")</f>
        <v/>
      </c>
      <c r="Z6265" s="23" t="str">
        <f aca="false">IF(B6265="","",IF(MATCH(B6265,$B$2:$B$12000,0)=ROW()-1,1,0))</f>
        <v/>
      </c>
    </row>
    <row r="6266" customFormat="false" ht="15" hidden="false" customHeight="false" outlineLevel="0" collapsed="false">
      <c r="V6266" s="23" t="str">
        <f aca="false">IF(ISNUMBER(C6266),YEAR(C6266),"")</f>
        <v/>
      </c>
      <c r="W6266" s="23" t="str">
        <f aca="false">IF(ISNUMBER(C6266),MONTH(C6266),"")</f>
        <v/>
      </c>
      <c r="X6266" s="23" t="str">
        <f aca="false">IF(T6266="","",IF(T6266=0,"No discount",IF(T6266&lt;=0.2,"Low (1-20%)",IF(T6266&lt;=0.4,"Medium (21-40%)","High (&gt;40%)"))))</f>
        <v/>
      </c>
      <c r="Y6266" s="23" t="str">
        <f aca="false">IF(AND(ISNUMBER(C6266),ISNUMBER(D6266)),D6266-C6266,"")</f>
        <v/>
      </c>
      <c r="Z6266" s="23" t="str">
        <f aca="false">IF(B6266="","",IF(MATCH(B6266,$B$2:$B$12000,0)=ROW()-1,1,0))</f>
        <v/>
      </c>
    </row>
    <row r="6267" customFormat="false" ht="15" hidden="false" customHeight="false" outlineLevel="0" collapsed="false">
      <c r="V6267" s="23" t="str">
        <f aca="false">IF(ISNUMBER(C6267),YEAR(C6267),"")</f>
        <v/>
      </c>
      <c r="W6267" s="23" t="str">
        <f aca="false">IF(ISNUMBER(C6267),MONTH(C6267),"")</f>
        <v/>
      </c>
      <c r="X6267" s="23" t="str">
        <f aca="false">IF(T6267="","",IF(T6267=0,"No discount",IF(T6267&lt;=0.2,"Low (1-20%)",IF(T6267&lt;=0.4,"Medium (21-40%)","High (&gt;40%)"))))</f>
        <v/>
      </c>
      <c r="Y6267" s="23" t="str">
        <f aca="false">IF(AND(ISNUMBER(C6267),ISNUMBER(D6267)),D6267-C6267,"")</f>
        <v/>
      </c>
      <c r="Z6267" s="23" t="str">
        <f aca="false">IF(B6267="","",IF(MATCH(B6267,$B$2:$B$12000,0)=ROW()-1,1,0))</f>
        <v/>
      </c>
    </row>
    <row r="6268" customFormat="false" ht="15" hidden="false" customHeight="false" outlineLevel="0" collapsed="false">
      <c r="V6268" s="23" t="str">
        <f aca="false">IF(ISNUMBER(C6268),YEAR(C6268),"")</f>
        <v/>
      </c>
      <c r="W6268" s="23" t="str">
        <f aca="false">IF(ISNUMBER(C6268),MONTH(C6268),"")</f>
        <v/>
      </c>
      <c r="X6268" s="23" t="str">
        <f aca="false">IF(T6268="","",IF(T6268=0,"No discount",IF(T6268&lt;=0.2,"Low (1-20%)",IF(T6268&lt;=0.4,"Medium (21-40%)","High (&gt;40%)"))))</f>
        <v/>
      </c>
      <c r="Y6268" s="23" t="str">
        <f aca="false">IF(AND(ISNUMBER(C6268),ISNUMBER(D6268)),D6268-C6268,"")</f>
        <v/>
      </c>
      <c r="Z6268" s="23" t="str">
        <f aca="false">IF(B6268="","",IF(MATCH(B6268,$B$2:$B$12000,0)=ROW()-1,1,0))</f>
        <v/>
      </c>
    </row>
    <row r="6269" customFormat="false" ht="15" hidden="false" customHeight="false" outlineLevel="0" collapsed="false">
      <c r="V6269" s="23" t="str">
        <f aca="false">IF(ISNUMBER(C6269),YEAR(C6269),"")</f>
        <v/>
      </c>
      <c r="W6269" s="23" t="str">
        <f aca="false">IF(ISNUMBER(C6269),MONTH(C6269),"")</f>
        <v/>
      </c>
      <c r="X6269" s="23" t="str">
        <f aca="false">IF(T6269="","",IF(T6269=0,"No discount",IF(T6269&lt;=0.2,"Low (1-20%)",IF(T6269&lt;=0.4,"Medium (21-40%)","High (&gt;40%)"))))</f>
        <v/>
      </c>
      <c r="Y6269" s="23" t="str">
        <f aca="false">IF(AND(ISNUMBER(C6269),ISNUMBER(D6269)),D6269-C6269,"")</f>
        <v/>
      </c>
      <c r="Z6269" s="23" t="str">
        <f aca="false">IF(B6269="","",IF(MATCH(B6269,$B$2:$B$12000,0)=ROW()-1,1,0))</f>
        <v/>
      </c>
    </row>
    <row r="6270" customFormat="false" ht="15" hidden="false" customHeight="false" outlineLevel="0" collapsed="false">
      <c r="V6270" s="23" t="str">
        <f aca="false">IF(ISNUMBER(C6270),YEAR(C6270),"")</f>
        <v/>
      </c>
      <c r="W6270" s="23" t="str">
        <f aca="false">IF(ISNUMBER(C6270),MONTH(C6270),"")</f>
        <v/>
      </c>
      <c r="X6270" s="23" t="str">
        <f aca="false">IF(T6270="","",IF(T6270=0,"No discount",IF(T6270&lt;=0.2,"Low (1-20%)",IF(T6270&lt;=0.4,"Medium (21-40%)","High (&gt;40%)"))))</f>
        <v/>
      </c>
      <c r="Y6270" s="23" t="str">
        <f aca="false">IF(AND(ISNUMBER(C6270),ISNUMBER(D6270)),D6270-C6270,"")</f>
        <v/>
      </c>
      <c r="Z6270" s="23" t="str">
        <f aca="false">IF(B6270="","",IF(MATCH(B6270,$B$2:$B$12000,0)=ROW()-1,1,0))</f>
        <v/>
      </c>
    </row>
    <row r="6271" customFormat="false" ht="15" hidden="false" customHeight="false" outlineLevel="0" collapsed="false">
      <c r="V6271" s="23" t="str">
        <f aca="false">IF(ISNUMBER(C6271),YEAR(C6271),"")</f>
        <v/>
      </c>
      <c r="W6271" s="23" t="str">
        <f aca="false">IF(ISNUMBER(C6271),MONTH(C6271),"")</f>
        <v/>
      </c>
      <c r="X6271" s="23" t="str">
        <f aca="false">IF(T6271="","",IF(T6271=0,"No discount",IF(T6271&lt;=0.2,"Low (1-20%)",IF(T6271&lt;=0.4,"Medium (21-40%)","High (&gt;40%)"))))</f>
        <v/>
      </c>
      <c r="Y6271" s="23" t="str">
        <f aca="false">IF(AND(ISNUMBER(C6271),ISNUMBER(D6271)),D6271-C6271,"")</f>
        <v/>
      </c>
      <c r="Z6271" s="23" t="str">
        <f aca="false">IF(B6271="","",IF(MATCH(B6271,$B$2:$B$12000,0)=ROW()-1,1,0))</f>
        <v/>
      </c>
    </row>
    <row r="6272" customFormat="false" ht="15" hidden="false" customHeight="false" outlineLevel="0" collapsed="false">
      <c r="V6272" s="23" t="str">
        <f aca="false">IF(ISNUMBER(C6272),YEAR(C6272),"")</f>
        <v/>
      </c>
      <c r="W6272" s="23" t="str">
        <f aca="false">IF(ISNUMBER(C6272),MONTH(C6272),"")</f>
        <v/>
      </c>
      <c r="X6272" s="23" t="str">
        <f aca="false">IF(T6272="","",IF(T6272=0,"No discount",IF(T6272&lt;=0.2,"Low (1-20%)",IF(T6272&lt;=0.4,"Medium (21-40%)","High (&gt;40%)"))))</f>
        <v/>
      </c>
      <c r="Y6272" s="23" t="str">
        <f aca="false">IF(AND(ISNUMBER(C6272),ISNUMBER(D6272)),D6272-C6272,"")</f>
        <v/>
      </c>
      <c r="Z6272" s="23" t="str">
        <f aca="false">IF(B6272="","",IF(MATCH(B6272,$B$2:$B$12000,0)=ROW()-1,1,0))</f>
        <v/>
      </c>
    </row>
    <row r="6273" customFormat="false" ht="15" hidden="false" customHeight="false" outlineLevel="0" collapsed="false">
      <c r="V6273" s="23" t="str">
        <f aca="false">IF(ISNUMBER(C6273),YEAR(C6273),"")</f>
        <v/>
      </c>
      <c r="W6273" s="23" t="str">
        <f aca="false">IF(ISNUMBER(C6273),MONTH(C6273),"")</f>
        <v/>
      </c>
      <c r="X6273" s="23" t="str">
        <f aca="false">IF(T6273="","",IF(T6273=0,"No discount",IF(T6273&lt;=0.2,"Low (1-20%)",IF(T6273&lt;=0.4,"Medium (21-40%)","High (&gt;40%)"))))</f>
        <v/>
      </c>
      <c r="Y6273" s="23" t="str">
        <f aca="false">IF(AND(ISNUMBER(C6273),ISNUMBER(D6273)),D6273-C6273,"")</f>
        <v/>
      </c>
      <c r="Z6273" s="23" t="str">
        <f aca="false">IF(B6273="","",IF(MATCH(B6273,$B$2:$B$12000,0)=ROW()-1,1,0))</f>
        <v/>
      </c>
    </row>
    <row r="6274" customFormat="false" ht="15" hidden="false" customHeight="false" outlineLevel="0" collapsed="false">
      <c r="V6274" s="23" t="str">
        <f aca="false">IF(ISNUMBER(C6274),YEAR(C6274),"")</f>
        <v/>
      </c>
      <c r="W6274" s="23" t="str">
        <f aca="false">IF(ISNUMBER(C6274),MONTH(C6274),"")</f>
        <v/>
      </c>
      <c r="X6274" s="23" t="str">
        <f aca="false">IF(T6274="","",IF(T6274=0,"No discount",IF(T6274&lt;=0.2,"Low (1-20%)",IF(T6274&lt;=0.4,"Medium (21-40%)","High (&gt;40%)"))))</f>
        <v/>
      </c>
      <c r="Y6274" s="23" t="str">
        <f aca="false">IF(AND(ISNUMBER(C6274),ISNUMBER(D6274)),D6274-C6274,"")</f>
        <v/>
      </c>
      <c r="Z6274" s="23" t="str">
        <f aca="false">IF(B6274="","",IF(MATCH(B6274,$B$2:$B$12000,0)=ROW()-1,1,0))</f>
        <v/>
      </c>
    </row>
    <row r="6275" customFormat="false" ht="15" hidden="false" customHeight="false" outlineLevel="0" collapsed="false">
      <c r="V6275" s="23" t="str">
        <f aca="false">IF(ISNUMBER(C6275),YEAR(C6275),"")</f>
        <v/>
      </c>
      <c r="W6275" s="23" t="str">
        <f aca="false">IF(ISNUMBER(C6275),MONTH(C6275),"")</f>
        <v/>
      </c>
      <c r="X6275" s="23" t="str">
        <f aca="false">IF(T6275="","",IF(T6275=0,"No discount",IF(T6275&lt;=0.2,"Low (1-20%)",IF(T6275&lt;=0.4,"Medium (21-40%)","High (&gt;40%)"))))</f>
        <v/>
      </c>
      <c r="Y6275" s="23" t="str">
        <f aca="false">IF(AND(ISNUMBER(C6275),ISNUMBER(D6275)),D6275-C6275,"")</f>
        <v/>
      </c>
      <c r="Z6275" s="23" t="str">
        <f aca="false">IF(B6275="","",IF(MATCH(B6275,$B$2:$B$12000,0)=ROW()-1,1,0))</f>
        <v/>
      </c>
    </row>
    <row r="6276" customFormat="false" ht="15" hidden="false" customHeight="false" outlineLevel="0" collapsed="false">
      <c r="V6276" s="23" t="str">
        <f aca="false">IF(ISNUMBER(C6276),YEAR(C6276),"")</f>
        <v/>
      </c>
      <c r="W6276" s="23" t="str">
        <f aca="false">IF(ISNUMBER(C6276),MONTH(C6276),"")</f>
        <v/>
      </c>
      <c r="X6276" s="23" t="str">
        <f aca="false">IF(T6276="","",IF(T6276=0,"No discount",IF(T6276&lt;=0.2,"Low (1-20%)",IF(T6276&lt;=0.4,"Medium (21-40%)","High (&gt;40%)"))))</f>
        <v/>
      </c>
      <c r="Y6276" s="23" t="str">
        <f aca="false">IF(AND(ISNUMBER(C6276),ISNUMBER(D6276)),D6276-C6276,"")</f>
        <v/>
      </c>
      <c r="Z6276" s="23" t="str">
        <f aca="false">IF(B6276="","",IF(MATCH(B6276,$B$2:$B$12000,0)=ROW()-1,1,0))</f>
        <v/>
      </c>
    </row>
    <row r="6277" customFormat="false" ht="15" hidden="false" customHeight="false" outlineLevel="0" collapsed="false">
      <c r="V6277" s="23" t="str">
        <f aca="false">IF(ISNUMBER(C6277),YEAR(C6277),"")</f>
        <v/>
      </c>
      <c r="W6277" s="23" t="str">
        <f aca="false">IF(ISNUMBER(C6277),MONTH(C6277),"")</f>
        <v/>
      </c>
      <c r="X6277" s="23" t="str">
        <f aca="false">IF(T6277="","",IF(T6277=0,"No discount",IF(T6277&lt;=0.2,"Low (1-20%)",IF(T6277&lt;=0.4,"Medium (21-40%)","High (&gt;40%)"))))</f>
        <v/>
      </c>
      <c r="Y6277" s="23" t="str">
        <f aca="false">IF(AND(ISNUMBER(C6277),ISNUMBER(D6277)),D6277-C6277,"")</f>
        <v/>
      </c>
      <c r="Z6277" s="23" t="str">
        <f aca="false">IF(B6277="","",IF(MATCH(B6277,$B$2:$B$12000,0)=ROW()-1,1,0))</f>
        <v/>
      </c>
    </row>
    <row r="6278" customFormat="false" ht="15" hidden="false" customHeight="false" outlineLevel="0" collapsed="false">
      <c r="V6278" s="23" t="str">
        <f aca="false">IF(ISNUMBER(C6278),YEAR(C6278),"")</f>
        <v/>
      </c>
      <c r="W6278" s="23" t="str">
        <f aca="false">IF(ISNUMBER(C6278),MONTH(C6278),"")</f>
        <v/>
      </c>
      <c r="X6278" s="23" t="str">
        <f aca="false">IF(T6278="","",IF(T6278=0,"No discount",IF(T6278&lt;=0.2,"Low (1-20%)",IF(T6278&lt;=0.4,"Medium (21-40%)","High (&gt;40%)"))))</f>
        <v/>
      </c>
      <c r="Y6278" s="23" t="str">
        <f aca="false">IF(AND(ISNUMBER(C6278),ISNUMBER(D6278)),D6278-C6278,"")</f>
        <v/>
      </c>
      <c r="Z6278" s="23" t="str">
        <f aca="false">IF(B6278="","",IF(MATCH(B6278,$B$2:$B$12000,0)=ROW()-1,1,0))</f>
        <v/>
      </c>
    </row>
    <row r="6279" customFormat="false" ht="15" hidden="false" customHeight="false" outlineLevel="0" collapsed="false">
      <c r="V6279" s="23" t="str">
        <f aca="false">IF(ISNUMBER(C6279),YEAR(C6279),"")</f>
        <v/>
      </c>
      <c r="W6279" s="23" t="str">
        <f aca="false">IF(ISNUMBER(C6279),MONTH(C6279),"")</f>
        <v/>
      </c>
      <c r="X6279" s="23" t="str">
        <f aca="false">IF(T6279="","",IF(T6279=0,"No discount",IF(T6279&lt;=0.2,"Low (1-20%)",IF(T6279&lt;=0.4,"Medium (21-40%)","High (&gt;40%)"))))</f>
        <v/>
      </c>
      <c r="Y6279" s="23" t="str">
        <f aca="false">IF(AND(ISNUMBER(C6279),ISNUMBER(D6279)),D6279-C6279,"")</f>
        <v/>
      </c>
      <c r="Z6279" s="23" t="str">
        <f aca="false">IF(B6279="","",IF(MATCH(B6279,$B$2:$B$12000,0)=ROW()-1,1,0))</f>
        <v/>
      </c>
    </row>
    <row r="6280" customFormat="false" ht="15" hidden="false" customHeight="false" outlineLevel="0" collapsed="false">
      <c r="V6280" s="23" t="str">
        <f aca="false">IF(ISNUMBER(C6280),YEAR(C6280),"")</f>
        <v/>
      </c>
      <c r="W6280" s="23" t="str">
        <f aca="false">IF(ISNUMBER(C6280),MONTH(C6280),"")</f>
        <v/>
      </c>
      <c r="X6280" s="23" t="str">
        <f aca="false">IF(T6280="","",IF(T6280=0,"No discount",IF(T6280&lt;=0.2,"Low (1-20%)",IF(T6280&lt;=0.4,"Medium (21-40%)","High (&gt;40%)"))))</f>
        <v/>
      </c>
      <c r="Y6280" s="23" t="str">
        <f aca="false">IF(AND(ISNUMBER(C6280),ISNUMBER(D6280)),D6280-C6280,"")</f>
        <v/>
      </c>
      <c r="Z6280" s="23" t="str">
        <f aca="false">IF(B6280="","",IF(MATCH(B6280,$B$2:$B$12000,0)=ROW()-1,1,0))</f>
        <v/>
      </c>
    </row>
    <row r="6281" customFormat="false" ht="15" hidden="false" customHeight="false" outlineLevel="0" collapsed="false">
      <c r="V6281" s="23" t="str">
        <f aca="false">IF(ISNUMBER(C6281),YEAR(C6281),"")</f>
        <v/>
      </c>
      <c r="W6281" s="23" t="str">
        <f aca="false">IF(ISNUMBER(C6281),MONTH(C6281),"")</f>
        <v/>
      </c>
      <c r="X6281" s="23" t="str">
        <f aca="false">IF(T6281="","",IF(T6281=0,"No discount",IF(T6281&lt;=0.2,"Low (1-20%)",IF(T6281&lt;=0.4,"Medium (21-40%)","High (&gt;40%)"))))</f>
        <v/>
      </c>
      <c r="Y6281" s="23" t="str">
        <f aca="false">IF(AND(ISNUMBER(C6281),ISNUMBER(D6281)),D6281-C6281,"")</f>
        <v/>
      </c>
      <c r="Z6281" s="23" t="str">
        <f aca="false">IF(B6281="","",IF(MATCH(B6281,$B$2:$B$12000,0)=ROW()-1,1,0))</f>
        <v/>
      </c>
    </row>
    <row r="6282" customFormat="false" ht="15" hidden="false" customHeight="false" outlineLevel="0" collapsed="false">
      <c r="V6282" s="23" t="str">
        <f aca="false">IF(ISNUMBER(C6282),YEAR(C6282),"")</f>
        <v/>
      </c>
      <c r="W6282" s="23" t="str">
        <f aca="false">IF(ISNUMBER(C6282),MONTH(C6282),"")</f>
        <v/>
      </c>
      <c r="X6282" s="23" t="str">
        <f aca="false">IF(T6282="","",IF(T6282=0,"No discount",IF(T6282&lt;=0.2,"Low (1-20%)",IF(T6282&lt;=0.4,"Medium (21-40%)","High (&gt;40%)"))))</f>
        <v/>
      </c>
      <c r="Y6282" s="23" t="str">
        <f aca="false">IF(AND(ISNUMBER(C6282),ISNUMBER(D6282)),D6282-C6282,"")</f>
        <v/>
      </c>
      <c r="Z6282" s="23" t="str">
        <f aca="false">IF(B6282="","",IF(MATCH(B6282,$B$2:$B$12000,0)=ROW()-1,1,0))</f>
        <v/>
      </c>
    </row>
    <row r="6283" customFormat="false" ht="15" hidden="false" customHeight="false" outlineLevel="0" collapsed="false">
      <c r="V6283" s="23" t="str">
        <f aca="false">IF(ISNUMBER(C6283),YEAR(C6283),"")</f>
        <v/>
      </c>
      <c r="W6283" s="23" t="str">
        <f aca="false">IF(ISNUMBER(C6283),MONTH(C6283),"")</f>
        <v/>
      </c>
      <c r="X6283" s="23" t="str">
        <f aca="false">IF(T6283="","",IF(T6283=0,"No discount",IF(T6283&lt;=0.2,"Low (1-20%)",IF(T6283&lt;=0.4,"Medium (21-40%)","High (&gt;40%)"))))</f>
        <v/>
      </c>
      <c r="Y6283" s="23" t="str">
        <f aca="false">IF(AND(ISNUMBER(C6283),ISNUMBER(D6283)),D6283-C6283,"")</f>
        <v/>
      </c>
      <c r="Z6283" s="23" t="str">
        <f aca="false">IF(B6283="","",IF(MATCH(B6283,$B$2:$B$12000,0)=ROW()-1,1,0))</f>
        <v/>
      </c>
    </row>
    <row r="6284" customFormat="false" ht="15" hidden="false" customHeight="false" outlineLevel="0" collapsed="false">
      <c r="V6284" s="23" t="str">
        <f aca="false">IF(ISNUMBER(C6284),YEAR(C6284),"")</f>
        <v/>
      </c>
      <c r="W6284" s="23" t="str">
        <f aca="false">IF(ISNUMBER(C6284),MONTH(C6284),"")</f>
        <v/>
      </c>
      <c r="X6284" s="23" t="str">
        <f aca="false">IF(T6284="","",IF(T6284=0,"No discount",IF(T6284&lt;=0.2,"Low (1-20%)",IF(T6284&lt;=0.4,"Medium (21-40%)","High (&gt;40%)"))))</f>
        <v/>
      </c>
      <c r="Y6284" s="23" t="str">
        <f aca="false">IF(AND(ISNUMBER(C6284),ISNUMBER(D6284)),D6284-C6284,"")</f>
        <v/>
      </c>
      <c r="Z6284" s="23" t="str">
        <f aca="false">IF(B6284="","",IF(MATCH(B6284,$B$2:$B$12000,0)=ROW()-1,1,0))</f>
        <v/>
      </c>
    </row>
    <row r="6285" customFormat="false" ht="15" hidden="false" customHeight="false" outlineLevel="0" collapsed="false">
      <c r="V6285" s="23" t="str">
        <f aca="false">IF(ISNUMBER(C6285),YEAR(C6285),"")</f>
        <v/>
      </c>
      <c r="W6285" s="23" t="str">
        <f aca="false">IF(ISNUMBER(C6285),MONTH(C6285),"")</f>
        <v/>
      </c>
      <c r="X6285" s="23" t="str">
        <f aca="false">IF(T6285="","",IF(T6285=0,"No discount",IF(T6285&lt;=0.2,"Low (1-20%)",IF(T6285&lt;=0.4,"Medium (21-40%)","High (&gt;40%)"))))</f>
        <v/>
      </c>
      <c r="Y6285" s="23" t="str">
        <f aca="false">IF(AND(ISNUMBER(C6285),ISNUMBER(D6285)),D6285-C6285,"")</f>
        <v/>
      </c>
      <c r="Z6285" s="23" t="str">
        <f aca="false">IF(B6285="","",IF(MATCH(B6285,$B$2:$B$12000,0)=ROW()-1,1,0))</f>
        <v/>
      </c>
    </row>
    <row r="6286" customFormat="false" ht="15" hidden="false" customHeight="false" outlineLevel="0" collapsed="false">
      <c r="V6286" s="23" t="str">
        <f aca="false">IF(ISNUMBER(C6286),YEAR(C6286),"")</f>
        <v/>
      </c>
      <c r="W6286" s="23" t="str">
        <f aca="false">IF(ISNUMBER(C6286),MONTH(C6286),"")</f>
        <v/>
      </c>
      <c r="X6286" s="23" t="str">
        <f aca="false">IF(T6286="","",IF(T6286=0,"No discount",IF(T6286&lt;=0.2,"Low (1-20%)",IF(T6286&lt;=0.4,"Medium (21-40%)","High (&gt;40%)"))))</f>
        <v/>
      </c>
      <c r="Y6286" s="23" t="str">
        <f aca="false">IF(AND(ISNUMBER(C6286),ISNUMBER(D6286)),D6286-C6286,"")</f>
        <v/>
      </c>
      <c r="Z6286" s="23" t="str">
        <f aca="false">IF(B6286="","",IF(MATCH(B6286,$B$2:$B$12000,0)=ROW()-1,1,0))</f>
        <v/>
      </c>
    </row>
    <row r="6287" customFormat="false" ht="15" hidden="false" customHeight="false" outlineLevel="0" collapsed="false">
      <c r="V6287" s="23" t="str">
        <f aca="false">IF(ISNUMBER(C6287),YEAR(C6287),"")</f>
        <v/>
      </c>
      <c r="W6287" s="23" t="str">
        <f aca="false">IF(ISNUMBER(C6287),MONTH(C6287),"")</f>
        <v/>
      </c>
      <c r="X6287" s="23" t="str">
        <f aca="false">IF(T6287="","",IF(T6287=0,"No discount",IF(T6287&lt;=0.2,"Low (1-20%)",IF(T6287&lt;=0.4,"Medium (21-40%)","High (&gt;40%)"))))</f>
        <v/>
      </c>
      <c r="Y6287" s="23" t="str">
        <f aca="false">IF(AND(ISNUMBER(C6287),ISNUMBER(D6287)),D6287-C6287,"")</f>
        <v/>
      </c>
      <c r="Z6287" s="23" t="str">
        <f aca="false">IF(B6287="","",IF(MATCH(B6287,$B$2:$B$12000,0)=ROW()-1,1,0))</f>
        <v/>
      </c>
    </row>
    <row r="6288" customFormat="false" ht="15" hidden="false" customHeight="false" outlineLevel="0" collapsed="false">
      <c r="V6288" s="23" t="str">
        <f aca="false">IF(ISNUMBER(C6288),YEAR(C6288),"")</f>
        <v/>
      </c>
      <c r="W6288" s="23" t="str">
        <f aca="false">IF(ISNUMBER(C6288),MONTH(C6288),"")</f>
        <v/>
      </c>
      <c r="X6288" s="23" t="str">
        <f aca="false">IF(T6288="","",IF(T6288=0,"No discount",IF(T6288&lt;=0.2,"Low (1-20%)",IF(T6288&lt;=0.4,"Medium (21-40%)","High (&gt;40%)"))))</f>
        <v/>
      </c>
      <c r="Y6288" s="23" t="str">
        <f aca="false">IF(AND(ISNUMBER(C6288),ISNUMBER(D6288)),D6288-C6288,"")</f>
        <v/>
      </c>
      <c r="Z6288" s="23" t="str">
        <f aca="false">IF(B6288="","",IF(MATCH(B6288,$B$2:$B$12000,0)=ROW()-1,1,0))</f>
        <v/>
      </c>
    </row>
    <row r="6289" customFormat="false" ht="15" hidden="false" customHeight="false" outlineLevel="0" collapsed="false">
      <c r="V6289" s="23" t="str">
        <f aca="false">IF(ISNUMBER(C6289),YEAR(C6289),"")</f>
        <v/>
      </c>
      <c r="W6289" s="23" t="str">
        <f aca="false">IF(ISNUMBER(C6289),MONTH(C6289),"")</f>
        <v/>
      </c>
      <c r="X6289" s="23" t="str">
        <f aca="false">IF(T6289="","",IF(T6289=0,"No discount",IF(T6289&lt;=0.2,"Low (1-20%)",IF(T6289&lt;=0.4,"Medium (21-40%)","High (&gt;40%)"))))</f>
        <v/>
      </c>
      <c r="Y6289" s="23" t="str">
        <f aca="false">IF(AND(ISNUMBER(C6289),ISNUMBER(D6289)),D6289-C6289,"")</f>
        <v/>
      </c>
      <c r="Z6289" s="23" t="str">
        <f aca="false">IF(B6289="","",IF(MATCH(B6289,$B$2:$B$12000,0)=ROW()-1,1,0))</f>
        <v/>
      </c>
    </row>
    <row r="6290" customFormat="false" ht="15" hidden="false" customHeight="false" outlineLevel="0" collapsed="false">
      <c r="V6290" s="23" t="str">
        <f aca="false">IF(ISNUMBER(C6290),YEAR(C6290),"")</f>
        <v/>
      </c>
      <c r="W6290" s="23" t="str">
        <f aca="false">IF(ISNUMBER(C6290),MONTH(C6290),"")</f>
        <v/>
      </c>
      <c r="X6290" s="23" t="str">
        <f aca="false">IF(T6290="","",IF(T6290=0,"No discount",IF(T6290&lt;=0.2,"Low (1-20%)",IF(T6290&lt;=0.4,"Medium (21-40%)","High (&gt;40%)"))))</f>
        <v/>
      </c>
      <c r="Y6290" s="23" t="str">
        <f aca="false">IF(AND(ISNUMBER(C6290),ISNUMBER(D6290)),D6290-C6290,"")</f>
        <v/>
      </c>
      <c r="Z6290" s="23" t="str">
        <f aca="false">IF(B6290="","",IF(MATCH(B6290,$B$2:$B$12000,0)=ROW()-1,1,0))</f>
        <v/>
      </c>
    </row>
    <row r="6291" customFormat="false" ht="15" hidden="false" customHeight="false" outlineLevel="0" collapsed="false">
      <c r="V6291" s="23" t="str">
        <f aca="false">IF(ISNUMBER(C6291),YEAR(C6291),"")</f>
        <v/>
      </c>
      <c r="W6291" s="23" t="str">
        <f aca="false">IF(ISNUMBER(C6291),MONTH(C6291),"")</f>
        <v/>
      </c>
      <c r="X6291" s="23" t="str">
        <f aca="false">IF(T6291="","",IF(T6291=0,"No discount",IF(T6291&lt;=0.2,"Low (1-20%)",IF(T6291&lt;=0.4,"Medium (21-40%)","High (&gt;40%)"))))</f>
        <v/>
      </c>
      <c r="Y6291" s="23" t="str">
        <f aca="false">IF(AND(ISNUMBER(C6291),ISNUMBER(D6291)),D6291-C6291,"")</f>
        <v/>
      </c>
      <c r="Z6291" s="23" t="str">
        <f aca="false">IF(B6291="","",IF(MATCH(B6291,$B$2:$B$12000,0)=ROW()-1,1,0))</f>
        <v/>
      </c>
    </row>
    <row r="6292" customFormat="false" ht="15" hidden="false" customHeight="false" outlineLevel="0" collapsed="false">
      <c r="V6292" s="23" t="str">
        <f aca="false">IF(ISNUMBER(C6292),YEAR(C6292),"")</f>
        <v/>
      </c>
      <c r="W6292" s="23" t="str">
        <f aca="false">IF(ISNUMBER(C6292),MONTH(C6292),"")</f>
        <v/>
      </c>
      <c r="X6292" s="23" t="str">
        <f aca="false">IF(T6292="","",IF(T6292=0,"No discount",IF(T6292&lt;=0.2,"Low (1-20%)",IF(T6292&lt;=0.4,"Medium (21-40%)","High (&gt;40%)"))))</f>
        <v/>
      </c>
      <c r="Y6292" s="23" t="str">
        <f aca="false">IF(AND(ISNUMBER(C6292),ISNUMBER(D6292)),D6292-C6292,"")</f>
        <v/>
      </c>
      <c r="Z6292" s="23" t="str">
        <f aca="false">IF(B6292="","",IF(MATCH(B6292,$B$2:$B$12000,0)=ROW()-1,1,0))</f>
        <v/>
      </c>
    </row>
    <row r="6293" customFormat="false" ht="15" hidden="false" customHeight="false" outlineLevel="0" collapsed="false">
      <c r="V6293" s="23" t="str">
        <f aca="false">IF(ISNUMBER(C6293),YEAR(C6293),"")</f>
        <v/>
      </c>
      <c r="W6293" s="23" t="str">
        <f aca="false">IF(ISNUMBER(C6293),MONTH(C6293),"")</f>
        <v/>
      </c>
      <c r="X6293" s="23" t="str">
        <f aca="false">IF(T6293="","",IF(T6293=0,"No discount",IF(T6293&lt;=0.2,"Low (1-20%)",IF(T6293&lt;=0.4,"Medium (21-40%)","High (&gt;40%)"))))</f>
        <v/>
      </c>
      <c r="Y6293" s="23" t="str">
        <f aca="false">IF(AND(ISNUMBER(C6293),ISNUMBER(D6293)),D6293-C6293,"")</f>
        <v/>
      </c>
      <c r="Z6293" s="23" t="str">
        <f aca="false">IF(B6293="","",IF(MATCH(B6293,$B$2:$B$12000,0)=ROW()-1,1,0))</f>
        <v/>
      </c>
    </row>
    <row r="6294" customFormat="false" ht="15" hidden="false" customHeight="false" outlineLevel="0" collapsed="false">
      <c r="V6294" s="23" t="str">
        <f aca="false">IF(ISNUMBER(C6294),YEAR(C6294),"")</f>
        <v/>
      </c>
      <c r="W6294" s="23" t="str">
        <f aca="false">IF(ISNUMBER(C6294),MONTH(C6294),"")</f>
        <v/>
      </c>
      <c r="X6294" s="23" t="str">
        <f aca="false">IF(T6294="","",IF(T6294=0,"No discount",IF(T6294&lt;=0.2,"Low (1-20%)",IF(T6294&lt;=0.4,"Medium (21-40%)","High (&gt;40%)"))))</f>
        <v/>
      </c>
      <c r="Y6294" s="23" t="str">
        <f aca="false">IF(AND(ISNUMBER(C6294),ISNUMBER(D6294)),D6294-C6294,"")</f>
        <v/>
      </c>
      <c r="Z6294" s="23" t="str">
        <f aca="false">IF(B6294="","",IF(MATCH(B6294,$B$2:$B$12000,0)=ROW()-1,1,0))</f>
        <v/>
      </c>
    </row>
    <row r="6295" customFormat="false" ht="15" hidden="false" customHeight="false" outlineLevel="0" collapsed="false">
      <c r="V6295" s="23" t="str">
        <f aca="false">IF(ISNUMBER(C6295),YEAR(C6295),"")</f>
        <v/>
      </c>
      <c r="W6295" s="23" t="str">
        <f aca="false">IF(ISNUMBER(C6295),MONTH(C6295),"")</f>
        <v/>
      </c>
      <c r="X6295" s="23" t="str">
        <f aca="false">IF(T6295="","",IF(T6295=0,"No discount",IF(T6295&lt;=0.2,"Low (1-20%)",IF(T6295&lt;=0.4,"Medium (21-40%)","High (&gt;40%)"))))</f>
        <v/>
      </c>
      <c r="Y6295" s="23" t="str">
        <f aca="false">IF(AND(ISNUMBER(C6295),ISNUMBER(D6295)),D6295-C6295,"")</f>
        <v/>
      </c>
      <c r="Z6295" s="23" t="str">
        <f aca="false">IF(B6295="","",IF(MATCH(B6295,$B$2:$B$12000,0)=ROW()-1,1,0))</f>
        <v/>
      </c>
    </row>
    <row r="6296" customFormat="false" ht="15" hidden="false" customHeight="false" outlineLevel="0" collapsed="false">
      <c r="V6296" s="23" t="str">
        <f aca="false">IF(ISNUMBER(C6296),YEAR(C6296),"")</f>
        <v/>
      </c>
      <c r="W6296" s="23" t="str">
        <f aca="false">IF(ISNUMBER(C6296),MONTH(C6296),"")</f>
        <v/>
      </c>
      <c r="X6296" s="23" t="str">
        <f aca="false">IF(T6296="","",IF(T6296=0,"No discount",IF(T6296&lt;=0.2,"Low (1-20%)",IF(T6296&lt;=0.4,"Medium (21-40%)","High (&gt;40%)"))))</f>
        <v/>
      </c>
      <c r="Y6296" s="23" t="str">
        <f aca="false">IF(AND(ISNUMBER(C6296),ISNUMBER(D6296)),D6296-C6296,"")</f>
        <v/>
      </c>
      <c r="Z6296" s="23" t="str">
        <f aca="false">IF(B6296="","",IF(MATCH(B6296,$B$2:$B$12000,0)=ROW()-1,1,0))</f>
        <v/>
      </c>
    </row>
    <row r="6297" customFormat="false" ht="15" hidden="false" customHeight="false" outlineLevel="0" collapsed="false">
      <c r="V6297" s="23" t="str">
        <f aca="false">IF(ISNUMBER(C6297),YEAR(C6297),"")</f>
        <v/>
      </c>
      <c r="W6297" s="23" t="str">
        <f aca="false">IF(ISNUMBER(C6297),MONTH(C6297),"")</f>
        <v/>
      </c>
      <c r="X6297" s="23" t="str">
        <f aca="false">IF(T6297="","",IF(T6297=0,"No discount",IF(T6297&lt;=0.2,"Low (1-20%)",IF(T6297&lt;=0.4,"Medium (21-40%)","High (&gt;40%)"))))</f>
        <v/>
      </c>
      <c r="Y6297" s="23" t="str">
        <f aca="false">IF(AND(ISNUMBER(C6297),ISNUMBER(D6297)),D6297-C6297,"")</f>
        <v/>
      </c>
      <c r="Z6297" s="23" t="str">
        <f aca="false">IF(B6297="","",IF(MATCH(B6297,$B$2:$B$12000,0)=ROW()-1,1,0))</f>
        <v/>
      </c>
    </row>
    <row r="6298" customFormat="false" ht="15" hidden="false" customHeight="false" outlineLevel="0" collapsed="false">
      <c r="V6298" s="23" t="str">
        <f aca="false">IF(ISNUMBER(C6298),YEAR(C6298),"")</f>
        <v/>
      </c>
      <c r="W6298" s="23" t="str">
        <f aca="false">IF(ISNUMBER(C6298),MONTH(C6298),"")</f>
        <v/>
      </c>
      <c r="X6298" s="23" t="str">
        <f aca="false">IF(T6298="","",IF(T6298=0,"No discount",IF(T6298&lt;=0.2,"Low (1-20%)",IF(T6298&lt;=0.4,"Medium (21-40%)","High (&gt;40%)"))))</f>
        <v/>
      </c>
      <c r="Y6298" s="23" t="str">
        <f aca="false">IF(AND(ISNUMBER(C6298),ISNUMBER(D6298)),D6298-C6298,"")</f>
        <v/>
      </c>
      <c r="Z6298" s="23" t="str">
        <f aca="false">IF(B6298="","",IF(MATCH(B6298,$B$2:$B$12000,0)=ROW()-1,1,0))</f>
        <v/>
      </c>
    </row>
    <row r="6299" customFormat="false" ht="15" hidden="false" customHeight="false" outlineLevel="0" collapsed="false">
      <c r="V6299" s="23" t="str">
        <f aca="false">IF(ISNUMBER(C6299),YEAR(C6299),"")</f>
        <v/>
      </c>
      <c r="W6299" s="23" t="str">
        <f aca="false">IF(ISNUMBER(C6299),MONTH(C6299),"")</f>
        <v/>
      </c>
      <c r="X6299" s="23" t="str">
        <f aca="false">IF(T6299="","",IF(T6299=0,"No discount",IF(T6299&lt;=0.2,"Low (1-20%)",IF(T6299&lt;=0.4,"Medium (21-40%)","High (&gt;40%)"))))</f>
        <v/>
      </c>
      <c r="Y6299" s="23" t="str">
        <f aca="false">IF(AND(ISNUMBER(C6299),ISNUMBER(D6299)),D6299-C6299,"")</f>
        <v/>
      </c>
      <c r="Z6299" s="23" t="str">
        <f aca="false">IF(B6299="","",IF(MATCH(B6299,$B$2:$B$12000,0)=ROW()-1,1,0))</f>
        <v/>
      </c>
    </row>
    <row r="6300" customFormat="false" ht="15" hidden="false" customHeight="false" outlineLevel="0" collapsed="false">
      <c r="V6300" s="23" t="str">
        <f aca="false">IF(ISNUMBER(C6300),YEAR(C6300),"")</f>
        <v/>
      </c>
      <c r="W6300" s="23" t="str">
        <f aca="false">IF(ISNUMBER(C6300),MONTH(C6300),"")</f>
        <v/>
      </c>
      <c r="X6300" s="23" t="str">
        <f aca="false">IF(T6300="","",IF(T6300=0,"No discount",IF(T6300&lt;=0.2,"Low (1-20%)",IF(T6300&lt;=0.4,"Medium (21-40%)","High (&gt;40%)"))))</f>
        <v/>
      </c>
      <c r="Y6300" s="23" t="str">
        <f aca="false">IF(AND(ISNUMBER(C6300),ISNUMBER(D6300)),D6300-C6300,"")</f>
        <v/>
      </c>
      <c r="Z6300" s="23" t="str">
        <f aca="false">IF(B6300="","",IF(MATCH(B6300,$B$2:$B$12000,0)=ROW()-1,1,0))</f>
        <v/>
      </c>
    </row>
    <row r="6301" customFormat="false" ht="15" hidden="false" customHeight="false" outlineLevel="0" collapsed="false">
      <c r="V6301" s="23" t="str">
        <f aca="false">IF(ISNUMBER(C6301),YEAR(C6301),"")</f>
        <v/>
      </c>
      <c r="W6301" s="23" t="str">
        <f aca="false">IF(ISNUMBER(C6301),MONTH(C6301),"")</f>
        <v/>
      </c>
      <c r="X6301" s="23" t="str">
        <f aca="false">IF(T6301="","",IF(T6301=0,"No discount",IF(T6301&lt;=0.2,"Low (1-20%)",IF(T6301&lt;=0.4,"Medium (21-40%)","High (&gt;40%)"))))</f>
        <v/>
      </c>
      <c r="Y6301" s="23" t="str">
        <f aca="false">IF(AND(ISNUMBER(C6301),ISNUMBER(D6301)),D6301-C6301,"")</f>
        <v/>
      </c>
      <c r="Z6301" s="23" t="str">
        <f aca="false">IF(B6301="","",IF(MATCH(B6301,$B$2:$B$12000,0)=ROW()-1,1,0))</f>
        <v/>
      </c>
    </row>
    <row r="6302" customFormat="false" ht="15" hidden="false" customHeight="false" outlineLevel="0" collapsed="false">
      <c r="V6302" s="23" t="str">
        <f aca="false">IF(ISNUMBER(C6302),YEAR(C6302),"")</f>
        <v/>
      </c>
      <c r="W6302" s="23" t="str">
        <f aca="false">IF(ISNUMBER(C6302),MONTH(C6302),"")</f>
        <v/>
      </c>
      <c r="X6302" s="23" t="str">
        <f aca="false">IF(T6302="","",IF(T6302=0,"No discount",IF(T6302&lt;=0.2,"Low (1-20%)",IF(T6302&lt;=0.4,"Medium (21-40%)","High (&gt;40%)"))))</f>
        <v/>
      </c>
      <c r="Y6302" s="23" t="str">
        <f aca="false">IF(AND(ISNUMBER(C6302),ISNUMBER(D6302)),D6302-C6302,"")</f>
        <v/>
      </c>
      <c r="Z6302" s="23" t="str">
        <f aca="false">IF(B6302="","",IF(MATCH(B6302,$B$2:$B$12000,0)=ROW()-1,1,0))</f>
        <v/>
      </c>
    </row>
    <row r="6303" customFormat="false" ht="15" hidden="false" customHeight="false" outlineLevel="0" collapsed="false">
      <c r="V6303" s="23" t="str">
        <f aca="false">IF(ISNUMBER(C6303),YEAR(C6303),"")</f>
        <v/>
      </c>
      <c r="W6303" s="23" t="str">
        <f aca="false">IF(ISNUMBER(C6303),MONTH(C6303),"")</f>
        <v/>
      </c>
      <c r="X6303" s="23" t="str">
        <f aca="false">IF(T6303="","",IF(T6303=0,"No discount",IF(T6303&lt;=0.2,"Low (1-20%)",IF(T6303&lt;=0.4,"Medium (21-40%)","High (&gt;40%)"))))</f>
        <v/>
      </c>
      <c r="Y6303" s="23" t="str">
        <f aca="false">IF(AND(ISNUMBER(C6303),ISNUMBER(D6303)),D6303-C6303,"")</f>
        <v/>
      </c>
      <c r="Z6303" s="23" t="str">
        <f aca="false">IF(B6303="","",IF(MATCH(B6303,$B$2:$B$12000,0)=ROW()-1,1,0))</f>
        <v/>
      </c>
    </row>
    <row r="6304" customFormat="false" ht="15" hidden="false" customHeight="false" outlineLevel="0" collapsed="false">
      <c r="V6304" s="23" t="str">
        <f aca="false">IF(ISNUMBER(C6304),YEAR(C6304),"")</f>
        <v/>
      </c>
      <c r="W6304" s="23" t="str">
        <f aca="false">IF(ISNUMBER(C6304),MONTH(C6304),"")</f>
        <v/>
      </c>
      <c r="X6304" s="23" t="str">
        <f aca="false">IF(T6304="","",IF(T6304=0,"No discount",IF(T6304&lt;=0.2,"Low (1-20%)",IF(T6304&lt;=0.4,"Medium (21-40%)","High (&gt;40%)"))))</f>
        <v/>
      </c>
      <c r="Y6304" s="23" t="str">
        <f aca="false">IF(AND(ISNUMBER(C6304),ISNUMBER(D6304)),D6304-C6304,"")</f>
        <v/>
      </c>
      <c r="Z6304" s="23" t="str">
        <f aca="false">IF(B6304="","",IF(MATCH(B6304,$B$2:$B$12000,0)=ROW()-1,1,0))</f>
        <v/>
      </c>
    </row>
    <row r="6305" customFormat="false" ht="15" hidden="false" customHeight="false" outlineLevel="0" collapsed="false">
      <c r="V6305" s="23" t="str">
        <f aca="false">IF(ISNUMBER(C6305),YEAR(C6305),"")</f>
        <v/>
      </c>
      <c r="W6305" s="23" t="str">
        <f aca="false">IF(ISNUMBER(C6305),MONTH(C6305),"")</f>
        <v/>
      </c>
      <c r="X6305" s="23" t="str">
        <f aca="false">IF(T6305="","",IF(T6305=0,"No discount",IF(T6305&lt;=0.2,"Low (1-20%)",IF(T6305&lt;=0.4,"Medium (21-40%)","High (&gt;40%)"))))</f>
        <v/>
      </c>
      <c r="Y6305" s="23" t="str">
        <f aca="false">IF(AND(ISNUMBER(C6305),ISNUMBER(D6305)),D6305-C6305,"")</f>
        <v/>
      </c>
      <c r="Z6305" s="23" t="str">
        <f aca="false">IF(B6305="","",IF(MATCH(B6305,$B$2:$B$12000,0)=ROW()-1,1,0))</f>
        <v/>
      </c>
    </row>
    <row r="6306" customFormat="false" ht="15" hidden="false" customHeight="false" outlineLevel="0" collapsed="false">
      <c r="V6306" s="23" t="str">
        <f aca="false">IF(ISNUMBER(C6306),YEAR(C6306),"")</f>
        <v/>
      </c>
      <c r="W6306" s="23" t="str">
        <f aca="false">IF(ISNUMBER(C6306),MONTH(C6306),"")</f>
        <v/>
      </c>
      <c r="X6306" s="23" t="str">
        <f aca="false">IF(T6306="","",IF(T6306=0,"No discount",IF(T6306&lt;=0.2,"Low (1-20%)",IF(T6306&lt;=0.4,"Medium (21-40%)","High (&gt;40%)"))))</f>
        <v/>
      </c>
      <c r="Y6306" s="23" t="str">
        <f aca="false">IF(AND(ISNUMBER(C6306),ISNUMBER(D6306)),D6306-C6306,"")</f>
        <v/>
      </c>
      <c r="Z6306" s="23" t="str">
        <f aca="false">IF(B6306="","",IF(MATCH(B6306,$B$2:$B$12000,0)=ROW()-1,1,0))</f>
        <v/>
      </c>
    </row>
    <row r="6307" customFormat="false" ht="15" hidden="false" customHeight="false" outlineLevel="0" collapsed="false">
      <c r="V6307" s="23" t="str">
        <f aca="false">IF(ISNUMBER(C6307),YEAR(C6307),"")</f>
        <v/>
      </c>
      <c r="W6307" s="23" t="str">
        <f aca="false">IF(ISNUMBER(C6307),MONTH(C6307),"")</f>
        <v/>
      </c>
      <c r="X6307" s="23" t="str">
        <f aca="false">IF(T6307="","",IF(T6307=0,"No discount",IF(T6307&lt;=0.2,"Low (1-20%)",IF(T6307&lt;=0.4,"Medium (21-40%)","High (&gt;40%)"))))</f>
        <v/>
      </c>
      <c r="Y6307" s="23" t="str">
        <f aca="false">IF(AND(ISNUMBER(C6307),ISNUMBER(D6307)),D6307-C6307,"")</f>
        <v/>
      </c>
      <c r="Z6307" s="23" t="str">
        <f aca="false">IF(B6307="","",IF(MATCH(B6307,$B$2:$B$12000,0)=ROW()-1,1,0))</f>
        <v/>
      </c>
    </row>
    <row r="6308" customFormat="false" ht="15" hidden="false" customHeight="false" outlineLevel="0" collapsed="false">
      <c r="V6308" s="23" t="str">
        <f aca="false">IF(ISNUMBER(C6308),YEAR(C6308),"")</f>
        <v/>
      </c>
      <c r="W6308" s="23" t="str">
        <f aca="false">IF(ISNUMBER(C6308),MONTH(C6308),"")</f>
        <v/>
      </c>
      <c r="X6308" s="23" t="str">
        <f aca="false">IF(T6308="","",IF(T6308=0,"No discount",IF(T6308&lt;=0.2,"Low (1-20%)",IF(T6308&lt;=0.4,"Medium (21-40%)","High (&gt;40%)"))))</f>
        <v/>
      </c>
      <c r="Y6308" s="23" t="str">
        <f aca="false">IF(AND(ISNUMBER(C6308),ISNUMBER(D6308)),D6308-C6308,"")</f>
        <v/>
      </c>
      <c r="Z6308" s="23" t="str">
        <f aca="false">IF(B6308="","",IF(MATCH(B6308,$B$2:$B$12000,0)=ROW()-1,1,0))</f>
        <v/>
      </c>
    </row>
    <row r="6309" customFormat="false" ht="15" hidden="false" customHeight="false" outlineLevel="0" collapsed="false">
      <c r="V6309" s="23" t="str">
        <f aca="false">IF(ISNUMBER(C6309),YEAR(C6309),"")</f>
        <v/>
      </c>
      <c r="W6309" s="23" t="str">
        <f aca="false">IF(ISNUMBER(C6309),MONTH(C6309),"")</f>
        <v/>
      </c>
      <c r="X6309" s="23" t="str">
        <f aca="false">IF(T6309="","",IF(T6309=0,"No discount",IF(T6309&lt;=0.2,"Low (1-20%)",IF(T6309&lt;=0.4,"Medium (21-40%)","High (&gt;40%)"))))</f>
        <v/>
      </c>
      <c r="Y6309" s="23" t="str">
        <f aca="false">IF(AND(ISNUMBER(C6309),ISNUMBER(D6309)),D6309-C6309,"")</f>
        <v/>
      </c>
      <c r="Z6309" s="23" t="str">
        <f aca="false">IF(B6309="","",IF(MATCH(B6309,$B$2:$B$12000,0)=ROW()-1,1,0))</f>
        <v/>
      </c>
    </row>
    <row r="6310" customFormat="false" ht="15" hidden="false" customHeight="false" outlineLevel="0" collapsed="false">
      <c r="V6310" s="23" t="str">
        <f aca="false">IF(ISNUMBER(C6310),YEAR(C6310),"")</f>
        <v/>
      </c>
      <c r="W6310" s="23" t="str">
        <f aca="false">IF(ISNUMBER(C6310),MONTH(C6310),"")</f>
        <v/>
      </c>
      <c r="X6310" s="23" t="str">
        <f aca="false">IF(T6310="","",IF(T6310=0,"No discount",IF(T6310&lt;=0.2,"Low (1-20%)",IF(T6310&lt;=0.4,"Medium (21-40%)","High (&gt;40%)"))))</f>
        <v/>
      </c>
      <c r="Y6310" s="23" t="str">
        <f aca="false">IF(AND(ISNUMBER(C6310),ISNUMBER(D6310)),D6310-C6310,"")</f>
        <v/>
      </c>
      <c r="Z6310" s="23" t="str">
        <f aca="false">IF(B6310="","",IF(MATCH(B6310,$B$2:$B$12000,0)=ROW()-1,1,0))</f>
        <v/>
      </c>
    </row>
    <row r="6311" customFormat="false" ht="15" hidden="false" customHeight="false" outlineLevel="0" collapsed="false">
      <c r="V6311" s="23" t="str">
        <f aca="false">IF(ISNUMBER(C6311),YEAR(C6311),"")</f>
        <v/>
      </c>
      <c r="W6311" s="23" t="str">
        <f aca="false">IF(ISNUMBER(C6311),MONTH(C6311),"")</f>
        <v/>
      </c>
      <c r="X6311" s="23" t="str">
        <f aca="false">IF(T6311="","",IF(T6311=0,"No discount",IF(T6311&lt;=0.2,"Low (1-20%)",IF(T6311&lt;=0.4,"Medium (21-40%)","High (&gt;40%)"))))</f>
        <v/>
      </c>
      <c r="Y6311" s="23" t="str">
        <f aca="false">IF(AND(ISNUMBER(C6311),ISNUMBER(D6311)),D6311-C6311,"")</f>
        <v/>
      </c>
      <c r="Z6311" s="23" t="str">
        <f aca="false">IF(B6311="","",IF(MATCH(B6311,$B$2:$B$12000,0)=ROW()-1,1,0))</f>
        <v/>
      </c>
    </row>
    <row r="6312" customFormat="false" ht="15" hidden="false" customHeight="false" outlineLevel="0" collapsed="false">
      <c r="V6312" s="23" t="str">
        <f aca="false">IF(ISNUMBER(C6312),YEAR(C6312),"")</f>
        <v/>
      </c>
      <c r="W6312" s="23" t="str">
        <f aca="false">IF(ISNUMBER(C6312),MONTH(C6312),"")</f>
        <v/>
      </c>
      <c r="X6312" s="23" t="str">
        <f aca="false">IF(T6312="","",IF(T6312=0,"No discount",IF(T6312&lt;=0.2,"Low (1-20%)",IF(T6312&lt;=0.4,"Medium (21-40%)","High (&gt;40%)"))))</f>
        <v/>
      </c>
      <c r="Y6312" s="23" t="str">
        <f aca="false">IF(AND(ISNUMBER(C6312),ISNUMBER(D6312)),D6312-C6312,"")</f>
        <v/>
      </c>
      <c r="Z6312" s="23" t="str">
        <f aca="false">IF(B6312="","",IF(MATCH(B6312,$B$2:$B$12000,0)=ROW()-1,1,0))</f>
        <v/>
      </c>
    </row>
    <row r="6313" customFormat="false" ht="15" hidden="false" customHeight="false" outlineLevel="0" collapsed="false">
      <c r="V6313" s="23" t="str">
        <f aca="false">IF(ISNUMBER(C6313),YEAR(C6313),"")</f>
        <v/>
      </c>
      <c r="W6313" s="23" t="str">
        <f aca="false">IF(ISNUMBER(C6313),MONTH(C6313),"")</f>
        <v/>
      </c>
      <c r="X6313" s="23" t="str">
        <f aca="false">IF(T6313="","",IF(T6313=0,"No discount",IF(T6313&lt;=0.2,"Low (1-20%)",IF(T6313&lt;=0.4,"Medium (21-40%)","High (&gt;40%)"))))</f>
        <v/>
      </c>
      <c r="Y6313" s="23" t="str">
        <f aca="false">IF(AND(ISNUMBER(C6313),ISNUMBER(D6313)),D6313-C6313,"")</f>
        <v/>
      </c>
      <c r="Z6313" s="23" t="str">
        <f aca="false">IF(B6313="","",IF(MATCH(B6313,$B$2:$B$12000,0)=ROW()-1,1,0))</f>
        <v/>
      </c>
    </row>
    <row r="6314" customFormat="false" ht="15" hidden="false" customHeight="false" outlineLevel="0" collapsed="false">
      <c r="V6314" s="23" t="str">
        <f aca="false">IF(ISNUMBER(C6314),YEAR(C6314),"")</f>
        <v/>
      </c>
      <c r="W6314" s="23" t="str">
        <f aca="false">IF(ISNUMBER(C6314),MONTH(C6314),"")</f>
        <v/>
      </c>
      <c r="X6314" s="23" t="str">
        <f aca="false">IF(T6314="","",IF(T6314=0,"No discount",IF(T6314&lt;=0.2,"Low (1-20%)",IF(T6314&lt;=0.4,"Medium (21-40%)","High (&gt;40%)"))))</f>
        <v/>
      </c>
      <c r="Y6314" s="23" t="str">
        <f aca="false">IF(AND(ISNUMBER(C6314),ISNUMBER(D6314)),D6314-C6314,"")</f>
        <v/>
      </c>
      <c r="Z6314" s="23" t="str">
        <f aca="false">IF(B6314="","",IF(MATCH(B6314,$B$2:$B$12000,0)=ROW()-1,1,0))</f>
        <v/>
      </c>
    </row>
    <row r="6315" customFormat="false" ht="15" hidden="false" customHeight="false" outlineLevel="0" collapsed="false">
      <c r="V6315" s="23" t="str">
        <f aca="false">IF(ISNUMBER(C6315),YEAR(C6315),"")</f>
        <v/>
      </c>
      <c r="W6315" s="23" t="str">
        <f aca="false">IF(ISNUMBER(C6315),MONTH(C6315),"")</f>
        <v/>
      </c>
      <c r="X6315" s="23" t="str">
        <f aca="false">IF(T6315="","",IF(T6315=0,"No discount",IF(T6315&lt;=0.2,"Low (1-20%)",IF(T6315&lt;=0.4,"Medium (21-40%)","High (&gt;40%)"))))</f>
        <v/>
      </c>
      <c r="Y6315" s="23" t="str">
        <f aca="false">IF(AND(ISNUMBER(C6315),ISNUMBER(D6315)),D6315-C6315,"")</f>
        <v/>
      </c>
      <c r="Z6315" s="23" t="str">
        <f aca="false">IF(B6315="","",IF(MATCH(B6315,$B$2:$B$12000,0)=ROW()-1,1,0))</f>
        <v/>
      </c>
    </row>
    <row r="6316" customFormat="false" ht="15" hidden="false" customHeight="false" outlineLevel="0" collapsed="false">
      <c r="V6316" s="23" t="str">
        <f aca="false">IF(ISNUMBER(C6316),YEAR(C6316),"")</f>
        <v/>
      </c>
      <c r="W6316" s="23" t="str">
        <f aca="false">IF(ISNUMBER(C6316),MONTH(C6316),"")</f>
        <v/>
      </c>
      <c r="X6316" s="23" t="str">
        <f aca="false">IF(T6316="","",IF(T6316=0,"No discount",IF(T6316&lt;=0.2,"Low (1-20%)",IF(T6316&lt;=0.4,"Medium (21-40%)","High (&gt;40%)"))))</f>
        <v/>
      </c>
      <c r="Y6316" s="23" t="str">
        <f aca="false">IF(AND(ISNUMBER(C6316),ISNUMBER(D6316)),D6316-C6316,"")</f>
        <v/>
      </c>
      <c r="Z6316" s="23" t="str">
        <f aca="false">IF(B6316="","",IF(MATCH(B6316,$B$2:$B$12000,0)=ROW()-1,1,0))</f>
        <v/>
      </c>
    </row>
    <row r="6317" customFormat="false" ht="15" hidden="false" customHeight="false" outlineLevel="0" collapsed="false">
      <c r="V6317" s="23" t="str">
        <f aca="false">IF(ISNUMBER(C6317),YEAR(C6317),"")</f>
        <v/>
      </c>
      <c r="W6317" s="23" t="str">
        <f aca="false">IF(ISNUMBER(C6317),MONTH(C6317),"")</f>
        <v/>
      </c>
      <c r="X6317" s="23" t="str">
        <f aca="false">IF(T6317="","",IF(T6317=0,"No discount",IF(T6317&lt;=0.2,"Low (1-20%)",IF(T6317&lt;=0.4,"Medium (21-40%)","High (&gt;40%)"))))</f>
        <v/>
      </c>
      <c r="Y6317" s="23" t="str">
        <f aca="false">IF(AND(ISNUMBER(C6317),ISNUMBER(D6317)),D6317-C6317,"")</f>
        <v/>
      </c>
      <c r="Z6317" s="23" t="str">
        <f aca="false">IF(B6317="","",IF(MATCH(B6317,$B$2:$B$12000,0)=ROW()-1,1,0))</f>
        <v/>
      </c>
    </row>
    <row r="6318" customFormat="false" ht="15" hidden="false" customHeight="false" outlineLevel="0" collapsed="false">
      <c r="V6318" s="23" t="str">
        <f aca="false">IF(ISNUMBER(C6318),YEAR(C6318),"")</f>
        <v/>
      </c>
      <c r="W6318" s="23" t="str">
        <f aca="false">IF(ISNUMBER(C6318),MONTH(C6318),"")</f>
        <v/>
      </c>
      <c r="X6318" s="23" t="str">
        <f aca="false">IF(T6318="","",IF(T6318=0,"No discount",IF(T6318&lt;=0.2,"Low (1-20%)",IF(T6318&lt;=0.4,"Medium (21-40%)","High (&gt;40%)"))))</f>
        <v/>
      </c>
      <c r="Y6318" s="23" t="str">
        <f aca="false">IF(AND(ISNUMBER(C6318),ISNUMBER(D6318)),D6318-C6318,"")</f>
        <v/>
      </c>
      <c r="Z6318" s="23" t="str">
        <f aca="false">IF(B6318="","",IF(MATCH(B6318,$B$2:$B$12000,0)=ROW()-1,1,0))</f>
        <v/>
      </c>
    </row>
    <row r="6319" customFormat="false" ht="15" hidden="false" customHeight="false" outlineLevel="0" collapsed="false">
      <c r="V6319" s="23" t="str">
        <f aca="false">IF(ISNUMBER(C6319),YEAR(C6319),"")</f>
        <v/>
      </c>
      <c r="W6319" s="23" t="str">
        <f aca="false">IF(ISNUMBER(C6319),MONTH(C6319),"")</f>
        <v/>
      </c>
      <c r="X6319" s="23" t="str">
        <f aca="false">IF(T6319="","",IF(T6319=0,"No discount",IF(T6319&lt;=0.2,"Low (1-20%)",IF(T6319&lt;=0.4,"Medium (21-40%)","High (&gt;40%)"))))</f>
        <v/>
      </c>
      <c r="Y6319" s="23" t="str">
        <f aca="false">IF(AND(ISNUMBER(C6319),ISNUMBER(D6319)),D6319-C6319,"")</f>
        <v/>
      </c>
      <c r="Z6319" s="23" t="str">
        <f aca="false">IF(B6319="","",IF(MATCH(B6319,$B$2:$B$12000,0)=ROW()-1,1,0))</f>
        <v/>
      </c>
    </row>
    <row r="6320" customFormat="false" ht="15" hidden="false" customHeight="false" outlineLevel="0" collapsed="false">
      <c r="V6320" s="23" t="str">
        <f aca="false">IF(ISNUMBER(C6320),YEAR(C6320),"")</f>
        <v/>
      </c>
      <c r="W6320" s="23" t="str">
        <f aca="false">IF(ISNUMBER(C6320),MONTH(C6320),"")</f>
        <v/>
      </c>
      <c r="X6320" s="23" t="str">
        <f aca="false">IF(T6320="","",IF(T6320=0,"No discount",IF(T6320&lt;=0.2,"Low (1-20%)",IF(T6320&lt;=0.4,"Medium (21-40%)","High (&gt;40%)"))))</f>
        <v/>
      </c>
      <c r="Y6320" s="23" t="str">
        <f aca="false">IF(AND(ISNUMBER(C6320),ISNUMBER(D6320)),D6320-C6320,"")</f>
        <v/>
      </c>
      <c r="Z6320" s="23" t="str">
        <f aca="false">IF(B6320="","",IF(MATCH(B6320,$B$2:$B$12000,0)=ROW()-1,1,0))</f>
        <v/>
      </c>
    </row>
    <row r="6321" customFormat="false" ht="15" hidden="false" customHeight="false" outlineLevel="0" collapsed="false">
      <c r="V6321" s="23" t="str">
        <f aca="false">IF(ISNUMBER(C6321),YEAR(C6321),"")</f>
        <v/>
      </c>
      <c r="W6321" s="23" t="str">
        <f aca="false">IF(ISNUMBER(C6321),MONTH(C6321),"")</f>
        <v/>
      </c>
      <c r="X6321" s="23" t="str">
        <f aca="false">IF(T6321="","",IF(T6321=0,"No discount",IF(T6321&lt;=0.2,"Low (1-20%)",IF(T6321&lt;=0.4,"Medium (21-40%)","High (&gt;40%)"))))</f>
        <v/>
      </c>
      <c r="Y6321" s="23" t="str">
        <f aca="false">IF(AND(ISNUMBER(C6321),ISNUMBER(D6321)),D6321-C6321,"")</f>
        <v/>
      </c>
      <c r="Z6321" s="23" t="str">
        <f aca="false">IF(B6321="","",IF(MATCH(B6321,$B$2:$B$12000,0)=ROW()-1,1,0))</f>
        <v/>
      </c>
    </row>
    <row r="6322" customFormat="false" ht="15" hidden="false" customHeight="false" outlineLevel="0" collapsed="false">
      <c r="V6322" s="23" t="str">
        <f aca="false">IF(ISNUMBER(C6322),YEAR(C6322),"")</f>
        <v/>
      </c>
      <c r="W6322" s="23" t="str">
        <f aca="false">IF(ISNUMBER(C6322),MONTH(C6322),"")</f>
        <v/>
      </c>
      <c r="X6322" s="23" t="str">
        <f aca="false">IF(T6322="","",IF(T6322=0,"No discount",IF(T6322&lt;=0.2,"Low (1-20%)",IF(T6322&lt;=0.4,"Medium (21-40%)","High (&gt;40%)"))))</f>
        <v/>
      </c>
      <c r="Y6322" s="23" t="str">
        <f aca="false">IF(AND(ISNUMBER(C6322),ISNUMBER(D6322)),D6322-C6322,"")</f>
        <v/>
      </c>
      <c r="Z6322" s="23" t="str">
        <f aca="false">IF(B6322="","",IF(MATCH(B6322,$B$2:$B$12000,0)=ROW()-1,1,0))</f>
        <v/>
      </c>
    </row>
    <row r="6323" customFormat="false" ht="15" hidden="false" customHeight="false" outlineLevel="0" collapsed="false">
      <c r="V6323" s="23" t="str">
        <f aca="false">IF(ISNUMBER(C6323),YEAR(C6323),"")</f>
        <v/>
      </c>
      <c r="W6323" s="23" t="str">
        <f aca="false">IF(ISNUMBER(C6323),MONTH(C6323),"")</f>
        <v/>
      </c>
      <c r="X6323" s="23" t="str">
        <f aca="false">IF(T6323="","",IF(T6323=0,"No discount",IF(T6323&lt;=0.2,"Low (1-20%)",IF(T6323&lt;=0.4,"Medium (21-40%)","High (&gt;40%)"))))</f>
        <v/>
      </c>
      <c r="Y6323" s="23" t="str">
        <f aca="false">IF(AND(ISNUMBER(C6323),ISNUMBER(D6323)),D6323-C6323,"")</f>
        <v/>
      </c>
      <c r="Z6323" s="23" t="str">
        <f aca="false">IF(B6323="","",IF(MATCH(B6323,$B$2:$B$12000,0)=ROW()-1,1,0))</f>
        <v/>
      </c>
    </row>
    <row r="6324" customFormat="false" ht="15" hidden="false" customHeight="false" outlineLevel="0" collapsed="false">
      <c r="V6324" s="23" t="str">
        <f aca="false">IF(ISNUMBER(C6324),YEAR(C6324),"")</f>
        <v/>
      </c>
      <c r="W6324" s="23" t="str">
        <f aca="false">IF(ISNUMBER(C6324),MONTH(C6324),"")</f>
        <v/>
      </c>
      <c r="X6324" s="23" t="str">
        <f aca="false">IF(T6324="","",IF(T6324=0,"No discount",IF(T6324&lt;=0.2,"Low (1-20%)",IF(T6324&lt;=0.4,"Medium (21-40%)","High (&gt;40%)"))))</f>
        <v/>
      </c>
      <c r="Y6324" s="23" t="str">
        <f aca="false">IF(AND(ISNUMBER(C6324),ISNUMBER(D6324)),D6324-C6324,"")</f>
        <v/>
      </c>
      <c r="Z6324" s="23" t="str">
        <f aca="false">IF(B6324="","",IF(MATCH(B6324,$B$2:$B$12000,0)=ROW()-1,1,0))</f>
        <v/>
      </c>
    </row>
    <row r="6325" customFormat="false" ht="15" hidden="false" customHeight="false" outlineLevel="0" collapsed="false">
      <c r="V6325" s="23" t="str">
        <f aca="false">IF(ISNUMBER(C6325),YEAR(C6325),"")</f>
        <v/>
      </c>
      <c r="W6325" s="23" t="str">
        <f aca="false">IF(ISNUMBER(C6325),MONTH(C6325),"")</f>
        <v/>
      </c>
      <c r="X6325" s="23" t="str">
        <f aca="false">IF(T6325="","",IF(T6325=0,"No discount",IF(T6325&lt;=0.2,"Low (1-20%)",IF(T6325&lt;=0.4,"Medium (21-40%)","High (&gt;40%)"))))</f>
        <v/>
      </c>
      <c r="Y6325" s="23" t="str">
        <f aca="false">IF(AND(ISNUMBER(C6325),ISNUMBER(D6325)),D6325-C6325,"")</f>
        <v/>
      </c>
      <c r="Z6325" s="23" t="str">
        <f aca="false">IF(B6325="","",IF(MATCH(B6325,$B$2:$B$12000,0)=ROW()-1,1,0))</f>
        <v/>
      </c>
    </row>
    <row r="6326" customFormat="false" ht="15" hidden="false" customHeight="false" outlineLevel="0" collapsed="false">
      <c r="V6326" s="23" t="str">
        <f aca="false">IF(ISNUMBER(C6326),YEAR(C6326),"")</f>
        <v/>
      </c>
      <c r="W6326" s="23" t="str">
        <f aca="false">IF(ISNUMBER(C6326),MONTH(C6326),"")</f>
        <v/>
      </c>
      <c r="X6326" s="23" t="str">
        <f aca="false">IF(T6326="","",IF(T6326=0,"No discount",IF(T6326&lt;=0.2,"Low (1-20%)",IF(T6326&lt;=0.4,"Medium (21-40%)","High (&gt;40%)"))))</f>
        <v/>
      </c>
      <c r="Y6326" s="23" t="str">
        <f aca="false">IF(AND(ISNUMBER(C6326),ISNUMBER(D6326)),D6326-C6326,"")</f>
        <v/>
      </c>
      <c r="Z6326" s="23" t="str">
        <f aca="false">IF(B6326="","",IF(MATCH(B6326,$B$2:$B$12000,0)=ROW()-1,1,0))</f>
        <v/>
      </c>
    </row>
    <row r="6327" customFormat="false" ht="15" hidden="false" customHeight="false" outlineLevel="0" collapsed="false">
      <c r="V6327" s="23" t="str">
        <f aca="false">IF(ISNUMBER(C6327),YEAR(C6327),"")</f>
        <v/>
      </c>
      <c r="W6327" s="23" t="str">
        <f aca="false">IF(ISNUMBER(C6327),MONTH(C6327),"")</f>
        <v/>
      </c>
      <c r="X6327" s="23" t="str">
        <f aca="false">IF(T6327="","",IF(T6327=0,"No discount",IF(T6327&lt;=0.2,"Low (1-20%)",IF(T6327&lt;=0.4,"Medium (21-40%)","High (&gt;40%)"))))</f>
        <v/>
      </c>
      <c r="Y6327" s="23" t="str">
        <f aca="false">IF(AND(ISNUMBER(C6327),ISNUMBER(D6327)),D6327-C6327,"")</f>
        <v/>
      </c>
      <c r="Z6327" s="23" t="str">
        <f aca="false">IF(B6327="","",IF(MATCH(B6327,$B$2:$B$12000,0)=ROW()-1,1,0))</f>
        <v/>
      </c>
    </row>
    <row r="6328" customFormat="false" ht="15" hidden="false" customHeight="false" outlineLevel="0" collapsed="false">
      <c r="V6328" s="23" t="str">
        <f aca="false">IF(ISNUMBER(C6328),YEAR(C6328),"")</f>
        <v/>
      </c>
      <c r="W6328" s="23" t="str">
        <f aca="false">IF(ISNUMBER(C6328),MONTH(C6328),"")</f>
        <v/>
      </c>
      <c r="X6328" s="23" t="str">
        <f aca="false">IF(T6328="","",IF(T6328=0,"No discount",IF(T6328&lt;=0.2,"Low (1-20%)",IF(T6328&lt;=0.4,"Medium (21-40%)","High (&gt;40%)"))))</f>
        <v/>
      </c>
      <c r="Y6328" s="23" t="str">
        <f aca="false">IF(AND(ISNUMBER(C6328),ISNUMBER(D6328)),D6328-C6328,"")</f>
        <v/>
      </c>
      <c r="Z6328" s="23" t="str">
        <f aca="false">IF(B6328="","",IF(MATCH(B6328,$B$2:$B$12000,0)=ROW()-1,1,0))</f>
        <v/>
      </c>
    </row>
    <row r="6329" customFormat="false" ht="15" hidden="false" customHeight="false" outlineLevel="0" collapsed="false">
      <c r="V6329" s="23" t="str">
        <f aca="false">IF(ISNUMBER(C6329),YEAR(C6329),"")</f>
        <v/>
      </c>
      <c r="W6329" s="23" t="str">
        <f aca="false">IF(ISNUMBER(C6329),MONTH(C6329),"")</f>
        <v/>
      </c>
      <c r="X6329" s="23" t="str">
        <f aca="false">IF(T6329="","",IF(T6329=0,"No discount",IF(T6329&lt;=0.2,"Low (1-20%)",IF(T6329&lt;=0.4,"Medium (21-40%)","High (&gt;40%)"))))</f>
        <v/>
      </c>
      <c r="Y6329" s="23" t="str">
        <f aca="false">IF(AND(ISNUMBER(C6329),ISNUMBER(D6329)),D6329-C6329,"")</f>
        <v/>
      </c>
      <c r="Z6329" s="23" t="str">
        <f aca="false">IF(B6329="","",IF(MATCH(B6329,$B$2:$B$12000,0)=ROW()-1,1,0))</f>
        <v/>
      </c>
    </row>
    <row r="6330" customFormat="false" ht="15" hidden="false" customHeight="false" outlineLevel="0" collapsed="false">
      <c r="V6330" s="23" t="str">
        <f aca="false">IF(ISNUMBER(C6330),YEAR(C6330),"")</f>
        <v/>
      </c>
      <c r="W6330" s="23" t="str">
        <f aca="false">IF(ISNUMBER(C6330),MONTH(C6330),"")</f>
        <v/>
      </c>
      <c r="X6330" s="23" t="str">
        <f aca="false">IF(T6330="","",IF(T6330=0,"No discount",IF(T6330&lt;=0.2,"Low (1-20%)",IF(T6330&lt;=0.4,"Medium (21-40%)","High (&gt;40%)"))))</f>
        <v/>
      </c>
      <c r="Y6330" s="23" t="str">
        <f aca="false">IF(AND(ISNUMBER(C6330),ISNUMBER(D6330)),D6330-C6330,"")</f>
        <v/>
      </c>
      <c r="Z6330" s="23" t="str">
        <f aca="false">IF(B6330="","",IF(MATCH(B6330,$B$2:$B$12000,0)=ROW()-1,1,0))</f>
        <v/>
      </c>
    </row>
    <row r="6331" customFormat="false" ht="15" hidden="false" customHeight="false" outlineLevel="0" collapsed="false">
      <c r="V6331" s="23" t="str">
        <f aca="false">IF(ISNUMBER(C6331),YEAR(C6331),"")</f>
        <v/>
      </c>
      <c r="W6331" s="23" t="str">
        <f aca="false">IF(ISNUMBER(C6331),MONTH(C6331),"")</f>
        <v/>
      </c>
      <c r="X6331" s="23" t="str">
        <f aca="false">IF(T6331="","",IF(T6331=0,"No discount",IF(T6331&lt;=0.2,"Low (1-20%)",IF(T6331&lt;=0.4,"Medium (21-40%)","High (&gt;40%)"))))</f>
        <v/>
      </c>
      <c r="Y6331" s="23" t="str">
        <f aca="false">IF(AND(ISNUMBER(C6331),ISNUMBER(D6331)),D6331-C6331,"")</f>
        <v/>
      </c>
      <c r="Z6331" s="23" t="str">
        <f aca="false">IF(B6331="","",IF(MATCH(B6331,$B$2:$B$12000,0)=ROW()-1,1,0))</f>
        <v/>
      </c>
    </row>
    <row r="6332" customFormat="false" ht="15" hidden="false" customHeight="false" outlineLevel="0" collapsed="false">
      <c r="V6332" s="23" t="str">
        <f aca="false">IF(ISNUMBER(C6332),YEAR(C6332),"")</f>
        <v/>
      </c>
      <c r="W6332" s="23" t="str">
        <f aca="false">IF(ISNUMBER(C6332),MONTH(C6332),"")</f>
        <v/>
      </c>
      <c r="X6332" s="23" t="str">
        <f aca="false">IF(T6332="","",IF(T6332=0,"No discount",IF(T6332&lt;=0.2,"Low (1-20%)",IF(T6332&lt;=0.4,"Medium (21-40%)","High (&gt;40%)"))))</f>
        <v/>
      </c>
      <c r="Y6332" s="23" t="str">
        <f aca="false">IF(AND(ISNUMBER(C6332),ISNUMBER(D6332)),D6332-C6332,"")</f>
        <v/>
      </c>
      <c r="Z6332" s="23" t="str">
        <f aca="false">IF(B6332="","",IF(MATCH(B6332,$B$2:$B$12000,0)=ROW()-1,1,0))</f>
        <v/>
      </c>
    </row>
    <row r="6333" customFormat="false" ht="15" hidden="false" customHeight="false" outlineLevel="0" collapsed="false">
      <c r="V6333" s="23" t="str">
        <f aca="false">IF(ISNUMBER(C6333),YEAR(C6333),"")</f>
        <v/>
      </c>
      <c r="W6333" s="23" t="str">
        <f aca="false">IF(ISNUMBER(C6333),MONTH(C6333),"")</f>
        <v/>
      </c>
      <c r="X6333" s="23" t="str">
        <f aca="false">IF(T6333="","",IF(T6333=0,"No discount",IF(T6333&lt;=0.2,"Low (1-20%)",IF(T6333&lt;=0.4,"Medium (21-40%)","High (&gt;40%)"))))</f>
        <v/>
      </c>
      <c r="Y6333" s="23" t="str">
        <f aca="false">IF(AND(ISNUMBER(C6333),ISNUMBER(D6333)),D6333-C6333,"")</f>
        <v/>
      </c>
      <c r="Z6333" s="23" t="str">
        <f aca="false">IF(B6333="","",IF(MATCH(B6333,$B$2:$B$12000,0)=ROW()-1,1,0))</f>
        <v/>
      </c>
    </row>
    <row r="6334" customFormat="false" ht="15" hidden="false" customHeight="false" outlineLevel="0" collapsed="false">
      <c r="V6334" s="23" t="str">
        <f aca="false">IF(ISNUMBER(C6334),YEAR(C6334),"")</f>
        <v/>
      </c>
      <c r="W6334" s="23" t="str">
        <f aca="false">IF(ISNUMBER(C6334),MONTH(C6334),"")</f>
        <v/>
      </c>
      <c r="X6334" s="23" t="str">
        <f aca="false">IF(T6334="","",IF(T6334=0,"No discount",IF(T6334&lt;=0.2,"Low (1-20%)",IF(T6334&lt;=0.4,"Medium (21-40%)","High (&gt;40%)"))))</f>
        <v/>
      </c>
      <c r="Y6334" s="23" t="str">
        <f aca="false">IF(AND(ISNUMBER(C6334),ISNUMBER(D6334)),D6334-C6334,"")</f>
        <v/>
      </c>
      <c r="Z6334" s="23" t="str">
        <f aca="false">IF(B6334="","",IF(MATCH(B6334,$B$2:$B$12000,0)=ROW()-1,1,0))</f>
        <v/>
      </c>
    </row>
    <row r="6335" customFormat="false" ht="15" hidden="false" customHeight="false" outlineLevel="0" collapsed="false">
      <c r="V6335" s="23" t="str">
        <f aca="false">IF(ISNUMBER(C6335),YEAR(C6335),"")</f>
        <v/>
      </c>
      <c r="W6335" s="23" t="str">
        <f aca="false">IF(ISNUMBER(C6335),MONTH(C6335),"")</f>
        <v/>
      </c>
      <c r="X6335" s="23" t="str">
        <f aca="false">IF(T6335="","",IF(T6335=0,"No discount",IF(T6335&lt;=0.2,"Low (1-20%)",IF(T6335&lt;=0.4,"Medium (21-40%)","High (&gt;40%)"))))</f>
        <v/>
      </c>
      <c r="Y6335" s="23" t="str">
        <f aca="false">IF(AND(ISNUMBER(C6335),ISNUMBER(D6335)),D6335-C6335,"")</f>
        <v/>
      </c>
      <c r="Z6335" s="23" t="str">
        <f aca="false">IF(B6335="","",IF(MATCH(B6335,$B$2:$B$12000,0)=ROW()-1,1,0))</f>
        <v/>
      </c>
    </row>
    <row r="6336" customFormat="false" ht="15" hidden="false" customHeight="false" outlineLevel="0" collapsed="false">
      <c r="V6336" s="23" t="str">
        <f aca="false">IF(ISNUMBER(C6336),YEAR(C6336),"")</f>
        <v/>
      </c>
      <c r="W6336" s="23" t="str">
        <f aca="false">IF(ISNUMBER(C6336),MONTH(C6336),"")</f>
        <v/>
      </c>
      <c r="X6336" s="23" t="str">
        <f aca="false">IF(T6336="","",IF(T6336=0,"No discount",IF(T6336&lt;=0.2,"Low (1-20%)",IF(T6336&lt;=0.4,"Medium (21-40%)","High (&gt;40%)"))))</f>
        <v/>
      </c>
      <c r="Y6336" s="23" t="str">
        <f aca="false">IF(AND(ISNUMBER(C6336),ISNUMBER(D6336)),D6336-C6336,"")</f>
        <v/>
      </c>
      <c r="Z6336" s="23" t="str">
        <f aca="false">IF(B6336="","",IF(MATCH(B6336,$B$2:$B$12000,0)=ROW()-1,1,0))</f>
        <v/>
      </c>
    </row>
    <row r="6337" customFormat="false" ht="15" hidden="false" customHeight="false" outlineLevel="0" collapsed="false">
      <c r="V6337" s="23" t="str">
        <f aca="false">IF(ISNUMBER(C6337),YEAR(C6337),"")</f>
        <v/>
      </c>
      <c r="W6337" s="23" t="str">
        <f aca="false">IF(ISNUMBER(C6337),MONTH(C6337),"")</f>
        <v/>
      </c>
      <c r="X6337" s="23" t="str">
        <f aca="false">IF(T6337="","",IF(T6337=0,"No discount",IF(T6337&lt;=0.2,"Low (1-20%)",IF(T6337&lt;=0.4,"Medium (21-40%)","High (&gt;40%)"))))</f>
        <v/>
      </c>
      <c r="Y6337" s="23" t="str">
        <f aca="false">IF(AND(ISNUMBER(C6337),ISNUMBER(D6337)),D6337-C6337,"")</f>
        <v/>
      </c>
      <c r="Z6337" s="23" t="str">
        <f aca="false">IF(B6337="","",IF(MATCH(B6337,$B$2:$B$12000,0)=ROW()-1,1,0))</f>
        <v/>
      </c>
    </row>
    <row r="6338" customFormat="false" ht="15" hidden="false" customHeight="false" outlineLevel="0" collapsed="false">
      <c r="V6338" s="23" t="str">
        <f aca="false">IF(ISNUMBER(C6338),YEAR(C6338),"")</f>
        <v/>
      </c>
      <c r="W6338" s="23" t="str">
        <f aca="false">IF(ISNUMBER(C6338),MONTH(C6338),"")</f>
        <v/>
      </c>
      <c r="X6338" s="23" t="str">
        <f aca="false">IF(T6338="","",IF(T6338=0,"No discount",IF(T6338&lt;=0.2,"Low (1-20%)",IF(T6338&lt;=0.4,"Medium (21-40%)","High (&gt;40%)"))))</f>
        <v/>
      </c>
      <c r="Y6338" s="23" t="str">
        <f aca="false">IF(AND(ISNUMBER(C6338),ISNUMBER(D6338)),D6338-C6338,"")</f>
        <v/>
      </c>
      <c r="Z6338" s="23" t="str">
        <f aca="false">IF(B6338="","",IF(MATCH(B6338,$B$2:$B$12000,0)=ROW()-1,1,0))</f>
        <v/>
      </c>
    </row>
    <row r="6339" customFormat="false" ht="15" hidden="false" customHeight="false" outlineLevel="0" collapsed="false">
      <c r="V6339" s="23" t="str">
        <f aca="false">IF(ISNUMBER(C6339),YEAR(C6339),"")</f>
        <v/>
      </c>
      <c r="W6339" s="23" t="str">
        <f aca="false">IF(ISNUMBER(C6339),MONTH(C6339),"")</f>
        <v/>
      </c>
      <c r="X6339" s="23" t="str">
        <f aca="false">IF(T6339="","",IF(T6339=0,"No discount",IF(T6339&lt;=0.2,"Low (1-20%)",IF(T6339&lt;=0.4,"Medium (21-40%)","High (&gt;40%)"))))</f>
        <v/>
      </c>
      <c r="Y6339" s="23" t="str">
        <f aca="false">IF(AND(ISNUMBER(C6339),ISNUMBER(D6339)),D6339-C6339,"")</f>
        <v/>
      </c>
      <c r="Z6339" s="23" t="str">
        <f aca="false">IF(B6339="","",IF(MATCH(B6339,$B$2:$B$12000,0)=ROW()-1,1,0))</f>
        <v/>
      </c>
    </row>
    <row r="6340" customFormat="false" ht="15" hidden="false" customHeight="false" outlineLevel="0" collapsed="false">
      <c r="V6340" s="23" t="str">
        <f aca="false">IF(ISNUMBER(C6340),YEAR(C6340),"")</f>
        <v/>
      </c>
      <c r="W6340" s="23" t="str">
        <f aca="false">IF(ISNUMBER(C6340),MONTH(C6340),"")</f>
        <v/>
      </c>
      <c r="X6340" s="23" t="str">
        <f aca="false">IF(T6340="","",IF(T6340=0,"No discount",IF(T6340&lt;=0.2,"Low (1-20%)",IF(T6340&lt;=0.4,"Medium (21-40%)","High (&gt;40%)"))))</f>
        <v/>
      </c>
      <c r="Y6340" s="23" t="str">
        <f aca="false">IF(AND(ISNUMBER(C6340),ISNUMBER(D6340)),D6340-C6340,"")</f>
        <v/>
      </c>
      <c r="Z6340" s="23" t="str">
        <f aca="false">IF(B6340="","",IF(MATCH(B6340,$B$2:$B$12000,0)=ROW()-1,1,0))</f>
        <v/>
      </c>
    </row>
    <row r="6341" customFormat="false" ht="15" hidden="false" customHeight="false" outlineLevel="0" collapsed="false">
      <c r="V6341" s="23" t="str">
        <f aca="false">IF(ISNUMBER(C6341),YEAR(C6341),"")</f>
        <v/>
      </c>
      <c r="W6341" s="23" t="str">
        <f aca="false">IF(ISNUMBER(C6341),MONTH(C6341),"")</f>
        <v/>
      </c>
      <c r="X6341" s="23" t="str">
        <f aca="false">IF(T6341="","",IF(T6341=0,"No discount",IF(T6341&lt;=0.2,"Low (1-20%)",IF(T6341&lt;=0.4,"Medium (21-40%)","High (&gt;40%)"))))</f>
        <v/>
      </c>
      <c r="Y6341" s="23" t="str">
        <f aca="false">IF(AND(ISNUMBER(C6341),ISNUMBER(D6341)),D6341-C6341,"")</f>
        <v/>
      </c>
      <c r="Z6341" s="23" t="str">
        <f aca="false">IF(B6341="","",IF(MATCH(B6341,$B$2:$B$12000,0)=ROW()-1,1,0))</f>
        <v/>
      </c>
    </row>
    <row r="6342" customFormat="false" ht="15" hidden="false" customHeight="false" outlineLevel="0" collapsed="false">
      <c r="V6342" s="23" t="str">
        <f aca="false">IF(ISNUMBER(C6342),YEAR(C6342),"")</f>
        <v/>
      </c>
      <c r="W6342" s="23" t="str">
        <f aca="false">IF(ISNUMBER(C6342),MONTH(C6342),"")</f>
        <v/>
      </c>
      <c r="X6342" s="23" t="str">
        <f aca="false">IF(T6342="","",IF(T6342=0,"No discount",IF(T6342&lt;=0.2,"Low (1-20%)",IF(T6342&lt;=0.4,"Medium (21-40%)","High (&gt;40%)"))))</f>
        <v/>
      </c>
      <c r="Y6342" s="23" t="str">
        <f aca="false">IF(AND(ISNUMBER(C6342),ISNUMBER(D6342)),D6342-C6342,"")</f>
        <v/>
      </c>
      <c r="Z6342" s="23" t="str">
        <f aca="false">IF(B6342="","",IF(MATCH(B6342,$B$2:$B$12000,0)=ROW()-1,1,0))</f>
        <v/>
      </c>
    </row>
    <row r="6343" customFormat="false" ht="15" hidden="false" customHeight="false" outlineLevel="0" collapsed="false">
      <c r="V6343" s="23" t="str">
        <f aca="false">IF(ISNUMBER(C6343),YEAR(C6343),"")</f>
        <v/>
      </c>
      <c r="W6343" s="23" t="str">
        <f aca="false">IF(ISNUMBER(C6343),MONTH(C6343),"")</f>
        <v/>
      </c>
      <c r="X6343" s="23" t="str">
        <f aca="false">IF(T6343="","",IF(T6343=0,"No discount",IF(T6343&lt;=0.2,"Low (1-20%)",IF(T6343&lt;=0.4,"Medium (21-40%)","High (&gt;40%)"))))</f>
        <v/>
      </c>
      <c r="Y6343" s="23" t="str">
        <f aca="false">IF(AND(ISNUMBER(C6343),ISNUMBER(D6343)),D6343-C6343,"")</f>
        <v/>
      </c>
      <c r="Z6343" s="23" t="str">
        <f aca="false">IF(B6343="","",IF(MATCH(B6343,$B$2:$B$12000,0)=ROW()-1,1,0))</f>
        <v/>
      </c>
    </row>
    <row r="6344" customFormat="false" ht="15" hidden="false" customHeight="false" outlineLevel="0" collapsed="false">
      <c r="V6344" s="23" t="str">
        <f aca="false">IF(ISNUMBER(C6344),YEAR(C6344),"")</f>
        <v/>
      </c>
      <c r="W6344" s="23" t="str">
        <f aca="false">IF(ISNUMBER(C6344),MONTH(C6344),"")</f>
        <v/>
      </c>
      <c r="X6344" s="23" t="str">
        <f aca="false">IF(T6344="","",IF(T6344=0,"No discount",IF(T6344&lt;=0.2,"Low (1-20%)",IF(T6344&lt;=0.4,"Medium (21-40%)","High (&gt;40%)"))))</f>
        <v/>
      </c>
      <c r="Y6344" s="23" t="str">
        <f aca="false">IF(AND(ISNUMBER(C6344),ISNUMBER(D6344)),D6344-C6344,"")</f>
        <v/>
      </c>
      <c r="Z6344" s="23" t="str">
        <f aca="false">IF(B6344="","",IF(MATCH(B6344,$B$2:$B$12000,0)=ROW()-1,1,0))</f>
        <v/>
      </c>
    </row>
    <row r="6345" customFormat="false" ht="15" hidden="false" customHeight="false" outlineLevel="0" collapsed="false">
      <c r="V6345" s="23" t="str">
        <f aca="false">IF(ISNUMBER(C6345),YEAR(C6345),"")</f>
        <v/>
      </c>
      <c r="W6345" s="23" t="str">
        <f aca="false">IF(ISNUMBER(C6345),MONTH(C6345),"")</f>
        <v/>
      </c>
      <c r="X6345" s="23" t="str">
        <f aca="false">IF(T6345="","",IF(T6345=0,"No discount",IF(T6345&lt;=0.2,"Low (1-20%)",IF(T6345&lt;=0.4,"Medium (21-40%)","High (&gt;40%)"))))</f>
        <v/>
      </c>
      <c r="Y6345" s="23" t="str">
        <f aca="false">IF(AND(ISNUMBER(C6345),ISNUMBER(D6345)),D6345-C6345,"")</f>
        <v/>
      </c>
      <c r="Z6345" s="23" t="str">
        <f aca="false">IF(B6345="","",IF(MATCH(B6345,$B$2:$B$12000,0)=ROW()-1,1,0))</f>
        <v/>
      </c>
    </row>
    <row r="6346" customFormat="false" ht="15" hidden="false" customHeight="false" outlineLevel="0" collapsed="false">
      <c r="V6346" s="23" t="str">
        <f aca="false">IF(ISNUMBER(C6346),YEAR(C6346),"")</f>
        <v/>
      </c>
      <c r="W6346" s="23" t="str">
        <f aca="false">IF(ISNUMBER(C6346),MONTH(C6346),"")</f>
        <v/>
      </c>
      <c r="X6346" s="23" t="str">
        <f aca="false">IF(T6346="","",IF(T6346=0,"No discount",IF(T6346&lt;=0.2,"Low (1-20%)",IF(T6346&lt;=0.4,"Medium (21-40%)","High (&gt;40%)"))))</f>
        <v/>
      </c>
      <c r="Y6346" s="23" t="str">
        <f aca="false">IF(AND(ISNUMBER(C6346),ISNUMBER(D6346)),D6346-C6346,"")</f>
        <v/>
      </c>
      <c r="Z6346" s="23" t="str">
        <f aca="false">IF(B6346="","",IF(MATCH(B6346,$B$2:$B$12000,0)=ROW()-1,1,0))</f>
        <v/>
      </c>
    </row>
    <row r="6347" customFormat="false" ht="15" hidden="false" customHeight="false" outlineLevel="0" collapsed="false">
      <c r="V6347" s="23" t="str">
        <f aca="false">IF(ISNUMBER(C6347),YEAR(C6347),"")</f>
        <v/>
      </c>
      <c r="W6347" s="23" t="str">
        <f aca="false">IF(ISNUMBER(C6347),MONTH(C6347),"")</f>
        <v/>
      </c>
      <c r="X6347" s="23" t="str">
        <f aca="false">IF(T6347="","",IF(T6347=0,"No discount",IF(T6347&lt;=0.2,"Low (1-20%)",IF(T6347&lt;=0.4,"Medium (21-40%)","High (&gt;40%)"))))</f>
        <v/>
      </c>
      <c r="Y6347" s="23" t="str">
        <f aca="false">IF(AND(ISNUMBER(C6347),ISNUMBER(D6347)),D6347-C6347,"")</f>
        <v/>
      </c>
      <c r="Z6347" s="23" t="str">
        <f aca="false">IF(B6347="","",IF(MATCH(B6347,$B$2:$B$12000,0)=ROW()-1,1,0))</f>
        <v/>
      </c>
    </row>
    <row r="6348" customFormat="false" ht="15" hidden="false" customHeight="false" outlineLevel="0" collapsed="false">
      <c r="V6348" s="23" t="str">
        <f aca="false">IF(ISNUMBER(C6348),YEAR(C6348),"")</f>
        <v/>
      </c>
      <c r="W6348" s="23" t="str">
        <f aca="false">IF(ISNUMBER(C6348),MONTH(C6348),"")</f>
        <v/>
      </c>
      <c r="X6348" s="23" t="str">
        <f aca="false">IF(T6348="","",IF(T6348=0,"No discount",IF(T6348&lt;=0.2,"Low (1-20%)",IF(T6348&lt;=0.4,"Medium (21-40%)","High (&gt;40%)"))))</f>
        <v/>
      </c>
      <c r="Y6348" s="23" t="str">
        <f aca="false">IF(AND(ISNUMBER(C6348),ISNUMBER(D6348)),D6348-C6348,"")</f>
        <v/>
      </c>
      <c r="Z6348" s="23" t="str">
        <f aca="false">IF(B6348="","",IF(MATCH(B6348,$B$2:$B$12000,0)=ROW()-1,1,0))</f>
        <v/>
      </c>
    </row>
    <row r="6349" customFormat="false" ht="15" hidden="false" customHeight="false" outlineLevel="0" collapsed="false">
      <c r="V6349" s="23" t="str">
        <f aca="false">IF(ISNUMBER(C6349),YEAR(C6349),"")</f>
        <v/>
      </c>
      <c r="W6349" s="23" t="str">
        <f aca="false">IF(ISNUMBER(C6349),MONTH(C6349),"")</f>
        <v/>
      </c>
      <c r="X6349" s="23" t="str">
        <f aca="false">IF(T6349="","",IF(T6349=0,"No discount",IF(T6349&lt;=0.2,"Low (1-20%)",IF(T6349&lt;=0.4,"Medium (21-40%)","High (&gt;40%)"))))</f>
        <v/>
      </c>
      <c r="Y6349" s="23" t="str">
        <f aca="false">IF(AND(ISNUMBER(C6349),ISNUMBER(D6349)),D6349-C6349,"")</f>
        <v/>
      </c>
      <c r="Z6349" s="23" t="str">
        <f aca="false">IF(B6349="","",IF(MATCH(B6349,$B$2:$B$12000,0)=ROW()-1,1,0))</f>
        <v/>
      </c>
    </row>
    <row r="6350" customFormat="false" ht="15" hidden="false" customHeight="false" outlineLevel="0" collapsed="false">
      <c r="V6350" s="23" t="str">
        <f aca="false">IF(ISNUMBER(C6350),YEAR(C6350),"")</f>
        <v/>
      </c>
      <c r="W6350" s="23" t="str">
        <f aca="false">IF(ISNUMBER(C6350),MONTH(C6350),"")</f>
        <v/>
      </c>
      <c r="X6350" s="23" t="str">
        <f aca="false">IF(T6350="","",IF(T6350=0,"No discount",IF(T6350&lt;=0.2,"Low (1-20%)",IF(T6350&lt;=0.4,"Medium (21-40%)","High (&gt;40%)"))))</f>
        <v/>
      </c>
      <c r="Y6350" s="23" t="str">
        <f aca="false">IF(AND(ISNUMBER(C6350),ISNUMBER(D6350)),D6350-C6350,"")</f>
        <v/>
      </c>
      <c r="Z6350" s="23" t="str">
        <f aca="false">IF(B6350="","",IF(MATCH(B6350,$B$2:$B$12000,0)=ROW()-1,1,0))</f>
        <v/>
      </c>
    </row>
    <row r="6351" customFormat="false" ht="15" hidden="false" customHeight="false" outlineLevel="0" collapsed="false">
      <c r="V6351" s="23" t="str">
        <f aca="false">IF(ISNUMBER(C6351),YEAR(C6351),"")</f>
        <v/>
      </c>
      <c r="W6351" s="23" t="str">
        <f aca="false">IF(ISNUMBER(C6351),MONTH(C6351),"")</f>
        <v/>
      </c>
      <c r="X6351" s="23" t="str">
        <f aca="false">IF(T6351="","",IF(T6351=0,"No discount",IF(T6351&lt;=0.2,"Low (1-20%)",IF(T6351&lt;=0.4,"Medium (21-40%)","High (&gt;40%)"))))</f>
        <v/>
      </c>
      <c r="Y6351" s="23" t="str">
        <f aca="false">IF(AND(ISNUMBER(C6351),ISNUMBER(D6351)),D6351-C6351,"")</f>
        <v/>
      </c>
      <c r="Z6351" s="23" t="str">
        <f aca="false">IF(B6351="","",IF(MATCH(B6351,$B$2:$B$12000,0)=ROW()-1,1,0))</f>
        <v/>
      </c>
    </row>
    <row r="6352" customFormat="false" ht="15" hidden="false" customHeight="false" outlineLevel="0" collapsed="false">
      <c r="V6352" s="23" t="str">
        <f aca="false">IF(ISNUMBER(C6352),YEAR(C6352),"")</f>
        <v/>
      </c>
      <c r="W6352" s="23" t="str">
        <f aca="false">IF(ISNUMBER(C6352),MONTH(C6352),"")</f>
        <v/>
      </c>
      <c r="X6352" s="23" t="str">
        <f aca="false">IF(T6352="","",IF(T6352=0,"No discount",IF(T6352&lt;=0.2,"Low (1-20%)",IF(T6352&lt;=0.4,"Medium (21-40%)","High (&gt;40%)"))))</f>
        <v/>
      </c>
      <c r="Y6352" s="23" t="str">
        <f aca="false">IF(AND(ISNUMBER(C6352),ISNUMBER(D6352)),D6352-C6352,"")</f>
        <v/>
      </c>
      <c r="Z6352" s="23" t="str">
        <f aca="false">IF(B6352="","",IF(MATCH(B6352,$B$2:$B$12000,0)=ROW()-1,1,0))</f>
        <v/>
      </c>
    </row>
    <row r="6353" customFormat="false" ht="15" hidden="false" customHeight="false" outlineLevel="0" collapsed="false">
      <c r="V6353" s="23" t="str">
        <f aca="false">IF(ISNUMBER(C6353),YEAR(C6353),"")</f>
        <v/>
      </c>
      <c r="W6353" s="23" t="str">
        <f aca="false">IF(ISNUMBER(C6353),MONTH(C6353),"")</f>
        <v/>
      </c>
      <c r="X6353" s="23" t="str">
        <f aca="false">IF(T6353="","",IF(T6353=0,"No discount",IF(T6353&lt;=0.2,"Low (1-20%)",IF(T6353&lt;=0.4,"Medium (21-40%)","High (&gt;40%)"))))</f>
        <v/>
      </c>
      <c r="Y6353" s="23" t="str">
        <f aca="false">IF(AND(ISNUMBER(C6353),ISNUMBER(D6353)),D6353-C6353,"")</f>
        <v/>
      </c>
      <c r="Z6353" s="23" t="str">
        <f aca="false">IF(B6353="","",IF(MATCH(B6353,$B$2:$B$12000,0)=ROW()-1,1,0))</f>
        <v/>
      </c>
    </row>
    <row r="6354" customFormat="false" ht="15" hidden="false" customHeight="false" outlineLevel="0" collapsed="false">
      <c r="V6354" s="23" t="str">
        <f aca="false">IF(ISNUMBER(C6354),YEAR(C6354),"")</f>
        <v/>
      </c>
      <c r="W6354" s="23" t="str">
        <f aca="false">IF(ISNUMBER(C6354),MONTH(C6354),"")</f>
        <v/>
      </c>
      <c r="X6354" s="23" t="str">
        <f aca="false">IF(T6354="","",IF(T6354=0,"No discount",IF(T6354&lt;=0.2,"Low (1-20%)",IF(T6354&lt;=0.4,"Medium (21-40%)","High (&gt;40%)"))))</f>
        <v/>
      </c>
      <c r="Y6354" s="23" t="str">
        <f aca="false">IF(AND(ISNUMBER(C6354),ISNUMBER(D6354)),D6354-C6354,"")</f>
        <v/>
      </c>
      <c r="Z6354" s="23" t="str">
        <f aca="false">IF(B6354="","",IF(MATCH(B6354,$B$2:$B$12000,0)=ROW()-1,1,0))</f>
        <v/>
      </c>
    </row>
    <row r="6355" customFormat="false" ht="15" hidden="false" customHeight="false" outlineLevel="0" collapsed="false">
      <c r="V6355" s="23" t="str">
        <f aca="false">IF(ISNUMBER(C6355),YEAR(C6355),"")</f>
        <v/>
      </c>
      <c r="W6355" s="23" t="str">
        <f aca="false">IF(ISNUMBER(C6355),MONTH(C6355),"")</f>
        <v/>
      </c>
      <c r="X6355" s="23" t="str">
        <f aca="false">IF(T6355="","",IF(T6355=0,"No discount",IF(T6355&lt;=0.2,"Low (1-20%)",IF(T6355&lt;=0.4,"Medium (21-40%)","High (&gt;40%)"))))</f>
        <v/>
      </c>
      <c r="Y6355" s="23" t="str">
        <f aca="false">IF(AND(ISNUMBER(C6355),ISNUMBER(D6355)),D6355-C6355,"")</f>
        <v/>
      </c>
      <c r="Z6355" s="23" t="str">
        <f aca="false">IF(B6355="","",IF(MATCH(B6355,$B$2:$B$12000,0)=ROW()-1,1,0))</f>
        <v/>
      </c>
    </row>
    <row r="6356" customFormat="false" ht="15" hidden="false" customHeight="false" outlineLevel="0" collapsed="false">
      <c r="V6356" s="23" t="str">
        <f aca="false">IF(ISNUMBER(C6356),YEAR(C6356),"")</f>
        <v/>
      </c>
      <c r="W6356" s="23" t="str">
        <f aca="false">IF(ISNUMBER(C6356),MONTH(C6356),"")</f>
        <v/>
      </c>
      <c r="X6356" s="23" t="str">
        <f aca="false">IF(T6356="","",IF(T6356=0,"No discount",IF(T6356&lt;=0.2,"Low (1-20%)",IF(T6356&lt;=0.4,"Medium (21-40%)","High (&gt;40%)"))))</f>
        <v/>
      </c>
      <c r="Y6356" s="23" t="str">
        <f aca="false">IF(AND(ISNUMBER(C6356),ISNUMBER(D6356)),D6356-C6356,"")</f>
        <v/>
      </c>
      <c r="Z6356" s="23" t="str">
        <f aca="false">IF(B6356="","",IF(MATCH(B6356,$B$2:$B$12000,0)=ROW()-1,1,0))</f>
        <v/>
      </c>
    </row>
    <row r="6357" customFormat="false" ht="15" hidden="false" customHeight="false" outlineLevel="0" collapsed="false">
      <c r="V6357" s="23" t="str">
        <f aca="false">IF(ISNUMBER(C6357),YEAR(C6357),"")</f>
        <v/>
      </c>
      <c r="W6357" s="23" t="str">
        <f aca="false">IF(ISNUMBER(C6357),MONTH(C6357),"")</f>
        <v/>
      </c>
      <c r="X6357" s="23" t="str">
        <f aca="false">IF(T6357="","",IF(T6357=0,"No discount",IF(T6357&lt;=0.2,"Low (1-20%)",IF(T6357&lt;=0.4,"Medium (21-40%)","High (&gt;40%)"))))</f>
        <v/>
      </c>
      <c r="Y6357" s="23" t="str">
        <f aca="false">IF(AND(ISNUMBER(C6357),ISNUMBER(D6357)),D6357-C6357,"")</f>
        <v/>
      </c>
      <c r="Z6357" s="23" t="str">
        <f aca="false">IF(B6357="","",IF(MATCH(B6357,$B$2:$B$12000,0)=ROW()-1,1,0))</f>
        <v/>
      </c>
    </row>
    <row r="6358" customFormat="false" ht="15" hidden="false" customHeight="false" outlineLevel="0" collapsed="false">
      <c r="V6358" s="23" t="str">
        <f aca="false">IF(ISNUMBER(C6358),YEAR(C6358),"")</f>
        <v/>
      </c>
      <c r="W6358" s="23" t="str">
        <f aca="false">IF(ISNUMBER(C6358),MONTH(C6358),"")</f>
        <v/>
      </c>
      <c r="X6358" s="23" t="str">
        <f aca="false">IF(T6358="","",IF(T6358=0,"No discount",IF(T6358&lt;=0.2,"Low (1-20%)",IF(T6358&lt;=0.4,"Medium (21-40%)","High (&gt;40%)"))))</f>
        <v/>
      </c>
      <c r="Y6358" s="23" t="str">
        <f aca="false">IF(AND(ISNUMBER(C6358),ISNUMBER(D6358)),D6358-C6358,"")</f>
        <v/>
      </c>
      <c r="Z6358" s="23" t="str">
        <f aca="false">IF(B6358="","",IF(MATCH(B6358,$B$2:$B$12000,0)=ROW()-1,1,0))</f>
        <v/>
      </c>
    </row>
    <row r="6359" customFormat="false" ht="15" hidden="false" customHeight="false" outlineLevel="0" collapsed="false">
      <c r="V6359" s="23" t="str">
        <f aca="false">IF(ISNUMBER(C6359),YEAR(C6359),"")</f>
        <v/>
      </c>
      <c r="W6359" s="23" t="str">
        <f aca="false">IF(ISNUMBER(C6359),MONTH(C6359),"")</f>
        <v/>
      </c>
      <c r="X6359" s="23" t="str">
        <f aca="false">IF(T6359="","",IF(T6359=0,"No discount",IF(T6359&lt;=0.2,"Low (1-20%)",IF(T6359&lt;=0.4,"Medium (21-40%)","High (&gt;40%)"))))</f>
        <v/>
      </c>
      <c r="Y6359" s="23" t="str">
        <f aca="false">IF(AND(ISNUMBER(C6359),ISNUMBER(D6359)),D6359-C6359,"")</f>
        <v/>
      </c>
      <c r="Z6359" s="23" t="str">
        <f aca="false">IF(B6359="","",IF(MATCH(B6359,$B$2:$B$12000,0)=ROW()-1,1,0))</f>
        <v/>
      </c>
    </row>
    <row r="6360" customFormat="false" ht="15" hidden="false" customHeight="false" outlineLevel="0" collapsed="false">
      <c r="V6360" s="23" t="str">
        <f aca="false">IF(ISNUMBER(C6360),YEAR(C6360),"")</f>
        <v/>
      </c>
      <c r="W6360" s="23" t="str">
        <f aca="false">IF(ISNUMBER(C6360),MONTH(C6360),"")</f>
        <v/>
      </c>
      <c r="X6360" s="23" t="str">
        <f aca="false">IF(T6360="","",IF(T6360=0,"No discount",IF(T6360&lt;=0.2,"Low (1-20%)",IF(T6360&lt;=0.4,"Medium (21-40%)","High (&gt;40%)"))))</f>
        <v/>
      </c>
      <c r="Y6360" s="23" t="str">
        <f aca="false">IF(AND(ISNUMBER(C6360),ISNUMBER(D6360)),D6360-C6360,"")</f>
        <v/>
      </c>
      <c r="Z6360" s="23" t="str">
        <f aca="false">IF(B6360="","",IF(MATCH(B6360,$B$2:$B$12000,0)=ROW()-1,1,0))</f>
        <v/>
      </c>
    </row>
    <row r="6361" customFormat="false" ht="15" hidden="false" customHeight="false" outlineLevel="0" collapsed="false">
      <c r="V6361" s="23" t="str">
        <f aca="false">IF(ISNUMBER(C6361),YEAR(C6361),"")</f>
        <v/>
      </c>
      <c r="W6361" s="23" t="str">
        <f aca="false">IF(ISNUMBER(C6361),MONTH(C6361),"")</f>
        <v/>
      </c>
      <c r="X6361" s="23" t="str">
        <f aca="false">IF(T6361="","",IF(T6361=0,"No discount",IF(T6361&lt;=0.2,"Low (1-20%)",IF(T6361&lt;=0.4,"Medium (21-40%)","High (&gt;40%)"))))</f>
        <v/>
      </c>
      <c r="Y6361" s="23" t="str">
        <f aca="false">IF(AND(ISNUMBER(C6361),ISNUMBER(D6361)),D6361-C6361,"")</f>
        <v/>
      </c>
      <c r="Z6361" s="23" t="str">
        <f aca="false">IF(B6361="","",IF(MATCH(B6361,$B$2:$B$12000,0)=ROW()-1,1,0))</f>
        <v/>
      </c>
    </row>
    <row r="6362" customFormat="false" ht="15" hidden="false" customHeight="false" outlineLevel="0" collapsed="false">
      <c r="V6362" s="23" t="str">
        <f aca="false">IF(ISNUMBER(C6362),YEAR(C6362),"")</f>
        <v/>
      </c>
      <c r="W6362" s="23" t="str">
        <f aca="false">IF(ISNUMBER(C6362),MONTH(C6362),"")</f>
        <v/>
      </c>
      <c r="X6362" s="23" t="str">
        <f aca="false">IF(T6362="","",IF(T6362=0,"No discount",IF(T6362&lt;=0.2,"Low (1-20%)",IF(T6362&lt;=0.4,"Medium (21-40%)","High (&gt;40%)"))))</f>
        <v/>
      </c>
      <c r="Y6362" s="23" t="str">
        <f aca="false">IF(AND(ISNUMBER(C6362),ISNUMBER(D6362)),D6362-C6362,"")</f>
        <v/>
      </c>
      <c r="Z6362" s="23" t="str">
        <f aca="false">IF(B6362="","",IF(MATCH(B6362,$B$2:$B$12000,0)=ROW()-1,1,0))</f>
        <v/>
      </c>
    </row>
    <row r="6363" customFormat="false" ht="15" hidden="false" customHeight="false" outlineLevel="0" collapsed="false">
      <c r="V6363" s="23" t="str">
        <f aca="false">IF(ISNUMBER(C6363),YEAR(C6363),"")</f>
        <v/>
      </c>
      <c r="W6363" s="23" t="str">
        <f aca="false">IF(ISNUMBER(C6363),MONTH(C6363),"")</f>
        <v/>
      </c>
      <c r="X6363" s="23" t="str">
        <f aca="false">IF(T6363="","",IF(T6363=0,"No discount",IF(T6363&lt;=0.2,"Low (1-20%)",IF(T6363&lt;=0.4,"Medium (21-40%)","High (&gt;40%)"))))</f>
        <v/>
      </c>
      <c r="Y6363" s="23" t="str">
        <f aca="false">IF(AND(ISNUMBER(C6363),ISNUMBER(D6363)),D6363-C6363,"")</f>
        <v/>
      </c>
      <c r="Z6363" s="23" t="str">
        <f aca="false">IF(B6363="","",IF(MATCH(B6363,$B$2:$B$12000,0)=ROW()-1,1,0))</f>
        <v/>
      </c>
    </row>
    <row r="6364" customFormat="false" ht="15" hidden="false" customHeight="false" outlineLevel="0" collapsed="false">
      <c r="V6364" s="23" t="str">
        <f aca="false">IF(ISNUMBER(C6364),YEAR(C6364),"")</f>
        <v/>
      </c>
      <c r="W6364" s="23" t="str">
        <f aca="false">IF(ISNUMBER(C6364),MONTH(C6364),"")</f>
        <v/>
      </c>
      <c r="X6364" s="23" t="str">
        <f aca="false">IF(T6364="","",IF(T6364=0,"No discount",IF(T6364&lt;=0.2,"Low (1-20%)",IF(T6364&lt;=0.4,"Medium (21-40%)","High (&gt;40%)"))))</f>
        <v/>
      </c>
      <c r="Y6364" s="23" t="str">
        <f aca="false">IF(AND(ISNUMBER(C6364),ISNUMBER(D6364)),D6364-C6364,"")</f>
        <v/>
      </c>
      <c r="Z6364" s="23" t="str">
        <f aca="false">IF(B6364="","",IF(MATCH(B6364,$B$2:$B$12000,0)=ROW()-1,1,0))</f>
        <v/>
      </c>
    </row>
    <row r="6365" customFormat="false" ht="15" hidden="false" customHeight="false" outlineLevel="0" collapsed="false">
      <c r="V6365" s="23" t="str">
        <f aca="false">IF(ISNUMBER(C6365),YEAR(C6365),"")</f>
        <v/>
      </c>
      <c r="W6365" s="23" t="str">
        <f aca="false">IF(ISNUMBER(C6365),MONTH(C6365),"")</f>
        <v/>
      </c>
      <c r="X6365" s="23" t="str">
        <f aca="false">IF(T6365="","",IF(T6365=0,"No discount",IF(T6365&lt;=0.2,"Low (1-20%)",IF(T6365&lt;=0.4,"Medium (21-40%)","High (&gt;40%)"))))</f>
        <v/>
      </c>
      <c r="Y6365" s="23" t="str">
        <f aca="false">IF(AND(ISNUMBER(C6365),ISNUMBER(D6365)),D6365-C6365,"")</f>
        <v/>
      </c>
      <c r="Z6365" s="23" t="str">
        <f aca="false">IF(B6365="","",IF(MATCH(B6365,$B$2:$B$12000,0)=ROW()-1,1,0))</f>
        <v/>
      </c>
    </row>
    <row r="6366" customFormat="false" ht="15" hidden="false" customHeight="false" outlineLevel="0" collapsed="false">
      <c r="V6366" s="23" t="str">
        <f aca="false">IF(ISNUMBER(C6366),YEAR(C6366),"")</f>
        <v/>
      </c>
      <c r="W6366" s="23" t="str">
        <f aca="false">IF(ISNUMBER(C6366),MONTH(C6366),"")</f>
        <v/>
      </c>
      <c r="X6366" s="23" t="str">
        <f aca="false">IF(T6366="","",IF(T6366=0,"No discount",IF(T6366&lt;=0.2,"Low (1-20%)",IF(T6366&lt;=0.4,"Medium (21-40%)","High (&gt;40%)"))))</f>
        <v/>
      </c>
      <c r="Y6366" s="23" t="str">
        <f aca="false">IF(AND(ISNUMBER(C6366),ISNUMBER(D6366)),D6366-C6366,"")</f>
        <v/>
      </c>
      <c r="Z6366" s="23" t="str">
        <f aca="false">IF(B6366="","",IF(MATCH(B6366,$B$2:$B$12000,0)=ROW()-1,1,0))</f>
        <v/>
      </c>
    </row>
    <row r="6367" customFormat="false" ht="15" hidden="false" customHeight="false" outlineLevel="0" collapsed="false">
      <c r="V6367" s="23" t="str">
        <f aca="false">IF(ISNUMBER(C6367),YEAR(C6367),"")</f>
        <v/>
      </c>
      <c r="W6367" s="23" t="str">
        <f aca="false">IF(ISNUMBER(C6367),MONTH(C6367),"")</f>
        <v/>
      </c>
      <c r="X6367" s="23" t="str">
        <f aca="false">IF(T6367="","",IF(T6367=0,"No discount",IF(T6367&lt;=0.2,"Low (1-20%)",IF(T6367&lt;=0.4,"Medium (21-40%)","High (&gt;40%)"))))</f>
        <v/>
      </c>
      <c r="Y6367" s="23" t="str">
        <f aca="false">IF(AND(ISNUMBER(C6367),ISNUMBER(D6367)),D6367-C6367,"")</f>
        <v/>
      </c>
      <c r="Z6367" s="23" t="str">
        <f aca="false">IF(B6367="","",IF(MATCH(B6367,$B$2:$B$12000,0)=ROW()-1,1,0))</f>
        <v/>
      </c>
    </row>
    <row r="6368" customFormat="false" ht="15" hidden="false" customHeight="false" outlineLevel="0" collapsed="false">
      <c r="V6368" s="23" t="str">
        <f aca="false">IF(ISNUMBER(C6368),YEAR(C6368),"")</f>
        <v/>
      </c>
      <c r="W6368" s="23" t="str">
        <f aca="false">IF(ISNUMBER(C6368),MONTH(C6368),"")</f>
        <v/>
      </c>
      <c r="X6368" s="23" t="str">
        <f aca="false">IF(T6368="","",IF(T6368=0,"No discount",IF(T6368&lt;=0.2,"Low (1-20%)",IF(T6368&lt;=0.4,"Medium (21-40%)","High (&gt;40%)"))))</f>
        <v/>
      </c>
      <c r="Y6368" s="23" t="str">
        <f aca="false">IF(AND(ISNUMBER(C6368),ISNUMBER(D6368)),D6368-C6368,"")</f>
        <v/>
      </c>
      <c r="Z6368" s="23" t="str">
        <f aca="false">IF(B6368="","",IF(MATCH(B6368,$B$2:$B$12000,0)=ROW()-1,1,0))</f>
        <v/>
      </c>
    </row>
    <row r="6369" customFormat="false" ht="15" hidden="false" customHeight="false" outlineLevel="0" collapsed="false">
      <c r="V6369" s="23" t="str">
        <f aca="false">IF(ISNUMBER(C6369),YEAR(C6369),"")</f>
        <v/>
      </c>
      <c r="W6369" s="23" t="str">
        <f aca="false">IF(ISNUMBER(C6369),MONTH(C6369),"")</f>
        <v/>
      </c>
      <c r="X6369" s="23" t="str">
        <f aca="false">IF(T6369="","",IF(T6369=0,"No discount",IF(T6369&lt;=0.2,"Low (1-20%)",IF(T6369&lt;=0.4,"Medium (21-40%)","High (&gt;40%)"))))</f>
        <v/>
      </c>
      <c r="Y6369" s="23" t="str">
        <f aca="false">IF(AND(ISNUMBER(C6369),ISNUMBER(D6369)),D6369-C6369,"")</f>
        <v/>
      </c>
      <c r="Z6369" s="23" t="str">
        <f aca="false">IF(B6369="","",IF(MATCH(B6369,$B$2:$B$12000,0)=ROW()-1,1,0))</f>
        <v/>
      </c>
    </row>
    <row r="6370" customFormat="false" ht="15" hidden="false" customHeight="false" outlineLevel="0" collapsed="false">
      <c r="V6370" s="23" t="str">
        <f aca="false">IF(ISNUMBER(C6370),YEAR(C6370),"")</f>
        <v/>
      </c>
      <c r="W6370" s="23" t="str">
        <f aca="false">IF(ISNUMBER(C6370),MONTH(C6370),"")</f>
        <v/>
      </c>
      <c r="X6370" s="23" t="str">
        <f aca="false">IF(T6370="","",IF(T6370=0,"No discount",IF(T6370&lt;=0.2,"Low (1-20%)",IF(T6370&lt;=0.4,"Medium (21-40%)","High (&gt;40%)"))))</f>
        <v/>
      </c>
      <c r="Y6370" s="23" t="str">
        <f aca="false">IF(AND(ISNUMBER(C6370),ISNUMBER(D6370)),D6370-C6370,"")</f>
        <v/>
      </c>
      <c r="Z6370" s="23" t="str">
        <f aca="false">IF(B6370="","",IF(MATCH(B6370,$B$2:$B$12000,0)=ROW()-1,1,0))</f>
        <v/>
      </c>
    </row>
    <row r="6371" customFormat="false" ht="15" hidden="false" customHeight="false" outlineLevel="0" collapsed="false">
      <c r="V6371" s="23" t="str">
        <f aca="false">IF(ISNUMBER(C6371),YEAR(C6371),"")</f>
        <v/>
      </c>
      <c r="W6371" s="23" t="str">
        <f aca="false">IF(ISNUMBER(C6371),MONTH(C6371),"")</f>
        <v/>
      </c>
      <c r="X6371" s="23" t="str">
        <f aca="false">IF(T6371="","",IF(T6371=0,"No discount",IF(T6371&lt;=0.2,"Low (1-20%)",IF(T6371&lt;=0.4,"Medium (21-40%)","High (&gt;40%)"))))</f>
        <v/>
      </c>
      <c r="Y6371" s="23" t="str">
        <f aca="false">IF(AND(ISNUMBER(C6371),ISNUMBER(D6371)),D6371-C6371,"")</f>
        <v/>
      </c>
      <c r="Z6371" s="23" t="str">
        <f aca="false">IF(B6371="","",IF(MATCH(B6371,$B$2:$B$12000,0)=ROW()-1,1,0))</f>
        <v/>
      </c>
    </row>
    <row r="6372" customFormat="false" ht="15" hidden="false" customHeight="false" outlineLevel="0" collapsed="false">
      <c r="V6372" s="23" t="str">
        <f aca="false">IF(ISNUMBER(C6372),YEAR(C6372),"")</f>
        <v/>
      </c>
      <c r="W6372" s="23" t="str">
        <f aca="false">IF(ISNUMBER(C6372),MONTH(C6372),"")</f>
        <v/>
      </c>
      <c r="X6372" s="23" t="str">
        <f aca="false">IF(T6372="","",IF(T6372=0,"No discount",IF(T6372&lt;=0.2,"Low (1-20%)",IF(T6372&lt;=0.4,"Medium (21-40%)","High (&gt;40%)"))))</f>
        <v/>
      </c>
      <c r="Y6372" s="23" t="str">
        <f aca="false">IF(AND(ISNUMBER(C6372),ISNUMBER(D6372)),D6372-C6372,"")</f>
        <v/>
      </c>
      <c r="Z6372" s="23" t="str">
        <f aca="false">IF(B6372="","",IF(MATCH(B6372,$B$2:$B$12000,0)=ROW()-1,1,0))</f>
        <v/>
      </c>
    </row>
    <row r="6373" customFormat="false" ht="15" hidden="false" customHeight="false" outlineLevel="0" collapsed="false">
      <c r="V6373" s="23" t="str">
        <f aca="false">IF(ISNUMBER(C6373),YEAR(C6373),"")</f>
        <v/>
      </c>
      <c r="W6373" s="23" t="str">
        <f aca="false">IF(ISNUMBER(C6373),MONTH(C6373),"")</f>
        <v/>
      </c>
      <c r="X6373" s="23" t="str">
        <f aca="false">IF(T6373="","",IF(T6373=0,"No discount",IF(T6373&lt;=0.2,"Low (1-20%)",IF(T6373&lt;=0.4,"Medium (21-40%)","High (&gt;40%)"))))</f>
        <v/>
      </c>
      <c r="Y6373" s="23" t="str">
        <f aca="false">IF(AND(ISNUMBER(C6373),ISNUMBER(D6373)),D6373-C6373,"")</f>
        <v/>
      </c>
      <c r="Z6373" s="23" t="str">
        <f aca="false">IF(B6373="","",IF(MATCH(B6373,$B$2:$B$12000,0)=ROW()-1,1,0))</f>
        <v/>
      </c>
    </row>
    <row r="6374" customFormat="false" ht="15" hidden="false" customHeight="false" outlineLevel="0" collapsed="false">
      <c r="V6374" s="23" t="str">
        <f aca="false">IF(ISNUMBER(C6374),YEAR(C6374),"")</f>
        <v/>
      </c>
      <c r="W6374" s="23" t="str">
        <f aca="false">IF(ISNUMBER(C6374),MONTH(C6374),"")</f>
        <v/>
      </c>
      <c r="X6374" s="23" t="str">
        <f aca="false">IF(T6374="","",IF(T6374=0,"No discount",IF(T6374&lt;=0.2,"Low (1-20%)",IF(T6374&lt;=0.4,"Medium (21-40%)","High (&gt;40%)"))))</f>
        <v/>
      </c>
      <c r="Y6374" s="23" t="str">
        <f aca="false">IF(AND(ISNUMBER(C6374),ISNUMBER(D6374)),D6374-C6374,"")</f>
        <v/>
      </c>
      <c r="Z6374" s="23" t="str">
        <f aca="false">IF(B6374="","",IF(MATCH(B6374,$B$2:$B$12000,0)=ROW()-1,1,0))</f>
        <v/>
      </c>
    </row>
    <row r="6375" customFormat="false" ht="15" hidden="false" customHeight="false" outlineLevel="0" collapsed="false">
      <c r="V6375" s="23" t="str">
        <f aca="false">IF(ISNUMBER(C6375),YEAR(C6375),"")</f>
        <v/>
      </c>
      <c r="W6375" s="23" t="str">
        <f aca="false">IF(ISNUMBER(C6375),MONTH(C6375),"")</f>
        <v/>
      </c>
      <c r="X6375" s="23" t="str">
        <f aca="false">IF(T6375="","",IF(T6375=0,"No discount",IF(T6375&lt;=0.2,"Low (1-20%)",IF(T6375&lt;=0.4,"Medium (21-40%)","High (&gt;40%)"))))</f>
        <v/>
      </c>
      <c r="Y6375" s="23" t="str">
        <f aca="false">IF(AND(ISNUMBER(C6375),ISNUMBER(D6375)),D6375-C6375,"")</f>
        <v/>
      </c>
      <c r="Z6375" s="23" t="str">
        <f aca="false">IF(B6375="","",IF(MATCH(B6375,$B$2:$B$12000,0)=ROW()-1,1,0))</f>
        <v/>
      </c>
    </row>
    <row r="6376" customFormat="false" ht="15" hidden="false" customHeight="false" outlineLevel="0" collapsed="false">
      <c r="V6376" s="23" t="str">
        <f aca="false">IF(ISNUMBER(C6376),YEAR(C6376),"")</f>
        <v/>
      </c>
      <c r="W6376" s="23" t="str">
        <f aca="false">IF(ISNUMBER(C6376),MONTH(C6376),"")</f>
        <v/>
      </c>
      <c r="X6376" s="23" t="str">
        <f aca="false">IF(T6376="","",IF(T6376=0,"No discount",IF(T6376&lt;=0.2,"Low (1-20%)",IF(T6376&lt;=0.4,"Medium (21-40%)","High (&gt;40%)"))))</f>
        <v/>
      </c>
      <c r="Y6376" s="23" t="str">
        <f aca="false">IF(AND(ISNUMBER(C6376),ISNUMBER(D6376)),D6376-C6376,"")</f>
        <v/>
      </c>
      <c r="Z6376" s="23" t="str">
        <f aca="false">IF(B6376="","",IF(MATCH(B6376,$B$2:$B$12000,0)=ROW()-1,1,0))</f>
        <v/>
      </c>
    </row>
    <row r="6377" customFormat="false" ht="15" hidden="false" customHeight="false" outlineLevel="0" collapsed="false">
      <c r="V6377" s="23" t="str">
        <f aca="false">IF(ISNUMBER(C6377),YEAR(C6377),"")</f>
        <v/>
      </c>
      <c r="W6377" s="23" t="str">
        <f aca="false">IF(ISNUMBER(C6377),MONTH(C6377),"")</f>
        <v/>
      </c>
      <c r="X6377" s="23" t="str">
        <f aca="false">IF(T6377="","",IF(T6377=0,"No discount",IF(T6377&lt;=0.2,"Low (1-20%)",IF(T6377&lt;=0.4,"Medium (21-40%)","High (&gt;40%)"))))</f>
        <v/>
      </c>
      <c r="Y6377" s="23" t="str">
        <f aca="false">IF(AND(ISNUMBER(C6377),ISNUMBER(D6377)),D6377-C6377,"")</f>
        <v/>
      </c>
      <c r="Z6377" s="23" t="str">
        <f aca="false">IF(B6377="","",IF(MATCH(B6377,$B$2:$B$12000,0)=ROW()-1,1,0))</f>
        <v/>
      </c>
    </row>
    <row r="6378" customFormat="false" ht="15" hidden="false" customHeight="false" outlineLevel="0" collapsed="false">
      <c r="V6378" s="23" t="str">
        <f aca="false">IF(ISNUMBER(C6378),YEAR(C6378),"")</f>
        <v/>
      </c>
      <c r="W6378" s="23" t="str">
        <f aca="false">IF(ISNUMBER(C6378),MONTH(C6378),"")</f>
        <v/>
      </c>
      <c r="X6378" s="23" t="str">
        <f aca="false">IF(T6378="","",IF(T6378=0,"No discount",IF(T6378&lt;=0.2,"Low (1-20%)",IF(T6378&lt;=0.4,"Medium (21-40%)","High (&gt;40%)"))))</f>
        <v/>
      </c>
      <c r="Y6378" s="23" t="str">
        <f aca="false">IF(AND(ISNUMBER(C6378),ISNUMBER(D6378)),D6378-C6378,"")</f>
        <v/>
      </c>
      <c r="Z6378" s="23" t="str">
        <f aca="false">IF(B6378="","",IF(MATCH(B6378,$B$2:$B$12000,0)=ROW()-1,1,0))</f>
        <v/>
      </c>
    </row>
    <row r="6379" customFormat="false" ht="15" hidden="false" customHeight="false" outlineLevel="0" collapsed="false">
      <c r="V6379" s="23" t="str">
        <f aca="false">IF(ISNUMBER(C6379),YEAR(C6379),"")</f>
        <v/>
      </c>
      <c r="W6379" s="23" t="str">
        <f aca="false">IF(ISNUMBER(C6379),MONTH(C6379),"")</f>
        <v/>
      </c>
      <c r="X6379" s="23" t="str">
        <f aca="false">IF(T6379="","",IF(T6379=0,"No discount",IF(T6379&lt;=0.2,"Low (1-20%)",IF(T6379&lt;=0.4,"Medium (21-40%)","High (&gt;40%)"))))</f>
        <v/>
      </c>
      <c r="Y6379" s="23" t="str">
        <f aca="false">IF(AND(ISNUMBER(C6379),ISNUMBER(D6379)),D6379-C6379,"")</f>
        <v/>
      </c>
      <c r="Z6379" s="23" t="str">
        <f aca="false">IF(B6379="","",IF(MATCH(B6379,$B$2:$B$12000,0)=ROW()-1,1,0))</f>
        <v/>
      </c>
    </row>
    <row r="6380" customFormat="false" ht="15" hidden="false" customHeight="false" outlineLevel="0" collapsed="false">
      <c r="V6380" s="23" t="str">
        <f aca="false">IF(ISNUMBER(C6380),YEAR(C6380),"")</f>
        <v/>
      </c>
      <c r="W6380" s="23" t="str">
        <f aca="false">IF(ISNUMBER(C6380),MONTH(C6380),"")</f>
        <v/>
      </c>
      <c r="X6380" s="23" t="str">
        <f aca="false">IF(T6380="","",IF(T6380=0,"No discount",IF(T6380&lt;=0.2,"Low (1-20%)",IF(T6380&lt;=0.4,"Medium (21-40%)","High (&gt;40%)"))))</f>
        <v/>
      </c>
      <c r="Y6380" s="23" t="str">
        <f aca="false">IF(AND(ISNUMBER(C6380),ISNUMBER(D6380)),D6380-C6380,"")</f>
        <v/>
      </c>
      <c r="Z6380" s="23" t="str">
        <f aca="false">IF(B6380="","",IF(MATCH(B6380,$B$2:$B$12000,0)=ROW()-1,1,0))</f>
        <v/>
      </c>
    </row>
    <row r="6381" customFormat="false" ht="15" hidden="false" customHeight="false" outlineLevel="0" collapsed="false">
      <c r="V6381" s="23" t="str">
        <f aca="false">IF(ISNUMBER(C6381),YEAR(C6381),"")</f>
        <v/>
      </c>
      <c r="W6381" s="23" t="str">
        <f aca="false">IF(ISNUMBER(C6381),MONTH(C6381),"")</f>
        <v/>
      </c>
      <c r="X6381" s="23" t="str">
        <f aca="false">IF(T6381="","",IF(T6381=0,"No discount",IF(T6381&lt;=0.2,"Low (1-20%)",IF(T6381&lt;=0.4,"Medium (21-40%)","High (&gt;40%)"))))</f>
        <v/>
      </c>
      <c r="Y6381" s="23" t="str">
        <f aca="false">IF(AND(ISNUMBER(C6381),ISNUMBER(D6381)),D6381-C6381,"")</f>
        <v/>
      </c>
      <c r="Z6381" s="23" t="str">
        <f aca="false">IF(B6381="","",IF(MATCH(B6381,$B$2:$B$12000,0)=ROW()-1,1,0))</f>
        <v/>
      </c>
    </row>
    <row r="6382" customFormat="false" ht="15" hidden="false" customHeight="false" outlineLevel="0" collapsed="false">
      <c r="V6382" s="23" t="str">
        <f aca="false">IF(ISNUMBER(C6382),YEAR(C6382),"")</f>
        <v/>
      </c>
      <c r="W6382" s="23" t="str">
        <f aca="false">IF(ISNUMBER(C6382),MONTH(C6382),"")</f>
        <v/>
      </c>
      <c r="X6382" s="23" t="str">
        <f aca="false">IF(T6382="","",IF(T6382=0,"No discount",IF(T6382&lt;=0.2,"Low (1-20%)",IF(T6382&lt;=0.4,"Medium (21-40%)","High (&gt;40%)"))))</f>
        <v/>
      </c>
      <c r="Y6382" s="23" t="str">
        <f aca="false">IF(AND(ISNUMBER(C6382),ISNUMBER(D6382)),D6382-C6382,"")</f>
        <v/>
      </c>
      <c r="Z6382" s="23" t="str">
        <f aca="false">IF(B6382="","",IF(MATCH(B6382,$B$2:$B$12000,0)=ROW()-1,1,0))</f>
        <v/>
      </c>
    </row>
    <row r="6383" customFormat="false" ht="15" hidden="false" customHeight="false" outlineLevel="0" collapsed="false">
      <c r="V6383" s="23" t="str">
        <f aca="false">IF(ISNUMBER(C6383),YEAR(C6383),"")</f>
        <v/>
      </c>
      <c r="W6383" s="23" t="str">
        <f aca="false">IF(ISNUMBER(C6383),MONTH(C6383),"")</f>
        <v/>
      </c>
      <c r="X6383" s="23" t="str">
        <f aca="false">IF(T6383="","",IF(T6383=0,"No discount",IF(T6383&lt;=0.2,"Low (1-20%)",IF(T6383&lt;=0.4,"Medium (21-40%)","High (&gt;40%)"))))</f>
        <v/>
      </c>
      <c r="Y6383" s="23" t="str">
        <f aca="false">IF(AND(ISNUMBER(C6383),ISNUMBER(D6383)),D6383-C6383,"")</f>
        <v/>
      </c>
      <c r="Z6383" s="23" t="str">
        <f aca="false">IF(B6383="","",IF(MATCH(B6383,$B$2:$B$12000,0)=ROW()-1,1,0))</f>
        <v/>
      </c>
    </row>
    <row r="6384" customFormat="false" ht="15" hidden="false" customHeight="false" outlineLevel="0" collapsed="false">
      <c r="V6384" s="23" t="str">
        <f aca="false">IF(ISNUMBER(C6384),YEAR(C6384),"")</f>
        <v/>
      </c>
      <c r="W6384" s="23" t="str">
        <f aca="false">IF(ISNUMBER(C6384),MONTH(C6384),"")</f>
        <v/>
      </c>
      <c r="X6384" s="23" t="str">
        <f aca="false">IF(T6384="","",IF(T6384=0,"No discount",IF(T6384&lt;=0.2,"Low (1-20%)",IF(T6384&lt;=0.4,"Medium (21-40%)","High (&gt;40%)"))))</f>
        <v/>
      </c>
      <c r="Y6384" s="23" t="str">
        <f aca="false">IF(AND(ISNUMBER(C6384),ISNUMBER(D6384)),D6384-C6384,"")</f>
        <v/>
      </c>
      <c r="Z6384" s="23" t="str">
        <f aca="false">IF(B6384="","",IF(MATCH(B6384,$B$2:$B$12000,0)=ROW()-1,1,0))</f>
        <v/>
      </c>
    </row>
    <row r="6385" customFormat="false" ht="15" hidden="false" customHeight="false" outlineLevel="0" collapsed="false">
      <c r="V6385" s="23" t="str">
        <f aca="false">IF(ISNUMBER(C6385),YEAR(C6385),"")</f>
        <v/>
      </c>
      <c r="W6385" s="23" t="str">
        <f aca="false">IF(ISNUMBER(C6385),MONTH(C6385),"")</f>
        <v/>
      </c>
      <c r="X6385" s="23" t="str">
        <f aca="false">IF(T6385="","",IF(T6385=0,"No discount",IF(T6385&lt;=0.2,"Low (1-20%)",IF(T6385&lt;=0.4,"Medium (21-40%)","High (&gt;40%)"))))</f>
        <v/>
      </c>
      <c r="Y6385" s="23" t="str">
        <f aca="false">IF(AND(ISNUMBER(C6385),ISNUMBER(D6385)),D6385-C6385,"")</f>
        <v/>
      </c>
      <c r="Z6385" s="23" t="str">
        <f aca="false">IF(B6385="","",IF(MATCH(B6385,$B$2:$B$12000,0)=ROW()-1,1,0))</f>
        <v/>
      </c>
    </row>
    <row r="6386" customFormat="false" ht="15" hidden="false" customHeight="false" outlineLevel="0" collapsed="false">
      <c r="V6386" s="23" t="str">
        <f aca="false">IF(ISNUMBER(C6386),YEAR(C6386),"")</f>
        <v/>
      </c>
      <c r="W6386" s="23" t="str">
        <f aca="false">IF(ISNUMBER(C6386),MONTH(C6386),"")</f>
        <v/>
      </c>
      <c r="X6386" s="23" t="str">
        <f aca="false">IF(T6386="","",IF(T6386=0,"No discount",IF(T6386&lt;=0.2,"Low (1-20%)",IF(T6386&lt;=0.4,"Medium (21-40%)","High (&gt;40%)"))))</f>
        <v/>
      </c>
      <c r="Y6386" s="23" t="str">
        <f aca="false">IF(AND(ISNUMBER(C6386),ISNUMBER(D6386)),D6386-C6386,"")</f>
        <v/>
      </c>
      <c r="Z6386" s="23" t="str">
        <f aca="false">IF(B6386="","",IF(MATCH(B6386,$B$2:$B$12000,0)=ROW()-1,1,0))</f>
        <v/>
      </c>
    </row>
    <row r="6387" customFormat="false" ht="15" hidden="false" customHeight="false" outlineLevel="0" collapsed="false">
      <c r="V6387" s="23" t="str">
        <f aca="false">IF(ISNUMBER(C6387),YEAR(C6387),"")</f>
        <v/>
      </c>
      <c r="W6387" s="23" t="str">
        <f aca="false">IF(ISNUMBER(C6387),MONTH(C6387),"")</f>
        <v/>
      </c>
      <c r="X6387" s="23" t="str">
        <f aca="false">IF(T6387="","",IF(T6387=0,"No discount",IF(T6387&lt;=0.2,"Low (1-20%)",IF(T6387&lt;=0.4,"Medium (21-40%)","High (&gt;40%)"))))</f>
        <v/>
      </c>
      <c r="Y6387" s="23" t="str">
        <f aca="false">IF(AND(ISNUMBER(C6387),ISNUMBER(D6387)),D6387-C6387,"")</f>
        <v/>
      </c>
      <c r="Z6387" s="23" t="str">
        <f aca="false">IF(B6387="","",IF(MATCH(B6387,$B$2:$B$12000,0)=ROW()-1,1,0))</f>
        <v/>
      </c>
    </row>
    <row r="6388" customFormat="false" ht="15" hidden="false" customHeight="false" outlineLevel="0" collapsed="false">
      <c r="V6388" s="23" t="str">
        <f aca="false">IF(ISNUMBER(C6388),YEAR(C6388),"")</f>
        <v/>
      </c>
      <c r="W6388" s="23" t="str">
        <f aca="false">IF(ISNUMBER(C6388),MONTH(C6388),"")</f>
        <v/>
      </c>
      <c r="X6388" s="23" t="str">
        <f aca="false">IF(T6388="","",IF(T6388=0,"No discount",IF(T6388&lt;=0.2,"Low (1-20%)",IF(T6388&lt;=0.4,"Medium (21-40%)","High (&gt;40%)"))))</f>
        <v/>
      </c>
      <c r="Y6388" s="23" t="str">
        <f aca="false">IF(AND(ISNUMBER(C6388),ISNUMBER(D6388)),D6388-C6388,"")</f>
        <v/>
      </c>
      <c r="Z6388" s="23" t="str">
        <f aca="false">IF(B6388="","",IF(MATCH(B6388,$B$2:$B$12000,0)=ROW()-1,1,0))</f>
        <v/>
      </c>
    </row>
    <row r="6389" customFormat="false" ht="15" hidden="false" customHeight="false" outlineLevel="0" collapsed="false">
      <c r="V6389" s="23" t="str">
        <f aca="false">IF(ISNUMBER(C6389),YEAR(C6389),"")</f>
        <v/>
      </c>
      <c r="W6389" s="23" t="str">
        <f aca="false">IF(ISNUMBER(C6389),MONTH(C6389),"")</f>
        <v/>
      </c>
      <c r="X6389" s="23" t="str">
        <f aca="false">IF(T6389="","",IF(T6389=0,"No discount",IF(T6389&lt;=0.2,"Low (1-20%)",IF(T6389&lt;=0.4,"Medium (21-40%)","High (&gt;40%)"))))</f>
        <v/>
      </c>
      <c r="Y6389" s="23" t="str">
        <f aca="false">IF(AND(ISNUMBER(C6389),ISNUMBER(D6389)),D6389-C6389,"")</f>
        <v/>
      </c>
      <c r="Z6389" s="23" t="str">
        <f aca="false">IF(B6389="","",IF(MATCH(B6389,$B$2:$B$12000,0)=ROW()-1,1,0))</f>
        <v/>
      </c>
    </row>
    <row r="6390" customFormat="false" ht="15" hidden="false" customHeight="false" outlineLevel="0" collapsed="false">
      <c r="V6390" s="23" t="str">
        <f aca="false">IF(ISNUMBER(C6390),YEAR(C6390),"")</f>
        <v/>
      </c>
      <c r="W6390" s="23" t="str">
        <f aca="false">IF(ISNUMBER(C6390),MONTH(C6390),"")</f>
        <v/>
      </c>
      <c r="X6390" s="23" t="str">
        <f aca="false">IF(T6390="","",IF(T6390=0,"No discount",IF(T6390&lt;=0.2,"Low (1-20%)",IF(T6390&lt;=0.4,"Medium (21-40%)","High (&gt;40%)"))))</f>
        <v/>
      </c>
      <c r="Y6390" s="23" t="str">
        <f aca="false">IF(AND(ISNUMBER(C6390),ISNUMBER(D6390)),D6390-C6390,"")</f>
        <v/>
      </c>
      <c r="Z6390" s="23" t="str">
        <f aca="false">IF(B6390="","",IF(MATCH(B6390,$B$2:$B$12000,0)=ROW()-1,1,0))</f>
        <v/>
      </c>
    </row>
    <row r="6391" customFormat="false" ht="15" hidden="false" customHeight="false" outlineLevel="0" collapsed="false">
      <c r="V6391" s="23" t="str">
        <f aca="false">IF(ISNUMBER(C6391),YEAR(C6391),"")</f>
        <v/>
      </c>
      <c r="W6391" s="23" t="str">
        <f aca="false">IF(ISNUMBER(C6391),MONTH(C6391),"")</f>
        <v/>
      </c>
      <c r="X6391" s="23" t="str">
        <f aca="false">IF(T6391="","",IF(T6391=0,"No discount",IF(T6391&lt;=0.2,"Low (1-20%)",IF(T6391&lt;=0.4,"Medium (21-40%)","High (&gt;40%)"))))</f>
        <v/>
      </c>
      <c r="Y6391" s="23" t="str">
        <f aca="false">IF(AND(ISNUMBER(C6391),ISNUMBER(D6391)),D6391-C6391,"")</f>
        <v/>
      </c>
      <c r="Z6391" s="23" t="str">
        <f aca="false">IF(B6391="","",IF(MATCH(B6391,$B$2:$B$12000,0)=ROW()-1,1,0))</f>
        <v/>
      </c>
    </row>
    <row r="6392" customFormat="false" ht="15" hidden="false" customHeight="false" outlineLevel="0" collapsed="false">
      <c r="V6392" s="23" t="str">
        <f aca="false">IF(ISNUMBER(C6392),YEAR(C6392),"")</f>
        <v/>
      </c>
      <c r="W6392" s="23" t="str">
        <f aca="false">IF(ISNUMBER(C6392),MONTH(C6392),"")</f>
        <v/>
      </c>
      <c r="X6392" s="23" t="str">
        <f aca="false">IF(T6392="","",IF(T6392=0,"No discount",IF(T6392&lt;=0.2,"Low (1-20%)",IF(T6392&lt;=0.4,"Medium (21-40%)","High (&gt;40%)"))))</f>
        <v/>
      </c>
      <c r="Y6392" s="23" t="str">
        <f aca="false">IF(AND(ISNUMBER(C6392),ISNUMBER(D6392)),D6392-C6392,"")</f>
        <v/>
      </c>
      <c r="Z6392" s="23" t="str">
        <f aca="false">IF(B6392="","",IF(MATCH(B6392,$B$2:$B$12000,0)=ROW()-1,1,0))</f>
        <v/>
      </c>
    </row>
    <row r="6393" customFormat="false" ht="15" hidden="false" customHeight="false" outlineLevel="0" collapsed="false">
      <c r="V6393" s="23" t="str">
        <f aca="false">IF(ISNUMBER(C6393),YEAR(C6393),"")</f>
        <v/>
      </c>
      <c r="W6393" s="23" t="str">
        <f aca="false">IF(ISNUMBER(C6393),MONTH(C6393),"")</f>
        <v/>
      </c>
      <c r="X6393" s="23" t="str">
        <f aca="false">IF(T6393="","",IF(T6393=0,"No discount",IF(T6393&lt;=0.2,"Low (1-20%)",IF(T6393&lt;=0.4,"Medium (21-40%)","High (&gt;40%)"))))</f>
        <v/>
      </c>
      <c r="Y6393" s="23" t="str">
        <f aca="false">IF(AND(ISNUMBER(C6393),ISNUMBER(D6393)),D6393-C6393,"")</f>
        <v/>
      </c>
      <c r="Z6393" s="23" t="str">
        <f aca="false">IF(B6393="","",IF(MATCH(B6393,$B$2:$B$12000,0)=ROW()-1,1,0))</f>
        <v/>
      </c>
    </row>
    <row r="6394" customFormat="false" ht="15" hidden="false" customHeight="false" outlineLevel="0" collapsed="false">
      <c r="V6394" s="23" t="str">
        <f aca="false">IF(ISNUMBER(C6394),YEAR(C6394),"")</f>
        <v/>
      </c>
      <c r="W6394" s="23" t="str">
        <f aca="false">IF(ISNUMBER(C6394),MONTH(C6394),"")</f>
        <v/>
      </c>
      <c r="X6394" s="23" t="str">
        <f aca="false">IF(T6394="","",IF(T6394=0,"No discount",IF(T6394&lt;=0.2,"Low (1-20%)",IF(T6394&lt;=0.4,"Medium (21-40%)","High (&gt;40%)"))))</f>
        <v/>
      </c>
      <c r="Y6394" s="23" t="str">
        <f aca="false">IF(AND(ISNUMBER(C6394),ISNUMBER(D6394)),D6394-C6394,"")</f>
        <v/>
      </c>
      <c r="Z6394" s="23" t="str">
        <f aca="false">IF(B6394="","",IF(MATCH(B6394,$B$2:$B$12000,0)=ROW()-1,1,0))</f>
        <v/>
      </c>
    </row>
    <row r="6395" customFormat="false" ht="15" hidden="false" customHeight="false" outlineLevel="0" collapsed="false">
      <c r="V6395" s="23" t="str">
        <f aca="false">IF(ISNUMBER(C6395),YEAR(C6395),"")</f>
        <v/>
      </c>
      <c r="W6395" s="23" t="str">
        <f aca="false">IF(ISNUMBER(C6395),MONTH(C6395),"")</f>
        <v/>
      </c>
      <c r="X6395" s="23" t="str">
        <f aca="false">IF(T6395="","",IF(T6395=0,"No discount",IF(T6395&lt;=0.2,"Low (1-20%)",IF(T6395&lt;=0.4,"Medium (21-40%)","High (&gt;40%)"))))</f>
        <v/>
      </c>
      <c r="Y6395" s="23" t="str">
        <f aca="false">IF(AND(ISNUMBER(C6395),ISNUMBER(D6395)),D6395-C6395,"")</f>
        <v/>
      </c>
      <c r="Z6395" s="23" t="str">
        <f aca="false">IF(B6395="","",IF(MATCH(B6395,$B$2:$B$12000,0)=ROW()-1,1,0))</f>
        <v/>
      </c>
    </row>
    <row r="6396" customFormat="false" ht="15" hidden="false" customHeight="false" outlineLevel="0" collapsed="false">
      <c r="V6396" s="23" t="str">
        <f aca="false">IF(ISNUMBER(C6396),YEAR(C6396),"")</f>
        <v/>
      </c>
      <c r="W6396" s="23" t="str">
        <f aca="false">IF(ISNUMBER(C6396),MONTH(C6396),"")</f>
        <v/>
      </c>
      <c r="X6396" s="23" t="str">
        <f aca="false">IF(T6396="","",IF(T6396=0,"No discount",IF(T6396&lt;=0.2,"Low (1-20%)",IF(T6396&lt;=0.4,"Medium (21-40%)","High (&gt;40%)"))))</f>
        <v/>
      </c>
      <c r="Y6396" s="23" t="str">
        <f aca="false">IF(AND(ISNUMBER(C6396),ISNUMBER(D6396)),D6396-C6396,"")</f>
        <v/>
      </c>
      <c r="Z6396" s="23" t="str">
        <f aca="false">IF(B6396="","",IF(MATCH(B6396,$B$2:$B$12000,0)=ROW()-1,1,0))</f>
        <v/>
      </c>
    </row>
    <row r="6397" customFormat="false" ht="15" hidden="false" customHeight="false" outlineLevel="0" collapsed="false">
      <c r="V6397" s="23" t="str">
        <f aca="false">IF(ISNUMBER(C6397),YEAR(C6397),"")</f>
        <v/>
      </c>
      <c r="W6397" s="23" t="str">
        <f aca="false">IF(ISNUMBER(C6397),MONTH(C6397),"")</f>
        <v/>
      </c>
      <c r="X6397" s="23" t="str">
        <f aca="false">IF(T6397="","",IF(T6397=0,"No discount",IF(T6397&lt;=0.2,"Low (1-20%)",IF(T6397&lt;=0.4,"Medium (21-40%)","High (&gt;40%)"))))</f>
        <v/>
      </c>
      <c r="Y6397" s="23" t="str">
        <f aca="false">IF(AND(ISNUMBER(C6397),ISNUMBER(D6397)),D6397-C6397,"")</f>
        <v/>
      </c>
      <c r="Z6397" s="23" t="str">
        <f aca="false">IF(B6397="","",IF(MATCH(B6397,$B$2:$B$12000,0)=ROW()-1,1,0))</f>
        <v/>
      </c>
    </row>
    <row r="6398" customFormat="false" ht="15" hidden="false" customHeight="false" outlineLevel="0" collapsed="false">
      <c r="V6398" s="23" t="str">
        <f aca="false">IF(ISNUMBER(C6398),YEAR(C6398),"")</f>
        <v/>
      </c>
      <c r="W6398" s="23" t="str">
        <f aca="false">IF(ISNUMBER(C6398),MONTH(C6398),"")</f>
        <v/>
      </c>
      <c r="X6398" s="23" t="str">
        <f aca="false">IF(T6398="","",IF(T6398=0,"No discount",IF(T6398&lt;=0.2,"Low (1-20%)",IF(T6398&lt;=0.4,"Medium (21-40%)","High (&gt;40%)"))))</f>
        <v/>
      </c>
      <c r="Y6398" s="23" t="str">
        <f aca="false">IF(AND(ISNUMBER(C6398),ISNUMBER(D6398)),D6398-C6398,"")</f>
        <v/>
      </c>
      <c r="Z6398" s="23" t="str">
        <f aca="false">IF(B6398="","",IF(MATCH(B6398,$B$2:$B$12000,0)=ROW()-1,1,0))</f>
        <v/>
      </c>
    </row>
    <row r="6399" customFormat="false" ht="15" hidden="false" customHeight="false" outlineLevel="0" collapsed="false">
      <c r="V6399" s="23" t="str">
        <f aca="false">IF(ISNUMBER(C6399),YEAR(C6399),"")</f>
        <v/>
      </c>
      <c r="W6399" s="23" t="str">
        <f aca="false">IF(ISNUMBER(C6399),MONTH(C6399),"")</f>
        <v/>
      </c>
      <c r="X6399" s="23" t="str">
        <f aca="false">IF(T6399="","",IF(T6399=0,"No discount",IF(T6399&lt;=0.2,"Low (1-20%)",IF(T6399&lt;=0.4,"Medium (21-40%)","High (&gt;40%)"))))</f>
        <v/>
      </c>
      <c r="Y6399" s="23" t="str">
        <f aca="false">IF(AND(ISNUMBER(C6399),ISNUMBER(D6399)),D6399-C6399,"")</f>
        <v/>
      </c>
      <c r="Z6399" s="23" t="str">
        <f aca="false">IF(B6399="","",IF(MATCH(B6399,$B$2:$B$12000,0)=ROW()-1,1,0))</f>
        <v/>
      </c>
    </row>
    <row r="6400" customFormat="false" ht="15" hidden="false" customHeight="false" outlineLevel="0" collapsed="false">
      <c r="V6400" s="23" t="str">
        <f aca="false">IF(ISNUMBER(C6400),YEAR(C6400),"")</f>
        <v/>
      </c>
      <c r="W6400" s="23" t="str">
        <f aca="false">IF(ISNUMBER(C6400),MONTH(C6400),"")</f>
        <v/>
      </c>
      <c r="X6400" s="23" t="str">
        <f aca="false">IF(T6400="","",IF(T6400=0,"No discount",IF(T6400&lt;=0.2,"Low (1-20%)",IF(T6400&lt;=0.4,"Medium (21-40%)","High (&gt;40%)"))))</f>
        <v/>
      </c>
      <c r="Y6400" s="23" t="str">
        <f aca="false">IF(AND(ISNUMBER(C6400),ISNUMBER(D6400)),D6400-C6400,"")</f>
        <v/>
      </c>
      <c r="Z6400" s="23" t="str">
        <f aca="false">IF(B6400="","",IF(MATCH(B6400,$B$2:$B$12000,0)=ROW()-1,1,0))</f>
        <v/>
      </c>
    </row>
    <row r="6401" customFormat="false" ht="15" hidden="false" customHeight="false" outlineLevel="0" collapsed="false">
      <c r="V6401" s="23" t="str">
        <f aca="false">IF(ISNUMBER(C6401),YEAR(C6401),"")</f>
        <v/>
      </c>
      <c r="W6401" s="23" t="str">
        <f aca="false">IF(ISNUMBER(C6401),MONTH(C6401),"")</f>
        <v/>
      </c>
      <c r="X6401" s="23" t="str">
        <f aca="false">IF(T6401="","",IF(T6401=0,"No discount",IF(T6401&lt;=0.2,"Low (1-20%)",IF(T6401&lt;=0.4,"Medium (21-40%)","High (&gt;40%)"))))</f>
        <v/>
      </c>
      <c r="Y6401" s="23" t="str">
        <f aca="false">IF(AND(ISNUMBER(C6401),ISNUMBER(D6401)),D6401-C6401,"")</f>
        <v/>
      </c>
      <c r="Z6401" s="23" t="str">
        <f aca="false">IF(B6401="","",IF(MATCH(B6401,$B$2:$B$12000,0)=ROW()-1,1,0))</f>
        <v/>
      </c>
    </row>
    <row r="6402" customFormat="false" ht="15" hidden="false" customHeight="false" outlineLevel="0" collapsed="false">
      <c r="V6402" s="23" t="str">
        <f aca="false">IF(ISNUMBER(C6402),YEAR(C6402),"")</f>
        <v/>
      </c>
      <c r="W6402" s="23" t="str">
        <f aca="false">IF(ISNUMBER(C6402),MONTH(C6402),"")</f>
        <v/>
      </c>
      <c r="X6402" s="23" t="str">
        <f aca="false">IF(T6402="","",IF(T6402=0,"No discount",IF(T6402&lt;=0.2,"Low (1-20%)",IF(T6402&lt;=0.4,"Medium (21-40%)","High (&gt;40%)"))))</f>
        <v/>
      </c>
      <c r="Y6402" s="23" t="str">
        <f aca="false">IF(AND(ISNUMBER(C6402),ISNUMBER(D6402)),D6402-C6402,"")</f>
        <v/>
      </c>
      <c r="Z6402" s="23" t="str">
        <f aca="false">IF(B6402="","",IF(MATCH(B6402,$B$2:$B$12000,0)=ROW()-1,1,0))</f>
        <v/>
      </c>
    </row>
    <row r="6403" customFormat="false" ht="15" hidden="false" customHeight="false" outlineLevel="0" collapsed="false">
      <c r="V6403" s="23" t="str">
        <f aca="false">IF(ISNUMBER(C6403),YEAR(C6403),"")</f>
        <v/>
      </c>
      <c r="W6403" s="23" t="str">
        <f aca="false">IF(ISNUMBER(C6403),MONTH(C6403),"")</f>
        <v/>
      </c>
      <c r="X6403" s="23" t="str">
        <f aca="false">IF(T6403="","",IF(T6403=0,"No discount",IF(T6403&lt;=0.2,"Low (1-20%)",IF(T6403&lt;=0.4,"Medium (21-40%)","High (&gt;40%)"))))</f>
        <v/>
      </c>
      <c r="Y6403" s="23" t="str">
        <f aca="false">IF(AND(ISNUMBER(C6403),ISNUMBER(D6403)),D6403-C6403,"")</f>
        <v/>
      </c>
      <c r="Z6403" s="23" t="str">
        <f aca="false">IF(B6403="","",IF(MATCH(B6403,$B$2:$B$12000,0)=ROW()-1,1,0))</f>
        <v/>
      </c>
    </row>
    <row r="6404" customFormat="false" ht="15" hidden="false" customHeight="false" outlineLevel="0" collapsed="false">
      <c r="V6404" s="23" t="str">
        <f aca="false">IF(ISNUMBER(C6404),YEAR(C6404),"")</f>
        <v/>
      </c>
      <c r="W6404" s="23" t="str">
        <f aca="false">IF(ISNUMBER(C6404),MONTH(C6404),"")</f>
        <v/>
      </c>
      <c r="X6404" s="23" t="str">
        <f aca="false">IF(T6404="","",IF(T6404=0,"No discount",IF(T6404&lt;=0.2,"Low (1-20%)",IF(T6404&lt;=0.4,"Medium (21-40%)","High (&gt;40%)"))))</f>
        <v/>
      </c>
      <c r="Y6404" s="23" t="str">
        <f aca="false">IF(AND(ISNUMBER(C6404),ISNUMBER(D6404)),D6404-C6404,"")</f>
        <v/>
      </c>
      <c r="Z6404" s="23" t="str">
        <f aca="false">IF(B6404="","",IF(MATCH(B6404,$B$2:$B$12000,0)=ROW()-1,1,0))</f>
        <v/>
      </c>
    </row>
    <row r="6405" customFormat="false" ht="15" hidden="false" customHeight="false" outlineLevel="0" collapsed="false">
      <c r="V6405" s="23" t="str">
        <f aca="false">IF(ISNUMBER(C6405),YEAR(C6405),"")</f>
        <v/>
      </c>
      <c r="W6405" s="23" t="str">
        <f aca="false">IF(ISNUMBER(C6405),MONTH(C6405),"")</f>
        <v/>
      </c>
      <c r="X6405" s="23" t="str">
        <f aca="false">IF(T6405="","",IF(T6405=0,"No discount",IF(T6405&lt;=0.2,"Low (1-20%)",IF(T6405&lt;=0.4,"Medium (21-40%)","High (&gt;40%)"))))</f>
        <v/>
      </c>
      <c r="Y6405" s="23" t="str">
        <f aca="false">IF(AND(ISNUMBER(C6405),ISNUMBER(D6405)),D6405-C6405,"")</f>
        <v/>
      </c>
      <c r="Z6405" s="23" t="str">
        <f aca="false">IF(B6405="","",IF(MATCH(B6405,$B$2:$B$12000,0)=ROW()-1,1,0))</f>
        <v/>
      </c>
    </row>
    <row r="6406" customFormat="false" ht="15" hidden="false" customHeight="false" outlineLevel="0" collapsed="false">
      <c r="V6406" s="23" t="str">
        <f aca="false">IF(ISNUMBER(C6406),YEAR(C6406),"")</f>
        <v/>
      </c>
      <c r="W6406" s="23" t="str">
        <f aca="false">IF(ISNUMBER(C6406),MONTH(C6406),"")</f>
        <v/>
      </c>
      <c r="X6406" s="23" t="str">
        <f aca="false">IF(T6406="","",IF(T6406=0,"No discount",IF(T6406&lt;=0.2,"Low (1-20%)",IF(T6406&lt;=0.4,"Medium (21-40%)","High (&gt;40%)"))))</f>
        <v/>
      </c>
      <c r="Y6406" s="23" t="str">
        <f aca="false">IF(AND(ISNUMBER(C6406),ISNUMBER(D6406)),D6406-C6406,"")</f>
        <v/>
      </c>
      <c r="Z6406" s="23" t="str">
        <f aca="false">IF(B6406="","",IF(MATCH(B6406,$B$2:$B$12000,0)=ROW()-1,1,0))</f>
        <v/>
      </c>
    </row>
    <row r="6407" customFormat="false" ht="15" hidden="false" customHeight="false" outlineLevel="0" collapsed="false">
      <c r="V6407" s="23" t="str">
        <f aca="false">IF(ISNUMBER(C6407),YEAR(C6407),"")</f>
        <v/>
      </c>
      <c r="W6407" s="23" t="str">
        <f aca="false">IF(ISNUMBER(C6407),MONTH(C6407),"")</f>
        <v/>
      </c>
      <c r="X6407" s="23" t="str">
        <f aca="false">IF(T6407="","",IF(T6407=0,"No discount",IF(T6407&lt;=0.2,"Low (1-20%)",IF(T6407&lt;=0.4,"Medium (21-40%)","High (&gt;40%)"))))</f>
        <v/>
      </c>
      <c r="Y6407" s="23" t="str">
        <f aca="false">IF(AND(ISNUMBER(C6407),ISNUMBER(D6407)),D6407-C6407,"")</f>
        <v/>
      </c>
      <c r="Z6407" s="23" t="str">
        <f aca="false">IF(B6407="","",IF(MATCH(B6407,$B$2:$B$12000,0)=ROW()-1,1,0))</f>
        <v/>
      </c>
    </row>
    <row r="6408" customFormat="false" ht="15" hidden="false" customHeight="false" outlineLevel="0" collapsed="false">
      <c r="V6408" s="23" t="str">
        <f aca="false">IF(ISNUMBER(C6408),YEAR(C6408),"")</f>
        <v/>
      </c>
      <c r="W6408" s="23" t="str">
        <f aca="false">IF(ISNUMBER(C6408),MONTH(C6408),"")</f>
        <v/>
      </c>
      <c r="X6408" s="23" t="str">
        <f aca="false">IF(T6408="","",IF(T6408=0,"No discount",IF(T6408&lt;=0.2,"Low (1-20%)",IF(T6408&lt;=0.4,"Medium (21-40%)","High (&gt;40%)"))))</f>
        <v/>
      </c>
      <c r="Y6408" s="23" t="str">
        <f aca="false">IF(AND(ISNUMBER(C6408),ISNUMBER(D6408)),D6408-C6408,"")</f>
        <v/>
      </c>
      <c r="Z6408" s="23" t="str">
        <f aca="false">IF(B6408="","",IF(MATCH(B6408,$B$2:$B$12000,0)=ROW()-1,1,0))</f>
        <v/>
      </c>
    </row>
    <row r="6409" customFormat="false" ht="15" hidden="false" customHeight="false" outlineLevel="0" collapsed="false">
      <c r="V6409" s="23" t="str">
        <f aca="false">IF(ISNUMBER(C6409),YEAR(C6409),"")</f>
        <v/>
      </c>
      <c r="W6409" s="23" t="str">
        <f aca="false">IF(ISNUMBER(C6409),MONTH(C6409),"")</f>
        <v/>
      </c>
      <c r="X6409" s="23" t="str">
        <f aca="false">IF(T6409="","",IF(T6409=0,"No discount",IF(T6409&lt;=0.2,"Low (1-20%)",IF(T6409&lt;=0.4,"Medium (21-40%)","High (&gt;40%)"))))</f>
        <v/>
      </c>
      <c r="Y6409" s="23" t="str">
        <f aca="false">IF(AND(ISNUMBER(C6409),ISNUMBER(D6409)),D6409-C6409,"")</f>
        <v/>
      </c>
      <c r="Z6409" s="23" t="str">
        <f aca="false">IF(B6409="","",IF(MATCH(B6409,$B$2:$B$12000,0)=ROW()-1,1,0))</f>
        <v/>
      </c>
    </row>
    <row r="6410" customFormat="false" ht="15" hidden="false" customHeight="false" outlineLevel="0" collapsed="false">
      <c r="V6410" s="23" t="str">
        <f aca="false">IF(ISNUMBER(C6410),YEAR(C6410),"")</f>
        <v/>
      </c>
      <c r="W6410" s="23" t="str">
        <f aca="false">IF(ISNUMBER(C6410),MONTH(C6410),"")</f>
        <v/>
      </c>
      <c r="X6410" s="23" t="str">
        <f aca="false">IF(T6410="","",IF(T6410=0,"No discount",IF(T6410&lt;=0.2,"Low (1-20%)",IF(T6410&lt;=0.4,"Medium (21-40%)","High (&gt;40%)"))))</f>
        <v/>
      </c>
      <c r="Y6410" s="23" t="str">
        <f aca="false">IF(AND(ISNUMBER(C6410),ISNUMBER(D6410)),D6410-C6410,"")</f>
        <v/>
      </c>
      <c r="Z6410" s="23" t="str">
        <f aca="false">IF(B6410="","",IF(MATCH(B6410,$B$2:$B$12000,0)=ROW()-1,1,0))</f>
        <v/>
      </c>
    </row>
    <row r="6411" customFormat="false" ht="15" hidden="false" customHeight="false" outlineLevel="0" collapsed="false">
      <c r="V6411" s="23" t="str">
        <f aca="false">IF(ISNUMBER(C6411),YEAR(C6411),"")</f>
        <v/>
      </c>
      <c r="W6411" s="23" t="str">
        <f aca="false">IF(ISNUMBER(C6411),MONTH(C6411),"")</f>
        <v/>
      </c>
      <c r="X6411" s="23" t="str">
        <f aca="false">IF(T6411="","",IF(T6411=0,"No discount",IF(T6411&lt;=0.2,"Low (1-20%)",IF(T6411&lt;=0.4,"Medium (21-40%)","High (&gt;40%)"))))</f>
        <v/>
      </c>
      <c r="Y6411" s="23" t="str">
        <f aca="false">IF(AND(ISNUMBER(C6411),ISNUMBER(D6411)),D6411-C6411,"")</f>
        <v/>
      </c>
      <c r="Z6411" s="23" t="str">
        <f aca="false">IF(B6411="","",IF(MATCH(B6411,$B$2:$B$12000,0)=ROW()-1,1,0))</f>
        <v/>
      </c>
    </row>
    <row r="6412" customFormat="false" ht="15" hidden="false" customHeight="false" outlineLevel="0" collapsed="false">
      <c r="V6412" s="23" t="str">
        <f aca="false">IF(ISNUMBER(C6412),YEAR(C6412),"")</f>
        <v/>
      </c>
      <c r="W6412" s="23" t="str">
        <f aca="false">IF(ISNUMBER(C6412),MONTH(C6412),"")</f>
        <v/>
      </c>
      <c r="X6412" s="23" t="str">
        <f aca="false">IF(T6412="","",IF(T6412=0,"No discount",IF(T6412&lt;=0.2,"Low (1-20%)",IF(T6412&lt;=0.4,"Medium (21-40%)","High (&gt;40%)"))))</f>
        <v/>
      </c>
      <c r="Y6412" s="23" t="str">
        <f aca="false">IF(AND(ISNUMBER(C6412),ISNUMBER(D6412)),D6412-C6412,"")</f>
        <v/>
      </c>
      <c r="Z6412" s="23" t="str">
        <f aca="false">IF(B6412="","",IF(MATCH(B6412,$B$2:$B$12000,0)=ROW()-1,1,0))</f>
        <v/>
      </c>
    </row>
    <row r="6413" customFormat="false" ht="15" hidden="false" customHeight="false" outlineLevel="0" collapsed="false">
      <c r="V6413" s="23" t="str">
        <f aca="false">IF(ISNUMBER(C6413),YEAR(C6413),"")</f>
        <v/>
      </c>
      <c r="W6413" s="23" t="str">
        <f aca="false">IF(ISNUMBER(C6413),MONTH(C6413),"")</f>
        <v/>
      </c>
      <c r="X6413" s="23" t="str">
        <f aca="false">IF(T6413="","",IF(T6413=0,"No discount",IF(T6413&lt;=0.2,"Low (1-20%)",IF(T6413&lt;=0.4,"Medium (21-40%)","High (&gt;40%)"))))</f>
        <v/>
      </c>
      <c r="Y6413" s="23" t="str">
        <f aca="false">IF(AND(ISNUMBER(C6413),ISNUMBER(D6413)),D6413-C6413,"")</f>
        <v/>
      </c>
      <c r="Z6413" s="23" t="str">
        <f aca="false">IF(B6413="","",IF(MATCH(B6413,$B$2:$B$12000,0)=ROW()-1,1,0))</f>
        <v/>
      </c>
    </row>
    <row r="6414" customFormat="false" ht="15" hidden="false" customHeight="false" outlineLevel="0" collapsed="false">
      <c r="V6414" s="23" t="str">
        <f aca="false">IF(ISNUMBER(C6414),YEAR(C6414),"")</f>
        <v/>
      </c>
      <c r="W6414" s="23" t="str">
        <f aca="false">IF(ISNUMBER(C6414),MONTH(C6414),"")</f>
        <v/>
      </c>
      <c r="X6414" s="23" t="str">
        <f aca="false">IF(T6414="","",IF(T6414=0,"No discount",IF(T6414&lt;=0.2,"Low (1-20%)",IF(T6414&lt;=0.4,"Medium (21-40%)","High (&gt;40%)"))))</f>
        <v/>
      </c>
      <c r="Y6414" s="23" t="str">
        <f aca="false">IF(AND(ISNUMBER(C6414),ISNUMBER(D6414)),D6414-C6414,"")</f>
        <v/>
      </c>
      <c r="Z6414" s="23" t="str">
        <f aca="false">IF(B6414="","",IF(MATCH(B6414,$B$2:$B$12000,0)=ROW()-1,1,0))</f>
        <v/>
      </c>
    </row>
    <row r="6415" customFormat="false" ht="15" hidden="false" customHeight="false" outlineLevel="0" collapsed="false">
      <c r="V6415" s="23" t="str">
        <f aca="false">IF(ISNUMBER(C6415),YEAR(C6415),"")</f>
        <v/>
      </c>
      <c r="W6415" s="23" t="str">
        <f aca="false">IF(ISNUMBER(C6415),MONTH(C6415),"")</f>
        <v/>
      </c>
      <c r="X6415" s="23" t="str">
        <f aca="false">IF(T6415="","",IF(T6415=0,"No discount",IF(T6415&lt;=0.2,"Low (1-20%)",IF(T6415&lt;=0.4,"Medium (21-40%)","High (&gt;40%)"))))</f>
        <v/>
      </c>
      <c r="Y6415" s="23" t="str">
        <f aca="false">IF(AND(ISNUMBER(C6415),ISNUMBER(D6415)),D6415-C6415,"")</f>
        <v/>
      </c>
      <c r="Z6415" s="23" t="str">
        <f aca="false">IF(B6415="","",IF(MATCH(B6415,$B$2:$B$12000,0)=ROW()-1,1,0))</f>
        <v/>
      </c>
    </row>
    <row r="6416" customFormat="false" ht="15" hidden="false" customHeight="false" outlineLevel="0" collapsed="false">
      <c r="V6416" s="23" t="str">
        <f aca="false">IF(ISNUMBER(C6416),YEAR(C6416),"")</f>
        <v/>
      </c>
      <c r="W6416" s="23" t="str">
        <f aca="false">IF(ISNUMBER(C6416),MONTH(C6416),"")</f>
        <v/>
      </c>
      <c r="X6416" s="23" t="str">
        <f aca="false">IF(T6416="","",IF(T6416=0,"No discount",IF(T6416&lt;=0.2,"Low (1-20%)",IF(T6416&lt;=0.4,"Medium (21-40%)","High (&gt;40%)"))))</f>
        <v/>
      </c>
      <c r="Y6416" s="23" t="str">
        <f aca="false">IF(AND(ISNUMBER(C6416),ISNUMBER(D6416)),D6416-C6416,"")</f>
        <v/>
      </c>
      <c r="Z6416" s="23" t="str">
        <f aca="false">IF(B6416="","",IF(MATCH(B6416,$B$2:$B$12000,0)=ROW()-1,1,0))</f>
        <v/>
      </c>
    </row>
    <row r="6417" customFormat="false" ht="15" hidden="false" customHeight="false" outlineLevel="0" collapsed="false">
      <c r="V6417" s="23" t="str">
        <f aca="false">IF(ISNUMBER(C6417),YEAR(C6417),"")</f>
        <v/>
      </c>
      <c r="W6417" s="23" t="str">
        <f aca="false">IF(ISNUMBER(C6417),MONTH(C6417),"")</f>
        <v/>
      </c>
      <c r="X6417" s="23" t="str">
        <f aca="false">IF(T6417="","",IF(T6417=0,"No discount",IF(T6417&lt;=0.2,"Low (1-20%)",IF(T6417&lt;=0.4,"Medium (21-40%)","High (&gt;40%)"))))</f>
        <v/>
      </c>
      <c r="Y6417" s="23" t="str">
        <f aca="false">IF(AND(ISNUMBER(C6417),ISNUMBER(D6417)),D6417-C6417,"")</f>
        <v/>
      </c>
      <c r="Z6417" s="23" t="str">
        <f aca="false">IF(B6417="","",IF(MATCH(B6417,$B$2:$B$12000,0)=ROW()-1,1,0))</f>
        <v/>
      </c>
    </row>
    <row r="6418" customFormat="false" ht="15" hidden="false" customHeight="false" outlineLevel="0" collapsed="false">
      <c r="V6418" s="23" t="str">
        <f aca="false">IF(ISNUMBER(C6418),YEAR(C6418),"")</f>
        <v/>
      </c>
      <c r="W6418" s="23" t="str">
        <f aca="false">IF(ISNUMBER(C6418),MONTH(C6418),"")</f>
        <v/>
      </c>
      <c r="X6418" s="23" t="str">
        <f aca="false">IF(T6418="","",IF(T6418=0,"No discount",IF(T6418&lt;=0.2,"Low (1-20%)",IF(T6418&lt;=0.4,"Medium (21-40%)","High (&gt;40%)"))))</f>
        <v/>
      </c>
      <c r="Y6418" s="23" t="str">
        <f aca="false">IF(AND(ISNUMBER(C6418),ISNUMBER(D6418)),D6418-C6418,"")</f>
        <v/>
      </c>
      <c r="Z6418" s="23" t="str">
        <f aca="false">IF(B6418="","",IF(MATCH(B6418,$B$2:$B$12000,0)=ROW()-1,1,0))</f>
        <v/>
      </c>
    </row>
    <row r="6419" customFormat="false" ht="15" hidden="false" customHeight="false" outlineLevel="0" collapsed="false">
      <c r="V6419" s="23" t="str">
        <f aca="false">IF(ISNUMBER(C6419),YEAR(C6419),"")</f>
        <v/>
      </c>
      <c r="W6419" s="23" t="str">
        <f aca="false">IF(ISNUMBER(C6419),MONTH(C6419),"")</f>
        <v/>
      </c>
      <c r="X6419" s="23" t="str">
        <f aca="false">IF(T6419="","",IF(T6419=0,"No discount",IF(T6419&lt;=0.2,"Low (1-20%)",IF(T6419&lt;=0.4,"Medium (21-40%)","High (&gt;40%)"))))</f>
        <v/>
      </c>
      <c r="Y6419" s="23" t="str">
        <f aca="false">IF(AND(ISNUMBER(C6419),ISNUMBER(D6419)),D6419-C6419,"")</f>
        <v/>
      </c>
      <c r="Z6419" s="23" t="str">
        <f aca="false">IF(B6419="","",IF(MATCH(B6419,$B$2:$B$12000,0)=ROW()-1,1,0))</f>
        <v/>
      </c>
    </row>
    <row r="6420" customFormat="false" ht="15" hidden="false" customHeight="false" outlineLevel="0" collapsed="false">
      <c r="V6420" s="23" t="str">
        <f aca="false">IF(ISNUMBER(C6420),YEAR(C6420),"")</f>
        <v/>
      </c>
      <c r="W6420" s="23" t="str">
        <f aca="false">IF(ISNUMBER(C6420),MONTH(C6420),"")</f>
        <v/>
      </c>
      <c r="X6420" s="23" t="str">
        <f aca="false">IF(T6420="","",IF(T6420=0,"No discount",IF(T6420&lt;=0.2,"Low (1-20%)",IF(T6420&lt;=0.4,"Medium (21-40%)","High (&gt;40%)"))))</f>
        <v/>
      </c>
      <c r="Y6420" s="23" t="str">
        <f aca="false">IF(AND(ISNUMBER(C6420),ISNUMBER(D6420)),D6420-C6420,"")</f>
        <v/>
      </c>
      <c r="Z6420" s="23" t="str">
        <f aca="false">IF(B6420="","",IF(MATCH(B6420,$B$2:$B$12000,0)=ROW()-1,1,0))</f>
        <v/>
      </c>
    </row>
    <row r="6421" customFormat="false" ht="15" hidden="false" customHeight="false" outlineLevel="0" collapsed="false">
      <c r="V6421" s="23" t="str">
        <f aca="false">IF(ISNUMBER(C6421),YEAR(C6421),"")</f>
        <v/>
      </c>
      <c r="W6421" s="23" t="str">
        <f aca="false">IF(ISNUMBER(C6421),MONTH(C6421),"")</f>
        <v/>
      </c>
      <c r="X6421" s="23" t="str">
        <f aca="false">IF(T6421="","",IF(T6421=0,"No discount",IF(T6421&lt;=0.2,"Low (1-20%)",IF(T6421&lt;=0.4,"Medium (21-40%)","High (&gt;40%)"))))</f>
        <v/>
      </c>
      <c r="Y6421" s="23" t="str">
        <f aca="false">IF(AND(ISNUMBER(C6421),ISNUMBER(D6421)),D6421-C6421,"")</f>
        <v/>
      </c>
      <c r="Z6421" s="23" t="str">
        <f aca="false">IF(B6421="","",IF(MATCH(B6421,$B$2:$B$12000,0)=ROW()-1,1,0))</f>
        <v/>
      </c>
    </row>
    <row r="6422" customFormat="false" ht="15" hidden="false" customHeight="false" outlineLevel="0" collapsed="false">
      <c r="V6422" s="23" t="str">
        <f aca="false">IF(ISNUMBER(C6422),YEAR(C6422),"")</f>
        <v/>
      </c>
      <c r="W6422" s="23" t="str">
        <f aca="false">IF(ISNUMBER(C6422),MONTH(C6422),"")</f>
        <v/>
      </c>
      <c r="X6422" s="23" t="str">
        <f aca="false">IF(T6422="","",IF(T6422=0,"No discount",IF(T6422&lt;=0.2,"Low (1-20%)",IF(T6422&lt;=0.4,"Medium (21-40%)","High (&gt;40%)"))))</f>
        <v/>
      </c>
      <c r="Y6422" s="23" t="str">
        <f aca="false">IF(AND(ISNUMBER(C6422),ISNUMBER(D6422)),D6422-C6422,"")</f>
        <v/>
      </c>
      <c r="Z6422" s="23" t="str">
        <f aca="false">IF(B6422="","",IF(MATCH(B6422,$B$2:$B$12000,0)=ROW()-1,1,0))</f>
        <v/>
      </c>
    </row>
    <row r="6423" customFormat="false" ht="15" hidden="false" customHeight="false" outlineLevel="0" collapsed="false">
      <c r="V6423" s="23" t="str">
        <f aca="false">IF(ISNUMBER(C6423),YEAR(C6423),"")</f>
        <v/>
      </c>
      <c r="W6423" s="23" t="str">
        <f aca="false">IF(ISNUMBER(C6423),MONTH(C6423),"")</f>
        <v/>
      </c>
      <c r="X6423" s="23" t="str">
        <f aca="false">IF(T6423="","",IF(T6423=0,"No discount",IF(T6423&lt;=0.2,"Low (1-20%)",IF(T6423&lt;=0.4,"Medium (21-40%)","High (&gt;40%)"))))</f>
        <v/>
      </c>
      <c r="Y6423" s="23" t="str">
        <f aca="false">IF(AND(ISNUMBER(C6423),ISNUMBER(D6423)),D6423-C6423,"")</f>
        <v/>
      </c>
      <c r="Z6423" s="23" t="str">
        <f aca="false">IF(B6423="","",IF(MATCH(B6423,$B$2:$B$12000,0)=ROW()-1,1,0))</f>
        <v/>
      </c>
    </row>
    <row r="6424" customFormat="false" ht="15" hidden="false" customHeight="false" outlineLevel="0" collapsed="false">
      <c r="V6424" s="23" t="str">
        <f aca="false">IF(ISNUMBER(C6424),YEAR(C6424),"")</f>
        <v/>
      </c>
      <c r="W6424" s="23" t="str">
        <f aca="false">IF(ISNUMBER(C6424),MONTH(C6424),"")</f>
        <v/>
      </c>
      <c r="X6424" s="23" t="str">
        <f aca="false">IF(T6424="","",IF(T6424=0,"No discount",IF(T6424&lt;=0.2,"Low (1-20%)",IF(T6424&lt;=0.4,"Medium (21-40%)","High (&gt;40%)"))))</f>
        <v/>
      </c>
      <c r="Y6424" s="23" t="str">
        <f aca="false">IF(AND(ISNUMBER(C6424),ISNUMBER(D6424)),D6424-C6424,"")</f>
        <v/>
      </c>
      <c r="Z6424" s="23" t="str">
        <f aca="false">IF(B6424="","",IF(MATCH(B6424,$B$2:$B$12000,0)=ROW()-1,1,0))</f>
        <v/>
      </c>
    </row>
    <row r="6425" customFormat="false" ht="15" hidden="false" customHeight="false" outlineLevel="0" collapsed="false">
      <c r="V6425" s="23" t="str">
        <f aca="false">IF(ISNUMBER(C6425),YEAR(C6425),"")</f>
        <v/>
      </c>
      <c r="W6425" s="23" t="str">
        <f aca="false">IF(ISNUMBER(C6425),MONTH(C6425),"")</f>
        <v/>
      </c>
      <c r="X6425" s="23" t="str">
        <f aca="false">IF(T6425="","",IF(T6425=0,"No discount",IF(T6425&lt;=0.2,"Low (1-20%)",IF(T6425&lt;=0.4,"Medium (21-40%)","High (&gt;40%)"))))</f>
        <v/>
      </c>
      <c r="Y6425" s="23" t="str">
        <f aca="false">IF(AND(ISNUMBER(C6425),ISNUMBER(D6425)),D6425-C6425,"")</f>
        <v/>
      </c>
      <c r="Z6425" s="23" t="str">
        <f aca="false">IF(B6425="","",IF(MATCH(B6425,$B$2:$B$12000,0)=ROW()-1,1,0))</f>
        <v/>
      </c>
    </row>
    <row r="6426" customFormat="false" ht="15" hidden="false" customHeight="false" outlineLevel="0" collapsed="false">
      <c r="V6426" s="23" t="str">
        <f aca="false">IF(ISNUMBER(C6426),YEAR(C6426),"")</f>
        <v/>
      </c>
      <c r="W6426" s="23" t="str">
        <f aca="false">IF(ISNUMBER(C6426),MONTH(C6426),"")</f>
        <v/>
      </c>
      <c r="X6426" s="23" t="str">
        <f aca="false">IF(T6426="","",IF(T6426=0,"No discount",IF(T6426&lt;=0.2,"Low (1-20%)",IF(T6426&lt;=0.4,"Medium (21-40%)","High (&gt;40%)"))))</f>
        <v/>
      </c>
      <c r="Y6426" s="23" t="str">
        <f aca="false">IF(AND(ISNUMBER(C6426),ISNUMBER(D6426)),D6426-C6426,"")</f>
        <v/>
      </c>
      <c r="Z6426" s="23" t="str">
        <f aca="false">IF(B6426="","",IF(MATCH(B6426,$B$2:$B$12000,0)=ROW()-1,1,0))</f>
        <v/>
      </c>
    </row>
    <row r="6427" customFormat="false" ht="15" hidden="false" customHeight="false" outlineLevel="0" collapsed="false">
      <c r="V6427" s="23" t="str">
        <f aca="false">IF(ISNUMBER(C6427),YEAR(C6427),"")</f>
        <v/>
      </c>
      <c r="W6427" s="23" t="str">
        <f aca="false">IF(ISNUMBER(C6427),MONTH(C6427),"")</f>
        <v/>
      </c>
      <c r="X6427" s="23" t="str">
        <f aca="false">IF(T6427="","",IF(T6427=0,"No discount",IF(T6427&lt;=0.2,"Low (1-20%)",IF(T6427&lt;=0.4,"Medium (21-40%)","High (&gt;40%)"))))</f>
        <v/>
      </c>
      <c r="Y6427" s="23" t="str">
        <f aca="false">IF(AND(ISNUMBER(C6427),ISNUMBER(D6427)),D6427-C6427,"")</f>
        <v/>
      </c>
      <c r="Z6427" s="23" t="str">
        <f aca="false">IF(B6427="","",IF(MATCH(B6427,$B$2:$B$12000,0)=ROW()-1,1,0))</f>
        <v/>
      </c>
    </row>
    <row r="6428" customFormat="false" ht="15" hidden="false" customHeight="false" outlineLevel="0" collapsed="false">
      <c r="V6428" s="23" t="str">
        <f aca="false">IF(ISNUMBER(C6428),YEAR(C6428),"")</f>
        <v/>
      </c>
      <c r="W6428" s="23" t="str">
        <f aca="false">IF(ISNUMBER(C6428),MONTH(C6428),"")</f>
        <v/>
      </c>
      <c r="X6428" s="23" t="str">
        <f aca="false">IF(T6428="","",IF(T6428=0,"No discount",IF(T6428&lt;=0.2,"Low (1-20%)",IF(T6428&lt;=0.4,"Medium (21-40%)","High (&gt;40%)"))))</f>
        <v/>
      </c>
      <c r="Y6428" s="23" t="str">
        <f aca="false">IF(AND(ISNUMBER(C6428),ISNUMBER(D6428)),D6428-C6428,"")</f>
        <v/>
      </c>
      <c r="Z6428" s="23" t="str">
        <f aca="false">IF(B6428="","",IF(MATCH(B6428,$B$2:$B$12000,0)=ROW()-1,1,0))</f>
        <v/>
      </c>
    </row>
    <row r="6429" customFormat="false" ht="15" hidden="false" customHeight="false" outlineLevel="0" collapsed="false">
      <c r="V6429" s="23" t="str">
        <f aca="false">IF(ISNUMBER(C6429),YEAR(C6429),"")</f>
        <v/>
      </c>
      <c r="W6429" s="23" t="str">
        <f aca="false">IF(ISNUMBER(C6429),MONTH(C6429),"")</f>
        <v/>
      </c>
      <c r="X6429" s="23" t="str">
        <f aca="false">IF(T6429="","",IF(T6429=0,"No discount",IF(T6429&lt;=0.2,"Low (1-20%)",IF(T6429&lt;=0.4,"Medium (21-40%)","High (&gt;40%)"))))</f>
        <v/>
      </c>
      <c r="Y6429" s="23" t="str">
        <f aca="false">IF(AND(ISNUMBER(C6429),ISNUMBER(D6429)),D6429-C6429,"")</f>
        <v/>
      </c>
      <c r="Z6429" s="23" t="str">
        <f aca="false">IF(B6429="","",IF(MATCH(B6429,$B$2:$B$12000,0)=ROW()-1,1,0))</f>
        <v/>
      </c>
    </row>
    <row r="6430" customFormat="false" ht="15" hidden="false" customHeight="false" outlineLevel="0" collapsed="false">
      <c r="V6430" s="23" t="str">
        <f aca="false">IF(ISNUMBER(C6430),YEAR(C6430),"")</f>
        <v/>
      </c>
      <c r="W6430" s="23" t="str">
        <f aca="false">IF(ISNUMBER(C6430),MONTH(C6430),"")</f>
        <v/>
      </c>
      <c r="X6430" s="23" t="str">
        <f aca="false">IF(T6430="","",IF(T6430=0,"No discount",IF(T6430&lt;=0.2,"Low (1-20%)",IF(T6430&lt;=0.4,"Medium (21-40%)","High (&gt;40%)"))))</f>
        <v/>
      </c>
      <c r="Y6430" s="23" t="str">
        <f aca="false">IF(AND(ISNUMBER(C6430),ISNUMBER(D6430)),D6430-C6430,"")</f>
        <v/>
      </c>
      <c r="Z6430" s="23" t="str">
        <f aca="false">IF(B6430="","",IF(MATCH(B6430,$B$2:$B$12000,0)=ROW()-1,1,0))</f>
        <v/>
      </c>
    </row>
    <row r="6431" customFormat="false" ht="15" hidden="false" customHeight="false" outlineLevel="0" collapsed="false">
      <c r="V6431" s="23" t="str">
        <f aca="false">IF(ISNUMBER(C6431),YEAR(C6431),"")</f>
        <v/>
      </c>
      <c r="W6431" s="23" t="str">
        <f aca="false">IF(ISNUMBER(C6431),MONTH(C6431),"")</f>
        <v/>
      </c>
      <c r="X6431" s="23" t="str">
        <f aca="false">IF(T6431="","",IF(T6431=0,"No discount",IF(T6431&lt;=0.2,"Low (1-20%)",IF(T6431&lt;=0.4,"Medium (21-40%)","High (&gt;40%)"))))</f>
        <v/>
      </c>
      <c r="Y6431" s="23" t="str">
        <f aca="false">IF(AND(ISNUMBER(C6431),ISNUMBER(D6431)),D6431-C6431,"")</f>
        <v/>
      </c>
      <c r="Z6431" s="23" t="str">
        <f aca="false">IF(B6431="","",IF(MATCH(B6431,$B$2:$B$12000,0)=ROW()-1,1,0))</f>
        <v/>
      </c>
    </row>
    <row r="6432" customFormat="false" ht="15" hidden="false" customHeight="false" outlineLevel="0" collapsed="false">
      <c r="V6432" s="23" t="str">
        <f aca="false">IF(ISNUMBER(C6432),YEAR(C6432),"")</f>
        <v/>
      </c>
      <c r="W6432" s="23" t="str">
        <f aca="false">IF(ISNUMBER(C6432),MONTH(C6432),"")</f>
        <v/>
      </c>
      <c r="X6432" s="23" t="str">
        <f aca="false">IF(T6432="","",IF(T6432=0,"No discount",IF(T6432&lt;=0.2,"Low (1-20%)",IF(T6432&lt;=0.4,"Medium (21-40%)","High (&gt;40%)"))))</f>
        <v/>
      </c>
      <c r="Y6432" s="23" t="str">
        <f aca="false">IF(AND(ISNUMBER(C6432),ISNUMBER(D6432)),D6432-C6432,"")</f>
        <v/>
      </c>
      <c r="Z6432" s="23" t="str">
        <f aca="false">IF(B6432="","",IF(MATCH(B6432,$B$2:$B$12000,0)=ROW()-1,1,0))</f>
        <v/>
      </c>
    </row>
    <row r="6433" customFormat="false" ht="15" hidden="false" customHeight="false" outlineLevel="0" collapsed="false">
      <c r="V6433" s="23" t="str">
        <f aca="false">IF(ISNUMBER(C6433),YEAR(C6433),"")</f>
        <v/>
      </c>
      <c r="W6433" s="23" t="str">
        <f aca="false">IF(ISNUMBER(C6433),MONTH(C6433),"")</f>
        <v/>
      </c>
      <c r="X6433" s="23" t="str">
        <f aca="false">IF(T6433="","",IF(T6433=0,"No discount",IF(T6433&lt;=0.2,"Low (1-20%)",IF(T6433&lt;=0.4,"Medium (21-40%)","High (&gt;40%)"))))</f>
        <v/>
      </c>
      <c r="Y6433" s="23" t="str">
        <f aca="false">IF(AND(ISNUMBER(C6433),ISNUMBER(D6433)),D6433-C6433,"")</f>
        <v/>
      </c>
      <c r="Z6433" s="23" t="str">
        <f aca="false">IF(B6433="","",IF(MATCH(B6433,$B$2:$B$12000,0)=ROW()-1,1,0))</f>
        <v/>
      </c>
    </row>
    <row r="6434" customFormat="false" ht="15" hidden="false" customHeight="false" outlineLevel="0" collapsed="false">
      <c r="V6434" s="23" t="str">
        <f aca="false">IF(ISNUMBER(C6434),YEAR(C6434),"")</f>
        <v/>
      </c>
      <c r="W6434" s="23" t="str">
        <f aca="false">IF(ISNUMBER(C6434),MONTH(C6434),"")</f>
        <v/>
      </c>
      <c r="X6434" s="23" t="str">
        <f aca="false">IF(T6434="","",IF(T6434=0,"No discount",IF(T6434&lt;=0.2,"Low (1-20%)",IF(T6434&lt;=0.4,"Medium (21-40%)","High (&gt;40%)"))))</f>
        <v/>
      </c>
      <c r="Y6434" s="23" t="str">
        <f aca="false">IF(AND(ISNUMBER(C6434),ISNUMBER(D6434)),D6434-C6434,"")</f>
        <v/>
      </c>
      <c r="Z6434" s="23" t="str">
        <f aca="false">IF(B6434="","",IF(MATCH(B6434,$B$2:$B$12000,0)=ROW()-1,1,0))</f>
        <v/>
      </c>
    </row>
    <row r="6435" customFormat="false" ht="15" hidden="false" customHeight="false" outlineLevel="0" collapsed="false">
      <c r="V6435" s="23" t="str">
        <f aca="false">IF(ISNUMBER(C6435),YEAR(C6435),"")</f>
        <v/>
      </c>
      <c r="W6435" s="23" t="str">
        <f aca="false">IF(ISNUMBER(C6435),MONTH(C6435),"")</f>
        <v/>
      </c>
      <c r="X6435" s="23" t="str">
        <f aca="false">IF(T6435="","",IF(T6435=0,"No discount",IF(T6435&lt;=0.2,"Low (1-20%)",IF(T6435&lt;=0.4,"Medium (21-40%)","High (&gt;40%)"))))</f>
        <v/>
      </c>
      <c r="Y6435" s="23" t="str">
        <f aca="false">IF(AND(ISNUMBER(C6435),ISNUMBER(D6435)),D6435-C6435,"")</f>
        <v/>
      </c>
      <c r="Z6435" s="23" t="str">
        <f aca="false">IF(B6435="","",IF(MATCH(B6435,$B$2:$B$12000,0)=ROW()-1,1,0))</f>
        <v/>
      </c>
    </row>
    <row r="6436" customFormat="false" ht="15" hidden="false" customHeight="false" outlineLevel="0" collapsed="false">
      <c r="V6436" s="23" t="str">
        <f aca="false">IF(ISNUMBER(C6436),YEAR(C6436),"")</f>
        <v/>
      </c>
      <c r="W6436" s="23" t="str">
        <f aca="false">IF(ISNUMBER(C6436),MONTH(C6436),"")</f>
        <v/>
      </c>
      <c r="X6436" s="23" t="str">
        <f aca="false">IF(T6436="","",IF(T6436=0,"No discount",IF(T6436&lt;=0.2,"Low (1-20%)",IF(T6436&lt;=0.4,"Medium (21-40%)","High (&gt;40%)"))))</f>
        <v/>
      </c>
      <c r="Y6436" s="23" t="str">
        <f aca="false">IF(AND(ISNUMBER(C6436),ISNUMBER(D6436)),D6436-C6436,"")</f>
        <v/>
      </c>
      <c r="Z6436" s="23" t="str">
        <f aca="false">IF(B6436="","",IF(MATCH(B6436,$B$2:$B$12000,0)=ROW()-1,1,0))</f>
        <v/>
      </c>
    </row>
    <row r="6437" customFormat="false" ht="15" hidden="false" customHeight="false" outlineLevel="0" collapsed="false">
      <c r="V6437" s="23" t="str">
        <f aca="false">IF(ISNUMBER(C6437),YEAR(C6437),"")</f>
        <v/>
      </c>
      <c r="W6437" s="23" t="str">
        <f aca="false">IF(ISNUMBER(C6437),MONTH(C6437),"")</f>
        <v/>
      </c>
      <c r="X6437" s="23" t="str">
        <f aca="false">IF(T6437="","",IF(T6437=0,"No discount",IF(T6437&lt;=0.2,"Low (1-20%)",IF(T6437&lt;=0.4,"Medium (21-40%)","High (&gt;40%)"))))</f>
        <v/>
      </c>
      <c r="Y6437" s="23" t="str">
        <f aca="false">IF(AND(ISNUMBER(C6437),ISNUMBER(D6437)),D6437-C6437,"")</f>
        <v/>
      </c>
      <c r="Z6437" s="23" t="str">
        <f aca="false">IF(B6437="","",IF(MATCH(B6437,$B$2:$B$12000,0)=ROW()-1,1,0))</f>
        <v/>
      </c>
    </row>
    <row r="6438" customFormat="false" ht="15" hidden="false" customHeight="false" outlineLevel="0" collapsed="false">
      <c r="V6438" s="23" t="str">
        <f aca="false">IF(ISNUMBER(C6438),YEAR(C6438),"")</f>
        <v/>
      </c>
      <c r="W6438" s="23" t="str">
        <f aca="false">IF(ISNUMBER(C6438),MONTH(C6438),"")</f>
        <v/>
      </c>
      <c r="X6438" s="23" t="str">
        <f aca="false">IF(T6438="","",IF(T6438=0,"No discount",IF(T6438&lt;=0.2,"Low (1-20%)",IF(T6438&lt;=0.4,"Medium (21-40%)","High (&gt;40%)"))))</f>
        <v/>
      </c>
      <c r="Y6438" s="23" t="str">
        <f aca="false">IF(AND(ISNUMBER(C6438),ISNUMBER(D6438)),D6438-C6438,"")</f>
        <v/>
      </c>
      <c r="Z6438" s="23" t="str">
        <f aca="false">IF(B6438="","",IF(MATCH(B6438,$B$2:$B$12000,0)=ROW()-1,1,0))</f>
        <v/>
      </c>
    </row>
    <row r="6439" customFormat="false" ht="15" hidden="false" customHeight="false" outlineLevel="0" collapsed="false">
      <c r="V6439" s="23" t="str">
        <f aca="false">IF(ISNUMBER(C6439),YEAR(C6439),"")</f>
        <v/>
      </c>
      <c r="W6439" s="23" t="str">
        <f aca="false">IF(ISNUMBER(C6439),MONTH(C6439),"")</f>
        <v/>
      </c>
      <c r="X6439" s="23" t="str">
        <f aca="false">IF(T6439="","",IF(T6439=0,"No discount",IF(T6439&lt;=0.2,"Low (1-20%)",IF(T6439&lt;=0.4,"Medium (21-40%)","High (&gt;40%)"))))</f>
        <v/>
      </c>
      <c r="Y6439" s="23" t="str">
        <f aca="false">IF(AND(ISNUMBER(C6439),ISNUMBER(D6439)),D6439-C6439,"")</f>
        <v/>
      </c>
      <c r="Z6439" s="23" t="str">
        <f aca="false">IF(B6439="","",IF(MATCH(B6439,$B$2:$B$12000,0)=ROW()-1,1,0))</f>
        <v/>
      </c>
    </row>
    <row r="6440" customFormat="false" ht="15" hidden="false" customHeight="false" outlineLevel="0" collapsed="false">
      <c r="V6440" s="23" t="str">
        <f aca="false">IF(ISNUMBER(C6440),YEAR(C6440),"")</f>
        <v/>
      </c>
      <c r="W6440" s="23" t="str">
        <f aca="false">IF(ISNUMBER(C6440),MONTH(C6440),"")</f>
        <v/>
      </c>
      <c r="X6440" s="23" t="str">
        <f aca="false">IF(T6440="","",IF(T6440=0,"No discount",IF(T6440&lt;=0.2,"Low (1-20%)",IF(T6440&lt;=0.4,"Medium (21-40%)","High (&gt;40%)"))))</f>
        <v/>
      </c>
      <c r="Y6440" s="23" t="str">
        <f aca="false">IF(AND(ISNUMBER(C6440),ISNUMBER(D6440)),D6440-C6440,"")</f>
        <v/>
      </c>
      <c r="Z6440" s="23" t="str">
        <f aca="false">IF(B6440="","",IF(MATCH(B6440,$B$2:$B$12000,0)=ROW()-1,1,0))</f>
        <v/>
      </c>
    </row>
    <row r="6441" customFormat="false" ht="15" hidden="false" customHeight="false" outlineLevel="0" collapsed="false">
      <c r="V6441" s="23" t="str">
        <f aca="false">IF(ISNUMBER(C6441),YEAR(C6441),"")</f>
        <v/>
      </c>
      <c r="W6441" s="23" t="str">
        <f aca="false">IF(ISNUMBER(C6441),MONTH(C6441),"")</f>
        <v/>
      </c>
      <c r="X6441" s="23" t="str">
        <f aca="false">IF(T6441="","",IF(T6441=0,"No discount",IF(T6441&lt;=0.2,"Low (1-20%)",IF(T6441&lt;=0.4,"Medium (21-40%)","High (&gt;40%)"))))</f>
        <v/>
      </c>
      <c r="Y6441" s="23" t="str">
        <f aca="false">IF(AND(ISNUMBER(C6441),ISNUMBER(D6441)),D6441-C6441,"")</f>
        <v/>
      </c>
      <c r="Z6441" s="23" t="str">
        <f aca="false">IF(B6441="","",IF(MATCH(B6441,$B$2:$B$12000,0)=ROW()-1,1,0))</f>
        <v/>
      </c>
    </row>
    <row r="6442" customFormat="false" ht="15" hidden="false" customHeight="false" outlineLevel="0" collapsed="false">
      <c r="V6442" s="23" t="str">
        <f aca="false">IF(ISNUMBER(C6442),YEAR(C6442),"")</f>
        <v/>
      </c>
      <c r="W6442" s="23" t="str">
        <f aca="false">IF(ISNUMBER(C6442),MONTH(C6442),"")</f>
        <v/>
      </c>
      <c r="X6442" s="23" t="str">
        <f aca="false">IF(T6442="","",IF(T6442=0,"No discount",IF(T6442&lt;=0.2,"Low (1-20%)",IF(T6442&lt;=0.4,"Medium (21-40%)","High (&gt;40%)"))))</f>
        <v/>
      </c>
      <c r="Y6442" s="23" t="str">
        <f aca="false">IF(AND(ISNUMBER(C6442),ISNUMBER(D6442)),D6442-C6442,"")</f>
        <v/>
      </c>
      <c r="Z6442" s="23" t="str">
        <f aca="false">IF(B6442="","",IF(MATCH(B6442,$B$2:$B$12000,0)=ROW()-1,1,0))</f>
        <v/>
      </c>
    </row>
    <row r="6443" customFormat="false" ht="15" hidden="false" customHeight="false" outlineLevel="0" collapsed="false">
      <c r="V6443" s="23" t="str">
        <f aca="false">IF(ISNUMBER(C6443),YEAR(C6443),"")</f>
        <v/>
      </c>
      <c r="W6443" s="23" t="str">
        <f aca="false">IF(ISNUMBER(C6443),MONTH(C6443),"")</f>
        <v/>
      </c>
      <c r="X6443" s="23" t="str">
        <f aca="false">IF(T6443="","",IF(T6443=0,"No discount",IF(T6443&lt;=0.2,"Low (1-20%)",IF(T6443&lt;=0.4,"Medium (21-40%)","High (&gt;40%)"))))</f>
        <v/>
      </c>
      <c r="Y6443" s="23" t="str">
        <f aca="false">IF(AND(ISNUMBER(C6443),ISNUMBER(D6443)),D6443-C6443,"")</f>
        <v/>
      </c>
      <c r="Z6443" s="23" t="str">
        <f aca="false">IF(B6443="","",IF(MATCH(B6443,$B$2:$B$12000,0)=ROW()-1,1,0))</f>
        <v/>
      </c>
    </row>
    <row r="6444" customFormat="false" ht="15" hidden="false" customHeight="false" outlineLevel="0" collapsed="false">
      <c r="V6444" s="23" t="str">
        <f aca="false">IF(ISNUMBER(C6444),YEAR(C6444),"")</f>
        <v/>
      </c>
      <c r="W6444" s="23" t="str">
        <f aca="false">IF(ISNUMBER(C6444),MONTH(C6444),"")</f>
        <v/>
      </c>
      <c r="X6444" s="23" t="str">
        <f aca="false">IF(T6444="","",IF(T6444=0,"No discount",IF(T6444&lt;=0.2,"Low (1-20%)",IF(T6444&lt;=0.4,"Medium (21-40%)","High (&gt;40%)"))))</f>
        <v/>
      </c>
      <c r="Y6444" s="23" t="str">
        <f aca="false">IF(AND(ISNUMBER(C6444),ISNUMBER(D6444)),D6444-C6444,"")</f>
        <v/>
      </c>
      <c r="Z6444" s="23" t="str">
        <f aca="false">IF(B6444="","",IF(MATCH(B6444,$B$2:$B$12000,0)=ROW()-1,1,0))</f>
        <v/>
      </c>
    </row>
    <row r="6445" customFormat="false" ht="15" hidden="false" customHeight="false" outlineLevel="0" collapsed="false">
      <c r="V6445" s="23" t="str">
        <f aca="false">IF(ISNUMBER(C6445),YEAR(C6445),"")</f>
        <v/>
      </c>
      <c r="W6445" s="23" t="str">
        <f aca="false">IF(ISNUMBER(C6445),MONTH(C6445),"")</f>
        <v/>
      </c>
      <c r="X6445" s="23" t="str">
        <f aca="false">IF(T6445="","",IF(T6445=0,"No discount",IF(T6445&lt;=0.2,"Low (1-20%)",IF(T6445&lt;=0.4,"Medium (21-40%)","High (&gt;40%)"))))</f>
        <v/>
      </c>
      <c r="Y6445" s="23" t="str">
        <f aca="false">IF(AND(ISNUMBER(C6445),ISNUMBER(D6445)),D6445-C6445,"")</f>
        <v/>
      </c>
      <c r="Z6445" s="23" t="str">
        <f aca="false">IF(B6445="","",IF(MATCH(B6445,$B$2:$B$12000,0)=ROW()-1,1,0))</f>
        <v/>
      </c>
    </row>
    <row r="6446" customFormat="false" ht="15" hidden="false" customHeight="false" outlineLevel="0" collapsed="false">
      <c r="V6446" s="23" t="str">
        <f aca="false">IF(ISNUMBER(C6446),YEAR(C6446),"")</f>
        <v/>
      </c>
      <c r="W6446" s="23" t="str">
        <f aca="false">IF(ISNUMBER(C6446),MONTH(C6446),"")</f>
        <v/>
      </c>
      <c r="X6446" s="23" t="str">
        <f aca="false">IF(T6446="","",IF(T6446=0,"No discount",IF(T6446&lt;=0.2,"Low (1-20%)",IF(T6446&lt;=0.4,"Medium (21-40%)","High (&gt;40%)"))))</f>
        <v/>
      </c>
      <c r="Y6446" s="23" t="str">
        <f aca="false">IF(AND(ISNUMBER(C6446),ISNUMBER(D6446)),D6446-C6446,"")</f>
        <v/>
      </c>
      <c r="Z6446" s="23" t="str">
        <f aca="false">IF(B6446="","",IF(MATCH(B6446,$B$2:$B$12000,0)=ROW()-1,1,0))</f>
        <v/>
      </c>
    </row>
    <row r="6447" customFormat="false" ht="15" hidden="false" customHeight="false" outlineLevel="0" collapsed="false">
      <c r="V6447" s="23" t="str">
        <f aca="false">IF(ISNUMBER(C6447),YEAR(C6447),"")</f>
        <v/>
      </c>
      <c r="W6447" s="23" t="str">
        <f aca="false">IF(ISNUMBER(C6447),MONTH(C6447),"")</f>
        <v/>
      </c>
      <c r="X6447" s="23" t="str">
        <f aca="false">IF(T6447="","",IF(T6447=0,"No discount",IF(T6447&lt;=0.2,"Low (1-20%)",IF(T6447&lt;=0.4,"Medium (21-40%)","High (&gt;40%)"))))</f>
        <v/>
      </c>
      <c r="Y6447" s="23" t="str">
        <f aca="false">IF(AND(ISNUMBER(C6447),ISNUMBER(D6447)),D6447-C6447,"")</f>
        <v/>
      </c>
      <c r="Z6447" s="23" t="str">
        <f aca="false">IF(B6447="","",IF(MATCH(B6447,$B$2:$B$12000,0)=ROW()-1,1,0))</f>
        <v/>
      </c>
    </row>
    <row r="6448" customFormat="false" ht="15" hidden="false" customHeight="false" outlineLevel="0" collapsed="false">
      <c r="V6448" s="23" t="str">
        <f aca="false">IF(ISNUMBER(C6448),YEAR(C6448),"")</f>
        <v/>
      </c>
      <c r="W6448" s="23" t="str">
        <f aca="false">IF(ISNUMBER(C6448),MONTH(C6448),"")</f>
        <v/>
      </c>
      <c r="X6448" s="23" t="str">
        <f aca="false">IF(T6448="","",IF(T6448=0,"No discount",IF(T6448&lt;=0.2,"Low (1-20%)",IF(T6448&lt;=0.4,"Medium (21-40%)","High (&gt;40%)"))))</f>
        <v/>
      </c>
      <c r="Y6448" s="23" t="str">
        <f aca="false">IF(AND(ISNUMBER(C6448),ISNUMBER(D6448)),D6448-C6448,"")</f>
        <v/>
      </c>
      <c r="Z6448" s="23" t="str">
        <f aca="false">IF(B6448="","",IF(MATCH(B6448,$B$2:$B$12000,0)=ROW()-1,1,0))</f>
        <v/>
      </c>
    </row>
    <row r="6449" customFormat="false" ht="15" hidden="false" customHeight="false" outlineLevel="0" collapsed="false">
      <c r="V6449" s="23" t="str">
        <f aca="false">IF(ISNUMBER(C6449),YEAR(C6449),"")</f>
        <v/>
      </c>
      <c r="W6449" s="23" t="str">
        <f aca="false">IF(ISNUMBER(C6449),MONTH(C6449),"")</f>
        <v/>
      </c>
      <c r="X6449" s="23" t="str">
        <f aca="false">IF(T6449="","",IF(T6449=0,"No discount",IF(T6449&lt;=0.2,"Low (1-20%)",IF(T6449&lt;=0.4,"Medium (21-40%)","High (&gt;40%)"))))</f>
        <v/>
      </c>
      <c r="Y6449" s="23" t="str">
        <f aca="false">IF(AND(ISNUMBER(C6449),ISNUMBER(D6449)),D6449-C6449,"")</f>
        <v/>
      </c>
      <c r="Z6449" s="23" t="str">
        <f aca="false">IF(B6449="","",IF(MATCH(B6449,$B$2:$B$12000,0)=ROW()-1,1,0))</f>
        <v/>
      </c>
    </row>
    <row r="6450" customFormat="false" ht="15" hidden="false" customHeight="false" outlineLevel="0" collapsed="false">
      <c r="V6450" s="23" t="str">
        <f aca="false">IF(ISNUMBER(C6450),YEAR(C6450),"")</f>
        <v/>
      </c>
      <c r="W6450" s="23" t="str">
        <f aca="false">IF(ISNUMBER(C6450),MONTH(C6450),"")</f>
        <v/>
      </c>
      <c r="X6450" s="23" t="str">
        <f aca="false">IF(T6450="","",IF(T6450=0,"No discount",IF(T6450&lt;=0.2,"Low (1-20%)",IF(T6450&lt;=0.4,"Medium (21-40%)","High (&gt;40%)"))))</f>
        <v/>
      </c>
      <c r="Y6450" s="23" t="str">
        <f aca="false">IF(AND(ISNUMBER(C6450),ISNUMBER(D6450)),D6450-C6450,"")</f>
        <v/>
      </c>
      <c r="Z6450" s="23" t="str">
        <f aca="false">IF(B6450="","",IF(MATCH(B6450,$B$2:$B$12000,0)=ROW()-1,1,0))</f>
        <v/>
      </c>
    </row>
    <row r="6451" customFormat="false" ht="15" hidden="false" customHeight="false" outlineLevel="0" collapsed="false">
      <c r="V6451" s="23" t="str">
        <f aca="false">IF(ISNUMBER(C6451),YEAR(C6451),"")</f>
        <v/>
      </c>
      <c r="W6451" s="23" t="str">
        <f aca="false">IF(ISNUMBER(C6451),MONTH(C6451),"")</f>
        <v/>
      </c>
      <c r="X6451" s="23" t="str">
        <f aca="false">IF(T6451="","",IF(T6451=0,"No discount",IF(T6451&lt;=0.2,"Low (1-20%)",IF(T6451&lt;=0.4,"Medium (21-40%)","High (&gt;40%)"))))</f>
        <v/>
      </c>
      <c r="Y6451" s="23" t="str">
        <f aca="false">IF(AND(ISNUMBER(C6451),ISNUMBER(D6451)),D6451-C6451,"")</f>
        <v/>
      </c>
      <c r="Z6451" s="23" t="str">
        <f aca="false">IF(B6451="","",IF(MATCH(B6451,$B$2:$B$12000,0)=ROW()-1,1,0))</f>
        <v/>
      </c>
    </row>
    <row r="6452" customFormat="false" ht="15" hidden="false" customHeight="false" outlineLevel="0" collapsed="false">
      <c r="V6452" s="23" t="str">
        <f aca="false">IF(ISNUMBER(C6452),YEAR(C6452),"")</f>
        <v/>
      </c>
      <c r="W6452" s="23" t="str">
        <f aca="false">IF(ISNUMBER(C6452),MONTH(C6452),"")</f>
        <v/>
      </c>
      <c r="X6452" s="23" t="str">
        <f aca="false">IF(T6452="","",IF(T6452=0,"No discount",IF(T6452&lt;=0.2,"Low (1-20%)",IF(T6452&lt;=0.4,"Medium (21-40%)","High (&gt;40%)"))))</f>
        <v/>
      </c>
      <c r="Y6452" s="23" t="str">
        <f aca="false">IF(AND(ISNUMBER(C6452),ISNUMBER(D6452)),D6452-C6452,"")</f>
        <v/>
      </c>
      <c r="Z6452" s="23" t="str">
        <f aca="false">IF(B6452="","",IF(MATCH(B6452,$B$2:$B$12000,0)=ROW()-1,1,0))</f>
        <v/>
      </c>
    </row>
    <row r="6453" customFormat="false" ht="15" hidden="false" customHeight="false" outlineLevel="0" collapsed="false">
      <c r="V6453" s="23" t="str">
        <f aca="false">IF(ISNUMBER(C6453),YEAR(C6453),"")</f>
        <v/>
      </c>
      <c r="W6453" s="23" t="str">
        <f aca="false">IF(ISNUMBER(C6453),MONTH(C6453),"")</f>
        <v/>
      </c>
      <c r="X6453" s="23" t="str">
        <f aca="false">IF(T6453="","",IF(T6453=0,"No discount",IF(T6453&lt;=0.2,"Low (1-20%)",IF(T6453&lt;=0.4,"Medium (21-40%)","High (&gt;40%)"))))</f>
        <v/>
      </c>
      <c r="Y6453" s="23" t="str">
        <f aca="false">IF(AND(ISNUMBER(C6453),ISNUMBER(D6453)),D6453-C6453,"")</f>
        <v/>
      </c>
      <c r="Z6453" s="23" t="str">
        <f aca="false">IF(B6453="","",IF(MATCH(B6453,$B$2:$B$12000,0)=ROW()-1,1,0))</f>
        <v/>
      </c>
    </row>
    <row r="6454" customFormat="false" ht="15" hidden="false" customHeight="false" outlineLevel="0" collapsed="false">
      <c r="V6454" s="23" t="str">
        <f aca="false">IF(ISNUMBER(C6454),YEAR(C6454),"")</f>
        <v/>
      </c>
      <c r="W6454" s="23" t="str">
        <f aca="false">IF(ISNUMBER(C6454),MONTH(C6454),"")</f>
        <v/>
      </c>
      <c r="X6454" s="23" t="str">
        <f aca="false">IF(T6454="","",IF(T6454=0,"No discount",IF(T6454&lt;=0.2,"Low (1-20%)",IF(T6454&lt;=0.4,"Medium (21-40%)","High (&gt;40%)"))))</f>
        <v/>
      </c>
      <c r="Y6454" s="23" t="str">
        <f aca="false">IF(AND(ISNUMBER(C6454),ISNUMBER(D6454)),D6454-C6454,"")</f>
        <v/>
      </c>
      <c r="Z6454" s="23" t="str">
        <f aca="false">IF(B6454="","",IF(MATCH(B6454,$B$2:$B$12000,0)=ROW()-1,1,0))</f>
        <v/>
      </c>
    </row>
    <row r="6455" customFormat="false" ht="15" hidden="false" customHeight="false" outlineLevel="0" collapsed="false">
      <c r="V6455" s="23" t="str">
        <f aca="false">IF(ISNUMBER(C6455),YEAR(C6455),"")</f>
        <v/>
      </c>
      <c r="W6455" s="23" t="str">
        <f aca="false">IF(ISNUMBER(C6455),MONTH(C6455),"")</f>
        <v/>
      </c>
      <c r="X6455" s="23" t="str">
        <f aca="false">IF(T6455="","",IF(T6455=0,"No discount",IF(T6455&lt;=0.2,"Low (1-20%)",IF(T6455&lt;=0.4,"Medium (21-40%)","High (&gt;40%)"))))</f>
        <v/>
      </c>
      <c r="Y6455" s="23" t="str">
        <f aca="false">IF(AND(ISNUMBER(C6455),ISNUMBER(D6455)),D6455-C6455,"")</f>
        <v/>
      </c>
      <c r="Z6455" s="23" t="str">
        <f aca="false">IF(B6455="","",IF(MATCH(B6455,$B$2:$B$12000,0)=ROW()-1,1,0))</f>
        <v/>
      </c>
    </row>
    <row r="6456" customFormat="false" ht="15" hidden="false" customHeight="false" outlineLevel="0" collapsed="false">
      <c r="V6456" s="23" t="str">
        <f aca="false">IF(ISNUMBER(C6456),YEAR(C6456),"")</f>
        <v/>
      </c>
      <c r="W6456" s="23" t="str">
        <f aca="false">IF(ISNUMBER(C6456),MONTH(C6456),"")</f>
        <v/>
      </c>
      <c r="X6456" s="23" t="str">
        <f aca="false">IF(T6456="","",IF(T6456=0,"No discount",IF(T6456&lt;=0.2,"Low (1-20%)",IF(T6456&lt;=0.4,"Medium (21-40%)","High (&gt;40%)"))))</f>
        <v/>
      </c>
      <c r="Y6456" s="23" t="str">
        <f aca="false">IF(AND(ISNUMBER(C6456),ISNUMBER(D6456)),D6456-C6456,"")</f>
        <v/>
      </c>
      <c r="Z6456" s="23" t="str">
        <f aca="false">IF(B6456="","",IF(MATCH(B6456,$B$2:$B$12000,0)=ROW()-1,1,0))</f>
        <v/>
      </c>
    </row>
    <row r="6457" customFormat="false" ht="15" hidden="false" customHeight="false" outlineLevel="0" collapsed="false">
      <c r="V6457" s="23" t="str">
        <f aca="false">IF(ISNUMBER(C6457),YEAR(C6457),"")</f>
        <v/>
      </c>
      <c r="W6457" s="23" t="str">
        <f aca="false">IF(ISNUMBER(C6457),MONTH(C6457),"")</f>
        <v/>
      </c>
      <c r="X6457" s="23" t="str">
        <f aca="false">IF(T6457="","",IF(T6457=0,"No discount",IF(T6457&lt;=0.2,"Low (1-20%)",IF(T6457&lt;=0.4,"Medium (21-40%)","High (&gt;40%)"))))</f>
        <v/>
      </c>
      <c r="Y6457" s="23" t="str">
        <f aca="false">IF(AND(ISNUMBER(C6457),ISNUMBER(D6457)),D6457-C6457,"")</f>
        <v/>
      </c>
      <c r="Z6457" s="23" t="str">
        <f aca="false">IF(B6457="","",IF(MATCH(B6457,$B$2:$B$12000,0)=ROW()-1,1,0))</f>
        <v/>
      </c>
    </row>
    <row r="6458" customFormat="false" ht="15" hidden="false" customHeight="false" outlineLevel="0" collapsed="false">
      <c r="V6458" s="23" t="str">
        <f aca="false">IF(ISNUMBER(C6458),YEAR(C6458),"")</f>
        <v/>
      </c>
      <c r="W6458" s="23" t="str">
        <f aca="false">IF(ISNUMBER(C6458),MONTH(C6458),"")</f>
        <v/>
      </c>
      <c r="X6458" s="23" t="str">
        <f aca="false">IF(T6458="","",IF(T6458=0,"No discount",IF(T6458&lt;=0.2,"Low (1-20%)",IF(T6458&lt;=0.4,"Medium (21-40%)","High (&gt;40%)"))))</f>
        <v/>
      </c>
      <c r="Y6458" s="23" t="str">
        <f aca="false">IF(AND(ISNUMBER(C6458),ISNUMBER(D6458)),D6458-C6458,"")</f>
        <v/>
      </c>
      <c r="Z6458" s="23" t="str">
        <f aca="false">IF(B6458="","",IF(MATCH(B6458,$B$2:$B$12000,0)=ROW()-1,1,0))</f>
        <v/>
      </c>
    </row>
    <row r="6459" customFormat="false" ht="15" hidden="false" customHeight="false" outlineLevel="0" collapsed="false">
      <c r="V6459" s="23" t="str">
        <f aca="false">IF(ISNUMBER(C6459),YEAR(C6459),"")</f>
        <v/>
      </c>
      <c r="W6459" s="23" t="str">
        <f aca="false">IF(ISNUMBER(C6459),MONTH(C6459),"")</f>
        <v/>
      </c>
      <c r="X6459" s="23" t="str">
        <f aca="false">IF(T6459="","",IF(T6459=0,"No discount",IF(T6459&lt;=0.2,"Low (1-20%)",IF(T6459&lt;=0.4,"Medium (21-40%)","High (&gt;40%)"))))</f>
        <v/>
      </c>
      <c r="Y6459" s="23" t="str">
        <f aca="false">IF(AND(ISNUMBER(C6459),ISNUMBER(D6459)),D6459-C6459,"")</f>
        <v/>
      </c>
      <c r="Z6459" s="23" t="str">
        <f aca="false">IF(B6459="","",IF(MATCH(B6459,$B$2:$B$12000,0)=ROW()-1,1,0))</f>
        <v/>
      </c>
    </row>
    <row r="6460" customFormat="false" ht="15" hidden="false" customHeight="false" outlineLevel="0" collapsed="false">
      <c r="V6460" s="23" t="str">
        <f aca="false">IF(ISNUMBER(C6460),YEAR(C6460),"")</f>
        <v/>
      </c>
      <c r="W6460" s="23" t="str">
        <f aca="false">IF(ISNUMBER(C6460),MONTH(C6460),"")</f>
        <v/>
      </c>
      <c r="X6460" s="23" t="str">
        <f aca="false">IF(T6460="","",IF(T6460=0,"No discount",IF(T6460&lt;=0.2,"Low (1-20%)",IF(T6460&lt;=0.4,"Medium (21-40%)","High (&gt;40%)"))))</f>
        <v/>
      </c>
      <c r="Y6460" s="23" t="str">
        <f aca="false">IF(AND(ISNUMBER(C6460),ISNUMBER(D6460)),D6460-C6460,"")</f>
        <v/>
      </c>
      <c r="Z6460" s="23" t="str">
        <f aca="false">IF(B6460="","",IF(MATCH(B6460,$B$2:$B$12000,0)=ROW()-1,1,0))</f>
        <v/>
      </c>
    </row>
    <row r="6461" customFormat="false" ht="15" hidden="false" customHeight="false" outlineLevel="0" collapsed="false">
      <c r="V6461" s="23" t="str">
        <f aca="false">IF(ISNUMBER(C6461),YEAR(C6461),"")</f>
        <v/>
      </c>
      <c r="W6461" s="23" t="str">
        <f aca="false">IF(ISNUMBER(C6461),MONTH(C6461),"")</f>
        <v/>
      </c>
      <c r="X6461" s="23" t="str">
        <f aca="false">IF(T6461="","",IF(T6461=0,"No discount",IF(T6461&lt;=0.2,"Low (1-20%)",IF(T6461&lt;=0.4,"Medium (21-40%)","High (&gt;40%)"))))</f>
        <v/>
      </c>
      <c r="Y6461" s="23" t="str">
        <f aca="false">IF(AND(ISNUMBER(C6461),ISNUMBER(D6461)),D6461-C6461,"")</f>
        <v/>
      </c>
      <c r="Z6461" s="23" t="str">
        <f aca="false">IF(B6461="","",IF(MATCH(B6461,$B$2:$B$12000,0)=ROW()-1,1,0))</f>
        <v/>
      </c>
    </row>
    <row r="6462" customFormat="false" ht="15" hidden="false" customHeight="false" outlineLevel="0" collapsed="false">
      <c r="V6462" s="23" t="str">
        <f aca="false">IF(ISNUMBER(C6462),YEAR(C6462),"")</f>
        <v/>
      </c>
      <c r="W6462" s="23" t="str">
        <f aca="false">IF(ISNUMBER(C6462),MONTH(C6462),"")</f>
        <v/>
      </c>
      <c r="X6462" s="23" t="str">
        <f aca="false">IF(T6462="","",IF(T6462=0,"No discount",IF(T6462&lt;=0.2,"Low (1-20%)",IF(T6462&lt;=0.4,"Medium (21-40%)","High (&gt;40%)"))))</f>
        <v/>
      </c>
      <c r="Y6462" s="23" t="str">
        <f aca="false">IF(AND(ISNUMBER(C6462),ISNUMBER(D6462)),D6462-C6462,"")</f>
        <v/>
      </c>
      <c r="Z6462" s="23" t="str">
        <f aca="false">IF(B6462="","",IF(MATCH(B6462,$B$2:$B$12000,0)=ROW()-1,1,0))</f>
        <v/>
      </c>
    </row>
    <row r="6463" customFormat="false" ht="15" hidden="false" customHeight="false" outlineLevel="0" collapsed="false">
      <c r="V6463" s="23" t="str">
        <f aca="false">IF(ISNUMBER(C6463),YEAR(C6463),"")</f>
        <v/>
      </c>
      <c r="W6463" s="23" t="str">
        <f aca="false">IF(ISNUMBER(C6463),MONTH(C6463),"")</f>
        <v/>
      </c>
      <c r="X6463" s="23" t="str">
        <f aca="false">IF(T6463="","",IF(T6463=0,"No discount",IF(T6463&lt;=0.2,"Low (1-20%)",IF(T6463&lt;=0.4,"Medium (21-40%)","High (&gt;40%)"))))</f>
        <v/>
      </c>
      <c r="Y6463" s="23" t="str">
        <f aca="false">IF(AND(ISNUMBER(C6463),ISNUMBER(D6463)),D6463-C6463,"")</f>
        <v/>
      </c>
      <c r="Z6463" s="23" t="str">
        <f aca="false">IF(B6463="","",IF(MATCH(B6463,$B$2:$B$12000,0)=ROW()-1,1,0))</f>
        <v/>
      </c>
    </row>
    <row r="6464" customFormat="false" ht="15" hidden="false" customHeight="false" outlineLevel="0" collapsed="false">
      <c r="V6464" s="23" t="str">
        <f aca="false">IF(ISNUMBER(C6464),YEAR(C6464),"")</f>
        <v/>
      </c>
      <c r="W6464" s="23" t="str">
        <f aca="false">IF(ISNUMBER(C6464),MONTH(C6464),"")</f>
        <v/>
      </c>
      <c r="X6464" s="23" t="str">
        <f aca="false">IF(T6464="","",IF(T6464=0,"No discount",IF(T6464&lt;=0.2,"Low (1-20%)",IF(T6464&lt;=0.4,"Medium (21-40%)","High (&gt;40%)"))))</f>
        <v/>
      </c>
      <c r="Y6464" s="23" t="str">
        <f aca="false">IF(AND(ISNUMBER(C6464),ISNUMBER(D6464)),D6464-C6464,"")</f>
        <v/>
      </c>
      <c r="Z6464" s="23" t="str">
        <f aca="false">IF(B6464="","",IF(MATCH(B6464,$B$2:$B$12000,0)=ROW()-1,1,0))</f>
        <v/>
      </c>
    </row>
    <row r="6465" customFormat="false" ht="15" hidden="false" customHeight="false" outlineLevel="0" collapsed="false">
      <c r="V6465" s="23" t="str">
        <f aca="false">IF(ISNUMBER(C6465),YEAR(C6465),"")</f>
        <v/>
      </c>
      <c r="W6465" s="23" t="str">
        <f aca="false">IF(ISNUMBER(C6465),MONTH(C6465),"")</f>
        <v/>
      </c>
      <c r="X6465" s="23" t="str">
        <f aca="false">IF(T6465="","",IF(T6465=0,"No discount",IF(T6465&lt;=0.2,"Low (1-20%)",IF(T6465&lt;=0.4,"Medium (21-40%)","High (&gt;40%)"))))</f>
        <v/>
      </c>
      <c r="Y6465" s="23" t="str">
        <f aca="false">IF(AND(ISNUMBER(C6465),ISNUMBER(D6465)),D6465-C6465,"")</f>
        <v/>
      </c>
      <c r="Z6465" s="23" t="str">
        <f aca="false">IF(B6465="","",IF(MATCH(B6465,$B$2:$B$12000,0)=ROW()-1,1,0))</f>
        <v/>
      </c>
    </row>
    <row r="6466" customFormat="false" ht="15" hidden="false" customHeight="false" outlineLevel="0" collapsed="false">
      <c r="V6466" s="23" t="str">
        <f aca="false">IF(ISNUMBER(C6466),YEAR(C6466),"")</f>
        <v/>
      </c>
      <c r="W6466" s="23" t="str">
        <f aca="false">IF(ISNUMBER(C6466),MONTH(C6466),"")</f>
        <v/>
      </c>
      <c r="X6466" s="23" t="str">
        <f aca="false">IF(T6466="","",IF(T6466=0,"No discount",IF(T6466&lt;=0.2,"Low (1-20%)",IF(T6466&lt;=0.4,"Medium (21-40%)","High (&gt;40%)"))))</f>
        <v/>
      </c>
      <c r="Y6466" s="23" t="str">
        <f aca="false">IF(AND(ISNUMBER(C6466),ISNUMBER(D6466)),D6466-C6466,"")</f>
        <v/>
      </c>
      <c r="Z6466" s="23" t="str">
        <f aca="false">IF(B6466="","",IF(MATCH(B6466,$B$2:$B$12000,0)=ROW()-1,1,0))</f>
        <v/>
      </c>
    </row>
    <row r="6467" customFormat="false" ht="15" hidden="false" customHeight="false" outlineLevel="0" collapsed="false">
      <c r="V6467" s="23" t="str">
        <f aca="false">IF(ISNUMBER(C6467),YEAR(C6467),"")</f>
        <v/>
      </c>
      <c r="W6467" s="23" t="str">
        <f aca="false">IF(ISNUMBER(C6467),MONTH(C6467),"")</f>
        <v/>
      </c>
      <c r="X6467" s="23" t="str">
        <f aca="false">IF(T6467="","",IF(T6467=0,"No discount",IF(T6467&lt;=0.2,"Low (1-20%)",IF(T6467&lt;=0.4,"Medium (21-40%)","High (&gt;40%)"))))</f>
        <v/>
      </c>
      <c r="Y6467" s="23" t="str">
        <f aca="false">IF(AND(ISNUMBER(C6467),ISNUMBER(D6467)),D6467-C6467,"")</f>
        <v/>
      </c>
      <c r="Z6467" s="23" t="str">
        <f aca="false">IF(B6467="","",IF(MATCH(B6467,$B$2:$B$12000,0)=ROW()-1,1,0))</f>
        <v/>
      </c>
    </row>
    <row r="6468" customFormat="false" ht="15" hidden="false" customHeight="false" outlineLevel="0" collapsed="false">
      <c r="V6468" s="23" t="str">
        <f aca="false">IF(ISNUMBER(C6468),YEAR(C6468),"")</f>
        <v/>
      </c>
      <c r="W6468" s="23" t="str">
        <f aca="false">IF(ISNUMBER(C6468),MONTH(C6468),"")</f>
        <v/>
      </c>
      <c r="X6468" s="23" t="str">
        <f aca="false">IF(T6468="","",IF(T6468=0,"No discount",IF(T6468&lt;=0.2,"Low (1-20%)",IF(T6468&lt;=0.4,"Medium (21-40%)","High (&gt;40%)"))))</f>
        <v/>
      </c>
      <c r="Y6468" s="23" t="str">
        <f aca="false">IF(AND(ISNUMBER(C6468),ISNUMBER(D6468)),D6468-C6468,"")</f>
        <v/>
      </c>
      <c r="Z6468" s="23" t="str">
        <f aca="false">IF(B6468="","",IF(MATCH(B6468,$B$2:$B$12000,0)=ROW()-1,1,0))</f>
        <v/>
      </c>
    </row>
    <row r="6469" customFormat="false" ht="15" hidden="false" customHeight="false" outlineLevel="0" collapsed="false">
      <c r="V6469" s="23" t="str">
        <f aca="false">IF(ISNUMBER(C6469),YEAR(C6469),"")</f>
        <v/>
      </c>
      <c r="W6469" s="23" t="str">
        <f aca="false">IF(ISNUMBER(C6469),MONTH(C6469),"")</f>
        <v/>
      </c>
      <c r="X6469" s="23" t="str">
        <f aca="false">IF(T6469="","",IF(T6469=0,"No discount",IF(T6469&lt;=0.2,"Low (1-20%)",IF(T6469&lt;=0.4,"Medium (21-40%)","High (&gt;40%)"))))</f>
        <v/>
      </c>
      <c r="Y6469" s="23" t="str">
        <f aca="false">IF(AND(ISNUMBER(C6469),ISNUMBER(D6469)),D6469-C6469,"")</f>
        <v/>
      </c>
      <c r="Z6469" s="23" t="str">
        <f aca="false">IF(B6469="","",IF(MATCH(B6469,$B$2:$B$12000,0)=ROW()-1,1,0))</f>
        <v/>
      </c>
    </row>
    <row r="6470" customFormat="false" ht="15" hidden="false" customHeight="false" outlineLevel="0" collapsed="false">
      <c r="V6470" s="23" t="str">
        <f aca="false">IF(ISNUMBER(C6470),YEAR(C6470),"")</f>
        <v/>
      </c>
      <c r="W6470" s="23" t="str">
        <f aca="false">IF(ISNUMBER(C6470),MONTH(C6470),"")</f>
        <v/>
      </c>
      <c r="X6470" s="23" t="str">
        <f aca="false">IF(T6470="","",IF(T6470=0,"No discount",IF(T6470&lt;=0.2,"Low (1-20%)",IF(T6470&lt;=0.4,"Medium (21-40%)","High (&gt;40%)"))))</f>
        <v/>
      </c>
      <c r="Y6470" s="23" t="str">
        <f aca="false">IF(AND(ISNUMBER(C6470),ISNUMBER(D6470)),D6470-C6470,"")</f>
        <v/>
      </c>
      <c r="Z6470" s="23" t="str">
        <f aca="false">IF(B6470="","",IF(MATCH(B6470,$B$2:$B$12000,0)=ROW()-1,1,0))</f>
        <v/>
      </c>
    </row>
    <row r="6471" customFormat="false" ht="15" hidden="false" customHeight="false" outlineLevel="0" collapsed="false">
      <c r="V6471" s="23" t="str">
        <f aca="false">IF(ISNUMBER(C6471),YEAR(C6471),"")</f>
        <v/>
      </c>
      <c r="W6471" s="23" t="str">
        <f aca="false">IF(ISNUMBER(C6471),MONTH(C6471),"")</f>
        <v/>
      </c>
      <c r="X6471" s="23" t="str">
        <f aca="false">IF(T6471="","",IF(T6471=0,"No discount",IF(T6471&lt;=0.2,"Low (1-20%)",IF(T6471&lt;=0.4,"Medium (21-40%)","High (&gt;40%)"))))</f>
        <v/>
      </c>
      <c r="Y6471" s="23" t="str">
        <f aca="false">IF(AND(ISNUMBER(C6471),ISNUMBER(D6471)),D6471-C6471,"")</f>
        <v/>
      </c>
      <c r="Z6471" s="23" t="str">
        <f aca="false">IF(B6471="","",IF(MATCH(B6471,$B$2:$B$12000,0)=ROW()-1,1,0))</f>
        <v/>
      </c>
    </row>
    <row r="6472" customFormat="false" ht="15" hidden="false" customHeight="false" outlineLevel="0" collapsed="false">
      <c r="V6472" s="23" t="str">
        <f aca="false">IF(ISNUMBER(C6472),YEAR(C6472),"")</f>
        <v/>
      </c>
      <c r="W6472" s="23" t="str">
        <f aca="false">IF(ISNUMBER(C6472),MONTH(C6472),"")</f>
        <v/>
      </c>
      <c r="X6472" s="23" t="str">
        <f aca="false">IF(T6472="","",IF(T6472=0,"No discount",IF(T6472&lt;=0.2,"Low (1-20%)",IF(T6472&lt;=0.4,"Medium (21-40%)","High (&gt;40%)"))))</f>
        <v/>
      </c>
      <c r="Y6472" s="23" t="str">
        <f aca="false">IF(AND(ISNUMBER(C6472),ISNUMBER(D6472)),D6472-C6472,"")</f>
        <v/>
      </c>
      <c r="Z6472" s="23" t="str">
        <f aca="false">IF(B6472="","",IF(MATCH(B6472,$B$2:$B$12000,0)=ROW()-1,1,0))</f>
        <v/>
      </c>
    </row>
    <row r="6473" customFormat="false" ht="15" hidden="false" customHeight="false" outlineLevel="0" collapsed="false">
      <c r="V6473" s="23" t="str">
        <f aca="false">IF(ISNUMBER(C6473),YEAR(C6473),"")</f>
        <v/>
      </c>
      <c r="W6473" s="23" t="str">
        <f aca="false">IF(ISNUMBER(C6473),MONTH(C6473),"")</f>
        <v/>
      </c>
      <c r="X6473" s="23" t="str">
        <f aca="false">IF(T6473="","",IF(T6473=0,"No discount",IF(T6473&lt;=0.2,"Low (1-20%)",IF(T6473&lt;=0.4,"Medium (21-40%)","High (&gt;40%)"))))</f>
        <v/>
      </c>
      <c r="Y6473" s="23" t="str">
        <f aca="false">IF(AND(ISNUMBER(C6473),ISNUMBER(D6473)),D6473-C6473,"")</f>
        <v/>
      </c>
      <c r="Z6473" s="23" t="str">
        <f aca="false">IF(B6473="","",IF(MATCH(B6473,$B$2:$B$12000,0)=ROW()-1,1,0))</f>
        <v/>
      </c>
    </row>
    <row r="6474" customFormat="false" ht="15" hidden="false" customHeight="false" outlineLevel="0" collapsed="false">
      <c r="V6474" s="23" t="str">
        <f aca="false">IF(ISNUMBER(C6474),YEAR(C6474),"")</f>
        <v/>
      </c>
      <c r="W6474" s="23" t="str">
        <f aca="false">IF(ISNUMBER(C6474),MONTH(C6474),"")</f>
        <v/>
      </c>
      <c r="X6474" s="23" t="str">
        <f aca="false">IF(T6474="","",IF(T6474=0,"No discount",IF(T6474&lt;=0.2,"Low (1-20%)",IF(T6474&lt;=0.4,"Medium (21-40%)","High (&gt;40%)"))))</f>
        <v/>
      </c>
      <c r="Y6474" s="23" t="str">
        <f aca="false">IF(AND(ISNUMBER(C6474),ISNUMBER(D6474)),D6474-C6474,"")</f>
        <v/>
      </c>
      <c r="Z6474" s="23" t="str">
        <f aca="false">IF(B6474="","",IF(MATCH(B6474,$B$2:$B$12000,0)=ROW()-1,1,0))</f>
        <v/>
      </c>
    </row>
    <row r="6475" customFormat="false" ht="15" hidden="false" customHeight="false" outlineLevel="0" collapsed="false">
      <c r="V6475" s="23" t="str">
        <f aca="false">IF(ISNUMBER(C6475),YEAR(C6475),"")</f>
        <v/>
      </c>
      <c r="W6475" s="23" t="str">
        <f aca="false">IF(ISNUMBER(C6475),MONTH(C6475),"")</f>
        <v/>
      </c>
      <c r="X6475" s="23" t="str">
        <f aca="false">IF(T6475="","",IF(T6475=0,"No discount",IF(T6475&lt;=0.2,"Low (1-20%)",IF(T6475&lt;=0.4,"Medium (21-40%)","High (&gt;40%)"))))</f>
        <v/>
      </c>
      <c r="Y6475" s="23" t="str">
        <f aca="false">IF(AND(ISNUMBER(C6475),ISNUMBER(D6475)),D6475-C6475,"")</f>
        <v/>
      </c>
      <c r="Z6475" s="23" t="str">
        <f aca="false">IF(B6475="","",IF(MATCH(B6475,$B$2:$B$12000,0)=ROW()-1,1,0))</f>
        <v/>
      </c>
    </row>
    <row r="6476" customFormat="false" ht="15" hidden="false" customHeight="false" outlineLevel="0" collapsed="false">
      <c r="V6476" s="23" t="str">
        <f aca="false">IF(ISNUMBER(C6476),YEAR(C6476),"")</f>
        <v/>
      </c>
      <c r="W6476" s="23" t="str">
        <f aca="false">IF(ISNUMBER(C6476),MONTH(C6476),"")</f>
        <v/>
      </c>
      <c r="X6476" s="23" t="str">
        <f aca="false">IF(T6476="","",IF(T6476=0,"No discount",IF(T6476&lt;=0.2,"Low (1-20%)",IF(T6476&lt;=0.4,"Medium (21-40%)","High (&gt;40%)"))))</f>
        <v/>
      </c>
      <c r="Y6476" s="23" t="str">
        <f aca="false">IF(AND(ISNUMBER(C6476),ISNUMBER(D6476)),D6476-C6476,"")</f>
        <v/>
      </c>
      <c r="Z6476" s="23" t="str">
        <f aca="false">IF(B6476="","",IF(MATCH(B6476,$B$2:$B$12000,0)=ROW()-1,1,0))</f>
        <v/>
      </c>
    </row>
    <row r="6477" customFormat="false" ht="15" hidden="false" customHeight="false" outlineLevel="0" collapsed="false">
      <c r="V6477" s="23" t="str">
        <f aca="false">IF(ISNUMBER(C6477),YEAR(C6477),"")</f>
        <v/>
      </c>
      <c r="W6477" s="23" t="str">
        <f aca="false">IF(ISNUMBER(C6477),MONTH(C6477),"")</f>
        <v/>
      </c>
      <c r="X6477" s="23" t="str">
        <f aca="false">IF(T6477="","",IF(T6477=0,"No discount",IF(T6477&lt;=0.2,"Low (1-20%)",IF(T6477&lt;=0.4,"Medium (21-40%)","High (&gt;40%)"))))</f>
        <v/>
      </c>
      <c r="Y6477" s="23" t="str">
        <f aca="false">IF(AND(ISNUMBER(C6477),ISNUMBER(D6477)),D6477-C6477,"")</f>
        <v/>
      </c>
      <c r="Z6477" s="23" t="str">
        <f aca="false">IF(B6477="","",IF(MATCH(B6477,$B$2:$B$12000,0)=ROW()-1,1,0))</f>
        <v/>
      </c>
    </row>
    <row r="6478" customFormat="false" ht="15" hidden="false" customHeight="false" outlineLevel="0" collapsed="false">
      <c r="V6478" s="23" t="str">
        <f aca="false">IF(ISNUMBER(C6478),YEAR(C6478),"")</f>
        <v/>
      </c>
      <c r="W6478" s="23" t="str">
        <f aca="false">IF(ISNUMBER(C6478),MONTH(C6478),"")</f>
        <v/>
      </c>
      <c r="X6478" s="23" t="str">
        <f aca="false">IF(T6478="","",IF(T6478=0,"No discount",IF(T6478&lt;=0.2,"Low (1-20%)",IF(T6478&lt;=0.4,"Medium (21-40%)","High (&gt;40%)"))))</f>
        <v/>
      </c>
      <c r="Y6478" s="23" t="str">
        <f aca="false">IF(AND(ISNUMBER(C6478),ISNUMBER(D6478)),D6478-C6478,"")</f>
        <v/>
      </c>
      <c r="Z6478" s="23" t="str">
        <f aca="false">IF(B6478="","",IF(MATCH(B6478,$B$2:$B$12000,0)=ROW()-1,1,0))</f>
        <v/>
      </c>
    </row>
    <row r="6479" customFormat="false" ht="15" hidden="false" customHeight="false" outlineLevel="0" collapsed="false">
      <c r="V6479" s="23" t="str">
        <f aca="false">IF(ISNUMBER(C6479),YEAR(C6479),"")</f>
        <v/>
      </c>
      <c r="W6479" s="23" t="str">
        <f aca="false">IF(ISNUMBER(C6479),MONTH(C6479),"")</f>
        <v/>
      </c>
      <c r="X6479" s="23" t="str">
        <f aca="false">IF(T6479="","",IF(T6479=0,"No discount",IF(T6479&lt;=0.2,"Low (1-20%)",IF(T6479&lt;=0.4,"Medium (21-40%)","High (&gt;40%)"))))</f>
        <v/>
      </c>
      <c r="Y6479" s="23" t="str">
        <f aca="false">IF(AND(ISNUMBER(C6479),ISNUMBER(D6479)),D6479-C6479,"")</f>
        <v/>
      </c>
      <c r="Z6479" s="23" t="str">
        <f aca="false">IF(B6479="","",IF(MATCH(B6479,$B$2:$B$12000,0)=ROW()-1,1,0))</f>
        <v/>
      </c>
    </row>
    <row r="6480" customFormat="false" ht="15" hidden="false" customHeight="false" outlineLevel="0" collapsed="false">
      <c r="V6480" s="23" t="str">
        <f aca="false">IF(ISNUMBER(C6480),YEAR(C6480),"")</f>
        <v/>
      </c>
      <c r="W6480" s="23" t="str">
        <f aca="false">IF(ISNUMBER(C6480),MONTH(C6480),"")</f>
        <v/>
      </c>
      <c r="X6480" s="23" t="str">
        <f aca="false">IF(T6480="","",IF(T6480=0,"No discount",IF(T6480&lt;=0.2,"Low (1-20%)",IF(T6480&lt;=0.4,"Medium (21-40%)","High (&gt;40%)"))))</f>
        <v/>
      </c>
      <c r="Y6480" s="23" t="str">
        <f aca="false">IF(AND(ISNUMBER(C6480),ISNUMBER(D6480)),D6480-C6480,"")</f>
        <v/>
      </c>
      <c r="Z6480" s="23" t="str">
        <f aca="false">IF(B6480="","",IF(MATCH(B6480,$B$2:$B$12000,0)=ROW()-1,1,0))</f>
        <v/>
      </c>
    </row>
    <row r="6481" customFormat="false" ht="15" hidden="false" customHeight="false" outlineLevel="0" collapsed="false">
      <c r="V6481" s="23" t="str">
        <f aca="false">IF(ISNUMBER(C6481),YEAR(C6481),"")</f>
        <v/>
      </c>
      <c r="W6481" s="23" t="str">
        <f aca="false">IF(ISNUMBER(C6481),MONTH(C6481),"")</f>
        <v/>
      </c>
      <c r="X6481" s="23" t="str">
        <f aca="false">IF(T6481="","",IF(T6481=0,"No discount",IF(T6481&lt;=0.2,"Low (1-20%)",IF(T6481&lt;=0.4,"Medium (21-40%)","High (&gt;40%)"))))</f>
        <v/>
      </c>
      <c r="Y6481" s="23" t="str">
        <f aca="false">IF(AND(ISNUMBER(C6481),ISNUMBER(D6481)),D6481-C6481,"")</f>
        <v/>
      </c>
      <c r="Z6481" s="23" t="str">
        <f aca="false">IF(B6481="","",IF(MATCH(B6481,$B$2:$B$12000,0)=ROW()-1,1,0))</f>
        <v/>
      </c>
    </row>
    <row r="6482" customFormat="false" ht="15" hidden="false" customHeight="false" outlineLevel="0" collapsed="false">
      <c r="V6482" s="23" t="str">
        <f aca="false">IF(ISNUMBER(C6482),YEAR(C6482),"")</f>
        <v/>
      </c>
      <c r="W6482" s="23" t="str">
        <f aca="false">IF(ISNUMBER(C6482),MONTH(C6482),"")</f>
        <v/>
      </c>
      <c r="X6482" s="23" t="str">
        <f aca="false">IF(T6482="","",IF(T6482=0,"No discount",IF(T6482&lt;=0.2,"Low (1-20%)",IF(T6482&lt;=0.4,"Medium (21-40%)","High (&gt;40%)"))))</f>
        <v/>
      </c>
      <c r="Y6482" s="23" t="str">
        <f aca="false">IF(AND(ISNUMBER(C6482),ISNUMBER(D6482)),D6482-C6482,"")</f>
        <v/>
      </c>
      <c r="Z6482" s="23" t="str">
        <f aca="false">IF(B6482="","",IF(MATCH(B6482,$B$2:$B$12000,0)=ROW()-1,1,0))</f>
        <v/>
      </c>
    </row>
    <row r="6483" customFormat="false" ht="15" hidden="false" customHeight="false" outlineLevel="0" collapsed="false">
      <c r="V6483" s="23" t="str">
        <f aca="false">IF(ISNUMBER(C6483),YEAR(C6483),"")</f>
        <v/>
      </c>
      <c r="W6483" s="23" t="str">
        <f aca="false">IF(ISNUMBER(C6483),MONTH(C6483),"")</f>
        <v/>
      </c>
      <c r="X6483" s="23" t="str">
        <f aca="false">IF(T6483="","",IF(T6483=0,"No discount",IF(T6483&lt;=0.2,"Low (1-20%)",IF(T6483&lt;=0.4,"Medium (21-40%)","High (&gt;40%)"))))</f>
        <v/>
      </c>
      <c r="Y6483" s="23" t="str">
        <f aca="false">IF(AND(ISNUMBER(C6483),ISNUMBER(D6483)),D6483-C6483,"")</f>
        <v/>
      </c>
      <c r="Z6483" s="23" t="str">
        <f aca="false">IF(B6483="","",IF(MATCH(B6483,$B$2:$B$12000,0)=ROW()-1,1,0))</f>
        <v/>
      </c>
    </row>
    <row r="6484" customFormat="false" ht="15" hidden="false" customHeight="false" outlineLevel="0" collapsed="false">
      <c r="V6484" s="23" t="str">
        <f aca="false">IF(ISNUMBER(C6484),YEAR(C6484),"")</f>
        <v/>
      </c>
      <c r="W6484" s="23" t="str">
        <f aca="false">IF(ISNUMBER(C6484),MONTH(C6484),"")</f>
        <v/>
      </c>
      <c r="X6484" s="23" t="str">
        <f aca="false">IF(T6484="","",IF(T6484=0,"No discount",IF(T6484&lt;=0.2,"Low (1-20%)",IF(T6484&lt;=0.4,"Medium (21-40%)","High (&gt;40%)"))))</f>
        <v/>
      </c>
      <c r="Y6484" s="23" t="str">
        <f aca="false">IF(AND(ISNUMBER(C6484),ISNUMBER(D6484)),D6484-C6484,"")</f>
        <v/>
      </c>
      <c r="Z6484" s="23" t="str">
        <f aca="false">IF(B6484="","",IF(MATCH(B6484,$B$2:$B$12000,0)=ROW()-1,1,0))</f>
        <v/>
      </c>
    </row>
    <row r="6485" customFormat="false" ht="15" hidden="false" customHeight="false" outlineLevel="0" collapsed="false">
      <c r="V6485" s="23" t="str">
        <f aca="false">IF(ISNUMBER(C6485),YEAR(C6485),"")</f>
        <v/>
      </c>
      <c r="W6485" s="23" t="str">
        <f aca="false">IF(ISNUMBER(C6485),MONTH(C6485),"")</f>
        <v/>
      </c>
      <c r="X6485" s="23" t="str">
        <f aca="false">IF(T6485="","",IF(T6485=0,"No discount",IF(T6485&lt;=0.2,"Low (1-20%)",IF(T6485&lt;=0.4,"Medium (21-40%)","High (&gt;40%)"))))</f>
        <v/>
      </c>
      <c r="Y6485" s="23" t="str">
        <f aca="false">IF(AND(ISNUMBER(C6485),ISNUMBER(D6485)),D6485-C6485,"")</f>
        <v/>
      </c>
      <c r="Z6485" s="23" t="str">
        <f aca="false">IF(B6485="","",IF(MATCH(B6485,$B$2:$B$12000,0)=ROW()-1,1,0))</f>
        <v/>
      </c>
    </row>
    <row r="6486" customFormat="false" ht="15" hidden="false" customHeight="false" outlineLevel="0" collapsed="false">
      <c r="V6486" s="23" t="str">
        <f aca="false">IF(ISNUMBER(C6486),YEAR(C6486),"")</f>
        <v/>
      </c>
      <c r="W6486" s="23" t="str">
        <f aca="false">IF(ISNUMBER(C6486),MONTH(C6486),"")</f>
        <v/>
      </c>
      <c r="X6486" s="23" t="str">
        <f aca="false">IF(T6486="","",IF(T6486=0,"No discount",IF(T6486&lt;=0.2,"Low (1-20%)",IF(T6486&lt;=0.4,"Medium (21-40%)","High (&gt;40%)"))))</f>
        <v/>
      </c>
      <c r="Y6486" s="23" t="str">
        <f aca="false">IF(AND(ISNUMBER(C6486),ISNUMBER(D6486)),D6486-C6486,"")</f>
        <v/>
      </c>
      <c r="Z6486" s="23" t="str">
        <f aca="false">IF(B6486="","",IF(MATCH(B6486,$B$2:$B$12000,0)=ROW()-1,1,0))</f>
        <v/>
      </c>
    </row>
    <row r="6487" customFormat="false" ht="15" hidden="false" customHeight="false" outlineLevel="0" collapsed="false">
      <c r="V6487" s="23" t="str">
        <f aca="false">IF(ISNUMBER(C6487),YEAR(C6487),"")</f>
        <v/>
      </c>
      <c r="W6487" s="23" t="str">
        <f aca="false">IF(ISNUMBER(C6487),MONTH(C6487),"")</f>
        <v/>
      </c>
      <c r="X6487" s="23" t="str">
        <f aca="false">IF(T6487="","",IF(T6487=0,"No discount",IF(T6487&lt;=0.2,"Low (1-20%)",IF(T6487&lt;=0.4,"Medium (21-40%)","High (&gt;40%)"))))</f>
        <v/>
      </c>
      <c r="Y6487" s="23" t="str">
        <f aca="false">IF(AND(ISNUMBER(C6487),ISNUMBER(D6487)),D6487-C6487,"")</f>
        <v/>
      </c>
      <c r="Z6487" s="23" t="str">
        <f aca="false">IF(B6487="","",IF(MATCH(B6487,$B$2:$B$12000,0)=ROW()-1,1,0))</f>
        <v/>
      </c>
    </row>
    <row r="6488" customFormat="false" ht="15" hidden="false" customHeight="false" outlineLevel="0" collapsed="false">
      <c r="V6488" s="23" t="str">
        <f aca="false">IF(ISNUMBER(C6488),YEAR(C6488),"")</f>
        <v/>
      </c>
      <c r="W6488" s="23" t="str">
        <f aca="false">IF(ISNUMBER(C6488),MONTH(C6488),"")</f>
        <v/>
      </c>
      <c r="X6488" s="23" t="str">
        <f aca="false">IF(T6488="","",IF(T6488=0,"No discount",IF(T6488&lt;=0.2,"Low (1-20%)",IF(T6488&lt;=0.4,"Medium (21-40%)","High (&gt;40%)"))))</f>
        <v/>
      </c>
      <c r="Y6488" s="23" t="str">
        <f aca="false">IF(AND(ISNUMBER(C6488),ISNUMBER(D6488)),D6488-C6488,"")</f>
        <v/>
      </c>
      <c r="Z6488" s="23" t="str">
        <f aca="false">IF(B6488="","",IF(MATCH(B6488,$B$2:$B$12000,0)=ROW()-1,1,0))</f>
        <v/>
      </c>
    </row>
    <row r="6489" customFormat="false" ht="15" hidden="false" customHeight="false" outlineLevel="0" collapsed="false">
      <c r="V6489" s="23" t="str">
        <f aca="false">IF(ISNUMBER(C6489),YEAR(C6489),"")</f>
        <v/>
      </c>
      <c r="W6489" s="23" t="str">
        <f aca="false">IF(ISNUMBER(C6489),MONTH(C6489),"")</f>
        <v/>
      </c>
      <c r="X6489" s="23" t="str">
        <f aca="false">IF(T6489="","",IF(T6489=0,"No discount",IF(T6489&lt;=0.2,"Low (1-20%)",IF(T6489&lt;=0.4,"Medium (21-40%)","High (&gt;40%)"))))</f>
        <v/>
      </c>
      <c r="Y6489" s="23" t="str">
        <f aca="false">IF(AND(ISNUMBER(C6489),ISNUMBER(D6489)),D6489-C6489,"")</f>
        <v/>
      </c>
      <c r="Z6489" s="23" t="str">
        <f aca="false">IF(B6489="","",IF(MATCH(B6489,$B$2:$B$12000,0)=ROW()-1,1,0))</f>
        <v/>
      </c>
    </row>
    <row r="6490" customFormat="false" ht="15" hidden="false" customHeight="false" outlineLevel="0" collapsed="false">
      <c r="V6490" s="23" t="str">
        <f aca="false">IF(ISNUMBER(C6490),YEAR(C6490),"")</f>
        <v/>
      </c>
      <c r="W6490" s="23" t="str">
        <f aca="false">IF(ISNUMBER(C6490),MONTH(C6490),"")</f>
        <v/>
      </c>
      <c r="X6490" s="23" t="str">
        <f aca="false">IF(T6490="","",IF(T6490=0,"No discount",IF(T6490&lt;=0.2,"Low (1-20%)",IF(T6490&lt;=0.4,"Medium (21-40%)","High (&gt;40%)"))))</f>
        <v/>
      </c>
      <c r="Y6490" s="23" t="str">
        <f aca="false">IF(AND(ISNUMBER(C6490),ISNUMBER(D6490)),D6490-C6490,"")</f>
        <v/>
      </c>
      <c r="Z6490" s="23" t="str">
        <f aca="false">IF(B6490="","",IF(MATCH(B6490,$B$2:$B$12000,0)=ROW()-1,1,0))</f>
        <v/>
      </c>
    </row>
    <row r="6491" customFormat="false" ht="15" hidden="false" customHeight="false" outlineLevel="0" collapsed="false">
      <c r="V6491" s="23" t="str">
        <f aca="false">IF(ISNUMBER(C6491),YEAR(C6491),"")</f>
        <v/>
      </c>
      <c r="W6491" s="23" t="str">
        <f aca="false">IF(ISNUMBER(C6491),MONTH(C6491),"")</f>
        <v/>
      </c>
      <c r="X6491" s="23" t="str">
        <f aca="false">IF(T6491="","",IF(T6491=0,"No discount",IF(T6491&lt;=0.2,"Low (1-20%)",IF(T6491&lt;=0.4,"Medium (21-40%)","High (&gt;40%)"))))</f>
        <v/>
      </c>
      <c r="Y6491" s="23" t="str">
        <f aca="false">IF(AND(ISNUMBER(C6491),ISNUMBER(D6491)),D6491-C6491,"")</f>
        <v/>
      </c>
      <c r="Z6491" s="23" t="str">
        <f aca="false">IF(B6491="","",IF(MATCH(B6491,$B$2:$B$12000,0)=ROW()-1,1,0))</f>
        <v/>
      </c>
    </row>
    <row r="6492" customFormat="false" ht="15" hidden="false" customHeight="false" outlineLevel="0" collapsed="false">
      <c r="V6492" s="23" t="str">
        <f aca="false">IF(ISNUMBER(C6492),YEAR(C6492),"")</f>
        <v/>
      </c>
      <c r="W6492" s="23" t="str">
        <f aca="false">IF(ISNUMBER(C6492),MONTH(C6492),"")</f>
        <v/>
      </c>
      <c r="X6492" s="23" t="str">
        <f aca="false">IF(T6492="","",IF(T6492=0,"No discount",IF(T6492&lt;=0.2,"Low (1-20%)",IF(T6492&lt;=0.4,"Medium (21-40%)","High (&gt;40%)"))))</f>
        <v/>
      </c>
      <c r="Y6492" s="23" t="str">
        <f aca="false">IF(AND(ISNUMBER(C6492),ISNUMBER(D6492)),D6492-C6492,"")</f>
        <v/>
      </c>
      <c r="Z6492" s="23" t="str">
        <f aca="false">IF(B6492="","",IF(MATCH(B6492,$B$2:$B$12000,0)=ROW()-1,1,0))</f>
        <v/>
      </c>
    </row>
    <row r="6493" customFormat="false" ht="15" hidden="false" customHeight="false" outlineLevel="0" collapsed="false">
      <c r="V6493" s="23" t="str">
        <f aca="false">IF(ISNUMBER(C6493),YEAR(C6493),"")</f>
        <v/>
      </c>
      <c r="W6493" s="23" t="str">
        <f aca="false">IF(ISNUMBER(C6493),MONTH(C6493),"")</f>
        <v/>
      </c>
      <c r="X6493" s="23" t="str">
        <f aca="false">IF(T6493="","",IF(T6493=0,"No discount",IF(T6493&lt;=0.2,"Low (1-20%)",IF(T6493&lt;=0.4,"Medium (21-40%)","High (&gt;40%)"))))</f>
        <v/>
      </c>
      <c r="Y6493" s="23" t="str">
        <f aca="false">IF(AND(ISNUMBER(C6493),ISNUMBER(D6493)),D6493-C6493,"")</f>
        <v/>
      </c>
      <c r="Z6493" s="23" t="str">
        <f aca="false">IF(B6493="","",IF(MATCH(B6493,$B$2:$B$12000,0)=ROW()-1,1,0))</f>
        <v/>
      </c>
    </row>
    <row r="6494" customFormat="false" ht="15" hidden="false" customHeight="false" outlineLevel="0" collapsed="false">
      <c r="V6494" s="23" t="str">
        <f aca="false">IF(ISNUMBER(C6494),YEAR(C6494),"")</f>
        <v/>
      </c>
      <c r="W6494" s="23" t="str">
        <f aca="false">IF(ISNUMBER(C6494),MONTH(C6494),"")</f>
        <v/>
      </c>
      <c r="X6494" s="23" t="str">
        <f aca="false">IF(T6494="","",IF(T6494=0,"No discount",IF(T6494&lt;=0.2,"Low (1-20%)",IF(T6494&lt;=0.4,"Medium (21-40%)","High (&gt;40%)"))))</f>
        <v/>
      </c>
      <c r="Y6494" s="23" t="str">
        <f aca="false">IF(AND(ISNUMBER(C6494),ISNUMBER(D6494)),D6494-C6494,"")</f>
        <v/>
      </c>
      <c r="Z6494" s="23" t="str">
        <f aca="false">IF(B6494="","",IF(MATCH(B6494,$B$2:$B$12000,0)=ROW()-1,1,0))</f>
        <v/>
      </c>
    </row>
    <row r="6495" customFormat="false" ht="15" hidden="false" customHeight="false" outlineLevel="0" collapsed="false">
      <c r="V6495" s="23" t="str">
        <f aca="false">IF(ISNUMBER(C6495),YEAR(C6495),"")</f>
        <v/>
      </c>
      <c r="W6495" s="23" t="str">
        <f aca="false">IF(ISNUMBER(C6495),MONTH(C6495),"")</f>
        <v/>
      </c>
      <c r="X6495" s="23" t="str">
        <f aca="false">IF(T6495="","",IF(T6495=0,"No discount",IF(T6495&lt;=0.2,"Low (1-20%)",IF(T6495&lt;=0.4,"Medium (21-40%)","High (&gt;40%)"))))</f>
        <v/>
      </c>
      <c r="Y6495" s="23" t="str">
        <f aca="false">IF(AND(ISNUMBER(C6495),ISNUMBER(D6495)),D6495-C6495,"")</f>
        <v/>
      </c>
      <c r="Z6495" s="23" t="str">
        <f aca="false">IF(B6495="","",IF(MATCH(B6495,$B$2:$B$12000,0)=ROW()-1,1,0))</f>
        <v/>
      </c>
    </row>
    <row r="6496" customFormat="false" ht="15" hidden="false" customHeight="false" outlineLevel="0" collapsed="false">
      <c r="V6496" s="23" t="str">
        <f aca="false">IF(ISNUMBER(C6496),YEAR(C6496),"")</f>
        <v/>
      </c>
      <c r="W6496" s="23" t="str">
        <f aca="false">IF(ISNUMBER(C6496),MONTH(C6496),"")</f>
        <v/>
      </c>
      <c r="X6496" s="23" t="str">
        <f aca="false">IF(T6496="","",IF(T6496=0,"No discount",IF(T6496&lt;=0.2,"Low (1-20%)",IF(T6496&lt;=0.4,"Medium (21-40%)","High (&gt;40%)"))))</f>
        <v/>
      </c>
      <c r="Y6496" s="23" t="str">
        <f aca="false">IF(AND(ISNUMBER(C6496),ISNUMBER(D6496)),D6496-C6496,"")</f>
        <v/>
      </c>
      <c r="Z6496" s="23" t="str">
        <f aca="false">IF(B6496="","",IF(MATCH(B6496,$B$2:$B$12000,0)=ROW()-1,1,0))</f>
        <v/>
      </c>
    </row>
    <row r="6497" customFormat="false" ht="15" hidden="false" customHeight="false" outlineLevel="0" collapsed="false">
      <c r="V6497" s="23" t="str">
        <f aca="false">IF(ISNUMBER(C6497),YEAR(C6497),"")</f>
        <v/>
      </c>
      <c r="W6497" s="23" t="str">
        <f aca="false">IF(ISNUMBER(C6497),MONTH(C6497),"")</f>
        <v/>
      </c>
      <c r="X6497" s="23" t="str">
        <f aca="false">IF(T6497="","",IF(T6497=0,"No discount",IF(T6497&lt;=0.2,"Low (1-20%)",IF(T6497&lt;=0.4,"Medium (21-40%)","High (&gt;40%)"))))</f>
        <v/>
      </c>
      <c r="Y6497" s="23" t="str">
        <f aca="false">IF(AND(ISNUMBER(C6497),ISNUMBER(D6497)),D6497-C6497,"")</f>
        <v/>
      </c>
      <c r="Z6497" s="23" t="str">
        <f aca="false">IF(B6497="","",IF(MATCH(B6497,$B$2:$B$12000,0)=ROW()-1,1,0))</f>
        <v/>
      </c>
    </row>
    <row r="6498" customFormat="false" ht="15" hidden="false" customHeight="false" outlineLevel="0" collapsed="false">
      <c r="V6498" s="23" t="str">
        <f aca="false">IF(ISNUMBER(C6498),YEAR(C6498),"")</f>
        <v/>
      </c>
      <c r="W6498" s="23" t="str">
        <f aca="false">IF(ISNUMBER(C6498),MONTH(C6498),"")</f>
        <v/>
      </c>
      <c r="X6498" s="23" t="str">
        <f aca="false">IF(T6498="","",IF(T6498=0,"No discount",IF(T6498&lt;=0.2,"Low (1-20%)",IF(T6498&lt;=0.4,"Medium (21-40%)","High (&gt;40%)"))))</f>
        <v/>
      </c>
      <c r="Y6498" s="23" t="str">
        <f aca="false">IF(AND(ISNUMBER(C6498),ISNUMBER(D6498)),D6498-C6498,"")</f>
        <v/>
      </c>
      <c r="Z6498" s="23" t="str">
        <f aca="false">IF(B6498="","",IF(MATCH(B6498,$B$2:$B$12000,0)=ROW()-1,1,0))</f>
        <v/>
      </c>
    </row>
    <row r="6499" customFormat="false" ht="15" hidden="false" customHeight="false" outlineLevel="0" collapsed="false">
      <c r="V6499" s="23" t="str">
        <f aca="false">IF(ISNUMBER(C6499),YEAR(C6499),"")</f>
        <v/>
      </c>
      <c r="W6499" s="23" t="str">
        <f aca="false">IF(ISNUMBER(C6499),MONTH(C6499),"")</f>
        <v/>
      </c>
      <c r="X6499" s="23" t="str">
        <f aca="false">IF(T6499="","",IF(T6499=0,"No discount",IF(T6499&lt;=0.2,"Low (1-20%)",IF(T6499&lt;=0.4,"Medium (21-40%)","High (&gt;40%)"))))</f>
        <v/>
      </c>
      <c r="Y6499" s="23" t="str">
        <f aca="false">IF(AND(ISNUMBER(C6499),ISNUMBER(D6499)),D6499-C6499,"")</f>
        <v/>
      </c>
      <c r="Z6499" s="23" t="str">
        <f aca="false">IF(B6499="","",IF(MATCH(B6499,$B$2:$B$12000,0)=ROW()-1,1,0))</f>
        <v/>
      </c>
    </row>
    <row r="6500" customFormat="false" ht="15" hidden="false" customHeight="false" outlineLevel="0" collapsed="false">
      <c r="V6500" s="23" t="str">
        <f aca="false">IF(ISNUMBER(C6500),YEAR(C6500),"")</f>
        <v/>
      </c>
      <c r="W6500" s="23" t="str">
        <f aca="false">IF(ISNUMBER(C6500),MONTH(C6500),"")</f>
        <v/>
      </c>
      <c r="X6500" s="23" t="str">
        <f aca="false">IF(T6500="","",IF(T6500=0,"No discount",IF(T6500&lt;=0.2,"Low (1-20%)",IF(T6500&lt;=0.4,"Medium (21-40%)","High (&gt;40%)"))))</f>
        <v/>
      </c>
      <c r="Y6500" s="23" t="str">
        <f aca="false">IF(AND(ISNUMBER(C6500),ISNUMBER(D6500)),D6500-C6500,"")</f>
        <v/>
      </c>
      <c r="Z6500" s="23" t="str">
        <f aca="false">IF(B6500="","",IF(MATCH(B6500,$B$2:$B$12000,0)=ROW()-1,1,0))</f>
        <v/>
      </c>
    </row>
    <row r="6501" customFormat="false" ht="15" hidden="false" customHeight="false" outlineLevel="0" collapsed="false">
      <c r="V6501" s="23" t="str">
        <f aca="false">IF(ISNUMBER(C6501),YEAR(C6501),"")</f>
        <v/>
      </c>
      <c r="W6501" s="23" t="str">
        <f aca="false">IF(ISNUMBER(C6501),MONTH(C6501),"")</f>
        <v/>
      </c>
      <c r="X6501" s="23" t="str">
        <f aca="false">IF(T6501="","",IF(T6501=0,"No discount",IF(T6501&lt;=0.2,"Low (1-20%)",IF(T6501&lt;=0.4,"Medium (21-40%)","High (&gt;40%)"))))</f>
        <v/>
      </c>
      <c r="Y6501" s="23" t="str">
        <f aca="false">IF(AND(ISNUMBER(C6501),ISNUMBER(D6501)),D6501-C6501,"")</f>
        <v/>
      </c>
      <c r="Z6501" s="23" t="str">
        <f aca="false">IF(B6501="","",IF(MATCH(B6501,$B$2:$B$12000,0)=ROW()-1,1,0))</f>
        <v/>
      </c>
    </row>
    <row r="6502" customFormat="false" ht="15" hidden="false" customHeight="false" outlineLevel="0" collapsed="false">
      <c r="V6502" s="23" t="str">
        <f aca="false">IF(ISNUMBER(C6502),YEAR(C6502),"")</f>
        <v/>
      </c>
      <c r="W6502" s="23" t="str">
        <f aca="false">IF(ISNUMBER(C6502),MONTH(C6502),"")</f>
        <v/>
      </c>
      <c r="X6502" s="23" t="str">
        <f aca="false">IF(T6502="","",IF(T6502=0,"No discount",IF(T6502&lt;=0.2,"Low (1-20%)",IF(T6502&lt;=0.4,"Medium (21-40%)","High (&gt;40%)"))))</f>
        <v/>
      </c>
      <c r="Y6502" s="23" t="str">
        <f aca="false">IF(AND(ISNUMBER(C6502),ISNUMBER(D6502)),D6502-C6502,"")</f>
        <v/>
      </c>
      <c r="Z6502" s="23" t="str">
        <f aca="false">IF(B6502="","",IF(MATCH(B6502,$B$2:$B$12000,0)=ROW()-1,1,0))</f>
        <v/>
      </c>
    </row>
    <row r="6503" customFormat="false" ht="15" hidden="false" customHeight="false" outlineLevel="0" collapsed="false">
      <c r="V6503" s="23" t="str">
        <f aca="false">IF(ISNUMBER(C6503),YEAR(C6503),"")</f>
        <v/>
      </c>
      <c r="W6503" s="23" t="str">
        <f aca="false">IF(ISNUMBER(C6503),MONTH(C6503),"")</f>
        <v/>
      </c>
      <c r="X6503" s="23" t="str">
        <f aca="false">IF(T6503="","",IF(T6503=0,"No discount",IF(T6503&lt;=0.2,"Low (1-20%)",IF(T6503&lt;=0.4,"Medium (21-40%)","High (&gt;40%)"))))</f>
        <v/>
      </c>
      <c r="Y6503" s="23" t="str">
        <f aca="false">IF(AND(ISNUMBER(C6503),ISNUMBER(D6503)),D6503-C6503,"")</f>
        <v/>
      </c>
      <c r="Z6503" s="23" t="str">
        <f aca="false">IF(B6503="","",IF(MATCH(B6503,$B$2:$B$12000,0)=ROW()-1,1,0))</f>
        <v/>
      </c>
    </row>
    <row r="6504" customFormat="false" ht="15" hidden="false" customHeight="false" outlineLevel="0" collapsed="false">
      <c r="V6504" s="23" t="str">
        <f aca="false">IF(ISNUMBER(C6504),YEAR(C6504),"")</f>
        <v/>
      </c>
      <c r="W6504" s="23" t="str">
        <f aca="false">IF(ISNUMBER(C6504),MONTH(C6504),"")</f>
        <v/>
      </c>
      <c r="X6504" s="23" t="str">
        <f aca="false">IF(T6504="","",IF(T6504=0,"No discount",IF(T6504&lt;=0.2,"Low (1-20%)",IF(T6504&lt;=0.4,"Medium (21-40%)","High (&gt;40%)"))))</f>
        <v/>
      </c>
      <c r="Y6504" s="23" t="str">
        <f aca="false">IF(AND(ISNUMBER(C6504),ISNUMBER(D6504)),D6504-C6504,"")</f>
        <v/>
      </c>
      <c r="Z6504" s="23" t="str">
        <f aca="false">IF(B6504="","",IF(MATCH(B6504,$B$2:$B$12000,0)=ROW()-1,1,0))</f>
        <v/>
      </c>
    </row>
    <row r="6505" customFormat="false" ht="15" hidden="false" customHeight="false" outlineLevel="0" collapsed="false">
      <c r="V6505" s="23" t="str">
        <f aca="false">IF(ISNUMBER(C6505),YEAR(C6505),"")</f>
        <v/>
      </c>
      <c r="W6505" s="23" t="str">
        <f aca="false">IF(ISNUMBER(C6505),MONTH(C6505),"")</f>
        <v/>
      </c>
      <c r="X6505" s="23" t="str">
        <f aca="false">IF(T6505="","",IF(T6505=0,"No discount",IF(T6505&lt;=0.2,"Low (1-20%)",IF(T6505&lt;=0.4,"Medium (21-40%)","High (&gt;40%)"))))</f>
        <v/>
      </c>
      <c r="Y6505" s="23" t="str">
        <f aca="false">IF(AND(ISNUMBER(C6505),ISNUMBER(D6505)),D6505-C6505,"")</f>
        <v/>
      </c>
      <c r="Z6505" s="23" t="str">
        <f aca="false">IF(B6505="","",IF(MATCH(B6505,$B$2:$B$12000,0)=ROW()-1,1,0))</f>
        <v/>
      </c>
    </row>
    <row r="6506" customFormat="false" ht="15" hidden="false" customHeight="false" outlineLevel="0" collapsed="false">
      <c r="V6506" s="23" t="str">
        <f aca="false">IF(ISNUMBER(C6506),YEAR(C6506),"")</f>
        <v/>
      </c>
      <c r="W6506" s="23" t="str">
        <f aca="false">IF(ISNUMBER(C6506),MONTH(C6506),"")</f>
        <v/>
      </c>
      <c r="X6506" s="23" t="str">
        <f aca="false">IF(T6506="","",IF(T6506=0,"No discount",IF(T6506&lt;=0.2,"Low (1-20%)",IF(T6506&lt;=0.4,"Medium (21-40%)","High (&gt;40%)"))))</f>
        <v/>
      </c>
      <c r="Y6506" s="23" t="str">
        <f aca="false">IF(AND(ISNUMBER(C6506),ISNUMBER(D6506)),D6506-C6506,"")</f>
        <v/>
      </c>
      <c r="Z6506" s="23" t="str">
        <f aca="false">IF(B6506="","",IF(MATCH(B6506,$B$2:$B$12000,0)=ROW()-1,1,0))</f>
        <v/>
      </c>
    </row>
    <row r="6507" customFormat="false" ht="15" hidden="false" customHeight="false" outlineLevel="0" collapsed="false">
      <c r="V6507" s="23" t="str">
        <f aca="false">IF(ISNUMBER(C6507),YEAR(C6507),"")</f>
        <v/>
      </c>
      <c r="W6507" s="23" t="str">
        <f aca="false">IF(ISNUMBER(C6507),MONTH(C6507),"")</f>
        <v/>
      </c>
      <c r="X6507" s="23" t="str">
        <f aca="false">IF(T6507="","",IF(T6507=0,"No discount",IF(T6507&lt;=0.2,"Low (1-20%)",IF(T6507&lt;=0.4,"Medium (21-40%)","High (&gt;40%)"))))</f>
        <v/>
      </c>
      <c r="Y6507" s="23" t="str">
        <f aca="false">IF(AND(ISNUMBER(C6507),ISNUMBER(D6507)),D6507-C6507,"")</f>
        <v/>
      </c>
      <c r="Z6507" s="23" t="str">
        <f aca="false">IF(B6507="","",IF(MATCH(B6507,$B$2:$B$12000,0)=ROW()-1,1,0))</f>
        <v/>
      </c>
    </row>
    <row r="6508" customFormat="false" ht="15" hidden="false" customHeight="false" outlineLevel="0" collapsed="false">
      <c r="V6508" s="23" t="str">
        <f aca="false">IF(ISNUMBER(C6508),YEAR(C6508),"")</f>
        <v/>
      </c>
      <c r="W6508" s="23" t="str">
        <f aca="false">IF(ISNUMBER(C6508),MONTH(C6508),"")</f>
        <v/>
      </c>
      <c r="X6508" s="23" t="str">
        <f aca="false">IF(T6508="","",IF(T6508=0,"No discount",IF(T6508&lt;=0.2,"Low (1-20%)",IF(T6508&lt;=0.4,"Medium (21-40%)","High (&gt;40%)"))))</f>
        <v/>
      </c>
      <c r="Y6508" s="23" t="str">
        <f aca="false">IF(AND(ISNUMBER(C6508),ISNUMBER(D6508)),D6508-C6508,"")</f>
        <v/>
      </c>
      <c r="Z6508" s="23" t="str">
        <f aca="false">IF(B6508="","",IF(MATCH(B6508,$B$2:$B$12000,0)=ROW()-1,1,0))</f>
        <v/>
      </c>
    </row>
    <row r="6509" customFormat="false" ht="15" hidden="false" customHeight="false" outlineLevel="0" collapsed="false">
      <c r="V6509" s="23" t="str">
        <f aca="false">IF(ISNUMBER(C6509),YEAR(C6509),"")</f>
        <v/>
      </c>
      <c r="W6509" s="23" t="str">
        <f aca="false">IF(ISNUMBER(C6509),MONTH(C6509),"")</f>
        <v/>
      </c>
      <c r="X6509" s="23" t="str">
        <f aca="false">IF(T6509="","",IF(T6509=0,"No discount",IF(T6509&lt;=0.2,"Low (1-20%)",IF(T6509&lt;=0.4,"Medium (21-40%)","High (&gt;40%)"))))</f>
        <v/>
      </c>
      <c r="Y6509" s="23" t="str">
        <f aca="false">IF(AND(ISNUMBER(C6509),ISNUMBER(D6509)),D6509-C6509,"")</f>
        <v/>
      </c>
      <c r="Z6509" s="23" t="str">
        <f aca="false">IF(B6509="","",IF(MATCH(B6509,$B$2:$B$12000,0)=ROW()-1,1,0))</f>
        <v/>
      </c>
    </row>
    <row r="6510" customFormat="false" ht="15" hidden="false" customHeight="false" outlineLevel="0" collapsed="false">
      <c r="V6510" s="23" t="str">
        <f aca="false">IF(ISNUMBER(C6510),YEAR(C6510),"")</f>
        <v/>
      </c>
      <c r="W6510" s="23" t="str">
        <f aca="false">IF(ISNUMBER(C6510),MONTH(C6510),"")</f>
        <v/>
      </c>
      <c r="X6510" s="23" t="str">
        <f aca="false">IF(T6510="","",IF(T6510=0,"No discount",IF(T6510&lt;=0.2,"Low (1-20%)",IF(T6510&lt;=0.4,"Medium (21-40%)","High (&gt;40%)"))))</f>
        <v/>
      </c>
      <c r="Y6510" s="23" t="str">
        <f aca="false">IF(AND(ISNUMBER(C6510),ISNUMBER(D6510)),D6510-C6510,"")</f>
        <v/>
      </c>
      <c r="Z6510" s="23" t="str">
        <f aca="false">IF(B6510="","",IF(MATCH(B6510,$B$2:$B$12000,0)=ROW()-1,1,0))</f>
        <v/>
      </c>
    </row>
    <row r="6511" customFormat="false" ht="15" hidden="false" customHeight="false" outlineLevel="0" collapsed="false">
      <c r="V6511" s="23" t="str">
        <f aca="false">IF(ISNUMBER(C6511),YEAR(C6511),"")</f>
        <v/>
      </c>
      <c r="W6511" s="23" t="str">
        <f aca="false">IF(ISNUMBER(C6511),MONTH(C6511),"")</f>
        <v/>
      </c>
      <c r="X6511" s="23" t="str">
        <f aca="false">IF(T6511="","",IF(T6511=0,"No discount",IF(T6511&lt;=0.2,"Low (1-20%)",IF(T6511&lt;=0.4,"Medium (21-40%)","High (&gt;40%)"))))</f>
        <v/>
      </c>
      <c r="Y6511" s="23" t="str">
        <f aca="false">IF(AND(ISNUMBER(C6511),ISNUMBER(D6511)),D6511-C6511,"")</f>
        <v/>
      </c>
      <c r="Z6511" s="23" t="str">
        <f aca="false">IF(B6511="","",IF(MATCH(B6511,$B$2:$B$12000,0)=ROW()-1,1,0))</f>
        <v/>
      </c>
    </row>
    <row r="6512" customFormat="false" ht="15" hidden="false" customHeight="false" outlineLevel="0" collapsed="false">
      <c r="V6512" s="23" t="str">
        <f aca="false">IF(ISNUMBER(C6512),YEAR(C6512),"")</f>
        <v/>
      </c>
      <c r="W6512" s="23" t="str">
        <f aca="false">IF(ISNUMBER(C6512),MONTH(C6512),"")</f>
        <v/>
      </c>
      <c r="X6512" s="23" t="str">
        <f aca="false">IF(T6512="","",IF(T6512=0,"No discount",IF(T6512&lt;=0.2,"Low (1-20%)",IF(T6512&lt;=0.4,"Medium (21-40%)","High (&gt;40%)"))))</f>
        <v/>
      </c>
      <c r="Y6512" s="23" t="str">
        <f aca="false">IF(AND(ISNUMBER(C6512),ISNUMBER(D6512)),D6512-C6512,"")</f>
        <v/>
      </c>
      <c r="Z6512" s="23" t="str">
        <f aca="false">IF(B6512="","",IF(MATCH(B6512,$B$2:$B$12000,0)=ROW()-1,1,0))</f>
        <v/>
      </c>
    </row>
    <row r="6513" customFormat="false" ht="15" hidden="false" customHeight="false" outlineLevel="0" collapsed="false">
      <c r="V6513" s="23" t="str">
        <f aca="false">IF(ISNUMBER(C6513),YEAR(C6513),"")</f>
        <v/>
      </c>
      <c r="W6513" s="23" t="str">
        <f aca="false">IF(ISNUMBER(C6513),MONTH(C6513),"")</f>
        <v/>
      </c>
      <c r="X6513" s="23" t="str">
        <f aca="false">IF(T6513="","",IF(T6513=0,"No discount",IF(T6513&lt;=0.2,"Low (1-20%)",IF(T6513&lt;=0.4,"Medium (21-40%)","High (&gt;40%)"))))</f>
        <v/>
      </c>
      <c r="Y6513" s="23" t="str">
        <f aca="false">IF(AND(ISNUMBER(C6513),ISNUMBER(D6513)),D6513-C6513,"")</f>
        <v/>
      </c>
      <c r="Z6513" s="23" t="str">
        <f aca="false">IF(B6513="","",IF(MATCH(B6513,$B$2:$B$12000,0)=ROW()-1,1,0))</f>
        <v/>
      </c>
    </row>
    <row r="6514" customFormat="false" ht="15" hidden="false" customHeight="false" outlineLevel="0" collapsed="false">
      <c r="V6514" s="23" t="str">
        <f aca="false">IF(ISNUMBER(C6514),YEAR(C6514),"")</f>
        <v/>
      </c>
      <c r="W6514" s="23" t="str">
        <f aca="false">IF(ISNUMBER(C6514),MONTH(C6514),"")</f>
        <v/>
      </c>
      <c r="X6514" s="23" t="str">
        <f aca="false">IF(T6514="","",IF(T6514=0,"No discount",IF(T6514&lt;=0.2,"Low (1-20%)",IF(T6514&lt;=0.4,"Medium (21-40%)","High (&gt;40%)"))))</f>
        <v/>
      </c>
      <c r="Y6514" s="23" t="str">
        <f aca="false">IF(AND(ISNUMBER(C6514),ISNUMBER(D6514)),D6514-C6514,"")</f>
        <v/>
      </c>
      <c r="Z6514" s="23" t="str">
        <f aca="false">IF(B6514="","",IF(MATCH(B6514,$B$2:$B$12000,0)=ROW()-1,1,0))</f>
        <v/>
      </c>
    </row>
    <row r="6515" customFormat="false" ht="15" hidden="false" customHeight="false" outlineLevel="0" collapsed="false">
      <c r="V6515" s="23" t="str">
        <f aca="false">IF(ISNUMBER(C6515),YEAR(C6515),"")</f>
        <v/>
      </c>
      <c r="W6515" s="23" t="str">
        <f aca="false">IF(ISNUMBER(C6515),MONTH(C6515),"")</f>
        <v/>
      </c>
      <c r="X6515" s="23" t="str">
        <f aca="false">IF(T6515="","",IF(T6515=0,"No discount",IF(T6515&lt;=0.2,"Low (1-20%)",IF(T6515&lt;=0.4,"Medium (21-40%)","High (&gt;40%)"))))</f>
        <v/>
      </c>
      <c r="Y6515" s="23" t="str">
        <f aca="false">IF(AND(ISNUMBER(C6515),ISNUMBER(D6515)),D6515-C6515,"")</f>
        <v/>
      </c>
      <c r="Z6515" s="23" t="str">
        <f aca="false">IF(B6515="","",IF(MATCH(B6515,$B$2:$B$12000,0)=ROW()-1,1,0))</f>
        <v/>
      </c>
    </row>
    <row r="6516" customFormat="false" ht="15" hidden="false" customHeight="false" outlineLevel="0" collapsed="false">
      <c r="V6516" s="23" t="str">
        <f aca="false">IF(ISNUMBER(C6516),YEAR(C6516),"")</f>
        <v/>
      </c>
      <c r="W6516" s="23" t="str">
        <f aca="false">IF(ISNUMBER(C6516),MONTH(C6516),"")</f>
        <v/>
      </c>
      <c r="X6516" s="23" t="str">
        <f aca="false">IF(T6516="","",IF(T6516=0,"No discount",IF(T6516&lt;=0.2,"Low (1-20%)",IF(T6516&lt;=0.4,"Medium (21-40%)","High (&gt;40%)"))))</f>
        <v/>
      </c>
      <c r="Y6516" s="23" t="str">
        <f aca="false">IF(AND(ISNUMBER(C6516),ISNUMBER(D6516)),D6516-C6516,"")</f>
        <v/>
      </c>
      <c r="Z6516" s="23" t="str">
        <f aca="false">IF(B6516="","",IF(MATCH(B6516,$B$2:$B$12000,0)=ROW()-1,1,0))</f>
        <v/>
      </c>
    </row>
    <row r="6517" customFormat="false" ht="15" hidden="false" customHeight="false" outlineLevel="0" collapsed="false">
      <c r="V6517" s="23" t="str">
        <f aca="false">IF(ISNUMBER(C6517),YEAR(C6517),"")</f>
        <v/>
      </c>
      <c r="W6517" s="23" t="str">
        <f aca="false">IF(ISNUMBER(C6517),MONTH(C6517),"")</f>
        <v/>
      </c>
      <c r="X6517" s="23" t="str">
        <f aca="false">IF(T6517="","",IF(T6517=0,"No discount",IF(T6517&lt;=0.2,"Low (1-20%)",IF(T6517&lt;=0.4,"Medium (21-40%)","High (&gt;40%)"))))</f>
        <v/>
      </c>
      <c r="Y6517" s="23" t="str">
        <f aca="false">IF(AND(ISNUMBER(C6517),ISNUMBER(D6517)),D6517-C6517,"")</f>
        <v/>
      </c>
      <c r="Z6517" s="23" t="str">
        <f aca="false">IF(B6517="","",IF(MATCH(B6517,$B$2:$B$12000,0)=ROW()-1,1,0))</f>
        <v/>
      </c>
    </row>
    <row r="6518" customFormat="false" ht="15" hidden="false" customHeight="false" outlineLevel="0" collapsed="false">
      <c r="V6518" s="23" t="str">
        <f aca="false">IF(ISNUMBER(C6518),YEAR(C6518),"")</f>
        <v/>
      </c>
      <c r="W6518" s="23" t="str">
        <f aca="false">IF(ISNUMBER(C6518),MONTH(C6518),"")</f>
        <v/>
      </c>
      <c r="X6518" s="23" t="str">
        <f aca="false">IF(T6518="","",IF(T6518=0,"No discount",IF(T6518&lt;=0.2,"Low (1-20%)",IF(T6518&lt;=0.4,"Medium (21-40%)","High (&gt;40%)"))))</f>
        <v/>
      </c>
      <c r="Y6518" s="23" t="str">
        <f aca="false">IF(AND(ISNUMBER(C6518),ISNUMBER(D6518)),D6518-C6518,"")</f>
        <v/>
      </c>
      <c r="Z6518" s="23" t="str">
        <f aca="false">IF(B6518="","",IF(MATCH(B6518,$B$2:$B$12000,0)=ROW()-1,1,0))</f>
        <v/>
      </c>
    </row>
    <row r="6519" customFormat="false" ht="15" hidden="false" customHeight="false" outlineLevel="0" collapsed="false">
      <c r="V6519" s="23" t="str">
        <f aca="false">IF(ISNUMBER(C6519),YEAR(C6519),"")</f>
        <v/>
      </c>
      <c r="W6519" s="23" t="str">
        <f aca="false">IF(ISNUMBER(C6519),MONTH(C6519),"")</f>
        <v/>
      </c>
      <c r="X6519" s="23" t="str">
        <f aca="false">IF(T6519="","",IF(T6519=0,"No discount",IF(T6519&lt;=0.2,"Low (1-20%)",IF(T6519&lt;=0.4,"Medium (21-40%)","High (&gt;40%)"))))</f>
        <v/>
      </c>
      <c r="Y6519" s="23" t="str">
        <f aca="false">IF(AND(ISNUMBER(C6519),ISNUMBER(D6519)),D6519-C6519,"")</f>
        <v/>
      </c>
      <c r="Z6519" s="23" t="str">
        <f aca="false">IF(B6519="","",IF(MATCH(B6519,$B$2:$B$12000,0)=ROW()-1,1,0))</f>
        <v/>
      </c>
    </row>
    <row r="6520" customFormat="false" ht="15" hidden="false" customHeight="false" outlineLevel="0" collapsed="false">
      <c r="V6520" s="23" t="str">
        <f aca="false">IF(ISNUMBER(C6520),YEAR(C6520),"")</f>
        <v/>
      </c>
      <c r="W6520" s="23" t="str">
        <f aca="false">IF(ISNUMBER(C6520),MONTH(C6520),"")</f>
        <v/>
      </c>
      <c r="X6520" s="23" t="str">
        <f aca="false">IF(T6520="","",IF(T6520=0,"No discount",IF(T6520&lt;=0.2,"Low (1-20%)",IF(T6520&lt;=0.4,"Medium (21-40%)","High (&gt;40%)"))))</f>
        <v/>
      </c>
      <c r="Y6520" s="23" t="str">
        <f aca="false">IF(AND(ISNUMBER(C6520),ISNUMBER(D6520)),D6520-C6520,"")</f>
        <v/>
      </c>
      <c r="Z6520" s="23" t="str">
        <f aca="false">IF(B6520="","",IF(MATCH(B6520,$B$2:$B$12000,0)=ROW()-1,1,0))</f>
        <v/>
      </c>
    </row>
    <row r="6521" customFormat="false" ht="15" hidden="false" customHeight="false" outlineLevel="0" collapsed="false">
      <c r="V6521" s="23" t="str">
        <f aca="false">IF(ISNUMBER(C6521),YEAR(C6521),"")</f>
        <v/>
      </c>
      <c r="W6521" s="23" t="str">
        <f aca="false">IF(ISNUMBER(C6521),MONTH(C6521),"")</f>
        <v/>
      </c>
      <c r="X6521" s="23" t="str">
        <f aca="false">IF(T6521="","",IF(T6521=0,"No discount",IF(T6521&lt;=0.2,"Low (1-20%)",IF(T6521&lt;=0.4,"Medium (21-40%)","High (&gt;40%)"))))</f>
        <v/>
      </c>
      <c r="Y6521" s="23" t="str">
        <f aca="false">IF(AND(ISNUMBER(C6521),ISNUMBER(D6521)),D6521-C6521,"")</f>
        <v/>
      </c>
      <c r="Z6521" s="23" t="str">
        <f aca="false">IF(B6521="","",IF(MATCH(B6521,$B$2:$B$12000,0)=ROW()-1,1,0))</f>
        <v/>
      </c>
    </row>
    <row r="6522" customFormat="false" ht="15" hidden="false" customHeight="false" outlineLevel="0" collapsed="false">
      <c r="V6522" s="23" t="str">
        <f aca="false">IF(ISNUMBER(C6522),YEAR(C6522),"")</f>
        <v/>
      </c>
      <c r="W6522" s="23" t="str">
        <f aca="false">IF(ISNUMBER(C6522),MONTH(C6522),"")</f>
        <v/>
      </c>
      <c r="X6522" s="23" t="str">
        <f aca="false">IF(T6522="","",IF(T6522=0,"No discount",IF(T6522&lt;=0.2,"Low (1-20%)",IF(T6522&lt;=0.4,"Medium (21-40%)","High (&gt;40%)"))))</f>
        <v/>
      </c>
      <c r="Y6522" s="23" t="str">
        <f aca="false">IF(AND(ISNUMBER(C6522),ISNUMBER(D6522)),D6522-C6522,"")</f>
        <v/>
      </c>
      <c r="Z6522" s="23" t="str">
        <f aca="false">IF(B6522="","",IF(MATCH(B6522,$B$2:$B$12000,0)=ROW()-1,1,0))</f>
        <v/>
      </c>
    </row>
    <row r="6523" customFormat="false" ht="15" hidden="false" customHeight="false" outlineLevel="0" collapsed="false">
      <c r="V6523" s="23" t="str">
        <f aca="false">IF(ISNUMBER(C6523),YEAR(C6523),"")</f>
        <v/>
      </c>
      <c r="W6523" s="23" t="str">
        <f aca="false">IF(ISNUMBER(C6523),MONTH(C6523),"")</f>
        <v/>
      </c>
      <c r="X6523" s="23" t="str">
        <f aca="false">IF(T6523="","",IF(T6523=0,"No discount",IF(T6523&lt;=0.2,"Low (1-20%)",IF(T6523&lt;=0.4,"Medium (21-40%)","High (&gt;40%)"))))</f>
        <v/>
      </c>
      <c r="Y6523" s="23" t="str">
        <f aca="false">IF(AND(ISNUMBER(C6523),ISNUMBER(D6523)),D6523-C6523,"")</f>
        <v/>
      </c>
      <c r="Z6523" s="23" t="str">
        <f aca="false">IF(B6523="","",IF(MATCH(B6523,$B$2:$B$12000,0)=ROW()-1,1,0))</f>
        <v/>
      </c>
    </row>
    <row r="6524" customFormat="false" ht="15" hidden="false" customHeight="false" outlineLevel="0" collapsed="false">
      <c r="V6524" s="23" t="str">
        <f aca="false">IF(ISNUMBER(C6524),YEAR(C6524),"")</f>
        <v/>
      </c>
      <c r="W6524" s="23" t="str">
        <f aca="false">IF(ISNUMBER(C6524),MONTH(C6524),"")</f>
        <v/>
      </c>
      <c r="X6524" s="23" t="str">
        <f aca="false">IF(T6524="","",IF(T6524=0,"No discount",IF(T6524&lt;=0.2,"Low (1-20%)",IF(T6524&lt;=0.4,"Medium (21-40%)","High (&gt;40%)"))))</f>
        <v/>
      </c>
      <c r="Y6524" s="23" t="str">
        <f aca="false">IF(AND(ISNUMBER(C6524),ISNUMBER(D6524)),D6524-C6524,"")</f>
        <v/>
      </c>
      <c r="Z6524" s="23" t="str">
        <f aca="false">IF(B6524="","",IF(MATCH(B6524,$B$2:$B$12000,0)=ROW()-1,1,0))</f>
        <v/>
      </c>
    </row>
    <row r="6525" customFormat="false" ht="15" hidden="false" customHeight="false" outlineLevel="0" collapsed="false">
      <c r="V6525" s="23" t="str">
        <f aca="false">IF(ISNUMBER(C6525),YEAR(C6525),"")</f>
        <v/>
      </c>
      <c r="W6525" s="23" t="str">
        <f aca="false">IF(ISNUMBER(C6525),MONTH(C6525),"")</f>
        <v/>
      </c>
      <c r="X6525" s="23" t="str">
        <f aca="false">IF(T6525="","",IF(T6525=0,"No discount",IF(T6525&lt;=0.2,"Low (1-20%)",IF(T6525&lt;=0.4,"Medium (21-40%)","High (&gt;40%)"))))</f>
        <v/>
      </c>
      <c r="Y6525" s="23" t="str">
        <f aca="false">IF(AND(ISNUMBER(C6525),ISNUMBER(D6525)),D6525-C6525,"")</f>
        <v/>
      </c>
      <c r="Z6525" s="23" t="str">
        <f aca="false">IF(B6525="","",IF(MATCH(B6525,$B$2:$B$12000,0)=ROW()-1,1,0))</f>
        <v/>
      </c>
    </row>
    <row r="6526" customFormat="false" ht="15" hidden="false" customHeight="false" outlineLevel="0" collapsed="false">
      <c r="V6526" s="23" t="str">
        <f aca="false">IF(ISNUMBER(C6526),YEAR(C6526),"")</f>
        <v/>
      </c>
      <c r="W6526" s="23" t="str">
        <f aca="false">IF(ISNUMBER(C6526),MONTH(C6526),"")</f>
        <v/>
      </c>
      <c r="X6526" s="23" t="str">
        <f aca="false">IF(T6526="","",IF(T6526=0,"No discount",IF(T6526&lt;=0.2,"Low (1-20%)",IF(T6526&lt;=0.4,"Medium (21-40%)","High (&gt;40%)"))))</f>
        <v/>
      </c>
      <c r="Y6526" s="23" t="str">
        <f aca="false">IF(AND(ISNUMBER(C6526),ISNUMBER(D6526)),D6526-C6526,"")</f>
        <v/>
      </c>
      <c r="Z6526" s="23" t="str">
        <f aca="false">IF(B6526="","",IF(MATCH(B6526,$B$2:$B$12000,0)=ROW()-1,1,0))</f>
        <v/>
      </c>
    </row>
    <row r="6527" customFormat="false" ht="15" hidden="false" customHeight="false" outlineLevel="0" collapsed="false">
      <c r="V6527" s="23" t="str">
        <f aca="false">IF(ISNUMBER(C6527),YEAR(C6527),"")</f>
        <v/>
      </c>
      <c r="W6527" s="23" t="str">
        <f aca="false">IF(ISNUMBER(C6527),MONTH(C6527),"")</f>
        <v/>
      </c>
      <c r="X6527" s="23" t="str">
        <f aca="false">IF(T6527="","",IF(T6527=0,"No discount",IF(T6527&lt;=0.2,"Low (1-20%)",IF(T6527&lt;=0.4,"Medium (21-40%)","High (&gt;40%)"))))</f>
        <v/>
      </c>
      <c r="Y6527" s="23" t="str">
        <f aca="false">IF(AND(ISNUMBER(C6527),ISNUMBER(D6527)),D6527-C6527,"")</f>
        <v/>
      </c>
      <c r="Z6527" s="23" t="str">
        <f aca="false">IF(B6527="","",IF(MATCH(B6527,$B$2:$B$12000,0)=ROW()-1,1,0))</f>
        <v/>
      </c>
    </row>
    <row r="6528" customFormat="false" ht="15" hidden="false" customHeight="false" outlineLevel="0" collapsed="false">
      <c r="V6528" s="23" t="str">
        <f aca="false">IF(ISNUMBER(C6528),YEAR(C6528),"")</f>
        <v/>
      </c>
      <c r="W6528" s="23" t="str">
        <f aca="false">IF(ISNUMBER(C6528),MONTH(C6528),"")</f>
        <v/>
      </c>
      <c r="X6528" s="23" t="str">
        <f aca="false">IF(T6528="","",IF(T6528=0,"No discount",IF(T6528&lt;=0.2,"Low (1-20%)",IF(T6528&lt;=0.4,"Medium (21-40%)","High (&gt;40%)"))))</f>
        <v/>
      </c>
      <c r="Y6528" s="23" t="str">
        <f aca="false">IF(AND(ISNUMBER(C6528),ISNUMBER(D6528)),D6528-C6528,"")</f>
        <v/>
      </c>
      <c r="Z6528" s="23" t="str">
        <f aca="false">IF(B6528="","",IF(MATCH(B6528,$B$2:$B$12000,0)=ROW()-1,1,0))</f>
        <v/>
      </c>
    </row>
    <row r="6529" customFormat="false" ht="15" hidden="false" customHeight="false" outlineLevel="0" collapsed="false">
      <c r="V6529" s="23" t="str">
        <f aca="false">IF(ISNUMBER(C6529),YEAR(C6529),"")</f>
        <v/>
      </c>
      <c r="W6529" s="23" t="str">
        <f aca="false">IF(ISNUMBER(C6529),MONTH(C6529),"")</f>
        <v/>
      </c>
      <c r="X6529" s="23" t="str">
        <f aca="false">IF(T6529="","",IF(T6529=0,"No discount",IF(T6529&lt;=0.2,"Low (1-20%)",IF(T6529&lt;=0.4,"Medium (21-40%)","High (&gt;40%)"))))</f>
        <v/>
      </c>
      <c r="Y6529" s="23" t="str">
        <f aca="false">IF(AND(ISNUMBER(C6529),ISNUMBER(D6529)),D6529-C6529,"")</f>
        <v/>
      </c>
      <c r="Z6529" s="23" t="str">
        <f aca="false">IF(B6529="","",IF(MATCH(B6529,$B$2:$B$12000,0)=ROW()-1,1,0))</f>
        <v/>
      </c>
    </row>
    <row r="6530" customFormat="false" ht="15" hidden="false" customHeight="false" outlineLevel="0" collapsed="false">
      <c r="V6530" s="23" t="str">
        <f aca="false">IF(ISNUMBER(C6530),YEAR(C6530),"")</f>
        <v/>
      </c>
      <c r="W6530" s="23" t="str">
        <f aca="false">IF(ISNUMBER(C6530),MONTH(C6530),"")</f>
        <v/>
      </c>
      <c r="X6530" s="23" t="str">
        <f aca="false">IF(T6530="","",IF(T6530=0,"No discount",IF(T6530&lt;=0.2,"Low (1-20%)",IF(T6530&lt;=0.4,"Medium (21-40%)","High (&gt;40%)"))))</f>
        <v/>
      </c>
      <c r="Y6530" s="23" t="str">
        <f aca="false">IF(AND(ISNUMBER(C6530),ISNUMBER(D6530)),D6530-C6530,"")</f>
        <v/>
      </c>
      <c r="Z6530" s="23" t="str">
        <f aca="false">IF(B6530="","",IF(MATCH(B6530,$B$2:$B$12000,0)=ROW()-1,1,0))</f>
        <v/>
      </c>
    </row>
    <row r="6531" customFormat="false" ht="15" hidden="false" customHeight="false" outlineLevel="0" collapsed="false">
      <c r="V6531" s="23" t="str">
        <f aca="false">IF(ISNUMBER(C6531),YEAR(C6531),"")</f>
        <v/>
      </c>
      <c r="W6531" s="23" t="str">
        <f aca="false">IF(ISNUMBER(C6531),MONTH(C6531),"")</f>
        <v/>
      </c>
      <c r="X6531" s="23" t="str">
        <f aca="false">IF(T6531="","",IF(T6531=0,"No discount",IF(T6531&lt;=0.2,"Low (1-20%)",IF(T6531&lt;=0.4,"Medium (21-40%)","High (&gt;40%)"))))</f>
        <v/>
      </c>
      <c r="Y6531" s="23" t="str">
        <f aca="false">IF(AND(ISNUMBER(C6531),ISNUMBER(D6531)),D6531-C6531,"")</f>
        <v/>
      </c>
      <c r="Z6531" s="23" t="str">
        <f aca="false">IF(B6531="","",IF(MATCH(B6531,$B$2:$B$12000,0)=ROW()-1,1,0))</f>
        <v/>
      </c>
    </row>
    <row r="6532" customFormat="false" ht="15" hidden="false" customHeight="false" outlineLevel="0" collapsed="false">
      <c r="V6532" s="23" t="str">
        <f aca="false">IF(ISNUMBER(C6532),YEAR(C6532),"")</f>
        <v/>
      </c>
      <c r="W6532" s="23" t="str">
        <f aca="false">IF(ISNUMBER(C6532),MONTH(C6532),"")</f>
        <v/>
      </c>
      <c r="X6532" s="23" t="str">
        <f aca="false">IF(T6532="","",IF(T6532=0,"No discount",IF(T6532&lt;=0.2,"Low (1-20%)",IF(T6532&lt;=0.4,"Medium (21-40%)","High (&gt;40%)"))))</f>
        <v/>
      </c>
      <c r="Y6532" s="23" t="str">
        <f aca="false">IF(AND(ISNUMBER(C6532),ISNUMBER(D6532)),D6532-C6532,"")</f>
        <v/>
      </c>
      <c r="Z6532" s="23" t="str">
        <f aca="false">IF(B6532="","",IF(MATCH(B6532,$B$2:$B$12000,0)=ROW()-1,1,0))</f>
        <v/>
      </c>
    </row>
    <row r="6533" customFormat="false" ht="15" hidden="false" customHeight="false" outlineLevel="0" collapsed="false">
      <c r="V6533" s="23" t="str">
        <f aca="false">IF(ISNUMBER(C6533),YEAR(C6533),"")</f>
        <v/>
      </c>
      <c r="W6533" s="23" t="str">
        <f aca="false">IF(ISNUMBER(C6533),MONTH(C6533),"")</f>
        <v/>
      </c>
      <c r="X6533" s="23" t="str">
        <f aca="false">IF(T6533="","",IF(T6533=0,"No discount",IF(T6533&lt;=0.2,"Low (1-20%)",IF(T6533&lt;=0.4,"Medium (21-40%)","High (&gt;40%)"))))</f>
        <v/>
      </c>
      <c r="Y6533" s="23" t="str">
        <f aca="false">IF(AND(ISNUMBER(C6533),ISNUMBER(D6533)),D6533-C6533,"")</f>
        <v/>
      </c>
      <c r="Z6533" s="23" t="str">
        <f aca="false">IF(B6533="","",IF(MATCH(B6533,$B$2:$B$12000,0)=ROW()-1,1,0))</f>
        <v/>
      </c>
    </row>
    <row r="6534" customFormat="false" ht="15" hidden="false" customHeight="false" outlineLevel="0" collapsed="false">
      <c r="V6534" s="23" t="str">
        <f aca="false">IF(ISNUMBER(C6534),YEAR(C6534),"")</f>
        <v/>
      </c>
      <c r="W6534" s="23" t="str">
        <f aca="false">IF(ISNUMBER(C6534),MONTH(C6534),"")</f>
        <v/>
      </c>
      <c r="X6534" s="23" t="str">
        <f aca="false">IF(T6534="","",IF(T6534=0,"No discount",IF(T6534&lt;=0.2,"Low (1-20%)",IF(T6534&lt;=0.4,"Medium (21-40%)","High (&gt;40%)"))))</f>
        <v/>
      </c>
      <c r="Y6534" s="23" t="str">
        <f aca="false">IF(AND(ISNUMBER(C6534),ISNUMBER(D6534)),D6534-C6534,"")</f>
        <v/>
      </c>
      <c r="Z6534" s="23" t="str">
        <f aca="false">IF(B6534="","",IF(MATCH(B6534,$B$2:$B$12000,0)=ROW()-1,1,0))</f>
        <v/>
      </c>
    </row>
    <row r="6535" customFormat="false" ht="15" hidden="false" customHeight="false" outlineLevel="0" collapsed="false">
      <c r="V6535" s="23" t="str">
        <f aca="false">IF(ISNUMBER(C6535),YEAR(C6535),"")</f>
        <v/>
      </c>
      <c r="W6535" s="23" t="str">
        <f aca="false">IF(ISNUMBER(C6535),MONTH(C6535),"")</f>
        <v/>
      </c>
      <c r="X6535" s="23" t="str">
        <f aca="false">IF(T6535="","",IF(T6535=0,"No discount",IF(T6535&lt;=0.2,"Low (1-20%)",IF(T6535&lt;=0.4,"Medium (21-40%)","High (&gt;40%)"))))</f>
        <v/>
      </c>
      <c r="Y6535" s="23" t="str">
        <f aca="false">IF(AND(ISNUMBER(C6535),ISNUMBER(D6535)),D6535-C6535,"")</f>
        <v/>
      </c>
      <c r="Z6535" s="23" t="str">
        <f aca="false">IF(B6535="","",IF(MATCH(B6535,$B$2:$B$12000,0)=ROW()-1,1,0))</f>
        <v/>
      </c>
    </row>
    <row r="6536" customFormat="false" ht="15" hidden="false" customHeight="false" outlineLevel="0" collapsed="false">
      <c r="V6536" s="23" t="str">
        <f aca="false">IF(ISNUMBER(C6536),YEAR(C6536),"")</f>
        <v/>
      </c>
      <c r="W6536" s="23" t="str">
        <f aca="false">IF(ISNUMBER(C6536),MONTH(C6536),"")</f>
        <v/>
      </c>
      <c r="X6536" s="23" t="str">
        <f aca="false">IF(T6536="","",IF(T6536=0,"No discount",IF(T6536&lt;=0.2,"Low (1-20%)",IF(T6536&lt;=0.4,"Medium (21-40%)","High (&gt;40%)"))))</f>
        <v/>
      </c>
      <c r="Y6536" s="23" t="str">
        <f aca="false">IF(AND(ISNUMBER(C6536),ISNUMBER(D6536)),D6536-C6536,"")</f>
        <v/>
      </c>
      <c r="Z6536" s="23" t="str">
        <f aca="false">IF(B6536="","",IF(MATCH(B6536,$B$2:$B$12000,0)=ROW()-1,1,0))</f>
        <v/>
      </c>
    </row>
    <row r="6537" customFormat="false" ht="15" hidden="false" customHeight="false" outlineLevel="0" collapsed="false">
      <c r="V6537" s="23" t="str">
        <f aca="false">IF(ISNUMBER(C6537),YEAR(C6537),"")</f>
        <v/>
      </c>
      <c r="W6537" s="23" t="str">
        <f aca="false">IF(ISNUMBER(C6537),MONTH(C6537),"")</f>
        <v/>
      </c>
      <c r="X6537" s="23" t="str">
        <f aca="false">IF(T6537="","",IF(T6537=0,"No discount",IF(T6537&lt;=0.2,"Low (1-20%)",IF(T6537&lt;=0.4,"Medium (21-40%)","High (&gt;40%)"))))</f>
        <v/>
      </c>
      <c r="Y6537" s="23" t="str">
        <f aca="false">IF(AND(ISNUMBER(C6537),ISNUMBER(D6537)),D6537-C6537,"")</f>
        <v/>
      </c>
      <c r="Z6537" s="23" t="str">
        <f aca="false">IF(B6537="","",IF(MATCH(B6537,$B$2:$B$12000,0)=ROW()-1,1,0))</f>
        <v/>
      </c>
    </row>
    <row r="6538" customFormat="false" ht="15" hidden="false" customHeight="false" outlineLevel="0" collapsed="false">
      <c r="V6538" s="23" t="str">
        <f aca="false">IF(ISNUMBER(C6538),YEAR(C6538),"")</f>
        <v/>
      </c>
      <c r="W6538" s="23" t="str">
        <f aca="false">IF(ISNUMBER(C6538),MONTH(C6538),"")</f>
        <v/>
      </c>
      <c r="X6538" s="23" t="str">
        <f aca="false">IF(T6538="","",IF(T6538=0,"No discount",IF(T6538&lt;=0.2,"Low (1-20%)",IF(T6538&lt;=0.4,"Medium (21-40%)","High (&gt;40%)"))))</f>
        <v/>
      </c>
      <c r="Y6538" s="23" t="str">
        <f aca="false">IF(AND(ISNUMBER(C6538),ISNUMBER(D6538)),D6538-C6538,"")</f>
        <v/>
      </c>
      <c r="Z6538" s="23" t="str">
        <f aca="false">IF(B6538="","",IF(MATCH(B6538,$B$2:$B$12000,0)=ROW()-1,1,0))</f>
        <v/>
      </c>
    </row>
    <row r="6539" customFormat="false" ht="15" hidden="false" customHeight="false" outlineLevel="0" collapsed="false">
      <c r="V6539" s="23" t="str">
        <f aca="false">IF(ISNUMBER(C6539),YEAR(C6539),"")</f>
        <v/>
      </c>
      <c r="W6539" s="23" t="str">
        <f aca="false">IF(ISNUMBER(C6539),MONTH(C6539),"")</f>
        <v/>
      </c>
      <c r="X6539" s="23" t="str">
        <f aca="false">IF(T6539="","",IF(T6539=0,"No discount",IF(T6539&lt;=0.2,"Low (1-20%)",IF(T6539&lt;=0.4,"Medium (21-40%)","High (&gt;40%)"))))</f>
        <v/>
      </c>
      <c r="Y6539" s="23" t="str">
        <f aca="false">IF(AND(ISNUMBER(C6539),ISNUMBER(D6539)),D6539-C6539,"")</f>
        <v/>
      </c>
      <c r="Z6539" s="23" t="str">
        <f aca="false">IF(B6539="","",IF(MATCH(B6539,$B$2:$B$12000,0)=ROW()-1,1,0))</f>
        <v/>
      </c>
    </row>
    <row r="6540" customFormat="false" ht="15" hidden="false" customHeight="false" outlineLevel="0" collapsed="false">
      <c r="V6540" s="23" t="str">
        <f aca="false">IF(ISNUMBER(C6540),YEAR(C6540),"")</f>
        <v/>
      </c>
      <c r="W6540" s="23" t="str">
        <f aca="false">IF(ISNUMBER(C6540),MONTH(C6540),"")</f>
        <v/>
      </c>
      <c r="X6540" s="23" t="str">
        <f aca="false">IF(T6540="","",IF(T6540=0,"No discount",IF(T6540&lt;=0.2,"Low (1-20%)",IF(T6540&lt;=0.4,"Medium (21-40%)","High (&gt;40%)"))))</f>
        <v/>
      </c>
      <c r="Y6540" s="23" t="str">
        <f aca="false">IF(AND(ISNUMBER(C6540),ISNUMBER(D6540)),D6540-C6540,"")</f>
        <v/>
      </c>
      <c r="Z6540" s="23" t="str">
        <f aca="false">IF(B6540="","",IF(MATCH(B6540,$B$2:$B$12000,0)=ROW()-1,1,0))</f>
        <v/>
      </c>
    </row>
    <row r="6541" customFormat="false" ht="15" hidden="false" customHeight="false" outlineLevel="0" collapsed="false">
      <c r="V6541" s="23" t="str">
        <f aca="false">IF(ISNUMBER(C6541),YEAR(C6541),"")</f>
        <v/>
      </c>
      <c r="W6541" s="23" t="str">
        <f aca="false">IF(ISNUMBER(C6541),MONTH(C6541),"")</f>
        <v/>
      </c>
      <c r="X6541" s="23" t="str">
        <f aca="false">IF(T6541="","",IF(T6541=0,"No discount",IF(T6541&lt;=0.2,"Low (1-20%)",IF(T6541&lt;=0.4,"Medium (21-40%)","High (&gt;40%)"))))</f>
        <v/>
      </c>
      <c r="Y6541" s="23" t="str">
        <f aca="false">IF(AND(ISNUMBER(C6541),ISNUMBER(D6541)),D6541-C6541,"")</f>
        <v/>
      </c>
      <c r="Z6541" s="23" t="str">
        <f aca="false">IF(B6541="","",IF(MATCH(B6541,$B$2:$B$12000,0)=ROW()-1,1,0))</f>
        <v/>
      </c>
    </row>
    <row r="6542" customFormat="false" ht="15" hidden="false" customHeight="false" outlineLevel="0" collapsed="false">
      <c r="V6542" s="23" t="str">
        <f aca="false">IF(ISNUMBER(C6542),YEAR(C6542),"")</f>
        <v/>
      </c>
      <c r="W6542" s="23" t="str">
        <f aca="false">IF(ISNUMBER(C6542),MONTH(C6542),"")</f>
        <v/>
      </c>
      <c r="X6542" s="23" t="str">
        <f aca="false">IF(T6542="","",IF(T6542=0,"No discount",IF(T6542&lt;=0.2,"Low (1-20%)",IF(T6542&lt;=0.4,"Medium (21-40%)","High (&gt;40%)"))))</f>
        <v/>
      </c>
      <c r="Y6542" s="23" t="str">
        <f aca="false">IF(AND(ISNUMBER(C6542),ISNUMBER(D6542)),D6542-C6542,"")</f>
        <v/>
      </c>
      <c r="Z6542" s="23" t="str">
        <f aca="false">IF(B6542="","",IF(MATCH(B6542,$B$2:$B$12000,0)=ROW()-1,1,0))</f>
        <v/>
      </c>
    </row>
    <row r="6543" customFormat="false" ht="15" hidden="false" customHeight="false" outlineLevel="0" collapsed="false">
      <c r="V6543" s="23" t="str">
        <f aca="false">IF(ISNUMBER(C6543),YEAR(C6543),"")</f>
        <v/>
      </c>
      <c r="W6543" s="23" t="str">
        <f aca="false">IF(ISNUMBER(C6543),MONTH(C6543),"")</f>
        <v/>
      </c>
      <c r="X6543" s="23" t="str">
        <f aca="false">IF(T6543="","",IF(T6543=0,"No discount",IF(T6543&lt;=0.2,"Low (1-20%)",IF(T6543&lt;=0.4,"Medium (21-40%)","High (&gt;40%)"))))</f>
        <v/>
      </c>
      <c r="Y6543" s="23" t="str">
        <f aca="false">IF(AND(ISNUMBER(C6543),ISNUMBER(D6543)),D6543-C6543,"")</f>
        <v/>
      </c>
      <c r="Z6543" s="23" t="str">
        <f aca="false">IF(B6543="","",IF(MATCH(B6543,$B$2:$B$12000,0)=ROW()-1,1,0))</f>
        <v/>
      </c>
    </row>
    <row r="6544" customFormat="false" ht="15" hidden="false" customHeight="false" outlineLevel="0" collapsed="false">
      <c r="V6544" s="23" t="str">
        <f aca="false">IF(ISNUMBER(C6544),YEAR(C6544),"")</f>
        <v/>
      </c>
      <c r="W6544" s="23" t="str">
        <f aca="false">IF(ISNUMBER(C6544),MONTH(C6544),"")</f>
        <v/>
      </c>
      <c r="X6544" s="23" t="str">
        <f aca="false">IF(T6544="","",IF(T6544=0,"No discount",IF(T6544&lt;=0.2,"Low (1-20%)",IF(T6544&lt;=0.4,"Medium (21-40%)","High (&gt;40%)"))))</f>
        <v/>
      </c>
      <c r="Y6544" s="23" t="str">
        <f aca="false">IF(AND(ISNUMBER(C6544),ISNUMBER(D6544)),D6544-C6544,"")</f>
        <v/>
      </c>
      <c r="Z6544" s="23" t="str">
        <f aca="false">IF(B6544="","",IF(MATCH(B6544,$B$2:$B$12000,0)=ROW()-1,1,0))</f>
        <v/>
      </c>
    </row>
    <row r="6545" customFormat="false" ht="15" hidden="false" customHeight="false" outlineLevel="0" collapsed="false">
      <c r="V6545" s="23" t="str">
        <f aca="false">IF(ISNUMBER(C6545),YEAR(C6545),"")</f>
        <v/>
      </c>
      <c r="W6545" s="23" t="str">
        <f aca="false">IF(ISNUMBER(C6545),MONTH(C6545),"")</f>
        <v/>
      </c>
      <c r="X6545" s="23" t="str">
        <f aca="false">IF(T6545="","",IF(T6545=0,"No discount",IF(T6545&lt;=0.2,"Low (1-20%)",IF(T6545&lt;=0.4,"Medium (21-40%)","High (&gt;40%)"))))</f>
        <v/>
      </c>
      <c r="Y6545" s="23" t="str">
        <f aca="false">IF(AND(ISNUMBER(C6545),ISNUMBER(D6545)),D6545-C6545,"")</f>
        <v/>
      </c>
      <c r="Z6545" s="23" t="str">
        <f aca="false">IF(B6545="","",IF(MATCH(B6545,$B$2:$B$12000,0)=ROW()-1,1,0))</f>
        <v/>
      </c>
    </row>
    <row r="6546" customFormat="false" ht="15" hidden="false" customHeight="false" outlineLevel="0" collapsed="false">
      <c r="V6546" s="23" t="str">
        <f aca="false">IF(ISNUMBER(C6546),YEAR(C6546),"")</f>
        <v/>
      </c>
      <c r="W6546" s="23" t="str">
        <f aca="false">IF(ISNUMBER(C6546),MONTH(C6546),"")</f>
        <v/>
      </c>
      <c r="X6546" s="23" t="str">
        <f aca="false">IF(T6546="","",IF(T6546=0,"No discount",IF(T6546&lt;=0.2,"Low (1-20%)",IF(T6546&lt;=0.4,"Medium (21-40%)","High (&gt;40%)"))))</f>
        <v/>
      </c>
      <c r="Y6546" s="23" t="str">
        <f aca="false">IF(AND(ISNUMBER(C6546),ISNUMBER(D6546)),D6546-C6546,"")</f>
        <v/>
      </c>
      <c r="Z6546" s="23" t="str">
        <f aca="false">IF(B6546="","",IF(MATCH(B6546,$B$2:$B$12000,0)=ROW()-1,1,0))</f>
        <v/>
      </c>
    </row>
    <row r="6547" customFormat="false" ht="15" hidden="false" customHeight="false" outlineLevel="0" collapsed="false">
      <c r="V6547" s="23" t="str">
        <f aca="false">IF(ISNUMBER(C6547),YEAR(C6547),"")</f>
        <v/>
      </c>
      <c r="W6547" s="23" t="str">
        <f aca="false">IF(ISNUMBER(C6547),MONTH(C6547),"")</f>
        <v/>
      </c>
      <c r="X6547" s="23" t="str">
        <f aca="false">IF(T6547="","",IF(T6547=0,"No discount",IF(T6547&lt;=0.2,"Low (1-20%)",IF(T6547&lt;=0.4,"Medium (21-40%)","High (&gt;40%)"))))</f>
        <v/>
      </c>
      <c r="Y6547" s="23" t="str">
        <f aca="false">IF(AND(ISNUMBER(C6547),ISNUMBER(D6547)),D6547-C6547,"")</f>
        <v/>
      </c>
      <c r="Z6547" s="23" t="str">
        <f aca="false">IF(B6547="","",IF(MATCH(B6547,$B$2:$B$12000,0)=ROW()-1,1,0))</f>
        <v/>
      </c>
    </row>
    <row r="6548" customFormat="false" ht="15" hidden="false" customHeight="false" outlineLevel="0" collapsed="false">
      <c r="V6548" s="23" t="str">
        <f aca="false">IF(ISNUMBER(C6548),YEAR(C6548),"")</f>
        <v/>
      </c>
      <c r="W6548" s="23" t="str">
        <f aca="false">IF(ISNUMBER(C6548),MONTH(C6548),"")</f>
        <v/>
      </c>
      <c r="X6548" s="23" t="str">
        <f aca="false">IF(T6548="","",IF(T6548=0,"No discount",IF(T6548&lt;=0.2,"Low (1-20%)",IF(T6548&lt;=0.4,"Medium (21-40%)","High (&gt;40%)"))))</f>
        <v/>
      </c>
      <c r="Y6548" s="23" t="str">
        <f aca="false">IF(AND(ISNUMBER(C6548),ISNUMBER(D6548)),D6548-C6548,"")</f>
        <v/>
      </c>
      <c r="Z6548" s="23" t="str">
        <f aca="false">IF(B6548="","",IF(MATCH(B6548,$B$2:$B$12000,0)=ROW()-1,1,0))</f>
        <v/>
      </c>
    </row>
    <row r="6549" customFormat="false" ht="15" hidden="false" customHeight="false" outlineLevel="0" collapsed="false">
      <c r="V6549" s="23" t="str">
        <f aca="false">IF(ISNUMBER(C6549),YEAR(C6549),"")</f>
        <v/>
      </c>
      <c r="W6549" s="23" t="str">
        <f aca="false">IF(ISNUMBER(C6549),MONTH(C6549),"")</f>
        <v/>
      </c>
      <c r="X6549" s="23" t="str">
        <f aca="false">IF(T6549="","",IF(T6549=0,"No discount",IF(T6549&lt;=0.2,"Low (1-20%)",IF(T6549&lt;=0.4,"Medium (21-40%)","High (&gt;40%)"))))</f>
        <v/>
      </c>
      <c r="Y6549" s="23" t="str">
        <f aca="false">IF(AND(ISNUMBER(C6549),ISNUMBER(D6549)),D6549-C6549,"")</f>
        <v/>
      </c>
      <c r="Z6549" s="23" t="str">
        <f aca="false">IF(B6549="","",IF(MATCH(B6549,$B$2:$B$12000,0)=ROW()-1,1,0))</f>
        <v/>
      </c>
    </row>
    <row r="6550" customFormat="false" ht="15" hidden="false" customHeight="false" outlineLevel="0" collapsed="false">
      <c r="V6550" s="23" t="str">
        <f aca="false">IF(ISNUMBER(C6550),YEAR(C6550),"")</f>
        <v/>
      </c>
      <c r="W6550" s="23" t="str">
        <f aca="false">IF(ISNUMBER(C6550),MONTH(C6550),"")</f>
        <v/>
      </c>
      <c r="X6550" s="23" t="str">
        <f aca="false">IF(T6550="","",IF(T6550=0,"No discount",IF(T6550&lt;=0.2,"Low (1-20%)",IF(T6550&lt;=0.4,"Medium (21-40%)","High (&gt;40%)"))))</f>
        <v/>
      </c>
      <c r="Y6550" s="23" t="str">
        <f aca="false">IF(AND(ISNUMBER(C6550),ISNUMBER(D6550)),D6550-C6550,"")</f>
        <v/>
      </c>
      <c r="Z6550" s="23" t="str">
        <f aca="false">IF(B6550="","",IF(MATCH(B6550,$B$2:$B$12000,0)=ROW()-1,1,0))</f>
        <v/>
      </c>
    </row>
    <row r="6551" customFormat="false" ht="15" hidden="false" customHeight="false" outlineLevel="0" collapsed="false">
      <c r="V6551" s="23" t="str">
        <f aca="false">IF(ISNUMBER(C6551),YEAR(C6551),"")</f>
        <v/>
      </c>
      <c r="W6551" s="23" t="str">
        <f aca="false">IF(ISNUMBER(C6551),MONTH(C6551),"")</f>
        <v/>
      </c>
      <c r="X6551" s="23" t="str">
        <f aca="false">IF(T6551="","",IF(T6551=0,"No discount",IF(T6551&lt;=0.2,"Low (1-20%)",IF(T6551&lt;=0.4,"Medium (21-40%)","High (&gt;40%)"))))</f>
        <v/>
      </c>
      <c r="Y6551" s="23" t="str">
        <f aca="false">IF(AND(ISNUMBER(C6551),ISNUMBER(D6551)),D6551-C6551,"")</f>
        <v/>
      </c>
      <c r="Z6551" s="23" t="str">
        <f aca="false">IF(B6551="","",IF(MATCH(B6551,$B$2:$B$12000,0)=ROW()-1,1,0))</f>
        <v/>
      </c>
    </row>
    <row r="6552" customFormat="false" ht="15" hidden="false" customHeight="false" outlineLevel="0" collapsed="false">
      <c r="V6552" s="23" t="str">
        <f aca="false">IF(ISNUMBER(C6552),YEAR(C6552),"")</f>
        <v/>
      </c>
      <c r="W6552" s="23" t="str">
        <f aca="false">IF(ISNUMBER(C6552),MONTH(C6552),"")</f>
        <v/>
      </c>
      <c r="X6552" s="23" t="str">
        <f aca="false">IF(T6552="","",IF(T6552=0,"No discount",IF(T6552&lt;=0.2,"Low (1-20%)",IF(T6552&lt;=0.4,"Medium (21-40%)","High (&gt;40%)"))))</f>
        <v/>
      </c>
      <c r="Y6552" s="23" t="str">
        <f aca="false">IF(AND(ISNUMBER(C6552),ISNUMBER(D6552)),D6552-C6552,"")</f>
        <v/>
      </c>
      <c r="Z6552" s="23" t="str">
        <f aca="false">IF(B6552="","",IF(MATCH(B6552,$B$2:$B$12000,0)=ROW()-1,1,0))</f>
        <v/>
      </c>
    </row>
    <row r="6553" customFormat="false" ht="15" hidden="false" customHeight="false" outlineLevel="0" collapsed="false">
      <c r="V6553" s="23" t="str">
        <f aca="false">IF(ISNUMBER(C6553),YEAR(C6553),"")</f>
        <v/>
      </c>
      <c r="W6553" s="23" t="str">
        <f aca="false">IF(ISNUMBER(C6553),MONTH(C6553),"")</f>
        <v/>
      </c>
      <c r="X6553" s="23" t="str">
        <f aca="false">IF(T6553="","",IF(T6553=0,"No discount",IF(T6553&lt;=0.2,"Low (1-20%)",IF(T6553&lt;=0.4,"Medium (21-40%)","High (&gt;40%)"))))</f>
        <v/>
      </c>
      <c r="Y6553" s="23" t="str">
        <f aca="false">IF(AND(ISNUMBER(C6553),ISNUMBER(D6553)),D6553-C6553,"")</f>
        <v/>
      </c>
      <c r="Z6553" s="23" t="str">
        <f aca="false">IF(B6553="","",IF(MATCH(B6553,$B$2:$B$12000,0)=ROW()-1,1,0))</f>
        <v/>
      </c>
    </row>
    <row r="6554" customFormat="false" ht="15" hidden="false" customHeight="false" outlineLevel="0" collapsed="false">
      <c r="V6554" s="23" t="str">
        <f aca="false">IF(ISNUMBER(C6554),YEAR(C6554),"")</f>
        <v/>
      </c>
      <c r="W6554" s="23" t="str">
        <f aca="false">IF(ISNUMBER(C6554),MONTH(C6554),"")</f>
        <v/>
      </c>
      <c r="X6554" s="23" t="str">
        <f aca="false">IF(T6554="","",IF(T6554=0,"No discount",IF(T6554&lt;=0.2,"Low (1-20%)",IF(T6554&lt;=0.4,"Medium (21-40%)","High (&gt;40%)"))))</f>
        <v/>
      </c>
      <c r="Y6554" s="23" t="str">
        <f aca="false">IF(AND(ISNUMBER(C6554),ISNUMBER(D6554)),D6554-C6554,"")</f>
        <v/>
      </c>
      <c r="Z6554" s="23" t="str">
        <f aca="false">IF(B6554="","",IF(MATCH(B6554,$B$2:$B$12000,0)=ROW()-1,1,0))</f>
        <v/>
      </c>
    </row>
    <row r="6555" customFormat="false" ht="15" hidden="false" customHeight="false" outlineLevel="0" collapsed="false">
      <c r="V6555" s="23" t="str">
        <f aca="false">IF(ISNUMBER(C6555),YEAR(C6555),"")</f>
        <v/>
      </c>
      <c r="W6555" s="23" t="str">
        <f aca="false">IF(ISNUMBER(C6555),MONTH(C6555),"")</f>
        <v/>
      </c>
      <c r="X6555" s="23" t="str">
        <f aca="false">IF(T6555="","",IF(T6555=0,"No discount",IF(T6555&lt;=0.2,"Low (1-20%)",IF(T6555&lt;=0.4,"Medium (21-40%)","High (&gt;40%)"))))</f>
        <v/>
      </c>
      <c r="Y6555" s="23" t="str">
        <f aca="false">IF(AND(ISNUMBER(C6555),ISNUMBER(D6555)),D6555-C6555,"")</f>
        <v/>
      </c>
      <c r="Z6555" s="23" t="str">
        <f aca="false">IF(B6555="","",IF(MATCH(B6555,$B$2:$B$12000,0)=ROW()-1,1,0))</f>
        <v/>
      </c>
    </row>
    <row r="6556" customFormat="false" ht="15" hidden="false" customHeight="false" outlineLevel="0" collapsed="false">
      <c r="V6556" s="23" t="str">
        <f aca="false">IF(ISNUMBER(C6556),YEAR(C6556),"")</f>
        <v/>
      </c>
      <c r="W6556" s="23" t="str">
        <f aca="false">IF(ISNUMBER(C6556),MONTH(C6556),"")</f>
        <v/>
      </c>
      <c r="X6556" s="23" t="str">
        <f aca="false">IF(T6556="","",IF(T6556=0,"No discount",IF(T6556&lt;=0.2,"Low (1-20%)",IF(T6556&lt;=0.4,"Medium (21-40%)","High (&gt;40%)"))))</f>
        <v/>
      </c>
      <c r="Y6556" s="23" t="str">
        <f aca="false">IF(AND(ISNUMBER(C6556),ISNUMBER(D6556)),D6556-C6556,"")</f>
        <v/>
      </c>
      <c r="Z6556" s="23" t="str">
        <f aca="false">IF(B6556="","",IF(MATCH(B6556,$B$2:$B$12000,0)=ROW()-1,1,0))</f>
        <v/>
      </c>
    </row>
    <row r="6557" customFormat="false" ht="15" hidden="false" customHeight="false" outlineLevel="0" collapsed="false">
      <c r="V6557" s="23" t="str">
        <f aca="false">IF(ISNUMBER(C6557),YEAR(C6557),"")</f>
        <v/>
      </c>
      <c r="W6557" s="23" t="str">
        <f aca="false">IF(ISNUMBER(C6557),MONTH(C6557),"")</f>
        <v/>
      </c>
      <c r="X6557" s="23" t="str">
        <f aca="false">IF(T6557="","",IF(T6557=0,"No discount",IF(T6557&lt;=0.2,"Low (1-20%)",IF(T6557&lt;=0.4,"Medium (21-40%)","High (&gt;40%)"))))</f>
        <v/>
      </c>
      <c r="Y6557" s="23" t="str">
        <f aca="false">IF(AND(ISNUMBER(C6557),ISNUMBER(D6557)),D6557-C6557,"")</f>
        <v/>
      </c>
      <c r="Z6557" s="23" t="str">
        <f aca="false">IF(B6557="","",IF(MATCH(B6557,$B$2:$B$12000,0)=ROW()-1,1,0))</f>
        <v/>
      </c>
    </row>
    <row r="6558" customFormat="false" ht="15" hidden="false" customHeight="false" outlineLevel="0" collapsed="false">
      <c r="V6558" s="23" t="str">
        <f aca="false">IF(ISNUMBER(C6558),YEAR(C6558),"")</f>
        <v/>
      </c>
      <c r="W6558" s="23" t="str">
        <f aca="false">IF(ISNUMBER(C6558),MONTH(C6558),"")</f>
        <v/>
      </c>
      <c r="X6558" s="23" t="str">
        <f aca="false">IF(T6558="","",IF(T6558=0,"No discount",IF(T6558&lt;=0.2,"Low (1-20%)",IF(T6558&lt;=0.4,"Medium (21-40%)","High (&gt;40%)"))))</f>
        <v/>
      </c>
      <c r="Y6558" s="23" t="str">
        <f aca="false">IF(AND(ISNUMBER(C6558),ISNUMBER(D6558)),D6558-C6558,"")</f>
        <v/>
      </c>
      <c r="Z6558" s="23" t="str">
        <f aca="false">IF(B6558="","",IF(MATCH(B6558,$B$2:$B$12000,0)=ROW()-1,1,0))</f>
        <v/>
      </c>
    </row>
    <row r="6559" customFormat="false" ht="15" hidden="false" customHeight="false" outlineLevel="0" collapsed="false">
      <c r="V6559" s="23" t="str">
        <f aca="false">IF(ISNUMBER(C6559),YEAR(C6559),"")</f>
        <v/>
      </c>
      <c r="W6559" s="23" t="str">
        <f aca="false">IF(ISNUMBER(C6559),MONTH(C6559),"")</f>
        <v/>
      </c>
      <c r="X6559" s="23" t="str">
        <f aca="false">IF(T6559="","",IF(T6559=0,"No discount",IF(T6559&lt;=0.2,"Low (1-20%)",IF(T6559&lt;=0.4,"Medium (21-40%)","High (&gt;40%)"))))</f>
        <v/>
      </c>
      <c r="Y6559" s="23" t="str">
        <f aca="false">IF(AND(ISNUMBER(C6559),ISNUMBER(D6559)),D6559-C6559,"")</f>
        <v/>
      </c>
      <c r="Z6559" s="23" t="str">
        <f aca="false">IF(B6559="","",IF(MATCH(B6559,$B$2:$B$12000,0)=ROW()-1,1,0))</f>
        <v/>
      </c>
    </row>
    <row r="6560" customFormat="false" ht="15" hidden="false" customHeight="false" outlineLevel="0" collapsed="false">
      <c r="V6560" s="23" t="str">
        <f aca="false">IF(ISNUMBER(C6560),YEAR(C6560),"")</f>
        <v/>
      </c>
      <c r="W6560" s="23" t="str">
        <f aca="false">IF(ISNUMBER(C6560),MONTH(C6560),"")</f>
        <v/>
      </c>
      <c r="X6560" s="23" t="str">
        <f aca="false">IF(T6560="","",IF(T6560=0,"No discount",IF(T6560&lt;=0.2,"Low (1-20%)",IF(T6560&lt;=0.4,"Medium (21-40%)","High (&gt;40%)"))))</f>
        <v/>
      </c>
      <c r="Y6560" s="23" t="str">
        <f aca="false">IF(AND(ISNUMBER(C6560),ISNUMBER(D6560)),D6560-C6560,"")</f>
        <v/>
      </c>
      <c r="Z6560" s="23" t="str">
        <f aca="false">IF(B6560="","",IF(MATCH(B6560,$B$2:$B$12000,0)=ROW()-1,1,0))</f>
        <v/>
      </c>
    </row>
    <row r="6561" customFormat="false" ht="15" hidden="false" customHeight="false" outlineLevel="0" collapsed="false">
      <c r="V6561" s="23" t="str">
        <f aca="false">IF(ISNUMBER(C6561),YEAR(C6561),"")</f>
        <v/>
      </c>
      <c r="W6561" s="23" t="str">
        <f aca="false">IF(ISNUMBER(C6561),MONTH(C6561),"")</f>
        <v/>
      </c>
      <c r="X6561" s="23" t="str">
        <f aca="false">IF(T6561="","",IF(T6561=0,"No discount",IF(T6561&lt;=0.2,"Low (1-20%)",IF(T6561&lt;=0.4,"Medium (21-40%)","High (&gt;40%)"))))</f>
        <v/>
      </c>
      <c r="Y6561" s="23" t="str">
        <f aca="false">IF(AND(ISNUMBER(C6561),ISNUMBER(D6561)),D6561-C6561,"")</f>
        <v/>
      </c>
      <c r="Z6561" s="23" t="str">
        <f aca="false">IF(B6561="","",IF(MATCH(B6561,$B$2:$B$12000,0)=ROW()-1,1,0))</f>
        <v/>
      </c>
    </row>
    <row r="6562" customFormat="false" ht="15" hidden="false" customHeight="false" outlineLevel="0" collapsed="false">
      <c r="V6562" s="23" t="str">
        <f aca="false">IF(ISNUMBER(C6562),YEAR(C6562),"")</f>
        <v/>
      </c>
      <c r="W6562" s="23" t="str">
        <f aca="false">IF(ISNUMBER(C6562),MONTH(C6562),"")</f>
        <v/>
      </c>
      <c r="X6562" s="23" t="str">
        <f aca="false">IF(T6562="","",IF(T6562=0,"No discount",IF(T6562&lt;=0.2,"Low (1-20%)",IF(T6562&lt;=0.4,"Medium (21-40%)","High (&gt;40%)"))))</f>
        <v/>
      </c>
      <c r="Y6562" s="23" t="str">
        <f aca="false">IF(AND(ISNUMBER(C6562),ISNUMBER(D6562)),D6562-C6562,"")</f>
        <v/>
      </c>
      <c r="Z6562" s="23" t="str">
        <f aca="false">IF(B6562="","",IF(MATCH(B6562,$B$2:$B$12000,0)=ROW()-1,1,0))</f>
        <v/>
      </c>
    </row>
    <row r="6563" customFormat="false" ht="15" hidden="false" customHeight="false" outlineLevel="0" collapsed="false">
      <c r="V6563" s="23" t="str">
        <f aca="false">IF(ISNUMBER(C6563),YEAR(C6563),"")</f>
        <v/>
      </c>
      <c r="W6563" s="23" t="str">
        <f aca="false">IF(ISNUMBER(C6563),MONTH(C6563),"")</f>
        <v/>
      </c>
      <c r="X6563" s="23" t="str">
        <f aca="false">IF(T6563="","",IF(T6563=0,"No discount",IF(T6563&lt;=0.2,"Low (1-20%)",IF(T6563&lt;=0.4,"Medium (21-40%)","High (&gt;40%)"))))</f>
        <v/>
      </c>
      <c r="Y6563" s="23" t="str">
        <f aca="false">IF(AND(ISNUMBER(C6563),ISNUMBER(D6563)),D6563-C6563,"")</f>
        <v/>
      </c>
      <c r="Z6563" s="23" t="str">
        <f aca="false">IF(B6563="","",IF(MATCH(B6563,$B$2:$B$12000,0)=ROW()-1,1,0))</f>
        <v/>
      </c>
    </row>
    <row r="6564" customFormat="false" ht="15" hidden="false" customHeight="false" outlineLevel="0" collapsed="false">
      <c r="V6564" s="23" t="str">
        <f aca="false">IF(ISNUMBER(C6564),YEAR(C6564),"")</f>
        <v/>
      </c>
      <c r="W6564" s="23" t="str">
        <f aca="false">IF(ISNUMBER(C6564),MONTH(C6564),"")</f>
        <v/>
      </c>
      <c r="X6564" s="23" t="str">
        <f aca="false">IF(T6564="","",IF(T6564=0,"No discount",IF(T6564&lt;=0.2,"Low (1-20%)",IF(T6564&lt;=0.4,"Medium (21-40%)","High (&gt;40%)"))))</f>
        <v/>
      </c>
      <c r="Y6564" s="23" t="str">
        <f aca="false">IF(AND(ISNUMBER(C6564),ISNUMBER(D6564)),D6564-C6564,"")</f>
        <v/>
      </c>
      <c r="Z6564" s="23" t="str">
        <f aca="false">IF(B6564="","",IF(MATCH(B6564,$B$2:$B$12000,0)=ROW()-1,1,0))</f>
        <v/>
      </c>
    </row>
    <row r="6565" customFormat="false" ht="15" hidden="false" customHeight="false" outlineLevel="0" collapsed="false">
      <c r="V6565" s="23" t="str">
        <f aca="false">IF(ISNUMBER(C6565),YEAR(C6565),"")</f>
        <v/>
      </c>
      <c r="W6565" s="23" t="str">
        <f aca="false">IF(ISNUMBER(C6565),MONTH(C6565),"")</f>
        <v/>
      </c>
      <c r="X6565" s="23" t="str">
        <f aca="false">IF(T6565="","",IF(T6565=0,"No discount",IF(T6565&lt;=0.2,"Low (1-20%)",IF(T6565&lt;=0.4,"Medium (21-40%)","High (&gt;40%)"))))</f>
        <v/>
      </c>
      <c r="Y6565" s="23" t="str">
        <f aca="false">IF(AND(ISNUMBER(C6565),ISNUMBER(D6565)),D6565-C6565,"")</f>
        <v/>
      </c>
      <c r="Z6565" s="23" t="str">
        <f aca="false">IF(B6565="","",IF(MATCH(B6565,$B$2:$B$12000,0)=ROW()-1,1,0))</f>
        <v/>
      </c>
    </row>
    <row r="6566" customFormat="false" ht="15" hidden="false" customHeight="false" outlineLevel="0" collapsed="false">
      <c r="V6566" s="23" t="str">
        <f aca="false">IF(ISNUMBER(C6566),YEAR(C6566),"")</f>
        <v/>
      </c>
      <c r="W6566" s="23" t="str">
        <f aca="false">IF(ISNUMBER(C6566),MONTH(C6566),"")</f>
        <v/>
      </c>
      <c r="X6566" s="23" t="str">
        <f aca="false">IF(T6566="","",IF(T6566=0,"No discount",IF(T6566&lt;=0.2,"Low (1-20%)",IF(T6566&lt;=0.4,"Medium (21-40%)","High (&gt;40%)"))))</f>
        <v/>
      </c>
      <c r="Y6566" s="23" t="str">
        <f aca="false">IF(AND(ISNUMBER(C6566),ISNUMBER(D6566)),D6566-C6566,"")</f>
        <v/>
      </c>
      <c r="Z6566" s="23" t="str">
        <f aca="false">IF(B6566="","",IF(MATCH(B6566,$B$2:$B$12000,0)=ROW()-1,1,0))</f>
        <v/>
      </c>
    </row>
    <row r="6567" customFormat="false" ht="15" hidden="false" customHeight="false" outlineLevel="0" collapsed="false">
      <c r="V6567" s="23" t="str">
        <f aca="false">IF(ISNUMBER(C6567),YEAR(C6567),"")</f>
        <v/>
      </c>
      <c r="W6567" s="23" t="str">
        <f aca="false">IF(ISNUMBER(C6567),MONTH(C6567),"")</f>
        <v/>
      </c>
      <c r="X6567" s="23" t="str">
        <f aca="false">IF(T6567="","",IF(T6567=0,"No discount",IF(T6567&lt;=0.2,"Low (1-20%)",IF(T6567&lt;=0.4,"Medium (21-40%)","High (&gt;40%)"))))</f>
        <v/>
      </c>
      <c r="Y6567" s="23" t="str">
        <f aca="false">IF(AND(ISNUMBER(C6567),ISNUMBER(D6567)),D6567-C6567,"")</f>
        <v/>
      </c>
      <c r="Z6567" s="23" t="str">
        <f aca="false">IF(B6567="","",IF(MATCH(B6567,$B$2:$B$12000,0)=ROW()-1,1,0))</f>
        <v/>
      </c>
    </row>
    <row r="6568" customFormat="false" ht="15" hidden="false" customHeight="false" outlineLevel="0" collapsed="false">
      <c r="V6568" s="23" t="str">
        <f aca="false">IF(ISNUMBER(C6568),YEAR(C6568),"")</f>
        <v/>
      </c>
      <c r="W6568" s="23" t="str">
        <f aca="false">IF(ISNUMBER(C6568),MONTH(C6568),"")</f>
        <v/>
      </c>
      <c r="X6568" s="23" t="str">
        <f aca="false">IF(T6568="","",IF(T6568=0,"No discount",IF(T6568&lt;=0.2,"Low (1-20%)",IF(T6568&lt;=0.4,"Medium (21-40%)","High (&gt;40%)"))))</f>
        <v/>
      </c>
      <c r="Y6568" s="23" t="str">
        <f aca="false">IF(AND(ISNUMBER(C6568),ISNUMBER(D6568)),D6568-C6568,"")</f>
        <v/>
      </c>
      <c r="Z6568" s="23" t="str">
        <f aca="false">IF(B6568="","",IF(MATCH(B6568,$B$2:$B$12000,0)=ROW()-1,1,0))</f>
        <v/>
      </c>
    </row>
    <row r="6569" customFormat="false" ht="15" hidden="false" customHeight="false" outlineLevel="0" collapsed="false">
      <c r="V6569" s="23" t="str">
        <f aca="false">IF(ISNUMBER(C6569),YEAR(C6569),"")</f>
        <v/>
      </c>
      <c r="W6569" s="23" t="str">
        <f aca="false">IF(ISNUMBER(C6569),MONTH(C6569),"")</f>
        <v/>
      </c>
      <c r="X6569" s="23" t="str">
        <f aca="false">IF(T6569="","",IF(T6569=0,"No discount",IF(T6569&lt;=0.2,"Low (1-20%)",IF(T6569&lt;=0.4,"Medium (21-40%)","High (&gt;40%)"))))</f>
        <v/>
      </c>
      <c r="Y6569" s="23" t="str">
        <f aca="false">IF(AND(ISNUMBER(C6569),ISNUMBER(D6569)),D6569-C6569,"")</f>
        <v/>
      </c>
      <c r="Z6569" s="23" t="str">
        <f aca="false">IF(B6569="","",IF(MATCH(B6569,$B$2:$B$12000,0)=ROW()-1,1,0))</f>
        <v/>
      </c>
    </row>
    <row r="6570" customFormat="false" ht="15" hidden="false" customHeight="false" outlineLevel="0" collapsed="false">
      <c r="V6570" s="23" t="str">
        <f aca="false">IF(ISNUMBER(C6570),YEAR(C6570),"")</f>
        <v/>
      </c>
      <c r="W6570" s="23" t="str">
        <f aca="false">IF(ISNUMBER(C6570),MONTH(C6570),"")</f>
        <v/>
      </c>
      <c r="X6570" s="23" t="str">
        <f aca="false">IF(T6570="","",IF(T6570=0,"No discount",IF(T6570&lt;=0.2,"Low (1-20%)",IF(T6570&lt;=0.4,"Medium (21-40%)","High (&gt;40%)"))))</f>
        <v/>
      </c>
      <c r="Y6570" s="23" t="str">
        <f aca="false">IF(AND(ISNUMBER(C6570),ISNUMBER(D6570)),D6570-C6570,"")</f>
        <v/>
      </c>
      <c r="Z6570" s="23" t="str">
        <f aca="false">IF(B6570="","",IF(MATCH(B6570,$B$2:$B$12000,0)=ROW()-1,1,0))</f>
        <v/>
      </c>
    </row>
    <row r="6571" customFormat="false" ht="15" hidden="false" customHeight="false" outlineLevel="0" collapsed="false">
      <c r="V6571" s="23" t="str">
        <f aca="false">IF(ISNUMBER(C6571),YEAR(C6571),"")</f>
        <v/>
      </c>
      <c r="W6571" s="23" t="str">
        <f aca="false">IF(ISNUMBER(C6571),MONTH(C6571),"")</f>
        <v/>
      </c>
      <c r="X6571" s="23" t="str">
        <f aca="false">IF(T6571="","",IF(T6571=0,"No discount",IF(T6571&lt;=0.2,"Low (1-20%)",IF(T6571&lt;=0.4,"Medium (21-40%)","High (&gt;40%)"))))</f>
        <v/>
      </c>
      <c r="Y6571" s="23" t="str">
        <f aca="false">IF(AND(ISNUMBER(C6571),ISNUMBER(D6571)),D6571-C6571,"")</f>
        <v/>
      </c>
      <c r="Z6571" s="23" t="str">
        <f aca="false">IF(B6571="","",IF(MATCH(B6571,$B$2:$B$12000,0)=ROW()-1,1,0))</f>
        <v/>
      </c>
    </row>
    <row r="6572" customFormat="false" ht="15" hidden="false" customHeight="false" outlineLevel="0" collapsed="false">
      <c r="V6572" s="23" t="str">
        <f aca="false">IF(ISNUMBER(C6572),YEAR(C6572),"")</f>
        <v/>
      </c>
      <c r="W6572" s="23" t="str">
        <f aca="false">IF(ISNUMBER(C6572),MONTH(C6572),"")</f>
        <v/>
      </c>
      <c r="X6572" s="23" t="str">
        <f aca="false">IF(T6572="","",IF(T6572=0,"No discount",IF(T6572&lt;=0.2,"Low (1-20%)",IF(T6572&lt;=0.4,"Medium (21-40%)","High (&gt;40%)"))))</f>
        <v/>
      </c>
      <c r="Y6572" s="23" t="str">
        <f aca="false">IF(AND(ISNUMBER(C6572),ISNUMBER(D6572)),D6572-C6572,"")</f>
        <v/>
      </c>
      <c r="Z6572" s="23" t="str">
        <f aca="false">IF(B6572="","",IF(MATCH(B6572,$B$2:$B$12000,0)=ROW()-1,1,0))</f>
        <v/>
      </c>
    </row>
    <row r="6573" customFormat="false" ht="15" hidden="false" customHeight="false" outlineLevel="0" collapsed="false">
      <c r="V6573" s="23" t="str">
        <f aca="false">IF(ISNUMBER(C6573),YEAR(C6573),"")</f>
        <v/>
      </c>
      <c r="W6573" s="23" t="str">
        <f aca="false">IF(ISNUMBER(C6573),MONTH(C6573),"")</f>
        <v/>
      </c>
      <c r="X6573" s="23" t="str">
        <f aca="false">IF(T6573="","",IF(T6573=0,"No discount",IF(T6573&lt;=0.2,"Low (1-20%)",IF(T6573&lt;=0.4,"Medium (21-40%)","High (&gt;40%)"))))</f>
        <v/>
      </c>
      <c r="Y6573" s="23" t="str">
        <f aca="false">IF(AND(ISNUMBER(C6573),ISNUMBER(D6573)),D6573-C6573,"")</f>
        <v/>
      </c>
      <c r="Z6573" s="23" t="str">
        <f aca="false">IF(B6573="","",IF(MATCH(B6573,$B$2:$B$12000,0)=ROW()-1,1,0))</f>
        <v/>
      </c>
    </row>
    <row r="6574" customFormat="false" ht="15" hidden="false" customHeight="false" outlineLevel="0" collapsed="false">
      <c r="V6574" s="23" t="str">
        <f aca="false">IF(ISNUMBER(C6574),YEAR(C6574),"")</f>
        <v/>
      </c>
      <c r="W6574" s="23" t="str">
        <f aca="false">IF(ISNUMBER(C6574),MONTH(C6574),"")</f>
        <v/>
      </c>
      <c r="X6574" s="23" t="str">
        <f aca="false">IF(T6574="","",IF(T6574=0,"No discount",IF(T6574&lt;=0.2,"Low (1-20%)",IF(T6574&lt;=0.4,"Medium (21-40%)","High (&gt;40%)"))))</f>
        <v/>
      </c>
      <c r="Y6574" s="23" t="str">
        <f aca="false">IF(AND(ISNUMBER(C6574),ISNUMBER(D6574)),D6574-C6574,"")</f>
        <v/>
      </c>
      <c r="Z6574" s="23" t="str">
        <f aca="false">IF(B6574="","",IF(MATCH(B6574,$B$2:$B$12000,0)=ROW()-1,1,0))</f>
        <v/>
      </c>
    </row>
    <row r="6575" customFormat="false" ht="15" hidden="false" customHeight="false" outlineLevel="0" collapsed="false">
      <c r="V6575" s="23" t="str">
        <f aca="false">IF(ISNUMBER(C6575),YEAR(C6575),"")</f>
        <v/>
      </c>
      <c r="W6575" s="23" t="str">
        <f aca="false">IF(ISNUMBER(C6575),MONTH(C6575),"")</f>
        <v/>
      </c>
      <c r="X6575" s="23" t="str">
        <f aca="false">IF(T6575="","",IF(T6575=0,"No discount",IF(T6575&lt;=0.2,"Low (1-20%)",IF(T6575&lt;=0.4,"Medium (21-40%)","High (&gt;40%)"))))</f>
        <v/>
      </c>
      <c r="Y6575" s="23" t="str">
        <f aca="false">IF(AND(ISNUMBER(C6575),ISNUMBER(D6575)),D6575-C6575,"")</f>
        <v/>
      </c>
      <c r="Z6575" s="23" t="str">
        <f aca="false">IF(B6575="","",IF(MATCH(B6575,$B$2:$B$12000,0)=ROW()-1,1,0))</f>
        <v/>
      </c>
    </row>
    <row r="6576" customFormat="false" ht="15" hidden="false" customHeight="false" outlineLevel="0" collapsed="false">
      <c r="V6576" s="23" t="str">
        <f aca="false">IF(ISNUMBER(C6576),YEAR(C6576),"")</f>
        <v/>
      </c>
      <c r="W6576" s="23" t="str">
        <f aca="false">IF(ISNUMBER(C6576),MONTH(C6576),"")</f>
        <v/>
      </c>
      <c r="X6576" s="23" t="str">
        <f aca="false">IF(T6576="","",IF(T6576=0,"No discount",IF(T6576&lt;=0.2,"Low (1-20%)",IF(T6576&lt;=0.4,"Medium (21-40%)","High (&gt;40%)"))))</f>
        <v/>
      </c>
      <c r="Y6576" s="23" t="str">
        <f aca="false">IF(AND(ISNUMBER(C6576),ISNUMBER(D6576)),D6576-C6576,"")</f>
        <v/>
      </c>
      <c r="Z6576" s="23" t="str">
        <f aca="false">IF(B6576="","",IF(MATCH(B6576,$B$2:$B$12000,0)=ROW()-1,1,0))</f>
        <v/>
      </c>
    </row>
    <row r="6577" customFormat="false" ht="15" hidden="false" customHeight="false" outlineLevel="0" collapsed="false">
      <c r="V6577" s="23" t="str">
        <f aca="false">IF(ISNUMBER(C6577),YEAR(C6577),"")</f>
        <v/>
      </c>
      <c r="W6577" s="23" t="str">
        <f aca="false">IF(ISNUMBER(C6577),MONTH(C6577),"")</f>
        <v/>
      </c>
      <c r="X6577" s="23" t="str">
        <f aca="false">IF(T6577="","",IF(T6577=0,"No discount",IF(T6577&lt;=0.2,"Low (1-20%)",IF(T6577&lt;=0.4,"Medium (21-40%)","High (&gt;40%)"))))</f>
        <v/>
      </c>
      <c r="Y6577" s="23" t="str">
        <f aca="false">IF(AND(ISNUMBER(C6577),ISNUMBER(D6577)),D6577-C6577,"")</f>
        <v/>
      </c>
      <c r="Z6577" s="23" t="str">
        <f aca="false">IF(B6577="","",IF(MATCH(B6577,$B$2:$B$12000,0)=ROW()-1,1,0))</f>
        <v/>
      </c>
    </row>
    <row r="6578" customFormat="false" ht="15" hidden="false" customHeight="false" outlineLevel="0" collapsed="false">
      <c r="V6578" s="23" t="str">
        <f aca="false">IF(ISNUMBER(C6578),YEAR(C6578),"")</f>
        <v/>
      </c>
      <c r="W6578" s="23" t="str">
        <f aca="false">IF(ISNUMBER(C6578),MONTH(C6578),"")</f>
        <v/>
      </c>
      <c r="X6578" s="23" t="str">
        <f aca="false">IF(T6578="","",IF(T6578=0,"No discount",IF(T6578&lt;=0.2,"Low (1-20%)",IF(T6578&lt;=0.4,"Medium (21-40%)","High (&gt;40%)"))))</f>
        <v/>
      </c>
      <c r="Y6578" s="23" t="str">
        <f aca="false">IF(AND(ISNUMBER(C6578),ISNUMBER(D6578)),D6578-C6578,"")</f>
        <v/>
      </c>
      <c r="Z6578" s="23" t="str">
        <f aca="false">IF(B6578="","",IF(MATCH(B6578,$B$2:$B$12000,0)=ROW()-1,1,0))</f>
        <v/>
      </c>
    </row>
    <row r="6579" customFormat="false" ht="15" hidden="false" customHeight="false" outlineLevel="0" collapsed="false">
      <c r="V6579" s="23" t="str">
        <f aca="false">IF(ISNUMBER(C6579),YEAR(C6579),"")</f>
        <v/>
      </c>
      <c r="W6579" s="23" t="str">
        <f aca="false">IF(ISNUMBER(C6579),MONTH(C6579),"")</f>
        <v/>
      </c>
      <c r="X6579" s="23" t="str">
        <f aca="false">IF(T6579="","",IF(T6579=0,"No discount",IF(T6579&lt;=0.2,"Low (1-20%)",IF(T6579&lt;=0.4,"Medium (21-40%)","High (&gt;40%)"))))</f>
        <v/>
      </c>
      <c r="Y6579" s="23" t="str">
        <f aca="false">IF(AND(ISNUMBER(C6579),ISNUMBER(D6579)),D6579-C6579,"")</f>
        <v/>
      </c>
      <c r="Z6579" s="23" t="str">
        <f aca="false">IF(B6579="","",IF(MATCH(B6579,$B$2:$B$12000,0)=ROW()-1,1,0))</f>
        <v/>
      </c>
    </row>
    <row r="6580" customFormat="false" ht="15" hidden="false" customHeight="false" outlineLevel="0" collapsed="false">
      <c r="V6580" s="23" t="str">
        <f aca="false">IF(ISNUMBER(C6580),YEAR(C6580),"")</f>
        <v/>
      </c>
      <c r="W6580" s="23" t="str">
        <f aca="false">IF(ISNUMBER(C6580),MONTH(C6580),"")</f>
        <v/>
      </c>
      <c r="X6580" s="23" t="str">
        <f aca="false">IF(T6580="","",IF(T6580=0,"No discount",IF(T6580&lt;=0.2,"Low (1-20%)",IF(T6580&lt;=0.4,"Medium (21-40%)","High (&gt;40%)"))))</f>
        <v/>
      </c>
      <c r="Y6580" s="23" t="str">
        <f aca="false">IF(AND(ISNUMBER(C6580),ISNUMBER(D6580)),D6580-C6580,"")</f>
        <v/>
      </c>
      <c r="Z6580" s="23" t="str">
        <f aca="false">IF(B6580="","",IF(MATCH(B6580,$B$2:$B$12000,0)=ROW()-1,1,0))</f>
        <v/>
      </c>
    </row>
    <row r="6581" customFormat="false" ht="15" hidden="false" customHeight="false" outlineLevel="0" collapsed="false">
      <c r="V6581" s="23" t="str">
        <f aca="false">IF(ISNUMBER(C6581),YEAR(C6581),"")</f>
        <v/>
      </c>
      <c r="W6581" s="23" t="str">
        <f aca="false">IF(ISNUMBER(C6581),MONTH(C6581),"")</f>
        <v/>
      </c>
      <c r="X6581" s="23" t="str">
        <f aca="false">IF(T6581="","",IF(T6581=0,"No discount",IF(T6581&lt;=0.2,"Low (1-20%)",IF(T6581&lt;=0.4,"Medium (21-40%)","High (&gt;40%)"))))</f>
        <v/>
      </c>
      <c r="Y6581" s="23" t="str">
        <f aca="false">IF(AND(ISNUMBER(C6581),ISNUMBER(D6581)),D6581-C6581,"")</f>
        <v/>
      </c>
      <c r="Z6581" s="23" t="str">
        <f aca="false">IF(B6581="","",IF(MATCH(B6581,$B$2:$B$12000,0)=ROW()-1,1,0))</f>
        <v/>
      </c>
    </row>
    <row r="6582" customFormat="false" ht="15" hidden="false" customHeight="false" outlineLevel="0" collapsed="false">
      <c r="V6582" s="23" t="str">
        <f aca="false">IF(ISNUMBER(C6582),YEAR(C6582),"")</f>
        <v/>
      </c>
      <c r="W6582" s="23" t="str">
        <f aca="false">IF(ISNUMBER(C6582),MONTH(C6582),"")</f>
        <v/>
      </c>
      <c r="X6582" s="23" t="str">
        <f aca="false">IF(T6582="","",IF(T6582=0,"No discount",IF(T6582&lt;=0.2,"Low (1-20%)",IF(T6582&lt;=0.4,"Medium (21-40%)","High (&gt;40%)"))))</f>
        <v/>
      </c>
      <c r="Y6582" s="23" t="str">
        <f aca="false">IF(AND(ISNUMBER(C6582),ISNUMBER(D6582)),D6582-C6582,"")</f>
        <v/>
      </c>
      <c r="Z6582" s="23" t="str">
        <f aca="false">IF(B6582="","",IF(MATCH(B6582,$B$2:$B$12000,0)=ROW()-1,1,0))</f>
        <v/>
      </c>
    </row>
    <row r="6583" customFormat="false" ht="15" hidden="false" customHeight="false" outlineLevel="0" collapsed="false">
      <c r="V6583" s="23" t="str">
        <f aca="false">IF(ISNUMBER(C6583),YEAR(C6583),"")</f>
        <v/>
      </c>
      <c r="W6583" s="23" t="str">
        <f aca="false">IF(ISNUMBER(C6583),MONTH(C6583),"")</f>
        <v/>
      </c>
      <c r="X6583" s="23" t="str">
        <f aca="false">IF(T6583="","",IF(T6583=0,"No discount",IF(T6583&lt;=0.2,"Low (1-20%)",IF(T6583&lt;=0.4,"Medium (21-40%)","High (&gt;40%)"))))</f>
        <v/>
      </c>
      <c r="Y6583" s="23" t="str">
        <f aca="false">IF(AND(ISNUMBER(C6583),ISNUMBER(D6583)),D6583-C6583,"")</f>
        <v/>
      </c>
      <c r="Z6583" s="23" t="str">
        <f aca="false">IF(B6583="","",IF(MATCH(B6583,$B$2:$B$12000,0)=ROW()-1,1,0))</f>
        <v/>
      </c>
    </row>
    <row r="6584" customFormat="false" ht="15" hidden="false" customHeight="false" outlineLevel="0" collapsed="false">
      <c r="V6584" s="23" t="str">
        <f aca="false">IF(ISNUMBER(C6584),YEAR(C6584),"")</f>
        <v/>
      </c>
      <c r="W6584" s="23" t="str">
        <f aca="false">IF(ISNUMBER(C6584),MONTH(C6584),"")</f>
        <v/>
      </c>
      <c r="X6584" s="23" t="str">
        <f aca="false">IF(T6584="","",IF(T6584=0,"No discount",IF(T6584&lt;=0.2,"Low (1-20%)",IF(T6584&lt;=0.4,"Medium (21-40%)","High (&gt;40%)"))))</f>
        <v/>
      </c>
      <c r="Y6584" s="23" t="str">
        <f aca="false">IF(AND(ISNUMBER(C6584),ISNUMBER(D6584)),D6584-C6584,"")</f>
        <v/>
      </c>
      <c r="Z6584" s="23" t="str">
        <f aca="false">IF(B6584="","",IF(MATCH(B6584,$B$2:$B$12000,0)=ROW()-1,1,0))</f>
        <v/>
      </c>
    </row>
    <row r="6585" customFormat="false" ht="15" hidden="false" customHeight="false" outlineLevel="0" collapsed="false">
      <c r="V6585" s="23" t="str">
        <f aca="false">IF(ISNUMBER(C6585),YEAR(C6585),"")</f>
        <v/>
      </c>
      <c r="W6585" s="23" t="str">
        <f aca="false">IF(ISNUMBER(C6585),MONTH(C6585),"")</f>
        <v/>
      </c>
      <c r="X6585" s="23" t="str">
        <f aca="false">IF(T6585="","",IF(T6585=0,"No discount",IF(T6585&lt;=0.2,"Low (1-20%)",IF(T6585&lt;=0.4,"Medium (21-40%)","High (&gt;40%)"))))</f>
        <v/>
      </c>
      <c r="Y6585" s="23" t="str">
        <f aca="false">IF(AND(ISNUMBER(C6585),ISNUMBER(D6585)),D6585-C6585,"")</f>
        <v/>
      </c>
      <c r="Z6585" s="23" t="str">
        <f aca="false">IF(B6585="","",IF(MATCH(B6585,$B$2:$B$12000,0)=ROW()-1,1,0))</f>
        <v/>
      </c>
    </row>
    <row r="6586" customFormat="false" ht="15" hidden="false" customHeight="false" outlineLevel="0" collapsed="false">
      <c r="V6586" s="23" t="str">
        <f aca="false">IF(ISNUMBER(C6586),YEAR(C6586),"")</f>
        <v/>
      </c>
      <c r="W6586" s="23" t="str">
        <f aca="false">IF(ISNUMBER(C6586),MONTH(C6586),"")</f>
        <v/>
      </c>
      <c r="X6586" s="23" t="str">
        <f aca="false">IF(T6586="","",IF(T6586=0,"No discount",IF(T6586&lt;=0.2,"Low (1-20%)",IF(T6586&lt;=0.4,"Medium (21-40%)","High (&gt;40%)"))))</f>
        <v/>
      </c>
      <c r="Y6586" s="23" t="str">
        <f aca="false">IF(AND(ISNUMBER(C6586),ISNUMBER(D6586)),D6586-C6586,"")</f>
        <v/>
      </c>
      <c r="Z6586" s="23" t="str">
        <f aca="false">IF(B6586="","",IF(MATCH(B6586,$B$2:$B$12000,0)=ROW()-1,1,0))</f>
        <v/>
      </c>
    </row>
    <row r="6587" customFormat="false" ht="15" hidden="false" customHeight="false" outlineLevel="0" collapsed="false">
      <c r="V6587" s="23" t="str">
        <f aca="false">IF(ISNUMBER(C6587),YEAR(C6587),"")</f>
        <v/>
      </c>
      <c r="W6587" s="23" t="str">
        <f aca="false">IF(ISNUMBER(C6587),MONTH(C6587),"")</f>
        <v/>
      </c>
      <c r="X6587" s="23" t="str">
        <f aca="false">IF(T6587="","",IF(T6587=0,"No discount",IF(T6587&lt;=0.2,"Low (1-20%)",IF(T6587&lt;=0.4,"Medium (21-40%)","High (&gt;40%)"))))</f>
        <v/>
      </c>
      <c r="Y6587" s="23" t="str">
        <f aca="false">IF(AND(ISNUMBER(C6587),ISNUMBER(D6587)),D6587-C6587,"")</f>
        <v/>
      </c>
      <c r="Z6587" s="23" t="str">
        <f aca="false">IF(B6587="","",IF(MATCH(B6587,$B$2:$B$12000,0)=ROW()-1,1,0))</f>
        <v/>
      </c>
    </row>
    <row r="6588" customFormat="false" ht="15" hidden="false" customHeight="false" outlineLevel="0" collapsed="false">
      <c r="V6588" s="23" t="str">
        <f aca="false">IF(ISNUMBER(C6588),YEAR(C6588),"")</f>
        <v/>
      </c>
      <c r="W6588" s="23" t="str">
        <f aca="false">IF(ISNUMBER(C6588),MONTH(C6588),"")</f>
        <v/>
      </c>
      <c r="X6588" s="23" t="str">
        <f aca="false">IF(T6588="","",IF(T6588=0,"No discount",IF(T6588&lt;=0.2,"Low (1-20%)",IF(T6588&lt;=0.4,"Medium (21-40%)","High (&gt;40%)"))))</f>
        <v/>
      </c>
      <c r="Y6588" s="23" t="str">
        <f aca="false">IF(AND(ISNUMBER(C6588),ISNUMBER(D6588)),D6588-C6588,"")</f>
        <v/>
      </c>
      <c r="Z6588" s="23" t="str">
        <f aca="false">IF(B6588="","",IF(MATCH(B6588,$B$2:$B$12000,0)=ROW()-1,1,0))</f>
        <v/>
      </c>
    </row>
    <row r="6589" customFormat="false" ht="15" hidden="false" customHeight="false" outlineLevel="0" collapsed="false">
      <c r="V6589" s="23" t="str">
        <f aca="false">IF(ISNUMBER(C6589),YEAR(C6589),"")</f>
        <v/>
      </c>
      <c r="W6589" s="23" t="str">
        <f aca="false">IF(ISNUMBER(C6589),MONTH(C6589),"")</f>
        <v/>
      </c>
      <c r="X6589" s="23" t="str">
        <f aca="false">IF(T6589="","",IF(T6589=0,"No discount",IF(T6589&lt;=0.2,"Low (1-20%)",IF(T6589&lt;=0.4,"Medium (21-40%)","High (&gt;40%)"))))</f>
        <v/>
      </c>
      <c r="Y6589" s="23" t="str">
        <f aca="false">IF(AND(ISNUMBER(C6589),ISNUMBER(D6589)),D6589-C6589,"")</f>
        <v/>
      </c>
      <c r="Z6589" s="23" t="str">
        <f aca="false">IF(B6589="","",IF(MATCH(B6589,$B$2:$B$12000,0)=ROW()-1,1,0))</f>
        <v/>
      </c>
    </row>
    <row r="6590" customFormat="false" ht="15" hidden="false" customHeight="false" outlineLevel="0" collapsed="false">
      <c r="V6590" s="23" t="str">
        <f aca="false">IF(ISNUMBER(C6590),YEAR(C6590),"")</f>
        <v/>
      </c>
      <c r="W6590" s="23" t="str">
        <f aca="false">IF(ISNUMBER(C6590),MONTH(C6590),"")</f>
        <v/>
      </c>
      <c r="X6590" s="23" t="str">
        <f aca="false">IF(T6590="","",IF(T6590=0,"No discount",IF(T6590&lt;=0.2,"Low (1-20%)",IF(T6590&lt;=0.4,"Medium (21-40%)","High (&gt;40%)"))))</f>
        <v/>
      </c>
      <c r="Y6590" s="23" t="str">
        <f aca="false">IF(AND(ISNUMBER(C6590),ISNUMBER(D6590)),D6590-C6590,"")</f>
        <v/>
      </c>
      <c r="Z6590" s="23" t="str">
        <f aca="false">IF(B6590="","",IF(MATCH(B6590,$B$2:$B$12000,0)=ROW()-1,1,0))</f>
        <v/>
      </c>
    </row>
    <row r="6591" customFormat="false" ht="15" hidden="false" customHeight="false" outlineLevel="0" collapsed="false">
      <c r="V6591" s="23" t="str">
        <f aca="false">IF(ISNUMBER(C6591),YEAR(C6591),"")</f>
        <v/>
      </c>
      <c r="W6591" s="23" t="str">
        <f aca="false">IF(ISNUMBER(C6591),MONTH(C6591),"")</f>
        <v/>
      </c>
      <c r="X6591" s="23" t="str">
        <f aca="false">IF(T6591="","",IF(T6591=0,"No discount",IF(T6591&lt;=0.2,"Low (1-20%)",IF(T6591&lt;=0.4,"Medium (21-40%)","High (&gt;40%)"))))</f>
        <v/>
      </c>
      <c r="Y6591" s="23" t="str">
        <f aca="false">IF(AND(ISNUMBER(C6591),ISNUMBER(D6591)),D6591-C6591,"")</f>
        <v/>
      </c>
      <c r="Z6591" s="23" t="str">
        <f aca="false">IF(B6591="","",IF(MATCH(B6591,$B$2:$B$12000,0)=ROW()-1,1,0))</f>
        <v/>
      </c>
    </row>
    <row r="6592" customFormat="false" ht="15" hidden="false" customHeight="false" outlineLevel="0" collapsed="false">
      <c r="V6592" s="23" t="str">
        <f aca="false">IF(ISNUMBER(C6592),YEAR(C6592),"")</f>
        <v/>
      </c>
      <c r="W6592" s="23" t="str">
        <f aca="false">IF(ISNUMBER(C6592),MONTH(C6592),"")</f>
        <v/>
      </c>
      <c r="X6592" s="23" t="str">
        <f aca="false">IF(T6592="","",IF(T6592=0,"No discount",IF(T6592&lt;=0.2,"Low (1-20%)",IF(T6592&lt;=0.4,"Medium (21-40%)","High (&gt;40%)"))))</f>
        <v/>
      </c>
      <c r="Y6592" s="23" t="str">
        <f aca="false">IF(AND(ISNUMBER(C6592),ISNUMBER(D6592)),D6592-C6592,"")</f>
        <v/>
      </c>
      <c r="Z6592" s="23" t="str">
        <f aca="false">IF(B6592="","",IF(MATCH(B6592,$B$2:$B$12000,0)=ROW()-1,1,0))</f>
        <v/>
      </c>
    </row>
    <row r="6593" customFormat="false" ht="15" hidden="false" customHeight="false" outlineLevel="0" collapsed="false">
      <c r="V6593" s="23" t="str">
        <f aca="false">IF(ISNUMBER(C6593),YEAR(C6593),"")</f>
        <v/>
      </c>
      <c r="W6593" s="23" t="str">
        <f aca="false">IF(ISNUMBER(C6593),MONTH(C6593),"")</f>
        <v/>
      </c>
      <c r="X6593" s="23" t="str">
        <f aca="false">IF(T6593="","",IF(T6593=0,"No discount",IF(T6593&lt;=0.2,"Low (1-20%)",IF(T6593&lt;=0.4,"Medium (21-40%)","High (&gt;40%)"))))</f>
        <v/>
      </c>
      <c r="Y6593" s="23" t="str">
        <f aca="false">IF(AND(ISNUMBER(C6593),ISNUMBER(D6593)),D6593-C6593,"")</f>
        <v/>
      </c>
      <c r="Z6593" s="23" t="str">
        <f aca="false">IF(B6593="","",IF(MATCH(B6593,$B$2:$B$12000,0)=ROW()-1,1,0))</f>
        <v/>
      </c>
    </row>
    <row r="6594" customFormat="false" ht="15" hidden="false" customHeight="false" outlineLevel="0" collapsed="false">
      <c r="V6594" s="23" t="str">
        <f aca="false">IF(ISNUMBER(C6594),YEAR(C6594),"")</f>
        <v/>
      </c>
      <c r="W6594" s="23" t="str">
        <f aca="false">IF(ISNUMBER(C6594),MONTH(C6594),"")</f>
        <v/>
      </c>
      <c r="X6594" s="23" t="str">
        <f aca="false">IF(T6594="","",IF(T6594=0,"No discount",IF(T6594&lt;=0.2,"Low (1-20%)",IF(T6594&lt;=0.4,"Medium (21-40%)","High (&gt;40%)"))))</f>
        <v/>
      </c>
      <c r="Y6594" s="23" t="str">
        <f aca="false">IF(AND(ISNUMBER(C6594),ISNUMBER(D6594)),D6594-C6594,"")</f>
        <v/>
      </c>
      <c r="Z6594" s="23" t="str">
        <f aca="false">IF(B6594="","",IF(MATCH(B6594,$B$2:$B$12000,0)=ROW()-1,1,0))</f>
        <v/>
      </c>
    </row>
    <row r="6595" customFormat="false" ht="15" hidden="false" customHeight="false" outlineLevel="0" collapsed="false">
      <c r="V6595" s="23" t="str">
        <f aca="false">IF(ISNUMBER(C6595),YEAR(C6595),"")</f>
        <v/>
      </c>
      <c r="W6595" s="23" t="str">
        <f aca="false">IF(ISNUMBER(C6595),MONTH(C6595),"")</f>
        <v/>
      </c>
      <c r="X6595" s="23" t="str">
        <f aca="false">IF(T6595="","",IF(T6595=0,"No discount",IF(T6595&lt;=0.2,"Low (1-20%)",IF(T6595&lt;=0.4,"Medium (21-40%)","High (&gt;40%)"))))</f>
        <v/>
      </c>
      <c r="Y6595" s="23" t="str">
        <f aca="false">IF(AND(ISNUMBER(C6595),ISNUMBER(D6595)),D6595-C6595,"")</f>
        <v/>
      </c>
      <c r="Z6595" s="23" t="str">
        <f aca="false">IF(B6595="","",IF(MATCH(B6595,$B$2:$B$12000,0)=ROW()-1,1,0))</f>
        <v/>
      </c>
    </row>
    <row r="6596" customFormat="false" ht="15" hidden="false" customHeight="false" outlineLevel="0" collapsed="false">
      <c r="V6596" s="23" t="str">
        <f aca="false">IF(ISNUMBER(C6596),YEAR(C6596),"")</f>
        <v/>
      </c>
      <c r="W6596" s="23" t="str">
        <f aca="false">IF(ISNUMBER(C6596),MONTH(C6596),"")</f>
        <v/>
      </c>
      <c r="X6596" s="23" t="str">
        <f aca="false">IF(T6596="","",IF(T6596=0,"No discount",IF(T6596&lt;=0.2,"Low (1-20%)",IF(T6596&lt;=0.4,"Medium (21-40%)","High (&gt;40%)"))))</f>
        <v/>
      </c>
      <c r="Y6596" s="23" t="str">
        <f aca="false">IF(AND(ISNUMBER(C6596),ISNUMBER(D6596)),D6596-C6596,"")</f>
        <v/>
      </c>
      <c r="Z6596" s="23" t="str">
        <f aca="false">IF(B6596="","",IF(MATCH(B6596,$B$2:$B$12000,0)=ROW()-1,1,0))</f>
        <v/>
      </c>
    </row>
    <row r="6597" customFormat="false" ht="15" hidden="false" customHeight="false" outlineLevel="0" collapsed="false">
      <c r="V6597" s="23" t="str">
        <f aca="false">IF(ISNUMBER(C6597),YEAR(C6597),"")</f>
        <v/>
      </c>
      <c r="W6597" s="23" t="str">
        <f aca="false">IF(ISNUMBER(C6597),MONTH(C6597),"")</f>
        <v/>
      </c>
      <c r="X6597" s="23" t="str">
        <f aca="false">IF(T6597="","",IF(T6597=0,"No discount",IF(T6597&lt;=0.2,"Low (1-20%)",IF(T6597&lt;=0.4,"Medium (21-40%)","High (&gt;40%)"))))</f>
        <v/>
      </c>
      <c r="Y6597" s="23" t="str">
        <f aca="false">IF(AND(ISNUMBER(C6597),ISNUMBER(D6597)),D6597-C6597,"")</f>
        <v/>
      </c>
      <c r="Z6597" s="23" t="str">
        <f aca="false">IF(B6597="","",IF(MATCH(B6597,$B$2:$B$12000,0)=ROW()-1,1,0))</f>
        <v/>
      </c>
    </row>
    <row r="6598" customFormat="false" ht="15" hidden="false" customHeight="false" outlineLevel="0" collapsed="false">
      <c r="V6598" s="23" t="str">
        <f aca="false">IF(ISNUMBER(C6598),YEAR(C6598),"")</f>
        <v/>
      </c>
      <c r="W6598" s="23" t="str">
        <f aca="false">IF(ISNUMBER(C6598),MONTH(C6598),"")</f>
        <v/>
      </c>
      <c r="X6598" s="23" t="str">
        <f aca="false">IF(T6598="","",IF(T6598=0,"No discount",IF(T6598&lt;=0.2,"Low (1-20%)",IF(T6598&lt;=0.4,"Medium (21-40%)","High (&gt;40%)"))))</f>
        <v/>
      </c>
      <c r="Y6598" s="23" t="str">
        <f aca="false">IF(AND(ISNUMBER(C6598),ISNUMBER(D6598)),D6598-C6598,"")</f>
        <v/>
      </c>
      <c r="Z6598" s="23" t="str">
        <f aca="false">IF(B6598="","",IF(MATCH(B6598,$B$2:$B$12000,0)=ROW()-1,1,0))</f>
        <v/>
      </c>
    </row>
    <row r="6599" customFormat="false" ht="15" hidden="false" customHeight="false" outlineLevel="0" collapsed="false">
      <c r="V6599" s="23" t="str">
        <f aca="false">IF(ISNUMBER(C6599),YEAR(C6599),"")</f>
        <v/>
      </c>
      <c r="W6599" s="23" t="str">
        <f aca="false">IF(ISNUMBER(C6599),MONTH(C6599),"")</f>
        <v/>
      </c>
      <c r="X6599" s="23" t="str">
        <f aca="false">IF(T6599="","",IF(T6599=0,"No discount",IF(T6599&lt;=0.2,"Low (1-20%)",IF(T6599&lt;=0.4,"Medium (21-40%)","High (&gt;40%)"))))</f>
        <v/>
      </c>
      <c r="Y6599" s="23" t="str">
        <f aca="false">IF(AND(ISNUMBER(C6599),ISNUMBER(D6599)),D6599-C6599,"")</f>
        <v/>
      </c>
      <c r="Z6599" s="23" t="str">
        <f aca="false">IF(B6599="","",IF(MATCH(B6599,$B$2:$B$12000,0)=ROW()-1,1,0))</f>
        <v/>
      </c>
    </row>
    <row r="6600" customFormat="false" ht="15" hidden="false" customHeight="false" outlineLevel="0" collapsed="false">
      <c r="V6600" s="23" t="str">
        <f aca="false">IF(ISNUMBER(C6600),YEAR(C6600),"")</f>
        <v/>
      </c>
      <c r="W6600" s="23" t="str">
        <f aca="false">IF(ISNUMBER(C6600),MONTH(C6600),"")</f>
        <v/>
      </c>
      <c r="X6600" s="23" t="str">
        <f aca="false">IF(T6600="","",IF(T6600=0,"No discount",IF(T6600&lt;=0.2,"Low (1-20%)",IF(T6600&lt;=0.4,"Medium (21-40%)","High (&gt;40%)"))))</f>
        <v/>
      </c>
      <c r="Y6600" s="23" t="str">
        <f aca="false">IF(AND(ISNUMBER(C6600),ISNUMBER(D6600)),D6600-C6600,"")</f>
        <v/>
      </c>
      <c r="Z6600" s="23" t="str">
        <f aca="false">IF(B6600="","",IF(MATCH(B6600,$B$2:$B$12000,0)=ROW()-1,1,0))</f>
        <v/>
      </c>
    </row>
    <row r="6601" customFormat="false" ht="15" hidden="false" customHeight="false" outlineLevel="0" collapsed="false">
      <c r="V6601" s="23" t="str">
        <f aca="false">IF(ISNUMBER(C6601),YEAR(C6601),"")</f>
        <v/>
      </c>
      <c r="W6601" s="23" t="str">
        <f aca="false">IF(ISNUMBER(C6601),MONTH(C6601),"")</f>
        <v/>
      </c>
      <c r="X6601" s="23" t="str">
        <f aca="false">IF(T6601="","",IF(T6601=0,"No discount",IF(T6601&lt;=0.2,"Low (1-20%)",IF(T6601&lt;=0.4,"Medium (21-40%)","High (&gt;40%)"))))</f>
        <v/>
      </c>
      <c r="Y6601" s="23" t="str">
        <f aca="false">IF(AND(ISNUMBER(C6601),ISNUMBER(D6601)),D6601-C6601,"")</f>
        <v/>
      </c>
      <c r="Z6601" s="23" t="str">
        <f aca="false">IF(B6601="","",IF(MATCH(B6601,$B$2:$B$12000,0)=ROW()-1,1,0))</f>
        <v/>
      </c>
    </row>
    <row r="6602" customFormat="false" ht="15" hidden="false" customHeight="false" outlineLevel="0" collapsed="false">
      <c r="V6602" s="23" t="str">
        <f aca="false">IF(ISNUMBER(C6602),YEAR(C6602),"")</f>
        <v/>
      </c>
      <c r="W6602" s="23" t="str">
        <f aca="false">IF(ISNUMBER(C6602),MONTH(C6602),"")</f>
        <v/>
      </c>
      <c r="X6602" s="23" t="str">
        <f aca="false">IF(T6602="","",IF(T6602=0,"No discount",IF(T6602&lt;=0.2,"Low (1-20%)",IF(T6602&lt;=0.4,"Medium (21-40%)","High (&gt;40%)"))))</f>
        <v/>
      </c>
      <c r="Y6602" s="23" t="str">
        <f aca="false">IF(AND(ISNUMBER(C6602),ISNUMBER(D6602)),D6602-C6602,"")</f>
        <v/>
      </c>
      <c r="Z6602" s="23" t="str">
        <f aca="false">IF(B6602="","",IF(MATCH(B6602,$B$2:$B$12000,0)=ROW()-1,1,0))</f>
        <v/>
      </c>
    </row>
    <row r="6603" customFormat="false" ht="15" hidden="false" customHeight="false" outlineLevel="0" collapsed="false">
      <c r="V6603" s="23" t="str">
        <f aca="false">IF(ISNUMBER(C6603),YEAR(C6603),"")</f>
        <v/>
      </c>
      <c r="W6603" s="23" t="str">
        <f aca="false">IF(ISNUMBER(C6603),MONTH(C6603),"")</f>
        <v/>
      </c>
      <c r="X6603" s="23" t="str">
        <f aca="false">IF(T6603="","",IF(T6603=0,"No discount",IF(T6603&lt;=0.2,"Low (1-20%)",IF(T6603&lt;=0.4,"Medium (21-40%)","High (&gt;40%)"))))</f>
        <v/>
      </c>
      <c r="Y6603" s="23" t="str">
        <f aca="false">IF(AND(ISNUMBER(C6603),ISNUMBER(D6603)),D6603-C6603,"")</f>
        <v/>
      </c>
      <c r="Z6603" s="23" t="str">
        <f aca="false">IF(B6603="","",IF(MATCH(B6603,$B$2:$B$12000,0)=ROW()-1,1,0))</f>
        <v/>
      </c>
    </row>
    <row r="6604" customFormat="false" ht="15" hidden="false" customHeight="false" outlineLevel="0" collapsed="false">
      <c r="V6604" s="23" t="str">
        <f aca="false">IF(ISNUMBER(C6604),YEAR(C6604),"")</f>
        <v/>
      </c>
      <c r="W6604" s="23" t="str">
        <f aca="false">IF(ISNUMBER(C6604),MONTH(C6604),"")</f>
        <v/>
      </c>
      <c r="X6604" s="23" t="str">
        <f aca="false">IF(T6604="","",IF(T6604=0,"No discount",IF(T6604&lt;=0.2,"Low (1-20%)",IF(T6604&lt;=0.4,"Medium (21-40%)","High (&gt;40%)"))))</f>
        <v/>
      </c>
      <c r="Y6604" s="23" t="str">
        <f aca="false">IF(AND(ISNUMBER(C6604),ISNUMBER(D6604)),D6604-C6604,"")</f>
        <v/>
      </c>
      <c r="Z6604" s="23" t="str">
        <f aca="false">IF(B6604="","",IF(MATCH(B6604,$B$2:$B$12000,0)=ROW()-1,1,0))</f>
        <v/>
      </c>
    </row>
    <row r="6605" customFormat="false" ht="15" hidden="false" customHeight="false" outlineLevel="0" collapsed="false">
      <c r="V6605" s="23" t="str">
        <f aca="false">IF(ISNUMBER(C6605),YEAR(C6605),"")</f>
        <v/>
      </c>
      <c r="W6605" s="23" t="str">
        <f aca="false">IF(ISNUMBER(C6605),MONTH(C6605),"")</f>
        <v/>
      </c>
      <c r="X6605" s="23" t="str">
        <f aca="false">IF(T6605="","",IF(T6605=0,"No discount",IF(T6605&lt;=0.2,"Low (1-20%)",IF(T6605&lt;=0.4,"Medium (21-40%)","High (&gt;40%)"))))</f>
        <v/>
      </c>
      <c r="Y6605" s="23" t="str">
        <f aca="false">IF(AND(ISNUMBER(C6605),ISNUMBER(D6605)),D6605-C6605,"")</f>
        <v/>
      </c>
      <c r="Z6605" s="23" t="str">
        <f aca="false">IF(B6605="","",IF(MATCH(B6605,$B$2:$B$12000,0)=ROW()-1,1,0))</f>
        <v/>
      </c>
    </row>
    <row r="6606" customFormat="false" ht="15" hidden="false" customHeight="false" outlineLevel="0" collapsed="false">
      <c r="V6606" s="23" t="str">
        <f aca="false">IF(ISNUMBER(C6606),YEAR(C6606),"")</f>
        <v/>
      </c>
      <c r="W6606" s="23" t="str">
        <f aca="false">IF(ISNUMBER(C6606),MONTH(C6606),"")</f>
        <v/>
      </c>
      <c r="X6606" s="23" t="str">
        <f aca="false">IF(T6606="","",IF(T6606=0,"No discount",IF(T6606&lt;=0.2,"Low (1-20%)",IF(T6606&lt;=0.4,"Medium (21-40%)","High (&gt;40%)"))))</f>
        <v/>
      </c>
      <c r="Y6606" s="23" t="str">
        <f aca="false">IF(AND(ISNUMBER(C6606),ISNUMBER(D6606)),D6606-C6606,"")</f>
        <v/>
      </c>
      <c r="Z6606" s="23" t="str">
        <f aca="false">IF(B6606="","",IF(MATCH(B6606,$B$2:$B$12000,0)=ROW()-1,1,0))</f>
        <v/>
      </c>
    </row>
    <row r="6607" customFormat="false" ht="15" hidden="false" customHeight="false" outlineLevel="0" collapsed="false">
      <c r="V6607" s="23" t="str">
        <f aca="false">IF(ISNUMBER(C6607),YEAR(C6607),"")</f>
        <v/>
      </c>
      <c r="W6607" s="23" t="str">
        <f aca="false">IF(ISNUMBER(C6607),MONTH(C6607),"")</f>
        <v/>
      </c>
      <c r="X6607" s="23" t="str">
        <f aca="false">IF(T6607="","",IF(T6607=0,"No discount",IF(T6607&lt;=0.2,"Low (1-20%)",IF(T6607&lt;=0.4,"Medium (21-40%)","High (&gt;40%)"))))</f>
        <v/>
      </c>
      <c r="Y6607" s="23" t="str">
        <f aca="false">IF(AND(ISNUMBER(C6607),ISNUMBER(D6607)),D6607-C6607,"")</f>
        <v/>
      </c>
      <c r="Z6607" s="23" t="str">
        <f aca="false">IF(B6607="","",IF(MATCH(B6607,$B$2:$B$12000,0)=ROW()-1,1,0))</f>
        <v/>
      </c>
    </row>
    <row r="6608" customFormat="false" ht="15" hidden="false" customHeight="false" outlineLevel="0" collapsed="false">
      <c r="V6608" s="23" t="str">
        <f aca="false">IF(ISNUMBER(C6608),YEAR(C6608),"")</f>
        <v/>
      </c>
      <c r="W6608" s="23" t="str">
        <f aca="false">IF(ISNUMBER(C6608),MONTH(C6608),"")</f>
        <v/>
      </c>
      <c r="X6608" s="23" t="str">
        <f aca="false">IF(T6608="","",IF(T6608=0,"No discount",IF(T6608&lt;=0.2,"Low (1-20%)",IF(T6608&lt;=0.4,"Medium (21-40%)","High (&gt;40%)"))))</f>
        <v/>
      </c>
      <c r="Y6608" s="23" t="str">
        <f aca="false">IF(AND(ISNUMBER(C6608),ISNUMBER(D6608)),D6608-C6608,"")</f>
        <v/>
      </c>
      <c r="Z6608" s="23" t="str">
        <f aca="false">IF(B6608="","",IF(MATCH(B6608,$B$2:$B$12000,0)=ROW()-1,1,0))</f>
        <v/>
      </c>
    </row>
    <row r="6609" customFormat="false" ht="15" hidden="false" customHeight="false" outlineLevel="0" collapsed="false">
      <c r="V6609" s="23" t="str">
        <f aca="false">IF(ISNUMBER(C6609),YEAR(C6609),"")</f>
        <v/>
      </c>
      <c r="W6609" s="23" t="str">
        <f aca="false">IF(ISNUMBER(C6609),MONTH(C6609),"")</f>
        <v/>
      </c>
      <c r="X6609" s="23" t="str">
        <f aca="false">IF(T6609="","",IF(T6609=0,"No discount",IF(T6609&lt;=0.2,"Low (1-20%)",IF(T6609&lt;=0.4,"Medium (21-40%)","High (&gt;40%)"))))</f>
        <v/>
      </c>
      <c r="Y6609" s="23" t="str">
        <f aca="false">IF(AND(ISNUMBER(C6609),ISNUMBER(D6609)),D6609-C6609,"")</f>
        <v/>
      </c>
      <c r="Z6609" s="23" t="str">
        <f aca="false">IF(B6609="","",IF(MATCH(B6609,$B$2:$B$12000,0)=ROW()-1,1,0))</f>
        <v/>
      </c>
    </row>
    <row r="6610" customFormat="false" ht="15" hidden="false" customHeight="false" outlineLevel="0" collapsed="false">
      <c r="V6610" s="23" t="str">
        <f aca="false">IF(ISNUMBER(C6610),YEAR(C6610),"")</f>
        <v/>
      </c>
      <c r="W6610" s="23" t="str">
        <f aca="false">IF(ISNUMBER(C6610),MONTH(C6610),"")</f>
        <v/>
      </c>
      <c r="X6610" s="23" t="str">
        <f aca="false">IF(T6610="","",IF(T6610=0,"No discount",IF(T6610&lt;=0.2,"Low (1-20%)",IF(T6610&lt;=0.4,"Medium (21-40%)","High (&gt;40%)"))))</f>
        <v/>
      </c>
      <c r="Y6610" s="23" t="str">
        <f aca="false">IF(AND(ISNUMBER(C6610),ISNUMBER(D6610)),D6610-C6610,"")</f>
        <v/>
      </c>
      <c r="Z6610" s="23" t="str">
        <f aca="false">IF(B6610="","",IF(MATCH(B6610,$B$2:$B$12000,0)=ROW()-1,1,0))</f>
        <v/>
      </c>
    </row>
    <row r="6611" customFormat="false" ht="15" hidden="false" customHeight="false" outlineLevel="0" collapsed="false">
      <c r="V6611" s="23" t="str">
        <f aca="false">IF(ISNUMBER(C6611),YEAR(C6611),"")</f>
        <v/>
      </c>
      <c r="W6611" s="23" t="str">
        <f aca="false">IF(ISNUMBER(C6611),MONTH(C6611),"")</f>
        <v/>
      </c>
      <c r="X6611" s="23" t="str">
        <f aca="false">IF(T6611="","",IF(T6611=0,"No discount",IF(T6611&lt;=0.2,"Low (1-20%)",IF(T6611&lt;=0.4,"Medium (21-40%)","High (&gt;40%)"))))</f>
        <v/>
      </c>
      <c r="Y6611" s="23" t="str">
        <f aca="false">IF(AND(ISNUMBER(C6611),ISNUMBER(D6611)),D6611-C6611,"")</f>
        <v/>
      </c>
      <c r="Z6611" s="23" t="str">
        <f aca="false">IF(B6611="","",IF(MATCH(B6611,$B$2:$B$12000,0)=ROW()-1,1,0))</f>
        <v/>
      </c>
    </row>
    <row r="6612" customFormat="false" ht="15" hidden="false" customHeight="false" outlineLevel="0" collapsed="false">
      <c r="V6612" s="23" t="str">
        <f aca="false">IF(ISNUMBER(C6612),YEAR(C6612),"")</f>
        <v/>
      </c>
      <c r="W6612" s="23" t="str">
        <f aca="false">IF(ISNUMBER(C6612),MONTH(C6612),"")</f>
        <v/>
      </c>
      <c r="X6612" s="23" t="str">
        <f aca="false">IF(T6612="","",IF(T6612=0,"No discount",IF(T6612&lt;=0.2,"Low (1-20%)",IF(T6612&lt;=0.4,"Medium (21-40%)","High (&gt;40%)"))))</f>
        <v/>
      </c>
      <c r="Y6612" s="23" t="str">
        <f aca="false">IF(AND(ISNUMBER(C6612),ISNUMBER(D6612)),D6612-C6612,"")</f>
        <v/>
      </c>
      <c r="Z6612" s="23" t="str">
        <f aca="false">IF(B6612="","",IF(MATCH(B6612,$B$2:$B$12000,0)=ROW()-1,1,0))</f>
        <v/>
      </c>
    </row>
    <row r="6613" customFormat="false" ht="15" hidden="false" customHeight="false" outlineLevel="0" collapsed="false">
      <c r="V6613" s="23" t="str">
        <f aca="false">IF(ISNUMBER(C6613),YEAR(C6613),"")</f>
        <v/>
      </c>
      <c r="W6613" s="23" t="str">
        <f aca="false">IF(ISNUMBER(C6613),MONTH(C6613),"")</f>
        <v/>
      </c>
      <c r="X6613" s="23" t="str">
        <f aca="false">IF(T6613="","",IF(T6613=0,"No discount",IF(T6613&lt;=0.2,"Low (1-20%)",IF(T6613&lt;=0.4,"Medium (21-40%)","High (&gt;40%)"))))</f>
        <v/>
      </c>
      <c r="Y6613" s="23" t="str">
        <f aca="false">IF(AND(ISNUMBER(C6613),ISNUMBER(D6613)),D6613-C6613,"")</f>
        <v/>
      </c>
      <c r="Z6613" s="23" t="str">
        <f aca="false">IF(B6613="","",IF(MATCH(B6613,$B$2:$B$12000,0)=ROW()-1,1,0))</f>
        <v/>
      </c>
    </row>
    <row r="6614" customFormat="false" ht="15" hidden="false" customHeight="false" outlineLevel="0" collapsed="false">
      <c r="V6614" s="23" t="str">
        <f aca="false">IF(ISNUMBER(C6614),YEAR(C6614),"")</f>
        <v/>
      </c>
      <c r="W6614" s="23" t="str">
        <f aca="false">IF(ISNUMBER(C6614),MONTH(C6614),"")</f>
        <v/>
      </c>
      <c r="X6614" s="23" t="str">
        <f aca="false">IF(T6614="","",IF(T6614=0,"No discount",IF(T6614&lt;=0.2,"Low (1-20%)",IF(T6614&lt;=0.4,"Medium (21-40%)","High (&gt;40%)"))))</f>
        <v/>
      </c>
      <c r="Y6614" s="23" t="str">
        <f aca="false">IF(AND(ISNUMBER(C6614),ISNUMBER(D6614)),D6614-C6614,"")</f>
        <v/>
      </c>
      <c r="Z6614" s="23" t="str">
        <f aca="false">IF(B6614="","",IF(MATCH(B6614,$B$2:$B$12000,0)=ROW()-1,1,0))</f>
        <v/>
      </c>
    </row>
    <row r="6615" customFormat="false" ht="15" hidden="false" customHeight="false" outlineLevel="0" collapsed="false">
      <c r="V6615" s="23" t="str">
        <f aca="false">IF(ISNUMBER(C6615),YEAR(C6615),"")</f>
        <v/>
      </c>
      <c r="W6615" s="23" t="str">
        <f aca="false">IF(ISNUMBER(C6615),MONTH(C6615),"")</f>
        <v/>
      </c>
      <c r="X6615" s="23" t="str">
        <f aca="false">IF(T6615="","",IF(T6615=0,"No discount",IF(T6615&lt;=0.2,"Low (1-20%)",IF(T6615&lt;=0.4,"Medium (21-40%)","High (&gt;40%)"))))</f>
        <v/>
      </c>
      <c r="Y6615" s="23" t="str">
        <f aca="false">IF(AND(ISNUMBER(C6615),ISNUMBER(D6615)),D6615-C6615,"")</f>
        <v/>
      </c>
      <c r="Z6615" s="23" t="str">
        <f aca="false">IF(B6615="","",IF(MATCH(B6615,$B$2:$B$12000,0)=ROW()-1,1,0))</f>
        <v/>
      </c>
    </row>
    <row r="6616" customFormat="false" ht="15" hidden="false" customHeight="false" outlineLevel="0" collapsed="false">
      <c r="V6616" s="23" t="str">
        <f aca="false">IF(ISNUMBER(C6616),YEAR(C6616),"")</f>
        <v/>
      </c>
      <c r="W6616" s="23" t="str">
        <f aca="false">IF(ISNUMBER(C6616),MONTH(C6616),"")</f>
        <v/>
      </c>
      <c r="X6616" s="23" t="str">
        <f aca="false">IF(T6616="","",IF(T6616=0,"No discount",IF(T6616&lt;=0.2,"Low (1-20%)",IF(T6616&lt;=0.4,"Medium (21-40%)","High (&gt;40%)"))))</f>
        <v/>
      </c>
      <c r="Y6616" s="23" t="str">
        <f aca="false">IF(AND(ISNUMBER(C6616),ISNUMBER(D6616)),D6616-C6616,"")</f>
        <v/>
      </c>
      <c r="Z6616" s="23" t="str">
        <f aca="false">IF(B6616="","",IF(MATCH(B6616,$B$2:$B$12000,0)=ROW()-1,1,0))</f>
        <v/>
      </c>
    </row>
    <row r="6617" customFormat="false" ht="15" hidden="false" customHeight="false" outlineLevel="0" collapsed="false">
      <c r="V6617" s="23" t="str">
        <f aca="false">IF(ISNUMBER(C6617),YEAR(C6617),"")</f>
        <v/>
      </c>
      <c r="W6617" s="23" t="str">
        <f aca="false">IF(ISNUMBER(C6617),MONTH(C6617),"")</f>
        <v/>
      </c>
      <c r="X6617" s="23" t="str">
        <f aca="false">IF(T6617="","",IF(T6617=0,"No discount",IF(T6617&lt;=0.2,"Low (1-20%)",IF(T6617&lt;=0.4,"Medium (21-40%)","High (&gt;40%)"))))</f>
        <v/>
      </c>
      <c r="Y6617" s="23" t="str">
        <f aca="false">IF(AND(ISNUMBER(C6617),ISNUMBER(D6617)),D6617-C6617,"")</f>
        <v/>
      </c>
      <c r="Z6617" s="23" t="str">
        <f aca="false">IF(B6617="","",IF(MATCH(B6617,$B$2:$B$12000,0)=ROW()-1,1,0))</f>
        <v/>
      </c>
    </row>
    <row r="6618" customFormat="false" ht="15" hidden="false" customHeight="false" outlineLevel="0" collapsed="false">
      <c r="V6618" s="23" t="str">
        <f aca="false">IF(ISNUMBER(C6618),YEAR(C6618),"")</f>
        <v/>
      </c>
      <c r="W6618" s="23" t="str">
        <f aca="false">IF(ISNUMBER(C6618),MONTH(C6618),"")</f>
        <v/>
      </c>
      <c r="X6618" s="23" t="str">
        <f aca="false">IF(T6618="","",IF(T6618=0,"No discount",IF(T6618&lt;=0.2,"Low (1-20%)",IF(T6618&lt;=0.4,"Medium (21-40%)","High (&gt;40%)"))))</f>
        <v/>
      </c>
      <c r="Y6618" s="23" t="str">
        <f aca="false">IF(AND(ISNUMBER(C6618),ISNUMBER(D6618)),D6618-C6618,"")</f>
        <v/>
      </c>
      <c r="Z6618" s="23" t="str">
        <f aca="false">IF(B6618="","",IF(MATCH(B6618,$B$2:$B$12000,0)=ROW()-1,1,0))</f>
        <v/>
      </c>
    </row>
    <row r="6619" customFormat="false" ht="15" hidden="false" customHeight="false" outlineLevel="0" collapsed="false">
      <c r="V6619" s="23" t="str">
        <f aca="false">IF(ISNUMBER(C6619),YEAR(C6619),"")</f>
        <v/>
      </c>
      <c r="W6619" s="23" t="str">
        <f aca="false">IF(ISNUMBER(C6619),MONTH(C6619),"")</f>
        <v/>
      </c>
      <c r="X6619" s="23" t="str">
        <f aca="false">IF(T6619="","",IF(T6619=0,"No discount",IF(T6619&lt;=0.2,"Low (1-20%)",IF(T6619&lt;=0.4,"Medium (21-40%)","High (&gt;40%)"))))</f>
        <v/>
      </c>
      <c r="Y6619" s="23" t="str">
        <f aca="false">IF(AND(ISNUMBER(C6619),ISNUMBER(D6619)),D6619-C6619,"")</f>
        <v/>
      </c>
      <c r="Z6619" s="23" t="str">
        <f aca="false">IF(B6619="","",IF(MATCH(B6619,$B$2:$B$12000,0)=ROW()-1,1,0))</f>
        <v/>
      </c>
    </row>
    <row r="6620" customFormat="false" ht="15" hidden="false" customHeight="false" outlineLevel="0" collapsed="false">
      <c r="V6620" s="23" t="str">
        <f aca="false">IF(ISNUMBER(C6620),YEAR(C6620),"")</f>
        <v/>
      </c>
      <c r="W6620" s="23" t="str">
        <f aca="false">IF(ISNUMBER(C6620),MONTH(C6620),"")</f>
        <v/>
      </c>
      <c r="X6620" s="23" t="str">
        <f aca="false">IF(T6620="","",IF(T6620=0,"No discount",IF(T6620&lt;=0.2,"Low (1-20%)",IF(T6620&lt;=0.4,"Medium (21-40%)","High (&gt;40%)"))))</f>
        <v/>
      </c>
      <c r="Y6620" s="23" t="str">
        <f aca="false">IF(AND(ISNUMBER(C6620),ISNUMBER(D6620)),D6620-C6620,"")</f>
        <v/>
      </c>
      <c r="Z6620" s="23" t="str">
        <f aca="false">IF(B6620="","",IF(MATCH(B6620,$B$2:$B$12000,0)=ROW()-1,1,0))</f>
        <v/>
      </c>
    </row>
    <row r="6621" customFormat="false" ht="15" hidden="false" customHeight="false" outlineLevel="0" collapsed="false">
      <c r="V6621" s="23" t="str">
        <f aca="false">IF(ISNUMBER(C6621),YEAR(C6621),"")</f>
        <v/>
      </c>
      <c r="W6621" s="23" t="str">
        <f aca="false">IF(ISNUMBER(C6621),MONTH(C6621),"")</f>
        <v/>
      </c>
      <c r="X6621" s="23" t="str">
        <f aca="false">IF(T6621="","",IF(T6621=0,"No discount",IF(T6621&lt;=0.2,"Low (1-20%)",IF(T6621&lt;=0.4,"Medium (21-40%)","High (&gt;40%)"))))</f>
        <v/>
      </c>
      <c r="Y6621" s="23" t="str">
        <f aca="false">IF(AND(ISNUMBER(C6621),ISNUMBER(D6621)),D6621-C6621,"")</f>
        <v/>
      </c>
      <c r="Z6621" s="23" t="str">
        <f aca="false">IF(B6621="","",IF(MATCH(B6621,$B$2:$B$12000,0)=ROW()-1,1,0))</f>
        <v/>
      </c>
    </row>
    <row r="6622" customFormat="false" ht="15" hidden="false" customHeight="false" outlineLevel="0" collapsed="false">
      <c r="V6622" s="23" t="str">
        <f aca="false">IF(ISNUMBER(C6622),YEAR(C6622),"")</f>
        <v/>
      </c>
      <c r="W6622" s="23" t="str">
        <f aca="false">IF(ISNUMBER(C6622),MONTH(C6622),"")</f>
        <v/>
      </c>
      <c r="X6622" s="23" t="str">
        <f aca="false">IF(T6622="","",IF(T6622=0,"No discount",IF(T6622&lt;=0.2,"Low (1-20%)",IF(T6622&lt;=0.4,"Medium (21-40%)","High (&gt;40%)"))))</f>
        <v/>
      </c>
      <c r="Y6622" s="23" t="str">
        <f aca="false">IF(AND(ISNUMBER(C6622),ISNUMBER(D6622)),D6622-C6622,"")</f>
        <v/>
      </c>
      <c r="Z6622" s="23" t="str">
        <f aca="false">IF(B6622="","",IF(MATCH(B6622,$B$2:$B$12000,0)=ROW()-1,1,0))</f>
        <v/>
      </c>
    </row>
    <row r="6623" customFormat="false" ht="15" hidden="false" customHeight="false" outlineLevel="0" collapsed="false">
      <c r="V6623" s="23" t="str">
        <f aca="false">IF(ISNUMBER(C6623),YEAR(C6623),"")</f>
        <v/>
      </c>
      <c r="W6623" s="23" t="str">
        <f aca="false">IF(ISNUMBER(C6623),MONTH(C6623),"")</f>
        <v/>
      </c>
      <c r="X6623" s="23" t="str">
        <f aca="false">IF(T6623="","",IF(T6623=0,"No discount",IF(T6623&lt;=0.2,"Low (1-20%)",IF(T6623&lt;=0.4,"Medium (21-40%)","High (&gt;40%)"))))</f>
        <v/>
      </c>
      <c r="Y6623" s="23" t="str">
        <f aca="false">IF(AND(ISNUMBER(C6623),ISNUMBER(D6623)),D6623-C6623,"")</f>
        <v/>
      </c>
      <c r="Z6623" s="23" t="str">
        <f aca="false">IF(B6623="","",IF(MATCH(B6623,$B$2:$B$12000,0)=ROW()-1,1,0))</f>
        <v/>
      </c>
    </row>
    <row r="6624" customFormat="false" ht="15" hidden="false" customHeight="false" outlineLevel="0" collapsed="false">
      <c r="V6624" s="23" t="str">
        <f aca="false">IF(ISNUMBER(C6624),YEAR(C6624),"")</f>
        <v/>
      </c>
      <c r="W6624" s="23" t="str">
        <f aca="false">IF(ISNUMBER(C6624),MONTH(C6624),"")</f>
        <v/>
      </c>
      <c r="X6624" s="23" t="str">
        <f aca="false">IF(T6624="","",IF(T6624=0,"No discount",IF(T6624&lt;=0.2,"Low (1-20%)",IF(T6624&lt;=0.4,"Medium (21-40%)","High (&gt;40%)"))))</f>
        <v/>
      </c>
      <c r="Y6624" s="23" t="str">
        <f aca="false">IF(AND(ISNUMBER(C6624),ISNUMBER(D6624)),D6624-C6624,"")</f>
        <v/>
      </c>
      <c r="Z6624" s="23" t="str">
        <f aca="false">IF(B6624="","",IF(MATCH(B6624,$B$2:$B$12000,0)=ROW()-1,1,0))</f>
        <v/>
      </c>
    </row>
    <row r="6625" customFormat="false" ht="15" hidden="false" customHeight="false" outlineLevel="0" collapsed="false">
      <c r="V6625" s="23" t="str">
        <f aca="false">IF(ISNUMBER(C6625),YEAR(C6625),"")</f>
        <v/>
      </c>
      <c r="W6625" s="23" t="str">
        <f aca="false">IF(ISNUMBER(C6625),MONTH(C6625),"")</f>
        <v/>
      </c>
      <c r="X6625" s="23" t="str">
        <f aca="false">IF(T6625="","",IF(T6625=0,"No discount",IF(T6625&lt;=0.2,"Low (1-20%)",IF(T6625&lt;=0.4,"Medium (21-40%)","High (&gt;40%)"))))</f>
        <v/>
      </c>
      <c r="Y6625" s="23" t="str">
        <f aca="false">IF(AND(ISNUMBER(C6625),ISNUMBER(D6625)),D6625-C6625,"")</f>
        <v/>
      </c>
      <c r="Z6625" s="23" t="str">
        <f aca="false">IF(B6625="","",IF(MATCH(B6625,$B$2:$B$12000,0)=ROW()-1,1,0))</f>
        <v/>
      </c>
    </row>
    <row r="6626" customFormat="false" ht="15" hidden="false" customHeight="false" outlineLevel="0" collapsed="false">
      <c r="V6626" s="23" t="str">
        <f aca="false">IF(ISNUMBER(C6626),YEAR(C6626),"")</f>
        <v/>
      </c>
      <c r="W6626" s="23" t="str">
        <f aca="false">IF(ISNUMBER(C6626),MONTH(C6626),"")</f>
        <v/>
      </c>
      <c r="X6626" s="23" t="str">
        <f aca="false">IF(T6626="","",IF(T6626=0,"No discount",IF(T6626&lt;=0.2,"Low (1-20%)",IF(T6626&lt;=0.4,"Medium (21-40%)","High (&gt;40%)"))))</f>
        <v/>
      </c>
      <c r="Y6626" s="23" t="str">
        <f aca="false">IF(AND(ISNUMBER(C6626),ISNUMBER(D6626)),D6626-C6626,"")</f>
        <v/>
      </c>
      <c r="Z6626" s="23" t="str">
        <f aca="false">IF(B6626="","",IF(MATCH(B6626,$B$2:$B$12000,0)=ROW()-1,1,0))</f>
        <v/>
      </c>
    </row>
    <row r="6627" customFormat="false" ht="15" hidden="false" customHeight="false" outlineLevel="0" collapsed="false">
      <c r="V6627" s="23" t="str">
        <f aca="false">IF(ISNUMBER(C6627),YEAR(C6627),"")</f>
        <v/>
      </c>
      <c r="W6627" s="23" t="str">
        <f aca="false">IF(ISNUMBER(C6627),MONTH(C6627),"")</f>
        <v/>
      </c>
      <c r="X6627" s="23" t="str">
        <f aca="false">IF(T6627="","",IF(T6627=0,"No discount",IF(T6627&lt;=0.2,"Low (1-20%)",IF(T6627&lt;=0.4,"Medium (21-40%)","High (&gt;40%)"))))</f>
        <v/>
      </c>
      <c r="Y6627" s="23" t="str">
        <f aca="false">IF(AND(ISNUMBER(C6627),ISNUMBER(D6627)),D6627-C6627,"")</f>
        <v/>
      </c>
      <c r="Z6627" s="23" t="str">
        <f aca="false">IF(B6627="","",IF(MATCH(B6627,$B$2:$B$12000,0)=ROW()-1,1,0))</f>
        <v/>
      </c>
    </row>
    <row r="6628" customFormat="false" ht="15" hidden="false" customHeight="false" outlineLevel="0" collapsed="false">
      <c r="V6628" s="23" t="str">
        <f aca="false">IF(ISNUMBER(C6628),YEAR(C6628),"")</f>
        <v/>
      </c>
      <c r="W6628" s="23" t="str">
        <f aca="false">IF(ISNUMBER(C6628),MONTH(C6628),"")</f>
        <v/>
      </c>
      <c r="X6628" s="23" t="str">
        <f aca="false">IF(T6628="","",IF(T6628=0,"No discount",IF(T6628&lt;=0.2,"Low (1-20%)",IF(T6628&lt;=0.4,"Medium (21-40%)","High (&gt;40%)"))))</f>
        <v/>
      </c>
      <c r="Y6628" s="23" t="str">
        <f aca="false">IF(AND(ISNUMBER(C6628),ISNUMBER(D6628)),D6628-C6628,"")</f>
        <v/>
      </c>
      <c r="Z6628" s="23" t="str">
        <f aca="false">IF(B6628="","",IF(MATCH(B6628,$B$2:$B$12000,0)=ROW()-1,1,0))</f>
        <v/>
      </c>
    </row>
    <row r="6629" customFormat="false" ht="15" hidden="false" customHeight="false" outlineLevel="0" collapsed="false">
      <c r="V6629" s="23" t="str">
        <f aca="false">IF(ISNUMBER(C6629),YEAR(C6629),"")</f>
        <v/>
      </c>
      <c r="W6629" s="23" t="str">
        <f aca="false">IF(ISNUMBER(C6629),MONTH(C6629),"")</f>
        <v/>
      </c>
      <c r="X6629" s="23" t="str">
        <f aca="false">IF(T6629="","",IF(T6629=0,"No discount",IF(T6629&lt;=0.2,"Low (1-20%)",IF(T6629&lt;=0.4,"Medium (21-40%)","High (&gt;40%)"))))</f>
        <v/>
      </c>
      <c r="Y6629" s="23" t="str">
        <f aca="false">IF(AND(ISNUMBER(C6629),ISNUMBER(D6629)),D6629-C6629,"")</f>
        <v/>
      </c>
      <c r="Z6629" s="23" t="str">
        <f aca="false">IF(B6629="","",IF(MATCH(B6629,$B$2:$B$12000,0)=ROW()-1,1,0))</f>
        <v/>
      </c>
    </row>
    <row r="6630" customFormat="false" ht="15" hidden="false" customHeight="false" outlineLevel="0" collapsed="false">
      <c r="V6630" s="23" t="str">
        <f aca="false">IF(ISNUMBER(C6630),YEAR(C6630),"")</f>
        <v/>
      </c>
      <c r="W6630" s="23" t="str">
        <f aca="false">IF(ISNUMBER(C6630),MONTH(C6630),"")</f>
        <v/>
      </c>
      <c r="X6630" s="23" t="str">
        <f aca="false">IF(T6630="","",IF(T6630=0,"No discount",IF(T6630&lt;=0.2,"Low (1-20%)",IF(T6630&lt;=0.4,"Medium (21-40%)","High (&gt;40%)"))))</f>
        <v/>
      </c>
      <c r="Y6630" s="23" t="str">
        <f aca="false">IF(AND(ISNUMBER(C6630),ISNUMBER(D6630)),D6630-C6630,"")</f>
        <v/>
      </c>
      <c r="Z6630" s="23" t="str">
        <f aca="false">IF(B6630="","",IF(MATCH(B6630,$B$2:$B$12000,0)=ROW()-1,1,0))</f>
        <v/>
      </c>
    </row>
    <row r="6631" customFormat="false" ht="15" hidden="false" customHeight="false" outlineLevel="0" collapsed="false">
      <c r="V6631" s="23" t="str">
        <f aca="false">IF(ISNUMBER(C6631),YEAR(C6631),"")</f>
        <v/>
      </c>
      <c r="W6631" s="23" t="str">
        <f aca="false">IF(ISNUMBER(C6631),MONTH(C6631),"")</f>
        <v/>
      </c>
      <c r="X6631" s="23" t="str">
        <f aca="false">IF(T6631="","",IF(T6631=0,"No discount",IF(T6631&lt;=0.2,"Low (1-20%)",IF(T6631&lt;=0.4,"Medium (21-40%)","High (&gt;40%)"))))</f>
        <v/>
      </c>
      <c r="Y6631" s="23" t="str">
        <f aca="false">IF(AND(ISNUMBER(C6631),ISNUMBER(D6631)),D6631-C6631,"")</f>
        <v/>
      </c>
      <c r="Z6631" s="23" t="str">
        <f aca="false">IF(B6631="","",IF(MATCH(B6631,$B$2:$B$12000,0)=ROW()-1,1,0))</f>
        <v/>
      </c>
    </row>
    <row r="6632" customFormat="false" ht="15" hidden="false" customHeight="false" outlineLevel="0" collapsed="false">
      <c r="V6632" s="23" t="str">
        <f aca="false">IF(ISNUMBER(C6632),YEAR(C6632),"")</f>
        <v/>
      </c>
      <c r="W6632" s="23" t="str">
        <f aca="false">IF(ISNUMBER(C6632),MONTH(C6632),"")</f>
        <v/>
      </c>
      <c r="X6632" s="23" t="str">
        <f aca="false">IF(T6632="","",IF(T6632=0,"No discount",IF(T6632&lt;=0.2,"Low (1-20%)",IF(T6632&lt;=0.4,"Medium (21-40%)","High (&gt;40%)"))))</f>
        <v/>
      </c>
      <c r="Y6632" s="23" t="str">
        <f aca="false">IF(AND(ISNUMBER(C6632),ISNUMBER(D6632)),D6632-C6632,"")</f>
        <v/>
      </c>
      <c r="Z6632" s="23" t="str">
        <f aca="false">IF(B6632="","",IF(MATCH(B6632,$B$2:$B$12000,0)=ROW()-1,1,0))</f>
        <v/>
      </c>
    </row>
    <row r="6633" customFormat="false" ht="15" hidden="false" customHeight="false" outlineLevel="0" collapsed="false">
      <c r="V6633" s="23" t="str">
        <f aca="false">IF(ISNUMBER(C6633),YEAR(C6633),"")</f>
        <v/>
      </c>
      <c r="W6633" s="23" t="str">
        <f aca="false">IF(ISNUMBER(C6633),MONTH(C6633),"")</f>
        <v/>
      </c>
      <c r="X6633" s="23" t="str">
        <f aca="false">IF(T6633="","",IF(T6633=0,"No discount",IF(T6633&lt;=0.2,"Low (1-20%)",IF(T6633&lt;=0.4,"Medium (21-40%)","High (&gt;40%)"))))</f>
        <v/>
      </c>
      <c r="Y6633" s="23" t="str">
        <f aca="false">IF(AND(ISNUMBER(C6633),ISNUMBER(D6633)),D6633-C6633,"")</f>
        <v/>
      </c>
      <c r="Z6633" s="23" t="str">
        <f aca="false">IF(B6633="","",IF(MATCH(B6633,$B$2:$B$12000,0)=ROW()-1,1,0))</f>
        <v/>
      </c>
    </row>
    <row r="6634" customFormat="false" ht="15" hidden="false" customHeight="false" outlineLevel="0" collapsed="false">
      <c r="V6634" s="23" t="str">
        <f aca="false">IF(ISNUMBER(C6634),YEAR(C6634),"")</f>
        <v/>
      </c>
      <c r="W6634" s="23" t="str">
        <f aca="false">IF(ISNUMBER(C6634),MONTH(C6634),"")</f>
        <v/>
      </c>
      <c r="X6634" s="23" t="str">
        <f aca="false">IF(T6634="","",IF(T6634=0,"No discount",IF(T6634&lt;=0.2,"Low (1-20%)",IF(T6634&lt;=0.4,"Medium (21-40%)","High (&gt;40%)"))))</f>
        <v/>
      </c>
      <c r="Y6634" s="23" t="str">
        <f aca="false">IF(AND(ISNUMBER(C6634),ISNUMBER(D6634)),D6634-C6634,"")</f>
        <v/>
      </c>
      <c r="Z6634" s="23" t="str">
        <f aca="false">IF(B6634="","",IF(MATCH(B6634,$B$2:$B$12000,0)=ROW()-1,1,0))</f>
        <v/>
      </c>
    </row>
    <row r="6635" customFormat="false" ht="15" hidden="false" customHeight="false" outlineLevel="0" collapsed="false">
      <c r="V6635" s="23" t="str">
        <f aca="false">IF(ISNUMBER(C6635),YEAR(C6635),"")</f>
        <v/>
      </c>
      <c r="W6635" s="23" t="str">
        <f aca="false">IF(ISNUMBER(C6635),MONTH(C6635),"")</f>
        <v/>
      </c>
      <c r="X6635" s="23" t="str">
        <f aca="false">IF(T6635="","",IF(T6635=0,"No discount",IF(T6635&lt;=0.2,"Low (1-20%)",IF(T6635&lt;=0.4,"Medium (21-40%)","High (&gt;40%)"))))</f>
        <v/>
      </c>
      <c r="Y6635" s="23" t="str">
        <f aca="false">IF(AND(ISNUMBER(C6635),ISNUMBER(D6635)),D6635-C6635,"")</f>
        <v/>
      </c>
      <c r="Z6635" s="23" t="str">
        <f aca="false">IF(B6635="","",IF(MATCH(B6635,$B$2:$B$12000,0)=ROW()-1,1,0))</f>
        <v/>
      </c>
    </row>
    <row r="6636" customFormat="false" ht="15" hidden="false" customHeight="false" outlineLevel="0" collapsed="false">
      <c r="V6636" s="23" t="str">
        <f aca="false">IF(ISNUMBER(C6636),YEAR(C6636),"")</f>
        <v/>
      </c>
      <c r="W6636" s="23" t="str">
        <f aca="false">IF(ISNUMBER(C6636),MONTH(C6636),"")</f>
        <v/>
      </c>
      <c r="X6636" s="23" t="str">
        <f aca="false">IF(T6636="","",IF(T6636=0,"No discount",IF(T6636&lt;=0.2,"Low (1-20%)",IF(T6636&lt;=0.4,"Medium (21-40%)","High (&gt;40%)"))))</f>
        <v/>
      </c>
      <c r="Y6636" s="23" t="str">
        <f aca="false">IF(AND(ISNUMBER(C6636),ISNUMBER(D6636)),D6636-C6636,"")</f>
        <v/>
      </c>
      <c r="Z6636" s="23" t="str">
        <f aca="false">IF(B6636="","",IF(MATCH(B6636,$B$2:$B$12000,0)=ROW()-1,1,0))</f>
        <v/>
      </c>
    </row>
    <row r="6637" customFormat="false" ht="15" hidden="false" customHeight="false" outlineLevel="0" collapsed="false">
      <c r="V6637" s="23" t="str">
        <f aca="false">IF(ISNUMBER(C6637),YEAR(C6637),"")</f>
        <v/>
      </c>
      <c r="W6637" s="23" t="str">
        <f aca="false">IF(ISNUMBER(C6637),MONTH(C6637),"")</f>
        <v/>
      </c>
      <c r="X6637" s="23" t="str">
        <f aca="false">IF(T6637="","",IF(T6637=0,"No discount",IF(T6637&lt;=0.2,"Low (1-20%)",IF(T6637&lt;=0.4,"Medium (21-40%)","High (&gt;40%)"))))</f>
        <v/>
      </c>
      <c r="Y6637" s="23" t="str">
        <f aca="false">IF(AND(ISNUMBER(C6637),ISNUMBER(D6637)),D6637-C6637,"")</f>
        <v/>
      </c>
      <c r="Z6637" s="23" t="str">
        <f aca="false">IF(B6637="","",IF(MATCH(B6637,$B$2:$B$12000,0)=ROW()-1,1,0))</f>
        <v/>
      </c>
    </row>
    <row r="6638" customFormat="false" ht="15" hidden="false" customHeight="false" outlineLevel="0" collapsed="false">
      <c r="V6638" s="23" t="str">
        <f aca="false">IF(ISNUMBER(C6638),YEAR(C6638),"")</f>
        <v/>
      </c>
      <c r="W6638" s="23" t="str">
        <f aca="false">IF(ISNUMBER(C6638),MONTH(C6638),"")</f>
        <v/>
      </c>
      <c r="X6638" s="23" t="str">
        <f aca="false">IF(T6638="","",IF(T6638=0,"No discount",IF(T6638&lt;=0.2,"Low (1-20%)",IF(T6638&lt;=0.4,"Medium (21-40%)","High (&gt;40%)"))))</f>
        <v/>
      </c>
      <c r="Y6638" s="23" t="str">
        <f aca="false">IF(AND(ISNUMBER(C6638),ISNUMBER(D6638)),D6638-C6638,"")</f>
        <v/>
      </c>
      <c r="Z6638" s="23" t="str">
        <f aca="false">IF(B6638="","",IF(MATCH(B6638,$B$2:$B$12000,0)=ROW()-1,1,0))</f>
        <v/>
      </c>
    </row>
    <row r="6639" customFormat="false" ht="15" hidden="false" customHeight="false" outlineLevel="0" collapsed="false">
      <c r="V6639" s="23" t="str">
        <f aca="false">IF(ISNUMBER(C6639),YEAR(C6639),"")</f>
        <v/>
      </c>
      <c r="W6639" s="23" t="str">
        <f aca="false">IF(ISNUMBER(C6639),MONTH(C6639),"")</f>
        <v/>
      </c>
      <c r="X6639" s="23" t="str">
        <f aca="false">IF(T6639="","",IF(T6639=0,"No discount",IF(T6639&lt;=0.2,"Low (1-20%)",IF(T6639&lt;=0.4,"Medium (21-40%)","High (&gt;40%)"))))</f>
        <v/>
      </c>
      <c r="Y6639" s="23" t="str">
        <f aca="false">IF(AND(ISNUMBER(C6639),ISNUMBER(D6639)),D6639-C6639,"")</f>
        <v/>
      </c>
      <c r="Z6639" s="23" t="str">
        <f aca="false">IF(B6639="","",IF(MATCH(B6639,$B$2:$B$12000,0)=ROW()-1,1,0))</f>
        <v/>
      </c>
    </row>
    <row r="6640" customFormat="false" ht="15" hidden="false" customHeight="false" outlineLevel="0" collapsed="false">
      <c r="V6640" s="23" t="str">
        <f aca="false">IF(ISNUMBER(C6640),YEAR(C6640),"")</f>
        <v/>
      </c>
      <c r="W6640" s="23" t="str">
        <f aca="false">IF(ISNUMBER(C6640),MONTH(C6640),"")</f>
        <v/>
      </c>
      <c r="X6640" s="23" t="str">
        <f aca="false">IF(T6640="","",IF(T6640=0,"No discount",IF(T6640&lt;=0.2,"Low (1-20%)",IF(T6640&lt;=0.4,"Medium (21-40%)","High (&gt;40%)"))))</f>
        <v/>
      </c>
      <c r="Y6640" s="23" t="str">
        <f aca="false">IF(AND(ISNUMBER(C6640),ISNUMBER(D6640)),D6640-C6640,"")</f>
        <v/>
      </c>
      <c r="Z6640" s="23" t="str">
        <f aca="false">IF(B6640="","",IF(MATCH(B6640,$B$2:$B$12000,0)=ROW()-1,1,0))</f>
        <v/>
      </c>
    </row>
    <row r="6641" customFormat="false" ht="15" hidden="false" customHeight="false" outlineLevel="0" collapsed="false">
      <c r="V6641" s="23" t="str">
        <f aca="false">IF(ISNUMBER(C6641),YEAR(C6641),"")</f>
        <v/>
      </c>
      <c r="W6641" s="23" t="str">
        <f aca="false">IF(ISNUMBER(C6641),MONTH(C6641),"")</f>
        <v/>
      </c>
      <c r="X6641" s="23" t="str">
        <f aca="false">IF(T6641="","",IF(T6641=0,"No discount",IF(T6641&lt;=0.2,"Low (1-20%)",IF(T6641&lt;=0.4,"Medium (21-40%)","High (&gt;40%)"))))</f>
        <v/>
      </c>
      <c r="Y6641" s="23" t="str">
        <f aca="false">IF(AND(ISNUMBER(C6641),ISNUMBER(D6641)),D6641-C6641,"")</f>
        <v/>
      </c>
      <c r="Z6641" s="23" t="str">
        <f aca="false">IF(B6641="","",IF(MATCH(B6641,$B$2:$B$12000,0)=ROW()-1,1,0))</f>
        <v/>
      </c>
    </row>
    <row r="6642" customFormat="false" ht="15" hidden="false" customHeight="false" outlineLevel="0" collapsed="false">
      <c r="V6642" s="23" t="str">
        <f aca="false">IF(ISNUMBER(C6642),YEAR(C6642),"")</f>
        <v/>
      </c>
      <c r="W6642" s="23" t="str">
        <f aca="false">IF(ISNUMBER(C6642),MONTH(C6642),"")</f>
        <v/>
      </c>
      <c r="X6642" s="23" t="str">
        <f aca="false">IF(T6642="","",IF(T6642=0,"No discount",IF(T6642&lt;=0.2,"Low (1-20%)",IF(T6642&lt;=0.4,"Medium (21-40%)","High (&gt;40%)"))))</f>
        <v/>
      </c>
      <c r="Y6642" s="23" t="str">
        <f aca="false">IF(AND(ISNUMBER(C6642),ISNUMBER(D6642)),D6642-C6642,"")</f>
        <v/>
      </c>
      <c r="Z6642" s="23" t="str">
        <f aca="false">IF(B6642="","",IF(MATCH(B6642,$B$2:$B$12000,0)=ROW()-1,1,0))</f>
        <v/>
      </c>
    </row>
    <row r="6643" customFormat="false" ht="15" hidden="false" customHeight="false" outlineLevel="0" collapsed="false">
      <c r="V6643" s="23" t="str">
        <f aca="false">IF(ISNUMBER(C6643),YEAR(C6643),"")</f>
        <v/>
      </c>
      <c r="W6643" s="23" t="str">
        <f aca="false">IF(ISNUMBER(C6643),MONTH(C6643),"")</f>
        <v/>
      </c>
      <c r="X6643" s="23" t="str">
        <f aca="false">IF(T6643="","",IF(T6643=0,"No discount",IF(T6643&lt;=0.2,"Low (1-20%)",IF(T6643&lt;=0.4,"Medium (21-40%)","High (&gt;40%)"))))</f>
        <v/>
      </c>
      <c r="Y6643" s="23" t="str">
        <f aca="false">IF(AND(ISNUMBER(C6643),ISNUMBER(D6643)),D6643-C6643,"")</f>
        <v/>
      </c>
      <c r="Z6643" s="23" t="str">
        <f aca="false">IF(B6643="","",IF(MATCH(B6643,$B$2:$B$12000,0)=ROW()-1,1,0))</f>
        <v/>
      </c>
    </row>
    <row r="6644" customFormat="false" ht="15" hidden="false" customHeight="false" outlineLevel="0" collapsed="false">
      <c r="V6644" s="23" t="str">
        <f aca="false">IF(ISNUMBER(C6644),YEAR(C6644),"")</f>
        <v/>
      </c>
      <c r="W6644" s="23" t="str">
        <f aca="false">IF(ISNUMBER(C6644),MONTH(C6644),"")</f>
        <v/>
      </c>
      <c r="X6644" s="23" t="str">
        <f aca="false">IF(T6644="","",IF(T6644=0,"No discount",IF(T6644&lt;=0.2,"Low (1-20%)",IF(T6644&lt;=0.4,"Medium (21-40%)","High (&gt;40%)"))))</f>
        <v/>
      </c>
      <c r="Y6644" s="23" t="str">
        <f aca="false">IF(AND(ISNUMBER(C6644),ISNUMBER(D6644)),D6644-C6644,"")</f>
        <v/>
      </c>
      <c r="Z6644" s="23" t="str">
        <f aca="false">IF(B6644="","",IF(MATCH(B6644,$B$2:$B$12000,0)=ROW()-1,1,0))</f>
        <v/>
      </c>
    </row>
    <row r="6645" customFormat="false" ht="15" hidden="false" customHeight="false" outlineLevel="0" collapsed="false">
      <c r="V6645" s="23" t="str">
        <f aca="false">IF(ISNUMBER(C6645),YEAR(C6645),"")</f>
        <v/>
      </c>
      <c r="W6645" s="23" t="str">
        <f aca="false">IF(ISNUMBER(C6645),MONTH(C6645),"")</f>
        <v/>
      </c>
      <c r="X6645" s="23" t="str">
        <f aca="false">IF(T6645="","",IF(T6645=0,"No discount",IF(T6645&lt;=0.2,"Low (1-20%)",IF(T6645&lt;=0.4,"Medium (21-40%)","High (&gt;40%)"))))</f>
        <v/>
      </c>
      <c r="Y6645" s="23" t="str">
        <f aca="false">IF(AND(ISNUMBER(C6645),ISNUMBER(D6645)),D6645-C6645,"")</f>
        <v/>
      </c>
      <c r="Z6645" s="23" t="str">
        <f aca="false">IF(B6645="","",IF(MATCH(B6645,$B$2:$B$12000,0)=ROW()-1,1,0))</f>
        <v/>
      </c>
    </row>
    <row r="6646" customFormat="false" ht="15" hidden="false" customHeight="false" outlineLevel="0" collapsed="false">
      <c r="V6646" s="23" t="str">
        <f aca="false">IF(ISNUMBER(C6646),YEAR(C6646),"")</f>
        <v/>
      </c>
      <c r="W6646" s="23" t="str">
        <f aca="false">IF(ISNUMBER(C6646),MONTH(C6646),"")</f>
        <v/>
      </c>
      <c r="X6646" s="23" t="str">
        <f aca="false">IF(T6646="","",IF(T6646=0,"No discount",IF(T6646&lt;=0.2,"Low (1-20%)",IF(T6646&lt;=0.4,"Medium (21-40%)","High (&gt;40%)"))))</f>
        <v/>
      </c>
      <c r="Y6646" s="23" t="str">
        <f aca="false">IF(AND(ISNUMBER(C6646),ISNUMBER(D6646)),D6646-C6646,"")</f>
        <v/>
      </c>
      <c r="Z6646" s="23" t="str">
        <f aca="false">IF(B6646="","",IF(MATCH(B6646,$B$2:$B$12000,0)=ROW()-1,1,0))</f>
        <v/>
      </c>
    </row>
    <row r="6647" customFormat="false" ht="15" hidden="false" customHeight="false" outlineLevel="0" collapsed="false">
      <c r="V6647" s="23" t="str">
        <f aca="false">IF(ISNUMBER(C6647),YEAR(C6647),"")</f>
        <v/>
      </c>
      <c r="W6647" s="23" t="str">
        <f aca="false">IF(ISNUMBER(C6647),MONTH(C6647),"")</f>
        <v/>
      </c>
      <c r="X6647" s="23" t="str">
        <f aca="false">IF(T6647="","",IF(T6647=0,"No discount",IF(T6647&lt;=0.2,"Low (1-20%)",IF(T6647&lt;=0.4,"Medium (21-40%)","High (&gt;40%)"))))</f>
        <v/>
      </c>
      <c r="Y6647" s="23" t="str">
        <f aca="false">IF(AND(ISNUMBER(C6647),ISNUMBER(D6647)),D6647-C6647,"")</f>
        <v/>
      </c>
      <c r="Z6647" s="23" t="str">
        <f aca="false">IF(B6647="","",IF(MATCH(B6647,$B$2:$B$12000,0)=ROW()-1,1,0))</f>
        <v/>
      </c>
    </row>
    <row r="6648" customFormat="false" ht="15" hidden="false" customHeight="false" outlineLevel="0" collapsed="false">
      <c r="V6648" s="23" t="str">
        <f aca="false">IF(ISNUMBER(C6648),YEAR(C6648),"")</f>
        <v/>
      </c>
      <c r="W6648" s="23" t="str">
        <f aca="false">IF(ISNUMBER(C6648),MONTH(C6648),"")</f>
        <v/>
      </c>
      <c r="X6648" s="23" t="str">
        <f aca="false">IF(T6648="","",IF(T6648=0,"No discount",IF(T6648&lt;=0.2,"Low (1-20%)",IF(T6648&lt;=0.4,"Medium (21-40%)","High (&gt;40%)"))))</f>
        <v/>
      </c>
      <c r="Y6648" s="23" t="str">
        <f aca="false">IF(AND(ISNUMBER(C6648),ISNUMBER(D6648)),D6648-C6648,"")</f>
        <v/>
      </c>
      <c r="Z6648" s="23" t="str">
        <f aca="false">IF(B6648="","",IF(MATCH(B6648,$B$2:$B$12000,0)=ROW()-1,1,0))</f>
        <v/>
      </c>
    </row>
    <row r="6649" customFormat="false" ht="15" hidden="false" customHeight="false" outlineLevel="0" collapsed="false">
      <c r="V6649" s="23" t="str">
        <f aca="false">IF(ISNUMBER(C6649),YEAR(C6649),"")</f>
        <v/>
      </c>
      <c r="W6649" s="23" t="str">
        <f aca="false">IF(ISNUMBER(C6649),MONTH(C6649),"")</f>
        <v/>
      </c>
      <c r="X6649" s="23" t="str">
        <f aca="false">IF(T6649="","",IF(T6649=0,"No discount",IF(T6649&lt;=0.2,"Low (1-20%)",IF(T6649&lt;=0.4,"Medium (21-40%)","High (&gt;40%)"))))</f>
        <v/>
      </c>
      <c r="Y6649" s="23" t="str">
        <f aca="false">IF(AND(ISNUMBER(C6649),ISNUMBER(D6649)),D6649-C6649,"")</f>
        <v/>
      </c>
      <c r="Z6649" s="23" t="str">
        <f aca="false">IF(B6649="","",IF(MATCH(B6649,$B$2:$B$12000,0)=ROW()-1,1,0))</f>
        <v/>
      </c>
    </row>
    <row r="6650" customFormat="false" ht="15" hidden="false" customHeight="false" outlineLevel="0" collapsed="false">
      <c r="V6650" s="23" t="str">
        <f aca="false">IF(ISNUMBER(C6650),YEAR(C6650),"")</f>
        <v/>
      </c>
      <c r="W6650" s="23" t="str">
        <f aca="false">IF(ISNUMBER(C6650),MONTH(C6650),"")</f>
        <v/>
      </c>
      <c r="X6650" s="23" t="str">
        <f aca="false">IF(T6650="","",IF(T6650=0,"No discount",IF(T6650&lt;=0.2,"Low (1-20%)",IF(T6650&lt;=0.4,"Medium (21-40%)","High (&gt;40%)"))))</f>
        <v/>
      </c>
      <c r="Y6650" s="23" t="str">
        <f aca="false">IF(AND(ISNUMBER(C6650),ISNUMBER(D6650)),D6650-C6650,"")</f>
        <v/>
      </c>
      <c r="Z6650" s="23" t="str">
        <f aca="false">IF(B6650="","",IF(MATCH(B6650,$B$2:$B$12000,0)=ROW()-1,1,0))</f>
        <v/>
      </c>
    </row>
    <row r="6651" customFormat="false" ht="15" hidden="false" customHeight="false" outlineLevel="0" collapsed="false">
      <c r="V6651" s="23" t="str">
        <f aca="false">IF(ISNUMBER(C6651),YEAR(C6651),"")</f>
        <v/>
      </c>
      <c r="W6651" s="23" t="str">
        <f aca="false">IF(ISNUMBER(C6651),MONTH(C6651),"")</f>
        <v/>
      </c>
      <c r="X6651" s="23" t="str">
        <f aca="false">IF(T6651="","",IF(T6651=0,"No discount",IF(T6651&lt;=0.2,"Low (1-20%)",IF(T6651&lt;=0.4,"Medium (21-40%)","High (&gt;40%)"))))</f>
        <v/>
      </c>
      <c r="Y6651" s="23" t="str">
        <f aca="false">IF(AND(ISNUMBER(C6651),ISNUMBER(D6651)),D6651-C6651,"")</f>
        <v/>
      </c>
      <c r="Z6651" s="23" t="str">
        <f aca="false">IF(B6651="","",IF(MATCH(B6651,$B$2:$B$12000,0)=ROW()-1,1,0))</f>
        <v/>
      </c>
    </row>
    <row r="6652" customFormat="false" ht="15" hidden="false" customHeight="false" outlineLevel="0" collapsed="false">
      <c r="V6652" s="23" t="str">
        <f aca="false">IF(ISNUMBER(C6652),YEAR(C6652),"")</f>
        <v/>
      </c>
      <c r="W6652" s="23" t="str">
        <f aca="false">IF(ISNUMBER(C6652),MONTH(C6652),"")</f>
        <v/>
      </c>
      <c r="X6652" s="23" t="str">
        <f aca="false">IF(T6652="","",IF(T6652=0,"No discount",IF(T6652&lt;=0.2,"Low (1-20%)",IF(T6652&lt;=0.4,"Medium (21-40%)","High (&gt;40%)"))))</f>
        <v/>
      </c>
      <c r="Y6652" s="23" t="str">
        <f aca="false">IF(AND(ISNUMBER(C6652),ISNUMBER(D6652)),D6652-C6652,"")</f>
        <v/>
      </c>
      <c r="Z6652" s="23" t="str">
        <f aca="false">IF(B6652="","",IF(MATCH(B6652,$B$2:$B$12000,0)=ROW()-1,1,0))</f>
        <v/>
      </c>
    </row>
    <row r="6653" customFormat="false" ht="15" hidden="false" customHeight="false" outlineLevel="0" collapsed="false">
      <c r="V6653" s="23" t="str">
        <f aca="false">IF(ISNUMBER(C6653),YEAR(C6653),"")</f>
        <v/>
      </c>
      <c r="W6653" s="23" t="str">
        <f aca="false">IF(ISNUMBER(C6653),MONTH(C6653),"")</f>
        <v/>
      </c>
      <c r="X6653" s="23" t="str">
        <f aca="false">IF(T6653="","",IF(T6653=0,"No discount",IF(T6653&lt;=0.2,"Low (1-20%)",IF(T6653&lt;=0.4,"Medium (21-40%)","High (&gt;40%)"))))</f>
        <v/>
      </c>
      <c r="Y6653" s="23" t="str">
        <f aca="false">IF(AND(ISNUMBER(C6653),ISNUMBER(D6653)),D6653-C6653,"")</f>
        <v/>
      </c>
      <c r="Z6653" s="23" t="str">
        <f aca="false">IF(B6653="","",IF(MATCH(B6653,$B$2:$B$12000,0)=ROW()-1,1,0))</f>
        <v/>
      </c>
    </row>
    <row r="6654" customFormat="false" ht="15" hidden="false" customHeight="false" outlineLevel="0" collapsed="false">
      <c r="V6654" s="23" t="str">
        <f aca="false">IF(ISNUMBER(C6654),YEAR(C6654),"")</f>
        <v/>
      </c>
      <c r="W6654" s="23" t="str">
        <f aca="false">IF(ISNUMBER(C6654),MONTH(C6654),"")</f>
        <v/>
      </c>
      <c r="X6654" s="23" t="str">
        <f aca="false">IF(T6654="","",IF(T6654=0,"No discount",IF(T6654&lt;=0.2,"Low (1-20%)",IF(T6654&lt;=0.4,"Medium (21-40%)","High (&gt;40%)"))))</f>
        <v/>
      </c>
      <c r="Y6654" s="23" t="str">
        <f aca="false">IF(AND(ISNUMBER(C6654),ISNUMBER(D6654)),D6654-C6654,"")</f>
        <v/>
      </c>
      <c r="Z6654" s="23" t="str">
        <f aca="false">IF(B6654="","",IF(MATCH(B6654,$B$2:$B$12000,0)=ROW()-1,1,0))</f>
        <v/>
      </c>
    </row>
    <row r="6655" customFormat="false" ht="15" hidden="false" customHeight="false" outlineLevel="0" collapsed="false">
      <c r="V6655" s="23" t="str">
        <f aca="false">IF(ISNUMBER(C6655),YEAR(C6655),"")</f>
        <v/>
      </c>
      <c r="W6655" s="23" t="str">
        <f aca="false">IF(ISNUMBER(C6655),MONTH(C6655),"")</f>
        <v/>
      </c>
      <c r="X6655" s="23" t="str">
        <f aca="false">IF(T6655="","",IF(T6655=0,"No discount",IF(T6655&lt;=0.2,"Low (1-20%)",IF(T6655&lt;=0.4,"Medium (21-40%)","High (&gt;40%)"))))</f>
        <v/>
      </c>
      <c r="Y6655" s="23" t="str">
        <f aca="false">IF(AND(ISNUMBER(C6655),ISNUMBER(D6655)),D6655-C6655,"")</f>
        <v/>
      </c>
      <c r="Z6655" s="23" t="str">
        <f aca="false">IF(B6655="","",IF(MATCH(B6655,$B$2:$B$12000,0)=ROW()-1,1,0))</f>
        <v/>
      </c>
    </row>
    <row r="6656" customFormat="false" ht="15" hidden="false" customHeight="false" outlineLevel="0" collapsed="false">
      <c r="V6656" s="23" t="str">
        <f aca="false">IF(ISNUMBER(C6656),YEAR(C6656),"")</f>
        <v/>
      </c>
      <c r="W6656" s="23" t="str">
        <f aca="false">IF(ISNUMBER(C6656),MONTH(C6656),"")</f>
        <v/>
      </c>
      <c r="X6656" s="23" t="str">
        <f aca="false">IF(T6656="","",IF(T6656=0,"No discount",IF(T6656&lt;=0.2,"Low (1-20%)",IF(T6656&lt;=0.4,"Medium (21-40%)","High (&gt;40%)"))))</f>
        <v/>
      </c>
      <c r="Y6656" s="23" t="str">
        <f aca="false">IF(AND(ISNUMBER(C6656),ISNUMBER(D6656)),D6656-C6656,"")</f>
        <v/>
      </c>
      <c r="Z6656" s="23" t="str">
        <f aca="false">IF(B6656="","",IF(MATCH(B6656,$B$2:$B$12000,0)=ROW()-1,1,0))</f>
        <v/>
      </c>
    </row>
    <row r="6657" customFormat="false" ht="15" hidden="false" customHeight="false" outlineLevel="0" collapsed="false">
      <c r="V6657" s="23" t="str">
        <f aca="false">IF(ISNUMBER(C6657),YEAR(C6657),"")</f>
        <v/>
      </c>
      <c r="W6657" s="23" t="str">
        <f aca="false">IF(ISNUMBER(C6657),MONTH(C6657),"")</f>
        <v/>
      </c>
      <c r="X6657" s="23" t="str">
        <f aca="false">IF(T6657="","",IF(T6657=0,"No discount",IF(T6657&lt;=0.2,"Low (1-20%)",IF(T6657&lt;=0.4,"Medium (21-40%)","High (&gt;40%)"))))</f>
        <v/>
      </c>
      <c r="Y6657" s="23" t="str">
        <f aca="false">IF(AND(ISNUMBER(C6657),ISNUMBER(D6657)),D6657-C6657,"")</f>
        <v/>
      </c>
      <c r="Z6657" s="23" t="str">
        <f aca="false">IF(B6657="","",IF(MATCH(B6657,$B$2:$B$12000,0)=ROW()-1,1,0))</f>
        <v/>
      </c>
    </row>
    <row r="6658" customFormat="false" ht="15" hidden="false" customHeight="false" outlineLevel="0" collapsed="false">
      <c r="V6658" s="23" t="str">
        <f aca="false">IF(ISNUMBER(C6658),YEAR(C6658),"")</f>
        <v/>
      </c>
      <c r="W6658" s="23" t="str">
        <f aca="false">IF(ISNUMBER(C6658),MONTH(C6658),"")</f>
        <v/>
      </c>
      <c r="X6658" s="23" t="str">
        <f aca="false">IF(T6658="","",IF(T6658=0,"No discount",IF(T6658&lt;=0.2,"Low (1-20%)",IF(T6658&lt;=0.4,"Medium (21-40%)","High (&gt;40%)"))))</f>
        <v/>
      </c>
      <c r="Y6658" s="23" t="str">
        <f aca="false">IF(AND(ISNUMBER(C6658),ISNUMBER(D6658)),D6658-C6658,"")</f>
        <v/>
      </c>
      <c r="Z6658" s="23" t="str">
        <f aca="false">IF(B6658="","",IF(MATCH(B6658,$B$2:$B$12000,0)=ROW()-1,1,0))</f>
        <v/>
      </c>
    </row>
    <row r="6659" customFormat="false" ht="15" hidden="false" customHeight="false" outlineLevel="0" collapsed="false">
      <c r="V6659" s="23" t="str">
        <f aca="false">IF(ISNUMBER(C6659),YEAR(C6659),"")</f>
        <v/>
      </c>
      <c r="W6659" s="23" t="str">
        <f aca="false">IF(ISNUMBER(C6659),MONTH(C6659),"")</f>
        <v/>
      </c>
      <c r="X6659" s="23" t="str">
        <f aca="false">IF(T6659="","",IF(T6659=0,"No discount",IF(T6659&lt;=0.2,"Low (1-20%)",IF(T6659&lt;=0.4,"Medium (21-40%)","High (&gt;40%)"))))</f>
        <v/>
      </c>
      <c r="Y6659" s="23" t="str">
        <f aca="false">IF(AND(ISNUMBER(C6659),ISNUMBER(D6659)),D6659-C6659,"")</f>
        <v/>
      </c>
      <c r="Z6659" s="23" t="str">
        <f aca="false">IF(B6659="","",IF(MATCH(B6659,$B$2:$B$12000,0)=ROW()-1,1,0))</f>
        <v/>
      </c>
    </row>
    <row r="6660" customFormat="false" ht="15" hidden="false" customHeight="false" outlineLevel="0" collapsed="false">
      <c r="V6660" s="23" t="str">
        <f aca="false">IF(ISNUMBER(C6660),YEAR(C6660),"")</f>
        <v/>
      </c>
      <c r="W6660" s="23" t="str">
        <f aca="false">IF(ISNUMBER(C6660),MONTH(C6660),"")</f>
        <v/>
      </c>
      <c r="X6660" s="23" t="str">
        <f aca="false">IF(T6660="","",IF(T6660=0,"No discount",IF(T6660&lt;=0.2,"Low (1-20%)",IF(T6660&lt;=0.4,"Medium (21-40%)","High (&gt;40%)"))))</f>
        <v/>
      </c>
      <c r="Y6660" s="23" t="str">
        <f aca="false">IF(AND(ISNUMBER(C6660),ISNUMBER(D6660)),D6660-C6660,"")</f>
        <v/>
      </c>
      <c r="Z6660" s="23" t="str">
        <f aca="false">IF(B6660="","",IF(MATCH(B6660,$B$2:$B$12000,0)=ROW()-1,1,0))</f>
        <v/>
      </c>
    </row>
    <row r="6661" customFormat="false" ht="15" hidden="false" customHeight="false" outlineLevel="0" collapsed="false">
      <c r="V6661" s="23" t="str">
        <f aca="false">IF(ISNUMBER(C6661),YEAR(C6661),"")</f>
        <v/>
      </c>
      <c r="W6661" s="23" t="str">
        <f aca="false">IF(ISNUMBER(C6661),MONTH(C6661),"")</f>
        <v/>
      </c>
      <c r="X6661" s="23" t="str">
        <f aca="false">IF(T6661="","",IF(T6661=0,"No discount",IF(T6661&lt;=0.2,"Low (1-20%)",IF(T6661&lt;=0.4,"Medium (21-40%)","High (&gt;40%)"))))</f>
        <v/>
      </c>
      <c r="Y6661" s="23" t="str">
        <f aca="false">IF(AND(ISNUMBER(C6661),ISNUMBER(D6661)),D6661-C6661,"")</f>
        <v/>
      </c>
      <c r="Z6661" s="23" t="str">
        <f aca="false">IF(B6661="","",IF(MATCH(B6661,$B$2:$B$12000,0)=ROW()-1,1,0))</f>
        <v/>
      </c>
    </row>
    <row r="6662" customFormat="false" ht="15" hidden="false" customHeight="false" outlineLevel="0" collapsed="false">
      <c r="V6662" s="23" t="str">
        <f aca="false">IF(ISNUMBER(C6662),YEAR(C6662),"")</f>
        <v/>
      </c>
      <c r="W6662" s="23" t="str">
        <f aca="false">IF(ISNUMBER(C6662),MONTH(C6662),"")</f>
        <v/>
      </c>
      <c r="X6662" s="23" t="str">
        <f aca="false">IF(T6662="","",IF(T6662=0,"No discount",IF(T6662&lt;=0.2,"Low (1-20%)",IF(T6662&lt;=0.4,"Medium (21-40%)","High (&gt;40%)"))))</f>
        <v/>
      </c>
      <c r="Y6662" s="23" t="str">
        <f aca="false">IF(AND(ISNUMBER(C6662),ISNUMBER(D6662)),D6662-C6662,"")</f>
        <v/>
      </c>
      <c r="Z6662" s="23" t="str">
        <f aca="false">IF(B6662="","",IF(MATCH(B6662,$B$2:$B$12000,0)=ROW()-1,1,0))</f>
        <v/>
      </c>
    </row>
    <row r="6663" customFormat="false" ht="15" hidden="false" customHeight="false" outlineLevel="0" collapsed="false">
      <c r="V6663" s="23" t="str">
        <f aca="false">IF(ISNUMBER(C6663),YEAR(C6663),"")</f>
        <v/>
      </c>
      <c r="W6663" s="23" t="str">
        <f aca="false">IF(ISNUMBER(C6663),MONTH(C6663),"")</f>
        <v/>
      </c>
      <c r="X6663" s="23" t="str">
        <f aca="false">IF(T6663="","",IF(T6663=0,"No discount",IF(T6663&lt;=0.2,"Low (1-20%)",IF(T6663&lt;=0.4,"Medium (21-40%)","High (&gt;40%)"))))</f>
        <v/>
      </c>
      <c r="Y6663" s="23" t="str">
        <f aca="false">IF(AND(ISNUMBER(C6663),ISNUMBER(D6663)),D6663-C6663,"")</f>
        <v/>
      </c>
      <c r="Z6663" s="23" t="str">
        <f aca="false">IF(B6663="","",IF(MATCH(B6663,$B$2:$B$12000,0)=ROW()-1,1,0))</f>
        <v/>
      </c>
    </row>
    <row r="6664" customFormat="false" ht="15" hidden="false" customHeight="false" outlineLevel="0" collapsed="false">
      <c r="V6664" s="23" t="str">
        <f aca="false">IF(ISNUMBER(C6664),YEAR(C6664),"")</f>
        <v/>
      </c>
      <c r="W6664" s="23" t="str">
        <f aca="false">IF(ISNUMBER(C6664),MONTH(C6664),"")</f>
        <v/>
      </c>
      <c r="X6664" s="23" t="str">
        <f aca="false">IF(T6664="","",IF(T6664=0,"No discount",IF(T6664&lt;=0.2,"Low (1-20%)",IF(T6664&lt;=0.4,"Medium (21-40%)","High (&gt;40%)"))))</f>
        <v/>
      </c>
      <c r="Y6664" s="23" t="str">
        <f aca="false">IF(AND(ISNUMBER(C6664),ISNUMBER(D6664)),D6664-C6664,"")</f>
        <v/>
      </c>
      <c r="Z6664" s="23" t="str">
        <f aca="false">IF(B6664="","",IF(MATCH(B6664,$B$2:$B$12000,0)=ROW()-1,1,0))</f>
        <v/>
      </c>
    </row>
    <row r="6665" customFormat="false" ht="15" hidden="false" customHeight="false" outlineLevel="0" collapsed="false">
      <c r="V6665" s="23" t="str">
        <f aca="false">IF(ISNUMBER(C6665),YEAR(C6665),"")</f>
        <v/>
      </c>
      <c r="W6665" s="23" t="str">
        <f aca="false">IF(ISNUMBER(C6665),MONTH(C6665),"")</f>
        <v/>
      </c>
      <c r="X6665" s="23" t="str">
        <f aca="false">IF(T6665="","",IF(T6665=0,"No discount",IF(T6665&lt;=0.2,"Low (1-20%)",IF(T6665&lt;=0.4,"Medium (21-40%)","High (&gt;40%)"))))</f>
        <v/>
      </c>
      <c r="Y6665" s="23" t="str">
        <f aca="false">IF(AND(ISNUMBER(C6665),ISNUMBER(D6665)),D6665-C6665,"")</f>
        <v/>
      </c>
      <c r="Z6665" s="23" t="str">
        <f aca="false">IF(B6665="","",IF(MATCH(B6665,$B$2:$B$12000,0)=ROW()-1,1,0))</f>
        <v/>
      </c>
    </row>
    <row r="6666" customFormat="false" ht="15" hidden="false" customHeight="false" outlineLevel="0" collapsed="false">
      <c r="V6666" s="23" t="str">
        <f aca="false">IF(ISNUMBER(C6666),YEAR(C6666),"")</f>
        <v/>
      </c>
      <c r="W6666" s="23" t="str">
        <f aca="false">IF(ISNUMBER(C6666),MONTH(C6666),"")</f>
        <v/>
      </c>
      <c r="X6666" s="23" t="str">
        <f aca="false">IF(T6666="","",IF(T6666=0,"No discount",IF(T6666&lt;=0.2,"Low (1-20%)",IF(T6666&lt;=0.4,"Medium (21-40%)","High (&gt;40%)"))))</f>
        <v/>
      </c>
      <c r="Y6666" s="23" t="str">
        <f aca="false">IF(AND(ISNUMBER(C6666),ISNUMBER(D6666)),D6666-C6666,"")</f>
        <v/>
      </c>
      <c r="Z6666" s="23" t="str">
        <f aca="false">IF(B6666="","",IF(MATCH(B6666,$B$2:$B$12000,0)=ROW()-1,1,0))</f>
        <v/>
      </c>
    </row>
    <row r="6667" customFormat="false" ht="15" hidden="false" customHeight="false" outlineLevel="0" collapsed="false">
      <c r="V6667" s="23" t="str">
        <f aca="false">IF(ISNUMBER(C6667),YEAR(C6667),"")</f>
        <v/>
      </c>
      <c r="W6667" s="23" t="str">
        <f aca="false">IF(ISNUMBER(C6667),MONTH(C6667),"")</f>
        <v/>
      </c>
      <c r="X6667" s="23" t="str">
        <f aca="false">IF(T6667="","",IF(T6667=0,"No discount",IF(T6667&lt;=0.2,"Low (1-20%)",IF(T6667&lt;=0.4,"Medium (21-40%)","High (&gt;40%)"))))</f>
        <v/>
      </c>
      <c r="Y6667" s="23" t="str">
        <f aca="false">IF(AND(ISNUMBER(C6667),ISNUMBER(D6667)),D6667-C6667,"")</f>
        <v/>
      </c>
      <c r="Z6667" s="23" t="str">
        <f aca="false">IF(B6667="","",IF(MATCH(B6667,$B$2:$B$12000,0)=ROW()-1,1,0))</f>
        <v/>
      </c>
    </row>
    <row r="6668" customFormat="false" ht="15" hidden="false" customHeight="false" outlineLevel="0" collapsed="false">
      <c r="V6668" s="23" t="str">
        <f aca="false">IF(ISNUMBER(C6668),YEAR(C6668),"")</f>
        <v/>
      </c>
      <c r="W6668" s="23" t="str">
        <f aca="false">IF(ISNUMBER(C6668),MONTH(C6668),"")</f>
        <v/>
      </c>
      <c r="X6668" s="23" t="str">
        <f aca="false">IF(T6668="","",IF(T6668=0,"No discount",IF(T6668&lt;=0.2,"Low (1-20%)",IF(T6668&lt;=0.4,"Medium (21-40%)","High (&gt;40%)"))))</f>
        <v/>
      </c>
      <c r="Y6668" s="23" t="str">
        <f aca="false">IF(AND(ISNUMBER(C6668),ISNUMBER(D6668)),D6668-C6668,"")</f>
        <v/>
      </c>
      <c r="Z6668" s="23" t="str">
        <f aca="false">IF(B6668="","",IF(MATCH(B6668,$B$2:$B$12000,0)=ROW()-1,1,0))</f>
        <v/>
      </c>
    </row>
    <row r="6669" customFormat="false" ht="15" hidden="false" customHeight="false" outlineLevel="0" collapsed="false">
      <c r="V6669" s="23" t="str">
        <f aca="false">IF(ISNUMBER(C6669),YEAR(C6669),"")</f>
        <v/>
      </c>
      <c r="W6669" s="23" t="str">
        <f aca="false">IF(ISNUMBER(C6669),MONTH(C6669),"")</f>
        <v/>
      </c>
      <c r="X6669" s="23" t="str">
        <f aca="false">IF(T6669="","",IF(T6669=0,"No discount",IF(T6669&lt;=0.2,"Low (1-20%)",IF(T6669&lt;=0.4,"Medium (21-40%)","High (&gt;40%)"))))</f>
        <v/>
      </c>
      <c r="Y6669" s="23" t="str">
        <f aca="false">IF(AND(ISNUMBER(C6669),ISNUMBER(D6669)),D6669-C6669,"")</f>
        <v/>
      </c>
      <c r="Z6669" s="23" t="str">
        <f aca="false">IF(B6669="","",IF(MATCH(B6669,$B$2:$B$12000,0)=ROW()-1,1,0))</f>
        <v/>
      </c>
    </row>
    <row r="6670" customFormat="false" ht="15" hidden="false" customHeight="false" outlineLevel="0" collapsed="false">
      <c r="V6670" s="23" t="str">
        <f aca="false">IF(ISNUMBER(C6670),YEAR(C6670),"")</f>
        <v/>
      </c>
      <c r="W6670" s="23" t="str">
        <f aca="false">IF(ISNUMBER(C6670),MONTH(C6670),"")</f>
        <v/>
      </c>
      <c r="X6670" s="23" t="str">
        <f aca="false">IF(T6670="","",IF(T6670=0,"No discount",IF(T6670&lt;=0.2,"Low (1-20%)",IF(T6670&lt;=0.4,"Medium (21-40%)","High (&gt;40%)"))))</f>
        <v/>
      </c>
      <c r="Y6670" s="23" t="str">
        <f aca="false">IF(AND(ISNUMBER(C6670),ISNUMBER(D6670)),D6670-C6670,"")</f>
        <v/>
      </c>
      <c r="Z6670" s="23" t="str">
        <f aca="false">IF(B6670="","",IF(MATCH(B6670,$B$2:$B$12000,0)=ROW()-1,1,0))</f>
        <v/>
      </c>
    </row>
    <row r="6671" customFormat="false" ht="15" hidden="false" customHeight="false" outlineLevel="0" collapsed="false">
      <c r="V6671" s="23" t="str">
        <f aca="false">IF(ISNUMBER(C6671),YEAR(C6671),"")</f>
        <v/>
      </c>
      <c r="W6671" s="23" t="str">
        <f aca="false">IF(ISNUMBER(C6671),MONTH(C6671),"")</f>
        <v/>
      </c>
      <c r="X6671" s="23" t="str">
        <f aca="false">IF(T6671="","",IF(T6671=0,"No discount",IF(T6671&lt;=0.2,"Low (1-20%)",IF(T6671&lt;=0.4,"Medium (21-40%)","High (&gt;40%)"))))</f>
        <v/>
      </c>
      <c r="Y6671" s="23" t="str">
        <f aca="false">IF(AND(ISNUMBER(C6671),ISNUMBER(D6671)),D6671-C6671,"")</f>
        <v/>
      </c>
      <c r="Z6671" s="23" t="str">
        <f aca="false">IF(B6671="","",IF(MATCH(B6671,$B$2:$B$12000,0)=ROW()-1,1,0))</f>
        <v/>
      </c>
    </row>
    <row r="6672" customFormat="false" ht="15" hidden="false" customHeight="false" outlineLevel="0" collapsed="false">
      <c r="V6672" s="23" t="str">
        <f aca="false">IF(ISNUMBER(C6672),YEAR(C6672),"")</f>
        <v/>
      </c>
      <c r="W6672" s="23" t="str">
        <f aca="false">IF(ISNUMBER(C6672),MONTH(C6672),"")</f>
        <v/>
      </c>
      <c r="X6672" s="23" t="str">
        <f aca="false">IF(T6672="","",IF(T6672=0,"No discount",IF(T6672&lt;=0.2,"Low (1-20%)",IF(T6672&lt;=0.4,"Medium (21-40%)","High (&gt;40%)"))))</f>
        <v/>
      </c>
      <c r="Y6672" s="23" t="str">
        <f aca="false">IF(AND(ISNUMBER(C6672),ISNUMBER(D6672)),D6672-C6672,"")</f>
        <v/>
      </c>
      <c r="Z6672" s="23" t="str">
        <f aca="false">IF(B6672="","",IF(MATCH(B6672,$B$2:$B$12000,0)=ROW()-1,1,0))</f>
        <v/>
      </c>
    </row>
    <row r="6673" customFormat="false" ht="15" hidden="false" customHeight="false" outlineLevel="0" collapsed="false">
      <c r="V6673" s="23" t="str">
        <f aca="false">IF(ISNUMBER(C6673),YEAR(C6673),"")</f>
        <v/>
      </c>
      <c r="W6673" s="23" t="str">
        <f aca="false">IF(ISNUMBER(C6673),MONTH(C6673),"")</f>
        <v/>
      </c>
      <c r="X6673" s="23" t="str">
        <f aca="false">IF(T6673="","",IF(T6673=0,"No discount",IF(T6673&lt;=0.2,"Low (1-20%)",IF(T6673&lt;=0.4,"Medium (21-40%)","High (&gt;40%)"))))</f>
        <v/>
      </c>
      <c r="Y6673" s="23" t="str">
        <f aca="false">IF(AND(ISNUMBER(C6673),ISNUMBER(D6673)),D6673-C6673,"")</f>
        <v/>
      </c>
      <c r="Z6673" s="23" t="str">
        <f aca="false">IF(B6673="","",IF(MATCH(B6673,$B$2:$B$12000,0)=ROW()-1,1,0))</f>
        <v/>
      </c>
    </row>
    <row r="6674" customFormat="false" ht="15" hidden="false" customHeight="false" outlineLevel="0" collapsed="false">
      <c r="V6674" s="23" t="str">
        <f aca="false">IF(ISNUMBER(C6674),YEAR(C6674),"")</f>
        <v/>
      </c>
      <c r="W6674" s="23" t="str">
        <f aca="false">IF(ISNUMBER(C6674),MONTH(C6674),"")</f>
        <v/>
      </c>
      <c r="X6674" s="23" t="str">
        <f aca="false">IF(T6674="","",IF(T6674=0,"No discount",IF(T6674&lt;=0.2,"Low (1-20%)",IF(T6674&lt;=0.4,"Medium (21-40%)","High (&gt;40%)"))))</f>
        <v/>
      </c>
      <c r="Y6674" s="23" t="str">
        <f aca="false">IF(AND(ISNUMBER(C6674),ISNUMBER(D6674)),D6674-C6674,"")</f>
        <v/>
      </c>
      <c r="Z6674" s="23" t="str">
        <f aca="false">IF(B6674="","",IF(MATCH(B6674,$B$2:$B$12000,0)=ROW()-1,1,0))</f>
        <v/>
      </c>
    </row>
    <row r="6675" customFormat="false" ht="15" hidden="false" customHeight="false" outlineLevel="0" collapsed="false">
      <c r="V6675" s="23" t="str">
        <f aca="false">IF(ISNUMBER(C6675),YEAR(C6675),"")</f>
        <v/>
      </c>
      <c r="W6675" s="23" t="str">
        <f aca="false">IF(ISNUMBER(C6675),MONTH(C6675),"")</f>
        <v/>
      </c>
      <c r="X6675" s="23" t="str">
        <f aca="false">IF(T6675="","",IF(T6675=0,"No discount",IF(T6675&lt;=0.2,"Low (1-20%)",IF(T6675&lt;=0.4,"Medium (21-40%)","High (&gt;40%)"))))</f>
        <v/>
      </c>
      <c r="Y6675" s="23" t="str">
        <f aca="false">IF(AND(ISNUMBER(C6675),ISNUMBER(D6675)),D6675-C6675,"")</f>
        <v/>
      </c>
      <c r="Z6675" s="23" t="str">
        <f aca="false">IF(B6675="","",IF(MATCH(B6675,$B$2:$B$12000,0)=ROW()-1,1,0))</f>
        <v/>
      </c>
    </row>
    <row r="6676" customFormat="false" ht="15" hidden="false" customHeight="false" outlineLevel="0" collapsed="false">
      <c r="V6676" s="23" t="str">
        <f aca="false">IF(ISNUMBER(C6676),YEAR(C6676),"")</f>
        <v/>
      </c>
      <c r="W6676" s="23" t="str">
        <f aca="false">IF(ISNUMBER(C6676),MONTH(C6676),"")</f>
        <v/>
      </c>
      <c r="X6676" s="23" t="str">
        <f aca="false">IF(T6676="","",IF(T6676=0,"No discount",IF(T6676&lt;=0.2,"Low (1-20%)",IF(T6676&lt;=0.4,"Medium (21-40%)","High (&gt;40%)"))))</f>
        <v/>
      </c>
      <c r="Y6676" s="23" t="str">
        <f aca="false">IF(AND(ISNUMBER(C6676),ISNUMBER(D6676)),D6676-C6676,"")</f>
        <v/>
      </c>
      <c r="Z6676" s="23" t="str">
        <f aca="false">IF(B6676="","",IF(MATCH(B6676,$B$2:$B$12000,0)=ROW()-1,1,0))</f>
        <v/>
      </c>
    </row>
    <row r="6677" customFormat="false" ht="15" hidden="false" customHeight="false" outlineLevel="0" collapsed="false">
      <c r="V6677" s="23" t="str">
        <f aca="false">IF(ISNUMBER(C6677),YEAR(C6677),"")</f>
        <v/>
      </c>
      <c r="W6677" s="23" t="str">
        <f aca="false">IF(ISNUMBER(C6677),MONTH(C6677),"")</f>
        <v/>
      </c>
      <c r="X6677" s="23" t="str">
        <f aca="false">IF(T6677="","",IF(T6677=0,"No discount",IF(T6677&lt;=0.2,"Low (1-20%)",IF(T6677&lt;=0.4,"Medium (21-40%)","High (&gt;40%)"))))</f>
        <v/>
      </c>
      <c r="Y6677" s="23" t="str">
        <f aca="false">IF(AND(ISNUMBER(C6677),ISNUMBER(D6677)),D6677-C6677,"")</f>
        <v/>
      </c>
      <c r="Z6677" s="23" t="str">
        <f aca="false">IF(B6677="","",IF(MATCH(B6677,$B$2:$B$12000,0)=ROW()-1,1,0))</f>
        <v/>
      </c>
    </row>
    <row r="6678" customFormat="false" ht="15" hidden="false" customHeight="false" outlineLevel="0" collapsed="false">
      <c r="V6678" s="23" t="str">
        <f aca="false">IF(ISNUMBER(C6678),YEAR(C6678),"")</f>
        <v/>
      </c>
      <c r="W6678" s="23" t="str">
        <f aca="false">IF(ISNUMBER(C6678),MONTH(C6678),"")</f>
        <v/>
      </c>
      <c r="X6678" s="23" t="str">
        <f aca="false">IF(T6678="","",IF(T6678=0,"No discount",IF(T6678&lt;=0.2,"Low (1-20%)",IF(T6678&lt;=0.4,"Medium (21-40%)","High (&gt;40%)"))))</f>
        <v/>
      </c>
      <c r="Y6678" s="23" t="str">
        <f aca="false">IF(AND(ISNUMBER(C6678),ISNUMBER(D6678)),D6678-C6678,"")</f>
        <v/>
      </c>
      <c r="Z6678" s="23" t="str">
        <f aca="false">IF(B6678="","",IF(MATCH(B6678,$B$2:$B$12000,0)=ROW()-1,1,0))</f>
        <v/>
      </c>
    </row>
    <row r="6679" customFormat="false" ht="15" hidden="false" customHeight="false" outlineLevel="0" collapsed="false">
      <c r="V6679" s="23" t="str">
        <f aca="false">IF(ISNUMBER(C6679),YEAR(C6679),"")</f>
        <v/>
      </c>
      <c r="W6679" s="23" t="str">
        <f aca="false">IF(ISNUMBER(C6679),MONTH(C6679),"")</f>
        <v/>
      </c>
      <c r="X6679" s="23" t="str">
        <f aca="false">IF(T6679="","",IF(T6679=0,"No discount",IF(T6679&lt;=0.2,"Low (1-20%)",IF(T6679&lt;=0.4,"Medium (21-40%)","High (&gt;40%)"))))</f>
        <v/>
      </c>
      <c r="Y6679" s="23" t="str">
        <f aca="false">IF(AND(ISNUMBER(C6679),ISNUMBER(D6679)),D6679-C6679,"")</f>
        <v/>
      </c>
      <c r="Z6679" s="23" t="str">
        <f aca="false">IF(B6679="","",IF(MATCH(B6679,$B$2:$B$12000,0)=ROW()-1,1,0))</f>
        <v/>
      </c>
    </row>
    <row r="6680" customFormat="false" ht="15" hidden="false" customHeight="false" outlineLevel="0" collapsed="false">
      <c r="V6680" s="23" t="str">
        <f aca="false">IF(ISNUMBER(C6680),YEAR(C6680),"")</f>
        <v/>
      </c>
      <c r="W6680" s="23" t="str">
        <f aca="false">IF(ISNUMBER(C6680),MONTH(C6680),"")</f>
        <v/>
      </c>
      <c r="X6680" s="23" t="str">
        <f aca="false">IF(T6680="","",IF(T6680=0,"No discount",IF(T6680&lt;=0.2,"Low (1-20%)",IF(T6680&lt;=0.4,"Medium (21-40%)","High (&gt;40%)"))))</f>
        <v/>
      </c>
      <c r="Y6680" s="23" t="str">
        <f aca="false">IF(AND(ISNUMBER(C6680),ISNUMBER(D6680)),D6680-C6680,"")</f>
        <v/>
      </c>
      <c r="Z6680" s="23" t="str">
        <f aca="false">IF(B6680="","",IF(MATCH(B6680,$B$2:$B$12000,0)=ROW()-1,1,0))</f>
        <v/>
      </c>
    </row>
    <row r="6681" customFormat="false" ht="15" hidden="false" customHeight="false" outlineLevel="0" collapsed="false">
      <c r="V6681" s="23" t="str">
        <f aca="false">IF(ISNUMBER(C6681),YEAR(C6681),"")</f>
        <v/>
      </c>
      <c r="W6681" s="23" t="str">
        <f aca="false">IF(ISNUMBER(C6681),MONTH(C6681),"")</f>
        <v/>
      </c>
      <c r="X6681" s="23" t="str">
        <f aca="false">IF(T6681="","",IF(T6681=0,"No discount",IF(T6681&lt;=0.2,"Low (1-20%)",IF(T6681&lt;=0.4,"Medium (21-40%)","High (&gt;40%)"))))</f>
        <v/>
      </c>
      <c r="Y6681" s="23" t="str">
        <f aca="false">IF(AND(ISNUMBER(C6681),ISNUMBER(D6681)),D6681-C6681,"")</f>
        <v/>
      </c>
      <c r="Z6681" s="23" t="str">
        <f aca="false">IF(B6681="","",IF(MATCH(B6681,$B$2:$B$12000,0)=ROW()-1,1,0))</f>
        <v/>
      </c>
    </row>
    <row r="6682" customFormat="false" ht="15" hidden="false" customHeight="false" outlineLevel="0" collapsed="false">
      <c r="V6682" s="23" t="str">
        <f aca="false">IF(ISNUMBER(C6682),YEAR(C6682),"")</f>
        <v/>
      </c>
      <c r="W6682" s="23" t="str">
        <f aca="false">IF(ISNUMBER(C6682),MONTH(C6682),"")</f>
        <v/>
      </c>
      <c r="X6682" s="23" t="str">
        <f aca="false">IF(T6682="","",IF(T6682=0,"No discount",IF(T6682&lt;=0.2,"Low (1-20%)",IF(T6682&lt;=0.4,"Medium (21-40%)","High (&gt;40%)"))))</f>
        <v/>
      </c>
      <c r="Y6682" s="23" t="str">
        <f aca="false">IF(AND(ISNUMBER(C6682),ISNUMBER(D6682)),D6682-C6682,"")</f>
        <v/>
      </c>
      <c r="Z6682" s="23" t="str">
        <f aca="false">IF(B6682="","",IF(MATCH(B6682,$B$2:$B$12000,0)=ROW()-1,1,0))</f>
        <v/>
      </c>
    </row>
    <row r="6683" customFormat="false" ht="15" hidden="false" customHeight="false" outlineLevel="0" collapsed="false">
      <c r="V6683" s="23" t="str">
        <f aca="false">IF(ISNUMBER(C6683),YEAR(C6683),"")</f>
        <v/>
      </c>
      <c r="W6683" s="23" t="str">
        <f aca="false">IF(ISNUMBER(C6683),MONTH(C6683),"")</f>
        <v/>
      </c>
      <c r="X6683" s="23" t="str">
        <f aca="false">IF(T6683="","",IF(T6683=0,"No discount",IF(T6683&lt;=0.2,"Low (1-20%)",IF(T6683&lt;=0.4,"Medium (21-40%)","High (&gt;40%)"))))</f>
        <v/>
      </c>
      <c r="Y6683" s="23" t="str">
        <f aca="false">IF(AND(ISNUMBER(C6683),ISNUMBER(D6683)),D6683-C6683,"")</f>
        <v/>
      </c>
      <c r="Z6683" s="23" t="str">
        <f aca="false">IF(B6683="","",IF(MATCH(B6683,$B$2:$B$12000,0)=ROW()-1,1,0))</f>
        <v/>
      </c>
    </row>
    <row r="6684" customFormat="false" ht="15" hidden="false" customHeight="false" outlineLevel="0" collapsed="false">
      <c r="V6684" s="23" t="str">
        <f aca="false">IF(ISNUMBER(C6684),YEAR(C6684),"")</f>
        <v/>
      </c>
      <c r="W6684" s="23" t="str">
        <f aca="false">IF(ISNUMBER(C6684),MONTH(C6684),"")</f>
        <v/>
      </c>
      <c r="X6684" s="23" t="str">
        <f aca="false">IF(T6684="","",IF(T6684=0,"No discount",IF(T6684&lt;=0.2,"Low (1-20%)",IF(T6684&lt;=0.4,"Medium (21-40%)","High (&gt;40%)"))))</f>
        <v/>
      </c>
      <c r="Y6684" s="23" t="str">
        <f aca="false">IF(AND(ISNUMBER(C6684),ISNUMBER(D6684)),D6684-C6684,"")</f>
        <v/>
      </c>
      <c r="Z6684" s="23" t="str">
        <f aca="false">IF(B6684="","",IF(MATCH(B6684,$B$2:$B$12000,0)=ROW()-1,1,0))</f>
        <v/>
      </c>
    </row>
    <row r="6685" customFormat="false" ht="15" hidden="false" customHeight="false" outlineLevel="0" collapsed="false">
      <c r="V6685" s="23" t="str">
        <f aca="false">IF(ISNUMBER(C6685),YEAR(C6685),"")</f>
        <v/>
      </c>
      <c r="W6685" s="23" t="str">
        <f aca="false">IF(ISNUMBER(C6685),MONTH(C6685),"")</f>
        <v/>
      </c>
      <c r="X6685" s="23" t="str">
        <f aca="false">IF(T6685="","",IF(T6685=0,"No discount",IF(T6685&lt;=0.2,"Low (1-20%)",IF(T6685&lt;=0.4,"Medium (21-40%)","High (&gt;40%)"))))</f>
        <v/>
      </c>
      <c r="Y6685" s="23" t="str">
        <f aca="false">IF(AND(ISNUMBER(C6685),ISNUMBER(D6685)),D6685-C6685,"")</f>
        <v/>
      </c>
      <c r="Z6685" s="23" t="str">
        <f aca="false">IF(B6685="","",IF(MATCH(B6685,$B$2:$B$12000,0)=ROW()-1,1,0))</f>
        <v/>
      </c>
    </row>
    <row r="6686" customFormat="false" ht="15" hidden="false" customHeight="false" outlineLevel="0" collapsed="false">
      <c r="V6686" s="23" t="str">
        <f aca="false">IF(ISNUMBER(C6686),YEAR(C6686),"")</f>
        <v/>
      </c>
      <c r="W6686" s="23" t="str">
        <f aca="false">IF(ISNUMBER(C6686),MONTH(C6686),"")</f>
        <v/>
      </c>
      <c r="X6686" s="23" t="str">
        <f aca="false">IF(T6686="","",IF(T6686=0,"No discount",IF(T6686&lt;=0.2,"Low (1-20%)",IF(T6686&lt;=0.4,"Medium (21-40%)","High (&gt;40%)"))))</f>
        <v/>
      </c>
      <c r="Y6686" s="23" t="str">
        <f aca="false">IF(AND(ISNUMBER(C6686),ISNUMBER(D6686)),D6686-C6686,"")</f>
        <v/>
      </c>
      <c r="Z6686" s="23" t="str">
        <f aca="false">IF(B6686="","",IF(MATCH(B6686,$B$2:$B$12000,0)=ROW()-1,1,0))</f>
        <v/>
      </c>
    </row>
    <row r="6687" customFormat="false" ht="15" hidden="false" customHeight="false" outlineLevel="0" collapsed="false">
      <c r="V6687" s="23" t="str">
        <f aca="false">IF(ISNUMBER(C6687),YEAR(C6687),"")</f>
        <v/>
      </c>
      <c r="W6687" s="23" t="str">
        <f aca="false">IF(ISNUMBER(C6687),MONTH(C6687),"")</f>
        <v/>
      </c>
      <c r="X6687" s="23" t="str">
        <f aca="false">IF(T6687="","",IF(T6687=0,"No discount",IF(T6687&lt;=0.2,"Low (1-20%)",IF(T6687&lt;=0.4,"Medium (21-40%)","High (&gt;40%)"))))</f>
        <v/>
      </c>
      <c r="Y6687" s="23" t="str">
        <f aca="false">IF(AND(ISNUMBER(C6687),ISNUMBER(D6687)),D6687-C6687,"")</f>
        <v/>
      </c>
      <c r="Z6687" s="23" t="str">
        <f aca="false">IF(B6687="","",IF(MATCH(B6687,$B$2:$B$12000,0)=ROW()-1,1,0))</f>
        <v/>
      </c>
    </row>
    <row r="6688" customFormat="false" ht="15" hidden="false" customHeight="false" outlineLevel="0" collapsed="false">
      <c r="V6688" s="23" t="str">
        <f aca="false">IF(ISNUMBER(C6688),YEAR(C6688),"")</f>
        <v/>
      </c>
      <c r="W6688" s="23" t="str">
        <f aca="false">IF(ISNUMBER(C6688),MONTH(C6688),"")</f>
        <v/>
      </c>
      <c r="X6688" s="23" t="str">
        <f aca="false">IF(T6688="","",IF(T6688=0,"No discount",IF(T6688&lt;=0.2,"Low (1-20%)",IF(T6688&lt;=0.4,"Medium (21-40%)","High (&gt;40%)"))))</f>
        <v/>
      </c>
      <c r="Y6688" s="23" t="str">
        <f aca="false">IF(AND(ISNUMBER(C6688),ISNUMBER(D6688)),D6688-C6688,"")</f>
        <v/>
      </c>
      <c r="Z6688" s="23" t="str">
        <f aca="false">IF(B6688="","",IF(MATCH(B6688,$B$2:$B$12000,0)=ROW()-1,1,0))</f>
        <v/>
      </c>
    </row>
    <row r="6689" customFormat="false" ht="15" hidden="false" customHeight="false" outlineLevel="0" collapsed="false">
      <c r="V6689" s="23" t="str">
        <f aca="false">IF(ISNUMBER(C6689),YEAR(C6689),"")</f>
        <v/>
      </c>
      <c r="W6689" s="23" t="str">
        <f aca="false">IF(ISNUMBER(C6689),MONTH(C6689),"")</f>
        <v/>
      </c>
      <c r="X6689" s="23" t="str">
        <f aca="false">IF(T6689="","",IF(T6689=0,"No discount",IF(T6689&lt;=0.2,"Low (1-20%)",IF(T6689&lt;=0.4,"Medium (21-40%)","High (&gt;40%)"))))</f>
        <v/>
      </c>
      <c r="Y6689" s="23" t="str">
        <f aca="false">IF(AND(ISNUMBER(C6689),ISNUMBER(D6689)),D6689-C6689,"")</f>
        <v/>
      </c>
      <c r="Z6689" s="23" t="str">
        <f aca="false">IF(B6689="","",IF(MATCH(B6689,$B$2:$B$12000,0)=ROW()-1,1,0))</f>
        <v/>
      </c>
    </row>
    <row r="6690" customFormat="false" ht="15" hidden="false" customHeight="false" outlineLevel="0" collapsed="false">
      <c r="V6690" s="23" t="str">
        <f aca="false">IF(ISNUMBER(C6690),YEAR(C6690),"")</f>
        <v/>
      </c>
      <c r="W6690" s="23" t="str">
        <f aca="false">IF(ISNUMBER(C6690),MONTH(C6690),"")</f>
        <v/>
      </c>
      <c r="X6690" s="23" t="str">
        <f aca="false">IF(T6690="","",IF(T6690=0,"No discount",IF(T6690&lt;=0.2,"Low (1-20%)",IF(T6690&lt;=0.4,"Medium (21-40%)","High (&gt;40%)"))))</f>
        <v/>
      </c>
      <c r="Y6690" s="23" t="str">
        <f aca="false">IF(AND(ISNUMBER(C6690),ISNUMBER(D6690)),D6690-C6690,"")</f>
        <v/>
      </c>
      <c r="Z6690" s="23" t="str">
        <f aca="false">IF(B6690="","",IF(MATCH(B6690,$B$2:$B$12000,0)=ROW()-1,1,0))</f>
        <v/>
      </c>
    </row>
    <row r="6691" customFormat="false" ht="15" hidden="false" customHeight="false" outlineLevel="0" collapsed="false">
      <c r="V6691" s="23" t="str">
        <f aca="false">IF(ISNUMBER(C6691),YEAR(C6691),"")</f>
        <v/>
      </c>
      <c r="W6691" s="23" t="str">
        <f aca="false">IF(ISNUMBER(C6691),MONTH(C6691),"")</f>
        <v/>
      </c>
      <c r="X6691" s="23" t="str">
        <f aca="false">IF(T6691="","",IF(T6691=0,"No discount",IF(T6691&lt;=0.2,"Low (1-20%)",IF(T6691&lt;=0.4,"Medium (21-40%)","High (&gt;40%)"))))</f>
        <v/>
      </c>
      <c r="Y6691" s="23" t="str">
        <f aca="false">IF(AND(ISNUMBER(C6691),ISNUMBER(D6691)),D6691-C6691,"")</f>
        <v/>
      </c>
      <c r="Z6691" s="23" t="str">
        <f aca="false">IF(B6691="","",IF(MATCH(B6691,$B$2:$B$12000,0)=ROW()-1,1,0))</f>
        <v/>
      </c>
    </row>
    <row r="6692" customFormat="false" ht="15" hidden="false" customHeight="false" outlineLevel="0" collapsed="false">
      <c r="V6692" s="23" t="str">
        <f aca="false">IF(ISNUMBER(C6692),YEAR(C6692),"")</f>
        <v/>
      </c>
      <c r="W6692" s="23" t="str">
        <f aca="false">IF(ISNUMBER(C6692),MONTH(C6692),"")</f>
        <v/>
      </c>
      <c r="X6692" s="23" t="str">
        <f aca="false">IF(T6692="","",IF(T6692=0,"No discount",IF(T6692&lt;=0.2,"Low (1-20%)",IF(T6692&lt;=0.4,"Medium (21-40%)","High (&gt;40%)"))))</f>
        <v/>
      </c>
      <c r="Y6692" s="23" t="str">
        <f aca="false">IF(AND(ISNUMBER(C6692),ISNUMBER(D6692)),D6692-C6692,"")</f>
        <v/>
      </c>
      <c r="Z6692" s="23" t="str">
        <f aca="false">IF(B6692="","",IF(MATCH(B6692,$B$2:$B$12000,0)=ROW()-1,1,0))</f>
        <v/>
      </c>
    </row>
    <row r="6693" customFormat="false" ht="15" hidden="false" customHeight="false" outlineLevel="0" collapsed="false">
      <c r="V6693" s="23" t="str">
        <f aca="false">IF(ISNUMBER(C6693),YEAR(C6693),"")</f>
        <v/>
      </c>
      <c r="W6693" s="23" t="str">
        <f aca="false">IF(ISNUMBER(C6693),MONTH(C6693),"")</f>
        <v/>
      </c>
      <c r="X6693" s="23" t="str">
        <f aca="false">IF(T6693="","",IF(T6693=0,"No discount",IF(T6693&lt;=0.2,"Low (1-20%)",IF(T6693&lt;=0.4,"Medium (21-40%)","High (&gt;40%)"))))</f>
        <v/>
      </c>
      <c r="Y6693" s="23" t="str">
        <f aca="false">IF(AND(ISNUMBER(C6693),ISNUMBER(D6693)),D6693-C6693,"")</f>
        <v/>
      </c>
      <c r="Z6693" s="23" t="str">
        <f aca="false">IF(B6693="","",IF(MATCH(B6693,$B$2:$B$12000,0)=ROW()-1,1,0))</f>
        <v/>
      </c>
    </row>
    <row r="6694" customFormat="false" ht="15" hidden="false" customHeight="false" outlineLevel="0" collapsed="false">
      <c r="V6694" s="23" t="str">
        <f aca="false">IF(ISNUMBER(C6694),YEAR(C6694),"")</f>
        <v/>
      </c>
      <c r="W6694" s="23" t="str">
        <f aca="false">IF(ISNUMBER(C6694),MONTH(C6694),"")</f>
        <v/>
      </c>
      <c r="X6694" s="23" t="str">
        <f aca="false">IF(T6694="","",IF(T6694=0,"No discount",IF(T6694&lt;=0.2,"Low (1-20%)",IF(T6694&lt;=0.4,"Medium (21-40%)","High (&gt;40%)"))))</f>
        <v/>
      </c>
      <c r="Y6694" s="23" t="str">
        <f aca="false">IF(AND(ISNUMBER(C6694),ISNUMBER(D6694)),D6694-C6694,"")</f>
        <v/>
      </c>
      <c r="Z6694" s="23" t="str">
        <f aca="false">IF(B6694="","",IF(MATCH(B6694,$B$2:$B$12000,0)=ROW()-1,1,0))</f>
        <v/>
      </c>
    </row>
    <row r="6695" customFormat="false" ht="15" hidden="false" customHeight="false" outlineLevel="0" collapsed="false">
      <c r="V6695" s="23" t="str">
        <f aca="false">IF(ISNUMBER(C6695),YEAR(C6695),"")</f>
        <v/>
      </c>
      <c r="W6695" s="23" t="str">
        <f aca="false">IF(ISNUMBER(C6695),MONTH(C6695),"")</f>
        <v/>
      </c>
      <c r="X6695" s="23" t="str">
        <f aca="false">IF(T6695="","",IF(T6695=0,"No discount",IF(T6695&lt;=0.2,"Low (1-20%)",IF(T6695&lt;=0.4,"Medium (21-40%)","High (&gt;40%)"))))</f>
        <v/>
      </c>
      <c r="Y6695" s="23" t="str">
        <f aca="false">IF(AND(ISNUMBER(C6695),ISNUMBER(D6695)),D6695-C6695,"")</f>
        <v/>
      </c>
      <c r="Z6695" s="23" t="str">
        <f aca="false">IF(B6695="","",IF(MATCH(B6695,$B$2:$B$12000,0)=ROW()-1,1,0))</f>
        <v/>
      </c>
    </row>
    <row r="6696" customFormat="false" ht="15" hidden="false" customHeight="false" outlineLevel="0" collapsed="false">
      <c r="V6696" s="23" t="str">
        <f aca="false">IF(ISNUMBER(C6696),YEAR(C6696),"")</f>
        <v/>
      </c>
      <c r="W6696" s="23" t="str">
        <f aca="false">IF(ISNUMBER(C6696),MONTH(C6696),"")</f>
        <v/>
      </c>
      <c r="X6696" s="23" t="str">
        <f aca="false">IF(T6696="","",IF(T6696=0,"No discount",IF(T6696&lt;=0.2,"Low (1-20%)",IF(T6696&lt;=0.4,"Medium (21-40%)","High (&gt;40%)"))))</f>
        <v/>
      </c>
      <c r="Y6696" s="23" t="str">
        <f aca="false">IF(AND(ISNUMBER(C6696),ISNUMBER(D6696)),D6696-C6696,"")</f>
        <v/>
      </c>
      <c r="Z6696" s="23" t="str">
        <f aca="false">IF(B6696="","",IF(MATCH(B6696,$B$2:$B$12000,0)=ROW()-1,1,0))</f>
        <v/>
      </c>
    </row>
    <row r="6697" customFormat="false" ht="15" hidden="false" customHeight="false" outlineLevel="0" collapsed="false">
      <c r="V6697" s="23" t="str">
        <f aca="false">IF(ISNUMBER(C6697),YEAR(C6697),"")</f>
        <v/>
      </c>
      <c r="W6697" s="23" t="str">
        <f aca="false">IF(ISNUMBER(C6697),MONTH(C6697),"")</f>
        <v/>
      </c>
      <c r="X6697" s="23" t="str">
        <f aca="false">IF(T6697="","",IF(T6697=0,"No discount",IF(T6697&lt;=0.2,"Low (1-20%)",IF(T6697&lt;=0.4,"Medium (21-40%)","High (&gt;40%)"))))</f>
        <v/>
      </c>
      <c r="Y6697" s="23" t="str">
        <f aca="false">IF(AND(ISNUMBER(C6697),ISNUMBER(D6697)),D6697-C6697,"")</f>
        <v/>
      </c>
      <c r="Z6697" s="23" t="str">
        <f aca="false">IF(B6697="","",IF(MATCH(B6697,$B$2:$B$12000,0)=ROW()-1,1,0))</f>
        <v/>
      </c>
    </row>
    <row r="6698" customFormat="false" ht="15" hidden="false" customHeight="false" outlineLevel="0" collapsed="false">
      <c r="V6698" s="23" t="str">
        <f aca="false">IF(ISNUMBER(C6698),YEAR(C6698),"")</f>
        <v/>
      </c>
      <c r="W6698" s="23" t="str">
        <f aca="false">IF(ISNUMBER(C6698),MONTH(C6698),"")</f>
        <v/>
      </c>
      <c r="X6698" s="23" t="str">
        <f aca="false">IF(T6698="","",IF(T6698=0,"No discount",IF(T6698&lt;=0.2,"Low (1-20%)",IF(T6698&lt;=0.4,"Medium (21-40%)","High (&gt;40%)"))))</f>
        <v/>
      </c>
      <c r="Y6698" s="23" t="str">
        <f aca="false">IF(AND(ISNUMBER(C6698),ISNUMBER(D6698)),D6698-C6698,"")</f>
        <v/>
      </c>
      <c r="Z6698" s="23" t="str">
        <f aca="false">IF(B6698="","",IF(MATCH(B6698,$B$2:$B$12000,0)=ROW()-1,1,0))</f>
        <v/>
      </c>
    </row>
    <row r="6699" customFormat="false" ht="15" hidden="false" customHeight="false" outlineLevel="0" collapsed="false">
      <c r="V6699" s="23" t="str">
        <f aca="false">IF(ISNUMBER(C6699),YEAR(C6699),"")</f>
        <v/>
      </c>
      <c r="W6699" s="23" t="str">
        <f aca="false">IF(ISNUMBER(C6699),MONTH(C6699),"")</f>
        <v/>
      </c>
      <c r="X6699" s="23" t="str">
        <f aca="false">IF(T6699="","",IF(T6699=0,"No discount",IF(T6699&lt;=0.2,"Low (1-20%)",IF(T6699&lt;=0.4,"Medium (21-40%)","High (&gt;40%)"))))</f>
        <v/>
      </c>
      <c r="Y6699" s="23" t="str">
        <f aca="false">IF(AND(ISNUMBER(C6699),ISNUMBER(D6699)),D6699-C6699,"")</f>
        <v/>
      </c>
      <c r="Z6699" s="23" t="str">
        <f aca="false">IF(B6699="","",IF(MATCH(B6699,$B$2:$B$12000,0)=ROW()-1,1,0))</f>
        <v/>
      </c>
    </row>
    <row r="6700" customFormat="false" ht="15" hidden="false" customHeight="false" outlineLevel="0" collapsed="false">
      <c r="V6700" s="23" t="str">
        <f aca="false">IF(ISNUMBER(C6700),YEAR(C6700),"")</f>
        <v/>
      </c>
      <c r="W6700" s="23" t="str">
        <f aca="false">IF(ISNUMBER(C6700),MONTH(C6700),"")</f>
        <v/>
      </c>
      <c r="X6700" s="23" t="str">
        <f aca="false">IF(T6700="","",IF(T6700=0,"No discount",IF(T6700&lt;=0.2,"Low (1-20%)",IF(T6700&lt;=0.4,"Medium (21-40%)","High (&gt;40%)"))))</f>
        <v/>
      </c>
      <c r="Y6700" s="23" t="str">
        <f aca="false">IF(AND(ISNUMBER(C6700),ISNUMBER(D6700)),D6700-C6700,"")</f>
        <v/>
      </c>
      <c r="Z6700" s="23" t="str">
        <f aca="false">IF(B6700="","",IF(MATCH(B6700,$B$2:$B$12000,0)=ROW()-1,1,0))</f>
        <v/>
      </c>
    </row>
    <row r="6701" customFormat="false" ht="15" hidden="false" customHeight="false" outlineLevel="0" collapsed="false">
      <c r="V6701" s="23" t="str">
        <f aca="false">IF(ISNUMBER(C6701),YEAR(C6701),"")</f>
        <v/>
      </c>
      <c r="W6701" s="23" t="str">
        <f aca="false">IF(ISNUMBER(C6701),MONTH(C6701),"")</f>
        <v/>
      </c>
      <c r="X6701" s="23" t="str">
        <f aca="false">IF(T6701="","",IF(T6701=0,"No discount",IF(T6701&lt;=0.2,"Low (1-20%)",IF(T6701&lt;=0.4,"Medium (21-40%)","High (&gt;40%)"))))</f>
        <v/>
      </c>
      <c r="Y6701" s="23" t="str">
        <f aca="false">IF(AND(ISNUMBER(C6701),ISNUMBER(D6701)),D6701-C6701,"")</f>
        <v/>
      </c>
      <c r="Z6701" s="23" t="str">
        <f aca="false">IF(B6701="","",IF(MATCH(B6701,$B$2:$B$12000,0)=ROW()-1,1,0))</f>
        <v/>
      </c>
    </row>
    <row r="6702" customFormat="false" ht="15" hidden="false" customHeight="false" outlineLevel="0" collapsed="false">
      <c r="V6702" s="23" t="str">
        <f aca="false">IF(ISNUMBER(C6702),YEAR(C6702),"")</f>
        <v/>
      </c>
      <c r="W6702" s="23" t="str">
        <f aca="false">IF(ISNUMBER(C6702),MONTH(C6702),"")</f>
        <v/>
      </c>
      <c r="X6702" s="23" t="str">
        <f aca="false">IF(T6702="","",IF(T6702=0,"No discount",IF(T6702&lt;=0.2,"Low (1-20%)",IF(T6702&lt;=0.4,"Medium (21-40%)","High (&gt;40%)"))))</f>
        <v/>
      </c>
      <c r="Y6702" s="23" t="str">
        <f aca="false">IF(AND(ISNUMBER(C6702),ISNUMBER(D6702)),D6702-C6702,"")</f>
        <v/>
      </c>
      <c r="Z6702" s="23" t="str">
        <f aca="false">IF(B6702="","",IF(MATCH(B6702,$B$2:$B$12000,0)=ROW()-1,1,0))</f>
        <v/>
      </c>
    </row>
    <row r="6703" customFormat="false" ht="15" hidden="false" customHeight="false" outlineLevel="0" collapsed="false">
      <c r="V6703" s="23" t="str">
        <f aca="false">IF(ISNUMBER(C6703),YEAR(C6703),"")</f>
        <v/>
      </c>
      <c r="W6703" s="23" t="str">
        <f aca="false">IF(ISNUMBER(C6703),MONTH(C6703),"")</f>
        <v/>
      </c>
      <c r="X6703" s="23" t="str">
        <f aca="false">IF(T6703="","",IF(T6703=0,"No discount",IF(T6703&lt;=0.2,"Low (1-20%)",IF(T6703&lt;=0.4,"Medium (21-40%)","High (&gt;40%)"))))</f>
        <v/>
      </c>
      <c r="Y6703" s="23" t="str">
        <f aca="false">IF(AND(ISNUMBER(C6703),ISNUMBER(D6703)),D6703-C6703,"")</f>
        <v/>
      </c>
      <c r="Z6703" s="23" t="str">
        <f aca="false">IF(B6703="","",IF(MATCH(B6703,$B$2:$B$12000,0)=ROW()-1,1,0))</f>
        <v/>
      </c>
    </row>
    <row r="6704" customFormat="false" ht="15" hidden="false" customHeight="false" outlineLevel="0" collapsed="false">
      <c r="V6704" s="23" t="str">
        <f aca="false">IF(ISNUMBER(C6704),YEAR(C6704),"")</f>
        <v/>
      </c>
      <c r="W6704" s="23" t="str">
        <f aca="false">IF(ISNUMBER(C6704),MONTH(C6704),"")</f>
        <v/>
      </c>
      <c r="X6704" s="23" t="str">
        <f aca="false">IF(T6704="","",IF(T6704=0,"No discount",IF(T6704&lt;=0.2,"Low (1-20%)",IF(T6704&lt;=0.4,"Medium (21-40%)","High (&gt;40%)"))))</f>
        <v/>
      </c>
      <c r="Y6704" s="23" t="str">
        <f aca="false">IF(AND(ISNUMBER(C6704),ISNUMBER(D6704)),D6704-C6704,"")</f>
        <v/>
      </c>
      <c r="Z6704" s="23" t="str">
        <f aca="false">IF(B6704="","",IF(MATCH(B6704,$B$2:$B$12000,0)=ROW()-1,1,0))</f>
        <v/>
      </c>
    </row>
    <row r="6705" customFormat="false" ht="15" hidden="false" customHeight="false" outlineLevel="0" collapsed="false">
      <c r="V6705" s="23" t="str">
        <f aca="false">IF(ISNUMBER(C6705),YEAR(C6705),"")</f>
        <v/>
      </c>
      <c r="W6705" s="23" t="str">
        <f aca="false">IF(ISNUMBER(C6705),MONTH(C6705),"")</f>
        <v/>
      </c>
      <c r="X6705" s="23" t="str">
        <f aca="false">IF(T6705="","",IF(T6705=0,"No discount",IF(T6705&lt;=0.2,"Low (1-20%)",IF(T6705&lt;=0.4,"Medium (21-40%)","High (&gt;40%)"))))</f>
        <v/>
      </c>
      <c r="Y6705" s="23" t="str">
        <f aca="false">IF(AND(ISNUMBER(C6705),ISNUMBER(D6705)),D6705-C6705,"")</f>
        <v/>
      </c>
      <c r="Z6705" s="23" t="str">
        <f aca="false">IF(B6705="","",IF(MATCH(B6705,$B$2:$B$12000,0)=ROW()-1,1,0))</f>
        <v/>
      </c>
    </row>
    <row r="6706" customFormat="false" ht="15" hidden="false" customHeight="false" outlineLevel="0" collapsed="false">
      <c r="V6706" s="23" t="str">
        <f aca="false">IF(ISNUMBER(C6706),YEAR(C6706),"")</f>
        <v/>
      </c>
      <c r="W6706" s="23" t="str">
        <f aca="false">IF(ISNUMBER(C6706),MONTH(C6706),"")</f>
        <v/>
      </c>
      <c r="X6706" s="23" t="str">
        <f aca="false">IF(T6706="","",IF(T6706=0,"No discount",IF(T6706&lt;=0.2,"Low (1-20%)",IF(T6706&lt;=0.4,"Medium (21-40%)","High (&gt;40%)"))))</f>
        <v/>
      </c>
      <c r="Y6706" s="23" t="str">
        <f aca="false">IF(AND(ISNUMBER(C6706),ISNUMBER(D6706)),D6706-C6706,"")</f>
        <v/>
      </c>
      <c r="Z6706" s="23" t="str">
        <f aca="false">IF(B6706="","",IF(MATCH(B6706,$B$2:$B$12000,0)=ROW()-1,1,0))</f>
        <v/>
      </c>
    </row>
    <row r="6707" customFormat="false" ht="15" hidden="false" customHeight="false" outlineLevel="0" collapsed="false">
      <c r="V6707" s="23" t="str">
        <f aca="false">IF(ISNUMBER(C6707),YEAR(C6707),"")</f>
        <v/>
      </c>
      <c r="W6707" s="23" t="str">
        <f aca="false">IF(ISNUMBER(C6707),MONTH(C6707),"")</f>
        <v/>
      </c>
      <c r="X6707" s="23" t="str">
        <f aca="false">IF(T6707="","",IF(T6707=0,"No discount",IF(T6707&lt;=0.2,"Low (1-20%)",IF(T6707&lt;=0.4,"Medium (21-40%)","High (&gt;40%)"))))</f>
        <v/>
      </c>
      <c r="Y6707" s="23" t="str">
        <f aca="false">IF(AND(ISNUMBER(C6707),ISNUMBER(D6707)),D6707-C6707,"")</f>
        <v/>
      </c>
      <c r="Z6707" s="23" t="str">
        <f aca="false">IF(B6707="","",IF(MATCH(B6707,$B$2:$B$12000,0)=ROW()-1,1,0))</f>
        <v/>
      </c>
    </row>
    <row r="6708" customFormat="false" ht="15" hidden="false" customHeight="false" outlineLevel="0" collapsed="false">
      <c r="V6708" s="23" t="str">
        <f aca="false">IF(ISNUMBER(C6708),YEAR(C6708),"")</f>
        <v/>
      </c>
      <c r="W6708" s="23" t="str">
        <f aca="false">IF(ISNUMBER(C6708),MONTH(C6708),"")</f>
        <v/>
      </c>
      <c r="X6708" s="23" t="str">
        <f aca="false">IF(T6708="","",IF(T6708=0,"No discount",IF(T6708&lt;=0.2,"Low (1-20%)",IF(T6708&lt;=0.4,"Medium (21-40%)","High (&gt;40%)"))))</f>
        <v/>
      </c>
      <c r="Y6708" s="23" t="str">
        <f aca="false">IF(AND(ISNUMBER(C6708),ISNUMBER(D6708)),D6708-C6708,"")</f>
        <v/>
      </c>
      <c r="Z6708" s="23" t="str">
        <f aca="false">IF(B6708="","",IF(MATCH(B6708,$B$2:$B$12000,0)=ROW()-1,1,0))</f>
        <v/>
      </c>
    </row>
    <row r="6709" customFormat="false" ht="15" hidden="false" customHeight="false" outlineLevel="0" collapsed="false">
      <c r="V6709" s="23" t="str">
        <f aca="false">IF(ISNUMBER(C6709),YEAR(C6709),"")</f>
        <v/>
      </c>
      <c r="W6709" s="23" t="str">
        <f aca="false">IF(ISNUMBER(C6709),MONTH(C6709),"")</f>
        <v/>
      </c>
      <c r="X6709" s="23" t="str">
        <f aca="false">IF(T6709="","",IF(T6709=0,"No discount",IF(T6709&lt;=0.2,"Low (1-20%)",IF(T6709&lt;=0.4,"Medium (21-40%)","High (&gt;40%)"))))</f>
        <v/>
      </c>
      <c r="Y6709" s="23" t="str">
        <f aca="false">IF(AND(ISNUMBER(C6709),ISNUMBER(D6709)),D6709-C6709,"")</f>
        <v/>
      </c>
      <c r="Z6709" s="23" t="str">
        <f aca="false">IF(B6709="","",IF(MATCH(B6709,$B$2:$B$12000,0)=ROW()-1,1,0))</f>
        <v/>
      </c>
    </row>
    <row r="6710" customFormat="false" ht="15" hidden="false" customHeight="false" outlineLevel="0" collapsed="false">
      <c r="V6710" s="23" t="str">
        <f aca="false">IF(ISNUMBER(C6710),YEAR(C6710),"")</f>
        <v/>
      </c>
      <c r="W6710" s="23" t="str">
        <f aca="false">IF(ISNUMBER(C6710),MONTH(C6710),"")</f>
        <v/>
      </c>
      <c r="X6710" s="23" t="str">
        <f aca="false">IF(T6710="","",IF(T6710=0,"No discount",IF(T6710&lt;=0.2,"Low (1-20%)",IF(T6710&lt;=0.4,"Medium (21-40%)","High (&gt;40%)"))))</f>
        <v/>
      </c>
      <c r="Y6710" s="23" t="str">
        <f aca="false">IF(AND(ISNUMBER(C6710),ISNUMBER(D6710)),D6710-C6710,"")</f>
        <v/>
      </c>
      <c r="Z6710" s="23" t="str">
        <f aca="false">IF(B6710="","",IF(MATCH(B6710,$B$2:$B$12000,0)=ROW()-1,1,0))</f>
        <v/>
      </c>
    </row>
    <row r="6711" customFormat="false" ht="15" hidden="false" customHeight="false" outlineLevel="0" collapsed="false">
      <c r="V6711" s="23" t="str">
        <f aca="false">IF(ISNUMBER(C6711),YEAR(C6711),"")</f>
        <v/>
      </c>
      <c r="W6711" s="23" t="str">
        <f aca="false">IF(ISNUMBER(C6711),MONTH(C6711),"")</f>
        <v/>
      </c>
      <c r="X6711" s="23" t="str">
        <f aca="false">IF(T6711="","",IF(T6711=0,"No discount",IF(T6711&lt;=0.2,"Low (1-20%)",IF(T6711&lt;=0.4,"Medium (21-40%)","High (&gt;40%)"))))</f>
        <v/>
      </c>
      <c r="Y6711" s="23" t="str">
        <f aca="false">IF(AND(ISNUMBER(C6711),ISNUMBER(D6711)),D6711-C6711,"")</f>
        <v/>
      </c>
      <c r="Z6711" s="23" t="str">
        <f aca="false">IF(B6711="","",IF(MATCH(B6711,$B$2:$B$12000,0)=ROW()-1,1,0))</f>
        <v/>
      </c>
    </row>
    <row r="6712" customFormat="false" ht="15" hidden="false" customHeight="false" outlineLevel="0" collapsed="false">
      <c r="V6712" s="23" t="str">
        <f aca="false">IF(ISNUMBER(C6712),YEAR(C6712),"")</f>
        <v/>
      </c>
      <c r="W6712" s="23" t="str">
        <f aca="false">IF(ISNUMBER(C6712),MONTH(C6712),"")</f>
        <v/>
      </c>
      <c r="X6712" s="23" t="str">
        <f aca="false">IF(T6712="","",IF(T6712=0,"No discount",IF(T6712&lt;=0.2,"Low (1-20%)",IF(T6712&lt;=0.4,"Medium (21-40%)","High (&gt;40%)"))))</f>
        <v/>
      </c>
      <c r="Y6712" s="23" t="str">
        <f aca="false">IF(AND(ISNUMBER(C6712),ISNUMBER(D6712)),D6712-C6712,"")</f>
        <v/>
      </c>
      <c r="Z6712" s="23" t="str">
        <f aca="false">IF(B6712="","",IF(MATCH(B6712,$B$2:$B$12000,0)=ROW()-1,1,0))</f>
        <v/>
      </c>
    </row>
    <row r="6713" customFormat="false" ht="15" hidden="false" customHeight="false" outlineLevel="0" collapsed="false">
      <c r="V6713" s="23" t="str">
        <f aca="false">IF(ISNUMBER(C6713),YEAR(C6713),"")</f>
        <v/>
      </c>
      <c r="W6713" s="23" t="str">
        <f aca="false">IF(ISNUMBER(C6713),MONTH(C6713),"")</f>
        <v/>
      </c>
      <c r="X6713" s="23" t="str">
        <f aca="false">IF(T6713="","",IF(T6713=0,"No discount",IF(T6713&lt;=0.2,"Low (1-20%)",IF(T6713&lt;=0.4,"Medium (21-40%)","High (&gt;40%)"))))</f>
        <v/>
      </c>
      <c r="Y6713" s="23" t="str">
        <f aca="false">IF(AND(ISNUMBER(C6713),ISNUMBER(D6713)),D6713-C6713,"")</f>
        <v/>
      </c>
      <c r="Z6713" s="23" t="str">
        <f aca="false">IF(B6713="","",IF(MATCH(B6713,$B$2:$B$12000,0)=ROW()-1,1,0))</f>
        <v/>
      </c>
    </row>
    <row r="6714" customFormat="false" ht="15" hidden="false" customHeight="false" outlineLevel="0" collapsed="false">
      <c r="V6714" s="23" t="str">
        <f aca="false">IF(ISNUMBER(C6714),YEAR(C6714),"")</f>
        <v/>
      </c>
      <c r="W6714" s="23" t="str">
        <f aca="false">IF(ISNUMBER(C6714),MONTH(C6714),"")</f>
        <v/>
      </c>
      <c r="X6714" s="23" t="str">
        <f aca="false">IF(T6714="","",IF(T6714=0,"No discount",IF(T6714&lt;=0.2,"Low (1-20%)",IF(T6714&lt;=0.4,"Medium (21-40%)","High (&gt;40%)"))))</f>
        <v/>
      </c>
      <c r="Y6714" s="23" t="str">
        <f aca="false">IF(AND(ISNUMBER(C6714),ISNUMBER(D6714)),D6714-C6714,"")</f>
        <v/>
      </c>
      <c r="Z6714" s="23" t="str">
        <f aca="false">IF(B6714="","",IF(MATCH(B6714,$B$2:$B$12000,0)=ROW()-1,1,0))</f>
        <v/>
      </c>
    </row>
    <row r="6715" customFormat="false" ht="15" hidden="false" customHeight="false" outlineLevel="0" collapsed="false">
      <c r="V6715" s="23" t="str">
        <f aca="false">IF(ISNUMBER(C6715),YEAR(C6715),"")</f>
        <v/>
      </c>
      <c r="W6715" s="23" t="str">
        <f aca="false">IF(ISNUMBER(C6715),MONTH(C6715),"")</f>
        <v/>
      </c>
      <c r="X6715" s="23" t="str">
        <f aca="false">IF(T6715="","",IF(T6715=0,"No discount",IF(T6715&lt;=0.2,"Low (1-20%)",IF(T6715&lt;=0.4,"Medium (21-40%)","High (&gt;40%)"))))</f>
        <v/>
      </c>
      <c r="Y6715" s="23" t="str">
        <f aca="false">IF(AND(ISNUMBER(C6715),ISNUMBER(D6715)),D6715-C6715,"")</f>
        <v/>
      </c>
      <c r="Z6715" s="23" t="str">
        <f aca="false">IF(B6715="","",IF(MATCH(B6715,$B$2:$B$12000,0)=ROW()-1,1,0))</f>
        <v/>
      </c>
    </row>
    <row r="6716" customFormat="false" ht="15" hidden="false" customHeight="false" outlineLevel="0" collapsed="false">
      <c r="V6716" s="23" t="str">
        <f aca="false">IF(ISNUMBER(C6716),YEAR(C6716),"")</f>
        <v/>
      </c>
      <c r="W6716" s="23" t="str">
        <f aca="false">IF(ISNUMBER(C6716),MONTH(C6716),"")</f>
        <v/>
      </c>
      <c r="X6716" s="23" t="str">
        <f aca="false">IF(T6716="","",IF(T6716=0,"No discount",IF(T6716&lt;=0.2,"Low (1-20%)",IF(T6716&lt;=0.4,"Medium (21-40%)","High (&gt;40%)"))))</f>
        <v/>
      </c>
      <c r="Y6716" s="23" t="str">
        <f aca="false">IF(AND(ISNUMBER(C6716),ISNUMBER(D6716)),D6716-C6716,"")</f>
        <v/>
      </c>
      <c r="Z6716" s="23" t="str">
        <f aca="false">IF(B6716="","",IF(MATCH(B6716,$B$2:$B$12000,0)=ROW()-1,1,0))</f>
        <v/>
      </c>
    </row>
    <row r="6717" customFormat="false" ht="15" hidden="false" customHeight="false" outlineLevel="0" collapsed="false">
      <c r="V6717" s="23" t="str">
        <f aca="false">IF(ISNUMBER(C6717),YEAR(C6717),"")</f>
        <v/>
      </c>
      <c r="W6717" s="23" t="str">
        <f aca="false">IF(ISNUMBER(C6717),MONTH(C6717),"")</f>
        <v/>
      </c>
      <c r="X6717" s="23" t="str">
        <f aca="false">IF(T6717="","",IF(T6717=0,"No discount",IF(T6717&lt;=0.2,"Low (1-20%)",IF(T6717&lt;=0.4,"Medium (21-40%)","High (&gt;40%)"))))</f>
        <v/>
      </c>
      <c r="Y6717" s="23" t="str">
        <f aca="false">IF(AND(ISNUMBER(C6717),ISNUMBER(D6717)),D6717-C6717,"")</f>
        <v/>
      </c>
      <c r="Z6717" s="23" t="str">
        <f aca="false">IF(B6717="","",IF(MATCH(B6717,$B$2:$B$12000,0)=ROW()-1,1,0))</f>
        <v/>
      </c>
    </row>
    <row r="6718" customFormat="false" ht="15" hidden="false" customHeight="false" outlineLevel="0" collapsed="false">
      <c r="V6718" s="23" t="str">
        <f aca="false">IF(ISNUMBER(C6718),YEAR(C6718),"")</f>
        <v/>
      </c>
      <c r="W6718" s="23" t="str">
        <f aca="false">IF(ISNUMBER(C6718),MONTH(C6718),"")</f>
        <v/>
      </c>
      <c r="X6718" s="23" t="str">
        <f aca="false">IF(T6718="","",IF(T6718=0,"No discount",IF(T6718&lt;=0.2,"Low (1-20%)",IF(T6718&lt;=0.4,"Medium (21-40%)","High (&gt;40%)"))))</f>
        <v/>
      </c>
      <c r="Y6718" s="23" t="str">
        <f aca="false">IF(AND(ISNUMBER(C6718),ISNUMBER(D6718)),D6718-C6718,"")</f>
        <v/>
      </c>
      <c r="Z6718" s="23" t="str">
        <f aca="false">IF(B6718="","",IF(MATCH(B6718,$B$2:$B$12000,0)=ROW()-1,1,0))</f>
        <v/>
      </c>
    </row>
    <row r="6719" customFormat="false" ht="15" hidden="false" customHeight="false" outlineLevel="0" collapsed="false">
      <c r="V6719" s="23" t="str">
        <f aca="false">IF(ISNUMBER(C6719),YEAR(C6719),"")</f>
        <v/>
      </c>
      <c r="W6719" s="23" t="str">
        <f aca="false">IF(ISNUMBER(C6719),MONTH(C6719),"")</f>
        <v/>
      </c>
      <c r="X6719" s="23" t="str">
        <f aca="false">IF(T6719="","",IF(T6719=0,"No discount",IF(T6719&lt;=0.2,"Low (1-20%)",IF(T6719&lt;=0.4,"Medium (21-40%)","High (&gt;40%)"))))</f>
        <v/>
      </c>
      <c r="Y6719" s="23" t="str">
        <f aca="false">IF(AND(ISNUMBER(C6719),ISNUMBER(D6719)),D6719-C6719,"")</f>
        <v/>
      </c>
      <c r="Z6719" s="23" t="str">
        <f aca="false">IF(B6719="","",IF(MATCH(B6719,$B$2:$B$12000,0)=ROW()-1,1,0))</f>
        <v/>
      </c>
    </row>
    <row r="6720" customFormat="false" ht="15" hidden="false" customHeight="false" outlineLevel="0" collapsed="false">
      <c r="V6720" s="23" t="str">
        <f aca="false">IF(ISNUMBER(C6720),YEAR(C6720),"")</f>
        <v/>
      </c>
      <c r="W6720" s="23" t="str">
        <f aca="false">IF(ISNUMBER(C6720),MONTH(C6720),"")</f>
        <v/>
      </c>
      <c r="X6720" s="23" t="str">
        <f aca="false">IF(T6720="","",IF(T6720=0,"No discount",IF(T6720&lt;=0.2,"Low (1-20%)",IF(T6720&lt;=0.4,"Medium (21-40%)","High (&gt;40%)"))))</f>
        <v/>
      </c>
      <c r="Y6720" s="23" t="str">
        <f aca="false">IF(AND(ISNUMBER(C6720),ISNUMBER(D6720)),D6720-C6720,"")</f>
        <v/>
      </c>
      <c r="Z6720" s="23" t="str">
        <f aca="false">IF(B6720="","",IF(MATCH(B6720,$B$2:$B$12000,0)=ROW()-1,1,0))</f>
        <v/>
      </c>
    </row>
    <row r="6721" customFormat="false" ht="15" hidden="false" customHeight="false" outlineLevel="0" collapsed="false">
      <c r="V6721" s="23" t="str">
        <f aca="false">IF(ISNUMBER(C6721),YEAR(C6721),"")</f>
        <v/>
      </c>
      <c r="W6721" s="23" t="str">
        <f aca="false">IF(ISNUMBER(C6721),MONTH(C6721),"")</f>
        <v/>
      </c>
      <c r="X6721" s="23" t="str">
        <f aca="false">IF(T6721="","",IF(T6721=0,"No discount",IF(T6721&lt;=0.2,"Low (1-20%)",IF(T6721&lt;=0.4,"Medium (21-40%)","High (&gt;40%)"))))</f>
        <v/>
      </c>
      <c r="Y6721" s="23" t="str">
        <f aca="false">IF(AND(ISNUMBER(C6721),ISNUMBER(D6721)),D6721-C6721,"")</f>
        <v/>
      </c>
      <c r="Z6721" s="23" t="str">
        <f aca="false">IF(B6721="","",IF(MATCH(B6721,$B$2:$B$12000,0)=ROW()-1,1,0))</f>
        <v/>
      </c>
    </row>
    <row r="6722" customFormat="false" ht="15" hidden="false" customHeight="false" outlineLevel="0" collapsed="false">
      <c r="V6722" s="23" t="str">
        <f aca="false">IF(ISNUMBER(C6722),YEAR(C6722),"")</f>
        <v/>
      </c>
      <c r="W6722" s="23" t="str">
        <f aca="false">IF(ISNUMBER(C6722),MONTH(C6722),"")</f>
        <v/>
      </c>
      <c r="X6722" s="23" t="str">
        <f aca="false">IF(T6722="","",IF(T6722=0,"No discount",IF(T6722&lt;=0.2,"Low (1-20%)",IF(T6722&lt;=0.4,"Medium (21-40%)","High (&gt;40%)"))))</f>
        <v/>
      </c>
      <c r="Y6722" s="23" t="str">
        <f aca="false">IF(AND(ISNUMBER(C6722),ISNUMBER(D6722)),D6722-C6722,"")</f>
        <v/>
      </c>
      <c r="Z6722" s="23" t="str">
        <f aca="false">IF(B6722="","",IF(MATCH(B6722,$B$2:$B$12000,0)=ROW()-1,1,0))</f>
        <v/>
      </c>
    </row>
    <row r="6723" customFormat="false" ht="15" hidden="false" customHeight="false" outlineLevel="0" collapsed="false">
      <c r="V6723" s="23" t="str">
        <f aca="false">IF(ISNUMBER(C6723),YEAR(C6723),"")</f>
        <v/>
      </c>
      <c r="W6723" s="23" t="str">
        <f aca="false">IF(ISNUMBER(C6723),MONTH(C6723),"")</f>
        <v/>
      </c>
      <c r="X6723" s="23" t="str">
        <f aca="false">IF(T6723="","",IF(T6723=0,"No discount",IF(T6723&lt;=0.2,"Low (1-20%)",IF(T6723&lt;=0.4,"Medium (21-40%)","High (&gt;40%)"))))</f>
        <v/>
      </c>
      <c r="Y6723" s="23" t="str">
        <f aca="false">IF(AND(ISNUMBER(C6723),ISNUMBER(D6723)),D6723-C6723,"")</f>
        <v/>
      </c>
      <c r="Z6723" s="23" t="str">
        <f aca="false">IF(B6723="","",IF(MATCH(B6723,$B$2:$B$12000,0)=ROW()-1,1,0))</f>
        <v/>
      </c>
    </row>
    <row r="6724" customFormat="false" ht="15" hidden="false" customHeight="false" outlineLevel="0" collapsed="false">
      <c r="V6724" s="23" t="str">
        <f aca="false">IF(ISNUMBER(C6724),YEAR(C6724),"")</f>
        <v/>
      </c>
      <c r="W6724" s="23" t="str">
        <f aca="false">IF(ISNUMBER(C6724),MONTH(C6724),"")</f>
        <v/>
      </c>
      <c r="X6724" s="23" t="str">
        <f aca="false">IF(T6724="","",IF(T6724=0,"No discount",IF(T6724&lt;=0.2,"Low (1-20%)",IF(T6724&lt;=0.4,"Medium (21-40%)","High (&gt;40%)"))))</f>
        <v/>
      </c>
      <c r="Y6724" s="23" t="str">
        <f aca="false">IF(AND(ISNUMBER(C6724),ISNUMBER(D6724)),D6724-C6724,"")</f>
        <v/>
      </c>
      <c r="Z6724" s="23" t="str">
        <f aca="false">IF(B6724="","",IF(MATCH(B6724,$B$2:$B$12000,0)=ROW()-1,1,0))</f>
        <v/>
      </c>
    </row>
    <row r="6725" customFormat="false" ht="15" hidden="false" customHeight="false" outlineLevel="0" collapsed="false">
      <c r="V6725" s="23" t="str">
        <f aca="false">IF(ISNUMBER(C6725),YEAR(C6725),"")</f>
        <v/>
      </c>
      <c r="W6725" s="23" t="str">
        <f aca="false">IF(ISNUMBER(C6725),MONTH(C6725),"")</f>
        <v/>
      </c>
      <c r="X6725" s="23" t="str">
        <f aca="false">IF(T6725="","",IF(T6725=0,"No discount",IF(T6725&lt;=0.2,"Low (1-20%)",IF(T6725&lt;=0.4,"Medium (21-40%)","High (&gt;40%)"))))</f>
        <v/>
      </c>
      <c r="Y6725" s="23" t="str">
        <f aca="false">IF(AND(ISNUMBER(C6725),ISNUMBER(D6725)),D6725-C6725,"")</f>
        <v/>
      </c>
      <c r="Z6725" s="23" t="str">
        <f aca="false">IF(B6725="","",IF(MATCH(B6725,$B$2:$B$12000,0)=ROW()-1,1,0))</f>
        <v/>
      </c>
    </row>
    <row r="6726" customFormat="false" ht="15" hidden="false" customHeight="false" outlineLevel="0" collapsed="false">
      <c r="V6726" s="23" t="str">
        <f aca="false">IF(ISNUMBER(C6726),YEAR(C6726),"")</f>
        <v/>
      </c>
      <c r="W6726" s="23" t="str">
        <f aca="false">IF(ISNUMBER(C6726),MONTH(C6726),"")</f>
        <v/>
      </c>
      <c r="X6726" s="23" t="str">
        <f aca="false">IF(T6726="","",IF(T6726=0,"No discount",IF(T6726&lt;=0.2,"Low (1-20%)",IF(T6726&lt;=0.4,"Medium (21-40%)","High (&gt;40%)"))))</f>
        <v/>
      </c>
      <c r="Y6726" s="23" t="str">
        <f aca="false">IF(AND(ISNUMBER(C6726),ISNUMBER(D6726)),D6726-C6726,"")</f>
        <v/>
      </c>
      <c r="Z6726" s="23" t="str">
        <f aca="false">IF(B6726="","",IF(MATCH(B6726,$B$2:$B$12000,0)=ROW()-1,1,0))</f>
        <v/>
      </c>
    </row>
    <row r="6727" customFormat="false" ht="15" hidden="false" customHeight="false" outlineLevel="0" collapsed="false">
      <c r="V6727" s="23" t="str">
        <f aca="false">IF(ISNUMBER(C6727),YEAR(C6727),"")</f>
        <v/>
      </c>
      <c r="W6727" s="23" t="str">
        <f aca="false">IF(ISNUMBER(C6727),MONTH(C6727),"")</f>
        <v/>
      </c>
      <c r="X6727" s="23" t="str">
        <f aca="false">IF(T6727="","",IF(T6727=0,"No discount",IF(T6727&lt;=0.2,"Low (1-20%)",IF(T6727&lt;=0.4,"Medium (21-40%)","High (&gt;40%)"))))</f>
        <v/>
      </c>
      <c r="Y6727" s="23" t="str">
        <f aca="false">IF(AND(ISNUMBER(C6727),ISNUMBER(D6727)),D6727-C6727,"")</f>
        <v/>
      </c>
      <c r="Z6727" s="23" t="str">
        <f aca="false">IF(B6727="","",IF(MATCH(B6727,$B$2:$B$12000,0)=ROW()-1,1,0))</f>
        <v/>
      </c>
    </row>
    <row r="6728" customFormat="false" ht="15" hidden="false" customHeight="false" outlineLevel="0" collapsed="false">
      <c r="V6728" s="23" t="str">
        <f aca="false">IF(ISNUMBER(C6728),YEAR(C6728),"")</f>
        <v/>
      </c>
      <c r="W6728" s="23" t="str">
        <f aca="false">IF(ISNUMBER(C6728),MONTH(C6728),"")</f>
        <v/>
      </c>
      <c r="X6728" s="23" t="str">
        <f aca="false">IF(T6728="","",IF(T6728=0,"No discount",IF(T6728&lt;=0.2,"Low (1-20%)",IF(T6728&lt;=0.4,"Medium (21-40%)","High (&gt;40%)"))))</f>
        <v/>
      </c>
      <c r="Y6728" s="23" t="str">
        <f aca="false">IF(AND(ISNUMBER(C6728),ISNUMBER(D6728)),D6728-C6728,"")</f>
        <v/>
      </c>
      <c r="Z6728" s="23" t="str">
        <f aca="false">IF(B6728="","",IF(MATCH(B6728,$B$2:$B$12000,0)=ROW()-1,1,0))</f>
        <v/>
      </c>
    </row>
    <row r="6729" customFormat="false" ht="15" hidden="false" customHeight="false" outlineLevel="0" collapsed="false">
      <c r="V6729" s="23" t="str">
        <f aca="false">IF(ISNUMBER(C6729),YEAR(C6729),"")</f>
        <v/>
      </c>
      <c r="W6729" s="23" t="str">
        <f aca="false">IF(ISNUMBER(C6729),MONTH(C6729),"")</f>
        <v/>
      </c>
      <c r="X6729" s="23" t="str">
        <f aca="false">IF(T6729="","",IF(T6729=0,"No discount",IF(T6729&lt;=0.2,"Low (1-20%)",IF(T6729&lt;=0.4,"Medium (21-40%)","High (&gt;40%)"))))</f>
        <v/>
      </c>
      <c r="Y6729" s="23" t="str">
        <f aca="false">IF(AND(ISNUMBER(C6729),ISNUMBER(D6729)),D6729-C6729,"")</f>
        <v/>
      </c>
      <c r="Z6729" s="23" t="str">
        <f aca="false">IF(B6729="","",IF(MATCH(B6729,$B$2:$B$12000,0)=ROW()-1,1,0))</f>
        <v/>
      </c>
    </row>
    <row r="6730" customFormat="false" ht="15" hidden="false" customHeight="false" outlineLevel="0" collapsed="false">
      <c r="V6730" s="23" t="str">
        <f aca="false">IF(ISNUMBER(C6730),YEAR(C6730),"")</f>
        <v/>
      </c>
      <c r="W6730" s="23" t="str">
        <f aca="false">IF(ISNUMBER(C6730),MONTH(C6730),"")</f>
        <v/>
      </c>
      <c r="X6730" s="23" t="str">
        <f aca="false">IF(T6730="","",IF(T6730=0,"No discount",IF(T6730&lt;=0.2,"Low (1-20%)",IF(T6730&lt;=0.4,"Medium (21-40%)","High (&gt;40%)"))))</f>
        <v/>
      </c>
      <c r="Y6730" s="23" t="str">
        <f aca="false">IF(AND(ISNUMBER(C6730),ISNUMBER(D6730)),D6730-C6730,"")</f>
        <v/>
      </c>
      <c r="Z6730" s="23" t="str">
        <f aca="false">IF(B6730="","",IF(MATCH(B6730,$B$2:$B$12000,0)=ROW()-1,1,0))</f>
        <v/>
      </c>
    </row>
    <row r="6731" customFormat="false" ht="15" hidden="false" customHeight="false" outlineLevel="0" collapsed="false">
      <c r="V6731" s="23" t="str">
        <f aca="false">IF(ISNUMBER(C6731),YEAR(C6731),"")</f>
        <v/>
      </c>
      <c r="W6731" s="23" t="str">
        <f aca="false">IF(ISNUMBER(C6731),MONTH(C6731),"")</f>
        <v/>
      </c>
      <c r="X6731" s="23" t="str">
        <f aca="false">IF(T6731="","",IF(T6731=0,"No discount",IF(T6731&lt;=0.2,"Low (1-20%)",IF(T6731&lt;=0.4,"Medium (21-40%)","High (&gt;40%)"))))</f>
        <v/>
      </c>
      <c r="Y6731" s="23" t="str">
        <f aca="false">IF(AND(ISNUMBER(C6731),ISNUMBER(D6731)),D6731-C6731,"")</f>
        <v/>
      </c>
      <c r="Z6731" s="23" t="str">
        <f aca="false">IF(B6731="","",IF(MATCH(B6731,$B$2:$B$12000,0)=ROW()-1,1,0))</f>
        <v/>
      </c>
    </row>
    <row r="6732" customFormat="false" ht="15" hidden="false" customHeight="false" outlineLevel="0" collapsed="false">
      <c r="V6732" s="23" t="str">
        <f aca="false">IF(ISNUMBER(C6732),YEAR(C6732),"")</f>
        <v/>
      </c>
      <c r="W6732" s="23" t="str">
        <f aca="false">IF(ISNUMBER(C6732),MONTH(C6732),"")</f>
        <v/>
      </c>
      <c r="X6732" s="23" t="str">
        <f aca="false">IF(T6732="","",IF(T6732=0,"No discount",IF(T6732&lt;=0.2,"Low (1-20%)",IF(T6732&lt;=0.4,"Medium (21-40%)","High (&gt;40%)"))))</f>
        <v/>
      </c>
      <c r="Y6732" s="23" t="str">
        <f aca="false">IF(AND(ISNUMBER(C6732),ISNUMBER(D6732)),D6732-C6732,"")</f>
        <v/>
      </c>
      <c r="Z6732" s="23" t="str">
        <f aca="false">IF(B6732="","",IF(MATCH(B6732,$B$2:$B$12000,0)=ROW()-1,1,0))</f>
        <v/>
      </c>
    </row>
    <row r="6733" customFormat="false" ht="15" hidden="false" customHeight="false" outlineLevel="0" collapsed="false">
      <c r="V6733" s="23" t="str">
        <f aca="false">IF(ISNUMBER(C6733),YEAR(C6733),"")</f>
        <v/>
      </c>
      <c r="W6733" s="23" t="str">
        <f aca="false">IF(ISNUMBER(C6733),MONTH(C6733),"")</f>
        <v/>
      </c>
      <c r="X6733" s="23" t="str">
        <f aca="false">IF(T6733="","",IF(T6733=0,"No discount",IF(T6733&lt;=0.2,"Low (1-20%)",IF(T6733&lt;=0.4,"Medium (21-40%)","High (&gt;40%)"))))</f>
        <v/>
      </c>
      <c r="Y6733" s="23" t="str">
        <f aca="false">IF(AND(ISNUMBER(C6733),ISNUMBER(D6733)),D6733-C6733,"")</f>
        <v/>
      </c>
      <c r="Z6733" s="23" t="str">
        <f aca="false">IF(B6733="","",IF(MATCH(B6733,$B$2:$B$12000,0)=ROW()-1,1,0))</f>
        <v/>
      </c>
    </row>
    <row r="6734" customFormat="false" ht="15" hidden="false" customHeight="false" outlineLevel="0" collapsed="false">
      <c r="V6734" s="23" t="str">
        <f aca="false">IF(ISNUMBER(C6734),YEAR(C6734),"")</f>
        <v/>
      </c>
      <c r="W6734" s="23" t="str">
        <f aca="false">IF(ISNUMBER(C6734),MONTH(C6734),"")</f>
        <v/>
      </c>
      <c r="X6734" s="23" t="str">
        <f aca="false">IF(T6734="","",IF(T6734=0,"No discount",IF(T6734&lt;=0.2,"Low (1-20%)",IF(T6734&lt;=0.4,"Medium (21-40%)","High (&gt;40%)"))))</f>
        <v/>
      </c>
      <c r="Y6734" s="23" t="str">
        <f aca="false">IF(AND(ISNUMBER(C6734),ISNUMBER(D6734)),D6734-C6734,"")</f>
        <v/>
      </c>
      <c r="Z6734" s="23" t="str">
        <f aca="false">IF(B6734="","",IF(MATCH(B6734,$B$2:$B$12000,0)=ROW()-1,1,0))</f>
        <v/>
      </c>
    </row>
    <row r="6735" customFormat="false" ht="15" hidden="false" customHeight="false" outlineLevel="0" collapsed="false">
      <c r="V6735" s="23" t="str">
        <f aca="false">IF(ISNUMBER(C6735),YEAR(C6735),"")</f>
        <v/>
      </c>
      <c r="W6735" s="23" t="str">
        <f aca="false">IF(ISNUMBER(C6735),MONTH(C6735),"")</f>
        <v/>
      </c>
      <c r="X6735" s="23" t="str">
        <f aca="false">IF(T6735="","",IF(T6735=0,"No discount",IF(T6735&lt;=0.2,"Low (1-20%)",IF(T6735&lt;=0.4,"Medium (21-40%)","High (&gt;40%)"))))</f>
        <v/>
      </c>
      <c r="Y6735" s="23" t="str">
        <f aca="false">IF(AND(ISNUMBER(C6735),ISNUMBER(D6735)),D6735-C6735,"")</f>
        <v/>
      </c>
      <c r="Z6735" s="23" t="str">
        <f aca="false">IF(B6735="","",IF(MATCH(B6735,$B$2:$B$12000,0)=ROW()-1,1,0))</f>
        <v/>
      </c>
    </row>
    <row r="6736" customFormat="false" ht="15" hidden="false" customHeight="false" outlineLevel="0" collapsed="false">
      <c r="V6736" s="23" t="str">
        <f aca="false">IF(ISNUMBER(C6736),YEAR(C6736),"")</f>
        <v/>
      </c>
      <c r="W6736" s="23" t="str">
        <f aca="false">IF(ISNUMBER(C6736),MONTH(C6736),"")</f>
        <v/>
      </c>
      <c r="X6736" s="23" t="str">
        <f aca="false">IF(T6736="","",IF(T6736=0,"No discount",IF(T6736&lt;=0.2,"Low (1-20%)",IF(T6736&lt;=0.4,"Medium (21-40%)","High (&gt;40%)"))))</f>
        <v/>
      </c>
      <c r="Y6736" s="23" t="str">
        <f aca="false">IF(AND(ISNUMBER(C6736),ISNUMBER(D6736)),D6736-C6736,"")</f>
        <v/>
      </c>
      <c r="Z6736" s="23" t="str">
        <f aca="false">IF(B6736="","",IF(MATCH(B6736,$B$2:$B$12000,0)=ROW()-1,1,0))</f>
        <v/>
      </c>
    </row>
    <row r="6737" customFormat="false" ht="15" hidden="false" customHeight="false" outlineLevel="0" collapsed="false">
      <c r="V6737" s="23" t="str">
        <f aca="false">IF(ISNUMBER(C6737),YEAR(C6737),"")</f>
        <v/>
      </c>
      <c r="W6737" s="23" t="str">
        <f aca="false">IF(ISNUMBER(C6737),MONTH(C6737),"")</f>
        <v/>
      </c>
      <c r="X6737" s="23" t="str">
        <f aca="false">IF(T6737="","",IF(T6737=0,"No discount",IF(T6737&lt;=0.2,"Low (1-20%)",IF(T6737&lt;=0.4,"Medium (21-40%)","High (&gt;40%)"))))</f>
        <v/>
      </c>
      <c r="Y6737" s="23" t="str">
        <f aca="false">IF(AND(ISNUMBER(C6737),ISNUMBER(D6737)),D6737-C6737,"")</f>
        <v/>
      </c>
      <c r="Z6737" s="23" t="str">
        <f aca="false">IF(B6737="","",IF(MATCH(B6737,$B$2:$B$12000,0)=ROW()-1,1,0))</f>
        <v/>
      </c>
    </row>
    <row r="6738" customFormat="false" ht="15" hidden="false" customHeight="false" outlineLevel="0" collapsed="false">
      <c r="V6738" s="23" t="str">
        <f aca="false">IF(ISNUMBER(C6738),YEAR(C6738),"")</f>
        <v/>
      </c>
      <c r="W6738" s="23" t="str">
        <f aca="false">IF(ISNUMBER(C6738),MONTH(C6738),"")</f>
        <v/>
      </c>
      <c r="X6738" s="23" t="str">
        <f aca="false">IF(T6738="","",IF(T6738=0,"No discount",IF(T6738&lt;=0.2,"Low (1-20%)",IF(T6738&lt;=0.4,"Medium (21-40%)","High (&gt;40%)"))))</f>
        <v/>
      </c>
      <c r="Y6738" s="23" t="str">
        <f aca="false">IF(AND(ISNUMBER(C6738),ISNUMBER(D6738)),D6738-C6738,"")</f>
        <v/>
      </c>
      <c r="Z6738" s="23" t="str">
        <f aca="false">IF(B6738="","",IF(MATCH(B6738,$B$2:$B$12000,0)=ROW()-1,1,0))</f>
        <v/>
      </c>
    </row>
    <row r="6739" customFormat="false" ht="15" hidden="false" customHeight="false" outlineLevel="0" collapsed="false">
      <c r="V6739" s="23" t="str">
        <f aca="false">IF(ISNUMBER(C6739),YEAR(C6739),"")</f>
        <v/>
      </c>
      <c r="W6739" s="23" t="str">
        <f aca="false">IF(ISNUMBER(C6739),MONTH(C6739),"")</f>
        <v/>
      </c>
      <c r="X6739" s="23" t="str">
        <f aca="false">IF(T6739="","",IF(T6739=0,"No discount",IF(T6739&lt;=0.2,"Low (1-20%)",IF(T6739&lt;=0.4,"Medium (21-40%)","High (&gt;40%)"))))</f>
        <v/>
      </c>
      <c r="Y6739" s="23" t="str">
        <f aca="false">IF(AND(ISNUMBER(C6739),ISNUMBER(D6739)),D6739-C6739,"")</f>
        <v/>
      </c>
      <c r="Z6739" s="23" t="str">
        <f aca="false">IF(B6739="","",IF(MATCH(B6739,$B$2:$B$12000,0)=ROW()-1,1,0))</f>
        <v/>
      </c>
    </row>
    <row r="6740" customFormat="false" ht="15" hidden="false" customHeight="false" outlineLevel="0" collapsed="false">
      <c r="V6740" s="23" t="str">
        <f aca="false">IF(ISNUMBER(C6740),YEAR(C6740),"")</f>
        <v/>
      </c>
      <c r="W6740" s="23" t="str">
        <f aca="false">IF(ISNUMBER(C6740),MONTH(C6740),"")</f>
        <v/>
      </c>
      <c r="X6740" s="23" t="str">
        <f aca="false">IF(T6740="","",IF(T6740=0,"No discount",IF(T6740&lt;=0.2,"Low (1-20%)",IF(T6740&lt;=0.4,"Medium (21-40%)","High (&gt;40%)"))))</f>
        <v/>
      </c>
      <c r="Y6740" s="23" t="str">
        <f aca="false">IF(AND(ISNUMBER(C6740),ISNUMBER(D6740)),D6740-C6740,"")</f>
        <v/>
      </c>
      <c r="Z6740" s="23" t="str">
        <f aca="false">IF(B6740="","",IF(MATCH(B6740,$B$2:$B$12000,0)=ROW()-1,1,0))</f>
        <v/>
      </c>
    </row>
    <row r="6741" customFormat="false" ht="15" hidden="false" customHeight="false" outlineLevel="0" collapsed="false">
      <c r="V6741" s="23" t="str">
        <f aca="false">IF(ISNUMBER(C6741),YEAR(C6741),"")</f>
        <v/>
      </c>
      <c r="W6741" s="23" t="str">
        <f aca="false">IF(ISNUMBER(C6741),MONTH(C6741),"")</f>
        <v/>
      </c>
      <c r="X6741" s="23" t="str">
        <f aca="false">IF(T6741="","",IF(T6741=0,"No discount",IF(T6741&lt;=0.2,"Low (1-20%)",IF(T6741&lt;=0.4,"Medium (21-40%)","High (&gt;40%)"))))</f>
        <v/>
      </c>
      <c r="Y6741" s="23" t="str">
        <f aca="false">IF(AND(ISNUMBER(C6741),ISNUMBER(D6741)),D6741-C6741,"")</f>
        <v/>
      </c>
      <c r="Z6741" s="23" t="str">
        <f aca="false">IF(B6741="","",IF(MATCH(B6741,$B$2:$B$12000,0)=ROW()-1,1,0))</f>
        <v/>
      </c>
    </row>
    <row r="6742" customFormat="false" ht="15" hidden="false" customHeight="false" outlineLevel="0" collapsed="false">
      <c r="V6742" s="23" t="str">
        <f aca="false">IF(ISNUMBER(C6742),YEAR(C6742),"")</f>
        <v/>
      </c>
      <c r="W6742" s="23" t="str">
        <f aca="false">IF(ISNUMBER(C6742),MONTH(C6742),"")</f>
        <v/>
      </c>
      <c r="X6742" s="23" t="str">
        <f aca="false">IF(T6742="","",IF(T6742=0,"No discount",IF(T6742&lt;=0.2,"Low (1-20%)",IF(T6742&lt;=0.4,"Medium (21-40%)","High (&gt;40%)"))))</f>
        <v/>
      </c>
      <c r="Y6742" s="23" t="str">
        <f aca="false">IF(AND(ISNUMBER(C6742),ISNUMBER(D6742)),D6742-C6742,"")</f>
        <v/>
      </c>
      <c r="Z6742" s="23" t="str">
        <f aca="false">IF(B6742="","",IF(MATCH(B6742,$B$2:$B$12000,0)=ROW()-1,1,0))</f>
        <v/>
      </c>
    </row>
    <row r="6743" customFormat="false" ht="15" hidden="false" customHeight="false" outlineLevel="0" collapsed="false">
      <c r="V6743" s="23" t="str">
        <f aca="false">IF(ISNUMBER(C6743),YEAR(C6743),"")</f>
        <v/>
      </c>
      <c r="W6743" s="23" t="str">
        <f aca="false">IF(ISNUMBER(C6743),MONTH(C6743),"")</f>
        <v/>
      </c>
      <c r="X6743" s="23" t="str">
        <f aca="false">IF(T6743="","",IF(T6743=0,"No discount",IF(T6743&lt;=0.2,"Low (1-20%)",IF(T6743&lt;=0.4,"Medium (21-40%)","High (&gt;40%)"))))</f>
        <v/>
      </c>
      <c r="Y6743" s="23" t="str">
        <f aca="false">IF(AND(ISNUMBER(C6743),ISNUMBER(D6743)),D6743-C6743,"")</f>
        <v/>
      </c>
      <c r="Z6743" s="23" t="str">
        <f aca="false">IF(B6743="","",IF(MATCH(B6743,$B$2:$B$12000,0)=ROW()-1,1,0))</f>
        <v/>
      </c>
    </row>
    <row r="6744" customFormat="false" ht="15" hidden="false" customHeight="false" outlineLevel="0" collapsed="false">
      <c r="V6744" s="23" t="str">
        <f aca="false">IF(ISNUMBER(C6744),YEAR(C6744),"")</f>
        <v/>
      </c>
      <c r="W6744" s="23" t="str">
        <f aca="false">IF(ISNUMBER(C6744),MONTH(C6744),"")</f>
        <v/>
      </c>
      <c r="X6744" s="23" t="str">
        <f aca="false">IF(T6744="","",IF(T6744=0,"No discount",IF(T6744&lt;=0.2,"Low (1-20%)",IF(T6744&lt;=0.4,"Medium (21-40%)","High (&gt;40%)"))))</f>
        <v/>
      </c>
      <c r="Y6744" s="23" t="str">
        <f aca="false">IF(AND(ISNUMBER(C6744),ISNUMBER(D6744)),D6744-C6744,"")</f>
        <v/>
      </c>
      <c r="Z6744" s="23" t="str">
        <f aca="false">IF(B6744="","",IF(MATCH(B6744,$B$2:$B$12000,0)=ROW()-1,1,0))</f>
        <v/>
      </c>
    </row>
    <row r="6745" customFormat="false" ht="15" hidden="false" customHeight="false" outlineLevel="0" collapsed="false">
      <c r="V6745" s="23" t="str">
        <f aca="false">IF(ISNUMBER(C6745),YEAR(C6745),"")</f>
        <v/>
      </c>
      <c r="W6745" s="23" t="str">
        <f aca="false">IF(ISNUMBER(C6745),MONTH(C6745),"")</f>
        <v/>
      </c>
      <c r="X6745" s="23" t="str">
        <f aca="false">IF(T6745="","",IF(T6745=0,"No discount",IF(T6745&lt;=0.2,"Low (1-20%)",IF(T6745&lt;=0.4,"Medium (21-40%)","High (&gt;40%)"))))</f>
        <v/>
      </c>
      <c r="Y6745" s="23" t="str">
        <f aca="false">IF(AND(ISNUMBER(C6745),ISNUMBER(D6745)),D6745-C6745,"")</f>
        <v/>
      </c>
      <c r="Z6745" s="23" t="str">
        <f aca="false">IF(B6745="","",IF(MATCH(B6745,$B$2:$B$12000,0)=ROW()-1,1,0))</f>
        <v/>
      </c>
    </row>
    <row r="6746" customFormat="false" ht="15" hidden="false" customHeight="false" outlineLevel="0" collapsed="false">
      <c r="V6746" s="23" t="str">
        <f aca="false">IF(ISNUMBER(C6746),YEAR(C6746),"")</f>
        <v/>
      </c>
      <c r="W6746" s="23" t="str">
        <f aca="false">IF(ISNUMBER(C6746),MONTH(C6746),"")</f>
        <v/>
      </c>
      <c r="X6746" s="23" t="str">
        <f aca="false">IF(T6746="","",IF(T6746=0,"No discount",IF(T6746&lt;=0.2,"Low (1-20%)",IF(T6746&lt;=0.4,"Medium (21-40%)","High (&gt;40%)"))))</f>
        <v/>
      </c>
      <c r="Y6746" s="23" t="str">
        <f aca="false">IF(AND(ISNUMBER(C6746),ISNUMBER(D6746)),D6746-C6746,"")</f>
        <v/>
      </c>
      <c r="Z6746" s="23" t="str">
        <f aca="false">IF(B6746="","",IF(MATCH(B6746,$B$2:$B$12000,0)=ROW()-1,1,0))</f>
        <v/>
      </c>
    </row>
    <row r="6747" customFormat="false" ht="15" hidden="false" customHeight="false" outlineLevel="0" collapsed="false">
      <c r="V6747" s="23" t="str">
        <f aca="false">IF(ISNUMBER(C6747),YEAR(C6747),"")</f>
        <v/>
      </c>
      <c r="W6747" s="23" t="str">
        <f aca="false">IF(ISNUMBER(C6747),MONTH(C6747),"")</f>
        <v/>
      </c>
      <c r="X6747" s="23" t="str">
        <f aca="false">IF(T6747="","",IF(T6747=0,"No discount",IF(T6747&lt;=0.2,"Low (1-20%)",IF(T6747&lt;=0.4,"Medium (21-40%)","High (&gt;40%)"))))</f>
        <v/>
      </c>
      <c r="Y6747" s="23" t="str">
        <f aca="false">IF(AND(ISNUMBER(C6747),ISNUMBER(D6747)),D6747-C6747,"")</f>
        <v/>
      </c>
      <c r="Z6747" s="23" t="str">
        <f aca="false">IF(B6747="","",IF(MATCH(B6747,$B$2:$B$12000,0)=ROW()-1,1,0))</f>
        <v/>
      </c>
    </row>
    <row r="6748" customFormat="false" ht="15" hidden="false" customHeight="false" outlineLevel="0" collapsed="false">
      <c r="V6748" s="23" t="str">
        <f aca="false">IF(ISNUMBER(C6748),YEAR(C6748),"")</f>
        <v/>
      </c>
      <c r="W6748" s="23" t="str">
        <f aca="false">IF(ISNUMBER(C6748),MONTH(C6748),"")</f>
        <v/>
      </c>
      <c r="X6748" s="23" t="str">
        <f aca="false">IF(T6748="","",IF(T6748=0,"No discount",IF(T6748&lt;=0.2,"Low (1-20%)",IF(T6748&lt;=0.4,"Medium (21-40%)","High (&gt;40%)"))))</f>
        <v/>
      </c>
      <c r="Y6748" s="23" t="str">
        <f aca="false">IF(AND(ISNUMBER(C6748),ISNUMBER(D6748)),D6748-C6748,"")</f>
        <v/>
      </c>
      <c r="Z6748" s="23" t="str">
        <f aca="false">IF(B6748="","",IF(MATCH(B6748,$B$2:$B$12000,0)=ROW()-1,1,0))</f>
        <v/>
      </c>
    </row>
    <row r="6749" customFormat="false" ht="15" hidden="false" customHeight="false" outlineLevel="0" collapsed="false">
      <c r="V6749" s="23" t="str">
        <f aca="false">IF(ISNUMBER(C6749),YEAR(C6749),"")</f>
        <v/>
      </c>
      <c r="W6749" s="23" t="str">
        <f aca="false">IF(ISNUMBER(C6749),MONTH(C6749),"")</f>
        <v/>
      </c>
      <c r="X6749" s="23" t="str">
        <f aca="false">IF(T6749="","",IF(T6749=0,"No discount",IF(T6749&lt;=0.2,"Low (1-20%)",IF(T6749&lt;=0.4,"Medium (21-40%)","High (&gt;40%)"))))</f>
        <v/>
      </c>
      <c r="Y6749" s="23" t="str">
        <f aca="false">IF(AND(ISNUMBER(C6749),ISNUMBER(D6749)),D6749-C6749,"")</f>
        <v/>
      </c>
      <c r="Z6749" s="23" t="str">
        <f aca="false">IF(B6749="","",IF(MATCH(B6749,$B$2:$B$12000,0)=ROW()-1,1,0))</f>
        <v/>
      </c>
    </row>
    <row r="6750" customFormat="false" ht="15" hidden="false" customHeight="false" outlineLevel="0" collapsed="false">
      <c r="V6750" s="23" t="str">
        <f aca="false">IF(ISNUMBER(C6750),YEAR(C6750),"")</f>
        <v/>
      </c>
      <c r="W6750" s="23" t="str">
        <f aca="false">IF(ISNUMBER(C6750),MONTH(C6750),"")</f>
        <v/>
      </c>
      <c r="X6750" s="23" t="str">
        <f aca="false">IF(T6750="","",IF(T6750=0,"No discount",IF(T6750&lt;=0.2,"Low (1-20%)",IF(T6750&lt;=0.4,"Medium (21-40%)","High (&gt;40%)"))))</f>
        <v/>
      </c>
      <c r="Y6750" s="23" t="str">
        <f aca="false">IF(AND(ISNUMBER(C6750),ISNUMBER(D6750)),D6750-C6750,"")</f>
        <v/>
      </c>
      <c r="Z6750" s="23" t="str">
        <f aca="false">IF(B6750="","",IF(MATCH(B6750,$B$2:$B$12000,0)=ROW()-1,1,0))</f>
        <v/>
      </c>
    </row>
    <row r="6751" customFormat="false" ht="15" hidden="false" customHeight="false" outlineLevel="0" collapsed="false">
      <c r="V6751" s="23" t="str">
        <f aca="false">IF(ISNUMBER(C6751),YEAR(C6751),"")</f>
        <v/>
      </c>
      <c r="W6751" s="23" t="str">
        <f aca="false">IF(ISNUMBER(C6751),MONTH(C6751),"")</f>
        <v/>
      </c>
      <c r="X6751" s="23" t="str">
        <f aca="false">IF(T6751="","",IF(T6751=0,"No discount",IF(T6751&lt;=0.2,"Low (1-20%)",IF(T6751&lt;=0.4,"Medium (21-40%)","High (&gt;40%)"))))</f>
        <v/>
      </c>
      <c r="Y6751" s="23" t="str">
        <f aca="false">IF(AND(ISNUMBER(C6751),ISNUMBER(D6751)),D6751-C6751,"")</f>
        <v/>
      </c>
      <c r="Z6751" s="23" t="str">
        <f aca="false">IF(B6751="","",IF(MATCH(B6751,$B$2:$B$12000,0)=ROW()-1,1,0))</f>
        <v/>
      </c>
    </row>
    <row r="6752" customFormat="false" ht="15" hidden="false" customHeight="false" outlineLevel="0" collapsed="false">
      <c r="V6752" s="23" t="str">
        <f aca="false">IF(ISNUMBER(C6752),YEAR(C6752),"")</f>
        <v/>
      </c>
      <c r="W6752" s="23" t="str">
        <f aca="false">IF(ISNUMBER(C6752),MONTH(C6752),"")</f>
        <v/>
      </c>
      <c r="X6752" s="23" t="str">
        <f aca="false">IF(T6752="","",IF(T6752=0,"No discount",IF(T6752&lt;=0.2,"Low (1-20%)",IF(T6752&lt;=0.4,"Medium (21-40%)","High (&gt;40%)"))))</f>
        <v/>
      </c>
      <c r="Y6752" s="23" t="str">
        <f aca="false">IF(AND(ISNUMBER(C6752),ISNUMBER(D6752)),D6752-C6752,"")</f>
        <v/>
      </c>
      <c r="Z6752" s="23" t="str">
        <f aca="false">IF(B6752="","",IF(MATCH(B6752,$B$2:$B$12000,0)=ROW()-1,1,0))</f>
        <v/>
      </c>
    </row>
    <row r="6753" customFormat="false" ht="15" hidden="false" customHeight="false" outlineLevel="0" collapsed="false">
      <c r="V6753" s="23" t="str">
        <f aca="false">IF(ISNUMBER(C6753),YEAR(C6753),"")</f>
        <v/>
      </c>
      <c r="W6753" s="23" t="str">
        <f aca="false">IF(ISNUMBER(C6753),MONTH(C6753),"")</f>
        <v/>
      </c>
      <c r="X6753" s="23" t="str">
        <f aca="false">IF(T6753="","",IF(T6753=0,"No discount",IF(T6753&lt;=0.2,"Low (1-20%)",IF(T6753&lt;=0.4,"Medium (21-40%)","High (&gt;40%)"))))</f>
        <v/>
      </c>
      <c r="Y6753" s="23" t="str">
        <f aca="false">IF(AND(ISNUMBER(C6753),ISNUMBER(D6753)),D6753-C6753,"")</f>
        <v/>
      </c>
      <c r="Z6753" s="23" t="str">
        <f aca="false">IF(B6753="","",IF(MATCH(B6753,$B$2:$B$12000,0)=ROW()-1,1,0))</f>
        <v/>
      </c>
    </row>
    <row r="6754" customFormat="false" ht="15" hidden="false" customHeight="false" outlineLevel="0" collapsed="false">
      <c r="V6754" s="23" t="str">
        <f aca="false">IF(ISNUMBER(C6754),YEAR(C6754),"")</f>
        <v/>
      </c>
      <c r="W6754" s="23" t="str">
        <f aca="false">IF(ISNUMBER(C6754),MONTH(C6754),"")</f>
        <v/>
      </c>
      <c r="X6754" s="23" t="str">
        <f aca="false">IF(T6754="","",IF(T6754=0,"No discount",IF(T6754&lt;=0.2,"Low (1-20%)",IF(T6754&lt;=0.4,"Medium (21-40%)","High (&gt;40%)"))))</f>
        <v/>
      </c>
      <c r="Y6754" s="23" t="str">
        <f aca="false">IF(AND(ISNUMBER(C6754),ISNUMBER(D6754)),D6754-C6754,"")</f>
        <v/>
      </c>
      <c r="Z6754" s="23" t="str">
        <f aca="false">IF(B6754="","",IF(MATCH(B6754,$B$2:$B$12000,0)=ROW()-1,1,0))</f>
        <v/>
      </c>
    </row>
    <row r="6755" customFormat="false" ht="15" hidden="false" customHeight="false" outlineLevel="0" collapsed="false">
      <c r="V6755" s="23" t="str">
        <f aca="false">IF(ISNUMBER(C6755),YEAR(C6755),"")</f>
        <v/>
      </c>
      <c r="W6755" s="23" t="str">
        <f aca="false">IF(ISNUMBER(C6755),MONTH(C6755),"")</f>
        <v/>
      </c>
      <c r="X6755" s="23" t="str">
        <f aca="false">IF(T6755="","",IF(T6755=0,"No discount",IF(T6755&lt;=0.2,"Low (1-20%)",IF(T6755&lt;=0.4,"Medium (21-40%)","High (&gt;40%)"))))</f>
        <v/>
      </c>
      <c r="Y6755" s="23" t="str">
        <f aca="false">IF(AND(ISNUMBER(C6755),ISNUMBER(D6755)),D6755-C6755,"")</f>
        <v/>
      </c>
      <c r="Z6755" s="23" t="str">
        <f aca="false">IF(B6755="","",IF(MATCH(B6755,$B$2:$B$12000,0)=ROW()-1,1,0))</f>
        <v/>
      </c>
    </row>
    <row r="6756" customFormat="false" ht="15" hidden="false" customHeight="false" outlineLevel="0" collapsed="false">
      <c r="V6756" s="23" t="str">
        <f aca="false">IF(ISNUMBER(C6756),YEAR(C6756),"")</f>
        <v/>
      </c>
      <c r="W6756" s="23" t="str">
        <f aca="false">IF(ISNUMBER(C6756),MONTH(C6756),"")</f>
        <v/>
      </c>
      <c r="X6756" s="23" t="str">
        <f aca="false">IF(T6756="","",IF(T6756=0,"No discount",IF(T6756&lt;=0.2,"Low (1-20%)",IF(T6756&lt;=0.4,"Medium (21-40%)","High (&gt;40%)"))))</f>
        <v/>
      </c>
      <c r="Y6756" s="23" t="str">
        <f aca="false">IF(AND(ISNUMBER(C6756),ISNUMBER(D6756)),D6756-C6756,"")</f>
        <v/>
      </c>
      <c r="Z6756" s="23" t="str">
        <f aca="false">IF(B6756="","",IF(MATCH(B6756,$B$2:$B$12000,0)=ROW()-1,1,0))</f>
        <v/>
      </c>
    </row>
    <row r="6757" customFormat="false" ht="15" hidden="false" customHeight="false" outlineLevel="0" collapsed="false">
      <c r="V6757" s="23" t="str">
        <f aca="false">IF(ISNUMBER(C6757),YEAR(C6757),"")</f>
        <v/>
      </c>
      <c r="W6757" s="23" t="str">
        <f aca="false">IF(ISNUMBER(C6757),MONTH(C6757),"")</f>
        <v/>
      </c>
      <c r="X6757" s="23" t="str">
        <f aca="false">IF(T6757="","",IF(T6757=0,"No discount",IF(T6757&lt;=0.2,"Low (1-20%)",IF(T6757&lt;=0.4,"Medium (21-40%)","High (&gt;40%)"))))</f>
        <v/>
      </c>
      <c r="Y6757" s="23" t="str">
        <f aca="false">IF(AND(ISNUMBER(C6757),ISNUMBER(D6757)),D6757-C6757,"")</f>
        <v/>
      </c>
      <c r="Z6757" s="23" t="str">
        <f aca="false">IF(B6757="","",IF(MATCH(B6757,$B$2:$B$12000,0)=ROW()-1,1,0))</f>
        <v/>
      </c>
    </row>
    <row r="6758" customFormat="false" ht="15" hidden="false" customHeight="false" outlineLevel="0" collapsed="false">
      <c r="V6758" s="23" t="str">
        <f aca="false">IF(ISNUMBER(C6758),YEAR(C6758),"")</f>
        <v/>
      </c>
      <c r="W6758" s="23" t="str">
        <f aca="false">IF(ISNUMBER(C6758),MONTH(C6758),"")</f>
        <v/>
      </c>
      <c r="X6758" s="23" t="str">
        <f aca="false">IF(T6758="","",IF(T6758=0,"No discount",IF(T6758&lt;=0.2,"Low (1-20%)",IF(T6758&lt;=0.4,"Medium (21-40%)","High (&gt;40%)"))))</f>
        <v/>
      </c>
      <c r="Y6758" s="23" t="str">
        <f aca="false">IF(AND(ISNUMBER(C6758),ISNUMBER(D6758)),D6758-C6758,"")</f>
        <v/>
      </c>
      <c r="Z6758" s="23" t="str">
        <f aca="false">IF(B6758="","",IF(MATCH(B6758,$B$2:$B$12000,0)=ROW()-1,1,0))</f>
        <v/>
      </c>
    </row>
    <row r="6759" customFormat="false" ht="15" hidden="false" customHeight="false" outlineLevel="0" collapsed="false">
      <c r="V6759" s="23" t="str">
        <f aca="false">IF(ISNUMBER(C6759),YEAR(C6759),"")</f>
        <v/>
      </c>
      <c r="W6759" s="23" t="str">
        <f aca="false">IF(ISNUMBER(C6759),MONTH(C6759),"")</f>
        <v/>
      </c>
      <c r="X6759" s="23" t="str">
        <f aca="false">IF(T6759="","",IF(T6759=0,"No discount",IF(T6759&lt;=0.2,"Low (1-20%)",IF(T6759&lt;=0.4,"Medium (21-40%)","High (&gt;40%)"))))</f>
        <v/>
      </c>
      <c r="Y6759" s="23" t="str">
        <f aca="false">IF(AND(ISNUMBER(C6759),ISNUMBER(D6759)),D6759-C6759,"")</f>
        <v/>
      </c>
      <c r="Z6759" s="23" t="str">
        <f aca="false">IF(B6759="","",IF(MATCH(B6759,$B$2:$B$12000,0)=ROW()-1,1,0))</f>
        <v/>
      </c>
    </row>
    <row r="6760" customFormat="false" ht="15" hidden="false" customHeight="false" outlineLevel="0" collapsed="false">
      <c r="V6760" s="23" t="str">
        <f aca="false">IF(ISNUMBER(C6760),YEAR(C6760),"")</f>
        <v/>
      </c>
      <c r="W6760" s="23" t="str">
        <f aca="false">IF(ISNUMBER(C6760),MONTH(C6760),"")</f>
        <v/>
      </c>
      <c r="X6760" s="23" t="str">
        <f aca="false">IF(T6760="","",IF(T6760=0,"No discount",IF(T6760&lt;=0.2,"Low (1-20%)",IF(T6760&lt;=0.4,"Medium (21-40%)","High (&gt;40%)"))))</f>
        <v/>
      </c>
      <c r="Y6760" s="23" t="str">
        <f aca="false">IF(AND(ISNUMBER(C6760),ISNUMBER(D6760)),D6760-C6760,"")</f>
        <v/>
      </c>
      <c r="Z6760" s="23" t="str">
        <f aca="false">IF(B6760="","",IF(MATCH(B6760,$B$2:$B$12000,0)=ROW()-1,1,0))</f>
        <v/>
      </c>
    </row>
    <row r="6761" customFormat="false" ht="15" hidden="false" customHeight="false" outlineLevel="0" collapsed="false">
      <c r="V6761" s="23" t="str">
        <f aca="false">IF(ISNUMBER(C6761),YEAR(C6761),"")</f>
        <v/>
      </c>
      <c r="W6761" s="23" t="str">
        <f aca="false">IF(ISNUMBER(C6761),MONTH(C6761),"")</f>
        <v/>
      </c>
      <c r="X6761" s="23" t="str">
        <f aca="false">IF(T6761="","",IF(T6761=0,"No discount",IF(T6761&lt;=0.2,"Low (1-20%)",IF(T6761&lt;=0.4,"Medium (21-40%)","High (&gt;40%)"))))</f>
        <v/>
      </c>
      <c r="Y6761" s="23" t="str">
        <f aca="false">IF(AND(ISNUMBER(C6761),ISNUMBER(D6761)),D6761-C6761,"")</f>
        <v/>
      </c>
      <c r="Z6761" s="23" t="str">
        <f aca="false">IF(B6761="","",IF(MATCH(B6761,$B$2:$B$12000,0)=ROW()-1,1,0))</f>
        <v/>
      </c>
    </row>
    <row r="6762" customFormat="false" ht="15" hidden="false" customHeight="false" outlineLevel="0" collapsed="false">
      <c r="V6762" s="23" t="str">
        <f aca="false">IF(ISNUMBER(C6762),YEAR(C6762),"")</f>
        <v/>
      </c>
      <c r="W6762" s="23" t="str">
        <f aca="false">IF(ISNUMBER(C6762),MONTH(C6762),"")</f>
        <v/>
      </c>
      <c r="X6762" s="23" t="str">
        <f aca="false">IF(T6762="","",IF(T6762=0,"No discount",IF(T6762&lt;=0.2,"Low (1-20%)",IF(T6762&lt;=0.4,"Medium (21-40%)","High (&gt;40%)"))))</f>
        <v/>
      </c>
      <c r="Y6762" s="23" t="str">
        <f aca="false">IF(AND(ISNUMBER(C6762),ISNUMBER(D6762)),D6762-C6762,"")</f>
        <v/>
      </c>
      <c r="Z6762" s="23" t="str">
        <f aca="false">IF(B6762="","",IF(MATCH(B6762,$B$2:$B$12000,0)=ROW()-1,1,0))</f>
        <v/>
      </c>
    </row>
    <row r="6763" customFormat="false" ht="15" hidden="false" customHeight="false" outlineLevel="0" collapsed="false">
      <c r="V6763" s="23" t="str">
        <f aca="false">IF(ISNUMBER(C6763),YEAR(C6763),"")</f>
        <v/>
      </c>
      <c r="W6763" s="23" t="str">
        <f aca="false">IF(ISNUMBER(C6763),MONTH(C6763),"")</f>
        <v/>
      </c>
      <c r="X6763" s="23" t="str">
        <f aca="false">IF(T6763="","",IF(T6763=0,"No discount",IF(T6763&lt;=0.2,"Low (1-20%)",IF(T6763&lt;=0.4,"Medium (21-40%)","High (&gt;40%)"))))</f>
        <v/>
      </c>
      <c r="Y6763" s="23" t="str">
        <f aca="false">IF(AND(ISNUMBER(C6763),ISNUMBER(D6763)),D6763-C6763,"")</f>
        <v/>
      </c>
      <c r="Z6763" s="23" t="str">
        <f aca="false">IF(B6763="","",IF(MATCH(B6763,$B$2:$B$12000,0)=ROW()-1,1,0))</f>
        <v/>
      </c>
    </row>
    <row r="6764" customFormat="false" ht="15" hidden="false" customHeight="false" outlineLevel="0" collapsed="false">
      <c r="V6764" s="23" t="str">
        <f aca="false">IF(ISNUMBER(C6764),YEAR(C6764),"")</f>
        <v/>
      </c>
      <c r="W6764" s="23" t="str">
        <f aca="false">IF(ISNUMBER(C6764),MONTH(C6764),"")</f>
        <v/>
      </c>
      <c r="X6764" s="23" t="str">
        <f aca="false">IF(T6764="","",IF(T6764=0,"No discount",IF(T6764&lt;=0.2,"Low (1-20%)",IF(T6764&lt;=0.4,"Medium (21-40%)","High (&gt;40%)"))))</f>
        <v/>
      </c>
      <c r="Y6764" s="23" t="str">
        <f aca="false">IF(AND(ISNUMBER(C6764),ISNUMBER(D6764)),D6764-C6764,"")</f>
        <v/>
      </c>
      <c r="Z6764" s="23" t="str">
        <f aca="false">IF(B6764="","",IF(MATCH(B6764,$B$2:$B$12000,0)=ROW()-1,1,0))</f>
        <v/>
      </c>
    </row>
    <row r="6765" customFormat="false" ht="15" hidden="false" customHeight="false" outlineLevel="0" collapsed="false">
      <c r="V6765" s="23" t="str">
        <f aca="false">IF(ISNUMBER(C6765),YEAR(C6765),"")</f>
        <v/>
      </c>
      <c r="W6765" s="23" t="str">
        <f aca="false">IF(ISNUMBER(C6765),MONTH(C6765),"")</f>
        <v/>
      </c>
      <c r="X6765" s="23" t="str">
        <f aca="false">IF(T6765="","",IF(T6765=0,"No discount",IF(T6765&lt;=0.2,"Low (1-20%)",IF(T6765&lt;=0.4,"Medium (21-40%)","High (&gt;40%)"))))</f>
        <v/>
      </c>
      <c r="Y6765" s="23" t="str">
        <f aca="false">IF(AND(ISNUMBER(C6765),ISNUMBER(D6765)),D6765-C6765,"")</f>
        <v/>
      </c>
      <c r="Z6765" s="23" t="str">
        <f aca="false">IF(B6765="","",IF(MATCH(B6765,$B$2:$B$12000,0)=ROW()-1,1,0))</f>
        <v/>
      </c>
    </row>
    <row r="6766" customFormat="false" ht="15" hidden="false" customHeight="false" outlineLevel="0" collapsed="false">
      <c r="V6766" s="23" t="str">
        <f aca="false">IF(ISNUMBER(C6766),YEAR(C6766),"")</f>
        <v/>
      </c>
      <c r="W6766" s="23" t="str">
        <f aca="false">IF(ISNUMBER(C6766),MONTH(C6766),"")</f>
        <v/>
      </c>
      <c r="X6766" s="23" t="str">
        <f aca="false">IF(T6766="","",IF(T6766=0,"No discount",IF(T6766&lt;=0.2,"Low (1-20%)",IF(T6766&lt;=0.4,"Medium (21-40%)","High (&gt;40%)"))))</f>
        <v/>
      </c>
      <c r="Y6766" s="23" t="str">
        <f aca="false">IF(AND(ISNUMBER(C6766),ISNUMBER(D6766)),D6766-C6766,"")</f>
        <v/>
      </c>
      <c r="Z6766" s="23" t="str">
        <f aca="false">IF(B6766="","",IF(MATCH(B6766,$B$2:$B$12000,0)=ROW()-1,1,0))</f>
        <v/>
      </c>
    </row>
    <row r="6767" customFormat="false" ht="15" hidden="false" customHeight="false" outlineLevel="0" collapsed="false">
      <c r="V6767" s="23" t="str">
        <f aca="false">IF(ISNUMBER(C6767),YEAR(C6767),"")</f>
        <v/>
      </c>
      <c r="W6767" s="23" t="str">
        <f aca="false">IF(ISNUMBER(C6767),MONTH(C6767),"")</f>
        <v/>
      </c>
      <c r="X6767" s="23" t="str">
        <f aca="false">IF(T6767="","",IF(T6767=0,"No discount",IF(T6767&lt;=0.2,"Low (1-20%)",IF(T6767&lt;=0.4,"Medium (21-40%)","High (&gt;40%)"))))</f>
        <v/>
      </c>
      <c r="Y6767" s="23" t="str">
        <f aca="false">IF(AND(ISNUMBER(C6767),ISNUMBER(D6767)),D6767-C6767,"")</f>
        <v/>
      </c>
      <c r="Z6767" s="23" t="str">
        <f aca="false">IF(B6767="","",IF(MATCH(B6767,$B$2:$B$12000,0)=ROW()-1,1,0))</f>
        <v/>
      </c>
    </row>
    <row r="6768" customFormat="false" ht="15" hidden="false" customHeight="false" outlineLevel="0" collapsed="false">
      <c r="V6768" s="23" t="str">
        <f aca="false">IF(ISNUMBER(C6768),YEAR(C6768),"")</f>
        <v/>
      </c>
      <c r="W6768" s="23" t="str">
        <f aca="false">IF(ISNUMBER(C6768),MONTH(C6768),"")</f>
        <v/>
      </c>
      <c r="X6768" s="23" t="str">
        <f aca="false">IF(T6768="","",IF(T6768=0,"No discount",IF(T6768&lt;=0.2,"Low (1-20%)",IF(T6768&lt;=0.4,"Medium (21-40%)","High (&gt;40%)"))))</f>
        <v/>
      </c>
      <c r="Y6768" s="23" t="str">
        <f aca="false">IF(AND(ISNUMBER(C6768),ISNUMBER(D6768)),D6768-C6768,"")</f>
        <v/>
      </c>
      <c r="Z6768" s="23" t="str">
        <f aca="false">IF(B6768="","",IF(MATCH(B6768,$B$2:$B$12000,0)=ROW()-1,1,0))</f>
        <v/>
      </c>
    </row>
    <row r="6769" customFormat="false" ht="15" hidden="false" customHeight="false" outlineLevel="0" collapsed="false">
      <c r="V6769" s="23" t="str">
        <f aca="false">IF(ISNUMBER(C6769),YEAR(C6769),"")</f>
        <v/>
      </c>
      <c r="W6769" s="23" t="str">
        <f aca="false">IF(ISNUMBER(C6769),MONTH(C6769),"")</f>
        <v/>
      </c>
      <c r="X6769" s="23" t="str">
        <f aca="false">IF(T6769="","",IF(T6769=0,"No discount",IF(T6769&lt;=0.2,"Low (1-20%)",IF(T6769&lt;=0.4,"Medium (21-40%)","High (&gt;40%)"))))</f>
        <v/>
      </c>
      <c r="Y6769" s="23" t="str">
        <f aca="false">IF(AND(ISNUMBER(C6769),ISNUMBER(D6769)),D6769-C6769,"")</f>
        <v/>
      </c>
      <c r="Z6769" s="23" t="str">
        <f aca="false">IF(B6769="","",IF(MATCH(B6769,$B$2:$B$12000,0)=ROW()-1,1,0))</f>
        <v/>
      </c>
    </row>
    <row r="6770" customFormat="false" ht="15" hidden="false" customHeight="false" outlineLevel="0" collapsed="false">
      <c r="V6770" s="23" t="str">
        <f aca="false">IF(ISNUMBER(C6770),YEAR(C6770),"")</f>
        <v/>
      </c>
      <c r="W6770" s="23" t="str">
        <f aca="false">IF(ISNUMBER(C6770),MONTH(C6770),"")</f>
        <v/>
      </c>
      <c r="X6770" s="23" t="str">
        <f aca="false">IF(T6770="","",IF(T6770=0,"No discount",IF(T6770&lt;=0.2,"Low (1-20%)",IF(T6770&lt;=0.4,"Medium (21-40%)","High (&gt;40%)"))))</f>
        <v/>
      </c>
      <c r="Y6770" s="23" t="str">
        <f aca="false">IF(AND(ISNUMBER(C6770),ISNUMBER(D6770)),D6770-C6770,"")</f>
        <v/>
      </c>
      <c r="Z6770" s="23" t="str">
        <f aca="false">IF(B6770="","",IF(MATCH(B6770,$B$2:$B$12000,0)=ROW()-1,1,0))</f>
        <v/>
      </c>
    </row>
    <row r="6771" customFormat="false" ht="15" hidden="false" customHeight="false" outlineLevel="0" collapsed="false">
      <c r="V6771" s="23" t="str">
        <f aca="false">IF(ISNUMBER(C6771),YEAR(C6771),"")</f>
        <v/>
      </c>
      <c r="W6771" s="23" t="str">
        <f aca="false">IF(ISNUMBER(C6771),MONTH(C6771),"")</f>
        <v/>
      </c>
      <c r="X6771" s="23" t="str">
        <f aca="false">IF(T6771="","",IF(T6771=0,"No discount",IF(T6771&lt;=0.2,"Low (1-20%)",IF(T6771&lt;=0.4,"Medium (21-40%)","High (&gt;40%)"))))</f>
        <v/>
      </c>
      <c r="Y6771" s="23" t="str">
        <f aca="false">IF(AND(ISNUMBER(C6771),ISNUMBER(D6771)),D6771-C6771,"")</f>
        <v/>
      </c>
      <c r="Z6771" s="23" t="str">
        <f aca="false">IF(B6771="","",IF(MATCH(B6771,$B$2:$B$12000,0)=ROW()-1,1,0))</f>
        <v/>
      </c>
    </row>
    <row r="6772" customFormat="false" ht="15" hidden="false" customHeight="false" outlineLevel="0" collapsed="false">
      <c r="V6772" s="23" t="str">
        <f aca="false">IF(ISNUMBER(C6772),YEAR(C6772),"")</f>
        <v/>
      </c>
      <c r="W6772" s="23" t="str">
        <f aca="false">IF(ISNUMBER(C6772),MONTH(C6772),"")</f>
        <v/>
      </c>
      <c r="X6772" s="23" t="str">
        <f aca="false">IF(T6772="","",IF(T6772=0,"No discount",IF(T6772&lt;=0.2,"Low (1-20%)",IF(T6772&lt;=0.4,"Medium (21-40%)","High (&gt;40%)"))))</f>
        <v/>
      </c>
      <c r="Y6772" s="23" t="str">
        <f aca="false">IF(AND(ISNUMBER(C6772),ISNUMBER(D6772)),D6772-C6772,"")</f>
        <v/>
      </c>
      <c r="Z6772" s="23" t="str">
        <f aca="false">IF(B6772="","",IF(MATCH(B6772,$B$2:$B$12000,0)=ROW()-1,1,0))</f>
        <v/>
      </c>
    </row>
    <row r="6773" customFormat="false" ht="15" hidden="false" customHeight="false" outlineLevel="0" collapsed="false">
      <c r="V6773" s="23" t="str">
        <f aca="false">IF(ISNUMBER(C6773),YEAR(C6773),"")</f>
        <v/>
      </c>
      <c r="W6773" s="23" t="str">
        <f aca="false">IF(ISNUMBER(C6773),MONTH(C6773),"")</f>
        <v/>
      </c>
      <c r="X6773" s="23" t="str">
        <f aca="false">IF(T6773="","",IF(T6773=0,"No discount",IF(T6773&lt;=0.2,"Low (1-20%)",IF(T6773&lt;=0.4,"Medium (21-40%)","High (&gt;40%)"))))</f>
        <v/>
      </c>
      <c r="Y6773" s="23" t="str">
        <f aca="false">IF(AND(ISNUMBER(C6773),ISNUMBER(D6773)),D6773-C6773,"")</f>
        <v/>
      </c>
      <c r="Z6773" s="23" t="str">
        <f aca="false">IF(B6773="","",IF(MATCH(B6773,$B$2:$B$12000,0)=ROW()-1,1,0))</f>
        <v/>
      </c>
    </row>
    <row r="6774" customFormat="false" ht="15" hidden="false" customHeight="false" outlineLevel="0" collapsed="false">
      <c r="V6774" s="23" t="str">
        <f aca="false">IF(ISNUMBER(C6774),YEAR(C6774),"")</f>
        <v/>
      </c>
      <c r="W6774" s="23" t="str">
        <f aca="false">IF(ISNUMBER(C6774),MONTH(C6774),"")</f>
        <v/>
      </c>
      <c r="X6774" s="23" t="str">
        <f aca="false">IF(T6774="","",IF(T6774=0,"No discount",IF(T6774&lt;=0.2,"Low (1-20%)",IF(T6774&lt;=0.4,"Medium (21-40%)","High (&gt;40%)"))))</f>
        <v/>
      </c>
      <c r="Y6774" s="23" t="str">
        <f aca="false">IF(AND(ISNUMBER(C6774),ISNUMBER(D6774)),D6774-C6774,"")</f>
        <v/>
      </c>
      <c r="Z6774" s="23" t="str">
        <f aca="false">IF(B6774="","",IF(MATCH(B6774,$B$2:$B$12000,0)=ROW()-1,1,0))</f>
        <v/>
      </c>
    </row>
    <row r="6775" customFormat="false" ht="15" hidden="false" customHeight="false" outlineLevel="0" collapsed="false">
      <c r="V6775" s="23" t="str">
        <f aca="false">IF(ISNUMBER(C6775),YEAR(C6775),"")</f>
        <v/>
      </c>
      <c r="W6775" s="23" t="str">
        <f aca="false">IF(ISNUMBER(C6775),MONTH(C6775),"")</f>
        <v/>
      </c>
      <c r="X6775" s="23" t="str">
        <f aca="false">IF(T6775="","",IF(T6775=0,"No discount",IF(T6775&lt;=0.2,"Low (1-20%)",IF(T6775&lt;=0.4,"Medium (21-40%)","High (&gt;40%)"))))</f>
        <v/>
      </c>
      <c r="Y6775" s="23" t="str">
        <f aca="false">IF(AND(ISNUMBER(C6775),ISNUMBER(D6775)),D6775-C6775,"")</f>
        <v/>
      </c>
      <c r="Z6775" s="23" t="str">
        <f aca="false">IF(B6775="","",IF(MATCH(B6775,$B$2:$B$12000,0)=ROW()-1,1,0))</f>
        <v/>
      </c>
    </row>
    <row r="6776" customFormat="false" ht="15" hidden="false" customHeight="false" outlineLevel="0" collapsed="false">
      <c r="V6776" s="23" t="str">
        <f aca="false">IF(ISNUMBER(C6776),YEAR(C6776),"")</f>
        <v/>
      </c>
      <c r="W6776" s="23" t="str">
        <f aca="false">IF(ISNUMBER(C6776),MONTH(C6776),"")</f>
        <v/>
      </c>
      <c r="X6776" s="23" t="str">
        <f aca="false">IF(T6776="","",IF(T6776=0,"No discount",IF(T6776&lt;=0.2,"Low (1-20%)",IF(T6776&lt;=0.4,"Medium (21-40%)","High (&gt;40%)"))))</f>
        <v/>
      </c>
      <c r="Y6776" s="23" t="str">
        <f aca="false">IF(AND(ISNUMBER(C6776),ISNUMBER(D6776)),D6776-C6776,"")</f>
        <v/>
      </c>
      <c r="Z6776" s="23" t="str">
        <f aca="false">IF(B6776="","",IF(MATCH(B6776,$B$2:$B$12000,0)=ROW()-1,1,0))</f>
        <v/>
      </c>
    </row>
    <row r="6777" customFormat="false" ht="15" hidden="false" customHeight="false" outlineLevel="0" collapsed="false">
      <c r="V6777" s="23" t="str">
        <f aca="false">IF(ISNUMBER(C6777),YEAR(C6777),"")</f>
        <v/>
      </c>
      <c r="W6777" s="23" t="str">
        <f aca="false">IF(ISNUMBER(C6777),MONTH(C6777),"")</f>
        <v/>
      </c>
      <c r="X6777" s="23" t="str">
        <f aca="false">IF(T6777="","",IF(T6777=0,"No discount",IF(T6777&lt;=0.2,"Low (1-20%)",IF(T6777&lt;=0.4,"Medium (21-40%)","High (&gt;40%)"))))</f>
        <v/>
      </c>
      <c r="Y6777" s="23" t="str">
        <f aca="false">IF(AND(ISNUMBER(C6777),ISNUMBER(D6777)),D6777-C6777,"")</f>
        <v/>
      </c>
      <c r="Z6777" s="23" t="str">
        <f aca="false">IF(B6777="","",IF(MATCH(B6777,$B$2:$B$12000,0)=ROW()-1,1,0))</f>
        <v/>
      </c>
    </row>
    <row r="6778" customFormat="false" ht="15" hidden="false" customHeight="false" outlineLevel="0" collapsed="false">
      <c r="V6778" s="23" t="str">
        <f aca="false">IF(ISNUMBER(C6778),YEAR(C6778),"")</f>
        <v/>
      </c>
      <c r="W6778" s="23" t="str">
        <f aca="false">IF(ISNUMBER(C6778),MONTH(C6778),"")</f>
        <v/>
      </c>
      <c r="X6778" s="23" t="str">
        <f aca="false">IF(T6778="","",IF(T6778=0,"No discount",IF(T6778&lt;=0.2,"Low (1-20%)",IF(T6778&lt;=0.4,"Medium (21-40%)","High (&gt;40%)"))))</f>
        <v/>
      </c>
      <c r="Y6778" s="23" t="str">
        <f aca="false">IF(AND(ISNUMBER(C6778),ISNUMBER(D6778)),D6778-C6778,"")</f>
        <v/>
      </c>
      <c r="Z6778" s="23" t="str">
        <f aca="false">IF(B6778="","",IF(MATCH(B6778,$B$2:$B$12000,0)=ROW()-1,1,0))</f>
        <v/>
      </c>
    </row>
    <row r="6779" customFormat="false" ht="15" hidden="false" customHeight="false" outlineLevel="0" collapsed="false">
      <c r="V6779" s="23" t="str">
        <f aca="false">IF(ISNUMBER(C6779),YEAR(C6779),"")</f>
        <v/>
      </c>
      <c r="W6779" s="23" t="str">
        <f aca="false">IF(ISNUMBER(C6779),MONTH(C6779),"")</f>
        <v/>
      </c>
      <c r="X6779" s="23" t="str">
        <f aca="false">IF(T6779="","",IF(T6779=0,"No discount",IF(T6779&lt;=0.2,"Low (1-20%)",IF(T6779&lt;=0.4,"Medium (21-40%)","High (&gt;40%)"))))</f>
        <v/>
      </c>
      <c r="Y6779" s="23" t="str">
        <f aca="false">IF(AND(ISNUMBER(C6779),ISNUMBER(D6779)),D6779-C6779,"")</f>
        <v/>
      </c>
      <c r="Z6779" s="23" t="str">
        <f aca="false">IF(B6779="","",IF(MATCH(B6779,$B$2:$B$12000,0)=ROW()-1,1,0))</f>
        <v/>
      </c>
    </row>
    <row r="6780" customFormat="false" ht="15" hidden="false" customHeight="false" outlineLevel="0" collapsed="false">
      <c r="V6780" s="23" t="str">
        <f aca="false">IF(ISNUMBER(C6780),YEAR(C6780),"")</f>
        <v/>
      </c>
      <c r="W6780" s="23" t="str">
        <f aca="false">IF(ISNUMBER(C6780),MONTH(C6780),"")</f>
        <v/>
      </c>
      <c r="X6780" s="23" t="str">
        <f aca="false">IF(T6780="","",IF(T6780=0,"No discount",IF(T6780&lt;=0.2,"Low (1-20%)",IF(T6780&lt;=0.4,"Medium (21-40%)","High (&gt;40%)"))))</f>
        <v/>
      </c>
      <c r="Y6780" s="23" t="str">
        <f aca="false">IF(AND(ISNUMBER(C6780),ISNUMBER(D6780)),D6780-C6780,"")</f>
        <v/>
      </c>
      <c r="Z6780" s="23" t="str">
        <f aca="false">IF(B6780="","",IF(MATCH(B6780,$B$2:$B$12000,0)=ROW()-1,1,0))</f>
        <v/>
      </c>
    </row>
    <row r="6781" customFormat="false" ht="15" hidden="false" customHeight="false" outlineLevel="0" collapsed="false">
      <c r="V6781" s="23" t="str">
        <f aca="false">IF(ISNUMBER(C6781),YEAR(C6781),"")</f>
        <v/>
      </c>
      <c r="W6781" s="23" t="str">
        <f aca="false">IF(ISNUMBER(C6781),MONTH(C6781),"")</f>
        <v/>
      </c>
      <c r="X6781" s="23" t="str">
        <f aca="false">IF(T6781="","",IF(T6781=0,"No discount",IF(T6781&lt;=0.2,"Low (1-20%)",IF(T6781&lt;=0.4,"Medium (21-40%)","High (&gt;40%)"))))</f>
        <v/>
      </c>
      <c r="Y6781" s="23" t="str">
        <f aca="false">IF(AND(ISNUMBER(C6781),ISNUMBER(D6781)),D6781-C6781,"")</f>
        <v/>
      </c>
      <c r="Z6781" s="23" t="str">
        <f aca="false">IF(B6781="","",IF(MATCH(B6781,$B$2:$B$12000,0)=ROW()-1,1,0))</f>
        <v/>
      </c>
    </row>
    <row r="6782" customFormat="false" ht="15" hidden="false" customHeight="false" outlineLevel="0" collapsed="false">
      <c r="V6782" s="23" t="str">
        <f aca="false">IF(ISNUMBER(C6782),YEAR(C6782),"")</f>
        <v/>
      </c>
      <c r="W6782" s="23" t="str">
        <f aca="false">IF(ISNUMBER(C6782),MONTH(C6782),"")</f>
        <v/>
      </c>
      <c r="X6782" s="23" t="str">
        <f aca="false">IF(T6782="","",IF(T6782=0,"No discount",IF(T6782&lt;=0.2,"Low (1-20%)",IF(T6782&lt;=0.4,"Medium (21-40%)","High (&gt;40%)"))))</f>
        <v/>
      </c>
      <c r="Y6782" s="23" t="str">
        <f aca="false">IF(AND(ISNUMBER(C6782),ISNUMBER(D6782)),D6782-C6782,"")</f>
        <v/>
      </c>
      <c r="Z6782" s="23" t="str">
        <f aca="false">IF(B6782="","",IF(MATCH(B6782,$B$2:$B$12000,0)=ROW()-1,1,0))</f>
        <v/>
      </c>
    </row>
    <row r="6783" customFormat="false" ht="15" hidden="false" customHeight="false" outlineLevel="0" collapsed="false">
      <c r="V6783" s="23" t="str">
        <f aca="false">IF(ISNUMBER(C6783),YEAR(C6783),"")</f>
        <v/>
      </c>
      <c r="W6783" s="23" t="str">
        <f aca="false">IF(ISNUMBER(C6783),MONTH(C6783),"")</f>
        <v/>
      </c>
      <c r="X6783" s="23" t="str">
        <f aca="false">IF(T6783="","",IF(T6783=0,"No discount",IF(T6783&lt;=0.2,"Low (1-20%)",IF(T6783&lt;=0.4,"Medium (21-40%)","High (&gt;40%)"))))</f>
        <v/>
      </c>
      <c r="Y6783" s="23" t="str">
        <f aca="false">IF(AND(ISNUMBER(C6783),ISNUMBER(D6783)),D6783-C6783,"")</f>
        <v/>
      </c>
      <c r="Z6783" s="23" t="str">
        <f aca="false">IF(B6783="","",IF(MATCH(B6783,$B$2:$B$12000,0)=ROW()-1,1,0))</f>
        <v/>
      </c>
    </row>
    <row r="6784" customFormat="false" ht="15" hidden="false" customHeight="false" outlineLevel="0" collapsed="false">
      <c r="V6784" s="23" t="str">
        <f aca="false">IF(ISNUMBER(C6784),YEAR(C6784),"")</f>
        <v/>
      </c>
      <c r="W6784" s="23" t="str">
        <f aca="false">IF(ISNUMBER(C6784),MONTH(C6784),"")</f>
        <v/>
      </c>
      <c r="X6784" s="23" t="str">
        <f aca="false">IF(T6784="","",IF(T6784=0,"No discount",IF(T6784&lt;=0.2,"Low (1-20%)",IF(T6784&lt;=0.4,"Medium (21-40%)","High (&gt;40%)"))))</f>
        <v/>
      </c>
      <c r="Y6784" s="23" t="str">
        <f aca="false">IF(AND(ISNUMBER(C6784),ISNUMBER(D6784)),D6784-C6784,"")</f>
        <v/>
      </c>
      <c r="Z6784" s="23" t="str">
        <f aca="false">IF(B6784="","",IF(MATCH(B6784,$B$2:$B$12000,0)=ROW()-1,1,0))</f>
        <v/>
      </c>
    </row>
    <row r="6785" customFormat="false" ht="15" hidden="false" customHeight="false" outlineLevel="0" collapsed="false">
      <c r="V6785" s="23" t="str">
        <f aca="false">IF(ISNUMBER(C6785),YEAR(C6785),"")</f>
        <v/>
      </c>
      <c r="W6785" s="23" t="str">
        <f aca="false">IF(ISNUMBER(C6785),MONTH(C6785),"")</f>
        <v/>
      </c>
      <c r="X6785" s="23" t="str">
        <f aca="false">IF(T6785="","",IF(T6785=0,"No discount",IF(T6785&lt;=0.2,"Low (1-20%)",IF(T6785&lt;=0.4,"Medium (21-40%)","High (&gt;40%)"))))</f>
        <v/>
      </c>
      <c r="Y6785" s="23" t="str">
        <f aca="false">IF(AND(ISNUMBER(C6785),ISNUMBER(D6785)),D6785-C6785,"")</f>
        <v/>
      </c>
      <c r="Z6785" s="23" t="str">
        <f aca="false">IF(B6785="","",IF(MATCH(B6785,$B$2:$B$12000,0)=ROW()-1,1,0))</f>
        <v/>
      </c>
    </row>
    <row r="6786" customFormat="false" ht="15" hidden="false" customHeight="false" outlineLevel="0" collapsed="false">
      <c r="V6786" s="23" t="str">
        <f aca="false">IF(ISNUMBER(C6786),YEAR(C6786),"")</f>
        <v/>
      </c>
      <c r="W6786" s="23" t="str">
        <f aca="false">IF(ISNUMBER(C6786),MONTH(C6786),"")</f>
        <v/>
      </c>
      <c r="X6786" s="23" t="str">
        <f aca="false">IF(T6786="","",IF(T6786=0,"No discount",IF(T6786&lt;=0.2,"Low (1-20%)",IF(T6786&lt;=0.4,"Medium (21-40%)","High (&gt;40%)"))))</f>
        <v/>
      </c>
      <c r="Y6786" s="23" t="str">
        <f aca="false">IF(AND(ISNUMBER(C6786),ISNUMBER(D6786)),D6786-C6786,"")</f>
        <v/>
      </c>
      <c r="Z6786" s="23" t="str">
        <f aca="false">IF(B6786="","",IF(MATCH(B6786,$B$2:$B$12000,0)=ROW()-1,1,0))</f>
        <v/>
      </c>
    </row>
    <row r="6787" customFormat="false" ht="15" hidden="false" customHeight="false" outlineLevel="0" collapsed="false">
      <c r="V6787" s="23" t="str">
        <f aca="false">IF(ISNUMBER(C6787),YEAR(C6787),"")</f>
        <v/>
      </c>
      <c r="W6787" s="23" t="str">
        <f aca="false">IF(ISNUMBER(C6787),MONTH(C6787),"")</f>
        <v/>
      </c>
      <c r="X6787" s="23" t="str">
        <f aca="false">IF(T6787="","",IF(T6787=0,"No discount",IF(T6787&lt;=0.2,"Low (1-20%)",IF(T6787&lt;=0.4,"Medium (21-40%)","High (&gt;40%)"))))</f>
        <v/>
      </c>
      <c r="Y6787" s="23" t="str">
        <f aca="false">IF(AND(ISNUMBER(C6787),ISNUMBER(D6787)),D6787-C6787,"")</f>
        <v/>
      </c>
      <c r="Z6787" s="23" t="str">
        <f aca="false">IF(B6787="","",IF(MATCH(B6787,$B$2:$B$12000,0)=ROW()-1,1,0))</f>
        <v/>
      </c>
    </row>
    <row r="6788" customFormat="false" ht="15" hidden="false" customHeight="false" outlineLevel="0" collapsed="false">
      <c r="V6788" s="23" t="str">
        <f aca="false">IF(ISNUMBER(C6788),YEAR(C6788),"")</f>
        <v/>
      </c>
      <c r="W6788" s="23" t="str">
        <f aca="false">IF(ISNUMBER(C6788),MONTH(C6788),"")</f>
        <v/>
      </c>
      <c r="X6788" s="23" t="str">
        <f aca="false">IF(T6788="","",IF(T6788=0,"No discount",IF(T6788&lt;=0.2,"Low (1-20%)",IF(T6788&lt;=0.4,"Medium (21-40%)","High (&gt;40%)"))))</f>
        <v/>
      </c>
      <c r="Y6788" s="23" t="str">
        <f aca="false">IF(AND(ISNUMBER(C6788),ISNUMBER(D6788)),D6788-C6788,"")</f>
        <v/>
      </c>
      <c r="Z6788" s="23" t="str">
        <f aca="false">IF(B6788="","",IF(MATCH(B6788,$B$2:$B$12000,0)=ROW()-1,1,0))</f>
        <v/>
      </c>
    </row>
    <row r="6789" customFormat="false" ht="15" hidden="false" customHeight="false" outlineLevel="0" collapsed="false">
      <c r="V6789" s="23" t="str">
        <f aca="false">IF(ISNUMBER(C6789),YEAR(C6789),"")</f>
        <v/>
      </c>
      <c r="W6789" s="23" t="str">
        <f aca="false">IF(ISNUMBER(C6789),MONTH(C6789),"")</f>
        <v/>
      </c>
      <c r="X6789" s="23" t="str">
        <f aca="false">IF(T6789="","",IF(T6789=0,"No discount",IF(T6789&lt;=0.2,"Low (1-20%)",IF(T6789&lt;=0.4,"Medium (21-40%)","High (&gt;40%)"))))</f>
        <v/>
      </c>
      <c r="Y6789" s="23" t="str">
        <f aca="false">IF(AND(ISNUMBER(C6789),ISNUMBER(D6789)),D6789-C6789,"")</f>
        <v/>
      </c>
      <c r="Z6789" s="23" t="str">
        <f aca="false">IF(B6789="","",IF(MATCH(B6789,$B$2:$B$12000,0)=ROW()-1,1,0))</f>
        <v/>
      </c>
    </row>
    <row r="6790" customFormat="false" ht="15" hidden="false" customHeight="false" outlineLevel="0" collapsed="false">
      <c r="V6790" s="23" t="str">
        <f aca="false">IF(ISNUMBER(C6790),YEAR(C6790),"")</f>
        <v/>
      </c>
      <c r="W6790" s="23" t="str">
        <f aca="false">IF(ISNUMBER(C6790),MONTH(C6790),"")</f>
        <v/>
      </c>
      <c r="X6790" s="23" t="str">
        <f aca="false">IF(T6790="","",IF(T6790=0,"No discount",IF(T6790&lt;=0.2,"Low (1-20%)",IF(T6790&lt;=0.4,"Medium (21-40%)","High (&gt;40%)"))))</f>
        <v/>
      </c>
      <c r="Y6790" s="23" t="str">
        <f aca="false">IF(AND(ISNUMBER(C6790),ISNUMBER(D6790)),D6790-C6790,"")</f>
        <v/>
      </c>
      <c r="Z6790" s="23" t="str">
        <f aca="false">IF(B6790="","",IF(MATCH(B6790,$B$2:$B$12000,0)=ROW()-1,1,0))</f>
        <v/>
      </c>
    </row>
    <row r="6791" customFormat="false" ht="15" hidden="false" customHeight="false" outlineLevel="0" collapsed="false">
      <c r="V6791" s="23" t="str">
        <f aca="false">IF(ISNUMBER(C6791),YEAR(C6791),"")</f>
        <v/>
      </c>
      <c r="W6791" s="23" t="str">
        <f aca="false">IF(ISNUMBER(C6791),MONTH(C6791),"")</f>
        <v/>
      </c>
      <c r="X6791" s="23" t="str">
        <f aca="false">IF(T6791="","",IF(T6791=0,"No discount",IF(T6791&lt;=0.2,"Low (1-20%)",IF(T6791&lt;=0.4,"Medium (21-40%)","High (&gt;40%)"))))</f>
        <v/>
      </c>
      <c r="Y6791" s="23" t="str">
        <f aca="false">IF(AND(ISNUMBER(C6791),ISNUMBER(D6791)),D6791-C6791,"")</f>
        <v/>
      </c>
      <c r="Z6791" s="23" t="str">
        <f aca="false">IF(B6791="","",IF(MATCH(B6791,$B$2:$B$12000,0)=ROW()-1,1,0))</f>
        <v/>
      </c>
    </row>
    <row r="6792" customFormat="false" ht="15" hidden="false" customHeight="false" outlineLevel="0" collapsed="false">
      <c r="V6792" s="23" t="str">
        <f aca="false">IF(ISNUMBER(C6792),YEAR(C6792),"")</f>
        <v/>
      </c>
      <c r="W6792" s="23" t="str">
        <f aca="false">IF(ISNUMBER(C6792),MONTH(C6792),"")</f>
        <v/>
      </c>
      <c r="X6792" s="23" t="str">
        <f aca="false">IF(T6792="","",IF(T6792=0,"No discount",IF(T6792&lt;=0.2,"Low (1-20%)",IF(T6792&lt;=0.4,"Medium (21-40%)","High (&gt;40%)"))))</f>
        <v/>
      </c>
      <c r="Y6792" s="23" t="str">
        <f aca="false">IF(AND(ISNUMBER(C6792),ISNUMBER(D6792)),D6792-C6792,"")</f>
        <v/>
      </c>
      <c r="Z6792" s="23" t="str">
        <f aca="false">IF(B6792="","",IF(MATCH(B6792,$B$2:$B$12000,0)=ROW()-1,1,0))</f>
        <v/>
      </c>
    </row>
    <row r="6793" customFormat="false" ht="15" hidden="false" customHeight="false" outlineLevel="0" collapsed="false">
      <c r="V6793" s="23" t="str">
        <f aca="false">IF(ISNUMBER(C6793),YEAR(C6793),"")</f>
        <v/>
      </c>
      <c r="W6793" s="23" t="str">
        <f aca="false">IF(ISNUMBER(C6793),MONTH(C6793),"")</f>
        <v/>
      </c>
      <c r="X6793" s="23" t="str">
        <f aca="false">IF(T6793="","",IF(T6793=0,"No discount",IF(T6793&lt;=0.2,"Low (1-20%)",IF(T6793&lt;=0.4,"Medium (21-40%)","High (&gt;40%)"))))</f>
        <v/>
      </c>
      <c r="Y6793" s="23" t="str">
        <f aca="false">IF(AND(ISNUMBER(C6793),ISNUMBER(D6793)),D6793-C6793,"")</f>
        <v/>
      </c>
      <c r="Z6793" s="23" t="str">
        <f aca="false">IF(B6793="","",IF(MATCH(B6793,$B$2:$B$12000,0)=ROW()-1,1,0))</f>
        <v/>
      </c>
    </row>
    <row r="6794" customFormat="false" ht="15" hidden="false" customHeight="false" outlineLevel="0" collapsed="false">
      <c r="V6794" s="23" t="str">
        <f aca="false">IF(ISNUMBER(C6794),YEAR(C6794),"")</f>
        <v/>
      </c>
      <c r="W6794" s="23" t="str">
        <f aca="false">IF(ISNUMBER(C6794),MONTH(C6794),"")</f>
        <v/>
      </c>
      <c r="X6794" s="23" t="str">
        <f aca="false">IF(T6794="","",IF(T6794=0,"No discount",IF(T6794&lt;=0.2,"Low (1-20%)",IF(T6794&lt;=0.4,"Medium (21-40%)","High (&gt;40%)"))))</f>
        <v/>
      </c>
      <c r="Y6794" s="23" t="str">
        <f aca="false">IF(AND(ISNUMBER(C6794),ISNUMBER(D6794)),D6794-C6794,"")</f>
        <v/>
      </c>
      <c r="Z6794" s="23" t="str">
        <f aca="false">IF(B6794="","",IF(MATCH(B6794,$B$2:$B$12000,0)=ROW()-1,1,0))</f>
        <v/>
      </c>
    </row>
    <row r="6795" customFormat="false" ht="15" hidden="false" customHeight="false" outlineLevel="0" collapsed="false">
      <c r="V6795" s="23" t="str">
        <f aca="false">IF(ISNUMBER(C6795),YEAR(C6795),"")</f>
        <v/>
      </c>
      <c r="W6795" s="23" t="str">
        <f aca="false">IF(ISNUMBER(C6795),MONTH(C6795),"")</f>
        <v/>
      </c>
      <c r="X6795" s="23" t="str">
        <f aca="false">IF(T6795="","",IF(T6795=0,"No discount",IF(T6795&lt;=0.2,"Low (1-20%)",IF(T6795&lt;=0.4,"Medium (21-40%)","High (&gt;40%)"))))</f>
        <v/>
      </c>
      <c r="Y6795" s="23" t="str">
        <f aca="false">IF(AND(ISNUMBER(C6795),ISNUMBER(D6795)),D6795-C6795,"")</f>
        <v/>
      </c>
      <c r="Z6795" s="23" t="str">
        <f aca="false">IF(B6795="","",IF(MATCH(B6795,$B$2:$B$12000,0)=ROW()-1,1,0))</f>
        <v/>
      </c>
    </row>
    <row r="6796" customFormat="false" ht="15" hidden="false" customHeight="false" outlineLevel="0" collapsed="false">
      <c r="V6796" s="23" t="str">
        <f aca="false">IF(ISNUMBER(C6796),YEAR(C6796),"")</f>
        <v/>
      </c>
      <c r="W6796" s="23" t="str">
        <f aca="false">IF(ISNUMBER(C6796),MONTH(C6796),"")</f>
        <v/>
      </c>
      <c r="X6796" s="23" t="str">
        <f aca="false">IF(T6796="","",IF(T6796=0,"No discount",IF(T6796&lt;=0.2,"Low (1-20%)",IF(T6796&lt;=0.4,"Medium (21-40%)","High (&gt;40%)"))))</f>
        <v/>
      </c>
      <c r="Y6796" s="23" t="str">
        <f aca="false">IF(AND(ISNUMBER(C6796),ISNUMBER(D6796)),D6796-C6796,"")</f>
        <v/>
      </c>
      <c r="Z6796" s="23" t="str">
        <f aca="false">IF(B6796="","",IF(MATCH(B6796,$B$2:$B$12000,0)=ROW()-1,1,0))</f>
        <v/>
      </c>
    </row>
    <row r="6797" customFormat="false" ht="15" hidden="false" customHeight="false" outlineLevel="0" collapsed="false">
      <c r="V6797" s="23" t="str">
        <f aca="false">IF(ISNUMBER(C6797),YEAR(C6797),"")</f>
        <v/>
      </c>
      <c r="W6797" s="23" t="str">
        <f aca="false">IF(ISNUMBER(C6797),MONTH(C6797),"")</f>
        <v/>
      </c>
      <c r="X6797" s="23" t="str">
        <f aca="false">IF(T6797="","",IF(T6797=0,"No discount",IF(T6797&lt;=0.2,"Low (1-20%)",IF(T6797&lt;=0.4,"Medium (21-40%)","High (&gt;40%)"))))</f>
        <v/>
      </c>
      <c r="Y6797" s="23" t="str">
        <f aca="false">IF(AND(ISNUMBER(C6797),ISNUMBER(D6797)),D6797-C6797,"")</f>
        <v/>
      </c>
      <c r="Z6797" s="23" t="str">
        <f aca="false">IF(B6797="","",IF(MATCH(B6797,$B$2:$B$12000,0)=ROW()-1,1,0))</f>
        <v/>
      </c>
    </row>
    <row r="6798" customFormat="false" ht="15" hidden="false" customHeight="false" outlineLevel="0" collapsed="false">
      <c r="V6798" s="23" t="str">
        <f aca="false">IF(ISNUMBER(C6798),YEAR(C6798),"")</f>
        <v/>
      </c>
      <c r="W6798" s="23" t="str">
        <f aca="false">IF(ISNUMBER(C6798),MONTH(C6798),"")</f>
        <v/>
      </c>
      <c r="X6798" s="23" t="str">
        <f aca="false">IF(T6798="","",IF(T6798=0,"No discount",IF(T6798&lt;=0.2,"Low (1-20%)",IF(T6798&lt;=0.4,"Medium (21-40%)","High (&gt;40%)"))))</f>
        <v/>
      </c>
      <c r="Y6798" s="23" t="str">
        <f aca="false">IF(AND(ISNUMBER(C6798),ISNUMBER(D6798)),D6798-C6798,"")</f>
        <v/>
      </c>
      <c r="Z6798" s="23" t="str">
        <f aca="false">IF(B6798="","",IF(MATCH(B6798,$B$2:$B$12000,0)=ROW()-1,1,0))</f>
        <v/>
      </c>
    </row>
    <row r="6799" customFormat="false" ht="15" hidden="false" customHeight="false" outlineLevel="0" collapsed="false">
      <c r="V6799" s="23" t="str">
        <f aca="false">IF(ISNUMBER(C6799),YEAR(C6799),"")</f>
        <v/>
      </c>
      <c r="W6799" s="23" t="str">
        <f aca="false">IF(ISNUMBER(C6799),MONTH(C6799),"")</f>
        <v/>
      </c>
      <c r="X6799" s="23" t="str">
        <f aca="false">IF(T6799="","",IF(T6799=0,"No discount",IF(T6799&lt;=0.2,"Low (1-20%)",IF(T6799&lt;=0.4,"Medium (21-40%)","High (&gt;40%)"))))</f>
        <v/>
      </c>
      <c r="Y6799" s="23" t="str">
        <f aca="false">IF(AND(ISNUMBER(C6799),ISNUMBER(D6799)),D6799-C6799,"")</f>
        <v/>
      </c>
      <c r="Z6799" s="23" t="str">
        <f aca="false">IF(B6799="","",IF(MATCH(B6799,$B$2:$B$12000,0)=ROW()-1,1,0))</f>
        <v/>
      </c>
    </row>
    <row r="6800" customFormat="false" ht="15" hidden="false" customHeight="false" outlineLevel="0" collapsed="false">
      <c r="V6800" s="23" t="str">
        <f aca="false">IF(ISNUMBER(C6800),YEAR(C6800),"")</f>
        <v/>
      </c>
      <c r="W6800" s="23" t="str">
        <f aca="false">IF(ISNUMBER(C6800),MONTH(C6800),"")</f>
        <v/>
      </c>
      <c r="X6800" s="23" t="str">
        <f aca="false">IF(T6800="","",IF(T6800=0,"No discount",IF(T6800&lt;=0.2,"Low (1-20%)",IF(T6800&lt;=0.4,"Medium (21-40%)","High (&gt;40%)"))))</f>
        <v/>
      </c>
      <c r="Y6800" s="23" t="str">
        <f aca="false">IF(AND(ISNUMBER(C6800),ISNUMBER(D6800)),D6800-C6800,"")</f>
        <v/>
      </c>
      <c r="Z6800" s="23" t="str">
        <f aca="false">IF(B6800="","",IF(MATCH(B6800,$B$2:$B$12000,0)=ROW()-1,1,0))</f>
        <v/>
      </c>
    </row>
    <row r="6801" customFormat="false" ht="15" hidden="false" customHeight="false" outlineLevel="0" collapsed="false">
      <c r="V6801" s="23" t="str">
        <f aca="false">IF(ISNUMBER(C6801),YEAR(C6801),"")</f>
        <v/>
      </c>
      <c r="W6801" s="23" t="str">
        <f aca="false">IF(ISNUMBER(C6801),MONTH(C6801),"")</f>
        <v/>
      </c>
      <c r="X6801" s="23" t="str">
        <f aca="false">IF(T6801="","",IF(T6801=0,"No discount",IF(T6801&lt;=0.2,"Low (1-20%)",IF(T6801&lt;=0.4,"Medium (21-40%)","High (&gt;40%)"))))</f>
        <v/>
      </c>
      <c r="Y6801" s="23" t="str">
        <f aca="false">IF(AND(ISNUMBER(C6801),ISNUMBER(D6801)),D6801-C6801,"")</f>
        <v/>
      </c>
      <c r="Z6801" s="23" t="str">
        <f aca="false">IF(B6801="","",IF(MATCH(B6801,$B$2:$B$12000,0)=ROW()-1,1,0))</f>
        <v/>
      </c>
    </row>
    <row r="6802" customFormat="false" ht="15" hidden="false" customHeight="false" outlineLevel="0" collapsed="false">
      <c r="V6802" s="23" t="str">
        <f aca="false">IF(ISNUMBER(C6802),YEAR(C6802),"")</f>
        <v/>
      </c>
      <c r="W6802" s="23" t="str">
        <f aca="false">IF(ISNUMBER(C6802),MONTH(C6802),"")</f>
        <v/>
      </c>
      <c r="X6802" s="23" t="str">
        <f aca="false">IF(T6802="","",IF(T6802=0,"No discount",IF(T6802&lt;=0.2,"Low (1-20%)",IF(T6802&lt;=0.4,"Medium (21-40%)","High (&gt;40%)"))))</f>
        <v/>
      </c>
      <c r="Y6802" s="23" t="str">
        <f aca="false">IF(AND(ISNUMBER(C6802),ISNUMBER(D6802)),D6802-C6802,"")</f>
        <v/>
      </c>
      <c r="Z6802" s="23" t="str">
        <f aca="false">IF(B6802="","",IF(MATCH(B6802,$B$2:$B$12000,0)=ROW()-1,1,0))</f>
        <v/>
      </c>
    </row>
    <row r="6803" customFormat="false" ht="15" hidden="false" customHeight="false" outlineLevel="0" collapsed="false">
      <c r="V6803" s="23" t="str">
        <f aca="false">IF(ISNUMBER(C6803),YEAR(C6803),"")</f>
        <v/>
      </c>
      <c r="W6803" s="23" t="str">
        <f aca="false">IF(ISNUMBER(C6803),MONTH(C6803),"")</f>
        <v/>
      </c>
      <c r="X6803" s="23" t="str">
        <f aca="false">IF(T6803="","",IF(T6803=0,"No discount",IF(T6803&lt;=0.2,"Low (1-20%)",IF(T6803&lt;=0.4,"Medium (21-40%)","High (&gt;40%)"))))</f>
        <v/>
      </c>
      <c r="Y6803" s="23" t="str">
        <f aca="false">IF(AND(ISNUMBER(C6803),ISNUMBER(D6803)),D6803-C6803,"")</f>
        <v/>
      </c>
      <c r="Z6803" s="23" t="str">
        <f aca="false">IF(B6803="","",IF(MATCH(B6803,$B$2:$B$12000,0)=ROW()-1,1,0))</f>
        <v/>
      </c>
    </row>
    <row r="6804" customFormat="false" ht="15" hidden="false" customHeight="false" outlineLevel="0" collapsed="false">
      <c r="V6804" s="23" t="str">
        <f aca="false">IF(ISNUMBER(C6804),YEAR(C6804),"")</f>
        <v/>
      </c>
      <c r="W6804" s="23" t="str">
        <f aca="false">IF(ISNUMBER(C6804),MONTH(C6804),"")</f>
        <v/>
      </c>
      <c r="X6804" s="23" t="str">
        <f aca="false">IF(T6804="","",IF(T6804=0,"No discount",IF(T6804&lt;=0.2,"Low (1-20%)",IF(T6804&lt;=0.4,"Medium (21-40%)","High (&gt;40%)"))))</f>
        <v/>
      </c>
      <c r="Y6804" s="23" t="str">
        <f aca="false">IF(AND(ISNUMBER(C6804),ISNUMBER(D6804)),D6804-C6804,"")</f>
        <v/>
      </c>
      <c r="Z6804" s="23" t="str">
        <f aca="false">IF(B6804="","",IF(MATCH(B6804,$B$2:$B$12000,0)=ROW()-1,1,0))</f>
        <v/>
      </c>
    </row>
    <row r="6805" customFormat="false" ht="15" hidden="false" customHeight="false" outlineLevel="0" collapsed="false">
      <c r="V6805" s="23" t="str">
        <f aca="false">IF(ISNUMBER(C6805),YEAR(C6805),"")</f>
        <v/>
      </c>
      <c r="W6805" s="23" t="str">
        <f aca="false">IF(ISNUMBER(C6805),MONTH(C6805),"")</f>
        <v/>
      </c>
      <c r="X6805" s="23" t="str">
        <f aca="false">IF(T6805="","",IF(T6805=0,"No discount",IF(T6805&lt;=0.2,"Low (1-20%)",IF(T6805&lt;=0.4,"Medium (21-40%)","High (&gt;40%)"))))</f>
        <v/>
      </c>
      <c r="Y6805" s="23" t="str">
        <f aca="false">IF(AND(ISNUMBER(C6805),ISNUMBER(D6805)),D6805-C6805,"")</f>
        <v/>
      </c>
      <c r="Z6805" s="23" t="str">
        <f aca="false">IF(B6805="","",IF(MATCH(B6805,$B$2:$B$12000,0)=ROW()-1,1,0))</f>
        <v/>
      </c>
    </row>
    <row r="6806" customFormat="false" ht="15" hidden="false" customHeight="false" outlineLevel="0" collapsed="false">
      <c r="V6806" s="23" t="str">
        <f aca="false">IF(ISNUMBER(C6806),YEAR(C6806),"")</f>
        <v/>
      </c>
      <c r="W6806" s="23" t="str">
        <f aca="false">IF(ISNUMBER(C6806),MONTH(C6806),"")</f>
        <v/>
      </c>
      <c r="X6806" s="23" t="str">
        <f aca="false">IF(T6806="","",IF(T6806=0,"No discount",IF(T6806&lt;=0.2,"Low (1-20%)",IF(T6806&lt;=0.4,"Medium (21-40%)","High (&gt;40%)"))))</f>
        <v/>
      </c>
      <c r="Y6806" s="23" t="str">
        <f aca="false">IF(AND(ISNUMBER(C6806),ISNUMBER(D6806)),D6806-C6806,"")</f>
        <v/>
      </c>
      <c r="Z6806" s="23" t="str">
        <f aca="false">IF(B6806="","",IF(MATCH(B6806,$B$2:$B$12000,0)=ROW()-1,1,0))</f>
        <v/>
      </c>
    </row>
    <row r="6807" customFormat="false" ht="15" hidden="false" customHeight="false" outlineLevel="0" collapsed="false">
      <c r="V6807" s="23" t="str">
        <f aca="false">IF(ISNUMBER(C6807),YEAR(C6807),"")</f>
        <v/>
      </c>
      <c r="W6807" s="23" t="str">
        <f aca="false">IF(ISNUMBER(C6807),MONTH(C6807),"")</f>
        <v/>
      </c>
      <c r="X6807" s="23" t="str">
        <f aca="false">IF(T6807="","",IF(T6807=0,"No discount",IF(T6807&lt;=0.2,"Low (1-20%)",IF(T6807&lt;=0.4,"Medium (21-40%)","High (&gt;40%)"))))</f>
        <v/>
      </c>
      <c r="Y6807" s="23" t="str">
        <f aca="false">IF(AND(ISNUMBER(C6807),ISNUMBER(D6807)),D6807-C6807,"")</f>
        <v/>
      </c>
      <c r="Z6807" s="23" t="str">
        <f aca="false">IF(B6807="","",IF(MATCH(B6807,$B$2:$B$12000,0)=ROW()-1,1,0))</f>
        <v/>
      </c>
    </row>
    <row r="6808" customFormat="false" ht="15" hidden="false" customHeight="false" outlineLevel="0" collapsed="false">
      <c r="V6808" s="23" t="str">
        <f aca="false">IF(ISNUMBER(C6808),YEAR(C6808),"")</f>
        <v/>
      </c>
      <c r="W6808" s="23" t="str">
        <f aca="false">IF(ISNUMBER(C6808),MONTH(C6808),"")</f>
        <v/>
      </c>
      <c r="X6808" s="23" t="str">
        <f aca="false">IF(T6808="","",IF(T6808=0,"No discount",IF(T6808&lt;=0.2,"Low (1-20%)",IF(T6808&lt;=0.4,"Medium (21-40%)","High (&gt;40%)"))))</f>
        <v/>
      </c>
      <c r="Y6808" s="23" t="str">
        <f aca="false">IF(AND(ISNUMBER(C6808),ISNUMBER(D6808)),D6808-C6808,"")</f>
        <v/>
      </c>
      <c r="Z6808" s="23" t="str">
        <f aca="false">IF(B6808="","",IF(MATCH(B6808,$B$2:$B$12000,0)=ROW()-1,1,0))</f>
        <v/>
      </c>
    </row>
    <row r="6809" customFormat="false" ht="15" hidden="false" customHeight="false" outlineLevel="0" collapsed="false">
      <c r="V6809" s="23" t="str">
        <f aca="false">IF(ISNUMBER(C6809),YEAR(C6809),"")</f>
        <v/>
      </c>
      <c r="W6809" s="23" t="str">
        <f aca="false">IF(ISNUMBER(C6809),MONTH(C6809),"")</f>
        <v/>
      </c>
      <c r="X6809" s="23" t="str">
        <f aca="false">IF(T6809="","",IF(T6809=0,"No discount",IF(T6809&lt;=0.2,"Low (1-20%)",IF(T6809&lt;=0.4,"Medium (21-40%)","High (&gt;40%)"))))</f>
        <v/>
      </c>
      <c r="Y6809" s="23" t="str">
        <f aca="false">IF(AND(ISNUMBER(C6809),ISNUMBER(D6809)),D6809-C6809,"")</f>
        <v/>
      </c>
      <c r="Z6809" s="23" t="str">
        <f aca="false">IF(B6809="","",IF(MATCH(B6809,$B$2:$B$12000,0)=ROW()-1,1,0))</f>
        <v/>
      </c>
    </row>
    <row r="6810" customFormat="false" ht="15" hidden="false" customHeight="false" outlineLevel="0" collapsed="false">
      <c r="V6810" s="23" t="str">
        <f aca="false">IF(ISNUMBER(C6810),YEAR(C6810),"")</f>
        <v/>
      </c>
      <c r="W6810" s="23" t="str">
        <f aca="false">IF(ISNUMBER(C6810),MONTH(C6810),"")</f>
        <v/>
      </c>
      <c r="X6810" s="23" t="str">
        <f aca="false">IF(T6810="","",IF(T6810=0,"No discount",IF(T6810&lt;=0.2,"Low (1-20%)",IF(T6810&lt;=0.4,"Medium (21-40%)","High (&gt;40%)"))))</f>
        <v/>
      </c>
      <c r="Y6810" s="23" t="str">
        <f aca="false">IF(AND(ISNUMBER(C6810),ISNUMBER(D6810)),D6810-C6810,"")</f>
        <v/>
      </c>
      <c r="Z6810" s="23" t="str">
        <f aca="false">IF(B6810="","",IF(MATCH(B6810,$B$2:$B$12000,0)=ROW()-1,1,0))</f>
        <v/>
      </c>
    </row>
    <row r="6811" customFormat="false" ht="15" hidden="false" customHeight="false" outlineLevel="0" collapsed="false">
      <c r="V6811" s="23" t="str">
        <f aca="false">IF(ISNUMBER(C6811),YEAR(C6811),"")</f>
        <v/>
      </c>
      <c r="W6811" s="23" t="str">
        <f aca="false">IF(ISNUMBER(C6811),MONTH(C6811),"")</f>
        <v/>
      </c>
      <c r="X6811" s="23" t="str">
        <f aca="false">IF(T6811="","",IF(T6811=0,"No discount",IF(T6811&lt;=0.2,"Low (1-20%)",IF(T6811&lt;=0.4,"Medium (21-40%)","High (&gt;40%)"))))</f>
        <v/>
      </c>
      <c r="Y6811" s="23" t="str">
        <f aca="false">IF(AND(ISNUMBER(C6811),ISNUMBER(D6811)),D6811-C6811,"")</f>
        <v/>
      </c>
      <c r="Z6811" s="23" t="str">
        <f aca="false">IF(B6811="","",IF(MATCH(B6811,$B$2:$B$12000,0)=ROW()-1,1,0))</f>
        <v/>
      </c>
    </row>
    <row r="6812" customFormat="false" ht="15" hidden="false" customHeight="false" outlineLevel="0" collapsed="false">
      <c r="V6812" s="23" t="str">
        <f aca="false">IF(ISNUMBER(C6812),YEAR(C6812),"")</f>
        <v/>
      </c>
      <c r="W6812" s="23" t="str">
        <f aca="false">IF(ISNUMBER(C6812),MONTH(C6812),"")</f>
        <v/>
      </c>
      <c r="X6812" s="23" t="str">
        <f aca="false">IF(T6812="","",IF(T6812=0,"No discount",IF(T6812&lt;=0.2,"Low (1-20%)",IF(T6812&lt;=0.4,"Medium (21-40%)","High (&gt;40%)"))))</f>
        <v/>
      </c>
      <c r="Y6812" s="23" t="str">
        <f aca="false">IF(AND(ISNUMBER(C6812),ISNUMBER(D6812)),D6812-C6812,"")</f>
        <v/>
      </c>
      <c r="Z6812" s="23" t="str">
        <f aca="false">IF(B6812="","",IF(MATCH(B6812,$B$2:$B$12000,0)=ROW()-1,1,0))</f>
        <v/>
      </c>
    </row>
    <row r="6813" customFormat="false" ht="15" hidden="false" customHeight="false" outlineLevel="0" collapsed="false">
      <c r="V6813" s="23" t="str">
        <f aca="false">IF(ISNUMBER(C6813),YEAR(C6813),"")</f>
        <v/>
      </c>
      <c r="W6813" s="23" t="str">
        <f aca="false">IF(ISNUMBER(C6813),MONTH(C6813),"")</f>
        <v/>
      </c>
      <c r="X6813" s="23" t="str">
        <f aca="false">IF(T6813="","",IF(T6813=0,"No discount",IF(T6813&lt;=0.2,"Low (1-20%)",IF(T6813&lt;=0.4,"Medium (21-40%)","High (&gt;40%)"))))</f>
        <v/>
      </c>
      <c r="Y6813" s="23" t="str">
        <f aca="false">IF(AND(ISNUMBER(C6813),ISNUMBER(D6813)),D6813-C6813,"")</f>
        <v/>
      </c>
      <c r="Z6813" s="23" t="str">
        <f aca="false">IF(B6813="","",IF(MATCH(B6813,$B$2:$B$12000,0)=ROW()-1,1,0))</f>
        <v/>
      </c>
    </row>
    <row r="6814" customFormat="false" ht="15" hidden="false" customHeight="false" outlineLevel="0" collapsed="false">
      <c r="V6814" s="23" t="str">
        <f aca="false">IF(ISNUMBER(C6814),YEAR(C6814),"")</f>
        <v/>
      </c>
      <c r="W6814" s="23" t="str">
        <f aca="false">IF(ISNUMBER(C6814),MONTH(C6814),"")</f>
        <v/>
      </c>
      <c r="X6814" s="23" t="str">
        <f aca="false">IF(T6814="","",IF(T6814=0,"No discount",IF(T6814&lt;=0.2,"Low (1-20%)",IF(T6814&lt;=0.4,"Medium (21-40%)","High (&gt;40%)"))))</f>
        <v/>
      </c>
      <c r="Y6814" s="23" t="str">
        <f aca="false">IF(AND(ISNUMBER(C6814),ISNUMBER(D6814)),D6814-C6814,"")</f>
        <v/>
      </c>
      <c r="Z6814" s="23" t="str">
        <f aca="false">IF(B6814="","",IF(MATCH(B6814,$B$2:$B$12000,0)=ROW()-1,1,0))</f>
        <v/>
      </c>
    </row>
    <row r="6815" customFormat="false" ht="15" hidden="false" customHeight="false" outlineLevel="0" collapsed="false">
      <c r="V6815" s="23" t="str">
        <f aca="false">IF(ISNUMBER(C6815),YEAR(C6815),"")</f>
        <v/>
      </c>
      <c r="W6815" s="23" t="str">
        <f aca="false">IF(ISNUMBER(C6815),MONTH(C6815),"")</f>
        <v/>
      </c>
      <c r="X6815" s="23" t="str">
        <f aca="false">IF(T6815="","",IF(T6815=0,"No discount",IF(T6815&lt;=0.2,"Low (1-20%)",IF(T6815&lt;=0.4,"Medium (21-40%)","High (&gt;40%)"))))</f>
        <v/>
      </c>
      <c r="Y6815" s="23" t="str">
        <f aca="false">IF(AND(ISNUMBER(C6815),ISNUMBER(D6815)),D6815-C6815,"")</f>
        <v/>
      </c>
      <c r="Z6815" s="23" t="str">
        <f aca="false">IF(B6815="","",IF(MATCH(B6815,$B$2:$B$12000,0)=ROW()-1,1,0))</f>
        <v/>
      </c>
    </row>
    <row r="6816" customFormat="false" ht="15" hidden="false" customHeight="false" outlineLevel="0" collapsed="false">
      <c r="V6816" s="23" t="str">
        <f aca="false">IF(ISNUMBER(C6816),YEAR(C6816),"")</f>
        <v/>
      </c>
      <c r="W6816" s="23" t="str">
        <f aca="false">IF(ISNUMBER(C6816),MONTH(C6816),"")</f>
        <v/>
      </c>
      <c r="X6816" s="23" t="str">
        <f aca="false">IF(T6816="","",IF(T6816=0,"No discount",IF(T6816&lt;=0.2,"Low (1-20%)",IF(T6816&lt;=0.4,"Medium (21-40%)","High (&gt;40%)"))))</f>
        <v/>
      </c>
      <c r="Y6816" s="23" t="str">
        <f aca="false">IF(AND(ISNUMBER(C6816),ISNUMBER(D6816)),D6816-C6816,"")</f>
        <v/>
      </c>
      <c r="Z6816" s="23" t="str">
        <f aca="false">IF(B6816="","",IF(MATCH(B6816,$B$2:$B$12000,0)=ROW()-1,1,0))</f>
        <v/>
      </c>
    </row>
    <row r="6817" customFormat="false" ht="15" hidden="false" customHeight="false" outlineLevel="0" collapsed="false">
      <c r="V6817" s="23" t="str">
        <f aca="false">IF(ISNUMBER(C6817),YEAR(C6817),"")</f>
        <v/>
      </c>
      <c r="W6817" s="23" t="str">
        <f aca="false">IF(ISNUMBER(C6817),MONTH(C6817),"")</f>
        <v/>
      </c>
      <c r="X6817" s="23" t="str">
        <f aca="false">IF(T6817="","",IF(T6817=0,"No discount",IF(T6817&lt;=0.2,"Low (1-20%)",IF(T6817&lt;=0.4,"Medium (21-40%)","High (&gt;40%)"))))</f>
        <v/>
      </c>
      <c r="Y6817" s="23" t="str">
        <f aca="false">IF(AND(ISNUMBER(C6817),ISNUMBER(D6817)),D6817-C6817,"")</f>
        <v/>
      </c>
      <c r="Z6817" s="23" t="str">
        <f aca="false">IF(B6817="","",IF(MATCH(B6817,$B$2:$B$12000,0)=ROW()-1,1,0))</f>
        <v/>
      </c>
    </row>
    <row r="6818" customFormat="false" ht="15" hidden="false" customHeight="false" outlineLevel="0" collapsed="false">
      <c r="V6818" s="23" t="str">
        <f aca="false">IF(ISNUMBER(C6818),YEAR(C6818),"")</f>
        <v/>
      </c>
      <c r="W6818" s="23" t="str">
        <f aca="false">IF(ISNUMBER(C6818),MONTH(C6818),"")</f>
        <v/>
      </c>
      <c r="X6818" s="23" t="str">
        <f aca="false">IF(T6818="","",IF(T6818=0,"No discount",IF(T6818&lt;=0.2,"Low (1-20%)",IF(T6818&lt;=0.4,"Medium (21-40%)","High (&gt;40%)"))))</f>
        <v/>
      </c>
      <c r="Y6818" s="23" t="str">
        <f aca="false">IF(AND(ISNUMBER(C6818),ISNUMBER(D6818)),D6818-C6818,"")</f>
        <v/>
      </c>
      <c r="Z6818" s="23" t="str">
        <f aca="false">IF(B6818="","",IF(MATCH(B6818,$B$2:$B$12000,0)=ROW()-1,1,0))</f>
        <v/>
      </c>
    </row>
    <row r="6819" customFormat="false" ht="15" hidden="false" customHeight="false" outlineLevel="0" collapsed="false">
      <c r="V6819" s="23" t="str">
        <f aca="false">IF(ISNUMBER(C6819),YEAR(C6819),"")</f>
        <v/>
      </c>
      <c r="W6819" s="23" t="str">
        <f aca="false">IF(ISNUMBER(C6819),MONTH(C6819),"")</f>
        <v/>
      </c>
      <c r="X6819" s="23" t="str">
        <f aca="false">IF(T6819="","",IF(T6819=0,"No discount",IF(T6819&lt;=0.2,"Low (1-20%)",IF(T6819&lt;=0.4,"Medium (21-40%)","High (&gt;40%)"))))</f>
        <v/>
      </c>
      <c r="Y6819" s="23" t="str">
        <f aca="false">IF(AND(ISNUMBER(C6819),ISNUMBER(D6819)),D6819-C6819,"")</f>
        <v/>
      </c>
      <c r="Z6819" s="23" t="str">
        <f aca="false">IF(B6819="","",IF(MATCH(B6819,$B$2:$B$12000,0)=ROW()-1,1,0))</f>
        <v/>
      </c>
    </row>
    <row r="6820" customFormat="false" ht="15" hidden="false" customHeight="false" outlineLevel="0" collapsed="false">
      <c r="V6820" s="23" t="str">
        <f aca="false">IF(ISNUMBER(C6820),YEAR(C6820),"")</f>
        <v/>
      </c>
      <c r="W6820" s="23" t="str">
        <f aca="false">IF(ISNUMBER(C6820),MONTH(C6820),"")</f>
        <v/>
      </c>
      <c r="X6820" s="23" t="str">
        <f aca="false">IF(T6820="","",IF(T6820=0,"No discount",IF(T6820&lt;=0.2,"Low (1-20%)",IF(T6820&lt;=0.4,"Medium (21-40%)","High (&gt;40%)"))))</f>
        <v/>
      </c>
      <c r="Y6820" s="23" t="str">
        <f aca="false">IF(AND(ISNUMBER(C6820),ISNUMBER(D6820)),D6820-C6820,"")</f>
        <v/>
      </c>
      <c r="Z6820" s="23" t="str">
        <f aca="false">IF(B6820="","",IF(MATCH(B6820,$B$2:$B$12000,0)=ROW()-1,1,0))</f>
        <v/>
      </c>
    </row>
    <row r="6821" customFormat="false" ht="15" hidden="false" customHeight="false" outlineLevel="0" collapsed="false">
      <c r="V6821" s="23" t="str">
        <f aca="false">IF(ISNUMBER(C6821),YEAR(C6821),"")</f>
        <v/>
      </c>
      <c r="W6821" s="23" t="str">
        <f aca="false">IF(ISNUMBER(C6821),MONTH(C6821),"")</f>
        <v/>
      </c>
      <c r="X6821" s="23" t="str">
        <f aca="false">IF(T6821="","",IF(T6821=0,"No discount",IF(T6821&lt;=0.2,"Low (1-20%)",IF(T6821&lt;=0.4,"Medium (21-40%)","High (&gt;40%)"))))</f>
        <v/>
      </c>
      <c r="Y6821" s="23" t="str">
        <f aca="false">IF(AND(ISNUMBER(C6821),ISNUMBER(D6821)),D6821-C6821,"")</f>
        <v/>
      </c>
      <c r="Z6821" s="23" t="str">
        <f aca="false">IF(B6821="","",IF(MATCH(B6821,$B$2:$B$12000,0)=ROW()-1,1,0))</f>
        <v/>
      </c>
    </row>
    <row r="6822" customFormat="false" ht="15" hidden="false" customHeight="false" outlineLevel="0" collapsed="false">
      <c r="V6822" s="23" t="str">
        <f aca="false">IF(ISNUMBER(C6822),YEAR(C6822),"")</f>
        <v/>
      </c>
      <c r="W6822" s="23" t="str">
        <f aca="false">IF(ISNUMBER(C6822),MONTH(C6822),"")</f>
        <v/>
      </c>
      <c r="X6822" s="23" t="str">
        <f aca="false">IF(T6822="","",IF(T6822=0,"No discount",IF(T6822&lt;=0.2,"Low (1-20%)",IF(T6822&lt;=0.4,"Medium (21-40%)","High (&gt;40%)"))))</f>
        <v/>
      </c>
      <c r="Y6822" s="23" t="str">
        <f aca="false">IF(AND(ISNUMBER(C6822),ISNUMBER(D6822)),D6822-C6822,"")</f>
        <v/>
      </c>
      <c r="Z6822" s="23" t="str">
        <f aca="false">IF(B6822="","",IF(MATCH(B6822,$B$2:$B$12000,0)=ROW()-1,1,0))</f>
        <v/>
      </c>
    </row>
    <row r="6823" customFormat="false" ht="15" hidden="false" customHeight="false" outlineLevel="0" collapsed="false">
      <c r="V6823" s="23" t="str">
        <f aca="false">IF(ISNUMBER(C6823),YEAR(C6823),"")</f>
        <v/>
      </c>
      <c r="W6823" s="23" t="str">
        <f aca="false">IF(ISNUMBER(C6823),MONTH(C6823),"")</f>
        <v/>
      </c>
      <c r="X6823" s="23" t="str">
        <f aca="false">IF(T6823="","",IF(T6823=0,"No discount",IF(T6823&lt;=0.2,"Low (1-20%)",IF(T6823&lt;=0.4,"Medium (21-40%)","High (&gt;40%)"))))</f>
        <v/>
      </c>
      <c r="Y6823" s="23" t="str">
        <f aca="false">IF(AND(ISNUMBER(C6823),ISNUMBER(D6823)),D6823-C6823,"")</f>
        <v/>
      </c>
      <c r="Z6823" s="23" t="str">
        <f aca="false">IF(B6823="","",IF(MATCH(B6823,$B$2:$B$12000,0)=ROW()-1,1,0))</f>
        <v/>
      </c>
    </row>
    <row r="6824" customFormat="false" ht="15" hidden="false" customHeight="false" outlineLevel="0" collapsed="false">
      <c r="V6824" s="23" t="str">
        <f aca="false">IF(ISNUMBER(C6824),YEAR(C6824),"")</f>
        <v/>
      </c>
      <c r="W6824" s="23" t="str">
        <f aca="false">IF(ISNUMBER(C6824),MONTH(C6824),"")</f>
        <v/>
      </c>
      <c r="X6824" s="23" t="str">
        <f aca="false">IF(T6824="","",IF(T6824=0,"No discount",IF(T6824&lt;=0.2,"Low (1-20%)",IF(T6824&lt;=0.4,"Medium (21-40%)","High (&gt;40%)"))))</f>
        <v/>
      </c>
      <c r="Y6824" s="23" t="str">
        <f aca="false">IF(AND(ISNUMBER(C6824),ISNUMBER(D6824)),D6824-C6824,"")</f>
        <v/>
      </c>
      <c r="Z6824" s="23" t="str">
        <f aca="false">IF(B6824="","",IF(MATCH(B6824,$B$2:$B$12000,0)=ROW()-1,1,0))</f>
        <v/>
      </c>
    </row>
    <row r="6825" customFormat="false" ht="15" hidden="false" customHeight="false" outlineLevel="0" collapsed="false">
      <c r="V6825" s="23" t="str">
        <f aca="false">IF(ISNUMBER(C6825),YEAR(C6825),"")</f>
        <v/>
      </c>
      <c r="W6825" s="23" t="str">
        <f aca="false">IF(ISNUMBER(C6825),MONTH(C6825),"")</f>
        <v/>
      </c>
      <c r="X6825" s="23" t="str">
        <f aca="false">IF(T6825="","",IF(T6825=0,"No discount",IF(T6825&lt;=0.2,"Low (1-20%)",IF(T6825&lt;=0.4,"Medium (21-40%)","High (&gt;40%)"))))</f>
        <v/>
      </c>
      <c r="Y6825" s="23" t="str">
        <f aca="false">IF(AND(ISNUMBER(C6825),ISNUMBER(D6825)),D6825-C6825,"")</f>
        <v/>
      </c>
      <c r="Z6825" s="23" t="str">
        <f aca="false">IF(B6825="","",IF(MATCH(B6825,$B$2:$B$12000,0)=ROW()-1,1,0))</f>
        <v/>
      </c>
    </row>
    <row r="6826" customFormat="false" ht="15" hidden="false" customHeight="false" outlineLevel="0" collapsed="false">
      <c r="V6826" s="23" t="str">
        <f aca="false">IF(ISNUMBER(C6826),YEAR(C6826),"")</f>
        <v/>
      </c>
      <c r="W6826" s="23" t="str">
        <f aca="false">IF(ISNUMBER(C6826),MONTH(C6826),"")</f>
        <v/>
      </c>
      <c r="X6826" s="23" t="str">
        <f aca="false">IF(T6826="","",IF(T6826=0,"No discount",IF(T6826&lt;=0.2,"Low (1-20%)",IF(T6826&lt;=0.4,"Medium (21-40%)","High (&gt;40%)"))))</f>
        <v/>
      </c>
      <c r="Y6826" s="23" t="str">
        <f aca="false">IF(AND(ISNUMBER(C6826),ISNUMBER(D6826)),D6826-C6826,"")</f>
        <v/>
      </c>
      <c r="Z6826" s="23" t="str">
        <f aca="false">IF(B6826="","",IF(MATCH(B6826,$B$2:$B$12000,0)=ROW()-1,1,0))</f>
        <v/>
      </c>
    </row>
    <row r="6827" customFormat="false" ht="15" hidden="false" customHeight="false" outlineLevel="0" collapsed="false">
      <c r="V6827" s="23" t="str">
        <f aca="false">IF(ISNUMBER(C6827),YEAR(C6827),"")</f>
        <v/>
      </c>
      <c r="W6827" s="23" t="str">
        <f aca="false">IF(ISNUMBER(C6827),MONTH(C6827),"")</f>
        <v/>
      </c>
      <c r="X6827" s="23" t="str">
        <f aca="false">IF(T6827="","",IF(T6827=0,"No discount",IF(T6827&lt;=0.2,"Low (1-20%)",IF(T6827&lt;=0.4,"Medium (21-40%)","High (&gt;40%)"))))</f>
        <v/>
      </c>
      <c r="Y6827" s="23" t="str">
        <f aca="false">IF(AND(ISNUMBER(C6827),ISNUMBER(D6827)),D6827-C6827,"")</f>
        <v/>
      </c>
      <c r="Z6827" s="23" t="str">
        <f aca="false">IF(B6827="","",IF(MATCH(B6827,$B$2:$B$12000,0)=ROW()-1,1,0))</f>
        <v/>
      </c>
    </row>
    <row r="6828" customFormat="false" ht="15" hidden="false" customHeight="false" outlineLevel="0" collapsed="false">
      <c r="V6828" s="23" t="str">
        <f aca="false">IF(ISNUMBER(C6828),YEAR(C6828),"")</f>
        <v/>
      </c>
      <c r="W6828" s="23" t="str">
        <f aca="false">IF(ISNUMBER(C6828),MONTH(C6828),"")</f>
        <v/>
      </c>
      <c r="X6828" s="23" t="str">
        <f aca="false">IF(T6828="","",IF(T6828=0,"No discount",IF(T6828&lt;=0.2,"Low (1-20%)",IF(T6828&lt;=0.4,"Medium (21-40%)","High (&gt;40%)"))))</f>
        <v/>
      </c>
      <c r="Y6828" s="23" t="str">
        <f aca="false">IF(AND(ISNUMBER(C6828),ISNUMBER(D6828)),D6828-C6828,"")</f>
        <v/>
      </c>
      <c r="Z6828" s="23" t="str">
        <f aca="false">IF(B6828="","",IF(MATCH(B6828,$B$2:$B$12000,0)=ROW()-1,1,0))</f>
        <v/>
      </c>
    </row>
    <row r="6829" customFormat="false" ht="15" hidden="false" customHeight="false" outlineLevel="0" collapsed="false">
      <c r="V6829" s="23" t="str">
        <f aca="false">IF(ISNUMBER(C6829),YEAR(C6829),"")</f>
        <v/>
      </c>
      <c r="W6829" s="23" t="str">
        <f aca="false">IF(ISNUMBER(C6829),MONTH(C6829),"")</f>
        <v/>
      </c>
      <c r="X6829" s="23" t="str">
        <f aca="false">IF(T6829="","",IF(T6829=0,"No discount",IF(T6829&lt;=0.2,"Low (1-20%)",IF(T6829&lt;=0.4,"Medium (21-40%)","High (&gt;40%)"))))</f>
        <v/>
      </c>
      <c r="Y6829" s="23" t="str">
        <f aca="false">IF(AND(ISNUMBER(C6829),ISNUMBER(D6829)),D6829-C6829,"")</f>
        <v/>
      </c>
      <c r="Z6829" s="23" t="str">
        <f aca="false">IF(B6829="","",IF(MATCH(B6829,$B$2:$B$12000,0)=ROW()-1,1,0))</f>
        <v/>
      </c>
    </row>
    <row r="6830" customFormat="false" ht="15" hidden="false" customHeight="false" outlineLevel="0" collapsed="false">
      <c r="V6830" s="23" t="str">
        <f aca="false">IF(ISNUMBER(C6830),YEAR(C6830),"")</f>
        <v/>
      </c>
      <c r="W6830" s="23" t="str">
        <f aca="false">IF(ISNUMBER(C6830),MONTH(C6830),"")</f>
        <v/>
      </c>
      <c r="X6830" s="23" t="str">
        <f aca="false">IF(T6830="","",IF(T6830=0,"No discount",IF(T6830&lt;=0.2,"Low (1-20%)",IF(T6830&lt;=0.4,"Medium (21-40%)","High (&gt;40%)"))))</f>
        <v/>
      </c>
      <c r="Y6830" s="23" t="str">
        <f aca="false">IF(AND(ISNUMBER(C6830),ISNUMBER(D6830)),D6830-C6830,"")</f>
        <v/>
      </c>
      <c r="Z6830" s="23" t="str">
        <f aca="false">IF(B6830="","",IF(MATCH(B6830,$B$2:$B$12000,0)=ROW()-1,1,0))</f>
        <v/>
      </c>
    </row>
    <row r="6831" customFormat="false" ht="15" hidden="false" customHeight="false" outlineLevel="0" collapsed="false">
      <c r="V6831" s="23" t="str">
        <f aca="false">IF(ISNUMBER(C6831),YEAR(C6831),"")</f>
        <v/>
      </c>
      <c r="W6831" s="23" t="str">
        <f aca="false">IF(ISNUMBER(C6831),MONTH(C6831),"")</f>
        <v/>
      </c>
      <c r="X6831" s="23" t="str">
        <f aca="false">IF(T6831="","",IF(T6831=0,"No discount",IF(T6831&lt;=0.2,"Low (1-20%)",IF(T6831&lt;=0.4,"Medium (21-40%)","High (&gt;40%)"))))</f>
        <v/>
      </c>
      <c r="Y6831" s="23" t="str">
        <f aca="false">IF(AND(ISNUMBER(C6831),ISNUMBER(D6831)),D6831-C6831,"")</f>
        <v/>
      </c>
      <c r="Z6831" s="23" t="str">
        <f aca="false">IF(B6831="","",IF(MATCH(B6831,$B$2:$B$12000,0)=ROW()-1,1,0))</f>
        <v/>
      </c>
    </row>
    <row r="6832" customFormat="false" ht="15" hidden="false" customHeight="false" outlineLevel="0" collapsed="false">
      <c r="V6832" s="23" t="str">
        <f aca="false">IF(ISNUMBER(C6832),YEAR(C6832),"")</f>
        <v/>
      </c>
      <c r="W6832" s="23" t="str">
        <f aca="false">IF(ISNUMBER(C6832),MONTH(C6832),"")</f>
        <v/>
      </c>
      <c r="X6832" s="23" t="str">
        <f aca="false">IF(T6832="","",IF(T6832=0,"No discount",IF(T6832&lt;=0.2,"Low (1-20%)",IF(T6832&lt;=0.4,"Medium (21-40%)","High (&gt;40%)"))))</f>
        <v/>
      </c>
      <c r="Y6832" s="23" t="str">
        <f aca="false">IF(AND(ISNUMBER(C6832),ISNUMBER(D6832)),D6832-C6832,"")</f>
        <v/>
      </c>
      <c r="Z6832" s="23" t="str">
        <f aca="false">IF(B6832="","",IF(MATCH(B6832,$B$2:$B$12000,0)=ROW()-1,1,0))</f>
        <v/>
      </c>
    </row>
    <row r="6833" customFormat="false" ht="15" hidden="false" customHeight="false" outlineLevel="0" collapsed="false">
      <c r="V6833" s="23" t="str">
        <f aca="false">IF(ISNUMBER(C6833),YEAR(C6833),"")</f>
        <v/>
      </c>
      <c r="W6833" s="23" t="str">
        <f aca="false">IF(ISNUMBER(C6833),MONTH(C6833),"")</f>
        <v/>
      </c>
      <c r="X6833" s="23" t="str">
        <f aca="false">IF(T6833="","",IF(T6833=0,"No discount",IF(T6833&lt;=0.2,"Low (1-20%)",IF(T6833&lt;=0.4,"Medium (21-40%)","High (&gt;40%)"))))</f>
        <v/>
      </c>
      <c r="Y6833" s="23" t="str">
        <f aca="false">IF(AND(ISNUMBER(C6833),ISNUMBER(D6833)),D6833-C6833,"")</f>
        <v/>
      </c>
      <c r="Z6833" s="23" t="str">
        <f aca="false">IF(B6833="","",IF(MATCH(B6833,$B$2:$B$12000,0)=ROW()-1,1,0))</f>
        <v/>
      </c>
    </row>
    <row r="6834" customFormat="false" ht="15" hidden="false" customHeight="false" outlineLevel="0" collapsed="false">
      <c r="V6834" s="23" t="str">
        <f aca="false">IF(ISNUMBER(C6834),YEAR(C6834),"")</f>
        <v/>
      </c>
      <c r="W6834" s="23" t="str">
        <f aca="false">IF(ISNUMBER(C6834),MONTH(C6834),"")</f>
        <v/>
      </c>
      <c r="X6834" s="23" t="str">
        <f aca="false">IF(T6834="","",IF(T6834=0,"No discount",IF(T6834&lt;=0.2,"Low (1-20%)",IF(T6834&lt;=0.4,"Medium (21-40%)","High (&gt;40%)"))))</f>
        <v/>
      </c>
      <c r="Y6834" s="23" t="str">
        <f aca="false">IF(AND(ISNUMBER(C6834),ISNUMBER(D6834)),D6834-C6834,"")</f>
        <v/>
      </c>
      <c r="Z6834" s="23" t="str">
        <f aca="false">IF(B6834="","",IF(MATCH(B6834,$B$2:$B$12000,0)=ROW()-1,1,0))</f>
        <v/>
      </c>
    </row>
    <row r="6835" customFormat="false" ht="15" hidden="false" customHeight="false" outlineLevel="0" collapsed="false">
      <c r="V6835" s="23" t="str">
        <f aca="false">IF(ISNUMBER(C6835),YEAR(C6835),"")</f>
        <v/>
      </c>
      <c r="W6835" s="23" t="str">
        <f aca="false">IF(ISNUMBER(C6835),MONTH(C6835),"")</f>
        <v/>
      </c>
      <c r="X6835" s="23" t="str">
        <f aca="false">IF(T6835="","",IF(T6835=0,"No discount",IF(T6835&lt;=0.2,"Low (1-20%)",IF(T6835&lt;=0.4,"Medium (21-40%)","High (&gt;40%)"))))</f>
        <v/>
      </c>
      <c r="Y6835" s="23" t="str">
        <f aca="false">IF(AND(ISNUMBER(C6835),ISNUMBER(D6835)),D6835-C6835,"")</f>
        <v/>
      </c>
      <c r="Z6835" s="23" t="str">
        <f aca="false">IF(B6835="","",IF(MATCH(B6835,$B$2:$B$12000,0)=ROW()-1,1,0))</f>
        <v/>
      </c>
    </row>
    <row r="6836" customFormat="false" ht="15" hidden="false" customHeight="false" outlineLevel="0" collapsed="false">
      <c r="V6836" s="23" t="str">
        <f aca="false">IF(ISNUMBER(C6836),YEAR(C6836),"")</f>
        <v/>
      </c>
      <c r="W6836" s="23" t="str">
        <f aca="false">IF(ISNUMBER(C6836),MONTH(C6836),"")</f>
        <v/>
      </c>
      <c r="X6836" s="23" t="str">
        <f aca="false">IF(T6836="","",IF(T6836=0,"No discount",IF(T6836&lt;=0.2,"Low (1-20%)",IF(T6836&lt;=0.4,"Medium (21-40%)","High (&gt;40%)"))))</f>
        <v/>
      </c>
      <c r="Y6836" s="23" t="str">
        <f aca="false">IF(AND(ISNUMBER(C6836),ISNUMBER(D6836)),D6836-C6836,"")</f>
        <v/>
      </c>
      <c r="Z6836" s="23" t="str">
        <f aca="false">IF(B6836="","",IF(MATCH(B6836,$B$2:$B$12000,0)=ROW()-1,1,0))</f>
        <v/>
      </c>
    </row>
    <row r="6837" customFormat="false" ht="15" hidden="false" customHeight="false" outlineLevel="0" collapsed="false">
      <c r="V6837" s="23" t="str">
        <f aca="false">IF(ISNUMBER(C6837),YEAR(C6837),"")</f>
        <v/>
      </c>
      <c r="W6837" s="23" t="str">
        <f aca="false">IF(ISNUMBER(C6837),MONTH(C6837),"")</f>
        <v/>
      </c>
      <c r="X6837" s="23" t="str">
        <f aca="false">IF(T6837="","",IF(T6837=0,"No discount",IF(T6837&lt;=0.2,"Low (1-20%)",IF(T6837&lt;=0.4,"Medium (21-40%)","High (&gt;40%)"))))</f>
        <v/>
      </c>
      <c r="Y6837" s="23" t="str">
        <f aca="false">IF(AND(ISNUMBER(C6837),ISNUMBER(D6837)),D6837-C6837,"")</f>
        <v/>
      </c>
      <c r="Z6837" s="23" t="str">
        <f aca="false">IF(B6837="","",IF(MATCH(B6837,$B$2:$B$12000,0)=ROW()-1,1,0))</f>
        <v/>
      </c>
    </row>
    <row r="6838" customFormat="false" ht="15" hidden="false" customHeight="false" outlineLevel="0" collapsed="false">
      <c r="V6838" s="23" t="str">
        <f aca="false">IF(ISNUMBER(C6838),YEAR(C6838),"")</f>
        <v/>
      </c>
      <c r="W6838" s="23" t="str">
        <f aca="false">IF(ISNUMBER(C6838),MONTH(C6838),"")</f>
        <v/>
      </c>
      <c r="X6838" s="23" t="str">
        <f aca="false">IF(T6838="","",IF(T6838=0,"No discount",IF(T6838&lt;=0.2,"Low (1-20%)",IF(T6838&lt;=0.4,"Medium (21-40%)","High (&gt;40%)"))))</f>
        <v/>
      </c>
      <c r="Y6838" s="23" t="str">
        <f aca="false">IF(AND(ISNUMBER(C6838),ISNUMBER(D6838)),D6838-C6838,"")</f>
        <v/>
      </c>
      <c r="Z6838" s="23" t="str">
        <f aca="false">IF(B6838="","",IF(MATCH(B6838,$B$2:$B$12000,0)=ROW()-1,1,0))</f>
        <v/>
      </c>
    </row>
    <row r="6839" customFormat="false" ht="15" hidden="false" customHeight="false" outlineLevel="0" collapsed="false">
      <c r="V6839" s="23" t="str">
        <f aca="false">IF(ISNUMBER(C6839),YEAR(C6839),"")</f>
        <v/>
      </c>
      <c r="W6839" s="23" t="str">
        <f aca="false">IF(ISNUMBER(C6839),MONTH(C6839),"")</f>
        <v/>
      </c>
      <c r="X6839" s="23" t="str">
        <f aca="false">IF(T6839="","",IF(T6839=0,"No discount",IF(T6839&lt;=0.2,"Low (1-20%)",IF(T6839&lt;=0.4,"Medium (21-40%)","High (&gt;40%)"))))</f>
        <v/>
      </c>
      <c r="Y6839" s="23" t="str">
        <f aca="false">IF(AND(ISNUMBER(C6839),ISNUMBER(D6839)),D6839-C6839,"")</f>
        <v/>
      </c>
      <c r="Z6839" s="23" t="str">
        <f aca="false">IF(B6839="","",IF(MATCH(B6839,$B$2:$B$12000,0)=ROW()-1,1,0))</f>
        <v/>
      </c>
    </row>
    <row r="6840" customFormat="false" ht="15" hidden="false" customHeight="false" outlineLevel="0" collapsed="false">
      <c r="V6840" s="23" t="str">
        <f aca="false">IF(ISNUMBER(C6840),YEAR(C6840),"")</f>
        <v/>
      </c>
      <c r="W6840" s="23" t="str">
        <f aca="false">IF(ISNUMBER(C6840),MONTH(C6840),"")</f>
        <v/>
      </c>
      <c r="X6840" s="23" t="str">
        <f aca="false">IF(T6840="","",IF(T6840=0,"No discount",IF(T6840&lt;=0.2,"Low (1-20%)",IF(T6840&lt;=0.4,"Medium (21-40%)","High (&gt;40%)"))))</f>
        <v/>
      </c>
      <c r="Y6840" s="23" t="str">
        <f aca="false">IF(AND(ISNUMBER(C6840),ISNUMBER(D6840)),D6840-C6840,"")</f>
        <v/>
      </c>
      <c r="Z6840" s="23" t="str">
        <f aca="false">IF(B6840="","",IF(MATCH(B6840,$B$2:$B$12000,0)=ROW()-1,1,0))</f>
        <v/>
      </c>
    </row>
    <row r="6841" customFormat="false" ht="15" hidden="false" customHeight="false" outlineLevel="0" collapsed="false">
      <c r="V6841" s="23" t="str">
        <f aca="false">IF(ISNUMBER(C6841),YEAR(C6841),"")</f>
        <v/>
      </c>
      <c r="W6841" s="23" t="str">
        <f aca="false">IF(ISNUMBER(C6841),MONTH(C6841),"")</f>
        <v/>
      </c>
      <c r="X6841" s="23" t="str">
        <f aca="false">IF(T6841="","",IF(T6841=0,"No discount",IF(T6841&lt;=0.2,"Low (1-20%)",IF(T6841&lt;=0.4,"Medium (21-40%)","High (&gt;40%)"))))</f>
        <v/>
      </c>
      <c r="Y6841" s="23" t="str">
        <f aca="false">IF(AND(ISNUMBER(C6841),ISNUMBER(D6841)),D6841-C6841,"")</f>
        <v/>
      </c>
      <c r="Z6841" s="23" t="str">
        <f aca="false">IF(B6841="","",IF(MATCH(B6841,$B$2:$B$12000,0)=ROW()-1,1,0))</f>
        <v/>
      </c>
    </row>
    <row r="6842" customFormat="false" ht="15" hidden="false" customHeight="false" outlineLevel="0" collapsed="false">
      <c r="V6842" s="23" t="str">
        <f aca="false">IF(ISNUMBER(C6842),YEAR(C6842),"")</f>
        <v/>
      </c>
      <c r="W6842" s="23" t="str">
        <f aca="false">IF(ISNUMBER(C6842),MONTH(C6842),"")</f>
        <v/>
      </c>
      <c r="X6842" s="23" t="str">
        <f aca="false">IF(T6842="","",IF(T6842=0,"No discount",IF(T6842&lt;=0.2,"Low (1-20%)",IF(T6842&lt;=0.4,"Medium (21-40%)","High (&gt;40%)"))))</f>
        <v/>
      </c>
      <c r="Y6842" s="23" t="str">
        <f aca="false">IF(AND(ISNUMBER(C6842),ISNUMBER(D6842)),D6842-C6842,"")</f>
        <v/>
      </c>
      <c r="Z6842" s="23" t="str">
        <f aca="false">IF(B6842="","",IF(MATCH(B6842,$B$2:$B$12000,0)=ROW()-1,1,0))</f>
        <v/>
      </c>
    </row>
    <row r="6843" customFormat="false" ht="15" hidden="false" customHeight="false" outlineLevel="0" collapsed="false">
      <c r="V6843" s="23" t="str">
        <f aca="false">IF(ISNUMBER(C6843),YEAR(C6843),"")</f>
        <v/>
      </c>
      <c r="W6843" s="23" t="str">
        <f aca="false">IF(ISNUMBER(C6843),MONTH(C6843),"")</f>
        <v/>
      </c>
      <c r="X6843" s="23" t="str">
        <f aca="false">IF(T6843="","",IF(T6843=0,"No discount",IF(T6843&lt;=0.2,"Low (1-20%)",IF(T6843&lt;=0.4,"Medium (21-40%)","High (&gt;40%)"))))</f>
        <v/>
      </c>
      <c r="Y6843" s="23" t="str">
        <f aca="false">IF(AND(ISNUMBER(C6843),ISNUMBER(D6843)),D6843-C6843,"")</f>
        <v/>
      </c>
      <c r="Z6843" s="23" t="str">
        <f aca="false">IF(B6843="","",IF(MATCH(B6843,$B$2:$B$12000,0)=ROW()-1,1,0))</f>
        <v/>
      </c>
    </row>
    <row r="6844" customFormat="false" ht="15" hidden="false" customHeight="false" outlineLevel="0" collapsed="false">
      <c r="V6844" s="23" t="str">
        <f aca="false">IF(ISNUMBER(C6844),YEAR(C6844),"")</f>
        <v/>
      </c>
      <c r="W6844" s="23" t="str">
        <f aca="false">IF(ISNUMBER(C6844),MONTH(C6844),"")</f>
        <v/>
      </c>
      <c r="X6844" s="23" t="str">
        <f aca="false">IF(T6844="","",IF(T6844=0,"No discount",IF(T6844&lt;=0.2,"Low (1-20%)",IF(T6844&lt;=0.4,"Medium (21-40%)","High (&gt;40%)"))))</f>
        <v/>
      </c>
      <c r="Y6844" s="23" t="str">
        <f aca="false">IF(AND(ISNUMBER(C6844),ISNUMBER(D6844)),D6844-C6844,"")</f>
        <v/>
      </c>
      <c r="Z6844" s="23" t="str">
        <f aca="false">IF(B6844="","",IF(MATCH(B6844,$B$2:$B$12000,0)=ROW()-1,1,0))</f>
        <v/>
      </c>
    </row>
    <row r="6845" customFormat="false" ht="15" hidden="false" customHeight="false" outlineLevel="0" collapsed="false">
      <c r="V6845" s="23" t="str">
        <f aca="false">IF(ISNUMBER(C6845),YEAR(C6845),"")</f>
        <v/>
      </c>
      <c r="W6845" s="23" t="str">
        <f aca="false">IF(ISNUMBER(C6845),MONTH(C6845),"")</f>
        <v/>
      </c>
      <c r="X6845" s="23" t="str">
        <f aca="false">IF(T6845="","",IF(T6845=0,"No discount",IF(T6845&lt;=0.2,"Low (1-20%)",IF(T6845&lt;=0.4,"Medium (21-40%)","High (&gt;40%)"))))</f>
        <v/>
      </c>
      <c r="Y6845" s="23" t="str">
        <f aca="false">IF(AND(ISNUMBER(C6845),ISNUMBER(D6845)),D6845-C6845,"")</f>
        <v/>
      </c>
      <c r="Z6845" s="23" t="str">
        <f aca="false">IF(B6845="","",IF(MATCH(B6845,$B$2:$B$12000,0)=ROW()-1,1,0))</f>
        <v/>
      </c>
    </row>
    <row r="6846" customFormat="false" ht="15" hidden="false" customHeight="false" outlineLevel="0" collapsed="false">
      <c r="V6846" s="23" t="str">
        <f aca="false">IF(ISNUMBER(C6846),YEAR(C6846),"")</f>
        <v/>
      </c>
      <c r="W6846" s="23" t="str">
        <f aca="false">IF(ISNUMBER(C6846),MONTH(C6846),"")</f>
        <v/>
      </c>
      <c r="X6846" s="23" t="str">
        <f aca="false">IF(T6846="","",IF(T6846=0,"No discount",IF(T6846&lt;=0.2,"Low (1-20%)",IF(T6846&lt;=0.4,"Medium (21-40%)","High (&gt;40%)"))))</f>
        <v/>
      </c>
      <c r="Y6846" s="23" t="str">
        <f aca="false">IF(AND(ISNUMBER(C6846),ISNUMBER(D6846)),D6846-C6846,"")</f>
        <v/>
      </c>
      <c r="Z6846" s="23" t="str">
        <f aca="false">IF(B6846="","",IF(MATCH(B6846,$B$2:$B$12000,0)=ROW()-1,1,0))</f>
        <v/>
      </c>
    </row>
    <row r="6847" customFormat="false" ht="15" hidden="false" customHeight="false" outlineLevel="0" collapsed="false">
      <c r="V6847" s="23" t="str">
        <f aca="false">IF(ISNUMBER(C6847),YEAR(C6847),"")</f>
        <v/>
      </c>
      <c r="W6847" s="23" t="str">
        <f aca="false">IF(ISNUMBER(C6847),MONTH(C6847),"")</f>
        <v/>
      </c>
      <c r="X6847" s="23" t="str">
        <f aca="false">IF(T6847="","",IF(T6847=0,"No discount",IF(T6847&lt;=0.2,"Low (1-20%)",IF(T6847&lt;=0.4,"Medium (21-40%)","High (&gt;40%)"))))</f>
        <v/>
      </c>
      <c r="Y6847" s="23" t="str">
        <f aca="false">IF(AND(ISNUMBER(C6847),ISNUMBER(D6847)),D6847-C6847,"")</f>
        <v/>
      </c>
      <c r="Z6847" s="23" t="str">
        <f aca="false">IF(B6847="","",IF(MATCH(B6847,$B$2:$B$12000,0)=ROW()-1,1,0))</f>
        <v/>
      </c>
    </row>
    <row r="6848" customFormat="false" ht="15" hidden="false" customHeight="false" outlineLevel="0" collapsed="false">
      <c r="V6848" s="23" t="str">
        <f aca="false">IF(ISNUMBER(C6848),YEAR(C6848),"")</f>
        <v/>
      </c>
      <c r="W6848" s="23" t="str">
        <f aca="false">IF(ISNUMBER(C6848),MONTH(C6848),"")</f>
        <v/>
      </c>
      <c r="X6848" s="23" t="str">
        <f aca="false">IF(T6848="","",IF(T6848=0,"No discount",IF(T6848&lt;=0.2,"Low (1-20%)",IF(T6848&lt;=0.4,"Medium (21-40%)","High (&gt;40%)"))))</f>
        <v/>
      </c>
      <c r="Y6848" s="23" t="str">
        <f aca="false">IF(AND(ISNUMBER(C6848),ISNUMBER(D6848)),D6848-C6848,"")</f>
        <v/>
      </c>
      <c r="Z6848" s="23" t="str">
        <f aca="false">IF(B6848="","",IF(MATCH(B6848,$B$2:$B$12000,0)=ROW()-1,1,0))</f>
        <v/>
      </c>
    </row>
    <row r="6849" customFormat="false" ht="15" hidden="false" customHeight="false" outlineLevel="0" collapsed="false">
      <c r="V6849" s="23" t="str">
        <f aca="false">IF(ISNUMBER(C6849),YEAR(C6849),"")</f>
        <v/>
      </c>
      <c r="W6849" s="23" t="str">
        <f aca="false">IF(ISNUMBER(C6849),MONTH(C6849),"")</f>
        <v/>
      </c>
      <c r="X6849" s="23" t="str">
        <f aca="false">IF(T6849="","",IF(T6849=0,"No discount",IF(T6849&lt;=0.2,"Low (1-20%)",IF(T6849&lt;=0.4,"Medium (21-40%)","High (&gt;40%)"))))</f>
        <v/>
      </c>
      <c r="Y6849" s="23" t="str">
        <f aca="false">IF(AND(ISNUMBER(C6849),ISNUMBER(D6849)),D6849-C6849,"")</f>
        <v/>
      </c>
      <c r="Z6849" s="23" t="str">
        <f aca="false">IF(B6849="","",IF(MATCH(B6849,$B$2:$B$12000,0)=ROW()-1,1,0))</f>
        <v/>
      </c>
    </row>
    <row r="6850" customFormat="false" ht="15" hidden="false" customHeight="false" outlineLevel="0" collapsed="false">
      <c r="V6850" s="23" t="str">
        <f aca="false">IF(ISNUMBER(C6850),YEAR(C6850),"")</f>
        <v/>
      </c>
      <c r="W6850" s="23" t="str">
        <f aca="false">IF(ISNUMBER(C6850),MONTH(C6850),"")</f>
        <v/>
      </c>
      <c r="X6850" s="23" t="str">
        <f aca="false">IF(T6850="","",IF(T6850=0,"No discount",IF(T6850&lt;=0.2,"Low (1-20%)",IF(T6850&lt;=0.4,"Medium (21-40%)","High (&gt;40%)"))))</f>
        <v/>
      </c>
      <c r="Y6850" s="23" t="str">
        <f aca="false">IF(AND(ISNUMBER(C6850),ISNUMBER(D6850)),D6850-C6850,"")</f>
        <v/>
      </c>
      <c r="Z6850" s="23" t="str">
        <f aca="false">IF(B6850="","",IF(MATCH(B6850,$B$2:$B$12000,0)=ROW()-1,1,0))</f>
        <v/>
      </c>
    </row>
    <row r="6851" customFormat="false" ht="15" hidden="false" customHeight="false" outlineLevel="0" collapsed="false">
      <c r="V6851" s="23" t="str">
        <f aca="false">IF(ISNUMBER(C6851),YEAR(C6851),"")</f>
        <v/>
      </c>
      <c r="W6851" s="23" t="str">
        <f aca="false">IF(ISNUMBER(C6851),MONTH(C6851),"")</f>
        <v/>
      </c>
      <c r="X6851" s="23" t="str">
        <f aca="false">IF(T6851="","",IF(T6851=0,"No discount",IF(T6851&lt;=0.2,"Low (1-20%)",IF(T6851&lt;=0.4,"Medium (21-40%)","High (&gt;40%)"))))</f>
        <v/>
      </c>
      <c r="Y6851" s="23" t="str">
        <f aca="false">IF(AND(ISNUMBER(C6851),ISNUMBER(D6851)),D6851-C6851,"")</f>
        <v/>
      </c>
      <c r="Z6851" s="23" t="str">
        <f aca="false">IF(B6851="","",IF(MATCH(B6851,$B$2:$B$12000,0)=ROW()-1,1,0))</f>
        <v/>
      </c>
    </row>
    <row r="6852" customFormat="false" ht="15" hidden="false" customHeight="false" outlineLevel="0" collapsed="false">
      <c r="V6852" s="23" t="str">
        <f aca="false">IF(ISNUMBER(C6852),YEAR(C6852),"")</f>
        <v/>
      </c>
      <c r="W6852" s="23" t="str">
        <f aca="false">IF(ISNUMBER(C6852),MONTH(C6852),"")</f>
        <v/>
      </c>
      <c r="X6852" s="23" t="str">
        <f aca="false">IF(T6852="","",IF(T6852=0,"No discount",IF(T6852&lt;=0.2,"Low (1-20%)",IF(T6852&lt;=0.4,"Medium (21-40%)","High (&gt;40%)"))))</f>
        <v/>
      </c>
      <c r="Y6852" s="23" t="str">
        <f aca="false">IF(AND(ISNUMBER(C6852),ISNUMBER(D6852)),D6852-C6852,"")</f>
        <v/>
      </c>
      <c r="Z6852" s="23" t="str">
        <f aca="false">IF(B6852="","",IF(MATCH(B6852,$B$2:$B$12000,0)=ROW()-1,1,0))</f>
        <v/>
      </c>
    </row>
    <row r="6853" customFormat="false" ht="15" hidden="false" customHeight="false" outlineLevel="0" collapsed="false">
      <c r="V6853" s="23" t="str">
        <f aca="false">IF(ISNUMBER(C6853),YEAR(C6853),"")</f>
        <v/>
      </c>
      <c r="W6853" s="23" t="str">
        <f aca="false">IF(ISNUMBER(C6853),MONTH(C6853),"")</f>
        <v/>
      </c>
      <c r="X6853" s="23" t="str">
        <f aca="false">IF(T6853="","",IF(T6853=0,"No discount",IF(T6853&lt;=0.2,"Low (1-20%)",IF(T6853&lt;=0.4,"Medium (21-40%)","High (&gt;40%)"))))</f>
        <v/>
      </c>
      <c r="Y6853" s="23" t="str">
        <f aca="false">IF(AND(ISNUMBER(C6853),ISNUMBER(D6853)),D6853-C6853,"")</f>
        <v/>
      </c>
      <c r="Z6853" s="23" t="str">
        <f aca="false">IF(B6853="","",IF(MATCH(B6853,$B$2:$B$12000,0)=ROW()-1,1,0))</f>
        <v/>
      </c>
    </row>
    <row r="6854" customFormat="false" ht="15" hidden="false" customHeight="false" outlineLevel="0" collapsed="false">
      <c r="V6854" s="23" t="str">
        <f aca="false">IF(ISNUMBER(C6854),YEAR(C6854),"")</f>
        <v/>
      </c>
      <c r="W6854" s="23" t="str">
        <f aca="false">IF(ISNUMBER(C6854),MONTH(C6854),"")</f>
        <v/>
      </c>
      <c r="X6854" s="23" t="str">
        <f aca="false">IF(T6854="","",IF(T6854=0,"No discount",IF(T6854&lt;=0.2,"Low (1-20%)",IF(T6854&lt;=0.4,"Medium (21-40%)","High (&gt;40%)"))))</f>
        <v/>
      </c>
      <c r="Y6854" s="23" t="str">
        <f aca="false">IF(AND(ISNUMBER(C6854),ISNUMBER(D6854)),D6854-C6854,"")</f>
        <v/>
      </c>
      <c r="Z6854" s="23" t="str">
        <f aca="false">IF(B6854="","",IF(MATCH(B6854,$B$2:$B$12000,0)=ROW()-1,1,0))</f>
        <v/>
      </c>
    </row>
    <row r="6855" customFormat="false" ht="15" hidden="false" customHeight="false" outlineLevel="0" collapsed="false">
      <c r="V6855" s="23" t="str">
        <f aca="false">IF(ISNUMBER(C6855),YEAR(C6855),"")</f>
        <v/>
      </c>
      <c r="W6855" s="23" t="str">
        <f aca="false">IF(ISNUMBER(C6855),MONTH(C6855),"")</f>
        <v/>
      </c>
      <c r="X6855" s="23" t="str">
        <f aca="false">IF(T6855="","",IF(T6855=0,"No discount",IF(T6855&lt;=0.2,"Low (1-20%)",IF(T6855&lt;=0.4,"Medium (21-40%)","High (&gt;40%)"))))</f>
        <v/>
      </c>
      <c r="Y6855" s="23" t="str">
        <f aca="false">IF(AND(ISNUMBER(C6855),ISNUMBER(D6855)),D6855-C6855,"")</f>
        <v/>
      </c>
      <c r="Z6855" s="23" t="str">
        <f aca="false">IF(B6855="","",IF(MATCH(B6855,$B$2:$B$12000,0)=ROW()-1,1,0))</f>
        <v/>
      </c>
    </row>
    <row r="6856" customFormat="false" ht="15" hidden="false" customHeight="false" outlineLevel="0" collapsed="false">
      <c r="V6856" s="23" t="str">
        <f aca="false">IF(ISNUMBER(C6856),YEAR(C6856),"")</f>
        <v/>
      </c>
      <c r="W6856" s="23" t="str">
        <f aca="false">IF(ISNUMBER(C6856),MONTH(C6856),"")</f>
        <v/>
      </c>
      <c r="X6856" s="23" t="str">
        <f aca="false">IF(T6856="","",IF(T6856=0,"No discount",IF(T6856&lt;=0.2,"Low (1-20%)",IF(T6856&lt;=0.4,"Medium (21-40%)","High (&gt;40%)"))))</f>
        <v/>
      </c>
      <c r="Y6856" s="23" t="str">
        <f aca="false">IF(AND(ISNUMBER(C6856),ISNUMBER(D6856)),D6856-C6856,"")</f>
        <v/>
      </c>
      <c r="Z6856" s="23" t="str">
        <f aca="false">IF(B6856="","",IF(MATCH(B6856,$B$2:$B$12000,0)=ROW()-1,1,0))</f>
        <v/>
      </c>
    </row>
    <row r="6857" customFormat="false" ht="15" hidden="false" customHeight="false" outlineLevel="0" collapsed="false">
      <c r="V6857" s="23" t="str">
        <f aca="false">IF(ISNUMBER(C6857),YEAR(C6857),"")</f>
        <v/>
      </c>
      <c r="W6857" s="23" t="str">
        <f aca="false">IF(ISNUMBER(C6857),MONTH(C6857),"")</f>
        <v/>
      </c>
      <c r="X6857" s="23" t="str">
        <f aca="false">IF(T6857="","",IF(T6857=0,"No discount",IF(T6857&lt;=0.2,"Low (1-20%)",IF(T6857&lt;=0.4,"Medium (21-40%)","High (&gt;40%)"))))</f>
        <v/>
      </c>
      <c r="Y6857" s="23" t="str">
        <f aca="false">IF(AND(ISNUMBER(C6857),ISNUMBER(D6857)),D6857-C6857,"")</f>
        <v/>
      </c>
      <c r="Z6857" s="23" t="str">
        <f aca="false">IF(B6857="","",IF(MATCH(B6857,$B$2:$B$12000,0)=ROW()-1,1,0))</f>
        <v/>
      </c>
    </row>
    <row r="6858" customFormat="false" ht="15" hidden="false" customHeight="false" outlineLevel="0" collapsed="false">
      <c r="V6858" s="23" t="str">
        <f aca="false">IF(ISNUMBER(C6858),YEAR(C6858),"")</f>
        <v/>
      </c>
      <c r="W6858" s="23" t="str">
        <f aca="false">IF(ISNUMBER(C6858),MONTH(C6858),"")</f>
        <v/>
      </c>
      <c r="X6858" s="23" t="str">
        <f aca="false">IF(T6858="","",IF(T6858=0,"No discount",IF(T6858&lt;=0.2,"Low (1-20%)",IF(T6858&lt;=0.4,"Medium (21-40%)","High (&gt;40%)"))))</f>
        <v/>
      </c>
      <c r="Y6858" s="23" t="str">
        <f aca="false">IF(AND(ISNUMBER(C6858),ISNUMBER(D6858)),D6858-C6858,"")</f>
        <v/>
      </c>
      <c r="Z6858" s="23" t="str">
        <f aca="false">IF(B6858="","",IF(MATCH(B6858,$B$2:$B$12000,0)=ROW()-1,1,0))</f>
        <v/>
      </c>
    </row>
    <row r="6859" customFormat="false" ht="15" hidden="false" customHeight="false" outlineLevel="0" collapsed="false">
      <c r="V6859" s="23" t="str">
        <f aca="false">IF(ISNUMBER(C6859),YEAR(C6859),"")</f>
        <v/>
      </c>
      <c r="W6859" s="23" t="str">
        <f aca="false">IF(ISNUMBER(C6859),MONTH(C6859),"")</f>
        <v/>
      </c>
      <c r="X6859" s="23" t="str">
        <f aca="false">IF(T6859="","",IF(T6859=0,"No discount",IF(T6859&lt;=0.2,"Low (1-20%)",IF(T6859&lt;=0.4,"Medium (21-40%)","High (&gt;40%)"))))</f>
        <v/>
      </c>
      <c r="Y6859" s="23" t="str">
        <f aca="false">IF(AND(ISNUMBER(C6859),ISNUMBER(D6859)),D6859-C6859,"")</f>
        <v/>
      </c>
      <c r="Z6859" s="23" t="str">
        <f aca="false">IF(B6859="","",IF(MATCH(B6859,$B$2:$B$12000,0)=ROW()-1,1,0))</f>
        <v/>
      </c>
    </row>
    <row r="6860" customFormat="false" ht="15" hidden="false" customHeight="false" outlineLevel="0" collapsed="false">
      <c r="V6860" s="23" t="str">
        <f aca="false">IF(ISNUMBER(C6860),YEAR(C6860),"")</f>
        <v/>
      </c>
      <c r="W6860" s="23" t="str">
        <f aca="false">IF(ISNUMBER(C6860),MONTH(C6860),"")</f>
        <v/>
      </c>
      <c r="X6860" s="23" t="str">
        <f aca="false">IF(T6860="","",IF(T6860=0,"No discount",IF(T6860&lt;=0.2,"Low (1-20%)",IF(T6860&lt;=0.4,"Medium (21-40%)","High (&gt;40%)"))))</f>
        <v/>
      </c>
      <c r="Y6860" s="23" t="str">
        <f aca="false">IF(AND(ISNUMBER(C6860),ISNUMBER(D6860)),D6860-C6860,"")</f>
        <v/>
      </c>
      <c r="Z6860" s="23" t="str">
        <f aca="false">IF(B6860="","",IF(MATCH(B6860,$B$2:$B$12000,0)=ROW()-1,1,0))</f>
        <v/>
      </c>
    </row>
    <row r="6861" customFormat="false" ht="15" hidden="false" customHeight="false" outlineLevel="0" collapsed="false">
      <c r="V6861" s="23" t="str">
        <f aca="false">IF(ISNUMBER(C6861),YEAR(C6861),"")</f>
        <v/>
      </c>
      <c r="W6861" s="23" t="str">
        <f aca="false">IF(ISNUMBER(C6861),MONTH(C6861),"")</f>
        <v/>
      </c>
      <c r="X6861" s="23" t="str">
        <f aca="false">IF(T6861="","",IF(T6861=0,"No discount",IF(T6861&lt;=0.2,"Low (1-20%)",IF(T6861&lt;=0.4,"Medium (21-40%)","High (&gt;40%)"))))</f>
        <v/>
      </c>
      <c r="Y6861" s="23" t="str">
        <f aca="false">IF(AND(ISNUMBER(C6861),ISNUMBER(D6861)),D6861-C6861,"")</f>
        <v/>
      </c>
      <c r="Z6861" s="23" t="str">
        <f aca="false">IF(B6861="","",IF(MATCH(B6861,$B$2:$B$12000,0)=ROW()-1,1,0))</f>
        <v/>
      </c>
    </row>
    <row r="6862" customFormat="false" ht="15" hidden="false" customHeight="false" outlineLevel="0" collapsed="false">
      <c r="V6862" s="23" t="str">
        <f aca="false">IF(ISNUMBER(C6862),YEAR(C6862),"")</f>
        <v/>
      </c>
      <c r="W6862" s="23" t="str">
        <f aca="false">IF(ISNUMBER(C6862),MONTH(C6862),"")</f>
        <v/>
      </c>
      <c r="X6862" s="23" t="str">
        <f aca="false">IF(T6862="","",IF(T6862=0,"No discount",IF(T6862&lt;=0.2,"Low (1-20%)",IF(T6862&lt;=0.4,"Medium (21-40%)","High (&gt;40%)"))))</f>
        <v/>
      </c>
      <c r="Y6862" s="23" t="str">
        <f aca="false">IF(AND(ISNUMBER(C6862),ISNUMBER(D6862)),D6862-C6862,"")</f>
        <v/>
      </c>
      <c r="Z6862" s="23" t="str">
        <f aca="false">IF(B6862="","",IF(MATCH(B6862,$B$2:$B$12000,0)=ROW()-1,1,0))</f>
        <v/>
      </c>
    </row>
    <row r="6863" customFormat="false" ht="15" hidden="false" customHeight="false" outlineLevel="0" collapsed="false">
      <c r="V6863" s="23" t="str">
        <f aca="false">IF(ISNUMBER(C6863),YEAR(C6863),"")</f>
        <v/>
      </c>
      <c r="W6863" s="23" t="str">
        <f aca="false">IF(ISNUMBER(C6863),MONTH(C6863),"")</f>
        <v/>
      </c>
      <c r="X6863" s="23" t="str">
        <f aca="false">IF(T6863="","",IF(T6863=0,"No discount",IF(T6863&lt;=0.2,"Low (1-20%)",IF(T6863&lt;=0.4,"Medium (21-40%)","High (&gt;40%)"))))</f>
        <v/>
      </c>
      <c r="Y6863" s="23" t="str">
        <f aca="false">IF(AND(ISNUMBER(C6863),ISNUMBER(D6863)),D6863-C6863,"")</f>
        <v/>
      </c>
      <c r="Z6863" s="23" t="str">
        <f aca="false">IF(B6863="","",IF(MATCH(B6863,$B$2:$B$12000,0)=ROW()-1,1,0))</f>
        <v/>
      </c>
    </row>
    <row r="6864" customFormat="false" ht="15" hidden="false" customHeight="false" outlineLevel="0" collapsed="false">
      <c r="V6864" s="23" t="str">
        <f aca="false">IF(ISNUMBER(C6864),YEAR(C6864),"")</f>
        <v/>
      </c>
      <c r="W6864" s="23" t="str">
        <f aca="false">IF(ISNUMBER(C6864),MONTH(C6864),"")</f>
        <v/>
      </c>
      <c r="X6864" s="23" t="str">
        <f aca="false">IF(T6864="","",IF(T6864=0,"No discount",IF(T6864&lt;=0.2,"Low (1-20%)",IF(T6864&lt;=0.4,"Medium (21-40%)","High (&gt;40%)"))))</f>
        <v/>
      </c>
      <c r="Y6864" s="23" t="str">
        <f aca="false">IF(AND(ISNUMBER(C6864),ISNUMBER(D6864)),D6864-C6864,"")</f>
        <v/>
      </c>
      <c r="Z6864" s="23" t="str">
        <f aca="false">IF(B6864="","",IF(MATCH(B6864,$B$2:$B$12000,0)=ROW()-1,1,0))</f>
        <v/>
      </c>
    </row>
    <row r="6865" customFormat="false" ht="15" hidden="false" customHeight="false" outlineLevel="0" collapsed="false">
      <c r="V6865" s="23" t="str">
        <f aca="false">IF(ISNUMBER(C6865),YEAR(C6865),"")</f>
        <v/>
      </c>
      <c r="W6865" s="23" t="str">
        <f aca="false">IF(ISNUMBER(C6865),MONTH(C6865),"")</f>
        <v/>
      </c>
      <c r="X6865" s="23" t="str">
        <f aca="false">IF(T6865="","",IF(T6865=0,"No discount",IF(T6865&lt;=0.2,"Low (1-20%)",IF(T6865&lt;=0.4,"Medium (21-40%)","High (&gt;40%)"))))</f>
        <v/>
      </c>
      <c r="Y6865" s="23" t="str">
        <f aca="false">IF(AND(ISNUMBER(C6865),ISNUMBER(D6865)),D6865-C6865,"")</f>
        <v/>
      </c>
      <c r="Z6865" s="23" t="str">
        <f aca="false">IF(B6865="","",IF(MATCH(B6865,$B$2:$B$12000,0)=ROW()-1,1,0))</f>
        <v/>
      </c>
    </row>
    <row r="6866" customFormat="false" ht="15" hidden="false" customHeight="false" outlineLevel="0" collapsed="false">
      <c r="V6866" s="23" t="str">
        <f aca="false">IF(ISNUMBER(C6866),YEAR(C6866),"")</f>
        <v/>
      </c>
      <c r="W6866" s="23" t="str">
        <f aca="false">IF(ISNUMBER(C6866),MONTH(C6866),"")</f>
        <v/>
      </c>
      <c r="X6866" s="23" t="str">
        <f aca="false">IF(T6866="","",IF(T6866=0,"No discount",IF(T6866&lt;=0.2,"Low (1-20%)",IF(T6866&lt;=0.4,"Medium (21-40%)","High (&gt;40%)"))))</f>
        <v/>
      </c>
      <c r="Y6866" s="23" t="str">
        <f aca="false">IF(AND(ISNUMBER(C6866),ISNUMBER(D6866)),D6866-C6866,"")</f>
        <v/>
      </c>
      <c r="Z6866" s="23" t="str">
        <f aca="false">IF(B6866="","",IF(MATCH(B6866,$B$2:$B$12000,0)=ROW()-1,1,0))</f>
        <v/>
      </c>
    </row>
    <row r="6867" customFormat="false" ht="15" hidden="false" customHeight="false" outlineLevel="0" collapsed="false">
      <c r="V6867" s="23" t="str">
        <f aca="false">IF(ISNUMBER(C6867),YEAR(C6867),"")</f>
        <v/>
      </c>
      <c r="W6867" s="23" t="str">
        <f aca="false">IF(ISNUMBER(C6867),MONTH(C6867),"")</f>
        <v/>
      </c>
      <c r="X6867" s="23" t="str">
        <f aca="false">IF(T6867="","",IF(T6867=0,"No discount",IF(T6867&lt;=0.2,"Low (1-20%)",IF(T6867&lt;=0.4,"Medium (21-40%)","High (&gt;40%)"))))</f>
        <v/>
      </c>
      <c r="Y6867" s="23" t="str">
        <f aca="false">IF(AND(ISNUMBER(C6867),ISNUMBER(D6867)),D6867-C6867,"")</f>
        <v/>
      </c>
      <c r="Z6867" s="23" t="str">
        <f aca="false">IF(B6867="","",IF(MATCH(B6867,$B$2:$B$12000,0)=ROW()-1,1,0))</f>
        <v/>
      </c>
    </row>
    <row r="6868" customFormat="false" ht="15" hidden="false" customHeight="false" outlineLevel="0" collapsed="false">
      <c r="V6868" s="23" t="str">
        <f aca="false">IF(ISNUMBER(C6868),YEAR(C6868),"")</f>
        <v/>
      </c>
      <c r="W6868" s="23" t="str">
        <f aca="false">IF(ISNUMBER(C6868),MONTH(C6868),"")</f>
        <v/>
      </c>
      <c r="X6868" s="23" t="str">
        <f aca="false">IF(T6868="","",IF(T6868=0,"No discount",IF(T6868&lt;=0.2,"Low (1-20%)",IF(T6868&lt;=0.4,"Medium (21-40%)","High (&gt;40%)"))))</f>
        <v/>
      </c>
      <c r="Y6868" s="23" t="str">
        <f aca="false">IF(AND(ISNUMBER(C6868),ISNUMBER(D6868)),D6868-C6868,"")</f>
        <v/>
      </c>
      <c r="Z6868" s="23" t="str">
        <f aca="false">IF(B6868="","",IF(MATCH(B6868,$B$2:$B$12000,0)=ROW()-1,1,0))</f>
        <v/>
      </c>
    </row>
    <row r="6869" customFormat="false" ht="15" hidden="false" customHeight="false" outlineLevel="0" collapsed="false">
      <c r="V6869" s="23" t="str">
        <f aca="false">IF(ISNUMBER(C6869),YEAR(C6869),"")</f>
        <v/>
      </c>
      <c r="W6869" s="23" t="str">
        <f aca="false">IF(ISNUMBER(C6869),MONTH(C6869),"")</f>
        <v/>
      </c>
      <c r="X6869" s="23" t="str">
        <f aca="false">IF(T6869="","",IF(T6869=0,"No discount",IF(T6869&lt;=0.2,"Low (1-20%)",IF(T6869&lt;=0.4,"Medium (21-40%)","High (&gt;40%)"))))</f>
        <v/>
      </c>
      <c r="Y6869" s="23" t="str">
        <f aca="false">IF(AND(ISNUMBER(C6869),ISNUMBER(D6869)),D6869-C6869,"")</f>
        <v/>
      </c>
      <c r="Z6869" s="23" t="str">
        <f aca="false">IF(B6869="","",IF(MATCH(B6869,$B$2:$B$12000,0)=ROW()-1,1,0))</f>
        <v/>
      </c>
    </row>
    <row r="6870" customFormat="false" ht="15" hidden="false" customHeight="false" outlineLevel="0" collapsed="false">
      <c r="V6870" s="23" t="str">
        <f aca="false">IF(ISNUMBER(C6870),YEAR(C6870),"")</f>
        <v/>
      </c>
      <c r="W6870" s="23" t="str">
        <f aca="false">IF(ISNUMBER(C6870),MONTH(C6870),"")</f>
        <v/>
      </c>
      <c r="X6870" s="23" t="str">
        <f aca="false">IF(T6870="","",IF(T6870=0,"No discount",IF(T6870&lt;=0.2,"Low (1-20%)",IF(T6870&lt;=0.4,"Medium (21-40%)","High (&gt;40%)"))))</f>
        <v/>
      </c>
      <c r="Y6870" s="23" t="str">
        <f aca="false">IF(AND(ISNUMBER(C6870),ISNUMBER(D6870)),D6870-C6870,"")</f>
        <v/>
      </c>
      <c r="Z6870" s="23" t="str">
        <f aca="false">IF(B6870="","",IF(MATCH(B6870,$B$2:$B$12000,0)=ROW()-1,1,0))</f>
        <v/>
      </c>
    </row>
    <row r="6871" customFormat="false" ht="15" hidden="false" customHeight="false" outlineLevel="0" collapsed="false">
      <c r="V6871" s="23" t="str">
        <f aca="false">IF(ISNUMBER(C6871),YEAR(C6871),"")</f>
        <v/>
      </c>
      <c r="W6871" s="23" t="str">
        <f aca="false">IF(ISNUMBER(C6871),MONTH(C6871),"")</f>
        <v/>
      </c>
      <c r="X6871" s="23" t="str">
        <f aca="false">IF(T6871="","",IF(T6871=0,"No discount",IF(T6871&lt;=0.2,"Low (1-20%)",IF(T6871&lt;=0.4,"Medium (21-40%)","High (&gt;40%)"))))</f>
        <v/>
      </c>
      <c r="Y6871" s="23" t="str">
        <f aca="false">IF(AND(ISNUMBER(C6871),ISNUMBER(D6871)),D6871-C6871,"")</f>
        <v/>
      </c>
      <c r="Z6871" s="23" t="str">
        <f aca="false">IF(B6871="","",IF(MATCH(B6871,$B$2:$B$12000,0)=ROW()-1,1,0))</f>
        <v/>
      </c>
    </row>
    <row r="6872" customFormat="false" ht="15" hidden="false" customHeight="false" outlineLevel="0" collapsed="false">
      <c r="V6872" s="23" t="str">
        <f aca="false">IF(ISNUMBER(C6872),YEAR(C6872),"")</f>
        <v/>
      </c>
      <c r="W6872" s="23" t="str">
        <f aca="false">IF(ISNUMBER(C6872),MONTH(C6872),"")</f>
        <v/>
      </c>
      <c r="X6872" s="23" t="str">
        <f aca="false">IF(T6872="","",IF(T6872=0,"No discount",IF(T6872&lt;=0.2,"Low (1-20%)",IF(T6872&lt;=0.4,"Medium (21-40%)","High (&gt;40%)"))))</f>
        <v/>
      </c>
      <c r="Y6872" s="23" t="str">
        <f aca="false">IF(AND(ISNUMBER(C6872),ISNUMBER(D6872)),D6872-C6872,"")</f>
        <v/>
      </c>
      <c r="Z6872" s="23" t="str">
        <f aca="false">IF(B6872="","",IF(MATCH(B6872,$B$2:$B$12000,0)=ROW()-1,1,0))</f>
        <v/>
      </c>
    </row>
    <row r="6873" customFormat="false" ht="15" hidden="false" customHeight="false" outlineLevel="0" collapsed="false">
      <c r="V6873" s="23" t="str">
        <f aca="false">IF(ISNUMBER(C6873),YEAR(C6873),"")</f>
        <v/>
      </c>
      <c r="W6873" s="23" t="str">
        <f aca="false">IF(ISNUMBER(C6873),MONTH(C6873),"")</f>
        <v/>
      </c>
      <c r="X6873" s="23" t="str">
        <f aca="false">IF(T6873="","",IF(T6873=0,"No discount",IF(T6873&lt;=0.2,"Low (1-20%)",IF(T6873&lt;=0.4,"Medium (21-40%)","High (&gt;40%)"))))</f>
        <v/>
      </c>
      <c r="Y6873" s="23" t="str">
        <f aca="false">IF(AND(ISNUMBER(C6873),ISNUMBER(D6873)),D6873-C6873,"")</f>
        <v/>
      </c>
      <c r="Z6873" s="23" t="str">
        <f aca="false">IF(B6873="","",IF(MATCH(B6873,$B$2:$B$12000,0)=ROW()-1,1,0))</f>
        <v/>
      </c>
    </row>
    <row r="6874" customFormat="false" ht="15" hidden="false" customHeight="false" outlineLevel="0" collapsed="false">
      <c r="V6874" s="23" t="str">
        <f aca="false">IF(ISNUMBER(C6874),YEAR(C6874),"")</f>
        <v/>
      </c>
      <c r="W6874" s="23" t="str">
        <f aca="false">IF(ISNUMBER(C6874),MONTH(C6874),"")</f>
        <v/>
      </c>
      <c r="X6874" s="23" t="str">
        <f aca="false">IF(T6874="","",IF(T6874=0,"No discount",IF(T6874&lt;=0.2,"Low (1-20%)",IF(T6874&lt;=0.4,"Medium (21-40%)","High (&gt;40%)"))))</f>
        <v/>
      </c>
      <c r="Y6874" s="23" t="str">
        <f aca="false">IF(AND(ISNUMBER(C6874),ISNUMBER(D6874)),D6874-C6874,"")</f>
        <v/>
      </c>
      <c r="Z6874" s="23" t="str">
        <f aca="false">IF(B6874="","",IF(MATCH(B6874,$B$2:$B$12000,0)=ROW()-1,1,0))</f>
        <v/>
      </c>
    </row>
    <row r="6875" customFormat="false" ht="15" hidden="false" customHeight="false" outlineLevel="0" collapsed="false">
      <c r="V6875" s="23" t="str">
        <f aca="false">IF(ISNUMBER(C6875),YEAR(C6875),"")</f>
        <v/>
      </c>
      <c r="W6875" s="23" t="str">
        <f aca="false">IF(ISNUMBER(C6875),MONTH(C6875),"")</f>
        <v/>
      </c>
      <c r="X6875" s="23" t="str">
        <f aca="false">IF(T6875="","",IF(T6875=0,"No discount",IF(T6875&lt;=0.2,"Low (1-20%)",IF(T6875&lt;=0.4,"Medium (21-40%)","High (&gt;40%)"))))</f>
        <v/>
      </c>
      <c r="Y6875" s="23" t="str">
        <f aca="false">IF(AND(ISNUMBER(C6875),ISNUMBER(D6875)),D6875-C6875,"")</f>
        <v/>
      </c>
      <c r="Z6875" s="23" t="str">
        <f aca="false">IF(B6875="","",IF(MATCH(B6875,$B$2:$B$12000,0)=ROW()-1,1,0))</f>
        <v/>
      </c>
    </row>
    <row r="6876" customFormat="false" ht="15" hidden="false" customHeight="false" outlineLevel="0" collapsed="false">
      <c r="V6876" s="23" t="str">
        <f aca="false">IF(ISNUMBER(C6876),YEAR(C6876),"")</f>
        <v/>
      </c>
      <c r="W6876" s="23" t="str">
        <f aca="false">IF(ISNUMBER(C6876),MONTH(C6876),"")</f>
        <v/>
      </c>
      <c r="X6876" s="23" t="str">
        <f aca="false">IF(T6876="","",IF(T6876=0,"No discount",IF(T6876&lt;=0.2,"Low (1-20%)",IF(T6876&lt;=0.4,"Medium (21-40%)","High (&gt;40%)"))))</f>
        <v/>
      </c>
      <c r="Y6876" s="23" t="str">
        <f aca="false">IF(AND(ISNUMBER(C6876),ISNUMBER(D6876)),D6876-C6876,"")</f>
        <v/>
      </c>
      <c r="Z6876" s="23" t="str">
        <f aca="false">IF(B6876="","",IF(MATCH(B6876,$B$2:$B$12000,0)=ROW()-1,1,0))</f>
        <v/>
      </c>
    </row>
    <row r="6877" customFormat="false" ht="15" hidden="false" customHeight="false" outlineLevel="0" collapsed="false">
      <c r="V6877" s="23" t="str">
        <f aca="false">IF(ISNUMBER(C6877),YEAR(C6877),"")</f>
        <v/>
      </c>
      <c r="W6877" s="23" t="str">
        <f aca="false">IF(ISNUMBER(C6877),MONTH(C6877),"")</f>
        <v/>
      </c>
      <c r="X6877" s="23" t="str">
        <f aca="false">IF(T6877="","",IF(T6877=0,"No discount",IF(T6877&lt;=0.2,"Low (1-20%)",IF(T6877&lt;=0.4,"Medium (21-40%)","High (&gt;40%)"))))</f>
        <v/>
      </c>
      <c r="Y6877" s="23" t="str">
        <f aca="false">IF(AND(ISNUMBER(C6877),ISNUMBER(D6877)),D6877-C6877,"")</f>
        <v/>
      </c>
      <c r="Z6877" s="23" t="str">
        <f aca="false">IF(B6877="","",IF(MATCH(B6877,$B$2:$B$12000,0)=ROW()-1,1,0))</f>
        <v/>
      </c>
    </row>
    <row r="6878" customFormat="false" ht="15" hidden="false" customHeight="false" outlineLevel="0" collapsed="false">
      <c r="V6878" s="23" t="str">
        <f aca="false">IF(ISNUMBER(C6878),YEAR(C6878),"")</f>
        <v/>
      </c>
      <c r="W6878" s="23" t="str">
        <f aca="false">IF(ISNUMBER(C6878),MONTH(C6878),"")</f>
        <v/>
      </c>
      <c r="X6878" s="23" t="str">
        <f aca="false">IF(T6878="","",IF(T6878=0,"No discount",IF(T6878&lt;=0.2,"Low (1-20%)",IF(T6878&lt;=0.4,"Medium (21-40%)","High (&gt;40%)"))))</f>
        <v/>
      </c>
      <c r="Y6878" s="23" t="str">
        <f aca="false">IF(AND(ISNUMBER(C6878),ISNUMBER(D6878)),D6878-C6878,"")</f>
        <v/>
      </c>
      <c r="Z6878" s="23" t="str">
        <f aca="false">IF(B6878="","",IF(MATCH(B6878,$B$2:$B$12000,0)=ROW()-1,1,0))</f>
        <v/>
      </c>
    </row>
    <row r="6879" customFormat="false" ht="15" hidden="false" customHeight="false" outlineLevel="0" collapsed="false">
      <c r="V6879" s="23" t="str">
        <f aca="false">IF(ISNUMBER(C6879),YEAR(C6879),"")</f>
        <v/>
      </c>
      <c r="W6879" s="23" t="str">
        <f aca="false">IF(ISNUMBER(C6879),MONTH(C6879),"")</f>
        <v/>
      </c>
      <c r="X6879" s="23" t="str">
        <f aca="false">IF(T6879="","",IF(T6879=0,"No discount",IF(T6879&lt;=0.2,"Low (1-20%)",IF(T6879&lt;=0.4,"Medium (21-40%)","High (&gt;40%)"))))</f>
        <v/>
      </c>
      <c r="Y6879" s="23" t="str">
        <f aca="false">IF(AND(ISNUMBER(C6879),ISNUMBER(D6879)),D6879-C6879,"")</f>
        <v/>
      </c>
      <c r="Z6879" s="23" t="str">
        <f aca="false">IF(B6879="","",IF(MATCH(B6879,$B$2:$B$12000,0)=ROW()-1,1,0))</f>
        <v/>
      </c>
    </row>
    <row r="6880" customFormat="false" ht="15" hidden="false" customHeight="false" outlineLevel="0" collapsed="false">
      <c r="V6880" s="23" t="str">
        <f aca="false">IF(ISNUMBER(C6880),YEAR(C6880),"")</f>
        <v/>
      </c>
      <c r="W6880" s="23" t="str">
        <f aca="false">IF(ISNUMBER(C6880),MONTH(C6880),"")</f>
        <v/>
      </c>
      <c r="X6880" s="23" t="str">
        <f aca="false">IF(T6880="","",IF(T6880=0,"No discount",IF(T6880&lt;=0.2,"Low (1-20%)",IF(T6880&lt;=0.4,"Medium (21-40%)","High (&gt;40%)"))))</f>
        <v/>
      </c>
      <c r="Y6880" s="23" t="str">
        <f aca="false">IF(AND(ISNUMBER(C6880),ISNUMBER(D6880)),D6880-C6880,"")</f>
        <v/>
      </c>
      <c r="Z6880" s="23" t="str">
        <f aca="false">IF(B6880="","",IF(MATCH(B6880,$B$2:$B$12000,0)=ROW()-1,1,0))</f>
        <v/>
      </c>
    </row>
    <row r="6881" customFormat="false" ht="15" hidden="false" customHeight="false" outlineLevel="0" collapsed="false">
      <c r="V6881" s="23" t="str">
        <f aca="false">IF(ISNUMBER(C6881),YEAR(C6881),"")</f>
        <v/>
      </c>
      <c r="W6881" s="23" t="str">
        <f aca="false">IF(ISNUMBER(C6881),MONTH(C6881),"")</f>
        <v/>
      </c>
      <c r="X6881" s="23" t="str">
        <f aca="false">IF(T6881="","",IF(T6881=0,"No discount",IF(T6881&lt;=0.2,"Low (1-20%)",IF(T6881&lt;=0.4,"Medium (21-40%)","High (&gt;40%)"))))</f>
        <v/>
      </c>
      <c r="Y6881" s="23" t="str">
        <f aca="false">IF(AND(ISNUMBER(C6881),ISNUMBER(D6881)),D6881-C6881,"")</f>
        <v/>
      </c>
      <c r="Z6881" s="23" t="str">
        <f aca="false">IF(B6881="","",IF(MATCH(B6881,$B$2:$B$12000,0)=ROW()-1,1,0))</f>
        <v/>
      </c>
    </row>
    <row r="6882" customFormat="false" ht="15" hidden="false" customHeight="false" outlineLevel="0" collapsed="false">
      <c r="V6882" s="23" t="str">
        <f aca="false">IF(ISNUMBER(C6882),YEAR(C6882),"")</f>
        <v/>
      </c>
      <c r="W6882" s="23" t="str">
        <f aca="false">IF(ISNUMBER(C6882),MONTH(C6882),"")</f>
        <v/>
      </c>
      <c r="X6882" s="23" t="str">
        <f aca="false">IF(T6882="","",IF(T6882=0,"No discount",IF(T6882&lt;=0.2,"Low (1-20%)",IF(T6882&lt;=0.4,"Medium (21-40%)","High (&gt;40%)"))))</f>
        <v/>
      </c>
      <c r="Y6882" s="23" t="str">
        <f aca="false">IF(AND(ISNUMBER(C6882),ISNUMBER(D6882)),D6882-C6882,"")</f>
        <v/>
      </c>
      <c r="Z6882" s="23" t="str">
        <f aca="false">IF(B6882="","",IF(MATCH(B6882,$B$2:$B$12000,0)=ROW()-1,1,0))</f>
        <v/>
      </c>
    </row>
    <row r="6883" customFormat="false" ht="15" hidden="false" customHeight="false" outlineLevel="0" collapsed="false">
      <c r="V6883" s="23" t="str">
        <f aca="false">IF(ISNUMBER(C6883),YEAR(C6883),"")</f>
        <v/>
      </c>
      <c r="W6883" s="23" t="str">
        <f aca="false">IF(ISNUMBER(C6883),MONTH(C6883),"")</f>
        <v/>
      </c>
      <c r="X6883" s="23" t="str">
        <f aca="false">IF(T6883="","",IF(T6883=0,"No discount",IF(T6883&lt;=0.2,"Low (1-20%)",IF(T6883&lt;=0.4,"Medium (21-40%)","High (&gt;40%)"))))</f>
        <v/>
      </c>
      <c r="Y6883" s="23" t="str">
        <f aca="false">IF(AND(ISNUMBER(C6883),ISNUMBER(D6883)),D6883-C6883,"")</f>
        <v/>
      </c>
      <c r="Z6883" s="23" t="str">
        <f aca="false">IF(B6883="","",IF(MATCH(B6883,$B$2:$B$12000,0)=ROW()-1,1,0))</f>
        <v/>
      </c>
    </row>
    <row r="6884" customFormat="false" ht="15" hidden="false" customHeight="false" outlineLevel="0" collapsed="false">
      <c r="V6884" s="23" t="str">
        <f aca="false">IF(ISNUMBER(C6884),YEAR(C6884),"")</f>
        <v/>
      </c>
      <c r="W6884" s="23" t="str">
        <f aca="false">IF(ISNUMBER(C6884),MONTH(C6884),"")</f>
        <v/>
      </c>
      <c r="X6884" s="23" t="str">
        <f aca="false">IF(T6884="","",IF(T6884=0,"No discount",IF(T6884&lt;=0.2,"Low (1-20%)",IF(T6884&lt;=0.4,"Medium (21-40%)","High (&gt;40%)"))))</f>
        <v/>
      </c>
      <c r="Y6884" s="23" t="str">
        <f aca="false">IF(AND(ISNUMBER(C6884),ISNUMBER(D6884)),D6884-C6884,"")</f>
        <v/>
      </c>
      <c r="Z6884" s="23" t="str">
        <f aca="false">IF(B6884="","",IF(MATCH(B6884,$B$2:$B$12000,0)=ROW()-1,1,0))</f>
        <v/>
      </c>
    </row>
    <row r="6885" customFormat="false" ht="15" hidden="false" customHeight="false" outlineLevel="0" collapsed="false">
      <c r="V6885" s="23" t="str">
        <f aca="false">IF(ISNUMBER(C6885),YEAR(C6885),"")</f>
        <v/>
      </c>
      <c r="W6885" s="23" t="str">
        <f aca="false">IF(ISNUMBER(C6885),MONTH(C6885),"")</f>
        <v/>
      </c>
      <c r="X6885" s="23" t="str">
        <f aca="false">IF(T6885="","",IF(T6885=0,"No discount",IF(T6885&lt;=0.2,"Low (1-20%)",IF(T6885&lt;=0.4,"Medium (21-40%)","High (&gt;40%)"))))</f>
        <v/>
      </c>
      <c r="Y6885" s="23" t="str">
        <f aca="false">IF(AND(ISNUMBER(C6885),ISNUMBER(D6885)),D6885-C6885,"")</f>
        <v/>
      </c>
      <c r="Z6885" s="23" t="str">
        <f aca="false">IF(B6885="","",IF(MATCH(B6885,$B$2:$B$12000,0)=ROW()-1,1,0))</f>
        <v/>
      </c>
    </row>
    <row r="6886" customFormat="false" ht="15" hidden="false" customHeight="false" outlineLevel="0" collapsed="false">
      <c r="V6886" s="23" t="str">
        <f aca="false">IF(ISNUMBER(C6886),YEAR(C6886),"")</f>
        <v/>
      </c>
      <c r="W6886" s="23" t="str">
        <f aca="false">IF(ISNUMBER(C6886),MONTH(C6886),"")</f>
        <v/>
      </c>
      <c r="X6886" s="23" t="str">
        <f aca="false">IF(T6886="","",IF(T6886=0,"No discount",IF(T6886&lt;=0.2,"Low (1-20%)",IF(T6886&lt;=0.4,"Medium (21-40%)","High (&gt;40%)"))))</f>
        <v/>
      </c>
      <c r="Y6886" s="23" t="str">
        <f aca="false">IF(AND(ISNUMBER(C6886),ISNUMBER(D6886)),D6886-C6886,"")</f>
        <v/>
      </c>
      <c r="Z6886" s="23" t="str">
        <f aca="false">IF(B6886="","",IF(MATCH(B6886,$B$2:$B$12000,0)=ROW()-1,1,0))</f>
        <v/>
      </c>
    </row>
    <row r="6887" customFormat="false" ht="15" hidden="false" customHeight="false" outlineLevel="0" collapsed="false">
      <c r="V6887" s="23" t="str">
        <f aca="false">IF(ISNUMBER(C6887),YEAR(C6887),"")</f>
        <v/>
      </c>
      <c r="W6887" s="23" t="str">
        <f aca="false">IF(ISNUMBER(C6887),MONTH(C6887),"")</f>
        <v/>
      </c>
      <c r="X6887" s="23" t="str">
        <f aca="false">IF(T6887="","",IF(T6887=0,"No discount",IF(T6887&lt;=0.2,"Low (1-20%)",IF(T6887&lt;=0.4,"Medium (21-40%)","High (&gt;40%)"))))</f>
        <v/>
      </c>
      <c r="Y6887" s="23" t="str">
        <f aca="false">IF(AND(ISNUMBER(C6887),ISNUMBER(D6887)),D6887-C6887,"")</f>
        <v/>
      </c>
      <c r="Z6887" s="23" t="str">
        <f aca="false">IF(B6887="","",IF(MATCH(B6887,$B$2:$B$12000,0)=ROW()-1,1,0))</f>
        <v/>
      </c>
    </row>
    <row r="6888" customFormat="false" ht="15" hidden="false" customHeight="false" outlineLevel="0" collapsed="false">
      <c r="V6888" s="23" t="str">
        <f aca="false">IF(ISNUMBER(C6888),YEAR(C6888),"")</f>
        <v/>
      </c>
      <c r="W6888" s="23" t="str">
        <f aca="false">IF(ISNUMBER(C6888),MONTH(C6888),"")</f>
        <v/>
      </c>
      <c r="X6888" s="23" t="str">
        <f aca="false">IF(T6888="","",IF(T6888=0,"No discount",IF(T6888&lt;=0.2,"Low (1-20%)",IF(T6888&lt;=0.4,"Medium (21-40%)","High (&gt;40%)"))))</f>
        <v/>
      </c>
      <c r="Y6888" s="23" t="str">
        <f aca="false">IF(AND(ISNUMBER(C6888),ISNUMBER(D6888)),D6888-C6888,"")</f>
        <v/>
      </c>
      <c r="Z6888" s="23" t="str">
        <f aca="false">IF(B6888="","",IF(MATCH(B6888,$B$2:$B$12000,0)=ROW()-1,1,0))</f>
        <v/>
      </c>
    </row>
    <row r="6889" customFormat="false" ht="15" hidden="false" customHeight="false" outlineLevel="0" collapsed="false">
      <c r="V6889" s="23" t="str">
        <f aca="false">IF(ISNUMBER(C6889),YEAR(C6889),"")</f>
        <v/>
      </c>
      <c r="W6889" s="23" t="str">
        <f aca="false">IF(ISNUMBER(C6889),MONTH(C6889),"")</f>
        <v/>
      </c>
      <c r="X6889" s="23" t="str">
        <f aca="false">IF(T6889="","",IF(T6889=0,"No discount",IF(T6889&lt;=0.2,"Low (1-20%)",IF(T6889&lt;=0.4,"Medium (21-40%)","High (&gt;40%)"))))</f>
        <v/>
      </c>
      <c r="Y6889" s="23" t="str">
        <f aca="false">IF(AND(ISNUMBER(C6889),ISNUMBER(D6889)),D6889-C6889,"")</f>
        <v/>
      </c>
      <c r="Z6889" s="23" t="str">
        <f aca="false">IF(B6889="","",IF(MATCH(B6889,$B$2:$B$12000,0)=ROW()-1,1,0))</f>
        <v/>
      </c>
    </row>
    <row r="6890" customFormat="false" ht="15" hidden="false" customHeight="false" outlineLevel="0" collapsed="false">
      <c r="V6890" s="23" t="str">
        <f aca="false">IF(ISNUMBER(C6890),YEAR(C6890),"")</f>
        <v/>
      </c>
      <c r="W6890" s="23" t="str">
        <f aca="false">IF(ISNUMBER(C6890),MONTH(C6890),"")</f>
        <v/>
      </c>
      <c r="X6890" s="23" t="str">
        <f aca="false">IF(T6890="","",IF(T6890=0,"No discount",IF(T6890&lt;=0.2,"Low (1-20%)",IF(T6890&lt;=0.4,"Medium (21-40%)","High (&gt;40%)"))))</f>
        <v/>
      </c>
      <c r="Y6890" s="23" t="str">
        <f aca="false">IF(AND(ISNUMBER(C6890),ISNUMBER(D6890)),D6890-C6890,"")</f>
        <v/>
      </c>
      <c r="Z6890" s="23" t="str">
        <f aca="false">IF(B6890="","",IF(MATCH(B6890,$B$2:$B$12000,0)=ROW()-1,1,0))</f>
        <v/>
      </c>
    </row>
    <row r="6891" customFormat="false" ht="15" hidden="false" customHeight="false" outlineLevel="0" collapsed="false">
      <c r="V6891" s="23" t="str">
        <f aca="false">IF(ISNUMBER(C6891),YEAR(C6891),"")</f>
        <v/>
      </c>
      <c r="W6891" s="23" t="str">
        <f aca="false">IF(ISNUMBER(C6891),MONTH(C6891),"")</f>
        <v/>
      </c>
      <c r="X6891" s="23" t="str">
        <f aca="false">IF(T6891="","",IF(T6891=0,"No discount",IF(T6891&lt;=0.2,"Low (1-20%)",IF(T6891&lt;=0.4,"Medium (21-40%)","High (&gt;40%)"))))</f>
        <v/>
      </c>
      <c r="Y6891" s="23" t="str">
        <f aca="false">IF(AND(ISNUMBER(C6891),ISNUMBER(D6891)),D6891-C6891,"")</f>
        <v/>
      </c>
      <c r="Z6891" s="23" t="str">
        <f aca="false">IF(B6891="","",IF(MATCH(B6891,$B$2:$B$12000,0)=ROW()-1,1,0))</f>
        <v/>
      </c>
    </row>
    <row r="6892" customFormat="false" ht="15" hidden="false" customHeight="false" outlineLevel="0" collapsed="false">
      <c r="V6892" s="23" t="str">
        <f aca="false">IF(ISNUMBER(C6892),YEAR(C6892),"")</f>
        <v/>
      </c>
      <c r="W6892" s="23" t="str">
        <f aca="false">IF(ISNUMBER(C6892),MONTH(C6892),"")</f>
        <v/>
      </c>
      <c r="X6892" s="23" t="str">
        <f aca="false">IF(T6892="","",IF(T6892=0,"No discount",IF(T6892&lt;=0.2,"Low (1-20%)",IF(T6892&lt;=0.4,"Medium (21-40%)","High (&gt;40%)"))))</f>
        <v/>
      </c>
      <c r="Y6892" s="23" t="str">
        <f aca="false">IF(AND(ISNUMBER(C6892),ISNUMBER(D6892)),D6892-C6892,"")</f>
        <v/>
      </c>
      <c r="Z6892" s="23" t="str">
        <f aca="false">IF(B6892="","",IF(MATCH(B6892,$B$2:$B$12000,0)=ROW()-1,1,0))</f>
        <v/>
      </c>
    </row>
    <row r="6893" customFormat="false" ht="15" hidden="false" customHeight="false" outlineLevel="0" collapsed="false">
      <c r="V6893" s="23" t="str">
        <f aca="false">IF(ISNUMBER(C6893),YEAR(C6893),"")</f>
        <v/>
      </c>
      <c r="W6893" s="23" t="str">
        <f aca="false">IF(ISNUMBER(C6893),MONTH(C6893),"")</f>
        <v/>
      </c>
      <c r="X6893" s="23" t="str">
        <f aca="false">IF(T6893="","",IF(T6893=0,"No discount",IF(T6893&lt;=0.2,"Low (1-20%)",IF(T6893&lt;=0.4,"Medium (21-40%)","High (&gt;40%)"))))</f>
        <v/>
      </c>
      <c r="Y6893" s="23" t="str">
        <f aca="false">IF(AND(ISNUMBER(C6893),ISNUMBER(D6893)),D6893-C6893,"")</f>
        <v/>
      </c>
      <c r="Z6893" s="23" t="str">
        <f aca="false">IF(B6893="","",IF(MATCH(B6893,$B$2:$B$12000,0)=ROW()-1,1,0))</f>
        <v/>
      </c>
    </row>
    <row r="6894" customFormat="false" ht="15" hidden="false" customHeight="false" outlineLevel="0" collapsed="false">
      <c r="V6894" s="23" t="str">
        <f aca="false">IF(ISNUMBER(C6894),YEAR(C6894),"")</f>
        <v/>
      </c>
      <c r="W6894" s="23" t="str">
        <f aca="false">IF(ISNUMBER(C6894),MONTH(C6894),"")</f>
        <v/>
      </c>
      <c r="X6894" s="23" t="str">
        <f aca="false">IF(T6894="","",IF(T6894=0,"No discount",IF(T6894&lt;=0.2,"Low (1-20%)",IF(T6894&lt;=0.4,"Medium (21-40%)","High (&gt;40%)"))))</f>
        <v/>
      </c>
      <c r="Y6894" s="23" t="str">
        <f aca="false">IF(AND(ISNUMBER(C6894),ISNUMBER(D6894)),D6894-C6894,"")</f>
        <v/>
      </c>
      <c r="Z6894" s="23" t="str">
        <f aca="false">IF(B6894="","",IF(MATCH(B6894,$B$2:$B$12000,0)=ROW()-1,1,0))</f>
        <v/>
      </c>
    </row>
    <row r="6895" customFormat="false" ht="15" hidden="false" customHeight="false" outlineLevel="0" collapsed="false">
      <c r="V6895" s="23" t="str">
        <f aca="false">IF(ISNUMBER(C6895),YEAR(C6895),"")</f>
        <v/>
      </c>
      <c r="W6895" s="23" t="str">
        <f aca="false">IF(ISNUMBER(C6895),MONTH(C6895),"")</f>
        <v/>
      </c>
      <c r="X6895" s="23" t="str">
        <f aca="false">IF(T6895="","",IF(T6895=0,"No discount",IF(T6895&lt;=0.2,"Low (1-20%)",IF(T6895&lt;=0.4,"Medium (21-40%)","High (&gt;40%)"))))</f>
        <v/>
      </c>
      <c r="Y6895" s="23" t="str">
        <f aca="false">IF(AND(ISNUMBER(C6895),ISNUMBER(D6895)),D6895-C6895,"")</f>
        <v/>
      </c>
      <c r="Z6895" s="23" t="str">
        <f aca="false">IF(B6895="","",IF(MATCH(B6895,$B$2:$B$12000,0)=ROW()-1,1,0))</f>
        <v/>
      </c>
    </row>
    <row r="6896" customFormat="false" ht="15" hidden="false" customHeight="false" outlineLevel="0" collapsed="false">
      <c r="V6896" s="23" t="str">
        <f aca="false">IF(ISNUMBER(C6896),YEAR(C6896),"")</f>
        <v/>
      </c>
      <c r="W6896" s="23" t="str">
        <f aca="false">IF(ISNUMBER(C6896),MONTH(C6896),"")</f>
        <v/>
      </c>
      <c r="X6896" s="23" t="str">
        <f aca="false">IF(T6896="","",IF(T6896=0,"No discount",IF(T6896&lt;=0.2,"Low (1-20%)",IF(T6896&lt;=0.4,"Medium (21-40%)","High (&gt;40%)"))))</f>
        <v/>
      </c>
      <c r="Y6896" s="23" t="str">
        <f aca="false">IF(AND(ISNUMBER(C6896),ISNUMBER(D6896)),D6896-C6896,"")</f>
        <v/>
      </c>
      <c r="Z6896" s="23" t="str">
        <f aca="false">IF(B6896="","",IF(MATCH(B6896,$B$2:$B$12000,0)=ROW()-1,1,0))</f>
        <v/>
      </c>
    </row>
    <row r="6897" customFormat="false" ht="15" hidden="false" customHeight="false" outlineLevel="0" collapsed="false">
      <c r="V6897" s="23" t="str">
        <f aca="false">IF(ISNUMBER(C6897),YEAR(C6897),"")</f>
        <v/>
      </c>
      <c r="W6897" s="23" t="str">
        <f aca="false">IF(ISNUMBER(C6897),MONTH(C6897),"")</f>
        <v/>
      </c>
      <c r="X6897" s="23" t="str">
        <f aca="false">IF(T6897="","",IF(T6897=0,"No discount",IF(T6897&lt;=0.2,"Low (1-20%)",IF(T6897&lt;=0.4,"Medium (21-40%)","High (&gt;40%)"))))</f>
        <v/>
      </c>
      <c r="Y6897" s="23" t="str">
        <f aca="false">IF(AND(ISNUMBER(C6897),ISNUMBER(D6897)),D6897-C6897,"")</f>
        <v/>
      </c>
      <c r="Z6897" s="23" t="str">
        <f aca="false">IF(B6897="","",IF(MATCH(B6897,$B$2:$B$12000,0)=ROW()-1,1,0))</f>
        <v/>
      </c>
    </row>
    <row r="6898" customFormat="false" ht="15" hidden="false" customHeight="false" outlineLevel="0" collapsed="false">
      <c r="V6898" s="23" t="str">
        <f aca="false">IF(ISNUMBER(C6898),YEAR(C6898),"")</f>
        <v/>
      </c>
      <c r="W6898" s="23" t="str">
        <f aca="false">IF(ISNUMBER(C6898),MONTH(C6898),"")</f>
        <v/>
      </c>
      <c r="X6898" s="23" t="str">
        <f aca="false">IF(T6898="","",IF(T6898=0,"No discount",IF(T6898&lt;=0.2,"Low (1-20%)",IF(T6898&lt;=0.4,"Medium (21-40%)","High (&gt;40%)"))))</f>
        <v/>
      </c>
      <c r="Y6898" s="23" t="str">
        <f aca="false">IF(AND(ISNUMBER(C6898),ISNUMBER(D6898)),D6898-C6898,"")</f>
        <v/>
      </c>
      <c r="Z6898" s="23" t="str">
        <f aca="false">IF(B6898="","",IF(MATCH(B6898,$B$2:$B$12000,0)=ROW()-1,1,0))</f>
        <v/>
      </c>
    </row>
    <row r="6899" customFormat="false" ht="15" hidden="false" customHeight="false" outlineLevel="0" collapsed="false">
      <c r="V6899" s="23" t="str">
        <f aca="false">IF(ISNUMBER(C6899),YEAR(C6899),"")</f>
        <v/>
      </c>
      <c r="W6899" s="23" t="str">
        <f aca="false">IF(ISNUMBER(C6899),MONTH(C6899),"")</f>
        <v/>
      </c>
      <c r="X6899" s="23" t="str">
        <f aca="false">IF(T6899="","",IF(T6899=0,"No discount",IF(T6899&lt;=0.2,"Low (1-20%)",IF(T6899&lt;=0.4,"Medium (21-40%)","High (&gt;40%)"))))</f>
        <v/>
      </c>
      <c r="Y6899" s="23" t="str">
        <f aca="false">IF(AND(ISNUMBER(C6899),ISNUMBER(D6899)),D6899-C6899,"")</f>
        <v/>
      </c>
      <c r="Z6899" s="23" t="str">
        <f aca="false">IF(B6899="","",IF(MATCH(B6899,$B$2:$B$12000,0)=ROW()-1,1,0))</f>
        <v/>
      </c>
    </row>
    <row r="6900" customFormat="false" ht="15" hidden="false" customHeight="false" outlineLevel="0" collapsed="false">
      <c r="V6900" s="23" t="str">
        <f aca="false">IF(ISNUMBER(C6900),YEAR(C6900),"")</f>
        <v/>
      </c>
      <c r="W6900" s="23" t="str">
        <f aca="false">IF(ISNUMBER(C6900),MONTH(C6900),"")</f>
        <v/>
      </c>
      <c r="X6900" s="23" t="str">
        <f aca="false">IF(T6900="","",IF(T6900=0,"No discount",IF(T6900&lt;=0.2,"Low (1-20%)",IF(T6900&lt;=0.4,"Medium (21-40%)","High (&gt;40%)"))))</f>
        <v/>
      </c>
      <c r="Y6900" s="23" t="str">
        <f aca="false">IF(AND(ISNUMBER(C6900),ISNUMBER(D6900)),D6900-C6900,"")</f>
        <v/>
      </c>
      <c r="Z6900" s="23" t="str">
        <f aca="false">IF(B6900="","",IF(MATCH(B6900,$B$2:$B$12000,0)=ROW()-1,1,0))</f>
        <v/>
      </c>
    </row>
    <row r="6901" customFormat="false" ht="15" hidden="false" customHeight="false" outlineLevel="0" collapsed="false">
      <c r="V6901" s="23" t="str">
        <f aca="false">IF(ISNUMBER(C6901),YEAR(C6901),"")</f>
        <v/>
      </c>
      <c r="W6901" s="23" t="str">
        <f aca="false">IF(ISNUMBER(C6901),MONTH(C6901),"")</f>
        <v/>
      </c>
      <c r="X6901" s="23" t="str">
        <f aca="false">IF(T6901="","",IF(T6901=0,"No discount",IF(T6901&lt;=0.2,"Low (1-20%)",IF(T6901&lt;=0.4,"Medium (21-40%)","High (&gt;40%)"))))</f>
        <v/>
      </c>
      <c r="Y6901" s="23" t="str">
        <f aca="false">IF(AND(ISNUMBER(C6901),ISNUMBER(D6901)),D6901-C6901,"")</f>
        <v/>
      </c>
      <c r="Z6901" s="23" t="str">
        <f aca="false">IF(B6901="","",IF(MATCH(B6901,$B$2:$B$12000,0)=ROW()-1,1,0))</f>
        <v/>
      </c>
    </row>
    <row r="6902" customFormat="false" ht="15" hidden="false" customHeight="false" outlineLevel="0" collapsed="false">
      <c r="V6902" s="23" t="str">
        <f aca="false">IF(ISNUMBER(C6902),YEAR(C6902),"")</f>
        <v/>
      </c>
      <c r="W6902" s="23" t="str">
        <f aca="false">IF(ISNUMBER(C6902),MONTH(C6902),"")</f>
        <v/>
      </c>
      <c r="X6902" s="23" t="str">
        <f aca="false">IF(T6902="","",IF(T6902=0,"No discount",IF(T6902&lt;=0.2,"Low (1-20%)",IF(T6902&lt;=0.4,"Medium (21-40%)","High (&gt;40%)"))))</f>
        <v/>
      </c>
      <c r="Y6902" s="23" t="str">
        <f aca="false">IF(AND(ISNUMBER(C6902),ISNUMBER(D6902)),D6902-C6902,"")</f>
        <v/>
      </c>
      <c r="Z6902" s="23" t="str">
        <f aca="false">IF(B6902="","",IF(MATCH(B6902,$B$2:$B$12000,0)=ROW()-1,1,0))</f>
        <v/>
      </c>
    </row>
    <row r="6903" customFormat="false" ht="15" hidden="false" customHeight="false" outlineLevel="0" collapsed="false">
      <c r="V6903" s="23" t="str">
        <f aca="false">IF(ISNUMBER(C6903),YEAR(C6903),"")</f>
        <v/>
      </c>
      <c r="W6903" s="23" t="str">
        <f aca="false">IF(ISNUMBER(C6903),MONTH(C6903),"")</f>
        <v/>
      </c>
      <c r="X6903" s="23" t="str">
        <f aca="false">IF(T6903="","",IF(T6903=0,"No discount",IF(T6903&lt;=0.2,"Low (1-20%)",IF(T6903&lt;=0.4,"Medium (21-40%)","High (&gt;40%)"))))</f>
        <v/>
      </c>
      <c r="Y6903" s="23" t="str">
        <f aca="false">IF(AND(ISNUMBER(C6903),ISNUMBER(D6903)),D6903-C6903,"")</f>
        <v/>
      </c>
      <c r="Z6903" s="23" t="str">
        <f aca="false">IF(B6903="","",IF(MATCH(B6903,$B$2:$B$12000,0)=ROW()-1,1,0))</f>
        <v/>
      </c>
    </row>
    <row r="6904" customFormat="false" ht="15" hidden="false" customHeight="false" outlineLevel="0" collapsed="false">
      <c r="V6904" s="23" t="str">
        <f aca="false">IF(ISNUMBER(C6904),YEAR(C6904),"")</f>
        <v/>
      </c>
      <c r="W6904" s="23" t="str">
        <f aca="false">IF(ISNUMBER(C6904),MONTH(C6904),"")</f>
        <v/>
      </c>
      <c r="X6904" s="23" t="str">
        <f aca="false">IF(T6904="","",IF(T6904=0,"No discount",IF(T6904&lt;=0.2,"Low (1-20%)",IF(T6904&lt;=0.4,"Medium (21-40%)","High (&gt;40%)"))))</f>
        <v/>
      </c>
      <c r="Y6904" s="23" t="str">
        <f aca="false">IF(AND(ISNUMBER(C6904),ISNUMBER(D6904)),D6904-C6904,"")</f>
        <v/>
      </c>
      <c r="Z6904" s="23" t="str">
        <f aca="false">IF(B6904="","",IF(MATCH(B6904,$B$2:$B$12000,0)=ROW()-1,1,0))</f>
        <v/>
      </c>
    </row>
    <row r="6905" customFormat="false" ht="15" hidden="false" customHeight="false" outlineLevel="0" collapsed="false">
      <c r="V6905" s="23" t="str">
        <f aca="false">IF(ISNUMBER(C6905),YEAR(C6905),"")</f>
        <v/>
      </c>
      <c r="W6905" s="23" t="str">
        <f aca="false">IF(ISNUMBER(C6905),MONTH(C6905),"")</f>
        <v/>
      </c>
      <c r="X6905" s="23" t="str">
        <f aca="false">IF(T6905="","",IF(T6905=0,"No discount",IF(T6905&lt;=0.2,"Low (1-20%)",IF(T6905&lt;=0.4,"Medium (21-40%)","High (&gt;40%)"))))</f>
        <v/>
      </c>
      <c r="Y6905" s="23" t="str">
        <f aca="false">IF(AND(ISNUMBER(C6905),ISNUMBER(D6905)),D6905-C6905,"")</f>
        <v/>
      </c>
      <c r="Z6905" s="23" t="str">
        <f aca="false">IF(B6905="","",IF(MATCH(B6905,$B$2:$B$12000,0)=ROW()-1,1,0))</f>
        <v/>
      </c>
    </row>
    <row r="6906" customFormat="false" ht="15" hidden="false" customHeight="false" outlineLevel="0" collapsed="false">
      <c r="V6906" s="23" t="str">
        <f aca="false">IF(ISNUMBER(C6906),YEAR(C6906),"")</f>
        <v/>
      </c>
      <c r="W6906" s="23" t="str">
        <f aca="false">IF(ISNUMBER(C6906),MONTH(C6906),"")</f>
        <v/>
      </c>
      <c r="X6906" s="23" t="str">
        <f aca="false">IF(T6906="","",IF(T6906=0,"No discount",IF(T6906&lt;=0.2,"Low (1-20%)",IF(T6906&lt;=0.4,"Medium (21-40%)","High (&gt;40%)"))))</f>
        <v/>
      </c>
      <c r="Y6906" s="23" t="str">
        <f aca="false">IF(AND(ISNUMBER(C6906),ISNUMBER(D6906)),D6906-C6906,"")</f>
        <v/>
      </c>
      <c r="Z6906" s="23" t="str">
        <f aca="false">IF(B6906="","",IF(MATCH(B6906,$B$2:$B$12000,0)=ROW()-1,1,0))</f>
        <v/>
      </c>
    </row>
    <row r="6907" customFormat="false" ht="15" hidden="false" customHeight="false" outlineLevel="0" collapsed="false">
      <c r="V6907" s="23" t="str">
        <f aca="false">IF(ISNUMBER(C6907),YEAR(C6907),"")</f>
        <v/>
      </c>
      <c r="W6907" s="23" t="str">
        <f aca="false">IF(ISNUMBER(C6907),MONTH(C6907),"")</f>
        <v/>
      </c>
      <c r="X6907" s="23" t="str">
        <f aca="false">IF(T6907="","",IF(T6907=0,"No discount",IF(T6907&lt;=0.2,"Low (1-20%)",IF(T6907&lt;=0.4,"Medium (21-40%)","High (&gt;40%)"))))</f>
        <v/>
      </c>
      <c r="Y6907" s="23" t="str">
        <f aca="false">IF(AND(ISNUMBER(C6907),ISNUMBER(D6907)),D6907-C6907,"")</f>
        <v/>
      </c>
      <c r="Z6907" s="23" t="str">
        <f aca="false">IF(B6907="","",IF(MATCH(B6907,$B$2:$B$12000,0)=ROW()-1,1,0))</f>
        <v/>
      </c>
    </row>
    <row r="6908" customFormat="false" ht="15" hidden="false" customHeight="false" outlineLevel="0" collapsed="false">
      <c r="V6908" s="23" t="str">
        <f aca="false">IF(ISNUMBER(C6908),YEAR(C6908),"")</f>
        <v/>
      </c>
      <c r="W6908" s="23" t="str">
        <f aca="false">IF(ISNUMBER(C6908),MONTH(C6908),"")</f>
        <v/>
      </c>
      <c r="X6908" s="23" t="str">
        <f aca="false">IF(T6908="","",IF(T6908=0,"No discount",IF(T6908&lt;=0.2,"Low (1-20%)",IF(T6908&lt;=0.4,"Medium (21-40%)","High (&gt;40%)"))))</f>
        <v/>
      </c>
      <c r="Y6908" s="23" t="str">
        <f aca="false">IF(AND(ISNUMBER(C6908),ISNUMBER(D6908)),D6908-C6908,"")</f>
        <v/>
      </c>
      <c r="Z6908" s="23" t="str">
        <f aca="false">IF(B6908="","",IF(MATCH(B6908,$B$2:$B$12000,0)=ROW()-1,1,0))</f>
        <v/>
      </c>
    </row>
    <row r="6909" customFormat="false" ht="15" hidden="false" customHeight="false" outlineLevel="0" collapsed="false">
      <c r="V6909" s="23" t="str">
        <f aca="false">IF(ISNUMBER(C6909),YEAR(C6909),"")</f>
        <v/>
      </c>
      <c r="W6909" s="23" t="str">
        <f aca="false">IF(ISNUMBER(C6909),MONTH(C6909),"")</f>
        <v/>
      </c>
      <c r="X6909" s="23" t="str">
        <f aca="false">IF(T6909="","",IF(T6909=0,"No discount",IF(T6909&lt;=0.2,"Low (1-20%)",IF(T6909&lt;=0.4,"Medium (21-40%)","High (&gt;40%)"))))</f>
        <v/>
      </c>
      <c r="Y6909" s="23" t="str">
        <f aca="false">IF(AND(ISNUMBER(C6909),ISNUMBER(D6909)),D6909-C6909,"")</f>
        <v/>
      </c>
      <c r="Z6909" s="23" t="str">
        <f aca="false">IF(B6909="","",IF(MATCH(B6909,$B$2:$B$12000,0)=ROW()-1,1,0))</f>
        <v/>
      </c>
    </row>
    <row r="6910" customFormat="false" ht="15" hidden="false" customHeight="false" outlineLevel="0" collapsed="false">
      <c r="V6910" s="23" t="str">
        <f aca="false">IF(ISNUMBER(C6910),YEAR(C6910),"")</f>
        <v/>
      </c>
      <c r="W6910" s="23" t="str">
        <f aca="false">IF(ISNUMBER(C6910),MONTH(C6910),"")</f>
        <v/>
      </c>
      <c r="X6910" s="23" t="str">
        <f aca="false">IF(T6910="","",IF(T6910=0,"No discount",IF(T6910&lt;=0.2,"Low (1-20%)",IF(T6910&lt;=0.4,"Medium (21-40%)","High (&gt;40%)"))))</f>
        <v/>
      </c>
      <c r="Y6910" s="23" t="str">
        <f aca="false">IF(AND(ISNUMBER(C6910),ISNUMBER(D6910)),D6910-C6910,"")</f>
        <v/>
      </c>
      <c r="Z6910" s="23" t="str">
        <f aca="false">IF(B6910="","",IF(MATCH(B6910,$B$2:$B$12000,0)=ROW()-1,1,0))</f>
        <v/>
      </c>
    </row>
    <row r="6911" customFormat="false" ht="15" hidden="false" customHeight="false" outlineLevel="0" collapsed="false">
      <c r="V6911" s="23" t="str">
        <f aca="false">IF(ISNUMBER(C6911),YEAR(C6911),"")</f>
        <v/>
      </c>
      <c r="W6911" s="23" t="str">
        <f aca="false">IF(ISNUMBER(C6911),MONTH(C6911),"")</f>
        <v/>
      </c>
      <c r="X6911" s="23" t="str">
        <f aca="false">IF(T6911="","",IF(T6911=0,"No discount",IF(T6911&lt;=0.2,"Low (1-20%)",IF(T6911&lt;=0.4,"Medium (21-40%)","High (&gt;40%)"))))</f>
        <v/>
      </c>
      <c r="Y6911" s="23" t="str">
        <f aca="false">IF(AND(ISNUMBER(C6911),ISNUMBER(D6911)),D6911-C6911,"")</f>
        <v/>
      </c>
      <c r="Z6911" s="23" t="str">
        <f aca="false">IF(B6911="","",IF(MATCH(B6911,$B$2:$B$12000,0)=ROW()-1,1,0))</f>
        <v/>
      </c>
    </row>
    <row r="6912" customFormat="false" ht="15" hidden="false" customHeight="false" outlineLevel="0" collapsed="false">
      <c r="V6912" s="23" t="str">
        <f aca="false">IF(ISNUMBER(C6912),YEAR(C6912),"")</f>
        <v/>
      </c>
      <c r="W6912" s="23" t="str">
        <f aca="false">IF(ISNUMBER(C6912),MONTH(C6912),"")</f>
        <v/>
      </c>
      <c r="X6912" s="23" t="str">
        <f aca="false">IF(T6912="","",IF(T6912=0,"No discount",IF(T6912&lt;=0.2,"Low (1-20%)",IF(T6912&lt;=0.4,"Medium (21-40%)","High (&gt;40%)"))))</f>
        <v/>
      </c>
      <c r="Y6912" s="23" t="str">
        <f aca="false">IF(AND(ISNUMBER(C6912),ISNUMBER(D6912)),D6912-C6912,"")</f>
        <v/>
      </c>
      <c r="Z6912" s="23" t="str">
        <f aca="false">IF(B6912="","",IF(MATCH(B6912,$B$2:$B$12000,0)=ROW()-1,1,0))</f>
        <v/>
      </c>
    </row>
    <row r="6913" customFormat="false" ht="15" hidden="false" customHeight="false" outlineLevel="0" collapsed="false">
      <c r="V6913" s="23" t="str">
        <f aca="false">IF(ISNUMBER(C6913),YEAR(C6913),"")</f>
        <v/>
      </c>
      <c r="W6913" s="23" t="str">
        <f aca="false">IF(ISNUMBER(C6913),MONTH(C6913),"")</f>
        <v/>
      </c>
      <c r="X6913" s="23" t="str">
        <f aca="false">IF(T6913="","",IF(T6913=0,"No discount",IF(T6913&lt;=0.2,"Low (1-20%)",IF(T6913&lt;=0.4,"Medium (21-40%)","High (&gt;40%)"))))</f>
        <v/>
      </c>
      <c r="Y6913" s="23" t="str">
        <f aca="false">IF(AND(ISNUMBER(C6913),ISNUMBER(D6913)),D6913-C6913,"")</f>
        <v/>
      </c>
      <c r="Z6913" s="23" t="str">
        <f aca="false">IF(B6913="","",IF(MATCH(B6913,$B$2:$B$12000,0)=ROW()-1,1,0))</f>
        <v/>
      </c>
    </row>
    <row r="6914" customFormat="false" ht="15" hidden="false" customHeight="false" outlineLevel="0" collapsed="false">
      <c r="V6914" s="23" t="str">
        <f aca="false">IF(ISNUMBER(C6914),YEAR(C6914),"")</f>
        <v/>
      </c>
      <c r="W6914" s="23" t="str">
        <f aca="false">IF(ISNUMBER(C6914),MONTH(C6914),"")</f>
        <v/>
      </c>
      <c r="X6914" s="23" t="str">
        <f aca="false">IF(T6914="","",IF(T6914=0,"No discount",IF(T6914&lt;=0.2,"Low (1-20%)",IF(T6914&lt;=0.4,"Medium (21-40%)","High (&gt;40%)"))))</f>
        <v/>
      </c>
      <c r="Y6914" s="23" t="str">
        <f aca="false">IF(AND(ISNUMBER(C6914),ISNUMBER(D6914)),D6914-C6914,"")</f>
        <v/>
      </c>
      <c r="Z6914" s="23" t="str">
        <f aca="false">IF(B6914="","",IF(MATCH(B6914,$B$2:$B$12000,0)=ROW()-1,1,0))</f>
        <v/>
      </c>
    </row>
    <row r="6915" customFormat="false" ht="15" hidden="false" customHeight="false" outlineLevel="0" collapsed="false">
      <c r="V6915" s="23" t="str">
        <f aca="false">IF(ISNUMBER(C6915),YEAR(C6915),"")</f>
        <v/>
      </c>
      <c r="W6915" s="23" t="str">
        <f aca="false">IF(ISNUMBER(C6915),MONTH(C6915),"")</f>
        <v/>
      </c>
      <c r="X6915" s="23" t="str">
        <f aca="false">IF(T6915="","",IF(T6915=0,"No discount",IF(T6915&lt;=0.2,"Low (1-20%)",IF(T6915&lt;=0.4,"Medium (21-40%)","High (&gt;40%)"))))</f>
        <v/>
      </c>
      <c r="Y6915" s="23" t="str">
        <f aca="false">IF(AND(ISNUMBER(C6915),ISNUMBER(D6915)),D6915-C6915,"")</f>
        <v/>
      </c>
      <c r="Z6915" s="23" t="str">
        <f aca="false">IF(B6915="","",IF(MATCH(B6915,$B$2:$B$12000,0)=ROW()-1,1,0))</f>
        <v/>
      </c>
    </row>
    <row r="6916" customFormat="false" ht="15" hidden="false" customHeight="false" outlineLevel="0" collapsed="false">
      <c r="V6916" s="23" t="str">
        <f aca="false">IF(ISNUMBER(C6916),YEAR(C6916),"")</f>
        <v/>
      </c>
      <c r="W6916" s="23" t="str">
        <f aca="false">IF(ISNUMBER(C6916),MONTH(C6916),"")</f>
        <v/>
      </c>
      <c r="X6916" s="23" t="str">
        <f aca="false">IF(T6916="","",IF(T6916=0,"No discount",IF(T6916&lt;=0.2,"Low (1-20%)",IF(T6916&lt;=0.4,"Medium (21-40%)","High (&gt;40%)"))))</f>
        <v/>
      </c>
      <c r="Y6916" s="23" t="str">
        <f aca="false">IF(AND(ISNUMBER(C6916),ISNUMBER(D6916)),D6916-C6916,"")</f>
        <v/>
      </c>
      <c r="Z6916" s="23" t="str">
        <f aca="false">IF(B6916="","",IF(MATCH(B6916,$B$2:$B$12000,0)=ROW()-1,1,0))</f>
        <v/>
      </c>
    </row>
    <row r="6917" customFormat="false" ht="15" hidden="false" customHeight="false" outlineLevel="0" collapsed="false">
      <c r="V6917" s="23" t="str">
        <f aca="false">IF(ISNUMBER(C6917),YEAR(C6917),"")</f>
        <v/>
      </c>
      <c r="W6917" s="23" t="str">
        <f aca="false">IF(ISNUMBER(C6917),MONTH(C6917),"")</f>
        <v/>
      </c>
      <c r="X6917" s="23" t="str">
        <f aca="false">IF(T6917="","",IF(T6917=0,"No discount",IF(T6917&lt;=0.2,"Low (1-20%)",IF(T6917&lt;=0.4,"Medium (21-40%)","High (&gt;40%)"))))</f>
        <v/>
      </c>
      <c r="Y6917" s="23" t="str">
        <f aca="false">IF(AND(ISNUMBER(C6917),ISNUMBER(D6917)),D6917-C6917,"")</f>
        <v/>
      </c>
      <c r="Z6917" s="23" t="str">
        <f aca="false">IF(B6917="","",IF(MATCH(B6917,$B$2:$B$12000,0)=ROW()-1,1,0))</f>
        <v/>
      </c>
    </row>
    <row r="6918" customFormat="false" ht="15" hidden="false" customHeight="false" outlineLevel="0" collapsed="false">
      <c r="V6918" s="23" t="str">
        <f aca="false">IF(ISNUMBER(C6918),YEAR(C6918),"")</f>
        <v/>
      </c>
      <c r="W6918" s="23" t="str">
        <f aca="false">IF(ISNUMBER(C6918),MONTH(C6918),"")</f>
        <v/>
      </c>
      <c r="X6918" s="23" t="str">
        <f aca="false">IF(T6918="","",IF(T6918=0,"No discount",IF(T6918&lt;=0.2,"Low (1-20%)",IF(T6918&lt;=0.4,"Medium (21-40%)","High (&gt;40%)"))))</f>
        <v/>
      </c>
      <c r="Y6918" s="23" t="str">
        <f aca="false">IF(AND(ISNUMBER(C6918),ISNUMBER(D6918)),D6918-C6918,"")</f>
        <v/>
      </c>
      <c r="Z6918" s="23" t="str">
        <f aca="false">IF(B6918="","",IF(MATCH(B6918,$B$2:$B$12000,0)=ROW()-1,1,0))</f>
        <v/>
      </c>
    </row>
    <row r="6919" customFormat="false" ht="15" hidden="false" customHeight="false" outlineLevel="0" collapsed="false">
      <c r="V6919" s="23" t="str">
        <f aca="false">IF(ISNUMBER(C6919),YEAR(C6919),"")</f>
        <v/>
      </c>
      <c r="W6919" s="23" t="str">
        <f aca="false">IF(ISNUMBER(C6919),MONTH(C6919),"")</f>
        <v/>
      </c>
      <c r="X6919" s="23" t="str">
        <f aca="false">IF(T6919="","",IF(T6919=0,"No discount",IF(T6919&lt;=0.2,"Low (1-20%)",IF(T6919&lt;=0.4,"Medium (21-40%)","High (&gt;40%)"))))</f>
        <v/>
      </c>
      <c r="Y6919" s="23" t="str">
        <f aca="false">IF(AND(ISNUMBER(C6919),ISNUMBER(D6919)),D6919-C6919,"")</f>
        <v/>
      </c>
      <c r="Z6919" s="23" t="str">
        <f aca="false">IF(B6919="","",IF(MATCH(B6919,$B$2:$B$12000,0)=ROW()-1,1,0))</f>
        <v/>
      </c>
    </row>
    <row r="6920" customFormat="false" ht="15" hidden="false" customHeight="false" outlineLevel="0" collapsed="false">
      <c r="V6920" s="23" t="str">
        <f aca="false">IF(ISNUMBER(C6920),YEAR(C6920),"")</f>
        <v/>
      </c>
      <c r="W6920" s="23" t="str">
        <f aca="false">IF(ISNUMBER(C6920),MONTH(C6920),"")</f>
        <v/>
      </c>
      <c r="X6920" s="23" t="str">
        <f aca="false">IF(T6920="","",IF(T6920=0,"No discount",IF(T6920&lt;=0.2,"Low (1-20%)",IF(T6920&lt;=0.4,"Medium (21-40%)","High (&gt;40%)"))))</f>
        <v/>
      </c>
      <c r="Y6920" s="23" t="str">
        <f aca="false">IF(AND(ISNUMBER(C6920),ISNUMBER(D6920)),D6920-C6920,"")</f>
        <v/>
      </c>
      <c r="Z6920" s="23" t="str">
        <f aca="false">IF(B6920="","",IF(MATCH(B6920,$B$2:$B$12000,0)=ROW()-1,1,0))</f>
        <v/>
      </c>
    </row>
    <row r="6921" customFormat="false" ht="15" hidden="false" customHeight="false" outlineLevel="0" collapsed="false">
      <c r="V6921" s="23" t="str">
        <f aca="false">IF(ISNUMBER(C6921),YEAR(C6921),"")</f>
        <v/>
      </c>
      <c r="W6921" s="23" t="str">
        <f aca="false">IF(ISNUMBER(C6921),MONTH(C6921),"")</f>
        <v/>
      </c>
      <c r="X6921" s="23" t="str">
        <f aca="false">IF(T6921="","",IF(T6921=0,"No discount",IF(T6921&lt;=0.2,"Low (1-20%)",IF(T6921&lt;=0.4,"Medium (21-40%)","High (&gt;40%)"))))</f>
        <v/>
      </c>
      <c r="Y6921" s="23" t="str">
        <f aca="false">IF(AND(ISNUMBER(C6921),ISNUMBER(D6921)),D6921-C6921,"")</f>
        <v/>
      </c>
      <c r="Z6921" s="23" t="str">
        <f aca="false">IF(B6921="","",IF(MATCH(B6921,$B$2:$B$12000,0)=ROW()-1,1,0))</f>
        <v/>
      </c>
    </row>
    <row r="6922" customFormat="false" ht="15" hidden="false" customHeight="false" outlineLevel="0" collapsed="false">
      <c r="V6922" s="23" t="str">
        <f aca="false">IF(ISNUMBER(C6922),YEAR(C6922),"")</f>
        <v/>
      </c>
      <c r="W6922" s="23" t="str">
        <f aca="false">IF(ISNUMBER(C6922),MONTH(C6922),"")</f>
        <v/>
      </c>
      <c r="X6922" s="23" t="str">
        <f aca="false">IF(T6922="","",IF(T6922=0,"No discount",IF(T6922&lt;=0.2,"Low (1-20%)",IF(T6922&lt;=0.4,"Medium (21-40%)","High (&gt;40%)"))))</f>
        <v/>
      </c>
      <c r="Y6922" s="23" t="str">
        <f aca="false">IF(AND(ISNUMBER(C6922),ISNUMBER(D6922)),D6922-C6922,"")</f>
        <v/>
      </c>
      <c r="Z6922" s="23" t="str">
        <f aca="false">IF(B6922="","",IF(MATCH(B6922,$B$2:$B$12000,0)=ROW()-1,1,0))</f>
        <v/>
      </c>
    </row>
    <row r="6923" customFormat="false" ht="15" hidden="false" customHeight="false" outlineLevel="0" collapsed="false">
      <c r="V6923" s="23" t="str">
        <f aca="false">IF(ISNUMBER(C6923),YEAR(C6923),"")</f>
        <v/>
      </c>
      <c r="W6923" s="23" t="str">
        <f aca="false">IF(ISNUMBER(C6923),MONTH(C6923),"")</f>
        <v/>
      </c>
      <c r="X6923" s="23" t="str">
        <f aca="false">IF(T6923="","",IF(T6923=0,"No discount",IF(T6923&lt;=0.2,"Low (1-20%)",IF(T6923&lt;=0.4,"Medium (21-40%)","High (&gt;40%)"))))</f>
        <v/>
      </c>
      <c r="Y6923" s="23" t="str">
        <f aca="false">IF(AND(ISNUMBER(C6923),ISNUMBER(D6923)),D6923-C6923,"")</f>
        <v/>
      </c>
      <c r="Z6923" s="23" t="str">
        <f aca="false">IF(B6923="","",IF(MATCH(B6923,$B$2:$B$12000,0)=ROW()-1,1,0))</f>
        <v/>
      </c>
    </row>
    <row r="6924" customFormat="false" ht="15" hidden="false" customHeight="false" outlineLevel="0" collapsed="false">
      <c r="V6924" s="23" t="str">
        <f aca="false">IF(ISNUMBER(C6924),YEAR(C6924),"")</f>
        <v/>
      </c>
      <c r="W6924" s="23" t="str">
        <f aca="false">IF(ISNUMBER(C6924),MONTH(C6924),"")</f>
        <v/>
      </c>
      <c r="X6924" s="23" t="str">
        <f aca="false">IF(T6924="","",IF(T6924=0,"No discount",IF(T6924&lt;=0.2,"Low (1-20%)",IF(T6924&lt;=0.4,"Medium (21-40%)","High (&gt;40%)"))))</f>
        <v/>
      </c>
      <c r="Y6924" s="23" t="str">
        <f aca="false">IF(AND(ISNUMBER(C6924),ISNUMBER(D6924)),D6924-C6924,"")</f>
        <v/>
      </c>
      <c r="Z6924" s="23" t="str">
        <f aca="false">IF(B6924="","",IF(MATCH(B6924,$B$2:$B$12000,0)=ROW()-1,1,0))</f>
        <v/>
      </c>
    </row>
    <row r="6925" customFormat="false" ht="15" hidden="false" customHeight="false" outlineLevel="0" collapsed="false">
      <c r="V6925" s="23" t="str">
        <f aca="false">IF(ISNUMBER(C6925),YEAR(C6925),"")</f>
        <v/>
      </c>
      <c r="W6925" s="23" t="str">
        <f aca="false">IF(ISNUMBER(C6925),MONTH(C6925),"")</f>
        <v/>
      </c>
      <c r="X6925" s="23" t="str">
        <f aca="false">IF(T6925="","",IF(T6925=0,"No discount",IF(T6925&lt;=0.2,"Low (1-20%)",IF(T6925&lt;=0.4,"Medium (21-40%)","High (&gt;40%)"))))</f>
        <v/>
      </c>
      <c r="Y6925" s="23" t="str">
        <f aca="false">IF(AND(ISNUMBER(C6925),ISNUMBER(D6925)),D6925-C6925,"")</f>
        <v/>
      </c>
      <c r="Z6925" s="23" t="str">
        <f aca="false">IF(B6925="","",IF(MATCH(B6925,$B$2:$B$12000,0)=ROW()-1,1,0))</f>
        <v/>
      </c>
    </row>
    <row r="6926" customFormat="false" ht="15" hidden="false" customHeight="false" outlineLevel="0" collapsed="false">
      <c r="V6926" s="23" t="str">
        <f aca="false">IF(ISNUMBER(C6926),YEAR(C6926),"")</f>
        <v/>
      </c>
      <c r="W6926" s="23" t="str">
        <f aca="false">IF(ISNUMBER(C6926),MONTH(C6926),"")</f>
        <v/>
      </c>
      <c r="X6926" s="23" t="str">
        <f aca="false">IF(T6926="","",IF(T6926=0,"No discount",IF(T6926&lt;=0.2,"Low (1-20%)",IF(T6926&lt;=0.4,"Medium (21-40%)","High (&gt;40%)"))))</f>
        <v/>
      </c>
      <c r="Y6926" s="23" t="str">
        <f aca="false">IF(AND(ISNUMBER(C6926),ISNUMBER(D6926)),D6926-C6926,"")</f>
        <v/>
      </c>
      <c r="Z6926" s="23" t="str">
        <f aca="false">IF(B6926="","",IF(MATCH(B6926,$B$2:$B$12000,0)=ROW()-1,1,0))</f>
        <v/>
      </c>
    </row>
    <row r="6927" customFormat="false" ht="15" hidden="false" customHeight="false" outlineLevel="0" collapsed="false">
      <c r="V6927" s="23" t="str">
        <f aca="false">IF(ISNUMBER(C6927),YEAR(C6927),"")</f>
        <v/>
      </c>
      <c r="W6927" s="23" t="str">
        <f aca="false">IF(ISNUMBER(C6927),MONTH(C6927),"")</f>
        <v/>
      </c>
      <c r="X6927" s="23" t="str">
        <f aca="false">IF(T6927="","",IF(T6927=0,"No discount",IF(T6927&lt;=0.2,"Low (1-20%)",IF(T6927&lt;=0.4,"Medium (21-40%)","High (&gt;40%)"))))</f>
        <v/>
      </c>
      <c r="Y6927" s="23" t="str">
        <f aca="false">IF(AND(ISNUMBER(C6927),ISNUMBER(D6927)),D6927-C6927,"")</f>
        <v/>
      </c>
      <c r="Z6927" s="23" t="str">
        <f aca="false">IF(B6927="","",IF(MATCH(B6927,$B$2:$B$12000,0)=ROW()-1,1,0))</f>
        <v/>
      </c>
    </row>
    <row r="6928" customFormat="false" ht="15" hidden="false" customHeight="false" outlineLevel="0" collapsed="false">
      <c r="V6928" s="23" t="str">
        <f aca="false">IF(ISNUMBER(C6928),YEAR(C6928),"")</f>
        <v/>
      </c>
      <c r="W6928" s="23" t="str">
        <f aca="false">IF(ISNUMBER(C6928),MONTH(C6928),"")</f>
        <v/>
      </c>
      <c r="X6928" s="23" t="str">
        <f aca="false">IF(T6928="","",IF(T6928=0,"No discount",IF(T6928&lt;=0.2,"Low (1-20%)",IF(T6928&lt;=0.4,"Medium (21-40%)","High (&gt;40%)"))))</f>
        <v/>
      </c>
      <c r="Y6928" s="23" t="str">
        <f aca="false">IF(AND(ISNUMBER(C6928),ISNUMBER(D6928)),D6928-C6928,"")</f>
        <v/>
      </c>
      <c r="Z6928" s="23" t="str">
        <f aca="false">IF(B6928="","",IF(MATCH(B6928,$B$2:$B$12000,0)=ROW()-1,1,0))</f>
        <v/>
      </c>
    </row>
    <row r="6929" customFormat="false" ht="15" hidden="false" customHeight="false" outlineLevel="0" collapsed="false">
      <c r="V6929" s="23" t="str">
        <f aca="false">IF(ISNUMBER(C6929),YEAR(C6929),"")</f>
        <v/>
      </c>
      <c r="W6929" s="23" t="str">
        <f aca="false">IF(ISNUMBER(C6929),MONTH(C6929),"")</f>
        <v/>
      </c>
      <c r="X6929" s="23" t="str">
        <f aca="false">IF(T6929="","",IF(T6929=0,"No discount",IF(T6929&lt;=0.2,"Low (1-20%)",IF(T6929&lt;=0.4,"Medium (21-40%)","High (&gt;40%)"))))</f>
        <v/>
      </c>
      <c r="Y6929" s="23" t="str">
        <f aca="false">IF(AND(ISNUMBER(C6929),ISNUMBER(D6929)),D6929-C6929,"")</f>
        <v/>
      </c>
      <c r="Z6929" s="23" t="str">
        <f aca="false">IF(B6929="","",IF(MATCH(B6929,$B$2:$B$12000,0)=ROW()-1,1,0))</f>
        <v/>
      </c>
    </row>
    <row r="6930" customFormat="false" ht="15" hidden="false" customHeight="false" outlineLevel="0" collapsed="false">
      <c r="V6930" s="23" t="str">
        <f aca="false">IF(ISNUMBER(C6930),YEAR(C6930),"")</f>
        <v/>
      </c>
      <c r="W6930" s="23" t="str">
        <f aca="false">IF(ISNUMBER(C6930),MONTH(C6930),"")</f>
        <v/>
      </c>
      <c r="X6930" s="23" t="str">
        <f aca="false">IF(T6930="","",IF(T6930=0,"No discount",IF(T6930&lt;=0.2,"Low (1-20%)",IF(T6930&lt;=0.4,"Medium (21-40%)","High (&gt;40%)"))))</f>
        <v/>
      </c>
      <c r="Y6930" s="23" t="str">
        <f aca="false">IF(AND(ISNUMBER(C6930),ISNUMBER(D6930)),D6930-C6930,"")</f>
        <v/>
      </c>
      <c r="Z6930" s="23" t="str">
        <f aca="false">IF(B6930="","",IF(MATCH(B6930,$B$2:$B$12000,0)=ROW()-1,1,0))</f>
        <v/>
      </c>
    </row>
    <row r="6931" customFormat="false" ht="15" hidden="false" customHeight="false" outlineLevel="0" collapsed="false">
      <c r="V6931" s="23" t="str">
        <f aca="false">IF(ISNUMBER(C6931),YEAR(C6931),"")</f>
        <v/>
      </c>
      <c r="W6931" s="23" t="str">
        <f aca="false">IF(ISNUMBER(C6931),MONTH(C6931),"")</f>
        <v/>
      </c>
      <c r="X6931" s="23" t="str">
        <f aca="false">IF(T6931="","",IF(T6931=0,"No discount",IF(T6931&lt;=0.2,"Low (1-20%)",IF(T6931&lt;=0.4,"Medium (21-40%)","High (&gt;40%)"))))</f>
        <v/>
      </c>
      <c r="Y6931" s="23" t="str">
        <f aca="false">IF(AND(ISNUMBER(C6931),ISNUMBER(D6931)),D6931-C6931,"")</f>
        <v/>
      </c>
      <c r="Z6931" s="23" t="str">
        <f aca="false">IF(B6931="","",IF(MATCH(B6931,$B$2:$B$12000,0)=ROW()-1,1,0))</f>
        <v/>
      </c>
    </row>
    <row r="6932" customFormat="false" ht="15" hidden="false" customHeight="false" outlineLevel="0" collapsed="false">
      <c r="V6932" s="23" t="str">
        <f aca="false">IF(ISNUMBER(C6932),YEAR(C6932),"")</f>
        <v/>
      </c>
      <c r="W6932" s="23" t="str">
        <f aca="false">IF(ISNUMBER(C6932),MONTH(C6932),"")</f>
        <v/>
      </c>
      <c r="X6932" s="23" t="str">
        <f aca="false">IF(T6932="","",IF(T6932=0,"No discount",IF(T6932&lt;=0.2,"Low (1-20%)",IF(T6932&lt;=0.4,"Medium (21-40%)","High (&gt;40%)"))))</f>
        <v/>
      </c>
      <c r="Y6932" s="23" t="str">
        <f aca="false">IF(AND(ISNUMBER(C6932),ISNUMBER(D6932)),D6932-C6932,"")</f>
        <v/>
      </c>
      <c r="Z6932" s="23" t="str">
        <f aca="false">IF(B6932="","",IF(MATCH(B6932,$B$2:$B$12000,0)=ROW()-1,1,0))</f>
        <v/>
      </c>
    </row>
    <row r="6933" customFormat="false" ht="15" hidden="false" customHeight="false" outlineLevel="0" collapsed="false">
      <c r="V6933" s="23" t="str">
        <f aca="false">IF(ISNUMBER(C6933),YEAR(C6933),"")</f>
        <v/>
      </c>
      <c r="W6933" s="23" t="str">
        <f aca="false">IF(ISNUMBER(C6933),MONTH(C6933),"")</f>
        <v/>
      </c>
      <c r="X6933" s="23" t="str">
        <f aca="false">IF(T6933="","",IF(T6933=0,"No discount",IF(T6933&lt;=0.2,"Low (1-20%)",IF(T6933&lt;=0.4,"Medium (21-40%)","High (&gt;40%)"))))</f>
        <v/>
      </c>
      <c r="Y6933" s="23" t="str">
        <f aca="false">IF(AND(ISNUMBER(C6933),ISNUMBER(D6933)),D6933-C6933,"")</f>
        <v/>
      </c>
      <c r="Z6933" s="23" t="str">
        <f aca="false">IF(B6933="","",IF(MATCH(B6933,$B$2:$B$12000,0)=ROW()-1,1,0))</f>
        <v/>
      </c>
    </row>
    <row r="6934" customFormat="false" ht="15" hidden="false" customHeight="false" outlineLevel="0" collapsed="false">
      <c r="V6934" s="23" t="str">
        <f aca="false">IF(ISNUMBER(C6934),YEAR(C6934),"")</f>
        <v/>
      </c>
      <c r="W6934" s="23" t="str">
        <f aca="false">IF(ISNUMBER(C6934),MONTH(C6934),"")</f>
        <v/>
      </c>
      <c r="X6934" s="23" t="str">
        <f aca="false">IF(T6934="","",IF(T6934=0,"No discount",IF(T6934&lt;=0.2,"Low (1-20%)",IF(T6934&lt;=0.4,"Medium (21-40%)","High (&gt;40%)"))))</f>
        <v/>
      </c>
      <c r="Y6934" s="23" t="str">
        <f aca="false">IF(AND(ISNUMBER(C6934),ISNUMBER(D6934)),D6934-C6934,"")</f>
        <v/>
      </c>
      <c r="Z6934" s="23" t="str">
        <f aca="false">IF(B6934="","",IF(MATCH(B6934,$B$2:$B$12000,0)=ROW()-1,1,0))</f>
        <v/>
      </c>
    </row>
    <row r="6935" customFormat="false" ht="15" hidden="false" customHeight="false" outlineLevel="0" collapsed="false">
      <c r="V6935" s="23" t="str">
        <f aca="false">IF(ISNUMBER(C6935),YEAR(C6935),"")</f>
        <v/>
      </c>
      <c r="W6935" s="23" t="str">
        <f aca="false">IF(ISNUMBER(C6935),MONTH(C6935),"")</f>
        <v/>
      </c>
      <c r="X6935" s="23" t="str">
        <f aca="false">IF(T6935="","",IF(T6935=0,"No discount",IF(T6935&lt;=0.2,"Low (1-20%)",IF(T6935&lt;=0.4,"Medium (21-40%)","High (&gt;40%)"))))</f>
        <v/>
      </c>
      <c r="Y6935" s="23" t="str">
        <f aca="false">IF(AND(ISNUMBER(C6935),ISNUMBER(D6935)),D6935-C6935,"")</f>
        <v/>
      </c>
      <c r="Z6935" s="23" t="str">
        <f aca="false">IF(B6935="","",IF(MATCH(B6935,$B$2:$B$12000,0)=ROW()-1,1,0))</f>
        <v/>
      </c>
    </row>
    <row r="6936" customFormat="false" ht="15" hidden="false" customHeight="false" outlineLevel="0" collapsed="false">
      <c r="V6936" s="23" t="str">
        <f aca="false">IF(ISNUMBER(C6936),YEAR(C6936),"")</f>
        <v/>
      </c>
      <c r="W6936" s="23" t="str">
        <f aca="false">IF(ISNUMBER(C6936),MONTH(C6936),"")</f>
        <v/>
      </c>
      <c r="X6936" s="23" t="str">
        <f aca="false">IF(T6936="","",IF(T6936=0,"No discount",IF(T6936&lt;=0.2,"Low (1-20%)",IF(T6936&lt;=0.4,"Medium (21-40%)","High (&gt;40%)"))))</f>
        <v/>
      </c>
      <c r="Y6936" s="23" t="str">
        <f aca="false">IF(AND(ISNUMBER(C6936),ISNUMBER(D6936)),D6936-C6936,"")</f>
        <v/>
      </c>
      <c r="Z6936" s="23" t="str">
        <f aca="false">IF(B6936="","",IF(MATCH(B6936,$B$2:$B$12000,0)=ROW()-1,1,0))</f>
        <v/>
      </c>
    </row>
    <row r="6937" customFormat="false" ht="15" hidden="false" customHeight="false" outlineLevel="0" collapsed="false">
      <c r="V6937" s="23" t="str">
        <f aca="false">IF(ISNUMBER(C6937),YEAR(C6937),"")</f>
        <v/>
      </c>
      <c r="W6937" s="23" t="str">
        <f aca="false">IF(ISNUMBER(C6937),MONTH(C6937),"")</f>
        <v/>
      </c>
      <c r="X6937" s="23" t="str">
        <f aca="false">IF(T6937="","",IF(T6937=0,"No discount",IF(T6937&lt;=0.2,"Low (1-20%)",IF(T6937&lt;=0.4,"Medium (21-40%)","High (&gt;40%)"))))</f>
        <v/>
      </c>
      <c r="Y6937" s="23" t="str">
        <f aca="false">IF(AND(ISNUMBER(C6937),ISNUMBER(D6937)),D6937-C6937,"")</f>
        <v/>
      </c>
      <c r="Z6937" s="23" t="str">
        <f aca="false">IF(B6937="","",IF(MATCH(B6937,$B$2:$B$12000,0)=ROW()-1,1,0))</f>
        <v/>
      </c>
    </row>
    <row r="6938" customFormat="false" ht="15" hidden="false" customHeight="false" outlineLevel="0" collapsed="false">
      <c r="V6938" s="23" t="str">
        <f aca="false">IF(ISNUMBER(C6938),YEAR(C6938),"")</f>
        <v/>
      </c>
      <c r="W6938" s="23" t="str">
        <f aca="false">IF(ISNUMBER(C6938),MONTH(C6938),"")</f>
        <v/>
      </c>
      <c r="X6938" s="23" t="str">
        <f aca="false">IF(T6938="","",IF(T6938=0,"No discount",IF(T6938&lt;=0.2,"Low (1-20%)",IF(T6938&lt;=0.4,"Medium (21-40%)","High (&gt;40%)"))))</f>
        <v/>
      </c>
      <c r="Y6938" s="23" t="str">
        <f aca="false">IF(AND(ISNUMBER(C6938),ISNUMBER(D6938)),D6938-C6938,"")</f>
        <v/>
      </c>
      <c r="Z6938" s="23" t="str">
        <f aca="false">IF(B6938="","",IF(MATCH(B6938,$B$2:$B$12000,0)=ROW()-1,1,0))</f>
        <v/>
      </c>
    </row>
    <row r="6939" customFormat="false" ht="15" hidden="false" customHeight="false" outlineLevel="0" collapsed="false">
      <c r="V6939" s="23" t="str">
        <f aca="false">IF(ISNUMBER(C6939),YEAR(C6939),"")</f>
        <v/>
      </c>
      <c r="W6939" s="23" t="str">
        <f aca="false">IF(ISNUMBER(C6939),MONTH(C6939),"")</f>
        <v/>
      </c>
      <c r="X6939" s="23" t="str">
        <f aca="false">IF(T6939="","",IF(T6939=0,"No discount",IF(T6939&lt;=0.2,"Low (1-20%)",IF(T6939&lt;=0.4,"Medium (21-40%)","High (&gt;40%)"))))</f>
        <v/>
      </c>
      <c r="Y6939" s="23" t="str">
        <f aca="false">IF(AND(ISNUMBER(C6939),ISNUMBER(D6939)),D6939-C6939,"")</f>
        <v/>
      </c>
      <c r="Z6939" s="23" t="str">
        <f aca="false">IF(B6939="","",IF(MATCH(B6939,$B$2:$B$12000,0)=ROW()-1,1,0))</f>
        <v/>
      </c>
    </row>
    <row r="6940" customFormat="false" ht="15" hidden="false" customHeight="false" outlineLevel="0" collapsed="false">
      <c r="V6940" s="23" t="str">
        <f aca="false">IF(ISNUMBER(C6940),YEAR(C6940),"")</f>
        <v/>
      </c>
      <c r="W6940" s="23" t="str">
        <f aca="false">IF(ISNUMBER(C6940),MONTH(C6940),"")</f>
        <v/>
      </c>
      <c r="X6940" s="23" t="str">
        <f aca="false">IF(T6940="","",IF(T6940=0,"No discount",IF(T6940&lt;=0.2,"Low (1-20%)",IF(T6940&lt;=0.4,"Medium (21-40%)","High (&gt;40%)"))))</f>
        <v/>
      </c>
      <c r="Y6940" s="23" t="str">
        <f aca="false">IF(AND(ISNUMBER(C6940),ISNUMBER(D6940)),D6940-C6940,"")</f>
        <v/>
      </c>
      <c r="Z6940" s="23" t="str">
        <f aca="false">IF(B6940="","",IF(MATCH(B6940,$B$2:$B$12000,0)=ROW()-1,1,0))</f>
        <v/>
      </c>
    </row>
    <row r="6941" customFormat="false" ht="15" hidden="false" customHeight="false" outlineLevel="0" collapsed="false">
      <c r="V6941" s="23" t="str">
        <f aca="false">IF(ISNUMBER(C6941),YEAR(C6941),"")</f>
        <v/>
      </c>
      <c r="W6941" s="23" t="str">
        <f aca="false">IF(ISNUMBER(C6941),MONTH(C6941),"")</f>
        <v/>
      </c>
      <c r="X6941" s="23" t="str">
        <f aca="false">IF(T6941="","",IF(T6941=0,"No discount",IF(T6941&lt;=0.2,"Low (1-20%)",IF(T6941&lt;=0.4,"Medium (21-40%)","High (&gt;40%)"))))</f>
        <v/>
      </c>
      <c r="Y6941" s="23" t="str">
        <f aca="false">IF(AND(ISNUMBER(C6941),ISNUMBER(D6941)),D6941-C6941,"")</f>
        <v/>
      </c>
      <c r="Z6941" s="23" t="str">
        <f aca="false">IF(B6941="","",IF(MATCH(B6941,$B$2:$B$12000,0)=ROW()-1,1,0))</f>
        <v/>
      </c>
    </row>
    <row r="6942" customFormat="false" ht="15" hidden="false" customHeight="false" outlineLevel="0" collapsed="false">
      <c r="V6942" s="23" t="str">
        <f aca="false">IF(ISNUMBER(C6942),YEAR(C6942),"")</f>
        <v/>
      </c>
      <c r="W6942" s="23" t="str">
        <f aca="false">IF(ISNUMBER(C6942),MONTH(C6942),"")</f>
        <v/>
      </c>
      <c r="X6942" s="23" t="str">
        <f aca="false">IF(T6942="","",IF(T6942=0,"No discount",IF(T6942&lt;=0.2,"Low (1-20%)",IF(T6942&lt;=0.4,"Medium (21-40%)","High (&gt;40%)"))))</f>
        <v/>
      </c>
      <c r="Y6942" s="23" t="str">
        <f aca="false">IF(AND(ISNUMBER(C6942),ISNUMBER(D6942)),D6942-C6942,"")</f>
        <v/>
      </c>
      <c r="Z6942" s="23" t="str">
        <f aca="false">IF(B6942="","",IF(MATCH(B6942,$B$2:$B$12000,0)=ROW()-1,1,0))</f>
        <v/>
      </c>
    </row>
    <row r="6943" customFormat="false" ht="15" hidden="false" customHeight="false" outlineLevel="0" collapsed="false">
      <c r="V6943" s="23" t="str">
        <f aca="false">IF(ISNUMBER(C6943),YEAR(C6943),"")</f>
        <v/>
      </c>
      <c r="W6943" s="23" t="str">
        <f aca="false">IF(ISNUMBER(C6943),MONTH(C6943),"")</f>
        <v/>
      </c>
      <c r="X6943" s="23" t="str">
        <f aca="false">IF(T6943="","",IF(T6943=0,"No discount",IF(T6943&lt;=0.2,"Low (1-20%)",IF(T6943&lt;=0.4,"Medium (21-40%)","High (&gt;40%)"))))</f>
        <v/>
      </c>
      <c r="Y6943" s="23" t="str">
        <f aca="false">IF(AND(ISNUMBER(C6943),ISNUMBER(D6943)),D6943-C6943,"")</f>
        <v/>
      </c>
      <c r="Z6943" s="23" t="str">
        <f aca="false">IF(B6943="","",IF(MATCH(B6943,$B$2:$B$12000,0)=ROW()-1,1,0))</f>
        <v/>
      </c>
    </row>
    <row r="6944" customFormat="false" ht="15" hidden="false" customHeight="false" outlineLevel="0" collapsed="false">
      <c r="V6944" s="23" t="str">
        <f aca="false">IF(ISNUMBER(C6944),YEAR(C6944),"")</f>
        <v/>
      </c>
      <c r="W6944" s="23" t="str">
        <f aca="false">IF(ISNUMBER(C6944),MONTH(C6944),"")</f>
        <v/>
      </c>
      <c r="X6944" s="23" t="str">
        <f aca="false">IF(T6944="","",IF(T6944=0,"No discount",IF(T6944&lt;=0.2,"Low (1-20%)",IF(T6944&lt;=0.4,"Medium (21-40%)","High (&gt;40%)"))))</f>
        <v/>
      </c>
      <c r="Y6944" s="23" t="str">
        <f aca="false">IF(AND(ISNUMBER(C6944),ISNUMBER(D6944)),D6944-C6944,"")</f>
        <v/>
      </c>
      <c r="Z6944" s="23" t="str">
        <f aca="false">IF(B6944="","",IF(MATCH(B6944,$B$2:$B$12000,0)=ROW()-1,1,0))</f>
        <v/>
      </c>
    </row>
    <row r="6945" customFormat="false" ht="15" hidden="false" customHeight="false" outlineLevel="0" collapsed="false">
      <c r="V6945" s="23" t="str">
        <f aca="false">IF(ISNUMBER(C6945),YEAR(C6945),"")</f>
        <v/>
      </c>
      <c r="W6945" s="23" t="str">
        <f aca="false">IF(ISNUMBER(C6945),MONTH(C6945),"")</f>
        <v/>
      </c>
      <c r="X6945" s="23" t="str">
        <f aca="false">IF(T6945="","",IF(T6945=0,"No discount",IF(T6945&lt;=0.2,"Low (1-20%)",IF(T6945&lt;=0.4,"Medium (21-40%)","High (&gt;40%)"))))</f>
        <v/>
      </c>
      <c r="Y6945" s="23" t="str">
        <f aca="false">IF(AND(ISNUMBER(C6945),ISNUMBER(D6945)),D6945-C6945,"")</f>
        <v/>
      </c>
      <c r="Z6945" s="23" t="str">
        <f aca="false">IF(B6945="","",IF(MATCH(B6945,$B$2:$B$12000,0)=ROW()-1,1,0))</f>
        <v/>
      </c>
    </row>
    <row r="6946" customFormat="false" ht="15" hidden="false" customHeight="false" outlineLevel="0" collapsed="false">
      <c r="V6946" s="23" t="str">
        <f aca="false">IF(ISNUMBER(C6946),YEAR(C6946),"")</f>
        <v/>
      </c>
      <c r="W6946" s="23" t="str">
        <f aca="false">IF(ISNUMBER(C6946),MONTH(C6946),"")</f>
        <v/>
      </c>
      <c r="X6946" s="23" t="str">
        <f aca="false">IF(T6946="","",IF(T6946=0,"No discount",IF(T6946&lt;=0.2,"Low (1-20%)",IF(T6946&lt;=0.4,"Medium (21-40%)","High (&gt;40%)"))))</f>
        <v/>
      </c>
      <c r="Y6946" s="23" t="str">
        <f aca="false">IF(AND(ISNUMBER(C6946),ISNUMBER(D6946)),D6946-C6946,"")</f>
        <v/>
      </c>
      <c r="Z6946" s="23" t="str">
        <f aca="false">IF(B6946="","",IF(MATCH(B6946,$B$2:$B$12000,0)=ROW()-1,1,0))</f>
        <v/>
      </c>
    </row>
    <row r="6947" customFormat="false" ht="15" hidden="false" customHeight="false" outlineLevel="0" collapsed="false">
      <c r="V6947" s="23" t="str">
        <f aca="false">IF(ISNUMBER(C6947),YEAR(C6947),"")</f>
        <v/>
      </c>
      <c r="W6947" s="23" t="str">
        <f aca="false">IF(ISNUMBER(C6947),MONTH(C6947),"")</f>
        <v/>
      </c>
      <c r="X6947" s="23" t="str">
        <f aca="false">IF(T6947="","",IF(T6947=0,"No discount",IF(T6947&lt;=0.2,"Low (1-20%)",IF(T6947&lt;=0.4,"Medium (21-40%)","High (&gt;40%)"))))</f>
        <v/>
      </c>
      <c r="Y6947" s="23" t="str">
        <f aca="false">IF(AND(ISNUMBER(C6947),ISNUMBER(D6947)),D6947-C6947,"")</f>
        <v/>
      </c>
      <c r="Z6947" s="23" t="str">
        <f aca="false">IF(B6947="","",IF(MATCH(B6947,$B$2:$B$12000,0)=ROW()-1,1,0))</f>
        <v/>
      </c>
    </row>
    <row r="6948" customFormat="false" ht="15" hidden="false" customHeight="false" outlineLevel="0" collapsed="false">
      <c r="V6948" s="23" t="str">
        <f aca="false">IF(ISNUMBER(C6948),YEAR(C6948),"")</f>
        <v/>
      </c>
      <c r="W6948" s="23" t="str">
        <f aca="false">IF(ISNUMBER(C6948),MONTH(C6948),"")</f>
        <v/>
      </c>
      <c r="X6948" s="23" t="str">
        <f aca="false">IF(T6948="","",IF(T6948=0,"No discount",IF(T6948&lt;=0.2,"Low (1-20%)",IF(T6948&lt;=0.4,"Medium (21-40%)","High (&gt;40%)"))))</f>
        <v/>
      </c>
      <c r="Y6948" s="23" t="str">
        <f aca="false">IF(AND(ISNUMBER(C6948),ISNUMBER(D6948)),D6948-C6948,"")</f>
        <v/>
      </c>
      <c r="Z6948" s="23" t="str">
        <f aca="false">IF(B6948="","",IF(MATCH(B6948,$B$2:$B$12000,0)=ROW()-1,1,0))</f>
        <v/>
      </c>
    </row>
    <row r="6949" customFormat="false" ht="15" hidden="false" customHeight="false" outlineLevel="0" collapsed="false">
      <c r="V6949" s="23" t="str">
        <f aca="false">IF(ISNUMBER(C6949),YEAR(C6949),"")</f>
        <v/>
      </c>
      <c r="W6949" s="23" t="str">
        <f aca="false">IF(ISNUMBER(C6949),MONTH(C6949),"")</f>
        <v/>
      </c>
      <c r="X6949" s="23" t="str">
        <f aca="false">IF(T6949="","",IF(T6949=0,"No discount",IF(T6949&lt;=0.2,"Low (1-20%)",IF(T6949&lt;=0.4,"Medium (21-40%)","High (&gt;40%)"))))</f>
        <v/>
      </c>
      <c r="Y6949" s="23" t="str">
        <f aca="false">IF(AND(ISNUMBER(C6949),ISNUMBER(D6949)),D6949-C6949,"")</f>
        <v/>
      </c>
      <c r="Z6949" s="23" t="str">
        <f aca="false">IF(B6949="","",IF(MATCH(B6949,$B$2:$B$12000,0)=ROW()-1,1,0))</f>
        <v/>
      </c>
    </row>
    <row r="6950" customFormat="false" ht="15" hidden="false" customHeight="false" outlineLevel="0" collapsed="false">
      <c r="V6950" s="23" t="str">
        <f aca="false">IF(ISNUMBER(C6950),YEAR(C6950),"")</f>
        <v/>
      </c>
      <c r="W6950" s="23" t="str">
        <f aca="false">IF(ISNUMBER(C6950),MONTH(C6950),"")</f>
        <v/>
      </c>
      <c r="X6950" s="23" t="str">
        <f aca="false">IF(T6950="","",IF(T6950=0,"No discount",IF(T6950&lt;=0.2,"Low (1-20%)",IF(T6950&lt;=0.4,"Medium (21-40%)","High (&gt;40%)"))))</f>
        <v/>
      </c>
      <c r="Y6950" s="23" t="str">
        <f aca="false">IF(AND(ISNUMBER(C6950),ISNUMBER(D6950)),D6950-C6950,"")</f>
        <v/>
      </c>
      <c r="Z6950" s="23" t="str">
        <f aca="false">IF(B6950="","",IF(MATCH(B6950,$B$2:$B$12000,0)=ROW()-1,1,0))</f>
        <v/>
      </c>
    </row>
    <row r="6951" customFormat="false" ht="15" hidden="false" customHeight="false" outlineLevel="0" collapsed="false">
      <c r="V6951" s="23" t="str">
        <f aca="false">IF(ISNUMBER(C6951),YEAR(C6951),"")</f>
        <v/>
      </c>
      <c r="W6951" s="23" t="str">
        <f aca="false">IF(ISNUMBER(C6951),MONTH(C6951),"")</f>
        <v/>
      </c>
      <c r="X6951" s="23" t="str">
        <f aca="false">IF(T6951="","",IF(T6951=0,"No discount",IF(T6951&lt;=0.2,"Low (1-20%)",IF(T6951&lt;=0.4,"Medium (21-40%)","High (&gt;40%)"))))</f>
        <v/>
      </c>
      <c r="Y6951" s="23" t="str">
        <f aca="false">IF(AND(ISNUMBER(C6951),ISNUMBER(D6951)),D6951-C6951,"")</f>
        <v/>
      </c>
      <c r="Z6951" s="23" t="str">
        <f aca="false">IF(B6951="","",IF(MATCH(B6951,$B$2:$B$12000,0)=ROW()-1,1,0))</f>
        <v/>
      </c>
    </row>
    <row r="6952" customFormat="false" ht="15" hidden="false" customHeight="false" outlineLevel="0" collapsed="false">
      <c r="V6952" s="23" t="str">
        <f aca="false">IF(ISNUMBER(C6952),YEAR(C6952),"")</f>
        <v/>
      </c>
      <c r="W6952" s="23" t="str">
        <f aca="false">IF(ISNUMBER(C6952),MONTH(C6952),"")</f>
        <v/>
      </c>
      <c r="X6952" s="23" t="str">
        <f aca="false">IF(T6952="","",IF(T6952=0,"No discount",IF(T6952&lt;=0.2,"Low (1-20%)",IF(T6952&lt;=0.4,"Medium (21-40%)","High (&gt;40%)"))))</f>
        <v/>
      </c>
      <c r="Y6952" s="23" t="str">
        <f aca="false">IF(AND(ISNUMBER(C6952),ISNUMBER(D6952)),D6952-C6952,"")</f>
        <v/>
      </c>
      <c r="Z6952" s="23" t="str">
        <f aca="false">IF(B6952="","",IF(MATCH(B6952,$B$2:$B$12000,0)=ROW()-1,1,0))</f>
        <v/>
      </c>
    </row>
    <row r="6953" customFormat="false" ht="15" hidden="false" customHeight="false" outlineLevel="0" collapsed="false">
      <c r="V6953" s="23" t="str">
        <f aca="false">IF(ISNUMBER(C6953),YEAR(C6953),"")</f>
        <v/>
      </c>
      <c r="W6953" s="23" t="str">
        <f aca="false">IF(ISNUMBER(C6953),MONTH(C6953),"")</f>
        <v/>
      </c>
      <c r="X6953" s="23" t="str">
        <f aca="false">IF(T6953="","",IF(T6953=0,"No discount",IF(T6953&lt;=0.2,"Low (1-20%)",IF(T6953&lt;=0.4,"Medium (21-40%)","High (&gt;40%)"))))</f>
        <v/>
      </c>
      <c r="Y6953" s="23" t="str">
        <f aca="false">IF(AND(ISNUMBER(C6953),ISNUMBER(D6953)),D6953-C6953,"")</f>
        <v/>
      </c>
      <c r="Z6953" s="23" t="str">
        <f aca="false">IF(B6953="","",IF(MATCH(B6953,$B$2:$B$12000,0)=ROW()-1,1,0))</f>
        <v/>
      </c>
    </row>
    <row r="6954" customFormat="false" ht="15" hidden="false" customHeight="false" outlineLevel="0" collapsed="false">
      <c r="V6954" s="23" t="str">
        <f aca="false">IF(ISNUMBER(C6954),YEAR(C6954),"")</f>
        <v/>
      </c>
      <c r="W6954" s="23" t="str">
        <f aca="false">IF(ISNUMBER(C6954),MONTH(C6954),"")</f>
        <v/>
      </c>
      <c r="X6954" s="23" t="str">
        <f aca="false">IF(T6954="","",IF(T6954=0,"No discount",IF(T6954&lt;=0.2,"Low (1-20%)",IF(T6954&lt;=0.4,"Medium (21-40%)","High (&gt;40%)"))))</f>
        <v/>
      </c>
      <c r="Y6954" s="23" t="str">
        <f aca="false">IF(AND(ISNUMBER(C6954),ISNUMBER(D6954)),D6954-C6954,"")</f>
        <v/>
      </c>
      <c r="Z6954" s="23" t="str">
        <f aca="false">IF(B6954="","",IF(MATCH(B6954,$B$2:$B$12000,0)=ROW()-1,1,0))</f>
        <v/>
      </c>
    </row>
    <row r="6955" customFormat="false" ht="15" hidden="false" customHeight="false" outlineLevel="0" collapsed="false">
      <c r="V6955" s="23" t="str">
        <f aca="false">IF(ISNUMBER(C6955),YEAR(C6955),"")</f>
        <v/>
      </c>
      <c r="W6955" s="23" t="str">
        <f aca="false">IF(ISNUMBER(C6955),MONTH(C6955),"")</f>
        <v/>
      </c>
      <c r="X6955" s="23" t="str">
        <f aca="false">IF(T6955="","",IF(T6955=0,"No discount",IF(T6955&lt;=0.2,"Low (1-20%)",IF(T6955&lt;=0.4,"Medium (21-40%)","High (&gt;40%)"))))</f>
        <v/>
      </c>
      <c r="Y6955" s="23" t="str">
        <f aca="false">IF(AND(ISNUMBER(C6955),ISNUMBER(D6955)),D6955-C6955,"")</f>
        <v/>
      </c>
      <c r="Z6955" s="23" t="str">
        <f aca="false">IF(B6955="","",IF(MATCH(B6955,$B$2:$B$12000,0)=ROW()-1,1,0))</f>
        <v/>
      </c>
    </row>
    <row r="6956" customFormat="false" ht="15" hidden="false" customHeight="false" outlineLevel="0" collapsed="false">
      <c r="V6956" s="23" t="str">
        <f aca="false">IF(ISNUMBER(C6956),YEAR(C6956),"")</f>
        <v/>
      </c>
      <c r="W6956" s="23" t="str">
        <f aca="false">IF(ISNUMBER(C6956),MONTH(C6956),"")</f>
        <v/>
      </c>
      <c r="X6956" s="23" t="str">
        <f aca="false">IF(T6956="","",IF(T6956=0,"No discount",IF(T6956&lt;=0.2,"Low (1-20%)",IF(T6956&lt;=0.4,"Medium (21-40%)","High (&gt;40%)"))))</f>
        <v/>
      </c>
      <c r="Y6956" s="23" t="str">
        <f aca="false">IF(AND(ISNUMBER(C6956),ISNUMBER(D6956)),D6956-C6956,"")</f>
        <v/>
      </c>
      <c r="Z6956" s="23" t="str">
        <f aca="false">IF(B6956="","",IF(MATCH(B6956,$B$2:$B$12000,0)=ROW()-1,1,0))</f>
        <v/>
      </c>
    </row>
    <row r="6957" customFormat="false" ht="15" hidden="false" customHeight="false" outlineLevel="0" collapsed="false">
      <c r="V6957" s="23" t="str">
        <f aca="false">IF(ISNUMBER(C6957),YEAR(C6957),"")</f>
        <v/>
      </c>
      <c r="W6957" s="23" t="str">
        <f aca="false">IF(ISNUMBER(C6957),MONTH(C6957),"")</f>
        <v/>
      </c>
      <c r="X6957" s="23" t="str">
        <f aca="false">IF(T6957="","",IF(T6957=0,"No discount",IF(T6957&lt;=0.2,"Low (1-20%)",IF(T6957&lt;=0.4,"Medium (21-40%)","High (&gt;40%)"))))</f>
        <v/>
      </c>
      <c r="Y6957" s="23" t="str">
        <f aca="false">IF(AND(ISNUMBER(C6957),ISNUMBER(D6957)),D6957-C6957,"")</f>
        <v/>
      </c>
      <c r="Z6957" s="23" t="str">
        <f aca="false">IF(B6957="","",IF(MATCH(B6957,$B$2:$B$12000,0)=ROW()-1,1,0))</f>
        <v/>
      </c>
    </row>
    <row r="6958" customFormat="false" ht="15" hidden="false" customHeight="false" outlineLevel="0" collapsed="false">
      <c r="V6958" s="23" t="str">
        <f aca="false">IF(ISNUMBER(C6958),YEAR(C6958),"")</f>
        <v/>
      </c>
      <c r="W6958" s="23" t="str">
        <f aca="false">IF(ISNUMBER(C6958),MONTH(C6958),"")</f>
        <v/>
      </c>
      <c r="X6958" s="23" t="str">
        <f aca="false">IF(T6958="","",IF(T6958=0,"No discount",IF(T6958&lt;=0.2,"Low (1-20%)",IF(T6958&lt;=0.4,"Medium (21-40%)","High (&gt;40%)"))))</f>
        <v/>
      </c>
      <c r="Y6958" s="23" t="str">
        <f aca="false">IF(AND(ISNUMBER(C6958),ISNUMBER(D6958)),D6958-C6958,"")</f>
        <v/>
      </c>
      <c r="Z6958" s="23" t="str">
        <f aca="false">IF(B6958="","",IF(MATCH(B6958,$B$2:$B$12000,0)=ROW()-1,1,0))</f>
        <v/>
      </c>
    </row>
    <row r="6959" customFormat="false" ht="15" hidden="false" customHeight="false" outlineLevel="0" collapsed="false">
      <c r="V6959" s="23" t="str">
        <f aca="false">IF(ISNUMBER(C6959),YEAR(C6959),"")</f>
        <v/>
      </c>
      <c r="W6959" s="23" t="str">
        <f aca="false">IF(ISNUMBER(C6959),MONTH(C6959),"")</f>
        <v/>
      </c>
      <c r="X6959" s="23" t="str">
        <f aca="false">IF(T6959="","",IF(T6959=0,"No discount",IF(T6959&lt;=0.2,"Low (1-20%)",IF(T6959&lt;=0.4,"Medium (21-40%)","High (&gt;40%)"))))</f>
        <v/>
      </c>
      <c r="Y6959" s="23" t="str">
        <f aca="false">IF(AND(ISNUMBER(C6959),ISNUMBER(D6959)),D6959-C6959,"")</f>
        <v/>
      </c>
      <c r="Z6959" s="23" t="str">
        <f aca="false">IF(B6959="","",IF(MATCH(B6959,$B$2:$B$12000,0)=ROW()-1,1,0))</f>
        <v/>
      </c>
    </row>
    <row r="6960" customFormat="false" ht="15" hidden="false" customHeight="false" outlineLevel="0" collapsed="false">
      <c r="V6960" s="23" t="str">
        <f aca="false">IF(ISNUMBER(C6960),YEAR(C6960),"")</f>
        <v/>
      </c>
      <c r="W6960" s="23" t="str">
        <f aca="false">IF(ISNUMBER(C6960),MONTH(C6960),"")</f>
        <v/>
      </c>
      <c r="X6960" s="23" t="str">
        <f aca="false">IF(T6960="","",IF(T6960=0,"No discount",IF(T6960&lt;=0.2,"Low (1-20%)",IF(T6960&lt;=0.4,"Medium (21-40%)","High (&gt;40%)"))))</f>
        <v/>
      </c>
      <c r="Y6960" s="23" t="str">
        <f aca="false">IF(AND(ISNUMBER(C6960),ISNUMBER(D6960)),D6960-C6960,"")</f>
        <v/>
      </c>
      <c r="Z6960" s="23" t="str">
        <f aca="false">IF(B6960="","",IF(MATCH(B6960,$B$2:$B$12000,0)=ROW()-1,1,0))</f>
        <v/>
      </c>
    </row>
    <row r="6961" customFormat="false" ht="15" hidden="false" customHeight="false" outlineLevel="0" collapsed="false">
      <c r="V6961" s="23" t="str">
        <f aca="false">IF(ISNUMBER(C6961),YEAR(C6961),"")</f>
        <v/>
      </c>
      <c r="W6961" s="23" t="str">
        <f aca="false">IF(ISNUMBER(C6961),MONTH(C6961),"")</f>
        <v/>
      </c>
      <c r="X6961" s="23" t="str">
        <f aca="false">IF(T6961="","",IF(T6961=0,"No discount",IF(T6961&lt;=0.2,"Low (1-20%)",IF(T6961&lt;=0.4,"Medium (21-40%)","High (&gt;40%)"))))</f>
        <v/>
      </c>
      <c r="Y6961" s="23" t="str">
        <f aca="false">IF(AND(ISNUMBER(C6961),ISNUMBER(D6961)),D6961-C6961,"")</f>
        <v/>
      </c>
      <c r="Z6961" s="23" t="str">
        <f aca="false">IF(B6961="","",IF(MATCH(B6961,$B$2:$B$12000,0)=ROW()-1,1,0))</f>
        <v/>
      </c>
    </row>
    <row r="6962" customFormat="false" ht="15" hidden="false" customHeight="false" outlineLevel="0" collapsed="false">
      <c r="V6962" s="23" t="str">
        <f aca="false">IF(ISNUMBER(C6962),YEAR(C6962),"")</f>
        <v/>
      </c>
      <c r="W6962" s="23" t="str">
        <f aca="false">IF(ISNUMBER(C6962),MONTH(C6962),"")</f>
        <v/>
      </c>
      <c r="X6962" s="23" t="str">
        <f aca="false">IF(T6962="","",IF(T6962=0,"No discount",IF(T6962&lt;=0.2,"Low (1-20%)",IF(T6962&lt;=0.4,"Medium (21-40%)","High (&gt;40%)"))))</f>
        <v/>
      </c>
      <c r="Y6962" s="23" t="str">
        <f aca="false">IF(AND(ISNUMBER(C6962),ISNUMBER(D6962)),D6962-C6962,"")</f>
        <v/>
      </c>
      <c r="Z6962" s="23" t="str">
        <f aca="false">IF(B6962="","",IF(MATCH(B6962,$B$2:$B$12000,0)=ROW()-1,1,0))</f>
        <v/>
      </c>
    </row>
    <row r="6963" customFormat="false" ht="15" hidden="false" customHeight="false" outlineLevel="0" collapsed="false">
      <c r="V6963" s="23" t="str">
        <f aca="false">IF(ISNUMBER(C6963),YEAR(C6963),"")</f>
        <v/>
      </c>
      <c r="W6963" s="23" t="str">
        <f aca="false">IF(ISNUMBER(C6963),MONTH(C6963),"")</f>
        <v/>
      </c>
      <c r="X6963" s="23" t="str">
        <f aca="false">IF(T6963="","",IF(T6963=0,"No discount",IF(T6963&lt;=0.2,"Low (1-20%)",IF(T6963&lt;=0.4,"Medium (21-40%)","High (&gt;40%)"))))</f>
        <v/>
      </c>
      <c r="Y6963" s="23" t="str">
        <f aca="false">IF(AND(ISNUMBER(C6963),ISNUMBER(D6963)),D6963-C6963,"")</f>
        <v/>
      </c>
      <c r="Z6963" s="23" t="str">
        <f aca="false">IF(B6963="","",IF(MATCH(B6963,$B$2:$B$12000,0)=ROW()-1,1,0))</f>
        <v/>
      </c>
    </row>
    <row r="6964" customFormat="false" ht="15" hidden="false" customHeight="false" outlineLevel="0" collapsed="false">
      <c r="V6964" s="23" t="str">
        <f aca="false">IF(ISNUMBER(C6964),YEAR(C6964),"")</f>
        <v/>
      </c>
      <c r="W6964" s="23" t="str">
        <f aca="false">IF(ISNUMBER(C6964),MONTH(C6964),"")</f>
        <v/>
      </c>
      <c r="X6964" s="23" t="str">
        <f aca="false">IF(T6964="","",IF(T6964=0,"No discount",IF(T6964&lt;=0.2,"Low (1-20%)",IF(T6964&lt;=0.4,"Medium (21-40%)","High (&gt;40%)"))))</f>
        <v/>
      </c>
      <c r="Y6964" s="23" t="str">
        <f aca="false">IF(AND(ISNUMBER(C6964),ISNUMBER(D6964)),D6964-C6964,"")</f>
        <v/>
      </c>
      <c r="Z6964" s="23" t="str">
        <f aca="false">IF(B6964="","",IF(MATCH(B6964,$B$2:$B$12000,0)=ROW()-1,1,0))</f>
        <v/>
      </c>
    </row>
    <row r="6965" customFormat="false" ht="15" hidden="false" customHeight="false" outlineLevel="0" collapsed="false">
      <c r="V6965" s="23" t="str">
        <f aca="false">IF(ISNUMBER(C6965),YEAR(C6965),"")</f>
        <v/>
      </c>
      <c r="W6965" s="23" t="str">
        <f aca="false">IF(ISNUMBER(C6965),MONTH(C6965),"")</f>
        <v/>
      </c>
      <c r="X6965" s="23" t="str">
        <f aca="false">IF(T6965="","",IF(T6965=0,"No discount",IF(T6965&lt;=0.2,"Low (1-20%)",IF(T6965&lt;=0.4,"Medium (21-40%)","High (&gt;40%)"))))</f>
        <v/>
      </c>
      <c r="Y6965" s="23" t="str">
        <f aca="false">IF(AND(ISNUMBER(C6965),ISNUMBER(D6965)),D6965-C6965,"")</f>
        <v/>
      </c>
      <c r="Z6965" s="23" t="str">
        <f aca="false">IF(B6965="","",IF(MATCH(B6965,$B$2:$B$12000,0)=ROW()-1,1,0))</f>
        <v/>
      </c>
    </row>
    <row r="6966" customFormat="false" ht="15" hidden="false" customHeight="false" outlineLevel="0" collapsed="false">
      <c r="V6966" s="23" t="str">
        <f aca="false">IF(ISNUMBER(C6966),YEAR(C6966),"")</f>
        <v/>
      </c>
      <c r="W6966" s="23" t="str">
        <f aca="false">IF(ISNUMBER(C6966),MONTH(C6966),"")</f>
        <v/>
      </c>
      <c r="X6966" s="23" t="str">
        <f aca="false">IF(T6966="","",IF(T6966=0,"No discount",IF(T6966&lt;=0.2,"Low (1-20%)",IF(T6966&lt;=0.4,"Medium (21-40%)","High (&gt;40%)"))))</f>
        <v/>
      </c>
      <c r="Y6966" s="23" t="str">
        <f aca="false">IF(AND(ISNUMBER(C6966),ISNUMBER(D6966)),D6966-C6966,"")</f>
        <v/>
      </c>
      <c r="Z6966" s="23" t="str">
        <f aca="false">IF(B6966="","",IF(MATCH(B6966,$B$2:$B$12000,0)=ROW()-1,1,0))</f>
        <v/>
      </c>
    </row>
    <row r="6967" customFormat="false" ht="15" hidden="false" customHeight="false" outlineLevel="0" collapsed="false">
      <c r="V6967" s="23" t="str">
        <f aca="false">IF(ISNUMBER(C6967),YEAR(C6967),"")</f>
        <v/>
      </c>
      <c r="W6967" s="23" t="str">
        <f aca="false">IF(ISNUMBER(C6967),MONTH(C6967),"")</f>
        <v/>
      </c>
      <c r="X6967" s="23" t="str">
        <f aca="false">IF(T6967="","",IF(T6967=0,"No discount",IF(T6967&lt;=0.2,"Low (1-20%)",IF(T6967&lt;=0.4,"Medium (21-40%)","High (&gt;40%)"))))</f>
        <v/>
      </c>
      <c r="Y6967" s="23" t="str">
        <f aca="false">IF(AND(ISNUMBER(C6967),ISNUMBER(D6967)),D6967-C6967,"")</f>
        <v/>
      </c>
      <c r="Z6967" s="23" t="str">
        <f aca="false">IF(B6967="","",IF(MATCH(B6967,$B$2:$B$12000,0)=ROW()-1,1,0))</f>
        <v/>
      </c>
    </row>
    <row r="6968" customFormat="false" ht="15" hidden="false" customHeight="false" outlineLevel="0" collapsed="false">
      <c r="V6968" s="23" t="str">
        <f aca="false">IF(ISNUMBER(C6968),YEAR(C6968),"")</f>
        <v/>
      </c>
      <c r="W6968" s="23" t="str">
        <f aca="false">IF(ISNUMBER(C6968),MONTH(C6968),"")</f>
        <v/>
      </c>
      <c r="X6968" s="23" t="str">
        <f aca="false">IF(T6968="","",IF(T6968=0,"No discount",IF(T6968&lt;=0.2,"Low (1-20%)",IF(T6968&lt;=0.4,"Medium (21-40%)","High (&gt;40%)"))))</f>
        <v/>
      </c>
      <c r="Y6968" s="23" t="str">
        <f aca="false">IF(AND(ISNUMBER(C6968),ISNUMBER(D6968)),D6968-C6968,"")</f>
        <v/>
      </c>
      <c r="Z6968" s="23" t="str">
        <f aca="false">IF(B6968="","",IF(MATCH(B6968,$B$2:$B$12000,0)=ROW()-1,1,0))</f>
        <v/>
      </c>
    </row>
    <row r="6969" customFormat="false" ht="15" hidden="false" customHeight="false" outlineLevel="0" collapsed="false">
      <c r="V6969" s="23" t="str">
        <f aca="false">IF(ISNUMBER(C6969),YEAR(C6969),"")</f>
        <v/>
      </c>
      <c r="W6969" s="23" t="str">
        <f aca="false">IF(ISNUMBER(C6969),MONTH(C6969),"")</f>
        <v/>
      </c>
      <c r="X6969" s="23" t="str">
        <f aca="false">IF(T6969="","",IF(T6969=0,"No discount",IF(T6969&lt;=0.2,"Low (1-20%)",IF(T6969&lt;=0.4,"Medium (21-40%)","High (&gt;40%)"))))</f>
        <v/>
      </c>
      <c r="Y6969" s="23" t="str">
        <f aca="false">IF(AND(ISNUMBER(C6969),ISNUMBER(D6969)),D6969-C6969,"")</f>
        <v/>
      </c>
      <c r="Z6969" s="23" t="str">
        <f aca="false">IF(B6969="","",IF(MATCH(B6969,$B$2:$B$12000,0)=ROW()-1,1,0))</f>
        <v/>
      </c>
    </row>
    <row r="6970" customFormat="false" ht="15" hidden="false" customHeight="false" outlineLevel="0" collapsed="false">
      <c r="V6970" s="23" t="str">
        <f aca="false">IF(ISNUMBER(C6970),YEAR(C6970),"")</f>
        <v/>
      </c>
      <c r="W6970" s="23" t="str">
        <f aca="false">IF(ISNUMBER(C6970),MONTH(C6970),"")</f>
        <v/>
      </c>
      <c r="X6970" s="23" t="str">
        <f aca="false">IF(T6970="","",IF(T6970=0,"No discount",IF(T6970&lt;=0.2,"Low (1-20%)",IF(T6970&lt;=0.4,"Medium (21-40%)","High (&gt;40%)"))))</f>
        <v/>
      </c>
      <c r="Y6970" s="23" t="str">
        <f aca="false">IF(AND(ISNUMBER(C6970),ISNUMBER(D6970)),D6970-C6970,"")</f>
        <v/>
      </c>
      <c r="Z6970" s="23" t="str">
        <f aca="false">IF(B6970="","",IF(MATCH(B6970,$B$2:$B$12000,0)=ROW()-1,1,0))</f>
        <v/>
      </c>
    </row>
    <row r="6971" customFormat="false" ht="15" hidden="false" customHeight="false" outlineLevel="0" collapsed="false">
      <c r="V6971" s="23" t="str">
        <f aca="false">IF(ISNUMBER(C6971),YEAR(C6971),"")</f>
        <v/>
      </c>
      <c r="W6971" s="23" t="str">
        <f aca="false">IF(ISNUMBER(C6971),MONTH(C6971),"")</f>
        <v/>
      </c>
      <c r="X6971" s="23" t="str">
        <f aca="false">IF(T6971="","",IF(T6971=0,"No discount",IF(T6971&lt;=0.2,"Low (1-20%)",IF(T6971&lt;=0.4,"Medium (21-40%)","High (&gt;40%)"))))</f>
        <v/>
      </c>
      <c r="Y6971" s="23" t="str">
        <f aca="false">IF(AND(ISNUMBER(C6971),ISNUMBER(D6971)),D6971-C6971,"")</f>
        <v/>
      </c>
      <c r="Z6971" s="23" t="str">
        <f aca="false">IF(B6971="","",IF(MATCH(B6971,$B$2:$B$12000,0)=ROW()-1,1,0))</f>
        <v/>
      </c>
    </row>
    <row r="6972" customFormat="false" ht="15" hidden="false" customHeight="false" outlineLevel="0" collapsed="false">
      <c r="V6972" s="23" t="str">
        <f aca="false">IF(ISNUMBER(C6972),YEAR(C6972),"")</f>
        <v/>
      </c>
      <c r="W6972" s="23" t="str">
        <f aca="false">IF(ISNUMBER(C6972),MONTH(C6972),"")</f>
        <v/>
      </c>
      <c r="X6972" s="23" t="str">
        <f aca="false">IF(T6972="","",IF(T6972=0,"No discount",IF(T6972&lt;=0.2,"Low (1-20%)",IF(T6972&lt;=0.4,"Medium (21-40%)","High (&gt;40%)"))))</f>
        <v/>
      </c>
      <c r="Y6972" s="23" t="str">
        <f aca="false">IF(AND(ISNUMBER(C6972),ISNUMBER(D6972)),D6972-C6972,"")</f>
        <v/>
      </c>
      <c r="Z6972" s="23" t="str">
        <f aca="false">IF(B6972="","",IF(MATCH(B6972,$B$2:$B$12000,0)=ROW()-1,1,0))</f>
        <v/>
      </c>
    </row>
    <row r="6973" customFormat="false" ht="15" hidden="false" customHeight="false" outlineLevel="0" collapsed="false">
      <c r="V6973" s="23" t="str">
        <f aca="false">IF(ISNUMBER(C6973),YEAR(C6973),"")</f>
        <v/>
      </c>
      <c r="W6973" s="23" t="str">
        <f aca="false">IF(ISNUMBER(C6973),MONTH(C6973),"")</f>
        <v/>
      </c>
      <c r="X6973" s="23" t="str">
        <f aca="false">IF(T6973="","",IF(T6973=0,"No discount",IF(T6973&lt;=0.2,"Low (1-20%)",IF(T6973&lt;=0.4,"Medium (21-40%)","High (&gt;40%)"))))</f>
        <v/>
      </c>
      <c r="Y6973" s="23" t="str">
        <f aca="false">IF(AND(ISNUMBER(C6973),ISNUMBER(D6973)),D6973-C6973,"")</f>
        <v/>
      </c>
      <c r="Z6973" s="23" t="str">
        <f aca="false">IF(B6973="","",IF(MATCH(B6973,$B$2:$B$12000,0)=ROW()-1,1,0))</f>
        <v/>
      </c>
    </row>
    <row r="6974" customFormat="false" ht="15" hidden="false" customHeight="false" outlineLevel="0" collapsed="false">
      <c r="V6974" s="23" t="str">
        <f aca="false">IF(ISNUMBER(C6974),YEAR(C6974),"")</f>
        <v/>
      </c>
      <c r="W6974" s="23" t="str">
        <f aca="false">IF(ISNUMBER(C6974),MONTH(C6974),"")</f>
        <v/>
      </c>
      <c r="X6974" s="23" t="str">
        <f aca="false">IF(T6974="","",IF(T6974=0,"No discount",IF(T6974&lt;=0.2,"Low (1-20%)",IF(T6974&lt;=0.4,"Medium (21-40%)","High (&gt;40%)"))))</f>
        <v/>
      </c>
      <c r="Y6974" s="23" t="str">
        <f aca="false">IF(AND(ISNUMBER(C6974),ISNUMBER(D6974)),D6974-C6974,"")</f>
        <v/>
      </c>
      <c r="Z6974" s="23" t="str">
        <f aca="false">IF(B6974="","",IF(MATCH(B6974,$B$2:$B$12000,0)=ROW()-1,1,0))</f>
        <v/>
      </c>
    </row>
    <row r="6975" customFormat="false" ht="15" hidden="false" customHeight="false" outlineLevel="0" collapsed="false">
      <c r="V6975" s="23" t="str">
        <f aca="false">IF(ISNUMBER(C6975),YEAR(C6975),"")</f>
        <v/>
      </c>
      <c r="W6975" s="23" t="str">
        <f aca="false">IF(ISNUMBER(C6975),MONTH(C6975),"")</f>
        <v/>
      </c>
      <c r="X6975" s="23" t="str">
        <f aca="false">IF(T6975="","",IF(T6975=0,"No discount",IF(T6975&lt;=0.2,"Low (1-20%)",IF(T6975&lt;=0.4,"Medium (21-40%)","High (&gt;40%)"))))</f>
        <v/>
      </c>
      <c r="Y6975" s="23" t="str">
        <f aca="false">IF(AND(ISNUMBER(C6975),ISNUMBER(D6975)),D6975-C6975,"")</f>
        <v/>
      </c>
      <c r="Z6975" s="23" t="str">
        <f aca="false">IF(B6975="","",IF(MATCH(B6975,$B$2:$B$12000,0)=ROW()-1,1,0))</f>
        <v/>
      </c>
    </row>
    <row r="6976" customFormat="false" ht="15" hidden="false" customHeight="false" outlineLevel="0" collapsed="false">
      <c r="V6976" s="23" t="str">
        <f aca="false">IF(ISNUMBER(C6976),YEAR(C6976),"")</f>
        <v/>
      </c>
      <c r="W6976" s="23" t="str">
        <f aca="false">IF(ISNUMBER(C6976),MONTH(C6976),"")</f>
        <v/>
      </c>
      <c r="X6976" s="23" t="str">
        <f aca="false">IF(T6976="","",IF(T6976=0,"No discount",IF(T6976&lt;=0.2,"Low (1-20%)",IF(T6976&lt;=0.4,"Medium (21-40%)","High (&gt;40%)"))))</f>
        <v/>
      </c>
      <c r="Y6976" s="23" t="str">
        <f aca="false">IF(AND(ISNUMBER(C6976),ISNUMBER(D6976)),D6976-C6976,"")</f>
        <v/>
      </c>
      <c r="Z6976" s="23" t="str">
        <f aca="false">IF(B6976="","",IF(MATCH(B6976,$B$2:$B$12000,0)=ROW()-1,1,0))</f>
        <v/>
      </c>
    </row>
    <row r="6977" customFormat="false" ht="15" hidden="false" customHeight="false" outlineLevel="0" collapsed="false">
      <c r="V6977" s="23" t="str">
        <f aca="false">IF(ISNUMBER(C6977),YEAR(C6977),"")</f>
        <v/>
      </c>
      <c r="W6977" s="23" t="str">
        <f aca="false">IF(ISNUMBER(C6977),MONTH(C6977),"")</f>
        <v/>
      </c>
      <c r="X6977" s="23" t="str">
        <f aca="false">IF(T6977="","",IF(T6977=0,"No discount",IF(T6977&lt;=0.2,"Low (1-20%)",IF(T6977&lt;=0.4,"Medium (21-40%)","High (&gt;40%)"))))</f>
        <v/>
      </c>
      <c r="Y6977" s="23" t="str">
        <f aca="false">IF(AND(ISNUMBER(C6977),ISNUMBER(D6977)),D6977-C6977,"")</f>
        <v/>
      </c>
      <c r="Z6977" s="23" t="str">
        <f aca="false">IF(B6977="","",IF(MATCH(B6977,$B$2:$B$12000,0)=ROW()-1,1,0))</f>
        <v/>
      </c>
    </row>
    <row r="6978" customFormat="false" ht="15" hidden="false" customHeight="false" outlineLevel="0" collapsed="false">
      <c r="V6978" s="23" t="str">
        <f aca="false">IF(ISNUMBER(C6978),YEAR(C6978),"")</f>
        <v/>
      </c>
      <c r="W6978" s="23" t="str">
        <f aca="false">IF(ISNUMBER(C6978),MONTH(C6978),"")</f>
        <v/>
      </c>
      <c r="X6978" s="23" t="str">
        <f aca="false">IF(T6978="","",IF(T6978=0,"No discount",IF(T6978&lt;=0.2,"Low (1-20%)",IF(T6978&lt;=0.4,"Medium (21-40%)","High (&gt;40%)"))))</f>
        <v/>
      </c>
      <c r="Y6978" s="23" t="str">
        <f aca="false">IF(AND(ISNUMBER(C6978),ISNUMBER(D6978)),D6978-C6978,"")</f>
        <v/>
      </c>
      <c r="Z6978" s="23" t="str">
        <f aca="false">IF(B6978="","",IF(MATCH(B6978,$B$2:$B$12000,0)=ROW()-1,1,0))</f>
        <v/>
      </c>
    </row>
    <row r="6979" customFormat="false" ht="15" hidden="false" customHeight="false" outlineLevel="0" collapsed="false">
      <c r="V6979" s="23" t="str">
        <f aca="false">IF(ISNUMBER(C6979),YEAR(C6979),"")</f>
        <v/>
      </c>
      <c r="W6979" s="23" t="str">
        <f aca="false">IF(ISNUMBER(C6979),MONTH(C6979),"")</f>
        <v/>
      </c>
      <c r="X6979" s="23" t="str">
        <f aca="false">IF(T6979="","",IF(T6979=0,"No discount",IF(T6979&lt;=0.2,"Low (1-20%)",IF(T6979&lt;=0.4,"Medium (21-40%)","High (&gt;40%)"))))</f>
        <v/>
      </c>
      <c r="Y6979" s="23" t="str">
        <f aca="false">IF(AND(ISNUMBER(C6979),ISNUMBER(D6979)),D6979-C6979,"")</f>
        <v/>
      </c>
      <c r="Z6979" s="23" t="str">
        <f aca="false">IF(B6979="","",IF(MATCH(B6979,$B$2:$B$12000,0)=ROW()-1,1,0))</f>
        <v/>
      </c>
    </row>
    <row r="6980" customFormat="false" ht="15" hidden="false" customHeight="false" outlineLevel="0" collapsed="false">
      <c r="V6980" s="23" t="str">
        <f aca="false">IF(ISNUMBER(C6980),YEAR(C6980),"")</f>
        <v/>
      </c>
      <c r="W6980" s="23" t="str">
        <f aca="false">IF(ISNUMBER(C6980),MONTH(C6980),"")</f>
        <v/>
      </c>
      <c r="X6980" s="23" t="str">
        <f aca="false">IF(T6980="","",IF(T6980=0,"No discount",IF(T6980&lt;=0.2,"Low (1-20%)",IF(T6980&lt;=0.4,"Medium (21-40%)","High (&gt;40%)"))))</f>
        <v/>
      </c>
      <c r="Y6980" s="23" t="str">
        <f aca="false">IF(AND(ISNUMBER(C6980),ISNUMBER(D6980)),D6980-C6980,"")</f>
        <v/>
      </c>
      <c r="Z6980" s="23" t="str">
        <f aca="false">IF(B6980="","",IF(MATCH(B6980,$B$2:$B$12000,0)=ROW()-1,1,0))</f>
        <v/>
      </c>
    </row>
    <row r="6981" customFormat="false" ht="15" hidden="false" customHeight="false" outlineLevel="0" collapsed="false">
      <c r="V6981" s="23" t="str">
        <f aca="false">IF(ISNUMBER(C6981),YEAR(C6981),"")</f>
        <v/>
      </c>
      <c r="W6981" s="23" t="str">
        <f aca="false">IF(ISNUMBER(C6981),MONTH(C6981),"")</f>
        <v/>
      </c>
      <c r="X6981" s="23" t="str">
        <f aca="false">IF(T6981="","",IF(T6981=0,"No discount",IF(T6981&lt;=0.2,"Low (1-20%)",IF(T6981&lt;=0.4,"Medium (21-40%)","High (&gt;40%)"))))</f>
        <v/>
      </c>
      <c r="Y6981" s="23" t="str">
        <f aca="false">IF(AND(ISNUMBER(C6981),ISNUMBER(D6981)),D6981-C6981,"")</f>
        <v/>
      </c>
      <c r="Z6981" s="23" t="str">
        <f aca="false">IF(B6981="","",IF(MATCH(B6981,$B$2:$B$12000,0)=ROW()-1,1,0))</f>
        <v/>
      </c>
    </row>
    <row r="6982" customFormat="false" ht="15" hidden="false" customHeight="false" outlineLevel="0" collapsed="false">
      <c r="V6982" s="23" t="str">
        <f aca="false">IF(ISNUMBER(C6982),YEAR(C6982),"")</f>
        <v/>
      </c>
      <c r="W6982" s="23" t="str">
        <f aca="false">IF(ISNUMBER(C6982),MONTH(C6982),"")</f>
        <v/>
      </c>
      <c r="X6982" s="23" t="str">
        <f aca="false">IF(T6982="","",IF(T6982=0,"No discount",IF(T6982&lt;=0.2,"Low (1-20%)",IF(T6982&lt;=0.4,"Medium (21-40%)","High (&gt;40%)"))))</f>
        <v/>
      </c>
      <c r="Y6982" s="23" t="str">
        <f aca="false">IF(AND(ISNUMBER(C6982),ISNUMBER(D6982)),D6982-C6982,"")</f>
        <v/>
      </c>
      <c r="Z6982" s="23" t="str">
        <f aca="false">IF(B6982="","",IF(MATCH(B6982,$B$2:$B$12000,0)=ROW()-1,1,0))</f>
        <v/>
      </c>
    </row>
    <row r="6983" customFormat="false" ht="15" hidden="false" customHeight="false" outlineLevel="0" collapsed="false">
      <c r="V6983" s="23" t="str">
        <f aca="false">IF(ISNUMBER(C6983),YEAR(C6983),"")</f>
        <v/>
      </c>
      <c r="W6983" s="23" t="str">
        <f aca="false">IF(ISNUMBER(C6983),MONTH(C6983),"")</f>
        <v/>
      </c>
      <c r="X6983" s="23" t="str">
        <f aca="false">IF(T6983="","",IF(T6983=0,"No discount",IF(T6983&lt;=0.2,"Low (1-20%)",IF(T6983&lt;=0.4,"Medium (21-40%)","High (&gt;40%)"))))</f>
        <v/>
      </c>
      <c r="Y6983" s="23" t="str">
        <f aca="false">IF(AND(ISNUMBER(C6983),ISNUMBER(D6983)),D6983-C6983,"")</f>
        <v/>
      </c>
      <c r="Z6983" s="23" t="str">
        <f aca="false">IF(B6983="","",IF(MATCH(B6983,$B$2:$B$12000,0)=ROW()-1,1,0))</f>
        <v/>
      </c>
    </row>
    <row r="6984" customFormat="false" ht="15" hidden="false" customHeight="false" outlineLevel="0" collapsed="false">
      <c r="V6984" s="23" t="str">
        <f aca="false">IF(ISNUMBER(C6984),YEAR(C6984),"")</f>
        <v/>
      </c>
      <c r="W6984" s="23" t="str">
        <f aca="false">IF(ISNUMBER(C6984),MONTH(C6984),"")</f>
        <v/>
      </c>
      <c r="X6984" s="23" t="str">
        <f aca="false">IF(T6984="","",IF(T6984=0,"No discount",IF(T6984&lt;=0.2,"Low (1-20%)",IF(T6984&lt;=0.4,"Medium (21-40%)","High (&gt;40%)"))))</f>
        <v/>
      </c>
      <c r="Y6984" s="23" t="str">
        <f aca="false">IF(AND(ISNUMBER(C6984),ISNUMBER(D6984)),D6984-C6984,"")</f>
        <v/>
      </c>
      <c r="Z6984" s="23" t="str">
        <f aca="false">IF(B6984="","",IF(MATCH(B6984,$B$2:$B$12000,0)=ROW()-1,1,0))</f>
        <v/>
      </c>
    </row>
    <row r="6985" customFormat="false" ht="15" hidden="false" customHeight="false" outlineLevel="0" collapsed="false">
      <c r="V6985" s="23" t="str">
        <f aca="false">IF(ISNUMBER(C6985),YEAR(C6985),"")</f>
        <v/>
      </c>
      <c r="W6985" s="23" t="str">
        <f aca="false">IF(ISNUMBER(C6985),MONTH(C6985),"")</f>
        <v/>
      </c>
      <c r="X6985" s="23" t="str">
        <f aca="false">IF(T6985="","",IF(T6985=0,"No discount",IF(T6985&lt;=0.2,"Low (1-20%)",IF(T6985&lt;=0.4,"Medium (21-40%)","High (&gt;40%)"))))</f>
        <v/>
      </c>
      <c r="Y6985" s="23" t="str">
        <f aca="false">IF(AND(ISNUMBER(C6985),ISNUMBER(D6985)),D6985-C6985,"")</f>
        <v/>
      </c>
      <c r="Z6985" s="23" t="str">
        <f aca="false">IF(B6985="","",IF(MATCH(B6985,$B$2:$B$12000,0)=ROW()-1,1,0))</f>
        <v/>
      </c>
    </row>
    <row r="6986" customFormat="false" ht="15" hidden="false" customHeight="false" outlineLevel="0" collapsed="false">
      <c r="V6986" s="23" t="str">
        <f aca="false">IF(ISNUMBER(C6986),YEAR(C6986),"")</f>
        <v/>
      </c>
      <c r="W6986" s="23" t="str">
        <f aca="false">IF(ISNUMBER(C6986),MONTH(C6986),"")</f>
        <v/>
      </c>
      <c r="X6986" s="23" t="str">
        <f aca="false">IF(T6986="","",IF(T6986=0,"No discount",IF(T6986&lt;=0.2,"Low (1-20%)",IF(T6986&lt;=0.4,"Medium (21-40%)","High (&gt;40%)"))))</f>
        <v/>
      </c>
      <c r="Y6986" s="23" t="str">
        <f aca="false">IF(AND(ISNUMBER(C6986),ISNUMBER(D6986)),D6986-C6986,"")</f>
        <v/>
      </c>
      <c r="Z6986" s="23" t="str">
        <f aca="false">IF(B6986="","",IF(MATCH(B6986,$B$2:$B$12000,0)=ROW()-1,1,0))</f>
        <v/>
      </c>
    </row>
    <row r="6987" customFormat="false" ht="15" hidden="false" customHeight="false" outlineLevel="0" collapsed="false">
      <c r="V6987" s="23" t="str">
        <f aca="false">IF(ISNUMBER(C6987),YEAR(C6987),"")</f>
        <v/>
      </c>
      <c r="W6987" s="23" t="str">
        <f aca="false">IF(ISNUMBER(C6987),MONTH(C6987),"")</f>
        <v/>
      </c>
      <c r="X6987" s="23" t="str">
        <f aca="false">IF(T6987="","",IF(T6987=0,"No discount",IF(T6987&lt;=0.2,"Low (1-20%)",IF(T6987&lt;=0.4,"Medium (21-40%)","High (&gt;40%)"))))</f>
        <v/>
      </c>
      <c r="Y6987" s="23" t="str">
        <f aca="false">IF(AND(ISNUMBER(C6987),ISNUMBER(D6987)),D6987-C6987,"")</f>
        <v/>
      </c>
      <c r="Z6987" s="23" t="str">
        <f aca="false">IF(B6987="","",IF(MATCH(B6987,$B$2:$B$12000,0)=ROW()-1,1,0))</f>
        <v/>
      </c>
    </row>
    <row r="6988" customFormat="false" ht="15" hidden="false" customHeight="false" outlineLevel="0" collapsed="false">
      <c r="V6988" s="23" t="str">
        <f aca="false">IF(ISNUMBER(C6988),YEAR(C6988),"")</f>
        <v/>
      </c>
      <c r="W6988" s="23" t="str">
        <f aca="false">IF(ISNUMBER(C6988),MONTH(C6988),"")</f>
        <v/>
      </c>
      <c r="X6988" s="23" t="str">
        <f aca="false">IF(T6988="","",IF(T6988=0,"No discount",IF(T6988&lt;=0.2,"Low (1-20%)",IF(T6988&lt;=0.4,"Medium (21-40%)","High (&gt;40%)"))))</f>
        <v/>
      </c>
      <c r="Y6988" s="23" t="str">
        <f aca="false">IF(AND(ISNUMBER(C6988),ISNUMBER(D6988)),D6988-C6988,"")</f>
        <v/>
      </c>
      <c r="Z6988" s="23" t="str">
        <f aca="false">IF(B6988="","",IF(MATCH(B6988,$B$2:$B$12000,0)=ROW()-1,1,0))</f>
        <v/>
      </c>
    </row>
    <row r="6989" customFormat="false" ht="15" hidden="false" customHeight="false" outlineLevel="0" collapsed="false">
      <c r="V6989" s="23" t="str">
        <f aca="false">IF(ISNUMBER(C6989),YEAR(C6989),"")</f>
        <v/>
      </c>
      <c r="W6989" s="23" t="str">
        <f aca="false">IF(ISNUMBER(C6989),MONTH(C6989),"")</f>
        <v/>
      </c>
      <c r="X6989" s="23" t="str">
        <f aca="false">IF(T6989="","",IF(T6989=0,"No discount",IF(T6989&lt;=0.2,"Low (1-20%)",IF(T6989&lt;=0.4,"Medium (21-40%)","High (&gt;40%)"))))</f>
        <v/>
      </c>
      <c r="Y6989" s="23" t="str">
        <f aca="false">IF(AND(ISNUMBER(C6989),ISNUMBER(D6989)),D6989-C6989,"")</f>
        <v/>
      </c>
      <c r="Z6989" s="23" t="str">
        <f aca="false">IF(B6989="","",IF(MATCH(B6989,$B$2:$B$12000,0)=ROW()-1,1,0))</f>
        <v/>
      </c>
    </row>
    <row r="6990" customFormat="false" ht="15" hidden="false" customHeight="false" outlineLevel="0" collapsed="false">
      <c r="V6990" s="23" t="str">
        <f aca="false">IF(ISNUMBER(C6990),YEAR(C6990),"")</f>
        <v/>
      </c>
      <c r="W6990" s="23" t="str">
        <f aca="false">IF(ISNUMBER(C6990),MONTH(C6990),"")</f>
        <v/>
      </c>
      <c r="X6990" s="23" t="str">
        <f aca="false">IF(T6990="","",IF(T6990=0,"No discount",IF(T6990&lt;=0.2,"Low (1-20%)",IF(T6990&lt;=0.4,"Medium (21-40%)","High (&gt;40%)"))))</f>
        <v/>
      </c>
      <c r="Y6990" s="23" t="str">
        <f aca="false">IF(AND(ISNUMBER(C6990),ISNUMBER(D6990)),D6990-C6990,"")</f>
        <v/>
      </c>
      <c r="Z6990" s="23" t="str">
        <f aca="false">IF(B6990="","",IF(MATCH(B6990,$B$2:$B$12000,0)=ROW()-1,1,0))</f>
        <v/>
      </c>
    </row>
    <row r="6991" customFormat="false" ht="15" hidden="false" customHeight="false" outlineLevel="0" collapsed="false">
      <c r="V6991" s="23" t="str">
        <f aca="false">IF(ISNUMBER(C6991),YEAR(C6991),"")</f>
        <v/>
      </c>
      <c r="W6991" s="23" t="str">
        <f aca="false">IF(ISNUMBER(C6991),MONTH(C6991),"")</f>
        <v/>
      </c>
      <c r="X6991" s="23" t="str">
        <f aca="false">IF(T6991="","",IF(T6991=0,"No discount",IF(T6991&lt;=0.2,"Low (1-20%)",IF(T6991&lt;=0.4,"Medium (21-40%)","High (&gt;40%)"))))</f>
        <v/>
      </c>
      <c r="Y6991" s="23" t="str">
        <f aca="false">IF(AND(ISNUMBER(C6991),ISNUMBER(D6991)),D6991-C6991,"")</f>
        <v/>
      </c>
      <c r="Z6991" s="23" t="str">
        <f aca="false">IF(B6991="","",IF(MATCH(B6991,$B$2:$B$12000,0)=ROW()-1,1,0))</f>
        <v/>
      </c>
    </row>
    <row r="6992" customFormat="false" ht="15" hidden="false" customHeight="false" outlineLevel="0" collapsed="false">
      <c r="V6992" s="23" t="str">
        <f aca="false">IF(ISNUMBER(C6992),YEAR(C6992),"")</f>
        <v/>
      </c>
      <c r="W6992" s="23" t="str">
        <f aca="false">IF(ISNUMBER(C6992),MONTH(C6992),"")</f>
        <v/>
      </c>
      <c r="X6992" s="23" t="str">
        <f aca="false">IF(T6992="","",IF(T6992=0,"No discount",IF(T6992&lt;=0.2,"Low (1-20%)",IF(T6992&lt;=0.4,"Medium (21-40%)","High (&gt;40%)"))))</f>
        <v/>
      </c>
      <c r="Y6992" s="23" t="str">
        <f aca="false">IF(AND(ISNUMBER(C6992),ISNUMBER(D6992)),D6992-C6992,"")</f>
        <v/>
      </c>
      <c r="Z6992" s="23" t="str">
        <f aca="false">IF(B6992="","",IF(MATCH(B6992,$B$2:$B$12000,0)=ROW()-1,1,0))</f>
        <v/>
      </c>
    </row>
    <row r="6993" customFormat="false" ht="15" hidden="false" customHeight="false" outlineLevel="0" collapsed="false">
      <c r="V6993" s="23" t="str">
        <f aca="false">IF(ISNUMBER(C6993),YEAR(C6993),"")</f>
        <v/>
      </c>
      <c r="W6993" s="23" t="str">
        <f aca="false">IF(ISNUMBER(C6993),MONTH(C6993),"")</f>
        <v/>
      </c>
      <c r="X6993" s="23" t="str">
        <f aca="false">IF(T6993="","",IF(T6993=0,"No discount",IF(T6993&lt;=0.2,"Low (1-20%)",IF(T6993&lt;=0.4,"Medium (21-40%)","High (&gt;40%)"))))</f>
        <v/>
      </c>
      <c r="Y6993" s="23" t="str">
        <f aca="false">IF(AND(ISNUMBER(C6993),ISNUMBER(D6993)),D6993-C6993,"")</f>
        <v/>
      </c>
      <c r="Z6993" s="23" t="str">
        <f aca="false">IF(B6993="","",IF(MATCH(B6993,$B$2:$B$12000,0)=ROW()-1,1,0))</f>
        <v/>
      </c>
    </row>
    <row r="6994" customFormat="false" ht="15" hidden="false" customHeight="false" outlineLevel="0" collapsed="false">
      <c r="V6994" s="23" t="str">
        <f aca="false">IF(ISNUMBER(C6994),YEAR(C6994),"")</f>
        <v/>
      </c>
      <c r="W6994" s="23" t="str">
        <f aca="false">IF(ISNUMBER(C6994),MONTH(C6994),"")</f>
        <v/>
      </c>
      <c r="X6994" s="23" t="str">
        <f aca="false">IF(T6994="","",IF(T6994=0,"No discount",IF(T6994&lt;=0.2,"Low (1-20%)",IF(T6994&lt;=0.4,"Medium (21-40%)","High (&gt;40%)"))))</f>
        <v/>
      </c>
      <c r="Y6994" s="23" t="str">
        <f aca="false">IF(AND(ISNUMBER(C6994),ISNUMBER(D6994)),D6994-C6994,"")</f>
        <v/>
      </c>
      <c r="Z6994" s="23" t="str">
        <f aca="false">IF(B6994="","",IF(MATCH(B6994,$B$2:$B$12000,0)=ROW()-1,1,0))</f>
        <v/>
      </c>
    </row>
    <row r="6995" customFormat="false" ht="15" hidden="false" customHeight="false" outlineLevel="0" collapsed="false">
      <c r="V6995" s="23" t="str">
        <f aca="false">IF(ISNUMBER(C6995),YEAR(C6995),"")</f>
        <v/>
      </c>
      <c r="W6995" s="23" t="str">
        <f aca="false">IF(ISNUMBER(C6995),MONTH(C6995),"")</f>
        <v/>
      </c>
      <c r="X6995" s="23" t="str">
        <f aca="false">IF(T6995="","",IF(T6995=0,"No discount",IF(T6995&lt;=0.2,"Low (1-20%)",IF(T6995&lt;=0.4,"Medium (21-40%)","High (&gt;40%)"))))</f>
        <v/>
      </c>
      <c r="Y6995" s="23" t="str">
        <f aca="false">IF(AND(ISNUMBER(C6995),ISNUMBER(D6995)),D6995-C6995,"")</f>
        <v/>
      </c>
      <c r="Z6995" s="23" t="str">
        <f aca="false">IF(B6995="","",IF(MATCH(B6995,$B$2:$B$12000,0)=ROW()-1,1,0))</f>
        <v/>
      </c>
    </row>
    <row r="6996" customFormat="false" ht="15" hidden="false" customHeight="false" outlineLevel="0" collapsed="false">
      <c r="V6996" s="23" t="str">
        <f aca="false">IF(ISNUMBER(C6996),YEAR(C6996),"")</f>
        <v/>
      </c>
      <c r="W6996" s="23" t="str">
        <f aca="false">IF(ISNUMBER(C6996),MONTH(C6996),"")</f>
        <v/>
      </c>
      <c r="X6996" s="23" t="str">
        <f aca="false">IF(T6996="","",IF(T6996=0,"No discount",IF(T6996&lt;=0.2,"Low (1-20%)",IF(T6996&lt;=0.4,"Medium (21-40%)","High (&gt;40%)"))))</f>
        <v/>
      </c>
      <c r="Y6996" s="23" t="str">
        <f aca="false">IF(AND(ISNUMBER(C6996),ISNUMBER(D6996)),D6996-C6996,"")</f>
        <v/>
      </c>
      <c r="Z6996" s="23" t="str">
        <f aca="false">IF(B6996="","",IF(MATCH(B6996,$B$2:$B$12000,0)=ROW()-1,1,0))</f>
        <v/>
      </c>
    </row>
    <row r="6997" customFormat="false" ht="15" hidden="false" customHeight="false" outlineLevel="0" collapsed="false">
      <c r="V6997" s="23" t="str">
        <f aca="false">IF(ISNUMBER(C6997),YEAR(C6997),"")</f>
        <v/>
      </c>
      <c r="W6997" s="23" t="str">
        <f aca="false">IF(ISNUMBER(C6997),MONTH(C6997),"")</f>
        <v/>
      </c>
      <c r="X6997" s="23" t="str">
        <f aca="false">IF(T6997="","",IF(T6997=0,"No discount",IF(T6997&lt;=0.2,"Low (1-20%)",IF(T6997&lt;=0.4,"Medium (21-40%)","High (&gt;40%)"))))</f>
        <v/>
      </c>
      <c r="Y6997" s="23" t="str">
        <f aca="false">IF(AND(ISNUMBER(C6997),ISNUMBER(D6997)),D6997-C6997,"")</f>
        <v/>
      </c>
      <c r="Z6997" s="23" t="str">
        <f aca="false">IF(B6997="","",IF(MATCH(B6997,$B$2:$B$12000,0)=ROW()-1,1,0))</f>
        <v/>
      </c>
    </row>
    <row r="6998" customFormat="false" ht="15" hidden="false" customHeight="false" outlineLevel="0" collapsed="false">
      <c r="V6998" s="23" t="str">
        <f aca="false">IF(ISNUMBER(C6998),YEAR(C6998),"")</f>
        <v/>
      </c>
      <c r="W6998" s="23" t="str">
        <f aca="false">IF(ISNUMBER(C6998),MONTH(C6998),"")</f>
        <v/>
      </c>
      <c r="X6998" s="23" t="str">
        <f aca="false">IF(T6998="","",IF(T6998=0,"No discount",IF(T6998&lt;=0.2,"Low (1-20%)",IF(T6998&lt;=0.4,"Medium (21-40%)","High (&gt;40%)"))))</f>
        <v/>
      </c>
      <c r="Y6998" s="23" t="str">
        <f aca="false">IF(AND(ISNUMBER(C6998),ISNUMBER(D6998)),D6998-C6998,"")</f>
        <v/>
      </c>
      <c r="Z6998" s="23" t="str">
        <f aca="false">IF(B6998="","",IF(MATCH(B6998,$B$2:$B$12000,0)=ROW()-1,1,0))</f>
        <v/>
      </c>
    </row>
    <row r="6999" customFormat="false" ht="15" hidden="false" customHeight="false" outlineLevel="0" collapsed="false">
      <c r="V6999" s="23" t="str">
        <f aca="false">IF(ISNUMBER(C6999),YEAR(C6999),"")</f>
        <v/>
      </c>
      <c r="W6999" s="23" t="str">
        <f aca="false">IF(ISNUMBER(C6999),MONTH(C6999),"")</f>
        <v/>
      </c>
      <c r="X6999" s="23" t="str">
        <f aca="false">IF(T6999="","",IF(T6999=0,"No discount",IF(T6999&lt;=0.2,"Low (1-20%)",IF(T6999&lt;=0.4,"Medium (21-40%)","High (&gt;40%)"))))</f>
        <v/>
      </c>
      <c r="Y6999" s="23" t="str">
        <f aca="false">IF(AND(ISNUMBER(C6999),ISNUMBER(D6999)),D6999-C6999,"")</f>
        <v/>
      </c>
      <c r="Z6999" s="23" t="str">
        <f aca="false">IF(B6999="","",IF(MATCH(B6999,$B$2:$B$12000,0)=ROW()-1,1,0))</f>
        <v/>
      </c>
    </row>
    <row r="7000" customFormat="false" ht="15" hidden="false" customHeight="false" outlineLevel="0" collapsed="false">
      <c r="V7000" s="23" t="str">
        <f aca="false">IF(ISNUMBER(C7000),YEAR(C7000),"")</f>
        <v/>
      </c>
      <c r="W7000" s="23" t="str">
        <f aca="false">IF(ISNUMBER(C7000),MONTH(C7000),"")</f>
        <v/>
      </c>
      <c r="X7000" s="23" t="str">
        <f aca="false">IF(T7000="","",IF(T7000=0,"No discount",IF(T7000&lt;=0.2,"Low (1-20%)",IF(T7000&lt;=0.4,"Medium (21-40%)","High (&gt;40%)"))))</f>
        <v/>
      </c>
      <c r="Y7000" s="23" t="str">
        <f aca="false">IF(AND(ISNUMBER(C7000),ISNUMBER(D7000)),D7000-C7000,"")</f>
        <v/>
      </c>
      <c r="Z7000" s="23" t="str">
        <f aca="false">IF(B7000="","",IF(MATCH(B7000,$B$2:$B$12000,0)=ROW()-1,1,0))</f>
        <v/>
      </c>
    </row>
    <row r="7001" customFormat="false" ht="15" hidden="false" customHeight="false" outlineLevel="0" collapsed="false">
      <c r="V7001" s="23" t="str">
        <f aca="false">IF(ISNUMBER(C7001),YEAR(C7001),"")</f>
        <v/>
      </c>
      <c r="W7001" s="23" t="str">
        <f aca="false">IF(ISNUMBER(C7001),MONTH(C7001),"")</f>
        <v/>
      </c>
      <c r="X7001" s="23" t="str">
        <f aca="false">IF(T7001="","",IF(T7001=0,"No discount",IF(T7001&lt;=0.2,"Low (1-20%)",IF(T7001&lt;=0.4,"Medium (21-40%)","High (&gt;40%)"))))</f>
        <v/>
      </c>
      <c r="Y7001" s="23" t="str">
        <f aca="false">IF(AND(ISNUMBER(C7001),ISNUMBER(D7001)),D7001-C7001,"")</f>
        <v/>
      </c>
      <c r="Z7001" s="23" t="str">
        <f aca="false">IF(B7001="","",IF(MATCH(B7001,$B$2:$B$12000,0)=ROW()-1,1,0))</f>
        <v/>
      </c>
    </row>
    <row r="7002" customFormat="false" ht="15" hidden="false" customHeight="false" outlineLevel="0" collapsed="false">
      <c r="V7002" s="23" t="str">
        <f aca="false">IF(ISNUMBER(C7002),YEAR(C7002),"")</f>
        <v/>
      </c>
      <c r="W7002" s="23" t="str">
        <f aca="false">IF(ISNUMBER(C7002),MONTH(C7002),"")</f>
        <v/>
      </c>
      <c r="X7002" s="23" t="str">
        <f aca="false">IF(T7002="","",IF(T7002=0,"No discount",IF(T7002&lt;=0.2,"Low (1-20%)",IF(T7002&lt;=0.4,"Medium (21-40%)","High (&gt;40%)"))))</f>
        <v/>
      </c>
      <c r="Y7002" s="23" t="str">
        <f aca="false">IF(AND(ISNUMBER(C7002),ISNUMBER(D7002)),D7002-C7002,"")</f>
        <v/>
      </c>
      <c r="Z7002" s="23" t="str">
        <f aca="false">IF(B7002="","",IF(MATCH(B7002,$B$2:$B$12000,0)=ROW()-1,1,0))</f>
        <v/>
      </c>
    </row>
    <row r="7003" customFormat="false" ht="15" hidden="false" customHeight="false" outlineLevel="0" collapsed="false">
      <c r="V7003" s="23" t="str">
        <f aca="false">IF(ISNUMBER(C7003),YEAR(C7003),"")</f>
        <v/>
      </c>
      <c r="W7003" s="23" t="str">
        <f aca="false">IF(ISNUMBER(C7003),MONTH(C7003),"")</f>
        <v/>
      </c>
      <c r="X7003" s="23" t="str">
        <f aca="false">IF(T7003="","",IF(T7003=0,"No discount",IF(T7003&lt;=0.2,"Low (1-20%)",IF(T7003&lt;=0.4,"Medium (21-40%)","High (&gt;40%)"))))</f>
        <v/>
      </c>
      <c r="Y7003" s="23" t="str">
        <f aca="false">IF(AND(ISNUMBER(C7003),ISNUMBER(D7003)),D7003-C7003,"")</f>
        <v/>
      </c>
      <c r="Z7003" s="23" t="str">
        <f aca="false">IF(B7003="","",IF(MATCH(B7003,$B$2:$B$12000,0)=ROW()-1,1,0))</f>
        <v/>
      </c>
    </row>
    <row r="7004" customFormat="false" ht="15" hidden="false" customHeight="false" outlineLevel="0" collapsed="false">
      <c r="V7004" s="23" t="str">
        <f aca="false">IF(ISNUMBER(C7004),YEAR(C7004),"")</f>
        <v/>
      </c>
      <c r="W7004" s="23" t="str">
        <f aca="false">IF(ISNUMBER(C7004),MONTH(C7004),"")</f>
        <v/>
      </c>
      <c r="X7004" s="23" t="str">
        <f aca="false">IF(T7004="","",IF(T7004=0,"No discount",IF(T7004&lt;=0.2,"Low (1-20%)",IF(T7004&lt;=0.4,"Medium (21-40%)","High (&gt;40%)"))))</f>
        <v/>
      </c>
      <c r="Y7004" s="23" t="str">
        <f aca="false">IF(AND(ISNUMBER(C7004),ISNUMBER(D7004)),D7004-C7004,"")</f>
        <v/>
      </c>
      <c r="Z7004" s="23" t="str">
        <f aca="false">IF(B7004="","",IF(MATCH(B7004,$B$2:$B$12000,0)=ROW()-1,1,0))</f>
        <v/>
      </c>
    </row>
    <row r="7005" customFormat="false" ht="15" hidden="false" customHeight="false" outlineLevel="0" collapsed="false">
      <c r="V7005" s="23" t="str">
        <f aca="false">IF(ISNUMBER(C7005),YEAR(C7005),"")</f>
        <v/>
      </c>
      <c r="W7005" s="23" t="str">
        <f aca="false">IF(ISNUMBER(C7005),MONTH(C7005),"")</f>
        <v/>
      </c>
      <c r="X7005" s="23" t="str">
        <f aca="false">IF(T7005="","",IF(T7005=0,"No discount",IF(T7005&lt;=0.2,"Low (1-20%)",IF(T7005&lt;=0.4,"Medium (21-40%)","High (&gt;40%)"))))</f>
        <v/>
      </c>
      <c r="Y7005" s="23" t="str">
        <f aca="false">IF(AND(ISNUMBER(C7005),ISNUMBER(D7005)),D7005-C7005,"")</f>
        <v/>
      </c>
      <c r="Z7005" s="23" t="str">
        <f aca="false">IF(B7005="","",IF(MATCH(B7005,$B$2:$B$12000,0)=ROW()-1,1,0))</f>
        <v/>
      </c>
    </row>
    <row r="7006" customFormat="false" ht="15" hidden="false" customHeight="false" outlineLevel="0" collapsed="false">
      <c r="V7006" s="23" t="str">
        <f aca="false">IF(ISNUMBER(C7006),YEAR(C7006),"")</f>
        <v/>
      </c>
      <c r="W7006" s="23" t="str">
        <f aca="false">IF(ISNUMBER(C7006),MONTH(C7006),"")</f>
        <v/>
      </c>
      <c r="X7006" s="23" t="str">
        <f aca="false">IF(T7006="","",IF(T7006=0,"No discount",IF(T7006&lt;=0.2,"Low (1-20%)",IF(T7006&lt;=0.4,"Medium (21-40%)","High (&gt;40%)"))))</f>
        <v/>
      </c>
      <c r="Y7006" s="23" t="str">
        <f aca="false">IF(AND(ISNUMBER(C7006),ISNUMBER(D7006)),D7006-C7006,"")</f>
        <v/>
      </c>
      <c r="Z7006" s="23" t="str">
        <f aca="false">IF(B7006="","",IF(MATCH(B7006,$B$2:$B$12000,0)=ROW()-1,1,0))</f>
        <v/>
      </c>
    </row>
    <row r="7007" customFormat="false" ht="15" hidden="false" customHeight="false" outlineLevel="0" collapsed="false">
      <c r="V7007" s="23" t="str">
        <f aca="false">IF(ISNUMBER(C7007),YEAR(C7007),"")</f>
        <v/>
      </c>
      <c r="W7007" s="23" t="str">
        <f aca="false">IF(ISNUMBER(C7007),MONTH(C7007),"")</f>
        <v/>
      </c>
      <c r="X7007" s="23" t="str">
        <f aca="false">IF(T7007="","",IF(T7007=0,"No discount",IF(T7007&lt;=0.2,"Low (1-20%)",IF(T7007&lt;=0.4,"Medium (21-40%)","High (&gt;40%)"))))</f>
        <v/>
      </c>
      <c r="Y7007" s="23" t="str">
        <f aca="false">IF(AND(ISNUMBER(C7007),ISNUMBER(D7007)),D7007-C7007,"")</f>
        <v/>
      </c>
      <c r="Z7007" s="23" t="str">
        <f aca="false">IF(B7007="","",IF(MATCH(B7007,$B$2:$B$12000,0)=ROW()-1,1,0))</f>
        <v/>
      </c>
    </row>
    <row r="7008" customFormat="false" ht="15" hidden="false" customHeight="false" outlineLevel="0" collapsed="false">
      <c r="V7008" s="23" t="str">
        <f aca="false">IF(ISNUMBER(C7008),YEAR(C7008),"")</f>
        <v/>
      </c>
      <c r="W7008" s="23" t="str">
        <f aca="false">IF(ISNUMBER(C7008),MONTH(C7008),"")</f>
        <v/>
      </c>
      <c r="X7008" s="23" t="str">
        <f aca="false">IF(T7008="","",IF(T7008=0,"No discount",IF(T7008&lt;=0.2,"Low (1-20%)",IF(T7008&lt;=0.4,"Medium (21-40%)","High (&gt;40%)"))))</f>
        <v/>
      </c>
      <c r="Y7008" s="23" t="str">
        <f aca="false">IF(AND(ISNUMBER(C7008),ISNUMBER(D7008)),D7008-C7008,"")</f>
        <v/>
      </c>
      <c r="Z7008" s="23" t="str">
        <f aca="false">IF(B7008="","",IF(MATCH(B7008,$B$2:$B$12000,0)=ROW()-1,1,0))</f>
        <v/>
      </c>
    </row>
    <row r="7009" customFormat="false" ht="15" hidden="false" customHeight="false" outlineLevel="0" collapsed="false">
      <c r="V7009" s="23" t="str">
        <f aca="false">IF(ISNUMBER(C7009),YEAR(C7009),"")</f>
        <v/>
      </c>
      <c r="W7009" s="23" t="str">
        <f aca="false">IF(ISNUMBER(C7009),MONTH(C7009),"")</f>
        <v/>
      </c>
      <c r="X7009" s="23" t="str">
        <f aca="false">IF(T7009="","",IF(T7009=0,"No discount",IF(T7009&lt;=0.2,"Low (1-20%)",IF(T7009&lt;=0.4,"Medium (21-40%)","High (&gt;40%)"))))</f>
        <v/>
      </c>
      <c r="Y7009" s="23" t="str">
        <f aca="false">IF(AND(ISNUMBER(C7009),ISNUMBER(D7009)),D7009-C7009,"")</f>
        <v/>
      </c>
      <c r="Z7009" s="23" t="str">
        <f aca="false">IF(B7009="","",IF(MATCH(B7009,$B$2:$B$12000,0)=ROW()-1,1,0))</f>
        <v/>
      </c>
    </row>
    <row r="7010" customFormat="false" ht="15" hidden="false" customHeight="false" outlineLevel="0" collapsed="false">
      <c r="V7010" s="23" t="str">
        <f aca="false">IF(ISNUMBER(C7010),YEAR(C7010),"")</f>
        <v/>
      </c>
      <c r="W7010" s="23" t="str">
        <f aca="false">IF(ISNUMBER(C7010),MONTH(C7010),"")</f>
        <v/>
      </c>
      <c r="X7010" s="23" t="str">
        <f aca="false">IF(T7010="","",IF(T7010=0,"No discount",IF(T7010&lt;=0.2,"Low (1-20%)",IF(T7010&lt;=0.4,"Medium (21-40%)","High (&gt;40%)"))))</f>
        <v/>
      </c>
      <c r="Y7010" s="23" t="str">
        <f aca="false">IF(AND(ISNUMBER(C7010),ISNUMBER(D7010)),D7010-C7010,"")</f>
        <v/>
      </c>
      <c r="Z7010" s="23" t="str">
        <f aca="false">IF(B7010="","",IF(MATCH(B7010,$B$2:$B$12000,0)=ROW()-1,1,0))</f>
        <v/>
      </c>
    </row>
    <row r="7011" customFormat="false" ht="15" hidden="false" customHeight="false" outlineLevel="0" collapsed="false">
      <c r="V7011" s="23" t="str">
        <f aca="false">IF(ISNUMBER(C7011),YEAR(C7011),"")</f>
        <v/>
      </c>
      <c r="W7011" s="23" t="str">
        <f aca="false">IF(ISNUMBER(C7011),MONTH(C7011),"")</f>
        <v/>
      </c>
      <c r="X7011" s="23" t="str">
        <f aca="false">IF(T7011="","",IF(T7011=0,"No discount",IF(T7011&lt;=0.2,"Low (1-20%)",IF(T7011&lt;=0.4,"Medium (21-40%)","High (&gt;40%)"))))</f>
        <v/>
      </c>
      <c r="Y7011" s="23" t="str">
        <f aca="false">IF(AND(ISNUMBER(C7011),ISNUMBER(D7011)),D7011-C7011,"")</f>
        <v/>
      </c>
      <c r="Z7011" s="23" t="str">
        <f aca="false">IF(B7011="","",IF(MATCH(B7011,$B$2:$B$12000,0)=ROW()-1,1,0))</f>
        <v/>
      </c>
    </row>
    <row r="7012" customFormat="false" ht="15" hidden="false" customHeight="false" outlineLevel="0" collapsed="false">
      <c r="V7012" s="23" t="str">
        <f aca="false">IF(ISNUMBER(C7012),YEAR(C7012),"")</f>
        <v/>
      </c>
      <c r="W7012" s="23" t="str">
        <f aca="false">IF(ISNUMBER(C7012),MONTH(C7012),"")</f>
        <v/>
      </c>
      <c r="X7012" s="23" t="str">
        <f aca="false">IF(T7012="","",IF(T7012=0,"No discount",IF(T7012&lt;=0.2,"Low (1-20%)",IF(T7012&lt;=0.4,"Medium (21-40%)","High (&gt;40%)"))))</f>
        <v/>
      </c>
      <c r="Y7012" s="23" t="str">
        <f aca="false">IF(AND(ISNUMBER(C7012),ISNUMBER(D7012)),D7012-C7012,"")</f>
        <v/>
      </c>
      <c r="Z7012" s="23" t="str">
        <f aca="false">IF(B7012="","",IF(MATCH(B7012,$B$2:$B$12000,0)=ROW()-1,1,0))</f>
        <v/>
      </c>
    </row>
    <row r="7013" customFormat="false" ht="15" hidden="false" customHeight="false" outlineLevel="0" collapsed="false">
      <c r="V7013" s="23" t="str">
        <f aca="false">IF(ISNUMBER(C7013),YEAR(C7013),"")</f>
        <v/>
      </c>
      <c r="W7013" s="23" t="str">
        <f aca="false">IF(ISNUMBER(C7013),MONTH(C7013),"")</f>
        <v/>
      </c>
      <c r="X7013" s="23" t="str">
        <f aca="false">IF(T7013="","",IF(T7013=0,"No discount",IF(T7013&lt;=0.2,"Low (1-20%)",IF(T7013&lt;=0.4,"Medium (21-40%)","High (&gt;40%)"))))</f>
        <v/>
      </c>
      <c r="Y7013" s="23" t="str">
        <f aca="false">IF(AND(ISNUMBER(C7013),ISNUMBER(D7013)),D7013-C7013,"")</f>
        <v/>
      </c>
      <c r="Z7013" s="23" t="str">
        <f aca="false">IF(B7013="","",IF(MATCH(B7013,$B$2:$B$12000,0)=ROW()-1,1,0))</f>
        <v/>
      </c>
    </row>
    <row r="7014" customFormat="false" ht="15" hidden="false" customHeight="false" outlineLevel="0" collapsed="false">
      <c r="V7014" s="23" t="str">
        <f aca="false">IF(ISNUMBER(C7014),YEAR(C7014),"")</f>
        <v/>
      </c>
      <c r="W7014" s="23" t="str">
        <f aca="false">IF(ISNUMBER(C7014),MONTH(C7014),"")</f>
        <v/>
      </c>
      <c r="X7014" s="23" t="str">
        <f aca="false">IF(T7014="","",IF(T7014=0,"No discount",IF(T7014&lt;=0.2,"Low (1-20%)",IF(T7014&lt;=0.4,"Medium (21-40%)","High (&gt;40%)"))))</f>
        <v/>
      </c>
      <c r="Y7014" s="23" t="str">
        <f aca="false">IF(AND(ISNUMBER(C7014),ISNUMBER(D7014)),D7014-C7014,"")</f>
        <v/>
      </c>
      <c r="Z7014" s="23" t="str">
        <f aca="false">IF(B7014="","",IF(MATCH(B7014,$B$2:$B$12000,0)=ROW()-1,1,0))</f>
        <v/>
      </c>
    </row>
    <row r="7015" customFormat="false" ht="15" hidden="false" customHeight="false" outlineLevel="0" collapsed="false">
      <c r="V7015" s="23" t="str">
        <f aca="false">IF(ISNUMBER(C7015),YEAR(C7015),"")</f>
        <v/>
      </c>
      <c r="W7015" s="23" t="str">
        <f aca="false">IF(ISNUMBER(C7015),MONTH(C7015),"")</f>
        <v/>
      </c>
      <c r="X7015" s="23" t="str">
        <f aca="false">IF(T7015="","",IF(T7015=0,"No discount",IF(T7015&lt;=0.2,"Low (1-20%)",IF(T7015&lt;=0.4,"Medium (21-40%)","High (&gt;40%)"))))</f>
        <v/>
      </c>
      <c r="Y7015" s="23" t="str">
        <f aca="false">IF(AND(ISNUMBER(C7015),ISNUMBER(D7015)),D7015-C7015,"")</f>
        <v/>
      </c>
      <c r="Z7015" s="23" t="str">
        <f aca="false">IF(B7015="","",IF(MATCH(B7015,$B$2:$B$12000,0)=ROW()-1,1,0))</f>
        <v/>
      </c>
    </row>
    <row r="7016" customFormat="false" ht="15" hidden="false" customHeight="false" outlineLevel="0" collapsed="false">
      <c r="V7016" s="23" t="str">
        <f aca="false">IF(ISNUMBER(C7016),YEAR(C7016),"")</f>
        <v/>
      </c>
      <c r="W7016" s="23" t="str">
        <f aca="false">IF(ISNUMBER(C7016),MONTH(C7016),"")</f>
        <v/>
      </c>
      <c r="X7016" s="23" t="str">
        <f aca="false">IF(T7016="","",IF(T7016=0,"No discount",IF(T7016&lt;=0.2,"Low (1-20%)",IF(T7016&lt;=0.4,"Medium (21-40%)","High (&gt;40%)"))))</f>
        <v/>
      </c>
      <c r="Y7016" s="23" t="str">
        <f aca="false">IF(AND(ISNUMBER(C7016),ISNUMBER(D7016)),D7016-C7016,"")</f>
        <v/>
      </c>
      <c r="Z7016" s="23" t="str">
        <f aca="false">IF(B7016="","",IF(MATCH(B7016,$B$2:$B$12000,0)=ROW()-1,1,0))</f>
        <v/>
      </c>
    </row>
    <row r="7017" customFormat="false" ht="15" hidden="false" customHeight="false" outlineLevel="0" collapsed="false">
      <c r="V7017" s="23" t="str">
        <f aca="false">IF(ISNUMBER(C7017),YEAR(C7017),"")</f>
        <v/>
      </c>
      <c r="W7017" s="23" t="str">
        <f aca="false">IF(ISNUMBER(C7017),MONTH(C7017),"")</f>
        <v/>
      </c>
      <c r="X7017" s="23" t="str">
        <f aca="false">IF(T7017="","",IF(T7017=0,"No discount",IF(T7017&lt;=0.2,"Low (1-20%)",IF(T7017&lt;=0.4,"Medium (21-40%)","High (&gt;40%)"))))</f>
        <v/>
      </c>
      <c r="Y7017" s="23" t="str">
        <f aca="false">IF(AND(ISNUMBER(C7017),ISNUMBER(D7017)),D7017-C7017,"")</f>
        <v/>
      </c>
      <c r="Z7017" s="23" t="str">
        <f aca="false">IF(B7017="","",IF(MATCH(B7017,$B$2:$B$12000,0)=ROW()-1,1,0))</f>
        <v/>
      </c>
    </row>
    <row r="7018" customFormat="false" ht="15" hidden="false" customHeight="false" outlineLevel="0" collapsed="false">
      <c r="V7018" s="23" t="str">
        <f aca="false">IF(ISNUMBER(C7018),YEAR(C7018),"")</f>
        <v/>
      </c>
      <c r="W7018" s="23" t="str">
        <f aca="false">IF(ISNUMBER(C7018),MONTH(C7018),"")</f>
        <v/>
      </c>
      <c r="X7018" s="23" t="str">
        <f aca="false">IF(T7018="","",IF(T7018=0,"No discount",IF(T7018&lt;=0.2,"Low (1-20%)",IF(T7018&lt;=0.4,"Medium (21-40%)","High (&gt;40%)"))))</f>
        <v/>
      </c>
      <c r="Y7018" s="23" t="str">
        <f aca="false">IF(AND(ISNUMBER(C7018),ISNUMBER(D7018)),D7018-C7018,"")</f>
        <v/>
      </c>
      <c r="Z7018" s="23" t="str">
        <f aca="false">IF(B7018="","",IF(MATCH(B7018,$B$2:$B$12000,0)=ROW()-1,1,0))</f>
        <v/>
      </c>
    </row>
    <row r="7019" customFormat="false" ht="15" hidden="false" customHeight="false" outlineLevel="0" collapsed="false">
      <c r="V7019" s="23" t="str">
        <f aca="false">IF(ISNUMBER(C7019),YEAR(C7019),"")</f>
        <v/>
      </c>
      <c r="W7019" s="23" t="str">
        <f aca="false">IF(ISNUMBER(C7019),MONTH(C7019),"")</f>
        <v/>
      </c>
      <c r="X7019" s="23" t="str">
        <f aca="false">IF(T7019="","",IF(T7019=0,"No discount",IF(T7019&lt;=0.2,"Low (1-20%)",IF(T7019&lt;=0.4,"Medium (21-40%)","High (&gt;40%)"))))</f>
        <v/>
      </c>
      <c r="Y7019" s="23" t="str">
        <f aca="false">IF(AND(ISNUMBER(C7019),ISNUMBER(D7019)),D7019-C7019,"")</f>
        <v/>
      </c>
      <c r="Z7019" s="23" t="str">
        <f aca="false">IF(B7019="","",IF(MATCH(B7019,$B$2:$B$12000,0)=ROW()-1,1,0))</f>
        <v/>
      </c>
    </row>
    <row r="7020" customFormat="false" ht="15" hidden="false" customHeight="false" outlineLevel="0" collapsed="false">
      <c r="V7020" s="23" t="str">
        <f aca="false">IF(ISNUMBER(C7020),YEAR(C7020),"")</f>
        <v/>
      </c>
      <c r="W7020" s="23" t="str">
        <f aca="false">IF(ISNUMBER(C7020),MONTH(C7020),"")</f>
        <v/>
      </c>
      <c r="X7020" s="23" t="str">
        <f aca="false">IF(T7020="","",IF(T7020=0,"No discount",IF(T7020&lt;=0.2,"Low (1-20%)",IF(T7020&lt;=0.4,"Medium (21-40%)","High (&gt;40%)"))))</f>
        <v/>
      </c>
      <c r="Y7020" s="23" t="str">
        <f aca="false">IF(AND(ISNUMBER(C7020),ISNUMBER(D7020)),D7020-C7020,"")</f>
        <v/>
      </c>
      <c r="Z7020" s="23" t="str">
        <f aca="false">IF(B7020="","",IF(MATCH(B7020,$B$2:$B$12000,0)=ROW()-1,1,0))</f>
        <v/>
      </c>
    </row>
    <row r="7021" customFormat="false" ht="15" hidden="false" customHeight="false" outlineLevel="0" collapsed="false">
      <c r="V7021" s="23" t="str">
        <f aca="false">IF(ISNUMBER(C7021),YEAR(C7021),"")</f>
        <v/>
      </c>
      <c r="W7021" s="23" t="str">
        <f aca="false">IF(ISNUMBER(C7021),MONTH(C7021),"")</f>
        <v/>
      </c>
      <c r="X7021" s="23" t="str">
        <f aca="false">IF(T7021="","",IF(T7021=0,"No discount",IF(T7021&lt;=0.2,"Low (1-20%)",IF(T7021&lt;=0.4,"Medium (21-40%)","High (&gt;40%)"))))</f>
        <v/>
      </c>
      <c r="Y7021" s="23" t="str">
        <f aca="false">IF(AND(ISNUMBER(C7021),ISNUMBER(D7021)),D7021-C7021,"")</f>
        <v/>
      </c>
      <c r="Z7021" s="23" t="str">
        <f aca="false">IF(B7021="","",IF(MATCH(B7021,$B$2:$B$12000,0)=ROW()-1,1,0))</f>
        <v/>
      </c>
    </row>
    <row r="7022" customFormat="false" ht="15" hidden="false" customHeight="false" outlineLevel="0" collapsed="false">
      <c r="V7022" s="23" t="str">
        <f aca="false">IF(ISNUMBER(C7022),YEAR(C7022),"")</f>
        <v/>
      </c>
      <c r="W7022" s="23" t="str">
        <f aca="false">IF(ISNUMBER(C7022),MONTH(C7022),"")</f>
        <v/>
      </c>
      <c r="X7022" s="23" t="str">
        <f aca="false">IF(T7022="","",IF(T7022=0,"No discount",IF(T7022&lt;=0.2,"Low (1-20%)",IF(T7022&lt;=0.4,"Medium (21-40%)","High (&gt;40%)"))))</f>
        <v/>
      </c>
      <c r="Y7022" s="23" t="str">
        <f aca="false">IF(AND(ISNUMBER(C7022),ISNUMBER(D7022)),D7022-C7022,"")</f>
        <v/>
      </c>
      <c r="Z7022" s="23" t="str">
        <f aca="false">IF(B7022="","",IF(MATCH(B7022,$B$2:$B$12000,0)=ROW()-1,1,0))</f>
        <v/>
      </c>
    </row>
    <row r="7023" customFormat="false" ht="15" hidden="false" customHeight="false" outlineLevel="0" collapsed="false">
      <c r="V7023" s="23" t="str">
        <f aca="false">IF(ISNUMBER(C7023),YEAR(C7023),"")</f>
        <v/>
      </c>
      <c r="W7023" s="23" t="str">
        <f aca="false">IF(ISNUMBER(C7023),MONTH(C7023),"")</f>
        <v/>
      </c>
      <c r="X7023" s="23" t="str">
        <f aca="false">IF(T7023="","",IF(T7023=0,"No discount",IF(T7023&lt;=0.2,"Low (1-20%)",IF(T7023&lt;=0.4,"Medium (21-40%)","High (&gt;40%)"))))</f>
        <v/>
      </c>
      <c r="Y7023" s="23" t="str">
        <f aca="false">IF(AND(ISNUMBER(C7023),ISNUMBER(D7023)),D7023-C7023,"")</f>
        <v/>
      </c>
      <c r="Z7023" s="23" t="str">
        <f aca="false">IF(B7023="","",IF(MATCH(B7023,$B$2:$B$12000,0)=ROW()-1,1,0))</f>
        <v/>
      </c>
    </row>
    <row r="7024" customFormat="false" ht="15" hidden="false" customHeight="false" outlineLevel="0" collapsed="false">
      <c r="V7024" s="23" t="str">
        <f aca="false">IF(ISNUMBER(C7024),YEAR(C7024),"")</f>
        <v/>
      </c>
      <c r="W7024" s="23" t="str">
        <f aca="false">IF(ISNUMBER(C7024),MONTH(C7024),"")</f>
        <v/>
      </c>
      <c r="X7024" s="23" t="str">
        <f aca="false">IF(T7024="","",IF(T7024=0,"No discount",IF(T7024&lt;=0.2,"Low (1-20%)",IF(T7024&lt;=0.4,"Medium (21-40%)","High (&gt;40%)"))))</f>
        <v/>
      </c>
      <c r="Y7024" s="23" t="str">
        <f aca="false">IF(AND(ISNUMBER(C7024),ISNUMBER(D7024)),D7024-C7024,"")</f>
        <v/>
      </c>
      <c r="Z7024" s="23" t="str">
        <f aca="false">IF(B7024="","",IF(MATCH(B7024,$B$2:$B$12000,0)=ROW()-1,1,0))</f>
        <v/>
      </c>
    </row>
    <row r="7025" customFormat="false" ht="15" hidden="false" customHeight="false" outlineLevel="0" collapsed="false">
      <c r="V7025" s="23" t="str">
        <f aca="false">IF(ISNUMBER(C7025),YEAR(C7025),"")</f>
        <v/>
      </c>
      <c r="W7025" s="23" t="str">
        <f aca="false">IF(ISNUMBER(C7025),MONTH(C7025),"")</f>
        <v/>
      </c>
      <c r="X7025" s="23" t="str">
        <f aca="false">IF(T7025="","",IF(T7025=0,"No discount",IF(T7025&lt;=0.2,"Low (1-20%)",IF(T7025&lt;=0.4,"Medium (21-40%)","High (&gt;40%)"))))</f>
        <v/>
      </c>
      <c r="Y7025" s="23" t="str">
        <f aca="false">IF(AND(ISNUMBER(C7025),ISNUMBER(D7025)),D7025-C7025,"")</f>
        <v/>
      </c>
      <c r="Z7025" s="23" t="str">
        <f aca="false">IF(B7025="","",IF(MATCH(B7025,$B$2:$B$12000,0)=ROW()-1,1,0))</f>
        <v/>
      </c>
    </row>
    <row r="7026" customFormat="false" ht="15" hidden="false" customHeight="false" outlineLevel="0" collapsed="false">
      <c r="V7026" s="23" t="str">
        <f aca="false">IF(ISNUMBER(C7026),YEAR(C7026),"")</f>
        <v/>
      </c>
      <c r="W7026" s="23" t="str">
        <f aca="false">IF(ISNUMBER(C7026),MONTH(C7026),"")</f>
        <v/>
      </c>
      <c r="X7026" s="23" t="str">
        <f aca="false">IF(T7026="","",IF(T7026=0,"No discount",IF(T7026&lt;=0.2,"Low (1-20%)",IF(T7026&lt;=0.4,"Medium (21-40%)","High (&gt;40%)"))))</f>
        <v/>
      </c>
      <c r="Y7026" s="23" t="str">
        <f aca="false">IF(AND(ISNUMBER(C7026),ISNUMBER(D7026)),D7026-C7026,"")</f>
        <v/>
      </c>
      <c r="Z7026" s="23" t="str">
        <f aca="false">IF(B7026="","",IF(MATCH(B7026,$B$2:$B$12000,0)=ROW()-1,1,0))</f>
        <v/>
      </c>
    </row>
    <row r="7027" customFormat="false" ht="15" hidden="false" customHeight="false" outlineLevel="0" collapsed="false">
      <c r="V7027" s="23" t="str">
        <f aca="false">IF(ISNUMBER(C7027),YEAR(C7027),"")</f>
        <v/>
      </c>
      <c r="W7027" s="23" t="str">
        <f aca="false">IF(ISNUMBER(C7027),MONTH(C7027),"")</f>
        <v/>
      </c>
      <c r="X7027" s="23" t="str">
        <f aca="false">IF(T7027="","",IF(T7027=0,"No discount",IF(T7027&lt;=0.2,"Low (1-20%)",IF(T7027&lt;=0.4,"Medium (21-40%)","High (&gt;40%)"))))</f>
        <v/>
      </c>
      <c r="Y7027" s="23" t="str">
        <f aca="false">IF(AND(ISNUMBER(C7027),ISNUMBER(D7027)),D7027-C7027,"")</f>
        <v/>
      </c>
      <c r="Z7027" s="23" t="str">
        <f aca="false">IF(B7027="","",IF(MATCH(B7027,$B$2:$B$12000,0)=ROW()-1,1,0))</f>
        <v/>
      </c>
    </row>
    <row r="7028" customFormat="false" ht="15" hidden="false" customHeight="false" outlineLevel="0" collapsed="false">
      <c r="V7028" s="23" t="str">
        <f aca="false">IF(ISNUMBER(C7028),YEAR(C7028),"")</f>
        <v/>
      </c>
      <c r="W7028" s="23" t="str">
        <f aca="false">IF(ISNUMBER(C7028),MONTH(C7028),"")</f>
        <v/>
      </c>
      <c r="X7028" s="23" t="str">
        <f aca="false">IF(T7028="","",IF(T7028=0,"No discount",IF(T7028&lt;=0.2,"Low (1-20%)",IF(T7028&lt;=0.4,"Medium (21-40%)","High (&gt;40%)"))))</f>
        <v/>
      </c>
      <c r="Y7028" s="23" t="str">
        <f aca="false">IF(AND(ISNUMBER(C7028),ISNUMBER(D7028)),D7028-C7028,"")</f>
        <v/>
      </c>
      <c r="Z7028" s="23" t="str">
        <f aca="false">IF(B7028="","",IF(MATCH(B7028,$B$2:$B$12000,0)=ROW()-1,1,0))</f>
        <v/>
      </c>
    </row>
    <row r="7029" customFormat="false" ht="15" hidden="false" customHeight="false" outlineLevel="0" collapsed="false">
      <c r="V7029" s="23" t="str">
        <f aca="false">IF(ISNUMBER(C7029),YEAR(C7029),"")</f>
        <v/>
      </c>
      <c r="W7029" s="23" t="str">
        <f aca="false">IF(ISNUMBER(C7029),MONTH(C7029),"")</f>
        <v/>
      </c>
      <c r="X7029" s="23" t="str">
        <f aca="false">IF(T7029="","",IF(T7029=0,"No discount",IF(T7029&lt;=0.2,"Low (1-20%)",IF(T7029&lt;=0.4,"Medium (21-40%)","High (&gt;40%)"))))</f>
        <v/>
      </c>
      <c r="Y7029" s="23" t="str">
        <f aca="false">IF(AND(ISNUMBER(C7029),ISNUMBER(D7029)),D7029-C7029,"")</f>
        <v/>
      </c>
      <c r="Z7029" s="23" t="str">
        <f aca="false">IF(B7029="","",IF(MATCH(B7029,$B$2:$B$12000,0)=ROW()-1,1,0))</f>
        <v/>
      </c>
    </row>
    <row r="7030" customFormat="false" ht="15" hidden="false" customHeight="false" outlineLevel="0" collapsed="false">
      <c r="V7030" s="23" t="str">
        <f aca="false">IF(ISNUMBER(C7030),YEAR(C7030),"")</f>
        <v/>
      </c>
      <c r="W7030" s="23" t="str">
        <f aca="false">IF(ISNUMBER(C7030),MONTH(C7030),"")</f>
        <v/>
      </c>
      <c r="X7030" s="23" t="str">
        <f aca="false">IF(T7030="","",IF(T7030=0,"No discount",IF(T7030&lt;=0.2,"Low (1-20%)",IF(T7030&lt;=0.4,"Medium (21-40%)","High (&gt;40%)"))))</f>
        <v/>
      </c>
      <c r="Y7030" s="23" t="str">
        <f aca="false">IF(AND(ISNUMBER(C7030),ISNUMBER(D7030)),D7030-C7030,"")</f>
        <v/>
      </c>
      <c r="Z7030" s="23" t="str">
        <f aca="false">IF(B7030="","",IF(MATCH(B7030,$B$2:$B$12000,0)=ROW()-1,1,0))</f>
        <v/>
      </c>
    </row>
    <row r="7031" customFormat="false" ht="15" hidden="false" customHeight="false" outlineLevel="0" collapsed="false">
      <c r="V7031" s="23" t="str">
        <f aca="false">IF(ISNUMBER(C7031),YEAR(C7031),"")</f>
        <v/>
      </c>
      <c r="W7031" s="23" t="str">
        <f aca="false">IF(ISNUMBER(C7031),MONTH(C7031),"")</f>
        <v/>
      </c>
      <c r="X7031" s="23" t="str">
        <f aca="false">IF(T7031="","",IF(T7031=0,"No discount",IF(T7031&lt;=0.2,"Low (1-20%)",IF(T7031&lt;=0.4,"Medium (21-40%)","High (&gt;40%)"))))</f>
        <v/>
      </c>
      <c r="Y7031" s="23" t="str">
        <f aca="false">IF(AND(ISNUMBER(C7031),ISNUMBER(D7031)),D7031-C7031,"")</f>
        <v/>
      </c>
      <c r="Z7031" s="23" t="str">
        <f aca="false">IF(B7031="","",IF(MATCH(B7031,$B$2:$B$12000,0)=ROW()-1,1,0))</f>
        <v/>
      </c>
    </row>
    <row r="7032" customFormat="false" ht="15" hidden="false" customHeight="false" outlineLevel="0" collapsed="false">
      <c r="V7032" s="23" t="str">
        <f aca="false">IF(ISNUMBER(C7032),YEAR(C7032),"")</f>
        <v/>
      </c>
      <c r="W7032" s="23" t="str">
        <f aca="false">IF(ISNUMBER(C7032),MONTH(C7032),"")</f>
        <v/>
      </c>
      <c r="X7032" s="23" t="str">
        <f aca="false">IF(T7032="","",IF(T7032=0,"No discount",IF(T7032&lt;=0.2,"Low (1-20%)",IF(T7032&lt;=0.4,"Medium (21-40%)","High (&gt;40%)"))))</f>
        <v/>
      </c>
      <c r="Y7032" s="23" t="str">
        <f aca="false">IF(AND(ISNUMBER(C7032),ISNUMBER(D7032)),D7032-C7032,"")</f>
        <v/>
      </c>
      <c r="Z7032" s="23" t="str">
        <f aca="false">IF(B7032="","",IF(MATCH(B7032,$B$2:$B$12000,0)=ROW()-1,1,0))</f>
        <v/>
      </c>
    </row>
    <row r="7033" customFormat="false" ht="15" hidden="false" customHeight="false" outlineLevel="0" collapsed="false">
      <c r="V7033" s="23" t="str">
        <f aca="false">IF(ISNUMBER(C7033),YEAR(C7033),"")</f>
        <v/>
      </c>
      <c r="W7033" s="23" t="str">
        <f aca="false">IF(ISNUMBER(C7033),MONTH(C7033),"")</f>
        <v/>
      </c>
      <c r="X7033" s="23" t="str">
        <f aca="false">IF(T7033="","",IF(T7033=0,"No discount",IF(T7033&lt;=0.2,"Low (1-20%)",IF(T7033&lt;=0.4,"Medium (21-40%)","High (&gt;40%)"))))</f>
        <v/>
      </c>
      <c r="Y7033" s="23" t="str">
        <f aca="false">IF(AND(ISNUMBER(C7033),ISNUMBER(D7033)),D7033-C7033,"")</f>
        <v/>
      </c>
      <c r="Z7033" s="23" t="str">
        <f aca="false">IF(B7033="","",IF(MATCH(B7033,$B$2:$B$12000,0)=ROW()-1,1,0))</f>
        <v/>
      </c>
    </row>
    <row r="7034" customFormat="false" ht="15" hidden="false" customHeight="false" outlineLevel="0" collapsed="false">
      <c r="V7034" s="23" t="str">
        <f aca="false">IF(ISNUMBER(C7034),YEAR(C7034),"")</f>
        <v/>
      </c>
      <c r="W7034" s="23" t="str">
        <f aca="false">IF(ISNUMBER(C7034),MONTH(C7034),"")</f>
        <v/>
      </c>
      <c r="X7034" s="23" t="str">
        <f aca="false">IF(T7034="","",IF(T7034=0,"No discount",IF(T7034&lt;=0.2,"Low (1-20%)",IF(T7034&lt;=0.4,"Medium (21-40%)","High (&gt;40%)"))))</f>
        <v/>
      </c>
      <c r="Y7034" s="23" t="str">
        <f aca="false">IF(AND(ISNUMBER(C7034),ISNUMBER(D7034)),D7034-C7034,"")</f>
        <v/>
      </c>
      <c r="Z7034" s="23" t="str">
        <f aca="false">IF(B7034="","",IF(MATCH(B7034,$B$2:$B$12000,0)=ROW()-1,1,0))</f>
        <v/>
      </c>
    </row>
    <row r="7035" customFormat="false" ht="15" hidden="false" customHeight="false" outlineLevel="0" collapsed="false">
      <c r="V7035" s="23" t="str">
        <f aca="false">IF(ISNUMBER(C7035),YEAR(C7035),"")</f>
        <v/>
      </c>
      <c r="W7035" s="23" t="str">
        <f aca="false">IF(ISNUMBER(C7035),MONTH(C7035),"")</f>
        <v/>
      </c>
      <c r="X7035" s="23" t="str">
        <f aca="false">IF(T7035="","",IF(T7035=0,"No discount",IF(T7035&lt;=0.2,"Low (1-20%)",IF(T7035&lt;=0.4,"Medium (21-40%)","High (&gt;40%)"))))</f>
        <v/>
      </c>
      <c r="Y7035" s="23" t="str">
        <f aca="false">IF(AND(ISNUMBER(C7035),ISNUMBER(D7035)),D7035-C7035,"")</f>
        <v/>
      </c>
      <c r="Z7035" s="23" t="str">
        <f aca="false">IF(B7035="","",IF(MATCH(B7035,$B$2:$B$12000,0)=ROW()-1,1,0))</f>
        <v/>
      </c>
    </row>
    <row r="7036" customFormat="false" ht="15" hidden="false" customHeight="false" outlineLevel="0" collapsed="false">
      <c r="V7036" s="23" t="str">
        <f aca="false">IF(ISNUMBER(C7036),YEAR(C7036),"")</f>
        <v/>
      </c>
      <c r="W7036" s="23" t="str">
        <f aca="false">IF(ISNUMBER(C7036),MONTH(C7036),"")</f>
        <v/>
      </c>
      <c r="X7036" s="23" t="str">
        <f aca="false">IF(T7036="","",IF(T7036=0,"No discount",IF(T7036&lt;=0.2,"Low (1-20%)",IF(T7036&lt;=0.4,"Medium (21-40%)","High (&gt;40%)"))))</f>
        <v/>
      </c>
      <c r="Y7036" s="23" t="str">
        <f aca="false">IF(AND(ISNUMBER(C7036),ISNUMBER(D7036)),D7036-C7036,"")</f>
        <v/>
      </c>
      <c r="Z7036" s="23" t="str">
        <f aca="false">IF(B7036="","",IF(MATCH(B7036,$B$2:$B$12000,0)=ROW()-1,1,0))</f>
        <v/>
      </c>
    </row>
    <row r="7037" customFormat="false" ht="15" hidden="false" customHeight="false" outlineLevel="0" collapsed="false">
      <c r="V7037" s="23" t="str">
        <f aca="false">IF(ISNUMBER(C7037),YEAR(C7037),"")</f>
        <v/>
      </c>
      <c r="W7037" s="23" t="str">
        <f aca="false">IF(ISNUMBER(C7037),MONTH(C7037),"")</f>
        <v/>
      </c>
      <c r="X7037" s="23" t="str">
        <f aca="false">IF(T7037="","",IF(T7037=0,"No discount",IF(T7037&lt;=0.2,"Low (1-20%)",IF(T7037&lt;=0.4,"Medium (21-40%)","High (&gt;40%)"))))</f>
        <v/>
      </c>
      <c r="Y7037" s="23" t="str">
        <f aca="false">IF(AND(ISNUMBER(C7037),ISNUMBER(D7037)),D7037-C7037,"")</f>
        <v/>
      </c>
      <c r="Z7037" s="23" t="str">
        <f aca="false">IF(B7037="","",IF(MATCH(B7037,$B$2:$B$12000,0)=ROW()-1,1,0))</f>
        <v/>
      </c>
    </row>
    <row r="7038" customFormat="false" ht="15" hidden="false" customHeight="false" outlineLevel="0" collapsed="false">
      <c r="V7038" s="23" t="str">
        <f aca="false">IF(ISNUMBER(C7038),YEAR(C7038),"")</f>
        <v/>
      </c>
      <c r="W7038" s="23" t="str">
        <f aca="false">IF(ISNUMBER(C7038),MONTH(C7038),"")</f>
        <v/>
      </c>
      <c r="X7038" s="23" t="str">
        <f aca="false">IF(T7038="","",IF(T7038=0,"No discount",IF(T7038&lt;=0.2,"Low (1-20%)",IF(T7038&lt;=0.4,"Medium (21-40%)","High (&gt;40%)"))))</f>
        <v/>
      </c>
      <c r="Y7038" s="23" t="str">
        <f aca="false">IF(AND(ISNUMBER(C7038),ISNUMBER(D7038)),D7038-C7038,"")</f>
        <v/>
      </c>
      <c r="Z7038" s="23" t="str">
        <f aca="false">IF(B7038="","",IF(MATCH(B7038,$B$2:$B$12000,0)=ROW()-1,1,0))</f>
        <v/>
      </c>
    </row>
    <row r="7039" customFormat="false" ht="15" hidden="false" customHeight="false" outlineLevel="0" collapsed="false">
      <c r="V7039" s="23" t="str">
        <f aca="false">IF(ISNUMBER(C7039),YEAR(C7039),"")</f>
        <v/>
      </c>
      <c r="W7039" s="23" t="str">
        <f aca="false">IF(ISNUMBER(C7039),MONTH(C7039),"")</f>
        <v/>
      </c>
      <c r="X7039" s="23" t="str">
        <f aca="false">IF(T7039="","",IF(T7039=0,"No discount",IF(T7039&lt;=0.2,"Low (1-20%)",IF(T7039&lt;=0.4,"Medium (21-40%)","High (&gt;40%)"))))</f>
        <v/>
      </c>
      <c r="Y7039" s="23" t="str">
        <f aca="false">IF(AND(ISNUMBER(C7039),ISNUMBER(D7039)),D7039-C7039,"")</f>
        <v/>
      </c>
      <c r="Z7039" s="23" t="str">
        <f aca="false">IF(B7039="","",IF(MATCH(B7039,$B$2:$B$12000,0)=ROW()-1,1,0))</f>
        <v/>
      </c>
    </row>
    <row r="7040" customFormat="false" ht="15" hidden="false" customHeight="false" outlineLevel="0" collapsed="false">
      <c r="V7040" s="23" t="str">
        <f aca="false">IF(ISNUMBER(C7040),YEAR(C7040),"")</f>
        <v/>
      </c>
      <c r="W7040" s="23" t="str">
        <f aca="false">IF(ISNUMBER(C7040),MONTH(C7040),"")</f>
        <v/>
      </c>
      <c r="X7040" s="23" t="str">
        <f aca="false">IF(T7040="","",IF(T7040=0,"No discount",IF(T7040&lt;=0.2,"Low (1-20%)",IF(T7040&lt;=0.4,"Medium (21-40%)","High (&gt;40%)"))))</f>
        <v/>
      </c>
      <c r="Y7040" s="23" t="str">
        <f aca="false">IF(AND(ISNUMBER(C7040),ISNUMBER(D7040)),D7040-C7040,"")</f>
        <v/>
      </c>
      <c r="Z7040" s="23" t="str">
        <f aca="false">IF(B7040="","",IF(MATCH(B7040,$B$2:$B$12000,0)=ROW()-1,1,0))</f>
        <v/>
      </c>
    </row>
    <row r="7041" customFormat="false" ht="15" hidden="false" customHeight="false" outlineLevel="0" collapsed="false">
      <c r="V7041" s="23" t="str">
        <f aca="false">IF(ISNUMBER(C7041),YEAR(C7041),"")</f>
        <v/>
      </c>
      <c r="W7041" s="23" t="str">
        <f aca="false">IF(ISNUMBER(C7041),MONTH(C7041),"")</f>
        <v/>
      </c>
      <c r="X7041" s="23" t="str">
        <f aca="false">IF(T7041="","",IF(T7041=0,"No discount",IF(T7041&lt;=0.2,"Low (1-20%)",IF(T7041&lt;=0.4,"Medium (21-40%)","High (&gt;40%)"))))</f>
        <v/>
      </c>
      <c r="Y7041" s="23" t="str">
        <f aca="false">IF(AND(ISNUMBER(C7041),ISNUMBER(D7041)),D7041-C7041,"")</f>
        <v/>
      </c>
      <c r="Z7041" s="23" t="str">
        <f aca="false">IF(B7041="","",IF(MATCH(B7041,$B$2:$B$12000,0)=ROW()-1,1,0))</f>
        <v/>
      </c>
    </row>
    <row r="7042" customFormat="false" ht="15" hidden="false" customHeight="false" outlineLevel="0" collapsed="false">
      <c r="V7042" s="23" t="str">
        <f aca="false">IF(ISNUMBER(C7042),YEAR(C7042),"")</f>
        <v/>
      </c>
      <c r="W7042" s="23" t="str">
        <f aca="false">IF(ISNUMBER(C7042),MONTH(C7042),"")</f>
        <v/>
      </c>
      <c r="X7042" s="23" t="str">
        <f aca="false">IF(T7042="","",IF(T7042=0,"No discount",IF(T7042&lt;=0.2,"Low (1-20%)",IF(T7042&lt;=0.4,"Medium (21-40%)","High (&gt;40%)"))))</f>
        <v/>
      </c>
      <c r="Y7042" s="23" t="str">
        <f aca="false">IF(AND(ISNUMBER(C7042),ISNUMBER(D7042)),D7042-C7042,"")</f>
        <v/>
      </c>
      <c r="Z7042" s="23" t="str">
        <f aca="false">IF(B7042="","",IF(MATCH(B7042,$B$2:$B$12000,0)=ROW()-1,1,0))</f>
        <v/>
      </c>
    </row>
    <row r="7043" customFormat="false" ht="15" hidden="false" customHeight="false" outlineLevel="0" collapsed="false">
      <c r="V7043" s="23" t="str">
        <f aca="false">IF(ISNUMBER(C7043),YEAR(C7043),"")</f>
        <v/>
      </c>
      <c r="W7043" s="23" t="str">
        <f aca="false">IF(ISNUMBER(C7043),MONTH(C7043),"")</f>
        <v/>
      </c>
      <c r="X7043" s="23" t="str">
        <f aca="false">IF(T7043="","",IF(T7043=0,"No discount",IF(T7043&lt;=0.2,"Low (1-20%)",IF(T7043&lt;=0.4,"Medium (21-40%)","High (&gt;40%)"))))</f>
        <v/>
      </c>
      <c r="Y7043" s="23" t="str">
        <f aca="false">IF(AND(ISNUMBER(C7043),ISNUMBER(D7043)),D7043-C7043,"")</f>
        <v/>
      </c>
      <c r="Z7043" s="23" t="str">
        <f aca="false">IF(B7043="","",IF(MATCH(B7043,$B$2:$B$12000,0)=ROW()-1,1,0))</f>
        <v/>
      </c>
    </row>
    <row r="7044" customFormat="false" ht="15" hidden="false" customHeight="false" outlineLevel="0" collapsed="false">
      <c r="V7044" s="23" t="str">
        <f aca="false">IF(ISNUMBER(C7044),YEAR(C7044),"")</f>
        <v/>
      </c>
      <c r="W7044" s="23" t="str">
        <f aca="false">IF(ISNUMBER(C7044),MONTH(C7044),"")</f>
        <v/>
      </c>
      <c r="X7044" s="23" t="str">
        <f aca="false">IF(T7044="","",IF(T7044=0,"No discount",IF(T7044&lt;=0.2,"Low (1-20%)",IF(T7044&lt;=0.4,"Medium (21-40%)","High (&gt;40%)"))))</f>
        <v/>
      </c>
      <c r="Y7044" s="23" t="str">
        <f aca="false">IF(AND(ISNUMBER(C7044),ISNUMBER(D7044)),D7044-C7044,"")</f>
        <v/>
      </c>
      <c r="Z7044" s="23" t="str">
        <f aca="false">IF(B7044="","",IF(MATCH(B7044,$B$2:$B$12000,0)=ROW()-1,1,0))</f>
        <v/>
      </c>
    </row>
    <row r="7045" customFormat="false" ht="15" hidden="false" customHeight="false" outlineLevel="0" collapsed="false">
      <c r="V7045" s="23" t="str">
        <f aca="false">IF(ISNUMBER(C7045),YEAR(C7045),"")</f>
        <v/>
      </c>
      <c r="W7045" s="23" t="str">
        <f aca="false">IF(ISNUMBER(C7045),MONTH(C7045),"")</f>
        <v/>
      </c>
      <c r="X7045" s="23" t="str">
        <f aca="false">IF(T7045="","",IF(T7045=0,"No discount",IF(T7045&lt;=0.2,"Low (1-20%)",IF(T7045&lt;=0.4,"Medium (21-40%)","High (&gt;40%)"))))</f>
        <v/>
      </c>
      <c r="Y7045" s="23" t="str">
        <f aca="false">IF(AND(ISNUMBER(C7045),ISNUMBER(D7045)),D7045-C7045,"")</f>
        <v/>
      </c>
      <c r="Z7045" s="23" t="str">
        <f aca="false">IF(B7045="","",IF(MATCH(B7045,$B$2:$B$12000,0)=ROW()-1,1,0))</f>
        <v/>
      </c>
    </row>
    <row r="7046" customFormat="false" ht="15" hidden="false" customHeight="false" outlineLevel="0" collapsed="false">
      <c r="V7046" s="23" t="str">
        <f aca="false">IF(ISNUMBER(C7046),YEAR(C7046),"")</f>
        <v/>
      </c>
      <c r="W7046" s="23" t="str">
        <f aca="false">IF(ISNUMBER(C7046),MONTH(C7046),"")</f>
        <v/>
      </c>
      <c r="X7046" s="23" t="str">
        <f aca="false">IF(T7046="","",IF(T7046=0,"No discount",IF(T7046&lt;=0.2,"Low (1-20%)",IF(T7046&lt;=0.4,"Medium (21-40%)","High (&gt;40%)"))))</f>
        <v/>
      </c>
      <c r="Y7046" s="23" t="str">
        <f aca="false">IF(AND(ISNUMBER(C7046),ISNUMBER(D7046)),D7046-C7046,"")</f>
        <v/>
      </c>
      <c r="Z7046" s="23" t="str">
        <f aca="false">IF(B7046="","",IF(MATCH(B7046,$B$2:$B$12000,0)=ROW()-1,1,0))</f>
        <v/>
      </c>
    </row>
    <row r="7047" customFormat="false" ht="15" hidden="false" customHeight="false" outlineLevel="0" collapsed="false">
      <c r="V7047" s="23" t="str">
        <f aca="false">IF(ISNUMBER(C7047),YEAR(C7047),"")</f>
        <v/>
      </c>
      <c r="W7047" s="23" t="str">
        <f aca="false">IF(ISNUMBER(C7047),MONTH(C7047),"")</f>
        <v/>
      </c>
      <c r="X7047" s="23" t="str">
        <f aca="false">IF(T7047="","",IF(T7047=0,"No discount",IF(T7047&lt;=0.2,"Low (1-20%)",IF(T7047&lt;=0.4,"Medium (21-40%)","High (&gt;40%)"))))</f>
        <v/>
      </c>
      <c r="Y7047" s="23" t="str">
        <f aca="false">IF(AND(ISNUMBER(C7047),ISNUMBER(D7047)),D7047-C7047,"")</f>
        <v/>
      </c>
      <c r="Z7047" s="23" t="str">
        <f aca="false">IF(B7047="","",IF(MATCH(B7047,$B$2:$B$12000,0)=ROW()-1,1,0))</f>
        <v/>
      </c>
    </row>
    <row r="7048" customFormat="false" ht="15" hidden="false" customHeight="false" outlineLevel="0" collapsed="false">
      <c r="V7048" s="23" t="str">
        <f aca="false">IF(ISNUMBER(C7048),YEAR(C7048),"")</f>
        <v/>
      </c>
      <c r="W7048" s="23" t="str">
        <f aca="false">IF(ISNUMBER(C7048),MONTH(C7048),"")</f>
        <v/>
      </c>
      <c r="X7048" s="23" t="str">
        <f aca="false">IF(T7048="","",IF(T7048=0,"No discount",IF(T7048&lt;=0.2,"Low (1-20%)",IF(T7048&lt;=0.4,"Medium (21-40%)","High (&gt;40%)"))))</f>
        <v/>
      </c>
      <c r="Y7048" s="23" t="str">
        <f aca="false">IF(AND(ISNUMBER(C7048),ISNUMBER(D7048)),D7048-C7048,"")</f>
        <v/>
      </c>
      <c r="Z7048" s="23" t="str">
        <f aca="false">IF(B7048="","",IF(MATCH(B7048,$B$2:$B$12000,0)=ROW()-1,1,0))</f>
        <v/>
      </c>
    </row>
    <row r="7049" customFormat="false" ht="15" hidden="false" customHeight="false" outlineLevel="0" collapsed="false">
      <c r="V7049" s="23" t="str">
        <f aca="false">IF(ISNUMBER(C7049),YEAR(C7049),"")</f>
        <v/>
      </c>
      <c r="W7049" s="23" t="str">
        <f aca="false">IF(ISNUMBER(C7049),MONTH(C7049),"")</f>
        <v/>
      </c>
      <c r="X7049" s="23" t="str">
        <f aca="false">IF(T7049="","",IF(T7049=0,"No discount",IF(T7049&lt;=0.2,"Low (1-20%)",IF(T7049&lt;=0.4,"Medium (21-40%)","High (&gt;40%)"))))</f>
        <v/>
      </c>
      <c r="Y7049" s="23" t="str">
        <f aca="false">IF(AND(ISNUMBER(C7049),ISNUMBER(D7049)),D7049-C7049,"")</f>
        <v/>
      </c>
      <c r="Z7049" s="23" t="str">
        <f aca="false">IF(B7049="","",IF(MATCH(B7049,$B$2:$B$12000,0)=ROW()-1,1,0))</f>
        <v/>
      </c>
    </row>
    <row r="7050" customFormat="false" ht="15" hidden="false" customHeight="false" outlineLevel="0" collapsed="false">
      <c r="V7050" s="23" t="str">
        <f aca="false">IF(ISNUMBER(C7050),YEAR(C7050),"")</f>
        <v/>
      </c>
      <c r="W7050" s="23" t="str">
        <f aca="false">IF(ISNUMBER(C7050),MONTH(C7050),"")</f>
        <v/>
      </c>
      <c r="X7050" s="23" t="str">
        <f aca="false">IF(T7050="","",IF(T7050=0,"No discount",IF(T7050&lt;=0.2,"Low (1-20%)",IF(T7050&lt;=0.4,"Medium (21-40%)","High (&gt;40%)"))))</f>
        <v/>
      </c>
      <c r="Y7050" s="23" t="str">
        <f aca="false">IF(AND(ISNUMBER(C7050),ISNUMBER(D7050)),D7050-C7050,"")</f>
        <v/>
      </c>
      <c r="Z7050" s="23" t="str">
        <f aca="false">IF(B7050="","",IF(MATCH(B7050,$B$2:$B$12000,0)=ROW()-1,1,0))</f>
        <v/>
      </c>
    </row>
    <row r="7051" customFormat="false" ht="15" hidden="false" customHeight="false" outlineLevel="0" collapsed="false">
      <c r="V7051" s="23" t="str">
        <f aca="false">IF(ISNUMBER(C7051),YEAR(C7051),"")</f>
        <v/>
      </c>
      <c r="W7051" s="23" t="str">
        <f aca="false">IF(ISNUMBER(C7051),MONTH(C7051),"")</f>
        <v/>
      </c>
      <c r="X7051" s="23" t="str">
        <f aca="false">IF(T7051="","",IF(T7051=0,"No discount",IF(T7051&lt;=0.2,"Low (1-20%)",IF(T7051&lt;=0.4,"Medium (21-40%)","High (&gt;40%)"))))</f>
        <v/>
      </c>
      <c r="Y7051" s="23" t="str">
        <f aca="false">IF(AND(ISNUMBER(C7051),ISNUMBER(D7051)),D7051-C7051,"")</f>
        <v/>
      </c>
      <c r="Z7051" s="23" t="str">
        <f aca="false">IF(B7051="","",IF(MATCH(B7051,$B$2:$B$12000,0)=ROW()-1,1,0))</f>
        <v/>
      </c>
    </row>
    <row r="7052" customFormat="false" ht="15" hidden="false" customHeight="false" outlineLevel="0" collapsed="false">
      <c r="V7052" s="23" t="str">
        <f aca="false">IF(ISNUMBER(C7052),YEAR(C7052),"")</f>
        <v/>
      </c>
      <c r="W7052" s="23" t="str">
        <f aca="false">IF(ISNUMBER(C7052),MONTH(C7052),"")</f>
        <v/>
      </c>
      <c r="X7052" s="23" t="str">
        <f aca="false">IF(T7052="","",IF(T7052=0,"No discount",IF(T7052&lt;=0.2,"Low (1-20%)",IF(T7052&lt;=0.4,"Medium (21-40%)","High (&gt;40%)"))))</f>
        <v/>
      </c>
      <c r="Y7052" s="23" t="str">
        <f aca="false">IF(AND(ISNUMBER(C7052),ISNUMBER(D7052)),D7052-C7052,"")</f>
        <v/>
      </c>
      <c r="Z7052" s="23" t="str">
        <f aca="false">IF(B7052="","",IF(MATCH(B7052,$B$2:$B$12000,0)=ROW()-1,1,0))</f>
        <v/>
      </c>
    </row>
    <row r="7053" customFormat="false" ht="15" hidden="false" customHeight="false" outlineLevel="0" collapsed="false">
      <c r="V7053" s="23" t="str">
        <f aca="false">IF(ISNUMBER(C7053),YEAR(C7053),"")</f>
        <v/>
      </c>
      <c r="W7053" s="23" t="str">
        <f aca="false">IF(ISNUMBER(C7053),MONTH(C7053),"")</f>
        <v/>
      </c>
      <c r="X7053" s="23" t="str">
        <f aca="false">IF(T7053="","",IF(T7053=0,"No discount",IF(T7053&lt;=0.2,"Low (1-20%)",IF(T7053&lt;=0.4,"Medium (21-40%)","High (&gt;40%)"))))</f>
        <v/>
      </c>
      <c r="Y7053" s="23" t="str">
        <f aca="false">IF(AND(ISNUMBER(C7053),ISNUMBER(D7053)),D7053-C7053,"")</f>
        <v/>
      </c>
      <c r="Z7053" s="23" t="str">
        <f aca="false">IF(B7053="","",IF(MATCH(B7053,$B$2:$B$12000,0)=ROW()-1,1,0))</f>
        <v/>
      </c>
    </row>
    <row r="7054" customFormat="false" ht="15" hidden="false" customHeight="false" outlineLevel="0" collapsed="false">
      <c r="V7054" s="23" t="str">
        <f aca="false">IF(ISNUMBER(C7054),YEAR(C7054),"")</f>
        <v/>
      </c>
      <c r="W7054" s="23" t="str">
        <f aca="false">IF(ISNUMBER(C7054),MONTH(C7054),"")</f>
        <v/>
      </c>
      <c r="X7054" s="23" t="str">
        <f aca="false">IF(T7054="","",IF(T7054=0,"No discount",IF(T7054&lt;=0.2,"Low (1-20%)",IF(T7054&lt;=0.4,"Medium (21-40%)","High (&gt;40%)"))))</f>
        <v/>
      </c>
      <c r="Y7054" s="23" t="str">
        <f aca="false">IF(AND(ISNUMBER(C7054),ISNUMBER(D7054)),D7054-C7054,"")</f>
        <v/>
      </c>
      <c r="Z7054" s="23" t="str">
        <f aca="false">IF(B7054="","",IF(MATCH(B7054,$B$2:$B$12000,0)=ROW()-1,1,0))</f>
        <v/>
      </c>
    </row>
    <row r="7055" customFormat="false" ht="15" hidden="false" customHeight="false" outlineLevel="0" collapsed="false">
      <c r="V7055" s="23" t="str">
        <f aca="false">IF(ISNUMBER(C7055),YEAR(C7055),"")</f>
        <v/>
      </c>
      <c r="W7055" s="23" t="str">
        <f aca="false">IF(ISNUMBER(C7055),MONTH(C7055),"")</f>
        <v/>
      </c>
      <c r="X7055" s="23" t="str">
        <f aca="false">IF(T7055="","",IF(T7055=0,"No discount",IF(T7055&lt;=0.2,"Low (1-20%)",IF(T7055&lt;=0.4,"Medium (21-40%)","High (&gt;40%)"))))</f>
        <v/>
      </c>
      <c r="Y7055" s="23" t="str">
        <f aca="false">IF(AND(ISNUMBER(C7055),ISNUMBER(D7055)),D7055-C7055,"")</f>
        <v/>
      </c>
      <c r="Z7055" s="23" t="str">
        <f aca="false">IF(B7055="","",IF(MATCH(B7055,$B$2:$B$12000,0)=ROW()-1,1,0))</f>
        <v/>
      </c>
    </row>
    <row r="7056" customFormat="false" ht="15" hidden="false" customHeight="false" outlineLevel="0" collapsed="false">
      <c r="V7056" s="23" t="str">
        <f aca="false">IF(ISNUMBER(C7056),YEAR(C7056),"")</f>
        <v/>
      </c>
      <c r="W7056" s="23" t="str">
        <f aca="false">IF(ISNUMBER(C7056),MONTH(C7056),"")</f>
        <v/>
      </c>
      <c r="X7056" s="23" t="str">
        <f aca="false">IF(T7056="","",IF(T7056=0,"No discount",IF(T7056&lt;=0.2,"Low (1-20%)",IF(T7056&lt;=0.4,"Medium (21-40%)","High (&gt;40%)"))))</f>
        <v/>
      </c>
      <c r="Y7056" s="23" t="str">
        <f aca="false">IF(AND(ISNUMBER(C7056),ISNUMBER(D7056)),D7056-C7056,"")</f>
        <v/>
      </c>
      <c r="Z7056" s="23" t="str">
        <f aca="false">IF(B7056="","",IF(MATCH(B7056,$B$2:$B$12000,0)=ROW()-1,1,0))</f>
        <v/>
      </c>
    </row>
    <row r="7057" customFormat="false" ht="15" hidden="false" customHeight="false" outlineLevel="0" collapsed="false">
      <c r="V7057" s="23" t="str">
        <f aca="false">IF(ISNUMBER(C7057),YEAR(C7057),"")</f>
        <v/>
      </c>
      <c r="W7057" s="23" t="str">
        <f aca="false">IF(ISNUMBER(C7057),MONTH(C7057),"")</f>
        <v/>
      </c>
      <c r="X7057" s="23" t="str">
        <f aca="false">IF(T7057="","",IF(T7057=0,"No discount",IF(T7057&lt;=0.2,"Low (1-20%)",IF(T7057&lt;=0.4,"Medium (21-40%)","High (&gt;40%)"))))</f>
        <v/>
      </c>
      <c r="Y7057" s="23" t="str">
        <f aca="false">IF(AND(ISNUMBER(C7057),ISNUMBER(D7057)),D7057-C7057,"")</f>
        <v/>
      </c>
      <c r="Z7057" s="23" t="str">
        <f aca="false">IF(B7057="","",IF(MATCH(B7057,$B$2:$B$12000,0)=ROW()-1,1,0))</f>
        <v/>
      </c>
    </row>
    <row r="7058" customFormat="false" ht="15" hidden="false" customHeight="false" outlineLevel="0" collapsed="false">
      <c r="V7058" s="23" t="str">
        <f aca="false">IF(ISNUMBER(C7058),YEAR(C7058),"")</f>
        <v/>
      </c>
      <c r="W7058" s="23" t="str">
        <f aca="false">IF(ISNUMBER(C7058),MONTH(C7058),"")</f>
        <v/>
      </c>
      <c r="X7058" s="23" t="str">
        <f aca="false">IF(T7058="","",IF(T7058=0,"No discount",IF(T7058&lt;=0.2,"Low (1-20%)",IF(T7058&lt;=0.4,"Medium (21-40%)","High (&gt;40%)"))))</f>
        <v/>
      </c>
      <c r="Y7058" s="23" t="str">
        <f aca="false">IF(AND(ISNUMBER(C7058),ISNUMBER(D7058)),D7058-C7058,"")</f>
        <v/>
      </c>
      <c r="Z7058" s="23" t="str">
        <f aca="false">IF(B7058="","",IF(MATCH(B7058,$B$2:$B$12000,0)=ROW()-1,1,0))</f>
        <v/>
      </c>
    </row>
    <row r="7059" customFormat="false" ht="15" hidden="false" customHeight="false" outlineLevel="0" collapsed="false">
      <c r="V7059" s="23" t="str">
        <f aca="false">IF(ISNUMBER(C7059),YEAR(C7059),"")</f>
        <v/>
      </c>
      <c r="W7059" s="23" t="str">
        <f aca="false">IF(ISNUMBER(C7059),MONTH(C7059),"")</f>
        <v/>
      </c>
      <c r="X7059" s="23" t="str">
        <f aca="false">IF(T7059="","",IF(T7059=0,"No discount",IF(T7059&lt;=0.2,"Low (1-20%)",IF(T7059&lt;=0.4,"Medium (21-40%)","High (&gt;40%)"))))</f>
        <v/>
      </c>
      <c r="Y7059" s="23" t="str">
        <f aca="false">IF(AND(ISNUMBER(C7059),ISNUMBER(D7059)),D7059-C7059,"")</f>
        <v/>
      </c>
      <c r="Z7059" s="23" t="str">
        <f aca="false">IF(B7059="","",IF(MATCH(B7059,$B$2:$B$12000,0)=ROW()-1,1,0))</f>
        <v/>
      </c>
    </row>
    <row r="7060" customFormat="false" ht="15" hidden="false" customHeight="false" outlineLevel="0" collapsed="false">
      <c r="V7060" s="23" t="str">
        <f aca="false">IF(ISNUMBER(C7060),YEAR(C7060),"")</f>
        <v/>
      </c>
      <c r="W7060" s="23" t="str">
        <f aca="false">IF(ISNUMBER(C7060),MONTH(C7060),"")</f>
        <v/>
      </c>
      <c r="X7060" s="23" t="str">
        <f aca="false">IF(T7060="","",IF(T7060=0,"No discount",IF(T7060&lt;=0.2,"Low (1-20%)",IF(T7060&lt;=0.4,"Medium (21-40%)","High (&gt;40%)"))))</f>
        <v/>
      </c>
      <c r="Y7060" s="23" t="str">
        <f aca="false">IF(AND(ISNUMBER(C7060),ISNUMBER(D7060)),D7060-C7060,"")</f>
        <v/>
      </c>
      <c r="Z7060" s="23" t="str">
        <f aca="false">IF(B7060="","",IF(MATCH(B7060,$B$2:$B$12000,0)=ROW()-1,1,0))</f>
        <v/>
      </c>
    </row>
    <row r="7061" customFormat="false" ht="15" hidden="false" customHeight="false" outlineLevel="0" collapsed="false">
      <c r="V7061" s="23" t="str">
        <f aca="false">IF(ISNUMBER(C7061),YEAR(C7061),"")</f>
        <v/>
      </c>
      <c r="W7061" s="23" t="str">
        <f aca="false">IF(ISNUMBER(C7061),MONTH(C7061),"")</f>
        <v/>
      </c>
      <c r="X7061" s="23" t="str">
        <f aca="false">IF(T7061="","",IF(T7061=0,"No discount",IF(T7061&lt;=0.2,"Low (1-20%)",IF(T7061&lt;=0.4,"Medium (21-40%)","High (&gt;40%)"))))</f>
        <v/>
      </c>
      <c r="Y7061" s="23" t="str">
        <f aca="false">IF(AND(ISNUMBER(C7061),ISNUMBER(D7061)),D7061-C7061,"")</f>
        <v/>
      </c>
      <c r="Z7061" s="23" t="str">
        <f aca="false">IF(B7061="","",IF(MATCH(B7061,$B$2:$B$12000,0)=ROW()-1,1,0))</f>
        <v/>
      </c>
    </row>
    <row r="7062" customFormat="false" ht="15" hidden="false" customHeight="false" outlineLevel="0" collapsed="false">
      <c r="V7062" s="23" t="str">
        <f aca="false">IF(ISNUMBER(C7062),YEAR(C7062),"")</f>
        <v/>
      </c>
      <c r="W7062" s="23" t="str">
        <f aca="false">IF(ISNUMBER(C7062),MONTH(C7062),"")</f>
        <v/>
      </c>
      <c r="X7062" s="23" t="str">
        <f aca="false">IF(T7062="","",IF(T7062=0,"No discount",IF(T7062&lt;=0.2,"Low (1-20%)",IF(T7062&lt;=0.4,"Medium (21-40%)","High (&gt;40%)"))))</f>
        <v/>
      </c>
      <c r="Y7062" s="23" t="str">
        <f aca="false">IF(AND(ISNUMBER(C7062),ISNUMBER(D7062)),D7062-C7062,"")</f>
        <v/>
      </c>
      <c r="Z7062" s="23" t="str">
        <f aca="false">IF(B7062="","",IF(MATCH(B7062,$B$2:$B$12000,0)=ROW()-1,1,0))</f>
        <v/>
      </c>
    </row>
    <row r="7063" customFormat="false" ht="15" hidden="false" customHeight="false" outlineLevel="0" collapsed="false">
      <c r="V7063" s="23" t="str">
        <f aca="false">IF(ISNUMBER(C7063),YEAR(C7063),"")</f>
        <v/>
      </c>
      <c r="W7063" s="23" t="str">
        <f aca="false">IF(ISNUMBER(C7063),MONTH(C7063),"")</f>
        <v/>
      </c>
      <c r="X7063" s="23" t="str">
        <f aca="false">IF(T7063="","",IF(T7063=0,"No discount",IF(T7063&lt;=0.2,"Low (1-20%)",IF(T7063&lt;=0.4,"Medium (21-40%)","High (&gt;40%)"))))</f>
        <v/>
      </c>
      <c r="Y7063" s="23" t="str">
        <f aca="false">IF(AND(ISNUMBER(C7063),ISNUMBER(D7063)),D7063-C7063,"")</f>
        <v/>
      </c>
      <c r="Z7063" s="23" t="str">
        <f aca="false">IF(B7063="","",IF(MATCH(B7063,$B$2:$B$12000,0)=ROW()-1,1,0))</f>
        <v/>
      </c>
    </row>
    <row r="7064" customFormat="false" ht="15" hidden="false" customHeight="false" outlineLevel="0" collapsed="false">
      <c r="V7064" s="23" t="str">
        <f aca="false">IF(ISNUMBER(C7064),YEAR(C7064),"")</f>
        <v/>
      </c>
      <c r="W7064" s="23" t="str">
        <f aca="false">IF(ISNUMBER(C7064),MONTH(C7064),"")</f>
        <v/>
      </c>
      <c r="X7064" s="23" t="str">
        <f aca="false">IF(T7064="","",IF(T7064=0,"No discount",IF(T7064&lt;=0.2,"Low (1-20%)",IF(T7064&lt;=0.4,"Medium (21-40%)","High (&gt;40%)"))))</f>
        <v/>
      </c>
      <c r="Y7064" s="23" t="str">
        <f aca="false">IF(AND(ISNUMBER(C7064),ISNUMBER(D7064)),D7064-C7064,"")</f>
        <v/>
      </c>
      <c r="Z7064" s="23" t="str">
        <f aca="false">IF(B7064="","",IF(MATCH(B7064,$B$2:$B$12000,0)=ROW()-1,1,0))</f>
        <v/>
      </c>
    </row>
    <row r="7065" customFormat="false" ht="15" hidden="false" customHeight="false" outlineLevel="0" collapsed="false">
      <c r="V7065" s="23" t="str">
        <f aca="false">IF(ISNUMBER(C7065),YEAR(C7065),"")</f>
        <v/>
      </c>
      <c r="W7065" s="23" t="str">
        <f aca="false">IF(ISNUMBER(C7065),MONTH(C7065),"")</f>
        <v/>
      </c>
      <c r="X7065" s="23" t="str">
        <f aca="false">IF(T7065="","",IF(T7065=0,"No discount",IF(T7065&lt;=0.2,"Low (1-20%)",IF(T7065&lt;=0.4,"Medium (21-40%)","High (&gt;40%)"))))</f>
        <v/>
      </c>
      <c r="Y7065" s="23" t="str">
        <f aca="false">IF(AND(ISNUMBER(C7065),ISNUMBER(D7065)),D7065-C7065,"")</f>
        <v/>
      </c>
      <c r="Z7065" s="23" t="str">
        <f aca="false">IF(B7065="","",IF(MATCH(B7065,$B$2:$B$12000,0)=ROW()-1,1,0))</f>
        <v/>
      </c>
    </row>
    <row r="7066" customFormat="false" ht="15" hidden="false" customHeight="false" outlineLevel="0" collapsed="false">
      <c r="V7066" s="23" t="str">
        <f aca="false">IF(ISNUMBER(C7066),YEAR(C7066),"")</f>
        <v/>
      </c>
      <c r="W7066" s="23" t="str">
        <f aca="false">IF(ISNUMBER(C7066),MONTH(C7066),"")</f>
        <v/>
      </c>
      <c r="X7066" s="23" t="str">
        <f aca="false">IF(T7066="","",IF(T7066=0,"No discount",IF(T7066&lt;=0.2,"Low (1-20%)",IF(T7066&lt;=0.4,"Medium (21-40%)","High (&gt;40%)"))))</f>
        <v/>
      </c>
      <c r="Y7066" s="23" t="str">
        <f aca="false">IF(AND(ISNUMBER(C7066),ISNUMBER(D7066)),D7066-C7066,"")</f>
        <v/>
      </c>
      <c r="Z7066" s="23" t="str">
        <f aca="false">IF(B7066="","",IF(MATCH(B7066,$B$2:$B$12000,0)=ROW()-1,1,0))</f>
        <v/>
      </c>
    </row>
    <row r="7067" customFormat="false" ht="15" hidden="false" customHeight="false" outlineLevel="0" collapsed="false">
      <c r="V7067" s="23" t="str">
        <f aca="false">IF(ISNUMBER(C7067),YEAR(C7067),"")</f>
        <v/>
      </c>
      <c r="W7067" s="23" t="str">
        <f aca="false">IF(ISNUMBER(C7067),MONTH(C7067),"")</f>
        <v/>
      </c>
      <c r="X7067" s="23" t="str">
        <f aca="false">IF(T7067="","",IF(T7067=0,"No discount",IF(T7067&lt;=0.2,"Low (1-20%)",IF(T7067&lt;=0.4,"Medium (21-40%)","High (&gt;40%)"))))</f>
        <v/>
      </c>
      <c r="Y7067" s="23" t="str">
        <f aca="false">IF(AND(ISNUMBER(C7067),ISNUMBER(D7067)),D7067-C7067,"")</f>
        <v/>
      </c>
      <c r="Z7067" s="23" t="str">
        <f aca="false">IF(B7067="","",IF(MATCH(B7067,$B$2:$B$12000,0)=ROW()-1,1,0))</f>
        <v/>
      </c>
    </row>
    <row r="7068" customFormat="false" ht="15" hidden="false" customHeight="false" outlineLevel="0" collapsed="false">
      <c r="V7068" s="23" t="str">
        <f aca="false">IF(ISNUMBER(C7068),YEAR(C7068),"")</f>
        <v/>
      </c>
      <c r="W7068" s="23" t="str">
        <f aca="false">IF(ISNUMBER(C7068),MONTH(C7068),"")</f>
        <v/>
      </c>
      <c r="X7068" s="23" t="str">
        <f aca="false">IF(T7068="","",IF(T7068=0,"No discount",IF(T7068&lt;=0.2,"Low (1-20%)",IF(T7068&lt;=0.4,"Medium (21-40%)","High (&gt;40%)"))))</f>
        <v/>
      </c>
      <c r="Y7068" s="23" t="str">
        <f aca="false">IF(AND(ISNUMBER(C7068),ISNUMBER(D7068)),D7068-C7068,"")</f>
        <v/>
      </c>
      <c r="Z7068" s="23" t="str">
        <f aca="false">IF(B7068="","",IF(MATCH(B7068,$B$2:$B$12000,0)=ROW()-1,1,0))</f>
        <v/>
      </c>
    </row>
    <row r="7069" customFormat="false" ht="15" hidden="false" customHeight="false" outlineLevel="0" collapsed="false">
      <c r="V7069" s="23" t="str">
        <f aca="false">IF(ISNUMBER(C7069),YEAR(C7069),"")</f>
        <v/>
      </c>
      <c r="W7069" s="23" t="str">
        <f aca="false">IF(ISNUMBER(C7069),MONTH(C7069),"")</f>
        <v/>
      </c>
      <c r="X7069" s="23" t="str">
        <f aca="false">IF(T7069="","",IF(T7069=0,"No discount",IF(T7069&lt;=0.2,"Low (1-20%)",IF(T7069&lt;=0.4,"Medium (21-40%)","High (&gt;40%)"))))</f>
        <v/>
      </c>
      <c r="Y7069" s="23" t="str">
        <f aca="false">IF(AND(ISNUMBER(C7069),ISNUMBER(D7069)),D7069-C7069,"")</f>
        <v/>
      </c>
      <c r="Z7069" s="23" t="str">
        <f aca="false">IF(B7069="","",IF(MATCH(B7069,$B$2:$B$12000,0)=ROW()-1,1,0))</f>
        <v/>
      </c>
    </row>
    <row r="7070" customFormat="false" ht="15" hidden="false" customHeight="false" outlineLevel="0" collapsed="false">
      <c r="V7070" s="23" t="str">
        <f aca="false">IF(ISNUMBER(C7070),YEAR(C7070),"")</f>
        <v/>
      </c>
      <c r="W7070" s="23" t="str">
        <f aca="false">IF(ISNUMBER(C7070),MONTH(C7070),"")</f>
        <v/>
      </c>
      <c r="X7070" s="23" t="str">
        <f aca="false">IF(T7070="","",IF(T7070=0,"No discount",IF(T7070&lt;=0.2,"Low (1-20%)",IF(T7070&lt;=0.4,"Medium (21-40%)","High (&gt;40%)"))))</f>
        <v/>
      </c>
      <c r="Y7070" s="23" t="str">
        <f aca="false">IF(AND(ISNUMBER(C7070),ISNUMBER(D7070)),D7070-C7070,"")</f>
        <v/>
      </c>
      <c r="Z7070" s="23" t="str">
        <f aca="false">IF(B7070="","",IF(MATCH(B7070,$B$2:$B$12000,0)=ROW()-1,1,0))</f>
        <v/>
      </c>
    </row>
    <row r="7071" customFormat="false" ht="15" hidden="false" customHeight="false" outlineLevel="0" collapsed="false">
      <c r="V7071" s="23" t="str">
        <f aca="false">IF(ISNUMBER(C7071),YEAR(C7071),"")</f>
        <v/>
      </c>
      <c r="W7071" s="23" t="str">
        <f aca="false">IF(ISNUMBER(C7071),MONTH(C7071),"")</f>
        <v/>
      </c>
      <c r="X7071" s="23" t="str">
        <f aca="false">IF(T7071="","",IF(T7071=0,"No discount",IF(T7071&lt;=0.2,"Low (1-20%)",IF(T7071&lt;=0.4,"Medium (21-40%)","High (&gt;40%)"))))</f>
        <v/>
      </c>
      <c r="Y7071" s="23" t="str">
        <f aca="false">IF(AND(ISNUMBER(C7071),ISNUMBER(D7071)),D7071-C7071,"")</f>
        <v/>
      </c>
      <c r="Z7071" s="23" t="str">
        <f aca="false">IF(B7071="","",IF(MATCH(B7071,$B$2:$B$12000,0)=ROW()-1,1,0))</f>
        <v/>
      </c>
    </row>
    <row r="7072" customFormat="false" ht="15" hidden="false" customHeight="false" outlineLevel="0" collapsed="false">
      <c r="V7072" s="23" t="str">
        <f aca="false">IF(ISNUMBER(C7072),YEAR(C7072),"")</f>
        <v/>
      </c>
      <c r="W7072" s="23" t="str">
        <f aca="false">IF(ISNUMBER(C7072),MONTH(C7072),"")</f>
        <v/>
      </c>
      <c r="X7072" s="23" t="str">
        <f aca="false">IF(T7072="","",IF(T7072=0,"No discount",IF(T7072&lt;=0.2,"Low (1-20%)",IF(T7072&lt;=0.4,"Medium (21-40%)","High (&gt;40%)"))))</f>
        <v/>
      </c>
      <c r="Y7072" s="23" t="str">
        <f aca="false">IF(AND(ISNUMBER(C7072),ISNUMBER(D7072)),D7072-C7072,"")</f>
        <v/>
      </c>
      <c r="Z7072" s="23" t="str">
        <f aca="false">IF(B7072="","",IF(MATCH(B7072,$B$2:$B$12000,0)=ROW()-1,1,0))</f>
        <v/>
      </c>
    </row>
    <row r="7073" customFormat="false" ht="15" hidden="false" customHeight="false" outlineLevel="0" collapsed="false">
      <c r="V7073" s="23" t="str">
        <f aca="false">IF(ISNUMBER(C7073),YEAR(C7073),"")</f>
        <v/>
      </c>
      <c r="W7073" s="23" t="str">
        <f aca="false">IF(ISNUMBER(C7073),MONTH(C7073),"")</f>
        <v/>
      </c>
      <c r="X7073" s="23" t="str">
        <f aca="false">IF(T7073="","",IF(T7073=0,"No discount",IF(T7073&lt;=0.2,"Low (1-20%)",IF(T7073&lt;=0.4,"Medium (21-40%)","High (&gt;40%)"))))</f>
        <v/>
      </c>
      <c r="Y7073" s="23" t="str">
        <f aca="false">IF(AND(ISNUMBER(C7073),ISNUMBER(D7073)),D7073-C7073,"")</f>
        <v/>
      </c>
      <c r="Z7073" s="23" t="str">
        <f aca="false">IF(B7073="","",IF(MATCH(B7073,$B$2:$B$12000,0)=ROW()-1,1,0))</f>
        <v/>
      </c>
    </row>
    <row r="7074" customFormat="false" ht="15" hidden="false" customHeight="false" outlineLevel="0" collapsed="false">
      <c r="V7074" s="23" t="str">
        <f aca="false">IF(ISNUMBER(C7074),YEAR(C7074),"")</f>
        <v/>
      </c>
      <c r="W7074" s="23" t="str">
        <f aca="false">IF(ISNUMBER(C7074),MONTH(C7074),"")</f>
        <v/>
      </c>
      <c r="X7074" s="23" t="str">
        <f aca="false">IF(T7074="","",IF(T7074=0,"No discount",IF(T7074&lt;=0.2,"Low (1-20%)",IF(T7074&lt;=0.4,"Medium (21-40%)","High (&gt;40%)"))))</f>
        <v/>
      </c>
      <c r="Y7074" s="23" t="str">
        <f aca="false">IF(AND(ISNUMBER(C7074),ISNUMBER(D7074)),D7074-C7074,"")</f>
        <v/>
      </c>
      <c r="Z7074" s="23" t="str">
        <f aca="false">IF(B7074="","",IF(MATCH(B7074,$B$2:$B$12000,0)=ROW()-1,1,0))</f>
        <v/>
      </c>
    </row>
    <row r="7075" customFormat="false" ht="15" hidden="false" customHeight="false" outlineLevel="0" collapsed="false">
      <c r="V7075" s="23" t="str">
        <f aca="false">IF(ISNUMBER(C7075),YEAR(C7075),"")</f>
        <v/>
      </c>
      <c r="W7075" s="23" t="str">
        <f aca="false">IF(ISNUMBER(C7075),MONTH(C7075),"")</f>
        <v/>
      </c>
      <c r="X7075" s="23" t="str">
        <f aca="false">IF(T7075="","",IF(T7075=0,"No discount",IF(T7075&lt;=0.2,"Low (1-20%)",IF(T7075&lt;=0.4,"Medium (21-40%)","High (&gt;40%)"))))</f>
        <v/>
      </c>
      <c r="Y7075" s="23" t="str">
        <f aca="false">IF(AND(ISNUMBER(C7075),ISNUMBER(D7075)),D7075-C7075,"")</f>
        <v/>
      </c>
      <c r="Z7075" s="23" t="str">
        <f aca="false">IF(B7075="","",IF(MATCH(B7075,$B$2:$B$12000,0)=ROW()-1,1,0))</f>
        <v/>
      </c>
    </row>
    <row r="7076" customFormat="false" ht="15" hidden="false" customHeight="false" outlineLevel="0" collapsed="false">
      <c r="V7076" s="23" t="str">
        <f aca="false">IF(ISNUMBER(C7076),YEAR(C7076),"")</f>
        <v/>
      </c>
      <c r="W7076" s="23" t="str">
        <f aca="false">IF(ISNUMBER(C7076),MONTH(C7076),"")</f>
        <v/>
      </c>
      <c r="X7076" s="23" t="str">
        <f aca="false">IF(T7076="","",IF(T7076=0,"No discount",IF(T7076&lt;=0.2,"Low (1-20%)",IF(T7076&lt;=0.4,"Medium (21-40%)","High (&gt;40%)"))))</f>
        <v/>
      </c>
      <c r="Y7076" s="23" t="str">
        <f aca="false">IF(AND(ISNUMBER(C7076),ISNUMBER(D7076)),D7076-C7076,"")</f>
        <v/>
      </c>
      <c r="Z7076" s="23" t="str">
        <f aca="false">IF(B7076="","",IF(MATCH(B7076,$B$2:$B$12000,0)=ROW()-1,1,0))</f>
        <v/>
      </c>
    </row>
    <row r="7077" customFormat="false" ht="15" hidden="false" customHeight="false" outlineLevel="0" collapsed="false">
      <c r="V7077" s="23" t="str">
        <f aca="false">IF(ISNUMBER(C7077),YEAR(C7077),"")</f>
        <v/>
      </c>
      <c r="W7077" s="23" t="str">
        <f aca="false">IF(ISNUMBER(C7077),MONTH(C7077),"")</f>
        <v/>
      </c>
      <c r="X7077" s="23" t="str">
        <f aca="false">IF(T7077="","",IF(T7077=0,"No discount",IF(T7077&lt;=0.2,"Low (1-20%)",IF(T7077&lt;=0.4,"Medium (21-40%)","High (&gt;40%)"))))</f>
        <v/>
      </c>
      <c r="Y7077" s="23" t="str">
        <f aca="false">IF(AND(ISNUMBER(C7077),ISNUMBER(D7077)),D7077-C7077,"")</f>
        <v/>
      </c>
      <c r="Z7077" s="23" t="str">
        <f aca="false">IF(B7077="","",IF(MATCH(B7077,$B$2:$B$12000,0)=ROW()-1,1,0))</f>
        <v/>
      </c>
    </row>
    <row r="7078" customFormat="false" ht="15" hidden="false" customHeight="false" outlineLevel="0" collapsed="false">
      <c r="V7078" s="23" t="str">
        <f aca="false">IF(ISNUMBER(C7078),YEAR(C7078),"")</f>
        <v/>
      </c>
      <c r="W7078" s="23" t="str">
        <f aca="false">IF(ISNUMBER(C7078),MONTH(C7078),"")</f>
        <v/>
      </c>
      <c r="X7078" s="23" t="str">
        <f aca="false">IF(T7078="","",IF(T7078=0,"No discount",IF(T7078&lt;=0.2,"Low (1-20%)",IF(T7078&lt;=0.4,"Medium (21-40%)","High (&gt;40%)"))))</f>
        <v/>
      </c>
      <c r="Y7078" s="23" t="str">
        <f aca="false">IF(AND(ISNUMBER(C7078),ISNUMBER(D7078)),D7078-C7078,"")</f>
        <v/>
      </c>
      <c r="Z7078" s="23" t="str">
        <f aca="false">IF(B7078="","",IF(MATCH(B7078,$B$2:$B$12000,0)=ROW()-1,1,0))</f>
        <v/>
      </c>
    </row>
    <row r="7079" customFormat="false" ht="15" hidden="false" customHeight="false" outlineLevel="0" collapsed="false">
      <c r="V7079" s="23" t="str">
        <f aca="false">IF(ISNUMBER(C7079),YEAR(C7079),"")</f>
        <v/>
      </c>
      <c r="W7079" s="23" t="str">
        <f aca="false">IF(ISNUMBER(C7079),MONTH(C7079),"")</f>
        <v/>
      </c>
      <c r="X7079" s="23" t="str">
        <f aca="false">IF(T7079="","",IF(T7079=0,"No discount",IF(T7079&lt;=0.2,"Low (1-20%)",IF(T7079&lt;=0.4,"Medium (21-40%)","High (&gt;40%)"))))</f>
        <v/>
      </c>
      <c r="Y7079" s="23" t="str">
        <f aca="false">IF(AND(ISNUMBER(C7079),ISNUMBER(D7079)),D7079-C7079,"")</f>
        <v/>
      </c>
      <c r="Z7079" s="23" t="str">
        <f aca="false">IF(B7079="","",IF(MATCH(B7079,$B$2:$B$12000,0)=ROW()-1,1,0))</f>
        <v/>
      </c>
    </row>
    <row r="7080" customFormat="false" ht="15" hidden="false" customHeight="false" outlineLevel="0" collapsed="false">
      <c r="V7080" s="23" t="str">
        <f aca="false">IF(ISNUMBER(C7080),YEAR(C7080),"")</f>
        <v/>
      </c>
      <c r="W7080" s="23" t="str">
        <f aca="false">IF(ISNUMBER(C7080),MONTH(C7080),"")</f>
        <v/>
      </c>
      <c r="X7080" s="23" t="str">
        <f aca="false">IF(T7080="","",IF(T7080=0,"No discount",IF(T7080&lt;=0.2,"Low (1-20%)",IF(T7080&lt;=0.4,"Medium (21-40%)","High (&gt;40%)"))))</f>
        <v/>
      </c>
      <c r="Y7080" s="23" t="str">
        <f aca="false">IF(AND(ISNUMBER(C7080),ISNUMBER(D7080)),D7080-C7080,"")</f>
        <v/>
      </c>
      <c r="Z7080" s="23" t="str">
        <f aca="false">IF(B7080="","",IF(MATCH(B7080,$B$2:$B$12000,0)=ROW()-1,1,0))</f>
        <v/>
      </c>
    </row>
    <row r="7081" customFormat="false" ht="15" hidden="false" customHeight="false" outlineLevel="0" collapsed="false">
      <c r="V7081" s="23" t="str">
        <f aca="false">IF(ISNUMBER(C7081),YEAR(C7081),"")</f>
        <v/>
      </c>
      <c r="W7081" s="23" t="str">
        <f aca="false">IF(ISNUMBER(C7081),MONTH(C7081),"")</f>
        <v/>
      </c>
      <c r="X7081" s="23" t="str">
        <f aca="false">IF(T7081="","",IF(T7081=0,"No discount",IF(T7081&lt;=0.2,"Low (1-20%)",IF(T7081&lt;=0.4,"Medium (21-40%)","High (&gt;40%)"))))</f>
        <v/>
      </c>
      <c r="Y7081" s="23" t="str">
        <f aca="false">IF(AND(ISNUMBER(C7081),ISNUMBER(D7081)),D7081-C7081,"")</f>
        <v/>
      </c>
      <c r="Z7081" s="23" t="str">
        <f aca="false">IF(B7081="","",IF(MATCH(B7081,$B$2:$B$12000,0)=ROW()-1,1,0))</f>
        <v/>
      </c>
    </row>
    <row r="7082" customFormat="false" ht="15" hidden="false" customHeight="false" outlineLevel="0" collapsed="false">
      <c r="V7082" s="23" t="str">
        <f aca="false">IF(ISNUMBER(C7082),YEAR(C7082),"")</f>
        <v/>
      </c>
      <c r="W7082" s="23" t="str">
        <f aca="false">IF(ISNUMBER(C7082),MONTH(C7082),"")</f>
        <v/>
      </c>
      <c r="X7082" s="23" t="str">
        <f aca="false">IF(T7082="","",IF(T7082=0,"No discount",IF(T7082&lt;=0.2,"Low (1-20%)",IF(T7082&lt;=0.4,"Medium (21-40%)","High (&gt;40%)"))))</f>
        <v/>
      </c>
      <c r="Y7082" s="23" t="str">
        <f aca="false">IF(AND(ISNUMBER(C7082),ISNUMBER(D7082)),D7082-C7082,"")</f>
        <v/>
      </c>
      <c r="Z7082" s="23" t="str">
        <f aca="false">IF(B7082="","",IF(MATCH(B7082,$B$2:$B$12000,0)=ROW()-1,1,0))</f>
        <v/>
      </c>
    </row>
    <row r="7083" customFormat="false" ht="15" hidden="false" customHeight="false" outlineLevel="0" collapsed="false">
      <c r="V7083" s="23" t="str">
        <f aca="false">IF(ISNUMBER(C7083),YEAR(C7083),"")</f>
        <v/>
      </c>
      <c r="W7083" s="23" t="str">
        <f aca="false">IF(ISNUMBER(C7083),MONTH(C7083),"")</f>
        <v/>
      </c>
      <c r="X7083" s="23" t="str">
        <f aca="false">IF(T7083="","",IF(T7083=0,"No discount",IF(T7083&lt;=0.2,"Low (1-20%)",IF(T7083&lt;=0.4,"Medium (21-40%)","High (&gt;40%)"))))</f>
        <v/>
      </c>
      <c r="Y7083" s="23" t="str">
        <f aca="false">IF(AND(ISNUMBER(C7083),ISNUMBER(D7083)),D7083-C7083,"")</f>
        <v/>
      </c>
      <c r="Z7083" s="23" t="str">
        <f aca="false">IF(B7083="","",IF(MATCH(B7083,$B$2:$B$12000,0)=ROW()-1,1,0))</f>
        <v/>
      </c>
    </row>
    <row r="7084" customFormat="false" ht="15" hidden="false" customHeight="false" outlineLevel="0" collapsed="false">
      <c r="V7084" s="23" t="str">
        <f aca="false">IF(ISNUMBER(C7084),YEAR(C7084),"")</f>
        <v/>
      </c>
      <c r="W7084" s="23" t="str">
        <f aca="false">IF(ISNUMBER(C7084),MONTH(C7084),"")</f>
        <v/>
      </c>
      <c r="X7084" s="23" t="str">
        <f aca="false">IF(T7084="","",IF(T7084=0,"No discount",IF(T7084&lt;=0.2,"Low (1-20%)",IF(T7084&lt;=0.4,"Medium (21-40%)","High (&gt;40%)"))))</f>
        <v/>
      </c>
      <c r="Y7084" s="23" t="str">
        <f aca="false">IF(AND(ISNUMBER(C7084),ISNUMBER(D7084)),D7084-C7084,"")</f>
        <v/>
      </c>
      <c r="Z7084" s="23" t="str">
        <f aca="false">IF(B7084="","",IF(MATCH(B7084,$B$2:$B$12000,0)=ROW()-1,1,0))</f>
        <v/>
      </c>
    </row>
    <row r="7085" customFormat="false" ht="15" hidden="false" customHeight="false" outlineLevel="0" collapsed="false">
      <c r="V7085" s="23" t="str">
        <f aca="false">IF(ISNUMBER(C7085),YEAR(C7085),"")</f>
        <v/>
      </c>
      <c r="W7085" s="23" t="str">
        <f aca="false">IF(ISNUMBER(C7085),MONTH(C7085),"")</f>
        <v/>
      </c>
      <c r="X7085" s="23" t="str">
        <f aca="false">IF(T7085="","",IF(T7085=0,"No discount",IF(T7085&lt;=0.2,"Low (1-20%)",IF(T7085&lt;=0.4,"Medium (21-40%)","High (&gt;40%)"))))</f>
        <v/>
      </c>
      <c r="Y7085" s="23" t="str">
        <f aca="false">IF(AND(ISNUMBER(C7085),ISNUMBER(D7085)),D7085-C7085,"")</f>
        <v/>
      </c>
      <c r="Z7085" s="23" t="str">
        <f aca="false">IF(B7085="","",IF(MATCH(B7085,$B$2:$B$12000,0)=ROW()-1,1,0))</f>
        <v/>
      </c>
    </row>
    <row r="7086" customFormat="false" ht="15" hidden="false" customHeight="false" outlineLevel="0" collapsed="false">
      <c r="V7086" s="23" t="str">
        <f aca="false">IF(ISNUMBER(C7086),YEAR(C7086),"")</f>
        <v/>
      </c>
      <c r="W7086" s="23" t="str">
        <f aca="false">IF(ISNUMBER(C7086),MONTH(C7086),"")</f>
        <v/>
      </c>
      <c r="X7086" s="23" t="str">
        <f aca="false">IF(T7086="","",IF(T7086=0,"No discount",IF(T7086&lt;=0.2,"Low (1-20%)",IF(T7086&lt;=0.4,"Medium (21-40%)","High (&gt;40%)"))))</f>
        <v/>
      </c>
      <c r="Y7086" s="23" t="str">
        <f aca="false">IF(AND(ISNUMBER(C7086),ISNUMBER(D7086)),D7086-C7086,"")</f>
        <v/>
      </c>
      <c r="Z7086" s="23" t="str">
        <f aca="false">IF(B7086="","",IF(MATCH(B7086,$B$2:$B$12000,0)=ROW()-1,1,0))</f>
        <v/>
      </c>
    </row>
    <row r="7087" customFormat="false" ht="15" hidden="false" customHeight="false" outlineLevel="0" collapsed="false">
      <c r="V7087" s="23" t="str">
        <f aca="false">IF(ISNUMBER(C7087),YEAR(C7087),"")</f>
        <v/>
      </c>
      <c r="W7087" s="23" t="str">
        <f aca="false">IF(ISNUMBER(C7087),MONTH(C7087),"")</f>
        <v/>
      </c>
      <c r="X7087" s="23" t="str">
        <f aca="false">IF(T7087="","",IF(T7087=0,"No discount",IF(T7087&lt;=0.2,"Low (1-20%)",IF(T7087&lt;=0.4,"Medium (21-40%)","High (&gt;40%)"))))</f>
        <v/>
      </c>
      <c r="Y7087" s="23" t="str">
        <f aca="false">IF(AND(ISNUMBER(C7087),ISNUMBER(D7087)),D7087-C7087,"")</f>
        <v/>
      </c>
      <c r="Z7087" s="23" t="str">
        <f aca="false">IF(B7087="","",IF(MATCH(B7087,$B$2:$B$12000,0)=ROW()-1,1,0))</f>
        <v/>
      </c>
    </row>
    <row r="7088" customFormat="false" ht="15" hidden="false" customHeight="false" outlineLevel="0" collapsed="false">
      <c r="V7088" s="23" t="str">
        <f aca="false">IF(ISNUMBER(C7088),YEAR(C7088),"")</f>
        <v/>
      </c>
      <c r="W7088" s="23" t="str">
        <f aca="false">IF(ISNUMBER(C7088),MONTH(C7088),"")</f>
        <v/>
      </c>
      <c r="X7088" s="23" t="str">
        <f aca="false">IF(T7088="","",IF(T7088=0,"No discount",IF(T7088&lt;=0.2,"Low (1-20%)",IF(T7088&lt;=0.4,"Medium (21-40%)","High (&gt;40%)"))))</f>
        <v/>
      </c>
      <c r="Y7088" s="23" t="str">
        <f aca="false">IF(AND(ISNUMBER(C7088),ISNUMBER(D7088)),D7088-C7088,"")</f>
        <v/>
      </c>
      <c r="Z7088" s="23" t="str">
        <f aca="false">IF(B7088="","",IF(MATCH(B7088,$B$2:$B$12000,0)=ROW()-1,1,0))</f>
        <v/>
      </c>
    </row>
    <row r="7089" customFormat="false" ht="15" hidden="false" customHeight="false" outlineLevel="0" collapsed="false">
      <c r="V7089" s="23" t="str">
        <f aca="false">IF(ISNUMBER(C7089),YEAR(C7089),"")</f>
        <v/>
      </c>
      <c r="W7089" s="23" t="str">
        <f aca="false">IF(ISNUMBER(C7089),MONTH(C7089),"")</f>
        <v/>
      </c>
      <c r="X7089" s="23" t="str">
        <f aca="false">IF(T7089="","",IF(T7089=0,"No discount",IF(T7089&lt;=0.2,"Low (1-20%)",IF(T7089&lt;=0.4,"Medium (21-40%)","High (&gt;40%)"))))</f>
        <v/>
      </c>
      <c r="Y7089" s="23" t="str">
        <f aca="false">IF(AND(ISNUMBER(C7089),ISNUMBER(D7089)),D7089-C7089,"")</f>
        <v/>
      </c>
      <c r="Z7089" s="23" t="str">
        <f aca="false">IF(B7089="","",IF(MATCH(B7089,$B$2:$B$12000,0)=ROW()-1,1,0))</f>
        <v/>
      </c>
    </row>
    <row r="7090" customFormat="false" ht="15" hidden="false" customHeight="false" outlineLevel="0" collapsed="false">
      <c r="V7090" s="23" t="str">
        <f aca="false">IF(ISNUMBER(C7090),YEAR(C7090),"")</f>
        <v/>
      </c>
      <c r="W7090" s="23" t="str">
        <f aca="false">IF(ISNUMBER(C7090),MONTH(C7090),"")</f>
        <v/>
      </c>
      <c r="X7090" s="23" t="str">
        <f aca="false">IF(T7090="","",IF(T7090=0,"No discount",IF(T7090&lt;=0.2,"Low (1-20%)",IF(T7090&lt;=0.4,"Medium (21-40%)","High (&gt;40%)"))))</f>
        <v/>
      </c>
      <c r="Y7090" s="23" t="str">
        <f aca="false">IF(AND(ISNUMBER(C7090),ISNUMBER(D7090)),D7090-C7090,"")</f>
        <v/>
      </c>
      <c r="Z7090" s="23" t="str">
        <f aca="false">IF(B7090="","",IF(MATCH(B7090,$B$2:$B$12000,0)=ROW()-1,1,0))</f>
        <v/>
      </c>
    </row>
    <row r="7091" customFormat="false" ht="15" hidden="false" customHeight="false" outlineLevel="0" collapsed="false">
      <c r="V7091" s="23" t="str">
        <f aca="false">IF(ISNUMBER(C7091),YEAR(C7091),"")</f>
        <v/>
      </c>
      <c r="W7091" s="23" t="str">
        <f aca="false">IF(ISNUMBER(C7091),MONTH(C7091),"")</f>
        <v/>
      </c>
      <c r="X7091" s="23" t="str">
        <f aca="false">IF(T7091="","",IF(T7091=0,"No discount",IF(T7091&lt;=0.2,"Low (1-20%)",IF(T7091&lt;=0.4,"Medium (21-40%)","High (&gt;40%)"))))</f>
        <v/>
      </c>
      <c r="Y7091" s="23" t="str">
        <f aca="false">IF(AND(ISNUMBER(C7091),ISNUMBER(D7091)),D7091-C7091,"")</f>
        <v/>
      </c>
      <c r="Z7091" s="23" t="str">
        <f aca="false">IF(B7091="","",IF(MATCH(B7091,$B$2:$B$12000,0)=ROW()-1,1,0))</f>
        <v/>
      </c>
    </row>
    <row r="7092" customFormat="false" ht="15" hidden="false" customHeight="false" outlineLevel="0" collapsed="false">
      <c r="V7092" s="23" t="str">
        <f aca="false">IF(ISNUMBER(C7092),YEAR(C7092),"")</f>
        <v/>
      </c>
      <c r="W7092" s="23" t="str">
        <f aca="false">IF(ISNUMBER(C7092),MONTH(C7092),"")</f>
        <v/>
      </c>
      <c r="X7092" s="23" t="str">
        <f aca="false">IF(T7092="","",IF(T7092=0,"No discount",IF(T7092&lt;=0.2,"Low (1-20%)",IF(T7092&lt;=0.4,"Medium (21-40%)","High (&gt;40%)"))))</f>
        <v/>
      </c>
      <c r="Y7092" s="23" t="str">
        <f aca="false">IF(AND(ISNUMBER(C7092),ISNUMBER(D7092)),D7092-C7092,"")</f>
        <v/>
      </c>
      <c r="Z7092" s="23" t="str">
        <f aca="false">IF(B7092="","",IF(MATCH(B7092,$B$2:$B$12000,0)=ROW()-1,1,0))</f>
        <v/>
      </c>
    </row>
    <row r="7093" customFormat="false" ht="15" hidden="false" customHeight="false" outlineLevel="0" collapsed="false">
      <c r="V7093" s="23" t="str">
        <f aca="false">IF(ISNUMBER(C7093),YEAR(C7093),"")</f>
        <v/>
      </c>
      <c r="W7093" s="23" t="str">
        <f aca="false">IF(ISNUMBER(C7093),MONTH(C7093),"")</f>
        <v/>
      </c>
      <c r="X7093" s="23" t="str">
        <f aca="false">IF(T7093="","",IF(T7093=0,"No discount",IF(T7093&lt;=0.2,"Low (1-20%)",IF(T7093&lt;=0.4,"Medium (21-40%)","High (&gt;40%)"))))</f>
        <v/>
      </c>
      <c r="Y7093" s="23" t="str">
        <f aca="false">IF(AND(ISNUMBER(C7093),ISNUMBER(D7093)),D7093-C7093,"")</f>
        <v/>
      </c>
      <c r="Z7093" s="23" t="str">
        <f aca="false">IF(B7093="","",IF(MATCH(B7093,$B$2:$B$12000,0)=ROW()-1,1,0))</f>
        <v/>
      </c>
    </row>
    <row r="7094" customFormat="false" ht="15" hidden="false" customHeight="false" outlineLevel="0" collapsed="false">
      <c r="V7094" s="23" t="str">
        <f aca="false">IF(ISNUMBER(C7094),YEAR(C7094),"")</f>
        <v/>
      </c>
      <c r="W7094" s="23" t="str">
        <f aca="false">IF(ISNUMBER(C7094),MONTH(C7094),"")</f>
        <v/>
      </c>
      <c r="X7094" s="23" t="str">
        <f aca="false">IF(T7094="","",IF(T7094=0,"No discount",IF(T7094&lt;=0.2,"Low (1-20%)",IF(T7094&lt;=0.4,"Medium (21-40%)","High (&gt;40%)"))))</f>
        <v/>
      </c>
      <c r="Y7094" s="23" t="str">
        <f aca="false">IF(AND(ISNUMBER(C7094),ISNUMBER(D7094)),D7094-C7094,"")</f>
        <v/>
      </c>
      <c r="Z7094" s="23" t="str">
        <f aca="false">IF(B7094="","",IF(MATCH(B7094,$B$2:$B$12000,0)=ROW()-1,1,0))</f>
        <v/>
      </c>
    </row>
    <row r="7095" customFormat="false" ht="15" hidden="false" customHeight="false" outlineLevel="0" collapsed="false">
      <c r="V7095" s="23" t="str">
        <f aca="false">IF(ISNUMBER(C7095),YEAR(C7095),"")</f>
        <v/>
      </c>
      <c r="W7095" s="23" t="str">
        <f aca="false">IF(ISNUMBER(C7095),MONTH(C7095),"")</f>
        <v/>
      </c>
      <c r="X7095" s="23" t="str">
        <f aca="false">IF(T7095="","",IF(T7095=0,"No discount",IF(T7095&lt;=0.2,"Low (1-20%)",IF(T7095&lt;=0.4,"Medium (21-40%)","High (&gt;40%)"))))</f>
        <v/>
      </c>
      <c r="Y7095" s="23" t="str">
        <f aca="false">IF(AND(ISNUMBER(C7095),ISNUMBER(D7095)),D7095-C7095,"")</f>
        <v/>
      </c>
      <c r="Z7095" s="23" t="str">
        <f aca="false">IF(B7095="","",IF(MATCH(B7095,$B$2:$B$12000,0)=ROW()-1,1,0))</f>
        <v/>
      </c>
    </row>
    <row r="7096" customFormat="false" ht="15" hidden="false" customHeight="false" outlineLevel="0" collapsed="false">
      <c r="V7096" s="23" t="str">
        <f aca="false">IF(ISNUMBER(C7096),YEAR(C7096),"")</f>
        <v/>
      </c>
      <c r="W7096" s="23" t="str">
        <f aca="false">IF(ISNUMBER(C7096),MONTH(C7096),"")</f>
        <v/>
      </c>
      <c r="X7096" s="23" t="str">
        <f aca="false">IF(T7096="","",IF(T7096=0,"No discount",IF(T7096&lt;=0.2,"Low (1-20%)",IF(T7096&lt;=0.4,"Medium (21-40%)","High (&gt;40%)"))))</f>
        <v/>
      </c>
      <c r="Y7096" s="23" t="str">
        <f aca="false">IF(AND(ISNUMBER(C7096),ISNUMBER(D7096)),D7096-C7096,"")</f>
        <v/>
      </c>
      <c r="Z7096" s="23" t="str">
        <f aca="false">IF(B7096="","",IF(MATCH(B7096,$B$2:$B$12000,0)=ROW()-1,1,0))</f>
        <v/>
      </c>
    </row>
    <row r="7097" customFormat="false" ht="15" hidden="false" customHeight="false" outlineLevel="0" collapsed="false">
      <c r="V7097" s="23" t="str">
        <f aca="false">IF(ISNUMBER(C7097),YEAR(C7097),"")</f>
        <v/>
      </c>
      <c r="W7097" s="23" t="str">
        <f aca="false">IF(ISNUMBER(C7097),MONTH(C7097),"")</f>
        <v/>
      </c>
      <c r="X7097" s="23" t="str">
        <f aca="false">IF(T7097="","",IF(T7097=0,"No discount",IF(T7097&lt;=0.2,"Low (1-20%)",IF(T7097&lt;=0.4,"Medium (21-40%)","High (&gt;40%)"))))</f>
        <v/>
      </c>
      <c r="Y7097" s="23" t="str">
        <f aca="false">IF(AND(ISNUMBER(C7097),ISNUMBER(D7097)),D7097-C7097,"")</f>
        <v/>
      </c>
      <c r="Z7097" s="23" t="str">
        <f aca="false">IF(B7097="","",IF(MATCH(B7097,$B$2:$B$12000,0)=ROW()-1,1,0))</f>
        <v/>
      </c>
    </row>
    <row r="7098" customFormat="false" ht="15" hidden="false" customHeight="false" outlineLevel="0" collapsed="false">
      <c r="V7098" s="23" t="str">
        <f aca="false">IF(ISNUMBER(C7098),YEAR(C7098),"")</f>
        <v/>
      </c>
      <c r="W7098" s="23" t="str">
        <f aca="false">IF(ISNUMBER(C7098),MONTH(C7098),"")</f>
        <v/>
      </c>
      <c r="X7098" s="23" t="str">
        <f aca="false">IF(T7098="","",IF(T7098=0,"No discount",IF(T7098&lt;=0.2,"Low (1-20%)",IF(T7098&lt;=0.4,"Medium (21-40%)","High (&gt;40%)"))))</f>
        <v/>
      </c>
      <c r="Y7098" s="23" t="str">
        <f aca="false">IF(AND(ISNUMBER(C7098),ISNUMBER(D7098)),D7098-C7098,"")</f>
        <v/>
      </c>
      <c r="Z7098" s="23" t="str">
        <f aca="false">IF(B7098="","",IF(MATCH(B7098,$B$2:$B$12000,0)=ROW()-1,1,0))</f>
        <v/>
      </c>
    </row>
    <row r="7099" customFormat="false" ht="15" hidden="false" customHeight="false" outlineLevel="0" collapsed="false">
      <c r="V7099" s="23" t="str">
        <f aca="false">IF(ISNUMBER(C7099),YEAR(C7099),"")</f>
        <v/>
      </c>
      <c r="W7099" s="23" t="str">
        <f aca="false">IF(ISNUMBER(C7099),MONTH(C7099),"")</f>
        <v/>
      </c>
      <c r="X7099" s="23" t="str">
        <f aca="false">IF(T7099="","",IF(T7099=0,"No discount",IF(T7099&lt;=0.2,"Low (1-20%)",IF(T7099&lt;=0.4,"Medium (21-40%)","High (&gt;40%)"))))</f>
        <v/>
      </c>
      <c r="Y7099" s="23" t="str">
        <f aca="false">IF(AND(ISNUMBER(C7099),ISNUMBER(D7099)),D7099-C7099,"")</f>
        <v/>
      </c>
      <c r="Z7099" s="23" t="str">
        <f aca="false">IF(B7099="","",IF(MATCH(B7099,$B$2:$B$12000,0)=ROW()-1,1,0))</f>
        <v/>
      </c>
    </row>
    <row r="7100" customFormat="false" ht="15" hidden="false" customHeight="false" outlineLevel="0" collapsed="false">
      <c r="V7100" s="23" t="str">
        <f aca="false">IF(ISNUMBER(C7100),YEAR(C7100),"")</f>
        <v/>
      </c>
      <c r="W7100" s="23" t="str">
        <f aca="false">IF(ISNUMBER(C7100),MONTH(C7100),"")</f>
        <v/>
      </c>
      <c r="X7100" s="23" t="str">
        <f aca="false">IF(T7100="","",IF(T7100=0,"No discount",IF(T7100&lt;=0.2,"Low (1-20%)",IF(T7100&lt;=0.4,"Medium (21-40%)","High (&gt;40%)"))))</f>
        <v/>
      </c>
      <c r="Y7100" s="23" t="str">
        <f aca="false">IF(AND(ISNUMBER(C7100),ISNUMBER(D7100)),D7100-C7100,"")</f>
        <v/>
      </c>
      <c r="Z7100" s="23" t="str">
        <f aca="false">IF(B7100="","",IF(MATCH(B7100,$B$2:$B$12000,0)=ROW()-1,1,0))</f>
        <v/>
      </c>
    </row>
    <row r="7101" customFormat="false" ht="15" hidden="false" customHeight="false" outlineLevel="0" collapsed="false">
      <c r="V7101" s="23" t="str">
        <f aca="false">IF(ISNUMBER(C7101),YEAR(C7101),"")</f>
        <v/>
      </c>
      <c r="W7101" s="23" t="str">
        <f aca="false">IF(ISNUMBER(C7101),MONTH(C7101),"")</f>
        <v/>
      </c>
      <c r="X7101" s="23" t="str">
        <f aca="false">IF(T7101="","",IF(T7101=0,"No discount",IF(T7101&lt;=0.2,"Low (1-20%)",IF(T7101&lt;=0.4,"Medium (21-40%)","High (&gt;40%)"))))</f>
        <v/>
      </c>
      <c r="Y7101" s="23" t="str">
        <f aca="false">IF(AND(ISNUMBER(C7101),ISNUMBER(D7101)),D7101-C7101,"")</f>
        <v/>
      </c>
      <c r="Z7101" s="23" t="str">
        <f aca="false">IF(B7101="","",IF(MATCH(B7101,$B$2:$B$12000,0)=ROW()-1,1,0))</f>
        <v/>
      </c>
    </row>
    <row r="7102" customFormat="false" ht="15" hidden="false" customHeight="false" outlineLevel="0" collapsed="false">
      <c r="V7102" s="23" t="str">
        <f aca="false">IF(ISNUMBER(C7102),YEAR(C7102),"")</f>
        <v/>
      </c>
      <c r="W7102" s="23" t="str">
        <f aca="false">IF(ISNUMBER(C7102),MONTH(C7102),"")</f>
        <v/>
      </c>
      <c r="X7102" s="23" t="str">
        <f aca="false">IF(T7102="","",IF(T7102=0,"No discount",IF(T7102&lt;=0.2,"Low (1-20%)",IF(T7102&lt;=0.4,"Medium (21-40%)","High (&gt;40%)"))))</f>
        <v/>
      </c>
      <c r="Y7102" s="23" t="str">
        <f aca="false">IF(AND(ISNUMBER(C7102),ISNUMBER(D7102)),D7102-C7102,"")</f>
        <v/>
      </c>
      <c r="Z7102" s="23" t="str">
        <f aca="false">IF(B7102="","",IF(MATCH(B7102,$B$2:$B$12000,0)=ROW()-1,1,0))</f>
        <v/>
      </c>
    </row>
    <row r="7103" customFormat="false" ht="15" hidden="false" customHeight="false" outlineLevel="0" collapsed="false">
      <c r="V7103" s="23" t="str">
        <f aca="false">IF(ISNUMBER(C7103),YEAR(C7103),"")</f>
        <v/>
      </c>
      <c r="W7103" s="23" t="str">
        <f aca="false">IF(ISNUMBER(C7103),MONTH(C7103),"")</f>
        <v/>
      </c>
      <c r="X7103" s="23" t="str">
        <f aca="false">IF(T7103="","",IF(T7103=0,"No discount",IF(T7103&lt;=0.2,"Low (1-20%)",IF(T7103&lt;=0.4,"Medium (21-40%)","High (&gt;40%)"))))</f>
        <v/>
      </c>
      <c r="Y7103" s="23" t="str">
        <f aca="false">IF(AND(ISNUMBER(C7103),ISNUMBER(D7103)),D7103-C7103,"")</f>
        <v/>
      </c>
      <c r="Z7103" s="23" t="str">
        <f aca="false">IF(B7103="","",IF(MATCH(B7103,$B$2:$B$12000,0)=ROW()-1,1,0))</f>
        <v/>
      </c>
    </row>
    <row r="7104" customFormat="false" ht="15" hidden="false" customHeight="false" outlineLevel="0" collapsed="false">
      <c r="V7104" s="23" t="str">
        <f aca="false">IF(ISNUMBER(C7104),YEAR(C7104),"")</f>
        <v/>
      </c>
      <c r="W7104" s="23" t="str">
        <f aca="false">IF(ISNUMBER(C7104),MONTH(C7104),"")</f>
        <v/>
      </c>
      <c r="X7104" s="23" t="str">
        <f aca="false">IF(T7104="","",IF(T7104=0,"No discount",IF(T7104&lt;=0.2,"Low (1-20%)",IF(T7104&lt;=0.4,"Medium (21-40%)","High (&gt;40%)"))))</f>
        <v/>
      </c>
      <c r="Y7104" s="23" t="str">
        <f aca="false">IF(AND(ISNUMBER(C7104),ISNUMBER(D7104)),D7104-C7104,"")</f>
        <v/>
      </c>
      <c r="Z7104" s="23" t="str">
        <f aca="false">IF(B7104="","",IF(MATCH(B7104,$B$2:$B$12000,0)=ROW()-1,1,0))</f>
        <v/>
      </c>
    </row>
    <row r="7105" customFormat="false" ht="15" hidden="false" customHeight="false" outlineLevel="0" collapsed="false">
      <c r="V7105" s="23" t="str">
        <f aca="false">IF(ISNUMBER(C7105),YEAR(C7105),"")</f>
        <v/>
      </c>
      <c r="W7105" s="23" t="str">
        <f aca="false">IF(ISNUMBER(C7105),MONTH(C7105),"")</f>
        <v/>
      </c>
      <c r="X7105" s="23" t="str">
        <f aca="false">IF(T7105="","",IF(T7105=0,"No discount",IF(T7105&lt;=0.2,"Low (1-20%)",IF(T7105&lt;=0.4,"Medium (21-40%)","High (&gt;40%)"))))</f>
        <v/>
      </c>
      <c r="Y7105" s="23" t="str">
        <f aca="false">IF(AND(ISNUMBER(C7105),ISNUMBER(D7105)),D7105-C7105,"")</f>
        <v/>
      </c>
      <c r="Z7105" s="23" t="str">
        <f aca="false">IF(B7105="","",IF(MATCH(B7105,$B$2:$B$12000,0)=ROW()-1,1,0))</f>
        <v/>
      </c>
    </row>
    <row r="7106" customFormat="false" ht="15" hidden="false" customHeight="false" outlineLevel="0" collapsed="false">
      <c r="V7106" s="23" t="str">
        <f aca="false">IF(ISNUMBER(C7106),YEAR(C7106),"")</f>
        <v/>
      </c>
      <c r="W7106" s="23" t="str">
        <f aca="false">IF(ISNUMBER(C7106),MONTH(C7106),"")</f>
        <v/>
      </c>
      <c r="X7106" s="23" t="str">
        <f aca="false">IF(T7106="","",IF(T7106=0,"No discount",IF(T7106&lt;=0.2,"Low (1-20%)",IF(T7106&lt;=0.4,"Medium (21-40%)","High (&gt;40%)"))))</f>
        <v/>
      </c>
      <c r="Y7106" s="23" t="str">
        <f aca="false">IF(AND(ISNUMBER(C7106),ISNUMBER(D7106)),D7106-C7106,"")</f>
        <v/>
      </c>
      <c r="Z7106" s="23" t="str">
        <f aca="false">IF(B7106="","",IF(MATCH(B7106,$B$2:$B$12000,0)=ROW()-1,1,0))</f>
        <v/>
      </c>
    </row>
    <row r="7107" customFormat="false" ht="15" hidden="false" customHeight="false" outlineLevel="0" collapsed="false">
      <c r="V7107" s="23" t="str">
        <f aca="false">IF(ISNUMBER(C7107),YEAR(C7107),"")</f>
        <v/>
      </c>
      <c r="W7107" s="23" t="str">
        <f aca="false">IF(ISNUMBER(C7107),MONTH(C7107),"")</f>
        <v/>
      </c>
      <c r="X7107" s="23" t="str">
        <f aca="false">IF(T7107="","",IF(T7107=0,"No discount",IF(T7107&lt;=0.2,"Low (1-20%)",IF(T7107&lt;=0.4,"Medium (21-40%)","High (&gt;40%)"))))</f>
        <v/>
      </c>
      <c r="Y7107" s="23" t="str">
        <f aca="false">IF(AND(ISNUMBER(C7107),ISNUMBER(D7107)),D7107-C7107,"")</f>
        <v/>
      </c>
      <c r="Z7107" s="23" t="str">
        <f aca="false">IF(B7107="","",IF(MATCH(B7107,$B$2:$B$12000,0)=ROW()-1,1,0))</f>
        <v/>
      </c>
    </row>
    <row r="7108" customFormat="false" ht="15" hidden="false" customHeight="false" outlineLevel="0" collapsed="false">
      <c r="V7108" s="23" t="str">
        <f aca="false">IF(ISNUMBER(C7108),YEAR(C7108),"")</f>
        <v/>
      </c>
      <c r="W7108" s="23" t="str">
        <f aca="false">IF(ISNUMBER(C7108),MONTH(C7108),"")</f>
        <v/>
      </c>
      <c r="X7108" s="23" t="str">
        <f aca="false">IF(T7108="","",IF(T7108=0,"No discount",IF(T7108&lt;=0.2,"Low (1-20%)",IF(T7108&lt;=0.4,"Medium (21-40%)","High (&gt;40%)"))))</f>
        <v/>
      </c>
      <c r="Y7108" s="23" t="str">
        <f aca="false">IF(AND(ISNUMBER(C7108),ISNUMBER(D7108)),D7108-C7108,"")</f>
        <v/>
      </c>
      <c r="Z7108" s="23" t="str">
        <f aca="false">IF(B7108="","",IF(MATCH(B7108,$B$2:$B$12000,0)=ROW()-1,1,0))</f>
        <v/>
      </c>
    </row>
    <row r="7109" customFormat="false" ht="15" hidden="false" customHeight="false" outlineLevel="0" collapsed="false">
      <c r="V7109" s="23" t="str">
        <f aca="false">IF(ISNUMBER(C7109),YEAR(C7109),"")</f>
        <v/>
      </c>
      <c r="W7109" s="23" t="str">
        <f aca="false">IF(ISNUMBER(C7109),MONTH(C7109),"")</f>
        <v/>
      </c>
      <c r="X7109" s="23" t="str">
        <f aca="false">IF(T7109="","",IF(T7109=0,"No discount",IF(T7109&lt;=0.2,"Low (1-20%)",IF(T7109&lt;=0.4,"Medium (21-40%)","High (&gt;40%)"))))</f>
        <v/>
      </c>
      <c r="Y7109" s="23" t="str">
        <f aca="false">IF(AND(ISNUMBER(C7109),ISNUMBER(D7109)),D7109-C7109,"")</f>
        <v/>
      </c>
      <c r="Z7109" s="23" t="str">
        <f aca="false">IF(B7109="","",IF(MATCH(B7109,$B$2:$B$12000,0)=ROW()-1,1,0))</f>
        <v/>
      </c>
    </row>
    <row r="7110" customFormat="false" ht="15" hidden="false" customHeight="false" outlineLevel="0" collapsed="false">
      <c r="V7110" s="23" t="str">
        <f aca="false">IF(ISNUMBER(C7110),YEAR(C7110),"")</f>
        <v/>
      </c>
      <c r="W7110" s="23" t="str">
        <f aca="false">IF(ISNUMBER(C7110),MONTH(C7110),"")</f>
        <v/>
      </c>
      <c r="X7110" s="23" t="str">
        <f aca="false">IF(T7110="","",IF(T7110=0,"No discount",IF(T7110&lt;=0.2,"Low (1-20%)",IF(T7110&lt;=0.4,"Medium (21-40%)","High (&gt;40%)"))))</f>
        <v/>
      </c>
      <c r="Y7110" s="23" t="str">
        <f aca="false">IF(AND(ISNUMBER(C7110),ISNUMBER(D7110)),D7110-C7110,"")</f>
        <v/>
      </c>
      <c r="Z7110" s="23" t="str">
        <f aca="false">IF(B7110="","",IF(MATCH(B7110,$B$2:$B$12000,0)=ROW()-1,1,0))</f>
        <v/>
      </c>
    </row>
    <row r="7111" customFormat="false" ht="15" hidden="false" customHeight="false" outlineLevel="0" collapsed="false">
      <c r="V7111" s="23" t="str">
        <f aca="false">IF(ISNUMBER(C7111),YEAR(C7111),"")</f>
        <v/>
      </c>
      <c r="W7111" s="23" t="str">
        <f aca="false">IF(ISNUMBER(C7111),MONTH(C7111),"")</f>
        <v/>
      </c>
      <c r="X7111" s="23" t="str">
        <f aca="false">IF(T7111="","",IF(T7111=0,"No discount",IF(T7111&lt;=0.2,"Low (1-20%)",IF(T7111&lt;=0.4,"Medium (21-40%)","High (&gt;40%)"))))</f>
        <v/>
      </c>
      <c r="Y7111" s="23" t="str">
        <f aca="false">IF(AND(ISNUMBER(C7111),ISNUMBER(D7111)),D7111-C7111,"")</f>
        <v/>
      </c>
      <c r="Z7111" s="23" t="str">
        <f aca="false">IF(B7111="","",IF(MATCH(B7111,$B$2:$B$12000,0)=ROW()-1,1,0))</f>
        <v/>
      </c>
    </row>
    <row r="7112" customFormat="false" ht="15" hidden="false" customHeight="false" outlineLevel="0" collapsed="false">
      <c r="V7112" s="23" t="str">
        <f aca="false">IF(ISNUMBER(C7112),YEAR(C7112),"")</f>
        <v/>
      </c>
      <c r="W7112" s="23" t="str">
        <f aca="false">IF(ISNUMBER(C7112),MONTH(C7112),"")</f>
        <v/>
      </c>
      <c r="X7112" s="23" t="str">
        <f aca="false">IF(T7112="","",IF(T7112=0,"No discount",IF(T7112&lt;=0.2,"Low (1-20%)",IF(T7112&lt;=0.4,"Medium (21-40%)","High (&gt;40%)"))))</f>
        <v/>
      </c>
      <c r="Y7112" s="23" t="str">
        <f aca="false">IF(AND(ISNUMBER(C7112),ISNUMBER(D7112)),D7112-C7112,"")</f>
        <v/>
      </c>
      <c r="Z7112" s="23" t="str">
        <f aca="false">IF(B7112="","",IF(MATCH(B7112,$B$2:$B$12000,0)=ROW()-1,1,0))</f>
        <v/>
      </c>
    </row>
    <row r="7113" customFormat="false" ht="15" hidden="false" customHeight="false" outlineLevel="0" collapsed="false">
      <c r="V7113" s="23" t="str">
        <f aca="false">IF(ISNUMBER(C7113),YEAR(C7113),"")</f>
        <v/>
      </c>
      <c r="W7113" s="23" t="str">
        <f aca="false">IF(ISNUMBER(C7113),MONTH(C7113),"")</f>
        <v/>
      </c>
      <c r="X7113" s="23" t="str">
        <f aca="false">IF(T7113="","",IF(T7113=0,"No discount",IF(T7113&lt;=0.2,"Low (1-20%)",IF(T7113&lt;=0.4,"Medium (21-40%)","High (&gt;40%)"))))</f>
        <v/>
      </c>
      <c r="Y7113" s="23" t="str">
        <f aca="false">IF(AND(ISNUMBER(C7113),ISNUMBER(D7113)),D7113-C7113,"")</f>
        <v/>
      </c>
      <c r="Z7113" s="23" t="str">
        <f aca="false">IF(B7113="","",IF(MATCH(B7113,$B$2:$B$12000,0)=ROW()-1,1,0))</f>
        <v/>
      </c>
    </row>
    <row r="7114" customFormat="false" ht="15" hidden="false" customHeight="false" outlineLevel="0" collapsed="false">
      <c r="V7114" s="23" t="str">
        <f aca="false">IF(ISNUMBER(C7114),YEAR(C7114),"")</f>
        <v/>
      </c>
      <c r="W7114" s="23" t="str">
        <f aca="false">IF(ISNUMBER(C7114),MONTH(C7114),"")</f>
        <v/>
      </c>
      <c r="X7114" s="23" t="str">
        <f aca="false">IF(T7114="","",IF(T7114=0,"No discount",IF(T7114&lt;=0.2,"Low (1-20%)",IF(T7114&lt;=0.4,"Medium (21-40%)","High (&gt;40%)"))))</f>
        <v/>
      </c>
      <c r="Y7114" s="23" t="str">
        <f aca="false">IF(AND(ISNUMBER(C7114),ISNUMBER(D7114)),D7114-C7114,"")</f>
        <v/>
      </c>
      <c r="Z7114" s="23" t="str">
        <f aca="false">IF(B7114="","",IF(MATCH(B7114,$B$2:$B$12000,0)=ROW()-1,1,0))</f>
        <v/>
      </c>
    </row>
    <row r="7115" customFormat="false" ht="15" hidden="false" customHeight="false" outlineLevel="0" collapsed="false">
      <c r="V7115" s="23" t="str">
        <f aca="false">IF(ISNUMBER(C7115),YEAR(C7115),"")</f>
        <v/>
      </c>
      <c r="W7115" s="23" t="str">
        <f aca="false">IF(ISNUMBER(C7115),MONTH(C7115),"")</f>
        <v/>
      </c>
      <c r="X7115" s="23" t="str">
        <f aca="false">IF(T7115="","",IF(T7115=0,"No discount",IF(T7115&lt;=0.2,"Low (1-20%)",IF(T7115&lt;=0.4,"Medium (21-40%)","High (&gt;40%)"))))</f>
        <v/>
      </c>
      <c r="Y7115" s="23" t="str">
        <f aca="false">IF(AND(ISNUMBER(C7115),ISNUMBER(D7115)),D7115-C7115,"")</f>
        <v/>
      </c>
      <c r="Z7115" s="23" t="str">
        <f aca="false">IF(B7115="","",IF(MATCH(B7115,$B$2:$B$12000,0)=ROW()-1,1,0))</f>
        <v/>
      </c>
    </row>
    <row r="7116" customFormat="false" ht="15" hidden="false" customHeight="false" outlineLevel="0" collapsed="false">
      <c r="V7116" s="23" t="str">
        <f aca="false">IF(ISNUMBER(C7116),YEAR(C7116),"")</f>
        <v/>
      </c>
      <c r="W7116" s="23" t="str">
        <f aca="false">IF(ISNUMBER(C7116),MONTH(C7116),"")</f>
        <v/>
      </c>
      <c r="X7116" s="23" t="str">
        <f aca="false">IF(T7116="","",IF(T7116=0,"No discount",IF(T7116&lt;=0.2,"Low (1-20%)",IF(T7116&lt;=0.4,"Medium (21-40%)","High (&gt;40%)"))))</f>
        <v/>
      </c>
      <c r="Y7116" s="23" t="str">
        <f aca="false">IF(AND(ISNUMBER(C7116),ISNUMBER(D7116)),D7116-C7116,"")</f>
        <v/>
      </c>
      <c r="Z7116" s="23" t="str">
        <f aca="false">IF(B7116="","",IF(MATCH(B7116,$B$2:$B$12000,0)=ROW()-1,1,0))</f>
        <v/>
      </c>
    </row>
    <row r="7117" customFormat="false" ht="15" hidden="false" customHeight="false" outlineLevel="0" collapsed="false">
      <c r="V7117" s="23" t="str">
        <f aca="false">IF(ISNUMBER(C7117),YEAR(C7117),"")</f>
        <v/>
      </c>
      <c r="W7117" s="23" t="str">
        <f aca="false">IF(ISNUMBER(C7117),MONTH(C7117),"")</f>
        <v/>
      </c>
      <c r="X7117" s="23" t="str">
        <f aca="false">IF(T7117="","",IF(T7117=0,"No discount",IF(T7117&lt;=0.2,"Low (1-20%)",IF(T7117&lt;=0.4,"Medium (21-40%)","High (&gt;40%)"))))</f>
        <v/>
      </c>
      <c r="Y7117" s="23" t="str">
        <f aca="false">IF(AND(ISNUMBER(C7117),ISNUMBER(D7117)),D7117-C7117,"")</f>
        <v/>
      </c>
      <c r="Z7117" s="23" t="str">
        <f aca="false">IF(B7117="","",IF(MATCH(B7117,$B$2:$B$12000,0)=ROW()-1,1,0))</f>
        <v/>
      </c>
    </row>
    <row r="7118" customFormat="false" ht="15" hidden="false" customHeight="false" outlineLevel="0" collapsed="false">
      <c r="V7118" s="23" t="str">
        <f aca="false">IF(ISNUMBER(C7118),YEAR(C7118),"")</f>
        <v/>
      </c>
      <c r="W7118" s="23" t="str">
        <f aca="false">IF(ISNUMBER(C7118),MONTH(C7118),"")</f>
        <v/>
      </c>
      <c r="X7118" s="23" t="str">
        <f aca="false">IF(T7118="","",IF(T7118=0,"No discount",IF(T7118&lt;=0.2,"Low (1-20%)",IF(T7118&lt;=0.4,"Medium (21-40%)","High (&gt;40%)"))))</f>
        <v/>
      </c>
      <c r="Y7118" s="23" t="str">
        <f aca="false">IF(AND(ISNUMBER(C7118),ISNUMBER(D7118)),D7118-C7118,"")</f>
        <v/>
      </c>
      <c r="Z7118" s="23" t="str">
        <f aca="false">IF(B7118="","",IF(MATCH(B7118,$B$2:$B$12000,0)=ROW()-1,1,0))</f>
        <v/>
      </c>
    </row>
    <row r="7119" customFormat="false" ht="15" hidden="false" customHeight="false" outlineLevel="0" collapsed="false">
      <c r="V7119" s="23" t="str">
        <f aca="false">IF(ISNUMBER(C7119),YEAR(C7119),"")</f>
        <v/>
      </c>
      <c r="W7119" s="23" t="str">
        <f aca="false">IF(ISNUMBER(C7119),MONTH(C7119),"")</f>
        <v/>
      </c>
      <c r="X7119" s="23" t="str">
        <f aca="false">IF(T7119="","",IF(T7119=0,"No discount",IF(T7119&lt;=0.2,"Low (1-20%)",IF(T7119&lt;=0.4,"Medium (21-40%)","High (&gt;40%)"))))</f>
        <v/>
      </c>
      <c r="Y7119" s="23" t="str">
        <f aca="false">IF(AND(ISNUMBER(C7119),ISNUMBER(D7119)),D7119-C7119,"")</f>
        <v/>
      </c>
      <c r="Z7119" s="23" t="str">
        <f aca="false">IF(B7119="","",IF(MATCH(B7119,$B$2:$B$12000,0)=ROW()-1,1,0))</f>
        <v/>
      </c>
    </row>
    <row r="7120" customFormat="false" ht="15" hidden="false" customHeight="false" outlineLevel="0" collapsed="false">
      <c r="V7120" s="23" t="str">
        <f aca="false">IF(ISNUMBER(C7120),YEAR(C7120),"")</f>
        <v/>
      </c>
      <c r="W7120" s="23" t="str">
        <f aca="false">IF(ISNUMBER(C7120),MONTH(C7120),"")</f>
        <v/>
      </c>
      <c r="X7120" s="23" t="str">
        <f aca="false">IF(T7120="","",IF(T7120=0,"No discount",IF(T7120&lt;=0.2,"Low (1-20%)",IF(T7120&lt;=0.4,"Medium (21-40%)","High (&gt;40%)"))))</f>
        <v/>
      </c>
      <c r="Y7120" s="23" t="str">
        <f aca="false">IF(AND(ISNUMBER(C7120),ISNUMBER(D7120)),D7120-C7120,"")</f>
        <v/>
      </c>
      <c r="Z7120" s="23" t="str">
        <f aca="false">IF(B7120="","",IF(MATCH(B7120,$B$2:$B$12000,0)=ROW()-1,1,0))</f>
        <v/>
      </c>
    </row>
    <row r="7121" customFormat="false" ht="15" hidden="false" customHeight="false" outlineLevel="0" collapsed="false">
      <c r="V7121" s="23" t="str">
        <f aca="false">IF(ISNUMBER(C7121),YEAR(C7121),"")</f>
        <v/>
      </c>
      <c r="W7121" s="23" t="str">
        <f aca="false">IF(ISNUMBER(C7121),MONTH(C7121),"")</f>
        <v/>
      </c>
      <c r="X7121" s="23" t="str">
        <f aca="false">IF(T7121="","",IF(T7121=0,"No discount",IF(T7121&lt;=0.2,"Low (1-20%)",IF(T7121&lt;=0.4,"Medium (21-40%)","High (&gt;40%)"))))</f>
        <v/>
      </c>
      <c r="Y7121" s="23" t="str">
        <f aca="false">IF(AND(ISNUMBER(C7121),ISNUMBER(D7121)),D7121-C7121,"")</f>
        <v/>
      </c>
      <c r="Z7121" s="23" t="str">
        <f aca="false">IF(B7121="","",IF(MATCH(B7121,$B$2:$B$12000,0)=ROW()-1,1,0))</f>
        <v/>
      </c>
    </row>
    <row r="7122" customFormat="false" ht="15" hidden="false" customHeight="false" outlineLevel="0" collapsed="false">
      <c r="V7122" s="23" t="str">
        <f aca="false">IF(ISNUMBER(C7122),YEAR(C7122),"")</f>
        <v/>
      </c>
      <c r="W7122" s="23" t="str">
        <f aca="false">IF(ISNUMBER(C7122),MONTH(C7122),"")</f>
        <v/>
      </c>
      <c r="X7122" s="23" t="str">
        <f aca="false">IF(T7122="","",IF(T7122=0,"No discount",IF(T7122&lt;=0.2,"Low (1-20%)",IF(T7122&lt;=0.4,"Medium (21-40%)","High (&gt;40%)"))))</f>
        <v/>
      </c>
      <c r="Y7122" s="23" t="str">
        <f aca="false">IF(AND(ISNUMBER(C7122),ISNUMBER(D7122)),D7122-C7122,"")</f>
        <v/>
      </c>
      <c r="Z7122" s="23" t="str">
        <f aca="false">IF(B7122="","",IF(MATCH(B7122,$B$2:$B$12000,0)=ROW()-1,1,0))</f>
        <v/>
      </c>
    </row>
    <row r="7123" customFormat="false" ht="15" hidden="false" customHeight="false" outlineLevel="0" collapsed="false">
      <c r="V7123" s="23" t="str">
        <f aca="false">IF(ISNUMBER(C7123),YEAR(C7123),"")</f>
        <v/>
      </c>
      <c r="W7123" s="23" t="str">
        <f aca="false">IF(ISNUMBER(C7123),MONTH(C7123),"")</f>
        <v/>
      </c>
      <c r="X7123" s="23" t="str">
        <f aca="false">IF(T7123="","",IF(T7123=0,"No discount",IF(T7123&lt;=0.2,"Low (1-20%)",IF(T7123&lt;=0.4,"Medium (21-40%)","High (&gt;40%)"))))</f>
        <v/>
      </c>
      <c r="Y7123" s="23" t="str">
        <f aca="false">IF(AND(ISNUMBER(C7123),ISNUMBER(D7123)),D7123-C7123,"")</f>
        <v/>
      </c>
      <c r="Z7123" s="23" t="str">
        <f aca="false">IF(B7123="","",IF(MATCH(B7123,$B$2:$B$12000,0)=ROW()-1,1,0))</f>
        <v/>
      </c>
    </row>
    <row r="7124" customFormat="false" ht="15" hidden="false" customHeight="false" outlineLevel="0" collapsed="false">
      <c r="V7124" s="23" t="str">
        <f aca="false">IF(ISNUMBER(C7124),YEAR(C7124),"")</f>
        <v/>
      </c>
      <c r="W7124" s="23" t="str">
        <f aca="false">IF(ISNUMBER(C7124),MONTH(C7124),"")</f>
        <v/>
      </c>
      <c r="X7124" s="23" t="str">
        <f aca="false">IF(T7124="","",IF(T7124=0,"No discount",IF(T7124&lt;=0.2,"Low (1-20%)",IF(T7124&lt;=0.4,"Medium (21-40%)","High (&gt;40%)"))))</f>
        <v/>
      </c>
      <c r="Y7124" s="23" t="str">
        <f aca="false">IF(AND(ISNUMBER(C7124),ISNUMBER(D7124)),D7124-C7124,"")</f>
        <v/>
      </c>
      <c r="Z7124" s="23" t="str">
        <f aca="false">IF(B7124="","",IF(MATCH(B7124,$B$2:$B$12000,0)=ROW()-1,1,0))</f>
        <v/>
      </c>
    </row>
    <row r="7125" customFormat="false" ht="15" hidden="false" customHeight="false" outlineLevel="0" collapsed="false">
      <c r="V7125" s="23" t="str">
        <f aca="false">IF(ISNUMBER(C7125),YEAR(C7125),"")</f>
        <v/>
      </c>
      <c r="W7125" s="23" t="str">
        <f aca="false">IF(ISNUMBER(C7125),MONTH(C7125),"")</f>
        <v/>
      </c>
      <c r="X7125" s="23" t="str">
        <f aca="false">IF(T7125="","",IF(T7125=0,"No discount",IF(T7125&lt;=0.2,"Low (1-20%)",IF(T7125&lt;=0.4,"Medium (21-40%)","High (&gt;40%)"))))</f>
        <v/>
      </c>
      <c r="Y7125" s="23" t="str">
        <f aca="false">IF(AND(ISNUMBER(C7125),ISNUMBER(D7125)),D7125-C7125,"")</f>
        <v/>
      </c>
      <c r="Z7125" s="23" t="str">
        <f aca="false">IF(B7125="","",IF(MATCH(B7125,$B$2:$B$12000,0)=ROW()-1,1,0))</f>
        <v/>
      </c>
    </row>
    <row r="7126" customFormat="false" ht="15" hidden="false" customHeight="false" outlineLevel="0" collapsed="false">
      <c r="V7126" s="23" t="str">
        <f aca="false">IF(ISNUMBER(C7126),YEAR(C7126),"")</f>
        <v/>
      </c>
      <c r="W7126" s="23" t="str">
        <f aca="false">IF(ISNUMBER(C7126),MONTH(C7126),"")</f>
        <v/>
      </c>
      <c r="X7126" s="23" t="str">
        <f aca="false">IF(T7126="","",IF(T7126=0,"No discount",IF(T7126&lt;=0.2,"Low (1-20%)",IF(T7126&lt;=0.4,"Medium (21-40%)","High (&gt;40%)"))))</f>
        <v/>
      </c>
      <c r="Y7126" s="23" t="str">
        <f aca="false">IF(AND(ISNUMBER(C7126),ISNUMBER(D7126)),D7126-C7126,"")</f>
        <v/>
      </c>
      <c r="Z7126" s="23" t="str">
        <f aca="false">IF(B7126="","",IF(MATCH(B7126,$B$2:$B$12000,0)=ROW()-1,1,0))</f>
        <v/>
      </c>
    </row>
    <row r="7127" customFormat="false" ht="15" hidden="false" customHeight="false" outlineLevel="0" collapsed="false">
      <c r="V7127" s="23" t="str">
        <f aca="false">IF(ISNUMBER(C7127),YEAR(C7127),"")</f>
        <v/>
      </c>
      <c r="W7127" s="23" t="str">
        <f aca="false">IF(ISNUMBER(C7127),MONTH(C7127),"")</f>
        <v/>
      </c>
      <c r="X7127" s="23" t="str">
        <f aca="false">IF(T7127="","",IF(T7127=0,"No discount",IF(T7127&lt;=0.2,"Low (1-20%)",IF(T7127&lt;=0.4,"Medium (21-40%)","High (&gt;40%)"))))</f>
        <v/>
      </c>
      <c r="Y7127" s="23" t="str">
        <f aca="false">IF(AND(ISNUMBER(C7127),ISNUMBER(D7127)),D7127-C7127,"")</f>
        <v/>
      </c>
      <c r="Z7127" s="23" t="str">
        <f aca="false">IF(B7127="","",IF(MATCH(B7127,$B$2:$B$12000,0)=ROW()-1,1,0))</f>
        <v/>
      </c>
    </row>
    <row r="7128" customFormat="false" ht="15" hidden="false" customHeight="false" outlineLevel="0" collapsed="false">
      <c r="V7128" s="23" t="str">
        <f aca="false">IF(ISNUMBER(C7128),YEAR(C7128),"")</f>
        <v/>
      </c>
      <c r="W7128" s="23" t="str">
        <f aca="false">IF(ISNUMBER(C7128),MONTH(C7128),"")</f>
        <v/>
      </c>
      <c r="X7128" s="23" t="str">
        <f aca="false">IF(T7128="","",IF(T7128=0,"No discount",IF(T7128&lt;=0.2,"Low (1-20%)",IF(T7128&lt;=0.4,"Medium (21-40%)","High (&gt;40%)"))))</f>
        <v/>
      </c>
      <c r="Y7128" s="23" t="str">
        <f aca="false">IF(AND(ISNUMBER(C7128),ISNUMBER(D7128)),D7128-C7128,"")</f>
        <v/>
      </c>
      <c r="Z7128" s="23" t="str">
        <f aca="false">IF(B7128="","",IF(MATCH(B7128,$B$2:$B$12000,0)=ROW()-1,1,0))</f>
        <v/>
      </c>
    </row>
    <row r="7129" customFormat="false" ht="15" hidden="false" customHeight="false" outlineLevel="0" collapsed="false">
      <c r="V7129" s="23" t="str">
        <f aca="false">IF(ISNUMBER(C7129),YEAR(C7129),"")</f>
        <v/>
      </c>
      <c r="W7129" s="23" t="str">
        <f aca="false">IF(ISNUMBER(C7129),MONTH(C7129),"")</f>
        <v/>
      </c>
      <c r="X7129" s="23" t="str">
        <f aca="false">IF(T7129="","",IF(T7129=0,"No discount",IF(T7129&lt;=0.2,"Low (1-20%)",IF(T7129&lt;=0.4,"Medium (21-40%)","High (&gt;40%)"))))</f>
        <v/>
      </c>
      <c r="Y7129" s="23" t="str">
        <f aca="false">IF(AND(ISNUMBER(C7129),ISNUMBER(D7129)),D7129-C7129,"")</f>
        <v/>
      </c>
      <c r="Z7129" s="23" t="str">
        <f aca="false">IF(B7129="","",IF(MATCH(B7129,$B$2:$B$12000,0)=ROW()-1,1,0))</f>
        <v/>
      </c>
    </row>
    <row r="7130" customFormat="false" ht="15" hidden="false" customHeight="false" outlineLevel="0" collapsed="false">
      <c r="V7130" s="23" t="str">
        <f aca="false">IF(ISNUMBER(C7130),YEAR(C7130),"")</f>
        <v/>
      </c>
      <c r="W7130" s="23" t="str">
        <f aca="false">IF(ISNUMBER(C7130),MONTH(C7130),"")</f>
        <v/>
      </c>
      <c r="X7130" s="23" t="str">
        <f aca="false">IF(T7130="","",IF(T7130=0,"No discount",IF(T7130&lt;=0.2,"Low (1-20%)",IF(T7130&lt;=0.4,"Medium (21-40%)","High (&gt;40%)"))))</f>
        <v/>
      </c>
      <c r="Y7130" s="23" t="str">
        <f aca="false">IF(AND(ISNUMBER(C7130),ISNUMBER(D7130)),D7130-C7130,"")</f>
        <v/>
      </c>
      <c r="Z7130" s="23" t="str">
        <f aca="false">IF(B7130="","",IF(MATCH(B7130,$B$2:$B$12000,0)=ROW()-1,1,0))</f>
        <v/>
      </c>
    </row>
    <row r="7131" customFormat="false" ht="15" hidden="false" customHeight="false" outlineLevel="0" collapsed="false">
      <c r="V7131" s="23" t="str">
        <f aca="false">IF(ISNUMBER(C7131),YEAR(C7131),"")</f>
        <v/>
      </c>
      <c r="W7131" s="23" t="str">
        <f aca="false">IF(ISNUMBER(C7131),MONTH(C7131),"")</f>
        <v/>
      </c>
      <c r="X7131" s="23" t="str">
        <f aca="false">IF(T7131="","",IF(T7131=0,"No discount",IF(T7131&lt;=0.2,"Low (1-20%)",IF(T7131&lt;=0.4,"Medium (21-40%)","High (&gt;40%)"))))</f>
        <v/>
      </c>
      <c r="Y7131" s="23" t="str">
        <f aca="false">IF(AND(ISNUMBER(C7131),ISNUMBER(D7131)),D7131-C7131,"")</f>
        <v/>
      </c>
      <c r="Z7131" s="23" t="str">
        <f aca="false">IF(B7131="","",IF(MATCH(B7131,$B$2:$B$12000,0)=ROW()-1,1,0))</f>
        <v/>
      </c>
    </row>
    <row r="7132" customFormat="false" ht="15" hidden="false" customHeight="false" outlineLevel="0" collapsed="false">
      <c r="V7132" s="23" t="str">
        <f aca="false">IF(ISNUMBER(C7132),YEAR(C7132),"")</f>
        <v/>
      </c>
      <c r="W7132" s="23" t="str">
        <f aca="false">IF(ISNUMBER(C7132),MONTH(C7132),"")</f>
        <v/>
      </c>
      <c r="X7132" s="23" t="str">
        <f aca="false">IF(T7132="","",IF(T7132=0,"No discount",IF(T7132&lt;=0.2,"Low (1-20%)",IF(T7132&lt;=0.4,"Medium (21-40%)","High (&gt;40%)"))))</f>
        <v/>
      </c>
      <c r="Y7132" s="23" t="str">
        <f aca="false">IF(AND(ISNUMBER(C7132),ISNUMBER(D7132)),D7132-C7132,"")</f>
        <v/>
      </c>
      <c r="Z7132" s="23" t="str">
        <f aca="false">IF(B7132="","",IF(MATCH(B7132,$B$2:$B$12000,0)=ROW()-1,1,0))</f>
        <v/>
      </c>
    </row>
    <row r="7133" customFormat="false" ht="15" hidden="false" customHeight="false" outlineLevel="0" collapsed="false">
      <c r="V7133" s="23" t="str">
        <f aca="false">IF(ISNUMBER(C7133),YEAR(C7133),"")</f>
        <v/>
      </c>
      <c r="W7133" s="23" t="str">
        <f aca="false">IF(ISNUMBER(C7133),MONTH(C7133),"")</f>
        <v/>
      </c>
      <c r="X7133" s="23" t="str">
        <f aca="false">IF(T7133="","",IF(T7133=0,"No discount",IF(T7133&lt;=0.2,"Low (1-20%)",IF(T7133&lt;=0.4,"Medium (21-40%)","High (&gt;40%)"))))</f>
        <v/>
      </c>
      <c r="Y7133" s="23" t="str">
        <f aca="false">IF(AND(ISNUMBER(C7133),ISNUMBER(D7133)),D7133-C7133,"")</f>
        <v/>
      </c>
      <c r="Z7133" s="23" t="str">
        <f aca="false">IF(B7133="","",IF(MATCH(B7133,$B$2:$B$12000,0)=ROW()-1,1,0))</f>
        <v/>
      </c>
    </row>
    <row r="7134" customFormat="false" ht="15" hidden="false" customHeight="false" outlineLevel="0" collapsed="false">
      <c r="V7134" s="23" t="str">
        <f aca="false">IF(ISNUMBER(C7134),YEAR(C7134),"")</f>
        <v/>
      </c>
      <c r="W7134" s="23" t="str">
        <f aca="false">IF(ISNUMBER(C7134),MONTH(C7134),"")</f>
        <v/>
      </c>
      <c r="X7134" s="23" t="str">
        <f aca="false">IF(T7134="","",IF(T7134=0,"No discount",IF(T7134&lt;=0.2,"Low (1-20%)",IF(T7134&lt;=0.4,"Medium (21-40%)","High (&gt;40%)"))))</f>
        <v/>
      </c>
      <c r="Y7134" s="23" t="str">
        <f aca="false">IF(AND(ISNUMBER(C7134),ISNUMBER(D7134)),D7134-C7134,"")</f>
        <v/>
      </c>
      <c r="Z7134" s="23" t="str">
        <f aca="false">IF(B7134="","",IF(MATCH(B7134,$B$2:$B$12000,0)=ROW()-1,1,0))</f>
        <v/>
      </c>
    </row>
    <row r="7135" customFormat="false" ht="15" hidden="false" customHeight="false" outlineLevel="0" collapsed="false">
      <c r="V7135" s="23" t="str">
        <f aca="false">IF(ISNUMBER(C7135),YEAR(C7135),"")</f>
        <v/>
      </c>
      <c r="W7135" s="23" t="str">
        <f aca="false">IF(ISNUMBER(C7135),MONTH(C7135),"")</f>
        <v/>
      </c>
      <c r="X7135" s="23" t="str">
        <f aca="false">IF(T7135="","",IF(T7135=0,"No discount",IF(T7135&lt;=0.2,"Low (1-20%)",IF(T7135&lt;=0.4,"Medium (21-40%)","High (&gt;40%)"))))</f>
        <v/>
      </c>
      <c r="Y7135" s="23" t="str">
        <f aca="false">IF(AND(ISNUMBER(C7135),ISNUMBER(D7135)),D7135-C7135,"")</f>
        <v/>
      </c>
      <c r="Z7135" s="23" t="str">
        <f aca="false">IF(B7135="","",IF(MATCH(B7135,$B$2:$B$12000,0)=ROW()-1,1,0))</f>
        <v/>
      </c>
    </row>
    <row r="7136" customFormat="false" ht="15" hidden="false" customHeight="false" outlineLevel="0" collapsed="false">
      <c r="V7136" s="23" t="str">
        <f aca="false">IF(ISNUMBER(C7136),YEAR(C7136),"")</f>
        <v/>
      </c>
      <c r="W7136" s="23" t="str">
        <f aca="false">IF(ISNUMBER(C7136),MONTH(C7136),"")</f>
        <v/>
      </c>
      <c r="X7136" s="23" t="str">
        <f aca="false">IF(T7136="","",IF(T7136=0,"No discount",IF(T7136&lt;=0.2,"Low (1-20%)",IF(T7136&lt;=0.4,"Medium (21-40%)","High (&gt;40%)"))))</f>
        <v/>
      </c>
      <c r="Y7136" s="23" t="str">
        <f aca="false">IF(AND(ISNUMBER(C7136),ISNUMBER(D7136)),D7136-C7136,"")</f>
        <v/>
      </c>
      <c r="Z7136" s="23" t="str">
        <f aca="false">IF(B7136="","",IF(MATCH(B7136,$B$2:$B$12000,0)=ROW()-1,1,0))</f>
        <v/>
      </c>
    </row>
    <row r="7137" customFormat="false" ht="15" hidden="false" customHeight="false" outlineLevel="0" collapsed="false">
      <c r="V7137" s="23" t="str">
        <f aca="false">IF(ISNUMBER(C7137),YEAR(C7137),"")</f>
        <v/>
      </c>
      <c r="W7137" s="23" t="str">
        <f aca="false">IF(ISNUMBER(C7137),MONTH(C7137),"")</f>
        <v/>
      </c>
      <c r="X7137" s="23" t="str">
        <f aca="false">IF(T7137="","",IF(T7137=0,"No discount",IF(T7137&lt;=0.2,"Low (1-20%)",IF(T7137&lt;=0.4,"Medium (21-40%)","High (&gt;40%)"))))</f>
        <v/>
      </c>
      <c r="Y7137" s="23" t="str">
        <f aca="false">IF(AND(ISNUMBER(C7137),ISNUMBER(D7137)),D7137-C7137,"")</f>
        <v/>
      </c>
      <c r="Z7137" s="23" t="str">
        <f aca="false">IF(B7137="","",IF(MATCH(B7137,$B$2:$B$12000,0)=ROW()-1,1,0))</f>
        <v/>
      </c>
    </row>
    <row r="7138" customFormat="false" ht="15" hidden="false" customHeight="false" outlineLevel="0" collapsed="false">
      <c r="V7138" s="23" t="str">
        <f aca="false">IF(ISNUMBER(C7138),YEAR(C7138),"")</f>
        <v/>
      </c>
      <c r="W7138" s="23" t="str">
        <f aca="false">IF(ISNUMBER(C7138),MONTH(C7138),"")</f>
        <v/>
      </c>
      <c r="X7138" s="23" t="str">
        <f aca="false">IF(T7138="","",IF(T7138=0,"No discount",IF(T7138&lt;=0.2,"Low (1-20%)",IF(T7138&lt;=0.4,"Medium (21-40%)","High (&gt;40%)"))))</f>
        <v/>
      </c>
      <c r="Y7138" s="23" t="str">
        <f aca="false">IF(AND(ISNUMBER(C7138),ISNUMBER(D7138)),D7138-C7138,"")</f>
        <v/>
      </c>
      <c r="Z7138" s="23" t="str">
        <f aca="false">IF(B7138="","",IF(MATCH(B7138,$B$2:$B$12000,0)=ROW()-1,1,0))</f>
        <v/>
      </c>
    </row>
    <row r="7139" customFormat="false" ht="15" hidden="false" customHeight="false" outlineLevel="0" collapsed="false">
      <c r="V7139" s="23" t="str">
        <f aca="false">IF(ISNUMBER(C7139),YEAR(C7139),"")</f>
        <v/>
      </c>
      <c r="W7139" s="23" t="str">
        <f aca="false">IF(ISNUMBER(C7139),MONTH(C7139),"")</f>
        <v/>
      </c>
      <c r="X7139" s="23" t="str">
        <f aca="false">IF(T7139="","",IF(T7139=0,"No discount",IF(T7139&lt;=0.2,"Low (1-20%)",IF(T7139&lt;=0.4,"Medium (21-40%)","High (&gt;40%)"))))</f>
        <v/>
      </c>
      <c r="Y7139" s="23" t="str">
        <f aca="false">IF(AND(ISNUMBER(C7139),ISNUMBER(D7139)),D7139-C7139,"")</f>
        <v/>
      </c>
      <c r="Z7139" s="23" t="str">
        <f aca="false">IF(B7139="","",IF(MATCH(B7139,$B$2:$B$12000,0)=ROW()-1,1,0))</f>
        <v/>
      </c>
    </row>
    <row r="7140" customFormat="false" ht="15" hidden="false" customHeight="false" outlineLevel="0" collapsed="false">
      <c r="V7140" s="23" t="str">
        <f aca="false">IF(ISNUMBER(C7140),YEAR(C7140),"")</f>
        <v/>
      </c>
      <c r="W7140" s="23" t="str">
        <f aca="false">IF(ISNUMBER(C7140),MONTH(C7140),"")</f>
        <v/>
      </c>
      <c r="X7140" s="23" t="str">
        <f aca="false">IF(T7140="","",IF(T7140=0,"No discount",IF(T7140&lt;=0.2,"Low (1-20%)",IF(T7140&lt;=0.4,"Medium (21-40%)","High (&gt;40%)"))))</f>
        <v/>
      </c>
      <c r="Y7140" s="23" t="str">
        <f aca="false">IF(AND(ISNUMBER(C7140),ISNUMBER(D7140)),D7140-C7140,"")</f>
        <v/>
      </c>
      <c r="Z7140" s="23" t="str">
        <f aca="false">IF(B7140="","",IF(MATCH(B7140,$B$2:$B$12000,0)=ROW()-1,1,0))</f>
        <v/>
      </c>
    </row>
    <row r="7141" customFormat="false" ht="15" hidden="false" customHeight="false" outlineLevel="0" collapsed="false">
      <c r="V7141" s="23" t="str">
        <f aca="false">IF(ISNUMBER(C7141),YEAR(C7141),"")</f>
        <v/>
      </c>
      <c r="W7141" s="23" t="str">
        <f aca="false">IF(ISNUMBER(C7141),MONTH(C7141),"")</f>
        <v/>
      </c>
      <c r="X7141" s="23" t="str">
        <f aca="false">IF(T7141="","",IF(T7141=0,"No discount",IF(T7141&lt;=0.2,"Low (1-20%)",IF(T7141&lt;=0.4,"Medium (21-40%)","High (&gt;40%)"))))</f>
        <v/>
      </c>
      <c r="Y7141" s="23" t="str">
        <f aca="false">IF(AND(ISNUMBER(C7141),ISNUMBER(D7141)),D7141-C7141,"")</f>
        <v/>
      </c>
      <c r="Z7141" s="23" t="str">
        <f aca="false">IF(B7141="","",IF(MATCH(B7141,$B$2:$B$12000,0)=ROW()-1,1,0))</f>
        <v/>
      </c>
    </row>
    <row r="7142" customFormat="false" ht="15" hidden="false" customHeight="false" outlineLevel="0" collapsed="false">
      <c r="V7142" s="23" t="str">
        <f aca="false">IF(ISNUMBER(C7142),YEAR(C7142),"")</f>
        <v/>
      </c>
      <c r="W7142" s="23" t="str">
        <f aca="false">IF(ISNUMBER(C7142),MONTH(C7142),"")</f>
        <v/>
      </c>
      <c r="X7142" s="23" t="str">
        <f aca="false">IF(T7142="","",IF(T7142=0,"No discount",IF(T7142&lt;=0.2,"Low (1-20%)",IF(T7142&lt;=0.4,"Medium (21-40%)","High (&gt;40%)"))))</f>
        <v/>
      </c>
      <c r="Y7142" s="23" t="str">
        <f aca="false">IF(AND(ISNUMBER(C7142),ISNUMBER(D7142)),D7142-C7142,"")</f>
        <v/>
      </c>
      <c r="Z7142" s="23" t="str">
        <f aca="false">IF(B7142="","",IF(MATCH(B7142,$B$2:$B$12000,0)=ROW()-1,1,0))</f>
        <v/>
      </c>
    </row>
    <row r="7143" customFormat="false" ht="15" hidden="false" customHeight="false" outlineLevel="0" collapsed="false">
      <c r="V7143" s="23" t="str">
        <f aca="false">IF(ISNUMBER(C7143),YEAR(C7143),"")</f>
        <v/>
      </c>
      <c r="W7143" s="23" t="str">
        <f aca="false">IF(ISNUMBER(C7143),MONTH(C7143),"")</f>
        <v/>
      </c>
      <c r="X7143" s="23" t="str">
        <f aca="false">IF(T7143="","",IF(T7143=0,"No discount",IF(T7143&lt;=0.2,"Low (1-20%)",IF(T7143&lt;=0.4,"Medium (21-40%)","High (&gt;40%)"))))</f>
        <v/>
      </c>
      <c r="Y7143" s="23" t="str">
        <f aca="false">IF(AND(ISNUMBER(C7143),ISNUMBER(D7143)),D7143-C7143,"")</f>
        <v/>
      </c>
      <c r="Z7143" s="23" t="str">
        <f aca="false">IF(B7143="","",IF(MATCH(B7143,$B$2:$B$12000,0)=ROW()-1,1,0))</f>
        <v/>
      </c>
    </row>
    <row r="7144" customFormat="false" ht="15" hidden="false" customHeight="false" outlineLevel="0" collapsed="false">
      <c r="V7144" s="23" t="str">
        <f aca="false">IF(ISNUMBER(C7144),YEAR(C7144),"")</f>
        <v/>
      </c>
      <c r="W7144" s="23" t="str">
        <f aca="false">IF(ISNUMBER(C7144),MONTH(C7144),"")</f>
        <v/>
      </c>
      <c r="X7144" s="23" t="str">
        <f aca="false">IF(T7144="","",IF(T7144=0,"No discount",IF(T7144&lt;=0.2,"Low (1-20%)",IF(T7144&lt;=0.4,"Medium (21-40%)","High (&gt;40%)"))))</f>
        <v/>
      </c>
      <c r="Y7144" s="23" t="str">
        <f aca="false">IF(AND(ISNUMBER(C7144),ISNUMBER(D7144)),D7144-C7144,"")</f>
        <v/>
      </c>
      <c r="Z7144" s="23" t="str">
        <f aca="false">IF(B7144="","",IF(MATCH(B7144,$B$2:$B$12000,0)=ROW()-1,1,0))</f>
        <v/>
      </c>
    </row>
    <row r="7145" customFormat="false" ht="15" hidden="false" customHeight="false" outlineLevel="0" collapsed="false">
      <c r="V7145" s="23" t="str">
        <f aca="false">IF(ISNUMBER(C7145),YEAR(C7145),"")</f>
        <v/>
      </c>
      <c r="W7145" s="23" t="str">
        <f aca="false">IF(ISNUMBER(C7145),MONTH(C7145),"")</f>
        <v/>
      </c>
      <c r="X7145" s="23" t="str">
        <f aca="false">IF(T7145="","",IF(T7145=0,"No discount",IF(T7145&lt;=0.2,"Low (1-20%)",IF(T7145&lt;=0.4,"Medium (21-40%)","High (&gt;40%)"))))</f>
        <v/>
      </c>
      <c r="Y7145" s="23" t="str">
        <f aca="false">IF(AND(ISNUMBER(C7145),ISNUMBER(D7145)),D7145-C7145,"")</f>
        <v/>
      </c>
      <c r="Z7145" s="23" t="str">
        <f aca="false">IF(B7145="","",IF(MATCH(B7145,$B$2:$B$12000,0)=ROW()-1,1,0))</f>
        <v/>
      </c>
    </row>
    <row r="7146" customFormat="false" ht="15" hidden="false" customHeight="false" outlineLevel="0" collapsed="false">
      <c r="V7146" s="23" t="str">
        <f aca="false">IF(ISNUMBER(C7146),YEAR(C7146),"")</f>
        <v/>
      </c>
      <c r="W7146" s="23" t="str">
        <f aca="false">IF(ISNUMBER(C7146),MONTH(C7146),"")</f>
        <v/>
      </c>
      <c r="X7146" s="23" t="str">
        <f aca="false">IF(T7146="","",IF(T7146=0,"No discount",IF(T7146&lt;=0.2,"Low (1-20%)",IF(T7146&lt;=0.4,"Medium (21-40%)","High (&gt;40%)"))))</f>
        <v/>
      </c>
      <c r="Y7146" s="23" t="str">
        <f aca="false">IF(AND(ISNUMBER(C7146),ISNUMBER(D7146)),D7146-C7146,"")</f>
        <v/>
      </c>
      <c r="Z7146" s="23" t="str">
        <f aca="false">IF(B7146="","",IF(MATCH(B7146,$B$2:$B$12000,0)=ROW()-1,1,0))</f>
        <v/>
      </c>
    </row>
    <row r="7147" customFormat="false" ht="15" hidden="false" customHeight="false" outlineLevel="0" collapsed="false">
      <c r="V7147" s="23" t="str">
        <f aca="false">IF(ISNUMBER(C7147),YEAR(C7147),"")</f>
        <v/>
      </c>
      <c r="W7147" s="23" t="str">
        <f aca="false">IF(ISNUMBER(C7147),MONTH(C7147),"")</f>
        <v/>
      </c>
      <c r="X7147" s="23" t="str">
        <f aca="false">IF(T7147="","",IF(T7147=0,"No discount",IF(T7147&lt;=0.2,"Low (1-20%)",IF(T7147&lt;=0.4,"Medium (21-40%)","High (&gt;40%)"))))</f>
        <v/>
      </c>
      <c r="Y7147" s="23" t="str">
        <f aca="false">IF(AND(ISNUMBER(C7147),ISNUMBER(D7147)),D7147-C7147,"")</f>
        <v/>
      </c>
      <c r="Z7147" s="23" t="str">
        <f aca="false">IF(B7147="","",IF(MATCH(B7147,$B$2:$B$12000,0)=ROW()-1,1,0))</f>
        <v/>
      </c>
    </row>
    <row r="7148" customFormat="false" ht="15" hidden="false" customHeight="false" outlineLevel="0" collapsed="false">
      <c r="V7148" s="23" t="str">
        <f aca="false">IF(ISNUMBER(C7148),YEAR(C7148),"")</f>
        <v/>
      </c>
      <c r="W7148" s="23" t="str">
        <f aca="false">IF(ISNUMBER(C7148),MONTH(C7148),"")</f>
        <v/>
      </c>
      <c r="X7148" s="23" t="str">
        <f aca="false">IF(T7148="","",IF(T7148=0,"No discount",IF(T7148&lt;=0.2,"Low (1-20%)",IF(T7148&lt;=0.4,"Medium (21-40%)","High (&gt;40%)"))))</f>
        <v/>
      </c>
      <c r="Y7148" s="23" t="str">
        <f aca="false">IF(AND(ISNUMBER(C7148),ISNUMBER(D7148)),D7148-C7148,"")</f>
        <v/>
      </c>
      <c r="Z7148" s="23" t="str">
        <f aca="false">IF(B7148="","",IF(MATCH(B7148,$B$2:$B$12000,0)=ROW()-1,1,0))</f>
        <v/>
      </c>
    </row>
    <row r="7149" customFormat="false" ht="15" hidden="false" customHeight="false" outlineLevel="0" collapsed="false">
      <c r="V7149" s="23" t="str">
        <f aca="false">IF(ISNUMBER(C7149),YEAR(C7149),"")</f>
        <v/>
      </c>
      <c r="W7149" s="23" t="str">
        <f aca="false">IF(ISNUMBER(C7149),MONTH(C7149),"")</f>
        <v/>
      </c>
      <c r="X7149" s="23" t="str">
        <f aca="false">IF(T7149="","",IF(T7149=0,"No discount",IF(T7149&lt;=0.2,"Low (1-20%)",IF(T7149&lt;=0.4,"Medium (21-40%)","High (&gt;40%)"))))</f>
        <v/>
      </c>
      <c r="Y7149" s="23" t="str">
        <f aca="false">IF(AND(ISNUMBER(C7149),ISNUMBER(D7149)),D7149-C7149,"")</f>
        <v/>
      </c>
      <c r="Z7149" s="23" t="str">
        <f aca="false">IF(B7149="","",IF(MATCH(B7149,$B$2:$B$12000,0)=ROW()-1,1,0))</f>
        <v/>
      </c>
    </row>
    <row r="7150" customFormat="false" ht="15" hidden="false" customHeight="false" outlineLevel="0" collapsed="false">
      <c r="V7150" s="23" t="str">
        <f aca="false">IF(ISNUMBER(C7150),YEAR(C7150),"")</f>
        <v/>
      </c>
      <c r="W7150" s="23" t="str">
        <f aca="false">IF(ISNUMBER(C7150),MONTH(C7150),"")</f>
        <v/>
      </c>
      <c r="X7150" s="23" t="str">
        <f aca="false">IF(T7150="","",IF(T7150=0,"No discount",IF(T7150&lt;=0.2,"Low (1-20%)",IF(T7150&lt;=0.4,"Medium (21-40%)","High (&gt;40%)"))))</f>
        <v/>
      </c>
      <c r="Y7150" s="23" t="str">
        <f aca="false">IF(AND(ISNUMBER(C7150),ISNUMBER(D7150)),D7150-C7150,"")</f>
        <v/>
      </c>
      <c r="Z7150" s="23" t="str">
        <f aca="false">IF(B7150="","",IF(MATCH(B7150,$B$2:$B$12000,0)=ROW()-1,1,0))</f>
        <v/>
      </c>
    </row>
    <row r="7151" customFormat="false" ht="15" hidden="false" customHeight="false" outlineLevel="0" collapsed="false">
      <c r="V7151" s="23" t="str">
        <f aca="false">IF(ISNUMBER(C7151),YEAR(C7151),"")</f>
        <v/>
      </c>
      <c r="W7151" s="23" t="str">
        <f aca="false">IF(ISNUMBER(C7151),MONTH(C7151),"")</f>
        <v/>
      </c>
      <c r="X7151" s="23" t="str">
        <f aca="false">IF(T7151="","",IF(T7151=0,"No discount",IF(T7151&lt;=0.2,"Low (1-20%)",IF(T7151&lt;=0.4,"Medium (21-40%)","High (&gt;40%)"))))</f>
        <v/>
      </c>
      <c r="Y7151" s="23" t="str">
        <f aca="false">IF(AND(ISNUMBER(C7151),ISNUMBER(D7151)),D7151-C7151,"")</f>
        <v/>
      </c>
      <c r="Z7151" s="23" t="str">
        <f aca="false">IF(B7151="","",IF(MATCH(B7151,$B$2:$B$12000,0)=ROW()-1,1,0))</f>
        <v/>
      </c>
    </row>
    <row r="7152" customFormat="false" ht="15" hidden="false" customHeight="false" outlineLevel="0" collapsed="false">
      <c r="V7152" s="23" t="str">
        <f aca="false">IF(ISNUMBER(C7152),YEAR(C7152),"")</f>
        <v/>
      </c>
      <c r="W7152" s="23" t="str">
        <f aca="false">IF(ISNUMBER(C7152),MONTH(C7152),"")</f>
        <v/>
      </c>
      <c r="X7152" s="23" t="str">
        <f aca="false">IF(T7152="","",IF(T7152=0,"No discount",IF(T7152&lt;=0.2,"Low (1-20%)",IF(T7152&lt;=0.4,"Medium (21-40%)","High (&gt;40%)"))))</f>
        <v/>
      </c>
      <c r="Y7152" s="23" t="str">
        <f aca="false">IF(AND(ISNUMBER(C7152),ISNUMBER(D7152)),D7152-C7152,"")</f>
        <v/>
      </c>
      <c r="Z7152" s="23" t="str">
        <f aca="false">IF(B7152="","",IF(MATCH(B7152,$B$2:$B$12000,0)=ROW()-1,1,0))</f>
        <v/>
      </c>
    </row>
    <row r="7153" customFormat="false" ht="15" hidden="false" customHeight="false" outlineLevel="0" collapsed="false">
      <c r="V7153" s="23" t="str">
        <f aca="false">IF(ISNUMBER(C7153),YEAR(C7153),"")</f>
        <v/>
      </c>
      <c r="W7153" s="23" t="str">
        <f aca="false">IF(ISNUMBER(C7153),MONTH(C7153),"")</f>
        <v/>
      </c>
      <c r="X7153" s="23" t="str">
        <f aca="false">IF(T7153="","",IF(T7153=0,"No discount",IF(T7153&lt;=0.2,"Low (1-20%)",IF(T7153&lt;=0.4,"Medium (21-40%)","High (&gt;40%)"))))</f>
        <v/>
      </c>
      <c r="Y7153" s="23" t="str">
        <f aca="false">IF(AND(ISNUMBER(C7153),ISNUMBER(D7153)),D7153-C7153,"")</f>
        <v/>
      </c>
      <c r="Z7153" s="23" t="str">
        <f aca="false">IF(B7153="","",IF(MATCH(B7153,$B$2:$B$12000,0)=ROW()-1,1,0))</f>
        <v/>
      </c>
    </row>
    <row r="7154" customFormat="false" ht="15" hidden="false" customHeight="false" outlineLevel="0" collapsed="false">
      <c r="V7154" s="23" t="str">
        <f aca="false">IF(ISNUMBER(C7154),YEAR(C7154),"")</f>
        <v/>
      </c>
      <c r="W7154" s="23" t="str">
        <f aca="false">IF(ISNUMBER(C7154),MONTH(C7154),"")</f>
        <v/>
      </c>
      <c r="X7154" s="23" t="str">
        <f aca="false">IF(T7154="","",IF(T7154=0,"No discount",IF(T7154&lt;=0.2,"Low (1-20%)",IF(T7154&lt;=0.4,"Medium (21-40%)","High (&gt;40%)"))))</f>
        <v/>
      </c>
      <c r="Y7154" s="23" t="str">
        <f aca="false">IF(AND(ISNUMBER(C7154),ISNUMBER(D7154)),D7154-C7154,"")</f>
        <v/>
      </c>
      <c r="Z7154" s="23" t="str">
        <f aca="false">IF(B7154="","",IF(MATCH(B7154,$B$2:$B$12000,0)=ROW()-1,1,0))</f>
        <v/>
      </c>
    </row>
    <row r="7155" customFormat="false" ht="15" hidden="false" customHeight="false" outlineLevel="0" collapsed="false">
      <c r="V7155" s="23" t="str">
        <f aca="false">IF(ISNUMBER(C7155),YEAR(C7155),"")</f>
        <v/>
      </c>
      <c r="W7155" s="23" t="str">
        <f aca="false">IF(ISNUMBER(C7155),MONTH(C7155),"")</f>
        <v/>
      </c>
      <c r="X7155" s="23" t="str">
        <f aca="false">IF(T7155="","",IF(T7155=0,"No discount",IF(T7155&lt;=0.2,"Low (1-20%)",IF(T7155&lt;=0.4,"Medium (21-40%)","High (&gt;40%)"))))</f>
        <v/>
      </c>
      <c r="Y7155" s="23" t="str">
        <f aca="false">IF(AND(ISNUMBER(C7155),ISNUMBER(D7155)),D7155-C7155,"")</f>
        <v/>
      </c>
      <c r="Z7155" s="23" t="str">
        <f aca="false">IF(B7155="","",IF(MATCH(B7155,$B$2:$B$12000,0)=ROW()-1,1,0))</f>
        <v/>
      </c>
    </row>
    <row r="7156" customFormat="false" ht="15" hidden="false" customHeight="false" outlineLevel="0" collapsed="false">
      <c r="V7156" s="23" t="str">
        <f aca="false">IF(ISNUMBER(C7156),YEAR(C7156),"")</f>
        <v/>
      </c>
      <c r="W7156" s="23" t="str">
        <f aca="false">IF(ISNUMBER(C7156),MONTH(C7156),"")</f>
        <v/>
      </c>
      <c r="X7156" s="23" t="str">
        <f aca="false">IF(T7156="","",IF(T7156=0,"No discount",IF(T7156&lt;=0.2,"Low (1-20%)",IF(T7156&lt;=0.4,"Medium (21-40%)","High (&gt;40%)"))))</f>
        <v/>
      </c>
      <c r="Y7156" s="23" t="str">
        <f aca="false">IF(AND(ISNUMBER(C7156),ISNUMBER(D7156)),D7156-C7156,"")</f>
        <v/>
      </c>
      <c r="Z7156" s="23" t="str">
        <f aca="false">IF(B7156="","",IF(MATCH(B7156,$B$2:$B$12000,0)=ROW()-1,1,0))</f>
        <v/>
      </c>
    </row>
    <row r="7157" customFormat="false" ht="15" hidden="false" customHeight="false" outlineLevel="0" collapsed="false">
      <c r="V7157" s="23" t="str">
        <f aca="false">IF(ISNUMBER(C7157),YEAR(C7157),"")</f>
        <v/>
      </c>
      <c r="W7157" s="23" t="str">
        <f aca="false">IF(ISNUMBER(C7157),MONTH(C7157),"")</f>
        <v/>
      </c>
      <c r="X7157" s="23" t="str">
        <f aca="false">IF(T7157="","",IF(T7157=0,"No discount",IF(T7157&lt;=0.2,"Low (1-20%)",IF(T7157&lt;=0.4,"Medium (21-40%)","High (&gt;40%)"))))</f>
        <v/>
      </c>
      <c r="Y7157" s="23" t="str">
        <f aca="false">IF(AND(ISNUMBER(C7157),ISNUMBER(D7157)),D7157-C7157,"")</f>
        <v/>
      </c>
      <c r="Z7157" s="23" t="str">
        <f aca="false">IF(B7157="","",IF(MATCH(B7157,$B$2:$B$12000,0)=ROW()-1,1,0))</f>
        <v/>
      </c>
    </row>
    <row r="7158" customFormat="false" ht="15" hidden="false" customHeight="false" outlineLevel="0" collapsed="false">
      <c r="V7158" s="23" t="str">
        <f aca="false">IF(ISNUMBER(C7158),YEAR(C7158),"")</f>
        <v/>
      </c>
      <c r="W7158" s="23" t="str">
        <f aca="false">IF(ISNUMBER(C7158),MONTH(C7158),"")</f>
        <v/>
      </c>
      <c r="X7158" s="23" t="str">
        <f aca="false">IF(T7158="","",IF(T7158=0,"No discount",IF(T7158&lt;=0.2,"Low (1-20%)",IF(T7158&lt;=0.4,"Medium (21-40%)","High (&gt;40%)"))))</f>
        <v/>
      </c>
      <c r="Y7158" s="23" t="str">
        <f aca="false">IF(AND(ISNUMBER(C7158),ISNUMBER(D7158)),D7158-C7158,"")</f>
        <v/>
      </c>
      <c r="Z7158" s="23" t="str">
        <f aca="false">IF(B7158="","",IF(MATCH(B7158,$B$2:$B$12000,0)=ROW()-1,1,0))</f>
        <v/>
      </c>
    </row>
    <row r="7159" customFormat="false" ht="15" hidden="false" customHeight="false" outlineLevel="0" collapsed="false">
      <c r="V7159" s="23" t="str">
        <f aca="false">IF(ISNUMBER(C7159),YEAR(C7159),"")</f>
        <v/>
      </c>
      <c r="W7159" s="23" t="str">
        <f aca="false">IF(ISNUMBER(C7159),MONTH(C7159),"")</f>
        <v/>
      </c>
      <c r="X7159" s="23" t="str">
        <f aca="false">IF(T7159="","",IF(T7159=0,"No discount",IF(T7159&lt;=0.2,"Low (1-20%)",IF(T7159&lt;=0.4,"Medium (21-40%)","High (&gt;40%)"))))</f>
        <v/>
      </c>
      <c r="Y7159" s="23" t="str">
        <f aca="false">IF(AND(ISNUMBER(C7159),ISNUMBER(D7159)),D7159-C7159,"")</f>
        <v/>
      </c>
      <c r="Z7159" s="23" t="str">
        <f aca="false">IF(B7159="","",IF(MATCH(B7159,$B$2:$B$12000,0)=ROW()-1,1,0))</f>
        <v/>
      </c>
    </row>
    <row r="7160" customFormat="false" ht="15" hidden="false" customHeight="false" outlineLevel="0" collapsed="false">
      <c r="V7160" s="23" t="str">
        <f aca="false">IF(ISNUMBER(C7160),YEAR(C7160),"")</f>
        <v/>
      </c>
      <c r="W7160" s="23" t="str">
        <f aca="false">IF(ISNUMBER(C7160),MONTH(C7160),"")</f>
        <v/>
      </c>
      <c r="X7160" s="23" t="str">
        <f aca="false">IF(T7160="","",IF(T7160=0,"No discount",IF(T7160&lt;=0.2,"Low (1-20%)",IF(T7160&lt;=0.4,"Medium (21-40%)","High (&gt;40%)"))))</f>
        <v/>
      </c>
      <c r="Y7160" s="23" t="str">
        <f aca="false">IF(AND(ISNUMBER(C7160),ISNUMBER(D7160)),D7160-C7160,"")</f>
        <v/>
      </c>
      <c r="Z7160" s="23" t="str">
        <f aca="false">IF(B7160="","",IF(MATCH(B7160,$B$2:$B$12000,0)=ROW()-1,1,0))</f>
        <v/>
      </c>
    </row>
    <row r="7161" customFormat="false" ht="15" hidden="false" customHeight="false" outlineLevel="0" collapsed="false">
      <c r="V7161" s="23" t="str">
        <f aca="false">IF(ISNUMBER(C7161),YEAR(C7161),"")</f>
        <v/>
      </c>
      <c r="W7161" s="23" t="str">
        <f aca="false">IF(ISNUMBER(C7161),MONTH(C7161),"")</f>
        <v/>
      </c>
      <c r="X7161" s="23" t="str">
        <f aca="false">IF(T7161="","",IF(T7161=0,"No discount",IF(T7161&lt;=0.2,"Low (1-20%)",IF(T7161&lt;=0.4,"Medium (21-40%)","High (&gt;40%)"))))</f>
        <v/>
      </c>
      <c r="Y7161" s="23" t="str">
        <f aca="false">IF(AND(ISNUMBER(C7161),ISNUMBER(D7161)),D7161-C7161,"")</f>
        <v/>
      </c>
      <c r="Z7161" s="23" t="str">
        <f aca="false">IF(B7161="","",IF(MATCH(B7161,$B$2:$B$12000,0)=ROW()-1,1,0))</f>
        <v/>
      </c>
    </row>
    <row r="7162" customFormat="false" ht="15" hidden="false" customHeight="false" outlineLevel="0" collapsed="false">
      <c r="V7162" s="23" t="str">
        <f aca="false">IF(ISNUMBER(C7162),YEAR(C7162),"")</f>
        <v/>
      </c>
      <c r="W7162" s="23" t="str">
        <f aca="false">IF(ISNUMBER(C7162),MONTH(C7162),"")</f>
        <v/>
      </c>
      <c r="X7162" s="23" t="str">
        <f aca="false">IF(T7162="","",IF(T7162=0,"No discount",IF(T7162&lt;=0.2,"Low (1-20%)",IF(T7162&lt;=0.4,"Medium (21-40%)","High (&gt;40%)"))))</f>
        <v/>
      </c>
      <c r="Y7162" s="23" t="str">
        <f aca="false">IF(AND(ISNUMBER(C7162),ISNUMBER(D7162)),D7162-C7162,"")</f>
        <v/>
      </c>
      <c r="Z7162" s="23" t="str">
        <f aca="false">IF(B7162="","",IF(MATCH(B7162,$B$2:$B$12000,0)=ROW()-1,1,0))</f>
        <v/>
      </c>
    </row>
    <row r="7163" customFormat="false" ht="15" hidden="false" customHeight="false" outlineLevel="0" collapsed="false">
      <c r="V7163" s="23" t="str">
        <f aca="false">IF(ISNUMBER(C7163),YEAR(C7163),"")</f>
        <v/>
      </c>
      <c r="W7163" s="23" t="str">
        <f aca="false">IF(ISNUMBER(C7163),MONTH(C7163),"")</f>
        <v/>
      </c>
      <c r="X7163" s="23" t="str">
        <f aca="false">IF(T7163="","",IF(T7163=0,"No discount",IF(T7163&lt;=0.2,"Low (1-20%)",IF(T7163&lt;=0.4,"Medium (21-40%)","High (&gt;40%)"))))</f>
        <v/>
      </c>
      <c r="Y7163" s="23" t="str">
        <f aca="false">IF(AND(ISNUMBER(C7163),ISNUMBER(D7163)),D7163-C7163,"")</f>
        <v/>
      </c>
      <c r="Z7163" s="23" t="str">
        <f aca="false">IF(B7163="","",IF(MATCH(B7163,$B$2:$B$12000,0)=ROW()-1,1,0))</f>
        <v/>
      </c>
    </row>
    <row r="7164" customFormat="false" ht="15" hidden="false" customHeight="false" outlineLevel="0" collapsed="false">
      <c r="V7164" s="23" t="str">
        <f aca="false">IF(ISNUMBER(C7164),YEAR(C7164),"")</f>
        <v/>
      </c>
      <c r="W7164" s="23" t="str">
        <f aca="false">IF(ISNUMBER(C7164),MONTH(C7164),"")</f>
        <v/>
      </c>
      <c r="X7164" s="23" t="str">
        <f aca="false">IF(T7164="","",IF(T7164=0,"No discount",IF(T7164&lt;=0.2,"Low (1-20%)",IF(T7164&lt;=0.4,"Medium (21-40%)","High (&gt;40%)"))))</f>
        <v/>
      </c>
      <c r="Y7164" s="23" t="str">
        <f aca="false">IF(AND(ISNUMBER(C7164),ISNUMBER(D7164)),D7164-C7164,"")</f>
        <v/>
      </c>
      <c r="Z7164" s="23" t="str">
        <f aca="false">IF(B7164="","",IF(MATCH(B7164,$B$2:$B$12000,0)=ROW()-1,1,0))</f>
        <v/>
      </c>
    </row>
    <row r="7165" customFormat="false" ht="15" hidden="false" customHeight="false" outlineLevel="0" collapsed="false">
      <c r="V7165" s="23" t="str">
        <f aca="false">IF(ISNUMBER(C7165),YEAR(C7165),"")</f>
        <v/>
      </c>
      <c r="W7165" s="23" t="str">
        <f aca="false">IF(ISNUMBER(C7165),MONTH(C7165),"")</f>
        <v/>
      </c>
      <c r="X7165" s="23" t="str">
        <f aca="false">IF(T7165="","",IF(T7165=0,"No discount",IF(T7165&lt;=0.2,"Low (1-20%)",IF(T7165&lt;=0.4,"Medium (21-40%)","High (&gt;40%)"))))</f>
        <v/>
      </c>
      <c r="Y7165" s="23" t="str">
        <f aca="false">IF(AND(ISNUMBER(C7165),ISNUMBER(D7165)),D7165-C7165,"")</f>
        <v/>
      </c>
      <c r="Z7165" s="23" t="str">
        <f aca="false">IF(B7165="","",IF(MATCH(B7165,$B$2:$B$12000,0)=ROW()-1,1,0))</f>
        <v/>
      </c>
    </row>
    <row r="7166" customFormat="false" ht="15" hidden="false" customHeight="false" outlineLevel="0" collapsed="false">
      <c r="V7166" s="23" t="str">
        <f aca="false">IF(ISNUMBER(C7166),YEAR(C7166),"")</f>
        <v/>
      </c>
      <c r="W7166" s="23" t="str">
        <f aca="false">IF(ISNUMBER(C7166),MONTH(C7166),"")</f>
        <v/>
      </c>
      <c r="X7166" s="23" t="str">
        <f aca="false">IF(T7166="","",IF(T7166=0,"No discount",IF(T7166&lt;=0.2,"Low (1-20%)",IF(T7166&lt;=0.4,"Medium (21-40%)","High (&gt;40%)"))))</f>
        <v/>
      </c>
      <c r="Y7166" s="23" t="str">
        <f aca="false">IF(AND(ISNUMBER(C7166),ISNUMBER(D7166)),D7166-C7166,"")</f>
        <v/>
      </c>
      <c r="Z7166" s="23" t="str">
        <f aca="false">IF(B7166="","",IF(MATCH(B7166,$B$2:$B$12000,0)=ROW()-1,1,0))</f>
        <v/>
      </c>
    </row>
    <row r="7167" customFormat="false" ht="15" hidden="false" customHeight="false" outlineLevel="0" collapsed="false">
      <c r="V7167" s="23" t="str">
        <f aca="false">IF(ISNUMBER(C7167),YEAR(C7167),"")</f>
        <v/>
      </c>
      <c r="W7167" s="23" t="str">
        <f aca="false">IF(ISNUMBER(C7167),MONTH(C7167),"")</f>
        <v/>
      </c>
      <c r="X7167" s="23" t="str">
        <f aca="false">IF(T7167="","",IF(T7167=0,"No discount",IF(T7167&lt;=0.2,"Low (1-20%)",IF(T7167&lt;=0.4,"Medium (21-40%)","High (&gt;40%)"))))</f>
        <v/>
      </c>
      <c r="Y7167" s="23" t="str">
        <f aca="false">IF(AND(ISNUMBER(C7167),ISNUMBER(D7167)),D7167-C7167,"")</f>
        <v/>
      </c>
      <c r="Z7167" s="23" t="str">
        <f aca="false">IF(B7167="","",IF(MATCH(B7167,$B$2:$B$12000,0)=ROW()-1,1,0))</f>
        <v/>
      </c>
    </row>
    <row r="7168" customFormat="false" ht="15" hidden="false" customHeight="false" outlineLevel="0" collapsed="false">
      <c r="V7168" s="23" t="str">
        <f aca="false">IF(ISNUMBER(C7168),YEAR(C7168),"")</f>
        <v/>
      </c>
      <c r="W7168" s="23" t="str">
        <f aca="false">IF(ISNUMBER(C7168),MONTH(C7168),"")</f>
        <v/>
      </c>
      <c r="X7168" s="23" t="str">
        <f aca="false">IF(T7168="","",IF(T7168=0,"No discount",IF(T7168&lt;=0.2,"Low (1-20%)",IF(T7168&lt;=0.4,"Medium (21-40%)","High (&gt;40%)"))))</f>
        <v/>
      </c>
      <c r="Y7168" s="23" t="str">
        <f aca="false">IF(AND(ISNUMBER(C7168),ISNUMBER(D7168)),D7168-C7168,"")</f>
        <v/>
      </c>
      <c r="Z7168" s="23" t="str">
        <f aca="false">IF(B7168="","",IF(MATCH(B7168,$B$2:$B$12000,0)=ROW()-1,1,0))</f>
        <v/>
      </c>
    </row>
    <row r="7169" customFormat="false" ht="15" hidden="false" customHeight="false" outlineLevel="0" collapsed="false">
      <c r="V7169" s="23" t="str">
        <f aca="false">IF(ISNUMBER(C7169),YEAR(C7169),"")</f>
        <v/>
      </c>
      <c r="W7169" s="23" t="str">
        <f aca="false">IF(ISNUMBER(C7169),MONTH(C7169),"")</f>
        <v/>
      </c>
      <c r="X7169" s="23" t="str">
        <f aca="false">IF(T7169="","",IF(T7169=0,"No discount",IF(T7169&lt;=0.2,"Low (1-20%)",IF(T7169&lt;=0.4,"Medium (21-40%)","High (&gt;40%)"))))</f>
        <v/>
      </c>
      <c r="Y7169" s="23" t="str">
        <f aca="false">IF(AND(ISNUMBER(C7169),ISNUMBER(D7169)),D7169-C7169,"")</f>
        <v/>
      </c>
      <c r="Z7169" s="23" t="str">
        <f aca="false">IF(B7169="","",IF(MATCH(B7169,$B$2:$B$12000,0)=ROW()-1,1,0))</f>
        <v/>
      </c>
    </row>
    <row r="7170" customFormat="false" ht="15" hidden="false" customHeight="false" outlineLevel="0" collapsed="false">
      <c r="V7170" s="23" t="str">
        <f aca="false">IF(ISNUMBER(C7170),YEAR(C7170),"")</f>
        <v/>
      </c>
      <c r="W7170" s="23" t="str">
        <f aca="false">IF(ISNUMBER(C7170),MONTH(C7170),"")</f>
        <v/>
      </c>
      <c r="X7170" s="23" t="str">
        <f aca="false">IF(T7170="","",IF(T7170=0,"No discount",IF(T7170&lt;=0.2,"Low (1-20%)",IF(T7170&lt;=0.4,"Medium (21-40%)","High (&gt;40%)"))))</f>
        <v/>
      </c>
      <c r="Y7170" s="23" t="str">
        <f aca="false">IF(AND(ISNUMBER(C7170),ISNUMBER(D7170)),D7170-C7170,"")</f>
        <v/>
      </c>
      <c r="Z7170" s="23" t="str">
        <f aca="false">IF(B7170="","",IF(MATCH(B7170,$B$2:$B$12000,0)=ROW()-1,1,0))</f>
        <v/>
      </c>
    </row>
    <row r="7171" customFormat="false" ht="15" hidden="false" customHeight="false" outlineLevel="0" collapsed="false">
      <c r="V7171" s="23" t="str">
        <f aca="false">IF(ISNUMBER(C7171),YEAR(C7171),"")</f>
        <v/>
      </c>
      <c r="W7171" s="23" t="str">
        <f aca="false">IF(ISNUMBER(C7171),MONTH(C7171),"")</f>
        <v/>
      </c>
      <c r="X7171" s="23" t="str">
        <f aca="false">IF(T7171="","",IF(T7171=0,"No discount",IF(T7171&lt;=0.2,"Low (1-20%)",IF(T7171&lt;=0.4,"Medium (21-40%)","High (&gt;40%)"))))</f>
        <v/>
      </c>
      <c r="Y7171" s="23" t="str">
        <f aca="false">IF(AND(ISNUMBER(C7171),ISNUMBER(D7171)),D7171-C7171,"")</f>
        <v/>
      </c>
      <c r="Z7171" s="23" t="str">
        <f aca="false">IF(B7171="","",IF(MATCH(B7171,$B$2:$B$12000,0)=ROW()-1,1,0))</f>
        <v/>
      </c>
    </row>
    <row r="7172" customFormat="false" ht="15" hidden="false" customHeight="false" outlineLevel="0" collapsed="false">
      <c r="V7172" s="23" t="str">
        <f aca="false">IF(ISNUMBER(C7172),YEAR(C7172),"")</f>
        <v/>
      </c>
      <c r="W7172" s="23" t="str">
        <f aca="false">IF(ISNUMBER(C7172),MONTH(C7172),"")</f>
        <v/>
      </c>
      <c r="X7172" s="23" t="str">
        <f aca="false">IF(T7172="","",IF(T7172=0,"No discount",IF(T7172&lt;=0.2,"Low (1-20%)",IF(T7172&lt;=0.4,"Medium (21-40%)","High (&gt;40%)"))))</f>
        <v/>
      </c>
      <c r="Y7172" s="23" t="str">
        <f aca="false">IF(AND(ISNUMBER(C7172),ISNUMBER(D7172)),D7172-C7172,"")</f>
        <v/>
      </c>
      <c r="Z7172" s="23" t="str">
        <f aca="false">IF(B7172="","",IF(MATCH(B7172,$B$2:$B$12000,0)=ROW()-1,1,0))</f>
        <v/>
      </c>
    </row>
    <row r="7173" customFormat="false" ht="15" hidden="false" customHeight="false" outlineLevel="0" collapsed="false">
      <c r="V7173" s="23" t="str">
        <f aca="false">IF(ISNUMBER(C7173),YEAR(C7173),"")</f>
        <v/>
      </c>
      <c r="W7173" s="23" t="str">
        <f aca="false">IF(ISNUMBER(C7173),MONTH(C7173),"")</f>
        <v/>
      </c>
      <c r="X7173" s="23" t="str">
        <f aca="false">IF(T7173="","",IF(T7173=0,"No discount",IF(T7173&lt;=0.2,"Low (1-20%)",IF(T7173&lt;=0.4,"Medium (21-40%)","High (&gt;40%)"))))</f>
        <v/>
      </c>
      <c r="Y7173" s="23" t="str">
        <f aca="false">IF(AND(ISNUMBER(C7173),ISNUMBER(D7173)),D7173-C7173,"")</f>
        <v/>
      </c>
      <c r="Z7173" s="23" t="str">
        <f aca="false">IF(B7173="","",IF(MATCH(B7173,$B$2:$B$12000,0)=ROW()-1,1,0))</f>
        <v/>
      </c>
    </row>
    <row r="7174" customFormat="false" ht="15" hidden="false" customHeight="false" outlineLevel="0" collapsed="false">
      <c r="V7174" s="23" t="str">
        <f aca="false">IF(ISNUMBER(C7174),YEAR(C7174),"")</f>
        <v/>
      </c>
      <c r="W7174" s="23" t="str">
        <f aca="false">IF(ISNUMBER(C7174),MONTH(C7174),"")</f>
        <v/>
      </c>
      <c r="X7174" s="23" t="str">
        <f aca="false">IF(T7174="","",IF(T7174=0,"No discount",IF(T7174&lt;=0.2,"Low (1-20%)",IF(T7174&lt;=0.4,"Medium (21-40%)","High (&gt;40%)"))))</f>
        <v/>
      </c>
      <c r="Y7174" s="23" t="str">
        <f aca="false">IF(AND(ISNUMBER(C7174),ISNUMBER(D7174)),D7174-C7174,"")</f>
        <v/>
      </c>
      <c r="Z7174" s="23" t="str">
        <f aca="false">IF(B7174="","",IF(MATCH(B7174,$B$2:$B$12000,0)=ROW()-1,1,0))</f>
        <v/>
      </c>
    </row>
    <row r="7175" customFormat="false" ht="15" hidden="false" customHeight="false" outlineLevel="0" collapsed="false">
      <c r="V7175" s="23" t="str">
        <f aca="false">IF(ISNUMBER(C7175),YEAR(C7175),"")</f>
        <v/>
      </c>
      <c r="W7175" s="23" t="str">
        <f aca="false">IF(ISNUMBER(C7175),MONTH(C7175),"")</f>
        <v/>
      </c>
      <c r="X7175" s="23" t="str">
        <f aca="false">IF(T7175="","",IF(T7175=0,"No discount",IF(T7175&lt;=0.2,"Low (1-20%)",IF(T7175&lt;=0.4,"Medium (21-40%)","High (&gt;40%)"))))</f>
        <v/>
      </c>
      <c r="Y7175" s="23" t="str">
        <f aca="false">IF(AND(ISNUMBER(C7175),ISNUMBER(D7175)),D7175-C7175,"")</f>
        <v/>
      </c>
      <c r="Z7175" s="23" t="str">
        <f aca="false">IF(B7175="","",IF(MATCH(B7175,$B$2:$B$12000,0)=ROW()-1,1,0))</f>
        <v/>
      </c>
    </row>
    <row r="7176" customFormat="false" ht="15" hidden="false" customHeight="false" outlineLevel="0" collapsed="false">
      <c r="V7176" s="23" t="str">
        <f aca="false">IF(ISNUMBER(C7176),YEAR(C7176),"")</f>
        <v/>
      </c>
      <c r="W7176" s="23" t="str">
        <f aca="false">IF(ISNUMBER(C7176),MONTH(C7176),"")</f>
        <v/>
      </c>
      <c r="X7176" s="23" t="str">
        <f aca="false">IF(T7176="","",IF(T7176=0,"No discount",IF(T7176&lt;=0.2,"Low (1-20%)",IF(T7176&lt;=0.4,"Medium (21-40%)","High (&gt;40%)"))))</f>
        <v/>
      </c>
      <c r="Y7176" s="23" t="str">
        <f aca="false">IF(AND(ISNUMBER(C7176),ISNUMBER(D7176)),D7176-C7176,"")</f>
        <v/>
      </c>
      <c r="Z7176" s="23" t="str">
        <f aca="false">IF(B7176="","",IF(MATCH(B7176,$B$2:$B$12000,0)=ROW()-1,1,0))</f>
        <v/>
      </c>
    </row>
    <row r="7177" customFormat="false" ht="15" hidden="false" customHeight="false" outlineLevel="0" collapsed="false">
      <c r="V7177" s="23" t="str">
        <f aca="false">IF(ISNUMBER(C7177),YEAR(C7177),"")</f>
        <v/>
      </c>
      <c r="W7177" s="23" t="str">
        <f aca="false">IF(ISNUMBER(C7177),MONTH(C7177),"")</f>
        <v/>
      </c>
      <c r="X7177" s="23" t="str">
        <f aca="false">IF(T7177="","",IF(T7177=0,"No discount",IF(T7177&lt;=0.2,"Low (1-20%)",IF(T7177&lt;=0.4,"Medium (21-40%)","High (&gt;40%)"))))</f>
        <v/>
      </c>
      <c r="Y7177" s="23" t="str">
        <f aca="false">IF(AND(ISNUMBER(C7177),ISNUMBER(D7177)),D7177-C7177,"")</f>
        <v/>
      </c>
      <c r="Z7177" s="23" t="str">
        <f aca="false">IF(B7177="","",IF(MATCH(B7177,$B$2:$B$12000,0)=ROW()-1,1,0))</f>
        <v/>
      </c>
    </row>
    <row r="7178" customFormat="false" ht="15" hidden="false" customHeight="false" outlineLevel="0" collapsed="false">
      <c r="V7178" s="23" t="str">
        <f aca="false">IF(ISNUMBER(C7178),YEAR(C7178),"")</f>
        <v/>
      </c>
      <c r="W7178" s="23" t="str">
        <f aca="false">IF(ISNUMBER(C7178),MONTH(C7178),"")</f>
        <v/>
      </c>
      <c r="X7178" s="23" t="str">
        <f aca="false">IF(T7178="","",IF(T7178=0,"No discount",IF(T7178&lt;=0.2,"Low (1-20%)",IF(T7178&lt;=0.4,"Medium (21-40%)","High (&gt;40%)"))))</f>
        <v/>
      </c>
      <c r="Y7178" s="23" t="str">
        <f aca="false">IF(AND(ISNUMBER(C7178),ISNUMBER(D7178)),D7178-C7178,"")</f>
        <v/>
      </c>
      <c r="Z7178" s="23" t="str">
        <f aca="false">IF(B7178="","",IF(MATCH(B7178,$B$2:$B$12000,0)=ROW()-1,1,0))</f>
        <v/>
      </c>
    </row>
    <row r="7179" customFormat="false" ht="15" hidden="false" customHeight="false" outlineLevel="0" collapsed="false">
      <c r="V7179" s="23" t="str">
        <f aca="false">IF(ISNUMBER(C7179),YEAR(C7179),"")</f>
        <v/>
      </c>
      <c r="W7179" s="23" t="str">
        <f aca="false">IF(ISNUMBER(C7179),MONTH(C7179),"")</f>
        <v/>
      </c>
      <c r="X7179" s="23" t="str">
        <f aca="false">IF(T7179="","",IF(T7179=0,"No discount",IF(T7179&lt;=0.2,"Low (1-20%)",IF(T7179&lt;=0.4,"Medium (21-40%)","High (&gt;40%)"))))</f>
        <v/>
      </c>
      <c r="Y7179" s="23" t="str">
        <f aca="false">IF(AND(ISNUMBER(C7179),ISNUMBER(D7179)),D7179-C7179,"")</f>
        <v/>
      </c>
      <c r="Z7179" s="23" t="str">
        <f aca="false">IF(B7179="","",IF(MATCH(B7179,$B$2:$B$12000,0)=ROW()-1,1,0))</f>
        <v/>
      </c>
    </row>
    <row r="7180" customFormat="false" ht="15" hidden="false" customHeight="false" outlineLevel="0" collapsed="false">
      <c r="V7180" s="23" t="str">
        <f aca="false">IF(ISNUMBER(C7180),YEAR(C7180),"")</f>
        <v/>
      </c>
      <c r="W7180" s="23" t="str">
        <f aca="false">IF(ISNUMBER(C7180),MONTH(C7180),"")</f>
        <v/>
      </c>
      <c r="X7180" s="23" t="str">
        <f aca="false">IF(T7180="","",IF(T7180=0,"No discount",IF(T7180&lt;=0.2,"Low (1-20%)",IF(T7180&lt;=0.4,"Medium (21-40%)","High (&gt;40%)"))))</f>
        <v/>
      </c>
      <c r="Y7180" s="23" t="str">
        <f aca="false">IF(AND(ISNUMBER(C7180),ISNUMBER(D7180)),D7180-C7180,"")</f>
        <v/>
      </c>
      <c r="Z7180" s="23" t="str">
        <f aca="false">IF(B7180="","",IF(MATCH(B7180,$B$2:$B$12000,0)=ROW()-1,1,0))</f>
        <v/>
      </c>
    </row>
    <row r="7181" customFormat="false" ht="15" hidden="false" customHeight="false" outlineLevel="0" collapsed="false">
      <c r="V7181" s="23" t="str">
        <f aca="false">IF(ISNUMBER(C7181),YEAR(C7181),"")</f>
        <v/>
      </c>
      <c r="W7181" s="23" t="str">
        <f aca="false">IF(ISNUMBER(C7181),MONTH(C7181),"")</f>
        <v/>
      </c>
      <c r="X7181" s="23" t="str">
        <f aca="false">IF(T7181="","",IF(T7181=0,"No discount",IF(T7181&lt;=0.2,"Low (1-20%)",IF(T7181&lt;=0.4,"Medium (21-40%)","High (&gt;40%)"))))</f>
        <v/>
      </c>
      <c r="Y7181" s="23" t="str">
        <f aca="false">IF(AND(ISNUMBER(C7181),ISNUMBER(D7181)),D7181-C7181,"")</f>
        <v/>
      </c>
      <c r="Z7181" s="23" t="str">
        <f aca="false">IF(B7181="","",IF(MATCH(B7181,$B$2:$B$12000,0)=ROW()-1,1,0))</f>
        <v/>
      </c>
    </row>
    <row r="7182" customFormat="false" ht="15" hidden="false" customHeight="false" outlineLevel="0" collapsed="false">
      <c r="V7182" s="23" t="str">
        <f aca="false">IF(ISNUMBER(C7182),YEAR(C7182),"")</f>
        <v/>
      </c>
      <c r="W7182" s="23" t="str">
        <f aca="false">IF(ISNUMBER(C7182),MONTH(C7182),"")</f>
        <v/>
      </c>
      <c r="X7182" s="23" t="str">
        <f aca="false">IF(T7182="","",IF(T7182=0,"No discount",IF(T7182&lt;=0.2,"Low (1-20%)",IF(T7182&lt;=0.4,"Medium (21-40%)","High (&gt;40%)"))))</f>
        <v/>
      </c>
      <c r="Y7182" s="23" t="str">
        <f aca="false">IF(AND(ISNUMBER(C7182),ISNUMBER(D7182)),D7182-C7182,"")</f>
        <v/>
      </c>
      <c r="Z7182" s="23" t="str">
        <f aca="false">IF(B7182="","",IF(MATCH(B7182,$B$2:$B$12000,0)=ROW()-1,1,0))</f>
        <v/>
      </c>
    </row>
    <row r="7183" customFormat="false" ht="15" hidden="false" customHeight="false" outlineLevel="0" collapsed="false">
      <c r="V7183" s="23" t="str">
        <f aca="false">IF(ISNUMBER(C7183),YEAR(C7183),"")</f>
        <v/>
      </c>
      <c r="W7183" s="23" t="str">
        <f aca="false">IF(ISNUMBER(C7183),MONTH(C7183),"")</f>
        <v/>
      </c>
      <c r="X7183" s="23" t="str">
        <f aca="false">IF(T7183="","",IF(T7183=0,"No discount",IF(T7183&lt;=0.2,"Low (1-20%)",IF(T7183&lt;=0.4,"Medium (21-40%)","High (&gt;40%)"))))</f>
        <v/>
      </c>
      <c r="Y7183" s="23" t="str">
        <f aca="false">IF(AND(ISNUMBER(C7183),ISNUMBER(D7183)),D7183-C7183,"")</f>
        <v/>
      </c>
      <c r="Z7183" s="23" t="str">
        <f aca="false">IF(B7183="","",IF(MATCH(B7183,$B$2:$B$12000,0)=ROW()-1,1,0))</f>
        <v/>
      </c>
    </row>
    <row r="7184" customFormat="false" ht="15" hidden="false" customHeight="false" outlineLevel="0" collapsed="false">
      <c r="V7184" s="23" t="str">
        <f aca="false">IF(ISNUMBER(C7184),YEAR(C7184),"")</f>
        <v/>
      </c>
      <c r="W7184" s="23" t="str">
        <f aca="false">IF(ISNUMBER(C7184),MONTH(C7184),"")</f>
        <v/>
      </c>
      <c r="X7184" s="23" t="str">
        <f aca="false">IF(T7184="","",IF(T7184=0,"No discount",IF(T7184&lt;=0.2,"Low (1-20%)",IF(T7184&lt;=0.4,"Medium (21-40%)","High (&gt;40%)"))))</f>
        <v/>
      </c>
      <c r="Y7184" s="23" t="str">
        <f aca="false">IF(AND(ISNUMBER(C7184),ISNUMBER(D7184)),D7184-C7184,"")</f>
        <v/>
      </c>
      <c r="Z7184" s="23" t="str">
        <f aca="false">IF(B7184="","",IF(MATCH(B7184,$B$2:$B$12000,0)=ROW()-1,1,0))</f>
        <v/>
      </c>
    </row>
    <row r="7185" customFormat="false" ht="15" hidden="false" customHeight="false" outlineLevel="0" collapsed="false">
      <c r="V7185" s="23" t="str">
        <f aca="false">IF(ISNUMBER(C7185),YEAR(C7185),"")</f>
        <v/>
      </c>
      <c r="W7185" s="23" t="str">
        <f aca="false">IF(ISNUMBER(C7185),MONTH(C7185),"")</f>
        <v/>
      </c>
      <c r="X7185" s="23" t="str">
        <f aca="false">IF(T7185="","",IF(T7185=0,"No discount",IF(T7185&lt;=0.2,"Low (1-20%)",IF(T7185&lt;=0.4,"Medium (21-40%)","High (&gt;40%)"))))</f>
        <v/>
      </c>
      <c r="Y7185" s="23" t="str">
        <f aca="false">IF(AND(ISNUMBER(C7185),ISNUMBER(D7185)),D7185-C7185,"")</f>
        <v/>
      </c>
      <c r="Z7185" s="23" t="str">
        <f aca="false">IF(B7185="","",IF(MATCH(B7185,$B$2:$B$12000,0)=ROW()-1,1,0))</f>
        <v/>
      </c>
    </row>
    <row r="7186" customFormat="false" ht="15" hidden="false" customHeight="false" outlineLevel="0" collapsed="false">
      <c r="V7186" s="23" t="str">
        <f aca="false">IF(ISNUMBER(C7186),YEAR(C7186),"")</f>
        <v/>
      </c>
      <c r="W7186" s="23" t="str">
        <f aca="false">IF(ISNUMBER(C7186),MONTH(C7186),"")</f>
        <v/>
      </c>
      <c r="X7186" s="23" t="str">
        <f aca="false">IF(T7186="","",IF(T7186=0,"No discount",IF(T7186&lt;=0.2,"Low (1-20%)",IF(T7186&lt;=0.4,"Medium (21-40%)","High (&gt;40%)"))))</f>
        <v/>
      </c>
      <c r="Y7186" s="23" t="str">
        <f aca="false">IF(AND(ISNUMBER(C7186),ISNUMBER(D7186)),D7186-C7186,"")</f>
        <v/>
      </c>
      <c r="Z7186" s="23" t="str">
        <f aca="false">IF(B7186="","",IF(MATCH(B7186,$B$2:$B$12000,0)=ROW()-1,1,0))</f>
        <v/>
      </c>
    </row>
    <row r="7187" customFormat="false" ht="15" hidden="false" customHeight="false" outlineLevel="0" collapsed="false">
      <c r="V7187" s="23" t="str">
        <f aca="false">IF(ISNUMBER(C7187),YEAR(C7187),"")</f>
        <v/>
      </c>
      <c r="W7187" s="23" t="str">
        <f aca="false">IF(ISNUMBER(C7187),MONTH(C7187),"")</f>
        <v/>
      </c>
      <c r="X7187" s="23" t="str">
        <f aca="false">IF(T7187="","",IF(T7187=0,"No discount",IF(T7187&lt;=0.2,"Low (1-20%)",IF(T7187&lt;=0.4,"Medium (21-40%)","High (&gt;40%)"))))</f>
        <v/>
      </c>
      <c r="Y7187" s="23" t="str">
        <f aca="false">IF(AND(ISNUMBER(C7187),ISNUMBER(D7187)),D7187-C7187,"")</f>
        <v/>
      </c>
      <c r="Z7187" s="23" t="str">
        <f aca="false">IF(B7187="","",IF(MATCH(B7187,$B$2:$B$12000,0)=ROW()-1,1,0))</f>
        <v/>
      </c>
    </row>
    <row r="7188" customFormat="false" ht="15" hidden="false" customHeight="false" outlineLevel="0" collapsed="false">
      <c r="V7188" s="23" t="str">
        <f aca="false">IF(ISNUMBER(C7188),YEAR(C7188),"")</f>
        <v/>
      </c>
      <c r="W7188" s="23" t="str">
        <f aca="false">IF(ISNUMBER(C7188),MONTH(C7188),"")</f>
        <v/>
      </c>
      <c r="X7188" s="23" t="str">
        <f aca="false">IF(T7188="","",IF(T7188=0,"No discount",IF(T7188&lt;=0.2,"Low (1-20%)",IF(T7188&lt;=0.4,"Medium (21-40%)","High (&gt;40%)"))))</f>
        <v/>
      </c>
      <c r="Y7188" s="23" t="str">
        <f aca="false">IF(AND(ISNUMBER(C7188),ISNUMBER(D7188)),D7188-C7188,"")</f>
        <v/>
      </c>
      <c r="Z7188" s="23" t="str">
        <f aca="false">IF(B7188="","",IF(MATCH(B7188,$B$2:$B$12000,0)=ROW()-1,1,0))</f>
        <v/>
      </c>
    </row>
    <row r="7189" customFormat="false" ht="15" hidden="false" customHeight="false" outlineLevel="0" collapsed="false">
      <c r="V7189" s="23" t="str">
        <f aca="false">IF(ISNUMBER(C7189),YEAR(C7189),"")</f>
        <v/>
      </c>
      <c r="W7189" s="23" t="str">
        <f aca="false">IF(ISNUMBER(C7189),MONTH(C7189),"")</f>
        <v/>
      </c>
      <c r="X7189" s="23" t="str">
        <f aca="false">IF(T7189="","",IF(T7189=0,"No discount",IF(T7189&lt;=0.2,"Low (1-20%)",IF(T7189&lt;=0.4,"Medium (21-40%)","High (&gt;40%)"))))</f>
        <v/>
      </c>
      <c r="Y7189" s="23" t="str">
        <f aca="false">IF(AND(ISNUMBER(C7189),ISNUMBER(D7189)),D7189-C7189,"")</f>
        <v/>
      </c>
      <c r="Z7189" s="23" t="str">
        <f aca="false">IF(B7189="","",IF(MATCH(B7189,$B$2:$B$12000,0)=ROW()-1,1,0))</f>
        <v/>
      </c>
    </row>
    <row r="7190" customFormat="false" ht="15" hidden="false" customHeight="false" outlineLevel="0" collapsed="false">
      <c r="V7190" s="23" t="str">
        <f aca="false">IF(ISNUMBER(C7190),YEAR(C7190),"")</f>
        <v/>
      </c>
      <c r="W7190" s="23" t="str">
        <f aca="false">IF(ISNUMBER(C7190),MONTH(C7190),"")</f>
        <v/>
      </c>
      <c r="X7190" s="23" t="str">
        <f aca="false">IF(T7190="","",IF(T7190=0,"No discount",IF(T7190&lt;=0.2,"Low (1-20%)",IF(T7190&lt;=0.4,"Medium (21-40%)","High (&gt;40%)"))))</f>
        <v/>
      </c>
      <c r="Y7190" s="23" t="str">
        <f aca="false">IF(AND(ISNUMBER(C7190),ISNUMBER(D7190)),D7190-C7190,"")</f>
        <v/>
      </c>
      <c r="Z7190" s="23" t="str">
        <f aca="false">IF(B7190="","",IF(MATCH(B7190,$B$2:$B$12000,0)=ROW()-1,1,0))</f>
        <v/>
      </c>
    </row>
    <row r="7191" customFormat="false" ht="15" hidden="false" customHeight="false" outlineLevel="0" collapsed="false">
      <c r="V7191" s="23" t="str">
        <f aca="false">IF(ISNUMBER(C7191),YEAR(C7191),"")</f>
        <v/>
      </c>
      <c r="W7191" s="23" t="str">
        <f aca="false">IF(ISNUMBER(C7191),MONTH(C7191),"")</f>
        <v/>
      </c>
      <c r="X7191" s="23" t="str">
        <f aca="false">IF(T7191="","",IF(T7191=0,"No discount",IF(T7191&lt;=0.2,"Low (1-20%)",IF(T7191&lt;=0.4,"Medium (21-40%)","High (&gt;40%)"))))</f>
        <v/>
      </c>
      <c r="Y7191" s="23" t="str">
        <f aca="false">IF(AND(ISNUMBER(C7191),ISNUMBER(D7191)),D7191-C7191,"")</f>
        <v/>
      </c>
      <c r="Z7191" s="23" t="str">
        <f aca="false">IF(B7191="","",IF(MATCH(B7191,$B$2:$B$12000,0)=ROW()-1,1,0))</f>
        <v/>
      </c>
    </row>
    <row r="7192" customFormat="false" ht="15" hidden="false" customHeight="false" outlineLevel="0" collapsed="false">
      <c r="V7192" s="23" t="str">
        <f aca="false">IF(ISNUMBER(C7192),YEAR(C7192),"")</f>
        <v/>
      </c>
      <c r="W7192" s="23" t="str">
        <f aca="false">IF(ISNUMBER(C7192),MONTH(C7192),"")</f>
        <v/>
      </c>
      <c r="X7192" s="23" t="str">
        <f aca="false">IF(T7192="","",IF(T7192=0,"No discount",IF(T7192&lt;=0.2,"Low (1-20%)",IF(T7192&lt;=0.4,"Medium (21-40%)","High (&gt;40%)"))))</f>
        <v/>
      </c>
      <c r="Y7192" s="23" t="str">
        <f aca="false">IF(AND(ISNUMBER(C7192),ISNUMBER(D7192)),D7192-C7192,"")</f>
        <v/>
      </c>
      <c r="Z7192" s="23" t="str">
        <f aca="false">IF(B7192="","",IF(MATCH(B7192,$B$2:$B$12000,0)=ROW()-1,1,0))</f>
        <v/>
      </c>
    </row>
    <row r="7193" customFormat="false" ht="15" hidden="false" customHeight="false" outlineLevel="0" collapsed="false">
      <c r="V7193" s="23" t="str">
        <f aca="false">IF(ISNUMBER(C7193),YEAR(C7193),"")</f>
        <v/>
      </c>
      <c r="W7193" s="23" t="str">
        <f aca="false">IF(ISNUMBER(C7193),MONTH(C7193),"")</f>
        <v/>
      </c>
      <c r="X7193" s="23" t="str">
        <f aca="false">IF(T7193="","",IF(T7193=0,"No discount",IF(T7193&lt;=0.2,"Low (1-20%)",IF(T7193&lt;=0.4,"Medium (21-40%)","High (&gt;40%)"))))</f>
        <v/>
      </c>
      <c r="Y7193" s="23" t="str">
        <f aca="false">IF(AND(ISNUMBER(C7193),ISNUMBER(D7193)),D7193-C7193,"")</f>
        <v/>
      </c>
      <c r="Z7193" s="23" t="str">
        <f aca="false">IF(B7193="","",IF(MATCH(B7193,$B$2:$B$12000,0)=ROW()-1,1,0))</f>
        <v/>
      </c>
    </row>
    <row r="7194" customFormat="false" ht="15" hidden="false" customHeight="false" outlineLevel="0" collapsed="false">
      <c r="V7194" s="23" t="str">
        <f aca="false">IF(ISNUMBER(C7194),YEAR(C7194),"")</f>
        <v/>
      </c>
      <c r="W7194" s="23" t="str">
        <f aca="false">IF(ISNUMBER(C7194),MONTH(C7194),"")</f>
        <v/>
      </c>
      <c r="X7194" s="23" t="str">
        <f aca="false">IF(T7194="","",IF(T7194=0,"No discount",IF(T7194&lt;=0.2,"Low (1-20%)",IF(T7194&lt;=0.4,"Medium (21-40%)","High (&gt;40%)"))))</f>
        <v/>
      </c>
      <c r="Y7194" s="23" t="str">
        <f aca="false">IF(AND(ISNUMBER(C7194),ISNUMBER(D7194)),D7194-C7194,"")</f>
        <v/>
      </c>
      <c r="Z7194" s="23" t="str">
        <f aca="false">IF(B7194="","",IF(MATCH(B7194,$B$2:$B$12000,0)=ROW()-1,1,0))</f>
        <v/>
      </c>
    </row>
    <row r="7195" customFormat="false" ht="15" hidden="false" customHeight="false" outlineLevel="0" collapsed="false">
      <c r="V7195" s="23" t="str">
        <f aca="false">IF(ISNUMBER(C7195),YEAR(C7195),"")</f>
        <v/>
      </c>
      <c r="W7195" s="23" t="str">
        <f aca="false">IF(ISNUMBER(C7195),MONTH(C7195),"")</f>
        <v/>
      </c>
      <c r="X7195" s="23" t="str">
        <f aca="false">IF(T7195="","",IF(T7195=0,"No discount",IF(T7195&lt;=0.2,"Low (1-20%)",IF(T7195&lt;=0.4,"Medium (21-40%)","High (&gt;40%)"))))</f>
        <v/>
      </c>
      <c r="Y7195" s="23" t="str">
        <f aca="false">IF(AND(ISNUMBER(C7195),ISNUMBER(D7195)),D7195-C7195,"")</f>
        <v/>
      </c>
      <c r="Z7195" s="23" t="str">
        <f aca="false">IF(B7195="","",IF(MATCH(B7195,$B$2:$B$12000,0)=ROW()-1,1,0))</f>
        <v/>
      </c>
    </row>
    <row r="7196" customFormat="false" ht="15" hidden="false" customHeight="false" outlineLevel="0" collapsed="false">
      <c r="V7196" s="23" t="str">
        <f aca="false">IF(ISNUMBER(C7196),YEAR(C7196),"")</f>
        <v/>
      </c>
      <c r="W7196" s="23" t="str">
        <f aca="false">IF(ISNUMBER(C7196),MONTH(C7196),"")</f>
        <v/>
      </c>
      <c r="X7196" s="23" t="str">
        <f aca="false">IF(T7196="","",IF(T7196=0,"No discount",IF(T7196&lt;=0.2,"Low (1-20%)",IF(T7196&lt;=0.4,"Medium (21-40%)","High (&gt;40%)"))))</f>
        <v/>
      </c>
      <c r="Y7196" s="23" t="str">
        <f aca="false">IF(AND(ISNUMBER(C7196),ISNUMBER(D7196)),D7196-C7196,"")</f>
        <v/>
      </c>
      <c r="Z7196" s="23" t="str">
        <f aca="false">IF(B7196="","",IF(MATCH(B7196,$B$2:$B$12000,0)=ROW()-1,1,0))</f>
        <v/>
      </c>
    </row>
    <row r="7197" customFormat="false" ht="15" hidden="false" customHeight="false" outlineLevel="0" collapsed="false">
      <c r="V7197" s="23" t="str">
        <f aca="false">IF(ISNUMBER(C7197),YEAR(C7197),"")</f>
        <v/>
      </c>
      <c r="W7197" s="23" t="str">
        <f aca="false">IF(ISNUMBER(C7197),MONTH(C7197),"")</f>
        <v/>
      </c>
      <c r="X7197" s="23" t="str">
        <f aca="false">IF(T7197="","",IF(T7197=0,"No discount",IF(T7197&lt;=0.2,"Low (1-20%)",IF(T7197&lt;=0.4,"Medium (21-40%)","High (&gt;40%)"))))</f>
        <v/>
      </c>
      <c r="Y7197" s="23" t="str">
        <f aca="false">IF(AND(ISNUMBER(C7197),ISNUMBER(D7197)),D7197-C7197,"")</f>
        <v/>
      </c>
      <c r="Z7197" s="23" t="str">
        <f aca="false">IF(B7197="","",IF(MATCH(B7197,$B$2:$B$12000,0)=ROW()-1,1,0))</f>
        <v/>
      </c>
    </row>
    <row r="7198" customFormat="false" ht="15" hidden="false" customHeight="false" outlineLevel="0" collapsed="false">
      <c r="V7198" s="23" t="str">
        <f aca="false">IF(ISNUMBER(C7198),YEAR(C7198),"")</f>
        <v/>
      </c>
      <c r="W7198" s="23" t="str">
        <f aca="false">IF(ISNUMBER(C7198),MONTH(C7198),"")</f>
        <v/>
      </c>
      <c r="X7198" s="23" t="str">
        <f aca="false">IF(T7198="","",IF(T7198=0,"No discount",IF(T7198&lt;=0.2,"Low (1-20%)",IF(T7198&lt;=0.4,"Medium (21-40%)","High (&gt;40%)"))))</f>
        <v/>
      </c>
      <c r="Y7198" s="23" t="str">
        <f aca="false">IF(AND(ISNUMBER(C7198),ISNUMBER(D7198)),D7198-C7198,"")</f>
        <v/>
      </c>
      <c r="Z7198" s="23" t="str">
        <f aca="false">IF(B7198="","",IF(MATCH(B7198,$B$2:$B$12000,0)=ROW()-1,1,0))</f>
        <v/>
      </c>
    </row>
    <row r="7199" customFormat="false" ht="15" hidden="false" customHeight="false" outlineLevel="0" collapsed="false">
      <c r="V7199" s="23" t="str">
        <f aca="false">IF(ISNUMBER(C7199),YEAR(C7199),"")</f>
        <v/>
      </c>
      <c r="W7199" s="23" t="str">
        <f aca="false">IF(ISNUMBER(C7199),MONTH(C7199),"")</f>
        <v/>
      </c>
      <c r="X7199" s="23" t="str">
        <f aca="false">IF(T7199="","",IF(T7199=0,"No discount",IF(T7199&lt;=0.2,"Low (1-20%)",IF(T7199&lt;=0.4,"Medium (21-40%)","High (&gt;40%)"))))</f>
        <v/>
      </c>
      <c r="Y7199" s="23" t="str">
        <f aca="false">IF(AND(ISNUMBER(C7199),ISNUMBER(D7199)),D7199-C7199,"")</f>
        <v/>
      </c>
      <c r="Z7199" s="23" t="str">
        <f aca="false">IF(B7199="","",IF(MATCH(B7199,$B$2:$B$12000,0)=ROW()-1,1,0))</f>
        <v/>
      </c>
    </row>
    <row r="7200" customFormat="false" ht="15" hidden="false" customHeight="false" outlineLevel="0" collapsed="false">
      <c r="V7200" s="23" t="str">
        <f aca="false">IF(ISNUMBER(C7200),YEAR(C7200),"")</f>
        <v/>
      </c>
      <c r="W7200" s="23" t="str">
        <f aca="false">IF(ISNUMBER(C7200),MONTH(C7200),"")</f>
        <v/>
      </c>
      <c r="X7200" s="23" t="str">
        <f aca="false">IF(T7200="","",IF(T7200=0,"No discount",IF(T7200&lt;=0.2,"Low (1-20%)",IF(T7200&lt;=0.4,"Medium (21-40%)","High (&gt;40%)"))))</f>
        <v/>
      </c>
      <c r="Y7200" s="23" t="str">
        <f aca="false">IF(AND(ISNUMBER(C7200),ISNUMBER(D7200)),D7200-C7200,"")</f>
        <v/>
      </c>
      <c r="Z7200" s="23" t="str">
        <f aca="false">IF(B7200="","",IF(MATCH(B7200,$B$2:$B$12000,0)=ROW()-1,1,0))</f>
        <v/>
      </c>
    </row>
    <row r="7201" customFormat="false" ht="15" hidden="false" customHeight="false" outlineLevel="0" collapsed="false">
      <c r="V7201" s="23" t="str">
        <f aca="false">IF(ISNUMBER(C7201),YEAR(C7201),"")</f>
        <v/>
      </c>
      <c r="W7201" s="23" t="str">
        <f aca="false">IF(ISNUMBER(C7201),MONTH(C7201),"")</f>
        <v/>
      </c>
      <c r="X7201" s="23" t="str">
        <f aca="false">IF(T7201="","",IF(T7201=0,"No discount",IF(T7201&lt;=0.2,"Low (1-20%)",IF(T7201&lt;=0.4,"Medium (21-40%)","High (&gt;40%)"))))</f>
        <v/>
      </c>
      <c r="Y7201" s="23" t="str">
        <f aca="false">IF(AND(ISNUMBER(C7201),ISNUMBER(D7201)),D7201-C7201,"")</f>
        <v/>
      </c>
      <c r="Z7201" s="23" t="str">
        <f aca="false">IF(B7201="","",IF(MATCH(B7201,$B$2:$B$12000,0)=ROW()-1,1,0))</f>
        <v/>
      </c>
    </row>
    <row r="7202" customFormat="false" ht="15" hidden="false" customHeight="false" outlineLevel="0" collapsed="false">
      <c r="V7202" s="23" t="str">
        <f aca="false">IF(ISNUMBER(C7202),YEAR(C7202),"")</f>
        <v/>
      </c>
      <c r="W7202" s="23" t="str">
        <f aca="false">IF(ISNUMBER(C7202),MONTH(C7202),"")</f>
        <v/>
      </c>
      <c r="X7202" s="23" t="str">
        <f aca="false">IF(T7202="","",IF(T7202=0,"No discount",IF(T7202&lt;=0.2,"Low (1-20%)",IF(T7202&lt;=0.4,"Medium (21-40%)","High (&gt;40%)"))))</f>
        <v/>
      </c>
      <c r="Y7202" s="23" t="str">
        <f aca="false">IF(AND(ISNUMBER(C7202),ISNUMBER(D7202)),D7202-C7202,"")</f>
        <v/>
      </c>
      <c r="Z7202" s="23" t="str">
        <f aca="false">IF(B7202="","",IF(MATCH(B7202,$B$2:$B$12000,0)=ROW()-1,1,0))</f>
        <v/>
      </c>
    </row>
    <row r="7203" customFormat="false" ht="15" hidden="false" customHeight="false" outlineLevel="0" collapsed="false">
      <c r="V7203" s="23" t="str">
        <f aca="false">IF(ISNUMBER(C7203),YEAR(C7203),"")</f>
        <v/>
      </c>
      <c r="W7203" s="23" t="str">
        <f aca="false">IF(ISNUMBER(C7203),MONTH(C7203),"")</f>
        <v/>
      </c>
      <c r="X7203" s="23" t="str">
        <f aca="false">IF(T7203="","",IF(T7203=0,"No discount",IF(T7203&lt;=0.2,"Low (1-20%)",IF(T7203&lt;=0.4,"Medium (21-40%)","High (&gt;40%)"))))</f>
        <v/>
      </c>
      <c r="Y7203" s="23" t="str">
        <f aca="false">IF(AND(ISNUMBER(C7203),ISNUMBER(D7203)),D7203-C7203,"")</f>
        <v/>
      </c>
      <c r="Z7203" s="23" t="str">
        <f aca="false">IF(B7203="","",IF(MATCH(B7203,$B$2:$B$12000,0)=ROW()-1,1,0))</f>
        <v/>
      </c>
    </row>
    <row r="7204" customFormat="false" ht="15" hidden="false" customHeight="false" outlineLevel="0" collapsed="false">
      <c r="V7204" s="23" t="str">
        <f aca="false">IF(ISNUMBER(C7204),YEAR(C7204),"")</f>
        <v/>
      </c>
      <c r="W7204" s="23" t="str">
        <f aca="false">IF(ISNUMBER(C7204),MONTH(C7204),"")</f>
        <v/>
      </c>
      <c r="X7204" s="23" t="str">
        <f aca="false">IF(T7204="","",IF(T7204=0,"No discount",IF(T7204&lt;=0.2,"Low (1-20%)",IF(T7204&lt;=0.4,"Medium (21-40%)","High (&gt;40%)"))))</f>
        <v/>
      </c>
      <c r="Y7204" s="23" t="str">
        <f aca="false">IF(AND(ISNUMBER(C7204),ISNUMBER(D7204)),D7204-C7204,"")</f>
        <v/>
      </c>
      <c r="Z7204" s="23" t="str">
        <f aca="false">IF(B7204="","",IF(MATCH(B7204,$B$2:$B$12000,0)=ROW()-1,1,0))</f>
        <v/>
      </c>
    </row>
    <row r="7205" customFormat="false" ht="15" hidden="false" customHeight="false" outlineLevel="0" collapsed="false">
      <c r="V7205" s="23" t="str">
        <f aca="false">IF(ISNUMBER(C7205),YEAR(C7205),"")</f>
        <v/>
      </c>
      <c r="W7205" s="23" t="str">
        <f aca="false">IF(ISNUMBER(C7205),MONTH(C7205),"")</f>
        <v/>
      </c>
      <c r="X7205" s="23" t="str">
        <f aca="false">IF(T7205="","",IF(T7205=0,"No discount",IF(T7205&lt;=0.2,"Low (1-20%)",IF(T7205&lt;=0.4,"Medium (21-40%)","High (&gt;40%)"))))</f>
        <v/>
      </c>
      <c r="Y7205" s="23" t="str">
        <f aca="false">IF(AND(ISNUMBER(C7205),ISNUMBER(D7205)),D7205-C7205,"")</f>
        <v/>
      </c>
      <c r="Z7205" s="23" t="str">
        <f aca="false">IF(B7205="","",IF(MATCH(B7205,$B$2:$B$12000,0)=ROW()-1,1,0))</f>
        <v/>
      </c>
    </row>
    <row r="7206" customFormat="false" ht="15" hidden="false" customHeight="false" outlineLevel="0" collapsed="false">
      <c r="V7206" s="23" t="str">
        <f aca="false">IF(ISNUMBER(C7206),YEAR(C7206),"")</f>
        <v/>
      </c>
      <c r="W7206" s="23" t="str">
        <f aca="false">IF(ISNUMBER(C7206),MONTH(C7206),"")</f>
        <v/>
      </c>
      <c r="X7206" s="23" t="str">
        <f aca="false">IF(T7206="","",IF(T7206=0,"No discount",IF(T7206&lt;=0.2,"Low (1-20%)",IF(T7206&lt;=0.4,"Medium (21-40%)","High (&gt;40%)"))))</f>
        <v/>
      </c>
      <c r="Y7206" s="23" t="str">
        <f aca="false">IF(AND(ISNUMBER(C7206),ISNUMBER(D7206)),D7206-C7206,"")</f>
        <v/>
      </c>
      <c r="Z7206" s="23" t="str">
        <f aca="false">IF(B7206="","",IF(MATCH(B7206,$B$2:$B$12000,0)=ROW()-1,1,0))</f>
        <v/>
      </c>
    </row>
    <row r="7207" customFormat="false" ht="15" hidden="false" customHeight="false" outlineLevel="0" collapsed="false">
      <c r="V7207" s="23" t="str">
        <f aca="false">IF(ISNUMBER(C7207),YEAR(C7207),"")</f>
        <v/>
      </c>
      <c r="W7207" s="23" t="str">
        <f aca="false">IF(ISNUMBER(C7207),MONTH(C7207),"")</f>
        <v/>
      </c>
      <c r="X7207" s="23" t="str">
        <f aca="false">IF(T7207="","",IF(T7207=0,"No discount",IF(T7207&lt;=0.2,"Low (1-20%)",IF(T7207&lt;=0.4,"Medium (21-40%)","High (&gt;40%)"))))</f>
        <v/>
      </c>
      <c r="Y7207" s="23" t="str">
        <f aca="false">IF(AND(ISNUMBER(C7207),ISNUMBER(D7207)),D7207-C7207,"")</f>
        <v/>
      </c>
      <c r="Z7207" s="23" t="str">
        <f aca="false">IF(B7207="","",IF(MATCH(B7207,$B$2:$B$12000,0)=ROW()-1,1,0))</f>
        <v/>
      </c>
    </row>
    <row r="7208" customFormat="false" ht="15" hidden="false" customHeight="false" outlineLevel="0" collapsed="false">
      <c r="V7208" s="23" t="str">
        <f aca="false">IF(ISNUMBER(C7208),YEAR(C7208),"")</f>
        <v/>
      </c>
      <c r="W7208" s="23" t="str">
        <f aca="false">IF(ISNUMBER(C7208),MONTH(C7208),"")</f>
        <v/>
      </c>
      <c r="X7208" s="23" t="str">
        <f aca="false">IF(T7208="","",IF(T7208=0,"No discount",IF(T7208&lt;=0.2,"Low (1-20%)",IF(T7208&lt;=0.4,"Medium (21-40%)","High (&gt;40%)"))))</f>
        <v/>
      </c>
      <c r="Y7208" s="23" t="str">
        <f aca="false">IF(AND(ISNUMBER(C7208),ISNUMBER(D7208)),D7208-C7208,"")</f>
        <v/>
      </c>
      <c r="Z7208" s="23" t="str">
        <f aca="false">IF(B7208="","",IF(MATCH(B7208,$B$2:$B$12000,0)=ROW()-1,1,0))</f>
        <v/>
      </c>
    </row>
    <row r="7209" customFormat="false" ht="15" hidden="false" customHeight="false" outlineLevel="0" collapsed="false">
      <c r="V7209" s="23" t="str">
        <f aca="false">IF(ISNUMBER(C7209),YEAR(C7209),"")</f>
        <v/>
      </c>
      <c r="W7209" s="23" t="str">
        <f aca="false">IF(ISNUMBER(C7209),MONTH(C7209),"")</f>
        <v/>
      </c>
      <c r="X7209" s="23" t="str">
        <f aca="false">IF(T7209="","",IF(T7209=0,"No discount",IF(T7209&lt;=0.2,"Low (1-20%)",IF(T7209&lt;=0.4,"Medium (21-40%)","High (&gt;40%)"))))</f>
        <v/>
      </c>
      <c r="Y7209" s="23" t="str">
        <f aca="false">IF(AND(ISNUMBER(C7209),ISNUMBER(D7209)),D7209-C7209,"")</f>
        <v/>
      </c>
      <c r="Z7209" s="23" t="str">
        <f aca="false">IF(B7209="","",IF(MATCH(B7209,$B$2:$B$12000,0)=ROW()-1,1,0))</f>
        <v/>
      </c>
    </row>
    <row r="7210" customFormat="false" ht="15" hidden="false" customHeight="false" outlineLevel="0" collapsed="false">
      <c r="V7210" s="23" t="str">
        <f aca="false">IF(ISNUMBER(C7210),YEAR(C7210),"")</f>
        <v/>
      </c>
      <c r="W7210" s="23" t="str">
        <f aca="false">IF(ISNUMBER(C7210),MONTH(C7210),"")</f>
        <v/>
      </c>
      <c r="X7210" s="23" t="str">
        <f aca="false">IF(T7210="","",IF(T7210=0,"No discount",IF(T7210&lt;=0.2,"Low (1-20%)",IF(T7210&lt;=0.4,"Medium (21-40%)","High (&gt;40%)"))))</f>
        <v/>
      </c>
      <c r="Y7210" s="23" t="str">
        <f aca="false">IF(AND(ISNUMBER(C7210),ISNUMBER(D7210)),D7210-C7210,"")</f>
        <v/>
      </c>
      <c r="Z7210" s="23" t="str">
        <f aca="false">IF(B7210="","",IF(MATCH(B7210,$B$2:$B$12000,0)=ROW()-1,1,0))</f>
        <v/>
      </c>
    </row>
    <row r="7211" customFormat="false" ht="15" hidden="false" customHeight="false" outlineLevel="0" collapsed="false">
      <c r="V7211" s="23" t="str">
        <f aca="false">IF(ISNUMBER(C7211),YEAR(C7211),"")</f>
        <v/>
      </c>
      <c r="W7211" s="23" t="str">
        <f aca="false">IF(ISNUMBER(C7211),MONTH(C7211),"")</f>
        <v/>
      </c>
      <c r="X7211" s="23" t="str">
        <f aca="false">IF(T7211="","",IF(T7211=0,"No discount",IF(T7211&lt;=0.2,"Low (1-20%)",IF(T7211&lt;=0.4,"Medium (21-40%)","High (&gt;40%)"))))</f>
        <v/>
      </c>
      <c r="Y7211" s="23" t="str">
        <f aca="false">IF(AND(ISNUMBER(C7211),ISNUMBER(D7211)),D7211-C7211,"")</f>
        <v/>
      </c>
      <c r="Z7211" s="23" t="str">
        <f aca="false">IF(B7211="","",IF(MATCH(B7211,$B$2:$B$12000,0)=ROW()-1,1,0))</f>
        <v/>
      </c>
    </row>
    <row r="7212" customFormat="false" ht="15" hidden="false" customHeight="false" outlineLevel="0" collapsed="false">
      <c r="V7212" s="23" t="str">
        <f aca="false">IF(ISNUMBER(C7212),YEAR(C7212),"")</f>
        <v/>
      </c>
      <c r="W7212" s="23" t="str">
        <f aca="false">IF(ISNUMBER(C7212),MONTH(C7212),"")</f>
        <v/>
      </c>
      <c r="X7212" s="23" t="str">
        <f aca="false">IF(T7212="","",IF(T7212=0,"No discount",IF(T7212&lt;=0.2,"Low (1-20%)",IF(T7212&lt;=0.4,"Medium (21-40%)","High (&gt;40%)"))))</f>
        <v/>
      </c>
      <c r="Y7212" s="23" t="str">
        <f aca="false">IF(AND(ISNUMBER(C7212),ISNUMBER(D7212)),D7212-C7212,"")</f>
        <v/>
      </c>
      <c r="Z7212" s="23" t="str">
        <f aca="false">IF(B7212="","",IF(MATCH(B7212,$B$2:$B$12000,0)=ROW()-1,1,0))</f>
        <v/>
      </c>
    </row>
    <row r="7213" customFormat="false" ht="15" hidden="false" customHeight="false" outlineLevel="0" collapsed="false">
      <c r="V7213" s="23" t="str">
        <f aca="false">IF(ISNUMBER(C7213),YEAR(C7213),"")</f>
        <v/>
      </c>
      <c r="W7213" s="23" t="str">
        <f aca="false">IF(ISNUMBER(C7213),MONTH(C7213),"")</f>
        <v/>
      </c>
      <c r="X7213" s="23" t="str">
        <f aca="false">IF(T7213="","",IF(T7213=0,"No discount",IF(T7213&lt;=0.2,"Low (1-20%)",IF(T7213&lt;=0.4,"Medium (21-40%)","High (&gt;40%)"))))</f>
        <v/>
      </c>
      <c r="Y7213" s="23" t="str">
        <f aca="false">IF(AND(ISNUMBER(C7213),ISNUMBER(D7213)),D7213-C7213,"")</f>
        <v/>
      </c>
      <c r="Z7213" s="23" t="str">
        <f aca="false">IF(B7213="","",IF(MATCH(B7213,$B$2:$B$12000,0)=ROW()-1,1,0))</f>
        <v/>
      </c>
    </row>
    <row r="7214" customFormat="false" ht="15" hidden="false" customHeight="false" outlineLevel="0" collapsed="false">
      <c r="V7214" s="23" t="str">
        <f aca="false">IF(ISNUMBER(C7214),YEAR(C7214),"")</f>
        <v/>
      </c>
      <c r="W7214" s="23" t="str">
        <f aca="false">IF(ISNUMBER(C7214),MONTH(C7214),"")</f>
        <v/>
      </c>
      <c r="X7214" s="23" t="str">
        <f aca="false">IF(T7214="","",IF(T7214=0,"No discount",IF(T7214&lt;=0.2,"Low (1-20%)",IF(T7214&lt;=0.4,"Medium (21-40%)","High (&gt;40%)"))))</f>
        <v/>
      </c>
      <c r="Y7214" s="23" t="str">
        <f aca="false">IF(AND(ISNUMBER(C7214),ISNUMBER(D7214)),D7214-C7214,"")</f>
        <v/>
      </c>
      <c r="Z7214" s="23" t="str">
        <f aca="false">IF(B7214="","",IF(MATCH(B7214,$B$2:$B$12000,0)=ROW()-1,1,0))</f>
        <v/>
      </c>
    </row>
    <row r="7215" customFormat="false" ht="15" hidden="false" customHeight="false" outlineLevel="0" collapsed="false">
      <c r="V7215" s="23" t="str">
        <f aca="false">IF(ISNUMBER(C7215),YEAR(C7215),"")</f>
        <v/>
      </c>
      <c r="W7215" s="23" t="str">
        <f aca="false">IF(ISNUMBER(C7215),MONTH(C7215),"")</f>
        <v/>
      </c>
      <c r="X7215" s="23" t="str">
        <f aca="false">IF(T7215="","",IF(T7215=0,"No discount",IF(T7215&lt;=0.2,"Low (1-20%)",IF(T7215&lt;=0.4,"Medium (21-40%)","High (&gt;40%)"))))</f>
        <v/>
      </c>
      <c r="Y7215" s="23" t="str">
        <f aca="false">IF(AND(ISNUMBER(C7215),ISNUMBER(D7215)),D7215-C7215,"")</f>
        <v/>
      </c>
      <c r="Z7215" s="23" t="str">
        <f aca="false">IF(B7215="","",IF(MATCH(B7215,$B$2:$B$12000,0)=ROW()-1,1,0))</f>
        <v/>
      </c>
    </row>
    <row r="7216" customFormat="false" ht="15" hidden="false" customHeight="false" outlineLevel="0" collapsed="false">
      <c r="V7216" s="23" t="str">
        <f aca="false">IF(ISNUMBER(C7216),YEAR(C7216),"")</f>
        <v/>
      </c>
      <c r="W7216" s="23" t="str">
        <f aca="false">IF(ISNUMBER(C7216),MONTH(C7216),"")</f>
        <v/>
      </c>
      <c r="X7216" s="23" t="str">
        <f aca="false">IF(T7216="","",IF(T7216=0,"No discount",IF(T7216&lt;=0.2,"Low (1-20%)",IF(T7216&lt;=0.4,"Medium (21-40%)","High (&gt;40%)"))))</f>
        <v/>
      </c>
      <c r="Y7216" s="23" t="str">
        <f aca="false">IF(AND(ISNUMBER(C7216),ISNUMBER(D7216)),D7216-C7216,"")</f>
        <v/>
      </c>
      <c r="Z7216" s="23" t="str">
        <f aca="false">IF(B7216="","",IF(MATCH(B7216,$B$2:$B$12000,0)=ROW()-1,1,0))</f>
        <v/>
      </c>
    </row>
    <row r="7217" customFormat="false" ht="15" hidden="false" customHeight="false" outlineLevel="0" collapsed="false">
      <c r="V7217" s="23" t="str">
        <f aca="false">IF(ISNUMBER(C7217),YEAR(C7217),"")</f>
        <v/>
      </c>
      <c r="W7217" s="23" t="str">
        <f aca="false">IF(ISNUMBER(C7217),MONTH(C7217),"")</f>
        <v/>
      </c>
      <c r="X7217" s="23" t="str">
        <f aca="false">IF(T7217="","",IF(T7217=0,"No discount",IF(T7217&lt;=0.2,"Low (1-20%)",IF(T7217&lt;=0.4,"Medium (21-40%)","High (&gt;40%)"))))</f>
        <v/>
      </c>
      <c r="Y7217" s="23" t="str">
        <f aca="false">IF(AND(ISNUMBER(C7217),ISNUMBER(D7217)),D7217-C7217,"")</f>
        <v/>
      </c>
      <c r="Z7217" s="23" t="str">
        <f aca="false">IF(B7217="","",IF(MATCH(B7217,$B$2:$B$12000,0)=ROW()-1,1,0))</f>
        <v/>
      </c>
    </row>
    <row r="7218" customFormat="false" ht="15" hidden="false" customHeight="false" outlineLevel="0" collapsed="false">
      <c r="V7218" s="23" t="str">
        <f aca="false">IF(ISNUMBER(C7218),YEAR(C7218),"")</f>
        <v/>
      </c>
      <c r="W7218" s="23" t="str">
        <f aca="false">IF(ISNUMBER(C7218),MONTH(C7218),"")</f>
        <v/>
      </c>
      <c r="X7218" s="23" t="str">
        <f aca="false">IF(T7218="","",IF(T7218=0,"No discount",IF(T7218&lt;=0.2,"Low (1-20%)",IF(T7218&lt;=0.4,"Medium (21-40%)","High (&gt;40%)"))))</f>
        <v/>
      </c>
      <c r="Y7218" s="23" t="str">
        <f aca="false">IF(AND(ISNUMBER(C7218),ISNUMBER(D7218)),D7218-C7218,"")</f>
        <v/>
      </c>
      <c r="Z7218" s="23" t="str">
        <f aca="false">IF(B7218="","",IF(MATCH(B7218,$B$2:$B$12000,0)=ROW()-1,1,0))</f>
        <v/>
      </c>
    </row>
    <row r="7219" customFormat="false" ht="15" hidden="false" customHeight="false" outlineLevel="0" collapsed="false">
      <c r="V7219" s="23" t="str">
        <f aca="false">IF(ISNUMBER(C7219),YEAR(C7219),"")</f>
        <v/>
      </c>
      <c r="W7219" s="23" t="str">
        <f aca="false">IF(ISNUMBER(C7219),MONTH(C7219),"")</f>
        <v/>
      </c>
      <c r="X7219" s="23" t="str">
        <f aca="false">IF(T7219="","",IF(T7219=0,"No discount",IF(T7219&lt;=0.2,"Low (1-20%)",IF(T7219&lt;=0.4,"Medium (21-40%)","High (&gt;40%)"))))</f>
        <v/>
      </c>
      <c r="Y7219" s="23" t="str">
        <f aca="false">IF(AND(ISNUMBER(C7219),ISNUMBER(D7219)),D7219-C7219,"")</f>
        <v/>
      </c>
      <c r="Z7219" s="23" t="str">
        <f aca="false">IF(B7219="","",IF(MATCH(B7219,$B$2:$B$12000,0)=ROW()-1,1,0))</f>
        <v/>
      </c>
    </row>
    <row r="7220" customFormat="false" ht="15" hidden="false" customHeight="false" outlineLevel="0" collapsed="false">
      <c r="V7220" s="23" t="str">
        <f aca="false">IF(ISNUMBER(C7220),YEAR(C7220),"")</f>
        <v/>
      </c>
      <c r="W7220" s="23" t="str">
        <f aca="false">IF(ISNUMBER(C7220),MONTH(C7220),"")</f>
        <v/>
      </c>
      <c r="X7220" s="23" t="str">
        <f aca="false">IF(T7220="","",IF(T7220=0,"No discount",IF(T7220&lt;=0.2,"Low (1-20%)",IF(T7220&lt;=0.4,"Medium (21-40%)","High (&gt;40%)"))))</f>
        <v/>
      </c>
      <c r="Y7220" s="23" t="str">
        <f aca="false">IF(AND(ISNUMBER(C7220),ISNUMBER(D7220)),D7220-C7220,"")</f>
        <v/>
      </c>
      <c r="Z7220" s="23" t="str">
        <f aca="false">IF(B7220="","",IF(MATCH(B7220,$B$2:$B$12000,0)=ROW()-1,1,0))</f>
        <v/>
      </c>
    </row>
    <row r="7221" customFormat="false" ht="15" hidden="false" customHeight="false" outlineLevel="0" collapsed="false">
      <c r="V7221" s="23" t="str">
        <f aca="false">IF(ISNUMBER(C7221),YEAR(C7221),"")</f>
        <v/>
      </c>
      <c r="W7221" s="23" t="str">
        <f aca="false">IF(ISNUMBER(C7221),MONTH(C7221),"")</f>
        <v/>
      </c>
      <c r="X7221" s="23" t="str">
        <f aca="false">IF(T7221="","",IF(T7221=0,"No discount",IF(T7221&lt;=0.2,"Low (1-20%)",IF(T7221&lt;=0.4,"Medium (21-40%)","High (&gt;40%)"))))</f>
        <v/>
      </c>
      <c r="Y7221" s="23" t="str">
        <f aca="false">IF(AND(ISNUMBER(C7221),ISNUMBER(D7221)),D7221-C7221,"")</f>
        <v/>
      </c>
      <c r="Z7221" s="23" t="str">
        <f aca="false">IF(B7221="","",IF(MATCH(B7221,$B$2:$B$12000,0)=ROW()-1,1,0))</f>
        <v/>
      </c>
    </row>
    <row r="7222" customFormat="false" ht="15" hidden="false" customHeight="false" outlineLevel="0" collapsed="false">
      <c r="V7222" s="23" t="str">
        <f aca="false">IF(ISNUMBER(C7222),YEAR(C7222),"")</f>
        <v/>
      </c>
      <c r="W7222" s="23" t="str">
        <f aca="false">IF(ISNUMBER(C7222),MONTH(C7222),"")</f>
        <v/>
      </c>
      <c r="X7222" s="23" t="str">
        <f aca="false">IF(T7222="","",IF(T7222=0,"No discount",IF(T7222&lt;=0.2,"Low (1-20%)",IF(T7222&lt;=0.4,"Medium (21-40%)","High (&gt;40%)"))))</f>
        <v/>
      </c>
      <c r="Y7222" s="23" t="str">
        <f aca="false">IF(AND(ISNUMBER(C7222),ISNUMBER(D7222)),D7222-C7222,"")</f>
        <v/>
      </c>
      <c r="Z7222" s="23" t="str">
        <f aca="false">IF(B7222="","",IF(MATCH(B7222,$B$2:$B$12000,0)=ROW()-1,1,0))</f>
        <v/>
      </c>
    </row>
    <row r="7223" customFormat="false" ht="15" hidden="false" customHeight="false" outlineLevel="0" collapsed="false">
      <c r="V7223" s="23" t="str">
        <f aca="false">IF(ISNUMBER(C7223),YEAR(C7223),"")</f>
        <v/>
      </c>
      <c r="W7223" s="23" t="str">
        <f aca="false">IF(ISNUMBER(C7223),MONTH(C7223),"")</f>
        <v/>
      </c>
      <c r="X7223" s="23" t="str">
        <f aca="false">IF(T7223="","",IF(T7223=0,"No discount",IF(T7223&lt;=0.2,"Low (1-20%)",IF(T7223&lt;=0.4,"Medium (21-40%)","High (&gt;40%)"))))</f>
        <v/>
      </c>
      <c r="Y7223" s="23" t="str">
        <f aca="false">IF(AND(ISNUMBER(C7223),ISNUMBER(D7223)),D7223-C7223,"")</f>
        <v/>
      </c>
      <c r="Z7223" s="23" t="str">
        <f aca="false">IF(B7223="","",IF(MATCH(B7223,$B$2:$B$12000,0)=ROW()-1,1,0))</f>
        <v/>
      </c>
    </row>
    <row r="7224" customFormat="false" ht="15" hidden="false" customHeight="false" outlineLevel="0" collapsed="false">
      <c r="V7224" s="23" t="str">
        <f aca="false">IF(ISNUMBER(C7224),YEAR(C7224),"")</f>
        <v/>
      </c>
      <c r="W7224" s="23" t="str">
        <f aca="false">IF(ISNUMBER(C7224),MONTH(C7224),"")</f>
        <v/>
      </c>
      <c r="X7224" s="23" t="str">
        <f aca="false">IF(T7224="","",IF(T7224=0,"No discount",IF(T7224&lt;=0.2,"Low (1-20%)",IF(T7224&lt;=0.4,"Medium (21-40%)","High (&gt;40%)"))))</f>
        <v/>
      </c>
      <c r="Y7224" s="23" t="str">
        <f aca="false">IF(AND(ISNUMBER(C7224),ISNUMBER(D7224)),D7224-C7224,"")</f>
        <v/>
      </c>
      <c r="Z7224" s="23" t="str">
        <f aca="false">IF(B7224="","",IF(MATCH(B7224,$B$2:$B$12000,0)=ROW()-1,1,0))</f>
        <v/>
      </c>
    </row>
    <row r="7225" customFormat="false" ht="15" hidden="false" customHeight="false" outlineLevel="0" collapsed="false">
      <c r="V7225" s="23" t="str">
        <f aca="false">IF(ISNUMBER(C7225),YEAR(C7225),"")</f>
        <v/>
      </c>
      <c r="W7225" s="23" t="str">
        <f aca="false">IF(ISNUMBER(C7225),MONTH(C7225),"")</f>
        <v/>
      </c>
      <c r="X7225" s="23" t="str">
        <f aca="false">IF(T7225="","",IF(T7225=0,"No discount",IF(T7225&lt;=0.2,"Low (1-20%)",IF(T7225&lt;=0.4,"Medium (21-40%)","High (&gt;40%)"))))</f>
        <v/>
      </c>
      <c r="Y7225" s="23" t="str">
        <f aca="false">IF(AND(ISNUMBER(C7225),ISNUMBER(D7225)),D7225-C7225,"")</f>
        <v/>
      </c>
      <c r="Z7225" s="23" t="str">
        <f aca="false">IF(B7225="","",IF(MATCH(B7225,$B$2:$B$12000,0)=ROW()-1,1,0))</f>
        <v/>
      </c>
    </row>
    <row r="7226" customFormat="false" ht="15" hidden="false" customHeight="false" outlineLevel="0" collapsed="false">
      <c r="V7226" s="23" t="str">
        <f aca="false">IF(ISNUMBER(C7226),YEAR(C7226),"")</f>
        <v/>
      </c>
      <c r="W7226" s="23" t="str">
        <f aca="false">IF(ISNUMBER(C7226),MONTH(C7226),"")</f>
        <v/>
      </c>
      <c r="X7226" s="23" t="str">
        <f aca="false">IF(T7226="","",IF(T7226=0,"No discount",IF(T7226&lt;=0.2,"Low (1-20%)",IF(T7226&lt;=0.4,"Medium (21-40%)","High (&gt;40%)"))))</f>
        <v/>
      </c>
      <c r="Y7226" s="23" t="str">
        <f aca="false">IF(AND(ISNUMBER(C7226),ISNUMBER(D7226)),D7226-C7226,"")</f>
        <v/>
      </c>
      <c r="Z7226" s="23" t="str">
        <f aca="false">IF(B7226="","",IF(MATCH(B7226,$B$2:$B$12000,0)=ROW()-1,1,0))</f>
        <v/>
      </c>
    </row>
    <row r="7227" customFormat="false" ht="15" hidden="false" customHeight="false" outlineLevel="0" collapsed="false">
      <c r="V7227" s="23" t="str">
        <f aca="false">IF(ISNUMBER(C7227),YEAR(C7227),"")</f>
        <v/>
      </c>
      <c r="W7227" s="23" t="str">
        <f aca="false">IF(ISNUMBER(C7227),MONTH(C7227),"")</f>
        <v/>
      </c>
      <c r="X7227" s="23" t="str">
        <f aca="false">IF(T7227="","",IF(T7227=0,"No discount",IF(T7227&lt;=0.2,"Low (1-20%)",IF(T7227&lt;=0.4,"Medium (21-40%)","High (&gt;40%)"))))</f>
        <v/>
      </c>
      <c r="Y7227" s="23" t="str">
        <f aca="false">IF(AND(ISNUMBER(C7227),ISNUMBER(D7227)),D7227-C7227,"")</f>
        <v/>
      </c>
      <c r="Z7227" s="23" t="str">
        <f aca="false">IF(B7227="","",IF(MATCH(B7227,$B$2:$B$12000,0)=ROW()-1,1,0))</f>
        <v/>
      </c>
    </row>
    <row r="7228" customFormat="false" ht="15" hidden="false" customHeight="false" outlineLevel="0" collapsed="false">
      <c r="V7228" s="23" t="str">
        <f aca="false">IF(ISNUMBER(C7228),YEAR(C7228),"")</f>
        <v/>
      </c>
      <c r="W7228" s="23" t="str">
        <f aca="false">IF(ISNUMBER(C7228),MONTH(C7228),"")</f>
        <v/>
      </c>
      <c r="X7228" s="23" t="str">
        <f aca="false">IF(T7228="","",IF(T7228=0,"No discount",IF(T7228&lt;=0.2,"Low (1-20%)",IF(T7228&lt;=0.4,"Medium (21-40%)","High (&gt;40%)"))))</f>
        <v/>
      </c>
      <c r="Y7228" s="23" t="str">
        <f aca="false">IF(AND(ISNUMBER(C7228),ISNUMBER(D7228)),D7228-C7228,"")</f>
        <v/>
      </c>
      <c r="Z7228" s="23" t="str">
        <f aca="false">IF(B7228="","",IF(MATCH(B7228,$B$2:$B$12000,0)=ROW()-1,1,0))</f>
        <v/>
      </c>
    </row>
    <row r="7229" customFormat="false" ht="15" hidden="false" customHeight="false" outlineLevel="0" collapsed="false">
      <c r="V7229" s="23" t="str">
        <f aca="false">IF(ISNUMBER(C7229),YEAR(C7229),"")</f>
        <v/>
      </c>
      <c r="W7229" s="23" t="str">
        <f aca="false">IF(ISNUMBER(C7229),MONTH(C7229),"")</f>
        <v/>
      </c>
      <c r="X7229" s="23" t="str">
        <f aca="false">IF(T7229="","",IF(T7229=0,"No discount",IF(T7229&lt;=0.2,"Low (1-20%)",IF(T7229&lt;=0.4,"Medium (21-40%)","High (&gt;40%)"))))</f>
        <v/>
      </c>
      <c r="Y7229" s="23" t="str">
        <f aca="false">IF(AND(ISNUMBER(C7229),ISNUMBER(D7229)),D7229-C7229,"")</f>
        <v/>
      </c>
      <c r="Z7229" s="23" t="str">
        <f aca="false">IF(B7229="","",IF(MATCH(B7229,$B$2:$B$12000,0)=ROW()-1,1,0))</f>
        <v/>
      </c>
    </row>
    <row r="7230" customFormat="false" ht="15" hidden="false" customHeight="false" outlineLevel="0" collapsed="false">
      <c r="V7230" s="23" t="str">
        <f aca="false">IF(ISNUMBER(C7230),YEAR(C7230),"")</f>
        <v/>
      </c>
      <c r="W7230" s="23" t="str">
        <f aca="false">IF(ISNUMBER(C7230),MONTH(C7230),"")</f>
        <v/>
      </c>
      <c r="X7230" s="23" t="str">
        <f aca="false">IF(T7230="","",IF(T7230=0,"No discount",IF(T7230&lt;=0.2,"Low (1-20%)",IF(T7230&lt;=0.4,"Medium (21-40%)","High (&gt;40%)"))))</f>
        <v/>
      </c>
      <c r="Y7230" s="23" t="str">
        <f aca="false">IF(AND(ISNUMBER(C7230),ISNUMBER(D7230)),D7230-C7230,"")</f>
        <v/>
      </c>
      <c r="Z7230" s="23" t="str">
        <f aca="false">IF(B7230="","",IF(MATCH(B7230,$B$2:$B$12000,0)=ROW()-1,1,0))</f>
        <v/>
      </c>
    </row>
    <row r="7231" customFormat="false" ht="15" hidden="false" customHeight="false" outlineLevel="0" collapsed="false">
      <c r="V7231" s="23" t="str">
        <f aca="false">IF(ISNUMBER(C7231),YEAR(C7231),"")</f>
        <v/>
      </c>
      <c r="W7231" s="23" t="str">
        <f aca="false">IF(ISNUMBER(C7231),MONTH(C7231),"")</f>
        <v/>
      </c>
      <c r="X7231" s="23" t="str">
        <f aca="false">IF(T7231="","",IF(T7231=0,"No discount",IF(T7231&lt;=0.2,"Low (1-20%)",IF(T7231&lt;=0.4,"Medium (21-40%)","High (&gt;40%)"))))</f>
        <v/>
      </c>
      <c r="Y7231" s="23" t="str">
        <f aca="false">IF(AND(ISNUMBER(C7231),ISNUMBER(D7231)),D7231-C7231,"")</f>
        <v/>
      </c>
      <c r="Z7231" s="23" t="str">
        <f aca="false">IF(B7231="","",IF(MATCH(B7231,$B$2:$B$12000,0)=ROW()-1,1,0))</f>
        <v/>
      </c>
    </row>
    <row r="7232" customFormat="false" ht="15" hidden="false" customHeight="false" outlineLevel="0" collapsed="false">
      <c r="V7232" s="23" t="str">
        <f aca="false">IF(ISNUMBER(C7232),YEAR(C7232),"")</f>
        <v/>
      </c>
      <c r="W7232" s="23" t="str">
        <f aca="false">IF(ISNUMBER(C7232),MONTH(C7232),"")</f>
        <v/>
      </c>
      <c r="X7232" s="23" t="str">
        <f aca="false">IF(T7232="","",IF(T7232=0,"No discount",IF(T7232&lt;=0.2,"Low (1-20%)",IF(T7232&lt;=0.4,"Medium (21-40%)","High (&gt;40%)"))))</f>
        <v/>
      </c>
      <c r="Y7232" s="23" t="str">
        <f aca="false">IF(AND(ISNUMBER(C7232),ISNUMBER(D7232)),D7232-C7232,"")</f>
        <v/>
      </c>
      <c r="Z7232" s="23" t="str">
        <f aca="false">IF(B7232="","",IF(MATCH(B7232,$B$2:$B$12000,0)=ROW()-1,1,0))</f>
        <v/>
      </c>
    </row>
    <row r="7233" customFormat="false" ht="15" hidden="false" customHeight="false" outlineLevel="0" collapsed="false">
      <c r="V7233" s="23" t="str">
        <f aca="false">IF(ISNUMBER(C7233),YEAR(C7233),"")</f>
        <v/>
      </c>
      <c r="W7233" s="23" t="str">
        <f aca="false">IF(ISNUMBER(C7233),MONTH(C7233),"")</f>
        <v/>
      </c>
      <c r="X7233" s="23" t="str">
        <f aca="false">IF(T7233="","",IF(T7233=0,"No discount",IF(T7233&lt;=0.2,"Low (1-20%)",IF(T7233&lt;=0.4,"Medium (21-40%)","High (&gt;40%)"))))</f>
        <v/>
      </c>
      <c r="Y7233" s="23" t="str">
        <f aca="false">IF(AND(ISNUMBER(C7233),ISNUMBER(D7233)),D7233-C7233,"")</f>
        <v/>
      </c>
      <c r="Z7233" s="23" t="str">
        <f aca="false">IF(B7233="","",IF(MATCH(B7233,$B$2:$B$12000,0)=ROW()-1,1,0))</f>
        <v/>
      </c>
    </row>
    <row r="7234" customFormat="false" ht="15" hidden="false" customHeight="false" outlineLevel="0" collapsed="false">
      <c r="V7234" s="23" t="str">
        <f aca="false">IF(ISNUMBER(C7234),YEAR(C7234),"")</f>
        <v/>
      </c>
      <c r="W7234" s="23" t="str">
        <f aca="false">IF(ISNUMBER(C7234),MONTH(C7234),"")</f>
        <v/>
      </c>
      <c r="X7234" s="23" t="str">
        <f aca="false">IF(T7234="","",IF(T7234=0,"No discount",IF(T7234&lt;=0.2,"Low (1-20%)",IF(T7234&lt;=0.4,"Medium (21-40%)","High (&gt;40%)"))))</f>
        <v/>
      </c>
      <c r="Y7234" s="23" t="str">
        <f aca="false">IF(AND(ISNUMBER(C7234),ISNUMBER(D7234)),D7234-C7234,"")</f>
        <v/>
      </c>
      <c r="Z7234" s="23" t="str">
        <f aca="false">IF(B7234="","",IF(MATCH(B7234,$B$2:$B$12000,0)=ROW()-1,1,0))</f>
        <v/>
      </c>
    </row>
    <row r="7235" customFormat="false" ht="15" hidden="false" customHeight="false" outlineLevel="0" collapsed="false">
      <c r="V7235" s="23" t="str">
        <f aca="false">IF(ISNUMBER(C7235),YEAR(C7235),"")</f>
        <v/>
      </c>
      <c r="W7235" s="23" t="str">
        <f aca="false">IF(ISNUMBER(C7235),MONTH(C7235),"")</f>
        <v/>
      </c>
      <c r="X7235" s="23" t="str">
        <f aca="false">IF(T7235="","",IF(T7235=0,"No discount",IF(T7235&lt;=0.2,"Low (1-20%)",IF(T7235&lt;=0.4,"Medium (21-40%)","High (&gt;40%)"))))</f>
        <v/>
      </c>
      <c r="Y7235" s="23" t="str">
        <f aca="false">IF(AND(ISNUMBER(C7235),ISNUMBER(D7235)),D7235-C7235,"")</f>
        <v/>
      </c>
      <c r="Z7235" s="23" t="str">
        <f aca="false">IF(B7235="","",IF(MATCH(B7235,$B$2:$B$12000,0)=ROW()-1,1,0))</f>
        <v/>
      </c>
    </row>
    <row r="7236" customFormat="false" ht="15" hidden="false" customHeight="false" outlineLevel="0" collapsed="false">
      <c r="V7236" s="23" t="str">
        <f aca="false">IF(ISNUMBER(C7236),YEAR(C7236),"")</f>
        <v/>
      </c>
      <c r="W7236" s="23" t="str">
        <f aca="false">IF(ISNUMBER(C7236),MONTH(C7236),"")</f>
        <v/>
      </c>
      <c r="X7236" s="23" t="str">
        <f aca="false">IF(T7236="","",IF(T7236=0,"No discount",IF(T7236&lt;=0.2,"Low (1-20%)",IF(T7236&lt;=0.4,"Medium (21-40%)","High (&gt;40%)"))))</f>
        <v/>
      </c>
      <c r="Y7236" s="23" t="str">
        <f aca="false">IF(AND(ISNUMBER(C7236),ISNUMBER(D7236)),D7236-C7236,"")</f>
        <v/>
      </c>
      <c r="Z7236" s="23" t="str">
        <f aca="false">IF(B7236="","",IF(MATCH(B7236,$B$2:$B$12000,0)=ROW()-1,1,0))</f>
        <v/>
      </c>
    </row>
    <row r="7237" customFormat="false" ht="15" hidden="false" customHeight="false" outlineLevel="0" collapsed="false">
      <c r="V7237" s="23" t="str">
        <f aca="false">IF(ISNUMBER(C7237),YEAR(C7237),"")</f>
        <v/>
      </c>
      <c r="W7237" s="23" t="str">
        <f aca="false">IF(ISNUMBER(C7237),MONTH(C7237),"")</f>
        <v/>
      </c>
      <c r="X7237" s="23" t="str">
        <f aca="false">IF(T7237="","",IF(T7237=0,"No discount",IF(T7237&lt;=0.2,"Low (1-20%)",IF(T7237&lt;=0.4,"Medium (21-40%)","High (&gt;40%)"))))</f>
        <v/>
      </c>
      <c r="Y7237" s="23" t="str">
        <f aca="false">IF(AND(ISNUMBER(C7237),ISNUMBER(D7237)),D7237-C7237,"")</f>
        <v/>
      </c>
      <c r="Z7237" s="23" t="str">
        <f aca="false">IF(B7237="","",IF(MATCH(B7237,$B$2:$B$12000,0)=ROW()-1,1,0))</f>
        <v/>
      </c>
    </row>
    <row r="7238" customFormat="false" ht="15" hidden="false" customHeight="false" outlineLevel="0" collapsed="false">
      <c r="V7238" s="23" t="str">
        <f aca="false">IF(ISNUMBER(C7238),YEAR(C7238),"")</f>
        <v/>
      </c>
      <c r="W7238" s="23" t="str">
        <f aca="false">IF(ISNUMBER(C7238),MONTH(C7238),"")</f>
        <v/>
      </c>
      <c r="X7238" s="23" t="str">
        <f aca="false">IF(T7238="","",IF(T7238=0,"No discount",IF(T7238&lt;=0.2,"Low (1-20%)",IF(T7238&lt;=0.4,"Medium (21-40%)","High (&gt;40%)"))))</f>
        <v/>
      </c>
      <c r="Y7238" s="23" t="str">
        <f aca="false">IF(AND(ISNUMBER(C7238),ISNUMBER(D7238)),D7238-C7238,"")</f>
        <v/>
      </c>
      <c r="Z7238" s="23" t="str">
        <f aca="false">IF(B7238="","",IF(MATCH(B7238,$B$2:$B$12000,0)=ROW()-1,1,0))</f>
        <v/>
      </c>
    </row>
    <row r="7239" customFormat="false" ht="15" hidden="false" customHeight="false" outlineLevel="0" collapsed="false">
      <c r="V7239" s="23" t="str">
        <f aca="false">IF(ISNUMBER(C7239),YEAR(C7239),"")</f>
        <v/>
      </c>
      <c r="W7239" s="23" t="str">
        <f aca="false">IF(ISNUMBER(C7239),MONTH(C7239),"")</f>
        <v/>
      </c>
      <c r="X7239" s="23" t="str">
        <f aca="false">IF(T7239="","",IF(T7239=0,"No discount",IF(T7239&lt;=0.2,"Low (1-20%)",IF(T7239&lt;=0.4,"Medium (21-40%)","High (&gt;40%)"))))</f>
        <v/>
      </c>
      <c r="Y7239" s="23" t="str">
        <f aca="false">IF(AND(ISNUMBER(C7239),ISNUMBER(D7239)),D7239-C7239,"")</f>
        <v/>
      </c>
      <c r="Z7239" s="23" t="str">
        <f aca="false">IF(B7239="","",IF(MATCH(B7239,$B$2:$B$12000,0)=ROW()-1,1,0))</f>
        <v/>
      </c>
    </row>
    <row r="7240" customFormat="false" ht="15" hidden="false" customHeight="false" outlineLevel="0" collapsed="false">
      <c r="V7240" s="23" t="str">
        <f aca="false">IF(ISNUMBER(C7240),YEAR(C7240),"")</f>
        <v/>
      </c>
      <c r="W7240" s="23" t="str">
        <f aca="false">IF(ISNUMBER(C7240),MONTH(C7240),"")</f>
        <v/>
      </c>
      <c r="X7240" s="23" t="str">
        <f aca="false">IF(T7240="","",IF(T7240=0,"No discount",IF(T7240&lt;=0.2,"Low (1-20%)",IF(T7240&lt;=0.4,"Medium (21-40%)","High (&gt;40%)"))))</f>
        <v/>
      </c>
      <c r="Y7240" s="23" t="str">
        <f aca="false">IF(AND(ISNUMBER(C7240),ISNUMBER(D7240)),D7240-C7240,"")</f>
        <v/>
      </c>
      <c r="Z7240" s="23" t="str">
        <f aca="false">IF(B7240="","",IF(MATCH(B7240,$B$2:$B$12000,0)=ROW()-1,1,0))</f>
        <v/>
      </c>
    </row>
    <row r="7241" customFormat="false" ht="15" hidden="false" customHeight="false" outlineLevel="0" collapsed="false">
      <c r="V7241" s="23" t="str">
        <f aca="false">IF(ISNUMBER(C7241),YEAR(C7241),"")</f>
        <v/>
      </c>
      <c r="W7241" s="23" t="str">
        <f aca="false">IF(ISNUMBER(C7241),MONTH(C7241),"")</f>
        <v/>
      </c>
      <c r="X7241" s="23" t="str">
        <f aca="false">IF(T7241="","",IF(T7241=0,"No discount",IF(T7241&lt;=0.2,"Low (1-20%)",IF(T7241&lt;=0.4,"Medium (21-40%)","High (&gt;40%)"))))</f>
        <v/>
      </c>
      <c r="Y7241" s="23" t="str">
        <f aca="false">IF(AND(ISNUMBER(C7241),ISNUMBER(D7241)),D7241-C7241,"")</f>
        <v/>
      </c>
      <c r="Z7241" s="23" t="str">
        <f aca="false">IF(B7241="","",IF(MATCH(B7241,$B$2:$B$12000,0)=ROW()-1,1,0))</f>
        <v/>
      </c>
    </row>
    <row r="7242" customFormat="false" ht="15" hidden="false" customHeight="false" outlineLevel="0" collapsed="false">
      <c r="V7242" s="23" t="str">
        <f aca="false">IF(ISNUMBER(C7242),YEAR(C7242),"")</f>
        <v/>
      </c>
      <c r="W7242" s="23" t="str">
        <f aca="false">IF(ISNUMBER(C7242),MONTH(C7242),"")</f>
        <v/>
      </c>
      <c r="X7242" s="23" t="str">
        <f aca="false">IF(T7242="","",IF(T7242=0,"No discount",IF(T7242&lt;=0.2,"Low (1-20%)",IF(T7242&lt;=0.4,"Medium (21-40%)","High (&gt;40%)"))))</f>
        <v/>
      </c>
      <c r="Y7242" s="23" t="str">
        <f aca="false">IF(AND(ISNUMBER(C7242),ISNUMBER(D7242)),D7242-C7242,"")</f>
        <v/>
      </c>
      <c r="Z7242" s="23" t="str">
        <f aca="false">IF(B7242="","",IF(MATCH(B7242,$B$2:$B$12000,0)=ROW()-1,1,0))</f>
        <v/>
      </c>
    </row>
    <row r="7243" customFormat="false" ht="15" hidden="false" customHeight="false" outlineLevel="0" collapsed="false">
      <c r="V7243" s="23" t="str">
        <f aca="false">IF(ISNUMBER(C7243),YEAR(C7243),"")</f>
        <v/>
      </c>
      <c r="W7243" s="23" t="str">
        <f aca="false">IF(ISNUMBER(C7243),MONTH(C7243),"")</f>
        <v/>
      </c>
      <c r="X7243" s="23" t="str">
        <f aca="false">IF(T7243="","",IF(T7243=0,"No discount",IF(T7243&lt;=0.2,"Low (1-20%)",IF(T7243&lt;=0.4,"Medium (21-40%)","High (&gt;40%)"))))</f>
        <v/>
      </c>
      <c r="Y7243" s="23" t="str">
        <f aca="false">IF(AND(ISNUMBER(C7243),ISNUMBER(D7243)),D7243-C7243,"")</f>
        <v/>
      </c>
      <c r="Z7243" s="23" t="str">
        <f aca="false">IF(B7243="","",IF(MATCH(B7243,$B$2:$B$12000,0)=ROW()-1,1,0))</f>
        <v/>
      </c>
    </row>
    <row r="7244" customFormat="false" ht="15" hidden="false" customHeight="false" outlineLevel="0" collapsed="false">
      <c r="V7244" s="23" t="str">
        <f aca="false">IF(ISNUMBER(C7244),YEAR(C7244),"")</f>
        <v/>
      </c>
      <c r="W7244" s="23" t="str">
        <f aca="false">IF(ISNUMBER(C7244),MONTH(C7244),"")</f>
        <v/>
      </c>
      <c r="X7244" s="23" t="str">
        <f aca="false">IF(T7244="","",IF(T7244=0,"No discount",IF(T7244&lt;=0.2,"Low (1-20%)",IF(T7244&lt;=0.4,"Medium (21-40%)","High (&gt;40%)"))))</f>
        <v/>
      </c>
      <c r="Y7244" s="23" t="str">
        <f aca="false">IF(AND(ISNUMBER(C7244),ISNUMBER(D7244)),D7244-C7244,"")</f>
        <v/>
      </c>
      <c r="Z7244" s="23" t="str">
        <f aca="false">IF(B7244="","",IF(MATCH(B7244,$B$2:$B$12000,0)=ROW()-1,1,0))</f>
        <v/>
      </c>
    </row>
    <row r="7245" customFormat="false" ht="15" hidden="false" customHeight="false" outlineLevel="0" collapsed="false">
      <c r="V7245" s="23" t="str">
        <f aca="false">IF(ISNUMBER(C7245),YEAR(C7245),"")</f>
        <v/>
      </c>
      <c r="W7245" s="23" t="str">
        <f aca="false">IF(ISNUMBER(C7245),MONTH(C7245),"")</f>
        <v/>
      </c>
      <c r="X7245" s="23" t="str">
        <f aca="false">IF(T7245="","",IF(T7245=0,"No discount",IF(T7245&lt;=0.2,"Low (1-20%)",IF(T7245&lt;=0.4,"Medium (21-40%)","High (&gt;40%)"))))</f>
        <v/>
      </c>
      <c r="Y7245" s="23" t="str">
        <f aca="false">IF(AND(ISNUMBER(C7245),ISNUMBER(D7245)),D7245-C7245,"")</f>
        <v/>
      </c>
      <c r="Z7245" s="23" t="str">
        <f aca="false">IF(B7245="","",IF(MATCH(B7245,$B$2:$B$12000,0)=ROW()-1,1,0))</f>
        <v/>
      </c>
    </row>
    <row r="7246" customFormat="false" ht="15" hidden="false" customHeight="false" outlineLevel="0" collapsed="false">
      <c r="V7246" s="23" t="str">
        <f aca="false">IF(ISNUMBER(C7246),YEAR(C7246),"")</f>
        <v/>
      </c>
      <c r="W7246" s="23" t="str">
        <f aca="false">IF(ISNUMBER(C7246),MONTH(C7246),"")</f>
        <v/>
      </c>
      <c r="X7246" s="23" t="str">
        <f aca="false">IF(T7246="","",IF(T7246=0,"No discount",IF(T7246&lt;=0.2,"Low (1-20%)",IF(T7246&lt;=0.4,"Medium (21-40%)","High (&gt;40%)"))))</f>
        <v/>
      </c>
      <c r="Y7246" s="23" t="str">
        <f aca="false">IF(AND(ISNUMBER(C7246),ISNUMBER(D7246)),D7246-C7246,"")</f>
        <v/>
      </c>
      <c r="Z7246" s="23" t="str">
        <f aca="false">IF(B7246="","",IF(MATCH(B7246,$B$2:$B$12000,0)=ROW()-1,1,0))</f>
        <v/>
      </c>
    </row>
    <row r="7247" customFormat="false" ht="15" hidden="false" customHeight="false" outlineLevel="0" collapsed="false">
      <c r="V7247" s="23" t="str">
        <f aca="false">IF(ISNUMBER(C7247),YEAR(C7247),"")</f>
        <v/>
      </c>
      <c r="W7247" s="23" t="str">
        <f aca="false">IF(ISNUMBER(C7247),MONTH(C7247),"")</f>
        <v/>
      </c>
      <c r="X7247" s="23" t="str">
        <f aca="false">IF(T7247="","",IF(T7247=0,"No discount",IF(T7247&lt;=0.2,"Low (1-20%)",IF(T7247&lt;=0.4,"Medium (21-40%)","High (&gt;40%)"))))</f>
        <v/>
      </c>
      <c r="Y7247" s="23" t="str">
        <f aca="false">IF(AND(ISNUMBER(C7247),ISNUMBER(D7247)),D7247-C7247,"")</f>
        <v/>
      </c>
      <c r="Z7247" s="23" t="str">
        <f aca="false">IF(B7247="","",IF(MATCH(B7247,$B$2:$B$12000,0)=ROW()-1,1,0))</f>
        <v/>
      </c>
    </row>
    <row r="7248" customFormat="false" ht="15" hidden="false" customHeight="false" outlineLevel="0" collapsed="false">
      <c r="V7248" s="23" t="str">
        <f aca="false">IF(ISNUMBER(C7248),YEAR(C7248),"")</f>
        <v/>
      </c>
      <c r="W7248" s="23" t="str">
        <f aca="false">IF(ISNUMBER(C7248),MONTH(C7248),"")</f>
        <v/>
      </c>
      <c r="X7248" s="23" t="str">
        <f aca="false">IF(T7248="","",IF(T7248=0,"No discount",IF(T7248&lt;=0.2,"Low (1-20%)",IF(T7248&lt;=0.4,"Medium (21-40%)","High (&gt;40%)"))))</f>
        <v/>
      </c>
      <c r="Y7248" s="23" t="str">
        <f aca="false">IF(AND(ISNUMBER(C7248),ISNUMBER(D7248)),D7248-C7248,"")</f>
        <v/>
      </c>
      <c r="Z7248" s="23" t="str">
        <f aca="false">IF(B7248="","",IF(MATCH(B7248,$B$2:$B$12000,0)=ROW()-1,1,0))</f>
        <v/>
      </c>
    </row>
    <row r="7249" customFormat="false" ht="15" hidden="false" customHeight="false" outlineLevel="0" collapsed="false">
      <c r="V7249" s="23" t="str">
        <f aca="false">IF(ISNUMBER(C7249),YEAR(C7249),"")</f>
        <v/>
      </c>
      <c r="W7249" s="23" t="str">
        <f aca="false">IF(ISNUMBER(C7249),MONTH(C7249),"")</f>
        <v/>
      </c>
      <c r="X7249" s="23" t="str">
        <f aca="false">IF(T7249="","",IF(T7249=0,"No discount",IF(T7249&lt;=0.2,"Low (1-20%)",IF(T7249&lt;=0.4,"Medium (21-40%)","High (&gt;40%)"))))</f>
        <v/>
      </c>
      <c r="Y7249" s="23" t="str">
        <f aca="false">IF(AND(ISNUMBER(C7249),ISNUMBER(D7249)),D7249-C7249,"")</f>
        <v/>
      </c>
      <c r="Z7249" s="23" t="str">
        <f aca="false">IF(B7249="","",IF(MATCH(B7249,$B$2:$B$12000,0)=ROW()-1,1,0))</f>
        <v/>
      </c>
    </row>
    <row r="7250" customFormat="false" ht="15" hidden="false" customHeight="false" outlineLevel="0" collapsed="false">
      <c r="V7250" s="23" t="str">
        <f aca="false">IF(ISNUMBER(C7250),YEAR(C7250),"")</f>
        <v/>
      </c>
      <c r="W7250" s="23" t="str">
        <f aca="false">IF(ISNUMBER(C7250),MONTH(C7250),"")</f>
        <v/>
      </c>
      <c r="X7250" s="23" t="str">
        <f aca="false">IF(T7250="","",IF(T7250=0,"No discount",IF(T7250&lt;=0.2,"Low (1-20%)",IF(T7250&lt;=0.4,"Medium (21-40%)","High (&gt;40%)"))))</f>
        <v/>
      </c>
      <c r="Y7250" s="23" t="str">
        <f aca="false">IF(AND(ISNUMBER(C7250),ISNUMBER(D7250)),D7250-C7250,"")</f>
        <v/>
      </c>
      <c r="Z7250" s="23" t="str">
        <f aca="false">IF(B7250="","",IF(MATCH(B7250,$B$2:$B$12000,0)=ROW()-1,1,0))</f>
        <v/>
      </c>
    </row>
    <row r="7251" customFormat="false" ht="15" hidden="false" customHeight="false" outlineLevel="0" collapsed="false">
      <c r="V7251" s="23" t="str">
        <f aca="false">IF(ISNUMBER(C7251),YEAR(C7251),"")</f>
        <v/>
      </c>
      <c r="W7251" s="23" t="str">
        <f aca="false">IF(ISNUMBER(C7251),MONTH(C7251),"")</f>
        <v/>
      </c>
      <c r="X7251" s="23" t="str">
        <f aca="false">IF(T7251="","",IF(T7251=0,"No discount",IF(T7251&lt;=0.2,"Low (1-20%)",IF(T7251&lt;=0.4,"Medium (21-40%)","High (&gt;40%)"))))</f>
        <v/>
      </c>
      <c r="Y7251" s="23" t="str">
        <f aca="false">IF(AND(ISNUMBER(C7251),ISNUMBER(D7251)),D7251-C7251,"")</f>
        <v/>
      </c>
      <c r="Z7251" s="23" t="str">
        <f aca="false">IF(B7251="","",IF(MATCH(B7251,$B$2:$B$12000,0)=ROW()-1,1,0))</f>
        <v/>
      </c>
    </row>
    <row r="7252" customFormat="false" ht="15" hidden="false" customHeight="false" outlineLevel="0" collapsed="false">
      <c r="V7252" s="23" t="str">
        <f aca="false">IF(ISNUMBER(C7252),YEAR(C7252),"")</f>
        <v/>
      </c>
      <c r="W7252" s="23" t="str">
        <f aca="false">IF(ISNUMBER(C7252),MONTH(C7252),"")</f>
        <v/>
      </c>
      <c r="X7252" s="23" t="str">
        <f aca="false">IF(T7252="","",IF(T7252=0,"No discount",IF(T7252&lt;=0.2,"Low (1-20%)",IF(T7252&lt;=0.4,"Medium (21-40%)","High (&gt;40%)"))))</f>
        <v/>
      </c>
      <c r="Y7252" s="23" t="str">
        <f aca="false">IF(AND(ISNUMBER(C7252),ISNUMBER(D7252)),D7252-C7252,"")</f>
        <v/>
      </c>
      <c r="Z7252" s="23" t="str">
        <f aca="false">IF(B7252="","",IF(MATCH(B7252,$B$2:$B$12000,0)=ROW()-1,1,0))</f>
        <v/>
      </c>
    </row>
    <row r="7253" customFormat="false" ht="15" hidden="false" customHeight="false" outlineLevel="0" collapsed="false">
      <c r="V7253" s="23" t="str">
        <f aca="false">IF(ISNUMBER(C7253),YEAR(C7253),"")</f>
        <v/>
      </c>
      <c r="W7253" s="23" t="str">
        <f aca="false">IF(ISNUMBER(C7253),MONTH(C7253),"")</f>
        <v/>
      </c>
      <c r="X7253" s="23" t="str">
        <f aca="false">IF(T7253="","",IF(T7253=0,"No discount",IF(T7253&lt;=0.2,"Low (1-20%)",IF(T7253&lt;=0.4,"Medium (21-40%)","High (&gt;40%)"))))</f>
        <v/>
      </c>
      <c r="Y7253" s="23" t="str">
        <f aca="false">IF(AND(ISNUMBER(C7253),ISNUMBER(D7253)),D7253-C7253,"")</f>
        <v/>
      </c>
      <c r="Z7253" s="23" t="str">
        <f aca="false">IF(B7253="","",IF(MATCH(B7253,$B$2:$B$12000,0)=ROW()-1,1,0))</f>
        <v/>
      </c>
    </row>
    <row r="7254" customFormat="false" ht="15" hidden="false" customHeight="false" outlineLevel="0" collapsed="false">
      <c r="V7254" s="23" t="str">
        <f aca="false">IF(ISNUMBER(C7254),YEAR(C7254),"")</f>
        <v/>
      </c>
      <c r="W7254" s="23" t="str">
        <f aca="false">IF(ISNUMBER(C7254),MONTH(C7254),"")</f>
        <v/>
      </c>
      <c r="X7254" s="23" t="str">
        <f aca="false">IF(T7254="","",IF(T7254=0,"No discount",IF(T7254&lt;=0.2,"Low (1-20%)",IF(T7254&lt;=0.4,"Medium (21-40%)","High (&gt;40%)"))))</f>
        <v/>
      </c>
      <c r="Y7254" s="23" t="str">
        <f aca="false">IF(AND(ISNUMBER(C7254),ISNUMBER(D7254)),D7254-C7254,"")</f>
        <v/>
      </c>
      <c r="Z7254" s="23" t="str">
        <f aca="false">IF(B7254="","",IF(MATCH(B7254,$B$2:$B$12000,0)=ROW()-1,1,0))</f>
        <v/>
      </c>
    </row>
    <row r="7255" customFormat="false" ht="15" hidden="false" customHeight="false" outlineLevel="0" collapsed="false">
      <c r="V7255" s="23" t="str">
        <f aca="false">IF(ISNUMBER(C7255),YEAR(C7255),"")</f>
        <v/>
      </c>
      <c r="W7255" s="23" t="str">
        <f aca="false">IF(ISNUMBER(C7255),MONTH(C7255),"")</f>
        <v/>
      </c>
      <c r="X7255" s="23" t="str">
        <f aca="false">IF(T7255="","",IF(T7255=0,"No discount",IF(T7255&lt;=0.2,"Low (1-20%)",IF(T7255&lt;=0.4,"Medium (21-40%)","High (&gt;40%)"))))</f>
        <v/>
      </c>
      <c r="Y7255" s="23" t="str">
        <f aca="false">IF(AND(ISNUMBER(C7255),ISNUMBER(D7255)),D7255-C7255,"")</f>
        <v/>
      </c>
      <c r="Z7255" s="23" t="str">
        <f aca="false">IF(B7255="","",IF(MATCH(B7255,$B$2:$B$12000,0)=ROW()-1,1,0))</f>
        <v/>
      </c>
    </row>
    <row r="7256" customFormat="false" ht="15" hidden="false" customHeight="false" outlineLevel="0" collapsed="false">
      <c r="V7256" s="23" t="str">
        <f aca="false">IF(ISNUMBER(C7256),YEAR(C7256),"")</f>
        <v/>
      </c>
      <c r="W7256" s="23" t="str">
        <f aca="false">IF(ISNUMBER(C7256),MONTH(C7256),"")</f>
        <v/>
      </c>
      <c r="X7256" s="23" t="str">
        <f aca="false">IF(T7256="","",IF(T7256=0,"No discount",IF(T7256&lt;=0.2,"Low (1-20%)",IF(T7256&lt;=0.4,"Medium (21-40%)","High (&gt;40%)"))))</f>
        <v/>
      </c>
      <c r="Y7256" s="23" t="str">
        <f aca="false">IF(AND(ISNUMBER(C7256),ISNUMBER(D7256)),D7256-C7256,"")</f>
        <v/>
      </c>
      <c r="Z7256" s="23" t="str">
        <f aca="false">IF(B7256="","",IF(MATCH(B7256,$B$2:$B$12000,0)=ROW()-1,1,0))</f>
        <v/>
      </c>
    </row>
    <row r="7257" customFormat="false" ht="15" hidden="false" customHeight="false" outlineLevel="0" collapsed="false">
      <c r="V7257" s="23" t="str">
        <f aca="false">IF(ISNUMBER(C7257),YEAR(C7257),"")</f>
        <v/>
      </c>
      <c r="W7257" s="23" t="str">
        <f aca="false">IF(ISNUMBER(C7257),MONTH(C7257),"")</f>
        <v/>
      </c>
      <c r="X7257" s="23" t="str">
        <f aca="false">IF(T7257="","",IF(T7257=0,"No discount",IF(T7257&lt;=0.2,"Low (1-20%)",IF(T7257&lt;=0.4,"Medium (21-40%)","High (&gt;40%)"))))</f>
        <v/>
      </c>
      <c r="Y7257" s="23" t="str">
        <f aca="false">IF(AND(ISNUMBER(C7257),ISNUMBER(D7257)),D7257-C7257,"")</f>
        <v/>
      </c>
      <c r="Z7257" s="23" t="str">
        <f aca="false">IF(B7257="","",IF(MATCH(B7257,$B$2:$B$12000,0)=ROW()-1,1,0))</f>
        <v/>
      </c>
    </row>
    <row r="7258" customFormat="false" ht="15" hidden="false" customHeight="false" outlineLevel="0" collapsed="false">
      <c r="V7258" s="23" t="str">
        <f aca="false">IF(ISNUMBER(C7258),YEAR(C7258),"")</f>
        <v/>
      </c>
      <c r="W7258" s="23" t="str">
        <f aca="false">IF(ISNUMBER(C7258),MONTH(C7258),"")</f>
        <v/>
      </c>
      <c r="X7258" s="23" t="str">
        <f aca="false">IF(T7258="","",IF(T7258=0,"No discount",IF(T7258&lt;=0.2,"Low (1-20%)",IF(T7258&lt;=0.4,"Medium (21-40%)","High (&gt;40%)"))))</f>
        <v/>
      </c>
      <c r="Y7258" s="23" t="str">
        <f aca="false">IF(AND(ISNUMBER(C7258),ISNUMBER(D7258)),D7258-C7258,"")</f>
        <v/>
      </c>
      <c r="Z7258" s="23" t="str">
        <f aca="false">IF(B7258="","",IF(MATCH(B7258,$B$2:$B$12000,0)=ROW()-1,1,0))</f>
        <v/>
      </c>
    </row>
    <row r="7259" customFormat="false" ht="15" hidden="false" customHeight="false" outlineLevel="0" collapsed="false">
      <c r="V7259" s="23" t="str">
        <f aca="false">IF(ISNUMBER(C7259),YEAR(C7259),"")</f>
        <v/>
      </c>
      <c r="W7259" s="23" t="str">
        <f aca="false">IF(ISNUMBER(C7259),MONTH(C7259),"")</f>
        <v/>
      </c>
      <c r="X7259" s="23" t="str">
        <f aca="false">IF(T7259="","",IF(T7259=0,"No discount",IF(T7259&lt;=0.2,"Low (1-20%)",IF(T7259&lt;=0.4,"Medium (21-40%)","High (&gt;40%)"))))</f>
        <v/>
      </c>
      <c r="Y7259" s="23" t="str">
        <f aca="false">IF(AND(ISNUMBER(C7259),ISNUMBER(D7259)),D7259-C7259,"")</f>
        <v/>
      </c>
      <c r="Z7259" s="23" t="str">
        <f aca="false">IF(B7259="","",IF(MATCH(B7259,$B$2:$B$12000,0)=ROW()-1,1,0))</f>
        <v/>
      </c>
    </row>
    <row r="7260" customFormat="false" ht="15" hidden="false" customHeight="false" outlineLevel="0" collapsed="false">
      <c r="V7260" s="23" t="str">
        <f aca="false">IF(ISNUMBER(C7260),YEAR(C7260),"")</f>
        <v/>
      </c>
      <c r="W7260" s="23" t="str">
        <f aca="false">IF(ISNUMBER(C7260),MONTH(C7260),"")</f>
        <v/>
      </c>
      <c r="X7260" s="23" t="str">
        <f aca="false">IF(T7260="","",IF(T7260=0,"No discount",IF(T7260&lt;=0.2,"Low (1-20%)",IF(T7260&lt;=0.4,"Medium (21-40%)","High (&gt;40%)"))))</f>
        <v/>
      </c>
      <c r="Y7260" s="23" t="str">
        <f aca="false">IF(AND(ISNUMBER(C7260),ISNUMBER(D7260)),D7260-C7260,"")</f>
        <v/>
      </c>
      <c r="Z7260" s="23" t="str">
        <f aca="false">IF(B7260="","",IF(MATCH(B7260,$B$2:$B$12000,0)=ROW()-1,1,0))</f>
        <v/>
      </c>
    </row>
    <row r="7261" customFormat="false" ht="15" hidden="false" customHeight="false" outlineLevel="0" collapsed="false">
      <c r="V7261" s="23" t="str">
        <f aca="false">IF(ISNUMBER(C7261),YEAR(C7261),"")</f>
        <v/>
      </c>
      <c r="W7261" s="23" t="str">
        <f aca="false">IF(ISNUMBER(C7261),MONTH(C7261),"")</f>
        <v/>
      </c>
      <c r="X7261" s="23" t="str">
        <f aca="false">IF(T7261="","",IF(T7261=0,"No discount",IF(T7261&lt;=0.2,"Low (1-20%)",IF(T7261&lt;=0.4,"Medium (21-40%)","High (&gt;40%)"))))</f>
        <v/>
      </c>
      <c r="Y7261" s="23" t="str">
        <f aca="false">IF(AND(ISNUMBER(C7261),ISNUMBER(D7261)),D7261-C7261,"")</f>
        <v/>
      </c>
      <c r="Z7261" s="23" t="str">
        <f aca="false">IF(B7261="","",IF(MATCH(B7261,$B$2:$B$12000,0)=ROW()-1,1,0))</f>
        <v/>
      </c>
    </row>
    <row r="7262" customFormat="false" ht="15" hidden="false" customHeight="false" outlineLevel="0" collapsed="false">
      <c r="V7262" s="23" t="str">
        <f aca="false">IF(ISNUMBER(C7262),YEAR(C7262),"")</f>
        <v/>
      </c>
      <c r="W7262" s="23" t="str">
        <f aca="false">IF(ISNUMBER(C7262),MONTH(C7262),"")</f>
        <v/>
      </c>
      <c r="X7262" s="23" t="str">
        <f aca="false">IF(T7262="","",IF(T7262=0,"No discount",IF(T7262&lt;=0.2,"Low (1-20%)",IF(T7262&lt;=0.4,"Medium (21-40%)","High (&gt;40%)"))))</f>
        <v/>
      </c>
      <c r="Y7262" s="23" t="str">
        <f aca="false">IF(AND(ISNUMBER(C7262),ISNUMBER(D7262)),D7262-C7262,"")</f>
        <v/>
      </c>
      <c r="Z7262" s="23" t="str">
        <f aca="false">IF(B7262="","",IF(MATCH(B7262,$B$2:$B$12000,0)=ROW()-1,1,0))</f>
        <v/>
      </c>
    </row>
    <row r="7263" customFormat="false" ht="15" hidden="false" customHeight="false" outlineLevel="0" collapsed="false">
      <c r="V7263" s="23" t="str">
        <f aca="false">IF(ISNUMBER(C7263),YEAR(C7263),"")</f>
        <v/>
      </c>
      <c r="W7263" s="23" t="str">
        <f aca="false">IF(ISNUMBER(C7263),MONTH(C7263),"")</f>
        <v/>
      </c>
      <c r="X7263" s="23" t="str">
        <f aca="false">IF(T7263="","",IF(T7263=0,"No discount",IF(T7263&lt;=0.2,"Low (1-20%)",IF(T7263&lt;=0.4,"Medium (21-40%)","High (&gt;40%)"))))</f>
        <v/>
      </c>
      <c r="Y7263" s="23" t="str">
        <f aca="false">IF(AND(ISNUMBER(C7263),ISNUMBER(D7263)),D7263-C7263,"")</f>
        <v/>
      </c>
      <c r="Z7263" s="23" t="str">
        <f aca="false">IF(B7263="","",IF(MATCH(B7263,$B$2:$B$12000,0)=ROW()-1,1,0))</f>
        <v/>
      </c>
    </row>
    <row r="7264" customFormat="false" ht="15" hidden="false" customHeight="false" outlineLevel="0" collapsed="false">
      <c r="V7264" s="23" t="str">
        <f aca="false">IF(ISNUMBER(C7264),YEAR(C7264),"")</f>
        <v/>
      </c>
      <c r="W7264" s="23" t="str">
        <f aca="false">IF(ISNUMBER(C7264),MONTH(C7264),"")</f>
        <v/>
      </c>
      <c r="X7264" s="23" t="str">
        <f aca="false">IF(T7264="","",IF(T7264=0,"No discount",IF(T7264&lt;=0.2,"Low (1-20%)",IF(T7264&lt;=0.4,"Medium (21-40%)","High (&gt;40%)"))))</f>
        <v/>
      </c>
      <c r="Y7264" s="23" t="str">
        <f aca="false">IF(AND(ISNUMBER(C7264),ISNUMBER(D7264)),D7264-C7264,"")</f>
        <v/>
      </c>
      <c r="Z7264" s="23" t="str">
        <f aca="false">IF(B7264="","",IF(MATCH(B7264,$B$2:$B$12000,0)=ROW()-1,1,0))</f>
        <v/>
      </c>
    </row>
    <row r="7265" customFormat="false" ht="15" hidden="false" customHeight="false" outlineLevel="0" collapsed="false">
      <c r="V7265" s="23" t="str">
        <f aca="false">IF(ISNUMBER(C7265),YEAR(C7265),"")</f>
        <v/>
      </c>
      <c r="W7265" s="23" t="str">
        <f aca="false">IF(ISNUMBER(C7265),MONTH(C7265),"")</f>
        <v/>
      </c>
      <c r="X7265" s="23" t="str">
        <f aca="false">IF(T7265="","",IF(T7265=0,"No discount",IF(T7265&lt;=0.2,"Low (1-20%)",IF(T7265&lt;=0.4,"Medium (21-40%)","High (&gt;40%)"))))</f>
        <v/>
      </c>
      <c r="Y7265" s="23" t="str">
        <f aca="false">IF(AND(ISNUMBER(C7265),ISNUMBER(D7265)),D7265-C7265,"")</f>
        <v/>
      </c>
      <c r="Z7265" s="23" t="str">
        <f aca="false">IF(B7265="","",IF(MATCH(B7265,$B$2:$B$12000,0)=ROW()-1,1,0))</f>
        <v/>
      </c>
    </row>
    <row r="7266" customFormat="false" ht="15" hidden="false" customHeight="false" outlineLevel="0" collapsed="false">
      <c r="V7266" s="23" t="str">
        <f aca="false">IF(ISNUMBER(C7266),YEAR(C7266),"")</f>
        <v/>
      </c>
      <c r="W7266" s="23" t="str">
        <f aca="false">IF(ISNUMBER(C7266),MONTH(C7266),"")</f>
        <v/>
      </c>
      <c r="X7266" s="23" t="str">
        <f aca="false">IF(T7266="","",IF(T7266=0,"No discount",IF(T7266&lt;=0.2,"Low (1-20%)",IF(T7266&lt;=0.4,"Medium (21-40%)","High (&gt;40%)"))))</f>
        <v/>
      </c>
      <c r="Y7266" s="23" t="str">
        <f aca="false">IF(AND(ISNUMBER(C7266),ISNUMBER(D7266)),D7266-C7266,"")</f>
        <v/>
      </c>
      <c r="Z7266" s="23" t="str">
        <f aca="false">IF(B7266="","",IF(MATCH(B7266,$B$2:$B$12000,0)=ROW()-1,1,0))</f>
        <v/>
      </c>
    </row>
    <row r="7267" customFormat="false" ht="15" hidden="false" customHeight="false" outlineLevel="0" collapsed="false">
      <c r="V7267" s="23" t="str">
        <f aca="false">IF(ISNUMBER(C7267),YEAR(C7267),"")</f>
        <v/>
      </c>
      <c r="W7267" s="23" t="str">
        <f aca="false">IF(ISNUMBER(C7267),MONTH(C7267),"")</f>
        <v/>
      </c>
      <c r="X7267" s="23" t="str">
        <f aca="false">IF(T7267="","",IF(T7267=0,"No discount",IF(T7267&lt;=0.2,"Low (1-20%)",IF(T7267&lt;=0.4,"Medium (21-40%)","High (&gt;40%)"))))</f>
        <v/>
      </c>
      <c r="Y7267" s="23" t="str">
        <f aca="false">IF(AND(ISNUMBER(C7267),ISNUMBER(D7267)),D7267-C7267,"")</f>
        <v/>
      </c>
      <c r="Z7267" s="23" t="str">
        <f aca="false">IF(B7267="","",IF(MATCH(B7267,$B$2:$B$12000,0)=ROW()-1,1,0))</f>
        <v/>
      </c>
    </row>
    <row r="7268" customFormat="false" ht="15" hidden="false" customHeight="false" outlineLevel="0" collapsed="false">
      <c r="V7268" s="23" t="str">
        <f aca="false">IF(ISNUMBER(C7268),YEAR(C7268),"")</f>
        <v/>
      </c>
      <c r="W7268" s="23" t="str">
        <f aca="false">IF(ISNUMBER(C7268),MONTH(C7268),"")</f>
        <v/>
      </c>
      <c r="X7268" s="23" t="str">
        <f aca="false">IF(T7268="","",IF(T7268=0,"No discount",IF(T7268&lt;=0.2,"Low (1-20%)",IF(T7268&lt;=0.4,"Medium (21-40%)","High (&gt;40%)"))))</f>
        <v/>
      </c>
      <c r="Y7268" s="23" t="str">
        <f aca="false">IF(AND(ISNUMBER(C7268),ISNUMBER(D7268)),D7268-C7268,"")</f>
        <v/>
      </c>
      <c r="Z7268" s="23" t="str">
        <f aca="false">IF(B7268="","",IF(MATCH(B7268,$B$2:$B$12000,0)=ROW()-1,1,0))</f>
        <v/>
      </c>
    </row>
    <row r="7269" customFormat="false" ht="15" hidden="false" customHeight="false" outlineLevel="0" collapsed="false">
      <c r="V7269" s="23" t="str">
        <f aca="false">IF(ISNUMBER(C7269),YEAR(C7269),"")</f>
        <v/>
      </c>
      <c r="W7269" s="23" t="str">
        <f aca="false">IF(ISNUMBER(C7269),MONTH(C7269),"")</f>
        <v/>
      </c>
      <c r="X7269" s="23" t="str">
        <f aca="false">IF(T7269="","",IF(T7269=0,"No discount",IF(T7269&lt;=0.2,"Low (1-20%)",IF(T7269&lt;=0.4,"Medium (21-40%)","High (&gt;40%)"))))</f>
        <v/>
      </c>
      <c r="Y7269" s="23" t="str">
        <f aca="false">IF(AND(ISNUMBER(C7269),ISNUMBER(D7269)),D7269-C7269,"")</f>
        <v/>
      </c>
      <c r="Z7269" s="23" t="str">
        <f aca="false">IF(B7269="","",IF(MATCH(B7269,$B$2:$B$12000,0)=ROW()-1,1,0))</f>
        <v/>
      </c>
    </row>
    <row r="7270" customFormat="false" ht="15" hidden="false" customHeight="false" outlineLevel="0" collapsed="false">
      <c r="V7270" s="23" t="str">
        <f aca="false">IF(ISNUMBER(C7270),YEAR(C7270),"")</f>
        <v/>
      </c>
      <c r="W7270" s="23" t="str">
        <f aca="false">IF(ISNUMBER(C7270),MONTH(C7270),"")</f>
        <v/>
      </c>
      <c r="X7270" s="23" t="str">
        <f aca="false">IF(T7270="","",IF(T7270=0,"No discount",IF(T7270&lt;=0.2,"Low (1-20%)",IF(T7270&lt;=0.4,"Medium (21-40%)","High (&gt;40%)"))))</f>
        <v/>
      </c>
      <c r="Y7270" s="23" t="str">
        <f aca="false">IF(AND(ISNUMBER(C7270),ISNUMBER(D7270)),D7270-C7270,"")</f>
        <v/>
      </c>
      <c r="Z7270" s="23" t="str">
        <f aca="false">IF(B7270="","",IF(MATCH(B7270,$B$2:$B$12000,0)=ROW()-1,1,0))</f>
        <v/>
      </c>
    </row>
    <row r="7271" customFormat="false" ht="15" hidden="false" customHeight="false" outlineLevel="0" collapsed="false">
      <c r="V7271" s="23" t="str">
        <f aca="false">IF(ISNUMBER(C7271),YEAR(C7271),"")</f>
        <v/>
      </c>
      <c r="W7271" s="23" t="str">
        <f aca="false">IF(ISNUMBER(C7271),MONTH(C7271),"")</f>
        <v/>
      </c>
      <c r="X7271" s="23" t="str">
        <f aca="false">IF(T7271="","",IF(T7271=0,"No discount",IF(T7271&lt;=0.2,"Low (1-20%)",IF(T7271&lt;=0.4,"Medium (21-40%)","High (&gt;40%)"))))</f>
        <v/>
      </c>
      <c r="Y7271" s="23" t="str">
        <f aca="false">IF(AND(ISNUMBER(C7271),ISNUMBER(D7271)),D7271-C7271,"")</f>
        <v/>
      </c>
      <c r="Z7271" s="23" t="str">
        <f aca="false">IF(B7271="","",IF(MATCH(B7271,$B$2:$B$12000,0)=ROW()-1,1,0))</f>
        <v/>
      </c>
    </row>
    <row r="7272" customFormat="false" ht="15" hidden="false" customHeight="false" outlineLevel="0" collapsed="false">
      <c r="V7272" s="23" t="str">
        <f aca="false">IF(ISNUMBER(C7272),YEAR(C7272),"")</f>
        <v/>
      </c>
      <c r="W7272" s="23" t="str">
        <f aca="false">IF(ISNUMBER(C7272),MONTH(C7272),"")</f>
        <v/>
      </c>
      <c r="X7272" s="23" t="str">
        <f aca="false">IF(T7272="","",IF(T7272=0,"No discount",IF(T7272&lt;=0.2,"Low (1-20%)",IF(T7272&lt;=0.4,"Medium (21-40%)","High (&gt;40%)"))))</f>
        <v/>
      </c>
      <c r="Y7272" s="23" t="str">
        <f aca="false">IF(AND(ISNUMBER(C7272),ISNUMBER(D7272)),D7272-C7272,"")</f>
        <v/>
      </c>
      <c r="Z7272" s="23" t="str">
        <f aca="false">IF(B7272="","",IF(MATCH(B7272,$B$2:$B$12000,0)=ROW()-1,1,0))</f>
        <v/>
      </c>
    </row>
    <row r="7273" customFormat="false" ht="15" hidden="false" customHeight="false" outlineLevel="0" collapsed="false">
      <c r="V7273" s="23" t="str">
        <f aca="false">IF(ISNUMBER(C7273),YEAR(C7273),"")</f>
        <v/>
      </c>
      <c r="W7273" s="23" t="str">
        <f aca="false">IF(ISNUMBER(C7273),MONTH(C7273),"")</f>
        <v/>
      </c>
      <c r="X7273" s="23" t="str">
        <f aca="false">IF(T7273="","",IF(T7273=0,"No discount",IF(T7273&lt;=0.2,"Low (1-20%)",IF(T7273&lt;=0.4,"Medium (21-40%)","High (&gt;40%)"))))</f>
        <v/>
      </c>
      <c r="Y7273" s="23" t="str">
        <f aca="false">IF(AND(ISNUMBER(C7273),ISNUMBER(D7273)),D7273-C7273,"")</f>
        <v/>
      </c>
      <c r="Z7273" s="23" t="str">
        <f aca="false">IF(B7273="","",IF(MATCH(B7273,$B$2:$B$12000,0)=ROW()-1,1,0))</f>
        <v/>
      </c>
    </row>
    <row r="7274" customFormat="false" ht="15" hidden="false" customHeight="false" outlineLevel="0" collapsed="false">
      <c r="V7274" s="23" t="str">
        <f aca="false">IF(ISNUMBER(C7274),YEAR(C7274),"")</f>
        <v/>
      </c>
      <c r="W7274" s="23" t="str">
        <f aca="false">IF(ISNUMBER(C7274),MONTH(C7274),"")</f>
        <v/>
      </c>
      <c r="X7274" s="23" t="str">
        <f aca="false">IF(T7274="","",IF(T7274=0,"No discount",IF(T7274&lt;=0.2,"Low (1-20%)",IF(T7274&lt;=0.4,"Medium (21-40%)","High (&gt;40%)"))))</f>
        <v/>
      </c>
      <c r="Y7274" s="23" t="str">
        <f aca="false">IF(AND(ISNUMBER(C7274),ISNUMBER(D7274)),D7274-C7274,"")</f>
        <v/>
      </c>
      <c r="Z7274" s="23" t="str">
        <f aca="false">IF(B7274="","",IF(MATCH(B7274,$B$2:$B$12000,0)=ROW()-1,1,0))</f>
        <v/>
      </c>
    </row>
    <row r="7275" customFormat="false" ht="15" hidden="false" customHeight="false" outlineLevel="0" collapsed="false">
      <c r="V7275" s="23" t="str">
        <f aca="false">IF(ISNUMBER(C7275),YEAR(C7275),"")</f>
        <v/>
      </c>
      <c r="W7275" s="23" t="str">
        <f aca="false">IF(ISNUMBER(C7275),MONTH(C7275),"")</f>
        <v/>
      </c>
      <c r="X7275" s="23" t="str">
        <f aca="false">IF(T7275="","",IF(T7275=0,"No discount",IF(T7275&lt;=0.2,"Low (1-20%)",IF(T7275&lt;=0.4,"Medium (21-40%)","High (&gt;40%)"))))</f>
        <v/>
      </c>
      <c r="Y7275" s="23" t="str">
        <f aca="false">IF(AND(ISNUMBER(C7275),ISNUMBER(D7275)),D7275-C7275,"")</f>
        <v/>
      </c>
      <c r="Z7275" s="23" t="str">
        <f aca="false">IF(B7275="","",IF(MATCH(B7275,$B$2:$B$12000,0)=ROW()-1,1,0))</f>
        <v/>
      </c>
    </row>
    <row r="7276" customFormat="false" ht="15" hidden="false" customHeight="false" outlineLevel="0" collapsed="false">
      <c r="V7276" s="23" t="str">
        <f aca="false">IF(ISNUMBER(C7276),YEAR(C7276),"")</f>
        <v/>
      </c>
      <c r="W7276" s="23" t="str">
        <f aca="false">IF(ISNUMBER(C7276),MONTH(C7276),"")</f>
        <v/>
      </c>
      <c r="X7276" s="23" t="str">
        <f aca="false">IF(T7276="","",IF(T7276=0,"No discount",IF(T7276&lt;=0.2,"Low (1-20%)",IF(T7276&lt;=0.4,"Medium (21-40%)","High (&gt;40%)"))))</f>
        <v/>
      </c>
      <c r="Y7276" s="23" t="str">
        <f aca="false">IF(AND(ISNUMBER(C7276),ISNUMBER(D7276)),D7276-C7276,"")</f>
        <v/>
      </c>
      <c r="Z7276" s="23" t="str">
        <f aca="false">IF(B7276="","",IF(MATCH(B7276,$B$2:$B$12000,0)=ROW()-1,1,0))</f>
        <v/>
      </c>
    </row>
    <row r="7277" customFormat="false" ht="15" hidden="false" customHeight="false" outlineLevel="0" collapsed="false">
      <c r="V7277" s="23" t="str">
        <f aca="false">IF(ISNUMBER(C7277),YEAR(C7277),"")</f>
        <v/>
      </c>
      <c r="W7277" s="23" t="str">
        <f aca="false">IF(ISNUMBER(C7277),MONTH(C7277),"")</f>
        <v/>
      </c>
      <c r="X7277" s="23" t="str">
        <f aca="false">IF(T7277="","",IF(T7277=0,"No discount",IF(T7277&lt;=0.2,"Low (1-20%)",IF(T7277&lt;=0.4,"Medium (21-40%)","High (&gt;40%)"))))</f>
        <v/>
      </c>
      <c r="Y7277" s="23" t="str">
        <f aca="false">IF(AND(ISNUMBER(C7277),ISNUMBER(D7277)),D7277-C7277,"")</f>
        <v/>
      </c>
      <c r="Z7277" s="23" t="str">
        <f aca="false">IF(B7277="","",IF(MATCH(B7277,$B$2:$B$12000,0)=ROW()-1,1,0))</f>
        <v/>
      </c>
    </row>
    <row r="7278" customFormat="false" ht="15" hidden="false" customHeight="false" outlineLevel="0" collapsed="false">
      <c r="V7278" s="23" t="str">
        <f aca="false">IF(ISNUMBER(C7278),YEAR(C7278),"")</f>
        <v/>
      </c>
      <c r="W7278" s="23" t="str">
        <f aca="false">IF(ISNUMBER(C7278),MONTH(C7278),"")</f>
        <v/>
      </c>
      <c r="X7278" s="23" t="str">
        <f aca="false">IF(T7278="","",IF(T7278=0,"No discount",IF(T7278&lt;=0.2,"Low (1-20%)",IF(T7278&lt;=0.4,"Medium (21-40%)","High (&gt;40%)"))))</f>
        <v/>
      </c>
      <c r="Y7278" s="23" t="str">
        <f aca="false">IF(AND(ISNUMBER(C7278),ISNUMBER(D7278)),D7278-C7278,"")</f>
        <v/>
      </c>
      <c r="Z7278" s="23" t="str">
        <f aca="false">IF(B7278="","",IF(MATCH(B7278,$B$2:$B$12000,0)=ROW()-1,1,0))</f>
        <v/>
      </c>
    </row>
    <row r="7279" customFormat="false" ht="15" hidden="false" customHeight="false" outlineLevel="0" collapsed="false">
      <c r="V7279" s="23" t="str">
        <f aca="false">IF(ISNUMBER(C7279),YEAR(C7279),"")</f>
        <v/>
      </c>
      <c r="W7279" s="23" t="str">
        <f aca="false">IF(ISNUMBER(C7279),MONTH(C7279),"")</f>
        <v/>
      </c>
      <c r="X7279" s="23" t="str">
        <f aca="false">IF(T7279="","",IF(T7279=0,"No discount",IF(T7279&lt;=0.2,"Low (1-20%)",IF(T7279&lt;=0.4,"Medium (21-40%)","High (&gt;40%)"))))</f>
        <v/>
      </c>
      <c r="Y7279" s="23" t="str">
        <f aca="false">IF(AND(ISNUMBER(C7279),ISNUMBER(D7279)),D7279-C7279,"")</f>
        <v/>
      </c>
      <c r="Z7279" s="23" t="str">
        <f aca="false">IF(B7279="","",IF(MATCH(B7279,$B$2:$B$12000,0)=ROW()-1,1,0))</f>
        <v/>
      </c>
    </row>
    <row r="7280" customFormat="false" ht="15" hidden="false" customHeight="false" outlineLevel="0" collapsed="false">
      <c r="V7280" s="23" t="str">
        <f aca="false">IF(ISNUMBER(C7280),YEAR(C7280),"")</f>
        <v/>
      </c>
      <c r="W7280" s="23" t="str">
        <f aca="false">IF(ISNUMBER(C7280),MONTH(C7280),"")</f>
        <v/>
      </c>
      <c r="X7280" s="23" t="str">
        <f aca="false">IF(T7280="","",IF(T7280=0,"No discount",IF(T7280&lt;=0.2,"Low (1-20%)",IF(T7280&lt;=0.4,"Medium (21-40%)","High (&gt;40%)"))))</f>
        <v/>
      </c>
      <c r="Y7280" s="23" t="str">
        <f aca="false">IF(AND(ISNUMBER(C7280),ISNUMBER(D7280)),D7280-C7280,"")</f>
        <v/>
      </c>
      <c r="Z7280" s="23" t="str">
        <f aca="false">IF(B7280="","",IF(MATCH(B7280,$B$2:$B$12000,0)=ROW()-1,1,0))</f>
        <v/>
      </c>
    </row>
    <row r="7281" customFormat="false" ht="15" hidden="false" customHeight="false" outlineLevel="0" collapsed="false">
      <c r="V7281" s="23" t="str">
        <f aca="false">IF(ISNUMBER(C7281),YEAR(C7281),"")</f>
        <v/>
      </c>
      <c r="W7281" s="23" t="str">
        <f aca="false">IF(ISNUMBER(C7281),MONTH(C7281),"")</f>
        <v/>
      </c>
      <c r="X7281" s="23" t="str">
        <f aca="false">IF(T7281="","",IF(T7281=0,"No discount",IF(T7281&lt;=0.2,"Low (1-20%)",IF(T7281&lt;=0.4,"Medium (21-40%)","High (&gt;40%)"))))</f>
        <v/>
      </c>
      <c r="Y7281" s="23" t="str">
        <f aca="false">IF(AND(ISNUMBER(C7281),ISNUMBER(D7281)),D7281-C7281,"")</f>
        <v/>
      </c>
      <c r="Z7281" s="23" t="str">
        <f aca="false">IF(B7281="","",IF(MATCH(B7281,$B$2:$B$12000,0)=ROW()-1,1,0))</f>
        <v/>
      </c>
    </row>
    <row r="7282" customFormat="false" ht="15" hidden="false" customHeight="false" outlineLevel="0" collapsed="false">
      <c r="V7282" s="23" t="str">
        <f aca="false">IF(ISNUMBER(C7282),YEAR(C7282),"")</f>
        <v/>
      </c>
      <c r="W7282" s="23" t="str">
        <f aca="false">IF(ISNUMBER(C7282),MONTH(C7282),"")</f>
        <v/>
      </c>
      <c r="X7282" s="23" t="str">
        <f aca="false">IF(T7282="","",IF(T7282=0,"No discount",IF(T7282&lt;=0.2,"Low (1-20%)",IF(T7282&lt;=0.4,"Medium (21-40%)","High (&gt;40%)"))))</f>
        <v/>
      </c>
      <c r="Y7282" s="23" t="str">
        <f aca="false">IF(AND(ISNUMBER(C7282),ISNUMBER(D7282)),D7282-C7282,"")</f>
        <v/>
      </c>
      <c r="Z7282" s="23" t="str">
        <f aca="false">IF(B7282="","",IF(MATCH(B7282,$B$2:$B$12000,0)=ROW()-1,1,0))</f>
        <v/>
      </c>
    </row>
    <row r="7283" customFormat="false" ht="15" hidden="false" customHeight="false" outlineLevel="0" collapsed="false">
      <c r="V7283" s="23" t="str">
        <f aca="false">IF(ISNUMBER(C7283),YEAR(C7283),"")</f>
        <v/>
      </c>
      <c r="W7283" s="23" t="str">
        <f aca="false">IF(ISNUMBER(C7283),MONTH(C7283),"")</f>
        <v/>
      </c>
      <c r="X7283" s="23" t="str">
        <f aca="false">IF(T7283="","",IF(T7283=0,"No discount",IF(T7283&lt;=0.2,"Low (1-20%)",IF(T7283&lt;=0.4,"Medium (21-40%)","High (&gt;40%)"))))</f>
        <v/>
      </c>
      <c r="Y7283" s="23" t="str">
        <f aca="false">IF(AND(ISNUMBER(C7283),ISNUMBER(D7283)),D7283-C7283,"")</f>
        <v/>
      </c>
      <c r="Z7283" s="23" t="str">
        <f aca="false">IF(B7283="","",IF(MATCH(B7283,$B$2:$B$12000,0)=ROW()-1,1,0))</f>
        <v/>
      </c>
    </row>
    <row r="7284" customFormat="false" ht="15" hidden="false" customHeight="false" outlineLevel="0" collapsed="false">
      <c r="V7284" s="23" t="str">
        <f aca="false">IF(ISNUMBER(C7284),YEAR(C7284),"")</f>
        <v/>
      </c>
      <c r="W7284" s="23" t="str">
        <f aca="false">IF(ISNUMBER(C7284),MONTH(C7284),"")</f>
        <v/>
      </c>
      <c r="X7284" s="23" t="str">
        <f aca="false">IF(T7284="","",IF(T7284=0,"No discount",IF(T7284&lt;=0.2,"Low (1-20%)",IF(T7284&lt;=0.4,"Medium (21-40%)","High (&gt;40%)"))))</f>
        <v/>
      </c>
      <c r="Y7284" s="23" t="str">
        <f aca="false">IF(AND(ISNUMBER(C7284),ISNUMBER(D7284)),D7284-C7284,"")</f>
        <v/>
      </c>
      <c r="Z7284" s="23" t="str">
        <f aca="false">IF(B7284="","",IF(MATCH(B7284,$B$2:$B$12000,0)=ROW()-1,1,0))</f>
        <v/>
      </c>
    </row>
    <row r="7285" customFormat="false" ht="15" hidden="false" customHeight="false" outlineLevel="0" collapsed="false">
      <c r="V7285" s="23" t="str">
        <f aca="false">IF(ISNUMBER(C7285),YEAR(C7285),"")</f>
        <v/>
      </c>
      <c r="W7285" s="23" t="str">
        <f aca="false">IF(ISNUMBER(C7285),MONTH(C7285),"")</f>
        <v/>
      </c>
      <c r="X7285" s="23" t="str">
        <f aca="false">IF(T7285="","",IF(T7285=0,"No discount",IF(T7285&lt;=0.2,"Low (1-20%)",IF(T7285&lt;=0.4,"Medium (21-40%)","High (&gt;40%)"))))</f>
        <v/>
      </c>
      <c r="Y7285" s="23" t="str">
        <f aca="false">IF(AND(ISNUMBER(C7285),ISNUMBER(D7285)),D7285-C7285,"")</f>
        <v/>
      </c>
      <c r="Z7285" s="23" t="str">
        <f aca="false">IF(B7285="","",IF(MATCH(B7285,$B$2:$B$12000,0)=ROW()-1,1,0))</f>
        <v/>
      </c>
    </row>
    <row r="7286" customFormat="false" ht="15" hidden="false" customHeight="false" outlineLevel="0" collapsed="false">
      <c r="V7286" s="23" t="str">
        <f aca="false">IF(ISNUMBER(C7286),YEAR(C7286),"")</f>
        <v/>
      </c>
      <c r="W7286" s="23" t="str">
        <f aca="false">IF(ISNUMBER(C7286),MONTH(C7286),"")</f>
        <v/>
      </c>
      <c r="X7286" s="23" t="str">
        <f aca="false">IF(T7286="","",IF(T7286=0,"No discount",IF(T7286&lt;=0.2,"Low (1-20%)",IF(T7286&lt;=0.4,"Medium (21-40%)","High (&gt;40%)"))))</f>
        <v/>
      </c>
      <c r="Y7286" s="23" t="str">
        <f aca="false">IF(AND(ISNUMBER(C7286),ISNUMBER(D7286)),D7286-C7286,"")</f>
        <v/>
      </c>
      <c r="Z7286" s="23" t="str">
        <f aca="false">IF(B7286="","",IF(MATCH(B7286,$B$2:$B$12000,0)=ROW()-1,1,0))</f>
        <v/>
      </c>
    </row>
    <row r="7287" customFormat="false" ht="15" hidden="false" customHeight="false" outlineLevel="0" collapsed="false">
      <c r="V7287" s="23" t="str">
        <f aca="false">IF(ISNUMBER(C7287),YEAR(C7287),"")</f>
        <v/>
      </c>
      <c r="W7287" s="23" t="str">
        <f aca="false">IF(ISNUMBER(C7287),MONTH(C7287),"")</f>
        <v/>
      </c>
      <c r="X7287" s="23" t="str">
        <f aca="false">IF(T7287="","",IF(T7287=0,"No discount",IF(T7287&lt;=0.2,"Low (1-20%)",IF(T7287&lt;=0.4,"Medium (21-40%)","High (&gt;40%)"))))</f>
        <v/>
      </c>
      <c r="Y7287" s="23" t="str">
        <f aca="false">IF(AND(ISNUMBER(C7287),ISNUMBER(D7287)),D7287-C7287,"")</f>
        <v/>
      </c>
      <c r="Z7287" s="23" t="str">
        <f aca="false">IF(B7287="","",IF(MATCH(B7287,$B$2:$B$12000,0)=ROW()-1,1,0))</f>
        <v/>
      </c>
    </row>
    <row r="7288" customFormat="false" ht="15" hidden="false" customHeight="false" outlineLevel="0" collapsed="false">
      <c r="V7288" s="23" t="str">
        <f aca="false">IF(ISNUMBER(C7288),YEAR(C7288),"")</f>
        <v/>
      </c>
      <c r="W7288" s="23" t="str">
        <f aca="false">IF(ISNUMBER(C7288),MONTH(C7288),"")</f>
        <v/>
      </c>
      <c r="X7288" s="23" t="str">
        <f aca="false">IF(T7288="","",IF(T7288=0,"No discount",IF(T7288&lt;=0.2,"Low (1-20%)",IF(T7288&lt;=0.4,"Medium (21-40%)","High (&gt;40%)"))))</f>
        <v/>
      </c>
      <c r="Y7288" s="23" t="str">
        <f aca="false">IF(AND(ISNUMBER(C7288),ISNUMBER(D7288)),D7288-C7288,"")</f>
        <v/>
      </c>
      <c r="Z7288" s="23" t="str">
        <f aca="false">IF(B7288="","",IF(MATCH(B7288,$B$2:$B$12000,0)=ROW()-1,1,0))</f>
        <v/>
      </c>
    </row>
    <row r="7289" customFormat="false" ht="15" hidden="false" customHeight="false" outlineLevel="0" collapsed="false">
      <c r="V7289" s="23" t="str">
        <f aca="false">IF(ISNUMBER(C7289),YEAR(C7289),"")</f>
        <v/>
      </c>
      <c r="W7289" s="23" t="str">
        <f aca="false">IF(ISNUMBER(C7289),MONTH(C7289),"")</f>
        <v/>
      </c>
      <c r="X7289" s="23" t="str">
        <f aca="false">IF(T7289="","",IF(T7289=0,"No discount",IF(T7289&lt;=0.2,"Low (1-20%)",IF(T7289&lt;=0.4,"Medium (21-40%)","High (&gt;40%)"))))</f>
        <v/>
      </c>
      <c r="Y7289" s="23" t="str">
        <f aca="false">IF(AND(ISNUMBER(C7289),ISNUMBER(D7289)),D7289-C7289,"")</f>
        <v/>
      </c>
      <c r="Z7289" s="23" t="str">
        <f aca="false">IF(B7289="","",IF(MATCH(B7289,$B$2:$B$12000,0)=ROW()-1,1,0))</f>
        <v/>
      </c>
    </row>
    <row r="7290" customFormat="false" ht="15" hidden="false" customHeight="false" outlineLevel="0" collapsed="false">
      <c r="V7290" s="23" t="str">
        <f aca="false">IF(ISNUMBER(C7290),YEAR(C7290),"")</f>
        <v/>
      </c>
      <c r="W7290" s="23" t="str">
        <f aca="false">IF(ISNUMBER(C7290),MONTH(C7290),"")</f>
        <v/>
      </c>
      <c r="X7290" s="23" t="str">
        <f aca="false">IF(T7290="","",IF(T7290=0,"No discount",IF(T7290&lt;=0.2,"Low (1-20%)",IF(T7290&lt;=0.4,"Medium (21-40%)","High (&gt;40%)"))))</f>
        <v/>
      </c>
      <c r="Y7290" s="23" t="str">
        <f aca="false">IF(AND(ISNUMBER(C7290),ISNUMBER(D7290)),D7290-C7290,"")</f>
        <v/>
      </c>
      <c r="Z7290" s="23" t="str">
        <f aca="false">IF(B7290="","",IF(MATCH(B7290,$B$2:$B$12000,0)=ROW()-1,1,0))</f>
        <v/>
      </c>
    </row>
    <row r="7291" customFormat="false" ht="15" hidden="false" customHeight="false" outlineLevel="0" collapsed="false">
      <c r="V7291" s="23" t="str">
        <f aca="false">IF(ISNUMBER(C7291),YEAR(C7291),"")</f>
        <v/>
      </c>
      <c r="W7291" s="23" t="str">
        <f aca="false">IF(ISNUMBER(C7291),MONTH(C7291),"")</f>
        <v/>
      </c>
      <c r="X7291" s="23" t="str">
        <f aca="false">IF(T7291="","",IF(T7291=0,"No discount",IF(T7291&lt;=0.2,"Low (1-20%)",IF(T7291&lt;=0.4,"Medium (21-40%)","High (&gt;40%)"))))</f>
        <v/>
      </c>
      <c r="Y7291" s="23" t="str">
        <f aca="false">IF(AND(ISNUMBER(C7291),ISNUMBER(D7291)),D7291-C7291,"")</f>
        <v/>
      </c>
      <c r="Z7291" s="23" t="str">
        <f aca="false">IF(B7291="","",IF(MATCH(B7291,$B$2:$B$12000,0)=ROW()-1,1,0))</f>
        <v/>
      </c>
    </row>
    <row r="7292" customFormat="false" ht="15" hidden="false" customHeight="false" outlineLevel="0" collapsed="false">
      <c r="V7292" s="23" t="str">
        <f aca="false">IF(ISNUMBER(C7292),YEAR(C7292),"")</f>
        <v/>
      </c>
      <c r="W7292" s="23" t="str">
        <f aca="false">IF(ISNUMBER(C7292),MONTH(C7292),"")</f>
        <v/>
      </c>
      <c r="X7292" s="23" t="str">
        <f aca="false">IF(T7292="","",IF(T7292=0,"No discount",IF(T7292&lt;=0.2,"Low (1-20%)",IF(T7292&lt;=0.4,"Medium (21-40%)","High (&gt;40%)"))))</f>
        <v/>
      </c>
      <c r="Y7292" s="23" t="str">
        <f aca="false">IF(AND(ISNUMBER(C7292),ISNUMBER(D7292)),D7292-C7292,"")</f>
        <v/>
      </c>
      <c r="Z7292" s="23" t="str">
        <f aca="false">IF(B7292="","",IF(MATCH(B7292,$B$2:$B$12000,0)=ROW()-1,1,0))</f>
        <v/>
      </c>
    </row>
    <row r="7293" customFormat="false" ht="15" hidden="false" customHeight="false" outlineLevel="0" collapsed="false">
      <c r="V7293" s="23" t="str">
        <f aca="false">IF(ISNUMBER(C7293),YEAR(C7293),"")</f>
        <v/>
      </c>
      <c r="W7293" s="23" t="str">
        <f aca="false">IF(ISNUMBER(C7293),MONTH(C7293),"")</f>
        <v/>
      </c>
      <c r="X7293" s="23" t="str">
        <f aca="false">IF(T7293="","",IF(T7293=0,"No discount",IF(T7293&lt;=0.2,"Low (1-20%)",IF(T7293&lt;=0.4,"Medium (21-40%)","High (&gt;40%)"))))</f>
        <v/>
      </c>
      <c r="Y7293" s="23" t="str">
        <f aca="false">IF(AND(ISNUMBER(C7293),ISNUMBER(D7293)),D7293-C7293,"")</f>
        <v/>
      </c>
      <c r="Z7293" s="23" t="str">
        <f aca="false">IF(B7293="","",IF(MATCH(B7293,$B$2:$B$12000,0)=ROW()-1,1,0))</f>
        <v/>
      </c>
    </row>
    <row r="7294" customFormat="false" ht="15" hidden="false" customHeight="false" outlineLevel="0" collapsed="false">
      <c r="V7294" s="23" t="str">
        <f aca="false">IF(ISNUMBER(C7294),YEAR(C7294),"")</f>
        <v/>
      </c>
      <c r="W7294" s="23" t="str">
        <f aca="false">IF(ISNUMBER(C7294),MONTH(C7294),"")</f>
        <v/>
      </c>
      <c r="X7294" s="23" t="str">
        <f aca="false">IF(T7294="","",IF(T7294=0,"No discount",IF(T7294&lt;=0.2,"Low (1-20%)",IF(T7294&lt;=0.4,"Medium (21-40%)","High (&gt;40%)"))))</f>
        <v/>
      </c>
      <c r="Y7294" s="23" t="str">
        <f aca="false">IF(AND(ISNUMBER(C7294),ISNUMBER(D7294)),D7294-C7294,"")</f>
        <v/>
      </c>
      <c r="Z7294" s="23" t="str">
        <f aca="false">IF(B7294="","",IF(MATCH(B7294,$B$2:$B$12000,0)=ROW()-1,1,0))</f>
        <v/>
      </c>
    </row>
    <row r="7295" customFormat="false" ht="15" hidden="false" customHeight="false" outlineLevel="0" collapsed="false">
      <c r="V7295" s="23" t="str">
        <f aca="false">IF(ISNUMBER(C7295),YEAR(C7295),"")</f>
        <v/>
      </c>
      <c r="W7295" s="23" t="str">
        <f aca="false">IF(ISNUMBER(C7295),MONTH(C7295),"")</f>
        <v/>
      </c>
      <c r="X7295" s="23" t="str">
        <f aca="false">IF(T7295="","",IF(T7295=0,"No discount",IF(T7295&lt;=0.2,"Low (1-20%)",IF(T7295&lt;=0.4,"Medium (21-40%)","High (&gt;40%)"))))</f>
        <v/>
      </c>
      <c r="Y7295" s="23" t="str">
        <f aca="false">IF(AND(ISNUMBER(C7295),ISNUMBER(D7295)),D7295-C7295,"")</f>
        <v/>
      </c>
      <c r="Z7295" s="23" t="str">
        <f aca="false">IF(B7295="","",IF(MATCH(B7295,$B$2:$B$12000,0)=ROW()-1,1,0))</f>
        <v/>
      </c>
    </row>
    <row r="7296" customFormat="false" ht="15" hidden="false" customHeight="false" outlineLevel="0" collapsed="false">
      <c r="V7296" s="23" t="str">
        <f aca="false">IF(ISNUMBER(C7296),YEAR(C7296),"")</f>
        <v/>
      </c>
      <c r="W7296" s="23" t="str">
        <f aca="false">IF(ISNUMBER(C7296),MONTH(C7296),"")</f>
        <v/>
      </c>
      <c r="X7296" s="23" t="str">
        <f aca="false">IF(T7296="","",IF(T7296=0,"No discount",IF(T7296&lt;=0.2,"Low (1-20%)",IF(T7296&lt;=0.4,"Medium (21-40%)","High (&gt;40%)"))))</f>
        <v/>
      </c>
      <c r="Y7296" s="23" t="str">
        <f aca="false">IF(AND(ISNUMBER(C7296),ISNUMBER(D7296)),D7296-C7296,"")</f>
        <v/>
      </c>
      <c r="Z7296" s="23" t="str">
        <f aca="false">IF(B7296="","",IF(MATCH(B7296,$B$2:$B$12000,0)=ROW()-1,1,0))</f>
        <v/>
      </c>
    </row>
    <row r="7297" customFormat="false" ht="15" hidden="false" customHeight="false" outlineLevel="0" collapsed="false">
      <c r="V7297" s="23" t="str">
        <f aca="false">IF(ISNUMBER(C7297),YEAR(C7297),"")</f>
        <v/>
      </c>
      <c r="W7297" s="23" t="str">
        <f aca="false">IF(ISNUMBER(C7297),MONTH(C7297),"")</f>
        <v/>
      </c>
      <c r="X7297" s="23" t="str">
        <f aca="false">IF(T7297="","",IF(T7297=0,"No discount",IF(T7297&lt;=0.2,"Low (1-20%)",IF(T7297&lt;=0.4,"Medium (21-40%)","High (&gt;40%)"))))</f>
        <v/>
      </c>
      <c r="Y7297" s="23" t="str">
        <f aca="false">IF(AND(ISNUMBER(C7297),ISNUMBER(D7297)),D7297-C7297,"")</f>
        <v/>
      </c>
      <c r="Z7297" s="23" t="str">
        <f aca="false">IF(B7297="","",IF(MATCH(B7297,$B$2:$B$12000,0)=ROW()-1,1,0))</f>
        <v/>
      </c>
    </row>
    <row r="7298" customFormat="false" ht="15" hidden="false" customHeight="false" outlineLevel="0" collapsed="false">
      <c r="V7298" s="23" t="str">
        <f aca="false">IF(ISNUMBER(C7298),YEAR(C7298),"")</f>
        <v/>
      </c>
      <c r="W7298" s="23" t="str">
        <f aca="false">IF(ISNUMBER(C7298),MONTH(C7298),"")</f>
        <v/>
      </c>
      <c r="X7298" s="23" t="str">
        <f aca="false">IF(T7298="","",IF(T7298=0,"No discount",IF(T7298&lt;=0.2,"Low (1-20%)",IF(T7298&lt;=0.4,"Medium (21-40%)","High (&gt;40%)"))))</f>
        <v/>
      </c>
      <c r="Y7298" s="23" t="str">
        <f aca="false">IF(AND(ISNUMBER(C7298),ISNUMBER(D7298)),D7298-C7298,"")</f>
        <v/>
      </c>
      <c r="Z7298" s="23" t="str">
        <f aca="false">IF(B7298="","",IF(MATCH(B7298,$B$2:$B$12000,0)=ROW()-1,1,0))</f>
        <v/>
      </c>
    </row>
    <row r="7299" customFormat="false" ht="15" hidden="false" customHeight="false" outlineLevel="0" collapsed="false">
      <c r="V7299" s="23" t="str">
        <f aca="false">IF(ISNUMBER(C7299),YEAR(C7299),"")</f>
        <v/>
      </c>
      <c r="W7299" s="23" t="str">
        <f aca="false">IF(ISNUMBER(C7299),MONTH(C7299),"")</f>
        <v/>
      </c>
      <c r="X7299" s="23" t="str">
        <f aca="false">IF(T7299="","",IF(T7299=0,"No discount",IF(T7299&lt;=0.2,"Low (1-20%)",IF(T7299&lt;=0.4,"Medium (21-40%)","High (&gt;40%)"))))</f>
        <v/>
      </c>
      <c r="Y7299" s="23" t="str">
        <f aca="false">IF(AND(ISNUMBER(C7299),ISNUMBER(D7299)),D7299-C7299,"")</f>
        <v/>
      </c>
      <c r="Z7299" s="23" t="str">
        <f aca="false">IF(B7299="","",IF(MATCH(B7299,$B$2:$B$12000,0)=ROW()-1,1,0))</f>
        <v/>
      </c>
    </row>
    <row r="7300" customFormat="false" ht="15" hidden="false" customHeight="false" outlineLevel="0" collapsed="false">
      <c r="V7300" s="23" t="str">
        <f aca="false">IF(ISNUMBER(C7300),YEAR(C7300),"")</f>
        <v/>
      </c>
      <c r="W7300" s="23" t="str">
        <f aca="false">IF(ISNUMBER(C7300),MONTH(C7300),"")</f>
        <v/>
      </c>
      <c r="X7300" s="23" t="str">
        <f aca="false">IF(T7300="","",IF(T7300=0,"No discount",IF(T7300&lt;=0.2,"Low (1-20%)",IF(T7300&lt;=0.4,"Medium (21-40%)","High (&gt;40%)"))))</f>
        <v/>
      </c>
      <c r="Y7300" s="23" t="str">
        <f aca="false">IF(AND(ISNUMBER(C7300),ISNUMBER(D7300)),D7300-C7300,"")</f>
        <v/>
      </c>
      <c r="Z7300" s="23" t="str">
        <f aca="false">IF(B7300="","",IF(MATCH(B7300,$B$2:$B$12000,0)=ROW()-1,1,0))</f>
        <v/>
      </c>
    </row>
    <row r="7301" customFormat="false" ht="15" hidden="false" customHeight="false" outlineLevel="0" collapsed="false">
      <c r="V7301" s="23" t="str">
        <f aca="false">IF(ISNUMBER(C7301),YEAR(C7301),"")</f>
        <v/>
      </c>
      <c r="W7301" s="23" t="str">
        <f aca="false">IF(ISNUMBER(C7301),MONTH(C7301),"")</f>
        <v/>
      </c>
      <c r="X7301" s="23" t="str">
        <f aca="false">IF(T7301="","",IF(T7301=0,"No discount",IF(T7301&lt;=0.2,"Low (1-20%)",IF(T7301&lt;=0.4,"Medium (21-40%)","High (&gt;40%)"))))</f>
        <v/>
      </c>
      <c r="Y7301" s="23" t="str">
        <f aca="false">IF(AND(ISNUMBER(C7301),ISNUMBER(D7301)),D7301-C7301,"")</f>
        <v/>
      </c>
      <c r="Z7301" s="23" t="str">
        <f aca="false">IF(B7301="","",IF(MATCH(B7301,$B$2:$B$12000,0)=ROW()-1,1,0))</f>
        <v/>
      </c>
    </row>
    <row r="7302" customFormat="false" ht="15" hidden="false" customHeight="false" outlineLevel="0" collapsed="false">
      <c r="V7302" s="23" t="str">
        <f aca="false">IF(ISNUMBER(C7302),YEAR(C7302),"")</f>
        <v/>
      </c>
      <c r="W7302" s="23" t="str">
        <f aca="false">IF(ISNUMBER(C7302),MONTH(C7302),"")</f>
        <v/>
      </c>
      <c r="X7302" s="23" t="str">
        <f aca="false">IF(T7302="","",IF(T7302=0,"No discount",IF(T7302&lt;=0.2,"Low (1-20%)",IF(T7302&lt;=0.4,"Medium (21-40%)","High (&gt;40%)"))))</f>
        <v/>
      </c>
      <c r="Y7302" s="23" t="str">
        <f aca="false">IF(AND(ISNUMBER(C7302),ISNUMBER(D7302)),D7302-C7302,"")</f>
        <v/>
      </c>
      <c r="Z7302" s="23" t="str">
        <f aca="false">IF(B7302="","",IF(MATCH(B7302,$B$2:$B$12000,0)=ROW()-1,1,0))</f>
        <v/>
      </c>
    </row>
    <row r="7303" customFormat="false" ht="15" hidden="false" customHeight="false" outlineLevel="0" collapsed="false">
      <c r="V7303" s="23" t="str">
        <f aca="false">IF(ISNUMBER(C7303),YEAR(C7303),"")</f>
        <v/>
      </c>
      <c r="W7303" s="23" t="str">
        <f aca="false">IF(ISNUMBER(C7303),MONTH(C7303),"")</f>
        <v/>
      </c>
      <c r="X7303" s="23" t="str">
        <f aca="false">IF(T7303="","",IF(T7303=0,"No discount",IF(T7303&lt;=0.2,"Low (1-20%)",IF(T7303&lt;=0.4,"Medium (21-40%)","High (&gt;40%)"))))</f>
        <v/>
      </c>
      <c r="Y7303" s="23" t="str">
        <f aca="false">IF(AND(ISNUMBER(C7303),ISNUMBER(D7303)),D7303-C7303,"")</f>
        <v/>
      </c>
      <c r="Z7303" s="23" t="str">
        <f aca="false">IF(B7303="","",IF(MATCH(B7303,$B$2:$B$12000,0)=ROW()-1,1,0))</f>
        <v/>
      </c>
    </row>
    <row r="7304" customFormat="false" ht="15" hidden="false" customHeight="false" outlineLevel="0" collapsed="false">
      <c r="V7304" s="23" t="str">
        <f aca="false">IF(ISNUMBER(C7304),YEAR(C7304),"")</f>
        <v/>
      </c>
      <c r="W7304" s="23" t="str">
        <f aca="false">IF(ISNUMBER(C7304),MONTH(C7304),"")</f>
        <v/>
      </c>
      <c r="X7304" s="23" t="str">
        <f aca="false">IF(T7304="","",IF(T7304=0,"No discount",IF(T7304&lt;=0.2,"Low (1-20%)",IF(T7304&lt;=0.4,"Medium (21-40%)","High (&gt;40%)"))))</f>
        <v/>
      </c>
      <c r="Y7304" s="23" t="str">
        <f aca="false">IF(AND(ISNUMBER(C7304),ISNUMBER(D7304)),D7304-C7304,"")</f>
        <v/>
      </c>
      <c r="Z7304" s="23" t="str">
        <f aca="false">IF(B7304="","",IF(MATCH(B7304,$B$2:$B$12000,0)=ROW()-1,1,0))</f>
        <v/>
      </c>
    </row>
    <row r="7305" customFormat="false" ht="15" hidden="false" customHeight="false" outlineLevel="0" collapsed="false">
      <c r="V7305" s="23" t="str">
        <f aca="false">IF(ISNUMBER(C7305),YEAR(C7305),"")</f>
        <v/>
      </c>
      <c r="W7305" s="23" t="str">
        <f aca="false">IF(ISNUMBER(C7305),MONTH(C7305),"")</f>
        <v/>
      </c>
      <c r="X7305" s="23" t="str">
        <f aca="false">IF(T7305="","",IF(T7305=0,"No discount",IF(T7305&lt;=0.2,"Low (1-20%)",IF(T7305&lt;=0.4,"Medium (21-40%)","High (&gt;40%)"))))</f>
        <v/>
      </c>
      <c r="Y7305" s="23" t="str">
        <f aca="false">IF(AND(ISNUMBER(C7305),ISNUMBER(D7305)),D7305-C7305,"")</f>
        <v/>
      </c>
      <c r="Z7305" s="23" t="str">
        <f aca="false">IF(B7305="","",IF(MATCH(B7305,$B$2:$B$12000,0)=ROW()-1,1,0))</f>
        <v/>
      </c>
    </row>
    <row r="7306" customFormat="false" ht="15" hidden="false" customHeight="false" outlineLevel="0" collapsed="false">
      <c r="V7306" s="23" t="str">
        <f aca="false">IF(ISNUMBER(C7306),YEAR(C7306),"")</f>
        <v/>
      </c>
      <c r="W7306" s="23" t="str">
        <f aca="false">IF(ISNUMBER(C7306),MONTH(C7306),"")</f>
        <v/>
      </c>
      <c r="X7306" s="23" t="str">
        <f aca="false">IF(T7306="","",IF(T7306=0,"No discount",IF(T7306&lt;=0.2,"Low (1-20%)",IF(T7306&lt;=0.4,"Medium (21-40%)","High (&gt;40%)"))))</f>
        <v/>
      </c>
      <c r="Y7306" s="23" t="str">
        <f aca="false">IF(AND(ISNUMBER(C7306),ISNUMBER(D7306)),D7306-C7306,"")</f>
        <v/>
      </c>
      <c r="Z7306" s="23" t="str">
        <f aca="false">IF(B7306="","",IF(MATCH(B7306,$B$2:$B$12000,0)=ROW()-1,1,0))</f>
        <v/>
      </c>
    </row>
    <row r="7307" customFormat="false" ht="15" hidden="false" customHeight="false" outlineLevel="0" collapsed="false">
      <c r="V7307" s="23" t="str">
        <f aca="false">IF(ISNUMBER(C7307),YEAR(C7307),"")</f>
        <v/>
      </c>
      <c r="W7307" s="23" t="str">
        <f aca="false">IF(ISNUMBER(C7307),MONTH(C7307),"")</f>
        <v/>
      </c>
      <c r="X7307" s="23" t="str">
        <f aca="false">IF(T7307="","",IF(T7307=0,"No discount",IF(T7307&lt;=0.2,"Low (1-20%)",IF(T7307&lt;=0.4,"Medium (21-40%)","High (&gt;40%)"))))</f>
        <v/>
      </c>
      <c r="Y7307" s="23" t="str">
        <f aca="false">IF(AND(ISNUMBER(C7307),ISNUMBER(D7307)),D7307-C7307,"")</f>
        <v/>
      </c>
      <c r="Z7307" s="23" t="str">
        <f aca="false">IF(B7307="","",IF(MATCH(B7307,$B$2:$B$12000,0)=ROW()-1,1,0))</f>
        <v/>
      </c>
    </row>
    <row r="7308" customFormat="false" ht="15" hidden="false" customHeight="false" outlineLevel="0" collapsed="false">
      <c r="V7308" s="23" t="str">
        <f aca="false">IF(ISNUMBER(C7308),YEAR(C7308),"")</f>
        <v/>
      </c>
      <c r="W7308" s="23" t="str">
        <f aca="false">IF(ISNUMBER(C7308),MONTH(C7308),"")</f>
        <v/>
      </c>
      <c r="X7308" s="23" t="str">
        <f aca="false">IF(T7308="","",IF(T7308=0,"No discount",IF(T7308&lt;=0.2,"Low (1-20%)",IF(T7308&lt;=0.4,"Medium (21-40%)","High (&gt;40%)"))))</f>
        <v/>
      </c>
      <c r="Y7308" s="23" t="str">
        <f aca="false">IF(AND(ISNUMBER(C7308),ISNUMBER(D7308)),D7308-C7308,"")</f>
        <v/>
      </c>
      <c r="Z7308" s="23" t="str">
        <f aca="false">IF(B7308="","",IF(MATCH(B7308,$B$2:$B$12000,0)=ROW()-1,1,0))</f>
        <v/>
      </c>
    </row>
    <row r="7309" customFormat="false" ht="15" hidden="false" customHeight="false" outlineLevel="0" collapsed="false">
      <c r="V7309" s="23" t="str">
        <f aca="false">IF(ISNUMBER(C7309),YEAR(C7309),"")</f>
        <v/>
      </c>
      <c r="W7309" s="23" t="str">
        <f aca="false">IF(ISNUMBER(C7309),MONTH(C7309),"")</f>
        <v/>
      </c>
      <c r="X7309" s="23" t="str">
        <f aca="false">IF(T7309="","",IF(T7309=0,"No discount",IF(T7309&lt;=0.2,"Low (1-20%)",IF(T7309&lt;=0.4,"Medium (21-40%)","High (&gt;40%)"))))</f>
        <v/>
      </c>
      <c r="Y7309" s="23" t="str">
        <f aca="false">IF(AND(ISNUMBER(C7309),ISNUMBER(D7309)),D7309-C7309,"")</f>
        <v/>
      </c>
      <c r="Z7309" s="23" t="str">
        <f aca="false">IF(B7309="","",IF(MATCH(B7309,$B$2:$B$12000,0)=ROW()-1,1,0))</f>
        <v/>
      </c>
    </row>
    <row r="7310" customFormat="false" ht="15" hidden="false" customHeight="false" outlineLevel="0" collapsed="false">
      <c r="V7310" s="23" t="str">
        <f aca="false">IF(ISNUMBER(C7310),YEAR(C7310),"")</f>
        <v/>
      </c>
      <c r="W7310" s="23" t="str">
        <f aca="false">IF(ISNUMBER(C7310),MONTH(C7310),"")</f>
        <v/>
      </c>
      <c r="X7310" s="23" t="str">
        <f aca="false">IF(T7310="","",IF(T7310=0,"No discount",IF(T7310&lt;=0.2,"Low (1-20%)",IF(T7310&lt;=0.4,"Medium (21-40%)","High (&gt;40%)"))))</f>
        <v/>
      </c>
      <c r="Y7310" s="23" t="str">
        <f aca="false">IF(AND(ISNUMBER(C7310),ISNUMBER(D7310)),D7310-C7310,"")</f>
        <v/>
      </c>
      <c r="Z7310" s="23" t="str">
        <f aca="false">IF(B7310="","",IF(MATCH(B7310,$B$2:$B$12000,0)=ROW()-1,1,0))</f>
        <v/>
      </c>
    </row>
    <row r="7311" customFormat="false" ht="15" hidden="false" customHeight="false" outlineLevel="0" collapsed="false">
      <c r="V7311" s="23" t="str">
        <f aca="false">IF(ISNUMBER(C7311),YEAR(C7311),"")</f>
        <v/>
      </c>
      <c r="W7311" s="23" t="str">
        <f aca="false">IF(ISNUMBER(C7311),MONTH(C7311),"")</f>
        <v/>
      </c>
      <c r="X7311" s="23" t="str">
        <f aca="false">IF(T7311="","",IF(T7311=0,"No discount",IF(T7311&lt;=0.2,"Low (1-20%)",IF(T7311&lt;=0.4,"Medium (21-40%)","High (&gt;40%)"))))</f>
        <v/>
      </c>
      <c r="Y7311" s="23" t="str">
        <f aca="false">IF(AND(ISNUMBER(C7311),ISNUMBER(D7311)),D7311-C7311,"")</f>
        <v/>
      </c>
      <c r="Z7311" s="23" t="str">
        <f aca="false">IF(B7311="","",IF(MATCH(B7311,$B$2:$B$12000,0)=ROW()-1,1,0))</f>
        <v/>
      </c>
    </row>
    <row r="7312" customFormat="false" ht="15" hidden="false" customHeight="false" outlineLevel="0" collapsed="false">
      <c r="V7312" s="23" t="str">
        <f aca="false">IF(ISNUMBER(C7312),YEAR(C7312),"")</f>
        <v/>
      </c>
      <c r="W7312" s="23" t="str">
        <f aca="false">IF(ISNUMBER(C7312),MONTH(C7312),"")</f>
        <v/>
      </c>
      <c r="X7312" s="23" t="str">
        <f aca="false">IF(T7312="","",IF(T7312=0,"No discount",IF(T7312&lt;=0.2,"Low (1-20%)",IF(T7312&lt;=0.4,"Medium (21-40%)","High (&gt;40%)"))))</f>
        <v/>
      </c>
      <c r="Y7312" s="23" t="str">
        <f aca="false">IF(AND(ISNUMBER(C7312),ISNUMBER(D7312)),D7312-C7312,"")</f>
        <v/>
      </c>
      <c r="Z7312" s="23" t="str">
        <f aca="false">IF(B7312="","",IF(MATCH(B7312,$B$2:$B$12000,0)=ROW()-1,1,0))</f>
        <v/>
      </c>
    </row>
    <row r="7313" customFormat="false" ht="15" hidden="false" customHeight="false" outlineLevel="0" collapsed="false">
      <c r="V7313" s="23" t="str">
        <f aca="false">IF(ISNUMBER(C7313),YEAR(C7313),"")</f>
        <v/>
      </c>
      <c r="W7313" s="23" t="str">
        <f aca="false">IF(ISNUMBER(C7313),MONTH(C7313),"")</f>
        <v/>
      </c>
      <c r="X7313" s="23" t="str">
        <f aca="false">IF(T7313="","",IF(T7313=0,"No discount",IF(T7313&lt;=0.2,"Low (1-20%)",IF(T7313&lt;=0.4,"Medium (21-40%)","High (&gt;40%)"))))</f>
        <v/>
      </c>
      <c r="Y7313" s="23" t="str">
        <f aca="false">IF(AND(ISNUMBER(C7313),ISNUMBER(D7313)),D7313-C7313,"")</f>
        <v/>
      </c>
      <c r="Z7313" s="23" t="str">
        <f aca="false">IF(B7313="","",IF(MATCH(B7313,$B$2:$B$12000,0)=ROW()-1,1,0))</f>
        <v/>
      </c>
    </row>
    <row r="7314" customFormat="false" ht="15" hidden="false" customHeight="false" outlineLevel="0" collapsed="false">
      <c r="V7314" s="23" t="str">
        <f aca="false">IF(ISNUMBER(C7314),YEAR(C7314),"")</f>
        <v/>
      </c>
      <c r="W7314" s="23" t="str">
        <f aca="false">IF(ISNUMBER(C7314),MONTH(C7314),"")</f>
        <v/>
      </c>
      <c r="X7314" s="23" t="str">
        <f aca="false">IF(T7314="","",IF(T7314=0,"No discount",IF(T7314&lt;=0.2,"Low (1-20%)",IF(T7314&lt;=0.4,"Medium (21-40%)","High (&gt;40%)"))))</f>
        <v/>
      </c>
      <c r="Y7314" s="23" t="str">
        <f aca="false">IF(AND(ISNUMBER(C7314),ISNUMBER(D7314)),D7314-C7314,"")</f>
        <v/>
      </c>
      <c r="Z7314" s="23" t="str">
        <f aca="false">IF(B7314="","",IF(MATCH(B7314,$B$2:$B$12000,0)=ROW()-1,1,0))</f>
        <v/>
      </c>
    </row>
    <row r="7315" customFormat="false" ht="15" hidden="false" customHeight="false" outlineLevel="0" collapsed="false">
      <c r="V7315" s="23" t="str">
        <f aca="false">IF(ISNUMBER(C7315),YEAR(C7315),"")</f>
        <v/>
      </c>
      <c r="W7315" s="23" t="str">
        <f aca="false">IF(ISNUMBER(C7315),MONTH(C7315),"")</f>
        <v/>
      </c>
      <c r="X7315" s="23" t="str">
        <f aca="false">IF(T7315="","",IF(T7315=0,"No discount",IF(T7315&lt;=0.2,"Low (1-20%)",IF(T7315&lt;=0.4,"Medium (21-40%)","High (&gt;40%)"))))</f>
        <v/>
      </c>
      <c r="Y7315" s="23" t="str">
        <f aca="false">IF(AND(ISNUMBER(C7315),ISNUMBER(D7315)),D7315-C7315,"")</f>
        <v/>
      </c>
      <c r="Z7315" s="23" t="str">
        <f aca="false">IF(B7315="","",IF(MATCH(B7315,$B$2:$B$12000,0)=ROW()-1,1,0))</f>
        <v/>
      </c>
    </row>
    <row r="7316" customFormat="false" ht="15" hidden="false" customHeight="false" outlineLevel="0" collapsed="false">
      <c r="V7316" s="23" t="str">
        <f aca="false">IF(ISNUMBER(C7316),YEAR(C7316),"")</f>
        <v/>
      </c>
      <c r="W7316" s="23" t="str">
        <f aca="false">IF(ISNUMBER(C7316),MONTH(C7316),"")</f>
        <v/>
      </c>
      <c r="X7316" s="23" t="str">
        <f aca="false">IF(T7316="","",IF(T7316=0,"No discount",IF(T7316&lt;=0.2,"Low (1-20%)",IF(T7316&lt;=0.4,"Medium (21-40%)","High (&gt;40%)"))))</f>
        <v/>
      </c>
      <c r="Y7316" s="23" t="str">
        <f aca="false">IF(AND(ISNUMBER(C7316),ISNUMBER(D7316)),D7316-C7316,"")</f>
        <v/>
      </c>
      <c r="Z7316" s="23" t="str">
        <f aca="false">IF(B7316="","",IF(MATCH(B7316,$B$2:$B$12000,0)=ROW()-1,1,0))</f>
        <v/>
      </c>
    </row>
    <row r="7317" customFormat="false" ht="15" hidden="false" customHeight="false" outlineLevel="0" collapsed="false">
      <c r="V7317" s="23" t="str">
        <f aca="false">IF(ISNUMBER(C7317),YEAR(C7317),"")</f>
        <v/>
      </c>
      <c r="W7317" s="23" t="str">
        <f aca="false">IF(ISNUMBER(C7317),MONTH(C7317),"")</f>
        <v/>
      </c>
      <c r="X7317" s="23" t="str">
        <f aca="false">IF(T7317="","",IF(T7317=0,"No discount",IF(T7317&lt;=0.2,"Low (1-20%)",IF(T7317&lt;=0.4,"Medium (21-40%)","High (&gt;40%)"))))</f>
        <v/>
      </c>
      <c r="Y7317" s="23" t="str">
        <f aca="false">IF(AND(ISNUMBER(C7317),ISNUMBER(D7317)),D7317-C7317,"")</f>
        <v/>
      </c>
      <c r="Z7317" s="23" t="str">
        <f aca="false">IF(B7317="","",IF(MATCH(B7317,$B$2:$B$12000,0)=ROW()-1,1,0))</f>
        <v/>
      </c>
    </row>
    <row r="7318" customFormat="false" ht="15" hidden="false" customHeight="false" outlineLevel="0" collapsed="false">
      <c r="V7318" s="23" t="str">
        <f aca="false">IF(ISNUMBER(C7318),YEAR(C7318),"")</f>
        <v/>
      </c>
      <c r="W7318" s="23" t="str">
        <f aca="false">IF(ISNUMBER(C7318),MONTH(C7318),"")</f>
        <v/>
      </c>
      <c r="X7318" s="23" t="str">
        <f aca="false">IF(T7318="","",IF(T7318=0,"No discount",IF(T7318&lt;=0.2,"Low (1-20%)",IF(T7318&lt;=0.4,"Medium (21-40%)","High (&gt;40%)"))))</f>
        <v/>
      </c>
      <c r="Y7318" s="23" t="str">
        <f aca="false">IF(AND(ISNUMBER(C7318),ISNUMBER(D7318)),D7318-C7318,"")</f>
        <v/>
      </c>
      <c r="Z7318" s="23" t="str">
        <f aca="false">IF(B7318="","",IF(MATCH(B7318,$B$2:$B$12000,0)=ROW()-1,1,0))</f>
        <v/>
      </c>
    </row>
    <row r="7319" customFormat="false" ht="15" hidden="false" customHeight="false" outlineLevel="0" collapsed="false">
      <c r="V7319" s="23" t="str">
        <f aca="false">IF(ISNUMBER(C7319),YEAR(C7319),"")</f>
        <v/>
      </c>
      <c r="W7319" s="23" t="str">
        <f aca="false">IF(ISNUMBER(C7319),MONTH(C7319),"")</f>
        <v/>
      </c>
      <c r="X7319" s="23" t="str">
        <f aca="false">IF(T7319="","",IF(T7319=0,"No discount",IF(T7319&lt;=0.2,"Low (1-20%)",IF(T7319&lt;=0.4,"Medium (21-40%)","High (&gt;40%)"))))</f>
        <v/>
      </c>
      <c r="Y7319" s="23" t="str">
        <f aca="false">IF(AND(ISNUMBER(C7319),ISNUMBER(D7319)),D7319-C7319,"")</f>
        <v/>
      </c>
      <c r="Z7319" s="23" t="str">
        <f aca="false">IF(B7319="","",IF(MATCH(B7319,$B$2:$B$12000,0)=ROW()-1,1,0))</f>
        <v/>
      </c>
    </row>
    <row r="7320" customFormat="false" ht="15" hidden="false" customHeight="false" outlineLevel="0" collapsed="false">
      <c r="V7320" s="23" t="str">
        <f aca="false">IF(ISNUMBER(C7320),YEAR(C7320),"")</f>
        <v/>
      </c>
      <c r="W7320" s="23" t="str">
        <f aca="false">IF(ISNUMBER(C7320),MONTH(C7320),"")</f>
        <v/>
      </c>
      <c r="X7320" s="23" t="str">
        <f aca="false">IF(T7320="","",IF(T7320=0,"No discount",IF(T7320&lt;=0.2,"Low (1-20%)",IF(T7320&lt;=0.4,"Medium (21-40%)","High (&gt;40%)"))))</f>
        <v/>
      </c>
      <c r="Y7320" s="23" t="str">
        <f aca="false">IF(AND(ISNUMBER(C7320),ISNUMBER(D7320)),D7320-C7320,"")</f>
        <v/>
      </c>
      <c r="Z7320" s="23" t="str">
        <f aca="false">IF(B7320="","",IF(MATCH(B7320,$B$2:$B$12000,0)=ROW()-1,1,0))</f>
        <v/>
      </c>
    </row>
    <row r="7321" customFormat="false" ht="15" hidden="false" customHeight="false" outlineLevel="0" collapsed="false">
      <c r="V7321" s="23" t="str">
        <f aca="false">IF(ISNUMBER(C7321),YEAR(C7321),"")</f>
        <v/>
      </c>
      <c r="W7321" s="23" t="str">
        <f aca="false">IF(ISNUMBER(C7321),MONTH(C7321),"")</f>
        <v/>
      </c>
      <c r="X7321" s="23" t="str">
        <f aca="false">IF(T7321="","",IF(T7321=0,"No discount",IF(T7321&lt;=0.2,"Low (1-20%)",IF(T7321&lt;=0.4,"Medium (21-40%)","High (&gt;40%)"))))</f>
        <v/>
      </c>
      <c r="Y7321" s="23" t="str">
        <f aca="false">IF(AND(ISNUMBER(C7321),ISNUMBER(D7321)),D7321-C7321,"")</f>
        <v/>
      </c>
      <c r="Z7321" s="23" t="str">
        <f aca="false">IF(B7321="","",IF(MATCH(B7321,$B$2:$B$12000,0)=ROW()-1,1,0))</f>
        <v/>
      </c>
    </row>
    <row r="7322" customFormat="false" ht="15" hidden="false" customHeight="false" outlineLevel="0" collapsed="false">
      <c r="V7322" s="23" t="str">
        <f aca="false">IF(ISNUMBER(C7322),YEAR(C7322),"")</f>
        <v/>
      </c>
      <c r="W7322" s="23" t="str">
        <f aca="false">IF(ISNUMBER(C7322),MONTH(C7322),"")</f>
        <v/>
      </c>
      <c r="X7322" s="23" t="str">
        <f aca="false">IF(T7322="","",IF(T7322=0,"No discount",IF(T7322&lt;=0.2,"Low (1-20%)",IF(T7322&lt;=0.4,"Medium (21-40%)","High (&gt;40%)"))))</f>
        <v/>
      </c>
      <c r="Y7322" s="23" t="str">
        <f aca="false">IF(AND(ISNUMBER(C7322),ISNUMBER(D7322)),D7322-C7322,"")</f>
        <v/>
      </c>
      <c r="Z7322" s="23" t="str">
        <f aca="false">IF(B7322="","",IF(MATCH(B7322,$B$2:$B$12000,0)=ROW()-1,1,0))</f>
        <v/>
      </c>
    </row>
    <row r="7323" customFormat="false" ht="15" hidden="false" customHeight="false" outlineLevel="0" collapsed="false">
      <c r="V7323" s="23" t="str">
        <f aca="false">IF(ISNUMBER(C7323),YEAR(C7323),"")</f>
        <v/>
      </c>
      <c r="W7323" s="23" t="str">
        <f aca="false">IF(ISNUMBER(C7323),MONTH(C7323),"")</f>
        <v/>
      </c>
      <c r="X7323" s="23" t="str">
        <f aca="false">IF(T7323="","",IF(T7323=0,"No discount",IF(T7323&lt;=0.2,"Low (1-20%)",IF(T7323&lt;=0.4,"Medium (21-40%)","High (&gt;40%)"))))</f>
        <v/>
      </c>
      <c r="Y7323" s="23" t="str">
        <f aca="false">IF(AND(ISNUMBER(C7323),ISNUMBER(D7323)),D7323-C7323,"")</f>
        <v/>
      </c>
      <c r="Z7323" s="23" t="str">
        <f aca="false">IF(B7323="","",IF(MATCH(B7323,$B$2:$B$12000,0)=ROW()-1,1,0))</f>
        <v/>
      </c>
    </row>
    <row r="7324" customFormat="false" ht="15" hidden="false" customHeight="false" outlineLevel="0" collapsed="false">
      <c r="V7324" s="23" t="str">
        <f aca="false">IF(ISNUMBER(C7324),YEAR(C7324),"")</f>
        <v/>
      </c>
      <c r="W7324" s="23" t="str">
        <f aca="false">IF(ISNUMBER(C7324),MONTH(C7324),"")</f>
        <v/>
      </c>
      <c r="X7324" s="23" t="str">
        <f aca="false">IF(T7324="","",IF(T7324=0,"No discount",IF(T7324&lt;=0.2,"Low (1-20%)",IF(T7324&lt;=0.4,"Medium (21-40%)","High (&gt;40%)"))))</f>
        <v/>
      </c>
      <c r="Y7324" s="23" t="str">
        <f aca="false">IF(AND(ISNUMBER(C7324),ISNUMBER(D7324)),D7324-C7324,"")</f>
        <v/>
      </c>
      <c r="Z7324" s="23" t="str">
        <f aca="false">IF(B7324="","",IF(MATCH(B7324,$B$2:$B$12000,0)=ROW()-1,1,0))</f>
        <v/>
      </c>
    </row>
    <row r="7325" customFormat="false" ht="15" hidden="false" customHeight="false" outlineLevel="0" collapsed="false">
      <c r="V7325" s="23" t="str">
        <f aca="false">IF(ISNUMBER(C7325),YEAR(C7325),"")</f>
        <v/>
      </c>
      <c r="W7325" s="23" t="str">
        <f aca="false">IF(ISNUMBER(C7325),MONTH(C7325),"")</f>
        <v/>
      </c>
      <c r="X7325" s="23" t="str">
        <f aca="false">IF(T7325="","",IF(T7325=0,"No discount",IF(T7325&lt;=0.2,"Low (1-20%)",IF(T7325&lt;=0.4,"Medium (21-40%)","High (&gt;40%)"))))</f>
        <v/>
      </c>
      <c r="Y7325" s="23" t="str">
        <f aca="false">IF(AND(ISNUMBER(C7325),ISNUMBER(D7325)),D7325-C7325,"")</f>
        <v/>
      </c>
      <c r="Z7325" s="23" t="str">
        <f aca="false">IF(B7325="","",IF(MATCH(B7325,$B$2:$B$12000,0)=ROW()-1,1,0))</f>
        <v/>
      </c>
    </row>
    <row r="7326" customFormat="false" ht="15" hidden="false" customHeight="false" outlineLevel="0" collapsed="false">
      <c r="V7326" s="23" t="str">
        <f aca="false">IF(ISNUMBER(C7326),YEAR(C7326),"")</f>
        <v/>
      </c>
      <c r="W7326" s="23" t="str">
        <f aca="false">IF(ISNUMBER(C7326),MONTH(C7326),"")</f>
        <v/>
      </c>
      <c r="X7326" s="23" t="str">
        <f aca="false">IF(T7326="","",IF(T7326=0,"No discount",IF(T7326&lt;=0.2,"Low (1-20%)",IF(T7326&lt;=0.4,"Medium (21-40%)","High (&gt;40%)"))))</f>
        <v/>
      </c>
      <c r="Y7326" s="23" t="str">
        <f aca="false">IF(AND(ISNUMBER(C7326),ISNUMBER(D7326)),D7326-C7326,"")</f>
        <v/>
      </c>
      <c r="Z7326" s="23" t="str">
        <f aca="false">IF(B7326="","",IF(MATCH(B7326,$B$2:$B$12000,0)=ROW()-1,1,0))</f>
        <v/>
      </c>
    </row>
    <row r="7327" customFormat="false" ht="15" hidden="false" customHeight="false" outlineLevel="0" collapsed="false">
      <c r="V7327" s="23" t="str">
        <f aca="false">IF(ISNUMBER(C7327),YEAR(C7327),"")</f>
        <v/>
      </c>
      <c r="W7327" s="23" t="str">
        <f aca="false">IF(ISNUMBER(C7327),MONTH(C7327),"")</f>
        <v/>
      </c>
      <c r="X7327" s="23" t="str">
        <f aca="false">IF(T7327="","",IF(T7327=0,"No discount",IF(T7327&lt;=0.2,"Low (1-20%)",IF(T7327&lt;=0.4,"Medium (21-40%)","High (&gt;40%)"))))</f>
        <v/>
      </c>
      <c r="Y7327" s="23" t="str">
        <f aca="false">IF(AND(ISNUMBER(C7327),ISNUMBER(D7327)),D7327-C7327,"")</f>
        <v/>
      </c>
      <c r="Z7327" s="23" t="str">
        <f aca="false">IF(B7327="","",IF(MATCH(B7327,$B$2:$B$12000,0)=ROW()-1,1,0))</f>
        <v/>
      </c>
    </row>
    <row r="7328" customFormat="false" ht="15" hidden="false" customHeight="false" outlineLevel="0" collapsed="false">
      <c r="V7328" s="23" t="str">
        <f aca="false">IF(ISNUMBER(C7328),YEAR(C7328),"")</f>
        <v/>
      </c>
      <c r="W7328" s="23" t="str">
        <f aca="false">IF(ISNUMBER(C7328),MONTH(C7328),"")</f>
        <v/>
      </c>
      <c r="X7328" s="23" t="str">
        <f aca="false">IF(T7328="","",IF(T7328=0,"No discount",IF(T7328&lt;=0.2,"Low (1-20%)",IF(T7328&lt;=0.4,"Medium (21-40%)","High (&gt;40%)"))))</f>
        <v/>
      </c>
      <c r="Y7328" s="23" t="str">
        <f aca="false">IF(AND(ISNUMBER(C7328),ISNUMBER(D7328)),D7328-C7328,"")</f>
        <v/>
      </c>
      <c r="Z7328" s="23" t="str">
        <f aca="false">IF(B7328="","",IF(MATCH(B7328,$B$2:$B$12000,0)=ROW()-1,1,0))</f>
        <v/>
      </c>
    </row>
    <row r="7329" customFormat="false" ht="15" hidden="false" customHeight="false" outlineLevel="0" collapsed="false">
      <c r="V7329" s="23" t="str">
        <f aca="false">IF(ISNUMBER(C7329),YEAR(C7329),"")</f>
        <v/>
      </c>
      <c r="W7329" s="23" t="str">
        <f aca="false">IF(ISNUMBER(C7329),MONTH(C7329),"")</f>
        <v/>
      </c>
      <c r="X7329" s="23" t="str">
        <f aca="false">IF(T7329="","",IF(T7329=0,"No discount",IF(T7329&lt;=0.2,"Low (1-20%)",IF(T7329&lt;=0.4,"Medium (21-40%)","High (&gt;40%)"))))</f>
        <v/>
      </c>
      <c r="Y7329" s="23" t="str">
        <f aca="false">IF(AND(ISNUMBER(C7329),ISNUMBER(D7329)),D7329-C7329,"")</f>
        <v/>
      </c>
      <c r="Z7329" s="23" t="str">
        <f aca="false">IF(B7329="","",IF(MATCH(B7329,$B$2:$B$12000,0)=ROW()-1,1,0))</f>
        <v/>
      </c>
    </row>
    <row r="7330" customFormat="false" ht="15" hidden="false" customHeight="false" outlineLevel="0" collapsed="false">
      <c r="V7330" s="23" t="str">
        <f aca="false">IF(ISNUMBER(C7330),YEAR(C7330),"")</f>
        <v/>
      </c>
      <c r="W7330" s="23" t="str">
        <f aca="false">IF(ISNUMBER(C7330),MONTH(C7330),"")</f>
        <v/>
      </c>
      <c r="X7330" s="23" t="str">
        <f aca="false">IF(T7330="","",IF(T7330=0,"No discount",IF(T7330&lt;=0.2,"Low (1-20%)",IF(T7330&lt;=0.4,"Medium (21-40%)","High (&gt;40%)"))))</f>
        <v/>
      </c>
      <c r="Y7330" s="23" t="str">
        <f aca="false">IF(AND(ISNUMBER(C7330),ISNUMBER(D7330)),D7330-C7330,"")</f>
        <v/>
      </c>
      <c r="Z7330" s="23" t="str">
        <f aca="false">IF(B7330="","",IF(MATCH(B7330,$B$2:$B$12000,0)=ROW()-1,1,0))</f>
        <v/>
      </c>
    </row>
    <row r="7331" customFormat="false" ht="15" hidden="false" customHeight="false" outlineLevel="0" collapsed="false">
      <c r="V7331" s="23" t="str">
        <f aca="false">IF(ISNUMBER(C7331),YEAR(C7331),"")</f>
        <v/>
      </c>
      <c r="W7331" s="23" t="str">
        <f aca="false">IF(ISNUMBER(C7331),MONTH(C7331),"")</f>
        <v/>
      </c>
      <c r="X7331" s="23" t="str">
        <f aca="false">IF(T7331="","",IF(T7331=0,"No discount",IF(T7331&lt;=0.2,"Low (1-20%)",IF(T7331&lt;=0.4,"Medium (21-40%)","High (&gt;40%)"))))</f>
        <v/>
      </c>
      <c r="Y7331" s="23" t="str">
        <f aca="false">IF(AND(ISNUMBER(C7331),ISNUMBER(D7331)),D7331-C7331,"")</f>
        <v/>
      </c>
      <c r="Z7331" s="23" t="str">
        <f aca="false">IF(B7331="","",IF(MATCH(B7331,$B$2:$B$12000,0)=ROW()-1,1,0))</f>
        <v/>
      </c>
    </row>
    <row r="7332" customFormat="false" ht="15" hidden="false" customHeight="false" outlineLevel="0" collapsed="false">
      <c r="V7332" s="23" t="str">
        <f aca="false">IF(ISNUMBER(C7332),YEAR(C7332),"")</f>
        <v/>
      </c>
      <c r="W7332" s="23" t="str">
        <f aca="false">IF(ISNUMBER(C7332),MONTH(C7332),"")</f>
        <v/>
      </c>
      <c r="X7332" s="23" t="str">
        <f aca="false">IF(T7332="","",IF(T7332=0,"No discount",IF(T7332&lt;=0.2,"Low (1-20%)",IF(T7332&lt;=0.4,"Medium (21-40%)","High (&gt;40%)"))))</f>
        <v/>
      </c>
      <c r="Y7332" s="23" t="str">
        <f aca="false">IF(AND(ISNUMBER(C7332),ISNUMBER(D7332)),D7332-C7332,"")</f>
        <v/>
      </c>
      <c r="Z7332" s="23" t="str">
        <f aca="false">IF(B7332="","",IF(MATCH(B7332,$B$2:$B$12000,0)=ROW()-1,1,0))</f>
        <v/>
      </c>
    </row>
    <row r="7333" customFormat="false" ht="15" hidden="false" customHeight="false" outlineLevel="0" collapsed="false">
      <c r="V7333" s="23" t="str">
        <f aca="false">IF(ISNUMBER(C7333),YEAR(C7333),"")</f>
        <v/>
      </c>
      <c r="W7333" s="23" t="str">
        <f aca="false">IF(ISNUMBER(C7333),MONTH(C7333),"")</f>
        <v/>
      </c>
      <c r="X7333" s="23" t="str">
        <f aca="false">IF(T7333="","",IF(T7333=0,"No discount",IF(T7333&lt;=0.2,"Low (1-20%)",IF(T7333&lt;=0.4,"Medium (21-40%)","High (&gt;40%)"))))</f>
        <v/>
      </c>
      <c r="Y7333" s="23" t="str">
        <f aca="false">IF(AND(ISNUMBER(C7333),ISNUMBER(D7333)),D7333-C7333,"")</f>
        <v/>
      </c>
      <c r="Z7333" s="23" t="str">
        <f aca="false">IF(B7333="","",IF(MATCH(B7333,$B$2:$B$12000,0)=ROW()-1,1,0))</f>
        <v/>
      </c>
    </row>
    <row r="7334" customFormat="false" ht="15" hidden="false" customHeight="false" outlineLevel="0" collapsed="false">
      <c r="V7334" s="23" t="str">
        <f aca="false">IF(ISNUMBER(C7334),YEAR(C7334),"")</f>
        <v/>
      </c>
      <c r="W7334" s="23" t="str">
        <f aca="false">IF(ISNUMBER(C7334),MONTH(C7334),"")</f>
        <v/>
      </c>
      <c r="X7334" s="23" t="str">
        <f aca="false">IF(T7334="","",IF(T7334=0,"No discount",IF(T7334&lt;=0.2,"Low (1-20%)",IF(T7334&lt;=0.4,"Medium (21-40%)","High (&gt;40%)"))))</f>
        <v/>
      </c>
      <c r="Y7334" s="23" t="str">
        <f aca="false">IF(AND(ISNUMBER(C7334),ISNUMBER(D7334)),D7334-C7334,"")</f>
        <v/>
      </c>
      <c r="Z7334" s="23" t="str">
        <f aca="false">IF(B7334="","",IF(MATCH(B7334,$B$2:$B$12000,0)=ROW()-1,1,0))</f>
        <v/>
      </c>
    </row>
    <row r="7335" customFormat="false" ht="15" hidden="false" customHeight="false" outlineLevel="0" collapsed="false">
      <c r="V7335" s="23" t="str">
        <f aca="false">IF(ISNUMBER(C7335),YEAR(C7335),"")</f>
        <v/>
      </c>
      <c r="W7335" s="23" t="str">
        <f aca="false">IF(ISNUMBER(C7335),MONTH(C7335),"")</f>
        <v/>
      </c>
      <c r="X7335" s="23" t="str">
        <f aca="false">IF(T7335="","",IF(T7335=0,"No discount",IF(T7335&lt;=0.2,"Low (1-20%)",IF(T7335&lt;=0.4,"Medium (21-40%)","High (&gt;40%)"))))</f>
        <v/>
      </c>
      <c r="Y7335" s="23" t="str">
        <f aca="false">IF(AND(ISNUMBER(C7335),ISNUMBER(D7335)),D7335-C7335,"")</f>
        <v/>
      </c>
      <c r="Z7335" s="23" t="str">
        <f aca="false">IF(B7335="","",IF(MATCH(B7335,$B$2:$B$12000,0)=ROW()-1,1,0))</f>
        <v/>
      </c>
    </row>
    <row r="7336" customFormat="false" ht="15" hidden="false" customHeight="false" outlineLevel="0" collapsed="false">
      <c r="V7336" s="23" t="str">
        <f aca="false">IF(ISNUMBER(C7336),YEAR(C7336),"")</f>
        <v/>
      </c>
      <c r="W7336" s="23" t="str">
        <f aca="false">IF(ISNUMBER(C7336),MONTH(C7336),"")</f>
        <v/>
      </c>
      <c r="X7336" s="23" t="str">
        <f aca="false">IF(T7336="","",IF(T7336=0,"No discount",IF(T7336&lt;=0.2,"Low (1-20%)",IF(T7336&lt;=0.4,"Medium (21-40%)","High (&gt;40%)"))))</f>
        <v/>
      </c>
      <c r="Y7336" s="23" t="str">
        <f aca="false">IF(AND(ISNUMBER(C7336),ISNUMBER(D7336)),D7336-C7336,"")</f>
        <v/>
      </c>
      <c r="Z7336" s="23" t="str">
        <f aca="false">IF(B7336="","",IF(MATCH(B7336,$B$2:$B$12000,0)=ROW()-1,1,0))</f>
        <v/>
      </c>
    </row>
    <row r="7337" customFormat="false" ht="15" hidden="false" customHeight="false" outlineLevel="0" collapsed="false">
      <c r="V7337" s="23" t="str">
        <f aca="false">IF(ISNUMBER(C7337),YEAR(C7337),"")</f>
        <v/>
      </c>
      <c r="W7337" s="23" t="str">
        <f aca="false">IF(ISNUMBER(C7337),MONTH(C7337),"")</f>
        <v/>
      </c>
      <c r="X7337" s="23" t="str">
        <f aca="false">IF(T7337="","",IF(T7337=0,"No discount",IF(T7337&lt;=0.2,"Low (1-20%)",IF(T7337&lt;=0.4,"Medium (21-40%)","High (&gt;40%)"))))</f>
        <v/>
      </c>
      <c r="Y7337" s="23" t="str">
        <f aca="false">IF(AND(ISNUMBER(C7337),ISNUMBER(D7337)),D7337-C7337,"")</f>
        <v/>
      </c>
      <c r="Z7337" s="23" t="str">
        <f aca="false">IF(B7337="","",IF(MATCH(B7337,$B$2:$B$12000,0)=ROW()-1,1,0))</f>
        <v/>
      </c>
    </row>
    <row r="7338" customFormat="false" ht="15" hidden="false" customHeight="false" outlineLevel="0" collapsed="false">
      <c r="V7338" s="23" t="str">
        <f aca="false">IF(ISNUMBER(C7338),YEAR(C7338),"")</f>
        <v/>
      </c>
      <c r="W7338" s="23" t="str">
        <f aca="false">IF(ISNUMBER(C7338),MONTH(C7338),"")</f>
        <v/>
      </c>
      <c r="X7338" s="23" t="str">
        <f aca="false">IF(T7338="","",IF(T7338=0,"No discount",IF(T7338&lt;=0.2,"Low (1-20%)",IF(T7338&lt;=0.4,"Medium (21-40%)","High (&gt;40%)"))))</f>
        <v/>
      </c>
      <c r="Y7338" s="23" t="str">
        <f aca="false">IF(AND(ISNUMBER(C7338),ISNUMBER(D7338)),D7338-C7338,"")</f>
        <v/>
      </c>
      <c r="Z7338" s="23" t="str">
        <f aca="false">IF(B7338="","",IF(MATCH(B7338,$B$2:$B$12000,0)=ROW()-1,1,0))</f>
        <v/>
      </c>
    </row>
    <row r="7339" customFormat="false" ht="15" hidden="false" customHeight="false" outlineLevel="0" collapsed="false">
      <c r="V7339" s="23" t="str">
        <f aca="false">IF(ISNUMBER(C7339),YEAR(C7339),"")</f>
        <v/>
      </c>
      <c r="W7339" s="23" t="str">
        <f aca="false">IF(ISNUMBER(C7339),MONTH(C7339),"")</f>
        <v/>
      </c>
      <c r="X7339" s="23" t="str">
        <f aca="false">IF(T7339="","",IF(T7339=0,"No discount",IF(T7339&lt;=0.2,"Low (1-20%)",IF(T7339&lt;=0.4,"Medium (21-40%)","High (&gt;40%)"))))</f>
        <v/>
      </c>
      <c r="Y7339" s="23" t="str">
        <f aca="false">IF(AND(ISNUMBER(C7339),ISNUMBER(D7339)),D7339-C7339,"")</f>
        <v/>
      </c>
      <c r="Z7339" s="23" t="str">
        <f aca="false">IF(B7339="","",IF(MATCH(B7339,$B$2:$B$12000,0)=ROW()-1,1,0))</f>
        <v/>
      </c>
    </row>
    <row r="7340" customFormat="false" ht="15" hidden="false" customHeight="false" outlineLevel="0" collapsed="false">
      <c r="V7340" s="23" t="str">
        <f aca="false">IF(ISNUMBER(C7340),YEAR(C7340),"")</f>
        <v/>
      </c>
      <c r="W7340" s="23" t="str">
        <f aca="false">IF(ISNUMBER(C7340),MONTH(C7340),"")</f>
        <v/>
      </c>
      <c r="X7340" s="23" t="str">
        <f aca="false">IF(T7340="","",IF(T7340=0,"No discount",IF(T7340&lt;=0.2,"Low (1-20%)",IF(T7340&lt;=0.4,"Medium (21-40%)","High (&gt;40%)"))))</f>
        <v/>
      </c>
      <c r="Y7340" s="23" t="str">
        <f aca="false">IF(AND(ISNUMBER(C7340),ISNUMBER(D7340)),D7340-C7340,"")</f>
        <v/>
      </c>
      <c r="Z7340" s="23" t="str">
        <f aca="false">IF(B7340="","",IF(MATCH(B7340,$B$2:$B$12000,0)=ROW()-1,1,0))</f>
        <v/>
      </c>
    </row>
    <row r="7341" customFormat="false" ht="15" hidden="false" customHeight="false" outlineLevel="0" collapsed="false">
      <c r="V7341" s="23" t="str">
        <f aca="false">IF(ISNUMBER(C7341),YEAR(C7341),"")</f>
        <v/>
      </c>
      <c r="W7341" s="23" t="str">
        <f aca="false">IF(ISNUMBER(C7341),MONTH(C7341),"")</f>
        <v/>
      </c>
      <c r="X7341" s="23" t="str">
        <f aca="false">IF(T7341="","",IF(T7341=0,"No discount",IF(T7341&lt;=0.2,"Low (1-20%)",IF(T7341&lt;=0.4,"Medium (21-40%)","High (&gt;40%)"))))</f>
        <v/>
      </c>
      <c r="Y7341" s="23" t="str">
        <f aca="false">IF(AND(ISNUMBER(C7341),ISNUMBER(D7341)),D7341-C7341,"")</f>
        <v/>
      </c>
      <c r="Z7341" s="23" t="str">
        <f aca="false">IF(B7341="","",IF(MATCH(B7341,$B$2:$B$12000,0)=ROW()-1,1,0))</f>
        <v/>
      </c>
    </row>
    <row r="7342" customFormat="false" ht="15" hidden="false" customHeight="false" outlineLevel="0" collapsed="false">
      <c r="V7342" s="23" t="str">
        <f aca="false">IF(ISNUMBER(C7342),YEAR(C7342),"")</f>
        <v/>
      </c>
      <c r="W7342" s="23" t="str">
        <f aca="false">IF(ISNUMBER(C7342),MONTH(C7342),"")</f>
        <v/>
      </c>
      <c r="X7342" s="23" t="str">
        <f aca="false">IF(T7342="","",IF(T7342=0,"No discount",IF(T7342&lt;=0.2,"Low (1-20%)",IF(T7342&lt;=0.4,"Medium (21-40%)","High (&gt;40%)"))))</f>
        <v/>
      </c>
      <c r="Y7342" s="23" t="str">
        <f aca="false">IF(AND(ISNUMBER(C7342),ISNUMBER(D7342)),D7342-C7342,"")</f>
        <v/>
      </c>
      <c r="Z7342" s="23" t="str">
        <f aca="false">IF(B7342="","",IF(MATCH(B7342,$B$2:$B$12000,0)=ROW()-1,1,0))</f>
        <v/>
      </c>
    </row>
    <row r="7343" customFormat="false" ht="15" hidden="false" customHeight="false" outlineLevel="0" collapsed="false">
      <c r="V7343" s="23" t="str">
        <f aca="false">IF(ISNUMBER(C7343),YEAR(C7343),"")</f>
        <v/>
      </c>
      <c r="W7343" s="23" t="str">
        <f aca="false">IF(ISNUMBER(C7343),MONTH(C7343),"")</f>
        <v/>
      </c>
      <c r="X7343" s="23" t="str">
        <f aca="false">IF(T7343="","",IF(T7343=0,"No discount",IF(T7343&lt;=0.2,"Low (1-20%)",IF(T7343&lt;=0.4,"Medium (21-40%)","High (&gt;40%)"))))</f>
        <v/>
      </c>
      <c r="Y7343" s="23" t="str">
        <f aca="false">IF(AND(ISNUMBER(C7343),ISNUMBER(D7343)),D7343-C7343,"")</f>
        <v/>
      </c>
      <c r="Z7343" s="23" t="str">
        <f aca="false">IF(B7343="","",IF(MATCH(B7343,$B$2:$B$12000,0)=ROW()-1,1,0))</f>
        <v/>
      </c>
    </row>
    <row r="7344" customFormat="false" ht="15" hidden="false" customHeight="false" outlineLevel="0" collapsed="false">
      <c r="V7344" s="23" t="str">
        <f aca="false">IF(ISNUMBER(C7344),YEAR(C7344),"")</f>
        <v/>
      </c>
      <c r="W7344" s="23" t="str">
        <f aca="false">IF(ISNUMBER(C7344),MONTH(C7344),"")</f>
        <v/>
      </c>
      <c r="X7344" s="23" t="str">
        <f aca="false">IF(T7344="","",IF(T7344=0,"No discount",IF(T7344&lt;=0.2,"Low (1-20%)",IF(T7344&lt;=0.4,"Medium (21-40%)","High (&gt;40%)"))))</f>
        <v/>
      </c>
      <c r="Y7344" s="23" t="str">
        <f aca="false">IF(AND(ISNUMBER(C7344),ISNUMBER(D7344)),D7344-C7344,"")</f>
        <v/>
      </c>
      <c r="Z7344" s="23" t="str">
        <f aca="false">IF(B7344="","",IF(MATCH(B7344,$B$2:$B$12000,0)=ROW()-1,1,0))</f>
        <v/>
      </c>
    </row>
    <row r="7345" customFormat="false" ht="15" hidden="false" customHeight="false" outlineLevel="0" collapsed="false">
      <c r="V7345" s="23" t="str">
        <f aca="false">IF(ISNUMBER(C7345),YEAR(C7345),"")</f>
        <v/>
      </c>
      <c r="W7345" s="23" t="str">
        <f aca="false">IF(ISNUMBER(C7345),MONTH(C7345),"")</f>
        <v/>
      </c>
      <c r="X7345" s="23" t="str">
        <f aca="false">IF(T7345="","",IF(T7345=0,"No discount",IF(T7345&lt;=0.2,"Low (1-20%)",IF(T7345&lt;=0.4,"Medium (21-40%)","High (&gt;40%)"))))</f>
        <v/>
      </c>
      <c r="Y7345" s="23" t="str">
        <f aca="false">IF(AND(ISNUMBER(C7345),ISNUMBER(D7345)),D7345-C7345,"")</f>
        <v/>
      </c>
      <c r="Z7345" s="23" t="str">
        <f aca="false">IF(B7345="","",IF(MATCH(B7345,$B$2:$B$12000,0)=ROW()-1,1,0))</f>
        <v/>
      </c>
    </row>
    <row r="7346" customFormat="false" ht="15" hidden="false" customHeight="false" outlineLevel="0" collapsed="false">
      <c r="V7346" s="23" t="str">
        <f aca="false">IF(ISNUMBER(C7346),YEAR(C7346),"")</f>
        <v/>
      </c>
      <c r="W7346" s="23" t="str">
        <f aca="false">IF(ISNUMBER(C7346),MONTH(C7346),"")</f>
        <v/>
      </c>
      <c r="X7346" s="23" t="str">
        <f aca="false">IF(T7346="","",IF(T7346=0,"No discount",IF(T7346&lt;=0.2,"Low (1-20%)",IF(T7346&lt;=0.4,"Medium (21-40%)","High (&gt;40%)"))))</f>
        <v/>
      </c>
      <c r="Y7346" s="23" t="str">
        <f aca="false">IF(AND(ISNUMBER(C7346),ISNUMBER(D7346)),D7346-C7346,"")</f>
        <v/>
      </c>
      <c r="Z7346" s="23" t="str">
        <f aca="false">IF(B7346="","",IF(MATCH(B7346,$B$2:$B$12000,0)=ROW()-1,1,0))</f>
        <v/>
      </c>
    </row>
    <row r="7347" customFormat="false" ht="15" hidden="false" customHeight="false" outlineLevel="0" collapsed="false">
      <c r="V7347" s="23" t="str">
        <f aca="false">IF(ISNUMBER(C7347),YEAR(C7347),"")</f>
        <v/>
      </c>
      <c r="W7347" s="23" t="str">
        <f aca="false">IF(ISNUMBER(C7347),MONTH(C7347),"")</f>
        <v/>
      </c>
      <c r="X7347" s="23" t="str">
        <f aca="false">IF(T7347="","",IF(T7347=0,"No discount",IF(T7347&lt;=0.2,"Low (1-20%)",IF(T7347&lt;=0.4,"Medium (21-40%)","High (&gt;40%)"))))</f>
        <v/>
      </c>
      <c r="Y7347" s="23" t="str">
        <f aca="false">IF(AND(ISNUMBER(C7347),ISNUMBER(D7347)),D7347-C7347,"")</f>
        <v/>
      </c>
      <c r="Z7347" s="23" t="str">
        <f aca="false">IF(B7347="","",IF(MATCH(B7347,$B$2:$B$12000,0)=ROW()-1,1,0))</f>
        <v/>
      </c>
    </row>
    <row r="7348" customFormat="false" ht="15" hidden="false" customHeight="false" outlineLevel="0" collapsed="false">
      <c r="V7348" s="23" t="str">
        <f aca="false">IF(ISNUMBER(C7348),YEAR(C7348),"")</f>
        <v/>
      </c>
      <c r="W7348" s="23" t="str">
        <f aca="false">IF(ISNUMBER(C7348),MONTH(C7348),"")</f>
        <v/>
      </c>
      <c r="X7348" s="23" t="str">
        <f aca="false">IF(T7348="","",IF(T7348=0,"No discount",IF(T7348&lt;=0.2,"Low (1-20%)",IF(T7348&lt;=0.4,"Medium (21-40%)","High (&gt;40%)"))))</f>
        <v/>
      </c>
      <c r="Y7348" s="23" t="str">
        <f aca="false">IF(AND(ISNUMBER(C7348),ISNUMBER(D7348)),D7348-C7348,"")</f>
        <v/>
      </c>
      <c r="Z7348" s="23" t="str">
        <f aca="false">IF(B7348="","",IF(MATCH(B7348,$B$2:$B$12000,0)=ROW()-1,1,0))</f>
        <v/>
      </c>
    </row>
    <row r="7349" customFormat="false" ht="15" hidden="false" customHeight="false" outlineLevel="0" collapsed="false">
      <c r="V7349" s="23" t="str">
        <f aca="false">IF(ISNUMBER(C7349),YEAR(C7349),"")</f>
        <v/>
      </c>
      <c r="W7349" s="23" t="str">
        <f aca="false">IF(ISNUMBER(C7349),MONTH(C7349),"")</f>
        <v/>
      </c>
      <c r="X7349" s="23" t="str">
        <f aca="false">IF(T7349="","",IF(T7349=0,"No discount",IF(T7349&lt;=0.2,"Low (1-20%)",IF(T7349&lt;=0.4,"Medium (21-40%)","High (&gt;40%)"))))</f>
        <v/>
      </c>
      <c r="Y7349" s="23" t="str">
        <f aca="false">IF(AND(ISNUMBER(C7349),ISNUMBER(D7349)),D7349-C7349,"")</f>
        <v/>
      </c>
      <c r="Z7349" s="23" t="str">
        <f aca="false">IF(B7349="","",IF(MATCH(B7349,$B$2:$B$12000,0)=ROW()-1,1,0))</f>
        <v/>
      </c>
    </row>
    <row r="7350" customFormat="false" ht="15" hidden="false" customHeight="false" outlineLevel="0" collapsed="false">
      <c r="V7350" s="23" t="str">
        <f aca="false">IF(ISNUMBER(C7350),YEAR(C7350),"")</f>
        <v/>
      </c>
      <c r="W7350" s="23" t="str">
        <f aca="false">IF(ISNUMBER(C7350),MONTH(C7350),"")</f>
        <v/>
      </c>
      <c r="X7350" s="23" t="str">
        <f aca="false">IF(T7350="","",IF(T7350=0,"No discount",IF(T7350&lt;=0.2,"Low (1-20%)",IF(T7350&lt;=0.4,"Medium (21-40%)","High (&gt;40%)"))))</f>
        <v/>
      </c>
      <c r="Y7350" s="23" t="str">
        <f aca="false">IF(AND(ISNUMBER(C7350),ISNUMBER(D7350)),D7350-C7350,"")</f>
        <v/>
      </c>
      <c r="Z7350" s="23" t="str">
        <f aca="false">IF(B7350="","",IF(MATCH(B7350,$B$2:$B$12000,0)=ROW()-1,1,0))</f>
        <v/>
      </c>
    </row>
    <row r="7351" customFormat="false" ht="15" hidden="false" customHeight="false" outlineLevel="0" collapsed="false">
      <c r="V7351" s="23" t="str">
        <f aca="false">IF(ISNUMBER(C7351),YEAR(C7351),"")</f>
        <v/>
      </c>
      <c r="W7351" s="23" t="str">
        <f aca="false">IF(ISNUMBER(C7351),MONTH(C7351),"")</f>
        <v/>
      </c>
      <c r="X7351" s="23" t="str">
        <f aca="false">IF(T7351="","",IF(T7351=0,"No discount",IF(T7351&lt;=0.2,"Low (1-20%)",IF(T7351&lt;=0.4,"Medium (21-40%)","High (&gt;40%)"))))</f>
        <v/>
      </c>
      <c r="Y7351" s="23" t="str">
        <f aca="false">IF(AND(ISNUMBER(C7351),ISNUMBER(D7351)),D7351-C7351,"")</f>
        <v/>
      </c>
      <c r="Z7351" s="23" t="str">
        <f aca="false">IF(B7351="","",IF(MATCH(B7351,$B$2:$B$12000,0)=ROW()-1,1,0))</f>
        <v/>
      </c>
    </row>
    <row r="7352" customFormat="false" ht="15" hidden="false" customHeight="false" outlineLevel="0" collapsed="false">
      <c r="V7352" s="23" t="str">
        <f aca="false">IF(ISNUMBER(C7352),YEAR(C7352),"")</f>
        <v/>
      </c>
      <c r="W7352" s="23" t="str">
        <f aca="false">IF(ISNUMBER(C7352),MONTH(C7352),"")</f>
        <v/>
      </c>
      <c r="X7352" s="23" t="str">
        <f aca="false">IF(T7352="","",IF(T7352=0,"No discount",IF(T7352&lt;=0.2,"Low (1-20%)",IF(T7352&lt;=0.4,"Medium (21-40%)","High (&gt;40%)"))))</f>
        <v/>
      </c>
      <c r="Y7352" s="23" t="str">
        <f aca="false">IF(AND(ISNUMBER(C7352),ISNUMBER(D7352)),D7352-C7352,"")</f>
        <v/>
      </c>
      <c r="Z7352" s="23" t="str">
        <f aca="false">IF(B7352="","",IF(MATCH(B7352,$B$2:$B$12000,0)=ROW()-1,1,0))</f>
        <v/>
      </c>
    </row>
    <row r="7353" customFormat="false" ht="15" hidden="false" customHeight="false" outlineLevel="0" collapsed="false">
      <c r="V7353" s="23" t="str">
        <f aca="false">IF(ISNUMBER(C7353),YEAR(C7353),"")</f>
        <v/>
      </c>
      <c r="W7353" s="23" t="str">
        <f aca="false">IF(ISNUMBER(C7353),MONTH(C7353),"")</f>
        <v/>
      </c>
      <c r="X7353" s="23" t="str">
        <f aca="false">IF(T7353="","",IF(T7353=0,"No discount",IF(T7353&lt;=0.2,"Low (1-20%)",IF(T7353&lt;=0.4,"Medium (21-40%)","High (&gt;40%)"))))</f>
        <v/>
      </c>
      <c r="Y7353" s="23" t="str">
        <f aca="false">IF(AND(ISNUMBER(C7353),ISNUMBER(D7353)),D7353-C7353,"")</f>
        <v/>
      </c>
      <c r="Z7353" s="23" t="str">
        <f aca="false">IF(B7353="","",IF(MATCH(B7353,$B$2:$B$12000,0)=ROW()-1,1,0))</f>
        <v/>
      </c>
    </row>
    <row r="7354" customFormat="false" ht="15" hidden="false" customHeight="false" outlineLevel="0" collapsed="false">
      <c r="V7354" s="23" t="str">
        <f aca="false">IF(ISNUMBER(C7354),YEAR(C7354),"")</f>
        <v/>
      </c>
      <c r="W7354" s="23" t="str">
        <f aca="false">IF(ISNUMBER(C7354),MONTH(C7354),"")</f>
        <v/>
      </c>
      <c r="X7354" s="23" t="str">
        <f aca="false">IF(T7354="","",IF(T7354=0,"No discount",IF(T7354&lt;=0.2,"Low (1-20%)",IF(T7354&lt;=0.4,"Medium (21-40%)","High (&gt;40%)"))))</f>
        <v/>
      </c>
      <c r="Y7354" s="23" t="str">
        <f aca="false">IF(AND(ISNUMBER(C7354),ISNUMBER(D7354)),D7354-C7354,"")</f>
        <v/>
      </c>
      <c r="Z7354" s="23" t="str">
        <f aca="false">IF(B7354="","",IF(MATCH(B7354,$B$2:$B$12000,0)=ROW()-1,1,0))</f>
        <v/>
      </c>
    </row>
    <row r="7355" customFormat="false" ht="15" hidden="false" customHeight="false" outlineLevel="0" collapsed="false">
      <c r="V7355" s="23" t="str">
        <f aca="false">IF(ISNUMBER(C7355),YEAR(C7355),"")</f>
        <v/>
      </c>
      <c r="W7355" s="23" t="str">
        <f aca="false">IF(ISNUMBER(C7355),MONTH(C7355),"")</f>
        <v/>
      </c>
      <c r="X7355" s="23" t="str">
        <f aca="false">IF(T7355="","",IF(T7355=0,"No discount",IF(T7355&lt;=0.2,"Low (1-20%)",IF(T7355&lt;=0.4,"Medium (21-40%)","High (&gt;40%)"))))</f>
        <v/>
      </c>
      <c r="Y7355" s="23" t="str">
        <f aca="false">IF(AND(ISNUMBER(C7355),ISNUMBER(D7355)),D7355-C7355,"")</f>
        <v/>
      </c>
      <c r="Z7355" s="23" t="str">
        <f aca="false">IF(B7355="","",IF(MATCH(B7355,$B$2:$B$12000,0)=ROW()-1,1,0))</f>
        <v/>
      </c>
    </row>
    <row r="7356" customFormat="false" ht="15" hidden="false" customHeight="false" outlineLevel="0" collapsed="false">
      <c r="V7356" s="23" t="str">
        <f aca="false">IF(ISNUMBER(C7356),YEAR(C7356),"")</f>
        <v/>
      </c>
      <c r="W7356" s="23" t="str">
        <f aca="false">IF(ISNUMBER(C7356),MONTH(C7356),"")</f>
        <v/>
      </c>
      <c r="X7356" s="23" t="str">
        <f aca="false">IF(T7356="","",IF(T7356=0,"No discount",IF(T7356&lt;=0.2,"Low (1-20%)",IF(T7356&lt;=0.4,"Medium (21-40%)","High (&gt;40%)"))))</f>
        <v/>
      </c>
      <c r="Y7356" s="23" t="str">
        <f aca="false">IF(AND(ISNUMBER(C7356),ISNUMBER(D7356)),D7356-C7356,"")</f>
        <v/>
      </c>
      <c r="Z7356" s="23" t="str">
        <f aca="false">IF(B7356="","",IF(MATCH(B7356,$B$2:$B$12000,0)=ROW()-1,1,0))</f>
        <v/>
      </c>
    </row>
    <row r="7357" customFormat="false" ht="15" hidden="false" customHeight="false" outlineLevel="0" collapsed="false">
      <c r="V7357" s="23" t="str">
        <f aca="false">IF(ISNUMBER(C7357),YEAR(C7357),"")</f>
        <v/>
      </c>
      <c r="W7357" s="23" t="str">
        <f aca="false">IF(ISNUMBER(C7357),MONTH(C7357),"")</f>
        <v/>
      </c>
      <c r="X7357" s="23" t="str">
        <f aca="false">IF(T7357="","",IF(T7357=0,"No discount",IF(T7357&lt;=0.2,"Low (1-20%)",IF(T7357&lt;=0.4,"Medium (21-40%)","High (&gt;40%)"))))</f>
        <v/>
      </c>
      <c r="Y7357" s="23" t="str">
        <f aca="false">IF(AND(ISNUMBER(C7357),ISNUMBER(D7357)),D7357-C7357,"")</f>
        <v/>
      </c>
      <c r="Z7357" s="23" t="str">
        <f aca="false">IF(B7357="","",IF(MATCH(B7357,$B$2:$B$12000,0)=ROW()-1,1,0))</f>
        <v/>
      </c>
    </row>
    <row r="7358" customFormat="false" ht="15" hidden="false" customHeight="false" outlineLevel="0" collapsed="false">
      <c r="V7358" s="23" t="str">
        <f aca="false">IF(ISNUMBER(C7358),YEAR(C7358),"")</f>
        <v/>
      </c>
      <c r="W7358" s="23" t="str">
        <f aca="false">IF(ISNUMBER(C7358),MONTH(C7358),"")</f>
        <v/>
      </c>
      <c r="X7358" s="23" t="str">
        <f aca="false">IF(T7358="","",IF(T7358=0,"No discount",IF(T7358&lt;=0.2,"Low (1-20%)",IF(T7358&lt;=0.4,"Medium (21-40%)","High (&gt;40%)"))))</f>
        <v/>
      </c>
      <c r="Y7358" s="23" t="str">
        <f aca="false">IF(AND(ISNUMBER(C7358),ISNUMBER(D7358)),D7358-C7358,"")</f>
        <v/>
      </c>
      <c r="Z7358" s="23" t="str">
        <f aca="false">IF(B7358="","",IF(MATCH(B7358,$B$2:$B$12000,0)=ROW()-1,1,0))</f>
        <v/>
      </c>
    </row>
    <row r="7359" customFormat="false" ht="15" hidden="false" customHeight="false" outlineLevel="0" collapsed="false">
      <c r="V7359" s="23" t="str">
        <f aca="false">IF(ISNUMBER(C7359),YEAR(C7359),"")</f>
        <v/>
      </c>
      <c r="W7359" s="23" t="str">
        <f aca="false">IF(ISNUMBER(C7359),MONTH(C7359),"")</f>
        <v/>
      </c>
      <c r="X7359" s="23" t="str">
        <f aca="false">IF(T7359="","",IF(T7359=0,"No discount",IF(T7359&lt;=0.2,"Low (1-20%)",IF(T7359&lt;=0.4,"Medium (21-40%)","High (&gt;40%)"))))</f>
        <v/>
      </c>
      <c r="Y7359" s="23" t="str">
        <f aca="false">IF(AND(ISNUMBER(C7359),ISNUMBER(D7359)),D7359-C7359,"")</f>
        <v/>
      </c>
      <c r="Z7359" s="23" t="str">
        <f aca="false">IF(B7359="","",IF(MATCH(B7359,$B$2:$B$12000,0)=ROW()-1,1,0))</f>
        <v/>
      </c>
    </row>
    <row r="7360" customFormat="false" ht="15" hidden="false" customHeight="false" outlineLevel="0" collapsed="false">
      <c r="V7360" s="23" t="str">
        <f aca="false">IF(ISNUMBER(C7360),YEAR(C7360),"")</f>
        <v/>
      </c>
      <c r="W7360" s="23" t="str">
        <f aca="false">IF(ISNUMBER(C7360),MONTH(C7360),"")</f>
        <v/>
      </c>
      <c r="X7360" s="23" t="str">
        <f aca="false">IF(T7360="","",IF(T7360=0,"No discount",IF(T7360&lt;=0.2,"Low (1-20%)",IF(T7360&lt;=0.4,"Medium (21-40%)","High (&gt;40%)"))))</f>
        <v/>
      </c>
      <c r="Y7360" s="23" t="str">
        <f aca="false">IF(AND(ISNUMBER(C7360),ISNUMBER(D7360)),D7360-C7360,"")</f>
        <v/>
      </c>
      <c r="Z7360" s="23" t="str">
        <f aca="false">IF(B7360="","",IF(MATCH(B7360,$B$2:$B$12000,0)=ROW()-1,1,0))</f>
        <v/>
      </c>
    </row>
    <row r="7361" customFormat="false" ht="15" hidden="false" customHeight="false" outlineLevel="0" collapsed="false">
      <c r="V7361" s="23" t="str">
        <f aca="false">IF(ISNUMBER(C7361),YEAR(C7361),"")</f>
        <v/>
      </c>
      <c r="W7361" s="23" t="str">
        <f aca="false">IF(ISNUMBER(C7361),MONTH(C7361),"")</f>
        <v/>
      </c>
      <c r="X7361" s="23" t="str">
        <f aca="false">IF(T7361="","",IF(T7361=0,"No discount",IF(T7361&lt;=0.2,"Low (1-20%)",IF(T7361&lt;=0.4,"Medium (21-40%)","High (&gt;40%)"))))</f>
        <v/>
      </c>
      <c r="Y7361" s="23" t="str">
        <f aca="false">IF(AND(ISNUMBER(C7361),ISNUMBER(D7361)),D7361-C7361,"")</f>
        <v/>
      </c>
      <c r="Z7361" s="23" t="str">
        <f aca="false">IF(B7361="","",IF(MATCH(B7361,$B$2:$B$12000,0)=ROW()-1,1,0))</f>
        <v/>
      </c>
    </row>
    <row r="7362" customFormat="false" ht="15" hidden="false" customHeight="false" outlineLevel="0" collapsed="false">
      <c r="V7362" s="23" t="str">
        <f aca="false">IF(ISNUMBER(C7362),YEAR(C7362),"")</f>
        <v/>
      </c>
      <c r="W7362" s="23" t="str">
        <f aca="false">IF(ISNUMBER(C7362),MONTH(C7362),"")</f>
        <v/>
      </c>
      <c r="X7362" s="23" t="str">
        <f aca="false">IF(T7362="","",IF(T7362=0,"No discount",IF(T7362&lt;=0.2,"Low (1-20%)",IF(T7362&lt;=0.4,"Medium (21-40%)","High (&gt;40%)"))))</f>
        <v/>
      </c>
      <c r="Y7362" s="23" t="str">
        <f aca="false">IF(AND(ISNUMBER(C7362),ISNUMBER(D7362)),D7362-C7362,"")</f>
        <v/>
      </c>
      <c r="Z7362" s="23" t="str">
        <f aca="false">IF(B7362="","",IF(MATCH(B7362,$B$2:$B$12000,0)=ROW()-1,1,0))</f>
        <v/>
      </c>
    </row>
    <row r="7363" customFormat="false" ht="15" hidden="false" customHeight="false" outlineLevel="0" collapsed="false">
      <c r="V7363" s="23" t="str">
        <f aca="false">IF(ISNUMBER(C7363),YEAR(C7363),"")</f>
        <v/>
      </c>
      <c r="W7363" s="23" t="str">
        <f aca="false">IF(ISNUMBER(C7363),MONTH(C7363),"")</f>
        <v/>
      </c>
      <c r="X7363" s="23" t="str">
        <f aca="false">IF(T7363="","",IF(T7363=0,"No discount",IF(T7363&lt;=0.2,"Low (1-20%)",IF(T7363&lt;=0.4,"Medium (21-40%)","High (&gt;40%)"))))</f>
        <v/>
      </c>
      <c r="Y7363" s="23" t="str">
        <f aca="false">IF(AND(ISNUMBER(C7363),ISNUMBER(D7363)),D7363-C7363,"")</f>
        <v/>
      </c>
      <c r="Z7363" s="23" t="str">
        <f aca="false">IF(B7363="","",IF(MATCH(B7363,$B$2:$B$12000,0)=ROW()-1,1,0))</f>
        <v/>
      </c>
    </row>
    <row r="7364" customFormat="false" ht="15" hidden="false" customHeight="false" outlineLevel="0" collapsed="false">
      <c r="V7364" s="23" t="str">
        <f aca="false">IF(ISNUMBER(C7364),YEAR(C7364),"")</f>
        <v/>
      </c>
      <c r="W7364" s="23" t="str">
        <f aca="false">IF(ISNUMBER(C7364),MONTH(C7364),"")</f>
        <v/>
      </c>
      <c r="X7364" s="23" t="str">
        <f aca="false">IF(T7364="","",IF(T7364=0,"No discount",IF(T7364&lt;=0.2,"Low (1-20%)",IF(T7364&lt;=0.4,"Medium (21-40%)","High (&gt;40%)"))))</f>
        <v/>
      </c>
      <c r="Y7364" s="23" t="str">
        <f aca="false">IF(AND(ISNUMBER(C7364),ISNUMBER(D7364)),D7364-C7364,"")</f>
        <v/>
      </c>
      <c r="Z7364" s="23" t="str">
        <f aca="false">IF(B7364="","",IF(MATCH(B7364,$B$2:$B$12000,0)=ROW()-1,1,0))</f>
        <v/>
      </c>
    </row>
    <row r="7365" customFormat="false" ht="15" hidden="false" customHeight="false" outlineLevel="0" collapsed="false">
      <c r="V7365" s="23" t="str">
        <f aca="false">IF(ISNUMBER(C7365),YEAR(C7365),"")</f>
        <v/>
      </c>
      <c r="W7365" s="23" t="str">
        <f aca="false">IF(ISNUMBER(C7365),MONTH(C7365),"")</f>
        <v/>
      </c>
      <c r="X7365" s="23" t="str">
        <f aca="false">IF(T7365="","",IF(T7365=0,"No discount",IF(T7365&lt;=0.2,"Low (1-20%)",IF(T7365&lt;=0.4,"Medium (21-40%)","High (&gt;40%)"))))</f>
        <v/>
      </c>
      <c r="Y7365" s="23" t="str">
        <f aca="false">IF(AND(ISNUMBER(C7365),ISNUMBER(D7365)),D7365-C7365,"")</f>
        <v/>
      </c>
      <c r="Z7365" s="23" t="str">
        <f aca="false">IF(B7365="","",IF(MATCH(B7365,$B$2:$B$12000,0)=ROW()-1,1,0))</f>
        <v/>
      </c>
    </row>
    <row r="7366" customFormat="false" ht="15" hidden="false" customHeight="false" outlineLevel="0" collapsed="false">
      <c r="V7366" s="23" t="str">
        <f aca="false">IF(ISNUMBER(C7366),YEAR(C7366),"")</f>
        <v/>
      </c>
      <c r="W7366" s="23" t="str">
        <f aca="false">IF(ISNUMBER(C7366),MONTH(C7366),"")</f>
        <v/>
      </c>
      <c r="X7366" s="23" t="str">
        <f aca="false">IF(T7366="","",IF(T7366=0,"No discount",IF(T7366&lt;=0.2,"Low (1-20%)",IF(T7366&lt;=0.4,"Medium (21-40%)","High (&gt;40%)"))))</f>
        <v/>
      </c>
      <c r="Y7366" s="23" t="str">
        <f aca="false">IF(AND(ISNUMBER(C7366),ISNUMBER(D7366)),D7366-C7366,"")</f>
        <v/>
      </c>
      <c r="Z7366" s="23" t="str">
        <f aca="false">IF(B7366="","",IF(MATCH(B7366,$B$2:$B$12000,0)=ROW()-1,1,0))</f>
        <v/>
      </c>
    </row>
    <row r="7367" customFormat="false" ht="15" hidden="false" customHeight="false" outlineLevel="0" collapsed="false">
      <c r="V7367" s="23" t="str">
        <f aca="false">IF(ISNUMBER(C7367),YEAR(C7367),"")</f>
        <v/>
      </c>
      <c r="W7367" s="23" t="str">
        <f aca="false">IF(ISNUMBER(C7367),MONTH(C7367),"")</f>
        <v/>
      </c>
      <c r="X7367" s="23" t="str">
        <f aca="false">IF(T7367="","",IF(T7367=0,"No discount",IF(T7367&lt;=0.2,"Low (1-20%)",IF(T7367&lt;=0.4,"Medium (21-40%)","High (&gt;40%)"))))</f>
        <v/>
      </c>
      <c r="Y7367" s="23" t="str">
        <f aca="false">IF(AND(ISNUMBER(C7367),ISNUMBER(D7367)),D7367-C7367,"")</f>
        <v/>
      </c>
      <c r="Z7367" s="23" t="str">
        <f aca="false">IF(B7367="","",IF(MATCH(B7367,$B$2:$B$12000,0)=ROW()-1,1,0))</f>
        <v/>
      </c>
    </row>
    <row r="7368" customFormat="false" ht="15" hidden="false" customHeight="false" outlineLevel="0" collapsed="false">
      <c r="V7368" s="23" t="str">
        <f aca="false">IF(ISNUMBER(C7368),YEAR(C7368),"")</f>
        <v/>
      </c>
      <c r="W7368" s="23" t="str">
        <f aca="false">IF(ISNUMBER(C7368),MONTH(C7368),"")</f>
        <v/>
      </c>
      <c r="X7368" s="23" t="str">
        <f aca="false">IF(T7368="","",IF(T7368=0,"No discount",IF(T7368&lt;=0.2,"Low (1-20%)",IF(T7368&lt;=0.4,"Medium (21-40%)","High (&gt;40%)"))))</f>
        <v/>
      </c>
      <c r="Y7368" s="23" t="str">
        <f aca="false">IF(AND(ISNUMBER(C7368),ISNUMBER(D7368)),D7368-C7368,"")</f>
        <v/>
      </c>
      <c r="Z7368" s="23" t="str">
        <f aca="false">IF(B7368="","",IF(MATCH(B7368,$B$2:$B$12000,0)=ROW()-1,1,0))</f>
        <v/>
      </c>
    </row>
    <row r="7369" customFormat="false" ht="15" hidden="false" customHeight="false" outlineLevel="0" collapsed="false">
      <c r="V7369" s="23" t="str">
        <f aca="false">IF(ISNUMBER(C7369),YEAR(C7369),"")</f>
        <v/>
      </c>
      <c r="W7369" s="23" t="str">
        <f aca="false">IF(ISNUMBER(C7369),MONTH(C7369),"")</f>
        <v/>
      </c>
      <c r="X7369" s="23" t="str">
        <f aca="false">IF(T7369="","",IF(T7369=0,"No discount",IF(T7369&lt;=0.2,"Low (1-20%)",IF(T7369&lt;=0.4,"Medium (21-40%)","High (&gt;40%)"))))</f>
        <v/>
      </c>
      <c r="Y7369" s="23" t="str">
        <f aca="false">IF(AND(ISNUMBER(C7369),ISNUMBER(D7369)),D7369-C7369,"")</f>
        <v/>
      </c>
      <c r="Z7369" s="23" t="str">
        <f aca="false">IF(B7369="","",IF(MATCH(B7369,$B$2:$B$12000,0)=ROW()-1,1,0))</f>
        <v/>
      </c>
    </row>
    <row r="7370" customFormat="false" ht="15" hidden="false" customHeight="false" outlineLevel="0" collapsed="false">
      <c r="V7370" s="23" t="str">
        <f aca="false">IF(ISNUMBER(C7370),YEAR(C7370),"")</f>
        <v/>
      </c>
      <c r="W7370" s="23" t="str">
        <f aca="false">IF(ISNUMBER(C7370),MONTH(C7370),"")</f>
        <v/>
      </c>
      <c r="X7370" s="23" t="str">
        <f aca="false">IF(T7370="","",IF(T7370=0,"No discount",IF(T7370&lt;=0.2,"Low (1-20%)",IF(T7370&lt;=0.4,"Medium (21-40%)","High (&gt;40%)"))))</f>
        <v/>
      </c>
      <c r="Y7370" s="23" t="str">
        <f aca="false">IF(AND(ISNUMBER(C7370),ISNUMBER(D7370)),D7370-C7370,"")</f>
        <v/>
      </c>
      <c r="Z7370" s="23" t="str">
        <f aca="false">IF(B7370="","",IF(MATCH(B7370,$B$2:$B$12000,0)=ROW()-1,1,0))</f>
        <v/>
      </c>
    </row>
    <row r="7371" customFormat="false" ht="15" hidden="false" customHeight="false" outlineLevel="0" collapsed="false">
      <c r="V7371" s="23" t="str">
        <f aca="false">IF(ISNUMBER(C7371),YEAR(C7371),"")</f>
        <v/>
      </c>
      <c r="W7371" s="23" t="str">
        <f aca="false">IF(ISNUMBER(C7371),MONTH(C7371),"")</f>
        <v/>
      </c>
      <c r="X7371" s="23" t="str">
        <f aca="false">IF(T7371="","",IF(T7371=0,"No discount",IF(T7371&lt;=0.2,"Low (1-20%)",IF(T7371&lt;=0.4,"Medium (21-40%)","High (&gt;40%)"))))</f>
        <v/>
      </c>
      <c r="Y7371" s="23" t="str">
        <f aca="false">IF(AND(ISNUMBER(C7371),ISNUMBER(D7371)),D7371-C7371,"")</f>
        <v/>
      </c>
      <c r="Z7371" s="23" t="str">
        <f aca="false">IF(B7371="","",IF(MATCH(B7371,$B$2:$B$12000,0)=ROW()-1,1,0))</f>
        <v/>
      </c>
    </row>
    <row r="7372" customFormat="false" ht="15" hidden="false" customHeight="false" outlineLevel="0" collapsed="false">
      <c r="V7372" s="23" t="str">
        <f aca="false">IF(ISNUMBER(C7372),YEAR(C7372),"")</f>
        <v/>
      </c>
      <c r="W7372" s="23" t="str">
        <f aca="false">IF(ISNUMBER(C7372),MONTH(C7372),"")</f>
        <v/>
      </c>
      <c r="X7372" s="23" t="str">
        <f aca="false">IF(T7372="","",IF(T7372=0,"No discount",IF(T7372&lt;=0.2,"Low (1-20%)",IF(T7372&lt;=0.4,"Medium (21-40%)","High (&gt;40%)"))))</f>
        <v/>
      </c>
      <c r="Y7372" s="23" t="str">
        <f aca="false">IF(AND(ISNUMBER(C7372),ISNUMBER(D7372)),D7372-C7372,"")</f>
        <v/>
      </c>
      <c r="Z7372" s="23" t="str">
        <f aca="false">IF(B7372="","",IF(MATCH(B7372,$B$2:$B$12000,0)=ROW()-1,1,0))</f>
        <v/>
      </c>
    </row>
    <row r="7373" customFormat="false" ht="15" hidden="false" customHeight="false" outlineLevel="0" collapsed="false">
      <c r="V7373" s="23" t="str">
        <f aca="false">IF(ISNUMBER(C7373),YEAR(C7373),"")</f>
        <v/>
      </c>
      <c r="W7373" s="23" t="str">
        <f aca="false">IF(ISNUMBER(C7373),MONTH(C7373),"")</f>
        <v/>
      </c>
      <c r="X7373" s="23" t="str">
        <f aca="false">IF(T7373="","",IF(T7373=0,"No discount",IF(T7373&lt;=0.2,"Low (1-20%)",IF(T7373&lt;=0.4,"Medium (21-40%)","High (&gt;40%)"))))</f>
        <v/>
      </c>
      <c r="Y7373" s="23" t="str">
        <f aca="false">IF(AND(ISNUMBER(C7373),ISNUMBER(D7373)),D7373-C7373,"")</f>
        <v/>
      </c>
      <c r="Z7373" s="23" t="str">
        <f aca="false">IF(B7373="","",IF(MATCH(B7373,$B$2:$B$12000,0)=ROW()-1,1,0))</f>
        <v/>
      </c>
    </row>
    <row r="7374" customFormat="false" ht="15" hidden="false" customHeight="false" outlineLevel="0" collapsed="false">
      <c r="V7374" s="23" t="str">
        <f aca="false">IF(ISNUMBER(C7374),YEAR(C7374),"")</f>
        <v/>
      </c>
      <c r="W7374" s="23" t="str">
        <f aca="false">IF(ISNUMBER(C7374),MONTH(C7374),"")</f>
        <v/>
      </c>
      <c r="X7374" s="23" t="str">
        <f aca="false">IF(T7374="","",IF(T7374=0,"No discount",IF(T7374&lt;=0.2,"Low (1-20%)",IF(T7374&lt;=0.4,"Medium (21-40%)","High (&gt;40%)"))))</f>
        <v/>
      </c>
      <c r="Y7374" s="23" t="str">
        <f aca="false">IF(AND(ISNUMBER(C7374),ISNUMBER(D7374)),D7374-C7374,"")</f>
        <v/>
      </c>
      <c r="Z7374" s="23" t="str">
        <f aca="false">IF(B7374="","",IF(MATCH(B7374,$B$2:$B$12000,0)=ROW()-1,1,0))</f>
        <v/>
      </c>
    </row>
    <row r="7375" customFormat="false" ht="15" hidden="false" customHeight="false" outlineLevel="0" collapsed="false">
      <c r="V7375" s="23" t="str">
        <f aca="false">IF(ISNUMBER(C7375),YEAR(C7375),"")</f>
        <v/>
      </c>
      <c r="W7375" s="23" t="str">
        <f aca="false">IF(ISNUMBER(C7375),MONTH(C7375),"")</f>
        <v/>
      </c>
      <c r="X7375" s="23" t="str">
        <f aca="false">IF(T7375="","",IF(T7375=0,"No discount",IF(T7375&lt;=0.2,"Low (1-20%)",IF(T7375&lt;=0.4,"Medium (21-40%)","High (&gt;40%)"))))</f>
        <v/>
      </c>
      <c r="Y7375" s="23" t="str">
        <f aca="false">IF(AND(ISNUMBER(C7375),ISNUMBER(D7375)),D7375-C7375,"")</f>
        <v/>
      </c>
      <c r="Z7375" s="23" t="str">
        <f aca="false">IF(B7375="","",IF(MATCH(B7375,$B$2:$B$12000,0)=ROW()-1,1,0))</f>
        <v/>
      </c>
    </row>
    <row r="7376" customFormat="false" ht="15" hidden="false" customHeight="false" outlineLevel="0" collapsed="false">
      <c r="V7376" s="23" t="str">
        <f aca="false">IF(ISNUMBER(C7376),YEAR(C7376),"")</f>
        <v/>
      </c>
      <c r="W7376" s="23" t="str">
        <f aca="false">IF(ISNUMBER(C7376),MONTH(C7376),"")</f>
        <v/>
      </c>
      <c r="X7376" s="23" t="str">
        <f aca="false">IF(T7376="","",IF(T7376=0,"No discount",IF(T7376&lt;=0.2,"Low (1-20%)",IF(T7376&lt;=0.4,"Medium (21-40%)","High (&gt;40%)"))))</f>
        <v/>
      </c>
      <c r="Y7376" s="23" t="str">
        <f aca="false">IF(AND(ISNUMBER(C7376),ISNUMBER(D7376)),D7376-C7376,"")</f>
        <v/>
      </c>
      <c r="Z7376" s="23" t="str">
        <f aca="false">IF(B7376="","",IF(MATCH(B7376,$B$2:$B$12000,0)=ROW()-1,1,0))</f>
        <v/>
      </c>
    </row>
    <row r="7377" customFormat="false" ht="15" hidden="false" customHeight="false" outlineLevel="0" collapsed="false">
      <c r="V7377" s="23" t="str">
        <f aca="false">IF(ISNUMBER(C7377),YEAR(C7377),"")</f>
        <v/>
      </c>
      <c r="W7377" s="23" t="str">
        <f aca="false">IF(ISNUMBER(C7377),MONTH(C7377),"")</f>
        <v/>
      </c>
      <c r="X7377" s="23" t="str">
        <f aca="false">IF(T7377="","",IF(T7377=0,"No discount",IF(T7377&lt;=0.2,"Low (1-20%)",IF(T7377&lt;=0.4,"Medium (21-40%)","High (&gt;40%)"))))</f>
        <v/>
      </c>
      <c r="Y7377" s="23" t="str">
        <f aca="false">IF(AND(ISNUMBER(C7377),ISNUMBER(D7377)),D7377-C7377,"")</f>
        <v/>
      </c>
      <c r="Z7377" s="23" t="str">
        <f aca="false">IF(B7377="","",IF(MATCH(B7377,$B$2:$B$12000,0)=ROW()-1,1,0))</f>
        <v/>
      </c>
    </row>
    <row r="7378" customFormat="false" ht="15" hidden="false" customHeight="false" outlineLevel="0" collapsed="false">
      <c r="V7378" s="23" t="str">
        <f aca="false">IF(ISNUMBER(C7378),YEAR(C7378),"")</f>
        <v/>
      </c>
      <c r="W7378" s="23" t="str">
        <f aca="false">IF(ISNUMBER(C7378),MONTH(C7378),"")</f>
        <v/>
      </c>
      <c r="X7378" s="23" t="str">
        <f aca="false">IF(T7378="","",IF(T7378=0,"No discount",IF(T7378&lt;=0.2,"Low (1-20%)",IF(T7378&lt;=0.4,"Medium (21-40%)","High (&gt;40%)"))))</f>
        <v/>
      </c>
      <c r="Y7378" s="23" t="str">
        <f aca="false">IF(AND(ISNUMBER(C7378),ISNUMBER(D7378)),D7378-C7378,"")</f>
        <v/>
      </c>
      <c r="Z7378" s="23" t="str">
        <f aca="false">IF(B7378="","",IF(MATCH(B7378,$B$2:$B$12000,0)=ROW()-1,1,0))</f>
        <v/>
      </c>
    </row>
    <row r="7379" customFormat="false" ht="15" hidden="false" customHeight="false" outlineLevel="0" collapsed="false">
      <c r="V7379" s="23" t="str">
        <f aca="false">IF(ISNUMBER(C7379),YEAR(C7379),"")</f>
        <v/>
      </c>
      <c r="W7379" s="23" t="str">
        <f aca="false">IF(ISNUMBER(C7379),MONTH(C7379),"")</f>
        <v/>
      </c>
      <c r="X7379" s="23" t="str">
        <f aca="false">IF(T7379="","",IF(T7379=0,"No discount",IF(T7379&lt;=0.2,"Low (1-20%)",IF(T7379&lt;=0.4,"Medium (21-40%)","High (&gt;40%)"))))</f>
        <v/>
      </c>
      <c r="Y7379" s="23" t="str">
        <f aca="false">IF(AND(ISNUMBER(C7379),ISNUMBER(D7379)),D7379-C7379,"")</f>
        <v/>
      </c>
      <c r="Z7379" s="23" t="str">
        <f aca="false">IF(B7379="","",IF(MATCH(B7379,$B$2:$B$12000,0)=ROW()-1,1,0))</f>
        <v/>
      </c>
    </row>
    <row r="7380" customFormat="false" ht="15" hidden="false" customHeight="false" outlineLevel="0" collapsed="false">
      <c r="V7380" s="23" t="str">
        <f aca="false">IF(ISNUMBER(C7380),YEAR(C7380),"")</f>
        <v/>
      </c>
      <c r="W7380" s="23" t="str">
        <f aca="false">IF(ISNUMBER(C7380),MONTH(C7380),"")</f>
        <v/>
      </c>
      <c r="X7380" s="23" t="str">
        <f aca="false">IF(T7380="","",IF(T7380=0,"No discount",IF(T7380&lt;=0.2,"Low (1-20%)",IF(T7380&lt;=0.4,"Medium (21-40%)","High (&gt;40%)"))))</f>
        <v/>
      </c>
      <c r="Y7380" s="23" t="str">
        <f aca="false">IF(AND(ISNUMBER(C7380),ISNUMBER(D7380)),D7380-C7380,"")</f>
        <v/>
      </c>
      <c r="Z7380" s="23" t="str">
        <f aca="false">IF(B7380="","",IF(MATCH(B7380,$B$2:$B$12000,0)=ROW()-1,1,0))</f>
        <v/>
      </c>
    </row>
    <row r="7381" customFormat="false" ht="15" hidden="false" customHeight="false" outlineLevel="0" collapsed="false">
      <c r="V7381" s="23" t="str">
        <f aca="false">IF(ISNUMBER(C7381),YEAR(C7381),"")</f>
        <v/>
      </c>
      <c r="W7381" s="23" t="str">
        <f aca="false">IF(ISNUMBER(C7381),MONTH(C7381),"")</f>
        <v/>
      </c>
      <c r="X7381" s="23" t="str">
        <f aca="false">IF(T7381="","",IF(T7381=0,"No discount",IF(T7381&lt;=0.2,"Low (1-20%)",IF(T7381&lt;=0.4,"Medium (21-40%)","High (&gt;40%)"))))</f>
        <v/>
      </c>
      <c r="Y7381" s="23" t="str">
        <f aca="false">IF(AND(ISNUMBER(C7381),ISNUMBER(D7381)),D7381-C7381,"")</f>
        <v/>
      </c>
      <c r="Z7381" s="23" t="str">
        <f aca="false">IF(B7381="","",IF(MATCH(B7381,$B$2:$B$12000,0)=ROW()-1,1,0))</f>
        <v/>
      </c>
    </row>
    <row r="7382" customFormat="false" ht="15" hidden="false" customHeight="false" outlineLevel="0" collapsed="false">
      <c r="V7382" s="23" t="str">
        <f aca="false">IF(ISNUMBER(C7382),YEAR(C7382),"")</f>
        <v/>
      </c>
      <c r="W7382" s="23" t="str">
        <f aca="false">IF(ISNUMBER(C7382),MONTH(C7382),"")</f>
        <v/>
      </c>
      <c r="X7382" s="23" t="str">
        <f aca="false">IF(T7382="","",IF(T7382=0,"No discount",IF(T7382&lt;=0.2,"Low (1-20%)",IF(T7382&lt;=0.4,"Medium (21-40%)","High (&gt;40%)"))))</f>
        <v/>
      </c>
      <c r="Y7382" s="23" t="str">
        <f aca="false">IF(AND(ISNUMBER(C7382),ISNUMBER(D7382)),D7382-C7382,"")</f>
        <v/>
      </c>
      <c r="Z7382" s="23" t="str">
        <f aca="false">IF(B7382="","",IF(MATCH(B7382,$B$2:$B$12000,0)=ROW()-1,1,0))</f>
        <v/>
      </c>
    </row>
    <row r="7383" customFormat="false" ht="15" hidden="false" customHeight="false" outlineLevel="0" collapsed="false">
      <c r="V7383" s="23" t="str">
        <f aca="false">IF(ISNUMBER(C7383),YEAR(C7383),"")</f>
        <v/>
      </c>
      <c r="W7383" s="23" t="str">
        <f aca="false">IF(ISNUMBER(C7383),MONTH(C7383),"")</f>
        <v/>
      </c>
      <c r="X7383" s="23" t="str">
        <f aca="false">IF(T7383="","",IF(T7383=0,"No discount",IF(T7383&lt;=0.2,"Low (1-20%)",IF(T7383&lt;=0.4,"Medium (21-40%)","High (&gt;40%)"))))</f>
        <v/>
      </c>
      <c r="Y7383" s="23" t="str">
        <f aca="false">IF(AND(ISNUMBER(C7383),ISNUMBER(D7383)),D7383-C7383,"")</f>
        <v/>
      </c>
      <c r="Z7383" s="23" t="str">
        <f aca="false">IF(B7383="","",IF(MATCH(B7383,$B$2:$B$12000,0)=ROW()-1,1,0))</f>
        <v/>
      </c>
    </row>
    <row r="7384" customFormat="false" ht="15" hidden="false" customHeight="false" outlineLevel="0" collapsed="false">
      <c r="V7384" s="23" t="str">
        <f aca="false">IF(ISNUMBER(C7384),YEAR(C7384),"")</f>
        <v/>
      </c>
      <c r="W7384" s="23" t="str">
        <f aca="false">IF(ISNUMBER(C7384),MONTH(C7384),"")</f>
        <v/>
      </c>
      <c r="X7384" s="23" t="str">
        <f aca="false">IF(T7384="","",IF(T7384=0,"No discount",IF(T7384&lt;=0.2,"Low (1-20%)",IF(T7384&lt;=0.4,"Medium (21-40%)","High (&gt;40%)"))))</f>
        <v/>
      </c>
      <c r="Y7384" s="23" t="str">
        <f aca="false">IF(AND(ISNUMBER(C7384),ISNUMBER(D7384)),D7384-C7384,"")</f>
        <v/>
      </c>
      <c r="Z7384" s="23" t="str">
        <f aca="false">IF(B7384="","",IF(MATCH(B7384,$B$2:$B$12000,0)=ROW()-1,1,0))</f>
        <v/>
      </c>
    </row>
    <row r="7385" customFormat="false" ht="15" hidden="false" customHeight="false" outlineLevel="0" collapsed="false">
      <c r="V7385" s="23" t="str">
        <f aca="false">IF(ISNUMBER(C7385),YEAR(C7385),"")</f>
        <v/>
      </c>
      <c r="W7385" s="23" t="str">
        <f aca="false">IF(ISNUMBER(C7385),MONTH(C7385),"")</f>
        <v/>
      </c>
      <c r="X7385" s="23" t="str">
        <f aca="false">IF(T7385="","",IF(T7385=0,"No discount",IF(T7385&lt;=0.2,"Low (1-20%)",IF(T7385&lt;=0.4,"Medium (21-40%)","High (&gt;40%)"))))</f>
        <v/>
      </c>
      <c r="Y7385" s="23" t="str">
        <f aca="false">IF(AND(ISNUMBER(C7385),ISNUMBER(D7385)),D7385-C7385,"")</f>
        <v/>
      </c>
      <c r="Z7385" s="23" t="str">
        <f aca="false">IF(B7385="","",IF(MATCH(B7385,$B$2:$B$12000,0)=ROW()-1,1,0))</f>
        <v/>
      </c>
    </row>
    <row r="7386" customFormat="false" ht="15" hidden="false" customHeight="false" outlineLevel="0" collapsed="false">
      <c r="V7386" s="23" t="str">
        <f aca="false">IF(ISNUMBER(C7386),YEAR(C7386),"")</f>
        <v/>
      </c>
      <c r="W7386" s="23" t="str">
        <f aca="false">IF(ISNUMBER(C7386),MONTH(C7386),"")</f>
        <v/>
      </c>
      <c r="X7386" s="23" t="str">
        <f aca="false">IF(T7386="","",IF(T7386=0,"No discount",IF(T7386&lt;=0.2,"Low (1-20%)",IF(T7386&lt;=0.4,"Medium (21-40%)","High (&gt;40%)"))))</f>
        <v/>
      </c>
      <c r="Y7386" s="23" t="str">
        <f aca="false">IF(AND(ISNUMBER(C7386),ISNUMBER(D7386)),D7386-C7386,"")</f>
        <v/>
      </c>
      <c r="Z7386" s="23" t="str">
        <f aca="false">IF(B7386="","",IF(MATCH(B7386,$B$2:$B$12000,0)=ROW()-1,1,0))</f>
        <v/>
      </c>
    </row>
    <row r="7387" customFormat="false" ht="15" hidden="false" customHeight="false" outlineLevel="0" collapsed="false">
      <c r="V7387" s="23" t="str">
        <f aca="false">IF(ISNUMBER(C7387),YEAR(C7387),"")</f>
        <v/>
      </c>
      <c r="W7387" s="23" t="str">
        <f aca="false">IF(ISNUMBER(C7387),MONTH(C7387),"")</f>
        <v/>
      </c>
      <c r="X7387" s="23" t="str">
        <f aca="false">IF(T7387="","",IF(T7387=0,"No discount",IF(T7387&lt;=0.2,"Low (1-20%)",IF(T7387&lt;=0.4,"Medium (21-40%)","High (&gt;40%)"))))</f>
        <v/>
      </c>
      <c r="Y7387" s="23" t="str">
        <f aca="false">IF(AND(ISNUMBER(C7387),ISNUMBER(D7387)),D7387-C7387,"")</f>
        <v/>
      </c>
      <c r="Z7387" s="23" t="str">
        <f aca="false">IF(B7387="","",IF(MATCH(B7387,$B$2:$B$12000,0)=ROW()-1,1,0))</f>
        <v/>
      </c>
    </row>
    <row r="7388" customFormat="false" ht="15" hidden="false" customHeight="false" outlineLevel="0" collapsed="false">
      <c r="V7388" s="23" t="str">
        <f aca="false">IF(ISNUMBER(C7388),YEAR(C7388),"")</f>
        <v/>
      </c>
      <c r="W7388" s="23" t="str">
        <f aca="false">IF(ISNUMBER(C7388),MONTH(C7388),"")</f>
        <v/>
      </c>
      <c r="X7388" s="23" t="str">
        <f aca="false">IF(T7388="","",IF(T7388=0,"No discount",IF(T7388&lt;=0.2,"Low (1-20%)",IF(T7388&lt;=0.4,"Medium (21-40%)","High (&gt;40%)"))))</f>
        <v/>
      </c>
      <c r="Y7388" s="23" t="str">
        <f aca="false">IF(AND(ISNUMBER(C7388),ISNUMBER(D7388)),D7388-C7388,"")</f>
        <v/>
      </c>
      <c r="Z7388" s="23" t="str">
        <f aca="false">IF(B7388="","",IF(MATCH(B7388,$B$2:$B$12000,0)=ROW()-1,1,0))</f>
        <v/>
      </c>
    </row>
    <row r="7389" customFormat="false" ht="15" hidden="false" customHeight="false" outlineLevel="0" collapsed="false">
      <c r="V7389" s="23" t="str">
        <f aca="false">IF(ISNUMBER(C7389),YEAR(C7389),"")</f>
        <v/>
      </c>
      <c r="W7389" s="23" t="str">
        <f aca="false">IF(ISNUMBER(C7389),MONTH(C7389),"")</f>
        <v/>
      </c>
      <c r="X7389" s="23" t="str">
        <f aca="false">IF(T7389="","",IF(T7389=0,"No discount",IF(T7389&lt;=0.2,"Low (1-20%)",IF(T7389&lt;=0.4,"Medium (21-40%)","High (&gt;40%)"))))</f>
        <v/>
      </c>
      <c r="Y7389" s="23" t="str">
        <f aca="false">IF(AND(ISNUMBER(C7389),ISNUMBER(D7389)),D7389-C7389,"")</f>
        <v/>
      </c>
      <c r="Z7389" s="23" t="str">
        <f aca="false">IF(B7389="","",IF(MATCH(B7389,$B$2:$B$12000,0)=ROW()-1,1,0))</f>
        <v/>
      </c>
    </row>
    <row r="7390" customFormat="false" ht="15" hidden="false" customHeight="false" outlineLevel="0" collapsed="false">
      <c r="V7390" s="23" t="str">
        <f aca="false">IF(ISNUMBER(C7390),YEAR(C7390),"")</f>
        <v/>
      </c>
      <c r="W7390" s="23" t="str">
        <f aca="false">IF(ISNUMBER(C7390),MONTH(C7390),"")</f>
        <v/>
      </c>
      <c r="X7390" s="23" t="str">
        <f aca="false">IF(T7390="","",IF(T7390=0,"No discount",IF(T7390&lt;=0.2,"Low (1-20%)",IF(T7390&lt;=0.4,"Medium (21-40%)","High (&gt;40%)"))))</f>
        <v/>
      </c>
      <c r="Y7390" s="23" t="str">
        <f aca="false">IF(AND(ISNUMBER(C7390),ISNUMBER(D7390)),D7390-C7390,"")</f>
        <v/>
      </c>
      <c r="Z7390" s="23" t="str">
        <f aca="false">IF(B7390="","",IF(MATCH(B7390,$B$2:$B$12000,0)=ROW()-1,1,0))</f>
        <v/>
      </c>
    </row>
    <row r="7391" customFormat="false" ht="15" hidden="false" customHeight="false" outlineLevel="0" collapsed="false">
      <c r="V7391" s="23" t="str">
        <f aca="false">IF(ISNUMBER(C7391),YEAR(C7391),"")</f>
        <v/>
      </c>
      <c r="W7391" s="23" t="str">
        <f aca="false">IF(ISNUMBER(C7391),MONTH(C7391),"")</f>
        <v/>
      </c>
      <c r="X7391" s="23" t="str">
        <f aca="false">IF(T7391="","",IF(T7391=0,"No discount",IF(T7391&lt;=0.2,"Low (1-20%)",IF(T7391&lt;=0.4,"Medium (21-40%)","High (&gt;40%)"))))</f>
        <v/>
      </c>
      <c r="Y7391" s="23" t="str">
        <f aca="false">IF(AND(ISNUMBER(C7391),ISNUMBER(D7391)),D7391-C7391,"")</f>
        <v/>
      </c>
      <c r="Z7391" s="23" t="str">
        <f aca="false">IF(B7391="","",IF(MATCH(B7391,$B$2:$B$12000,0)=ROW()-1,1,0))</f>
        <v/>
      </c>
    </row>
    <row r="7392" customFormat="false" ht="15" hidden="false" customHeight="false" outlineLevel="0" collapsed="false">
      <c r="V7392" s="23" t="str">
        <f aca="false">IF(ISNUMBER(C7392),YEAR(C7392),"")</f>
        <v/>
      </c>
      <c r="W7392" s="23" t="str">
        <f aca="false">IF(ISNUMBER(C7392),MONTH(C7392),"")</f>
        <v/>
      </c>
      <c r="X7392" s="23" t="str">
        <f aca="false">IF(T7392="","",IF(T7392=0,"No discount",IF(T7392&lt;=0.2,"Low (1-20%)",IF(T7392&lt;=0.4,"Medium (21-40%)","High (&gt;40%)"))))</f>
        <v/>
      </c>
      <c r="Y7392" s="23" t="str">
        <f aca="false">IF(AND(ISNUMBER(C7392),ISNUMBER(D7392)),D7392-C7392,"")</f>
        <v/>
      </c>
      <c r="Z7392" s="23" t="str">
        <f aca="false">IF(B7392="","",IF(MATCH(B7392,$B$2:$B$12000,0)=ROW()-1,1,0))</f>
        <v/>
      </c>
    </row>
    <row r="7393" customFormat="false" ht="15" hidden="false" customHeight="false" outlineLevel="0" collapsed="false">
      <c r="V7393" s="23" t="str">
        <f aca="false">IF(ISNUMBER(C7393),YEAR(C7393),"")</f>
        <v/>
      </c>
      <c r="W7393" s="23" t="str">
        <f aca="false">IF(ISNUMBER(C7393),MONTH(C7393),"")</f>
        <v/>
      </c>
      <c r="X7393" s="23" t="str">
        <f aca="false">IF(T7393="","",IF(T7393=0,"No discount",IF(T7393&lt;=0.2,"Low (1-20%)",IF(T7393&lt;=0.4,"Medium (21-40%)","High (&gt;40%)"))))</f>
        <v/>
      </c>
      <c r="Y7393" s="23" t="str">
        <f aca="false">IF(AND(ISNUMBER(C7393),ISNUMBER(D7393)),D7393-C7393,"")</f>
        <v/>
      </c>
      <c r="Z7393" s="23" t="str">
        <f aca="false">IF(B7393="","",IF(MATCH(B7393,$B$2:$B$12000,0)=ROW()-1,1,0))</f>
        <v/>
      </c>
    </row>
    <row r="7394" customFormat="false" ht="15" hidden="false" customHeight="false" outlineLevel="0" collapsed="false">
      <c r="V7394" s="23" t="str">
        <f aca="false">IF(ISNUMBER(C7394),YEAR(C7394),"")</f>
        <v/>
      </c>
      <c r="W7394" s="23" t="str">
        <f aca="false">IF(ISNUMBER(C7394),MONTH(C7394),"")</f>
        <v/>
      </c>
      <c r="X7394" s="23" t="str">
        <f aca="false">IF(T7394="","",IF(T7394=0,"No discount",IF(T7394&lt;=0.2,"Low (1-20%)",IF(T7394&lt;=0.4,"Medium (21-40%)","High (&gt;40%)"))))</f>
        <v/>
      </c>
      <c r="Y7394" s="23" t="str">
        <f aca="false">IF(AND(ISNUMBER(C7394),ISNUMBER(D7394)),D7394-C7394,"")</f>
        <v/>
      </c>
      <c r="Z7394" s="23" t="str">
        <f aca="false">IF(B7394="","",IF(MATCH(B7394,$B$2:$B$12000,0)=ROW()-1,1,0))</f>
        <v/>
      </c>
    </row>
    <row r="7395" customFormat="false" ht="15" hidden="false" customHeight="false" outlineLevel="0" collapsed="false">
      <c r="V7395" s="23" t="str">
        <f aca="false">IF(ISNUMBER(C7395),YEAR(C7395),"")</f>
        <v/>
      </c>
      <c r="W7395" s="23" t="str">
        <f aca="false">IF(ISNUMBER(C7395),MONTH(C7395),"")</f>
        <v/>
      </c>
      <c r="X7395" s="23" t="str">
        <f aca="false">IF(T7395="","",IF(T7395=0,"No discount",IF(T7395&lt;=0.2,"Low (1-20%)",IF(T7395&lt;=0.4,"Medium (21-40%)","High (&gt;40%)"))))</f>
        <v/>
      </c>
      <c r="Y7395" s="23" t="str">
        <f aca="false">IF(AND(ISNUMBER(C7395),ISNUMBER(D7395)),D7395-C7395,"")</f>
        <v/>
      </c>
      <c r="Z7395" s="23" t="str">
        <f aca="false">IF(B7395="","",IF(MATCH(B7395,$B$2:$B$12000,0)=ROW()-1,1,0))</f>
        <v/>
      </c>
    </row>
    <row r="7396" customFormat="false" ht="15" hidden="false" customHeight="false" outlineLevel="0" collapsed="false">
      <c r="V7396" s="23" t="str">
        <f aca="false">IF(ISNUMBER(C7396),YEAR(C7396),"")</f>
        <v/>
      </c>
      <c r="W7396" s="23" t="str">
        <f aca="false">IF(ISNUMBER(C7396),MONTH(C7396),"")</f>
        <v/>
      </c>
      <c r="X7396" s="23" t="str">
        <f aca="false">IF(T7396="","",IF(T7396=0,"No discount",IF(T7396&lt;=0.2,"Low (1-20%)",IF(T7396&lt;=0.4,"Medium (21-40%)","High (&gt;40%)"))))</f>
        <v/>
      </c>
      <c r="Y7396" s="23" t="str">
        <f aca="false">IF(AND(ISNUMBER(C7396),ISNUMBER(D7396)),D7396-C7396,"")</f>
        <v/>
      </c>
      <c r="Z7396" s="23" t="str">
        <f aca="false">IF(B7396="","",IF(MATCH(B7396,$B$2:$B$12000,0)=ROW()-1,1,0))</f>
        <v/>
      </c>
    </row>
    <row r="7397" customFormat="false" ht="15" hidden="false" customHeight="false" outlineLevel="0" collapsed="false">
      <c r="V7397" s="23" t="str">
        <f aca="false">IF(ISNUMBER(C7397),YEAR(C7397),"")</f>
        <v/>
      </c>
      <c r="W7397" s="23" t="str">
        <f aca="false">IF(ISNUMBER(C7397),MONTH(C7397),"")</f>
        <v/>
      </c>
      <c r="X7397" s="23" t="str">
        <f aca="false">IF(T7397="","",IF(T7397=0,"No discount",IF(T7397&lt;=0.2,"Low (1-20%)",IF(T7397&lt;=0.4,"Medium (21-40%)","High (&gt;40%)"))))</f>
        <v/>
      </c>
      <c r="Y7397" s="23" t="str">
        <f aca="false">IF(AND(ISNUMBER(C7397),ISNUMBER(D7397)),D7397-C7397,"")</f>
        <v/>
      </c>
      <c r="Z7397" s="23" t="str">
        <f aca="false">IF(B7397="","",IF(MATCH(B7397,$B$2:$B$12000,0)=ROW()-1,1,0))</f>
        <v/>
      </c>
    </row>
    <row r="7398" customFormat="false" ht="15" hidden="false" customHeight="false" outlineLevel="0" collapsed="false">
      <c r="V7398" s="23" t="str">
        <f aca="false">IF(ISNUMBER(C7398),YEAR(C7398),"")</f>
        <v/>
      </c>
      <c r="W7398" s="23" t="str">
        <f aca="false">IF(ISNUMBER(C7398),MONTH(C7398),"")</f>
        <v/>
      </c>
      <c r="X7398" s="23" t="str">
        <f aca="false">IF(T7398="","",IF(T7398=0,"No discount",IF(T7398&lt;=0.2,"Low (1-20%)",IF(T7398&lt;=0.4,"Medium (21-40%)","High (&gt;40%)"))))</f>
        <v/>
      </c>
      <c r="Y7398" s="23" t="str">
        <f aca="false">IF(AND(ISNUMBER(C7398),ISNUMBER(D7398)),D7398-C7398,"")</f>
        <v/>
      </c>
      <c r="Z7398" s="23" t="str">
        <f aca="false">IF(B7398="","",IF(MATCH(B7398,$B$2:$B$12000,0)=ROW()-1,1,0))</f>
        <v/>
      </c>
    </row>
    <row r="7399" customFormat="false" ht="15" hidden="false" customHeight="false" outlineLevel="0" collapsed="false">
      <c r="V7399" s="23" t="str">
        <f aca="false">IF(ISNUMBER(C7399),YEAR(C7399),"")</f>
        <v/>
      </c>
      <c r="W7399" s="23" t="str">
        <f aca="false">IF(ISNUMBER(C7399),MONTH(C7399),"")</f>
        <v/>
      </c>
      <c r="X7399" s="23" t="str">
        <f aca="false">IF(T7399="","",IF(T7399=0,"No discount",IF(T7399&lt;=0.2,"Low (1-20%)",IF(T7399&lt;=0.4,"Medium (21-40%)","High (&gt;40%)"))))</f>
        <v/>
      </c>
      <c r="Y7399" s="23" t="str">
        <f aca="false">IF(AND(ISNUMBER(C7399),ISNUMBER(D7399)),D7399-C7399,"")</f>
        <v/>
      </c>
      <c r="Z7399" s="23" t="str">
        <f aca="false">IF(B7399="","",IF(MATCH(B7399,$B$2:$B$12000,0)=ROW()-1,1,0))</f>
        <v/>
      </c>
    </row>
    <row r="7400" customFormat="false" ht="15" hidden="false" customHeight="false" outlineLevel="0" collapsed="false">
      <c r="V7400" s="23" t="str">
        <f aca="false">IF(ISNUMBER(C7400),YEAR(C7400),"")</f>
        <v/>
      </c>
      <c r="W7400" s="23" t="str">
        <f aca="false">IF(ISNUMBER(C7400),MONTH(C7400),"")</f>
        <v/>
      </c>
      <c r="X7400" s="23" t="str">
        <f aca="false">IF(T7400="","",IF(T7400=0,"No discount",IF(T7400&lt;=0.2,"Low (1-20%)",IF(T7400&lt;=0.4,"Medium (21-40%)","High (&gt;40%)"))))</f>
        <v/>
      </c>
      <c r="Y7400" s="23" t="str">
        <f aca="false">IF(AND(ISNUMBER(C7400),ISNUMBER(D7400)),D7400-C7400,"")</f>
        <v/>
      </c>
      <c r="Z7400" s="23" t="str">
        <f aca="false">IF(B7400="","",IF(MATCH(B7400,$B$2:$B$12000,0)=ROW()-1,1,0))</f>
        <v/>
      </c>
    </row>
    <row r="7401" customFormat="false" ht="15" hidden="false" customHeight="false" outlineLevel="0" collapsed="false">
      <c r="V7401" s="23" t="str">
        <f aca="false">IF(ISNUMBER(C7401),YEAR(C7401),"")</f>
        <v/>
      </c>
      <c r="W7401" s="23" t="str">
        <f aca="false">IF(ISNUMBER(C7401),MONTH(C7401),"")</f>
        <v/>
      </c>
      <c r="X7401" s="23" t="str">
        <f aca="false">IF(T7401="","",IF(T7401=0,"No discount",IF(T7401&lt;=0.2,"Low (1-20%)",IF(T7401&lt;=0.4,"Medium (21-40%)","High (&gt;40%)"))))</f>
        <v/>
      </c>
      <c r="Y7401" s="23" t="str">
        <f aca="false">IF(AND(ISNUMBER(C7401),ISNUMBER(D7401)),D7401-C7401,"")</f>
        <v/>
      </c>
      <c r="Z7401" s="23" t="str">
        <f aca="false">IF(B7401="","",IF(MATCH(B7401,$B$2:$B$12000,0)=ROW()-1,1,0))</f>
        <v/>
      </c>
    </row>
    <row r="7402" customFormat="false" ht="15" hidden="false" customHeight="false" outlineLevel="0" collapsed="false">
      <c r="V7402" s="23" t="str">
        <f aca="false">IF(ISNUMBER(C7402),YEAR(C7402),"")</f>
        <v/>
      </c>
      <c r="W7402" s="23" t="str">
        <f aca="false">IF(ISNUMBER(C7402),MONTH(C7402),"")</f>
        <v/>
      </c>
      <c r="X7402" s="23" t="str">
        <f aca="false">IF(T7402="","",IF(T7402=0,"No discount",IF(T7402&lt;=0.2,"Low (1-20%)",IF(T7402&lt;=0.4,"Medium (21-40%)","High (&gt;40%)"))))</f>
        <v/>
      </c>
      <c r="Y7402" s="23" t="str">
        <f aca="false">IF(AND(ISNUMBER(C7402),ISNUMBER(D7402)),D7402-C7402,"")</f>
        <v/>
      </c>
      <c r="Z7402" s="23" t="str">
        <f aca="false">IF(B7402="","",IF(MATCH(B7402,$B$2:$B$12000,0)=ROW()-1,1,0))</f>
        <v/>
      </c>
    </row>
    <row r="7403" customFormat="false" ht="15" hidden="false" customHeight="false" outlineLevel="0" collapsed="false">
      <c r="V7403" s="23" t="str">
        <f aca="false">IF(ISNUMBER(C7403),YEAR(C7403),"")</f>
        <v/>
      </c>
      <c r="W7403" s="23" t="str">
        <f aca="false">IF(ISNUMBER(C7403),MONTH(C7403),"")</f>
        <v/>
      </c>
      <c r="X7403" s="23" t="str">
        <f aca="false">IF(T7403="","",IF(T7403=0,"No discount",IF(T7403&lt;=0.2,"Low (1-20%)",IF(T7403&lt;=0.4,"Medium (21-40%)","High (&gt;40%)"))))</f>
        <v/>
      </c>
      <c r="Y7403" s="23" t="str">
        <f aca="false">IF(AND(ISNUMBER(C7403),ISNUMBER(D7403)),D7403-C7403,"")</f>
        <v/>
      </c>
      <c r="Z7403" s="23" t="str">
        <f aca="false">IF(B7403="","",IF(MATCH(B7403,$B$2:$B$12000,0)=ROW()-1,1,0))</f>
        <v/>
      </c>
    </row>
    <row r="7404" customFormat="false" ht="15" hidden="false" customHeight="false" outlineLevel="0" collapsed="false">
      <c r="V7404" s="23" t="str">
        <f aca="false">IF(ISNUMBER(C7404),YEAR(C7404),"")</f>
        <v/>
      </c>
      <c r="W7404" s="23" t="str">
        <f aca="false">IF(ISNUMBER(C7404),MONTH(C7404),"")</f>
        <v/>
      </c>
      <c r="X7404" s="23" t="str">
        <f aca="false">IF(T7404="","",IF(T7404=0,"No discount",IF(T7404&lt;=0.2,"Low (1-20%)",IF(T7404&lt;=0.4,"Medium (21-40%)","High (&gt;40%)"))))</f>
        <v/>
      </c>
      <c r="Y7404" s="23" t="str">
        <f aca="false">IF(AND(ISNUMBER(C7404),ISNUMBER(D7404)),D7404-C7404,"")</f>
        <v/>
      </c>
      <c r="Z7404" s="23" t="str">
        <f aca="false">IF(B7404="","",IF(MATCH(B7404,$B$2:$B$12000,0)=ROW()-1,1,0))</f>
        <v/>
      </c>
    </row>
    <row r="7405" customFormat="false" ht="15" hidden="false" customHeight="false" outlineLevel="0" collapsed="false">
      <c r="V7405" s="23" t="str">
        <f aca="false">IF(ISNUMBER(C7405),YEAR(C7405),"")</f>
        <v/>
      </c>
      <c r="W7405" s="23" t="str">
        <f aca="false">IF(ISNUMBER(C7405),MONTH(C7405),"")</f>
        <v/>
      </c>
      <c r="X7405" s="23" t="str">
        <f aca="false">IF(T7405="","",IF(T7405=0,"No discount",IF(T7405&lt;=0.2,"Low (1-20%)",IF(T7405&lt;=0.4,"Medium (21-40%)","High (&gt;40%)"))))</f>
        <v/>
      </c>
      <c r="Y7405" s="23" t="str">
        <f aca="false">IF(AND(ISNUMBER(C7405),ISNUMBER(D7405)),D7405-C7405,"")</f>
        <v/>
      </c>
      <c r="Z7405" s="23" t="str">
        <f aca="false">IF(B7405="","",IF(MATCH(B7405,$B$2:$B$12000,0)=ROW()-1,1,0))</f>
        <v/>
      </c>
    </row>
    <row r="7406" customFormat="false" ht="15" hidden="false" customHeight="false" outlineLevel="0" collapsed="false">
      <c r="V7406" s="23" t="str">
        <f aca="false">IF(ISNUMBER(C7406),YEAR(C7406),"")</f>
        <v/>
      </c>
      <c r="W7406" s="23" t="str">
        <f aca="false">IF(ISNUMBER(C7406),MONTH(C7406),"")</f>
        <v/>
      </c>
      <c r="X7406" s="23" t="str">
        <f aca="false">IF(T7406="","",IF(T7406=0,"No discount",IF(T7406&lt;=0.2,"Low (1-20%)",IF(T7406&lt;=0.4,"Medium (21-40%)","High (&gt;40%)"))))</f>
        <v/>
      </c>
      <c r="Y7406" s="23" t="str">
        <f aca="false">IF(AND(ISNUMBER(C7406),ISNUMBER(D7406)),D7406-C7406,"")</f>
        <v/>
      </c>
      <c r="Z7406" s="23" t="str">
        <f aca="false">IF(B7406="","",IF(MATCH(B7406,$B$2:$B$12000,0)=ROW()-1,1,0))</f>
        <v/>
      </c>
    </row>
    <row r="7407" customFormat="false" ht="15" hidden="false" customHeight="false" outlineLevel="0" collapsed="false">
      <c r="V7407" s="23" t="str">
        <f aca="false">IF(ISNUMBER(C7407),YEAR(C7407),"")</f>
        <v/>
      </c>
      <c r="W7407" s="23" t="str">
        <f aca="false">IF(ISNUMBER(C7407),MONTH(C7407),"")</f>
        <v/>
      </c>
      <c r="X7407" s="23" t="str">
        <f aca="false">IF(T7407="","",IF(T7407=0,"No discount",IF(T7407&lt;=0.2,"Low (1-20%)",IF(T7407&lt;=0.4,"Medium (21-40%)","High (&gt;40%)"))))</f>
        <v/>
      </c>
      <c r="Y7407" s="23" t="str">
        <f aca="false">IF(AND(ISNUMBER(C7407),ISNUMBER(D7407)),D7407-C7407,"")</f>
        <v/>
      </c>
      <c r="Z7407" s="23" t="str">
        <f aca="false">IF(B7407="","",IF(MATCH(B7407,$B$2:$B$12000,0)=ROW()-1,1,0))</f>
        <v/>
      </c>
    </row>
    <row r="7408" customFormat="false" ht="15" hidden="false" customHeight="false" outlineLevel="0" collapsed="false">
      <c r="V7408" s="23" t="str">
        <f aca="false">IF(ISNUMBER(C7408),YEAR(C7408),"")</f>
        <v/>
      </c>
      <c r="W7408" s="23" t="str">
        <f aca="false">IF(ISNUMBER(C7408),MONTH(C7408),"")</f>
        <v/>
      </c>
      <c r="X7408" s="23" t="str">
        <f aca="false">IF(T7408="","",IF(T7408=0,"No discount",IF(T7408&lt;=0.2,"Low (1-20%)",IF(T7408&lt;=0.4,"Medium (21-40%)","High (&gt;40%)"))))</f>
        <v/>
      </c>
      <c r="Y7408" s="23" t="str">
        <f aca="false">IF(AND(ISNUMBER(C7408),ISNUMBER(D7408)),D7408-C7408,"")</f>
        <v/>
      </c>
      <c r="Z7408" s="23" t="str">
        <f aca="false">IF(B7408="","",IF(MATCH(B7408,$B$2:$B$12000,0)=ROW()-1,1,0))</f>
        <v/>
      </c>
    </row>
    <row r="7409" customFormat="false" ht="15" hidden="false" customHeight="false" outlineLevel="0" collapsed="false">
      <c r="V7409" s="23" t="str">
        <f aca="false">IF(ISNUMBER(C7409),YEAR(C7409),"")</f>
        <v/>
      </c>
      <c r="W7409" s="23" t="str">
        <f aca="false">IF(ISNUMBER(C7409),MONTH(C7409),"")</f>
        <v/>
      </c>
      <c r="X7409" s="23" t="str">
        <f aca="false">IF(T7409="","",IF(T7409=0,"No discount",IF(T7409&lt;=0.2,"Low (1-20%)",IF(T7409&lt;=0.4,"Medium (21-40%)","High (&gt;40%)"))))</f>
        <v/>
      </c>
      <c r="Y7409" s="23" t="str">
        <f aca="false">IF(AND(ISNUMBER(C7409),ISNUMBER(D7409)),D7409-C7409,"")</f>
        <v/>
      </c>
      <c r="Z7409" s="23" t="str">
        <f aca="false">IF(B7409="","",IF(MATCH(B7409,$B$2:$B$12000,0)=ROW()-1,1,0))</f>
        <v/>
      </c>
    </row>
    <row r="7410" customFormat="false" ht="15" hidden="false" customHeight="false" outlineLevel="0" collapsed="false">
      <c r="V7410" s="23" t="str">
        <f aca="false">IF(ISNUMBER(C7410),YEAR(C7410),"")</f>
        <v/>
      </c>
      <c r="W7410" s="23" t="str">
        <f aca="false">IF(ISNUMBER(C7410),MONTH(C7410),"")</f>
        <v/>
      </c>
      <c r="X7410" s="23" t="str">
        <f aca="false">IF(T7410="","",IF(T7410=0,"No discount",IF(T7410&lt;=0.2,"Low (1-20%)",IF(T7410&lt;=0.4,"Medium (21-40%)","High (&gt;40%)"))))</f>
        <v/>
      </c>
      <c r="Y7410" s="23" t="str">
        <f aca="false">IF(AND(ISNUMBER(C7410),ISNUMBER(D7410)),D7410-C7410,"")</f>
        <v/>
      </c>
      <c r="Z7410" s="23" t="str">
        <f aca="false">IF(B7410="","",IF(MATCH(B7410,$B$2:$B$12000,0)=ROW()-1,1,0))</f>
        <v/>
      </c>
    </row>
    <row r="7411" customFormat="false" ht="15" hidden="false" customHeight="false" outlineLevel="0" collapsed="false">
      <c r="V7411" s="23" t="str">
        <f aca="false">IF(ISNUMBER(C7411),YEAR(C7411),"")</f>
        <v/>
      </c>
      <c r="W7411" s="23" t="str">
        <f aca="false">IF(ISNUMBER(C7411),MONTH(C7411),"")</f>
        <v/>
      </c>
      <c r="X7411" s="23" t="str">
        <f aca="false">IF(T7411="","",IF(T7411=0,"No discount",IF(T7411&lt;=0.2,"Low (1-20%)",IF(T7411&lt;=0.4,"Medium (21-40%)","High (&gt;40%)"))))</f>
        <v/>
      </c>
      <c r="Y7411" s="23" t="str">
        <f aca="false">IF(AND(ISNUMBER(C7411),ISNUMBER(D7411)),D7411-C7411,"")</f>
        <v/>
      </c>
      <c r="Z7411" s="23" t="str">
        <f aca="false">IF(B7411="","",IF(MATCH(B7411,$B$2:$B$12000,0)=ROW()-1,1,0))</f>
        <v/>
      </c>
    </row>
    <row r="7412" customFormat="false" ht="15" hidden="false" customHeight="false" outlineLevel="0" collapsed="false">
      <c r="V7412" s="23" t="str">
        <f aca="false">IF(ISNUMBER(C7412),YEAR(C7412),"")</f>
        <v/>
      </c>
      <c r="W7412" s="23" t="str">
        <f aca="false">IF(ISNUMBER(C7412),MONTH(C7412),"")</f>
        <v/>
      </c>
      <c r="X7412" s="23" t="str">
        <f aca="false">IF(T7412="","",IF(T7412=0,"No discount",IF(T7412&lt;=0.2,"Low (1-20%)",IF(T7412&lt;=0.4,"Medium (21-40%)","High (&gt;40%)"))))</f>
        <v/>
      </c>
      <c r="Y7412" s="23" t="str">
        <f aca="false">IF(AND(ISNUMBER(C7412),ISNUMBER(D7412)),D7412-C7412,"")</f>
        <v/>
      </c>
      <c r="Z7412" s="23" t="str">
        <f aca="false">IF(B7412="","",IF(MATCH(B7412,$B$2:$B$12000,0)=ROW()-1,1,0))</f>
        <v/>
      </c>
    </row>
    <row r="7413" customFormat="false" ht="15" hidden="false" customHeight="false" outlineLevel="0" collapsed="false">
      <c r="V7413" s="23" t="str">
        <f aca="false">IF(ISNUMBER(C7413),YEAR(C7413),"")</f>
        <v/>
      </c>
      <c r="W7413" s="23" t="str">
        <f aca="false">IF(ISNUMBER(C7413),MONTH(C7413),"")</f>
        <v/>
      </c>
      <c r="X7413" s="23" t="str">
        <f aca="false">IF(T7413="","",IF(T7413=0,"No discount",IF(T7413&lt;=0.2,"Low (1-20%)",IF(T7413&lt;=0.4,"Medium (21-40%)","High (&gt;40%)"))))</f>
        <v/>
      </c>
      <c r="Y7413" s="23" t="str">
        <f aca="false">IF(AND(ISNUMBER(C7413),ISNUMBER(D7413)),D7413-C7413,"")</f>
        <v/>
      </c>
      <c r="Z7413" s="23" t="str">
        <f aca="false">IF(B7413="","",IF(MATCH(B7413,$B$2:$B$12000,0)=ROW()-1,1,0))</f>
        <v/>
      </c>
    </row>
    <row r="7414" customFormat="false" ht="15" hidden="false" customHeight="false" outlineLevel="0" collapsed="false">
      <c r="V7414" s="23" t="str">
        <f aca="false">IF(ISNUMBER(C7414),YEAR(C7414),"")</f>
        <v/>
      </c>
      <c r="W7414" s="23" t="str">
        <f aca="false">IF(ISNUMBER(C7414),MONTH(C7414),"")</f>
        <v/>
      </c>
      <c r="X7414" s="23" t="str">
        <f aca="false">IF(T7414="","",IF(T7414=0,"No discount",IF(T7414&lt;=0.2,"Low (1-20%)",IF(T7414&lt;=0.4,"Medium (21-40%)","High (&gt;40%)"))))</f>
        <v/>
      </c>
      <c r="Y7414" s="23" t="str">
        <f aca="false">IF(AND(ISNUMBER(C7414),ISNUMBER(D7414)),D7414-C7414,"")</f>
        <v/>
      </c>
      <c r="Z7414" s="23" t="str">
        <f aca="false">IF(B7414="","",IF(MATCH(B7414,$B$2:$B$12000,0)=ROW()-1,1,0))</f>
        <v/>
      </c>
    </row>
    <row r="7415" customFormat="false" ht="15" hidden="false" customHeight="false" outlineLevel="0" collapsed="false">
      <c r="V7415" s="23" t="str">
        <f aca="false">IF(ISNUMBER(C7415),YEAR(C7415),"")</f>
        <v/>
      </c>
      <c r="W7415" s="23" t="str">
        <f aca="false">IF(ISNUMBER(C7415),MONTH(C7415),"")</f>
        <v/>
      </c>
      <c r="X7415" s="23" t="str">
        <f aca="false">IF(T7415="","",IF(T7415=0,"No discount",IF(T7415&lt;=0.2,"Low (1-20%)",IF(T7415&lt;=0.4,"Medium (21-40%)","High (&gt;40%)"))))</f>
        <v/>
      </c>
      <c r="Y7415" s="23" t="str">
        <f aca="false">IF(AND(ISNUMBER(C7415),ISNUMBER(D7415)),D7415-C7415,"")</f>
        <v/>
      </c>
      <c r="Z7415" s="23" t="str">
        <f aca="false">IF(B7415="","",IF(MATCH(B7415,$B$2:$B$12000,0)=ROW()-1,1,0))</f>
        <v/>
      </c>
    </row>
    <row r="7416" customFormat="false" ht="15" hidden="false" customHeight="false" outlineLevel="0" collapsed="false">
      <c r="V7416" s="23" t="str">
        <f aca="false">IF(ISNUMBER(C7416),YEAR(C7416),"")</f>
        <v/>
      </c>
      <c r="W7416" s="23" t="str">
        <f aca="false">IF(ISNUMBER(C7416),MONTH(C7416),"")</f>
        <v/>
      </c>
      <c r="X7416" s="23" t="str">
        <f aca="false">IF(T7416="","",IF(T7416=0,"No discount",IF(T7416&lt;=0.2,"Low (1-20%)",IF(T7416&lt;=0.4,"Medium (21-40%)","High (&gt;40%)"))))</f>
        <v/>
      </c>
      <c r="Y7416" s="23" t="str">
        <f aca="false">IF(AND(ISNUMBER(C7416),ISNUMBER(D7416)),D7416-C7416,"")</f>
        <v/>
      </c>
      <c r="Z7416" s="23" t="str">
        <f aca="false">IF(B7416="","",IF(MATCH(B7416,$B$2:$B$12000,0)=ROW()-1,1,0))</f>
        <v/>
      </c>
    </row>
    <row r="7417" customFormat="false" ht="15" hidden="false" customHeight="false" outlineLevel="0" collapsed="false">
      <c r="V7417" s="23" t="str">
        <f aca="false">IF(ISNUMBER(C7417),YEAR(C7417),"")</f>
        <v/>
      </c>
      <c r="W7417" s="23" t="str">
        <f aca="false">IF(ISNUMBER(C7417),MONTH(C7417),"")</f>
        <v/>
      </c>
      <c r="X7417" s="23" t="str">
        <f aca="false">IF(T7417="","",IF(T7417=0,"No discount",IF(T7417&lt;=0.2,"Low (1-20%)",IF(T7417&lt;=0.4,"Medium (21-40%)","High (&gt;40%)"))))</f>
        <v/>
      </c>
      <c r="Y7417" s="23" t="str">
        <f aca="false">IF(AND(ISNUMBER(C7417),ISNUMBER(D7417)),D7417-C7417,"")</f>
        <v/>
      </c>
      <c r="Z7417" s="23" t="str">
        <f aca="false">IF(B7417="","",IF(MATCH(B7417,$B$2:$B$12000,0)=ROW()-1,1,0))</f>
        <v/>
      </c>
    </row>
    <row r="7418" customFormat="false" ht="15" hidden="false" customHeight="false" outlineLevel="0" collapsed="false">
      <c r="V7418" s="23" t="str">
        <f aca="false">IF(ISNUMBER(C7418),YEAR(C7418),"")</f>
        <v/>
      </c>
      <c r="W7418" s="23" t="str">
        <f aca="false">IF(ISNUMBER(C7418),MONTH(C7418),"")</f>
        <v/>
      </c>
      <c r="X7418" s="23" t="str">
        <f aca="false">IF(T7418="","",IF(T7418=0,"No discount",IF(T7418&lt;=0.2,"Low (1-20%)",IF(T7418&lt;=0.4,"Medium (21-40%)","High (&gt;40%)"))))</f>
        <v/>
      </c>
      <c r="Y7418" s="23" t="str">
        <f aca="false">IF(AND(ISNUMBER(C7418),ISNUMBER(D7418)),D7418-C7418,"")</f>
        <v/>
      </c>
      <c r="Z7418" s="23" t="str">
        <f aca="false">IF(B7418="","",IF(MATCH(B7418,$B$2:$B$12000,0)=ROW()-1,1,0))</f>
        <v/>
      </c>
    </row>
    <row r="7419" customFormat="false" ht="15" hidden="false" customHeight="false" outlineLevel="0" collapsed="false">
      <c r="V7419" s="23" t="str">
        <f aca="false">IF(ISNUMBER(C7419),YEAR(C7419),"")</f>
        <v/>
      </c>
      <c r="W7419" s="23" t="str">
        <f aca="false">IF(ISNUMBER(C7419),MONTH(C7419),"")</f>
        <v/>
      </c>
      <c r="X7419" s="23" t="str">
        <f aca="false">IF(T7419="","",IF(T7419=0,"No discount",IF(T7419&lt;=0.2,"Low (1-20%)",IF(T7419&lt;=0.4,"Medium (21-40%)","High (&gt;40%)"))))</f>
        <v/>
      </c>
      <c r="Y7419" s="23" t="str">
        <f aca="false">IF(AND(ISNUMBER(C7419),ISNUMBER(D7419)),D7419-C7419,"")</f>
        <v/>
      </c>
      <c r="Z7419" s="23" t="str">
        <f aca="false">IF(B7419="","",IF(MATCH(B7419,$B$2:$B$12000,0)=ROW()-1,1,0))</f>
        <v/>
      </c>
    </row>
    <row r="7420" customFormat="false" ht="15" hidden="false" customHeight="false" outlineLevel="0" collapsed="false">
      <c r="V7420" s="23" t="str">
        <f aca="false">IF(ISNUMBER(C7420),YEAR(C7420),"")</f>
        <v/>
      </c>
      <c r="W7420" s="23" t="str">
        <f aca="false">IF(ISNUMBER(C7420),MONTH(C7420),"")</f>
        <v/>
      </c>
      <c r="X7420" s="23" t="str">
        <f aca="false">IF(T7420="","",IF(T7420=0,"No discount",IF(T7420&lt;=0.2,"Low (1-20%)",IF(T7420&lt;=0.4,"Medium (21-40%)","High (&gt;40%)"))))</f>
        <v/>
      </c>
      <c r="Y7420" s="23" t="str">
        <f aca="false">IF(AND(ISNUMBER(C7420),ISNUMBER(D7420)),D7420-C7420,"")</f>
        <v/>
      </c>
      <c r="Z7420" s="23" t="str">
        <f aca="false">IF(B7420="","",IF(MATCH(B7420,$B$2:$B$12000,0)=ROW()-1,1,0))</f>
        <v/>
      </c>
    </row>
    <row r="7421" customFormat="false" ht="15" hidden="false" customHeight="false" outlineLevel="0" collapsed="false">
      <c r="V7421" s="23" t="str">
        <f aca="false">IF(ISNUMBER(C7421),YEAR(C7421),"")</f>
        <v/>
      </c>
      <c r="W7421" s="23" t="str">
        <f aca="false">IF(ISNUMBER(C7421),MONTH(C7421),"")</f>
        <v/>
      </c>
      <c r="X7421" s="23" t="str">
        <f aca="false">IF(T7421="","",IF(T7421=0,"No discount",IF(T7421&lt;=0.2,"Low (1-20%)",IF(T7421&lt;=0.4,"Medium (21-40%)","High (&gt;40%)"))))</f>
        <v/>
      </c>
      <c r="Y7421" s="23" t="str">
        <f aca="false">IF(AND(ISNUMBER(C7421),ISNUMBER(D7421)),D7421-C7421,"")</f>
        <v/>
      </c>
      <c r="Z7421" s="23" t="str">
        <f aca="false">IF(B7421="","",IF(MATCH(B7421,$B$2:$B$12000,0)=ROW()-1,1,0))</f>
        <v/>
      </c>
    </row>
    <row r="7422" customFormat="false" ht="15" hidden="false" customHeight="false" outlineLevel="0" collapsed="false">
      <c r="V7422" s="23" t="str">
        <f aca="false">IF(ISNUMBER(C7422),YEAR(C7422),"")</f>
        <v/>
      </c>
      <c r="W7422" s="23" t="str">
        <f aca="false">IF(ISNUMBER(C7422),MONTH(C7422),"")</f>
        <v/>
      </c>
      <c r="X7422" s="23" t="str">
        <f aca="false">IF(T7422="","",IF(T7422=0,"No discount",IF(T7422&lt;=0.2,"Low (1-20%)",IF(T7422&lt;=0.4,"Medium (21-40%)","High (&gt;40%)"))))</f>
        <v/>
      </c>
      <c r="Y7422" s="23" t="str">
        <f aca="false">IF(AND(ISNUMBER(C7422),ISNUMBER(D7422)),D7422-C7422,"")</f>
        <v/>
      </c>
      <c r="Z7422" s="23" t="str">
        <f aca="false">IF(B7422="","",IF(MATCH(B7422,$B$2:$B$12000,0)=ROW()-1,1,0))</f>
        <v/>
      </c>
    </row>
    <row r="7423" customFormat="false" ht="15" hidden="false" customHeight="false" outlineLevel="0" collapsed="false">
      <c r="V7423" s="23" t="str">
        <f aca="false">IF(ISNUMBER(C7423),YEAR(C7423),"")</f>
        <v/>
      </c>
      <c r="W7423" s="23" t="str">
        <f aca="false">IF(ISNUMBER(C7423),MONTH(C7423),"")</f>
        <v/>
      </c>
      <c r="X7423" s="23" t="str">
        <f aca="false">IF(T7423="","",IF(T7423=0,"No discount",IF(T7423&lt;=0.2,"Low (1-20%)",IF(T7423&lt;=0.4,"Medium (21-40%)","High (&gt;40%)"))))</f>
        <v/>
      </c>
      <c r="Y7423" s="23" t="str">
        <f aca="false">IF(AND(ISNUMBER(C7423),ISNUMBER(D7423)),D7423-C7423,"")</f>
        <v/>
      </c>
      <c r="Z7423" s="23" t="str">
        <f aca="false">IF(B7423="","",IF(MATCH(B7423,$B$2:$B$12000,0)=ROW()-1,1,0))</f>
        <v/>
      </c>
    </row>
    <row r="7424" customFormat="false" ht="15" hidden="false" customHeight="false" outlineLevel="0" collapsed="false">
      <c r="V7424" s="23" t="str">
        <f aca="false">IF(ISNUMBER(C7424),YEAR(C7424),"")</f>
        <v/>
      </c>
      <c r="W7424" s="23" t="str">
        <f aca="false">IF(ISNUMBER(C7424),MONTH(C7424),"")</f>
        <v/>
      </c>
      <c r="X7424" s="23" t="str">
        <f aca="false">IF(T7424="","",IF(T7424=0,"No discount",IF(T7424&lt;=0.2,"Low (1-20%)",IF(T7424&lt;=0.4,"Medium (21-40%)","High (&gt;40%)"))))</f>
        <v/>
      </c>
      <c r="Y7424" s="23" t="str">
        <f aca="false">IF(AND(ISNUMBER(C7424),ISNUMBER(D7424)),D7424-C7424,"")</f>
        <v/>
      </c>
      <c r="Z7424" s="23" t="str">
        <f aca="false">IF(B7424="","",IF(MATCH(B7424,$B$2:$B$12000,0)=ROW()-1,1,0))</f>
        <v/>
      </c>
    </row>
    <row r="7425" customFormat="false" ht="15" hidden="false" customHeight="false" outlineLevel="0" collapsed="false">
      <c r="V7425" s="23" t="str">
        <f aca="false">IF(ISNUMBER(C7425),YEAR(C7425),"")</f>
        <v/>
      </c>
      <c r="W7425" s="23" t="str">
        <f aca="false">IF(ISNUMBER(C7425),MONTH(C7425),"")</f>
        <v/>
      </c>
      <c r="X7425" s="23" t="str">
        <f aca="false">IF(T7425="","",IF(T7425=0,"No discount",IF(T7425&lt;=0.2,"Low (1-20%)",IF(T7425&lt;=0.4,"Medium (21-40%)","High (&gt;40%)"))))</f>
        <v/>
      </c>
      <c r="Y7425" s="23" t="str">
        <f aca="false">IF(AND(ISNUMBER(C7425),ISNUMBER(D7425)),D7425-C7425,"")</f>
        <v/>
      </c>
      <c r="Z7425" s="23" t="str">
        <f aca="false">IF(B7425="","",IF(MATCH(B7425,$B$2:$B$12000,0)=ROW()-1,1,0))</f>
        <v/>
      </c>
    </row>
    <row r="7426" customFormat="false" ht="15" hidden="false" customHeight="false" outlineLevel="0" collapsed="false">
      <c r="V7426" s="23" t="str">
        <f aca="false">IF(ISNUMBER(C7426),YEAR(C7426),"")</f>
        <v/>
      </c>
      <c r="W7426" s="23" t="str">
        <f aca="false">IF(ISNUMBER(C7426),MONTH(C7426),"")</f>
        <v/>
      </c>
      <c r="X7426" s="23" t="str">
        <f aca="false">IF(T7426="","",IF(T7426=0,"No discount",IF(T7426&lt;=0.2,"Low (1-20%)",IF(T7426&lt;=0.4,"Medium (21-40%)","High (&gt;40%)"))))</f>
        <v/>
      </c>
      <c r="Y7426" s="23" t="str">
        <f aca="false">IF(AND(ISNUMBER(C7426),ISNUMBER(D7426)),D7426-C7426,"")</f>
        <v/>
      </c>
      <c r="Z7426" s="23" t="str">
        <f aca="false">IF(B7426="","",IF(MATCH(B7426,$B$2:$B$12000,0)=ROW()-1,1,0))</f>
        <v/>
      </c>
    </row>
    <row r="7427" customFormat="false" ht="15" hidden="false" customHeight="false" outlineLevel="0" collapsed="false">
      <c r="V7427" s="23" t="str">
        <f aca="false">IF(ISNUMBER(C7427),YEAR(C7427),"")</f>
        <v/>
      </c>
      <c r="W7427" s="23" t="str">
        <f aca="false">IF(ISNUMBER(C7427),MONTH(C7427),"")</f>
        <v/>
      </c>
      <c r="X7427" s="23" t="str">
        <f aca="false">IF(T7427="","",IF(T7427=0,"No discount",IF(T7427&lt;=0.2,"Low (1-20%)",IF(T7427&lt;=0.4,"Medium (21-40%)","High (&gt;40%)"))))</f>
        <v/>
      </c>
      <c r="Y7427" s="23" t="str">
        <f aca="false">IF(AND(ISNUMBER(C7427),ISNUMBER(D7427)),D7427-C7427,"")</f>
        <v/>
      </c>
      <c r="Z7427" s="23" t="str">
        <f aca="false">IF(B7427="","",IF(MATCH(B7427,$B$2:$B$12000,0)=ROW()-1,1,0))</f>
        <v/>
      </c>
    </row>
    <row r="7428" customFormat="false" ht="15" hidden="false" customHeight="false" outlineLevel="0" collapsed="false">
      <c r="V7428" s="23" t="str">
        <f aca="false">IF(ISNUMBER(C7428),YEAR(C7428),"")</f>
        <v/>
      </c>
      <c r="W7428" s="23" t="str">
        <f aca="false">IF(ISNUMBER(C7428),MONTH(C7428),"")</f>
        <v/>
      </c>
      <c r="X7428" s="23" t="str">
        <f aca="false">IF(T7428="","",IF(T7428=0,"No discount",IF(T7428&lt;=0.2,"Low (1-20%)",IF(T7428&lt;=0.4,"Medium (21-40%)","High (&gt;40%)"))))</f>
        <v/>
      </c>
      <c r="Y7428" s="23" t="str">
        <f aca="false">IF(AND(ISNUMBER(C7428),ISNUMBER(D7428)),D7428-C7428,"")</f>
        <v/>
      </c>
      <c r="Z7428" s="23" t="str">
        <f aca="false">IF(B7428="","",IF(MATCH(B7428,$B$2:$B$12000,0)=ROW()-1,1,0))</f>
        <v/>
      </c>
    </row>
    <row r="7429" customFormat="false" ht="15" hidden="false" customHeight="false" outlineLevel="0" collapsed="false">
      <c r="V7429" s="23" t="str">
        <f aca="false">IF(ISNUMBER(C7429),YEAR(C7429),"")</f>
        <v/>
      </c>
      <c r="W7429" s="23" t="str">
        <f aca="false">IF(ISNUMBER(C7429),MONTH(C7429),"")</f>
        <v/>
      </c>
      <c r="X7429" s="23" t="str">
        <f aca="false">IF(T7429="","",IF(T7429=0,"No discount",IF(T7429&lt;=0.2,"Low (1-20%)",IF(T7429&lt;=0.4,"Medium (21-40%)","High (&gt;40%)"))))</f>
        <v/>
      </c>
      <c r="Y7429" s="23" t="str">
        <f aca="false">IF(AND(ISNUMBER(C7429),ISNUMBER(D7429)),D7429-C7429,"")</f>
        <v/>
      </c>
      <c r="Z7429" s="23" t="str">
        <f aca="false">IF(B7429="","",IF(MATCH(B7429,$B$2:$B$12000,0)=ROW()-1,1,0))</f>
        <v/>
      </c>
    </row>
    <row r="7430" customFormat="false" ht="15" hidden="false" customHeight="false" outlineLevel="0" collapsed="false">
      <c r="V7430" s="23" t="str">
        <f aca="false">IF(ISNUMBER(C7430),YEAR(C7430),"")</f>
        <v/>
      </c>
      <c r="W7430" s="23" t="str">
        <f aca="false">IF(ISNUMBER(C7430),MONTH(C7430),"")</f>
        <v/>
      </c>
      <c r="X7430" s="23" t="str">
        <f aca="false">IF(T7430="","",IF(T7430=0,"No discount",IF(T7430&lt;=0.2,"Low (1-20%)",IF(T7430&lt;=0.4,"Medium (21-40%)","High (&gt;40%)"))))</f>
        <v/>
      </c>
      <c r="Y7430" s="23" t="str">
        <f aca="false">IF(AND(ISNUMBER(C7430),ISNUMBER(D7430)),D7430-C7430,"")</f>
        <v/>
      </c>
      <c r="Z7430" s="23" t="str">
        <f aca="false">IF(B7430="","",IF(MATCH(B7430,$B$2:$B$12000,0)=ROW()-1,1,0))</f>
        <v/>
      </c>
    </row>
    <row r="7431" customFormat="false" ht="15" hidden="false" customHeight="false" outlineLevel="0" collapsed="false">
      <c r="V7431" s="23" t="str">
        <f aca="false">IF(ISNUMBER(C7431),YEAR(C7431),"")</f>
        <v/>
      </c>
      <c r="W7431" s="23" t="str">
        <f aca="false">IF(ISNUMBER(C7431),MONTH(C7431),"")</f>
        <v/>
      </c>
      <c r="X7431" s="23" t="str">
        <f aca="false">IF(T7431="","",IF(T7431=0,"No discount",IF(T7431&lt;=0.2,"Low (1-20%)",IF(T7431&lt;=0.4,"Medium (21-40%)","High (&gt;40%)"))))</f>
        <v/>
      </c>
      <c r="Y7431" s="23" t="str">
        <f aca="false">IF(AND(ISNUMBER(C7431),ISNUMBER(D7431)),D7431-C7431,"")</f>
        <v/>
      </c>
      <c r="Z7431" s="23" t="str">
        <f aca="false">IF(B7431="","",IF(MATCH(B7431,$B$2:$B$12000,0)=ROW()-1,1,0))</f>
        <v/>
      </c>
    </row>
    <row r="7432" customFormat="false" ht="15" hidden="false" customHeight="false" outlineLevel="0" collapsed="false">
      <c r="V7432" s="23" t="str">
        <f aca="false">IF(ISNUMBER(C7432),YEAR(C7432),"")</f>
        <v/>
      </c>
      <c r="W7432" s="23" t="str">
        <f aca="false">IF(ISNUMBER(C7432),MONTH(C7432),"")</f>
        <v/>
      </c>
      <c r="X7432" s="23" t="str">
        <f aca="false">IF(T7432="","",IF(T7432=0,"No discount",IF(T7432&lt;=0.2,"Low (1-20%)",IF(T7432&lt;=0.4,"Medium (21-40%)","High (&gt;40%)"))))</f>
        <v/>
      </c>
      <c r="Y7432" s="23" t="str">
        <f aca="false">IF(AND(ISNUMBER(C7432),ISNUMBER(D7432)),D7432-C7432,"")</f>
        <v/>
      </c>
      <c r="Z7432" s="23" t="str">
        <f aca="false">IF(B7432="","",IF(MATCH(B7432,$B$2:$B$12000,0)=ROW()-1,1,0))</f>
        <v/>
      </c>
    </row>
    <row r="7433" customFormat="false" ht="15" hidden="false" customHeight="false" outlineLevel="0" collapsed="false">
      <c r="V7433" s="23" t="str">
        <f aca="false">IF(ISNUMBER(C7433),YEAR(C7433),"")</f>
        <v/>
      </c>
      <c r="W7433" s="23" t="str">
        <f aca="false">IF(ISNUMBER(C7433),MONTH(C7433),"")</f>
        <v/>
      </c>
      <c r="X7433" s="23" t="str">
        <f aca="false">IF(T7433="","",IF(T7433=0,"No discount",IF(T7433&lt;=0.2,"Low (1-20%)",IF(T7433&lt;=0.4,"Medium (21-40%)","High (&gt;40%)"))))</f>
        <v/>
      </c>
      <c r="Y7433" s="23" t="str">
        <f aca="false">IF(AND(ISNUMBER(C7433),ISNUMBER(D7433)),D7433-C7433,"")</f>
        <v/>
      </c>
      <c r="Z7433" s="23" t="str">
        <f aca="false">IF(B7433="","",IF(MATCH(B7433,$B$2:$B$12000,0)=ROW()-1,1,0))</f>
        <v/>
      </c>
    </row>
    <row r="7434" customFormat="false" ht="15" hidden="false" customHeight="false" outlineLevel="0" collapsed="false">
      <c r="V7434" s="23" t="str">
        <f aca="false">IF(ISNUMBER(C7434),YEAR(C7434),"")</f>
        <v/>
      </c>
      <c r="W7434" s="23" t="str">
        <f aca="false">IF(ISNUMBER(C7434),MONTH(C7434),"")</f>
        <v/>
      </c>
      <c r="X7434" s="23" t="str">
        <f aca="false">IF(T7434="","",IF(T7434=0,"No discount",IF(T7434&lt;=0.2,"Low (1-20%)",IF(T7434&lt;=0.4,"Medium (21-40%)","High (&gt;40%)"))))</f>
        <v/>
      </c>
      <c r="Y7434" s="23" t="str">
        <f aca="false">IF(AND(ISNUMBER(C7434),ISNUMBER(D7434)),D7434-C7434,"")</f>
        <v/>
      </c>
      <c r="Z7434" s="23" t="str">
        <f aca="false">IF(B7434="","",IF(MATCH(B7434,$B$2:$B$12000,0)=ROW()-1,1,0))</f>
        <v/>
      </c>
    </row>
    <row r="7435" customFormat="false" ht="15" hidden="false" customHeight="false" outlineLevel="0" collapsed="false">
      <c r="V7435" s="23" t="str">
        <f aca="false">IF(ISNUMBER(C7435),YEAR(C7435),"")</f>
        <v/>
      </c>
      <c r="W7435" s="23" t="str">
        <f aca="false">IF(ISNUMBER(C7435),MONTH(C7435),"")</f>
        <v/>
      </c>
      <c r="X7435" s="23" t="str">
        <f aca="false">IF(T7435="","",IF(T7435=0,"No discount",IF(T7435&lt;=0.2,"Low (1-20%)",IF(T7435&lt;=0.4,"Medium (21-40%)","High (&gt;40%)"))))</f>
        <v/>
      </c>
      <c r="Y7435" s="23" t="str">
        <f aca="false">IF(AND(ISNUMBER(C7435),ISNUMBER(D7435)),D7435-C7435,"")</f>
        <v/>
      </c>
      <c r="Z7435" s="23" t="str">
        <f aca="false">IF(B7435="","",IF(MATCH(B7435,$B$2:$B$12000,0)=ROW()-1,1,0))</f>
        <v/>
      </c>
    </row>
    <row r="7436" customFormat="false" ht="15" hidden="false" customHeight="false" outlineLevel="0" collapsed="false">
      <c r="V7436" s="23" t="str">
        <f aca="false">IF(ISNUMBER(C7436),YEAR(C7436),"")</f>
        <v/>
      </c>
      <c r="W7436" s="23" t="str">
        <f aca="false">IF(ISNUMBER(C7436),MONTH(C7436),"")</f>
        <v/>
      </c>
      <c r="X7436" s="23" t="str">
        <f aca="false">IF(T7436="","",IF(T7436=0,"No discount",IF(T7436&lt;=0.2,"Low (1-20%)",IF(T7436&lt;=0.4,"Medium (21-40%)","High (&gt;40%)"))))</f>
        <v/>
      </c>
      <c r="Y7436" s="23" t="str">
        <f aca="false">IF(AND(ISNUMBER(C7436),ISNUMBER(D7436)),D7436-C7436,"")</f>
        <v/>
      </c>
      <c r="Z7436" s="23" t="str">
        <f aca="false">IF(B7436="","",IF(MATCH(B7436,$B$2:$B$12000,0)=ROW()-1,1,0))</f>
        <v/>
      </c>
    </row>
    <row r="7437" customFormat="false" ht="15" hidden="false" customHeight="false" outlineLevel="0" collapsed="false">
      <c r="V7437" s="23" t="str">
        <f aca="false">IF(ISNUMBER(C7437),YEAR(C7437),"")</f>
        <v/>
      </c>
      <c r="W7437" s="23" t="str">
        <f aca="false">IF(ISNUMBER(C7437),MONTH(C7437),"")</f>
        <v/>
      </c>
      <c r="X7437" s="23" t="str">
        <f aca="false">IF(T7437="","",IF(T7437=0,"No discount",IF(T7437&lt;=0.2,"Low (1-20%)",IF(T7437&lt;=0.4,"Medium (21-40%)","High (&gt;40%)"))))</f>
        <v/>
      </c>
      <c r="Y7437" s="23" t="str">
        <f aca="false">IF(AND(ISNUMBER(C7437),ISNUMBER(D7437)),D7437-C7437,"")</f>
        <v/>
      </c>
      <c r="Z7437" s="23" t="str">
        <f aca="false">IF(B7437="","",IF(MATCH(B7437,$B$2:$B$12000,0)=ROW()-1,1,0))</f>
        <v/>
      </c>
    </row>
    <row r="7438" customFormat="false" ht="15" hidden="false" customHeight="false" outlineLevel="0" collapsed="false">
      <c r="V7438" s="23" t="str">
        <f aca="false">IF(ISNUMBER(C7438),YEAR(C7438),"")</f>
        <v/>
      </c>
      <c r="W7438" s="23" t="str">
        <f aca="false">IF(ISNUMBER(C7438),MONTH(C7438),"")</f>
        <v/>
      </c>
      <c r="X7438" s="23" t="str">
        <f aca="false">IF(T7438="","",IF(T7438=0,"No discount",IF(T7438&lt;=0.2,"Low (1-20%)",IF(T7438&lt;=0.4,"Medium (21-40%)","High (&gt;40%)"))))</f>
        <v/>
      </c>
      <c r="Y7438" s="23" t="str">
        <f aca="false">IF(AND(ISNUMBER(C7438),ISNUMBER(D7438)),D7438-C7438,"")</f>
        <v/>
      </c>
      <c r="Z7438" s="23" t="str">
        <f aca="false">IF(B7438="","",IF(MATCH(B7438,$B$2:$B$12000,0)=ROW()-1,1,0))</f>
        <v/>
      </c>
    </row>
    <row r="7439" customFormat="false" ht="15" hidden="false" customHeight="false" outlineLevel="0" collapsed="false">
      <c r="V7439" s="23" t="str">
        <f aca="false">IF(ISNUMBER(C7439),YEAR(C7439),"")</f>
        <v/>
      </c>
      <c r="W7439" s="23" t="str">
        <f aca="false">IF(ISNUMBER(C7439),MONTH(C7439),"")</f>
        <v/>
      </c>
      <c r="X7439" s="23" t="str">
        <f aca="false">IF(T7439="","",IF(T7439=0,"No discount",IF(T7439&lt;=0.2,"Low (1-20%)",IF(T7439&lt;=0.4,"Medium (21-40%)","High (&gt;40%)"))))</f>
        <v/>
      </c>
      <c r="Y7439" s="23" t="str">
        <f aca="false">IF(AND(ISNUMBER(C7439),ISNUMBER(D7439)),D7439-C7439,"")</f>
        <v/>
      </c>
      <c r="Z7439" s="23" t="str">
        <f aca="false">IF(B7439="","",IF(MATCH(B7439,$B$2:$B$12000,0)=ROW()-1,1,0))</f>
        <v/>
      </c>
    </row>
    <row r="7440" customFormat="false" ht="15" hidden="false" customHeight="false" outlineLevel="0" collapsed="false">
      <c r="V7440" s="23" t="str">
        <f aca="false">IF(ISNUMBER(C7440),YEAR(C7440),"")</f>
        <v/>
      </c>
      <c r="W7440" s="23" t="str">
        <f aca="false">IF(ISNUMBER(C7440),MONTH(C7440),"")</f>
        <v/>
      </c>
      <c r="X7440" s="23" t="str">
        <f aca="false">IF(T7440="","",IF(T7440=0,"No discount",IF(T7440&lt;=0.2,"Low (1-20%)",IF(T7440&lt;=0.4,"Medium (21-40%)","High (&gt;40%)"))))</f>
        <v/>
      </c>
      <c r="Y7440" s="23" t="str">
        <f aca="false">IF(AND(ISNUMBER(C7440),ISNUMBER(D7440)),D7440-C7440,"")</f>
        <v/>
      </c>
      <c r="Z7440" s="23" t="str">
        <f aca="false">IF(B7440="","",IF(MATCH(B7440,$B$2:$B$12000,0)=ROW()-1,1,0))</f>
        <v/>
      </c>
    </row>
    <row r="7441" customFormat="false" ht="15" hidden="false" customHeight="false" outlineLevel="0" collapsed="false">
      <c r="V7441" s="23" t="str">
        <f aca="false">IF(ISNUMBER(C7441),YEAR(C7441),"")</f>
        <v/>
      </c>
      <c r="W7441" s="23" t="str">
        <f aca="false">IF(ISNUMBER(C7441),MONTH(C7441),"")</f>
        <v/>
      </c>
      <c r="X7441" s="23" t="str">
        <f aca="false">IF(T7441="","",IF(T7441=0,"No discount",IF(T7441&lt;=0.2,"Low (1-20%)",IF(T7441&lt;=0.4,"Medium (21-40%)","High (&gt;40%)"))))</f>
        <v/>
      </c>
      <c r="Y7441" s="23" t="str">
        <f aca="false">IF(AND(ISNUMBER(C7441),ISNUMBER(D7441)),D7441-C7441,"")</f>
        <v/>
      </c>
      <c r="Z7441" s="23" t="str">
        <f aca="false">IF(B7441="","",IF(MATCH(B7441,$B$2:$B$12000,0)=ROW()-1,1,0))</f>
        <v/>
      </c>
    </row>
    <row r="7442" customFormat="false" ht="15" hidden="false" customHeight="false" outlineLevel="0" collapsed="false">
      <c r="V7442" s="23" t="str">
        <f aca="false">IF(ISNUMBER(C7442),YEAR(C7442),"")</f>
        <v/>
      </c>
      <c r="W7442" s="23" t="str">
        <f aca="false">IF(ISNUMBER(C7442),MONTH(C7442),"")</f>
        <v/>
      </c>
      <c r="X7442" s="23" t="str">
        <f aca="false">IF(T7442="","",IF(T7442=0,"No discount",IF(T7442&lt;=0.2,"Low (1-20%)",IF(T7442&lt;=0.4,"Medium (21-40%)","High (&gt;40%)"))))</f>
        <v/>
      </c>
      <c r="Y7442" s="23" t="str">
        <f aca="false">IF(AND(ISNUMBER(C7442),ISNUMBER(D7442)),D7442-C7442,"")</f>
        <v/>
      </c>
      <c r="Z7442" s="23" t="str">
        <f aca="false">IF(B7442="","",IF(MATCH(B7442,$B$2:$B$12000,0)=ROW()-1,1,0))</f>
        <v/>
      </c>
    </row>
    <row r="7443" customFormat="false" ht="15" hidden="false" customHeight="false" outlineLevel="0" collapsed="false">
      <c r="V7443" s="23" t="str">
        <f aca="false">IF(ISNUMBER(C7443),YEAR(C7443),"")</f>
        <v/>
      </c>
      <c r="W7443" s="23" t="str">
        <f aca="false">IF(ISNUMBER(C7443),MONTH(C7443),"")</f>
        <v/>
      </c>
      <c r="X7443" s="23" t="str">
        <f aca="false">IF(T7443="","",IF(T7443=0,"No discount",IF(T7443&lt;=0.2,"Low (1-20%)",IF(T7443&lt;=0.4,"Medium (21-40%)","High (&gt;40%)"))))</f>
        <v/>
      </c>
      <c r="Y7443" s="23" t="str">
        <f aca="false">IF(AND(ISNUMBER(C7443),ISNUMBER(D7443)),D7443-C7443,"")</f>
        <v/>
      </c>
      <c r="Z7443" s="23" t="str">
        <f aca="false">IF(B7443="","",IF(MATCH(B7443,$B$2:$B$12000,0)=ROW()-1,1,0))</f>
        <v/>
      </c>
    </row>
    <row r="7444" customFormat="false" ht="15" hidden="false" customHeight="false" outlineLevel="0" collapsed="false">
      <c r="V7444" s="23" t="str">
        <f aca="false">IF(ISNUMBER(C7444),YEAR(C7444),"")</f>
        <v/>
      </c>
      <c r="W7444" s="23" t="str">
        <f aca="false">IF(ISNUMBER(C7444),MONTH(C7444),"")</f>
        <v/>
      </c>
      <c r="X7444" s="23" t="str">
        <f aca="false">IF(T7444="","",IF(T7444=0,"No discount",IF(T7444&lt;=0.2,"Low (1-20%)",IF(T7444&lt;=0.4,"Medium (21-40%)","High (&gt;40%)"))))</f>
        <v/>
      </c>
      <c r="Y7444" s="23" t="str">
        <f aca="false">IF(AND(ISNUMBER(C7444),ISNUMBER(D7444)),D7444-C7444,"")</f>
        <v/>
      </c>
      <c r="Z7444" s="23" t="str">
        <f aca="false">IF(B7444="","",IF(MATCH(B7444,$B$2:$B$12000,0)=ROW()-1,1,0))</f>
        <v/>
      </c>
    </row>
    <row r="7445" customFormat="false" ht="15" hidden="false" customHeight="false" outlineLevel="0" collapsed="false">
      <c r="V7445" s="23" t="str">
        <f aca="false">IF(ISNUMBER(C7445),YEAR(C7445),"")</f>
        <v/>
      </c>
      <c r="W7445" s="23" t="str">
        <f aca="false">IF(ISNUMBER(C7445),MONTH(C7445),"")</f>
        <v/>
      </c>
      <c r="X7445" s="23" t="str">
        <f aca="false">IF(T7445="","",IF(T7445=0,"No discount",IF(T7445&lt;=0.2,"Low (1-20%)",IF(T7445&lt;=0.4,"Medium (21-40%)","High (&gt;40%)"))))</f>
        <v/>
      </c>
      <c r="Y7445" s="23" t="str">
        <f aca="false">IF(AND(ISNUMBER(C7445),ISNUMBER(D7445)),D7445-C7445,"")</f>
        <v/>
      </c>
      <c r="Z7445" s="23" t="str">
        <f aca="false">IF(B7445="","",IF(MATCH(B7445,$B$2:$B$12000,0)=ROW()-1,1,0))</f>
        <v/>
      </c>
    </row>
    <row r="7446" customFormat="false" ht="15" hidden="false" customHeight="false" outlineLevel="0" collapsed="false">
      <c r="V7446" s="23" t="str">
        <f aca="false">IF(ISNUMBER(C7446),YEAR(C7446),"")</f>
        <v/>
      </c>
      <c r="W7446" s="23" t="str">
        <f aca="false">IF(ISNUMBER(C7446),MONTH(C7446),"")</f>
        <v/>
      </c>
      <c r="X7446" s="23" t="str">
        <f aca="false">IF(T7446="","",IF(T7446=0,"No discount",IF(T7446&lt;=0.2,"Low (1-20%)",IF(T7446&lt;=0.4,"Medium (21-40%)","High (&gt;40%)"))))</f>
        <v/>
      </c>
      <c r="Y7446" s="23" t="str">
        <f aca="false">IF(AND(ISNUMBER(C7446),ISNUMBER(D7446)),D7446-C7446,"")</f>
        <v/>
      </c>
      <c r="Z7446" s="23" t="str">
        <f aca="false">IF(B7446="","",IF(MATCH(B7446,$B$2:$B$12000,0)=ROW()-1,1,0))</f>
        <v/>
      </c>
    </row>
    <row r="7447" customFormat="false" ht="15" hidden="false" customHeight="false" outlineLevel="0" collapsed="false">
      <c r="V7447" s="23" t="str">
        <f aca="false">IF(ISNUMBER(C7447),YEAR(C7447),"")</f>
        <v/>
      </c>
      <c r="W7447" s="23" t="str">
        <f aca="false">IF(ISNUMBER(C7447),MONTH(C7447),"")</f>
        <v/>
      </c>
      <c r="X7447" s="23" t="str">
        <f aca="false">IF(T7447="","",IF(T7447=0,"No discount",IF(T7447&lt;=0.2,"Low (1-20%)",IF(T7447&lt;=0.4,"Medium (21-40%)","High (&gt;40%)"))))</f>
        <v/>
      </c>
      <c r="Y7447" s="23" t="str">
        <f aca="false">IF(AND(ISNUMBER(C7447),ISNUMBER(D7447)),D7447-C7447,"")</f>
        <v/>
      </c>
      <c r="Z7447" s="23" t="str">
        <f aca="false">IF(B7447="","",IF(MATCH(B7447,$B$2:$B$12000,0)=ROW()-1,1,0))</f>
        <v/>
      </c>
    </row>
    <row r="7448" customFormat="false" ht="15" hidden="false" customHeight="false" outlineLevel="0" collapsed="false">
      <c r="V7448" s="23" t="str">
        <f aca="false">IF(ISNUMBER(C7448),YEAR(C7448),"")</f>
        <v/>
      </c>
      <c r="W7448" s="23" t="str">
        <f aca="false">IF(ISNUMBER(C7448),MONTH(C7448),"")</f>
        <v/>
      </c>
      <c r="X7448" s="23" t="str">
        <f aca="false">IF(T7448="","",IF(T7448=0,"No discount",IF(T7448&lt;=0.2,"Low (1-20%)",IF(T7448&lt;=0.4,"Medium (21-40%)","High (&gt;40%)"))))</f>
        <v/>
      </c>
      <c r="Y7448" s="23" t="str">
        <f aca="false">IF(AND(ISNUMBER(C7448),ISNUMBER(D7448)),D7448-C7448,"")</f>
        <v/>
      </c>
      <c r="Z7448" s="23" t="str">
        <f aca="false">IF(B7448="","",IF(MATCH(B7448,$B$2:$B$12000,0)=ROW()-1,1,0))</f>
        <v/>
      </c>
    </row>
    <row r="7449" customFormat="false" ht="15" hidden="false" customHeight="false" outlineLevel="0" collapsed="false">
      <c r="V7449" s="23" t="str">
        <f aca="false">IF(ISNUMBER(C7449),YEAR(C7449),"")</f>
        <v/>
      </c>
      <c r="W7449" s="23" t="str">
        <f aca="false">IF(ISNUMBER(C7449),MONTH(C7449),"")</f>
        <v/>
      </c>
      <c r="X7449" s="23" t="str">
        <f aca="false">IF(T7449="","",IF(T7449=0,"No discount",IF(T7449&lt;=0.2,"Low (1-20%)",IF(T7449&lt;=0.4,"Medium (21-40%)","High (&gt;40%)"))))</f>
        <v/>
      </c>
      <c r="Y7449" s="23" t="str">
        <f aca="false">IF(AND(ISNUMBER(C7449),ISNUMBER(D7449)),D7449-C7449,"")</f>
        <v/>
      </c>
      <c r="Z7449" s="23" t="str">
        <f aca="false">IF(B7449="","",IF(MATCH(B7449,$B$2:$B$12000,0)=ROW()-1,1,0))</f>
        <v/>
      </c>
    </row>
    <row r="7450" customFormat="false" ht="15" hidden="false" customHeight="false" outlineLevel="0" collapsed="false">
      <c r="V7450" s="23" t="str">
        <f aca="false">IF(ISNUMBER(C7450),YEAR(C7450),"")</f>
        <v/>
      </c>
      <c r="W7450" s="23" t="str">
        <f aca="false">IF(ISNUMBER(C7450),MONTH(C7450),"")</f>
        <v/>
      </c>
      <c r="X7450" s="23" t="str">
        <f aca="false">IF(T7450="","",IF(T7450=0,"No discount",IF(T7450&lt;=0.2,"Low (1-20%)",IF(T7450&lt;=0.4,"Medium (21-40%)","High (&gt;40%)"))))</f>
        <v/>
      </c>
      <c r="Y7450" s="23" t="str">
        <f aca="false">IF(AND(ISNUMBER(C7450),ISNUMBER(D7450)),D7450-C7450,"")</f>
        <v/>
      </c>
      <c r="Z7450" s="23" t="str">
        <f aca="false">IF(B7450="","",IF(MATCH(B7450,$B$2:$B$12000,0)=ROW()-1,1,0))</f>
        <v/>
      </c>
    </row>
    <row r="7451" customFormat="false" ht="15" hidden="false" customHeight="false" outlineLevel="0" collapsed="false">
      <c r="V7451" s="23" t="str">
        <f aca="false">IF(ISNUMBER(C7451),YEAR(C7451),"")</f>
        <v/>
      </c>
      <c r="W7451" s="23" t="str">
        <f aca="false">IF(ISNUMBER(C7451),MONTH(C7451),"")</f>
        <v/>
      </c>
      <c r="X7451" s="23" t="str">
        <f aca="false">IF(T7451="","",IF(T7451=0,"No discount",IF(T7451&lt;=0.2,"Low (1-20%)",IF(T7451&lt;=0.4,"Medium (21-40%)","High (&gt;40%)"))))</f>
        <v/>
      </c>
      <c r="Y7451" s="23" t="str">
        <f aca="false">IF(AND(ISNUMBER(C7451),ISNUMBER(D7451)),D7451-C7451,"")</f>
        <v/>
      </c>
      <c r="Z7451" s="23" t="str">
        <f aca="false">IF(B7451="","",IF(MATCH(B7451,$B$2:$B$12000,0)=ROW()-1,1,0))</f>
        <v/>
      </c>
    </row>
    <row r="7452" customFormat="false" ht="15" hidden="false" customHeight="false" outlineLevel="0" collapsed="false">
      <c r="V7452" s="23" t="str">
        <f aca="false">IF(ISNUMBER(C7452),YEAR(C7452),"")</f>
        <v/>
      </c>
      <c r="W7452" s="23" t="str">
        <f aca="false">IF(ISNUMBER(C7452),MONTH(C7452),"")</f>
        <v/>
      </c>
      <c r="X7452" s="23" t="str">
        <f aca="false">IF(T7452="","",IF(T7452=0,"No discount",IF(T7452&lt;=0.2,"Low (1-20%)",IF(T7452&lt;=0.4,"Medium (21-40%)","High (&gt;40%)"))))</f>
        <v/>
      </c>
      <c r="Y7452" s="23" t="str">
        <f aca="false">IF(AND(ISNUMBER(C7452),ISNUMBER(D7452)),D7452-C7452,"")</f>
        <v/>
      </c>
      <c r="Z7452" s="23" t="str">
        <f aca="false">IF(B7452="","",IF(MATCH(B7452,$B$2:$B$12000,0)=ROW()-1,1,0))</f>
        <v/>
      </c>
    </row>
    <row r="7453" customFormat="false" ht="15" hidden="false" customHeight="false" outlineLevel="0" collapsed="false">
      <c r="V7453" s="23" t="str">
        <f aca="false">IF(ISNUMBER(C7453),YEAR(C7453),"")</f>
        <v/>
      </c>
      <c r="W7453" s="23" t="str">
        <f aca="false">IF(ISNUMBER(C7453),MONTH(C7453),"")</f>
        <v/>
      </c>
      <c r="X7453" s="23" t="str">
        <f aca="false">IF(T7453="","",IF(T7453=0,"No discount",IF(T7453&lt;=0.2,"Low (1-20%)",IF(T7453&lt;=0.4,"Medium (21-40%)","High (&gt;40%)"))))</f>
        <v/>
      </c>
      <c r="Y7453" s="23" t="str">
        <f aca="false">IF(AND(ISNUMBER(C7453),ISNUMBER(D7453)),D7453-C7453,"")</f>
        <v/>
      </c>
      <c r="Z7453" s="23" t="str">
        <f aca="false">IF(B7453="","",IF(MATCH(B7453,$B$2:$B$12000,0)=ROW()-1,1,0))</f>
        <v/>
      </c>
    </row>
    <row r="7454" customFormat="false" ht="15" hidden="false" customHeight="false" outlineLevel="0" collapsed="false">
      <c r="V7454" s="23" t="str">
        <f aca="false">IF(ISNUMBER(C7454),YEAR(C7454),"")</f>
        <v/>
      </c>
      <c r="W7454" s="23" t="str">
        <f aca="false">IF(ISNUMBER(C7454),MONTH(C7454),"")</f>
        <v/>
      </c>
      <c r="X7454" s="23" t="str">
        <f aca="false">IF(T7454="","",IF(T7454=0,"No discount",IF(T7454&lt;=0.2,"Low (1-20%)",IF(T7454&lt;=0.4,"Medium (21-40%)","High (&gt;40%)"))))</f>
        <v/>
      </c>
      <c r="Y7454" s="23" t="str">
        <f aca="false">IF(AND(ISNUMBER(C7454),ISNUMBER(D7454)),D7454-C7454,"")</f>
        <v/>
      </c>
      <c r="Z7454" s="23" t="str">
        <f aca="false">IF(B7454="","",IF(MATCH(B7454,$B$2:$B$12000,0)=ROW()-1,1,0))</f>
        <v/>
      </c>
    </row>
    <row r="7455" customFormat="false" ht="15" hidden="false" customHeight="false" outlineLevel="0" collapsed="false">
      <c r="V7455" s="23" t="str">
        <f aca="false">IF(ISNUMBER(C7455),YEAR(C7455),"")</f>
        <v/>
      </c>
      <c r="W7455" s="23" t="str">
        <f aca="false">IF(ISNUMBER(C7455),MONTH(C7455),"")</f>
        <v/>
      </c>
      <c r="X7455" s="23" t="str">
        <f aca="false">IF(T7455="","",IF(T7455=0,"No discount",IF(T7455&lt;=0.2,"Low (1-20%)",IF(T7455&lt;=0.4,"Medium (21-40%)","High (&gt;40%)"))))</f>
        <v/>
      </c>
      <c r="Y7455" s="23" t="str">
        <f aca="false">IF(AND(ISNUMBER(C7455),ISNUMBER(D7455)),D7455-C7455,"")</f>
        <v/>
      </c>
      <c r="Z7455" s="23" t="str">
        <f aca="false">IF(B7455="","",IF(MATCH(B7455,$B$2:$B$12000,0)=ROW()-1,1,0))</f>
        <v/>
      </c>
    </row>
    <row r="7456" customFormat="false" ht="15" hidden="false" customHeight="false" outlineLevel="0" collapsed="false">
      <c r="V7456" s="23" t="str">
        <f aca="false">IF(ISNUMBER(C7456),YEAR(C7456),"")</f>
        <v/>
      </c>
      <c r="W7456" s="23" t="str">
        <f aca="false">IF(ISNUMBER(C7456),MONTH(C7456),"")</f>
        <v/>
      </c>
      <c r="X7456" s="23" t="str">
        <f aca="false">IF(T7456="","",IF(T7456=0,"No discount",IF(T7456&lt;=0.2,"Low (1-20%)",IF(T7456&lt;=0.4,"Medium (21-40%)","High (&gt;40%)"))))</f>
        <v/>
      </c>
      <c r="Y7456" s="23" t="str">
        <f aca="false">IF(AND(ISNUMBER(C7456),ISNUMBER(D7456)),D7456-C7456,"")</f>
        <v/>
      </c>
      <c r="Z7456" s="23" t="str">
        <f aca="false">IF(B7456="","",IF(MATCH(B7456,$B$2:$B$12000,0)=ROW()-1,1,0))</f>
        <v/>
      </c>
    </row>
    <row r="7457" customFormat="false" ht="15" hidden="false" customHeight="false" outlineLevel="0" collapsed="false">
      <c r="V7457" s="23" t="str">
        <f aca="false">IF(ISNUMBER(C7457),YEAR(C7457),"")</f>
        <v/>
      </c>
      <c r="W7457" s="23" t="str">
        <f aca="false">IF(ISNUMBER(C7457),MONTH(C7457),"")</f>
        <v/>
      </c>
      <c r="X7457" s="23" t="str">
        <f aca="false">IF(T7457="","",IF(T7457=0,"No discount",IF(T7457&lt;=0.2,"Low (1-20%)",IF(T7457&lt;=0.4,"Medium (21-40%)","High (&gt;40%)"))))</f>
        <v/>
      </c>
      <c r="Y7457" s="23" t="str">
        <f aca="false">IF(AND(ISNUMBER(C7457),ISNUMBER(D7457)),D7457-C7457,"")</f>
        <v/>
      </c>
      <c r="Z7457" s="23" t="str">
        <f aca="false">IF(B7457="","",IF(MATCH(B7457,$B$2:$B$12000,0)=ROW()-1,1,0))</f>
        <v/>
      </c>
    </row>
    <row r="7458" customFormat="false" ht="15" hidden="false" customHeight="false" outlineLevel="0" collapsed="false">
      <c r="V7458" s="23" t="str">
        <f aca="false">IF(ISNUMBER(C7458),YEAR(C7458),"")</f>
        <v/>
      </c>
      <c r="W7458" s="23" t="str">
        <f aca="false">IF(ISNUMBER(C7458),MONTH(C7458),"")</f>
        <v/>
      </c>
      <c r="X7458" s="23" t="str">
        <f aca="false">IF(T7458="","",IF(T7458=0,"No discount",IF(T7458&lt;=0.2,"Low (1-20%)",IF(T7458&lt;=0.4,"Medium (21-40%)","High (&gt;40%)"))))</f>
        <v/>
      </c>
      <c r="Y7458" s="23" t="str">
        <f aca="false">IF(AND(ISNUMBER(C7458),ISNUMBER(D7458)),D7458-C7458,"")</f>
        <v/>
      </c>
      <c r="Z7458" s="23" t="str">
        <f aca="false">IF(B7458="","",IF(MATCH(B7458,$B$2:$B$12000,0)=ROW()-1,1,0))</f>
        <v/>
      </c>
    </row>
    <row r="7459" customFormat="false" ht="15" hidden="false" customHeight="false" outlineLevel="0" collapsed="false">
      <c r="V7459" s="23" t="str">
        <f aca="false">IF(ISNUMBER(C7459),YEAR(C7459),"")</f>
        <v/>
      </c>
      <c r="W7459" s="23" t="str">
        <f aca="false">IF(ISNUMBER(C7459),MONTH(C7459),"")</f>
        <v/>
      </c>
      <c r="X7459" s="23" t="str">
        <f aca="false">IF(T7459="","",IF(T7459=0,"No discount",IF(T7459&lt;=0.2,"Low (1-20%)",IF(T7459&lt;=0.4,"Medium (21-40%)","High (&gt;40%)"))))</f>
        <v/>
      </c>
      <c r="Y7459" s="23" t="str">
        <f aca="false">IF(AND(ISNUMBER(C7459),ISNUMBER(D7459)),D7459-C7459,"")</f>
        <v/>
      </c>
      <c r="Z7459" s="23" t="str">
        <f aca="false">IF(B7459="","",IF(MATCH(B7459,$B$2:$B$12000,0)=ROW()-1,1,0))</f>
        <v/>
      </c>
    </row>
    <row r="7460" customFormat="false" ht="15" hidden="false" customHeight="false" outlineLevel="0" collapsed="false">
      <c r="V7460" s="23" t="str">
        <f aca="false">IF(ISNUMBER(C7460),YEAR(C7460),"")</f>
        <v/>
      </c>
      <c r="W7460" s="23" t="str">
        <f aca="false">IF(ISNUMBER(C7460),MONTH(C7460),"")</f>
        <v/>
      </c>
      <c r="X7460" s="23" t="str">
        <f aca="false">IF(T7460="","",IF(T7460=0,"No discount",IF(T7460&lt;=0.2,"Low (1-20%)",IF(T7460&lt;=0.4,"Medium (21-40%)","High (&gt;40%)"))))</f>
        <v/>
      </c>
      <c r="Y7460" s="23" t="str">
        <f aca="false">IF(AND(ISNUMBER(C7460),ISNUMBER(D7460)),D7460-C7460,"")</f>
        <v/>
      </c>
      <c r="Z7460" s="23" t="str">
        <f aca="false">IF(B7460="","",IF(MATCH(B7460,$B$2:$B$12000,0)=ROW()-1,1,0))</f>
        <v/>
      </c>
    </row>
    <row r="7461" customFormat="false" ht="15" hidden="false" customHeight="false" outlineLevel="0" collapsed="false">
      <c r="V7461" s="23" t="str">
        <f aca="false">IF(ISNUMBER(C7461),YEAR(C7461),"")</f>
        <v/>
      </c>
      <c r="W7461" s="23" t="str">
        <f aca="false">IF(ISNUMBER(C7461),MONTH(C7461),"")</f>
        <v/>
      </c>
      <c r="X7461" s="23" t="str">
        <f aca="false">IF(T7461="","",IF(T7461=0,"No discount",IF(T7461&lt;=0.2,"Low (1-20%)",IF(T7461&lt;=0.4,"Medium (21-40%)","High (&gt;40%)"))))</f>
        <v/>
      </c>
      <c r="Y7461" s="23" t="str">
        <f aca="false">IF(AND(ISNUMBER(C7461),ISNUMBER(D7461)),D7461-C7461,"")</f>
        <v/>
      </c>
      <c r="Z7461" s="23" t="str">
        <f aca="false">IF(B7461="","",IF(MATCH(B7461,$B$2:$B$12000,0)=ROW()-1,1,0))</f>
        <v/>
      </c>
    </row>
    <row r="7462" customFormat="false" ht="15" hidden="false" customHeight="false" outlineLevel="0" collapsed="false">
      <c r="V7462" s="23" t="str">
        <f aca="false">IF(ISNUMBER(C7462),YEAR(C7462),"")</f>
        <v/>
      </c>
      <c r="W7462" s="23" t="str">
        <f aca="false">IF(ISNUMBER(C7462),MONTH(C7462),"")</f>
        <v/>
      </c>
      <c r="X7462" s="23" t="str">
        <f aca="false">IF(T7462="","",IF(T7462=0,"No discount",IF(T7462&lt;=0.2,"Low (1-20%)",IF(T7462&lt;=0.4,"Medium (21-40%)","High (&gt;40%)"))))</f>
        <v/>
      </c>
      <c r="Y7462" s="23" t="str">
        <f aca="false">IF(AND(ISNUMBER(C7462),ISNUMBER(D7462)),D7462-C7462,"")</f>
        <v/>
      </c>
      <c r="Z7462" s="23" t="str">
        <f aca="false">IF(B7462="","",IF(MATCH(B7462,$B$2:$B$12000,0)=ROW()-1,1,0))</f>
        <v/>
      </c>
    </row>
    <row r="7463" customFormat="false" ht="15" hidden="false" customHeight="false" outlineLevel="0" collapsed="false">
      <c r="V7463" s="23" t="str">
        <f aca="false">IF(ISNUMBER(C7463),YEAR(C7463),"")</f>
        <v/>
      </c>
      <c r="W7463" s="23" t="str">
        <f aca="false">IF(ISNUMBER(C7463),MONTH(C7463),"")</f>
        <v/>
      </c>
      <c r="X7463" s="23" t="str">
        <f aca="false">IF(T7463="","",IF(T7463=0,"No discount",IF(T7463&lt;=0.2,"Low (1-20%)",IF(T7463&lt;=0.4,"Medium (21-40%)","High (&gt;40%)"))))</f>
        <v/>
      </c>
      <c r="Y7463" s="23" t="str">
        <f aca="false">IF(AND(ISNUMBER(C7463),ISNUMBER(D7463)),D7463-C7463,"")</f>
        <v/>
      </c>
      <c r="Z7463" s="23" t="str">
        <f aca="false">IF(B7463="","",IF(MATCH(B7463,$B$2:$B$12000,0)=ROW()-1,1,0))</f>
        <v/>
      </c>
    </row>
    <row r="7464" customFormat="false" ht="15" hidden="false" customHeight="false" outlineLevel="0" collapsed="false">
      <c r="V7464" s="23" t="str">
        <f aca="false">IF(ISNUMBER(C7464),YEAR(C7464),"")</f>
        <v/>
      </c>
      <c r="W7464" s="23" t="str">
        <f aca="false">IF(ISNUMBER(C7464),MONTH(C7464),"")</f>
        <v/>
      </c>
      <c r="X7464" s="23" t="str">
        <f aca="false">IF(T7464="","",IF(T7464=0,"No discount",IF(T7464&lt;=0.2,"Low (1-20%)",IF(T7464&lt;=0.4,"Medium (21-40%)","High (&gt;40%)"))))</f>
        <v/>
      </c>
      <c r="Y7464" s="23" t="str">
        <f aca="false">IF(AND(ISNUMBER(C7464),ISNUMBER(D7464)),D7464-C7464,"")</f>
        <v/>
      </c>
      <c r="Z7464" s="23" t="str">
        <f aca="false">IF(B7464="","",IF(MATCH(B7464,$B$2:$B$12000,0)=ROW()-1,1,0))</f>
        <v/>
      </c>
    </row>
    <row r="7465" customFormat="false" ht="15" hidden="false" customHeight="false" outlineLevel="0" collapsed="false">
      <c r="V7465" s="23" t="str">
        <f aca="false">IF(ISNUMBER(C7465),YEAR(C7465),"")</f>
        <v/>
      </c>
      <c r="W7465" s="23" t="str">
        <f aca="false">IF(ISNUMBER(C7465),MONTH(C7465),"")</f>
        <v/>
      </c>
      <c r="X7465" s="23" t="str">
        <f aca="false">IF(T7465="","",IF(T7465=0,"No discount",IF(T7465&lt;=0.2,"Low (1-20%)",IF(T7465&lt;=0.4,"Medium (21-40%)","High (&gt;40%)"))))</f>
        <v/>
      </c>
      <c r="Y7465" s="23" t="str">
        <f aca="false">IF(AND(ISNUMBER(C7465),ISNUMBER(D7465)),D7465-C7465,"")</f>
        <v/>
      </c>
      <c r="Z7465" s="23" t="str">
        <f aca="false">IF(B7465="","",IF(MATCH(B7465,$B$2:$B$12000,0)=ROW()-1,1,0))</f>
        <v/>
      </c>
    </row>
    <row r="7466" customFormat="false" ht="15" hidden="false" customHeight="false" outlineLevel="0" collapsed="false">
      <c r="V7466" s="23" t="str">
        <f aca="false">IF(ISNUMBER(C7466),YEAR(C7466),"")</f>
        <v/>
      </c>
      <c r="W7466" s="23" t="str">
        <f aca="false">IF(ISNUMBER(C7466),MONTH(C7466),"")</f>
        <v/>
      </c>
      <c r="X7466" s="23" t="str">
        <f aca="false">IF(T7466="","",IF(T7466=0,"No discount",IF(T7466&lt;=0.2,"Low (1-20%)",IF(T7466&lt;=0.4,"Medium (21-40%)","High (&gt;40%)"))))</f>
        <v/>
      </c>
      <c r="Y7466" s="23" t="str">
        <f aca="false">IF(AND(ISNUMBER(C7466),ISNUMBER(D7466)),D7466-C7466,"")</f>
        <v/>
      </c>
      <c r="Z7466" s="23" t="str">
        <f aca="false">IF(B7466="","",IF(MATCH(B7466,$B$2:$B$12000,0)=ROW()-1,1,0))</f>
        <v/>
      </c>
    </row>
    <row r="7467" customFormat="false" ht="15" hidden="false" customHeight="false" outlineLevel="0" collapsed="false">
      <c r="V7467" s="23" t="str">
        <f aca="false">IF(ISNUMBER(C7467),YEAR(C7467),"")</f>
        <v/>
      </c>
      <c r="W7467" s="23" t="str">
        <f aca="false">IF(ISNUMBER(C7467),MONTH(C7467),"")</f>
        <v/>
      </c>
      <c r="X7467" s="23" t="str">
        <f aca="false">IF(T7467="","",IF(T7467=0,"No discount",IF(T7467&lt;=0.2,"Low (1-20%)",IF(T7467&lt;=0.4,"Medium (21-40%)","High (&gt;40%)"))))</f>
        <v/>
      </c>
      <c r="Y7467" s="23" t="str">
        <f aca="false">IF(AND(ISNUMBER(C7467),ISNUMBER(D7467)),D7467-C7467,"")</f>
        <v/>
      </c>
      <c r="Z7467" s="23" t="str">
        <f aca="false">IF(B7467="","",IF(MATCH(B7467,$B$2:$B$12000,0)=ROW()-1,1,0))</f>
        <v/>
      </c>
    </row>
    <row r="7468" customFormat="false" ht="15" hidden="false" customHeight="false" outlineLevel="0" collapsed="false">
      <c r="V7468" s="23" t="str">
        <f aca="false">IF(ISNUMBER(C7468),YEAR(C7468),"")</f>
        <v/>
      </c>
      <c r="W7468" s="23" t="str">
        <f aca="false">IF(ISNUMBER(C7468),MONTH(C7468),"")</f>
        <v/>
      </c>
      <c r="X7468" s="23" t="str">
        <f aca="false">IF(T7468="","",IF(T7468=0,"No discount",IF(T7468&lt;=0.2,"Low (1-20%)",IF(T7468&lt;=0.4,"Medium (21-40%)","High (&gt;40%)"))))</f>
        <v/>
      </c>
      <c r="Y7468" s="23" t="str">
        <f aca="false">IF(AND(ISNUMBER(C7468),ISNUMBER(D7468)),D7468-C7468,"")</f>
        <v/>
      </c>
      <c r="Z7468" s="23" t="str">
        <f aca="false">IF(B7468="","",IF(MATCH(B7468,$B$2:$B$12000,0)=ROW()-1,1,0))</f>
        <v/>
      </c>
    </row>
    <row r="7469" customFormat="false" ht="15" hidden="false" customHeight="false" outlineLevel="0" collapsed="false">
      <c r="V7469" s="23" t="str">
        <f aca="false">IF(ISNUMBER(C7469),YEAR(C7469),"")</f>
        <v/>
      </c>
      <c r="W7469" s="23" t="str">
        <f aca="false">IF(ISNUMBER(C7469),MONTH(C7469),"")</f>
        <v/>
      </c>
      <c r="X7469" s="23" t="str">
        <f aca="false">IF(T7469="","",IF(T7469=0,"No discount",IF(T7469&lt;=0.2,"Low (1-20%)",IF(T7469&lt;=0.4,"Medium (21-40%)","High (&gt;40%)"))))</f>
        <v/>
      </c>
      <c r="Y7469" s="23" t="str">
        <f aca="false">IF(AND(ISNUMBER(C7469),ISNUMBER(D7469)),D7469-C7469,"")</f>
        <v/>
      </c>
      <c r="Z7469" s="23" t="str">
        <f aca="false">IF(B7469="","",IF(MATCH(B7469,$B$2:$B$12000,0)=ROW()-1,1,0))</f>
        <v/>
      </c>
    </row>
    <row r="7470" customFormat="false" ht="15" hidden="false" customHeight="false" outlineLevel="0" collapsed="false">
      <c r="V7470" s="23" t="str">
        <f aca="false">IF(ISNUMBER(C7470),YEAR(C7470),"")</f>
        <v/>
      </c>
      <c r="W7470" s="23" t="str">
        <f aca="false">IF(ISNUMBER(C7470),MONTH(C7470),"")</f>
        <v/>
      </c>
      <c r="X7470" s="23" t="str">
        <f aca="false">IF(T7470="","",IF(T7470=0,"No discount",IF(T7470&lt;=0.2,"Low (1-20%)",IF(T7470&lt;=0.4,"Medium (21-40%)","High (&gt;40%)"))))</f>
        <v/>
      </c>
      <c r="Y7470" s="23" t="str">
        <f aca="false">IF(AND(ISNUMBER(C7470),ISNUMBER(D7470)),D7470-C7470,"")</f>
        <v/>
      </c>
      <c r="Z7470" s="23" t="str">
        <f aca="false">IF(B7470="","",IF(MATCH(B7470,$B$2:$B$12000,0)=ROW()-1,1,0))</f>
        <v/>
      </c>
    </row>
    <row r="7471" customFormat="false" ht="15" hidden="false" customHeight="false" outlineLevel="0" collapsed="false">
      <c r="V7471" s="23" t="str">
        <f aca="false">IF(ISNUMBER(C7471),YEAR(C7471),"")</f>
        <v/>
      </c>
      <c r="W7471" s="23" t="str">
        <f aca="false">IF(ISNUMBER(C7471),MONTH(C7471),"")</f>
        <v/>
      </c>
      <c r="X7471" s="23" t="str">
        <f aca="false">IF(T7471="","",IF(T7471=0,"No discount",IF(T7471&lt;=0.2,"Low (1-20%)",IF(T7471&lt;=0.4,"Medium (21-40%)","High (&gt;40%)"))))</f>
        <v/>
      </c>
      <c r="Y7471" s="23" t="str">
        <f aca="false">IF(AND(ISNUMBER(C7471),ISNUMBER(D7471)),D7471-C7471,"")</f>
        <v/>
      </c>
      <c r="Z7471" s="23" t="str">
        <f aca="false">IF(B7471="","",IF(MATCH(B7471,$B$2:$B$12000,0)=ROW()-1,1,0))</f>
        <v/>
      </c>
    </row>
    <row r="7472" customFormat="false" ht="15" hidden="false" customHeight="false" outlineLevel="0" collapsed="false">
      <c r="V7472" s="23" t="str">
        <f aca="false">IF(ISNUMBER(C7472),YEAR(C7472),"")</f>
        <v/>
      </c>
      <c r="W7472" s="23" t="str">
        <f aca="false">IF(ISNUMBER(C7472),MONTH(C7472),"")</f>
        <v/>
      </c>
      <c r="X7472" s="23" t="str">
        <f aca="false">IF(T7472="","",IF(T7472=0,"No discount",IF(T7472&lt;=0.2,"Low (1-20%)",IF(T7472&lt;=0.4,"Medium (21-40%)","High (&gt;40%)"))))</f>
        <v/>
      </c>
      <c r="Y7472" s="23" t="str">
        <f aca="false">IF(AND(ISNUMBER(C7472),ISNUMBER(D7472)),D7472-C7472,"")</f>
        <v/>
      </c>
      <c r="Z7472" s="23" t="str">
        <f aca="false">IF(B7472="","",IF(MATCH(B7472,$B$2:$B$12000,0)=ROW()-1,1,0))</f>
        <v/>
      </c>
    </row>
    <row r="7473" customFormat="false" ht="15" hidden="false" customHeight="false" outlineLevel="0" collapsed="false">
      <c r="V7473" s="23" t="str">
        <f aca="false">IF(ISNUMBER(C7473),YEAR(C7473),"")</f>
        <v/>
      </c>
      <c r="W7473" s="23" t="str">
        <f aca="false">IF(ISNUMBER(C7473),MONTH(C7473),"")</f>
        <v/>
      </c>
      <c r="X7473" s="23" t="str">
        <f aca="false">IF(T7473="","",IF(T7473=0,"No discount",IF(T7473&lt;=0.2,"Low (1-20%)",IF(T7473&lt;=0.4,"Medium (21-40%)","High (&gt;40%)"))))</f>
        <v/>
      </c>
      <c r="Y7473" s="23" t="str">
        <f aca="false">IF(AND(ISNUMBER(C7473),ISNUMBER(D7473)),D7473-C7473,"")</f>
        <v/>
      </c>
      <c r="Z7473" s="23" t="str">
        <f aca="false">IF(B7473="","",IF(MATCH(B7473,$B$2:$B$12000,0)=ROW()-1,1,0))</f>
        <v/>
      </c>
    </row>
    <row r="7474" customFormat="false" ht="15" hidden="false" customHeight="false" outlineLevel="0" collapsed="false">
      <c r="V7474" s="23" t="str">
        <f aca="false">IF(ISNUMBER(C7474),YEAR(C7474),"")</f>
        <v/>
      </c>
      <c r="W7474" s="23" t="str">
        <f aca="false">IF(ISNUMBER(C7474),MONTH(C7474),"")</f>
        <v/>
      </c>
      <c r="X7474" s="23" t="str">
        <f aca="false">IF(T7474="","",IF(T7474=0,"No discount",IF(T7474&lt;=0.2,"Low (1-20%)",IF(T7474&lt;=0.4,"Medium (21-40%)","High (&gt;40%)"))))</f>
        <v/>
      </c>
      <c r="Y7474" s="23" t="str">
        <f aca="false">IF(AND(ISNUMBER(C7474),ISNUMBER(D7474)),D7474-C7474,"")</f>
        <v/>
      </c>
      <c r="Z7474" s="23" t="str">
        <f aca="false">IF(B7474="","",IF(MATCH(B7474,$B$2:$B$12000,0)=ROW()-1,1,0))</f>
        <v/>
      </c>
    </row>
    <row r="7475" customFormat="false" ht="15" hidden="false" customHeight="false" outlineLevel="0" collapsed="false">
      <c r="V7475" s="23" t="str">
        <f aca="false">IF(ISNUMBER(C7475),YEAR(C7475),"")</f>
        <v/>
      </c>
      <c r="W7475" s="23" t="str">
        <f aca="false">IF(ISNUMBER(C7475),MONTH(C7475),"")</f>
        <v/>
      </c>
      <c r="X7475" s="23" t="str">
        <f aca="false">IF(T7475="","",IF(T7475=0,"No discount",IF(T7475&lt;=0.2,"Low (1-20%)",IF(T7475&lt;=0.4,"Medium (21-40%)","High (&gt;40%)"))))</f>
        <v/>
      </c>
      <c r="Y7475" s="23" t="str">
        <f aca="false">IF(AND(ISNUMBER(C7475),ISNUMBER(D7475)),D7475-C7475,"")</f>
        <v/>
      </c>
      <c r="Z7475" s="23" t="str">
        <f aca="false">IF(B7475="","",IF(MATCH(B7475,$B$2:$B$12000,0)=ROW()-1,1,0))</f>
        <v/>
      </c>
    </row>
    <row r="7476" customFormat="false" ht="15" hidden="false" customHeight="false" outlineLevel="0" collapsed="false">
      <c r="V7476" s="23" t="str">
        <f aca="false">IF(ISNUMBER(C7476),YEAR(C7476),"")</f>
        <v/>
      </c>
      <c r="W7476" s="23" t="str">
        <f aca="false">IF(ISNUMBER(C7476),MONTH(C7476),"")</f>
        <v/>
      </c>
      <c r="X7476" s="23" t="str">
        <f aca="false">IF(T7476="","",IF(T7476=0,"No discount",IF(T7476&lt;=0.2,"Low (1-20%)",IF(T7476&lt;=0.4,"Medium (21-40%)","High (&gt;40%)"))))</f>
        <v/>
      </c>
      <c r="Y7476" s="23" t="str">
        <f aca="false">IF(AND(ISNUMBER(C7476),ISNUMBER(D7476)),D7476-C7476,"")</f>
        <v/>
      </c>
      <c r="Z7476" s="23" t="str">
        <f aca="false">IF(B7476="","",IF(MATCH(B7476,$B$2:$B$12000,0)=ROW()-1,1,0))</f>
        <v/>
      </c>
    </row>
    <row r="7477" customFormat="false" ht="15" hidden="false" customHeight="false" outlineLevel="0" collapsed="false">
      <c r="V7477" s="23" t="str">
        <f aca="false">IF(ISNUMBER(C7477),YEAR(C7477),"")</f>
        <v/>
      </c>
      <c r="W7477" s="23" t="str">
        <f aca="false">IF(ISNUMBER(C7477),MONTH(C7477),"")</f>
        <v/>
      </c>
      <c r="X7477" s="23" t="str">
        <f aca="false">IF(T7477="","",IF(T7477=0,"No discount",IF(T7477&lt;=0.2,"Low (1-20%)",IF(T7477&lt;=0.4,"Medium (21-40%)","High (&gt;40%)"))))</f>
        <v/>
      </c>
      <c r="Y7477" s="23" t="str">
        <f aca="false">IF(AND(ISNUMBER(C7477),ISNUMBER(D7477)),D7477-C7477,"")</f>
        <v/>
      </c>
      <c r="Z7477" s="23" t="str">
        <f aca="false">IF(B7477="","",IF(MATCH(B7477,$B$2:$B$12000,0)=ROW()-1,1,0))</f>
        <v/>
      </c>
    </row>
    <row r="7478" customFormat="false" ht="15" hidden="false" customHeight="false" outlineLevel="0" collapsed="false">
      <c r="V7478" s="23" t="str">
        <f aca="false">IF(ISNUMBER(C7478),YEAR(C7478),"")</f>
        <v/>
      </c>
      <c r="W7478" s="23" t="str">
        <f aca="false">IF(ISNUMBER(C7478),MONTH(C7478),"")</f>
        <v/>
      </c>
      <c r="X7478" s="23" t="str">
        <f aca="false">IF(T7478="","",IF(T7478=0,"No discount",IF(T7478&lt;=0.2,"Low (1-20%)",IF(T7478&lt;=0.4,"Medium (21-40%)","High (&gt;40%)"))))</f>
        <v/>
      </c>
      <c r="Y7478" s="23" t="str">
        <f aca="false">IF(AND(ISNUMBER(C7478),ISNUMBER(D7478)),D7478-C7478,"")</f>
        <v/>
      </c>
      <c r="Z7478" s="23" t="str">
        <f aca="false">IF(B7478="","",IF(MATCH(B7478,$B$2:$B$12000,0)=ROW()-1,1,0))</f>
        <v/>
      </c>
    </row>
    <row r="7479" customFormat="false" ht="15" hidden="false" customHeight="false" outlineLevel="0" collapsed="false">
      <c r="V7479" s="23" t="str">
        <f aca="false">IF(ISNUMBER(C7479),YEAR(C7479),"")</f>
        <v/>
      </c>
      <c r="W7479" s="23" t="str">
        <f aca="false">IF(ISNUMBER(C7479),MONTH(C7479),"")</f>
        <v/>
      </c>
      <c r="X7479" s="23" t="str">
        <f aca="false">IF(T7479="","",IF(T7479=0,"No discount",IF(T7479&lt;=0.2,"Low (1-20%)",IF(T7479&lt;=0.4,"Medium (21-40%)","High (&gt;40%)"))))</f>
        <v/>
      </c>
      <c r="Y7479" s="23" t="str">
        <f aca="false">IF(AND(ISNUMBER(C7479),ISNUMBER(D7479)),D7479-C7479,"")</f>
        <v/>
      </c>
      <c r="Z7479" s="23" t="str">
        <f aca="false">IF(B7479="","",IF(MATCH(B7479,$B$2:$B$12000,0)=ROW()-1,1,0))</f>
        <v/>
      </c>
    </row>
    <row r="7480" customFormat="false" ht="15" hidden="false" customHeight="false" outlineLevel="0" collapsed="false">
      <c r="V7480" s="23" t="str">
        <f aca="false">IF(ISNUMBER(C7480),YEAR(C7480),"")</f>
        <v/>
      </c>
      <c r="W7480" s="23" t="str">
        <f aca="false">IF(ISNUMBER(C7480),MONTH(C7480),"")</f>
        <v/>
      </c>
      <c r="X7480" s="23" t="str">
        <f aca="false">IF(T7480="","",IF(T7480=0,"No discount",IF(T7480&lt;=0.2,"Low (1-20%)",IF(T7480&lt;=0.4,"Medium (21-40%)","High (&gt;40%)"))))</f>
        <v/>
      </c>
      <c r="Y7480" s="23" t="str">
        <f aca="false">IF(AND(ISNUMBER(C7480),ISNUMBER(D7480)),D7480-C7480,"")</f>
        <v/>
      </c>
      <c r="Z7480" s="23" t="str">
        <f aca="false">IF(B7480="","",IF(MATCH(B7480,$B$2:$B$12000,0)=ROW()-1,1,0))</f>
        <v/>
      </c>
    </row>
    <row r="7481" customFormat="false" ht="15" hidden="false" customHeight="false" outlineLevel="0" collapsed="false">
      <c r="V7481" s="23" t="str">
        <f aca="false">IF(ISNUMBER(C7481),YEAR(C7481),"")</f>
        <v/>
      </c>
      <c r="W7481" s="23" t="str">
        <f aca="false">IF(ISNUMBER(C7481),MONTH(C7481),"")</f>
        <v/>
      </c>
      <c r="X7481" s="23" t="str">
        <f aca="false">IF(T7481="","",IF(T7481=0,"No discount",IF(T7481&lt;=0.2,"Low (1-20%)",IF(T7481&lt;=0.4,"Medium (21-40%)","High (&gt;40%)"))))</f>
        <v/>
      </c>
      <c r="Y7481" s="23" t="str">
        <f aca="false">IF(AND(ISNUMBER(C7481),ISNUMBER(D7481)),D7481-C7481,"")</f>
        <v/>
      </c>
      <c r="Z7481" s="23" t="str">
        <f aca="false">IF(B7481="","",IF(MATCH(B7481,$B$2:$B$12000,0)=ROW()-1,1,0))</f>
        <v/>
      </c>
    </row>
    <row r="7482" customFormat="false" ht="15" hidden="false" customHeight="false" outlineLevel="0" collapsed="false">
      <c r="V7482" s="23" t="str">
        <f aca="false">IF(ISNUMBER(C7482),YEAR(C7482),"")</f>
        <v/>
      </c>
      <c r="W7482" s="23" t="str">
        <f aca="false">IF(ISNUMBER(C7482),MONTH(C7482),"")</f>
        <v/>
      </c>
      <c r="X7482" s="23" t="str">
        <f aca="false">IF(T7482="","",IF(T7482=0,"No discount",IF(T7482&lt;=0.2,"Low (1-20%)",IF(T7482&lt;=0.4,"Medium (21-40%)","High (&gt;40%)"))))</f>
        <v/>
      </c>
      <c r="Y7482" s="23" t="str">
        <f aca="false">IF(AND(ISNUMBER(C7482),ISNUMBER(D7482)),D7482-C7482,"")</f>
        <v/>
      </c>
      <c r="Z7482" s="23" t="str">
        <f aca="false">IF(B7482="","",IF(MATCH(B7482,$B$2:$B$12000,0)=ROW()-1,1,0))</f>
        <v/>
      </c>
    </row>
    <row r="7483" customFormat="false" ht="15" hidden="false" customHeight="false" outlineLevel="0" collapsed="false">
      <c r="V7483" s="23" t="str">
        <f aca="false">IF(ISNUMBER(C7483),YEAR(C7483),"")</f>
        <v/>
      </c>
      <c r="W7483" s="23" t="str">
        <f aca="false">IF(ISNUMBER(C7483),MONTH(C7483),"")</f>
        <v/>
      </c>
      <c r="X7483" s="23" t="str">
        <f aca="false">IF(T7483="","",IF(T7483=0,"No discount",IF(T7483&lt;=0.2,"Low (1-20%)",IF(T7483&lt;=0.4,"Medium (21-40%)","High (&gt;40%)"))))</f>
        <v/>
      </c>
      <c r="Y7483" s="23" t="str">
        <f aca="false">IF(AND(ISNUMBER(C7483),ISNUMBER(D7483)),D7483-C7483,"")</f>
        <v/>
      </c>
      <c r="Z7483" s="23" t="str">
        <f aca="false">IF(B7483="","",IF(MATCH(B7483,$B$2:$B$12000,0)=ROW()-1,1,0))</f>
        <v/>
      </c>
    </row>
    <row r="7484" customFormat="false" ht="15" hidden="false" customHeight="false" outlineLevel="0" collapsed="false">
      <c r="V7484" s="23" t="str">
        <f aca="false">IF(ISNUMBER(C7484),YEAR(C7484),"")</f>
        <v/>
      </c>
      <c r="W7484" s="23" t="str">
        <f aca="false">IF(ISNUMBER(C7484),MONTH(C7484),"")</f>
        <v/>
      </c>
      <c r="X7484" s="23" t="str">
        <f aca="false">IF(T7484="","",IF(T7484=0,"No discount",IF(T7484&lt;=0.2,"Low (1-20%)",IF(T7484&lt;=0.4,"Medium (21-40%)","High (&gt;40%)"))))</f>
        <v/>
      </c>
      <c r="Y7484" s="23" t="str">
        <f aca="false">IF(AND(ISNUMBER(C7484),ISNUMBER(D7484)),D7484-C7484,"")</f>
        <v/>
      </c>
      <c r="Z7484" s="23" t="str">
        <f aca="false">IF(B7484="","",IF(MATCH(B7484,$B$2:$B$12000,0)=ROW()-1,1,0))</f>
        <v/>
      </c>
    </row>
    <row r="7485" customFormat="false" ht="15" hidden="false" customHeight="false" outlineLevel="0" collapsed="false">
      <c r="V7485" s="23" t="str">
        <f aca="false">IF(ISNUMBER(C7485),YEAR(C7485),"")</f>
        <v/>
      </c>
      <c r="W7485" s="23" t="str">
        <f aca="false">IF(ISNUMBER(C7485),MONTH(C7485),"")</f>
        <v/>
      </c>
      <c r="X7485" s="23" t="str">
        <f aca="false">IF(T7485="","",IF(T7485=0,"No discount",IF(T7485&lt;=0.2,"Low (1-20%)",IF(T7485&lt;=0.4,"Medium (21-40%)","High (&gt;40%)"))))</f>
        <v/>
      </c>
      <c r="Y7485" s="23" t="str">
        <f aca="false">IF(AND(ISNUMBER(C7485),ISNUMBER(D7485)),D7485-C7485,"")</f>
        <v/>
      </c>
      <c r="Z7485" s="23" t="str">
        <f aca="false">IF(B7485="","",IF(MATCH(B7485,$B$2:$B$12000,0)=ROW()-1,1,0))</f>
        <v/>
      </c>
    </row>
    <row r="7486" customFormat="false" ht="15" hidden="false" customHeight="false" outlineLevel="0" collapsed="false">
      <c r="V7486" s="23" t="str">
        <f aca="false">IF(ISNUMBER(C7486),YEAR(C7486),"")</f>
        <v/>
      </c>
      <c r="W7486" s="23" t="str">
        <f aca="false">IF(ISNUMBER(C7486),MONTH(C7486),"")</f>
        <v/>
      </c>
      <c r="X7486" s="23" t="str">
        <f aca="false">IF(T7486="","",IF(T7486=0,"No discount",IF(T7486&lt;=0.2,"Low (1-20%)",IF(T7486&lt;=0.4,"Medium (21-40%)","High (&gt;40%)"))))</f>
        <v/>
      </c>
      <c r="Y7486" s="23" t="str">
        <f aca="false">IF(AND(ISNUMBER(C7486),ISNUMBER(D7486)),D7486-C7486,"")</f>
        <v/>
      </c>
      <c r="Z7486" s="23" t="str">
        <f aca="false">IF(B7486="","",IF(MATCH(B7486,$B$2:$B$12000,0)=ROW()-1,1,0))</f>
        <v/>
      </c>
    </row>
    <row r="7487" customFormat="false" ht="15" hidden="false" customHeight="false" outlineLevel="0" collapsed="false">
      <c r="V7487" s="23" t="str">
        <f aca="false">IF(ISNUMBER(C7487),YEAR(C7487),"")</f>
        <v/>
      </c>
      <c r="W7487" s="23" t="str">
        <f aca="false">IF(ISNUMBER(C7487),MONTH(C7487),"")</f>
        <v/>
      </c>
      <c r="X7487" s="23" t="str">
        <f aca="false">IF(T7487="","",IF(T7487=0,"No discount",IF(T7487&lt;=0.2,"Low (1-20%)",IF(T7487&lt;=0.4,"Medium (21-40%)","High (&gt;40%)"))))</f>
        <v/>
      </c>
      <c r="Y7487" s="23" t="str">
        <f aca="false">IF(AND(ISNUMBER(C7487),ISNUMBER(D7487)),D7487-C7487,"")</f>
        <v/>
      </c>
      <c r="Z7487" s="23" t="str">
        <f aca="false">IF(B7487="","",IF(MATCH(B7487,$B$2:$B$12000,0)=ROW()-1,1,0))</f>
        <v/>
      </c>
    </row>
    <row r="7488" customFormat="false" ht="15" hidden="false" customHeight="false" outlineLevel="0" collapsed="false">
      <c r="V7488" s="23" t="str">
        <f aca="false">IF(ISNUMBER(C7488),YEAR(C7488),"")</f>
        <v/>
      </c>
      <c r="W7488" s="23" t="str">
        <f aca="false">IF(ISNUMBER(C7488),MONTH(C7488),"")</f>
        <v/>
      </c>
      <c r="X7488" s="23" t="str">
        <f aca="false">IF(T7488="","",IF(T7488=0,"No discount",IF(T7488&lt;=0.2,"Low (1-20%)",IF(T7488&lt;=0.4,"Medium (21-40%)","High (&gt;40%)"))))</f>
        <v/>
      </c>
      <c r="Y7488" s="23" t="str">
        <f aca="false">IF(AND(ISNUMBER(C7488),ISNUMBER(D7488)),D7488-C7488,"")</f>
        <v/>
      </c>
      <c r="Z7488" s="23" t="str">
        <f aca="false">IF(B7488="","",IF(MATCH(B7488,$B$2:$B$12000,0)=ROW()-1,1,0))</f>
        <v/>
      </c>
    </row>
    <row r="7489" customFormat="false" ht="15" hidden="false" customHeight="false" outlineLevel="0" collapsed="false">
      <c r="V7489" s="23" t="str">
        <f aca="false">IF(ISNUMBER(C7489),YEAR(C7489),"")</f>
        <v/>
      </c>
      <c r="W7489" s="23" t="str">
        <f aca="false">IF(ISNUMBER(C7489),MONTH(C7489),"")</f>
        <v/>
      </c>
      <c r="X7489" s="23" t="str">
        <f aca="false">IF(T7489="","",IF(T7489=0,"No discount",IF(T7489&lt;=0.2,"Low (1-20%)",IF(T7489&lt;=0.4,"Medium (21-40%)","High (&gt;40%)"))))</f>
        <v/>
      </c>
      <c r="Y7489" s="23" t="str">
        <f aca="false">IF(AND(ISNUMBER(C7489),ISNUMBER(D7489)),D7489-C7489,"")</f>
        <v/>
      </c>
      <c r="Z7489" s="23" t="str">
        <f aca="false">IF(B7489="","",IF(MATCH(B7489,$B$2:$B$12000,0)=ROW()-1,1,0))</f>
        <v/>
      </c>
    </row>
    <row r="7490" customFormat="false" ht="15" hidden="false" customHeight="false" outlineLevel="0" collapsed="false">
      <c r="V7490" s="23" t="str">
        <f aca="false">IF(ISNUMBER(C7490),YEAR(C7490),"")</f>
        <v/>
      </c>
      <c r="W7490" s="23" t="str">
        <f aca="false">IF(ISNUMBER(C7490),MONTH(C7490),"")</f>
        <v/>
      </c>
      <c r="X7490" s="23" t="str">
        <f aca="false">IF(T7490="","",IF(T7490=0,"No discount",IF(T7490&lt;=0.2,"Low (1-20%)",IF(T7490&lt;=0.4,"Medium (21-40%)","High (&gt;40%)"))))</f>
        <v/>
      </c>
      <c r="Y7490" s="23" t="str">
        <f aca="false">IF(AND(ISNUMBER(C7490),ISNUMBER(D7490)),D7490-C7490,"")</f>
        <v/>
      </c>
      <c r="Z7490" s="23" t="str">
        <f aca="false">IF(B7490="","",IF(MATCH(B7490,$B$2:$B$12000,0)=ROW()-1,1,0))</f>
        <v/>
      </c>
    </row>
    <row r="7491" customFormat="false" ht="15" hidden="false" customHeight="false" outlineLevel="0" collapsed="false">
      <c r="V7491" s="23" t="str">
        <f aca="false">IF(ISNUMBER(C7491),YEAR(C7491),"")</f>
        <v/>
      </c>
      <c r="W7491" s="23" t="str">
        <f aca="false">IF(ISNUMBER(C7491),MONTH(C7491),"")</f>
        <v/>
      </c>
      <c r="X7491" s="23" t="str">
        <f aca="false">IF(T7491="","",IF(T7491=0,"No discount",IF(T7491&lt;=0.2,"Low (1-20%)",IF(T7491&lt;=0.4,"Medium (21-40%)","High (&gt;40%)"))))</f>
        <v/>
      </c>
      <c r="Y7491" s="23" t="str">
        <f aca="false">IF(AND(ISNUMBER(C7491),ISNUMBER(D7491)),D7491-C7491,"")</f>
        <v/>
      </c>
      <c r="Z7491" s="23" t="str">
        <f aca="false">IF(B7491="","",IF(MATCH(B7491,$B$2:$B$12000,0)=ROW()-1,1,0))</f>
        <v/>
      </c>
    </row>
    <row r="7492" customFormat="false" ht="15" hidden="false" customHeight="false" outlineLevel="0" collapsed="false">
      <c r="V7492" s="23" t="str">
        <f aca="false">IF(ISNUMBER(C7492),YEAR(C7492),"")</f>
        <v/>
      </c>
      <c r="W7492" s="23" t="str">
        <f aca="false">IF(ISNUMBER(C7492),MONTH(C7492),"")</f>
        <v/>
      </c>
      <c r="X7492" s="23" t="str">
        <f aca="false">IF(T7492="","",IF(T7492=0,"No discount",IF(T7492&lt;=0.2,"Low (1-20%)",IF(T7492&lt;=0.4,"Medium (21-40%)","High (&gt;40%)"))))</f>
        <v/>
      </c>
      <c r="Y7492" s="23" t="str">
        <f aca="false">IF(AND(ISNUMBER(C7492),ISNUMBER(D7492)),D7492-C7492,"")</f>
        <v/>
      </c>
      <c r="Z7492" s="23" t="str">
        <f aca="false">IF(B7492="","",IF(MATCH(B7492,$B$2:$B$12000,0)=ROW()-1,1,0))</f>
        <v/>
      </c>
    </row>
    <row r="7493" customFormat="false" ht="15" hidden="false" customHeight="false" outlineLevel="0" collapsed="false">
      <c r="V7493" s="23" t="str">
        <f aca="false">IF(ISNUMBER(C7493),YEAR(C7493),"")</f>
        <v/>
      </c>
      <c r="W7493" s="23" t="str">
        <f aca="false">IF(ISNUMBER(C7493),MONTH(C7493),"")</f>
        <v/>
      </c>
      <c r="X7493" s="23" t="str">
        <f aca="false">IF(T7493="","",IF(T7493=0,"No discount",IF(T7493&lt;=0.2,"Low (1-20%)",IF(T7493&lt;=0.4,"Medium (21-40%)","High (&gt;40%)"))))</f>
        <v/>
      </c>
      <c r="Y7493" s="23" t="str">
        <f aca="false">IF(AND(ISNUMBER(C7493),ISNUMBER(D7493)),D7493-C7493,"")</f>
        <v/>
      </c>
      <c r="Z7493" s="23" t="str">
        <f aca="false">IF(B7493="","",IF(MATCH(B7493,$B$2:$B$12000,0)=ROW()-1,1,0))</f>
        <v/>
      </c>
    </row>
    <row r="7494" customFormat="false" ht="15" hidden="false" customHeight="false" outlineLevel="0" collapsed="false">
      <c r="V7494" s="23" t="str">
        <f aca="false">IF(ISNUMBER(C7494),YEAR(C7494),"")</f>
        <v/>
      </c>
      <c r="W7494" s="23" t="str">
        <f aca="false">IF(ISNUMBER(C7494),MONTH(C7494),"")</f>
        <v/>
      </c>
      <c r="X7494" s="23" t="str">
        <f aca="false">IF(T7494="","",IF(T7494=0,"No discount",IF(T7494&lt;=0.2,"Low (1-20%)",IF(T7494&lt;=0.4,"Medium (21-40%)","High (&gt;40%)"))))</f>
        <v/>
      </c>
      <c r="Y7494" s="23" t="str">
        <f aca="false">IF(AND(ISNUMBER(C7494),ISNUMBER(D7494)),D7494-C7494,"")</f>
        <v/>
      </c>
      <c r="Z7494" s="23" t="str">
        <f aca="false">IF(B7494="","",IF(MATCH(B7494,$B$2:$B$12000,0)=ROW()-1,1,0))</f>
        <v/>
      </c>
    </row>
    <row r="7495" customFormat="false" ht="15" hidden="false" customHeight="false" outlineLevel="0" collapsed="false">
      <c r="V7495" s="23" t="str">
        <f aca="false">IF(ISNUMBER(C7495),YEAR(C7495),"")</f>
        <v/>
      </c>
      <c r="W7495" s="23" t="str">
        <f aca="false">IF(ISNUMBER(C7495),MONTH(C7495),"")</f>
        <v/>
      </c>
      <c r="X7495" s="23" t="str">
        <f aca="false">IF(T7495="","",IF(T7495=0,"No discount",IF(T7495&lt;=0.2,"Low (1-20%)",IF(T7495&lt;=0.4,"Medium (21-40%)","High (&gt;40%)"))))</f>
        <v/>
      </c>
      <c r="Y7495" s="23" t="str">
        <f aca="false">IF(AND(ISNUMBER(C7495),ISNUMBER(D7495)),D7495-C7495,"")</f>
        <v/>
      </c>
      <c r="Z7495" s="23" t="str">
        <f aca="false">IF(B7495="","",IF(MATCH(B7495,$B$2:$B$12000,0)=ROW()-1,1,0))</f>
        <v/>
      </c>
    </row>
    <row r="7496" customFormat="false" ht="15" hidden="false" customHeight="false" outlineLevel="0" collapsed="false">
      <c r="V7496" s="23" t="str">
        <f aca="false">IF(ISNUMBER(C7496),YEAR(C7496),"")</f>
        <v/>
      </c>
      <c r="W7496" s="23" t="str">
        <f aca="false">IF(ISNUMBER(C7496),MONTH(C7496),"")</f>
        <v/>
      </c>
      <c r="X7496" s="23" t="str">
        <f aca="false">IF(T7496="","",IF(T7496=0,"No discount",IF(T7496&lt;=0.2,"Low (1-20%)",IF(T7496&lt;=0.4,"Medium (21-40%)","High (&gt;40%)"))))</f>
        <v/>
      </c>
      <c r="Y7496" s="23" t="str">
        <f aca="false">IF(AND(ISNUMBER(C7496),ISNUMBER(D7496)),D7496-C7496,"")</f>
        <v/>
      </c>
      <c r="Z7496" s="23" t="str">
        <f aca="false">IF(B7496="","",IF(MATCH(B7496,$B$2:$B$12000,0)=ROW()-1,1,0))</f>
        <v/>
      </c>
    </row>
    <row r="7497" customFormat="false" ht="15" hidden="false" customHeight="false" outlineLevel="0" collapsed="false">
      <c r="V7497" s="23" t="str">
        <f aca="false">IF(ISNUMBER(C7497),YEAR(C7497),"")</f>
        <v/>
      </c>
      <c r="W7497" s="23" t="str">
        <f aca="false">IF(ISNUMBER(C7497),MONTH(C7497),"")</f>
        <v/>
      </c>
      <c r="X7497" s="23" t="str">
        <f aca="false">IF(T7497="","",IF(T7497=0,"No discount",IF(T7497&lt;=0.2,"Low (1-20%)",IF(T7497&lt;=0.4,"Medium (21-40%)","High (&gt;40%)"))))</f>
        <v/>
      </c>
      <c r="Y7497" s="23" t="str">
        <f aca="false">IF(AND(ISNUMBER(C7497),ISNUMBER(D7497)),D7497-C7497,"")</f>
        <v/>
      </c>
      <c r="Z7497" s="23" t="str">
        <f aca="false">IF(B7497="","",IF(MATCH(B7497,$B$2:$B$12000,0)=ROW()-1,1,0))</f>
        <v/>
      </c>
    </row>
    <row r="7498" customFormat="false" ht="15" hidden="false" customHeight="false" outlineLevel="0" collapsed="false">
      <c r="V7498" s="23" t="str">
        <f aca="false">IF(ISNUMBER(C7498),YEAR(C7498),"")</f>
        <v/>
      </c>
      <c r="W7498" s="23" t="str">
        <f aca="false">IF(ISNUMBER(C7498),MONTH(C7498),"")</f>
        <v/>
      </c>
      <c r="X7498" s="23" t="str">
        <f aca="false">IF(T7498="","",IF(T7498=0,"No discount",IF(T7498&lt;=0.2,"Low (1-20%)",IF(T7498&lt;=0.4,"Medium (21-40%)","High (&gt;40%)"))))</f>
        <v/>
      </c>
      <c r="Y7498" s="23" t="str">
        <f aca="false">IF(AND(ISNUMBER(C7498),ISNUMBER(D7498)),D7498-C7498,"")</f>
        <v/>
      </c>
      <c r="Z7498" s="23" t="str">
        <f aca="false">IF(B7498="","",IF(MATCH(B7498,$B$2:$B$12000,0)=ROW()-1,1,0))</f>
        <v/>
      </c>
    </row>
    <row r="7499" customFormat="false" ht="15" hidden="false" customHeight="false" outlineLevel="0" collapsed="false">
      <c r="V7499" s="23" t="str">
        <f aca="false">IF(ISNUMBER(C7499),YEAR(C7499),"")</f>
        <v/>
      </c>
      <c r="W7499" s="23" t="str">
        <f aca="false">IF(ISNUMBER(C7499),MONTH(C7499),"")</f>
        <v/>
      </c>
      <c r="X7499" s="23" t="str">
        <f aca="false">IF(T7499="","",IF(T7499=0,"No discount",IF(T7499&lt;=0.2,"Low (1-20%)",IF(T7499&lt;=0.4,"Medium (21-40%)","High (&gt;40%)"))))</f>
        <v/>
      </c>
      <c r="Y7499" s="23" t="str">
        <f aca="false">IF(AND(ISNUMBER(C7499),ISNUMBER(D7499)),D7499-C7499,"")</f>
        <v/>
      </c>
      <c r="Z7499" s="23" t="str">
        <f aca="false">IF(B7499="","",IF(MATCH(B7499,$B$2:$B$12000,0)=ROW()-1,1,0))</f>
        <v/>
      </c>
    </row>
    <row r="7500" customFormat="false" ht="15" hidden="false" customHeight="false" outlineLevel="0" collapsed="false">
      <c r="V7500" s="23" t="str">
        <f aca="false">IF(ISNUMBER(C7500),YEAR(C7500),"")</f>
        <v/>
      </c>
      <c r="W7500" s="23" t="str">
        <f aca="false">IF(ISNUMBER(C7500),MONTH(C7500),"")</f>
        <v/>
      </c>
      <c r="X7500" s="23" t="str">
        <f aca="false">IF(T7500="","",IF(T7500=0,"No discount",IF(T7500&lt;=0.2,"Low (1-20%)",IF(T7500&lt;=0.4,"Medium (21-40%)","High (&gt;40%)"))))</f>
        <v/>
      </c>
      <c r="Y7500" s="23" t="str">
        <f aca="false">IF(AND(ISNUMBER(C7500),ISNUMBER(D7500)),D7500-C7500,"")</f>
        <v/>
      </c>
      <c r="Z7500" s="23" t="str">
        <f aca="false">IF(B7500="","",IF(MATCH(B7500,$B$2:$B$12000,0)=ROW()-1,1,0))</f>
        <v/>
      </c>
    </row>
    <row r="7501" customFormat="false" ht="15" hidden="false" customHeight="false" outlineLevel="0" collapsed="false">
      <c r="V7501" s="23" t="str">
        <f aca="false">IF(ISNUMBER(C7501),YEAR(C7501),"")</f>
        <v/>
      </c>
      <c r="W7501" s="23" t="str">
        <f aca="false">IF(ISNUMBER(C7501),MONTH(C7501),"")</f>
        <v/>
      </c>
      <c r="X7501" s="23" t="str">
        <f aca="false">IF(T7501="","",IF(T7501=0,"No discount",IF(T7501&lt;=0.2,"Low (1-20%)",IF(T7501&lt;=0.4,"Medium (21-40%)","High (&gt;40%)"))))</f>
        <v/>
      </c>
      <c r="Y7501" s="23" t="str">
        <f aca="false">IF(AND(ISNUMBER(C7501),ISNUMBER(D7501)),D7501-C7501,"")</f>
        <v/>
      </c>
      <c r="Z7501" s="23" t="str">
        <f aca="false">IF(B7501="","",IF(MATCH(B7501,$B$2:$B$12000,0)=ROW()-1,1,0))</f>
        <v/>
      </c>
    </row>
    <row r="7502" customFormat="false" ht="15" hidden="false" customHeight="false" outlineLevel="0" collapsed="false">
      <c r="V7502" s="23" t="str">
        <f aca="false">IF(ISNUMBER(C7502),YEAR(C7502),"")</f>
        <v/>
      </c>
      <c r="W7502" s="23" t="str">
        <f aca="false">IF(ISNUMBER(C7502),MONTH(C7502),"")</f>
        <v/>
      </c>
      <c r="X7502" s="23" t="str">
        <f aca="false">IF(T7502="","",IF(T7502=0,"No discount",IF(T7502&lt;=0.2,"Low (1-20%)",IF(T7502&lt;=0.4,"Medium (21-40%)","High (&gt;40%)"))))</f>
        <v/>
      </c>
      <c r="Y7502" s="23" t="str">
        <f aca="false">IF(AND(ISNUMBER(C7502),ISNUMBER(D7502)),D7502-C7502,"")</f>
        <v/>
      </c>
      <c r="Z7502" s="23" t="str">
        <f aca="false">IF(B7502="","",IF(MATCH(B7502,$B$2:$B$12000,0)=ROW()-1,1,0))</f>
        <v/>
      </c>
    </row>
    <row r="7503" customFormat="false" ht="15" hidden="false" customHeight="false" outlineLevel="0" collapsed="false">
      <c r="V7503" s="23" t="str">
        <f aca="false">IF(ISNUMBER(C7503),YEAR(C7503),"")</f>
        <v/>
      </c>
      <c r="W7503" s="23" t="str">
        <f aca="false">IF(ISNUMBER(C7503),MONTH(C7503),"")</f>
        <v/>
      </c>
      <c r="X7503" s="23" t="str">
        <f aca="false">IF(T7503="","",IF(T7503=0,"No discount",IF(T7503&lt;=0.2,"Low (1-20%)",IF(T7503&lt;=0.4,"Medium (21-40%)","High (&gt;40%)"))))</f>
        <v/>
      </c>
      <c r="Y7503" s="23" t="str">
        <f aca="false">IF(AND(ISNUMBER(C7503),ISNUMBER(D7503)),D7503-C7503,"")</f>
        <v/>
      </c>
      <c r="Z7503" s="23" t="str">
        <f aca="false">IF(B7503="","",IF(MATCH(B7503,$B$2:$B$12000,0)=ROW()-1,1,0))</f>
        <v/>
      </c>
    </row>
    <row r="7504" customFormat="false" ht="15" hidden="false" customHeight="false" outlineLevel="0" collapsed="false">
      <c r="V7504" s="23" t="str">
        <f aca="false">IF(ISNUMBER(C7504),YEAR(C7504),"")</f>
        <v/>
      </c>
      <c r="W7504" s="23" t="str">
        <f aca="false">IF(ISNUMBER(C7504),MONTH(C7504),"")</f>
        <v/>
      </c>
      <c r="X7504" s="23" t="str">
        <f aca="false">IF(T7504="","",IF(T7504=0,"No discount",IF(T7504&lt;=0.2,"Low (1-20%)",IF(T7504&lt;=0.4,"Medium (21-40%)","High (&gt;40%)"))))</f>
        <v/>
      </c>
      <c r="Y7504" s="23" t="str">
        <f aca="false">IF(AND(ISNUMBER(C7504),ISNUMBER(D7504)),D7504-C7504,"")</f>
        <v/>
      </c>
      <c r="Z7504" s="23" t="str">
        <f aca="false">IF(B7504="","",IF(MATCH(B7504,$B$2:$B$12000,0)=ROW()-1,1,0))</f>
        <v/>
      </c>
    </row>
    <row r="7505" customFormat="false" ht="15" hidden="false" customHeight="false" outlineLevel="0" collapsed="false">
      <c r="V7505" s="23" t="str">
        <f aca="false">IF(ISNUMBER(C7505),YEAR(C7505),"")</f>
        <v/>
      </c>
      <c r="W7505" s="23" t="str">
        <f aca="false">IF(ISNUMBER(C7505),MONTH(C7505),"")</f>
        <v/>
      </c>
      <c r="X7505" s="23" t="str">
        <f aca="false">IF(T7505="","",IF(T7505=0,"No discount",IF(T7505&lt;=0.2,"Low (1-20%)",IF(T7505&lt;=0.4,"Medium (21-40%)","High (&gt;40%)"))))</f>
        <v/>
      </c>
      <c r="Y7505" s="23" t="str">
        <f aca="false">IF(AND(ISNUMBER(C7505),ISNUMBER(D7505)),D7505-C7505,"")</f>
        <v/>
      </c>
      <c r="Z7505" s="23" t="str">
        <f aca="false">IF(B7505="","",IF(MATCH(B7505,$B$2:$B$12000,0)=ROW()-1,1,0))</f>
        <v/>
      </c>
    </row>
    <row r="7506" customFormat="false" ht="15" hidden="false" customHeight="false" outlineLevel="0" collapsed="false">
      <c r="V7506" s="23" t="str">
        <f aca="false">IF(ISNUMBER(C7506),YEAR(C7506),"")</f>
        <v/>
      </c>
      <c r="W7506" s="23" t="str">
        <f aca="false">IF(ISNUMBER(C7506),MONTH(C7506),"")</f>
        <v/>
      </c>
      <c r="X7506" s="23" t="str">
        <f aca="false">IF(T7506="","",IF(T7506=0,"No discount",IF(T7506&lt;=0.2,"Low (1-20%)",IF(T7506&lt;=0.4,"Medium (21-40%)","High (&gt;40%)"))))</f>
        <v/>
      </c>
      <c r="Y7506" s="23" t="str">
        <f aca="false">IF(AND(ISNUMBER(C7506),ISNUMBER(D7506)),D7506-C7506,"")</f>
        <v/>
      </c>
      <c r="Z7506" s="23" t="str">
        <f aca="false">IF(B7506="","",IF(MATCH(B7506,$B$2:$B$12000,0)=ROW()-1,1,0))</f>
        <v/>
      </c>
    </row>
    <row r="7507" customFormat="false" ht="15" hidden="false" customHeight="false" outlineLevel="0" collapsed="false">
      <c r="V7507" s="23" t="str">
        <f aca="false">IF(ISNUMBER(C7507),YEAR(C7507),"")</f>
        <v/>
      </c>
      <c r="W7507" s="23" t="str">
        <f aca="false">IF(ISNUMBER(C7507),MONTH(C7507),"")</f>
        <v/>
      </c>
      <c r="X7507" s="23" t="str">
        <f aca="false">IF(T7507="","",IF(T7507=0,"No discount",IF(T7507&lt;=0.2,"Low (1-20%)",IF(T7507&lt;=0.4,"Medium (21-40%)","High (&gt;40%)"))))</f>
        <v/>
      </c>
      <c r="Y7507" s="23" t="str">
        <f aca="false">IF(AND(ISNUMBER(C7507),ISNUMBER(D7507)),D7507-C7507,"")</f>
        <v/>
      </c>
      <c r="Z7507" s="23" t="str">
        <f aca="false">IF(B7507="","",IF(MATCH(B7507,$B$2:$B$12000,0)=ROW()-1,1,0))</f>
        <v/>
      </c>
    </row>
    <row r="7508" customFormat="false" ht="15" hidden="false" customHeight="false" outlineLevel="0" collapsed="false">
      <c r="V7508" s="23" t="str">
        <f aca="false">IF(ISNUMBER(C7508),YEAR(C7508),"")</f>
        <v/>
      </c>
      <c r="W7508" s="23" t="str">
        <f aca="false">IF(ISNUMBER(C7508),MONTH(C7508),"")</f>
        <v/>
      </c>
      <c r="X7508" s="23" t="str">
        <f aca="false">IF(T7508="","",IF(T7508=0,"No discount",IF(T7508&lt;=0.2,"Low (1-20%)",IF(T7508&lt;=0.4,"Medium (21-40%)","High (&gt;40%)"))))</f>
        <v/>
      </c>
      <c r="Y7508" s="23" t="str">
        <f aca="false">IF(AND(ISNUMBER(C7508),ISNUMBER(D7508)),D7508-C7508,"")</f>
        <v/>
      </c>
      <c r="Z7508" s="23" t="str">
        <f aca="false">IF(B7508="","",IF(MATCH(B7508,$B$2:$B$12000,0)=ROW()-1,1,0))</f>
        <v/>
      </c>
    </row>
    <row r="7509" customFormat="false" ht="15" hidden="false" customHeight="false" outlineLevel="0" collapsed="false">
      <c r="V7509" s="23" t="str">
        <f aca="false">IF(ISNUMBER(C7509),YEAR(C7509),"")</f>
        <v/>
      </c>
      <c r="W7509" s="23" t="str">
        <f aca="false">IF(ISNUMBER(C7509),MONTH(C7509),"")</f>
        <v/>
      </c>
      <c r="X7509" s="23" t="str">
        <f aca="false">IF(T7509="","",IF(T7509=0,"No discount",IF(T7509&lt;=0.2,"Low (1-20%)",IF(T7509&lt;=0.4,"Medium (21-40%)","High (&gt;40%)"))))</f>
        <v/>
      </c>
      <c r="Y7509" s="23" t="str">
        <f aca="false">IF(AND(ISNUMBER(C7509),ISNUMBER(D7509)),D7509-C7509,"")</f>
        <v/>
      </c>
      <c r="Z7509" s="23" t="str">
        <f aca="false">IF(B7509="","",IF(MATCH(B7509,$B$2:$B$12000,0)=ROW()-1,1,0))</f>
        <v/>
      </c>
    </row>
    <row r="7510" customFormat="false" ht="15" hidden="false" customHeight="false" outlineLevel="0" collapsed="false">
      <c r="V7510" s="23" t="str">
        <f aca="false">IF(ISNUMBER(C7510),YEAR(C7510),"")</f>
        <v/>
      </c>
      <c r="W7510" s="23" t="str">
        <f aca="false">IF(ISNUMBER(C7510),MONTH(C7510),"")</f>
        <v/>
      </c>
      <c r="X7510" s="23" t="str">
        <f aca="false">IF(T7510="","",IF(T7510=0,"No discount",IF(T7510&lt;=0.2,"Low (1-20%)",IF(T7510&lt;=0.4,"Medium (21-40%)","High (&gt;40%)"))))</f>
        <v/>
      </c>
      <c r="Y7510" s="23" t="str">
        <f aca="false">IF(AND(ISNUMBER(C7510),ISNUMBER(D7510)),D7510-C7510,"")</f>
        <v/>
      </c>
      <c r="Z7510" s="23" t="str">
        <f aca="false">IF(B7510="","",IF(MATCH(B7510,$B$2:$B$12000,0)=ROW()-1,1,0))</f>
        <v/>
      </c>
    </row>
    <row r="7511" customFormat="false" ht="15" hidden="false" customHeight="false" outlineLevel="0" collapsed="false">
      <c r="V7511" s="23" t="str">
        <f aca="false">IF(ISNUMBER(C7511),YEAR(C7511),"")</f>
        <v/>
      </c>
      <c r="W7511" s="23" t="str">
        <f aca="false">IF(ISNUMBER(C7511),MONTH(C7511),"")</f>
        <v/>
      </c>
      <c r="X7511" s="23" t="str">
        <f aca="false">IF(T7511="","",IF(T7511=0,"No discount",IF(T7511&lt;=0.2,"Low (1-20%)",IF(T7511&lt;=0.4,"Medium (21-40%)","High (&gt;40%)"))))</f>
        <v/>
      </c>
      <c r="Y7511" s="23" t="str">
        <f aca="false">IF(AND(ISNUMBER(C7511),ISNUMBER(D7511)),D7511-C7511,"")</f>
        <v/>
      </c>
      <c r="Z7511" s="23" t="str">
        <f aca="false">IF(B7511="","",IF(MATCH(B7511,$B$2:$B$12000,0)=ROW()-1,1,0))</f>
        <v/>
      </c>
    </row>
    <row r="7512" customFormat="false" ht="15" hidden="false" customHeight="false" outlineLevel="0" collapsed="false">
      <c r="V7512" s="23" t="str">
        <f aca="false">IF(ISNUMBER(C7512),YEAR(C7512),"")</f>
        <v/>
      </c>
      <c r="W7512" s="23" t="str">
        <f aca="false">IF(ISNUMBER(C7512),MONTH(C7512),"")</f>
        <v/>
      </c>
      <c r="X7512" s="23" t="str">
        <f aca="false">IF(T7512="","",IF(T7512=0,"No discount",IF(T7512&lt;=0.2,"Low (1-20%)",IF(T7512&lt;=0.4,"Medium (21-40%)","High (&gt;40%)"))))</f>
        <v/>
      </c>
      <c r="Y7512" s="23" t="str">
        <f aca="false">IF(AND(ISNUMBER(C7512),ISNUMBER(D7512)),D7512-C7512,"")</f>
        <v/>
      </c>
      <c r="Z7512" s="23" t="str">
        <f aca="false">IF(B7512="","",IF(MATCH(B7512,$B$2:$B$12000,0)=ROW()-1,1,0))</f>
        <v/>
      </c>
    </row>
    <row r="7513" customFormat="false" ht="15" hidden="false" customHeight="false" outlineLevel="0" collapsed="false">
      <c r="V7513" s="23" t="str">
        <f aca="false">IF(ISNUMBER(C7513),YEAR(C7513),"")</f>
        <v/>
      </c>
      <c r="W7513" s="23" t="str">
        <f aca="false">IF(ISNUMBER(C7513),MONTH(C7513),"")</f>
        <v/>
      </c>
      <c r="X7513" s="23" t="str">
        <f aca="false">IF(T7513="","",IF(T7513=0,"No discount",IF(T7513&lt;=0.2,"Low (1-20%)",IF(T7513&lt;=0.4,"Medium (21-40%)","High (&gt;40%)"))))</f>
        <v/>
      </c>
      <c r="Y7513" s="23" t="str">
        <f aca="false">IF(AND(ISNUMBER(C7513),ISNUMBER(D7513)),D7513-C7513,"")</f>
        <v/>
      </c>
      <c r="Z7513" s="23" t="str">
        <f aca="false">IF(B7513="","",IF(MATCH(B7513,$B$2:$B$12000,0)=ROW()-1,1,0))</f>
        <v/>
      </c>
    </row>
    <row r="7514" customFormat="false" ht="15" hidden="false" customHeight="false" outlineLevel="0" collapsed="false">
      <c r="V7514" s="23" t="str">
        <f aca="false">IF(ISNUMBER(C7514),YEAR(C7514),"")</f>
        <v/>
      </c>
      <c r="W7514" s="23" t="str">
        <f aca="false">IF(ISNUMBER(C7514),MONTH(C7514),"")</f>
        <v/>
      </c>
      <c r="X7514" s="23" t="str">
        <f aca="false">IF(T7514="","",IF(T7514=0,"No discount",IF(T7514&lt;=0.2,"Low (1-20%)",IF(T7514&lt;=0.4,"Medium (21-40%)","High (&gt;40%)"))))</f>
        <v/>
      </c>
      <c r="Y7514" s="23" t="str">
        <f aca="false">IF(AND(ISNUMBER(C7514),ISNUMBER(D7514)),D7514-C7514,"")</f>
        <v/>
      </c>
      <c r="Z7514" s="23" t="str">
        <f aca="false">IF(B7514="","",IF(MATCH(B7514,$B$2:$B$12000,0)=ROW()-1,1,0))</f>
        <v/>
      </c>
    </row>
    <row r="7515" customFormat="false" ht="15" hidden="false" customHeight="false" outlineLevel="0" collapsed="false">
      <c r="V7515" s="23" t="str">
        <f aca="false">IF(ISNUMBER(C7515),YEAR(C7515),"")</f>
        <v/>
      </c>
      <c r="W7515" s="23" t="str">
        <f aca="false">IF(ISNUMBER(C7515),MONTH(C7515),"")</f>
        <v/>
      </c>
      <c r="X7515" s="23" t="str">
        <f aca="false">IF(T7515="","",IF(T7515=0,"No discount",IF(T7515&lt;=0.2,"Low (1-20%)",IF(T7515&lt;=0.4,"Medium (21-40%)","High (&gt;40%)"))))</f>
        <v/>
      </c>
      <c r="Y7515" s="23" t="str">
        <f aca="false">IF(AND(ISNUMBER(C7515),ISNUMBER(D7515)),D7515-C7515,"")</f>
        <v/>
      </c>
      <c r="Z7515" s="23" t="str">
        <f aca="false">IF(B7515="","",IF(MATCH(B7515,$B$2:$B$12000,0)=ROW()-1,1,0))</f>
        <v/>
      </c>
    </row>
    <row r="7516" customFormat="false" ht="15" hidden="false" customHeight="false" outlineLevel="0" collapsed="false">
      <c r="V7516" s="23" t="str">
        <f aca="false">IF(ISNUMBER(C7516),YEAR(C7516),"")</f>
        <v/>
      </c>
      <c r="W7516" s="23" t="str">
        <f aca="false">IF(ISNUMBER(C7516),MONTH(C7516),"")</f>
        <v/>
      </c>
      <c r="X7516" s="23" t="str">
        <f aca="false">IF(T7516="","",IF(T7516=0,"No discount",IF(T7516&lt;=0.2,"Low (1-20%)",IF(T7516&lt;=0.4,"Medium (21-40%)","High (&gt;40%)"))))</f>
        <v/>
      </c>
      <c r="Y7516" s="23" t="str">
        <f aca="false">IF(AND(ISNUMBER(C7516),ISNUMBER(D7516)),D7516-C7516,"")</f>
        <v/>
      </c>
      <c r="Z7516" s="23" t="str">
        <f aca="false">IF(B7516="","",IF(MATCH(B7516,$B$2:$B$12000,0)=ROW()-1,1,0))</f>
        <v/>
      </c>
    </row>
    <row r="7517" customFormat="false" ht="15" hidden="false" customHeight="false" outlineLevel="0" collapsed="false">
      <c r="V7517" s="23" t="str">
        <f aca="false">IF(ISNUMBER(C7517),YEAR(C7517),"")</f>
        <v/>
      </c>
      <c r="W7517" s="23" t="str">
        <f aca="false">IF(ISNUMBER(C7517),MONTH(C7517),"")</f>
        <v/>
      </c>
      <c r="X7517" s="23" t="str">
        <f aca="false">IF(T7517="","",IF(T7517=0,"No discount",IF(T7517&lt;=0.2,"Low (1-20%)",IF(T7517&lt;=0.4,"Medium (21-40%)","High (&gt;40%)"))))</f>
        <v/>
      </c>
      <c r="Y7517" s="23" t="str">
        <f aca="false">IF(AND(ISNUMBER(C7517),ISNUMBER(D7517)),D7517-C7517,"")</f>
        <v/>
      </c>
      <c r="Z7517" s="23" t="str">
        <f aca="false">IF(B7517="","",IF(MATCH(B7517,$B$2:$B$12000,0)=ROW()-1,1,0))</f>
        <v/>
      </c>
    </row>
    <row r="7518" customFormat="false" ht="15" hidden="false" customHeight="false" outlineLevel="0" collapsed="false">
      <c r="V7518" s="23" t="str">
        <f aca="false">IF(ISNUMBER(C7518),YEAR(C7518),"")</f>
        <v/>
      </c>
      <c r="W7518" s="23" t="str">
        <f aca="false">IF(ISNUMBER(C7518),MONTH(C7518),"")</f>
        <v/>
      </c>
      <c r="X7518" s="23" t="str">
        <f aca="false">IF(T7518="","",IF(T7518=0,"No discount",IF(T7518&lt;=0.2,"Low (1-20%)",IF(T7518&lt;=0.4,"Medium (21-40%)","High (&gt;40%)"))))</f>
        <v/>
      </c>
      <c r="Y7518" s="23" t="str">
        <f aca="false">IF(AND(ISNUMBER(C7518),ISNUMBER(D7518)),D7518-C7518,"")</f>
        <v/>
      </c>
      <c r="Z7518" s="23" t="str">
        <f aca="false">IF(B7518="","",IF(MATCH(B7518,$B$2:$B$12000,0)=ROW()-1,1,0))</f>
        <v/>
      </c>
    </row>
    <row r="7519" customFormat="false" ht="15" hidden="false" customHeight="false" outlineLevel="0" collapsed="false">
      <c r="V7519" s="23" t="str">
        <f aca="false">IF(ISNUMBER(C7519),YEAR(C7519),"")</f>
        <v/>
      </c>
      <c r="W7519" s="23" t="str">
        <f aca="false">IF(ISNUMBER(C7519),MONTH(C7519),"")</f>
        <v/>
      </c>
      <c r="X7519" s="23" t="str">
        <f aca="false">IF(T7519="","",IF(T7519=0,"No discount",IF(T7519&lt;=0.2,"Low (1-20%)",IF(T7519&lt;=0.4,"Medium (21-40%)","High (&gt;40%)"))))</f>
        <v/>
      </c>
      <c r="Y7519" s="23" t="str">
        <f aca="false">IF(AND(ISNUMBER(C7519),ISNUMBER(D7519)),D7519-C7519,"")</f>
        <v/>
      </c>
      <c r="Z7519" s="23" t="str">
        <f aca="false">IF(B7519="","",IF(MATCH(B7519,$B$2:$B$12000,0)=ROW()-1,1,0))</f>
        <v/>
      </c>
    </row>
    <row r="7520" customFormat="false" ht="15" hidden="false" customHeight="false" outlineLevel="0" collapsed="false">
      <c r="V7520" s="23" t="str">
        <f aca="false">IF(ISNUMBER(C7520),YEAR(C7520),"")</f>
        <v/>
      </c>
      <c r="W7520" s="23" t="str">
        <f aca="false">IF(ISNUMBER(C7520),MONTH(C7520),"")</f>
        <v/>
      </c>
      <c r="X7520" s="23" t="str">
        <f aca="false">IF(T7520="","",IF(T7520=0,"No discount",IF(T7520&lt;=0.2,"Low (1-20%)",IF(T7520&lt;=0.4,"Medium (21-40%)","High (&gt;40%)"))))</f>
        <v/>
      </c>
      <c r="Y7520" s="23" t="str">
        <f aca="false">IF(AND(ISNUMBER(C7520),ISNUMBER(D7520)),D7520-C7520,"")</f>
        <v/>
      </c>
      <c r="Z7520" s="23" t="str">
        <f aca="false">IF(B7520="","",IF(MATCH(B7520,$B$2:$B$12000,0)=ROW()-1,1,0))</f>
        <v/>
      </c>
    </row>
    <row r="7521" customFormat="false" ht="15" hidden="false" customHeight="false" outlineLevel="0" collapsed="false">
      <c r="V7521" s="23" t="str">
        <f aca="false">IF(ISNUMBER(C7521),YEAR(C7521),"")</f>
        <v/>
      </c>
      <c r="W7521" s="23" t="str">
        <f aca="false">IF(ISNUMBER(C7521),MONTH(C7521),"")</f>
        <v/>
      </c>
      <c r="X7521" s="23" t="str">
        <f aca="false">IF(T7521="","",IF(T7521=0,"No discount",IF(T7521&lt;=0.2,"Low (1-20%)",IF(T7521&lt;=0.4,"Medium (21-40%)","High (&gt;40%)"))))</f>
        <v/>
      </c>
      <c r="Y7521" s="23" t="str">
        <f aca="false">IF(AND(ISNUMBER(C7521),ISNUMBER(D7521)),D7521-C7521,"")</f>
        <v/>
      </c>
      <c r="Z7521" s="23" t="str">
        <f aca="false">IF(B7521="","",IF(MATCH(B7521,$B$2:$B$12000,0)=ROW()-1,1,0))</f>
        <v/>
      </c>
    </row>
    <row r="7522" customFormat="false" ht="15" hidden="false" customHeight="false" outlineLevel="0" collapsed="false">
      <c r="V7522" s="23" t="str">
        <f aca="false">IF(ISNUMBER(C7522),YEAR(C7522),"")</f>
        <v/>
      </c>
      <c r="W7522" s="23" t="str">
        <f aca="false">IF(ISNUMBER(C7522),MONTH(C7522),"")</f>
        <v/>
      </c>
      <c r="X7522" s="23" t="str">
        <f aca="false">IF(T7522="","",IF(T7522=0,"No discount",IF(T7522&lt;=0.2,"Low (1-20%)",IF(T7522&lt;=0.4,"Medium (21-40%)","High (&gt;40%)"))))</f>
        <v/>
      </c>
      <c r="Y7522" s="23" t="str">
        <f aca="false">IF(AND(ISNUMBER(C7522),ISNUMBER(D7522)),D7522-C7522,"")</f>
        <v/>
      </c>
      <c r="Z7522" s="23" t="str">
        <f aca="false">IF(B7522="","",IF(MATCH(B7522,$B$2:$B$12000,0)=ROW()-1,1,0))</f>
        <v/>
      </c>
    </row>
    <row r="7523" customFormat="false" ht="15" hidden="false" customHeight="false" outlineLevel="0" collapsed="false">
      <c r="V7523" s="23" t="str">
        <f aca="false">IF(ISNUMBER(C7523),YEAR(C7523),"")</f>
        <v/>
      </c>
      <c r="W7523" s="23" t="str">
        <f aca="false">IF(ISNUMBER(C7523),MONTH(C7523),"")</f>
        <v/>
      </c>
      <c r="X7523" s="23" t="str">
        <f aca="false">IF(T7523="","",IF(T7523=0,"No discount",IF(T7523&lt;=0.2,"Low (1-20%)",IF(T7523&lt;=0.4,"Medium (21-40%)","High (&gt;40%)"))))</f>
        <v/>
      </c>
      <c r="Y7523" s="23" t="str">
        <f aca="false">IF(AND(ISNUMBER(C7523),ISNUMBER(D7523)),D7523-C7523,"")</f>
        <v/>
      </c>
      <c r="Z7523" s="23" t="str">
        <f aca="false">IF(B7523="","",IF(MATCH(B7523,$B$2:$B$12000,0)=ROW()-1,1,0))</f>
        <v/>
      </c>
    </row>
    <row r="7524" customFormat="false" ht="15" hidden="false" customHeight="false" outlineLevel="0" collapsed="false">
      <c r="V7524" s="23" t="str">
        <f aca="false">IF(ISNUMBER(C7524),YEAR(C7524),"")</f>
        <v/>
      </c>
      <c r="W7524" s="23" t="str">
        <f aca="false">IF(ISNUMBER(C7524),MONTH(C7524),"")</f>
        <v/>
      </c>
      <c r="X7524" s="23" t="str">
        <f aca="false">IF(T7524="","",IF(T7524=0,"No discount",IF(T7524&lt;=0.2,"Low (1-20%)",IF(T7524&lt;=0.4,"Medium (21-40%)","High (&gt;40%)"))))</f>
        <v/>
      </c>
      <c r="Y7524" s="23" t="str">
        <f aca="false">IF(AND(ISNUMBER(C7524),ISNUMBER(D7524)),D7524-C7524,"")</f>
        <v/>
      </c>
      <c r="Z7524" s="23" t="str">
        <f aca="false">IF(B7524="","",IF(MATCH(B7524,$B$2:$B$12000,0)=ROW()-1,1,0))</f>
        <v/>
      </c>
    </row>
    <row r="7525" customFormat="false" ht="15" hidden="false" customHeight="false" outlineLevel="0" collapsed="false">
      <c r="V7525" s="23" t="str">
        <f aca="false">IF(ISNUMBER(C7525),YEAR(C7525),"")</f>
        <v/>
      </c>
      <c r="W7525" s="23" t="str">
        <f aca="false">IF(ISNUMBER(C7525),MONTH(C7525),"")</f>
        <v/>
      </c>
      <c r="X7525" s="23" t="str">
        <f aca="false">IF(T7525="","",IF(T7525=0,"No discount",IF(T7525&lt;=0.2,"Low (1-20%)",IF(T7525&lt;=0.4,"Medium (21-40%)","High (&gt;40%)"))))</f>
        <v/>
      </c>
      <c r="Y7525" s="23" t="str">
        <f aca="false">IF(AND(ISNUMBER(C7525),ISNUMBER(D7525)),D7525-C7525,"")</f>
        <v/>
      </c>
      <c r="Z7525" s="23" t="str">
        <f aca="false">IF(B7525="","",IF(MATCH(B7525,$B$2:$B$12000,0)=ROW()-1,1,0))</f>
        <v/>
      </c>
    </row>
    <row r="7526" customFormat="false" ht="15" hidden="false" customHeight="false" outlineLevel="0" collapsed="false">
      <c r="V7526" s="23" t="str">
        <f aca="false">IF(ISNUMBER(C7526),YEAR(C7526),"")</f>
        <v/>
      </c>
      <c r="W7526" s="23" t="str">
        <f aca="false">IF(ISNUMBER(C7526),MONTH(C7526),"")</f>
        <v/>
      </c>
      <c r="X7526" s="23" t="str">
        <f aca="false">IF(T7526="","",IF(T7526=0,"No discount",IF(T7526&lt;=0.2,"Low (1-20%)",IF(T7526&lt;=0.4,"Medium (21-40%)","High (&gt;40%)"))))</f>
        <v/>
      </c>
      <c r="Y7526" s="23" t="str">
        <f aca="false">IF(AND(ISNUMBER(C7526),ISNUMBER(D7526)),D7526-C7526,"")</f>
        <v/>
      </c>
      <c r="Z7526" s="23" t="str">
        <f aca="false">IF(B7526="","",IF(MATCH(B7526,$B$2:$B$12000,0)=ROW()-1,1,0))</f>
        <v/>
      </c>
    </row>
    <row r="7527" customFormat="false" ht="15" hidden="false" customHeight="false" outlineLevel="0" collapsed="false">
      <c r="V7527" s="23" t="str">
        <f aca="false">IF(ISNUMBER(C7527),YEAR(C7527),"")</f>
        <v/>
      </c>
      <c r="W7527" s="23" t="str">
        <f aca="false">IF(ISNUMBER(C7527),MONTH(C7527),"")</f>
        <v/>
      </c>
      <c r="X7527" s="23" t="str">
        <f aca="false">IF(T7527="","",IF(T7527=0,"No discount",IF(T7527&lt;=0.2,"Low (1-20%)",IF(T7527&lt;=0.4,"Medium (21-40%)","High (&gt;40%)"))))</f>
        <v/>
      </c>
      <c r="Y7527" s="23" t="str">
        <f aca="false">IF(AND(ISNUMBER(C7527),ISNUMBER(D7527)),D7527-C7527,"")</f>
        <v/>
      </c>
      <c r="Z7527" s="23" t="str">
        <f aca="false">IF(B7527="","",IF(MATCH(B7527,$B$2:$B$12000,0)=ROW()-1,1,0))</f>
        <v/>
      </c>
    </row>
    <row r="7528" customFormat="false" ht="15" hidden="false" customHeight="false" outlineLevel="0" collapsed="false">
      <c r="V7528" s="23" t="str">
        <f aca="false">IF(ISNUMBER(C7528),YEAR(C7528),"")</f>
        <v/>
      </c>
      <c r="W7528" s="23" t="str">
        <f aca="false">IF(ISNUMBER(C7528),MONTH(C7528),"")</f>
        <v/>
      </c>
      <c r="X7528" s="23" t="str">
        <f aca="false">IF(T7528="","",IF(T7528=0,"No discount",IF(T7528&lt;=0.2,"Low (1-20%)",IF(T7528&lt;=0.4,"Medium (21-40%)","High (&gt;40%)"))))</f>
        <v/>
      </c>
      <c r="Y7528" s="23" t="str">
        <f aca="false">IF(AND(ISNUMBER(C7528),ISNUMBER(D7528)),D7528-C7528,"")</f>
        <v/>
      </c>
      <c r="Z7528" s="23" t="str">
        <f aca="false">IF(B7528="","",IF(MATCH(B7528,$B$2:$B$12000,0)=ROW()-1,1,0))</f>
        <v/>
      </c>
    </row>
    <row r="7529" customFormat="false" ht="15" hidden="false" customHeight="false" outlineLevel="0" collapsed="false">
      <c r="V7529" s="23" t="str">
        <f aca="false">IF(ISNUMBER(C7529),YEAR(C7529),"")</f>
        <v/>
      </c>
      <c r="W7529" s="23" t="str">
        <f aca="false">IF(ISNUMBER(C7529),MONTH(C7529),"")</f>
        <v/>
      </c>
      <c r="X7529" s="23" t="str">
        <f aca="false">IF(T7529="","",IF(T7529=0,"No discount",IF(T7529&lt;=0.2,"Low (1-20%)",IF(T7529&lt;=0.4,"Medium (21-40%)","High (&gt;40%)"))))</f>
        <v/>
      </c>
      <c r="Y7529" s="23" t="str">
        <f aca="false">IF(AND(ISNUMBER(C7529),ISNUMBER(D7529)),D7529-C7529,"")</f>
        <v/>
      </c>
      <c r="Z7529" s="23" t="str">
        <f aca="false">IF(B7529="","",IF(MATCH(B7529,$B$2:$B$12000,0)=ROW()-1,1,0))</f>
        <v/>
      </c>
    </row>
    <row r="7530" customFormat="false" ht="15" hidden="false" customHeight="false" outlineLevel="0" collapsed="false">
      <c r="V7530" s="23" t="str">
        <f aca="false">IF(ISNUMBER(C7530),YEAR(C7530),"")</f>
        <v/>
      </c>
      <c r="W7530" s="23" t="str">
        <f aca="false">IF(ISNUMBER(C7530),MONTH(C7530),"")</f>
        <v/>
      </c>
      <c r="X7530" s="23" t="str">
        <f aca="false">IF(T7530="","",IF(T7530=0,"No discount",IF(T7530&lt;=0.2,"Low (1-20%)",IF(T7530&lt;=0.4,"Medium (21-40%)","High (&gt;40%)"))))</f>
        <v/>
      </c>
      <c r="Y7530" s="23" t="str">
        <f aca="false">IF(AND(ISNUMBER(C7530),ISNUMBER(D7530)),D7530-C7530,"")</f>
        <v/>
      </c>
      <c r="Z7530" s="23" t="str">
        <f aca="false">IF(B7530="","",IF(MATCH(B7530,$B$2:$B$12000,0)=ROW()-1,1,0))</f>
        <v/>
      </c>
    </row>
    <row r="7531" customFormat="false" ht="15" hidden="false" customHeight="false" outlineLevel="0" collapsed="false">
      <c r="V7531" s="23" t="str">
        <f aca="false">IF(ISNUMBER(C7531),YEAR(C7531),"")</f>
        <v/>
      </c>
      <c r="W7531" s="23" t="str">
        <f aca="false">IF(ISNUMBER(C7531),MONTH(C7531),"")</f>
        <v/>
      </c>
      <c r="X7531" s="23" t="str">
        <f aca="false">IF(T7531="","",IF(T7531=0,"No discount",IF(T7531&lt;=0.2,"Low (1-20%)",IF(T7531&lt;=0.4,"Medium (21-40%)","High (&gt;40%)"))))</f>
        <v/>
      </c>
      <c r="Y7531" s="23" t="str">
        <f aca="false">IF(AND(ISNUMBER(C7531),ISNUMBER(D7531)),D7531-C7531,"")</f>
        <v/>
      </c>
      <c r="Z7531" s="23" t="str">
        <f aca="false">IF(B7531="","",IF(MATCH(B7531,$B$2:$B$12000,0)=ROW()-1,1,0))</f>
        <v/>
      </c>
    </row>
    <row r="7532" customFormat="false" ht="15" hidden="false" customHeight="false" outlineLevel="0" collapsed="false">
      <c r="V7532" s="23" t="str">
        <f aca="false">IF(ISNUMBER(C7532),YEAR(C7532),"")</f>
        <v/>
      </c>
      <c r="W7532" s="23" t="str">
        <f aca="false">IF(ISNUMBER(C7532),MONTH(C7532),"")</f>
        <v/>
      </c>
      <c r="X7532" s="23" t="str">
        <f aca="false">IF(T7532="","",IF(T7532=0,"No discount",IF(T7532&lt;=0.2,"Low (1-20%)",IF(T7532&lt;=0.4,"Medium (21-40%)","High (&gt;40%)"))))</f>
        <v/>
      </c>
      <c r="Y7532" s="23" t="str">
        <f aca="false">IF(AND(ISNUMBER(C7532),ISNUMBER(D7532)),D7532-C7532,"")</f>
        <v/>
      </c>
      <c r="Z7532" s="23" t="str">
        <f aca="false">IF(B7532="","",IF(MATCH(B7532,$B$2:$B$12000,0)=ROW()-1,1,0))</f>
        <v/>
      </c>
    </row>
    <row r="7533" customFormat="false" ht="15" hidden="false" customHeight="false" outlineLevel="0" collapsed="false">
      <c r="V7533" s="23" t="str">
        <f aca="false">IF(ISNUMBER(C7533),YEAR(C7533),"")</f>
        <v/>
      </c>
      <c r="W7533" s="23" t="str">
        <f aca="false">IF(ISNUMBER(C7533),MONTH(C7533),"")</f>
        <v/>
      </c>
      <c r="X7533" s="23" t="str">
        <f aca="false">IF(T7533="","",IF(T7533=0,"No discount",IF(T7533&lt;=0.2,"Low (1-20%)",IF(T7533&lt;=0.4,"Medium (21-40%)","High (&gt;40%)"))))</f>
        <v/>
      </c>
      <c r="Y7533" s="23" t="str">
        <f aca="false">IF(AND(ISNUMBER(C7533),ISNUMBER(D7533)),D7533-C7533,"")</f>
        <v/>
      </c>
      <c r="Z7533" s="23" t="str">
        <f aca="false">IF(B7533="","",IF(MATCH(B7533,$B$2:$B$12000,0)=ROW()-1,1,0))</f>
        <v/>
      </c>
    </row>
    <row r="7534" customFormat="false" ht="15" hidden="false" customHeight="false" outlineLevel="0" collapsed="false">
      <c r="V7534" s="23" t="str">
        <f aca="false">IF(ISNUMBER(C7534),YEAR(C7534),"")</f>
        <v/>
      </c>
      <c r="W7534" s="23" t="str">
        <f aca="false">IF(ISNUMBER(C7534),MONTH(C7534),"")</f>
        <v/>
      </c>
      <c r="X7534" s="23" t="str">
        <f aca="false">IF(T7534="","",IF(T7534=0,"No discount",IF(T7534&lt;=0.2,"Low (1-20%)",IF(T7534&lt;=0.4,"Medium (21-40%)","High (&gt;40%)"))))</f>
        <v/>
      </c>
      <c r="Y7534" s="23" t="str">
        <f aca="false">IF(AND(ISNUMBER(C7534),ISNUMBER(D7534)),D7534-C7534,"")</f>
        <v/>
      </c>
      <c r="Z7534" s="23" t="str">
        <f aca="false">IF(B7534="","",IF(MATCH(B7534,$B$2:$B$12000,0)=ROW()-1,1,0))</f>
        <v/>
      </c>
    </row>
    <row r="7535" customFormat="false" ht="15" hidden="false" customHeight="false" outlineLevel="0" collapsed="false">
      <c r="V7535" s="23" t="str">
        <f aca="false">IF(ISNUMBER(C7535),YEAR(C7535),"")</f>
        <v/>
      </c>
      <c r="W7535" s="23" t="str">
        <f aca="false">IF(ISNUMBER(C7535),MONTH(C7535),"")</f>
        <v/>
      </c>
      <c r="X7535" s="23" t="str">
        <f aca="false">IF(T7535="","",IF(T7535=0,"No discount",IF(T7535&lt;=0.2,"Low (1-20%)",IF(T7535&lt;=0.4,"Medium (21-40%)","High (&gt;40%)"))))</f>
        <v/>
      </c>
      <c r="Y7535" s="23" t="str">
        <f aca="false">IF(AND(ISNUMBER(C7535),ISNUMBER(D7535)),D7535-C7535,"")</f>
        <v/>
      </c>
      <c r="Z7535" s="23" t="str">
        <f aca="false">IF(B7535="","",IF(MATCH(B7535,$B$2:$B$12000,0)=ROW()-1,1,0))</f>
        <v/>
      </c>
    </row>
    <row r="7536" customFormat="false" ht="15" hidden="false" customHeight="false" outlineLevel="0" collapsed="false">
      <c r="V7536" s="23" t="str">
        <f aca="false">IF(ISNUMBER(C7536),YEAR(C7536),"")</f>
        <v/>
      </c>
      <c r="W7536" s="23" t="str">
        <f aca="false">IF(ISNUMBER(C7536),MONTH(C7536),"")</f>
        <v/>
      </c>
      <c r="X7536" s="23" t="str">
        <f aca="false">IF(T7536="","",IF(T7536=0,"No discount",IF(T7536&lt;=0.2,"Low (1-20%)",IF(T7536&lt;=0.4,"Medium (21-40%)","High (&gt;40%)"))))</f>
        <v/>
      </c>
      <c r="Y7536" s="23" t="str">
        <f aca="false">IF(AND(ISNUMBER(C7536),ISNUMBER(D7536)),D7536-C7536,"")</f>
        <v/>
      </c>
      <c r="Z7536" s="23" t="str">
        <f aca="false">IF(B7536="","",IF(MATCH(B7536,$B$2:$B$12000,0)=ROW()-1,1,0))</f>
        <v/>
      </c>
    </row>
    <row r="7537" customFormat="false" ht="15" hidden="false" customHeight="false" outlineLevel="0" collapsed="false">
      <c r="V7537" s="23" t="str">
        <f aca="false">IF(ISNUMBER(C7537),YEAR(C7537),"")</f>
        <v/>
      </c>
      <c r="W7537" s="23" t="str">
        <f aca="false">IF(ISNUMBER(C7537),MONTH(C7537),"")</f>
        <v/>
      </c>
      <c r="X7537" s="23" t="str">
        <f aca="false">IF(T7537="","",IF(T7537=0,"No discount",IF(T7537&lt;=0.2,"Low (1-20%)",IF(T7537&lt;=0.4,"Medium (21-40%)","High (&gt;40%)"))))</f>
        <v/>
      </c>
      <c r="Y7537" s="23" t="str">
        <f aca="false">IF(AND(ISNUMBER(C7537),ISNUMBER(D7537)),D7537-C7537,"")</f>
        <v/>
      </c>
      <c r="Z7537" s="23" t="str">
        <f aca="false">IF(B7537="","",IF(MATCH(B7537,$B$2:$B$12000,0)=ROW()-1,1,0))</f>
        <v/>
      </c>
    </row>
    <row r="7538" customFormat="false" ht="15" hidden="false" customHeight="false" outlineLevel="0" collapsed="false">
      <c r="V7538" s="23" t="str">
        <f aca="false">IF(ISNUMBER(C7538),YEAR(C7538),"")</f>
        <v/>
      </c>
      <c r="W7538" s="23" t="str">
        <f aca="false">IF(ISNUMBER(C7538),MONTH(C7538),"")</f>
        <v/>
      </c>
      <c r="X7538" s="23" t="str">
        <f aca="false">IF(T7538="","",IF(T7538=0,"No discount",IF(T7538&lt;=0.2,"Low (1-20%)",IF(T7538&lt;=0.4,"Medium (21-40%)","High (&gt;40%)"))))</f>
        <v/>
      </c>
      <c r="Y7538" s="23" t="str">
        <f aca="false">IF(AND(ISNUMBER(C7538),ISNUMBER(D7538)),D7538-C7538,"")</f>
        <v/>
      </c>
      <c r="Z7538" s="23" t="str">
        <f aca="false">IF(B7538="","",IF(MATCH(B7538,$B$2:$B$12000,0)=ROW()-1,1,0))</f>
        <v/>
      </c>
    </row>
    <row r="7539" customFormat="false" ht="15" hidden="false" customHeight="false" outlineLevel="0" collapsed="false">
      <c r="V7539" s="23" t="str">
        <f aca="false">IF(ISNUMBER(C7539),YEAR(C7539),"")</f>
        <v/>
      </c>
      <c r="W7539" s="23" t="str">
        <f aca="false">IF(ISNUMBER(C7539),MONTH(C7539),"")</f>
        <v/>
      </c>
      <c r="X7539" s="23" t="str">
        <f aca="false">IF(T7539="","",IF(T7539=0,"No discount",IF(T7539&lt;=0.2,"Low (1-20%)",IF(T7539&lt;=0.4,"Medium (21-40%)","High (&gt;40%)"))))</f>
        <v/>
      </c>
      <c r="Y7539" s="23" t="str">
        <f aca="false">IF(AND(ISNUMBER(C7539),ISNUMBER(D7539)),D7539-C7539,"")</f>
        <v/>
      </c>
      <c r="Z7539" s="23" t="str">
        <f aca="false">IF(B7539="","",IF(MATCH(B7539,$B$2:$B$12000,0)=ROW()-1,1,0))</f>
        <v/>
      </c>
    </row>
    <row r="7540" customFormat="false" ht="15" hidden="false" customHeight="false" outlineLevel="0" collapsed="false">
      <c r="V7540" s="23" t="str">
        <f aca="false">IF(ISNUMBER(C7540),YEAR(C7540),"")</f>
        <v/>
      </c>
      <c r="W7540" s="23" t="str">
        <f aca="false">IF(ISNUMBER(C7540),MONTH(C7540),"")</f>
        <v/>
      </c>
      <c r="X7540" s="23" t="str">
        <f aca="false">IF(T7540="","",IF(T7540=0,"No discount",IF(T7540&lt;=0.2,"Low (1-20%)",IF(T7540&lt;=0.4,"Medium (21-40%)","High (&gt;40%)"))))</f>
        <v/>
      </c>
      <c r="Y7540" s="23" t="str">
        <f aca="false">IF(AND(ISNUMBER(C7540),ISNUMBER(D7540)),D7540-C7540,"")</f>
        <v/>
      </c>
      <c r="Z7540" s="23" t="str">
        <f aca="false">IF(B7540="","",IF(MATCH(B7540,$B$2:$B$12000,0)=ROW()-1,1,0))</f>
        <v/>
      </c>
    </row>
    <row r="7541" customFormat="false" ht="15" hidden="false" customHeight="false" outlineLevel="0" collapsed="false">
      <c r="V7541" s="23" t="str">
        <f aca="false">IF(ISNUMBER(C7541),YEAR(C7541),"")</f>
        <v/>
      </c>
      <c r="W7541" s="23" t="str">
        <f aca="false">IF(ISNUMBER(C7541),MONTH(C7541),"")</f>
        <v/>
      </c>
      <c r="X7541" s="23" t="str">
        <f aca="false">IF(T7541="","",IF(T7541=0,"No discount",IF(T7541&lt;=0.2,"Low (1-20%)",IF(T7541&lt;=0.4,"Medium (21-40%)","High (&gt;40%)"))))</f>
        <v/>
      </c>
      <c r="Y7541" s="23" t="str">
        <f aca="false">IF(AND(ISNUMBER(C7541),ISNUMBER(D7541)),D7541-C7541,"")</f>
        <v/>
      </c>
      <c r="Z7541" s="23" t="str">
        <f aca="false">IF(B7541="","",IF(MATCH(B7541,$B$2:$B$12000,0)=ROW()-1,1,0))</f>
        <v/>
      </c>
    </row>
    <row r="7542" customFormat="false" ht="15" hidden="false" customHeight="false" outlineLevel="0" collapsed="false">
      <c r="V7542" s="23" t="str">
        <f aca="false">IF(ISNUMBER(C7542),YEAR(C7542),"")</f>
        <v/>
      </c>
      <c r="W7542" s="23" t="str">
        <f aca="false">IF(ISNUMBER(C7542),MONTH(C7542),"")</f>
        <v/>
      </c>
      <c r="X7542" s="23" t="str">
        <f aca="false">IF(T7542="","",IF(T7542=0,"No discount",IF(T7542&lt;=0.2,"Low (1-20%)",IF(T7542&lt;=0.4,"Medium (21-40%)","High (&gt;40%)"))))</f>
        <v/>
      </c>
      <c r="Y7542" s="23" t="str">
        <f aca="false">IF(AND(ISNUMBER(C7542),ISNUMBER(D7542)),D7542-C7542,"")</f>
        <v/>
      </c>
      <c r="Z7542" s="23" t="str">
        <f aca="false">IF(B7542="","",IF(MATCH(B7542,$B$2:$B$12000,0)=ROW()-1,1,0))</f>
        <v/>
      </c>
    </row>
    <row r="7543" customFormat="false" ht="15" hidden="false" customHeight="false" outlineLevel="0" collapsed="false">
      <c r="V7543" s="23" t="str">
        <f aca="false">IF(ISNUMBER(C7543),YEAR(C7543),"")</f>
        <v/>
      </c>
      <c r="W7543" s="23" t="str">
        <f aca="false">IF(ISNUMBER(C7543),MONTH(C7543),"")</f>
        <v/>
      </c>
      <c r="X7543" s="23" t="str">
        <f aca="false">IF(T7543="","",IF(T7543=0,"No discount",IF(T7543&lt;=0.2,"Low (1-20%)",IF(T7543&lt;=0.4,"Medium (21-40%)","High (&gt;40%)"))))</f>
        <v/>
      </c>
      <c r="Y7543" s="23" t="str">
        <f aca="false">IF(AND(ISNUMBER(C7543),ISNUMBER(D7543)),D7543-C7543,"")</f>
        <v/>
      </c>
      <c r="Z7543" s="23" t="str">
        <f aca="false">IF(B7543="","",IF(MATCH(B7543,$B$2:$B$12000,0)=ROW()-1,1,0))</f>
        <v/>
      </c>
    </row>
    <row r="7544" customFormat="false" ht="15" hidden="false" customHeight="false" outlineLevel="0" collapsed="false">
      <c r="V7544" s="23" t="str">
        <f aca="false">IF(ISNUMBER(C7544),YEAR(C7544),"")</f>
        <v/>
      </c>
      <c r="W7544" s="23" t="str">
        <f aca="false">IF(ISNUMBER(C7544),MONTH(C7544),"")</f>
        <v/>
      </c>
      <c r="X7544" s="23" t="str">
        <f aca="false">IF(T7544="","",IF(T7544=0,"No discount",IF(T7544&lt;=0.2,"Low (1-20%)",IF(T7544&lt;=0.4,"Medium (21-40%)","High (&gt;40%)"))))</f>
        <v/>
      </c>
      <c r="Y7544" s="23" t="str">
        <f aca="false">IF(AND(ISNUMBER(C7544),ISNUMBER(D7544)),D7544-C7544,"")</f>
        <v/>
      </c>
      <c r="Z7544" s="23" t="str">
        <f aca="false">IF(B7544="","",IF(MATCH(B7544,$B$2:$B$12000,0)=ROW()-1,1,0))</f>
        <v/>
      </c>
    </row>
    <row r="7545" customFormat="false" ht="15" hidden="false" customHeight="false" outlineLevel="0" collapsed="false">
      <c r="V7545" s="23" t="str">
        <f aca="false">IF(ISNUMBER(C7545),YEAR(C7545),"")</f>
        <v/>
      </c>
      <c r="W7545" s="23" t="str">
        <f aca="false">IF(ISNUMBER(C7545),MONTH(C7545),"")</f>
        <v/>
      </c>
      <c r="X7545" s="23" t="str">
        <f aca="false">IF(T7545="","",IF(T7545=0,"No discount",IF(T7545&lt;=0.2,"Low (1-20%)",IF(T7545&lt;=0.4,"Medium (21-40%)","High (&gt;40%)"))))</f>
        <v/>
      </c>
      <c r="Y7545" s="23" t="str">
        <f aca="false">IF(AND(ISNUMBER(C7545),ISNUMBER(D7545)),D7545-C7545,"")</f>
        <v/>
      </c>
      <c r="Z7545" s="23" t="str">
        <f aca="false">IF(B7545="","",IF(MATCH(B7545,$B$2:$B$12000,0)=ROW()-1,1,0))</f>
        <v/>
      </c>
    </row>
    <row r="7546" customFormat="false" ht="15" hidden="false" customHeight="false" outlineLevel="0" collapsed="false">
      <c r="V7546" s="23" t="str">
        <f aca="false">IF(ISNUMBER(C7546),YEAR(C7546),"")</f>
        <v/>
      </c>
      <c r="W7546" s="23" t="str">
        <f aca="false">IF(ISNUMBER(C7546),MONTH(C7546),"")</f>
        <v/>
      </c>
      <c r="X7546" s="23" t="str">
        <f aca="false">IF(T7546="","",IF(T7546=0,"No discount",IF(T7546&lt;=0.2,"Low (1-20%)",IF(T7546&lt;=0.4,"Medium (21-40%)","High (&gt;40%)"))))</f>
        <v/>
      </c>
      <c r="Y7546" s="23" t="str">
        <f aca="false">IF(AND(ISNUMBER(C7546),ISNUMBER(D7546)),D7546-C7546,"")</f>
        <v/>
      </c>
      <c r="Z7546" s="23" t="str">
        <f aca="false">IF(B7546="","",IF(MATCH(B7546,$B$2:$B$12000,0)=ROW()-1,1,0))</f>
        <v/>
      </c>
    </row>
    <row r="7547" customFormat="false" ht="15" hidden="false" customHeight="false" outlineLevel="0" collapsed="false">
      <c r="V7547" s="23" t="str">
        <f aca="false">IF(ISNUMBER(C7547),YEAR(C7547),"")</f>
        <v/>
      </c>
      <c r="W7547" s="23" t="str">
        <f aca="false">IF(ISNUMBER(C7547),MONTH(C7547),"")</f>
        <v/>
      </c>
      <c r="X7547" s="23" t="str">
        <f aca="false">IF(T7547="","",IF(T7547=0,"No discount",IF(T7547&lt;=0.2,"Low (1-20%)",IF(T7547&lt;=0.4,"Medium (21-40%)","High (&gt;40%)"))))</f>
        <v/>
      </c>
      <c r="Y7547" s="23" t="str">
        <f aca="false">IF(AND(ISNUMBER(C7547),ISNUMBER(D7547)),D7547-C7547,"")</f>
        <v/>
      </c>
      <c r="Z7547" s="23" t="str">
        <f aca="false">IF(B7547="","",IF(MATCH(B7547,$B$2:$B$12000,0)=ROW()-1,1,0))</f>
        <v/>
      </c>
    </row>
    <row r="7548" customFormat="false" ht="15" hidden="false" customHeight="false" outlineLevel="0" collapsed="false">
      <c r="V7548" s="23" t="str">
        <f aca="false">IF(ISNUMBER(C7548),YEAR(C7548),"")</f>
        <v/>
      </c>
      <c r="W7548" s="23" t="str">
        <f aca="false">IF(ISNUMBER(C7548),MONTH(C7548),"")</f>
        <v/>
      </c>
      <c r="X7548" s="23" t="str">
        <f aca="false">IF(T7548="","",IF(T7548=0,"No discount",IF(T7548&lt;=0.2,"Low (1-20%)",IF(T7548&lt;=0.4,"Medium (21-40%)","High (&gt;40%)"))))</f>
        <v/>
      </c>
      <c r="Y7548" s="23" t="str">
        <f aca="false">IF(AND(ISNUMBER(C7548),ISNUMBER(D7548)),D7548-C7548,"")</f>
        <v/>
      </c>
      <c r="Z7548" s="23" t="str">
        <f aca="false">IF(B7548="","",IF(MATCH(B7548,$B$2:$B$12000,0)=ROW()-1,1,0))</f>
        <v/>
      </c>
    </row>
    <row r="7549" customFormat="false" ht="15" hidden="false" customHeight="false" outlineLevel="0" collapsed="false">
      <c r="V7549" s="23" t="str">
        <f aca="false">IF(ISNUMBER(C7549),YEAR(C7549),"")</f>
        <v/>
      </c>
      <c r="W7549" s="23" t="str">
        <f aca="false">IF(ISNUMBER(C7549),MONTH(C7549),"")</f>
        <v/>
      </c>
      <c r="X7549" s="23" t="str">
        <f aca="false">IF(T7549="","",IF(T7549=0,"No discount",IF(T7549&lt;=0.2,"Low (1-20%)",IF(T7549&lt;=0.4,"Medium (21-40%)","High (&gt;40%)"))))</f>
        <v/>
      </c>
      <c r="Y7549" s="23" t="str">
        <f aca="false">IF(AND(ISNUMBER(C7549),ISNUMBER(D7549)),D7549-C7549,"")</f>
        <v/>
      </c>
      <c r="Z7549" s="23" t="str">
        <f aca="false">IF(B7549="","",IF(MATCH(B7549,$B$2:$B$12000,0)=ROW()-1,1,0))</f>
        <v/>
      </c>
    </row>
    <row r="7550" customFormat="false" ht="15" hidden="false" customHeight="false" outlineLevel="0" collapsed="false">
      <c r="V7550" s="23" t="str">
        <f aca="false">IF(ISNUMBER(C7550),YEAR(C7550),"")</f>
        <v/>
      </c>
      <c r="W7550" s="23" t="str">
        <f aca="false">IF(ISNUMBER(C7550),MONTH(C7550),"")</f>
        <v/>
      </c>
      <c r="X7550" s="23" t="str">
        <f aca="false">IF(T7550="","",IF(T7550=0,"No discount",IF(T7550&lt;=0.2,"Low (1-20%)",IF(T7550&lt;=0.4,"Medium (21-40%)","High (&gt;40%)"))))</f>
        <v/>
      </c>
      <c r="Y7550" s="23" t="str">
        <f aca="false">IF(AND(ISNUMBER(C7550),ISNUMBER(D7550)),D7550-C7550,"")</f>
        <v/>
      </c>
      <c r="Z7550" s="23" t="str">
        <f aca="false">IF(B7550="","",IF(MATCH(B7550,$B$2:$B$12000,0)=ROW()-1,1,0))</f>
        <v/>
      </c>
    </row>
    <row r="7551" customFormat="false" ht="15" hidden="false" customHeight="false" outlineLevel="0" collapsed="false">
      <c r="V7551" s="23" t="str">
        <f aca="false">IF(ISNUMBER(C7551),YEAR(C7551),"")</f>
        <v/>
      </c>
      <c r="W7551" s="23" t="str">
        <f aca="false">IF(ISNUMBER(C7551),MONTH(C7551),"")</f>
        <v/>
      </c>
      <c r="X7551" s="23" t="str">
        <f aca="false">IF(T7551="","",IF(T7551=0,"No discount",IF(T7551&lt;=0.2,"Low (1-20%)",IF(T7551&lt;=0.4,"Medium (21-40%)","High (&gt;40%)"))))</f>
        <v/>
      </c>
      <c r="Y7551" s="23" t="str">
        <f aca="false">IF(AND(ISNUMBER(C7551),ISNUMBER(D7551)),D7551-C7551,"")</f>
        <v/>
      </c>
      <c r="Z7551" s="23" t="str">
        <f aca="false">IF(B7551="","",IF(MATCH(B7551,$B$2:$B$12000,0)=ROW()-1,1,0))</f>
        <v/>
      </c>
    </row>
    <row r="7552" customFormat="false" ht="15" hidden="false" customHeight="false" outlineLevel="0" collapsed="false">
      <c r="V7552" s="23" t="str">
        <f aca="false">IF(ISNUMBER(C7552),YEAR(C7552),"")</f>
        <v/>
      </c>
      <c r="W7552" s="23" t="str">
        <f aca="false">IF(ISNUMBER(C7552),MONTH(C7552),"")</f>
        <v/>
      </c>
      <c r="X7552" s="23" t="str">
        <f aca="false">IF(T7552="","",IF(T7552=0,"No discount",IF(T7552&lt;=0.2,"Low (1-20%)",IF(T7552&lt;=0.4,"Medium (21-40%)","High (&gt;40%)"))))</f>
        <v/>
      </c>
      <c r="Y7552" s="23" t="str">
        <f aca="false">IF(AND(ISNUMBER(C7552),ISNUMBER(D7552)),D7552-C7552,"")</f>
        <v/>
      </c>
      <c r="Z7552" s="23" t="str">
        <f aca="false">IF(B7552="","",IF(MATCH(B7552,$B$2:$B$12000,0)=ROW()-1,1,0))</f>
        <v/>
      </c>
    </row>
    <row r="7553" customFormat="false" ht="15" hidden="false" customHeight="false" outlineLevel="0" collapsed="false">
      <c r="V7553" s="23" t="str">
        <f aca="false">IF(ISNUMBER(C7553),YEAR(C7553),"")</f>
        <v/>
      </c>
      <c r="W7553" s="23" t="str">
        <f aca="false">IF(ISNUMBER(C7553),MONTH(C7553),"")</f>
        <v/>
      </c>
      <c r="X7553" s="23" t="str">
        <f aca="false">IF(T7553="","",IF(T7553=0,"No discount",IF(T7553&lt;=0.2,"Low (1-20%)",IF(T7553&lt;=0.4,"Medium (21-40%)","High (&gt;40%)"))))</f>
        <v/>
      </c>
      <c r="Y7553" s="23" t="str">
        <f aca="false">IF(AND(ISNUMBER(C7553),ISNUMBER(D7553)),D7553-C7553,"")</f>
        <v/>
      </c>
      <c r="Z7553" s="23" t="str">
        <f aca="false">IF(B7553="","",IF(MATCH(B7553,$B$2:$B$12000,0)=ROW()-1,1,0))</f>
        <v/>
      </c>
    </row>
    <row r="7554" customFormat="false" ht="15" hidden="false" customHeight="false" outlineLevel="0" collapsed="false">
      <c r="V7554" s="23" t="str">
        <f aca="false">IF(ISNUMBER(C7554),YEAR(C7554),"")</f>
        <v/>
      </c>
      <c r="W7554" s="23" t="str">
        <f aca="false">IF(ISNUMBER(C7554),MONTH(C7554),"")</f>
        <v/>
      </c>
      <c r="X7554" s="23" t="str">
        <f aca="false">IF(T7554="","",IF(T7554=0,"No discount",IF(T7554&lt;=0.2,"Low (1-20%)",IF(T7554&lt;=0.4,"Medium (21-40%)","High (&gt;40%)"))))</f>
        <v/>
      </c>
      <c r="Y7554" s="23" t="str">
        <f aca="false">IF(AND(ISNUMBER(C7554),ISNUMBER(D7554)),D7554-C7554,"")</f>
        <v/>
      </c>
      <c r="Z7554" s="23" t="str">
        <f aca="false">IF(B7554="","",IF(MATCH(B7554,$B$2:$B$12000,0)=ROW()-1,1,0))</f>
        <v/>
      </c>
    </row>
    <row r="7555" customFormat="false" ht="15" hidden="false" customHeight="false" outlineLevel="0" collapsed="false">
      <c r="V7555" s="23" t="str">
        <f aca="false">IF(ISNUMBER(C7555),YEAR(C7555),"")</f>
        <v/>
      </c>
      <c r="W7555" s="23" t="str">
        <f aca="false">IF(ISNUMBER(C7555),MONTH(C7555),"")</f>
        <v/>
      </c>
      <c r="X7555" s="23" t="str">
        <f aca="false">IF(T7555="","",IF(T7555=0,"No discount",IF(T7555&lt;=0.2,"Low (1-20%)",IF(T7555&lt;=0.4,"Medium (21-40%)","High (&gt;40%)"))))</f>
        <v/>
      </c>
      <c r="Y7555" s="23" t="str">
        <f aca="false">IF(AND(ISNUMBER(C7555),ISNUMBER(D7555)),D7555-C7555,"")</f>
        <v/>
      </c>
      <c r="Z7555" s="23" t="str">
        <f aca="false">IF(B7555="","",IF(MATCH(B7555,$B$2:$B$12000,0)=ROW()-1,1,0))</f>
        <v/>
      </c>
    </row>
    <row r="7556" customFormat="false" ht="15" hidden="false" customHeight="false" outlineLevel="0" collapsed="false">
      <c r="V7556" s="23" t="str">
        <f aca="false">IF(ISNUMBER(C7556),YEAR(C7556),"")</f>
        <v/>
      </c>
      <c r="W7556" s="23" t="str">
        <f aca="false">IF(ISNUMBER(C7556),MONTH(C7556),"")</f>
        <v/>
      </c>
      <c r="X7556" s="23" t="str">
        <f aca="false">IF(T7556="","",IF(T7556=0,"No discount",IF(T7556&lt;=0.2,"Low (1-20%)",IF(T7556&lt;=0.4,"Medium (21-40%)","High (&gt;40%)"))))</f>
        <v/>
      </c>
      <c r="Y7556" s="23" t="str">
        <f aca="false">IF(AND(ISNUMBER(C7556),ISNUMBER(D7556)),D7556-C7556,"")</f>
        <v/>
      </c>
      <c r="Z7556" s="23" t="str">
        <f aca="false">IF(B7556="","",IF(MATCH(B7556,$B$2:$B$12000,0)=ROW()-1,1,0))</f>
        <v/>
      </c>
    </row>
    <row r="7557" customFormat="false" ht="15" hidden="false" customHeight="false" outlineLevel="0" collapsed="false">
      <c r="V7557" s="23" t="str">
        <f aca="false">IF(ISNUMBER(C7557),YEAR(C7557),"")</f>
        <v/>
      </c>
      <c r="W7557" s="23" t="str">
        <f aca="false">IF(ISNUMBER(C7557),MONTH(C7557),"")</f>
        <v/>
      </c>
      <c r="X7557" s="23" t="str">
        <f aca="false">IF(T7557="","",IF(T7557=0,"No discount",IF(T7557&lt;=0.2,"Low (1-20%)",IF(T7557&lt;=0.4,"Medium (21-40%)","High (&gt;40%)"))))</f>
        <v/>
      </c>
      <c r="Y7557" s="23" t="str">
        <f aca="false">IF(AND(ISNUMBER(C7557),ISNUMBER(D7557)),D7557-C7557,"")</f>
        <v/>
      </c>
      <c r="Z7557" s="23" t="str">
        <f aca="false">IF(B7557="","",IF(MATCH(B7557,$B$2:$B$12000,0)=ROW()-1,1,0))</f>
        <v/>
      </c>
    </row>
    <row r="7558" customFormat="false" ht="15" hidden="false" customHeight="false" outlineLevel="0" collapsed="false">
      <c r="V7558" s="23" t="str">
        <f aca="false">IF(ISNUMBER(C7558),YEAR(C7558),"")</f>
        <v/>
      </c>
      <c r="W7558" s="23" t="str">
        <f aca="false">IF(ISNUMBER(C7558),MONTH(C7558),"")</f>
        <v/>
      </c>
      <c r="X7558" s="23" t="str">
        <f aca="false">IF(T7558="","",IF(T7558=0,"No discount",IF(T7558&lt;=0.2,"Low (1-20%)",IF(T7558&lt;=0.4,"Medium (21-40%)","High (&gt;40%)"))))</f>
        <v/>
      </c>
      <c r="Y7558" s="23" t="str">
        <f aca="false">IF(AND(ISNUMBER(C7558),ISNUMBER(D7558)),D7558-C7558,"")</f>
        <v/>
      </c>
      <c r="Z7558" s="23" t="str">
        <f aca="false">IF(B7558="","",IF(MATCH(B7558,$B$2:$B$12000,0)=ROW()-1,1,0))</f>
        <v/>
      </c>
    </row>
    <row r="7559" customFormat="false" ht="15" hidden="false" customHeight="false" outlineLevel="0" collapsed="false">
      <c r="V7559" s="23" t="str">
        <f aca="false">IF(ISNUMBER(C7559),YEAR(C7559),"")</f>
        <v/>
      </c>
      <c r="W7559" s="23" t="str">
        <f aca="false">IF(ISNUMBER(C7559),MONTH(C7559),"")</f>
        <v/>
      </c>
      <c r="X7559" s="23" t="str">
        <f aca="false">IF(T7559="","",IF(T7559=0,"No discount",IF(T7559&lt;=0.2,"Low (1-20%)",IF(T7559&lt;=0.4,"Medium (21-40%)","High (&gt;40%)"))))</f>
        <v/>
      </c>
      <c r="Y7559" s="23" t="str">
        <f aca="false">IF(AND(ISNUMBER(C7559),ISNUMBER(D7559)),D7559-C7559,"")</f>
        <v/>
      </c>
      <c r="Z7559" s="23" t="str">
        <f aca="false">IF(B7559="","",IF(MATCH(B7559,$B$2:$B$12000,0)=ROW()-1,1,0))</f>
        <v/>
      </c>
    </row>
    <row r="7560" customFormat="false" ht="15" hidden="false" customHeight="false" outlineLevel="0" collapsed="false">
      <c r="V7560" s="23" t="str">
        <f aca="false">IF(ISNUMBER(C7560),YEAR(C7560),"")</f>
        <v/>
      </c>
      <c r="W7560" s="23" t="str">
        <f aca="false">IF(ISNUMBER(C7560),MONTH(C7560),"")</f>
        <v/>
      </c>
      <c r="X7560" s="23" t="str">
        <f aca="false">IF(T7560="","",IF(T7560=0,"No discount",IF(T7560&lt;=0.2,"Low (1-20%)",IF(T7560&lt;=0.4,"Medium (21-40%)","High (&gt;40%)"))))</f>
        <v/>
      </c>
      <c r="Y7560" s="23" t="str">
        <f aca="false">IF(AND(ISNUMBER(C7560),ISNUMBER(D7560)),D7560-C7560,"")</f>
        <v/>
      </c>
      <c r="Z7560" s="23" t="str">
        <f aca="false">IF(B7560="","",IF(MATCH(B7560,$B$2:$B$12000,0)=ROW()-1,1,0))</f>
        <v/>
      </c>
    </row>
    <row r="7561" customFormat="false" ht="15" hidden="false" customHeight="false" outlineLevel="0" collapsed="false">
      <c r="V7561" s="23" t="str">
        <f aca="false">IF(ISNUMBER(C7561),YEAR(C7561),"")</f>
        <v/>
      </c>
      <c r="W7561" s="23" t="str">
        <f aca="false">IF(ISNUMBER(C7561),MONTH(C7561),"")</f>
        <v/>
      </c>
      <c r="X7561" s="23" t="str">
        <f aca="false">IF(T7561="","",IF(T7561=0,"No discount",IF(T7561&lt;=0.2,"Low (1-20%)",IF(T7561&lt;=0.4,"Medium (21-40%)","High (&gt;40%)"))))</f>
        <v/>
      </c>
      <c r="Y7561" s="23" t="str">
        <f aca="false">IF(AND(ISNUMBER(C7561),ISNUMBER(D7561)),D7561-C7561,"")</f>
        <v/>
      </c>
      <c r="Z7561" s="23" t="str">
        <f aca="false">IF(B7561="","",IF(MATCH(B7561,$B$2:$B$12000,0)=ROW()-1,1,0))</f>
        <v/>
      </c>
    </row>
    <row r="7562" customFormat="false" ht="15" hidden="false" customHeight="false" outlineLevel="0" collapsed="false">
      <c r="V7562" s="23" t="str">
        <f aca="false">IF(ISNUMBER(C7562),YEAR(C7562),"")</f>
        <v/>
      </c>
      <c r="W7562" s="23" t="str">
        <f aca="false">IF(ISNUMBER(C7562),MONTH(C7562),"")</f>
        <v/>
      </c>
      <c r="X7562" s="23" t="str">
        <f aca="false">IF(T7562="","",IF(T7562=0,"No discount",IF(T7562&lt;=0.2,"Low (1-20%)",IF(T7562&lt;=0.4,"Medium (21-40%)","High (&gt;40%)"))))</f>
        <v/>
      </c>
      <c r="Y7562" s="23" t="str">
        <f aca="false">IF(AND(ISNUMBER(C7562),ISNUMBER(D7562)),D7562-C7562,"")</f>
        <v/>
      </c>
      <c r="Z7562" s="23" t="str">
        <f aca="false">IF(B7562="","",IF(MATCH(B7562,$B$2:$B$12000,0)=ROW()-1,1,0))</f>
        <v/>
      </c>
    </row>
    <row r="7563" customFormat="false" ht="15" hidden="false" customHeight="false" outlineLevel="0" collapsed="false">
      <c r="V7563" s="23" t="str">
        <f aca="false">IF(ISNUMBER(C7563),YEAR(C7563),"")</f>
        <v/>
      </c>
      <c r="W7563" s="23" t="str">
        <f aca="false">IF(ISNUMBER(C7563),MONTH(C7563),"")</f>
        <v/>
      </c>
      <c r="X7563" s="23" t="str">
        <f aca="false">IF(T7563="","",IF(T7563=0,"No discount",IF(T7563&lt;=0.2,"Low (1-20%)",IF(T7563&lt;=0.4,"Medium (21-40%)","High (&gt;40%)"))))</f>
        <v/>
      </c>
      <c r="Y7563" s="23" t="str">
        <f aca="false">IF(AND(ISNUMBER(C7563),ISNUMBER(D7563)),D7563-C7563,"")</f>
        <v/>
      </c>
      <c r="Z7563" s="23" t="str">
        <f aca="false">IF(B7563="","",IF(MATCH(B7563,$B$2:$B$12000,0)=ROW()-1,1,0))</f>
        <v/>
      </c>
    </row>
    <row r="7564" customFormat="false" ht="15" hidden="false" customHeight="false" outlineLevel="0" collapsed="false">
      <c r="V7564" s="23" t="str">
        <f aca="false">IF(ISNUMBER(C7564),YEAR(C7564),"")</f>
        <v/>
      </c>
      <c r="W7564" s="23" t="str">
        <f aca="false">IF(ISNUMBER(C7564),MONTH(C7564),"")</f>
        <v/>
      </c>
      <c r="X7564" s="23" t="str">
        <f aca="false">IF(T7564="","",IF(T7564=0,"No discount",IF(T7564&lt;=0.2,"Low (1-20%)",IF(T7564&lt;=0.4,"Medium (21-40%)","High (&gt;40%)"))))</f>
        <v/>
      </c>
      <c r="Y7564" s="23" t="str">
        <f aca="false">IF(AND(ISNUMBER(C7564),ISNUMBER(D7564)),D7564-C7564,"")</f>
        <v/>
      </c>
      <c r="Z7564" s="23" t="str">
        <f aca="false">IF(B7564="","",IF(MATCH(B7564,$B$2:$B$12000,0)=ROW()-1,1,0))</f>
        <v/>
      </c>
    </row>
    <row r="7565" customFormat="false" ht="15" hidden="false" customHeight="false" outlineLevel="0" collapsed="false">
      <c r="V7565" s="23" t="str">
        <f aca="false">IF(ISNUMBER(C7565),YEAR(C7565),"")</f>
        <v/>
      </c>
      <c r="W7565" s="23" t="str">
        <f aca="false">IF(ISNUMBER(C7565),MONTH(C7565),"")</f>
        <v/>
      </c>
      <c r="X7565" s="23" t="str">
        <f aca="false">IF(T7565="","",IF(T7565=0,"No discount",IF(T7565&lt;=0.2,"Low (1-20%)",IF(T7565&lt;=0.4,"Medium (21-40%)","High (&gt;40%)"))))</f>
        <v/>
      </c>
      <c r="Y7565" s="23" t="str">
        <f aca="false">IF(AND(ISNUMBER(C7565),ISNUMBER(D7565)),D7565-C7565,"")</f>
        <v/>
      </c>
      <c r="Z7565" s="23" t="str">
        <f aca="false">IF(B7565="","",IF(MATCH(B7565,$B$2:$B$12000,0)=ROW()-1,1,0))</f>
        <v/>
      </c>
    </row>
    <row r="7566" customFormat="false" ht="15" hidden="false" customHeight="false" outlineLevel="0" collapsed="false">
      <c r="V7566" s="23" t="str">
        <f aca="false">IF(ISNUMBER(C7566),YEAR(C7566),"")</f>
        <v/>
      </c>
      <c r="W7566" s="23" t="str">
        <f aca="false">IF(ISNUMBER(C7566),MONTH(C7566),"")</f>
        <v/>
      </c>
      <c r="X7566" s="23" t="str">
        <f aca="false">IF(T7566="","",IF(T7566=0,"No discount",IF(T7566&lt;=0.2,"Low (1-20%)",IF(T7566&lt;=0.4,"Medium (21-40%)","High (&gt;40%)"))))</f>
        <v/>
      </c>
      <c r="Y7566" s="23" t="str">
        <f aca="false">IF(AND(ISNUMBER(C7566),ISNUMBER(D7566)),D7566-C7566,"")</f>
        <v/>
      </c>
      <c r="Z7566" s="23" t="str">
        <f aca="false">IF(B7566="","",IF(MATCH(B7566,$B$2:$B$12000,0)=ROW()-1,1,0))</f>
        <v/>
      </c>
    </row>
    <row r="7567" customFormat="false" ht="15" hidden="false" customHeight="false" outlineLevel="0" collapsed="false">
      <c r="V7567" s="23" t="str">
        <f aca="false">IF(ISNUMBER(C7567),YEAR(C7567),"")</f>
        <v/>
      </c>
      <c r="W7567" s="23" t="str">
        <f aca="false">IF(ISNUMBER(C7567),MONTH(C7567),"")</f>
        <v/>
      </c>
      <c r="X7567" s="23" t="str">
        <f aca="false">IF(T7567="","",IF(T7567=0,"No discount",IF(T7567&lt;=0.2,"Low (1-20%)",IF(T7567&lt;=0.4,"Medium (21-40%)","High (&gt;40%)"))))</f>
        <v/>
      </c>
      <c r="Y7567" s="23" t="str">
        <f aca="false">IF(AND(ISNUMBER(C7567),ISNUMBER(D7567)),D7567-C7567,"")</f>
        <v/>
      </c>
      <c r="Z7567" s="23" t="str">
        <f aca="false">IF(B7567="","",IF(MATCH(B7567,$B$2:$B$12000,0)=ROW()-1,1,0))</f>
        <v/>
      </c>
    </row>
    <row r="7568" customFormat="false" ht="15" hidden="false" customHeight="false" outlineLevel="0" collapsed="false">
      <c r="V7568" s="23" t="str">
        <f aca="false">IF(ISNUMBER(C7568),YEAR(C7568),"")</f>
        <v/>
      </c>
      <c r="W7568" s="23" t="str">
        <f aca="false">IF(ISNUMBER(C7568),MONTH(C7568),"")</f>
        <v/>
      </c>
      <c r="X7568" s="23" t="str">
        <f aca="false">IF(T7568="","",IF(T7568=0,"No discount",IF(T7568&lt;=0.2,"Low (1-20%)",IF(T7568&lt;=0.4,"Medium (21-40%)","High (&gt;40%)"))))</f>
        <v/>
      </c>
      <c r="Y7568" s="23" t="str">
        <f aca="false">IF(AND(ISNUMBER(C7568),ISNUMBER(D7568)),D7568-C7568,"")</f>
        <v/>
      </c>
      <c r="Z7568" s="23" t="str">
        <f aca="false">IF(B7568="","",IF(MATCH(B7568,$B$2:$B$12000,0)=ROW()-1,1,0))</f>
        <v/>
      </c>
    </row>
    <row r="7569" customFormat="false" ht="15" hidden="false" customHeight="false" outlineLevel="0" collapsed="false">
      <c r="V7569" s="23" t="str">
        <f aca="false">IF(ISNUMBER(C7569),YEAR(C7569),"")</f>
        <v/>
      </c>
      <c r="W7569" s="23" t="str">
        <f aca="false">IF(ISNUMBER(C7569),MONTH(C7569),"")</f>
        <v/>
      </c>
      <c r="X7569" s="23" t="str">
        <f aca="false">IF(T7569="","",IF(T7569=0,"No discount",IF(T7569&lt;=0.2,"Low (1-20%)",IF(T7569&lt;=0.4,"Medium (21-40%)","High (&gt;40%)"))))</f>
        <v/>
      </c>
      <c r="Y7569" s="23" t="str">
        <f aca="false">IF(AND(ISNUMBER(C7569),ISNUMBER(D7569)),D7569-C7569,"")</f>
        <v/>
      </c>
      <c r="Z7569" s="23" t="str">
        <f aca="false">IF(B7569="","",IF(MATCH(B7569,$B$2:$B$12000,0)=ROW()-1,1,0))</f>
        <v/>
      </c>
    </row>
    <row r="7570" customFormat="false" ht="15" hidden="false" customHeight="false" outlineLevel="0" collapsed="false">
      <c r="V7570" s="23" t="str">
        <f aca="false">IF(ISNUMBER(C7570),YEAR(C7570),"")</f>
        <v/>
      </c>
      <c r="W7570" s="23" t="str">
        <f aca="false">IF(ISNUMBER(C7570),MONTH(C7570),"")</f>
        <v/>
      </c>
      <c r="X7570" s="23" t="str">
        <f aca="false">IF(T7570="","",IF(T7570=0,"No discount",IF(T7570&lt;=0.2,"Low (1-20%)",IF(T7570&lt;=0.4,"Medium (21-40%)","High (&gt;40%)"))))</f>
        <v/>
      </c>
      <c r="Y7570" s="23" t="str">
        <f aca="false">IF(AND(ISNUMBER(C7570),ISNUMBER(D7570)),D7570-C7570,"")</f>
        <v/>
      </c>
      <c r="Z7570" s="23" t="str">
        <f aca="false">IF(B7570="","",IF(MATCH(B7570,$B$2:$B$12000,0)=ROW()-1,1,0))</f>
        <v/>
      </c>
    </row>
    <row r="7571" customFormat="false" ht="15" hidden="false" customHeight="false" outlineLevel="0" collapsed="false">
      <c r="V7571" s="23" t="str">
        <f aca="false">IF(ISNUMBER(C7571),YEAR(C7571),"")</f>
        <v/>
      </c>
      <c r="W7571" s="23" t="str">
        <f aca="false">IF(ISNUMBER(C7571),MONTH(C7571),"")</f>
        <v/>
      </c>
      <c r="X7571" s="23" t="str">
        <f aca="false">IF(T7571="","",IF(T7571=0,"No discount",IF(T7571&lt;=0.2,"Low (1-20%)",IF(T7571&lt;=0.4,"Medium (21-40%)","High (&gt;40%)"))))</f>
        <v/>
      </c>
      <c r="Y7571" s="23" t="str">
        <f aca="false">IF(AND(ISNUMBER(C7571),ISNUMBER(D7571)),D7571-C7571,"")</f>
        <v/>
      </c>
      <c r="Z7571" s="23" t="str">
        <f aca="false">IF(B7571="","",IF(MATCH(B7571,$B$2:$B$12000,0)=ROW()-1,1,0))</f>
        <v/>
      </c>
    </row>
    <row r="7572" customFormat="false" ht="15" hidden="false" customHeight="false" outlineLevel="0" collapsed="false">
      <c r="V7572" s="23" t="str">
        <f aca="false">IF(ISNUMBER(C7572),YEAR(C7572),"")</f>
        <v/>
      </c>
      <c r="W7572" s="23" t="str">
        <f aca="false">IF(ISNUMBER(C7572),MONTH(C7572),"")</f>
        <v/>
      </c>
      <c r="X7572" s="23" t="str">
        <f aca="false">IF(T7572="","",IF(T7572=0,"No discount",IF(T7572&lt;=0.2,"Low (1-20%)",IF(T7572&lt;=0.4,"Medium (21-40%)","High (&gt;40%)"))))</f>
        <v/>
      </c>
      <c r="Y7572" s="23" t="str">
        <f aca="false">IF(AND(ISNUMBER(C7572),ISNUMBER(D7572)),D7572-C7572,"")</f>
        <v/>
      </c>
      <c r="Z7572" s="23" t="str">
        <f aca="false">IF(B7572="","",IF(MATCH(B7572,$B$2:$B$12000,0)=ROW()-1,1,0))</f>
        <v/>
      </c>
    </row>
    <row r="7573" customFormat="false" ht="15" hidden="false" customHeight="false" outlineLevel="0" collapsed="false">
      <c r="V7573" s="23" t="str">
        <f aca="false">IF(ISNUMBER(C7573),YEAR(C7573),"")</f>
        <v/>
      </c>
      <c r="W7573" s="23" t="str">
        <f aca="false">IF(ISNUMBER(C7573),MONTH(C7573),"")</f>
        <v/>
      </c>
      <c r="X7573" s="23" t="str">
        <f aca="false">IF(T7573="","",IF(T7573=0,"No discount",IF(T7573&lt;=0.2,"Low (1-20%)",IF(T7573&lt;=0.4,"Medium (21-40%)","High (&gt;40%)"))))</f>
        <v/>
      </c>
      <c r="Y7573" s="23" t="str">
        <f aca="false">IF(AND(ISNUMBER(C7573),ISNUMBER(D7573)),D7573-C7573,"")</f>
        <v/>
      </c>
      <c r="Z7573" s="23" t="str">
        <f aca="false">IF(B7573="","",IF(MATCH(B7573,$B$2:$B$12000,0)=ROW()-1,1,0))</f>
        <v/>
      </c>
    </row>
    <row r="7574" customFormat="false" ht="15" hidden="false" customHeight="false" outlineLevel="0" collapsed="false">
      <c r="V7574" s="23" t="str">
        <f aca="false">IF(ISNUMBER(C7574),YEAR(C7574),"")</f>
        <v/>
      </c>
      <c r="W7574" s="23" t="str">
        <f aca="false">IF(ISNUMBER(C7574),MONTH(C7574),"")</f>
        <v/>
      </c>
      <c r="X7574" s="23" t="str">
        <f aca="false">IF(T7574="","",IF(T7574=0,"No discount",IF(T7574&lt;=0.2,"Low (1-20%)",IF(T7574&lt;=0.4,"Medium (21-40%)","High (&gt;40%)"))))</f>
        <v/>
      </c>
      <c r="Y7574" s="23" t="str">
        <f aca="false">IF(AND(ISNUMBER(C7574),ISNUMBER(D7574)),D7574-C7574,"")</f>
        <v/>
      </c>
      <c r="Z7574" s="23" t="str">
        <f aca="false">IF(B7574="","",IF(MATCH(B7574,$B$2:$B$12000,0)=ROW()-1,1,0))</f>
        <v/>
      </c>
    </row>
    <row r="7575" customFormat="false" ht="15" hidden="false" customHeight="false" outlineLevel="0" collapsed="false">
      <c r="V7575" s="23" t="str">
        <f aca="false">IF(ISNUMBER(C7575),YEAR(C7575),"")</f>
        <v/>
      </c>
      <c r="W7575" s="23" t="str">
        <f aca="false">IF(ISNUMBER(C7575),MONTH(C7575),"")</f>
        <v/>
      </c>
      <c r="X7575" s="23" t="str">
        <f aca="false">IF(T7575="","",IF(T7575=0,"No discount",IF(T7575&lt;=0.2,"Low (1-20%)",IF(T7575&lt;=0.4,"Medium (21-40%)","High (&gt;40%)"))))</f>
        <v/>
      </c>
      <c r="Y7575" s="23" t="str">
        <f aca="false">IF(AND(ISNUMBER(C7575),ISNUMBER(D7575)),D7575-C7575,"")</f>
        <v/>
      </c>
      <c r="Z7575" s="23" t="str">
        <f aca="false">IF(B7575="","",IF(MATCH(B7575,$B$2:$B$12000,0)=ROW()-1,1,0))</f>
        <v/>
      </c>
    </row>
    <row r="7576" customFormat="false" ht="15" hidden="false" customHeight="false" outlineLevel="0" collapsed="false">
      <c r="V7576" s="23" t="str">
        <f aca="false">IF(ISNUMBER(C7576),YEAR(C7576),"")</f>
        <v/>
      </c>
      <c r="W7576" s="23" t="str">
        <f aca="false">IF(ISNUMBER(C7576),MONTH(C7576),"")</f>
        <v/>
      </c>
      <c r="X7576" s="23" t="str">
        <f aca="false">IF(T7576="","",IF(T7576=0,"No discount",IF(T7576&lt;=0.2,"Low (1-20%)",IF(T7576&lt;=0.4,"Medium (21-40%)","High (&gt;40%)"))))</f>
        <v/>
      </c>
      <c r="Y7576" s="23" t="str">
        <f aca="false">IF(AND(ISNUMBER(C7576),ISNUMBER(D7576)),D7576-C7576,"")</f>
        <v/>
      </c>
      <c r="Z7576" s="23" t="str">
        <f aca="false">IF(B7576="","",IF(MATCH(B7576,$B$2:$B$12000,0)=ROW()-1,1,0))</f>
        <v/>
      </c>
    </row>
    <row r="7577" customFormat="false" ht="15" hidden="false" customHeight="false" outlineLevel="0" collapsed="false">
      <c r="V7577" s="23" t="str">
        <f aca="false">IF(ISNUMBER(C7577),YEAR(C7577),"")</f>
        <v/>
      </c>
      <c r="W7577" s="23" t="str">
        <f aca="false">IF(ISNUMBER(C7577),MONTH(C7577),"")</f>
        <v/>
      </c>
      <c r="X7577" s="23" t="str">
        <f aca="false">IF(T7577="","",IF(T7577=0,"No discount",IF(T7577&lt;=0.2,"Low (1-20%)",IF(T7577&lt;=0.4,"Medium (21-40%)","High (&gt;40%)"))))</f>
        <v/>
      </c>
      <c r="Y7577" s="23" t="str">
        <f aca="false">IF(AND(ISNUMBER(C7577),ISNUMBER(D7577)),D7577-C7577,"")</f>
        <v/>
      </c>
      <c r="Z7577" s="23" t="str">
        <f aca="false">IF(B7577="","",IF(MATCH(B7577,$B$2:$B$12000,0)=ROW()-1,1,0))</f>
        <v/>
      </c>
    </row>
    <row r="7578" customFormat="false" ht="15" hidden="false" customHeight="false" outlineLevel="0" collapsed="false">
      <c r="V7578" s="23" t="str">
        <f aca="false">IF(ISNUMBER(C7578),YEAR(C7578),"")</f>
        <v/>
      </c>
      <c r="W7578" s="23" t="str">
        <f aca="false">IF(ISNUMBER(C7578),MONTH(C7578),"")</f>
        <v/>
      </c>
      <c r="X7578" s="23" t="str">
        <f aca="false">IF(T7578="","",IF(T7578=0,"No discount",IF(T7578&lt;=0.2,"Low (1-20%)",IF(T7578&lt;=0.4,"Medium (21-40%)","High (&gt;40%)"))))</f>
        <v/>
      </c>
      <c r="Y7578" s="23" t="str">
        <f aca="false">IF(AND(ISNUMBER(C7578),ISNUMBER(D7578)),D7578-C7578,"")</f>
        <v/>
      </c>
      <c r="Z7578" s="23" t="str">
        <f aca="false">IF(B7578="","",IF(MATCH(B7578,$B$2:$B$12000,0)=ROW()-1,1,0))</f>
        <v/>
      </c>
    </row>
    <row r="7579" customFormat="false" ht="15" hidden="false" customHeight="false" outlineLevel="0" collapsed="false">
      <c r="V7579" s="23" t="str">
        <f aca="false">IF(ISNUMBER(C7579),YEAR(C7579),"")</f>
        <v/>
      </c>
      <c r="W7579" s="23" t="str">
        <f aca="false">IF(ISNUMBER(C7579),MONTH(C7579),"")</f>
        <v/>
      </c>
      <c r="X7579" s="23" t="str">
        <f aca="false">IF(T7579="","",IF(T7579=0,"No discount",IF(T7579&lt;=0.2,"Low (1-20%)",IF(T7579&lt;=0.4,"Medium (21-40%)","High (&gt;40%)"))))</f>
        <v/>
      </c>
      <c r="Y7579" s="23" t="str">
        <f aca="false">IF(AND(ISNUMBER(C7579),ISNUMBER(D7579)),D7579-C7579,"")</f>
        <v/>
      </c>
      <c r="Z7579" s="23" t="str">
        <f aca="false">IF(B7579="","",IF(MATCH(B7579,$B$2:$B$12000,0)=ROW()-1,1,0))</f>
        <v/>
      </c>
    </row>
    <row r="7580" customFormat="false" ht="15" hidden="false" customHeight="false" outlineLevel="0" collapsed="false">
      <c r="V7580" s="23" t="str">
        <f aca="false">IF(ISNUMBER(C7580),YEAR(C7580),"")</f>
        <v/>
      </c>
      <c r="W7580" s="23" t="str">
        <f aca="false">IF(ISNUMBER(C7580),MONTH(C7580),"")</f>
        <v/>
      </c>
      <c r="X7580" s="23" t="str">
        <f aca="false">IF(T7580="","",IF(T7580=0,"No discount",IF(T7580&lt;=0.2,"Low (1-20%)",IF(T7580&lt;=0.4,"Medium (21-40%)","High (&gt;40%)"))))</f>
        <v/>
      </c>
      <c r="Y7580" s="23" t="str">
        <f aca="false">IF(AND(ISNUMBER(C7580),ISNUMBER(D7580)),D7580-C7580,"")</f>
        <v/>
      </c>
      <c r="Z7580" s="23" t="str">
        <f aca="false">IF(B7580="","",IF(MATCH(B7580,$B$2:$B$12000,0)=ROW()-1,1,0))</f>
        <v/>
      </c>
    </row>
    <row r="7581" customFormat="false" ht="15" hidden="false" customHeight="false" outlineLevel="0" collapsed="false">
      <c r="V7581" s="23" t="str">
        <f aca="false">IF(ISNUMBER(C7581),YEAR(C7581),"")</f>
        <v/>
      </c>
      <c r="W7581" s="23" t="str">
        <f aca="false">IF(ISNUMBER(C7581),MONTH(C7581),"")</f>
        <v/>
      </c>
      <c r="X7581" s="23" t="str">
        <f aca="false">IF(T7581="","",IF(T7581=0,"No discount",IF(T7581&lt;=0.2,"Low (1-20%)",IF(T7581&lt;=0.4,"Medium (21-40%)","High (&gt;40%)"))))</f>
        <v/>
      </c>
      <c r="Y7581" s="23" t="str">
        <f aca="false">IF(AND(ISNUMBER(C7581),ISNUMBER(D7581)),D7581-C7581,"")</f>
        <v/>
      </c>
      <c r="Z7581" s="23" t="str">
        <f aca="false">IF(B7581="","",IF(MATCH(B7581,$B$2:$B$12000,0)=ROW()-1,1,0))</f>
        <v/>
      </c>
    </row>
    <row r="7582" customFormat="false" ht="15" hidden="false" customHeight="false" outlineLevel="0" collapsed="false">
      <c r="V7582" s="23" t="str">
        <f aca="false">IF(ISNUMBER(C7582),YEAR(C7582),"")</f>
        <v/>
      </c>
      <c r="W7582" s="23" t="str">
        <f aca="false">IF(ISNUMBER(C7582),MONTH(C7582),"")</f>
        <v/>
      </c>
      <c r="X7582" s="23" t="str">
        <f aca="false">IF(T7582="","",IF(T7582=0,"No discount",IF(T7582&lt;=0.2,"Low (1-20%)",IF(T7582&lt;=0.4,"Medium (21-40%)","High (&gt;40%)"))))</f>
        <v/>
      </c>
      <c r="Y7582" s="23" t="str">
        <f aca="false">IF(AND(ISNUMBER(C7582),ISNUMBER(D7582)),D7582-C7582,"")</f>
        <v/>
      </c>
      <c r="Z7582" s="23" t="str">
        <f aca="false">IF(B7582="","",IF(MATCH(B7582,$B$2:$B$12000,0)=ROW()-1,1,0))</f>
        <v/>
      </c>
    </row>
    <row r="7583" customFormat="false" ht="15" hidden="false" customHeight="false" outlineLevel="0" collapsed="false">
      <c r="V7583" s="23" t="str">
        <f aca="false">IF(ISNUMBER(C7583),YEAR(C7583),"")</f>
        <v/>
      </c>
      <c r="W7583" s="23" t="str">
        <f aca="false">IF(ISNUMBER(C7583),MONTH(C7583),"")</f>
        <v/>
      </c>
      <c r="X7583" s="23" t="str">
        <f aca="false">IF(T7583="","",IF(T7583=0,"No discount",IF(T7583&lt;=0.2,"Low (1-20%)",IF(T7583&lt;=0.4,"Medium (21-40%)","High (&gt;40%)"))))</f>
        <v/>
      </c>
      <c r="Y7583" s="23" t="str">
        <f aca="false">IF(AND(ISNUMBER(C7583),ISNUMBER(D7583)),D7583-C7583,"")</f>
        <v/>
      </c>
      <c r="Z7583" s="23" t="str">
        <f aca="false">IF(B7583="","",IF(MATCH(B7583,$B$2:$B$12000,0)=ROW()-1,1,0))</f>
        <v/>
      </c>
    </row>
    <row r="7584" customFormat="false" ht="15" hidden="false" customHeight="false" outlineLevel="0" collapsed="false">
      <c r="V7584" s="23" t="str">
        <f aca="false">IF(ISNUMBER(C7584),YEAR(C7584),"")</f>
        <v/>
      </c>
      <c r="W7584" s="23" t="str">
        <f aca="false">IF(ISNUMBER(C7584),MONTH(C7584),"")</f>
        <v/>
      </c>
      <c r="X7584" s="23" t="str">
        <f aca="false">IF(T7584="","",IF(T7584=0,"No discount",IF(T7584&lt;=0.2,"Low (1-20%)",IF(T7584&lt;=0.4,"Medium (21-40%)","High (&gt;40%)"))))</f>
        <v/>
      </c>
      <c r="Y7584" s="23" t="str">
        <f aca="false">IF(AND(ISNUMBER(C7584),ISNUMBER(D7584)),D7584-C7584,"")</f>
        <v/>
      </c>
      <c r="Z7584" s="23" t="str">
        <f aca="false">IF(B7584="","",IF(MATCH(B7584,$B$2:$B$12000,0)=ROW()-1,1,0))</f>
        <v/>
      </c>
    </row>
    <row r="7585" customFormat="false" ht="15" hidden="false" customHeight="false" outlineLevel="0" collapsed="false">
      <c r="V7585" s="23" t="str">
        <f aca="false">IF(ISNUMBER(C7585),YEAR(C7585),"")</f>
        <v/>
      </c>
      <c r="W7585" s="23" t="str">
        <f aca="false">IF(ISNUMBER(C7585),MONTH(C7585),"")</f>
        <v/>
      </c>
      <c r="X7585" s="23" t="str">
        <f aca="false">IF(T7585="","",IF(T7585=0,"No discount",IF(T7585&lt;=0.2,"Low (1-20%)",IF(T7585&lt;=0.4,"Medium (21-40%)","High (&gt;40%)"))))</f>
        <v/>
      </c>
      <c r="Y7585" s="23" t="str">
        <f aca="false">IF(AND(ISNUMBER(C7585),ISNUMBER(D7585)),D7585-C7585,"")</f>
        <v/>
      </c>
      <c r="Z7585" s="23" t="str">
        <f aca="false">IF(B7585="","",IF(MATCH(B7585,$B$2:$B$12000,0)=ROW()-1,1,0))</f>
        <v/>
      </c>
    </row>
    <row r="7586" customFormat="false" ht="15" hidden="false" customHeight="false" outlineLevel="0" collapsed="false">
      <c r="V7586" s="23" t="str">
        <f aca="false">IF(ISNUMBER(C7586),YEAR(C7586),"")</f>
        <v/>
      </c>
      <c r="W7586" s="23" t="str">
        <f aca="false">IF(ISNUMBER(C7586),MONTH(C7586),"")</f>
        <v/>
      </c>
      <c r="X7586" s="23" t="str">
        <f aca="false">IF(T7586="","",IF(T7586=0,"No discount",IF(T7586&lt;=0.2,"Low (1-20%)",IF(T7586&lt;=0.4,"Medium (21-40%)","High (&gt;40%)"))))</f>
        <v/>
      </c>
      <c r="Y7586" s="23" t="str">
        <f aca="false">IF(AND(ISNUMBER(C7586),ISNUMBER(D7586)),D7586-C7586,"")</f>
        <v/>
      </c>
      <c r="Z7586" s="23" t="str">
        <f aca="false">IF(B7586="","",IF(MATCH(B7586,$B$2:$B$12000,0)=ROW()-1,1,0))</f>
        <v/>
      </c>
    </row>
    <row r="7587" customFormat="false" ht="15" hidden="false" customHeight="false" outlineLevel="0" collapsed="false">
      <c r="V7587" s="23" t="str">
        <f aca="false">IF(ISNUMBER(C7587),YEAR(C7587),"")</f>
        <v/>
      </c>
      <c r="W7587" s="23" t="str">
        <f aca="false">IF(ISNUMBER(C7587),MONTH(C7587),"")</f>
        <v/>
      </c>
      <c r="X7587" s="23" t="str">
        <f aca="false">IF(T7587="","",IF(T7587=0,"No discount",IF(T7587&lt;=0.2,"Low (1-20%)",IF(T7587&lt;=0.4,"Medium (21-40%)","High (&gt;40%)"))))</f>
        <v/>
      </c>
      <c r="Y7587" s="23" t="str">
        <f aca="false">IF(AND(ISNUMBER(C7587),ISNUMBER(D7587)),D7587-C7587,"")</f>
        <v/>
      </c>
      <c r="Z7587" s="23" t="str">
        <f aca="false">IF(B7587="","",IF(MATCH(B7587,$B$2:$B$12000,0)=ROW()-1,1,0))</f>
        <v/>
      </c>
    </row>
    <row r="7588" customFormat="false" ht="15" hidden="false" customHeight="false" outlineLevel="0" collapsed="false">
      <c r="V7588" s="23" t="str">
        <f aca="false">IF(ISNUMBER(C7588),YEAR(C7588),"")</f>
        <v/>
      </c>
      <c r="W7588" s="23" t="str">
        <f aca="false">IF(ISNUMBER(C7588),MONTH(C7588),"")</f>
        <v/>
      </c>
      <c r="X7588" s="23" t="str">
        <f aca="false">IF(T7588="","",IF(T7588=0,"No discount",IF(T7588&lt;=0.2,"Low (1-20%)",IF(T7588&lt;=0.4,"Medium (21-40%)","High (&gt;40%)"))))</f>
        <v/>
      </c>
      <c r="Y7588" s="23" t="str">
        <f aca="false">IF(AND(ISNUMBER(C7588),ISNUMBER(D7588)),D7588-C7588,"")</f>
        <v/>
      </c>
      <c r="Z7588" s="23" t="str">
        <f aca="false">IF(B7588="","",IF(MATCH(B7588,$B$2:$B$12000,0)=ROW()-1,1,0))</f>
        <v/>
      </c>
    </row>
    <row r="7589" customFormat="false" ht="15" hidden="false" customHeight="false" outlineLevel="0" collapsed="false">
      <c r="V7589" s="23" t="str">
        <f aca="false">IF(ISNUMBER(C7589),YEAR(C7589),"")</f>
        <v/>
      </c>
      <c r="W7589" s="23" t="str">
        <f aca="false">IF(ISNUMBER(C7589),MONTH(C7589),"")</f>
        <v/>
      </c>
      <c r="X7589" s="23" t="str">
        <f aca="false">IF(T7589="","",IF(T7589=0,"No discount",IF(T7589&lt;=0.2,"Low (1-20%)",IF(T7589&lt;=0.4,"Medium (21-40%)","High (&gt;40%)"))))</f>
        <v/>
      </c>
      <c r="Y7589" s="23" t="str">
        <f aca="false">IF(AND(ISNUMBER(C7589),ISNUMBER(D7589)),D7589-C7589,"")</f>
        <v/>
      </c>
      <c r="Z7589" s="23" t="str">
        <f aca="false">IF(B7589="","",IF(MATCH(B7589,$B$2:$B$12000,0)=ROW()-1,1,0))</f>
        <v/>
      </c>
    </row>
    <row r="7590" customFormat="false" ht="15" hidden="false" customHeight="false" outlineLevel="0" collapsed="false">
      <c r="V7590" s="23" t="str">
        <f aca="false">IF(ISNUMBER(C7590),YEAR(C7590),"")</f>
        <v/>
      </c>
      <c r="W7590" s="23" t="str">
        <f aca="false">IF(ISNUMBER(C7590),MONTH(C7590),"")</f>
        <v/>
      </c>
      <c r="X7590" s="23" t="str">
        <f aca="false">IF(T7590="","",IF(T7590=0,"No discount",IF(T7590&lt;=0.2,"Low (1-20%)",IF(T7590&lt;=0.4,"Medium (21-40%)","High (&gt;40%)"))))</f>
        <v/>
      </c>
      <c r="Y7590" s="23" t="str">
        <f aca="false">IF(AND(ISNUMBER(C7590),ISNUMBER(D7590)),D7590-C7590,"")</f>
        <v/>
      </c>
      <c r="Z7590" s="23" t="str">
        <f aca="false">IF(B7590="","",IF(MATCH(B7590,$B$2:$B$12000,0)=ROW()-1,1,0))</f>
        <v/>
      </c>
    </row>
    <row r="7591" customFormat="false" ht="15" hidden="false" customHeight="false" outlineLevel="0" collapsed="false">
      <c r="V7591" s="23" t="str">
        <f aca="false">IF(ISNUMBER(C7591),YEAR(C7591),"")</f>
        <v/>
      </c>
      <c r="W7591" s="23" t="str">
        <f aca="false">IF(ISNUMBER(C7591),MONTH(C7591),"")</f>
        <v/>
      </c>
      <c r="X7591" s="23" t="str">
        <f aca="false">IF(T7591="","",IF(T7591=0,"No discount",IF(T7591&lt;=0.2,"Low (1-20%)",IF(T7591&lt;=0.4,"Medium (21-40%)","High (&gt;40%)"))))</f>
        <v/>
      </c>
      <c r="Y7591" s="23" t="str">
        <f aca="false">IF(AND(ISNUMBER(C7591),ISNUMBER(D7591)),D7591-C7591,"")</f>
        <v/>
      </c>
      <c r="Z7591" s="23" t="str">
        <f aca="false">IF(B7591="","",IF(MATCH(B7591,$B$2:$B$12000,0)=ROW()-1,1,0))</f>
        <v/>
      </c>
    </row>
    <row r="7592" customFormat="false" ht="15" hidden="false" customHeight="false" outlineLevel="0" collapsed="false">
      <c r="V7592" s="23" t="str">
        <f aca="false">IF(ISNUMBER(C7592),YEAR(C7592),"")</f>
        <v/>
      </c>
      <c r="W7592" s="23" t="str">
        <f aca="false">IF(ISNUMBER(C7592),MONTH(C7592),"")</f>
        <v/>
      </c>
      <c r="X7592" s="23" t="str">
        <f aca="false">IF(T7592="","",IF(T7592=0,"No discount",IF(T7592&lt;=0.2,"Low (1-20%)",IF(T7592&lt;=0.4,"Medium (21-40%)","High (&gt;40%)"))))</f>
        <v/>
      </c>
      <c r="Y7592" s="23" t="str">
        <f aca="false">IF(AND(ISNUMBER(C7592),ISNUMBER(D7592)),D7592-C7592,"")</f>
        <v/>
      </c>
      <c r="Z7592" s="23" t="str">
        <f aca="false">IF(B7592="","",IF(MATCH(B7592,$B$2:$B$12000,0)=ROW()-1,1,0))</f>
        <v/>
      </c>
    </row>
    <row r="7593" customFormat="false" ht="15" hidden="false" customHeight="false" outlineLevel="0" collapsed="false">
      <c r="V7593" s="23" t="str">
        <f aca="false">IF(ISNUMBER(C7593),YEAR(C7593),"")</f>
        <v/>
      </c>
      <c r="W7593" s="23" t="str">
        <f aca="false">IF(ISNUMBER(C7593),MONTH(C7593),"")</f>
        <v/>
      </c>
      <c r="X7593" s="23" t="str">
        <f aca="false">IF(T7593="","",IF(T7593=0,"No discount",IF(T7593&lt;=0.2,"Low (1-20%)",IF(T7593&lt;=0.4,"Medium (21-40%)","High (&gt;40%)"))))</f>
        <v/>
      </c>
      <c r="Y7593" s="23" t="str">
        <f aca="false">IF(AND(ISNUMBER(C7593),ISNUMBER(D7593)),D7593-C7593,"")</f>
        <v/>
      </c>
      <c r="Z7593" s="23" t="str">
        <f aca="false">IF(B7593="","",IF(MATCH(B7593,$B$2:$B$12000,0)=ROW()-1,1,0))</f>
        <v/>
      </c>
    </row>
    <row r="7594" customFormat="false" ht="15" hidden="false" customHeight="false" outlineLevel="0" collapsed="false">
      <c r="V7594" s="23" t="str">
        <f aca="false">IF(ISNUMBER(C7594),YEAR(C7594),"")</f>
        <v/>
      </c>
      <c r="W7594" s="23" t="str">
        <f aca="false">IF(ISNUMBER(C7594),MONTH(C7594),"")</f>
        <v/>
      </c>
      <c r="X7594" s="23" t="str">
        <f aca="false">IF(T7594="","",IF(T7594=0,"No discount",IF(T7594&lt;=0.2,"Low (1-20%)",IF(T7594&lt;=0.4,"Medium (21-40%)","High (&gt;40%)"))))</f>
        <v/>
      </c>
      <c r="Y7594" s="23" t="str">
        <f aca="false">IF(AND(ISNUMBER(C7594),ISNUMBER(D7594)),D7594-C7594,"")</f>
        <v/>
      </c>
      <c r="Z7594" s="23" t="str">
        <f aca="false">IF(B7594="","",IF(MATCH(B7594,$B$2:$B$12000,0)=ROW()-1,1,0))</f>
        <v/>
      </c>
    </row>
    <row r="7595" customFormat="false" ht="15" hidden="false" customHeight="false" outlineLevel="0" collapsed="false">
      <c r="V7595" s="23" t="str">
        <f aca="false">IF(ISNUMBER(C7595),YEAR(C7595),"")</f>
        <v/>
      </c>
      <c r="W7595" s="23" t="str">
        <f aca="false">IF(ISNUMBER(C7595),MONTH(C7595),"")</f>
        <v/>
      </c>
      <c r="X7595" s="23" t="str">
        <f aca="false">IF(T7595="","",IF(T7595=0,"No discount",IF(T7595&lt;=0.2,"Low (1-20%)",IF(T7595&lt;=0.4,"Medium (21-40%)","High (&gt;40%)"))))</f>
        <v/>
      </c>
      <c r="Y7595" s="23" t="str">
        <f aca="false">IF(AND(ISNUMBER(C7595),ISNUMBER(D7595)),D7595-C7595,"")</f>
        <v/>
      </c>
      <c r="Z7595" s="23" t="str">
        <f aca="false">IF(B7595="","",IF(MATCH(B7595,$B$2:$B$12000,0)=ROW()-1,1,0))</f>
        <v/>
      </c>
    </row>
    <row r="7596" customFormat="false" ht="15" hidden="false" customHeight="false" outlineLevel="0" collapsed="false">
      <c r="V7596" s="23" t="str">
        <f aca="false">IF(ISNUMBER(C7596),YEAR(C7596),"")</f>
        <v/>
      </c>
      <c r="W7596" s="23" t="str">
        <f aca="false">IF(ISNUMBER(C7596),MONTH(C7596),"")</f>
        <v/>
      </c>
      <c r="X7596" s="23" t="str">
        <f aca="false">IF(T7596="","",IF(T7596=0,"No discount",IF(T7596&lt;=0.2,"Low (1-20%)",IF(T7596&lt;=0.4,"Medium (21-40%)","High (&gt;40%)"))))</f>
        <v/>
      </c>
      <c r="Y7596" s="23" t="str">
        <f aca="false">IF(AND(ISNUMBER(C7596),ISNUMBER(D7596)),D7596-C7596,"")</f>
        <v/>
      </c>
      <c r="Z7596" s="23" t="str">
        <f aca="false">IF(B7596="","",IF(MATCH(B7596,$B$2:$B$12000,0)=ROW()-1,1,0))</f>
        <v/>
      </c>
    </row>
    <row r="7597" customFormat="false" ht="15" hidden="false" customHeight="false" outlineLevel="0" collapsed="false">
      <c r="V7597" s="23" t="str">
        <f aca="false">IF(ISNUMBER(C7597),YEAR(C7597),"")</f>
        <v/>
      </c>
      <c r="W7597" s="23" t="str">
        <f aca="false">IF(ISNUMBER(C7597),MONTH(C7597),"")</f>
        <v/>
      </c>
      <c r="X7597" s="23" t="str">
        <f aca="false">IF(T7597="","",IF(T7597=0,"No discount",IF(T7597&lt;=0.2,"Low (1-20%)",IF(T7597&lt;=0.4,"Medium (21-40%)","High (&gt;40%)"))))</f>
        <v/>
      </c>
      <c r="Y7597" s="23" t="str">
        <f aca="false">IF(AND(ISNUMBER(C7597),ISNUMBER(D7597)),D7597-C7597,"")</f>
        <v/>
      </c>
      <c r="Z7597" s="23" t="str">
        <f aca="false">IF(B7597="","",IF(MATCH(B7597,$B$2:$B$12000,0)=ROW()-1,1,0))</f>
        <v/>
      </c>
    </row>
    <row r="7598" customFormat="false" ht="15" hidden="false" customHeight="false" outlineLevel="0" collapsed="false">
      <c r="V7598" s="23" t="str">
        <f aca="false">IF(ISNUMBER(C7598),YEAR(C7598),"")</f>
        <v/>
      </c>
      <c r="W7598" s="23" t="str">
        <f aca="false">IF(ISNUMBER(C7598),MONTH(C7598),"")</f>
        <v/>
      </c>
      <c r="X7598" s="23" t="str">
        <f aca="false">IF(T7598="","",IF(T7598=0,"No discount",IF(T7598&lt;=0.2,"Low (1-20%)",IF(T7598&lt;=0.4,"Medium (21-40%)","High (&gt;40%)"))))</f>
        <v/>
      </c>
      <c r="Y7598" s="23" t="str">
        <f aca="false">IF(AND(ISNUMBER(C7598),ISNUMBER(D7598)),D7598-C7598,"")</f>
        <v/>
      </c>
      <c r="Z7598" s="23" t="str">
        <f aca="false">IF(B7598="","",IF(MATCH(B7598,$B$2:$B$12000,0)=ROW()-1,1,0))</f>
        <v/>
      </c>
    </row>
    <row r="7599" customFormat="false" ht="15" hidden="false" customHeight="false" outlineLevel="0" collapsed="false">
      <c r="V7599" s="23" t="str">
        <f aca="false">IF(ISNUMBER(C7599),YEAR(C7599),"")</f>
        <v/>
      </c>
      <c r="W7599" s="23" t="str">
        <f aca="false">IF(ISNUMBER(C7599),MONTH(C7599),"")</f>
        <v/>
      </c>
      <c r="X7599" s="23" t="str">
        <f aca="false">IF(T7599="","",IF(T7599=0,"No discount",IF(T7599&lt;=0.2,"Low (1-20%)",IF(T7599&lt;=0.4,"Medium (21-40%)","High (&gt;40%)"))))</f>
        <v/>
      </c>
      <c r="Y7599" s="23" t="str">
        <f aca="false">IF(AND(ISNUMBER(C7599),ISNUMBER(D7599)),D7599-C7599,"")</f>
        <v/>
      </c>
      <c r="Z7599" s="23" t="str">
        <f aca="false">IF(B7599="","",IF(MATCH(B7599,$B$2:$B$12000,0)=ROW()-1,1,0))</f>
        <v/>
      </c>
    </row>
    <row r="7600" customFormat="false" ht="15" hidden="false" customHeight="false" outlineLevel="0" collapsed="false">
      <c r="V7600" s="23" t="str">
        <f aca="false">IF(ISNUMBER(C7600),YEAR(C7600),"")</f>
        <v/>
      </c>
      <c r="W7600" s="23" t="str">
        <f aca="false">IF(ISNUMBER(C7600),MONTH(C7600),"")</f>
        <v/>
      </c>
      <c r="X7600" s="23" t="str">
        <f aca="false">IF(T7600="","",IF(T7600=0,"No discount",IF(T7600&lt;=0.2,"Low (1-20%)",IF(T7600&lt;=0.4,"Medium (21-40%)","High (&gt;40%)"))))</f>
        <v/>
      </c>
      <c r="Y7600" s="23" t="str">
        <f aca="false">IF(AND(ISNUMBER(C7600),ISNUMBER(D7600)),D7600-C7600,"")</f>
        <v/>
      </c>
      <c r="Z7600" s="23" t="str">
        <f aca="false">IF(B7600="","",IF(MATCH(B7600,$B$2:$B$12000,0)=ROW()-1,1,0))</f>
        <v/>
      </c>
    </row>
    <row r="7601" customFormat="false" ht="15" hidden="false" customHeight="false" outlineLevel="0" collapsed="false">
      <c r="V7601" s="23" t="str">
        <f aca="false">IF(ISNUMBER(C7601),YEAR(C7601),"")</f>
        <v/>
      </c>
      <c r="W7601" s="23" t="str">
        <f aca="false">IF(ISNUMBER(C7601),MONTH(C7601),"")</f>
        <v/>
      </c>
      <c r="X7601" s="23" t="str">
        <f aca="false">IF(T7601="","",IF(T7601=0,"No discount",IF(T7601&lt;=0.2,"Low (1-20%)",IF(T7601&lt;=0.4,"Medium (21-40%)","High (&gt;40%)"))))</f>
        <v/>
      </c>
      <c r="Y7601" s="23" t="str">
        <f aca="false">IF(AND(ISNUMBER(C7601),ISNUMBER(D7601)),D7601-C7601,"")</f>
        <v/>
      </c>
      <c r="Z7601" s="23" t="str">
        <f aca="false">IF(B7601="","",IF(MATCH(B7601,$B$2:$B$12000,0)=ROW()-1,1,0))</f>
        <v/>
      </c>
    </row>
    <row r="7602" customFormat="false" ht="15" hidden="false" customHeight="false" outlineLevel="0" collapsed="false">
      <c r="V7602" s="23" t="str">
        <f aca="false">IF(ISNUMBER(C7602),YEAR(C7602),"")</f>
        <v/>
      </c>
      <c r="W7602" s="23" t="str">
        <f aca="false">IF(ISNUMBER(C7602),MONTH(C7602),"")</f>
        <v/>
      </c>
      <c r="X7602" s="23" t="str">
        <f aca="false">IF(T7602="","",IF(T7602=0,"No discount",IF(T7602&lt;=0.2,"Low (1-20%)",IF(T7602&lt;=0.4,"Medium (21-40%)","High (&gt;40%)"))))</f>
        <v/>
      </c>
      <c r="Y7602" s="23" t="str">
        <f aca="false">IF(AND(ISNUMBER(C7602),ISNUMBER(D7602)),D7602-C7602,"")</f>
        <v/>
      </c>
      <c r="Z7602" s="23" t="str">
        <f aca="false">IF(B7602="","",IF(MATCH(B7602,$B$2:$B$12000,0)=ROW()-1,1,0))</f>
        <v/>
      </c>
    </row>
    <row r="7603" customFormat="false" ht="15" hidden="false" customHeight="false" outlineLevel="0" collapsed="false">
      <c r="V7603" s="23" t="str">
        <f aca="false">IF(ISNUMBER(C7603),YEAR(C7603),"")</f>
        <v/>
      </c>
      <c r="W7603" s="23" t="str">
        <f aca="false">IF(ISNUMBER(C7603),MONTH(C7603),"")</f>
        <v/>
      </c>
      <c r="X7603" s="23" t="str">
        <f aca="false">IF(T7603="","",IF(T7603=0,"No discount",IF(T7603&lt;=0.2,"Low (1-20%)",IF(T7603&lt;=0.4,"Medium (21-40%)","High (&gt;40%)"))))</f>
        <v/>
      </c>
      <c r="Y7603" s="23" t="str">
        <f aca="false">IF(AND(ISNUMBER(C7603),ISNUMBER(D7603)),D7603-C7603,"")</f>
        <v/>
      </c>
      <c r="Z7603" s="23" t="str">
        <f aca="false">IF(B7603="","",IF(MATCH(B7603,$B$2:$B$12000,0)=ROW()-1,1,0))</f>
        <v/>
      </c>
    </row>
    <row r="7604" customFormat="false" ht="15" hidden="false" customHeight="false" outlineLevel="0" collapsed="false">
      <c r="V7604" s="23" t="str">
        <f aca="false">IF(ISNUMBER(C7604),YEAR(C7604),"")</f>
        <v/>
      </c>
      <c r="W7604" s="23" t="str">
        <f aca="false">IF(ISNUMBER(C7604),MONTH(C7604),"")</f>
        <v/>
      </c>
      <c r="X7604" s="23" t="str">
        <f aca="false">IF(T7604="","",IF(T7604=0,"No discount",IF(T7604&lt;=0.2,"Low (1-20%)",IF(T7604&lt;=0.4,"Medium (21-40%)","High (&gt;40%)"))))</f>
        <v/>
      </c>
      <c r="Y7604" s="23" t="str">
        <f aca="false">IF(AND(ISNUMBER(C7604),ISNUMBER(D7604)),D7604-C7604,"")</f>
        <v/>
      </c>
      <c r="Z7604" s="23" t="str">
        <f aca="false">IF(B7604="","",IF(MATCH(B7604,$B$2:$B$12000,0)=ROW()-1,1,0))</f>
        <v/>
      </c>
    </row>
    <row r="7605" customFormat="false" ht="15" hidden="false" customHeight="false" outlineLevel="0" collapsed="false">
      <c r="V7605" s="23" t="str">
        <f aca="false">IF(ISNUMBER(C7605),YEAR(C7605),"")</f>
        <v/>
      </c>
      <c r="W7605" s="23" t="str">
        <f aca="false">IF(ISNUMBER(C7605),MONTH(C7605),"")</f>
        <v/>
      </c>
      <c r="X7605" s="23" t="str">
        <f aca="false">IF(T7605="","",IF(T7605=0,"No discount",IF(T7605&lt;=0.2,"Low (1-20%)",IF(T7605&lt;=0.4,"Medium (21-40%)","High (&gt;40%)"))))</f>
        <v/>
      </c>
      <c r="Y7605" s="23" t="str">
        <f aca="false">IF(AND(ISNUMBER(C7605),ISNUMBER(D7605)),D7605-C7605,"")</f>
        <v/>
      </c>
      <c r="Z7605" s="23" t="str">
        <f aca="false">IF(B7605="","",IF(MATCH(B7605,$B$2:$B$12000,0)=ROW()-1,1,0))</f>
        <v/>
      </c>
    </row>
    <row r="7606" customFormat="false" ht="15" hidden="false" customHeight="false" outlineLevel="0" collapsed="false">
      <c r="V7606" s="23" t="str">
        <f aca="false">IF(ISNUMBER(C7606),YEAR(C7606),"")</f>
        <v/>
      </c>
      <c r="W7606" s="23" t="str">
        <f aca="false">IF(ISNUMBER(C7606),MONTH(C7606),"")</f>
        <v/>
      </c>
      <c r="X7606" s="23" t="str">
        <f aca="false">IF(T7606="","",IF(T7606=0,"No discount",IF(T7606&lt;=0.2,"Low (1-20%)",IF(T7606&lt;=0.4,"Medium (21-40%)","High (&gt;40%)"))))</f>
        <v/>
      </c>
      <c r="Y7606" s="23" t="str">
        <f aca="false">IF(AND(ISNUMBER(C7606),ISNUMBER(D7606)),D7606-C7606,"")</f>
        <v/>
      </c>
      <c r="Z7606" s="23" t="str">
        <f aca="false">IF(B7606="","",IF(MATCH(B7606,$B$2:$B$12000,0)=ROW()-1,1,0))</f>
        <v/>
      </c>
    </row>
    <row r="7607" customFormat="false" ht="15" hidden="false" customHeight="false" outlineLevel="0" collapsed="false">
      <c r="V7607" s="23" t="str">
        <f aca="false">IF(ISNUMBER(C7607),YEAR(C7607),"")</f>
        <v/>
      </c>
      <c r="W7607" s="23" t="str">
        <f aca="false">IF(ISNUMBER(C7607),MONTH(C7607),"")</f>
        <v/>
      </c>
      <c r="X7607" s="23" t="str">
        <f aca="false">IF(T7607="","",IF(T7607=0,"No discount",IF(T7607&lt;=0.2,"Low (1-20%)",IF(T7607&lt;=0.4,"Medium (21-40%)","High (&gt;40%)"))))</f>
        <v/>
      </c>
      <c r="Y7607" s="23" t="str">
        <f aca="false">IF(AND(ISNUMBER(C7607),ISNUMBER(D7607)),D7607-C7607,"")</f>
        <v/>
      </c>
      <c r="Z7607" s="23" t="str">
        <f aca="false">IF(B7607="","",IF(MATCH(B7607,$B$2:$B$12000,0)=ROW()-1,1,0))</f>
        <v/>
      </c>
    </row>
    <row r="7608" customFormat="false" ht="15" hidden="false" customHeight="false" outlineLevel="0" collapsed="false">
      <c r="V7608" s="23" t="str">
        <f aca="false">IF(ISNUMBER(C7608),YEAR(C7608),"")</f>
        <v/>
      </c>
      <c r="W7608" s="23" t="str">
        <f aca="false">IF(ISNUMBER(C7608),MONTH(C7608),"")</f>
        <v/>
      </c>
      <c r="X7608" s="23" t="str">
        <f aca="false">IF(T7608="","",IF(T7608=0,"No discount",IF(T7608&lt;=0.2,"Low (1-20%)",IF(T7608&lt;=0.4,"Medium (21-40%)","High (&gt;40%)"))))</f>
        <v/>
      </c>
      <c r="Y7608" s="23" t="str">
        <f aca="false">IF(AND(ISNUMBER(C7608),ISNUMBER(D7608)),D7608-C7608,"")</f>
        <v/>
      </c>
      <c r="Z7608" s="23" t="str">
        <f aca="false">IF(B7608="","",IF(MATCH(B7608,$B$2:$B$12000,0)=ROW()-1,1,0))</f>
        <v/>
      </c>
    </row>
    <row r="7609" customFormat="false" ht="15" hidden="false" customHeight="false" outlineLevel="0" collapsed="false">
      <c r="V7609" s="23" t="str">
        <f aca="false">IF(ISNUMBER(C7609),YEAR(C7609),"")</f>
        <v/>
      </c>
      <c r="W7609" s="23" t="str">
        <f aca="false">IF(ISNUMBER(C7609),MONTH(C7609),"")</f>
        <v/>
      </c>
      <c r="X7609" s="23" t="str">
        <f aca="false">IF(T7609="","",IF(T7609=0,"No discount",IF(T7609&lt;=0.2,"Low (1-20%)",IF(T7609&lt;=0.4,"Medium (21-40%)","High (&gt;40%)"))))</f>
        <v/>
      </c>
      <c r="Y7609" s="23" t="str">
        <f aca="false">IF(AND(ISNUMBER(C7609),ISNUMBER(D7609)),D7609-C7609,"")</f>
        <v/>
      </c>
      <c r="Z7609" s="23" t="str">
        <f aca="false">IF(B7609="","",IF(MATCH(B7609,$B$2:$B$12000,0)=ROW()-1,1,0))</f>
        <v/>
      </c>
    </row>
    <row r="7610" customFormat="false" ht="15" hidden="false" customHeight="false" outlineLevel="0" collapsed="false">
      <c r="V7610" s="23" t="str">
        <f aca="false">IF(ISNUMBER(C7610),YEAR(C7610),"")</f>
        <v/>
      </c>
      <c r="W7610" s="23" t="str">
        <f aca="false">IF(ISNUMBER(C7610),MONTH(C7610),"")</f>
        <v/>
      </c>
      <c r="X7610" s="23" t="str">
        <f aca="false">IF(T7610="","",IF(T7610=0,"No discount",IF(T7610&lt;=0.2,"Low (1-20%)",IF(T7610&lt;=0.4,"Medium (21-40%)","High (&gt;40%)"))))</f>
        <v/>
      </c>
      <c r="Y7610" s="23" t="str">
        <f aca="false">IF(AND(ISNUMBER(C7610),ISNUMBER(D7610)),D7610-C7610,"")</f>
        <v/>
      </c>
      <c r="Z7610" s="23" t="str">
        <f aca="false">IF(B7610="","",IF(MATCH(B7610,$B$2:$B$12000,0)=ROW()-1,1,0))</f>
        <v/>
      </c>
    </row>
    <row r="7611" customFormat="false" ht="15" hidden="false" customHeight="false" outlineLevel="0" collapsed="false">
      <c r="V7611" s="23" t="str">
        <f aca="false">IF(ISNUMBER(C7611),YEAR(C7611),"")</f>
        <v/>
      </c>
      <c r="W7611" s="23" t="str">
        <f aca="false">IF(ISNUMBER(C7611),MONTH(C7611),"")</f>
        <v/>
      </c>
      <c r="X7611" s="23" t="str">
        <f aca="false">IF(T7611="","",IF(T7611=0,"No discount",IF(T7611&lt;=0.2,"Low (1-20%)",IF(T7611&lt;=0.4,"Medium (21-40%)","High (&gt;40%)"))))</f>
        <v/>
      </c>
      <c r="Y7611" s="23" t="str">
        <f aca="false">IF(AND(ISNUMBER(C7611),ISNUMBER(D7611)),D7611-C7611,"")</f>
        <v/>
      </c>
      <c r="Z7611" s="23" t="str">
        <f aca="false">IF(B7611="","",IF(MATCH(B7611,$B$2:$B$12000,0)=ROW()-1,1,0))</f>
        <v/>
      </c>
    </row>
    <row r="7612" customFormat="false" ht="15" hidden="false" customHeight="false" outlineLevel="0" collapsed="false">
      <c r="V7612" s="23" t="str">
        <f aca="false">IF(ISNUMBER(C7612),YEAR(C7612),"")</f>
        <v/>
      </c>
      <c r="W7612" s="23" t="str">
        <f aca="false">IF(ISNUMBER(C7612),MONTH(C7612),"")</f>
        <v/>
      </c>
      <c r="X7612" s="23" t="str">
        <f aca="false">IF(T7612="","",IF(T7612=0,"No discount",IF(T7612&lt;=0.2,"Low (1-20%)",IF(T7612&lt;=0.4,"Medium (21-40%)","High (&gt;40%)"))))</f>
        <v/>
      </c>
      <c r="Y7612" s="23" t="str">
        <f aca="false">IF(AND(ISNUMBER(C7612),ISNUMBER(D7612)),D7612-C7612,"")</f>
        <v/>
      </c>
      <c r="Z7612" s="23" t="str">
        <f aca="false">IF(B7612="","",IF(MATCH(B7612,$B$2:$B$12000,0)=ROW()-1,1,0))</f>
        <v/>
      </c>
    </row>
    <row r="7613" customFormat="false" ht="15" hidden="false" customHeight="false" outlineLevel="0" collapsed="false">
      <c r="V7613" s="23" t="str">
        <f aca="false">IF(ISNUMBER(C7613),YEAR(C7613),"")</f>
        <v/>
      </c>
      <c r="W7613" s="23" t="str">
        <f aca="false">IF(ISNUMBER(C7613),MONTH(C7613),"")</f>
        <v/>
      </c>
      <c r="X7613" s="23" t="str">
        <f aca="false">IF(T7613="","",IF(T7613=0,"No discount",IF(T7613&lt;=0.2,"Low (1-20%)",IF(T7613&lt;=0.4,"Medium (21-40%)","High (&gt;40%)"))))</f>
        <v/>
      </c>
      <c r="Y7613" s="23" t="str">
        <f aca="false">IF(AND(ISNUMBER(C7613),ISNUMBER(D7613)),D7613-C7613,"")</f>
        <v/>
      </c>
      <c r="Z7613" s="23" t="str">
        <f aca="false">IF(B7613="","",IF(MATCH(B7613,$B$2:$B$12000,0)=ROW()-1,1,0))</f>
        <v/>
      </c>
    </row>
    <row r="7614" customFormat="false" ht="15" hidden="false" customHeight="false" outlineLevel="0" collapsed="false">
      <c r="V7614" s="23" t="str">
        <f aca="false">IF(ISNUMBER(C7614),YEAR(C7614),"")</f>
        <v/>
      </c>
      <c r="W7614" s="23" t="str">
        <f aca="false">IF(ISNUMBER(C7614),MONTH(C7614),"")</f>
        <v/>
      </c>
      <c r="X7614" s="23" t="str">
        <f aca="false">IF(T7614="","",IF(T7614=0,"No discount",IF(T7614&lt;=0.2,"Low (1-20%)",IF(T7614&lt;=0.4,"Medium (21-40%)","High (&gt;40%)"))))</f>
        <v/>
      </c>
      <c r="Y7614" s="23" t="str">
        <f aca="false">IF(AND(ISNUMBER(C7614),ISNUMBER(D7614)),D7614-C7614,"")</f>
        <v/>
      </c>
      <c r="Z7614" s="23" t="str">
        <f aca="false">IF(B7614="","",IF(MATCH(B7614,$B$2:$B$12000,0)=ROW()-1,1,0))</f>
        <v/>
      </c>
    </row>
    <row r="7615" customFormat="false" ht="15" hidden="false" customHeight="false" outlineLevel="0" collapsed="false">
      <c r="V7615" s="23" t="str">
        <f aca="false">IF(ISNUMBER(C7615),YEAR(C7615),"")</f>
        <v/>
      </c>
      <c r="W7615" s="23" t="str">
        <f aca="false">IF(ISNUMBER(C7615),MONTH(C7615),"")</f>
        <v/>
      </c>
      <c r="X7615" s="23" t="str">
        <f aca="false">IF(T7615="","",IF(T7615=0,"No discount",IF(T7615&lt;=0.2,"Low (1-20%)",IF(T7615&lt;=0.4,"Medium (21-40%)","High (&gt;40%)"))))</f>
        <v/>
      </c>
      <c r="Y7615" s="23" t="str">
        <f aca="false">IF(AND(ISNUMBER(C7615),ISNUMBER(D7615)),D7615-C7615,"")</f>
        <v/>
      </c>
      <c r="Z7615" s="23" t="str">
        <f aca="false">IF(B7615="","",IF(MATCH(B7615,$B$2:$B$12000,0)=ROW()-1,1,0))</f>
        <v/>
      </c>
    </row>
    <row r="7616" customFormat="false" ht="15" hidden="false" customHeight="false" outlineLevel="0" collapsed="false">
      <c r="V7616" s="23" t="str">
        <f aca="false">IF(ISNUMBER(C7616),YEAR(C7616),"")</f>
        <v/>
      </c>
      <c r="W7616" s="23" t="str">
        <f aca="false">IF(ISNUMBER(C7616),MONTH(C7616),"")</f>
        <v/>
      </c>
      <c r="X7616" s="23" t="str">
        <f aca="false">IF(T7616="","",IF(T7616=0,"No discount",IF(T7616&lt;=0.2,"Low (1-20%)",IF(T7616&lt;=0.4,"Medium (21-40%)","High (&gt;40%)"))))</f>
        <v/>
      </c>
      <c r="Y7616" s="23" t="str">
        <f aca="false">IF(AND(ISNUMBER(C7616),ISNUMBER(D7616)),D7616-C7616,"")</f>
        <v/>
      </c>
      <c r="Z7616" s="23" t="str">
        <f aca="false">IF(B7616="","",IF(MATCH(B7616,$B$2:$B$12000,0)=ROW()-1,1,0))</f>
        <v/>
      </c>
    </row>
    <row r="7617" customFormat="false" ht="15" hidden="false" customHeight="false" outlineLevel="0" collapsed="false">
      <c r="V7617" s="23" t="str">
        <f aca="false">IF(ISNUMBER(C7617),YEAR(C7617),"")</f>
        <v/>
      </c>
      <c r="W7617" s="23" t="str">
        <f aca="false">IF(ISNUMBER(C7617),MONTH(C7617),"")</f>
        <v/>
      </c>
      <c r="X7617" s="23" t="str">
        <f aca="false">IF(T7617="","",IF(T7617=0,"No discount",IF(T7617&lt;=0.2,"Low (1-20%)",IF(T7617&lt;=0.4,"Medium (21-40%)","High (&gt;40%)"))))</f>
        <v/>
      </c>
      <c r="Y7617" s="23" t="str">
        <f aca="false">IF(AND(ISNUMBER(C7617),ISNUMBER(D7617)),D7617-C7617,"")</f>
        <v/>
      </c>
      <c r="Z7617" s="23" t="str">
        <f aca="false">IF(B7617="","",IF(MATCH(B7617,$B$2:$B$12000,0)=ROW()-1,1,0))</f>
        <v/>
      </c>
    </row>
    <row r="7618" customFormat="false" ht="15" hidden="false" customHeight="false" outlineLevel="0" collapsed="false">
      <c r="V7618" s="23" t="str">
        <f aca="false">IF(ISNUMBER(C7618),YEAR(C7618),"")</f>
        <v/>
      </c>
      <c r="W7618" s="23" t="str">
        <f aca="false">IF(ISNUMBER(C7618),MONTH(C7618),"")</f>
        <v/>
      </c>
      <c r="X7618" s="23" t="str">
        <f aca="false">IF(T7618="","",IF(T7618=0,"No discount",IF(T7618&lt;=0.2,"Low (1-20%)",IF(T7618&lt;=0.4,"Medium (21-40%)","High (&gt;40%)"))))</f>
        <v/>
      </c>
      <c r="Y7618" s="23" t="str">
        <f aca="false">IF(AND(ISNUMBER(C7618),ISNUMBER(D7618)),D7618-C7618,"")</f>
        <v/>
      </c>
      <c r="Z7618" s="23" t="str">
        <f aca="false">IF(B7618="","",IF(MATCH(B7618,$B$2:$B$12000,0)=ROW()-1,1,0))</f>
        <v/>
      </c>
    </row>
    <row r="7619" customFormat="false" ht="15" hidden="false" customHeight="false" outlineLevel="0" collapsed="false">
      <c r="V7619" s="23" t="str">
        <f aca="false">IF(ISNUMBER(C7619),YEAR(C7619),"")</f>
        <v/>
      </c>
      <c r="W7619" s="23" t="str">
        <f aca="false">IF(ISNUMBER(C7619),MONTH(C7619),"")</f>
        <v/>
      </c>
      <c r="X7619" s="23" t="str">
        <f aca="false">IF(T7619="","",IF(T7619=0,"No discount",IF(T7619&lt;=0.2,"Low (1-20%)",IF(T7619&lt;=0.4,"Medium (21-40%)","High (&gt;40%)"))))</f>
        <v/>
      </c>
      <c r="Y7619" s="23" t="str">
        <f aca="false">IF(AND(ISNUMBER(C7619),ISNUMBER(D7619)),D7619-C7619,"")</f>
        <v/>
      </c>
      <c r="Z7619" s="23" t="str">
        <f aca="false">IF(B7619="","",IF(MATCH(B7619,$B$2:$B$12000,0)=ROW()-1,1,0))</f>
        <v/>
      </c>
    </row>
    <row r="7620" customFormat="false" ht="15" hidden="false" customHeight="false" outlineLevel="0" collapsed="false">
      <c r="V7620" s="23" t="str">
        <f aca="false">IF(ISNUMBER(C7620),YEAR(C7620),"")</f>
        <v/>
      </c>
      <c r="W7620" s="23" t="str">
        <f aca="false">IF(ISNUMBER(C7620),MONTH(C7620),"")</f>
        <v/>
      </c>
      <c r="X7620" s="23" t="str">
        <f aca="false">IF(T7620="","",IF(T7620=0,"No discount",IF(T7620&lt;=0.2,"Low (1-20%)",IF(T7620&lt;=0.4,"Medium (21-40%)","High (&gt;40%)"))))</f>
        <v/>
      </c>
      <c r="Y7620" s="23" t="str">
        <f aca="false">IF(AND(ISNUMBER(C7620),ISNUMBER(D7620)),D7620-C7620,"")</f>
        <v/>
      </c>
      <c r="Z7620" s="23" t="str">
        <f aca="false">IF(B7620="","",IF(MATCH(B7620,$B$2:$B$12000,0)=ROW()-1,1,0))</f>
        <v/>
      </c>
    </row>
    <row r="7621" customFormat="false" ht="15" hidden="false" customHeight="false" outlineLevel="0" collapsed="false">
      <c r="V7621" s="23" t="str">
        <f aca="false">IF(ISNUMBER(C7621),YEAR(C7621),"")</f>
        <v/>
      </c>
      <c r="W7621" s="23" t="str">
        <f aca="false">IF(ISNUMBER(C7621),MONTH(C7621),"")</f>
        <v/>
      </c>
      <c r="X7621" s="23" t="str">
        <f aca="false">IF(T7621="","",IF(T7621=0,"No discount",IF(T7621&lt;=0.2,"Low (1-20%)",IF(T7621&lt;=0.4,"Medium (21-40%)","High (&gt;40%)"))))</f>
        <v/>
      </c>
      <c r="Y7621" s="23" t="str">
        <f aca="false">IF(AND(ISNUMBER(C7621),ISNUMBER(D7621)),D7621-C7621,"")</f>
        <v/>
      </c>
      <c r="Z7621" s="23" t="str">
        <f aca="false">IF(B7621="","",IF(MATCH(B7621,$B$2:$B$12000,0)=ROW()-1,1,0))</f>
        <v/>
      </c>
    </row>
    <row r="7622" customFormat="false" ht="15" hidden="false" customHeight="false" outlineLevel="0" collapsed="false">
      <c r="V7622" s="23" t="str">
        <f aca="false">IF(ISNUMBER(C7622),YEAR(C7622),"")</f>
        <v/>
      </c>
      <c r="W7622" s="23" t="str">
        <f aca="false">IF(ISNUMBER(C7622),MONTH(C7622),"")</f>
        <v/>
      </c>
      <c r="X7622" s="23" t="str">
        <f aca="false">IF(T7622="","",IF(T7622=0,"No discount",IF(T7622&lt;=0.2,"Low (1-20%)",IF(T7622&lt;=0.4,"Medium (21-40%)","High (&gt;40%)"))))</f>
        <v/>
      </c>
      <c r="Y7622" s="23" t="str">
        <f aca="false">IF(AND(ISNUMBER(C7622),ISNUMBER(D7622)),D7622-C7622,"")</f>
        <v/>
      </c>
      <c r="Z7622" s="23" t="str">
        <f aca="false">IF(B7622="","",IF(MATCH(B7622,$B$2:$B$12000,0)=ROW()-1,1,0))</f>
        <v/>
      </c>
    </row>
    <row r="7623" customFormat="false" ht="15" hidden="false" customHeight="false" outlineLevel="0" collapsed="false">
      <c r="V7623" s="23" t="str">
        <f aca="false">IF(ISNUMBER(C7623),YEAR(C7623),"")</f>
        <v/>
      </c>
      <c r="W7623" s="23" t="str">
        <f aca="false">IF(ISNUMBER(C7623),MONTH(C7623),"")</f>
        <v/>
      </c>
      <c r="X7623" s="23" t="str">
        <f aca="false">IF(T7623="","",IF(T7623=0,"No discount",IF(T7623&lt;=0.2,"Low (1-20%)",IF(T7623&lt;=0.4,"Medium (21-40%)","High (&gt;40%)"))))</f>
        <v/>
      </c>
      <c r="Y7623" s="23" t="str">
        <f aca="false">IF(AND(ISNUMBER(C7623),ISNUMBER(D7623)),D7623-C7623,"")</f>
        <v/>
      </c>
      <c r="Z7623" s="23" t="str">
        <f aca="false">IF(B7623="","",IF(MATCH(B7623,$B$2:$B$12000,0)=ROW()-1,1,0))</f>
        <v/>
      </c>
    </row>
    <row r="7624" customFormat="false" ht="15" hidden="false" customHeight="false" outlineLevel="0" collapsed="false">
      <c r="V7624" s="23" t="str">
        <f aca="false">IF(ISNUMBER(C7624),YEAR(C7624),"")</f>
        <v/>
      </c>
      <c r="W7624" s="23" t="str">
        <f aca="false">IF(ISNUMBER(C7624),MONTH(C7624),"")</f>
        <v/>
      </c>
      <c r="X7624" s="23" t="str">
        <f aca="false">IF(T7624="","",IF(T7624=0,"No discount",IF(T7624&lt;=0.2,"Low (1-20%)",IF(T7624&lt;=0.4,"Medium (21-40%)","High (&gt;40%)"))))</f>
        <v/>
      </c>
      <c r="Y7624" s="23" t="str">
        <f aca="false">IF(AND(ISNUMBER(C7624),ISNUMBER(D7624)),D7624-C7624,"")</f>
        <v/>
      </c>
      <c r="Z7624" s="23" t="str">
        <f aca="false">IF(B7624="","",IF(MATCH(B7624,$B$2:$B$12000,0)=ROW()-1,1,0))</f>
        <v/>
      </c>
    </row>
    <row r="7625" customFormat="false" ht="15" hidden="false" customHeight="false" outlineLevel="0" collapsed="false">
      <c r="V7625" s="23" t="str">
        <f aca="false">IF(ISNUMBER(C7625),YEAR(C7625),"")</f>
        <v/>
      </c>
      <c r="W7625" s="23" t="str">
        <f aca="false">IF(ISNUMBER(C7625),MONTH(C7625),"")</f>
        <v/>
      </c>
      <c r="X7625" s="23" t="str">
        <f aca="false">IF(T7625="","",IF(T7625=0,"No discount",IF(T7625&lt;=0.2,"Low (1-20%)",IF(T7625&lt;=0.4,"Medium (21-40%)","High (&gt;40%)"))))</f>
        <v/>
      </c>
      <c r="Y7625" s="23" t="str">
        <f aca="false">IF(AND(ISNUMBER(C7625),ISNUMBER(D7625)),D7625-C7625,"")</f>
        <v/>
      </c>
      <c r="Z7625" s="23" t="str">
        <f aca="false">IF(B7625="","",IF(MATCH(B7625,$B$2:$B$12000,0)=ROW()-1,1,0))</f>
        <v/>
      </c>
    </row>
    <row r="7626" customFormat="false" ht="15" hidden="false" customHeight="false" outlineLevel="0" collapsed="false">
      <c r="V7626" s="23" t="str">
        <f aca="false">IF(ISNUMBER(C7626),YEAR(C7626),"")</f>
        <v/>
      </c>
      <c r="W7626" s="23" t="str">
        <f aca="false">IF(ISNUMBER(C7626),MONTH(C7626),"")</f>
        <v/>
      </c>
      <c r="X7626" s="23" t="str">
        <f aca="false">IF(T7626="","",IF(T7626=0,"No discount",IF(T7626&lt;=0.2,"Low (1-20%)",IF(T7626&lt;=0.4,"Medium (21-40%)","High (&gt;40%)"))))</f>
        <v/>
      </c>
      <c r="Y7626" s="23" t="str">
        <f aca="false">IF(AND(ISNUMBER(C7626),ISNUMBER(D7626)),D7626-C7626,"")</f>
        <v/>
      </c>
      <c r="Z7626" s="23" t="str">
        <f aca="false">IF(B7626="","",IF(MATCH(B7626,$B$2:$B$12000,0)=ROW()-1,1,0))</f>
        <v/>
      </c>
    </row>
    <row r="7627" customFormat="false" ht="15" hidden="false" customHeight="false" outlineLevel="0" collapsed="false">
      <c r="V7627" s="23" t="str">
        <f aca="false">IF(ISNUMBER(C7627),YEAR(C7627),"")</f>
        <v/>
      </c>
      <c r="W7627" s="23" t="str">
        <f aca="false">IF(ISNUMBER(C7627),MONTH(C7627),"")</f>
        <v/>
      </c>
      <c r="X7627" s="23" t="str">
        <f aca="false">IF(T7627="","",IF(T7627=0,"No discount",IF(T7627&lt;=0.2,"Low (1-20%)",IF(T7627&lt;=0.4,"Medium (21-40%)","High (&gt;40%)"))))</f>
        <v/>
      </c>
      <c r="Y7627" s="23" t="str">
        <f aca="false">IF(AND(ISNUMBER(C7627),ISNUMBER(D7627)),D7627-C7627,"")</f>
        <v/>
      </c>
      <c r="Z7627" s="23" t="str">
        <f aca="false">IF(B7627="","",IF(MATCH(B7627,$B$2:$B$12000,0)=ROW()-1,1,0))</f>
        <v/>
      </c>
    </row>
    <row r="7628" customFormat="false" ht="15" hidden="false" customHeight="false" outlineLevel="0" collapsed="false">
      <c r="V7628" s="23" t="str">
        <f aca="false">IF(ISNUMBER(C7628),YEAR(C7628),"")</f>
        <v/>
      </c>
      <c r="W7628" s="23" t="str">
        <f aca="false">IF(ISNUMBER(C7628),MONTH(C7628),"")</f>
        <v/>
      </c>
      <c r="X7628" s="23" t="str">
        <f aca="false">IF(T7628="","",IF(T7628=0,"No discount",IF(T7628&lt;=0.2,"Low (1-20%)",IF(T7628&lt;=0.4,"Medium (21-40%)","High (&gt;40%)"))))</f>
        <v/>
      </c>
      <c r="Y7628" s="23" t="str">
        <f aca="false">IF(AND(ISNUMBER(C7628),ISNUMBER(D7628)),D7628-C7628,"")</f>
        <v/>
      </c>
      <c r="Z7628" s="23" t="str">
        <f aca="false">IF(B7628="","",IF(MATCH(B7628,$B$2:$B$12000,0)=ROW()-1,1,0))</f>
        <v/>
      </c>
    </row>
    <row r="7629" customFormat="false" ht="15" hidden="false" customHeight="false" outlineLevel="0" collapsed="false">
      <c r="V7629" s="23" t="str">
        <f aca="false">IF(ISNUMBER(C7629),YEAR(C7629),"")</f>
        <v/>
      </c>
      <c r="W7629" s="23" t="str">
        <f aca="false">IF(ISNUMBER(C7629),MONTH(C7629),"")</f>
        <v/>
      </c>
      <c r="X7629" s="23" t="str">
        <f aca="false">IF(T7629="","",IF(T7629=0,"No discount",IF(T7629&lt;=0.2,"Low (1-20%)",IF(T7629&lt;=0.4,"Medium (21-40%)","High (&gt;40%)"))))</f>
        <v/>
      </c>
      <c r="Y7629" s="23" t="str">
        <f aca="false">IF(AND(ISNUMBER(C7629),ISNUMBER(D7629)),D7629-C7629,"")</f>
        <v/>
      </c>
      <c r="Z7629" s="23" t="str">
        <f aca="false">IF(B7629="","",IF(MATCH(B7629,$B$2:$B$12000,0)=ROW()-1,1,0))</f>
        <v/>
      </c>
    </row>
    <row r="7630" customFormat="false" ht="15" hidden="false" customHeight="false" outlineLevel="0" collapsed="false">
      <c r="V7630" s="23" t="str">
        <f aca="false">IF(ISNUMBER(C7630),YEAR(C7630),"")</f>
        <v/>
      </c>
      <c r="W7630" s="23" t="str">
        <f aca="false">IF(ISNUMBER(C7630),MONTH(C7630),"")</f>
        <v/>
      </c>
      <c r="X7630" s="23" t="str">
        <f aca="false">IF(T7630="","",IF(T7630=0,"No discount",IF(T7630&lt;=0.2,"Low (1-20%)",IF(T7630&lt;=0.4,"Medium (21-40%)","High (&gt;40%)"))))</f>
        <v/>
      </c>
      <c r="Y7630" s="23" t="str">
        <f aca="false">IF(AND(ISNUMBER(C7630),ISNUMBER(D7630)),D7630-C7630,"")</f>
        <v/>
      </c>
      <c r="Z7630" s="23" t="str">
        <f aca="false">IF(B7630="","",IF(MATCH(B7630,$B$2:$B$12000,0)=ROW()-1,1,0))</f>
        <v/>
      </c>
    </row>
    <row r="7631" customFormat="false" ht="15" hidden="false" customHeight="false" outlineLevel="0" collapsed="false">
      <c r="V7631" s="23" t="str">
        <f aca="false">IF(ISNUMBER(C7631),YEAR(C7631),"")</f>
        <v/>
      </c>
      <c r="W7631" s="23" t="str">
        <f aca="false">IF(ISNUMBER(C7631),MONTH(C7631),"")</f>
        <v/>
      </c>
      <c r="X7631" s="23" t="str">
        <f aca="false">IF(T7631="","",IF(T7631=0,"No discount",IF(T7631&lt;=0.2,"Low (1-20%)",IF(T7631&lt;=0.4,"Medium (21-40%)","High (&gt;40%)"))))</f>
        <v/>
      </c>
      <c r="Y7631" s="23" t="str">
        <f aca="false">IF(AND(ISNUMBER(C7631),ISNUMBER(D7631)),D7631-C7631,"")</f>
        <v/>
      </c>
      <c r="Z7631" s="23" t="str">
        <f aca="false">IF(B7631="","",IF(MATCH(B7631,$B$2:$B$12000,0)=ROW()-1,1,0))</f>
        <v/>
      </c>
    </row>
    <row r="7632" customFormat="false" ht="15" hidden="false" customHeight="false" outlineLevel="0" collapsed="false">
      <c r="V7632" s="23" t="str">
        <f aca="false">IF(ISNUMBER(C7632),YEAR(C7632),"")</f>
        <v/>
      </c>
      <c r="W7632" s="23" t="str">
        <f aca="false">IF(ISNUMBER(C7632),MONTH(C7632),"")</f>
        <v/>
      </c>
      <c r="X7632" s="23" t="str">
        <f aca="false">IF(T7632="","",IF(T7632=0,"No discount",IF(T7632&lt;=0.2,"Low (1-20%)",IF(T7632&lt;=0.4,"Medium (21-40%)","High (&gt;40%)"))))</f>
        <v/>
      </c>
      <c r="Y7632" s="23" t="str">
        <f aca="false">IF(AND(ISNUMBER(C7632),ISNUMBER(D7632)),D7632-C7632,"")</f>
        <v/>
      </c>
      <c r="Z7632" s="23" t="str">
        <f aca="false">IF(B7632="","",IF(MATCH(B7632,$B$2:$B$12000,0)=ROW()-1,1,0))</f>
        <v/>
      </c>
    </row>
    <row r="7633" customFormat="false" ht="15" hidden="false" customHeight="false" outlineLevel="0" collapsed="false">
      <c r="V7633" s="23" t="str">
        <f aca="false">IF(ISNUMBER(C7633),YEAR(C7633),"")</f>
        <v/>
      </c>
      <c r="W7633" s="23" t="str">
        <f aca="false">IF(ISNUMBER(C7633),MONTH(C7633),"")</f>
        <v/>
      </c>
      <c r="X7633" s="23" t="str">
        <f aca="false">IF(T7633="","",IF(T7633=0,"No discount",IF(T7633&lt;=0.2,"Low (1-20%)",IF(T7633&lt;=0.4,"Medium (21-40%)","High (&gt;40%)"))))</f>
        <v/>
      </c>
      <c r="Y7633" s="23" t="str">
        <f aca="false">IF(AND(ISNUMBER(C7633),ISNUMBER(D7633)),D7633-C7633,"")</f>
        <v/>
      </c>
      <c r="Z7633" s="23" t="str">
        <f aca="false">IF(B7633="","",IF(MATCH(B7633,$B$2:$B$12000,0)=ROW()-1,1,0))</f>
        <v/>
      </c>
    </row>
    <row r="7634" customFormat="false" ht="15" hidden="false" customHeight="false" outlineLevel="0" collapsed="false">
      <c r="V7634" s="23" t="str">
        <f aca="false">IF(ISNUMBER(C7634),YEAR(C7634),"")</f>
        <v/>
      </c>
      <c r="W7634" s="23" t="str">
        <f aca="false">IF(ISNUMBER(C7634),MONTH(C7634),"")</f>
        <v/>
      </c>
      <c r="X7634" s="23" t="str">
        <f aca="false">IF(T7634="","",IF(T7634=0,"No discount",IF(T7634&lt;=0.2,"Low (1-20%)",IF(T7634&lt;=0.4,"Medium (21-40%)","High (&gt;40%)"))))</f>
        <v/>
      </c>
      <c r="Y7634" s="23" t="str">
        <f aca="false">IF(AND(ISNUMBER(C7634),ISNUMBER(D7634)),D7634-C7634,"")</f>
        <v/>
      </c>
      <c r="Z7634" s="23" t="str">
        <f aca="false">IF(B7634="","",IF(MATCH(B7634,$B$2:$B$12000,0)=ROW()-1,1,0))</f>
        <v/>
      </c>
    </row>
    <row r="7635" customFormat="false" ht="15" hidden="false" customHeight="false" outlineLevel="0" collapsed="false">
      <c r="V7635" s="23" t="str">
        <f aca="false">IF(ISNUMBER(C7635),YEAR(C7635),"")</f>
        <v/>
      </c>
      <c r="W7635" s="23" t="str">
        <f aca="false">IF(ISNUMBER(C7635),MONTH(C7635),"")</f>
        <v/>
      </c>
      <c r="X7635" s="23" t="str">
        <f aca="false">IF(T7635="","",IF(T7635=0,"No discount",IF(T7635&lt;=0.2,"Low (1-20%)",IF(T7635&lt;=0.4,"Medium (21-40%)","High (&gt;40%)"))))</f>
        <v/>
      </c>
      <c r="Y7635" s="23" t="str">
        <f aca="false">IF(AND(ISNUMBER(C7635),ISNUMBER(D7635)),D7635-C7635,"")</f>
        <v/>
      </c>
      <c r="Z7635" s="23" t="str">
        <f aca="false">IF(B7635="","",IF(MATCH(B7635,$B$2:$B$12000,0)=ROW()-1,1,0))</f>
        <v/>
      </c>
    </row>
    <row r="7636" customFormat="false" ht="15" hidden="false" customHeight="false" outlineLevel="0" collapsed="false">
      <c r="V7636" s="23" t="str">
        <f aca="false">IF(ISNUMBER(C7636),YEAR(C7636),"")</f>
        <v/>
      </c>
      <c r="W7636" s="23" t="str">
        <f aca="false">IF(ISNUMBER(C7636),MONTH(C7636),"")</f>
        <v/>
      </c>
      <c r="X7636" s="23" t="str">
        <f aca="false">IF(T7636="","",IF(T7636=0,"No discount",IF(T7636&lt;=0.2,"Low (1-20%)",IF(T7636&lt;=0.4,"Medium (21-40%)","High (&gt;40%)"))))</f>
        <v/>
      </c>
      <c r="Y7636" s="23" t="str">
        <f aca="false">IF(AND(ISNUMBER(C7636),ISNUMBER(D7636)),D7636-C7636,"")</f>
        <v/>
      </c>
      <c r="Z7636" s="23" t="str">
        <f aca="false">IF(B7636="","",IF(MATCH(B7636,$B$2:$B$12000,0)=ROW()-1,1,0))</f>
        <v/>
      </c>
    </row>
    <row r="7637" customFormat="false" ht="15" hidden="false" customHeight="false" outlineLevel="0" collapsed="false">
      <c r="V7637" s="23" t="str">
        <f aca="false">IF(ISNUMBER(C7637),YEAR(C7637),"")</f>
        <v/>
      </c>
      <c r="W7637" s="23" t="str">
        <f aca="false">IF(ISNUMBER(C7637),MONTH(C7637),"")</f>
        <v/>
      </c>
      <c r="X7637" s="23" t="str">
        <f aca="false">IF(T7637="","",IF(T7637=0,"No discount",IF(T7637&lt;=0.2,"Low (1-20%)",IF(T7637&lt;=0.4,"Medium (21-40%)","High (&gt;40%)"))))</f>
        <v/>
      </c>
      <c r="Y7637" s="23" t="str">
        <f aca="false">IF(AND(ISNUMBER(C7637),ISNUMBER(D7637)),D7637-C7637,"")</f>
        <v/>
      </c>
      <c r="Z7637" s="23" t="str">
        <f aca="false">IF(B7637="","",IF(MATCH(B7637,$B$2:$B$12000,0)=ROW()-1,1,0))</f>
        <v/>
      </c>
    </row>
    <row r="7638" customFormat="false" ht="15" hidden="false" customHeight="false" outlineLevel="0" collapsed="false">
      <c r="V7638" s="23" t="str">
        <f aca="false">IF(ISNUMBER(C7638),YEAR(C7638),"")</f>
        <v/>
      </c>
      <c r="W7638" s="23" t="str">
        <f aca="false">IF(ISNUMBER(C7638),MONTH(C7638),"")</f>
        <v/>
      </c>
      <c r="X7638" s="23" t="str">
        <f aca="false">IF(T7638="","",IF(T7638=0,"No discount",IF(T7638&lt;=0.2,"Low (1-20%)",IF(T7638&lt;=0.4,"Medium (21-40%)","High (&gt;40%)"))))</f>
        <v/>
      </c>
      <c r="Y7638" s="23" t="str">
        <f aca="false">IF(AND(ISNUMBER(C7638),ISNUMBER(D7638)),D7638-C7638,"")</f>
        <v/>
      </c>
      <c r="Z7638" s="23" t="str">
        <f aca="false">IF(B7638="","",IF(MATCH(B7638,$B$2:$B$12000,0)=ROW()-1,1,0))</f>
        <v/>
      </c>
    </row>
    <row r="7639" customFormat="false" ht="15" hidden="false" customHeight="false" outlineLevel="0" collapsed="false">
      <c r="V7639" s="23" t="str">
        <f aca="false">IF(ISNUMBER(C7639),YEAR(C7639),"")</f>
        <v/>
      </c>
      <c r="W7639" s="23" t="str">
        <f aca="false">IF(ISNUMBER(C7639),MONTH(C7639),"")</f>
        <v/>
      </c>
      <c r="X7639" s="23" t="str">
        <f aca="false">IF(T7639="","",IF(T7639=0,"No discount",IF(T7639&lt;=0.2,"Low (1-20%)",IF(T7639&lt;=0.4,"Medium (21-40%)","High (&gt;40%)"))))</f>
        <v/>
      </c>
      <c r="Y7639" s="23" t="str">
        <f aca="false">IF(AND(ISNUMBER(C7639),ISNUMBER(D7639)),D7639-C7639,"")</f>
        <v/>
      </c>
      <c r="Z7639" s="23" t="str">
        <f aca="false">IF(B7639="","",IF(MATCH(B7639,$B$2:$B$12000,0)=ROW()-1,1,0))</f>
        <v/>
      </c>
    </row>
    <row r="7640" customFormat="false" ht="15" hidden="false" customHeight="false" outlineLevel="0" collapsed="false">
      <c r="V7640" s="23" t="str">
        <f aca="false">IF(ISNUMBER(C7640),YEAR(C7640),"")</f>
        <v/>
      </c>
      <c r="W7640" s="23" t="str">
        <f aca="false">IF(ISNUMBER(C7640),MONTH(C7640),"")</f>
        <v/>
      </c>
      <c r="X7640" s="23" t="str">
        <f aca="false">IF(T7640="","",IF(T7640=0,"No discount",IF(T7640&lt;=0.2,"Low (1-20%)",IF(T7640&lt;=0.4,"Medium (21-40%)","High (&gt;40%)"))))</f>
        <v/>
      </c>
      <c r="Y7640" s="23" t="str">
        <f aca="false">IF(AND(ISNUMBER(C7640),ISNUMBER(D7640)),D7640-C7640,"")</f>
        <v/>
      </c>
      <c r="Z7640" s="23" t="str">
        <f aca="false">IF(B7640="","",IF(MATCH(B7640,$B$2:$B$12000,0)=ROW()-1,1,0))</f>
        <v/>
      </c>
    </row>
    <row r="7641" customFormat="false" ht="15" hidden="false" customHeight="false" outlineLevel="0" collapsed="false">
      <c r="V7641" s="23" t="str">
        <f aca="false">IF(ISNUMBER(C7641),YEAR(C7641),"")</f>
        <v/>
      </c>
      <c r="W7641" s="23" t="str">
        <f aca="false">IF(ISNUMBER(C7641),MONTH(C7641),"")</f>
        <v/>
      </c>
      <c r="X7641" s="23" t="str">
        <f aca="false">IF(T7641="","",IF(T7641=0,"No discount",IF(T7641&lt;=0.2,"Low (1-20%)",IF(T7641&lt;=0.4,"Medium (21-40%)","High (&gt;40%)"))))</f>
        <v/>
      </c>
      <c r="Y7641" s="23" t="str">
        <f aca="false">IF(AND(ISNUMBER(C7641),ISNUMBER(D7641)),D7641-C7641,"")</f>
        <v/>
      </c>
      <c r="Z7641" s="23" t="str">
        <f aca="false">IF(B7641="","",IF(MATCH(B7641,$B$2:$B$12000,0)=ROW()-1,1,0))</f>
        <v/>
      </c>
    </row>
    <row r="7642" customFormat="false" ht="15" hidden="false" customHeight="false" outlineLevel="0" collapsed="false">
      <c r="V7642" s="23" t="str">
        <f aca="false">IF(ISNUMBER(C7642),YEAR(C7642),"")</f>
        <v/>
      </c>
      <c r="W7642" s="23" t="str">
        <f aca="false">IF(ISNUMBER(C7642),MONTH(C7642),"")</f>
        <v/>
      </c>
      <c r="X7642" s="23" t="str">
        <f aca="false">IF(T7642="","",IF(T7642=0,"No discount",IF(T7642&lt;=0.2,"Low (1-20%)",IF(T7642&lt;=0.4,"Medium (21-40%)","High (&gt;40%)"))))</f>
        <v/>
      </c>
      <c r="Y7642" s="23" t="str">
        <f aca="false">IF(AND(ISNUMBER(C7642),ISNUMBER(D7642)),D7642-C7642,"")</f>
        <v/>
      </c>
      <c r="Z7642" s="23" t="str">
        <f aca="false">IF(B7642="","",IF(MATCH(B7642,$B$2:$B$12000,0)=ROW()-1,1,0))</f>
        <v/>
      </c>
    </row>
    <row r="7643" customFormat="false" ht="15" hidden="false" customHeight="false" outlineLevel="0" collapsed="false">
      <c r="V7643" s="23" t="str">
        <f aca="false">IF(ISNUMBER(C7643),YEAR(C7643),"")</f>
        <v/>
      </c>
      <c r="W7643" s="23" t="str">
        <f aca="false">IF(ISNUMBER(C7643),MONTH(C7643),"")</f>
        <v/>
      </c>
      <c r="X7643" s="23" t="str">
        <f aca="false">IF(T7643="","",IF(T7643=0,"No discount",IF(T7643&lt;=0.2,"Low (1-20%)",IF(T7643&lt;=0.4,"Medium (21-40%)","High (&gt;40%)"))))</f>
        <v/>
      </c>
      <c r="Y7643" s="23" t="str">
        <f aca="false">IF(AND(ISNUMBER(C7643),ISNUMBER(D7643)),D7643-C7643,"")</f>
        <v/>
      </c>
      <c r="Z7643" s="23" t="str">
        <f aca="false">IF(B7643="","",IF(MATCH(B7643,$B$2:$B$12000,0)=ROW()-1,1,0))</f>
        <v/>
      </c>
    </row>
    <row r="7644" customFormat="false" ht="15" hidden="false" customHeight="false" outlineLevel="0" collapsed="false">
      <c r="V7644" s="23" t="str">
        <f aca="false">IF(ISNUMBER(C7644),YEAR(C7644),"")</f>
        <v/>
      </c>
      <c r="W7644" s="23" t="str">
        <f aca="false">IF(ISNUMBER(C7644),MONTH(C7644),"")</f>
        <v/>
      </c>
      <c r="X7644" s="23" t="str">
        <f aca="false">IF(T7644="","",IF(T7644=0,"No discount",IF(T7644&lt;=0.2,"Low (1-20%)",IF(T7644&lt;=0.4,"Medium (21-40%)","High (&gt;40%)"))))</f>
        <v/>
      </c>
      <c r="Y7644" s="23" t="str">
        <f aca="false">IF(AND(ISNUMBER(C7644),ISNUMBER(D7644)),D7644-C7644,"")</f>
        <v/>
      </c>
      <c r="Z7644" s="23" t="str">
        <f aca="false">IF(B7644="","",IF(MATCH(B7644,$B$2:$B$12000,0)=ROW()-1,1,0))</f>
        <v/>
      </c>
    </row>
    <row r="7645" customFormat="false" ht="15" hidden="false" customHeight="false" outlineLevel="0" collapsed="false">
      <c r="V7645" s="23" t="str">
        <f aca="false">IF(ISNUMBER(C7645),YEAR(C7645),"")</f>
        <v/>
      </c>
      <c r="W7645" s="23" t="str">
        <f aca="false">IF(ISNUMBER(C7645),MONTH(C7645),"")</f>
        <v/>
      </c>
      <c r="X7645" s="23" t="str">
        <f aca="false">IF(T7645="","",IF(T7645=0,"No discount",IF(T7645&lt;=0.2,"Low (1-20%)",IF(T7645&lt;=0.4,"Medium (21-40%)","High (&gt;40%)"))))</f>
        <v/>
      </c>
      <c r="Y7645" s="23" t="str">
        <f aca="false">IF(AND(ISNUMBER(C7645),ISNUMBER(D7645)),D7645-C7645,"")</f>
        <v/>
      </c>
      <c r="Z7645" s="23" t="str">
        <f aca="false">IF(B7645="","",IF(MATCH(B7645,$B$2:$B$12000,0)=ROW()-1,1,0))</f>
        <v/>
      </c>
    </row>
    <row r="7646" customFormat="false" ht="15" hidden="false" customHeight="false" outlineLevel="0" collapsed="false">
      <c r="V7646" s="23" t="str">
        <f aca="false">IF(ISNUMBER(C7646),YEAR(C7646),"")</f>
        <v/>
      </c>
      <c r="W7646" s="23" t="str">
        <f aca="false">IF(ISNUMBER(C7646),MONTH(C7646),"")</f>
        <v/>
      </c>
      <c r="X7646" s="23" t="str">
        <f aca="false">IF(T7646="","",IF(T7646=0,"No discount",IF(T7646&lt;=0.2,"Low (1-20%)",IF(T7646&lt;=0.4,"Medium (21-40%)","High (&gt;40%)"))))</f>
        <v/>
      </c>
      <c r="Y7646" s="23" t="str">
        <f aca="false">IF(AND(ISNUMBER(C7646),ISNUMBER(D7646)),D7646-C7646,"")</f>
        <v/>
      </c>
      <c r="Z7646" s="23" t="str">
        <f aca="false">IF(B7646="","",IF(MATCH(B7646,$B$2:$B$12000,0)=ROW()-1,1,0))</f>
        <v/>
      </c>
    </row>
    <row r="7647" customFormat="false" ht="15" hidden="false" customHeight="false" outlineLevel="0" collapsed="false">
      <c r="V7647" s="23" t="str">
        <f aca="false">IF(ISNUMBER(C7647),YEAR(C7647),"")</f>
        <v/>
      </c>
      <c r="W7647" s="23" t="str">
        <f aca="false">IF(ISNUMBER(C7647),MONTH(C7647),"")</f>
        <v/>
      </c>
      <c r="X7647" s="23" t="str">
        <f aca="false">IF(T7647="","",IF(T7647=0,"No discount",IF(T7647&lt;=0.2,"Low (1-20%)",IF(T7647&lt;=0.4,"Medium (21-40%)","High (&gt;40%)"))))</f>
        <v/>
      </c>
      <c r="Y7647" s="23" t="str">
        <f aca="false">IF(AND(ISNUMBER(C7647),ISNUMBER(D7647)),D7647-C7647,"")</f>
        <v/>
      </c>
      <c r="Z7647" s="23" t="str">
        <f aca="false">IF(B7647="","",IF(MATCH(B7647,$B$2:$B$12000,0)=ROW()-1,1,0))</f>
        <v/>
      </c>
    </row>
    <row r="7648" customFormat="false" ht="15" hidden="false" customHeight="false" outlineLevel="0" collapsed="false">
      <c r="V7648" s="23" t="str">
        <f aca="false">IF(ISNUMBER(C7648),YEAR(C7648),"")</f>
        <v/>
      </c>
      <c r="W7648" s="23" t="str">
        <f aca="false">IF(ISNUMBER(C7648),MONTH(C7648),"")</f>
        <v/>
      </c>
      <c r="X7648" s="23" t="str">
        <f aca="false">IF(T7648="","",IF(T7648=0,"No discount",IF(T7648&lt;=0.2,"Low (1-20%)",IF(T7648&lt;=0.4,"Medium (21-40%)","High (&gt;40%)"))))</f>
        <v/>
      </c>
      <c r="Y7648" s="23" t="str">
        <f aca="false">IF(AND(ISNUMBER(C7648),ISNUMBER(D7648)),D7648-C7648,"")</f>
        <v/>
      </c>
      <c r="Z7648" s="23" t="str">
        <f aca="false">IF(B7648="","",IF(MATCH(B7648,$B$2:$B$12000,0)=ROW()-1,1,0))</f>
        <v/>
      </c>
    </row>
    <row r="7649" customFormat="false" ht="15" hidden="false" customHeight="false" outlineLevel="0" collapsed="false">
      <c r="V7649" s="23" t="str">
        <f aca="false">IF(ISNUMBER(C7649),YEAR(C7649),"")</f>
        <v/>
      </c>
      <c r="W7649" s="23" t="str">
        <f aca="false">IF(ISNUMBER(C7649),MONTH(C7649),"")</f>
        <v/>
      </c>
      <c r="X7649" s="23" t="str">
        <f aca="false">IF(T7649="","",IF(T7649=0,"No discount",IF(T7649&lt;=0.2,"Low (1-20%)",IF(T7649&lt;=0.4,"Medium (21-40%)","High (&gt;40%)"))))</f>
        <v/>
      </c>
      <c r="Y7649" s="23" t="str">
        <f aca="false">IF(AND(ISNUMBER(C7649),ISNUMBER(D7649)),D7649-C7649,"")</f>
        <v/>
      </c>
      <c r="Z7649" s="23" t="str">
        <f aca="false">IF(B7649="","",IF(MATCH(B7649,$B$2:$B$12000,0)=ROW()-1,1,0))</f>
        <v/>
      </c>
    </row>
    <row r="7650" customFormat="false" ht="15" hidden="false" customHeight="false" outlineLevel="0" collapsed="false">
      <c r="V7650" s="23" t="str">
        <f aca="false">IF(ISNUMBER(C7650),YEAR(C7650),"")</f>
        <v/>
      </c>
      <c r="W7650" s="23" t="str">
        <f aca="false">IF(ISNUMBER(C7650),MONTH(C7650),"")</f>
        <v/>
      </c>
      <c r="X7650" s="23" t="str">
        <f aca="false">IF(T7650="","",IF(T7650=0,"No discount",IF(T7650&lt;=0.2,"Low (1-20%)",IF(T7650&lt;=0.4,"Medium (21-40%)","High (&gt;40%)"))))</f>
        <v/>
      </c>
      <c r="Y7650" s="23" t="str">
        <f aca="false">IF(AND(ISNUMBER(C7650),ISNUMBER(D7650)),D7650-C7650,"")</f>
        <v/>
      </c>
      <c r="Z7650" s="23" t="str">
        <f aca="false">IF(B7650="","",IF(MATCH(B7650,$B$2:$B$12000,0)=ROW()-1,1,0))</f>
        <v/>
      </c>
    </row>
    <row r="7651" customFormat="false" ht="15" hidden="false" customHeight="false" outlineLevel="0" collapsed="false">
      <c r="V7651" s="23" t="str">
        <f aca="false">IF(ISNUMBER(C7651),YEAR(C7651),"")</f>
        <v/>
      </c>
      <c r="W7651" s="23" t="str">
        <f aca="false">IF(ISNUMBER(C7651),MONTH(C7651),"")</f>
        <v/>
      </c>
      <c r="X7651" s="23" t="str">
        <f aca="false">IF(T7651="","",IF(T7651=0,"No discount",IF(T7651&lt;=0.2,"Low (1-20%)",IF(T7651&lt;=0.4,"Medium (21-40%)","High (&gt;40%)"))))</f>
        <v/>
      </c>
      <c r="Y7651" s="23" t="str">
        <f aca="false">IF(AND(ISNUMBER(C7651),ISNUMBER(D7651)),D7651-C7651,"")</f>
        <v/>
      </c>
      <c r="Z7651" s="23" t="str">
        <f aca="false">IF(B7651="","",IF(MATCH(B7651,$B$2:$B$12000,0)=ROW()-1,1,0))</f>
        <v/>
      </c>
    </row>
    <row r="7652" customFormat="false" ht="15" hidden="false" customHeight="false" outlineLevel="0" collapsed="false">
      <c r="V7652" s="23" t="str">
        <f aca="false">IF(ISNUMBER(C7652),YEAR(C7652),"")</f>
        <v/>
      </c>
      <c r="W7652" s="23" t="str">
        <f aca="false">IF(ISNUMBER(C7652),MONTH(C7652),"")</f>
        <v/>
      </c>
      <c r="X7652" s="23" t="str">
        <f aca="false">IF(T7652="","",IF(T7652=0,"No discount",IF(T7652&lt;=0.2,"Low (1-20%)",IF(T7652&lt;=0.4,"Medium (21-40%)","High (&gt;40%)"))))</f>
        <v/>
      </c>
      <c r="Y7652" s="23" t="str">
        <f aca="false">IF(AND(ISNUMBER(C7652),ISNUMBER(D7652)),D7652-C7652,"")</f>
        <v/>
      </c>
      <c r="Z7652" s="23" t="str">
        <f aca="false">IF(B7652="","",IF(MATCH(B7652,$B$2:$B$12000,0)=ROW()-1,1,0))</f>
        <v/>
      </c>
    </row>
    <row r="7653" customFormat="false" ht="15" hidden="false" customHeight="false" outlineLevel="0" collapsed="false">
      <c r="V7653" s="23" t="str">
        <f aca="false">IF(ISNUMBER(C7653),YEAR(C7653),"")</f>
        <v/>
      </c>
      <c r="W7653" s="23" t="str">
        <f aca="false">IF(ISNUMBER(C7653),MONTH(C7653),"")</f>
        <v/>
      </c>
      <c r="X7653" s="23" t="str">
        <f aca="false">IF(T7653="","",IF(T7653=0,"No discount",IF(T7653&lt;=0.2,"Low (1-20%)",IF(T7653&lt;=0.4,"Medium (21-40%)","High (&gt;40%)"))))</f>
        <v/>
      </c>
      <c r="Y7653" s="23" t="str">
        <f aca="false">IF(AND(ISNUMBER(C7653),ISNUMBER(D7653)),D7653-C7653,"")</f>
        <v/>
      </c>
      <c r="Z7653" s="23" t="str">
        <f aca="false">IF(B7653="","",IF(MATCH(B7653,$B$2:$B$12000,0)=ROW()-1,1,0))</f>
        <v/>
      </c>
    </row>
    <row r="7654" customFormat="false" ht="15" hidden="false" customHeight="false" outlineLevel="0" collapsed="false">
      <c r="V7654" s="23" t="str">
        <f aca="false">IF(ISNUMBER(C7654),YEAR(C7654),"")</f>
        <v/>
      </c>
      <c r="W7654" s="23" t="str">
        <f aca="false">IF(ISNUMBER(C7654),MONTH(C7654),"")</f>
        <v/>
      </c>
      <c r="X7654" s="23" t="str">
        <f aca="false">IF(T7654="","",IF(T7654=0,"No discount",IF(T7654&lt;=0.2,"Low (1-20%)",IF(T7654&lt;=0.4,"Medium (21-40%)","High (&gt;40%)"))))</f>
        <v/>
      </c>
      <c r="Y7654" s="23" t="str">
        <f aca="false">IF(AND(ISNUMBER(C7654),ISNUMBER(D7654)),D7654-C7654,"")</f>
        <v/>
      </c>
      <c r="Z7654" s="23" t="str">
        <f aca="false">IF(B7654="","",IF(MATCH(B7654,$B$2:$B$12000,0)=ROW()-1,1,0))</f>
        <v/>
      </c>
    </row>
    <row r="7655" customFormat="false" ht="15" hidden="false" customHeight="false" outlineLevel="0" collapsed="false">
      <c r="V7655" s="23" t="str">
        <f aca="false">IF(ISNUMBER(C7655),YEAR(C7655),"")</f>
        <v/>
      </c>
      <c r="W7655" s="23" t="str">
        <f aca="false">IF(ISNUMBER(C7655),MONTH(C7655),"")</f>
        <v/>
      </c>
      <c r="X7655" s="23" t="str">
        <f aca="false">IF(T7655="","",IF(T7655=0,"No discount",IF(T7655&lt;=0.2,"Low (1-20%)",IF(T7655&lt;=0.4,"Medium (21-40%)","High (&gt;40%)"))))</f>
        <v/>
      </c>
      <c r="Y7655" s="23" t="str">
        <f aca="false">IF(AND(ISNUMBER(C7655),ISNUMBER(D7655)),D7655-C7655,"")</f>
        <v/>
      </c>
      <c r="Z7655" s="23" t="str">
        <f aca="false">IF(B7655="","",IF(MATCH(B7655,$B$2:$B$12000,0)=ROW()-1,1,0))</f>
        <v/>
      </c>
    </row>
    <row r="7656" customFormat="false" ht="15" hidden="false" customHeight="false" outlineLevel="0" collapsed="false">
      <c r="V7656" s="23" t="str">
        <f aca="false">IF(ISNUMBER(C7656),YEAR(C7656),"")</f>
        <v/>
      </c>
      <c r="W7656" s="23" t="str">
        <f aca="false">IF(ISNUMBER(C7656),MONTH(C7656),"")</f>
        <v/>
      </c>
      <c r="X7656" s="23" t="str">
        <f aca="false">IF(T7656="","",IF(T7656=0,"No discount",IF(T7656&lt;=0.2,"Low (1-20%)",IF(T7656&lt;=0.4,"Medium (21-40%)","High (&gt;40%)"))))</f>
        <v/>
      </c>
      <c r="Y7656" s="23" t="str">
        <f aca="false">IF(AND(ISNUMBER(C7656),ISNUMBER(D7656)),D7656-C7656,"")</f>
        <v/>
      </c>
      <c r="Z7656" s="23" t="str">
        <f aca="false">IF(B7656="","",IF(MATCH(B7656,$B$2:$B$12000,0)=ROW()-1,1,0))</f>
        <v/>
      </c>
    </row>
    <row r="7657" customFormat="false" ht="15" hidden="false" customHeight="false" outlineLevel="0" collapsed="false">
      <c r="V7657" s="23" t="str">
        <f aca="false">IF(ISNUMBER(C7657),YEAR(C7657),"")</f>
        <v/>
      </c>
      <c r="W7657" s="23" t="str">
        <f aca="false">IF(ISNUMBER(C7657),MONTH(C7657),"")</f>
        <v/>
      </c>
      <c r="X7657" s="23" t="str">
        <f aca="false">IF(T7657="","",IF(T7657=0,"No discount",IF(T7657&lt;=0.2,"Low (1-20%)",IF(T7657&lt;=0.4,"Medium (21-40%)","High (&gt;40%)"))))</f>
        <v/>
      </c>
      <c r="Y7657" s="23" t="str">
        <f aca="false">IF(AND(ISNUMBER(C7657),ISNUMBER(D7657)),D7657-C7657,"")</f>
        <v/>
      </c>
      <c r="Z7657" s="23" t="str">
        <f aca="false">IF(B7657="","",IF(MATCH(B7657,$B$2:$B$12000,0)=ROW()-1,1,0))</f>
        <v/>
      </c>
    </row>
    <row r="7658" customFormat="false" ht="15" hidden="false" customHeight="false" outlineLevel="0" collapsed="false">
      <c r="V7658" s="23" t="str">
        <f aca="false">IF(ISNUMBER(C7658),YEAR(C7658),"")</f>
        <v/>
      </c>
      <c r="W7658" s="23" t="str">
        <f aca="false">IF(ISNUMBER(C7658),MONTH(C7658),"")</f>
        <v/>
      </c>
      <c r="X7658" s="23" t="str">
        <f aca="false">IF(T7658="","",IF(T7658=0,"No discount",IF(T7658&lt;=0.2,"Low (1-20%)",IF(T7658&lt;=0.4,"Medium (21-40%)","High (&gt;40%)"))))</f>
        <v/>
      </c>
      <c r="Y7658" s="23" t="str">
        <f aca="false">IF(AND(ISNUMBER(C7658),ISNUMBER(D7658)),D7658-C7658,"")</f>
        <v/>
      </c>
      <c r="Z7658" s="23" t="str">
        <f aca="false">IF(B7658="","",IF(MATCH(B7658,$B$2:$B$12000,0)=ROW()-1,1,0))</f>
        <v/>
      </c>
    </row>
    <row r="7659" customFormat="false" ht="15" hidden="false" customHeight="false" outlineLevel="0" collapsed="false">
      <c r="V7659" s="23" t="str">
        <f aca="false">IF(ISNUMBER(C7659),YEAR(C7659),"")</f>
        <v/>
      </c>
      <c r="W7659" s="23" t="str">
        <f aca="false">IF(ISNUMBER(C7659),MONTH(C7659),"")</f>
        <v/>
      </c>
      <c r="X7659" s="23" t="str">
        <f aca="false">IF(T7659="","",IF(T7659=0,"No discount",IF(T7659&lt;=0.2,"Low (1-20%)",IF(T7659&lt;=0.4,"Medium (21-40%)","High (&gt;40%)"))))</f>
        <v/>
      </c>
      <c r="Y7659" s="23" t="str">
        <f aca="false">IF(AND(ISNUMBER(C7659),ISNUMBER(D7659)),D7659-C7659,"")</f>
        <v/>
      </c>
      <c r="Z7659" s="23" t="str">
        <f aca="false">IF(B7659="","",IF(MATCH(B7659,$B$2:$B$12000,0)=ROW()-1,1,0))</f>
        <v/>
      </c>
    </row>
    <row r="7660" customFormat="false" ht="15" hidden="false" customHeight="false" outlineLevel="0" collapsed="false">
      <c r="V7660" s="23" t="str">
        <f aca="false">IF(ISNUMBER(C7660),YEAR(C7660),"")</f>
        <v/>
      </c>
      <c r="W7660" s="23" t="str">
        <f aca="false">IF(ISNUMBER(C7660),MONTH(C7660),"")</f>
        <v/>
      </c>
      <c r="X7660" s="23" t="str">
        <f aca="false">IF(T7660="","",IF(T7660=0,"No discount",IF(T7660&lt;=0.2,"Low (1-20%)",IF(T7660&lt;=0.4,"Medium (21-40%)","High (&gt;40%)"))))</f>
        <v/>
      </c>
      <c r="Y7660" s="23" t="str">
        <f aca="false">IF(AND(ISNUMBER(C7660),ISNUMBER(D7660)),D7660-C7660,"")</f>
        <v/>
      </c>
      <c r="Z7660" s="23" t="str">
        <f aca="false">IF(B7660="","",IF(MATCH(B7660,$B$2:$B$12000,0)=ROW()-1,1,0))</f>
        <v/>
      </c>
    </row>
    <row r="7661" customFormat="false" ht="15" hidden="false" customHeight="false" outlineLevel="0" collapsed="false">
      <c r="V7661" s="23" t="str">
        <f aca="false">IF(ISNUMBER(C7661),YEAR(C7661),"")</f>
        <v/>
      </c>
      <c r="W7661" s="23" t="str">
        <f aca="false">IF(ISNUMBER(C7661),MONTH(C7661),"")</f>
        <v/>
      </c>
      <c r="X7661" s="23" t="str">
        <f aca="false">IF(T7661="","",IF(T7661=0,"No discount",IF(T7661&lt;=0.2,"Low (1-20%)",IF(T7661&lt;=0.4,"Medium (21-40%)","High (&gt;40%)"))))</f>
        <v/>
      </c>
      <c r="Y7661" s="23" t="str">
        <f aca="false">IF(AND(ISNUMBER(C7661),ISNUMBER(D7661)),D7661-C7661,"")</f>
        <v/>
      </c>
      <c r="Z7661" s="23" t="str">
        <f aca="false">IF(B7661="","",IF(MATCH(B7661,$B$2:$B$12000,0)=ROW()-1,1,0))</f>
        <v/>
      </c>
    </row>
    <row r="7662" customFormat="false" ht="15" hidden="false" customHeight="false" outlineLevel="0" collapsed="false">
      <c r="V7662" s="23" t="str">
        <f aca="false">IF(ISNUMBER(C7662),YEAR(C7662),"")</f>
        <v/>
      </c>
      <c r="W7662" s="23" t="str">
        <f aca="false">IF(ISNUMBER(C7662),MONTH(C7662),"")</f>
        <v/>
      </c>
      <c r="X7662" s="23" t="str">
        <f aca="false">IF(T7662="","",IF(T7662=0,"No discount",IF(T7662&lt;=0.2,"Low (1-20%)",IF(T7662&lt;=0.4,"Medium (21-40%)","High (&gt;40%)"))))</f>
        <v/>
      </c>
      <c r="Y7662" s="23" t="str">
        <f aca="false">IF(AND(ISNUMBER(C7662),ISNUMBER(D7662)),D7662-C7662,"")</f>
        <v/>
      </c>
      <c r="Z7662" s="23" t="str">
        <f aca="false">IF(B7662="","",IF(MATCH(B7662,$B$2:$B$12000,0)=ROW()-1,1,0))</f>
        <v/>
      </c>
    </row>
    <row r="7663" customFormat="false" ht="15" hidden="false" customHeight="false" outlineLevel="0" collapsed="false">
      <c r="V7663" s="23" t="str">
        <f aca="false">IF(ISNUMBER(C7663),YEAR(C7663),"")</f>
        <v/>
      </c>
      <c r="W7663" s="23" t="str">
        <f aca="false">IF(ISNUMBER(C7663),MONTH(C7663),"")</f>
        <v/>
      </c>
      <c r="X7663" s="23" t="str">
        <f aca="false">IF(T7663="","",IF(T7663=0,"No discount",IF(T7663&lt;=0.2,"Low (1-20%)",IF(T7663&lt;=0.4,"Medium (21-40%)","High (&gt;40%)"))))</f>
        <v/>
      </c>
      <c r="Y7663" s="23" t="str">
        <f aca="false">IF(AND(ISNUMBER(C7663),ISNUMBER(D7663)),D7663-C7663,"")</f>
        <v/>
      </c>
      <c r="Z7663" s="23" t="str">
        <f aca="false">IF(B7663="","",IF(MATCH(B7663,$B$2:$B$12000,0)=ROW()-1,1,0))</f>
        <v/>
      </c>
    </row>
    <row r="7664" customFormat="false" ht="15" hidden="false" customHeight="false" outlineLevel="0" collapsed="false">
      <c r="V7664" s="23" t="str">
        <f aca="false">IF(ISNUMBER(C7664),YEAR(C7664),"")</f>
        <v/>
      </c>
      <c r="W7664" s="23" t="str">
        <f aca="false">IF(ISNUMBER(C7664),MONTH(C7664),"")</f>
        <v/>
      </c>
      <c r="X7664" s="23" t="str">
        <f aca="false">IF(T7664="","",IF(T7664=0,"No discount",IF(T7664&lt;=0.2,"Low (1-20%)",IF(T7664&lt;=0.4,"Medium (21-40%)","High (&gt;40%)"))))</f>
        <v/>
      </c>
      <c r="Y7664" s="23" t="str">
        <f aca="false">IF(AND(ISNUMBER(C7664),ISNUMBER(D7664)),D7664-C7664,"")</f>
        <v/>
      </c>
      <c r="Z7664" s="23" t="str">
        <f aca="false">IF(B7664="","",IF(MATCH(B7664,$B$2:$B$12000,0)=ROW()-1,1,0))</f>
        <v/>
      </c>
    </row>
    <row r="7665" customFormat="false" ht="15" hidden="false" customHeight="false" outlineLevel="0" collapsed="false">
      <c r="V7665" s="23" t="str">
        <f aca="false">IF(ISNUMBER(C7665),YEAR(C7665),"")</f>
        <v/>
      </c>
      <c r="W7665" s="23" t="str">
        <f aca="false">IF(ISNUMBER(C7665),MONTH(C7665),"")</f>
        <v/>
      </c>
      <c r="X7665" s="23" t="str">
        <f aca="false">IF(T7665="","",IF(T7665=0,"No discount",IF(T7665&lt;=0.2,"Low (1-20%)",IF(T7665&lt;=0.4,"Medium (21-40%)","High (&gt;40%)"))))</f>
        <v/>
      </c>
      <c r="Y7665" s="23" t="str">
        <f aca="false">IF(AND(ISNUMBER(C7665),ISNUMBER(D7665)),D7665-C7665,"")</f>
        <v/>
      </c>
      <c r="Z7665" s="23" t="str">
        <f aca="false">IF(B7665="","",IF(MATCH(B7665,$B$2:$B$12000,0)=ROW()-1,1,0))</f>
        <v/>
      </c>
    </row>
    <row r="7666" customFormat="false" ht="15" hidden="false" customHeight="false" outlineLevel="0" collapsed="false">
      <c r="V7666" s="23" t="str">
        <f aca="false">IF(ISNUMBER(C7666),YEAR(C7666),"")</f>
        <v/>
      </c>
      <c r="W7666" s="23" t="str">
        <f aca="false">IF(ISNUMBER(C7666),MONTH(C7666),"")</f>
        <v/>
      </c>
      <c r="X7666" s="23" t="str">
        <f aca="false">IF(T7666="","",IF(T7666=0,"No discount",IF(T7666&lt;=0.2,"Low (1-20%)",IF(T7666&lt;=0.4,"Medium (21-40%)","High (&gt;40%)"))))</f>
        <v/>
      </c>
      <c r="Y7666" s="23" t="str">
        <f aca="false">IF(AND(ISNUMBER(C7666),ISNUMBER(D7666)),D7666-C7666,"")</f>
        <v/>
      </c>
      <c r="Z7666" s="23" t="str">
        <f aca="false">IF(B7666="","",IF(MATCH(B7666,$B$2:$B$12000,0)=ROW()-1,1,0))</f>
        <v/>
      </c>
    </row>
    <row r="7667" customFormat="false" ht="15" hidden="false" customHeight="false" outlineLevel="0" collapsed="false">
      <c r="V7667" s="23" t="str">
        <f aca="false">IF(ISNUMBER(C7667),YEAR(C7667),"")</f>
        <v/>
      </c>
      <c r="W7667" s="23" t="str">
        <f aca="false">IF(ISNUMBER(C7667),MONTH(C7667),"")</f>
        <v/>
      </c>
      <c r="X7667" s="23" t="str">
        <f aca="false">IF(T7667="","",IF(T7667=0,"No discount",IF(T7667&lt;=0.2,"Low (1-20%)",IF(T7667&lt;=0.4,"Medium (21-40%)","High (&gt;40%)"))))</f>
        <v/>
      </c>
      <c r="Y7667" s="23" t="str">
        <f aca="false">IF(AND(ISNUMBER(C7667),ISNUMBER(D7667)),D7667-C7667,"")</f>
        <v/>
      </c>
      <c r="Z7667" s="23" t="str">
        <f aca="false">IF(B7667="","",IF(MATCH(B7667,$B$2:$B$12000,0)=ROW()-1,1,0))</f>
        <v/>
      </c>
    </row>
    <row r="7668" customFormat="false" ht="15" hidden="false" customHeight="false" outlineLevel="0" collapsed="false">
      <c r="V7668" s="23" t="str">
        <f aca="false">IF(ISNUMBER(C7668),YEAR(C7668),"")</f>
        <v/>
      </c>
      <c r="W7668" s="23" t="str">
        <f aca="false">IF(ISNUMBER(C7668),MONTH(C7668),"")</f>
        <v/>
      </c>
      <c r="X7668" s="23" t="str">
        <f aca="false">IF(T7668="","",IF(T7668=0,"No discount",IF(T7668&lt;=0.2,"Low (1-20%)",IF(T7668&lt;=0.4,"Medium (21-40%)","High (&gt;40%)"))))</f>
        <v/>
      </c>
      <c r="Y7668" s="23" t="str">
        <f aca="false">IF(AND(ISNUMBER(C7668),ISNUMBER(D7668)),D7668-C7668,"")</f>
        <v/>
      </c>
      <c r="Z7668" s="23" t="str">
        <f aca="false">IF(B7668="","",IF(MATCH(B7668,$B$2:$B$12000,0)=ROW()-1,1,0))</f>
        <v/>
      </c>
    </row>
    <row r="7669" customFormat="false" ht="15" hidden="false" customHeight="false" outlineLevel="0" collapsed="false">
      <c r="V7669" s="23" t="str">
        <f aca="false">IF(ISNUMBER(C7669),YEAR(C7669),"")</f>
        <v/>
      </c>
      <c r="W7669" s="23" t="str">
        <f aca="false">IF(ISNUMBER(C7669),MONTH(C7669),"")</f>
        <v/>
      </c>
      <c r="X7669" s="23" t="str">
        <f aca="false">IF(T7669="","",IF(T7669=0,"No discount",IF(T7669&lt;=0.2,"Low (1-20%)",IF(T7669&lt;=0.4,"Medium (21-40%)","High (&gt;40%)"))))</f>
        <v/>
      </c>
      <c r="Y7669" s="23" t="str">
        <f aca="false">IF(AND(ISNUMBER(C7669),ISNUMBER(D7669)),D7669-C7669,"")</f>
        <v/>
      </c>
      <c r="Z7669" s="23" t="str">
        <f aca="false">IF(B7669="","",IF(MATCH(B7669,$B$2:$B$12000,0)=ROW()-1,1,0))</f>
        <v/>
      </c>
    </row>
    <row r="7670" customFormat="false" ht="15" hidden="false" customHeight="false" outlineLevel="0" collapsed="false">
      <c r="V7670" s="23" t="str">
        <f aca="false">IF(ISNUMBER(C7670),YEAR(C7670),"")</f>
        <v/>
      </c>
      <c r="W7670" s="23" t="str">
        <f aca="false">IF(ISNUMBER(C7670),MONTH(C7670),"")</f>
        <v/>
      </c>
      <c r="X7670" s="23" t="str">
        <f aca="false">IF(T7670="","",IF(T7670=0,"No discount",IF(T7670&lt;=0.2,"Low (1-20%)",IF(T7670&lt;=0.4,"Medium (21-40%)","High (&gt;40%)"))))</f>
        <v/>
      </c>
      <c r="Y7670" s="23" t="str">
        <f aca="false">IF(AND(ISNUMBER(C7670),ISNUMBER(D7670)),D7670-C7670,"")</f>
        <v/>
      </c>
      <c r="Z7670" s="23" t="str">
        <f aca="false">IF(B7670="","",IF(MATCH(B7670,$B$2:$B$12000,0)=ROW()-1,1,0))</f>
        <v/>
      </c>
    </row>
    <row r="7671" customFormat="false" ht="15" hidden="false" customHeight="false" outlineLevel="0" collapsed="false">
      <c r="V7671" s="23" t="str">
        <f aca="false">IF(ISNUMBER(C7671),YEAR(C7671),"")</f>
        <v/>
      </c>
      <c r="W7671" s="23" t="str">
        <f aca="false">IF(ISNUMBER(C7671),MONTH(C7671),"")</f>
        <v/>
      </c>
      <c r="X7671" s="23" t="str">
        <f aca="false">IF(T7671="","",IF(T7671=0,"No discount",IF(T7671&lt;=0.2,"Low (1-20%)",IF(T7671&lt;=0.4,"Medium (21-40%)","High (&gt;40%)"))))</f>
        <v/>
      </c>
      <c r="Y7671" s="23" t="str">
        <f aca="false">IF(AND(ISNUMBER(C7671),ISNUMBER(D7671)),D7671-C7671,"")</f>
        <v/>
      </c>
      <c r="Z7671" s="23" t="str">
        <f aca="false">IF(B7671="","",IF(MATCH(B7671,$B$2:$B$12000,0)=ROW()-1,1,0))</f>
        <v/>
      </c>
    </row>
    <row r="7672" customFormat="false" ht="15" hidden="false" customHeight="false" outlineLevel="0" collapsed="false">
      <c r="V7672" s="23" t="str">
        <f aca="false">IF(ISNUMBER(C7672),YEAR(C7672),"")</f>
        <v/>
      </c>
      <c r="W7672" s="23" t="str">
        <f aca="false">IF(ISNUMBER(C7672),MONTH(C7672),"")</f>
        <v/>
      </c>
      <c r="X7672" s="23" t="str">
        <f aca="false">IF(T7672="","",IF(T7672=0,"No discount",IF(T7672&lt;=0.2,"Low (1-20%)",IF(T7672&lt;=0.4,"Medium (21-40%)","High (&gt;40%)"))))</f>
        <v/>
      </c>
      <c r="Y7672" s="23" t="str">
        <f aca="false">IF(AND(ISNUMBER(C7672),ISNUMBER(D7672)),D7672-C7672,"")</f>
        <v/>
      </c>
      <c r="Z7672" s="23" t="str">
        <f aca="false">IF(B7672="","",IF(MATCH(B7672,$B$2:$B$12000,0)=ROW()-1,1,0))</f>
        <v/>
      </c>
    </row>
    <row r="7673" customFormat="false" ht="15" hidden="false" customHeight="false" outlineLevel="0" collapsed="false">
      <c r="V7673" s="23" t="str">
        <f aca="false">IF(ISNUMBER(C7673),YEAR(C7673),"")</f>
        <v/>
      </c>
      <c r="W7673" s="23" t="str">
        <f aca="false">IF(ISNUMBER(C7673),MONTH(C7673),"")</f>
        <v/>
      </c>
      <c r="X7673" s="23" t="str">
        <f aca="false">IF(T7673="","",IF(T7673=0,"No discount",IF(T7673&lt;=0.2,"Low (1-20%)",IF(T7673&lt;=0.4,"Medium (21-40%)","High (&gt;40%)"))))</f>
        <v/>
      </c>
      <c r="Y7673" s="23" t="str">
        <f aca="false">IF(AND(ISNUMBER(C7673),ISNUMBER(D7673)),D7673-C7673,"")</f>
        <v/>
      </c>
      <c r="Z7673" s="23" t="str">
        <f aca="false">IF(B7673="","",IF(MATCH(B7673,$B$2:$B$12000,0)=ROW()-1,1,0))</f>
        <v/>
      </c>
    </row>
    <row r="7674" customFormat="false" ht="15" hidden="false" customHeight="false" outlineLevel="0" collapsed="false">
      <c r="V7674" s="23" t="str">
        <f aca="false">IF(ISNUMBER(C7674),YEAR(C7674),"")</f>
        <v/>
      </c>
      <c r="W7674" s="23" t="str">
        <f aca="false">IF(ISNUMBER(C7674),MONTH(C7674),"")</f>
        <v/>
      </c>
      <c r="X7674" s="23" t="str">
        <f aca="false">IF(T7674="","",IF(T7674=0,"No discount",IF(T7674&lt;=0.2,"Low (1-20%)",IF(T7674&lt;=0.4,"Medium (21-40%)","High (&gt;40%)"))))</f>
        <v/>
      </c>
      <c r="Y7674" s="23" t="str">
        <f aca="false">IF(AND(ISNUMBER(C7674),ISNUMBER(D7674)),D7674-C7674,"")</f>
        <v/>
      </c>
      <c r="Z7674" s="23" t="str">
        <f aca="false">IF(B7674="","",IF(MATCH(B7674,$B$2:$B$12000,0)=ROW()-1,1,0))</f>
        <v/>
      </c>
    </row>
    <row r="7675" customFormat="false" ht="15" hidden="false" customHeight="false" outlineLevel="0" collapsed="false">
      <c r="V7675" s="23" t="str">
        <f aca="false">IF(ISNUMBER(C7675),YEAR(C7675),"")</f>
        <v/>
      </c>
      <c r="W7675" s="23" t="str">
        <f aca="false">IF(ISNUMBER(C7675),MONTH(C7675),"")</f>
        <v/>
      </c>
      <c r="X7675" s="23" t="str">
        <f aca="false">IF(T7675="","",IF(T7675=0,"No discount",IF(T7675&lt;=0.2,"Low (1-20%)",IF(T7675&lt;=0.4,"Medium (21-40%)","High (&gt;40%)"))))</f>
        <v/>
      </c>
      <c r="Y7675" s="23" t="str">
        <f aca="false">IF(AND(ISNUMBER(C7675),ISNUMBER(D7675)),D7675-C7675,"")</f>
        <v/>
      </c>
      <c r="Z7675" s="23" t="str">
        <f aca="false">IF(B7675="","",IF(MATCH(B7675,$B$2:$B$12000,0)=ROW()-1,1,0))</f>
        <v/>
      </c>
    </row>
    <row r="7676" customFormat="false" ht="15" hidden="false" customHeight="false" outlineLevel="0" collapsed="false">
      <c r="V7676" s="23" t="str">
        <f aca="false">IF(ISNUMBER(C7676),YEAR(C7676),"")</f>
        <v/>
      </c>
      <c r="W7676" s="23" t="str">
        <f aca="false">IF(ISNUMBER(C7676),MONTH(C7676),"")</f>
        <v/>
      </c>
      <c r="X7676" s="23" t="str">
        <f aca="false">IF(T7676="","",IF(T7676=0,"No discount",IF(T7676&lt;=0.2,"Low (1-20%)",IF(T7676&lt;=0.4,"Medium (21-40%)","High (&gt;40%)"))))</f>
        <v/>
      </c>
      <c r="Y7676" s="23" t="str">
        <f aca="false">IF(AND(ISNUMBER(C7676),ISNUMBER(D7676)),D7676-C7676,"")</f>
        <v/>
      </c>
      <c r="Z7676" s="23" t="str">
        <f aca="false">IF(B7676="","",IF(MATCH(B7676,$B$2:$B$12000,0)=ROW()-1,1,0))</f>
        <v/>
      </c>
    </row>
    <row r="7677" customFormat="false" ht="15" hidden="false" customHeight="false" outlineLevel="0" collapsed="false">
      <c r="V7677" s="23" t="str">
        <f aca="false">IF(ISNUMBER(C7677),YEAR(C7677),"")</f>
        <v/>
      </c>
      <c r="W7677" s="23" t="str">
        <f aca="false">IF(ISNUMBER(C7677),MONTH(C7677),"")</f>
        <v/>
      </c>
      <c r="X7677" s="23" t="str">
        <f aca="false">IF(T7677="","",IF(T7677=0,"No discount",IF(T7677&lt;=0.2,"Low (1-20%)",IF(T7677&lt;=0.4,"Medium (21-40%)","High (&gt;40%)"))))</f>
        <v/>
      </c>
      <c r="Y7677" s="23" t="str">
        <f aca="false">IF(AND(ISNUMBER(C7677),ISNUMBER(D7677)),D7677-C7677,"")</f>
        <v/>
      </c>
      <c r="Z7677" s="23" t="str">
        <f aca="false">IF(B7677="","",IF(MATCH(B7677,$B$2:$B$12000,0)=ROW()-1,1,0))</f>
        <v/>
      </c>
    </row>
    <row r="7678" customFormat="false" ht="15" hidden="false" customHeight="false" outlineLevel="0" collapsed="false">
      <c r="V7678" s="23" t="str">
        <f aca="false">IF(ISNUMBER(C7678),YEAR(C7678),"")</f>
        <v/>
      </c>
      <c r="W7678" s="23" t="str">
        <f aca="false">IF(ISNUMBER(C7678),MONTH(C7678),"")</f>
        <v/>
      </c>
      <c r="X7678" s="23" t="str">
        <f aca="false">IF(T7678="","",IF(T7678=0,"No discount",IF(T7678&lt;=0.2,"Low (1-20%)",IF(T7678&lt;=0.4,"Medium (21-40%)","High (&gt;40%)"))))</f>
        <v/>
      </c>
      <c r="Y7678" s="23" t="str">
        <f aca="false">IF(AND(ISNUMBER(C7678),ISNUMBER(D7678)),D7678-C7678,"")</f>
        <v/>
      </c>
      <c r="Z7678" s="23" t="str">
        <f aca="false">IF(B7678="","",IF(MATCH(B7678,$B$2:$B$12000,0)=ROW()-1,1,0))</f>
        <v/>
      </c>
    </row>
    <row r="7679" customFormat="false" ht="15" hidden="false" customHeight="false" outlineLevel="0" collapsed="false">
      <c r="V7679" s="23" t="str">
        <f aca="false">IF(ISNUMBER(C7679),YEAR(C7679),"")</f>
        <v/>
      </c>
      <c r="W7679" s="23" t="str">
        <f aca="false">IF(ISNUMBER(C7679),MONTH(C7679),"")</f>
        <v/>
      </c>
      <c r="X7679" s="23" t="str">
        <f aca="false">IF(T7679="","",IF(T7679=0,"No discount",IF(T7679&lt;=0.2,"Low (1-20%)",IF(T7679&lt;=0.4,"Medium (21-40%)","High (&gt;40%)"))))</f>
        <v/>
      </c>
      <c r="Y7679" s="23" t="str">
        <f aca="false">IF(AND(ISNUMBER(C7679),ISNUMBER(D7679)),D7679-C7679,"")</f>
        <v/>
      </c>
      <c r="Z7679" s="23" t="str">
        <f aca="false">IF(B7679="","",IF(MATCH(B7679,$B$2:$B$12000,0)=ROW()-1,1,0))</f>
        <v/>
      </c>
    </row>
    <row r="7680" customFormat="false" ht="15" hidden="false" customHeight="false" outlineLevel="0" collapsed="false">
      <c r="V7680" s="23" t="str">
        <f aca="false">IF(ISNUMBER(C7680),YEAR(C7680),"")</f>
        <v/>
      </c>
      <c r="W7680" s="23" t="str">
        <f aca="false">IF(ISNUMBER(C7680),MONTH(C7680),"")</f>
        <v/>
      </c>
      <c r="X7680" s="23" t="str">
        <f aca="false">IF(T7680="","",IF(T7680=0,"No discount",IF(T7680&lt;=0.2,"Low (1-20%)",IF(T7680&lt;=0.4,"Medium (21-40%)","High (&gt;40%)"))))</f>
        <v/>
      </c>
      <c r="Y7680" s="23" t="str">
        <f aca="false">IF(AND(ISNUMBER(C7680),ISNUMBER(D7680)),D7680-C7680,"")</f>
        <v/>
      </c>
      <c r="Z7680" s="23" t="str">
        <f aca="false">IF(B7680="","",IF(MATCH(B7680,$B$2:$B$12000,0)=ROW()-1,1,0))</f>
        <v/>
      </c>
    </row>
    <row r="7681" customFormat="false" ht="15" hidden="false" customHeight="false" outlineLevel="0" collapsed="false">
      <c r="V7681" s="23" t="str">
        <f aca="false">IF(ISNUMBER(C7681),YEAR(C7681),"")</f>
        <v/>
      </c>
      <c r="W7681" s="23" t="str">
        <f aca="false">IF(ISNUMBER(C7681),MONTH(C7681),"")</f>
        <v/>
      </c>
      <c r="X7681" s="23" t="str">
        <f aca="false">IF(T7681="","",IF(T7681=0,"No discount",IF(T7681&lt;=0.2,"Low (1-20%)",IF(T7681&lt;=0.4,"Medium (21-40%)","High (&gt;40%)"))))</f>
        <v/>
      </c>
      <c r="Y7681" s="23" t="str">
        <f aca="false">IF(AND(ISNUMBER(C7681),ISNUMBER(D7681)),D7681-C7681,"")</f>
        <v/>
      </c>
      <c r="Z7681" s="23" t="str">
        <f aca="false">IF(B7681="","",IF(MATCH(B7681,$B$2:$B$12000,0)=ROW()-1,1,0))</f>
        <v/>
      </c>
    </row>
    <row r="7682" customFormat="false" ht="15" hidden="false" customHeight="false" outlineLevel="0" collapsed="false">
      <c r="V7682" s="23" t="str">
        <f aca="false">IF(ISNUMBER(C7682),YEAR(C7682),"")</f>
        <v/>
      </c>
      <c r="W7682" s="23" t="str">
        <f aca="false">IF(ISNUMBER(C7682),MONTH(C7682),"")</f>
        <v/>
      </c>
      <c r="X7682" s="23" t="str">
        <f aca="false">IF(T7682="","",IF(T7682=0,"No discount",IF(T7682&lt;=0.2,"Low (1-20%)",IF(T7682&lt;=0.4,"Medium (21-40%)","High (&gt;40%)"))))</f>
        <v/>
      </c>
      <c r="Y7682" s="23" t="str">
        <f aca="false">IF(AND(ISNUMBER(C7682),ISNUMBER(D7682)),D7682-C7682,"")</f>
        <v/>
      </c>
      <c r="Z7682" s="23" t="str">
        <f aca="false">IF(B7682="","",IF(MATCH(B7682,$B$2:$B$12000,0)=ROW()-1,1,0))</f>
        <v/>
      </c>
    </row>
    <row r="7683" customFormat="false" ht="15" hidden="false" customHeight="false" outlineLevel="0" collapsed="false">
      <c r="V7683" s="23" t="str">
        <f aca="false">IF(ISNUMBER(C7683),YEAR(C7683),"")</f>
        <v/>
      </c>
      <c r="W7683" s="23" t="str">
        <f aca="false">IF(ISNUMBER(C7683),MONTH(C7683),"")</f>
        <v/>
      </c>
      <c r="X7683" s="23" t="str">
        <f aca="false">IF(T7683="","",IF(T7683=0,"No discount",IF(T7683&lt;=0.2,"Low (1-20%)",IF(T7683&lt;=0.4,"Medium (21-40%)","High (&gt;40%)"))))</f>
        <v/>
      </c>
      <c r="Y7683" s="23" t="str">
        <f aca="false">IF(AND(ISNUMBER(C7683),ISNUMBER(D7683)),D7683-C7683,"")</f>
        <v/>
      </c>
      <c r="Z7683" s="23" t="str">
        <f aca="false">IF(B7683="","",IF(MATCH(B7683,$B$2:$B$12000,0)=ROW()-1,1,0))</f>
        <v/>
      </c>
    </row>
    <row r="7684" customFormat="false" ht="15" hidden="false" customHeight="false" outlineLevel="0" collapsed="false">
      <c r="V7684" s="23" t="str">
        <f aca="false">IF(ISNUMBER(C7684),YEAR(C7684),"")</f>
        <v/>
      </c>
      <c r="W7684" s="23" t="str">
        <f aca="false">IF(ISNUMBER(C7684),MONTH(C7684),"")</f>
        <v/>
      </c>
      <c r="X7684" s="23" t="str">
        <f aca="false">IF(T7684="","",IF(T7684=0,"No discount",IF(T7684&lt;=0.2,"Low (1-20%)",IF(T7684&lt;=0.4,"Medium (21-40%)","High (&gt;40%)"))))</f>
        <v/>
      </c>
      <c r="Y7684" s="23" t="str">
        <f aca="false">IF(AND(ISNUMBER(C7684),ISNUMBER(D7684)),D7684-C7684,"")</f>
        <v/>
      </c>
      <c r="Z7684" s="23" t="str">
        <f aca="false">IF(B7684="","",IF(MATCH(B7684,$B$2:$B$12000,0)=ROW()-1,1,0))</f>
        <v/>
      </c>
    </row>
    <row r="7685" customFormat="false" ht="15" hidden="false" customHeight="false" outlineLevel="0" collapsed="false">
      <c r="V7685" s="23" t="str">
        <f aca="false">IF(ISNUMBER(C7685),YEAR(C7685),"")</f>
        <v/>
      </c>
      <c r="W7685" s="23" t="str">
        <f aca="false">IF(ISNUMBER(C7685),MONTH(C7685),"")</f>
        <v/>
      </c>
      <c r="X7685" s="23" t="str">
        <f aca="false">IF(T7685="","",IF(T7685=0,"No discount",IF(T7685&lt;=0.2,"Low (1-20%)",IF(T7685&lt;=0.4,"Medium (21-40%)","High (&gt;40%)"))))</f>
        <v/>
      </c>
      <c r="Y7685" s="23" t="str">
        <f aca="false">IF(AND(ISNUMBER(C7685),ISNUMBER(D7685)),D7685-C7685,"")</f>
        <v/>
      </c>
      <c r="Z7685" s="23" t="str">
        <f aca="false">IF(B7685="","",IF(MATCH(B7685,$B$2:$B$12000,0)=ROW()-1,1,0))</f>
        <v/>
      </c>
    </row>
    <row r="7686" customFormat="false" ht="15" hidden="false" customHeight="false" outlineLevel="0" collapsed="false">
      <c r="V7686" s="23" t="str">
        <f aca="false">IF(ISNUMBER(C7686),YEAR(C7686),"")</f>
        <v/>
      </c>
      <c r="W7686" s="23" t="str">
        <f aca="false">IF(ISNUMBER(C7686),MONTH(C7686),"")</f>
        <v/>
      </c>
      <c r="X7686" s="23" t="str">
        <f aca="false">IF(T7686="","",IF(T7686=0,"No discount",IF(T7686&lt;=0.2,"Low (1-20%)",IF(T7686&lt;=0.4,"Medium (21-40%)","High (&gt;40%)"))))</f>
        <v/>
      </c>
      <c r="Y7686" s="23" t="str">
        <f aca="false">IF(AND(ISNUMBER(C7686),ISNUMBER(D7686)),D7686-C7686,"")</f>
        <v/>
      </c>
      <c r="Z7686" s="23" t="str">
        <f aca="false">IF(B7686="","",IF(MATCH(B7686,$B$2:$B$12000,0)=ROW()-1,1,0))</f>
        <v/>
      </c>
    </row>
    <row r="7687" customFormat="false" ht="15" hidden="false" customHeight="false" outlineLevel="0" collapsed="false">
      <c r="V7687" s="23" t="str">
        <f aca="false">IF(ISNUMBER(C7687),YEAR(C7687),"")</f>
        <v/>
      </c>
      <c r="W7687" s="23" t="str">
        <f aca="false">IF(ISNUMBER(C7687),MONTH(C7687),"")</f>
        <v/>
      </c>
      <c r="X7687" s="23" t="str">
        <f aca="false">IF(T7687="","",IF(T7687=0,"No discount",IF(T7687&lt;=0.2,"Low (1-20%)",IF(T7687&lt;=0.4,"Medium (21-40%)","High (&gt;40%)"))))</f>
        <v/>
      </c>
      <c r="Y7687" s="23" t="str">
        <f aca="false">IF(AND(ISNUMBER(C7687),ISNUMBER(D7687)),D7687-C7687,"")</f>
        <v/>
      </c>
      <c r="Z7687" s="23" t="str">
        <f aca="false">IF(B7687="","",IF(MATCH(B7687,$B$2:$B$12000,0)=ROW()-1,1,0))</f>
        <v/>
      </c>
    </row>
    <row r="7688" customFormat="false" ht="15" hidden="false" customHeight="false" outlineLevel="0" collapsed="false">
      <c r="V7688" s="23" t="str">
        <f aca="false">IF(ISNUMBER(C7688),YEAR(C7688),"")</f>
        <v/>
      </c>
      <c r="W7688" s="23" t="str">
        <f aca="false">IF(ISNUMBER(C7688),MONTH(C7688),"")</f>
        <v/>
      </c>
      <c r="X7688" s="23" t="str">
        <f aca="false">IF(T7688="","",IF(T7688=0,"No discount",IF(T7688&lt;=0.2,"Low (1-20%)",IF(T7688&lt;=0.4,"Medium (21-40%)","High (&gt;40%)"))))</f>
        <v/>
      </c>
      <c r="Y7688" s="23" t="str">
        <f aca="false">IF(AND(ISNUMBER(C7688),ISNUMBER(D7688)),D7688-C7688,"")</f>
        <v/>
      </c>
      <c r="Z7688" s="23" t="str">
        <f aca="false">IF(B7688="","",IF(MATCH(B7688,$B$2:$B$12000,0)=ROW()-1,1,0))</f>
        <v/>
      </c>
    </row>
    <row r="7689" customFormat="false" ht="15" hidden="false" customHeight="false" outlineLevel="0" collapsed="false">
      <c r="V7689" s="23" t="str">
        <f aca="false">IF(ISNUMBER(C7689),YEAR(C7689),"")</f>
        <v/>
      </c>
      <c r="W7689" s="23" t="str">
        <f aca="false">IF(ISNUMBER(C7689),MONTH(C7689),"")</f>
        <v/>
      </c>
      <c r="X7689" s="23" t="str">
        <f aca="false">IF(T7689="","",IF(T7689=0,"No discount",IF(T7689&lt;=0.2,"Low (1-20%)",IF(T7689&lt;=0.4,"Medium (21-40%)","High (&gt;40%)"))))</f>
        <v/>
      </c>
      <c r="Y7689" s="23" t="str">
        <f aca="false">IF(AND(ISNUMBER(C7689),ISNUMBER(D7689)),D7689-C7689,"")</f>
        <v/>
      </c>
      <c r="Z7689" s="23" t="str">
        <f aca="false">IF(B7689="","",IF(MATCH(B7689,$B$2:$B$12000,0)=ROW()-1,1,0))</f>
        <v/>
      </c>
    </row>
    <row r="7690" customFormat="false" ht="15" hidden="false" customHeight="false" outlineLevel="0" collapsed="false">
      <c r="V7690" s="23" t="str">
        <f aca="false">IF(ISNUMBER(C7690),YEAR(C7690),"")</f>
        <v/>
      </c>
      <c r="W7690" s="23" t="str">
        <f aca="false">IF(ISNUMBER(C7690),MONTH(C7690),"")</f>
        <v/>
      </c>
      <c r="X7690" s="23" t="str">
        <f aca="false">IF(T7690="","",IF(T7690=0,"No discount",IF(T7690&lt;=0.2,"Low (1-20%)",IF(T7690&lt;=0.4,"Medium (21-40%)","High (&gt;40%)"))))</f>
        <v/>
      </c>
      <c r="Y7690" s="23" t="str">
        <f aca="false">IF(AND(ISNUMBER(C7690),ISNUMBER(D7690)),D7690-C7690,"")</f>
        <v/>
      </c>
      <c r="Z7690" s="23" t="str">
        <f aca="false">IF(B7690="","",IF(MATCH(B7690,$B$2:$B$12000,0)=ROW()-1,1,0))</f>
        <v/>
      </c>
    </row>
    <row r="7691" customFormat="false" ht="15" hidden="false" customHeight="false" outlineLevel="0" collapsed="false">
      <c r="V7691" s="23" t="str">
        <f aca="false">IF(ISNUMBER(C7691),YEAR(C7691),"")</f>
        <v/>
      </c>
      <c r="W7691" s="23" t="str">
        <f aca="false">IF(ISNUMBER(C7691),MONTH(C7691),"")</f>
        <v/>
      </c>
      <c r="X7691" s="23" t="str">
        <f aca="false">IF(T7691="","",IF(T7691=0,"No discount",IF(T7691&lt;=0.2,"Low (1-20%)",IF(T7691&lt;=0.4,"Medium (21-40%)","High (&gt;40%)"))))</f>
        <v/>
      </c>
      <c r="Y7691" s="23" t="str">
        <f aca="false">IF(AND(ISNUMBER(C7691),ISNUMBER(D7691)),D7691-C7691,"")</f>
        <v/>
      </c>
      <c r="Z7691" s="23" t="str">
        <f aca="false">IF(B7691="","",IF(MATCH(B7691,$B$2:$B$12000,0)=ROW()-1,1,0))</f>
        <v/>
      </c>
    </row>
    <row r="7692" customFormat="false" ht="15" hidden="false" customHeight="false" outlineLevel="0" collapsed="false">
      <c r="V7692" s="23" t="str">
        <f aca="false">IF(ISNUMBER(C7692),YEAR(C7692),"")</f>
        <v/>
      </c>
      <c r="W7692" s="23" t="str">
        <f aca="false">IF(ISNUMBER(C7692),MONTH(C7692),"")</f>
        <v/>
      </c>
      <c r="X7692" s="23" t="str">
        <f aca="false">IF(T7692="","",IF(T7692=0,"No discount",IF(T7692&lt;=0.2,"Low (1-20%)",IF(T7692&lt;=0.4,"Medium (21-40%)","High (&gt;40%)"))))</f>
        <v/>
      </c>
      <c r="Y7692" s="23" t="str">
        <f aca="false">IF(AND(ISNUMBER(C7692),ISNUMBER(D7692)),D7692-C7692,"")</f>
        <v/>
      </c>
      <c r="Z7692" s="23" t="str">
        <f aca="false">IF(B7692="","",IF(MATCH(B7692,$B$2:$B$12000,0)=ROW()-1,1,0))</f>
        <v/>
      </c>
    </row>
    <row r="7693" customFormat="false" ht="15" hidden="false" customHeight="false" outlineLevel="0" collapsed="false">
      <c r="V7693" s="23" t="str">
        <f aca="false">IF(ISNUMBER(C7693),YEAR(C7693),"")</f>
        <v/>
      </c>
      <c r="W7693" s="23" t="str">
        <f aca="false">IF(ISNUMBER(C7693),MONTH(C7693),"")</f>
        <v/>
      </c>
      <c r="X7693" s="23" t="str">
        <f aca="false">IF(T7693="","",IF(T7693=0,"No discount",IF(T7693&lt;=0.2,"Low (1-20%)",IF(T7693&lt;=0.4,"Medium (21-40%)","High (&gt;40%)"))))</f>
        <v/>
      </c>
      <c r="Y7693" s="23" t="str">
        <f aca="false">IF(AND(ISNUMBER(C7693),ISNUMBER(D7693)),D7693-C7693,"")</f>
        <v/>
      </c>
      <c r="Z7693" s="23" t="str">
        <f aca="false">IF(B7693="","",IF(MATCH(B7693,$B$2:$B$12000,0)=ROW()-1,1,0))</f>
        <v/>
      </c>
    </row>
    <row r="7694" customFormat="false" ht="15" hidden="false" customHeight="false" outlineLevel="0" collapsed="false">
      <c r="V7694" s="23" t="str">
        <f aca="false">IF(ISNUMBER(C7694),YEAR(C7694),"")</f>
        <v/>
      </c>
      <c r="W7694" s="23" t="str">
        <f aca="false">IF(ISNUMBER(C7694),MONTH(C7694),"")</f>
        <v/>
      </c>
      <c r="X7694" s="23" t="str">
        <f aca="false">IF(T7694="","",IF(T7694=0,"No discount",IF(T7694&lt;=0.2,"Low (1-20%)",IF(T7694&lt;=0.4,"Medium (21-40%)","High (&gt;40%)"))))</f>
        <v/>
      </c>
      <c r="Y7694" s="23" t="str">
        <f aca="false">IF(AND(ISNUMBER(C7694),ISNUMBER(D7694)),D7694-C7694,"")</f>
        <v/>
      </c>
      <c r="Z7694" s="23" t="str">
        <f aca="false">IF(B7694="","",IF(MATCH(B7694,$B$2:$B$12000,0)=ROW()-1,1,0))</f>
        <v/>
      </c>
    </row>
    <row r="7695" customFormat="false" ht="15" hidden="false" customHeight="false" outlineLevel="0" collapsed="false">
      <c r="V7695" s="23" t="str">
        <f aca="false">IF(ISNUMBER(C7695),YEAR(C7695),"")</f>
        <v/>
      </c>
      <c r="W7695" s="23" t="str">
        <f aca="false">IF(ISNUMBER(C7695),MONTH(C7695),"")</f>
        <v/>
      </c>
      <c r="X7695" s="23" t="str">
        <f aca="false">IF(T7695="","",IF(T7695=0,"No discount",IF(T7695&lt;=0.2,"Low (1-20%)",IF(T7695&lt;=0.4,"Medium (21-40%)","High (&gt;40%)"))))</f>
        <v/>
      </c>
      <c r="Y7695" s="23" t="str">
        <f aca="false">IF(AND(ISNUMBER(C7695),ISNUMBER(D7695)),D7695-C7695,"")</f>
        <v/>
      </c>
      <c r="Z7695" s="23" t="str">
        <f aca="false">IF(B7695="","",IF(MATCH(B7695,$B$2:$B$12000,0)=ROW()-1,1,0))</f>
        <v/>
      </c>
    </row>
    <row r="7696" customFormat="false" ht="15" hidden="false" customHeight="false" outlineLevel="0" collapsed="false">
      <c r="V7696" s="23" t="str">
        <f aca="false">IF(ISNUMBER(C7696),YEAR(C7696),"")</f>
        <v/>
      </c>
      <c r="W7696" s="23" t="str">
        <f aca="false">IF(ISNUMBER(C7696),MONTH(C7696),"")</f>
        <v/>
      </c>
      <c r="X7696" s="23" t="str">
        <f aca="false">IF(T7696="","",IF(T7696=0,"No discount",IF(T7696&lt;=0.2,"Low (1-20%)",IF(T7696&lt;=0.4,"Medium (21-40%)","High (&gt;40%)"))))</f>
        <v/>
      </c>
      <c r="Y7696" s="23" t="str">
        <f aca="false">IF(AND(ISNUMBER(C7696),ISNUMBER(D7696)),D7696-C7696,"")</f>
        <v/>
      </c>
      <c r="Z7696" s="23" t="str">
        <f aca="false">IF(B7696="","",IF(MATCH(B7696,$B$2:$B$12000,0)=ROW()-1,1,0))</f>
        <v/>
      </c>
    </row>
    <row r="7697" customFormat="false" ht="15" hidden="false" customHeight="false" outlineLevel="0" collapsed="false">
      <c r="V7697" s="23" t="str">
        <f aca="false">IF(ISNUMBER(C7697),YEAR(C7697),"")</f>
        <v/>
      </c>
      <c r="W7697" s="23" t="str">
        <f aca="false">IF(ISNUMBER(C7697),MONTH(C7697),"")</f>
        <v/>
      </c>
      <c r="X7697" s="23" t="str">
        <f aca="false">IF(T7697="","",IF(T7697=0,"No discount",IF(T7697&lt;=0.2,"Low (1-20%)",IF(T7697&lt;=0.4,"Medium (21-40%)","High (&gt;40%)"))))</f>
        <v/>
      </c>
      <c r="Y7697" s="23" t="str">
        <f aca="false">IF(AND(ISNUMBER(C7697),ISNUMBER(D7697)),D7697-C7697,"")</f>
        <v/>
      </c>
      <c r="Z7697" s="23" t="str">
        <f aca="false">IF(B7697="","",IF(MATCH(B7697,$B$2:$B$12000,0)=ROW()-1,1,0))</f>
        <v/>
      </c>
    </row>
    <row r="7698" customFormat="false" ht="15" hidden="false" customHeight="false" outlineLevel="0" collapsed="false">
      <c r="V7698" s="23" t="str">
        <f aca="false">IF(ISNUMBER(C7698),YEAR(C7698),"")</f>
        <v/>
      </c>
      <c r="W7698" s="23" t="str">
        <f aca="false">IF(ISNUMBER(C7698),MONTH(C7698),"")</f>
        <v/>
      </c>
      <c r="X7698" s="23" t="str">
        <f aca="false">IF(T7698="","",IF(T7698=0,"No discount",IF(T7698&lt;=0.2,"Low (1-20%)",IF(T7698&lt;=0.4,"Medium (21-40%)","High (&gt;40%)"))))</f>
        <v/>
      </c>
      <c r="Y7698" s="23" t="str">
        <f aca="false">IF(AND(ISNUMBER(C7698),ISNUMBER(D7698)),D7698-C7698,"")</f>
        <v/>
      </c>
      <c r="Z7698" s="23" t="str">
        <f aca="false">IF(B7698="","",IF(MATCH(B7698,$B$2:$B$12000,0)=ROW()-1,1,0))</f>
        <v/>
      </c>
    </row>
    <row r="7699" customFormat="false" ht="15" hidden="false" customHeight="false" outlineLevel="0" collapsed="false">
      <c r="V7699" s="23" t="str">
        <f aca="false">IF(ISNUMBER(C7699),YEAR(C7699),"")</f>
        <v/>
      </c>
      <c r="W7699" s="23" t="str">
        <f aca="false">IF(ISNUMBER(C7699),MONTH(C7699),"")</f>
        <v/>
      </c>
      <c r="X7699" s="23" t="str">
        <f aca="false">IF(T7699="","",IF(T7699=0,"No discount",IF(T7699&lt;=0.2,"Low (1-20%)",IF(T7699&lt;=0.4,"Medium (21-40%)","High (&gt;40%)"))))</f>
        <v/>
      </c>
      <c r="Y7699" s="23" t="str">
        <f aca="false">IF(AND(ISNUMBER(C7699),ISNUMBER(D7699)),D7699-C7699,"")</f>
        <v/>
      </c>
      <c r="Z7699" s="23" t="str">
        <f aca="false">IF(B7699="","",IF(MATCH(B7699,$B$2:$B$12000,0)=ROW()-1,1,0))</f>
        <v/>
      </c>
    </row>
    <row r="7700" customFormat="false" ht="15" hidden="false" customHeight="false" outlineLevel="0" collapsed="false">
      <c r="V7700" s="23" t="str">
        <f aca="false">IF(ISNUMBER(C7700),YEAR(C7700),"")</f>
        <v/>
      </c>
      <c r="W7700" s="23" t="str">
        <f aca="false">IF(ISNUMBER(C7700),MONTH(C7700),"")</f>
        <v/>
      </c>
      <c r="X7700" s="23" t="str">
        <f aca="false">IF(T7700="","",IF(T7700=0,"No discount",IF(T7700&lt;=0.2,"Low (1-20%)",IF(T7700&lt;=0.4,"Medium (21-40%)","High (&gt;40%)"))))</f>
        <v/>
      </c>
      <c r="Y7700" s="23" t="str">
        <f aca="false">IF(AND(ISNUMBER(C7700),ISNUMBER(D7700)),D7700-C7700,"")</f>
        <v/>
      </c>
      <c r="Z7700" s="23" t="str">
        <f aca="false">IF(B7700="","",IF(MATCH(B7700,$B$2:$B$12000,0)=ROW()-1,1,0))</f>
        <v/>
      </c>
    </row>
    <row r="7701" customFormat="false" ht="15" hidden="false" customHeight="false" outlineLevel="0" collapsed="false">
      <c r="V7701" s="23" t="str">
        <f aca="false">IF(ISNUMBER(C7701),YEAR(C7701),"")</f>
        <v/>
      </c>
      <c r="W7701" s="23" t="str">
        <f aca="false">IF(ISNUMBER(C7701),MONTH(C7701),"")</f>
        <v/>
      </c>
      <c r="X7701" s="23" t="str">
        <f aca="false">IF(T7701="","",IF(T7701=0,"No discount",IF(T7701&lt;=0.2,"Low (1-20%)",IF(T7701&lt;=0.4,"Medium (21-40%)","High (&gt;40%)"))))</f>
        <v/>
      </c>
      <c r="Y7701" s="23" t="str">
        <f aca="false">IF(AND(ISNUMBER(C7701),ISNUMBER(D7701)),D7701-C7701,"")</f>
        <v/>
      </c>
      <c r="Z7701" s="23" t="str">
        <f aca="false">IF(B7701="","",IF(MATCH(B7701,$B$2:$B$12000,0)=ROW()-1,1,0))</f>
        <v/>
      </c>
    </row>
    <row r="7702" customFormat="false" ht="15" hidden="false" customHeight="false" outlineLevel="0" collapsed="false">
      <c r="V7702" s="23" t="str">
        <f aca="false">IF(ISNUMBER(C7702),YEAR(C7702),"")</f>
        <v/>
      </c>
      <c r="W7702" s="23" t="str">
        <f aca="false">IF(ISNUMBER(C7702),MONTH(C7702),"")</f>
        <v/>
      </c>
      <c r="X7702" s="23" t="str">
        <f aca="false">IF(T7702="","",IF(T7702=0,"No discount",IF(T7702&lt;=0.2,"Low (1-20%)",IF(T7702&lt;=0.4,"Medium (21-40%)","High (&gt;40%)"))))</f>
        <v/>
      </c>
      <c r="Y7702" s="23" t="str">
        <f aca="false">IF(AND(ISNUMBER(C7702),ISNUMBER(D7702)),D7702-C7702,"")</f>
        <v/>
      </c>
      <c r="Z7702" s="23" t="str">
        <f aca="false">IF(B7702="","",IF(MATCH(B7702,$B$2:$B$12000,0)=ROW()-1,1,0))</f>
        <v/>
      </c>
    </row>
    <row r="7703" customFormat="false" ht="15" hidden="false" customHeight="false" outlineLevel="0" collapsed="false">
      <c r="V7703" s="23" t="str">
        <f aca="false">IF(ISNUMBER(C7703),YEAR(C7703),"")</f>
        <v/>
      </c>
      <c r="W7703" s="23" t="str">
        <f aca="false">IF(ISNUMBER(C7703),MONTH(C7703),"")</f>
        <v/>
      </c>
      <c r="X7703" s="23" t="str">
        <f aca="false">IF(T7703="","",IF(T7703=0,"No discount",IF(T7703&lt;=0.2,"Low (1-20%)",IF(T7703&lt;=0.4,"Medium (21-40%)","High (&gt;40%)"))))</f>
        <v/>
      </c>
      <c r="Y7703" s="23" t="str">
        <f aca="false">IF(AND(ISNUMBER(C7703),ISNUMBER(D7703)),D7703-C7703,"")</f>
        <v/>
      </c>
      <c r="Z7703" s="23" t="str">
        <f aca="false">IF(B7703="","",IF(MATCH(B7703,$B$2:$B$12000,0)=ROW()-1,1,0))</f>
        <v/>
      </c>
    </row>
    <row r="7704" customFormat="false" ht="15" hidden="false" customHeight="false" outlineLevel="0" collapsed="false">
      <c r="V7704" s="23" t="str">
        <f aca="false">IF(ISNUMBER(C7704),YEAR(C7704),"")</f>
        <v/>
      </c>
      <c r="W7704" s="23" t="str">
        <f aca="false">IF(ISNUMBER(C7704),MONTH(C7704),"")</f>
        <v/>
      </c>
      <c r="X7704" s="23" t="str">
        <f aca="false">IF(T7704="","",IF(T7704=0,"No discount",IF(T7704&lt;=0.2,"Low (1-20%)",IF(T7704&lt;=0.4,"Medium (21-40%)","High (&gt;40%)"))))</f>
        <v/>
      </c>
      <c r="Y7704" s="23" t="str">
        <f aca="false">IF(AND(ISNUMBER(C7704),ISNUMBER(D7704)),D7704-C7704,"")</f>
        <v/>
      </c>
      <c r="Z7704" s="23" t="str">
        <f aca="false">IF(B7704="","",IF(MATCH(B7704,$B$2:$B$12000,0)=ROW()-1,1,0))</f>
        <v/>
      </c>
    </row>
    <row r="7705" customFormat="false" ht="15" hidden="false" customHeight="false" outlineLevel="0" collapsed="false">
      <c r="V7705" s="23" t="str">
        <f aca="false">IF(ISNUMBER(C7705),YEAR(C7705),"")</f>
        <v/>
      </c>
      <c r="W7705" s="23" t="str">
        <f aca="false">IF(ISNUMBER(C7705),MONTH(C7705),"")</f>
        <v/>
      </c>
      <c r="X7705" s="23" t="str">
        <f aca="false">IF(T7705="","",IF(T7705=0,"No discount",IF(T7705&lt;=0.2,"Low (1-20%)",IF(T7705&lt;=0.4,"Medium (21-40%)","High (&gt;40%)"))))</f>
        <v/>
      </c>
      <c r="Y7705" s="23" t="str">
        <f aca="false">IF(AND(ISNUMBER(C7705),ISNUMBER(D7705)),D7705-C7705,"")</f>
        <v/>
      </c>
      <c r="Z7705" s="23" t="str">
        <f aca="false">IF(B7705="","",IF(MATCH(B7705,$B$2:$B$12000,0)=ROW()-1,1,0))</f>
        <v/>
      </c>
    </row>
    <row r="7706" customFormat="false" ht="15" hidden="false" customHeight="false" outlineLevel="0" collapsed="false">
      <c r="V7706" s="23" t="str">
        <f aca="false">IF(ISNUMBER(C7706),YEAR(C7706),"")</f>
        <v/>
      </c>
      <c r="W7706" s="23" t="str">
        <f aca="false">IF(ISNUMBER(C7706),MONTH(C7706),"")</f>
        <v/>
      </c>
      <c r="X7706" s="23" t="str">
        <f aca="false">IF(T7706="","",IF(T7706=0,"No discount",IF(T7706&lt;=0.2,"Low (1-20%)",IF(T7706&lt;=0.4,"Medium (21-40%)","High (&gt;40%)"))))</f>
        <v/>
      </c>
      <c r="Y7706" s="23" t="str">
        <f aca="false">IF(AND(ISNUMBER(C7706),ISNUMBER(D7706)),D7706-C7706,"")</f>
        <v/>
      </c>
      <c r="Z7706" s="23" t="str">
        <f aca="false">IF(B7706="","",IF(MATCH(B7706,$B$2:$B$12000,0)=ROW()-1,1,0))</f>
        <v/>
      </c>
    </row>
    <row r="7707" customFormat="false" ht="15" hidden="false" customHeight="false" outlineLevel="0" collapsed="false">
      <c r="V7707" s="23" t="str">
        <f aca="false">IF(ISNUMBER(C7707),YEAR(C7707),"")</f>
        <v/>
      </c>
      <c r="W7707" s="23" t="str">
        <f aca="false">IF(ISNUMBER(C7707),MONTH(C7707),"")</f>
        <v/>
      </c>
      <c r="X7707" s="23" t="str">
        <f aca="false">IF(T7707="","",IF(T7707=0,"No discount",IF(T7707&lt;=0.2,"Low (1-20%)",IF(T7707&lt;=0.4,"Medium (21-40%)","High (&gt;40%)"))))</f>
        <v/>
      </c>
      <c r="Y7707" s="23" t="str">
        <f aca="false">IF(AND(ISNUMBER(C7707),ISNUMBER(D7707)),D7707-C7707,"")</f>
        <v/>
      </c>
      <c r="Z7707" s="23" t="str">
        <f aca="false">IF(B7707="","",IF(MATCH(B7707,$B$2:$B$12000,0)=ROW()-1,1,0))</f>
        <v/>
      </c>
    </row>
    <row r="7708" customFormat="false" ht="15" hidden="false" customHeight="false" outlineLevel="0" collapsed="false">
      <c r="V7708" s="23" t="str">
        <f aca="false">IF(ISNUMBER(C7708),YEAR(C7708),"")</f>
        <v/>
      </c>
      <c r="W7708" s="23" t="str">
        <f aca="false">IF(ISNUMBER(C7708),MONTH(C7708),"")</f>
        <v/>
      </c>
      <c r="X7708" s="23" t="str">
        <f aca="false">IF(T7708="","",IF(T7708=0,"No discount",IF(T7708&lt;=0.2,"Low (1-20%)",IF(T7708&lt;=0.4,"Medium (21-40%)","High (&gt;40%)"))))</f>
        <v/>
      </c>
      <c r="Y7708" s="23" t="str">
        <f aca="false">IF(AND(ISNUMBER(C7708),ISNUMBER(D7708)),D7708-C7708,"")</f>
        <v/>
      </c>
      <c r="Z7708" s="23" t="str">
        <f aca="false">IF(B7708="","",IF(MATCH(B7708,$B$2:$B$12000,0)=ROW()-1,1,0))</f>
        <v/>
      </c>
    </row>
    <row r="7709" customFormat="false" ht="15" hidden="false" customHeight="false" outlineLevel="0" collapsed="false">
      <c r="V7709" s="23" t="str">
        <f aca="false">IF(ISNUMBER(C7709),YEAR(C7709),"")</f>
        <v/>
      </c>
      <c r="W7709" s="23" t="str">
        <f aca="false">IF(ISNUMBER(C7709),MONTH(C7709),"")</f>
        <v/>
      </c>
      <c r="X7709" s="23" t="str">
        <f aca="false">IF(T7709="","",IF(T7709=0,"No discount",IF(T7709&lt;=0.2,"Low (1-20%)",IF(T7709&lt;=0.4,"Medium (21-40%)","High (&gt;40%)"))))</f>
        <v/>
      </c>
      <c r="Y7709" s="23" t="str">
        <f aca="false">IF(AND(ISNUMBER(C7709),ISNUMBER(D7709)),D7709-C7709,"")</f>
        <v/>
      </c>
      <c r="Z7709" s="23" t="str">
        <f aca="false">IF(B7709="","",IF(MATCH(B7709,$B$2:$B$12000,0)=ROW()-1,1,0))</f>
        <v/>
      </c>
    </row>
    <row r="7710" customFormat="false" ht="15" hidden="false" customHeight="false" outlineLevel="0" collapsed="false">
      <c r="V7710" s="23" t="str">
        <f aca="false">IF(ISNUMBER(C7710),YEAR(C7710),"")</f>
        <v/>
      </c>
      <c r="W7710" s="23" t="str">
        <f aca="false">IF(ISNUMBER(C7710),MONTH(C7710),"")</f>
        <v/>
      </c>
      <c r="X7710" s="23" t="str">
        <f aca="false">IF(T7710="","",IF(T7710=0,"No discount",IF(T7710&lt;=0.2,"Low (1-20%)",IF(T7710&lt;=0.4,"Medium (21-40%)","High (&gt;40%)"))))</f>
        <v/>
      </c>
      <c r="Y7710" s="23" t="str">
        <f aca="false">IF(AND(ISNUMBER(C7710),ISNUMBER(D7710)),D7710-C7710,"")</f>
        <v/>
      </c>
      <c r="Z7710" s="23" t="str">
        <f aca="false">IF(B7710="","",IF(MATCH(B7710,$B$2:$B$12000,0)=ROW()-1,1,0))</f>
        <v/>
      </c>
    </row>
    <row r="7711" customFormat="false" ht="15" hidden="false" customHeight="false" outlineLevel="0" collapsed="false">
      <c r="V7711" s="23" t="str">
        <f aca="false">IF(ISNUMBER(C7711),YEAR(C7711),"")</f>
        <v/>
      </c>
      <c r="W7711" s="23" t="str">
        <f aca="false">IF(ISNUMBER(C7711),MONTH(C7711),"")</f>
        <v/>
      </c>
      <c r="X7711" s="23" t="str">
        <f aca="false">IF(T7711="","",IF(T7711=0,"No discount",IF(T7711&lt;=0.2,"Low (1-20%)",IF(T7711&lt;=0.4,"Medium (21-40%)","High (&gt;40%)"))))</f>
        <v/>
      </c>
      <c r="Y7711" s="23" t="str">
        <f aca="false">IF(AND(ISNUMBER(C7711),ISNUMBER(D7711)),D7711-C7711,"")</f>
        <v/>
      </c>
      <c r="Z7711" s="23" t="str">
        <f aca="false">IF(B7711="","",IF(MATCH(B7711,$B$2:$B$12000,0)=ROW()-1,1,0))</f>
        <v/>
      </c>
    </row>
    <row r="7712" customFormat="false" ht="15" hidden="false" customHeight="false" outlineLevel="0" collapsed="false">
      <c r="V7712" s="23" t="str">
        <f aca="false">IF(ISNUMBER(C7712),YEAR(C7712),"")</f>
        <v/>
      </c>
      <c r="W7712" s="23" t="str">
        <f aca="false">IF(ISNUMBER(C7712),MONTH(C7712),"")</f>
        <v/>
      </c>
      <c r="X7712" s="23" t="str">
        <f aca="false">IF(T7712="","",IF(T7712=0,"No discount",IF(T7712&lt;=0.2,"Low (1-20%)",IF(T7712&lt;=0.4,"Medium (21-40%)","High (&gt;40%)"))))</f>
        <v/>
      </c>
      <c r="Y7712" s="23" t="str">
        <f aca="false">IF(AND(ISNUMBER(C7712),ISNUMBER(D7712)),D7712-C7712,"")</f>
        <v/>
      </c>
      <c r="Z7712" s="23" t="str">
        <f aca="false">IF(B7712="","",IF(MATCH(B7712,$B$2:$B$12000,0)=ROW()-1,1,0))</f>
        <v/>
      </c>
    </row>
    <row r="7713" customFormat="false" ht="15" hidden="false" customHeight="false" outlineLevel="0" collapsed="false">
      <c r="V7713" s="23" t="str">
        <f aca="false">IF(ISNUMBER(C7713),YEAR(C7713),"")</f>
        <v/>
      </c>
      <c r="W7713" s="23" t="str">
        <f aca="false">IF(ISNUMBER(C7713),MONTH(C7713),"")</f>
        <v/>
      </c>
      <c r="X7713" s="23" t="str">
        <f aca="false">IF(T7713="","",IF(T7713=0,"No discount",IF(T7713&lt;=0.2,"Low (1-20%)",IF(T7713&lt;=0.4,"Medium (21-40%)","High (&gt;40%)"))))</f>
        <v/>
      </c>
      <c r="Y7713" s="23" t="str">
        <f aca="false">IF(AND(ISNUMBER(C7713),ISNUMBER(D7713)),D7713-C7713,"")</f>
        <v/>
      </c>
      <c r="Z7713" s="23" t="str">
        <f aca="false">IF(B7713="","",IF(MATCH(B7713,$B$2:$B$12000,0)=ROW()-1,1,0))</f>
        <v/>
      </c>
    </row>
    <row r="7714" customFormat="false" ht="15" hidden="false" customHeight="false" outlineLevel="0" collapsed="false">
      <c r="V7714" s="23" t="str">
        <f aca="false">IF(ISNUMBER(C7714),YEAR(C7714),"")</f>
        <v/>
      </c>
      <c r="W7714" s="23" t="str">
        <f aca="false">IF(ISNUMBER(C7714),MONTH(C7714),"")</f>
        <v/>
      </c>
      <c r="X7714" s="23" t="str">
        <f aca="false">IF(T7714="","",IF(T7714=0,"No discount",IF(T7714&lt;=0.2,"Low (1-20%)",IF(T7714&lt;=0.4,"Medium (21-40%)","High (&gt;40%)"))))</f>
        <v/>
      </c>
      <c r="Y7714" s="23" t="str">
        <f aca="false">IF(AND(ISNUMBER(C7714),ISNUMBER(D7714)),D7714-C7714,"")</f>
        <v/>
      </c>
      <c r="Z7714" s="23" t="str">
        <f aca="false">IF(B7714="","",IF(MATCH(B7714,$B$2:$B$12000,0)=ROW()-1,1,0))</f>
        <v/>
      </c>
    </row>
    <row r="7715" customFormat="false" ht="15" hidden="false" customHeight="false" outlineLevel="0" collapsed="false">
      <c r="V7715" s="23" t="str">
        <f aca="false">IF(ISNUMBER(C7715),YEAR(C7715),"")</f>
        <v/>
      </c>
      <c r="W7715" s="23" t="str">
        <f aca="false">IF(ISNUMBER(C7715),MONTH(C7715),"")</f>
        <v/>
      </c>
      <c r="X7715" s="23" t="str">
        <f aca="false">IF(T7715="","",IF(T7715=0,"No discount",IF(T7715&lt;=0.2,"Low (1-20%)",IF(T7715&lt;=0.4,"Medium (21-40%)","High (&gt;40%)"))))</f>
        <v/>
      </c>
      <c r="Y7715" s="23" t="str">
        <f aca="false">IF(AND(ISNUMBER(C7715),ISNUMBER(D7715)),D7715-C7715,"")</f>
        <v/>
      </c>
      <c r="Z7715" s="23" t="str">
        <f aca="false">IF(B7715="","",IF(MATCH(B7715,$B$2:$B$12000,0)=ROW()-1,1,0))</f>
        <v/>
      </c>
    </row>
    <row r="7716" customFormat="false" ht="15" hidden="false" customHeight="false" outlineLevel="0" collapsed="false">
      <c r="V7716" s="23" t="str">
        <f aca="false">IF(ISNUMBER(C7716),YEAR(C7716),"")</f>
        <v/>
      </c>
      <c r="W7716" s="23" t="str">
        <f aca="false">IF(ISNUMBER(C7716),MONTH(C7716),"")</f>
        <v/>
      </c>
      <c r="X7716" s="23" t="str">
        <f aca="false">IF(T7716="","",IF(T7716=0,"No discount",IF(T7716&lt;=0.2,"Low (1-20%)",IF(T7716&lt;=0.4,"Medium (21-40%)","High (&gt;40%)"))))</f>
        <v/>
      </c>
      <c r="Y7716" s="23" t="str">
        <f aca="false">IF(AND(ISNUMBER(C7716),ISNUMBER(D7716)),D7716-C7716,"")</f>
        <v/>
      </c>
      <c r="Z7716" s="23" t="str">
        <f aca="false">IF(B7716="","",IF(MATCH(B7716,$B$2:$B$12000,0)=ROW()-1,1,0))</f>
        <v/>
      </c>
    </row>
    <row r="7717" customFormat="false" ht="15" hidden="false" customHeight="false" outlineLevel="0" collapsed="false">
      <c r="V7717" s="23" t="str">
        <f aca="false">IF(ISNUMBER(C7717),YEAR(C7717),"")</f>
        <v/>
      </c>
      <c r="W7717" s="23" t="str">
        <f aca="false">IF(ISNUMBER(C7717),MONTH(C7717),"")</f>
        <v/>
      </c>
      <c r="X7717" s="23" t="str">
        <f aca="false">IF(T7717="","",IF(T7717=0,"No discount",IF(T7717&lt;=0.2,"Low (1-20%)",IF(T7717&lt;=0.4,"Medium (21-40%)","High (&gt;40%)"))))</f>
        <v/>
      </c>
      <c r="Y7717" s="23" t="str">
        <f aca="false">IF(AND(ISNUMBER(C7717),ISNUMBER(D7717)),D7717-C7717,"")</f>
        <v/>
      </c>
      <c r="Z7717" s="23" t="str">
        <f aca="false">IF(B7717="","",IF(MATCH(B7717,$B$2:$B$12000,0)=ROW()-1,1,0))</f>
        <v/>
      </c>
    </row>
    <row r="7718" customFormat="false" ht="15" hidden="false" customHeight="false" outlineLevel="0" collapsed="false">
      <c r="V7718" s="23" t="str">
        <f aca="false">IF(ISNUMBER(C7718),YEAR(C7718),"")</f>
        <v/>
      </c>
      <c r="W7718" s="23" t="str">
        <f aca="false">IF(ISNUMBER(C7718),MONTH(C7718),"")</f>
        <v/>
      </c>
      <c r="X7718" s="23" t="str">
        <f aca="false">IF(T7718="","",IF(T7718=0,"No discount",IF(T7718&lt;=0.2,"Low (1-20%)",IF(T7718&lt;=0.4,"Medium (21-40%)","High (&gt;40%)"))))</f>
        <v/>
      </c>
      <c r="Y7718" s="23" t="str">
        <f aca="false">IF(AND(ISNUMBER(C7718),ISNUMBER(D7718)),D7718-C7718,"")</f>
        <v/>
      </c>
      <c r="Z7718" s="23" t="str">
        <f aca="false">IF(B7718="","",IF(MATCH(B7718,$B$2:$B$12000,0)=ROW()-1,1,0))</f>
        <v/>
      </c>
    </row>
    <row r="7719" customFormat="false" ht="15" hidden="false" customHeight="false" outlineLevel="0" collapsed="false">
      <c r="V7719" s="23" t="str">
        <f aca="false">IF(ISNUMBER(C7719),YEAR(C7719),"")</f>
        <v/>
      </c>
      <c r="W7719" s="23" t="str">
        <f aca="false">IF(ISNUMBER(C7719),MONTH(C7719),"")</f>
        <v/>
      </c>
      <c r="X7719" s="23" t="str">
        <f aca="false">IF(T7719="","",IF(T7719=0,"No discount",IF(T7719&lt;=0.2,"Low (1-20%)",IF(T7719&lt;=0.4,"Medium (21-40%)","High (&gt;40%)"))))</f>
        <v/>
      </c>
      <c r="Y7719" s="23" t="str">
        <f aca="false">IF(AND(ISNUMBER(C7719),ISNUMBER(D7719)),D7719-C7719,"")</f>
        <v/>
      </c>
      <c r="Z7719" s="23" t="str">
        <f aca="false">IF(B7719="","",IF(MATCH(B7719,$B$2:$B$12000,0)=ROW()-1,1,0))</f>
        <v/>
      </c>
    </row>
    <row r="7720" customFormat="false" ht="15" hidden="false" customHeight="false" outlineLevel="0" collapsed="false">
      <c r="V7720" s="23" t="str">
        <f aca="false">IF(ISNUMBER(C7720),YEAR(C7720),"")</f>
        <v/>
      </c>
      <c r="W7720" s="23" t="str">
        <f aca="false">IF(ISNUMBER(C7720),MONTH(C7720),"")</f>
        <v/>
      </c>
      <c r="X7720" s="23" t="str">
        <f aca="false">IF(T7720="","",IF(T7720=0,"No discount",IF(T7720&lt;=0.2,"Low (1-20%)",IF(T7720&lt;=0.4,"Medium (21-40%)","High (&gt;40%)"))))</f>
        <v/>
      </c>
      <c r="Y7720" s="23" t="str">
        <f aca="false">IF(AND(ISNUMBER(C7720),ISNUMBER(D7720)),D7720-C7720,"")</f>
        <v/>
      </c>
      <c r="Z7720" s="23" t="str">
        <f aca="false">IF(B7720="","",IF(MATCH(B7720,$B$2:$B$12000,0)=ROW()-1,1,0))</f>
        <v/>
      </c>
    </row>
    <row r="7721" customFormat="false" ht="15" hidden="false" customHeight="false" outlineLevel="0" collapsed="false">
      <c r="V7721" s="23" t="str">
        <f aca="false">IF(ISNUMBER(C7721),YEAR(C7721),"")</f>
        <v/>
      </c>
      <c r="W7721" s="23" t="str">
        <f aca="false">IF(ISNUMBER(C7721),MONTH(C7721),"")</f>
        <v/>
      </c>
      <c r="X7721" s="23" t="str">
        <f aca="false">IF(T7721="","",IF(T7721=0,"No discount",IF(T7721&lt;=0.2,"Low (1-20%)",IF(T7721&lt;=0.4,"Medium (21-40%)","High (&gt;40%)"))))</f>
        <v/>
      </c>
      <c r="Y7721" s="23" t="str">
        <f aca="false">IF(AND(ISNUMBER(C7721),ISNUMBER(D7721)),D7721-C7721,"")</f>
        <v/>
      </c>
      <c r="Z7721" s="23" t="str">
        <f aca="false">IF(B7721="","",IF(MATCH(B7721,$B$2:$B$12000,0)=ROW()-1,1,0))</f>
        <v/>
      </c>
    </row>
    <row r="7722" customFormat="false" ht="15" hidden="false" customHeight="false" outlineLevel="0" collapsed="false">
      <c r="V7722" s="23" t="str">
        <f aca="false">IF(ISNUMBER(C7722),YEAR(C7722),"")</f>
        <v/>
      </c>
      <c r="W7722" s="23" t="str">
        <f aca="false">IF(ISNUMBER(C7722),MONTH(C7722),"")</f>
        <v/>
      </c>
      <c r="X7722" s="23" t="str">
        <f aca="false">IF(T7722="","",IF(T7722=0,"No discount",IF(T7722&lt;=0.2,"Low (1-20%)",IF(T7722&lt;=0.4,"Medium (21-40%)","High (&gt;40%)"))))</f>
        <v/>
      </c>
      <c r="Y7722" s="23" t="str">
        <f aca="false">IF(AND(ISNUMBER(C7722),ISNUMBER(D7722)),D7722-C7722,"")</f>
        <v/>
      </c>
      <c r="Z7722" s="23" t="str">
        <f aca="false">IF(B7722="","",IF(MATCH(B7722,$B$2:$B$12000,0)=ROW()-1,1,0))</f>
        <v/>
      </c>
    </row>
    <row r="7723" customFormat="false" ht="15" hidden="false" customHeight="false" outlineLevel="0" collapsed="false">
      <c r="V7723" s="23" t="str">
        <f aca="false">IF(ISNUMBER(C7723),YEAR(C7723),"")</f>
        <v/>
      </c>
      <c r="W7723" s="23" t="str">
        <f aca="false">IF(ISNUMBER(C7723),MONTH(C7723),"")</f>
        <v/>
      </c>
      <c r="X7723" s="23" t="str">
        <f aca="false">IF(T7723="","",IF(T7723=0,"No discount",IF(T7723&lt;=0.2,"Low (1-20%)",IF(T7723&lt;=0.4,"Medium (21-40%)","High (&gt;40%)"))))</f>
        <v/>
      </c>
      <c r="Y7723" s="23" t="str">
        <f aca="false">IF(AND(ISNUMBER(C7723),ISNUMBER(D7723)),D7723-C7723,"")</f>
        <v/>
      </c>
      <c r="Z7723" s="23" t="str">
        <f aca="false">IF(B7723="","",IF(MATCH(B7723,$B$2:$B$12000,0)=ROW()-1,1,0))</f>
        <v/>
      </c>
    </row>
    <row r="7724" customFormat="false" ht="15" hidden="false" customHeight="false" outlineLevel="0" collapsed="false">
      <c r="V7724" s="23" t="str">
        <f aca="false">IF(ISNUMBER(C7724),YEAR(C7724),"")</f>
        <v/>
      </c>
      <c r="W7724" s="23" t="str">
        <f aca="false">IF(ISNUMBER(C7724),MONTH(C7724),"")</f>
        <v/>
      </c>
      <c r="X7724" s="23" t="str">
        <f aca="false">IF(T7724="","",IF(T7724=0,"No discount",IF(T7724&lt;=0.2,"Low (1-20%)",IF(T7724&lt;=0.4,"Medium (21-40%)","High (&gt;40%)"))))</f>
        <v/>
      </c>
      <c r="Y7724" s="23" t="str">
        <f aca="false">IF(AND(ISNUMBER(C7724),ISNUMBER(D7724)),D7724-C7724,"")</f>
        <v/>
      </c>
      <c r="Z7724" s="23" t="str">
        <f aca="false">IF(B7724="","",IF(MATCH(B7724,$B$2:$B$12000,0)=ROW()-1,1,0))</f>
        <v/>
      </c>
    </row>
    <row r="7725" customFormat="false" ht="15" hidden="false" customHeight="false" outlineLevel="0" collapsed="false">
      <c r="V7725" s="23" t="str">
        <f aca="false">IF(ISNUMBER(C7725),YEAR(C7725),"")</f>
        <v/>
      </c>
      <c r="W7725" s="23" t="str">
        <f aca="false">IF(ISNUMBER(C7725),MONTH(C7725),"")</f>
        <v/>
      </c>
      <c r="X7725" s="23" t="str">
        <f aca="false">IF(T7725="","",IF(T7725=0,"No discount",IF(T7725&lt;=0.2,"Low (1-20%)",IF(T7725&lt;=0.4,"Medium (21-40%)","High (&gt;40%)"))))</f>
        <v/>
      </c>
      <c r="Y7725" s="23" t="str">
        <f aca="false">IF(AND(ISNUMBER(C7725),ISNUMBER(D7725)),D7725-C7725,"")</f>
        <v/>
      </c>
      <c r="Z7725" s="23" t="str">
        <f aca="false">IF(B7725="","",IF(MATCH(B7725,$B$2:$B$12000,0)=ROW()-1,1,0))</f>
        <v/>
      </c>
    </row>
    <row r="7726" customFormat="false" ht="15" hidden="false" customHeight="false" outlineLevel="0" collapsed="false">
      <c r="V7726" s="23" t="str">
        <f aca="false">IF(ISNUMBER(C7726),YEAR(C7726),"")</f>
        <v/>
      </c>
      <c r="W7726" s="23" t="str">
        <f aca="false">IF(ISNUMBER(C7726),MONTH(C7726),"")</f>
        <v/>
      </c>
      <c r="X7726" s="23" t="str">
        <f aca="false">IF(T7726="","",IF(T7726=0,"No discount",IF(T7726&lt;=0.2,"Low (1-20%)",IF(T7726&lt;=0.4,"Medium (21-40%)","High (&gt;40%)"))))</f>
        <v/>
      </c>
      <c r="Y7726" s="23" t="str">
        <f aca="false">IF(AND(ISNUMBER(C7726),ISNUMBER(D7726)),D7726-C7726,"")</f>
        <v/>
      </c>
      <c r="Z7726" s="23" t="str">
        <f aca="false">IF(B7726="","",IF(MATCH(B7726,$B$2:$B$12000,0)=ROW()-1,1,0))</f>
        <v/>
      </c>
    </row>
    <row r="7727" customFormat="false" ht="15" hidden="false" customHeight="false" outlineLevel="0" collapsed="false">
      <c r="V7727" s="23" t="str">
        <f aca="false">IF(ISNUMBER(C7727),YEAR(C7727),"")</f>
        <v/>
      </c>
      <c r="W7727" s="23" t="str">
        <f aca="false">IF(ISNUMBER(C7727),MONTH(C7727),"")</f>
        <v/>
      </c>
      <c r="X7727" s="23" t="str">
        <f aca="false">IF(T7727="","",IF(T7727=0,"No discount",IF(T7727&lt;=0.2,"Low (1-20%)",IF(T7727&lt;=0.4,"Medium (21-40%)","High (&gt;40%)"))))</f>
        <v/>
      </c>
      <c r="Y7727" s="23" t="str">
        <f aca="false">IF(AND(ISNUMBER(C7727),ISNUMBER(D7727)),D7727-C7727,"")</f>
        <v/>
      </c>
      <c r="Z7727" s="23" t="str">
        <f aca="false">IF(B7727="","",IF(MATCH(B7727,$B$2:$B$12000,0)=ROW()-1,1,0))</f>
        <v/>
      </c>
    </row>
    <row r="7728" customFormat="false" ht="15" hidden="false" customHeight="false" outlineLevel="0" collapsed="false">
      <c r="V7728" s="23" t="str">
        <f aca="false">IF(ISNUMBER(C7728),YEAR(C7728),"")</f>
        <v/>
      </c>
      <c r="W7728" s="23" t="str">
        <f aca="false">IF(ISNUMBER(C7728),MONTH(C7728),"")</f>
        <v/>
      </c>
      <c r="X7728" s="23" t="str">
        <f aca="false">IF(T7728="","",IF(T7728=0,"No discount",IF(T7728&lt;=0.2,"Low (1-20%)",IF(T7728&lt;=0.4,"Medium (21-40%)","High (&gt;40%)"))))</f>
        <v/>
      </c>
      <c r="Y7728" s="23" t="str">
        <f aca="false">IF(AND(ISNUMBER(C7728),ISNUMBER(D7728)),D7728-C7728,"")</f>
        <v/>
      </c>
      <c r="Z7728" s="23" t="str">
        <f aca="false">IF(B7728="","",IF(MATCH(B7728,$B$2:$B$12000,0)=ROW()-1,1,0))</f>
        <v/>
      </c>
    </row>
    <row r="7729" customFormat="false" ht="15" hidden="false" customHeight="false" outlineLevel="0" collapsed="false">
      <c r="V7729" s="23" t="str">
        <f aca="false">IF(ISNUMBER(C7729),YEAR(C7729),"")</f>
        <v/>
      </c>
      <c r="W7729" s="23" t="str">
        <f aca="false">IF(ISNUMBER(C7729),MONTH(C7729),"")</f>
        <v/>
      </c>
      <c r="X7729" s="23" t="str">
        <f aca="false">IF(T7729="","",IF(T7729=0,"No discount",IF(T7729&lt;=0.2,"Low (1-20%)",IF(T7729&lt;=0.4,"Medium (21-40%)","High (&gt;40%)"))))</f>
        <v/>
      </c>
      <c r="Y7729" s="23" t="str">
        <f aca="false">IF(AND(ISNUMBER(C7729),ISNUMBER(D7729)),D7729-C7729,"")</f>
        <v/>
      </c>
      <c r="Z7729" s="23" t="str">
        <f aca="false">IF(B7729="","",IF(MATCH(B7729,$B$2:$B$12000,0)=ROW()-1,1,0))</f>
        <v/>
      </c>
    </row>
    <row r="7730" customFormat="false" ht="15" hidden="false" customHeight="false" outlineLevel="0" collapsed="false">
      <c r="V7730" s="23" t="str">
        <f aca="false">IF(ISNUMBER(C7730),YEAR(C7730),"")</f>
        <v/>
      </c>
      <c r="W7730" s="23" t="str">
        <f aca="false">IF(ISNUMBER(C7730),MONTH(C7730),"")</f>
        <v/>
      </c>
      <c r="X7730" s="23" t="str">
        <f aca="false">IF(T7730="","",IF(T7730=0,"No discount",IF(T7730&lt;=0.2,"Low (1-20%)",IF(T7730&lt;=0.4,"Medium (21-40%)","High (&gt;40%)"))))</f>
        <v/>
      </c>
      <c r="Y7730" s="23" t="str">
        <f aca="false">IF(AND(ISNUMBER(C7730),ISNUMBER(D7730)),D7730-C7730,"")</f>
        <v/>
      </c>
      <c r="Z7730" s="23" t="str">
        <f aca="false">IF(B7730="","",IF(MATCH(B7730,$B$2:$B$12000,0)=ROW()-1,1,0))</f>
        <v/>
      </c>
    </row>
    <row r="7731" customFormat="false" ht="15" hidden="false" customHeight="false" outlineLevel="0" collapsed="false">
      <c r="V7731" s="23" t="str">
        <f aca="false">IF(ISNUMBER(C7731),YEAR(C7731),"")</f>
        <v/>
      </c>
      <c r="W7731" s="23" t="str">
        <f aca="false">IF(ISNUMBER(C7731),MONTH(C7731),"")</f>
        <v/>
      </c>
      <c r="X7731" s="23" t="str">
        <f aca="false">IF(T7731="","",IF(T7731=0,"No discount",IF(T7731&lt;=0.2,"Low (1-20%)",IF(T7731&lt;=0.4,"Medium (21-40%)","High (&gt;40%)"))))</f>
        <v/>
      </c>
      <c r="Y7731" s="23" t="str">
        <f aca="false">IF(AND(ISNUMBER(C7731),ISNUMBER(D7731)),D7731-C7731,"")</f>
        <v/>
      </c>
      <c r="Z7731" s="23" t="str">
        <f aca="false">IF(B7731="","",IF(MATCH(B7731,$B$2:$B$12000,0)=ROW()-1,1,0))</f>
        <v/>
      </c>
    </row>
    <row r="7732" customFormat="false" ht="15" hidden="false" customHeight="false" outlineLevel="0" collapsed="false">
      <c r="V7732" s="23" t="str">
        <f aca="false">IF(ISNUMBER(C7732),YEAR(C7732),"")</f>
        <v/>
      </c>
      <c r="W7732" s="23" t="str">
        <f aca="false">IF(ISNUMBER(C7732),MONTH(C7732),"")</f>
        <v/>
      </c>
      <c r="X7732" s="23" t="str">
        <f aca="false">IF(T7732="","",IF(T7732=0,"No discount",IF(T7732&lt;=0.2,"Low (1-20%)",IF(T7732&lt;=0.4,"Medium (21-40%)","High (&gt;40%)"))))</f>
        <v/>
      </c>
      <c r="Y7732" s="23" t="str">
        <f aca="false">IF(AND(ISNUMBER(C7732),ISNUMBER(D7732)),D7732-C7732,"")</f>
        <v/>
      </c>
      <c r="Z7732" s="23" t="str">
        <f aca="false">IF(B7732="","",IF(MATCH(B7732,$B$2:$B$12000,0)=ROW()-1,1,0))</f>
        <v/>
      </c>
    </row>
    <row r="7733" customFormat="false" ht="15" hidden="false" customHeight="false" outlineLevel="0" collapsed="false">
      <c r="V7733" s="23" t="str">
        <f aca="false">IF(ISNUMBER(C7733),YEAR(C7733),"")</f>
        <v/>
      </c>
      <c r="W7733" s="23" t="str">
        <f aca="false">IF(ISNUMBER(C7733),MONTH(C7733),"")</f>
        <v/>
      </c>
      <c r="X7733" s="23" t="str">
        <f aca="false">IF(T7733="","",IF(T7733=0,"No discount",IF(T7733&lt;=0.2,"Low (1-20%)",IF(T7733&lt;=0.4,"Medium (21-40%)","High (&gt;40%)"))))</f>
        <v/>
      </c>
      <c r="Y7733" s="23" t="str">
        <f aca="false">IF(AND(ISNUMBER(C7733),ISNUMBER(D7733)),D7733-C7733,"")</f>
        <v/>
      </c>
      <c r="Z7733" s="23" t="str">
        <f aca="false">IF(B7733="","",IF(MATCH(B7733,$B$2:$B$12000,0)=ROW()-1,1,0))</f>
        <v/>
      </c>
    </row>
    <row r="7734" customFormat="false" ht="15" hidden="false" customHeight="false" outlineLevel="0" collapsed="false">
      <c r="V7734" s="23" t="str">
        <f aca="false">IF(ISNUMBER(C7734),YEAR(C7734),"")</f>
        <v/>
      </c>
      <c r="W7734" s="23" t="str">
        <f aca="false">IF(ISNUMBER(C7734),MONTH(C7734),"")</f>
        <v/>
      </c>
      <c r="X7734" s="23" t="str">
        <f aca="false">IF(T7734="","",IF(T7734=0,"No discount",IF(T7734&lt;=0.2,"Low (1-20%)",IF(T7734&lt;=0.4,"Medium (21-40%)","High (&gt;40%)"))))</f>
        <v/>
      </c>
      <c r="Y7734" s="23" t="str">
        <f aca="false">IF(AND(ISNUMBER(C7734),ISNUMBER(D7734)),D7734-C7734,"")</f>
        <v/>
      </c>
      <c r="Z7734" s="23" t="str">
        <f aca="false">IF(B7734="","",IF(MATCH(B7734,$B$2:$B$12000,0)=ROW()-1,1,0))</f>
        <v/>
      </c>
    </row>
    <row r="7735" customFormat="false" ht="15" hidden="false" customHeight="false" outlineLevel="0" collapsed="false">
      <c r="V7735" s="23" t="str">
        <f aca="false">IF(ISNUMBER(C7735),YEAR(C7735),"")</f>
        <v/>
      </c>
      <c r="W7735" s="23" t="str">
        <f aca="false">IF(ISNUMBER(C7735),MONTH(C7735),"")</f>
        <v/>
      </c>
      <c r="X7735" s="23" t="str">
        <f aca="false">IF(T7735="","",IF(T7735=0,"No discount",IF(T7735&lt;=0.2,"Low (1-20%)",IF(T7735&lt;=0.4,"Medium (21-40%)","High (&gt;40%)"))))</f>
        <v/>
      </c>
      <c r="Y7735" s="23" t="str">
        <f aca="false">IF(AND(ISNUMBER(C7735),ISNUMBER(D7735)),D7735-C7735,"")</f>
        <v/>
      </c>
      <c r="Z7735" s="23" t="str">
        <f aca="false">IF(B7735="","",IF(MATCH(B7735,$B$2:$B$12000,0)=ROW()-1,1,0))</f>
        <v/>
      </c>
    </row>
    <row r="7736" customFormat="false" ht="15" hidden="false" customHeight="false" outlineLevel="0" collapsed="false">
      <c r="V7736" s="23" t="str">
        <f aca="false">IF(ISNUMBER(C7736),YEAR(C7736),"")</f>
        <v/>
      </c>
      <c r="W7736" s="23" t="str">
        <f aca="false">IF(ISNUMBER(C7736),MONTH(C7736),"")</f>
        <v/>
      </c>
      <c r="X7736" s="23" t="str">
        <f aca="false">IF(T7736="","",IF(T7736=0,"No discount",IF(T7736&lt;=0.2,"Low (1-20%)",IF(T7736&lt;=0.4,"Medium (21-40%)","High (&gt;40%)"))))</f>
        <v/>
      </c>
      <c r="Y7736" s="23" t="str">
        <f aca="false">IF(AND(ISNUMBER(C7736),ISNUMBER(D7736)),D7736-C7736,"")</f>
        <v/>
      </c>
      <c r="Z7736" s="23" t="str">
        <f aca="false">IF(B7736="","",IF(MATCH(B7736,$B$2:$B$12000,0)=ROW()-1,1,0))</f>
        <v/>
      </c>
    </row>
    <row r="7737" customFormat="false" ht="15" hidden="false" customHeight="false" outlineLevel="0" collapsed="false">
      <c r="V7737" s="23" t="str">
        <f aca="false">IF(ISNUMBER(C7737),YEAR(C7737),"")</f>
        <v/>
      </c>
      <c r="W7737" s="23" t="str">
        <f aca="false">IF(ISNUMBER(C7737),MONTH(C7737),"")</f>
        <v/>
      </c>
      <c r="X7737" s="23" t="str">
        <f aca="false">IF(T7737="","",IF(T7737=0,"No discount",IF(T7737&lt;=0.2,"Low (1-20%)",IF(T7737&lt;=0.4,"Medium (21-40%)","High (&gt;40%)"))))</f>
        <v/>
      </c>
      <c r="Y7737" s="23" t="str">
        <f aca="false">IF(AND(ISNUMBER(C7737),ISNUMBER(D7737)),D7737-C7737,"")</f>
        <v/>
      </c>
      <c r="Z7737" s="23" t="str">
        <f aca="false">IF(B7737="","",IF(MATCH(B7737,$B$2:$B$12000,0)=ROW()-1,1,0))</f>
        <v/>
      </c>
    </row>
    <row r="7738" customFormat="false" ht="15" hidden="false" customHeight="false" outlineLevel="0" collapsed="false">
      <c r="V7738" s="23" t="str">
        <f aca="false">IF(ISNUMBER(C7738),YEAR(C7738),"")</f>
        <v/>
      </c>
      <c r="W7738" s="23" t="str">
        <f aca="false">IF(ISNUMBER(C7738),MONTH(C7738),"")</f>
        <v/>
      </c>
      <c r="X7738" s="23" t="str">
        <f aca="false">IF(T7738="","",IF(T7738=0,"No discount",IF(T7738&lt;=0.2,"Low (1-20%)",IF(T7738&lt;=0.4,"Medium (21-40%)","High (&gt;40%)"))))</f>
        <v/>
      </c>
      <c r="Y7738" s="23" t="str">
        <f aca="false">IF(AND(ISNUMBER(C7738),ISNUMBER(D7738)),D7738-C7738,"")</f>
        <v/>
      </c>
      <c r="Z7738" s="23" t="str">
        <f aca="false">IF(B7738="","",IF(MATCH(B7738,$B$2:$B$12000,0)=ROW()-1,1,0))</f>
        <v/>
      </c>
    </row>
    <row r="7739" customFormat="false" ht="15" hidden="false" customHeight="false" outlineLevel="0" collapsed="false">
      <c r="V7739" s="23" t="str">
        <f aca="false">IF(ISNUMBER(C7739),YEAR(C7739),"")</f>
        <v/>
      </c>
      <c r="W7739" s="23" t="str">
        <f aca="false">IF(ISNUMBER(C7739),MONTH(C7739),"")</f>
        <v/>
      </c>
      <c r="X7739" s="23" t="str">
        <f aca="false">IF(T7739="","",IF(T7739=0,"No discount",IF(T7739&lt;=0.2,"Low (1-20%)",IF(T7739&lt;=0.4,"Medium (21-40%)","High (&gt;40%)"))))</f>
        <v/>
      </c>
      <c r="Y7739" s="23" t="str">
        <f aca="false">IF(AND(ISNUMBER(C7739),ISNUMBER(D7739)),D7739-C7739,"")</f>
        <v/>
      </c>
      <c r="Z7739" s="23" t="str">
        <f aca="false">IF(B7739="","",IF(MATCH(B7739,$B$2:$B$12000,0)=ROW()-1,1,0))</f>
        <v/>
      </c>
    </row>
    <row r="7740" customFormat="false" ht="15" hidden="false" customHeight="false" outlineLevel="0" collapsed="false">
      <c r="V7740" s="23" t="str">
        <f aca="false">IF(ISNUMBER(C7740),YEAR(C7740),"")</f>
        <v/>
      </c>
      <c r="W7740" s="23" t="str">
        <f aca="false">IF(ISNUMBER(C7740),MONTH(C7740),"")</f>
        <v/>
      </c>
      <c r="X7740" s="23" t="str">
        <f aca="false">IF(T7740="","",IF(T7740=0,"No discount",IF(T7740&lt;=0.2,"Low (1-20%)",IF(T7740&lt;=0.4,"Medium (21-40%)","High (&gt;40%)"))))</f>
        <v/>
      </c>
      <c r="Y7740" s="23" t="str">
        <f aca="false">IF(AND(ISNUMBER(C7740),ISNUMBER(D7740)),D7740-C7740,"")</f>
        <v/>
      </c>
      <c r="Z7740" s="23" t="str">
        <f aca="false">IF(B7740="","",IF(MATCH(B7740,$B$2:$B$12000,0)=ROW()-1,1,0))</f>
        <v/>
      </c>
    </row>
    <row r="7741" customFormat="false" ht="15" hidden="false" customHeight="false" outlineLevel="0" collapsed="false">
      <c r="V7741" s="23" t="str">
        <f aca="false">IF(ISNUMBER(C7741),YEAR(C7741),"")</f>
        <v/>
      </c>
      <c r="W7741" s="23" t="str">
        <f aca="false">IF(ISNUMBER(C7741),MONTH(C7741),"")</f>
        <v/>
      </c>
      <c r="X7741" s="23" t="str">
        <f aca="false">IF(T7741="","",IF(T7741=0,"No discount",IF(T7741&lt;=0.2,"Low (1-20%)",IF(T7741&lt;=0.4,"Medium (21-40%)","High (&gt;40%)"))))</f>
        <v/>
      </c>
      <c r="Y7741" s="23" t="str">
        <f aca="false">IF(AND(ISNUMBER(C7741),ISNUMBER(D7741)),D7741-C7741,"")</f>
        <v/>
      </c>
      <c r="Z7741" s="23" t="str">
        <f aca="false">IF(B7741="","",IF(MATCH(B7741,$B$2:$B$12000,0)=ROW()-1,1,0))</f>
        <v/>
      </c>
    </row>
    <row r="7742" customFormat="false" ht="15" hidden="false" customHeight="false" outlineLevel="0" collapsed="false">
      <c r="V7742" s="23" t="str">
        <f aca="false">IF(ISNUMBER(C7742),YEAR(C7742),"")</f>
        <v/>
      </c>
      <c r="W7742" s="23" t="str">
        <f aca="false">IF(ISNUMBER(C7742),MONTH(C7742),"")</f>
        <v/>
      </c>
      <c r="X7742" s="23" t="str">
        <f aca="false">IF(T7742="","",IF(T7742=0,"No discount",IF(T7742&lt;=0.2,"Low (1-20%)",IF(T7742&lt;=0.4,"Medium (21-40%)","High (&gt;40%)"))))</f>
        <v/>
      </c>
      <c r="Y7742" s="23" t="str">
        <f aca="false">IF(AND(ISNUMBER(C7742),ISNUMBER(D7742)),D7742-C7742,"")</f>
        <v/>
      </c>
      <c r="Z7742" s="23" t="str">
        <f aca="false">IF(B7742="","",IF(MATCH(B7742,$B$2:$B$12000,0)=ROW()-1,1,0))</f>
        <v/>
      </c>
    </row>
    <row r="7743" customFormat="false" ht="15" hidden="false" customHeight="false" outlineLevel="0" collapsed="false">
      <c r="V7743" s="23" t="str">
        <f aca="false">IF(ISNUMBER(C7743),YEAR(C7743),"")</f>
        <v/>
      </c>
      <c r="W7743" s="23" t="str">
        <f aca="false">IF(ISNUMBER(C7743),MONTH(C7743),"")</f>
        <v/>
      </c>
      <c r="X7743" s="23" t="str">
        <f aca="false">IF(T7743="","",IF(T7743=0,"No discount",IF(T7743&lt;=0.2,"Low (1-20%)",IF(T7743&lt;=0.4,"Medium (21-40%)","High (&gt;40%)"))))</f>
        <v/>
      </c>
      <c r="Y7743" s="23" t="str">
        <f aca="false">IF(AND(ISNUMBER(C7743),ISNUMBER(D7743)),D7743-C7743,"")</f>
        <v/>
      </c>
      <c r="Z7743" s="23" t="str">
        <f aca="false">IF(B7743="","",IF(MATCH(B7743,$B$2:$B$12000,0)=ROW()-1,1,0))</f>
        <v/>
      </c>
    </row>
    <row r="7744" customFormat="false" ht="15" hidden="false" customHeight="false" outlineLevel="0" collapsed="false">
      <c r="V7744" s="23" t="str">
        <f aca="false">IF(ISNUMBER(C7744),YEAR(C7744),"")</f>
        <v/>
      </c>
      <c r="W7744" s="23" t="str">
        <f aca="false">IF(ISNUMBER(C7744),MONTH(C7744),"")</f>
        <v/>
      </c>
      <c r="X7744" s="23" t="str">
        <f aca="false">IF(T7744="","",IF(T7744=0,"No discount",IF(T7744&lt;=0.2,"Low (1-20%)",IF(T7744&lt;=0.4,"Medium (21-40%)","High (&gt;40%)"))))</f>
        <v/>
      </c>
      <c r="Y7744" s="23" t="str">
        <f aca="false">IF(AND(ISNUMBER(C7744),ISNUMBER(D7744)),D7744-C7744,"")</f>
        <v/>
      </c>
      <c r="Z7744" s="23" t="str">
        <f aca="false">IF(B7744="","",IF(MATCH(B7744,$B$2:$B$12000,0)=ROW()-1,1,0))</f>
        <v/>
      </c>
    </row>
    <row r="7745" customFormat="false" ht="15" hidden="false" customHeight="false" outlineLevel="0" collapsed="false">
      <c r="V7745" s="23" t="str">
        <f aca="false">IF(ISNUMBER(C7745),YEAR(C7745),"")</f>
        <v/>
      </c>
      <c r="W7745" s="23" t="str">
        <f aca="false">IF(ISNUMBER(C7745),MONTH(C7745),"")</f>
        <v/>
      </c>
      <c r="X7745" s="23" t="str">
        <f aca="false">IF(T7745="","",IF(T7745=0,"No discount",IF(T7745&lt;=0.2,"Low (1-20%)",IF(T7745&lt;=0.4,"Medium (21-40%)","High (&gt;40%)"))))</f>
        <v/>
      </c>
      <c r="Y7745" s="23" t="str">
        <f aca="false">IF(AND(ISNUMBER(C7745),ISNUMBER(D7745)),D7745-C7745,"")</f>
        <v/>
      </c>
      <c r="Z7745" s="23" t="str">
        <f aca="false">IF(B7745="","",IF(MATCH(B7745,$B$2:$B$12000,0)=ROW()-1,1,0))</f>
        <v/>
      </c>
    </row>
    <row r="7746" customFormat="false" ht="15" hidden="false" customHeight="false" outlineLevel="0" collapsed="false">
      <c r="V7746" s="23" t="str">
        <f aca="false">IF(ISNUMBER(C7746),YEAR(C7746),"")</f>
        <v/>
      </c>
      <c r="W7746" s="23" t="str">
        <f aca="false">IF(ISNUMBER(C7746),MONTH(C7746),"")</f>
        <v/>
      </c>
      <c r="X7746" s="23" t="str">
        <f aca="false">IF(T7746="","",IF(T7746=0,"No discount",IF(T7746&lt;=0.2,"Low (1-20%)",IF(T7746&lt;=0.4,"Medium (21-40%)","High (&gt;40%)"))))</f>
        <v/>
      </c>
      <c r="Y7746" s="23" t="str">
        <f aca="false">IF(AND(ISNUMBER(C7746),ISNUMBER(D7746)),D7746-C7746,"")</f>
        <v/>
      </c>
      <c r="Z7746" s="23" t="str">
        <f aca="false">IF(B7746="","",IF(MATCH(B7746,$B$2:$B$12000,0)=ROW()-1,1,0))</f>
        <v/>
      </c>
    </row>
    <row r="7747" customFormat="false" ht="15" hidden="false" customHeight="false" outlineLevel="0" collapsed="false">
      <c r="V7747" s="23" t="str">
        <f aca="false">IF(ISNUMBER(C7747),YEAR(C7747),"")</f>
        <v/>
      </c>
      <c r="W7747" s="23" t="str">
        <f aca="false">IF(ISNUMBER(C7747),MONTH(C7747),"")</f>
        <v/>
      </c>
      <c r="X7747" s="23" t="str">
        <f aca="false">IF(T7747="","",IF(T7747=0,"No discount",IF(T7747&lt;=0.2,"Low (1-20%)",IF(T7747&lt;=0.4,"Medium (21-40%)","High (&gt;40%)"))))</f>
        <v/>
      </c>
      <c r="Y7747" s="23" t="str">
        <f aca="false">IF(AND(ISNUMBER(C7747),ISNUMBER(D7747)),D7747-C7747,"")</f>
        <v/>
      </c>
      <c r="Z7747" s="23" t="str">
        <f aca="false">IF(B7747="","",IF(MATCH(B7747,$B$2:$B$12000,0)=ROW()-1,1,0))</f>
        <v/>
      </c>
    </row>
    <row r="7748" customFormat="false" ht="15" hidden="false" customHeight="false" outlineLevel="0" collapsed="false">
      <c r="V7748" s="23" t="str">
        <f aca="false">IF(ISNUMBER(C7748),YEAR(C7748),"")</f>
        <v/>
      </c>
      <c r="W7748" s="23" t="str">
        <f aca="false">IF(ISNUMBER(C7748),MONTH(C7748),"")</f>
        <v/>
      </c>
      <c r="X7748" s="23" t="str">
        <f aca="false">IF(T7748="","",IF(T7748=0,"No discount",IF(T7748&lt;=0.2,"Low (1-20%)",IF(T7748&lt;=0.4,"Medium (21-40%)","High (&gt;40%)"))))</f>
        <v/>
      </c>
      <c r="Y7748" s="23" t="str">
        <f aca="false">IF(AND(ISNUMBER(C7748),ISNUMBER(D7748)),D7748-C7748,"")</f>
        <v/>
      </c>
      <c r="Z7748" s="23" t="str">
        <f aca="false">IF(B7748="","",IF(MATCH(B7748,$B$2:$B$12000,0)=ROW()-1,1,0))</f>
        <v/>
      </c>
    </row>
    <row r="7749" customFormat="false" ht="15" hidden="false" customHeight="false" outlineLevel="0" collapsed="false">
      <c r="V7749" s="23" t="str">
        <f aca="false">IF(ISNUMBER(C7749),YEAR(C7749),"")</f>
        <v/>
      </c>
      <c r="W7749" s="23" t="str">
        <f aca="false">IF(ISNUMBER(C7749),MONTH(C7749),"")</f>
        <v/>
      </c>
      <c r="X7749" s="23" t="str">
        <f aca="false">IF(T7749="","",IF(T7749=0,"No discount",IF(T7749&lt;=0.2,"Low (1-20%)",IF(T7749&lt;=0.4,"Medium (21-40%)","High (&gt;40%)"))))</f>
        <v/>
      </c>
      <c r="Y7749" s="23" t="str">
        <f aca="false">IF(AND(ISNUMBER(C7749),ISNUMBER(D7749)),D7749-C7749,"")</f>
        <v/>
      </c>
      <c r="Z7749" s="23" t="str">
        <f aca="false">IF(B7749="","",IF(MATCH(B7749,$B$2:$B$12000,0)=ROW()-1,1,0))</f>
        <v/>
      </c>
    </row>
    <row r="7750" customFormat="false" ht="15" hidden="false" customHeight="false" outlineLevel="0" collapsed="false">
      <c r="V7750" s="23" t="str">
        <f aca="false">IF(ISNUMBER(C7750),YEAR(C7750),"")</f>
        <v/>
      </c>
      <c r="W7750" s="23" t="str">
        <f aca="false">IF(ISNUMBER(C7750),MONTH(C7750),"")</f>
        <v/>
      </c>
      <c r="X7750" s="23" t="str">
        <f aca="false">IF(T7750="","",IF(T7750=0,"No discount",IF(T7750&lt;=0.2,"Low (1-20%)",IF(T7750&lt;=0.4,"Medium (21-40%)","High (&gt;40%)"))))</f>
        <v/>
      </c>
      <c r="Y7750" s="23" t="str">
        <f aca="false">IF(AND(ISNUMBER(C7750),ISNUMBER(D7750)),D7750-C7750,"")</f>
        <v/>
      </c>
      <c r="Z7750" s="23" t="str">
        <f aca="false">IF(B7750="","",IF(MATCH(B7750,$B$2:$B$12000,0)=ROW()-1,1,0))</f>
        <v/>
      </c>
    </row>
    <row r="7751" customFormat="false" ht="15" hidden="false" customHeight="false" outlineLevel="0" collapsed="false">
      <c r="V7751" s="23" t="str">
        <f aca="false">IF(ISNUMBER(C7751),YEAR(C7751),"")</f>
        <v/>
      </c>
      <c r="W7751" s="23" t="str">
        <f aca="false">IF(ISNUMBER(C7751),MONTH(C7751),"")</f>
        <v/>
      </c>
      <c r="X7751" s="23" t="str">
        <f aca="false">IF(T7751="","",IF(T7751=0,"No discount",IF(T7751&lt;=0.2,"Low (1-20%)",IF(T7751&lt;=0.4,"Medium (21-40%)","High (&gt;40%)"))))</f>
        <v/>
      </c>
      <c r="Y7751" s="23" t="str">
        <f aca="false">IF(AND(ISNUMBER(C7751),ISNUMBER(D7751)),D7751-C7751,"")</f>
        <v/>
      </c>
      <c r="Z7751" s="23" t="str">
        <f aca="false">IF(B7751="","",IF(MATCH(B7751,$B$2:$B$12000,0)=ROW()-1,1,0))</f>
        <v/>
      </c>
    </row>
    <row r="7752" customFormat="false" ht="15" hidden="false" customHeight="false" outlineLevel="0" collapsed="false">
      <c r="V7752" s="23" t="str">
        <f aca="false">IF(ISNUMBER(C7752),YEAR(C7752),"")</f>
        <v/>
      </c>
      <c r="W7752" s="23" t="str">
        <f aca="false">IF(ISNUMBER(C7752),MONTH(C7752),"")</f>
        <v/>
      </c>
      <c r="X7752" s="23" t="str">
        <f aca="false">IF(T7752="","",IF(T7752=0,"No discount",IF(T7752&lt;=0.2,"Low (1-20%)",IF(T7752&lt;=0.4,"Medium (21-40%)","High (&gt;40%)"))))</f>
        <v/>
      </c>
      <c r="Y7752" s="23" t="str">
        <f aca="false">IF(AND(ISNUMBER(C7752),ISNUMBER(D7752)),D7752-C7752,"")</f>
        <v/>
      </c>
      <c r="Z7752" s="23" t="str">
        <f aca="false">IF(B7752="","",IF(MATCH(B7752,$B$2:$B$12000,0)=ROW()-1,1,0))</f>
        <v/>
      </c>
    </row>
    <row r="7753" customFormat="false" ht="15" hidden="false" customHeight="false" outlineLevel="0" collapsed="false">
      <c r="V7753" s="23" t="str">
        <f aca="false">IF(ISNUMBER(C7753),YEAR(C7753),"")</f>
        <v/>
      </c>
      <c r="W7753" s="23" t="str">
        <f aca="false">IF(ISNUMBER(C7753),MONTH(C7753),"")</f>
        <v/>
      </c>
      <c r="X7753" s="23" t="str">
        <f aca="false">IF(T7753="","",IF(T7753=0,"No discount",IF(T7753&lt;=0.2,"Low (1-20%)",IF(T7753&lt;=0.4,"Medium (21-40%)","High (&gt;40%)"))))</f>
        <v/>
      </c>
      <c r="Y7753" s="23" t="str">
        <f aca="false">IF(AND(ISNUMBER(C7753),ISNUMBER(D7753)),D7753-C7753,"")</f>
        <v/>
      </c>
      <c r="Z7753" s="23" t="str">
        <f aca="false">IF(B7753="","",IF(MATCH(B7753,$B$2:$B$12000,0)=ROW()-1,1,0))</f>
        <v/>
      </c>
    </row>
    <row r="7754" customFormat="false" ht="15" hidden="false" customHeight="false" outlineLevel="0" collapsed="false">
      <c r="V7754" s="23" t="str">
        <f aca="false">IF(ISNUMBER(C7754),YEAR(C7754),"")</f>
        <v/>
      </c>
      <c r="W7754" s="23" t="str">
        <f aca="false">IF(ISNUMBER(C7754),MONTH(C7754),"")</f>
        <v/>
      </c>
      <c r="X7754" s="23" t="str">
        <f aca="false">IF(T7754="","",IF(T7754=0,"No discount",IF(T7754&lt;=0.2,"Low (1-20%)",IF(T7754&lt;=0.4,"Medium (21-40%)","High (&gt;40%)"))))</f>
        <v/>
      </c>
      <c r="Y7754" s="23" t="str">
        <f aca="false">IF(AND(ISNUMBER(C7754),ISNUMBER(D7754)),D7754-C7754,"")</f>
        <v/>
      </c>
      <c r="Z7754" s="23" t="str">
        <f aca="false">IF(B7754="","",IF(MATCH(B7754,$B$2:$B$12000,0)=ROW()-1,1,0))</f>
        <v/>
      </c>
    </row>
    <row r="7755" customFormat="false" ht="15" hidden="false" customHeight="false" outlineLevel="0" collapsed="false">
      <c r="V7755" s="23" t="str">
        <f aca="false">IF(ISNUMBER(C7755),YEAR(C7755),"")</f>
        <v/>
      </c>
      <c r="W7755" s="23" t="str">
        <f aca="false">IF(ISNUMBER(C7755),MONTH(C7755),"")</f>
        <v/>
      </c>
      <c r="X7755" s="23" t="str">
        <f aca="false">IF(T7755="","",IF(T7755=0,"No discount",IF(T7755&lt;=0.2,"Low (1-20%)",IF(T7755&lt;=0.4,"Medium (21-40%)","High (&gt;40%)"))))</f>
        <v/>
      </c>
      <c r="Y7755" s="23" t="str">
        <f aca="false">IF(AND(ISNUMBER(C7755),ISNUMBER(D7755)),D7755-C7755,"")</f>
        <v/>
      </c>
      <c r="Z7755" s="23" t="str">
        <f aca="false">IF(B7755="","",IF(MATCH(B7755,$B$2:$B$12000,0)=ROW()-1,1,0))</f>
        <v/>
      </c>
    </row>
    <row r="7756" customFormat="false" ht="15" hidden="false" customHeight="false" outlineLevel="0" collapsed="false">
      <c r="V7756" s="23" t="str">
        <f aca="false">IF(ISNUMBER(C7756),YEAR(C7756),"")</f>
        <v/>
      </c>
      <c r="W7756" s="23" t="str">
        <f aca="false">IF(ISNUMBER(C7756),MONTH(C7756),"")</f>
        <v/>
      </c>
      <c r="X7756" s="23" t="str">
        <f aca="false">IF(T7756="","",IF(T7756=0,"No discount",IF(T7756&lt;=0.2,"Low (1-20%)",IF(T7756&lt;=0.4,"Medium (21-40%)","High (&gt;40%)"))))</f>
        <v/>
      </c>
      <c r="Y7756" s="23" t="str">
        <f aca="false">IF(AND(ISNUMBER(C7756),ISNUMBER(D7756)),D7756-C7756,"")</f>
        <v/>
      </c>
      <c r="Z7756" s="23" t="str">
        <f aca="false">IF(B7756="","",IF(MATCH(B7756,$B$2:$B$12000,0)=ROW()-1,1,0))</f>
        <v/>
      </c>
    </row>
    <row r="7757" customFormat="false" ht="15" hidden="false" customHeight="false" outlineLevel="0" collapsed="false">
      <c r="V7757" s="23" t="str">
        <f aca="false">IF(ISNUMBER(C7757),YEAR(C7757),"")</f>
        <v/>
      </c>
      <c r="W7757" s="23" t="str">
        <f aca="false">IF(ISNUMBER(C7757),MONTH(C7757),"")</f>
        <v/>
      </c>
      <c r="X7757" s="23" t="str">
        <f aca="false">IF(T7757="","",IF(T7757=0,"No discount",IF(T7757&lt;=0.2,"Low (1-20%)",IF(T7757&lt;=0.4,"Medium (21-40%)","High (&gt;40%)"))))</f>
        <v/>
      </c>
      <c r="Y7757" s="23" t="str">
        <f aca="false">IF(AND(ISNUMBER(C7757),ISNUMBER(D7757)),D7757-C7757,"")</f>
        <v/>
      </c>
      <c r="Z7757" s="23" t="str">
        <f aca="false">IF(B7757="","",IF(MATCH(B7757,$B$2:$B$12000,0)=ROW()-1,1,0))</f>
        <v/>
      </c>
    </row>
    <row r="7758" customFormat="false" ht="15" hidden="false" customHeight="false" outlineLevel="0" collapsed="false">
      <c r="V7758" s="23" t="str">
        <f aca="false">IF(ISNUMBER(C7758),YEAR(C7758),"")</f>
        <v/>
      </c>
      <c r="W7758" s="23" t="str">
        <f aca="false">IF(ISNUMBER(C7758),MONTH(C7758),"")</f>
        <v/>
      </c>
      <c r="X7758" s="23" t="str">
        <f aca="false">IF(T7758="","",IF(T7758=0,"No discount",IF(T7758&lt;=0.2,"Low (1-20%)",IF(T7758&lt;=0.4,"Medium (21-40%)","High (&gt;40%)"))))</f>
        <v/>
      </c>
      <c r="Y7758" s="23" t="str">
        <f aca="false">IF(AND(ISNUMBER(C7758),ISNUMBER(D7758)),D7758-C7758,"")</f>
        <v/>
      </c>
      <c r="Z7758" s="23" t="str">
        <f aca="false">IF(B7758="","",IF(MATCH(B7758,$B$2:$B$12000,0)=ROW()-1,1,0))</f>
        <v/>
      </c>
    </row>
    <row r="7759" customFormat="false" ht="15" hidden="false" customHeight="false" outlineLevel="0" collapsed="false">
      <c r="V7759" s="23" t="str">
        <f aca="false">IF(ISNUMBER(C7759),YEAR(C7759),"")</f>
        <v/>
      </c>
      <c r="W7759" s="23" t="str">
        <f aca="false">IF(ISNUMBER(C7759),MONTH(C7759),"")</f>
        <v/>
      </c>
      <c r="X7759" s="23" t="str">
        <f aca="false">IF(T7759="","",IF(T7759=0,"No discount",IF(T7759&lt;=0.2,"Low (1-20%)",IF(T7759&lt;=0.4,"Medium (21-40%)","High (&gt;40%)"))))</f>
        <v/>
      </c>
      <c r="Y7759" s="23" t="str">
        <f aca="false">IF(AND(ISNUMBER(C7759),ISNUMBER(D7759)),D7759-C7759,"")</f>
        <v/>
      </c>
      <c r="Z7759" s="23" t="str">
        <f aca="false">IF(B7759="","",IF(MATCH(B7759,$B$2:$B$12000,0)=ROW()-1,1,0))</f>
        <v/>
      </c>
    </row>
    <row r="7760" customFormat="false" ht="15" hidden="false" customHeight="false" outlineLevel="0" collapsed="false">
      <c r="V7760" s="23" t="str">
        <f aca="false">IF(ISNUMBER(C7760),YEAR(C7760),"")</f>
        <v/>
      </c>
      <c r="W7760" s="23" t="str">
        <f aca="false">IF(ISNUMBER(C7760),MONTH(C7760),"")</f>
        <v/>
      </c>
      <c r="X7760" s="23" t="str">
        <f aca="false">IF(T7760="","",IF(T7760=0,"No discount",IF(T7760&lt;=0.2,"Low (1-20%)",IF(T7760&lt;=0.4,"Medium (21-40%)","High (&gt;40%)"))))</f>
        <v/>
      </c>
      <c r="Y7760" s="23" t="str">
        <f aca="false">IF(AND(ISNUMBER(C7760),ISNUMBER(D7760)),D7760-C7760,"")</f>
        <v/>
      </c>
      <c r="Z7760" s="23" t="str">
        <f aca="false">IF(B7760="","",IF(MATCH(B7760,$B$2:$B$12000,0)=ROW()-1,1,0))</f>
        <v/>
      </c>
    </row>
    <row r="7761" customFormat="false" ht="15" hidden="false" customHeight="false" outlineLevel="0" collapsed="false">
      <c r="V7761" s="23" t="str">
        <f aca="false">IF(ISNUMBER(C7761),YEAR(C7761),"")</f>
        <v/>
      </c>
      <c r="W7761" s="23" t="str">
        <f aca="false">IF(ISNUMBER(C7761),MONTH(C7761),"")</f>
        <v/>
      </c>
      <c r="X7761" s="23" t="str">
        <f aca="false">IF(T7761="","",IF(T7761=0,"No discount",IF(T7761&lt;=0.2,"Low (1-20%)",IF(T7761&lt;=0.4,"Medium (21-40%)","High (&gt;40%)"))))</f>
        <v/>
      </c>
      <c r="Y7761" s="23" t="str">
        <f aca="false">IF(AND(ISNUMBER(C7761),ISNUMBER(D7761)),D7761-C7761,"")</f>
        <v/>
      </c>
      <c r="Z7761" s="23" t="str">
        <f aca="false">IF(B7761="","",IF(MATCH(B7761,$B$2:$B$12000,0)=ROW()-1,1,0))</f>
        <v/>
      </c>
    </row>
    <row r="7762" customFormat="false" ht="15" hidden="false" customHeight="false" outlineLevel="0" collapsed="false">
      <c r="V7762" s="23" t="str">
        <f aca="false">IF(ISNUMBER(C7762),YEAR(C7762),"")</f>
        <v/>
      </c>
      <c r="W7762" s="23" t="str">
        <f aca="false">IF(ISNUMBER(C7762),MONTH(C7762),"")</f>
        <v/>
      </c>
      <c r="X7762" s="23" t="str">
        <f aca="false">IF(T7762="","",IF(T7762=0,"No discount",IF(T7762&lt;=0.2,"Low (1-20%)",IF(T7762&lt;=0.4,"Medium (21-40%)","High (&gt;40%)"))))</f>
        <v/>
      </c>
      <c r="Y7762" s="23" t="str">
        <f aca="false">IF(AND(ISNUMBER(C7762),ISNUMBER(D7762)),D7762-C7762,"")</f>
        <v/>
      </c>
      <c r="Z7762" s="23" t="str">
        <f aca="false">IF(B7762="","",IF(MATCH(B7762,$B$2:$B$12000,0)=ROW()-1,1,0))</f>
        <v/>
      </c>
    </row>
    <row r="7763" customFormat="false" ht="15" hidden="false" customHeight="false" outlineLevel="0" collapsed="false">
      <c r="V7763" s="23" t="str">
        <f aca="false">IF(ISNUMBER(C7763),YEAR(C7763),"")</f>
        <v/>
      </c>
      <c r="W7763" s="23" t="str">
        <f aca="false">IF(ISNUMBER(C7763),MONTH(C7763),"")</f>
        <v/>
      </c>
      <c r="X7763" s="23" t="str">
        <f aca="false">IF(T7763="","",IF(T7763=0,"No discount",IF(T7763&lt;=0.2,"Low (1-20%)",IF(T7763&lt;=0.4,"Medium (21-40%)","High (&gt;40%)"))))</f>
        <v/>
      </c>
      <c r="Y7763" s="23" t="str">
        <f aca="false">IF(AND(ISNUMBER(C7763),ISNUMBER(D7763)),D7763-C7763,"")</f>
        <v/>
      </c>
      <c r="Z7763" s="23" t="str">
        <f aca="false">IF(B7763="","",IF(MATCH(B7763,$B$2:$B$12000,0)=ROW()-1,1,0))</f>
        <v/>
      </c>
    </row>
    <row r="7764" customFormat="false" ht="15" hidden="false" customHeight="false" outlineLevel="0" collapsed="false">
      <c r="V7764" s="23" t="str">
        <f aca="false">IF(ISNUMBER(C7764),YEAR(C7764),"")</f>
        <v/>
      </c>
      <c r="W7764" s="23" t="str">
        <f aca="false">IF(ISNUMBER(C7764),MONTH(C7764),"")</f>
        <v/>
      </c>
      <c r="X7764" s="23" t="str">
        <f aca="false">IF(T7764="","",IF(T7764=0,"No discount",IF(T7764&lt;=0.2,"Low (1-20%)",IF(T7764&lt;=0.4,"Medium (21-40%)","High (&gt;40%)"))))</f>
        <v/>
      </c>
      <c r="Y7764" s="23" t="str">
        <f aca="false">IF(AND(ISNUMBER(C7764),ISNUMBER(D7764)),D7764-C7764,"")</f>
        <v/>
      </c>
      <c r="Z7764" s="23" t="str">
        <f aca="false">IF(B7764="","",IF(MATCH(B7764,$B$2:$B$12000,0)=ROW()-1,1,0))</f>
        <v/>
      </c>
    </row>
    <row r="7765" customFormat="false" ht="15" hidden="false" customHeight="false" outlineLevel="0" collapsed="false">
      <c r="V7765" s="23" t="str">
        <f aca="false">IF(ISNUMBER(C7765),YEAR(C7765),"")</f>
        <v/>
      </c>
      <c r="W7765" s="23" t="str">
        <f aca="false">IF(ISNUMBER(C7765),MONTH(C7765),"")</f>
        <v/>
      </c>
      <c r="X7765" s="23" t="str">
        <f aca="false">IF(T7765="","",IF(T7765=0,"No discount",IF(T7765&lt;=0.2,"Low (1-20%)",IF(T7765&lt;=0.4,"Medium (21-40%)","High (&gt;40%)"))))</f>
        <v/>
      </c>
      <c r="Y7765" s="23" t="str">
        <f aca="false">IF(AND(ISNUMBER(C7765),ISNUMBER(D7765)),D7765-C7765,"")</f>
        <v/>
      </c>
      <c r="Z7765" s="23" t="str">
        <f aca="false">IF(B7765="","",IF(MATCH(B7765,$B$2:$B$12000,0)=ROW()-1,1,0))</f>
        <v/>
      </c>
    </row>
    <row r="7766" customFormat="false" ht="15" hidden="false" customHeight="false" outlineLevel="0" collapsed="false">
      <c r="V7766" s="23" t="str">
        <f aca="false">IF(ISNUMBER(C7766),YEAR(C7766),"")</f>
        <v/>
      </c>
      <c r="W7766" s="23" t="str">
        <f aca="false">IF(ISNUMBER(C7766),MONTH(C7766),"")</f>
        <v/>
      </c>
      <c r="X7766" s="23" t="str">
        <f aca="false">IF(T7766="","",IF(T7766=0,"No discount",IF(T7766&lt;=0.2,"Low (1-20%)",IF(T7766&lt;=0.4,"Medium (21-40%)","High (&gt;40%)"))))</f>
        <v/>
      </c>
      <c r="Y7766" s="23" t="str">
        <f aca="false">IF(AND(ISNUMBER(C7766),ISNUMBER(D7766)),D7766-C7766,"")</f>
        <v/>
      </c>
      <c r="Z7766" s="23" t="str">
        <f aca="false">IF(B7766="","",IF(MATCH(B7766,$B$2:$B$12000,0)=ROW()-1,1,0))</f>
        <v/>
      </c>
    </row>
    <row r="7767" customFormat="false" ht="15" hidden="false" customHeight="false" outlineLevel="0" collapsed="false">
      <c r="V7767" s="23" t="str">
        <f aca="false">IF(ISNUMBER(C7767),YEAR(C7767),"")</f>
        <v/>
      </c>
      <c r="W7767" s="23" t="str">
        <f aca="false">IF(ISNUMBER(C7767),MONTH(C7767),"")</f>
        <v/>
      </c>
      <c r="X7767" s="23" t="str">
        <f aca="false">IF(T7767="","",IF(T7767=0,"No discount",IF(T7767&lt;=0.2,"Low (1-20%)",IF(T7767&lt;=0.4,"Medium (21-40%)","High (&gt;40%)"))))</f>
        <v/>
      </c>
      <c r="Y7767" s="23" t="str">
        <f aca="false">IF(AND(ISNUMBER(C7767),ISNUMBER(D7767)),D7767-C7767,"")</f>
        <v/>
      </c>
      <c r="Z7767" s="23" t="str">
        <f aca="false">IF(B7767="","",IF(MATCH(B7767,$B$2:$B$12000,0)=ROW()-1,1,0))</f>
        <v/>
      </c>
    </row>
    <row r="7768" customFormat="false" ht="15" hidden="false" customHeight="false" outlineLevel="0" collapsed="false">
      <c r="V7768" s="23" t="str">
        <f aca="false">IF(ISNUMBER(C7768),YEAR(C7768),"")</f>
        <v/>
      </c>
      <c r="W7768" s="23" t="str">
        <f aca="false">IF(ISNUMBER(C7768),MONTH(C7768),"")</f>
        <v/>
      </c>
      <c r="X7768" s="23" t="str">
        <f aca="false">IF(T7768="","",IF(T7768=0,"No discount",IF(T7768&lt;=0.2,"Low (1-20%)",IF(T7768&lt;=0.4,"Medium (21-40%)","High (&gt;40%)"))))</f>
        <v/>
      </c>
      <c r="Y7768" s="23" t="str">
        <f aca="false">IF(AND(ISNUMBER(C7768),ISNUMBER(D7768)),D7768-C7768,"")</f>
        <v/>
      </c>
      <c r="Z7768" s="23" t="str">
        <f aca="false">IF(B7768="","",IF(MATCH(B7768,$B$2:$B$12000,0)=ROW()-1,1,0))</f>
        <v/>
      </c>
    </row>
    <row r="7769" customFormat="false" ht="15" hidden="false" customHeight="false" outlineLevel="0" collapsed="false">
      <c r="V7769" s="23" t="str">
        <f aca="false">IF(ISNUMBER(C7769),YEAR(C7769),"")</f>
        <v/>
      </c>
      <c r="W7769" s="23" t="str">
        <f aca="false">IF(ISNUMBER(C7769),MONTH(C7769),"")</f>
        <v/>
      </c>
      <c r="X7769" s="23" t="str">
        <f aca="false">IF(T7769="","",IF(T7769=0,"No discount",IF(T7769&lt;=0.2,"Low (1-20%)",IF(T7769&lt;=0.4,"Medium (21-40%)","High (&gt;40%)"))))</f>
        <v/>
      </c>
      <c r="Y7769" s="23" t="str">
        <f aca="false">IF(AND(ISNUMBER(C7769),ISNUMBER(D7769)),D7769-C7769,"")</f>
        <v/>
      </c>
      <c r="Z7769" s="23" t="str">
        <f aca="false">IF(B7769="","",IF(MATCH(B7769,$B$2:$B$12000,0)=ROW()-1,1,0))</f>
        <v/>
      </c>
    </row>
    <row r="7770" customFormat="false" ht="15" hidden="false" customHeight="false" outlineLevel="0" collapsed="false">
      <c r="V7770" s="23" t="str">
        <f aca="false">IF(ISNUMBER(C7770),YEAR(C7770),"")</f>
        <v/>
      </c>
      <c r="W7770" s="23" t="str">
        <f aca="false">IF(ISNUMBER(C7770),MONTH(C7770),"")</f>
        <v/>
      </c>
      <c r="X7770" s="23" t="str">
        <f aca="false">IF(T7770="","",IF(T7770=0,"No discount",IF(T7770&lt;=0.2,"Low (1-20%)",IF(T7770&lt;=0.4,"Medium (21-40%)","High (&gt;40%)"))))</f>
        <v/>
      </c>
      <c r="Y7770" s="23" t="str">
        <f aca="false">IF(AND(ISNUMBER(C7770),ISNUMBER(D7770)),D7770-C7770,"")</f>
        <v/>
      </c>
      <c r="Z7770" s="23" t="str">
        <f aca="false">IF(B7770="","",IF(MATCH(B7770,$B$2:$B$12000,0)=ROW()-1,1,0))</f>
        <v/>
      </c>
    </row>
    <row r="7771" customFormat="false" ht="15" hidden="false" customHeight="false" outlineLevel="0" collapsed="false">
      <c r="V7771" s="23" t="str">
        <f aca="false">IF(ISNUMBER(C7771),YEAR(C7771),"")</f>
        <v/>
      </c>
      <c r="W7771" s="23" t="str">
        <f aca="false">IF(ISNUMBER(C7771),MONTH(C7771),"")</f>
        <v/>
      </c>
      <c r="X7771" s="23" t="str">
        <f aca="false">IF(T7771="","",IF(T7771=0,"No discount",IF(T7771&lt;=0.2,"Low (1-20%)",IF(T7771&lt;=0.4,"Medium (21-40%)","High (&gt;40%)"))))</f>
        <v/>
      </c>
      <c r="Y7771" s="23" t="str">
        <f aca="false">IF(AND(ISNUMBER(C7771),ISNUMBER(D7771)),D7771-C7771,"")</f>
        <v/>
      </c>
      <c r="Z7771" s="23" t="str">
        <f aca="false">IF(B7771="","",IF(MATCH(B7771,$B$2:$B$12000,0)=ROW()-1,1,0))</f>
        <v/>
      </c>
    </row>
    <row r="7772" customFormat="false" ht="15" hidden="false" customHeight="false" outlineLevel="0" collapsed="false">
      <c r="V7772" s="23" t="str">
        <f aca="false">IF(ISNUMBER(C7772),YEAR(C7772),"")</f>
        <v/>
      </c>
      <c r="W7772" s="23" t="str">
        <f aca="false">IF(ISNUMBER(C7772),MONTH(C7772),"")</f>
        <v/>
      </c>
      <c r="X7772" s="23" t="str">
        <f aca="false">IF(T7772="","",IF(T7772=0,"No discount",IF(T7772&lt;=0.2,"Low (1-20%)",IF(T7772&lt;=0.4,"Medium (21-40%)","High (&gt;40%)"))))</f>
        <v/>
      </c>
      <c r="Y7772" s="23" t="str">
        <f aca="false">IF(AND(ISNUMBER(C7772),ISNUMBER(D7772)),D7772-C7772,"")</f>
        <v/>
      </c>
      <c r="Z7772" s="23" t="str">
        <f aca="false">IF(B7772="","",IF(MATCH(B7772,$B$2:$B$12000,0)=ROW()-1,1,0))</f>
        <v/>
      </c>
    </row>
    <row r="7773" customFormat="false" ht="15" hidden="false" customHeight="false" outlineLevel="0" collapsed="false">
      <c r="V7773" s="23" t="str">
        <f aca="false">IF(ISNUMBER(C7773),YEAR(C7773),"")</f>
        <v/>
      </c>
      <c r="W7773" s="23" t="str">
        <f aca="false">IF(ISNUMBER(C7773),MONTH(C7773),"")</f>
        <v/>
      </c>
      <c r="X7773" s="23" t="str">
        <f aca="false">IF(T7773="","",IF(T7773=0,"No discount",IF(T7773&lt;=0.2,"Low (1-20%)",IF(T7773&lt;=0.4,"Medium (21-40%)","High (&gt;40%)"))))</f>
        <v/>
      </c>
      <c r="Y7773" s="23" t="str">
        <f aca="false">IF(AND(ISNUMBER(C7773),ISNUMBER(D7773)),D7773-C7773,"")</f>
        <v/>
      </c>
      <c r="Z7773" s="23" t="str">
        <f aca="false">IF(B7773="","",IF(MATCH(B7773,$B$2:$B$12000,0)=ROW()-1,1,0))</f>
        <v/>
      </c>
    </row>
    <row r="7774" customFormat="false" ht="15" hidden="false" customHeight="false" outlineLevel="0" collapsed="false">
      <c r="V7774" s="23" t="str">
        <f aca="false">IF(ISNUMBER(C7774),YEAR(C7774),"")</f>
        <v/>
      </c>
      <c r="W7774" s="23" t="str">
        <f aca="false">IF(ISNUMBER(C7774),MONTH(C7774),"")</f>
        <v/>
      </c>
      <c r="X7774" s="23" t="str">
        <f aca="false">IF(T7774="","",IF(T7774=0,"No discount",IF(T7774&lt;=0.2,"Low (1-20%)",IF(T7774&lt;=0.4,"Medium (21-40%)","High (&gt;40%)"))))</f>
        <v/>
      </c>
      <c r="Y7774" s="23" t="str">
        <f aca="false">IF(AND(ISNUMBER(C7774),ISNUMBER(D7774)),D7774-C7774,"")</f>
        <v/>
      </c>
      <c r="Z7774" s="23" t="str">
        <f aca="false">IF(B7774="","",IF(MATCH(B7774,$B$2:$B$12000,0)=ROW()-1,1,0))</f>
        <v/>
      </c>
    </row>
    <row r="7775" customFormat="false" ht="15" hidden="false" customHeight="false" outlineLevel="0" collapsed="false">
      <c r="V7775" s="23" t="str">
        <f aca="false">IF(ISNUMBER(C7775),YEAR(C7775),"")</f>
        <v/>
      </c>
      <c r="W7775" s="23" t="str">
        <f aca="false">IF(ISNUMBER(C7775),MONTH(C7775),"")</f>
        <v/>
      </c>
      <c r="X7775" s="23" t="str">
        <f aca="false">IF(T7775="","",IF(T7775=0,"No discount",IF(T7775&lt;=0.2,"Low (1-20%)",IF(T7775&lt;=0.4,"Medium (21-40%)","High (&gt;40%)"))))</f>
        <v/>
      </c>
      <c r="Y7775" s="23" t="str">
        <f aca="false">IF(AND(ISNUMBER(C7775),ISNUMBER(D7775)),D7775-C7775,"")</f>
        <v/>
      </c>
      <c r="Z7775" s="23" t="str">
        <f aca="false">IF(B7775="","",IF(MATCH(B7775,$B$2:$B$12000,0)=ROW()-1,1,0))</f>
        <v/>
      </c>
    </row>
    <row r="7776" customFormat="false" ht="15" hidden="false" customHeight="false" outlineLevel="0" collapsed="false">
      <c r="V7776" s="23" t="str">
        <f aca="false">IF(ISNUMBER(C7776),YEAR(C7776),"")</f>
        <v/>
      </c>
      <c r="W7776" s="23" t="str">
        <f aca="false">IF(ISNUMBER(C7776),MONTH(C7776),"")</f>
        <v/>
      </c>
      <c r="X7776" s="23" t="str">
        <f aca="false">IF(T7776="","",IF(T7776=0,"No discount",IF(T7776&lt;=0.2,"Low (1-20%)",IF(T7776&lt;=0.4,"Medium (21-40%)","High (&gt;40%)"))))</f>
        <v/>
      </c>
      <c r="Y7776" s="23" t="str">
        <f aca="false">IF(AND(ISNUMBER(C7776),ISNUMBER(D7776)),D7776-C7776,"")</f>
        <v/>
      </c>
      <c r="Z7776" s="23" t="str">
        <f aca="false">IF(B7776="","",IF(MATCH(B7776,$B$2:$B$12000,0)=ROW()-1,1,0))</f>
        <v/>
      </c>
    </row>
    <row r="7777" customFormat="false" ht="15" hidden="false" customHeight="false" outlineLevel="0" collapsed="false">
      <c r="V7777" s="23" t="str">
        <f aca="false">IF(ISNUMBER(C7777),YEAR(C7777),"")</f>
        <v/>
      </c>
      <c r="W7777" s="23" t="str">
        <f aca="false">IF(ISNUMBER(C7777),MONTH(C7777),"")</f>
        <v/>
      </c>
      <c r="X7777" s="23" t="str">
        <f aca="false">IF(T7777="","",IF(T7777=0,"No discount",IF(T7777&lt;=0.2,"Low (1-20%)",IF(T7777&lt;=0.4,"Medium (21-40%)","High (&gt;40%)"))))</f>
        <v/>
      </c>
      <c r="Y7777" s="23" t="str">
        <f aca="false">IF(AND(ISNUMBER(C7777),ISNUMBER(D7777)),D7777-C7777,"")</f>
        <v/>
      </c>
      <c r="Z7777" s="23" t="str">
        <f aca="false">IF(B7777="","",IF(MATCH(B7777,$B$2:$B$12000,0)=ROW()-1,1,0))</f>
        <v/>
      </c>
    </row>
    <row r="7778" customFormat="false" ht="15" hidden="false" customHeight="false" outlineLevel="0" collapsed="false">
      <c r="V7778" s="23" t="str">
        <f aca="false">IF(ISNUMBER(C7778),YEAR(C7778),"")</f>
        <v/>
      </c>
      <c r="W7778" s="23" t="str">
        <f aca="false">IF(ISNUMBER(C7778),MONTH(C7778),"")</f>
        <v/>
      </c>
      <c r="X7778" s="23" t="str">
        <f aca="false">IF(T7778="","",IF(T7778=0,"No discount",IF(T7778&lt;=0.2,"Low (1-20%)",IF(T7778&lt;=0.4,"Medium (21-40%)","High (&gt;40%)"))))</f>
        <v/>
      </c>
      <c r="Y7778" s="23" t="str">
        <f aca="false">IF(AND(ISNUMBER(C7778),ISNUMBER(D7778)),D7778-C7778,"")</f>
        <v/>
      </c>
      <c r="Z7778" s="23" t="str">
        <f aca="false">IF(B7778="","",IF(MATCH(B7778,$B$2:$B$12000,0)=ROW()-1,1,0))</f>
        <v/>
      </c>
    </row>
    <row r="7779" customFormat="false" ht="15" hidden="false" customHeight="false" outlineLevel="0" collapsed="false">
      <c r="V7779" s="23" t="str">
        <f aca="false">IF(ISNUMBER(C7779),YEAR(C7779),"")</f>
        <v/>
      </c>
      <c r="W7779" s="23" t="str">
        <f aca="false">IF(ISNUMBER(C7779),MONTH(C7779),"")</f>
        <v/>
      </c>
      <c r="X7779" s="23" t="str">
        <f aca="false">IF(T7779="","",IF(T7779=0,"No discount",IF(T7779&lt;=0.2,"Low (1-20%)",IF(T7779&lt;=0.4,"Medium (21-40%)","High (&gt;40%)"))))</f>
        <v/>
      </c>
      <c r="Y7779" s="23" t="str">
        <f aca="false">IF(AND(ISNUMBER(C7779),ISNUMBER(D7779)),D7779-C7779,"")</f>
        <v/>
      </c>
      <c r="Z7779" s="23" t="str">
        <f aca="false">IF(B7779="","",IF(MATCH(B7779,$B$2:$B$12000,0)=ROW()-1,1,0))</f>
        <v/>
      </c>
    </row>
    <row r="7780" customFormat="false" ht="15" hidden="false" customHeight="false" outlineLevel="0" collapsed="false">
      <c r="V7780" s="23" t="str">
        <f aca="false">IF(ISNUMBER(C7780),YEAR(C7780),"")</f>
        <v/>
      </c>
      <c r="W7780" s="23" t="str">
        <f aca="false">IF(ISNUMBER(C7780),MONTH(C7780),"")</f>
        <v/>
      </c>
      <c r="X7780" s="23" t="str">
        <f aca="false">IF(T7780="","",IF(T7780=0,"No discount",IF(T7780&lt;=0.2,"Low (1-20%)",IF(T7780&lt;=0.4,"Medium (21-40%)","High (&gt;40%)"))))</f>
        <v/>
      </c>
      <c r="Y7780" s="23" t="str">
        <f aca="false">IF(AND(ISNUMBER(C7780),ISNUMBER(D7780)),D7780-C7780,"")</f>
        <v/>
      </c>
      <c r="Z7780" s="23" t="str">
        <f aca="false">IF(B7780="","",IF(MATCH(B7780,$B$2:$B$12000,0)=ROW()-1,1,0))</f>
        <v/>
      </c>
    </row>
    <row r="7781" customFormat="false" ht="15" hidden="false" customHeight="false" outlineLevel="0" collapsed="false">
      <c r="V7781" s="23" t="str">
        <f aca="false">IF(ISNUMBER(C7781),YEAR(C7781),"")</f>
        <v/>
      </c>
      <c r="W7781" s="23" t="str">
        <f aca="false">IF(ISNUMBER(C7781),MONTH(C7781),"")</f>
        <v/>
      </c>
      <c r="X7781" s="23" t="str">
        <f aca="false">IF(T7781="","",IF(T7781=0,"No discount",IF(T7781&lt;=0.2,"Low (1-20%)",IF(T7781&lt;=0.4,"Medium (21-40%)","High (&gt;40%)"))))</f>
        <v/>
      </c>
      <c r="Y7781" s="23" t="str">
        <f aca="false">IF(AND(ISNUMBER(C7781),ISNUMBER(D7781)),D7781-C7781,"")</f>
        <v/>
      </c>
      <c r="Z7781" s="23" t="str">
        <f aca="false">IF(B7781="","",IF(MATCH(B7781,$B$2:$B$12000,0)=ROW()-1,1,0))</f>
        <v/>
      </c>
    </row>
    <row r="7782" customFormat="false" ht="15" hidden="false" customHeight="false" outlineLevel="0" collapsed="false">
      <c r="V7782" s="23" t="str">
        <f aca="false">IF(ISNUMBER(C7782),YEAR(C7782),"")</f>
        <v/>
      </c>
      <c r="W7782" s="23" t="str">
        <f aca="false">IF(ISNUMBER(C7782),MONTH(C7782),"")</f>
        <v/>
      </c>
      <c r="X7782" s="23" t="str">
        <f aca="false">IF(T7782="","",IF(T7782=0,"No discount",IF(T7782&lt;=0.2,"Low (1-20%)",IF(T7782&lt;=0.4,"Medium (21-40%)","High (&gt;40%)"))))</f>
        <v/>
      </c>
      <c r="Y7782" s="23" t="str">
        <f aca="false">IF(AND(ISNUMBER(C7782),ISNUMBER(D7782)),D7782-C7782,"")</f>
        <v/>
      </c>
      <c r="Z7782" s="23" t="str">
        <f aca="false">IF(B7782="","",IF(MATCH(B7782,$B$2:$B$12000,0)=ROW()-1,1,0))</f>
        <v/>
      </c>
    </row>
    <row r="7783" customFormat="false" ht="15" hidden="false" customHeight="false" outlineLevel="0" collapsed="false">
      <c r="V7783" s="23" t="str">
        <f aca="false">IF(ISNUMBER(C7783),YEAR(C7783),"")</f>
        <v/>
      </c>
      <c r="W7783" s="23" t="str">
        <f aca="false">IF(ISNUMBER(C7783),MONTH(C7783),"")</f>
        <v/>
      </c>
      <c r="X7783" s="23" t="str">
        <f aca="false">IF(T7783="","",IF(T7783=0,"No discount",IF(T7783&lt;=0.2,"Low (1-20%)",IF(T7783&lt;=0.4,"Medium (21-40%)","High (&gt;40%)"))))</f>
        <v/>
      </c>
      <c r="Y7783" s="23" t="str">
        <f aca="false">IF(AND(ISNUMBER(C7783),ISNUMBER(D7783)),D7783-C7783,"")</f>
        <v/>
      </c>
      <c r="Z7783" s="23" t="str">
        <f aca="false">IF(B7783="","",IF(MATCH(B7783,$B$2:$B$12000,0)=ROW()-1,1,0))</f>
        <v/>
      </c>
    </row>
    <row r="7784" customFormat="false" ht="15" hidden="false" customHeight="false" outlineLevel="0" collapsed="false">
      <c r="V7784" s="23" t="str">
        <f aca="false">IF(ISNUMBER(C7784),YEAR(C7784),"")</f>
        <v/>
      </c>
      <c r="W7784" s="23" t="str">
        <f aca="false">IF(ISNUMBER(C7784),MONTH(C7784),"")</f>
        <v/>
      </c>
      <c r="X7784" s="23" t="str">
        <f aca="false">IF(T7784="","",IF(T7784=0,"No discount",IF(T7784&lt;=0.2,"Low (1-20%)",IF(T7784&lt;=0.4,"Medium (21-40%)","High (&gt;40%)"))))</f>
        <v/>
      </c>
      <c r="Y7784" s="23" t="str">
        <f aca="false">IF(AND(ISNUMBER(C7784),ISNUMBER(D7784)),D7784-C7784,"")</f>
        <v/>
      </c>
      <c r="Z7784" s="23" t="str">
        <f aca="false">IF(B7784="","",IF(MATCH(B7784,$B$2:$B$12000,0)=ROW()-1,1,0))</f>
        <v/>
      </c>
    </row>
    <row r="7785" customFormat="false" ht="15" hidden="false" customHeight="false" outlineLevel="0" collapsed="false">
      <c r="V7785" s="23" t="str">
        <f aca="false">IF(ISNUMBER(C7785),YEAR(C7785),"")</f>
        <v/>
      </c>
      <c r="W7785" s="23" t="str">
        <f aca="false">IF(ISNUMBER(C7785),MONTH(C7785),"")</f>
        <v/>
      </c>
      <c r="X7785" s="23" t="str">
        <f aca="false">IF(T7785="","",IF(T7785=0,"No discount",IF(T7785&lt;=0.2,"Low (1-20%)",IF(T7785&lt;=0.4,"Medium (21-40%)","High (&gt;40%)"))))</f>
        <v/>
      </c>
      <c r="Y7785" s="23" t="str">
        <f aca="false">IF(AND(ISNUMBER(C7785),ISNUMBER(D7785)),D7785-C7785,"")</f>
        <v/>
      </c>
      <c r="Z7785" s="23" t="str">
        <f aca="false">IF(B7785="","",IF(MATCH(B7785,$B$2:$B$12000,0)=ROW()-1,1,0))</f>
        <v/>
      </c>
    </row>
    <row r="7786" customFormat="false" ht="15" hidden="false" customHeight="false" outlineLevel="0" collapsed="false">
      <c r="V7786" s="23" t="str">
        <f aca="false">IF(ISNUMBER(C7786),YEAR(C7786),"")</f>
        <v/>
      </c>
      <c r="W7786" s="23" t="str">
        <f aca="false">IF(ISNUMBER(C7786),MONTH(C7786),"")</f>
        <v/>
      </c>
      <c r="X7786" s="23" t="str">
        <f aca="false">IF(T7786="","",IF(T7786=0,"No discount",IF(T7786&lt;=0.2,"Low (1-20%)",IF(T7786&lt;=0.4,"Medium (21-40%)","High (&gt;40%)"))))</f>
        <v/>
      </c>
      <c r="Y7786" s="23" t="str">
        <f aca="false">IF(AND(ISNUMBER(C7786),ISNUMBER(D7786)),D7786-C7786,"")</f>
        <v/>
      </c>
      <c r="Z7786" s="23" t="str">
        <f aca="false">IF(B7786="","",IF(MATCH(B7786,$B$2:$B$12000,0)=ROW()-1,1,0))</f>
        <v/>
      </c>
    </row>
    <row r="7787" customFormat="false" ht="15" hidden="false" customHeight="false" outlineLevel="0" collapsed="false">
      <c r="V7787" s="23" t="str">
        <f aca="false">IF(ISNUMBER(C7787),YEAR(C7787),"")</f>
        <v/>
      </c>
      <c r="W7787" s="23" t="str">
        <f aca="false">IF(ISNUMBER(C7787),MONTH(C7787),"")</f>
        <v/>
      </c>
      <c r="X7787" s="23" t="str">
        <f aca="false">IF(T7787="","",IF(T7787=0,"No discount",IF(T7787&lt;=0.2,"Low (1-20%)",IF(T7787&lt;=0.4,"Medium (21-40%)","High (&gt;40%)"))))</f>
        <v/>
      </c>
      <c r="Y7787" s="23" t="str">
        <f aca="false">IF(AND(ISNUMBER(C7787),ISNUMBER(D7787)),D7787-C7787,"")</f>
        <v/>
      </c>
      <c r="Z7787" s="23" t="str">
        <f aca="false">IF(B7787="","",IF(MATCH(B7787,$B$2:$B$12000,0)=ROW()-1,1,0))</f>
        <v/>
      </c>
    </row>
    <row r="7788" customFormat="false" ht="15" hidden="false" customHeight="false" outlineLevel="0" collapsed="false">
      <c r="V7788" s="23" t="str">
        <f aca="false">IF(ISNUMBER(C7788),YEAR(C7788),"")</f>
        <v/>
      </c>
      <c r="W7788" s="23" t="str">
        <f aca="false">IF(ISNUMBER(C7788),MONTH(C7788),"")</f>
        <v/>
      </c>
      <c r="X7788" s="23" t="str">
        <f aca="false">IF(T7788="","",IF(T7788=0,"No discount",IF(T7788&lt;=0.2,"Low (1-20%)",IF(T7788&lt;=0.4,"Medium (21-40%)","High (&gt;40%)"))))</f>
        <v/>
      </c>
      <c r="Y7788" s="23" t="str">
        <f aca="false">IF(AND(ISNUMBER(C7788),ISNUMBER(D7788)),D7788-C7788,"")</f>
        <v/>
      </c>
      <c r="Z7788" s="23" t="str">
        <f aca="false">IF(B7788="","",IF(MATCH(B7788,$B$2:$B$12000,0)=ROW()-1,1,0))</f>
        <v/>
      </c>
    </row>
    <row r="7789" customFormat="false" ht="15" hidden="false" customHeight="false" outlineLevel="0" collapsed="false">
      <c r="V7789" s="23" t="str">
        <f aca="false">IF(ISNUMBER(C7789),YEAR(C7789),"")</f>
        <v/>
      </c>
      <c r="W7789" s="23" t="str">
        <f aca="false">IF(ISNUMBER(C7789),MONTH(C7789),"")</f>
        <v/>
      </c>
      <c r="X7789" s="23" t="str">
        <f aca="false">IF(T7789="","",IF(T7789=0,"No discount",IF(T7789&lt;=0.2,"Low (1-20%)",IF(T7789&lt;=0.4,"Medium (21-40%)","High (&gt;40%)"))))</f>
        <v/>
      </c>
      <c r="Y7789" s="23" t="str">
        <f aca="false">IF(AND(ISNUMBER(C7789),ISNUMBER(D7789)),D7789-C7789,"")</f>
        <v/>
      </c>
      <c r="Z7789" s="23" t="str">
        <f aca="false">IF(B7789="","",IF(MATCH(B7789,$B$2:$B$12000,0)=ROW()-1,1,0))</f>
        <v/>
      </c>
    </row>
    <row r="7790" customFormat="false" ht="15" hidden="false" customHeight="false" outlineLevel="0" collapsed="false">
      <c r="V7790" s="23" t="str">
        <f aca="false">IF(ISNUMBER(C7790),YEAR(C7790),"")</f>
        <v/>
      </c>
      <c r="W7790" s="23" t="str">
        <f aca="false">IF(ISNUMBER(C7790),MONTH(C7790),"")</f>
        <v/>
      </c>
      <c r="X7790" s="23" t="str">
        <f aca="false">IF(T7790="","",IF(T7790=0,"No discount",IF(T7790&lt;=0.2,"Low (1-20%)",IF(T7790&lt;=0.4,"Medium (21-40%)","High (&gt;40%)"))))</f>
        <v/>
      </c>
      <c r="Y7790" s="23" t="str">
        <f aca="false">IF(AND(ISNUMBER(C7790),ISNUMBER(D7790)),D7790-C7790,"")</f>
        <v/>
      </c>
      <c r="Z7790" s="23" t="str">
        <f aca="false">IF(B7790="","",IF(MATCH(B7790,$B$2:$B$12000,0)=ROW()-1,1,0))</f>
        <v/>
      </c>
    </row>
    <row r="7791" customFormat="false" ht="15" hidden="false" customHeight="false" outlineLevel="0" collapsed="false">
      <c r="V7791" s="23" t="str">
        <f aca="false">IF(ISNUMBER(C7791),YEAR(C7791),"")</f>
        <v/>
      </c>
      <c r="W7791" s="23" t="str">
        <f aca="false">IF(ISNUMBER(C7791),MONTH(C7791),"")</f>
        <v/>
      </c>
      <c r="X7791" s="23" t="str">
        <f aca="false">IF(T7791="","",IF(T7791=0,"No discount",IF(T7791&lt;=0.2,"Low (1-20%)",IF(T7791&lt;=0.4,"Medium (21-40%)","High (&gt;40%)"))))</f>
        <v/>
      </c>
      <c r="Y7791" s="23" t="str">
        <f aca="false">IF(AND(ISNUMBER(C7791),ISNUMBER(D7791)),D7791-C7791,"")</f>
        <v/>
      </c>
      <c r="Z7791" s="23" t="str">
        <f aca="false">IF(B7791="","",IF(MATCH(B7791,$B$2:$B$12000,0)=ROW()-1,1,0))</f>
        <v/>
      </c>
    </row>
    <row r="7792" customFormat="false" ht="15" hidden="false" customHeight="false" outlineLevel="0" collapsed="false">
      <c r="V7792" s="23" t="str">
        <f aca="false">IF(ISNUMBER(C7792),YEAR(C7792),"")</f>
        <v/>
      </c>
      <c r="W7792" s="23" t="str">
        <f aca="false">IF(ISNUMBER(C7792),MONTH(C7792),"")</f>
        <v/>
      </c>
      <c r="X7792" s="23" t="str">
        <f aca="false">IF(T7792="","",IF(T7792=0,"No discount",IF(T7792&lt;=0.2,"Low (1-20%)",IF(T7792&lt;=0.4,"Medium (21-40%)","High (&gt;40%)"))))</f>
        <v/>
      </c>
      <c r="Y7792" s="23" t="str">
        <f aca="false">IF(AND(ISNUMBER(C7792),ISNUMBER(D7792)),D7792-C7792,"")</f>
        <v/>
      </c>
      <c r="Z7792" s="23" t="str">
        <f aca="false">IF(B7792="","",IF(MATCH(B7792,$B$2:$B$12000,0)=ROW()-1,1,0))</f>
        <v/>
      </c>
    </row>
    <row r="7793" customFormat="false" ht="15" hidden="false" customHeight="false" outlineLevel="0" collapsed="false">
      <c r="V7793" s="23" t="str">
        <f aca="false">IF(ISNUMBER(C7793),YEAR(C7793),"")</f>
        <v/>
      </c>
      <c r="W7793" s="23" t="str">
        <f aca="false">IF(ISNUMBER(C7793),MONTH(C7793),"")</f>
        <v/>
      </c>
      <c r="X7793" s="23" t="str">
        <f aca="false">IF(T7793="","",IF(T7793=0,"No discount",IF(T7793&lt;=0.2,"Low (1-20%)",IF(T7793&lt;=0.4,"Medium (21-40%)","High (&gt;40%)"))))</f>
        <v/>
      </c>
      <c r="Y7793" s="23" t="str">
        <f aca="false">IF(AND(ISNUMBER(C7793),ISNUMBER(D7793)),D7793-C7793,"")</f>
        <v/>
      </c>
      <c r="Z7793" s="23" t="str">
        <f aca="false">IF(B7793="","",IF(MATCH(B7793,$B$2:$B$12000,0)=ROW()-1,1,0))</f>
        <v/>
      </c>
    </row>
    <row r="7794" customFormat="false" ht="15" hidden="false" customHeight="false" outlineLevel="0" collapsed="false">
      <c r="V7794" s="23" t="str">
        <f aca="false">IF(ISNUMBER(C7794),YEAR(C7794),"")</f>
        <v/>
      </c>
      <c r="W7794" s="23" t="str">
        <f aca="false">IF(ISNUMBER(C7794),MONTH(C7794),"")</f>
        <v/>
      </c>
      <c r="X7794" s="23" t="str">
        <f aca="false">IF(T7794="","",IF(T7794=0,"No discount",IF(T7794&lt;=0.2,"Low (1-20%)",IF(T7794&lt;=0.4,"Medium (21-40%)","High (&gt;40%)"))))</f>
        <v/>
      </c>
      <c r="Y7794" s="23" t="str">
        <f aca="false">IF(AND(ISNUMBER(C7794),ISNUMBER(D7794)),D7794-C7794,"")</f>
        <v/>
      </c>
      <c r="Z7794" s="23" t="str">
        <f aca="false">IF(B7794="","",IF(MATCH(B7794,$B$2:$B$12000,0)=ROW()-1,1,0))</f>
        <v/>
      </c>
    </row>
    <row r="7795" customFormat="false" ht="15" hidden="false" customHeight="false" outlineLevel="0" collapsed="false">
      <c r="V7795" s="23" t="str">
        <f aca="false">IF(ISNUMBER(C7795),YEAR(C7795),"")</f>
        <v/>
      </c>
      <c r="W7795" s="23" t="str">
        <f aca="false">IF(ISNUMBER(C7795),MONTH(C7795),"")</f>
        <v/>
      </c>
      <c r="X7795" s="23" t="str">
        <f aca="false">IF(T7795="","",IF(T7795=0,"No discount",IF(T7795&lt;=0.2,"Low (1-20%)",IF(T7795&lt;=0.4,"Medium (21-40%)","High (&gt;40%)"))))</f>
        <v/>
      </c>
      <c r="Y7795" s="23" t="str">
        <f aca="false">IF(AND(ISNUMBER(C7795),ISNUMBER(D7795)),D7795-C7795,"")</f>
        <v/>
      </c>
      <c r="Z7795" s="23" t="str">
        <f aca="false">IF(B7795="","",IF(MATCH(B7795,$B$2:$B$12000,0)=ROW()-1,1,0))</f>
        <v/>
      </c>
    </row>
    <row r="7796" customFormat="false" ht="15" hidden="false" customHeight="false" outlineLevel="0" collapsed="false">
      <c r="V7796" s="23" t="str">
        <f aca="false">IF(ISNUMBER(C7796),YEAR(C7796),"")</f>
        <v/>
      </c>
      <c r="W7796" s="23" t="str">
        <f aca="false">IF(ISNUMBER(C7796),MONTH(C7796),"")</f>
        <v/>
      </c>
      <c r="X7796" s="23" t="str">
        <f aca="false">IF(T7796="","",IF(T7796=0,"No discount",IF(T7796&lt;=0.2,"Low (1-20%)",IF(T7796&lt;=0.4,"Medium (21-40%)","High (&gt;40%)"))))</f>
        <v/>
      </c>
      <c r="Y7796" s="23" t="str">
        <f aca="false">IF(AND(ISNUMBER(C7796),ISNUMBER(D7796)),D7796-C7796,"")</f>
        <v/>
      </c>
      <c r="Z7796" s="23" t="str">
        <f aca="false">IF(B7796="","",IF(MATCH(B7796,$B$2:$B$12000,0)=ROW()-1,1,0))</f>
        <v/>
      </c>
    </row>
    <row r="7797" customFormat="false" ht="15" hidden="false" customHeight="false" outlineLevel="0" collapsed="false">
      <c r="V7797" s="23" t="str">
        <f aca="false">IF(ISNUMBER(C7797),YEAR(C7797),"")</f>
        <v/>
      </c>
      <c r="W7797" s="23" t="str">
        <f aca="false">IF(ISNUMBER(C7797),MONTH(C7797),"")</f>
        <v/>
      </c>
      <c r="X7797" s="23" t="str">
        <f aca="false">IF(T7797="","",IF(T7797=0,"No discount",IF(T7797&lt;=0.2,"Low (1-20%)",IF(T7797&lt;=0.4,"Medium (21-40%)","High (&gt;40%)"))))</f>
        <v/>
      </c>
      <c r="Y7797" s="23" t="str">
        <f aca="false">IF(AND(ISNUMBER(C7797),ISNUMBER(D7797)),D7797-C7797,"")</f>
        <v/>
      </c>
      <c r="Z7797" s="23" t="str">
        <f aca="false">IF(B7797="","",IF(MATCH(B7797,$B$2:$B$12000,0)=ROW()-1,1,0))</f>
        <v/>
      </c>
    </row>
    <row r="7798" customFormat="false" ht="15" hidden="false" customHeight="false" outlineLevel="0" collapsed="false">
      <c r="V7798" s="23" t="str">
        <f aca="false">IF(ISNUMBER(C7798),YEAR(C7798),"")</f>
        <v/>
      </c>
      <c r="W7798" s="23" t="str">
        <f aca="false">IF(ISNUMBER(C7798),MONTH(C7798),"")</f>
        <v/>
      </c>
      <c r="X7798" s="23" t="str">
        <f aca="false">IF(T7798="","",IF(T7798=0,"No discount",IF(T7798&lt;=0.2,"Low (1-20%)",IF(T7798&lt;=0.4,"Medium (21-40%)","High (&gt;40%)"))))</f>
        <v/>
      </c>
      <c r="Y7798" s="23" t="str">
        <f aca="false">IF(AND(ISNUMBER(C7798),ISNUMBER(D7798)),D7798-C7798,"")</f>
        <v/>
      </c>
      <c r="Z7798" s="23" t="str">
        <f aca="false">IF(B7798="","",IF(MATCH(B7798,$B$2:$B$12000,0)=ROW()-1,1,0))</f>
        <v/>
      </c>
    </row>
    <row r="7799" customFormat="false" ht="15" hidden="false" customHeight="false" outlineLevel="0" collapsed="false">
      <c r="V7799" s="23" t="str">
        <f aca="false">IF(ISNUMBER(C7799),YEAR(C7799),"")</f>
        <v/>
      </c>
      <c r="W7799" s="23" t="str">
        <f aca="false">IF(ISNUMBER(C7799),MONTH(C7799),"")</f>
        <v/>
      </c>
      <c r="X7799" s="23" t="str">
        <f aca="false">IF(T7799="","",IF(T7799=0,"No discount",IF(T7799&lt;=0.2,"Low (1-20%)",IF(T7799&lt;=0.4,"Medium (21-40%)","High (&gt;40%)"))))</f>
        <v/>
      </c>
      <c r="Y7799" s="23" t="str">
        <f aca="false">IF(AND(ISNUMBER(C7799),ISNUMBER(D7799)),D7799-C7799,"")</f>
        <v/>
      </c>
      <c r="Z7799" s="23" t="str">
        <f aca="false">IF(B7799="","",IF(MATCH(B7799,$B$2:$B$12000,0)=ROW()-1,1,0))</f>
        <v/>
      </c>
    </row>
    <row r="7800" customFormat="false" ht="15" hidden="false" customHeight="false" outlineLevel="0" collapsed="false">
      <c r="V7800" s="23" t="str">
        <f aca="false">IF(ISNUMBER(C7800),YEAR(C7800),"")</f>
        <v/>
      </c>
      <c r="W7800" s="23" t="str">
        <f aca="false">IF(ISNUMBER(C7800),MONTH(C7800),"")</f>
        <v/>
      </c>
      <c r="X7800" s="23" t="str">
        <f aca="false">IF(T7800="","",IF(T7800=0,"No discount",IF(T7800&lt;=0.2,"Low (1-20%)",IF(T7800&lt;=0.4,"Medium (21-40%)","High (&gt;40%)"))))</f>
        <v/>
      </c>
      <c r="Y7800" s="23" t="str">
        <f aca="false">IF(AND(ISNUMBER(C7800),ISNUMBER(D7800)),D7800-C7800,"")</f>
        <v/>
      </c>
      <c r="Z7800" s="23" t="str">
        <f aca="false">IF(B7800="","",IF(MATCH(B7800,$B$2:$B$12000,0)=ROW()-1,1,0))</f>
        <v/>
      </c>
    </row>
    <row r="7801" customFormat="false" ht="15" hidden="false" customHeight="false" outlineLevel="0" collapsed="false">
      <c r="V7801" s="23" t="str">
        <f aca="false">IF(ISNUMBER(C7801),YEAR(C7801),"")</f>
        <v/>
      </c>
      <c r="W7801" s="23" t="str">
        <f aca="false">IF(ISNUMBER(C7801),MONTH(C7801),"")</f>
        <v/>
      </c>
      <c r="X7801" s="23" t="str">
        <f aca="false">IF(T7801="","",IF(T7801=0,"No discount",IF(T7801&lt;=0.2,"Low (1-20%)",IF(T7801&lt;=0.4,"Medium (21-40%)","High (&gt;40%)"))))</f>
        <v/>
      </c>
      <c r="Y7801" s="23" t="str">
        <f aca="false">IF(AND(ISNUMBER(C7801),ISNUMBER(D7801)),D7801-C7801,"")</f>
        <v/>
      </c>
      <c r="Z7801" s="23" t="str">
        <f aca="false">IF(B7801="","",IF(MATCH(B7801,$B$2:$B$12000,0)=ROW()-1,1,0))</f>
        <v/>
      </c>
    </row>
    <row r="7802" customFormat="false" ht="15" hidden="false" customHeight="false" outlineLevel="0" collapsed="false">
      <c r="V7802" s="23" t="str">
        <f aca="false">IF(ISNUMBER(C7802),YEAR(C7802),"")</f>
        <v/>
      </c>
      <c r="W7802" s="23" t="str">
        <f aca="false">IF(ISNUMBER(C7802),MONTH(C7802),"")</f>
        <v/>
      </c>
      <c r="X7802" s="23" t="str">
        <f aca="false">IF(T7802="","",IF(T7802=0,"No discount",IF(T7802&lt;=0.2,"Low (1-20%)",IF(T7802&lt;=0.4,"Medium (21-40%)","High (&gt;40%)"))))</f>
        <v/>
      </c>
      <c r="Y7802" s="23" t="str">
        <f aca="false">IF(AND(ISNUMBER(C7802),ISNUMBER(D7802)),D7802-C7802,"")</f>
        <v/>
      </c>
      <c r="Z7802" s="23" t="str">
        <f aca="false">IF(B7802="","",IF(MATCH(B7802,$B$2:$B$12000,0)=ROW()-1,1,0))</f>
        <v/>
      </c>
    </row>
    <row r="7803" customFormat="false" ht="15" hidden="false" customHeight="false" outlineLevel="0" collapsed="false">
      <c r="V7803" s="23" t="str">
        <f aca="false">IF(ISNUMBER(C7803),YEAR(C7803),"")</f>
        <v/>
      </c>
      <c r="W7803" s="23" t="str">
        <f aca="false">IF(ISNUMBER(C7803),MONTH(C7803),"")</f>
        <v/>
      </c>
      <c r="X7803" s="23" t="str">
        <f aca="false">IF(T7803="","",IF(T7803=0,"No discount",IF(T7803&lt;=0.2,"Low (1-20%)",IF(T7803&lt;=0.4,"Medium (21-40%)","High (&gt;40%)"))))</f>
        <v/>
      </c>
      <c r="Y7803" s="23" t="str">
        <f aca="false">IF(AND(ISNUMBER(C7803),ISNUMBER(D7803)),D7803-C7803,"")</f>
        <v/>
      </c>
      <c r="Z7803" s="23" t="str">
        <f aca="false">IF(B7803="","",IF(MATCH(B7803,$B$2:$B$12000,0)=ROW()-1,1,0))</f>
        <v/>
      </c>
    </row>
    <row r="7804" customFormat="false" ht="15" hidden="false" customHeight="false" outlineLevel="0" collapsed="false">
      <c r="V7804" s="23" t="str">
        <f aca="false">IF(ISNUMBER(C7804),YEAR(C7804),"")</f>
        <v/>
      </c>
      <c r="W7804" s="23" t="str">
        <f aca="false">IF(ISNUMBER(C7804),MONTH(C7804),"")</f>
        <v/>
      </c>
      <c r="X7804" s="23" t="str">
        <f aca="false">IF(T7804="","",IF(T7804=0,"No discount",IF(T7804&lt;=0.2,"Low (1-20%)",IF(T7804&lt;=0.4,"Medium (21-40%)","High (&gt;40%)"))))</f>
        <v/>
      </c>
      <c r="Y7804" s="23" t="str">
        <f aca="false">IF(AND(ISNUMBER(C7804),ISNUMBER(D7804)),D7804-C7804,"")</f>
        <v/>
      </c>
      <c r="Z7804" s="23" t="str">
        <f aca="false">IF(B7804="","",IF(MATCH(B7804,$B$2:$B$12000,0)=ROW()-1,1,0))</f>
        <v/>
      </c>
    </row>
    <row r="7805" customFormat="false" ht="15" hidden="false" customHeight="false" outlineLevel="0" collapsed="false">
      <c r="V7805" s="23" t="str">
        <f aca="false">IF(ISNUMBER(C7805),YEAR(C7805),"")</f>
        <v/>
      </c>
      <c r="W7805" s="23" t="str">
        <f aca="false">IF(ISNUMBER(C7805),MONTH(C7805),"")</f>
        <v/>
      </c>
      <c r="X7805" s="23" t="str">
        <f aca="false">IF(T7805="","",IF(T7805=0,"No discount",IF(T7805&lt;=0.2,"Low (1-20%)",IF(T7805&lt;=0.4,"Medium (21-40%)","High (&gt;40%)"))))</f>
        <v/>
      </c>
      <c r="Y7805" s="23" t="str">
        <f aca="false">IF(AND(ISNUMBER(C7805),ISNUMBER(D7805)),D7805-C7805,"")</f>
        <v/>
      </c>
      <c r="Z7805" s="23" t="str">
        <f aca="false">IF(B7805="","",IF(MATCH(B7805,$B$2:$B$12000,0)=ROW()-1,1,0))</f>
        <v/>
      </c>
    </row>
    <row r="7806" customFormat="false" ht="15" hidden="false" customHeight="false" outlineLevel="0" collapsed="false">
      <c r="V7806" s="23" t="str">
        <f aca="false">IF(ISNUMBER(C7806),YEAR(C7806),"")</f>
        <v/>
      </c>
      <c r="W7806" s="23" t="str">
        <f aca="false">IF(ISNUMBER(C7806),MONTH(C7806),"")</f>
        <v/>
      </c>
      <c r="X7806" s="23" t="str">
        <f aca="false">IF(T7806="","",IF(T7806=0,"No discount",IF(T7806&lt;=0.2,"Low (1-20%)",IF(T7806&lt;=0.4,"Medium (21-40%)","High (&gt;40%)"))))</f>
        <v/>
      </c>
      <c r="Y7806" s="23" t="str">
        <f aca="false">IF(AND(ISNUMBER(C7806),ISNUMBER(D7806)),D7806-C7806,"")</f>
        <v/>
      </c>
      <c r="Z7806" s="23" t="str">
        <f aca="false">IF(B7806="","",IF(MATCH(B7806,$B$2:$B$12000,0)=ROW()-1,1,0))</f>
        <v/>
      </c>
    </row>
    <row r="7807" customFormat="false" ht="15" hidden="false" customHeight="false" outlineLevel="0" collapsed="false">
      <c r="V7807" s="23" t="str">
        <f aca="false">IF(ISNUMBER(C7807),YEAR(C7807),"")</f>
        <v/>
      </c>
      <c r="W7807" s="23" t="str">
        <f aca="false">IF(ISNUMBER(C7807),MONTH(C7807),"")</f>
        <v/>
      </c>
      <c r="X7807" s="23" t="str">
        <f aca="false">IF(T7807="","",IF(T7807=0,"No discount",IF(T7807&lt;=0.2,"Low (1-20%)",IF(T7807&lt;=0.4,"Medium (21-40%)","High (&gt;40%)"))))</f>
        <v/>
      </c>
      <c r="Y7807" s="23" t="str">
        <f aca="false">IF(AND(ISNUMBER(C7807),ISNUMBER(D7807)),D7807-C7807,"")</f>
        <v/>
      </c>
      <c r="Z7807" s="23" t="str">
        <f aca="false">IF(B7807="","",IF(MATCH(B7807,$B$2:$B$12000,0)=ROW()-1,1,0))</f>
        <v/>
      </c>
    </row>
    <row r="7808" customFormat="false" ht="15" hidden="false" customHeight="false" outlineLevel="0" collapsed="false">
      <c r="V7808" s="23" t="str">
        <f aca="false">IF(ISNUMBER(C7808),YEAR(C7808),"")</f>
        <v/>
      </c>
      <c r="W7808" s="23" t="str">
        <f aca="false">IF(ISNUMBER(C7808),MONTH(C7808),"")</f>
        <v/>
      </c>
      <c r="X7808" s="23" t="str">
        <f aca="false">IF(T7808="","",IF(T7808=0,"No discount",IF(T7808&lt;=0.2,"Low (1-20%)",IF(T7808&lt;=0.4,"Medium (21-40%)","High (&gt;40%)"))))</f>
        <v/>
      </c>
      <c r="Y7808" s="23" t="str">
        <f aca="false">IF(AND(ISNUMBER(C7808),ISNUMBER(D7808)),D7808-C7808,"")</f>
        <v/>
      </c>
      <c r="Z7808" s="23" t="str">
        <f aca="false">IF(B7808="","",IF(MATCH(B7808,$B$2:$B$12000,0)=ROW()-1,1,0))</f>
        <v/>
      </c>
    </row>
    <row r="7809" customFormat="false" ht="15" hidden="false" customHeight="false" outlineLevel="0" collapsed="false">
      <c r="V7809" s="23" t="str">
        <f aca="false">IF(ISNUMBER(C7809),YEAR(C7809),"")</f>
        <v/>
      </c>
      <c r="W7809" s="23" t="str">
        <f aca="false">IF(ISNUMBER(C7809),MONTH(C7809),"")</f>
        <v/>
      </c>
      <c r="X7809" s="23" t="str">
        <f aca="false">IF(T7809="","",IF(T7809=0,"No discount",IF(T7809&lt;=0.2,"Low (1-20%)",IF(T7809&lt;=0.4,"Medium (21-40%)","High (&gt;40%)"))))</f>
        <v/>
      </c>
      <c r="Y7809" s="23" t="str">
        <f aca="false">IF(AND(ISNUMBER(C7809),ISNUMBER(D7809)),D7809-C7809,"")</f>
        <v/>
      </c>
      <c r="Z7809" s="23" t="str">
        <f aca="false">IF(B7809="","",IF(MATCH(B7809,$B$2:$B$12000,0)=ROW()-1,1,0))</f>
        <v/>
      </c>
    </row>
    <row r="7810" customFormat="false" ht="15" hidden="false" customHeight="false" outlineLevel="0" collapsed="false">
      <c r="V7810" s="23" t="str">
        <f aca="false">IF(ISNUMBER(C7810),YEAR(C7810),"")</f>
        <v/>
      </c>
      <c r="W7810" s="23" t="str">
        <f aca="false">IF(ISNUMBER(C7810),MONTH(C7810),"")</f>
        <v/>
      </c>
      <c r="X7810" s="23" t="str">
        <f aca="false">IF(T7810="","",IF(T7810=0,"No discount",IF(T7810&lt;=0.2,"Low (1-20%)",IF(T7810&lt;=0.4,"Medium (21-40%)","High (&gt;40%)"))))</f>
        <v/>
      </c>
      <c r="Y7810" s="23" t="str">
        <f aca="false">IF(AND(ISNUMBER(C7810),ISNUMBER(D7810)),D7810-C7810,"")</f>
        <v/>
      </c>
      <c r="Z7810" s="23" t="str">
        <f aca="false">IF(B7810="","",IF(MATCH(B7810,$B$2:$B$12000,0)=ROW()-1,1,0))</f>
        <v/>
      </c>
    </row>
    <row r="7811" customFormat="false" ht="15" hidden="false" customHeight="false" outlineLevel="0" collapsed="false">
      <c r="V7811" s="23" t="str">
        <f aca="false">IF(ISNUMBER(C7811),YEAR(C7811),"")</f>
        <v/>
      </c>
      <c r="W7811" s="23" t="str">
        <f aca="false">IF(ISNUMBER(C7811),MONTH(C7811),"")</f>
        <v/>
      </c>
      <c r="X7811" s="23" t="str">
        <f aca="false">IF(T7811="","",IF(T7811=0,"No discount",IF(T7811&lt;=0.2,"Low (1-20%)",IF(T7811&lt;=0.4,"Medium (21-40%)","High (&gt;40%)"))))</f>
        <v/>
      </c>
      <c r="Y7811" s="23" t="str">
        <f aca="false">IF(AND(ISNUMBER(C7811),ISNUMBER(D7811)),D7811-C7811,"")</f>
        <v/>
      </c>
      <c r="Z7811" s="23" t="str">
        <f aca="false">IF(B7811="","",IF(MATCH(B7811,$B$2:$B$12000,0)=ROW()-1,1,0))</f>
        <v/>
      </c>
    </row>
    <row r="7812" customFormat="false" ht="15" hidden="false" customHeight="false" outlineLevel="0" collapsed="false">
      <c r="V7812" s="23" t="str">
        <f aca="false">IF(ISNUMBER(C7812),YEAR(C7812),"")</f>
        <v/>
      </c>
      <c r="W7812" s="23" t="str">
        <f aca="false">IF(ISNUMBER(C7812),MONTH(C7812),"")</f>
        <v/>
      </c>
      <c r="X7812" s="23" t="str">
        <f aca="false">IF(T7812="","",IF(T7812=0,"No discount",IF(T7812&lt;=0.2,"Low (1-20%)",IF(T7812&lt;=0.4,"Medium (21-40%)","High (&gt;40%)"))))</f>
        <v/>
      </c>
      <c r="Y7812" s="23" t="str">
        <f aca="false">IF(AND(ISNUMBER(C7812),ISNUMBER(D7812)),D7812-C7812,"")</f>
        <v/>
      </c>
      <c r="Z7812" s="23" t="str">
        <f aca="false">IF(B7812="","",IF(MATCH(B7812,$B$2:$B$12000,0)=ROW()-1,1,0))</f>
        <v/>
      </c>
    </row>
    <row r="7813" customFormat="false" ht="15" hidden="false" customHeight="false" outlineLevel="0" collapsed="false">
      <c r="V7813" s="23" t="str">
        <f aca="false">IF(ISNUMBER(C7813),YEAR(C7813),"")</f>
        <v/>
      </c>
      <c r="W7813" s="23" t="str">
        <f aca="false">IF(ISNUMBER(C7813),MONTH(C7813),"")</f>
        <v/>
      </c>
      <c r="X7813" s="23" t="str">
        <f aca="false">IF(T7813="","",IF(T7813=0,"No discount",IF(T7813&lt;=0.2,"Low (1-20%)",IF(T7813&lt;=0.4,"Medium (21-40%)","High (&gt;40%)"))))</f>
        <v/>
      </c>
      <c r="Y7813" s="23" t="str">
        <f aca="false">IF(AND(ISNUMBER(C7813),ISNUMBER(D7813)),D7813-C7813,"")</f>
        <v/>
      </c>
      <c r="Z7813" s="23" t="str">
        <f aca="false">IF(B7813="","",IF(MATCH(B7813,$B$2:$B$12000,0)=ROW()-1,1,0))</f>
        <v/>
      </c>
    </row>
    <row r="7814" customFormat="false" ht="15" hidden="false" customHeight="false" outlineLevel="0" collapsed="false">
      <c r="V7814" s="23" t="str">
        <f aca="false">IF(ISNUMBER(C7814),YEAR(C7814),"")</f>
        <v/>
      </c>
      <c r="W7814" s="23" t="str">
        <f aca="false">IF(ISNUMBER(C7814),MONTH(C7814),"")</f>
        <v/>
      </c>
      <c r="X7814" s="23" t="str">
        <f aca="false">IF(T7814="","",IF(T7814=0,"No discount",IF(T7814&lt;=0.2,"Low (1-20%)",IF(T7814&lt;=0.4,"Medium (21-40%)","High (&gt;40%)"))))</f>
        <v/>
      </c>
      <c r="Y7814" s="23" t="str">
        <f aca="false">IF(AND(ISNUMBER(C7814),ISNUMBER(D7814)),D7814-C7814,"")</f>
        <v/>
      </c>
      <c r="Z7814" s="23" t="str">
        <f aca="false">IF(B7814="","",IF(MATCH(B7814,$B$2:$B$12000,0)=ROW()-1,1,0))</f>
        <v/>
      </c>
    </row>
    <row r="7815" customFormat="false" ht="15" hidden="false" customHeight="false" outlineLevel="0" collapsed="false">
      <c r="V7815" s="23" t="str">
        <f aca="false">IF(ISNUMBER(C7815),YEAR(C7815),"")</f>
        <v/>
      </c>
      <c r="W7815" s="23" t="str">
        <f aca="false">IF(ISNUMBER(C7815),MONTH(C7815),"")</f>
        <v/>
      </c>
      <c r="X7815" s="23" t="str">
        <f aca="false">IF(T7815="","",IF(T7815=0,"No discount",IF(T7815&lt;=0.2,"Low (1-20%)",IF(T7815&lt;=0.4,"Medium (21-40%)","High (&gt;40%)"))))</f>
        <v/>
      </c>
      <c r="Y7815" s="23" t="str">
        <f aca="false">IF(AND(ISNUMBER(C7815),ISNUMBER(D7815)),D7815-C7815,"")</f>
        <v/>
      </c>
      <c r="Z7815" s="23" t="str">
        <f aca="false">IF(B7815="","",IF(MATCH(B7815,$B$2:$B$12000,0)=ROW()-1,1,0))</f>
        <v/>
      </c>
    </row>
    <row r="7816" customFormat="false" ht="15" hidden="false" customHeight="false" outlineLevel="0" collapsed="false">
      <c r="V7816" s="23" t="str">
        <f aca="false">IF(ISNUMBER(C7816),YEAR(C7816),"")</f>
        <v/>
      </c>
      <c r="W7816" s="23" t="str">
        <f aca="false">IF(ISNUMBER(C7816),MONTH(C7816),"")</f>
        <v/>
      </c>
      <c r="X7816" s="23" t="str">
        <f aca="false">IF(T7816="","",IF(T7816=0,"No discount",IF(T7816&lt;=0.2,"Low (1-20%)",IF(T7816&lt;=0.4,"Medium (21-40%)","High (&gt;40%)"))))</f>
        <v/>
      </c>
      <c r="Y7816" s="23" t="str">
        <f aca="false">IF(AND(ISNUMBER(C7816),ISNUMBER(D7816)),D7816-C7816,"")</f>
        <v/>
      </c>
      <c r="Z7816" s="23" t="str">
        <f aca="false">IF(B7816="","",IF(MATCH(B7816,$B$2:$B$12000,0)=ROW()-1,1,0))</f>
        <v/>
      </c>
    </row>
    <row r="7817" customFormat="false" ht="15" hidden="false" customHeight="false" outlineLevel="0" collapsed="false">
      <c r="V7817" s="23" t="str">
        <f aca="false">IF(ISNUMBER(C7817),YEAR(C7817),"")</f>
        <v/>
      </c>
      <c r="W7817" s="23" t="str">
        <f aca="false">IF(ISNUMBER(C7817),MONTH(C7817),"")</f>
        <v/>
      </c>
      <c r="X7817" s="23" t="str">
        <f aca="false">IF(T7817="","",IF(T7817=0,"No discount",IF(T7817&lt;=0.2,"Low (1-20%)",IF(T7817&lt;=0.4,"Medium (21-40%)","High (&gt;40%)"))))</f>
        <v/>
      </c>
      <c r="Y7817" s="23" t="str">
        <f aca="false">IF(AND(ISNUMBER(C7817),ISNUMBER(D7817)),D7817-C7817,"")</f>
        <v/>
      </c>
      <c r="Z7817" s="23" t="str">
        <f aca="false">IF(B7817="","",IF(MATCH(B7817,$B$2:$B$12000,0)=ROW()-1,1,0))</f>
        <v/>
      </c>
    </row>
    <row r="7818" customFormat="false" ht="15" hidden="false" customHeight="false" outlineLevel="0" collapsed="false">
      <c r="V7818" s="23" t="str">
        <f aca="false">IF(ISNUMBER(C7818),YEAR(C7818),"")</f>
        <v/>
      </c>
      <c r="W7818" s="23" t="str">
        <f aca="false">IF(ISNUMBER(C7818),MONTH(C7818),"")</f>
        <v/>
      </c>
      <c r="X7818" s="23" t="str">
        <f aca="false">IF(T7818="","",IF(T7818=0,"No discount",IF(T7818&lt;=0.2,"Low (1-20%)",IF(T7818&lt;=0.4,"Medium (21-40%)","High (&gt;40%)"))))</f>
        <v/>
      </c>
      <c r="Y7818" s="23" t="str">
        <f aca="false">IF(AND(ISNUMBER(C7818),ISNUMBER(D7818)),D7818-C7818,"")</f>
        <v/>
      </c>
      <c r="Z7818" s="23" t="str">
        <f aca="false">IF(B7818="","",IF(MATCH(B7818,$B$2:$B$12000,0)=ROW()-1,1,0))</f>
        <v/>
      </c>
    </row>
    <row r="7819" customFormat="false" ht="15" hidden="false" customHeight="false" outlineLevel="0" collapsed="false">
      <c r="V7819" s="23" t="str">
        <f aca="false">IF(ISNUMBER(C7819),YEAR(C7819),"")</f>
        <v/>
      </c>
      <c r="W7819" s="23" t="str">
        <f aca="false">IF(ISNUMBER(C7819),MONTH(C7819),"")</f>
        <v/>
      </c>
      <c r="X7819" s="23" t="str">
        <f aca="false">IF(T7819="","",IF(T7819=0,"No discount",IF(T7819&lt;=0.2,"Low (1-20%)",IF(T7819&lt;=0.4,"Medium (21-40%)","High (&gt;40%)"))))</f>
        <v/>
      </c>
      <c r="Y7819" s="23" t="str">
        <f aca="false">IF(AND(ISNUMBER(C7819),ISNUMBER(D7819)),D7819-C7819,"")</f>
        <v/>
      </c>
      <c r="Z7819" s="23" t="str">
        <f aca="false">IF(B7819="","",IF(MATCH(B7819,$B$2:$B$12000,0)=ROW()-1,1,0))</f>
        <v/>
      </c>
    </row>
    <row r="7820" customFormat="false" ht="15" hidden="false" customHeight="false" outlineLevel="0" collapsed="false">
      <c r="V7820" s="23" t="str">
        <f aca="false">IF(ISNUMBER(C7820),YEAR(C7820),"")</f>
        <v/>
      </c>
      <c r="W7820" s="23" t="str">
        <f aca="false">IF(ISNUMBER(C7820),MONTH(C7820),"")</f>
        <v/>
      </c>
      <c r="X7820" s="23" t="str">
        <f aca="false">IF(T7820="","",IF(T7820=0,"No discount",IF(T7820&lt;=0.2,"Low (1-20%)",IF(T7820&lt;=0.4,"Medium (21-40%)","High (&gt;40%)"))))</f>
        <v/>
      </c>
      <c r="Y7820" s="23" t="str">
        <f aca="false">IF(AND(ISNUMBER(C7820),ISNUMBER(D7820)),D7820-C7820,"")</f>
        <v/>
      </c>
      <c r="Z7820" s="23" t="str">
        <f aca="false">IF(B7820="","",IF(MATCH(B7820,$B$2:$B$12000,0)=ROW()-1,1,0))</f>
        <v/>
      </c>
    </row>
    <row r="7821" customFormat="false" ht="15" hidden="false" customHeight="false" outlineLevel="0" collapsed="false">
      <c r="V7821" s="23" t="str">
        <f aca="false">IF(ISNUMBER(C7821),YEAR(C7821),"")</f>
        <v/>
      </c>
      <c r="W7821" s="23" t="str">
        <f aca="false">IF(ISNUMBER(C7821),MONTH(C7821),"")</f>
        <v/>
      </c>
      <c r="X7821" s="23" t="str">
        <f aca="false">IF(T7821="","",IF(T7821=0,"No discount",IF(T7821&lt;=0.2,"Low (1-20%)",IF(T7821&lt;=0.4,"Medium (21-40%)","High (&gt;40%)"))))</f>
        <v/>
      </c>
      <c r="Y7821" s="23" t="str">
        <f aca="false">IF(AND(ISNUMBER(C7821),ISNUMBER(D7821)),D7821-C7821,"")</f>
        <v/>
      </c>
      <c r="Z7821" s="23" t="str">
        <f aca="false">IF(B7821="","",IF(MATCH(B7821,$B$2:$B$12000,0)=ROW()-1,1,0))</f>
        <v/>
      </c>
    </row>
    <row r="7822" customFormat="false" ht="15" hidden="false" customHeight="false" outlineLevel="0" collapsed="false">
      <c r="V7822" s="23" t="str">
        <f aca="false">IF(ISNUMBER(C7822),YEAR(C7822),"")</f>
        <v/>
      </c>
      <c r="W7822" s="23" t="str">
        <f aca="false">IF(ISNUMBER(C7822),MONTH(C7822),"")</f>
        <v/>
      </c>
      <c r="X7822" s="23" t="str">
        <f aca="false">IF(T7822="","",IF(T7822=0,"No discount",IF(T7822&lt;=0.2,"Low (1-20%)",IF(T7822&lt;=0.4,"Medium (21-40%)","High (&gt;40%)"))))</f>
        <v/>
      </c>
      <c r="Y7822" s="23" t="str">
        <f aca="false">IF(AND(ISNUMBER(C7822),ISNUMBER(D7822)),D7822-C7822,"")</f>
        <v/>
      </c>
      <c r="Z7822" s="23" t="str">
        <f aca="false">IF(B7822="","",IF(MATCH(B7822,$B$2:$B$12000,0)=ROW()-1,1,0))</f>
        <v/>
      </c>
    </row>
    <row r="7823" customFormat="false" ht="15" hidden="false" customHeight="false" outlineLevel="0" collapsed="false">
      <c r="V7823" s="23" t="str">
        <f aca="false">IF(ISNUMBER(C7823),YEAR(C7823),"")</f>
        <v/>
      </c>
      <c r="W7823" s="23" t="str">
        <f aca="false">IF(ISNUMBER(C7823),MONTH(C7823),"")</f>
        <v/>
      </c>
      <c r="X7823" s="23" t="str">
        <f aca="false">IF(T7823="","",IF(T7823=0,"No discount",IF(T7823&lt;=0.2,"Low (1-20%)",IF(T7823&lt;=0.4,"Medium (21-40%)","High (&gt;40%)"))))</f>
        <v/>
      </c>
      <c r="Y7823" s="23" t="str">
        <f aca="false">IF(AND(ISNUMBER(C7823),ISNUMBER(D7823)),D7823-C7823,"")</f>
        <v/>
      </c>
      <c r="Z7823" s="23" t="str">
        <f aca="false">IF(B7823="","",IF(MATCH(B7823,$B$2:$B$12000,0)=ROW()-1,1,0))</f>
        <v/>
      </c>
    </row>
    <row r="7824" customFormat="false" ht="15" hidden="false" customHeight="false" outlineLevel="0" collapsed="false">
      <c r="V7824" s="23" t="str">
        <f aca="false">IF(ISNUMBER(C7824),YEAR(C7824),"")</f>
        <v/>
      </c>
      <c r="W7824" s="23" t="str">
        <f aca="false">IF(ISNUMBER(C7824),MONTH(C7824),"")</f>
        <v/>
      </c>
      <c r="X7824" s="23" t="str">
        <f aca="false">IF(T7824="","",IF(T7824=0,"No discount",IF(T7824&lt;=0.2,"Low (1-20%)",IF(T7824&lt;=0.4,"Medium (21-40%)","High (&gt;40%)"))))</f>
        <v/>
      </c>
      <c r="Y7824" s="23" t="str">
        <f aca="false">IF(AND(ISNUMBER(C7824),ISNUMBER(D7824)),D7824-C7824,"")</f>
        <v/>
      </c>
      <c r="Z7824" s="23" t="str">
        <f aca="false">IF(B7824="","",IF(MATCH(B7824,$B$2:$B$12000,0)=ROW()-1,1,0))</f>
        <v/>
      </c>
    </row>
    <row r="7825" customFormat="false" ht="15" hidden="false" customHeight="false" outlineLevel="0" collapsed="false">
      <c r="V7825" s="23" t="str">
        <f aca="false">IF(ISNUMBER(C7825),YEAR(C7825),"")</f>
        <v/>
      </c>
      <c r="W7825" s="23" t="str">
        <f aca="false">IF(ISNUMBER(C7825),MONTH(C7825),"")</f>
        <v/>
      </c>
      <c r="X7825" s="23" t="str">
        <f aca="false">IF(T7825="","",IF(T7825=0,"No discount",IF(T7825&lt;=0.2,"Low (1-20%)",IF(T7825&lt;=0.4,"Medium (21-40%)","High (&gt;40%)"))))</f>
        <v/>
      </c>
      <c r="Y7825" s="23" t="str">
        <f aca="false">IF(AND(ISNUMBER(C7825),ISNUMBER(D7825)),D7825-C7825,"")</f>
        <v/>
      </c>
      <c r="Z7825" s="23" t="str">
        <f aca="false">IF(B7825="","",IF(MATCH(B7825,$B$2:$B$12000,0)=ROW()-1,1,0))</f>
        <v/>
      </c>
    </row>
    <row r="7826" customFormat="false" ht="15" hidden="false" customHeight="false" outlineLevel="0" collapsed="false">
      <c r="V7826" s="23" t="str">
        <f aca="false">IF(ISNUMBER(C7826),YEAR(C7826),"")</f>
        <v/>
      </c>
      <c r="W7826" s="23" t="str">
        <f aca="false">IF(ISNUMBER(C7826),MONTH(C7826),"")</f>
        <v/>
      </c>
      <c r="X7826" s="23" t="str">
        <f aca="false">IF(T7826="","",IF(T7826=0,"No discount",IF(T7826&lt;=0.2,"Low (1-20%)",IF(T7826&lt;=0.4,"Medium (21-40%)","High (&gt;40%)"))))</f>
        <v/>
      </c>
      <c r="Y7826" s="23" t="str">
        <f aca="false">IF(AND(ISNUMBER(C7826),ISNUMBER(D7826)),D7826-C7826,"")</f>
        <v/>
      </c>
      <c r="Z7826" s="23" t="str">
        <f aca="false">IF(B7826="","",IF(MATCH(B7826,$B$2:$B$12000,0)=ROW()-1,1,0))</f>
        <v/>
      </c>
    </row>
    <row r="7827" customFormat="false" ht="15" hidden="false" customHeight="false" outlineLevel="0" collapsed="false">
      <c r="V7827" s="23" t="str">
        <f aca="false">IF(ISNUMBER(C7827),YEAR(C7827),"")</f>
        <v/>
      </c>
      <c r="W7827" s="23" t="str">
        <f aca="false">IF(ISNUMBER(C7827),MONTH(C7827),"")</f>
        <v/>
      </c>
      <c r="X7827" s="23" t="str">
        <f aca="false">IF(T7827="","",IF(T7827=0,"No discount",IF(T7827&lt;=0.2,"Low (1-20%)",IF(T7827&lt;=0.4,"Medium (21-40%)","High (&gt;40%)"))))</f>
        <v/>
      </c>
      <c r="Y7827" s="23" t="str">
        <f aca="false">IF(AND(ISNUMBER(C7827),ISNUMBER(D7827)),D7827-C7827,"")</f>
        <v/>
      </c>
      <c r="Z7827" s="23" t="str">
        <f aca="false">IF(B7827="","",IF(MATCH(B7827,$B$2:$B$12000,0)=ROW()-1,1,0))</f>
        <v/>
      </c>
    </row>
    <row r="7828" customFormat="false" ht="15" hidden="false" customHeight="false" outlineLevel="0" collapsed="false">
      <c r="V7828" s="23" t="str">
        <f aca="false">IF(ISNUMBER(C7828),YEAR(C7828),"")</f>
        <v/>
      </c>
      <c r="W7828" s="23" t="str">
        <f aca="false">IF(ISNUMBER(C7828),MONTH(C7828),"")</f>
        <v/>
      </c>
      <c r="X7828" s="23" t="str">
        <f aca="false">IF(T7828="","",IF(T7828=0,"No discount",IF(T7828&lt;=0.2,"Low (1-20%)",IF(T7828&lt;=0.4,"Medium (21-40%)","High (&gt;40%)"))))</f>
        <v/>
      </c>
      <c r="Y7828" s="23" t="str">
        <f aca="false">IF(AND(ISNUMBER(C7828),ISNUMBER(D7828)),D7828-C7828,"")</f>
        <v/>
      </c>
      <c r="Z7828" s="23" t="str">
        <f aca="false">IF(B7828="","",IF(MATCH(B7828,$B$2:$B$12000,0)=ROW()-1,1,0))</f>
        <v/>
      </c>
    </row>
    <row r="7829" customFormat="false" ht="15" hidden="false" customHeight="false" outlineLevel="0" collapsed="false">
      <c r="V7829" s="23" t="str">
        <f aca="false">IF(ISNUMBER(C7829),YEAR(C7829),"")</f>
        <v/>
      </c>
      <c r="W7829" s="23" t="str">
        <f aca="false">IF(ISNUMBER(C7829),MONTH(C7829),"")</f>
        <v/>
      </c>
      <c r="X7829" s="23" t="str">
        <f aca="false">IF(T7829="","",IF(T7829=0,"No discount",IF(T7829&lt;=0.2,"Low (1-20%)",IF(T7829&lt;=0.4,"Medium (21-40%)","High (&gt;40%)"))))</f>
        <v/>
      </c>
      <c r="Y7829" s="23" t="str">
        <f aca="false">IF(AND(ISNUMBER(C7829),ISNUMBER(D7829)),D7829-C7829,"")</f>
        <v/>
      </c>
      <c r="Z7829" s="23" t="str">
        <f aca="false">IF(B7829="","",IF(MATCH(B7829,$B$2:$B$12000,0)=ROW()-1,1,0))</f>
        <v/>
      </c>
    </row>
    <row r="7830" customFormat="false" ht="15" hidden="false" customHeight="false" outlineLevel="0" collapsed="false">
      <c r="V7830" s="23" t="str">
        <f aca="false">IF(ISNUMBER(C7830),YEAR(C7830),"")</f>
        <v/>
      </c>
      <c r="W7830" s="23" t="str">
        <f aca="false">IF(ISNUMBER(C7830),MONTH(C7830),"")</f>
        <v/>
      </c>
      <c r="X7830" s="23" t="str">
        <f aca="false">IF(T7830="","",IF(T7830=0,"No discount",IF(T7830&lt;=0.2,"Low (1-20%)",IF(T7830&lt;=0.4,"Medium (21-40%)","High (&gt;40%)"))))</f>
        <v/>
      </c>
      <c r="Y7830" s="23" t="str">
        <f aca="false">IF(AND(ISNUMBER(C7830),ISNUMBER(D7830)),D7830-C7830,"")</f>
        <v/>
      </c>
      <c r="Z7830" s="23" t="str">
        <f aca="false">IF(B7830="","",IF(MATCH(B7830,$B$2:$B$12000,0)=ROW()-1,1,0))</f>
        <v/>
      </c>
    </row>
    <row r="7831" customFormat="false" ht="15" hidden="false" customHeight="false" outlineLevel="0" collapsed="false">
      <c r="V7831" s="23" t="str">
        <f aca="false">IF(ISNUMBER(C7831),YEAR(C7831),"")</f>
        <v/>
      </c>
      <c r="W7831" s="23" t="str">
        <f aca="false">IF(ISNUMBER(C7831),MONTH(C7831),"")</f>
        <v/>
      </c>
      <c r="X7831" s="23" t="str">
        <f aca="false">IF(T7831="","",IF(T7831=0,"No discount",IF(T7831&lt;=0.2,"Low (1-20%)",IF(T7831&lt;=0.4,"Medium (21-40%)","High (&gt;40%)"))))</f>
        <v/>
      </c>
      <c r="Y7831" s="23" t="str">
        <f aca="false">IF(AND(ISNUMBER(C7831),ISNUMBER(D7831)),D7831-C7831,"")</f>
        <v/>
      </c>
      <c r="Z7831" s="23" t="str">
        <f aca="false">IF(B7831="","",IF(MATCH(B7831,$B$2:$B$12000,0)=ROW()-1,1,0))</f>
        <v/>
      </c>
    </row>
    <row r="7832" customFormat="false" ht="15" hidden="false" customHeight="false" outlineLevel="0" collapsed="false">
      <c r="V7832" s="23" t="str">
        <f aca="false">IF(ISNUMBER(C7832),YEAR(C7832),"")</f>
        <v/>
      </c>
      <c r="W7832" s="23" t="str">
        <f aca="false">IF(ISNUMBER(C7832),MONTH(C7832),"")</f>
        <v/>
      </c>
      <c r="X7832" s="23" t="str">
        <f aca="false">IF(T7832="","",IF(T7832=0,"No discount",IF(T7832&lt;=0.2,"Low (1-20%)",IF(T7832&lt;=0.4,"Medium (21-40%)","High (&gt;40%)"))))</f>
        <v/>
      </c>
      <c r="Y7832" s="23" t="str">
        <f aca="false">IF(AND(ISNUMBER(C7832),ISNUMBER(D7832)),D7832-C7832,"")</f>
        <v/>
      </c>
      <c r="Z7832" s="23" t="str">
        <f aca="false">IF(B7832="","",IF(MATCH(B7832,$B$2:$B$12000,0)=ROW()-1,1,0))</f>
        <v/>
      </c>
    </row>
    <row r="7833" customFormat="false" ht="15" hidden="false" customHeight="false" outlineLevel="0" collapsed="false">
      <c r="V7833" s="23" t="str">
        <f aca="false">IF(ISNUMBER(C7833),YEAR(C7833),"")</f>
        <v/>
      </c>
      <c r="W7833" s="23" t="str">
        <f aca="false">IF(ISNUMBER(C7833),MONTH(C7833),"")</f>
        <v/>
      </c>
      <c r="X7833" s="23" t="str">
        <f aca="false">IF(T7833="","",IF(T7833=0,"No discount",IF(T7833&lt;=0.2,"Low (1-20%)",IF(T7833&lt;=0.4,"Medium (21-40%)","High (&gt;40%)"))))</f>
        <v/>
      </c>
      <c r="Y7833" s="23" t="str">
        <f aca="false">IF(AND(ISNUMBER(C7833),ISNUMBER(D7833)),D7833-C7833,"")</f>
        <v/>
      </c>
      <c r="Z7833" s="23" t="str">
        <f aca="false">IF(B7833="","",IF(MATCH(B7833,$B$2:$B$12000,0)=ROW()-1,1,0))</f>
        <v/>
      </c>
    </row>
    <row r="7834" customFormat="false" ht="15" hidden="false" customHeight="false" outlineLevel="0" collapsed="false">
      <c r="V7834" s="23" t="str">
        <f aca="false">IF(ISNUMBER(C7834),YEAR(C7834),"")</f>
        <v/>
      </c>
      <c r="W7834" s="23" t="str">
        <f aca="false">IF(ISNUMBER(C7834),MONTH(C7834),"")</f>
        <v/>
      </c>
      <c r="X7834" s="23" t="str">
        <f aca="false">IF(T7834="","",IF(T7834=0,"No discount",IF(T7834&lt;=0.2,"Low (1-20%)",IF(T7834&lt;=0.4,"Medium (21-40%)","High (&gt;40%)"))))</f>
        <v/>
      </c>
      <c r="Y7834" s="23" t="str">
        <f aca="false">IF(AND(ISNUMBER(C7834),ISNUMBER(D7834)),D7834-C7834,"")</f>
        <v/>
      </c>
      <c r="Z7834" s="23" t="str">
        <f aca="false">IF(B7834="","",IF(MATCH(B7834,$B$2:$B$12000,0)=ROW()-1,1,0))</f>
        <v/>
      </c>
    </row>
    <row r="7835" customFormat="false" ht="15" hidden="false" customHeight="false" outlineLevel="0" collapsed="false">
      <c r="V7835" s="23" t="str">
        <f aca="false">IF(ISNUMBER(C7835),YEAR(C7835),"")</f>
        <v/>
      </c>
      <c r="W7835" s="23" t="str">
        <f aca="false">IF(ISNUMBER(C7835),MONTH(C7835),"")</f>
        <v/>
      </c>
      <c r="X7835" s="23" t="str">
        <f aca="false">IF(T7835="","",IF(T7835=0,"No discount",IF(T7835&lt;=0.2,"Low (1-20%)",IF(T7835&lt;=0.4,"Medium (21-40%)","High (&gt;40%)"))))</f>
        <v/>
      </c>
      <c r="Y7835" s="23" t="str">
        <f aca="false">IF(AND(ISNUMBER(C7835),ISNUMBER(D7835)),D7835-C7835,"")</f>
        <v/>
      </c>
      <c r="Z7835" s="23" t="str">
        <f aca="false">IF(B7835="","",IF(MATCH(B7835,$B$2:$B$12000,0)=ROW()-1,1,0))</f>
        <v/>
      </c>
    </row>
    <row r="7836" customFormat="false" ht="15" hidden="false" customHeight="false" outlineLevel="0" collapsed="false">
      <c r="V7836" s="23" t="str">
        <f aca="false">IF(ISNUMBER(C7836),YEAR(C7836),"")</f>
        <v/>
      </c>
      <c r="W7836" s="23" t="str">
        <f aca="false">IF(ISNUMBER(C7836),MONTH(C7836),"")</f>
        <v/>
      </c>
      <c r="X7836" s="23" t="str">
        <f aca="false">IF(T7836="","",IF(T7836=0,"No discount",IF(T7836&lt;=0.2,"Low (1-20%)",IF(T7836&lt;=0.4,"Medium (21-40%)","High (&gt;40%)"))))</f>
        <v/>
      </c>
      <c r="Y7836" s="23" t="str">
        <f aca="false">IF(AND(ISNUMBER(C7836),ISNUMBER(D7836)),D7836-C7836,"")</f>
        <v/>
      </c>
      <c r="Z7836" s="23" t="str">
        <f aca="false">IF(B7836="","",IF(MATCH(B7836,$B$2:$B$12000,0)=ROW()-1,1,0))</f>
        <v/>
      </c>
    </row>
    <row r="7837" customFormat="false" ht="15" hidden="false" customHeight="false" outlineLevel="0" collapsed="false">
      <c r="V7837" s="23" t="str">
        <f aca="false">IF(ISNUMBER(C7837),YEAR(C7837),"")</f>
        <v/>
      </c>
      <c r="W7837" s="23" t="str">
        <f aca="false">IF(ISNUMBER(C7837),MONTH(C7837),"")</f>
        <v/>
      </c>
      <c r="X7837" s="23" t="str">
        <f aca="false">IF(T7837="","",IF(T7837=0,"No discount",IF(T7837&lt;=0.2,"Low (1-20%)",IF(T7837&lt;=0.4,"Medium (21-40%)","High (&gt;40%)"))))</f>
        <v/>
      </c>
      <c r="Y7837" s="23" t="str">
        <f aca="false">IF(AND(ISNUMBER(C7837),ISNUMBER(D7837)),D7837-C7837,"")</f>
        <v/>
      </c>
      <c r="Z7837" s="23" t="str">
        <f aca="false">IF(B7837="","",IF(MATCH(B7837,$B$2:$B$12000,0)=ROW()-1,1,0))</f>
        <v/>
      </c>
    </row>
    <row r="7838" customFormat="false" ht="15" hidden="false" customHeight="false" outlineLevel="0" collapsed="false">
      <c r="V7838" s="23" t="str">
        <f aca="false">IF(ISNUMBER(C7838),YEAR(C7838),"")</f>
        <v/>
      </c>
      <c r="W7838" s="23" t="str">
        <f aca="false">IF(ISNUMBER(C7838),MONTH(C7838),"")</f>
        <v/>
      </c>
      <c r="X7838" s="23" t="str">
        <f aca="false">IF(T7838="","",IF(T7838=0,"No discount",IF(T7838&lt;=0.2,"Low (1-20%)",IF(T7838&lt;=0.4,"Medium (21-40%)","High (&gt;40%)"))))</f>
        <v/>
      </c>
      <c r="Y7838" s="23" t="str">
        <f aca="false">IF(AND(ISNUMBER(C7838),ISNUMBER(D7838)),D7838-C7838,"")</f>
        <v/>
      </c>
      <c r="Z7838" s="23" t="str">
        <f aca="false">IF(B7838="","",IF(MATCH(B7838,$B$2:$B$12000,0)=ROW()-1,1,0))</f>
        <v/>
      </c>
    </row>
    <row r="7839" customFormat="false" ht="15" hidden="false" customHeight="false" outlineLevel="0" collapsed="false">
      <c r="V7839" s="23" t="str">
        <f aca="false">IF(ISNUMBER(C7839),YEAR(C7839),"")</f>
        <v/>
      </c>
      <c r="W7839" s="23" t="str">
        <f aca="false">IF(ISNUMBER(C7839),MONTH(C7839),"")</f>
        <v/>
      </c>
      <c r="X7839" s="23" t="str">
        <f aca="false">IF(T7839="","",IF(T7839=0,"No discount",IF(T7839&lt;=0.2,"Low (1-20%)",IF(T7839&lt;=0.4,"Medium (21-40%)","High (&gt;40%)"))))</f>
        <v/>
      </c>
      <c r="Y7839" s="23" t="str">
        <f aca="false">IF(AND(ISNUMBER(C7839),ISNUMBER(D7839)),D7839-C7839,"")</f>
        <v/>
      </c>
      <c r="Z7839" s="23" t="str">
        <f aca="false">IF(B7839="","",IF(MATCH(B7839,$B$2:$B$12000,0)=ROW()-1,1,0))</f>
        <v/>
      </c>
    </row>
    <row r="7840" customFormat="false" ht="15" hidden="false" customHeight="false" outlineLevel="0" collapsed="false">
      <c r="V7840" s="23" t="str">
        <f aca="false">IF(ISNUMBER(C7840),YEAR(C7840),"")</f>
        <v/>
      </c>
      <c r="W7840" s="23" t="str">
        <f aca="false">IF(ISNUMBER(C7840),MONTH(C7840),"")</f>
        <v/>
      </c>
      <c r="X7840" s="23" t="str">
        <f aca="false">IF(T7840="","",IF(T7840=0,"No discount",IF(T7840&lt;=0.2,"Low (1-20%)",IF(T7840&lt;=0.4,"Medium (21-40%)","High (&gt;40%)"))))</f>
        <v/>
      </c>
      <c r="Y7840" s="23" t="str">
        <f aca="false">IF(AND(ISNUMBER(C7840),ISNUMBER(D7840)),D7840-C7840,"")</f>
        <v/>
      </c>
      <c r="Z7840" s="23" t="str">
        <f aca="false">IF(B7840="","",IF(MATCH(B7840,$B$2:$B$12000,0)=ROW()-1,1,0))</f>
        <v/>
      </c>
    </row>
    <row r="7841" customFormat="false" ht="15" hidden="false" customHeight="false" outlineLevel="0" collapsed="false">
      <c r="V7841" s="23" t="str">
        <f aca="false">IF(ISNUMBER(C7841),YEAR(C7841),"")</f>
        <v/>
      </c>
      <c r="W7841" s="23" t="str">
        <f aca="false">IF(ISNUMBER(C7841),MONTH(C7841),"")</f>
        <v/>
      </c>
      <c r="X7841" s="23" t="str">
        <f aca="false">IF(T7841="","",IF(T7841=0,"No discount",IF(T7841&lt;=0.2,"Low (1-20%)",IF(T7841&lt;=0.4,"Medium (21-40%)","High (&gt;40%)"))))</f>
        <v/>
      </c>
      <c r="Y7841" s="23" t="str">
        <f aca="false">IF(AND(ISNUMBER(C7841),ISNUMBER(D7841)),D7841-C7841,"")</f>
        <v/>
      </c>
      <c r="Z7841" s="23" t="str">
        <f aca="false">IF(B7841="","",IF(MATCH(B7841,$B$2:$B$12000,0)=ROW()-1,1,0))</f>
        <v/>
      </c>
    </row>
    <row r="7842" customFormat="false" ht="15" hidden="false" customHeight="false" outlineLevel="0" collapsed="false">
      <c r="V7842" s="23" t="str">
        <f aca="false">IF(ISNUMBER(C7842),YEAR(C7842),"")</f>
        <v/>
      </c>
      <c r="W7842" s="23" t="str">
        <f aca="false">IF(ISNUMBER(C7842),MONTH(C7842),"")</f>
        <v/>
      </c>
      <c r="X7842" s="23" t="str">
        <f aca="false">IF(T7842="","",IF(T7842=0,"No discount",IF(T7842&lt;=0.2,"Low (1-20%)",IF(T7842&lt;=0.4,"Medium (21-40%)","High (&gt;40%)"))))</f>
        <v/>
      </c>
      <c r="Y7842" s="23" t="str">
        <f aca="false">IF(AND(ISNUMBER(C7842),ISNUMBER(D7842)),D7842-C7842,"")</f>
        <v/>
      </c>
      <c r="Z7842" s="23" t="str">
        <f aca="false">IF(B7842="","",IF(MATCH(B7842,$B$2:$B$12000,0)=ROW()-1,1,0))</f>
        <v/>
      </c>
    </row>
    <row r="7843" customFormat="false" ht="15" hidden="false" customHeight="false" outlineLevel="0" collapsed="false">
      <c r="V7843" s="23" t="str">
        <f aca="false">IF(ISNUMBER(C7843),YEAR(C7843),"")</f>
        <v/>
      </c>
      <c r="W7843" s="23" t="str">
        <f aca="false">IF(ISNUMBER(C7843),MONTH(C7843),"")</f>
        <v/>
      </c>
      <c r="X7843" s="23" t="str">
        <f aca="false">IF(T7843="","",IF(T7843=0,"No discount",IF(T7843&lt;=0.2,"Low (1-20%)",IF(T7843&lt;=0.4,"Medium (21-40%)","High (&gt;40%)"))))</f>
        <v/>
      </c>
      <c r="Y7843" s="23" t="str">
        <f aca="false">IF(AND(ISNUMBER(C7843),ISNUMBER(D7843)),D7843-C7843,"")</f>
        <v/>
      </c>
      <c r="Z7843" s="23" t="str">
        <f aca="false">IF(B7843="","",IF(MATCH(B7843,$B$2:$B$12000,0)=ROW()-1,1,0))</f>
        <v/>
      </c>
    </row>
    <row r="7844" customFormat="false" ht="15" hidden="false" customHeight="false" outlineLevel="0" collapsed="false">
      <c r="V7844" s="23" t="str">
        <f aca="false">IF(ISNUMBER(C7844),YEAR(C7844),"")</f>
        <v/>
      </c>
      <c r="W7844" s="23" t="str">
        <f aca="false">IF(ISNUMBER(C7844),MONTH(C7844),"")</f>
        <v/>
      </c>
      <c r="X7844" s="23" t="str">
        <f aca="false">IF(T7844="","",IF(T7844=0,"No discount",IF(T7844&lt;=0.2,"Low (1-20%)",IF(T7844&lt;=0.4,"Medium (21-40%)","High (&gt;40%)"))))</f>
        <v/>
      </c>
      <c r="Y7844" s="23" t="str">
        <f aca="false">IF(AND(ISNUMBER(C7844),ISNUMBER(D7844)),D7844-C7844,"")</f>
        <v/>
      </c>
      <c r="Z7844" s="23" t="str">
        <f aca="false">IF(B7844="","",IF(MATCH(B7844,$B$2:$B$12000,0)=ROW()-1,1,0))</f>
        <v/>
      </c>
    </row>
    <row r="7845" customFormat="false" ht="15" hidden="false" customHeight="false" outlineLevel="0" collapsed="false">
      <c r="V7845" s="23" t="str">
        <f aca="false">IF(ISNUMBER(C7845),YEAR(C7845),"")</f>
        <v/>
      </c>
      <c r="W7845" s="23" t="str">
        <f aca="false">IF(ISNUMBER(C7845),MONTH(C7845),"")</f>
        <v/>
      </c>
      <c r="X7845" s="23" t="str">
        <f aca="false">IF(T7845="","",IF(T7845=0,"No discount",IF(T7845&lt;=0.2,"Low (1-20%)",IF(T7845&lt;=0.4,"Medium (21-40%)","High (&gt;40%)"))))</f>
        <v/>
      </c>
      <c r="Y7845" s="23" t="str">
        <f aca="false">IF(AND(ISNUMBER(C7845),ISNUMBER(D7845)),D7845-C7845,"")</f>
        <v/>
      </c>
      <c r="Z7845" s="23" t="str">
        <f aca="false">IF(B7845="","",IF(MATCH(B7845,$B$2:$B$12000,0)=ROW()-1,1,0))</f>
        <v/>
      </c>
    </row>
    <row r="7846" customFormat="false" ht="15" hidden="false" customHeight="false" outlineLevel="0" collapsed="false">
      <c r="V7846" s="23" t="str">
        <f aca="false">IF(ISNUMBER(C7846),YEAR(C7846),"")</f>
        <v/>
      </c>
      <c r="W7846" s="23" t="str">
        <f aca="false">IF(ISNUMBER(C7846),MONTH(C7846),"")</f>
        <v/>
      </c>
      <c r="X7846" s="23" t="str">
        <f aca="false">IF(T7846="","",IF(T7846=0,"No discount",IF(T7846&lt;=0.2,"Low (1-20%)",IF(T7846&lt;=0.4,"Medium (21-40%)","High (&gt;40%)"))))</f>
        <v/>
      </c>
      <c r="Y7846" s="23" t="str">
        <f aca="false">IF(AND(ISNUMBER(C7846),ISNUMBER(D7846)),D7846-C7846,"")</f>
        <v/>
      </c>
      <c r="Z7846" s="23" t="str">
        <f aca="false">IF(B7846="","",IF(MATCH(B7846,$B$2:$B$12000,0)=ROW()-1,1,0))</f>
        <v/>
      </c>
    </row>
    <row r="7847" customFormat="false" ht="15" hidden="false" customHeight="false" outlineLevel="0" collapsed="false">
      <c r="V7847" s="23" t="str">
        <f aca="false">IF(ISNUMBER(C7847),YEAR(C7847),"")</f>
        <v/>
      </c>
      <c r="W7847" s="23" t="str">
        <f aca="false">IF(ISNUMBER(C7847),MONTH(C7847),"")</f>
        <v/>
      </c>
      <c r="X7847" s="23" t="str">
        <f aca="false">IF(T7847="","",IF(T7847=0,"No discount",IF(T7847&lt;=0.2,"Low (1-20%)",IF(T7847&lt;=0.4,"Medium (21-40%)","High (&gt;40%)"))))</f>
        <v/>
      </c>
      <c r="Y7847" s="23" t="str">
        <f aca="false">IF(AND(ISNUMBER(C7847),ISNUMBER(D7847)),D7847-C7847,"")</f>
        <v/>
      </c>
      <c r="Z7847" s="23" t="str">
        <f aca="false">IF(B7847="","",IF(MATCH(B7847,$B$2:$B$12000,0)=ROW()-1,1,0))</f>
        <v/>
      </c>
    </row>
    <row r="7848" customFormat="false" ht="15" hidden="false" customHeight="false" outlineLevel="0" collapsed="false">
      <c r="V7848" s="23" t="str">
        <f aca="false">IF(ISNUMBER(C7848),YEAR(C7848),"")</f>
        <v/>
      </c>
      <c r="W7848" s="23" t="str">
        <f aca="false">IF(ISNUMBER(C7848),MONTH(C7848),"")</f>
        <v/>
      </c>
      <c r="X7848" s="23" t="str">
        <f aca="false">IF(T7848="","",IF(T7848=0,"No discount",IF(T7848&lt;=0.2,"Low (1-20%)",IF(T7848&lt;=0.4,"Medium (21-40%)","High (&gt;40%)"))))</f>
        <v/>
      </c>
      <c r="Y7848" s="23" t="str">
        <f aca="false">IF(AND(ISNUMBER(C7848),ISNUMBER(D7848)),D7848-C7848,"")</f>
        <v/>
      </c>
      <c r="Z7848" s="23" t="str">
        <f aca="false">IF(B7848="","",IF(MATCH(B7848,$B$2:$B$12000,0)=ROW()-1,1,0))</f>
        <v/>
      </c>
    </row>
    <row r="7849" customFormat="false" ht="15" hidden="false" customHeight="false" outlineLevel="0" collapsed="false">
      <c r="V7849" s="23" t="str">
        <f aca="false">IF(ISNUMBER(C7849),YEAR(C7849),"")</f>
        <v/>
      </c>
      <c r="W7849" s="23" t="str">
        <f aca="false">IF(ISNUMBER(C7849),MONTH(C7849),"")</f>
        <v/>
      </c>
      <c r="X7849" s="23" t="str">
        <f aca="false">IF(T7849="","",IF(T7849=0,"No discount",IF(T7849&lt;=0.2,"Low (1-20%)",IF(T7849&lt;=0.4,"Medium (21-40%)","High (&gt;40%)"))))</f>
        <v/>
      </c>
      <c r="Y7849" s="23" t="str">
        <f aca="false">IF(AND(ISNUMBER(C7849),ISNUMBER(D7849)),D7849-C7849,"")</f>
        <v/>
      </c>
      <c r="Z7849" s="23" t="str">
        <f aca="false">IF(B7849="","",IF(MATCH(B7849,$B$2:$B$12000,0)=ROW()-1,1,0))</f>
        <v/>
      </c>
    </row>
    <row r="7850" customFormat="false" ht="15" hidden="false" customHeight="false" outlineLevel="0" collapsed="false">
      <c r="V7850" s="23" t="str">
        <f aca="false">IF(ISNUMBER(C7850),YEAR(C7850),"")</f>
        <v/>
      </c>
      <c r="W7850" s="23" t="str">
        <f aca="false">IF(ISNUMBER(C7850),MONTH(C7850),"")</f>
        <v/>
      </c>
      <c r="X7850" s="23" t="str">
        <f aca="false">IF(T7850="","",IF(T7850=0,"No discount",IF(T7850&lt;=0.2,"Low (1-20%)",IF(T7850&lt;=0.4,"Medium (21-40%)","High (&gt;40%)"))))</f>
        <v/>
      </c>
      <c r="Y7850" s="23" t="str">
        <f aca="false">IF(AND(ISNUMBER(C7850),ISNUMBER(D7850)),D7850-C7850,"")</f>
        <v/>
      </c>
      <c r="Z7850" s="23" t="str">
        <f aca="false">IF(B7850="","",IF(MATCH(B7850,$B$2:$B$12000,0)=ROW()-1,1,0))</f>
        <v/>
      </c>
    </row>
    <row r="7851" customFormat="false" ht="15" hidden="false" customHeight="false" outlineLevel="0" collapsed="false">
      <c r="V7851" s="23" t="str">
        <f aca="false">IF(ISNUMBER(C7851),YEAR(C7851),"")</f>
        <v/>
      </c>
      <c r="W7851" s="23" t="str">
        <f aca="false">IF(ISNUMBER(C7851),MONTH(C7851),"")</f>
        <v/>
      </c>
      <c r="X7851" s="23" t="str">
        <f aca="false">IF(T7851="","",IF(T7851=0,"No discount",IF(T7851&lt;=0.2,"Low (1-20%)",IF(T7851&lt;=0.4,"Medium (21-40%)","High (&gt;40%)"))))</f>
        <v/>
      </c>
      <c r="Y7851" s="23" t="str">
        <f aca="false">IF(AND(ISNUMBER(C7851),ISNUMBER(D7851)),D7851-C7851,"")</f>
        <v/>
      </c>
      <c r="Z7851" s="23" t="str">
        <f aca="false">IF(B7851="","",IF(MATCH(B7851,$B$2:$B$12000,0)=ROW()-1,1,0))</f>
        <v/>
      </c>
    </row>
    <row r="7852" customFormat="false" ht="15" hidden="false" customHeight="false" outlineLevel="0" collapsed="false">
      <c r="V7852" s="23" t="str">
        <f aca="false">IF(ISNUMBER(C7852),YEAR(C7852),"")</f>
        <v/>
      </c>
      <c r="W7852" s="23" t="str">
        <f aca="false">IF(ISNUMBER(C7852),MONTH(C7852),"")</f>
        <v/>
      </c>
      <c r="X7852" s="23" t="str">
        <f aca="false">IF(T7852="","",IF(T7852=0,"No discount",IF(T7852&lt;=0.2,"Low (1-20%)",IF(T7852&lt;=0.4,"Medium (21-40%)","High (&gt;40%)"))))</f>
        <v/>
      </c>
      <c r="Y7852" s="23" t="str">
        <f aca="false">IF(AND(ISNUMBER(C7852),ISNUMBER(D7852)),D7852-C7852,"")</f>
        <v/>
      </c>
      <c r="Z7852" s="23" t="str">
        <f aca="false">IF(B7852="","",IF(MATCH(B7852,$B$2:$B$12000,0)=ROW()-1,1,0))</f>
        <v/>
      </c>
    </row>
    <row r="7853" customFormat="false" ht="15" hidden="false" customHeight="false" outlineLevel="0" collapsed="false">
      <c r="V7853" s="23" t="str">
        <f aca="false">IF(ISNUMBER(C7853),YEAR(C7853),"")</f>
        <v/>
      </c>
      <c r="W7853" s="23" t="str">
        <f aca="false">IF(ISNUMBER(C7853),MONTH(C7853),"")</f>
        <v/>
      </c>
      <c r="X7853" s="23" t="str">
        <f aca="false">IF(T7853="","",IF(T7853=0,"No discount",IF(T7853&lt;=0.2,"Low (1-20%)",IF(T7853&lt;=0.4,"Medium (21-40%)","High (&gt;40%)"))))</f>
        <v/>
      </c>
      <c r="Y7853" s="23" t="str">
        <f aca="false">IF(AND(ISNUMBER(C7853),ISNUMBER(D7853)),D7853-C7853,"")</f>
        <v/>
      </c>
      <c r="Z7853" s="23" t="str">
        <f aca="false">IF(B7853="","",IF(MATCH(B7853,$B$2:$B$12000,0)=ROW()-1,1,0))</f>
        <v/>
      </c>
    </row>
    <row r="7854" customFormat="false" ht="15" hidden="false" customHeight="false" outlineLevel="0" collapsed="false">
      <c r="V7854" s="23" t="str">
        <f aca="false">IF(ISNUMBER(C7854),YEAR(C7854),"")</f>
        <v/>
      </c>
      <c r="W7854" s="23" t="str">
        <f aca="false">IF(ISNUMBER(C7854),MONTH(C7854),"")</f>
        <v/>
      </c>
      <c r="X7854" s="23" t="str">
        <f aca="false">IF(T7854="","",IF(T7854=0,"No discount",IF(T7854&lt;=0.2,"Low (1-20%)",IF(T7854&lt;=0.4,"Medium (21-40%)","High (&gt;40%)"))))</f>
        <v/>
      </c>
      <c r="Y7854" s="23" t="str">
        <f aca="false">IF(AND(ISNUMBER(C7854),ISNUMBER(D7854)),D7854-C7854,"")</f>
        <v/>
      </c>
      <c r="Z7854" s="23" t="str">
        <f aca="false">IF(B7854="","",IF(MATCH(B7854,$B$2:$B$12000,0)=ROW()-1,1,0))</f>
        <v/>
      </c>
    </row>
    <row r="7855" customFormat="false" ht="15" hidden="false" customHeight="false" outlineLevel="0" collapsed="false">
      <c r="V7855" s="23" t="str">
        <f aca="false">IF(ISNUMBER(C7855),YEAR(C7855),"")</f>
        <v/>
      </c>
      <c r="W7855" s="23" t="str">
        <f aca="false">IF(ISNUMBER(C7855),MONTH(C7855),"")</f>
        <v/>
      </c>
      <c r="X7855" s="23" t="str">
        <f aca="false">IF(T7855="","",IF(T7855=0,"No discount",IF(T7855&lt;=0.2,"Low (1-20%)",IF(T7855&lt;=0.4,"Medium (21-40%)","High (&gt;40%)"))))</f>
        <v/>
      </c>
      <c r="Y7855" s="23" t="str">
        <f aca="false">IF(AND(ISNUMBER(C7855),ISNUMBER(D7855)),D7855-C7855,"")</f>
        <v/>
      </c>
      <c r="Z7855" s="23" t="str">
        <f aca="false">IF(B7855="","",IF(MATCH(B7855,$B$2:$B$12000,0)=ROW()-1,1,0))</f>
        <v/>
      </c>
    </row>
    <row r="7856" customFormat="false" ht="15" hidden="false" customHeight="false" outlineLevel="0" collapsed="false">
      <c r="V7856" s="23" t="str">
        <f aca="false">IF(ISNUMBER(C7856),YEAR(C7856),"")</f>
        <v/>
      </c>
      <c r="W7856" s="23" t="str">
        <f aca="false">IF(ISNUMBER(C7856),MONTH(C7856),"")</f>
        <v/>
      </c>
      <c r="X7856" s="23" t="str">
        <f aca="false">IF(T7856="","",IF(T7856=0,"No discount",IF(T7856&lt;=0.2,"Low (1-20%)",IF(T7856&lt;=0.4,"Medium (21-40%)","High (&gt;40%)"))))</f>
        <v/>
      </c>
      <c r="Y7856" s="23" t="str">
        <f aca="false">IF(AND(ISNUMBER(C7856),ISNUMBER(D7856)),D7856-C7856,"")</f>
        <v/>
      </c>
      <c r="Z7856" s="23" t="str">
        <f aca="false">IF(B7856="","",IF(MATCH(B7856,$B$2:$B$12000,0)=ROW()-1,1,0))</f>
        <v/>
      </c>
    </row>
    <row r="7857" customFormat="false" ht="15" hidden="false" customHeight="false" outlineLevel="0" collapsed="false">
      <c r="V7857" s="23" t="str">
        <f aca="false">IF(ISNUMBER(C7857),YEAR(C7857),"")</f>
        <v/>
      </c>
      <c r="W7857" s="23" t="str">
        <f aca="false">IF(ISNUMBER(C7857),MONTH(C7857),"")</f>
        <v/>
      </c>
      <c r="X7857" s="23" t="str">
        <f aca="false">IF(T7857="","",IF(T7857=0,"No discount",IF(T7857&lt;=0.2,"Low (1-20%)",IF(T7857&lt;=0.4,"Medium (21-40%)","High (&gt;40%)"))))</f>
        <v/>
      </c>
      <c r="Y7857" s="23" t="str">
        <f aca="false">IF(AND(ISNUMBER(C7857),ISNUMBER(D7857)),D7857-C7857,"")</f>
        <v/>
      </c>
      <c r="Z7857" s="23" t="str">
        <f aca="false">IF(B7857="","",IF(MATCH(B7857,$B$2:$B$12000,0)=ROW()-1,1,0))</f>
        <v/>
      </c>
    </row>
    <row r="7858" customFormat="false" ht="15" hidden="false" customHeight="false" outlineLevel="0" collapsed="false">
      <c r="V7858" s="23" t="str">
        <f aca="false">IF(ISNUMBER(C7858),YEAR(C7858),"")</f>
        <v/>
      </c>
      <c r="W7858" s="23" t="str">
        <f aca="false">IF(ISNUMBER(C7858),MONTH(C7858),"")</f>
        <v/>
      </c>
      <c r="X7858" s="23" t="str">
        <f aca="false">IF(T7858="","",IF(T7858=0,"No discount",IF(T7858&lt;=0.2,"Low (1-20%)",IF(T7858&lt;=0.4,"Medium (21-40%)","High (&gt;40%)"))))</f>
        <v/>
      </c>
      <c r="Y7858" s="23" t="str">
        <f aca="false">IF(AND(ISNUMBER(C7858),ISNUMBER(D7858)),D7858-C7858,"")</f>
        <v/>
      </c>
      <c r="Z7858" s="23" t="str">
        <f aca="false">IF(B7858="","",IF(MATCH(B7858,$B$2:$B$12000,0)=ROW()-1,1,0))</f>
        <v/>
      </c>
    </row>
    <row r="7859" customFormat="false" ht="15" hidden="false" customHeight="false" outlineLevel="0" collapsed="false">
      <c r="V7859" s="23" t="str">
        <f aca="false">IF(ISNUMBER(C7859),YEAR(C7859),"")</f>
        <v/>
      </c>
      <c r="W7859" s="23" t="str">
        <f aca="false">IF(ISNUMBER(C7859),MONTH(C7859),"")</f>
        <v/>
      </c>
      <c r="X7859" s="23" t="str">
        <f aca="false">IF(T7859="","",IF(T7859=0,"No discount",IF(T7859&lt;=0.2,"Low (1-20%)",IF(T7859&lt;=0.4,"Medium (21-40%)","High (&gt;40%)"))))</f>
        <v/>
      </c>
      <c r="Y7859" s="23" t="str">
        <f aca="false">IF(AND(ISNUMBER(C7859),ISNUMBER(D7859)),D7859-C7859,"")</f>
        <v/>
      </c>
      <c r="Z7859" s="23" t="str">
        <f aca="false">IF(B7859="","",IF(MATCH(B7859,$B$2:$B$12000,0)=ROW()-1,1,0))</f>
        <v/>
      </c>
    </row>
    <row r="7860" customFormat="false" ht="15" hidden="false" customHeight="false" outlineLevel="0" collapsed="false">
      <c r="V7860" s="23" t="str">
        <f aca="false">IF(ISNUMBER(C7860),YEAR(C7860),"")</f>
        <v/>
      </c>
      <c r="W7860" s="23" t="str">
        <f aca="false">IF(ISNUMBER(C7860),MONTH(C7860),"")</f>
        <v/>
      </c>
      <c r="X7860" s="23" t="str">
        <f aca="false">IF(T7860="","",IF(T7860=0,"No discount",IF(T7860&lt;=0.2,"Low (1-20%)",IF(T7860&lt;=0.4,"Medium (21-40%)","High (&gt;40%)"))))</f>
        <v/>
      </c>
      <c r="Y7860" s="23" t="str">
        <f aca="false">IF(AND(ISNUMBER(C7860),ISNUMBER(D7860)),D7860-C7860,"")</f>
        <v/>
      </c>
      <c r="Z7860" s="23" t="str">
        <f aca="false">IF(B7860="","",IF(MATCH(B7860,$B$2:$B$12000,0)=ROW()-1,1,0))</f>
        <v/>
      </c>
    </row>
    <row r="7861" customFormat="false" ht="15" hidden="false" customHeight="false" outlineLevel="0" collapsed="false">
      <c r="V7861" s="23" t="str">
        <f aca="false">IF(ISNUMBER(C7861),YEAR(C7861),"")</f>
        <v/>
      </c>
      <c r="W7861" s="23" t="str">
        <f aca="false">IF(ISNUMBER(C7861),MONTH(C7861),"")</f>
        <v/>
      </c>
      <c r="X7861" s="23" t="str">
        <f aca="false">IF(T7861="","",IF(T7861=0,"No discount",IF(T7861&lt;=0.2,"Low (1-20%)",IF(T7861&lt;=0.4,"Medium (21-40%)","High (&gt;40%)"))))</f>
        <v/>
      </c>
      <c r="Y7861" s="23" t="str">
        <f aca="false">IF(AND(ISNUMBER(C7861),ISNUMBER(D7861)),D7861-C7861,"")</f>
        <v/>
      </c>
      <c r="Z7861" s="23" t="str">
        <f aca="false">IF(B7861="","",IF(MATCH(B7861,$B$2:$B$12000,0)=ROW()-1,1,0))</f>
        <v/>
      </c>
    </row>
    <row r="7862" customFormat="false" ht="15" hidden="false" customHeight="false" outlineLevel="0" collapsed="false">
      <c r="V7862" s="23" t="str">
        <f aca="false">IF(ISNUMBER(C7862),YEAR(C7862),"")</f>
        <v/>
      </c>
      <c r="W7862" s="23" t="str">
        <f aca="false">IF(ISNUMBER(C7862),MONTH(C7862),"")</f>
        <v/>
      </c>
      <c r="X7862" s="23" t="str">
        <f aca="false">IF(T7862="","",IF(T7862=0,"No discount",IF(T7862&lt;=0.2,"Low (1-20%)",IF(T7862&lt;=0.4,"Medium (21-40%)","High (&gt;40%)"))))</f>
        <v/>
      </c>
      <c r="Y7862" s="23" t="str">
        <f aca="false">IF(AND(ISNUMBER(C7862),ISNUMBER(D7862)),D7862-C7862,"")</f>
        <v/>
      </c>
      <c r="Z7862" s="23" t="str">
        <f aca="false">IF(B7862="","",IF(MATCH(B7862,$B$2:$B$12000,0)=ROW()-1,1,0))</f>
        <v/>
      </c>
    </row>
    <row r="7863" customFormat="false" ht="15" hidden="false" customHeight="false" outlineLevel="0" collapsed="false">
      <c r="V7863" s="23" t="str">
        <f aca="false">IF(ISNUMBER(C7863),YEAR(C7863),"")</f>
        <v/>
      </c>
      <c r="W7863" s="23" t="str">
        <f aca="false">IF(ISNUMBER(C7863),MONTH(C7863),"")</f>
        <v/>
      </c>
      <c r="X7863" s="23" t="str">
        <f aca="false">IF(T7863="","",IF(T7863=0,"No discount",IF(T7863&lt;=0.2,"Low (1-20%)",IF(T7863&lt;=0.4,"Medium (21-40%)","High (&gt;40%)"))))</f>
        <v/>
      </c>
      <c r="Y7863" s="23" t="str">
        <f aca="false">IF(AND(ISNUMBER(C7863),ISNUMBER(D7863)),D7863-C7863,"")</f>
        <v/>
      </c>
      <c r="Z7863" s="23" t="str">
        <f aca="false">IF(B7863="","",IF(MATCH(B7863,$B$2:$B$12000,0)=ROW()-1,1,0))</f>
        <v/>
      </c>
    </row>
    <row r="7864" customFormat="false" ht="15" hidden="false" customHeight="false" outlineLevel="0" collapsed="false">
      <c r="V7864" s="23" t="str">
        <f aca="false">IF(ISNUMBER(C7864),YEAR(C7864),"")</f>
        <v/>
      </c>
      <c r="W7864" s="23" t="str">
        <f aca="false">IF(ISNUMBER(C7864),MONTH(C7864),"")</f>
        <v/>
      </c>
      <c r="X7864" s="23" t="str">
        <f aca="false">IF(T7864="","",IF(T7864=0,"No discount",IF(T7864&lt;=0.2,"Low (1-20%)",IF(T7864&lt;=0.4,"Medium (21-40%)","High (&gt;40%)"))))</f>
        <v/>
      </c>
      <c r="Y7864" s="23" t="str">
        <f aca="false">IF(AND(ISNUMBER(C7864),ISNUMBER(D7864)),D7864-C7864,"")</f>
        <v/>
      </c>
      <c r="Z7864" s="23" t="str">
        <f aca="false">IF(B7864="","",IF(MATCH(B7864,$B$2:$B$12000,0)=ROW()-1,1,0))</f>
        <v/>
      </c>
    </row>
    <row r="7865" customFormat="false" ht="15" hidden="false" customHeight="false" outlineLevel="0" collapsed="false">
      <c r="V7865" s="23" t="str">
        <f aca="false">IF(ISNUMBER(C7865),YEAR(C7865),"")</f>
        <v/>
      </c>
      <c r="W7865" s="23" t="str">
        <f aca="false">IF(ISNUMBER(C7865),MONTH(C7865),"")</f>
        <v/>
      </c>
      <c r="X7865" s="23" t="str">
        <f aca="false">IF(T7865="","",IF(T7865=0,"No discount",IF(T7865&lt;=0.2,"Low (1-20%)",IF(T7865&lt;=0.4,"Medium (21-40%)","High (&gt;40%)"))))</f>
        <v/>
      </c>
      <c r="Y7865" s="23" t="str">
        <f aca="false">IF(AND(ISNUMBER(C7865),ISNUMBER(D7865)),D7865-C7865,"")</f>
        <v/>
      </c>
      <c r="Z7865" s="23" t="str">
        <f aca="false">IF(B7865="","",IF(MATCH(B7865,$B$2:$B$12000,0)=ROW()-1,1,0))</f>
        <v/>
      </c>
    </row>
    <row r="7866" customFormat="false" ht="15" hidden="false" customHeight="false" outlineLevel="0" collapsed="false">
      <c r="V7866" s="23" t="str">
        <f aca="false">IF(ISNUMBER(C7866),YEAR(C7866),"")</f>
        <v/>
      </c>
      <c r="W7866" s="23" t="str">
        <f aca="false">IF(ISNUMBER(C7866),MONTH(C7866),"")</f>
        <v/>
      </c>
      <c r="X7866" s="23" t="str">
        <f aca="false">IF(T7866="","",IF(T7866=0,"No discount",IF(T7866&lt;=0.2,"Low (1-20%)",IF(T7866&lt;=0.4,"Medium (21-40%)","High (&gt;40%)"))))</f>
        <v/>
      </c>
      <c r="Y7866" s="23" t="str">
        <f aca="false">IF(AND(ISNUMBER(C7866),ISNUMBER(D7866)),D7866-C7866,"")</f>
        <v/>
      </c>
      <c r="Z7866" s="23" t="str">
        <f aca="false">IF(B7866="","",IF(MATCH(B7866,$B$2:$B$12000,0)=ROW()-1,1,0))</f>
        <v/>
      </c>
    </row>
    <row r="7867" customFormat="false" ht="15" hidden="false" customHeight="false" outlineLevel="0" collapsed="false">
      <c r="V7867" s="23" t="str">
        <f aca="false">IF(ISNUMBER(C7867),YEAR(C7867),"")</f>
        <v/>
      </c>
      <c r="W7867" s="23" t="str">
        <f aca="false">IF(ISNUMBER(C7867),MONTH(C7867),"")</f>
        <v/>
      </c>
      <c r="X7867" s="23" t="str">
        <f aca="false">IF(T7867="","",IF(T7867=0,"No discount",IF(T7867&lt;=0.2,"Low (1-20%)",IF(T7867&lt;=0.4,"Medium (21-40%)","High (&gt;40%)"))))</f>
        <v/>
      </c>
      <c r="Y7867" s="23" t="str">
        <f aca="false">IF(AND(ISNUMBER(C7867),ISNUMBER(D7867)),D7867-C7867,"")</f>
        <v/>
      </c>
      <c r="Z7867" s="23" t="str">
        <f aca="false">IF(B7867="","",IF(MATCH(B7867,$B$2:$B$12000,0)=ROW()-1,1,0))</f>
        <v/>
      </c>
    </row>
    <row r="7868" customFormat="false" ht="15" hidden="false" customHeight="false" outlineLevel="0" collapsed="false">
      <c r="V7868" s="23" t="str">
        <f aca="false">IF(ISNUMBER(C7868),YEAR(C7868),"")</f>
        <v/>
      </c>
      <c r="W7868" s="23" t="str">
        <f aca="false">IF(ISNUMBER(C7868),MONTH(C7868),"")</f>
        <v/>
      </c>
      <c r="X7868" s="23" t="str">
        <f aca="false">IF(T7868="","",IF(T7868=0,"No discount",IF(T7868&lt;=0.2,"Low (1-20%)",IF(T7868&lt;=0.4,"Medium (21-40%)","High (&gt;40%)"))))</f>
        <v/>
      </c>
      <c r="Y7868" s="23" t="str">
        <f aca="false">IF(AND(ISNUMBER(C7868),ISNUMBER(D7868)),D7868-C7868,"")</f>
        <v/>
      </c>
      <c r="Z7868" s="23" t="str">
        <f aca="false">IF(B7868="","",IF(MATCH(B7868,$B$2:$B$12000,0)=ROW()-1,1,0))</f>
        <v/>
      </c>
    </row>
    <row r="7869" customFormat="false" ht="15" hidden="false" customHeight="false" outlineLevel="0" collapsed="false">
      <c r="V7869" s="23" t="str">
        <f aca="false">IF(ISNUMBER(C7869),YEAR(C7869),"")</f>
        <v/>
      </c>
      <c r="W7869" s="23" t="str">
        <f aca="false">IF(ISNUMBER(C7869),MONTH(C7869),"")</f>
        <v/>
      </c>
      <c r="X7869" s="23" t="str">
        <f aca="false">IF(T7869="","",IF(T7869=0,"No discount",IF(T7869&lt;=0.2,"Low (1-20%)",IF(T7869&lt;=0.4,"Medium (21-40%)","High (&gt;40%)"))))</f>
        <v/>
      </c>
      <c r="Y7869" s="23" t="str">
        <f aca="false">IF(AND(ISNUMBER(C7869),ISNUMBER(D7869)),D7869-C7869,"")</f>
        <v/>
      </c>
      <c r="Z7869" s="23" t="str">
        <f aca="false">IF(B7869="","",IF(MATCH(B7869,$B$2:$B$12000,0)=ROW()-1,1,0))</f>
        <v/>
      </c>
    </row>
    <row r="7870" customFormat="false" ht="15" hidden="false" customHeight="false" outlineLevel="0" collapsed="false">
      <c r="V7870" s="23" t="str">
        <f aca="false">IF(ISNUMBER(C7870),YEAR(C7870),"")</f>
        <v/>
      </c>
      <c r="W7870" s="23" t="str">
        <f aca="false">IF(ISNUMBER(C7870),MONTH(C7870),"")</f>
        <v/>
      </c>
      <c r="X7870" s="23" t="str">
        <f aca="false">IF(T7870="","",IF(T7870=0,"No discount",IF(T7870&lt;=0.2,"Low (1-20%)",IF(T7870&lt;=0.4,"Medium (21-40%)","High (&gt;40%)"))))</f>
        <v/>
      </c>
      <c r="Y7870" s="23" t="str">
        <f aca="false">IF(AND(ISNUMBER(C7870),ISNUMBER(D7870)),D7870-C7870,"")</f>
        <v/>
      </c>
      <c r="Z7870" s="23" t="str">
        <f aca="false">IF(B7870="","",IF(MATCH(B7870,$B$2:$B$12000,0)=ROW()-1,1,0))</f>
        <v/>
      </c>
    </row>
    <row r="7871" customFormat="false" ht="15" hidden="false" customHeight="false" outlineLevel="0" collapsed="false">
      <c r="V7871" s="23" t="str">
        <f aca="false">IF(ISNUMBER(C7871),YEAR(C7871),"")</f>
        <v/>
      </c>
      <c r="W7871" s="23" t="str">
        <f aca="false">IF(ISNUMBER(C7871),MONTH(C7871),"")</f>
        <v/>
      </c>
      <c r="X7871" s="23" t="str">
        <f aca="false">IF(T7871="","",IF(T7871=0,"No discount",IF(T7871&lt;=0.2,"Low (1-20%)",IF(T7871&lt;=0.4,"Medium (21-40%)","High (&gt;40%)"))))</f>
        <v/>
      </c>
      <c r="Y7871" s="23" t="str">
        <f aca="false">IF(AND(ISNUMBER(C7871),ISNUMBER(D7871)),D7871-C7871,"")</f>
        <v/>
      </c>
      <c r="Z7871" s="23" t="str">
        <f aca="false">IF(B7871="","",IF(MATCH(B7871,$B$2:$B$12000,0)=ROW()-1,1,0))</f>
        <v/>
      </c>
    </row>
    <row r="7872" customFormat="false" ht="15" hidden="false" customHeight="false" outlineLevel="0" collapsed="false">
      <c r="V7872" s="23" t="str">
        <f aca="false">IF(ISNUMBER(C7872),YEAR(C7872),"")</f>
        <v/>
      </c>
      <c r="W7872" s="23" t="str">
        <f aca="false">IF(ISNUMBER(C7872),MONTH(C7872),"")</f>
        <v/>
      </c>
      <c r="X7872" s="23" t="str">
        <f aca="false">IF(T7872="","",IF(T7872=0,"No discount",IF(T7872&lt;=0.2,"Low (1-20%)",IF(T7872&lt;=0.4,"Medium (21-40%)","High (&gt;40%)"))))</f>
        <v/>
      </c>
      <c r="Y7872" s="23" t="str">
        <f aca="false">IF(AND(ISNUMBER(C7872),ISNUMBER(D7872)),D7872-C7872,"")</f>
        <v/>
      </c>
      <c r="Z7872" s="23" t="str">
        <f aca="false">IF(B7872="","",IF(MATCH(B7872,$B$2:$B$12000,0)=ROW()-1,1,0))</f>
        <v/>
      </c>
    </row>
    <row r="7873" customFormat="false" ht="15" hidden="false" customHeight="false" outlineLevel="0" collapsed="false">
      <c r="V7873" s="23" t="str">
        <f aca="false">IF(ISNUMBER(C7873),YEAR(C7873),"")</f>
        <v/>
      </c>
      <c r="W7873" s="23" t="str">
        <f aca="false">IF(ISNUMBER(C7873),MONTH(C7873),"")</f>
        <v/>
      </c>
      <c r="X7873" s="23" t="str">
        <f aca="false">IF(T7873="","",IF(T7873=0,"No discount",IF(T7873&lt;=0.2,"Low (1-20%)",IF(T7873&lt;=0.4,"Medium (21-40%)","High (&gt;40%)"))))</f>
        <v/>
      </c>
      <c r="Y7873" s="23" t="str">
        <f aca="false">IF(AND(ISNUMBER(C7873),ISNUMBER(D7873)),D7873-C7873,"")</f>
        <v/>
      </c>
      <c r="Z7873" s="23" t="str">
        <f aca="false">IF(B7873="","",IF(MATCH(B7873,$B$2:$B$12000,0)=ROW()-1,1,0))</f>
        <v/>
      </c>
    </row>
    <row r="7874" customFormat="false" ht="15" hidden="false" customHeight="false" outlineLevel="0" collapsed="false">
      <c r="V7874" s="23" t="str">
        <f aca="false">IF(ISNUMBER(C7874),YEAR(C7874),"")</f>
        <v/>
      </c>
      <c r="W7874" s="23" t="str">
        <f aca="false">IF(ISNUMBER(C7874),MONTH(C7874),"")</f>
        <v/>
      </c>
      <c r="X7874" s="23" t="str">
        <f aca="false">IF(T7874="","",IF(T7874=0,"No discount",IF(T7874&lt;=0.2,"Low (1-20%)",IF(T7874&lt;=0.4,"Medium (21-40%)","High (&gt;40%)"))))</f>
        <v/>
      </c>
      <c r="Y7874" s="23" t="str">
        <f aca="false">IF(AND(ISNUMBER(C7874),ISNUMBER(D7874)),D7874-C7874,"")</f>
        <v/>
      </c>
      <c r="Z7874" s="23" t="str">
        <f aca="false">IF(B7874="","",IF(MATCH(B7874,$B$2:$B$12000,0)=ROW()-1,1,0))</f>
        <v/>
      </c>
    </row>
    <row r="7875" customFormat="false" ht="15" hidden="false" customHeight="false" outlineLevel="0" collapsed="false">
      <c r="V7875" s="23" t="str">
        <f aca="false">IF(ISNUMBER(C7875),YEAR(C7875),"")</f>
        <v/>
      </c>
      <c r="W7875" s="23" t="str">
        <f aca="false">IF(ISNUMBER(C7875),MONTH(C7875),"")</f>
        <v/>
      </c>
      <c r="X7875" s="23" t="str">
        <f aca="false">IF(T7875="","",IF(T7875=0,"No discount",IF(T7875&lt;=0.2,"Low (1-20%)",IF(T7875&lt;=0.4,"Medium (21-40%)","High (&gt;40%)"))))</f>
        <v/>
      </c>
      <c r="Y7875" s="23" t="str">
        <f aca="false">IF(AND(ISNUMBER(C7875),ISNUMBER(D7875)),D7875-C7875,"")</f>
        <v/>
      </c>
      <c r="Z7875" s="23" t="str">
        <f aca="false">IF(B7875="","",IF(MATCH(B7875,$B$2:$B$12000,0)=ROW()-1,1,0))</f>
        <v/>
      </c>
    </row>
    <row r="7876" customFormat="false" ht="15" hidden="false" customHeight="false" outlineLevel="0" collapsed="false">
      <c r="V7876" s="23" t="str">
        <f aca="false">IF(ISNUMBER(C7876),YEAR(C7876),"")</f>
        <v/>
      </c>
      <c r="W7876" s="23" t="str">
        <f aca="false">IF(ISNUMBER(C7876),MONTH(C7876),"")</f>
        <v/>
      </c>
      <c r="X7876" s="23" t="str">
        <f aca="false">IF(T7876="","",IF(T7876=0,"No discount",IF(T7876&lt;=0.2,"Low (1-20%)",IF(T7876&lt;=0.4,"Medium (21-40%)","High (&gt;40%)"))))</f>
        <v/>
      </c>
      <c r="Y7876" s="23" t="str">
        <f aca="false">IF(AND(ISNUMBER(C7876),ISNUMBER(D7876)),D7876-C7876,"")</f>
        <v/>
      </c>
      <c r="Z7876" s="23" t="str">
        <f aca="false">IF(B7876="","",IF(MATCH(B7876,$B$2:$B$12000,0)=ROW()-1,1,0))</f>
        <v/>
      </c>
    </row>
    <row r="7877" customFormat="false" ht="15" hidden="false" customHeight="false" outlineLevel="0" collapsed="false">
      <c r="V7877" s="23" t="str">
        <f aca="false">IF(ISNUMBER(C7877),YEAR(C7877),"")</f>
        <v/>
      </c>
      <c r="W7877" s="23" t="str">
        <f aca="false">IF(ISNUMBER(C7877),MONTH(C7877),"")</f>
        <v/>
      </c>
      <c r="X7877" s="23" t="str">
        <f aca="false">IF(T7877="","",IF(T7877=0,"No discount",IF(T7877&lt;=0.2,"Low (1-20%)",IF(T7877&lt;=0.4,"Medium (21-40%)","High (&gt;40%)"))))</f>
        <v/>
      </c>
      <c r="Y7877" s="23" t="str">
        <f aca="false">IF(AND(ISNUMBER(C7877),ISNUMBER(D7877)),D7877-C7877,"")</f>
        <v/>
      </c>
      <c r="Z7877" s="23" t="str">
        <f aca="false">IF(B7877="","",IF(MATCH(B7877,$B$2:$B$12000,0)=ROW()-1,1,0))</f>
        <v/>
      </c>
    </row>
    <row r="7878" customFormat="false" ht="15" hidden="false" customHeight="false" outlineLevel="0" collapsed="false">
      <c r="V7878" s="23" t="str">
        <f aca="false">IF(ISNUMBER(C7878),YEAR(C7878),"")</f>
        <v/>
      </c>
      <c r="W7878" s="23" t="str">
        <f aca="false">IF(ISNUMBER(C7878),MONTH(C7878),"")</f>
        <v/>
      </c>
      <c r="X7878" s="23" t="str">
        <f aca="false">IF(T7878="","",IF(T7878=0,"No discount",IF(T7878&lt;=0.2,"Low (1-20%)",IF(T7878&lt;=0.4,"Medium (21-40%)","High (&gt;40%)"))))</f>
        <v/>
      </c>
      <c r="Y7878" s="23" t="str">
        <f aca="false">IF(AND(ISNUMBER(C7878),ISNUMBER(D7878)),D7878-C7878,"")</f>
        <v/>
      </c>
      <c r="Z7878" s="23" t="str">
        <f aca="false">IF(B7878="","",IF(MATCH(B7878,$B$2:$B$12000,0)=ROW()-1,1,0))</f>
        <v/>
      </c>
    </row>
    <row r="7879" customFormat="false" ht="15" hidden="false" customHeight="false" outlineLevel="0" collapsed="false">
      <c r="V7879" s="23" t="str">
        <f aca="false">IF(ISNUMBER(C7879),YEAR(C7879),"")</f>
        <v/>
      </c>
      <c r="W7879" s="23" t="str">
        <f aca="false">IF(ISNUMBER(C7879),MONTH(C7879),"")</f>
        <v/>
      </c>
      <c r="X7879" s="23" t="str">
        <f aca="false">IF(T7879="","",IF(T7879=0,"No discount",IF(T7879&lt;=0.2,"Low (1-20%)",IF(T7879&lt;=0.4,"Medium (21-40%)","High (&gt;40%)"))))</f>
        <v/>
      </c>
      <c r="Y7879" s="23" t="str">
        <f aca="false">IF(AND(ISNUMBER(C7879),ISNUMBER(D7879)),D7879-C7879,"")</f>
        <v/>
      </c>
      <c r="Z7879" s="23" t="str">
        <f aca="false">IF(B7879="","",IF(MATCH(B7879,$B$2:$B$12000,0)=ROW()-1,1,0))</f>
        <v/>
      </c>
    </row>
    <row r="7880" customFormat="false" ht="15" hidden="false" customHeight="false" outlineLevel="0" collapsed="false">
      <c r="V7880" s="23" t="str">
        <f aca="false">IF(ISNUMBER(C7880),YEAR(C7880),"")</f>
        <v/>
      </c>
      <c r="W7880" s="23" t="str">
        <f aca="false">IF(ISNUMBER(C7880),MONTH(C7880),"")</f>
        <v/>
      </c>
      <c r="X7880" s="23" t="str">
        <f aca="false">IF(T7880="","",IF(T7880=0,"No discount",IF(T7880&lt;=0.2,"Low (1-20%)",IF(T7880&lt;=0.4,"Medium (21-40%)","High (&gt;40%)"))))</f>
        <v/>
      </c>
      <c r="Y7880" s="23" t="str">
        <f aca="false">IF(AND(ISNUMBER(C7880),ISNUMBER(D7880)),D7880-C7880,"")</f>
        <v/>
      </c>
      <c r="Z7880" s="23" t="str">
        <f aca="false">IF(B7880="","",IF(MATCH(B7880,$B$2:$B$12000,0)=ROW()-1,1,0))</f>
        <v/>
      </c>
    </row>
    <row r="7881" customFormat="false" ht="15" hidden="false" customHeight="false" outlineLevel="0" collapsed="false">
      <c r="V7881" s="23" t="str">
        <f aca="false">IF(ISNUMBER(C7881),YEAR(C7881),"")</f>
        <v/>
      </c>
      <c r="W7881" s="23" t="str">
        <f aca="false">IF(ISNUMBER(C7881),MONTH(C7881),"")</f>
        <v/>
      </c>
      <c r="X7881" s="23" t="str">
        <f aca="false">IF(T7881="","",IF(T7881=0,"No discount",IF(T7881&lt;=0.2,"Low (1-20%)",IF(T7881&lt;=0.4,"Medium (21-40%)","High (&gt;40%)"))))</f>
        <v/>
      </c>
      <c r="Y7881" s="23" t="str">
        <f aca="false">IF(AND(ISNUMBER(C7881),ISNUMBER(D7881)),D7881-C7881,"")</f>
        <v/>
      </c>
      <c r="Z7881" s="23" t="str">
        <f aca="false">IF(B7881="","",IF(MATCH(B7881,$B$2:$B$12000,0)=ROW()-1,1,0))</f>
        <v/>
      </c>
    </row>
    <row r="7882" customFormat="false" ht="15" hidden="false" customHeight="false" outlineLevel="0" collapsed="false">
      <c r="V7882" s="23" t="str">
        <f aca="false">IF(ISNUMBER(C7882),YEAR(C7882),"")</f>
        <v/>
      </c>
      <c r="W7882" s="23" t="str">
        <f aca="false">IF(ISNUMBER(C7882),MONTH(C7882),"")</f>
        <v/>
      </c>
      <c r="X7882" s="23" t="str">
        <f aca="false">IF(T7882="","",IF(T7882=0,"No discount",IF(T7882&lt;=0.2,"Low (1-20%)",IF(T7882&lt;=0.4,"Medium (21-40%)","High (&gt;40%)"))))</f>
        <v/>
      </c>
      <c r="Y7882" s="23" t="str">
        <f aca="false">IF(AND(ISNUMBER(C7882),ISNUMBER(D7882)),D7882-C7882,"")</f>
        <v/>
      </c>
      <c r="Z7882" s="23" t="str">
        <f aca="false">IF(B7882="","",IF(MATCH(B7882,$B$2:$B$12000,0)=ROW()-1,1,0))</f>
        <v/>
      </c>
    </row>
    <row r="7883" customFormat="false" ht="15" hidden="false" customHeight="false" outlineLevel="0" collapsed="false">
      <c r="V7883" s="23" t="str">
        <f aca="false">IF(ISNUMBER(C7883),YEAR(C7883),"")</f>
        <v/>
      </c>
      <c r="W7883" s="23" t="str">
        <f aca="false">IF(ISNUMBER(C7883),MONTH(C7883),"")</f>
        <v/>
      </c>
      <c r="X7883" s="23" t="str">
        <f aca="false">IF(T7883="","",IF(T7883=0,"No discount",IF(T7883&lt;=0.2,"Low (1-20%)",IF(T7883&lt;=0.4,"Medium (21-40%)","High (&gt;40%)"))))</f>
        <v/>
      </c>
      <c r="Y7883" s="23" t="str">
        <f aca="false">IF(AND(ISNUMBER(C7883),ISNUMBER(D7883)),D7883-C7883,"")</f>
        <v/>
      </c>
      <c r="Z7883" s="23" t="str">
        <f aca="false">IF(B7883="","",IF(MATCH(B7883,$B$2:$B$12000,0)=ROW()-1,1,0))</f>
        <v/>
      </c>
    </row>
    <row r="7884" customFormat="false" ht="15" hidden="false" customHeight="false" outlineLevel="0" collapsed="false">
      <c r="V7884" s="23" t="str">
        <f aca="false">IF(ISNUMBER(C7884),YEAR(C7884),"")</f>
        <v/>
      </c>
      <c r="W7884" s="23" t="str">
        <f aca="false">IF(ISNUMBER(C7884),MONTH(C7884),"")</f>
        <v/>
      </c>
      <c r="X7884" s="23" t="str">
        <f aca="false">IF(T7884="","",IF(T7884=0,"No discount",IF(T7884&lt;=0.2,"Low (1-20%)",IF(T7884&lt;=0.4,"Medium (21-40%)","High (&gt;40%)"))))</f>
        <v/>
      </c>
      <c r="Y7884" s="23" t="str">
        <f aca="false">IF(AND(ISNUMBER(C7884),ISNUMBER(D7884)),D7884-C7884,"")</f>
        <v/>
      </c>
      <c r="Z7884" s="23" t="str">
        <f aca="false">IF(B7884="","",IF(MATCH(B7884,$B$2:$B$12000,0)=ROW()-1,1,0))</f>
        <v/>
      </c>
    </row>
    <row r="7885" customFormat="false" ht="15" hidden="false" customHeight="false" outlineLevel="0" collapsed="false">
      <c r="V7885" s="23" t="str">
        <f aca="false">IF(ISNUMBER(C7885),YEAR(C7885),"")</f>
        <v/>
      </c>
      <c r="W7885" s="23" t="str">
        <f aca="false">IF(ISNUMBER(C7885),MONTH(C7885),"")</f>
        <v/>
      </c>
      <c r="X7885" s="23" t="str">
        <f aca="false">IF(T7885="","",IF(T7885=0,"No discount",IF(T7885&lt;=0.2,"Low (1-20%)",IF(T7885&lt;=0.4,"Medium (21-40%)","High (&gt;40%)"))))</f>
        <v/>
      </c>
      <c r="Y7885" s="23" t="str">
        <f aca="false">IF(AND(ISNUMBER(C7885),ISNUMBER(D7885)),D7885-C7885,"")</f>
        <v/>
      </c>
      <c r="Z7885" s="23" t="str">
        <f aca="false">IF(B7885="","",IF(MATCH(B7885,$B$2:$B$12000,0)=ROW()-1,1,0))</f>
        <v/>
      </c>
    </row>
    <row r="7886" customFormat="false" ht="15" hidden="false" customHeight="false" outlineLevel="0" collapsed="false">
      <c r="V7886" s="23" t="str">
        <f aca="false">IF(ISNUMBER(C7886),YEAR(C7886),"")</f>
        <v/>
      </c>
      <c r="W7886" s="23" t="str">
        <f aca="false">IF(ISNUMBER(C7886),MONTH(C7886),"")</f>
        <v/>
      </c>
      <c r="X7886" s="23" t="str">
        <f aca="false">IF(T7886="","",IF(T7886=0,"No discount",IF(T7886&lt;=0.2,"Low (1-20%)",IF(T7886&lt;=0.4,"Medium (21-40%)","High (&gt;40%)"))))</f>
        <v/>
      </c>
      <c r="Y7886" s="23" t="str">
        <f aca="false">IF(AND(ISNUMBER(C7886),ISNUMBER(D7886)),D7886-C7886,"")</f>
        <v/>
      </c>
      <c r="Z7886" s="23" t="str">
        <f aca="false">IF(B7886="","",IF(MATCH(B7886,$B$2:$B$12000,0)=ROW()-1,1,0))</f>
        <v/>
      </c>
    </row>
    <row r="7887" customFormat="false" ht="15" hidden="false" customHeight="false" outlineLevel="0" collapsed="false">
      <c r="V7887" s="23" t="str">
        <f aca="false">IF(ISNUMBER(C7887),YEAR(C7887),"")</f>
        <v/>
      </c>
      <c r="W7887" s="23" t="str">
        <f aca="false">IF(ISNUMBER(C7887),MONTH(C7887),"")</f>
        <v/>
      </c>
      <c r="X7887" s="23" t="str">
        <f aca="false">IF(T7887="","",IF(T7887=0,"No discount",IF(T7887&lt;=0.2,"Low (1-20%)",IF(T7887&lt;=0.4,"Medium (21-40%)","High (&gt;40%)"))))</f>
        <v/>
      </c>
      <c r="Y7887" s="23" t="str">
        <f aca="false">IF(AND(ISNUMBER(C7887),ISNUMBER(D7887)),D7887-C7887,"")</f>
        <v/>
      </c>
      <c r="Z7887" s="23" t="str">
        <f aca="false">IF(B7887="","",IF(MATCH(B7887,$B$2:$B$12000,0)=ROW()-1,1,0))</f>
        <v/>
      </c>
    </row>
    <row r="7888" customFormat="false" ht="15" hidden="false" customHeight="false" outlineLevel="0" collapsed="false">
      <c r="V7888" s="23" t="str">
        <f aca="false">IF(ISNUMBER(C7888),YEAR(C7888),"")</f>
        <v/>
      </c>
      <c r="W7888" s="23" t="str">
        <f aca="false">IF(ISNUMBER(C7888),MONTH(C7888),"")</f>
        <v/>
      </c>
      <c r="X7888" s="23" t="str">
        <f aca="false">IF(T7888="","",IF(T7888=0,"No discount",IF(T7888&lt;=0.2,"Low (1-20%)",IF(T7888&lt;=0.4,"Medium (21-40%)","High (&gt;40%)"))))</f>
        <v/>
      </c>
      <c r="Y7888" s="23" t="str">
        <f aca="false">IF(AND(ISNUMBER(C7888),ISNUMBER(D7888)),D7888-C7888,"")</f>
        <v/>
      </c>
      <c r="Z7888" s="23" t="str">
        <f aca="false">IF(B7888="","",IF(MATCH(B7888,$B$2:$B$12000,0)=ROW()-1,1,0))</f>
        <v/>
      </c>
    </row>
    <row r="7889" customFormat="false" ht="15" hidden="false" customHeight="false" outlineLevel="0" collapsed="false">
      <c r="V7889" s="23" t="str">
        <f aca="false">IF(ISNUMBER(C7889),YEAR(C7889),"")</f>
        <v/>
      </c>
      <c r="W7889" s="23" t="str">
        <f aca="false">IF(ISNUMBER(C7889),MONTH(C7889),"")</f>
        <v/>
      </c>
      <c r="X7889" s="23" t="str">
        <f aca="false">IF(T7889="","",IF(T7889=0,"No discount",IF(T7889&lt;=0.2,"Low (1-20%)",IF(T7889&lt;=0.4,"Medium (21-40%)","High (&gt;40%)"))))</f>
        <v/>
      </c>
      <c r="Y7889" s="23" t="str">
        <f aca="false">IF(AND(ISNUMBER(C7889),ISNUMBER(D7889)),D7889-C7889,"")</f>
        <v/>
      </c>
      <c r="Z7889" s="23" t="str">
        <f aca="false">IF(B7889="","",IF(MATCH(B7889,$B$2:$B$12000,0)=ROW()-1,1,0))</f>
        <v/>
      </c>
    </row>
    <row r="7890" customFormat="false" ht="15" hidden="false" customHeight="false" outlineLevel="0" collapsed="false">
      <c r="V7890" s="23" t="str">
        <f aca="false">IF(ISNUMBER(C7890),YEAR(C7890),"")</f>
        <v/>
      </c>
      <c r="W7890" s="23" t="str">
        <f aca="false">IF(ISNUMBER(C7890),MONTH(C7890),"")</f>
        <v/>
      </c>
      <c r="X7890" s="23" t="str">
        <f aca="false">IF(T7890="","",IF(T7890=0,"No discount",IF(T7890&lt;=0.2,"Low (1-20%)",IF(T7890&lt;=0.4,"Medium (21-40%)","High (&gt;40%)"))))</f>
        <v/>
      </c>
      <c r="Y7890" s="23" t="str">
        <f aca="false">IF(AND(ISNUMBER(C7890),ISNUMBER(D7890)),D7890-C7890,"")</f>
        <v/>
      </c>
      <c r="Z7890" s="23" t="str">
        <f aca="false">IF(B7890="","",IF(MATCH(B7890,$B$2:$B$12000,0)=ROW()-1,1,0))</f>
        <v/>
      </c>
    </row>
    <row r="7891" customFormat="false" ht="15" hidden="false" customHeight="false" outlineLevel="0" collapsed="false">
      <c r="V7891" s="23" t="str">
        <f aca="false">IF(ISNUMBER(C7891),YEAR(C7891),"")</f>
        <v/>
      </c>
      <c r="W7891" s="23" t="str">
        <f aca="false">IF(ISNUMBER(C7891),MONTH(C7891),"")</f>
        <v/>
      </c>
      <c r="X7891" s="23" t="str">
        <f aca="false">IF(T7891="","",IF(T7891=0,"No discount",IF(T7891&lt;=0.2,"Low (1-20%)",IF(T7891&lt;=0.4,"Medium (21-40%)","High (&gt;40%)"))))</f>
        <v/>
      </c>
      <c r="Y7891" s="23" t="str">
        <f aca="false">IF(AND(ISNUMBER(C7891),ISNUMBER(D7891)),D7891-C7891,"")</f>
        <v/>
      </c>
      <c r="Z7891" s="23" t="str">
        <f aca="false">IF(B7891="","",IF(MATCH(B7891,$B$2:$B$12000,0)=ROW()-1,1,0))</f>
        <v/>
      </c>
    </row>
    <row r="7892" customFormat="false" ht="15" hidden="false" customHeight="false" outlineLevel="0" collapsed="false">
      <c r="V7892" s="23" t="str">
        <f aca="false">IF(ISNUMBER(C7892),YEAR(C7892),"")</f>
        <v/>
      </c>
      <c r="W7892" s="23" t="str">
        <f aca="false">IF(ISNUMBER(C7892),MONTH(C7892),"")</f>
        <v/>
      </c>
      <c r="X7892" s="23" t="str">
        <f aca="false">IF(T7892="","",IF(T7892=0,"No discount",IF(T7892&lt;=0.2,"Low (1-20%)",IF(T7892&lt;=0.4,"Medium (21-40%)","High (&gt;40%)"))))</f>
        <v/>
      </c>
      <c r="Y7892" s="23" t="str">
        <f aca="false">IF(AND(ISNUMBER(C7892),ISNUMBER(D7892)),D7892-C7892,"")</f>
        <v/>
      </c>
      <c r="Z7892" s="23" t="str">
        <f aca="false">IF(B7892="","",IF(MATCH(B7892,$B$2:$B$12000,0)=ROW()-1,1,0))</f>
        <v/>
      </c>
    </row>
    <row r="7893" customFormat="false" ht="15" hidden="false" customHeight="false" outlineLevel="0" collapsed="false">
      <c r="V7893" s="23" t="str">
        <f aca="false">IF(ISNUMBER(C7893),YEAR(C7893),"")</f>
        <v/>
      </c>
      <c r="W7893" s="23" t="str">
        <f aca="false">IF(ISNUMBER(C7893),MONTH(C7893),"")</f>
        <v/>
      </c>
      <c r="X7893" s="23" t="str">
        <f aca="false">IF(T7893="","",IF(T7893=0,"No discount",IF(T7893&lt;=0.2,"Low (1-20%)",IF(T7893&lt;=0.4,"Medium (21-40%)","High (&gt;40%)"))))</f>
        <v/>
      </c>
      <c r="Y7893" s="23" t="str">
        <f aca="false">IF(AND(ISNUMBER(C7893),ISNUMBER(D7893)),D7893-C7893,"")</f>
        <v/>
      </c>
      <c r="Z7893" s="23" t="str">
        <f aca="false">IF(B7893="","",IF(MATCH(B7893,$B$2:$B$12000,0)=ROW()-1,1,0))</f>
        <v/>
      </c>
    </row>
    <row r="7894" customFormat="false" ht="15" hidden="false" customHeight="false" outlineLevel="0" collapsed="false">
      <c r="V7894" s="23" t="str">
        <f aca="false">IF(ISNUMBER(C7894),YEAR(C7894),"")</f>
        <v/>
      </c>
      <c r="W7894" s="23" t="str">
        <f aca="false">IF(ISNUMBER(C7894),MONTH(C7894),"")</f>
        <v/>
      </c>
      <c r="X7894" s="23" t="str">
        <f aca="false">IF(T7894="","",IF(T7894=0,"No discount",IF(T7894&lt;=0.2,"Low (1-20%)",IF(T7894&lt;=0.4,"Medium (21-40%)","High (&gt;40%)"))))</f>
        <v/>
      </c>
      <c r="Y7894" s="23" t="str">
        <f aca="false">IF(AND(ISNUMBER(C7894),ISNUMBER(D7894)),D7894-C7894,"")</f>
        <v/>
      </c>
      <c r="Z7894" s="23" t="str">
        <f aca="false">IF(B7894="","",IF(MATCH(B7894,$B$2:$B$12000,0)=ROW()-1,1,0))</f>
        <v/>
      </c>
    </row>
    <row r="7895" customFormat="false" ht="15" hidden="false" customHeight="false" outlineLevel="0" collapsed="false">
      <c r="V7895" s="23" t="str">
        <f aca="false">IF(ISNUMBER(C7895),YEAR(C7895),"")</f>
        <v/>
      </c>
      <c r="W7895" s="23" t="str">
        <f aca="false">IF(ISNUMBER(C7895),MONTH(C7895),"")</f>
        <v/>
      </c>
      <c r="X7895" s="23" t="str">
        <f aca="false">IF(T7895="","",IF(T7895=0,"No discount",IF(T7895&lt;=0.2,"Low (1-20%)",IF(T7895&lt;=0.4,"Medium (21-40%)","High (&gt;40%)"))))</f>
        <v/>
      </c>
      <c r="Y7895" s="23" t="str">
        <f aca="false">IF(AND(ISNUMBER(C7895),ISNUMBER(D7895)),D7895-C7895,"")</f>
        <v/>
      </c>
      <c r="Z7895" s="23" t="str">
        <f aca="false">IF(B7895="","",IF(MATCH(B7895,$B$2:$B$12000,0)=ROW()-1,1,0))</f>
        <v/>
      </c>
    </row>
    <row r="7896" customFormat="false" ht="15" hidden="false" customHeight="false" outlineLevel="0" collapsed="false">
      <c r="V7896" s="23" t="str">
        <f aca="false">IF(ISNUMBER(C7896),YEAR(C7896),"")</f>
        <v/>
      </c>
      <c r="W7896" s="23" t="str">
        <f aca="false">IF(ISNUMBER(C7896),MONTH(C7896),"")</f>
        <v/>
      </c>
      <c r="X7896" s="23" t="str">
        <f aca="false">IF(T7896="","",IF(T7896=0,"No discount",IF(T7896&lt;=0.2,"Low (1-20%)",IF(T7896&lt;=0.4,"Medium (21-40%)","High (&gt;40%)"))))</f>
        <v/>
      </c>
      <c r="Y7896" s="23" t="str">
        <f aca="false">IF(AND(ISNUMBER(C7896),ISNUMBER(D7896)),D7896-C7896,"")</f>
        <v/>
      </c>
      <c r="Z7896" s="23" t="str">
        <f aca="false">IF(B7896="","",IF(MATCH(B7896,$B$2:$B$12000,0)=ROW()-1,1,0))</f>
        <v/>
      </c>
    </row>
    <row r="7897" customFormat="false" ht="15" hidden="false" customHeight="false" outlineLevel="0" collapsed="false">
      <c r="V7897" s="23" t="str">
        <f aca="false">IF(ISNUMBER(C7897),YEAR(C7897),"")</f>
        <v/>
      </c>
      <c r="W7897" s="23" t="str">
        <f aca="false">IF(ISNUMBER(C7897),MONTH(C7897),"")</f>
        <v/>
      </c>
      <c r="X7897" s="23" t="str">
        <f aca="false">IF(T7897="","",IF(T7897=0,"No discount",IF(T7897&lt;=0.2,"Low (1-20%)",IF(T7897&lt;=0.4,"Medium (21-40%)","High (&gt;40%)"))))</f>
        <v/>
      </c>
      <c r="Y7897" s="23" t="str">
        <f aca="false">IF(AND(ISNUMBER(C7897),ISNUMBER(D7897)),D7897-C7897,"")</f>
        <v/>
      </c>
      <c r="Z7897" s="23" t="str">
        <f aca="false">IF(B7897="","",IF(MATCH(B7897,$B$2:$B$12000,0)=ROW()-1,1,0))</f>
        <v/>
      </c>
    </row>
    <row r="7898" customFormat="false" ht="15" hidden="false" customHeight="false" outlineLevel="0" collapsed="false">
      <c r="V7898" s="23" t="str">
        <f aca="false">IF(ISNUMBER(C7898),YEAR(C7898),"")</f>
        <v/>
      </c>
      <c r="W7898" s="23" t="str">
        <f aca="false">IF(ISNUMBER(C7898),MONTH(C7898),"")</f>
        <v/>
      </c>
      <c r="X7898" s="23" t="str">
        <f aca="false">IF(T7898="","",IF(T7898=0,"No discount",IF(T7898&lt;=0.2,"Low (1-20%)",IF(T7898&lt;=0.4,"Medium (21-40%)","High (&gt;40%)"))))</f>
        <v/>
      </c>
      <c r="Y7898" s="23" t="str">
        <f aca="false">IF(AND(ISNUMBER(C7898),ISNUMBER(D7898)),D7898-C7898,"")</f>
        <v/>
      </c>
      <c r="Z7898" s="23" t="str">
        <f aca="false">IF(B7898="","",IF(MATCH(B7898,$B$2:$B$12000,0)=ROW()-1,1,0))</f>
        <v/>
      </c>
    </row>
    <row r="7899" customFormat="false" ht="15" hidden="false" customHeight="false" outlineLevel="0" collapsed="false">
      <c r="V7899" s="23" t="str">
        <f aca="false">IF(ISNUMBER(C7899),YEAR(C7899),"")</f>
        <v/>
      </c>
      <c r="W7899" s="23" t="str">
        <f aca="false">IF(ISNUMBER(C7899),MONTH(C7899),"")</f>
        <v/>
      </c>
      <c r="X7899" s="23" t="str">
        <f aca="false">IF(T7899="","",IF(T7899=0,"No discount",IF(T7899&lt;=0.2,"Low (1-20%)",IF(T7899&lt;=0.4,"Medium (21-40%)","High (&gt;40%)"))))</f>
        <v/>
      </c>
      <c r="Y7899" s="23" t="str">
        <f aca="false">IF(AND(ISNUMBER(C7899),ISNUMBER(D7899)),D7899-C7899,"")</f>
        <v/>
      </c>
      <c r="Z7899" s="23" t="str">
        <f aca="false">IF(B7899="","",IF(MATCH(B7899,$B$2:$B$12000,0)=ROW()-1,1,0))</f>
        <v/>
      </c>
    </row>
    <row r="7900" customFormat="false" ht="15" hidden="false" customHeight="false" outlineLevel="0" collapsed="false">
      <c r="V7900" s="23" t="str">
        <f aca="false">IF(ISNUMBER(C7900),YEAR(C7900),"")</f>
        <v/>
      </c>
      <c r="W7900" s="23" t="str">
        <f aca="false">IF(ISNUMBER(C7900),MONTH(C7900),"")</f>
        <v/>
      </c>
      <c r="X7900" s="23" t="str">
        <f aca="false">IF(T7900="","",IF(T7900=0,"No discount",IF(T7900&lt;=0.2,"Low (1-20%)",IF(T7900&lt;=0.4,"Medium (21-40%)","High (&gt;40%)"))))</f>
        <v/>
      </c>
      <c r="Y7900" s="23" t="str">
        <f aca="false">IF(AND(ISNUMBER(C7900),ISNUMBER(D7900)),D7900-C7900,"")</f>
        <v/>
      </c>
      <c r="Z7900" s="23" t="str">
        <f aca="false">IF(B7900="","",IF(MATCH(B7900,$B$2:$B$12000,0)=ROW()-1,1,0))</f>
        <v/>
      </c>
    </row>
    <row r="7901" customFormat="false" ht="15" hidden="false" customHeight="false" outlineLevel="0" collapsed="false">
      <c r="V7901" s="23" t="str">
        <f aca="false">IF(ISNUMBER(C7901),YEAR(C7901),"")</f>
        <v/>
      </c>
      <c r="W7901" s="23" t="str">
        <f aca="false">IF(ISNUMBER(C7901),MONTH(C7901),"")</f>
        <v/>
      </c>
      <c r="X7901" s="23" t="str">
        <f aca="false">IF(T7901="","",IF(T7901=0,"No discount",IF(T7901&lt;=0.2,"Low (1-20%)",IF(T7901&lt;=0.4,"Medium (21-40%)","High (&gt;40%)"))))</f>
        <v/>
      </c>
      <c r="Y7901" s="23" t="str">
        <f aca="false">IF(AND(ISNUMBER(C7901),ISNUMBER(D7901)),D7901-C7901,"")</f>
        <v/>
      </c>
      <c r="Z7901" s="23" t="str">
        <f aca="false">IF(B7901="","",IF(MATCH(B7901,$B$2:$B$12000,0)=ROW()-1,1,0))</f>
        <v/>
      </c>
    </row>
    <row r="7902" customFormat="false" ht="15" hidden="false" customHeight="false" outlineLevel="0" collapsed="false">
      <c r="V7902" s="23" t="str">
        <f aca="false">IF(ISNUMBER(C7902),YEAR(C7902),"")</f>
        <v/>
      </c>
      <c r="W7902" s="23" t="str">
        <f aca="false">IF(ISNUMBER(C7902),MONTH(C7902),"")</f>
        <v/>
      </c>
      <c r="X7902" s="23" t="str">
        <f aca="false">IF(T7902="","",IF(T7902=0,"No discount",IF(T7902&lt;=0.2,"Low (1-20%)",IF(T7902&lt;=0.4,"Medium (21-40%)","High (&gt;40%)"))))</f>
        <v/>
      </c>
      <c r="Y7902" s="23" t="str">
        <f aca="false">IF(AND(ISNUMBER(C7902),ISNUMBER(D7902)),D7902-C7902,"")</f>
        <v/>
      </c>
      <c r="Z7902" s="23" t="str">
        <f aca="false">IF(B7902="","",IF(MATCH(B7902,$B$2:$B$12000,0)=ROW()-1,1,0))</f>
        <v/>
      </c>
    </row>
    <row r="7903" customFormat="false" ht="15" hidden="false" customHeight="false" outlineLevel="0" collapsed="false">
      <c r="V7903" s="23" t="str">
        <f aca="false">IF(ISNUMBER(C7903),YEAR(C7903),"")</f>
        <v/>
      </c>
      <c r="W7903" s="23" t="str">
        <f aca="false">IF(ISNUMBER(C7903),MONTH(C7903),"")</f>
        <v/>
      </c>
      <c r="X7903" s="23" t="str">
        <f aca="false">IF(T7903="","",IF(T7903=0,"No discount",IF(T7903&lt;=0.2,"Low (1-20%)",IF(T7903&lt;=0.4,"Medium (21-40%)","High (&gt;40%)"))))</f>
        <v/>
      </c>
      <c r="Y7903" s="23" t="str">
        <f aca="false">IF(AND(ISNUMBER(C7903),ISNUMBER(D7903)),D7903-C7903,"")</f>
        <v/>
      </c>
      <c r="Z7903" s="23" t="str">
        <f aca="false">IF(B7903="","",IF(MATCH(B7903,$B$2:$B$12000,0)=ROW()-1,1,0))</f>
        <v/>
      </c>
    </row>
    <row r="7904" customFormat="false" ht="15" hidden="false" customHeight="false" outlineLevel="0" collapsed="false">
      <c r="V7904" s="23" t="str">
        <f aca="false">IF(ISNUMBER(C7904),YEAR(C7904),"")</f>
        <v/>
      </c>
      <c r="W7904" s="23" t="str">
        <f aca="false">IF(ISNUMBER(C7904),MONTH(C7904),"")</f>
        <v/>
      </c>
      <c r="X7904" s="23" t="str">
        <f aca="false">IF(T7904="","",IF(T7904=0,"No discount",IF(T7904&lt;=0.2,"Low (1-20%)",IF(T7904&lt;=0.4,"Medium (21-40%)","High (&gt;40%)"))))</f>
        <v/>
      </c>
      <c r="Y7904" s="23" t="str">
        <f aca="false">IF(AND(ISNUMBER(C7904),ISNUMBER(D7904)),D7904-C7904,"")</f>
        <v/>
      </c>
      <c r="Z7904" s="23" t="str">
        <f aca="false">IF(B7904="","",IF(MATCH(B7904,$B$2:$B$12000,0)=ROW()-1,1,0))</f>
        <v/>
      </c>
    </row>
    <row r="7905" customFormat="false" ht="15" hidden="false" customHeight="false" outlineLevel="0" collapsed="false">
      <c r="V7905" s="23" t="str">
        <f aca="false">IF(ISNUMBER(C7905),YEAR(C7905),"")</f>
        <v/>
      </c>
      <c r="W7905" s="23" t="str">
        <f aca="false">IF(ISNUMBER(C7905),MONTH(C7905),"")</f>
        <v/>
      </c>
      <c r="X7905" s="23" t="str">
        <f aca="false">IF(T7905="","",IF(T7905=0,"No discount",IF(T7905&lt;=0.2,"Low (1-20%)",IF(T7905&lt;=0.4,"Medium (21-40%)","High (&gt;40%)"))))</f>
        <v/>
      </c>
      <c r="Y7905" s="23" t="str">
        <f aca="false">IF(AND(ISNUMBER(C7905),ISNUMBER(D7905)),D7905-C7905,"")</f>
        <v/>
      </c>
      <c r="Z7905" s="23" t="str">
        <f aca="false">IF(B7905="","",IF(MATCH(B7905,$B$2:$B$12000,0)=ROW()-1,1,0))</f>
        <v/>
      </c>
    </row>
    <row r="7906" customFormat="false" ht="15" hidden="false" customHeight="false" outlineLevel="0" collapsed="false">
      <c r="V7906" s="23" t="str">
        <f aca="false">IF(ISNUMBER(C7906),YEAR(C7906),"")</f>
        <v/>
      </c>
      <c r="W7906" s="23" t="str">
        <f aca="false">IF(ISNUMBER(C7906),MONTH(C7906),"")</f>
        <v/>
      </c>
      <c r="X7906" s="23" t="str">
        <f aca="false">IF(T7906="","",IF(T7906=0,"No discount",IF(T7906&lt;=0.2,"Low (1-20%)",IF(T7906&lt;=0.4,"Medium (21-40%)","High (&gt;40%)"))))</f>
        <v/>
      </c>
      <c r="Y7906" s="23" t="str">
        <f aca="false">IF(AND(ISNUMBER(C7906),ISNUMBER(D7906)),D7906-C7906,"")</f>
        <v/>
      </c>
      <c r="Z7906" s="23" t="str">
        <f aca="false">IF(B7906="","",IF(MATCH(B7906,$B$2:$B$12000,0)=ROW()-1,1,0))</f>
        <v/>
      </c>
    </row>
    <row r="7907" customFormat="false" ht="15" hidden="false" customHeight="false" outlineLevel="0" collapsed="false">
      <c r="V7907" s="23" t="str">
        <f aca="false">IF(ISNUMBER(C7907),YEAR(C7907),"")</f>
        <v/>
      </c>
      <c r="W7907" s="23" t="str">
        <f aca="false">IF(ISNUMBER(C7907),MONTH(C7907),"")</f>
        <v/>
      </c>
      <c r="X7907" s="23" t="str">
        <f aca="false">IF(T7907="","",IF(T7907=0,"No discount",IF(T7907&lt;=0.2,"Low (1-20%)",IF(T7907&lt;=0.4,"Medium (21-40%)","High (&gt;40%)"))))</f>
        <v/>
      </c>
      <c r="Y7907" s="23" t="str">
        <f aca="false">IF(AND(ISNUMBER(C7907),ISNUMBER(D7907)),D7907-C7907,"")</f>
        <v/>
      </c>
      <c r="Z7907" s="23" t="str">
        <f aca="false">IF(B7907="","",IF(MATCH(B7907,$B$2:$B$12000,0)=ROW()-1,1,0))</f>
        <v/>
      </c>
    </row>
    <row r="7908" customFormat="false" ht="15" hidden="false" customHeight="false" outlineLevel="0" collapsed="false">
      <c r="V7908" s="23" t="str">
        <f aca="false">IF(ISNUMBER(C7908),YEAR(C7908),"")</f>
        <v/>
      </c>
      <c r="W7908" s="23" t="str">
        <f aca="false">IF(ISNUMBER(C7908),MONTH(C7908),"")</f>
        <v/>
      </c>
      <c r="X7908" s="23" t="str">
        <f aca="false">IF(T7908="","",IF(T7908=0,"No discount",IF(T7908&lt;=0.2,"Low (1-20%)",IF(T7908&lt;=0.4,"Medium (21-40%)","High (&gt;40%)"))))</f>
        <v/>
      </c>
      <c r="Y7908" s="23" t="str">
        <f aca="false">IF(AND(ISNUMBER(C7908),ISNUMBER(D7908)),D7908-C7908,"")</f>
        <v/>
      </c>
      <c r="Z7908" s="23" t="str">
        <f aca="false">IF(B7908="","",IF(MATCH(B7908,$B$2:$B$12000,0)=ROW()-1,1,0))</f>
        <v/>
      </c>
    </row>
    <row r="7909" customFormat="false" ht="15" hidden="false" customHeight="false" outlineLevel="0" collapsed="false">
      <c r="V7909" s="23" t="str">
        <f aca="false">IF(ISNUMBER(C7909),YEAR(C7909),"")</f>
        <v/>
      </c>
      <c r="W7909" s="23" t="str">
        <f aca="false">IF(ISNUMBER(C7909),MONTH(C7909),"")</f>
        <v/>
      </c>
      <c r="X7909" s="23" t="str">
        <f aca="false">IF(T7909="","",IF(T7909=0,"No discount",IF(T7909&lt;=0.2,"Low (1-20%)",IF(T7909&lt;=0.4,"Medium (21-40%)","High (&gt;40%)"))))</f>
        <v/>
      </c>
      <c r="Y7909" s="23" t="str">
        <f aca="false">IF(AND(ISNUMBER(C7909),ISNUMBER(D7909)),D7909-C7909,"")</f>
        <v/>
      </c>
      <c r="Z7909" s="23" t="str">
        <f aca="false">IF(B7909="","",IF(MATCH(B7909,$B$2:$B$12000,0)=ROW()-1,1,0))</f>
        <v/>
      </c>
    </row>
    <row r="7910" customFormat="false" ht="15" hidden="false" customHeight="false" outlineLevel="0" collapsed="false">
      <c r="V7910" s="23" t="str">
        <f aca="false">IF(ISNUMBER(C7910),YEAR(C7910),"")</f>
        <v/>
      </c>
      <c r="W7910" s="23" t="str">
        <f aca="false">IF(ISNUMBER(C7910),MONTH(C7910),"")</f>
        <v/>
      </c>
      <c r="X7910" s="23" t="str">
        <f aca="false">IF(T7910="","",IF(T7910=0,"No discount",IF(T7910&lt;=0.2,"Low (1-20%)",IF(T7910&lt;=0.4,"Medium (21-40%)","High (&gt;40%)"))))</f>
        <v/>
      </c>
      <c r="Y7910" s="23" t="str">
        <f aca="false">IF(AND(ISNUMBER(C7910),ISNUMBER(D7910)),D7910-C7910,"")</f>
        <v/>
      </c>
      <c r="Z7910" s="23" t="str">
        <f aca="false">IF(B7910="","",IF(MATCH(B7910,$B$2:$B$12000,0)=ROW()-1,1,0))</f>
        <v/>
      </c>
    </row>
    <row r="7911" customFormat="false" ht="15" hidden="false" customHeight="false" outlineLevel="0" collapsed="false">
      <c r="V7911" s="23" t="str">
        <f aca="false">IF(ISNUMBER(C7911),YEAR(C7911),"")</f>
        <v/>
      </c>
      <c r="W7911" s="23" t="str">
        <f aca="false">IF(ISNUMBER(C7911),MONTH(C7911),"")</f>
        <v/>
      </c>
      <c r="X7911" s="23" t="str">
        <f aca="false">IF(T7911="","",IF(T7911=0,"No discount",IF(T7911&lt;=0.2,"Low (1-20%)",IF(T7911&lt;=0.4,"Medium (21-40%)","High (&gt;40%)"))))</f>
        <v/>
      </c>
      <c r="Y7911" s="23" t="str">
        <f aca="false">IF(AND(ISNUMBER(C7911),ISNUMBER(D7911)),D7911-C7911,"")</f>
        <v/>
      </c>
      <c r="Z7911" s="23" t="str">
        <f aca="false">IF(B7911="","",IF(MATCH(B7911,$B$2:$B$12000,0)=ROW()-1,1,0))</f>
        <v/>
      </c>
    </row>
    <row r="7912" customFormat="false" ht="15" hidden="false" customHeight="false" outlineLevel="0" collapsed="false">
      <c r="V7912" s="23" t="str">
        <f aca="false">IF(ISNUMBER(C7912),YEAR(C7912),"")</f>
        <v/>
      </c>
      <c r="W7912" s="23" t="str">
        <f aca="false">IF(ISNUMBER(C7912),MONTH(C7912),"")</f>
        <v/>
      </c>
      <c r="X7912" s="23" t="str">
        <f aca="false">IF(T7912="","",IF(T7912=0,"No discount",IF(T7912&lt;=0.2,"Low (1-20%)",IF(T7912&lt;=0.4,"Medium (21-40%)","High (&gt;40%)"))))</f>
        <v/>
      </c>
      <c r="Y7912" s="23" t="str">
        <f aca="false">IF(AND(ISNUMBER(C7912),ISNUMBER(D7912)),D7912-C7912,"")</f>
        <v/>
      </c>
      <c r="Z7912" s="23" t="str">
        <f aca="false">IF(B7912="","",IF(MATCH(B7912,$B$2:$B$12000,0)=ROW()-1,1,0))</f>
        <v/>
      </c>
    </row>
    <row r="7913" customFormat="false" ht="15" hidden="false" customHeight="false" outlineLevel="0" collapsed="false">
      <c r="V7913" s="23" t="str">
        <f aca="false">IF(ISNUMBER(C7913),YEAR(C7913),"")</f>
        <v/>
      </c>
      <c r="W7913" s="23" t="str">
        <f aca="false">IF(ISNUMBER(C7913),MONTH(C7913),"")</f>
        <v/>
      </c>
      <c r="X7913" s="23" t="str">
        <f aca="false">IF(T7913="","",IF(T7913=0,"No discount",IF(T7913&lt;=0.2,"Low (1-20%)",IF(T7913&lt;=0.4,"Medium (21-40%)","High (&gt;40%)"))))</f>
        <v/>
      </c>
      <c r="Y7913" s="23" t="str">
        <f aca="false">IF(AND(ISNUMBER(C7913),ISNUMBER(D7913)),D7913-C7913,"")</f>
        <v/>
      </c>
      <c r="Z7913" s="23" t="str">
        <f aca="false">IF(B7913="","",IF(MATCH(B7913,$B$2:$B$12000,0)=ROW()-1,1,0))</f>
        <v/>
      </c>
    </row>
    <row r="7914" customFormat="false" ht="15" hidden="false" customHeight="false" outlineLevel="0" collapsed="false">
      <c r="V7914" s="23" t="str">
        <f aca="false">IF(ISNUMBER(C7914),YEAR(C7914),"")</f>
        <v/>
      </c>
      <c r="W7914" s="23" t="str">
        <f aca="false">IF(ISNUMBER(C7914),MONTH(C7914),"")</f>
        <v/>
      </c>
      <c r="X7914" s="23" t="str">
        <f aca="false">IF(T7914="","",IF(T7914=0,"No discount",IF(T7914&lt;=0.2,"Low (1-20%)",IF(T7914&lt;=0.4,"Medium (21-40%)","High (&gt;40%)"))))</f>
        <v/>
      </c>
      <c r="Y7914" s="23" t="str">
        <f aca="false">IF(AND(ISNUMBER(C7914),ISNUMBER(D7914)),D7914-C7914,"")</f>
        <v/>
      </c>
      <c r="Z7914" s="23" t="str">
        <f aca="false">IF(B7914="","",IF(MATCH(B7914,$B$2:$B$12000,0)=ROW()-1,1,0))</f>
        <v/>
      </c>
    </row>
    <row r="7915" customFormat="false" ht="15" hidden="false" customHeight="false" outlineLevel="0" collapsed="false">
      <c r="V7915" s="23" t="str">
        <f aca="false">IF(ISNUMBER(C7915),YEAR(C7915),"")</f>
        <v/>
      </c>
      <c r="W7915" s="23" t="str">
        <f aca="false">IF(ISNUMBER(C7915),MONTH(C7915),"")</f>
        <v/>
      </c>
      <c r="X7915" s="23" t="str">
        <f aca="false">IF(T7915="","",IF(T7915=0,"No discount",IF(T7915&lt;=0.2,"Low (1-20%)",IF(T7915&lt;=0.4,"Medium (21-40%)","High (&gt;40%)"))))</f>
        <v/>
      </c>
      <c r="Y7915" s="23" t="str">
        <f aca="false">IF(AND(ISNUMBER(C7915),ISNUMBER(D7915)),D7915-C7915,"")</f>
        <v/>
      </c>
      <c r="Z7915" s="23" t="str">
        <f aca="false">IF(B7915="","",IF(MATCH(B7915,$B$2:$B$12000,0)=ROW()-1,1,0))</f>
        <v/>
      </c>
    </row>
    <row r="7916" customFormat="false" ht="15" hidden="false" customHeight="false" outlineLevel="0" collapsed="false">
      <c r="V7916" s="23" t="str">
        <f aca="false">IF(ISNUMBER(C7916),YEAR(C7916),"")</f>
        <v/>
      </c>
      <c r="W7916" s="23" t="str">
        <f aca="false">IF(ISNUMBER(C7916),MONTH(C7916),"")</f>
        <v/>
      </c>
      <c r="X7916" s="23" t="str">
        <f aca="false">IF(T7916="","",IF(T7916=0,"No discount",IF(T7916&lt;=0.2,"Low (1-20%)",IF(T7916&lt;=0.4,"Medium (21-40%)","High (&gt;40%)"))))</f>
        <v/>
      </c>
      <c r="Y7916" s="23" t="str">
        <f aca="false">IF(AND(ISNUMBER(C7916),ISNUMBER(D7916)),D7916-C7916,"")</f>
        <v/>
      </c>
      <c r="Z7916" s="23" t="str">
        <f aca="false">IF(B7916="","",IF(MATCH(B7916,$B$2:$B$12000,0)=ROW()-1,1,0))</f>
        <v/>
      </c>
    </row>
    <row r="7917" customFormat="false" ht="15" hidden="false" customHeight="false" outlineLevel="0" collapsed="false">
      <c r="V7917" s="23" t="str">
        <f aca="false">IF(ISNUMBER(C7917),YEAR(C7917),"")</f>
        <v/>
      </c>
      <c r="W7917" s="23" t="str">
        <f aca="false">IF(ISNUMBER(C7917),MONTH(C7917),"")</f>
        <v/>
      </c>
      <c r="X7917" s="23" t="str">
        <f aca="false">IF(T7917="","",IF(T7917=0,"No discount",IF(T7917&lt;=0.2,"Low (1-20%)",IF(T7917&lt;=0.4,"Medium (21-40%)","High (&gt;40%)"))))</f>
        <v/>
      </c>
      <c r="Y7917" s="23" t="str">
        <f aca="false">IF(AND(ISNUMBER(C7917),ISNUMBER(D7917)),D7917-C7917,"")</f>
        <v/>
      </c>
      <c r="Z7917" s="23" t="str">
        <f aca="false">IF(B7917="","",IF(MATCH(B7917,$B$2:$B$12000,0)=ROW()-1,1,0))</f>
        <v/>
      </c>
    </row>
    <row r="7918" customFormat="false" ht="15" hidden="false" customHeight="false" outlineLevel="0" collapsed="false">
      <c r="V7918" s="23" t="str">
        <f aca="false">IF(ISNUMBER(C7918),YEAR(C7918),"")</f>
        <v/>
      </c>
      <c r="W7918" s="23" t="str">
        <f aca="false">IF(ISNUMBER(C7918),MONTH(C7918),"")</f>
        <v/>
      </c>
      <c r="X7918" s="23" t="str">
        <f aca="false">IF(T7918="","",IF(T7918=0,"No discount",IF(T7918&lt;=0.2,"Low (1-20%)",IF(T7918&lt;=0.4,"Medium (21-40%)","High (&gt;40%)"))))</f>
        <v/>
      </c>
      <c r="Y7918" s="23" t="str">
        <f aca="false">IF(AND(ISNUMBER(C7918),ISNUMBER(D7918)),D7918-C7918,"")</f>
        <v/>
      </c>
      <c r="Z7918" s="23" t="str">
        <f aca="false">IF(B7918="","",IF(MATCH(B7918,$B$2:$B$12000,0)=ROW()-1,1,0))</f>
        <v/>
      </c>
    </row>
    <row r="7919" customFormat="false" ht="15" hidden="false" customHeight="false" outlineLevel="0" collapsed="false">
      <c r="V7919" s="23" t="str">
        <f aca="false">IF(ISNUMBER(C7919),YEAR(C7919),"")</f>
        <v/>
      </c>
      <c r="W7919" s="23" t="str">
        <f aca="false">IF(ISNUMBER(C7919),MONTH(C7919),"")</f>
        <v/>
      </c>
      <c r="X7919" s="23" t="str">
        <f aca="false">IF(T7919="","",IF(T7919=0,"No discount",IF(T7919&lt;=0.2,"Low (1-20%)",IF(T7919&lt;=0.4,"Medium (21-40%)","High (&gt;40%)"))))</f>
        <v/>
      </c>
      <c r="Y7919" s="23" t="str">
        <f aca="false">IF(AND(ISNUMBER(C7919),ISNUMBER(D7919)),D7919-C7919,"")</f>
        <v/>
      </c>
      <c r="Z7919" s="23" t="str">
        <f aca="false">IF(B7919="","",IF(MATCH(B7919,$B$2:$B$12000,0)=ROW()-1,1,0))</f>
        <v/>
      </c>
    </row>
    <row r="7920" customFormat="false" ht="15" hidden="false" customHeight="false" outlineLevel="0" collapsed="false">
      <c r="V7920" s="23" t="str">
        <f aca="false">IF(ISNUMBER(C7920),YEAR(C7920),"")</f>
        <v/>
      </c>
      <c r="W7920" s="23" t="str">
        <f aca="false">IF(ISNUMBER(C7920),MONTH(C7920),"")</f>
        <v/>
      </c>
      <c r="X7920" s="23" t="str">
        <f aca="false">IF(T7920="","",IF(T7920=0,"No discount",IF(T7920&lt;=0.2,"Low (1-20%)",IF(T7920&lt;=0.4,"Medium (21-40%)","High (&gt;40%)"))))</f>
        <v/>
      </c>
      <c r="Y7920" s="23" t="str">
        <f aca="false">IF(AND(ISNUMBER(C7920),ISNUMBER(D7920)),D7920-C7920,"")</f>
        <v/>
      </c>
      <c r="Z7920" s="23" t="str">
        <f aca="false">IF(B7920="","",IF(MATCH(B7920,$B$2:$B$12000,0)=ROW()-1,1,0))</f>
        <v/>
      </c>
    </row>
    <row r="7921" customFormat="false" ht="15" hidden="false" customHeight="false" outlineLevel="0" collapsed="false">
      <c r="V7921" s="23" t="str">
        <f aca="false">IF(ISNUMBER(C7921),YEAR(C7921),"")</f>
        <v/>
      </c>
      <c r="W7921" s="23" t="str">
        <f aca="false">IF(ISNUMBER(C7921),MONTH(C7921),"")</f>
        <v/>
      </c>
      <c r="X7921" s="23" t="str">
        <f aca="false">IF(T7921="","",IF(T7921=0,"No discount",IF(T7921&lt;=0.2,"Low (1-20%)",IF(T7921&lt;=0.4,"Medium (21-40%)","High (&gt;40%)"))))</f>
        <v/>
      </c>
      <c r="Y7921" s="23" t="str">
        <f aca="false">IF(AND(ISNUMBER(C7921),ISNUMBER(D7921)),D7921-C7921,"")</f>
        <v/>
      </c>
      <c r="Z7921" s="23" t="str">
        <f aca="false">IF(B7921="","",IF(MATCH(B7921,$B$2:$B$12000,0)=ROW()-1,1,0))</f>
        <v/>
      </c>
    </row>
    <row r="7922" customFormat="false" ht="15" hidden="false" customHeight="false" outlineLevel="0" collapsed="false">
      <c r="V7922" s="23" t="str">
        <f aca="false">IF(ISNUMBER(C7922),YEAR(C7922),"")</f>
        <v/>
      </c>
      <c r="W7922" s="23" t="str">
        <f aca="false">IF(ISNUMBER(C7922),MONTH(C7922),"")</f>
        <v/>
      </c>
      <c r="X7922" s="23" t="str">
        <f aca="false">IF(T7922="","",IF(T7922=0,"No discount",IF(T7922&lt;=0.2,"Low (1-20%)",IF(T7922&lt;=0.4,"Medium (21-40%)","High (&gt;40%)"))))</f>
        <v/>
      </c>
      <c r="Y7922" s="23" t="str">
        <f aca="false">IF(AND(ISNUMBER(C7922),ISNUMBER(D7922)),D7922-C7922,"")</f>
        <v/>
      </c>
      <c r="Z7922" s="23" t="str">
        <f aca="false">IF(B7922="","",IF(MATCH(B7922,$B$2:$B$12000,0)=ROW()-1,1,0))</f>
        <v/>
      </c>
    </row>
    <row r="7923" customFormat="false" ht="15" hidden="false" customHeight="false" outlineLevel="0" collapsed="false">
      <c r="V7923" s="23" t="str">
        <f aca="false">IF(ISNUMBER(C7923),YEAR(C7923),"")</f>
        <v/>
      </c>
      <c r="W7923" s="23" t="str">
        <f aca="false">IF(ISNUMBER(C7923),MONTH(C7923),"")</f>
        <v/>
      </c>
      <c r="X7923" s="23" t="str">
        <f aca="false">IF(T7923="","",IF(T7923=0,"No discount",IF(T7923&lt;=0.2,"Low (1-20%)",IF(T7923&lt;=0.4,"Medium (21-40%)","High (&gt;40%)"))))</f>
        <v/>
      </c>
      <c r="Y7923" s="23" t="str">
        <f aca="false">IF(AND(ISNUMBER(C7923),ISNUMBER(D7923)),D7923-C7923,"")</f>
        <v/>
      </c>
      <c r="Z7923" s="23" t="str">
        <f aca="false">IF(B7923="","",IF(MATCH(B7923,$B$2:$B$12000,0)=ROW()-1,1,0))</f>
        <v/>
      </c>
    </row>
    <row r="7924" customFormat="false" ht="15" hidden="false" customHeight="false" outlineLevel="0" collapsed="false">
      <c r="V7924" s="23" t="str">
        <f aca="false">IF(ISNUMBER(C7924),YEAR(C7924),"")</f>
        <v/>
      </c>
      <c r="W7924" s="23" t="str">
        <f aca="false">IF(ISNUMBER(C7924),MONTH(C7924),"")</f>
        <v/>
      </c>
      <c r="X7924" s="23" t="str">
        <f aca="false">IF(T7924="","",IF(T7924=0,"No discount",IF(T7924&lt;=0.2,"Low (1-20%)",IF(T7924&lt;=0.4,"Medium (21-40%)","High (&gt;40%)"))))</f>
        <v/>
      </c>
      <c r="Y7924" s="23" t="str">
        <f aca="false">IF(AND(ISNUMBER(C7924),ISNUMBER(D7924)),D7924-C7924,"")</f>
        <v/>
      </c>
      <c r="Z7924" s="23" t="str">
        <f aca="false">IF(B7924="","",IF(MATCH(B7924,$B$2:$B$12000,0)=ROW()-1,1,0))</f>
        <v/>
      </c>
    </row>
    <row r="7925" customFormat="false" ht="15" hidden="false" customHeight="false" outlineLevel="0" collapsed="false">
      <c r="V7925" s="23" t="str">
        <f aca="false">IF(ISNUMBER(C7925),YEAR(C7925),"")</f>
        <v/>
      </c>
      <c r="W7925" s="23" t="str">
        <f aca="false">IF(ISNUMBER(C7925),MONTH(C7925),"")</f>
        <v/>
      </c>
      <c r="X7925" s="23" t="str">
        <f aca="false">IF(T7925="","",IF(T7925=0,"No discount",IF(T7925&lt;=0.2,"Low (1-20%)",IF(T7925&lt;=0.4,"Medium (21-40%)","High (&gt;40%)"))))</f>
        <v/>
      </c>
      <c r="Y7925" s="23" t="str">
        <f aca="false">IF(AND(ISNUMBER(C7925),ISNUMBER(D7925)),D7925-C7925,"")</f>
        <v/>
      </c>
      <c r="Z7925" s="23" t="str">
        <f aca="false">IF(B7925="","",IF(MATCH(B7925,$B$2:$B$12000,0)=ROW()-1,1,0))</f>
        <v/>
      </c>
    </row>
    <row r="7926" customFormat="false" ht="15" hidden="false" customHeight="false" outlineLevel="0" collapsed="false">
      <c r="V7926" s="23" t="str">
        <f aca="false">IF(ISNUMBER(C7926),YEAR(C7926),"")</f>
        <v/>
      </c>
      <c r="W7926" s="23" t="str">
        <f aca="false">IF(ISNUMBER(C7926),MONTH(C7926),"")</f>
        <v/>
      </c>
      <c r="X7926" s="23" t="str">
        <f aca="false">IF(T7926="","",IF(T7926=0,"No discount",IF(T7926&lt;=0.2,"Low (1-20%)",IF(T7926&lt;=0.4,"Medium (21-40%)","High (&gt;40%)"))))</f>
        <v/>
      </c>
      <c r="Y7926" s="23" t="str">
        <f aca="false">IF(AND(ISNUMBER(C7926),ISNUMBER(D7926)),D7926-C7926,"")</f>
        <v/>
      </c>
      <c r="Z7926" s="23" t="str">
        <f aca="false">IF(B7926="","",IF(MATCH(B7926,$B$2:$B$12000,0)=ROW()-1,1,0))</f>
        <v/>
      </c>
    </row>
    <row r="7927" customFormat="false" ht="15" hidden="false" customHeight="false" outlineLevel="0" collapsed="false">
      <c r="V7927" s="23" t="str">
        <f aca="false">IF(ISNUMBER(C7927),YEAR(C7927),"")</f>
        <v/>
      </c>
      <c r="W7927" s="23" t="str">
        <f aca="false">IF(ISNUMBER(C7927),MONTH(C7927),"")</f>
        <v/>
      </c>
      <c r="X7927" s="23" t="str">
        <f aca="false">IF(T7927="","",IF(T7927=0,"No discount",IF(T7927&lt;=0.2,"Low (1-20%)",IF(T7927&lt;=0.4,"Medium (21-40%)","High (&gt;40%)"))))</f>
        <v/>
      </c>
      <c r="Y7927" s="23" t="str">
        <f aca="false">IF(AND(ISNUMBER(C7927),ISNUMBER(D7927)),D7927-C7927,"")</f>
        <v/>
      </c>
      <c r="Z7927" s="23" t="str">
        <f aca="false">IF(B7927="","",IF(MATCH(B7927,$B$2:$B$12000,0)=ROW()-1,1,0))</f>
        <v/>
      </c>
    </row>
    <row r="7928" customFormat="false" ht="15" hidden="false" customHeight="false" outlineLevel="0" collapsed="false">
      <c r="V7928" s="23" t="str">
        <f aca="false">IF(ISNUMBER(C7928),YEAR(C7928),"")</f>
        <v/>
      </c>
      <c r="W7928" s="23" t="str">
        <f aca="false">IF(ISNUMBER(C7928),MONTH(C7928),"")</f>
        <v/>
      </c>
      <c r="X7928" s="23" t="str">
        <f aca="false">IF(T7928="","",IF(T7928=0,"No discount",IF(T7928&lt;=0.2,"Low (1-20%)",IF(T7928&lt;=0.4,"Medium (21-40%)","High (&gt;40%)"))))</f>
        <v/>
      </c>
      <c r="Y7928" s="23" t="str">
        <f aca="false">IF(AND(ISNUMBER(C7928),ISNUMBER(D7928)),D7928-C7928,"")</f>
        <v/>
      </c>
      <c r="Z7928" s="23" t="str">
        <f aca="false">IF(B7928="","",IF(MATCH(B7928,$B$2:$B$12000,0)=ROW()-1,1,0))</f>
        <v/>
      </c>
    </row>
    <row r="7929" customFormat="false" ht="15" hidden="false" customHeight="false" outlineLevel="0" collapsed="false">
      <c r="V7929" s="23" t="str">
        <f aca="false">IF(ISNUMBER(C7929),YEAR(C7929),"")</f>
        <v/>
      </c>
      <c r="W7929" s="23" t="str">
        <f aca="false">IF(ISNUMBER(C7929),MONTH(C7929),"")</f>
        <v/>
      </c>
      <c r="X7929" s="23" t="str">
        <f aca="false">IF(T7929="","",IF(T7929=0,"No discount",IF(T7929&lt;=0.2,"Low (1-20%)",IF(T7929&lt;=0.4,"Medium (21-40%)","High (&gt;40%)"))))</f>
        <v/>
      </c>
      <c r="Y7929" s="23" t="str">
        <f aca="false">IF(AND(ISNUMBER(C7929),ISNUMBER(D7929)),D7929-C7929,"")</f>
        <v/>
      </c>
      <c r="Z7929" s="23" t="str">
        <f aca="false">IF(B7929="","",IF(MATCH(B7929,$B$2:$B$12000,0)=ROW()-1,1,0))</f>
        <v/>
      </c>
    </row>
    <row r="7930" customFormat="false" ht="15" hidden="false" customHeight="false" outlineLevel="0" collapsed="false">
      <c r="V7930" s="23" t="str">
        <f aca="false">IF(ISNUMBER(C7930),YEAR(C7930),"")</f>
        <v/>
      </c>
      <c r="W7930" s="23" t="str">
        <f aca="false">IF(ISNUMBER(C7930),MONTH(C7930),"")</f>
        <v/>
      </c>
      <c r="X7930" s="23" t="str">
        <f aca="false">IF(T7930="","",IF(T7930=0,"No discount",IF(T7930&lt;=0.2,"Low (1-20%)",IF(T7930&lt;=0.4,"Medium (21-40%)","High (&gt;40%)"))))</f>
        <v/>
      </c>
      <c r="Y7930" s="23" t="str">
        <f aca="false">IF(AND(ISNUMBER(C7930),ISNUMBER(D7930)),D7930-C7930,"")</f>
        <v/>
      </c>
      <c r="Z7930" s="23" t="str">
        <f aca="false">IF(B7930="","",IF(MATCH(B7930,$B$2:$B$12000,0)=ROW()-1,1,0))</f>
        <v/>
      </c>
    </row>
    <row r="7931" customFormat="false" ht="15" hidden="false" customHeight="false" outlineLevel="0" collapsed="false">
      <c r="V7931" s="23" t="str">
        <f aca="false">IF(ISNUMBER(C7931),YEAR(C7931),"")</f>
        <v/>
      </c>
      <c r="W7931" s="23" t="str">
        <f aca="false">IF(ISNUMBER(C7931),MONTH(C7931),"")</f>
        <v/>
      </c>
      <c r="X7931" s="23" t="str">
        <f aca="false">IF(T7931="","",IF(T7931=0,"No discount",IF(T7931&lt;=0.2,"Low (1-20%)",IF(T7931&lt;=0.4,"Medium (21-40%)","High (&gt;40%)"))))</f>
        <v/>
      </c>
      <c r="Y7931" s="23" t="str">
        <f aca="false">IF(AND(ISNUMBER(C7931),ISNUMBER(D7931)),D7931-C7931,"")</f>
        <v/>
      </c>
      <c r="Z7931" s="23" t="str">
        <f aca="false">IF(B7931="","",IF(MATCH(B7931,$B$2:$B$12000,0)=ROW()-1,1,0))</f>
        <v/>
      </c>
    </row>
    <row r="7932" customFormat="false" ht="15" hidden="false" customHeight="false" outlineLevel="0" collapsed="false">
      <c r="V7932" s="23" t="str">
        <f aca="false">IF(ISNUMBER(C7932),YEAR(C7932),"")</f>
        <v/>
      </c>
      <c r="W7932" s="23" t="str">
        <f aca="false">IF(ISNUMBER(C7932),MONTH(C7932),"")</f>
        <v/>
      </c>
      <c r="X7932" s="23" t="str">
        <f aca="false">IF(T7932="","",IF(T7932=0,"No discount",IF(T7932&lt;=0.2,"Low (1-20%)",IF(T7932&lt;=0.4,"Medium (21-40%)","High (&gt;40%)"))))</f>
        <v/>
      </c>
      <c r="Y7932" s="23" t="str">
        <f aca="false">IF(AND(ISNUMBER(C7932),ISNUMBER(D7932)),D7932-C7932,"")</f>
        <v/>
      </c>
      <c r="Z7932" s="23" t="str">
        <f aca="false">IF(B7932="","",IF(MATCH(B7932,$B$2:$B$12000,0)=ROW()-1,1,0))</f>
        <v/>
      </c>
    </row>
    <row r="7933" customFormat="false" ht="15" hidden="false" customHeight="false" outlineLevel="0" collapsed="false">
      <c r="V7933" s="23" t="str">
        <f aca="false">IF(ISNUMBER(C7933),YEAR(C7933),"")</f>
        <v/>
      </c>
      <c r="W7933" s="23" t="str">
        <f aca="false">IF(ISNUMBER(C7933),MONTH(C7933),"")</f>
        <v/>
      </c>
      <c r="X7933" s="23" t="str">
        <f aca="false">IF(T7933="","",IF(T7933=0,"No discount",IF(T7933&lt;=0.2,"Low (1-20%)",IF(T7933&lt;=0.4,"Medium (21-40%)","High (&gt;40%)"))))</f>
        <v/>
      </c>
      <c r="Y7933" s="23" t="str">
        <f aca="false">IF(AND(ISNUMBER(C7933),ISNUMBER(D7933)),D7933-C7933,"")</f>
        <v/>
      </c>
      <c r="Z7933" s="23" t="str">
        <f aca="false">IF(B7933="","",IF(MATCH(B7933,$B$2:$B$12000,0)=ROW()-1,1,0))</f>
        <v/>
      </c>
    </row>
    <row r="7934" customFormat="false" ht="15" hidden="false" customHeight="false" outlineLevel="0" collapsed="false">
      <c r="V7934" s="23" t="str">
        <f aca="false">IF(ISNUMBER(C7934),YEAR(C7934),"")</f>
        <v/>
      </c>
      <c r="W7934" s="23" t="str">
        <f aca="false">IF(ISNUMBER(C7934),MONTH(C7934),"")</f>
        <v/>
      </c>
      <c r="X7934" s="23" t="str">
        <f aca="false">IF(T7934="","",IF(T7934=0,"No discount",IF(T7934&lt;=0.2,"Low (1-20%)",IF(T7934&lt;=0.4,"Medium (21-40%)","High (&gt;40%)"))))</f>
        <v/>
      </c>
      <c r="Y7934" s="23" t="str">
        <f aca="false">IF(AND(ISNUMBER(C7934),ISNUMBER(D7934)),D7934-C7934,"")</f>
        <v/>
      </c>
      <c r="Z7934" s="23" t="str">
        <f aca="false">IF(B7934="","",IF(MATCH(B7934,$B$2:$B$12000,0)=ROW()-1,1,0))</f>
        <v/>
      </c>
    </row>
    <row r="7935" customFormat="false" ht="15" hidden="false" customHeight="false" outlineLevel="0" collapsed="false">
      <c r="V7935" s="23" t="str">
        <f aca="false">IF(ISNUMBER(C7935),YEAR(C7935),"")</f>
        <v/>
      </c>
      <c r="W7935" s="23" t="str">
        <f aca="false">IF(ISNUMBER(C7935),MONTH(C7935),"")</f>
        <v/>
      </c>
      <c r="X7935" s="23" t="str">
        <f aca="false">IF(T7935="","",IF(T7935=0,"No discount",IF(T7935&lt;=0.2,"Low (1-20%)",IF(T7935&lt;=0.4,"Medium (21-40%)","High (&gt;40%)"))))</f>
        <v/>
      </c>
      <c r="Y7935" s="23" t="str">
        <f aca="false">IF(AND(ISNUMBER(C7935),ISNUMBER(D7935)),D7935-C7935,"")</f>
        <v/>
      </c>
      <c r="Z7935" s="23" t="str">
        <f aca="false">IF(B7935="","",IF(MATCH(B7935,$B$2:$B$12000,0)=ROW()-1,1,0))</f>
        <v/>
      </c>
    </row>
    <row r="7936" customFormat="false" ht="15" hidden="false" customHeight="false" outlineLevel="0" collapsed="false">
      <c r="V7936" s="23" t="str">
        <f aca="false">IF(ISNUMBER(C7936),YEAR(C7936),"")</f>
        <v/>
      </c>
      <c r="W7936" s="23" t="str">
        <f aca="false">IF(ISNUMBER(C7936),MONTH(C7936),"")</f>
        <v/>
      </c>
      <c r="X7936" s="23" t="str">
        <f aca="false">IF(T7936="","",IF(T7936=0,"No discount",IF(T7936&lt;=0.2,"Low (1-20%)",IF(T7936&lt;=0.4,"Medium (21-40%)","High (&gt;40%)"))))</f>
        <v/>
      </c>
      <c r="Y7936" s="23" t="str">
        <f aca="false">IF(AND(ISNUMBER(C7936),ISNUMBER(D7936)),D7936-C7936,"")</f>
        <v/>
      </c>
      <c r="Z7936" s="23" t="str">
        <f aca="false">IF(B7936="","",IF(MATCH(B7936,$B$2:$B$12000,0)=ROW()-1,1,0))</f>
        <v/>
      </c>
    </row>
    <row r="7937" customFormat="false" ht="15" hidden="false" customHeight="false" outlineLevel="0" collapsed="false">
      <c r="V7937" s="23" t="str">
        <f aca="false">IF(ISNUMBER(C7937),YEAR(C7937),"")</f>
        <v/>
      </c>
      <c r="W7937" s="23" t="str">
        <f aca="false">IF(ISNUMBER(C7937),MONTH(C7937),"")</f>
        <v/>
      </c>
      <c r="X7937" s="23" t="str">
        <f aca="false">IF(T7937="","",IF(T7937=0,"No discount",IF(T7937&lt;=0.2,"Low (1-20%)",IF(T7937&lt;=0.4,"Medium (21-40%)","High (&gt;40%)"))))</f>
        <v/>
      </c>
      <c r="Y7937" s="23" t="str">
        <f aca="false">IF(AND(ISNUMBER(C7937),ISNUMBER(D7937)),D7937-C7937,"")</f>
        <v/>
      </c>
      <c r="Z7937" s="23" t="str">
        <f aca="false">IF(B7937="","",IF(MATCH(B7937,$B$2:$B$12000,0)=ROW()-1,1,0))</f>
        <v/>
      </c>
    </row>
    <row r="7938" customFormat="false" ht="15" hidden="false" customHeight="false" outlineLevel="0" collapsed="false">
      <c r="V7938" s="23" t="str">
        <f aca="false">IF(ISNUMBER(C7938),YEAR(C7938),"")</f>
        <v/>
      </c>
      <c r="W7938" s="23" t="str">
        <f aca="false">IF(ISNUMBER(C7938),MONTH(C7938),"")</f>
        <v/>
      </c>
      <c r="X7938" s="23" t="str">
        <f aca="false">IF(T7938="","",IF(T7938=0,"No discount",IF(T7938&lt;=0.2,"Low (1-20%)",IF(T7938&lt;=0.4,"Medium (21-40%)","High (&gt;40%)"))))</f>
        <v/>
      </c>
      <c r="Y7938" s="23" t="str">
        <f aca="false">IF(AND(ISNUMBER(C7938),ISNUMBER(D7938)),D7938-C7938,"")</f>
        <v/>
      </c>
      <c r="Z7938" s="23" t="str">
        <f aca="false">IF(B7938="","",IF(MATCH(B7938,$B$2:$B$12000,0)=ROW()-1,1,0))</f>
        <v/>
      </c>
    </row>
    <row r="7939" customFormat="false" ht="15" hidden="false" customHeight="false" outlineLevel="0" collapsed="false">
      <c r="V7939" s="23" t="str">
        <f aca="false">IF(ISNUMBER(C7939),YEAR(C7939),"")</f>
        <v/>
      </c>
      <c r="W7939" s="23" t="str">
        <f aca="false">IF(ISNUMBER(C7939),MONTH(C7939),"")</f>
        <v/>
      </c>
      <c r="X7939" s="23" t="str">
        <f aca="false">IF(T7939="","",IF(T7939=0,"No discount",IF(T7939&lt;=0.2,"Low (1-20%)",IF(T7939&lt;=0.4,"Medium (21-40%)","High (&gt;40%)"))))</f>
        <v/>
      </c>
      <c r="Y7939" s="23" t="str">
        <f aca="false">IF(AND(ISNUMBER(C7939),ISNUMBER(D7939)),D7939-C7939,"")</f>
        <v/>
      </c>
      <c r="Z7939" s="23" t="str">
        <f aca="false">IF(B7939="","",IF(MATCH(B7939,$B$2:$B$12000,0)=ROW()-1,1,0))</f>
        <v/>
      </c>
    </row>
    <row r="7940" customFormat="false" ht="15" hidden="false" customHeight="false" outlineLevel="0" collapsed="false">
      <c r="V7940" s="23" t="str">
        <f aca="false">IF(ISNUMBER(C7940),YEAR(C7940),"")</f>
        <v/>
      </c>
      <c r="W7940" s="23" t="str">
        <f aca="false">IF(ISNUMBER(C7940),MONTH(C7940),"")</f>
        <v/>
      </c>
      <c r="X7940" s="23" t="str">
        <f aca="false">IF(T7940="","",IF(T7940=0,"No discount",IF(T7940&lt;=0.2,"Low (1-20%)",IF(T7940&lt;=0.4,"Medium (21-40%)","High (&gt;40%)"))))</f>
        <v/>
      </c>
      <c r="Y7940" s="23" t="str">
        <f aca="false">IF(AND(ISNUMBER(C7940),ISNUMBER(D7940)),D7940-C7940,"")</f>
        <v/>
      </c>
      <c r="Z7940" s="23" t="str">
        <f aca="false">IF(B7940="","",IF(MATCH(B7940,$B$2:$B$12000,0)=ROW()-1,1,0))</f>
        <v/>
      </c>
    </row>
    <row r="7941" customFormat="false" ht="15" hidden="false" customHeight="false" outlineLevel="0" collapsed="false">
      <c r="V7941" s="23" t="str">
        <f aca="false">IF(ISNUMBER(C7941),YEAR(C7941),"")</f>
        <v/>
      </c>
      <c r="W7941" s="23" t="str">
        <f aca="false">IF(ISNUMBER(C7941),MONTH(C7941),"")</f>
        <v/>
      </c>
      <c r="X7941" s="23" t="str">
        <f aca="false">IF(T7941="","",IF(T7941=0,"No discount",IF(T7941&lt;=0.2,"Low (1-20%)",IF(T7941&lt;=0.4,"Medium (21-40%)","High (&gt;40%)"))))</f>
        <v/>
      </c>
      <c r="Y7941" s="23" t="str">
        <f aca="false">IF(AND(ISNUMBER(C7941),ISNUMBER(D7941)),D7941-C7941,"")</f>
        <v/>
      </c>
      <c r="Z7941" s="23" t="str">
        <f aca="false">IF(B7941="","",IF(MATCH(B7941,$B$2:$B$12000,0)=ROW()-1,1,0))</f>
        <v/>
      </c>
    </row>
    <row r="7942" customFormat="false" ht="15" hidden="false" customHeight="false" outlineLevel="0" collapsed="false">
      <c r="V7942" s="23" t="str">
        <f aca="false">IF(ISNUMBER(C7942),YEAR(C7942),"")</f>
        <v/>
      </c>
      <c r="W7942" s="23" t="str">
        <f aca="false">IF(ISNUMBER(C7942),MONTH(C7942),"")</f>
        <v/>
      </c>
      <c r="X7942" s="23" t="str">
        <f aca="false">IF(T7942="","",IF(T7942=0,"No discount",IF(T7942&lt;=0.2,"Low (1-20%)",IF(T7942&lt;=0.4,"Medium (21-40%)","High (&gt;40%)"))))</f>
        <v/>
      </c>
      <c r="Y7942" s="23" t="str">
        <f aca="false">IF(AND(ISNUMBER(C7942),ISNUMBER(D7942)),D7942-C7942,"")</f>
        <v/>
      </c>
      <c r="Z7942" s="23" t="str">
        <f aca="false">IF(B7942="","",IF(MATCH(B7942,$B$2:$B$12000,0)=ROW()-1,1,0))</f>
        <v/>
      </c>
    </row>
    <row r="7943" customFormat="false" ht="15" hidden="false" customHeight="false" outlineLevel="0" collapsed="false">
      <c r="V7943" s="23" t="str">
        <f aca="false">IF(ISNUMBER(C7943),YEAR(C7943),"")</f>
        <v/>
      </c>
      <c r="W7943" s="23" t="str">
        <f aca="false">IF(ISNUMBER(C7943),MONTH(C7943),"")</f>
        <v/>
      </c>
      <c r="X7943" s="23" t="str">
        <f aca="false">IF(T7943="","",IF(T7943=0,"No discount",IF(T7943&lt;=0.2,"Low (1-20%)",IF(T7943&lt;=0.4,"Medium (21-40%)","High (&gt;40%)"))))</f>
        <v/>
      </c>
      <c r="Y7943" s="23" t="str">
        <f aca="false">IF(AND(ISNUMBER(C7943),ISNUMBER(D7943)),D7943-C7943,"")</f>
        <v/>
      </c>
      <c r="Z7943" s="23" t="str">
        <f aca="false">IF(B7943="","",IF(MATCH(B7943,$B$2:$B$12000,0)=ROW()-1,1,0))</f>
        <v/>
      </c>
    </row>
    <row r="7944" customFormat="false" ht="15" hidden="false" customHeight="false" outlineLevel="0" collapsed="false">
      <c r="V7944" s="23" t="str">
        <f aca="false">IF(ISNUMBER(C7944),YEAR(C7944),"")</f>
        <v/>
      </c>
      <c r="W7944" s="23" t="str">
        <f aca="false">IF(ISNUMBER(C7944),MONTH(C7944),"")</f>
        <v/>
      </c>
      <c r="X7944" s="23" t="str">
        <f aca="false">IF(T7944="","",IF(T7944=0,"No discount",IF(T7944&lt;=0.2,"Low (1-20%)",IF(T7944&lt;=0.4,"Medium (21-40%)","High (&gt;40%)"))))</f>
        <v/>
      </c>
      <c r="Y7944" s="23" t="str">
        <f aca="false">IF(AND(ISNUMBER(C7944),ISNUMBER(D7944)),D7944-C7944,"")</f>
        <v/>
      </c>
      <c r="Z7944" s="23" t="str">
        <f aca="false">IF(B7944="","",IF(MATCH(B7944,$B$2:$B$12000,0)=ROW()-1,1,0))</f>
        <v/>
      </c>
    </row>
    <row r="7945" customFormat="false" ht="15" hidden="false" customHeight="false" outlineLevel="0" collapsed="false">
      <c r="V7945" s="23" t="str">
        <f aca="false">IF(ISNUMBER(C7945),YEAR(C7945),"")</f>
        <v/>
      </c>
      <c r="W7945" s="23" t="str">
        <f aca="false">IF(ISNUMBER(C7945),MONTH(C7945),"")</f>
        <v/>
      </c>
      <c r="X7945" s="23" t="str">
        <f aca="false">IF(T7945="","",IF(T7945=0,"No discount",IF(T7945&lt;=0.2,"Low (1-20%)",IF(T7945&lt;=0.4,"Medium (21-40%)","High (&gt;40%)"))))</f>
        <v/>
      </c>
      <c r="Y7945" s="23" t="str">
        <f aca="false">IF(AND(ISNUMBER(C7945),ISNUMBER(D7945)),D7945-C7945,"")</f>
        <v/>
      </c>
      <c r="Z7945" s="23" t="str">
        <f aca="false">IF(B7945="","",IF(MATCH(B7945,$B$2:$B$12000,0)=ROW()-1,1,0))</f>
        <v/>
      </c>
    </row>
    <row r="7946" customFormat="false" ht="15" hidden="false" customHeight="false" outlineLevel="0" collapsed="false">
      <c r="V7946" s="23" t="str">
        <f aca="false">IF(ISNUMBER(C7946),YEAR(C7946),"")</f>
        <v/>
      </c>
      <c r="W7946" s="23" t="str">
        <f aca="false">IF(ISNUMBER(C7946),MONTH(C7946),"")</f>
        <v/>
      </c>
      <c r="X7946" s="23" t="str">
        <f aca="false">IF(T7946="","",IF(T7946=0,"No discount",IF(T7946&lt;=0.2,"Low (1-20%)",IF(T7946&lt;=0.4,"Medium (21-40%)","High (&gt;40%)"))))</f>
        <v/>
      </c>
      <c r="Y7946" s="23" t="str">
        <f aca="false">IF(AND(ISNUMBER(C7946),ISNUMBER(D7946)),D7946-C7946,"")</f>
        <v/>
      </c>
      <c r="Z7946" s="23" t="str">
        <f aca="false">IF(B7946="","",IF(MATCH(B7946,$B$2:$B$12000,0)=ROW()-1,1,0))</f>
        <v/>
      </c>
    </row>
    <row r="7947" customFormat="false" ht="15" hidden="false" customHeight="false" outlineLevel="0" collapsed="false">
      <c r="V7947" s="23" t="str">
        <f aca="false">IF(ISNUMBER(C7947),YEAR(C7947),"")</f>
        <v/>
      </c>
      <c r="W7947" s="23" t="str">
        <f aca="false">IF(ISNUMBER(C7947),MONTH(C7947),"")</f>
        <v/>
      </c>
      <c r="X7947" s="23" t="str">
        <f aca="false">IF(T7947="","",IF(T7947=0,"No discount",IF(T7947&lt;=0.2,"Low (1-20%)",IF(T7947&lt;=0.4,"Medium (21-40%)","High (&gt;40%)"))))</f>
        <v/>
      </c>
      <c r="Y7947" s="23" t="str">
        <f aca="false">IF(AND(ISNUMBER(C7947),ISNUMBER(D7947)),D7947-C7947,"")</f>
        <v/>
      </c>
      <c r="Z7947" s="23" t="str">
        <f aca="false">IF(B7947="","",IF(MATCH(B7947,$B$2:$B$12000,0)=ROW()-1,1,0))</f>
        <v/>
      </c>
    </row>
    <row r="7948" customFormat="false" ht="15" hidden="false" customHeight="false" outlineLevel="0" collapsed="false">
      <c r="V7948" s="23" t="str">
        <f aca="false">IF(ISNUMBER(C7948),YEAR(C7948),"")</f>
        <v/>
      </c>
      <c r="W7948" s="23" t="str">
        <f aca="false">IF(ISNUMBER(C7948),MONTH(C7948),"")</f>
        <v/>
      </c>
      <c r="X7948" s="23" t="str">
        <f aca="false">IF(T7948="","",IF(T7948=0,"No discount",IF(T7948&lt;=0.2,"Low (1-20%)",IF(T7948&lt;=0.4,"Medium (21-40%)","High (&gt;40%)"))))</f>
        <v/>
      </c>
      <c r="Y7948" s="23" t="str">
        <f aca="false">IF(AND(ISNUMBER(C7948),ISNUMBER(D7948)),D7948-C7948,"")</f>
        <v/>
      </c>
      <c r="Z7948" s="23" t="str">
        <f aca="false">IF(B7948="","",IF(MATCH(B7948,$B$2:$B$12000,0)=ROW()-1,1,0))</f>
        <v/>
      </c>
    </row>
    <row r="7949" customFormat="false" ht="15" hidden="false" customHeight="false" outlineLevel="0" collapsed="false">
      <c r="V7949" s="23" t="str">
        <f aca="false">IF(ISNUMBER(C7949),YEAR(C7949),"")</f>
        <v/>
      </c>
      <c r="W7949" s="23" t="str">
        <f aca="false">IF(ISNUMBER(C7949),MONTH(C7949),"")</f>
        <v/>
      </c>
      <c r="X7949" s="23" t="str">
        <f aca="false">IF(T7949="","",IF(T7949=0,"No discount",IF(T7949&lt;=0.2,"Low (1-20%)",IF(T7949&lt;=0.4,"Medium (21-40%)","High (&gt;40%)"))))</f>
        <v/>
      </c>
      <c r="Y7949" s="23" t="str">
        <f aca="false">IF(AND(ISNUMBER(C7949),ISNUMBER(D7949)),D7949-C7949,"")</f>
        <v/>
      </c>
      <c r="Z7949" s="23" t="str">
        <f aca="false">IF(B7949="","",IF(MATCH(B7949,$B$2:$B$12000,0)=ROW()-1,1,0))</f>
        <v/>
      </c>
    </row>
    <row r="7950" customFormat="false" ht="15" hidden="false" customHeight="false" outlineLevel="0" collapsed="false">
      <c r="V7950" s="23" t="str">
        <f aca="false">IF(ISNUMBER(C7950),YEAR(C7950),"")</f>
        <v/>
      </c>
      <c r="W7950" s="23" t="str">
        <f aca="false">IF(ISNUMBER(C7950),MONTH(C7950),"")</f>
        <v/>
      </c>
      <c r="X7950" s="23" t="str">
        <f aca="false">IF(T7950="","",IF(T7950=0,"No discount",IF(T7950&lt;=0.2,"Low (1-20%)",IF(T7950&lt;=0.4,"Medium (21-40%)","High (&gt;40%)"))))</f>
        <v/>
      </c>
      <c r="Y7950" s="23" t="str">
        <f aca="false">IF(AND(ISNUMBER(C7950),ISNUMBER(D7950)),D7950-C7950,"")</f>
        <v/>
      </c>
      <c r="Z7950" s="23" t="str">
        <f aca="false">IF(B7950="","",IF(MATCH(B7950,$B$2:$B$12000,0)=ROW()-1,1,0))</f>
        <v/>
      </c>
    </row>
    <row r="7951" customFormat="false" ht="15" hidden="false" customHeight="false" outlineLevel="0" collapsed="false">
      <c r="V7951" s="23" t="str">
        <f aca="false">IF(ISNUMBER(C7951),YEAR(C7951),"")</f>
        <v/>
      </c>
      <c r="W7951" s="23" t="str">
        <f aca="false">IF(ISNUMBER(C7951),MONTH(C7951),"")</f>
        <v/>
      </c>
      <c r="X7951" s="23" t="str">
        <f aca="false">IF(T7951="","",IF(T7951=0,"No discount",IF(T7951&lt;=0.2,"Low (1-20%)",IF(T7951&lt;=0.4,"Medium (21-40%)","High (&gt;40%)"))))</f>
        <v/>
      </c>
      <c r="Y7951" s="23" t="str">
        <f aca="false">IF(AND(ISNUMBER(C7951),ISNUMBER(D7951)),D7951-C7951,"")</f>
        <v/>
      </c>
      <c r="Z7951" s="23" t="str">
        <f aca="false">IF(B7951="","",IF(MATCH(B7951,$B$2:$B$12000,0)=ROW()-1,1,0))</f>
        <v/>
      </c>
    </row>
    <row r="7952" customFormat="false" ht="15" hidden="false" customHeight="false" outlineLevel="0" collapsed="false">
      <c r="V7952" s="23" t="str">
        <f aca="false">IF(ISNUMBER(C7952),YEAR(C7952),"")</f>
        <v/>
      </c>
      <c r="W7952" s="23" t="str">
        <f aca="false">IF(ISNUMBER(C7952),MONTH(C7952),"")</f>
        <v/>
      </c>
      <c r="X7952" s="23" t="str">
        <f aca="false">IF(T7952="","",IF(T7952=0,"No discount",IF(T7952&lt;=0.2,"Low (1-20%)",IF(T7952&lt;=0.4,"Medium (21-40%)","High (&gt;40%)"))))</f>
        <v/>
      </c>
      <c r="Y7952" s="23" t="str">
        <f aca="false">IF(AND(ISNUMBER(C7952),ISNUMBER(D7952)),D7952-C7952,"")</f>
        <v/>
      </c>
      <c r="Z7952" s="23" t="str">
        <f aca="false">IF(B7952="","",IF(MATCH(B7952,$B$2:$B$12000,0)=ROW()-1,1,0))</f>
        <v/>
      </c>
    </row>
    <row r="7953" customFormat="false" ht="15" hidden="false" customHeight="false" outlineLevel="0" collapsed="false">
      <c r="V7953" s="23" t="str">
        <f aca="false">IF(ISNUMBER(C7953),YEAR(C7953),"")</f>
        <v/>
      </c>
      <c r="W7953" s="23" t="str">
        <f aca="false">IF(ISNUMBER(C7953),MONTH(C7953),"")</f>
        <v/>
      </c>
      <c r="X7953" s="23" t="str">
        <f aca="false">IF(T7953="","",IF(T7953=0,"No discount",IF(T7953&lt;=0.2,"Low (1-20%)",IF(T7953&lt;=0.4,"Medium (21-40%)","High (&gt;40%)"))))</f>
        <v/>
      </c>
      <c r="Y7953" s="23" t="str">
        <f aca="false">IF(AND(ISNUMBER(C7953),ISNUMBER(D7953)),D7953-C7953,"")</f>
        <v/>
      </c>
      <c r="Z7953" s="23" t="str">
        <f aca="false">IF(B7953="","",IF(MATCH(B7953,$B$2:$B$12000,0)=ROW()-1,1,0))</f>
        <v/>
      </c>
    </row>
    <row r="7954" customFormat="false" ht="15" hidden="false" customHeight="false" outlineLevel="0" collapsed="false">
      <c r="V7954" s="23" t="str">
        <f aca="false">IF(ISNUMBER(C7954),YEAR(C7954),"")</f>
        <v/>
      </c>
      <c r="W7954" s="23" t="str">
        <f aca="false">IF(ISNUMBER(C7954),MONTH(C7954),"")</f>
        <v/>
      </c>
      <c r="X7954" s="23" t="str">
        <f aca="false">IF(T7954="","",IF(T7954=0,"No discount",IF(T7954&lt;=0.2,"Low (1-20%)",IF(T7954&lt;=0.4,"Medium (21-40%)","High (&gt;40%)"))))</f>
        <v/>
      </c>
      <c r="Y7954" s="23" t="str">
        <f aca="false">IF(AND(ISNUMBER(C7954),ISNUMBER(D7954)),D7954-C7954,"")</f>
        <v/>
      </c>
      <c r="Z7954" s="23" t="str">
        <f aca="false">IF(B7954="","",IF(MATCH(B7954,$B$2:$B$12000,0)=ROW()-1,1,0))</f>
        <v/>
      </c>
    </row>
    <row r="7955" customFormat="false" ht="15" hidden="false" customHeight="false" outlineLevel="0" collapsed="false">
      <c r="V7955" s="23" t="str">
        <f aca="false">IF(ISNUMBER(C7955),YEAR(C7955),"")</f>
        <v/>
      </c>
      <c r="W7955" s="23" t="str">
        <f aca="false">IF(ISNUMBER(C7955),MONTH(C7955),"")</f>
        <v/>
      </c>
      <c r="X7955" s="23" t="str">
        <f aca="false">IF(T7955="","",IF(T7955=0,"No discount",IF(T7955&lt;=0.2,"Low (1-20%)",IF(T7955&lt;=0.4,"Medium (21-40%)","High (&gt;40%)"))))</f>
        <v/>
      </c>
      <c r="Y7955" s="23" t="str">
        <f aca="false">IF(AND(ISNUMBER(C7955),ISNUMBER(D7955)),D7955-C7955,"")</f>
        <v/>
      </c>
      <c r="Z7955" s="23" t="str">
        <f aca="false">IF(B7955="","",IF(MATCH(B7955,$B$2:$B$12000,0)=ROW()-1,1,0))</f>
        <v/>
      </c>
    </row>
    <row r="7956" customFormat="false" ht="15" hidden="false" customHeight="false" outlineLevel="0" collapsed="false">
      <c r="V7956" s="23" t="str">
        <f aca="false">IF(ISNUMBER(C7956),YEAR(C7956),"")</f>
        <v/>
      </c>
      <c r="W7956" s="23" t="str">
        <f aca="false">IF(ISNUMBER(C7956),MONTH(C7956),"")</f>
        <v/>
      </c>
      <c r="X7956" s="23" t="str">
        <f aca="false">IF(T7956="","",IF(T7956=0,"No discount",IF(T7956&lt;=0.2,"Low (1-20%)",IF(T7956&lt;=0.4,"Medium (21-40%)","High (&gt;40%)"))))</f>
        <v/>
      </c>
      <c r="Y7956" s="23" t="str">
        <f aca="false">IF(AND(ISNUMBER(C7956),ISNUMBER(D7956)),D7956-C7956,"")</f>
        <v/>
      </c>
      <c r="Z7956" s="23" t="str">
        <f aca="false">IF(B7956="","",IF(MATCH(B7956,$B$2:$B$12000,0)=ROW()-1,1,0))</f>
        <v/>
      </c>
    </row>
    <row r="7957" customFormat="false" ht="15" hidden="false" customHeight="false" outlineLevel="0" collapsed="false">
      <c r="V7957" s="23" t="str">
        <f aca="false">IF(ISNUMBER(C7957),YEAR(C7957),"")</f>
        <v/>
      </c>
      <c r="W7957" s="23" t="str">
        <f aca="false">IF(ISNUMBER(C7957),MONTH(C7957),"")</f>
        <v/>
      </c>
      <c r="X7957" s="23" t="str">
        <f aca="false">IF(T7957="","",IF(T7957=0,"No discount",IF(T7957&lt;=0.2,"Low (1-20%)",IF(T7957&lt;=0.4,"Medium (21-40%)","High (&gt;40%)"))))</f>
        <v/>
      </c>
      <c r="Y7957" s="23" t="str">
        <f aca="false">IF(AND(ISNUMBER(C7957),ISNUMBER(D7957)),D7957-C7957,"")</f>
        <v/>
      </c>
      <c r="Z7957" s="23" t="str">
        <f aca="false">IF(B7957="","",IF(MATCH(B7957,$B$2:$B$12000,0)=ROW()-1,1,0))</f>
        <v/>
      </c>
    </row>
    <row r="7958" customFormat="false" ht="15" hidden="false" customHeight="false" outlineLevel="0" collapsed="false">
      <c r="V7958" s="23" t="str">
        <f aca="false">IF(ISNUMBER(C7958),YEAR(C7958),"")</f>
        <v/>
      </c>
      <c r="W7958" s="23" t="str">
        <f aca="false">IF(ISNUMBER(C7958),MONTH(C7958),"")</f>
        <v/>
      </c>
      <c r="X7958" s="23" t="str">
        <f aca="false">IF(T7958="","",IF(T7958=0,"No discount",IF(T7958&lt;=0.2,"Low (1-20%)",IF(T7958&lt;=0.4,"Medium (21-40%)","High (&gt;40%)"))))</f>
        <v/>
      </c>
      <c r="Y7958" s="23" t="str">
        <f aca="false">IF(AND(ISNUMBER(C7958),ISNUMBER(D7958)),D7958-C7958,"")</f>
        <v/>
      </c>
      <c r="Z7958" s="23" t="str">
        <f aca="false">IF(B7958="","",IF(MATCH(B7958,$B$2:$B$12000,0)=ROW()-1,1,0))</f>
        <v/>
      </c>
    </row>
    <row r="7959" customFormat="false" ht="15" hidden="false" customHeight="false" outlineLevel="0" collapsed="false">
      <c r="V7959" s="23" t="str">
        <f aca="false">IF(ISNUMBER(C7959),YEAR(C7959),"")</f>
        <v/>
      </c>
      <c r="W7959" s="23" t="str">
        <f aca="false">IF(ISNUMBER(C7959),MONTH(C7959),"")</f>
        <v/>
      </c>
      <c r="X7959" s="23" t="str">
        <f aca="false">IF(T7959="","",IF(T7959=0,"No discount",IF(T7959&lt;=0.2,"Low (1-20%)",IF(T7959&lt;=0.4,"Medium (21-40%)","High (&gt;40%)"))))</f>
        <v/>
      </c>
      <c r="Y7959" s="23" t="str">
        <f aca="false">IF(AND(ISNUMBER(C7959),ISNUMBER(D7959)),D7959-C7959,"")</f>
        <v/>
      </c>
      <c r="Z7959" s="23" t="str">
        <f aca="false">IF(B7959="","",IF(MATCH(B7959,$B$2:$B$12000,0)=ROW()-1,1,0))</f>
        <v/>
      </c>
    </row>
    <row r="7960" customFormat="false" ht="15" hidden="false" customHeight="false" outlineLevel="0" collapsed="false">
      <c r="V7960" s="23" t="str">
        <f aca="false">IF(ISNUMBER(C7960),YEAR(C7960),"")</f>
        <v/>
      </c>
      <c r="W7960" s="23" t="str">
        <f aca="false">IF(ISNUMBER(C7960),MONTH(C7960),"")</f>
        <v/>
      </c>
      <c r="X7960" s="23" t="str">
        <f aca="false">IF(T7960="","",IF(T7960=0,"No discount",IF(T7960&lt;=0.2,"Low (1-20%)",IF(T7960&lt;=0.4,"Medium (21-40%)","High (&gt;40%)"))))</f>
        <v/>
      </c>
      <c r="Y7960" s="23" t="str">
        <f aca="false">IF(AND(ISNUMBER(C7960),ISNUMBER(D7960)),D7960-C7960,"")</f>
        <v/>
      </c>
      <c r="Z7960" s="23" t="str">
        <f aca="false">IF(B7960="","",IF(MATCH(B7960,$B$2:$B$12000,0)=ROW()-1,1,0))</f>
        <v/>
      </c>
    </row>
    <row r="7961" customFormat="false" ht="15" hidden="false" customHeight="false" outlineLevel="0" collapsed="false">
      <c r="V7961" s="23" t="str">
        <f aca="false">IF(ISNUMBER(C7961),YEAR(C7961),"")</f>
        <v/>
      </c>
      <c r="W7961" s="23" t="str">
        <f aca="false">IF(ISNUMBER(C7961),MONTH(C7961),"")</f>
        <v/>
      </c>
      <c r="X7961" s="23" t="str">
        <f aca="false">IF(T7961="","",IF(T7961=0,"No discount",IF(T7961&lt;=0.2,"Low (1-20%)",IF(T7961&lt;=0.4,"Medium (21-40%)","High (&gt;40%)"))))</f>
        <v/>
      </c>
      <c r="Y7961" s="23" t="str">
        <f aca="false">IF(AND(ISNUMBER(C7961),ISNUMBER(D7961)),D7961-C7961,"")</f>
        <v/>
      </c>
      <c r="Z7961" s="23" t="str">
        <f aca="false">IF(B7961="","",IF(MATCH(B7961,$B$2:$B$12000,0)=ROW()-1,1,0))</f>
        <v/>
      </c>
    </row>
    <row r="7962" customFormat="false" ht="15" hidden="false" customHeight="false" outlineLevel="0" collapsed="false">
      <c r="V7962" s="23" t="str">
        <f aca="false">IF(ISNUMBER(C7962),YEAR(C7962),"")</f>
        <v/>
      </c>
      <c r="W7962" s="23" t="str">
        <f aca="false">IF(ISNUMBER(C7962),MONTH(C7962),"")</f>
        <v/>
      </c>
      <c r="X7962" s="23" t="str">
        <f aca="false">IF(T7962="","",IF(T7962=0,"No discount",IF(T7962&lt;=0.2,"Low (1-20%)",IF(T7962&lt;=0.4,"Medium (21-40%)","High (&gt;40%)"))))</f>
        <v/>
      </c>
      <c r="Y7962" s="23" t="str">
        <f aca="false">IF(AND(ISNUMBER(C7962),ISNUMBER(D7962)),D7962-C7962,"")</f>
        <v/>
      </c>
      <c r="Z7962" s="23" t="str">
        <f aca="false">IF(B7962="","",IF(MATCH(B7962,$B$2:$B$12000,0)=ROW()-1,1,0))</f>
        <v/>
      </c>
    </row>
    <row r="7963" customFormat="false" ht="15" hidden="false" customHeight="false" outlineLevel="0" collapsed="false">
      <c r="V7963" s="23" t="str">
        <f aca="false">IF(ISNUMBER(C7963),YEAR(C7963),"")</f>
        <v/>
      </c>
      <c r="W7963" s="23" t="str">
        <f aca="false">IF(ISNUMBER(C7963),MONTH(C7963),"")</f>
        <v/>
      </c>
      <c r="X7963" s="23" t="str">
        <f aca="false">IF(T7963="","",IF(T7963=0,"No discount",IF(T7963&lt;=0.2,"Low (1-20%)",IF(T7963&lt;=0.4,"Medium (21-40%)","High (&gt;40%)"))))</f>
        <v/>
      </c>
      <c r="Y7963" s="23" t="str">
        <f aca="false">IF(AND(ISNUMBER(C7963),ISNUMBER(D7963)),D7963-C7963,"")</f>
        <v/>
      </c>
      <c r="Z7963" s="23" t="str">
        <f aca="false">IF(B7963="","",IF(MATCH(B7963,$B$2:$B$12000,0)=ROW()-1,1,0))</f>
        <v/>
      </c>
    </row>
    <row r="7964" customFormat="false" ht="15" hidden="false" customHeight="false" outlineLevel="0" collapsed="false">
      <c r="V7964" s="23" t="str">
        <f aca="false">IF(ISNUMBER(C7964),YEAR(C7964),"")</f>
        <v/>
      </c>
      <c r="W7964" s="23" t="str">
        <f aca="false">IF(ISNUMBER(C7964),MONTH(C7964),"")</f>
        <v/>
      </c>
      <c r="X7964" s="23" t="str">
        <f aca="false">IF(T7964="","",IF(T7964=0,"No discount",IF(T7964&lt;=0.2,"Low (1-20%)",IF(T7964&lt;=0.4,"Medium (21-40%)","High (&gt;40%)"))))</f>
        <v/>
      </c>
      <c r="Y7964" s="23" t="str">
        <f aca="false">IF(AND(ISNUMBER(C7964),ISNUMBER(D7964)),D7964-C7964,"")</f>
        <v/>
      </c>
      <c r="Z7964" s="23" t="str">
        <f aca="false">IF(B7964="","",IF(MATCH(B7964,$B$2:$B$12000,0)=ROW()-1,1,0))</f>
        <v/>
      </c>
    </row>
    <row r="7965" customFormat="false" ht="15" hidden="false" customHeight="false" outlineLevel="0" collapsed="false">
      <c r="V7965" s="23" t="str">
        <f aca="false">IF(ISNUMBER(C7965),YEAR(C7965),"")</f>
        <v/>
      </c>
      <c r="W7965" s="23" t="str">
        <f aca="false">IF(ISNUMBER(C7965),MONTH(C7965),"")</f>
        <v/>
      </c>
      <c r="X7965" s="23" t="str">
        <f aca="false">IF(T7965="","",IF(T7965=0,"No discount",IF(T7965&lt;=0.2,"Low (1-20%)",IF(T7965&lt;=0.4,"Medium (21-40%)","High (&gt;40%)"))))</f>
        <v/>
      </c>
      <c r="Y7965" s="23" t="str">
        <f aca="false">IF(AND(ISNUMBER(C7965),ISNUMBER(D7965)),D7965-C7965,"")</f>
        <v/>
      </c>
      <c r="Z7965" s="23" t="str">
        <f aca="false">IF(B7965="","",IF(MATCH(B7965,$B$2:$B$12000,0)=ROW()-1,1,0))</f>
        <v/>
      </c>
    </row>
    <row r="7966" customFormat="false" ht="15" hidden="false" customHeight="false" outlineLevel="0" collapsed="false">
      <c r="V7966" s="23" t="str">
        <f aca="false">IF(ISNUMBER(C7966),YEAR(C7966),"")</f>
        <v/>
      </c>
      <c r="W7966" s="23" t="str">
        <f aca="false">IF(ISNUMBER(C7966),MONTH(C7966),"")</f>
        <v/>
      </c>
      <c r="X7966" s="23" t="str">
        <f aca="false">IF(T7966="","",IF(T7966=0,"No discount",IF(T7966&lt;=0.2,"Low (1-20%)",IF(T7966&lt;=0.4,"Medium (21-40%)","High (&gt;40%)"))))</f>
        <v/>
      </c>
      <c r="Y7966" s="23" t="str">
        <f aca="false">IF(AND(ISNUMBER(C7966),ISNUMBER(D7966)),D7966-C7966,"")</f>
        <v/>
      </c>
      <c r="Z7966" s="23" t="str">
        <f aca="false">IF(B7966="","",IF(MATCH(B7966,$B$2:$B$12000,0)=ROW()-1,1,0))</f>
        <v/>
      </c>
    </row>
    <row r="7967" customFormat="false" ht="15" hidden="false" customHeight="false" outlineLevel="0" collapsed="false">
      <c r="V7967" s="23" t="str">
        <f aca="false">IF(ISNUMBER(C7967),YEAR(C7967),"")</f>
        <v/>
      </c>
      <c r="W7967" s="23" t="str">
        <f aca="false">IF(ISNUMBER(C7967),MONTH(C7967),"")</f>
        <v/>
      </c>
      <c r="X7967" s="23" t="str">
        <f aca="false">IF(T7967="","",IF(T7967=0,"No discount",IF(T7967&lt;=0.2,"Low (1-20%)",IF(T7967&lt;=0.4,"Medium (21-40%)","High (&gt;40%)"))))</f>
        <v/>
      </c>
      <c r="Y7967" s="23" t="str">
        <f aca="false">IF(AND(ISNUMBER(C7967),ISNUMBER(D7967)),D7967-C7967,"")</f>
        <v/>
      </c>
      <c r="Z7967" s="23" t="str">
        <f aca="false">IF(B7967="","",IF(MATCH(B7967,$B$2:$B$12000,0)=ROW()-1,1,0))</f>
        <v/>
      </c>
    </row>
    <row r="7968" customFormat="false" ht="15" hidden="false" customHeight="false" outlineLevel="0" collapsed="false">
      <c r="V7968" s="23" t="str">
        <f aca="false">IF(ISNUMBER(C7968),YEAR(C7968),"")</f>
        <v/>
      </c>
      <c r="W7968" s="23" t="str">
        <f aca="false">IF(ISNUMBER(C7968),MONTH(C7968),"")</f>
        <v/>
      </c>
      <c r="X7968" s="23" t="str">
        <f aca="false">IF(T7968="","",IF(T7968=0,"No discount",IF(T7968&lt;=0.2,"Low (1-20%)",IF(T7968&lt;=0.4,"Medium (21-40%)","High (&gt;40%)"))))</f>
        <v/>
      </c>
      <c r="Y7968" s="23" t="str">
        <f aca="false">IF(AND(ISNUMBER(C7968),ISNUMBER(D7968)),D7968-C7968,"")</f>
        <v/>
      </c>
      <c r="Z7968" s="23" t="str">
        <f aca="false">IF(B7968="","",IF(MATCH(B7968,$B$2:$B$12000,0)=ROW()-1,1,0))</f>
        <v/>
      </c>
    </row>
    <row r="7969" customFormat="false" ht="15" hidden="false" customHeight="false" outlineLevel="0" collapsed="false">
      <c r="V7969" s="23" t="str">
        <f aca="false">IF(ISNUMBER(C7969),YEAR(C7969),"")</f>
        <v/>
      </c>
      <c r="W7969" s="23" t="str">
        <f aca="false">IF(ISNUMBER(C7969),MONTH(C7969),"")</f>
        <v/>
      </c>
      <c r="X7969" s="23" t="str">
        <f aca="false">IF(T7969="","",IF(T7969=0,"No discount",IF(T7969&lt;=0.2,"Low (1-20%)",IF(T7969&lt;=0.4,"Medium (21-40%)","High (&gt;40%)"))))</f>
        <v/>
      </c>
      <c r="Y7969" s="23" t="str">
        <f aca="false">IF(AND(ISNUMBER(C7969),ISNUMBER(D7969)),D7969-C7969,"")</f>
        <v/>
      </c>
      <c r="Z7969" s="23" t="str">
        <f aca="false">IF(B7969="","",IF(MATCH(B7969,$B$2:$B$12000,0)=ROW()-1,1,0))</f>
        <v/>
      </c>
    </row>
    <row r="7970" customFormat="false" ht="15" hidden="false" customHeight="false" outlineLevel="0" collapsed="false">
      <c r="V7970" s="23" t="str">
        <f aca="false">IF(ISNUMBER(C7970),YEAR(C7970),"")</f>
        <v/>
      </c>
      <c r="W7970" s="23" t="str">
        <f aca="false">IF(ISNUMBER(C7970),MONTH(C7970),"")</f>
        <v/>
      </c>
      <c r="X7970" s="23" t="str">
        <f aca="false">IF(T7970="","",IF(T7970=0,"No discount",IF(T7970&lt;=0.2,"Low (1-20%)",IF(T7970&lt;=0.4,"Medium (21-40%)","High (&gt;40%)"))))</f>
        <v/>
      </c>
      <c r="Y7970" s="23" t="str">
        <f aca="false">IF(AND(ISNUMBER(C7970),ISNUMBER(D7970)),D7970-C7970,"")</f>
        <v/>
      </c>
      <c r="Z7970" s="23" t="str">
        <f aca="false">IF(B7970="","",IF(MATCH(B7970,$B$2:$B$12000,0)=ROW()-1,1,0))</f>
        <v/>
      </c>
    </row>
    <row r="7971" customFormat="false" ht="15" hidden="false" customHeight="false" outlineLevel="0" collapsed="false">
      <c r="V7971" s="23" t="str">
        <f aca="false">IF(ISNUMBER(C7971),YEAR(C7971),"")</f>
        <v/>
      </c>
      <c r="W7971" s="23" t="str">
        <f aca="false">IF(ISNUMBER(C7971),MONTH(C7971),"")</f>
        <v/>
      </c>
      <c r="X7971" s="23" t="str">
        <f aca="false">IF(T7971="","",IF(T7971=0,"No discount",IF(T7971&lt;=0.2,"Low (1-20%)",IF(T7971&lt;=0.4,"Medium (21-40%)","High (&gt;40%)"))))</f>
        <v/>
      </c>
      <c r="Y7971" s="23" t="str">
        <f aca="false">IF(AND(ISNUMBER(C7971),ISNUMBER(D7971)),D7971-C7971,"")</f>
        <v/>
      </c>
      <c r="Z7971" s="23" t="str">
        <f aca="false">IF(B7971="","",IF(MATCH(B7971,$B$2:$B$12000,0)=ROW()-1,1,0))</f>
        <v/>
      </c>
    </row>
    <row r="7972" customFormat="false" ht="15" hidden="false" customHeight="false" outlineLevel="0" collapsed="false">
      <c r="V7972" s="23" t="str">
        <f aca="false">IF(ISNUMBER(C7972),YEAR(C7972),"")</f>
        <v/>
      </c>
      <c r="W7972" s="23" t="str">
        <f aca="false">IF(ISNUMBER(C7972),MONTH(C7972),"")</f>
        <v/>
      </c>
      <c r="X7972" s="23" t="str">
        <f aca="false">IF(T7972="","",IF(T7972=0,"No discount",IF(T7972&lt;=0.2,"Low (1-20%)",IF(T7972&lt;=0.4,"Medium (21-40%)","High (&gt;40%)"))))</f>
        <v/>
      </c>
      <c r="Y7972" s="23" t="str">
        <f aca="false">IF(AND(ISNUMBER(C7972),ISNUMBER(D7972)),D7972-C7972,"")</f>
        <v/>
      </c>
      <c r="Z7972" s="23" t="str">
        <f aca="false">IF(B7972="","",IF(MATCH(B7972,$B$2:$B$12000,0)=ROW()-1,1,0))</f>
        <v/>
      </c>
    </row>
    <row r="7973" customFormat="false" ht="15" hidden="false" customHeight="false" outlineLevel="0" collapsed="false">
      <c r="V7973" s="23" t="str">
        <f aca="false">IF(ISNUMBER(C7973),YEAR(C7973),"")</f>
        <v/>
      </c>
      <c r="W7973" s="23" t="str">
        <f aca="false">IF(ISNUMBER(C7973),MONTH(C7973),"")</f>
        <v/>
      </c>
      <c r="X7973" s="23" t="str">
        <f aca="false">IF(T7973="","",IF(T7973=0,"No discount",IF(T7973&lt;=0.2,"Low (1-20%)",IF(T7973&lt;=0.4,"Medium (21-40%)","High (&gt;40%)"))))</f>
        <v/>
      </c>
      <c r="Y7973" s="23" t="str">
        <f aca="false">IF(AND(ISNUMBER(C7973),ISNUMBER(D7973)),D7973-C7973,"")</f>
        <v/>
      </c>
      <c r="Z7973" s="23" t="str">
        <f aca="false">IF(B7973="","",IF(MATCH(B7973,$B$2:$B$12000,0)=ROW()-1,1,0))</f>
        <v/>
      </c>
    </row>
    <row r="7974" customFormat="false" ht="15" hidden="false" customHeight="false" outlineLevel="0" collapsed="false">
      <c r="V7974" s="23" t="str">
        <f aca="false">IF(ISNUMBER(C7974),YEAR(C7974),"")</f>
        <v/>
      </c>
      <c r="W7974" s="23" t="str">
        <f aca="false">IF(ISNUMBER(C7974),MONTH(C7974),"")</f>
        <v/>
      </c>
      <c r="X7974" s="23" t="str">
        <f aca="false">IF(T7974="","",IF(T7974=0,"No discount",IF(T7974&lt;=0.2,"Low (1-20%)",IF(T7974&lt;=0.4,"Medium (21-40%)","High (&gt;40%)"))))</f>
        <v/>
      </c>
      <c r="Y7974" s="23" t="str">
        <f aca="false">IF(AND(ISNUMBER(C7974),ISNUMBER(D7974)),D7974-C7974,"")</f>
        <v/>
      </c>
      <c r="Z7974" s="23" t="str">
        <f aca="false">IF(B7974="","",IF(MATCH(B7974,$B$2:$B$12000,0)=ROW()-1,1,0))</f>
        <v/>
      </c>
    </row>
    <row r="7975" customFormat="false" ht="15" hidden="false" customHeight="false" outlineLevel="0" collapsed="false">
      <c r="V7975" s="23" t="str">
        <f aca="false">IF(ISNUMBER(C7975),YEAR(C7975),"")</f>
        <v/>
      </c>
      <c r="W7975" s="23" t="str">
        <f aca="false">IF(ISNUMBER(C7975),MONTH(C7975),"")</f>
        <v/>
      </c>
      <c r="X7975" s="23" t="str">
        <f aca="false">IF(T7975="","",IF(T7975=0,"No discount",IF(T7975&lt;=0.2,"Low (1-20%)",IF(T7975&lt;=0.4,"Medium (21-40%)","High (&gt;40%)"))))</f>
        <v/>
      </c>
      <c r="Y7975" s="23" t="str">
        <f aca="false">IF(AND(ISNUMBER(C7975),ISNUMBER(D7975)),D7975-C7975,"")</f>
        <v/>
      </c>
      <c r="Z7975" s="23" t="str">
        <f aca="false">IF(B7975="","",IF(MATCH(B7975,$B$2:$B$12000,0)=ROW()-1,1,0))</f>
        <v/>
      </c>
    </row>
    <row r="7976" customFormat="false" ht="15" hidden="false" customHeight="false" outlineLevel="0" collapsed="false">
      <c r="V7976" s="23" t="str">
        <f aca="false">IF(ISNUMBER(C7976),YEAR(C7976),"")</f>
        <v/>
      </c>
      <c r="W7976" s="23" t="str">
        <f aca="false">IF(ISNUMBER(C7976),MONTH(C7976),"")</f>
        <v/>
      </c>
      <c r="X7976" s="23" t="str">
        <f aca="false">IF(T7976="","",IF(T7976=0,"No discount",IF(T7976&lt;=0.2,"Low (1-20%)",IF(T7976&lt;=0.4,"Medium (21-40%)","High (&gt;40%)"))))</f>
        <v/>
      </c>
      <c r="Y7976" s="23" t="str">
        <f aca="false">IF(AND(ISNUMBER(C7976),ISNUMBER(D7976)),D7976-C7976,"")</f>
        <v/>
      </c>
      <c r="Z7976" s="23" t="str">
        <f aca="false">IF(B7976="","",IF(MATCH(B7976,$B$2:$B$12000,0)=ROW()-1,1,0))</f>
        <v/>
      </c>
    </row>
    <row r="7977" customFormat="false" ht="15" hidden="false" customHeight="false" outlineLevel="0" collapsed="false">
      <c r="V7977" s="23" t="str">
        <f aca="false">IF(ISNUMBER(C7977),YEAR(C7977),"")</f>
        <v/>
      </c>
      <c r="W7977" s="23" t="str">
        <f aca="false">IF(ISNUMBER(C7977),MONTH(C7977),"")</f>
        <v/>
      </c>
      <c r="X7977" s="23" t="str">
        <f aca="false">IF(T7977="","",IF(T7977=0,"No discount",IF(T7977&lt;=0.2,"Low (1-20%)",IF(T7977&lt;=0.4,"Medium (21-40%)","High (&gt;40%)"))))</f>
        <v/>
      </c>
      <c r="Y7977" s="23" t="str">
        <f aca="false">IF(AND(ISNUMBER(C7977),ISNUMBER(D7977)),D7977-C7977,"")</f>
        <v/>
      </c>
      <c r="Z7977" s="23" t="str">
        <f aca="false">IF(B7977="","",IF(MATCH(B7977,$B$2:$B$12000,0)=ROW()-1,1,0))</f>
        <v/>
      </c>
    </row>
    <row r="7978" customFormat="false" ht="15" hidden="false" customHeight="false" outlineLevel="0" collapsed="false">
      <c r="V7978" s="23" t="str">
        <f aca="false">IF(ISNUMBER(C7978),YEAR(C7978),"")</f>
        <v/>
      </c>
      <c r="W7978" s="23" t="str">
        <f aca="false">IF(ISNUMBER(C7978),MONTH(C7978),"")</f>
        <v/>
      </c>
      <c r="X7978" s="23" t="str">
        <f aca="false">IF(T7978="","",IF(T7978=0,"No discount",IF(T7978&lt;=0.2,"Low (1-20%)",IF(T7978&lt;=0.4,"Medium (21-40%)","High (&gt;40%)"))))</f>
        <v/>
      </c>
      <c r="Y7978" s="23" t="str">
        <f aca="false">IF(AND(ISNUMBER(C7978),ISNUMBER(D7978)),D7978-C7978,"")</f>
        <v/>
      </c>
      <c r="Z7978" s="23" t="str">
        <f aca="false">IF(B7978="","",IF(MATCH(B7978,$B$2:$B$12000,0)=ROW()-1,1,0))</f>
        <v/>
      </c>
    </row>
    <row r="7979" customFormat="false" ht="15" hidden="false" customHeight="false" outlineLevel="0" collapsed="false">
      <c r="V7979" s="23" t="str">
        <f aca="false">IF(ISNUMBER(C7979),YEAR(C7979),"")</f>
        <v/>
      </c>
      <c r="W7979" s="23" t="str">
        <f aca="false">IF(ISNUMBER(C7979),MONTH(C7979),"")</f>
        <v/>
      </c>
      <c r="X7979" s="23" t="str">
        <f aca="false">IF(T7979="","",IF(T7979=0,"No discount",IF(T7979&lt;=0.2,"Low (1-20%)",IF(T7979&lt;=0.4,"Medium (21-40%)","High (&gt;40%)"))))</f>
        <v/>
      </c>
      <c r="Y7979" s="23" t="str">
        <f aca="false">IF(AND(ISNUMBER(C7979),ISNUMBER(D7979)),D7979-C7979,"")</f>
        <v/>
      </c>
      <c r="Z7979" s="23" t="str">
        <f aca="false">IF(B7979="","",IF(MATCH(B7979,$B$2:$B$12000,0)=ROW()-1,1,0))</f>
        <v/>
      </c>
    </row>
    <row r="7980" customFormat="false" ht="15" hidden="false" customHeight="false" outlineLevel="0" collapsed="false">
      <c r="V7980" s="23" t="str">
        <f aca="false">IF(ISNUMBER(C7980),YEAR(C7980),"")</f>
        <v/>
      </c>
      <c r="W7980" s="23" t="str">
        <f aca="false">IF(ISNUMBER(C7980),MONTH(C7980),"")</f>
        <v/>
      </c>
      <c r="X7980" s="23" t="str">
        <f aca="false">IF(T7980="","",IF(T7980=0,"No discount",IF(T7980&lt;=0.2,"Low (1-20%)",IF(T7980&lt;=0.4,"Medium (21-40%)","High (&gt;40%)"))))</f>
        <v/>
      </c>
      <c r="Y7980" s="23" t="str">
        <f aca="false">IF(AND(ISNUMBER(C7980),ISNUMBER(D7980)),D7980-C7980,"")</f>
        <v/>
      </c>
      <c r="Z7980" s="23" t="str">
        <f aca="false">IF(B7980="","",IF(MATCH(B7980,$B$2:$B$12000,0)=ROW()-1,1,0))</f>
        <v/>
      </c>
    </row>
    <row r="7981" customFormat="false" ht="15" hidden="false" customHeight="false" outlineLevel="0" collapsed="false">
      <c r="V7981" s="23" t="str">
        <f aca="false">IF(ISNUMBER(C7981),YEAR(C7981),"")</f>
        <v/>
      </c>
      <c r="W7981" s="23" t="str">
        <f aca="false">IF(ISNUMBER(C7981),MONTH(C7981),"")</f>
        <v/>
      </c>
      <c r="X7981" s="23" t="str">
        <f aca="false">IF(T7981="","",IF(T7981=0,"No discount",IF(T7981&lt;=0.2,"Low (1-20%)",IF(T7981&lt;=0.4,"Medium (21-40%)","High (&gt;40%)"))))</f>
        <v/>
      </c>
      <c r="Y7981" s="23" t="str">
        <f aca="false">IF(AND(ISNUMBER(C7981),ISNUMBER(D7981)),D7981-C7981,"")</f>
        <v/>
      </c>
      <c r="Z7981" s="23" t="str">
        <f aca="false">IF(B7981="","",IF(MATCH(B7981,$B$2:$B$12000,0)=ROW()-1,1,0))</f>
        <v/>
      </c>
    </row>
    <row r="7982" customFormat="false" ht="15" hidden="false" customHeight="false" outlineLevel="0" collapsed="false">
      <c r="V7982" s="23" t="str">
        <f aca="false">IF(ISNUMBER(C7982),YEAR(C7982),"")</f>
        <v/>
      </c>
      <c r="W7982" s="23" t="str">
        <f aca="false">IF(ISNUMBER(C7982),MONTH(C7982),"")</f>
        <v/>
      </c>
      <c r="X7982" s="23" t="str">
        <f aca="false">IF(T7982="","",IF(T7982=0,"No discount",IF(T7982&lt;=0.2,"Low (1-20%)",IF(T7982&lt;=0.4,"Medium (21-40%)","High (&gt;40%)"))))</f>
        <v/>
      </c>
      <c r="Y7982" s="23" t="str">
        <f aca="false">IF(AND(ISNUMBER(C7982),ISNUMBER(D7982)),D7982-C7982,"")</f>
        <v/>
      </c>
      <c r="Z7982" s="23" t="str">
        <f aca="false">IF(B7982="","",IF(MATCH(B7982,$B$2:$B$12000,0)=ROW()-1,1,0))</f>
        <v/>
      </c>
    </row>
    <row r="7983" customFormat="false" ht="15" hidden="false" customHeight="false" outlineLevel="0" collapsed="false">
      <c r="V7983" s="23" t="str">
        <f aca="false">IF(ISNUMBER(C7983),YEAR(C7983),"")</f>
        <v/>
      </c>
      <c r="W7983" s="23" t="str">
        <f aca="false">IF(ISNUMBER(C7983),MONTH(C7983),"")</f>
        <v/>
      </c>
      <c r="X7983" s="23" t="str">
        <f aca="false">IF(T7983="","",IF(T7983=0,"No discount",IF(T7983&lt;=0.2,"Low (1-20%)",IF(T7983&lt;=0.4,"Medium (21-40%)","High (&gt;40%)"))))</f>
        <v/>
      </c>
      <c r="Y7983" s="23" t="str">
        <f aca="false">IF(AND(ISNUMBER(C7983),ISNUMBER(D7983)),D7983-C7983,"")</f>
        <v/>
      </c>
      <c r="Z7983" s="23" t="str">
        <f aca="false">IF(B7983="","",IF(MATCH(B7983,$B$2:$B$12000,0)=ROW()-1,1,0))</f>
        <v/>
      </c>
    </row>
    <row r="7984" customFormat="false" ht="15" hidden="false" customHeight="false" outlineLevel="0" collapsed="false">
      <c r="V7984" s="23" t="str">
        <f aca="false">IF(ISNUMBER(C7984),YEAR(C7984),"")</f>
        <v/>
      </c>
      <c r="W7984" s="23" t="str">
        <f aca="false">IF(ISNUMBER(C7984),MONTH(C7984),"")</f>
        <v/>
      </c>
      <c r="X7984" s="23" t="str">
        <f aca="false">IF(T7984="","",IF(T7984=0,"No discount",IF(T7984&lt;=0.2,"Low (1-20%)",IF(T7984&lt;=0.4,"Medium (21-40%)","High (&gt;40%)"))))</f>
        <v/>
      </c>
      <c r="Y7984" s="23" t="str">
        <f aca="false">IF(AND(ISNUMBER(C7984),ISNUMBER(D7984)),D7984-C7984,"")</f>
        <v/>
      </c>
      <c r="Z7984" s="23" t="str">
        <f aca="false">IF(B7984="","",IF(MATCH(B7984,$B$2:$B$12000,0)=ROW()-1,1,0))</f>
        <v/>
      </c>
    </row>
    <row r="7985" customFormat="false" ht="15" hidden="false" customHeight="false" outlineLevel="0" collapsed="false">
      <c r="V7985" s="23" t="str">
        <f aca="false">IF(ISNUMBER(C7985),YEAR(C7985),"")</f>
        <v/>
      </c>
      <c r="W7985" s="23" t="str">
        <f aca="false">IF(ISNUMBER(C7985),MONTH(C7985),"")</f>
        <v/>
      </c>
      <c r="X7985" s="23" t="str">
        <f aca="false">IF(T7985="","",IF(T7985=0,"No discount",IF(T7985&lt;=0.2,"Low (1-20%)",IF(T7985&lt;=0.4,"Medium (21-40%)","High (&gt;40%)"))))</f>
        <v/>
      </c>
      <c r="Y7985" s="23" t="str">
        <f aca="false">IF(AND(ISNUMBER(C7985),ISNUMBER(D7985)),D7985-C7985,"")</f>
        <v/>
      </c>
      <c r="Z7985" s="23" t="str">
        <f aca="false">IF(B7985="","",IF(MATCH(B7985,$B$2:$B$12000,0)=ROW()-1,1,0))</f>
        <v/>
      </c>
    </row>
    <row r="7986" customFormat="false" ht="15" hidden="false" customHeight="false" outlineLevel="0" collapsed="false">
      <c r="V7986" s="23" t="str">
        <f aca="false">IF(ISNUMBER(C7986),YEAR(C7986),"")</f>
        <v/>
      </c>
      <c r="W7986" s="23" t="str">
        <f aca="false">IF(ISNUMBER(C7986),MONTH(C7986),"")</f>
        <v/>
      </c>
      <c r="X7986" s="23" t="str">
        <f aca="false">IF(T7986="","",IF(T7986=0,"No discount",IF(T7986&lt;=0.2,"Low (1-20%)",IF(T7986&lt;=0.4,"Medium (21-40%)","High (&gt;40%)"))))</f>
        <v/>
      </c>
      <c r="Y7986" s="23" t="str">
        <f aca="false">IF(AND(ISNUMBER(C7986),ISNUMBER(D7986)),D7986-C7986,"")</f>
        <v/>
      </c>
      <c r="Z7986" s="23" t="str">
        <f aca="false">IF(B7986="","",IF(MATCH(B7986,$B$2:$B$12000,0)=ROW()-1,1,0))</f>
        <v/>
      </c>
    </row>
    <row r="7987" customFormat="false" ht="15" hidden="false" customHeight="false" outlineLevel="0" collapsed="false">
      <c r="V7987" s="23" t="str">
        <f aca="false">IF(ISNUMBER(C7987),YEAR(C7987),"")</f>
        <v/>
      </c>
      <c r="W7987" s="23" t="str">
        <f aca="false">IF(ISNUMBER(C7987),MONTH(C7987),"")</f>
        <v/>
      </c>
      <c r="X7987" s="23" t="str">
        <f aca="false">IF(T7987="","",IF(T7987=0,"No discount",IF(T7987&lt;=0.2,"Low (1-20%)",IF(T7987&lt;=0.4,"Medium (21-40%)","High (&gt;40%)"))))</f>
        <v/>
      </c>
      <c r="Y7987" s="23" t="str">
        <f aca="false">IF(AND(ISNUMBER(C7987),ISNUMBER(D7987)),D7987-C7987,"")</f>
        <v/>
      </c>
      <c r="Z7987" s="23" t="str">
        <f aca="false">IF(B7987="","",IF(MATCH(B7987,$B$2:$B$12000,0)=ROW()-1,1,0))</f>
        <v/>
      </c>
    </row>
    <row r="7988" customFormat="false" ht="15" hidden="false" customHeight="false" outlineLevel="0" collapsed="false">
      <c r="V7988" s="23" t="str">
        <f aca="false">IF(ISNUMBER(C7988),YEAR(C7988),"")</f>
        <v/>
      </c>
      <c r="W7988" s="23" t="str">
        <f aca="false">IF(ISNUMBER(C7988),MONTH(C7988),"")</f>
        <v/>
      </c>
      <c r="X7988" s="23" t="str">
        <f aca="false">IF(T7988="","",IF(T7988=0,"No discount",IF(T7988&lt;=0.2,"Low (1-20%)",IF(T7988&lt;=0.4,"Medium (21-40%)","High (&gt;40%)"))))</f>
        <v/>
      </c>
      <c r="Y7988" s="23" t="str">
        <f aca="false">IF(AND(ISNUMBER(C7988),ISNUMBER(D7988)),D7988-C7988,"")</f>
        <v/>
      </c>
      <c r="Z7988" s="23" t="str">
        <f aca="false">IF(B7988="","",IF(MATCH(B7988,$B$2:$B$12000,0)=ROW()-1,1,0))</f>
        <v/>
      </c>
    </row>
    <row r="7989" customFormat="false" ht="15" hidden="false" customHeight="false" outlineLevel="0" collapsed="false">
      <c r="V7989" s="23" t="str">
        <f aca="false">IF(ISNUMBER(C7989),YEAR(C7989),"")</f>
        <v/>
      </c>
      <c r="W7989" s="23" t="str">
        <f aca="false">IF(ISNUMBER(C7989),MONTH(C7989),"")</f>
        <v/>
      </c>
      <c r="X7989" s="23" t="str">
        <f aca="false">IF(T7989="","",IF(T7989=0,"No discount",IF(T7989&lt;=0.2,"Low (1-20%)",IF(T7989&lt;=0.4,"Medium (21-40%)","High (&gt;40%)"))))</f>
        <v/>
      </c>
      <c r="Y7989" s="23" t="str">
        <f aca="false">IF(AND(ISNUMBER(C7989),ISNUMBER(D7989)),D7989-C7989,"")</f>
        <v/>
      </c>
      <c r="Z7989" s="23" t="str">
        <f aca="false">IF(B7989="","",IF(MATCH(B7989,$B$2:$B$12000,0)=ROW()-1,1,0))</f>
        <v/>
      </c>
    </row>
    <row r="7990" customFormat="false" ht="15" hidden="false" customHeight="false" outlineLevel="0" collapsed="false">
      <c r="V7990" s="23" t="str">
        <f aca="false">IF(ISNUMBER(C7990),YEAR(C7990),"")</f>
        <v/>
      </c>
      <c r="W7990" s="23" t="str">
        <f aca="false">IF(ISNUMBER(C7990),MONTH(C7990),"")</f>
        <v/>
      </c>
      <c r="X7990" s="23" t="str">
        <f aca="false">IF(T7990="","",IF(T7990=0,"No discount",IF(T7990&lt;=0.2,"Low (1-20%)",IF(T7990&lt;=0.4,"Medium (21-40%)","High (&gt;40%)"))))</f>
        <v/>
      </c>
      <c r="Y7990" s="23" t="str">
        <f aca="false">IF(AND(ISNUMBER(C7990),ISNUMBER(D7990)),D7990-C7990,"")</f>
        <v/>
      </c>
      <c r="Z7990" s="23" t="str">
        <f aca="false">IF(B7990="","",IF(MATCH(B7990,$B$2:$B$12000,0)=ROW()-1,1,0))</f>
        <v/>
      </c>
    </row>
    <row r="7991" customFormat="false" ht="15" hidden="false" customHeight="false" outlineLevel="0" collapsed="false">
      <c r="V7991" s="23" t="str">
        <f aca="false">IF(ISNUMBER(C7991),YEAR(C7991),"")</f>
        <v/>
      </c>
      <c r="W7991" s="23" t="str">
        <f aca="false">IF(ISNUMBER(C7991),MONTH(C7991),"")</f>
        <v/>
      </c>
      <c r="X7991" s="23" t="str">
        <f aca="false">IF(T7991="","",IF(T7991=0,"No discount",IF(T7991&lt;=0.2,"Low (1-20%)",IF(T7991&lt;=0.4,"Medium (21-40%)","High (&gt;40%)"))))</f>
        <v/>
      </c>
      <c r="Y7991" s="23" t="str">
        <f aca="false">IF(AND(ISNUMBER(C7991),ISNUMBER(D7991)),D7991-C7991,"")</f>
        <v/>
      </c>
      <c r="Z7991" s="23" t="str">
        <f aca="false">IF(B7991="","",IF(MATCH(B7991,$B$2:$B$12000,0)=ROW()-1,1,0))</f>
        <v/>
      </c>
    </row>
    <row r="7992" customFormat="false" ht="15" hidden="false" customHeight="false" outlineLevel="0" collapsed="false">
      <c r="V7992" s="23" t="str">
        <f aca="false">IF(ISNUMBER(C7992),YEAR(C7992),"")</f>
        <v/>
      </c>
      <c r="W7992" s="23" t="str">
        <f aca="false">IF(ISNUMBER(C7992),MONTH(C7992),"")</f>
        <v/>
      </c>
      <c r="X7992" s="23" t="str">
        <f aca="false">IF(T7992="","",IF(T7992=0,"No discount",IF(T7992&lt;=0.2,"Low (1-20%)",IF(T7992&lt;=0.4,"Medium (21-40%)","High (&gt;40%)"))))</f>
        <v/>
      </c>
      <c r="Y7992" s="23" t="str">
        <f aca="false">IF(AND(ISNUMBER(C7992),ISNUMBER(D7992)),D7992-C7992,"")</f>
        <v/>
      </c>
      <c r="Z7992" s="23" t="str">
        <f aca="false">IF(B7992="","",IF(MATCH(B7992,$B$2:$B$12000,0)=ROW()-1,1,0))</f>
        <v/>
      </c>
    </row>
    <row r="7993" customFormat="false" ht="15" hidden="false" customHeight="false" outlineLevel="0" collapsed="false">
      <c r="V7993" s="23" t="str">
        <f aca="false">IF(ISNUMBER(C7993),YEAR(C7993),"")</f>
        <v/>
      </c>
      <c r="W7993" s="23" t="str">
        <f aca="false">IF(ISNUMBER(C7993),MONTH(C7993),"")</f>
        <v/>
      </c>
      <c r="X7993" s="23" t="str">
        <f aca="false">IF(T7993="","",IF(T7993=0,"No discount",IF(T7993&lt;=0.2,"Low (1-20%)",IF(T7993&lt;=0.4,"Medium (21-40%)","High (&gt;40%)"))))</f>
        <v/>
      </c>
      <c r="Y7993" s="23" t="str">
        <f aca="false">IF(AND(ISNUMBER(C7993),ISNUMBER(D7993)),D7993-C7993,"")</f>
        <v/>
      </c>
      <c r="Z7993" s="23" t="str">
        <f aca="false">IF(B7993="","",IF(MATCH(B7993,$B$2:$B$12000,0)=ROW()-1,1,0))</f>
        <v/>
      </c>
    </row>
    <row r="7994" customFormat="false" ht="15" hidden="false" customHeight="false" outlineLevel="0" collapsed="false">
      <c r="V7994" s="23" t="str">
        <f aca="false">IF(ISNUMBER(C7994),YEAR(C7994),"")</f>
        <v/>
      </c>
      <c r="W7994" s="23" t="str">
        <f aca="false">IF(ISNUMBER(C7994),MONTH(C7994),"")</f>
        <v/>
      </c>
      <c r="X7994" s="23" t="str">
        <f aca="false">IF(T7994="","",IF(T7994=0,"No discount",IF(T7994&lt;=0.2,"Low (1-20%)",IF(T7994&lt;=0.4,"Medium (21-40%)","High (&gt;40%)"))))</f>
        <v/>
      </c>
      <c r="Y7994" s="23" t="str">
        <f aca="false">IF(AND(ISNUMBER(C7994),ISNUMBER(D7994)),D7994-C7994,"")</f>
        <v/>
      </c>
      <c r="Z7994" s="23" t="str">
        <f aca="false">IF(B7994="","",IF(MATCH(B7994,$B$2:$B$12000,0)=ROW()-1,1,0))</f>
        <v/>
      </c>
    </row>
    <row r="7995" customFormat="false" ht="15" hidden="false" customHeight="false" outlineLevel="0" collapsed="false">
      <c r="V7995" s="23" t="str">
        <f aca="false">IF(ISNUMBER(C7995),YEAR(C7995),"")</f>
        <v/>
      </c>
      <c r="W7995" s="23" t="str">
        <f aca="false">IF(ISNUMBER(C7995),MONTH(C7995),"")</f>
        <v/>
      </c>
      <c r="X7995" s="23" t="str">
        <f aca="false">IF(T7995="","",IF(T7995=0,"No discount",IF(T7995&lt;=0.2,"Low (1-20%)",IF(T7995&lt;=0.4,"Medium (21-40%)","High (&gt;40%)"))))</f>
        <v/>
      </c>
      <c r="Y7995" s="23" t="str">
        <f aca="false">IF(AND(ISNUMBER(C7995),ISNUMBER(D7995)),D7995-C7995,"")</f>
        <v/>
      </c>
      <c r="Z7995" s="23" t="str">
        <f aca="false">IF(B7995="","",IF(MATCH(B7995,$B$2:$B$12000,0)=ROW()-1,1,0))</f>
        <v/>
      </c>
    </row>
    <row r="7996" customFormat="false" ht="15" hidden="false" customHeight="false" outlineLevel="0" collapsed="false">
      <c r="V7996" s="23" t="str">
        <f aca="false">IF(ISNUMBER(C7996),YEAR(C7996),"")</f>
        <v/>
      </c>
      <c r="W7996" s="23" t="str">
        <f aca="false">IF(ISNUMBER(C7996),MONTH(C7996),"")</f>
        <v/>
      </c>
      <c r="X7996" s="23" t="str">
        <f aca="false">IF(T7996="","",IF(T7996=0,"No discount",IF(T7996&lt;=0.2,"Low (1-20%)",IF(T7996&lt;=0.4,"Medium (21-40%)","High (&gt;40%)"))))</f>
        <v/>
      </c>
      <c r="Y7996" s="23" t="str">
        <f aca="false">IF(AND(ISNUMBER(C7996),ISNUMBER(D7996)),D7996-C7996,"")</f>
        <v/>
      </c>
      <c r="Z7996" s="23" t="str">
        <f aca="false">IF(B7996="","",IF(MATCH(B7996,$B$2:$B$12000,0)=ROW()-1,1,0))</f>
        <v/>
      </c>
    </row>
    <row r="7997" customFormat="false" ht="15" hidden="false" customHeight="false" outlineLevel="0" collapsed="false">
      <c r="V7997" s="23" t="str">
        <f aca="false">IF(ISNUMBER(C7997),YEAR(C7997),"")</f>
        <v/>
      </c>
      <c r="W7997" s="23" t="str">
        <f aca="false">IF(ISNUMBER(C7997),MONTH(C7997),"")</f>
        <v/>
      </c>
      <c r="X7997" s="23" t="str">
        <f aca="false">IF(T7997="","",IF(T7997=0,"No discount",IF(T7997&lt;=0.2,"Low (1-20%)",IF(T7997&lt;=0.4,"Medium (21-40%)","High (&gt;40%)"))))</f>
        <v/>
      </c>
      <c r="Y7997" s="23" t="str">
        <f aca="false">IF(AND(ISNUMBER(C7997),ISNUMBER(D7997)),D7997-C7997,"")</f>
        <v/>
      </c>
      <c r="Z7997" s="23" t="str">
        <f aca="false">IF(B7997="","",IF(MATCH(B7997,$B$2:$B$12000,0)=ROW()-1,1,0))</f>
        <v/>
      </c>
    </row>
    <row r="7998" customFormat="false" ht="15" hidden="false" customHeight="false" outlineLevel="0" collapsed="false">
      <c r="V7998" s="23" t="str">
        <f aca="false">IF(ISNUMBER(C7998),YEAR(C7998),"")</f>
        <v/>
      </c>
      <c r="W7998" s="23" t="str">
        <f aca="false">IF(ISNUMBER(C7998),MONTH(C7998),"")</f>
        <v/>
      </c>
      <c r="X7998" s="23" t="str">
        <f aca="false">IF(T7998="","",IF(T7998=0,"No discount",IF(T7998&lt;=0.2,"Low (1-20%)",IF(T7998&lt;=0.4,"Medium (21-40%)","High (&gt;40%)"))))</f>
        <v/>
      </c>
      <c r="Y7998" s="23" t="str">
        <f aca="false">IF(AND(ISNUMBER(C7998),ISNUMBER(D7998)),D7998-C7998,"")</f>
        <v/>
      </c>
      <c r="Z7998" s="23" t="str">
        <f aca="false">IF(B7998="","",IF(MATCH(B7998,$B$2:$B$12000,0)=ROW()-1,1,0))</f>
        <v/>
      </c>
    </row>
    <row r="7999" customFormat="false" ht="15" hidden="false" customHeight="false" outlineLevel="0" collapsed="false">
      <c r="V7999" s="23" t="str">
        <f aca="false">IF(ISNUMBER(C7999),YEAR(C7999),"")</f>
        <v/>
      </c>
      <c r="W7999" s="23" t="str">
        <f aca="false">IF(ISNUMBER(C7999),MONTH(C7999),"")</f>
        <v/>
      </c>
      <c r="X7999" s="23" t="str">
        <f aca="false">IF(T7999="","",IF(T7999=0,"No discount",IF(T7999&lt;=0.2,"Low (1-20%)",IF(T7999&lt;=0.4,"Medium (21-40%)","High (&gt;40%)"))))</f>
        <v/>
      </c>
      <c r="Y7999" s="23" t="str">
        <f aca="false">IF(AND(ISNUMBER(C7999),ISNUMBER(D7999)),D7999-C7999,"")</f>
        <v/>
      </c>
      <c r="Z7999" s="23" t="str">
        <f aca="false">IF(B7999="","",IF(MATCH(B7999,$B$2:$B$12000,0)=ROW()-1,1,0))</f>
        <v/>
      </c>
    </row>
    <row r="8000" customFormat="false" ht="15" hidden="false" customHeight="false" outlineLevel="0" collapsed="false">
      <c r="V8000" s="23" t="str">
        <f aca="false">IF(ISNUMBER(C8000),YEAR(C8000),"")</f>
        <v/>
      </c>
      <c r="W8000" s="23" t="str">
        <f aca="false">IF(ISNUMBER(C8000),MONTH(C8000),"")</f>
        <v/>
      </c>
      <c r="X8000" s="23" t="str">
        <f aca="false">IF(T8000="","",IF(T8000=0,"No discount",IF(T8000&lt;=0.2,"Low (1-20%)",IF(T8000&lt;=0.4,"Medium (21-40%)","High (&gt;40%)"))))</f>
        <v/>
      </c>
      <c r="Y8000" s="23" t="str">
        <f aca="false">IF(AND(ISNUMBER(C8000),ISNUMBER(D8000)),D8000-C8000,"")</f>
        <v/>
      </c>
      <c r="Z8000" s="23" t="str">
        <f aca="false">IF(B8000="","",IF(MATCH(B8000,$B$2:$B$12000,0)=ROW()-1,1,0))</f>
        <v/>
      </c>
    </row>
    <row r="8001" customFormat="false" ht="15" hidden="false" customHeight="false" outlineLevel="0" collapsed="false">
      <c r="V8001" s="23" t="str">
        <f aca="false">IF(ISNUMBER(C8001),YEAR(C8001),"")</f>
        <v/>
      </c>
      <c r="W8001" s="23" t="str">
        <f aca="false">IF(ISNUMBER(C8001),MONTH(C8001),"")</f>
        <v/>
      </c>
      <c r="X8001" s="23" t="str">
        <f aca="false">IF(T8001="","",IF(T8001=0,"No discount",IF(T8001&lt;=0.2,"Low (1-20%)",IF(T8001&lt;=0.4,"Medium (21-40%)","High (&gt;40%)"))))</f>
        <v/>
      </c>
      <c r="Y8001" s="23" t="str">
        <f aca="false">IF(AND(ISNUMBER(C8001),ISNUMBER(D8001)),D8001-C8001,"")</f>
        <v/>
      </c>
      <c r="Z8001" s="23" t="str">
        <f aca="false">IF(B8001="","",IF(MATCH(B8001,$B$2:$B$12000,0)=ROW()-1,1,0))</f>
        <v/>
      </c>
    </row>
    <row r="8002" customFormat="false" ht="15" hidden="false" customHeight="false" outlineLevel="0" collapsed="false">
      <c r="V8002" s="23" t="str">
        <f aca="false">IF(ISNUMBER(C8002),YEAR(C8002),"")</f>
        <v/>
      </c>
      <c r="W8002" s="23" t="str">
        <f aca="false">IF(ISNUMBER(C8002),MONTH(C8002),"")</f>
        <v/>
      </c>
      <c r="X8002" s="23" t="str">
        <f aca="false">IF(T8002="","",IF(T8002=0,"No discount",IF(T8002&lt;=0.2,"Low (1-20%)",IF(T8002&lt;=0.4,"Medium (21-40%)","High (&gt;40%)"))))</f>
        <v/>
      </c>
      <c r="Y8002" s="23" t="str">
        <f aca="false">IF(AND(ISNUMBER(C8002),ISNUMBER(D8002)),D8002-C8002,"")</f>
        <v/>
      </c>
      <c r="Z8002" s="23" t="str">
        <f aca="false">IF(B8002="","",IF(MATCH(B8002,$B$2:$B$12000,0)=ROW()-1,1,0))</f>
        <v/>
      </c>
    </row>
    <row r="8003" customFormat="false" ht="15" hidden="false" customHeight="false" outlineLevel="0" collapsed="false">
      <c r="V8003" s="23" t="str">
        <f aca="false">IF(ISNUMBER(C8003),YEAR(C8003),"")</f>
        <v/>
      </c>
      <c r="W8003" s="23" t="str">
        <f aca="false">IF(ISNUMBER(C8003),MONTH(C8003),"")</f>
        <v/>
      </c>
      <c r="X8003" s="23" t="str">
        <f aca="false">IF(T8003="","",IF(T8003=0,"No discount",IF(T8003&lt;=0.2,"Low (1-20%)",IF(T8003&lt;=0.4,"Medium (21-40%)","High (&gt;40%)"))))</f>
        <v/>
      </c>
      <c r="Y8003" s="23" t="str">
        <f aca="false">IF(AND(ISNUMBER(C8003),ISNUMBER(D8003)),D8003-C8003,"")</f>
        <v/>
      </c>
      <c r="Z8003" s="23" t="str">
        <f aca="false">IF(B8003="","",IF(MATCH(B8003,$B$2:$B$12000,0)=ROW()-1,1,0))</f>
        <v/>
      </c>
    </row>
    <row r="8004" customFormat="false" ht="15" hidden="false" customHeight="false" outlineLevel="0" collapsed="false">
      <c r="V8004" s="23" t="str">
        <f aca="false">IF(ISNUMBER(C8004),YEAR(C8004),"")</f>
        <v/>
      </c>
      <c r="W8004" s="23" t="str">
        <f aca="false">IF(ISNUMBER(C8004),MONTH(C8004),"")</f>
        <v/>
      </c>
      <c r="X8004" s="23" t="str">
        <f aca="false">IF(T8004="","",IF(T8004=0,"No discount",IF(T8004&lt;=0.2,"Low (1-20%)",IF(T8004&lt;=0.4,"Medium (21-40%)","High (&gt;40%)"))))</f>
        <v/>
      </c>
      <c r="Y8004" s="23" t="str">
        <f aca="false">IF(AND(ISNUMBER(C8004),ISNUMBER(D8004)),D8004-C8004,"")</f>
        <v/>
      </c>
      <c r="Z8004" s="23" t="str">
        <f aca="false">IF(B8004="","",IF(MATCH(B8004,$B$2:$B$12000,0)=ROW()-1,1,0))</f>
        <v/>
      </c>
    </row>
    <row r="8005" customFormat="false" ht="15" hidden="false" customHeight="false" outlineLevel="0" collapsed="false">
      <c r="V8005" s="23" t="str">
        <f aca="false">IF(ISNUMBER(C8005),YEAR(C8005),"")</f>
        <v/>
      </c>
      <c r="W8005" s="23" t="str">
        <f aca="false">IF(ISNUMBER(C8005),MONTH(C8005),"")</f>
        <v/>
      </c>
      <c r="X8005" s="23" t="str">
        <f aca="false">IF(T8005="","",IF(T8005=0,"No discount",IF(T8005&lt;=0.2,"Low (1-20%)",IF(T8005&lt;=0.4,"Medium (21-40%)","High (&gt;40%)"))))</f>
        <v/>
      </c>
      <c r="Y8005" s="23" t="str">
        <f aca="false">IF(AND(ISNUMBER(C8005),ISNUMBER(D8005)),D8005-C8005,"")</f>
        <v/>
      </c>
      <c r="Z8005" s="23" t="str">
        <f aca="false">IF(B8005="","",IF(MATCH(B8005,$B$2:$B$12000,0)=ROW()-1,1,0))</f>
        <v/>
      </c>
    </row>
    <row r="8006" customFormat="false" ht="15" hidden="false" customHeight="false" outlineLevel="0" collapsed="false">
      <c r="V8006" s="23" t="str">
        <f aca="false">IF(ISNUMBER(C8006),YEAR(C8006),"")</f>
        <v/>
      </c>
      <c r="W8006" s="23" t="str">
        <f aca="false">IF(ISNUMBER(C8006),MONTH(C8006),"")</f>
        <v/>
      </c>
      <c r="X8006" s="23" t="str">
        <f aca="false">IF(T8006="","",IF(T8006=0,"No discount",IF(T8006&lt;=0.2,"Low (1-20%)",IF(T8006&lt;=0.4,"Medium (21-40%)","High (&gt;40%)"))))</f>
        <v/>
      </c>
      <c r="Y8006" s="23" t="str">
        <f aca="false">IF(AND(ISNUMBER(C8006),ISNUMBER(D8006)),D8006-C8006,"")</f>
        <v/>
      </c>
      <c r="Z8006" s="23" t="str">
        <f aca="false">IF(B8006="","",IF(MATCH(B8006,$B$2:$B$12000,0)=ROW()-1,1,0))</f>
        <v/>
      </c>
    </row>
    <row r="8007" customFormat="false" ht="15" hidden="false" customHeight="false" outlineLevel="0" collapsed="false">
      <c r="V8007" s="23" t="str">
        <f aca="false">IF(ISNUMBER(C8007),YEAR(C8007),"")</f>
        <v/>
      </c>
      <c r="W8007" s="23" t="str">
        <f aca="false">IF(ISNUMBER(C8007),MONTH(C8007),"")</f>
        <v/>
      </c>
      <c r="X8007" s="23" t="str">
        <f aca="false">IF(T8007="","",IF(T8007=0,"No discount",IF(T8007&lt;=0.2,"Low (1-20%)",IF(T8007&lt;=0.4,"Medium (21-40%)","High (&gt;40%)"))))</f>
        <v/>
      </c>
      <c r="Y8007" s="23" t="str">
        <f aca="false">IF(AND(ISNUMBER(C8007),ISNUMBER(D8007)),D8007-C8007,"")</f>
        <v/>
      </c>
      <c r="Z8007" s="23" t="str">
        <f aca="false">IF(B8007="","",IF(MATCH(B8007,$B$2:$B$12000,0)=ROW()-1,1,0))</f>
        <v/>
      </c>
    </row>
    <row r="8008" customFormat="false" ht="15" hidden="false" customHeight="false" outlineLevel="0" collapsed="false">
      <c r="V8008" s="23" t="str">
        <f aca="false">IF(ISNUMBER(C8008),YEAR(C8008),"")</f>
        <v/>
      </c>
      <c r="W8008" s="23" t="str">
        <f aca="false">IF(ISNUMBER(C8008),MONTH(C8008),"")</f>
        <v/>
      </c>
      <c r="X8008" s="23" t="str">
        <f aca="false">IF(T8008="","",IF(T8008=0,"No discount",IF(T8008&lt;=0.2,"Low (1-20%)",IF(T8008&lt;=0.4,"Medium (21-40%)","High (&gt;40%)"))))</f>
        <v/>
      </c>
      <c r="Y8008" s="23" t="str">
        <f aca="false">IF(AND(ISNUMBER(C8008),ISNUMBER(D8008)),D8008-C8008,"")</f>
        <v/>
      </c>
      <c r="Z8008" s="23" t="str">
        <f aca="false">IF(B8008="","",IF(MATCH(B8008,$B$2:$B$12000,0)=ROW()-1,1,0))</f>
        <v/>
      </c>
    </row>
    <row r="8009" customFormat="false" ht="15" hidden="false" customHeight="false" outlineLevel="0" collapsed="false">
      <c r="V8009" s="23" t="str">
        <f aca="false">IF(ISNUMBER(C8009),YEAR(C8009),"")</f>
        <v/>
      </c>
      <c r="W8009" s="23" t="str">
        <f aca="false">IF(ISNUMBER(C8009),MONTH(C8009),"")</f>
        <v/>
      </c>
      <c r="X8009" s="23" t="str">
        <f aca="false">IF(T8009="","",IF(T8009=0,"No discount",IF(T8009&lt;=0.2,"Low (1-20%)",IF(T8009&lt;=0.4,"Medium (21-40%)","High (&gt;40%)"))))</f>
        <v/>
      </c>
      <c r="Y8009" s="23" t="str">
        <f aca="false">IF(AND(ISNUMBER(C8009),ISNUMBER(D8009)),D8009-C8009,"")</f>
        <v/>
      </c>
      <c r="Z8009" s="23" t="str">
        <f aca="false">IF(B8009="","",IF(MATCH(B8009,$B$2:$B$12000,0)=ROW()-1,1,0))</f>
        <v/>
      </c>
    </row>
    <row r="8010" customFormat="false" ht="15" hidden="false" customHeight="false" outlineLevel="0" collapsed="false">
      <c r="V8010" s="23" t="str">
        <f aca="false">IF(ISNUMBER(C8010),YEAR(C8010),"")</f>
        <v/>
      </c>
      <c r="W8010" s="23" t="str">
        <f aca="false">IF(ISNUMBER(C8010),MONTH(C8010),"")</f>
        <v/>
      </c>
      <c r="X8010" s="23" t="str">
        <f aca="false">IF(T8010="","",IF(T8010=0,"No discount",IF(T8010&lt;=0.2,"Low (1-20%)",IF(T8010&lt;=0.4,"Medium (21-40%)","High (&gt;40%)"))))</f>
        <v/>
      </c>
      <c r="Y8010" s="23" t="str">
        <f aca="false">IF(AND(ISNUMBER(C8010),ISNUMBER(D8010)),D8010-C8010,"")</f>
        <v/>
      </c>
      <c r="Z8010" s="23" t="str">
        <f aca="false">IF(B8010="","",IF(MATCH(B8010,$B$2:$B$12000,0)=ROW()-1,1,0))</f>
        <v/>
      </c>
    </row>
    <row r="8011" customFormat="false" ht="15" hidden="false" customHeight="false" outlineLevel="0" collapsed="false">
      <c r="V8011" s="23" t="str">
        <f aca="false">IF(ISNUMBER(C8011),YEAR(C8011),"")</f>
        <v/>
      </c>
      <c r="W8011" s="23" t="str">
        <f aca="false">IF(ISNUMBER(C8011),MONTH(C8011),"")</f>
        <v/>
      </c>
      <c r="X8011" s="23" t="str">
        <f aca="false">IF(T8011="","",IF(T8011=0,"No discount",IF(T8011&lt;=0.2,"Low (1-20%)",IF(T8011&lt;=0.4,"Medium (21-40%)","High (&gt;40%)"))))</f>
        <v/>
      </c>
      <c r="Y8011" s="23" t="str">
        <f aca="false">IF(AND(ISNUMBER(C8011),ISNUMBER(D8011)),D8011-C8011,"")</f>
        <v/>
      </c>
      <c r="Z8011" s="23" t="str">
        <f aca="false">IF(B8011="","",IF(MATCH(B8011,$B$2:$B$12000,0)=ROW()-1,1,0))</f>
        <v/>
      </c>
    </row>
    <row r="8012" customFormat="false" ht="15" hidden="false" customHeight="false" outlineLevel="0" collapsed="false">
      <c r="V8012" s="23" t="str">
        <f aca="false">IF(ISNUMBER(C8012),YEAR(C8012),"")</f>
        <v/>
      </c>
      <c r="W8012" s="23" t="str">
        <f aca="false">IF(ISNUMBER(C8012),MONTH(C8012),"")</f>
        <v/>
      </c>
      <c r="X8012" s="23" t="str">
        <f aca="false">IF(T8012="","",IF(T8012=0,"No discount",IF(T8012&lt;=0.2,"Low (1-20%)",IF(T8012&lt;=0.4,"Medium (21-40%)","High (&gt;40%)"))))</f>
        <v/>
      </c>
      <c r="Y8012" s="23" t="str">
        <f aca="false">IF(AND(ISNUMBER(C8012),ISNUMBER(D8012)),D8012-C8012,"")</f>
        <v/>
      </c>
      <c r="Z8012" s="23" t="str">
        <f aca="false">IF(B8012="","",IF(MATCH(B8012,$B$2:$B$12000,0)=ROW()-1,1,0))</f>
        <v/>
      </c>
    </row>
    <row r="8013" customFormat="false" ht="15" hidden="false" customHeight="false" outlineLevel="0" collapsed="false">
      <c r="V8013" s="23" t="str">
        <f aca="false">IF(ISNUMBER(C8013),YEAR(C8013),"")</f>
        <v/>
      </c>
      <c r="W8013" s="23" t="str">
        <f aca="false">IF(ISNUMBER(C8013),MONTH(C8013),"")</f>
        <v/>
      </c>
      <c r="X8013" s="23" t="str">
        <f aca="false">IF(T8013="","",IF(T8013=0,"No discount",IF(T8013&lt;=0.2,"Low (1-20%)",IF(T8013&lt;=0.4,"Medium (21-40%)","High (&gt;40%)"))))</f>
        <v/>
      </c>
      <c r="Y8013" s="23" t="str">
        <f aca="false">IF(AND(ISNUMBER(C8013),ISNUMBER(D8013)),D8013-C8013,"")</f>
        <v/>
      </c>
      <c r="Z8013" s="23" t="str">
        <f aca="false">IF(B8013="","",IF(MATCH(B8013,$B$2:$B$12000,0)=ROW()-1,1,0))</f>
        <v/>
      </c>
    </row>
    <row r="8014" customFormat="false" ht="15" hidden="false" customHeight="false" outlineLevel="0" collapsed="false">
      <c r="V8014" s="23" t="str">
        <f aca="false">IF(ISNUMBER(C8014),YEAR(C8014),"")</f>
        <v/>
      </c>
      <c r="W8014" s="23" t="str">
        <f aca="false">IF(ISNUMBER(C8014),MONTH(C8014),"")</f>
        <v/>
      </c>
      <c r="X8014" s="23" t="str">
        <f aca="false">IF(T8014="","",IF(T8014=0,"No discount",IF(T8014&lt;=0.2,"Low (1-20%)",IF(T8014&lt;=0.4,"Medium (21-40%)","High (&gt;40%)"))))</f>
        <v/>
      </c>
      <c r="Y8014" s="23" t="str">
        <f aca="false">IF(AND(ISNUMBER(C8014),ISNUMBER(D8014)),D8014-C8014,"")</f>
        <v/>
      </c>
      <c r="Z8014" s="23" t="str">
        <f aca="false">IF(B8014="","",IF(MATCH(B8014,$B$2:$B$12000,0)=ROW()-1,1,0))</f>
        <v/>
      </c>
    </row>
    <row r="8015" customFormat="false" ht="15" hidden="false" customHeight="false" outlineLevel="0" collapsed="false">
      <c r="V8015" s="23" t="str">
        <f aca="false">IF(ISNUMBER(C8015),YEAR(C8015),"")</f>
        <v/>
      </c>
      <c r="W8015" s="23" t="str">
        <f aca="false">IF(ISNUMBER(C8015),MONTH(C8015),"")</f>
        <v/>
      </c>
      <c r="X8015" s="23" t="str">
        <f aca="false">IF(T8015="","",IF(T8015=0,"No discount",IF(T8015&lt;=0.2,"Low (1-20%)",IF(T8015&lt;=0.4,"Medium (21-40%)","High (&gt;40%)"))))</f>
        <v/>
      </c>
      <c r="Y8015" s="23" t="str">
        <f aca="false">IF(AND(ISNUMBER(C8015),ISNUMBER(D8015)),D8015-C8015,"")</f>
        <v/>
      </c>
      <c r="Z8015" s="23" t="str">
        <f aca="false">IF(B8015="","",IF(MATCH(B8015,$B$2:$B$12000,0)=ROW()-1,1,0))</f>
        <v/>
      </c>
    </row>
    <row r="8016" customFormat="false" ht="15" hidden="false" customHeight="false" outlineLevel="0" collapsed="false">
      <c r="V8016" s="23" t="str">
        <f aca="false">IF(ISNUMBER(C8016),YEAR(C8016),"")</f>
        <v/>
      </c>
      <c r="W8016" s="23" t="str">
        <f aca="false">IF(ISNUMBER(C8016),MONTH(C8016),"")</f>
        <v/>
      </c>
      <c r="X8016" s="23" t="str">
        <f aca="false">IF(T8016="","",IF(T8016=0,"No discount",IF(T8016&lt;=0.2,"Low (1-20%)",IF(T8016&lt;=0.4,"Medium (21-40%)","High (&gt;40%)"))))</f>
        <v/>
      </c>
      <c r="Y8016" s="23" t="str">
        <f aca="false">IF(AND(ISNUMBER(C8016),ISNUMBER(D8016)),D8016-C8016,"")</f>
        <v/>
      </c>
      <c r="Z8016" s="23" t="str">
        <f aca="false">IF(B8016="","",IF(MATCH(B8016,$B$2:$B$12000,0)=ROW()-1,1,0))</f>
        <v/>
      </c>
    </row>
    <row r="8017" customFormat="false" ht="15" hidden="false" customHeight="false" outlineLevel="0" collapsed="false">
      <c r="V8017" s="23" t="str">
        <f aca="false">IF(ISNUMBER(C8017),YEAR(C8017),"")</f>
        <v/>
      </c>
      <c r="W8017" s="23" t="str">
        <f aca="false">IF(ISNUMBER(C8017),MONTH(C8017),"")</f>
        <v/>
      </c>
      <c r="X8017" s="23" t="str">
        <f aca="false">IF(T8017="","",IF(T8017=0,"No discount",IF(T8017&lt;=0.2,"Low (1-20%)",IF(T8017&lt;=0.4,"Medium (21-40%)","High (&gt;40%)"))))</f>
        <v/>
      </c>
      <c r="Y8017" s="23" t="str">
        <f aca="false">IF(AND(ISNUMBER(C8017),ISNUMBER(D8017)),D8017-C8017,"")</f>
        <v/>
      </c>
      <c r="Z8017" s="23" t="str">
        <f aca="false">IF(B8017="","",IF(MATCH(B8017,$B$2:$B$12000,0)=ROW()-1,1,0))</f>
        <v/>
      </c>
    </row>
    <row r="8018" customFormat="false" ht="15" hidden="false" customHeight="false" outlineLevel="0" collapsed="false">
      <c r="V8018" s="23" t="str">
        <f aca="false">IF(ISNUMBER(C8018),YEAR(C8018),"")</f>
        <v/>
      </c>
      <c r="W8018" s="23" t="str">
        <f aca="false">IF(ISNUMBER(C8018),MONTH(C8018),"")</f>
        <v/>
      </c>
      <c r="X8018" s="23" t="str">
        <f aca="false">IF(T8018="","",IF(T8018=0,"No discount",IF(T8018&lt;=0.2,"Low (1-20%)",IF(T8018&lt;=0.4,"Medium (21-40%)","High (&gt;40%)"))))</f>
        <v/>
      </c>
      <c r="Y8018" s="23" t="str">
        <f aca="false">IF(AND(ISNUMBER(C8018),ISNUMBER(D8018)),D8018-C8018,"")</f>
        <v/>
      </c>
      <c r="Z8018" s="23" t="str">
        <f aca="false">IF(B8018="","",IF(MATCH(B8018,$B$2:$B$12000,0)=ROW()-1,1,0))</f>
        <v/>
      </c>
    </row>
    <row r="8019" customFormat="false" ht="15" hidden="false" customHeight="false" outlineLevel="0" collapsed="false">
      <c r="V8019" s="23" t="str">
        <f aca="false">IF(ISNUMBER(C8019),YEAR(C8019),"")</f>
        <v/>
      </c>
      <c r="W8019" s="23" t="str">
        <f aca="false">IF(ISNUMBER(C8019),MONTH(C8019),"")</f>
        <v/>
      </c>
      <c r="X8019" s="23" t="str">
        <f aca="false">IF(T8019="","",IF(T8019=0,"No discount",IF(T8019&lt;=0.2,"Low (1-20%)",IF(T8019&lt;=0.4,"Medium (21-40%)","High (&gt;40%)"))))</f>
        <v/>
      </c>
      <c r="Y8019" s="23" t="str">
        <f aca="false">IF(AND(ISNUMBER(C8019),ISNUMBER(D8019)),D8019-C8019,"")</f>
        <v/>
      </c>
      <c r="Z8019" s="23" t="str">
        <f aca="false">IF(B8019="","",IF(MATCH(B8019,$B$2:$B$12000,0)=ROW()-1,1,0))</f>
        <v/>
      </c>
    </row>
    <row r="8020" customFormat="false" ht="15" hidden="false" customHeight="false" outlineLevel="0" collapsed="false">
      <c r="V8020" s="23" t="str">
        <f aca="false">IF(ISNUMBER(C8020),YEAR(C8020),"")</f>
        <v/>
      </c>
      <c r="W8020" s="23" t="str">
        <f aca="false">IF(ISNUMBER(C8020),MONTH(C8020),"")</f>
        <v/>
      </c>
      <c r="X8020" s="23" t="str">
        <f aca="false">IF(T8020="","",IF(T8020=0,"No discount",IF(T8020&lt;=0.2,"Low (1-20%)",IF(T8020&lt;=0.4,"Medium (21-40%)","High (&gt;40%)"))))</f>
        <v/>
      </c>
      <c r="Y8020" s="23" t="str">
        <f aca="false">IF(AND(ISNUMBER(C8020),ISNUMBER(D8020)),D8020-C8020,"")</f>
        <v/>
      </c>
      <c r="Z8020" s="23" t="str">
        <f aca="false">IF(B8020="","",IF(MATCH(B8020,$B$2:$B$12000,0)=ROW()-1,1,0))</f>
        <v/>
      </c>
    </row>
    <row r="8021" customFormat="false" ht="15" hidden="false" customHeight="false" outlineLevel="0" collapsed="false">
      <c r="V8021" s="23" t="str">
        <f aca="false">IF(ISNUMBER(C8021),YEAR(C8021),"")</f>
        <v/>
      </c>
      <c r="W8021" s="23" t="str">
        <f aca="false">IF(ISNUMBER(C8021),MONTH(C8021),"")</f>
        <v/>
      </c>
      <c r="X8021" s="23" t="str">
        <f aca="false">IF(T8021="","",IF(T8021=0,"No discount",IF(T8021&lt;=0.2,"Low (1-20%)",IF(T8021&lt;=0.4,"Medium (21-40%)","High (&gt;40%)"))))</f>
        <v/>
      </c>
      <c r="Y8021" s="23" t="str">
        <f aca="false">IF(AND(ISNUMBER(C8021),ISNUMBER(D8021)),D8021-C8021,"")</f>
        <v/>
      </c>
      <c r="Z8021" s="23" t="str">
        <f aca="false">IF(B8021="","",IF(MATCH(B8021,$B$2:$B$12000,0)=ROW()-1,1,0))</f>
        <v/>
      </c>
    </row>
    <row r="8022" customFormat="false" ht="15" hidden="false" customHeight="false" outlineLevel="0" collapsed="false">
      <c r="V8022" s="23" t="str">
        <f aca="false">IF(ISNUMBER(C8022),YEAR(C8022),"")</f>
        <v/>
      </c>
      <c r="W8022" s="23" t="str">
        <f aca="false">IF(ISNUMBER(C8022),MONTH(C8022),"")</f>
        <v/>
      </c>
      <c r="X8022" s="23" t="str">
        <f aca="false">IF(T8022="","",IF(T8022=0,"No discount",IF(T8022&lt;=0.2,"Low (1-20%)",IF(T8022&lt;=0.4,"Medium (21-40%)","High (&gt;40%)"))))</f>
        <v/>
      </c>
      <c r="Y8022" s="23" t="str">
        <f aca="false">IF(AND(ISNUMBER(C8022),ISNUMBER(D8022)),D8022-C8022,"")</f>
        <v/>
      </c>
      <c r="Z8022" s="23" t="str">
        <f aca="false">IF(B8022="","",IF(MATCH(B8022,$B$2:$B$12000,0)=ROW()-1,1,0))</f>
        <v/>
      </c>
    </row>
    <row r="8023" customFormat="false" ht="15" hidden="false" customHeight="false" outlineLevel="0" collapsed="false">
      <c r="V8023" s="23" t="str">
        <f aca="false">IF(ISNUMBER(C8023),YEAR(C8023),"")</f>
        <v/>
      </c>
      <c r="W8023" s="23" t="str">
        <f aca="false">IF(ISNUMBER(C8023),MONTH(C8023),"")</f>
        <v/>
      </c>
      <c r="X8023" s="23" t="str">
        <f aca="false">IF(T8023="","",IF(T8023=0,"No discount",IF(T8023&lt;=0.2,"Low (1-20%)",IF(T8023&lt;=0.4,"Medium (21-40%)","High (&gt;40%)"))))</f>
        <v/>
      </c>
      <c r="Y8023" s="23" t="str">
        <f aca="false">IF(AND(ISNUMBER(C8023),ISNUMBER(D8023)),D8023-C8023,"")</f>
        <v/>
      </c>
      <c r="Z8023" s="23" t="str">
        <f aca="false">IF(B8023="","",IF(MATCH(B8023,$B$2:$B$12000,0)=ROW()-1,1,0))</f>
        <v/>
      </c>
    </row>
    <row r="8024" customFormat="false" ht="15" hidden="false" customHeight="false" outlineLevel="0" collapsed="false">
      <c r="V8024" s="23" t="str">
        <f aca="false">IF(ISNUMBER(C8024),YEAR(C8024),"")</f>
        <v/>
      </c>
      <c r="W8024" s="23" t="str">
        <f aca="false">IF(ISNUMBER(C8024),MONTH(C8024),"")</f>
        <v/>
      </c>
      <c r="X8024" s="23" t="str">
        <f aca="false">IF(T8024="","",IF(T8024=0,"No discount",IF(T8024&lt;=0.2,"Low (1-20%)",IF(T8024&lt;=0.4,"Medium (21-40%)","High (&gt;40%)"))))</f>
        <v/>
      </c>
      <c r="Y8024" s="23" t="str">
        <f aca="false">IF(AND(ISNUMBER(C8024),ISNUMBER(D8024)),D8024-C8024,"")</f>
        <v/>
      </c>
      <c r="Z8024" s="23" t="str">
        <f aca="false">IF(B8024="","",IF(MATCH(B8024,$B$2:$B$12000,0)=ROW()-1,1,0))</f>
        <v/>
      </c>
    </row>
    <row r="8025" customFormat="false" ht="15" hidden="false" customHeight="false" outlineLevel="0" collapsed="false">
      <c r="V8025" s="23" t="str">
        <f aca="false">IF(ISNUMBER(C8025),YEAR(C8025),"")</f>
        <v/>
      </c>
      <c r="W8025" s="23" t="str">
        <f aca="false">IF(ISNUMBER(C8025),MONTH(C8025),"")</f>
        <v/>
      </c>
      <c r="X8025" s="23" t="str">
        <f aca="false">IF(T8025="","",IF(T8025=0,"No discount",IF(T8025&lt;=0.2,"Low (1-20%)",IF(T8025&lt;=0.4,"Medium (21-40%)","High (&gt;40%)"))))</f>
        <v/>
      </c>
      <c r="Y8025" s="23" t="str">
        <f aca="false">IF(AND(ISNUMBER(C8025),ISNUMBER(D8025)),D8025-C8025,"")</f>
        <v/>
      </c>
      <c r="Z8025" s="23" t="str">
        <f aca="false">IF(B8025="","",IF(MATCH(B8025,$B$2:$B$12000,0)=ROW()-1,1,0))</f>
        <v/>
      </c>
    </row>
    <row r="8026" customFormat="false" ht="15" hidden="false" customHeight="false" outlineLevel="0" collapsed="false">
      <c r="V8026" s="23" t="str">
        <f aca="false">IF(ISNUMBER(C8026),YEAR(C8026),"")</f>
        <v/>
      </c>
      <c r="W8026" s="23" t="str">
        <f aca="false">IF(ISNUMBER(C8026),MONTH(C8026),"")</f>
        <v/>
      </c>
      <c r="X8026" s="23" t="str">
        <f aca="false">IF(T8026="","",IF(T8026=0,"No discount",IF(T8026&lt;=0.2,"Low (1-20%)",IF(T8026&lt;=0.4,"Medium (21-40%)","High (&gt;40%)"))))</f>
        <v/>
      </c>
      <c r="Y8026" s="23" t="str">
        <f aca="false">IF(AND(ISNUMBER(C8026),ISNUMBER(D8026)),D8026-C8026,"")</f>
        <v/>
      </c>
      <c r="Z8026" s="23" t="str">
        <f aca="false">IF(B8026="","",IF(MATCH(B8026,$B$2:$B$12000,0)=ROW()-1,1,0))</f>
        <v/>
      </c>
    </row>
    <row r="8027" customFormat="false" ht="15" hidden="false" customHeight="false" outlineLevel="0" collapsed="false">
      <c r="V8027" s="23" t="str">
        <f aca="false">IF(ISNUMBER(C8027),YEAR(C8027),"")</f>
        <v/>
      </c>
      <c r="W8027" s="23" t="str">
        <f aca="false">IF(ISNUMBER(C8027),MONTH(C8027),"")</f>
        <v/>
      </c>
      <c r="X8027" s="23" t="str">
        <f aca="false">IF(T8027="","",IF(T8027=0,"No discount",IF(T8027&lt;=0.2,"Low (1-20%)",IF(T8027&lt;=0.4,"Medium (21-40%)","High (&gt;40%)"))))</f>
        <v/>
      </c>
      <c r="Y8027" s="23" t="str">
        <f aca="false">IF(AND(ISNUMBER(C8027),ISNUMBER(D8027)),D8027-C8027,"")</f>
        <v/>
      </c>
      <c r="Z8027" s="23" t="str">
        <f aca="false">IF(B8027="","",IF(MATCH(B8027,$B$2:$B$12000,0)=ROW()-1,1,0))</f>
        <v/>
      </c>
    </row>
    <row r="8028" customFormat="false" ht="15" hidden="false" customHeight="false" outlineLevel="0" collapsed="false">
      <c r="V8028" s="23" t="str">
        <f aca="false">IF(ISNUMBER(C8028),YEAR(C8028),"")</f>
        <v/>
      </c>
      <c r="W8028" s="23" t="str">
        <f aca="false">IF(ISNUMBER(C8028),MONTH(C8028),"")</f>
        <v/>
      </c>
      <c r="X8028" s="23" t="str">
        <f aca="false">IF(T8028="","",IF(T8028=0,"No discount",IF(T8028&lt;=0.2,"Low (1-20%)",IF(T8028&lt;=0.4,"Medium (21-40%)","High (&gt;40%)"))))</f>
        <v/>
      </c>
      <c r="Y8028" s="23" t="str">
        <f aca="false">IF(AND(ISNUMBER(C8028),ISNUMBER(D8028)),D8028-C8028,"")</f>
        <v/>
      </c>
      <c r="Z8028" s="23" t="str">
        <f aca="false">IF(B8028="","",IF(MATCH(B8028,$B$2:$B$12000,0)=ROW()-1,1,0))</f>
        <v/>
      </c>
    </row>
    <row r="8029" customFormat="false" ht="15" hidden="false" customHeight="false" outlineLevel="0" collapsed="false">
      <c r="V8029" s="23" t="str">
        <f aca="false">IF(ISNUMBER(C8029),YEAR(C8029),"")</f>
        <v/>
      </c>
      <c r="W8029" s="23" t="str">
        <f aca="false">IF(ISNUMBER(C8029),MONTH(C8029),"")</f>
        <v/>
      </c>
      <c r="X8029" s="23" t="str">
        <f aca="false">IF(T8029="","",IF(T8029=0,"No discount",IF(T8029&lt;=0.2,"Low (1-20%)",IF(T8029&lt;=0.4,"Medium (21-40%)","High (&gt;40%)"))))</f>
        <v/>
      </c>
      <c r="Y8029" s="23" t="str">
        <f aca="false">IF(AND(ISNUMBER(C8029),ISNUMBER(D8029)),D8029-C8029,"")</f>
        <v/>
      </c>
      <c r="Z8029" s="23" t="str">
        <f aca="false">IF(B8029="","",IF(MATCH(B8029,$B$2:$B$12000,0)=ROW()-1,1,0))</f>
        <v/>
      </c>
    </row>
    <row r="8030" customFormat="false" ht="15" hidden="false" customHeight="false" outlineLevel="0" collapsed="false">
      <c r="V8030" s="23" t="str">
        <f aca="false">IF(ISNUMBER(C8030),YEAR(C8030),"")</f>
        <v/>
      </c>
      <c r="W8030" s="23" t="str">
        <f aca="false">IF(ISNUMBER(C8030),MONTH(C8030),"")</f>
        <v/>
      </c>
      <c r="X8030" s="23" t="str">
        <f aca="false">IF(T8030="","",IF(T8030=0,"No discount",IF(T8030&lt;=0.2,"Low (1-20%)",IF(T8030&lt;=0.4,"Medium (21-40%)","High (&gt;40%)"))))</f>
        <v/>
      </c>
      <c r="Y8030" s="23" t="str">
        <f aca="false">IF(AND(ISNUMBER(C8030),ISNUMBER(D8030)),D8030-C8030,"")</f>
        <v/>
      </c>
      <c r="Z8030" s="23" t="str">
        <f aca="false">IF(B8030="","",IF(MATCH(B8030,$B$2:$B$12000,0)=ROW()-1,1,0))</f>
        <v/>
      </c>
    </row>
    <row r="8031" customFormat="false" ht="15" hidden="false" customHeight="false" outlineLevel="0" collapsed="false">
      <c r="V8031" s="23" t="str">
        <f aca="false">IF(ISNUMBER(C8031),YEAR(C8031),"")</f>
        <v/>
      </c>
      <c r="W8031" s="23" t="str">
        <f aca="false">IF(ISNUMBER(C8031),MONTH(C8031),"")</f>
        <v/>
      </c>
      <c r="X8031" s="23" t="str">
        <f aca="false">IF(T8031="","",IF(T8031=0,"No discount",IF(T8031&lt;=0.2,"Low (1-20%)",IF(T8031&lt;=0.4,"Medium (21-40%)","High (&gt;40%)"))))</f>
        <v/>
      </c>
      <c r="Y8031" s="23" t="str">
        <f aca="false">IF(AND(ISNUMBER(C8031),ISNUMBER(D8031)),D8031-C8031,"")</f>
        <v/>
      </c>
      <c r="Z8031" s="23" t="str">
        <f aca="false">IF(B8031="","",IF(MATCH(B8031,$B$2:$B$12000,0)=ROW()-1,1,0))</f>
        <v/>
      </c>
    </row>
    <row r="8032" customFormat="false" ht="15" hidden="false" customHeight="false" outlineLevel="0" collapsed="false">
      <c r="V8032" s="23" t="str">
        <f aca="false">IF(ISNUMBER(C8032),YEAR(C8032),"")</f>
        <v/>
      </c>
      <c r="W8032" s="23" t="str">
        <f aca="false">IF(ISNUMBER(C8032),MONTH(C8032),"")</f>
        <v/>
      </c>
      <c r="X8032" s="23" t="str">
        <f aca="false">IF(T8032="","",IF(T8032=0,"No discount",IF(T8032&lt;=0.2,"Low (1-20%)",IF(T8032&lt;=0.4,"Medium (21-40%)","High (&gt;40%)"))))</f>
        <v/>
      </c>
      <c r="Y8032" s="23" t="str">
        <f aca="false">IF(AND(ISNUMBER(C8032),ISNUMBER(D8032)),D8032-C8032,"")</f>
        <v/>
      </c>
      <c r="Z8032" s="23" t="str">
        <f aca="false">IF(B8032="","",IF(MATCH(B8032,$B$2:$B$12000,0)=ROW()-1,1,0))</f>
        <v/>
      </c>
    </row>
    <row r="8033" customFormat="false" ht="15" hidden="false" customHeight="false" outlineLevel="0" collapsed="false">
      <c r="V8033" s="23" t="str">
        <f aca="false">IF(ISNUMBER(C8033),YEAR(C8033),"")</f>
        <v/>
      </c>
      <c r="W8033" s="23" t="str">
        <f aca="false">IF(ISNUMBER(C8033),MONTH(C8033),"")</f>
        <v/>
      </c>
      <c r="X8033" s="23" t="str">
        <f aca="false">IF(T8033="","",IF(T8033=0,"No discount",IF(T8033&lt;=0.2,"Low (1-20%)",IF(T8033&lt;=0.4,"Medium (21-40%)","High (&gt;40%)"))))</f>
        <v/>
      </c>
      <c r="Y8033" s="23" t="str">
        <f aca="false">IF(AND(ISNUMBER(C8033),ISNUMBER(D8033)),D8033-C8033,"")</f>
        <v/>
      </c>
      <c r="Z8033" s="23" t="str">
        <f aca="false">IF(B8033="","",IF(MATCH(B8033,$B$2:$B$12000,0)=ROW()-1,1,0))</f>
        <v/>
      </c>
    </row>
    <row r="8034" customFormat="false" ht="15" hidden="false" customHeight="false" outlineLevel="0" collapsed="false">
      <c r="V8034" s="23" t="str">
        <f aca="false">IF(ISNUMBER(C8034),YEAR(C8034),"")</f>
        <v/>
      </c>
      <c r="W8034" s="23" t="str">
        <f aca="false">IF(ISNUMBER(C8034),MONTH(C8034),"")</f>
        <v/>
      </c>
      <c r="X8034" s="23" t="str">
        <f aca="false">IF(T8034="","",IF(T8034=0,"No discount",IF(T8034&lt;=0.2,"Low (1-20%)",IF(T8034&lt;=0.4,"Medium (21-40%)","High (&gt;40%)"))))</f>
        <v/>
      </c>
      <c r="Y8034" s="23" t="str">
        <f aca="false">IF(AND(ISNUMBER(C8034),ISNUMBER(D8034)),D8034-C8034,"")</f>
        <v/>
      </c>
      <c r="Z8034" s="23" t="str">
        <f aca="false">IF(B8034="","",IF(MATCH(B8034,$B$2:$B$12000,0)=ROW()-1,1,0))</f>
        <v/>
      </c>
    </row>
    <row r="8035" customFormat="false" ht="15" hidden="false" customHeight="false" outlineLevel="0" collapsed="false">
      <c r="V8035" s="23" t="str">
        <f aca="false">IF(ISNUMBER(C8035),YEAR(C8035),"")</f>
        <v/>
      </c>
      <c r="W8035" s="23" t="str">
        <f aca="false">IF(ISNUMBER(C8035),MONTH(C8035),"")</f>
        <v/>
      </c>
      <c r="X8035" s="23" t="str">
        <f aca="false">IF(T8035="","",IF(T8035=0,"No discount",IF(T8035&lt;=0.2,"Low (1-20%)",IF(T8035&lt;=0.4,"Medium (21-40%)","High (&gt;40%)"))))</f>
        <v/>
      </c>
      <c r="Y8035" s="23" t="str">
        <f aca="false">IF(AND(ISNUMBER(C8035),ISNUMBER(D8035)),D8035-C8035,"")</f>
        <v/>
      </c>
      <c r="Z8035" s="23" t="str">
        <f aca="false">IF(B8035="","",IF(MATCH(B8035,$B$2:$B$12000,0)=ROW()-1,1,0))</f>
        <v/>
      </c>
    </row>
    <row r="8036" customFormat="false" ht="15" hidden="false" customHeight="false" outlineLevel="0" collapsed="false">
      <c r="V8036" s="23" t="str">
        <f aca="false">IF(ISNUMBER(C8036),YEAR(C8036),"")</f>
        <v/>
      </c>
      <c r="W8036" s="23" t="str">
        <f aca="false">IF(ISNUMBER(C8036),MONTH(C8036),"")</f>
        <v/>
      </c>
      <c r="X8036" s="23" t="str">
        <f aca="false">IF(T8036="","",IF(T8036=0,"No discount",IF(T8036&lt;=0.2,"Low (1-20%)",IF(T8036&lt;=0.4,"Medium (21-40%)","High (&gt;40%)"))))</f>
        <v/>
      </c>
      <c r="Y8036" s="23" t="str">
        <f aca="false">IF(AND(ISNUMBER(C8036),ISNUMBER(D8036)),D8036-C8036,"")</f>
        <v/>
      </c>
      <c r="Z8036" s="23" t="str">
        <f aca="false">IF(B8036="","",IF(MATCH(B8036,$B$2:$B$12000,0)=ROW()-1,1,0))</f>
        <v/>
      </c>
    </row>
    <row r="8037" customFormat="false" ht="15" hidden="false" customHeight="false" outlineLevel="0" collapsed="false">
      <c r="V8037" s="23" t="str">
        <f aca="false">IF(ISNUMBER(C8037),YEAR(C8037),"")</f>
        <v/>
      </c>
      <c r="W8037" s="23" t="str">
        <f aca="false">IF(ISNUMBER(C8037),MONTH(C8037),"")</f>
        <v/>
      </c>
      <c r="X8037" s="23" t="str">
        <f aca="false">IF(T8037="","",IF(T8037=0,"No discount",IF(T8037&lt;=0.2,"Low (1-20%)",IF(T8037&lt;=0.4,"Medium (21-40%)","High (&gt;40%)"))))</f>
        <v/>
      </c>
      <c r="Y8037" s="23" t="str">
        <f aca="false">IF(AND(ISNUMBER(C8037),ISNUMBER(D8037)),D8037-C8037,"")</f>
        <v/>
      </c>
      <c r="Z8037" s="23" t="str">
        <f aca="false">IF(B8037="","",IF(MATCH(B8037,$B$2:$B$12000,0)=ROW()-1,1,0))</f>
        <v/>
      </c>
    </row>
    <row r="8038" customFormat="false" ht="15" hidden="false" customHeight="false" outlineLevel="0" collapsed="false">
      <c r="V8038" s="23" t="str">
        <f aca="false">IF(ISNUMBER(C8038),YEAR(C8038),"")</f>
        <v/>
      </c>
      <c r="W8038" s="23" t="str">
        <f aca="false">IF(ISNUMBER(C8038),MONTH(C8038),"")</f>
        <v/>
      </c>
      <c r="X8038" s="23" t="str">
        <f aca="false">IF(T8038="","",IF(T8038=0,"No discount",IF(T8038&lt;=0.2,"Low (1-20%)",IF(T8038&lt;=0.4,"Medium (21-40%)","High (&gt;40%)"))))</f>
        <v/>
      </c>
      <c r="Y8038" s="23" t="str">
        <f aca="false">IF(AND(ISNUMBER(C8038),ISNUMBER(D8038)),D8038-C8038,"")</f>
        <v/>
      </c>
      <c r="Z8038" s="23" t="str">
        <f aca="false">IF(B8038="","",IF(MATCH(B8038,$B$2:$B$12000,0)=ROW()-1,1,0))</f>
        <v/>
      </c>
    </row>
    <row r="8039" customFormat="false" ht="15" hidden="false" customHeight="false" outlineLevel="0" collapsed="false">
      <c r="V8039" s="23" t="str">
        <f aca="false">IF(ISNUMBER(C8039),YEAR(C8039),"")</f>
        <v/>
      </c>
      <c r="W8039" s="23" t="str">
        <f aca="false">IF(ISNUMBER(C8039),MONTH(C8039),"")</f>
        <v/>
      </c>
      <c r="X8039" s="23" t="str">
        <f aca="false">IF(T8039="","",IF(T8039=0,"No discount",IF(T8039&lt;=0.2,"Low (1-20%)",IF(T8039&lt;=0.4,"Medium (21-40%)","High (&gt;40%)"))))</f>
        <v/>
      </c>
      <c r="Y8039" s="23" t="str">
        <f aca="false">IF(AND(ISNUMBER(C8039),ISNUMBER(D8039)),D8039-C8039,"")</f>
        <v/>
      </c>
      <c r="Z8039" s="23" t="str">
        <f aca="false">IF(B8039="","",IF(MATCH(B8039,$B$2:$B$12000,0)=ROW()-1,1,0))</f>
        <v/>
      </c>
    </row>
    <row r="8040" customFormat="false" ht="15" hidden="false" customHeight="false" outlineLevel="0" collapsed="false">
      <c r="V8040" s="23" t="str">
        <f aca="false">IF(ISNUMBER(C8040),YEAR(C8040),"")</f>
        <v/>
      </c>
      <c r="W8040" s="23" t="str">
        <f aca="false">IF(ISNUMBER(C8040),MONTH(C8040),"")</f>
        <v/>
      </c>
      <c r="X8040" s="23" t="str">
        <f aca="false">IF(T8040="","",IF(T8040=0,"No discount",IF(T8040&lt;=0.2,"Low (1-20%)",IF(T8040&lt;=0.4,"Medium (21-40%)","High (&gt;40%)"))))</f>
        <v/>
      </c>
      <c r="Y8040" s="23" t="str">
        <f aca="false">IF(AND(ISNUMBER(C8040),ISNUMBER(D8040)),D8040-C8040,"")</f>
        <v/>
      </c>
      <c r="Z8040" s="23" t="str">
        <f aca="false">IF(B8040="","",IF(MATCH(B8040,$B$2:$B$12000,0)=ROW()-1,1,0))</f>
        <v/>
      </c>
    </row>
    <row r="8041" customFormat="false" ht="15" hidden="false" customHeight="false" outlineLevel="0" collapsed="false">
      <c r="V8041" s="23" t="str">
        <f aca="false">IF(ISNUMBER(C8041),YEAR(C8041),"")</f>
        <v/>
      </c>
      <c r="W8041" s="23" t="str">
        <f aca="false">IF(ISNUMBER(C8041),MONTH(C8041),"")</f>
        <v/>
      </c>
      <c r="X8041" s="23" t="str">
        <f aca="false">IF(T8041="","",IF(T8041=0,"No discount",IF(T8041&lt;=0.2,"Low (1-20%)",IF(T8041&lt;=0.4,"Medium (21-40%)","High (&gt;40%)"))))</f>
        <v/>
      </c>
      <c r="Y8041" s="23" t="str">
        <f aca="false">IF(AND(ISNUMBER(C8041),ISNUMBER(D8041)),D8041-C8041,"")</f>
        <v/>
      </c>
      <c r="Z8041" s="23" t="str">
        <f aca="false">IF(B8041="","",IF(MATCH(B8041,$B$2:$B$12000,0)=ROW()-1,1,0))</f>
        <v/>
      </c>
    </row>
    <row r="8042" customFormat="false" ht="15" hidden="false" customHeight="false" outlineLevel="0" collapsed="false">
      <c r="V8042" s="23" t="str">
        <f aca="false">IF(ISNUMBER(C8042),YEAR(C8042),"")</f>
        <v/>
      </c>
      <c r="W8042" s="23" t="str">
        <f aca="false">IF(ISNUMBER(C8042),MONTH(C8042),"")</f>
        <v/>
      </c>
      <c r="X8042" s="23" t="str">
        <f aca="false">IF(T8042="","",IF(T8042=0,"No discount",IF(T8042&lt;=0.2,"Low (1-20%)",IF(T8042&lt;=0.4,"Medium (21-40%)","High (&gt;40%)"))))</f>
        <v/>
      </c>
      <c r="Y8042" s="23" t="str">
        <f aca="false">IF(AND(ISNUMBER(C8042),ISNUMBER(D8042)),D8042-C8042,"")</f>
        <v/>
      </c>
      <c r="Z8042" s="23" t="str">
        <f aca="false">IF(B8042="","",IF(MATCH(B8042,$B$2:$B$12000,0)=ROW()-1,1,0))</f>
        <v/>
      </c>
    </row>
    <row r="8043" customFormat="false" ht="15" hidden="false" customHeight="false" outlineLevel="0" collapsed="false">
      <c r="V8043" s="23" t="str">
        <f aca="false">IF(ISNUMBER(C8043),YEAR(C8043),"")</f>
        <v/>
      </c>
      <c r="W8043" s="23" t="str">
        <f aca="false">IF(ISNUMBER(C8043),MONTH(C8043),"")</f>
        <v/>
      </c>
      <c r="X8043" s="23" t="str">
        <f aca="false">IF(T8043="","",IF(T8043=0,"No discount",IF(T8043&lt;=0.2,"Low (1-20%)",IF(T8043&lt;=0.4,"Medium (21-40%)","High (&gt;40%)"))))</f>
        <v/>
      </c>
      <c r="Y8043" s="23" t="str">
        <f aca="false">IF(AND(ISNUMBER(C8043),ISNUMBER(D8043)),D8043-C8043,"")</f>
        <v/>
      </c>
      <c r="Z8043" s="23" t="str">
        <f aca="false">IF(B8043="","",IF(MATCH(B8043,$B$2:$B$12000,0)=ROW()-1,1,0))</f>
        <v/>
      </c>
    </row>
    <row r="8044" customFormat="false" ht="15" hidden="false" customHeight="false" outlineLevel="0" collapsed="false">
      <c r="V8044" s="23" t="str">
        <f aca="false">IF(ISNUMBER(C8044),YEAR(C8044),"")</f>
        <v/>
      </c>
      <c r="W8044" s="23" t="str">
        <f aca="false">IF(ISNUMBER(C8044),MONTH(C8044),"")</f>
        <v/>
      </c>
      <c r="X8044" s="23" t="str">
        <f aca="false">IF(T8044="","",IF(T8044=0,"No discount",IF(T8044&lt;=0.2,"Low (1-20%)",IF(T8044&lt;=0.4,"Medium (21-40%)","High (&gt;40%)"))))</f>
        <v/>
      </c>
      <c r="Y8044" s="23" t="str">
        <f aca="false">IF(AND(ISNUMBER(C8044),ISNUMBER(D8044)),D8044-C8044,"")</f>
        <v/>
      </c>
      <c r="Z8044" s="23" t="str">
        <f aca="false">IF(B8044="","",IF(MATCH(B8044,$B$2:$B$12000,0)=ROW()-1,1,0))</f>
        <v/>
      </c>
    </row>
    <row r="8045" customFormat="false" ht="15" hidden="false" customHeight="false" outlineLevel="0" collapsed="false">
      <c r="V8045" s="23" t="str">
        <f aca="false">IF(ISNUMBER(C8045),YEAR(C8045),"")</f>
        <v/>
      </c>
      <c r="W8045" s="23" t="str">
        <f aca="false">IF(ISNUMBER(C8045),MONTH(C8045),"")</f>
        <v/>
      </c>
      <c r="X8045" s="23" t="str">
        <f aca="false">IF(T8045="","",IF(T8045=0,"No discount",IF(T8045&lt;=0.2,"Low (1-20%)",IF(T8045&lt;=0.4,"Medium (21-40%)","High (&gt;40%)"))))</f>
        <v/>
      </c>
      <c r="Y8045" s="23" t="str">
        <f aca="false">IF(AND(ISNUMBER(C8045),ISNUMBER(D8045)),D8045-C8045,"")</f>
        <v/>
      </c>
      <c r="Z8045" s="23" t="str">
        <f aca="false">IF(B8045="","",IF(MATCH(B8045,$B$2:$B$12000,0)=ROW()-1,1,0))</f>
        <v/>
      </c>
    </row>
    <row r="8046" customFormat="false" ht="15" hidden="false" customHeight="false" outlineLevel="0" collapsed="false">
      <c r="V8046" s="23" t="str">
        <f aca="false">IF(ISNUMBER(C8046),YEAR(C8046),"")</f>
        <v/>
      </c>
      <c r="W8046" s="23" t="str">
        <f aca="false">IF(ISNUMBER(C8046),MONTH(C8046),"")</f>
        <v/>
      </c>
      <c r="X8046" s="23" t="str">
        <f aca="false">IF(T8046="","",IF(T8046=0,"No discount",IF(T8046&lt;=0.2,"Low (1-20%)",IF(T8046&lt;=0.4,"Medium (21-40%)","High (&gt;40%)"))))</f>
        <v/>
      </c>
      <c r="Y8046" s="23" t="str">
        <f aca="false">IF(AND(ISNUMBER(C8046),ISNUMBER(D8046)),D8046-C8046,"")</f>
        <v/>
      </c>
      <c r="Z8046" s="23" t="str">
        <f aca="false">IF(B8046="","",IF(MATCH(B8046,$B$2:$B$12000,0)=ROW()-1,1,0))</f>
        <v/>
      </c>
    </row>
    <row r="8047" customFormat="false" ht="15" hidden="false" customHeight="false" outlineLevel="0" collapsed="false">
      <c r="V8047" s="23" t="str">
        <f aca="false">IF(ISNUMBER(C8047),YEAR(C8047),"")</f>
        <v/>
      </c>
      <c r="W8047" s="23" t="str">
        <f aca="false">IF(ISNUMBER(C8047),MONTH(C8047),"")</f>
        <v/>
      </c>
      <c r="X8047" s="23" t="str">
        <f aca="false">IF(T8047="","",IF(T8047=0,"No discount",IF(T8047&lt;=0.2,"Low (1-20%)",IF(T8047&lt;=0.4,"Medium (21-40%)","High (&gt;40%)"))))</f>
        <v/>
      </c>
      <c r="Y8047" s="23" t="str">
        <f aca="false">IF(AND(ISNUMBER(C8047),ISNUMBER(D8047)),D8047-C8047,"")</f>
        <v/>
      </c>
      <c r="Z8047" s="23" t="str">
        <f aca="false">IF(B8047="","",IF(MATCH(B8047,$B$2:$B$12000,0)=ROW()-1,1,0))</f>
        <v/>
      </c>
    </row>
    <row r="8048" customFormat="false" ht="15" hidden="false" customHeight="false" outlineLevel="0" collapsed="false">
      <c r="V8048" s="23" t="str">
        <f aca="false">IF(ISNUMBER(C8048),YEAR(C8048),"")</f>
        <v/>
      </c>
      <c r="W8048" s="23" t="str">
        <f aca="false">IF(ISNUMBER(C8048),MONTH(C8048),"")</f>
        <v/>
      </c>
      <c r="X8048" s="23" t="str">
        <f aca="false">IF(T8048="","",IF(T8048=0,"No discount",IF(T8048&lt;=0.2,"Low (1-20%)",IF(T8048&lt;=0.4,"Medium (21-40%)","High (&gt;40%)"))))</f>
        <v/>
      </c>
      <c r="Y8048" s="23" t="str">
        <f aca="false">IF(AND(ISNUMBER(C8048),ISNUMBER(D8048)),D8048-C8048,"")</f>
        <v/>
      </c>
      <c r="Z8048" s="23" t="str">
        <f aca="false">IF(B8048="","",IF(MATCH(B8048,$B$2:$B$12000,0)=ROW()-1,1,0))</f>
        <v/>
      </c>
    </row>
    <row r="8049" customFormat="false" ht="15" hidden="false" customHeight="false" outlineLevel="0" collapsed="false">
      <c r="V8049" s="23" t="str">
        <f aca="false">IF(ISNUMBER(C8049),YEAR(C8049),"")</f>
        <v/>
      </c>
      <c r="W8049" s="23" t="str">
        <f aca="false">IF(ISNUMBER(C8049),MONTH(C8049),"")</f>
        <v/>
      </c>
      <c r="X8049" s="23" t="str">
        <f aca="false">IF(T8049="","",IF(T8049=0,"No discount",IF(T8049&lt;=0.2,"Low (1-20%)",IF(T8049&lt;=0.4,"Medium (21-40%)","High (&gt;40%)"))))</f>
        <v/>
      </c>
      <c r="Y8049" s="23" t="str">
        <f aca="false">IF(AND(ISNUMBER(C8049),ISNUMBER(D8049)),D8049-C8049,"")</f>
        <v/>
      </c>
      <c r="Z8049" s="23" t="str">
        <f aca="false">IF(B8049="","",IF(MATCH(B8049,$B$2:$B$12000,0)=ROW()-1,1,0))</f>
        <v/>
      </c>
    </row>
    <row r="8050" customFormat="false" ht="15" hidden="false" customHeight="false" outlineLevel="0" collapsed="false">
      <c r="V8050" s="23" t="str">
        <f aca="false">IF(ISNUMBER(C8050),YEAR(C8050),"")</f>
        <v/>
      </c>
      <c r="W8050" s="23" t="str">
        <f aca="false">IF(ISNUMBER(C8050),MONTH(C8050),"")</f>
        <v/>
      </c>
      <c r="X8050" s="23" t="str">
        <f aca="false">IF(T8050="","",IF(T8050=0,"No discount",IF(T8050&lt;=0.2,"Low (1-20%)",IF(T8050&lt;=0.4,"Medium (21-40%)","High (&gt;40%)"))))</f>
        <v/>
      </c>
      <c r="Y8050" s="23" t="str">
        <f aca="false">IF(AND(ISNUMBER(C8050),ISNUMBER(D8050)),D8050-C8050,"")</f>
        <v/>
      </c>
      <c r="Z8050" s="23" t="str">
        <f aca="false">IF(B8050="","",IF(MATCH(B8050,$B$2:$B$12000,0)=ROW()-1,1,0))</f>
        <v/>
      </c>
    </row>
    <row r="8051" customFormat="false" ht="15" hidden="false" customHeight="false" outlineLevel="0" collapsed="false">
      <c r="V8051" s="23" t="str">
        <f aca="false">IF(ISNUMBER(C8051),YEAR(C8051),"")</f>
        <v/>
      </c>
      <c r="W8051" s="23" t="str">
        <f aca="false">IF(ISNUMBER(C8051),MONTH(C8051),"")</f>
        <v/>
      </c>
      <c r="X8051" s="23" t="str">
        <f aca="false">IF(T8051="","",IF(T8051=0,"No discount",IF(T8051&lt;=0.2,"Low (1-20%)",IF(T8051&lt;=0.4,"Medium (21-40%)","High (&gt;40%)"))))</f>
        <v/>
      </c>
      <c r="Y8051" s="23" t="str">
        <f aca="false">IF(AND(ISNUMBER(C8051),ISNUMBER(D8051)),D8051-C8051,"")</f>
        <v/>
      </c>
      <c r="Z8051" s="23" t="str">
        <f aca="false">IF(B8051="","",IF(MATCH(B8051,$B$2:$B$12000,0)=ROW()-1,1,0))</f>
        <v/>
      </c>
    </row>
    <row r="8052" customFormat="false" ht="15" hidden="false" customHeight="false" outlineLevel="0" collapsed="false">
      <c r="V8052" s="23" t="str">
        <f aca="false">IF(ISNUMBER(C8052),YEAR(C8052),"")</f>
        <v/>
      </c>
      <c r="W8052" s="23" t="str">
        <f aca="false">IF(ISNUMBER(C8052),MONTH(C8052),"")</f>
        <v/>
      </c>
      <c r="X8052" s="23" t="str">
        <f aca="false">IF(T8052="","",IF(T8052=0,"No discount",IF(T8052&lt;=0.2,"Low (1-20%)",IF(T8052&lt;=0.4,"Medium (21-40%)","High (&gt;40%)"))))</f>
        <v/>
      </c>
      <c r="Y8052" s="23" t="str">
        <f aca="false">IF(AND(ISNUMBER(C8052),ISNUMBER(D8052)),D8052-C8052,"")</f>
        <v/>
      </c>
      <c r="Z8052" s="23" t="str">
        <f aca="false">IF(B8052="","",IF(MATCH(B8052,$B$2:$B$12000,0)=ROW()-1,1,0))</f>
        <v/>
      </c>
    </row>
    <row r="8053" customFormat="false" ht="15" hidden="false" customHeight="false" outlineLevel="0" collapsed="false">
      <c r="V8053" s="23" t="str">
        <f aca="false">IF(ISNUMBER(C8053),YEAR(C8053),"")</f>
        <v/>
      </c>
      <c r="W8053" s="23" t="str">
        <f aca="false">IF(ISNUMBER(C8053),MONTH(C8053),"")</f>
        <v/>
      </c>
      <c r="X8053" s="23" t="str">
        <f aca="false">IF(T8053="","",IF(T8053=0,"No discount",IF(T8053&lt;=0.2,"Low (1-20%)",IF(T8053&lt;=0.4,"Medium (21-40%)","High (&gt;40%)"))))</f>
        <v/>
      </c>
      <c r="Y8053" s="23" t="str">
        <f aca="false">IF(AND(ISNUMBER(C8053),ISNUMBER(D8053)),D8053-C8053,"")</f>
        <v/>
      </c>
      <c r="Z8053" s="23" t="str">
        <f aca="false">IF(B8053="","",IF(MATCH(B8053,$B$2:$B$12000,0)=ROW()-1,1,0))</f>
        <v/>
      </c>
    </row>
    <row r="8054" customFormat="false" ht="15" hidden="false" customHeight="false" outlineLevel="0" collapsed="false">
      <c r="V8054" s="23" t="str">
        <f aca="false">IF(ISNUMBER(C8054),YEAR(C8054),"")</f>
        <v/>
      </c>
      <c r="W8054" s="23" t="str">
        <f aca="false">IF(ISNUMBER(C8054),MONTH(C8054),"")</f>
        <v/>
      </c>
      <c r="X8054" s="23" t="str">
        <f aca="false">IF(T8054="","",IF(T8054=0,"No discount",IF(T8054&lt;=0.2,"Low (1-20%)",IF(T8054&lt;=0.4,"Medium (21-40%)","High (&gt;40%)"))))</f>
        <v/>
      </c>
      <c r="Y8054" s="23" t="str">
        <f aca="false">IF(AND(ISNUMBER(C8054),ISNUMBER(D8054)),D8054-C8054,"")</f>
        <v/>
      </c>
      <c r="Z8054" s="23" t="str">
        <f aca="false">IF(B8054="","",IF(MATCH(B8054,$B$2:$B$12000,0)=ROW()-1,1,0))</f>
        <v/>
      </c>
    </row>
    <row r="8055" customFormat="false" ht="15" hidden="false" customHeight="false" outlineLevel="0" collapsed="false">
      <c r="V8055" s="23" t="str">
        <f aca="false">IF(ISNUMBER(C8055),YEAR(C8055),"")</f>
        <v/>
      </c>
      <c r="W8055" s="23" t="str">
        <f aca="false">IF(ISNUMBER(C8055),MONTH(C8055),"")</f>
        <v/>
      </c>
      <c r="X8055" s="23" t="str">
        <f aca="false">IF(T8055="","",IF(T8055=0,"No discount",IF(T8055&lt;=0.2,"Low (1-20%)",IF(T8055&lt;=0.4,"Medium (21-40%)","High (&gt;40%)"))))</f>
        <v/>
      </c>
      <c r="Y8055" s="23" t="str">
        <f aca="false">IF(AND(ISNUMBER(C8055),ISNUMBER(D8055)),D8055-C8055,"")</f>
        <v/>
      </c>
      <c r="Z8055" s="23" t="str">
        <f aca="false">IF(B8055="","",IF(MATCH(B8055,$B$2:$B$12000,0)=ROW()-1,1,0))</f>
        <v/>
      </c>
    </row>
    <row r="8056" customFormat="false" ht="15" hidden="false" customHeight="false" outlineLevel="0" collapsed="false">
      <c r="V8056" s="23" t="str">
        <f aca="false">IF(ISNUMBER(C8056),YEAR(C8056),"")</f>
        <v/>
      </c>
      <c r="W8056" s="23" t="str">
        <f aca="false">IF(ISNUMBER(C8056),MONTH(C8056),"")</f>
        <v/>
      </c>
      <c r="X8056" s="23" t="str">
        <f aca="false">IF(T8056="","",IF(T8056=0,"No discount",IF(T8056&lt;=0.2,"Low (1-20%)",IF(T8056&lt;=0.4,"Medium (21-40%)","High (&gt;40%)"))))</f>
        <v/>
      </c>
      <c r="Y8056" s="23" t="str">
        <f aca="false">IF(AND(ISNUMBER(C8056),ISNUMBER(D8056)),D8056-C8056,"")</f>
        <v/>
      </c>
      <c r="Z8056" s="23" t="str">
        <f aca="false">IF(B8056="","",IF(MATCH(B8056,$B$2:$B$12000,0)=ROW()-1,1,0))</f>
        <v/>
      </c>
    </row>
    <row r="8057" customFormat="false" ht="15" hidden="false" customHeight="false" outlineLevel="0" collapsed="false">
      <c r="V8057" s="23" t="str">
        <f aca="false">IF(ISNUMBER(C8057),YEAR(C8057),"")</f>
        <v/>
      </c>
      <c r="W8057" s="23" t="str">
        <f aca="false">IF(ISNUMBER(C8057),MONTH(C8057),"")</f>
        <v/>
      </c>
      <c r="X8057" s="23" t="str">
        <f aca="false">IF(T8057="","",IF(T8057=0,"No discount",IF(T8057&lt;=0.2,"Low (1-20%)",IF(T8057&lt;=0.4,"Medium (21-40%)","High (&gt;40%)"))))</f>
        <v/>
      </c>
      <c r="Y8057" s="23" t="str">
        <f aca="false">IF(AND(ISNUMBER(C8057),ISNUMBER(D8057)),D8057-C8057,"")</f>
        <v/>
      </c>
      <c r="Z8057" s="23" t="str">
        <f aca="false">IF(B8057="","",IF(MATCH(B8057,$B$2:$B$12000,0)=ROW()-1,1,0))</f>
        <v/>
      </c>
    </row>
    <row r="8058" customFormat="false" ht="15" hidden="false" customHeight="false" outlineLevel="0" collapsed="false">
      <c r="V8058" s="23" t="str">
        <f aca="false">IF(ISNUMBER(C8058),YEAR(C8058),"")</f>
        <v/>
      </c>
      <c r="W8058" s="23" t="str">
        <f aca="false">IF(ISNUMBER(C8058),MONTH(C8058),"")</f>
        <v/>
      </c>
      <c r="X8058" s="23" t="str">
        <f aca="false">IF(T8058="","",IF(T8058=0,"No discount",IF(T8058&lt;=0.2,"Low (1-20%)",IF(T8058&lt;=0.4,"Medium (21-40%)","High (&gt;40%)"))))</f>
        <v/>
      </c>
      <c r="Y8058" s="23" t="str">
        <f aca="false">IF(AND(ISNUMBER(C8058),ISNUMBER(D8058)),D8058-C8058,"")</f>
        <v/>
      </c>
      <c r="Z8058" s="23" t="str">
        <f aca="false">IF(B8058="","",IF(MATCH(B8058,$B$2:$B$12000,0)=ROW()-1,1,0))</f>
        <v/>
      </c>
    </row>
    <row r="8059" customFormat="false" ht="15" hidden="false" customHeight="false" outlineLevel="0" collapsed="false">
      <c r="V8059" s="23" t="str">
        <f aca="false">IF(ISNUMBER(C8059),YEAR(C8059),"")</f>
        <v/>
      </c>
      <c r="W8059" s="23" t="str">
        <f aca="false">IF(ISNUMBER(C8059),MONTH(C8059),"")</f>
        <v/>
      </c>
      <c r="X8059" s="23" t="str">
        <f aca="false">IF(T8059="","",IF(T8059=0,"No discount",IF(T8059&lt;=0.2,"Low (1-20%)",IF(T8059&lt;=0.4,"Medium (21-40%)","High (&gt;40%)"))))</f>
        <v/>
      </c>
      <c r="Y8059" s="23" t="str">
        <f aca="false">IF(AND(ISNUMBER(C8059),ISNUMBER(D8059)),D8059-C8059,"")</f>
        <v/>
      </c>
      <c r="Z8059" s="23" t="str">
        <f aca="false">IF(B8059="","",IF(MATCH(B8059,$B$2:$B$12000,0)=ROW()-1,1,0))</f>
        <v/>
      </c>
    </row>
    <row r="8060" customFormat="false" ht="15" hidden="false" customHeight="false" outlineLevel="0" collapsed="false">
      <c r="V8060" s="23" t="str">
        <f aca="false">IF(ISNUMBER(C8060),YEAR(C8060),"")</f>
        <v/>
      </c>
      <c r="W8060" s="23" t="str">
        <f aca="false">IF(ISNUMBER(C8060),MONTH(C8060),"")</f>
        <v/>
      </c>
      <c r="X8060" s="23" t="str">
        <f aca="false">IF(T8060="","",IF(T8060=0,"No discount",IF(T8060&lt;=0.2,"Low (1-20%)",IF(T8060&lt;=0.4,"Medium (21-40%)","High (&gt;40%)"))))</f>
        <v/>
      </c>
      <c r="Y8060" s="23" t="str">
        <f aca="false">IF(AND(ISNUMBER(C8060),ISNUMBER(D8060)),D8060-C8060,"")</f>
        <v/>
      </c>
      <c r="Z8060" s="23" t="str">
        <f aca="false">IF(B8060="","",IF(MATCH(B8060,$B$2:$B$12000,0)=ROW()-1,1,0))</f>
        <v/>
      </c>
    </row>
    <row r="8061" customFormat="false" ht="15" hidden="false" customHeight="false" outlineLevel="0" collapsed="false">
      <c r="V8061" s="23" t="str">
        <f aca="false">IF(ISNUMBER(C8061),YEAR(C8061),"")</f>
        <v/>
      </c>
      <c r="W8061" s="23" t="str">
        <f aca="false">IF(ISNUMBER(C8061),MONTH(C8061),"")</f>
        <v/>
      </c>
      <c r="X8061" s="23" t="str">
        <f aca="false">IF(T8061="","",IF(T8061=0,"No discount",IF(T8061&lt;=0.2,"Low (1-20%)",IF(T8061&lt;=0.4,"Medium (21-40%)","High (&gt;40%)"))))</f>
        <v/>
      </c>
      <c r="Y8061" s="23" t="str">
        <f aca="false">IF(AND(ISNUMBER(C8061),ISNUMBER(D8061)),D8061-C8061,"")</f>
        <v/>
      </c>
      <c r="Z8061" s="23" t="str">
        <f aca="false">IF(B8061="","",IF(MATCH(B8061,$B$2:$B$12000,0)=ROW()-1,1,0))</f>
        <v/>
      </c>
    </row>
    <row r="8062" customFormat="false" ht="15" hidden="false" customHeight="false" outlineLevel="0" collapsed="false">
      <c r="V8062" s="23" t="str">
        <f aca="false">IF(ISNUMBER(C8062),YEAR(C8062),"")</f>
        <v/>
      </c>
      <c r="W8062" s="23" t="str">
        <f aca="false">IF(ISNUMBER(C8062),MONTH(C8062),"")</f>
        <v/>
      </c>
      <c r="X8062" s="23" t="str">
        <f aca="false">IF(T8062="","",IF(T8062=0,"No discount",IF(T8062&lt;=0.2,"Low (1-20%)",IF(T8062&lt;=0.4,"Medium (21-40%)","High (&gt;40%)"))))</f>
        <v/>
      </c>
      <c r="Y8062" s="23" t="str">
        <f aca="false">IF(AND(ISNUMBER(C8062),ISNUMBER(D8062)),D8062-C8062,"")</f>
        <v/>
      </c>
      <c r="Z8062" s="23" t="str">
        <f aca="false">IF(B8062="","",IF(MATCH(B8062,$B$2:$B$12000,0)=ROW()-1,1,0))</f>
        <v/>
      </c>
    </row>
    <row r="8063" customFormat="false" ht="15" hidden="false" customHeight="false" outlineLevel="0" collapsed="false">
      <c r="V8063" s="23" t="str">
        <f aca="false">IF(ISNUMBER(C8063),YEAR(C8063),"")</f>
        <v/>
      </c>
      <c r="W8063" s="23" t="str">
        <f aca="false">IF(ISNUMBER(C8063),MONTH(C8063),"")</f>
        <v/>
      </c>
      <c r="X8063" s="23" t="str">
        <f aca="false">IF(T8063="","",IF(T8063=0,"No discount",IF(T8063&lt;=0.2,"Low (1-20%)",IF(T8063&lt;=0.4,"Medium (21-40%)","High (&gt;40%)"))))</f>
        <v/>
      </c>
      <c r="Y8063" s="23" t="str">
        <f aca="false">IF(AND(ISNUMBER(C8063),ISNUMBER(D8063)),D8063-C8063,"")</f>
        <v/>
      </c>
      <c r="Z8063" s="23" t="str">
        <f aca="false">IF(B8063="","",IF(MATCH(B8063,$B$2:$B$12000,0)=ROW()-1,1,0))</f>
        <v/>
      </c>
    </row>
    <row r="8064" customFormat="false" ht="15" hidden="false" customHeight="false" outlineLevel="0" collapsed="false">
      <c r="V8064" s="23" t="str">
        <f aca="false">IF(ISNUMBER(C8064),YEAR(C8064),"")</f>
        <v/>
      </c>
      <c r="W8064" s="23" t="str">
        <f aca="false">IF(ISNUMBER(C8064),MONTH(C8064),"")</f>
        <v/>
      </c>
      <c r="X8064" s="23" t="str">
        <f aca="false">IF(T8064="","",IF(T8064=0,"No discount",IF(T8064&lt;=0.2,"Low (1-20%)",IF(T8064&lt;=0.4,"Medium (21-40%)","High (&gt;40%)"))))</f>
        <v/>
      </c>
      <c r="Y8064" s="23" t="str">
        <f aca="false">IF(AND(ISNUMBER(C8064),ISNUMBER(D8064)),D8064-C8064,"")</f>
        <v/>
      </c>
      <c r="Z8064" s="23" t="str">
        <f aca="false">IF(B8064="","",IF(MATCH(B8064,$B$2:$B$12000,0)=ROW()-1,1,0))</f>
        <v/>
      </c>
    </row>
    <row r="8065" customFormat="false" ht="15" hidden="false" customHeight="false" outlineLevel="0" collapsed="false">
      <c r="V8065" s="23" t="str">
        <f aca="false">IF(ISNUMBER(C8065),YEAR(C8065),"")</f>
        <v/>
      </c>
      <c r="W8065" s="23" t="str">
        <f aca="false">IF(ISNUMBER(C8065),MONTH(C8065),"")</f>
        <v/>
      </c>
      <c r="X8065" s="23" t="str">
        <f aca="false">IF(T8065="","",IF(T8065=0,"No discount",IF(T8065&lt;=0.2,"Low (1-20%)",IF(T8065&lt;=0.4,"Medium (21-40%)","High (&gt;40%)"))))</f>
        <v/>
      </c>
      <c r="Y8065" s="23" t="str">
        <f aca="false">IF(AND(ISNUMBER(C8065),ISNUMBER(D8065)),D8065-C8065,"")</f>
        <v/>
      </c>
      <c r="Z8065" s="23" t="str">
        <f aca="false">IF(B8065="","",IF(MATCH(B8065,$B$2:$B$12000,0)=ROW()-1,1,0))</f>
        <v/>
      </c>
    </row>
    <row r="8066" customFormat="false" ht="15" hidden="false" customHeight="false" outlineLevel="0" collapsed="false">
      <c r="V8066" s="23" t="str">
        <f aca="false">IF(ISNUMBER(C8066),YEAR(C8066),"")</f>
        <v/>
      </c>
      <c r="W8066" s="23" t="str">
        <f aca="false">IF(ISNUMBER(C8066),MONTH(C8066),"")</f>
        <v/>
      </c>
      <c r="X8066" s="23" t="str">
        <f aca="false">IF(T8066="","",IF(T8066=0,"No discount",IF(T8066&lt;=0.2,"Low (1-20%)",IF(T8066&lt;=0.4,"Medium (21-40%)","High (&gt;40%)"))))</f>
        <v/>
      </c>
      <c r="Y8066" s="23" t="str">
        <f aca="false">IF(AND(ISNUMBER(C8066),ISNUMBER(D8066)),D8066-C8066,"")</f>
        <v/>
      </c>
      <c r="Z8066" s="23" t="str">
        <f aca="false">IF(B8066="","",IF(MATCH(B8066,$B$2:$B$12000,0)=ROW()-1,1,0))</f>
        <v/>
      </c>
    </row>
    <row r="8067" customFormat="false" ht="15" hidden="false" customHeight="false" outlineLevel="0" collapsed="false">
      <c r="V8067" s="23" t="str">
        <f aca="false">IF(ISNUMBER(C8067),YEAR(C8067),"")</f>
        <v/>
      </c>
      <c r="W8067" s="23" t="str">
        <f aca="false">IF(ISNUMBER(C8067),MONTH(C8067),"")</f>
        <v/>
      </c>
      <c r="X8067" s="23" t="str">
        <f aca="false">IF(T8067="","",IF(T8067=0,"No discount",IF(T8067&lt;=0.2,"Low (1-20%)",IF(T8067&lt;=0.4,"Medium (21-40%)","High (&gt;40%)"))))</f>
        <v/>
      </c>
      <c r="Y8067" s="23" t="str">
        <f aca="false">IF(AND(ISNUMBER(C8067),ISNUMBER(D8067)),D8067-C8067,"")</f>
        <v/>
      </c>
      <c r="Z8067" s="23" t="str">
        <f aca="false">IF(B8067="","",IF(MATCH(B8067,$B$2:$B$12000,0)=ROW()-1,1,0))</f>
        <v/>
      </c>
    </row>
    <row r="8068" customFormat="false" ht="15" hidden="false" customHeight="false" outlineLevel="0" collapsed="false">
      <c r="V8068" s="23" t="str">
        <f aca="false">IF(ISNUMBER(C8068),YEAR(C8068),"")</f>
        <v/>
      </c>
      <c r="W8068" s="23" t="str">
        <f aca="false">IF(ISNUMBER(C8068),MONTH(C8068),"")</f>
        <v/>
      </c>
      <c r="X8068" s="23" t="str">
        <f aca="false">IF(T8068="","",IF(T8068=0,"No discount",IF(T8068&lt;=0.2,"Low (1-20%)",IF(T8068&lt;=0.4,"Medium (21-40%)","High (&gt;40%)"))))</f>
        <v/>
      </c>
      <c r="Y8068" s="23" t="str">
        <f aca="false">IF(AND(ISNUMBER(C8068),ISNUMBER(D8068)),D8068-C8068,"")</f>
        <v/>
      </c>
      <c r="Z8068" s="23" t="str">
        <f aca="false">IF(B8068="","",IF(MATCH(B8068,$B$2:$B$12000,0)=ROW()-1,1,0))</f>
        <v/>
      </c>
    </row>
    <row r="8069" customFormat="false" ht="15" hidden="false" customHeight="false" outlineLevel="0" collapsed="false">
      <c r="V8069" s="23" t="str">
        <f aca="false">IF(ISNUMBER(C8069),YEAR(C8069),"")</f>
        <v/>
      </c>
      <c r="W8069" s="23" t="str">
        <f aca="false">IF(ISNUMBER(C8069),MONTH(C8069),"")</f>
        <v/>
      </c>
      <c r="X8069" s="23" t="str">
        <f aca="false">IF(T8069="","",IF(T8069=0,"No discount",IF(T8069&lt;=0.2,"Low (1-20%)",IF(T8069&lt;=0.4,"Medium (21-40%)","High (&gt;40%)"))))</f>
        <v/>
      </c>
      <c r="Y8069" s="23" t="str">
        <f aca="false">IF(AND(ISNUMBER(C8069),ISNUMBER(D8069)),D8069-C8069,"")</f>
        <v/>
      </c>
      <c r="Z8069" s="23" t="str">
        <f aca="false">IF(B8069="","",IF(MATCH(B8069,$B$2:$B$12000,0)=ROW()-1,1,0))</f>
        <v/>
      </c>
    </row>
    <row r="8070" customFormat="false" ht="15" hidden="false" customHeight="false" outlineLevel="0" collapsed="false">
      <c r="V8070" s="23" t="str">
        <f aca="false">IF(ISNUMBER(C8070),YEAR(C8070),"")</f>
        <v/>
      </c>
      <c r="W8070" s="23" t="str">
        <f aca="false">IF(ISNUMBER(C8070),MONTH(C8070),"")</f>
        <v/>
      </c>
      <c r="X8070" s="23" t="str">
        <f aca="false">IF(T8070="","",IF(T8070=0,"No discount",IF(T8070&lt;=0.2,"Low (1-20%)",IF(T8070&lt;=0.4,"Medium (21-40%)","High (&gt;40%)"))))</f>
        <v/>
      </c>
      <c r="Y8070" s="23" t="str">
        <f aca="false">IF(AND(ISNUMBER(C8070),ISNUMBER(D8070)),D8070-C8070,"")</f>
        <v/>
      </c>
      <c r="Z8070" s="23" t="str">
        <f aca="false">IF(B8070="","",IF(MATCH(B8070,$B$2:$B$12000,0)=ROW()-1,1,0))</f>
        <v/>
      </c>
    </row>
    <row r="8071" customFormat="false" ht="15" hidden="false" customHeight="false" outlineLevel="0" collapsed="false">
      <c r="V8071" s="23" t="str">
        <f aca="false">IF(ISNUMBER(C8071),YEAR(C8071),"")</f>
        <v/>
      </c>
      <c r="W8071" s="23" t="str">
        <f aca="false">IF(ISNUMBER(C8071),MONTH(C8071),"")</f>
        <v/>
      </c>
      <c r="X8071" s="23" t="str">
        <f aca="false">IF(T8071="","",IF(T8071=0,"No discount",IF(T8071&lt;=0.2,"Low (1-20%)",IF(T8071&lt;=0.4,"Medium (21-40%)","High (&gt;40%)"))))</f>
        <v/>
      </c>
      <c r="Y8071" s="23" t="str">
        <f aca="false">IF(AND(ISNUMBER(C8071),ISNUMBER(D8071)),D8071-C8071,"")</f>
        <v/>
      </c>
      <c r="Z8071" s="23" t="str">
        <f aca="false">IF(B8071="","",IF(MATCH(B8071,$B$2:$B$12000,0)=ROW()-1,1,0))</f>
        <v/>
      </c>
    </row>
    <row r="8072" customFormat="false" ht="15" hidden="false" customHeight="false" outlineLevel="0" collapsed="false">
      <c r="V8072" s="23" t="str">
        <f aca="false">IF(ISNUMBER(C8072),YEAR(C8072),"")</f>
        <v/>
      </c>
      <c r="W8072" s="23" t="str">
        <f aca="false">IF(ISNUMBER(C8072),MONTH(C8072),"")</f>
        <v/>
      </c>
      <c r="X8072" s="23" t="str">
        <f aca="false">IF(T8072="","",IF(T8072=0,"No discount",IF(T8072&lt;=0.2,"Low (1-20%)",IF(T8072&lt;=0.4,"Medium (21-40%)","High (&gt;40%)"))))</f>
        <v/>
      </c>
      <c r="Y8072" s="23" t="str">
        <f aca="false">IF(AND(ISNUMBER(C8072),ISNUMBER(D8072)),D8072-C8072,"")</f>
        <v/>
      </c>
      <c r="Z8072" s="23" t="str">
        <f aca="false">IF(B8072="","",IF(MATCH(B8072,$B$2:$B$12000,0)=ROW()-1,1,0))</f>
        <v/>
      </c>
    </row>
    <row r="8073" customFormat="false" ht="15" hidden="false" customHeight="false" outlineLevel="0" collapsed="false">
      <c r="V8073" s="23" t="str">
        <f aca="false">IF(ISNUMBER(C8073),YEAR(C8073),"")</f>
        <v/>
      </c>
      <c r="W8073" s="23" t="str">
        <f aca="false">IF(ISNUMBER(C8073),MONTH(C8073),"")</f>
        <v/>
      </c>
      <c r="X8073" s="23" t="str">
        <f aca="false">IF(T8073="","",IF(T8073=0,"No discount",IF(T8073&lt;=0.2,"Low (1-20%)",IF(T8073&lt;=0.4,"Medium (21-40%)","High (&gt;40%)"))))</f>
        <v/>
      </c>
      <c r="Y8073" s="23" t="str">
        <f aca="false">IF(AND(ISNUMBER(C8073),ISNUMBER(D8073)),D8073-C8073,"")</f>
        <v/>
      </c>
      <c r="Z8073" s="23" t="str">
        <f aca="false">IF(B8073="","",IF(MATCH(B8073,$B$2:$B$12000,0)=ROW()-1,1,0))</f>
        <v/>
      </c>
    </row>
    <row r="8074" customFormat="false" ht="15" hidden="false" customHeight="false" outlineLevel="0" collapsed="false">
      <c r="V8074" s="23" t="str">
        <f aca="false">IF(ISNUMBER(C8074),YEAR(C8074),"")</f>
        <v/>
      </c>
      <c r="W8074" s="23" t="str">
        <f aca="false">IF(ISNUMBER(C8074),MONTH(C8074),"")</f>
        <v/>
      </c>
      <c r="X8074" s="23" t="str">
        <f aca="false">IF(T8074="","",IF(T8074=0,"No discount",IF(T8074&lt;=0.2,"Low (1-20%)",IF(T8074&lt;=0.4,"Medium (21-40%)","High (&gt;40%)"))))</f>
        <v/>
      </c>
      <c r="Y8074" s="23" t="str">
        <f aca="false">IF(AND(ISNUMBER(C8074),ISNUMBER(D8074)),D8074-C8074,"")</f>
        <v/>
      </c>
      <c r="Z8074" s="23" t="str">
        <f aca="false">IF(B8074="","",IF(MATCH(B8074,$B$2:$B$12000,0)=ROW()-1,1,0))</f>
        <v/>
      </c>
    </row>
    <row r="8075" customFormat="false" ht="15" hidden="false" customHeight="false" outlineLevel="0" collapsed="false">
      <c r="V8075" s="23" t="str">
        <f aca="false">IF(ISNUMBER(C8075),YEAR(C8075),"")</f>
        <v/>
      </c>
      <c r="W8075" s="23" t="str">
        <f aca="false">IF(ISNUMBER(C8075),MONTH(C8075),"")</f>
        <v/>
      </c>
      <c r="X8075" s="23" t="str">
        <f aca="false">IF(T8075="","",IF(T8075=0,"No discount",IF(T8075&lt;=0.2,"Low (1-20%)",IF(T8075&lt;=0.4,"Medium (21-40%)","High (&gt;40%)"))))</f>
        <v/>
      </c>
      <c r="Y8075" s="23" t="str">
        <f aca="false">IF(AND(ISNUMBER(C8075),ISNUMBER(D8075)),D8075-C8075,"")</f>
        <v/>
      </c>
      <c r="Z8075" s="23" t="str">
        <f aca="false">IF(B8075="","",IF(MATCH(B8075,$B$2:$B$12000,0)=ROW()-1,1,0))</f>
        <v/>
      </c>
    </row>
    <row r="8076" customFormat="false" ht="15" hidden="false" customHeight="false" outlineLevel="0" collapsed="false">
      <c r="V8076" s="23" t="str">
        <f aca="false">IF(ISNUMBER(C8076),YEAR(C8076),"")</f>
        <v/>
      </c>
      <c r="W8076" s="23" t="str">
        <f aca="false">IF(ISNUMBER(C8076),MONTH(C8076),"")</f>
        <v/>
      </c>
      <c r="X8076" s="23" t="str">
        <f aca="false">IF(T8076="","",IF(T8076=0,"No discount",IF(T8076&lt;=0.2,"Low (1-20%)",IF(T8076&lt;=0.4,"Medium (21-40%)","High (&gt;40%)"))))</f>
        <v/>
      </c>
      <c r="Y8076" s="23" t="str">
        <f aca="false">IF(AND(ISNUMBER(C8076),ISNUMBER(D8076)),D8076-C8076,"")</f>
        <v/>
      </c>
      <c r="Z8076" s="23" t="str">
        <f aca="false">IF(B8076="","",IF(MATCH(B8076,$B$2:$B$12000,0)=ROW()-1,1,0))</f>
        <v/>
      </c>
    </row>
    <row r="8077" customFormat="false" ht="15" hidden="false" customHeight="false" outlineLevel="0" collapsed="false">
      <c r="V8077" s="23" t="str">
        <f aca="false">IF(ISNUMBER(C8077),YEAR(C8077),"")</f>
        <v/>
      </c>
      <c r="W8077" s="23" t="str">
        <f aca="false">IF(ISNUMBER(C8077),MONTH(C8077),"")</f>
        <v/>
      </c>
      <c r="X8077" s="23" t="str">
        <f aca="false">IF(T8077="","",IF(T8077=0,"No discount",IF(T8077&lt;=0.2,"Low (1-20%)",IF(T8077&lt;=0.4,"Medium (21-40%)","High (&gt;40%)"))))</f>
        <v/>
      </c>
      <c r="Y8077" s="23" t="str">
        <f aca="false">IF(AND(ISNUMBER(C8077),ISNUMBER(D8077)),D8077-C8077,"")</f>
        <v/>
      </c>
      <c r="Z8077" s="23" t="str">
        <f aca="false">IF(B8077="","",IF(MATCH(B8077,$B$2:$B$12000,0)=ROW()-1,1,0))</f>
        <v/>
      </c>
    </row>
    <row r="8078" customFormat="false" ht="15" hidden="false" customHeight="false" outlineLevel="0" collapsed="false">
      <c r="V8078" s="23" t="str">
        <f aca="false">IF(ISNUMBER(C8078),YEAR(C8078),"")</f>
        <v/>
      </c>
      <c r="W8078" s="23" t="str">
        <f aca="false">IF(ISNUMBER(C8078),MONTH(C8078),"")</f>
        <v/>
      </c>
      <c r="X8078" s="23" t="str">
        <f aca="false">IF(T8078="","",IF(T8078=0,"No discount",IF(T8078&lt;=0.2,"Low (1-20%)",IF(T8078&lt;=0.4,"Medium (21-40%)","High (&gt;40%)"))))</f>
        <v/>
      </c>
      <c r="Y8078" s="23" t="str">
        <f aca="false">IF(AND(ISNUMBER(C8078),ISNUMBER(D8078)),D8078-C8078,"")</f>
        <v/>
      </c>
      <c r="Z8078" s="23" t="str">
        <f aca="false">IF(B8078="","",IF(MATCH(B8078,$B$2:$B$12000,0)=ROW()-1,1,0))</f>
        <v/>
      </c>
    </row>
    <row r="8079" customFormat="false" ht="15" hidden="false" customHeight="false" outlineLevel="0" collapsed="false">
      <c r="V8079" s="23" t="str">
        <f aca="false">IF(ISNUMBER(C8079),YEAR(C8079),"")</f>
        <v/>
      </c>
      <c r="W8079" s="23" t="str">
        <f aca="false">IF(ISNUMBER(C8079),MONTH(C8079),"")</f>
        <v/>
      </c>
      <c r="X8079" s="23" t="str">
        <f aca="false">IF(T8079="","",IF(T8079=0,"No discount",IF(T8079&lt;=0.2,"Low (1-20%)",IF(T8079&lt;=0.4,"Medium (21-40%)","High (&gt;40%)"))))</f>
        <v/>
      </c>
      <c r="Y8079" s="23" t="str">
        <f aca="false">IF(AND(ISNUMBER(C8079),ISNUMBER(D8079)),D8079-C8079,"")</f>
        <v/>
      </c>
      <c r="Z8079" s="23" t="str">
        <f aca="false">IF(B8079="","",IF(MATCH(B8079,$B$2:$B$12000,0)=ROW()-1,1,0))</f>
        <v/>
      </c>
    </row>
    <row r="8080" customFormat="false" ht="15" hidden="false" customHeight="false" outlineLevel="0" collapsed="false">
      <c r="V8080" s="23" t="str">
        <f aca="false">IF(ISNUMBER(C8080),YEAR(C8080),"")</f>
        <v/>
      </c>
      <c r="W8080" s="23" t="str">
        <f aca="false">IF(ISNUMBER(C8080),MONTH(C8080),"")</f>
        <v/>
      </c>
      <c r="X8080" s="23" t="str">
        <f aca="false">IF(T8080="","",IF(T8080=0,"No discount",IF(T8080&lt;=0.2,"Low (1-20%)",IF(T8080&lt;=0.4,"Medium (21-40%)","High (&gt;40%)"))))</f>
        <v/>
      </c>
      <c r="Y8080" s="23" t="str">
        <f aca="false">IF(AND(ISNUMBER(C8080),ISNUMBER(D8080)),D8080-C8080,"")</f>
        <v/>
      </c>
      <c r="Z8080" s="23" t="str">
        <f aca="false">IF(B8080="","",IF(MATCH(B8080,$B$2:$B$12000,0)=ROW()-1,1,0))</f>
        <v/>
      </c>
    </row>
    <row r="8081" customFormat="false" ht="15" hidden="false" customHeight="false" outlineLevel="0" collapsed="false">
      <c r="V8081" s="23" t="str">
        <f aca="false">IF(ISNUMBER(C8081),YEAR(C8081),"")</f>
        <v/>
      </c>
      <c r="W8081" s="23" t="str">
        <f aca="false">IF(ISNUMBER(C8081),MONTH(C8081),"")</f>
        <v/>
      </c>
      <c r="X8081" s="23" t="str">
        <f aca="false">IF(T8081="","",IF(T8081=0,"No discount",IF(T8081&lt;=0.2,"Low (1-20%)",IF(T8081&lt;=0.4,"Medium (21-40%)","High (&gt;40%)"))))</f>
        <v/>
      </c>
      <c r="Y8081" s="23" t="str">
        <f aca="false">IF(AND(ISNUMBER(C8081),ISNUMBER(D8081)),D8081-C8081,"")</f>
        <v/>
      </c>
      <c r="Z8081" s="23" t="str">
        <f aca="false">IF(B8081="","",IF(MATCH(B8081,$B$2:$B$12000,0)=ROW()-1,1,0))</f>
        <v/>
      </c>
    </row>
    <row r="8082" customFormat="false" ht="15" hidden="false" customHeight="false" outlineLevel="0" collapsed="false">
      <c r="V8082" s="23" t="str">
        <f aca="false">IF(ISNUMBER(C8082),YEAR(C8082),"")</f>
        <v/>
      </c>
      <c r="W8082" s="23" t="str">
        <f aca="false">IF(ISNUMBER(C8082),MONTH(C8082),"")</f>
        <v/>
      </c>
      <c r="X8082" s="23" t="str">
        <f aca="false">IF(T8082="","",IF(T8082=0,"No discount",IF(T8082&lt;=0.2,"Low (1-20%)",IF(T8082&lt;=0.4,"Medium (21-40%)","High (&gt;40%)"))))</f>
        <v/>
      </c>
      <c r="Y8082" s="23" t="str">
        <f aca="false">IF(AND(ISNUMBER(C8082),ISNUMBER(D8082)),D8082-C8082,"")</f>
        <v/>
      </c>
      <c r="Z8082" s="23" t="str">
        <f aca="false">IF(B8082="","",IF(MATCH(B8082,$B$2:$B$12000,0)=ROW()-1,1,0))</f>
        <v/>
      </c>
    </row>
    <row r="8083" customFormat="false" ht="15" hidden="false" customHeight="false" outlineLevel="0" collapsed="false">
      <c r="V8083" s="23" t="str">
        <f aca="false">IF(ISNUMBER(C8083),YEAR(C8083),"")</f>
        <v/>
      </c>
      <c r="W8083" s="23" t="str">
        <f aca="false">IF(ISNUMBER(C8083),MONTH(C8083),"")</f>
        <v/>
      </c>
      <c r="X8083" s="23" t="str">
        <f aca="false">IF(T8083="","",IF(T8083=0,"No discount",IF(T8083&lt;=0.2,"Low (1-20%)",IF(T8083&lt;=0.4,"Medium (21-40%)","High (&gt;40%)"))))</f>
        <v/>
      </c>
      <c r="Y8083" s="23" t="str">
        <f aca="false">IF(AND(ISNUMBER(C8083),ISNUMBER(D8083)),D8083-C8083,"")</f>
        <v/>
      </c>
      <c r="Z8083" s="23" t="str">
        <f aca="false">IF(B8083="","",IF(MATCH(B8083,$B$2:$B$12000,0)=ROW()-1,1,0))</f>
        <v/>
      </c>
    </row>
    <row r="8084" customFormat="false" ht="15" hidden="false" customHeight="false" outlineLevel="0" collapsed="false">
      <c r="V8084" s="23" t="str">
        <f aca="false">IF(ISNUMBER(C8084),YEAR(C8084),"")</f>
        <v/>
      </c>
      <c r="W8084" s="23" t="str">
        <f aca="false">IF(ISNUMBER(C8084),MONTH(C8084),"")</f>
        <v/>
      </c>
      <c r="X8084" s="23" t="str">
        <f aca="false">IF(T8084="","",IF(T8084=0,"No discount",IF(T8084&lt;=0.2,"Low (1-20%)",IF(T8084&lt;=0.4,"Medium (21-40%)","High (&gt;40%)"))))</f>
        <v/>
      </c>
      <c r="Y8084" s="23" t="str">
        <f aca="false">IF(AND(ISNUMBER(C8084),ISNUMBER(D8084)),D8084-C8084,"")</f>
        <v/>
      </c>
      <c r="Z8084" s="23" t="str">
        <f aca="false">IF(B8084="","",IF(MATCH(B8084,$B$2:$B$12000,0)=ROW()-1,1,0))</f>
        <v/>
      </c>
    </row>
    <row r="8085" customFormat="false" ht="15" hidden="false" customHeight="false" outlineLevel="0" collapsed="false">
      <c r="V8085" s="23" t="str">
        <f aca="false">IF(ISNUMBER(C8085),YEAR(C8085),"")</f>
        <v/>
      </c>
      <c r="W8085" s="23" t="str">
        <f aca="false">IF(ISNUMBER(C8085),MONTH(C8085),"")</f>
        <v/>
      </c>
      <c r="X8085" s="23" t="str">
        <f aca="false">IF(T8085="","",IF(T8085=0,"No discount",IF(T8085&lt;=0.2,"Low (1-20%)",IF(T8085&lt;=0.4,"Medium (21-40%)","High (&gt;40%)"))))</f>
        <v/>
      </c>
      <c r="Y8085" s="23" t="str">
        <f aca="false">IF(AND(ISNUMBER(C8085),ISNUMBER(D8085)),D8085-C8085,"")</f>
        <v/>
      </c>
      <c r="Z8085" s="23" t="str">
        <f aca="false">IF(B8085="","",IF(MATCH(B8085,$B$2:$B$12000,0)=ROW()-1,1,0))</f>
        <v/>
      </c>
    </row>
    <row r="8086" customFormat="false" ht="15" hidden="false" customHeight="false" outlineLevel="0" collapsed="false">
      <c r="V8086" s="23" t="str">
        <f aca="false">IF(ISNUMBER(C8086),YEAR(C8086),"")</f>
        <v/>
      </c>
      <c r="W8086" s="23" t="str">
        <f aca="false">IF(ISNUMBER(C8086),MONTH(C8086),"")</f>
        <v/>
      </c>
      <c r="X8086" s="23" t="str">
        <f aca="false">IF(T8086="","",IF(T8086=0,"No discount",IF(T8086&lt;=0.2,"Low (1-20%)",IF(T8086&lt;=0.4,"Medium (21-40%)","High (&gt;40%)"))))</f>
        <v/>
      </c>
      <c r="Y8086" s="23" t="str">
        <f aca="false">IF(AND(ISNUMBER(C8086),ISNUMBER(D8086)),D8086-C8086,"")</f>
        <v/>
      </c>
      <c r="Z8086" s="23" t="str">
        <f aca="false">IF(B8086="","",IF(MATCH(B8086,$B$2:$B$12000,0)=ROW()-1,1,0))</f>
        <v/>
      </c>
    </row>
    <row r="8087" customFormat="false" ht="15" hidden="false" customHeight="false" outlineLevel="0" collapsed="false">
      <c r="V8087" s="23" t="str">
        <f aca="false">IF(ISNUMBER(C8087),YEAR(C8087),"")</f>
        <v/>
      </c>
      <c r="W8087" s="23" t="str">
        <f aca="false">IF(ISNUMBER(C8087),MONTH(C8087),"")</f>
        <v/>
      </c>
      <c r="X8087" s="23" t="str">
        <f aca="false">IF(T8087="","",IF(T8087=0,"No discount",IF(T8087&lt;=0.2,"Low (1-20%)",IF(T8087&lt;=0.4,"Medium (21-40%)","High (&gt;40%)"))))</f>
        <v/>
      </c>
      <c r="Y8087" s="23" t="str">
        <f aca="false">IF(AND(ISNUMBER(C8087),ISNUMBER(D8087)),D8087-C8087,"")</f>
        <v/>
      </c>
      <c r="Z8087" s="23" t="str">
        <f aca="false">IF(B8087="","",IF(MATCH(B8087,$B$2:$B$12000,0)=ROW()-1,1,0))</f>
        <v/>
      </c>
    </row>
    <row r="8088" customFormat="false" ht="15" hidden="false" customHeight="false" outlineLevel="0" collapsed="false">
      <c r="V8088" s="23" t="str">
        <f aca="false">IF(ISNUMBER(C8088),YEAR(C8088),"")</f>
        <v/>
      </c>
      <c r="W8088" s="23" t="str">
        <f aca="false">IF(ISNUMBER(C8088),MONTH(C8088),"")</f>
        <v/>
      </c>
      <c r="X8088" s="23" t="str">
        <f aca="false">IF(T8088="","",IF(T8088=0,"No discount",IF(T8088&lt;=0.2,"Low (1-20%)",IF(T8088&lt;=0.4,"Medium (21-40%)","High (&gt;40%)"))))</f>
        <v/>
      </c>
      <c r="Y8088" s="23" t="str">
        <f aca="false">IF(AND(ISNUMBER(C8088),ISNUMBER(D8088)),D8088-C8088,"")</f>
        <v/>
      </c>
      <c r="Z8088" s="23" t="str">
        <f aca="false">IF(B8088="","",IF(MATCH(B8088,$B$2:$B$12000,0)=ROW()-1,1,0))</f>
        <v/>
      </c>
    </row>
    <row r="8089" customFormat="false" ht="15" hidden="false" customHeight="false" outlineLevel="0" collapsed="false">
      <c r="V8089" s="23" t="str">
        <f aca="false">IF(ISNUMBER(C8089),YEAR(C8089),"")</f>
        <v/>
      </c>
      <c r="W8089" s="23" t="str">
        <f aca="false">IF(ISNUMBER(C8089),MONTH(C8089),"")</f>
        <v/>
      </c>
      <c r="X8089" s="23" t="str">
        <f aca="false">IF(T8089="","",IF(T8089=0,"No discount",IF(T8089&lt;=0.2,"Low (1-20%)",IF(T8089&lt;=0.4,"Medium (21-40%)","High (&gt;40%)"))))</f>
        <v/>
      </c>
      <c r="Y8089" s="23" t="str">
        <f aca="false">IF(AND(ISNUMBER(C8089),ISNUMBER(D8089)),D8089-C8089,"")</f>
        <v/>
      </c>
      <c r="Z8089" s="23" t="str">
        <f aca="false">IF(B8089="","",IF(MATCH(B8089,$B$2:$B$12000,0)=ROW()-1,1,0))</f>
        <v/>
      </c>
    </row>
    <row r="8090" customFormat="false" ht="15" hidden="false" customHeight="false" outlineLevel="0" collapsed="false">
      <c r="V8090" s="23" t="str">
        <f aca="false">IF(ISNUMBER(C8090),YEAR(C8090),"")</f>
        <v/>
      </c>
      <c r="W8090" s="23" t="str">
        <f aca="false">IF(ISNUMBER(C8090),MONTH(C8090),"")</f>
        <v/>
      </c>
      <c r="X8090" s="23" t="str">
        <f aca="false">IF(T8090="","",IF(T8090=0,"No discount",IF(T8090&lt;=0.2,"Low (1-20%)",IF(T8090&lt;=0.4,"Medium (21-40%)","High (&gt;40%)"))))</f>
        <v/>
      </c>
      <c r="Y8090" s="23" t="str">
        <f aca="false">IF(AND(ISNUMBER(C8090),ISNUMBER(D8090)),D8090-C8090,"")</f>
        <v/>
      </c>
      <c r="Z8090" s="23" t="str">
        <f aca="false">IF(B8090="","",IF(MATCH(B8090,$B$2:$B$12000,0)=ROW()-1,1,0))</f>
        <v/>
      </c>
    </row>
    <row r="8091" customFormat="false" ht="15" hidden="false" customHeight="false" outlineLevel="0" collapsed="false">
      <c r="V8091" s="23" t="str">
        <f aca="false">IF(ISNUMBER(C8091),YEAR(C8091),"")</f>
        <v/>
      </c>
      <c r="W8091" s="23" t="str">
        <f aca="false">IF(ISNUMBER(C8091),MONTH(C8091),"")</f>
        <v/>
      </c>
      <c r="X8091" s="23" t="str">
        <f aca="false">IF(T8091="","",IF(T8091=0,"No discount",IF(T8091&lt;=0.2,"Low (1-20%)",IF(T8091&lt;=0.4,"Medium (21-40%)","High (&gt;40%)"))))</f>
        <v/>
      </c>
      <c r="Y8091" s="23" t="str">
        <f aca="false">IF(AND(ISNUMBER(C8091),ISNUMBER(D8091)),D8091-C8091,"")</f>
        <v/>
      </c>
      <c r="Z8091" s="23" t="str">
        <f aca="false">IF(B8091="","",IF(MATCH(B8091,$B$2:$B$12000,0)=ROW()-1,1,0))</f>
        <v/>
      </c>
    </row>
    <row r="8092" customFormat="false" ht="15" hidden="false" customHeight="false" outlineLevel="0" collapsed="false">
      <c r="V8092" s="23" t="str">
        <f aca="false">IF(ISNUMBER(C8092),YEAR(C8092),"")</f>
        <v/>
      </c>
      <c r="W8092" s="23" t="str">
        <f aca="false">IF(ISNUMBER(C8092),MONTH(C8092),"")</f>
        <v/>
      </c>
      <c r="X8092" s="23" t="str">
        <f aca="false">IF(T8092="","",IF(T8092=0,"No discount",IF(T8092&lt;=0.2,"Low (1-20%)",IF(T8092&lt;=0.4,"Medium (21-40%)","High (&gt;40%)"))))</f>
        <v/>
      </c>
      <c r="Y8092" s="23" t="str">
        <f aca="false">IF(AND(ISNUMBER(C8092),ISNUMBER(D8092)),D8092-C8092,"")</f>
        <v/>
      </c>
      <c r="Z8092" s="23" t="str">
        <f aca="false">IF(B8092="","",IF(MATCH(B8092,$B$2:$B$12000,0)=ROW()-1,1,0))</f>
        <v/>
      </c>
    </row>
    <row r="8093" customFormat="false" ht="15" hidden="false" customHeight="false" outlineLevel="0" collapsed="false">
      <c r="V8093" s="23" t="str">
        <f aca="false">IF(ISNUMBER(C8093),YEAR(C8093),"")</f>
        <v/>
      </c>
      <c r="W8093" s="23" t="str">
        <f aca="false">IF(ISNUMBER(C8093),MONTH(C8093),"")</f>
        <v/>
      </c>
      <c r="X8093" s="23" t="str">
        <f aca="false">IF(T8093="","",IF(T8093=0,"No discount",IF(T8093&lt;=0.2,"Low (1-20%)",IF(T8093&lt;=0.4,"Medium (21-40%)","High (&gt;40%)"))))</f>
        <v/>
      </c>
      <c r="Y8093" s="23" t="str">
        <f aca="false">IF(AND(ISNUMBER(C8093),ISNUMBER(D8093)),D8093-C8093,"")</f>
        <v/>
      </c>
      <c r="Z8093" s="23" t="str">
        <f aca="false">IF(B8093="","",IF(MATCH(B8093,$B$2:$B$12000,0)=ROW()-1,1,0))</f>
        <v/>
      </c>
    </row>
    <row r="8094" customFormat="false" ht="15" hidden="false" customHeight="false" outlineLevel="0" collapsed="false">
      <c r="V8094" s="23" t="str">
        <f aca="false">IF(ISNUMBER(C8094),YEAR(C8094),"")</f>
        <v/>
      </c>
      <c r="W8094" s="23" t="str">
        <f aca="false">IF(ISNUMBER(C8094),MONTH(C8094),"")</f>
        <v/>
      </c>
      <c r="X8094" s="23" t="str">
        <f aca="false">IF(T8094="","",IF(T8094=0,"No discount",IF(T8094&lt;=0.2,"Low (1-20%)",IF(T8094&lt;=0.4,"Medium (21-40%)","High (&gt;40%)"))))</f>
        <v/>
      </c>
      <c r="Y8094" s="23" t="str">
        <f aca="false">IF(AND(ISNUMBER(C8094),ISNUMBER(D8094)),D8094-C8094,"")</f>
        <v/>
      </c>
      <c r="Z8094" s="23" t="str">
        <f aca="false">IF(B8094="","",IF(MATCH(B8094,$B$2:$B$12000,0)=ROW()-1,1,0))</f>
        <v/>
      </c>
    </row>
    <row r="8095" customFormat="false" ht="15" hidden="false" customHeight="false" outlineLevel="0" collapsed="false">
      <c r="V8095" s="23" t="str">
        <f aca="false">IF(ISNUMBER(C8095),YEAR(C8095),"")</f>
        <v/>
      </c>
      <c r="W8095" s="23" t="str">
        <f aca="false">IF(ISNUMBER(C8095),MONTH(C8095),"")</f>
        <v/>
      </c>
      <c r="X8095" s="23" t="str">
        <f aca="false">IF(T8095="","",IF(T8095=0,"No discount",IF(T8095&lt;=0.2,"Low (1-20%)",IF(T8095&lt;=0.4,"Medium (21-40%)","High (&gt;40%)"))))</f>
        <v/>
      </c>
      <c r="Y8095" s="23" t="str">
        <f aca="false">IF(AND(ISNUMBER(C8095),ISNUMBER(D8095)),D8095-C8095,"")</f>
        <v/>
      </c>
      <c r="Z8095" s="23" t="str">
        <f aca="false">IF(B8095="","",IF(MATCH(B8095,$B$2:$B$12000,0)=ROW()-1,1,0))</f>
        <v/>
      </c>
    </row>
    <row r="8096" customFormat="false" ht="15" hidden="false" customHeight="false" outlineLevel="0" collapsed="false">
      <c r="V8096" s="23" t="str">
        <f aca="false">IF(ISNUMBER(C8096),YEAR(C8096),"")</f>
        <v/>
      </c>
      <c r="W8096" s="23" t="str">
        <f aca="false">IF(ISNUMBER(C8096),MONTH(C8096),"")</f>
        <v/>
      </c>
      <c r="X8096" s="23" t="str">
        <f aca="false">IF(T8096="","",IF(T8096=0,"No discount",IF(T8096&lt;=0.2,"Low (1-20%)",IF(T8096&lt;=0.4,"Medium (21-40%)","High (&gt;40%)"))))</f>
        <v/>
      </c>
      <c r="Y8096" s="23" t="str">
        <f aca="false">IF(AND(ISNUMBER(C8096),ISNUMBER(D8096)),D8096-C8096,"")</f>
        <v/>
      </c>
      <c r="Z8096" s="23" t="str">
        <f aca="false">IF(B8096="","",IF(MATCH(B8096,$B$2:$B$12000,0)=ROW()-1,1,0))</f>
        <v/>
      </c>
    </row>
    <row r="8097" customFormat="false" ht="15" hidden="false" customHeight="false" outlineLevel="0" collapsed="false">
      <c r="V8097" s="23" t="str">
        <f aca="false">IF(ISNUMBER(C8097),YEAR(C8097),"")</f>
        <v/>
      </c>
      <c r="W8097" s="23" t="str">
        <f aca="false">IF(ISNUMBER(C8097),MONTH(C8097),"")</f>
        <v/>
      </c>
      <c r="X8097" s="23" t="str">
        <f aca="false">IF(T8097="","",IF(T8097=0,"No discount",IF(T8097&lt;=0.2,"Low (1-20%)",IF(T8097&lt;=0.4,"Medium (21-40%)","High (&gt;40%)"))))</f>
        <v/>
      </c>
      <c r="Y8097" s="23" t="str">
        <f aca="false">IF(AND(ISNUMBER(C8097),ISNUMBER(D8097)),D8097-C8097,"")</f>
        <v/>
      </c>
      <c r="Z8097" s="23" t="str">
        <f aca="false">IF(B8097="","",IF(MATCH(B8097,$B$2:$B$12000,0)=ROW()-1,1,0))</f>
        <v/>
      </c>
    </row>
    <row r="8098" customFormat="false" ht="15" hidden="false" customHeight="false" outlineLevel="0" collapsed="false">
      <c r="V8098" s="23" t="str">
        <f aca="false">IF(ISNUMBER(C8098),YEAR(C8098),"")</f>
        <v/>
      </c>
      <c r="W8098" s="23" t="str">
        <f aca="false">IF(ISNUMBER(C8098),MONTH(C8098),"")</f>
        <v/>
      </c>
      <c r="X8098" s="23" t="str">
        <f aca="false">IF(T8098="","",IF(T8098=0,"No discount",IF(T8098&lt;=0.2,"Low (1-20%)",IF(T8098&lt;=0.4,"Medium (21-40%)","High (&gt;40%)"))))</f>
        <v/>
      </c>
      <c r="Y8098" s="23" t="str">
        <f aca="false">IF(AND(ISNUMBER(C8098),ISNUMBER(D8098)),D8098-C8098,"")</f>
        <v/>
      </c>
      <c r="Z8098" s="23" t="str">
        <f aca="false">IF(B8098="","",IF(MATCH(B8098,$B$2:$B$12000,0)=ROW()-1,1,0))</f>
        <v/>
      </c>
    </row>
    <row r="8099" customFormat="false" ht="15" hidden="false" customHeight="false" outlineLevel="0" collapsed="false">
      <c r="V8099" s="23" t="str">
        <f aca="false">IF(ISNUMBER(C8099),YEAR(C8099),"")</f>
        <v/>
      </c>
      <c r="W8099" s="23" t="str">
        <f aca="false">IF(ISNUMBER(C8099),MONTH(C8099),"")</f>
        <v/>
      </c>
      <c r="X8099" s="23" t="str">
        <f aca="false">IF(T8099="","",IF(T8099=0,"No discount",IF(T8099&lt;=0.2,"Low (1-20%)",IF(T8099&lt;=0.4,"Medium (21-40%)","High (&gt;40%)"))))</f>
        <v/>
      </c>
      <c r="Y8099" s="23" t="str">
        <f aca="false">IF(AND(ISNUMBER(C8099),ISNUMBER(D8099)),D8099-C8099,"")</f>
        <v/>
      </c>
      <c r="Z8099" s="23" t="str">
        <f aca="false">IF(B8099="","",IF(MATCH(B8099,$B$2:$B$12000,0)=ROW()-1,1,0))</f>
        <v/>
      </c>
    </row>
    <row r="8100" customFormat="false" ht="15" hidden="false" customHeight="false" outlineLevel="0" collapsed="false">
      <c r="V8100" s="23" t="str">
        <f aca="false">IF(ISNUMBER(C8100),YEAR(C8100),"")</f>
        <v/>
      </c>
      <c r="W8100" s="23" t="str">
        <f aca="false">IF(ISNUMBER(C8100),MONTH(C8100),"")</f>
        <v/>
      </c>
      <c r="X8100" s="23" t="str">
        <f aca="false">IF(T8100="","",IF(T8100=0,"No discount",IF(T8100&lt;=0.2,"Low (1-20%)",IF(T8100&lt;=0.4,"Medium (21-40%)","High (&gt;40%)"))))</f>
        <v/>
      </c>
      <c r="Y8100" s="23" t="str">
        <f aca="false">IF(AND(ISNUMBER(C8100),ISNUMBER(D8100)),D8100-C8100,"")</f>
        <v/>
      </c>
      <c r="Z8100" s="23" t="str">
        <f aca="false">IF(B8100="","",IF(MATCH(B8100,$B$2:$B$12000,0)=ROW()-1,1,0))</f>
        <v/>
      </c>
    </row>
    <row r="8101" customFormat="false" ht="15" hidden="false" customHeight="false" outlineLevel="0" collapsed="false">
      <c r="V8101" s="23" t="str">
        <f aca="false">IF(ISNUMBER(C8101),YEAR(C8101),"")</f>
        <v/>
      </c>
      <c r="W8101" s="23" t="str">
        <f aca="false">IF(ISNUMBER(C8101),MONTH(C8101),"")</f>
        <v/>
      </c>
      <c r="X8101" s="23" t="str">
        <f aca="false">IF(T8101="","",IF(T8101=0,"No discount",IF(T8101&lt;=0.2,"Low (1-20%)",IF(T8101&lt;=0.4,"Medium (21-40%)","High (&gt;40%)"))))</f>
        <v/>
      </c>
      <c r="Y8101" s="23" t="str">
        <f aca="false">IF(AND(ISNUMBER(C8101),ISNUMBER(D8101)),D8101-C8101,"")</f>
        <v/>
      </c>
      <c r="Z8101" s="23" t="str">
        <f aca="false">IF(B8101="","",IF(MATCH(B8101,$B$2:$B$12000,0)=ROW()-1,1,0))</f>
        <v/>
      </c>
    </row>
    <row r="8102" customFormat="false" ht="15" hidden="false" customHeight="false" outlineLevel="0" collapsed="false">
      <c r="V8102" s="23" t="str">
        <f aca="false">IF(ISNUMBER(C8102),YEAR(C8102),"")</f>
        <v/>
      </c>
      <c r="W8102" s="23" t="str">
        <f aca="false">IF(ISNUMBER(C8102),MONTH(C8102),"")</f>
        <v/>
      </c>
      <c r="X8102" s="23" t="str">
        <f aca="false">IF(T8102="","",IF(T8102=0,"No discount",IF(T8102&lt;=0.2,"Low (1-20%)",IF(T8102&lt;=0.4,"Medium (21-40%)","High (&gt;40%)"))))</f>
        <v/>
      </c>
      <c r="Y8102" s="23" t="str">
        <f aca="false">IF(AND(ISNUMBER(C8102),ISNUMBER(D8102)),D8102-C8102,"")</f>
        <v/>
      </c>
      <c r="Z8102" s="23" t="str">
        <f aca="false">IF(B8102="","",IF(MATCH(B8102,$B$2:$B$12000,0)=ROW()-1,1,0))</f>
        <v/>
      </c>
    </row>
    <row r="8103" customFormat="false" ht="15" hidden="false" customHeight="false" outlineLevel="0" collapsed="false">
      <c r="V8103" s="23" t="str">
        <f aca="false">IF(ISNUMBER(C8103),YEAR(C8103),"")</f>
        <v/>
      </c>
      <c r="W8103" s="23" t="str">
        <f aca="false">IF(ISNUMBER(C8103),MONTH(C8103),"")</f>
        <v/>
      </c>
      <c r="X8103" s="23" t="str">
        <f aca="false">IF(T8103="","",IF(T8103=0,"No discount",IF(T8103&lt;=0.2,"Low (1-20%)",IF(T8103&lt;=0.4,"Medium (21-40%)","High (&gt;40%)"))))</f>
        <v/>
      </c>
      <c r="Y8103" s="23" t="str">
        <f aca="false">IF(AND(ISNUMBER(C8103),ISNUMBER(D8103)),D8103-C8103,"")</f>
        <v/>
      </c>
      <c r="Z8103" s="23" t="str">
        <f aca="false">IF(B8103="","",IF(MATCH(B8103,$B$2:$B$12000,0)=ROW()-1,1,0))</f>
        <v/>
      </c>
    </row>
    <row r="8104" customFormat="false" ht="15" hidden="false" customHeight="false" outlineLevel="0" collapsed="false">
      <c r="V8104" s="23" t="str">
        <f aca="false">IF(ISNUMBER(C8104),YEAR(C8104),"")</f>
        <v/>
      </c>
      <c r="W8104" s="23" t="str">
        <f aca="false">IF(ISNUMBER(C8104),MONTH(C8104),"")</f>
        <v/>
      </c>
      <c r="X8104" s="23" t="str">
        <f aca="false">IF(T8104="","",IF(T8104=0,"No discount",IF(T8104&lt;=0.2,"Low (1-20%)",IF(T8104&lt;=0.4,"Medium (21-40%)","High (&gt;40%)"))))</f>
        <v/>
      </c>
      <c r="Y8104" s="23" t="str">
        <f aca="false">IF(AND(ISNUMBER(C8104),ISNUMBER(D8104)),D8104-C8104,"")</f>
        <v/>
      </c>
      <c r="Z8104" s="23" t="str">
        <f aca="false">IF(B8104="","",IF(MATCH(B8104,$B$2:$B$12000,0)=ROW()-1,1,0))</f>
        <v/>
      </c>
    </row>
    <row r="8105" customFormat="false" ht="15" hidden="false" customHeight="false" outlineLevel="0" collapsed="false">
      <c r="V8105" s="23" t="str">
        <f aca="false">IF(ISNUMBER(C8105),YEAR(C8105),"")</f>
        <v/>
      </c>
      <c r="W8105" s="23" t="str">
        <f aca="false">IF(ISNUMBER(C8105),MONTH(C8105),"")</f>
        <v/>
      </c>
      <c r="X8105" s="23" t="str">
        <f aca="false">IF(T8105="","",IF(T8105=0,"No discount",IF(T8105&lt;=0.2,"Low (1-20%)",IF(T8105&lt;=0.4,"Medium (21-40%)","High (&gt;40%)"))))</f>
        <v/>
      </c>
      <c r="Y8105" s="23" t="str">
        <f aca="false">IF(AND(ISNUMBER(C8105),ISNUMBER(D8105)),D8105-C8105,"")</f>
        <v/>
      </c>
      <c r="Z8105" s="23" t="str">
        <f aca="false">IF(B8105="","",IF(MATCH(B8105,$B$2:$B$12000,0)=ROW()-1,1,0))</f>
        <v/>
      </c>
    </row>
    <row r="8106" customFormat="false" ht="15" hidden="false" customHeight="false" outlineLevel="0" collapsed="false">
      <c r="V8106" s="23" t="str">
        <f aca="false">IF(ISNUMBER(C8106),YEAR(C8106),"")</f>
        <v/>
      </c>
      <c r="W8106" s="23" t="str">
        <f aca="false">IF(ISNUMBER(C8106),MONTH(C8106),"")</f>
        <v/>
      </c>
      <c r="X8106" s="23" t="str">
        <f aca="false">IF(T8106="","",IF(T8106=0,"No discount",IF(T8106&lt;=0.2,"Low (1-20%)",IF(T8106&lt;=0.4,"Medium (21-40%)","High (&gt;40%)"))))</f>
        <v/>
      </c>
      <c r="Y8106" s="23" t="str">
        <f aca="false">IF(AND(ISNUMBER(C8106),ISNUMBER(D8106)),D8106-C8106,"")</f>
        <v/>
      </c>
      <c r="Z8106" s="23" t="str">
        <f aca="false">IF(B8106="","",IF(MATCH(B8106,$B$2:$B$12000,0)=ROW()-1,1,0))</f>
        <v/>
      </c>
    </row>
    <row r="8107" customFormat="false" ht="15" hidden="false" customHeight="false" outlineLevel="0" collapsed="false">
      <c r="V8107" s="23" t="str">
        <f aca="false">IF(ISNUMBER(C8107),YEAR(C8107),"")</f>
        <v/>
      </c>
      <c r="W8107" s="23" t="str">
        <f aca="false">IF(ISNUMBER(C8107),MONTH(C8107),"")</f>
        <v/>
      </c>
      <c r="X8107" s="23" t="str">
        <f aca="false">IF(T8107="","",IF(T8107=0,"No discount",IF(T8107&lt;=0.2,"Low (1-20%)",IF(T8107&lt;=0.4,"Medium (21-40%)","High (&gt;40%)"))))</f>
        <v/>
      </c>
      <c r="Y8107" s="23" t="str">
        <f aca="false">IF(AND(ISNUMBER(C8107),ISNUMBER(D8107)),D8107-C8107,"")</f>
        <v/>
      </c>
      <c r="Z8107" s="23" t="str">
        <f aca="false">IF(B8107="","",IF(MATCH(B8107,$B$2:$B$12000,0)=ROW()-1,1,0))</f>
        <v/>
      </c>
    </row>
    <row r="8108" customFormat="false" ht="15" hidden="false" customHeight="false" outlineLevel="0" collapsed="false">
      <c r="V8108" s="23" t="str">
        <f aca="false">IF(ISNUMBER(C8108),YEAR(C8108),"")</f>
        <v/>
      </c>
      <c r="W8108" s="23" t="str">
        <f aca="false">IF(ISNUMBER(C8108),MONTH(C8108),"")</f>
        <v/>
      </c>
      <c r="X8108" s="23" t="str">
        <f aca="false">IF(T8108="","",IF(T8108=0,"No discount",IF(T8108&lt;=0.2,"Low (1-20%)",IF(T8108&lt;=0.4,"Medium (21-40%)","High (&gt;40%)"))))</f>
        <v/>
      </c>
      <c r="Y8108" s="23" t="str">
        <f aca="false">IF(AND(ISNUMBER(C8108),ISNUMBER(D8108)),D8108-C8108,"")</f>
        <v/>
      </c>
      <c r="Z8108" s="23" t="str">
        <f aca="false">IF(B8108="","",IF(MATCH(B8108,$B$2:$B$12000,0)=ROW()-1,1,0))</f>
        <v/>
      </c>
    </row>
    <row r="8109" customFormat="false" ht="15" hidden="false" customHeight="false" outlineLevel="0" collapsed="false">
      <c r="V8109" s="23" t="str">
        <f aca="false">IF(ISNUMBER(C8109),YEAR(C8109),"")</f>
        <v/>
      </c>
      <c r="W8109" s="23" t="str">
        <f aca="false">IF(ISNUMBER(C8109),MONTH(C8109),"")</f>
        <v/>
      </c>
      <c r="X8109" s="23" t="str">
        <f aca="false">IF(T8109="","",IF(T8109=0,"No discount",IF(T8109&lt;=0.2,"Low (1-20%)",IF(T8109&lt;=0.4,"Medium (21-40%)","High (&gt;40%)"))))</f>
        <v/>
      </c>
      <c r="Y8109" s="23" t="str">
        <f aca="false">IF(AND(ISNUMBER(C8109),ISNUMBER(D8109)),D8109-C8109,"")</f>
        <v/>
      </c>
      <c r="Z8109" s="23" t="str">
        <f aca="false">IF(B8109="","",IF(MATCH(B8109,$B$2:$B$12000,0)=ROW()-1,1,0))</f>
        <v/>
      </c>
    </row>
    <row r="8110" customFormat="false" ht="15" hidden="false" customHeight="false" outlineLevel="0" collapsed="false">
      <c r="V8110" s="23" t="str">
        <f aca="false">IF(ISNUMBER(C8110),YEAR(C8110),"")</f>
        <v/>
      </c>
      <c r="W8110" s="23" t="str">
        <f aca="false">IF(ISNUMBER(C8110),MONTH(C8110),"")</f>
        <v/>
      </c>
      <c r="X8110" s="23" t="str">
        <f aca="false">IF(T8110="","",IF(T8110=0,"No discount",IF(T8110&lt;=0.2,"Low (1-20%)",IF(T8110&lt;=0.4,"Medium (21-40%)","High (&gt;40%)"))))</f>
        <v/>
      </c>
      <c r="Y8110" s="23" t="str">
        <f aca="false">IF(AND(ISNUMBER(C8110),ISNUMBER(D8110)),D8110-C8110,"")</f>
        <v/>
      </c>
      <c r="Z8110" s="23" t="str">
        <f aca="false">IF(B8110="","",IF(MATCH(B8110,$B$2:$B$12000,0)=ROW()-1,1,0))</f>
        <v/>
      </c>
    </row>
    <row r="8111" customFormat="false" ht="15" hidden="false" customHeight="false" outlineLevel="0" collapsed="false">
      <c r="V8111" s="23" t="str">
        <f aca="false">IF(ISNUMBER(C8111),YEAR(C8111),"")</f>
        <v/>
      </c>
      <c r="W8111" s="23" t="str">
        <f aca="false">IF(ISNUMBER(C8111),MONTH(C8111),"")</f>
        <v/>
      </c>
      <c r="X8111" s="23" t="str">
        <f aca="false">IF(T8111="","",IF(T8111=0,"No discount",IF(T8111&lt;=0.2,"Low (1-20%)",IF(T8111&lt;=0.4,"Medium (21-40%)","High (&gt;40%)"))))</f>
        <v/>
      </c>
      <c r="Y8111" s="23" t="str">
        <f aca="false">IF(AND(ISNUMBER(C8111),ISNUMBER(D8111)),D8111-C8111,"")</f>
        <v/>
      </c>
      <c r="Z8111" s="23" t="str">
        <f aca="false">IF(B8111="","",IF(MATCH(B8111,$B$2:$B$12000,0)=ROW()-1,1,0))</f>
        <v/>
      </c>
    </row>
    <row r="8112" customFormat="false" ht="15" hidden="false" customHeight="false" outlineLevel="0" collapsed="false">
      <c r="V8112" s="23" t="str">
        <f aca="false">IF(ISNUMBER(C8112),YEAR(C8112),"")</f>
        <v/>
      </c>
      <c r="W8112" s="23" t="str">
        <f aca="false">IF(ISNUMBER(C8112),MONTH(C8112),"")</f>
        <v/>
      </c>
      <c r="X8112" s="23" t="str">
        <f aca="false">IF(T8112="","",IF(T8112=0,"No discount",IF(T8112&lt;=0.2,"Low (1-20%)",IF(T8112&lt;=0.4,"Medium (21-40%)","High (&gt;40%)"))))</f>
        <v/>
      </c>
      <c r="Y8112" s="23" t="str">
        <f aca="false">IF(AND(ISNUMBER(C8112),ISNUMBER(D8112)),D8112-C8112,"")</f>
        <v/>
      </c>
      <c r="Z8112" s="23" t="str">
        <f aca="false">IF(B8112="","",IF(MATCH(B8112,$B$2:$B$12000,0)=ROW()-1,1,0))</f>
        <v/>
      </c>
    </row>
    <row r="8113" customFormat="false" ht="15" hidden="false" customHeight="false" outlineLevel="0" collapsed="false">
      <c r="V8113" s="23" t="str">
        <f aca="false">IF(ISNUMBER(C8113),YEAR(C8113),"")</f>
        <v/>
      </c>
      <c r="W8113" s="23" t="str">
        <f aca="false">IF(ISNUMBER(C8113),MONTH(C8113),"")</f>
        <v/>
      </c>
      <c r="X8113" s="23" t="str">
        <f aca="false">IF(T8113="","",IF(T8113=0,"No discount",IF(T8113&lt;=0.2,"Low (1-20%)",IF(T8113&lt;=0.4,"Medium (21-40%)","High (&gt;40%)"))))</f>
        <v/>
      </c>
      <c r="Y8113" s="23" t="str">
        <f aca="false">IF(AND(ISNUMBER(C8113),ISNUMBER(D8113)),D8113-C8113,"")</f>
        <v/>
      </c>
      <c r="Z8113" s="23" t="str">
        <f aca="false">IF(B8113="","",IF(MATCH(B8113,$B$2:$B$12000,0)=ROW()-1,1,0))</f>
        <v/>
      </c>
    </row>
    <row r="8114" customFormat="false" ht="15" hidden="false" customHeight="false" outlineLevel="0" collapsed="false">
      <c r="V8114" s="23" t="str">
        <f aca="false">IF(ISNUMBER(C8114),YEAR(C8114),"")</f>
        <v/>
      </c>
      <c r="W8114" s="23" t="str">
        <f aca="false">IF(ISNUMBER(C8114),MONTH(C8114),"")</f>
        <v/>
      </c>
      <c r="X8114" s="23" t="str">
        <f aca="false">IF(T8114="","",IF(T8114=0,"No discount",IF(T8114&lt;=0.2,"Low (1-20%)",IF(T8114&lt;=0.4,"Medium (21-40%)","High (&gt;40%)"))))</f>
        <v/>
      </c>
      <c r="Y8114" s="23" t="str">
        <f aca="false">IF(AND(ISNUMBER(C8114),ISNUMBER(D8114)),D8114-C8114,"")</f>
        <v/>
      </c>
      <c r="Z8114" s="23" t="str">
        <f aca="false">IF(B8114="","",IF(MATCH(B8114,$B$2:$B$12000,0)=ROW()-1,1,0))</f>
        <v/>
      </c>
    </row>
    <row r="8115" customFormat="false" ht="15" hidden="false" customHeight="false" outlineLevel="0" collapsed="false">
      <c r="V8115" s="23" t="str">
        <f aca="false">IF(ISNUMBER(C8115),YEAR(C8115),"")</f>
        <v/>
      </c>
      <c r="W8115" s="23" t="str">
        <f aca="false">IF(ISNUMBER(C8115),MONTH(C8115),"")</f>
        <v/>
      </c>
      <c r="X8115" s="23" t="str">
        <f aca="false">IF(T8115="","",IF(T8115=0,"No discount",IF(T8115&lt;=0.2,"Low (1-20%)",IF(T8115&lt;=0.4,"Medium (21-40%)","High (&gt;40%)"))))</f>
        <v/>
      </c>
      <c r="Y8115" s="23" t="str">
        <f aca="false">IF(AND(ISNUMBER(C8115),ISNUMBER(D8115)),D8115-C8115,"")</f>
        <v/>
      </c>
      <c r="Z8115" s="23" t="str">
        <f aca="false">IF(B8115="","",IF(MATCH(B8115,$B$2:$B$12000,0)=ROW()-1,1,0))</f>
        <v/>
      </c>
    </row>
    <row r="8116" customFormat="false" ht="15" hidden="false" customHeight="false" outlineLevel="0" collapsed="false">
      <c r="V8116" s="23" t="str">
        <f aca="false">IF(ISNUMBER(C8116),YEAR(C8116),"")</f>
        <v/>
      </c>
      <c r="W8116" s="23" t="str">
        <f aca="false">IF(ISNUMBER(C8116),MONTH(C8116),"")</f>
        <v/>
      </c>
      <c r="X8116" s="23" t="str">
        <f aca="false">IF(T8116="","",IF(T8116=0,"No discount",IF(T8116&lt;=0.2,"Low (1-20%)",IF(T8116&lt;=0.4,"Medium (21-40%)","High (&gt;40%)"))))</f>
        <v/>
      </c>
      <c r="Y8116" s="23" t="str">
        <f aca="false">IF(AND(ISNUMBER(C8116),ISNUMBER(D8116)),D8116-C8116,"")</f>
        <v/>
      </c>
      <c r="Z8116" s="23" t="str">
        <f aca="false">IF(B8116="","",IF(MATCH(B8116,$B$2:$B$12000,0)=ROW()-1,1,0))</f>
        <v/>
      </c>
    </row>
    <row r="8117" customFormat="false" ht="15" hidden="false" customHeight="false" outlineLevel="0" collapsed="false">
      <c r="V8117" s="23" t="str">
        <f aca="false">IF(ISNUMBER(C8117),YEAR(C8117),"")</f>
        <v/>
      </c>
      <c r="W8117" s="23" t="str">
        <f aca="false">IF(ISNUMBER(C8117),MONTH(C8117),"")</f>
        <v/>
      </c>
      <c r="X8117" s="23" t="str">
        <f aca="false">IF(T8117="","",IF(T8117=0,"No discount",IF(T8117&lt;=0.2,"Low (1-20%)",IF(T8117&lt;=0.4,"Medium (21-40%)","High (&gt;40%)"))))</f>
        <v/>
      </c>
      <c r="Y8117" s="23" t="str">
        <f aca="false">IF(AND(ISNUMBER(C8117),ISNUMBER(D8117)),D8117-C8117,"")</f>
        <v/>
      </c>
      <c r="Z8117" s="23" t="str">
        <f aca="false">IF(B8117="","",IF(MATCH(B8117,$B$2:$B$12000,0)=ROW()-1,1,0))</f>
        <v/>
      </c>
    </row>
    <row r="8118" customFormat="false" ht="15" hidden="false" customHeight="false" outlineLevel="0" collapsed="false">
      <c r="V8118" s="23" t="str">
        <f aca="false">IF(ISNUMBER(C8118),YEAR(C8118),"")</f>
        <v/>
      </c>
      <c r="W8118" s="23" t="str">
        <f aca="false">IF(ISNUMBER(C8118),MONTH(C8118),"")</f>
        <v/>
      </c>
      <c r="X8118" s="23" t="str">
        <f aca="false">IF(T8118="","",IF(T8118=0,"No discount",IF(T8118&lt;=0.2,"Low (1-20%)",IF(T8118&lt;=0.4,"Medium (21-40%)","High (&gt;40%)"))))</f>
        <v/>
      </c>
      <c r="Y8118" s="23" t="str">
        <f aca="false">IF(AND(ISNUMBER(C8118),ISNUMBER(D8118)),D8118-C8118,"")</f>
        <v/>
      </c>
      <c r="Z8118" s="23" t="str">
        <f aca="false">IF(B8118="","",IF(MATCH(B8118,$B$2:$B$12000,0)=ROW()-1,1,0))</f>
        <v/>
      </c>
    </row>
    <row r="8119" customFormat="false" ht="15" hidden="false" customHeight="false" outlineLevel="0" collapsed="false">
      <c r="V8119" s="23" t="str">
        <f aca="false">IF(ISNUMBER(C8119),YEAR(C8119),"")</f>
        <v/>
      </c>
      <c r="W8119" s="23" t="str">
        <f aca="false">IF(ISNUMBER(C8119),MONTH(C8119),"")</f>
        <v/>
      </c>
      <c r="X8119" s="23" t="str">
        <f aca="false">IF(T8119="","",IF(T8119=0,"No discount",IF(T8119&lt;=0.2,"Low (1-20%)",IF(T8119&lt;=0.4,"Medium (21-40%)","High (&gt;40%)"))))</f>
        <v/>
      </c>
      <c r="Y8119" s="23" t="str">
        <f aca="false">IF(AND(ISNUMBER(C8119),ISNUMBER(D8119)),D8119-C8119,"")</f>
        <v/>
      </c>
      <c r="Z8119" s="23" t="str">
        <f aca="false">IF(B8119="","",IF(MATCH(B8119,$B$2:$B$12000,0)=ROW()-1,1,0))</f>
        <v/>
      </c>
    </row>
    <row r="8120" customFormat="false" ht="15" hidden="false" customHeight="false" outlineLevel="0" collapsed="false">
      <c r="V8120" s="23" t="str">
        <f aca="false">IF(ISNUMBER(C8120),YEAR(C8120),"")</f>
        <v/>
      </c>
      <c r="W8120" s="23" t="str">
        <f aca="false">IF(ISNUMBER(C8120),MONTH(C8120),"")</f>
        <v/>
      </c>
      <c r="X8120" s="23" t="str">
        <f aca="false">IF(T8120="","",IF(T8120=0,"No discount",IF(T8120&lt;=0.2,"Low (1-20%)",IF(T8120&lt;=0.4,"Medium (21-40%)","High (&gt;40%)"))))</f>
        <v/>
      </c>
      <c r="Y8120" s="23" t="str">
        <f aca="false">IF(AND(ISNUMBER(C8120),ISNUMBER(D8120)),D8120-C8120,"")</f>
        <v/>
      </c>
      <c r="Z8120" s="23" t="str">
        <f aca="false">IF(B8120="","",IF(MATCH(B8120,$B$2:$B$12000,0)=ROW()-1,1,0))</f>
        <v/>
      </c>
    </row>
    <row r="8121" customFormat="false" ht="15" hidden="false" customHeight="false" outlineLevel="0" collapsed="false">
      <c r="V8121" s="23" t="str">
        <f aca="false">IF(ISNUMBER(C8121),YEAR(C8121),"")</f>
        <v/>
      </c>
      <c r="W8121" s="23" t="str">
        <f aca="false">IF(ISNUMBER(C8121),MONTH(C8121),"")</f>
        <v/>
      </c>
      <c r="X8121" s="23" t="str">
        <f aca="false">IF(T8121="","",IF(T8121=0,"No discount",IF(T8121&lt;=0.2,"Low (1-20%)",IF(T8121&lt;=0.4,"Medium (21-40%)","High (&gt;40%)"))))</f>
        <v/>
      </c>
      <c r="Y8121" s="23" t="str">
        <f aca="false">IF(AND(ISNUMBER(C8121),ISNUMBER(D8121)),D8121-C8121,"")</f>
        <v/>
      </c>
      <c r="Z8121" s="23" t="str">
        <f aca="false">IF(B8121="","",IF(MATCH(B8121,$B$2:$B$12000,0)=ROW()-1,1,0))</f>
        <v/>
      </c>
    </row>
    <row r="8122" customFormat="false" ht="15" hidden="false" customHeight="false" outlineLevel="0" collapsed="false">
      <c r="V8122" s="23" t="str">
        <f aca="false">IF(ISNUMBER(C8122),YEAR(C8122),"")</f>
        <v/>
      </c>
      <c r="W8122" s="23" t="str">
        <f aca="false">IF(ISNUMBER(C8122),MONTH(C8122),"")</f>
        <v/>
      </c>
      <c r="X8122" s="23" t="str">
        <f aca="false">IF(T8122="","",IF(T8122=0,"No discount",IF(T8122&lt;=0.2,"Low (1-20%)",IF(T8122&lt;=0.4,"Medium (21-40%)","High (&gt;40%)"))))</f>
        <v/>
      </c>
      <c r="Y8122" s="23" t="str">
        <f aca="false">IF(AND(ISNUMBER(C8122),ISNUMBER(D8122)),D8122-C8122,"")</f>
        <v/>
      </c>
      <c r="Z8122" s="23" t="str">
        <f aca="false">IF(B8122="","",IF(MATCH(B8122,$B$2:$B$12000,0)=ROW()-1,1,0))</f>
        <v/>
      </c>
    </row>
    <row r="8123" customFormat="false" ht="15" hidden="false" customHeight="false" outlineLevel="0" collapsed="false">
      <c r="V8123" s="23" t="str">
        <f aca="false">IF(ISNUMBER(C8123),YEAR(C8123),"")</f>
        <v/>
      </c>
      <c r="W8123" s="23" t="str">
        <f aca="false">IF(ISNUMBER(C8123),MONTH(C8123),"")</f>
        <v/>
      </c>
      <c r="X8123" s="23" t="str">
        <f aca="false">IF(T8123="","",IF(T8123=0,"No discount",IF(T8123&lt;=0.2,"Low (1-20%)",IF(T8123&lt;=0.4,"Medium (21-40%)","High (&gt;40%)"))))</f>
        <v/>
      </c>
      <c r="Y8123" s="23" t="str">
        <f aca="false">IF(AND(ISNUMBER(C8123),ISNUMBER(D8123)),D8123-C8123,"")</f>
        <v/>
      </c>
      <c r="Z8123" s="23" t="str">
        <f aca="false">IF(B8123="","",IF(MATCH(B8123,$B$2:$B$12000,0)=ROW()-1,1,0))</f>
        <v/>
      </c>
    </row>
    <row r="8124" customFormat="false" ht="15" hidden="false" customHeight="false" outlineLevel="0" collapsed="false">
      <c r="V8124" s="23" t="str">
        <f aca="false">IF(ISNUMBER(C8124),YEAR(C8124),"")</f>
        <v/>
      </c>
      <c r="W8124" s="23" t="str">
        <f aca="false">IF(ISNUMBER(C8124),MONTH(C8124),"")</f>
        <v/>
      </c>
      <c r="X8124" s="23" t="str">
        <f aca="false">IF(T8124="","",IF(T8124=0,"No discount",IF(T8124&lt;=0.2,"Low (1-20%)",IF(T8124&lt;=0.4,"Medium (21-40%)","High (&gt;40%)"))))</f>
        <v/>
      </c>
      <c r="Y8124" s="23" t="str">
        <f aca="false">IF(AND(ISNUMBER(C8124),ISNUMBER(D8124)),D8124-C8124,"")</f>
        <v/>
      </c>
      <c r="Z8124" s="23" t="str">
        <f aca="false">IF(B8124="","",IF(MATCH(B8124,$B$2:$B$12000,0)=ROW()-1,1,0))</f>
        <v/>
      </c>
    </row>
    <row r="8125" customFormat="false" ht="15" hidden="false" customHeight="false" outlineLevel="0" collapsed="false">
      <c r="V8125" s="23" t="str">
        <f aca="false">IF(ISNUMBER(C8125),YEAR(C8125),"")</f>
        <v/>
      </c>
      <c r="W8125" s="23" t="str">
        <f aca="false">IF(ISNUMBER(C8125),MONTH(C8125),"")</f>
        <v/>
      </c>
      <c r="X8125" s="23" t="str">
        <f aca="false">IF(T8125="","",IF(T8125=0,"No discount",IF(T8125&lt;=0.2,"Low (1-20%)",IF(T8125&lt;=0.4,"Medium (21-40%)","High (&gt;40%)"))))</f>
        <v/>
      </c>
      <c r="Y8125" s="23" t="str">
        <f aca="false">IF(AND(ISNUMBER(C8125),ISNUMBER(D8125)),D8125-C8125,"")</f>
        <v/>
      </c>
      <c r="Z8125" s="23" t="str">
        <f aca="false">IF(B8125="","",IF(MATCH(B8125,$B$2:$B$12000,0)=ROW()-1,1,0))</f>
        <v/>
      </c>
    </row>
    <row r="8126" customFormat="false" ht="15" hidden="false" customHeight="false" outlineLevel="0" collapsed="false">
      <c r="V8126" s="23" t="str">
        <f aca="false">IF(ISNUMBER(C8126),YEAR(C8126),"")</f>
        <v/>
      </c>
      <c r="W8126" s="23" t="str">
        <f aca="false">IF(ISNUMBER(C8126),MONTH(C8126),"")</f>
        <v/>
      </c>
      <c r="X8126" s="23" t="str">
        <f aca="false">IF(T8126="","",IF(T8126=0,"No discount",IF(T8126&lt;=0.2,"Low (1-20%)",IF(T8126&lt;=0.4,"Medium (21-40%)","High (&gt;40%)"))))</f>
        <v/>
      </c>
      <c r="Y8126" s="23" t="str">
        <f aca="false">IF(AND(ISNUMBER(C8126),ISNUMBER(D8126)),D8126-C8126,"")</f>
        <v/>
      </c>
      <c r="Z8126" s="23" t="str">
        <f aca="false">IF(B8126="","",IF(MATCH(B8126,$B$2:$B$12000,0)=ROW()-1,1,0))</f>
        <v/>
      </c>
    </row>
    <row r="8127" customFormat="false" ht="15" hidden="false" customHeight="false" outlineLevel="0" collapsed="false">
      <c r="V8127" s="23" t="str">
        <f aca="false">IF(ISNUMBER(C8127),YEAR(C8127),"")</f>
        <v/>
      </c>
      <c r="W8127" s="23" t="str">
        <f aca="false">IF(ISNUMBER(C8127),MONTH(C8127),"")</f>
        <v/>
      </c>
      <c r="X8127" s="23" t="str">
        <f aca="false">IF(T8127="","",IF(T8127=0,"No discount",IF(T8127&lt;=0.2,"Low (1-20%)",IF(T8127&lt;=0.4,"Medium (21-40%)","High (&gt;40%)"))))</f>
        <v/>
      </c>
      <c r="Y8127" s="23" t="str">
        <f aca="false">IF(AND(ISNUMBER(C8127),ISNUMBER(D8127)),D8127-C8127,"")</f>
        <v/>
      </c>
      <c r="Z8127" s="23" t="str">
        <f aca="false">IF(B8127="","",IF(MATCH(B8127,$B$2:$B$12000,0)=ROW()-1,1,0))</f>
        <v/>
      </c>
    </row>
    <row r="8128" customFormat="false" ht="15" hidden="false" customHeight="false" outlineLevel="0" collapsed="false">
      <c r="V8128" s="23" t="str">
        <f aca="false">IF(ISNUMBER(C8128),YEAR(C8128),"")</f>
        <v/>
      </c>
      <c r="W8128" s="23" t="str">
        <f aca="false">IF(ISNUMBER(C8128),MONTH(C8128),"")</f>
        <v/>
      </c>
      <c r="X8128" s="23" t="str">
        <f aca="false">IF(T8128="","",IF(T8128=0,"No discount",IF(T8128&lt;=0.2,"Low (1-20%)",IF(T8128&lt;=0.4,"Medium (21-40%)","High (&gt;40%)"))))</f>
        <v/>
      </c>
      <c r="Y8128" s="23" t="str">
        <f aca="false">IF(AND(ISNUMBER(C8128),ISNUMBER(D8128)),D8128-C8128,"")</f>
        <v/>
      </c>
      <c r="Z8128" s="23" t="str">
        <f aca="false">IF(B8128="","",IF(MATCH(B8128,$B$2:$B$12000,0)=ROW()-1,1,0))</f>
        <v/>
      </c>
    </row>
    <row r="8129" customFormat="false" ht="15" hidden="false" customHeight="false" outlineLevel="0" collapsed="false">
      <c r="V8129" s="23" t="str">
        <f aca="false">IF(ISNUMBER(C8129),YEAR(C8129),"")</f>
        <v/>
      </c>
      <c r="W8129" s="23" t="str">
        <f aca="false">IF(ISNUMBER(C8129),MONTH(C8129),"")</f>
        <v/>
      </c>
      <c r="X8129" s="23" t="str">
        <f aca="false">IF(T8129="","",IF(T8129=0,"No discount",IF(T8129&lt;=0.2,"Low (1-20%)",IF(T8129&lt;=0.4,"Medium (21-40%)","High (&gt;40%)"))))</f>
        <v/>
      </c>
      <c r="Y8129" s="23" t="str">
        <f aca="false">IF(AND(ISNUMBER(C8129),ISNUMBER(D8129)),D8129-C8129,"")</f>
        <v/>
      </c>
      <c r="Z8129" s="23" t="str">
        <f aca="false">IF(B8129="","",IF(MATCH(B8129,$B$2:$B$12000,0)=ROW()-1,1,0))</f>
        <v/>
      </c>
    </row>
    <row r="8130" customFormat="false" ht="15" hidden="false" customHeight="false" outlineLevel="0" collapsed="false">
      <c r="V8130" s="23" t="str">
        <f aca="false">IF(ISNUMBER(C8130),YEAR(C8130),"")</f>
        <v/>
      </c>
      <c r="W8130" s="23" t="str">
        <f aca="false">IF(ISNUMBER(C8130),MONTH(C8130),"")</f>
        <v/>
      </c>
      <c r="X8130" s="23" t="str">
        <f aca="false">IF(T8130="","",IF(T8130=0,"No discount",IF(T8130&lt;=0.2,"Low (1-20%)",IF(T8130&lt;=0.4,"Medium (21-40%)","High (&gt;40%)"))))</f>
        <v/>
      </c>
      <c r="Y8130" s="23" t="str">
        <f aca="false">IF(AND(ISNUMBER(C8130),ISNUMBER(D8130)),D8130-C8130,"")</f>
        <v/>
      </c>
      <c r="Z8130" s="23" t="str">
        <f aca="false">IF(B8130="","",IF(MATCH(B8130,$B$2:$B$12000,0)=ROW()-1,1,0))</f>
        <v/>
      </c>
    </row>
    <row r="8131" customFormat="false" ht="15" hidden="false" customHeight="false" outlineLevel="0" collapsed="false">
      <c r="V8131" s="23" t="str">
        <f aca="false">IF(ISNUMBER(C8131),YEAR(C8131),"")</f>
        <v/>
      </c>
      <c r="W8131" s="23" t="str">
        <f aca="false">IF(ISNUMBER(C8131),MONTH(C8131),"")</f>
        <v/>
      </c>
      <c r="X8131" s="23" t="str">
        <f aca="false">IF(T8131="","",IF(T8131=0,"No discount",IF(T8131&lt;=0.2,"Low (1-20%)",IF(T8131&lt;=0.4,"Medium (21-40%)","High (&gt;40%)"))))</f>
        <v/>
      </c>
      <c r="Y8131" s="23" t="str">
        <f aca="false">IF(AND(ISNUMBER(C8131),ISNUMBER(D8131)),D8131-C8131,"")</f>
        <v/>
      </c>
      <c r="Z8131" s="23" t="str">
        <f aca="false">IF(B8131="","",IF(MATCH(B8131,$B$2:$B$12000,0)=ROW()-1,1,0))</f>
        <v/>
      </c>
    </row>
    <row r="8132" customFormat="false" ht="15" hidden="false" customHeight="false" outlineLevel="0" collapsed="false">
      <c r="V8132" s="23" t="str">
        <f aca="false">IF(ISNUMBER(C8132),YEAR(C8132),"")</f>
        <v/>
      </c>
      <c r="W8132" s="23" t="str">
        <f aca="false">IF(ISNUMBER(C8132),MONTH(C8132),"")</f>
        <v/>
      </c>
      <c r="X8132" s="23" t="str">
        <f aca="false">IF(T8132="","",IF(T8132=0,"No discount",IF(T8132&lt;=0.2,"Low (1-20%)",IF(T8132&lt;=0.4,"Medium (21-40%)","High (&gt;40%)"))))</f>
        <v/>
      </c>
      <c r="Y8132" s="23" t="str">
        <f aca="false">IF(AND(ISNUMBER(C8132),ISNUMBER(D8132)),D8132-C8132,"")</f>
        <v/>
      </c>
      <c r="Z8132" s="23" t="str">
        <f aca="false">IF(B8132="","",IF(MATCH(B8132,$B$2:$B$12000,0)=ROW()-1,1,0))</f>
        <v/>
      </c>
    </row>
    <row r="8133" customFormat="false" ht="15" hidden="false" customHeight="false" outlineLevel="0" collapsed="false">
      <c r="V8133" s="23" t="str">
        <f aca="false">IF(ISNUMBER(C8133),YEAR(C8133),"")</f>
        <v/>
      </c>
      <c r="W8133" s="23" t="str">
        <f aca="false">IF(ISNUMBER(C8133),MONTH(C8133),"")</f>
        <v/>
      </c>
      <c r="X8133" s="23" t="str">
        <f aca="false">IF(T8133="","",IF(T8133=0,"No discount",IF(T8133&lt;=0.2,"Low (1-20%)",IF(T8133&lt;=0.4,"Medium (21-40%)","High (&gt;40%)"))))</f>
        <v/>
      </c>
      <c r="Y8133" s="23" t="str">
        <f aca="false">IF(AND(ISNUMBER(C8133),ISNUMBER(D8133)),D8133-C8133,"")</f>
        <v/>
      </c>
      <c r="Z8133" s="23" t="str">
        <f aca="false">IF(B8133="","",IF(MATCH(B8133,$B$2:$B$12000,0)=ROW()-1,1,0))</f>
        <v/>
      </c>
    </row>
    <row r="8134" customFormat="false" ht="15" hidden="false" customHeight="false" outlineLevel="0" collapsed="false">
      <c r="V8134" s="23" t="str">
        <f aca="false">IF(ISNUMBER(C8134),YEAR(C8134),"")</f>
        <v/>
      </c>
      <c r="W8134" s="23" t="str">
        <f aca="false">IF(ISNUMBER(C8134),MONTH(C8134),"")</f>
        <v/>
      </c>
      <c r="X8134" s="23" t="str">
        <f aca="false">IF(T8134="","",IF(T8134=0,"No discount",IF(T8134&lt;=0.2,"Low (1-20%)",IF(T8134&lt;=0.4,"Medium (21-40%)","High (&gt;40%)"))))</f>
        <v/>
      </c>
      <c r="Y8134" s="23" t="str">
        <f aca="false">IF(AND(ISNUMBER(C8134),ISNUMBER(D8134)),D8134-C8134,"")</f>
        <v/>
      </c>
      <c r="Z8134" s="23" t="str">
        <f aca="false">IF(B8134="","",IF(MATCH(B8134,$B$2:$B$12000,0)=ROW()-1,1,0))</f>
        <v/>
      </c>
    </row>
    <row r="8135" customFormat="false" ht="15" hidden="false" customHeight="false" outlineLevel="0" collapsed="false">
      <c r="V8135" s="23" t="str">
        <f aca="false">IF(ISNUMBER(C8135),YEAR(C8135),"")</f>
        <v/>
      </c>
      <c r="W8135" s="23" t="str">
        <f aca="false">IF(ISNUMBER(C8135),MONTH(C8135),"")</f>
        <v/>
      </c>
      <c r="X8135" s="23" t="str">
        <f aca="false">IF(T8135="","",IF(T8135=0,"No discount",IF(T8135&lt;=0.2,"Low (1-20%)",IF(T8135&lt;=0.4,"Medium (21-40%)","High (&gt;40%)"))))</f>
        <v/>
      </c>
      <c r="Y8135" s="23" t="str">
        <f aca="false">IF(AND(ISNUMBER(C8135),ISNUMBER(D8135)),D8135-C8135,"")</f>
        <v/>
      </c>
      <c r="Z8135" s="23" t="str">
        <f aca="false">IF(B8135="","",IF(MATCH(B8135,$B$2:$B$12000,0)=ROW()-1,1,0))</f>
        <v/>
      </c>
    </row>
    <row r="8136" customFormat="false" ht="15" hidden="false" customHeight="false" outlineLevel="0" collapsed="false">
      <c r="V8136" s="23" t="str">
        <f aca="false">IF(ISNUMBER(C8136),YEAR(C8136),"")</f>
        <v/>
      </c>
      <c r="W8136" s="23" t="str">
        <f aca="false">IF(ISNUMBER(C8136),MONTH(C8136),"")</f>
        <v/>
      </c>
      <c r="X8136" s="23" t="str">
        <f aca="false">IF(T8136="","",IF(T8136=0,"No discount",IF(T8136&lt;=0.2,"Low (1-20%)",IF(T8136&lt;=0.4,"Medium (21-40%)","High (&gt;40%)"))))</f>
        <v/>
      </c>
      <c r="Y8136" s="23" t="str">
        <f aca="false">IF(AND(ISNUMBER(C8136),ISNUMBER(D8136)),D8136-C8136,"")</f>
        <v/>
      </c>
      <c r="Z8136" s="23" t="str">
        <f aca="false">IF(B8136="","",IF(MATCH(B8136,$B$2:$B$12000,0)=ROW()-1,1,0))</f>
        <v/>
      </c>
    </row>
    <row r="8137" customFormat="false" ht="15" hidden="false" customHeight="false" outlineLevel="0" collapsed="false">
      <c r="V8137" s="23" t="str">
        <f aca="false">IF(ISNUMBER(C8137),YEAR(C8137),"")</f>
        <v/>
      </c>
      <c r="W8137" s="23" t="str">
        <f aca="false">IF(ISNUMBER(C8137),MONTH(C8137),"")</f>
        <v/>
      </c>
      <c r="X8137" s="23" t="str">
        <f aca="false">IF(T8137="","",IF(T8137=0,"No discount",IF(T8137&lt;=0.2,"Low (1-20%)",IF(T8137&lt;=0.4,"Medium (21-40%)","High (&gt;40%)"))))</f>
        <v/>
      </c>
      <c r="Y8137" s="23" t="str">
        <f aca="false">IF(AND(ISNUMBER(C8137),ISNUMBER(D8137)),D8137-C8137,"")</f>
        <v/>
      </c>
      <c r="Z8137" s="23" t="str">
        <f aca="false">IF(B8137="","",IF(MATCH(B8137,$B$2:$B$12000,0)=ROW()-1,1,0))</f>
        <v/>
      </c>
    </row>
    <row r="8138" customFormat="false" ht="15" hidden="false" customHeight="false" outlineLevel="0" collapsed="false">
      <c r="V8138" s="23" t="str">
        <f aca="false">IF(ISNUMBER(C8138),YEAR(C8138),"")</f>
        <v/>
      </c>
      <c r="W8138" s="23" t="str">
        <f aca="false">IF(ISNUMBER(C8138),MONTH(C8138),"")</f>
        <v/>
      </c>
      <c r="X8138" s="23" t="str">
        <f aca="false">IF(T8138="","",IF(T8138=0,"No discount",IF(T8138&lt;=0.2,"Low (1-20%)",IF(T8138&lt;=0.4,"Medium (21-40%)","High (&gt;40%)"))))</f>
        <v/>
      </c>
      <c r="Y8138" s="23" t="str">
        <f aca="false">IF(AND(ISNUMBER(C8138),ISNUMBER(D8138)),D8138-C8138,"")</f>
        <v/>
      </c>
      <c r="Z8138" s="23" t="str">
        <f aca="false">IF(B8138="","",IF(MATCH(B8138,$B$2:$B$12000,0)=ROW()-1,1,0))</f>
        <v/>
      </c>
    </row>
    <row r="8139" customFormat="false" ht="15" hidden="false" customHeight="false" outlineLevel="0" collapsed="false">
      <c r="V8139" s="23" t="str">
        <f aca="false">IF(ISNUMBER(C8139),YEAR(C8139),"")</f>
        <v/>
      </c>
      <c r="W8139" s="23" t="str">
        <f aca="false">IF(ISNUMBER(C8139),MONTH(C8139),"")</f>
        <v/>
      </c>
      <c r="X8139" s="23" t="str">
        <f aca="false">IF(T8139="","",IF(T8139=0,"No discount",IF(T8139&lt;=0.2,"Low (1-20%)",IF(T8139&lt;=0.4,"Medium (21-40%)","High (&gt;40%)"))))</f>
        <v/>
      </c>
      <c r="Y8139" s="23" t="str">
        <f aca="false">IF(AND(ISNUMBER(C8139),ISNUMBER(D8139)),D8139-C8139,"")</f>
        <v/>
      </c>
      <c r="Z8139" s="23" t="str">
        <f aca="false">IF(B8139="","",IF(MATCH(B8139,$B$2:$B$12000,0)=ROW()-1,1,0))</f>
        <v/>
      </c>
    </row>
    <row r="8140" customFormat="false" ht="15" hidden="false" customHeight="false" outlineLevel="0" collapsed="false">
      <c r="V8140" s="23" t="str">
        <f aca="false">IF(ISNUMBER(C8140),YEAR(C8140),"")</f>
        <v/>
      </c>
      <c r="W8140" s="23" t="str">
        <f aca="false">IF(ISNUMBER(C8140),MONTH(C8140),"")</f>
        <v/>
      </c>
      <c r="X8140" s="23" t="str">
        <f aca="false">IF(T8140="","",IF(T8140=0,"No discount",IF(T8140&lt;=0.2,"Low (1-20%)",IF(T8140&lt;=0.4,"Medium (21-40%)","High (&gt;40%)"))))</f>
        <v/>
      </c>
      <c r="Y8140" s="23" t="str">
        <f aca="false">IF(AND(ISNUMBER(C8140),ISNUMBER(D8140)),D8140-C8140,"")</f>
        <v/>
      </c>
      <c r="Z8140" s="23" t="str">
        <f aca="false">IF(B8140="","",IF(MATCH(B8140,$B$2:$B$12000,0)=ROW()-1,1,0))</f>
        <v/>
      </c>
    </row>
    <row r="8141" customFormat="false" ht="15" hidden="false" customHeight="false" outlineLevel="0" collapsed="false">
      <c r="V8141" s="23" t="str">
        <f aca="false">IF(ISNUMBER(C8141),YEAR(C8141),"")</f>
        <v/>
      </c>
      <c r="W8141" s="23" t="str">
        <f aca="false">IF(ISNUMBER(C8141),MONTH(C8141),"")</f>
        <v/>
      </c>
      <c r="X8141" s="23" t="str">
        <f aca="false">IF(T8141="","",IF(T8141=0,"No discount",IF(T8141&lt;=0.2,"Low (1-20%)",IF(T8141&lt;=0.4,"Medium (21-40%)","High (&gt;40%)"))))</f>
        <v/>
      </c>
      <c r="Y8141" s="23" t="str">
        <f aca="false">IF(AND(ISNUMBER(C8141),ISNUMBER(D8141)),D8141-C8141,"")</f>
        <v/>
      </c>
      <c r="Z8141" s="23" t="str">
        <f aca="false">IF(B8141="","",IF(MATCH(B8141,$B$2:$B$12000,0)=ROW()-1,1,0))</f>
        <v/>
      </c>
    </row>
    <row r="8142" customFormat="false" ht="15" hidden="false" customHeight="false" outlineLevel="0" collapsed="false">
      <c r="V8142" s="23" t="str">
        <f aca="false">IF(ISNUMBER(C8142),YEAR(C8142),"")</f>
        <v/>
      </c>
      <c r="W8142" s="23" t="str">
        <f aca="false">IF(ISNUMBER(C8142),MONTH(C8142),"")</f>
        <v/>
      </c>
      <c r="X8142" s="23" t="str">
        <f aca="false">IF(T8142="","",IF(T8142=0,"No discount",IF(T8142&lt;=0.2,"Low (1-20%)",IF(T8142&lt;=0.4,"Medium (21-40%)","High (&gt;40%)"))))</f>
        <v/>
      </c>
      <c r="Y8142" s="23" t="str">
        <f aca="false">IF(AND(ISNUMBER(C8142),ISNUMBER(D8142)),D8142-C8142,"")</f>
        <v/>
      </c>
      <c r="Z8142" s="23" t="str">
        <f aca="false">IF(B8142="","",IF(MATCH(B8142,$B$2:$B$12000,0)=ROW()-1,1,0))</f>
        <v/>
      </c>
    </row>
    <row r="8143" customFormat="false" ht="15" hidden="false" customHeight="false" outlineLevel="0" collapsed="false">
      <c r="V8143" s="23" t="str">
        <f aca="false">IF(ISNUMBER(C8143),YEAR(C8143),"")</f>
        <v/>
      </c>
      <c r="W8143" s="23" t="str">
        <f aca="false">IF(ISNUMBER(C8143),MONTH(C8143),"")</f>
        <v/>
      </c>
      <c r="X8143" s="23" t="str">
        <f aca="false">IF(T8143="","",IF(T8143=0,"No discount",IF(T8143&lt;=0.2,"Low (1-20%)",IF(T8143&lt;=0.4,"Medium (21-40%)","High (&gt;40%)"))))</f>
        <v/>
      </c>
      <c r="Y8143" s="23" t="str">
        <f aca="false">IF(AND(ISNUMBER(C8143),ISNUMBER(D8143)),D8143-C8143,"")</f>
        <v/>
      </c>
      <c r="Z8143" s="23" t="str">
        <f aca="false">IF(B8143="","",IF(MATCH(B8143,$B$2:$B$12000,0)=ROW()-1,1,0))</f>
        <v/>
      </c>
    </row>
    <row r="8144" customFormat="false" ht="15" hidden="false" customHeight="false" outlineLevel="0" collapsed="false">
      <c r="V8144" s="23" t="str">
        <f aca="false">IF(ISNUMBER(C8144),YEAR(C8144),"")</f>
        <v/>
      </c>
      <c r="W8144" s="23" t="str">
        <f aca="false">IF(ISNUMBER(C8144),MONTH(C8144),"")</f>
        <v/>
      </c>
      <c r="X8144" s="23" t="str">
        <f aca="false">IF(T8144="","",IF(T8144=0,"No discount",IF(T8144&lt;=0.2,"Low (1-20%)",IF(T8144&lt;=0.4,"Medium (21-40%)","High (&gt;40%)"))))</f>
        <v/>
      </c>
      <c r="Y8144" s="23" t="str">
        <f aca="false">IF(AND(ISNUMBER(C8144),ISNUMBER(D8144)),D8144-C8144,"")</f>
        <v/>
      </c>
      <c r="Z8144" s="23" t="str">
        <f aca="false">IF(B8144="","",IF(MATCH(B8144,$B$2:$B$12000,0)=ROW()-1,1,0))</f>
        <v/>
      </c>
    </row>
    <row r="8145" customFormat="false" ht="15" hidden="false" customHeight="false" outlineLevel="0" collapsed="false">
      <c r="V8145" s="23" t="str">
        <f aca="false">IF(ISNUMBER(C8145),YEAR(C8145),"")</f>
        <v/>
      </c>
      <c r="W8145" s="23" t="str">
        <f aca="false">IF(ISNUMBER(C8145),MONTH(C8145),"")</f>
        <v/>
      </c>
      <c r="X8145" s="23" t="str">
        <f aca="false">IF(T8145="","",IF(T8145=0,"No discount",IF(T8145&lt;=0.2,"Low (1-20%)",IF(T8145&lt;=0.4,"Medium (21-40%)","High (&gt;40%)"))))</f>
        <v/>
      </c>
      <c r="Y8145" s="23" t="str">
        <f aca="false">IF(AND(ISNUMBER(C8145),ISNUMBER(D8145)),D8145-C8145,"")</f>
        <v/>
      </c>
      <c r="Z8145" s="23" t="str">
        <f aca="false">IF(B8145="","",IF(MATCH(B8145,$B$2:$B$12000,0)=ROW()-1,1,0))</f>
        <v/>
      </c>
    </row>
    <row r="8146" customFormat="false" ht="15" hidden="false" customHeight="false" outlineLevel="0" collapsed="false">
      <c r="V8146" s="23" t="str">
        <f aca="false">IF(ISNUMBER(C8146),YEAR(C8146),"")</f>
        <v/>
      </c>
      <c r="W8146" s="23" t="str">
        <f aca="false">IF(ISNUMBER(C8146),MONTH(C8146),"")</f>
        <v/>
      </c>
      <c r="X8146" s="23" t="str">
        <f aca="false">IF(T8146="","",IF(T8146=0,"No discount",IF(T8146&lt;=0.2,"Low (1-20%)",IF(T8146&lt;=0.4,"Medium (21-40%)","High (&gt;40%)"))))</f>
        <v/>
      </c>
      <c r="Y8146" s="23" t="str">
        <f aca="false">IF(AND(ISNUMBER(C8146),ISNUMBER(D8146)),D8146-C8146,"")</f>
        <v/>
      </c>
      <c r="Z8146" s="23" t="str">
        <f aca="false">IF(B8146="","",IF(MATCH(B8146,$B$2:$B$12000,0)=ROW()-1,1,0))</f>
        <v/>
      </c>
    </row>
    <row r="8147" customFormat="false" ht="15" hidden="false" customHeight="false" outlineLevel="0" collapsed="false">
      <c r="V8147" s="23" t="str">
        <f aca="false">IF(ISNUMBER(C8147),YEAR(C8147),"")</f>
        <v/>
      </c>
      <c r="W8147" s="23" t="str">
        <f aca="false">IF(ISNUMBER(C8147),MONTH(C8147),"")</f>
        <v/>
      </c>
      <c r="X8147" s="23" t="str">
        <f aca="false">IF(T8147="","",IF(T8147=0,"No discount",IF(T8147&lt;=0.2,"Low (1-20%)",IF(T8147&lt;=0.4,"Medium (21-40%)","High (&gt;40%)"))))</f>
        <v/>
      </c>
      <c r="Y8147" s="23" t="str">
        <f aca="false">IF(AND(ISNUMBER(C8147),ISNUMBER(D8147)),D8147-C8147,"")</f>
        <v/>
      </c>
      <c r="Z8147" s="23" t="str">
        <f aca="false">IF(B8147="","",IF(MATCH(B8147,$B$2:$B$12000,0)=ROW()-1,1,0))</f>
        <v/>
      </c>
    </row>
    <row r="8148" customFormat="false" ht="15" hidden="false" customHeight="false" outlineLevel="0" collapsed="false">
      <c r="V8148" s="23" t="str">
        <f aca="false">IF(ISNUMBER(C8148),YEAR(C8148),"")</f>
        <v/>
      </c>
      <c r="W8148" s="23" t="str">
        <f aca="false">IF(ISNUMBER(C8148),MONTH(C8148),"")</f>
        <v/>
      </c>
      <c r="X8148" s="23" t="str">
        <f aca="false">IF(T8148="","",IF(T8148=0,"No discount",IF(T8148&lt;=0.2,"Low (1-20%)",IF(T8148&lt;=0.4,"Medium (21-40%)","High (&gt;40%)"))))</f>
        <v/>
      </c>
      <c r="Y8148" s="23" t="str">
        <f aca="false">IF(AND(ISNUMBER(C8148),ISNUMBER(D8148)),D8148-C8148,"")</f>
        <v/>
      </c>
      <c r="Z8148" s="23" t="str">
        <f aca="false">IF(B8148="","",IF(MATCH(B8148,$B$2:$B$12000,0)=ROW()-1,1,0))</f>
        <v/>
      </c>
    </row>
    <row r="8149" customFormat="false" ht="15" hidden="false" customHeight="false" outlineLevel="0" collapsed="false">
      <c r="V8149" s="23" t="str">
        <f aca="false">IF(ISNUMBER(C8149),YEAR(C8149),"")</f>
        <v/>
      </c>
      <c r="W8149" s="23" t="str">
        <f aca="false">IF(ISNUMBER(C8149),MONTH(C8149),"")</f>
        <v/>
      </c>
      <c r="X8149" s="23" t="str">
        <f aca="false">IF(T8149="","",IF(T8149=0,"No discount",IF(T8149&lt;=0.2,"Low (1-20%)",IF(T8149&lt;=0.4,"Medium (21-40%)","High (&gt;40%)"))))</f>
        <v/>
      </c>
      <c r="Y8149" s="23" t="str">
        <f aca="false">IF(AND(ISNUMBER(C8149),ISNUMBER(D8149)),D8149-C8149,"")</f>
        <v/>
      </c>
      <c r="Z8149" s="23" t="str">
        <f aca="false">IF(B8149="","",IF(MATCH(B8149,$B$2:$B$12000,0)=ROW()-1,1,0))</f>
        <v/>
      </c>
    </row>
    <row r="8150" customFormat="false" ht="15" hidden="false" customHeight="false" outlineLevel="0" collapsed="false">
      <c r="V8150" s="23" t="str">
        <f aca="false">IF(ISNUMBER(C8150),YEAR(C8150),"")</f>
        <v/>
      </c>
      <c r="W8150" s="23" t="str">
        <f aca="false">IF(ISNUMBER(C8150),MONTH(C8150),"")</f>
        <v/>
      </c>
      <c r="X8150" s="23" t="str">
        <f aca="false">IF(T8150="","",IF(T8150=0,"No discount",IF(T8150&lt;=0.2,"Low (1-20%)",IF(T8150&lt;=0.4,"Medium (21-40%)","High (&gt;40%)"))))</f>
        <v/>
      </c>
      <c r="Y8150" s="23" t="str">
        <f aca="false">IF(AND(ISNUMBER(C8150),ISNUMBER(D8150)),D8150-C8150,"")</f>
        <v/>
      </c>
      <c r="Z8150" s="23" t="str">
        <f aca="false">IF(B8150="","",IF(MATCH(B8150,$B$2:$B$12000,0)=ROW()-1,1,0))</f>
        <v/>
      </c>
    </row>
    <row r="8151" customFormat="false" ht="15" hidden="false" customHeight="false" outlineLevel="0" collapsed="false">
      <c r="V8151" s="23" t="str">
        <f aca="false">IF(ISNUMBER(C8151),YEAR(C8151),"")</f>
        <v/>
      </c>
      <c r="W8151" s="23" t="str">
        <f aca="false">IF(ISNUMBER(C8151),MONTH(C8151),"")</f>
        <v/>
      </c>
      <c r="X8151" s="23" t="str">
        <f aca="false">IF(T8151="","",IF(T8151=0,"No discount",IF(T8151&lt;=0.2,"Low (1-20%)",IF(T8151&lt;=0.4,"Medium (21-40%)","High (&gt;40%)"))))</f>
        <v/>
      </c>
      <c r="Y8151" s="23" t="str">
        <f aca="false">IF(AND(ISNUMBER(C8151),ISNUMBER(D8151)),D8151-C8151,"")</f>
        <v/>
      </c>
      <c r="Z8151" s="23" t="str">
        <f aca="false">IF(B8151="","",IF(MATCH(B8151,$B$2:$B$12000,0)=ROW()-1,1,0))</f>
        <v/>
      </c>
    </row>
    <row r="8152" customFormat="false" ht="15" hidden="false" customHeight="false" outlineLevel="0" collapsed="false">
      <c r="V8152" s="23" t="str">
        <f aca="false">IF(ISNUMBER(C8152),YEAR(C8152),"")</f>
        <v/>
      </c>
      <c r="W8152" s="23" t="str">
        <f aca="false">IF(ISNUMBER(C8152),MONTH(C8152),"")</f>
        <v/>
      </c>
      <c r="X8152" s="23" t="str">
        <f aca="false">IF(T8152="","",IF(T8152=0,"No discount",IF(T8152&lt;=0.2,"Low (1-20%)",IF(T8152&lt;=0.4,"Medium (21-40%)","High (&gt;40%)"))))</f>
        <v/>
      </c>
      <c r="Y8152" s="23" t="str">
        <f aca="false">IF(AND(ISNUMBER(C8152),ISNUMBER(D8152)),D8152-C8152,"")</f>
        <v/>
      </c>
      <c r="Z8152" s="23" t="str">
        <f aca="false">IF(B8152="","",IF(MATCH(B8152,$B$2:$B$12000,0)=ROW()-1,1,0))</f>
        <v/>
      </c>
    </row>
    <row r="8153" customFormat="false" ht="15" hidden="false" customHeight="false" outlineLevel="0" collapsed="false">
      <c r="V8153" s="23" t="str">
        <f aca="false">IF(ISNUMBER(C8153),YEAR(C8153),"")</f>
        <v/>
      </c>
      <c r="W8153" s="23" t="str">
        <f aca="false">IF(ISNUMBER(C8153),MONTH(C8153),"")</f>
        <v/>
      </c>
      <c r="X8153" s="23" t="str">
        <f aca="false">IF(T8153="","",IF(T8153=0,"No discount",IF(T8153&lt;=0.2,"Low (1-20%)",IF(T8153&lt;=0.4,"Medium (21-40%)","High (&gt;40%)"))))</f>
        <v/>
      </c>
      <c r="Y8153" s="23" t="str">
        <f aca="false">IF(AND(ISNUMBER(C8153),ISNUMBER(D8153)),D8153-C8153,"")</f>
        <v/>
      </c>
      <c r="Z8153" s="23" t="str">
        <f aca="false">IF(B8153="","",IF(MATCH(B8153,$B$2:$B$12000,0)=ROW()-1,1,0))</f>
        <v/>
      </c>
    </row>
    <row r="8154" customFormat="false" ht="15" hidden="false" customHeight="false" outlineLevel="0" collapsed="false">
      <c r="V8154" s="23" t="str">
        <f aca="false">IF(ISNUMBER(C8154),YEAR(C8154),"")</f>
        <v/>
      </c>
      <c r="W8154" s="23" t="str">
        <f aca="false">IF(ISNUMBER(C8154),MONTH(C8154),"")</f>
        <v/>
      </c>
      <c r="X8154" s="23" t="str">
        <f aca="false">IF(T8154="","",IF(T8154=0,"No discount",IF(T8154&lt;=0.2,"Low (1-20%)",IF(T8154&lt;=0.4,"Medium (21-40%)","High (&gt;40%)"))))</f>
        <v/>
      </c>
      <c r="Y8154" s="23" t="str">
        <f aca="false">IF(AND(ISNUMBER(C8154),ISNUMBER(D8154)),D8154-C8154,"")</f>
        <v/>
      </c>
      <c r="Z8154" s="23" t="str">
        <f aca="false">IF(B8154="","",IF(MATCH(B8154,$B$2:$B$12000,0)=ROW()-1,1,0))</f>
        <v/>
      </c>
    </row>
    <row r="8155" customFormat="false" ht="15" hidden="false" customHeight="false" outlineLevel="0" collapsed="false">
      <c r="V8155" s="23" t="str">
        <f aca="false">IF(ISNUMBER(C8155),YEAR(C8155),"")</f>
        <v/>
      </c>
      <c r="W8155" s="23" t="str">
        <f aca="false">IF(ISNUMBER(C8155),MONTH(C8155),"")</f>
        <v/>
      </c>
      <c r="X8155" s="23" t="str">
        <f aca="false">IF(T8155="","",IF(T8155=0,"No discount",IF(T8155&lt;=0.2,"Low (1-20%)",IF(T8155&lt;=0.4,"Medium (21-40%)","High (&gt;40%)"))))</f>
        <v/>
      </c>
      <c r="Y8155" s="23" t="str">
        <f aca="false">IF(AND(ISNUMBER(C8155),ISNUMBER(D8155)),D8155-C8155,"")</f>
        <v/>
      </c>
      <c r="Z8155" s="23" t="str">
        <f aca="false">IF(B8155="","",IF(MATCH(B8155,$B$2:$B$12000,0)=ROW()-1,1,0))</f>
        <v/>
      </c>
    </row>
    <row r="8156" customFormat="false" ht="15" hidden="false" customHeight="false" outlineLevel="0" collapsed="false">
      <c r="V8156" s="23" t="str">
        <f aca="false">IF(ISNUMBER(C8156),YEAR(C8156),"")</f>
        <v/>
      </c>
      <c r="W8156" s="23" t="str">
        <f aca="false">IF(ISNUMBER(C8156),MONTH(C8156),"")</f>
        <v/>
      </c>
      <c r="X8156" s="23" t="str">
        <f aca="false">IF(T8156="","",IF(T8156=0,"No discount",IF(T8156&lt;=0.2,"Low (1-20%)",IF(T8156&lt;=0.4,"Medium (21-40%)","High (&gt;40%)"))))</f>
        <v/>
      </c>
      <c r="Y8156" s="23" t="str">
        <f aca="false">IF(AND(ISNUMBER(C8156),ISNUMBER(D8156)),D8156-C8156,"")</f>
        <v/>
      </c>
      <c r="Z8156" s="23" t="str">
        <f aca="false">IF(B8156="","",IF(MATCH(B8156,$B$2:$B$12000,0)=ROW()-1,1,0))</f>
        <v/>
      </c>
    </row>
    <row r="8157" customFormat="false" ht="15" hidden="false" customHeight="false" outlineLevel="0" collapsed="false">
      <c r="V8157" s="23" t="str">
        <f aca="false">IF(ISNUMBER(C8157),YEAR(C8157),"")</f>
        <v/>
      </c>
      <c r="W8157" s="23" t="str">
        <f aca="false">IF(ISNUMBER(C8157),MONTH(C8157),"")</f>
        <v/>
      </c>
      <c r="X8157" s="23" t="str">
        <f aca="false">IF(T8157="","",IF(T8157=0,"No discount",IF(T8157&lt;=0.2,"Low (1-20%)",IF(T8157&lt;=0.4,"Medium (21-40%)","High (&gt;40%)"))))</f>
        <v/>
      </c>
      <c r="Y8157" s="23" t="str">
        <f aca="false">IF(AND(ISNUMBER(C8157),ISNUMBER(D8157)),D8157-C8157,"")</f>
        <v/>
      </c>
      <c r="Z8157" s="23" t="str">
        <f aca="false">IF(B8157="","",IF(MATCH(B8157,$B$2:$B$12000,0)=ROW()-1,1,0))</f>
        <v/>
      </c>
    </row>
    <row r="8158" customFormat="false" ht="15" hidden="false" customHeight="false" outlineLevel="0" collapsed="false">
      <c r="V8158" s="23" t="str">
        <f aca="false">IF(ISNUMBER(C8158),YEAR(C8158),"")</f>
        <v/>
      </c>
      <c r="W8158" s="23" t="str">
        <f aca="false">IF(ISNUMBER(C8158),MONTH(C8158),"")</f>
        <v/>
      </c>
      <c r="X8158" s="23" t="str">
        <f aca="false">IF(T8158="","",IF(T8158=0,"No discount",IF(T8158&lt;=0.2,"Low (1-20%)",IF(T8158&lt;=0.4,"Medium (21-40%)","High (&gt;40%)"))))</f>
        <v/>
      </c>
      <c r="Y8158" s="23" t="str">
        <f aca="false">IF(AND(ISNUMBER(C8158),ISNUMBER(D8158)),D8158-C8158,"")</f>
        <v/>
      </c>
      <c r="Z8158" s="23" t="str">
        <f aca="false">IF(B8158="","",IF(MATCH(B8158,$B$2:$B$12000,0)=ROW()-1,1,0))</f>
        <v/>
      </c>
    </row>
    <row r="8159" customFormat="false" ht="15" hidden="false" customHeight="false" outlineLevel="0" collapsed="false">
      <c r="V8159" s="23" t="str">
        <f aca="false">IF(ISNUMBER(C8159),YEAR(C8159),"")</f>
        <v/>
      </c>
      <c r="W8159" s="23" t="str">
        <f aca="false">IF(ISNUMBER(C8159),MONTH(C8159),"")</f>
        <v/>
      </c>
      <c r="X8159" s="23" t="str">
        <f aca="false">IF(T8159="","",IF(T8159=0,"No discount",IF(T8159&lt;=0.2,"Low (1-20%)",IF(T8159&lt;=0.4,"Medium (21-40%)","High (&gt;40%)"))))</f>
        <v/>
      </c>
      <c r="Y8159" s="23" t="str">
        <f aca="false">IF(AND(ISNUMBER(C8159),ISNUMBER(D8159)),D8159-C8159,"")</f>
        <v/>
      </c>
      <c r="Z8159" s="23" t="str">
        <f aca="false">IF(B8159="","",IF(MATCH(B8159,$B$2:$B$12000,0)=ROW()-1,1,0))</f>
        <v/>
      </c>
    </row>
    <row r="8160" customFormat="false" ht="15" hidden="false" customHeight="false" outlineLevel="0" collapsed="false">
      <c r="V8160" s="23" t="str">
        <f aca="false">IF(ISNUMBER(C8160),YEAR(C8160),"")</f>
        <v/>
      </c>
      <c r="W8160" s="23" t="str">
        <f aca="false">IF(ISNUMBER(C8160),MONTH(C8160),"")</f>
        <v/>
      </c>
      <c r="X8160" s="23" t="str">
        <f aca="false">IF(T8160="","",IF(T8160=0,"No discount",IF(T8160&lt;=0.2,"Low (1-20%)",IF(T8160&lt;=0.4,"Medium (21-40%)","High (&gt;40%)"))))</f>
        <v/>
      </c>
      <c r="Y8160" s="23" t="str">
        <f aca="false">IF(AND(ISNUMBER(C8160),ISNUMBER(D8160)),D8160-C8160,"")</f>
        <v/>
      </c>
      <c r="Z8160" s="23" t="str">
        <f aca="false">IF(B8160="","",IF(MATCH(B8160,$B$2:$B$12000,0)=ROW()-1,1,0))</f>
        <v/>
      </c>
    </row>
    <row r="8161" customFormat="false" ht="15" hidden="false" customHeight="false" outlineLevel="0" collapsed="false">
      <c r="V8161" s="23" t="str">
        <f aca="false">IF(ISNUMBER(C8161),YEAR(C8161),"")</f>
        <v/>
      </c>
      <c r="W8161" s="23" t="str">
        <f aca="false">IF(ISNUMBER(C8161),MONTH(C8161),"")</f>
        <v/>
      </c>
      <c r="X8161" s="23" t="str">
        <f aca="false">IF(T8161="","",IF(T8161=0,"No discount",IF(T8161&lt;=0.2,"Low (1-20%)",IF(T8161&lt;=0.4,"Medium (21-40%)","High (&gt;40%)"))))</f>
        <v/>
      </c>
      <c r="Y8161" s="23" t="str">
        <f aca="false">IF(AND(ISNUMBER(C8161),ISNUMBER(D8161)),D8161-C8161,"")</f>
        <v/>
      </c>
      <c r="Z8161" s="23" t="str">
        <f aca="false">IF(B8161="","",IF(MATCH(B8161,$B$2:$B$12000,0)=ROW()-1,1,0))</f>
        <v/>
      </c>
    </row>
    <row r="8162" customFormat="false" ht="15" hidden="false" customHeight="false" outlineLevel="0" collapsed="false">
      <c r="V8162" s="23" t="str">
        <f aca="false">IF(ISNUMBER(C8162),YEAR(C8162),"")</f>
        <v/>
      </c>
      <c r="W8162" s="23" t="str">
        <f aca="false">IF(ISNUMBER(C8162),MONTH(C8162),"")</f>
        <v/>
      </c>
      <c r="X8162" s="23" t="str">
        <f aca="false">IF(T8162="","",IF(T8162=0,"No discount",IF(T8162&lt;=0.2,"Low (1-20%)",IF(T8162&lt;=0.4,"Medium (21-40%)","High (&gt;40%)"))))</f>
        <v/>
      </c>
      <c r="Y8162" s="23" t="str">
        <f aca="false">IF(AND(ISNUMBER(C8162),ISNUMBER(D8162)),D8162-C8162,"")</f>
        <v/>
      </c>
      <c r="Z8162" s="23" t="str">
        <f aca="false">IF(B8162="","",IF(MATCH(B8162,$B$2:$B$12000,0)=ROW()-1,1,0))</f>
        <v/>
      </c>
    </row>
    <row r="8163" customFormat="false" ht="15" hidden="false" customHeight="false" outlineLevel="0" collapsed="false">
      <c r="V8163" s="23" t="str">
        <f aca="false">IF(ISNUMBER(C8163),YEAR(C8163),"")</f>
        <v/>
      </c>
      <c r="W8163" s="23" t="str">
        <f aca="false">IF(ISNUMBER(C8163),MONTH(C8163),"")</f>
        <v/>
      </c>
      <c r="X8163" s="23" t="str">
        <f aca="false">IF(T8163="","",IF(T8163=0,"No discount",IF(T8163&lt;=0.2,"Low (1-20%)",IF(T8163&lt;=0.4,"Medium (21-40%)","High (&gt;40%)"))))</f>
        <v/>
      </c>
      <c r="Y8163" s="23" t="str">
        <f aca="false">IF(AND(ISNUMBER(C8163),ISNUMBER(D8163)),D8163-C8163,"")</f>
        <v/>
      </c>
      <c r="Z8163" s="23" t="str">
        <f aca="false">IF(B8163="","",IF(MATCH(B8163,$B$2:$B$12000,0)=ROW()-1,1,0))</f>
        <v/>
      </c>
    </row>
    <row r="8164" customFormat="false" ht="15" hidden="false" customHeight="false" outlineLevel="0" collapsed="false">
      <c r="V8164" s="23" t="str">
        <f aca="false">IF(ISNUMBER(C8164),YEAR(C8164),"")</f>
        <v/>
      </c>
      <c r="W8164" s="23" t="str">
        <f aca="false">IF(ISNUMBER(C8164),MONTH(C8164),"")</f>
        <v/>
      </c>
      <c r="X8164" s="23" t="str">
        <f aca="false">IF(T8164="","",IF(T8164=0,"No discount",IF(T8164&lt;=0.2,"Low (1-20%)",IF(T8164&lt;=0.4,"Medium (21-40%)","High (&gt;40%)"))))</f>
        <v/>
      </c>
      <c r="Y8164" s="23" t="str">
        <f aca="false">IF(AND(ISNUMBER(C8164),ISNUMBER(D8164)),D8164-C8164,"")</f>
        <v/>
      </c>
      <c r="Z8164" s="23" t="str">
        <f aca="false">IF(B8164="","",IF(MATCH(B8164,$B$2:$B$12000,0)=ROW()-1,1,0))</f>
        <v/>
      </c>
    </row>
    <row r="8165" customFormat="false" ht="15" hidden="false" customHeight="false" outlineLevel="0" collapsed="false">
      <c r="V8165" s="23" t="str">
        <f aca="false">IF(ISNUMBER(C8165),YEAR(C8165),"")</f>
        <v/>
      </c>
      <c r="W8165" s="23" t="str">
        <f aca="false">IF(ISNUMBER(C8165),MONTH(C8165),"")</f>
        <v/>
      </c>
      <c r="X8165" s="23" t="str">
        <f aca="false">IF(T8165="","",IF(T8165=0,"No discount",IF(T8165&lt;=0.2,"Low (1-20%)",IF(T8165&lt;=0.4,"Medium (21-40%)","High (&gt;40%)"))))</f>
        <v/>
      </c>
      <c r="Y8165" s="23" t="str">
        <f aca="false">IF(AND(ISNUMBER(C8165),ISNUMBER(D8165)),D8165-C8165,"")</f>
        <v/>
      </c>
      <c r="Z8165" s="23" t="str">
        <f aca="false">IF(B8165="","",IF(MATCH(B8165,$B$2:$B$12000,0)=ROW()-1,1,0))</f>
        <v/>
      </c>
    </row>
    <row r="8166" customFormat="false" ht="15" hidden="false" customHeight="false" outlineLevel="0" collapsed="false">
      <c r="V8166" s="23" t="str">
        <f aca="false">IF(ISNUMBER(C8166),YEAR(C8166),"")</f>
        <v/>
      </c>
      <c r="W8166" s="23" t="str">
        <f aca="false">IF(ISNUMBER(C8166),MONTH(C8166),"")</f>
        <v/>
      </c>
      <c r="X8166" s="23" t="str">
        <f aca="false">IF(T8166="","",IF(T8166=0,"No discount",IF(T8166&lt;=0.2,"Low (1-20%)",IF(T8166&lt;=0.4,"Medium (21-40%)","High (&gt;40%)"))))</f>
        <v/>
      </c>
      <c r="Y8166" s="23" t="str">
        <f aca="false">IF(AND(ISNUMBER(C8166),ISNUMBER(D8166)),D8166-C8166,"")</f>
        <v/>
      </c>
      <c r="Z8166" s="23" t="str">
        <f aca="false">IF(B8166="","",IF(MATCH(B8166,$B$2:$B$12000,0)=ROW()-1,1,0))</f>
        <v/>
      </c>
    </row>
    <row r="8167" customFormat="false" ht="15" hidden="false" customHeight="false" outlineLevel="0" collapsed="false">
      <c r="V8167" s="23" t="str">
        <f aca="false">IF(ISNUMBER(C8167),YEAR(C8167),"")</f>
        <v/>
      </c>
      <c r="W8167" s="23" t="str">
        <f aca="false">IF(ISNUMBER(C8167),MONTH(C8167),"")</f>
        <v/>
      </c>
      <c r="X8167" s="23" t="str">
        <f aca="false">IF(T8167="","",IF(T8167=0,"No discount",IF(T8167&lt;=0.2,"Low (1-20%)",IF(T8167&lt;=0.4,"Medium (21-40%)","High (&gt;40%)"))))</f>
        <v/>
      </c>
      <c r="Y8167" s="23" t="str">
        <f aca="false">IF(AND(ISNUMBER(C8167),ISNUMBER(D8167)),D8167-C8167,"")</f>
        <v/>
      </c>
      <c r="Z8167" s="23" t="str">
        <f aca="false">IF(B8167="","",IF(MATCH(B8167,$B$2:$B$12000,0)=ROW()-1,1,0))</f>
        <v/>
      </c>
    </row>
    <row r="8168" customFormat="false" ht="15" hidden="false" customHeight="false" outlineLevel="0" collapsed="false">
      <c r="V8168" s="23" t="str">
        <f aca="false">IF(ISNUMBER(C8168),YEAR(C8168),"")</f>
        <v/>
      </c>
      <c r="W8168" s="23" t="str">
        <f aca="false">IF(ISNUMBER(C8168),MONTH(C8168),"")</f>
        <v/>
      </c>
      <c r="X8168" s="23" t="str">
        <f aca="false">IF(T8168="","",IF(T8168=0,"No discount",IF(T8168&lt;=0.2,"Low (1-20%)",IF(T8168&lt;=0.4,"Medium (21-40%)","High (&gt;40%)"))))</f>
        <v/>
      </c>
      <c r="Y8168" s="23" t="str">
        <f aca="false">IF(AND(ISNUMBER(C8168),ISNUMBER(D8168)),D8168-C8168,"")</f>
        <v/>
      </c>
      <c r="Z8168" s="23" t="str">
        <f aca="false">IF(B8168="","",IF(MATCH(B8168,$B$2:$B$12000,0)=ROW()-1,1,0))</f>
        <v/>
      </c>
    </row>
    <row r="8169" customFormat="false" ht="15" hidden="false" customHeight="false" outlineLevel="0" collapsed="false">
      <c r="V8169" s="23" t="str">
        <f aca="false">IF(ISNUMBER(C8169),YEAR(C8169),"")</f>
        <v/>
      </c>
      <c r="W8169" s="23" t="str">
        <f aca="false">IF(ISNUMBER(C8169),MONTH(C8169),"")</f>
        <v/>
      </c>
      <c r="X8169" s="23" t="str">
        <f aca="false">IF(T8169="","",IF(T8169=0,"No discount",IF(T8169&lt;=0.2,"Low (1-20%)",IF(T8169&lt;=0.4,"Medium (21-40%)","High (&gt;40%)"))))</f>
        <v/>
      </c>
      <c r="Y8169" s="23" t="str">
        <f aca="false">IF(AND(ISNUMBER(C8169),ISNUMBER(D8169)),D8169-C8169,"")</f>
        <v/>
      </c>
      <c r="Z8169" s="23" t="str">
        <f aca="false">IF(B8169="","",IF(MATCH(B8169,$B$2:$B$12000,0)=ROW()-1,1,0))</f>
        <v/>
      </c>
    </row>
    <row r="8170" customFormat="false" ht="15" hidden="false" customHeight="false" outlineLevel="0" collapsed="false">
      <c r="V8170" s="23" t="str">
        <f aca="false">IF(ISNUMBER(C8170),YEAR(C8170),"")</f>
        <v/>
      </c>
      <c r="W8170" s="23" t="str">
        <f aca="false">IF(ISNUMBER(C8170),MONTH(C8170),"")</f>
        <v/>
      </c>
      <c r="X8170" s="23" t="str">
        <f aca="false">IF(T8170="","",IF(T8170=0,"No discount",IF(T8170&lt;=0.2,"Low (1-20%)",IF(T8170&lt;=0.4,"Medium (21-40%)","High (&gt;40%)"))))</f>
        <v/>
      </c>
      <c r="Y8170" s="23" t="str">
        <f aca="false">IF(AND(ISNUMBER(C8170),ISNUMBER(D8170)),D8170-C8170,"")</f>
        <v/>
      </c>
      <c r="Z8170" s="23" t="str">
        <f aca="false">IF(B8170="","",IF(MATCH(B8170,$B$2:$B$12000,0)=ROW()-1,1,0))</f>
        <v/>
      </c>
    </row>
    <row r="8171" customFormat="false" ht="15" hidden="false" customHeight="false" outlineLevel="0" collapsed="false">
      <c r="V8171" s="23" t="str">
        <f aca="false">IF(ISNUMBER(C8171),YEAR(C8171),"")</f>
        <v/>
      </c>
      <c r="W8171" s="23" t="str">
        <f aca="false">IF(ISNUMBER(C8171),MONTH(C8171),"")</f>
        <v/>
      </c>
      <c r="X8171" s="23" t="str">
        <f aca="false">IF(T8171="","",IF(T8171=0,"No discount",IF(T8171&lt;=0.2,"Low (1-20%)",IF(T8171&lt;=0.4,"Medium (21-40%)","High (&gt;40%)"))))</f>
        <v/>
      </c>
      <c r="Y8171" s="23" t="str">
        <f aca="false">IF(AND(ISNUMBER(C8171),ISNUMBER(D8171)),D8171-C8171,"")</f>
        <v/>
      </c>
      <c r="Z8171" s="23" t="str">
        <f aca="false">IF(B8171="","",IF(MATCH(B8171,$B$2:$B$12000,0)=ROW()-1,1,0))</f>
        <v/>
      </c>
    </row>
    <row r="8172" customFormat="false" ht="15" hidden="false" customHeight="false" outlineLevel="0" collapsed="false">
      <c r="V8172" s="23" t="str">
        <f aca="false">IF(ISNUMBER(C8172),YEAR(C8172),"")</f>
        <v/>
      </c>
      <c r="W8172" s="23" t="str">
        <f aca="false">IF(ISNUMBER(C8172),MONTH(C8172),"")</f>
        <v/>
      </c>
      <c r="X8172" s="23" t="str">
        <f aca="false">IF(T8172="","",IF(T8172=0,"No discount",IF(T8172&lt;=0.2,"Low (1-20%)",IF(T8172&lt;=0.4,"Medium (21-40%)","High (&gt;40%)"))))</f>
        <v/>
      </c>
      <c r="Y8172" s="23" t="str">
        <f aca="false">IF(AND(ISNUMBER(C8172),ISNUMBER(D8172)),D8172-C8172,"")</f>
        <v/>
      </c>
      <c r="Z8172" s="23" t="str">
        <f aca="false">IF(B8172="","",IF(MATCH(B8172,$B$2:$B$12000,0)=ROW()-1,1,0))</f>
        <v/>
      </c>
    </row>
    <row r="8173" customFormat="false" ht="15" hidden="false" customHeight="false" outlineLevel="0" collapsed="false">
      <c r="V8173" s="23" t="str">
        <f aca="false">IF(ISNUMBER(C8173),YEAR(C8173),"")</f>
        <v/>
      </c>
      <c r="W8173" s="23" t="str">
        <f aca="false">IF(ISNUMBER(C8173),MONTH(C8173),"")</f>
        <v/>
      </c>
      <c r="X8173" s="23" t="str">
        <f aca="false">IF(T8173="","",IF(T8173=0,"No discount",IF(T8173&lt;=0.2,"Low (1-20%)",IF(T8173&lt;=0.4,"Medium (21-40%)","High (&gt;40%)"))))</f>
        <v/>
      </c>
      <c r="Y8173" s="23" t="str">
        <f aca="false">IF(AND(ISNUMBER(C8173),ISNUMBER(D8173)),D8173-C8173,"")</f>
        <v/>
      </c>
      <c r="Z8173" s="23" t="str">
        <f aca="false">IF(B8173="","",IF(MATCH(B8173,$B$2:$B$12000,0)=ROW()-1,1,0))</f>
        <v/>
      </c>
    </row>
    <row r="8174" customFormat="false" ht="15" hidden="false" customHeight="false" outlineLevel="0" collapsed="false">
      <c r="V8174" s="23" t="str">
        <f aca="false">IF(ISNUMBER(C8174),YEAR(C8174),"")</f>
        <v/>
      </c>
      <c r="W8174" s="23" t="str">
        <f aca="false">IF(ISNUMBER(C8174),MONTH(C8174),"")</f>
        <v/>
      </c>
      <c r="X8174" s="23" t="str">
        <f aca="false">IF(T8174="","",IF(T8174=0,"No discount",IF(T8174&lt;=0.2,"Low (1-20%)",IF(T8174&lt;=0.4,"Medium (21-40%)","High (&gt;40%)"))))</f>
        <v/>
      </c>
      <c r="Y8174" s="23" t="str">
        <f aca="false">IF(AND(ISNUMBER(C8174),ISNUMBER(D8174)),D8174-C8174,"")</f>
        <v/>
      </c>
      <c r="Z8174" s="23" t="str">
        <f aca="false">IF(B8174="","",IF(MATCH(B8174,$B$2:$B$12000,0)=ROW()-1,1,0))</f>
        <v/>
      </c>
    </row>
    <row r="8175" customFormat="false" ht="15" hidden="false" customHeight="false" outlineLevel="0" collapsed="false">
      <c r="V8175" s="23" t="str">
        <f aca="false">IF(ISNUMBER(C8175),YEAR(C8175),"")</f>
        <v/>
      </c>
      <c r="W8175" s="23" t="str">
        <f aca="false">IF(ISNUMBER(C8175),MONTH(C8175),"")</f>
        <v/>
      </c>
      <c r="X8175" s="23" t="str">
        <f aca="false">IF(T8175="","",IF(T8175=0,"No discount",IF(T8175&lt;=0.2,"Low (1-20%)",IF(T8175&lt;=0.4,"Medium (21-40%)","High (&gt;40%)"))))</f>
        <v/>
      </c>
      <c r="Y8175" s="23" t="str">
        <f aca="false">IF(AND(ISNUMBER(C8175),ISNUMBER(D8175)),D8175-C8175,"")</f>
        <v/>
      </c>
      <c r="Z8175" s="23" t="str">
        <f aca="false">IF(B8175="","",IF(MATCH(B8175,$B$2:$B$12000,0)=ROW()-1,1,0))</f>
        <v/>
      </c>
    </row>
    <row r="8176" customFormat="false" ht="15" hidden="false" customHeight="false" outlineLevel="0" collapsed="false">
      <c r="V8176" s="23" t="str">
        <f aca="false">IF(ISNUMBER(C8176),YEAR(C8176),"")</f>
        <v/>
      </c>
      <c r="W8176" s="23" t="str">
        <f aca="false">IF(ISNUMBER(C8176),MONTH(C8176),"")</f>
        <v/>
      </c>
      <c r="X8176" s="23" t="str">
        <f aca="false">IF(T8176="","",IF(T8176=0,"No discount",IF(T8176&lt;=0.2,"Low (1-20%)",IF(T8176&lt;=0.4,"Medium (21-40%)","High (&gt;40%)"))))</f>
        <v/>
      </c>
      <c r="Y8176" s="23" t="str">
        <f aca="false">IF(AND(ISNUMBER(C8176),ISNUMBER(D8176)),D8176-C8176,"")</f>
        <v/>
      </c>
      <c r="Z8176" s="23" t="str">
        <f aca="false">IF(B8176="","",IF(MATCH(B8176,$B$2:$B$12000,0)=ROW()-1,1,0))</f>
        <v/>
      </c>
    </row>
    <row r="8177" customFormat="false" ht="15" hidden="false" customHeight="false" outlineLevel="0" collapsed="false">
      <c r="V8177" s="23" t="str">
        <f aca="false">IF(ISNUMBER(C8177),YEAR(C8177),"")</f>
        <v/>
      </c>
      <c r="W8177" s="23" t="str">
        <f aca="false">IF(ISNUMBER(C8177),MONTH(C8177),"")</f>
        <v/>
      </c>
      <c r="X8177" s="23" t="str">
        <f aca="false">IF(T8177="","",IF(T8177=0,"No discount",IF(T8177&lt;=0.2,"Low (1-20%)",IF(T8177&lt;=0.4,"Medium (21-40%)","High (&gt;40%)"))))</f>
        <v/>
      </c>
      <c r="Y8177" s="23" t="str">
        <f aca="false">IF(AND(ISNUMBER(C8177),ISNUMBER(D8177)),D8177-C8177,"")</f>
        <v/>
      </c>
      <c r="Z8177" s="23" t="str">
        <f aca="false">IF(B8177="","",IF(MATCH(B8177,$B$2:$B$12000,0)=ROW()-1,1,0))</f>
        <v/>
      </c>
    </row>
    <row r="8178" customFormat="false" ht="15" hidden="false" customHeight="false" outlineLevel="0" collapsed="false">
      <c r="V8178" s="23" t="str">
        <f aca="false">IF(ISNUMBER(C8178),YEAR(C8178),"")</f>
        <v/>
      </c>
      <c r="W8178" s="23" t="str">
        <f aca="false">IF(ISNUMBER(C8178),MONTH(C8178),"")</f>
        <v/>
      </c>
      <c r="X8178" s="23" t="str">
        <f aca="false">IF(T8178="","",IF(T8178=0,"No discount",IF(T8178&lt;=0.2,"Low (1-20%)",IF(T8178&lt;=0.4,"Medium (21-40%)","High (&gt;40%)"))))</f>
        <v/>
      </c>
      <c r="Y8178" s="23" t="str">
        <f aca="false">IF(AND(ISNUMBER(C8178),ISNUMBER(D8178)),D8178-C8178,"")</f>
        <v/>
      </c>
      <c r="Z8178" s="23" t="str">
        <f aca="false">IF(B8178="","",IF(MATCH(B8178,$B$2:$B$12000,0)=ROW()-1,1,0))</f>
        <v/>
      </c>
    </row>
    <row r="8179" customFormat="false" ht="15" hidden="false" customHeight="false" outlineLevel="0" collapsed="false">
      <c r="V8179" s="23" t="str">
        <f aca="false">IF(ISNUMBER(C8179),YEAR(C8179),"")</f>
        <v/>
      </c>
      <c r="W8179" s="23" t="str">
        <f aca="false">IF(ISNUMBER(C8179),MONTH(C8179),"")</f>
        <v/>
      </c>
      <c r="X8179" s="23" t="str">
        <f aca="false">IF(T8179="","",IF(T8179=0,"No discount",IF(T8179&lt;=0.2,"Low (1-20%)",IF(T8179&lt;=0.4,"Medium (21-40%)","High (&gt;40%)"))))</f>
        <v/>
      </c>
      <c r="Y8179" s="23" t="str">
        <f aca="false">IF(AND(ISNUMBER(C8179),ISNUMBER(D8179)),D8179-C8179,"")</f>
        <v/>
      </c>
      <c r="Z8179" s="23" t="str">
        <f aca="false">IF(B8179="","",IF(MATCH(B8179,$B$2:$B$12000,0)=ROW()-1,1,0))</f>
        <v/>
      </c>
    </row>
    <row r="8180" customFormat="false" ht="15" hidden="false" customHeight="false" outlineLevel="0" collapsed="false">
      <c r="V8180" s="23" t="str">
        <f aca="false">IF(ISNUMBER(C8180),YEAR(C8180),"")</f>
        <v/>
      </c>
      <c r="W8180" s="23" t="str">
        <f aca="false">IF(ISNUMBER(C8180),MONTH(C8180),"")</f>
        <v/>
      </c>
      <c r="X8180" s="23" t="str">
        <f aca="false">IF(T8180="","",IF(T8180=0,"No discount",IF(T8180&lt;=0.2,"Low (1-20%)",IF(T8180&lt;=0.4,"Medium (21-40%)","High (&gt;40%)"))))</f>
        <v/>
      </c>
      <c r="Y8180" s="23" t="str">
        <f aca="false">IF(AND(ISNUMBER(C8180),ISNUMBER(D8180)),D8180-C8180,"")</f>
        <v/>
      </c>
      <c r="Z8180" s="23" t="str">
        <f aca="false">IF(B8180="","",IF(MATCH(B8180,$B$2:$B$12000,0)=ROW()-1,1,0))</f>
        <v/>
      </c>
    </row>
    <row r="8181" customFormat="false" ht="15" hidden="false" customHeight="false" outlineLevel="0" collapsed="false">
      <c r="V8181" s="23" t="str">
        <f aca="false">IF(ISNUMBER(C8181),YEAR(C8181),"")</f>
        <v/>
      </c>
      <c r="W8181" s="23" t="str">
        <f aca="false">IF(ISNUMBER(C8181),MONTH(C8181),"")</f>
        <v/>
      </c>
      <c r="X8181" s="23" t="str">
        <f aca="false">IF(T8181="","",IF(T8181=0,"No discount",IF(T8181&lt;=0.2,"Low (1-20%)",IF(T8181&lt;=0.4,"Medium (21-40%)","High (&gt;40%)"))))</f>
        <v/>
      </c>
      <c r="Y8181" s="23" t="str">
        <f aca="false">IF(AND(ISNUMBER(C8181),ISNUMBER(D8181)),D8181-C8181,"")</f>
        <v/>
      </c>
      <c r="Z8181" s="23" t="str">
        <f aca="false">IF(B8181="","",IF(MATCH(B8181,$B$2:$B$12000,0)=ROW()-1,1,0))</f>
        <v/>
      </c>
    </row>
    <row r="8182" customFormat="false" ht="15" hidden="false" customHeight="false" outlineLevel="0" collapsed="false">
      <c r="V8182" s="23" t="str">
        <f aca="false">IF(ISNUMBER(C8182),YEAR(C8182),"")</f>
        <v/>
      </c>
      <c r="W8182" s="23" t="str">
        <f aca="false">IF(ISNUMBER(C8182),MONTH(C8182),"")</f>
        <v/>
      </c>
      <c r="X8182" s="23" t="str">
        <f aca="false">IF(T8182="","",IF(T8182=0,"No discount",IF(T8182&lt;=0.2,"Low (1-20%)",IF(T8182&lt;=0.4,"Medium (21-40%)","High (&gt;40%)"))))</f>
        <v/>
      </c>
      <c r="Y8182" s="23" t="str">
        <f aca="false">IF(AND(ISNUMBER(C8182),ISNUMBER(D8182)),D8182-C8182,"")</f>
        <v/>
      </c>
      <c r="Z8182" s="23" t="str">
        <f aca="false">IF(B8182="","",IF(MATCH(B8182,$B$2:$B$12000,0)=ROW()-1,1,0))</f>
        <v/>
      </c>
    </row>
    <row r="8183" customFormat="false" ht="15" hidden="false" customHeight="false" outlineLevel="0" collapsed="false">
      <c r="V8183" s="23" t="str">
        <f aca="false">IF(ISNUMBER(C8183),YEAR(C8183),"")</f>
        <v/>
      </c>
      <c r="W8183" s="23" t="str">
        <f aca="false">IF(ISNUMBER(C8183),MONTH(C8183),"")</f>
        <v/>
      </c>
      <c r="X8183" s="23" t="str">
        <f aca="false">IF(T8183="","",IF(T8183=0,"No discount",IF(T8183&lt;=0.2,"Low (1-20%)",IF(T8183&lt;=0.4,"Medium (21-40%)","High (&gt;40%)"))))</f>
        <v/>
      </c>
      <c r="Y8183" s="23" t="str">
        <f aca="false">IF(AND(ISNUMBER(C8183),ISNUMBER(D8183)),D8183-C8183,"")</f>
        <v/>
      </c>
      <c r="Z8183" s="23" t="str">
        <f aca="false">IF(B8183="","",IF(MATCH(B8183,$B$2:$B$12000,0)=ROW()-1,1,0))</f>
        <v/>
      </c>
    </row>
    <row r="8184" customFormat="false" ht="15" hidden="false" customHeight="false" outlineLevel="0" collapsed="false">
      <c r="V8184" s="23" t="str">
        <f aca="false">IF(ISNUMBER(C8184),YEAR(C8184),"")</f>
        <v/>
      </c>
      <c r="W8184" s="23" t="str">
        <f aca="false">IF(ISNUMBER(C8184),MONTH(C8184),"")</f>
        <v/>
      </c>
      <c r="X8184" s="23" t="str">
        <f aca="false">IF(T8184="","",IF(T8184=0,"No discount",IF(T8184&lt;=0.2,"Low (1-20%)",IF(T8184&lt;=0.4,"Medium (21-40%)","High (&gt;40%)"))))</f>
        <v/>
      </c>
      <c r="Y8184" s="23" t="str">
        <f aca="false">IF(AND(ISNUMBER(C8184),ISNUMBER(D8184)),D8184-C8184,"")</f>
        <v/>
      </c>
      <c r="Z8184" s="23" t="str">
        <f aca="false">IF(B8184="","",IF(MATCH(B8184,$B$2:$B$12000,0)=ROW()-1,1,0))</f>
        <v/>
      </c>
    </row>
    <row r="8185" customFormat="false" ht="15" hidden="false" customHeight="false" outlineLevel="0" collapsed="false">
      <c r="V8185" s="23" t="str">
        <f aca="false">IF(ISNUMBER(C8185),YEAR(C8185),"")</f>
        <v/>
      </c>
      <c r="W8185" s="23" t="str">
        <f aca="false">IF(ISNUMBER(C8185),MONTH(C8185),"")</f>
        <v/>
      </c>
      <c r="X8185" s="23" t="str">
        <f aca="false">IF(T8185="","",IF(T8185=0,"No discount",IF(T8185&lt;=0.2,"Low (1-20%)",IF(T8185&lt;=0.4,"Medium (21-40%)","High (&gt;40%)"))))</f>
        <v/>
      </c>
      <c r="Y8185" s="23" t="str">
        <f aca="false">IF(AND(ISNUMBER(C8185),ISNUMBER(D8185)),D8185-C8185,"")</f>
        <v/>
      </c>
      <c r="Z8185" s="23" t="str">
        <f aca="false">IF(B8185="","",IF(MATCH(B8185,$B$2:$B$12000,0)=ROW()-1,1,0))</f>
        <v/>
      </c>
    </row>
    <row r="8186" customFormat="false" ht="15" hidden="false" customHeight="false" outlineLevel="0" collapsed="false">
      <c r="V8186" s="23" t="str">
        <f aca="false">IF(ISNUMBER(C8186),YEAR(C8186),"")</f>
        <v/>
      </c>
      <c r="W8186" s="23" t="str">
        <f aca="false">IF(ISNUMBER(C8186),MONTH(C8186),"")</f>
        <v/>
      </c>
      <c r="X8186" s="23" t="str">
        <f aca="false">IF(T8186="","",IF(T8186=0,"No discount",IF(T8186&lt;=0.2,"Low (1-20%)",IF(T8186&lt;=0.4,"Medium (21-40%)","High (&gt;40%)"))))</f>
        <v/>
      </c>
      <c r="Y8186" s="23" t="str">
        <f aca="false">IF(AND(ISNUMBER(C8186),ISNUMBER(D8186)),D8186-C8186,"")</f>
        <v/>
      </c>
      <c r="Z8186" s="23" t="str">
        <f aca="false">IF(B8186="","",IF(MATCH(B8186,$B$2:$B$12000,0)=ROW()-1,1,0))</f>
        <v/>
      </c>
    </row>
    <row r="8187" customFormat="false" ht="15" hidden="false" customHeight="false" outlineLevel="0" collapsed="false">
      <c r="V8187" s="23" t="str">
        <f aca="false">IF(ISNUMBER(C8187),YEAR(C8187),"")</f>
        <v/>
      </c>
      <c r="W8187" s="23" t="str">
        <f aca="false">IF(ISNUMBER(C8187),MONTH(C8187),"")</f>
        <v/>
      </c>
      <c r="X8187" s="23" t="str">
        <f aca="false">IF(T8187="","",IF(T8187=0,"No discount",IF(T8187&lt;=0.2,"Low (1-20%)",IF(T8187&lt;=0.4,"Medium (21-40%)","High (&gt;40%)"))))</f>
        <v/>
      </c>
      <c r="Y8187" s="23" t="str">
        <f aca="false">IF(AND(ISNUMBER(C8187),ISNUMBER(D8187)),D8187-C8187,"")</f>
        <v/>
      </c>
      <c r="Z8187" s="23" t="str">
        <f aca="false">IF(B8187="","",IF(MATCH(B8187,$B$2:$B$12000,0)=ROW()-1,1,0))</f>
        <v/>
      </c>
    </row>
    <row r="8188" customFormat="false" ht="15" hidden="false" customHeight="false" outlineLevel="0" collapsed="false">
      <c r="V8188" s="23" t="str">
        <f aca="false">IF(ISNUMBER(C8188),YEAR(C8188),"")</f>
        <v/>
      </c>
      <c r="W8188" s="23" t="str">
        <f aca="false">IF(ISNUMBER(C8188),MONTH(C8188),"")</f>
        <v/>
      </c>
      <c r="X8188" s="23" t="str">
        <f aca="false">IF(T8188="","",IF(T8188=0,"No discount",IF(T8188&lt;=0.2,"Low (1-20%)",IF(T8188&lt;=0.4,"Medium (21-40%)","High (&gt;40%)"))))</f>
        <v/>
      </c>
      <c r="Y8188" s="23" t="str">
        <f aca="false">IF(AND(ISNUMBER(C8188),ISNUMBER(D8188)),D8188-C8188,"")</f>
        <v/>
      </c>
      <c r="Z8188" s="23" t="str">
        <f aca="false">IF(B8188="","",IF(MATCH(B8188,$B$2:$B$12000,0)=ROW()-1,1,0))</f>
        <v/>
      </c>
    </row>
    <row r="8189" customFormat="false" ht="15" hidden="false" customHeight="false" outlineLevel="0" collapsed="false">
      <c r="V8189" s="23" t="str">
        <f aca="false">IF(ISNUMBER(C8189),YEAR(C8189),"")</f>
        <v/>
      </c>
      <c r="W8189" s="23" t="str">
        <f aca="false">IF(ISNUMBER(C8189),MONTH(C8189),"")</f>
        <v/>
      </c>
      <c r="X8189" s="23" t="str">
        <f aca="false">IF(T8189="","",IF(T8189=0,"No discount",IF(T8189&lt;=0.2,"Low (1-20%)",IF(T8189&lt;=0.4,"Medium (21-40%)","High (&gt;40%)"))))</f>
        <v/>
      </c>
      <c r="Y8189" s="23" t="str">
        <f aca="false">IF(AND(ISNUMBER(C8189),ISNUMBER(D8189)),D8189-C8189,"")</f>
        <v/>
      </c>
      <c r="Z8189" s="23" t="str">
        <f aca="false">IF(B8189="","",IF(MATCH(B8189,$B$2:$B$12000,0)=ROW()-1,1,0))</f>
        <v/>
      </c>
    </row>
    <row r="8190" customFormat="false" ht="15" hidden="false" customHeight="false" outlineLevel="0" collapsed="false">
      <c r="V8190" s="23" t="str">
        <f aca="false">IF(ISNUMBER(C8190),YEAR(C8190),"")</f>
        <v/>
      </c>
      <c r="W8190" s="23" t="str">
        <f aca="false">IF(ISNUMBER(C8190),MONTH(C8190),"")</f>
        <v/>
      </c>
      <c r="X8190" s="23" t="str">
        <f aca="false">IF(T8190="","",IF(T8190=0,"No discount",IF(T8190&lt;=0.2,"Low (1-20%)",IF(T8190&lt;=0.4,"Medium (21-40%)","High (&gt;40%)"))))</f>
        <v/>
      </c>
      <c r="Y8190" s="23" t="str">
        <f aca="false">IF(AND(ISNUMBER(C8190),ISNUMBER(D8190)),D8190-C8190,"")</f>
        <v/>
      </c>
      <c r="Z8190" s="23" t="str">
        <f aca="false">IF(B8190="","",IF(MATCH(B8190,$B$2:$B$12000,0)=ROW()-1,1,0))</f>
        <v/>
      </c>
    </row>
    <row r="8191" customFormat="false" ht="15" hidden="false" customHeight="false" outlineLevel="0" collapsed="false">
      <c r="V8191" s="23" t="str">
        <f aca="false">IF(ISNUMBER(C8191),YEAR(C8191),"")</f>
        <v/>
      </c>
      <c r="W8191" s="23" t="str">
        <f aca="false">IF(ISNUMBER(C8191),MONTH(C8191),"")</f>
        <v/>
      </c>
      <c r="X8191" s="23" t="str">
        <f aca="false">IF(T8191="","",IF(T8191=0,"No discount",IF(T8191&lt;=0.2,"Low (1-20%)",IF(T8191&lt;=0.4,"Medium (21-40%)","High (&gt;40%)"))))</f>
        <v/>
      </c>
      <c r="Y8191" s="23" t="str">
        <f aca="false">IF(AND(ISNUMBER(C8191),ISNUMBER(D8191)),D8191-C8191,"")</f>
        <v/>
      </c>
      <c r="Z8191" s="23" t="str">
        <f aca="false">IF(B8191="","",IF(MATCH(B8191,$B$2:$B$12000,0)=ROW()-1,1,0))</f>
        <v/>
      </c>
    </row>
    <row r="8192" customFormat="false" ht="15" hidden="false" customHeight="false" outlineLevel="0" collapsed="false">
      <c r="V8192" s="23" t="str">
        <f aca="false">IF(ISNUMBER(C8192),YEAR(C8192),"")</f>
        <v/>
      </c>
      <c r="W8192" s="23" t="str">
        <f aca="false">IF(ISNUMBER(C8192),MONTH(C8192),"")</f>
        <v/>
      </c>
      <c r="X8192" s="23" t="str">
        <f aca="false">IF(T8192="","",IF(T8192=0,"No discount",IF(T8192&lt;=0.2,"Low (1-20%)",IF(T8192&lt;=0.4,"Medium (21-40%)","High (&gt;40%)"))))</f>
        <v/>
      </c>
      <c r="Y8192" s="23" t="str">
        <f aca="false">IF(AND(ISNUMBER(C8192),ISNUMBER(D8192)),D8192-C8192,"")</f>
        <v/>
      </c>
      <c r="Z8192" s="23" t="str">
        <f aca="false">IF(B8192="","",IF(MATCH(B8192,$B$2:$B$12000,0)=ROW()-1,1,0))</f>
        <v/>
      </c>
    </row>
    <row r="8193" customFormat="false" ht="15" hidden="false" customHeight="false" outlineLevel="0" collapsed="false">
      <c r="V8193" s="23" t="str">
        <f aca="false">IF(ISNUMBER(C8193),YEAR(C8193),"")</f>
        <v/>
      </c>
      <c r="W8193" s="23" t="str">
        <f aca="false">IF(ISNUMBER(C8193),MONTH(C8193),"")</f>
        <v/>
      </c>
      <c r="X8193" s="23" t="str">
        <f aca="false">IF(T8193="","",IF(T8193=0,"No discount",IF(T8193&lt;=0.2,"Low (1-20%)",IF(T8193&lt;=0.4,"Medium (21-40%)","High (&gt;40%)"))))</f>
        <v/>
      </c>
      <c r="Y8193" s="23" t="str">
        <f aca="false">IF(AND(ISNUMBER(C8193),ISNUMBER(D8193)),D8193-C8193,"")</f>
        <v/>
      </c>
      <c r="Z8193" s="23" t="str">
        <f aca="false">IF(B8193="","",IF(MATCH(B8193,$B$2:$B$12000,0)=ROW()-1,1,0))</f>
        <v/>
      </c>
    </row>
    <row r="8194" customFormat="false" ht="15" hidden="false" customHeight="false" outlineLevel="0" collapsed="false">
      <c r="V8194" s="23" t="str">
        <f aca="false">IF(ISNUMBER(C8194),YEAR(C8194),"")</f>
        <v/>
      </c>
      <c r="W8194" s="23" t="str">
        <f aca="false">IF(ISNUMBER(C8194),MONTH(C8194),"")</f>
        <v/>
      </c>
      <c r="X8194" s="23" t="str">
        <f aca="false">IF(T8194="","",IF(T8194=0,"No discount",IF(T8194&lt;=0.2,"Low (1-20%)",IF(T8194&lt;=0.4,"Medium (21-40%)","High (&gt;40%)"))))</f>
        <v/>
      </c>
      <c r="Y8194" s="23" t="str">
        <f aca="false">IF(AND(ISNUMBER(C8194),ISNUMBER(D8194)),D8194-C8194,"")</f>
        <v/>
      </c>
      <c r="Z8194" s="23" t="str">
        <f aca="false">IF(B8194="","",IF(MATCH(B8194,$B$2:$B$12000,0)=ROW()-1,1,0))</f>
        <v/>
      </c>
    </row>
    <row r="8195" customFormat="false" ht="15" hidden="false" customHeight="false" outlineLevel="0" collapsed="false">
      <c r="V8195" s="23" t="str">
        <f aca="false">IF(ISNUMBER(C8195),YEAR(C8195),"")</f>
        <v/>
      </c>
      <c r="W8195" s="23" t="str">
        <f aca="false">IF(ISNUMBER(C8195),MONTH(C8195),"")</f>
        <v/>
      </c>
      <c r="X8195" s="23" t="str">
        <f aca="false">IF(T8195="","",IF(T8195=0,"No discount",IF(T8195&lt;=0.2,"Low (1-20%)",IF(T8195&lt;=0.4,"Medium (21-40%)","High (&gt;40%)"))))</f>
        <v/>
      </c>
      <c r="Y8195" s="23" t="str">
        <f aca="false">IF(AND(ISNUMBER(C8195),ISNUMBER(D8195)),D8195-C8195,"")</f>
        <v/>
      </c>
      <c r="Z8195" s="23" t="str">
        <f aca="false">IF(B8195="","",IF(MATCH(B8195,$B$2:$B$12000,0)=ROW()-1,1,0))</f>
        <v/>
      </c>
    </row>
    <row r="8196" customFormat="false" ht="15" hidden="false" customHeight="false" outlineLevel="0" collapsed="false">
      <c r="V8196" s="23" t="str">
        <f aca="false">IF(ISNUMBER(C8196),YEAR(C8196),"")</f>
        <v/>
      </c>
      <c r="W8196" s="23" t="str">
        <f aca="false">IF(ISNUMBER(C8196),MONTH(C8196),"")</f>
        <v/>
      </c>
      <c r="X8196" s="23" t="str">
        <f aca="false">IF(T8196="","",IF(T8196=0,"No discount",IF(T8196&lt;=0.2,"Low (1-20%)",IF(T8196&lt;=0.4,"Medium (21-40%)","High (&gt;40%)"))))</f>
        <v/>
      </c>
      <c r="Y8196" s="23" t="str">
        <f aca="false">IF(AND(ISNUMBER(C8196),ISNUMBER(D8196)),D8196-C8196,"")</f>
        <v/>
      </c>
      <c r="Z8196" s="23" t="str">
        <f aca="false">IF(B8196="","",IF(MATCH(B8196,$B$2:$B$12000,0)=ROW()-1,1,0))</f>
        <v/>
      </c>
    </row>
    <row r="8197" customFormat="false" ht="15" hidden="false" customHeight="false" outlineLevel="0" collapsed="false">
      <c r="V8197" s="23" t="str">
        <f aca="false">IF(ISNUMBER(C8197),YEAR(C8197),"")</f>
        <v/>
      </c>
      <c r="W8197" s="23" t="str">
        <f aca="false">IF(ISNUMBER(C8197),MONTH(C8197),"")</f>
        <v/>
      </c>
      <c r="X8197" s="23" t="str">
        <f aca="false">IF(T8197="","",IF(T8197=0,"No discount",IF(T8197&lt;=0.2,"Low (1-20%)",IF(T8197&lt;=0.4,"Medium (21-40%)","High (&gt;40%)"))))</f>
        <v/>
      </c>
      <c r="Y8197" s="23" t="str">
        <f aca="false">IF(AND(ISNUMBER(C8197),ISNUMBER(D8197)),D8197-C8197,"")</f>
        <v/>
      </c>
      <c r="Z8197" s="23" t="str">
        <f aca="false">IF(B8197="","",IF(MATCH(B8197,$B$2:$B$12000,0)=ROW()-1,1,0))</f>
        <v/>
      </c>
    </row>
    <row r="8198" customFormat="false" ht="15" hidden="false" customHeight="false" outlineLevel="0" collapsed="false">
      <c r="V8198" s="23" t="str">
        <f aca="false">IF(ISNUMBER(C8198),YEAR(C8198),"")</f>
        <v/>
      </c>
      <c r="W8198" s="23" t="str">
        <f aca="false">IF(ISNUMBER(C8198),MONTH(C8198),"")</f>
        <v/>
      </c>
      <c r="X8198" s="23" t="str">
        <f aca="false">IF(T8198="","",IF(T8198=0,"No discount",IF(T8198&lt;=0.2,"Low (1-20%)",IF(T8198&lt;=0.4,"Medium (21-40%)","High (&gt;40%)"))))</f>
        <v/>
      </c>
      <c r="Y8198" s="23" t="str">
        <f aca="false">IF(AND(ISNUMBER(C8198),ISNUMBER(D8198)),D8198-C8198,"")</f>
        <v/>
      </c>
      <c r="Z8198" s="23" t="str">
        <f aca="false">IF(B8198="","",IF(MATCH(B8198,$B$2:$B$12000,0)=ROW()-1,1,0))</f>
        <v/>
      </c>
    </row>
    <row r="8199" customFormat="false" ht="15" hidden="false" customHeight="false" outlineLevel="0" collapsed="false">
      <c r="V8199" s="23" t="str">
        <f aca="false">IF(ISNUMBER(C8199),YEAR(C8199),"")</f>
        <v/>
      </c>
      <c r="W8199" s="23" t="str">
        <f aca="false">IF(ISNUMBER(C8199),MONTH(C8199),"")</f>
        <v/>
      </c>
      <c r="X8199" s="23" t="str">
        <f aca="false">IF(T8199="","",IF(T8199=0,"No discount",IF(T8199&lt;=0.2,"Low (1-20%)",IF(T8199&lt;=0.4,"Medium (21-40%)","High (&gt;40%)"))))</f>
        <v/>
      </c>
      <c r="Y8199" s="23" t="str">
        <f aca="false">IF(AND(ISNUMBER(C8199),ISNUMBER(D8199)),D8199-C8199,"")</f>
        <v/>
      </c>
      <c r="Z8199" s="23" t="str">
        <f aca="false">IF(B8199="","",IF(MATCH(B8199,$B$2:$B$12000,0)=ROW()-1,1,0))</f>
        <v/>
      </c>
    </row>
    <row r="8200" customFormat="false" ht="15" hidden="false" customHeight="false" outlineLevel="0" collapsed="false">
      <c r="V8200" s="23" t="str">
        <f aca="false">IF(ISNUMBER(C8200),YEAR(C8200),"")</f>
        <v/>
      </c>
      <c r="W8200" s="23" t="str">
        <f aca="false">IF(ISNUMBER(C8200),MONTH(C8200),"")</f>
        <v/>
      </c>
      <c r="X8200" s="23" t="str">
        <f aca="false">IF(T8200="","",IF(T8200=0,"No discount",IF(T8200&lt;=0.2,"Low (1-20%)",IF(T8200&lt;=0.4,"Medium (21-40%)","High (&gt;40%)"))))</f>
        <v/>
      </c>
      <c r="Y8200" s="23" t="str">
        <f aca="false">IF(AND(ISNUMBER(C8200),ISNUMBER(D8200)),D8200-C8200,"")</f>
        <v/>
      </c>
      <c r="Z8200" s="23" t="str">
        <f aca="false">IF(B8200="","",IF(MATCH(B8200,$B$2:$B$12000,0)=ROW()-1,1,0))</f>
        <v/>
      </c>
    </row>
    <row r="8201" customFormat="false" ht="15" hidden="false" customHeight="false" outlineLevel="0" collapsed="false">
      <c r="V8201" s="23" t="str">
        <f aca="false">IF(ISNUMBER(C8201),YEAR(C8201),"")</f>
        <v/>
      </c>
      <c r="W8201" s="23" t="str">
        <f aca="false">IF(ISNUMBER(C8201),MONTH(C8201),"")</f>
        <v/>
      </c>
      <c r="X8201" s="23" t="str">
        <f aca="false">IF(T8201="","",IF(T8201=0,"No discount",IF(T8201&lt;=0.2,"Low (1-20%)",IF(T8201&lt;=0.4,"Medium (21-40%)","High (&gt;40%)"))))</f>
        <v/>
      </c>
      <c r="Y8201" s="23" t="str">
        <f aca="false">IF(AND(ISNUMBER(C8201),ISNUMBER(D8201)),D8201-C8201,"")</f>
        <v/>
      </c>
      <c r="Z8201" s="23" t="str">
        <f aca="false">IF(B8201="","",IF(MATCH(B8201,$B$2:$B$12000,0)=ROW()-1,1,0))</f>
        <v/>
      </c>
    </row>
    <row r="8202" customFormat="false" ht="15" hidden="false" customHeight="false" outlineLevel="0" collapsed="false">
      <c r="V8202" s="23" t="str">
        <f aca="false">IF(ISNUMBER(C8202),YEAR(C8202),"")</f>
        <v/>
      </c>
      <c r="W8202" s="23" t="str">
        <f aca="false">IF(ISNUMBER(C8202),MONTH(C8202),"")</f>
        <v/>
      </c>
      <c r="X8202" s="23" t="str">
        <f aca="false">IF(T8202="","",IF(T8202=0,"No discount",IF(T8202&lt;=0.2,"Low (1-20%)",IF(T8202&lt;=0.4,"Medium (21-40%)","High (&gt;40%)"))))</f>
        <v/>
      </c>
      <c r="Y8202" s="23" t="str">
        <f aca="false">IF(AND(ISNUMBER(C8202),ISNUMBER(D8202)),D8202-C8202,"")</f>
        <v/>
      </c>
      <c r="Z8202" s="23" t="str">
        <f aca="false">IF(B8202="","",IF(MATCH(B8202,$B$2:$B$12000,0)=ROW()-1,1,0))</f>
        <v/>
      </c>
    </row>
    <row r="8203" customFormat="false" ht="15" hidden="false" customHeight="false" outlineLevel="0" collapsed="false">
      <c r="V8203" s="23" t="str">
        <f aca="false">IF(ISNUMBER(C8203),YEAR(C8203),"")</f>
        <v/>
      </c>
      <c r="W8203" s="23" t="str">
        <f aca="false">IF(ISNUMBER(C8203),MONTH(C8203),"")</f>
        <v/>
      </c>
      <c r="X8203" s="23" t="str">
        <f aca="false">IF(T8203="","",IF(T8203=0,"No discount",IF(T8203&lt;=0.2,"Low (1-20%)",IF(T8203&lt;=0.4,"Medium (21-40%)","High (&gt;40%)"))))</f>
        <v/>
      </c>
      <c r="Y8203" s="23" t="str">
        <f aca="false">IF(AND(ISNUMBER(C8203),ISNUMBER(D8203)),D8203-C8203,"")</f>
        <v/>
      </c>
      <c r="Z8203" s="23" t="str">
        <f aca="false">IF(B8203="","",IF(MATCH(B8203,$B$2:$B$12000,0)=ROW()-1,1,0))</f>
        <v/>
      </c>
    </row>
    <row r="8204" customFormat="false" ht="15" hidden="false" customHeight="false" outlineLevel="0" collapsed="false">
      <c r="V8204" s="23" t="str">
        <f aca="false">IF(ISNUMBER(C8204),YEAR(C8204),"")</f>
        <v/>
      </c>
      <c r="W8204" s="23" t="str">
        <f aca="false">IF(ISNUMBER(C8204),MONTH(C8204),"")</f>
        <v/>
      </c>
      <c r="X8204" s="23" t="str">
        <f aca="false">IF(T8204="","",IF(T8204=0,"No discount",IF(T8204&lt;=0.2,"Low (1-20%)",IF(T8204&lt;=0.4,"Medium (21-40%)","High (&gt;40%)"))))</f>
        <v/>
      </c>
      <c r="Y8204" s="23" t="str">
        <f aca="false">IF(AND(ISNUMBER(C8204),ISNUMBER(D8204)),D8204-C8204,"")</f>
        <v/>
      </c>
      <c r="Z8204" s="23" t="str">
        <f aca="false">IF(B8204="","",IF(MATCH(B8204,$B$2:$B$12000,0)=ROW()-1,1,0))</f>
        <v/>
      </c>
    </row>
    <row r="8205" customFormat="false" ht="15" hidden="false" customHeight="false" outlineLevel="0" collapsed="false">
      <c r="V8205" s="23" t="str">
        <f aca="false">IF(ISNUMBER(C8205),YEAR(C8205),"")</f>
        <v/>
      </c>
      <c r="W8205" s="23" t="str">
        <f aca="false">IF(ISNUMBER(C8205),MONTH(C8205),"")</f>
        <v/>
      </c>
      <c r="X8205" s="23" t="str">
        <f aca="false">IF(T8205="","",IF(T8205=0,"No discount",IF(T8205&lt;=0.2,"Low (1-20%)",IF(T8205&lt;=0.4,"Medium (21-40%)","High (&gt;40%)"))))</f>
        <v/>
      </c>
      <c r="Y8205" s="23" t="str">
        <f aca="false">IF(AND(ISNUMBER(C8205),ISNUMBER(D8205)),D8205-C8205,"")</f>
        <v/>
      </c>
      <c r="Z8205" s="23" t="str">
        <f aca="false">IF(B8205="","",IF(MATCH(B8205,$B$2:$B$12000,0)=ROW()-1,1,0))</f>
        <v/>
      </c>
    </row>
    <row r="8206" customFormat="false" ht="15" hidden="false" customHeight="false" outlineLevel="0" collapsed="false">
      <c r="V8206" s="23" t="str">
        <f aca="false">IF(ISNUMBER(C8206),YEAR(C8206),"")</f>
        <v/>
      </c>
      <c r="W8206" s="23" t="str">
        <f aca="false">IF(ISNUMBER(C8206),MONTH(C8206),"")</f>
        <v/>
      </c>
      <c r="X8206" s="23" t="str">
        <f aca="false">IF(T8206="","",IF(T8206=0,"No discount",IF(T8206&lt;=0.2,"Low (1-20%)",IF(T8206&lt;=0.4,"Medium (21-40%)","High (&gt;40%)"))))</f>
        <v/>
      </c>
      <c r="Y8206" s="23" t="str">
        <f aca="false">IF(AND(ISNUMBER(C8206),ISNUMBER(D8206)),D8206-C8206,"")</f>
        <v/>
      </c>
      <c r="Z8206" s="23" t="str">
        <f aca="false">IF(B8206="","",IF(MATCH(B8206,$B$2:$B$12000,0)=ROW()-1,1,0))</f>
        <v/>
      </c>
    </row>
    <row r="8207" customFormat="false" ht="15" hidden="false" customHeight="false" outlineLevel="0" collapsed="false">
      <c r="V8207" s="23" t="str">
        <f aca="false">IF(ISNUMBER(C8207),YEAR(C8207),"")</f>
        <v/>
      </c>
      <c r="W8207" s="23" t="str">
        <f aca="false">IF(ISNUMBER(C8207),MONTH(C8207),"")</f>
        <v/>
      </c>
      <c r="X8207" s="23" t="str">
        <f aca="false">IF(T8207="","",IF(T8207=0,"No discount",IF(T8207&lt;=0.2,"Low (1-20%)",IF(T8207&lt;=0.4,"Medium (21-40%)","High (&gt;40%)"))))</f>
        <v/>
      </c>
      <c r="Y8207" s="23" t="str">
        <f aca="false">IF(AND(ISNUMBER(C8207),ISNUMBER(D8207)),D8207-C8207,"")</f>
        <v/>
      </c>
      <c r="Z8207" s="23" t="str">
        <f aca="false">IF(B8207="","",IF(MATCH(B8207,$B$2:$B$12000,0)=ROW()-1,1,0))</f>
        <v/>
      </c>
    </row>
    <row r="8208" customFormat="false" ht="15" hidden="false" customHeight="false" outlineLevel="0" collapsed="false">
      <c r="V8208" s="23" t="str">
        <f aca="false">IF(ISNUMBER(C8208),YEAR(C8208),"")</f>
        <v/>
      </c>
      <c r="W8208" s="23" t="str">
        <f aca="false">IF(ISNUMBER(C8208),MONTH(C8208),"")</f>
        <v/>
      </c>
      <c r="X8208" s="23" t="str">
        <f aca="false">IF(T8208="","",IF(T8208=0,"No discount",IF(T8208&lt;=0.2,"Low (1-20%)",IF(T8208&lt;=0.4,"Medium (21-40%)","High (&gt;40%)"))))</f>
        <v/>
      </c>
      <c r="Y8208" s="23" t="str">
        <f aca="false">IF(AND(ISNUMBER(C8208),ISNUMBER(D8208)),D8208-C8208,"")</f>
        <v/>
      </c>
      <c r="Z8208" s="23" t="str">
        <f aca="false">IF(B8208="","",IF(MATCH(B8208,$B$2:$B$12000,0)=ROW()-1,1,0))</f>
        <v/>
      </c>
    </row>
    <row r="8209" customFormat="false" ht="15" hidden="false" customHeight="false" outlineLevel="0" collapsed="false">
      <c r="V8209" s="23" t="str">
        <f aca="false">IF(ISNUMBER(C8209),YEAR(C8209),"")</f>
        <v/>
      </c>
      <c r="W8209" s="23" t="str">
        <f aca="false">IF(ISNUMBER(C8209),MONTH(C8209),"")</f>
        <v/>
      </c>
      <c r="X8209" s="23" t="str">
        <f aca="false">IF(T8209="","",IF(T8209=0,"No discount",IF(T8209&lt;=0.2,"Low (1-20%)",IF(T8209&lt;=0.4,"Medium (21-40%)","High (&gt;40%)"))))</f>
        <v/>
      </c>
      <c r="Y8209" s="23" t="str">
        <f aca="false">IF(AND(ISNUMBER(C8209),ISNUMBER(D8209)),D8209-C8209,"")</f>
        <v/>
      </c>
      <c r="Z8209" s="23" t="str">
        <f aca="false">IF(B8209="","",IF(MATCH(B8209,$B$2:$B$12000,0)=ROW()-1,1,0))</f>
        <v/>
      </c>
    </row>
    <row r="8210" customFormat="false" ht="15" hidden="false" customHeight="false" outlineLevel="0" collapsed="false">
      <c r="V8210" s="23" t="str">
        <f aca="false">IF(ISNUMBER(C8210),YEAR(C8210),"")</f>
        <v/>
      </c>
      <c r="W8210" s="23" t="str">
        <f aca="false">IF(ISNUMBER(C8210),MONTH(C8210),"")</f>
        <v/>
      </c>
      <c r="X8210" s="23" t="str">
        <f aca="false">IF(T8210="","",IF(T8210=0,"No discount",IF(T8210&lt;=0.2,"Low (1-20%)",IF(T8210&lt;=0.4,"Medium (21-40%)","High (&gt;40%)"))))</f>
        <v/>
      </c>
      <c r="Y8210" s="23" t="str">
        <f aca="false">IF(AND(ISNUMBER(C8210),ISNUMBER(D8210)),D8210-C8210,"")</f>
        <v/>
      </c>
      <c r="Z8210" s="23" t="str">
        <f aca="false">IF(B8210="","",IF(MATCH(B8210,$B$2:$B$12000,0)=ROW()-1,1,0))</f>
        <v/>
      </c>
    </row>
    <row r="8211" customFormat="false" ht="15" hidden="false" customHeight="false" outlineLevel="0" collapsed="false">
      <c r="V8211" s="23" t="str">
        <f aca="false">IF(ISNUMBER(C8211),YEAR(C8211),"")</f>
        <v/>
      </c>
      <c r="W8211" s="23" t="str">
        <f aca="false">IF(ISNUMBER(C8211),MONTH(C8211),"")</f>
        <v/>
      </c>
      <c r="X8211" s="23" t="str">
        <f aca="false">IF(T8211="","",IF(T8211=0,"No discount",IF(T8211&lt;=0.2,"Low (1-20%)",IF(T8211&lt;=0.4,"Medium (21-40%)","High (&gt;40%)"))))</f>
        <v/>
      </c>
      <c r="Y8211" s="23" t="str">
        <f aca="false">IF(AND(ISNUMBER(C8211),ISNUMBER(D8211)),D8211-C8211,"")</f>
        <v/>
      </c>
      <c r="Z8211" s="23" t="str">
        <f aca="false">IF(B8211="","",IF(MATCH(B8211,$B$2:$B$12000,0)=ROW()-1,1,0))</f>
        <v/>
      </c>
    </row>
    <row r="8212" customFormat="false" ht="15" hidden="false" customHeight="false" outlineLevel="0" collapsed="false">
      <c r="V8212" s="23" t="str">
        <f aca="false">IF(ISNUMBER(C8212),YEAR(C8212),"")</f>
        <v/>
      </c>
      <c r="W8212" s="23" t="str">
        <f aca="false">IF(ISNUMBER(C8212),MONTH(C8212),"")</f>
        <v/>
      </c>
      <c r="X8212" s="23" t="str">
        <f aca="false">IF(T8212="","",IF(T8212=0,"No discount",IF(T8212&lt;=0.2,"Low (1-20%)",IF(T8212&lt;=0.4,"Medium (21-40%)","High (&gt;40%)"))))</f>
        <v/>
      </c>
      <c r="Y8212" s="23" t="str">
        <f aca="false">IF(AND(ISNUMBER(C8212),ISNUMBER(D8212)),D8212-C8212,"")</f>
        <v/>
      </c>
      <c r="Z8212" s="23" t="str">
        <f aca="false">IF(B8212="","",IF(MATCH(B8212,$B$2:$B$12000,0)=ROW()-1,1,0))</f>
        <v/>
      </c>
    </row>
    <row r="8213" customFormat="false" ht="15" hidden="false" customHeight="false" outlineLevel="0" collapsed="false">
      <c r="V8213" s="23" t="str">
        <f aca="false">IF(ISNUMBER(C8213),YEAR(C8213),"")</f>
        <v/>
      </c>
      <c r="W8213" s="23" t="str">
        <f aca="false">IF(ISNUMBER(C8213),MONTH(C8213),"")</f>
        <v/>
      </c>
      <c r="X8213" s="23" t="str">
        <f aca="false">IF(T8213="","",IF(T8213=0,"No discount",IF(T8213&lt;=0.2,"Low (1-20%)",IF(T8213&lt;=0.4,"Medium (21-40%)","High (&gt;40%)"))))</f>
        <v/>
      </c>
      <c r="Y8213" s="23" t="str">
        <f aca="false">IF(AND(ISNUMBER(C8213),ISNUMBER(D8213)),D8213-C8213,"")</f>
        <v/>
      </c>
      <c r="Z8213" s="23" t="str">
        <f aca="false">IF(B8213="","",IF(MATCH(B8213,$B$2:$B$12000,0)=ROW()-1,1,0))</f>
        <v/>
      </c>
    </row>
    <row r="8214" customFormat="false" ht="15" hidden="false" customHeight="false" outlineLevel="0" collapsed="false">
      <c r="V8214" s="23" t="str">
        <f aca="false">IF(ISNUMBER(C8214),YEAR(C8214),"")</f>
        <v/>
      </c>
      <c r="W8214" s="23" t="str">
        <f aca="false">IF(ISNUMBER(C8214),MONTH(C8214),"")</f>
        <v/>
      </c>
      <c r="X8214" s="23" t="str">
        <f aca="false">IF(T8214="","",IF(T8214=0,"No discount",IF(T8214&lt;=0.2,"Low (1-20%)",IF(T8214&lt;=0.4,"Medium (21-40%)","High (&gt;40%)"))))</f>
        <v/>
      </c>
      <c r="Y8214" s="23" t="str">
        <f aca="false">IF(AND(ISNUMBER(C8214),ISNUMBER(D8214)),D8214-C8214,"")</f>
        <v/>
      </c>
      <c r="Z8214" s="23" t="str">
        <f aca="false">IF(B8214="","",IF(MATCH(B8214,$B$2:$B$12000,0)=ROW()-1,1,0))</f>
        <v/>
      </c>
    </row>
    <row r="8215" customFormat="false" ht="15" hidden="false" customHeight="false" outlineLevel="0" collapsed="false">
      <c r="V8215" s="23" t="str">
        <f aca="false">IF(ISNUMBER(C8215),YEAR(C8215),"")</f>
        <v/>
      </c>
      <c r="W8215" s="23" t="str">
        <f aca="false">IF(ISNUMBER(C8215),MONTH(C8215),"")</f>
        <v/>
      </c>
      <c r="X8215" s="23" t="str">
        <f aca="false">IF(T8215="","",IF(T8215=0,"No discount",IF(T8215&lt;=0.2,"Low (1-20%)",IF(T8215&lt;=0.4,"Medium (21-40%)","High (&gt;40%)"))))</f>
        <v/>
      </c>
      <c r="Y8215" s="23" t="str">
        <f aca="false">IF(AND(ISNUMBER(C8215),ISNUMBER(D8215)),D8215-C8215,"")</f>
        <v/>
      </c>
      <c r="Z8215" s="23" t="str">
        <f aca="false">IF(B8215="","",IF(MATCH(B8215,$B$2:$B$12000,0)=ROW()-1,1,0))</f>
        <v/>
      </c>
    </row>
    <row r="8216" customFormat="false" ht="15" hidden="false" customHeight="false" outlineLevel="0" collapsed="false">
      <c r="V8216" s="23" t="str">
        <f aca="false">IF(ISNUMBER(C8216),YEAR(C8216),"")</f>
        <v/>
      </c>
      <c r="W8216" s="23" t="str">
        <f aca="false">IF(ISNUMBER(C8216),MONTH(C8216),"")</f>
        <v/>
      </c>
      <c r="X8216" s="23" t="str">
        <f aca="false">IF(T8216="","",IF(T8216=0,"No discount",IF(T8216&lt;=0.2,"Low (1-20%)",IF(T8216&lt;=0.4,"Medium (21-40%)","High (&gt;40%)"))))</f>
        <v/>
      </c>
      <c r="Y8216" s="23" t="str">
        <f aca="false">IF(AND(ISNUMBER(C8216),ISNUMBER(D8216)),D8216-C8216,"")</f>
        <v/>
      </c>
      <c r="Z8216" s="23" t="str">
        <f aca="false">IF(B8216="","",IF(MATCH(B8216,$B$2:$B$12000,0)=ROW()-1,1,0))</f>
        <v/>
      </c>
    </row>
    <row r="8217" customFormat="false" ht="15" hidden="false" customHeight="false" outlineLevel="0" collapsed="false">
      <c r="V8217" s="23" t="str">
        <f aca="false">IF(ISNUMBER(C8217),YEAR(C8217),"")</f>
        <v/>
      </c>
      <c r="W8217" s="23" t="str">
        <f aca="false">IF(ISNUMBER(C8217),MONTH(C8217),"")</f>
        <v/>
      </c>
      <c r="X8217" s="23" t="str">
        <f aca="false">IF(T8217="","",IF(T8217=0,"No discount",IF(T8217&lt;=0.2,"Low (1-20%)",IF(T8217&lt;=0.4,"Medium (21-40%)","High (&gt;40%)"))))</f>
        <v/>
      </c>
      <c r="Y8217" s="23" t="str">
        <f aca="false">IF(AND(ISNUMBER(C8217),ISNUMBER(D8217)),D8217-C8217,"")</f>
        <v/>
      </c>
      <c r="Z8217" s="23" t="str">
        <f aca="false">IF(B8217="","",IF(MATCH(B8217,$B$2:$B$12000,0)=ROW()-1,1,0))</f>
        <v/>
      </c>
    </row>
    <row r="8218" customFormat="false" ht="15" hidden="false" customHeight="false" outlineLevel="0" collapsed="false">
      <c r="V8218" s="23" t="str">
        <f aca="false">IF(ISNUMBER(C8218),YEAR(C8218),"")</f>
        <v/>
      </c>
      <c r="W8218" s="23" t="str">
        <f aca="false">IF(ISNUMBER(C8218),MONTH(C8218),"")</f>
        <v/>
      </c>
      <c r="X8218" s="23" t="str">
        <f aca="false">IF(T8218="","",IF(T8218=0,"No discount",IF(T8218&lt;=0.2,"Low (1-20%)",IF(T8218&lt;=0.4,"Medium (21-40%)","High (&gt;40%)"))))</f>
        <v/>
      </c>
      <c r="Y8218" s="23" t="str">
        <f aca="false">IF(AND(ISNUMBER(C8218),ISNUMBER(D8218)),D8218-C8218,"")</f>
        <v/>
      </c>
      <c r="Z8218" s="23" t="str">
        <f aca="false">IF(B8218="","",IF(MATCH(B8218,$B$2:$B$12000,0)=ROW()-1,1,0))</f>
        <v/>
      </c>
    </row>
    <row r="8219" customFormat="false" ht="15" hidden="false" customHeight="false" outlineLevel="0" collapsed="false">
      <c r="V8219" s="23" t="str">
        <f aca="false">IF(ISNUMBER(C8219),YEAR(C8219),"")</f>
        <v/>
      </c>
      <c r="W8219" s="23" t="str">
        <f aca="false">IF(ISNUMBER(C8219),MONTH(C8219),"")</f>
        <v/>
      </c>
      <c r="X8219" s="23" t="str">
        <f aca="false">IF(T8219="","",IF(T8219=0,"No discount",IF(T8219&lt;=0.2,"Low (1-20%)",IF(T8219&lt;=0.4,"Medium (21-40%)","High (&gt;40%)"))))</f>
        <v/>
      </c>
      <c r="Y8219" s="23" t="str">
        <f aca="false">IF(AND(ISNUMBER(C8219),ISNUMBER(D8219)),D8219-C8219,"")</f>
        <v/>
      </c>
      <c r="Z8219" s="23" t="str">
        <f aca="false">IF(B8219="","",IF(MATCH(B8219,$B$2:$B$12000,0)=ROW()-1,1,0))</f>
        <v/>
      </c>
    </row>
    <row r="8220" customFormat="false" ht="15" hidden="false" customHeight="false" outlineLevel="0" collapsed="false">
      <c r="V8220" s="23" t="str">
        <f aca="false">IF(ISNUMBER(C8220),YEAR(C8220),"")</f>
        <v/>
      </c>
      <c r="W8220" s="23" t="str">
        <f aca="false">IF(ISNUMBER(C8220),MONTH(C8220),"")</f>
        <v/>
      </c>
      <c r="X8220" s="23" t="str">
        <f aca="false">IF(T8220="","",IF(T8220=0,"No discount",IF(T8220&lt;=0.2,"Low (1-20%)",IF(T8220&lt;=0.4,"Medium (21-40%)","High (&gt;40%)"))))</f>
        <v/>
      </c>
      <c r="Y8220" s="23" t="str">
        <f aca="false">IF(AND(ISNUMBER(C8220),ISNUMBER(D8220)),D8220-C8220,"")</f>
        <v/>
      </c>
      <c r="Z8220" s="23" t="str">
        <f aca="false">IF(B8220="","",IF(MATCH(B8220,$B$2:$B$12000,0)=ROW()-1,1,0))</f>
        <v/>
      </c>
    </row>
    <row r="8221" customFormat="false" ht="15" hidden="false" customHeight="false" outlineLevel="0" collapsed="false">
      <c r="V8221" s="23" t="str">
        <f aca="false">IF(ISNUMBER(C8221),YEAR(C8221),"")</f>
        <v/>
      </c>
      <c r="W8221" s="23" t="str">
        <f aca="false">IF(ISNUMBER(C8221),MONTH(C8221),"")</f>
        <v/>
      </c>
      <c r="X8221" s="23" t="str">
        <f aca="false">IF(T8221="","",IF(T8221=0,"No discount",IF(T8221&lt;=0.2,"Low (1-20%)",IF(T8221&lt;=0.4,"Medium (21-40%)","High (&gt;40%)"))))</f>
        <v/>
      </c>
      <c r="Y8221" s="23" t="str">
        <f aca="false">IF(AND(ISNUMBER(C8221),ISNUMBER(D8221)),D8221-C8221,"")</f>
        <v/>
      </c>
      <c r="Z8221" s="23" t="str">
        <f aca="false">IF(B8221="","",IF(MATCH(B8221,$B$2:$B$12000,0)=ROW()-1,1,0))</f>
        <v/>
      </c>
    </row>
    <row r="8222" customFormat="false" ht="15" hidden="false" customHeight="false" outlineLevel="0" collapsed="false">
      <c r="V8222" s="23" t="str">
        <f aca="false">IF(ISNUMBER(C8222),YEAR(C8222),"")</f>
        <v/>
      </c>
      <c r="W8222" s="23" t="str">
        <f aca="false">IF(ISNUMBER(C8222),MONTH(C8222),"")</f>
        <v/>
      </c>
      <c r="X8222" s="23" t="str">
        <f aca="false">IF(T8222="","",IF(T8222=0,"No discount",IF(T8222&lt;=0.2,"Low (1-20%)",IF(T8222&lt;=0.4,"Medium (21-40%)","High (&gt;40%)"))))</f>
        <v/>
      </c>
      <c r="Y8222" s="23" t="str">
        <f aca="false">IF(AND(ISNUMBER(C8222),ISNUMBER(D8222)),D8222-C8222,"")</f>
        <v/>
      </c>
      <c r="Z8222" s="23" t="str">
        <f aca="false">IF(B8222="","",IF(MATCH(B8222,$B$2:$B$12000,0)=ROW()-1,1,0))</f>
        <v/>
      </c>
    </row>
    <row r="8223" customFormat="false" ht="15" hidden="false" customHeight="false" outlineLevel="0" collapsed="false">
      <c r="V8223" s="23" t="str">
        <f aca="false">IF(ISNUMBER(C8223),YEAR(C8223),"")</f>
        <v/>
      </c>
      <c r="W8223" s="23" t="str">
        <f aca="false">IF(ISNUMBER(C8223),MONTH(C8223),"")</f>
        <v/>
      </c>
      <c r="X8223" s="23" t="str">
        <f aca="false">IF(T8223="","",IF(T8223=0,"No discount",IF(T8223&lt;=0.2,"Low (1-20%)",IF(T8223&lt;=0.4,"Medium (21-40%)","High (&gt;40%)"))))</f>
        <v/>
      </c>
      <c r="Y8223" s="23" t="str">
        <f aca="false">IF(AND(ISNUMBER(C8223),ISNUMBER(D8223)),D8223-C8223,"")</f>
        <v/>
      </c>
      <c r="Z8223" s="23" t="str">
        <f aca="false">IF(B8223="","",IF(MATCH(B8223,$B$2:$B$12000,0)=ROW()-1,1,0))</f>
        <v/>
      </c>
    </row>
    <row r="8224" customFormat="false" ht="15" hidden="false" customHeight="false" outlineLevel="0" collapsed="false">
      <c r="V8224" s="23" t="str">
        <f aca="false">IF(ISNUMBER(C8224),YEAR(C8224),"")</f>
        <v/>
      </c>
      <c r="W8224" s="23" t="str">
        <f aca="false">IF(ISNUMBER(C8224),MONTH(C8224),"")</f>
        <v/>
      </c>
      <c r="X8224" s="23" t="str">
        <f aca="false">IF(T8224="","",IF(T8224=0,"No discount",IF(T8224&lt;=0.2,"Low (1-20%)",IF(T8224&lt;=0.4,"Medium (21-40%)","High (&gt;40%)"))))</f>
        <v/>
      </c>
      <c r="Y8224" s="23" t="str">
        <f aca="false">IF(AND(ISNUMBER(C8224),ISNUMBER(D8224)),D8224-C8224,"")</f>
        <v/>
      </c>
      <c r="Z8224" s="23" t="str">
        <f aca="false">IF(B8224="","",IF(MATCH(B8224,$B$2:$B$12000,0)=ROW()-1,1,0))</f>
        <v/>
      </c>
    </row>
    <row r="8225" customFormat="false" ht="15" hidden="false" customHeight="false" outlineLevel="0" collapsed="false">
      <c r="V8225" s="23" t="str">
        <f aca="false">IF(ISNUMBER(C8225),YEAR(C8225),"")</f>
        <v/>
      </c>
      <c r="W8225" s="23" t="str">
        <f aca="false">IF(ISNUMBER(C8225),MONTH(C8225),"")</f>
        <v/>
      </c>
      <c r="X8225" s="23" t="str">
        <f aca="false">IF(T8225="","",IF(T8225=0,"No discount",IF(T8225&lt;=0.2,"Low (1-20%)",IF(T8225&lt;=0.4,"Medium (21-40%)","High (&gt;40%)"))))</f>
        <v/>
      </c>
      <c r="Y8225" s="23" t="str">
        <f aca="false">IF(AND(ISNUMBER(C8225),ISNUMBER(D8225)),D8225-C8225,"")</f>
        <v/>
      </c>
      <c r="Z8225" s="23" t="str">
        <f aca="false">IF(B8225="","",IF(MATCH(B8225,$B$2:$B$12000,0)=ROW()-1,1,0))</f>
        <v/>
      </c>
    </row>
    <row r="8226" customFormat="false" ht="15" hidden="false" customHeight="false" outlineLevel="0" collapsed="false">
      <c r="V8226" s="23" t="str">
        <f aca="false">IF(ISNUMBER(C8226),YEAR(C8226),"")</f>
        <v/>
      </c>
      <c r="W8226" s="23" t="str">
        <f aca="false">IF(ISNUMBER(C8226),MONTH(C8226),"")</f>
        <v/>
      </c>
      <c r="X8226" s="23" t="str">
        <f aca="false">IF(T8226="","",IF(T8226=0,"No discount",IF(T8226&lt;=0.2,"Low (1-20%)",IF(T8226&lt;=0.4,"Medium (21-40%)","High (&gt;40%)"))))</f>
        <v/>
      </c>
      <c r="Y8226" s="23" t="str">
        <f aca="false">IF(AND(ISNUMBER(C8226),ISNUMBER(D8226)),D8226-C8226,"")</f>
        <v/>
      </c>
      <c r="Z8226" s="23" t="str">
        <f aca="false">IF(B8226="","",IF(MATCH(B8226,$B$2:$B$12000,0)=ROW()-1,1,0))</f>
        <v/>
      </c>
    </row>
    <row r="8227" customFormat="false" ht="15" hidden="false" customHeight="false" outlineLevel="0" collapsed="false">
      <c r="V8227" s="23" t="str">
        <f aca="false">IF(ISNUMBER(C8227),YEAR(C8227),"")</f>
        <v/>
      </c>
      <c r="W8227" s="23" t="str">
        <f aca="false">IF(ISNUMBER(C8227),MONTH(C8227),"")</f>
        <v/>
      </c>
      <c r="X8227" s="23" t="str">
        <f aca="false">IF(T8227="","",IF(T8227=0,"No discount",IF(T8227&lt;=0.2,"Low (1-20%)",IF(T8227&lt;=0.4,"Medium (21-40%)","High (&gt;40%)"))))</f>
        <v/>
      </c>
      <c r="Y8227" s="23" t="str">
        <f aca="false">IF(AND(ISNUMBER(C8227),ISNUMBER(D8227)),D8227-C8227,"")</f>
        <v/>
      </c>
      <c r="Z8227" s="23" t="str">
        <f aca="false">IF(B8227="","",IF(MATCH(B8227,$B$2:$B$12000,0)=ROW()-1,1,0))</f>
        <v/>
      </c>
    </row>
    <row r="8228" customFormat="false" ht="15" hidden="false" customHeight="false" outlineLevel="0" collapsed="false">
      <c r="V8228" s="23" t="str">
        <f aca="false">IF(ISNUMBER(C8228),YEAR(C8228),"")</f>
        <v/>
      </c>
      <c r="W8228" s="23" t="str">
        <f aca="false">IF(ISNUMBER(C8228),MONTH(C8228),"")</f>
        <v/>
      </c>
      <c r="X8228" s="23" t="str">
        <f aca="false">IF(T8228="","",IF(T8228=0,"No discount",IF(T8228&lt;=0.2,"Low (1-20%)",IF(T8228&lt;=0.4,"Medium (21-40%)","High (&gt;40%)"))))</f>
        <v/>
      </c>
      <c r="Y8228" s="23" t="str">
        <f aca="false">IF(AND(ISNUMBER(C8228),ISNUMBER(D8228)),D8228-C8228,"")</f>
        <v/>
      </c>
      <c r="Z8228" s="23" t="str">
        <f aca="false">IF(B8228="","",IF(MATCH(B8228,$B$2:$B$12000,0)=ROW()-1,1,0))</f>
        <v/>
      </c>
    </row>
    <row r="8229" customFormat="false" ht="15" hidden="false" customHeight="false" outlineLevel="0" collapsed="false">
      <c r="V8229" s="23" t="str">
        <f aca="false">IF(ISNUMBER(C8229),YEAR(C8229),"")</f>
        <v/>
      </c>
      <c r="W8229" s="23" t="str">
        <f aca="false">IF(ISNUMBER(C8229),MONTH(C8229),"")</f>
        <v/>
      </c>
      <c r="X8229" s="23" t="str">
        <f aca="false">IF(T8229="","",IF(T8229=0,"No discount",IF(T8229&lt;=0.2,"Low (1-20%)",IF(T8229&lt;=0.4,"Medium (21-40%)","High (&gt;40%)"))))</f>
        <v/>
      </c>
      <c r="Y8229" s="23" t="str">
        <f aca="false">IF(AND(ISNUMBER(C8229),ISNUMBER(D8229)),D8229-C8229,"")</f>
        <v/>
      </c>
      <c r="Z8229" s="23" t="str">
        <f aca="false">IF(B8229="","",IF(MATCH(B8229,$B$2:$B$12000,0)=ROW()-1,1,0))</f>
        <v/>
      </c>
    </row>
    <row r="8230" customFormat="false" ht="15" hidden="false" customHeight="false" outlineLevel="0" collapsed="false">
      <c r="V8230" s="23" t="str">
        <f aca="false">IF(ISNUMBER(C8230),YEAR(C8230),"")</f>
        <v/>
      </c>
      <c r="W8230" s="23" t="str">
        <f aca="false">IF(ISNUMBER(C8230),MONTH(C8230),"")</f>
        <v/>
      </c>
      <c r="X8230" s="23" t="str">
        <f aca="false">IF(T8230="","",IF(T8230=0,"No discount",IF(T8230&lt;=0.2,"Low (1-20%)",IF(T8230&lt;=0.4,"Medium (21-40%)","High (&gt;40%)"))))</f>
        <v/>
      </c>
      <c r="Y8230" s="23" t="str">
        <f aca="false">IF(AND(ISNUMBER(C8230),ISNUMBER(D8230)),D8230-C8230,"")</f>
        <v/>
      </c>
      <c r="Z8230" s="23" t="str">
        <f aca="false">IF(B8230="","",IF(MATCH(B8230,$B$2:$B$12000,0)=ROW()-1,1,0))</f>
        <v/>
      </c>
    </row>
    <row r="8231" customFormat="false" ht="15" hidden="false" customHeight="false" outlineLevel="0" collapsed="false">
      <c r="V8231" s="23" t="str">
        <f aca="false">IF(ISNUMBER(C8231),YEAR(C8231),"")</f>
        <v/>
      </c>
      <c r="W8231" s="23" t="str">
        <f aca="false">IF(ISNUMBER(C8231),MONTH(C8231),"")</f>
        <v/>
      </c>
      <c r="X8231" s="23" t="str">
        <f aca="false">IF(T8231="","",IF(T8231=0,"No discount",IF(T8231&lt;=0.2,"Low (1-20%)",IF(T8231&lt;=0.4,"Medium (21-40%)","High (&gt;40%)"))))</f>
        <v/>
      </c>
      <c r="Y8231" s="23" t="str">
        <f aca="false">IF(AND(ISNUMBER(C8231),ISNUMBER(D8231)),D8231-C8231,"")</f>
        <v/>
      </c>
      <c r="Z8231" s="23" t="str">
        <f aca="false">IF(B8231="","",IF(MATCH(B8231,$B$2:$B$12000,0)=ROW()-1,1,0))</f>
        <v/>
      </c>
    </row>
    <row r="8232" customFormat="false" ht="15" hidden="false" customHeight="false" outlineLevel="0" collapsed="false">
      <c r="V8232" s="23" t="str">
        <f aca="false">IF(ISNUMBER(C8232),YEAR(C8232),"")</f>
        <v/>
      </c>
      <c r="W8232" s="23" t="str">
        <f aca="false">IF(ISNUMBER(C8232),MONTH(C8232),"")</f>
        <v/>
      </c>
      <c r="X8232" s="23" t="str">
        <f aca="false">IF(T8232="","",IF(T8232=0,"No discount",IF(T8232&lt;=0.2,"Low (1-20%)",IF(T8232&lt;=0.4,"Medium (21-40%)","High (&gt;40%)"))))</f>
        <v/>
      </c>
      <c r="Y8232" s="23" t="str">
        <f aca="false">IF(AND(ISNUMBER(C8232),ISNUMBER(D8232)),D8232-C8232,"")</f>
        <v/>
      </c>
      <c r="Z8232" s="23" t="str">
        <f aca="false">IF(B8232="","",IF(MATCH(B8232,$B$2:$B$12000,0)=ROW()-1,1,0))</f>
        <v/>
      </c>
    </row>
    <row r="8233" customFormat="false" ht="15" hidden="false" customHeight="false" outlineLevel="0" collapsed="false">
      <c r="V8233" s="23" t="str">
        <f aca="false">IF(ISNUMBER(C8233),YEAR(C8233),"")</f>
        <v/>
      </c>
      <c r="W8233" s="23" t="str">
        <f aca="false">IF(ISNUMBER(C8233),MONTH(C8233),"")</f>
        <v/>
      </c>
      <c r="X8233" s="23" t="str">
        <f aca="false">IF(T8233="","",IF(T8233=0,"No discount",IF(T8233&lt;=0.2,"Low (1-20%)",IF(T8233&lt;=0.4,"Medium (21-40%)","High (&gt;40%)"))))</f>
        <v/>
      </c>
      <c r="Y8233" s="23" t="str">
        <f aca="false">IF(AND(ISNUMBER(C8233),ISNUMBER(D8233)),D8233-C8233,"")</f>
        <v/>
      </c>
      <c r="Z8233" s="23" t="str">
        <f aca="false">IF(B8233="","",IF(MATCH(B8233,$B$2:$B$12000,0)=ROW()-1,1,0))</f>
        <v/>
      </c>
    </row>
    <row r="8234" customFormat="false" ht="15" hidden="false" customHeight="false" outlineLevel="0" collapsed="false">
      <c r="V8234" s="23" t="str">
        <f aca="false">IF(ISNUMBER(C8234),YEAR(C8234),"")</f>
        <v/>
      </c>
      <c r="W8234" s="23" t="str">
        <f aca="false">IF(ISNUMBER(C8234),MONTH(C8234),"")</f>
        <v/>
      </c>
      <c r="X8234" s="23" t="str">
        <f aca="false">IF(T8234="","",IF(T8234=0,"No discount",IF(T8234&lt;=0.2,"Low (1-20%)",IF(T8234&lt;=0.4,"Medium (21-40%)","High (&gt;40%)"))))</f>
        <v/>
      </c>
      <c r="Y8234" s="23" t="str">
        <f aca="false">IF(AND(ISNUMBER(C8234),ISNUMBER(D8234)),D8234-C8234,"")</f>
        <v/>
      </c>
      <c r="Z8234" s="23" t="str">
        <f aca="false">IF(B8234="","",IF(MATCH(B8234,$B$2:$B$12000,0)=ROW()-1,1,0))</f>
        <v/>
      </c>
    </row>
    <row r="8235" customFormat="false" ht="15" hidden="false" customHeight="false" outlineLevel="0" collapsed="false">
      <c r="V8235" s="23" t="str">
        <f aca="false">IF(ISNUMBER(C8235),YEAR(C8235),"")</f>
        <v/>
      </c>
      <c r="W8235" s="23" t="str">
        <f aca="false">IF(ISNUMBER(C8235),MONTH(C8235),"")</f>
        <v/>
      </c>
      <c r="X8235" s="23" t="str">
        <f aca="false">IF(T8235="","",IF(T8235=0,"No discount",IF(T8235&lt;=0.2,"Low (1-20%)",IF(T8235&lt;=0.4,"Medium (21-40%)","High (&gt;40%)"))))</f>
        <v/>
      </c>
      <c r="Y8235" s="23" t="str">
        <f aca="false">IF(AND(ISNUMBER(C8235),ISNUMBER(D8235)),D8235-C8235,"")</f>
        <v/>
      </c>
      <c r="Z8235" s="23" t="str">
        <f aca="false">IF(B8235="","",IF(MATCH(B8235,$B$2:$B$12000,0)=ROW()-1,1,0))</f>
        <v/>
      </c>
    </row>
    <row r="8236" customFormat="false" ht="15" hidden="false" customHeight="false" outlineLevel="0" collapsed="false">
      <c r="V8236" s="23" t="str">
        <f aca="false">IF(ISNUMBER(C8236),YEAR(C8236),"")</f>
        <v/>
      </c>
      <c r="W8236" s="23" t="str">
        <f aca="false">IF(ISNUMBER(C8236),MONTH(C8236),"")</f>
        <v/>
      </c>
      <c r="X8236" s="23" t="str">
        <f aca="false">IF(T8236="","",IF(T8236=0,"No discount",IF(T8236&lt;=0.2,"Low (1-20%)",IF(T8236&lt;=0.4,"Medium (21-40%)","High (&gt;40%)"))))</f>
        <v/>
      </c>
      <c r="Y8236" s="23" t="str">
        <f aca="false">IF(AND(ISNUMBER(C8236),ISNUMBER(D8236)),D8236-C8236,"")</f>
        <v/>
      </c>
      <c r="Z8236" s="23" t="str">
        <f aca="false">IF(B8236="","",IF(MATCH(B8236,$B$2:$B$12000,0)=ROW()-1,1,0))</f>
        <v/>
      </c>
    </row>
    <row r="8237" customFormat="false" ht="15" hidden="false" customHeight="false" outlineLevel="0" collapsed="false">
      <c r="V8237" s="23" t="str">
        <f aca="false">IF(ISNUMBER(C8237),YEAR(C8237),"")</f>
        <v/>
      </c>
      <c r="W8237" s="23" t="str">
        <f aca="false">IF(ISNUMBER(C8237),MONTH(C8237),"")</f>
        <v/>
      </c>
      <c r="X8237" s="23" t="str">
        <f aca="false">IF(T8237="","",IF(T8237=0,"No discount",IF(T8237&lt;=0.2,"Low (1-20%)",IF(T8237&lt;=0.4,"Medium (21-40%)","High (&gt;40%)"))))</f>
        <v/>
      </c>
      <c r="Y8237" s="23" t="str">
        <f aca="false">IF(AND(ISNUMBER(C8237),ISNUMBER(D8237)),D8237-C8237,"")</f>
        <v/>
      </c>
      <c r="Z8237" s="23" t="str">
        <f aca="false">IF(B8237="","",IF(MATCH(B8237,$B$2:$B$12000,0)=ROW()-1,1,0))</f>
        <v/>
      </c>
    </row>
    <row r="8238" customFormat="false" ht="15" hidden="false" customHeight="false" outlineLevel="0" collapsed="false">
      <c r="V8238" s="23" t="str">
        <f aca="false">IF(ISNUMBER(C8238),YEAR(C8238),"")</f>
        <v/>
      </c>
      <c r="W8238" s="23" t="str">
        <f aca="false">IF(ISNUMBER(C8238),MONTH(C8238),"")</f>
        <v/>
      </c>
      <c r="X8238" s="23" t="str">
        <f aca="false">IF(T8238="","",IF(T8238=0,"No discount",IF(T8238&lt;=0.2,"Low (1-20%)",IF(T8238&lt;=0.4,"Medium (21-40%)","High (&gt;40%)"))))</f>
        <v/>
      </c>
      <c r="Y8238" s="23" t="str">
        <f aca="false">IF(AND(ISNUMBER(C8238),ISNUMBER(D8238)),D8238-C8238,"")</f>
        <v/>
      </c>
      <c r="Z8238" s="23" t="str">
        <f aca="false">IF(B8238="","",IF(MATCH(B8238,$B$2:$B$12000,0)=ROW()-1,1,0))</f>
        <v/>
      </c>
    </row>
    <row r="8239" customFormat="false" ht="15" hidden="false" customHeight="false" outlineLevel="0" collapsed="false">
      <c r="V8239" s="23" t="str">
        <f aca="false">IF(ISNUMBER(C8239),YEAR(C8239),"")</f>
        <v/>
      </c>
      <c r="W8239" s="23" t="str">
        <f aca="false">IF(ISNUMBER(C8239),MONTH(C8239),"")</f>
        <v/>
      </c>
      <c r="X8239" s="23" t="str">
        <f aca="false">IF(T8239="","",IF(T8239=0,"No discount",IF(T8239&lt;=0.2,"Low (1-20%)",IF(T8239&lt;=0.4,"Medium (21-40%)","High (&gt;40%)"))))</f>
        <v/>
      </c>
      <c r="Y8239" s="23" t="str">
        <f aca="false">IF(AND(ISNUMBER(C8239),ISNUMBER(D8239)),D8239-C8239,"")</f>
        <v/>
      </c>
      <c r="Z8239" s="23" t="str">
        <f aca="false">IF(B8239="","",IF(MATCH(B8239,$B$2:$B$12000,0)=ROW()-1,1,0))</f>
        <v/>
      </c>
    </row>
    <row r="8240" customFormat="false" ht="15" hidden="false" customHeight="false" outlineLevel="0" collapsed="false">
      <c r="V8240" s="23" t="str">
        <f aca="false">IF(ISNUMBER(C8240),YEAR(C8240),"")</f>
        <v/>
      </c>
      <c r="W8240" s="23" t="str">
        <f aca="false">IF(ISNUMBER(C8240),MONTH(C8240),"")</f>
        <v/>
      </c>
      <c r="X8240" s="23" t="str">
        <f aca="false">IF(T8240="","",IF(T8240=0,"No discount",IF(T8240&lt;=0.2,"Low (1-20%)",IF(T8240&lt;=0.4,"Medium (21-40%)","High (&gt;40%)"))))</f>
        <v/>
      </c>
      <c r="Y8240" s="23" t="str">
        <f aca="false">IF(AND(ISNUMBER(C8240),ISNUMBER(D8240)),D8240-C8240,"")</f>
        <v/>
      </c>
      <c r="Z8240" s="23" t="str">
        <f aca="false">IF(B8240="","",IF(MATCH(B8240,$B$2:$B$12000,0)=ROW()-1,1,0))</f>
        <v/>
      </c>
    </row>
    <row r="8241" customFormat="false" ht="15" hidden="false" customHeight="false" outlineLevel="0" collapsed="false">
      <c r="V8241" s="23" t="str">
        <f aca="false">IF(ISNUMBER(C8241),YEAR(C8241),"")</f>
        <v/>
      </c>
      <c r="W8241" s="23" t="str">
        <f aca="false">IF(ISNUMBER(C8241),MONTH(C8241),"")</f>
        <v/>
      </c>
      <c r="X8241" s="23" t="str">
        <f aca="false">IF(T8241="","",IF(T8241=0,"No discount",IF(T8241&lt;=0.2,"Low (1-20%)",IF(T8241&lt;=0.4,"Medium (21-40%)","High (&gt;40%)"))))</f>
        <v/>
      </c>
      <c r="Y8241" s="23" t="str">
        <f aca="false">IF(AND(ISNUMBER(C8241),ISNUMBER(D8241)),D8241-C8241,"")</f>
        <v/>
      </c>
      <c r="Z8241" s="23" t="str">
        <f aca="false">IF(B8241="","",IF(MATCH(B8241,$B$2:$B$12000,0)=ROW()-1,1,0))</f>
        <v/>
      </c>
    </row>
    <row r="8242" customFormat="false" ht="15" hidden="false" customHeight="false" outlineLevel="0" collapsed="false">
      <c r="V8242" s="23" t="str">
        <f aca="false">IF(ISNUMBER(C8242),YEAR(C8242),"")</f>
        <v/>
      </c>
      <c r="W8242" s="23" t="str">
        <f aca="false">IF(ISNUMBER(C8242),MONTH(C8242),"")</f>
        <v/>
      </c>
      <c r="X8242" s="23" t="str">
        <f aca="false">IF(T8242="","",IF(T8242=0,"No discount",IF(T8242&lt;=0.2,"Low (1-20%)",IF(T8242&lt;=0.4,"Medium (21-40%)","High (&gt;40%)"))))</f>
        <v/>
      </c>
      <c r="Y8242" s="23" t="str">
        <f aca="false">IF(AND(ISNUMBER(C8242),ISNUMBER(D8242)),D8242-C8242,"")</f>
        <v/>
      </c>
      <c r="Z8242" s="23" t="str">
        <f aca="false">IF(B8242="","",IF(MATCH(B8242,$B$2:$B$12000,0)=ROW()-1,1,0))</f>
        <v/>
      </c>
    </row>
    <row r="8243" customFormat="false" ht="15" hidden="false" customHeight="false" outlineLevel="0" collapsed="false">
      <c r="V8243" s="23" t="str">
        <f aca="false">IF(ISNUMBER(C8243),YEAR(C8243),"")</f>
        <v/>
      </c>
      <c r="W8243" s="23" t="str">
        <f aca="false">IF(ISNUMBER(C8243),MONTH(C8243),"")</f>
        <v/>
      </c>
      <c r="X8243" s="23" t="str">
        <f aca="false">IF(T8243="","",IF(T8243=0,"No discount",IF(T8243&lt;=0.2,"Low (1-20%)",IF(T8243&lt;=0.4,"Medium (21-40%)","High (&gt;40%)"))))</f>
        <v/>
      </c>
      <c r="Y8243" s="23" t="str">
        <f aca="false">IF(AND(ISNUMBER(C8243),ISNUMBER(D8243)),D8243-C8243,"")</f>
        <v/>
      </c>
      <c r="Z8243" s="23" t="str">
        <f aca="false">IF(B8243="","",IF(MATCH(B8243,$B$2:$B$12000,0)=ROW()-1,1,0))</f>
        <v/>
      </c>
    </row>
    <row r="8244" customFormat="false" ht="15" hidden="false" customHeight="false" outlineLevel="0" collapsed="false">
      <c r="V8244" s="23" t="str">
        <f aca="false">IF(ISNUMBER(C8244),YEAR(C8244),"")</f>
        <v/>
      </c>
      <c r="W8244" s="23" t="str">
        <f aca="false">IF(ISNUMBER(C8244),MONTH(C8244),"")</f>
        <v/>
      </c>
      <c r="X8244" s="23" t="str">
        <f aca="false">IF(T8244="","",IF(T8244=0,"No discount",IF(T8244&lt;=0.2,"Low (1-20%)",IF(T8244&lt;=0.4,"Medium (21-40%)","High (&gt;40%)"))))</f>
        <v/>
      </c>
      <c r="Y8244" s="23" t="str">
        <f aca="false">IF(AND(ISNUMBER(C8244),ISNUMBER(D8244)),D8244-C8244,"")</f>
        <v/>
      </c>
      <c r="Z8244" s="23" t="str">
        <f aca="false">IF(B8244="","",IF(MATCH(B8244,$B$2:$B$12000,0)=ROW()-1,1,0))</f>
        <v/>
      </c>
    </row>
    <row r="8245" customFormat="false" ht="15" hidden="false" customHeight="false" outlineLevel="0" collapsed="false">
      <c r="V8245" s="23" t="str">
        <f aca="false">IF(ISNUMBER(C8245),YEAR(C8245),"")</f>
        <v/>
      </c>
      <c r="W8245" s="23" t="str">
        <f aca="false">IF(ISNUMBER(C8245),MONTH(C8245),"")</f>
        <v/>
      </c>
      <c r="X8245" s="23" t="str">
        <f aca="false">IF(T8245="","",IF(T8245=0,"No discount",IF(T8245&lt;=0.2,"Low (1-20%)",IF(T8245&lt;=0.4,"Medium (21-40%)","High (&gt;40%)"))))</f>
        <v/>
      </c>
      <c r="Y8245" s="23" t="str">
        <f aca="false">IF(AND(ISNUMBER(C8245),ISNUMBER(D8245)),D8245-C8245,"")</f>
        <v/>
      </c>
      <c r="Z8245" s="23" t="str">
        <f aca="false">IF(B8245="","",IF(MATCH(B8245,$B$2:$B$12000,0)=ROW()-1,1,0))</f>
        <v/>
      </c>
    </row>
    <row r="8246" customFormat="false" ht="15" hidden="false" customHeight="false" outlineLevel="0" collapsed="false">
      <c r="V8246" s="23" t="str">
        <f aca="false">IF(ISNUMBER(C8246),YEAR(C8246),"")</f>
        <v/>
      </c>
      <c r="W8246" s="23" t="str">
        <f aca="false">IF(ISNUMBER(C8246),MONTH(C8246),"")</f>
        <v/>
      </c>
      <c r="X8246" s="23" t="str">
        <f aca="false">IF(T8246="","",IF(T8246=0,"No discount",IF(T8246&lt;=0.2,"Low (1-20%)",IF(T8246&lt;=0.4,"Medium (21-40%)","High (&gt;40%)"))))</f>
        <v/>
      </c>
      <c r="Y8246" s="23" t="str">
        <f aca="false">IF(AND(ISNUMBER(C8246),ISNUMBER(D8246)),D8246-C8246,"")</f>
        <v/>
      </c>
      <c r="Z8246" s="23" t="str">
        <f aca="false">IF(B8246="","",IF(MATCH(B8246,$B$2:$B$12000,0)=ROW()-1,1,0))</f>
        <v/>
      </c>
    </row>
    <row r="8247" customFormat="false" ht="15" hidden="false" customHeight="false" outlineLevel="0" collapsed="false">
      <c r="V8247" s="23" t="str">
        <f aca="false">IF(ISNUMBER(C8247),YEAR(C8247),"")</f>
        <v/>
      </c>
      <c r="W8247" s="23" t="str">
        <f aca="false">IF(ISNUMBER(C8247),MONTH(C8247),"")</f>
        <v/>
      </c>
      <c r="X8247" s="23" t="str">
        <f aca="false">IF(T8247="","",IF(T8247=0,"No discount",IF(T8247&lt;=0.2,"Low (1-20%)",IF(T8247&lt;=0.4,"Medium (21-40%)","High (&gt;40%)"))))</f>
        <v/>
      </c>
      <c r="Y8247" s="23" t="str">
        <f aca="false">IF(AND(ISNUMBER(C8247),ISNUMBER(D8247)),D8247-C8247,"")</f>
        <v/>
      </c>
      <c r="Z8247" s="23" t="str">
        <f aca="false">IF(B8247="","",IF(MATCH(B8247,$B$2:$B$12000,0)=ROW()-1,1,0))</f>
        <v/>
      </c>
    </row>
    <row r="8248" customFormat="false" ht="15" hidden="false" customHeight="false" outlineLevel="0" collapsed="false">
      <c r="V8248" s="23" t="str">
        <f aca="false">IF(ISNUMBER(C8248),YEAR(C8248),"")</f>
        <v/>
      </c>
      <c r="W8248" s="23" t="str">
        <f aca="false">IF(ISNUMBER(C8248),MONTH(C8248),"")</f>
        <v/>
      </c>
      <c r="X8248" s="23" t="str">
        <f aca="false">IF(T8248="","",IF(T8248=0,"No discount",IF(T8248&lt;=0.2,"Low (1-20%)",IF(T8248&lt;=0.4,"Medium (21-40%)","High (&gt;40%)"))))</f>
        <v/>
      </c>
      <c r="Y8248" s="23" t="str">
        <f aca="false">IF(AND(ISNUMBER(C8248),ISNUMBER(D8248)),D8248-C8248,"")</f>
        <v/>
      </c>
      <c r="Z8248" s="23" t="str">
        <f aca="false">IF(B8248="","",IF(MATCH(B8248,$B$2:$B$12000,0)=ROW()-1,1,0))</f>
        <v/>
      </c>
    </row>
    <row r="8249" customFormat="false" ht="15" hidden="false" customHeight="false" outlineLevel="0" collapsed="false">
      <c r="V8249" s="23" t="str">
        <f aca="false">IF(ISNUMBER(C8249),YEAR(C8249),"")</f>
        <v/>
      </c>
      <c r="W8249" s="23" t="str">
        <f aca="false">IF(ISNUMBER(C8249),MONTH(C8249),"")</f>
        <v/>
      </c>
      <c r="X8249" s="23" t="str">
        <f aca="false">IF(T8249="","",IF(T8249=0,"No discount",IF(T8249&lt;=0.2,"Low (1-20%)",IF(T8249&lt;=0.4,"Medium (21-40%)","High (&gt;40%)"))))</f>
        <v/>
      </c>
      <c r="Y8249" s="23" t="str">
        <f aca="false">IF(AND(ISNUMBER(C8249),ISNUMBER(D8249)),D8249-C8249,"")</f>
        <v/>
      </c>
      <c r="Z8249" s="23" t="str">
        <f aca="false">IF(B8249="","",IF(MATCH(B8249,$B$2:$B$12000,0)=ROW()-1,1,0))</f>
        <v/>
      </c>
    </row>
    <row r="8250" customFormat="false" ht="15" hidden="false" customHeight="false" outlineLevel="0" collapsed="false">
      <c r="V8250" s="23" t="str">
        <f aca="false">IF(ISNUMBER(C8250),YEAR(C8250),"")</f>
        <v/>
      </c>
      <c r="W8250" s="23" t="str">
        <f aca="false">IF(ISNUMBER(C8250),MONTH(C8250),"")</f>
        <v/>
      </c>
      <c r="X8250" s="23" t="str">
        <f aca="false">IF(T8250="","",IF(T8250=0,"No discount",IF(T8250&lt;=0.2,"Low (1-20%)",IF(T8250&lt;=0.4,"Medium (21-40%)","High (&gt;40%)"))))</f>
        <v/>
      </c>
      <c r="Y8250" s="23" t="str">
        <f aca="false">IF(AND(ISNUMBER(C8250),ISNUMBER(D8250)),D8250-C8250,"")</f>
        <v/>
      </c>
      <c r="Z8250" s="23" t="str">
        <f aca="false">IF(B8250="","",IF(MATCH(B8250,$B$2:$B$12000,0)=ROW()-1,1,0))</f>
        <v/>
      </c>
    </row>
    <row r="8251" customFormat="false" ht="15" hidden="false" customHeight="false" outlineLevel="0" collapsed="false">
      <c r="V8251" s="23" t="str">
        <f aca="false">IF(ISNUMBER(C8251),YEAR(C8251),"")</f>
        <v/>
      </c>
      <c r="W8251" s="23" t="str">
        <f aca="false">IF(ISNUMBER(C8251),MONTH(C8251),"")</f>
        <v/>
      </c>
      <c r="X8251" s="23" t="str">
        <f aca="false">IF(T8251="","",IF(T8251=0,"No discount",IF(T8251&lt;=0.2,"Low (1-20%)",IF(T8251&lt;=0.4,"Medium (21-40%)","High (&gt;40%)"))))</f>
        <v/>
      </c>
      <c r="Y8251" s="23" t="str">
        <f aca="false">IF(AND(ISNUMBER(C8251),ISNUMBER(D8251)),D8251-C8251,"")</f>
        <v/>
      </c>
      <c r="Z8251" s="23" t="str">
        <f aca="false">IF(B8251="","",IF(MATCH(B8251,$B$2:$B$12000,0)=ROW()-1,1,0))</f>
        <v/>
      </c>
    </row>
    <row r="8252" customFormat="false" ht="15" hidden="false" customHeight="false" outlineLevel="0" collapsed="false">
      <c r="V8252" s="23" t="str">
        <f aca="false">IF(ISNUMBER(C8252),YEAR(C8252),"")</f>
        <v/>
      </c>
      <c r="W8252" s="23" t="str">
        <f aca="false">IF(ISNUMBER(C8252),MONTH(C8252),"")</f>
        <v/>
      </c>
      <c r="X8252" s="23" t="str">
        <f aca="false">IF(T8252="","",IF(T8252=0,"No discount",IF(T8252&lt;=0.2,"Low (1-20%)",IF(T8252&lt;=0.4,"Medium (21-40%)","High (&gt;40%)"))))</f>
        <v/>
      </c>
      <c r="Y8252" s="23" t="str">
        <f aca="false">IF(AND(ISNUMBER(C8252),ISNUMBER(D8252)),D8252-C8252,"")</f>
        <v/>
      </c>
      <c r="Z8252" s="23" t="str">
        <f aca="false">IF(B8252="","",IF(MATCH(B8252,$B$2:$B$12000,0)=ROW()-1,1,0))</f>
        <v/>
      </c>
    </row>
    <row r="8253" customFormat="false" ht="15" hidden="false" customHeight="false" outlineLevel="0" collapsed="false">
      <c r="V8253" s="23" t="str">
        <f aca="false">IF(ISNUMBER(C8253),YEAR(C8253),"")</f>
        <v/>
      </c>
      <c r="W8253" s="23" t="str">
        <f aca="false">IF(ISNUMBER(C8253),MONTH(C8253),"")</f>
        <v/>
      </c>
      <c r="X8253" s="23" t="str">
        <f aca="false">IF(T8253="","",IF(T8253=0,"No discount",IF(T8253&lt;=0.2,"Low (1-20%)",IF(T8253&lt;=0.4,"Medium (21-40%)","High (&gt;40%)"))))</f>
        <v/>
      </c>
      <c r="Y8253" s="23" t="str">
        <f aca="false">IF(AND(ISNUMBER(C8253),ISNUMBER(D8253)),D8253-C8253,"")</f>
        <v/>
      </c>
      <c r="Z8253" s="23" t="str">
        <f aca="false">IF(B8253="","",IF(MATCH(B8253,$B$2:$B$12000,0)=ROW()-1,1,0))</f>
        <v/>
      </c>
    </row>
    <row r="8254" customFormat="false" ht="15" hidden="false" customHeight="false" outlineLevel="0" collapsed="false">
      <c r="V8254" s="23" t="str">
        <f aca="false">IF(ISNUMBER(C8254),YEAR(C8254),"")</f>
        <v/>
      </c>
      <c r="W8254" s="23" t="str">
        <f aca="false">IF(ISNUMBER(C8254),MONTH(C8254),"")</f>
        <v/>
      </c>
      <c r="X8254" s="23" t="str">
        <f aca="false">IF(T8254="","",IF(T8254=0,"No discount",IF(T8254&lt;=0.2,"Low (1-20%)",IF(T8254&lt;=0.4,"Medium (21-40%)","High (&gt;40%)"))))</f>
        <v/>
      </c>
      <c r="Y8254" s="23" t="str">
        <f aca="false">IF(AND(ISNUMBER(C8254),ISNUMBER(D8254)),D8254-C8254,"")</f>
        <v/>
      </c>
      <c r="Z8254" s="23" t="str">
        <f aca="false">IF(B8254="","",IF(MATCH(B8254,$B$2:$B$12000,0)=ROW()-1,1,0))</f>
        <v/>
      </c>
    </row>
    <row r="8255" customFormat="false" ht="15" hidden="false" customHeight="false" outlineLevel="0" collapsed="false">
      <c r="V8255" s="23" t="str">
        <f aca="false">IF(ISNUMBER(C8255),YEAR(C8255),"")</f>
        <v/>
      </c>
      <c r="W8255" s="23" t="str">
        <f aca="false">IF(ISNUMBER(C8255),MONTH(C8255),"")</f>
        <v/>
      </c>
      <c r="X8255" s="23" t="str">
        <f aca="false">IF(T8255="","",IF(T8255=0,"No discount",IF(T8255&lt;=0.2,"Low (1-20%)",IF(T8255&lt;=0.4,"Medium (21-40%)","High (&gt;40%)"))))</f>
        <v/>
      </c>
      <c r="Y8255" s="23" t="str">
        <f aca="false">IF(AND(ISNUMBER(C8255),ISNUMBER(D8255)),D8255-C8255,"")</f>
        <v/>
      </c>
      <c r="Z8255" s="23" t="str">
        <f aca="false">IF(B8255="","",IF(MATCH(B8255,$B$2:$B$12000,0)=ROW()-1,1,0))</f>
        <v/>
      </c>
    </row>
    <row r="8256" customFormat="false" ht="15" hidden="false" customHeight="false" outlineLevel="0" collapsed="false">
      <c r="V8256" s="23" t="str">
        <f aca="false">IF(ISNUMBER(C8256),YEAR(C8256),"")</f>
        <v/>
      </c>
      <c r="W8256" s="23" t="str">
        <f aca="false">IF(ISNUMBER(C8256),MONTH(C8256),"")</f>
        <v/>
      </c>
      <c r="X8256" s="23" t="str">
        <f aca="false">IF(T8256="","",IF(T8256=0,"No discount",IF(T8256&lt;=0.2,"Low (1-20%)",IF(T8256&lt;=0.4,"Medium (21-40%)","High (&gt;40%)"))))</f>
        <v/>
      </c>
      <c r="Y8256" s="23" t="str">
        <f aca="false">IF(AND(ISNUMBER(C8256),ISNUMBER(D8256)),D8256-C8256,"")</f>
        <v/>
      </c>
      <c r="Z8256" s="23" t="str">
        <f aca="false">IF(B8256="","",IF(MATCH(B8256,$B$2:$B$12000,0)=ROW()-1,1,0))</f>
        <v/>
      </c>
    </row>
    <row r="8257" customFormat="false" ht="15" hidden="false" customHeight="false" outlineLevel="0" collapsed="false">
      <c r="V8257" s="23" t="str">
        <f aca="false">IF(ISNUMBER(C8257),YEAR(C8257),"")</f>
        <v/>
      </c>
      <c r="W8257" s="23" t="str">
        <f aca="false">IF(ISNUMBER(C8257),MONTH(C8257),"")</f>
        <v/>
      </c>
      <c r="X8257" s="23" t="str">
        <f aca="false">IF(T8257="","",IF(T8257=0,"No discount",IF(T8257&lt;=0.2,"Low (1-20%)",IF(T8257&lt;=0.4,"Medium (21-40%)","High (&gt;40%)"))))</f>
        <v/>
      </c>
      <c r="Y8257" s="23" t="str">
        <f aca="false">IF(AND(ISNUMBER(C8257),ISNUMBER(D8257)),D8257-C8257,"")</f>
        <v/>
      </c>
      <c r="Z8257" s="23" t="str">
        <f aca="false">IF(B8257="","",IF(MATCH(B8257,$B$2:$B$12000,0)=ROW()-1,1,0))</f>
        <v/>
      </c>
    </row>
    <row r="8258" customFormat="false" ht="15" hidden="false" customHeight="false" outlineLevel="0" collapsed="false">
      <c r="V8258" s="23" t="str">
        <f aca="false">IF(ISNUMBER(C8258),YEAR(C8258),"")</f>
        <v/>
      </c>
      <c r="W8258" s="23" t="str">
        <f aca="false">IF(ISNUMBER(C8258),MONTH(C8258),"")</f>
        <v/>
      </c>
      <c r="X8258" s="23" t="str">
        <f aca="false">IF(T8258="","",IF(T8258=0,"No discount",IF(T8258&lt;=0.2,"Low (1-20%)",IF(T8258&lt;=0.4,"Medium (21-40%)","High (&gt;40%)"))))</f>
        <v/>
      </c>
      <c r="Y8258" s="23" t="str">
        <f aca="false">IF(AND(ISNUMBER(C8258),ISNUMBER(D8258)),D8258-C8258,"")</f>
        <v/>
      </c>
      <c r="Z8258" s="23" t="str">
        <f aca="false">IF(B8258="","",IF(MATCH(B8258,$B$2:$B$12000,0)=ROW()-1,1,0))</f>
        <v/>
      </c>
    </row>
    <row r="8259" customFormat="false" ht="15" hidden="false" customHeight="false" outlineLevel="0" collapsed="false">
      <c r="V8259" s="23" t="str">
        <f aca="false">IF(ISNUMBER(C8259),YEAR(C8259),"")</f>
        <v/>
      </c>
      <c r="W8259" s="23" t="str">
        <f aca="false">IF(ISNUMBER(C8259),MONTH(C8259),"")</f>
        <v/>
      </c>
      <c r="X8259" s="23" t="str">
        <f aca="false">IF(T8259="","",IF(T8259=0,"No discount",IF(T8259&lt;=0.2,"Low (1-20%)",IF(T8259&lt;=0.4,"Medium (21-40%)","High (&gt;40%)"))))</f>
        <v/>
      </c>
      <c r="Y8259" s="23" t="str">
        <f aca="false">IF(AND(ISNUMBER(C8259),ISNUMBER(D8259)),D8259-C8259,"")</f>
        <v/>
      </c>
      <c r="Z8259" s="23" t="str">
        <f aca="false">IF(B8259="","",IF(MATCH(B8259,$B$2:$B$12000,0)=ROW()-1,1,0))</f>
        <v/>
      </c>
    </row>
    <row r="8260" customFormat="false" ht="15" hidden="false" customHeight="false" outlineLevel="0" collapsed="false">
      <c r="V8260" s="23" t="str">
        <f aca="false">IF(ISNUMBER(C8260),YEAR(C8260),"")</f>
        <v/>
      </c>
      <c r="W8260" s="23" t="str">
        <f aca="false">IF(ISNUMBER(C8260),MONTH(C8260),"")</f>
        <v/>
      </c>
      <c r="X8260" s="23" t="str">
        <f aca="false">IF(T8260="","",IF(T8260=0,"No discount",IF(T8260&lt;=0.2,"Low (1-20%)",IF(T8260&lt;=0.4,"Medium (21-40%)","High (&gt;40%)"))))</f>
        <v/>
      </c>
      <c r="Y8260" s="23" t="str">
        <f aca="false">IF(AND(ISNUMBER(C8260),ISNUMBER(D8260)),D8260-C8260,"")</f>
        <v/>
      </c>
      <c r="Z8260" s="23" t="str">
        <f aca="false">IF(B8260="","",IF(MATCH(B8260,$B$2:$B$12000,0)=ROW()-1,1,0))</f>
        <v/>
      </c>
    </row>
    <row r="8261" customFormat="false" ht="15" hidden="false" customHeight="false" outlineLevel="0" collapsed="false">
      <c r="V8261" s="23" t="str">
        <f aca="false">IF(ISNUMBER(C8261),YEAR(C8261),"")</f>
        <v/>
      </c>
      <c r="W8261" s="23" t="str">
        <f aca="false">IF(ISNUMBER(C8261),MONTH(C8261),"")</f>
        <v/>
      </c>
      <c r="X8261" s="23" t="str">
        <f aca="false">IF(T8261="","",IF(T8261=0,"No discount",IF(T8261&lt;=0.2,"Low (1-20%)",IF(T8261&lt;=0.4,"Medium (21-40%)","High (&gt;40%)"))))</f>
        <v/>
      </c>
      <c r="Y8261" s="23" t="str">
        <f aca="false">IF(AND(ISNUMBER(C8261),ISNUMBER(D8261)),D8261-C8261,"")</f>
        <v/>
      </c>
      <c r="Z8261" s="23" t="str">
        <f aca="false">IF(B8261="","",IF(MATCH(B8261,$B$2:$B$12000,0)=ROW()-1,1,0))</f>
        <v/>
      </c>
    </row>
    <row r="8262" customFormat="false" ht="15" hidden="false" customHeight="false" outlineLevel="0" collapsed="false">
      <c r="V8262" s="23" t="str">
        <f aca="false">IF(ISNUMBER(C8262),YEAR(C8262),"")</f>
        <v/>
      </c>
      <c r="W8262" s="23" t="str">
        <f aca="false">IF(ISNUMBER(C8262),MONTH(C8262),"")</f>
        <v/>
      </c>
      <c r="X8262" s="23" t="str">
        <f aca="false">IF(T8262="","",IF(T8262=0,"No discount",IF(T8262&lt;=0.2,"Low (1-20%)",IF(T8262&lt;=0.4,"Medium (21-40%)","High (&gt;40%)"))))</f>
        <v/>
      </c>
      <c r="Y8262" s="23" t="str">
        <f aca="false">IF(AND(ISNUMBER(C8262),ISNUMBER(D8262)),D8262-C8262,"")</f>
        <v/>
      </c>
      <c r="Z8262" s="23" t="str">
        <f aca="false">IF(B8262="","",IF(MATCH(B8262,$B$2:$B$12000,0)=ROW()-1,1,0))</f>
        <v/>
      </c>
    </row>
    <row r="8263" customFormat="false" ht="15" hidden="false" customHeight="false" outlineLevel="0" collapsed="false">
      <c r="V8263" s="23" t="str">
        <f aca="false">IF(ISNUMBER(C8263),YEAR(C8263),"")</f>
        <v/>
      </c>
      <c r="W8263" s="23" t="str">
        <f aca="false">IF(ISNUMBER(C8263),MONTH(C8263),"")</f>
        <v/>
      </c>
      <c r="X8263" s="23" t="str">
        <f aca="false">IF(T8263="","",IF(T8263=0,"No discount",IF(T8263&lt;=0.2,"Low (1-20%)",IF(T8263&lt;=0.4,"Medium (21-40%)","High (&gt;40%)"))))</f>
        <v/>
      </c>
      <c r="Y8263" s="23" t="str">
        <f aca="false">IF(AND(ISNUMBER(C8263),ISNUMBER(D8263)),D8263-C8263,"")</f>
        <v/>
      </c>
      <c r="Z8263" s="23" t="str">
        <f aca="false">IF(B8263="","",IF(MATCH(B8263,$B$2:$B$12000,0)=ROW()-1,1,0))</f>
        <v/>
      </c>
    </row>
    <row r="8264" customFormat="false" ht="15" hidden="false" customHeight="false" outlineLevel="0" collapsed="false">
      <c r="V8264" s="23" t="str">
        <f aca="false">IF(ISNUMBER(C8264),YEAR(C8264),"")</f>
        <v/>
      </c>
      <c r="W8264" s="23" t="str">
        <f aca="false">IF(ISNUMBER(C8264),MONTH(C8264),"")</f>
        <v/>
      </c>
      <c r="X8264" s="23" t="str">
        <f aca="false">IF(T8264="","",IF(T8264=0,"No discount",IF(T8264&lt;=0.2,"Low (1-20%)",IF(T8264&lt;=0.4,"Medium (21-40%)","High (&gt;40%)"))))</f>
        <v/>
      </c>
      <c r="Y8264" s="23" t="str">
        <f aca="false">IF(AND(ISNUMBER(C8264),ISNUMBER(D8264)),D8264-C8264,"")</f>
        <v/>
      </c>
      <c r="Z8264" s="23" t="str">
        <f aca="false">IF(B8264="","",IF(MATCH(B8264,$B$2:$B$12000,0)=ROW()-1,1,0))</f>
        <v/>
      </c>
    </row>
    <row r="8265" customFormat="false" ht="15" hidden="false" customHeight="false" outlineLevel="0" collapsed="false">
      <c r="V8265" s="23" t="str">
        <f aca="false">IF(ISNUMBER(C8265),YEAR(C8265),"")</f>
        <v/>
      </c>
      <c r="W8265" s="23" t="str">
        <f aca="false">IF(ISNUMBER(C8265),MONTH(C8265),"")</f>
        <v/>
      </c>
      <c r="X8265" s="23" t="str">
        <f aca="false">IF(T8265="","",IF(T8265=0,"No discount",IF(T8265&lt;=0.2,"Low (1-20%)",IF(T8265&lt;=0.4,"Medium (21-40%)","High (&gt;40%)"))))</f>
        <v/>
      </c>
      <c r="Y8265" s="23" t="str">
        <f aca="false">IF(AND(ISNUMBER(C8265),ISNUMBER(D8265)),D8265-C8265,"")</f>
        <v/>
      </c>
      <c r="Z8265" s="23" t="str">
        <f aca="false">IF(B8265="","",IF(MATCH(B8265,$B$2:$B$12000,0)=ROW()-1,1,0))</f>
        <v/>
      </c>
    </row>
    <row r="8266" customFormat="false" ht="15" hidden="false" customHeight="false" outlineLevel="0" collapsed="false">
      <c r="V8266" s="23" t="str">
        <f aca="false">IF(ISNUMBER(C8266),YEAR(C8266),"")</f>
        <v/>
      </c>
      <c r="W8266" s="23" t="str">
        <f aca="false">IF(ISNUMBER(C8266),MONTH(C8266),"")</f>
        <v/>
      </c>
      <c r="X8266" s="23" t="str">
        <f aca="false">IF(T8266="","",IF(T8266=0,"No discount",IF(T8266&lt;=0.2,"Low (1-20%)",IF(T8266&lt;=0.4,"Medium (21-40%)","High (&gt;40%)"))))</f>
        <v/>
      </c>
      <c r="Y8266" s="23" t="str">
        <f aca="false">IF(AND(ISNUMBER(C8266),ISNUMBER(D8266)),D8266-C8266,"")</f>
        <v/>
      </c>
      <c r="Z8266" s="23" t="str">
        <f aca="false">IF(B8266="","",IF(MATCH(B8266,$B$2:$B$12000,0)=ROW()-1,1,0))</f>
        <v/>
      </c>
    </row>
    <row r="8267" customFormat="false" ht="15" hidden="false" customHeight="false" outlineLevel="0" collapsed="false">
      <c r="V8267" s="23" t="str">
        <f aca="false">IF(ISNUMBER(C8267),YEAR(C8267),"")</f>
        <v/>
      </c>
      <c r="W8267" s="23" t="str">
        <f aca="false">IF(ISNUMBER(C8267),MONTH(C8267),"")</f>
        <v/>
      </c>
      <c r="X8267" s="23" t="str">
        <f aca="false">IF(T8267="","",IF(T8267=0,"No discount",IF(T8267&lt;=0.2,"Low (1-20%)",IF(T8267&lt;=0.4,"Medium (21-40%)","High (&gt;40%)"))))</f>
        <v/>
      </c>
      <c r="Y8267" s="23" t="str">
        <f aca="false">IF(AND(ISNUMBER(C8267),ISNUMBER(D8267)),D8267-C8267,"")</f>
        <v/>
      </c>
      <c r="Z8267" s="23" t="str">
        <f aca="false">IF(B8267="","",IF(MATCH(B8267,$B$2:$B$12000,0)=ROW()-1,1,0))</f>
        <v/>
      </c>
    </row>
    <row r="8268" customFormat="false" ht="15" hidden="false" customHeight="false" outlineLevel="0" collapsed="false">
      <c r="V8268" s="23" t="str">
        <f aca="false">IF(ISNUMBER(C8268),YEAR(C8268),"")</f>
        <v/>
      </c>
      <c r="W8268" s="23" t="str">
        <f aca="false">IF(ISNUMBER(C8268),MONTH(C8268),"")</f>
        <v/>
      </c>
      <c r="X8268" s="23" t="str">
        <f aca="false">IF(T8268="","",IF(T8268=0,"No discount",IF(T8268&lt;=0.2,"Low (1-20%)",IF(T8268&lt;=0.4,"Medium (21-40%)","High (&gt;40%)"))))</f>
        <v/>
      </c>
      <c r="Y8268" s="23" t="str">
        <f aca="false">IF(AND(ISNUMBER(C8268),ISNUMBER(D8268)),D8268-C8268,"")</f>
        <v/>
      </c>
      <c r="Z8268" s="23" t="str">
        <f aca="false">IF(B8268="","",IF(MATCH(B8268,$B$2:$B$12000,0)=ROW()-1,1,0))</f>
        <v/>
      </c>
    </row>
    <row r="8269" customFormat="false" ht="15" hidden="false" customHeight="false" outlineLevel="0" collapsed="false">
      <c r="V8269" s="23" t="str">
        <f aca="false">IF(ISNUMBER(C8269),YEAR(C8269),"")</f>
        <v/>
      </c>
      <c r="W8269" s="23" t="str">
        <f aca="false">IF(ISNUMBER(C8269),MONTH(C8269),"")</f>
        <v/>
      </c>
      <c r="X8269" s="23" t="str">
        <f aca="false">IF(T8269="","",IF(T8269=0,"No discount",IF(T8269&lt;=0.2,"Low (1-20%)",IF(T8269&lt;=0.4,"Medium (21-40%)","High (&gt;40%)"))))</f>
        <v/>
      </c>
      <c r="Y8269" s="23" t="str">
        <f aca="false">IF(AND(ISNUMBER(C8269),ISNUMBER(D8269)),D8269-C8269,"")</f>
        <v/>
      </c>
      <c r="Z8269" s="23" t="str">
        <f aca="false">IF(B8269="","",IF(MATCH(B8269,$B$2:$B$12000,0)=ROW()-1,1,0))</f>
        <v/>
      </c>
    </row>
    <row r="8270" customFormat="false" ht="15" hidden="false" customHeight="false" outlineLevel="0" collapsed="false">
      <c r="V8270" s="23" t="str">
        <f aca="false">IF(ISNUMBER(C8270),YEAR(C8270),"")</f>
        <v/>
      </c>
      <c r="W8270" s="23" t="str">
        <f aca="false">IF(ISNUMBER(C8270),MONTH(C8270),"")</f>
        <v/>
      </c>
      <c r="X8270" s="23" t="str">
        <f aca="false">IF(T8270="","",IF(T8270=0,"No discount",IF(T8270&lt;=0.2,"Low (1-20%)",IF(T8270&lt;=0.4,"Medium (21-40%)","High (&gt;40%)"))))</f>
        <v/>
      </c>
      <c r="Y8270" s="23" t="str">
        <f aca="false">IF(AND(ISNUMBER(C8270),ISNUMBER(D8270)),D8270-C8270,"")</f>
        <v/>
      </c>
      <c r="Z8270" s="23" t="str">
        <f aca="false">IF(B8270="","",IF(MATCH(B8270,$B$2:$B$12000,0)=ROW()-1,1,0))</f>
        <v/>
      </c>
    </row>
    <row r="8271" customFormat="false" ht="15" hidden="false" customHeight="false" outlineLevel="0" collapsed="false">
      <c r="V8271" s="23" t="str">
        <f aca="false">IF(ISNUMBER(C8271),YEAR(C8271),"")</f>
        <v/>
      </c>
      <c r="W8271" s="23" t="str">
        <f aca="false">IF(ISNUMBER(C8271),MONTH(C8271),"")</f>
        <v/>
      </c>
      <c r="X8271" s="23" t="str">
        <f aca="false">IF(T8271="","",IF(T8271=0,"No discount",IF(T8271&lt;=0.2,"Low (1-20%)",IF(T8271&lt;=0.4,"Medium (21-40%)","High (&gt;40%)"))))</f>
        <v/>
      </c>
      <c r="Y8271" s="23" t="str">
        <f aca="false">IF(AND(ISNUMBER(C8271),ISNUMBER(D8271)),D8271-C8271,"")</f>
        <v/>
      </c>
      <c r="Z8271" s="23" t="str">
        <f aca="false">IF(B8271="","",IF(MATCH(B8271,$B$2:$B$12000,0)=ROW()-1,1,0))</f>
        <v/>
      </c>
    </row>
    <row r="8272" customFormat="false" ht="15" hidden="false" customHeight="false" outlineLevel="0" collapsed="false">
      <c r="V8272" s="23" t="str">
        <f aca="false">IF(ISNUMBER(C8272),YEAR(C8272),"")</f>
        <v/>
      </c>
      <c r="W8272" s="23" t="str">
        <f aca="false">IF(ISNUMBER(C8272),MONTH(C8272),"")</f>
        <v/>
      </c>
      <c r="X8272" s="23" t="str">
        <f aca="false">IF(T8272="","",IF(T8272=0,"No discount",IF(T8272&lt;=0.2,"Low (1-20%)",IF(T8272&lt;=0.4,"Medium (21-40%)","High (&gt;40%)"))))</f>
        <v/>
      </c>
      <c r="Y8272" s="23" t="str">
        <f aca="false">IF(AND(ISNUMBER(C8272),ISNUMBER(D8272)),D8272-C8272,"")</f>
        <v/>
      </c>
      <c r="Z8272" s="23" t="str">
        <f aca="false">IF(B8272="","",IF(MATCH(B8272,$B$2:$B$12000,0)=ROW()-1,1,0))</f>
        <v/>
      </c>
    </row>
    <row r="8273" customFormat="false" ht="15" hidden="false" customHeight="false" outlineLevel="0" collapsed="false">
      <c r="V8273" s="23" t="str">
        <f aca="false">IF(ISNUMBER(C8273),YEAR(C8273),"")</f>
        <v/>
      </c>
      <c r="W8273" s="23" t="str">
        <f aca="false">IF(ISNUMBER(C8273),MONTH(C8273),"")</f>
        <v/>
      </c>
      <c r="X8273" s="23" t="str">
        <f aca="false">IF(T8273="","",IF(T8273=0,"No discount",IF(T8273&lt;=0.2,"Low (1-20%)",IF(T8273&lt;=0.4,"Medium (21-40%)","High (&gt;40%)"))))</f>
        <v/>
      </c>
      <c r="Y8273" s="23" t="str">
        <f aca="false">IF(AND(ISNUMBER(C8273),ISNUMBER(D8273)),D8273-C8273,"")</f>
        <v/>
      </c>
      <c r="Z8273" s="23" t="str">
        <f aca="false">IF(B8273="","",IF(MATCH(B8273,$B$2:$B$12000,0)=ROW()-1,1,0))</f>
        <v/>
      </c>
    </row>
    <row r="8274" customFormat="false" ht="15" hidden="false" customHeight="false" outlineLevel="0" collapsed="false">
      <c r="V8274" s="23" t="str">
        <f aca="false">IF(ISNUMBER(C8274),YEAR(C8274),"")</f>
        <v/>
      </c>
      <c r="W8274" s="23" t="str">
        <f aca="false">IF(ISNUMBER(C8274),MONTH(C8274),"")</f>
        <v/>
      </c>
      <c r="X8274" s="23" t="str">
        <f aca="false">IF(T8274="","",IF(T8274=0,"No discount",IF(T8274&lt;=0.2,"Low (1-20%)",IF(T8274&lt;=0.4,"Medium (21-40%)","High (&gt;40%)"))))</f>
        <v/>
      </c>
      <c r="Y8274" s="23" t="str">
        <f aca="false">IF(AND(ISNUMBER(C8274),ISNUMBER(D8274)),D8274-C8274,"")</f>
        <v/>
      </c>
      <c r="Z8274" s="23" t="str">
        <f aca="false">IF(B8274="","",IF(MATCH(B8274,$B$2:$B$12000,0)=ROW()-1,1,0))</f>
        <v/>
      </c>
    </row>
    <row r="8275" customFormat="false" ht="15" hidden="false" customHeight="false" outlineLevel="0" collapsed="false">
      <c r="V8275" s="23" t="str">
        <f aca="false">IF(ISNUMBER(C8275),YEAR(C8275),"")</f>
        <v/>
      </c>
      <c r="W8275" s="23" t="str">
        <f aca="false">IF(ISNUMBER(C8275),MONTH(C8275),"")</f>
        <v/>
      </c>
      <c r="X8275" s="23" t="str">
        <f aca="false">IF(T8275="","",IF(T8275=0,"No discount",IF(T8275&lt;=0.2,"Low (1-20%)",IF(T8275&lt;=0.4,"Medium (21-40%)","High (&gt;40%)"))))</f>
        <v/>
      </c>
      <c r="Y8275" s="23" t="str">
        <f aca="false">IF(AND(ISNUMBER(C8275),ISNUMBER(D8275)),D8275-C8275,"")</f>
        <v/>
      </c>
      <c r="Z8275" s="23" t="str">
        <f aca="false">IF(B8275="","",IF(MATCH(B8275,$B$2:$B$12000,0)=ROW()-1,1,0))</f>
        <v/>
      </c>
    </row>
    <row r="8276" customFormat="false" ht="15" hidden="false" customHeight="false" outlineLevel="0" collapsed="false">
      <c r="V8276" s="23" t="str">
        <f aca="false">IF(ISNUMBER(C8276),YEAR(C8276),"")</f>
        <v/>
      </c>
      <c r="W8276" s="23" t="str">
        <f aca="false">IF(ISNUMBER(C8276),MONTH(C8276),"")</f>
        <v/>
      </c>
      <c r="X8276" s="23" t="str">
        <f aca="false">IF(T8276="","",IF(T8276=0,"No discount",IF(T8276&lt;=0.2,"Low (1-20%)",IF(T8276&lt;=0.4,"Medium (21-40%)","High (&gt;40%)"))))</f>
        <v/>
      </c>
      <c r="Y8276" s="23" t="str">
        <f aca="false">IF(AND(ISNUMBER(C8276),ISNUMBER(D8276)),D8276-C8276,"")</f>
        <v/>
      </c>
      <c r="Z8276" s="23" t="str">
        <f aca="false">IF(B8276="","",IF(MATCH(B8276,$B$2:$B$12000,0)=ROW()-1,1,0))</f>
        <v/>
      </c>
    </row>
    <row r="8277" customFormat="false" ht="15" hidden="false" customHeight="false" outlineLevel="0" collapsed="false">
      <c r="V8277" s="23" t="str">
        <f aca="false">IF(ISNUMBER(C8277),YEAR(C8277),"")</f>
        <v/>
      </c>
      <c r="W8277" s="23" t="str">
        <f aca="false">IF(ISNUMBER(C8277),MONTH(C8277),"")</f>
        <v/>
      </c>
      <c r="X8277" s="23" t="str">
        <f aca="false">IF(T8277="","",IF(T8277=0,"No discount",IF(T8277&lt;=0.2,"Low (1-20%)",IF(T8277&lt;=0.4,"Medium (21-40%)","High (&gt;40%)"))))</f>
        <v/>
      </c>
      <c r="Y8277" s="23" t="str">
        <f aca="false">IF(AND(ISNUMBER(C8277),ISNUMBER(D8277)),D8277-C8277,"")</f>
        <v/>
      </c>
      <c r="Z8277" s="23" t="str">
        <f aca="false">IF(B8277="","",IF(MATCH(B8277,$B$2:$B$12000,0)=ROW()-1,1,0))</f>
        <v/>
      </c>
    </row>
    <row r="8278" customFormat="false" ht="15" hidden="false" customHeight="false" outlineLevel="0" collapsed="false">
      <c r="V8278" s="23" t="str">
        <f aca="false">IF(ISNUMBER(C8278),YEAR(C8278),"")</f>
        <v/>
      </c>
      <c r="W8278" s="23" t="str">
        <f aca="false">IF(ISNUMBER(C8278),MONTH(C8278),"")</f>
        <v/>
      </c>
      <c r="X8278" s="23" t="str">
        <f aca="false">IF(T8278="","",IF(T8278=0,"No discount",IF(T8278&lt;=0.2,"Low (1-20%)",IF(T8278&lt;=0.4,"Medium (21-40%)","High (&gt;40%)"))))</f>
        <v/>
      </c>
      <c r="Y8278" s="23" t="str">
        <f aca="false">IF(AND(ISNUMBER(C8278),ISNUMBER(D8278)),D8278-C8278,"")</f>
        <v/>
      </c>
      <c r="Z8278" s="23" t="str">
        <f aca="false">IF(B8278="","",IF(MATCH(B8278,$B$2:$B$12000,0)=ROW()-1,1,0))</f>
        <v/>
      </c>
    </row>
    <row r="8279" customFormat="false" ht="15" hidden="false" customHeight="false" outlineLevel="0" collapsed="false">
      <c r="V8279" s="23" t="str">
        <f aca="false">IF(ISNUMBER(C8279),YEAR(C8279),"")</f>
        <v/>
      </c>
      <c r="W8279" s="23" t="str">
        <f aca="false">IF(ISNUMBER(C8279),MONTH(C8279),"")</f>
        <v/>
      </c>
      <c r="X8279" s="23" t="str">
        <f aca="false">IF(T8279="","",IF(T8279=0,"No discount",IF(T8279&lt;=0.2,"Low (1-20%)",IF(T8279&lt;=0.4,"Medium (21-40%)","High (&gt;40%)"))))</f>
        <v/>
      </c>
      <c r="Y8279" s="23" t="str">
        <f aca="false">IF(AND(ISNUMBER(C8279),ISNUMBER(D8279)),D8279-C8279,"")</f>
        <v/>
      </c>
      <c r="Z8279" s="23" t="str">
        <f aca="false">IF(B8279="","",IF(MATCH(B8279,$B$2:$B$12000,0)=ROW()-1,1,0))</f>
        <v/>
      </c>
    </row>
    <row r="8280" customFormat="false" ht="15" hidden="false" customHeight="false" outlineLevel="0" collapsed="false">
      <c r="V8280" s="23" t="str">
        <f aca="false">IF(ISNUMBER(C8280),YEAR(C8280),"")</f>
        <v/>
      </c>
      <c r="W8280" s="23" t="str">
        <f aca="false">IF(ISNUMBER(C8280),MONTH(C8280),"")</f>
        <v/>
      </c>
      <c r="X8280" s="23" t="str">
        <f aca="false">IF(T8280="","",IF(T8280=0,"No discount",IF(T8280&lt;=0.2,"Low (1-20%)",IF(T8280&lt;=0.4,"Medium (21-40%)","High (&gt;40%)"))))</f>
        <v/>
      </c>
      <c r="Y8280" s="23" t="str">
        <f aca="false">IF(AND(ISNUMBER(C8280),ISNUMBER(D8280)),D8280-C8280,"")</f>
        <v/>
      </c>
      <c r="Z8280" s="23" t="str">
        <f aca="false">IF(B8280="","",IF(MATCH(B8280,$B$2:$B$12000,0)=ROW()-1,1,0))</f>
        <v/>
      </c>
    </row>
    <row r="8281" customFormat="false" ht="15" hidden="false" customHeight="false" outlineLevel="0" collapsed="false">
      <c r="V8281" s="23" t="str">
        <f aca="false">IF(ISNUMBER(C8281),YEAR(C8281),"")</f>
        <v/>
      </c>
      <c r="W8281" s="23" t="str">
        <f aca="false">IF(ISNUMBER(C8281),MONTH(C8281),"")</f>
        <v/>
      </c>
      <c r="X8281" s="23" t="str">
        <f aca="false">IF(T8281="","",IF(T8281=0,"No discount",IF(T8281&lt;=0.2,"Low (1-20%)",IF(T8281&lt;=0.4,"Medium (21-40%)","High (&gt;40%)"))))</f>
        <v/>
      </c>
      <c r="Y8281" s="23" t="str">
        <f aca="false">IF(AND(ISNUMBER(C8281),ISNUMBER(D8281)),D8281-C8281,"")</f>
        <v/>
      </c>
      <c r="Z8281" s="23" t="str">
        <f aca="false">IF(B8281="","",IF(MATCH(B8281,$B$2:$B$12000,0)=ROW()-1,1,0))</f>
        <v/>
      </c>
    </row>
    <row r="8282" customFormat="false" ht="15" hidden="false" customHeight="false" outlineLevel="0" collapsed="false">
      <c r="V8282" s="23" t="str">
        <f aca="false">IF(ISNUMBER(C8282),YEAR(C8282),"")</f>
        <v/>
      </c>
      <c r="W8282" s="23" t="str">
        <f aca="false">IF(ISNUMBER(C8282),MONTH(C8282),"")</f>
        <v/>
      </c>
      <c r="X8282" s="23" t="str">
        <f aca="false">IF(T8282="","",IF(T8282=0,"No discount",IF(T8282&lt;=0.2,"Low (1-20%)",IF(T8282&lt;=0.4,"Medium (21-40%)","High (&gt;40%)"))))</f>
        <v/>
      </c>
      <c r="Y8282" s="23" t="str">
        <f aca="false">IF(AND(ISNUMBER(C8282),ISNUMBER(D8282)),D8282-C8282,"")</f>
        <v/>
      </c>
      <c r="Z8282" s="23" t="str">
        <f aca="false">IF(B8282="","",IF(MATCH(B8282,$B$2:$B$12000,0)=ROW()-1,1,0))</f>
        <v/>
      </c>
    </row>
    <row r="8283" customFormat="false" ht="15" hidden="false" customHeight="false" outlineLevel="0" collapsed="false">
      <c r="V8283" s="23" t="str">
        <f aca="false">IF(ISNUMBER(C8283),YEAR(C8283),"")</f>
        <v/>
      </c>
      <c r="W8283" s="23" t="str">
        <f aca="false">IF(ISNUMBER(C8283),MONTH(C8283),"")</f>
        <v/>
      </c>
      <c r="X8283" s="23" t="str">
        <f aca="false">IF(T8283="","",IF(T8283=0,"No discount",IF(T8283&lt;=0.2,"Low (1-20%)",IF(T8283&lt;=0.4,"Medium (21-40%)","High (&gt;40%)"))))</f>
        <v/>
      </c>
      <c r="Y8283" s="23" t="str">
        <f aca="false">IF(AND(ISNUMBER(C8283),ISNUMBER(D8283)),D8283-C8283,"")</f>
        <v/>
      </c>
      <c r="Z8283" s="23" t="str">
        <f aca="false">IF(B8283="","",IF(MATCH(B8283,$B$2:$B$12000,0)=ROW()-1,1,0))</f>
        <v/>
      </c>
    </row>
    <row r="8284" customFormat="false" ht="15" hidden="false" customHeight="false" outlineLevel="0" collapsed="false">
      <c r="V8284" s="23" t="str">
        <f aca="false">IF(ISNUMBER(C8284),YEAR(C8284),"")</f>
        <v/>
      </c>
      <c r="W8284" s="23" t="str">
        <f aca="false">IF(ISNUMBER(C8284),MONTH(C8284),"")</f>
        <v/>
      </c>
      <c r="X8284" s="23" t="str">
        <f aca="false">IF(T8284="","",IF(T8284=0,"No discount",IF(T8284&lt;=0.2,"Low (1-20%)",IF(T8284&lt;=0.4,"Medium (21-40%)","High (&gt;40%)"))))</f>
        <v/>
      </c>
      <c r="Y8284" s="23" t="str">
        <f aca="false">IF(AND(ISNUMBER(C8284),ISNUMBER(D8284)),D8284-C8284,"")</f>
        <v/>
      </c>
      <c r="Z8284" s="23" t="str">
        <f aca="false">IF(B8284="","",IF(MATCH(B8284,$B$2:$B$12000,0)=ROW()-1,1,0))</f>
        <v/>
      </c>
    </row>
    <row r="8285" customFormat="false" ht="15" hidden="false" customHeight="false" outlineLevel="0" collapsed="false">
      <c r="V8285" s="23" t="str">
        <f aca="false">IF(ISNUMBER(C8285),YEAR(C8285),"")</f>
        <v/>
      </c>
      <c r="W8285" s="23" t="str">
        <f aca="false">IF(ISNUMBER(C8285),MONTH(C8285),"")</f>
        <v/>
      </c>
      <c r="X8285" s="23" t="str">
        <f aca="false">IF(T8285="","",IF(T8285=0,"No discount",IF(T8285&lt;=0.2,"Low (1-20%)",IF(T8285&lt;=0.4,"Medium (21-40%)","High (&gt;40%)"))))</f>
        <v/>
      </c>
      <c r="Y8285" s="23" t="str">
        <f aca="false">IF(AND(ISNUMBER(C8285),ISNUMBER(D8285)),D8285-C8285,"")</f>
        <v/>
      </c>
      <c r="Z8285" s="23" t="str">
        <f aca="false">IF(B8285="","",IF(MATCH(B8285,$B$2:$B$12000,0)=ROW()-1,1,0))</f>
        <v/>
      </c>
    </row>
    <row r="8286" customFormat="false" ht="15" hidden="false" customHeight="false" outlineLevel="0" collapsed="false">
      <c r="V8286" s="23" t="str">
        <f aca="false">IF(ISNUMBER(C8286),YEAR(C8286),"")</f>
        <v/>
      </c>
      <c r="W8286" s="23" t="str">
        <f aca="false">IF(ISNUMBER(C8286),MONTH(C8286),"")</f>
        <v/>
      </c>
      <c r="X8286" s="23" t="str">
        <f aca="false">IF(T8286="","",IF(T8286=0,"No discount",IF(T8286&lt;=0.2,"Low (1-20%)",IF(T8286&lt;=0.4,"Medium (21-40%)","High (&gt;40%)"))))</f>
        <v/>
      </c>
      <c r="Y8286" s="23" t="str">
        <f aca="false">IF(AND(ISNUMBER(C8286),ISNUMBER(D8286)),D8286-C8286,"")</f>
        <v/>
      </c>
      <c r="Z8286" s="23" t="str">
        <f aca="false">IF(B8286="","",IF(MATCH(B8286,$B$2:$B$12000,0)=ROW()-1,1,0))</f>
        <v/>
      </c>
    </row>
    <row r="8287" customFormat="false" ht="15" hidden="false" customHeight="false" outlineLevel="0" collapsed="false">
      <c r="V8287" s="23" t="str">
        <f aca="false">IF(ISNUMBER(C8287),YEAR(C8287),"")</f>
        <v/>
      </c>
      <c r="W8287" s="23" t="str">
        <f aca="false">IF(ISNUMBER(C8287),MONTH(C8287),"")</f>
        <v/>
      </c>
      <c r="X8287" s="23" t="str">
        <f aca="false">IF(T8287="","",IF(T8287=0,"No discount",IF(T8287&lt;=0.2,"Low (1-20%)",IF(T8287&lt;=0.4,"Medium (21-40%)","High (&gt;40%)"))))</f>
        <v/>
      </c>
      <c r="Y8287" s="23" t="str">
        <f aca="false">IF(AND(ISNUMBER(C8287),ISNUMBER(D8287)),D8287-C8287,"")</f>
        <v/>
      </c>
      <c r="Z8287" s="23" t="str">
        <f aca="false">IF(B8287="","",IF(MATCH(B8287,$B$2:$B$12000,0)=ROW()-1,1,0))</f>
        <v/>
      </c>
    </row>
    <row r="8288" customFormat="false" ht="15" hidden="false" customHeight="false" outlineLevel="0" collapsed="false">
      <c r="V8288" s="23" t="str">
        <f aca="false">IF(ISNUMBER(C8288),YEAR(C8288),"")</f>
        <v/>
      </c>
      <c r="W8288" s="23" t="str">
        <f aca="false">IF(ISNUMBER(C8288),MONTH(C8288),"")</f>
        <v/>
      </c>
      <c r="X8288" s="23" t="str">
        <f aca="false">IF(T8288="","",IF(T8288=0,"No discount",IF(T8288&lt;=0.2,"Low (1-20%)",IF(T8288&lt;=0.4,"Medium (21-40%)","High (&gt;40%)"))))</f>
        <v/>
      </c>
      <c r="Y8288" s="23" t="str">
        <f aca="false">IF(AND(ISNUMBER(C8288),ISNUMBER(D8288)),D8288-C8288,"")</f>
        <v/>
      </c>
      <c r="Z8288" s="23" t="str">
        <f aca="false">IF(B8288="","",IF(MATCH(B8288,$B$2:$B$12000,0)=ROW()-1,1,0))</f>
        <v/>
      </c>
    </row>
    <row r="8289" customFormat="false" ht="15" hidden="false" customHeight="false" outlineLevel="0" collapsed="false">
      <c r="V8289" s="23" t="str">
        <f aca="false">IF(ISNUMBER(C8289),YEAR(C8289),"")</f>
        <v/>
      </c>
      <c r="W8289" s="23" t="str">
        <f aca="false">IF(ISNUMBER(C8289),MONTH(C8289),"")</f>
        <v/>
      </c>
      <c r="X8289" s="23" t="str">
        <f aca="false">IF(T8289="","",IF(T8289=0,"No discount",IF(T8289&lt;=0.2,"Low (1-20%)",IF(T8289&lt;=0.4,"Medium (21-40%)","High (&gt;40%)"))))</f>
        <v/>
      </c>
      <c r="Y8289" s="23" t="str">
        <f aca="false">IF(AND(ISNUMBER(C8289),ISNUMBER(D8289)),D8289-C8289,"")</f>
        <v/>
      </c>
      <c r="Z8289" s="23" t="str">
        <f aca="false">IF(B8289="","",IF(MATCH(B8289,$B$2:$B$12000,0)=ROW()-1,1,0))</f>
        <v/>
      </c>
    </row>
    <row r="8290" customFormat="false" ht="15" hidden="false" customHeight="false" outlineLevel="0" collapsed="false">
      <c r="V8290" s="23" t="str">
        <f aca="false">IF(ISNUMBER(C8290),YEAR(C8290),"")</f>
        <v/>
      </c>
      <c r="W8290" s="23" t="str">
        <f aca="false">IF(ISNUMBER(C8290),MONTH(C8290),"")</f>
        <v/>
      </c>
      <c r="X8290" s="23" t="str">
        <f aca="false">IF(T8290="","",IF(T8290=0,"No discount",IF(T8290&lt;=0.2,"Low (1-20%)",IF(T8290&lt;=0.4,"Medium (21-40%)","High (&gt;40%)"))))</f>
        <v/>
      </c>
      <c r="Y8290" s="23" t="str">
        <f aca="false">IF(AND(ISNUMBER(C8290),ISNUMBER(D8290)),D8290-C8290,"")</f>
        <v/>
      </c>
      <c r="Z8290" s="23" t="str">
        <f aca="false">IF(B8290="","",IF(MATCH(B8290,$B$2:$B$12000,0)=ROW()-1,1,0))</f>
        <v/>
      </c>
    </row>
    <row r="8291" customFormat="false" ht="15" hidden="false" customHeight="false" outlineLevel="0" collapsed="false">
      <c r="V8291" s="23" t="str">
        <f aca="false">IF(ISNUMBER(C8291),YEAR(C8291),"")</f>
        <v/>
      </c>
      <c r="W8291" s="23" t="str">
        <f aca="false">IF(ISNUMBER(C8291),MONTH(C8291),"")</f>
        <v/>
      </c>
      <c r="X8291" s="23" t="str">
        <f aca="false">IF(T8291="","",IF(T8291=0,"No discount",IF(T8291&lt;=0.2,"Low (1-20%)",IF(T8291&lt;=0.4,"Medium (21-40%)","High (&gt;40%)"))))</f>
        <v/>
      </c>
      <c r="Y8291" s="23" t="str">
        <f aca="false">IF(AND(ISNUMBER(C8291),ISNUMBER(D8291)),D8291-C8291,"")</f>
        <v/>
      </c>
      <c r="Z8291" s="23" t="str">
        <f aca="false">IF(B8291="","",IF(MATCH(B8291,$B$2:$B$12000,0)=ROW()-1,1,0))</f>
        <v/>
      </c>
    </row>
    <row r="8292" customFormat="false" ht="15" hidden="false" customHeight="false" outlineLevel="0" collapsed="false">
      <c r="V8292" s="23" t="str">
        <f aca="false">IF(ISNUMBER(C8292),YEAR(C8292),"")</f>
        <v/>
      </c>
      <c r="W8292" s="23" t="str">
        <f aca="false">IF(ISNUMBER(C8292),MONTH(C8292),"")</f>
        <v/>
      </c>
      <c r="X8292" s="23" t="str">
        <f aca="false">IF(T8292="","",IF(T8292=0,"No discount",IF(T8292&lt;=0.2,"Low (1-20%)",IF(T8292&lt;=0.4,"Medium (21-40%)","High (&gt;40%)"))))</f>
        <v/>
      </c>
      <c r="Y8292" s="23" t="str">
        <f aca="false">IF(AND(ISNUMBER(C8292),ISNUMBER(D8292)),D8292-C8292,"")</f>
        <v/>
      </c>
      <c r="Z8292" s="23" t="str">
        <f aca="false">IF(B8292="","",IF(MATCH(B8292,$B$2:$B$12000,0)=ROW()-1,1,0))</f>
        <v/>
      </c>
    </row>
    <row r="8293" customFormat="false" ht="15" hidden="false" customHeight="false" outlineLevel="0" collapsed="false">
      <c r="V8293" s="23" t="str">
        <f aca="false">IF(ISNUMBER(C8293),YEAR(C8293),"")</f>
        <v/>
      </c>
      <c r="W8293" s="23" t="str">
        <f aca="false">IF(ISNUMBER(C8293),MONTH(C8293),"")</f>
        <v/>
      </c>
      <c r="X8293" s="23" t="str">
        <f aca="false">IF(T8293="","",IF(T8293=0,"No discount",IF(T8293&lt;=0.2,"Low (1-20%)",IF(T8293&lt;=0.4,"Medium (21-40%)","High (&gt;40%)"))))</f>
        <v/>
      </c>
      <c r="Y8293" s="23" t="str">
        <f aca="false">IF(AND(ISNUMBER(C8293),ISNUMBER(D8293)),D8293-C8293,"")</f>
        <v/>
      </c>
      <c r="Z8293" s="23" t="str">
        <f aca="false">IF(B8293="","",IF(MATCH(B8293,$B$2:$B$12000,0)=ROW()-1,1,0))</f>
        <v/>
      </c>
    </row>
    <row r="8294" customFormat="false" ht="15" hidden="false" customHeight="false" outlineLevel="0" collapsed="false">
      <c r="V8294" s="23" t="str">
        <f aca="false">IF(ISNUMBER(C8294),YEAR(C8294),"")</f>
        <v/>
      </c>
      <c r="W8294" s="23" t="str">
        <f aca="false">IF(ISNUMBER(C8294),MONTH(C8294),"")</f>
        <v/>
      </c>
      <c r="X8294" s="23" t="str">
        <f aca="false">IF(T8294="","",IF(T8294=0,"No discount",IF(T8294&lt;=0.2,"Low (1-20%)",IF(T8294&lt;=0.4,"Medium (21-40%)","High (&gt;40%)"))))</f>
        <v/>
      </c>
      <c r="Y8294" s="23" t="str">
        <f aca="false">IF(AND(ISNUMBER(C8294),ISNUMBER(D8294)),D8294-C8294,"")</f>
        <v/>
      </c>
      <c r="Z8294" s="23" t="str">
        <f aca="false">IF(B8294="","",IF(MATCH(B8294,$B$2:$B$12000,0)=ROW()-1,1,0))</f>
        <v/>
      </c>
    </row>
    <row r="8295" customFormat="false" ht="15" hidden="false" customHeight="false" outlineLevel="0" collapsed="false">
      <c r="V8295" s="23" t="str">
        <f aca="false">IF(ISNUMBER(C8295),YEAR(C8295),"")</f>
        <v/>
      </c>
      <c r="W8295" s="23" t="str">
        <f aca="false">IF(ISNUMBER(C8295),MONTH(C8295),"")</f>
        <v/>
      </c>
      <c r="X8295" s="23" t="str">
        <f aca="false">IF(T8295="","",IF(T8295=0,"No discount",IF(T8295&lt;=0.2,"Low (1-20%)",IF(T8295&lt;=0.4,"Medium (21-40%)","High (&gt;40%)"))))</f>
        <v/>
      </c>
      <c r="Y8295" s="23" t="str">
        <f aca="false">IF(AND(ISNUMBER(C8295),ISNUMBER(D8295)),D8295-C8295,"")</f>
        <v/>
      </c>
      <c r="Z8295" s="23" t="str">
        <f aca="false">IF(B8295="","",IF(MATCH(B8295,$B$2:$B$12000,0)=ROW()-1,1,0))</f>
        <v/>
      </c>
    </row>
    <row r="8296" customFormat="false" ht="15" hidden="false" customHeight="false" outlineLevel="0" collapsed="false">
      <c r="V8296" s="23" t="str">
        <f aca="false">IF(ISNUMBER(C8296),YEAR(C8296),"")</f>
        <v/>
      </c>
      <c r="W8296" s="23" t="str">
        <f aca="false">IF(ISNUMBER(C8296),MONTH(C8296),"")</f>
        <v/>
      </c>
      <c r="X8296" s="23" t="str">
        <f aca="false">IF(T8296="","",IF(T8296=0,"No discount",IF(T8296&lt;=0.2,"Low (1-20%)",IF(T8296&lt;=0.4,"Medium (21-40%)","High (&gt;40%)"))))</f>
        <v/>
      </c>
      <c r="Y8296" s="23" t="str">
        <f aca="false">IF(AND(ISNUMBER(C8296),ISNUMBER(D8296)),D8296-C8296,"")</f>
        <v/>
      </c>
      <c r="Z8296" s="23" t="str">
        <f aca="false">IF(B8296="","",IF(MATCH(B8296,$B$2:$B$12000,0)=ROW()-1,1,0))</f>
        <v/>
      </c>
    </row>
    <row r="8297" customFormat="false" ht="15" hidden="false" customHeight="false" outlineLevel="0" collapsed="false">
      <c r="V8297" s="23" t="str">
        <f aca="false">IF(ISNUMBER(C8297),YEAR(C8297),"")</f>
        <v/>
      </c>
      <c r="W8297" s="23" t="str">
        <f aca="false">IF(ISNUMBER(C8297),MONTH(C8297),"")</f>
        <v/>
      </c>
      <c r="X8297" s="23" t="str">
        <f aca="false">IF(T8297="","",IF(T8297=0,"No discount",IF(T8297&lt;=0.2,"Low (1-20%)",IF(T8297&lt;=0.4,"Medium (21-40%)","High (&gt;40%)"))))</f>
        <v/>
      </c>
      <c r="Y8297" s="23" t="str">
        <f aca="false">IF(AND(ISNUMBER(C8297),ISNUMBER(D8297)),D8297-C8297,"")</f>
        <v/>
      </c>
      <c r="Z8297" s="23" t="str">
        <f aca="false">IF(B8297="","",IF(MATCH(B8297,$B$2:$B$12000,0)=ROW()-1,1,0))</f>
        <v/>
      </c>
    </row>
    <row r="8298" customFormat="false" ht="15" hidden="false" customHeight="false" outlineLevel="0" collapsed="false">
      <c r="V8298" s="23" t="str">
        <f aca="false">IF(ISNUMBER(C8298),YEAR(C8298),"")</f>
        <v/>
      </c>
      <c r="W8298" s="23" t="str">
        <f aca="false">IF(ISNUMBER(C8298),MONTH(C8298),"")</f>
        <v/>
      </c>
      <c r="X8298" s="23" t="str">
        <f aca="false">IF(T8298="","",IF(T8298=0,"No discount",IF(T8298&lt;=0.2,"Low (1-20%)",IF(T8298&lt;=0.4,"Medium (21-40%)","High (&gt;40%)"))))</f>
        <v/>
      </c>
      <c r="Y8298" s="23" t="str">
        <f aca="false">IF(AND(ISNUMBER(C8298),ISNUMBER(D8298)),D8298-C8298,"")</f>
        <v/>
      </c>
      <c r="Z8298" s="23" t="str">
        <f aca="false">IF(B8298="","",IF(MATCH(B8298,$B$2:$B$12000,0)=ROW()-1,1,0))</f>
        <v/>
      </c>
    </row>
    <row r="8299" customFormat="false" ht="15" hidden="false" customHeight="false" outlineLevel="0" collapsed="false">
      <c r="V8299" s="23" t="str">
        <f aca="false">IF(ISNUMBER(C8299),YEAR(C8299),"")</f>
        <v/>
      </c>
      <c r="W8299" s="23" t="str">
        <f aca="false">IF(ISNUMBER(C8299),MONTH(C8299),"")</f>
        <v/>
      </c>
      <c r="X8299" s="23" t="str">
        <f aca="false">IF(T8299="","",IF(T8299=0,"No discount",IF(T8299&lt;=0.2,"Low (1-20%)",IF(T8299&lt;=0.4,"Medium (21-40%)","High (&gt;40%)"))))</f>
        <v/>
      </c>
      <c r="Y8299" s="23" t="str">
        <f aca="false">IF(AND(ISNUMBER(C8299),ISNUMBER(D8299)),D8299-C8299,"")</f>
        <v/>
      </c>
      <c r="Z8299" s="23" t="str">
        <f aca="false">IF(B8299="","",IF(MATCH(B8299,$B$2:$B$12000,0)=ROW()-1,1,0))</f>
        <v/>
      </c>
    </row>
    <row r="8300" customFormat="false" ht="15" hidden="false" customHeight="false" outlineLevel="0" collapsed="false">
      <c r="V8300" s="23" t="str">
        <f aca="false">IF(ISNUMBER(C8300),YEAR(C8300),"")</f>
        <v/>
      </c>
      <c r="W8300" s="23" t="str">
        <f aca="false">IF(ISNUMBER(C8300),MONTH(C8300),"")</f>
        <v/>
      </c>
      <c r="X8300" s="23" t="str">
        <f aca="false">IF(T8300="","",IF(T8300=0,"No discount",IF(T8300&lt;=0.2,"Low (1-20%)",IF(T8300&lt;=0.4,"Medium (21-40%)","High (&gt;40%)"))))</f>
        <v/>
      </c>
      <c r="Y8300" s="23" t="str">
        <f aca="false">IF(AND(ISNUMBER(C8300),ISNUMBER(D8300)),D8300-C8300,"")</f>
        <v/>
      </c>
      <c r="Z8300" s="23" t="str">
        <f aca="false">IF(B8300="","",IF(MATCH(B8300,$B$2:$B$12000,0)=ROW()-1,1,0))</f>
        <v/>
      </c>
    </row>
    <row r="8301" customFormat="false" ht="15" hidden="false" customHeight="false" outlineLevel="0" collapsed="false">
      <c r="V8301" s="23" t="str">
        <f aca="false">IF(ISNUMBER(C8301),YEAR(C8301),"")</f>
        <v/>
      </c>
      <c r="W8301" s="23" t="str">
        <f aca="false">IF(ISNUMBER(C8301),MONTH(C8301),"")</f>
        <v/>
      </c>
      <c r="X8301" s="23" t="str">
        <f aca="false">IF(T8301="","",IF(T8301=0,"No discount",IF(T8301&lt;=0.2,"Low (1-20%)",IF(T8301&lt;=0.4,"Medium (21-40%)","High (&gt;40%)"))))</f>
        <v/>
      </c>
      <c r="Y8301" s="23" t="str">
        <f aca="false">IF(AND(ISNUMBER(C8301),ISNUMBER(D8301)),D8301-C8301,"")</f>
        <v/>
      </c>
      <c r="Z8301" s="23" t="str">
        <f aca="false">IF(B8301="","",IF(MATCH(B8301,$B$2:$B$12000,0)=ROW()-1,1,0))</f>
        <v/>
      </c>
    </row>
    <row r="8302" customFormat="false" ht="15" hidden="false" customHeight="false" outlineLevel="0" collapsed="false">
      <c r="V8302" s="23" t="str">
        <f aca="false">IF(ISNUMBER(C8302),YEAR(C8302),"")</f>
        <v/>
      </c>
      <c r="W8302" s="23" t="str">
        <f aca="false">IF(ISNUMBER(C8302),MONTH(C8302),"")</f>
        <v/>
      </c>
      <c r="X8302" s="23" t="str">
        <f aca="false">IF(T8302="","",IF(T8302=0,"No discount",IF(T8302&lt;=0.2,"Low (1-20%)",IF(T8302&lt;=0.4,"Medium (21-40%)","High (&gt;40%)"))))</f>
        <v/>
      </c>
      <c r="Y8302" s="23" t="str">
        <f aca="false">IF(AND(ISNUMBER(C8302),ISNUMBER(D8302)),D8302-C8302,"")</f>
        <v/>
      </c>
      <c r="Z8302" s="23" t="str">
        <f aca="false">IF(B8302="","",IF(MATCH(B8302,$B$2:$B$12000,0)=ROW()-1,1,0))</f>
        <v/>
      </c>
    </row>
    <row r="8303" customFormat="false" ht="15" hidden="false" customHeight="false" outlineLevel="0" collapsed="false">
      <c r="V8303" s="23" t="str">
        <f aca="false">IF(ISNUMBER(C8303),YEAR(C8303),"")</f>
        <v/>
      </c>
      <c r="W8303" s="23" t="str">
        <f aca="false">IF(ISNUMBER(C8303),MONTH(C8303),"")</f>
        <v/>
      </c>
      <c r="X8303" s="23" t="str">
        <f aca="false">IF(T8303="","",IF(T8303=0,"No discount",IF(T8303&lt;=0.2,"Low (1-20%)",IF(T8303&lt;=0.4,"Medium (21-40%)","High (&gt;40%)"))))</f>
        <v/>
      </c>
      <c r="Y8303" s="23" t="str">
        <f aca="false">IF(AND(ISNUMBER(C8303),ISNUMBER(D8303)),D8303-C8303,"")</f>
        <v/>
      </c>
      <c r="Z8303" s="23" t="str">
        <f aca="false">IF(B8303="","",IF(MATCH(B8303,$B$2:$B$12000,0)=ROW()-1,1,0))</f>
        <v/>
      </c>
    </row>
    <row r="8304" customFormat="false" ht="15" hidden="false" customHeight="false" outlineLevel="0" collapsed="false">
      <c r="V8304" s="23" t="str">
        <f aca="false">IF(ISNUMBER(C8304),YEAR(C8304),"")</f>
        <v/>
      </c>
      <c r="W8304" s="23" t="str">
        <f aca="false">IF(ISNUMBER(C8304),MONTH(C8304),"")</f>
        <v/>
      </c>
      <c r="X8304" s="23" t="str">
        <f aca="false">IF(T8304="","",IF(T8304=0,"No discount",IF(T8304&lt;=0.2,"Low (1-20%)",IF(T8304&lt;=0.4,"Medium (21-40%)","High (&gt;40%)"))))</f>
        <v/>
      </c>
      <c r="Y8304" s="23" t="str">
        <f aca="false">IF(AND(ISNUMBER(C8304),ISNUMBER(D8304)),D8304-C8304,"")</f>
        <v/>
      </c>
      <c r="Z8304" s="23" t="str">
        <f aca="false">IF(B8304="","",IF(MATCH(B8304,$B$2:$B$12000,0)=ROW()-1,1,0))</f>
        <v/>
      </c>
    </row>
    <row r="8305" customFormat="false" ht="15" hidden="false" customHeight="false" outlineLevel="0" collapsed="false">
      <c r="V8305" s="23" t="str">
        <f aca="false">IF(ISNUMBER(C8305),YEAR(C8305),"")</f>
        <v/>
      </c>
      <c r="W8305" s="23" t="str">
        <f aca="false">IF(ISNUMBER(C8305),MONTH(C8305),"")</f>
        <v/>
      </c>
      <c r="X8305" s="23" t="str">
        <f aca="false">IF(T8305="","",IF(T8305=0,"No discount",IF(T8305&lt;=0.2,"Low (1-20%)",IF(T8305&lt;=0.4,"Medium (21-40%)","High (&gt;40%)"))))</f>
        <v/>
      </c>
      <c r="Y8305" s="23" t="str">
        <f aca="false">IF(AND(ISNUMBER(C8305),ISNUMBER(D8305)),D8305-C8305,"")</f>
        <v/>
      </c>
      <c r="Z8305" s="23" t="str">
        <f aca="false">IF(B8305="","",IF(MATCH(B8305,$B$2:$B$12000,0)=ROW()-1,1,0))</f>
        <v/>
      </c>
    </row>
    <row r="8306" customFormat="false" ht="15" hidden="false" customHeight="false" outlineLevel="0" collapsed="false">
      <c r="V8306" s="23" t="str">
        <f aca="false">IF(ISNUMBER(C8306),YEAR(C8306),"")</f>
        <v/>
      </c>
      <c r="W8306" s="23" t="str">
        <f aca="false">IF(ISNUMBER(C8306),MONTH(C8306),"")</f>
        <v/>
      </c>
      <c r="X8306" s="23" t="str">
        <f aca="false">IF(T8306="","",IF(T8306=0,"No discount",IF(T8306&lt;=0.2,"Low (1-20%)",IF(T8306&lt;=0.4,"Medium (21-40%)","High (&gt;40%)"))))</f>
        <v/>
      </c>
      <c r="Y8306" s="23" t="str">
        <f aca="false">IF(AND(ISNUMBER(C8306),ISNUMBER(D8306)),D8306-C8306,"")</f>
        <v/>
      </c>
      <c r="Z8306" s="23" t="str">
        <f aca="false">IF(B8306="","",IF(MATCH(B8306,$B$2:$B$12000,0)=ROW()-1,1,0))</f>
        <v/>
      </c>
    </row>
    <row r="8307" customFormat="false" ht="15" hidden="false" customHeight="false" outlineLevel="0" collapsed="false">
      <c r="V8307" s="23" t="str">
        <f aca="false">IF(ISNUMBER(C8307),YEAR(C8307),"")</f>
        <v/>
      </c>
      <c r="W8307" s="23" t="str">
        <f aca="false">IF(ISNUMBER(C8307),MONTH(C8307),"")</f>
        <v/>
      </c>
      <c r="X8307" s="23" t="str">
        <f aca="false">IF(T8307="","",IF(T8307=0,"No discount",IF(T8307&lt;=0.2,"Low (1-20%)",IF(T8307&lt;=0.4,"Medium (21-40%)","High (&gt;40%)"))))</f>
        <v/>
      </c>
      <c r="Y8307" s="23" t="str">
        <f aca="false">IF(AND(ISNUMBER(C8307),ISNUMBER(D8307)),D8307-C8307,"")</f>
        <v/>
      </c>
      <c r="Z8307" s="23" t="str">
        <f aca="false">IF(B8307="","",IF(MATCH(B8307,$B$2:$B$12000,0)=ROW()-1,1,0))</f>
        <v/>
      </c>
    </row>
    <row r="8308" customFormat="false" ht="15" hidden="false" customHeight="false" outlineLevel="0" collapsed="false">
      <c r="V8308" s="23" t="str">
        <f aca="false">IF(ISNUMBER(C8308),YEAR(C8308),"")</f>
        <v/>
      </c>
      <c r="W8308" s="23" t="str">
        <f aca="false">IF(ISNUMBER(C8308),MONTH(C8308),"")</f>
        <v/>
      </c>
      <c r="X8308" s="23" t="str">
        <f aca="false">IF(T8308="","",IF(T8308=0,"No discount",IF(T8308&lt;=0.2,"Low (1-20%)",IF(T8308&lt;=0.4,"Medium (21-40%)","High (&gt;40%)"))))</f>
        <v/>
      </c>
      <c r="Y8308" s="23" t="str">
        <f aca="false">IF(AND(ISNUMBER(C8308),ISNUMBER(D8308)),D8308-C8308,"")</f>
        <v/>
      </c>
      <c r="Z8308" s="23" t="str">
        <f aca="false">IF(B8308="","",IF(MATCH(B8308,$B$2:$B$12000,0)=ROW()-1,1,0))</f>
        <v/>
      </c>
    </row>
    <row r="8309" customFormat="false" ht="15" hidden="false" customHeight="false" outlineLevel="0" collapsed="false">
      <c r="V8309" s="23" t="str">
        <f aca="false">IF(ISNUMBER(C8309),YEAR(C8309),"")</f>
        <v/>
      </c>
      <c r="W8309" s="23" t="str">
        <f aca="false">IF(ISNUMBER(C8309),MONTH(C8309),"")</f>
        <v/>
      </c>
      <c r="X8309" s="23" t="str">
        <f aca="false">IF(T8309="","",IF(T8309=0,"No discount",IF(T8309&lt;=0.2,"Low (1-20%)",IF(T8309&lt;=0.4,"Medium (21-40%)","High (&gt;40%)"))))</f>
        <v/>
      </c>
      <c r="Y8309" s="23" t="str">
        <f aca="false">IF(AND(ISNUMBER(C8309),ISNUMBER(D8309)),D8309-C8309,"")</f>
        <v/>
      </c>
      <c r="Z8309" s="23" t="str">
        <f aca="false">IF(B8309="","",IF(MATCH(B8309,$B$2:$B$12000,0)=ROW()-1,1,0))</f>
        <v/>
      </c>
    </row>
    <row r="8310" customFormat="false" ht="15" hidden="false" customHeight="false" outlineLevel="0" collapsed="false">
      <c r="V8310" s="23" t="str">
        <f aca="false">IF(ISNUMBER(C8310),YEAR(C8310),"")</f>
        <v/>
      </c>
      <c r="W8310" s="23" t="str">
        <f aca="false">IF(ISNUMBER(C8310),MONTH(C8310),"")</f>
        <v/>
      </c>
      <c r="X8310" s="23" t="str">
        <f aca="false">IF(T8310="","",IF(T8310=0,"No discount",IF(T8310&lt;=0.2,"Low (1-20%)",IF(T8310&lt;=0.4,"Medium (21-40%)","High (&gt;40%)"))))</f>
        <v/>
      </c>
      <c r="Y8310" s="23" t="str">
        <f aca="false">IF(AND(ISNUMBER(C8310),ISNUMBER(D8310)),D8310-C8310,"")</f>
        <v/>
      </c>
      <c r="Z8310" s="23" t="str">
        <f aca="false">IF(B8310="","",IF(MATCH(B8310,$B$2:$B$12000,0)=ROW()-1,1,0))</f>
        <v/>
      </c>
    </row>
    <row r="8311" customFormat="false" ht="15" hidden="false" customHeight="false" outlineLevel="0" collapsed="false">
      <c r="V8311" s="23" t="str">
        <f aca="false">IF(ISNUMBER(C8311),YEAR(C8311),"")</f>
        <v/>
      </c>
      <c r="W8311" s="23" t="str">
        <f aca="false">IF(ISNUMBER(C8311),MONTH(C8311),"")</f>
        <v/>
      </c>
      <c r="X8311" s="23" t="str">
        <f aca="false">IF(T8311="","",IF(T8311=0,"No discount",IF(T8311&lt;=0.2,"Low (1-20%)",IF(T8311&lt;=0.4,"Medium (21-40%)","High (&gt;40%)"))))</f>
        <v/>
      </c>
      <c r="Y8311" s="23" t="str">
        <f aca="false">IF(AND(ISNUMBER(C8311),ISNUMBER(D8311)),D8311-C8311,"")</f>
        <v/>
      </c>
      <c r="Z8311" s="23" t="str">
        <f aca="false">IF(B8311="","",IF(MATCH(B8311,$B$2:$B$12000,0)=ROW()-1,1,0))</f>
        <v/>
      </c>
    </row>
    <row r="8312" customFormat="false" ht="15" hidden="false" customHeight="false" outlineLevel="0" collapsed="false">
      <c r="V8312" s="23" t="str">
        <f aca="false">IF(ISNUMBER(C8312),YEAR(C8312),"")</f>
        <v/>
      </c>
      <c r="W8312" s="23" t="str">
        <f aca="false">IF(ISNUMBER(C8312),MONTH(C8312),"")</f>
        <v/>
      </c>
      <c r="X8312" s="23" t="str">
        <f aca="false">IF(T8312="","",IF(T8312=0,"No discount",IF(T8312&lt;=0.2,"Low (1-20%)",IF(T8312&lt;=0.4,"Medium (21-40%)","High (&gt;40%)"))))</f>
        <v/>
      </c>
      <c r="Y8312" s="23" t="str">
        <f aca="false">IF(AND(ISNUMBER(C8312),ISNUMBER(D8312)),D8312-C8312,"")</f>
        <v/>
      </c>
      <c r="Z8312" s="23" t="str">
        <f aca="false">IF(B8312="","",IF(MATCH(B8312,$B$2:$B$12000,0)=ROW()-1,1,0))</f>
        <v/>
      </c>
    </row>
    <row r="8313" customFormat="false" ht="15" hidden="false" customHeight="false" outlineLevel="0" collapsed="false">
      <c r="V8313" s="23" t="str">
        <f aca="false">IF(ISNUMBER(C8313),YEAR(C8313),"")</f>
        <v/>
      </c>
      <c r="W8313" s="23" t="str">
        <f aca="false">IF(ISNUMBER(C8313),MONTH(C8313),"")</f>
        <v/>
      </c>
      <c r="X8313" s="23" t="str">
        <f aca="false">IF(T8313="","",IF(T8313=0,"No discount",IF(T8313&lt;=0.2,"Low (1-20%)",IF(T8313&lt;=0.4,"Medium (21-40%)","High (&gt;40%)"))))</f>
        <v/>
      </c>
      <c r="Y8313" s="23" t="str">
        <f aca="false">IF(AND(ISNUMBER(C8313),ISNUMBER(D8313)),D8313-C8313,"")</f>
        <v/>
      </c>
      <c r="Z8313" s="23" t="str">
        <f aca="false">IF(B8313="","",IF(MATCH(B8313,$B$2:$B$12000,0)=ROW()-1,1,0))</f>
        <v/>
      </c>
    </row>
    <row r="8314" customFormat="false" ht="15" hidden="false" customHeight="false" outlineLevel="0" collapsed="false">
      <c r="V8314" s="23" t="str">
        <f aca="false">IF(ISNUMBER(C8314),YEAR(C8314),"")</f>
        <v/>
      </c>
      <c r="W8314" s="23" t="str">
        <f aca="false">IF(ISNUMBER(C8314),MONTH(C8314),"")</f>
        <v/>
      </c>
      <c r="X8314" s="23" t="str">
        <f aca="false">IF(T8314="","",IF(T8314=0,"No discount",IF(T8314&lt;=0.2,"Low (1-20%)",IF(T8314&lt;=0.4,"Medium (21-40%)","High (&gt;40%)"))))</f>
        <v/>
      </c>
      <c r="Y8314" s="23" t="str">
        <f aca="false">IF(AND(ISNUMBER(C8314),ISNUMBER(D8314)),D8314-C8314,"")</f>
        <v/>
      </c>
      <c r="Z8314" s="23" t="str">
        <f aca="false">IF(B8314="","",IF(MATCH(B8314,$B$2:$B$12000,0)=ROW()-1,1,0))</f>
        <v/>
      </c>
    </row>
    <row r="8315" customFormat="false" ht="15" hidden="false" customHeight="false" outlineLevel="0" collapsed="false">
      <c r="V8315" s="23" t="str">
        <f aca="false">IF(ISNUMBER(C8315),YEAR(C8315),"")</f>
        <v/>
      </c>
      <c r="W8315" s="23" t="str">
        <f aca="false">IF(ISNUMBER(C8315),MONTH(C8315),"")</f>
        <v/>
      </c>
      <c r="X8315" s="23" t="str">
        <f aca="false">IF(T8315="","",IF(T8315=0,"No discount",IF(T8315&lt;=0.2,"Low (1-20%)",IF(T8315&lt;=0.4,"Medium (21-40%)","High (&gt;40%)"))))</f>
        <v/>
      </c>
      <c r="Y8315" s="23" t="str">
        <f aca="false">IF(AND(ISNUMBER(C8315),ISNUMBER(D8315)),D8315-C8315,"")</f>
        <v/>
      </c>
      <c r="Z8315" s="23" t="str">
        <f aca="false">IF(B8315="","",IF(MATCH(B8315,$B$2:$B$12000,0)=ROW()-1,1,0))</f>
        <v/>
      </c>
    </row>
    <row r="8316" customFormat="false" ht="15" hidden="false" customHeight="false" outlineLevel="0" collapsed="false">
      <c r="V8316" s="23" t="str">
        <f aca="false">IF(ISNUMBER(C8316),YEAR(C8316),"")</f>
        <v/>
      </c>
      <c r="W8316" s="23" t="str">
        <f aca="false">IF(ISNUMBER(C8316),MONTH(C8316),"")</f>
        <v/>
      </c>
      <c r="X8316" s="23" t="str">
        <f aca="false">IF(T8316="","",IF(T8316=0,"No discount",IF(T8316&lt;=0.2,"Low (1-20%)",IF(T8316&lt;=0.4,"Medium (21-40%)","High (&gt;40%)"))))</f>
        <v/>
      </c>
      <c r="Y8316" s="23" t="str">
        <f aca="false">IF(AND(ISNUMBER(C8316),ISNUMBER(D8316)),D8316-C8316,"")</f>
        <v/>
      </c>
      <c r="Z8316" s="23" t="str">
        <f aca="false">IF(B8316="","",IF(MATCH(B8316,$B$2:$B$12000,0)=ROW()-1,1,0))</f>
        <v/>
      </c>
    </row>
    <row r="8317" customFormat="false" ht="15" hidden="false" customHeight="false" outlineLevel="0" collapsed="false">
      <c r="V8317" s="23" t="str">
        <f aca="false">IF(ISNUMBER(C8317),YEAR(C8317),"")</f>
        <v/>
      </c>
      <c r="W8317" s="23" t="str">
        <f aca="false">IF(ISNUMBER(C8317),MONTH(C8317),"")</f>
        <v/>
      </c>
      <c r="X8317" s="23" t="str">
        <f aca="false">IF(T8317="","",IF(T8317=0,"No discount",IF(T8317&lt;=0.2,"Low (1-20%)",IF(T8317&lt;=0.4,"Medium (21-40%)","High (&gt;40%)"))))</f>
        <v/>
      </c>
      <c r="Y8317" s="23" t="str">
        <f aca="false">IF(AND(ISNUMBER(C8317),ISNUMBER(D8317)),D8317-C8317,"")</f>
        <v/>
      </c>
      <c r="Z8317" s="23" t="str">
        <f aca="false">IF(B8317="","",IF(MATCH(B8317,$B$2:$B$12000,0)=ROW()-1,1,0))</f>
        <v/>
      </c>
    </row>
    <row r="8318" customFormat="false" ht="15" hidden="false" customHeight="false" outlineLevel="0" collapsed="false">
      <c r="V8318" s="23" t="str">
        <f aca="false">IF(ISNUMBER(C8318),YEAR(C8318),"")</f>
        <v/>
      </c>
      <c r="W8318" s="23" t="str">
        <f aca="false">IF(ISNUMBER(C8318),MONTH(C8318),"")</f>
        <v/>
      </c>
      <c r="X8318" s="23" t="str">
        <f aca="false">IF(T8318="","",IF(T8318=0,"No discount",IF(T8318&lt;=0.2,"Low (1-20%)",IF(T8318&lt;=0.4,"Medium (21-40%)","High (&gt;40%)"))))</f>
        <v/>
      </c>
      <c r="Y8318" s="23" t="str">
        <f aca="false">IF(AND(ISNUMBER(C8318),ISNUMBER(D8318)),D8318-C8318,"")</f>
        <v/>
      </c>
      <c r="Z8318" s="23" t="str">
        <f aca="false">IF(B8318="","",IF(MATCH(B8318,$B$2:$B$12000,0)=ROW()-1,1,0))</f>
        <v/>
      </c>
    </row>
    <row r="8319" customFormat="false" ht="15" hidden="false" customHeight="false" outlineLevel="0" collapsed="false">
      <c r="V8319" s="23" t="str">
        <f aca="false">IF(ISNUMBER(C8319),YEAR(C8319),"")</f>
        <v/>
      </c>
      <c r="W8319" s="23" t="str">
        <f aca="false">IF(ISNUMBER(C8319),MONTH(C8319),"")</f>
        <v/>
      </c>
      <c r="X8319" s="23" t="str">
        <f aca="false">IF(T8319="","",IF(T8319=0,"No discount",IF(T8319&lt;=0.2,"Low (1-20%)",IF(T8319&lt;=0.4,"Medium (21-40%)","High (&gt;40%)"))))</f>
        <v/>
      </c>
      <c r="Y8319" s="23" t="str">
        <f aca="false">IF(AND(ISNUMBER(C8319),ISNUMBER(D8319)),D8319-C8319,"")</f>
        <v/>
      </c>
      <c r="Z8319" s="23" t="str">
        <f aca="false">IF(B8319="","",IF(MATCH(B8319,$B$2:$B$12000,0)=ROW()-1,1,0))</f>
        <v/>
      </c>
    </row>
    <row r="8320" customFormat="false" ht="15" hidden="false" customHeight="false" outlineLevel="0" collapsed="false">
      <c r="V8320" s="23" t="str">
        <f aca="false">IF(ISNUMBER(C8320),YEAR(C8320),"")</f>
        <v/>
      </c>
      <c r="W8320" s="23" t="str">
        <f aca="false">IF(ISNUMBER(C8320),MONTH(C8320),"")</f>
        <v/>
      </c>
      <c r="X8320" s="23" t="str">
        <f aca="false">IF(T8320="","",IF(T8320=0,"No discount",IF(T8320&lt;=0.2,"Low (1-20%)",IF(T8320&lt;=0.4,"Medium (21-40%)","High (&gt;40%)"))))</f>
        <v/>
      </c>
      <c r="Y8320" s="23" t="str">
        <f aca="false">IF(AND(ISNUMBER(C8320),ISNUMBER(D8320)),D8320-C8320,"")</f>
        <v/>
      </c>
      <c r="Z8320" s="23" t="str">
        <f aca="false">IF(B8320="","",IF(MATCH(B8320,$B$2:$B$12000,0)=ROW()-1,1,0))</f>
        <v/>
      </c>
    </row>
    <row r="8321" customFormat="false" ht="15" hidden="false" customHeight="false" outlineLevel="0" collapsed="false">
      <c r="V8321" s="23" t="str">
        <f aca="false">IF(ISNUMBER(C8321),YEAR(C8321),"")</f>
        <v/>
      </c>
      <c r="W8321" s="23" t="str">
        <f aca="false">IF(ISNUMBER(C8321),MONTH(C8321),"")</f>
        <v/>
      </c>
      <c r="X8321" s="23" t="str">
        <f aca="false">IF(T8321="","",IF(T8321=0,"No discount",IF(T8321&lt;=0.2,"Low (1-20%)",IF(T8321&lt;=0.4,"Medium (21-40%)","High (&gt;40%)"))))</f>
        <v/>
      </c>
      <c r="Y8321" s="23" t="str">
        <f aca="false">IF(AND(ISNUMBER(C8321),ISNUMBER(D8321)),D8321-C8321,"")</f>
        <v/>
      </c>
      <c r="Z8321" s="23" t="str">
        <f aca="false">IF(B8321="","",IF(MATCH(B8321,$B$2:$B$12000,0)=ROW()-1,1,0))</f>
        <v/>
      </c>
    </row>
    <row r="8322" customFormat="false" ht="15" hidden="false" customHeight="false" outlineLevel="0" collapsed="false">
      <c r="V8322" s="23" t="str">
        <f aca="false">IF(ISNUMBER(C8322),YEAR(C8322),"")</f>
        <v/>
      </c>
      <c r="W8322" s="23" t="str">
        <f aca="false">IF(ISNUMBER(C8322),MONTH(C8322),"")</f>
        <v/>
      </c>
      <c r="X8322" s="23" t="str">
        <f aca="false">IF(T8322="","",IF(T8322=0,"No discount",IF(T8322&lt;=0.2,"Low (1-20%)",IF(T8322&lt;=0.4,"Medium (21-40%)","High (&gt;40%)"))))</f>
        <v/>
      </c>
      <c r="Y8322" s="23" t="str">
        <f aca="false">IF(AND(ISNUMBER(C8322),ISNUMBER(D8322)),D8322-C8322,"")</f>
        <v/>
      </c>
      <c r="Z8322" s="23" t="str">
        <f aca="false">IF(B8322="","",IF(MATCH(B8322,$B$2:$B$12000,0)=ROW()-1,1,0))</f>
        <v/>
      </c>
    </row>
    <row r="8323" customFormat="false" ht="15" hidden="false" customHeight="false" outlineLevel="0" collapsed="false">
      <c r="V8323" s="23" t="str">
        <f aca="false">IF(ISNUMBER(C8323),YEAR(C8323),"")</f>
        <v/>
      </c>
      <c r="W8323" s="23" t="str">
        <f aca="false">IF(ISNUMBER(C8323),MONTH(C8323),"")</f>
        <v/>
      </c>
      <c r="X8323" s="23" t="str">
        <f aca="false">IF(T8323="","",IF(T8323=0,"No discount",IF(T8323&lt;=0.2,"Low (1-20%)",IF(T8323&lt;=0.4,"Medium (21-40%)","High (&gt;40%)"))))</f>
        <v/>
      </c>
      <c r="Y8323" s="23" t="str">
        <f aca="false">IF(AND(ISNUMBER(C8323),ISNUMBER(D8323)),D8323-C8323,"")</f>
        <v/>
      </c>
      <c r="Z8323" s="23" t="str">
        <f aca="false">IF(B8323="","",IF(MATCH(B8323,$B$2:$B$12000,0)=ROW()-1,1,0))</f>
        <v/>
      </c>
    </row>
    <row r="8324" customFormat="false" ht="15" hidden="false" customHeight="false" outlineLevel="0" collapsed="false">
      <c r="V8324" s="23" t="str">
        <f aca="false">IF(ISNUMBER(C8324),YEAR(C8324),"")</f>
        <v/>
      </c>
      <c r="W8324" s="23" t="str">
        <f aca="false">IF(ISNUMBER(C8324),MONTH(C8324),"")</f>
        <v/>
      </c>
      <c r="X8324" s="23" t="str">
        <f aca="false">IF(T8324="","",IF(T8324=0,"No discount",IF(T8324&lt;=0.2,"Low (1-20%)",IF(T8324&lt;=0.4,"Medium (21-40%)","High (&gt;40%)"))))</f>
        <v/>
      </c>
      <c r="Y8324" s="23" t="str">
        <f aca="false">IF(AND(ISNUMBER(C8324),ISNUMBER(D8324)),D8324-C8324,"")</f>
        <v/>
      </c>
      <c r="Z8324" s="23" t="str">
        <f aca="false">IF(B8324="","",IF(MATCH(B8324,$B$2:$B$12000,0)=ROW()-1,1,0))</f>
        <v/>
      </c>
    </row>
    <row r="8325" customFormat="false" ht="15" hidden="false" customHeight="false" outlineLevel="0" collapsed="false">
      <c r="V8325" s="23" t="str">
        <f aca="false">IF(ISNUMBER(C8325),YEAR(C8325),"")</f>
        <v/>
      </c>
      <c r="W8325" s="23" t="str">
        <f aca="false">IF(ISNUMBER(C8325),MONTH(C8325),"")</f>
        <v/>
      </c>
      <c r="X8325" s="23" t="str">
        <f aca="false">IF(T8325="","",IF(T8325=0,"No discount",IF(T8325&lt;=0.2,"Low (1-20%)",IF(T8325&lt;=0.4,"Medium (21-40%)","High (&gt;40%)"))))</f>
        <v/>
      </c>
      <c r="Y8325" s="23" t="str">
        <f aca="false">IF(AND(ISNUMBER(C8325),ISNUMBER(D8325)),D8325-C8325,"")</f>
        <v/>
      </c>
      <c r="Z8325" s="23" t="str">
        <f aca="false">IF(B8325="","",IF(MATCH(B8325,$B$2:$B$12000,0)=ROW()-1,1,0))</f>
        <v/>
      </c>
    </row>
    <row r="8326" customFormat="false" ht="15" hidden="false" customHeight="false" outlineLevel="0" collapsed="false">
      <c r="V8326" s="23" t="str">
        <f aca="false">IF(ISNUMBER(C8326),YEAR(C8326),"")</f>
        <v/>
      </c>
      <c r="W8326" s="23" t="str">
        <f aca="false">IF(ISNUMBER(C8326),MONTH(C8326),"")</f>
        <v/>
      </c>
      <c r="X8326" s="23" t="str">
        <f aca="false">IF(T8326="","",IF(T8326=0,"No discount",IF(T8326&lt;=0.2,"Low (1-20%)",IF(T8326&lt;=0.4,"Medium (21-40%)","High (&gt;40%)"))))</f>
        <v/>
      </c>
      <c r="Y8326" s="23" t="str">
        <f aca="false">IF(AND(ISNUMBER(C8326),ISNUMBER(D8326)),D8326-C8326,"")</f>
        <v/>
      </c>
      <c r="Z8326" s="23" t="str">
        <f aca="false">IF(B8326="","",IF(MATCH(B8326,$B$2:$B$12000,0)=ROW()-1,1,0))</f>
        <v/>
      </c>
    </row>
    <row r="8327" customFormat="false" ht="15" hidden="false" customHeight="false" outlineLevel="0" collapsed="false">
      <c r="V8327" s="23" t="str">
        <f aca="false">IF(ISNUMBER(C8327),YEAR(C8327),"")</f>
        <v/>
      </c>
      <c r="W8327" s="23" t="str">
        <f aca="false">IF(ISNUMBER(C8327),MONTH(C8327),"")</f>
        <v/>
      </c>
      <c r="X8327" s="23" t="str">
        <f aca="false">IF(T8327="","",IF(T8327=0,"No discount",IF(T8327&lt;=0.2,"Low (1-20%)",IF(T8327&lt;=0.4,"Medium (21-40%)","High (&gt;40%)"))))</f>
        <v/>
      </c>
      <c r="Y8327" s="23" t="str">
        <f aca="false">IF(AND(ISNUMBER(C8327),ISNUMBER(D8327)),D8327-C8327,"")</f>
        <v/>
      </c>
      <c r="Z8327" s="23" t="str">
        <f aca="false">IF(B8327="","",IF(MATCH(B8327,$B$2:$B$12000,0)=ROW()-1,1,0))</f>
        <v/>
      </c>
    </row>
    <row r="8328" customFormat="false" ht="15" hidden="false" customHeight="false" outlineLevel="0" collapsed="false">
      <c r="V8328" s="23" t="str">
        <f aca="false">IF(ISNUMBER(C8328),YEAR(C8328),"")</f>
        <v/>
      </c>
      <c r="W8328" s="23" t="str">
        <f aca="false">IF(ISNUMBER(C8328),MONTH(C8328),"")</f>
        <v/>
      </c>
      <c r="X8328" s="23" t="str">
        <f aca="false">IF(T8328="","",IF(T8328=0,"No discount",IF(T8328&lt;=0.2,"Low (1-20%)",IF(T8328&lt;=0.4,"Medium (21-40%)","High (&gt;40%)"))))</f>
        <v/>
      </c>
      <c r="Y8328" s="23" t="str">
        <f aca="false">IF(AND(ISNUMBER(C8328),ISNUMBER(D8328)),D8328-C8328,"")</f>
        <v/>
      </c>
      <c r="Z8328" s="23" t="str">
        <f aca="false">IF(B8328="","",IF(MATCH(B8328,$B$2:$B$12000,0)=ROW()-1,1,0))</f>
        <v/>
      </c>
    </row>
    <row r="8329" customFormat="false" ht="15" hidden="false" customHeight="false" outlineLevel="0" collapsed="false">
      <c r="V8329" s="23" t="str">
        <f aca="false">IF(ISNUMBER(C8329),YEAR(C8329),"")</f>
        <v/>
      </c>
      <c r="W8329" s="23" t="str">
        <f aca="false">IF(ISNUMBER(C8329),MONTH(C8329),"")</f>
        <v/>
      </c>
      <c r="X8329" s="23" t="str">
        <f aca="false">IF(T8329="","",IF(T8329=0,"No discount",IF(T8329&lt;=0.2,"Low (1-20%)",IF(T8329&lt;=0.4,"Medium (21-40%)","High (&gt;40%)"))))</f>
        <v/>
      </c>
      <c r="Y8329" s="23" t="str">
        <f aca="false">IF(AND(ISNUMBER(C8329),ISNUMBER(D8329)),D8329-C8329,"")</f>
        <v/>
      </c>
      <c r="Z8329" s="23" t="str">
        <f aca="false">IF(B8329="","",IF(MATCH(B8329,$B$2:$B$12000,0)=ROW()-1,1,0))</f>
        <v/>
      </c>
    </row>
    <row r="8330" customFormat="false" ht="15" hidden="false" customHeight="false" outlineLevel="0" collapsed="false">
      <c r="V8330" s="23" t="str">
        <f aca="false">IF(ISNUMBER(C8330),YEAR(C8330),"")</f>
        <v/>
      </c>
      <c r="W8330" s="23" t="str">
        <f aca="false">IF(ISNUMBER(C8330),MONTH(C8330),"")</f>
        <v/>
      </c>
      <c r="X8330" s="23" t="str">
        <f aca="false">IF(T8330="","",IF(T8330=0,"No discount",IF(T8330&lt;=0.2,"Low (1-20%)",IF(T8330&lt;=0.4,"Medium (21-40%)","High (&gt;40%)"))))</f>
        <v/>
      </c>
      <c r="Y8330" s="23" t="str">
        <f aca="false">IF(AND(ISNUMBER(C8330),ISNUMBER(D8330)),D8330-C8330,"")</f>
        <v/>
      </c>
      <c r="Z8330" s="23" t="str">
        <f aca="false">IF(B8330="","",IF(MATCH(B8330,$B$2:$B$12000,0)=ROW()-1,1,0))</f>
        <v/>
      </c>
    </row>
    <row r="8331" customFormat="false" ht="15" hidden="false" customHeight="false" outlineLevel="0" collapsed="false">
      <c r="V8331" s="23" t="str">
        <f aca="false">IF(ISNUMBER(C8331),YEAR(C8331),"")</f>
        <v/>
      </c>
      <c r="W8331" s="23" t="str">
        <f aca="false">IF(ISNUMBER(C8331),MONTH(C8331),"")</f>
        <v/>
      </c>
      <c r="X8331" s="23" t="str">
        <f aca="false">IF(T8331="","",IF(T8331=0,"No discount",IF(T8331&lt;=0.2,"Low (1-20%)",IF(T8331&lt;=0.4,"Medium (21-40%)","High (&gt;40%)"))))</f>
        <v/>
      </c>
      <c r="Y8331" s="23" t="str">
        <f aca="false">IF(AND(ISNUMBER(C8331),ISNUMBER(D8331)),D8331-C8331,"")</f>
        <v/>
      </c>
      <c r="Z8331" s="23" t="str">
        <f aca="false">IF(B8331="","",IF(MATCH(B8331,$B$2:$B$12000,0)=ROW()-1,1,0))</f>
        <v/>
      </c>
    </row>
    <row r="8332" customFormat="false" ht="15" hidden="false" customHeight="false" outlineLevel="0" collapsed="false">
      <c r="V8332" s="23" t="str">
        <f aca="false">IF(ISNUMBER(C8332),YEAR(C8332),"")</f>
        <v/>
      </c>
      <c r="W8332" s="23" t="str">
        <f aca="false">IF(ISNUMBER(C8332),MONTH(C8332),"")</f>
        <v/>
      </c>
      <c r="X8332" s="23" t="str">
        <f aca="false">IF(T8332="","",IF(T8332=0,"No discount",IF(T8332&lt;=0.2,"Low (1-20%)",IF(T8332&lt;=0.4,"Medium (21-40%)","High (&gt;40%)"))))</f>
        <v/>
      </c>
      <c r="Y8332" s="23" t="str">
        <f aca="false">IF(AND(ISNUMBER(C8332),ISNUMBER(D8332)),D8332-C8332,"")</f>
        <v/>
      </c>
      <c r="Z8332" s="23" t="str">
        <f aca="false">IF(B8332="","",IF(MATCH(B8332,$B$2:$B$12000,0)=ROW()-1,1,0))</f>
        <v/>
      </c>
    </row>
    <row r="8333" customFormat="false" ht="15" hidden="false" customHeight="false" outlineLevel="0" collapsed="false">
      <c r="V8333" s="23" t="str">
        <f aca="false">IF(ISNUMBER(C8333),YEAR(C8333),"")</f>
        <v/>
      </c>
      <c r="W8333" s="23" t="str">
        <f aca="false">IF(ISNUMBER(C8333),MONTH(C8333),"")</f>
        <v/>
      </c>
      <c r="X8333" s="23" t="str">
        <f aca="false">IF(T8333="","",IF(T8333=0,"No discount",IF(T8333&lt;=0.2,"Low (1-20%)",IF(T8333&lt;=0.4,"Medium (21-40%)","High (&gt;40%)"))))</f>
        <v/>
      </c>
      <c r="Y8333" s="23" t="str">
        <f aca="false">IF(AND(ISNUMBER(C8333),ISNUMBER(D8333)),D8333-C8333,"")</f>
        <v/>
      </c>
      <c r="Z8333" s="23" t="str">
        <f aca="false">IF(B8333="","",IF(MATCH(B8333,$B$2:$B$12000,0)=ROW()-1,1,0))</f>
        <v/>
      </c>
    </row>
    <row r="8334" customFormat="false" ht="15" hidden="false" customHeight="false" outlineLevel="0" collapsed="false">
      <c r="V8334" s="23" t="str">
        <f aca="false">IF(ISNUMBER(C8334),YEAR(C8334),"")</f>
        <v/>
      </c>
      <c r="W8334" s="23" t="str">
        <f aca="false">IF(ISNUMBER(C8334),MONTH(C8334),"")</f>
        <v/>
      </c>
      <c r="X8334" s="23" t="str">
        <f aca="false">IF(T8334="","",IF(T8334=0,"No discount",IF(T8334&lt;=0.2,"Low (1-20%)",IF(T8334&lt;=0.4,"Medium (21-40%)","High (&gt;40%)"))))</f>
        <v/>
      </c>
      <c r="Y8334" s="23" t="str">
        <f aca="false">IF(AND(ISNUMBER(C8334),ISNUMBER(D8334)),D8334-C8334,"")</f>
        <v/>
      </c>
      <c r="Z8334" s="23" t="str">
        <f aca="false">IF(B8334="","",IF(MATCH(B8334,$B$2:$B$12000,0)=ROW()-1,1,0))</f>
        <v/>
      </c>
    </row>
    <row r="8335" customFormat="false" ht="15" hidden="false" customHeight="false" outlineLevel="0" collapsed="false">
      <c r="V8335" s="23" t="str">
        <f aca="false">IF(ISNUMBER(C8335),YEAR(C8335),"")</f>
        <v/>
      </c>
      <c r="W8335" s="23" t="str">
        <f aca="false">IF(ISNUMBER(C8335),MONTH(C8335),"")</f>
        <v/>
      </c>
      <c r="X8335" s="23" t="str">
        <f aca="false">IF(T8335="","",IF(T8335=0,"No discount",IF(T8335&lt;=0.2,"Low (1-20%)",IF(T8335&lt;=0.4,"Medium (21-40%)","High (&gt;40%)"))))</f>
        <v/>
      </c>
      <c r="Y8335" s="23" t="str">
        <f aca="false">IF(AND(ISNUMBER(C8335),ISNUMBER(D8335)),D8335-C8335,"")</f>
        <v/>
      </c>
      <c r="Z8335" s="23" t="str">
        <f aca="false">IF(B8335="","",IF(MATCH(B8335,$B$2:$B$12000,0)=ROW()-1,1,0))</f>
        <v/>
      </c>
    </row>
    <row r="8336" customFormat="false" ht="15" hidden="false" customHeight="false" outlineLevel="0" collapsed="false">
      <c r="V8336" s="23" t="str">
        <f aca="false">IF(ISNUMBER(C8336),YEAR(C8336),"")</f>
        <v/>
      </c>
      <c r="W8336" s="23" t="str">
        <f aca="false">IF(ISNUMBER(C8336),MONTH(C8336),"")</f>
        <v/>
      </c>
      <c r="X8336" s="23" t="str">
        <f aca="false">IF(T8336="","",IF(T8336=0,"No discount",IF(T8336&lt;=0.2,"Low (1-20%)",IF(T8336&lt;=0.4,"Medium (21-40%)","High (&gt;40%)"))))</f>
        <v/>
      </c>
      <c r="Y8336" s="23" t="str">
        <f aca="false">IF(AND(ISNUMBER(C8336),ISNUMBER(D8336)),D8336-C8336,"")</f>
        <v/>
      </c>
      <c r="Z8336" s="23" t="str">
        <f aca="false">IF(B8336="","",IF(MATCH(B8336,$B$2:$B$12000,0)=ROW()-1,1,0))</f>
        <v/>
      </c>
    </row>
    <row r="8337" customFormat="false" ht="15" hidden="false" customHeight="false" outlineLevel="0" collapsed="false">
      <c r="V8337" s="23" t="str">
        <f aca="false">IF(ISNUMBER(C8337),YEAR(C8337),"")</f>
        <v/>
      </c>
      <c r="W8337" s="23" t="str">
        <f aca="false">IF(ISNUMBER(C8337),MONTH(C8337),"")</f>
        <v/>
      </c>
      <c r="X8337" s="23" t="str">
        <f aca="false">IF(T8337="","",IF(T8337=0,"No discount",IF(T8337&lt;=0.2,"Low (1-20%)",IF(T8337&lt;=0.4,"Medium (21-40%)","High (&gt;40%)"))))</f>
        <v/>
      </c>
      <c r="Y8337" s="23" t="str">
        <f aca="false">IF(AND(ISNUMBER(C8337),ISNUMBER(D8337)),D8337-C8337,"")</f>
        <v/>
      </c>
      <c r="Z8337" s="23" t="str">
        <f aca="false">IF(B8337="","",IF(MATCH(B8337,$B$2:$B$12000,0)=ROW()-1,1,0))</f>
        <v/>
      </c>
    </row>
    <row r="8338" customFormat="false" ht="15" hidden="false" customHeight="false" outlineLevel="0" collapsed="false">
      <c r="V8338" s="23" t="str">
        <f aca="false">IF(ISNUMBER(C8338),YEAR(C8338),"")</f>
        <v/>
      </c>
      <c r="W8338" s="23" t="str">
        <f aca="false">IF(ISNUMBER(C8338),MONTH(C8338),"")</f>
        <v/>
      </c>
      <c r="X8338" s="23" t="str">
        <f aca="false">IF(T8338="","",IF(T8338=0,"No discount",IF(T8338&lt;=0.2,"Low (1-20%)",IF(T8338&lt;=0.4,"Medium (21-40%)","High (&gt;40%)"))))</f>
        <v/>
      </c>
      <c r="Y8338" s="23" t="str">
        <f aca="false">IF(AND(ISNUMBER(C8338),ISNUMBER(D8338)),D8338-C8338,"")</f>
        <v/>
      </c>
      <c r="Z8338" s="23" t="str">
        <f aca="false">IF(B8338="","",IF(MATCH(B8338,$B$2:$B$12000,0)=ROW()-1,1,0))</f>
        <v/>
      </c>
    </row>
    <row r="8339" customFormat="false" ht="15" hidden="false" customHeight="false" outlineLevel="0" collapsed="false">
      <c r="V8339" s="23" t="str">
        <f aca="false">IF(ISNUMBER(C8339),YEAR(C8339),"")</f>
        <v/>
      </c>
      <c r="W8339" s="23" t="str">
        <f aca="false">IF(ISNUMBER(C8339),MONTH(C8339),"")</f>
        <v/>
      </c>
      <c r="X8339" s="23" t="str">
        <f aca="false">IF(T8339="","",IF(T8339=0,"No discount",IF(T8339&lt;=0.2,"Low (1-20%)",IF(T8339&lt;=0.4,"Medium (21-40%)","High (&gt;40%)"))))</f>
        <v/>
      </c>
      <c r="Y8339" s="23" t="str">
        <f aca="false">IF(AND(ISNUMBER(C8339),ISNUMBER(D8339)),D8339-C8339,"")</f>
        <v/>
      </c>
      <c r="Z8339" s="23" t="str">
        <f aca="false">IF(B8339="","",IF(MATCH(B8339,$B$2:$B$12000,0)=ROW()-1,1,0))</f>
        <v/>
      </c>
    </row>
    <row r="8340" customFormat="false" ht="15" hidden="false" customHeight="false" outlineLevel="0" collapsed="false">
      <c r="V8340" s="23" t="str">
        <f aca="false">IF(ISNUMBER(C8340),YEAR(C8340),"")</f>
        <v/>
      </c>
      <c r="W8340" s="23" t="str">
        <f aca="false">IF(ISNUMBER(C8340),MONTH(C8340),"")</f>
        <v/>
      </c>
      <c r="X8340" s="23" t="str">
        <f aca="false">IF(T8340="","",IF(T8340=0,"No discount",IF(T8340&lt;=0.2,"Low (1-20%)",IF(T8340&lt;=0.4,"Medium (21-40%)","High (&gt;40%)"))))</f>
        <v/>
      </c>
      <c r="Y8340" s="23" t="str">
        <f aca="false">IF(AND(ISNUMBER(C8340),ISNUMBER(D8340)),D8340-C8340,"")</f>
        <v/>
      </c>
      <c r="Z8340" s="23" t="str">
        <f aca="false">IF(B8340="","",IF(MATCH(B8340,$B$2:$B$12000,0)=ROW()-1,1,0))</f>
        <v/>
      </c>
    </row>
    <row r="8341" customFormat="false" ht="15" hidden="false" customHeight="false" outlineLevel="0" collapsed="false">
      <c r="V8341" s="23" t="str">
        <f aca="false">IF(ISNUMBER(C8341),YEAR(C8341),"")</f>
        <v/>
      </c>
      <c r="W8341" s="23" t="str">
        <f aca="false">IF(ISNUMBER(C8341),MONTH(C8341),"")</f>
        <v/>
      </c>
      <c r="X8341" s="23" t="str">
        <f aca="false">IF(T8341="","",IF(T8341=0,"No discount",IF(T8341&lt;=0.2,"Low (1-20%)",IF(T8341&lt;=0.4,"Medium (21-40%)","High (&gt;40%)"))))</f>
        <v/>
      </c>
      <c r="Y8341" s="23" t="str">
        <f aca="false">IF(AND(ISNUMBER(C8341),ISNUMBER(D8341)),D8341-C8341,"")</f>
        <v/>
      </c>
      <c r="Z8341" s="23" t="str">
        <f aca="false">IF(B8341="","",IF(MATCH(B8341,$B$2:$B$12000,0)=ROW()-1,1,0))</f>
        <v/>
      </c>
    </row>
    <row r="8342" customFormat="false" ht="15" hidden="false" customHeight="false" outlineLevel="0" collapsed="false">
      <c r="V8342" s="23" t="str">
        <f aca="false">IF(ISNUMBER(C8342),YEAR(C8342),"")</f>
        <v/>
      </c>
      <c r="W8342" s="23" t="str">
        <f aca="false">IF(ISNUMBER(C8342),MONTH(C8342),"")</f>
        <v/>
      </c>
      <c r="X8342" s="23" t="str">
        <f aca="false">IF(T8342="","",IF(T8342=0,"No discount",IF(T8342&lt;=0.2,"Low (1-20%)",IF(T8342&lt;=0.4,"Medium (21-40%)","High (&gt;40%)"))))</f>
        <v/>
      </c>
      <c r="Y8342" s="23" t="str">
        <f aca="false">IF(AND(ISNUMBER(C8342),ISNUMBER(D8342)),D8342-C8342,"")</f>
        <v/>
      </c>
      <c r="Z8342" s="23" t="str">
        <f aca="false">IF(B8342="","",IF(MATCH(B8342,$B$2:$B$12000,0)=ROW()-1,1,0))</f>
        <v/>
      </c>
    </row>
    <row r="8343" customFormat="false" ht="15" hidden="false" customHeight="false" outlineLevel="0" collapsed="false">
      <c r="V8343" s="23" t="str">
        <f aca="false">IF(ISNUMBER(C8343),YEAR(C8343),"")</f>
        <v/>
      </c>
      <c r="W8343" s="23" t="str">
        <f aca="false">IF(ISNUMBER(C8343),MONTH(C8343),"")</f>
        <v/>
      </c>
      <c r="X8343" s="23" t="str">
        <f aca="false">IF(T8343="","",IF(T8343=0,"No discount",IF(T8343&lt;=0.2,"Low (1-20%)",IF(T8343&lt;=0.4,"Medium (21-40%)","High (&gt;40%)"))))</f>
        <v/>
      </c>
      <c r="Y8343" s="23" t="str">
        <f aca="false">IF(AND(ISNUMBER(C8343),ISNUMBER(D8343)),D8343-C8343,"")</f>
        <v/>
      </c>
      <c r="Z8343" s="23" t="str">
        <f aca="false">IF(B8343="","",IF(MATCH(B8343,$B$2:$B$12000,0)=ROW()-1,1,0))</f>
        <v/>
      </c>
    </row>
    <row r="8344" customFormat="false" ht="15" hidden="false" customHeight="false" outlineLevel="0" collapsed="false">
      <c r="V8344" s="23" t="str">
        <f aca="false">IF(ISNUMBER(C8344),YEAR(C8344),"")</f>
        <v/>
      </c>
      <c r="W8344" s="23" t="str">
        <f aca="false">IF(ISNUMBER(C8344),MONTH(C8344),"")</f>
        <v/>
      </c>
      <c r="X8344" s="23" t="str">
        <f aca="false">IF(T8344="","",IF(T8344=0,"No discount",IF(T8344&lt;=0.2,"Low (1-20%)",IF(T8344&lt;=0.4,"Medium (21-40%)","High (&gt;40%)"))))</f>
        <v/>
      </c>
      <c r="Y8344" s="23" t="str">
        <f aca="false">IF(AND(ISNUMBER(C8344),ISNUMBER(D8344)),D8344-C8344,"")</f>
        <v/>
      </c>
      <c r="Z8344" s="23" t="str">
        <f aca="false">IF(B8344="","",IF(MATCH(B8344,$B$2:$B$12000,0)=ROW()-1,1,0))</f>
        <v/>
      </c>
    </row>
    <row r="8345" customFormat="false" ht="15" hidden="false" customHeight="false" outlineLevel="0" collapsed="false">
      <c r="V8345" s="23" t="str">
        <f aca="false">IF(ISNUMBER(C8345),YEAR(C8345),"")</f>
        <v/>
      </c>
      <c r="W8345" s="23" t="str">
        <f aca="false">IF(ISNUMBER(C8345),MONTH(C8345),"")</f>
        <v/>
      </c>
      <c r="X8345" s="23" t="str">
        <f aca="false">IF(T8345="","",IF(T8345=0,"No discount",IF(T8345&lt;=0.2,"Low (1-20%)",IF(T8345&lt;=0.4,"Medium (21-40%)","High (&gt;40%)"))))</f>
        <v/>
      </c>
      <c r="Y8345" s="23" t="str">
        <f aca="false">IF(AND(ISNUMBER(C8345),ISNUMBER(D8345)),D8345-C8345,"")</f>
        <v/>
      </c>
      <c r="Z8345" s="23" t="str">
        <f aca="false">IF(B8345="","",IF(MATCH(B8345,$B$2:$B$12000,0)=ROW()-1,1,0))</f>
        <v/>
      </c>
    </row>
    <row r="8346" customFormat="false" ht="15" hidden="false" customHeight="false" outlineLevel="0" collapsed="false">
      <c r="V8346" s="23" t="str">
        <f aca="false">IF(ISNUMBER(C8346),YEAR(C8346),"")</f>
        <v/>
      </c>
      <c r="W8346" s="23" t="str">
        <f aca="false">IF(ISNUMBER(C8346),MONTH(C8346),"")</f>
        <v/>
      </c>
      <c r="X8346" s="23" t="str">
        <f aca="false">IF(T8346="","",IF(T8346=0,"No discount",IF(T8346&lt;=0.2,"Low (1-20%)",IF(T8346&lt;=0.4,"Medium (21-40%)","High (&gt;40%)"))))</f>
        <v/>
      </c>
      <c r="Y8346" s="23" t="str">
        <f aca="false">IF(AND(ISNUMBER(C8346),ISNUMBER(D8346)),D8346-C8346,"")</f>
        <v/>
      </c>
      <c r="Z8346" s="23" t="str">
        <f aca="false">IF(B8346="","",IF(MATCH(B8346,$B$2:$B$12000,0)=ROW()-1,1,0))</f>
        <v/>
      </c>
    </row>
    <row r="8347" customFormat="false" ht="15" hidden="false" customHeight="false" outlineLevel="0" collapsed="false">
      <c r="V8347" s="23" t="str">
        <f aca="false">IF(ISNUMBER(C8347),YEAR(C8347),"")</f>
        <v/>
      </c>
      <c r="W8347" s="23" t="str">
        <f aca="false">IF(ISNUMBER(C8347),MONTH(C8347),"")</f>
        <v/>
      </c>
      <c r="X8347" s="23" t="str">
        <f aca="false">IF(T8347="","",IF(T8347=0,"No discount",IF(T8347&lt;=0.2,"Low (1-20%)",IF(T8347&lt;=0.4,"Medium (21-40%)","High (&gt;40%)"))))</f>
        <v/>
      </c>
      <c r="Y8347" s="23" t="str">
        <f aca="false">IF(AND(ISNUMBER(C8347),ISNUMBER(D8347)),D8347-C8347,"")</f>
        <v/>
      </c>
      <c r="Z8347" s="23" t="str">
        <f aca="false">IF(B8347="","",IF(MATCH(B8347,$B$2:$B$12000,0)=ROW()-1,1,0))</f>
        <v/>
      </c>
    </row>
    <row r="8348" customFormat="false" ht="15" hidden="false" customHeight="false" outlineLevel="0" collapsed="false">
      <c r="V8348" s="23" t="str">
        <f aca="false">IF(ISNUMBER(C8348),YEAR(C8348),"")</f>
        <v/>
      </c>
      <c r="W8348" s="23" t="str">
        <f aca="false">IF(ISNUMBER(C8348),MONTH(C8348),"")</f>
        <v/>
      </c>
      <c r="X8348" s="23" t="str">
        <f aca="false">IF(T8348="","",IF(T8348=0,"No discount",IF(T8348&lt;=0.2,"Low (1-20%)",IF(T8348&lt;=0.4,"Medium (21-40%)","High (&gt;40%)"))))</f>
        <v/>
      </c>
      <c r="Y8348" s="23" t="str">
        <f aca="false">IF(AND(ISNUMBER(C8348),ISNUMBER(D8348)),D8348-C8348,"")</f>
        <v/>
      </c>
      <c r="Z8348" s="23" t="str">
        <f aca="false">IF(B8348="","",IF(MATCH(B8348,$B$2:$B$12000,0)=ROW()-1,1,0))</f>
        <v/>
      </c>
    </row>
    <row r="8349" customFormat="false" ht="15" hidden="false" customHeight="false" outlineLevel="0" collapsed="false">
      <c r="V8349" s="23" t="str">
        <f aca="false">IF(ISNUMBER(C8349),YEAR(C8349),"")</f>
        <v/>
      </c>
      <c r="W8349" s="23" t="str">
        <f aca="false">IF(ISNUMBER(C8349),MONTH(C8349),"")</f>
        <v/>
      </c>
      <c r="X8349" s="23" t="str">
        <f aca="false">IF(T8349="","",IF(T8349=0,"No discount",IF(T8349&lt;=0.2,"Low (1-20%)",IF(T8349&lt;=0.4,"Medium (21-40%)","High (&gt;40%)"))))</f>
        <v/>
      </c>
      <c r="Y8349" s="23" t="str">
        <f aca="false">IF(AND(ISNUMBER(C8349),ISNUMBER(D8349)),D8349-C8349,"")</f>
        <v/>
      </c>
      <c r="Z8349" s="23" t="str">
        <f aca="false">IF(B8349="","",IF(MATCH(B8349,$B$2:$B$12000,0)=ROW()-1,1,0))</f>
        <v/>
      </c>
    </row>
    <row r="8350" customFormat="false" ht="15" hidden="false" customHeight="false" outlineLevel="0" collapsed="false">
      <c r="V8350" s="23" t="str">
        <f aca="false">IF(ISNUMBER(C8350),YEAR(C8350),"")</f>
        <v/>
      </c>
      <c r="W8350" s="23" t="str">
        <f aca="false">IF(ISNUMBER(C8350),MONTH(C8350),"")</f>
        <v/>
      </c>
      <c r="X8350" s="23" t="str">
        <f aca="false">IF(T8350="","",IF(T8350=0,"No discount",IF(T8350&lt;=0.2,"Low (1-20%)",IF(T8350&lt;=0.4,"Medium (21-40%)","High (&gt;40%)"))))</f>
        <v/>
      </c>
      <c r="Y8350" s="23" t="str">
        <f aca="false">IF(AND(ISNUMBER(C8350),ISNUMBER(D8350)),D8350-C8350,"")</f>
        <v/>
      </c>
      <c r="Z8350" s="23" t="str">
        <f aca="false">IF(B8350="","",IF(MATCH(B8350,$B$2:$B$12000,0)=ROW()-1,1,0))</f>
        <v/>
      </c>
    </row>
    <row r="8351" customFormat="false" ht="15" hidden="false" customHeight="false" outlineLevel="0" collapsed="false">
      <c r="V8351" s="23" t="str">
        <f aca="false">IF(ISNUMBER(C8351),YEAR(C8351),"")</f>
        <v/>
      </c>
      <c r="W8351" s="23" t="str">
        <f aca="false">IF(ISNUMBER(C8351),MONTH(C8351),"")</f>
        <v/>
      </c>
      <c r="X8351" s="23" t="str">
        <f aca="false">IF(T8351="","",IF(T8351=0,"No discount",IF(T8351&lt;=0.2,"Low (1-20%)",IF(T8351&lt;=0.4,"Medium (21-40%)","High (&gt;40%)"))))</f>
        <v/>
      </c>
      <c r="Y8351" s="23" t="str">
        <f aca="false">IF(AND(ISNUMBER(C8351),ISNUMBER(D8351)),D8351-C8351,"")</f>
        <v/>
      </c>
      <c r="Z8351" s="23" t="str">
        <f aca="false">IF(B8351="","",IF(MATCH(B8351,$B$2:$B$12000,0)=ROW()-1,1,0))</f>
        <v/>
      </c>
    </row>
    <row r="8352" customFormat="false" ht="15" hidden="false" customHeight="false" outlineLevel="0" collapsed="false">
      <c r="V8352" s="23" t="str">
        <f aca="false">IF(ISNUMBER(C8352),YEAR(C8352),"")</f>
        <v/>
      </c>
      <c r="W8352" s="23" t="str">
        <f aca="false">IF(ISNUMBER(C8352),MONTH(C8352),"")</f>
        <v/>
      </c>
      <c r="X8352" s="23" t="str">
        <f aca="false">IF(T8352="","",IF(T8352=0,"No discount",IF(T8352&lt;=0.2,"Low (1-20%)",IF(T8352&lt;=0.4,"Medium (21-40%)","High (&gt;40%)"))))</f>
        <v/>
      </c>
      <c r="Y8352" s="23" t="str">
        <f aca="false">IF(AND(ISNUMBER(C8352),ISNUMBER(D8352)),D8352-C8352,"")</f>
        <v/>
      </c>
      <c r="Z8352" s="23" t="str">
        <f aca="false">IF(B8352="","",IF(MATCH(B8352,$B$2:$B$12000,0)=ROW()-1,1,0))</f>
        <v/>
      </c>
    </row>
    <row r="8353" customFormat="false" ht="15" hidden="false" customHeight="false" outlineLevel="0" collapsed="false">
      <c r="V8353" s="23" t="str">
        <f aca="false">IF(ISNUMBER(C8353),YEAR(C8353),"")</f>
        <v/>
      </c>
      <c r="W8353" s="23" t="str">
        <f aca="false">IF(ISNUMBER(C8353),MONTH(C8353),"")</f>
        <v/>
      </c>
      <c r="X8353" s="23" t="str">
        <f aca="false">IF(T8353="","",IF(T8353=0,"No discount",IF(T8353&lt;=0.2,"Low (1-20%)",IF(T8353&lt;=0.4,"Medium (21-40%)","High (&gt;40%)"))))</f>
        <v/>
      </c>
      <c r="Y8353" s="23" t="str">
        <f aca="false">IF(AND(ISNUMBER(C8353),ISNUMBER(D8353)),D8353-C8353,"")</f>
        <v/>
      </c>
      <c r="Z8353" s="23" t="str">
        <f aca="false">IF(B8353="","",IF(MATCH(B8353,$B$2:$B$12000,0)=ROW()-1,1,0))</f>
        <v/>
      </c>
    </row>
    <row r="8354" customFormat="false" ht="15" hidden="false" customHeight="false" outlineLevel="0" collapsed="false">
      <c r="V8354" s="23" t="str">
        <f aca="false">IF(ISNUMBER(C8354),YEAR(C8354),"")</f>
        <v/>
      </c>
      <c r="W8354" s="23" t="str">
        <f aca="false">IF(ISNUMBER(C8354),MONTH(C8354),"")</f>
        <v/>
      </c>
      <c r="X8354" s="23" t="str">
        <f aca="false">IF(T8354="","",IF(T8354=0,"No discount",IF(T8354&lt;=0.2,"Low (1-20%)",IF(T8354&lt;=0.4,"Medium (21-40%)","High (&gt;40%)"))))</f>
        <v/>
      </c>
      <c r="Y8354" s="23" t="str">
        <f aca="false">IF(AND(ISNUMBER(C8354),ISNUMBER(D8354)),D8354-C8354,"")</f>
        <v/>
      </c>
      <c r="Z8354" s="23" t="str">
        <f aca="false">IF(B8354="","",IF(MATCH(B8354,$B$2:$B$12000,0)=ROW()-1,1,0))</f>
        <v/>
      </c>
    </row>
    <row r="8355" customFormat="false" ht="15" hidden="false" customHeight="false" outlineLevel="0" collapsed="false">
      <c r="V8355" s="23" t="str">
        <f aca="false">IF(ISNUMBER(C8355),YEAR(C8355),"")</f>
        <v/>
      </c>
      <c r="W8355" s="23" t="str">
        <f aca="false">IF(ISNUMBER(C8355),MONTH(C8355),"")</f>
        <v/>
      </c>
      <c r="X8355" s="23" t="str">
        <f aca="false">IF(T8355="","",IF(T8355=0,"No discount",IF(T8355&lt;=0.2,"Low (1-20%)",IF(T8355&lt;=0.4,"Medium (21-40%)","High (&gt;40%)"))))</f>
        <v/>
      </c>
      <c r="Y8355" s="23" t="str">
        <f aca="false">IF(AND(ISNUMBER(C8355),ISNUMBER(D8355)),D8355-C8355,"")</f>
        <v/>
      </c>
      <c r="Z8355" s="23" t="str">
        <f aca="false">IF(B8355="","",IF(MATCH(B8355,$B$2:$B$12000,0)=ROW()-1,1,0))</f>
        <v/>
      </c>
    </row>
    <row r="8356" customFormat="false" ht="15" hidden="false" customHeight="false" outlineLevel="0" collapsed="false">
      <c r="V8356" s="23" t="str">
        <f aca="false">IF(ISNUMBER(C8356),YEAR(C8356),"")</f>
        <v/>
      </c>
      <c r="W8356" s="23" t="str">
        <f aca="false">IF(ISNUMBER(C8356),MONTH(C8356),"")</f>
        <v/>
      </c>
      <c r="X8356" s="23" t="str">
        <f aca="false">IF(T8356="","",IF(T8356=0,"No discount",IF(T8356&lt;=0.2,"Low (1-20%)",IF(T8356&lt;=0.4,"Medium (21-40%)","High (&gt;40%)"))))</f>
        <v/>
      </c>
      <c r="Y8356" s="23" t="str">
        <f aca="false">IF(AND(ISNUMBER(C8356),ISNUMBER(D8356)),D8356-C8356,"")</f>
        <v/>
      </c>
      <c r="Z8356" s="23" t="str">
        <f aca="false">IF(B8356="","",IF(MATCH(B8356,$B$2:$B$12000,0)=ROW()-1,1,0))</f>
        <v/>
      </c>
    </row>
    <row r="8357" customFormat="false" ht="15" hidden="false" customHeight="false" outlineLevel="0" collapsed="false">
      <c r="V8357" s="23" t="str">
        <f aca="false">IF(ISNUMBER(C8357),YEAR(C8357),"")</f>
        <v/>
      </c>
      <c r="W8357" s="23" t="str">
        <f aca="false">IF(ISNUMBER(C8357),MONTH(C8357),"")</f>
        <v/>
      </c>
      <c r="X8357" s="23" t="str">
        <f aca="false">IF(T8357="","",IF(T8357=0,"No discount",IF(T8357&lt;=0.2,"Low (1-20%)",IF(T8357&lt;=0.4,"Medium (21-40%)","High (&gt;40%)"))))</f>
        <v/>
      </c>
      <c r="Y8357" s="23" t="str">
        <f aca="false">IF(AND(ISNUMBER(C8357),ISNUMBER(D8357)),D8357-C8357,"")</f>
        <v/>
      </c>
      <c r="Z8357" s="23" t="str">
        <f aca="false">IF(B8357="","",IF(MATCH(B8357,$B$2:$B$12000,0)=ROW()-1,1,0))</f>
        <v/>
      </c>
    </row>
    <row r="8358" customFormat="false" ht="15" hidden="false" customHeight="false" outlineLevel="0" collapsed="false">
      <c r="V8358" s="23" t="str">
        <f aca="false">IF(ISNUMBER(C8358),YEAR(C8358),"")</f>
        <v/>
      </c>
      <c r="W8358" s="23" t="str">
        <f aca="false">IF(ISNUMBER(C8358),MONTH(C8358),"")</f>
        <v/>
      </c>
      <c r="X8358" s="23" t="str">
        <f aca="false">IF(T8358="","",IF(T8358=0,"No discount",IF(T8358&lt;=0.2,"Low (1-20%)",IF(T8358&lt;=0.4,"Medium (21-40%)","High (&gt;40%)"))))</f>
        <v/>
      </c>
      <c r="Y8358" s="23" t="str">
        <f aca="false">IF(AND(ISNUMBER(C8358),ISNUMBER(D8358)),D8358-C8358,"")</f>
        <v/>
      </c>
      <c r="Z8358" s="23" t="str">
        <f aca="false">IF(B8358="","",IF(MATCH(B8358,$B$2:$B$12000,0)=ROW()-1,1,0))</f>
        <v/>
      </c>
    </row>
    <row r="8359" customFormat="false" ht="15" hidden="false" customHeight="false" outlineLevel="0" collapsed="false">
      <c r="V8359" s="23" t="str">
        <f aca="false">IF(ISNUMBER(C8359),YEAR(C8359),"")</f>
        <v/>
      </c>
      <c r="W8359" s="23" t="str">
        <f aca="false">IF(ISNUMBER(C8359),MONTH(C8359),"")</f>
        <v/>
      </c>
      <c r="X8359" s="23" t="str">
        <f aca="false">IF(T8359="","",IF(T8359=0,"No discount",IF(T8359&lt;=0.2,"Low (1-20%)",IF(T8359&lt;=0.4,"Medium (21-40%)","High (&gt;40%)"))))</f>
        <v/>
      </c>
      <c r="Y8359" s="23" t="str">
        <f aca="false">IF(AND(ISNUMBER(C8359),ISNUMBER(D8359)),D8359-C8359,"")</f>
        <v/>
      </c>
      <c r="Z8359" s="23" t="str">
        <f aca="false">IF(B8359="","",IF(MATCH(B8359,$B$2:$B$12000,0)=ROW()-1,1,0))</f>
        <v/>
      </c>
    </row>
    <row r="8360" customFormat="false" ht="15" hidden="false" customHeight="false" outlineLevel="0" collapsed="false">
      <c r="V8360" s="23" t="str">
        <f aca="false">IF(ISNUMBER(C8360),YEAR(C8360),"")</f>
        <v/>
      </c>
      <c r="W8360" s="23" t="str">
        <f aca="false">IF(ISNUMBER(C8360),MONTH(C8360),"")</f>
        <v/>
      </c>
      <c r="X8360" s="23" t="str">
        <f aca="false">IF(T8360="","",IF(T8360=0,"No discount",IF(T8360&lt;=0.2,"Low (1-20%)",IF(T8360&lt;=0.4,"Medium (21-40%)","High (&gt;40%)"))))</f>
        <v/>
      </c>
      <c r="Y8360" s="23" t="str">
        <f aca="false">IF(AND(ISNUMBER(C8360),ISNUMBER(D8360)),D8360-C8360,"")</f>
        <v/>
      </c>
      <c r="Z8360" s="23" t="str">
        <f aca="false">IF(B8360="","",IF(MATCH(B8360,$B$2:$B$12000,0)=ROW()-1,1,0))</f>
        <v/>
      </c>
    </row>
    <row r="8361" customFormat="false" ht="15" hidden="false" customHeight="false" outlineLevel="0" collapsed="false">
      <c r="V8361" s="23" t="str">
        <f aca="false">IF(ISNUMBER(C8361),YEAR(C8361),"")</f>
        <v/>
      </c>
      <c r="W8361" s="23" t="str">
        <f aca="false">IF(ISNUMBER(C8361),MONTH(C8361),"")</f>
        <v/>
      </c>
      <c r="X8361" s="23" t="str">
        <f aca="false">IF(T8361="","",IF(T8361=0,"No discount",IF(T8361&lt;=0.2,"Low (1-20%)",IF(T8361&lt;=0.4,"Medium (21-40%)","High (&gt;40%)"))))</f>
        <v/>
      </c>
      <c r="Y8361" s="23" t="str">
        <f aca="false">IF(AND(ISNUMBER(C8361),ISNUMBER(D8361)),D8361-C8361,"")</f>
        <v/>
      </c>
      <c r="Z8361" s="23" t="str">
        <f aca="false">IF(B8361="","",IF(MATCH(B8361,$B$2:$B$12000,0)=ROW()-1,1,0))</f>
        <v/>
      </c>
    </row>
    <row r="8362" customFormat="false" ht="15" hidden="false" customHeight="false" outlineLevel="0" collapsed="false">
      <c r="V8362" s="23" t="str">
        <f aca="false">IF(ISNUMBER(C8362),YEAR(C8362),"")</f>
        <v/>
      </c>
      <c r="W8362" s="23" t="str">
        <f aca="false">IF(ISNUMBER(C8362),MONTH(C8362),"")</f>
        <v/>
      </c>
      <c r="X8362" s="23" t="str">
        <f aca="false">IF(T8362="","",IF(T8362=0,"No discount",IF(T8362&lt;=0.2,"Low (1-20%)",IF(T8362&lt;=0.4,"Medium (21-40%)","High (&gt;40%)"))))</f>
        <v/>
      </c>
      <c r="Y8362" s="23" t="str">
        <f aca="false">IF(AND(ISNUMBER(C8362),ISNUMBER(D8362)),D8362-C8362,"")</f>
        <v/>
      </c>
      <c r="Z8362" s="23" t="str">
        <f aca="false">IF(B8362="","",IF(MATCH(B8362,$B$2:$B$12000,0)=ROW()-1,1,0))</f>
        <v/>
      </c>
    </row>
    <row r="8363" customFormat="false" ht="15" hidden="false" customHeight="false" outlineLevel="0" collapsed="false">
      <c r="V8363" s="23" t="str">
        <f aca="false">IF(ISNUMBER(C8363),YEAR(C8363),"")</f>
        <v/>
      </c>
      <c r="W8363" s="23" t="str">
        <f aca="false">IF(ISNUMBER(C8363),MONTH(C8363),"")</f>
        <v/>
      </c>
      <c r="X8363" s="23" t="str">
        <f aca="false">IF(T8363="","",IF(T8363=0,"No discount",IF(T8363&lt;=0.2,"Low (1-20%)",IF(T8363&lt;=0.4,"Medium (21-40%)","High (&gt;40%)"))))</f>
        <v/>
      </c>
      <c r="Y8363" s="23" t="str">
        <f aca="false">IF(AND(ISNUMBER(C8363),ISNUMBER(D8363)),D8363-C8363,"")</f>
        <v/>
      </c>
      <c r="Z8363" s="23" t="str">
        <f aca="false">IF(B8363="","",IF(MATCH(B8363,$B$2:$B$12000,0)=ROW()-1,1,0))</f>
        <v/>
      </c>
    </row>
    <row r="8364" customFormat="false" ht="15" hidden="false" customHeight="false" outlineLevel="0" collapsed="false">
      <c r="V8364" s="23" t="str">
        <f aca="false">IF(ISNUMBER(C8364),YEAR(C8364),"")</f>
        <v/>
      </c>
      <c r="W8364" s="23" t="str">
        <f aca="false">IF(ISNUMBER(C8364),MONTH(C8364),"")</f>
        <v/>
      </c>
      <c r="X8364" s="23" t="str">
        <f aca="false">IF(T8364="","",IF(T8364=0,"No discount",IF(T8364&lt;=0.2,"Low (1-20%)",IF(T8364&lt;=0.4,"Medium (21-40%)","High (&gt;40%)"))))</f>
        <v/>
      </c>
      <c r="Y8364" s="23" t="str">
        <f aca="false">IF(AND(ISNUMBER(C8364),ISNUMBER(D8364)),D8364-C8364,"")</f>
        <v/>
      </c>
      <c r="Z8364" s="23" t="str">
        <f aca="false">IF(B8364="","",IF(MATCH(B8364,$B$2:$B$12000,0)=ROW()-1,1,0))</f>
        <v/>
      </c>
    </row>
    <row r="8365" customFormat="false" ht="15" hidden="false" customHeight="false" outlineLevel="0" collapsed="false">
      <c r="V8365" s="23" t="str">
        <f aca="false">IF(ISNUMBER(C8365),YEAR(C8365),"")</f>
        <v/>
      </c>
      <c r="W8365" s="23" t="str">
        <f aca="false">IF(ISNUMBER(C8365),MONTH(C8365),"")</f>
        <v/>
      </c>
      <c r="X8365" s="23" t="str">
        <f aca="false">IF(T8365="","",IF(T8365=0,"No discount",IF(T8365&lt;=0.2,"Low (1-20%)",IF(T8365&lt;=0.4,"Medium (21-40%)","High (&gt;40%)"))))</f>
        <v/>
      </c>
      <c r="Y8365" s="23" t="str">
        <f aca="false">IF(AND(ISNUMBER(C8365),ISNUMBER(D8365)),D8365-C8365,"")</f>
        <v/>
      </c>
      <c r="Z8365" s="23" t="str">
        <f aca="false">IF(B8365="","",IF(MATCH(B8365,$B$2:$B$12000,0)=ROW()-1,1,0))</f>
        <v/>
      </c>
    </row>
    <row r="8366" customFormat="false" ht="15" hidden="false" customHeight="false" outlineLevel="0" collapsed="false">
      <c r="V8366" s="23" t="str">
        <f aca="false">IF(ISNUMBER(C8366),YEAR(C8366),"")</f>
        <v/>
      </c>
      <c r="W8366" s="23" t="str">
        <f aca="false">IF(ISNUMBER(C8366),MONTH(C8366),"")</f>
        <v/>
      </c>
      <c r="X8366" s="23" t="str">
        <f aca="false">IF(T8366="","",IF(T8366=0,"No discount",IF(T8366&lt;=0.2,"Low (1-20%)",IF(T8366&lt;=0.4,"Medium (21-40%)","High (&gt;40%)"))))</f>
        <v/>
      </c>
      <c r="Y8366" s="23" t="str">
        <f aca="false">IF(AND(ISNUMBER(C8366),ISNUMBER(D8366)),D8366-C8366,"")</f>
        <v/>
      </c>
      <c r="Z8366" s="23" t="str">
        <f aca="false">IF(B8366="","",IF(MATCH(B8366,$B$2:$B$12000,0)=ROW()-1,1,0))</f>
        <v/>
      </c>
    </row>
    <row r="8367" customFormat="false" ht="15" hidden="false" customHeight="false" outlineLevel="0" collapsed="false">
      <c r="V8367" s="23" t="str">
        <f aca="false">IF(ISNUMBER(C8367),YEAR(C8367),"")</f>
        <v/>
      </c>
      <c r="W8367" s="23" t="str">
        <f aca="false">IF(ISNUMBER(C8367),MONTH(C8367),"")</f>
        <v/>
      </c>
      <c r="X8367" s="23" t="str">
        <f aca="false">IF(T8367="","",IF(T8367=0,"No discount",IF(T8367&lt;=0.2,"Low (1-20%)",IF(T8367&lt;=0.4,"Medium (21-40%)","High (&gt;40%)"))))</f>
        <v/>
      </c>
      <c r="Y8367" s="23" t="str">
        <f aca="false">IF(AND(ISNUMBER(C8367),ISNUMBER(D8367)),D8367-C8367,"")</f>
        <v/>
      </c>
      <c r="Z8367" s="23" t="str">
        <f aca="false">IF(B8367="","",IF(MATCH(B8367,$B$2:$B$12000,0)=ROW()-1,1,0))</f>
        <v/>
      </c>
    </row>
    <row r="8368" customFormat="false" ht="15" hidden="false" customHeight="false" outlineLevel="0" collapsed="false">
      <c r="V8368" s="23" t="str">
        <f aca="false">IF(ISNUMBER(C8368),YEAR(C8368),"")</f>
        <v/>
      </c>
      <c r="W8368" s="23" t="str">
        <f aca="false">IF(ISNUMBER(C8368),MONTH(C8368),"")</f>
        <v/>
      </c>
      <c r="X8368" s="23" t="str">
        <f aca="false">IF(T8368="","",IF(T8368=0,"No discount",IF(T8368&lt;=0.2,"Low (1-20%)",IF(T8368&lt;=0.4,"Medium (21-40%)","High (&gt;40%)"))))</f>
        <v/>
      </c>
      <c r="Y8368" s="23" t="str">
        <f aca="false">IF(AND(ISNUMBER(C8368),ISNUMBER(D8368)),D8368-C8368,"")</f>
        <v/>
      </c>
      <c r="Z8368" s="23" t="str">
        <f aca="false">IF(B8368="","",IF(MATCH(B8368,$B$2:$B$12000,0)=ROW()-1,1,0))</f>
        <v/>
      </c>
    </row>
    <row r="8369" customFormat="false" ht="15" hidden="false" customHeight="false" outlineLevel="0" collapsed="false">
      <c r="V8369" s="23" t="str">
        <f aca="false">IF(ISNUMBER(C8369),YEAR(C8369),"")</f>
        <v/>
      </c>
      <c r="W8369" s="23" t="str">
        <f aca="false">IF(ISNUMBER(C8369),MONTH(C8369),"")</f>
        <v/>
      </c>
      <c r="X8369" s="23" t="str">
        <f aca="false">IF(T8369="","",IF(T8369=0,"No discount",IF(T8369&lt;=0.2,"Low (1-20%)",IF(T8369&lt;=0.4,"Medium (21-40%)","High (&gt;40%)"))))</f>
        <v/>
      </c>
      <c r="Y8369" s="23" t="str">
        <f aca="false">IF(AND(ISNUMBER(C8369),ISNUMBER(D8369)),D8369-C8369,"")</f>
        <v/>
      </c>
      <c r="Z8369" s="23" t="str">
        <f aca="false">IF(B8369="","",IF(MATCH(B8369,$B$2:$B$12000,0)=ROW()-1,1,0))</f>
        <v/>
      </c>
    </row>
    <row r="8370" customFormat="false" ht="15" hidden="false" customHeight="false" outlineLevel="0" collapsed="false">
      <c r="V8370" s="23" t="str">
        <f aca="false">IF(ISNUMBER(C8370),YEAR(C8370),"")</f>
        <v/>
      </c>
      <c r="W8370" s="23" t="str">
        <f aca="false">IF(ISNUMBER(C8370),MONTH(C8370),"")</f>
        <v/>
      </c>
      <c r="X8370" s="23" t="str">
        <f aca="false">IF(T8370="","",IF(T8370=0,"No discount",IF(T8370&lt;=0.2,"Low (1-20%)",IF(T8370&lt;=0.4,"Medium (21-40%)","High (&gt;40%)"))))</f>
        <v/>
      </c>
      <c r="Y8370" s="23" t="str">
        <f aca="false">IF(AND(ISNUMBER(C8370),ISNUMBER(D8370)),D8370-C8370,"")</f>
        <v/>
      </c>
      <c r="Z8370" s="23" t="str">
        <f aca="false">IF(B8370="","",IF(MATCH(B8370,$B$2:$B$12000,0)=ROW()-1,1,0))</f>
        <v/>
      </c>
    </row>
    <row r="8371" customFormat="false" ht="15" hidden="false" customHeight="false" outlineLevel="0" collapsed="false">
      <c r="V8371" s="23" t="str">
        <f aca="false">IF(ISNUMBER(C8371),YEAR(C8371),"")</f>
        <v/>
      </c>
      <c r="W8371" s="23" t="str">
        <f aca="false">IF(ISNUMBER(C8371),MONTH(C8371),"")</f>
        <v/>
      </c>
      <c r="X8371" s="23" t="str">
        <f aca="false">IF(T8371="","",IF(T8371=0,"No discount",IF(T8371&lt;=0.2,"Low (1-20%)",IF(T8371&lt;=0.4,"Medium (21-40%)","High (&gt;40%)"))))</f>
        <v/>
      </c>
      <c r="Y8371" s="23" t="str">
        <f aca="false">IF(AND(ISNUMBER(C8371),ISNUMBER(D8371)),D8371-C8371,"")</f>
        <v/>
      </c>
      <c r="Z8371" s="23" t="str">
        <f aca="false">IF(B8371="","",IF(MATCH(B8371,$B$2:$B$12000,0)=ROW()-1,1,0))</f>
        <v/>
      </c>
    </row>
    <row r="8372" customFormat="false" ht="15" hidden="false" customHeight="false" outlineLevel="0" collapsed="false">
      <c r="V8372" s="23" t="str">
        <f aca="false">IF(ISNUMBER(C8372),YEAR(C8372),"")</f>
        <v/>
      </c>
      <c r="W8372" s="23" t="str">
        <f aca="false">IF(ISNUMBER(C8372),MONTH(C8372),"")</f>
        <v/>
      </c>
      <c r="X8372" s="23" t="str">
        <f aca="false">IF(T8372="","",IF(T8372=0,"No discount",IF(T8372&lt;=0.2,"Low (1-20%)",IF(T8372&lt;=0.4,"Medium (21-40%)","High (&gt;40%)"))))</f>
        <v/>
      </c>
      <c r="Y8372" s="23" t="str">
        <f aca="false">IF(AND(ISNUMBER(C8372),ISNUMBER(D8372)),D8372-C8372,"")</f>
        <v/>
      </c>
      <c r="Z8372" s="23" t="str">
        <f aca="false">IF(B8372="","",IF(MATCH(B8372,$B$2:$B$12000,0)=ROW()-1,1,0))</f>
        <v/>
      </c>
    </row>
    <row r="8373" customFormat="false" ht="15" hidden="false" customHeight="false" outlineLevel="0" collapsed="false">
      <c r="V8373" s="23" t="str">
        <f aca="false">IF(ISNUMBER(C8373),YEAR(C8373),"")</f>
        <v/>
      </c>
      <c r="W8373" s="23" t="str">
        <f aca="false">IF(ISNUMBER(C8373),MONTH(C8373),"")</f>
        <v/>
      </c>
      <c r="X8373" s="23" t="str">
        <f aca="false">IF(T8373="","",IF(T8373=0,"No discount",IF(T8373&lt;=0.2,"Low (1-20%)",IF(T8373&lt;=0.4,"Medium (21-40%)","High (&gt;40%)"))))</f>
        <v/>
      </c>
      <c r="Y8373" s="23" t="str">
        <f aca="false">IF(AND(ISNUMBER(C8373),ISNUMBER(D8373)),D8373-C8373,"")</f>
        <v/>
      </c>
      <c r="Z8373" s="23" t="str">
        <f aca="false">IF(B8373="","",IF(MATCH(B8373,$B$2:$B$12000,0)=ROW()-1,1,0))</f>
        <v/>
      </c>
    </row>
    <row r="8374" customFormat="false" ht="15" hidden="false" customHeight="false" outlineLevel="0" collapsed="false">
      <c r="V8374" s="23" t="str">
        <f aca="false">IF(ISNUMBER(C8374),YEAR(C8374),"")</f>
        <v/>
      </c>
      <c r="W8374" s="23" t="str">
        <f aca="false">IF(ISNUMBER(C8374),MONTH(C8374),"")</f>
        <v/>
      </c>
      <c r="X8374" s="23" t="str">
        <f aca="false">IF(T8374="","",IF(T8374=0,"No discount",IF(T8374&lt;=0.2,"Low (1-20%)",IF(T8374&lt;=0.4,"Medium (21-40%)","High (&gt;40%)"))))</f>
        <v/>
      </c>
      <c r="Y8374" s="23" t="str">
        <f aca="false">IF(AND(ISNUMBER(C8374),ISNUMBER(D8374)),D8374-C8374,"")</f>
        <v/>
      </c>
      <c r="Z8374" s="23" t="str">
        <f aca="false">IF(B8374="","",IF(MATCH(B8374,$B$2:$B$12000,0)=ROW()-1,1,0))</f>
        <v/>
      </c>
    </row>
    <row r="8375" customFormat="false" ht="15" hidden="false" customHeight="false" outlineLevel="0" collapsed="false">
      <c r="V8375" s="23" t="str">
        <f aca="false">IF(ISNUMBER(C8375),YEAR(C8375),"")</f>
        <v/>
      </c>
      <c r="W8375" s="23" t="str">
        <f aca="false">IF(ISNUMBER(C8375),MONTH(C8375),"")</f>
        <v/>
      </c>
      <c r="X8375" s="23" t="str">
        <f aca="false">IF(T8375="","",IF(T8375=0,"No discount",IF(T8375&lt;=0.2,"Low (1-20%)",IF(T8375&lt;=0.4,"Medium (21-40%)","High (&gt;40%)"))))</f>
        <v/>
      </c>
      <c r="Y8375" s="23" t="str">
        <f aca="false">IF(AND(ISNUMBER(C8375),ISNUMBER(D8375)),D8375-C8375,"")</f>
        <v/>
      </c>
      <c r="Z8375" s="23" t="str">
        <f aca="false">IF(B8375="","",IF(MATCH(B8375,$B$2:$B$12000,0)=ROW()-1,1,0))</f>
        <v/>
      </c>
    </row>
    <row r="8376" customFormat="false" ht="15" hidden="false" customHeight="false" outlineLevel="0" collapsed="false">
      <c r="V8376" s="23" t="str">
        <f aca="false">IF(ISNUMBER(C8376),YEAR(C8376),"")</f>
        <v/>
      </c>
      <c r="W8376" s="23" t="str">
        <f aca="false">IF(ISNUMBER(C8376),MONTH(C8376),"")</f>
        <v/>
      </c>
      <c r="X8376" s="23" t="str">
        <f aca="false">IF(T8376="","",IF(T8376=0,"No discount",IF(T8376&lt;=0.2,"Low (1-20%)",IF(T8376&lt;=0.4,"Medium (21-40%)","High (&gt;40%)"))))</f>
        <v/>
      </c>
      <c r="Y8376" s="23" t="str">
        <f aca="false">IF(AND(ISNUMBER(C8376),ISNUMBER(D8376)),D8376-C8376,"")</f>
        <v/>
      </c>
      <c r="Z8376" s="23" t="str">
        <f aca="false">IF(B8376="","",IF(MATCH(B8376,$B$2:$B$12000,0)=ROW()-1,1,0))</f>
        <v/>
      </c>
    </row>
    <row r="8377" customFormat="false" ht="15" hidden="false" customHeight="false" outlineLevel="0" collapsed="false">
      <c r="V8377" s="23" t="str">
        <f aca="false">IF(ISNUMBER(C8377),YEAR(C8377),"")</f>
        <v/>
      </c>
      <c r="W8377" s="23" t="str">
        <f aca="false">IF(ISNUMBER(C8377),MONTH(C8377),"")</f>
        <v/>
      </c>
      <c r="X8377" s="23" t="str">
        <f aca="false">IF(T8377="","",IF(T8377=0,"No discount",IF(T8377&lt;=0.2,"Low (1-20%)",IF(T8377&lt;=0.4,"Medium (21-40%)","High (&gt;40%)"))))</f>
        <v/>
      </c>
      <c r="Y8377" s="23" t="str">
        <f aca="false">IF(AND(ISNUMBER(C8377),ISNUMBER(D8377)),D8377-C8377,"")</f>
        <v/>
      </c>
      <c r="Z8377" s="23" t="str">
        <f aca="false">IF(B8377="","",IF(MATCH(B8377,$B$2:$B$12000,0)=ROW()-1,1,0))</f>
        <v/>
      </c>
    </row>
    <row r="8378" customFormat="false" ht="15" hidden="false" customHeight="false" outlineLevel="0" collapsed="false">
      <c r="V8378" s="23" t="str">
        <f aca="false">IF(ISNUMBER(C8378),YEAR(C8378),"")</f>
        <v/>
      </c>
      <c r="W8378" s="23" t="str">
        <f aca="false">IF(ISNUMBER(C8378),MONTH(C8378),"")</f>
        <v/>
      </c>
      <c r="X8378" s="23" t="str">
        <f aca="false">IF(T8378="","",IF(T8378=0,"No discount",IF(T8378&lt;=0.2,"Low (1-20%)",IF(T8378&lt;=0.4,"Medium (21-40%)","High (&gt;40%)"))))</f>
        <v/>
      </c>
      <c r="Y8378" s="23" t="str">
        <f aca="false">IF(AND(ISNUMBER(C8378),ISNUMBER(D8378)),D8378-C8378,"")</f>
        <v/>
      </c>
      <c r="Z8378" s="23" t="str">
        <f aca="false">IF(B8378="","",IF(MATCH(B8378,$B$2:$B$12000,0)=ROW()-1,1,0))</f>
        <v/>
      </c>
    </row>
    <row r="8379" customFormat="false" ht="15" hidden="false" customHeight="false" outlineLevel="0" collapsed="false">
      <c r="V8379" s="23" t="str">
        <f aca="false">IF(ISNUMBER(C8379),YEAR(C8379),"")</f>
        <v/>
      </c>
      <c r="W8379" s="23" t="str">
        <f aca="false">IF(ISNUMBER(C8379),MONTH(C8379),"")</f>
        <v/>
      </c>
      <c r="X8379" s="23" t="str">
        <f aca="false">IF(T8379="","",IF(T8379=0,"No discount",IF(T8379&lt;=0.2,"Low (1-20%)",IF(T8379&lt;=0.4,"Medium (21-40%)","High (&gt;40%)"))))</f>
        <v/>
      </c>
      <c r="Y8379" s="23" t="str">
        <f aca="false">IF(AND(ISNUMBER(C8379),ISNUMBER(D8379)),D8379-C8379,"")</f>
        <v/>
      </c>
      <c r="Z8379" s="23" t="str">
        <f aca="false">IF(B8379="","",IF(MATCH(B8379,$B$2:$B$12000,0)=ROW()-1,1,0))</f>
        <v/>
      </c>
    </row>
    <row r="8380" customFormat="false" ht="15" hidden="false" customHeight="false" outlineLevel="0" collapsed="false">
      <c r="V8380" s="23" t="str">
        <f aca="false">IF(ISNUMBER(C8380),YEAR(C8380),"")</f>
        <v/>
      </c>
      <c r="W8380" s="23" t="str">
        <f aca="false">IF(ISNUMBER(C8380),MONTH(C8380),"")</f>
        <v/>
      </c>
      <c r="X8380" s="23" t="str">
        <f aca="false">IF(T8380="","",IF(T8380=0,"No discount",IF(T8380&lt;=0.2,"Low (1-20%)",IF(T8380&lt;=0.4,"Medium (21-40%)","High (&gt;40%)"))))</f>
        <v/>
      </c>
      <c r="Y8380" s="23" t="str">
        <f aca="false">IF(AND(ISNUMBER(C8380),ISNUMBER(D8380)),D8380-C8380,"")</f>
        <v/>
      </c>
      <c r="Z8380" s="23" t="str">
        <f aca="false">IF(B8380="","",IF(MATCH(B8380,$B$2:$B$12000,0)=ROW()-1,1,0))</f>
        <v/>
      </c>
    </row>
    <row r="8381" customFormat="false" ht="15" hidden="false" customHeight="false" outlineLevel="0" collapsed="false">
      <c r="V8381" s="23" t="str">
        <f aca="false">IF(ISNUMBER(C8381),YEAR(C8381),"")</f>
        <v/>
      </c>
      <c r="W8381" s="23" t="str">
        <f aca="false">IF(ISNUMBER(C8381),MONTH(C8381),"")</f>
        <v/>
      </c>
      <c r="X8381" s="23" t="str">
        <f aca="false">IF(T8381="","",IF(T8381=0,"No discount",IF(T8381&lt;=0.2,"Low (1-20%)",IF(T8381&lt;=0.4,"Medium (21-40%)","High (&gt;40%)"))))</f>
        <v/>
      </c>
      <c r="Y8381" s="23" t="str">
        <f aca="false">IF(AND(ISNUMBER(C8381),ISNUMBER(D8381)),D8381-C8381,"")</f>
        <v/>
      </c>
      <c r="Z8381" s="23" t="str">
        <f aca="false">IF(B8381="","",IF(MATCH(B8381,$B$2:$B$12000,0)=ROW()-1,1,0))</f>
        <v/>
      </c>
    </row>
    <row r="8382" customFormat="false" ht="15" hidden="false" customHeight="false" outlineLevel="0" collapsed="false">
      <c r="V8382" s="23" t="str">
        <f aca="false">IF(ISNUMBER(C8382),YEAR(C8382),"")</f>
        <v/>
      </c>
      <c r="W8382" s="23" t="str">
        <f aca="false">IF(ISNUMBER(C8382),MONTH(C8382),"")</f>
        <v/>
      </c>
      <c r="X8382" s="23" t="str">
        <f aca="false">IF(T8382="","",IF(T8382=0,"No discount",IF(T8382&lt;=0.2,"Low (1-20%)",IF(T8382&lt;=0.4,"Medium (21-40%)","High (&gt;40%)"))))</f>
        <v/>
      </c>
      <c r="Y8382" s="23" t="str">
        <f aca="false">IF(AND(ISNUMBER(C8382),ISNUMBER(D8382)),D8382-C8382,"")</f>
        <v/>
      </c>
      <c r="Z8382" s="23" t="str">
        <f aca="false">IF(B8382="","",IF(MATCH(B8382,$B$2:$B$12000,0)=ROW()-1,1,0))</f>
        <v/>
      </c>
    </row>
    <row r="8383" customFormat="false" ht="15" hidden="false" customHeight="false" outlineLevel="0" collapsed="false">
      <c r="V8383" s="23" t="str">
        <f aca="false">IF(ISNUMBER(C8383),YEAR(C8383),"")</f>
        <v/>
      </c>
      <c r="W8383" s="23" t="str">
        <f aca="false">IF(ISNUMBER(C8383),MONTH(C8383),"")</f>
        <v/>
      </c>
      <c r="X8383" s="23" t="str">
        <f aca="false">IF(T8383="","",IF(T8383=0,"No discount",IF(T8383&lt;=0.2,"Low (1-20%)",IF(T8383&lt;=0.4,"Medium (21-40%)","High (&gt;40%)"))))</f>
        <v/>
      </c>
      <c r="Y8383" s="23" t="str">
        <f aca="false">IF(AND(ISNUMBER(C8383),ISNUMBER(D8383)),D8383-C8383,"")</f>
        <v/>
      </c>
      <c r="Z8383" s="23" t="str">
        <f aca="false">IF(B8383="","",IF(MATCH(B8383,$B$2:$B$12000,0)=ROW()-1,1,0))</f>
        <v/>
      </c>
    </row>
    <row r="8384" customFormat="false" ht="15" hidden="false" customHeight="false" outlineLevel="0" collapsed="false">
      <c r="V8384" s="23" t="str">
        <f aca="false">IF(ISNUMBER(C8384),YEAR(C8384),"")</f>
        <v/>
      </c>
      <c r="W8384" s="23" t="str">
        <f aca="false">IF(ISNUMBER(C8384),MONTH(C8384),"")</f>
        <v/>
      </c>
      <c r="X8384" s="23" t="str">
        <f aca="false">IF(T8384="","",IF(T8384=0,"No discount",IF(T8384&lt;=0.2,"Low (1-20%)",IF(T8384&lt;=0.4,"Medium (21-40%)","High (&gt;40%)"))))</f>
        <v/>
      </c>
      <c r="Y8384" s="23" t="str">
        <f aca="false">IF(AND(ISNUMBER(C8384),ISNUMBER(D8384)),D8384-C8384,"")</f>
        <v/>
      </c>
      <c r="Z8384" s="23" t="str">
        <f aca="false">IF(B8384="","",IF(MATCH(B8384,$B$2:$B$12000,0)=ROW()-1,1,0))</f>
        <v/>
      </c>
    </row>
    <row r="8385" customFormat="false" ht="15" hidden="false" customHeight="false" outlineLevel="0" collapsed="false">
      <c r="V8385" s="23" t="str">
        <f aca="false">IF(ISNUMBER(C8385),YEAR(C8385),"")</f>
        <v/>
      </c>
      <c r="W8385" s="23" t="str">
        <f aca="false">IF(ISNUMBER(C8385),MONTH(C8385),"")</f>
        <v/>
      </c>
      <c r="X8385" s="23" t="str">
        <f aca="false">IF(T8385="","",IF(T8385=0,"No discount",IF(T8385&lt;=0.2,"Low (1-20%)",IF(T8385&lt;=0.4,"Medium (21-40%)","High (&gt;40%)"))))</f>
        <v/>
      </c>
      <c r="Y8385" s="23" t="str">
        <f aca="false">IF(AND(ISNUMBER(C8385),ISNUMBER(D8385)),D8385-C8385,"")</f>
        <v/>
      </c>
      <c r="Z8385" s="23" t="str">
        <f aca="false">IF(B8385="","",IF(MATCH(B8385,$B$2:$B$12000,0)=ROW()-1,1,0))</f>
        <v/>
      </c>
    </row>
    <row r="8386" customFormat="false" ht="15" hidden="false" customHeight="false" outlineLevel="0" collapsed="false">
      <c r="V8386" s="23" t="str">
        <f aca="false">IF(ISNUMBER(C8386),YEAR(C8386),"")</f>
        <v/>
      </c>
      <c r="W8386" s="23" t="str">
        <f aca="false">IF(ISNUMBER(C8386),MONTH(C8386),"")</f>
        <v/>
      </c>
      <c r="X8386" s="23" t="str">
        <f aca="false">IF(T8386="","",IF(T8386=0,"No discount",IF(T8386&lt;=0.2,"Low (1-20%)",IF(T8386&lt;=0.4,"Medium (21-40%)","High (&gt;40%)"))))</f>
        <v/>
      </c>
      <c r="Y8386" s="23" t="str">
        <f aca="false">IF(AND(ISNUMBER(C8386),ISNUMBER(D8386)),D8386-C8386,"")</f>
        <v/>
      </c>
      <c r="Z8386" s="23" t="str">
        <f aca="false">IF(B8386="","",IF(MATCH(B8386,$B$2:$B$12000,0)=ROW()-1,1,0))</f>
        <v/>
      </c>
    </row>
    <row r="8387" customFormat="false" ht="15" hidden="false" customHeight="false" outlineLevel="0" collapsed="false">
      <c r="V8387" s="23" t="str">
        <f aca="false">IF(ISNUMBER(C8387),YEAR(C8387),"")</f>
        <v/>
      </c>
      <c r="W8387" s="23" t="str">
        <f aca="false">IF(ISNUMBER(C8387),MONTH(C8387),"")</f>
        <v/>
      </c>
      <c r="X8387" s="23" t="str">
        <f aca="false">IF(T8387="","",IF(T8387=0,"No discount",IF(T8387&lt;=0.2,"Low (1-20%)",IF(T8387&lt;=0.4,"Medium (21-40%)","High (&gt;40%)"))))</f>
        <v/>
      </c>
      <c r="Y8387" s="23" t="str">
        <f aca="false">IF(AND(ISNUMBER(C8387),ISNUMBER(D8387)),D8387-C8387,"")</f>
        <v/>
      </c>
      <c r="Z8387" s="23" t="str">
        <f aca="false">IF(B8387="","",IF(MATCH(B8387,$B$2:$B$12000,0)=ROW()-1,1,0))</f>
        <v/>
      </c>
    </row>
    <row r="8388" customFormat="false" ht="15" hidden="false" customHeight="false" outlineLevel="0" collapsed="false">
      <c r="V8388" s="23" t="str">
        <f aca="false">IF(ISNUMBER(C8388),YEAR(C8388),"")</f>
        <v/>
      </c>
      <c r="W8388" s="23" t="str">
        <f aca="false">IF(ISNUMBER(C8388),MONTH(C8388),"")</f>
        <v/>
      </c>
      <c r="X8388" s="23" t="str">
        <f aca="false">IF(T8388="","",IF(T8388=0,"No discount",IF(T8388&lt;=0.2,"Low (1-20%)",IF(T8388&lt;=0.4,"Medium (21-40%)","High (&gt;40%)"))))</f>
        <v/>
      </c>
      <c r="Y8388" s="23" t="str">
        <f aca="false">IF(AND(ISNUMBER(C8388),ISNUMBER(D8388)),D8388-C8388,"")</f>
        <v/>
      </c>
      <c r="Z8388" s="23" t="str">
        <f aca="false">IF(B8388="","",IF(MATCH(B8388,$B$2:$B$12000,0)=ROW()-1,1,0))</f>
        <v/>
      </c>
    </row>
    <row r="8389" customFormat="false" ht="15" hidden="false" customHeight="false" outlineLevel="0" collapsed="false">
      <c r="V8389" s="23" t="str">
        <f aca="false">IF(ISNUMBER(C8389),YEAR(C8389),"")</f>
        <v/>
      </c>
      <c r="W8389" s="23" t="str">
        <f aca="false">IF(ISNUMBER(C8389),MONTH(C8389),"")</f>
        <v/>
      </c>
      <c r="X8389" s="23" t="str">
        <f aca="false">IF(T8389="","",IF(T8389=0,"No discount",IF(T8389&lt;=0.2,"Low (1-20%)",IF(T8389&lt;=0.4,"Medium (21-40%)","High (&gt;40%)"))))</f>
        <v/>
      </c>
      <c r="Y8389" s="23" t="str">
        <f aca="false">IF(AND(ISNUMBER(C8389),ISNUMBER(D8389)),D8389-C8389,"")</f>
        <v/>
      </c>
      <c r="Z8389" s="23" t="str">
        <f aca="false">IF(B8389="","",IF(MATCH(B8389,$B$2:$B$12000,0)=ROW()-1,1,0))</f>
        <v/>
      </c>
    </row>
    <row r="8390" customFormat="false" ht="15" hidden="false" customHeight="false" outlineLevel="0" collapsed="false">
      <c r="V8390" s="23" t="str">
        <f aca="false">IF(ISNUMBER(C8390),YEAR(C8390),"")</f>
        <v/>
      </c>
      <c r="W8390" s="23" t="str">
        <f aca="false">IF(ISNUMBER(C8390),MONTH(C8390),"")</f>
        <v/>
      </c>
      <c r="X8390" s="23" t="str">
        <f aca="false">IF(T8390="","",IF(T8390=0,"No discount",IF(T8390&lt;=0.2,"Low (1-20%)",IF(T8390&lt;=0.4,"Medium (21-40%)","High (&gt;40%)"))))</f>
        <v/>
      </c>
      <c r="Y8390" s="23" t="str">
        <f aca="false">IF(AND(ISNUMBER(C8390),ISNUMBER(D8390)),D8390-C8390,"")</f>
        <v/>
      </c>
      <c r="Z8390" s="23" t="str">
        <f aca="false">IF(B8390="","",IF(MATCH(B8390,$B$2:$B$12000,0)=ROW()-1,1,0))</f>
        <v/>
      </c>
    </row>
    <row r="8391" customFormat="false" ht="15" hidden="false" customHeight="false" outlineLevel="0" collapsed="false">
      <c r="V8391" s="23" t="str">
        <f aca="false">IF(ISNUMBER(C8391),YEAR(C8391),"")</f>
        <v/>
      </c>
      <c r="W8391" s="23" t="str">
        <f aca="false">IF(ISNUMBER(C8391),MONTH(C8391),"")</f>
        <v/>
      </c>
      <c r="X8391" s="23" t="str">
        <f aca="false">IF(T8391="","",IF(T8391=0,"No discount",IF(T8391&lt;=0.2,"Low (1-20%)",IF(T8391&lt;=0.4,"Medium (21-40%)","High (&gt;40%)"))))</f>
        <v/>
      </c>
      <c r="Y8391" s="23" t="str">
        <f aca="false">IF(AND(ISNUMBER(C8391),ISNUMBER(D8391)),D8391-C8391,"")</f>
        <v/>
      </c>
      <c r="Z8391" s="23" t="str">
        <f aca="false">IF(B8391="","",IF(MATCH(B8391,$B$2:$B$12000,0)=ROW()-1,1,0))</f>
        <v/>
      </c>
    </row>
    <row r="8392" customFormat="false" ht="15" hidden="false" customHeight="false" outlineLevel="0" collapsed="false">
      <c r="V8392" s="23" t="str">
        <f aca="false">IF(ISNUMBER(C8392),YEAR(C8392),"")</f>
        <v/>
      </c>
      <c r="W8392" s="23" t="str">
        <f aca="false">IF(ISNUMBER(C8392),MONTH(C8392),"")</f>
        <v/>
      </c>
      <c r="X8392" s="23" t="str">
        <f aca="false">IF(T8392="","",IF(T8392=0,"No discount",IF(T8392&lt;=0.2,"Low (1-20%)",IF(T8392&lt;=0.4,"Medium (21-40%)","High (&gt;40%)"))))</f>
        <v/>
      </c>
      <c r="Y8392" s="23" t="str">
        <f aca="false">IF(AND(ISNUMBER(C8392),ISNUMBER(D8392)),D8392-C8392,"")</f>
        <v/>
      </c>
      <c r="Z8392" s="23" t="str">
        <f aca="false">IF(B8392="","",IF(MATCH(B8392,$B$2:$B$12000,0)=ROW()-1,1,0))</f>
        <v/>
      </c>
    </row>
    <row r="8393" customFormat="false" ht="15" hidden="false" customHeight="false" outlineLevel="0" collapsed="false">
      <c r="V8393" s="23" t="str">
        <f aca="false">IF(ISNUMBER(C8393),YEAR(C8393),"")</f>
        <v/>
      </c>
      <c r="W8393" s="23" t="str">
        <f aca="false">IF(ISNUMBER(C8393),MONTH(C8393),"")</f>
        <v/>
      </c>
      <c r="X8393" s="23" t="str">
        <f aca="false">IF(T8393="","",IF(T8393=0,"No discount",IF(T8393&lt;=0.2,"Low (1-20%)",IF(T8393&lt;=0.4,"Medium (21-40%)","High (&gt;40%)"))))</f>
        <v/>
      </c>
      <c r="Y8393" s="23" t="str">
        <f aca="false">IF(AND(ISNUMBER(C8393),ISNUMBER(D8393)),D8393-C8393,"")</f>
        <v/>
      </c>
      <c r="Z8393" s="23" t="str">
        <f aca="false">IF(B8393="","",IF(MATCH(B8393,$B$2:$B$12000,0)=ROW()-1,1,0))</f>
        <v/>
      </c>
    </row>
    <row r="8394" customFormat="false" ht="15" hidden="false" customHeight="false" outlineLevel="0" collapsed="false">
      <c r="V8394" s="23" t="str">
        <f aca="false">IF(ISNUMBER(C8394),YEAR(C8394),"")</f>
        <v/>
      </c>
      <c r="W8394" s="23" t="str">
        <f aca="false">IF(ISNUMBER(C8394),MONTH(C8394),"")</f>
        <v/>
      </c>
      <c r="X8394" s="23" t="str">
        <f aca="false">IF(T8394="","",IF(T8394=0,"No discount",IF(T8394&lt;=0.2,"Low (1-20%)",IF(T8394&lt;=0.4,"Medium (21-40%)","High (&gt;40%)"))))</f>
        <v/>
      </c>
      <c r="Y8394" s="23" t="str">
        <f aca="false">IF(AND(ISNUMBER(C8394),ISNUMBER(D8394)),D8394-C8394,"")</f>
        <v/>
      </c>
      <c r="Z8394" s="23" t="str">
        <f aca="false">IF(B8394="","",IF(MATCH(B8394,$B$2:$B$12000,0)=ROW()-1,1,0))</f>
        <v/>
      </c>
    </row>
    <row r="8395" customFormat="false" ht="15" hidden="false" customHeight="false" outlineLevel="0" collapsed="false">
      <c r="V8395" s="23" t="str">
        <f aca="false">IF(ISNUMBER(C8395),YEAR(C8395),"")</f>
        <v/>
      </c>
      <c r="W8395" s="23" t="str">
        <f aca="false">IF(ISNUMBER(C8395),MONTH(C8395),"")</f>
        <v/>
      </c>
      <c r="X8395" s="23" t="str">
        <f aca="false">IF(T8395="","",IF(T8395=0,"No discount",IF(T8395&lt;=0.2,"Low (1-20%)",IF(T8395&lt;=0.4,"Medium (21-40%)","High (&gt;40%)"))))</f>
        <v/>
      </c>
      <c r="Y8395" s="23" t="str">
        <f aca="false">IF(AND(ISNUMBER(C8395),ISNUMBER(D8395)),D8395-C8395,"")</f>
        <v/>
      </c>
      <c r="Z8395" s="23" t="str">
        <f aca="false">IF(B8395="","",IF(MATCH(B8395,$B$2:$B$12000,0)=ROW()-1,1,0))</f>
        <v/>
      </c>
    </row>
    <row r="8396" customFormat="false" ht="15" hidden="false" customHeight="false" outlineLevel="0" collapsed="false">
      <c r="V8396" s="23" t="str">
        <f aca="false">IF(ISNUMBER(C8396),YEAR(C8396),"")</f>
        <v/>
      </c>
      <c r="W8396" s="23" t="str">
        <f aca="false">IF(ISNUMBER(C8396),MONTH(C8396),"")</f>
        <v/>
      </c>
      <c r="X8396" s="23" t="str">
        <f aca="false">IF(T8396="","",IF(T8396=0,"No discount",IF(T8396&lt;=0.2,"Low (1-20%)",IF(T8396&lt;=0.4,"Medium (21-40%)","High (&gt;40%)"))))</f>
        <v/>
      </c>
      <c r="Y8396" s="23" t="str">
        <f aca="false">IF(AND(ISNUMBER(C8396),ISNUMBER(D8396)),D8396-C8396,"")</f>
        <v/>
      </c>
      <c r="Z8396" s="23" t="str">
        <f aca="false">IF(B8396="","",IF(MATCH(B8396,$B$2:$B$12000,0)=ROW()-1,1,0))</f>
        <v/>
      </c>
    </row>
    <row r="8397" customFormat="false" ht="15" hidden="false" customHeight="false" outlineLevel="0" collapsed="false">
      <c r="V8397" s="23" t="str">
        <f aca="false">IF(ISNUMBER(C8397),YEAR(C8397),"")</f>
        <v/>
      </c>
      <c r="W8397" s="23" t="str">
        <f aca="false">IF(ISNUMBER(C8397),MONTH(C8397),"")</f>
        <v/>
      </c>
      <c r="X8397" s="23" t="str">
        <f aca="false">IF(T8397="","",IF(T8397=0,"No discount",IF(T8397&lt;=0.2,"Low (1-20%)",IF(T8397&lt;=0.4,"Medium (21-40%)","High (&gt;40%)"))))</f>
        <v/>
      </c>
      <c r="Y8397" s="23" t="str">
        <f aca="false">IF(AND(ISNUMBER(C8397),ISNUMBER(D8397)),D8397-C8397,"")</f>
        <v/>
      </c>
      <c r="Z8397" s="23" t="str">
        <f aca="false">IF(B8397="","",IF(MATCH(B8397,$B$2:$B$12000,0)=ROW()-1,1,0))</f>
        <v/>
      </c>
    </row>
    <row r="8398" customFormat="false" ht="15" hidden="false" customHeight="false" outlineLevel="0" collapsed="false">
      <c r="V8398" s="23" t="str">
        <f aca="false">IF(ISNUMBER(C8398),YEAR(C8398),"")</f>
        <v/>
      </c>
      <c r="W8398" s="23" t="str">
        <f aca="false">IF(ISNUMBER(C8398),MONTH(C8398),"")</f>
        <v/>
      </c>
      <c r="X8398" s="23" t="str">
        <f aca="false">IF(T8398="","",IF(T8398=0,"No discount",IF(T8398&lt;=0.2,"Low (1-20%)",IF(T8398&lt;=0.4,"Medium (21-40%)","High (&gt;40%)"))))</f>
        <v/>
      </c>
      <c r="Y8398" s="23" t="str">
        <f aca="false">IF(AND(ISNUMBER(C8398),ISNUMBER(D8398)),D8398-C8398,"")</f>
        <v/>
      </c>
      <c r="Z8398" s="23" t="str">
        <f aca="false">IF(B8398="","",IF(MATCH(B8398,$B$2:$B$12000,0)=ROW()-1,1,0))</f>
        <v/>
      </c>
    </row>
    <row r="8399" customFormat="false" ht="15" hidden="false" customHeight="false" outlineLevel="0" collapsed="false">
      <c r="V8399" s="23" t="str">
        <f aca="false">IF(ISNUMBER(C8399),YEAR(C8399),"")</f>
        <v/>
      </c>
      <c r="W8399" s="23" t="str">
        <f aca="false">IF(ISNUMBER(C8399),MONTH(C8399),"")</f>
        <v/>
      </c>
      <c r="X8399" s="23" t="str">
        <f aca="false">IF(T8399="","",IF(T8399=0,"No discount",IF(T8399&lt;=0.2,"Low (1-20%)",IF(T8399&lt;=0.4,"Medium (21-40%)","High (&gt;40%)"))))</f>
        <v/>
      </c>
      <c r="Y8399" s="23" t="str">
        <f aca="false">IF(AND(ISNUMBER(C8399),ISNUMBER(D8399)),D8399-C8399,"")</f>
        <v/>
      </c>
      <c r="Z8399" s="23" t="str">
        <f aca="false">IF(B8399="","",IF(MATCH(B8399,$B$2:$B$12000,0)=ROW()-1,1,0))</f>
        <v/>
      </c>
    </row>
    <row r="8400" customFormat="false" ht="15" hidden="false" customHeight="false" outlineLevel="0" collapsed="false">
      <c r="V8400" s="23" t="str">
        <f aca="false">IF(ISNUMBER(C8400),YEAR(C8400),"")</f>
        <v/>
      </c>
      <c r="W8400" s="23" t="str">
        <f aca="false">IF(ISNUMBER(C8400),MONTH(C8400),"")</f>
        <v/>
      </c>
      <c r="X8400" s="23" t="str">
        <f aca="false">IF(T8400="","",IF(T8400=0,"No discount",IF(T8400&lt;=0.2,"Low (1-20%)",IF(T8400&lt;=0.4,"Medium (21-40%)","High (&gt;40%)"))))</f>
        <v/>
      </c>
      <c r="Y8400" s="23" t="str">
        <f aca="false">IF(AND(ISNUMBER(C8400),ISNUMBER(D8400)),D8400-C8400,"")</f>
        <v/>
      </c>
      <c r="Z8400" s="23" t="str">
        <f aca="false">IF(B8400="","",IF(MATCH(B8400,$B$2:$B$12000,0)=ROW()-1,1,0))</f>
        <v/>
      </c>
    </row>
    <row r="8401" customFormat="false" ht="15" hidden="false" customHeight="false" outlineLevel="0" collapsed="false">
      <c r="V8401" s="23" t="str">
        <f aca="false">IF(ISNUMBER(C8401),YEAR(C8401),"")</f>
        <v/>
      </c>
      <c r="W8401" s="23" t="str">
        <f aca="false">IF(ISNUMBER(C8401),MONTH(C8401),"")</f>
        <v/>
      </c>
      <c r="X8401" s="23" t="str">
        <f aca="false">IF(T8401="","",IF(T8401=0,"No discount",IF(T8401&lt;=0.2,"Low (1-20%)",IF(T8401&lt;=0.4,"Medium (21-40%)","High (&gt;40%)"))))</f>
        <v/>
      </c>
      <c r="Y8401" s="23" t="str">
        <f aca="false">IF(AND(ISNUMBER(C8401),ISNUMBER(D8401)),D8401-C8401,"")</f>
        <v/>
      </c>
      <c r="Z8401" s="23" t="str">
        <f aca="false">IF(B8401="","",IF(MATCH(B8401,$B$2:$B$12000,0)=ROW()-1,1,0))</f>
        <v/>
      </c>
    </row>
    <row r="8402" customFormat="false" ht="15" hidden="false" customHeight="false" outlineLevel="0" collapsed="false">
      <c r="V8402" s="23" t="str">
        <f aca="false">IF(ISNUMBER(C8402),YEAR(C8402),"")</f>
        <v/>
      </c>
      <c r="W8402" s="23" t="str">
        <f aca="false">IF(ISNUMBER(C8402),MONTH(C8402),"")</f>
        <v/>
      </c>
      <c r="X8402" s="23" t="str">
        <f aca="false">IF(T8402="","",IF(T8402=0,"No discount",IF(T8402&lt;=0.2,"Low (1-20%)",IF(T8402&lt;=0.4,"Medium (21-40%)","High (&gt;40%)"))))</f>
        <v/>
      </c>
      <c r="Y8402" s="23" t="str">
        <f aca="false">IF(AND(ISNUMBER(C8402),ISNUMBER(D8402)),D8402-C8402,"")</f>
        <v/>
      </c>
      <c r="Z8402" s="23" t="str">
        <f aca="false">IF(B8402="","",IF(MATCH(B8402,$B$2:$B$12000,0)=ROW()-1,1,0))</f>
        <v/>
      </c>
    </row>
    <row r="8403" customFormat="false" ht="15" hidden="false" customHeight="false" outlineLevel="0" collapsed="false">
      <c r="V8403" s="23" t="str">
        <f aca="false">IF(ISNUMBER(C8403),YEAR(C8403),"")</f>
        <v/>
      </c>
      <c r="W8403" s="23" t="str">
        <f aca="false">IF(ISNUMBER(C8403),MONTH(C8403),"")</f>
        <v/>
      </c>
      <c r="X8403" s="23" t="str">
        <f aca="false">IF(T8403="","",IF(T8403=0,"No discount",IF(T8403&lt;=0.2,"Low (1-20%)",IF(T8403&lt;=0.4,"Medium (21-40%)","High (&gt;40%)"))))</f>
        <v/>
      </c>
      <c r="Y8403" s="23" t="str">
        <f aca="false">IF(AND(ISNUMBER(C8403),ISNUMBER(D8403)),D8403-C8403,"")</f>
        <v/>
      </c>
      <c r="Z8403" s="23" t="str">
        <f aca="false">IF(B8403="","",IF(MATCH(B8403,$B$2:$B$12000,0)=ROW()-1,1,0))</f>
        <v/>
      </c>
    </row>
    <row r="8404" customFormat="false" ht="15" hidden="false" customHeight="false" outlineLevel="0" collapsed="false">
      <c r="V8404" s="23" t="str">
        <f aca="false">IF(ISNUMBER(C8404),YEAR(C8404),"")</f>
        <v/>
      </c>
      <c r="W8404" s="23" t="str">
        <f aca="false">IF(ISNUMBER(C8404),MONTH(C8404),"")</f>
        <v/>
      </c>
      <c r="X8404" s="23" t="str">
        <f aca="false">IF(T8404="","",IF(T8404=0,"No discount",IF(T8404&lt;=0.2,"Low (1-20%)",IF(T8404&lt;=0.4,"Medium (21-40%)","High (&gt;40%)"))))</f>
        <v/>
      </c>
      <c r="Y8404" s="23" t="str">
        <f aca="false">IF(AND(ISNUMBER(C8404),ISNUMBER(D8404)),D8404-C8404,"")</f>
        <v/>
      </c>
      <c r="Z8404" s="23" t="str">
        <f aca="false">IF(B8404="","",IF(MATCH(B8404,$B$2:$B$12000,0)=ROW()-1,1,0))</f>
        <v/>
      </c>
    </row>
    <row r="8405" customFormat="false" ht="15" hidden="false" customHeight="false" outlineLevel="0" collapsed="false">
      <c r="V8405" s="23" t="str">
        <f aca="false">IF(ISNUMBER(C8405),YEAR(C8405),"")</f>
        <v/>
      </c>
      <c r="W8405" s="23" t="str">
        <f aca="false">IF(ISNUMBER(C8405),MONTH(C8405),"")</f>
        <v/>
      </c>
      <c r="X8405" s="23" t="str">
        <f aca="false">IF(T8405="","",IF(T8405=0,"No discount",IF(T8405&lt;=0.2,"Low (1-20%)",IF(T8405&lt;=0.4,"Medium (21-40%)","High (&gt;40%)"))))</f>
        <v/>
      </c>
      <c r="Y8405" s="23" t="str">
        <f aca="false">IF(AND(ISNUMBER(C8405),ISNUMBER(D8405)),D8405-C8405,"")</f>
        <v/>
      </c>
      <c r="Z8405" s="23" t="str">
        <f aca="false">IF(B8405="","",IF(MATCH(B8405,$B$2:$B$12000,0)=ROW()-1,1,0))</f>
        <v/>
      </c>
    </row>
    <row r="8406" customFormat="false" ht="15" hidden="false" customHeight="false" outlineLevel="0" collapsed="false">
      <c r="V8406" s="23" t="str">
        <f aca="false">IF(ISNUMBER(C8406),YEAR(C8406),"")</f>
        <v/>
      </c>
      <c r="W8406" s="23" t="str">
        <f aca="false">IF(ISNUMBER(C8406),MONTH(C8406),"")</f>
        <v/>
      </c>
      <c r="X8406" s="23" t="str">
        <f aca="false">IF(T8406="","",IF(T8406=0,"No discount",IF(T8406&lt;=0.2,"Low (1-20%)",IF(T8406&lt;=0.4,"Medium (21-40%)","High (&gt;40%)"))))</f>
        <v/>
      </c>
      <c r="Y8406" s="23" t="str">
        <f aca="false">IF(AND(ISNUMBER(C8406),ISNUMBER(D8406)),D8406-C8406,"")</f>
        <v/>
      </c>
      <c r="Z8406" s="23" t="str">
        <f aca="false">IF(B8406="","",IF(MATCH(B8406,$B$2:$B$12000,0)=ROW()-1,1,0))</f>
        <v/>
      </c>
    </row>
    <row r="8407" customFormat="false" ht="15" hidden="false" customHeight="false" outlineLevel="0" collapsed="false">
      <c r="V8407" s="23" t="str">
        <f aca="false">IF(ISNUMBER(C8407),YEAR(C8407),"")</f>
        <v/>
      </c>
      <c r="W8407" s="23" t="str">
        <f aca="false">IF(ISNUMBER(C8407),MONTH(C8407),"")</f>
        <v/>
      </c>
      <c r="X8407" s="23" t="str">
        <f aca="false">IF(T8407="","",IF(T8407=0,"No discount",IF(T8407&lt;=0.2,"Low (1-20%)",IF(T8407&lt;=0.4,"Medium (21-40%)","High (&gt;40%)"))))</f>
        <v/>
      </c>
      <c r="Y8407" s="23" t="str">
        <f aca="false">IF(AND(ISNUMBER(C8407),ISNUMBER(D8407)),D8407-C8407,"")</f>
        <v/>
      </c>
      <c r="Z8407" s="23" t="str">
        <f aca="false">IF(B8407="","",IF(MATCH(B8407,$B$2:$B$12000,0)=ROW()-1,1,0))</f>
        <v/>
      </c>
    </row>
    <row r="8408" customFormat="false" ht="15" hidden="false" customHeight="false" outlineLevel="0" collapsed="false">
      <c r="V8408" s="23" t="str">
        <f aca="false">IF(ISNUMBER(C8408),YEAR(C8408),"")</f>
        <v/>
      </c>
      <c r="W8408" s="23" t="str">
        <f aca="false">IF(ISNUMBER(C8408),MONTH(C8408),"")</f>
        <v/>
      </c>
      <c r="X8408" s="23" t="str">
        <f aca="false">IF(T8408="","",IF(T8408=0,"No discount",IF(T8408&lt;=0.2,"Low (1-20%)",IF(T8408&lt;=0.4,"Medium (21-40%)","High (&gt;40%)"))))</f>
        <v/>
      </c>
      <c r="Y8408" s="23" t="str">
        <f aca="false">IF(AND(ISNUMBER(C8408),ISNUMBER(D8408)),D8408-C8408,"")</f>
        <v/>
      </c>
      <c r="Z8408" s="23" t="str">
        <f aca="false">IF(B8408="","",IF(MATCH(B8408,$B$2:$B$12000,0)=ROW()-1,1,0))</f>
        <v/>
      </c>
    </row>
    <row r="8409" customFormat="false" ht="15" hidden="false" customHeight="false" outlineLevel="0" collapsed="false">
      <c r="V8409" s="23" t="str">
        <f aca="false">IF(ISNUMBER(C8409),YEAR(C8409),"")</f>
        <v/>
      </c>
      <c r="W8409" s="23" t="str">
        <f aca="false">IF(ISNUMBER(C8409),MONTH(C8409),"")</f>
        <v/>
      </c>
      <c r="X8409" s="23" t="str">
        <f aca="false">IF(T8409="","",IF(T8409=0,"No discount",IF(T8409&lt;=0.2,"Low (1-20%)",IF(T8409&lt;=0.4,"Medium (21-40%)","High (&gt;40%)"))))</f>
        <v/>
      </c>
      <c r="Y8409" s="23" t="str">
        <f aca="false">IF(AND(ISNUMBER(C8409),ISNUMBER(D8409)),D8409-C8409,"")</f>
        <v/>
      </c>
      <c r="Z8409" s="23" t="str">
        <f aca="false">IF(B8409="","",IF(MATCH(B8409,$B$2:$B$12000,0)=ROW()-1,1,0))</f>
        <v/>
      </c>
    </row>
    <row r="8410" customFormat="false" ht="15" hidden="false" customHeight="false" outlineLevel="0" collapsed="false">
      <c r="V8410" s="23" t="str">
        <f aca="false">IF(ISNUMBER(C8410),YEAR(C8410),"")</f>
        <v/>
      </c>
      <c r="W8410" s="23" t="str">
        <f aca="false">IF(ISNUMBER(C8410),MONTH(C8410),"")</f>
        <v/>
      </c>
      <c r="X8410" s="23" t="str">
        <f aca="false">IF(T8410="","",IF(T8410=0,"No discount",IF(T8410&lt;=0.2,"Low (1-20%)",IF(T8410&lt;=0.4,"Medium (21-40%)","High (&gt;40%)"))))</f>
        <v/>
      </c>
      <c r="Y8410" s="23" t="str">
        <f aca="false">IF(AND(ISNUMBER(C8410),ISNUMBER(D8410)),D8410-C8410,"")</f>
        <v/>
      </c>
      <c r="Z8410" s="23" t="str">
        <f aca="false">IF(B8410="","",IF(MATCH(B8410,$B$2:$B$12000,0)=ROW()-1,1,0))</f>
        <v/>
      </c>
    </row>
    <row r="8411" customFormat="false" ht="15" hidden="false" customHeight="false" outlineLevel="0" collapsed="false">
      <c r="V8411" s="23" t="str">
        <f aca="false">IF(ISNUMBER(C8411),YEAR(C8411),"")</f>
        <v/>
      </c>
      <c r="W8411" s="23" t="str">
        <f aca="false">IF(ISNUMBER(C8411),MONTH(C8411),"")</f>
        <v/>
      </c>
      <c r="X8411" s="23" t="str">
        <f aca="false">IF(T8411="","",IF(T8411=0,"No discount",IF(T8411&lt;=0.2,"Low (1-20%)",IF(T8411&lt;=0.4,"Medium (21-40%)","High (&gt;40%)"))))</f>
        <v/>
      </c>
      <c r="Y8411" s="23" t="str">
        <f aca="false">IF(AND(ISNUMBER(C8411),ISNUMBER(D8411)),D8411-C8411,"")</f>
        <v/>
      </c>
      <c r="Z8411" s="23" t="str">
        <f aca="false">IF(B8411="","",IF(MATCH(B8411,$B$2:$B$12000,0)=ROW()-1,1,0))</f>
        <v/>
      </c>
    </row>
    <row r="8412" customFormat="false" ht="15" hidden="false" customHeight="false" outlineLevel="0" collapsed="false">
      <c r="V8412" s="23" t="str">
        <f aca="false">IF(ISNUMBER(C8412),YEAR(C8412),"")</f>
        <v/>
      </c>
      <c r="W8412" s="23" t="str">
        <f aca="false">IF(ISNUMBER(C8412),MONTH(C8412),"")</f>
        <v/>
      </c>
      <c r="X8412" s="23" t="str">
        <f aca="false">IF(T8412="","",IF(T8412=0,"No discount",IF(T8412&lt;=0.2,"Low (1-20%)",IF(T8412&lt;=0.4,"Medium (21-40%)","High (&gt;40%)"))))</f>
        <v/>
      </c>
      <c r="Y8412" s="23" t="str">
        <f aca="false">IF(AND(ISNUMBER(C8412),ISNUMBER(D8412)),D8412-C8412,"")</f>
        <v/>
      </c>
      <c r="Z8412" s="23" t="str">
        <f aca="false">IF(B8412="","",IF(MATCH(B8412,$B$2:$B$12000,0)=ROW()-1,1,0))</f>
        <v/>
      </c>
    </row>
    <row r="8413" customFormat="false" ht="15" hidden="false" customHeight="false" outlineLevel="0" collapsed="false">
      <c r="V8413" s="23" t="str">
        <f aca="false">IF(ISNUMBER(C8413),YEAR(C8413),"")</f>
        <v/>
      </c>
      <c r="W8413" s="23" t="str">
        <f aca="false">IF(ISNUMBER(C8413),MONTH(C8413),"")</f>
        <v/>
      </c>
      <c r="X8413" s="23" t="str">
        <f aca="false">IF(T8413="","",IF(T8413=0,"No discount",IF(T8413&lt;=0.2,"Low (1-20%)",IF(T8413&lt;=0.4,"Medium (21-40%)","High (&gt;40%)"))))</f>
        <v/>
      </c>
      <c r="Y8413" s="23" t="str">
        <f aca="false">IF(AND(ISNUMBER(C8413),ISNUMBER(D8413)),D8413-C8413,"")</f>
        <v/>
      </c>
      <c r="Z8413" s="23" t="str">
        <f aca="false">IF(B8413="","",IF(MATCH(B8413,$B$2:$B$12000,0)=ROW()-1,1,0))</f>
        <v/>
      </c>
    </row>
    <row r="8414" customFormat="false" ht="15" hidden="false" customHeight="false" outlineLevel="0" collapsed="false">
      <c r="V8414" s="23" t="str">
        <f aca="false">IF(ISNUMBER(C8414),YEAR(C8414),"")</f>
        <v/>
      </c>
      <c r="W8414" s="23" t="str">
        <f aca="false">IF(ISNUMBER(C8414),MONTH(C8414),"")</f>
        <v/>
      </c>
      <c r="X8414" s="23" t="str">
        <f aca="false">IF(T8414="","",IF(T8414=0,"No discount",IF(T8414&lt;=0.2,"Low (1-20%)",IF(T8414&lt;=0.4,"Medium (21-40%)","High (&gt;40%)"))))</f>
        <v/>
      </c>
      <c r="Y8414" s="23" t="str">
        <f aca="false">IF(AND(ISNUMBER(C8414),ISNUMBER(D8414)),D8414-C8414,"")</f>
        <v/>
      </c>
      <c r="Z8414" s="23" t="str">
        <f aca="false">IF(B8414="","",IF(MATCH(B8414,$B$2:$B$12000,0)=ROW()-1,1,0))</f>
        <v/>
      </c>
    </row>
    <row r="8415" customFormat="false" ht="15" hidden="false" customHeight="false" outlineLevel="0" collapsed="false">
      <c r="V8415" s="23" t="str">
        <f aca="false">IF(ISNUMBER(C8415),YEAR(C8415),"")</f>
        <v/>
      </c>
      <c r="W8415" s="23" t="str">
        <f aca="false">IF(ISNUMBER(C8415),MONTH(C8415),"")</f>
        <v/>
      </c>
      <c r="X8415" s="23" t="str">
        <f aca="false">IF(T8415="","",IF(T8415=0,"No discount",IF(T8415&lt;=0.2,"Low (1-20%)",IF(T8415&lt;=0.4,"Medium (21-40%)","High (&gt;40%)"))))</f>
        <v/>
      </c>
      <c r="Y8415" s="23" t="str">
        <f aca="false">IF(AND(ISNUMBER(C8415),ISNUMBER(D8415)),D8415-C8415,"")</f>
        <v/>
      </c>
      <c r="Z8415" s="23" t="str">
        <f aca="false">IF(B8415="","",IF(MATCH(B8415,$B$2:$B$12000,0)=ROW()-1,1,0))</f>
        <v/>
      </c>
    </row>
    <row r="8416" customFormat="false" ht="15" hidden="false" customHeight="false" outlineLevel="0" collapsed="false">
      <c r="V8416" s="23" t="str">
        <f aca="false">IF(ISNUMBER(C8416),YEAR(C8416),"")</f>
        <v/>
      </c>
      <c r="W8416" s="23" t="str">
        <f aca="false">IF(ISNUMBER(C8416),MONTH(C8416),"")</f>
        <v/>
      </c>
      <c r="X8416" s="23" t="str">
        <f aca="false">IF(T8416="","",IF(T8416=0,"No discount",IF(T8416&lt;=0.2,"Low (1-20%)",IF(T8416&lt;=0.4,"Medium (21-40%)","High (&gt;40%)"))))</f>
        <v/>
      </c>
      <c r="Y8416" s="23" t="str">
        <f aca="false">IF(AND(ISNUMBER(C8416),ISNUMBER(D8416)),D8416-C8416,"")</f>
        <v/>
      </c>
      <c r="Z8416" s="23" t="str">
        <f aca="false">IF(B8416="","",IF(MATCH(B8416,$B$2:$B$12000,0)=ROW()-1,1,0))</f>
        <v/>
      </c>
    </row>
    <row r="8417" customFormat="false" ht="15" hidden="false" customHeight="false" outlineLevel="0" collapsed="false">
      <c r="V8417" s="23" t="str">
        <f aca="false">IF(ISNUMBER(C8417),YEAR(C8417),"")</f>
        <v/>
      </c>
      <c r="W8417" s="23" t="str">
        <f aca="false">IF(ISNUMBER(C8417),MONTH(C8417),"")</f>
        <v/>
      </c>
      <c r="X8417" s="23" t="str">
        <f aca="false">IF(T8417="","",IF(T8417=0,"No discount",IF(T8417&lt;=0.2,"Low (1-20%)",IF(T8417&lt;=0.4,"Medium (21-40%)","High (&gt;40%)"))))</f>
        <v/>
      </c>
      <c r="Y8417" s="23" t="str">
        <f aca="false">IF(AND(ISNUMBER(C8417),ISNUMBER(D8417)),D8417-C8417,"")</f>
        <v/>
      </c>
      <c r="Z8417" s="23" t="str">
        <f aca="false">IF(B8417="","",IF(MATCH(B8417,$B$2:$B$12000,0)=ROW()-1,1,0))</f>
        <v/>
      </c>
    </row>
    <row r="8418" customFormat="false" ht="15" hidden="false" customHeight="false" outlineLevel="0" collapsed="false">
      <c r="V8418" s="23" t="str">
        <f aca="false">IF(ISNUMBER(C8418),YEAR(C8418),"")</f>
        <v/>
      </c>
      <c r="W8418" s="23" t="str">
        <f aca="false">IF(ISNUMBER(C8418),MONTH(C8418),"")</f>
        <v/>
      </c>
      <c r="X8418" s="23" t="str">
        <f aca="false">IF(T8418="","",IF(T8418=0,"No discount",IF(T8418&lt;=0.2,"Low (1-20%)",IF(T8418&lt;=0.4,"Medium (21-40%)","High (&gt;40%)"))))</f>
        <v/>
      </c>
      <c r="Y8418" s="23" t="str">
        <f aca="false">IF(AND(ISNUMBER(C8418),ISNUMBER(D8418)),D8418-C8418,"")</f>
        <v/>
      </c>
      <c r="Z8418" s="23" t="str">
        <f aca="false">IF(B8418="","",IF(MATCH(B8418,$B$2:$B$12000,0)=ROW()-1,1,0))</f>
        <v/>
      </c>
    </row>
    <row r="8419" customFormat="false" ht="15" hidden="false" customHeight="false" outlineLevel="0" collapsed="false">
      <c r="V8419" s="23" t="str">
        <f aca="false">IF(ISNUMBER(C8419),YEAR(C8419),"")</f>
        <v/>
      </c>
      <c r="W8419" s="23" t="str">
        <f aca="false">IF(ISNUMBER(C8419),MONTH(C8419),"")</f>
        <v/>
      </c>
      <c r="X8419" s="23" t="str">
        <f aca="false">IF(T8419="","",IF(T8419=0,"No discount",IF(T8419&lt;=0.2,"Low (1-20%)",IF(T8419&lt;=0.4,"Medium (21-40%)","High (&gt;40%)"))))</f>
        <v/>
      </c>
      <c r="Y8419" s="23" t="str">
        <f aca="false">IF(AND(ISNUMBER(C8419),ISNUMBER(D8419)),D8419-C8419,"")</f>
        <v/>
      </c>
      <c r="Z8419" s="23" t="str">
        <f aca="false">IF(B8419="","",IF(MATCH(B8419,$B$2:$B$12000,0)=ROW()-1,1,0))</f>
        <v/>
      </c>
    </row>
    <row r="8420" customFormat="false" ht="15" hidden="false" customHeight="false" outlineLevel="0" collapsed="false">
      <c r="V8420" s="23" t="str">
        <f aca="false">IF(ISNUMBER(C8420),YEAR(C8420),"")</f>
        <v/>
      </c>
      <c r="W8420" s="23" t="str">
        <f aca="false">IF(ISNUMBER(C8420),MONTH(C8420),"")</f>
        <v/>
      </c>
      <c r="X8420" s="23" t="str">
        <f aca="false">IF(T8420="","",IF(T8420=0,"No discount",IF(T8420&lt;=0.2,"Low (1-20%)",IF(T8420&lt;=0.4,"Medium (21-40%)","High (&gt;40%)"))))</f>
        <v/>
      </c>
      <c r="Y8420" s="23" t="str">
        <f aca="false">IF(AND(ISNUMBER(C8420),ISNUMBER(D8420)),D8420-C8420,"")</f>
        <v/>
      </c>
      <c r="Z8420" s="23" t="str">
        <f aca="false">IF(B8420="","",IF(MATCH(B8420,$B$2:$B$12000,0)=ROW()-1,1,0))</f>
        <v/>
      </c>
    </row>
    <row r="8421" customFormat="false" ht="15" hidden="false" customHeight="false" outlineLevel="0" collapsed="false">
      <c r="V8421" s="23" t="str">
        <f aca="false">IF(ISNUMBER(C8421),YEAR(C8421),"")</f>
        <v/>
      </c>
      <c r="W8421" s="23" t="str">
        <f aca="false">IF(ISNUMBER(C8421),MONTH(C8421),"")</f>
        <v/>
      </c>
      <c r="X8421" s="23" t="str">
        <f aca="false">IF(T8421="","",IF(T8421=0,"No discount",IF(T8421&lt;=0.2,"Low (1-20%)",IF(T8421&lt;=0.4,"Medium (21-40%)","High (&gt;40%)"))))</f>
        <v/>
      </c>
      <c r="Y8421" s="23" t="str">
        <f aca="false">IF(AND(ISNUMBER(C8421),ISNUMBER(D8421)),D8421-C8421,"")</f>
        <v/>
      </c>
      <c r="Z8421" s="23" t="str">
        <f aca="false">IF(B8421="","",IF(MATCH(B8421,$B$2:$B$12000,0)=ROW()-1,1,0))</f>
        <v/>
      </c>
    </row>
    <row r="8422" customFormat="false" ht="15" hidden="false" customHeight="false" outlineLevel="0" collapsed="false">
      <c r="V8422" s="23" t="str">
        <f aca="false">IF(ISNUMBER(C8422),YEAR(C8422),"")</f>
        <v/>
      </c>
      <c r="W8422" s="23" t="str">
        <f aca="false">IF(ISNUMBER(C8422),MONTH(C8422),"")</f>
        <v/>
      </c>
      <c r="X8422" s="23" t="str">
        <f aca="false">IF(T8422="","",IF(T8422=0,"No discount",IF(T8422&lt;=0.2,"Low (1-20%)",IF(T8422&lt;=0.4,"Medium (21-40%)","High (&gt;40%)"))))</f>
        <v/>
      </c>
      <c r="Y8422" s="23" t="str">
        <f aca="false">IF(AND(ISNUMBER(C8422),ISNUMBER(D8422)),D8422-C8422,"")</f>
        <v/>
      </c>
      <c r="Z8422" s="23" t="str">
        <f aca="false">IF(B8422="","",IF(MATCH(B8422,$B$2:$B$12000,0)=ROW()-1,1,0))</f>
        <v/>
      </c>
    </row>
    <row r="8423" customFormat="false" ht="15" hidden="false" customHeight="false" outlineLevel="0" collapsed="false">
      <c r="V8423" s="23" t="str">
        <f aca="false">IF(ISNUMBER(C8423),YEAR(C8423),"")</f>
        <v/>
      </c>
      <c r="W8423" s="23" t="str">
        <f aca="false">IF(ISNUMBER(C8423),MONTH(C8423),"")</f>
        <v/>
      </c>
      <c r="X8423" s="23" t="str">
        <f aca="false">IF(T8423="","",IF(T8423=0,"No discount",IF(T8423&lt;=0.2,"Low (1-20%)",IF(T8423&lt;=0.4,"Medium (21-40%)","High (&gt;40%)"))))</f>
        <v/>
      </c>
      <c r="Y8423" s="23" t="str">
        <f aca="false">IF(AND(ISNUMBER(C8423),ISNUMBER(D8423)),D8423-C8423,"")</f>
        <v/>
      </c>
      <c r="Z8423" s="23" t="str">
        <f aca="false">IF(B8423="","",IF(MATCH(B8423,$B$2:$B$12000,0)=ROW()-1,1,0))</f>
        <v/>
      </c>
    </row>
    <row r="8424" customFormat="false" ht="15" hidden="false" customHeight="false" outlineLevel="0" collapsed="false">
      <c r="V8424" s="23" t="str">
        <f aca="false">IF(ISNUMBER(C8424),YEAR(C8424),"")</f>
        <v/>
      </c>
      <c r="W8424" s="23" t="str">
        <f aca="false">IF(ISNUMBER(C8424),MONTH(C8424),"")</f>
        <v/>
      </c>
      <c r="X8424" s="23" t="str">
        <f aca="false">IF(T8424="","",IF(T8424=0,"No discount",IF(T8424&lt;=0.2,"Low (1-20%)",IF(T8424&lt;=0.4,"Medium (21-40%)","High (&gt;40%)"))))</f>
        <v/>
      </c>
      <c r="Y8424" s="23" t="str">
        <f aca="false">IF(AND(ISNUMBER(C8424),ISNUMBER(D8424)),D8424-C8424,"")</f>
        <v/>
      </c>
      <c r="Z8424" s="23" t="str">
        <f aca="false">IF(B8424="","",IF(MATCH(B8424,$B$2:$B$12000,0)=ROW()-1,1,0))</f>
        <v/>
      </c>
    </row>
    <row r="8425" customFormat="false" ht="15" hidden="false" customHeight="false" outlineLevel="0" collapsed="false">
      <c r="V8425" s="23" t="str">
        <f aca="false">IF(ISNUMBER(C8425),YEAR(C8425),"")</f>
        <v/>
      </c>
      <c r="W8425" s="23" t="str">
        <f aca="false">IF(ISNUMBER(C8425),MONTH(C8425),"")</f>
        <v/>
      </c>
      <c r="X8425" s="23" t="str">
        <f aca="false">IF(T8425="","",IF(T8425=0,"No discount",IF(T8425&lt;=0.2,"Low (1-20%)",IF(T8425&lt;=0.4,"Medium (21-40%)","High (&gt;40%)"))))</f>
        <v/>
      </c>
      <c r="Y8425" s="23" t="str">
        <f aca="false">IF(AND(ISNUMBER(C8425),ISNUMBER(D8425)),D8425-C8425,"")</f>
        <v/>
      </c>
      <c r="Z8425" s="23" t="str">
        <f aca="false">IF(B8425="","",IF(MATCH(B8425,$B$2:$B$12000,0)=ROW()-1,1,0))</f>
        <v/>
      </c>
    </row>
    <row r="8426" customFormat="false" ht="15" hidden="false" customHeight="false" outlineLevel="0" collapsed="false">
      <c r="V8426" s="23" t="str">
        <f aca="false">IF(ISNUMBER(C8426),YEAR(C8426),"")</f>
        <v/>
      </c>
      <c r="W8426" s="23" t="str">
        <f aca="false">IF(ISNUMBER(C8426),MONTH(C8426),"")</f>
        <v/>
      </c>
      <c r="X8426" s="23" t="str">
        <f aca="false">IF(T8426="","",IF(T8426=0,"No discount",IF(T8426&lt;=0.2,"Low (1-20%)",IF(T8426&lt;=0.4,"Medium (21-40%)","High (&gt;40%)"))))</f>
        <v/>
      </c>
      <c r="Y8426" s="23" t="str">
        <f aca="false">IF(AND(ISNUMBER(C8426),ISNUMBER(D8426)),D8426-C8426,"")</f>
        <v/>
      </c>
      <c r="Z8426" s="23" t="str">
        <f aca="false">IF(B8426="","",IF(MATCH(B8426,$B$2:$B$12000,0)=ROW()-1,1,0))</f>
        <v/>
      </c>
    </row>
    <row r="8427" customFormat="false" ht="15" hidden="false" customHeight="false" outlineLevel="0" collapsed="false">
      <c r="V8427" s="23" t="str">
        <f aca="false">IF(ISNUMBER(C8427),YEAR(C8427),"")</f>
        <v/>
      </c>
      <c r="W8427" s="23" t="str">
        <f aca="false">IF(ISNUMBER(C8427),MONTH(C8427),"")</f>
        <v/>
      </c>
      <c r="X8427" s="23" t="str">
        <f aca="false">IF(T8427="","",IF(T8427=0,"No discount",IF(T8427&lt;=0.2,"Low (1-20%)",IF(T8427&lt;=0.4,"Medium (21-40%)","High (&gt;40%)"))))</f>
        <v/>
      </c>
      <c r="Y8427" s="23" t="str">
        <f aca="false">IF(AND(ISNUMBER(C8427),ISNUMBER(D8427)),D8427-C8427,"")</f>
        <v/>
      </c>
      <c r="Z8427" s="23" t="str">
        <f aca="false">IF(B8427="","",IF(MATCH(B8427,$B$2:$B$12000,0)=ROW()-1,1,0))</f>
        <v/>
      </c>
    </row>
    <row r="8428" customFormat="false" ht="15" hidden="false" customHeight="false" outlineLevel="0" collapsed="false">
      <c r="V8428" s="23" t="str">
        <f aca="false">IF(ISNUMBER(C8428),YEAR(C8428),"")</f>
        <v/>
      </c>
      <c r="W8428" s="23" t="str">
        <f aca="false">IF(ISNUMBER(C8428),MONTH(C8428),"")</f>
        <v/>
      </c>
      <c r="X8428" s="23" t="str">
        <f aca="false">IF(T8428="","",IF(T8428=0,"No discount",IF(T8428&lt;=0.2,"Low (1-20%)",IF(T8428&lt;=0.4,"Medium (21-40%)","High (&gt;40%)"))))</f>
        <v/>
      </c>
      <c r="Y8428" s="23" t="str">
        <f aca="false">IF(AND(ISNUMBER(C8428),ISNUMBER(D8428)),D8428-C8428,"")</f>
        <v/>
      </c>
      <c r="Z8428" s="23" t="str">
        <f aca="false">IF(B8428="","",IF(MATCH(B8428,$B$2:$B$12000,0)=ROW()-1,1,0))</f>
        <v/>
      </c>
    </row>
    <row r="8429" customFormat="false" ht="15" hidden="false" customHeight="false" outlineLevel="0" collapsed="false">
      <c r="V8429" s="23" t="str">
        <f aca="false">IF(ISNUMBER(C8429),YEAR(C8429),"")</f>
        <v/>
      </c>
      <c r="W8429" s="23" t="str">
        <f aca="false">IF(ISNUMBER(C8429),MONTH(C8429),"")</f>
        <v/>
      </c>
      <c r="X8429" s="23" t="str">
        <f aca="false">IF(T8429="","",IF(T8429=0,"No discount",IF(T8429&lt;=0.2,"Low (1-20%)",IF(T8429&lt;=0.4,"Medium (21-40%)","High (&gt;40%)"))))</f>
        <v/>
      </c>
      <c r="Y8429" s="23" t="str">
        <f aca="false">IF(AND(ISNUMBER(C8429),ISNUMBER(D8429)),D8429-C8429,"")</f>
        <v/>
      </c>
      <c r="Z8429" s="23" t="str">
        <f aca="false">IF(B8429="","",IF(MATCH(B8429,$B$2:$B$12000,0)=ROW()-1,1,0))</f>
        <v/>
      </c>
    </row>
    <row r="8430" customFormat="false" ht="15" hidden="false" customHeight="false" outlineLevel="0" collapsed="false">
      <c r="V8430" s="23" t="str">
        <f aca="false">IF(ISNUMBER(C8430),YEAR(C8430),"")</f>
        <v/>
      </c>
      <c r="W8430" s="23" t="str">
        <f aca="false">IF(ISNUMBER(C8430),MONTH(C8430),"")</f>
        <v/>
      </c>
      <c r="X8430" s="23" t="str">
        <f aca="false">IF(T8430="","",IF(T8430=0,"No discount",IF(T8430&lt;=0.2,"Low (1-20%)",IF(T8430&lt;=0.4,"Medium (21-40%)","High (&gt;40%)"))))</f>
        <v/>
      </c>
      <c r="Y8430" s="23" t="str">
        <f aca="false">IF(AND(ISNUMBER(C8430),ISNUMBER(D8430)),D8430-C8430,"")</f>
        <v/>
      </c>
      <c r="Z8430" s="23" t="str">
        <f aca="false">IF(B8430="","",IF(MATCH(B8430,$B$2:$B$12000,0)=ROW()-1,1,0))</f>
        <v/>
      </c>
    </row>
    <row r="8431" customFormat="false" ht="15" hidden="false" customHeight="false" outlineLevel="0" collapsed="false">
      <c r="V8431" s="23" t="str">
        <f aca="false">IF(ISNUMBER(C8431),YEAR(C8431),"")</f>
        <v/>
      </c>
      <c r="W8431" s="23" t="str">
        <f aca="false">IF(ISNUMBER(C8431),MONTH(C8431),"")</f>
        <v/>
      </c>
      <c r="X8431" s="23" t="str">
        <f aca="false">IF(T8431="","",IF(T8431=0,"No discount",IF(T8431&lt;=0.2,"Low (1-20%)",IF(T8431&lt;=0.4,"Medium (21-40%)","High (&gt;40%)"))))</f>
        <v/>
      </c>
      <c r="Y8431" s="23" t="str">
        <f aca="false">IF(AND(ISNUMBER(C8431),ISNUMBER(D8431)),D8431-C8431,"")</f>
        <v/>
      </c>
      <c r="Z8431" s="23" t="str">
        <f aca="false">IF(B8431="","",IF(MATCH(B8431,$B$2:$B$12000,0)=ROW()-1,1,0))</f>
        <v/>
      </c>
    </row>
    <row r="8432" customFormat="false" ht="15" hidden="false" customHeight="false" outlineLevel="0" collapsed="false">
      <c r="V8432" s="23" t="str">
        <f aca="false">IF(ISNUMBER(C8432),YEAR(C8432),"")</f>
        <v/>
      </c>
      <c r="W8432" s="23" t="str">
        <f aca="false">IF(ISNUMBER(C8432),MONTH(C8432),"")</f>
        <v/>
      </c>
      <c r="X8432" s="23" t="str">
        <f aca="false">IF(T8432="","",IF(T8432=0,"No discount",IF(T8432&lt;=0.2,"Low (1-20%)",IF(T8432&lt;=0.4,"Medium (21-40%)","High (&gt;40%)"))))</f>
        <v/>
      </c>
      <c r="Y8432" s="23" t="str">
        <f aca="false">IF(AND(ISNUMBER(C8432),ISNUMBER(D8432)),D8432-C8432,"")</f>
        <v/>
      </c>
      <c r="Z8432" s="23" t="str">
        <f aca="false">IF(B8432="","",IF(MATCH(B8432,$B$2:$B$12000,0)=ROW()-1,1,0))</f>
        <v/>
      </c>
    </row>
    <row r="8433" customFormat="false" ht="15" hidden="false" customHeight="false" outlineLevel="0" collapsed="false">
      <c r="V8433" s="23" t="str">
        <f aca="false">IF(ISNUMBER(C8433),YEAR(C8433),"")</f>
        <v/>
      </c>
      <c r="W8433" s="23" t="str">
        <f aca="false">IF(ISNUMBER(C8433),MONTH(C8433),"")</f>
        <v/>
      </c>
      <c r="X8433" s="23" t="str">
        <f aca="false">IF(T8433="","",IF(T8433=0,"No discount",IF(T8433&lt;=0.2,"Low (1-20%)",IF(T8433&lt;=0.4,"Medium (21-40%)","High (&gt;40%)"))))</f>
        <v/>
      </c>
      <c r="Y8433" s="23" t="str">
        <f aca="false">IF(AND(ISNUMBER(C8433),ISNUMBER(D8433)),D8433-C8433,"")</f>
        <v/>
      </c>
      <c r="Z8433" s="23" t="str">
        <f aca="false">IF(B8433="","",IF(MATCH(B8433,$B$2:$B$12000,0)=ROW()-1,1,0))</f>
        <v/>
      </c>
    </row>
    <row r="8434" customFormat="false" ht="15" hidden="false" customHeight="false" outlineLevel="0" collapsed="false">
      <c r="V8434" s="23" t="str">
        <f aca="false">IF(ISNUMBER(C8434),YEAR(C8434),"")</f>
        <v/>
      </c>
      <c r="W8434" s="23" t="str">
        <f aca="false">IF(ISNUMBER(C8434),MONTH(C8434),"")</f>
        <v/>
      </c>
      <c r="X8434" s="23" t="str">
        <f aca="false">IF(T8434="","",IF(T8434=0,"No discount",IF(T8434&lt;=0.2,"Low (1-20%)",IF(T8434&lt;=0.4,"Medium (21-40%)","High (&gt;40%)"))))</f>
        <v/>
      </c>
      <c r="Y8434" s="23" t="str">
        <f aca="false">IF(AND(ISNUMBER(C8434),ISNUMBER(D8434)),D8434-C8434,"")</f>
        <v/>
      </c>
      <c r="Z8434" s="23" t="str">
        <f aca="false">IF(B8434="","",IF(MATCH(B8434,$B$2:$B$12000,0)=ROW()-1,1,0))</f>
        <v/>
      </c>
    </row>
    <row r="8435" customFormat="false" ht="15" hidden="false" customHeight="false" outlineLevel="0" collapsed="false">
      <c r="V8435" s="23" t="str">
        <f aca="false">IF(ISNUMBER(C8435),YEAR(C8435),"")</f>
        <v/>
      </c>
      <c r="W8435" s="23" t="str">
        <f aca="false">IF(ISNUMBER(C8435),MONTH(C8435),"")</f>
        <v/>
      </c>
      <c r="X8435" s="23" t="str">
        <f aca="false">IF(T8435="","",IF(T8435=0,"No discount",IF(T8435&lt;=0.2,"Low (1-20%)",IF(T8435&lt;=0.4,"Medium (21-40%)","High (&gt;40%)"))))</f>
        <v/>
      </c>
      <c r="Y8435" s="23" t="str">
        <f aca="false">IF(AND(ISNUMBER(C8435),ISNUMBER(D8435)),D8435-C8435,"")</f>
        <v/>
      </c>
      <c r="Z8435" s="23" t="str">
        <f aca="false">IF(B8435="","",IF(MATCH(B8435,$B$2:$B$12000,0)=ROW()-1,1,0))</f>
        <v/>
      </c>
    </row>
    <row r="8436" customFormat="false" ht="15" hidden="false" customHeight="false" outlineLevel="0" collapsed="false">
      <c r="V8436" s="23" t="str">
        <f aca="false">IF(ISNUMBER(C8436),YEAR(C8436),"")</f>
        <v/>
      </c>
      <c r="W8436" s="23" t="str">
        <f aca="false">IF(ISNUMBER(C8436),MONTH(C8436),"")</f>
        <v/>
      </c>
      <c r="X8436" s="23" t="str">
        <f aca="false">IF(T8436="","",IF(T8436=0,"No discount",IF(T8436&lt;=0.2,"Low (1-20%)",IF(T8436&lt;=0.4,"Medium (21-40%)","High (&gt;40%)"))))</f>
        <v/>
      </c>
      <c r="Y8436" s="23" t="str">
        <f aca="false">IF(AND(ISNUMBER(C8436),ISNUMBER(D8436)),D8436-C8436,"")</f>
        <v/>
      </c>
      <c r="Z8436" s="23" t="str">
        <f aca="false">IF(B8436="","",IF(MATCH(B8436,$B$2:$B$12000,0)=ROW()-1,1,0))</f>
        <v/>
      </c>
    </row>
    <row r="8437" customFormat="false" ht="15" hidden="false" customHeight="false" outlineLevel="0" collapsed="false">
      <c r="V8437" s="23" t="str">
        <f aca="false">IF(ISNUMBER(C8437),YEAR(C8437),"")</f>
        <v/>
      </c>
      <c r="W8437" s="23" t="str">
        <f aca="false">IF(ISNUMBER(C8437),MONTH(C8437),"")</f>
        <v/>
      </c>
      <c r="X8437" s="23" t="str">
        <f aca="false">IF(T8437="","",IF(T8437=0,"No discount",IF(T8437&lt;=0.2,"Low (1-20%)",IF(T8437&lt;=0.4,"Medium (21-40%)","High (&gt;40%)"))))</f>
        <v/>
      </c>
      <c r="Y8437" s="23" t="str">
        <f aca="false">IF(AND(ISNUMBER(C8437),ISNUMBER(D8437)),D8437-C8437,"")</f>
        <v/>
      </c>
      <c r="Z8437" s="23" t="str">
        <f aca="false">IF(B8437="","",IF(MATCH(B8437,$B$2:$B$12000,0)=ROW()-1,1,0))</f>
        <v/>
      </c>
    </row>
    <row r="8438" customFormat="false" ht="15" hidden="false" customHeight="false" outlineLevel="0" collapsed="false">
      <c r="V8438" s="23" t="str">
        <f aca="false">IF(ISNUMBER(C8438),YEAR(C8438),"")</f>
        <v/>
      </c>
      <c r="W8438" s="23" t="str">
        <f aca="false">IF(ISNUMBER(C8438),MONTH(C8438),"")</f>
        <v/>
      </c>
      <c r="X8438" s="23" t="str">
        <f aca="false">IF(T8438="","",IF(T8438=0,"No discount",IF(T8438&lt;=0.2,"Low (1-20%)",IF(T8438&lt;=0.4,"Medium (21-40%)","High (&gt;40%)"))))</f>
        <v/>
      </c>
      <c r="Y8438" s="23" t="str">
        <f aca="false">IF(AND(ISNUMBER(C8438),ISNUMBER(D8438)),D8438-C8438,"")</f>
        <v/>
      </c>
      <c r="Z8438" s="23" t="str">
        <f aca="false">IF(B8438="","",IF(MATCH(B8438,$B$2:$B$12000,0)=ROW()-1,1,0))</f>
        <v/>
      </c>
    </row>
    <row r="8439" customFormat="false" ht="15" hidden="false" customHeight="false" outlineLevel="0" collapsed="false">
      <c r="V8439" s="23" t="str">
        <f aca="false">IF(ISNUMBER(C8439),YEAR(C8439),"")</f>
        <v/>
      </c>
      <c r="W8439" s="23" t="str">
        <f aca="false">IF(ISNUMBER(C8439),MONTH(C8439),"")</f>
        <v/>
      </c>
      <c r="X8439" s="23" t="str">
        <f aca="false">IF(T8439="","",IF(T8439=0,"No discount",IF(T8439&lt;=0.2,"Low (1-20%)",IF(T8439&lt;=0.4,"Medium (21-40%)","High (&gt;40%)"))))</f>
        <v/>
      </c>
      <c r="Y8439" s="23" t="str">
        <f aca="false">IF(AND(ISNUMBER(C8439),ISNUMBER(D8439)),D8439-C8439,"")</f>
        <v/>
      </c>
      <c r="Z8439" s="23" t="str">
        <f aca="false">IF(B8439="","",IF(MATCH(B8439,$B$2:$B$12000,0)=ROW()-1,1,0))</f>
        <v/>
      </c>
    </row>
    <row r="8440" customFormat="false" ht="15" hidden="false" customHeight="false" outlineLevel="0" collapsed="false">
      <c r="V8440" s="23" t="str">
        <f aca="false">IF(ISNUMBER(C8440),YEAR(C8440),"")</f>
        <v/>
      </c>
      <c r="W8440" s="23" t="str">
        <f aca="false">IF(ISNUMBER(C8440),MONTH(C8440),"")</f>
        <v/>
      </c>
      <c r="X8440" s="23" t="str">
        <f aca="false">IF(T8440="","",IF(T8440=0,"No discount",IF(T8440&lt;=0.2,"Low (1-20%)",IF(T8440&lt;=0.4,"Medium (21-40%)","High (&gt;40%)"))))</f>
        <v/>
      </c>
      <c r="Y8440" s="23" t="str">
        <f aca="false">IF(AND(ISNUMBER(C8440),ISNUMBER(D8440)),D8440-C8440,"")</f>
        <v/>
      </c>
      <c r="Z8440" s="23" t="str">
        <f aca="false">IF(B8440="","",IF(MATCH(B8440,$B$2:$B$12000,0)=ROW()-1,1,0))</f>
        <v/>
      </c>
    </row>
    <row r="8441" customFormat="false" ht="15" hidden="false" customHeight="false" outlineLevel="0" collapsed="false">
      <c r="V8441" s="23" t="str">
        <f aca="false">IF(ISNUMBER(C8441),YEAR(C8441),"")</f>
        <v/>
      </c>
      <c r="W8441" s="23" t="str">
        <f aca="false">IF(ISNUMBER(C8441),MONTH(C8441),"")</f>
        <v/>
      </c>
      <c r="X8441" s="23" t="str">
        <f aca="false">IF(T8441="","",IF(T8441=0,"No discount",IF(T8441&lt;=0.2,"Low (1-20%)",IF(T8441&lt;=0.4,"Medium (21-40%)","High (&gt;40%)"))))</f>
        <v/>
      </c>
      <c r="Y8441" s="23" t="str">
        <f aca="false">IF(AND(ISNUMBER(C8441),ISNUMBER(D8441)),D8441-C8441,"")</f>
        <v/>
      </c>
      <c r="Z8441" s="23" t="str">
        <f aca="false">IF(B8441="","",IF(MATCH(B8441,$B$2:$B$12000,0)=ROW()-1,1,0))</f>
        <v/>
      </c>
    </row>
    <row r="8442" customFormat="false" ht="15" hidden="false" customHeight="false" outlineLevel="0" collapsed="false">
      <c r="V8442" s="23" t="str">
        <f aca="false">IF(ISNUMBER(C8442),YEAR(C8442),"")</f>
        <v/>
      </c>
      <c r="W8442" s="23" t="str">
        <f aca="false">IF(ISNUMBER(C8442),MONTH(C8442),"")</f>
        <v/>
      </c>
      <c r="X8442" s="23" t="str">
        <f aca="false">IF(T8442="","",IF(T8442=0,"No discount",IF(T8442&lt;=0.2,"Low (1-20%)",IF(T8442&lt;=0.4,"Medium (21-40%)","High (&gt;40%)"))))</f>
        <v/>
      </c>
      <c r="Y8442" s="23" t="str">
        <f aca="false">IF(AND(ISNUMBER(C8442),ISNUMBER(D8442)),D8442-C8442,"")</f>
        <v/>
      </c>
      <c r="Z8442" s="23" t="str">
        <f aca="false">IF(B8442="","",IF(MATCH(B8442,$B$2:$B$12000,0)=ROW()-1,1,0))</f>
        <v/>
      </c>
    </row>
    <row r="8443" customFormat="false" ht="15" hidden="false" customHeight="false" outlineLevel="0" collapsed="false">
      <c r="V8443" s="23" t="str">
        <f aca="false">IF(ISNUMBER(C8443),YEAR(C8443),"")</f>
        <v/>
      </c>
      <c r="W8443" s="23" t="str">
        <f aca="false">IF(ISNUMBER(C8443),MONTH(C8443),"")</f>
        <v/>
      </c>
      <c r="X8443" s="23" t="str">
        <f aca="false">IF(T8443="","",IF(T8443=0,"No discount",IF(T8443&lt;=0.2,"Low (1-20%)",IF(T8443&lt;=0.4,"Medium (21-40%)","High (&gt;40%)"))))</f>
        <v/>
      </c>
      <c r="Y8443" s="23" t="str">
        <f aca="false">IF(AND(ISNUMBER(C8443),ISNUMBER(D8443)),D8443-C8443,"")</f>
        <v/>
      </c>
      <c r="Z8443" s="23" t="str">
        <f aca="false">IF(B8443="","",IF(MATCH(B8443,$B$2:$B$12000,0)=ROW()-1,1,0))</f>
        <v/>
      </c>
    </row>
    <row r="8444" customFormat="false" ht="15" hidden="false" customHeight="false" outlineLevel="0" collapsed="false">
      <c r="V8444" s="23" t="str">
        <f aca="false">IF(ISNUMBER(C8444),YEAR(C8444),"")</f>
        <v/>
      </c>
      <c r="W8444" s="23" t="str">
        <f aca="false">IF(ISNUMBER(C8444),MONTH(C8444),"")</f>
        <v/>
      </c>
      <c r="X8444" s="23" t="str">
        <f aca="false">IF(T8444="","",IF(T8444=0,"No discount",IF(T8444&lt;=0.2,"Low (1-20%)",IF(T8444&lt;=0.4,"Medium (21-40%)","High (&gt;40%)"))))</f>
        <v/>
      </c>
      <c r="Y8444" s="23" t="str">
        <f aca="false">IF(AND(ISNUMBER(C8444),ISNUMBER(D8444)),D8444-C8444,"")</f>
        <v/>
      </c>
      <c r="Z8444" s="23" t="str">
        <f aca="false">IF(B8444="","",IF(MATCH(B8444,$B$2:$B$12000,0)=ROW()-1,1,0))</f>
        <v/>
      </c>
    </row>
    <row r="8445" customFormat="false" ht="15" hidden="false" customHeight="false" outlineLevel="0" collapsed="false">
      <c r="V8445" s="23" t="str">
        <f aca="false">IF(ISNUMBER(C8445),YEAR(C8445),"")</f>
        <v/>
      </c>
      <c r="W8445" s="23" t="str">
        <f aca="false">IF(ISNUMBER(C8445),MONTH(C8445),"")</f>
        <v/>
      </c>
      <c r="X8445" s="23" t="str">
        <f aca="false">IF(T8445="","",IF(T8445=0,"No discount",IF(T8445&lt;=0.2,"Low (1-20%)",IF(T8445&lt;=0.4,"Medium (21-40%)","High (&gt;40%)"))))</f>
        <v/>
      </c>
      <c r="Y8445" s="23" t="str">
        <f aca="false">IF(AND(ISNUMBER(C8445),ISNUMBER(D8445)),D8445-C8445,"")</f>
        <v/>
      </c>
      <c r="Z8445" s="23" t="str">
        <f aca="false">IF(B8445="","",IF(MATCH(B8445,$B$2:$B$12000,0)=ROW()-1,1,0))</f>
        <v/>
      </c>
    </row>
    <row r="8446" customFormat="false" ht="15" hidden="false" customHeight="false" outlineLevel="0" collapsed="false">
      <c r="V8446" s="23" t="str">
        <f aca="false">IF(ISNUMBER(C8446),YEAR(C8446),"")</f>
        <v/>
      </c>
      <c r="W8446" s="23" t="str">
        <f aca="false">IF(ISNUMBER(C8446),MONTH(C8446),"")</f>
        <v/>
      </c>
      <c r="X8446" s="23" t="str">
        <f aca="false">IF(T8446="","",IF(T8446=0,"No discount",IF(T8446&lt;=0.2,"Low (1-20%)",IF(T8446&lt;=0.4,"Medium (21-40%)","High (&gt;40%)"))))</f>
        <v/>
      </c>
      <c r="Y8446" s="23" t="str">
        <f aca="false">IF(AND(ISNUMBER(C8446),ISNUMBER(D8446)),D8446-C8446,"")</f>
        <v/>
      </c>
      <c r="Z8446" s="23" t="str">
        <f aca="false">IF(B8446="","",IF(MATCH(B8446,$B$2:$B$12000,0)=ROW()-1,1,0))</f>
        <v/>
      </c>
    </row>
    <row r="8447" customFormat="false" ht="15" hidden="false" customHeight="false" outlineLevel="0" collapsed="false">
      <c r="V8447" s="23" t="str">
        <f aca="false">IF(ISNUMBER(C8447),YEAR(C8447),"")</f>
        <v/>
      </c>
      <c r="W8447" s="23" t="str">
        <f aca="false">IF(ISNUMBER(C8447),MONTH(C8447),"")</f>
        <v/>
      </c>
      <c r="X8447" s="23" t="str">
        <f aca="false">IF(T8447="","",IF(T8447=0,"No discount",IF(T8447&lt;=0.2,"Low (1-20%)",IF(T8447&lt;=0.4,"Medium (21-40%)","High (&gt;40%)"))))</f>
        <v/>
      </c>
      <c r="Y8447" s="23" t="str">
        <f aca="false">IF(AND(ISNUMBER(C8447),ISNUMBER(D8447)),D8447-C8447,"")</f>
        <v/>
      </c>
      <c r="Z8447" s="23" t="str">
        <f aca="false">IF(B8447="","",IF(MATCH(B8447,$B$2:$B$12000,0)=ROW()-1,1,0))</f>
        <v/>
      </c>
    </row>
    <row r="8448" customFormat="false" ht="15" hidden="false" customHeight="false" outlineLevel="0" collapsed="false">
      <c r="V8448" s="23" t="str">
        <f aca="false">IF(ISNUMBER(C8448),YEAR(C8448),"")</f>
        <v/>
      </c>
      <c r="W8448" s="23" t="str">
        <f aca="false">IF(ISNUMBER(C8448),MONTH(C8448),"")</f>
        <v/>
      </c>
      <c r="X8448" s="23" t="str">
        <f aca="false">IF(T8448="","",IF(T8448=0,"No discount",IF(T8448&lt;=0.2,"Low (1-20%)",IF(T8448&lt;=0.4,"Medium (21-40%)","High (&gt;40%)"))))</f>
        <v/>
      </c>
      <c r="Y8448" s="23" t="str">
        <f aca="false">IF(AND(ISNUMBER(C8448),ISNUMBER(D8448)),D8448-C8448,"")</f>
        <v/>
      </c>
      <c r="Z8448" s="23" t="str">
        <f aca="false">IF(B8448="","",IF(MATCH(B8448,$B$2:$B$12000,0)=ROW()-1,1,0))</f>
        <v/>
      </c>
    </row>
    <row r="8449" customFormat="false" ht="15" hidden="false" customHeight="false" outlineLevel="0" collapsed="false">
      <c r="V8449" s="23" t="str">
        <f aca="false">IF(ISNUMBER(C8449),YEAR(C8449),"")</f>
        <v/>
      </c>
      <c r="W8449" s="23" t="str">
        <f aca="false">IF(ISNUMBER(C8449),MONTH(C8449),"")</f>
        <v/>
      </c>
      <c r="X8449" s="23" t="str">
        <f aca="false">IF(T8449="","",IF(T8449=0,"No discount",IF(T8449&lt;=0.2,"Low (1-20%)",IF(T8449&lt;=0.4,"Medium (21-40%)","High (&gt;40%)"))))</f>
        <v/>
      </c>
      <c r="Y8449" s="23" t="str">
        <f aca="false">IF(AND(ISNUMBER(C8449),ISNUMBER(D8449)),D8449-C8449,"")</f>
        <v/>
      </c>
      <c r="Z8449" s="23" t="str">
        <f aca="false">IF(B8449="","",IF(MATCH(B8449,$B$2:$B$12000,0)=ROW()-1,1,0))</f>
        <v/>
      </c>
    </row>
    <row r="8450" customFormat="false" ht="15" hidden="false" customHeight="false" outlineLevel="0" collapsed="false">
      <c r="V8450" s="23" t="str">
        <f aca="false">IF(ISNUMBER(C8450),YEAR(C8450),"")</f>
        <v/>
      </c>
      <c r="W8450" s="23" t="str">
        <f aca="false">IF(ISNUMBER(C8450),MONTH(C8450),"")</f>
        <v/>
      </c>
      <c r="X8450" s="23" t="str">
        <f aca="false">IF(T8450="","",IF(T8450=0,"No discount",IF(T8450&lt;=0.2,"Low (1-20%)",IF(T8450&lt;=0.4,"Medium (21-40%)","High (&gt;40%)"))))</f>
        <v/>
      </c>
      <c r="Y8450" s="23" t="str">
        <f aca="false">IF(AND(ISNUMBER(C8450),ISNUMBER(D8450)),D8450-C8450,"")</f>
        <v/>
      </c>
      <c r="Z8450" s="23" t="str">
        <f aca="false">IF(B8450="","",IF(MATCH(B8450,$B$2:$B$12000,0)=ROW()-1,1,0))</f>
        <v/>
      </c>
    </row>
    <row r="8451" customFormat="false" ht="15" hidden="false" customHeight="false" outlineLevel="0" collapsed="false">
      <c r="V8451" s="23" t="str">
        <f aca="false">IF(ISNUMBER(C8451),YEAR(C8451),"")</f>
        <v/>
      </c>
      <c r="W8451" s="23" t="str">
        <f aca="false">IF(ISNUMBER(C8451),MONTH(C8451),"")</f>
        <v/>
      </c>
      <c r="X8451" s="23" t="str">
        <f aca="false">IF(T8451="","",IF(T8451=0,"No discount",IF(T8451&lt;=0.2,"Low (1-20%)",IF(T8451&lt;=0.4,"Medium (21-40%)","High (&gt;40%)"))))</f>
        <v/>
      </c>
      <c r="Y8451" s="23" t="str">
        <f aca="false">IF(AND(ISNUMBER(C8451),ISNUMBER(D8451)),D8451-C8451,"")</f>
        <v/>
      </c>
      <c r="Z8451" s="23" t="str">
        <f aca="false">IF(B8451="","",IF(MATCH(B8451,$B$2:$B$12000,0)=ROW()-1,1,0))</f>
        <v/>
      </c>
    </row>
    <row r="8452" customFormat="false" ht="15" hidden="false" customHeight="false" outlineLevel="0" collapsed="false">
      <c r="V8452" s="23" t="str">
        <f aca="false">IF(ISNUMBER(C8452),YEAR(C8452),"")</f>
        <v/>
      </c>
      <c r="W8452" s="23" t="str">
        <f aca="false">IF(ISNUMBER(C8452),MONTH(C8452),"")</f>
        <v/>
      </c>
      <c r="X8452" s="23" t="str">
        <f aca="false">IF(T8452="","",IF(T8452=0,"No discount",IF(T8452&lt;=0.2,"Low (1-20%)",IF(T8452&lt;=0.4,"Medium (21-40%)","High (&gt;40%)"))))</f>
        <v/>
      </c>
      <c r="Y8452" s="23" t="str">
        <f aca="false">IF(AND(ISNUMBER(C8452),ISNUMBER(D8452)),D8452-C8452,"")</f>
        <v/>
      </c>
      <c r="Z8452" s="23" t="str">
        <f aca="false">IF(B8452="","",IF(MATCH(B8452,$B$2:$B$12000,0)=ROW()-1,1,0))</f>
        <v/>
      </c>
    </row>
    <row r="8453" customFormat="false" ht="15" hidden="false" customHeight="false" outlineLevel="0" collapsed="false">
      <c r="V8453" s="23" t="str">
        <f aca="false">IF(ISNUMBER(C8453),YEAR(C8453),"")</f>
        <v/>
      </c>
      <c r="W8453" s="23" t="str">
        <f aca="false">IF(ISNUMBER(C8453),MONTH(C8453),"")</f>
        <v/>
      </c>
      <c r="X8453" s="23" t="str">
        <f aca="false">IF(T8453="","",IF(T8453=0,"No discount",IF(T8453&lt;=0.2,"Low (1-20%)",IF(T8453&lt;=0.4,"Medium (21-40%)","High (&gt;40%)"))))</f>
        <v/>
      </c>
      <c r="Y8453" s="23" t="str">
        <f aca="false">IF(AND(ISNUMBER(C8453),ISNUMBER(D8453)),D8453-C8453,"")</f>
        <v/>
      </c>
      <c r="Z8453" s="23" t="str">
        <f aca="false">IF(B8453="","",IF(MATCH(B8453,$B$2:$B$12000,0)=ROW()-1,1,0))</f>
        <v/>
      </c>
    </row>
    <row r="8454" customFormat="false" ht="15" hidden="false" customHeight="false" outlineLevel="0" collapsed="false">
      <c r="V8454" s="23" t="str">
        <f aca="false">IF(ISNUMBER(C8454),YEAR(C8454),"")</f>
        <v/>
      </c>
      <c r="W8454" s="23" t="str">
        <f aca="false">IF(ISNUMBER(C8454),MONTH(C8454),"")</f>
        <v/>
      </c>
      <c r="X8454" s="23" t="str">
        <f aca="false">IF(T8454="","",IF(T8454=0,"No discount",IF(T8454&lt;=0.2,"Low (1-20%)",IF(T8454&lt;=0.4,"Medium (21-40%)","High (&gt;40%)"))))</f>
        <v/>
      </c>
      <c r="Y8454" s="23" t="str">
        <f aca="false">IF(AND(ISNUMBER(C8454),ISNUMBER(D8454)),D8454-C8454,"")</f>
        <v/>
      </c>
      <c r="Z8454" s="23" t="str">
        <f aca="false">IF(B8454="","",IF(MATCH(B8454,$B$2:$B$12000,0)=ROW()-1,1,0))</f>
        <v/>
      </c>
    </row>
    <row r="8455" customFormat="false" ht="15" hidden="false" customHeight="false" outlineLevel="0" collapsed="false">
      <c r="V8455" s="23" t="str">
        <f aca="false">IF(ISNUMBER(C8455),YEAR(C8455),"")</f>
        <v/>
      </c>
      <c r="W8455" s="23" t="str">
        <f aca="false">IF(ISNUMBER(C8455),MONTH(C8455),"")</f>
        <v/>
      </c>
      <c r="X8455" s="23" t="str">
        <f aca="false">IF(T8455="","",IF(T8455=0,"No discount",IF(T8455&lt;=0.2,"Low (1-20%)",IF(T8455&lt;=0.4,"Medium (21-40%)","High (&gt;40%)"))))</f>
        <v/>
      </c>
      <c r="Y8455" s="23" t="str">
        <f aca="false">IF(AND(ISNUMBER(C8455),ISNUMBER(D8455)),D8455-C8455,"")</f>
        <v/>
      </c>
      <c r="Z8455" s="23" t="str">
        <f aca="false">IF(B8455="","",IF(MATCH(B8455,$B$2:$B$12000,0)=ROW()-1,1,0))</f>
        <v/>
      </c>
    </row>
    <row r="8456" customFormat="false" ht="15" hidden="false" customHeight="false" outlineLevel="0" collapsed="false">
      <c r="V8456" s="23" t="str">
        <f aca="false">IF(ISNUMBER(C8456),YEAR(C8456),"")</f>
        <v/>
      </c>
      <c r="W8456" s="23" t="str">
        <f aca="false">IF(ISNUMBER(C8456),MONTH(C8456),"")</f>
        <v/>
      </c>
      <c r="X8456" s="23" t="str">
        <f aca="false">IF(T8456="","",IF(T8456=0,"No discount",IF(T8456&lt;=0.2,"Low (1-20%)",IF(T8456&lt;=0.4,"Medium (21-40%)","High (&gt;40%)"))))</f>
        <v/>
      </c>
      <c r="Y8456" s="23" t="str">
        <f aca="false">IF(AND(ISNUMBER(C8456),ISNUMBER(D8456)),D8456-C8456,"")</f>
        <v/>
      </c>
      <c r="Z8456" s="23" t="str">
        <f aca="false">IF(B8456="","",IF(MATCH(B8456,$B$2:$B$12000,0)=ROW()-1,1,0))</f>
        <v/>
      </c>
    </row>
    <row r="8457" customFormat="false" ht="15" hidden="false" customHeight="false" outlineLevel="0" collapsed="false">
      <c r="V8457" s="23" t="str">
        <f aca="false">IF(ISNUMBER(C8457),YEAR(C8457),"")</f>
        <v/>
      </c>
      <c r="W8457" s="23" t="str">
        <f aca="false">IF(ISNUMBER(C8457),MONTH(C8457),"")</f>
        <v/>
      </c>
      <c r="X8457" s="23" t="str">
        <f aca="false">IF(T8457="","",IF(T8457=0,"No discount",IF(T8457&lt;=0.2,"Low (1-20%)",IF(T8457&lt;=0.4,"Medium (21-40%)","High (&gt;40%)"))))</f>
        <v/>
      </c>
      <c r="Y8457" s="23" t="str">
        <f aca="false">IF(AND(ISNUMBER(C8457),ISNUMBER(D8457)),D8457-C8457,"")</f>
        <v/>
      </c>
      <c r="Z8457" s="23" t="str">
        <f aca="false">IF(B8457="","",IF(MATCH(B8457,$B$2:$B$12000,0)=ROW()-1,1,0))</f>
        <v/>
      </c>
    </row>
    <row r="8458" customFormat="false" ht="15" hidden="false" customHeight="false" outlineLevel="0" collapsed="false">
      <c r="V8458" s="23" t="str">
        <f aca="false">IF(ISNUMBER(C8458),YEAR(C8458),"")</f>
        <v/>
      </c>
      <c r="W8458" s="23" t="str">
        <f aca="false">IF(ISNUMBER(C8458),MONTH(C8458),"")</f>
        <v/>
      </c>
      <c r="X8458" s="23" t="str">
        <f aca="false">IF(T8458="","",IF(T8458=0,"No discount",IF(T8458&lt;=0.2,"Low (1-20%)",IF(T8458&lt;=0.4,"Medium (21-40%)","High (&gt;40%)"))))</f>
        <v/>
      </c>
      <c r="Y8458" s="23" t="str">
        <f aca="false">IF(AND(ISNUMBER(C8458),ISNUMBER(D8458)),D8458-C8458,"")</f>
        <v/>
      </c>
      <c r="Z8458" s="23" t="str">
        <f aca="false">IF(B8458="","",IF(MATCH(B8458,$B$2:$B$12000,0)=ROW()-1,1,0))</f>
        <v/>
      </c>
    </row>
    <row r="8459" customFormat="false" ht="15" hidden="false" customHeight="false" outlineLevel="0" collapsed="false">
      <c r="V8459" s="23" t="str">
        <f aca="false">IF(ISNUMBER(C8459),YEAR(C8459),"")</f>
        <v/>
      </c>
      <c r="W8459" s="23" t="str">
        <f aca="false">IF(ISNUMBER(C8459),MONTH(C8459),"")</f>
        <v/>
      </c>
      <c r="X8459" s="23" t="str">
        <f aca="false">IF(T8459="","",IF(T8459=0,"No discount",IF(T8459&lt;=0.2,"Low (1-20%)",IF(T8459&lt;=0.4,"Medium (21-40%)","High (&gt;40%)"))))</f>
        <v/>
      </c>
      <c r="Y8459" s="23" t="str">
        <f aca="false">IF(AND(ISNUMBER(C8459),ISNUMBER(D8459)),D8459-C8459,"")</f>
        <v/>
      </c>
      <c r="Z8459" s="23" t="str">
        <f aca="false">IF(B8459="","",IF(MATCH(B8459,$B$2:$B$12000,0)=ROW()-1,1,0))</f>
        <v/>
      </c>
    </row>
    <row r="8460" customFormat="false" ht="15" hidden="false" customHeight="false" outlineLevel="0" collapsed="false">
      <c r="V8460" s="23" t="str">
        <f aca="false">IF(ISNUMBER(C8460),YEAR(C8460),"")</f>
        <v/>
      </c>
      <c r="W8460" s="23" t="str">
        <f aca="false">IF(ISNUMBER(C8460),MONTH(C8460),"")</f>
        <v/>
      </c>
      <c r="X8460" s="23" t="str">
        <f aca="false">IF(T8460="","",IF(T8460=0,"No discount",IF(T8460&lt;=0.2,"Low (1-20%)",IF(T8460&lt;=0.4,"Medium (21-40%)","High (&gt;40%)"))))</f>
        <v/>
      </c>
      <c r="Y8460" s="23" t="str">
        <f aca="false">IF(AND(ISNUMBER(C8460),ISNUMBER(D8460)),D8460-C8460,"")</f>
        <v/>
      </c>
      <c r="Z8460" s="23" t="str">
        <f aca="false">IF(B8460="","",IF(MATCH(B8460,$B$2:$B$12000,0)=ROW()-1,1,0))</f>
        <v/>
      </c>
    </row>
    <row r="8461" customFormat="false" ht="15" hidden="false" customHeight="false" outlineLevel="0" collapsed="false">
      <c r="V8461" s="23" t="str">
        <f aca="false">IF(ISNUMBER(C8461),YEAR(C8461),"")</f>
        <v/>
      </c>
      <c r="W8461" s="23" t="str">
        <f aca="false">IF(ISNUMBER(C8461),MONTH(C8461),"")</f>
        <v/>
      </c>
      <c r="X8461" s="23" t="str">
        <f aca="false">IF(T8461="","",IF(T8461=0,"No discount",IF(T8461&lt;=0.2,"Low (1-20%)",IF(T8461&lt;=0.4,"Medium (21-40%)","High (&gt;40%)"))))</f>
        <v/>
      </c>
      <c r="Y8461" s="23" t="str">
        <f aca="false">IF(AND(ISNUMBER(C8461),ISNUMBER(D8461)),D8461-C8461,"")</f>
        <v/>
      </c>
      <c r="Z8461" s="23" t="str">
        <f aca="false">IF(B8461="","",IF(MATCH(B8461,$B$2:$B$12000,0)=ROW()-1,1,0))</f>
        <v/>
      </c>
    </row>
    <row r="8462" customFormat="false" ht="15" hidden="false" customHeight="false" outlineLevel="0" collapsed="false">
      <c r="V8462" s="23" t="str">
        <f aca="false">IF(ISNUMBER(C8462),YEAR(C8462),"")</f>
        <v/>
      </c>
      <c r="W8462" s="23" t="str">
        <f aca="false">IF(ISNUMBER(C8462),MONTH(C8462),"")</f>
        <v/>
      </c>
      <c r="X8462" s="23" t="str">
        <f aca="false">IF(T8462="","",IF(T8462=0,"No discount",IF(T8462&lt;=0.2,"Low (1-20%)",IF(T8462&lt;=0.4,"Medium (21-40%)","High (&gt;40%)"))))</f>
        <v/>
      </c>
      <c r="Y8462" s="23" t="str">
        <f aca="false">IF(AND(ISNUMBER(C8462),ISNUMBER(D8462)),D8462-C8462,"")</f>
        <v/>
      </c>
      <c r="Z8462" s="23" t="str">
        <f aca="false">IF(B8462="","",IF(MATCH(B8462,$B$2:$B$12000,0)=ROW()-1,1,0))</f>
        <v/>
      </c>
    </row>
    <row r="8463" customFormat="false" ht="15" hidden="false" customHeight="false" outlineLevel="0" collapsed="false">
      <c r="V8463" s="23" t="str">
        <f aca="false">IF(ISNUMBER(C8463),YEAR(C8463),"")</f>
        <v/>
      </c>
      <c r="W8463" s="23" t="str">
        <f aca="false">IF(ISNUMBER(C8463),MONTH(C8463),"")</f>
        <v/>
      </c>
      <c r="X8463" s="23" t="str">
        <f aca="false">IF(T8463="","",IF(T8463=0,"No discount",IF(T8463&lt;=0.2,"Low (1-20%)",IF(T8463&lt;=0.4,"Medium (21-40%)","High (&gt;40%)"))))</f>
        <v/>
      </c>
      <c r="Y8463" s="23" t="str">
        <f aca="false">IF(AND(ISNUMBER(C8463),ISNUMBER(D8463)),D8463-C8463,"")</f>
        <v/>
      </c>
      <c r="Z8463" s="23" t="str">
        <f aca="false">IF(B8463="","",IF(MATCH(B8463,$B$2:$B$12000,0)=ROW()-1,1,0))</f>
        <v/>
      </c>
    </row>
    <row r="8464" customFormat="false" ht="15" hidden="false" customHeight="false" outlineLevel="0" collapsed="false">
      <c r="V8464" s="23" t="str">
        <f aca="false">IF(ISNUMBER(C8464),YEAR(C8464),"")</f>
        <v/>
      </c>
      <c r="W8464" s="23" t="str">
        <f aca="false">IF(ISNUMBER(C8464),MONTH(C8464),"")</f>
        <v/>
      </c>
      <c r="X8464" s="23" t="str">
        <f aca="false">IF(T8464="","",IF(T8464=0,"No discount",IF(T8464&lt;=0.2,"Low (1-20%)",IF(T8464&lt;=0.4,"Medium (21-40%)","High (&gt;40%)"))))</f>
        <v/>
      </c>
      <c r="Y8464" s="23" t="str">
        <f aca="false">IF(AND(ISNUMBER(C8464),ISNUMBER(D8464)),D8464-C8464,"")</f>
        <v/>
      </c>
      <c r="Z8464" s="23" t="str">
        <f aca="false">IF(B8464="","",IF(MATCH(B8464,$B$2:$B$12000,0)=ROW()-1,1,0))</f>
        <v/>
      </c>
    </row>
    <row r="8465" customFormat="false" ht="15" hidden="false" customHeight="false" outlineLevel="0" collapsed="false">
      <c r="V8465" s="23" t="str">
        <f aca="false">IF(ISNUMBER(C8465),YEAR(C8465),"")</f>
        <v/>
      </c>
      <c r="W8465" s="23" t="str">
        <f aca="false">IF(ISNUMBER(C8465),MONTH(C8465),"")</f>
        <v/>
      </c>
      <c r="X8465" s="23" t="str">
        <f aca="false">IF(T8465="","",IF(T8465=0,"No discount",IF(T8465&lt;=0.2,"Low (1-20%)",IF(T8465&lt;=0.4,"Medium (21-40%)","High (&gt;40%)"))))</f>
        <v/>
      </c>
      <c r="Y8465" s="23" t="str">
        <f aca="false">IF(AND(ISNUMBER(C8465),ISNUMBER(D8465)),D8465-C8465,"")</f>
        <v/>
      </c>
      <c r="Z8465" s="23" t="str">
        <f aca="false">IF(B8465="","",IF(MATCH(B8465,$B$2:$B$12000,0)=ROW()-1,1,0))</f>
        <v/>
      </c>
    </row>
    <row r="8466" customFormat="false" ht="15" hidden="false" customHeight="false" outlineLevel="0" collapsed="false">
      <c r="V8466" s="23" t="str">
        <f aca="false">IF(ISNUMBER(C8466),YEAR(C8466),"")</f>
        <v/>
      </c>
      <c r="W8466" s="23" t="str">
        <f aca="false">IF(ISNUMBER(C8466),MONTH(C8466),"")</f>
        <v/>
      </c>
      <c r="X8466" s="23" t="str">
        <f aca="false">IF(T8466="","",IF(T8466=0,"No discount",IF(T8466&lt;=0.2,"Low (1-20%)",IF(T8466&lt;=0.4,"Medium (21-40%)","High (&gt;40%)"))))</f>
        <v/>
      </c>
      <c r="Y8466" s="23" t="str">
        <f aca="false">IF(AND(ISNUMBER(C8466),ISNUMBER(D8466)),D8466-C8466,"")</f>
        <v/>
      </c>
      <c r="Z8466" s="23" t="str">
        <f aca="false">IF(B8466="","",IF(MATCH(B8466,$B$2:$B$12000,0)=ROW()-1,1,0))</f>
        <v/>
      </c>
    </row>
    <row r="8467" customFormat="false" ht="15" hidden="false" customHeight="false" outlineLevel="0" collapsed="false">
      <c r="V8467" s="23" t="str">
        <f aca="false">IF(ISNUMBER(C8467),YEAR(C8467),"")</f>
        <v/>
      </c>
      <c r="W8467" s="23" t="str">
        <f aca="false">IF(ISNUMBER(C8467),MONTH(C8467),"")</f>
        <v/>
      </c>
      <c r="X8467" s="23" t="str">
        <f aca="false">IF(T8467="","",IF(T8467=0,"No discount",IF(T8467&lt;=0.2,"Low (1-20%)",IF(T8467&lt;=0.4,"Medium (21-40%)","High (&gt;40%)"))))</f>
        <v/>
      </c>
      <c r="Y8467" s="23" t="str">
        <f aca="false">IF(AND(ISNUMBER(C8467),ISNUMBER(D8467)),D8467-C8467,"")</f>
        <v/>
      </c>
      <c r="Z8467" s="23" t="str">
        <f aca="false">IF(B8467="","",IF(MATCH(B8467,$B$2:$B$12000,0)=ROW()-1,1,0))</f>
        <v/>
      </c>
    </row>
    <row r="8468" customFormat="false" ht="15" hidden="false" customHeight="false" outlineLevel="0" collapsed="false">
      <c r="V8468" s="23" t="str">
        <f aca="false">IF(ISNUMBER(C8468),YEAR(C8468),"")</f>
        <v/>
      </c>
      <c r="W8468" s="23" t="str">
        <f aca="false">IF(ISNUMBER(C8468),MONTH(C8468),"")</f>
        <v/>
      </c>
      <c r="X8468" s="23" t="str">
        <f aca="false">IF(T8468="","",IF(T8468=0,"No discount",IF(T8468&lt;=0.2,"Low (1-20%)",IF(T8468&lt;=0.4,"Medium (21-40%)","High (&gt;40%)"))))</f>
        <v/>
      </c>
      <c r="Y8468" s="23" t="str">
        <f aca="false">IF(AND(ISNUMBER(C8468),ISNUMBER(D8468)),D8468-C8468,"")</f>
        <v/>
      </c>
      <c r="Z8468" s="23" t="str">
        <f aca="false">IF(B8468="","",IF(MATCH(B8468,$B$2:$B$12000,0)=ROW()-1,1,0))</f>
        <v/>
      </c>
    </row>
    <row r="8469" customFormat="false" ht="15" hidden="false" customHeight="false" outlineLevel="0" collapsed="false">
      <c r="V8469" s="23" t="str">
        <f aca="false">IF(ISNUMBER(C8469),YEAR(C8469),"")</f>
        <v/>
      </c>
      <c r="W8469" s="23" t="str">
        <f aca="false">IF(ISNUMBER(C8469),MONTH(C8469),"")</f>
        <v/>
      </c>
      <c r="X8469" s="23" t="str">
        <f aca="false">IF(T8469="","",IF(T8469=0,"No discount",IF(T8469&lt;=0.2,"Low (1-20%)",IF(T8469&lt;=0.4,"Medium (21-40%)","High (&gt;40%)"))))</f>
        <v/>
      </c>
      <c r="Y8469" s="23" t="str">
        <f aca="false">IF(AND(ISNUMBER(C8469),ISNUMBER(D8469)),D8469-C8469,"")</f>
        <v/>
      </c>
      <c r="Z8469" s="23" t="str">
        <f aca="false">IF(B8469="","",IF(MATCH(B8469,$B$2:$B$12000,0)=ROW()-1,1,0))</f>
        <v/>
      </c>
    </row>
    <row r="8470" customFormat="false" ht="15" hidden="false" customHeight="false" outlineLevel="0" collapsed="false">
      <c r="V8470" s="23" t="str">
        <f aca="false">IF(ISNUMBER(C8470),YEAR(C8470),"")</f>
        <v/>
      </c>
      <c r="W8470" s="23" t="str">
        <f aca="false">IF(ISNUMBER(C8470),MONTH(C8470),"")</f>
        <v/>
      </c>
      <c r="X8470" s="23" t="str">
        <f aca="false">IF(T8470="","",IF(T8470=0,"No discount",IF(T8470&lt;=0.2,"Low (1-20%)",IF(T8470&lt;=0.4,"Medium (21-40%)","High (&gt;40%)"))))</f>
        <v/>
      </c>
      <c r="Y8470" s="23" t="str">
        <f aca="false">IF(AND(ISNUMBER(C8470),ISNUMBER(D8470)),D8470-C8470,"")</f>
        <v/>
      </c>
      <c r="Z8470" s="23" t="str">
        <f aca="false">IF(B8470="","",IF(MATCH(B8470,$B$2:$B$12000,0)=ROW()-1,1,0))</f>
        <v/>
      </c>
    </row>
    <row r="8471" customFormat="false" ht="15" hidden="false" customHeight="false" outlineLevel="0" collapsed="false">
      <c r="V8471" s="23" t="str">
        <f aca="false">IF(ISNUMBER(C8471),YEAR(C8471),"")</f>
        <v/>
      </c>
      <c r="W8471" s="23" t="str">
        <f aca="false">IF(ISNUMBER(C8471),MONTH(C8471),"")</f>
        <v/>
      </c>
      <c r="X8471" s="23" t="str">
        <f aca="false">IF(T8471="","",IF(T8471=0,"No discount",IF(T8471&lt;=0.2,"Low (1-20%)",IF(T8471&lt;=0.4,"Medium (21-40%)","High (&gt;40%)"))))</f>
        <v/>
      </c>
      <c r="Y8471" s="23" t="str">
        <f aca="false">IF(AND(ISNUMBER(C8471),ISNUMBER(D8471)),D8471-C8471,"")</f>
        <v/>
      </c>
      <c r="Z8471" s="23" t="str">
        <f aca="false">IF(B8471="","",IF(MATCH(B8471,$B$2:$B$12000,0)=ROW()-1,1,0))</f>
        <v/>
      </c>
    </row>
    <row r="8472" customFormat="false" ht="15" hidden="false" customHeight="false" outlineLevel="0" collapsed="false">
      <c r="V8472" s="23" t="str">
        <f aca="false">IF(ISNUMBER(C8472),YEAR(C8472),"")</f>
        <v/>
      </c>
      <c r="W8472" s="23" t="str">
        <f aca="false">IF(ISNUMBER(C8472),MONTH(C8472),"")</f>
        <v/>
      </c>
      <c r="X8472" s="23" t="str">
        <f aca="false">IF(T8472="","",IF(T8472=0,"No discount",IF(T8472&lt;=0.2,"Low (1-20%)",IF(T8472&lt;=0.4,"Medium (21-40%)","High (&gt;40%)"))))</f>
        <v/>
      </c>
      <c r="Y8472" s="23" t="str">
        <f aca="false">IF(AND(ISNUMBER(C8472),ISNUMBER(D8472)),D8472-C8472,"")</f>
        <v/>
      </c>
      <c r="Z8472" s="23" t="str">
        <f aca="false">IF(B8472="","",IF(MATCH(B8472,$B$2:$B$12000,0)=ROW()-1,1,0))</f>
        <v/>
      </c>
    </row>
    <row r="8473" customFormat="false" ht="15" hidden="false" customHeight="false" outlineLevel="0" collapsed="false">
      <c r="V8473" s="23" t="str">
        <f aca="false">IF(ISNUMBER(C8473),YEAR(C8473),"")</f>
        <v/>
      </c>
      <c r="W8473" s="23" t="str">
        <f aca="false">IF(ISNUMBER(C8473),MONTH(C8473),"")</f>
        <v/>
      </c>
      <c r="X8473" s="23" t="str">
        <f aca="false">IF(T8473="","",IF(T8473=0,"No discount",IF(T8473&lt;=0.2,"Low (1-20%)",IF(T8473&lt;=0.4,"Medium (21-40%)","High (&gt;40%)"))))</f>
        <v/>
      </c>
      <c r="Y8473" s="23" t="str">
        <f aca="false">IF(AND(ISNUMBER(C8473),ISNUMBER(D8473)),D8473-C8473,"")</f>
        <v/>
      </c>
      <c r="Z8473" s="23" t="str">
        <f aca="false">IF(B8473="","",IF(MATCH(B8473,$B$2:$B$12000,0)=ROW()-1,1,0))</f>
        <v/>
      </c>
    </row>
    <row r="8474" customFormat="false" ht="15" hidden="false" customHeight="false" outlineLevel="0" collapsed="false">
      <c r="V8474" s="23" t="str">
        <f aca="false">IF(ISNUMBER(C8474),YEAR(C8474),"")</f>
        <v/>
      </c>
      <c r="W8474" s="23" t="str">
        <f aca="false">IF(ISNUMBER(C8474),MONTH(C8474),"")</f>
        <v/>
      </c>
      <c r="X8474" s="23" t="str">
        <f aca="false">IF(T8474="","",IF(T8474=0,"No discount",IF(T8474&lt;=0.2,"Low (1-20%)",IF(T8474&lt;=0.4,"Medium (21-40%)","High (&gt;40%)"))))</f>
        <v/>
      </c>
      <c r="Y8474" s="23" t="str">
        <f aca="false">IF(AND(ISNUMBER(C8474),ISNUMBER(D8474)),D8474-C8474,"")</f>
        <v/>
      </c>
      <c r="Z8474" s="23" t="str">
        <f aca="false">IF(B8474="","",IF(MATCH(B8474,$B$2:$B$12000,0)=ROW()-1,1,0))</f>
        <v/>
      </c>
    </row>
    <row r="8475" customFormat="false" ht="15" hidden="false" customHeight="false" outlineLevel="0" collapsed="false">
      <c r="V8475" s="23" t="str">
        <f aca="false">IF(ISNUMBER(C8475),YEAR(C8475),"")</f>
        <v/>
      </c>
      <c r="W8475" s="23" t="str">
        <f aca="false">IF(ISNUMBER(C8475),MONTH(C8475),"")</f>
        <v/>
      </c>
      <c r="X8475" s="23" t="str">
        <f aca="false">IF(T8475="","",IF(T8475=0,"No discount",IF(T8475&lt;=0.2,"Low (1-20%)",IF(T8475&lt;=0.4,"Medium (21-40%)","High (&gt;40%)"))))</f>
        <v/>
      </c>
      <c r="Y8475" s="23" t="str">
        <f aca="false">IF(AND(ISNUMBER(C8475),ISNUMBER(D8475)),D8475-C8475,"")</f>
        <v/>
      </c>
      <c r="Z8475" s="23" t="str">
        <f aca="false">IF(B8475="","",IF(MATCH(B8475,$B$2:$B$12000,0)=ROW()-1,1,0))</f>
        <v/>
      </c>
    </row>
    <row r="8476" customFormat="false" ht="15" hidden="false" customHeight="false" outlineLevel="0" collapsed="false">
      <c r="V8476" s="23" t="str">
        <f aca="false">IF(ISNUMBER(C8476),YEAR(C8476),"")</f>
        <v/>
      </c>
      <c r="W8476" s="23" t="str">
        <f aca="false">IF(ISNUMBER(C8476),MONTH(C8476),"")</f>
        <v/>
      </c>
      <c r="X8476" s="23" t="str">
        <f aca="false">IF(T8476="","",IF(T8476=0,"No discount",IF(T8476&lt;=0.2,"Low (1-20%)",IF(T8476&lt;=0.4,"Medium (21-40%)","High (&gt;40%)"))))</f>
        <v/>
      </c>
      <c r="Y8476" s="23" t="str">
        <f aca="false">IF(AND(ISNUMBER(C8476),ISNUMBER(D8476)),D8476-C8476,"")</f>
        <v/>
      </c>
      <c r="Z8476" s="23" t="str">
        <f aca="false">IF(B8476="","",IF(MATCH(B8476,$B$2:$B$12000,0)=ROW()-1,1,0))</f>
        <v/>
      </c>
    </row>
    <row r="8477" customFormat="false" ht="15" hidden="false" customHeight="false" outlineLevel="0" collapsed="false">
      <c r="V8477" s="23" t="str">
        <f aca="false">IF(ISNUMBER(C8477),YEAR(C8477),"")</f>
        <v/>
      </c>
      <c r="W8477" s="23" t="str">
        <f aca="false">IF(ISNUMBER(C8477),MONTH(C8477),"")</f>
        <v/>
      </c>
      <c r="X8477" s="23" t="str">
        <f aca="false">IF(T8477="","",IF(T8477=0,"No discount",IF(T8477&lt;=0.2,"Low (1-20%)",IF(T8477&lt;=0.4,"Medium (21-40%)","High (&gt;40%)"))))</f>
        <v/>
      </c>
      <c r="Y8477" s="23" t="str">
        <f aca="false">IF(AND(ISNUMBER(C8477),ISNUMBER(D8477)),D8477-C8477,"")</f>
        <v/>
      </c>
      <c r="Z8477" s="23" t="str">
        <f aca="false">IF(B8477="","",IF(MATCH(B8477,$B$2:$B$12000,0)=ROW()-1,1,0))</f>
        <v/>
      </c>
    </row>
    <row r="8478" customFormat="false" ht="15" hidden="false" customHeight="false" outlineLevel="0" collapsed="false">
      <c r="V8478" s="23" t="str">
        <f aca="false">IF(ISNUMBER(C8478),YEAR(C8478),"")</f>
        <v/>
      </c>
      <c r="W8478" s="23" t="str">
        <f aca="false">IF(ISNUMBER(C8478),MONTH(C8478),"")</f>
        <v/>
      </c>
      <c r="X8478" s="23" t="str">
        <f aca="false">IF(T8478="","",IF(T8478=0,"No discount",IF(T8478&lt;=0.2,"Low (1-20%)",IF(T8478&lt;=0.4,"Medium (21-40%)","High (&gt;40%)"))))</f>
        <v/>
      </c>
      <c r="Y8478" s="23" t="str">
        <f aca="false">IF(AND(ISNUMBER(C8478),ISNUMBER(D8478)),D8478-C8478,"")</f>
        <v/>
      </c>
      <c r="Z8478" s="23" t="str">
        <f aca="false">IF(B8478="","",IF(MATCH(B8478,$B$2:$B$12000,0)=ROW()-1,1,0))</f>
        <v/>
      </c>
    </row>
    <row r="8479" customFormat="false" ht="15" hidden="false" customHeight="false" outlineLevel="0" collapsed="false">
      <c r="V8479" s="23" t="str">
        <f aca="false">IF(ISNUMBER(C8479),YEAR(C8479),"")</f>
        <v/>
      </c>
      <c r="W8479" s="23" t="str">
        <f aca="false">IF(ISNUMBER(C8479),MONTH(C8479),"")</f>
        <v/>
      </c>
      <c r="X8479" s="23" t="str">
        <f aca="false">IF(T8479="","",IF(T8479=0,"No discount",IF(T8479&lt;=0.2,"Low (1-20%)",IF(T8479&lt;=0.4,"Medium (21-40%)","High (&gt;40%)"))))</f>
        <v/>
      </c>
      <c r="Y8479" s="23" t="str">
        <f aca="false">IF(AND(ISNUMBER(C8479),ISNUMBER(D8479)),D8479-C8479,"")</f>
        <v/>
      </c>
      <c r="Z8479" s="23" t="str">
        <f aca="false">IF(B8479="","",IF(MATCH(B8479,$B$2:$B$12000,0)=ROW()-1,1,0))</f>
        <v/>
      </c>
    </row>
    <row r="8480" customFormat="false" ht="15" hidden="false" customHeight="false" outlineLevel="0" collapsed="false">
      <c r="V8480" s="23" t="str">
        <f aca="false">IF(ISNUMBER(C8480),YEAR(C8480),"")</f>
        <v/>
      </c>
      <c r="W8480" s="23" t="str">
        <f aca="false">IF(ISNUMBER(C8480),MONTH(C8480),"")</f>
        <v/>
      </c>
      <c r="X8480" s="23" t="str">
        <f aca="false">IF(T8480="","",IF(T8480=0,"No discount",IF(T8480&lt;=0.2,"Low (1-20%)",IF(T8480&lt;=0.4,"Medium (21-40%)","High (&gt;40%)"))))</f>
        <v/>
      </c>
      <c r="Y8480" s="23" t="str">
        <f aca="false">IF(AND(ISNUMBER(C8480),ISNUMBER(D8480)),D8480-C8480,"")</f>
        <v/>
      </c>
      <c r="Z8480" s="23" t="str">
        <f aca="false">IF(B8480="","",IF(MATCH(B8480,$B$2:$B$12000,0)=ROW()-1,1,0))</f>
        <v/>
      </c>
    </row>
    <row r="8481" customFormat="false" ht="15" hidden="false" customHeight="false" outlineLevel="0" collapsed="false">
      <c r="V8481" s="23" t="str">
        <f aca="false">IF(ISNUMBER(C8481),YEAR(C8481),"")</f>
        <v/>
      </c>
      <c r="W8481" s="23" t="str">
        <f aca="false">IF(ISNUMBER(C8481),MONTH(C8481),"")</f>
        <v/>
      </c>
      <c r="X8481" s="23" t="str">
        <f aca="false">IF(T8481="","",IF(T8481=0,"No discount",IF(T8481&lt;=0.2,"Low (1-20%)",IF(T8481&lt;=0.4,"Medium (21-40%)","High (&gt;40%)"))))</f>
        <v/>
      </c>
      <c r="Y8481" s="23" t="str">
        <f aca="false">IF(AND(ISNUMBER(C8481),ISNUMBER(D8481)),D8481-C8481,"")</f>
        <v/>
      </c>
      <c r="Z8481" s="23" t="str">
        <f aca="false">IF(B8481="","",IF(MATCH(B8481,$B$2:$B$12000,0)=ROW()-1,1,0))</f>
        <v/>
      </c>
    </row>
    <row r="8482" customFormat="false" ht="15" hidden="false" customHeight="false" outlineLevel="0" collapsed="false">
      <c r="V8482" s="23" t="str">
        <f aca="false">IF(ISNUMBER(C8482),YEAR(C8482),"")</f>
        <v/>
      </c>
      <c r="W8482" s="23" t="str">
        <f aca="false">IF(ISNUMBER(C8482),MONTH(C8482),"")</f>
        <v/>
      </c>
      <c r="X8482" s="23" t="str">
        <f aca="false">IF(T8482="","",IF(T8482=0,"No discount",IF(T8482&lt;=0.2,"Low (1-20%)",IF(T8482&lt;=0.4,"Medium (21-40%)","High (&gt;40%)"))))</f>
        <v/>
      </c>
      <c r="Y8482" s="23" t="str">
        <f aca="false">IF(AND(ISNUMBER(C8482),ISNUMBER(D8482)),D8482-C8482,"")</f>
        <v/>
      </c>
      <c r="Z8482" s="23" t="str">
        <f aca="false">IF(B8482="","",IF(MATCH(B8482,$B$2:$B$12000,0)=ROW()-1,1,0))</f>
        <v/>
      </c>
    </row>
    <row r="8483" customFormat="false" ht="15" hidden="false" customHeight="false" outlineLevel="0" collapsed="false">
      <c r="V8483" s="23" t="str">
        <f aca="false">IF(ISNUMBER(C8483),YEAR(C8483),"")</f>
        <v/>
      </c>
      <c r="W8483" s="23" t="str">
        <f aca="false">IF(ISNUMBER(C8483),MONTH(C8483),"")</f>
        <v/>
      </c>
      <c r="X8483" s="23" t="str">
        <f aca="false">IF(T8483="","",IF(T8483=0,"No discount",IF(T8483&lt;=0.2,"Low (1-20%)",IF(T8483&lt;=0.4,"Medium (21-40%)","High (&gt;40%)"))))</f>
        <v/>
      </c>
      <c r="Y8483" s="23" t="str">
        <f aca="false">IF(AND(ISNUMBER(C8483),ISNUMBER(D8483)),D8483-C8483,"")</f>
        <v/>
      </c>
      <c r="Z8483" s="23" t="str">
        <f aca="false">IF(B8483="","",IF(MATCH(B8483,$B$2:$B$12000,0)=ROW()-1,1,0))</f>
        <v/>
      </c>
    </row>
    <row r="8484" customFormat="false" ht="15" hidden="false" customHeight="false" outlineLevel="0" collapsed="false">
      <c r="V8484" s="23" t="str">
        <f aca="false">IF(ISNUMBER(C8484),YEAR(C8484),"")</f>
        <v/>
      </c>
      <c r="W8484" s="23" t="str">
        <f aca="false">IF(ISNUMBER(C8484),MONTH(C8484),"")</f>
        <v/>
      </c>
      <c r="X8484" s="23" t="str">
        <f aca="false">IF(T8484="","",IF(T8484=0,"No discount",IF(T8484&lt;=0.2,"Low (1-20%)",IF(T8484&lt;=0.4,"Medium (21-40%)","High (&gt;40%)"))))</f>
        <v/>
      </c>
      <c r="Y8484" s="23" t="str">
        <f aca="false">IF(AND(ISNUMBER(C8484),ISNUMBER(D8484)),D8484-C8484,"")</f>
        <v/>
      </c>
      <c r="Z8484" s="23" t="str">
        <f aca="false">IF(B8484="","",IF(MATCH(B8484,$B$2:$B$12000,0)=ROW()-1,1,0))</f>
        <v/>
      </c>
    </row>
    <row r="8485" customFormat="false" ht="15" hidden="false" customHeight="false" outlineLevel="0" collapsed="false">
      <c r="V8485" s="23" t="str">
        <f aca="false">IF(ISNUMBER(C8485),YEAR(C8485),"")</f>
        <v/>
      </c>
      <c r="W8485" s="23" t="str">
        <f aca="false">IF(ISNUMBER(C8485),MONTH(C8485),"")</f>
        <v/>
      </c>
      <c r="X8485" s="23" t="str">
        <f aca="false">IF(T8485="","",IF(T8485=0,"No discount",IF(T8485&lt;=0.2,"Low (1-20%)",IF(T8485&lt;=0.4,"Medium (21-40%)","High (&gt;40%)"))))</f>
        <v/>
      </c>
      <c r="Y8485" s="23" t="str">
        <f aca="false">IF(AND(ISNUMBER(C8485),ISNUMBER(D8485)),D8485-C8485,"")</f>
        <v/>
      </c>
      <c r="Z8485" s="23" t="str">
        <f aca="false">IF(B8485="","",IF(MATCH(B8485,$B$2:$B$12000,0)=ROW()-1,1,0))</f>
        <v/>
      </c>
    </row>
    <row r="8486" customFormat="false" ht="15" hidden="false" customHeight="false" outlineLevel="0" collapsed="false">
      <c r="V8486" s="23" t="str">
        <f aca="false">IF(ISNUMBER(C8486),YEAR(C8486),"")</f>
        <v/>
      </c>
      <c r="W8486" s="23" t="str">
        <f aca="false">IF(ISNUMBER(C8486),MONTH(C8486),"")</f>
        <v/>
      </c>
      <c r="X8486" s="23" t="str">
        <f aca="false">IF(T8486="","",IF(T8486=0,"No discount",IF(T8486&lt;=0.2,"Low (1-20%)",IF(T8486&lt;=0.4,"Medium (21-40%)","High (&gt;40%)"))))</f>
        <v/>
      </c>
      <c r="Y8486" s="23" t="str">
        <f aca="false">IF(AND(ISNUMBER(C8486),ISNUMBER(D8486)),D8486-C8486,"")</f>
        <v/>
      </c>
      <c r="Z8486" s="23" t="str">
        <f aca="false">IF(B8486="","",IF(MATCH(B8486,$B$2:$B$12000,0)=ROW()-1,1,0))</f>
        <v/>
      </c>
    </row>
    <row r="8487" customFormat="false" ht="15" hidden="false" customHeight="false" outlineLevel="0" collapsed="false">
      <c r="V8487" s="23" t="str">
        <f aca="false">IF(ISNUMBER(C8487),YEAR(C8487),"")</f>
        <v/>
      </c>
      <c r="W8487" s="23" t="str">
        <f aca="false">IF(ISNUMBER(C8487),MONTH(C8487),"")</f>
        <v/>
      </c>
      <c r="X8487" s="23" t="str">
        <f aca="false">IF(T8487="","",IF(T8487=0,"No discount",IF(T8487&lt;=0.2,"Low (1-20%)",IF(T8487&lt;=0.4,"Medium (21-40%)","High (&gt;40%)"))))</f>
        <v/>
      </c>
      <c r="Y8487" s="23" t="str">
        <f aca="false">IF(AND(ISNUMBER(C8487),ISNUMBER(D8487)),D8487-C8487,"")</f>
        <v/>
      </c>
      <c r="Z8487" s="23" t="str">
        <f aca="false">IF(B8487="","",IF(MATCH(B8487,$B$2:$B$12000,0)=ROW()-1,1,0))</f>
        <v/>
      </c>
    </row>
    <row r="8488" customFormat="false" ht="15" hidden="false" customHeight="false" outlineLevel="0" collapsed="false">
      <c r="V8488" s="23" t="str">
        <f aca="false">IF(ISNUMBER(C8488),YEAR(C8488),"")</f>
        <v/>
      </c>
      <c r="W8488" s="23" t="str">
        <f aca="false">IF(ISNUMBER(C8488),MONTH(C8488),"")</f>
        <v/>
      </c>
      <c r="X8488" s="23" t="str">
        <f aca="false">IF(T8488="","",IF(T8488=0,"No discount",IF(T8488&lt;=0.2,"Low (1-20%)",IF(T8488&lt;=0.4,"Medium (21-40%)","High (&gt;40%)"))))</f>
        <v/>
      </c>
      <c r="Y8488" s="23" t="str">
        <f aca="false">IF(AND(ISNUMBER(C8488),ISNUMBER(D8488)),D8488-C8488,"")</f>
        <v/>
      </c>
      <c r="Z8488" s="23" t="str">
        <f aca="false">IF(B8488="","",IF(MATCH(B8488,$B$2:$B$12000,0)=ROW()-1,1,0))</f>
        <v/>
      </c>
    </row>
    <row r="8489" customFormat="false" ht="15" hidden="false" customHeight="false" outlineLevel="0" collapsed="false">
      <c r="V8489" s="23" t="str">
        <f aca="false">IF(ISNUMBER(C8489),YEAR(C8489),"")</f>
        <v/>
      </c>
      <c r="W8489" s="23" t="str">
        <f aca="false">IF(ISNUMBER(C8489),MONTH(C8489),"")</f>
        <v/>
      </c>
      <c r="X8489" s="23" t="str">
        <f aca="false">IF(T8489="","",IF(T8489=0,"No discount",IF(T8489&lt;=0.2,"Low (1-20%)",IF(T8489&lt;=0.4,"Medium (21-40%)","High (&gt;40%)"))))</f>
        <v/>
      </c>
      <c r="Y8489" s="23" t="str">
        <f aca="false">IF(AND(ISNUMBER(C8489),ISNUMBER(D8489)),D8489-C8489,"")</f>
        <v/>
      </c>
      <c r="Z8489" s="23" t="str">
        <f aca="false">IF(B8489="","",IF(MATCH(B8489,$B$2:$B$12000,0)=ROW()-1,1,0))</f>
        <v/>
      </c>
    </row>
    <row r="8490" customFormat="false" ht="15" hidden="false" customHeight="false" outlineLevel="0" collapsed="false">
      <c r="V8490" s="23" t="str">
        <f aca="false">IF(ISNUMBER(C8490),YEAR(C8490),"")</f>
        <v/>
      </c>
      <c r="W8490" s="23" t="str">
        <f aca="false">IF(ISNUMBER(C8490),MONTH(C8490),"")</f>
        <v/>
      </c>
      <c r="X8490" s="23" t="str">
        <f aca="false">IF(T8490="","",IF(T8490=0,"No discount",IF(T8490&lt;=0.2,"Low (1-20%)",IF(T8490&lt;=0.4,"Medium (21-40%)","High (&gt;40%)"))))</f>
        <v/>
      </c>
      <c r="Y8490" s="23" t="str">
        <f aca="false">IF(AND(ISNUMBER(C8490),ISNUMBER(D8490)),D8490-C8490,"")</f>
        <v/>
      </c>
      <c r="Z8490" s="23" t="str">
        <f aca="false">IF(B8490="","",IF(MATCH(B8490,$B$2:$B$12000,0)=ROW()-1,1,0))</f>
        <v/>
      </c>
    </row>
    <row r="8491" customFormat="false" ht="15" hidden="false" customHeight="false" outlineLevel="0" collapsed="false">
      <c r="V8491" s="23" t="str">
        <f aca="false">IF(ISNUMBER(C8491),YEAR(C8491),"")</f>
        <v/>
      </c>
      <c r="W8491" s="23" t="str">
        <f aca="false">IF(ISNUMBER(C8491),MONTH(C8491),"")</f>
        <v/>
      </c>
      <c r="X8491" s="23" t="str">
        <f aca="false">IF(T8491="","",IF(T8491=0,"No discount",IF(T8491&lt;=0.2,"Low (1-20%)",IF(T8491&lt;=0.4,"Medium (21-40%)","High (&gt;40%)"))))</f>
        <v/>
      </c>
      <c r="Y8491" s="23" t="str">
        <f aca="false">IF(AND(ISNUMBER(C8491),ISNUMBER(D8491)),D8491-C8491,"")</f>
        <v/>
      </c>
      <c r="Z8491" s="23" t="str">
        <f aca="false">IF(B8491="","",IF(MATCH(B8491,$B$2:$B$12000,0)=ROW()-1,1,0))</f>
        <v/>
      </c>
    </row>
    <row r="8492" customFormat="false" ht="15" hidden="false" customHeight="false" outlineLevel="0" collapsed="false">
      <c r="V8492" s="23" t="str">
        <f aca="false">IF(ISNUMBER(C8492),YEAR(C8492),"")</f>
        <v/>
      </c>
      <c r="W8492" s="23" t="str">
        <f aca="false">IF(ISNUMBER(C8492),MONTH(C8492),"")</f>
        <v/>
      </c>
      <c r="X8492" s="23" t="str">
        <f aca="false">IF(T8492="","",IF(T8492=0,"No discount",IF(T8492&lt;=0.2,"Low (1-20%)",IF(T8492&lt;=0.4,"Medium (21-40%)","High (&gt;40%)"))))</f>
        <v/>
      </c>
      <c r="Y8492" s="23" t="str">
        <f aca="false">IF(AND(ISNUMBER(C8492),ISNUMBER(D8492)),D8492-C8492,"")</f>
        <v/>
      </c>
      <c r="Z8492" s="23" t="str">
        <f aca="false">IF(B8492="","",IF(MATCH(B8492,$B$2:$B$12000,0)=ROW()-1,1,0))</f>
        <v/>
      </c>
    </row>
    <row r="8493" customFormat="false" ht="15" hidden="false" customHeight="false" outlineLevel="0" collapsed="false">
      <c r="V8493" s="23" t="str">
        <f aca="false">IF(ISNUMBER(C8493),YEAR(C8493),"")</f>
        <v/>
      </c>
      <c r="W8493" s="23" t="str">
        <f aca="false">IF(ISNUMBER(C8493),MONTH(C8493),"")</f>
        <v/>
      </c>
      <c r="X8493" s="23" t="str">
        <f aca="false">IF(T8493="","",IF(T8493=0,"No discount",IF(T8493&lt;=0.2,"Low (1-20%)",IF(T8493&lt;=0.4,"Medium (21-40%)","High (&gt;40%)"))))</f>
        <v/>
      </c>
      <c r="Y8493" s="23" t="str">
        <f aca="false">IF(AND(ISNUMBER(C8493),ISNUMBER(D8493)),D8493-C8493,"")</f>
        <v/>
      </c>
      <c r="Z8493" s="23" t="str">
        <f aca="false">IF(B8493="","",IF(MATCH(B8493,$B$2:$B$12000,0)=ROW()-1,1,0))</f>
        <v/>
      </c>
    </row>
    <row r="8494" customFormat="false" ht="15" hidden="false" customHeight="false" outlineLevel="0" collapsed="false">
      <c r="V8494" s="23" t="str">
        <f aca="false">IF(ISNUMBER(C8494),YEAR(C8494),"")</f>
        <v/>
      </c>
      <c r="W8494" s="23" t="str">
        <f aca="false">IF(ISNUMBER(C8494),MONTH(C8494),"")</f>
        <v/>
      </c>
      <c r="X8494" s="23" t="str">
        <f aca="false">IF(T8494="","",IF(T8494=0,"No discount",IF(T8494&lt;=0.2,"Low (1-20%)",IF(T8494&lt;=0.4,"Medium (21-40%)","High (&gt;40%)"))))</f>
        <v/>
      </c>
      <c r="Y8494" s="23" t="str">
        <f aca="false">IF(AND(ISNUMBER(C8494),ISNUMBER(D8494)),D8494-C8494,"")</f>
        <v/>
      </c>
      <c r="Z8494" s="23" t="str">
        <f aca="false">IF(B8494="","",IF(MATCH(B8494,$B$2:$B$12000,0)=ROW()-1,1,0))</f>
        <v/>
      </c>
    </row>
    <row r="8495" customFormat="false" ht="15" hidden="false" customHeight="false" outlineLevel="0" collapsed="false">
      <c r="V8495" s="23" t="str">
        <f aca="false">IF(ISNUMBER(C8495),YEAR(C8495),"")</f>
        <v/>
      </c>
      <c r="W8495" s="23" t="str">
        <f aca="false">IF(ISNUMBER(C8495),MONTH(C8495),"")</f>
        <v/>
      </c>
      <c r="X8495" s="23" t="str">
        <f aca="false">IF(T8495="","",IF(T8495=0,"No discount",IF(T8495&lt;=0.2,"Low (1-20%)",IF(T8495&lt;=0.4,"Medium (21-40%)","High (&gt;40%)"))))</f>
        <v/>
      </c>
      <c r="Y8495" s="23" t="str">
        <f aca="false">IF(AND(ISNUMBER(C8495),ISNUMBER(D8495)),D8495-C8495,"")</f>
        <v/>
      </c>
      <c r="Z8495" s="23" t="str">
        <f aca="false">IF(B8495="","",IF(MATCH(B8495,$B$2:$B$12000,0)=ROW()-1,1,0))</f>
        <v/>
      </c>
    </row>
    <row r="8496" customFormat="false" ht="15" hidden="false" customHeight="false" outlineLevel="0" collapsed="false">
      <c r="V8496" s="23" t="str">
        <f aca="false">IF(ISNUMBER(C8496),YEAR(C8496),"")</f>
        <v/>
      </c>
      <c r="W8496" s="23" t="str">
        <f aca="false">IF(ISNUMBER(C8496),MONTH(C8496),"")</f>
        <v/>
      </c>
      <c r="X8496" s="23" t="str">
        <f aca="false">IF(T8496="","",IF(T8496=0,"No discount",IF(T8496&lt;=0.2,"Low (1-20%)",IF(T8496&lt;=0.4,"Medium (21-40%)","High (&gt;40%)"))))</f>
        <v/>
      </c>
      <c r="Y8496" s="23" t="str">
        <f aca="false">IF(AND(ISNUMBER(C8496),ISNUMBER(D8496)),D8496-C8496,"")</f>
        <v/>
      </c>
      <c r="Z8496" s="23" t="str">
        <f aca="false">IF(B8496="","",IF(MATCH(B8496,$B$2:$B$12000,0)=ROW()-1,1,0))</f>
        <v/>
      </c>
    </row>
    <row r="8497" customFormat="false" ht="15" hidden="false" customHeight="false" outlineLevel="0" collapsed="false">
      <c r="V8497" s="23" t="str">
        <f aca="false">IF(ISNUMBER(C8497),YEAR(C8497),"")</f>
        <v/>
      </c>
      <c r="W8497" s="23" t="str">
        <f aca="false">IF(ISNUMBER(C8497),MONTH(C8497),"")</f>
        <v/>
      </c>
      <c r="X8497" s="23" t="str">
        <f aca="false">IF(T8497="","",IF(T8497=0,"No discount",IF(T8497&lt;=0.2,"Low (1-20%)",IF(T8497&lt;=0.4,"Medium (21-40%)","High (&gt;40%)"))))</f>
        <v/>
      </c>
      <c r="Y8497" s="23" t="str">
        <f aca="false">IF(AND(ISNUMBER(C8497),ISNUMBER(D8497)),D8497-C8497,"")</f>
        <v/>
      </c>
      <c r="Z8497" s="23" t="str">
        <f aca="false">IF(B8497="","",IF(MATCH(B8497,$B$2:$B$12000,0)=ROW()-1,1,0))</f>
        <v/>
      </c>
    </row>
    <row r="8498" customFormat="false" ht="15" hidden="false" customHeight="false" outlineLevel="0" collapsed="false">
      <c r="V8498" s="23" t="str">
        <f aca="false">IF(ISNUMBER(C8498),YEAR(C8498),"")</f>
        <v/>
      </c>
      <c r="W8498" s="23" t="str">
        <f aca="false">IF(ISNUMBER(C8498),MONTH(C8498),"")</f>
        <v/>
      </c>
      <c r="X8498" s="23" t="str">
        <f aca="false">IF(T8498="","",IF(T8498=0,"No discount",IF(T8498&lt;=0.2,"Low (1-20%)",IF(T8498&lt;=0.4,"Medium (21-40%)","High (&gt;40%)"))))</f>
        <v/>
      </c>
      <c r="Y8498" s="23" t="str">
        <f aca="false">IF(AND(ISNUMBER(C8498),ISNUMBER(D8498)),D8498-C8498,"")</f>
        <v/>
      </c>
      <c r="Z8498" s="23" t="str">
        <f aca="false">IF(B8498="","",IF(MATCH(B8498,$B$2:$B$12000,0)=ROW()-1,1,0))</f>
        <v/>
      </c>
    </row>
    <row r="8499" customFormat="false" ht="15" hidden="false" customHeight="false" outlineLevel="0" collapsed="false">
      <c r="V8499" s="23" t="str">
        <f aca="false">IF(ISNUMBER(C8499),YEAR(C8499),"")</f>
        <v/>
      </c>
      <c r="W8499" s="23" t="str">
        <f aca="false">IF(ISNUMBER(C8499),MONTH(C8499),"")</f>
        <v/>
      </c>
      <c r="X8499" s="23" t="str">
        <f aca="false">IF(T8499="","",IF(T8499=0,"No discount",IF(T8499&lt;=0.2,"Low (1-20%)",IF(T8499&lt;=0.4,"Medium (21-40%)","High (&gt;40%)"))))</f>
        <v/>
      </c>
      <c r="Y8499" s="23" t="str">
        <f aca="false">IF(AND(ISNUMBER(C8499),ISNUMBER(D8499)),D8499-C8499,"")</f>
        <v/>
      </c>
      <c r="Z8499" s="23" t="str">
        <f aca="false">IF(B8499="","",IF(MATCH(B8499,$B$2:$B$12000,0)=ROW()-1,1,0))</f>
        <v/>
      </c>
    </row>
    <row r="8500" customFormat="false" ht="15" hidden="false" customHeight="false" outlineLevel="0" collapsed="false">
      <c r="V8500" s="23" t="str">
        <f aca="false">IF(ISNUMBER(C8500),YEAR(C8500),"")</f>
        <v/>
      </c>
      <c r="W8500" s="23" t="str">
        <f aca="false">IF(ISNUMBER(C8500),MONTH(C8500),"")</f>
        <v/>
      </c>
      <c r="X8500" s="23" t="str">
        <f aca="false">IF(T8500="","",IF(T8500=0,"No discount",IF(T8500&lt;=0.2,"Low (1-20%)",IF(T8500&lt;=0.4,"Medium (21-40%)","High (&gt;40%)"))))</f>
        <v/>
      </c>
      <c r="Y8500" s="23" t="str">
        <f aca="false">IF(AND(ISNUMBER(C8500),ISNUMBER(D8500)),D8500-C8500,"")</f>
        <v/>
      </c>
      <c r="Z8500" s="23" t="str">
        <f aca="false">IF(B8500="","",IF(MATCH(B8500,$B$2:$B$12000,0)=ROW()-1,1,0))</f>
        <v/>
      </c>
    </row>
    <row r="8501" customFormat="false" ht="15" hidden="false" customHeight="false" outlineLevel="0" collapsed="false">
      <c r="V8501" s="23" t="str">
        <f aca="false">IF(ISNUMBER(C8501),YEAR(C8501),"")</f>
        <v/>
      </c>
      <c r="W8501" s="23" t="str">
        <f aca="false">IF(ISNUMBER(C8501),MONTH(C8501),"")</f>
        <v/>
      </c>
      <c r="X8501" s="23" t="str">
        <f aca="false">IF(T8501="","",IF(T8501=0,"No discount",IF(T8501&lt;=0.2,"Low (1-20%)",IF(T8501&lt;=0.4,"Medium (21-40%)","High (&gt;40%)"))))</f>
        <v/>
      </c>
      <c r="Y8501" s="23" t="str">
        <f aca="false">IF(AND(ISNUMBER(C8501),ISNUMBER(D8501)),D8501-C8501,"")</f>
        <v/>
      </c>
      <c r="Z8501" s="23" t="str">
        <f aca="false">IF(B8501="","",IF(MATCH(B8501,$B$2:$B$12000,0)=ROW()-1,1,0))</f>
        <v/>
      </c>
    </row>
    <row r="8502" customFormat="false" ht="15" hidden="false" customHeight="false" outlineLevel="0" collapsed="false">
      <c r="V8502" s="23" t="str">
        <f aca="false">IF(ISNUMBER(C8502),YEAR(C8502),"")</f>
        <v/>
      </c>
      <c r="W8502" s="23" t="str">
        <f aca="false">IF(ISNUMBER(C8502),MONTH(C8502),"")</f>
        <v/>
      </c>
      <c r="X8502" s="23" t="str">
        <f aca="false">IF(T8502="","",IF(T8502=0,"No discount",IF(T8502&lt;=0.2,"Low (1-20%)",IF(T8502&lt;=0.4,"Medium (21-40%)","High (&gt;40%)"))))</f>
        <v/>
      </c>
      <c r="Y8502" s="23" t="str">
        <f aca="false">IF(AND(ISNUMBER(C8502),ISNUMBER(D8502)),D8502-C8502,"")</f>
        <v/>
      </c>
      <c r="Z8502" s="23" t="str">
        <f aca="false">IF(B8502="","",IF(MATCH(B8502,$B$2:$B$12000,0)=ROW()-1,1,0))</f>
        <v/>
      </c>
    </row>
    <row r="8503" customFormat="false" ht="15" hidden="false" customHeight="false" outlineLevel="0" collapsed="false">
      <c r="V8503" s="23" t="str">
        <f aca="false">IF(ISNUMBER(C8503),YEAR(C8503),"")</f>
        <v/>
      </c>
      <c r="W8503" s="23" t="str">
        <f aca="false">IF(ISNUMBER(C8503),MONTH(C8503),"")</f>
        <v/>
      </c>
      <c r="X8503" s="23" t="str">
        <f aca="false">IF(T8503="","",IF(T8503=0,"No discount",IF(T8503&lt;=0.2,"Low (1-20%)",IF(T8503&lt;=0.4,"Medium (21-40%)","High (&gt;40%)"))))</f>
        <v/>
      </c>
      <c r="Y8503" s="23" t="str">
        <f aca="false">IF(AND(ISNUMBER(C8503),ISNUMBER(D8503)),D8503-C8503,"")</f>
        <v/>
      </c>
      <c r="Z8503" s="23" t="str">
        <f aca="false">IF(B8503="","",IF(MATCH(B8503,$B$2:$B$12000,0)=ROW()-1,1,0))</f>
        <v/>
      </c>
    </row>
    <row r="8504" customFormat="false" ht="15" hidden="false" customHeight="false" outlineLevel="0" collapsed="false">
      <c r="V8504" s="23" t="str">
        <f aca="false">IF(ISNUMBER(C8504),YEAR(C8504),"")</f>
        <v/>
      </c>
      <c r="W8504" s="23" t="str">
        <f aca="false">IF(ISNUMBER(C8504),MONTH(C8504),"")</f>
        <v/>
      </c>
      <c r="X8504" s="23" t="str">
        <f aca="false">IF(T8504="","",IF(T8504=0,"No discount",IF(T8504&lt;=0.2,"Low (1-20%)",IF(T8504&lt;=0.4,"Medium (21-40%)","High (&gt;40%)"))))</f>
        <v/>
      </c>
      <c r="Y8504" s="23" t="str">
        <f aca="false">IF(AND(ISNUMBER(C8504),ISNUMBER(D8504)),D8504-C8504,"")</f>
        <v/>
      </c>
      <c r="Z8504" s="23" t="str">
        <f aca="false">IF(B8504="","",IF(MATCH(B8504,$B$2:$B$12000,0)=ROW()-1,1,0))</f>
        <v/>
      </c>
    </row>
    <row r="8505" customFormat="false" ht="15" hidden="false" customHeight="false" outlineLevel="0" collapsed="false">
      <c r="V8505" s="23" t="str">
        <f aca="false">IF(ISNUMBER(C8505),YEAR(C8505),"")</f>
        <v/>
      </c>
      <c r="W8505" s="23" t="str">
        <f aca="false">IF(ISNUMBER(C8505),MONTH(C8505),"")</f>
        <v/>
      </c>
      <c r="X8505" s="23" t="str">
        <f aca="false">IF(T8505="","",IF(T8505=0,"No discount",IF(T8505&lt;=0.2,"Low (1-20%)",IF(T8505&lt;=0.4,"Medium (21-40%)","High (&gt;40%)"))))</f>
        <v/>
      </c>
      <c r="Y8505" s="23" t="str">
        <f aca="false">IF(AND(ISNUMBER(C8505),ISNUMBER(D8505)),D8505-C8505,"")</f>
        <v/>
      </c>
      <c r="Z8505" s="23" t="str">
        <f aca="false">IF(B8505="","",IF(MATCH(B8505,$B$2:$B$12000,0)=ROW()-1,1,0))</f>
        <v/>
      </c>
    </row>
    <row r="8506" customFormat="false" ht="15" hidden="false" customHeight="false" outlineLevel="0" collapsed="false">
      <c r="V8506" s="23" t="str">
        <f aca="false">IF(ISNUMBER(C8506),YEAR(C8506),"")</f>
        <v/>
      </c>
      <c r="W8506" s="23" t="str">
        <f aca="false">IF(ISNUMBER(C8506),MONTH(C8506),"")</f>
        <v/>
      </c>
      <c r="X8506" s="23" t="str">
        <f aca="false">IF(T8506="","",IF(T8506=0,"No discount",IF(T8506&lt;=0.2,"Low (1-20%)",IF(T8506&lt;=0.4,"Medium (21-40%)","High (&gt;40%)"))))</f>
        <v/>
      </c>
      <c r="Y8506" s="23" t="str">
        <f aca="false">IF(AND(ISNUMBER(C8506),ISNUMBER(D8506)),D8506-C8506,"")</f>
        <v/>
      </c>
      <c r="Z8506" s="23" t="str">
        <f aca="false">IF(B8506="","",IF(MATCH(B8506,$B$2:$B$12000,0)=ROW()-1,1,0))</f>
        <v/>
      </c>
    </row>
    <row r="8507" customFormat="false" ht="15" hidden="false" customHeight="false" outlineLevel="0" collapsed="false">
      <c r="V8507" s="23" t="str">
        <f aca="false">IF(ISNUMBER(C8507),YEAR(C8507),"")</f>
        <v/>
      </c>
      <c r="W8507" s="23" t="str">
        <f aca="false">IF(ISNUMBER(C8507),MONTH(C8507),"")</f>
        <v/>
      </c>
      <c r="X8507" s="23" t="str">
        <f aca="false">IF(T8507="","",IF(T8507=0,"No discount",IF(T8507&lt;=0.2,"Low (1-20%)",IF(T8507&lt;=0.4,"Medium (21-40%)","High (&gt;40%)"))))</f>
        <v/>
      </c>
      <c r="Y8507" s="23" t="str">
        <f aca="false">IF(AND(ISNUMBER(C8507),ISNUMBER(D8507)),D8507-C8507,"")</f>
        <v/>
      </c>
      <c r="Z8507" s="23" t="str">
        <f aca="false">IF(B8507="","",IF(MATCH(B8507,$B$2:$B$12000,0)=ROW()-1,1,0))</f>
        <v/>
      </c>
    </row>
    <row r="8508" customFormat="false" ht="15" hidden="false" customHeight="false" outlineLevel="0" collapsed="false">
      <c r="V8508" s="23" t="str">
        <f aca="false">IF(ISNUMBER(C8508),YEAR(C8508),"")</f>
        <v/>
      </c>
      <c r="W8508" s="23" t="str">
        <f aca="false">IF(ISNUMBER(C8508),MONTH(C8508),"")</f>
        <v/>
      </c>
      <c r="X8508" s="23" t="str">
        <f aca="false">IF(T8508="","",IF(T8508=0,"No discount",IF(T8508&lt;=0.2,"Low (1-20%)",IF(T8508&lt;=0.4,"Medium (21-40%)","High (&gt;40%)"))))</f>
        <v/>
      </c>
      <c r="Y8508" s="23" t="str">
        <f aca="false">IF(AND(ISNUMBER(C8508),ISNUMBER(D8508)),D8508-C8508,"")</f>
        <v/>
      </c>
      <c r="Z8508" s="23" t="str">
        <f aca="false">IF(B8508="","",IF(MATCH(B8508,$B$2:$B$12000,0)=ROW()-1,1,0))</f>
        <v/>
      </c>
    </row>
    <row r="8509" customFormat="false" ht="15" hidden="false" customHeight="false" outlineLevel="0" collapsed="false">
      <c r="V8509" s="23" t="str">
        <f aca="false">IF(ISNUMBER(C8509),YEAR(C8509),"")</f>
        <v/>
      </c>
      <c r="W8509" s="23" t="str">
        <f aca="false">IF(ISNUMBER(C8509),MONTH(C8509),"")</f>
        <v/>
      </c>
      <c r="X8509" s="23" t="str">
        <f aca="false">IF(T8509="","",IF(T8509=0,"No discount",IF(T8509&lt;=0.2,"Low (1-20%)",IF(T8509&lt;=0.4,"Medium (21-40%)","High (&gt;40%)"))))</f>
        <v/>
      </c>
      <c r="Y8509" s="23" t="str">
        <f aca="false">IF(AND(ISNUMBER(C8509),ISNUMBER(D8509)),D8509-C8509,"")</f>
        <v/>
      </c>
      <c r="Z8509" s="23" t="str">
        <f aca="false">IF(B8509="","",IF(MATCH(B8509,$B$2:$B$12000,0)=ROW()-1,1,0))</f>
        <v/>
      </c>
    </row>
    <row r="8510" customFormat="false" ht="15" hidden="false" customHeight="false" outlineLevel="0" collapsed="false">
      <c r="V8510" s="23" t="str">
        <f aca="false">IF(ISNUMBER(C8510),YEAR(C8510),"")</f>
        <v/>
      </c>
      <c r="W8510" s="23" t="str">
        <f aca="false">IF(ISNUMBER(C8510),MONTH(C8510),"")</f>
        <v/>
      </c>
      <c r="X8510" s="23" t="str">
        <f aca="false">IF(T8510="","",IF(T8510=0,"No discount",IF(T8510&lt;=0.2,"Low (1-20%)",IF(T8510&lt;=0.4,"Medium (21-40%)","High (&gt;40%)"))))</f>
        <v/>
      </c>
      <c r="Y8510" s="23" t="str">
        <f aca="false">IF(AND(ISNUMBER(C8510),ISNUMBER(D8510)),D8510-C8510,"")</f>
        <v/>
      </c>
      <c r="Z8510" s="23" t="str">
        <f aca="false">IF(B8510="","",IF(MATCH(B8510,$B$2:$B$12000,0)=ROW()-1,1,0))</f>
        <v/>
      </c>
    </row>
    <row r="8511" customFormat="false" ht="15" hidden="false" customHeight="false" outlineLevel="0" collapsed="false">
      <c r="V8511" s="23" t="str">
        <f aca="false">IF(ISNUMBER(C8511),YEAR(C8511),"")</f>
        <v/>
      </c>
      <c r="W8511" s="23" t="str">
        <f aca="false">IF(ISNUMBER(C8511),MONTH(C8511),"")</f>
        <v/>
      </c>
      <c r="X8511" s="23" t="str">
        <f aca="false">IF(T8511="","",IF(T8511=0,"No discount",IF(T8511&lt;=0.2,"Low (1-20%)",IF(T8511&lt;=0.4,"Medium (21-40%)","High (&gt;40%)"))))</f>
        <v/>
      </c>
      <c r="Y8511" s="23" t="str">
        <f aca="false">IF(AND(ISNUMBER(C8511),ISNUMBER(D8511)),D8511-C8511,"")</f>
        <v/>
      </c>
      <c r="Z8511" s="23" t="str">
        <f aca="false">IF(B8511="","",IF(MATCH(B8511,$B$2:$B$12000,0)=ROW()-1,1,0))</f>
        <v/>
      </c>
    </row>
    <row r="8512" customFormat="false" ht="15" hidden="false" customHeight="false" outlineLevel="0" collapsed="false">
      <c r="V8512" s="23" t="str">
        <f aca="false">IF(ISNUMBER(C8512),YEAR(C8512),"")</f>
        <v/>
      </c>
      <c r="W8512" s="23" t="str">
        <f aca="false">IF(ISNUMBER(C8512),MONTH(C8512),"")</f>
        <v/>
      </c>
      <c r="X8512" s="23" t="str">
        <f aca="false">IF(T8512="","",IF(T8512=0,"No discount",IF(T8512&lt;=0.2,"Low (1-20%)",IF(T8512&lt;=0.4,"Medium (21-40%)","High (&gt;40%)"))))</f>
        <v/>
      </c>
      <c r="Y8512" s="23" t="str">
        <f aca="false">IF(AND(ISNUMBER(C8512),ISNUMBER(D8512)),D8512-C8512,"")</f>
        <v/>
      </c>
      <c r="Z8512" s="23" t="str">
        <f aca="false">IF(B8512="","",IF(MATCH(B8512,$B$2:$B$12000,0)=ROW()-1,1,0))</f>
        <v/>
      </c>
    </row>
    <row r="8513" customFormat="false" ht="15" hidden="false" customHeight="false" outlineLevel="0" collapsed="false">
      <c r="V8513" s="23" t="str">
        <f aca="false">IF(ISNUMBER(C8513),YEAR(C8513),"")</f>
        <v/>
      </c>
      <c r="W8513" s="23" t="str">
        <f aca="false">IF(ISNUMBER(C8513),MONTH(C8513),"")</f>
        <v/>
      </c>
      <c r="X8513" s="23" t="str">
        <f aca="false">IF(T8513="","",IF(T8513=0,"No discount",IF(T8513&lt;=0.2,"Low (1-20%)",IF(T8513&lt;=0.4,"Medium (21-40%)","High (&gt;40%)"))))</f>
        <v/>
      </c>
      <c r="Y8513" s="23" t="str">
        <f aca="false">IF(AND(ISNUMBER(C8513),ISNUMBER(D8513)),D8513-C8513,"")</f>
        <v/>
      </c>
      <c r="Z8513" s="23" t="str">
        <f aca="false">IF(B8513="","",IF(MATCH(B8513,$B$2:$B$12000,0)=ROW()-1,1,0))</f>
        <v/>
      </c>
    </row>
    <row r="8514" customFormat="false" ht="15" hidden="false" customHeight="false" outlineLevel="0" collapsed="false">
      <c r="V8514" s="23" t="str">
        <f aca="false">IF(ISNUMBER(C8514),YEAR(C8514),"")</f>
        <v/>
      </c>
      <c r="W8514" s="23" t="str">
        <f aca="false">IF(ISNUMBER(C8514),MONTH(C8514),"")</f>
        <v/>
      </c>
      <c r="X8514" s="23" t="str">
        <f aca="false">IF(T8514="","",IF(T8514=0,"No discount",IF(T8514&lt;=0.2,"Low (1-20%)",IF(T8514&lt;=0.4,"Medium (21-40%)","High (&gt;40%)"))))</f>
        <v/>
      </c>
      <c r="Y8514" s="23" t="str">
        <f aca="false">IF(AND(ISNUMBER(C8514),ISNUMBER(D8514)),D8514-C8514,"")</f>
        <v/>
      </c>
      <c r="Z8514" s="23" t="str">
        <f aca="false">IF(B8514="","",IF(MATCH(B8514,$B$2:$B$12000,0)=ROW()-1,1,0))</f>
        <v/>
      </c>
    </row>
    <row r="8515" customFormat="false" ht="15" hidden="false" customHeight="false" outlineLevel="0" collapsed="false">
      <c r="V8515" s="23" t="str">
        <f aca="false">IF(ISNUMBER(C8515),YEAR(C8515),"")</f>
        <v/>
      </c>
      <c r="W8515" s="23" t="str">
        <f aca="false">IF(ISNUMBER(C8515),MONTH(C8515),"")</f>
        <v/>
      </c>
      <c r="X8515" s="23" t="str">
        <f aca="false">IF(T8515="","",IF(T8515=0,"No discount",IF(T8515&lt;=0.2,"Low (1-20%)",IF(T8515&lt;=0.4,"Medium (21-40%)","High (&gt;40%)"))))</f>
        <v/>
      </c>
      <c r="Y8515" s="23" t="str">
        <f aca="false">IF(AND(ISNUMBER(C8515),ISNUMBER(D8515)),D8515-C8515,"")</f>
        <v/>
      </c>
      <c r="Z8515" s="23" t="str">
        <f aca="false">IF(B8515="","",IF(MATCH(B8515,$B$2:$B$12000,0)=ROW()-1,1,0))</f>
        <v/>
      </c>
    </row>
    <row r="8516" customFormat="false" ht="15" hidden="false" customHeight="false" outlineLevel="0" collapsed="false">
      <c r="V8516" s="23" t="str">
        <f aca="false">IF(ISNUMBER(C8516),YEAR(C8516),"")</f>
        <v/>
      </c>
      <c r="W8516" s="23" t="str">
        <f aca="false">IF(ISNUMBER(C8516),MONTH(C8516),"")</f>
        <v/>
      </c>
      <c r="X8516" s="23" t="str">
        <f aca="false">IF(T8516="","",IF(T8516=0,"No discount",IF(T8516&lt;=0.2,"Low (1-20%)",IF(T8516&lt;=0.4,"Medium (21-40%)","High (&gt;40%)"))))</f>
        <v/>
      </c>
      <c r="Y8516" s="23" t="str">
        <f aca="false">IF(AND(ISNUMBER(C8516),ISNUMBER(D8516)),D8516-C8516,"")</f>
        <v/>
      </c>
      <c r="Z8516" s="23" t="str">
        <f aca="false">IF(B8516="","",IF(MATCH(B8516,$B$2:$B$12000,0)=ROW()-1,1,0))</f>
        <v/>
      </c>
    </row>
    <row r="8517" customFormat="false" ht="15" hidden="false" customHeight="false" outlineLevel="0" collapsed="false">
      <c r="V8517" s="23" t="str">
        <f aca="false">IF(ISNUMBER(C8517),YEAR(C8517),"")</f>
        <v/>
      </c>
      <c r="W8517" s="23" t="str">
        <f aca="false">IF(ISNUMBER(C8517),MONTH(C8517),"")</f>
        <v/>
      </c>
      <c r="X8517" s="23" t="str">
        <f aca="false">IF(T8517="","",IF(T8517=0,"No discount",IF(T8517&lt;=0.2,"Low (1-20%)",IF(T8517&lt;=0.4,"Medium (21-40%)","High (&gt;40%)"))))</f>
        <v/>
      </c>
      <c r="Y8517" s="23" t="str">
        <f aca="false">IF(AND(ISNUMBER(C8517),ISNUMBER(D8517)),D8517-C8517,"")</f>
        <v/>
      </c>
      <c r="Z8517" s="23" t="str">
        <f aca="false">IF(B8517="","",IF(MATCH(B8517,$B$2:$B$12000,0)=ROW()-1,1,0))</f>
        <v/>
      </c>
    </row>
    <row r="8518" customFormat="false" ht="15" hidden="false" customHeight="false" outlineLevel="0" collapsed="false">
      <c r="V8518" s="23" t="str">
        <f aca="false">IF(ISNUMBER(C8518),YEAR(C8518),"")</f>
        <v/>
      </c>
      <c r="W8518" s="23" t="str">
        <f aca="false">IF(ISNUMBER(C8518),MONTH(C8518),"")</f>
        <v/>
      </c>
      <c r="X8518" s="23" t="str">
        <f aca="false">IF(T8518="","",IF(T8518=0,"No discount",IF(T8518&lt;=0.2,"Low (1-20%)",IF(T8518&lt;=0.4,"Medium (21-40%)","High (&gt;40%)"))))</f>
        <v/>
      </c>
      <c r="Y8518" s="23" t="str">
        <f aca="false">IF(AND(ISNUMBER(C8518),ISNUMBER(D8518)),D8518-C8518,"")</f>
        <v/>
      </c>
      <c r="Z8518" s="23" t="str">
        <f aca="false">IF(B8518="","",IF(MATCH(B8518,$B$2:$B$12000,0)=ROW()-1,1,0))</f>
        <v/>
      </c>
    </row>
    <row r="8519" customFormat="false" ht="15" hidden="false" customHeight="false" outlineLevel="0" collapsed="false">
      <c r="V8519" s="23" t="str">
        <f aca="false">IF(ISNUMBER(C8519),YEAR(C8519),"")</f>
        <v/>
      </c>
      <c r="W8519" s="23" t="str">
        <f aca="false">IF(ISNUMBER(C8519),MONTH(C8519),"")</f>
        <v/>
      </c>
      <c r="X8519" s="23" t="str">
        <f aca="false">IF(T8519="","",IF(T8519=0,"No discount",IF(T8519&lt;=0.2,"Low (1-20%)",IF(T8519&lt;=0.4,"Medium (21-40%)","High (&gt;40%)"))))</f>
        <v/>
      </c>
      <c r="Y8519" s="23" t="str">
        <f aca="false">IF(AND(ISNUMBER(C8519),ISNUMBER(D8519)),D8519-C8519,"")</f>
        <v/>
      </c>
      <c r="Z8519" s="23" t="str">
        <f aca="false">IF(B8519="","",IF(MATCH(B8519,$B$2:$B$12000,0)=ROW()-1,1,0))</f>
        <v/>
      </c>
    </row>
    <row r="8520" customFormat="false" ht="15" hidden="false" customHeight="false" outlineLevel="0" collapsed="false">
      <c r="V8520" s="23" t="str">
        <f aca="false">IF(ISNUMBER(C8520),YEAR(C8520),"")</f>
        <v/>
      </c>
      <c r="W8520" s="23" t="str">
        <f aca="false">IF(ISNUMBER(C8520),MONTH(C8520),"")</f>
        <v/>
      </c>
      <c r="X8520" s="23" t="str">
        <f aca="false">IF(T8520="","",IF(T8520=0,"No discount",IF(T8520&lt;=0.2,"Low (1-20%)",IF(T8520&lt;=0.4,"Medium (21-40%)","High (&gt;40%)"))))</f>
        <v/>
      </c>
      <c r="Y8520" s="23" t="str">
        <f aca="false">IF(AND(ISNUMBER(C8520),ISNUMBER(D8520)),D8520-C8520,"")</f>
        <v/>
      </c>
      <c r="Z8520" s="23" t="str">
        <f aca="false">IF(B8520="","",IF(MATCH(B8520,$B$2:$B$12000,0)=ROW()-1,1,0))</f>
        <v/>
      </c>
    </row>
    <row r="8521" customFormat="false" ht="15" hidden="false" customHeight="false" outlineLevel="0" collapsed="false">
      <c r="V8521" s="23" t="str">
        <f aca="false">IF(ISNUMBER(C8521),YEAR(C8521),"")</f>
        <v/>
      </c>
      <c r="W8521" s="23" t="str">
        <f aca="false">IF(ISNUMBER(C8521),MONTH(C8521),"")</f>
        <v/>
      </c>
      <c r="X8521" s="23" t="str">
        <f aca="false">IF(T8521="","",IF(T8521=0,"No discount",IF(T8521&lt;=0.2,"Low (1-20%)",IF(T8521&lt;=0.4,"Medium (21-40%)","High (&gt;40%)"))))</f>
        <v/>
      </c>
      <c r="Y8521" s="23" t="str">
        <f aca="false">IF(AND(ISNUMBER(C8521),ISNUMBER(D8521)),D8521-C8521,"")</f>
        <v/>
      </c>
      <c r="Z8521" s="23" t="str">
        <f aca="false">IF(B8521="","",IF(MATCH(B8521,$B$2:$B$12000,0)=ROW()-1,1,0))</f>
        <v/>
      </c>
    </row>
    <row r="8522" customFormat="false" ht="15" hidden="false" customHeight="false" outlineLevel="0" collapsed="false">
      <c r="V8522" s="23" t="str">
        <f aca="false">IF(ISNUMBER(C8522),YEAR(C8522),"")</f>
        <v/>
      </c>
      <c r="W8522" s="23" t="str">
        <f aca="false">IF(ISNUMBER(C8522),MONTH(C8522),"")</f>
        <v/>
      </c>
      <c r="X8522" s="23" t="str">
        <f aca="false">IF(T8522="","",IF(T8522=0,"No discount",IF(T8522&lt;=0.2,"Low (1-20%)",IF(T8522&lt;=0.4,"Medium (21-40%)","High (&gt;40%)"))))</f>
        <v/>
      </c>
      <c r="Y8522" s="23" t="str">
        <f aca="false">IF(AND(ISNUMBER(C8522),ISNUMBER(D8522)),D8522-C8522,"")</f>
        <v/>
      </c>
      <c r="Z8522" s="23" t="str">
        <f aca="false">IF(B8522="","",IF(MATCH(B8522,$B$2:$B$12000,0)=ROW()-1,1,0))</f>
        <v/>
      </c>
    </row>
    <row r="8523" customFormat="false" ht="15" hidden="false" customHeight="false" outlineLevel="0" collapsed="false">
      <c r="V8523" s="23" t="str">
        <f aca="false">IF(ISNUMBER(C8523),YEAR(C8523),"")</f>
        <v/>
      </c>
      <c r="W8523" s="23" t="str">
        <f aca="false">IF(ISNUMBER(C8523),MONTH(C8523),"")</f>
        <v/>
      </c>
      <c r="X8523" s="23" t="str">
        <f aca="false">IF(T8523="","",IF(T8523=0,"No discount",IF(T8523&lt;=0.2,"Low (1-20%)",IF(T8523&lt;=0.4,"Medium (21-40%)","High (&gt;40%)"))))</f>
        <v/>
      </c>
      <c r="Y8523" s="23" t="str">
        <f aca="false">IF(AND(ISNUMBER(C8523),ISNUMBER(D8523)),D8523-C8523,"")</f>
        <v/>
      </c>
      <c r="Z8523" s="23" t="str">
        <f aca="false">IF(B8523="","",IF(MATCH(B8523,$B$2:$B$12000,0)=ROW()-1,1,0))</f>
        <v/>
      </c>
    </row>
    <row r="8524" customFormat="false" ht="15" hidden="false" customHeight="false" outlineLevel="0" collapsed="false">
      <c r="V8524" s="23" t="str">
        <f aca="false">IF(ISNUMBER(C8524),YEAR(C8524),"")</f>
        <v/>
      </c>
      <c r="W8524" s="23" t="str">
        <f aca="false">IF(ISNUMBER(C8524),MONTH(C8524),"")</f>
        <v/>
      </c>
      <c r="X8524" s="23" t="str">
        <f aca="false">IF(T8524="","",IF(T8524=0,"No discount",IF(T8524&lt;=0.2,"Low (1-20%)",IF(T8524&lt;=0.4,"Medium (21-40%)","High (&gt;40%)"))))</f>
        <v/>
      </c>
      <c r="Y8524" s="23" t="str">
        <f aca="false">IF(AND(ISNUMBER(C8524),ISNUMBER(D8524)),D8524-C8524,"")</f>
        <v/>
      </c>
      <c r="Z8524" s="23" t="str">
        <f aca="false">IF(B8524="","",IF(MATCH(B8524,$B$2:$B$12000,0)=ROW()-1,1,0))</f>
        <v/>
      </c>
    </row>
    <row r="8525" customFormat="false" ht="15" hidden="false" customHeight="false" outlineLevel="0" collapsed="false">
      <c r="V8525" s="23" t="str">
        <f aca="false">IF(ISNUMBER(C8525),YEAR(C8525),"")</f>
        <v/>
      </c>
      <c r="W8525" s="23" t="str">
        <f aca="false">IF(ISNUMBER(C8525),MONTH(C8525),"")</f>
        <v/>
      </c>
      <c r="X8525" s="23" t="str">
        <f aca="false">IF(T8525="","",IF(T8525=0,"No discount",IF(T8525&lt;=0.2,"Low (1-20%)",IF(T8525&lt;=0.4,"Medium (21-40%)","High (&gt;40%)"))))</f>
        <v/>
      </c>
      <c r="Y8525" s="23" t="str">
        <f aca="false">IF(AND(ISNUMBER(C8525),ISNUMBER(D8525)),D8525-C8525,"")</f>
        <v/>
      </c>
      <c r="Z8525" s="23" t="str">
        <f aca="false">IF(B8525="","",IF(MATCH(B8525,$B$2:$B$12000,0)=ROW()-1,1,0))</f>
        <v/>
      </c>
    </row>
    <row r="8526" customFormat="false" ht="15" hidden="false" customHeight="false" outlineLevel="0" collapsed="false">
      <c r="V8526" s="23" t="str">
        <f aca="false">IF(ISNUMBER(C8526),YEAR(C8526),"")</f>
        <v/>
      </c>
      <c r="W8526" s="23" t="str">
        <f aca="false">IF(ISNUMBER(C8526),MONTH(C8526),"")</f>
        <v/>
      </c>
      <c r="X8526" s="23" t="str">
        <f aca="false">IF(T8526="","",IF(T8526=0,"No discount",IF(T8526&lt;=0.2,"Low (1-20%)",IF(T8526&lt;=0.4,"Medium (21-40%)","High (&gt;40%)"))))</f>
        <v/>
      </c>
      <c r="Y8526" s="23" t="str">
        <f aca="false">IF(AND(ISNUMBER(C8526),ISNUMBER(D8526)),D8526-C8526,"")</f>
        <v/>
      </c>
      <c r="Z8526" s="23" t="str">
        <f aca="false">IF(B8526="","",IF(MATCH(B8526,$B$2:$B$12000,0)=ROW()-1,1,0))</f>
        <v/>
      </c>
    </row>
    <row r="8527" customFormat="false" ht="15" hidden="false" customHeight="false" outlineLevel="0" collapsed="false">
      <c r="V8527" s="23" t="str">
        <f aca="false">IF(ISNUMBER(C8527),YEAR(C8527),"")</f>
        <v/>
      </c>
      <c r="W8527" s="23" t="str">
        <f aca="false">IF(ISNUMBER(C8527),MONTH(C8527),"")</f>
        <v/>
      </c>
      <c r="X8527" s="23" t="str">
        <f aca="false">IF(T8527="","",IF(T8527=0,"No discount",IF(T8527&lt;=0.2,"Low (1-20%)",IF(T8527&lt;=0.4,"Medium (21-40%)","High (&gt;40%)"))))</f>
        <v/>
      </c>
      <c r="Y8527" s="23" t="str">
        <f aca="false">IF(AND(ISNUMBER(C8527),ISNUMBER(D8527)),D8527-C8527,"")</f>
        <v/>
      </c>
      <c r="Z8527" s="23" t="str">
        <f aca="false">IF(B8527="","",IF(MATCH(B8527,$B$2:$B$12000,0)=ROW()-1,1,0))</f>
        <v/>
      </c>
    </row>
    <row r="8528" customFormat="false" ht="15" hidden="false" customHeight="false" outlineLevel="0" collapsed="false">
      <c r="V8528" s="23" t="str">
        <f aca="false">IF(ISNUMBER(C8528),YEAR(C8528),"")</f>
        <v/>
      </c>
      <c r="W8528" s="23" t="str">
        <f aca="false">IF(ISNUMBER(C8528),MONTH(C8528),"")</f>
        <v/>
      </c>
      <c r="X8528" s="23" t="str">
        <f aca="false">IF(T8528="","",IF(T8528=0,"No discount",IF(T8528&lt;=0.2,"Low (1-20%)",IF(T8528&lt;=0.4,"Medium (21-40%)","High (&gt;40%)"))))</f>
        <v/>
      </c>
      <c r="Y8528" s="23" t="str">
        <f aca="false">IF(AND(ISNUMBER(C8528),ISNUMBER(D8528)),D8528-C8528,"")</f>
        <v/>
      </c>
      <c r="Z8528" s="23" t="str">
        <f aca="false">IF(B8528="","",IF(MATCH(B8528,$B$2:$B$12000,0)=ROW()-1,1,0))</f>
        <v/>
      </c>
    </row>
    <row r="8529" customFormat="false" ht="15" hidden="false" customHeight="false" outlineLevel="0" collapsed="false">
      <c r="V8529" s="23" t="str">
        <f aca="false">IF(ISNUMBER(C8529),YEAR(C8529),"")</f>
        <v/>
      </c>
      <c r="W8529" s="23" t="str">
        <f aca="false">IF(ISNUMBER(C8529),MONTH(C8529),"")</f>
        <v/>
      </c>
      <c r="X8529" s="23" t="str">
        <f aca="false">IF(T8529="","",IF(T8529=0,"No discount",IF(T8529&lt;=0.2,"Low (1-20%)",IF(T8529&lt;=0.4,"Medium (21-40%)","High (&gt;40%)"))))</f>
        <v/>
      </c>
      <c r="Y8529" s="23" t="str">
        <f aca="false">IF(AND(ISNUMBER(C8529),ISNUMBER(D8529)),D8529-C8529,"")</f>
        <v/>
      </c>
      <c r="Z8529" s="23" t="str">
        <f aca="false">IF(B8529="","",IF(MATCH(B8529,$B$2:$B$12000,0)=ROW()-1,1,0))</f>
        <v/>
      </c>
    </row>
    <row r="8530" customFormat="false" ht="15" hidden="false" customHeight="false" outlineLevel="0" collapsed="false">
      <c r="V8530" s="23" t="str">
        <f aca="false">IF(ISNUMBER(C8530),YEAR(C8530),"")</f>
        <v/>
      </c>
      <c r="W8530" s="23" t="str">
        <f aca="false">IF(ISNUMBER(C8530),MONTH(C8530),"")</f>
        <v/>
      </c>
      <c r="X8530" s="23" t="str">
        <f aca="false">IF(T8530="","",IF(T8530=0,"No discount",IF(T8530&lt;=0.2,"Low (1-20%)",IF(T8530&lt;=0.4,"Medium (21-40%)","High (&gt;40%)"))))</f>
        <v/>
      </c>
      <c r="Y8530" s="23" t="str">
        <f aca="false">IF(AND(ISNUMBER(C8530),ISNUMBER(D8530)),D8530-C8530,"")</f>
        <v/>
      </c>
      <c r="Z8530" s="23" t="str">
        <f aca="false">IF(B8530="","",IF(MATCH(B8530,$B$2:$B$12000,0)=ROW()-1,1,0))</f>
        <v/>
      </c>
    </row>
    <row r="8531" customFormat="false" ht="15" hidden="false" customHeight="false" outlineLevel="0" collapsed="false">
      <c r="V8531" s="23" t="str">
        <f aca="false">IF(ISNUMBER(C8531),YEAR(C8531),"")</f>
        <v/>
      </c>
      <c r="W8531" s="23" t="str">
        <f aca="false">IF(ISNUMBER(C8531),MONTH(C8531),"")</f>
        <v/>
      </c>
      <c r="X8531" s="23" t="str">
        <f aca="false">IF(T8531="","",IF(T8531=0,"No discount",IF(T8531&lt;=0.2,"Low (1-20%)",IF(T8531&lt;=0.4,"Medium (21-40%)","High (&gt;40%)"))))</f>
        <v/>
      </c>
      <c r="Y8531" s="23" t="str">
        <f aca="false">IF(AND(ISNUMBER(C8531),ISNUMBER(D8531)),D8531-C8531,"")</f>
        <v/>
      </c>
      <c r="Z8531" s="23" t="str">
        <f aca="false">IF(B8531="","",IF(MATCH(B8531,$B$2:$B$12000,0)=ROW()-1,1,0))</f>
        <v/>
      </c>
    </row>
    <row r="8532" customFormat="false" ht="15" hidden="false" customHeight="false" outlineLevel="0" collapsed="false">
      <c r="V8532" s="23" t="str">
        <f aca="false">IF(ISNUMBER(C8532),YEAR(C8532),"")</f>
        <v/>
      </c>
      <c r="W8532" s="23" t="str">
        <f aca="false">IF(ISNUMBER(C8532),MONTH(C8532),"")</f>
        <v/>
      </c>
      <c r="X8532" s="23" t="str">
        <f aca="false">IF(T8532="","",IF(T8532=0,"No discount",IF(T8532&lt;=0.2,"Low (1-20%)",IF(T8532&lt;=0.4,"Medium (21-40%)","High (&gt;40%)"))))</f>
        <v/>
      </c>
      <c r="Y8532" s="23" t="str">
        <f aca="false">IF(AND(ISNUMBER(C8532),ISNUMBER(D8532)),D8532-C8532,"")</f>
        <v/>
      </c>
      <c r="Z8532" s="23" t="str">
        <f aca="false">IF(B8532="","",IF(MATCH(B8532,$B$2:$B$12000,0)=ROW()-1,1,0))</f>
        <v/>
      </c>
    </row>
    <row r="8533" customFormat="false" ht="15" hidden="false" customHeight="false" outlineLevel="0" collapsed="false">
      <c r="V8533" s="23" t="str">
        <f aca="false">IF(ISNUMBER(C8533),YEAR(C8533),"")</f>
        <v/>
      </c>
      <c r="W8533" s="23" t="str">
        <f aca="false">IF(ISNUMBER(C8533),MONTH(C8533),"")</f>
        <v/>
      </c>
      <c r="X8533" s="23" t="str">
        <f aca="false">IF(T8533="","",IF(T8533=0,"No discount",IF(T8533&lt;=0.2,"Low (1-20%)",IF(T8533&lt;=0.4,"Medium (21-40%)","High (&gt;40%)"))))</f>
        <v/>
      </c>
      <c r="Y8533" s="23" t="str">
        <f aca="false">IF(AND(ISNUMBER(C8533),ISNUMBER(D8533)),D8533-C8533,"")</f>
        <v/>
      </c>
      <c r="Z8533" s="23" t="str">
        <f aca="false">IF(B8533="","",IF(MATCH(B8533,$B$2:$B$12000,0)=ROW()-1,1,0))</f>
        <v/>
      </c>
    </row>
    <row r="8534" customFormat="false" ht="15" hidden="false" customHeight="false" outlineLevel="0" collapsed="false">
      <c r="V8534" s="23" t="str">
        <f aca="false">IF(ISNUMBER(C8534),YEAR(C8534),"")</f>
        <v/>
      </c>
      <c r="W8534" s="23" t="str">
        <f aca="false">IF(ISNUMBER(C8534),MONTH(C8534),"")</f>
        <v/>
      </c>
      <c r="X8534" s="23" t="str">
        <f aca="false">IF(T8534="","",IF(T8534=0,"No discount",IF(T8534&lt;=0.2,"Low (1-20%)",IF(T8534&lt;=0.4,"Medium (21-40%)","High (&gt;40%)"))))</f>
        <v/>
      </c>
      <c r="Y8534" s="23" t="str">
        <f aca="false">IF(AND(ISNUMBER(C8534),ISNUMBER(D8534)),D8534-C8534,"")</f>
        <v/>
      </c>
      <c r="Z8534" s="23" t="str">
        <f aca="false">IF(B8534="","",IF(MATCH(B8534,$B$2:$B$12000,0)=ROW()-1,1,0))</f>
        <v/>
      </c>
    </row>
    <row r="8535" customFormat="false" ht="15" hidden="false" customHeight="false" outlineLevel="0" collapsed="false">
      <c r="V8535" s="23" t="str">
        <f aca="false">IF(ISNUMBER(C8535),YEAR(C8535),"")</f>
        <v/>
      </c>
      <c r="W8535" s="23" t="str">
        <f aca="false">IF(ISNUMBER(C8535),MONTH(C8535),"")</f>
        <v/>
      </c>
      <c r="X8535" s="23" t="str">
        <f aca="false">IF(T8535="","",IF(T8535=0,"No discount",IF(T8535&lt;=0.2,"Low (1-20%)",IF(T8535&lt;=0.4,"Medium (21-40%)","High (&gt;40%)"))))</f>
        <v/>
      </c>
      <c r="Y8535" s="23" t="str">
        <f aca="false">IF(AND(ISNUMBER(C8535),ISNUMBER(D8535)),D8535-C8535,"")</f>
        <v/>
      </c>
      <c r="Z8535" s="23" t="str">
        <f aca="false">IF(B8535="","",IF(MATCH(B8535,$B$2:$B$12000,0)=ROW()-1,1,0))</f>
        <v/>
      </c>
    </row>
    <row r="8536" customFormat="false" ht="15" hidden="false" customHeight="false" outlineLevel="0" collapsed="false">
      <c r="V8536" s="23" t="str">
        <f aca="false">IF(ISNUMBER(C8536),YEAR(C8536),"")</f>
        <v/>
      </c>
      <c r="W8536" s="23" t="str">
        <f aca="false">IF(ISNUMBER(C8536),MONTH(C8536),"")</f>
        <v/>
      </c>
      <c r="X8536" s="23" t="str">
        <f aca="false">IF(T8536="","",IF(T8536=0,"No discount",IF(T8536&lt;=0.2,"Low (1-20%)",IF(T8536&lt;=0.4,"Medium (21-40%)","High (&gt;40%)"))))</f>
        <v/>
      </c>
      <c r="Y8536" s="23" t="str">
        <f aca="false">IF(AND(ISNUMBER(C8536),ISNUMBER(D8536)),D8536-C8536,"")</f>
        <v/>
      </c>
      <c r="Z8536" s="23" t="str">
        <f aca="false">IF(B8536="","",IF(MATCH(B8536,$B$2:$B$12000,0)=ROW()-1,1,0))</f>
        <v/>
      </c>
    </row>
    <row r="8537" customFormat="false" ht="15" hidden="false" customHeight="false" outlineLevel="0" collapsed="false">
      <c r="V8537" s="23" t="str">
        <f aca="false">IF(ISNUMBER(C8537),YEAR(C8537),"")</f>
        <v/>
      </c>
      <c r="W8537" s="23" t="str">
        <f aca="false">IF(ISNUMBER(C8537),MONTH(C8537),"")</f>
        <v/>
      </c>
      <c r="X8537" s="23" t="str">
        <f aca="false">IF(T8537="","",IF(T8537=0,"No discount",IF(T8537&lt;=0.2,"Low (1-20%)",IF(T8537&lt;=0.4,"Medium (21-40%)","High (&gt;40%)"))))</f>
        <v/>
      </c>
      <c r="Y8537" s="23" t="str">
        <f aca="false">IF(AND(ISNUMBER(C8537),ISNUMBER(D8537)),D8537-C8537,"")</f>
        <v/>
      </c>
      <c r="Z8537" s="23" t="str">
        <f aca="false">IF(B8537="","",IF(MATCH(B8537,$B$2:$B$12000,0)=ROW()-1,1,0))</f>
        <v/>
      </c>
    </row>
    <row r="8538" customFormat="false" ht="15" hidden="false" customHeight="false" outlineLevel="0" collapsed="false">
      <c r="V8538" s="23" t="str">
        <f aca="false">IF(ISNUMBER(C8538),YEAR(C8538),"")</f>
        <v/>
      </c>
      <c r="W8538" s="23" t="str">
        <f aca="false">IF(ISNUMBER(C8538),MONTH(C8538),"")</f>
        <v/>
      </c>
      <c r="X8538" s="23" t="str">
        <f aca="false">IF(T8538="","",IF(T8538=0,"No discount",IF(T8538&lt;=0.2,"Low (1-20%)",IF(T8538&lt;=0.4,"Medium (21-40%)","High (&gt;40%)"))))</f>
        <v/>
      </c>
      <c r="Y8538" s="23" t="str">
        <f aca="false">IF(AND(ISNUMBER(C8538),ISNUMBER(D8538)),D8538-C8538,"")</f>
        <v/>
      </c>
      <c r="Z8538" s="23" t="str">
        <f aca="false">IF(B8538="","",IF(MATCH(B8538,$B$2:$B$12000,0)=ROW()-1,1,0))</f>
        <v/>
      </c>
    </row>
    <row r="8539" customFormat="false" ht="15" hidden="false" customHeight="false" outlineLevel="0" collapsed="false">
      <c r="V8539" s="23" t="str">
        <f aca="false">IF(ISNUMBER(C8539),YEAR(C8539),"")</f>
        <v/>
      </c>
      <c r="W8539" s="23" t="str">
        <f aca="false">IF(ISNUMBER(C8539),MONTH(C8539),"")</f>
        <v/>
      </c>
      <c r="X8539" s="23" t="str">
        <f aca="false">IF(T8539="","",IF(T8539=0,"No discount",IF(T8539&lt;=0.2,"Low (1-20%)",IF(T8539&lt;=0.4,"Medium (21-40%)","High (&gt;40%)"))))</f>
        <v/>
      </c>
      <c r="Y8539" s="23" t="str">
        <f aca="false">IF(AND(ISNUMBER(C8539),ISNUMBER(D8539)),D8539-C8539,"")</f>
        <v/>
      </c>
      <c r="Z8539" s="23" t="str">
        <f aca="false">IF(B8539="","",IF(MATCH(B8539,$B$2:$B$12000,0)=ROW()-1,1,0))</f>
        <v/>
      </c>
    </row>
    <row r="8540" customFormat="false" ht="15" hidden="false" customHeight="false" outlineLevel="0" collapsed="false">
      <c r="V8540" s="23" t="str">
        <f aca="false">IF(ISNUMBER(C8540),YEAR(C8540),"")</f>
        <v/>
      </c>
      <c r="W8540" s="23" t="str">
        <f aca="false">IF(ISNUMBER(C8540),MONTH(C8540),"")</f>
        <v/>
      </c>
      <c r="X8540" s="23" t="str">
        <f aca="false">IF(T8540="","",IF(T8540=0,"No discount",IF(T8540&lt;=0.2,"Low (1-20%)",IF(T8540&lt;=0.4,"Medium (21-40%)","High (&gt;40%)"))))</f>
        <v/>
      </c>
      <c r="Y8540" s="23" t="str">
        <f aca="false">IF(AND(ISNUMBER(C8540),ISNUMBER(D8540)),D8540-C8540,"")</f>
        <v/>
      </c>
      <c r="Z8540" s="23" t="str">
        <f aca="false">IF(B8540="","",IF(MATCH(B8540,$B$2:$B$12000,0)=ROW()-1,1,0))</f>
        <v/>
      </c>
    </row>
    <row r="8541" customFormat="false" ht="15" hidden="false" customHeight="false" outlineLevel="0" collapsed="false">
      <c r="V8541" s="23" t="str">
        <f aca="false">IF(ISNUMBER(C8541),YEAR(C8541),"")</f>
        <v/>
      </c>
      <c r="W8541" s="23" t="str">
        <f aca="false">IF(ISNUMBER(C8541),MONTH(C8541),"")</f>
        <v/>
      </c>
      <c r="X8541" s="23" t="str">
        <f aca="false">IF(T8541="","",IF(T8541=0,"No discount",IF(T8541&lt;=0.2,"Low (1-20%)",IF(T8541&lt;=0.4,"Medium (21-40%)","High (&gt;40%)"))))</f>
        <v/>
      </c>
      <c r="Y8541" s="23" t="str">
        <f aca="false">IF(AND(ISNUMBER(C8541),ISNUMBER(D8541)),D8541-C8541,"")</f>
        <v/>
      </c>
      <c r="Z8541" s="23" t="str">
        <f aca="false">IF(B8541="","",IF(MATCH(B8541,$B$2:$B$12000,0)=ROW()-1,1,0))</f>
        <v/>
      </c>
    </row>
    <row r="8542" customFormat="false" ht="15" hidden="false" customHeight="false" outlineLevel="0" collapsed="false">
      <c r="V8542" s="23" t="str">
        <f aca="false">IF(ISNUMBER(C8542),YEAR(C8542),"")</f>
        <v/>
      </c>
      <c r="W8542" s="23" t="str">
        <f aca="false">IF(ISNUMBER(C8542),MONTH(C8542),"")</f>
        <v/>
      </c>
      <c r="X8542" s="23" t="str">
        <f aca="false">IF(T8542="","",IF(T8542=0,"No discount",IF(T8542&lt;=0.2,"Low (1-20%)",IF(T8542&lt;=0.4,"Medium (21-40%)","High (&gt;40%)"))))</f>
        <v/>
      </c>
      <c r="Y8542" s="23" t="str">
        <f aca="false">IF(AND(ISNUMBER(C8542),ISNUMBER(D8542)),D8542-C8542,"")</f>
        <v/>
      </c>
      <c r="Z8542" s="23" t="str">
        <f aca="false">IF(B8542="","",IF(MATCH(B8542,$B$2:$B$12000,0)=ROW()-1,1,0))</f>
        <v/>
      </c>
    </row>
    <row r="8543" customFormat="false" ht="15" hidden="false" customHeight="false" outlineLevel="0" collapsed="false">
      <c r="V8543" s="23" t="str">
        <f aca="false">IF(ISNUMBER(C8543),YEAR(C8543),"")</f>
        <v/>
      </c>
      <c r="W8543" s="23" t="str">
        <f aca="false">IF(ISNUMBER(C8543),MONTH(C8543),"")</f>
        <v/>
      </c>
      <c r="X8543" s="23" t="str">
        <f aca="false">IF(T8543="","",IF(T8543=0,"No discount",IF(T8543&lt;=0.2,"Low (1-20%)",IF(T8543&lt;=0.4,"Medium (21-40%)","High (&gt;40%)"))))</f>
        <v/>
      </c>
      <c r="Y8543" s="23" t="str">
        <f aca="false">IF(AND(ISNUMBER(C8543),ISNUMBER(D8543)),D8543-C8543,"")</f>
        <v/>
      </c>
      <c r="Z8543" s="23" t="str">
        <f aca="false">IF(B8543="","",IF(MATCH(B8543,$B$2:$B$12000,0)=ROW()-1,1,0))</f>
        <v/>
      </c>
    </row>
    <row r="8544" customFormat="false" ht="15" hidden="false" customHeight="false" outlineLevel="0" collapsed="false">
      <c r="V8544" s="23" t="str">
        <f aca="false">IF(ISNUMBER(C8544),YEAR(C8544),"")</f>
        <v/>
      </c>
      <c r="W8544" s="23" t="str">
        <f aca="false">IF(ISNUMBER(C8544),MONTH(C8544),"")</f>
        <v/>
      </c>
      <c r="X8544" s="23" t="str">
        <f aca="false">IF(T8544="","",IF(T8544=0,"No discount",IF(T8544&lt;=0.2,"Low (1-20%)",IF(T8544&lt;=0.4,"Medium (21-40%)","High (&gt;40%)"))))</f>
        <v/>
      </c>
      <c r="Y8544" s="23" t="str">
        <f aca="false">IF(AND(ISNUMBER(C8544),ISNUMBER(D8544)),D8544-C8544,"")</f>
        <v/>
      </c>
      <c r="Z8544" s="23" t="str">
        <f aca="false">IF(B8544="","",IF(MATCH(B8544,$B$2:$B$12000,0)=ROW()-1,1,0))</f>
        <v/>
      </c>
    </row>
    <row r="8545" customFormat="false" ht="15" hidden="false" customHeight="false" outlineLevel="0" collapsed="false">
      <c r="V8545" s="23" t="str">
        <f aca="false">IF(ISNUMBER(C8545),YEAR(C8545),"")</f>
        <v/>
      </c>
      <c r="W8545" s="23" t="str">
        <f aca="false">IF(ISNUMBER(C8545),MONTH(C8545),"")</f>
        <v/>
      </c>
      <c r="X8545" s="23" t="str">
        <f aca="false">IF(T8545="","",IF(T8545=0,"No discount",IF(T8545&lt;=0.2,"Low (1-20%)",IF(T8545&lt;=0.4,"Medium (21-40%)","High (&gt;40%)"))))</f>
        <v/>
      </c>
      <c r="Y8545" s="23" t="str">
        <f aca="false">IF(AND(ISNUMBER(C8545),ISNUMBER(D8545)),D8545-C8545,"")</f>
        <v/>
      </c>
      <c r="Z8545" s="23" t="str">
        <f aca="false">IF(B8545="","",IF(MATCH(B8545,$B$2:$B$12000,0)=ROW()-1,1,0))</f>
        <v/>
      </c>
    </row>
    <row r="8546" customFormat="false" ht="15" hidden="false" customHeight="false" outlineLevel="0" collapsed="false">
      <c r="V8546" s="23" t="str">
        <f aca="false">IF(ISNUMBER(C8546),YEAR(C8546),"")</f>
        <v/>
      </c>
      <c r="W8546" s="23" t="str">
        <f aca="false">IF(ISNUMBER(C8546),MONTH(C8546),"")</f>
        <v/>
      </c>
      <c r="X8546" s="23" t="str">
        <f aca="false">IF(T8546="","",IF(T8546=0,"No discount",IF(T8546&lt;=0.2,"Low (1-20%)",IF(T8546&lt;=0.4,"Medium (21-40%)","High (&gt;40%)"))))</f>
        <v/>
      </c>
      <c r="Y8546" s="23" t="str">
        <f aca="false">IF(AND(ISNUMBER(C8546),ISNUMBER(D8546)),D8546-C8546,"")</f>
        <v/>
      </c>
      <c r="Z8546" s="23" t="str">
        <f aca="false">IF(B8546="","",IF(MATCH(B8546,$B$2:$B$12000,0)=ROW()-1,1,0))</f>
        <v/>
      </c>
    </row>
    <row r="8547" customFormat="false" ht="15" hidden="false" customHeight="false" outlineLevel="0" collapsed="false">
      <c r="V8547" s="23" t="str">
        <f aca="false">IF(ISNUMBER(C8547),YEAR(C8547),"")</f>
        <v/>
      </c>
      <c r="W8547" s="23" t="str">
        <f aca="false">IF(ISNUMBER(C8547),MONTH(C8547),"")</f>
        <v/>
      </c>
      <c r="X8547" s="23" t="str">
        <f aca="false">IF(T8547="","",IF(T8547=0,"No discount",IF(T8547&lt;=0.2,"Low (1-20%)",IF(T8547&lt;=0.4,"Medium (21-40%)","High (&gt;40%)"))))</f>
        <v/>
      </c>
      <c r="Y8547" s="23" t="str">
        <f aca="false">IF(AND(ISNUMBER(C8547),ISNUMBER(D8547)),D8547-C8547,"")</f>
        <v/>
      </c>
      <c r="Z8547" s="23" t="str">
        <f aca="false">IF(B8547="","",IF(MATCH(B8547,$B$2:$B$12000,0)=ROW()-1,1,0))</f>
        <v/>
      </c>
    </row>
    <row r="8548" customFormat="false" ht="15" hidden="false" customHeight="false" outlineLevel="0" collapsed="false">
      <c r="V8548" s="23" t="str">
        <f aca="false">IF(ISNUMBER(C8548),YEAR(C8548),"")</f>
        <v/>
      </c>
      <c r="W8548" s="23" t="str">
        <f aca="false">IF(ISNUMBER(C8548),MONTH(C8548),"")</f>
        <v/>
      </c>
      <c r="X8548" s="23" t="str">
        <f aca="false">IF(T8548="","",IF(T8548=0,"No discount",IF(T8548&lt;=0.2,"Low (1-20%)",IF(T8548&lt;=0.4,"Medium (21-40%)","High (&gt;40%)"))))</f>
        <v/>
      </c>
      <c r="Y8548" s="23" t="str">
        <f aca="false">IF(AND(ISNUMBER(C8548),ISNUMBER(D8548)),D8548-C8548,"")</f>
        <v/>
      </c>
      <c r="Z8548" s="23" t="str">
        <f aca="false">IF(B8548="","",IF(MATCH(B8548,$B$2:$B$12000,0)=ROW()-1,1,0))</f>
        <v/>
      </c>
    </row>
    <row r="8549" customFormat="false" ht="15" hidden="false" customHeight="false" outlineLevel="0" collapsed="false">
      <c r="V8549" s="23" t="str">
        <f aca="false">IF(ISNUMBER(C8549),YEAR(C8549),"")</f>
        <v/>
      </c>
      <c r="W8549" s="23" t="str">
        <f aca="false">IF(ISNUMBER(C8549),MONTH(C8549),"")</f>
        <v/>
      </c>
      <c r="X8549" s="23" t="str">
        <f aca="false">IF(T8549="","",IF(T8549=0,"No discount",IF(T8549&lt;=0.2,"Low (1-20%)",IF(T8549&lt;=0.4,"Medium (21-40%)","High (&gt;40%)"))))</f>
        <v/>
      </c>
      <c r="Y8549" s="23" t="str">
        <f aca="false">IF(AND(ISNUMBER(C8549),ISNUMBER(D8549)),D8549-C8549,"")</f>
        <v/>
      </c>
      <c r="Z8549" s="23" t="str">
        <f aca="false">IF(B8549="","",IF(MATCH(B8549,$B$2:$B$12000,0)=ROW()-1,1,0))</f>
        <v/>
      </c>
    </row>
    <row r="8550" customFormat="false" ht="15" hidden="false" customHeight="false" outlineLevel="0" collapsed="false">
      <c r="V8550" s="23" t="str">
        <f aca="false">IF(ISNUMBER(C8550),YEAR(C8550),"")</f>
        <v/>
      </c>
      <c r="W8550" s="23" t="str">
        <f aca="false">IF(ISNUMBER(C8550),MONTH(C8550),"")</f>
        <v/>
      </c>
      <c r="X8550" s="23" t="str">
        <f aca="false">IF(T8550="","",IF(T8550=0,"No discount",IF(T8550&lt;=0.2,"Low (1-20%)",IF(T8550&lt;=0.4,"Medium (21-40%)","High (&gt;40%)"))))</f>
        <v/>
      </c>
      <c r="Y8550" s="23" t="str">
        <f aca="false">IF(AND(ISNUMBER(C8550),ISNUMBER(D8550)),D8550-C8550,"")</f>
        <v/>
      </c>
      <c r="Z8550" s="23" t="str">
        <f aca="false">IF(B8550="","",IF(MATCH(B8550,$B$2:$B$12000,0)=ROW()-1,1,0))</f>
        <v/>
      </c>
    </row>
    <row r="8551" customFormat="false" ht="15" hidden="false" customHeight="false" outlineLevel="0" collapsed="false">
      <c r="V8551" s="23" t="str">
        <f aca="false">IF(ISNUMBER(C8551),YEAR(C8551),"")</f>
        <v/>
      </c>
      <c r="W8551" s="23" t="str">
        <f aca="false">IF(ISNUMBER(C8551),MONTH(C8551),"")</f>
        <v/>
      </c>
      <c r="X8551" s="23" t="str">
        <f aca="false">IF(T8551="","",IF(T8551=0,"No discount",IF(T8551&lt;=0.2,"Low (1-20%)",IF(T8551&lt;=0.4,"Medium (21-40%)","High (&gt;40%)"))))</f>
        <v/>
      </c>
      <c r="Y8551" s="23" t="str">
        <f aca="false">IF(AND(ISNUMBER(C8551),ISNUMBER(D8551)),D8551-C8551,"")</f>
        <v/>
      </c>
      <c r="Z8551" s="23" t="str">
        <f aca="false">IF(B8551="","",IF(MATCH(B8551,$B$2:$B$12000,0)=ROW()-1,1,0))</f>
        <v/>
      </c>
    </row>
    <row r="8552" customFormat="false" ht="15" hidden="false" customHeight="false" outlineLevel="0" collapsed="false">
      <c r="V8552" s="23" t="str">
        <f aca="false">IF(ISNUMBER(C8552),YEAR(C8552),"")</f>
        <v/>
      </c>
      <c r="W8552" s="23" t="str">
        <f aca="false">IF(ISNUMBER(C8552),MONTH(C8552),"")</f>
        <v/>
      </c>
      <c r="X8552" s="23" t="str">
        <f aca="false">IF(T8552="","",IF(T8552=0,"No discount",IF(T8552&lt;=0.2,"Low (1-20%)",IF(T8552&lt;=0.4,"Medium (21-40%)","High (&gt;40%)"))))</f>
        <v/>
      </c>
      <c r="Y8552" s="23" t="str">
        <f aca="false">IF(AND(ISNUMBER(C8552),ISNUMBER(D8552)),D8552-C8552,"")</f>
        <v/>
      </c>
      <c r="Z8552" s="23" t="str">
        <f aca="false">IF(B8552="","",IF(MATCH(B8552,$B$2:$B$12000,0)=ROW()-1,1,0))</f>
        <v/>
      </c>
    </row>
    <row r="8553" customFormat="false" ht="15" hidden="false" customHeight="false" outlineLevel="0" collapsed="false">
      <c r="V8553" s="23" t="str">
        <f aca="false">IF(ISNUMBER(C8553),YEAR(C8553),"")</f>
        <v/>
      </c>
      <c r="W8553" s="23" t="str">
        <f aca="false">IF(ISNUMBER(C8553),MONTH(C8553),"")</f>
        <v/>
      </c>
      <c r="X8553" s="23" t="str">
        <f aca="false">IF(T8553="","",IF(T8553=0,"No discount",IF(T8553&lt;=0.2,"Low (1-20%)",IF(T8553&lt;=0.4,"Medium (21-40%)","High (&gt;40%)"))))</f>
        <v/>
      </c>
      <c r="Y8553" s="23" t="str">
        <f aca="false">IF(AND(ISNUMBER(C8553),ISNUMBER(D8553)),D8553-C8553,"")</f>
        <v/>
      </c>
      <c r="Z8553" s="23" t="str">
        <f aca="false">IF(B8553="","",IF(MATCH(B8553,$B$2:$B$12000,0)=ROW()-1,1,0))</f>
        <v/>
      </c>
    </row>
    <row r="8554" customFormat="false" ht="15" hidden="false" customHeight="false" outlineLevel="0" collapsed="false">
      <c r="V8554" s="23" t="str">
        <f aca="false">IF(ISNUMBER(C8554),YEAR(C8554),"")</f>
        <v/>
      </c>
      <c r="W8554" s="23" t="str">
        <f aca="false">IF(ISNUMBER(C8554),MONTH(C8554),"")</f>
        <v/>
      </c>
      <c r="X8554" s="23" t="str">
        <f aca="false">IF(T8554="","",IF(T8554=0,"No discount",IF(T8554&lt;=0.2,"Low (1-20%)",IF(T8554&lt;=0.4,"Medium (21-40%)","High (&gt;40%)"))))</f>
        <v/>
      </c>
      <c r="Y8554" s="23" t="str">
        <f aca="false">IF(AND(ISNUMBER(C8554),ISNUMBER(D8554)),D8554-C8554,"")</f>
        <v/>
      </c>
      <c r="Z8554" s="23" t="str">
        <f aca="false">IF(B8554="","",IF(MATCH(B8554,$B$2:$B$12000,0)=ROW()-1,1,0))</f>
        <v/>
      </c>
    </row>
    <row r="8555" customFormat="false" ht="15" hidden="false" customHeight="false" outlineLevel="0" collapsed="false">
      <c r="V8555" s="23" t="str">
        <f aca="false">IF(ISNUMBER(C8555),YEAR(C8555),"")</f>
        <v/>
      </c>
      <c r="W8555" s="23" t="str">
        <f aca="false">IF(ISNUMBER(C8555),MONTH(C8555),"")</f>
        <v/>
      </c>
      <c r="X8555" s="23" t="str">
        <f aca="false">IF(T8555="","",IF(T8555=0,"No discount",IF(T8555&lt;=0.2,"Low (1-20%)",IF(T8555&lt;=0.4,"Medium (21-40%)","High (&gt;40%)"))))</f>
        <v/>
      </c>
      <c r="Y8555" s="23" t="str">
        <f aca="false">IF(AND(ISNUMBER(C8555),ISNUMBER(D8555)),D8555-C8555,"")</f>
        <v/>
      </c>
      <c r="Z8555" s="23" t="str">
        <f aca="false">IF(B8555="","",IF(MATCH(B8555,$B$2:$B$12000,0)=ROW()-1,1,0))</f>
        <v/>
      </c>
    </row>
    <row r="8556" customFormat="false" ht="15" hidden="false" customHeight="false" outlineLevel="0" collapsed="false">
      <c r="V8556" s="23" t="str">
        <f aca="false">IF(ISNUMBER(C8556),YEAR(C8556),"")</f>
        <v/>
      </c>
      <c r="W8556" s="23" t="str">
        <f aca="false">IF(ISNUMBER(C8556),MONTH(C8556),"")</f>
        <v/>
      </c>
      <c r="X8556" s="23" t="str">
        <f aca="false">IF(T8556="","",IF(T8556=0,"No discount",IF(T8556&lt;=0.2,"Low (1-20%)",IF(T8556&lt;=0.4,"Medium (21-40%)","High (&gt;40%)"))))</f>
        <v/>
      </c>
      <c r="Y8556" s="23" t="str">
        <f aca="false">IF(AND(ISNUMBER(C8556),ISNUMBER(D8556)),D8556-C8556,"")</f>
        <v/>
      </c>
      <c r="Z8556" s="23" t="str">
        <f aca="false">IF(B8556="","",IF(MATCH(B8556,$B$2:$B$12000,0)=ROW()-1,1,0))</f>
        <v/>
      </c>
    </row>
    <row r="8557" customFormat="false" ht="15" hidden="false" customHeight="false" outlineLevel="0" collapsed="false">
      <c r="V8557" s="23" t="str">
        <f aca="false">IF(ISNUMBER(C8557),YEAR(C8557),"")</f>
        <v/>
      </c>
      <c r="W8557" s="23" t="str">
        <f aca="false">IF(ISNUMBER(C8557),MONTH(C8557),"")</f>
        <v/>
      </c>
      <c r="X8557" s="23" t="str">
        <f aca="false">IF(T8557="","",IF(T8557=0,"No discount",IF(T8557&lt;=0.2,"Low (1-20%)",IF(T8557&lt;=0.4,"Medium (21-40%)","High (&gt;40%)"))))</f>
        <v/>
      </c>
      <c r="Y8557" s="23" t="str">
        <f aca="false">IF(AND(ISNUMBER(C8557),ISNUMBER(D8557)),D8557-C8557,"")</f>
        <v/>
      </c>
      <c r="Z8557" s="23" t="str">
        <f aca="false">IF(B8557="","",IF(MATCH(B8557,$B$2:$B$12000,0)=ROW()-1,1,0))</f>
        <v/>
      </c>
    </row>
    <row r="8558" customFormat="false" ht="15" hidden="false" customHeight="false" outlineLevel="0" collapsed="false">
      <c r="V8558" s="23" t="str">
        <f aca="false">IF(ISNUMBER(C8558),YEAR(C8558),"")</f>
        <v/>
      </c>
      <c r="W8558" s="23" t="str">
        <f aca="false">IF(ISNUMBER(C8558),MONTH(C8558),"")</f>
        <v/>
      </c>
      <c r="X8558" s="23" t="str">
        <f aca="false">IF(T8558="","",IF(T8558=0,"No discount",IF(T8558&lt;=0.2,"Low (1-20%)",IF(T8558&lt;=0.4,"Medium (21-40%)","High (&gt;40%)"))))</f>
        <v/>
      </c>
      <c r="Y8558" s="23" t="str">
        <f aca="false">IF(AND(ISNUMBER(C8558),ISNUMBER(D8558)),D8558-C8558,"")</f>
        <v/>
      </c>
      <c r="Z8558" s="23" t="str">
        <f aca="false">IF(B8558="","",IF(MATCH(B8558,$B$2:$B$12000,0)=ROW()-1,1,0))</f>
        <v/>
      </c>
    </row>
    <row r="8559" customFormat="false" ht="15" hidden="false" customHeight="false" outlineLevel="0" collapsed="false">
      <c r="V8559" s="23" t="str">
        <f aca="false">IF(ISNUMBER(C8559),YEAR(C8559),"")</f>
        <v/>
      </c>
      <c r="W8559" s="23" t="str">
        <f aca="false">IF(ISNUMBER(C8559),MONTH(C8559),"")</f>
        <v/>
      </c>
      <c r="X8559" s="23" t="str">
        <f aca="false">IF(T8559="","",IF(T8559=0,"No discount",IF(T8559&lt;=0.2,"Low (1-20%)",IF(T8559&lt;=0.4,"Medium (21-40%)","High (&gt;40%)"))))</f>
        <v/>
      </c>
      <c r="Y8559" s="23" t="str">
        <f aca="false">IF(AND(ISNUMBER(C8559),ISNUMBER(D8559)),D8559-C8559,"")</f>
        <v/>
      </c>
      <c r="Z8559" s="23" t="str">
        <f aca="false">IF(B8559="","",IF(MATCH(B8559,$B$2:$B$12000,0)=ROW()-1,1,0))</f>
        <v/>
      </c>
    </row>
    <row r="8560" customFormat="false" ht="15" hidden="false" customHeight="false" outlineLevel="0" collapsed="false">
      <c r="V8560" s="23" t="str">
        <f aca="false">IF(ISNUMBER(C8560),YEAR(C8560),"")</f>
        <v/>
      </c>
      <c r="W8560" s="23" t="str">
        <f aca="false">IF(ISNUMBER(C8560),MONTH(C8560),"")</f>
        <v/>
      </c>
      <c r="X8560" s="23" t="str">
        <f aca="false">IF(T8560="","",IF(T8560=0,"No discount",IF(T8560&lt;=0.2,"Low (1-20%)",IF(T8560&lt;=0.4,"Medium (21-40%)","High (&gt;40%)"))))</f>
        <v/>
      </c>
      <c r="Y8560" s="23" t="str">
        <f aca="false">IF(AND(ISNUMBER(C8560),ISNUMBER(D8560)),D8560-C8560,"")</f>
        <v/>
      </c>
      <c r="Z8560" s="23" t="str">
        <f aca="false">IF(B8560="","",IF(MATCH(B8560,$B$2:$B$12000,0)=ROW()-1,1,0))</f>
        <v/>
      </c>
    </row>
    <row r="8561" customFormat="false" ht="15" hidden="false" customHeight="false" outlineLevel="0" collapsed="false">
      <c r="V8561" s="23" t="str">
        <f aca="false">IF(ISNUMBER(C8561),YEAR(C8561),"")</f>
        <v/>
      </c>
      <c r="W8561" s="23" t="str">
        <f aca="false">IF(ISNUMBER(C8561),MONTH(C8561),"")</f>
        <v/>
      </c>
      <c r="X8561" s="23" t="str">
        <f aca="false">IF(T8561="","",IF(T8561=0,"No discount",IF(T8561&lt;=0.2,"Low (1-20%)",IF(T8561&lt;=0.4,"Medium (21-40%)","High (&gt;40%)"))))</f>
        <v/>
      </c>
      <c r="Y8561" s="23" t="str">
        <f aca="false">IF(AND(ISNUMBER(C8561),ISNUMBER(D8561)),D8561-C8561,"")</f>
        <v/>
      </c>
      <c r="Z8561" s="23" t="str">
        <f aca="false">IF(B8561="","",IF(MATCH(B8561,$B$2:$B$12000,0)=ROW()-1,1,0))</f>
        <v/>
      </c>
    </row>
    <row r="8562" customFormat="false" ht="15" hidden="false" customHeight="false" outlineLevel="0" collapsed="false">
      <c r="V8562" s="23" t="str">
        <f aca="false">IF(ISNUMBER(C8562),YEAR(C8562),"")</f>
        <v/>
      </c>
      <c r="W8562" s="23" t="str">
        <f aca="false">IF(ISNUMBER(C8562),MONTH(C8562),"")</f>
        <v/>
      </c>
      <c r="X8562" s="23" t="str">
        <f aca="false">IF(T8562="","",IF(T8562=0,"No discount",IF(T8562&lt;=0.2,"Low (1-20%)",IF(T8562&lt;=0.4,"Medium (21-40%)","High (&gt;40%)"))))</f>
        <v/>
      </c>
      <c r="Y8562" s="23" t="str">
        <f aca="false">IF(AND(ISNUMBER(C8562),ISNUMBER(D8562)),D8562-C8562,"")</f>
        <v/>
      </c>
      <c r="Z8562" s="23" t="str">
        <f aca="false">IF(B8562="","",IF(MATCH(B8562,$B$2:$B$12000,0)=ROW()-1,1,0))</f>
        <v/>
      </c>
    </row>
    <row r="8563" customFormat="false" ht="15" hidden="false" customHeight="false" outlineLevel="0" collapsed="false">
      <c r="V8563" s="23" t="str">
        <f aca="false">IF(ISNUMBER(C8563),YEAR(C8563),"")</f>
        <v/>
      </c>
      <c r="W8563" s="23" t="str">
        <f aca="false">IF(ISNUMBER(C8563),MONTH(C8563),"")</f>
        <v/>
      </c>
      <c r="X8563" s="23" t="str">
        <f aca="false">IF(T8563="","",IF(T8563=0,"No discount",IF(T8563&lt;=0.2,"Low (1-20%)",IF(T8563&lt;=0.4,"Medium (21-40%)","High (&gt;40%)"))))</f>
        <v/>
      </c>
      <c r="Y8563" s="23" t="str">
        <f aca="false">IF(AND(ISNUMBER(C8563),ISNUMBER(D8563)),D8563-C8563,"")</f>
        <v/>
      </c>
      <c r="Z8563" s="23" t="str">
        <f aca="false">IF(B8563="","",IF(MATCH(B8563,$B$2:$B$12000,0)=ROW()-1,1,0))</f>
        <v/>
      </c>
    </row>
    <row r="8564" customFormat="false" ht="15" hidden="false" customHeight="false" outlineLevel="0" collapsed="false">
      <c r="V8564" s="23" t="str">
        <f aca="false">IF(ISNUMBER(C8564),YEAR(C8564),"")</f>
        <v/>
      </c>
      <c r="W8564" s="23" t="str">
        <f aca="false">IF(ISNUMBER(C8564),MONTH(C8564),"")</f>
        <v/>
      </c>
      <c r="X8564" s="23" t="str">
        <f aca="false">IF(T8564="","",IF(T8564=0,"No discount",IF(T8564&lt;=0.2,"Low (1-20%)",IF(T8564&lt;=0.4,"Medium (21-40%)","High (&gt;40%)"))))</f>
        <v/>
      </c>
      <c r="Y8564" s="23" t="str">
        <f aca="false">IF(AND(ISNUMBER(C8564),ISNUMBER(D8564)),D8564-C8564,"")</f>
        <v/>
      </c>
      <c r="Z8564" s="23" t="str">
        <f aca="false">IF(B8564="","",IF(MATCH(B8564,$B$2:$B$12000,0)=ROW()-1,1,0))</f>
        <v/>
      </c>
    </row>
    <row r="8565" customFormat="false" ht="15" hidden="false" customHeight="false" outlineLevel="0" collapsed="false">
      <c r="V8565" s="23" t="str">
        <f aca="false">IF(ISNUMBER(C8565),YEAR(C8565),"")</f>
        <v/>
      </c>
      <c r="W8565" s="23" t="str">
        <f aca="false">IF(ISNUMBER(C8565),MONTH(C8565),"")</f>
        <v/>
      </c>
      <c r="X8565" s="23" t="str">
        <f aca="false">IF(T8565="","",IF(T8565=0,"No discount",IF(T8565&lt;=0.2,"Low (1-20%)",IF(T8565&lt;=0.4,"Medium (21-40%)","High (&gt;40%)"))))</f>
        <v/>
      </c>
      <c r="Y8565" s="23" t="str">
        <f aca="false">IF(AND(ISNUMBER(C8565),ISNUMBER(D8565)),D8565-C8565,"")</f>
        <v/>
      </c>
      <c r="Z8565" s="23" t="str">
        <f aca="false">IF(B8565="","",IF(MATCH(B8565,$B$2:$B$12000,0)=ROW()-1,1,0))</f>
        <v/>
      </c>
    </row>
    <row r="8566" customFormat="false" ht="15" hidden="false" customHeight="false" outlineLevel="0" collapsed="false">
      <c r="V8566" s="23" t="str">
        <f aca="false">IF(ISNUMBER(C8566),YEAR(C8566),"")</f>
        <v/>
      </c>
      <c r="W8566" s="23" t="str">
        <f aca="false">IF(ISNUMBER(C8566),MONTH(C8566),"")</f>
        <v/>
      </c>
      <c r="X8566" s="23" t="str">
        <f aca="false">IF(T8566="","",IF(T8566=0,"No discount",IF(T8566&lt;=0.2,"Low (1-20%)",IF(T8566&lt;=0.4,"Medium (21-40%)","High (&gt;40%)"))))</f>
        <v/>
      </c>
      <c r="Y8566" s="23" t="str">
        <f aca="false">IF(AND(ISNUMBER(C8566),ISNUMBER(D8566)),D8566-C8566,"")</f>
        <v/>
      </c>
      <c r="Z8566" s="23" t="str">
        <f aca="false">IF(B8566="","",IF(MATCH(B8566,$B$2:$B$12000,0)=ROW()-1,1,0))</f>
        <v/>
      </c>
    </row>
    <row r="8567" customFormat="false" ht="15" hidden="false" customHeight="false" outlineLevel="0" collapsed="false">
      <c r="V8567" s="23" t="str">
        <f aca="false">IF(ISNUMBER(C8567),YEAR(C8567),"")</f>
        <v/>
      </c>
      <c r="W8567" s="23" t="str">
        <f aca="false">IF(ISNUMBER(C8567),MONTH(C8567),"")</f>
        <v/>
      </c>
      <c r="X8567" s="23" t="str">
        <f aca="false">IF(T8567="","",IF(T8567=0,"No discount",IF(T8567&lt;=0.2,"Low (1-20%)",IF(T8567&lt;=0.4,"Medium (21-40%)","High (&gt;40%)"))))</f>
        <v/>
      </c>
      <c r="Y8567" s="23" t="str">
        <f aca="false">IF(AND(ISNUMBER(C8567),ISNUMBER(D8567)),D8567-C8567,"")</f>
        <v/>
      </c>
      <c r="Z8567" s="23" t="str">
        <f aca="false">IF(B8567="","",IF(MATCH(B8567,$B$2:$B$12000,0)=ROW()-1,1,0))</f>
        <v/>
      </c>
    </row>
    <row r="8568" customFormat="false" ht="15" hidden="false" customHeight="false" outlineLevel="0" collapsed="false">
      <c r="V8568" s="23" t="str">
        <f aca="false">IF(ISNUMBER(C8568),YEAR(C8568),"")</f>
        <v/>
      </c>
      <c r="W8568" s="23" t="str">
        <f aca="false">IF(ISNUMBER(C8568),MONTH(C8568),"")</f>
        <v/>
      </c>
      <c r="X8568" s="23" t="str">
        <f aca="false">IF(T8568="","",IF(T8568=0,"No discount",IF(T8568&lt;=0.2,"Low (1-20%)",IF(T8568&lt;=0.4,"Medium (21-40%)","High (&gt;40%)"))))</f>
        <v/>
      </c>
      <c r="Y8568" s="23" t="str">
        <f aca="false">IF(AND(ISNUMBER(C8568),ISNUMBER(D8568)),D8568-C8568,"")</f>
        <v/>
      </c>
      <c r="Z8568" s="23" t="str">
        <f aca="false">IF(B8568="","",IF(MATCH(B8568,$B$2:$B$12000,0)=ROW()-1,1,0))</f>
        <v/>
      </c>
    </row>
    <row r="8569" customFormat="false" ht="15" hidden="false" customHeight="false" outlineLevel="0" collapsed="false">
      <c r="V8569" s="23" t="str">
        <f aca="false">IF(ISNUMBER(C8569),YEAR(C8569),"")</f>
        <v/>
      </c>
      <c r="W8569" s="23" t="str">
        <f aca="false">IF(ISNUMBER(C8569),MONTH(C8569),"")</f>
        <v/>
      </c>
      <c r="X8569" s="23" t="str">
        <f aca="false">IF(T8569="","",IF(T8569=0,"No discount",IF(T8569&lt;=0.2,"Low (1-20%)",IF(T8569&lt;=0.4,"Medium (21-40%)","High (&gt;40%)"))))</f>
        <v/>
      </c>
      <c r="Y8569" s="23" t="str">
        <f aca="false">IF(AND(ISNUMBER(C8569),ISNUMBER(D8569)),D8569-C8569,"")</f>
        <v/>
      </c>
      <c r="Z8569" s="23" t="str">
        <f aca="false">IF(B8569="","",IF(MATCH(B8569,$B$2:$B$12000,0)=ROW()-1,1,0))</f>
        <v/>
      </c>
    </row>
    <row r="8570" customFormat="false" ht="15" hidden="false" customHeight="false" outlineLevel="0" collapsed="false">
      <c r="V8570" s="23" t="str">
        <f aca="false">IF(ISNUMBER(C8570),YEAR(C8570),"")</f>
        <v/>
      </c>
      <c r="W8570" s="23" t="str">
        <f aca="false">IF(ISNUMBER(C8570),MONTH(C8570),"")</f>
        <v/>
      </c>
      <c r="X8570" s="23" t="str">
        <f aca="false">IF(T8570="","",IF(T8570=0,"No discount",IF(T8570&lt;=0.2,"Low (1-20%)",IF(T8570&lt;=0.4,"Medium (21-40%)","High (&gt;40%)"))))</f>
        <v/>
      </c>
      <c r="Y8570" s="23" t="str">
        <f aca="false">IF(AND(ISNUMBER(C8570),ISNUMBER(D8570)),D8570-C8570,"")</f>
        <v/>
      </c>
      <c r="Z8570" s="23" t="str">
        <f aca="false">IF(B8570="","",IF(MATCH(B8570,$B$2:$B$12000,0)=ROW()-1,1,0))</f>
        <v/>
      </c>
    </row>
    <row r="8571" customFormat="false" ht="15" hidden="false" customHeight="false" outlineLevel="0" collapsed="false">
      <c r="V8571" s="23" t="str">
        <f aca="false">IF(ISNUMBER(C8571),YEAR(C8571),"")</f>
        <v/>
      </c>
      <c r="W8571" s="23" t="str">
        <f aca="false">IF(ISNUMBER(C8571),MONTH(C8571),"")</f>
        <v/>
      </c>
      <c r="X8571" s="23" t="str">
        <f aca="false">IF(T8571="","",IF(T8571=0,"No discount",IF(T8571&lt;=0.2,"Low (1-20%)",IF(T8571&lt;=0.4,"Medium (21-40%)","High (&gt;40%)"))))</f>
        <v/>
      </c>
      <c r="Y8571" s="23" t="str">
        <f aca="false">IF(AND(ISNUMBER(C8571),ISNUMBER(D8571)),D8571-C8571,"")</f>
        <v/>
      </c>
      <c r="Z8571" s="23" t="str">
        <f aca="false">IF(B8571="","",IF(MATCH(B8571,$B$2:$B$12000,0)=ROW()-1,1,0))</f>
        <v/>
      </c>
    </row>
    <row r="8572" customFormat="false" ht="15" hidden="false" customHeight="false" outlineLevel="0" collapsed="false">
      <c r="V8572" s="23" t="str">
        <f aca="false">IF(ISNUMBER(C8572),YEAR(C8572),"")</f>
        <v/>
      </c>
      <c r="W8572" s="23" t="str">
        <f aca="false">IF(ISNUMBER(C8572),MONTH(C8572),"")</f>
        <v/>
      </c>
      <c r="X8572" s="23" t="str">
        <f aca="false">IF(T8572="","",IF(T8572=0,"No discount",IF(T8572&lt;=0.2,"Low (1-20%)",IF(T8572&lt;=0.4,"Medium (21-40%)","High (&gt;40%)"))))</f>
        <v/>
      </c>
      <c r="Y8572" s="23" t="str">
        <f aca="false">IF(AND(ISNUMBER(C8572),ISNUMBER(D8572)),D8572-C8572,"")</f>
        <v/>
      </c>
      <c r="Z8572" s="23" t="str">
        <f aca="false">IF(B8572="","",IF(MATCH(B8572,$B$2:$B$12000,0)=ROW()-1,1,0))</f>
        <v/>
      </c>
    </row>
    <row r="8573" customFormat="false" ht="15" hidden="false" customHeight="false" outlineLevel="0" collapsed="false">
      <c r="V8573" s="23" t="str">
        <f aca="false">IF(ISNUMBER(C8573),YEAR(C8573),"")</f>
        <v/>
      </c>
      <c r="W8573" s="23" t="str">
        <f aca="false">IF(ISNUMBER(C8573),MONTH(C8573),"")</f>
        <v/>
      </c>
      <c r="X8573" s="23" t="str">
        <f aca="false">IF(T8573="","",IF(T8573=0,"No discount",IF(T8573&lt;=0.2,"Low (1-20%)",IF(T8573&lt;=0.4,"Medium (21-40%)","High (&gt;40%)"))))</f>
        <v/>
      </c>
      <c r="Y8573" s="23" t="str">
        <f aca="false">IF(AND(ISNUMBER(C8573),ISNUMBER(D8573)),D8573-C8573,"")</f>
        <v/>
      </c>
      <c r="Z8573" s="23" t="str">
        <f aca="false">IF(B8573="","",IF(MATCH(B8573,$B$2:$B$12000,0)=ROW()-1,1,0))</f>
        <v/>
      </c>
    </row>
    <row r="8574" customFormat="false" ht="15" hidden="false" customHeight="false" outlineLevel="0" collapsed="false">
      <c r="V8574" s="23" t="str">
        <f aca="false">IF(ISNUMBER(C8574),YEAR(C8574),"")</f>
        <v/>
      </c>
      <c r="W8574" s="23" t="str">
        <f aca="false">IF(ISNUMBER(C8574),MONTH(C8574),"")</f>
        <v/>
      </c>
      <c r="X8574" s="23" t="str">
        <f aca="false">IF(T8574="","",IF(T8574=0,"No discount",IF(T8574&lt;=0.2,"Low (1-20%)",IF(T8574&lt;=0.4,"Medium (21-40%)","High (&gt;40%)"))))</f>
        <v/>
      </c>
      <c r="Y8574" s="23" t="str">
        <f aca="false">IF(AND(ISNUMBER(C8574),ISNUMBER(D8574)),D8574-C8574,"")</f>
        <v/>
      </c>
      <c r="Z8574" s="23" t="str">
        <f aca="false">IF(B8574="","",IF(MATCH(B8574,$B$2:$B$12000,0)=ROW()-1,1,0))</f>
        <v/>
      </c>
    </row>
    <row r="8575" customFormat="false" ht="15" hidden="false" customHeight="false" outlineLevel="0" collapsed="false">
      <c r="V8575" s="23" t="str">
        <f aca="false">IF(ISNUMBER(C8575),YEAR(C8575),"")</f>
        <v/>
      </c>
      <c r="W8575" s="23" t="str">
        <f aca="false">IF(ISNUMBER(C8575),MONTH(C8575),"")</f>
        <v/>
      </c>
      <c r="X8575" s="23" t="str">
        <f aca="false">IF(T8575="","",IF(T8575=0,"No discount",IF(T8575&lt;=0.2,"Low (1-20%)",IF(T8575&lt;=0.4,"Medium (21-40%)","High (&gt;40%)"))))</f>
        <v/>
      </c>
      <c r="Y8575" s="23" t="str">
        <f aca="false">IF(AND(ISNUMBER(C8575),ISNUMBER(D8575)),D8575-C8575,"")</f>
        <v/>
      </c>
      <c r="Z8575" s="23" t="str">
        <f aca="false">IF(B8575="","",IF(MATCH(B8575,$B$2:$B$12000,0)=ROW()-1,1,0))</f>
        <v/>
      </c>
    </row>
    <row r="8576" customFormat="false" ht="15" hidden="false" customHeight="false" outlineLevel="0" collapsed="false">
      <c r="V8576" s="23" t="str">
        <f aca="false">IF(ISNUMBER(C8576),YEAR(C8576),"")</f>
        <v/>
      </c>
      <c r="W8576" s="23" t="str">
        <f aca="false">IF(ISNUMBER(C8576),MONTH(C8576),"")</f>
        <v/>
      </c>
      <c r="X8576" s="23" t="str">
        <f aca="false">IF(T8576="","",IF(T8576=0,"No discount",IF(T8576&lt;=0.2,"Low (1-20%)",IF(T8576&lt;=0.4,"Medium (21-40%)","High (&gt;40%)"))))</f>
        <v/>
      </c>
      <c r="Y8576" s="23" t="str">
        <f aca="false">IF(AND(ISNUMBER(C8576),ISNUMBER(D8576)),D8576-C8576,"")</f>
        <v/>
      </c>
      <c r="Z8576" s="23" t="str">
        <f aca="false">IF(B8576="","",IF(MATCH(B8576,$B$2:$B$12000,0)=ROW()-1,1,0))</f>
        <v/>
      </c>
    </row>
    <row r="8577" customFormat="false" ht="15" hidden="false" customHeight="false" outlineLevel="0" collapsed="false">
      <c r="V8577" s="23" t="str">
        <f aca="false">IF(ISNUMBER(C8577),YEAR(C8577),"")</f>
        <v/>
      </c>
      <c r="W8577" s="23" t="str">
        <f aca="false">IF(ISNUMBER(C8577),MONTH(C8577),"")</f>
        <v/>
      </c>
      <c r="X8577" s="23" t="str">
        <f aca="false">IF(T8577="","",IF(T8577=0,"No discount",IF(T8577&lt;=0.2,"Low (1-20%)",IF(T8577&lt;=0.4,"Medium (21-40%)","High (&gt;40%)"))))</f>
        <v/>
      </c>
      <c r="Y8577" s="23" t="str">
        <f aca="false">IF(AND(ISNUMBER(C8577),ISNUMBER(D8577)),D8577-C8577,"")</f>
        <v/>
      </c>
      <c r="Z8577" s="23" t="str">
        <f aca="false">IF(B8577="","",IF(MATCH(B8577,$B$2:$B$12000,0)=ROW()-1,1,0))</f>
        <v/>
      </c>
    </row>
    <row r="8578" customFormat="false" ht="15" hidden="false" customHeight="false" outlineLevel="0" collapsed="false">
      <c r="V8578" s="23" t="str">
        <f aca="false">IF(ISNUMBER(C8578),YEAR(C8578),"")</f>
        <v/>
      </c>
      <c r="W8578" s="23" t="str">
        <f aca="false">IF(ISNUMBER(C8578),MONTH(C8578),"")</f>
        <v/>
      </c>
      <c r="X8578" s="23" t="str">
        <f aca="false">IF(T8578="","",IF(T8578=0,"No discount",IF(T8578&lt;=0.2,"Low (1-20%)",IF(T8578&lt;=0.4,"Medium (21-40%)","High (&gt;40%)"))))</f>
        <v/>
      </c>
      <c r="Y8578" s="23" t="str">
        <f aca="false">IF(AND(ISNUMBER(C8578),ISNUMBER(D8578)),D8578-C8578,"")</f>
        <v/>
      </c>
      <c r="Z8578" s="23" t="str">
        <f aca="false">IF(B8578="","",IF(MATCH(B8578,$B$2:$B$12000,0)=ROW()-1,1,0))</f>
        <v/>
      </c>
    </row>
    <row r="8579" customFormat="false" ht="15" hidden="false" customHeight="false" outlineLevel="0" collapsed="false">
      <c r="V8579" s="23" t="str">
        <f aca="false">IF(ISNUMBER(C8579),YEAR(C8579),"")</f>
        <v/>
      </c>
      <c r="W8579" s="23" t="str">
        <f aca="false">IF(ISNUMBER(C8579),MONTH(C8579),"")</f>
        <v/>
      </c>
      <c r="X8579" s="23" t="str">
        <f aca="false">IF(T8579="","",IF(T8579=0,"No discount",IF(T8579&lt;=0.2,"Low (1-20%)",IF(T8579&lt;=0.4,"Medium (21-40%)","High (&gt;40%)"))))</f>
        <v/>
      </c>
      <c r="Y8579" s="23" t="str">
        <f aca="false">IF(AND(ISNUMBER(C8579),ISNUMBER(D8579)),D8579-C8579,"")</f>
        <v/>
      </c>
      <c r="Z8579" s="23" t="str">
        <f aca="false">IF(B8579="","",IF(MATCH(B8579,$B$2:$B$12000,0)=ROW()-1,1,0))</f>
        <v/>
      </c>
    </row>
    <row r="8580" customFormat="false" ht="15" hidden="false" customHeight="false" outlineLevel="0" collapsed="false">
      <c r="V8580" s="23" t="str">
        <f aca="false">IF(ISNUMBER(C8580),YEAR(C8580),"")</f>
        <v/>
      </c>
      <c r="W8580" s="23" t="str">
        <f aca="false">IF(ISNUMBER(C8580),MONTH(C8580),"")</f>
        <v/>
      </c>
      <c r="X8580" s="23" t="str">
        <f aca="false">IF(T8580="","",IF(T8580=0,"No discount",IF(T8580&lt;=0.2,"Low (1-20%)",IF(T8580&lt;=0.4,"Medium (21-40%)","High (&gt;40%)"))))</f>
        <v/>
      </c>
      <c r="Y8580" s="23" t="str">
        <f aca="false">IF(AND(ISNUMBER(C8580),ISNUMBER(D8580)),D8580-C8580,"")</f>
        <v/>
      </c>
      <c r="Z8580" s="23" t="str">
        <f aca="false">IF(B8580="","",IF(MATCH(B8580,$B$2:$B$12000,0)=ROW()-1,1,0))</f>
        <v/>
      </c>
    </row>
    <row r="8581" customFormat="false" ht="15" hidden="false" customHeight="false" outlineLevel="0" collapsed="false">
      <c r="V8581" s="23" t="str">
        <f aca="false">IF(ISNUMBER(C8581),YEAR(C8581),"")</f>
        <v/>
      </c>
      <c r="W8581" s="23" t="str">
        <f aca="false">IF(ISNUMBER(C8581),MONTH(C8581),"")</f>
        <v/>
      </c>
      <c r="X8581" s="23" t="str">
        <f aca="false">IF(T8581="","",IF(T8581=0,"No discount",IF(T8581&lt;=0.2,"Low (1-20%)",IF(T8581&lt;=0.4,"Medium (21-40%)","High (&gt;40%)"))))</f>
        <v/>
      </c>
      <c r="Y8581" s="23" t="str">
        <f aca="false">IF(AND(ISNUMBER(C8581),ISNUMBER(D8581)),D8581-C8581,"")</f>
        <v/>
      </c>
      <c r="Z8581" s="23" t="str">
        <f aca="false">IF(B8581="","",IF(MATCH(B8581,$B$2:$B$12000,0)=ROW()-1,1,0))</f>
        <v/>
      </c>
    </row>
    <row r="8582" customFormat="false" ht="15" hidden="false" customHeight="false" outlineLevel="0" collapsed="false">
      <c r="V8582" s="23" t="str">
        <f aca="false">IF(ISNUMBER(C8582),YEAR(C8582),"")</f>
        <v/>
      </c>
      <c r="W8582" s="23" t="str">
        <f aca="false">IF(ISNUMBER(C8582),MONTH(C8582),"")</f>
        <v/>
      </c>
      <c r="X8582" s="23" t="str">
        <f aca="false">IF(T8582="","",IF(T8582=0,"No discount",IF(T8582&lt;=0.2,"Low (1-20%)",IF(T8582&lt;=0.4,"Medium (21-40%)","High (&gt;40%)"))))</f>
        <v/>
      </c>
      <c r="Y8582" s="23" t="str">
        <f aca="false">IF(AND(ISNUMBER(C8582),ISNUMBER(D8582)),D8582-C8582,"")</f>
        <v/>
      </c>
      <c r="Z8582" s="23" t="str">
        <f aca="false">IF(B8582="","",IF(MATCH(B8582,$B$2:$B$12000,0)=ROW()-1,1,0))</f>
        <v/>
      </c>
    </row>
    <row r="8583" customFormat="false" ht="15" hidden="false" customHeight="false" outlineLevel="0" collapsed="false">
      <c r="V8583" s="23" t="str">
        <f aca="false">IF(ISNUMBER(C8583),YEAR(C8583),"")</f>
        <v/>
      </c>
      <c r="W8583" s="23" t="str">
        <f aca="false">IF(ISNUMBER(C8583),MONTH(C8583),"")</f>
        <v/>
      </c>
      <c r="X8583" s="23" t="str">
        <f aca="false">IF(T8583="","",IF(T8583=0,"No discount",IF(T8583&lt;=0.2,"Low (1-20%)",IF(T8583&lt;=0.4,"Medium (21-40%)","High (&gt;40%)"))))</f>
        <v/>
      </c>
      <c r="Y8583" s="23" t="str">
        <f aca="false">IF(AND(ISNUMBER(C8583),ISNUMBER(D8583)),D8583-C8583,"")</f>
        <v/>
      </c>
      <c r="Z8583" s="23" t="str">
        <f aca="false">IF(B8583="","",IF(MATCH(B8583,$B$2:$B$12000,0)=ROW()-1,1,0))</f>
        <v/>
      </c>
    </row>
    <row r="8584" customFormat="false" ht="15" hidden="false" customHeight="false" outlineLevel="0" collapsed="false">
      <c r="V8584" s="23" t="str">
        <f aca="false">IF(ISNUMBER(C8584),YEAR(C8584),"")</f>
        <v/>
      </c>
      <c r="W8584" s="23" t="str">
        <f aca="false">IF(ISNUMBER(C8584),MONTH(C8584),"")</f>
        <v/>
      </c>
      <c r="X8584" s="23" t="str">
        <f aca="false">IF(T8584="","",IF(T8584=0,"No discount",IF(T8584&lt;=0.2,"Low (1-20%)",IF(T8584&lt;=0.4,"Medium (21-40%)","High (&gt;40%)"))))</f>
        <v/>
      </c>
      <c r="Y8584" s="23" t="str">
        <f aca="false">IF(AND(ISNUMBER(C8584),ISNUMBER(D8584)),D8584-C8584,"")</f>
        <v/>
      </c>
      <c r="Z8584" s="23" t="str">
        <f aca="false">IF(B8584="","",IF(MATCH(B8584,$B$2:$B$12000,0)=ROW()-1,1,0))</f>
        <v/>
      </c>
    </row>
    <row r="8585" customFormat="false" ht="15" hidden="false" customHeight="false" outlineLevel="0" collapsed="false">
      <c r="V8585" s="23" t="str">
        <f aca="false">IF(ISNUMBER(C8585),YEAR(C8585),"")</f>
        <v/>
      </c>
      <c r="W8585" s="23" t="str">
        <f aca="false">IF(ISNUMBER(C8585),MONTH(C8585),"")</f>
        <v/>
      </c>
      <c r="X8585" s="23" t="str">
        <f aca="false">IF(T8585="","",IF(T8585=0,"No discount",IF(T8585&lt;=0.2,"Low (1-20%)",IF(T8585&lt;=0.4,"Medium (21-40%)","High (&gt;40%)"))))</f>
        <v/>
      </c>
      <c r="Y8585" s="23" t="str">
        <f aca="false">IF(AND(ISNUMBER(C8585),ISNUMBER(D8585)),D8585-C8585,"")</f>
        <v/>
      </c>
      <c r="Z8585" s="23" t="str">
        <f aca="false">IF(B8585="","",IF(MATCH(B8585,$B$2:$B$12000,0)=ROW()-1,1,0))</f>
        <v/>
      </c>
    </row>
    <row r="8586" customFormat="false" ht="15" hidden="false" customHeight="false" outlineLevel="0" collapsed="false">
      <c r="V8586" s="23" t="str">
        <f aca="false">IF(ISNUMBER(C8586),YEAR(C8586),"")</f>
        <v/>
      </c>
      <c r="W8586" s="23" t="str">
        <f aca="false">IF(ISNUMBER(C8586),MONTH(C8586),"")</f>
        <v/>
      </c>
      <c r="X8586" s="23" t="str">
        <f aca="false">IF(T8586="","",IF(T8586=0,"No discount",IF(T8586&lt;=0.2,"Low (1-20%)",IF(T8586&lt;=0.4,"Medium (21-40%)","High (&gt;40%)"))))</f>
        <v/>
      </c>
      <c r="Y8586" s="23" t="str">
        <f aca="false">IF(AND(ISNUMBER(C8586),ISNUMBER(D8586)),D8586-C8586,"")</f>
        <v/>
      </c>
      <c r="Z8586" s="23" t="str">
        <f aca="false">IF(B8586="","",IF(MATCH(B8586,$B$2:$B$12000,0)=ROW()-1,1,0))</f>
        <v/>
      </c>
    </row>
    <row r="8587" customFormat="false" ht="15" hidden="false" customHeight="false" outlineLevel="0" collapsed="false">
      <c r="V8587" s="23" t="str">
        <f aca="false">IF(ISNUMBER(C8587),YEAR(C8587),"")</f>
        <v/>
      </c>
      <c r="W8587" s="23" t="str">
        <f aca="false">IF(ISNUMBER(C8587),MONTH(C8587),"")</f>
        <v/>
      </c>
      <c r="X8587" s="23" t="str">
        <f aca="false">IF(T8587="","",IF(T8587=0,"No discount",IF(T8587&lt;=0.2,"Low (1-20%)",IF(T8587&lt;=0.4,"Medium (21-40%)","High (&gt;40%)"))))</f>
        <v/>
      </c>
      <c r="Y8587" s="23" t="str">
        <f aca="false">IF(AND(ISNUMBER(C8587),ISNUMBER(D8587)),D8587-C8587,"")</f>
        <v/>
      </c>
      <c r="Z8587" s="23" t="str">
        <f aca="false">IF(B8587="","",IF(MATCH(B8587,$B$2:$B$12000,0)=ROW()-1,1,0))</f>
        <v/>
      </c>
    </row>
    <row r="8588" customFormat="false" ht="15" hidden="false" customHeight="false" outlineLevel="0" collapsed="false">
      <c r="V8588" s="23" t="str">
        <f aca="false">IF(ISNUMBER(C8588),YEAR(C8588),"")</f>
        <v/>
      </c>
      <c r="W8588" s="23" t="str">
        <f aca="false">IF(ISNUMBER(C8588),MONTH(C8588),"")</f>
        <v/>
      </c>
      <c r="X8588" s="23" t="str">
        <f aca="false">IF(T8588="","",IF(T8588=0,"No discount",IF(T8588&lt;=0.2,"Low (1-20%)",IF(T8588&lt;=0.4,"Medium (21-40%)","High (&gt;40%)"))))</f>
        <v/>
      </c>
      <c r="Y8588" s="23" t="str">
        <f aca="false">IF(AND(ISNUMBER(C8588),ISNUMBER(D8588)),D8588-C8588,"")</f>
        <v/>
      </c>
      <c r="Z8588" s="23" t="str">
        <f aca="false">IF(B8588="","",IF(MATCH(B8588,$B$2:$B$12000,0)=ROW()-1,1,0))</f>
        <v/>
      </c>
    </row>
    <row r="8589" customFormat="false" ht="15" hidden="false" customHeight="false" outlineLevel="0" collapsed="false">
      <c r="V8589" s="23" t="str">
        <f aca="false">IF(ISNUMBER(C8589),YEAR(C8589),"")</f>
        <v/>
      </c>
      <c r="W8589" s="23" t="str">
        <f aca="false">IF(ISNUMBER(C8589),MONTH(C8589),"")</f>
        <v/>
      </c>
      <c r="X8589" s="23" t="str">
        <f aca="false">IF(T8589="","",IF(T8589=0,"No discount",IF(T8589&lt;=0.2,"Low (1-20%)",IF(T8589&lt;=0.4,"Medium (21-40%)","High (&gt;40%)"))))</f>
        <v/>
      </c>
      <c r="Y8589" s="23" t="str">
        <f aca="false">IF(AND(ISNUMBER(C8589),ISNUMBER(D8589)),D8589-C8589,"")</f>
        <v/>
      </c>
      <c r="Z8589" s="23" t="str">
        <f aca="false">IF(B8589="","",IF(MATCH(B8589,$B$2:$B$12000,0)=ROW()-1,1,0))</f>
        <v/>
      </c>
    </row>
    <row r="8590" customFormat="false" ht="15" hidden="false" customHeight="false" outlineLevel="0" collapsed="false">
      <c r="V8590" s="23" t="str">
        <f aca="false">IF(ISNUMBER(C8590),YEAR(C8590),"")</f>
        <v/>
      </c>
      <c r="W8590" s="23" t="str">
        <f aca="false">IF(ISNUMBER(C8590),MONTH(C8590),"")</f>
        <v/>
      </c>
      <c r="X8590" s="23" t="str">
        <f aca="false">IF(T8590="","",IF(T8590=0,"No discount",IF(T8590&lt;=0.2,"Low (1-20%)",IF(T8590&lt;=0.4,"Medium (21-40%)","High (&gt;40%)"))))</f>
        <v/>
      </c>
      <c r="Y8590" s="23" t="str">
        <f aca="false">IF(AND(ISNUMBER(C8590),ISNUMBER(D8590)),D8590-C8590,"")</f>
        <v/>
      </c>
      <c r="Z8590" s="23" t="str">
        <f aca="false">IF(B8590="","",IF(MATCH(B8590,$B$2:$B$12000,0)=ROW()-1,1,0))</f>
        <v/>
      </c>
    </row>
    <row r="8591" customFormat="false" ht="15" hidden="false" customHeight="false" outlineLevel="0" collapsed="false">
      <c r="V8591" s="23" t="str">
        <f aca="false">IF(ISNUMBER(C8591),YEAR(C8591),"")</f>
        <v/>
      </c>
      <c r="W8591" s="23" t="str">
        <f aca="false">IF(ISNUMBER(C8591),MONTH(C8591),"")</f>
        <v/>
      </c>
      <c r="X8591" s="23" t="str">
        <f aca="false">IF(T8591="","",IF(T8591=0,"No discount",IF(T8591&lt;=0.2,"Low (1-20%)",IF(T8591&lt;=0.4,"Medium (21-40%)","High (&gt;40%)"))))</f>
        <v/>
      </c>
      <c r="Y8591" s="23" t="str">
        <f aca="false">IF(AND(ISNUMBER(C8591),ISNUMBER(D8591)),D8591-C8591,"")</f>
        <v/>
      </c>
      <c r="Z8591" s="23" t="str">
        <f aca="false">IF(B8591="","",IF(MATCH(B8591,$B$2:$B$12000,0)=ROW()-1,1,0))</f>
        <v/>
      </c>
    </row>
    <row r="8592" customFormat="false" ht="15" hidden="false" customHeight="false" outlineLevel="0" collapsed="false">
      <c r="V8592" s="23" t="str">
        <f aca="false">IF(ISNUMBER(C8592),YEAR(C8592),"")</f>
        <v/>
      </c>
      <c r="W8592" s="23" t="str">
        <f aca="false">IF(ISNUMBER(C8592),MONTH(C8592),"")</f>
        <v/>
      </c>
      <c r="X8592" s="23" t="str">
        <f aca="false">IF(T8592="","",IF(T8592=0,"No discount",IF(T8592&lt;=0.2,"Low (1-20%)",IF(T8592&lt;=0.4,"Medium (21-40%)","High (&gt;40%)"))))</f>
        <v/>
      </c>
      <c r="Y8592" s="23" t="str">
        <f aca="false">IF(AND(ISNUMBER(C8592),ISNUMBER(D8592)),D8592-C8592,"")</f>
        <v/>
      </c>
      <c r="Z8592" s="23" t="str">
        <f aca="false">IF(B8592="","",IF(MATCH(B8592,$B$2:$B$12000,0)=ROW()-1,1,0))</f>
        <v/>
      </c>
    </row>
    <row r="8593" customFormat="false" ht="15" hidden="false" customHeight="false" outlineLevel="0" collapsed="false">
      <c r="V8593" s="23" t="str">
        <f aca="false">IF(ISNUMBER(C8593),YEAR(C8593),"")</f>
        <v/>
      </c>
      <c r="W8593" s="23" t="str">
        <f aca="false">IF(ISNUMBER(C8593),MONTH(C8593),"")</f>
        <v/>
      </c>
      <c r="X8593" s="23" t="str">
        <f aca="false">IF(T8593="","",IF(T8593=0,"No discount",IF(T8593&lt;=0.2,"Low (1-20%)",IF(T8593&lt;=0.4,"Medium (21-40%)","High (&gt;40%)"))))</f>
        <v/>
      </c>
      <c r="Y8593" s="23" t="str">
        <f aca="false">IF(AND(ISNUMBER(C8593),ISNUMBER(D8593)),D8593-C8593,"")</f>
        <v/>
      </c>
      <c r="Z8593" s="23" t="str">
        <f aca="false">IF(B8593="","",IF(MATCH(B8593,$B$2:$B$12000,0)=ROW()-1,1,0))</f>
        <v/>
      </c>
    </row>
    <row r="8594" customFormat="false" ht="15" hidden="false" customHeight="false" outlineLevel="0" collapsed="false">
      <c r="V8594" s="23" t="str">
        <f aca="false">IF(ISNUMBER(C8594),YEAR(C8594),"")</f>
        <v/>
      </c>
      <c r="W8594" s="23" t="str">
        <f aca="false">IF(ISNUMBER(C8594),MONTH(C8594),"")</f>
        <v/>
      </c>
      <c r="X8594" s="23" t="str">
        <f aca="false">IF(T8594="","",IF(T8594=0,"No discount",IF(T8594&lt;=0.2,"Low (1-20%)",IF(T8594&lt;=0.4,"Medium (21-40%)","High (&gt;40%)"))))</f>
        <v/>
      </c>
      <c r="Y8594" s="23" t="str">
        <f aca="false">IF(AND(ISNUMBER(C8594),ISNUMBER(D8594)),D8594-C8594,"")</f>
        <v/>
      </c>
      <c r="Z8594" s="23" t="str">
        <f aca="false">IF(B8594="","",IF(MATCH(B8594,$B$2:$B$12000,0)=ROW()-1,1,0))</f>
        <v/>
      </c>
    </row>
    <row r="8595" customFormat="false" ht="15" hidden="false" customHeight="false" outlineLevel="0" collapsed="false">
      <c r="V8595" s="23" t="str">
        <f aca="false">IF(ISNUMBER(C8595),YEAR(C8595),"")</f>
        <v/>
      </c>
      <c r="W8595" s="23" t="str">
        <f aca="false">IF(ISNUMBER(C8595),MONTH(C8595),"")</f>
        <v/>
      </c>
      <c r="X8595" s="23" t="str">
        <f aca="false">IF(T8595="","",IF(T8595=0,"No discount",IF(T8595&lt;=0.2,"Low (1-20%)",IF(T8595&lt;=0.4,"Medium (21-40%)","High (&gt;40%)"))))</f>
        <v/>
      </c>
      <c r="Y8595" s="23" t="str">
        <f aca="false">IF(AND(ISNUMBER(C8595),ISNUMBER(D8595)),D8595-C8595,"")</f>
        <v/>
      </c>
      <c r="Z8595" s="23" t="str">
        <f aca="false">IF(B8595="","",IF(MATCH(B8595,$B$2:$B$12000,0)=ROW()-1,1,0))</f>
        <v/>
      </c>
    </row>
    <row r="8596" customFormat="false" ht="15" hidden="false" customHeight="false" outlineLevel="0" collapsed="false">
      <c r="V8596" s="23" t="str">
        <f aca="false">IF(ISNUMBER(C8596),YEAR(C8596),"")</f>
        <v/>
      </c>
      <c r="W8596" s="23" t="str">
        <f aca="false">IF(ISNUMBER(C8596),MONTH(C8596),"")</f>
        <v/>
      </c>
      <c r="X8596" s="23" t="str">
        <f aca="false">IF(T8596="","",IF(T8596=0,"No discount",IF(T8596&lt;=0.2,"Low (1-20%)",IF(T8596&lt;=0.4,"Medium (21-40%)","High (&gt;40%)"))))</f>
        <v/>
      </c>
      <c r="Y8596" s="23" t="str">
        <f aca="false">IF(AND(ISNUMBER(C8596),ISNUMBER(D8596)),D8596-C8596,"")</f>
        <v/>
      </c>
      <c r="Z8596" s="23" t="str">
        <f aca="false">IF(B8596="","",IF(MATCH(B8596,$B$2:$B$12000,0)=ROW()-1,1,0))</f>
        <v/>
      </c>
    </row>
    <row r="8597" customFormat="false" ht="15" hidden="false" customHeight="false" outlineLevel="0" collapsed="false">
      <c r="V8597" s="23" t="str">
        <f aca="false">IF(ISNUMBER(C8597),YEAR(C8597),"")</f>
        <v/>
      </c>
      <c r="W8597" s="23" t="str">
        <f aca="false">IF(ISNUMBER(C8597),MONTH(C8597),"")</f>
        <v/>
      </c>
      <c r="X8597" s="23" t="str">
        <f aca="false">IF(T8597="","",IF(T8597=0,"No discount",IF(T8597&lt;=0.2,"Low (1-20%)",IF(T8597&lt;=0.4,"Medium (21-40%)","High (&gt;40%)"))))</f>
        <v/>
      </c>
      <c r="Y8597" s="23" t="str">
        <f aca="false">IF(AND(ISNUMBER(C8597),ISNUMBER(D8597)),D8597-C8597,"")</f>
        <v/>
      </c>
      <c r="Z8597" s="23" t="str">
        <f aca="false">IF(B8597="","",IF(MATCH(B8597,$B$2:$B$12000,0)=ROW()-1,1,0))</f>
        <v/>
      </c>
    </row>
    <row r="8598" customFormat="false" ht="15" hidden="false" customHeight="false" outlineLevel="0" collapsed="false">
      <c r="V8598" s="23" t="str">
        <f aca="false">IF(ISNUMBER(C8598),YEAR(C8598),"")</f>
        <v/>
      </c>
      <c r="W8598" s="23" t="str">
        <f aca="false">IF(ISNUMBER(C8598),MONTH(C8598),"")</f>
        <v/>
      </c>
      <c r="X8598" s="23" t="str">
        <f aca="false">IF(T8598="","",IF(T8598=0,"No discount",IF(T8598&lt;=0.2,"Low (1-20%)",IF(T8598&lt;=0.4,"Medium (21-40%)","High (&gt;40%)"))))</f>
        <v/>
      </c>
      <c r="Y8598" s="23" t="str">
        <f aca="false">IF(AND(ISNUMBER(C8598),ISNUMBER(D8598)),D8598-C8598,"")</f>
        <v/>
      </c>
      <c r="Z8598" s="23" t="str">
        <f aca="false">IF(B8598="","",IF(MATCH(B8598,$B$2:$B$12000,0)=ROW()-1,1,0))</f>
        <v/>
      </c>
    </row>
    <row r="8599" customFormat="false" ht="15" hidden="false" customHeight="false" outlineLevel="0" collapsed="false">
      <c r="V8599" s="23" t="str">
        <f aca="false">IF(ISNUMBER(C8599),YEAR(C8599),"")</f>
        <v/>
      </c>
      <c r="W8599" s="23" t="str">
        <f aca="false">IF(ISNUMBER(C8599),MONTH(C8599),"")</f>
        <v/>
      </c>
      <c r="X8599" s="23" t="str">
        <f aca="false">IF(T8599="","",IF(T8599=0,"No discount",IF(T8599&lt;=0.2,"Low (1-20%)",IF(T8599&lt;=0.4,"Medium (21-40%)","High (&gt;40%)"))))</f>
        <v/>
      </c>
      <c r="Y8599" s="23" t="str">
        <f aca="false">IF(AND(ISNUMBER(C8599),ISNUMBER(D8599)),D8599-C8599,"")</f>
        <v/>
      </c>
      <c r="Z8599" s="23" t="str">
        <f aca="false">IF(B8599="","",IF(MATCH(B8599,$B$2:$B$12000,0)=ROW()-1,1,0))</f>
        <v/>
      </c>
    </row>
    <row r="8600" customFormat="false" ht="15" hidden="false" customHeight="false" outlineLevel="0" collapsed="false">
      <c r="V8600" s="23" t="str">
        <f aca="false">IF(ISNUMBER(C8600),YEAR(C8600),"")</f>
        <v/>
      </c>
      <c r="W8600" s="23" t="str">
        <f aca="false">IF(ISNUMBER(C8600),MONTH(C8600),"")</f>
        <v/>
      </c>
      <c r="X8600" s="23" t="str">
        <f aca="false">IF(T8600="","",IF(T8600=0,"No discount",IF(T8600&lt;=0.2,"Low (1-20%)",IF(T8600&lt;=0.4,"Medium (21-40%)","High (&gt;40%)"))))</f>
        <v/>
      </c>
      <c r="Y8600" s="23" t="str">
        <f aca="false">IF(AND(ISNUMBER(C8600),ISNUMBER(D8600)),D8600-C8600,"")</f>
        <v/>
      </c>
      <c r="Z8600" s="23" t="str">
        <f aca="false">IF(B8600="","",IF(MATCH(B8600,$B$2:$B$12000,0)=ROW()-1,1,0))</f>
        <v/>
      </c>
    </row>
    <row r="8601" customFormat="false" ht="15" hidden="false" customHeight="false" outlineLevel="0" collapsed="false">
      <c r="V8601" s="23" t="str">
        <f aca="false">IF(ISNUMBER(C8601),YEAR(C8601),"")</f>
        <v/>
      </c>
      <c r="W8601" s="23" t="str">
        <f aca="false">IF(ISNUMBER(C8601),MONTH(C8601),"")</f>
        <v/>
      </c>
      <c r="X8601" s="23" t="str">
        <f aca="false">IF(T8601="","",IF(T8601=0,"No discount",IF(T8601&lt;=0.2,"Low (1-20%)",IF(T8601&lt;=0.4,"Medium (21-40%)","High (&gt;40%)"))))</f>
        <v/>
      </c>
      <c r="Y8601" s="23" t="str">
        <f aca="false">IF(AND(ISNUMBER(C8601),ISNUMBER(D8601)),D8601-C8601,"")</f>
        <v/>
      </c>
      <c r="Z8601" s="23" t="str">
        <f aca="false">IF(B8601="","",IF(MATCH(B8601,$B$2:$B$12000,0)=ROW()-1,1,0))</f>
        <v/>
      </c>
    </row>
    <row r="8602" customFormat="false" ht="15" hidden="false" customHeight="false" outlineLevel="0" collapsed="false">
      <c r="V8602" s="23" t="str">
        <f aca="false">IF(ISNUMBER(C8602),YEAR(C8602),"")</f>
        <v/>
      </c>
      <c r="W8602" s="23" t="str">
        <f aca="false">IF(ISNUMBER(C8602),MONTH(C8602),"")</f>
        <v/>
      </c>
      <c r="X8602" s="23" t="str">
        <f aca="false">IF(T8602="","",IF(T8602=0,"No discount",IF(T8602&lt;=0.2,"Low (1-20%)",IF(T8602&lt;=0.4,"Medium (21-40%)","High (&gt;40%)"))))</f>
        <v/>
      </c>
      <c r="Y8602" s="23" t="str">
        <f aca="false">IF(AND(ISNUMBER(C8602),ISNUMBER(D8602)),D8602-C8602,"")</f>
        <v/>
      </c>
      <c r="Z8602" s="23" t="str">
        <f aca="false">IF(B8602="","",IF(MATCH(B8602,$B$2:$B$12000,0)=ROW()-1,1,0))</f>
        <v/>
      </c>
    </row>
    <row r="8603" customFormat="false" ht="15" hidden="false" customHeight="false" outlineLevel="0" collapsed="false">
      <c r="V8603" s="23" t="str">
        <f aca="false">IF(ISNUMBER(C8603),YEAR(C8603),"")</f>
        <v/>
      </c>
      <c r="W8603" s="23" t="str">
        <f aca="false">IF(ISNUMBER(C8603),MONTH(C8603),"")</f>
        <v/>
      </c>
      <c r="X8603" s="23" t="str">
        <f aca="false">IF(T8603="","",IF(T8603=0,"No discount",IF(T8603&lt;=0.2,"Low (1-20%)",IF(T8603&lt;=0.4,"Medium (21-40%)","High (&gt;40%)"))))</f>
        <v/>
      </c>
      <c r="Y8603" s="23" t="str">
        <f aca="false">IF(AND(ISNUMBER(C8603),ISNUMBER(D8603)),D8603-C8603,"")</f>
        <v/>
      </c>
      <c r="Z8603" s="23" t="str">
        <f aca="false">IF(B8603="","",IF(MATCH(B8603,$B$2:$B$12000,0)=ROW()-1,1,0))</f>
        <v/>
      </c>
    </row>
    <row r="8604" customFormat="false" ht="15" hidden="false" customHeight="false" outlineLevel="0" collapsed="false">
      <c r="V8604" s="23" t="str">
        <f aca="false">IF(ISNUMBER(C8604),YEAR(C8604),"")</f>
        <v/>
      </c>
      <c r="W8604" s="23" t="str">
        <f aca="false">IF(ISNUMBER(C8604),MONTH(C8604),"")</f>
        <v/>
      </c>
      <c r="X8604" s="23" t="str">
        <f aca="false">IF(T8604="","",IF(T8604=0,"No discount",IF(T8604&lt;=0.2,"Low (1-20%)",IF(T8604&lt;=0.4,"Medium (21-40%)","High (&gt;40%)"))))</f>
        <v/>
      </c>
      <c r="Y8604" s="23" t="str">
        <f aca="false">IF(AND(ISNUMBER(C8604),ISNUMBER(D8604)),D8604-C8604,"")</f>
        <v/>
      </c>
      <c r="Z8604" s="23" t="str">
        <f aca="false">IF(B8604="","",IF(MATCH(B8604,$B$2:$B$12000,0)=ROW()-1,1,0))</f>
        <v/>
      </c>
    </row>
    <row r="8605" customFormat="false" ht="15" hidden="false" customHeight="false" outlineLevel="0" collapsed="false">
      <c r="V8605" s="23" t="str">
        <f aca="false">IF(ISNUMBER(C8605),YEAR(C8605),"")</f>
        <v/>
      </c>
      <c r="W8605" s="23" t="str">
        <f aca="false">IF(ISNUMBER(C8605),MONTH(C8605),"")</f>
        <v/>
      </c>
      <c r="X8605" s="23" t="str">
        <f aca="false">IF(T8605="","",IF(T8605=0,"No discount",IF(T8605&lt;=0.2,"Low (1-20%)",IF(T8605&lt;=0.4,"Medium (21-40%)","High (&gt;40%)"))))</f>
        <v/>
      </c>
      <c r="Y8605" s="23" t="str">
        <f aca="false">IF(AND(ISNUMBER(C8605),ISNUMBER(D8605)),D8605-C8605,"")</f>
        <v/>
      </c>
      <c r="Z8605" s="23" t="str">
        <f aca="false">IF(B8605="","",IF(MATCH(B8605,$B$2:$B$12000,0)=ROW()-1,1,0))</f>
        <v/>
      </c>
    </row>
    <row r="8606" customFormat="false" ht="15" hidden="false" customHeight="false" outlineLevel="0" collapsed="false">
      <c r="V8606" s="23" t="str">
        <f aca="false">IF(ISNUMBER(C8606),YEAR(C8606),"")</f>
        <v/>
      </c>
      <c r="W8606" s="23" t="str">
        <f aca="false">IF(ISNUMBER(C8606),MONTH(C8606),"")</f>
        <v/>
      </c>
      <c r="X8606" s="23" t="str">
        <f aca="false">IF(T8606="","",IF(T8606=0,"No discount",IF(T8606&lt;=0.2,"Low (1-20%)",IF(T8606&lt;=0.4,"Medium (21-40%)","High (&gt;40%)"))))</f>
        <v/>
      </c>
      <c r="Y8606" s="23" t="str">
        <f aca="false">IF(AND(ISNUMBER(C8606),ISNUMBER(D8606)),D8606-C8606,"")</f>
        <v/>
      </c>
      <c r="Z8606" s="23" t="str">
        <f aca="false">IF(B8606="","",IF(MATCH(B8606,$B$2:$B$12000,0)=ROW()-1,1,0))</f>
        <v/>
      </c>
    </row>
    <row r="8607" customFormat="false" ht="15" hidden="false" customHeight="false" outlineLevel="0" collapsed="false">
      <c r="V8607" s="23" t="str">
        <f aca="false">IF(ISNUMBER(C8607),YEAR(C8607),"")</f>
        <v/>
      </c>
      <c r="W8607" s="23" t="str">
        <f aca="false">IF(ISNUMBER(C8607),MONTH(C8607),"")</f>
        <v/>
      </c>
      <c r="X8607" s="23" t="str">
        <f aca="false">IF(T8607="","",IF(T8607=0,"No discount",IF(T8607&lt;=0.2,"Low (1-20%)",IF(T8607&lt;=0.4,"Medium (21-40%)","High (&gt;40%)"))))</f>
        <v/>
      </c>
      <c r="Y8607" s="23" t="str">
        <f aca="false">IF(AND(ISNUMBER(C8607),ISNUMBER(D8607)),D8607-C8607,"")</f>
        <v/>
      </c>
      <c r="Z8607" s="23" t="str">
        <f aca="false">IF(B8607="","",IF(MATCH(B8607,$B$2:$B$12000,0)=ROW()-1,1,0))</f>
        <v/>
      </c>
    </row>
    <row r="8608" customFormat="false" ht="15" hidden="false" customHeight="false" outlineLevel="0" collapsed="false">
      <c r="V8608" s="23" t="str">
        <f aca="false">IF(ISNUMBER(C8608),YEAR(C8608),"")</f>
        <v/>
      </c>
      <c r="W8608" s="23" t="str">
        <f aca="false">IF(ISNUMBER(C8608),MONTH(C8608),"")</f>
        <v/>
      </c>
      <c r="X8608" s="23" t="str">
        <f aca="false">IF(T8608="","",IF(T8608=0,"No discount",IF(T8608&lt;=0.2,"Low (1-20%)",IF(T8608&lt;=0.4,"Medium (21-40%)","High (&gt;40%)"))))</f>
        <v/>
      </c>
      <c r="Y8608" s="23" t="str">
        <f aca="false">IF(AND(ISNUMBER(C8608),ISNUMBER(D8608)),D8608-C8608,"")</f>
        <v/>
      </c>
      <c r="Z8608" s="23" t="str">
        <f aca="false">IF(B8608="","",IF(MATCH(B8608,$B$2:$B$12000,0)=ROW()-1,1,0))</f>
        <v/>
      </c>
    </row>
    <row r="8609" customFormat="false" ht="15" hidden="false" customHeight="false" outlineLevel="0" collapsed="false">
      <c r="V8609" s="23" t="str">
        <f aca="false">IF(ISNUMBER(C8609),YEAR(C8609),"")</f>
        <v/>
      </c>
      <c r="W8609" s="23" t="str">
        <f aca="false">IF(ISNUMBER(C8609),MONTH(C8609),"")</f>
        <v/>
      </c>
      <c r="X8609" s="23" t="str">
        <f aca="false">IF(T8609="","",IF(T8609=0,"No discount",IF(T8609&lt;=0.2,"Low (1-20%)",IF(T8609&lt;=0.4,"Medium (21-40%)","High (&gt;40%)"))))</f>
        <v/>
      </c>
      <c r="Y8609" s="23" t="str">
        <f aca="false">IF(AND(ISNUMBER(C8609),ISNUMBER(D8609)),D8609-C8609,"")</f>
        <v/>
      </c>
      <c r="Z8609" s="23" t="str">
        <f aca="false">IF(B8609="","",IF(MATCH(B8609,$B$2:$B$12000,0)=ROW()-1,1,0))</f>
        <v/>
      </c>
    </row>
    <row r="8610" customFormat="false" ht="15" hidden="false" customHeight="false" outlineLevel="0" collapsed="false">
      <c r="V8610" s="23" t="str">
        <f aca="false">IF(ISNUMBER(C8610),YEAR(C8610),"")</f>
        <v/>
      </c>
      <c r="W8610" s="23" t="str">
        <f aca="false">IF(ISNUMBER(C8610),MONTH(C8610),"")</f>
        <v/>
      </c>
      <c r="X8610" s="23" t="str">
        <f aca="false">IF(T8610="","",IF(T8610=0,"No discount",IF(T8610&lt;=0.2,"Low (1-20%)",IF(T8610&lt;=0.4,"Medium (21-40%)","High (&gt;40%)"))))</f>
        <v/>
      </c>
      <c r="Y8610" s="23" t="str">
        <f aca="false">IF(AND(ISNUMBER(C8610),ISNUMBER(D8610)),D8610-C8610,"")</f>
        <v/>
      </c>
      <c r="Z8610" s="23" t="str">
        <f aca="false">IF(B8610="","",IF(MATCH(B8610,$B$2:$B$12000,0)=ROW()-1,1,0))</f>
        <v/>
      </c>
    </row>
    <row r="8611" customFormat="false" ht="15" hidden="false" customHeight="false" outlineLevel="0" collapsed="false">
      <c r="V8611" s="23" t="str">
        <f aca="false">IF(ISNUMBER(C8611),YEAR(C8611),"")</f>
        <v/>
      </c>
      <c r="W8611" s="23" t="str">
        <f aca="false">IF(ISNUMBER(C8611),MONTH(C8611),"")</f>
        <v/>
      </c>
      <c r="X8611" s="23" t="str">
        <f aca="false">IF(T8611="","",IF(T8611=0,"No discount",IF(T8611&lt;=0.2,"Low (1-20%)",IF(T8611&lt;=0.4,"Medium (21-40%)","High (&gt;40%)"))))</f>
        <v/>
      </c>
      <c r="Y8611" s="23" t="str">
        <f aca="false">IF(AND(ISNUMBER(C8611),ISNUMBER(D8611)),D8611-C8611,"")</f>
        <v/>
      </c>
      <c r="Z8611" s="23" t="str">
        <f aca="false">IF(B8611="","",IF(MATCH(B8611,$B$2:$B$12000,0)=ROW()-1,1,0))</f>
        <v/>
      </c>
    </row>
    <row r="8612" customFormat="false" ht="15" hidden="false" customHeight="false" outlineLevel="0" collapsed="false">
      <c r="V8612" s="23" t="str">
        <f aca="false">IF(ISNUMBER(C8612),YEAR(C8612),"")</f>
        <v/>
      </c>
      <c r="W8612" s="23" t="str">
        <f aca="false">IF(ISNUMBER(C8612),MONTH(C8612),"")</f>
        <v/>
      </c>
      <c r="X8612" s="23" t="str">
        <f aca="false">IF(T8612="","",IF(T8612=0,"No discount",IF(T8612&lt;=0.2,"Low (1-20%)",IF(T8612&lt;=0.4,"Medium (21-40%)","High (&gt;40%)"))))</f>
        <v/>
      </c>
      <c r="Y8612" s="23" t="str">
        <f aca="false">IF(AND(ISNUMBER(C8612),ISNUMBER(D8612)),D8612-C8612,"")</f>
        <v/>
      </c>
      <c r="Z8612" s="23" t="str">
        <f aca="false">IF(B8612="","",IF(MATCH(B8612,$B$2:$B$12000,0)=ROW()-1,1,0))</f>
        <v/>
      </c>
    </row>
    <row r="8613" customFormat="false" ht="15" hidden="false" customHeight="false" outlineLevel="0" collapsed="false">
      <c r="V8613" s="23" t="str">
        <f aca="false">IF(ISNUMBER(C8613),YEAR(C8613),"")</f>
        <v/>
      </c>
      <c r="W8613" s="23" t="str">
        <f aca="false">IF(ISNUMBER(C8613),MONTH(C8613),"")</f>
        <v/>
      </c>
      <c r="X8613" s="23" t="str">
        <f aca="false">IF(T8613="","",IF(T8613=0,"No discount",IF(T8613&lt;=0.2,"Low (1-20%)",IF(T8613&lt;=0.4,"Medium (21-40%)","High (&gt;40%)"))))</f>
        <v/>
      </c>
      <c r="Y8613" s="23" t="str">
        <f aca="false">IF(AND(ISNUMBER(C8613),ISNUMBER(D8613)),D8613-C8613,"")</f>
        <v/>
      </c>
      <c r="Z8613" s="23" t="str">
        <f aca="false">IF(B8613="","",IF(MATCH(B8613,$B$2:$B$12000,0)=ROW()-1,1,0))</f>
        <v/>
      </c>
    </row>
    <row r="8614" customFormat="false" ht="15" hidden="false" customHeight="false" outlineLevel="0" collapsed="false">
      <c r="V8614" s="23" t="str">
        <f aca="false">IF(ISNUMBER(C8614),YEAR(C8614),"")</f>
        <v/>
      </c>
      <c r="W8614" s="23" t="str">
        <f aca="false">IF(ISNUMBER(C8614),MONTH(C8614),"")</f>
        <v/>
      </c>
      <c r="X8614" s="23" t="str">
        <f aca="false">IF(T8614="","",IF(T8614=0,"No discount",IF(T8614&lt;=0.2,"Low (1-20%)",IF(T8614&lt;=0.4,"Medium (21-40%)","High (&gt;40%)"))))</f>
        <v/>
      </c>
      <c r="Y8614" s="23" t="str">
        <f aca="false">IF(AND(ISNUMBER(C8614),ISNUMBER(D8614)),D8614-C8614,"")</f>
        <v/>
      </c>
      <c r="Z8614" s="23" t="str">
        <f aca="false">IF(B8614="","",IF(MATCH(B8614,$B$2:$B$12000,0)=ROW()-1,1,0))</f>
        <v/>
      </c>
    </row>
    <row r="8615" customFormat="false" ht="15" hidden="false" customHeight="false" outlineLevel="0" collapsed="false">
      <c r="V8615" s="23" t="str">
        <f aca="false">IF(ISNUMBER(C8615),YEAR(C8615),"")</f>
        <v/>
      </c>
      <c r="W8615" s="23" t="str">
        <f aca="false">IF(ISNUMBER(C8615),MONTH(C8615),"")</f>
        <v/>
      </c>
      <c r="X8615" s="23" t="str">
        <f aca="false">IF(T8615="","",IF(T8615=0,"No discount",IF(T8615&lt;=0.2,"Low (1-20%)",IF(T8615&lt;=0.4,"Medium (21-40%)","High (&gt;40%)"))))</f>
        <v/>
      </c>
      <c r="Y8615" s="23" t="str">
        <f aca="false">IF(AND(ISNUMBER(C8615),ISNUMBER(D8615)),D8615-C8615,"")</f>
        <v/>
      </c>
      <c r="Z8615" s="23" t="str">
        <f aca="false">IF(B8615="","",IF(MATCH(B8615,$B$2:$B$12000,0)=ROW()-1,1,0))</f>
        <v/>
      </c>
    </row>
    <row r="8616" customFormat="false" ht="15" hidden="false" customHeight="false" outlineLevel="0" collapsed="false">
      <c r="V8616" s="23" t="str">
        <f aca="false">IF(ISNUMBER(C8616),YEAR(C8616),"")</f>
        <v/>
      </c>
      <c r="W8616" s="23" t="str">
        <f aca="false">IF(ISNUMBER(C8616),MONTH(C8616),"")</f>
        <v/>
      </c>
      <c r="X8616" s="23" t="str">
        <f aca="false">IF(T8616="","",IF(T8616=0,"No discount",IF(T8616&lt;=0.2,"Low (1-20%)",IF(T8616&lt;=0.4,"Medium (21-40%)","High (&gt;40%)"))))</f>
        <v/>
      </c>
      <c r="Y8616" s="23" t="str">
        <f aca="false">IF(AND(ISNUMBER(C8616),ISNUMBER(D8616)),D8616-C8616,"")</f>
        <v/>
      </c>
      <c r="Z8616" s="23" t="str">
        <f aca="false">IF(B8616="","",IF(MATCH(B8616,$B$2:$B$12000,0)=ROW()-1,1,0))</f>
        <v/>
      </c>
    </row>
    <row r="8617" customFormat="false" ht="15" hidden="false" customHeight="false" outlineLevel="0" collapsed="false">
      <c r="V8617" s="23" t="str">
        <f aca="false">IF(ISNUMBER(C8617),YEAR(C8617),"")</f>
        <v/>
      </c>
      <c r="W8617" s="23" t="str">
        <f aca="false">IF(ISNUMBER(C8617),MONTH(C8617),"")</f>
        <v/>
      </c>
      <c r="X8617" s="23" t="str">
        <f aca="false">IF(T8617="","",IF(T8617=0,"No discount",IF(T8617&lt;=0.2,"Low (1-20%)",IF(T8617&lt;=0.4,"Medium (21-40%)","High (&gt;40%)"))))</f>
        <v/>
      </c>
      <c r="Y8617" s="23" t="str">
        <f aca="false">IF(AND(ISNUMBER(C8617),ISNUMBER(D8617)),D8617-C8617,"")</f>
        <v/>
      </c>
      <c r="Z8617" s="23" t="str">
        <f aca="false">IF(B8617="","",IF(MATCH(B8617,$B$2:$B$12000,0)=ROW()-1,1,0))</f>
        <v/>
      </c>
    </row>
    <row r="8618" customFormat="false" ht="15" hidden="false" customHeight="false" outlineLevel="0" collapsed="false">
      <c r="V8618" s="23" t="str">
        <f aca="false">IF(ISNUMBER(C8618),YEAR(C8618),"")</f>
        <v/>
      </c>
      <c r="W8618" s="23" t="str">
        <f aca="false">IF(ISNUMBER(C8618),MONTH(C8618),"")</f>
        <v/>
      </c>
      <c r="X8618" s="23" t="str">
        <f aca="false">IF(T8618="","",IF(T8618=0,"No discount",IF(T8618&lt;=0.2,"Low (1-20%)",IF(T8618&lt;=0.4,"Medium (21-40%)","High (&gt;40%)"))))</f>
        <v/>
      </c>
      <c r="Y8618" s="23" t="str">
        <f aca="false">IF(AND(ISNUMBER(C8618),ISNUMBER(D8618)),D8618-C8618,"")</f>
        <v/>
      </c>
      <c r="Z8618" s="23" t="str">
        <f aca="false">IF(B8618="","",IF(MATCH(B8618,$B$2:$B$12000,0)=ROW()-1,1,0))</f>
        <v/>
      </c>
    </row>
    <row r="8619" customFormat="false" ht="15" hidden="false" customHeight="false" outlineLevel="0" collapsed="false">
      <c r="V8619" s="23" t="str">
        <f aca="false">IF(ISNUMBER(C8619),YEAR(C8619),"")</f>
        <v/>
      </c>
      <c r="W8619" s="23" t="str">
        <f aca="false">IF(ISNUMBER(C8619),MONTH(C8619),"")</f>
        <v/>
      </c>
      <c r="X8619" s="23" t="str">
        <f aca="false">IF(T8619="","",IF(T8619=0,"No discount",IF(T8619&lt;=0.2,"Low (1-20%)",IF(T8619&lt;=0.4,"Medium (21-40%)","High (&gt;40%)"))))</f>
        <v/>
      </c>
      <c r="Y8619" s="23" t="str">
        <f aca="false">IF(AND(ISNUMBER(C8619),ISNUMBER(D8619)),D8619-C8619,"")</f>
        <v/>
      </c>
      <c r="Z8619" s="23" t="str">
        <f aca="false">IF(B8619="","",IF(MATCH(B8619,$B$2:$B$12000,0)=ROW()-1,1,0))</f>
        <v/>
      </c>
    </row>
    <row r="8620" customFormat="false" ht="15" hidden="false" customHeight="false" outlineLevel="0" collapsed="false">
      <c r="V8620" s="23" t="str">
        <f aca="false">IF(ISNUMBER(C8620),YEAR(C8620),"")</f>
        <v/>
      </c>
      <c r="W8620" s="23" t="str">
        <f aca="false">IF(ISNUMBER(C8620),MONTH(C8620),"")</f>
        <v/>
      </c>
      <c r="X8620" s="23" t="str">
        <f aca="false">IF(T8620="","",IF(T8620=0,"No discount",IF(T8620&lt;=0.2,"Low (1-20%)",IF(T8620&lt;=0.4,"Medium (21-40%)","High (&gt;40%)"))))</f>
        <v/>
      </c>
      <c r="Y8620" s="23" t="str">
        <f aca="false">IF(AND(ISNUMBER(C8620),ISNUMBER(D8620)),D8620-C8620,"")</f>
        <v/>
      </c>
      <c r="Z8620" s="23" t="str">
        <f aca="false">IF(B8620="","",IF(MATCH(B8620,$B$2:$B$12000,0)=ROW()-1,1,0))</f>
        <v/>
      </c>
    </row>
    <row r="8621" customFormat="false" ht="15" hidden="false" customHeight="false" outlineLevel="0" collapsed="false">
      <c r="V8621" s="23" t="str">
        <f aca="false">IF(ISNUMBER(C8621),YEAR(C8621),"")</f>
        <v/>
      </c>
      <c r="W8621" s="23" t="str">
        <f aca="false">IF(ISNUMBER(C8621),MONTH(C8621),"")</f>
        <v/>
      </c>
      <c r="X8621" s="23" t="str">
        <f aca="false">IF(T8621="","",IF(T8621=0,"No discount",IF(T8621&lt;=0.2,"Low (1-20%)",IF(T8621&lt;=0.4,"Medium (21-40%)","High (&gt;40%)"))))</f>
        <v/>
      </c>
      <c r="Y8621" s="23" t="str">
        <f aca="false">IF(AND(ISNUMBER(C8621),ISNUMBER(D8621)),D8621-C8621,"")</f>
        <v/>
      </c>
      <c r="Z8621" s="23" t="str">
        <f aca="false">IF(B8621="","",IF(MATCH(B8621,$B$2:$B$12000,0)=ROW()-1,1,0))</f>
        <v/>
      </c>
    </row>
    <row r="8622" customFormat="false" ht="15" hidden="false" customHeight="false" outlineLevel="0" collapsed="false">
      <c r="V8622" s="23" t="str">
        <f aca="false">IF(ISNUMBER(C8622),YEAR(C8622),"")</f>
        <v/>
      </c>
      <c r="W8622" s="23" t="str">
        <f aca="false">IF(ISNUMBER(C8622),MONTH(C8622),"")</f>
        <v/>
      </c>
      <c r="X8622" s="23" t="str">
        <f aca="false">IF(T8622="","",IF(T8622=0,"No discount",IF(T8622&lt;=0.2,"Low (1-20%)",IF(T8622&lt;=0.4,"Medium (21-40%)","High (&gt;40%)"))))</f>
        <v/>
      </c>
      <c r="Y8622" s="23" t="str">
        <f aca="false">IF(AND(ISNUMBER(C8622),ISNUMBER(D8622)),D8622-C8622,"")</f>
        <v/>
      </c>
      <c r="Z8622" s="23" t="str">
        <f aca="false">IF(B8622="","",IF(MATCH(B8622,$B$2:$B$12000,0)=ROW()-1,1,0))</f>
        <v/>
      </c>
    </row>
    <row r="8623" customFormat="false" ht="15" hidden="false" customHeight="false" outlineLevel="0" collapsed="false">
      <c r="V8623" s="23" t="str">
        <f aca="false">IF(ISNUMBER(C8623),YEAR(C8623),"")</f>
        <v/>
      </c>
      <c r="W8623" s="23" t="str">
        <f aca="false">IF(ISNUMBER(C8623),MONTH(C8623),"")</f>
        <v/>
      </c>
      <c r="X8623" s="23" t="str">
        <f aca="false">IF(T8623="","",IF(T8623=0,"No discount",IF(T8623&lt;=0.2,"Low (1-20%)",IF(T8623&lt;=0.4,"Medium (21-40%)","High (&gt;40%)"))))</f>
        <v/>
      </c>
      <c r="Y8623" s="23" t="str">
        <f aca="false">IF(AND(ISNUMBER(C8623),ISNUMBER(D8623)),D8623-C8623,"")</f>
        <v/>
      </c>
      <c r="Z8623" s="23" t="str">
        <f aca="false">IF(B8623="","",IF(MATCH(B8623,$B$2:$B$12000,0)=ROW()-1,1,0))</f>
        <v/>
      </c>
    </row>
    <row r="8624" customFormat="false" ht="15" hidden="false" customHeight="false" outlineLevel="0" collapsed="false">
      <c r="V8624" s="23" t="str">
        <f aca="false">IF(ISNUMBER(C8624),YEAR(C8624),"")</f>
        <v/>
      </c>
      <c r="W8624" s="23" t="str">
        <f aca="false">IF(ISNUMBER(C8624),MONTH(C8624),"")</f>
        <v/>
      </c>
      <c r="X8624" s="23" t="str">
        <f aca="false">IF(T8624="","",IF(T8624=0,"No discount",IF(T8624&lt;=0.2,"Low (1-20%)",IF(T8624&lt;=0.4,"Medium (21-40%)","High (&gt;40%)"))))</f>
        <v/>
      </c>
      <c r="Y8624" s="23" t="str">
        <f aca="false">IF(AND(ISNUMBER(C8624),ISNUMBER(D8624)),D8624-C8624,"")</f>
        <v/>
      </c>
      <c r="Z8624" s="23" t="str">
        <f aca="false">IF(B8624="","",IF(MATCH(B8624,$B$2:$B$12000,0)=ROW()-1,1,0))</f>
        <v/>
      </c>
    </row>
    <row r="8625" customFormat="false" ht="15" hidden="false" customHeight="false" outlineLevel="0" collapsed="false">
      <c r="V8625" s="23" t="str">
        <f aca="false">IF(ISNUMBER(C8625),YEAR(C8625),"")</f>
        <v/>
      </c>
      <c r="W8625" s="23" t="str">
        <f aca="false">IF(ISNUMBER(C8625),MONTH(C8625),"")</f>
        <v/>
      </c>
      <c r="X8625" s="23" t="str">
        <f aca="false">IF(T8625="","",IF(T8625=0,"No discount",IF(T8625&lt;=0.2,"Low (1-20%)",IF(T8625&lt;=0.4,"Medium (21-40%)","High (&gt;40%)"))))</f>
        <v/>
      </c>
      <c r="Y8625" s="23" t="str">
        <f aca="false">IF(AND(ISNUMBER(C8625),ISNUMBER(D8625)),D8625-C8625,"")</f>
        <v/>
      </c>
      <c r="Z8625" s="23" t="str">
        <f aca="false">IF(B8625="","",IF(MATCH(B8625,$B$2:$B$12000,0)=ROW()-1,1,0))</f>
        <v/>
      </c>
    </row>
    <row r="8626" customFormat="false" ht="15" hidden="false" customHeight="false" outlineLevel="0" collapsed="false">
      <c r="V8626" s="23" t="str">
        <f aca="false">IF(ISNUMBER(C8626),YEAR(C8626),"")</f>
        <v/>
      </c>
      <c r="W8626" s="23" t="str">
        <f aca="false">IF(ISNUMBER(C8626),MONTH(C8626),"")</f>
        <v/>
      </c>
      <c r="X8626" s="23" t="str">
        <f aca="false">IF(T8626="","",IF(T8626=0,"No discount",IF(T8626&lt;=0.2,"Low (1-20%)",IF(T8626&lt;=0.4,"Medium (21-40%)","High (&gt;40%)"))))</f>
        <v/>
      </c>
      <c r="Y8626" s="23" t="str">
        <f aca="false">IF(AND(ISNUMBER(C8626),ISNUMBER(D8626)),D8626-C8626,"")</f>
        <v/>
      </c>
      <c r="Z8626" s="23" t="str">
        <f aca="false">IF(B8626="","",IF(MATCH(B8626,$B$2:$B$12000,0)=ROW()-1,1,0))</f>
        <v/>
      </c>
    </row>
    <row r="8627" customFormat="false" ht="15" hidden="false" customHeight="false" outlineLevel="0" collapsed="false">
      <c r="V8627" s="23" t="str">
        <f aca="false">IF(ISNUMBER(C8627),YEAR(C8627),"")</f>
        <v/>
      </c>
      <c r="W8627" s="23" t="str">
        <f aca="false">IF(ISNUMBER(C8627),MONTH(C8627),"")</f>
        <v/>
      </c>
      <c r="X8627" s="23" t="str">
        <f aca="false">IF(T8627="","",IF(T8627=0,"No discount",IF(T8627&lt;=0.2,"Low (1-20%)",IF(T8627&lt;=0.4,"Medium (21-40%)","High (&gt;40%)"))))</f>
        <v/>
      </c>
      <c r="Y8627" s="23" t="str">
        <f aca="false">IF(AND(ISNUMBER(C8627),ISNUMBER(D8627)),D8627-C8627,"")</f>
        <v/>
      </c>
      <c r="Z8627" s="23" t="str">
        <f aca="false">IF(B8627="","",IF(MATCH(B8627,$B$2:$B$12000,0)=ROW()-1,1,0))</f>
        <v/>
      </c>
    </row>
    <row r="8628" customFormat="false" ht="15" hidden="false" customHeight="false" outlineLevel="0" collapsed="false">
      <c r="V8628" s="23" t="str">
        <f aca="false">IF(ISNUMBER(C8628),YEAR(C8628),"")</f>
        <v/>
      </c>
      <c r="W8628" s="23" t="str">
        <f aca="false">IF(ISNUMBER(C8628),MONTH(C8628),"")</f>
        <v/>
      </c>
      <c r="X8628" s="23" t="str">
        <f aca="false">IF(T8628="","",IF(T8628=0,"No discount",IF(T8628&lt;=0.2,"Low (1-20%)",IF(T8628&lt;=0.4,"Medium (21-40%)","High (&gt;40%)"))))</f>
        <v/>
      </c>
      <c r="Y8628" s="23" t="str">
        <f aca="false">IF(AND(ISNUMBER(C8628),ISNUMBER(D8628)),D8628-C8628,"")</f>
        <v/>
      </c>
      <c r="Z8628" s="23" t="str">
        <f aca="false">IF(B8628="","",IF(MATCH(B8628,$B$2:$B$12000,0)=ROW()-1,1,0))</f>
        <v/>
      </c>
    </row>
    <row r="8629" customFormat="false" ht="15" hidden="false" customHeight="false" outlineLevel="0" collapsed="false">
      <c r="V8629" s="23" t="str">
        <f aca="false">IF(ISNUMBER(C8629),YEAR(C8629),"")</f>
        <v/>
      </c>
      <c r="W8629" s="23" t="str">
        <f aca="false">IF(ISNUMBER(C8629),MONTH(C8629),"")</f>
        <v/>
      </c>
      <c r="X8629" s="23" t="str">
        <f aca="false">IF(T8629="","",IF(T8629=0,"No discount",IF(T8629&lt;=0.2,"Low (1-20%)",IF(T8629&lt;=0.4,"Medium (21-40%)","High (&gt;40%)"))))</f>
        <v/>
      </c>
      <c r="Y8629" s="23" t="str">
        <f aca="false">IF(AND(ISNUMBER(C8629),ISNUMBER(D8629)),D8629-C8629,"")</f>
        <v/>
      </c>
      <c r="Z8629" s="23" t="str">
        <f aca="false">IF(B8629="","",IF(MATCH(B8629,$B$2:$B$12000,0)=ROW()-1,1,0))</f>
        <v/>
      </c>
    </row>
    <row r="8630" customFormat="false" ht="15" hidden="false" customHeight="false" outlineLevel="0" collapsed="false">
      <c r="V8630" s="23" t="str">
        <f aca="false">IF(ISNUMBER(C8630),YEAR(C8630),"")</f>
        <v/>
      </c>
      <c r="W8630" s="23" t="str">
        <f aca="false">IF(ISNUMBER(C8630),MONTH(C8630),"")</f>
        <v/>
      </c>
      <c r="X8630" s="23" t="str">
        <f aca="false">IF(T8630="","",IF(T8630=0,"No discount",IF(T8630&lt;=0.2,"Low (1-20%)",IF(T8630&lt;=0.4,"Medium (21-40%)","High (&gt;40%)"))))</f>
        <v/>
      </c>
      <c r="Y8630" s="23" t="str">
        <f aca="false">IF(AND(ISNUMBER(C8630),ISNUMBER(D8630)),D8630-C8630,"")</f>
        <v/>
      </c>
      <c r="Z8630" s="23" t="str">
        <f aca="false">IF(B8630="","",IF(MATCH(B8630,$B$2:$B$12000,0)=ROW()-1,1,0))</f>
        <v/>
      </c>
    </row>
    <row r="8631" customFormat="false" ht="15" hidden="false" customHeight="false" outlineLevel="0" collapsed="false">
      <c r="V8631" s="23" t="str">
        <f aca="false">IF(ISNUMBER(C8631),YEAR(C8631),"")</f>
        <v/>
      </c>
      <c r="W8631" s="23" t="str">
        <f aca="false">IF(ISNUMBER(C8631),MONTH(C8631),"")</f>
        <v/>
      </c>
      <c r="X8631" s="23" t="str">
        <f aca="false">IF(T8631="","",IF(T8631=0,"No discount",IF(T8631&lt;=0.2,"Low (1-20%)",IF(T8631&lt;=0.4,"Medium (21-40%)","High (&gt;40%)"))))</f>
        <v/>
      </c>
      <c r="Y8631" s="23" t="str">
        <f aca="false">IF(AND(ISNUMBER(C8631),ISNUMBER(D8631)),D8631-C8631,"")</f>
        <v/>
      </c>
      <c r="Z8631" s="23" t="str">
        <f aca="false">IF(B8631="","",IF(MATCH(B8631,$B$2:$B$12000,0)=ROW()-1,1,0))</f>
        <v/>
      </c>
    </row>
    <row r="8632" customFormat="false" ht="15" hidden="false" customHeight="false" outlineLevel="0" collapsed="false">
      <c r="V8632" s="23" t="str">
        <f aca="false">IF(ISNUMBER(C8632),YEAR(C8632),"")</f>
        <v/>
      </c>
      <c r="W8632" s="23" t="str">
        <f aca="false">IF(ISNUMBER(C8632),MONTH(C8632),"")</f>
        <v/>
      </c>
      <c r="X8632" s="23" t="str">
        <f aca="false">IF(T8632="","",IF(T8632=0,"No discount",IF(T8632&lt;=0.2,"Low (1-20%)",IF(T8632&lt;=0.4,"Medium (21-40%)","High (&gt;40%)"))))</f>
        <v/>
      </c>
      <c r="Y8632" s="23" t="str">
        <f aca="false">IF(AND(ISNUMBER(C8632),ISNUMBER(D8632)),D8632-C8632,"")</f>
        <v/>
      </c>
      <c r="Z8632" s="23" t="str">
        <f aca="false">IF(B8632="","",IF(MATCH(B8632,$B$2:$B$12000,0)=ROW()-1,1,0))</f>
        <v/>
      </c>
    </row>
    <row r="8633" customFormat="false" ht="15" hidden="false" customHeight="false" outlineLevel="0" collapsed="false">
      <c r="V8633" s="23" t="str">
        <f aca="false">IF(ISNUMBER(C8633),YEAR(C8633),"")</f>
        <v/>
      </c>
      <c r="W8633" s="23" t="str">
        <f aca="false">IF(ISNUMBER(C8633),MONTH(C8633),"")</f>
        <v/>
      </c>
      <c r="X8633" s="23" t="str">
        <f aca="false">IF(T8633="","",IF(T8633=0,"No discount",IF(T8633&lt;=0.2,"Low (1-20%)",IF(T8633&lt;=0.4,"Medium (21-40%)","High (&gt;40%)"))))</f>
        <v/>
      </c>
      <c r="Y8633" s="23" t="str">
        <f aca="false">IF(AND(ISNUMBER(C8633),ISNUMBER(D8633)),D8633-C8633,"")</f>
        <v/>
      </c>
      <c r="Z8633" s="23" t="str">
        <f aca="false">IF(B8633="","",IF(MATCH(B8633,$B$2:$B$12000,0)=ROW()-1,1,0))</f>
        <v/>
      </c>
    </row>
    <row r="8634" customFormat="false" ht="15" hidden="false" customHeight="false" outlineLevel="0" collapsed="false">
      <c r="V8634" s="23" t="str">
        <f aca="false">IF(ISNUMBER(C8634),YEAR(C8634),"")</f>
        <v/>
      </c>
      <c r="W8634" s="23" t="str">
        <f aca="false">IF(ISNUMBER(C8634),MONTH(C8634),"")</f>
        <v/>
      </c>
      <c r="X8634" s="23" t="str">
        <f aca="false">IF(T8634="","",IF(T8634=0,"No discount",IF(T8634&lt;=0.2,"Low (1-20%)",IF(T8634&lt;=0.4,"Medium (21-40%)","High (&gt;40%)"))))</f>
        <v/>
      </c>
      <c r="Y8634" s="23" t="str">
        <f aca="false">IF(AND(ISNUMBER(C8634),ISNUMBER(D8634)),D8634-C8634,"")</f>
        <v/>
      </c>
      <c r="Z8634" s="23" t="str">
        <f aca="false">IF(B8634="","",IF(MATCH(B8634,$B$2:$B$12000,0)=ROW()-1,1,0))</f>
        <v/>
      </c>
    </row>
    <row r="8635" customFormat="false" ht="15" hidden="false" customHeight="false" outlineLevel="0" collapsed="false">
      <c r="V8635" s="23" t="str">
        <f aca="false">IF(ISNUMBER(C8635),YEAR(C8635),"")</f>
        <v/>
      </c>
      <c r="W8635" s="23" t="str">
        <f aca="false">IF(ISNUMBER(C8635),MONTH(C8635),"")</f>
        <v/>
      </c>
      <c r="X8635" s="23" t="str">
        <f aca="false">IF(T8635="","",IF(T8635=0,"No discount",IF(T8635&lt;=0.2,"Low (1-20%)",IF(T8635&lt;=0.4,"Medium (21-40%)","High (&gt;40%)"))))</f>
        <v/>
      </c>
      <c r="Y8635" s="23" t="str">
        <f aca="false">IF(AND(ISNUMBER(C8635),ISNUMBER(D8635)),D8635-C8635,"")</f>
        <v/>
      </c>
      <c r="Z8635" s="23" t="str">
        <f aca="false">IF(B8635="","",IF(MATCH(B8635,$B$2:$B$12000,0)=ROW()-1,1,0))</f>
        <v/>
      </c>
    </row>
    <row r="8636" customFormat="false" ht="15" hidden="false" customHeight="false" outlineLevel="0" collapsed="false">
      <c r="V8636" s="23" t="str">
        <f aca="false">IF(ISNUMBER(C8636),YEAR(C8636),"")</f>
        <v/>
      </c>
      <c r="W8636" s="23" t="str">
        <f aca="false">IF(ISNUMBER(C8636),MONTH(C8636),"")</f>
        <v/>
      </c>
      <c r="X8636" s="23" t="str">
        <f aca="false">IF(T8636="","",IF(T8636=0,"No discount",IF(T8636&lt;=0.2,"Low (1-20%)",IF(T8636&lt;=0.4,"Medium (21-40%)","High (&gt;40%)"))))</f>
        <v/>
      </c>
      <c r="Y8636" s="23" t="str">
        <f aca="false">IF(AND(ISNUMBER(C8636),ISNUMBER(D8636)),D8636-C8636,"")</f>
        <v/>
      </c>
      <c r="Z8636" s="23" t="str">
        <f aca="false">IF(B8636="","",IF(MATCH(B8636,$B$2:$B$12000,0)=ROW()-1,1,0))</f>
        <v/>
      </c>
    </row>
    <row r="8637" customFormat="false" ht="15" hidden="false" customHeight="false" outlineLevel="0" collapsed="false">
      <c r="V8637" s="23" t="str">
        <f aca="false">IF(ISNUMBER(C8637),YEAR(C8637),"")</f>
        <v/>
      </c>
      <c r="W8637" s="23" t="str">
        <f aca="false">IF(ISNUMBER(C8637),MONTH(C8637),"")</f>
        <v/>
      </c>
      <c r="X8637" s="23" t="str">
        <f aca="false">IF(T8637="","",IF(T8637=0,"No discount",IF(T8637&lt;=0.2,"Low (1-20%)",IF(T8637&lt;=0.4,"Medium (21-40%)","High (&gt;40%)"))))</f>
        <v/>
      </c>
      <c r="Y8637" s="23" t="str">
        <f aca="false">IF(AND(ISNUMBER(C8637),ISNUMBER(D8637)),D8637-C8637,"")</f>
        <v/>
      </c>
      <c r="Z8637" s="23" t="str">
        <f aca="false">IF(B8637="","",IF(MATCH(B8637,$B$2:$B$12000,0)=ROW()-1,1,0))</f>
        <v/>
      </c>
    </row>
    <row r="8638" customFormat="false" ht="15" hidden="false" customHeight="false" outlineLevel="0" collapsed="false">
      <c r="V8638" s="23" t="str">
        <f aca="false">IF(ISNUMBER(C8638),YEAR(C8638),"")</f>
        <v/>
      </c>
      <c r="W8638" s="23" t="str">
        <f aca="false">IF(ISNUMBER(C8638),MONTH(C8638),"")</f>
        <v/>
      </c>
      <c r="X8638" s="23" t="str">
        <f aca="false">IF(T8638="","",IF(T8638=0,"No discount",IF(T8638&lt;=0.2,"Low (1-20%)",IF(T8638&lt;=0.4,"Medium (21-40%)","High (&gt;40%)"))))</f>
        <v/>
      </c>
      <c r="Y8638" s="23" t="str">
        <f aca="false">IF(AND(ISNUMBER(C8638),ISNUMBER(D8638)),D8638-C8638,"")</f>
        <v/>
      </c>
      <c r="Z8638" s="23" t="str">
        <f aca="false">IF(B8638="","",IF(MATCH(B8638,$B$2:$B$12000,0)=ROW()-1,1,0))</f>
        <v/>
      </c>
    </row>
    <row r="8639" customFormat="false" ht="15" hidden="false" customHeight="false" outlineLevel="0" collapsed="false">
      <c r="V8639" s="23" t="str">
        <f aca="false">IF(ISNUMBER(C8639),YEAR(C8639),"")</f>
        <v/>
      </c>
      <c r="W8639" s="23" t="str">
        <f aca="false">IF(ISNUMBER(C8639),MONTH(C8639),"")</f>
        <v/>
      </c>
      <c r="X8639" s="23" t="str">
        <f aca="false">IF(T8639="","",IF(T8639=0,"No discount",IF(T8639&lt;=0.2,"Low (1-20%)",IF(T8639&lt;=0.4,"Medium (21-40%)","High (&gt;40%)"))))</f>
        <v/>
      </c>
      <c r="Y8639" s="23" t="str">
        <f aca="false">IF(AND(ISNUMBER(C8639),ISNUMBER(D8639)),D8639-C8639,"")</f>
        <v/>
      </c>
      <c r="Z8639" s="23" t="str">
        <f aca="false">IF(B8639="","",IF(MATCH(B8639,$B$2:$B$12000,0)=ROW()-1,1,0))</f>
        <v/>
      </c>
    </row>
    <row r="8640" customFormat="false" ht="15" hidden="false" customHeight="false" outlineLevel="0" collapsed="false">
      <c r="V8640" s="23" t="str">
        <f aca="false">IF(ISNUMBER(C8640),YEAR(C8640),"")</f>
        <v/>
      </c>
      <c r="W8640" s="23" t="str">
        <f aca="false">IF(ISNUMBER(C8640),MONTH(C8640),"")</f>
        <v/>
      </c>
      <c r="X8640" s="23" t="str">
        <f aca="false">IF(T8640="","",IF(T8640=0,"No discount",IF(T8640&lt;=0.2,"Low (1-20%)",IF(T8640&lt;=0.4,"Medium (21-40%)","High (&gt;40%)"))))</f>
        <v/>
      </c>
      <c r="Y8640" s="23" t="str">
        <f aca="false">IF(AND(ISNUMBER(C8640),ISNUMBER(D8640)),D8640-C8640,"")</f>
        <v/>
      </c>
      <c r="Z8640" s="23" t="str">
        <f aca="false">IF(B8640="","",IF(MATCH(B8640,$B$2:$B$12000,0)=ROW()-1,1,0))</f>
        <v/>
      </c>
    </row>
    <row r="8641" customFormat="false" ht="15" hidden="false" customHeight="false" outlineLevel="0" collapsed="false">
      <c r="V8641" s="23" t="str">
        <f aca="false">IF(ISNUMBER(C8641),YEAR(C8641),"")</f>
        <v/>
      </c>
      <c r="W8641" s="23" t="str">
        <f aca="false">IF(ISNUMBER(C8641),MONTH(C8641),"")</f>
        <v/>
      </c>
      <c r="X8641" s="23" t="str">
        <f aca="false">IF(T8641="","",IF(T8641=0,"No discount",IF(T8641&lt;=0.2,"Low (1-20%)",IF(T8641&lt;=0.4,"Medium (21-40%)","High (&gt;40%)"))))</f>
        <v/>
      </c>
      <c r="Y8641" s="23" t="str">
        <f aca="false">IF(AND(ISNUMBER(C8641),ISNUMBER(D8641)),D8641-C8641,"")</f>
        <v/>
      </c>
      <c r="Z8641" s="23" t="str">
        <f aca="false">IF(B8641="","",IF(MATCH(B8641,$B$2:$B$12000,0)=ROW()-1,1,0))</f>
        <v/>
      </c>
    </row>
    <row r="8642" customFormat="false" ht="15" hidden="false" customHeight="false" outlineLevel="0" collapsed="false">
      <c r="V8642" s="23" t="str">
        <f aca="false">IF(ISNUMBER(C8642),YEAR(C8642),"")</f>
        <v/>
      </c>
      <c r="W8642" s="23" t="str">
        <f aca="false">IF(ISNUMBER(C8642),MONTH(C8642),"")</f>
        <v/>
      </c>
      <c r="X8642" s="23" t="str">
        <f aca="false">IF(T8642="","",IF(T8642=0,"No discount",IF(T8642&lt;=0.2,"Low (1-20%)",IF(T8642&lt;=0.4,"Medium (21-40%)","High (&gt;40%)"))))</f>
        <v/>
      </c>
      <c r="Y8642" s="23" t="str">
        <f aca="false">IF(AND(ISNUMBER(C8642),ISNUMBER(D8642)),D8642-C8642,"")</f>
        <v/>
      </c>
      <c r="Z8642" s="23" t="str">
        <f aca="false">IF(B8642="","",IF(MATCH(B8642,$B$2:$B$12000,0)=ROW()-1,1,0))</f>
        <v/>
      </c>
    </row>
    <row r="8643" customFormat="false" ht="15" hidden="false" customHeight="false" outlineLevel="0" collapsed="false">
      <c r="V8643" s="23" t="str">
        <f aca="false">IF(ISNUMBER(C8643),YEAR(C8643),"")</f>
        <v/>
      </c>
      <c r="W8643" s="23" t="str">
        <f aca="false">IF(ISNUMBER(C8643),MONTH(C8643),"")</f>
        <v/>
      </c>
      <c r="X8643" s="23" t="str">
        <f aca="false">IF(T8643="","",IF(T8643=0,"No discount",IF(T8643&lt;=0.2,"Low (1-20%)",IF(T8643&lt;=0.4,"Medium (21-40%)","High (&gt;40%)"))))</f>
        <v/>
      </c>
      <c r="Y8643" s="23" t="str">
        <f aca="false">IF(AND(ISNUMBER(C8643),ISNUMBER(D8643)),D8643-C8643,"")</f>
        <v/>
      </c>
      <c r="Z8643" s="23" t="str">
        <f aca="false">IF(B8643="","",IF(MATCH(B8643,$B$2:$B$12000,0)=ROW()-1,1,0))</f>
        <v/>
      </c>
    </row>
    <row r="8644" customFormat="false" ht="15" hidden="false" customHeight="false" outlineLevel="0" collapsed="false">
      <c r="V8644" s="23" t="str">
        <f aca="false">IF(ISNUMBER(C8644),YEAR(C8644),"")</f>
        <v/>
      </c>
      <c r="W8644" s="23" t="str">
        <f aca="false">IF(ISNUMBER(C8644),MONTH(C8644),"")</f>
        <v/>
      </c>
      <c r="X8644" s="23" t="str">
        <f aca="false">IF(T8644="","",IF(T8644=0,"No discount",IF(T8644&lt;=0.2,"Low (1-20%)",IF(T8644&lt;=0.4,"Medium (21-40%)","High (&gt;40%)"))))</f>
        <v/>
      </c>
      <c r="Y8644" s="23" t="str">
        <f aca="false">IF(AND(ISNUMBER(C8644),ISNUMBER(D8644)),D8644-C8644,"")</f>
        <v/>
      </c>
      <c r="Z8644" s="23" t="str">
        <f aca="false">IF(B8644="","",IF(MATCH(B8644,$B$2:$B$12000,0)=ROW()-1,1,0))</f>
        <v/>
      </c>
    </row>
    <row r="8645" customFormat="false" ht="15" hidden="false" customHeight="false" outlineLevel="0" collapsed="false">
      <c r="V8645" s="23" t="str">
        <f aca="false">IF(ISNUMBER(C8645),YEAR(C8645),"")</f>
        <v/>
      </c>
      <c r="W8645" s="23" t="str">
        <f aca="false">IF(ISNUMBER(C8645),MONTH(C8645),"")</f>
        <v/>
      </c>
      <c r="X8645" s="23" t="str">
        <f aca="false">IF(T8645="","",IF(T8645=0,"No discount",IF(T8645&lt;=0.2,"Low (1-20%)",IF(T8645&lt;=0.4,"Medium (21-40%)","High (&gt;40%)"))))</f>
        <v/>
      </c>
      <c r="Y8645" s="23" t="str">
        <f aca="false">IF(AND(ISNUMBER(C8645),ISNUMBER(D8645)),D8645-C8645,"")</f>
        <v/>
      </c>
      <c r="Z8645" s="23" t="str">
        <f aca="false">IF(B8645="","",IF(MATCH(B8645,$B$2:$B$12000,0)=ROW()-1,1,0))</f>
        <v/>
      </c>
    </row>
    <row r="8646" customFormat="false" ht="15" hidden="false" customHeight="false" outlineLevel="0" collapsed="false">
      <c r="V8646" s="23" t="str">
        <f aca="false">IF(ISNUMBER(C8646),YEAR(C8646),"")</f>
        <v/>
      </c>
      <c r="W8646" s="23" t="str">
        <f aca="false">IF(ISNUMBER(C8646),MONTH(C8646),"")</f>
        <v/>
      </c>
      <c r="X8646" s="23" t="str">
        <f aca="false">IF(T8646="","",IF(T8646=0,"No discount",IF(T8646&lt;=0.2,"Low (1-20%)",IF(T8646&lt;=0.4,"Medium (21-40%)","High (&gt;40%)"))))</f>
        <v/>
      </c>
      <c r="Y8646" s="23" t="str">
        <f aca="false">IF(AND(ISNUMBER(C8646),ISNUMBER(D8646)),D8646-C8646,"")</f>
        <v/>
      </c>
      <c r="Z8646" s="23" t="str">
        <f aca="false">IF(B8646="","",IF(MATCH(B8646,$B$2:$B$12000,0)=ROW()-1,1,0))</f>
        <v/>
      </c>
    </row>
    <row r="8647" customFormat="false" ht="15" hidden="false" customHeight="false" outlineLevel="0" collapsed="false">
      <c r="V8647" s="23" t="str">
        <f aca="false">IF(ISNUMBER(C8647),YEAR(C8647),"")</f>
        <v/>
      </c>
      <c r="W8647" s="23" t="str">
        <f aca="false">IF(ISNUMBER(C8647),MONTH(C8647),"")</f>
        <v/>
      </c>
      <c r="X8647" s="23" t="str">
        <f aca="false">IF(T8647="","",IF(T8647=0,"No discount",IF(T8647&lt;=0.2,"Low (1-20%)",IF(T8647&lt;=0.4,"Medium (21-40%)","High (&gt;40%)"))))</f>
        <v/>
      </c>
      <c r="Y8647" s="23" t="str">
        <f aca="false">IF(AND(ISNUMBER(C8647),ISNUMBER(D8647)),D8647-C8647,"")</f>
        <v/>
      </c>
      <c r="Z8647" s="23" t="str">
        <f aca="false">IF(B8647="","",IF(MATCH(B8647,$B$2:$B$12000,0)=ROW()-1,1,0))</f>
        <v/>
      </c>
    </row>
    <row r="8648" customFormat="false" ht="15" hidden="false" customHeight="false" outlineLevel="0" collapsed="false">
      <c r="V8648" s="23" t="str">
        <f aca="false">IF(ISNUMBER(C8648),YEAR(C8648),"")</f>
        <v/>
      </c>
      <c r="W8648" s="23" t="str">
        <f aca="false">IF(ISNUMBER(C8648),MONTH(C8648),"")</f>
        <v/>
      </c>
      <c r="X8648" s="23" t="str">
        <f aca="false">IF(T8648="","",IF(T8648=0,"No discount",IF(T8648&lt;=0.2,"Low (1-20%)",IF(T8648&lt;=0.4,"Medium (21-40%)","High (&gt;40%)"))))</f>
        <v/>
      </c>
      <c r="Y8648" s="23" t="str">
        <f aca="false">IF(AND(ISNUMBER(C8648),ISNUMBER(D8648)),D8648-C8648,"")</f>
        <v/>
      </c>
      <c r="Z8648" s="23" t="str">
        <f aca="false">IF(B8648="","",IF(MATCH(B8648,$B$2:$B$12000,0)=ROW()-1,1,0))</f>
        <v/>
      </c>
    </row>
    <row r="8649" customFormat="false" ht="15" hidden="false" customHeight="false" outlineLevel="0" collapsed="false">
      <c r="V8649" s="23" t="str">
        <f aca="false">IF(ISNUMBER(C8649),YEAR(C8649),"")</f>
        <v/>
      </c>
      <c r="W8649" s="23" t="str">
        <f aca="false">IF(ISNUMBER(C8649),MONTH(C8649),"")</f>
        <v/>
      </c>
      <c r="X8649" s="23" t="str">
        <f aca="false">IF(T8649="","",IF(T8649=0,"No discount",IF(T8649&lt;=0.2,"Low (1-20%)",IF(T8649&lt;=0.4,"Medium (21-40%)","High (&gt;40%)"))))</f>
        <v/>
      </c>
      <c r="Y8649" s="23" t="str">
        <f aca="false">IF(AND(ISNUMBER(C8649),ISNUMBER(D8649)),D8649-C8649,"")</f>
        <v/>
      </c>
      <c r="Z8649" s="23" t="str">
        <f aca="false">IF(B8649="","",IF(MATCH(B8649,$B$2:$B$12000,0)=ROW()-1,1,0))</f>
        <v/>
      </c>
    </row>
    <row r="8650" customFormat="false" ht="15" hidden="false" customHeight="false" outlineLevel="0" collapsed="false">
      <c r="V8650" s="23" t="str">
        <f aca="false">IF(ISNUMBER(C8650),YEAR(C8650),"")</f>
        <v/>
      </c>
      <c r="W8650" s="23" t="str">
        <f aca="false">IF(ISNUMBER(C8650),MONTH(C8650),"")</f>
        <v/>
      </c>
      <c r="X8650" s="23" t="str">
        <f aca="false">IF(T8650="","",IF(T8650=0,"No discount",IF(T8650&lt;=0.2,"Low (1-20%)",IF(T8650&lt;=0.4,"Medium (21-40%)","High (&gt;40%)"))))</f>
        <v/>
      </c>
      <c r="Y8650" s="23" t="str">
        <f aca="false">IF(AND(ISNUMBER(C8650),ISNUMBER(D8650)),D8650-C8650,"")</f>
        <v/>
      </c>
      <c r="Z8650" s="23" t="str">
        <f aca="false">IF(B8650="","",IF(MATCH(B8650,$B$2:$B$12000,0)=ROW()-1,1,0))</f>
        <v/>
      </c>
    </row>
    <row r="8651" customFormat="false" ht="15" hidden="false" customHeight="false" outlineLevel="0" collapsed="false">
      <c r="V8651" s="23" t="str">
        <f aca="false">IF(ISNUMBER(C8651),YEAR(C8651),"")</f>
        <v/>
      </c>
      <c r="W8651" s="23" t="str">
        <f aca="false">IF(ISNUMBER(C8651),MONTH(C8651),"")</f>
        <v/>
      </c>
      <c r="X8651" s="23" t="str">
        <f aca="false">IF(T8651="","",IF(T8651=0,"No discount",IF(T8651&lt;=0.2,"Low (1-20%)",IF(T8651&lt;=0.4,"Medium (21-40%)","High (&gt;40%)"))))</f>
        <v/>
      </c>
      <c r="Y8651" s="23" t="str">
        <f aca="false">IF(AND(ISNUMBER(C8651),ISNUMBER(D8651)),D8651-C8651,"")</f>
        <v/>
      </c>
      <c r="Z8651" s="23" t="str">
        <f aca="false">IF(B8651="","",IF(MATCH(B8651,$B$2:$B$12000,0)=ROW()-1,1,0))</f>
        <v/>
      </c>
    </row>
    <row r="8652" customFormat="false" ht="15" hidden="false" customHeight="false" outlineLevel="0" collapsed="false">
      <c r="V8652" s="23" t="str">
        <f aca="false">IF(ISNUMBER(C8652),YEAR(C8652),"")</f>
        <v/>
      </c>
      <c r="W8652" s="23" t="str">
        <f aca="false">IF(ISNUMBER(C8652),MONTH(C8652),"")</f>
        <v/>
      </c>
      <c r="X8652" s="23" t="str">
        <f aca="false">IF(T8652="","",IF(T8652=0,"No discount",IF(T8652&lt;=0.2,"Low (1-20%)",IF(T8652&lt;=0.4,"Medium (21-40%)","High (&gt;40%)"))))</f>
        <v/>
      </c>
      <c r="Y8652" s="23" t="str">
        <f aca="false">IF(AND(ISNUMBER(C8652),ISNUMBER(D8652)),D8652-C8652,"")</f>
        <v/>
      </c>
      <c r="Z8652" s="23" t="str">
        <f aca="false">IF(B8652="","",IF(MATCH(B8652,$B$2:$B$12000,0)=ROW()-1,1,0))</f>
        <v/>
      </c>
    </row>
    <row r="8653" customFormat="false" ht="15" hidden="false" customHeight="false" outlineLevel="0" collapsed="false">
      <c r="V8653" s="23" t="str">
        <f aca="false">IF(ISNUMBER(C8653),YEAR(C8653),"")</f>
        <v/>
      </c>
      <c r="W8653" s="23" t="str">
        <f aca="false">IF(ISNUMBER(C8653),MONTH(C8653),"")</f>
        <v/>
      </c>
      <c r="X8653" s="23" t="str">
        <f aca="false">IF(T8653="","",IF(T8653=0,"No discount",IF(T8653&lt;=0.2,"Low (1-20%)",IF(T8653&lt;=0.4,"Medium (21-40%)","High (&gt;40%)"))))</f>
        <v/>
      </c>
      <c r="Y8653" s="23" t="str">
        <f aca="false">IF(AND(ISNUMBER(C8653),ISNUMBER(D8653)),D8653-C8653,"")</f>
        <v/>
      </c>
      <c r="Z8653" s="23" t="str">
        <f aca="false">IF(B8653="","",IF(MATCH(B8653,$B$2:$B$12000,0)=ROW()-1,1,0))</f>
        <v/>
      </c>
    </row>
    <row r="8654" customFormat="false" ht="15" hidden="false" customHeight="false" outlineLevel="0" collapsed="false">
      <c r="V8654" s="23" t="str">
        <f aca="false">IF(ISNUMBER(C8654),YEAR(C8654),"")</f>
        <v/>
      </c>
      <c r="W8654" s="23" t="str">
        <f aca="false">IF(ISNUMBER(C8654),MONTH(C8654),"")</f>
        <v/>
      </c>
      <c r="X8654" s="23" t="str">
        <f aca="false">IF(T8654="","",IF(T8654=0,"No discount",IF(T8654&lt;=0.2,"Low (1-20%)",IF(T8654&lt;=0.4,"Medium (21-40%)","High (&gt;40%)"))))</f>
        <v/>
      </c>
      <c r="Y8654" s="23" t="str">
        <f aca="false">IF(AND(ISNUMBER(C8654),ISNUMBER(D8654)),D8654-C8654,"")</f>
        <v/>
      </c>
      <c r="Z8654" s="23" t="str">
        <f aca="false">IF(B8654="","",IF(MATCH(B8654,$B$2:$B$12000,0)=ROW()-1,1,0))</f>
        <v/>
      </c>
    </row>
    <row r="8655" customFormat="false" ht="15" hidden="false" customHeight="false" outlineLevel="0" collapsed="false">
      <c r="V8655" s="23" t="str">
        <f aca="false">IF(ISNUMBER(C8655),YEAR(C8655),"")</f>
        <v/>
      </c>
      <c r="W8655" s="23" t="str">
        <f aca="false">IF(ISNUMBER(C8655),MONTH(C8655),"")</f>
        <v/>
      </c>
      <c r="X8655" s="23" t="str">
        <f aca="false">IF(T8655="","",IF(T8655=0,"No discount",IF(T8655&lt;=0.2,"Low (1-20%)",IF(T8655&lt;=0.4,"Medium (21-40%)","High (&gt;40%)"))))</f>
        <v/>
      </c>
      <c r="Y8655" s="23" t="str">
        <f aca="false">IF(AND(ISNUMBER(C8655),ISNUMBER(D8655)),D8655-C8655,"")</f>
        <v/>
      </c>
      <c r="Z8655" s="23" t="str">
        <f aca="false">IF(B8655="","",IF(MATCH(B8655,$B$2:$B$12000,0)=ROW()-1,1,0))</f>
        <v/>
      </c>
    </row>
    <row r="8656" customFormat="false" ht="15" hidden="false" customHeight="false" outlineLevel="0" collapsed="false">
      <c r="V8656" s="23" t="str">
        <f aca="false">IF(ISNUMBER(C8656),YEAR(C8656),"")</f>
        <v/>
      </c>
      <c r="W8656" s="23" t="str">
        <f aca="false">IF(ISNUMBER(C8656),MONTH(C8656),"")</f>
        <v/>
      </c>
      <c r="X8656" s="23" t="str">
        <f aca="false">IF(T8656="","",IF(T8656=0,"No discount",IF(T8656&lt;=0.2,"Low (1-20%)",IF(T8656&lt;=0.4,"Medium (21-40%)","High (&gt;40%)"))))</f>
        <v/>
      </c>
      <c r="Y8656" s="23" t="str">
        <f aca="false">IF(AND(ISNUMBER(C8656),ISNUMBER(D8656)),D8656-C8656,"")</f>
        <v/>
      </c>
      <c r="Z8656" s="23" t="str">
        <f aca="false">IF(B8656="","",IF(MATCH(B8656,$B$2:$B$12000,0)=ROW()-1,1,0))</f>
        <v/>
      </c>
    </row>
    <row r="8657" customFormat="false" ht="15" hidden="false" customHeight="false" outlineLevel="0" collapsed="false">
      <c r="V8657" s="23" t="str">
        <f aca="false">IF(ISNUMBER(C8657),YEAR(C8657),"")</f>
        <v/>
      </c>
      <c r="W8657" s="23" t="str">
        <f aca="false">IF(ISNUMBER(C8657),MONTH(C8657),"")</f>
        <v/>
      </c>
      <c r="X8657" s="23" t="str">
        <f aca="false">IF(T8657="","",IF(T8657=0,"No discount",IF(T8657&lt;=0.2,"Low (1-20%)",IF(T8657&lt;=0.4,"Medium (21-40%)","High (&gt;40%)"))))</f>
        <v/>
      </c>
      <c r="Y8657" s="23" t="str">
        <f aca="false">IF(AND(ISNUMBER(C8657),ISNUMBER(D8657)),D8657-C8657,"")</f>
        <v/>
      </c>
      <c r="Z8657" s="23" t="str">
        <f aca="false">IF(B8657="","",IF(MATCH(B8657,$B$2:$B$12000,0)=ROW()-1,1,0))</f>
        <v/>
      </c>
    </row>
    <row r="8658" customFormat="false" ht="15" hidden="false" customHeight="false" outlineLevel="0" collapsed="false">
      <c r="V8658" s="23" t="str">
        <f aca="false">IF(ISNUMBER(C8658),YEAR(C8658),"")</f>
        <v/>
      </c>
      <c r="W8658" s="23" t="str">
        <f aca="false">IF(ISNUMBER(C8658),MONTH(C8658),"")</f>
        <v/>
      </c>
      <c r="X8658" s="23" t="str">
        <f aca="false">IF(T8658="","",IF(T8658=0,"No discount",IF(T8658&lt;=0.2,"Low (1-20%)",IF(T8658&lt;=0.4,"Medium (21-40%)","High (&gt;40%)"))))</f>
        <v/>
      </c>
      <c r="Y8658" s="23" t="str">
        <f aca="false">IF(AND(ISNUMBER(C8658),ISNUMBER(D8658)),D8658-C8658,"")</f>
        <v/>
      </c>
      <c r="Z8658" s="23" t="str">
        <f aca="false">IF(B8658="","",IF(MATCH(B8658,$B$2:$B$12000,0)=ROW()-1,1,0))</f>
        <v/>
      </c>
    </row>
    <row r="8659" customFormat="false" ht="15" hidden="false" customHeight="false" outlineLevel="0" collapsed="false">
      <c r="V8659" s="23" t="str">
        <f aca="false">IF(ISNUMBER(C8659),YEAR(C8659),"")</f>
        <v/>
      </c>
      <c r="W8659" s="23" t="str">
        <f aca="false">IF(ISNUMBER(C8659),MONTH(C8659),"")</f>
        <v/>
      </c>
      <c r="X8659" s="23" t="str">
        <f aca="false">IF(T8659="","",IF(T8659=0,"No discount",IF(T8659&lt;=0.2,"Low (1-20%)",IF(T8659&lt;=0.4,"Medium (21-40%)","High (&gt;40%)"))))</f>
        <v/>
      </c>
      <c r="Y8659" s="23" t="str">
        <f aca="false">IF(AND(ISNUMBER(C8659),ISNUMBER(D8659)),D8659-C8659,"")</f>
        <v/>
      </c>
      <c r="Z8659" s="23" t="str">
        <f aca="false">IF(B8659="","",IF(MATCH(B8659,$B$2:$B$12000,0)=ROW()-1,1,0))</f>
        <v/>
      </c>
    </row>
    <row r="8660" customFormat="false" ht="15" hidden="false" customHeight="false" outlineLevel="0" collapsed="false">
      <c r="V8660" s="23" t="str">
        <f aca="false">IF(ISNUMBER(C8660),YEAR(C8660),"")</f>
        <v/>
      </c>
      <c r="W8660" s="23" t="str">
        <f aca="false">IF(ISNUMBER(C8660),MONTH(C8660),"")</f>
        <v/>
      </c>
      <c r="X8660" s="23" t="str">
        <f aca="false">IF(T8660="","",IF(T8660=0,"No discount",IF(T8660&lt;=0.2,"Low (1-20%)",IF(T8660&lt;=0.4,"Medium (21-40%)","High (&gt;40%)"))))</f>
        <v/>
      </c>
      <c r="Y8660" s="23" t="str">
        <f aca="false">IF(AND(ISNUMBER(C8660),ISNUMBER(D8660)),D8660-C8660,"")</f>
        <v/>
      </c>
      <c r="Z8660" s="23" t="str">
        <f aca="false">IF(B8660="","",IF(MATCH(B8660,$B$2:$B$12000,0)=ROW()-1,1,0))</f>
        <v/>
      </c>
    </row>
    <row r="8661" customFormat="false" ht="15" hidden="false" customHeight="false" outlineLevel="0" collapsed="false">
      <c r="V8661" s="23" t="str">
        <f aca="false">IF(ISNUMBER(C8661),YEAR(C8661),"")</f>
        <v/>
      </c>
      <c r="W8661" s="23" t="str">
        <f aca="false">IF(ISNUMBER(C8661),MONTH(C8661),"")</f>
        <v/>
      </c>
      <c r="X8661" s="23" t="str">
        <f aca="false">IF(T8661="","",IF(T8661=0,"No discount",IF(T8661&lt;=0.2,"Low (1-20%)",IF(T8661&lt;=0.4,"Medium (21-40%)","High (&gt;40%)"))))</f>
        <v/>
      </c>
      <c r="Y8661" s="23" t="str">
        <f aca="false">IF(AND(ISNUMBER(C8661),ISNUMBER(D8661)),D8661-C8661,"")</f>
        <v/>
      </c>
      <c r="Z8661" s="23" t="str">
        <f aca="false">IF(B8661="","",IF(MATCH(B8661,$B$2:$B$12000,0)=ROW()-1,1,0))</f>
        <v/>
      </c>
    </row>
    <row r="8662" customFormat="false" ht="15" hidden="false" customHeight="false" outlineLevel="0" collapsed="false">
      <c r="V8662" s="23" t="str">
        <f aca="false">IF(ISNUMBER(C8662),YEAR(C8662),"")</f>
        <v/>
      </c>
      <c r="W8662" s="23" t="str">
        <f aca="false">IF(ISNUMBER(C8662),MONTH(C8662),"")</f>
        <v/>
      </c>
      <c r="X8662" s="23" t="str">
        <f aca="false">IF(T8662="","",IF(T8662=0,"No discount",IF(T8662&lt;=0.2,"Low (1-20%)",IF(T8662&lt;=0.4,"Medium (21-40%)","High (&gt;40%)"))))</f>
        <v/>
      </c>
      <c r="Y8662" s="23" t="str">
        <f aca="false">IF(AND(ISNUMBER(C8662),ISNUMBER(D8662)),D8662-C8662,"")</f>
        <v/>
      </c>
      <c r="Z8662" s="23" t="str">
        <f aca="false">IF(B8662="","",IF(MATCH(B8662,$B$2:$B$12000,0)=ROW()-1,1,0))</f>
        <v/>
      </c>
    </row>
    <row r="8663" customFormat="false" ht="15" hidden="false" customHeight="false" outlineLevel="0" collapsed="false">
      <c r="V8663" s="23" t="str">
        <f aca="false">IF(ISNUMBER(C8663),YEAR(C8663),"")</f>
        <v/>
      </c>
      <c r="W8663" s="23" t="str">
        <f aca="false">IF(ISNUMBER(C8663),MONTH(C8663),"")</f>
        <v/>
      </c>
      <c r="X8663" s="23" t="str">
        <f aca="false">IF(T8663="","",IF(T8663=0,"No discount",IF(T8663&lt;=0.2,"Low (1-20%)",IF(T8663&lt;=0.4,"Medium (21-40%)","High (&gt;40%)"))))</f>
        <v/>
      </c>
      <c r="Y8663" s="23" t="str">
        <f aca="false">IF(AND(ISNUMBER(C8663),ISNUMBER(D8663)),D8663-C8663,"")</f>
        <v/>
      </c>
      <c r="Z8663" s="23" t="str">
        <f aca="false">IF(B8663="","",IF(MATCH(B8663,$B$2:$B$12000,0)=ROW()-1,1,0))</f>
        <v/>
      </c>
    </row>
    <row r="8664" customFormat="false" ht="15" hidden="false" customHeight="false" outlineLevel="0" collapsed="false">
      <c r="V8664" s="23" t="str">
        <f aca="false">IF(ISNUMBER(C8664),YEAR(C8664),"")</f>
        <v/>
      </c>
      <c r="W8664" s="23" t="str">
        <f aca="false">IF(ISNUMBER(C8664),MONTH(C8664),"")</f>
        <v/>
      </c>
      <c r="X8664" s="23" t="str">
        <f aca="false">IF(T8664="","",IF(T8664=0,"No discount",IF(T8664&lt;=0.2,"Low (1-20%)",IF(T8664&lt;=0.4,"Medium (21-40%)","High (&gt;40%)"))))</f>
        <v/>
      </c>
      <c r="Y8664" s="23" t="str">
        <f aca="false">IF(AND(ISNUMBER(C8664),ISNUMBER(D8664)),D8664-C8664,"")</f>
        <v/>
      </c>
      <c r="Z8664" s="23" t="str">
        <f aca="false">IF(B8664="","",IF(MATCH(B8664,$B$2:$B$12000,0)=ROW()-1,1,0))</f>
        <v/>
      </c>
    </row>
    <row r="8665" customFormat="false" ht="15" hidden="false" customHeight="false" outlineLevel="0" collapsed="false">
      <c r="V8665" s="23" t="str">
        <f aca="false">IF(ISNUMBER(C8665),YEAR(C8665),"")</f>
        <v/>
      </c>
      <c r="W8665" s="23" t="str">
        <f aca="false">IF(ISNUMBER(C8665),MONTH(C8665),"")</f>
        <v/>
      </c>
      <c r="X8665" s="23" t="str">
        <f aca="false">IF(T8665="","",IF(T8665=0,"No discount",IF(T8665&lt;=0.2,"Low (1-20%)",IF(T8665&lt;=0.4,"Medium (21-40%)","High (&gt;40%)"))))</f>
        <v/>
      </c>
      <c r="Y8665" s="23" t="str">
        <f aca="false">IF(AND(ISNUMBER(C8665),ISNUMBER(D8665)),D8665-C8665,"")</f>
        <v/>
      </c>
      <c r="Z8665" s="23" t="str">
        <f aca="false">IF(B8665="","",IF(MATCH(B8665,$B$2:$B$12000,0)=ROW()-1,1,0))</f>
        <v/>
      </c>
    </row>
    <row r="8666" customFormat="false" ht="15" hidden="false" customHeight="false" outlineLevel="0" collapsed="false">
      <c r="V8666" s="23" t="str">
        <f aca="false">IF(ISNUMBER(C8666),YEAR(C8666),"")</f>
        <v/>
      </c>
      <c r="W8666" s="23" t="str">
        <f aca="false">IF(ISNUMBER(C8666),MONTH(C8666),"")</f>
        <v/>
      </c>
      <c r="X8666" s="23" t="str">
        <f aca="false">IF(T8666="","",IF(T8666=0,"No discount",IF(T8666&lt;=0.2,"Low (1-20%)",IF(T8666&lt;=0.4,"Medium (21-40%)","High (&gt;40%)"))))</f>
        <v/>
      </c>
      <c r="Y8666" s="23" t="str">
        <f aca="false">IF(AND(ISNUMBER(C8666),ISNUMBER(D8666)),D8666-C8666,"")</f>
        <v/>
      </c>
      <c r="Z8666" s="23" t="str">
        <f aca="false">IF(B8666="","",IF(MATCH(B8666,$B$2:$B$12000,0)=ROW()-1,1,0))</f>
        <v/>
      </c>
    </row>
    <row r="8667" customFormat="false" ht="15" hidden="false" customHeight="false" outlineLevel="0" collapsed="false">
      <c r="V8667" s="23" t="str">
        <f aca="false">IF(ISNUMBER(C8667),YEAR(C8667),"")</f>
        <v/>
      </c>
      <c r="W8667" s="23" t="str">
        <f aca="false">IF(ISNUMBER(C8667),MONTH(C8667),"")</f>
        <v/>
      </c>
      <c r="X8667" s="23" t="str">
        <f aca="false">IF(T8667="","",IF(T8667=0,"No discount",IF(T8667&lt;=0.2,"Low (1-20%)",IF(T8667&lt;=0.4,"Medium (21-40%)","High (&gt;40%)"))))</f>
        <v/>
      </c>
      <c r="Y8667" s="23" t="str">
        <f aca="false">IF(AND(ISNUMBER(C8667),ISNUMBER(D8667)),D8667-C8667,"")</f>
        <v/>
      </c>
      <c r="Z8667" s="23" t="str">
        <f aca="false">IF(B8667="","",IF(MATCH(B8667,$B$2:$B$12000,0)=ROW()-1,1,0))</f>
        <v/>
      </c>
    </row>
    <row r="8668" customFormat="false" ht="15" hidden="false" customHeight="false" outlineLevel="0" collapsed="false">
      <c r="V8668" s="23" t="str">
        <f aca="false">IF(ISNUMBER(C8668),YEAR(C8668),"")</f>
        <v/>
      </c>
      <c r="W8668" s="23" t="str">
        <f aca="false">IF(ISNUMBER(C8668),MONTH(C8668),"")</f>
        <v/>
      </c>
      <c r="X8668" s="23" t="str">
        <f aca="false">IF(T8668="","",IF(T8668=0,"No discount",IF(T8668&lt;=0.2,"Low (1-20%)",IF(T8668&lt;=0.4,"Medium (21-40%)","High (&gt;40%)"))))</f>
        <v/>
      </c>
      <c r="Y8668" s="23" t="str">
        <f aca="false">IF(AND(ISNUMBER(C8668),ISNUMBER(D8668)),D8668-C8668,"")</f>
        <v/>
      </c>
      <c r="Z8668" s="23" t="str">
        <f aca="false">IF(B8668="","",IF(MATCH(B8668,$B$2:$B$12000,0)=ROW()-1,1,0))</f>
        <v/>
      </c>
    </row>
    <row r="8669" customFormat="false" ht="15" hidden="false" customHeight="false" outlineLevel="0" collapsed="false">
      <c r="V8669" s="23" t="str">
        <f aca="false">IF(ISNUMBER(C8669),YEAR(C8669),"")</f>
        <v/>
      </c>
      <c r="W8669" s="23" t="str">
        <f aca="false">IF(ISNUMBER(C8669),MONTH(C8669),"")</f>
        <v/>
      </c>
      <c r="X8669" s="23" t="str">
        <f aca="false">IF(T8669="","",IF(T8669=0,"No discount",IF(T8669&lt;=0.2,"Low (1-20%)",IF(T8669&lt;=0.4,"Medium (21-40%)","High (&gt;40%)"))))</f>
        <v/>
      </c>
      <c r="Y8669" s="23" t="str">
        <f aca="false">IF(AND(ISNUMBER(C8669),ISNUMBER(D8669)),D8669-C8669,"")</f>
        <v/>
      </c>
      <c r="Z8669" s="23" t="str">
        <f aca="false">IF(B8669="","",IF(MATCH(B8669,$B$2:$B$12000,0)=ROW()-1,1,0))</f>
        <v/>
      </c>
    </row>
    <row r="8670" customFormat="false" ht="15" hidden="false" customHeight="false" outlineLevel="0" collapsed="false">
      <c r="V8670" s="23" t="str">
        <f aca="false">IF(ISNUMBER(C8670),YEAR(C8670),"")</f>
        <v/>
      </c>
      <c r="W8670" s="23" t="str">
        <f aca="false">IF(ISNUMBER(C8670),MONTH(C8670),"")</f>
        <v/>
      </c>
      <c r="X8670" s="23" t="str">
        <f aca="false">IF(T8670="","",IF(T8670=0,"No discount",IF(T8670&lt;=0.2,"Low (1-20%)",IF(T8670&lt;=0.4,"Medium (21-40%)","High (&gt;40%)"))))</f>
        <v/>
      </c>
      <c r="Y8670" s="23" t="str">
        <f aca="false">IF(AND(ISNUMBER(C8670),ISNUMBER(D8670)),D8670-C8670,"")</f>
        <v/>
      </c>
      <c r="Z8670" s="23" t="str">
        <f aca="false">IF(B8670="","",IF(MATCH(B8670,$B$2:$B$12000,0)=ROW()-1,1,0))</f>
        <v/>
      </c>
    </row>
    <row r="8671" customFormat="false" ht="15" hidden="false" customHeight="false" outlineLevel="0" collapsed="false">
      <c r="V8671" s="23" t="str">
        <f aca="false">IF(ISNUMBER(C8671),YEAR(C8671),"")</f>
        <v/>
      </c>
      <c r="W8671" s="23" t="str">
        <f aca="false">IF(ISNUMBER(C8671),MONTH(C8671),"")</f>
        <v/>
      </c>
      <c r="X8671" s="23" t="str">
        <f aca="false">IF(T8671="","",IF(T8671=0,"No discount",IF(T8671&lt;=0.2,"Low (1-20%)",IF(T8671&lt;=0.4,"Medium (21-40%)","High (&gt;40%)"))))</f>
        <v/>
      </c>
      <c r="Y8671" s="23" t="str">
        <f aca="false">IF(AND(ISNUMBER(C8671),ISNUMBER(D8671)),D8671-C8671,"")</f>
        <v/>
      </c>
      <c r="Z8671" s="23" t="str">
        <f aca="false">IF(B8671="","",IF(MATCH(B8671,$B$2:$B$12000,0)=ROW()-1,1,0))</f>
        <v/>
      </c>
    </row>
    <row r="8672" customFormat="false" ht="15" hidden="false" customHeight="false" outlineLevel="0" collapsed="false">
      <c r="V8672" s="23" t="str">
        <f aca="false">IF(ISNUMBER(C8672),YEAR(C8672),"")</f>
        <v/>
      </c>
      <c r="W8672" s="23" t="str">
        <f aca="false">IF(ISNUMBER(C8672),MONTH(C8672),"")</f>
        <v/>
      </c>
      <c r="X8672" s="23" t="str">
        <f aca="false">IF(T8672="","",IF(T8672=0,"No discount",IF(T8672&lt;=0.2,"Low (1-20%)",IF(T8672&lt;=0.4,"Medium (21-40%)","High (&gt;40%)"))))</f>
        <v/>
      </c>
      <c r="Y8672" s="23" t="str">
        <f aca="false">IF(AND(ISNUMBER(C8672),ISNUMBER(D8672)),D8672-C8672,"")</f>
        <v/>
      </c>
      <c r="Z8672" s="23" t="str">
        <f aca="false">IF(B8672="","",IF(MATCH(B8672,$B$2:$B$12000,0)=ROW()-1,1,0))</f>
        <v/>
      </c>
    </row>
    <row r="8673" customFormat="false" ht="15" hidden="false" customHeight="false" outlineLevel="0" collapsed="false">
      <c r="V8673" s="23" t="str">
        <f aca="false">IF(ISNUMBER(C8673),YEAR(C8673),"")</f>
        <v/>
      </c>
      <c r="W8673" s="23" t="str">
        <f aca="false">IF(ISNUMBER(C8673),MONTH(C8673),"")</f>
        <v/>
      </c>
      <c r="X8673" s="23" t="str">
        <f aca="false">IF(T8673="","",IF(T8673=0,"No discount",IF(T8673&lt;=0.2,"Low (1-20%)",IF(T8673&lt;=0.4,"Medium (21-40%)","High (&gt;40%)"))))</f>
        <v/>
      </c>
      <c r="Y8673" s="23" t="str">
        <f aca="false">IF(AND(ISNUMBER(C8673),ISNUMBER(D8673)),D8673-C8673,"")</f>
        <v/>
      </c>
      <c r="Z8673" s="23" t="str">
        <f aca="false">IF(B8673="","",IF(MATCH(B8673,$B$2:$B$12000,0)=ROW()-1,1,0))</f>
        <v/>
      </c>
    </row>
    <row r="8674" customFormat="false" ht="15" hidden="false" customHeight="false" outlineLevel="0" collapsed="false">
      <c r="V8674" s="23" t="str">
        <f aca="false">IF(ISNUMBER(C8674),YEAR(C8674),"")</f>
        <v/>
      </c>
      <c r="W8674" s="23" t="str">
        <f aca="false">IF(ISNUMBER(C8674),MONTH(C8674),"")</f>
        <v/>
      </c>
      <c r="X8674" s="23" t="str">
        <f aca="false">IF(T8674="","",IF(T8674=0,"No discount",IF(T8674&lt;=0.2,"Low (1-20%)",IF(T8674&lt;=0.4,"Medium (21-40%)","High (&gt;40%)"))))</f>
        <v/>
      </c>
      <c r="Y8674" s="23" t="str">
        <f aca="false">IF(AND(ISNUMBER(C8674),ISNUMBER(D8674)),D8674-C8674,"")</f>
        <v/>
      </c>
      <c r="Z8674" s="23" t="str">
        <f aca="false">IF(B8674="","",IF(MATCH(B8674,$B$2:$B$12000,0)=ROW()-1,1,0))</f>
        <v/>
      </c>
    </row>
    <row r="8675" customFormat="false" ht="15" hidden="false" customHeight="false" outlineLevel="0" collapsed="false">
      <c r="V8675" s="23" t="str">
        <f aca="false">IF(ISNUMBER(C8675),YEAR(C8675),"")</f>
        <v/>
      </c>
      <c r="W8675" s="23" t="str">
        <f aca="false">IF(ISNUMBER(C8675),MONTH(C8675),"")</f>
        <v/>
      </c>
      <c r="X8675" s="23" t="str">
        <f aca="false">IF(T8675="","",IF(T8675=0,"No discount",IF(T8675&lt;=0.2,"Low (1-20%)",IF(T8675&lt;=0.4,"Medium (21-40%)","High (&gt;40%)"))))</f>
        <v/>
      </c>
      <c r="Y8675" s="23" t="str">
        <f aca="false">IF(AND(ISNUMBER(C8675),ISNUMBER(D8675)),D8675-C8675,"")</f>
        <v/>
      </c>
      <c r="Z8675" s="23" t="str">
        <f aca="false">IF(B8675="","",IF(MATCH(B8675,$B$2:$B$12000,0)=ROW()-1,1,0))</f>
        <v/>
      </c>
    </row>
    <row r="8676" customFormat="false" ht="15" hidden="false" customHeight="false" outlineLevel="0" collapsed="false">
      <c r="V8676" s="23" t="str">
        <f aca="false">IF(ISNUMBER(C8676),YEAR(C8676),"")</f>
        <v/>
      </c>
      <c r="W8676" s="23" t="str">
        <f aca="false">IF(ISNUMBER(C8676),MONTH(C8676),"")</f>
        <v/>
      </c>
      <c r="X8676" s="23" t="str">
        <f aca="false">IF(T8676="","",IF(T8676=0,"No discount",IF(T8676&lt;=0.2,"Low (1-20%)",IF(T8676&lt;=0.4,"Medium (21-40%)","High (&gt;40%)"))))</f>
        <v/>
      </c>
      <c r="Y8676" s="23" t="str">
        <f aca="false">IF(AND(ISNUMBER(C8676),ISNUMBER(D8676)),D8676-C8676,"")</f>
        <v/>
      </c>
      <c r="Z8676" s="23" t="str">
        <f aca="false">IF(B8676="","",IF(MATCH(B8676,$B$2:$B$12000,0)=ROW()-1,1,0))</f>
        <v/>
      </c>
    </row>
    <row r="8677" customFormat="false" ht="15" hidden="false" customHeight="false" outlineLevel="0" collapsed="false">
      <c r="V8677" s="23" t="str">
        <f aca="false">IF(ISNUMBER(C8677),YEAR(C8677),"")</f>
        <v/>
      </c>
      <c r="W8677" s="23" t="str">
        <f aca="false">IF(ISNUMBER(C8677),MONTH(C8677),"")</f>
        <v/>
      </c>
      <c r="X8677" s="23" t="str">
        <f aca="false">IF(T8677="","",IF(T8677=0,"No discount",IF(T8677&lt;=0.2,"Low (1-20%)",IF(T8677&lt;=0.4,"Medium (21-40%)","High (&gt;40%)"))))</f>
        <v/>
      </c>
      <c r="Y8677" s="23" t="str">
        <f aca="false">IF(AND(ISNUMBER(C8677),ISNUMBER(D8677)),D8677-C8677,"")</f>
        <v/>
      </c>
      <c r="Z8677" s="23" t="str">
        <f aca="false">IF(B8677="","",IF(MATCH(B8677,$B$2:$B$12000,0)=ROW()-1,1,0))</f>
        <v/>
      </c>
    </row>
    <row r="8678" customFormat="false" ht="15" hidden="false" customHeight="false" outlineLevel="0" collapsed="false">
      <c r="V8678" s="23" t="str">
        <f aca="false">IF(ISNUMBER(C8678),YEAR(C8678),"")</f>
        <v/>
      </c>
      <c r="W8678" s="23" t="str">
        <f aca="false">IF(ISNUMBER(C8678),MONTH(C8678),"")</f>
        <v/>
      </c>
      <c r="X8678" s="23" t="str">
        <f aca="false">IF(T8678="","",IF(T8678=0,"No discount",IF(T8678&lt;=0.2,"Low (1-20%)",IF(T8678&lt;=0.4,"Medium (21-40%)","High (&gt;40%)"))))</f>
        <v/>
      </c>
      <c r="Y8678" s="23" t="str">
        <f aca="false">IF(AND(ISNUMBER(C8678),ISNUMBER(D8678)),D8678-C8678,"")</f>
        <v/>
      </c>
      <c r="Z8678" s="23" t="str">
        <f aca="false">IF(B8678="","",IF(MATCH(B8678,$B$2:$B$12000,0)=ROW()-1,1,0))</f>
        <v/>
      </c>
    </row>
    <row r="8679" customFormat="false" ht="15" hidden="false" customHeight="false" outlineLevel="0" collapsed="false">
      <c r="V8679" s="23" t="str">
        <f aca="false">IF(ISNUMBER(C8679),YEAR(C8679),"")</f>
        <v/>
      </c>
      <c r="W8679" s="23" t="str">
        <f aca="false">IF(ISNUMBER(C8679),MONTH(C8679),"")</f>
        <v/>
      </c>
      <c r="X8679" s="23" t="str">
        <f aca="false">IF(T8679="","",IF(T8679=0,"No discount",IF(T8679&lt;=0.2,"Low (1-20%)",IF(T8679&lt;=0.4,"Medium (21-40%)","High (&gt;40%)"))))</f>
        <v/>
      </c>
      <c r="Y8679" s="23" t="str">
        <f aca="false">IF(AND(ISNUMBER(C8679),ISNUMBER(D8679)),D8679-C8679,"")</f>
        <v/>
      </c>
      <c r="Z8679" s="23" t="str">
        <f aca="false">IF(B8679="","",IF(MATCH(B8679,$B$2:$B$12000,0)=ROW()-1,1,0))</f>
        <v/>
      </c>
    </row>
    <row r="8680" customFormat="false" ht="15" hidden="false" customHeight="false" outlineLevel="0" collapsed="false">
      <c r="V8680" s="23" t="str">
        <f aca="false">IF(ISNUMBER(C8680),YEAR(C8680),"")</f>
        <v/>
      </c>
      <c r="W8680" s="23" t="str">
        <f aca="false">IF(ISNUMBER(C8680),MONTH(C8680),"")</f>
        <v/>
      </c>
      <c r="X8680" s="23" t="str">
        <f aca="false">IF(T8680="","",IF(T8680=0,"No discount",IF(T8680&lt;=0.2,"Low (1-20%)",IF(T8680&lt;=0.4,"Medium (21-40%)","High (&gt;40%)"))))</f>
        <v/>
      </c>
      <c r="Y8680" s="23" t="str">
        <f aca="false">IF(AND(ISNUMBER(C8680),ISNUMBER(D8680)),D8680-C8680,"")</f>
        <v/>
      </c>
      <c r="Z8680" s="23" t="str">
        <f aca="false">IF(B8680="","",IF(MATCH(B8680,$B$2:$B$12000,0)=ROW()-1,1,0))</f>
        <v/>
      </c>
    </row>
    <row r="8681" customFormat="false" ht="15" hidden="false" customHeight="false" outlineLevel="0" collapsed="false">
      <c r="V8681" s="23" t="str">
        <f aca="false">IF(ISNUMBER(C8681),YEAR(C8681),"")</f>
        <v/>
      </c>
      <c r="W8681" s="23" t="str">
        <f aca="false">IF(ISNUMBER(C8681),MONTH(C8681),"")</f>
        <v/>
      </c>
      <c r="X8681" s="23" t="str">
        <f aca="false">IF(T8681="","",IF(T8681=0,"No discount",IF(T8681&lt;=0.2,"Low (1-20%)",IF(T8681&lt;=0.4,"Medium (21-40%)","High (&gt;40%)"))))</f>
        <v/>
      </c>
      <c r="Y8681" s="23" t="str">
        <f aca="false">IF(AND(ISNUMBER(C8681),ISNUMBER(D8681)),D8681-C8681,"")</f>
        <v/>
      </c>
      <c r="Z8681" s="23" t="str">
        <f aca="false">IF(B8681="","",IF(MATCH(B8681,$B$2:$B$12000,0)=ROW()-1,1,0))</f>
        <v/>
      </c>
    </row>
    <row r="8682" customFormat="false" ht="15" hidden="false" customHeight="false" outlineLevel="0" collapsed="false">
      <c r="V8682" s="23" t="str">
        <f aca="false">IF(ISNUMBER(C8682),YEAR(C8682),"")</f>
        <v/>
      </c>
      <c r="W8682" s="23" t="str">
        <f aca="false">IF(ISNUMBER(C8682),MONTH(C8682),"")</f>
        <v/>
      </c>
      <c r="X8682" s="23" t="str">
        <f aca="false">IF(T8682="","",IF(T8682=0,"No discount",IF(T8682&lt;=0.2,"Low (1-20%)",IF(T8682&lt;=0.4,"Medium (21-40%)","High (&gt;40%)"))))</f>
        <v/>
      </c>
      <c r="Y8682" s="23" t="str">
        <f aca="false">IF(AND(ISNUMBER(C8682),ISNUMBER(D8682)),D8682-C8682,"")</f>
        <v/>
      </c>
      <c r="Z8682" s="23" t="str">
        <f aca="false">IF(B8682="","",IF(MATCH(B8682,$B$2:$B$12000,0)=ROW()-1,1,0))</f>
        <v/>
      </c>
    </row>
    <row r="8683" customFormat="false" ht="15" hidden="false" customHeight="false" outlineLevel="0" collapsed="false">
      <c r="V8683" s="23" t="str">
        <f aca="false">IF(ISNUMBER(C8683),YEAR(C8683),"")</f>
        <v/>
      </c>
      <c r="W8683" s="23" t="str">
        <f aca="false">IF(ISNUMBER(C8683),MONTH(C8683),"")</f>
        <v/>
      </c>
      <c r="X8683" s="23" t="str">
        <f aca="false">IF(T8683="","",IF(T8683=0,"No discount",IF(T8683&lt;=0.2,"Low (1-20%)",IF(T8683&lt;=0.4,"Medium (21-40%)","High (&gt;40%)"))))</f>
        <v/>
      </c>
      <c r="Y8683" s="23" t="str">
        <f aca="false">IF(AND(ISNUMBER(C8683),ISNUMBER(D8683)),D8683-C8683,"")</f>
        <v/>
      </c>
      <c r="Z8683" s="23" t="str">
        <f aca="false">IF(B8683="","",IF(MATCH(B8683,$B$2:$B$12000,0)=ROW()-1,1,0))</f>
        <v/>
      </c>
    </row>
    <row r="8684" customFormat="false" ht="15" hidden="false" customHeight="false" outlineLevel="0" collapsed="false">
      <c r="V8684" s="23" t="str">
        <f aca="false">IF(ISNUMBER(C8684),YEAR(C8684),"")</f>
        <v/>
      </c>
      <c r="W8684" s="23" t="str">
        <f aca="false">IF(ISNUMBER(C8684),MONTH(C8684),"")</f>
        <v/>
      </c>
      <c r="X8684" s="23" t="str">
        <f aca="false">IF(T8684="","",IF(T8684=0,"No discount",IF(T8684&lt;=0.2,"Low (1-20%)",IF(T8684&lt;=0.4,"Medium (21-40%)","High (&gt;40%)"))))</f>
        <v/>
      </c>
      <c r="Y8684" s="23" t="str">
        <f aca="false">IF(AND(ISNUMBER(C8684),ISNUMBER(D8684)),D8684-C8684,"")</f>
        <v/>
      </c>
      <c r="Z8684" s="23" t="str">
        <f aca="false">IF(B8684="","",IF(MATCH(B8684,$B$2:$B$12000,0)=ROW()-1,1,0))</f>
        <v/>
      </c>
    </row>
    <row r="8685" customFormat="false" ht="15" hidden="false" customHeight="false" outlineLevel="0" collapsed="false">
      <c r="V8685" s="23" t="str">
        <f aca="false">IF(ISNUMBER(C8685),YEAR(C8685),"")</f>
        <v/>
      </c>
      <c r="W8685" s="23" t="str">
        <f aca="false">IF(ISNUMBER(C8685),MONTH(C8685),"")</f>
        <v/>
      </c>
      <c r="X8685" s="23" t="str">
        <f aca="false">IF(T8685="","",IF(T8685=0,"No discount",IF(T8685&lt;=0.2,"Low (1-20%)",IF(T8685&lt;=0.4,"Medium (21-40%)","High (&gt;40%)"))))</f>
        <v/>
      </c>
      <c r="Y8685" s="23" t="str">
        <f aca="false">IF(AND(ISNUMBER(C8685),ISNUMBER(D8685)),D8685-C8685,"")</f>
        <v/>
      </c>
      <c r="Z8685" s="23" t="str">
        <f aca="false">IF(B8685="","",IF(MATCH(B8685,$B$2:$B$12000,0)=ROW()-1,1,0))</f>
        <v/>
      </c>
    </row>
    <row r="8686" customFormat="false" ht="15" hidden="false" customHeight="false" outlineLevel="0" collapsed="false">
      <c r="V8686" s="23" t="str">
        <f aca="false">IF(ISNUMBER(C8686),YEAR(C8686),"")</f>
        <v/>
      </c>
      <c r="W8686" s="23" t="str">
        <f aca="false">IF(ISNUMBER(C8686),MONTH(C8686),"")</f>
        <v/>
      </c>
      <c r="X8686" s="23" t="str">
        <f aca="false">IF(T8686="","",IF(T8686=0,"No discount",IF(T8686&lt;=0.2,"Low (1-20%)",IF(T8686&lt;=0.4,"Medium (21-40%)","High (&gt;40%)"))))</f>
        <v/>
      </c>
      <c r="Y8686" s="23" t="str">
        <f aca="false">IF(AND(ISNUMBER(C8686),ISNUMBER(D8686)),D8686-C8686,"")</f>
        <v/>
      </c>
      <c r="Z8686" s="23" t="str">
        <f aca="false">IF(B8686="","",IF(MATCH(B8686,$B$2:$B$12000,0)=ROW()-1,1,0))</f>
        <v/>
      </c>
    </row>
    <row r="8687" customFormat="false" ht="15" hidden="false" customHeight="false" outlineLevel="0" collapsed="false">
      <c r="V8687" s="23" t="str">
        <f aca="false">IF(ISNUMBER(C8687),YEAR(C8687),"")</f>
        <v/>
      </c>
      <c r="W8687" s="23" t="str">
        <f aca="false">IF(ISNUMBER(C8687),MONTH(C8687),"")</f>
        <v/>
      </c>
      <c r="X8687" s="23" t="str">
        <f aca="false">IF(T8687="","",IF(T8687=0,"No discount",IF(T8687&lt;=0.2,"Low (1-20%)",IF(T8687&lt;=0.4,"Medium (21-40%)","High (&gt;40%)"))))</f>
        <v/>
      </c>
      <c r="Y8687" s="23" t="str">
        <f aca="false">IF(AND(ISNUMBER(C8687),ISNUMBER(D8687)),D8687-C8687,"")</f>
        <v/>
      </c>
      <c r="Z8687" s="23" t="str">
        <f aca="false">IF(B8687="","",IF(MATCH(B8687,$B$2:$B$12000,0)=ROW()-1,1,0))</f>
        <v/>
      </c>
    </row>
    <row r="8688" customFormat="false" ht="15" hidden="false" customHeight="false" outlineLevel="0" collapsed="false">
      <c r="V8688" s="23" t="str">
        <f aca="false">IF(ISNUMBER(C8688),YEAR(C8688),"")</f>
        <v/>
      </c>
      <c r="W8688" s="23" t="str">
        <f aca="false">IF(ISNUMBER(C8688),MONTH(C8688),"")</f>
        <v/>
      </c>
      <c r="X8688" s="23" t="str">
        <f aca="false">IF(T8688="","",IF(T8688=0,"No discount",IF(T8688&lt;=0.2,"Low (1-20%)",IF(T8688&lt;=0.4,"Medium (21-40%)","High (&gt;40%)"))))</f>
        <v/>
      </c>
      <c r="Y8688" s="23" t="str">
        <f aca="false">IF(AND(ISNUMBER(C8688),ISNUMBER(D8688)),D8688-C8688,"")</f>
        <v/>
      </c>
      <c r="Z8688" s="23" t="str">
        <f aca="false">IF(B8688="","",IF(MATCH(B8688,$B$2:$B$12000,0)=ROW()-1,1,0))</f>
        <v/>
      </c>
    </row>
    <row r="8689" customFormat="false" ht="15" hidden="false" customHeight="false" outlineLevel="0" collapsed="false">
      <c r="V8689" s="23" t="str">
        <f aca="false">IF(ISNUMBER(C8689),YEAR(C8689),"")</f>
        <v/>
      </c>
      <c r="W8689" s="23" t="str">
        <f aca="false">IF(ISNUMBER(C8689),MONTH(C8689),"")</f>
        <v/>
      </c>
      <c r="X8689" s="23" t="str">
        <f aca="false">IF(T8689="","",IF(T8689=0,"No discount",IF(T8689&lt;=0.2,"Low (1-20%)",IF(T8689&lt;=0.4,"Medium (21-40%)","High (&gt;40%)"))))</f>
        <v/>
      </c>
      <c r="Y8689" s="23" t="str">
        <f aca="false">IF(AND(ISNUMBER(C8689),ISNUMBER(D8689)),D8689-C8689,"")</f>
        <v/>
      </c>
      <c r="Z8689" s="23" t="str">
        <f aca="false">IF(B8689="","",IF(MATCH(B8689,$B$2:$B$12000,0)=ROW()-1,1,0))</f>
        <v/>
      </c>
    </row>
    <row r="8690" customFormat="false" ht="15" hidden="false" customHeight="false" outlineLevel="0" collapsed="false">
      <c r="V8690" s="23" t="str">
        <f aca="false">IF(ISNUMBER(C8690),YEAR(C8690),"")</f>
        <v/>
      </c>
      <c r="W8690" s="23" t="str">
        <f aca="false">IF(ISNUMBER(C8690),MONTH(C8690),"")</f>
        <v/>
      </c>
      <c r="X8690" s="23" t="str">
        <f aca="false">IF(T8690="","",IF(T8690=0,"No discount",IF(T8690&lt;=0.2,"Low (1-20%)",IF(T8690&lt;=0.4,"Medium (21-40%)","High (&gt;40%)"))))</f>
        <v/>
      </c>
      <c r="Y8690" s="23" t="str">
        <f aca="false">IF(AND(ISNUMBER(C8690),ISNUMBER(D8690)),D8690-C8690,"")</f>
        <v/>
      </c>
      <c r="Z8690" s="23" t="str">
        <f aca="false">IF(B8690="","",IF(MATCH(B8690,$B$2:$B$12000,0)=ROW()-1,1,0))</f>
        <v/>
      </c>
    </row>
    <row r="8691" customFormat="false" ht="15" hidden="false" customHeight="false" outlineLevel="0" collapsed="false">
      <c r="V8691" s="23" t="str">
        <f aca="false">IF(ISNUMBER(C8691),YEAR(C8691),"")</f>
        <v/>
      </c>
      <c r="W8691" s="23" t="str">
        <f aca="false">IF(ISNUMBER(C8691),MONTH(C8691),"")</f>
        <v/>
      </c>
      <c r="X8691" s="23" t="str">
        <f aca="false">IF(T8691="","",IF(T8691=0,"No discount",IF(T8691&lt;=0.2,"Low (1-20%)",IF(T8691&lt;=0.4,"Medium (21-40%)","High (&gt;40%)"))))</f>
        <v/>
      </c>
      <c r="Y8691" s="23" t="str">
        <f aca="false">IF(AND(ISNUMBER(C8691),ISNUMBER(D8691)),D8691-C8691,"")</f>
        <v/>
      </c>
      <c r="Z8691" s="23" t="str">
        <f aca="false">IF(B8691="","",IF(MATCH(B8691,$B$2:$B$12000,0)=ROW()-1,1,0))</f>
        <v/>
      </c>
    </row>
    <row r="8692" customFormat="false" ht="15" hidden="false" customHeight="false" outlineLevel="0" collapsed="false">
      <c r="V8692" s="23" t="str">
        <f aca="false">IF(ISNUMBER(C8692),YEAR(C8692),"")</f>
        <v/>
      </c>
      <c r="W8692" s="23" t="str">
        <f aca="false">IF(ISNUMBER(C8692),MONTH(C8692),"")</f>
        <v/>
      </c>
      <c r="X8692" s="23" t="str">
        <f aca="false">IF(T8692="","",IF(T8692=0,"No discount",IF(T8692&lt;=0.2,"Low (1-20%)",IF(T8692&lt;=0.4,"Medium (21-40%)","High (&gt;40%)"))))</f>
        <v/>
      </c>
      <c r="Y8692" s="23" t="str">
        <f aca="false">IF(AND(ISNUMBER(C8692),ISNUMBER(D8692)),D8692-C8692,"")</f>
        <v/>
      </c>
      <c r="Z8692" s="23" t="str">
        <f aca="false">IF(B8692="","",IF(MATCH(B8692,$B$2:$B$12000,0)=ROW()-1,1,0))</f>
        <v/>
      </c>
    </row>
    <row r="8693" customFormat="false" ht="15" hidden="false" customHeight="false" outlineLevel="0" collapsed="false">
      <c r="V8693" s="23" t="str">
        <f aca="false">IF(ISNUMBER(C8693),YEAR(C8693),"")</f>
        <v/>
      </c>
      <c r="W8693" s="23" t="str">
        <f aca="false">IF(ISNUMBER(C8693),MONTH(C8693),"")</f>
        <v/>
      </c>
      <c r="X8693" s="23" t="str">
        <f aca="false">IF(T8693="","",IF(T8693=0,"No discount",IF(T8693&lt;=0.2,"Low (1-20%)",IF(T8693&lt;=0.4,"Medium (21-40%)","High (&gt;40%)"))))</f>
        <v/>
      </c>
      <c r="Y8693" s="23" t="str">
        <f aca="false">IF(AND(ISNUMBER(C8693),ISNUMBER(D8693)),D8693-C8693,"")</f>
        <v/>
      </c>
      <c r="Z8693" s="23" t="str">
        <f aca="false">IF(B8693="","",IF(MATCH(B8693,$B$2:$B$12000,0)=ROW()-1,1,0))</f>
        <v/>
      </c>
    </row>
    <row r="8694" customFormat="false" ht="15" hidden="false" customHeight="false" outlineLevel="0" collapsed="false">
      <c r="V8694" s="23" t="str">
        <f aca="false">IF(ISNUMBER(C8694),YEAR(C8694),"")</f>
        <v/>
      </c>
      <c r="W8694" s="23" t="str">
        <f aca="false">IF(ISNUMBER(C8694),MONTH(C8694),"")</f>
        <v/>
      </c>
      <c r="X8694" s="23" t="str">
        <f aca="false">IF(T8694="","",IF(T8694=0,"No discount",IF(T8694&lt;=0.2,"Low (1-20%)",IF(T8694&lt;=0.4,"Medium (21-40%)","High (&gt;40%)"))))</f>
        <v/>
      </c>
      <c r="Y8694" s="23" t="str">
        <f aca="false">IF(AND(ISNUMBER(C8694),ISNUMBER(D8694)),D8694-C8694,"")</f>
        <v/>
      </c>
      <c r="Z8694" s="23" t="str">
        <f aca="false">IF(B8694="","",IF(MATCH(B8694,$B$2:$B$12000,0)=ROW()-1,1,0))</f>
        <v/>
      </c>
    </row>
    <row r="8695" customFormat="false" ht="15" hidden="false" customHeight="false" outlineLevel="0" collapsed="false">
      <c r="V8695" s="23" t="str">
        <f aca="false">IF(ISNUMBER(C8695),YEAR(C8695),"")</f>
        <v/>
      </c>
      <c r="W8695" s="23" t="str">
        <f aca="false">IF(ISNUMBER(C8695),MONTH(C8695),"")</f>
        <v/>
      </c>
      <c r="X8695" s="23" t="str">
        <f aca="false">IF(T8695="","",IF(T8695=0,"No discount",IF(T8695&lt;=0.2,"Low (1-20%)",IF(T8695&lt;=0.4,"Medium (21-40%)","High (&gt;40%)"))))</f>
        <v/>
      </c>
      <c r="Y8695" s="23" t="str">
        <f aca="false">IF(AND(ISNUMBER(C8695),ISNUMBER(D8695)),D8695-C8695,"")</f>
        <v/>
      </c>
      <c r="Z8695" s="23" t="str">
        <f aca="false">IF(B8695="","",IF(MATCH(B8695,$B$2:$B$12000,0)=ROW()-1,1,0))</f>
        <v/>
      </c>
    </row>
    <row r="8696" customFormat="false" ht="15" hidden="false" customHeight="false" outlineLevel="0" collapsed="false">
      <c r="V8696" s="23" t="str">
        <f aca="false">IF(ISNUMBER(C8696),YEAR(C8696),"")</f>
        <v/>
      </c>
      <c r="W8696" s="23" t="str">
        <f aca="false">IF(ISNUMBER(C8696),MONTH(C8696),"")</f>
        <v/>
      </c>
      <c r="X8696" s="23" t="str">
        <f aca="false">IF(T8696="","",IF(T8696=0,"No discount",IF(T8696&lt;=0.2,"Low (1-20%)",IF(T8696&lt;=0.4,"Medium (21-40%)","High (&gt;40%)"))))</f>
        <v/>
      </c>
      <c r="Y8696" s="23" t="str">
        <f aca="false">IF(AND(ISNUMBER(C8696),ISNUMBER(D8696)),D8696-C8696,"")</f>
        <v/>
      </c>
      <c r="Z8696" s="23" t="str">
        <f aca="false">IF(B8696="","",IF(MATCH(B8696,$B$2:$B$12000,0)=ROW()-1,1,0))</f>
        <v/>
      </c>
    </row>
    <row r="8697" customFormat="false" ht="15" hidden="false" customHeight="false" outlineLevel="0" collapsed="false">
      <c r="V8697" s="23" t="str">
        <f aca="false">IF(ISNUMBER(C8697),YEAR(C8697),"")</f>
        <v/>
      </c>
      <c r="W8697" s="23" t="str">
        <f aca="false">IF(ISNUMBER(C8697),MONTH(C8697),"")</f>
        <v/>
      </c>
      <c r="X8697" s="23" t="str">
        <f aca="false">IF(T8697="","",IF(T8697=0,"No discount",IF(T8697&lt;=0.2,"Low (1-20%)",IF(T8697&lt;=0.4,"Medium (21-40%)","High (&gt;40%)"))))</f>
        <v/>
      </c>
      <c r="Y8697" s="23" t="str">
        <f aca="false">IF(AND(ISNUMBER(C8697),ISNUMBER(D8697)),D8697-C8697,"")</f>
        <v/>
      </c>
      <c r="Z8697" s="23" t="str">
        <f aca="false">IF(B8697="","",IF(MATCH(B8697,$B$2:$B$12000,0)=ROW()-1,1,0))</f>
        <v/>
      </c>
    </row>
    <row r="8698" customFormat="false" ht="15" hidden="false" customHeight="false" outlineLevel="0" collapsed="false">
      <c r="V8698" s="23" t="str">
        <f aca="false">IF(ISNUMBER(C8698),YEAR(C8698),"")</f>
        <v/>
      </c>
      <c r="W8698" s="23" t="str">
        <f aca="false">IF(ISNUMBER(C8698),MONTH(C8698),"")</f>
        <v/>
      </c>
      <c r="X8698" s="23" t="str">
        <f aca="false">IF(T8698="","",IF(T8698=0,"No discount",IF(T8698&lt;=0.2,"Low (1-20%)",IF(T8698&lt;=0.4,"Medium (21-40%)","High (&gt;40%)"))))</f>
        <v/>
      </c>
      <c r="Y8698" s="23" t="str">
        <f aca="false">IF(AND(ISNUMBER(C8698),ISNUMBER(D8698)),D8698-C8698,"")</f>
        <v/>
      </c>
      <c r="Z8698" s="23" t="str">
        <f aca="false">IF(B8698="","",IF(MATCH(B8698,$B$2:$B$12000,0)=ROW()-1,1,0))</f>
        <v/>
      </c>
    </row>
    <row r="8699" customFormat="false" ht="15" hidden="false" customHeight="false" outlineLevel="0" collapsed="false">
      <c r="V8699" s="23" t="str">
        <f aca="false">IF(ISNUMBER(C8699),YEAR(C8699),"")</f>
        <v/>
      </c>
      <c r="W8699" s="23" t="str">
        <f aca="false">IF(ISNUMBER(C8699),MONTH(C8699),"")</f>
        <v/>
      </c>
      <c r="X8699" s="23" t="str">
        <f aca="false">IF(T8699="","",IF(T8699=0,"No discount",IF(T8699&lt;=0.2,"Low (1-20%)",IF(T8699&lt;=0.4,"Medium (21-40%)","High (&gt;40%)"))))</f>
        <v/>
      </c>
      <c r="Y8699" s="23" t="str">
        <f aca="false">IF(AND(ISNUMBER(C8699),ISNUMBER(D8699)),D8699-C8699,"")</f>
        <v/>
      </c>
      <c r="Z8699" s="23" t="str">
        <f aca="false">IF(B8699="","",IF(MATCH(B8699,$B$2:$B$12000,0)=ROW()-1,1,0))</f>
        <v/>
      </c>
    </row>
    <row r="8700" customFormat="false" ht="15" hidden="false" customHeight="false" outlineLevel="0" collapsed="false">
      <c r="V8700" s="23" t="str">
        <f aca="false">IF(ISNUMBER(C8700),YEAR(C8700),"")</f>
        <v/>
      </c>
      <c r="W8700" s="23" t="str">
        <f aca="false">IF(ISNUMBER(C8700),MONTH(C8700),"")</f>
        <v/>
      </c>
      <c r="X8700" s="23" t="str">
        <f aca="false">IF(T8700="","",IF(T8700=0,"No discount",IF(T8700&lt;=0.2,"Low (1-20%)",IF(T8700&lt;=0.4,"Medium (21-40%)","High (&gt;40%)"))))</f>
        <v/>
      </c>
      <c r="Y8700" s="23" t="str">
        <f aca="false">IF(AND(ISNUMBER(C8700),ISNUMBER(D8700)),D8700-C8700,"")</f>
        <v/>
      </c>
      <c r="Z8700" s="23" t="str">
        <f aca="false">IF(B8700="","",IF(MATCH(B8700,$B$2:$B$12000,0)=ROW()-1,1,0))</f>
        <v/>
      </c>
    </row>
    <row r="8701" customFormat="false" ht="15" hidden="false" customHeight="false" outlineLevel="0" collapsed="false">
      <c r="V8701" s="23" t="str">
        <f aca="false">IF(ISNUMBER(C8701),YEAR(C8701),"")</f>
        <v/>
      </c>
      <c r="W8701" s="23" t="str">
        <f aca="false">IF(ISNUMBER(C8701),MONTH(C8701),"")</f>
        <v/>
      </c>
      <c r="X8701" s="23" t="str">
        <f aca="false">IF(T8701="","",IF(T8701=0,"No discount",IF(T8701&lt;=0.2,"Low (1-20%)",IF(T8701&lt;=0.4,"Medium (21-40%)","High (&gt;40%)"))))</f>
        <v/>
      </c>
      <c r="Y8701" s="23" t="str">
        <f aca="false">IF(AND(ISNUMBER(C8701),ISNUMBER(D8701)),D8701-C8701,"")</f>
        <v/>
      </c>
      <c r="Z8701" s="23" t="str">
        <f aca="false">IF(B8701="","",IF(MATCH(B8701,$B$2:$B$12000,0)=ROW()-1,1,0))</f>
        <v/>
      </c>
    </row>
    <row r="8702" customFormat="false" ht="15" hidden="false" customHeight="false" outlineLevel="0" collapsed="false">
      <c r="V8702" s="23" t="str">
        <f aca="false">IF(ISNUMBER(C8702),YEAR(C8702),"")</f>
        <v/>
      </c>
      <c r="W8702" s="23" t="str">
        <f aca="false">IF(ISNUMBER(C8702),MONTH(C8702),"")</f>
        <v/>
      </c>
      <c r="X8702" s="23" t="str">
        <f aca="false">IF(T8702="","",IF(T8702=0,"No discount",IF(T8702&lt;=0.2,"Low (1-20%)",IF(T8702&lt;=0.4,"Medium (21-40%)","High (&gt;40%)"))))</f>
        <v/>
      </c>
      <c r="Y8702" s="23" t="str">
        <f aca="false">IF(AND(ISNUMBER(C8702),ISNUMBER(D8702)),D8702-C8702,"")</f>
        <v/>
      </c>
      <c r="Z8702" s="23" t="str">
        <f aca="false">IF(B8702="","",IF(MATCH(B8702,$B$2:$B$12000,0)=ROW()-1,1,0))</f>
        <v/>
      </c>
    </row>
    <row r="8703" customFormat="false" ht="15" hidden="false" customHeight="false" outlineLevel="0" collapsed="false">
      <c r="V8703" s="23" t="str">
        <f aca="false">IF(ISNUMBER(C8703),YEAR(C8703),"")</f>
        <v/>
      </c>
      <c r="W8703" s="23" t="str">
        <f aca="false">IF(ISNUMBER(C8703),MONTH(C8703),"")</f>
        <v/>
      </c>
      <c r="X8703" s="23" t="str">
        <f aca="false">IF(T8703="","",IF(T8703=0,"No discount",IF(T8703&lt;=0.2,"Low (1-20%)",IF(T8703&lt;=0.4,"Medium (21-40%)","High (&gt;40%)"))))</f>
        <v/>
      </c>
      <c r="Y8703" s="23" t="str">
        <f aca="false">IF(AND(ISNUMBER(C8703),ISNUMBER(D8703)),D8703-C8703,"")</f>
        <v/>
      </c>
      <c r="Z8703" s="23" t="str">
        <f aca="false">IF(B8703="","",IF(MATCH(B8703,$B$2:$B$12000,0)=ROW()-1,1,0))</f>
        <v/>
      </c>
    </row>
    <row r="8704" customFormat="false" ht="15" hidden="false" customHeight="false" outlineLevel="0" collapsed="false">
      <c r="V8704" s="23" t="str">
        <f aca="false">IF(ISNUMBER(C8704),YEAR(C8704),"")</f>
        <v/>
      </c>
      <c r="W8704" s="23" t="str">
        <f aca="false">IF(ISNUMBER(C8704),MONTH(C8704),"")</f>
        <v/>
      </c>
      <c r="X8704" s="23" t="str">
        <f aca="false">IF(T8704="","",IF(T8704=0,"No discount",IF(T8704&lt;=0.2,"Low (1-20%)",IF(T8704&lt;=0.4,"Medium (21-40%)","High (&gt;40%)"))))</f>
        <v/>
      </c>
      <c r="Y8704" s="23" t="str">
        <f aca="false">IF(AND(ISNUMBER(C8704),ISNUMBER(D8704)),D8704-C8704,"")</f>
        <v/>
      </c>
      <c r="Z8704" s="23" t="str">
        <f aca="false">IF(B8704="","",IF(MATCH(B8704,$B$2:$B$12000,0)=ROW()-1,1,0))</f>
        <v/>
      </c>
    </row>
    <row r="8705" customFormat="false" ht="15" hidden="false" customHeight="false" outlineLevel="0" collapsed="false">
      <c r="V8705" s="23" t="str">
        <f aca="false">IF(ISNUMBER(C8705),YEAR(C8705),"")</f>
        <v/>
      </c>
      <c r="W8705" s="23" t="str">
        <f aca="false">IF(ISNUMBER(C8705),MONTH(C8705),"")</f>
        <v/>
      </c>
      <c r="X8705" s="23" t="str">
        <f aca="false">IF(T8705="","",IF(T8705=0,"No discount",IF(T8705&lt;=0.2,"Low (1-20%)",IF(T8705&lt;=0.4,"Medium (21-40%)","High (&gt;40%)"))))</f>
        <v/>
      </c>
      <c r="Y8705" s="23" t="str">
        <f aca="false">IF(AND(ISNUMBER(C8705),ISNUMBER(D8705)),D8705-C8705,"")</f>
        <v/>
      </c>
      <c r="Z8705" s="23" t="str">
        <f aca="false">IF(B8705="","",IF(MATCH(B8705,$B$2:$B$12000,0)=ROW()-1,1,0))</f>
        <v/>
      </c>
    </row>
    <row r="8706" customFormat="false" ht="15" hidden="false" customHeight="false" outlineLevel="0" collapsed="false">
      <c r="V8706" s="23" t="str">
        <f aca="false">IF(ISNUMBER(C8706),YEAR(C8706),"")</f>
        <v/>
      </c>
      <c r="W8706" s="23" t="str">
        <f aca="false">IF(ISNUMBER(C8706),MONTH(C8706),"")</f>
        <v/>
      </c>
      <c r="X8706" s="23" t="str">
        <f aca="false">IF(T8706="","",IF(T8706=0,"No discount",IF(T8706&lt;=0.2,"Low (1-20%)",IF(T8706&lt;=0.4,"Medium (21-40%)","High (&gt;40%)"))))</f>
        <v/>
      </c>
      <c r="Y8706" s="23" t="str">
        <f aca="false">IF(AND(ISNUMBER(C8706),ISNUMBER(D8706)),D8706-C8706,"")</f>
        <v/>
      </c>
      <c r="Z8706" s="23" t="str">
        <f aca="false">IF(B8706="","",IF(MATCH(B8706,$B$2:$B$12000,0)=ROW()-1,1,0))</f>
        <v/>
      </c>
    </row>
    <row r="8707" customFormat="false" ht="15" hidden="false" customHeight="false" outlineLevel="0" collapsed="false">
      <c r="V8707" s="23" t="str">
        <f aca="false">IF(ISNUMBER(C8707),YEAR(C8707),"")</f>
        <v/>
      </c>
      <c r="W8707" s="23" t="str">
        <f aca="false">IF(ISNUMBER(C8707),MONTH(C8707),"")</f>
        <v/>
      </c>
      <c r="X8707" s="23" t="str">
        <f aca="false">IF(T8707="","",IF(T8707=0,"No discount",IF(T8707&lt;=0.2,"Low (1-20%)",IF(T8707&lt;=0.4,"Medium (21-40%)","High (&gt;40%)"))))</f>
        <v/>
      </c>
      <c r="Y8707" s="23" t="str">
        <f aca="false">IF(AND(ISNUMBER(C8707),ISNUMBER(D8707)),D8707-C8707,"")</f>
        <v/>
      </c>
      <c r="Z8707" s="23" t="str">
        <f aca="false">IF(B8707="","",IF(MATCH(B8707,$B$2:$B$12000,0)=ROW()-1,1,0))</f>
        <v/>
      </c>
    </row>
    <row r="8708" customFormat="false" ht="15" hidden="false" customHeight="false" outlineLevel="0" collapsed="false">
      <c r="V8708" s="23" t="str">
        <f aca="false">IF(ISNUMBER(C8708),YEAR(C8708),"")</f>
        <v/>
      </c>
      <c r="W8708" s="23" t="str">
        <f aca="false">IF(ISNUMBER(C8708),MONTH(C8708),"")</f>
        <v/>
      </c>
      <c r="X8708" s="23" t="str">
        <f aca="false">IF(T8708="","",IF(T8708=0,"No discount",IF(T8708&lt;=0.2,"Low (1-20%)",IF(T8708&lt;=0.4,"Medium (21-40%)","High (&gt;40%)"))))</f>
        <v/>
      </c>
      <c r="Y8708" s="23" t="str">
        <f aca="false">IF(AND(ISNUMBER(C8708),ISNUMBER(D8708)),D8708-C8708,"")</f>
        <v/>
      </c>
      <c r="Z8708" s="23" t="str">
        <f aca="false">IF(B8708="","",IF(MATCH(B8708,$B$2:$B$12000,0)=ROW()-1,1,0))</f>
        <v/>
      </c>
    </row>
    <row r="8709" customFormat="false" ht="15" hidden="false" customHeight="false" outlineLevel="0" collapsed="false">
      <c r="V8709" s="23" t="str">
        <f aca="false">IF(ISNUMBER(C8709),YEAR(C8709),"")</f>
        <v/>
      </c>
      <c r="W8709" s="23" t="str">
        <f aca="false">IF(ISNUMBER(C8709),MONTH(C8709),"")</f>
        <v/>
      </c>
      <c r="X8709" s="23" t="str">
        <f aca="false">IF(T8709="","",IF(T8709=0,"No discount",IF(T8709&lt;=0.2,"Low (1-20%)",IF(T8709&lt;=0.4,"Medium (21-40%)","High (&gt;40%)"))))</f>
        <v/>
      </c>
      <c r="Y8709" s="23" t="str">
        <f aca="false">IF(AND(ISNUMBER(C8709),ISNUMBER(D8709)),D8709-C8709,"")</f>
        <v/>
      </c>
      <c r="Z8709" s="23" t="str">
        <f aca="false">IF(B8709="","",IF(MATCH(B8709,$B$2:$B$12000,0)=ROW()-1,1,0))</f>
        <v/>
      </c>
    </row>
    <row r="8710" customFormat="false" ht="15" hidden="false" customHeight="false" outlineLevel="0" collapsed="false">
      <c r="V8710" s="23" t="str">
        <f aca="false">IF(ISNUMBER(C8710),YEAR(C8710),"")</f>
        <v/>
      </c>
      <c r="W8710" s="23" t="str">
        <f aca="false">IF(ISNUMBER(C8710),MONTH(C8710),"")</f>
        <v/>
      </c>
      <c r="X8710" s="23" t="str">
        <f aca="false">IF(T8710="","",IF(T8710=0,"No discount",IF(T8710&lt;=0.2,"Low (1-20%)",IF(T8710&lt;=0.4,"Medium (21-40%)","High (&gt;40%)"))))</f>
        <v/>
      </c>
      <c r="Y8710" s="23" t="str">
        <f aca="false">IF(AND(ISNUMBER(C8710),ISNUMBER(D8710)),D8710-C8710,"")</f>
        <v/>
      </c>
      <c r="Z8710" s="23" t="str">
        <f aca="false">IF(B8710="","",IF(MATCH(B8710,$B$2:$B$12000,0)=ROW()-1,1,0))</f>
        <v/>
      </c>
    </row>
    <row r="8711" customFormat="false" ht="15" hidden="false" customHeight="false" outlineLevel="0" collapsed="false">
      <c r="V8711" s="23" t="str">
        <f aca="false">IF(ISNUMBER(C8711),YEAR(C8711),"")</f>
        <v/>
      </c>
      <c r="W8711" s="23" t="str">
        <f aca="false">IF(ISNUMBER(C8711),MONTH(C8711),"")</f>
        <v/>
      </c>
      <c r="X8711" s="23" t="str">
        <f aca="false">IF(T8711="","",IF(T8711=0,"No discount",IF(T8711&lt;=0.2,"Low (1-20%)",IF(T8711&lt;=0.4,"Medium (21-40%)","High (&gt;40%)"))))</f>
        <v/>
      </c>
      <c r="Y8711" s="23" t="str">
        <f aca="false">IF(AND(ISNUMBER(C8711),ISNUMBER(D8711)),D8711-C8711,"")</f>
        <v/>
      </c>
      <c r="Z8711" s="23" t="str">
        <f aca="false">IF(B8711="","",IF(MATCH(B8711,$B$2:$B$12000,0)=ROW()-1,1,0))</f>
        <v/>
      </c>
    </row>
    <row r="8712" customFormat="false" ht="15" hidden="false" customHeight="false" outlineLevel="0" collapsed="false">
      <c r="V8712" s="23" t="str">
        <f aca="false">IF(ISNUMBER(C8712),YEAR(C8712),"")</f>
        <v/>
      </c>
      <c r="W8712" s="23" t="str">
        <f aca="false">IF(ISNUMBER(C8712),MONTH(C8712),"")</f>
        <v/>
      </c>
      <c r="X8712" s="23" t="str">
        <f aca="false">IF(T8712="","",IF(T8712=0,"No discount",IF(T8712&lt;=0.2,"Low (1-20%)",IF(T8712&lt;=0.4,"Medium (21-40%)","High (&gt;40%)"))))</f>
        <v/>
      </c>
      <c r="Y8712" s="23" t="str">
        <f aca="false">IF(AND(ISNUMBER(C8712),ISNUMBER(D8712)),D8712-C8712,"")</f>
        <v/>
      </c>
      <c r="Z8712" s="23" t="str">
        <f aca="false">IF(B8712="","",IF(MATCH(B8712,$B$2:$B$12000,0)=ROW()-1,1,0))</f>
        <v/>
      </c>
    </row>
    <row r="8713" customFormat="false" ht="15" hidden="false" customHeight="false" outlineLevel="0" collapsed="false">
      <c r="V8713" s="23" t="str">
        <f aca="false">IF(ISNUMBER(C8713),YEAR(C8713),"")</f>
        <v/>
      </c>
      <c r="W8713" s="23" t="str">
        <f aca="false">IF(ISNUMBER(C8713),MONTH(C8713),"")</f>
        <v/>
      </c>
      <c r="X8713" s="23" t="str">
        <f aca="false">IF(T8713="","",IF(T8713=0,"No discount",IF(T8713&lt;=0.2,"Low (1-20%)",IF(T8713&lt;=0.4,"Medium (21-40%)","High (&gt;40%)"))))</f>
        <v/>
      </c>
      <c r="Y8713" s="23" t="str">
        <f aca="false">IF(AND(ISNUMBER(C8713),ISNUMBER(D8713)),D8713-C8713,"")</f>
        <v/>
      </c>
      <c r="Z8713" s="23" t="str">
        <f aca="false">IF(B8713="","",IF(MATCH(B8713,$B$2:$B$12000,0)=ROW()-1,1,0))</f>
        <v/>
      </c>
    </row>
    <row r="8714" customFormat="false" ht="15" hidden="false" customHeight="false" outlineLevel="0" collapsed="false">
      <c r="V8714" s="23" t="str">
        <f aca="false">IF(ISNUMBER(C8714),YEAR(C8714),"")</f>
        <v/>
      </c>
      <c r="W8714" s="23" t="str">
        <f aca="false">IF(ISNUMBER(C8714),MONTH(C8714),"")</f>
        <v/>
      </c>
      <c r="X8714" s="23" t="str">
        <f aca="false">IF(T8714="","",IF(T8714=0,"No discount",IF(T8714&lt;=0.2,"Low (1-20%)",IF(T8714&lt;=0.4,"Medium (21-40%)","High (&gt;40%)"))))</f>
        <v/>
      </c>
      <c r="Y8714" s="23" t="str">
        <f aca="false">IF(AND(ISNUMBER(C8714),ISNUMBER(D8714)),D8714-C8714,"")</f>
        <v/>
      </c>
      <c r="Z8714" s="23" t="str">
        <f aca="false">IF(B8714="","",IF(MATCH(B8714,$B$2:$B$12000,0)=ROW()-1,1,0))</f>
        <v/>
      </c>
    </row>
    <row r="8715" customFormat="false" ht="15" hidden="false" customHeight="false" outlineLevel="0" collapsed="false">
      <c r="V8715" s="23" t="str">
        <f aca="false">IF(ISNUMBER(C8715),YEAR(C8715),"")</f>
        <v/>
      </c>
      <c r="W8715" s="23" t="str">
        <f aca="false">IF(ISNUMBER(C8715),MONTH(C8715),"")</f>
        <v/>
      </c>
      <c r="X8715" s="23" t="str">
        <f aca="false">IF(T8715="","",IF(T8715=0,"No discount",IF(T8715&lt;=0.2,"Low (1-20%)",IF(T8715&lt;=0.4,"Medium (21-40%)","High (&gt;40%)"))))</f>
        <v/>
      </c>
      <c r="Y8715" s="23" t="str">
        <f aca="false">IF(AND(ISNUMBER(C8715),ISNUMBER(D8715)),D8715-C8715,"")</f>
        <v/>
      </c>
      <c r="Z8715" s="23" t="str">
        <f aca="false">IF(B8715="","",IF(MATCH(B8715,$B$2:$B$12000,0)=ROW()-1,1,0))</f>
        <v/>
      </c>
    </row>
    <row r="8716" customFormat="false" ht="15" hidden="false" customHeight="false" outlineLevel="0" collapsed="false">
      <c r="V8716" s="23" t="str">
        <f aca="false">IF(ISNUMBER(C8716),YEAR(C8716),"")</f>
        <v/>
      </c>
      <c r="W8716" s="23" t="str">
        <f aca="false">IF(ISNUMBER(C8716),MONTH(C8716),"")</f>
        <v/>
      </c>
      <c r="X8716" s="23" t="str">
        <f aca="false">IF(T8716="","",IF(T8716=0,"No discount",IF(T8716&lt;=0.2,"Low (1-20%)",IF(T8716&lt;=0.4,"Medium (21-40%)","High (&gt;40%)"))))</f>
        <v/>
      </c>
      <c r="Y8716" s="23" t="str">
        <f aca="false">IF(AND(ISNUMBER(C8716),ISNUMBER(D8716)),D8716-C8716,"")</f>
        <v/>
      </c>
      <c r="Z8716" s="23" t="str">
        <f aca="false">IF(B8716="","",IF(MATCH(B8716,$B$2:$B$12000,0)=ROW()-1,1,0))</f>
        <v/>
      </c>
    </row>
    <row r="8717" customFormat="false" ht="15" hidden="false" customHeight="false" outlineLevel="0" collapsed="false">
      <c r="V8717" s="23" t="str">
        <f aca="false">IF(ISNUMBER(C8717),YEAR(C8717),"")</f>
        <v/>
      </c>
      <c r="W8717" s="23" t="str">
        <f aca="false">IF(ISNUMBER(C8717),MONTH(C8717),"")</f>
        <v/>
      </c>
      <c r="X8717" s="23" t="str">
        <f aca="false">IF(T8717="","",IF(T8717=0,"No discount",IF(T8717&lt;=0.2,"Low (1-20%)",IF(T8717&lt;=0.4,"Medium (21-40%)","High (&gt;40%)"))))</f>
        <v/>
      </c>
      <c r="Y8717" s="23" t="str">
        <f aca="false">IF(AND(ISNUMBER(C8717),ISNUMBER(D8717)),D8717-C8717,"")</f>
        <v/>
      </c>
      <c r="Z8717" s="23" t="str">
        <f aca="false">IF(B8717="","",IF(MATCH(B8717,$B$2:$B$12000,0)=ROW()-1,1,0))</f>
        <v/>
      </c>
    </row>
    <row r="8718" customFormat="false" ht="15" hidden="false" customHeight="false" outlineLevel="0" collapsed="false">
      <c r="V8718" s="23" t="str">
        <f aca="false">IF(ISNUMBER(C8718),YEAR(C8718),"")</f>
        <v/>
      </c>
      <c r="W8718" s="23" t="str">
        <f aca="false">IF(ISNUMBER(C8718),MONTH(C8718),"")</f>
        <v/>
      </c>
      <c r="X8718" s="23" t="str">
        <f aca="false">IF(T8718="","",IF(T8718=0,"No discount",IF(T8718&lt;=0.2,"Low (1-20%)",IF(T8718&lt;=0.4,"Medium (21-40%)","High (&gt;40%)"))))</f>
        <v/>
      </c>
      <c r="Y8718" s="23" t="str">
        <f aca="false">IF(AND(ISNUMBER(C8718),ISNUMBER(D8718)),D8718-C8718,"")</f>
        <v/>
      </c>
      <c r="Z8718" s="23" t="str">
        <f aca="false">IF(B8718="","",IF(MATCH(B8718,$B$2:$B$12000,0)=ROW()-1,1,0))</f>
        <v/>
      </c>
    </row>
    <row r="8719" customFormat="false" ht="15" hidden="false" customHeight="false" outlineLevel="0" collapsed="false">
      <c r="V8719" s="23" t="str">
        <f aca="false">IF(ISNUMBER(C8719),YEAR(C8719),"")</f>
        <v/>
      </c>
      <c r="W8719" s="23" t="str">
        <f aca="false">IF(ISNUMBER(C8719),MONTH(C8719),"")</f>
        <v/>
      </c>
      <c r="X8719" s="23" t="str">
        <f aca="false">IF(T8719="","",IF(T8719=0,"No discount",IF(T8719&lt;=0.2,"Low (1-20%)",IF(T8719&lt;=0.4,"Medium (21-40%)","High (&gt;40%)"))))</f>
        <v/>
      </c>
      <c r="Y8719" s="23" t="str">
        <f aca="false">IF(AND(ISNUMBER(C8719),ISNUMBER(D8719)),D8719-C8719,"")</f>
        <v/>
      </c>
      <c r="Z8719" s="23" t="str">
        <f aca="false">IF(B8719="","",IF(MATCH(B8719,$B$2:$B$12000,0)=ROW()-1,1,0))</f>
        <v/>
      </c>
    </row>
    <row r="8720" customFormat="false" ht="15" hidden="false" customHeight="false" outlineLevel="0" collapsed="false">
      <c r="V8720" s="23" t="str">
        <f aca="false">IF(ISNUMBER(C8720),YEAR(C8720),"")</f>
        <v/>
      </c>
      <c r="W8720" s="23" t="str">
        <f aca="false">IF(ISNUMBER(C8720),MONTH(C8720),"")</f>
        <v/>
      </c>
      <c r="X8720" s="23" t="str">
        <f aca="false">IF(T8720="","",IF(T8720=0,"No discount",IF(T8720&lt;=0.2,"Low (1-20%)",IF(T8720&lt;=0.4,"Medium (21-40%)","High (&gt;40%)"))))</f>
        <v/>
      </c>
      <c r="Y8720" s="23" t="str">
        <f aca="false">IF(AND(ISNUMBER(C8720),ISNUMBER(D8720)),D8720-C8720,"")</f>
        <v/>
      </c>
      <c r="Z8720" s="23" t="str">
        <f aca="false">IF(B8720="","",IF(MATCH(B8720,$B$2:$B$12000,0)=ROW()-1,1,0))</f>
        <v/>
      </c>
    </row>
    <row r="8721" customFormat="false" ht="15" hidden="false" customHeight="false" outlineLevel="0" collapsed="false">
      <c r="V8721" s="23" t="str">
        <f aca="false">IF(ISNUMBER(C8721),YEAR(C8721),"")</f>
        <v/>
      </c>
      <c r="W8721" s="23" t="str">
        <f aca="false">IF(ISNUMBER(C8721),MONTH(C8721),"")</f>
        <v/>
      </c>
      <c r="X8721" s="23" t="str">
        <f aca="false">IF(T8721="","",IF(T8721=0,"No discount",IF(T8721&lt;=0.2,"Low (1-20%)",IF(T8721&lt;=0.4,"Medium (21-40%)","High (&gt;40%)"))))</f>
        <v/>
      </c>
      <c r="Y8721" s="23" t="str">
        <f aca="false">IF(AND(ISNUMBER(C8721),ISNUMBER(D8721)),D8721-C8721,"")</f>
        <v/>
      </c>
      <c r="Z8721" s="23" t="str">
        <f aca="false">IF(B8721="","",IF(MATCH(B8721,$B$2:$B$12000,0)=ROW()-1,1,0))</f>
        <v/>
      </c>
    </row>
    <row r="8722" customFormat="false" ht="15" hidden="false" customHeight="false" outlineLevel="0" collapsed="false">
      <c r="V8722" s="23" t="str">
        <f aca="false">IF(ISNUMBER(C8722),YEAR(C8722),"")</f>
        <v/>
      </c>
      <c r="W8722" s="23" t="str">
        <f aca="false">IF(ISNUMBER(C8722),MONTH(C8722),"")</f>
        <v/>
      </c>
      <c r="X8722" s="23" t="str">
        <f aca="false">IF(T8722="","",IF(T8722=0,"No discount",IF(T8722&lt;=0.2,"Low (1-20%)",IF(T8722&lt;=0.4,"Medium (21-40%)","High (&gt;40%)"))))</f>
        <v/>
      </c>
      <c r="Y8722" s="23" t="str">
        <f aca="false">IF(AND(ISNUMBER(C8722),ISNUMBER(D8722)),D8722-C8722,"")</f>
        <v/>
      </c>
      <c r="Z8722" s="23" t="str">
        <f aca="false">IF(B8722="","",IF(MATCH(B8722,$B$2:$B$12000,0)=ROW()-1,1,0))</f>
        <v/>
      </c>
    </row>
    <row r="8723" customFormat="false" ht="15" hidden="false" customHeight="false" outlineLevel="0" collapsed="false">
      <c r="V8723" s="23" t="str">
        <f aca="false">IF(ISNUMBER(C8723),YEAR(C8723),"")</f>
        <v/>
      </c>
      <c r="W8723" s="23" t="str">
        <f aca="false">IF(ISNUMBER(C8723),MONTH(C8723),"")</f>
        <v/>
      </c>
      <c r="X8723" s="23" t="str">
        <f aca="false">IF(T8723="","",IF(T8723=0,"No discount",IF(T8723&lt;=0.2,"Low (1-20%)",IF(T8723&lt;=0.4,"Medium (21-40%)","High (&gt;40%)"))))</f>
        <v/>
      </c>
      <c r="Y8723" s="23" t="str">
        <f aca="false">IF(AND(ISNUMBER(C8723),ISNUMBER(D8723)),D8723-C8723,"")</f>
        <v/>
      </c>
      <c r="Z8723" s="23" t="str">
        <f aca="false">IF(B8723="","",IF(MATCH(B8723,$B$2:$B$12000,0)=ROW()-1,1,0))</f>
        <v/>
      </c>
    </row>
    <row r="8724" customFormat="false" ht="15" hidden="false" customHeight="false" outlineLevel="0" collapsed="false">
      <c r="V8724" s="23" t="str">
        <f aca="false">IF(ISNUMBER(C8724),YEAR(C8724),"")</f>
        <v/>
      </c>
      <c r="W8724" s="23" t="str">
        <f aca="false">IF(ISNUMBER(C8724),MONTH(C8724),"")</f>
        <v/>
      </c>
      <c r="X8724" s="23" t="str">
        <f aca="false">IF(T8724="","",IF(T8724=0,"No discount",IF(T8724&lt;=0.2,"Low (1-20%)",IF(T8724&lt;=0.4,"Medium (21-40%)","High (&gt;40%)"))))</f>
        <v/>
      </c>
      <c r="Y8724" s="23" t="str">
        <f aca="false">IF(AND(ISNUMBER(C8724),ISNUMBER(D8724)),D8724-C8724,"")</f>
        <v/>
      </c>
      <c r="Z8724" s="23" t="str">
        <f aca="false">IF(B8724="","",IF(MATCH(B8724,$B$2:$B$12000,0)=ROW()-1,1,0))</f>
        <v/>
      </c>
    </row>
    <row r="8725" customFormat="false" ht="15" hidden="false" customHeight="false" outlineLevel="0" collapsed="false">
      <c r="V8725" s="23" t="str">
        <f aca="false">IF(ISNUMBER(C8725),YEAR(C8725),"")</f>
        <v/>
      </c>
      <c r="W8725" s="23" t="str">
        <f aca="false">IF(ISNUMBER(C8725),MONTH(C8725),"")</f>
        <v/>
      </c>
      <c r="X8725" s="23" t="str">
        <f aca="false">IF(T8725="","",IF(T8725=0,"No discount",IF(T8725&lt;=0.2,"Low (1-20%)",IF(T8725&lt;=0.4,"Medium (21-40%)","High (&gt;40%)"))))</f>
        <v/>
      </c>
      <c r="Y8725" s="23" t="str">
        <f aca="false">IF(AND(ISNUMBER(C8725),ISNUMBER(D8725)),D8725-C8725,"")</f>
        <v/>
      </c>
      <c r="Z8725" s="23" t="str">
        <f aca="false">IF(B8725="","",IF(MATCH(B8725,$B$2:$B$12000,0)=ROW()-1,1,0))</f>
        <v/>
      </c>
    </row>
    <row r="8726" customFormat="false" ht="15" hidden="false" customHeight="false" outlineLevel="0" collapsed="false">
      <c r="V8726" s="23" t="str">
        <f aca="false">IF(ISNUMBER(C8726),YEAR(C8726),"")</f>
        <v/>
      </c>
      <c r="W8726" s="23" t="str">
        <f aca="false">IF(ISNUMBER(C8726),MONTH(C8726),"")</f>
        <v/>
      </c>
      <c r="X8726" s="23" t="str">
        <f aca="false">IF(T8726="","",IF(T8726=0,"No discount",IF(T8726&lt;=0.2,"Low (1-20%)",IF(T8726&lt;=0.4,"Medium (21-40%)","High (&gt;40%)"))))</f>
        <v/>
      </c>
      <c r="Y8726" s="23" t="str">
        <f aca="false">IF(AND(ISNUMBER(C8726),ISNUMBER(D8726)),D8726-C8726,"")</f>
        <v/>
      </c>
      <c r="Z8726" s="23" t="str">
        <f aca="false">IF(B8726="","",IF(MATCH(B8726,$B$2:$B$12000,0)=ROW()-1,1,0))</f>
        <v/>
      </c>
    </row>
    <row r="8727" customFormat="false" ht="15" hidden="false" customHeight="false" outlineLevel="0" collapsed="false">
      <c r="V8727" s="23" t="str">
        <f aca="false">IF(ISNUMBER(C8727),YEAR(C8727),"")</f>
        <v/>
      </c>
      <c r="W8727" s="23" t="str">
        <f aca="false">IF(ISNUMBER(C8727),MONTH(C8727),"")</f>
        <v/>
      </c>
      <c r="X8727" s="23" t="str">
        <f aca="false">IF(T8727="","",IF(T8727=0,"No discount",IF(T8727&lt;=0.2,"Low (1-20%)",IF(T8727&lt;=0.4,"Medium (21-40%)","High (&gt;40%)"))))</f>
        <v/>
      </c>
      <c r="Y8727" s="23" t="str">
        <f aca="false">IF(AND(ISNUMBER(C8727),ISNUMBER(D8727)),D8727-C8727,"")</f>
        <v/>
      </c>
      <c r="Z8727" s="23" t="str">
        <f aca="false">IF(B8727="","",IF(MATCH(B8727,$B$2:$B$12000,0)=ROW()-1,1,0))</f>
        <v/>
      </c>
    </row>
    <row r="8728" customFormat="false" ht="15" hidden="false" customHeight="false" outlineLevel="0" collapsed="false">
      <c r="V8728" s="23" t="str">
        <f aca="false">IF(ISNUMBER(C8728),YEAR(C8728),"")</f>
        <v/>
      </c>
      <c r="W8728" s="23" t="str">
        <f aca="false">IF(ISNUMBER(C8728),MONTH(C8728),"")</f>
        <v/>
      </c>
      <c r="X8728" s="23" t="str">
        <f aca="false">IF(T8728="","",IF(T8728=0,"No discount",IF(T8728&lt;=0.2,"Low (1-20%)",IF(T8728&lt;=0.4,"Medium (21-40%)","High (&gt;40%)"))))</f>
        <v/>
      </c>
      <c r="Y8728" s="23" t="str">
        <f aca="false">IF(AND(ISNUMBER(C8728),ISNUMBER(D8728)),D8728-C8728,"")</f>
        <v/>
      </c>
      <c r="Z8728" s="23" t="str">
        <f aca="false">IF(B8728="","",IF(MATCH(B8728,$B$2:$B$12000,0)=ROW()-1,1,0))</f>
        <v/>
      </c>
    </row>
    <row r="8729" customFormat="false" ht="15" hidden="false" customHeight="false" outlineLevel="0" collapsed="false">
      <c r="V8729" s="23" t="str">
        <f aca="false">IF(ISNUMBER(C8729),YEAR(C8729),"")</f>
        <v/>
      </c>
      <c r="W8729" s="23" t="str">
        <f aca="false">IF(ISNUMBER(C8729),MONTH(C8729),"")</f>
        <v/>
      </c>
      <c r="X8729" s="23" t="str">
        <f aca="false">IF(T8729="","",IF(T8729=0,"No discount",IF(T8729&lt;=0.2,"Low (1-20%)",IF(T8729&lt;=0.4,"Medium (21-40%)","High (&gt;40%)"))))</f>
        <v/>
      </c>
      <c r="Y8729" s="23" t="str">
        <f aca="false">IF(AND(ISNUMBER(C8729),ISNUMBER(D8729)),D8729-C8729,"")</f>
        <v/>
      </c>
      <c r="Z8729" s="23" t="str">
        <f aca="false">IF(B8729="","",IF(MATCH(B8729,$B$2:$B$12000,0)=ROW()-1,1,0))</f>
        <v/>
      </c>
    </row>
    <row r="8730" customFormat="false" ht="15" hidden="false" customHeight="false" outlineLevel="0" collapsed="false">
      <c r="V8730" s="23" t="str">
        <f aca="false">IF(ISNUMBER(C8730),YEAR(C8730),"")</f>
        <v/>
      </c>
      <c r="W8730" s="23" t="str">
        <f aca="false">IF(ISNUMBER(C8730),MONTH(C8730),"")</f>
        <v/>
      </c>
      <c r="X8730" s="23" t="str">
        <f aca="false">IF(T8730="","",IF(T8730=0,"No discount",IF(T8730&lt;=0.2,"Low (1-20%)",IF(T8730&lt;=0.4,"Medium (21-40%)","High (&gt;40%)"))))</f>
        <v/>
      </c>
      <c r="Y8730" s="23" t="str">
        <f aca="false">IF(AND(ISNUMBER(C8730),ISNUMBER(D8730)),D8730-C8730,"")</f>
        <v/>
      </c>
      <c r="Z8730" s="23" t="str">
        <f aca="false">IF(B8730="","",IF(MATCH(B8730,$B$2:$B$12000,0)=ROW()-1,1,0))</f>
        <v/>
      </c>
    </row>
    <row r="8731" customFormat="false" ht="15" hidden="false" customHeight="false" outlineLevel="0" collapsed="false">
      <c r="V8731" s="23" t="str">
        <f aca="false">IF(ISNUMBER(C8731),YEAR(C8731),"")</f>
        <v/>
      </c>
      <c r="W8731" s="23" t="str">
        <f aca="false">IF(ISNUMBER(C8731),MONTH(C8731),"")</f>
        <v/>
      </c>
      <c r="X8731" s="23" t="str">
        <f aca="false">IF(T8731="","",IF(T8731=0,"No discount",IF(T8731&lt;=0.2,"Low (1-20%)",IF(T8731&lt;=0.4,"Medium (21-40%)","High (&gt;40%)"))))</f>
        <v/>
      </c>
      <c r="Y8731" s="23" t="str">
        <f aca="false">IF(AND(ISNUMBER(C8731),ISNUMBER(D8731)),D8731-C8731,"")</f>
        <v/>
      </c>
      <c r="Z8731" s="23" t="str">
        <f aca="false">IF(B8731="","",IF(MATCH(B8731,$B$2:$B$12000,0)=ROW()-1,1,0))</f>
        <v/>
      </c>
    </row>
    <row r="8732" customFormat="false" ht="15" hidden="false" customHeight="false" outlineLevel="0" collapsed="false">
      <c r="V8732" s="23" t="str">
        <f aca="false">IF(ISNUMBER(C8732),YEAR(C8732),"")</f>
        <v/>
      </c>
      <c r="W8732" s="23" t="str">
        <f aca="false">IF(ISNUMBER(C8732),MONTH(C8732),"")</f>
        <v/>
      </c>
      <c r="X8732" s="23" t="str">
        <f aca="false">IF(T8732="","",IF(T8732=0,"No discount",IF(T8732&lt;=0.2,"Low (1-20%)",IF(T8732&lt;=0.4,"Medium (21-40%)","High (&gt;40%)"))))</f>
        <v/>
      </c>
      <c r="Y8732" s="23" t="str">
        <f aca="false">IF(AND(ISNUMBER(C8732),ISNUMBER(D8732)),D8732-C8732,"")</f>
        <v/>
      </c>
      <c r="Z8732" s="23" t="str">
        <f aca="false">IF(B8732="","",IF(MATCH(B8732,$B$2:$B$12000,0)=ROW()-1,1,0))</f>
        <v/>
      </c>
    </row>
    <row r="8733" customFormat="false" ht="15" hidden="false" customHeight="false" outlineLevel="0" collapsed="false">
      <c r="V8733" s="23" t="str">
        <f aca="false">IF(ISNUMBER(C8733),YEAR(C8733),"")</f>
        <v/>
      </c>
      <c r="W8733" s="23" t="str">
        <f aca="false">IF(ISNUMBER(C8733),MONTH(C8733),"")</f>
        <v/>
      </c>
      <c r="X8733" s="23" t="str">
        <f aca="false">IF(T8733="","",IF(T8733=0,"No discount",IF(T8733&lt;=0.2,"Low (1-20%)",IF(T8733&lt;=0.4,"Medium (21-40%)","High (&gt;40%)"))))</f>
        <v/>
      </c>
      <c r="Y8733" s="23" t="str">
        <f aca="false">IF(AND(ISNUMBER(C8733),ISNUMBER(D8733)),D8733-C8733,"")</f>
        <v/>
      </c>
      <c r="Z8733" s="23" t="str">
        <f aca="false">IF(B8733="","",IF(MATCH(B8733,$B$2:$B$12000,0)=ROW()-1,1,0))</f>
        <v/>
      </c>
    </row>
    <row r="8734" customFormat="false" ht="15" hidden="false" customHeight="false" outlineLevel="0" collapsed="false">
      <c r="V8734" s="23" t="str">
        <f aca="false">IF(ISNUMBER(C8734),YEAR(C8734),"")</f>
        <v/>
      </c>
      <c r="W8734" s="23" t="str">
        <f aca="false">IF(ISNUMBER(C8734),MONTH(C8734),"")</f>
        <v/>
      </c>
      <c r="X8734" s="23" t="str">
        <f aca="false">IF(T8734="","",IF(T8734=0,"No discount",IF(T8734&lt;=0.2,"Low (1-20%)",IF(T8734&lt;=0.4,"Medium (21-40%)","High (&gt;40%)"))))</f>
        <v/>
      </c>
      <c r="Y8734" s="23" t="str">
        <f aca="false">IF(AND(ISNUMBER(C8734),ISNUMBER(D8734)),D8734-C8734,"")</f>
        <v/>
      </c>
      <c r="Z8734" s="23" t="str">
        <f aca="false">IF(B8734="","",IF(MATCH(B8734,$B$2:$B$12000,0)=ROW()-1,1,0))</f>
        <v/>
      </c>
    </row>
    <row r="8735" customFormat="false" ht="15" hidden="false" customHeight="false" outlineLevel="0" collapsed="false">
      <c r="V8735" s="23" t="str">
        <f aca="false">IF(ISNUMBER(C8735),YEAR(C8735),"")</f>
        <v/>
      </c>
      <c r="W8735" s="23" t="str">
        <f aca="false">IF(ISNUMBER(C8735),MONTH(C8735),"")</f>
        <v/>
      </c>
      <c r="X8735" s="23" t="str">
        <f aca="false">IF(T8735="","",IF(T8735=0,"No discount",IF(T8735&lt;=0.2,"Low (1-20%)",IF(T8735&lt;=0.4,"Medium (21-40%)","High (&gt;40%)"))))</f>
        <v/>
      </c>
      <c r="Y8735" s="23" t="str">
        <f aca="false">IF(AND(ISNUMBER(C8735),ISNUMBER(D8735)),D8735-C8735,"")</f>
        <v/>
      </c>
      <c r="Z8735" s="23" t="str">
        <f aca="false">IF(B8735="","",IF(MATCH(B8735,$B$2:$B$12000,0)=ROW()-1,1,0))</f>
        <v/>
      </c>
    </row>
    <row r="8736" customFormat="false" ht="15" hidden="false" customHeight="false" outlineLevel="0" collapsed="false">
      <c r="V8736" s="23" t="str">
        <f aca="false">IF(ISNUMBER(C8736),YEAR(C8736),"")</f>
        <v/>
      </c>
      <c r="W8736" s="23" t="str">
        <f aca="false">IF(ISNUMBER(C8736),MONTH(C8736),"")</f>
        <v/>
      </c>
      <c r="X8736" s="23" t="str">
        <f aca="false">IF(T8736="","",IF(T8736=0,"No discount",IF(T8736&lt;=0.2,"Low (1-20%)",IF(T8736&lt;=0.4,"Medium (21-40%)","High (&gt;40%)"))))</f>
        <v/>
      </c>
      <c r="Y8736" s="23" t="str">
        <f aca="false">IF(AND(ISNUMBER(C8736),ISNUMBER(D8736)),D8736-C8736,"")</f>
        <v/>
      </c>
      <c r="Z8736" s="23" t="str">
        <f aca="false">IF(B8736="","",IF(MATCH(B8736,$B$2:$B$12000,0)=ROW()-1,1,0))</f>
        <v/>
      </c>
    </row>
    <row r="8737" customFormat="false" ht="15" hidden="false" customHeight="false" outlineLevel="0" collapsed="false">
      <c r="V8737" s="23" t="str">
        <f aca="false">IF(ISNUMBER(C8737),YEAR(C8737),"")</f>
        <v/>
      </c>
      <c r="W8737" s="23" t="str">
        <f aca="false">IF(ISNUMBER(C8737),MONTH(C8737),"")</f>
        <v/>
      </c>
      <c r="X8737" s="23" t="str">
        <f aca="false">IF(T8737="","",IF(T8737=0,"No discount",IF(T8737&lt;=0.2,"Low (1-20%)",IF(T8737&lt;=0.4,"Medium (21-40%)","High (&gt;40%)"))))</f>
        <v/>
      </c>
      <c r="Y8737" s="23" t="str">
        <f aca="false">IF(AND(ISNUMBER(C8737),ISNUMBER(D8737)),D8737-C8737,"")</f>
        <v/>
      </c>
      <c r="Z8737" s="23" t="str">
        <f aca="false">IF(B8737="","",IF(MATCH(B8737,$B$2:$B$12000,0)=ROW()-1,1,0))</f>
        <v/>
      </c>
    </row>
    <row r="8738" customFormat="false" ht="15" hidden="false" customHeight="false" outlineLevel="0" collapsed="false">
      <c r="V8738" s="23" t="str">
        <f aca="false">IF(ISNUMBER(C8738),YEAR(C8738),"")</f>
        <v/>
      </c>
      <c r="W8738" s="23" t="str">
        <f aca="false">IF(ISNUMBER(C8738),MONTH(C8738),"")</f>
        <v/>
      </c>
      <c r="X8738" s="23" t="str">
        <f aca="false">IF(T8738="","",IF(T8738=0,"No discount",IF(T8738&lt;=0.2,"Low (1-20%)",IF(T8738&lt;=0.4,"Medium (21-40%)","High (&gt;40%)"))))</f>
        <v/>
      </c>
      <c r="Y8738" s="23" t="str">
        <f aca="false">IF(AND(ISNUMBER(C8738),ISNUMBER(D8738)),D8738-C8738,"")</f>
        <v/>
      </c>
      <c r="Z8738" s="23" t="str">
        <f aca="false">IF(B8738="","",IF(MATCH(B8738,$B$2:$B$12000,0)=ROW()-1,1,0))</f>
        <v/>
      </c>
    </row>
    <row r="8739" customFormat="false" ht="15" hidden="false" customHeight="false" outlineLevel="0" collapsed="false">
      <c r="V8739" s="23" t="str">
        <f aca="false">IF(ISNUMBER(C8739),YEAR(C8739),"")</f>
        <v/>
      </c>
      <c r="W8739" s="23" t="str">
        <f aca="false">IF(ISNUMBER(C8739),MONTH(C8739),"")</f>
        <v/>
      </c>
      <c r="X8739" s="23" t="str">
        <f aca="false">IF(T8739="","",IF(T8739=0,"No discount",IF(T8739&lt;=0.2,"Low (1-20%)",IF(T8739&lt;=0.4,"Medium (21-40%)","High (&gt;40%)"))))</f>
        <v/>
      </c>
      <c r="Y8739" s="23" t="str">
        <f aca="false">IF(AND(ISNUMBER(C8739),ISNUMBER(D8739)),D8739-C8739,"")</f>
        <v/>
      </c>
      <c r="Z8739" s="23" t="str">
        <f aca="false">IF(B8739="","",IF(MATCH(B8739,$B$2:$B$12000,0)=ROW()-1,1,0))</f>
        <v/>
      </c>
    </row>
    <row r="8740" customFormat="false" ht="15" hidden="false" customHeight="false" outlineLevel="0" collapsed="false">
      <c r="V8740" s="23" t="str">
        <f aca="false">IF(ISNUMBER(C8740),YEAR(C8740),"")</f>
        <v/>
      </c>
      <c r="W8740" s="23" t="str">
        <f aca="false">IF(ISNUMBER(C8740),MONTH(C8740),"")</f>
        <v/>
      </c>
      <c r="X8740" s="23" t="str">
        <f aca="false">IF(T8740="","",IF(T8740=0,"No discount",IF(T8740&lt;=0.2,"Low (1-20%)",IF(T8740&lt;=0.4,"Medium (21-40%)","High (&gt;40%)"))))</f>
        <v/>
      </c>
      <c r="Y8740" s="23" t="str">
        <f aca="false">IF(AND(ISNUMBER(C8740),ISNUMBER(D8740)),D8740-C8740,"")</f>
        <v/>
      </c>
      <c r="Z8740" s="23" t="str">
        <f aca="false">IF(B8740="","",IF(MATCH(B8740,$B$2:$B$12000,0)=ROW()-1,1,0))</f>
        <v/>
      </c>
    </row>
    <row r="8741" customFormat="false" ht="15" hidden="false" customHeight="false" outlineLevel="0" collapsed="false">
      <c r="V8741" s="23" t="str">
        <f aca="false">IF(ISNUMBER(C8741),YEAR(C8741),"")</f>
        <v/>
      </c>
      <c r="W8741" s="23" t="str">
        <f aca="false">IF(ISNUMBER(C8741),MONTH(C8741),"")</f>
        <v/>
      </c>
      <c r="X8741" s="23" t="str">
        <f aca="false">IF(T8741="","",IF(T8741=0,"No discount",IF(T8741&lt;=0.2,"Low (1-20%)",IF(T8741&lt;=0.4,"Medium (21-40%)","High (&gt;40%)"))))</f>
        <v/>
      </c>
      <c r="Y8741" s="23" t="str">
        <f aca="false">IF(AND(ISNUMBER(C8741),ISNUMBER(D8741)),D8741-C8741,"")</f>
        <v/>
      </c>
      <c r="Z8741" s="23" t="str">
        <f aca="false">IF(B8741="","",IF(MATCH(B8741,$B$2:$B$12000,0)=ROW()-1,1,0))</f>
        <v/>
      </c>
    </row>
    <row r="8742" customFormat="false" ht="15" hidden="false" customHeight="false" outlineLevel="0" collapsed="false">
      <c r="V8742" s="23" t="str">
        <f aca="false">IF(ISNUMBER(C8742),YEAR(C8742),"")</f>
        <v/>
      </c>
      <c r="W8742" s="23" t="str">
        <f aca="false">IF(ISNUMBER(C8742),MONTH(C8742),"")</f>
        <v/>
      </c>
      <c r="X8742" s="23" t="str">
        <f aca="false">IF(T8742="","",IF(T8742=0,"No discount",IF(T8742&lt;=0.2,"Low (1-20%)",IF(T8742&lt;=0.4,"Medium (21-40%)","High (&gt;40%)"))))</f>
        <v/>
      </c>
      <c r="Y8742" s="23" t="str">
        <f aca="false">IF(AND(ISNUMBER(C8742),ISNUMBER(D8742)),D8742-C8742,"")</f>
        <v/>
      </c>
      <c r="Z8742" s="23" t="str">
        <f aca="false">IF(B8742="","",IF(MATCH(B8742,$B$2:$B$12000,0)=ROW()-1,1,0))</f>
        <v/>
      </c>
    </row>
    <row r="8743" customFormat="false" ht="15" hidden="false" customHeight="false" outlineLevel="0" collapsed="false">
      <c r="V8743" s="23" t="str">
        <f aca="false">IF(ISNUMBER(C8743),YEAR(C8743),"")</f>
        <v/>
      </c>
      <c r="W8743" s="23" t="str">
        <f aca="false">IF(ISNUMBER(C8743),MONTH(C8743),"")</f>
        <v/>
      </c>
      <c r="X8743" s="23" t="str">
        <f aca="false">IF(T8743="","",IF(T8743=0,"No discount",IF(T8743&lt;=0.2,"Low (1-20%)",IF(T8743&lt;=0.4,"Medium (21-40%)","High (&gt;40%)"))))</f>
        <v/>
      </c>
      <c r="Y8743" s="23" t="str">
        <f aca="false">IF(AND(ISNUMBER(C8743),ISNUMBER(D8743)),D8743-C8743,"")</f>
        <v/>
      </c>
      <c r="Z8743" s="23" t="str">
        <f aca="false">IF(B8743="","",IF(MATCH(B8743,$B$2:$B$12000,0)=ROW()-1,1,0))</f>
        <v/>
      </c>
    </row>
    <row r="8744" customFormat="false" ht="15" hidden="false" customHeight="false" outlineLevel="0" collapsed="false">
      <c r="V8744" s="23" t="str">
        <f aca="false">IF(ISNUMBER(C8744),YEAR(C8744),"")</f>
        <v/>
      </c>
      <c r="W8744" s="23" t="str">
        <f aca="false">IF(ISNUMBER(C8744),MONTH(C8744),"")</f>
        <v/>
      </c>
      <c r="X8744" s="23" t="str">
        <f aca="false">IF(T8744="","",IF(T8744=0,"No discount",IF(T8744&lt;=0.2,"Low (1-20%)",IF(T8744&lt;=0.4,"Medium (21-40%)","High (&gt;40%)"))))</f>
        <v/>
      </c>
      <c r="Y8744" s="23" t="str">
        <f aca="false">IF(AND(ISNUMBER(C8744),ISNUMBER(D8744)),D8744-C8744,"")</f>
        <v/>
      </c>
      <c r="Z8744" s="23" t="str">
        <f aca="false">IF(B8744="","",IF(MATCH(B8744,$B$2:$B$12000,0)=ROW()-1,1,0))</f>
        <v/>
      </c>
    </row>
    <row r="8745" customFormat="false" ht="15" hidden="false" customHeight="false" outlineLevel="0" collapsed="false">
      <c r="V8745" s="23" t="str">
        <f aca="false">IF(ISNUMBER(C8745),YEAR(C8745),"")</f>
        <v/>
      </c>
      <c r="W8745" s="23" t="str">
        <f aca="false">IF(ISNUMBER(C8745),MONTH(C8745),"")</f>
        <v/>
      </c>
      <c r="X8745" s="23" t="str">
        <f aca="false">IF(T8745="","",IF(T8745=0,"No discount",IF(T8745&lt;=0.2,"Low (1-20%)",IF(T8745&lt;=0.4,"Medium (21-40%)","High (&gt;40%)"))))</f>
        <v/>
      </c>
      <c r="Y8745" s="23" t="str">
        <f aca="false">IF(AND(ISNUMBER(C8745),ISNUMBER(D8745)),D8745-C8745,"")</f>
        <v/>
      </c>
      <c r="Z8745" s="23" t="str">
        <f aca="false">IF(B8745="","",IF(MATCH(B8745,$B$2:$B$12000,0)=ROW()-1,1,0))</f>
        <v/>
      </c>
    </row>
    <row r="8746" customFormat="false" ht="15" hidden="false" customHeight="false" outlineLevel="0" collapsed="false">
      <c r="V8746" s="23" t="str">
        <f aca="false">IF(ISNUMBER(C8746),YEAR(C8746),"")</f>
        <v/>
      </c>
      <c r="W8746" s="23" t="str">
        <f aca="false">IF(ISNUMBER(C8746),MONTH(C8746),"")</f>
        <v/>
      </c>
      <c r="X8746" s="23" t="str">
        <f aca="false">IF(T8746="","",IF(T8746=0,"No discount",IF(T8746&lt;=0.2,"Low (1-20%)",IF(T8746&lt;=0.4,"Medium (21-40%)","High (&gt;40%)"))))</f>
        <v/>
      </c>
      <c r="Y8746" s="23" t="str">
        <f aca="false">IF(AND(ISNUMBER(C8746),ISNUMBER(D8746)),D8746-C8746,"")</f>
        <v/>
      </c>
      <c r="Z8746" s="23" t="str">
        <f aca="false">IF(B8746="","",IF(MATCH(B8746,$B$2:$B$12000,0)=ROW()-1,1,0))</f>
        <v/>
      </c>
    </row>
    <row r="8747" customFormat="false" ht="15" hidden="false" customHeight="false" outlineLevel="0" collapsed="false">
      <c r="V8747" s="23" t="str">
        <f aca="false">IF(ISNUMBER(C8747),YEAR(C8747),"")</f>
        <v/>
      </c>
      <c r="W8747" s="23" t="str">
        <f aca="false">IF(ISNUMBER(C8747),MONTH(C8747),"")</f>
        <v/>
      </c>
      <c r="X8747" s="23" t="str">
        <f aca="false">IF(T8747="","",IF(T8747=0,"No discount",IF(T8747&lt;=0.2,"Low (1-20%)",IF(T8747&lt;=0.4,"Medium (21-40%)","High (&gt;40%)"))))</f>
        <v/>
      </c>
      <c r="Y8747" s="23" t="str">
        <f aca="false">IF(AND(ISNUMBER(C8747),ISNUMBER(D8747)),D8747-C8747,"")</f>
        <v/>
      </c>
      <c r="Z8747" s="23" t="str">
        <f aca="false">IF(B8747="","",IF(MATCH(B8747,$B$2:$B$12000,0)=ROW()-1,1,0))</f>
        <v/>
      </c>
    </row>
    <row r="8748" customFormat="false" ht="15" hidden="false" customHeight="false" outlineLevel="0" collapsed="false">
      <c r="V8748" s="23" t="str">
        <f aca="false">IF(ISNUMBER(C8748),YEAR(C8748),"")</f>
        <v/>
      </c>
      <c r="W8748" s="23" t="str">
        <f aca="false">IF(ISNUMBER(C8748),MONTH(C8748),"")</f>
        <v/>
      </c>
      <c r="X8748" s="23" t="str">
        <f aca="false">IF(T8748="","",IF(T8748=0,"No discount",IF(T8748&lt;=0.2,"Low (1-20%)",IF(T8748&lt;=0.4,"Medium (21-40%)","High (&gt;40%)"))))</f>
        <v/>
      </c>
      <c r="Y8748" s="23" t="str">
        <f aca="false">IF(AND(ISNUMBER(C8748),ISNUMBER(D8748)),D8748-C8748,"")</f>
        <v/>
      </c>
      <c r="Z8748" s="23" t="str">
        <f aca="false">IF(B8748="","",IF(MATCH(B8748,$B$2:$B$12000,0)=ROW()-1,1,0))</f>
        <v/>
      </c>
    </row>
    <row r="8749" customFormat="false" ht="15" hidden="false" customHeight="false" outlineLevel="0" collapsed="false">
      <c r="V8749" s="23" t="str">
        <f aca="false">IF(ISNUMBER(C8749),YEAR(C8749),"")</f>
        <v/>
      </c>
      <c r="W8749" s="23" t="str">
        <f aca="false">IF(ISNUMBER(C8749),MONTH(C8749),"")</f>
        <v/>
      </c>
      <c r="X8749" s="23" t="str">
        <f aca="false">IF(T8749="","",IF(T8749=0,"No discount",IF(T8749&lt;=0.2,"Low (1-20%)",IF(T8749&lt;=0.4,"Medium (21-40%)","High (&gt;40%)"))))</f>
        <v/>
      </c>
      <c r="Y8749" s="23" t="str">
        <f aca="false">IF(AND(ISNUMBER(C8749),ISNUMBER(D8749)),D8749-C8749,"")</f>
        <v/>
      </c>
      <c r="Z8749" s="23" t="str">
        <f aca="false">IF(B8749="","",IF(MATCH(B8749,$B$2:$B$12000,0)=ROW()-1,1,0))</f>
        <v/>
      </c>
    </row>
    <row r="8750" customFormat="false" ht="15" hidden="false" customHeight="false" outlineLevel="0" collapsed="false">
      <c r="V8750" s="23" t="str">
        <f aca="false">IF(ISNUMBER(C8750),YEAR(C8750),"")</f>
        <v/>
      </c>
      <c r="W8750" s="23" t="str">
        <f aca="false">IF(ISNUMBER(C8750),MONTH(C8750),"")</f>
        <v/>
      </c>
      <c r="X8750" s="23" t="str">
        <f aca="false">IF(T8750="","",IF(T8750=0,"No discount",IF(T8750&lt;=0.2,"Low (1-20%)",IF(T8750&lt;=0.4,"Medium (21-40%)","High (&gt;40%)"))))</f>
        <v/>
      </c>
      <c r="Y8750" s="23" t="str">
        <f aca="false">IF(AND(ISNUMBER(C8750),ISNUMBER(D8750)),D8750-C8750,"")</f>
        <v/>
      </c>
      <c r="Z8750" s="23" t="str">
        <f aca="false">IF(B8750="","",IF(MATCH(B8750,$B$2:$B$12000,0)=ROW()-1,1,0))</f>
        <v/>
      </c>
    </row>
    <row r="8751" customFormat="false" ht="15" hidden="false" customHeight="false" outlineLevel="0" collapsed="false">
      <c r="V8751" s="23" t="str">
        <f aca="false">IF(ISNUMBER(C8751),YEAR(C8751),"")</f>
        <v/>
      </c>
      <c r="W8751" s="23" t="str">
        <f aca="false">IF(ISNUMBER(C8751),MONTH(C8751),"")</f>
        <v/>
      </c>
      <c r="X8751" s="23" t="str">
        <f aca="false">IF(T8751="","",IF(T8751=0,"No discount",IF(T8751&lt;=0.2,"Low (1-20%)",IF(T8751&lt;=0.4,"Medium (21-40%)","High (&gt;40%)"))))</f>
        <v/>
      </c>
      <c r="Y8751" s="23" t="str">
        <f aca="false">IF(AND(ISNUMBER(C8751),ISNUMBER(D8751)),D8751-C8751,"")</f>
        <v/>
      </c>
      <c r="Z8751" s="23" t="str">
        <f aca="false">IF(B8751="","",IF(MATCH(B8751,$B$2:$B$12000,0)=ROW()-1,1,0))</f>
        <v/>
      </c>
    </row>
    <row r="8752" customFormat="false" ht="15" hidden="false" customHeight="false" outlineLevel="0" collapsed="false">
      <c r="V8752" s="23" t="str">
        <f aca="false">IF(ISNUMBER(C8752),YEAR(C8752),"")</f>
        <v/>
      </c>
      <c r="W8752" s="23" t="str">
        <f aca="false">IF(ISNUMBER(C8752),MONTH(C8752),"")</f>
        <v/>
      </c>
      <c r="X8752" s="23" t="str">
        <f aca="false">IF(T8752="","",IF(T8752=0,"No discount",IF(T8752&lt;=0.2,"Low (1-20%)",IF(T8752&lt;=0.4,"Medium (21-40%)","High (&gt;40%)"))))</f>
        <v/>
      </c>
      <c r="Y8752" s="23" t="str">
        <f aca="false">IF(AND(ISNUMBER(C8752),ISNUMBER(D8752)),D8752-C8752,"")</f>
        <v/>
      </c>
      <c r="Z8752" s="23" t="str">
        <f aca="false">IF(B8752="","",IF(MATCH(B8752,$B$2:$B$12000,0)=ROW()-1,1,0))</f>
        <v/>
      </c>
    </row>
    <row r="8753" customFormat="false" ht="15" hidden="false" customHeight="false" outlineLevel="0" collapsed="false">
      <c r="V8753" s="23" t="str">
        <f aca="false">IF(ISNUMBER(C8753),YEAR(C8753),"")</f>
        <v/>
      </c>
      <c r="W8753" s="23" t="str">
        <f aca="false">IF(ISNUMBER(C8753),MONTH(C8753),"")</f>
        <v/>
      </c>
      <c r="X8753" s="23" t="str">
        <f aca="false">IF(T8753="","",IF(T8753=0,"No discount",IF(T8753&lt;=0.2,"Low (1-20%)",IF(T8753&lt;=0.4,"Medium (21-40%)","High (&gt;40%)"))))</f>
        <v/>
      </c>
      <c r="Y8753" s="23" t="str">
        <f aca="false">IF(AND(ISNUMBER(C8753),ISNUMBER(D8753)),D8753-C8753,"")</f>
        <v/>
      </c>
      <c r="Z8753" s="23" t="str">
        <f aca="false">IF(B8753="","",IF(MATCH(B8753,$B$2:$B$12000,0)=ROW()-1,1,0))</f>
        <v/>
      </c>
    </row>
    <row r="8754" customFormat="false" ht="15" hidden="false" customHeight="false" outlineLevel="0" collapsed="false">
      <c r="V8754" s="23" t="str">
        <f aca="false">IF(ISNUMBER(C8754),YEAR(C8754),"")</f>
        <v/>
      </c>
      <c r="W8754" s="23" t="str">
        <f aca="false">IF(ISNUMBER(C8754),MONTH(C8754),"")</f>
        <v/>
      </c>
      <c r="X8754" s="23" t="str">
        <f aca="false">IF(T8754="","",IF(T8754=0,"No discount",IF(T8754&lt;=0.2,"Low (1-20%)",IF(T8754&lt;=0.4,"Medium (21-40%)","High (&gt;40%)"))))</f>
        <v/>
      </c>
      <c r="Y8754" s="23" t="str">
        <f aca="false">IF(AND(ISNUMBER(C8754),ISNUMBER(D8754)),D8754-C8754,"")</f>
        <v/>
      </c>
      <c r="Z8754" s="23" t="str">
        <f aca="false">IF(B8754="","",IF(MATCH(B8754,$B$2:$B$12000,0)=ROW()-1,1,0))</f>
        <v/>
      </c>
    </row>
    <row r="8755" customFormat="false" ht="15" hidden="false" customHeight="false" outlineLevel="0" collapsed="false">
      <c r="V8755" s="23" t="str">
        <f aca="false">IF(ISNUMBER(C8755),YEAR(C8755),"")</f>
        <v/>
      </c>
      <c r="W8755" s="23" t="str">
        <f aca="false">IF(ISNUMBER(C8755),MONTH(C8755),"")</f>
        <v/>
      </c>
      <c r="X8755" s="23" t="str">
        <f aca="false">IF(T8755="","",IF(T8755=0,"No discount",IF(T8755&lt;=0.2,"Low (1-20%)",IF(T8755&lt;=0.4,"Medium (21-40%)","High (&gt;40%)"))))</f>
        <v/>
      </c>
      <c r="Y8755" s="23" t="str">
        <f aca="false">IF(AND(ISNUMBER(C8755),ISNUMBER(D8755)),D8755-C8755,"")</f>
        <v/>
      </c>
      <c r="Z8755" s="23" t="str">
        <f aca="false">IF(B8755="","",IF(MATCH(B8755,$B$2:$B$12000,0)=ROW()-1,1,0))</f>
        <v/>
      </c>
    </row>
    <row r="8756" customFormat="false" ht="15" hidden="false" customHeight="false" outlineLevel="0" collapsed="false">
      <c r="V8756" s="23" t="str">
        <f aca="false">IF(ISNUMBER(C8756),YEAR(C8756),"")</f>
        <v/>
      </c>
      <c r="W8756" s="23" t="str">
        <f aca="false">IF(ISNUMBER(C8756),MONTH(C8756),"")</f>
        <v/>
      </c>
      <c r="X8756" s="23" t="str">
        <f aca="false">IF(T8756="","",IF(T8756=0,"No discount",IF(T8756&lt;=0.2,"Low (1-20%)",IF(T8756&lt;=0.4,"Medium (21-40%)","High (&gt;40%)"))))</f>
        <v/>
      </c>
      <c r="Y8756" s="23" t="str">
        <f aca="false">IF(AND(ISNUMBER(C8756),ISNUMBER(D8756)),D8756-C8756,"")</f>
        <v/>
      </c>
      <c r="Z8756" s="23" t="str">
        <f aca="false">IF(B8756="","",IF(MATCH(B8756,$B$2:$B$12000,0)=ROW()-1,1,0))</f>
        <v/>
      </c>
    </row>
    <row r="8757" customFormat="false" ht="15" hidden="false" customHeight="false" outlineLevel="0" collapsed="false">
      <c r="V8757" s="23" t="str">
        <f aca="false">IF(ISNUMBER(C8757),YEAR(C8757),"")</f>
        <v/>
      </c>
      <c r="W8757" s="23" t="str">
        <f aca="false">IF(ISNUMBER(C8757),MONTH(C8757),"")</f>
        <v/>
      </c>
      <c r="X8757" s="23" t="str">
        <f aca="false">IF(T8757="","",IF(T8757=0,"No discount",IF(T8757&lt;=0.2,"Low (1-20%)",IF(T8757&lt;=0.4,"Medium (21-40%)","High (&gt;40%)"))))</f>
        <v/>
      </c>
      <c r="Y8757" s="23" t="str">
        <f aca="false">IF(AND(ISNUMBER(C8757),ISNUMBER(D8757)),D8757-C8757,"")</f>
        <v/>
      </c>
      <c r="Z8757" s="23" t="str">
        <f aca="false">IF(B8757="","",IF(MATCH(B8757,$B$2:$B$12000,0)=ROW()-1,1,0))</f>
        <v/>
      </c>
    </row>
    <row r="8758" customFormat="false" ht="15" hidden="false" customHeight="false" outlineLevel="0" collapsed="false">
      <c r="V8758" s="23" t="str">
        <f aca="false">IF(ISNUMBER(C8758),YEAR(C8758),"")</f>
        <v/>
      </c>
      <c r="W8758" s="23" t="str">
        <f aca="false">IF(ISNUMBER(C8758),MONTH(C8758),"")</f>
        <v/>
      </c>
      <c r="X8758" s="23" t="str">
        <f aca="false">IF(T8758="","",IF(T8758=0,"No discount",IF(T8758&lt;=0.2,"Low (1-20%)",IF(T8758&lt;=0.4,"Medium (21-40%)","High (&gt;40%)"))))</f>
        <v/>
      </c>
      <c r="Y8758" s="23" t="str">
        <f aca="false">IF(AND(ISNUMBER(C8758),ISNUMBER(D8758)),D8758-C8758,"")</f>
        <v/>
      </c>
      <c r="Z8758" s="23" t="str">
        <f aca="false">IF(B8758="","",IF(MATCH(B8758,$B$2:$B$12000,0)=ROW()-1,1,0))</f>
        <v/>
      </c>
    </row>
    <row r="8759" customFormat="false" ht="15" hidden="false" customHeight="false" outlineLevel="0" collapsed="false">
      <c r="V8759" s="23" t="str">
        <f aca="false">IF(ISNUMBER(C8759),YEAR(C8759),"")</f>
        <v/>
      </c>
      <c r="W8759" s="23" t="str">
        <f aca="false">IF(ISNUMBER(C8759),MONTH(C8759),"")</f>
        <v/>
      </c>
      <c r="X8759" s="23" t="str">
        <f aca="false">IF(T8759="","",IF(T8759=0,"No discount",IF(T8759&lt;=0.2,"Low (1-20%)",IF(T8759&lt;=0.4,"Medium (21-40%)","High (&gt;40%)"))))</f>
        <v/>
      </c>
      <c r="Y8759" s="23" t="str">
        <f aca="false">IF(AND(ISNUMBER(C8759),ISNUMBER(D8759)),D8759-C8759,"")</f>
        <v/>
      </c>
      <c r="Z8759" s="23" t="str">
        <f aca="false">IF(B8759="","",IF(MATCH(B8759,$B$2:$B$12000,0)=ROW()-1,1,0))</f>
        <v/>
      </c>
    </row>
    <row r="8760" customFormat="false" ht="15" hidden="false" customHeight="false" outlineLevel="0" collapsed="false">
      <c r="V8760" s="23" t="str">
        <f aca="false">IF(ISNUMBER(C8760),YEAR(C8760),"")</f>
        <v/>
      </c>
      <c r="W8760" s="23" t="str">
        <f aca="false">IF(ISNUMBER(C8760),MONTH(C8760),"")</f>
        <v/>
      </c>
      <c r="X8760" s="23" t="str">
        <f aca="false">IF(T8760="","",IF(T8760=0,"No discount",IF(T8760&lt;=0.2,"Low (1-20%)",IF(T8760&lt;=0.4,"Medium (21-40%)","High (&gt;40%)"))))</f>
        <v/>
      </c>
      <c r="Y8760" s="23" t="str">
        <f aca="false">IF(AND(ISNUMBER(C8760),ISNUMBER(D8760)),D8760-C8760,"")</f>
        <v/>
      </c>
      <c r="Z8760" s="23" t="str">
        <f aca="false">IF(B8760="","",IF(MATCH(B8760,$B$2:$B$12000,0)=ROW()-1,1,0))</f>
        <v/>
      </c>
    </row>
    <row r="8761" customFormat="false" ht="15" hidden="false" customHeight="false" outlineLevel="0" collapsed="false">
      <c r="V8761" s="23" t="str">
        <f aca="false">IF(ISNUMBER(C8761),YEAR(C8761),"")</f>
        <v/>
      </c>
      <c r="W8761" s="23" t="str">
        <f aca="false">IF(ISNUMBER(C8761),MONTH(C8761),"")</f>
        <v/>
      </c>
      <c r="X8761" s="23" t="str">
        <f aca="false">IF(T8761="","",IF(T8761=0,"No discount",IF(T8761&lt;=0.2,"Low (1-20%)",IF(T8761&lt;=0.4,"Medium (21-40%)","High (&gt;40%)"))))</f>
        <v/>
      </c>
      <c r="Y8761" s="23" t="str">
        <f aca="false">IF(AND(ISNUMBER(C8761),ISNUMBER(D8761)),D8761-C8761,"")</f>
        <v/>
      </c>
      <c r="Z8761" s="23" t="str">
        <f aca="false">IF(B8761="","",IF(MATCH(B8761,$B$2:$B$12000,0)=ROW()-1,1,0))</f>
        <v/>
      </c>
    </row>
    <row r="8762" customFormat="false" ht="15" hidden="false" customHeight="false" outlineLevel="0" collapsed="false">
      <c r="V8762" s="23" t="str">
        <f aca="false">IF(ISNUMBER(C8762),YEAR(C8762),"")</f>
        <v/>
      </c>
      <c r="W8762" s="23" t="str">
        <f aca="false">IF(ISNUMBER(C8762),MONTH(C8762),"")</f>
        <v/>
      </c>
      <c r="X8762" s="23" t="str">
        <f aca="false">IF(T8762="","",IF(T8762=0,"No discount",IF(T8762&lt;=0.2,"Low (1-20%)",IF(T8762&lt;=0.4,"Medium (21-40%)","High (&gt;40%)"))))</f>
        <v/>
      </c>
      <c r="Y8762" s="23" t="str">
        <f aca="false">IF(AND(ISNUMBER(C8762),ISNUMBER(D8762)),D8762-C8762,"")</f>
        <v/>
      </c>
      <c r="Z8762" s="23" t="str">
        <f aca="false">IF(B8762="","",IF(MATCH(B8762,$B$2:$B$12000,0)=ROW()-1,1,0))</f>
        <v/>
      </c>
    </row>
    <row r="8763" customFormat="false" ht="15" hidden="false" customHeight="false" outlineLevel="0" collapsed="false">
      <c r="V8763" s="23" t="str">
        <f aca="false">IF(ISNUMBER(C8763),YEAR(C8763),"")</f>
        <v/>
      </c>
      <c r="W8763" s="23" t="str">
        <f aca="false">IF(ISNUMBER(C8763),MONTH(C8763),"")</f>
        <v/>
      </c>
      <c r="X8763" s="23" t="str">
        <f aca="false">IF(T8763="","",IF(T8763=0,"No discount",IF(T8763&lt;=0.2,"Low (1-20%)",IF(T8763&lt;=0.4,"Medium (21-40%)","High (&gt;40%)"))))</f>
        <v/>
      </c>
      <c r="Y8763" s="23" t="str">
        <f aca="false">IF(AND(ISNUMBER(C8763),ISNUMBER(D8763)),D8763-C8763,"")</f>
        <v/>
      </c>
      <c r="Z8763" s="23" t="str">
        <f aca="false">IF(B8763="","",IF(MATCH(B8763,$B$2:$B$12000,0)=ROW()-1,1,0))</f>
        <v/>
      </c>
    </row>
    <row r="8764" customFormat="false" ht="15" hidden="false" customHeight="false" outlineLevel="0" collapsed="false">
      <c r="V8764" s="23" t="str">
        <f aca="false">IF(ISNUMBER(C8764),YEAR(C8764),"")</f>
        <v/>
      </c>
      <c r="W8764" s="23" t="str">
        <f aca="false">IF(ISNUMBER(C8764),MONTH(C8764),"")</f>
        <v/>
      </c>
      <c r="X8764" s="23" t="str">
        <f aca="false">IF(T8764="","",IF(T8764=0,"No discount",IF(T8764&lt;=0.2,"Low (1-20%)",IF(T8764&lt;=0.4,"Medium (21-40%)","High (&gt;40%)"))))</f>
        <v/>
      </c>
      <c r="Y8764" s="23" t="str">
        <f aca="false">IF(AND(ISNUMBER(C8764),ISNUMBER(D8764)),D8764-C8764,"")</f>
        <v/>
      </c>
      <c r="Z8764" s="23" t="str">
        <f aca="false">IF(B8764="","",IF(MATCH(B8764,$B$2:$B$12000,0)=ROW()-1,1,0))</f>
        <v/>
      </c>
    </row>
    <row r="8765" customFormat="false" ht="15" hidden="false" customHeight="false" outlineLevel="0" collapsed="false">
      <c r="V8765" s="23" t="str">
        <f aca="false">IF(ISNUMBER(C8765),YEAR(C8765),"")</f>
        <v/>
      </c>
      <c r="W8765" s="23" t="str">
        <f aca="false">IF(ISNUMBER(C8765),MONTH(C8765),"")</f>
        <v/>
      </c>
      <c r="X8765" s="23" t="str">
        <f aca="false">IF(T8765="","",IF(T8765=0,"No discount",IF(T8765&lt;=0.2,"Low (1-20%)",IF(T8765&lt;=0.4,"Medium (21-40%)","High (&gt;40%)"))))</f>
        <v/>
      </c>
      <c r="Y8765" s="23" t="str">
        <f aca="false">IF(AND(ISNUMBER(C8765),ISNUMBER(D8765)),D8765-C8765,"")</f>
        <v/>
      </c>
      <c r="Z8765" s="23" t="str">
        <f aca="false">IF(B8765="","",IF(MATCH(B8765,$B$2:$B$12000,0)=ROW()-1,1,0))</f>
        <v/>
      </c>
    </row>
    <row r="8766" customFormat="false" ht="15" hidden="false" customHeight="false" outlineLevel="0" collapsed="false">
      <c r="V8766" s="23" t="str">
        <f aca="false">IF(ISNUMBER(C8766),YEAR(C8766),"")</f>
        <v/>
      </c>
      <c r="W8766" s="23" t="str">
        <f aca="false">IF(ISNUMBER(C8766),MONTH(C8766),"")</f>
        <v/>
      </c>
      <c r="X8766" s="23" t="str">
        <f aca="false">IF(T8766="","",IF(T8766=0,"No discount",IF(T8766&lt;=0.2,"Low (1-20%)",IF(T8766&lt;=0.4,"Medium (21-40%)","High (&gt;40%)"))))</f>
        <v/>
      </c>
      <c r="Y8766" s="23" t="str">
        <f aca="false">IF(AND(ISNUMBER(C8766),ISNUMBER(D8766)),D8766-C8766,"")</f>
        <v/>
      </c>
      <c r="Z8766" s="23" t="str">
        <f aca="false">IF(B8766="","",IF(MATCH(B8766,$B$2:$B$12000,0)=ROW()-1,1,0))</f>
        <v/>
      </c>
    </row>
    <row r="8767" customFormat="false" ht="15" hidden="false" customHeight="false" outlineLevel="0" collapsed="false">
      <c r="V8767" s="23" t="str">
        <f aca="false">IF(ISNUMBER(C8767),YEAR(C8767),"")</f>
        <v/>
      </c>
      <c r="W8767" s="23" t="str">
        <f aca="false">IF(ISNUMBER(C8767),MONTH(C8767),"")</f>
        <v/>
      </c>
      <c r="X8767" s="23" t="str">
        <f aca="false">IF(T8767="","",IF(T8767=0,"No discount",IF(T8767&lt;=0.2,"Low (1-20%)",IF(T8767&lt;=0.4,"Medium (21-40%)","High (&gt;40%)"))))</f>
        <v/>
      </c>
      <c r="Y8767" s="23" t="str">
        <f aca="false">IF(AND(ISNUMBER(C8767),ISNUMBER(D8767)),D8767-C8767,"")</f>
        <v/>
      </c>
      <c r="Z8767" s="23" t="str">
        <f aca="false">IF(B8767="","",IF(MATCH(B8767,$B$2:$B$12000,0)=ROW()-1,1,0))</f>
        <v/>
      </c>
    </row>
    <row r="8768" customFormat="false" ht="15" hidden="false" customHeight="false" outlineLevel="0" collapsed="false">
      <c r="V8768" s="23" t="str">
        <f aca="false">IF(ISNUMBER(C8768),YEAR(C8768),"")</f>
        <v/>
      </c>
      <c r="W8768" s="23" t="str">
        <f aca="false">IF(ISNUMBER(C8768),MONTH(C8768),"")</f>
        <v/>
      </c>
      <c r="X8768" s="23" t="str">
        <f aca="false">IF(T8768="","",IF(T8768=0,"No discount",IF(T8768&lt;=0.2,"Low (1-20%)",IF(T8768&lt;=0.4,"Medium (21-40%)","High (&gt;40%)"))))</f>
        <v/>
      </c>
      <c r="Y8768" s="23" t="str">
        <f aca="false">IF(AND(ISNUMBER(C8768),ISNUMBER(D8768)),D8768-C8768,"")</f>
        <v/>
      </c>
      <c r="Z8768" s="23" t="str">
        <f aca="false">IF(B8768="","",IF(MATCH(B8768,$B$2:$B$12000,0)=ROW()-1,1,0))</f>
        <v/>
      </c>
    </row>
    <row r="8769" customFormat="false" ht="15" hidden="false" customHeight="false" outlineLevel="0" collapsed="false">
      <c r="V8769" s="23" t="str">
        <f aca="false">IF(ISNUMBER(C8769),YEAR(C8769),"")</f>
        <v/>
      </c>
      <c r="W8769" s="23" t="str">
        <f aca="false">IF(ISNUMBER(C8769),MONTH(C8769),"")</f>
        <v/>
      </c>
      <c r="X8769" s="23" t="str">
        <f aca="false">IF(T8769="","",IF(T8769=0,"No discount",IF(T8769&lt;=0.2,"Low (1-20%)",IF(T8769&lt;=0.4,"Medium (21-40%)","High (&gt;40%)"))))</f>
        <v/>
      </c>
      <c r="Y8769" s="23" t="str">
        <f aca="false">IF(AND(ISNUMBER(C8769),ISNUMBER(D8769)),D8769-C8769,"")</f>
        <v/>
      </c>
      <c r="Z8769" s="23" t="str">
        <f aca="false">IF(B8769="","",IF(MATCH(B8769,$B$2:$B$12000,0)=ROW()-1,1,0))</f>
        <v/>
      </c>
    </row>
    <row r="8770" customFormat="false" ht="15" hidden="false" customHeight="false" outlineLevel="0" collapsed="false">
      <c r="V8770" s="23" t="str">
        <f aca="false">IF(ISNUMBER(C8770),YEAR(C8770),"")</f>
        <v/>
      </c>
      <c r="W8770" s="23" t="str">
        <f aca="false">IF(ISNUMBER(C8770),MONTH(C8770),"")</f>
        <v/>
      </c>
      <c r="X8770" s="23" t="str">
        <f aca="false">IF(T8770="","",IF(T8770=0,"No discount",IF(T8770&lt;=0.2,"Low (1-20%)",IF(T8770&lt;=0.4,"Medium (21-40%)","High (&gt;40%)"))))</f>
        <v/>
      </c>
      <c r="Y8770" s="23" t="str">
        <f aca="false">IF(AND(ISNUMBER(C8770),ISNUMBER(D8770)),D8770-C8770,"")</f>
        <v/>
      </c>
      <c r="Z8770" s="23" t="str">
        <f aca="false">IF(B8770="","",IF(MATCH(B8770,$B$2:$B$12000,0)=ROW()-1,1,0))</f>
        <v/>
      </c>
    </row>
    <row r="8771" customFormat="false" ht="15" hidden="false" customHeight="false" outlineLevel="0" collapsed="false">
      <c r="V8771" s="23" t="str">
        <f aca="false">IF(ISNUMBER(C8771),YEAR(C8771),"")</f>
        <v/>
      </c>
      <c r="W8771" s="23" t="str">
        <f aca="false">IF(ISNUMBER(C8771),MONTH(C8771),"")</f>
        <v/>
      </c>
      <c r="X8771" s="23" t="str">
        <f aca="false">IF(T8771="","",IF(T8771=0,"No discount",IF(T8771&lt;=0.2,"Low (1-20%)",IF(T8771&lt;=0.4,"Medium (21-40%)","High (&gt;40%)"))))</f>
        <v/>
      </c>
      <c r="Y8771" s="23" t="str">
        <f aca="false">IF(AND(ISNUMBER(C8771),ISNUMBER(D8771)),D8771-C8771,"")</f>
        <v/>
      </c>
      <c r="Z8771" s="23" t="str">
        <f aca="false">IF(B8771="","",IF(MATCH(B8771,$B$2:$B$12000,0)=ROW()-1,1,0))</f>
        <v/>
      </c>
    </row>
    <row r="8772" customFormat="false" ht="15" hidden="false" customHeight="false" outlineLevel="0" collapsed="false">
      <c r="V8772" s="23" t="str">
        <f aca="false">IF(ISNUMBER(C8772),YEAR(C8772),"")</f>
        <v/>
      </c>
      <c r="W8772" s="23" t="str">
        <f aca="false">IF(ISNUMBER(C8772),MONTH(C8772),"")</f>
        <v/>
      </c>
      <c r="X8772" s="23" t="str">
        <f aca="false">IF(T8772="","",IF(T8772=0,"No discount",IF(T8772&lt;=0.2,"Low (1-20%)",IF(T8772&lt;=0.4,"Medium (21-40%)","High (&gt;40%)"))))</f>
        <v/>
      </c>
      <c r="Y8772" s="23" t="str">
        <f aca="false">IF(AND(ISNUMBER(C8772),ISNUMBER(D8772)),D8772-C8772,"")</f>
        <v/>
      </c>
      <c r="Z8772" s="23" t="str">
        <f aca="false">IF(B8772="","",IF(MATCH(B8772,$B$2:$B$12000,0)=ROW()-1,1,0))</f>
        <v/>
      </c>
    </row>
    <row r="8773" customFormat="false" ht="15" hidden="false" customHeight="false" outlineLevel="0" collapsed="false">
      <c r="V8773" s="23" t="str">
        <f aca="false">IF(ISNUMBER(C8773),YEAR(C8773),"")</f>
        <v/>
      </c>
      <c r="W8773" s="23" t="str">
        <f aca="false">IF(ISNUMBER(C8773),MONTH(C8773),"")</f>
        <v/>
      </c>
      <c r="X8773" s="23" t="str">
        <f aca="false">IF(T8773="","",IF(T8773=0,"No discount",IF(T8773&lt;=0.2,"Low (1-20%)",IF(T8773&lt;=0.4,"Medium (21-40%)","High (&gt;40%)"))))</f>
        <v/>
      </c>
      <c r="Y8773" s="23" t="str">
        <f aca="false">IF(AND(ISNUMBER(C8773),ISNUMBER(D8773)),D8773-C8773,"")</f>
        <v/>
      </c>
      <c r="Z8773" s="23" t="str">
        <f aca="false">IF(B8773="","",IF(MATCH(B8773,$B$2:$B$12000,0)=ROW()-1,1,0))</f>
        <v/>
      </c>
    </row>
    <row r="8774" customFormat="false" ht="15" hidden="false" customHeight="false" outlineLevel="0" collapsed="false">
      <c r="V8774" s="23" t="str">
        <f aca="false">IF(ISNUMBER(C8774),YEAR(C8774),"")</f>
        <v/>
      </c>
      <c r="W8774" s="23" t="str">
        <f aca="false">IF(ISNUMBER(C8774),MONTH(C8774),"")</f>
        <v/>
      </c>
      <c r="X8774" s="23" t="str">
        <f aca="false">IF(T8774="","",IF(T8774=0,"No discount",IF(T8774&lt;=0.2,"Low (1-20%)",IF(T8774&lt;=0.4,"Medium (21-40%)","High (&gt;40%)"))))</f>
        <v/>
      </c>
      <c r="Y8774" s="23" t="str">
        <f aca="false">IF(AND(ISNUMBER(C8774),ISNUMBER(D8774)),D8774-C8774,"")</f>
        <v/>
      </c>
      <c r="Z8774" s="23" t="str">
        <f aca="false">IF(B8774="","",IF(MATCH(B8774,$B$2:$B$12000,0)=ROW()-1,1,0))</f>
        <v/>
      </c>
    </row>
    <row r="8775" customFormat="false" ht="15" hidden="false" customHeight="false" outlineLevel="0" collapsed="false">
      <c r="V8775" s="23" t="str">
        <f aca="false">IF(ISNUMBER(C8775),YEAR(C8775),"")</f>
        <v/>
      </c>
      <c r="W8775" s="23" t="str">
        <f aca="false">IF(ISNUMBER(C8775),MONTH(C8775),"")</f>
        <v/>
      </c>
      <c r="X8775" s="23" t="str">
        <f aca="false">IF(T8775="","",IF(T8775=0,"No discount",IF(T8775&lt;=0.2,"Low (1-20%)",IF(T8775&lt;=0.4,"Medium (21-40%)","High (&gt;40%)"))))</f>
        <v/>
      </c>
      <c r="Y8775" s="23" t="str">
        <f aca="false">IF(AND(ISNUMBER(C8775),ISNUMBER(D8775)),D8775-C8775,"")</f>
        <v/>
      </c>
      <c r="Z8775" s="23" t="str">
        <f aca="false">IF(B8775="","",IF(MATCH(B8775,$B$2:$B$12000,0)=ROW()-1,1,0))</f>
        <v/>
      </c>
    </row>
    <row r="8776" customFormat="false" ht="15" hidden="false" customHeight="false" outlineLevel="0" collapsed="false">
      <c r="V8776" s="23" t="str">
        <f aca="false">IF(ISNUMBER(C8776),YEAR(C8776),"")</f>
        <v/>
      </c>
      <c r="W8776" s="23" t="str">
        <f aca="false">IF(ISNUMBER(C8776),MONTH(C8776),"")</f>
        <v/>
      </c>
      <c r="X8776" s="23" t="str">
        <f aca="false">IF(T8776="","",IF(T8776=0,"No discount",IF(T8776&lt;=0.2,"Low (1-20%)",IF(T8776&lt;=0.4,"Medium (21-40%)","High (&gt;40%)"))))</f>
        <v/>
      </c>
      <c r="Y8776" s="23" t="str">
        <f aca="false">IF(AND(ISNUMBER(C8776),ISNUMBER(D8776)),D8776-C8776,"")</f>
        <v/>
      </c>
      <c r="Z8776" s="23" t="str">
        <f aca="false">IF(B8776="","",IF(MATCH(B8776,$B$2:$B$12000,0)=ROW()-1,1,0))</f>
        <v/>
      </c>
    </row>
    <row r="8777" customFormat="false" ht="15" hidden="false" customHeight="false" outlineLevel="0" collapsed="false">
      <c r="V8777" s="23" t="str">
        <f aca="false">IF(ISNUMBER(C8777),YEAR(C8777),"")</f>
        <v/>
      </c>
      <c r="W8777" s="23" t="str">
        <f aca="false">IF(ISNUMBER(C8777),MONTH(C8777),"")</f>
        <v/>
      </c>
      <c r="X8777" s="23" t="str">
        <f aca="false">IF(T8777="","",IF(T8777=0,"No discount",IF(T8777&lt;=0.2,"Low (1-20%)",IF(T8777&lt;=0.4,"Medium (21-40%)","High (&gt;40%)"))))</f>
        <v/>
      </c>
      <c r="Y8777" s="23" t="str">
        <f aca="false">IF(AND(ISNUMBER(C8777),ISNUMBER(D8777)),D8777-C8777,"")</f>
        <v/>
      </c>
      <c r="Z8777" s="23" t="str">
        <f aca="false">IF(B8777="","",IF(MATCH(B8777,$B$2:$B$12000,0)=ROW()-1,1,0))</f>
        <v/>
      </c>
    </row>
    <row r="8778" customFormat="false" ht="15" hidden="false" customHeight="false" outlineLevel="0" collapsed="false">
      <c r="V8778" s="23" t="str">
        <f aca="false">IF(ISNUMBER(C8778),YEAR(C8778),"")</f>
        <v/>
      </c>
      <c r="W8778" s="23" t="str">
        <f aca="false">IF(ISNUMBER(C8778),MONTH(C8778),"")</f>
        <v/>
      </c>
      <c r="X8778" s="23" t="str">
        <f aca="false">IF(T8778="","",IF(T8778=0,"No discount",IF(T8778&lt;=0.2,"Low (1-20%)",IF(T8778&lt;=0.4,"Medium (21-40%)","High (&gt;40%)"))))</f>
        <v/>
      </c>
      <c r="Y8778" s="23" t="str">
        <f aca="false">IF(AND(ISNUMBER(C8778),ISNUMBER(D8778)),D8778-C8778,"")</f>
        <v/>
      </c>
      <c r="Z8778" s="23" t="str">
        <f aca="false">IF(B8778="","",IF(MATCH(B8778,$B$2:$B$12000,0)=ROW()-1,1,0))</f>
        <v/>
      </c>
    </row>
    <row r="8779" customFormat="false" ht="15" hidden="false" customHeight="false" outlineLevel="0" collapsed="false">
      <c r="V8779" s="23" t="str">
        <f aca="false">IF(ISNUMBER(C8779),YEAR(C8779),"")</f>
        <v/>
      </c>
      <c r="W8779" s="23" t="str">
        <f aca="false">IF(ISNUMBER(C8779),MONTH(C8779),"")</f>
        <v/>
      </c>
      <c r="X8779" s="23" t="str">
        <f aca="false">IF(T8779="","",IF(T8779=0,"No discount",IF(T8779&lt;=0.2,"Low (1-20%)",IF(T8779&lt;=0.4,"Medium (21-40%)","High (&gt;40%)"))))</f>
        <v/>
      </c>
      <c r="Y8779" s="23" t="str">
        <f aca="false">IF(AND(ISNUMBER(C8779),ISNUMBER(D8779)),D8779-C8779,"")</f>
        <v/>
      </c>
      <c r="Z8779" s="23" t="str">
        <f aca="false">IF(B8779="","",IF(MATCH(B8779,$B$2:$B$12000,0)=ROW()-1,1,0))</f>
        <v/>
      </c>
    </row>
    <row r="8780" customFormat="false" ht="15" hidden="false" customHeight="false" outlineLevel="0" collapsed="false">
      <c r="V8780" s="23" t="str">
        <f aca="false">IF(ISNUMBER(C8780),YEAR(C8780),"")</f>
        <v/>
      </c>
      <c r="W8780" s="23" t="str">
        <f aca="false">IF(ISNUMBER(C8780),MONTH(C8780),"")</f>
        <v/>
      </c>
      <c r="X8780" s="23" t="str">
        <f aca="false">IF(T8780="","",IF(T8780=0,"No discount",IF(T8780&lt;=0.2,"Low (1-20%)",IF(T8780&lt;=0.4,"Medium (21-40%)","High (&gt;40%)"))))</f>
        <v/>
      </c>
      <c r="Y8780" s="23" t="str">
        <f aca="false">IF(AND(ISNUMBER(C8780),ISNUMBER(D8780)),D8780-C8780,"")</f>
        <v/>
      </c>
      <c r="Z8780" s="23" t="str">
        <f aca="false">IF(B8780="","",IF(MATCH(B8780,$B$2:$B$12000,0)=ROW()-1,1,0))</f>
        <v/>
      </c>
    </row>
    <row r="8781" customFormat="false" ht="15" hidden="false" customHeight="false" outlineLevel="0" collapsed="false">
      <c r="V8781" s="23" t="str">
        <f aca="false">IF(ISNUMBER(C8781),YEAR(C8781),"")</f>
        <v/>
      </c>
      <c r="W8781" s="23" t="str">
        <f aca="false">IF(ISNUMBER(C8781),MONTH(C8781),"")</f>
        <v/>
      </c>
      <c r="X8781" s="23" t="str">
        <f aca="false">IF(T8781="","",IF(T8781=0,"No discount",IF(T8781&lt;=0.2,"Low (1-20%)",IF(T8781&lt;=0.4,"Medium (21-40%)","High (&gt;40%)"))))</f>
        <v/>
      </c>
      <c r="Y8781" s="23" t="str">
        <f aca="false">IF(AND(ISNUMBER(C8781),ISNUMBER(D8781)),D8781-C8781,"")</f>
        <v/>
      </c>
      <c r="Z8781" s="23" t="str">
        <f aca="false">IF(B8781="","",IF(MATCH(B8781,$B$2:$B$12000,0)=ROW()-1,1,0))</f>
        <v/>
      </c>
    </row>
    <row r="8782" customFormat="false" ht="15" hidden="false" customHeight="false" outlineLevel="0" collapsed="false">
      <c r="V8782" s="23" t="str">
        <f aca="false">IF(ISNUMBER(C8782),YEAR(C8782),"")</f>
        <v/>
      </c>
      <c r="W8782" s="23" t="str">
        <f aca="false">IF(ISNUMBER(C8782),MONTH(C8782),"")</f>
        <v/>
      </c>
      <c r="X8782" s="23" t="str">
        <f aca="false">IF(T8782="","",IF(T8782=0,"No discount",IF(T8782&lt;=0.2,"Low (1-20%)",IF(T8782&lt;=0.4,"Medium (21-40%)","High (&gt;40%)"))))</f>
        <v/>
      </c>
      <c r="Y8782" s="23" t="str">
        <f aca="false">IF(AND(ISNUMBER(C8782),ISNUMBER(D8782)),D8782-C8782,"")</f>
        <v/>
      </c>
      <c r="Z8782" s="23" t="str">
        <f aca="false">IF(B8782="","",IF(MATCH(B8782,$B$2:$B$12000,0)=ROW()-1,1,0))</f>
        <v/>
      </c>
    </row>
    <row r="8783" customFormat="false" ht="15" hidden="false" customHeight="false" outlineLevel="0" collapsed="false">
      <c r="V8783" s="23" t="str">
        <f aca="false">IF(ISNUMBER(C8783),YEAR(C8783),"")</f>
        <v/>
      </c>
      <c r="W8783" s="23" t="str">
        <f aca="false">IF(ISNUMBER(C8783),MONTH(C8783),"")</f>
        <v/>
      </c>
      <c r="X8783" s="23" t="str">
        <f aca="false">IF(T8783="","",IF(T8783=0,"No discount",IF(T8783&lt;=0.2,"Low (1-20%)",IF(T8783&lt;=0.4,"Medium (21-40%)","High (&gt;40%)"))))</f>
        <v/>
      </c>
      <c r="Y8783" s="23" t="str">
        <f aca="false">IF(AND(ISNUMBER(C8783),ISNUMBER(D8783)),D8783-C8783,"")</f>
        <v/>
      </c>
      <c r="Z8783" s="23" t="str">
        <f aca="false">IF(B8783="","",IF(MATCH(B8783,$B$2:$B$12000,0)=ROW()-1,1,0))</f>
        <v/>
      </c>
    </row>
    <row r="8784" customFormat="false" ht="15" hidden="false" customHeight="false" outlineLevel="0" collapsed="false">
      <c r="V8784" s="23" t="str">
        <f aca="false">IF(ISNUMBER(C8784),YEAR(C8784),"")</f>
        <v/>
      </c>
      <c r="W8784" s="23" t="str">
        <f aca="false">IF(ISNUMBER(C8784),MONTH(C8784),"")</f>
        <v/>
      </c>
      <c r="X8784" s="23" t="str">
        <f aca="false">IF(T8784="","",IF(T8784=0,"No discount",IF(T8784&lt;=0.2,"Low (1-20%)",IF(T8784&lt;=0.4,"Medium (21-40%)","High (&gt;40%)"))))</f>
        <v/>
      </c>
      <c r="Y8784" s="23" t="str">
        <f aca="false">IF(AND(ISNUMBER(C8784),ISNUMBER(D8784)),D8784-C8784,"")</f>
        <v/>
      </c>
      <c r="Z8784" s="23" t="str">
        <f aca="false">IF(B8784="","",IF(MATCH(B8784,$B$2:$B$12000,0)=ROW()-1,1,0))</f>
        <v/>
      </c>
    </row>
    <row r="8785" customFormat="false" ht="15" hidden="false" customHeight="false" outlineLevel="0" collapsed="false">
      <c r="V8785" s="23" t="str">
        <f aca="false">IF(ISNUMBER(C8785),YEAR(C8785),"")</f>
        <v/>
      </c>
      <c r="W8785" s="23" t="str">
        <f aca="false">IF(ISNUMBER(C8785),MONTH(C8785),"")</f>
        <v/>
      </c>
      <c r="X8785" s="23" t="str">
        <f aca="false">IF(T8785="","",IF(T8785=0,"No discount",IF(T8785&lt;=0.2,"Low (1-20%)",IF(T8785&lt;=0.4,"Medium (21-40%)","High (&gt;40%)"))))</f>
        <v/>
      </c>
      <c r="Y8785" s="23" t="str">
        <f aca="false">IF(AND(ISNUMBER(C8785),ISNUMBER(D8785)),D8785-C8785,"")</f>
        <v/>
      </c>
      <c r="Z8785" s="23" t="str">
        <f aca="false">IF(B8785="","",IF(MATCH(B8785,$B$2:$B$12000,0)=ROW()-1,1,0))</f>
        <v/>
      </c>
    </row>
    <row r="8786" customFormat="false" ht="15" hidden="false" customHeight="false" outlineLevel="0" collapsed="false">
      <c r="V8786" s="23" t="str">
        <f aca="false">IF(ISNUMBER(C8786),YEAR(C8786),"")</f>
        <v/>
      </c>
      <c r="W8786" s="23" t="str">
        <f aca="false">IF(ISNUMBER(C8786),MONTH(C8786),"")</f>
        <v/>
      </c>
      <c r="X8786" s="23" t="str">
        <f aca="false">IF(T8786="","",IF(T8786=0,"No discount",IF(T8786&lt;=0.2,"Low (1-20%)",IF(T8786&lt;=0.4,"Medium (21-40%)","High (&gt;40%)"))))</f>
        <v/>
      </c>
      <c r="Y8786" s="23" t="str">
        <f aca="false">IF(AND(ISNUMBER(C8786),ISNUMBER(D8786)),D8786-C8786,"")</f>
        <v/>
      </c>
      <c r="Z8786" s="23" t="str">
        <f aca="false">IF(B8786="","",IF(MATCH(B8786,$B$2:$B$12000,0)=ROW()-1,1,0))</f>
        <v/>
      </c>
    </row>
    <row r="8787" customFormat="false" ht="15" hidden="false" customHeight="false" outlineLevel="0" collapsed="false">
      <c r="V8787" s="23" t="str">
        <f aca="false">IF(ISNUMBER(C8787),YEAR(C8787),"")</f>
        <v/>
      </c>
      <c r="W8787" s="23" t="str">
        <f aca="false">IF(ISNUMBER(C8787),MONTH(C8787),"")</f>
        <v/>
      </c>
      <c r="X8787" s="23" t="str">
        <f aca="false">IF(T8787="","",IF(T8787=0,"No discount",IF(T8787&lt;=0.2,"Low (1-20%)",IF(T8787&lt;=0.4,"Medium (21-40%)","High (&gt;40%)"))))</f>
        <v/>
      </c>
      <c r="Y8787" s="23" t="str">
        <f aca="false">IF(AND(ISNUMBER(C8787),ISNUMBER(D8787)),D8787-C8787,"")</f>
        <v/>
      </c>
      <c r="Z8787" s="23" t="str">
        <f aca="false">IF(B8787="","",IF(MATCH(B8787,$B$2:$B$12000,0)=ROW()-1,1,0))</f>
        <v/>
      </c>
    </row>
    <row r="8788" customFormat="false" ht="15" hidden="false" customHeight="false" outlineLevel="0" collapsed="false">
      <c r="V8788" s="23" t="str">
        <f aca="false">IF(ISNUMBER(C8788),YEAR(C8788),"")</f>
        <v/>
      </c>
      <c r="W8788" s="23" t="str">
        <f aca="false">IF(ISNUMBER(C8788),MONTH(C8788),"")</f>
        <v/>
      </c>
      <c r="X8788" s="23" t="str">
        <f aca="false">IF(T8788="","",IF(T8788=0,"No discount",IF(T8788&lt;=0.2,"Low (1-20%)",IF(T8788&lt;=0.4,"Medium (21-40%)","High (&gt;40%)"))))</f>
        <v/>
      </c>
      <c r="Y8788" s="23" t="str">
        <f aca="false">IF(AND(ISNUMBER(C8788),ISNUMBER(D8788)),D8788-C8788,"")</f>
        <v/>
      </c>
      <c r="Z8788" s="23" t="str">
        <f aca="false">IF(B8788="","",IF(MATCH(B8788,$B$2:$B$12000,0)=ROW()-1,1,0))</f>
        <v/>
      </c>
    </row>
    <row r="8789" customFormat="false" ht="15" hidden="false" customHeight="false" outlineLevel="0" collapsed="false">
      <c r="V8789" s="23" t="str">
        <f aca="false">IF(ISNUMBER(C8789),YEAR(C8789),"")</f>
        <v/>
      </c>
      <c r="W8789" s="23" t="str">
        <f aca="false">IF(ISNUMBER(C8789),MONTH(C8789),"")</f>
        <v/>
      </c>
      <c r="X8789" s="23" t="str">
        <f aca="false">IF(T8789="","",IF(T8789=0,"No discount",IF(T8789&lt;=0.2,"Low (1-20%)",IF(T8789&lt;=0.4,"Medium (21-40%)","High (&gt;40%)"))))</f>
        <v/>
      </c>
      <c r="Y8789" s="23" t="str">
        <f aca="false">IF(AND(ISNUMBER(C8789),ISNUMBER(D8789)),D8789-C8789,"")</f>
        <v/>
      </c>
      <c r="Z8789" s="23" t="str">
        <f aca="false">IF(B8789="","",IF(MATCH(B8789,$B$2:$B$12000,0)=ROW()-1,1,0))</f>
        <v/>
      </c>
    </row>
    <row r="8790" customFormat="false" ht="15" hidden="false" customHeight="false" outlineLevel="0" collapsed="false">
      <c r="V8790" s="23" t="str">
        <f aca="false">IF(ISNUMBER(C8790),YEAR(C8790),"")</f>
        <v/>
      </c>
      <c r="W8790" s="23" t="str">
        <f aca="false">IF(ISNUMBER(C8790),MONTH(C8790),"")</f>
        <v/>
      </c>
      <c r="X8790" s="23" t="str">
        <f aca="false">IF(T8790="","",IF(T8790=0,"No discount",IF(T8790&lt;=0.2,"Low (1-20%)",IF(T8790&lt;=0.4,"Medium (21-40%)","High (&gt;40%)"))))</f>
        <v/>
      </c>
      <c r="Y8790" s="23" t="str">
        <f aca="false">IF(AND(ISNUMBER(C8790),ISNUMBER(D8790)),D8790-C8790,"")</f>
        <v/>
      </c>
      <c r="Z8790" s="23" t="str">
        <f aca="false">IF(B8790="","",IF(MATCH(B8790,$B$2:$B$12000,0)=ROW()-1,1,0))</f>
        <v/>
      </c>
    </row>
    <row r="8791" customFormat="false" ht="15" hidden="false" customHeight="false" outlineLevel="0" collapsed="false">
      <c r="V8791" s="23" t="str">
        <f aca="false">IF(ISNUMBER(C8791),YEAR(C8791),"")</f>
        <v/>
      </c>
      <c r="W8791" s="23" t="str">
        <f aca="false">IF(ISNUMBER(C8791),MONTH(C8791),"")</f>
        <v/>
      </c>
      <c r="X8791" s="23" t="str">
        <f aca="false">IF(T8791="","",IF(T8791=0,"No discount",IF(T8791&lt;=0.2,"Low (1-20%)",IF(T8791&lt;=0.4,"Medium (21-40%)","High (&gt;40%)"))))</f>
        <v/>
      </c>
      <c r="Y8791" s="23" t="str">
        <f aca="false">IF(AND(ISNUMBER(C8791),ISNUMBER(D8791)),D8791-C8791,"")</f>
        <v/>
      </c>
      <c r="Z8791" s="23" t="str">
        <f aca="false">IF(B8791="","",IF(MATCH(B8791,$B$2:$B$12000,0)=ROW()-1,1,0))</f>
        <v/>
      </c>
    </row>
    <row r="8792" customFormat="false" ht="15" hidden="false" customHeight="false" outlineLevel="0" collapsed="false">
      <c r="V8792" s="23" t="str">
        <f aca="false">IF(ISNUMBER(C8792),YEAR(C8792),"")</f>
        <v/>
      </c>
      <c r="W8792" s="23" t="str">
        <f aca="false">IF(ISNUMBER(C8792),MONTH(C8792),"")</f>
        <v/>
      </c>
      <c r="X8792" s="23" t="str">
        <f aca="false">IF(T8792="","",IF(T8792=0,"No discount",IF(T8792&lt;=0.2,"Low (1-20%)",IF(T8792&lt;=0.4,"Medium (21-40%)","High (&gt;40%)"))))</f>
        <v/>
      </c>
      <c r="Y8792" s="23" t="str">
        <f aca="false">IF(AND(ISNUMBER(C8792),ISNUMBER(D8792)),D8792-C8792,"")</f>
        <v/>
      </c>
      <c r="Z8792" s="23" t="str">
        <f aca="false">IF(B8792="","",IF(MATCH(B8792,$B$2:$B$12000,0)=ROW()-1,1,0))</f>
        <v/>
      </c>
    </row>
    <row r="8793" customFormat="false" ht="15" hidden="false" customHeight="false" outlineLevel="0" collapsed="false">
      <c r="V8793" s="23" t="str">
        <f aca="false">IF(ISNUMBER(C8793),YEAR(C8793),"")</f>
        <v/>
      </c>
      <c r="W8793" s="23" t="str">
        <f aca="false">IF(ISNUMBER(C8793),MONTH(C8793),"")</f>
        <v/>
      </c>
      <c r="X8793" s="23" t="str">
        <f aca="false">IF(T8793="","",IF(T8793=0,"No discount",IF(T8793&lt;=0.2,"Low (1-20%)",IF(T8793&lt;=0.4,"Medium (21-40%)","High (&gt;40%)"))))</f>
        <v/>
      </c>
      <c r="Y8793" s="23" t="str">
        <f aca="false">IF(AND(ISNUMBER(C8793),ISNUMBER(D8793)),D8793-C8793,"")</f>
        <v/>
      </c>
      <c r="Z8793" s="23" t="str">
        <f aca="false">IF(B8793="","",IF(MATCH(B8793,$B$2:$B$12000,0)=ROW()-1,1,0))</f>
        <v/>
      </c>
    </row>
    <row r="8794" customFormat="false" ht="15" hidden="false" customHeight="false" outlineLevel="0" collapsed="false">
      <c r="V8794" s="23" t="str">
        <f aca="false">IF(ISNUMBER(C8794),YEAR(C8794),"")</f>
        <v/>
      </c>
      <c r="W8794" s="23" t="str">
        <f aca="false">IF(ISNUMBER(C8794),MONTH(C8794),"")</f>
        <v/>
      </c>
      <c r="X8794" s="23" t="str">
        <f aca="false">IF(T8794="","",IF(T8794=0,"No discount",IF(T8794&lt;=0.2,"Low (1-20%)",IF(T8794&lt;=0.4,"Medium (21-40%)","High (&gt;40%)"))))</f>
        <v/>
      </c>
      <c r="Y8794" s="23" t="str">
        <f aca="false">IF(AND(ISNUMBER(C8794),ISNUMBER(D8794)),D8794-C8794,"")</f>
        <v/>
      </c>
      <c r="Z8794" s="23" t="str">
        <f aca="false">IF(B8794="","",IF(MATCH(B8794,$B$2:$B$12000,0)=ROW()-1,1,0))</f>
        <v/>
      </c>
    </row>
    <row r="8795" customFormat="false" ht="15" hidden="false" customHeight="false" outlineLevel="0" collapsed="false">
      <c r="V8795" s="23" t="str">
        <f aca="false">IF(ISNUMBER(C8795),YEAR(C8795),"")</f>
        <v/>
      </c>
      <c r="W8795" s="23" t="str">
        <f aca="false">IF(ISNUMBER(C8795),MONTH(C8795),"")</f>
        <v/>
      </c>
      <c r="X8795" s="23" t="str">
        <f aca="false">IF(T8795="","",IF(T8795=0,"No discount",IF(T8795&lt;=0.2,"Low (1-20%)",IF(T8795&lt;=0.4,"Medium (21-40%)","High (&gt;40%)"))))</f>
        <v/>
      </c>
      <c r="Y8795" s="23" t="str">
        <f aca="false">IF(AND(ISNUMBER(C8795),ISNUMBER(D8795)),D8795-C8795,"")</f>
        <v/>
      </c>
      <c r="Z8795" s="23" t="str">
        <f aca="false">IF(B8795="","",IF(MATCH(B8795,$B$2:$B$12000,0)=ROW()-1,1,0))</f>
        <v/>
      </c>
    </row>
    <row r="8796" customFormat="false" ht="15" hidden="false" customHeight="false" outlineLevel="0" collapsed="false">
      <c r="V8796" s="23" t="str">
        <f aca="false">IF(ISNUMBER(C8796),YEAR(C8796),"")</f>
        <v/>
      </c>
      <c r="W8796" s="23" t="str">
        <f aca="false">IF(ISNUMBER(C8796),MONTH(C8796),"")</f>
        <v/>
      </c>
      <c r="X8796" s="23" t="str">
        <f aca="false">IF(T8796="","",IF(T8796=0,"No discount",IF(T8796&lt;=0.2,"Low (1-20%)",IF(T8796&lt;=0.4,"Medium (21-40%)","High (&gt;40%)"))))</f>
        <v/>
      </c>
      <c r="Y8796" s="23" t="str">
        <f aca="false">IF(AND(ISNUMBER(C8796),ISNUMBER(D8796)),D8796-C8796,"")</f>
        <v/>
      </c>
      <c r="Z8796" s="23" t="str">
        <f aca="false">IF(B8796="","",IF(MATCH(B8796,$B$2:$B$12000,0)=ROW()-1,1,0))</f>
        <v/>
      </c>
    </row>
    <row r="8797" customFormat="false" ht="15" hidden="false" customHeight="false" outlineLevel="0" collapsed="false">
      <c r="V8797" s="23" t="str">
        <f aca="false">IF(ISNUMBER(C8797),YEAR(C8797),"")</f>
        <v/>
      </c>
      <c r="W8797" s="23" t="str">
        <f aca="false">IF(ISNUMBER(C8797),MONTH(C8797),"")</f>
        <v/>
      </c>
      <c r="X8797" s="23" t="str">
        <f aca="false">IF(T8797="","",IF(T8797=0,"No discount",IF(T8797&lt;=0.2,"Low (1-20%)",IF(T8797&lt;=0.4,"Medium (21-40%)","High (&gt;40%)"))))</f>
        <v/>
      </c>
      <c r="Y8797" s="23" t="str">
        <f aca="false">IF(AND(ISNUMBER(C8797),ISNUMBER(D8797)),D8797-C8797,"")</f>
        <v/>
      </c>
      <c r="Z8797" s="23" t="str">
        <f aca="false">IF(B8797="","",IF(MATCH(B8797,$B$2:$B$12000,0)=ROW()-1,1,0))</f>
        <v/>
      </c>
    </row>
    <row r="8798" customFormat="false" ht="15" hidden="false" customHeight="false" outlineLevel="0" collapsed="false">
      <c r="V8798" s="23" t="str">
        <f aca="false">IF(ISNUMBER(C8798),YEAR(C8798),"")</f>
        <v/>
      </c>
      <c r="W8798" s="23" t="str">
        <f aca="false">IF(ISNUMBER(C8798),MONTH(C8798),"")</f>
        <v/>
      </c>
      <c r="X8798" s="23" t="str">
        <f aca="false">IF(T8798="","",IF(T8798=0,"No discount",IF(T8798&lt;=0.2,"Low (1-20%)",IF(T8798&lt;=0.4,"Medium (21-40%)","High (&gt;40%)"))))</f>
        <v/>
      </c>
      <c r="Y8798" s="23" t="str">
        <f aca="false">IF(AND(ISNUMBER(C8798),ISNUMBER(D8798)),D8798-C8798,"")</f>
        <v/>
      </c>
      <c r="Z8798" s="23" t="str">
        <f aca="false">IF(B8798="","",IF(MATCH(B8798,$B$2:$B$12000,0)=ROW()-1,1,0))</f>
        <v/>
      </c>
    </row>
    <row r="8799" customFormat="false" ht="15" hidden="false" customHeight="false" outlineLevel="0" collapsed="false">
      <c r="V8799" s="23" t="str">
        <f aca="false">IF(ISNUMBER(C8799),YEAR(C8799),"")</f>
        <v/>
      </c>
      <c r="W8799" s="23" t="str">
        <f aca="false">IF(ISNUMBER(C8799),MONTH(C8799),"")</f>
        <v/>
      </c>
      <c r="X8799" s="23" t="str">
        <f aca="false">IF(T8799="","",IF(T8799=0,"No discount",IF(T8799&lt;=0.2,"Low (1-20%)",IF(T8799&lt;=0.4,"Medium (21-40%)","High (&gt;40%)"))))</f>
        <v/>
      </c>
      <c r="Y8799" s="23" t="str">
        <f aca="false">IF(AND(ISNUMBER(C8799),ISNUMBER(D8799)),D8799-C8799,"")</f>
        <v/>
      </c>
      <c r="Z8799" s="23" t="str">
        <f aca="false">IF(B8799="","",IF(MATCH(B8799,$B$2:$B$12000,0)=ROW()-1,1,0))</f>
        <v/>
      </c>
    </row>
    <row r="8800" customFormat="false" ht="15" hidden="false" customHeight="false" outlineLevel="0" collapsed="false">
      <c r="V8800" s="23" t="str">
        <f aca="false">IF(ISNUMBER(C8800),YEAR(C8800),"")</f>
        <v/>
      </c>
      <c r="W8800" s="23" t="str">
        <f aca="false">IF(ISNUMBER(C8800),MONTH(C8800),"")</f>
        <v/>
      </c>
      <c r="X8800" s="23" t="str">
        <f aca="false">IF(T8800="","",IF(T8800=0,"No discount",IF(T8800&lt;=0.2,"Low (1-20%)",IF(T8800&lt;=0.4,"Medium (21-40%)","High (&gt;40%)"))))</f>
        <v/>
      </c>
      <c r="Y8800" s="23" t="str">
        <f aca="false">IF(AND(ISNUMBER(C8800),ISNUMBER(D8800)),D8800-C8800,"")</f>
        <v/>
      </c>
      <c r="Z8800" s="23" t="str">
        <f aca="false">IF(B8800="","",IF(MATCH(B8800,$B$2:$B$12000,0)=ROW()-1,1,0))</f>
        <v/>
      </c>
    </row>
    <row r="8801" customFormat="false" ht="15" hidden="false" customHeight="false" outlineLevel="0" collapsed="false">
      <c r="V8801" s="23" t="str">
        <f aca="false">IF(ISNUMBER(C8801),YEAR(C8801),"")</f>
        <v/>
      </c>
      <c r="W8801" s="23" t="str">
        <f aca="false">IF(ISNUMBER(C8801),MONTH(C8801),"")</f>
        <v/>
      </c>
      <c r="X8801" s="23" t="str">
        <f aca="false">IF(T8801="","",IF(T8801=0,"No discount",IF(T8801&lt;=0.2,"Low (1-20%)",IF(T8801&lt;=0.4,"Medium (21-40%)","High (&gt;40%)"))))</f>
        <v/>
      </c>
      <c r="Y8801" s="23" t="str">
        <f aca="false">IF(AND(ISNUMBER(C8801),ISNUMBER(D8801)),D8801-C8801,"")</f>
        <v/>
      </c>
      <c r="Z8801" s="23" t="str">
        <f aca="false">IF(B8801="","",IF(MATCH(B8801,$B$2:$B$12000,0)=ROW()-1,1,0))</f>
        <v/>
      </c>
    </row>
    <row r="8802" customFormat="false" ht="15" hidden="false" customHeight="false" outlineLevel="0" collapsed="false">
      <c r="V8802" s="23" t="str">
        <f aca="false">IF(ISNUMBER(C8802),YEAR(C8802),"")</f>
        <v/>
      </c>
      <c r="W8802" s="23" t="str">
        <f aca="false">IF(ISNUMBER(C8802),MONTH(C8802),"")</f>
        <v/>
      </c>
      <c r="X8802" s="23" t="str">
        <f aca="false">IF(T8802="","",IF(T8802=0,"No discount",IF(T8802&lt;=0.2,"Low (1-20%)",IF(T8802&lt;=0.4,"Medium (21-40%)","High (&gt;40%)"))))</f>
        <v/>
      </c>
      <c r="Y8802" s="23" t="str">
        <f aca="false">IF(AND(ISNUMBER(C8802),ISNUMBER(D8802)),D8802-C8802,"")</f>
        <v/>
      </c>
      <c r="Z8802" s="23" t="str">
        <f aca="false">IF(B8802="","",IF(MATCH(B8802,$B$2:$B$12000,0)=ROW()-1,1,0))</f>
        <v/>
      </c>
    </row>
    <row r="8803" customFormat="false" ht="15" hidden="false" customHeight="false" outlineLevel="0" collapsed="false">
      <c r="V8803" s="23" t="str">
        <f aca="false">IF(ISNUMBER(C8803),YEAR(C8803),"")</f>
        <v/>
      </c>
      <c r="W8803" s="23" t="str">
        <f aca="false">IF(ISNUMBER(C8803),MONTH(C8803),"")</f>
        <v/>
      </c>
      <c r="X8803" s="23" t="str">
        <f aca="false">IF(T8803="","",IF(T8803=0,"No discount",IF(T8803&lt;=0.2,"Low (1-20%)",IF(T8803&lt;=0.4,"Medium (21-40%)","High (&gt;40%)"))))</f>
        <v/>
      </c>
      <c r="Y8803" s="23" t="str">
        <f aca="false">IF(AND(ISNUMBER(C8803),ISNUMBER(D8803)),D8803-C8803,"")</f>
        <v/>
      </c>
      <c r="Z8803" s="23" t="str">
        <f aca="false">IF(B8803="","",IF(MATCH(B8803,$B$2:$B$12000,0)=ROW()-1,1,0))</f>
        <v/>
      </c>
    </row>
    <row r="8804" customFormat="false" ht="15" hidden="false" customHeight="false" outlineLevel="0" collapsed="false">
      <c r="V8804" s="23" t="str">
        <f aca="false">IF(ISNUMBER(C8804),YEAR(C8804),"")</f>
        <v/>
      </c>
      <c r="W8804" s="23" t="str">
        <f aca="false">IF(ISNUMBER(C8804),MONTH(C8804),"")</f>
        <v/>
      </c>
      <c r="X8804" s="23" t="str">
        <f aca="false">IF(T8804="","",IF(T8804=0,"No discount",IF(T8804&lt;=0.2,"Low (1-20%)",IF(T8804&lt;=0.4,"Medium (21-40%)","High (&gt;40%)"))))</f>
        <v/>
      </c>
      <c r="Y8804" s="23" t="str">
        <f aca="false">IF(AND(ISNUMBER(C8804),ISNUMBER(D8804)),D8804-C8804,"")</f>
        <v/>
      </c>
      <c r="Z8804" s="23" t="str">
        <f aca="false">IF(B8804="","",IF(MATCH(B8804,$B$2:$B$12000,0)=ROW()-1,1,0))</f>
        <v/>
      </c>
    </row>
    <row r="8805" customFormat="false" ht="15" hidden="false" customHeight="false" outlineLevel="0" collapsed="false">
      <c r="V8805" s="23" t="str">
        <f aca="false">IF(ISNUMBER(C8805),YEAR(C8805),"")</f>
        <v/>
      </c>
      <c r="W8805" s="23" t="str">
        <f aca="false">IF(ISNUMBER(C8805),MONTH(C8805),"")</f>
        <v/>
      </c>
      <c r="X8805" s="23" t="str">
        <f aca="false">IF(T8805="","",IF(T8805=0,"No discount",IF(T8805&lt;=0.2,"Low (1-20%)",IF(T8805&lt;=0.4,"Medium (21-40%)","High (&gt;40%)"))))</f>
        <v/>
      </c>
      <c r="Y8805" s="23" t="str">
        <f aca="false">IF(AND(ISNUMBER(C8805),ISNUMBER(D8805)),D8805-C8805,"")</f>
        <v/>
      </c>
      <c r="Z8805" s="23" t="str">
        <f aca="false">IF(B8805="","",IF(MATCH(B8805,$B$2:$B$12000,0)=ROW()-1,1,0))</f>
        <v/>
      </c>
    </row>
    <row r="8806" customFormat="false" ht="15" hidden="false" customHeight="false" outlineLevel="0" collapsed="false">
      <c r="V8806" s="23" t="str">
        <f aca="false">IF(ISNUMBER(C8806),YEAR(C8806),"")</f>
        <v/>
      </c>
      <c r="W8806" s="23" t="str">
        <f aca="false">IF(ISNUMBER(C8806),MONTH(C8806),"")</f>
        <v/>
      </c>
      <c r="X8806" s="23" t="str">
        <f aca="false">IF(T8806="","",IF(T8806=0,"No discount",IF(T8806&lt;=0.2,"Low (1-20%)",IF(T8806&lt;=0.4,"Medium (21-40%)","High (&gt;40%)"))))</f>
        <v/>
      </c>
      <c r="Y8806" s="23" t="str">
        <f aca="false">IF(AND(ISNUMBER(C8806),ISNUMBER(D8806)),D8806-C8806,"")</f>
        <v/>
      </c>
      <c r="Z8806" s="23" t="str">
        <f aca="false">IF(B8806="","",IF(MATCH(B8806,$B$2:$B$12000,0)=ROW()-1,1,0))</f>
        <v/>
      </c>
    </row>
    <row r="8807" customFormat="false" ht="15" hidden="false" customHeight="false" outlineLevel="0" collapsed="false">
      <c r="V8807" s="23" t="str">
        <f aca="false">IF(ISNUMBER(C8807),YEAR(C8807),"")</f>
        <v/>
      </c>
      <c r="W8807" s="23" t="str">
        <f aca="false">IF(ISNUMBER(C8807),MONTH(C8807),"")</f>
        <v/>
      </c>
      <c r="X8807" s="23" t="str">
        <f aca="false">IF(T8807="","",IF(T8807=0,"No discount",IF(T8807&lt;=0.2,"Low (1-20%)",IF(T8807&lt;=0.4,"Medium (21-40%)","High (&gt;40%)"))))</f>
        <v/>
      </c>
      <c r="Y8807" s="23" t="str">
        <f aca="false">IF(AND(ISNUMBER(C8807),ISNUMBER(D8807)),D8807-C8807,"")</f>
        <v/>
      </c>
      <c r="Z8807" s="23" t="str">
        <f aca="false">IF(B8807="","",IF(MATCH(B8807,$B$2:$B$12000,0)=ROW()-1,1,0))</f>
        <v/>
      </c>
    </row>
    <row r="8808" customFormat="false" ht="15" hidden="false" customHeight="false" outlineLevel="0" collapsed="false">
      <c r="V8808" s="23" t="str">
        <f aca="false">IF(ISNUMBER(C8808),YEAR(C8808),"")</f>
        <v/>
      </c>
      <c r="W8808" s="23" t="str">
        <f aca="false">IF(ISNUMBER(C8808),MONTH(C8808),"")</f>
        <v/>
      </c>
      <c r="X8808" s="23" t="str">
        <f aca="false">IF(T8808="","",IF(T8808=0,"No discount",IF(T8808&lt;=0.2,"Low (1-20%)",IF(T8808&lt;=0.4,"Medium (21-40%)","High (&gt;40%)"))))</f>
        <v/>
      </c>
      <c r="Y8808" s="23" t="str">
        <f aca="false">IF(AND(ISNUMBER(C8808),ISNUMBER(D8808)),D8808-C8808,"")</f>
        <v/>
      </c>
      <c r="Z8808" s="23" t="str">
        <f aca="false">IF(B8808="","",IF(MATCH(B8808,$B$2:$B$12000,0)=ROW()-1,1,0))</f>
        <v/>
      </c>
    </row>
    <row r="8809" customFormat="false" ht="15" hidden="false" customHeight="false" outlineLevel="0" collapsed="false">
      <c r="V8809" s="23" t="str">
        <f aca="false">IF(ISNUMBER(C8809),YEAR(C8809),"")</f>
        <v/>
      </c>
      <c r="W8809" s="23" t="str">
        <f aca="false">IF(ISNUMBER(C8809),MONTH(C8809),"")</f>
        <v/>
      </c>
      <c r="X8809" s="23" t="str">
        <f aca="false">IF(T8809="","",IF(T8809=0,"No discount",IF(T8809&lt;=0.2,"Low (1-20%)",IF(T8809&lt;=0.4,"Medium (21-40%)","High (&gt;40%)"))))</f>
        <v/>
      </c>
      <c r="Y8809" s="23" t="str">
        <f aca="false">IF(AND(ISNUMBER(C8809),ISNUMBER(D8809)),D8809-C8809,"")</f>
        <v/>
      </c>
      <c r="Z8809" s="23" t="str">
        <f aca="false">IF(B8809="","",IF(MATCH(B8809,$B$2:$B$12000,0)=ROW()-1,1,0))</f>
        <v/>
      </c>
    </row>
    <row r="8810" customFormat="false" ht="15" hidden="false" customHeight="false" outlineLevel="0" collapsed="false">
      <c r="V8810" s="23" t="str">
        <f aca="false">IF(ISNUMBER(C8810),YEAR(C8810),"")</f>
        <v/>
      </c>
      <c r="W8810" s="23" t="str">
        <f aca="false">IF(ISNUMBER(C8810),MONTH(C8810),"")</f>
        <v/>
      </c>
      <c r="X8810" s="23" t="str">
        <f aca="false">IF(T8810="","",IF(T8810=0,"No discount",IF(T8810&lt;=0.2,"Low (1-20%)",IF(T8810&lt;=0.4,"Medium (21-40%)","High (&gt;40%)"))))</f>
        <v/>
      </c>
      <c r="Y8810" s="23" t="str">
        <f aca="false">IF(AND(ISNUMBER(C8810),ISNUMBER(D8810)),D8810-C8810,"")</f>
        <v/>
      </c>
      <c r="Z8810" s="23" t="str">
        <f aca="false">IF(B8810="","",IF(MATCH(B8810,$B$2:$B$12000,0)=ROW()-1,1,0))</f>
        <v/>
      </c>
    </row>
    <row r="8811" customFormat="false" ht="15" hidden="false" customHeight="false" outlineLevel="0" collapsed="false">
      <c r="V8811" s="23" t="str">
        <f aca="false">IF(ISNUMBER(C8811),YEAR(C8811),"")</f>
        <v/>
      </c>
      <c r="W8811" s="23" t="str">
        <f aca="false">IF(ISNUMBER(C8811),MONTH(C8811),"")</f>
        <v/>
      </c>
      <c r="X8811" s="23" t="str">
        <f aca="false">IF(T8811="","",IF(T8811=0,"No discount",IF(T8811&lt;=0.2,"Low (1-20%)",IF(T8811&lt;=0.4,"Medium (21-40%)","High (&gt;40%)"))))</f>
        <v/>
      </c>
      <c r="Y8811" s="23" t="str">
        <f aca="false">IF(AND(ISNUMBER(C8811),ISNUMBER(D8811)),D8811-C8811,"")</f>
        <v/>
      </c>
      <c r="Z8811" s="23" t="str">
        <f aca="false">IF(B8811="","",IF(MATCH(B8811,$B$2:$B$12000,0)=ROW()-1,1,0))</f>
        <v/>
      </c>
    </row>
    <row r="8812" customFormat="false" ht="15" hidden="false" customHeight="false" outlineLevel="0" collapsed="false">
      <c r="V8812" s="23" t="str">
        <f aca="false">IF(ISNUMBER(C8812),YEAR(C8812),"")</f>
        <v/>
      </c>
      <c r="W8812" s="23" t="str">
        <f aca="false">IF(ISNUMBER(C8812),MONTH(C8812),"")</f>
        <v/>
      </c>
      <c r="X8812" s="23" t="str">
        <f aca="false">IF(T8812="","",IF(T8812=0,"No discount",IF(T8812&lt;=0.2,"Low (1-20%)",IF(T8812&lt;=0.4,"Medium (21-40%)","High (&gt;40%)"))))</f>
        <v/>
      </c>
      <c r="Y8812" s="23" t="str">
        <f aca="false">IF(AND(ISNUMBER(C8812),ISNUMBER(D8812)),D8812-C8812,"")</f>
        <v/>
      </c>
      <c r="Z8812" s="23" t="str">
        <f aca="false">IF(B8812="","",IF(MATCH(B8812,$B$2:$B$12000,0)=ROW()-1,1,0))</f>
        <v/>
      </c>
    </row>
    <row r="8813" customFormat="false" ht="15" hidden="false" customHeight="false" outlineLevel="0" collapsed="false">
      <c r="V8813" s="23" t="str">
        <f aca="false">IF(ISNUMBER(C8813),YEAR(C8813),"")</f>
        <v/>
      </c>
      <c r="W8813" s="23" t="str">
        <f aca="false">IF(ISNUMBER(C8813),MONTH(C8813),"")</f>
        <v/>
      </c>
      <c r="X8813" s="23" t="str">
        <f aca="false">IF(T8813="","",IF(T8813=0,"No discount",IF(T8813&lt;=0.2,"Low (1-20%)",IF(T8813&lt;=0.4,"Medium (21-40%)","High (&gt;40%)"))))</f>
        <v/>
      </c>
      <c r="Y8813" s="23" t="str">
        <f aca="false">IF(AND(ISNUMBER(C8813),ISNUMBER(D8813)),D8813-C8813,"")</f>
        <v/>
      </c>
      <c r="Z8813" s="23" t="str">
        <f aca="false">IF(B8813="","",IF(MATCH(B8813,$B$2:$B$12000,0)=ROW()-1,1,0))</f>
        <v/>
      </c>
    </row>
    <row r="8814" customFormat="false" ht="15" hidden="false" customHeight="false" outlineLevel="0" collapsed="false">
      <c r="V8814" s="23" t="str">
        <f aca="false">IF(ISNUMBER(C8814),YEAR(C8814),"")</f>
        <v/>
      </c>
      <c r="W8814" s="23" t="str">
        <f aca="false">IF(ISNUMBER(C8814),MONTH(C8814),"")</f>
        <v/>
      </c>
      <c r="X8814" s="23" t="str">
        <f aca="false">IF(T8814="","",IF(T8814=0,"No discount",IF(T8814&lt;=0.2,"Low (1-20%)",IF(T8814&lt;=0.4,"Medium (21-40%)","High (&gt;40%)"))))</f>
        <v/>
      </c>
      <c r="Y8814" s="23" t="str">
        <f aca="false">IF(AND(ISNUMBER(C8814),ISNUMBER(D8814)),D8814-C8814,"")</f>
        <v/>
      </c>
      <c r="Z8814" s="23" t="str">
        <f aca="false">IF(B8814="","",IF(MATCH(B8814,$B$2:$B$12000,0)=ROW()-1,1,0))</f>
        <v/>
      </c>
    </row>
    <row r="8815" customFormat="false" ht="15" hidden="false" customHeight="false" outlineLevel="0" collapsed="false">
      <c r="V8815" s="23" t="str">
        <f aca="false">IF(ISNUMBER(C8815),YEAR(C8815),"")</f>
        <v/>
      </c>
      <c r="W8815" s="23" t="str">
        <f aca="false">IF(ISNUMBER(C8815),MONTH(C8815),"")</f>
        <v/>
      </c>
      <c r="X8815" s="23" t="str">
        <f aca="false">IF(T8815="","",IF(T8815=0,"No discount",IF(T8815&lt;=0.2,"Low (1-20%)",IF(T8815&lt;=0.4,"Medium (21-40%)","High (&gt;40%)"))))</f>
        <v/>
      </c>
      <c r="Y8815" s="23" t="str">
        <f aca="false">IF(AND(ISNUMBER(C8815),ISNUMBER(D8815)),D8815-C8815,"")</f>
        <v/>
      </c>
      <c r="Z8815" s="23" t="str">
        <f aca="false">IF(B8815="","",IF(MATCH(B8815,$B$2:$B$12000,0)=ROW()-1,1,0))</f>
        <v/>
      </c>
    </row>
    <row r="8816" customFormat="false" ht="15" hidden="false" customHeight="false" outlineLevel="0" collapsed="false">
      <c r="V8816" s="23" t="str">
        <f aca="false">IF(ISNUMBER(C8816),YEAR(C8816),"")</f>
        <v/>
      </c>
      <c r="W8816" s="23" t="str">
        <f aca="false">IF(ISNUMBER(C8816),MONTH(C8816),"")</f>
        <v/>
      </c>
      <c r="X8816" s="23" t="str">
        <f aca="false">IF(T8816="","",IF(T8816=0,"No discount",IF(T8816&lt;=0.2,"Low (1-20%)",IF(T8816&lt;=0.4,"Medium (21-40%)","High (&gt;40%)"))))</f>
        <v/>
      </c>
      <c r="Y8816" s="23" t="str">
        <f aca="false">IF(AND(ISNUMBER(C8816),ISNUMBER(D8816)),D8816-C8816,"")</f>
        <v/>
      </c>
      <c r="Z8816" s="23" t="str">
        <f aca="false">IF(B8816="","",IF(MATCH(B8816,$B$2:$B$12000,0)=ROW()-1,1,0))</f>
        <v/>
      </c>
    </row>
    <row r="8817" customFormat="false" ht="15" hidden="false" customHeight="false" outlineLevel="0" collapsed="false">
      <c r="V8817" s="23" t="str">
        <f aca="false">IF(ISNUMBER(C8817),YEAR(C8817),"")</f>
        <v/>
      </c>
      <c r="W8817" s="23" t="str">
        <f aca="false">IF(ISNUMBER(C8817),MONTH(C8817),"")</f>
        <v/>
      </c>
      <c r="X8817" s="23" t="str">
        <f aca="false">IF(T8817="","",IF(T8817=0,"No discount",IF(T8817&lt;=0.2,"Low (1-20%)",IF(T8817&lt;=0.4,"Medium (21-40%)","High (&gt;40%)"))))</f>
        <v/>
      </c>
      <c r="Y8817" s="23" t="str">
        <f aca="false">IF(AND(ISNUMBER(C8817),ISNUMBER(D8817)),D8817-C8817,"")</f>
        <v/>
      </c>
      <c r="Z8817" s="23" t="str">
        <f aca="false">IF(B8817="","",IF(MATCH(B8817,$B$2:$B$12000,0)=ROW()-1,1,0))</f>
        <v/>
      </c>
    </row>
    <row r="8818" customFormat="false" ht="15" hidden="false" customHeight="false" outlineLevel="0" collapsed="false">
      <c r="V8818" s="23" t="str">
        <f aca="false">IF(ISNUMBER(C8818),YEAR(C8818),"")</f>
        <v/>
      </c>
      <c r="W8818" s="23" t="str">
        <f aca="false">IF(ISNUMBER(C8818),MONTH(C8818),"")</f>
        <v/>
      </c>
      <c r="X8818" s="23" t="str">
        <f aca="false">IF(T8818="","",IF(T8818=0,"No discount",IF(T8818&lt;=0.2,"Low (1-20%)",IF(T8818&lt;=0.4,"Medium (21-40%)","High (&gt;40%)"))))</f>
        <v/>
      </c>
      <c r="Y8818" s="23" t="str">
        <f aca="false">IF(AND(ISNUMBER(C8818),ISNUMBER(D8818)),D8818-C8818,"")</f>
        <v/>
      </c>
      <c r="Z8818" s="23" t="str">
        <f aca="false">IF(B8818="","",IF(MATCH(B8818,$B$2:$B$12000,0)=ROW()-1,1,0))</f>
        <v/>
      </c>
    </row>
    <row r="8819" customFormat="false" ht="15" hidden="false" customHeight="false" outlineLevel="0" collapsed="false">
      <c r="V8819" s="23" t="str">
        <f aca="false">IF(ISNUMBER(C8819),YEAR(C8819),"")</f>
        <v/>
      </c>
      <c r="W8819" s="23" t="str">
        <f aca="false">IF(ISNUMBER(C8819),MONTH(C8819),"")</f>
        <v/>
      </c>
      <c r="X8819" s="23" t="str">
        <f aca="false">IF(T8819="","",IF(T8819=0,"No discount",IF(T8819&lt;=0.2,"Low (1-20%)",IF(T8819&lt;=0.4,"Medium (21-40%)","High (&gt;40%)"))))</f>
        <v/>
      </c>
      <c r="Y8819" s="23" t="str">
        <f aca="false">IF(AND(ISNUMBER(C8819),ISNUMBER(D8819)),D8819-C8819,"")</f>
        <v/>
      </c>
      <c r="Z8819" s="23" t="str">
        <f aca="false">IF(B8819="","",IF(MATCH(B8819,$B$2:$B$12000,0)=ROW()-1,1,0))</f>
        <v/>
      </c>
    </row>
    <row r="8820" customFormat="false" ht="15" hidden="false" customHeight="false" outlineLevel="0" collapsed="false">
      <c r="V8820" s="23" t="str">
        <f aca="false">IF(ISNUMBER(C8820),YEAR(C8820),"")</f>
        <v/>
      </c>
      <c r="W8820" s="23" t="str">
        <f aca="false">IF(ISNUMBER(C8820),MONTH(C8820),"")</f>
        <v/>
      </c>
      <c r="X8820" s="23" t="str">
        <f aca="false">IF(T8820="","",IF(T8820=0,"No discount",IF(T8820&lt;=0.2,"Low (1-20%)",IF(T8820&lt;=0.4,"Medium (21-40%)","High (&gt;40%)"))))</f>
        <v/>
      </c>
      <c r="Y8820" s="23" t="str">
        <f aca="false">IF(AND(ISNUMBER(C8820),ISNUMBER(D8820)),D8820-C8820,"")</f>
        <v/>
      </c>
      <c r="Z8820" s="23" t="str">
        <f aca="false">IF(B8820="","",IF(MATCH(B8820,$B$2:$B$12000,0)=ROW()-1,1,0))</f>
        <v/>
      </c>
    </row>
    <row r="8821" customFormat="false" ht="15" hidden="false" customHeight="false" outlineLevel="0" collapsed="false">
      <c r="V8821" s="23" t="str">
        <f aca="false">IF(ISNUMBER(C8821),YEAR(C8821),"")</f>
        <v/>
      </c>
      <c r="W8821" s="23" t="str">
        <f aca="false">IF(ISNUMBER(C8821),MONTH(C8821),"")</f>
        <v/>
      </c>
      <c r="X8821" s="23" t="str">
        <f aca="false">IF(T8821="","",IF(T8821=0,"No discount",IF(T8821&lt;=0.2,"Low (1-20%)",IF(T8821&lt;=0.4,"Medium (21-40%)","High (&gt;40%)"))))</f>
        <v/>
      </c>
      <c r="Y8821" s="23" t="str">
        <f aca="false">IF(AND(ISNUMBER(C8821),ISNUMBER(D8821)),D8821-C8821,"")</f>
        <v/>
      </c>
      <c r="Z8821" s="23" t="str">
        <f aca="false">IF(B8821="","",IF(MATCH(B8821,$B$2:$B$12000,0)=ROW()-1,1,0))</f>
        <v/>
      </c>
    </row>
    <row r="8822" customFormat="false" ht="15" hidden="false" customHeight="false" outlineLevel="0" collapsed="false">
      <c r="V8822" s="23" t="str">
        <f aca="false">IF(ISNUMBER(C8822),YEAR(C8822),"")</f>
        <v/>
      </c>
      <c r="W8822" s="23" t="str">
        <f aca="false">IF(ISNUMBER(C8822),MONTH(C8822),"")</f>
        <v/>
      </c>
      <c r="X8822" s="23" t="str">
        <f aca="false">IF(T8822="","",IF(T8822=0,"No discount",IF(T8822&lt;=0.2,"Low (1-20%)",IF(T8822&lt;=0.4,"Medium (21-40%)","High (&gt;40%)"))))</f>
        <v/>
      </c>
      <c r="Y8822" s="23" t="str">
        <f aca="false">IF(AND(ISNUMBER(C8822),ISNUMBER(D8822)),D8822-C8822,"")</f>
        <v/>
      </c>
      <c r="Z8822" s="23" t="str">
        <f aca="false">IF(B8822="","",IF(MATCH(B8822,$B$2:$B$12000,0)=ROW()-1,1,0))</f>
        <v/>
      </c>
    </row>
    <row r="8823" customFormat="false" ht="15" hidden="false" customHeight="false" outlineLevel="0" collapsed="false">
      <c r="V8823" s="23" t="str">
        <f aca="false">IF(ISNUMBER(C8823),YEAR(C8823),"")</f>
        <v/>
      </c>
      <c r="W8823" s="23" t="str">
        <f aca="false">IF(ISNUMBER(C8823),MONTH(C8823),"")</f>
        <v/>
      </c>
      <c r="X8823" s="23" t="str">
        <f aca="false">IF(T8823="","",IF(T8823=0,"No discount",IF(T8823&lt;=0.2,"Low (1-20%)",IF(T8823&lt;=0.4,"Medium (21-40%)","High (&gt;40%)"))))</f>
        <v/>
      </c>
      <c r="Y8823" s="23" t="str">
        <f aca="false">IF(AND(ISNUMBER(C8823),ISNUMBER(D8823)),D8823-C8823,"")</f>
        <v/>
      </c>
      <c r="Z8823" s="23" t="str">
        <f aca="false">IF(B8823="","",IF(MATCH(B8823,$B$2:$B$12000,0)=ROW()-1,1,0))</f>
        <v/>
      </c>
    </row>
    <row r="8824" customFormat="false" ht="15" hidden="false" customHeight="false" outlineLevel="0" collapsed="false">
      <c r="V8824" s="23" t="str">
        <f aca="false">IF(ISNUMBER(C8824),YEAR(C8824),"")</f>
        <v/>
      </c>
      <c r="W8824" s="23" t="str">
        <f aca="false">IF(ISNUMBER(C8824),MONTH(C8824),"")</f>
        <v/>
      </c>
      <c r="X8824" s="23" t="str">
        <f aca="false">IF(T8824="","",IF(T8824=0,"No discount",IF(T8824&lt;=0.2,"Low (1-20%)",IF(T8824&lt;=0.4,"Medium (21-40%)","High (&gt;40%)"))))</f>
        <v/>
      </c>
      <c r="Y8824" s="23" t="str">
        <f aca="false">IF(AND(ISNUMBER(C8824),ISNUMBER(D8824)),D8824-C8824,"")</f>
        <v/>
      </c>
      <c r="Z8824" s="23" t="str">
        <f aca="false">IF(B8824="","",IF(MATCH(B8824,$B$2:$B$12000,0)=ROW()-1,1,0))</f>
        <v/>
      </c>
    </row>
    <row r="8825" customFormat="false" ht="15" hidden="false" customHeight="false" outlineLevel="0" collapsed="false">
      <c r="V8825" s="23" t="str">
        <f aca="false">IF(ISNUMBER(C8825),YEAR(C8825),"")</f>
        <v/>
      </c>
      <c r="W8825" s="23" t="str">
        <f aca="false">IF(ISNUMBER(C8825),MONTH(C8825),"")</f>
        <v/>
      </c>
      <c r="X8825" s="23" t="str">
        <f aca="false">IF(T8825="","",IF(T8825=0,"No discount",IF(T8825&lt;=0.2,"Low (1-20%)",IF(T8825&lt;=0.4,"Medium (21-40%)","High (&gt;40%)"))))</f>
        <v/>
      </c>
      <c r="Y8825" s="23" t="str">
        <f aca="false">IF(AND(ISNUMBER(C8825),ISNUMBER(D8825)),D8825-C8825,"")</f>
        <v/>
      </c>
      <c r="Z8825" s="23" t="str">
        <f aca="false">IF(B8825="","",IF(MATCH(B8825,$B$2:$B$12000,0)=ROW()-1,1,0))</f>
        <v/>
      </c>
    </row>
    <row r="8826" customFormat="false" ht="15" hidden="false" customHeight="false" outlineLevel="0" collapsed="false">
      <c r="V8826" s="23" t="str">
        <f aca="false">IF(ISNUMBER(C8826),YEAR(C8826),"")</f>
        <v/>
      </c>
      <c r="W8826" s="23" t="str">
        <f aca="false">IF(ISNUMBER(C8826),MONTH(C8826),"")</f>
        <v/>
      </c>
      <c r="X8826" s="23" t="str">
        <f aca="false">IF(T8826="","",IF(T8826=0,"No discount",IF(T8826&lt;=0.2,"Low (1-20%)",IF(T8826&lt;=0.4,"Medium (21-40%)","High (&gt;40%)"))))</f>
        <v/>
      </c>
      <c r="Y8826" s="23" t="str">
        <f aca="false">IF(AND(ISNUMBER(C8826),ISNUMBER(D8826)),D8826-C8826,"")</f>
        <v/>
      </c>
      <c r="Z8826" s="23" t="str">
        <f aca="false">IF(B8826="","",IF(MATCH(B8826,$B$2:$B$12000,0)=ROW()-1,1,0))</f>
        <v/>
      </c>
    </row>
    <row r="8827" customFormat="false" ht="15" hidden="false" customHeight="false" outlineLevel="0" collapsed="false">
      <c r="V8827" s="23" t="str">
        <f aca="false">IF(ISNUMBER(C8827),YEAR(C8827),"")</f>
        <v/>
      </c>
      <c r="W8827" s="23" t="str">
        <f aca="false">IF(ISNUMBER(C8827),MONTH(C8827),"")</f>
        <v/>
      </c>
      <c r="X8827" s="23" t="str">
        <f aca="false">IF(T8827="","",IF(T8827=0,"No discount",IF(T8827&lt;=0.2,"Low (1-20%)",IF(T8827&lt;=0.4,"Medium (21-40%)","High (&gt;40%)"))))</f>
        <v/>
      </c>
      <c r="Y8827" s="23" t="str">
        <f aca="false">IF(AND(ISNUMBER(C8827),ISNUMBER(D8827)),D8827-C8827,"")</f>
        <v/>
      </c>
      <c r="Z8827" s="23" t="str">
        <f aca="false">IF(B8827="","",IF(MATCH(B8827,$B$2:$B$12000,0)=ROW()-1,1,0))</f>
        <v/>
      </c>
    </row>
    <row r="8828" customFormat="false" ht="15" hidden="false" customHeight="false" outlineLevel="0" collapsed="false">
      <c r="V8828" s="23" t="str">
        <f aca="false">IF(ISNUMBER(C8828),YEAR(C8828),"")</f>
        <v/>
      </c>
      <c r="W8828" s="23" t="str">
        <f aca="false">IF(ISNUMBER(C8828),MONTH(C8828),"")</f>
        <v/>
      </c>
      <c r="X8828" s="23" t="str">
        <f aca="false">IF(T8828="","",IF(T8828=0,"No discount",IF(T8828&lt;=0.2,"Low (1-20%)",IF(T8828&lt;=0.4,"Medium (21-40%)","High (&gt;40%)"))))</f>
        <v/>
      </c>
      <c r="Y8828" s="23" t="str">
        <f aca="false">IF(AND(ISNUMBER(C8828),ISNUMBER(D8828)),D8828-C8828,"")</f>
        <v/>
      </c>
      <c r="Z8828" s="23" t="str">
        <f aca="false">IF(B8828="","",IF(MATCH(B8828,$B$2:$B$12000,0)=ROW()-1,1,0))</f>
        <v/>
      </c>
    </row>
    <row r="8829" customFormat="false" ht="15" hidden="false" customHeight="false" outlineLevel="0" collapsed="false">
      <c r="V8829" s="23" t="str">
        <f aca="false">IF(ISNUMBER(C8829),YEAR(C8829),"")</f>
        <v/>
      </c>
      <c r="W8829" s="23" t="str">
        <f aca="false">IF(ISNUMBER(C8829),MONTH(C8829),"")</f>
        <v/>
      </c>
      <c r="X8829" s="23" t="str">
        <f aca="false">IF(T8829="","",IF(T8829=0,"No discount",IF(T8829&lt;=0.2,"Low (1-20%)",IF(T8829&lt;=0.4,"Medium (21-40%)","High (&gt;40%)"))))</f>
        <v/>
      </c>
      <c r="Y8829" s="23" t="str">
        <f aca="false">IF(AND(ISNUMBER(C8829),ISNUMBER(D8829)),D8829-C8829,"")</f>
        <v/>
      </c>
      <c r="Z8829" s="23" t="str">
        <f aca="false">IF(B8829="","",IF(MATCH(B8829,$B$2:$B$12000,0)=ROW()-1,1,0))</f>
        <v/>
      </c>
    </row>
    <row r="8830" customFormat="false" ht="15" hidden="false" customHeight="false" outlineLevel="0" collapsed="false">
      <c r="V8830" s="23" t="str">
        <f aca="false">IF(ISNUMBER(C8830),YEAR(C8830),"")</f>
        <v/>
      </c>
      <c r="W8830" s="23" t="str">
        <f aca="false">IF(ISNUMBER(C8830),MONTH(C8830),"")</f>
        <v/>
      </c>
      <c r="X8830" s="23" t="str">
        <f aca="false">IF(T8830="","",IF(T8830=0,"No discount",IF(T8830&lt;=0.2,"Low (1-20%)",IF(T8830&lt;=0.4,"Medium (21-40%)","High (&gt;40%)"))))</f>
        <v/>
      </c>
      <c r="Y8830" s="23" t="str">
        <f aca="false">IF(AND(ISNUMBER(C8830),ISNUMBER(D8830)),D8830-C8830,"")</f>
        <v/>
      </c>
      <c r="Z8830" s="23" t="str">
        <f aca="false">IF(B8830="","",IF(MATCH(B8830,$B$2:$B$12000,0)=ROW()-1,1,0))</f>
        <v/>
      </c>
    </row>
    <row r="8831" customFormat="false" ht="15" hidden="false" customHeight="false" outlineLevel="0" collapsed="false">
      <c r="V8831" s="23" t="str">
        <f aca="false">IF(ISNUMBER(C8831),YEAR(C8831),"")</f>
        <v/>
      </c>
      <c r="W8831" s="23" t="str">
        <f aca="false">IF(ISNUMBER(C8831),MONTH(C8831),"")</f>
        <v/>
      </c>
      <c r="X8831" s="23" t="str">
        <f aca="false">IF(T8831="","",IF(T8831=0,"No discount",IF(T8831&lt;=0.2,"Low (1-20%)",IF(T8831&lt;=0.4,"Medium (21-40%)","High (&gt;40%)"))))</f>
        <v/>
      </c>
      <c r="Y8831" s="23" t="str">
        <f aca="false">IF(AND(ISNUMBER(C8831),ISNUMBER(D8831)),D8831-C8831,"")</f>
        <v/>
      </c>
      <c r="Z8831" s="23" t="str">
        <f aca="false">IF(B8831="","",IF(MATCH(B8831,$B$2:$B$12000,0)=ROW()-1,1,0))</f>
        <v/>
      </c>
    </row>
    <row r="8832" customFormat="false" ht="15" hidden="false" customHeight="false" outlineLevel="0" collapsed="false">
      <c r="V8832" s="23" t="str">
        <f aca="false">IF(ISNUMBER(C8832),YEAR(C8832),"")</f>
        <v/>
      </c>
      <c r="W8832" s="23" t="str">
        <f aca="false">IF(ISNUMBER(C8832),MONTH(C8832),"")</f>
        <v/>
      </c>
      <c r="X8832" s="23" t="str">
        <f aca="false">IF(T8832="","",IF(T8832=0,"No discount",IF(T8832&lt;=0.2,"Low (1-20%)",IF(T8832&lt;=0.4,"Medium (21-40%)","High (&gt;40%)"))))</f>
        <v/>
      </c>
      <c r="Y8832" s="23" t="str">
        <f aca="false">IF(AND(ISNUMBER(C8832),ISNUMBER(D8832)),D8832-C8832,"")</f>
        <v/>
      </c>
      <c r="Z8832" s="23" t="str">
        <f aca="false">IF(B8832="","",IF(MATCH(B8832,$B$2:$B$12000,0)=ROW()-1,1,0))</f>
        <v/>
      </c>
    </row>
    <row r="8833" customFormat="false" ht="15" hidden="false" customHeight="false" outlineLevel="0" collapsed="false">
      <c r="V8833" s="23" t="str">
        <f aca="false">IF(ISNUMBER(C8833),YEAR(C8833),"")</f>
        <v/>
      </c>
      <c r="W8833" s="23" t="str">
        <f aca="false">IF(ISNUMBER(C8833),MONTH(C8833),"")</f>
        <v/>
      </c>
      <c r="X8833" s="23" t="str">
        <f aca="false">IF(T8833="","",IF(T8833=0,"No discount",IF(T8833&lt;=0.2,"Low (1-20%)",IF(T8833&lt;=0.4,"Medium (21-40%)","High (&gt;40%)"))))</f>
        <v/>
      </c>
      <c r="Y8833" s="23" t="str">
        <f aca="false">IF(AND(ISNUMBER(C8833),ISNUMBER(D8833)),D8833-C8833,"")</f>
        <v/>
      </c>
      <c r="Z8833" s="23" t="str">
        <f aca="false">IF(B8833="","",IF(MATCH(B8833,$B$2:$B$12000,0)=ROW()-1,1,0))</f>
        <v/>
      </c>
    </row>
    <row r="8834" customFormat="false" ht="15" hidden="false" customHeight="false" outlineLevel="0" collapsed="false">
      <c r="V8834" s="23" t="str">
        <f aca="false">IF(ISNUMBER(C8834),YEAR(C8834),"")</f>
        <v/>
      </c>
      <c r="W8834" s="23" t="str">
        <f aca="false">IF(ISNUMBER(C8834),MONTH(C8834),"")</f>
        <v/>
      </c>
      <c r="X8834" s="23" t="str">
        <f aca="false">IF(T8834="","",IF(T8834=0,"No discount",IF(T8834&lt;=0.2,"Low (1-20%)",IF(T8834&lt;=0.4,"Medium (21-40%)","High (&gt;40%)"))))</f>
        <v/>
      </c>
      <c r="Y8834" s="23" t="str">
        <f aca="false">IF(AND(ISNUMBER(C8834),ISNUMBER(D8834)),D8834-C8834,"")</f>
        <v/>
      </c>
      <c r="Z8834" s="23" t="str">
        <f aca="false">IF(B8834="","",IF(MATCH(B8834,$B$2:$B$12000,0)=ROW()-1,1,0))</f>
        <v/>
      </c>
    </row>
    <row r="8835" customFormat="false" ht="15" hidden="false" customHeight="false" outlineLevel="0" collapsed="false">
      <c r="V8835" s="23" t="str">
        <f aca="false">IF(ISNUMBER(C8835),YEAR(C8835),"")</f>
        <v/>
      </c>
      <c r="W8835" s="23" t="str">
        <f aca="false">IF(ISNUMBER(C8835),MONTH(C8835),"")</f>
        <v/>
      </c>
      <c r="X8835" s="23" t="str">
        <f aca="false">IF(T8835="","",IF(T8835=0,"No discount",IF(T8835&lt;=0.2,"Low (1-20%)",IF(T8835&lt;=0.4,"Medium (21-40%)","High (&gt;40%)"))))</f>
        <v/>
      </c>
      <c r="Y8835" s="23" t="str">
        <f aca="false">IF(AND(ISNUMBER(C8835),ISNUMBER(D8835)),D8835-C8835,"")</f>
        <v/>
      </c>
      <c r="Z8835" s="23" t="str">
        <f aca="false">IF(B8835="","",IF(MATCH(B8835,$B$2:$B$12000,0)=ROW()-1,1,0))</f>
        <v/>
      </c>
    </row>
    <row r="8836" customFormat="false" ht="15" hidden="false" customHeight="false" outlineLevel="0" collapsed="false">
      <c r="V8836" s="23" t="str">
        <f aca="false">IF(ISNUMBER(C8836),YEAR(C8836),"")</f>
        <v/>
      </c>
      <c r="W8836" s="23" t="str">
        <f aca="false">IF(ISNUMBER(C8836),MONTH(C8836),"")</f>
        <v/>
      </c>
      <c r="X8836" s="23" t="str">
        <f aca="false">IF(T8836="","",IF(T8836=0,"No discount",IF(T8836&lt;=0.2,"Low (1-20%)",IF(T8836&lt;=0.4,"Medium (21-40%)","High (&gt;40%)"))))</f>
        <v/>
      </c>
      <c r="Y8836" s="23" t="str">
        <f aca="false">IF(AND(ISNUMBER(C8836),ISNUMBER(D8836)),D8836-C8836,"")</f>
        <v/>
      </c>
      <c r="Z8836" s="23" t="str">
        <f aca="false">IF(B8836="","",IF(MATCH(B8836,$B$2:$B$12000,0)=ROW()-1,1,0))</f>
        <v/>
      </c>
    </row>
    <row r="8837" customFormat="false" ht="15" hidden="false" customHeight="false" outlineLevel="0" collapsed="false">
      <c r="V8837" s="23" t="str">
        <f aca="false">IF(ISNUMBER(C8837),YEAR(C8837),"")</f>
        <v/>
      </c>
      <c r="W8837" s="23" t="str">
        <f aca="false">IF(ISNUMBER(C8837),MONTH(C8837),"")</f>
        <v/>
      </c>
      <c r="X8837" s="23" t="str">
        <f aca="false">IF(T8837="","",IF(T8837=0,"No discount",IF(T8837&lt;=0.2,"Low (1-20%)",IF(T8837&lt;=0.4,"Medium (21-40%)","High (&gt;40%)"))))</f>
        <v/>
      </c>
      <c r="Y8837" s="23" t="str">
        <f aca="false">IF(AND(ISNUMBER(C8837),ISNUMBER(D8837)),D8837-C8837,"")</f>
        <v/>
      </c>
      <c r="Z8837" s="23" t="str">
        <f aca="false">IF(B8837="","",IF(MATCH(B8837,$B$2:$B$12000,0)=ROW()-1,1,0))</f>
        <v/>
      </c>
    </row>
    <row r="8838" customFormat="false" ht="15" hidden="false" customHeight="false" outlineLevel="0" collapsed="false">
      <c r="V8838" s="23" t="str">
        <f aca="false">IF(ISNUMBER(C8838),YEAR(C8838),"")</f>
        <v/>
      </c>
      <c r="W8838" s="23" t="str">
        <f aca="false">IF(ISNUMBER(C8838),MONTH(C8838),"")</f>
        <v/>
      </c>
      <c r="X8838" s="23" t="str">
        <f aca="false">IF(T8838="","",IF(T8838=0,"No discount",IF(T8838&lt;=0.2,"Low (1-20%)",IF(T8838&lt;=0.4,"Medium (21-40%)","High (&gt;40%)"))))</f>
        <v/>
      </c>
      <c r="Y8838" s="23" t="str">
        <f aca="false">IF(AND(ISNUMBER(C8838),ISNUMBER(D8838)),D8838-C8838,"")</f>
        <v/>
      </c>
      <c r="Z8838" s="23" t="str">
        <f aca="false">IF(B8838="","",IF(MATCH(B8838,$B$2:$B$12000,0)=ROW()-1,1,0))</f>
        <v/>
      </c>
    </row>
    <row r="8839" customFormat="false" ht="15" hidden="false" customHeight="false" outlineLevel="0" collapsed="false">
      <c r="V8839" s="23" t="str">
        <f aca="false">IF(ISNUMBER(C8839),YEAR(C8839),"")</f>
        <v/>
      </c>
      <c r="W8839" s="23" t="str">
        <f aca="false">IF(ISNUMBER(C8839),MONTH(C8839),"")</f>
        <v/>
      </c>
      <c r="X8839" s="23" t="str">
        <f aca="false">IF(T8839="","",IF(T8839=0,"No discount",IF(T8839&lt;=0.2,"Low (1-20%)",IF(T8839&lt;=0.4,"Medium (21-40%)","High (&gt;40%)"))))</f>
        <v/>
      </c>
      <c r="Y8839" s="23" t="str">
        <f aca="false">IF(AND(ISNUMBER(C8839),ISNUMBER(D8839)),D8839-C8839,"")</f>
        <v/>
      </c>
      <c r="Z8839" s="23" t="str">
        <f aca="false">IF(B8839="","",IF(MATCH(B8839,$B$2:$B$12000,0)=ROW()-1,1,0))</f>
        <v/>
      </c>
    </row>
    <row r="8840" customFormat="false" ht="15" hidden="false" customHeight="false" outlineLevel="0" collapsed="false">
      <c r="V8840" s="23" t="str">
        <f aca="false">IF(ISNUMBER(C8840),YEAR(C8840),"")</f>
        <v/>
      </c>
      <c r="W8840" s="23" t="str">
        <f aca="false">IF(ISNUMBER(C8840),MONTH(C8840),"")</f>
        <v/>
      </c>
      <c r="X8840" s="23" t="str">
        <f aca="false">IF(T8840="","",IF(T8840=0,"No discount",IF(T8840&lt;=0.2,"Low (1-20%)",IF(T8840&lt;=0.4,"Medium (21-40%)","High (&gt;40%)"))))</f>
        <v/>
      </c>
      <c r="Y8840" s="23" t="str">
        <f aca="false">IF(AND(ISNUMBER(C8840),ISNUMBER(D8840)),D8840-C8840,"")</f>
        <v/>
      </c>
      <c r="Z8840" s="23" t="str">
        <f aca="false">IF(B8840="","",IF(MATCH(B8840,$B$2:$B$12000,0)=ROW()-1,1,0))</f>
        <v/>
      </c>
    </row>
    <row r="8841" customFormat="false" ht="15" hidden="false" customHeight="false" outlineLevel="0" collapsed="false">
      <c r="V8841" s="23" t="str">
        <f aca="false">IF(ISNUMBER(C8841),YEAR(C8841),"")</f>
        <v/>
      </c>
      <c r="W8841" s="23" t="str">
        <f aca="false">IF(ISNUMBER(C8841),MONTH(C8841),"")</f>
        <v/>
      </c>
      <c r="X8841" s="23" t="str">
        <f aca="false">IF(T8841="","",IF(T8841=0,"No discount",IF(T8841&lt;=0.2,"Low (1-20%)",IF(T8841&lt;=0.4,"Medium (21-40%)","High (&gt;40%)"))))</f>
        <v/>
      </c>
      <c r="Y8841" s="23" t="str">
        <f aca="false">IF(AND(ISNUMBER(C8841),ISNUMBER(D8841)),D8841-C8841,"")</f>
        <v/>
      </c>
      <c r="Z8841" s="23" t="str">
        <f aca="false">IF(B8841="","",IF(MATCH(B8841,$B$2:$B$12000,0)=ROW()-1,1,0))</f>
        <v/>
      </c>
    </row>
    <row r="8842" customFormat="false" ht="15" hidden="false" customHeight="false" outlineLevel="0" collapsed="false">
      <c r="V8842" s="23" t="str">
        <f aca="false">IF(ISNUMBER(C8842),YEAR(C8842),"")</f>
        <v/>
      </c>
      <c r="W8842" s="23" t="str">
        <f aca="false">IF(ISNUMBER(C8842),MONTH(C8842),"")</f>
        <v/>
      </c>
      <c r="X8842" s="23" t="str">
        <f aca="false">IF(T8842="","",IF(T8842=0,"No discount",IF(T8842&lt;=0.2,"Low (1-20%)",IF(T8842&lt;=0.4,"Medium (21-40%)","High (&gt;40%)"))))</f>
        <v/>
      </c>
      <c r="Y8842" s="23" t="str">
        <f aca="false">IF(AND(ISNUMBER(C8842),ISNUMBER(D8842)),D8842-C8842,"")</f>
        <v/>
      </c>
      <c r="Z8842" s="23" t="str">
        <f aca="false">IF(B8842="","",IF(MATCH(B8842,$B$2:$B$12000,0)=ROW()-1,1,0))</f>
        <v/>
      </c>
    </row>
    <row r="8843" customFormat="false" ht="15" hidden="false" customHeight="false" outlineLevel="0" collapsed="false">
      <c r="V8843" s="23" t="str">
        <f aca="false">IF(ISNUMBER(C8843),YEAR(C8843),"")</f>
        <v/>
      </c>
      <c r="W8843" s="23" t="str">
        <f aca="false">IF(ISNUMBER(C8843),MONTH(C8843),"")</f>
        <v/>
      </c>
      <c r="X8843" s="23" t="str">
        <f aca="false">IF(T8843="","",IF(T8843=0,"No discount",IF(T8843&lt;=0.2,"Low (1-20%)",IF(T8843&lt;=0.4,"Medium (21-40%)","High (&gt;40%)"))))</f>
        <v/>
      </c>
      <c r="Y8843" s="23" t="str">
        <f aca="false">IF(AND(ISNUMBER(C8843),ISNUMBER(D8843)),D8843-C8843,"")</f>
        <v/>
      </c>
      <c r="Z8843" s="23" t="str">
        <f aca="false">IF(B8843="","",IF(MATCH(B8843,$B$2:$B$12000,0)=ROW()-1,1,0))</f>
        <v/>
      </c>
    </row>
    <row r="8844" customFormat="false" ht="15" hidden="false" customHeight="false" outlineLevel="0" collapsed="false">
      <c r="V8844" s="23" t="str">
        <f aca="false">IF(ISNUMBER(C8844),YEAR(C8844),"")</f>
        <v/>
      </c>
      <c r="W8844" s="23" t="str">
        <f aca="false">IF(ISNUMBER(C8844),MONTH(C8844),"")</f>
        <v/>
      </c>
      <c r="X8844" s="23" t="str">
        <f aca="false">IF(T8844="","",IF(T8844=0,"No discount",IF(T8844&lt;=0.2,"Low (1-20%)",IF(T8844&lt;=0.4,"Medium (21-40%)","High (&gt;40%)"))))</f>
        <v/>
      </c>
      <c r="Y8844" s="23" t="str">
        <f aca="false">IF(AND(ISNUMBER(C8844),ISNUMBER(D8844)),D8844-C8844,"")</f>
        <v/>
      </c>
      <c r="Z8844" s="23" t="str">
        <f aca="false">IF(B8844="","",IF(MATCH(B8844,$B$2:$B$12000,0)=ROW()-1,1,0))</f>
        <v/>
      </c>
    </row>
    <row r="8845" customFormat="false" ht="15" hidden="false" customHeight="false" outlineLevel="0" collapsed="false">
      <c r="V8845" s="23" t="str">
        <f aca="false">IF(ISNUMBER(C8845),YEAR(C8845),"")</f>
        <v/>
      </c>
      <c r="W8845" s="23" t="str">
        <f aca="false">IF(ISNUMBER(C8845),MONTH(C8845),"")</f>
        <v/>
      </c>
      <c r="X8845" s="23" t="str">
        <f aca="false">IF(T8845="","",IF(T8845=0,"No discount",IF(T8845&lt;=0.2,"Low (1-20%)",IF(T8845&lt;=0.4,"Medium (21-40%)","High (&gt;40%)"))))</f>
        <v/>
      </c>
      <c r="Y8845" s="23" t="str">
        <f aca="false">IF(AND(ISNUMBER(C8845),ISNUMBER(D8845)),D8845-C8845,"")</f>
        <v/>
      </c>
      <c r="Z8845" s="23" t="str">
        <f aca="false">IF(B8845="","",IF(MATCH(B8845,$B$2:$B$12000,0)=ROW()-1,1,0))</f>
        <v/>
      </c>
    </row>
    <row r="8846" customFormat="false" ht="15" hidden="false" customHeight="false" outlineLevel="0" collapsed="false">
      <c r="V8846" s="23" t="str">
        <f aca="false">IF(ISNUMBER(C8846),YEAR(C8846),"")</f>
        <v/>
      </c>
      <c r="W8846" s="23" t="str">
        <f aca="false">IF(ISNUMBER(C8846),MONTH(C8846),"")</f>
        <v/>
      </c>
      <c r="X8846" s="23" t="str">
        <f aca="false">IF(T8846="","",IF(T8846=0,"No discount",IF(T8846&lt;=0.2,"Low (1-20%)",IF(T8846&lt;=0.4,"Medium (21-40%)","High (&gt;40%)"))))</f>
        <v/>
      </c>
      <c r="Y8846" s="23" t="str">
        <f aca="false">IF(AND(ISNUMBER(C8846),ISNUMBER(D8846)),D8846-C8846,"")</f>
        <v/>
      </c>
      <c r="Z8846" s="23" t="str">
        <f aca="false">IF(B8846="","",IF(MATCH(B8846,$B$2:$B$12000,0)=ROW()-1,1,0))</f>
        <v/>
      </c>
    </row>
    <row r="8847" customFormat="false" ht="15" hidden="false" customHeight="false" outlineLevel="0" collapsed="false">
      <c r="V8847" s="23" t="str">
        <f aca="false">IF(ISNUMBER(C8847),YEAR(C8847),"")</f>
        <v/>
      </c>
      <c r="W8847" s="23" t="str">
        <f aca="false">IF(ISNUMBER(C8847),MONTH(C8847),"")</f>
        <v/>
      </c>
      <c r="X8847" s="23" t="str">
        <f aca="false">IF(T8847="","",IF(T8847=0,"No discount",IF(T8847&lt;=0.2,"Low (1-20%)",IF(T8847&lt;=0.4,"Medium (21-40%)","High (&gt;40%)"))))</f>
        <v/>
      </c>
      <c r="Y8847" s="23" t="str">
        <f aca="false">IF(AND(ISNUMBER(C8847),ISNUMBER(D8847)),D8847-C8847,"")</f>
        <v/>
      </c>
      <c r="Z8847" s="23" t="str">
        <f aca="false">IF(B8847="","",IF(MATCH(B8847,$B$2:$B$12000,0)=ROW()-1,1,0))</f>
        <v/>
      </c>
    </row>
    <row r="8848" customFormat="false" ht="15" hidden="false" customHeight="false" outlineLevel="0" collapsed="false">
      <c r="V8848" s="23" t="str">
        <f aca="false">IF(ISNUMBER(C8848),YEAR(C8848),"")</f>
        <v/>
      </c>
      <c r="W8848" s="23" t="str">
        <f aca="false">IF(ISNUMBER(C8848),MONTH(C8848),"")</f>
        <v/>
      </c>
      <c r="X8848" s="23" t="str">
        <f aca="false">IF(T8848="","",IF(T8848=0,"No discount",IF(T8848&lt;=0.2,"Low (1-20%)",IF(T8848&lt;=0.4,"Medium (21-40%)","High (&gt;40%)"))))</f>
        <v/>
      </c>
      <c r="Y8848" s="23" t="str">
        <f aca="false">IF(AND(ISNUMBER(C8848),ISNUMBER(D8848)),D8848-C8848,"")</f>
        <v/>
      </c>
      <c r="Z8848" s="23" t="str">
        <f aca="false">IF(B8848="","",IF(MATCH(B8848,$B$2:$B$12000,0)=ROW()-1,1,0))</f>
        <v/>
      </c>
    </row>
    <row r="8849" customFormat="false" ht="15" hidden="false" customHeight="false" outlineLevel="0" collapsed="false">
      <c r="V8849" s="23" t="str">
        <f aca="false">IF(ISNUMBER(C8849),YEAR(C8849),"")</f>
        <v/>
      </c>
      <c r="W8849" s="23" t="str">
        <f aca="false">IF(ISNUMBER(C8849),MONTH(C8849),"")</f>
        <v/>
      </c>
      <c r="X8849" s="23" t="str">
        <f aca="false">IF(T8849="","",IF(T8849=0,"No discount",IF(T8849&lt;=0.2,"Low (1-20%)",IF(T8849&lt;=0.4,"Medium (21-40%)","High (&gt;40%)"))))</f>
        <v/>
      </c>
      <c r="Y8849" s="23" t="str">
        <f aca="false">IF(AND(ISNUMBER(C8849),ISNUMBER(D8849)),D8849-C8849,"")</f>
        <v/>
      </c>
      <c r="Z8849" s="23" t="str">
        <f aca="false">IF(B8849="","",IF(MATCH(B8849,$B$2:$B$12000,0)=ROW()-1,1,0))</f>
        <v/>
      </c>
    </row>
    <row r="8850" customFormat="false" ht="15" hidden="false" customHeight="false" outlineLevel="0" collapsed="false">
      <c r="V8850" s="23" t="str">
        <f aca="false">IF(ISNUMBER(C8850),YEAR(C8850),"")</f>
        <v/>
      </c>
      <c r="W8850" s="23" t="str">
        <f aca="false">IF(ISNUMBER(C8850),MONTH(C8850),"")</f>
        <v/>
      </c>
      <c r="X8850" s="23" t="str">
        <f aca="false">IF(T8850="","",IF(T8850=0,"No discount",IF(T8850&lt;=0.2,"Low (1-20%)",IF(T8850&lt;=0.4,"Medium (21-40%)","High (&gt;40%)"))))</f>
        <v/>
      </c>
      <c r="Y8850" s="23" t="str">
        <f aca="false">IF(AND(ISNUMBER(C8850),ISNUMBER(D8850)),D8850-C8850,"")</f>
        <v/>
      </c>
      <c r="Z8850" s="23" t="str">
        <f aca="false">IF(B8850="","",IF(MATCH(B8850,$B$2:$B$12000,0)=ROW()-1,1,0))</f>
        <v/>
      </c>
    </row>
    <row r="8851" customFormat="false" ht="15" hidden="false" customHeight="false" outlineLevel="0" collapsed="false">
      <c r="V8851" s="23" t="str">
        <f aca="false">IF(ISNUMBER(C8851),YEAR(C8851),"")</f>
        <v/>
      </c>
      <c r="W8851" s="23" t="str">
        <f aca="false">IF(ISNUMBER(C8851),MONTH(C8851),"")</f>
        <v/>
      </c>
      <c r="X8851" s="23" t="str">
        <f aca="false">IF(T8851="","",IF(T8851=0,"No discount",IF(T8851&lt;=0.2,"Low (1-20%)",IF(T8851&lt;=0.4,"Medium (21-40%)","High (&gt;40%)"))))</f>
        <v/>
      </c>
      <c r="Y8851" s="23" t="str">
        <f aca="false">IF(AND(ISNUMBER(C8851),ISNUMBER(D8851)),D8851-C8851,"")</f>
        <v/>
      </c>
      <c r="Z8851" s="23" t="str">
        <f aca="false">IF(B8851="","",IF(MATCH(B8851,$B$2:$B$12000,0)=ROW()-1,1,0))</f>
        <v/>
      </c>
    </row>
    <row r="8852" customFormat="false" ht="15" hidden="false" customHeight="false" outlineLevel="0" collapsed="false">
      <c r="V8852" s="23" t="str">
        <f aca="false">IF(ISNUMBER(C8852),YEAR(C8852),"")</f>
        <v/>
      </c>
      <c r="W8852" s="23" t="str">
        <f aca="false">IF(ISNUMBER(C8852),MONTH(C8852),"")</f>
        <v/>
      </c>
      <c r="X8852" s="23" t="str">
        <f aca="false">IF(T8852="","",IF(T8852=0,"No discount",IF(T8852&lt;=0.2,"Low (1-20%)",IF(T8852&lt;=0.4,"Medium (21-40%)","High (&gt;40%)"))))</f>
        <v/>
      </c>
      <c r="Y8852" s="23" t="str">
        <f aca="false">IF(AND(ISNUMBER(C8852),ISNUMBER(D8852)),D8852-C8852,"")</f>
        <v/>
      </c>
      <c r="Z8852" s="23" t="str">
        <f aca="false">IF(B8852="","",IF(MATCH(B8852,$B$2:$B$12000,0)=ROW()-1,1,0))</f>
        <v/>
      </c>
    </row>
    <row r="8853" customFormat="false" ht="15" hidden="false" customHeight="false" outlineLevel="0" collapsed="false">
      <c r="V8853" s="23" t="str">
        <f aca="false">IF(ISNUMBER(C8853),YEAR(C8853),"")</f>
        <v/>
      </c>
      <c r="W8853" s="23" t="str">
        <f aca="false">IF(ISNUMBER(C8853),MONTH(C8853),"")</f>
        <v/>
      </c>
      <c r="X8853" s="23" t="str">
        <f aca="false">IF(T8853="","",IF(T8853=0,"No discount",IF(T8853&lt;=0.2,"Low (1-20%)",IF(T8853&lt;=0.4,"Medium (21-40%)","High (&gt;40%)"))))</f>
        <v/>
      </c>
      <c r="Y8853" s="23" t="str">
        <f aca="false">IF(AND(ISNUMBER(C8853),ISNUMBER(D8853)),D8853-C8853,"")</f>
        <v/>
      </c>
      <c r="Z8853" s="23" t="str">
        <f aca="false">IF(B8853="","",IF(MATCH(B8853,$B$2:$B$12000,0)=ROW()-1,1,0))</f>
        <v/>
      </c>
    </row>
    <row r="8854" customFormat="false" ht="15" hidden="false" customHeight="false" outlineLevel="0" collapsed="false">
      <c r="V8854" s="23" t="str">
        <f aca="false">IF(ISNUMBER(C8854),YEAR(C8854),"")</f>
        <v/>
      </c>
      <c r="W8854" s="23" t="str">
        <f aca="false">IF(ISNUMBER(C8854),MONTH(C8854),"")</f>
        <v/>
      </c>
      <c r="X8854" s="23" t="str">
        <f aca="false">IF(T8854="","",IF(T8854=0,"No discount",IF(T8854&lt;=0.2,"Low (1-20%)",IF(T8854&lt;=0.4,"Medium (21-40%)","High (&gt;40%)"))))</f>
        <v/>
      </c>
      <c r="Y8854" s="23" t="str">
        <f aca="false">IF(AND(ISNUMBER(C8854),ISNUMBER(D8854)),D8854-C8854,"")</f>
        <v/>
      </c>
      <c r="Z8854" s="23" t="str">
        <f aca="false">IF(B8854="","",IF(MATCH(B8854,$B$2:$B$12000,0)=ROW()-1,1,0))</f>
        <v/>
      </c>
    </row>
    <row r="8855" customFormat="false" ht="15" hidden="false" customHeight="false" outlineLevel="0" collapsed="false">
      <c r="V8855" s="23" t="str">
        <f aca="false">IF(ISNUMBER(C8855),YEAR(C8855),"")</f>
        <v/>
      </c>
      <c r="W8855" s="23" t="str">
        <f aca="false">IF(ISNUMBER(C8855),MONTH(C8855),"")</f>
        <v/>
      </c>
      <c r="X8855" s="23" t="str">
        <f aca="false">IF(T8855="","",IF(T8855=0,"No discount",IF(T8855&lt;=0.2,"Low (1-20%)",IF(T8855&lt;=0.4,"Medium (21-40%)","High (&gt;40%)"))))</f>
        <v/>
      </c>
      <c r="Y8855" s="23" t="str">
        <f aca="false">IF(AND(ISNUMBER(C8855),ISNUMBER(D8855)),D8855-C8855,"")</f>
        <v/>
      </c>
      <c r="Z8855" s="23" t="str">
        <f aca="false">IF(B8855="","",IF(MATCH(B8855,$B$2:$B$12000,0)=ROW()-1,1,0))</f>
        <v/>
      </c>
    </row>
    <row r="8856" customFormat="false" ht="15" hidden="false" customHeight="false" outlineLevel="0" collapsed="false">
      <c r="V8856" s="23" t="str">
        <f aca="false">IF(ISNUMBER(C8856),YEAR(C8856),"")</f>
        <v/>
      </c>
      <c r="W8856" s="23" t="str">
        <f aca="false">IF(ISNUMBER(C8856),MONTH(C8856),"")</f>
        <v/>
      </c>
      <c r="X8856" s="23" t="str">
        <f aca="false">IF(T8856="","",IF(T8856=0,"No discount",IF(T8856&lt;=0.2,"Low (1-20%)",IF(T8856&lt;=0.4,"Medium (21-40%)","High (&gt;40%)"))))</f>
        <v/>
      </c>
      <c r="Y8856" s="23" t="str">
        <f aca="false">IF(AND(ISNUMBER(C8856),ISNUMBER(D8856)),D8856-C8856,"")</f>
        <v/>
      </c>
      <c r="Z8856" s="23" t="str">
        <f aca="false">IF(B8856="","",IF(MATCH(B8856,$B$2:$B$12000,0)=ROW()-1,1,0))</f>
        <v/>
      </c>
    </row>
    <row r="8857" customFormat="false" ht="15" hidden="false" customHeight="false" outlineLevel="0" collapsed="false">
      <c r="V8857" s="23" t="str">
        <f aca="false">IF(ISNUMBER(C8857),YEAR(C8857),"")</f>
        <v/>
      </c>
      <c r="W8857" s="23" t="str">
        <f aca="false">IF(ISNUMBER(C8857),MONTH(C8857),"")</f>
        <v/>
      </c>
      <c r="X8857" s="23" t="str">
        <f aca="false">IF(T8857="","",IF(T8857=0,"No discount",IF(T8857&lt;=0.2,"Low (1-20%)",IF(T8857&lt;=0.4,"Medium (21-40%)","High (&gt;40%)"))))</f>
        <v/>
      </c>
      <c r="Y8857" s="23" t="str">
        <f aca="false">IF(AND(ISNUMBER(C8857),ISNUMBER(D8857)),D8857-C8857,"")</f>
        <v/>
      </c>
      <c r="Z8857" s="23" t="str">
        <f aca="false">IF(B8857="","",IF(MATCH(B8857,$B$2:$B$12000,0)=ROW()-1,1,0))</f>
        <v/>
      </c>
    </row>
    <row r="8858" customFormat="false" ht="15" hidden="false" customHeight="false" outlineLevel="0" collapsed="false">
      <c r="V8858" s="23" t="str">
        <f aca="false">IF(ISNUMBER(C8858),YEAR(C8858),"")</f>
        <v/>
      </c>
      <c r="W8858" s="23" t="str">
        <f aca="false">IF(ISNUMBER(C8858),MONTH(C8858),"")</f>
        <v/>
      </c>
      <c r="X8858" s="23" t="str">
        <f aca="false">IF(T8858="","",IF(T8858=0,"No discount",IF(T8858&lt;=0.2,"Low (1-20%)",IF(T8858&lt;=0.4,"Medium (21-40%)","High (&gt;40%)"))))</f>
        <v/>
      </c>
      <c r="Y8858" s="23" t="str">
        <f aca="false">IF(AND(ISNUMBER(C8858),ISNUMBER(D8858)),D8858-C8858,"")</f>
        <v/>
      </c>
      <c r="Z8858" s="23" t="str">
        <f aca="false">IF(B8858="","",IF(MATCH(B8858,$B$2:$B$12000,0)=ROW()-1,1,0))</f>
        <v/>
      </c>
    </row>
    <row r="8859" customFormat="false" ht="15" hidden="false" customHeight="false" outlineLevel="0" collapsed="false">
      <c r="V8859" s="23" t="str">
        <f aca="false">IF(ISNUMBER(C8859),YEAR(C8859),"")</f>
        <v/>
      </c>
      <c r="W8859" s="23" t="str">
        <f aca="false">IF(ISNUMBER(C8859),MONTH(C8859),"")</f>
        <v/>
      </c>
      <c r="X8859" s="23" t="str">
        <f aca="false">IF(T8859="","",IF(T8859=0,"No discount",IF(T8859&lt;=0.2,"Low (1-20%)",IF(T8859&lt;=0.4,"Medium (21-40%)","High (&gt;40%)"))))</f>
        <v/>
      </c>
      <c r="Y8859" s="23" t="str">
        <f aca="false">IF(AND(ISNUMBER(C8859),ISNUMBER(D8859)),D8859-C8859,"")</f>
        <v/>
      </c>
      <c r="Z8859" s="23" t="str">
        <f aca="false">IF(B8859="","",IF(MATCH(B8859,$B$2:$B$12000,0)=ROW()-1,1,0))</f>
        <v/>
      </c>
    </row>
    <row r="8860" customFormat="false" ht="15" hidden="false" customHeight="false" outlineLevel="0" collapsed="false">
      <c r="V8860" s="23" t="str">
        <f aca="false">IF(ISNUMBER(C8860),YEAR(C8860),"")</f>
        <v/>
      </c>
      <c r="W8860" s="23" t="str">
        <f aca="false">IF(ISNUMBER(C8860),MONTH(C8860),"")</f>
        <v/>
      </c>
      <c r="X8860" s="23" t="str">
        <f aca="false">IF(T8860="","",IF(T8860=0,"No discount",IF(T8860&lt;=0.2,"Low (1-20%)",IF(T8860&lt;=0.4,"Medium (21-40%)","High (&gt;40%)"))))</f>
        <v/>
      </c>
      <c r="Y8860" s="23" t="str">
        <f aca="false">IF(AND(ISNUMBER(C8860),ISNUMBER(D8860)),D8860-C8860,"")</f>
        <v/>
      </c>
      <c r="Z8860" s="23" t="str">
        <f aca="false">IF(B8860="","",IF(MATCH(B8860,$B$2:$B$12000,0)=ROW()-1,1,0))</f>
        <v/>
      </c>
    </row>
    <row r="8861" customFormat="false" ht="15" hidden="false" customHeight="false" outlineLevel="0" collapsed="false">
      <c r="V8861" s="23" t="str">
        <f aca="false">IF(ISNUMBER(C8861),YEAR(C8861),"")</f>
        <v/>
      </c>
      <c r="W8861" s="23" t="str">
        <f aca="false">IF(ISNUMBER(C8861),MONTH(C8861),"")</f>
        <v/>
      </c>
      <c r="X8861" s="23" t="str">
        <f aca="false">IF(T8861="","",IF(T8861=0,"No discount",IF(T8861&lt;=0.2,"Low (1-20%)",IF(T8861&lt;=0.4,"Medium (21-40%)","High (&gt;40%)"))))</f>
        <v/>
      </c>
      <c r="Y8861" s="23" t="str">
        <f aca="false">IF(AND(ISNUMBER(C8861),ISNUMBER(D8861)),D8861-C8861,"")</f>
        <v/>
      </c>
      <c r="Z8861" s="23" t="str">
        <f aca="false">IF(B8861="","",IF(MATCH(B8861,$B$2:$B$12000,0)=ROW()-1,1,0))</f>
        <v/>
      </c>
    </row>
    <row r="8862" customFormat="false" ht="15" hidden="false" customHeight="false" outlineLevel="0" collapsed="false">
      <c r="V8862" s="23" t="str">
        <f aca="false">IF(ISNUMBER(C8862),YEAR(C8862),"")</f>
        <v/>
      </c>
      <c r="W8862" s="23" t="str">
        <f aca="false">IF(ISNUMBER(C8862),MONTH(C8862),"")</f>
        <v/>
      </c>
      <c r="X8862" s="23" t="str">
        <f aca="false">IF(T8862="","",IF(T8862=0,"No discount",IF(T8862&lt;=0.2,"Low (1-20%)",IF(T8862&lt;=0.4,"Medium (21-40%)","High (&gt;40%)"))))</f>
        <v/>
      </c>
      <c r="Y8862" s="23" t="str">
        <f aca="false">IF(AND(ISNUMBER(C8862),ISNUMBER(D8862)),D8862-C8862,"")</f>
        <v/>
      </c>
      <c r="Z8862" s="23" t="str">
        <f aca="false">IF(B8862="","",IF(MATCH(B8862,$B$2:$B$12000,0)=ROW()-1,1,0))</f>
        <v/>
      </c>
    </row>
    <row r="8863" customFormat="false" ht="15" hidden="false" customHeight="false" outlineLevel="0" collapsed="false">
      <c r="V8863" s="23" t="str">
        <f aca="false">IF(ISNUMBER(C8863),YEAR(C8863),"")</f>
        <v/>
      </c>
      <c r="W8863" s="23" t="str">
        <f aca="false">IF(ISNUMBER(C8863),MONTH(C8863),"")</f>
        <v/>
      </c>
      <c r="X8863" s="23" t="str">
        <f aca="false">IF(T8863="","",IF(T8863=0,"No discount",IF(T8863&lt;=0.2,"Low (1-20%)",IF(T8863&lt;=0.4,"Medium (21-40%)","High (&gt;40%)"))))</f>
        <v/>
      </c>
      <c r="Y8863" s="23" t="str">
        <f aca="false">IF(AND(ISNUMBER(C8863),ISNUMBER(D8863)),D8863-C8863,"")</f>
        <v/>
      </c>
      <c r="Z8863" s="23" t="str">
        <f aca="false">IF(B8863="","",IF(MATCH(B8863,$B$2:$B$12000,0)=ROW()-1,1,0))</f>
        <v/>
      </c>
    </row>
    <row r="8864" customFormat="false" ht="15" hidden="false" customHeight="false" outlineLevel="0" collapsed="false">
      <c r="V8864" s="23" t="str">
        <f aca="false">IF(ISNUMBER(C8864),YEAR(C8864),"")</f>
        <v/>
      </c>
      <c r="W8864" s="23" t="str">
        <f aca="false">IF(ISNUMBER(C8864),MONTH(C8864),"")</f>
        <v/>
      </c>
      <c r="X8864" s="23" t="str">
        <f aca="false">IF(T8864="","",IF(T8864=0,"No discount",IF(T8864&lt;=0.2,"Low (1-20%)",IF(T8864&lt;=0.4,"Medium (21-40%)","High (&gt;40%)"))))</f>
        <v/>
      </c>
      <c r="Y8864" s="23" t="str">
        <f aca="false">IF(AND(ISNUMBER(C8864),ISNUMBER(D8864)),D8864-C8864,"")</f>
        <v/>
      </c>
      <c r="Z8864" s="23" t="str">
        <f aca="false">IF(B8864="","",IF(MATCH(B8864,$B$2:$B$12000,0)=ROW()-1,1,0))</f>
        <v/>
      </c>
    </row>
    <row r="8865" customFormat="false" ht="15" hidden="false" customHeight="false" outlineLevel="0" collapsed="false">
      <c r="V8865" s="23" t="str">
        <f aca="false">IF(ISNUMBER(C8865),YEAR(C8865),"")</f>
        <v/>
      </c>
      <c r="W8865" s="23" t="str">
        <f aca="false">IF(ISNUMBER(C8865),MONTH(C8865),"")</f>
        <v/>
      </c>
      <c r="X8865" s="23" t="str">
        <f aca="false">IF(T8865="","",IF(T8865=0,"No discount",IF(T8865&lt;=0.2,"Low (1-20%)",IF(T8865&lt;=0.4,"Medium (21-40%)","High (&gt;40%)"))))</f>
        <v/>
      </c>
      <c r="Y8865" s="23" t="str">
        <f aca="false">IF(AND(ISNUMBER(C8865),ISNUMBER(D8865)),D8865-C8865,"")</f>
        <v/>
      </c>
      <c r="Z8865" s="23" t="str">
        <f aca="false">IF(B8865="","",IF(MATCH(B8865,$B$2:$B$12000,0)=ROW()-1,1,0))</f>
        <v/>
      </c>
    </row>
    <row r="8866" customFormat="false" ht="15" hidden="false" customHeight="false" outlineLevel="0" collapsed="false">
      <c r="V8866" s="23" t="str">
        <f aca="false">IF(ISNUMBER(C8866),YEAR(C8866),"")</f>
        <v/>
      </c>
      <c r="W8866" s="23" t="str">
        <f aca="false">IF(ISNUMBER(C8866),MONTH(C8866),"")</f>
        <v/>
      </c>
      <c r="X8866" s="23" t="str">
        <f aca="false">IF(T8866="","",IF(T8866=0,"No discount",IF(T8866&lt;=0.2,"Low (1-20%)",IF(T8866&lt;=0.4,"Medium (21-40%)","High (&gt;40%)"))))</f>
        <v/>
      </c>
      <c r="Y8866" s="23" t="str">
        <f aca="false">IF(AND(ISNUMBER(C8866),ISNUMBER(D8866)),D8866-C8866,"")</f>
        <v/>
      </c>
      <c r="Z8866" s="23" t="str">
        <f aca="false">IF(B8866="","",IF(MATCH(B8866,$B$2:$B$12000,0)=ROW()-1,1,0))</f>
        <v/>
      </c>
    </row>
    <row r="8867" customFormat="false" ht="15" hidden="false" customHeight="false" outlineLevel="0" collapsed="false">
      <c r="V8867" s="23" t="str">
        <f aca="false">IF(ISNUMBER(C8867),YEAR(C8867),"")</f>
        <v/>
      </c>
      <c r="W8867" s="23" t="str">
        <f aca="false">IF(ISNUMBER(C8867),MONTH(C8867),"")</f>
        <v/>
      </c>
      <c r="X8867" s="23" t="str">
        <f aca="false">IF(T8867="","",IF(T8867=0,"No discount",IF(T8867&lt;=0.2,"Low (1-20%)",IF(T8867&lt;=0.4,"Medium (21-40%)","High (&gt;40%)"))))</f>
        <v/>
      </c>
      <c r="Y8867" s="23" t="str">
        <f aca="false">IF(AND(ISNUMBER(C8867),ISNUMBER(D8867)),D8867-C8867,"")</f>
        <v/>
      </c>
      <c r="Z8867" s="23" t="str">
        <f aca="false">IF(B8867="","",IF(MATCH(B8867,$B$2:$B$12000,0)=ROW()-1,1,0))</f>
        <v/>
      </c>
    </row>
    <row r="8868" customFormat="false" ht="15" hidden="false" customHeight="false" outlineLevel="0" collapsed="false">
      <c r="V8868" s="23" t="str">
        <f aca="false">IF(ISNUMBER(C8868),YEAR(C8868),"")</f>
        <v/>
      </c>
      <c r="W8868" s="23" t="str">
        <f aca="false">IF(ISNUMBER(C8868),MONTH(C8868),"")</f>
        <v/>
      </c>
      <c r="X8868" s="23" t="str">
        <f aca="false">IF(T8868="","",IF(T8868=0,"No discount",IF(T8868&lt;=0.2,"Low (1-20%)",IF(T8868&lt;=0.4,"Medium (21-40%)","High (&gt;40%)"))))</f>
        <v/>
      </c>
      <c r="Y8868" s="23" t="str">
        <f aca="false">IF(AND(ISNUMBER(C8868),ISNUMBER(D8868)),D8868-C8868,"")</f>
        <v/>
      </c>
      <c r="Z8868" s="23" t="str">
        <f aca="false">IF(B8868="","",IF(MATCH(B8868,$B$2:$B$12000,0)=ROW()-1,1,0))</f>
        <v/>
      </c>
    </row>
    <row r="8869" customFormat="false" ht="15" hidden="false" customHeight="false" outlineLevel="0" collapsed="false">
      <c r="V8869" s="23" t="str">
        <f aca="false">IF(ISNUMBER(C8869),YEAR(C8869),"")</f>
        <v/>
      </c>
      <c r="W8869" s="23" t="str">
        <f aca="false">IF(ISNUMBER(C8869),MONTH(C8869),"")</f>
        <v/>
      </c>
      <c r="X8869" s="23" t="str">
        <f aca="false">IF(T8869="","",IF(T8869=0,"No discount",IF(T8869&lt;=0.2,"Low (1-20%)",IF(T8869&lt;=0.4,"Medium (21-40%)","High (&gt;40%)"))))</f>
        <v/>
      </c>
      <c r="Y8869" s="23" t="str">
        <f aca="false">IF(AND(ISNUMBER(C8869),ISNUMBER(D8869)),D8869-C8869,"")</f>
        <v/>
      </c>
      <c r="Z8869" s="23" t="str">
        <f aca="false">IF(B8869="","",IF(MATCH(B8869,$B$2:$B$12000,0)=ROW()-1,1,0))</f>
        <v/>
      </c>
    </row>
    <row r="8870" customFormat="false" ht="15" hidden="false" customHeight="false" outlineLevel="0" collapsed="false">
      <c r="V8870" s="23" t="str">
        <f aca="false">IF(ISNUMBER(C8870),YEAR(C8870),"")</f>
        <v/>
      </c>
      <c r="W8870" s="23" t="str">
        <f aca="false">IF(ISNUMBER(C8870),MONTH(C8870),"")</f>
        <v/>
      </c>
      <c r="X8870" s="23" t="str">
        <f aca="false">IF(T8870="","",IF(T8870=0,"No discount",IF(T8870&lt;=0.2,"Low (1-20%)",IF(T8870&lt;=0.4,"Medium (21-40%)","High (&gt;40%)"))))</f>
        <v/>
      </c>
      <c r="Y8870" s="23" t="str">
        <f aca="false">IF(AND(ISNUMBER(C8870),ISNUMBER(D8870)),D8870-C8870,"")</f>
        <v/>
      </c>
      <c r="Z8870" s="23" t="str">
        <f aca="false">IF(B8870="","",IF(MATCH(B8870,$B$2:$B$12000,0)=ROW()-1,1,0))</f>
        <v/>
      </c>
    </row>
    <row r="8871" customFormat="false" ht="15" hidden="false" customHeight="false" outlineLevel="0" collapsed="false">
      <c r="V8871" s="23" t="str">
        <f aca="false">IF(ISNUMBER(C8871),YEAR(C8871),"")</f>
        <v/>
      </c>
      <c r="W8871" s="23" t="str">
        <f aca="false">IF(ISNUMBER(C8871),MONTH(C8871),"")</f>
        <v/>
      </c>
      <c r="X8871" s="23" t="str">
        <f aca="false">IF(T8871="","",IF(T8871=0,"No discount",IF(T8871&lt;=0.2,"Low (1-20%)",IF(T8871&lt;=0.4,"Medium (21-40%)","High (&gt;40%)"))))</f>
        <v/>
      </c>
      <c r="Y8871" s="23" t="str">
        <f aca="false">IF(AND(ISNUMBER(C8871),ISNUMBER(D8871)),D8871-C8871,"")</f>
        <v/>
      </c>
      <c r="Z8871" s="23" t="str">
        <f aca="false">IF(B8871="","",IF(MATCH(B8871,$B$2:$B$12000,0)=ROW()-1,1,0))</f>
        <v/>
      </c>
    </row>
    <row r="8872" customFormat="false" ht="15" hidden="false" customHeight="false" outlineLevel="0" collapsed="false">
      <c r="V8872" s="23" t="str">
        <f aca="false">IF(ISNUMBER(C8872),YEAR(C8872),"")</f>
        <v/>
      </c>
      <c r="W8872" s="23" t="str">
        <f aca="false">IF(ISNUMBER(C8872),MONTH(C8872),"")</f>
        <v/>
      </c>
      <c r="X8872" s="23" t="str">
        <f aca="false">IF(T8872="","",IF(T8872=0,"No discount",IF(T8872&lt;=0.2,"Low (1-20%)",IF(T8872&lt;=0.4,"Medium (21-40%)","High (&gt;40%)"))))</f>
        <v/>
      </c>
      <c r="Y8872" s="23" t="str">
        <f aca="false">IF(AND(ISNUMBER(C8872),ISNUMBER(D8872)),D8872-C8872,"")</f>
        <v/>
      </c>
      <c r="Z8872" s="23" t="str">
        <f aca="false">IF(B8872="","",IF(MATCH(B8872,$B$2:$B$12000,0)=ROW()-1,1,0))</f>
        <v/>
      </c>
    </row>
    <row r="8873" customFormat="false" ht="15" hidden="false" customHeight="false" outlineLevel="0" collapsed="false">
      <c r="V8873" s="23" t="str">
        <f aca="false">IF(ISNUMBER(C8873),YEAR(C8873),"")</f>
        <v/>
      </c>
      <c r="W8873" s="23" t="str">
        <f aca="false">IF(ISNUMBER(C8873),MONTH(C8873),"")</f>
        <v/>
      </c>
      <c r="X8873" s="23" t="str">
        <f aca="false">IF(T8873="","",IF(T8873=0,"No discount",IF(T8873&lt;=0.2,"Low (1-20%)",IF(T8873&lt;=0.4,"Medium (21-40%)","High (&gt;40%)"))))</f>
        <v/>
      </c>
      <c r="Y8873" s="23" t="str">
        <f aca="false">IF(AND(ISNUMBER(C8873),ISNUMBER(D8873)),D8873-C8873,"")</f>
        <v/>
      </c>
      <c r="Z8873" s="23" t="str">
        <f aca="false">IF(B8873="","",IF(MATCH(B8873,$B$2:$B$12000,0)=ROW()-1,1,0))</f>
        <v/>
      </c>
    </row>
    <row r="8874" customFormat="false" ht="15" hidden="false" customHeight="false" outlineLevel="0" collapsed="false">
      <c r="V8874" s="23" t="str">
        <f aca="false">IF(ISNUMBER(C8874),YEAR(C8874),"")</f>
        <v/>
      </c>
      <c r="W8874" s="23" t="str">
        <f aca="false">IF(ISNUMBER(C8874),MONTH(C8874),"")</f>
        <v/>
      </c>
      <c r="X8874" s="23" t="str">
        <f aca="false">IF(T8874="","",IF(T8874=0,"No discount",IF(T8874&lt;=0.2,"Low (1-20%)",IF(T8874&lt;=0.4,"Medium (21-40%)","High (&gt;40%)"))))</f>
        <v/>
      </c>
      <c r="Y8874" s="23" t="str">
        <f aca="false">IF(AND(ISNUMBER(C8874),ISNUMBER(D8874)),D8874-C8874,"")</f>
        <v/>
      </c>
      <c r="Z8874" s="23" t="str">
        <f aca="false">IF(B8874="","",IF(MATCH(B8874,$B$2:$B$12000,0)=ROW()-1,1,0))</f>
        <v/>
      </c>
    </row>
    <row r="8875" customFormat="false" ht="15" hidden="false" customHeight="false" outlineLevel="0" collapsed="false">
      <c r="V8875" s="23" t="str">
        <f aca="false">IF(ISNUMBER(C8875),YEAR(C8875),"")</f>
        <v/>
      </c>
      <c r="W8875" s="23" t="str">
        <f aca="false">IF(ISNUMBER(C8875),MONTH(C8875),"")</f>
        <v/>
      </c>
      <c r="X8875" s="23" t="str">
        <f aca="false">IF(T8875="","",IF(T8875=0,"No discount",IF(T8875&lt;=0.2,"Low (1-20%)",IF(T8875&lt;=0.4,"Medium (21-40%)","High (&gt;40%)"))))</f>
        <v/>
      </c>
      <c r="Y8875" s="23" t="str">
        <f aca="false">IF(AND(ISNUMBER(C8875),ISNUMBER(D8875)),D8875-C8875,"")</f>
        <v/>
      </c>
      <c r="Z8875" s="23" t="str">
        <f aca="false">IF(B8875="","",IF(MATCH(B8875,$B$2:$B$12000,0)=ROW()-1,1,0))</f>
        <v/>
      </c>
    </row>
    <row r="8876" customFormat="false" ht="15" hidden="false" customHeight="false" outlineLevel="0" collapsed="false">
      <c r="V8876" s="23" t="str">
        <f aca="false">IF(ISNUMBER(C8876),YEAR(C8876),"")</f>
        <v/>
      </c>
      <c r="W8876" s="23" t="str">
        <f aca="false">IF(ISNUMBER(C8876),MONTH(C8876),"")</f>
        <v/>
      </c>
      <c r="X8876" s="23" t="str">
        <f aca="false">IF(T8876="","",IF(T8876=0,"No discount",IF(T8876&lt;=0.2,"Low (1-20%)",IF(T8876&lt;=0.4,"Medium (21-40%)","High (&gt;40%)"))))</f>
        <v/>
      </c>
      <c r="Y8876" s="23" t="str">
        <f aca="false">IF(AND(ISNUMBER(C8876),ISNUMBER(D8876)),D8876-C8876,"")</f>
        <v/>
      </c>
      <c r="Z8876" s="23" t="str">
        <f aca="false">IF(B8876="","",IF(MATCH(B8876,$B$2:$B$12000,0)=ROW()-1,1,0))</f>
        <v/>
      </c>
    </row>
    <row r="8877" customFormat="false" ht="15" hidden="false" customHeight="false" outlineLevel="0" collapsed="false">
      <c r="V8877" s="23" t="str">
        <f aca="false">IF(ISNUMBER(C8877),YEAR(C8877),"")</f>
        <v/>
      </c>
      <c r="W8877" s="23" t="str">
        <f aca="false">IF(ISNUMBER(C8877),MONTH(C8877),"")</f>
        <v/>
      </c>
      <c r="X8877" s="23" t="str">
        <f aca="false">IF(T8877="","",IF(T8877=0,"No discount",IF(T8877&lt;=0.2,"Low (1-20%)",IF(T8877&lt;=0.4,"Medium (21-40%)","High (&gt;40%)"))))</f>
        <v/>
      </c>
      <c r="Y8877" s="23" t="str">
        <f aca="false">IF(AND(ISNUMBER(C8877),ISNUMBER(D8877)),D8877-C8877,"")</f>
        <v/>
      </c>
      <c r="Z8877" s="23" t="str">
        <f aca="false">IF(B8877="","",IF(MATCH(B8877,$B$2:$B$12000,0)=ROW()-1,1,0))</f>
        <v/>
      </c>
    </row>
    <row r="8878" customFormat="false" ht="15" hidden="false" customHeight="false" outlineLevel="0" collapsed="false">
      <c r="V8878" s="23" t="str">
        <f aca="false">IF(ISNUMBER(C8878),YEAR(C8878),"")</f>
        <v/>
      </c>
      <c r="W8878" s="23" t="str">
        <f aca="false">IF(ISNUMBER(C8878),MONTH(C8878),"")</f>
        <v/>
      </c>
      <c r="X8878" s="23" t="str">
        <f aca="false">IF(T8878="","",IF(T8878=0,"No discount",IF(T8878&lt;=0.2,"Low (1-20%)",IF(T8878&lt;=0.4,"Medium (21-40%)","High (&gt;40%)"))))</f>
        <v/>
      </c>
      <c r="Y8878" s="23" t="str">
        <f aca="false">IF(AND(ISNUMBER(C8878),ISNUMBER(D8878)),D8878-C8878,"")</f>
        <v/>
      </c>
      <c r="Z8878" s="23" t="str">
        <f aca="false">IF(B8878="","",IF(MATCH(B8878,$B$2:$B$12000,0)=ROW()-1,1,0))</f>
        <v/>
      </c>
    </row>
    <row r="8879" customFormat="false" ht="15" hidden="false" customHeight="false" outlineLevel="0" collapsed="false">
      <c r="V8879" s="23" t="str">
        <f aca="false">IF(ISNUMBER(C8879),YEAR(C8879),"")</f>
        <v/>
      </c>
      <c r="W8879" s="23" t="str">
        <f aca="false">IF(ISNUMBER(C8879),MONTH(C8879),"")</f>
        <v/>
      </c>
      <c r="X8879" s="23" t="str">
        <f aca="false">IF(T8879="","",IF(T8879=0,"No discount",IF(T8879&lt;=0.2,"Low (1-20%)",IF(T8879&lt;=0.4,"Medium (21-40%)","High (&gt;40%)"))))</f>
        <v/>
      </c>
      <c r="Y8879" s="23" t="str">
        <f aca="false">IF(AND(ISNUMBER(C8879),ISNUMBER(D8879)),D8879-C8879,"")</f>
        <v/>
      </c>
      <c r="Z8879" s="23" t="str">
        <f aca="false">IF(B8879="","",IF(MATCH(B8879,$B$2:$B$12000,0)=ROW()-1,1,0))</f>
        <v/>
      </c>
    </row>
    <row r="8880" customFormat="false" ht="15" hidden="false" customHeight="false" outlineLevel="0" collapsed="false">
      <c r="V8880" s="23" t="str">
        <f aca="false">IF(ISNUMBER(C8880),YEAR(C8880),"")</f>
        <v/>
      </c>
      <c r="W8880" s="23" t="str">
        <f aca="false">IF(ISNUMBER(C8880),MONTH(C8880),"")</f>
        <v/>
      </c>
      <c r="X8880" s="23" t="str">
        <f aca="false">IF(T8880="","",IF(T8880=0,"No discount",IF(T8880&lt;=0.2,"Low (1-20%)",IF(T8880&lt;=0.4,"Medium (21-40%)","High (&gt;40%)"))))</f>
        <v/>
      </c>
      <c r="Y8880" s="23" t="str">
        <f aca="false">IF(AND(ISNUMBER(C8880),ISNUMBER(D8880)),D8880-C8880,"")</f>
        <v/>
      </c>
      <c r="Z8880" s="23" t="str">
        <f aca="false">IF(B8880="","",IF(MATCH(B8880,$B$2:$B$12000,0)=ROW()-1,1,0))</f>
        <v/>
      </c>
    </row>
    <row r="8881" customFormat="false" ht="15" hidden="false" customHeight="false" outlineLevel="0" collapsed="false">
      <c r="V8881" s="23" t="str">
        <f aca="false">IF(ISNUMBER(C8881),YEAR(C8881),"")</f>
        <v/>
      </c>
      <c r="W8881" s="23" t="str">
        <f aca="false">IF(ISNUMBER(C8881),MONTH(C8881),"")</f>
        <v/>
      </c>
      <c r="X8881" s="23" t="str">
        <f aca="false">IF(T8881="","",IF(T8881=0,"No discount",IF(T8881&lt;=0.2,"Low (1-20%)",IF(T8881&lt;=0.4,"Medium (21-40%)","High (&gt;40%)"))))</f>
        <v/>
      </c>
      <c r="Y8881" s="23" t="str">
        <f aca="false">IF(AND(ISNUMBER(C8881),ISNUMBER(D8881)),D8881-C8881,"")</f>
        <v/>
      </c>
      <c r="Z8881" s="23" t="str">
        <f aca="false">IF(B8881="","",IF(MATCH(B8881,$B$2:$B$12000,0)=ROW()-1,1,0))</f>
        <v/>
      </c>
    </row>
    <row r="8882" customFormat="false" ht="15" hidden="false" customHeight="false" outlineLevel="0" collapsed="false">
      <c r="V8882" s="23" t="str">
        <f aca="false">IF(ISNUMBER(C8882),YEAR(C8882),"")</f>
        <v/>
      </c>
      <c r="W8882" s="23" t="str">
        <f aca="false">IF(ISNUMBER(C8882),MONTH(C8882),"")</f>
        <v/>
      </c>
      <c r="X8882" s="23" t="str">
        <f aca="false">IF(T8882="","",IF(T8882=0,"No discount",IF(T8882&lt;=0.2,"Low (1-20%)",IF(T8882&lt;=0.4,"Medium (21-40%)","High (&gt;40%)"))))</f>
        <v/>
      </c>
      <c r="Y8882" s="23" t="str">
        <f aca="false">IF(AND(ISNUMBER(C8882),ISNUMBER(D8882)),D8882-C8882,"")</f>
        <v/>
      </c>
      <c r="Z8882" s="23" t="str">
        <f aca="false">IF(B8882="","",IF(MATCH(B8882,$B$2:$B$12000,0)=ROW()-1,1,0))</f>
        <v/>
      </c>
    </row>
    <row r="8883" customFormat="false" ht="15" hidden="false" customHeight="false" outlineLevel="0" collapsed="false">
      <c r="V8883" s="23" t="str">
        <f aca="false">IF(ISNUMBER(C8883),YEAR(C8883),"")</f>
        <v/>
      </c>
      <c r="W8883" s="23" t="str">
        <f aca="false">IF(ISNUMBER(C8883),MONTH(C8883),"")</f>
        <v/>
      </c>
      <c r="X8883" s="23" t="str">
        <f aca="false">IF(T8883="","",IF(T8883=0,"No discount",IF(T8883&lt;=0.2,"Low (1-20%)",IF(T8883&lt;=0.4,"Medium (21-40%)","High (&gt;40%)"))))</f>
        <v/>
      </c>
      <c r="Y8883" s="23" t="str">
        <f aca="false">IF(AND(ISNUMBER(C8883),ISNUMBER(D8883)),D8883-C8883,"")</f>
        <v/>
      </c>
      <c r="Z8883" s="23" t="str">
        <f aca="false">IF(B8883="","",IF(MATCH(B8883,$B$2:$B$12000,0)=ROW()-1,1,0))</f>
        <v/>
      </c>
    </row>
    <row r="8884" customFormat="false" ht="15" hidden="false" customHeight="false" outlineLevel="0" collapsed="false">
      <c r="V8884" s="23" t="str">
        <f aca="false">IF(ISNUMBER(C8884),YEAR(C8884),"")</f>
        <v/>
      </c>
      <c r="W8884" s="23" t="str">
        <f aca="false">IF(ISNUMBER(C8884),MONTH(C8884),"")</f>
        <v/>
      </c>
      <c r="X8884" s="23" t="str">
        <f aca="false">IF(T8884="","",IF(T8884=0,"No discount",IF(T8884&lt;=0.2,"Low (1-20%)",IF(T8884&lt;=0.4,"Medium (21-40%)","High (&gt;40%)"))))</f>
        <v/>
      </c>
      <c r="Y8884" s="23" t="str">
        <f aca="false">IF(AND(ISNUMBER(C8884),ISNUMBER(D8884)),D8884-C8884,"")</f>
        <v/>
      </c>
      <c r="Z8884" s="23" t="str">
        <f aca="false">IF(B8884="","",IF(MATCH(B8884,$B$2:$B$12000,0)=ROW()-1,1,0))</f>
        <v/>
      </c>
    </row>
    <row r="8885" customFormat="false" ht="15" hidden="false" customHeight="false" outlineLevel="0" collapsed="false">
      <c r="V8885" s="23" t="str">
        <f aca="false">IF(ISNUMBER(C8885),YEAR(C8885),"")</f>
        <v/>
      </c>
      <c r="W8885" s="23" t="str">
        <f aca="false">IF(ISNUMBER(C8885),MONTH(C8885),"")</f>
        <v/>
      </c>
      <c r="X8885" s="23" t="str">
        <f aca="false">IF(T8885="","",IF(T8885=0,"No discount",IF(T8885&lt;=0.2,"Low (1-20%)",IF(T8885&lt;=0.4,"Medium (21-40%)","High (&gt;40%)"))))</f>
        <v/>
      </c>
      <c r="Y8885" s="23" t="str">
        <f aca="false">IF(AND(ISNUMBER(C8885),ISNUMBER(D8885)),D8885-C8885,"")</f>
        <v/>
      </c>
      <c r="Z8885" s="23" t="str">
        <f aca="false">IF(B8885="","",IF(MATCH(B8885,$B$2:$B$12000,0)=ROW()-1,1,0))</f>
        <v/>
      </c>
    </row>
    <row r="8886" customFormat="false" ht="15" hidden="false" customHeight="false" outlineLevel="0" collapsed="false">
      <c r="V8886" s="23" t="str">
        <f aca="false">IF(ISNUMBER(C8886),YEAR(C8886),"")</f>
        <v/>
      </c>
      <c r="W8886" s="23" t="str">
        <f aca="false">IF(ISNUMBER(C8886),MONTH(C8886),"")</f>
        <v/>
      </c>
      <c r="X8886" s="23" t="str">
        <f aca="false">IF(T8886="","",IF(T8886=0,"No discount",IF(T8886&lt;=0.2,"Low (1-20%)",IF(T8886&lt;=0.4,"Medium (21-40%)","High (&gt;40%)"))))</f>
        <v/>
      </c>
      <c r="Y8886" s="23" t="str">
        <f aca="false">IF(AND(ISNUMBER(C8886),ISNUMBER(D8886)),D8886-C8886,"")</f>
        <v/>
      </c>
      <c r="Z8886" s="23" t="str">
        <f aca="false">IF(B8886="","",IF(MATCH(B8886,$B$2:$B$12000,0)=ROW()-1,1,0))</f>
        <v/>
      </c>
    </row>
    <row r="8887" customFormat="false" ht="15" hidden="false" customHeight="false" outlineLevel="0" collapsed="false">
      <c r="V8887" s="23" t="str">
        <f aca="false">IF(ISNUMBER(C8887),YEAR(C8887),"")</f>
        <v/>
      </c>
      <c r="W8887" s="23" t="str">
        <f aca="false">IF(ISNUMBER(C8887),MONTH(C8887),"")</f>
        <v/>
      </c>
      <c r="X8887" s="23" t="str">
        <f aca="false">IF(T8887="","",IF(T8887=0,"No discount",IF(T8887&lt;=0.2,"Low (1-20%)",IF(T8887&lt;=0.4,"Medium (21-40%)","High (&gt;40%)"))))</f>
        <v/>
      </c>
      <c r="Y8887" s="23" t="str">
        <f aca="false">IF(AND(ISNUMBER(C8887),ISNUMBER(D8887)),D8887-C8887,"")</f>
        <v/>
      </c>
      <c r="Z8887" s="23" t="str">
        <f aca="false">IF(B8887="","",IF(MATCH(B8887,$B$2:$B$12000,0)=ROW()-1,1,0))</f>
        <v/>
      </c>
    </row>
    <row r="8888" customFormat="false" ht="15" hidden="false" customHeight="false" outlineLevel="0" collapsed="false">
      <c r="V8888" s="23" t="str">
        <f aca="false">IF(ISNUMBER(C8888),YEAR(C8888),"")</f>
        <v/>
      </c>
      <c r="W8888" s="23" t="str">
        <f aca="false">IF(ISNUMBER(C8888),MONTH(C8888),"")</f>
        <v/>
      </c>
      <c r="X8888" s="23" t="str">
        <f aca="false">IF(T8888="","",IF(T8888=0,"No discount",IF(T8888&lt;=0.2,"Low (1-20%)",IF(T8888&lt;=0.4,"Medium (21-40%)","High (&gt;40%)"))))</f>
        <v/>
      </c>
      <c r="Y8888" s="23" t="str">
        <f aca="false">IF(AND(ISNUMBER(C8888),ISNUMBER(D8888)),D8888-C8888,"")</f>
        <v/>
      </c>
      <c r="Z8888" s="23" t="str">
        <f aca="false">IF(B8888="","",IF(MATCH(B8888,$B$2:$B$12000,0)=ROW()-1,1,0))</f>
        <v/>
      </c>
    </row>
    <row r="8889" customFormat="false" ht="15" hidden="false" customHeight="false" outlineLevel="0" collapsed="false">
      <c r="V8889" s="23" t="str">
        <f aca="false">IF(ISNUMBER(C8889),YEAR(C8889),"")</f>
        <v/>
      </c>
      <c r="W8889" s="23" t="str">
        <f aca="false">IF(ISNUMBER(C8889),MONTH(C8889),"")</f>
        <v/>
      </c>
      <c r="X8889" s="23" t="str">
        <f aca="false">IF(T8889="","",IF(T8889=0,"No discount",IF(T8889&lt;=0.2,"Low (1-20%)",IF(T8889&lt;=0.4,"Medium (21-40%)","High (&gt;40%)"))))</f>
        <v/>
      </c>
      <c r="Y8889" s="23" t="str">
        <f aca="false">IF(AND(ISNUMBER(C8889),ISNUMBER(D8889)),D8889-C8889,"")</f>
        <v/>
      </c>
      <c r="Z8889" s="23" t="str">
        <f aca="false">IF(B8889="","",IF(MATCH(B8889,$B$2:$B$12000,0)=ROW()-1,1,0))</f>
        <v/>
      </c>
    </row>
    <row r="8890" customFormat="false" ht="15" hidden="false" customHeight="false" outlineLevel="0" collapsed="false">
      <c r="V8890" s="23" t="str">
        <f aca="false">IF(ISNUMBER(C8890),YEAR(C8890),"")</f>
        <v/>
      </c>
      <c r="W8890" s="23" t="str">
        <f aca="false">IF(ISNUMBER(C8890),MONTH(C8890),"")</f>
        <v/>
      </c>
      <c r="X8890" s="23" t="str">
        <f aca="false">IF(T8890="","",IF(T8890=0,"No discount",IF(T8890&lt;=0.2,"Low (1-20%)",IF(T8890&lt;=0.4,"Medium (21-40%)","High (&gt;40%)"))))</f>
        <v/>
      </c>
      <c r="Y8890" s="23" t="str">
        <f aca="false">IF(AND(ISNUMBER(C8890),ISNUMBER(D8890)),D8890-C8890,"")</f>
        <v/>
      </c>
      <c r="Z8890" s="23" t="str">
        <f aca="false">IF(B8890="","",IF(MATCH(B8890,$B$2:$B$12000,0)=ROW()-1,1,0))</f>
        <v/>
      </c>
    </row>
    <row r="8891" customFormat="false" ht="15" hidden="false" customHeight="false" outlineLevel="0" collapsed="false">
      <c r="V8891" s="23" t="str">
        <f aca="false">IF(ISNUMBER(C8891),YEAR(C8891),"")</f>
        <v/>
      </c>
      <c r="W8891" s="23" t="str">
        <f aca="false">IF(ISNUMBER(C8891),MONTH(C8891),"")</f>
        <v/>
      </c>
      <c r="X8891" s="23" t="str">
        <f aca="false">IF(T8891="","",IF(T8891=0,"No discount",IF(T8891&lt;=0.2,"Low (1-20%)",IF(T8891&lt;=0.4,"Medium (21-40%)","High (&gt;40%)"))))</f>
        <v/>
      </c>
      <c r="Y8891" s="23" t="str">
        <f aca="false">IF(AND(ISNUMBER(C8891),ISNUMBER(D8891)),D8891-C8891,"")</f>
        <v/>
      </c>
      <c r="Z8891" s="23" t="str">
        <f aca="false">IF(B8891="","",IF(MATCH(B8891,$B$2:$B$12000,0)=ROW()-1,1,0))</f>
        <v/>
      </c>
    </row>
    <row r="8892" customFormat="false" ht="15" hidden="false" customHeight="false" outlineLevel="0" collapsed="false">
      <c r="V8892" s="23" t="str">
        <f aca="false">IF(ISNUMBER(C8892),YEAR(C8892),"")</f>
        <v/>
      </c>
      <c r="W8892" s="23" t="str">
        <f aca="false">IF(ISNUMBER(C8892),MONTH(C8892),"")</f>
        <v/>
      </c>
      <c r="X8892" s="23" t="str">
        <f aca="false">IF(T8892="","",IF(T8892=0,"No discount",IF(T8892&lt;=0.2,"Low (1-20%)",IF(T8892&lt;=0.4,"Medium (21-40%)","High (&gt;40%)"))))</f>
        <v/>
      </c>
      <c r="Y8892" s="23" t="str">
        <f aca="false">IF(AND(ISNUMBER(C8892),ISNUMBER(D8892)),D8892-C8892,"")</f>
        <v/>
      </c>
      <c r="Z8892" s="23" t="str">
        <f aca="false">IF(B8892="","",IF(MATCH(B8892,$B$2:$B$12000,0)=ROW()-1,1,0))</f>
        <v/>
      </c>
    </row>
    <row r="8893" customFormat="false" ht="15" hidden="false" customHeight="false" outlineLevel="0" collapsed="false">
      <c r="V8893" s="23" t="str">
        <f aca="false">IF(ISNUMBER(C8893),YEAR(C8893),"")</f>
        <v/>
      </c>
      <c r="W8893" s="23" t="str">
        <f aca="false">IF(ISNUMBER(C8893),MONTH(C8893),"")</f>
        <v/>
      </c>
      <c r="X8893" s="23" t="str">
        <f aca="false">IF(T8893="","",IF(T8893=0,"No discount",IF(T8893&lt;=0.2,"Low (1-20%)",IF(T8893&lt;=0.4,"Medium (21-40%)","High (&gt;40%)"))))</f>
        <v/>
      </c>
      <c r="Y8893" s="23" t="str">
        <f aca="false">IF(AND(ISNUMBER(C8893),ISNUMBER(D8893)),D8893-C8893,"")</f>
        <v/>
      </c>
      <c r="Z8893" s="23" t="str">
        <f aca="false">IF(B8893="","",IF(MATCH(B8893,$B$2:$B$12000,0)=ROW()-1,1,0))</f>
        <v/>
      </c>
    </row>
    <row r="8894" customFormat="false" ht="15" hidden="false" customHeight="false" outlineLevel="0" collapsed="false">
      <c r="V8894" s="23" t="str">
        <f aca="false">IF(ISNUMBER(C8894),YEAR(C8894),"")</f>
        <v/>
      </c>
      <c r="W8894" s="23" t="str">
        <f aca="false">IF(ISNUMBER(C8894),MONTH(C8894),"")</f>
        <v/>
      </c>
      <c r="X8894" s="23" t="str">
        <f aca="false">IF(T8894="","",IF(T8894=0,"No discount",IF(T8894&lt;=0.2,"Low (1-20%)",IF(T8894&lt;=0.4,"Medium (21-40%)","High (&gt;40%)"))))</f>
        <v/>
      </c>
      <c r="Y8894" s="23" t="str">
        <f aca="false">IF(AND(ISNUMBER(C8894),ISNUMBER(D8894)),D8894-C8894,"")</f>
        <v/>
      </c>
      <c r="Z8894" s="23" t="str">
        <f aca="false">IF(B8894="","",IF(MATCH(B8894,$B$2:$B$12000,0)=ROW()-1,1,0))</f>
        <v/>
      </c>
    </row>
    <row r="8895" customFormat="false" ht="15" hidden="false" customHeight="false" outlineLevel="0" collapsed="false">
      <c r="V8895" s="23" t="str">
        <f aca="false">IF(ISNUMBER(C8895),YEAR(C8895),"")</f>
        <v/>
      </c>
      <c r="W8895" s="23" t="str">
        <f aca="false">IF(ISNUMBER(C8895),MONTH(C8895),"")</f>
        <v/>
      </c>
      <c r="X8895" s="23" t="str">
        <f aca="false">IF(T8895="","",IF(T8895=0,"No discount",IF(T8895&lt;=0.2,"Low (1-20%)",IF(T8895&lt;=0.4,"Medium (21-40%)","High (&gt;40%)"))))</f>
        <v/>
      </c>
      <c r="Y8895" s="23" t="str">
        <f aca="false">IF(AND(ISNUMBER(C8895),ISNUMBER(D8895)),D8895-C8895,"")</f>
        <v/>
      </c>
      <c r="Z8895" s="23" t="str">
        <f aca="false">IF(B8895="","",IF(MATCH(B8895,$B$2:$B$12000,0)=ROW()-1,1,0))</f>
        <v/>
      </c>
    </row>
    <row r="8896" customFormat="false" ht="15" hidden="false" customHeight="false" outlineLevel="0" collapsed="false">
      <c r="V8896" s="23" t="str">
        <f aca="false">IF(ISNUMBER(C8896),YEAR(C8896),"")</f>
        <v/>
      </c>
      <c r="W8896" s="23" t="str">
        <f aca="false">IF(ISNUMBER(C8896),MONTH(C8896),"")</f>
        <v/>
      </c>
      <c r="X8896" s="23" t="str">
        <f aca="false">IF(T8896="","",IF(T8896=0,"No discount",IF(T8896&lt;=0.2,"Low (1-20%)",IF(T8896&lt;=0.4,"Medium (21-40%)","High (&gt;40%)"))))</f>
        <v/>
      </c>
      <c r="Y8896" s="23" t="str">
        <f aca="false">IF(AND(ISNUMBER(C8896),ISNUMBER(D8896)),D8896-C8896,"")</f>
        <v/>
      </c>
      <c r="Z8896" s="23" t="str">
        <f aca="false">IF(B8896="","",IF(MATCH(B8896,$B$2:$B$12000,0)=ROW()-1,1,0))</f>
        <v/>
      </c>
    </row>
    <row r="8897" customFormat="false" ht="15" hidden="false" customHeight="false" outlineLevel="0" collapsed="false">
      <c r="V8897" s="23" t="str">
        <f aca="false">IF(ISNUMBER(C8897),YEAR(C8897),"")</f>
        <v/>
      </c>
      <c r="W8897" s="23" t="str">
        <f aca="false">IF(ISNUMBER(C8897),MONTH(C8897),"")</f>
        <v/>
      </c>
      <c r="X8897" s="23" t="str">
        <f aca="false">IF(T8897="","",IF(T8897=0,"No discount",IF(T8897&lt;=0.2,"Low (1-20%)",IF(T8897&lt;=0.4,"Medium (21-40%)","High (&gt;40%)"))))</f>
        <v/>
      </c>
      <c r="Y8897" s="23" t="str">
        <f aca="false">IF(AND(ISNUMBER(C8897),ISNUMBER(D8897)),D8897-C8897,"")</f>
        <v/>
      </c>
      <c r="Z8897" s="23" t="str">
        <f aca="false">IF(B8897="","",IF(MATCH(B8897,$B$2:$B$12000,0)=ROW()-1,1,0))</f>
        <v/>
      </c>
    </row>
    <row r="8898" customFormat="false" ht="15" hidden="false" customHeight="false" outlineLevel="0" collapsed="false">
      <c r="V8898" s="23" t="str">
        <f aca="false">IF(ISNUMBER(C8898),YEAR(C8898),"")</f>
        <v/>
      </c>
      <c r="W8898" s="23" t="str">
        <f aca="false">IF(ISNUMBER(C8898),MONTH(C8898),"")</f>
        <v/>
      </c>
      <c r="X8898" s="23" t="str">
        <f aca="false">IF(T8898="","",IF(T8898=0,"No discount",IF(T8898&lt;=0.2,"Low (1-20%)",IF(T8898&lt;=0.4,"Medium (21-40%)","High (&gt;40%)"))))</f>
        <v/>
      </c>
      <c r="Y8898" s="23" t="str">
        <f aca="false">IF(AND(ISNUMBER(C8898),ISNUMBER(D8898)),D8898-C8898,"")</f>
        <v/>
      </c>
      <c r="Z8898" s="23" t="str">
        <f aca="false">IF(B8898="","",IF(MATCH(B8898,$B$2:$B$12000,0)=ROW()-1,1,0))</f>
        <v/>
      </c>
    </row>
    <row r="8899" customFormat="false" ht="15" hidden="false" customHeight="false" outlineLevel="0" collapsed="false">
      <c r="V8899" s="23" t="str">
        <f aca="false">IF(ISNUMBER(C8899),YEAR(C8899),"")</f>
        <v/>
      </c>
      <c r="W8899" s="23" t="str">
        <f aca="false">IF(ISNUMBER(C8899),MONTH(C8899),"")</f>
        <v/>
      </c>
      <c r="X8899" s="23" t="str">
        <f aca="false">IF(T8899="","",IF(T8899=0,"No discount",IF(T8899&lt;=0.2,"Low (1-20%)",IF(T8899&lt;=0.4,"Medium (21-40%)","High (&gt;40%)"))))</f>
        <v/>
      </c>
      <c r="Y8899" s="23" t="str">
        <f aca="false">IF(AND(ISNUMBER(C8899),ISNUMBER(D8899)),D8899-C8899,"")</f>
        <v/>
      </c>
      <c r="Z8899" s="23" t="str">
        <f aca="false">IF(B8899="","",IF(MATCH(B8899,$B$2:$B$12000,0)=ROW()-1,1,0))</f>
        <v/>
      </c>
    </row>
    <row r="8900" customFormat="false" ht="15" hidden="false" customHeight="false" outlineLevel="0" collapsed="false">
      <c r="V8900" s="23" t="str">
        <f aca="false">IF(ISNUMBER(C8900),YEAR(C8900),"")</f>
        <v/>
      </c>
      <c r="W8900" s="23" t="str">
        <f aca="false">IF(ISNUMBER(C8900),MONTH(C8900),"")</f>
        <v/>
      </c>
      <c r="X8900" s="23" t="str">
        <f aca="false">IF(T8900="","",IF(T8900=0,"No discount",IF(T8900&lt;=0.2,"Low (1-20%)",IF(T8900&lt;=0.4,"Medium (21-40%)","High (&gt;40%)"))))</f>
        <v/>
      </c>
      <c r="Y8900" s="23" t="str">
        <f aca="false">IF(AND(ISNUMBER(C8900),ISNUMBER(D8900)),D8900-C8900,"")</f>
        <v/>
      </c>
      <c r="Z8900" s="23" t="str">
        <f aca="false">IF(B8900="","",IF(MATCH(B8900,$B$2:$B$12000,0)=ROW()-1,1,0))</f>
        <v/>
      </c>
    </row>
    <row r="8901" customFormat="false" ht="15" hidden="false" customHeight="false" outlineLevel="0" collapsed="false">
      <c r="V8901" s="23" t="str">
        <f aca="false">IF(ISNUMBER(C8901),YEAR(C8901),"")</f>
        <v/>
      </c>
      <c r="W8901" s="23" t="str">
        <f aca="false">IF(ISNUMBER(C8901),MONTH(C8901),"")</f>
        <v/>
      </c>
      <c r="X8901" s="23" t="str">
        <f aca="false">IF(T8901="","",IF(T8901=0,"No discount",IF(T8901&lt;=0.2,"Low (1-20%)",IF(T8901&lt;=0.4,"Medium (21-40%)","High (&gt;40%)"))))</f>
        <v/>
      </c>
      <c r="Y8901" s="23" t="str">
        <f aca="false">IF(AND(ISNUMBER(C8901),ISNUMBER(D8901)),D8901-C8901,"")</f>
        <v/>
      </c>
      <c r="Z8901" s="23" t="str">
        <f aca="false">IF(B8901="","",IF(MATCH(B8901,$B$2:$B$12000,0)=ROW()-1,1,0))</f>
        <v/>
      </c>
    </row>
    <row r="8902" customFormat="false" ht="15" hidden="false" customHeight="false" outlineLevel="0" collapsed="false">
      <c r="V8902" s="23" t="str">
        <f aca="false">IF(ISNUMBER(C8902),YEAR(C8902),"")</f>
        <v/>
      </c>
      <c r="W8902" s="23" t="str">
        <f aca="false">IF(ISNUMBER(C8902),MONTH(C8902),"")</f>
        <v/>
      </c>
      <c r="X8902" s="23" t="str">
        <f aca="false">IF(T8902="","",IF(T8902=0,"No discount",IF(T8902&lt;=0.2,"Low (1-20%)",IF(T8902&lt;=0.4,"Medium (21-40%)","High (&gt;40%)"))))</f>
        <v/>
      </c>
      <c r="Y8902" s="23" t="str">
        <f aca="false">IF(AND(ISNUMBER(C8902),ISNUMBER(D8902)),D8902-C8902,"")</f>
        <v/>
      </c>
      <c r="Z8902" s="23" t="str">
        <f aca="false">IF(B8902="","",IF(MATCH(B8902,$B$2:$B$12000,0)=ROW()-1,1,0))</f>
        <v/>
      </c>
    </row>
    <row r="8903" customFormat="false" ht="15" hidden="false" customHeight="false" outlineLevel="0" collapsed="false">
      <c r="V8903" s="23" t="str">
        <f aca="false">IF(ISNUMBER(C8903),YEAR(C8903),"")</f>
        <v/>
      </c>
      <c r="W8903" s="23" t="str">
        <f aca="false">IF(ISNUMBER(C8903),MONTH(C8903),"")</f>
        <v/>
      </c>
      <c r="X8903" s="23" t="str">
        <f aca="false">IF(T8903="","",IF(T8903=0,"No discount",IF(T8903&lt;=0.2,"Low (1-20%)",IF(T8903&lt;=0.4,"Medium (21-40%)","High (&gt;40%)"))))</f>
        <v/>
      </c>
      <c r="Y8903" s="23" t="str">
        <f aca="false">IF(AND(ISNUMBER(C8903),ISNUMBER(D8903)),D8903-C8903,"")</f>
        <v/>
      </c>
      <c r="Z8903" s="23" t="str">
        <f aca="false">IF(B8903="","",IF(MATCH(B8903,$B$2:$B$12000,0)=ROW()-1,1,0))</f>
        <v/>
      </c>
    </row>
    <row r="8904" customFormat="false" ht="15" hidden="false" customHeight="false" outlineLevel="0" collapsed="false">
      <c r="V8904" s="23" t="str">
        <f aca="false">IF(ISNUMBER(C8904),YEAR(C8904),"")</f>
        <v/>
      </c>
      <c r="W8904" s="23" t="str">
        <f aca="false">IF(ISNUMBER(C8904),MONTH(C8904),"")</f>
        <v/>
      </c>
      <c r="X8904" s="23" t="str">
        <f aca="false">IF(T8904="","",IF(T8904=0,"No discount",IF(T8904&lt;=0.2,"Low (1-20%)",IF(T8904&lt;=0.4,"Medium (21-40%)","High (&gt;40%)"))))</f>
        <v/>
      </c>
      <c r="Y8904" s="23" t="str">
        <f aca="false">IF(AND(ISNUMBER(C8904),ISNUMBER(D8904)),D8904-C8904,"")</f>
        <v/>
      </c>
      <c r="Z8904" s="23" t="str">
        <f aca="false">IF(B8904="","",IF(MATCH(B8904,$B$2:$B$12000,0)=ROW()-1,1,0))</f>
        <v/>
      </c>
    </row>
    <row r="8905" customFormat="false" ht="15" hidden="false" customHeight="false" outlineLevel="0" collapsed="false">
      <c r="V8905" s="23" t="str">
        <f aca="false">IF(ISNUMBER(C8905),YEAR(C8905),"")</f>
        <v/>
      </c>
      <c r="W8905" s="23" t="str">
        <f aca="false">IF(ISNUMBER(C8905),MONTH(C8905),"")</f>
        <v/>
      </c>
      <c r="X8905" s="23" t="str">
        <f aca="false">IF(T8905="","",IF(T8905=0,"No discount",IF(T8905&lt;=0.2,"Low (1-20%)",IF(T8905&lt;=0.4,"Medium (21-40%)","High (&gt;40%)"))))</f>
        <v/>
      </c>
      <c r="Y8905" s="23" t="str">
        <f aca="false">IF(AND(ISNUMBER(C8905),ISNUMBER(D8905)),D8905-C8905,"")</f>
        <v/>
      </c>
      <c r="Z8905" s="23" t="str">
        <f aca="false">IF(B8905="","",IF(MATCH(B8905,$B$2:$B$12000,0)=ROW()-1,1,0))</f>
        <v/>
      </c>
    </row>
    <row r="8906" customFormat="false" ht="15" hidden="false" customHeight="false" outlineLevel="0" collapsed="false">
      <c r="V8906" s="23" t="str">
        <f aca="false">IF(ISNUMBER(C8906),YEAR(C8906),"")</f>
        <v/>
      </c>
      <c r="W8906" s="23" t="str">
        <f aca="false">IF(ISNUMBER(C8906),MONTH(C8906),"")</f>
        <v/>
      </c>
      <c r="X8906" s="23" t="str">
        <f aca="false">IF(T8906="","",IF(T8906=0,"No discount",IF(T8906&lt;=0.2,"Low (1-20%)",IF(T8906&lt;=0.4,"Medium (21-40%)","High (&gt;40%)"))))</f>
        <v/>
      </c>
      <c r="Y8906" s="23" t="str">
        <f aca="false">IF(AND(ISNUMBER(C8906),ISNUMBER(D8906)),D8906-C8906,"")</f>
        <v/>
      </c>
      <c r="Z8906" s="23" t="str">
        <f aca="false">IF(B8906="","",IF(MATCH(B8906,$B$2:$B$12000,0)=ROW()-1,1,0))</f>
        <v/>
      </c>
    </row>
    <row r="8907" customFormat="false" ht="15" hidden="false" customHeight="false" outlineLevel="0" collapsed="false">
      <c r="V8907" s="23" t="str">
        <f aca="false">IF(ISNUMBER(C8907),YEAR(C8907),"")</f>
        <v/>
      </c>
      <c r="W8907" s="23" t="str">
        <f aca="false">IF(ISNUMBER(C8907),MONTH(C8907),"")</f>
        <v/>
      </c>
      <c r="X8907" s="23" t="str">
        <f aca="false">IF(T8907="","",IF(T8907=0,"No discount",IF(T8907&lt;=0.2,"Low (1-20%)",IF(T8907&lt;=0.4,"Medium (21-40%)","High (&gt;40%)"))))</f>
        <v/>
      </c>
      <c r="Y8907" s="23" t="str">
        <f aca="false">IF(AND(ISNUMBER(C8907),ISNUMBER(D8907)),D8907-C8907,"")</f>
        <v/>
      </c>
      <c r="Z8907" s="23" t="str">
        <f aca="false">IF(B8907="","",IF(MATCH(B8907,$B$2:$B$12000,0)=ROW()-1,1,0))</f>
        <v/>
      </c>
    </row>
    <row r="8908" customFormat="false" ht="15" hidden="false" customHeight="false" outlineLevel="0" collapsed="false">
      <c r="V8908" s="23" t="str">
        <f aca="false">IF(ISNUMBER(C8908),YEAR(C8908),"")</f>
        <v/>
      </c>
      <c r="W8908" s="23" t="str">
        <f aca="false">IF(ISNUMBER(C8908),MONTH(C8908),"")</f>
        <v/>
      </c>
      <c r="X8908" s="23" t="str">
        <f aca="false">IF(T8908="","",IF(T8908=0,"No discount",IF(T8908&lt;=0.2,"Low (1-20%)",IF(T8908&lt;=0.4,"Medium (21-40%)","High (&gt;40%)"))))</f>
        <v/>
      </c>
      <c r="Y8908" s="23" t="str">
        <f aca="false">IF(AND(ISNUMBER(C8908),ISNUMBER(D8908)),D8908-C8908,"")</f>
        <v/>
      </c>
      <c r="Z8908" s="23" t="str">
        <f aca="false">IF(B8908="","",IF(MATCH(B8908,$B$2:$B$12000,0)=ROW()-1,1,0))</f>
        <v/>
      </c>
    </row>
    <row r="8909" customFormat="false" ht="15" hidden="false" customHeight="false" outlineLevel="0" collapsed="false">
      <c r="V8909" s="23" t="str">
        <f aca="false">IF(ISNUMBER(C8909),YEAR(C8909),"")</f>
        <v/>
      </c>
      <c r="W8909" s="23" t="str">
        <f aca="false">IF(ISNUMBER(C8909),MONTH(C8909),"")</f>
        <v/>
      </c>
      <c r="X8909" s="23" t="str">
        <f aca="false">IF(T8909="","",IF(T8909=0,"No discount",IF(T8909&lt;=0.2,"Low (1-20%)",IF(T8909&lt;=0.4,"Medium (21-40%)","High (&gt;40%)"))))</f>
        <v/>
      </c>
      <c r="Y8909" s="23" t="str">
        <f aca="false">IF(AND(ISNUMBER(C8909),ISNUMBER(D8909)),D8909-C8909,"")</f>
        <v/>
      </c>
      <c r="Z8909" s="23" t="str">
        <f aca="false">IF(B8909="","",IF(MATCH(B8909,$B$2:$B$12000,0)=ROW()-1,1,0))</f>
        <v/>
      </c>
    </row>
    <row r="8910" customFormat="false" ht="15" hidden="false" customHeight="false" outlineLevel="0" collapsed="false">
      <c r="V8910" s="23" t="str">
        <f aca="false">IF(ISNUMBER(C8910),YEAR(C8910),"")</f>
        <v/>
      </c>
      <c r="W8910" s="23" t="str">
        <f aca="false">IF(ISNUMBER(C8910),MONTH(C8910),"")</f>
        <v/>
      </c>
      <c r="X8910" s="23" t="str">
        <f aca="false">IF(T8910="","",IF(T8910=0,"No discount",IF(T8910&lt;=0.2,"Low (1-20%)",IF(T8910&lt;=0.4,"Medium (21-40%)","High (&gt;40%)"))))</f>
        <v/>
      </c>
      <c r="Y8910" s="23" t="str">
        <f aca="false">IF(AND(ISNUMBER(C8910),ISNUMBER(D8910)),D8910-C8910,"")</f>
        <v/>
      </c>
      <c r="Z8910" s="23" t="str">
        <f aca="false">IF(B8910="","",IF(MATCH(B8910,$B$2:$B$12000,0)=ROW()-1,1,0))</f>
        <v/>
      </c>
    </row>
    <row r="8911" customFormat="false" ht="15" hidden="false" customHeight="false" outlineLevel="0" collapsed="false">
      <c r="V8911" s="23" t="str">
        <f aca="false">IF(ISNUMBER(C8911),YEAR(C8911),"")</f>
        <v/>
      </c>
      <c r="W8911" s="23" t="str">
        <f aca="false">IF(ISNUMBER(C8911),MONTH(C8911),"")</f>
        <v/>
      </c>
      <c r="X8911" s="23" t="str">
        <f aca="false">IF(T8911="","",IF(T8911=0,"No discount",IF(T8911&lt;=0.2,"Low (1-20%)",IF(T8911&lt;=0.4,"Medium (21-40%)","High (&gt;40%)"))))</f>
        <v/>
      </c>
      <c r="Y8911" s="23" t="str">
        <f aca="false">IF(AND(ISNUMBER(C8911),ISNUMBER(D8911)),D8911-C8911,"")</f>
        <v/>
      </c>
      <c r="Z8911" s="23" t="str">
        <f aca="false">IF(B8911="","",IF(MATCH(B8911,$B$2:$B$12000,0)=ROW()-1,1,0))</f>
        <v/>
      </c>
    </row>
    <row r="8912" customFormat="false" ht="15" hidden="false" customHeight="false" outlineLevel="0" collapsed="false">
      <c r="V8912" s="23" t="str">
        <f aca="false">IF(ISNUMBER(C8912),YEAR(C8912),"")</f>
        <v/>
      </c>
      <c r="W8912" s="23" t="str">
        <f aca="false">IF(ISNUMBER(C8912),MONTH(C8912),"")</f>
        <v/>
      </c>
      <c r="X8912" s="23" t="str">
        <f aca="false">IF(T8912="","",IF(T8912=0,"No discount",IF(T8912&lt;=0.2,"Low (1-20%)",IF(T8912&lt;=0.4,"Medium (21-40%)","High (&gt;40%)"))))</f>
        <v/>
      </c>
      <c r="Y8912" s="23" t="str">
        <f aca="false">IF(AND(ISNUMBER(C8912),ISNUMBER(D8912)),D8912-C8912,"")</f>
        <v/>
      </c>
      <c r="Z8912" s="23" t="str">
        <f aca="false">IF(B8912="","",IF(MATCH(B8912,$B$2:$B$12000,0)=ROW()-1,1,0))</f>
        <v/>
      </c>
    </row>
    <row r="8913" customFormat="false" ht="15" hidden="false" customHeight="false" outlineLevel="0" collapsed="false">
      <c r="V8913" s="23" t="str">
        <f aca="false">IF(ISNUMBER(C8913),YEAR(C8913),"")</f>
        <v/>
      </c>
      <c r="W8913" s="23" t="str">
        <f aca="false">IF(ISNUMBER(C8913),MONTH(C8913),"")</f>
        <v/>
      </c>
      <c r="X8913" s="23" t="str">
        <f aca="false">IF(T8913="","",IF(T8913=0,"No discount",IF(T8913&lt;=0.2,"Low (1-20%)",IF(T8913&lt;=0.4,"Medium (21-40%)","High (&gt;40%)"))))</f>
        <v/>
      </c>
      <c r="Y8913" s="23" t="str">
        <f aca="false">IF(AND(ISNUMBER(C8913),ISNUMBER(D8913)),D8913-C8913,"")</f>
        <v/>
      </c>
      <c r="Z8913" s="23" t="str">
        <f aca="false">IF(B8913="","",IF(MATCH(B8913,$B$2:$B$12000,0)=ROW()-1,1,0))</f>
        <v/>
      </c>
    </row>
    <row r="8914" customFormat="false" ht="15" hidden="false" customHeight="false" outlineLevel="0" collapsed="false">
      <c r="V8914" s="23" t="str">
        <f aca="false">IF(ISNUMBER(C8914),YEAR(C8914),"")</f>
        <v/>
      </c>
      <c r="W8914" s="23" t="str">
        <f aca="false">IF(ISNUMBER(C8914),MONTH(C8914),"")</f>
        <v/>
      </c>
      <c r="X8914" s="23" t="str">
        <f aca="false">IF(T8914="","",IF(T8914=0,"No discount",IF(T8914&lt;=0.2,"Low (1-20%)",IF(T8914&lt;=0.4,"Medium (21-40%)","High (&gt;40%)"))))</f>
        <v/>
      </c>
      <c r="Y8914" s="23" t="str">
        <f aca="false">IF(AND(ISNUMBER(C8914),ISNUMBER(D8914)),D8914-C8914,"")</f>
        <v/>
      </c>
      <c r="Z8914" s="23" t="str">
        <f aca="false">IF(B8914="","",IF(MATCH(B8914,$B$2:$B$12000,0)=ROW()-1,1,0))</f>
        <v/>
      </c>
    </row>
    <row r="8915" customFormat="false" ht="15" hidden="false" customHeight="false" outlineLevel="0" collapsed="false">
      <c r="V8915" s="23" t="str">
        <f aca="false">IF(ISNUMBER(C8915),YEAR(C8915),"")</f>
        <v/>
      </c>
      <c r="W8915" s="23" t="str">
        <f aca="false">IF(ISNUMBER(C8915),MONTH(C8915),"")</f>
        <v/>
      </c>
      <c r="X8915" s="23" t="str">
        <f aca="false">IF(T8915="","",IF(T8915=0,"No discount",IF(T8915&lt;=0.2,"Low (1-20%)",IF(T8915&lt;=0.4,"Medium (21-40%)","High (&gt;40%)"))))</f>
        <v/>
      </c>
      <c r="Y8915" s="23" t="str">
        <f aca="false">IF(AND(ISNUMBER(C8915),ISNUMBER(D8915)),D8915-C8915,"")</f>
        <v/>
      </c>
      <c r="Z8915" s="23" t="str">
        <f aca="false">IF(B8915="","",IF(MATCH(B8915,$B$2:$B$12000,0)=ROW()-1,1,0))</f>
        <v/>
      </c>
    </row>
    <row r="8916" customFormat="false" ht="15" hidden="false" customHeight="false" outlineLevel="0" collapsed="false">
      <c r="V8916" s="23" t="str">
        <f aca="false">IF(ISNUMBER(C8916),YEAR(C8916),"")</f>
        <v/>
      </c>
      <c r="W8916" s="23" t="str">
        <f aca="false">IF(ISNUMBER(C8916),MONTH(C8916),"")</f>
        <v/>
      </c>
      <c r="X8916" s="23" t="str">
        <f aca="false">IF(T8916="","",IF(T8916=0,"No discount",IF(T8916&lt;=0.2,"Low (1-20%)",IF(T8916&lt;=0.4,"Medium (21-40%)","High (&gt;40%)"))))</f>
        <v/>
      </c>
      <c r="Y8916" s="23" t="str">
        <f aca="false">IF(AND(ISNUMBER(C8916),ISNUMBER(D8916)),D8916-C8916,"")</f>
        <v/>
      </c>
      <c r="Z8916" s="23" t="str">
        <f aca="false">IF(B8916="","",IF(MATCH(B8916,$B$2:$B$12000,0)=ROW()-1,1,0))</f>
        <v/>
      </c>
    </row>
    <row r="8917" customFormat="false" ht="15" hidden="false" customHeight="false" outlineLevel="0" collapsed="false">
      <c r="V8917" s="23" t="str">
        <f aca="false">IF(ISNUMBER(C8917),YEAR(C8917),"")</f>
        <v/>
      </c>
      <c r="W8917" s="23" t="str">
        <f aca="false">IF(ISNUMBER(C8917),MONTH(C8917),"")</f>
        <v/>
      </c>
      <c r="X8917" s="23" t="str">
        <f aca="false">IF(T8917="","",IF(T8917=0,"No discount",IF(T8917&lt;=0.2,"Low (1-20%)",IF(T8917&lt;=0.4,"Medium (21-40%)","High (&gt;40%)"))))</f>
        <v/>
      </c>
      <c r="Y8917" s="23" t="str">
        <f aca="false">IF(AND(ISNUMBER(C8917),ISNUMBER(D8917)),D8917-C8917,"")</f>
        <v/>
      </c>
      <c r="Z8917" s="23" t="str">
        <f aca="false">IF(B8917="","",IF(MATCH(B8917,$B$2:$B$12000,0)=ROW()-1,1,0))</f>
        <v/>
      </c>
    </row>
    <row r="8918" customFormat="false" ht="15" hidden="false" customHeight="false" outlineLevel="0" collapsed="false">
      <c r="V8918" s="23" t="str">
        <f aca="false">IF(ISNUMBER(C8918),YEAR(C8918),"")</f>
        <v/>
      </c>
      <c r="W8918" s="23" t="str">
        <f aca="false">IF(ISNUMBER(C8918),MONTH(C8918),"")</f>
        <v/>
      </c>
      <c r="X8918" s="23" t="str">
        <f aca="false">IF(T8918="","",IF(T8918=0,"No discount",IF(T8918&lt;=0.2,"Low (1-20%)",IF(T8918&lt;=0.4,"Medium (21-40%)","High (&gt;40%)"))))</f>
        <v/>
      </c>
      <c r="Y8918" s="23" t="str">
        <f aca="false">IF(AND(ISNUMBER(C8918),ISNUMBER(D8918)),D8918-C8918,"")</f>
        <v/>
      </c>
      <c r="Z8918" s="23" t="str">
        <f aca="false">IF(B8918="","",IF(MATCH(B8918,$B$2:$B$12000,0)=ROW()-1,1,0))</f>
        <v/>
      </c>
    </row>
    <row r="8919" customFormat="false" ht="15" hidden="false" customHeight="false" outlineLevel="0" collapsed="false">
      <c r="V8919" s="23" t="str">
        <f aca="false">IF(ISNUMBER(C8919),YEAR(C8919),"")</f>
        <v/>
      </c>
      <c r="W8919" s="23" t="str">
        <f aca="false">IF(ISNUMBER(C8919),MONTH(C8919),"")</f>
        <v/>
      </c>
      <c r="X8919" s="23" t="str">
        <f aca="false">IF(T8919="","",IF(T8919=0,"No discount",IF(T8919&lt;=0.2,"Low (1-20%)",IF(T8919&lt;=0.4,"Medium (21-40%)","High (&gt;40%)"))))</f>
        <v/>
      </c>
      <c r="Y8919" s="23" t="str">
        <f aca="false">IF(AND(ISNUMBER(C8919),ISNUMBER(D8919)),D8919-C8919,"")</f>
        <v/>
      </c>
      <c r="Z8919" s="23" t="str">
        <f aca="false">IF(B8919="","",IF(MATCH(B8919,$B$2:$B$12000,0)=ROW()-1,1,0))</f>
        <v/>
      </c>
    </row>
    <row r="8920" customFormat="false" ht="15" hidden="false" customHeight="false" outlineLevel="0" collapsed="false">
      <c r="V8920" s="23" t="str">
        <f aca="false">IF(ISNUMBER(C8920),YEAR(C8920),"")</f>
        <v/>
      </c>
      <c r="W8920" s="23" t="str">
        <f aca="false">IF(ISNUMBER(C8920),MONTH(C8920),"")</f>
        <v/>
      </c>
      <c r="X8920" s="23" t="str">
        <f aca="false">IF(T8920="","",IF(T8920=0,"No discount",IF(T8920&lt;=0.2,"Low (1-20%)",IF(T8920&lt;=0.4,"Medium (21-40%)","High (&gt;40%)"))))</f>
        <v/>
      </c>
      <c r="Y8920" s="23" t="str">
        <f aca="false">IF(AND(ISNUMBER(C8920),ISNUMBER(D8920)),D8920-C8920,"")</f>
        <v/>
      </c>
      <c r="Z8920" s="23" t="str">
        <f aca="false">IF(B8920="","",IF(MATCH(B8920,$B$2:$B$12000,0)=ROW()-1,1,0))</f>
        <v/>
      </c>
    </row>
    <row r="8921" customFormat="false" ht="15" hidden="false" customHeight="false" outlineLevel="0" collapsed="false">
      <c r="V8921" s="23" t="str">
        <f aca="false">IF(ISNUMBER(C8921),YEAR(C8921),"")</f>
        <v/>
      </c>
      <c r="W8921" s="23" t="str">
        <f aca="false">IF(ISNUMBER(C8921),MONTH(C8921),"")</f>
        <v/>
      </c>
      <c r="X8921" s="23" t="str">
        <f aca="false">IF(T8921="","",IF(T8921=0,"No discount",IF(T8921&lt;=0.2,"Low (1-20%)",IF(T8921&lt;=0.4,"Medium (21-40%)","High (&gt;40%)"))))</f>
        <v/>
      </c>
      <c r="Y8921" s="23" t="str">
        <f aca="false">IF(AND(ISNUMBER(C8921),ISNUMBER(D8921)),D8921-C8921,"")</f>
        <v/>
      </c>
      <c r="Z8921" s="23" t="str">
        <f aca="false">IF(B8921="","",IF(MATCH(B8921,$B$2:$B$12000,0)=ROW()-1,1,0))</f>
        <v/>
      </c>
    </row>
    <row r="8922" customFormat="false" ht="15" hidden="false" customHeight="false" outlineLevel="0" collapsed="false">
      <c r="V8922" s="23" t="str">
        <f aca="false">IF(ISNUMBER(C8922),YEAR(C8922),"")</f>
        <v/>
      </c>
      <c r="W8922" s="23" t="str">
        <f aca="false">IF(ISNUMBER(C8922),MONTH(C8922),"")</f>
        <v/>
      </c>
      <c r="X8922" s="23" t="str">
        <f aca="false">IF(T8922="","",IF(T8922=0,"No discount",IF(T8922&lt;=0.2,"Low (1-20%)",IF(T8922&lt;=0.4,"Medium (21-40%)","High (&gt;40%)"))))</f>
        <v/>
      </c>
      <c r="Y8922" s="23" t="str">
        <f aca="false">IF(AND(ISNUMBER(C8922),ISNUMBER(D8922)),D8922-C8922,"")</f>
        <v/>
      </c>
      <c r="Z8922" s="23" t="str">
        <f aca="false">IF(B8922="","",IF(MATCH(B8922,$B$2:$B$12000,0)=ROW()-1,1,0))</f>
        <v/>
      </c>
    </row>
    <row r="8923" customFormat="false" ht="15" hidden="false" customHeight="false" outlineLevel="0" collapsed="false">
      <c r="V8923" s="23" t="str">
        <f aca="false">IF(ISNUMBER(C8923),YEAR(C8923),"")</f>
        <v/>
      </c>
      <c r="W8923" s="23" t="str">
        <f aca="false">IF(ISNUMBER(C8923),MONTH(C8923),"")</f>
        <v/>
      </c>
      <c r="X8923" s="23" t="str">
        <f aca="false">IF(T8923="","",IF(T8923=0,"No discount",IF(T8923&lt;=0.2,"Low (1-20%)",IF(T8923&lt;=0.4,"Medium (21-40%)","High (&gt;40%)"))))</f>
        <v/>
      </c>
      <c r="Y8923" s="23" t="str">
        <f aca="false">IF(AND(ISNUMBER(C8923),ISNUMBER(D8923)),D8923-C8923,"")</f>
        <v/>
      </c>
      <c r="Z8923" s="23" t="str">
        <f aca="false">IF(B8923="","",IF(MATCH(B8923,$B$2:$B$12000,0)=ROW()-1,1,0))</f>
        <v/>
      </c>
    </row>
    <row r="8924" customFormat="false" ht="15" hidden="false" customHeight="false" outlineLevel="0" collapsed="false">
      <c r="V8924" s="23" t="str">
        <f aca="false">IF(ISNUMBER(C8924),YEAR(C8924),"")</f>
        <v/>
      </c>
      <c r="W8924" s="23" t="str">
        <f aca="false">IF(ISNUMBER(C8924),MONTH(C8924),"")</f>
        <v/>
      </c>
      <c r="X8924" s="23" t="str">
        <f aca="false">IF(T8924="","",IF(T8924=0,"No discount",IF(T8924&lt;=0.2,"Low (1-20%)",IF(T8924&lt;=0.4,"Medium (21-40%)","High (&gt;40%)"))))</f>
        <v/>
      </c>
      <c r="Y8924" s="23" t="str">
        <f aca="false">IF(AND(ISNUMBER(C8924),ISNUMBER(D8924)),D8924-C8924,"")</f>
        <v/>
      </c>
      <c r="Z8924" s="23" t="str">
        <f aca="false">IF(B8924="","",IF(MATCH(B8924,$B$2:$B$12000,0)=ROW()-1,1,0))</f>
        <v/>
      </c>
    </row>
    <row r="8925" customFormat="false" ht="15" hidden="false" customHeight="false" outlineLevel="0" collapsed="false">
      <c r="V8925" s="23" t="str">
        <f aca="false">IF(ISNUMBER(C8925),YEAR(C8925),"")</f>
        <v/>
      </c>
      <c r="W8925" s="23" t="str">
        <f aca="false">IF(ISNUMBER(C8925),MONTH(C8925),"")</f>
        <v/>
      </c>
      <c r="X8925" s="23" t="str">
        <f aca="false">IF(T8925="","",IF(T8925=0,"No discount",IF(T8925&lt;=0.2,"Low (1-20%)",IF(T8925&lt;=0.4,"Medium (21-40%)","High (&gt;40%)"))))</f>
        <v/>
      </c>
      <c r="Y8925" s="23" t="str">
        <f aca="false">IF(AND(ISNUMBER(C8925),ISNUMBER(D8925)),D8925-C8925,"")</f>
        <v/>
      </c>
      <c r="Z8925" s="23" t="str">
        <f aca="false">IF(B8925="","",IF(MATCH(B8925,$B$2:$B$12000,0)=ROW()-1,1,0))</f>
        <v/>
      </c>
    </row>
    <row r="8926" customFormat="false" ht="15" hidden="false" customHeight="false" outlineLevel="0" collapsed="false">
      <c r="V8926" s="23" t="str">
        <f aca="false">IF(ISNUMBER(C8926),YEAR(C8926),"")</f>
        <v/>
      </c>
      <c r="W8926" s="23" t="str">
        <f aca="false">IF(ISNUMBER(C8926),MONTH(C8926),"")</f>
        <v/>
      </c>
      <c r="X8926" s="23" t="str">
        <f aca="false">IF(T8926="","",IF(T8926=0,"No discount",IF(T8926&lt;=0.2,"Low (1-20%)",IF(T8926&lt;=0.4,"Medium (21-40%)","High (&gt;40%)"))))</f>
        <v/>
      </c>
      <c r="Y8926" s="23" t="str">
        <f aca="false">IF(AND(ISNUMBER(C8926),ISNUMBER(D8926)),D8926-C8926,"")</f>
        <v/>
      </c>
      <c r="Z8926" s="23" t="str">
        <f aca="false">IF(B8926="","",IF(MATCH(B8926,$B$2:$B$12000,0)=ROW()-1,1,0))</f>
        <v/>
      </c>
    </row>
    <row r="8927" customFormat="false" ht="15" hidden="false" customHeight="false" outlineLevel="0" collapsed="false">
      <c r="V8927" s="23" t="str">
        <f aca="false">IF(ISNUMBER(C8927),YEAR(C8927),"")</f>
        <v/>
      </c>
      <c r="W8927" s="23" t="str">
        <f aca="false">IF(ISNUMBER(C8927),MONTH(C8927),"")</f>
        <v/>
      </c>
      <c r="X8927" s="23" t="str">
        <f aca="false">IF(T8927="","",IF(T8927=0,"No discount",IF(T8927&lt;=0.2,"Low (1-20%)",IF(T8927&lt;=0.4,"Medium (21-40%)","High (&gt;40%)"))))</f>
        <v/>
      </c>
      <c r="Y8927" s="23" t="str">
        <f aca="false">IF(AND(ISNUMBER(C8927),ISNUMBER(D8927)),D8927-C8927,"")</f>
        <v/>
      </c>
      <c r="Z8927" s="23" t="str">
        <f aca="false">IF(B8927="","",IF(MATCH(B8927,$B$2:$B$12000,0)=ROW()-1,1,0))</f>
        <v/>
      </c>
    </row>
    <row r="8928" customFormat="false" ht="15" hidden="false" customHeight="false" outlineLevel="0" collapsed="false">
      <c r="V8928" s="23" t="str">
        <f aca="false">IF(ISNUMBER(C8928),YEAR(C8928),"")</f>
        <v/>
      </c>
      <c r="W8928" s="23" t="str">
        <f aca="false">IF(ISNUMBER(C8928),MONTH(C8928),"")</f>
        <v/>
      </c>
      <c r="X8928" s="23" t="str">
        <f aca="false">IF(T8928="","",IF(T8928=0,"No discount",IF(T8928&lt;=0.2,"Low (1-20%)",IF(T8928&lt;=0.4,"Medium (21-40%)","High (&gt;40%)"))))</f>
        <v/>
      </c>
      <c r="Y8928" s="23" t="str">
        <f aca="false">IF(AND(ISNUMBER(C8928),ISNUMBER(D8928)),D8928-C8928,"")</f>
        <v/>
      </c>
      <c r="Z8928" s="23" t="str">
        <f aca="false">IF(B8928="","",IF(MATCH(B8928,$B$2:$B$12000,0)=ROW()-1,1,0))</f>
        <v/>
      </c>
    </row>
    <row r="8929" customFormat="false" ht="15" hidden="false" customHeight="false" outlineLevel="0" collapsed="false">
      <c r="V8929" s="23" t="str">
        <f aca="false">IF(ISNUMBER(C8929),YEAR(C8929),"")</f>
        <v/>
      </c>
      <c r="W8929" s="23" t="str">
        <f aca="false">IF(ISNUMBER(C8929),MONTH(C8929),"")</f>
        <v/>
      </c>
      <c r="X8929" s="23" t="str">
        <f aca="false">IF(T8929="","",IF(T8929=0,"No discount",IF(T8929&lt;=0.2,"Low (1-20%)",IF(T8929&lt;=0.4,"Medium (21-40%)","High (&gt;40%)"))))</f>
        <v/>
      </c>
      <c r="Y8929" s="23" t="str">
        <f aca="false">IF(AND(ISNUMBER(C8929),ISNUMBER(D8929)),D8929-C8929,"")</f>
        <v/>
      </c>
      <c r="Z8929" s="23" t="str">
        <f aca="false">IF(B8929="","",IF(MATCH(B8929,$B$2:$B$12000,0)=ROW()-1,1,0))</f>
        <v/>
      </c>
    </row>
    <row r="8930" customFormat="false" ht="15" hidden="false" customHeight="false" outlineLevel="0" collapsed="false">
      <c r="V8930" s="23" t="str">
        <f aca="false">IF(ISNUMBER(C8930),YEAR(C8930),"")</f>
        <v/>
      </c>
      <c r="W8930" s="23" t="str">
        <f aca="false">IF(ISNUMBER(C8930),MONTH(C8930),"")</f>
        <v/>
      </c>
      <c r="X8930" s="23" t="str">
        <f aca="false">IF(T8930="","",IF(T8930=0,"No discount",IF(T8930&lt;=0.2,"Low (1-20%)",IF(T8930&lt;=0.4,"Medium (21-40%)","High (&gt;40%)"))))</f>
        <v/>
      </c>
      <c r="Y8930" s="23" t="str">
        <f aca="false">IF(AND(ISNUMBER(C8930),ISNUMBER(D8930)),D8930-C8930,"")</f>
        <v/>
      </c>
      <c r="Z8930" s="23" t="str">
        <f aca="false">IF(B8930="","",IF(MATCH(B8930,$B$2:$B$12000,0)=ROW()-1,1,0))</f>
        <v/>
      </c>
    </row>
    <row r="8931" customFormat="false" ht="15" hidden="false" customHeight="false" outlineLevel="0" collapsed="false">
      <c r="V8931" s="23" t="str">
        <f aca="false">IF(ISNUMBER(C8931),YEAR(C8931),"")</f>
        <v/>
      </c>
      <c r="W8931" s="23" t="str">
        <f aca="false">IF(ISNUMBER(C8931),MONTH(C8931),"")</f>
        <v/>
      </c>
      <c r="X8931" s="23" t="str">
        <f aca="false">IF(T8931="","",IF(T8931=0,"No discount",IF(T8931&lt;=0.2,"Low (1-20%)",IF(T8931&lt;=0.4,"Medium (21-40%)","High (&gt;40%)"))))</f>
        <v/>
      </c>
      <c r="Y8931" s="23" t="str">
        <f aca="false">IF(AND(ISNUMBER(C8931),ISNUMBER(D8931)),D8931-C8931,"")</f>
        <v/>
      </c>
      <c r="Z8931" s="23" t="str">
        <f aca="false">IF(B8931="","",IF(MATCH(B8931,$B$2:$B$12000,0)=ROW()-1,1,0))</f>
        <v/>
      </c>
    </row>
    <row r="8932" customFormat="false" ht="15" hidden="false" customHeight="false" outlineLevel="0" collapsed="false">
      <c r="V8932" s="23" t="str">
        <f aca="false">IF(ISNUMBER(C8932),YEAR(C8932),"")</f>
        <v/>
      </c>
      <c r="W8932" s="23" t="str">
        <f aca="false">IF(ISNUMBER(C8932),MONTH(C8932),"")</f>
        <v/>
      </c>
      <c r="X8932" s="23" t="str">
        <f aca="false">IF(T8932="","",IF(T8932=0,"No discount",IF(T8932&lt;=0.2,"Low (1-20%)",IF(T8932&lt;=0.4,"Medium (21-40%)","High (&gt;40%)"))))</f>
        <v/>
      </c>
      <c r="Y8932" s="23" t="str">
        <f aca="false">IF(AND(ISNUMBER(C8932),ISNUMBER(D8932)),D8932-C8932,"")</f>
        <v/>
      </c>
      <c r="Z8932" s="23" t="str">
        <f aca="false">IF(B8932="","",IF(MATCH(B8932,$B$2:$B$12000,0)=ROW()-1,1,0))</f>
        <v/>
      </c>
    </row>
    <row r="8933" customFormat="false" ht="15" hidden="false" customHeight="false" outlineLevel="0" collapsed="false">
      <c r="V8933" s="23" t="str">
        <f aca="false">IF(ISNUMBER(C8933),YEAR(C8933),"")</f>
        <v/>
      </c>
      <c r="W8933" s="23" t="str">
        <f aca="false">IF(ISNUMBER(C8933),MONTH(C8933),"")</f>
        <v/>
      </c>
      <c r="X8933" s="23" t="str">
        <f aca="false">IF(T8933="","",IF(T8933=0,"No discount",IF(T8933&lt;=0.2,"Low (1-20%)",IF(T8933&lt;=0.4,"Medium (21-40%)","High (&gt;40%)"))))</f>
        <v/>
      </c>
      <c r="Y8933" s="23" t="str">
        <f aca="false">IF(AND(ISNUMBER(C8933),ISNUMBER(D8933)),D8933-C8933,"")</f>
        <v/>
      </c>
      <c r="Z8933" s="23" t="str">
        <f aca="false">IF(B8933="","",IF(MATCH(B8933,$B$2:$B$12000,0)=ROW()-1,1,0))</f>
        <v/>
      </c>
    </row>
    <row r="8934" customFormat="false" ht="15" hidden="false" customHeight="false" outlineLevel="0" collapsed="false">
      <c r="V8934" s="23" t="str">
        <f aca="false">IF(ISNUMBER(C8934),YEAR(C8934),"")</f>
        <v/>
      </c>
      <c r="W8934" s="23" t="str">
        <f aca="false">IF(ISNUMBER(C8934),MONTH(C8934),"")</f>
        <v/>
      </c>
      <c r="X8934" s="23" t="str">
        <f aca="false">IF(T8934="","",IF(T8934=0,"No discount",IF(T8934&lt;=0.2,"Low (1-20%)",IF(T8934&lt;=0.4,"Medium (21-40%)","High (&gt;40%)"))))</f>
        <v/>
      </c>
      <c r="Y8934" s="23" t="str">
        <f aca="false">IF(AND(ISNUMBER(C8934),ISNUMBER(D8934)),D8934-C8934,"")</f>
        <v/>
      </c>
      <c r="Z8934" s="23" t="str">
        <f aca="false">IF(B8934="","",IF(MATCH(B8934,$B$2:$B$12000,0)=ROW()-1,1,0))</f>
        <v/>
      </c>
    </row>
    <row r="8935" customFormat="false" ht="15" hidden="false" customHeight="false" outlineLevel="0" collapsed="false">
      <c r="V8935" s="23" t="str">
        <f aca="false">IF(ISNUMBER(C8935),YEAR(C8935),"")</f>
        <v/>
      </c>
      <c r="W8935" s="23" t="str">
        <f aca="false">IF(ISNUMBER(C8935),MONTH(C8935),"")</f>
        <v/>
      </c>
      <c r="X8935" s="23" t="str">
        <f aca="false">IF(T8935="","",IF(T8935=0,"No discount",IF(T8935&lt;=0.2,"Low (1-20%)",IF(T8935&lt;=0.4,"Medium (21-40%)","High (&gt;40%)"))))</f>
        <v/>
      </c>
      <c r="Y8935" s="23" t="str">
        <f aca="false">IF(AND(ISNUMBER(C8935),ISNUMBER(D8935)),D8935-C8935,"")</f>
        <v/>
      </c>
      <c r="Z8935" s="23" t="str">
        <f aca="false">IF(B8935="","",IF(MATCH(B8935,$B$2:$B$12000,0)=ROW()-1,1,0))</f>
        <v/>
      </c>
    </row>
    <row r="8936" customFormat="false" ht="15" hidden="false" customHeight="false" outlineLevel="0" collapsed="false">
      <c r="V8936" s="23" t="str">
        <f aca="false">IF(ISNUMBER(C8936),YEAR(C8936),"")</f>
        <v/>
      </c>
      <c r="W8936" s="23" t="str">
        <f aca="false">IF(ISNUMBER(C8936),MONTH(C8936),"")</f>
        <v/>
      </c>
      <c r="X8936" s="23" t="str">
        <f aca="false">IF(T8936="","",IF(T8936=0,"No discount",IF(T8936&lt;=0.2,"Low (1-20%)",IF(T8936&lt;=0.4,"Medium (21-40%)","High (&gt;40%)"))))</f>
        <v/>
      </c>
      <c r="Y8936" s="23" t="str">
        <f aca="false">IF(AND(ISNUMBER(C8936),ISNUMBER(D8936)),D8936-C8936,"")</f>
        <v/>
      </c>
      <c r="Z8936" s="23" t="str">
        <f aca="false">IF(B8936="","",IF(MATCH(B8936,$B$2:$B$12000,0)=ROW()-1,1,0))</f>
        <v/>
      </c>
    </row>
    <row r="8937" customFormat="false" ht="15" hidden="false" customHeight="false" outlineLevel="0" collapsed="false">
      <c r="V8937" s="23" t="str">
        <f aca="false">IF(ISNUMBER(C8937),YEAR(C8937),"")</f>
        <v/>
      </c>
      <c r="W8937" s="23" t="str">
        <f aca="false">IF(ISNUMBER(C8937),MONTH(C8937),"")</f>
        <v/>
      </c>
      <c r="X8937" s="23" t="str">
        <f aca="false">IF(T8937="","",IF(T8937=0,"No discount",IF(T8937&lt;=0.2,"Low (1-20%)",IF(T8937&lt;=0.4,"Medium (21-40%)","High (&gt;40%)"))))</f>
        <v/>
      </c>
      <c r="Y8937" s="23" t="str">
        <f aca="false">IF(AND(ISNUMBER(C8937),ISNUMBER(D8937)),D8937-C8937,"")</f>
        <v/>
      </c>
      <c r="Z8937" s="23" t="str">
        <f aca="false">IF(B8937="","",IF(MATCH(B8937,$B$2:$B$12000,0)=ROW()-1,1,0))</f>
        <v/>
      </c>
    </row>
    <row r="8938" customFormat="false" ht="15" hidden="false" customHeight="false" outlineLevel="0" collapsed="false">
      <c r="V8938" s="23" t="str">
        <f aca="false">IF(ISNUMBER(C8938),YEAR(C8938),"")</f>
        <v/>
      </c>
      <c r="W8938" s="23" t="str">
        <f aca="false">IF(ISNUMBER(C8938),MONTH(C8938),"")</f>
        <v/>
      </c>
      <c r="X8938" s="23" t="str">
        <f aca="false">IF(T8938="","",IF(T8938=0,"No discount",IF(T8938&lt;=0.2,"Low (1-20%)",IF(T8938&lt;=0.4,"Medium (21-40%)","High (&gt;40%)"))))</f>
        <v/>
      </c>
      <c r="Y8938" s="23" t="str">
        <f aca="false">IF(AND(ISNUMBER(C8938),ISNUMBER(D8938)),D8938-C8938,"")</f>
        <v/>
      </c>
      <c r="Z8938" s="23" t="str">
        <f aca="false">IF(B8938="","",IF(MATCH(B8938,$B$2:$B$12000,0)=ROW()-1,1,0))</f>
        <v/>
      </c>
    </row>
    <row r="8939" customFormat="false" ht="15" hidden="false" customHeight="false" outlineLevel="0" collapsed="false">
      <c r="V8939" s="23" t="str">
        <f aca="false">IF(ISNUMBER(C8939),YEAR(C8939),"")</f>
        <v/>
      </c>
      <c r="W8939" s="23" t="str">
        <f aca="false">IF(ISNUMBER(C8939),MONTH(C8939),"")</f>
        <v/>
      </c>
      <c r="X8939" s="23" t="str">
        <f aca="false">IF(T8939="","",IF(T8939=0,"No discount",IF(T8939&lt;=0.2,"Low (1-20%)",IF(T8939&lt;=0.4,"Medium (21-40%)","High (&gt;40%)"))))</f>
        <v/>
      </c>
      <c r="Y8939" s="23" t="str">
        <f aca="false">IF(AND(ISNUMBER(C8939),ISNUMBER(D8939)),D8939-C8939,"")</f>
        <v/>
      </c>
      <c r="Z8939" s="23" t="str">
        <f aca="false">IF(B8939="","",IF(MATCH(B8939,$B$2:$B$12000,0)=ROW()-1,1,0))</f>
        <v/>
      </c>
    </row>
    <row r="8940" customFormat="false" ht="15" hidden="false" customHeight="false" outlineLevel="0" collapsed="false">
      <c r="V8940" s="23" t="str">
        <f aca="false">IF(ISNUMBER(C8940),YEAR(C8940),"")</f>
        <v/>
      </c>
      <c r="W8940" s="23" t="str">
        <f aca="false">IF(ISNUMBER(C8940),MONTH(C8940),"")</f>
        <v/>
      </c>
      <c r="X8940" s="23" t="str">
        <f aca="false">IF(T8940="","",IF(T8940=0,"No discount",IF(T8940&lt;=0.2,"Low (1-20%)",IF(T8940&lt;=0.4,"Medium (21-40%)","High (&gt;40%)"))))</f>
        <v/>
      </c>
      <c r="Y8940" s="23" t="str">
        <f aca="false">IF(AND(ISNUMBER(C8940),ISNUMBER(D8940)),D8940-C8940,"")</f>
        <v/>
      </c>
      <c r="Z8940" s="23" t="str">
        <f aca="false">IF(B8940="","",IF(MATCH(B8940,$B$2:$B$12000,0)=ROW()-1,1,0))</f>
        <v/>
      </c>
    </row>
    <row r="8941" customFormat="false" ht="15" hidden="false" customHeight="false" outlineLevel="0" collapsed="false">
      <c r="V8941" s="23" t="str">
        <f aca="false">IF(ISNUMBER(C8941),YEAR(C8941),"")</f>
        <v/>
      </c>
      <c r="W8941" s="23" t="str">
        <f aca="false">IF(ISNUMBER(C8941),MONTH(C8941),"")</f>
        <v/>
      </c>
      <c r="X8941" s="23" t="str">
        <f aca="false">IF(T8941="","",IF(T8941=0,"No discount",IF(T8941&lt;=0.2,"Low (1-20%)",IF(T8941&lt;=0.4,"Medium (21-40%)","High (&gt;40%)"))))</f>
        <v/>
      </c>
      <c r="Y8941" s="23" t="str">
        <f aca="false">IF(AND(ISNUMBER(C8941),ISNUMBER(D8941)),D8941-C8941,"")</f>
        <v/>
      </c>
      <c r="Z8941" s="23" t="str">
        <f aca="false">IF(B8941="","",IF(MATCH(B8941,$B$2:$B$12000,0)=ROW()-1,1,0))</f>
        <v/>
      </c>
    </row>
    <row r="8942" customFormat="false" ht="15" hidden="false" customHeight="false" outlineLevel="0" collapsed="false">
      <c r="V8942" s="23" t="str">
        <f aca="false">IF(ISNUMBER(C8942),YEAR(C8942),"")</f>
        <v/>
      </c>
      <c r="W8942" s="23" t="str">
        <f aca="false">IF(ISNUMBER(C8942),MONTH(C8942),"")</f>
        <v/>
      </c>
      <c r="X8942" s="23" t="str">
        <f aca="false">IF(T8942="","",IF(T8942=0,"No discount",IF(T8942&lt;=0.2,"Low (1-20%)",IF(T8942&lt;=0.4,"Medium (21-40%)","High (&gt;40%)"))))</f>
        <v/>
      </c>
      <c r="Y8942" s="23" t="str">
        <f aca="false">IF(AND(ISNUMBER(C8942),ISNUMBER(D8942)),D8942-C8942,"")</f>
        <v/>
      </c>
      <c r="Z8942" s="23" t="str">
        <f aca="false">IF(B8942="","",IF(MATCH(B8942,$B$2:$B$12000,0)=ROW()-1,1,0))</f>
        <v/>
      </c>
    </row>
    <row r="8943" customFormat="false" ht="15" hidden="false" customHeight="false" outlineLevel="0" collapsed="false">
      <c r="V8943" s="23" t="str">
        <f aca="false">IF(ISNUMBER(C8943),YEAR(C8943),"")</f>
        <v/>
      </c>
      <c r="W8943" s="23" t="str">
        <f aca="false">IF(ISNUMBER(C8943),MONTH(C8943),"")</f>
        <v/>
      </c>
      <c r="X8943" s="23" t="str">
        <f aca="false">IF(T8943="","",IF(T8943=0,"No discount",IF(T8943&lt;=0.2,"Low (1-20%)",IF(T8943&lt;=0.4,"Medium (21-40%)","High (&gt;40%)"))))</f>
        <v/>
      </c>
      <c r="Y8943" s="23" t="str">
        <f aca="false">IF(AND(ISNUMBER(C8943),ISNUMBER(D8943)),D8943-C8943,"")</f>
        <v/>
      </c>
      <c r="Z8943" s="23" t="str">
        <f aca="false">IF(B8943="","",IF(MATCH(B8943,$B$2:$B$12000,0)=ROW()-1,1,0))</f>
        <v/>
      </c>
    </row>
    <row r="8944" customFormat="false" ht="15" hidden="false" customHeight="false" outlineLevel="0" collapsed="false">
      <c r="V8944" s="23" t="str">
        <f aca="false">IF(ISNUMBER(C8944),YEAR(C8944),"")</f>
        <v/>
      </c>
      <c r="W8944" s="23" t="str">
        <f aca="false">IF(ISNUMBER(C8944),MONTH(C8944),"")</f>
        <v/>
      </c>
      <c r="X8944" s="23" t="str">
        <f aca="false">IF(T8944="","",IF(T8944=0,"No discount",IF(T8944&lt;=0.2,"Low (1-20%)",IF(T8944&lt;=0.4,"Medium (21-40%)","High (&gt;40%)"))))</f>
        <v/>
      </c>
      <c r="Y8944" s="23" t="str">
        <f aca="false">IF(AND(ISNUMBER(C8944),ISNUMBER(D8944)),D8944-C8944,"")</f>
        <v/>
      </c>
      <c r="Z8944" s="23" t="str">
        <f aca="false">IF(B8944="","",IF(MATCH(B8944,$B$2:$B$12000,0)=ROW()-1,1,0))</f>
        <v/>
      </c>
    </row>
    <row r="8945" customFormat="false" ht="15" hidden="false" customHeight="false" outlineLevel="0" collapsed="false">
      <c r="V8945" s="23" t="str">
        <f aca="false">IF(ISNUMBER(C8945),YEAR(C8945),"")</f>
        <v/>
      </c>
      <c r="W8945" s="23" t="str">
        <f aca="false">IF(ISNUMBER(C8945),MONTH(C8945),"")</f>
        <v/>
      </c>
      <c r="X8945" s="23" t="str">
        <f aca="false">IF(T8945="","",IF(T8945=0,"No discount",IF(T8945&lt;=0.2,"Low (1-20%)",IF(T8945&lt;=0.4,"Medium (21-40%)","High (&gt;40%)"))))</f>
        <v/>
      </c>
      <c r="Y8945" s="23" t="str">
        <f aca="false">IF(AND(ISNUMBER(C8945),ISNUMBER(D8945)),D8945-C8945,"")</f>
        <v/>
      </c>
      <c r="Z8945" s="23" t="str">
        <f aca="false">IF(B8945="","",IF(MATCH(B8945,$B$2:$B$12000,0)=ROW()-1,1,0))</f>
        <v/>
      </c>
    </row>
    <row r="8946" customFormat="false" ht="15" hidden="false" customHeight="false" outlineLevel="0" collapsed="false">
      <c r="V8946" s="23" t="str">
        <f aca="false">IF(ISNUMBER(C8946),YEAR(C8946),"")</f>
        <v/>
      </c>
      <c r="W8946" s="23" t="str">
        <f aca="false">IF(ISNUMBER(C8946),MONTH(C8946),"")</f>
        <v/>
      </c>
      <c r="X8946" s="23" t="str">
        <f aca="false">IF(T8946="","",IF(T8946=0,"No discount",IF(T8946&lt;=0.2,"Low (1-20%)",IF(T8946&lt;=0.4,"Medium (21-40%)","High (&gt;40%)"))))</f>
        <v/>
      </c>
      <c r="Y8946" s="23" t="str">
        <f aca="false">IF(AND(ISNUMBER(C8946),ISNUMBER(D8946)),D8946-C8946,"")</f>
        <v/>
      </c>
      <c r="Z8946" s="23" t="str">
        <f aca="false">IF(B8946="","",IF(MATCH(B8946,$B$2:$B$12000,0)=ROW()-1,1,0))</f>
        <v/>
      </c>
    </row>
    <row r="8947" customFormat="false" ht="15" hidden="false" customHeight="false" outlineLevel="0" collapsed="false">
      <c r="V8947" s="23" t="str">
        <f aca="false">IF(ISNUMBER(C8947),YEAR(C8947),"")</f>
        <v/>
      </c>
      <c r="W8947" s="23" t="str">
        <f aca="false">IF(ISNUMBER(C8947),MONTH(C8947),"")</f>
        <v/>
      </c>
      <c r="X8947" s="23" t="str">
        <f aca="false">IF(T8947="","",IF(T8947=0,"No discount",IF(T8947&lt;=0.2,"Low (1-20%)",IF(T8947&lt;=0.4,"Medium (21-40%)","High (&gt;40%)"))))</f>
        <v/>
      </c>
      <c r="Y8947" s="23" t="str">
        <f aca="false">IF(AND(ISNUMBER(C8947),ISNUMBER(D8947)),D8947-C8947,"")</f>
        <v/>
      </c>
      <c r="Z8947" s="23" t="str">
        <f aca="false">IF(B8947="","",IF(MATCH(B8947,$B$2:$B$12000,0)=ROW()-1,1,0))</f>
        <v/>
      </c>
    </row>
    <row r="8948" customFormat="false" ht="15" hidden="false" customHeight="false" outlineLevel="0" collapsed="false">
      <c r="V8948" s="23" t="str">
        <f aca="false">IF(ISNUMBER(C8948),YEAR(C8948),"")</f>
        <v/>
      </c>
      <c r="W8948" s="23" t="str">
        <f aca="false">IF(ISNUMBER(C8948),MONTH(C8948),"")</f>
        <v/>
      </c>
      <c r="X8948" s="23" t="str">
        <f aca="false">IF(T8948="","",IF(T8948=0,"No discount",IF(T8948&lt;=0.2,"Low (1-20%)",IF(T8948&lt;=0.4,"Medium (21-40%)","High (&gt;40%)"))))</f>
        <v/>
      </c>
      <c r="Y8948" s="23" t="str">
        <f aca="false">IF(AND(ISNUMBER(C8948),ISNUMBER(D8948)),D8948-C8948,"")</f>
        <v/>
      </c>
      <c r="Z8948" s="23" t="str">
        <f aca="false">IF(B8948="","",IF(MATCH(B8948,$B$2:$B$12000,0)=ROW()-1,1,0))</f>
        <v/>
      </c>
    </row>
    <row r="8949" customFormat="false" ht="15" hidden="false" customHeight="false" outlineLevel="0" collapsed="false">
      <c r="V8949" s="23" t="str">
        <f aca="false">IF(ISNUMBER(C8949),YEAR(C8949),"")</f>
        <v/>
      </c>
      <c r="W8949" s="23" t="str">
        <f aca="false">IF(ISNUMBER(C8949),MONTH(C8949),"")</f>
        <v/>
      </c>
      <c r="X8949" s="23" t="str">
        <f aca="false">IF(T8949="","",IF(T8949=0,"No discount",IF(T8949&lt;=0.2,"Low (1-20%)",IF(T8949&lt;=0.4,"Medium (21-40%)","High (&gt;40%)"))))</f>
        <v/>
      </c>
      <c r="Y8949" s="23" t="str">
        <f aca="false">IF(AND(ISNUMBER(C8949),ISNUMBER(D8949)),D8949-C8949,"")</f>
        <v/>
      </c>
      <c r="Z8949" s="23" t="str">
        <f aca="false">IF(B8949="","",IF(MATCH(B8949,$B$2:$B$12000,0)=ROW()-1,1,0))</f>
        <v/>
      </c>
    </row>
    <row r="8950" customFormat="false" ht="15" hidden="false" customHeight="false" outlineLevel="0" collapsed="false">
      <c r="V8950" s="23" t="str">
        <f aca="false">IF(ISNUMBER(C8950),YEAR(C8950),"")</f>
        <v/>
      </c>
      <c r="W8950" s="23" t="str">
        <f aca="false">IF(ISNUMBER(C8950),MONTH(C8950),"")</f>
        <v/>
      </c>
      <c r="X8950" s="23" t="str">
        <f aca="false">IF(T8950="","",IF(T8950=0,"No discount",IF(T8950&lt;=0.2,"Low (1-20%)",IF(T8950&lt;=0.4,"Medium (21-40%)","High (&gt;40%)"))))</f>
        <v/>
      </c>
      <c r="Y8950" s="23" t="str">
        <f aca="false">IF(AND(ISNUMBER(C8950),ISNUMBER(D8950)),D8950-C8950,"")</f>
        <v/>
      </c>
      <c r="Z8950" s="23" t="str">
        <f aca="false">IF(B8950="","",IF(MATCH(B8950,$B$2:$B$12000,0)=ROW()-1,1,0))</f>
        <v/>
      </c>
    </row>
    <row r="8951" customFormat="false" ht="15" hidden="false" customHeight="false" outlineLevel="0" collapsed="false">
      <c r="V8951" s="23" t="str">
        <f aca="false">IF(ISNUMBER(C8951),YEAR(C8951),"")</f>
        <v/>
      </c>
      <c r="W8951" s="23" t="str">
        <f aca="false">IF(ISNUMBER(C8951),MONTH(C8951),"")</f>
        <v/>
      </c>
      <c r="X8951" s="23" t="str">
        <f aca="false">IF(T8951="","",IF(T8951=0,"No discount",IF(T8951&lt;=0.2,"Low (1-20%)",IF(T8951&lt;=0.4,"Medium (21-40%)","High (&gt;40%)"))))</f>
        <v/>
      </c>
      <c r="Y8951" s="23" t="str">
        <f aca="false">IF(AND(ISNUMBER(C8951),ISNUMBER(D8951)),D8951-C8951,"")</f>
        <v/>
      </c>
      <c r="Z8951" s="23" t="str">
        <f aca="false">IF(B8951="","",IF(MATCH(B8951,$B$2:$B$12000,0)=ROW()-1,1,0))</f>
        <v/>
      </c>
    </row>
    <row r="8952" customFormat="false" ht="15" hidden="false" customHeight="false" outlineLevel="0" collapsed="false">
      <c r="V8952" s="23" t="str">
        <f aca="false">IF(ISNUMBER(C8952),YEAR(C8952),"")</f>
        <v/>
      </c>
      <c r="W8952" s="23" t="str">
        <f aca="false">IF(ISNUMBER(C8952),MONTH(C8952),"")</f>
        <v/>
      </c>
      <c r="X8952" s="23" t="str">
        <f aca="false">IF(T8952="","",IF(T8952=0,"No discount",IF(T8952&lt;=0.2,"Low (1-20%)",IF(T8952&lt;=0.4,"Medium (21-40%)","High (&gt;40%)"))))</f>
        <v/>
      </c>
      <c r="Y8952" s="23" t="str">
        <f aca="false">IF(AND(ISNUMBER(C8952),ISNUMBER(D8952)),D8952-C8952,"")</f>
        <v/>
      </c>
      <c r="Z8952" s="23" t="str">
        <f aca="false">IF(B8952="","",IF(MATCH(B8952,$B$2:$B$12000,0)=ROW()-1,1,0))</f>
        <v/>
      </c>
    </row>
    <row r="8953" customFormat="false" ht="15" hidden="false" customHeight="false" outlineLevel="0" collapsed="false">
      <c r="V8953" s="23" t="str">
        <f aca="false">IF(ISNUMBER(C8953),YEAR(C8953),"")</f>
        <v/>
      </c>
      <c r="W8953" s="23" t="str">
        <f aca="false">IF(ISNUMBER(C8953),MONTH(C8953),"")</f>
        <v/>
      </c>
      <c r="X8953" s="23" t="str">
        <f aca="false">IF(T8953="","",IF(T8953=0,"No discount",IF(T8953&lt;=0.2,"Low (1-20%)",IF(T8953&lt;=0.4,"Medium (21-40%)","High (&gt;40%)"))))</f>
        <v/>
      </c>
      <c r="Y8953" s="23" t="str">
        <f aca="false">IF(AND(ISNUMBER(C8953),ISNUMBER(D8953)),D8953-C8953,"")</f>
        <v/>
      </c>
      <c r="Z8953" s="23" t="str">
        <f aca="false">IF(B8953="","",IF(MATCH(B8953,$B$2:$B$12000,0)=ROW()-1,1,0))</f>
        <v/>
      </c>
    </row>
    <row r="8954" customFormat="false" ht="15" hidden="false" customHeight="false" outlineLevel="0" collapsed="false">
      <c r="V8954" s="23" t="str">
        <f aca="false">IF(ISNUMBER(C8954),YEAR(C8954),"")</f>
        <v/>
      </c>
      <c r="W8954" s="23" t="str">
        <f aca="false">IF(ISNUMBER(C8954),MONTH(C8954),"")</f>
        <v/>
      </c>
      <c r="X8954" s="23" t="str">
        <f aca="false">IF(T8954="","",IF(T8954=0,"No discount",IF(T8954&lt;=0.2,"Low (1-20%)",IF(T8954&lt;=0.4,"Medium (21-40%)","High (&gt;40%)"))))</f>
        <v/>
      </c>
      <c r="Y8954" s="23" t="str">
        <f aca="false">IF(AND(ISNUMBER(C8954),ISNUMBER(D8954)),D8954-C8954,"")</f>
        <v/>
      </c>
      <c r="Z8954" s="23" t="str">
        <f aca="false">IF(B8954="","",IF(MATCH(B8954,$B$2:$B$12000,0)=ROW()-1,1,0))</f>
        <v/>
      </c>
    </row>
    <row r="8955" customFormat="false" ht="15" hidden="false" customHeight="false" outlineLevel="0" collapsed="false">
      <c r="V8955" s="23" t="str">
        <f aca="false">IF(ISNUMBER(C8955),YEAR(C8955),"")</f>
        <v/>
      </c>
      <c r="W8955" s="23" t="str">
        <f aca="false">IF(ISNUMBER(C8955),MONTH(C8955),"")</f>
        <v/>
      </c>
      <c r="X8955" s="23" t="str">
        <f aca="false">IF(T8955="","",IF(T8955=0,"No discount",IF(T8955&lt;=0.2,"Low (1-20%)",IF(T8955&lt;=0.4,"Medium (21-40%)","High (&gt;40%)"))))</f>
        <v/>
      </c>
      <c r="Y8955" s="23" t="str">
        <f aca="false">IF(AND(ISNUMBER(C8955),ISNUMBER(D8955)),D8955-C8955,"")</f>
        <v/>
      </c>
      <c r="Z8955" s="23" t="str">
        <f aca="false">IF(B8955="","",IF(MATCH(B8955,$B$2:$B$12000,0)=ROW()-1,1,0))</f>
        <v/>
      </c>
    </row>
    <row r="8956" customFormat="false" ht="15" hidden="false" customHeight="false" outlineLevel="0" collapsed="false">
      <c r="V8956" s="23" t="str">
        <f aca="false">IF(ISNUMBER(C8956),YEAR(C8956),"")</f>
        <v/>
      </c>
      <c r="W8956" s="23" t="str">
        <f aca="false">IF(ISNUMBER(C8956),MONTH(C8956),"")</f>
        <v/>
      </c>
      <c r="X8956" s="23" t="str">
        <f aca="false">IF(T8956="","",IF(T8956=0,"No discount",IF(T8956&lt;=0.2,"Low (1-20%)",IF(T8956&lt;=0.4,"Medium (21-40%)","High (&gt;40%)"))))</f>
        <v/>
      </c>
      <c r="Y8956" s="23" t="str">
        <f aca="false">IF(AND(ISNUMBER(C8956),ISNUMBER(D8956)),D8956-C8956,"")</f>
        <v/>
      </c>
      <c r="Z8956" s="23" t="str">
        <f aca="false">IF(B8956="","",IF(MATCH(B8956,$B$2:$B$12000,0)=ROW()-1,1,0))</f>
        <v/>
      </c>
    </row>
    <row r="8957" customFormat="false" ht="15" hidden="false" customHeight="false" outlineLevel="0" collapsed="false">
      <c r="V8957" s="23" t="str">
        <f aca="false">IF(ISNUMBER(C8957),YEAR(C8957),"")</f>
        <v/>
      </c>
      <c r="W8957" s="23" t="str">
        <f aca="false">IF(ISNUMBER(C8957),MONTH(C8957),"")</f>
        <v/>
      </c>
      <c r="X8957" s="23" t="str">
        <f aca="false">IF(T8957="","",IF(T8957=0,"No discount",IF(T8957&lt;=0.2,"Low (1-20%)",IF(T8957&lt;=0.4,"Medium (21-40%)","High (&gt;40%)"))))</f>
        <v/>
      </c>
      <c r="Y8957" s="23" t="str">
        <f aca="false">IF(AND(ISNUMBER(C8957),ISNUMBER(D8957)),D8957-C8957,"")</f>
        <v/>
      </c>
      <c r="Z8957" s="23" t="str">
        <f aca="false">IF(B8957="","",IF(MATCH(B8957,$B$2:$B$12000,0)=ROW()-1,1,0))</f>
        <v/>
      </c>
    </row>
    <row r="8958" customFormat="false" ht="15" hidden="false" customHeight="false" outlineLevel="0" collapsed="false">
      <c r="V8958" s="23" t="str">
        <f aca="false">IF(ISNUMBER(C8958),YEAR(C8958),"")</f>
        <v/>
      </c>
      <c r="W8958" s="23" t="str">
        <f aca="false">IF(ISNUMBER(C8958),MONTH(C8958),"")</f>
        <v/>
      </c>
      <c r="X8958" s="23" t="str">
        <f aca="false">IF(T8958="","",IF(T8958=0,"No discount",IF(T8958&lt;=0.2,"Low (1-20%)",IF(T8958&lt;=0.4,"Medium (21-40%)","High (&gt;40%)"))))</f>
        <v/>
      </c>
      <c r="Y8958" s="23" t="str">
        <f aca="false">IF(AND(ISNUMBER(C8958),ISNUMBER(D8958)),D8958-C8958,"")</f>
        <v/>
      </c>
      <c r="Z8958" s="23" t="str">
        <f aca="false">IF(B8958="","",IF(MATCH(B8958,$B$2:$B$12000,0)=ROW()-1,1,0))</f>
        <v/>
      </c>
    </row>
    <row r="8959" customFormat="false" ht="15" hidden="false" customHeight="false" outlineLevel="0" collapsed="false">
      <c r="V8959" s="23" t="str">
        <f aca="false">IF(ISNUMBER(C8959),YEAR(C8959),"")</f>
        <v/>
      </c>
      <c r="W8959" s="23" t="str">
        <f aca="false">IF(ISNUMBER(C8959),MONTH(C8959),"")</f>
        <v/>
      </c>
      <c r="X8959" s="23" t="str">
        <f aca="false">IF(T8959="","",IF(T8959=0,"No discount",IF(T8959&lt;=0.2,"Low (1-20%)",IF(T8959&lt;=0.4,"Medium (21-40%)","High (&gt;40%)"))))</f>
        <v/>
      </c>
      <c r="Y8959" s="23" t="str">
        <f aca="false">IF(AND(ISNUMBER(C8959),ISNUMBER(D8959)),D8959-C8959,"")</f>
        <v/>
      </c>
      <c r="Z8959" s="23" t="str">
        <f aca="false">IF(B8959="","",IF(MATCH(B8959,$B$2:$B$12000,0)=ROW()-1,1,0))</f>
        <v/>
      </c>
    </row>
    <row r="8960" customFormat="false" ht="15" hidden="false" customHeight="false" outlineLevel="0" collapsed="false">
      <c r="V8960" s="23" t="str">
        <f aca="false">IF(ISNUMBER(C8960),YEAR(C8960),"")</f>
        <v/>
      </c>
      <c r="W8960" s="23" t="str">
        <f aca="false">IF(ISNUMBER(C8960),MONTH(C8960),"")</f>
        <v/>
      </c>
      <c r="X8960" s="23" t="str">
        <f aca="false">IF(T8960="","",IF(T8960=0,"No discount",IF(T8960&lt;=0.2,"Low (1-20%)",IF(T8960&lt;=0.4,"Medium (21-40%)","High (&gt;40%)"))))</f>
        <v/>
      </c>
      <c r="Y8960" s="23" t="str">
        <f aca="false">IF(AND(ISNUMBER(C8960),ISNUMBER(D8960)),D8960-C8960,"")</f>
        <v/>
      </c>
      <c r="Z8960" s="23" t="str">
        <f aca="false">IF(B8960="","",IF(MATCH(B8960,$B$2:$B$12000,0)=ROW()-1,1,0))</f>
        <v/>
      </c>
    </row>
    <row r="8961" customFormat="false" ht="15" hidden="false" customHeight="false" outlineLevel="0" collapsed="false">
      <c r="V8961" s="23" t="str">
        <f aca="false">IF(ISNUMBER(C8961),YEAR(C8961),"")</f>
        <v/>
      </c>
      <c r="W8961" s="23" t="str">
        <f aca="false">IF(ISNUMBER(C8961),MONTH(C8961),"")</f>
        <v/>
      </c>
      <c r="X8961" s="23" t="str">
        <f aca="false">IF(T8961="","",IF(T8961=0,"No discount",IF(T8961&lt;=0.2,"Low (1-20%)",IF(T8961&lt;=0.4,"Medium (21-40%)","High (&gt;40%)"))))</f>
        <v/>
      </c>
      <c r="Y8961" s="23" t="str">
        <f aca="false">IF(AND(ISNUMBER(C8961),ISNUMBER(D8961)),D8961-C8961,"")</f>
        <v/>
      </c>
      <c r="Z8961" s="23" t="str">
        <f aca="false">IF(B8961="","",IF(MATCH(B8961,$B$2:$B$12000,0)=ROW()-1,1,0))</f>
        <v/>
      </c>
    </row>
    <row r="8962" customFormat="false" ht="15" hidden="false" customHeight="false" outlineLevel="0" collapsed="false">
      <c r="V8962" s="23" t="str">
        <f aca="false">IF(ISNUMBER(C8962),YEAR(C8962),"")</f>
        <v/>
      </c>
      <c r="W8962" s="23" t="str">
        <f aca="false">IF(ISNUMBER(C8962),MONTH(C8962),"")</f>
        <v/>
      </c>
      <c r="X8962" s="23" t="str">
        <f aca="false">IF(T8962="","",IF(T8962=0,"No discount",IF(T8962&lt;=0.2,"Low (1-20%)",IF(T8962&lt;=0.4,"Medium (21-40%)","High (&gt;40%)"))))</f>
        <v/>
      </c>
      <c r="Y8962" s="23" t="str">
        <f aca="false">IF(AND(ISNUMBER(C8962),ISNUMBER(D8962)),D8962-C8962,"")</f>
        <v/>
      </c>
      <c r="Z8962" s="23" t="str">
        <f aca="false">IF(B8962="","",IF(MATCH(B8962,$B$2:$B$12000,0)=ROW()-1,1,0))</f>
        <v/>
      </c>
    </row>
    <row r="8963" customFormat="false" ht="15" hidden="false" customHeight="false" outlineLevel="0" collapsed="false">
      <c r="V8963" s="23" t="str">
        <f aca="false">IF(ISNUMBER(C8963),YEAR(C8963),"")</f>
        <v/>
      </c>
      <c r="W8963" s="23" t="str">
        <f aca="false">IF(ISNUMBER(C8963),MONTH(C8963),"")</f>
        <v/>
      </c>
      <c r="X8963" s="23" t="str">
        <f aca="false">IF(T8963="","",IF(T8963=0,"No discount",IF(T8963&lt;=0.2,"Low (1-20%)",IF(T8963&lt;=0.4,"Medium (21-40%)","High (&gt;40%)"))))</f>
        <v/>
      </c>
      <c r="Y8963" s="23" t="str">
        <f aca="false">IF(AND(ISNUMBER(C8963),ISNUMBER(D8963)),D8963-C8963,"")</f>
        <v/>
      </c>
      <c r="Z8963" s="23" t="str">
        <f aca="false">IF(B8963="","",IF(MATCH(B8963,$B$2:$B$12000,0)=ROW()-1,1,0))</f>
        <v/>
      </c>
    </row>
    <row r="8964" customFormat="false" ht="15" hidden="false" customHeight="false" outlineLevel="0" collapsed="false">
      <c r="V8964" s="23" t="str">
        <f aca="false">IF(ISNUMBER(C8964),YEAR(C8964),"")</f>
        <v/>
      </c>
      <c r="W8964" s="23" t="str">
        <f aca="false">IF(ISNUMBER(C8964),MONTH(C8964),"")</f>
        <v/>
      </c>
      <c r="X8964" s="23" t="str">
        <f aca="false">IF(T8964="","",IF(T8964=0,"No discount",IF(T8964&lt;=0.2,"Low (1-20%)",IF(T8964&lt;=0.4,"Medium (21-40%)","High (&gt;40%)"))))</f>
        <v/>
      </c>
      <c r="Y8964" s="23" t="str">
        <f aca="false">IF(AND(ISNUMBER(C8964),ISNUMBER(D8964)),D8964-C8964,"")</f>
        <v/>
      </c>
      <c r="Z8964" s="23" t="str">
        <f aca="false">IF(B8964="","",IF(MATCH(B8964,$B$2:$B$12000,0)=ROW()-1,1,0))</f>
        <v/>
      </c>
    </row>
    <row r="8965" customFormat="false" ht="15" hidden="false" customHeight="false" outlineLevel="0" collapsed="false">
      <c r="V8965" s="23" t="str">
        <f aca="false">IF(ISNUMBER(C8965),YEAR(C8965),"")</f>
        <v/>
      </c>
      <c r="W8965" s="23" t="str">
        <f aca="false">IF(ISNUMBER(C8965),MONTH(C8965),"")</f>
        <v/>
      </c>
      <c r="X8965" s="23" t="str">
        <f aca="false">IF(T8965="","",IF(T8965=0,"No discount",IF(T8965&lt;=0.2,"Low (1-20%)",IF(T8965&lt;=0.4,"Medium (21-40%)","High (&gt;40%)"))))</f>
        <v/>
      </c>
      <c r="Y8965" s="23" t="str">
        <f aca="false">IF(AND(ISNUMBER(C8965),ISNUMBER(D8965)),D8965-C8965,"")</f>
        <v/>
      </c>
      <c r="Z8965" s="23" t="str">
        <f aca="false">IF(B8965="","",IF(MATCH(B8965,$B$2:$B$12000,0)=ROW()-1,1,0))</f>
        <v/>
      </c>
    </row>
    <row r="8966" customFormat="false" ht="15" hidden="false" customHeight="false" outlineLevel="0" collapsed="false">
      <c r="V8966" s="23" t="str">
        <f aca="false">IF(ISNUMBER(C8966),YEAR(C8966),"")</f>
        <v/>
      </c>
      <c r="W8966" s="23" t="str">
        <f aca="false">IF(ISNUMBER(C8966),MONTH(C8966),"")</f>
        <v/>
      </c>
      <c r="X8966" s="23" t="str">
        <f aca="false">IF(T8966="","",IF(T8966=0,"No discount",IF(T8966&lt;=0.2,"Low (1-20%)",IF(T8966&lt;=0.4,"Medium (21-40%)","High (&gt;40%)"))))</f>
        <v/>
      </c>
      <c r="Y8966" s="23" t="str">
        <f aca="false">IF(AND(ISNUMBER(C8966),ISNUMBER(D8966)),D8966-C8966,"")</f>
        <v/>
      </c>
      <c r="Z8966" s="23" t="str">
        <f aca="false">IF(B8966="","",IF(MATCH(B8966,$B$2:$B$12000,0)=ROW()-1,1,0))</f>
        <v/>
      </c>
    </row>
    <row r="8967" customFormat="false" ht="15" hidden="false" customHeight="false" outlineLevel="0" collapsed="false">
      <c r="V8967" s="23" t="str">
        <f aca="false">IF(ISNUMBER(C8967),YEAR(C8967),"")</f>
        <v/>
      </c>
      <c r="W8967" s="23" t="str">
        <f aca="false">IF(ISNUMBER(C8967),MONTH(C8967),"")</f>
        <v/>
      </c>
      <c r="X8967" s="23" t="str">
        <f aca="false">IF(T8967="","",IF(T8967=0,"No discount",IF(T8967&lt;=0.2,"Low (1-20%)",IF(T8967&lt;=0.4,"Medium (21-40%)","High (&gt;40%)"))))</f>
        <v/>
      </c>
      <c r="Y8967" s="23" t="str">
        <f aca="false">IF(AND(ISNUMBER(C8967),ISNUMBER(D8967)),D8967-C8967,"")</f>
        <v/>
      </c>
      <c r="Z8967" s="23" t="str">
        <f aca="false">IF(B8967="","",IF(MATCH(B8967,$B$2:$B$12000,0)=ROW()-1,1,0))</f>
        <v/>
      </c>
    </row>
    <row r="8968" customFormat="false" ht="15" hidden="false" customHeight="false" outlineLevel="0" collapsed="false">
      <c r="V8968" s="23" t="str">
        <f aca="false">IF(ISNUMBER(C8968),YEAR(C8968),"")</f>
        <v/>
      </c>
      <c r="W8968" s="23" t="str">
        <f aca="false">IF(ISNUMBER(C8968),MONTH(C8968),"")</f>
        <v/>
      </c>
      <c r="X8968" s="23" t="str">
        <f aca="false">IF(T8968="","",IF(T8968=0,"No discount",IF(T8968&lt;=0.2,"Low (1-20%)",IF(T8968&lt;=0.4,"Medium (21-40%)","High (&gt;40%)"))))</f>
        <v/>
      </c>
      <c r="Y8968" s="23" t="str">
        <f aca="false">IF(AND(ISNUMBER(C8968),ISNUMBER(D8968)),D8968-C8968,"")</f>
        <v/>
      </c>
      <c r="Z8968" s="23" t="str">
        <f aca="false">IF(B8968="","",IF(MATCH(B8968,$B$2:$B$12000,0)=ROW()-1,1,0))</f>
        <v/>
      </c>
    </row>
    <row r="8969" customFormat="false" ht="15" hidden="false" customHeight="false" outlineLevel="0" collapsed="false">
      <c r="V8969" s="23" t="str">
        <f aca="false">IF(ISNUMBER(C8969),YEAR(C8969),"")</f>
        <v/>
      </c>
      <c r="W8969" s="23" t="str">
        <f aca="false">IF(ISNUMBER(C8969),MONTH(C8969),"")</f>
        <v/>
      </c>
      <c r="X8969" s="23" t="str">
        <f aca="false">IF(T8969="","",IF(T8969=0,"No discount",IF(T8969&lt;=0.2,"Low (1-20%)",IF(T8969&lt;=0.4,"Medium (21-40%)","High (&gt;40%)"))))</f>
        <v/>
      </c>
      <c r="Y8969" s="23" t="str">
        <f aca="false">IF(AND(ISNUMBER(C8969),ISNUMBER(D8969)),D8969-C8969,"")</f>
        <v/>
      </c>
      <c r="Z8969" s="23" t="str">
        <f aca="false">IF(B8969="","",IF(MATCH(B8969,$B$2:$B$12000,0)=ROW()-1,1,0))</f>
        <v/>
      </c>
    </row>
    <row r="8970" customFormat="false" ht="15" hidden="false" customHeight="false" outlineLevel="0" collapsed="false">
      <c r="V8970" s="23" t="str">
        <f aca="false">IF(ISNUMBER(C8970),YEAR(C8970),"")</f>
        <v/>
      </c>
      <c r="W8970" s="23" t="str">
        <f aca="false">IF(ISNUMBER(C8970),MONTH(C8970),"")</f>
        <v/>
      </c>
      <c r="X8970" s="23" t="str">
        <f aca="false">IF(T8970="","",IF(T8970=0,"No discount",IF(T8970&lt;=0.2,"Low (1-20%)",IF(T8970&lt;=0.4,"Medium (21-40%)","High (&gt;40%)"))))</f>
        <v/>
      </c>
      <c r="Y8970" s="23" t="str">
        <f aca="false">IF(AND(ISNUMBER(C8970),ISNUMBER(D8970)),D8970-C8970,"")</f>
        <v/>
      </c>
      <c r="Z8970" s="23" t="str">
        <f aca="false">IF(B8970="","",IF(MATCH(B8970,$B$2:$B$12000,0)=ROW()-1,1,0))</f>
        <v/>
      </c>
    </row>
    <row r="8971" customFormat="false" ht="15" hidden="false" customHeight="false" outlineLevel="0" collapsed="false">
      <c r="V8971" s="23" t="str">
        <f aca="false">IF(ISNUMBER(C8971),YEAR(C8971),"")</f>
        <v/>
      </c>
      <c r="W8971" s="23" t="str">
        <f aca="false">IF(ISNUMBER(C8971),MONTH(C8971),"")</f>
        <v/>
      </c>
      <c r="X8971" s="23" t="str">
        <f aca="false">IF(T8971="","",IF(T8971=0,"No discount",IF(T8971&lt;=0.2,"Low (1-20%)",IF(T8971&lt;=0.4,"Medium (21-40%)","High (&gt;40%)"))))</f>
        <v/>
      </c>
      <c r="Y8971" s="23" t="str">
        <f aca="false">IF(AND(ISNUMBER(C8971),ISNUMBER(D8971)),D8971-C8971,"")</f>
        <v/>
      </c>
      <c r="Z8971" s="23" t="str">
        <f aca="false">IF(B8971="","",IF(MATCH(B8971,$B$2:$B$12000,0)=ROW()-1,1,0))</f>
        <v/>
      </c>
    </row>
    <row r="8972" customFormat="false" ht="15" hidden="false" customHeight="false" outlineLevel="0" collapsed="false">
      <c r="V8972" s="23" t="str">
        <f aca="false">IF(ISNUMBER(C8972),YEAR(C8972),"")</f>
        <v/>
      </c>
      <c r="W8972" s="23" t="str">
        <f aca="false">IF(ISNUMBER(C8972),MONTH(C8972),"")</f>
        <v/>
      </c>
      <c r="X8972" s="23" t="str">
        <f aca="false">IF(T8972="","",IF(T8972=0,"No discount",IF(T8972&lt;=0.2,"Low (1-20%)",IF(T8972&lt;=0.4,"Medium (21-40%)","High (&gt;40%)"))))</f>
        <v/>
      </c>
      <c r="Y8972" s="23" t="str">
        <f aca="false">IF(AND(ISNUMBER(C8972),ISNUMBER(D8972)),D8972-C8972,"")</f>
        <v/>
      </c>
      <c r="Z8972" s="23" t="str">
        <f aca="false">IF(B8972="","",IF(MATCH(B8972,$B$2:$B$12000,0)=ROW()-1,1,0))</f>
        <v/>
      </c>
    </row>
    <row r="8973" customFormat="false" ht="15" hidden="false" customHeight="false" outlineLevel="0" collapsed="false">
      <c r="V8973" s="23" t="str">
        <f aca="false">IF(ISNUMBER(C8973),YEAR(C8973),"")</f>
        <v/>
      </c>
      <c r="W8973" s="23" t="str">
        <f aca="false">IF(ISNUMBER(C8973),MONTH(C8973),"")</f>
        <v/>
      </c>
      <c r="X8973" s="23" t="str">
        <f aca="false">IF(T8973="","",IF(T8973=0,"No discount",IF(T8973&lt;=0.2,"Low (1-20%)",IF(T8973&lt;=0.4,"Medium (21-40%)","High (&gt;40%)"))))</f>
        <v/>
      </c>
      <c r="Y8973" s="23" t="str">
        <f aca="false">IF(AND(ISNUMBER(C8973),ISNUMBER(D8973)),D8973-C8973,"")</f>
        <v/>
      </c>
      <c r="Z8973" s="23" t="str">
        <f aca="false">IF(B8973="","",IF(MATCH(B8973,$B$2:$B$12000,0)=ROW()-1,1,0))</f>
        <v/>
      </c>
    </row>
    <row r="8974" customFormat="false" ht="15" hidden="false" customHeight="false" outlineLevel="0" collapsed="false">
      <c r="V8974" s="23" t="str">
        <f aca="false">IF(ISNUMBER(C8974),YEAR(C8974),"")</f>
        <v/>
      </c>
      <c r="W8974" s="23" t="str">
        <f aca="false">IF(ISNUMBER(C8974),MONTH(C8974),"")</f>
        <v/>
      </c>
      <c r="X8974" s="23" t="str">
        <f aca="false">IF(T8974="","",IF(T8974=0,"No discount",IF(T8974&lt;=0.2,"Low (1-20%)",IF(T8974&lt;=0.4,"Medium (21-40%)","High (&gt;40%)"))))</f>
        <v/>
      </c>
      <c r="Y8974" s="23" t="str">
        <f aca="false">IF(AND(ISNUMBER(C8974),ISNUMBER(D8974)),D8974-C8974,"")</f>
        <v/>
      </c>
      <c r="Z8974" s="23" t="str">
        <f aca="false">IF(B8974="","",IF(MATCH(B8974,$B$2:$B$12000,0)=ROW()-1,1,0))</f>
        <v/>
      </c>
    </row>
    <row r="8975" customFormat="false" ht="15" hidden="false" customHeight="false" outlineLevel="0" collapsed="false">
      <c r="V8975" s="23" t="str">
        <f aca="false">IF(ISNUMBER(C8975),YEAR(C8975),"")</f>
        <v/>
      </c>
      <c r="W8975" s="23" t="str">
        <f aca="false">IF(ISNUMBER(C8975),MONTH(C8975),"")</f>
        <v/>
      </c>
      <c r="X8975" s="23" t="str">
        <f aca="false">IF(T8975="","",IF(T8975=0,"No discount",IF(T8975&lt;=0.2,"Low (1-20%)",IF(T8975&lt;=0.4,"Medium (21-40%)","High (&gt;40%)"))))</f>
        <v/>
      </c>
      <c r="Y8975" s="23" t="str">
        <f aca="false">IF(AND(ISNUMBER(C8975),ISNUMBER(D8975)),D8975-C8975,"")</f>
        <v/>
      </c>
      <c r="Z8975" s="23" t="str">
        <f aca="false">IF(B8975="","",IF(MATCH(B8975,$B$2:$B$12000,0)=ROW()-1,1,0))</f>
        <v/>
      </c>
    </row>
    <row r="8976" customFormat="false" ht="15" hidden="false" customHeight="false" outlineLevel="0" collapsed="false">
      <c r="V8976" s="23" t="str">
        <f aca="false">IF(ISNUMBER(C8976),YEAR(C8976),"")</f>
        <v/>
      </c>
      <c r="W8976" s="23" t="str">
        <f aca="false">IF(ISNUMBER(C8976),MONTH(C8976),"")</f>
        <v/>
      </c>
      <c r="X8976" s="23" t="str">
        <f aca="false">IF(T8976="","",IF(T8976=0,"No discount",IF(T8976&lt;=0.2,"Low (1-20%)",IF(T8976&lt;=0.4,"Medium (21-40%)","High (&gt;40%)"))))</f>
        <v/>
      </c>
      <c r="Y8976" s="23" t="str">
        <f aca="false">IF(AND(ISNUMBER(C8976),ISNUMBER(D8976)),D8976-C8976,"")</f>
        <v/>
      </c>
      <c r="Z8976" s="23" t="str">
        <f aca="false">IF(B8976="","",IF(MATCH(B8976,$B$2:$B$12000,0)=ROW()-1,1,0))</f>
        <v/>
      </c>
    </row>
    <row r="8977" customFormat="false" ht="15" hidden="false" customHeight="false" outlineLevel="0" collapsed="false">
      <c r="V8977" s="23" t="str">
        <f aca="false">IF(ISNUMBER(C8977),YEAR(C8977),"")</f>
        <v/>
      </c>
      <c r="W8977" s="23" t="str">
        <f aca="false">IF(ISNUMBER(C8977),MONTH(C8977),"")</f>
        <v/>
      </c>
      <c r="X8977" s="23" t="str">
        <f aca="false">IF(T8977="","",IF(T8977=0,"No discount",IF(T8977&lt;=0.2,"Low (1-20%)",IF(T8977&lt;=0.4,"Medium (21-40%)","High (&gt;40%)"))))</f>
        <v/>
      </c>
      <c r="Y8977" s="23" t="str">
        <f aca="false">IF(AND(ISNUMBER(C8977),ISNUMBER(D8977)),D8977-C8977,"")</f>
        <v/>
      </c>
      <c r="Z8977" s="23" t="str">
        <f aca="false">IF(B8977="","",IF(MATCH(B8977,$B$2:$B$12000,0)=ROW()-1,1,0))</f>
        <v/>
      </c>
    </row>
    <row r="8978" customFormat="false" ht="15" hidden="false" customHeight="false" outlineLevel="0" collapsed="false">
      <c r="V8978" s="23" t="str">
        <f aca="false">IF(ISNUMBER(C8978),YEAR(C8978),"")</f>
        <v/>
      </c>
      <c r="W8978" s="23" t="str">
        <f aca="false">IF(ISNUMBER(C8978),MONTH(C8978),"")</f>
        <v/>
      </c>
      <c r="X8978" s="23" t="str">
        <f aca="false">IF(T8978="","",IF(T8978=0,"No discount",IF(T8978&lt;=0.2,"Low (1-20%)",IF(T8978&lt;=0.4,"Medium (21-40%)","High (&gt;40%)"))))</f>
        <v/>
      </c>
      <c r="Y8978" s="23" t="str">
        <f aca="false">IF(AND(ISNUMBER(C8978),ISNUMBER(D8978)),D8978-C8978,"")</f>
        <v/>
      </c>
      <c r="Z8978" s="23" t="str">
        <f aca="false">IF(B8978="","",IF(MATCH(B8978,$B$2:$B$12000,0)=ROW()-1,1,0))</f>
        <v/>
      </c>
    </row>
    <row r="8979" customFormat="false" ht="15" hidden="false" customHeight="false" outlineLevel="0" collapsed="false">
      <c r="V8979" s="23" t="str">
        <f aca="false">IF(ISNUMBER(C8979),YEAR(C8979),"")</f>
        <v/>
      </c>
      <c r="W8979" s="23" t="str">
        <f aca="false">IF(ISNUMBER(C8979),MONTH(C8979),"")</f>
        <v/>
      </c>
      <c r="X8979" s="23" t="str">
        <f aca="false">IF(T8979="","",IF(T8979=0,"No discount",IF(T8979&lt;=0.2,"Low (1-20%)",IF(T8979&lt;=0.4,"Medium (21-40%)","High (&gt;40%)"))))</f>
        <v/>
      </c>
      <c r="Y8979" s="23" t="str">
        <f aca="false">IF(AND(ISNUMBER(C8979),ISNUMBER(D8979)),D8979-C8979,"")</f>
        <v/>
      </c>
      <c r="Z8979" s="23" t="str">
        <f aca="false">IF(B8979="","",IF(MATCH(B8979,$B$2:$B$12000,0)=ROW()-1,1,0))</f>
        <v/>
      </c>
    </row>
    <row r="8980" customFormat="false" ht="15" hidden="false" customHeight="false" outlineLevel="0" collapsed="false">
      <c r="V8980" s="23" t="str">
        <f aca="false">IF(ISNUMBER(C8980),YEAR(C8980),"")</f>
        <v/>
      </c>
      <c r="W8980" s="23" t="str">
        <f aca="false">IF(ISNUMBER(C8980),MONTH(C8980),"")</f>
        <v/>
      </c>
      <c r="X8980" s="23" t="str">
        <f aca="false">IF(T8980="","",IF(T8980=0,"No discount",IF(T8980&lt;=0.2,"Low (1-20%)",IF(T8980&lt;=0.4,"Medium (21-40%)","High (&gt;40%)"))))</f>
        <v/>
      </c>
      <c r="Y8980" s="23" t="str">
        <f aca="false">IF(AND(ISNUMBER(C8980),ISNUMBER(D8980)),D8980-C8980,"")</f>
        <v/>
      </c>
      <c r="Z8980" s="23" t="str">
        <f aca="false">IF(B8980="","",IF(MATCH(B8980,$B$2:$B$12000,0)=ROW()-1,1,0))</f>
        <v/>
      </c>
    </row>
    <row r="8981" customFormat="false" ht="15" hidden="false" customHeight="false" outlineLevel="0" collapsed="false">
      <c r="V8981" s="23" t="str">
        <f aca="false">IF(ISNUMBER(C8981),YEAR(C8981),"")</f>
        <v/>
      </c>
      <c r="W8981" s="23" t="str">
        <f aca="false">IF(ISNUMBER(C8981),MONTH(C8981),"")</f>
        <v/>
      </c>
      <c r="X8981" s="23" t="str">
        <f aca="false">IF(T8981="","",IF(T8981=0,"No discount",IF(T8981&lt;=0.2,"Low (1-20%)",IF(T8981&lt;=0.4,"Medium (21-40%)","High (&gt;40%)"))))</f>
        <v/>
      </c>
      <c r="Y8981" s="23" t="str">
        <f aca="false">IF(AND(ISNUMBER(C8981),ISNUMBER(D8981)),D8981-C8981,"")</f>
        <v/>
      </c>
      <c r="Z8981" s="23" t="str">
        <f aca="false">IF(B8981="","",IF(MATCH(B8981,$B$2:$B$12000,0)=ROW()-1,1,0))</f>
        <v/>
      </c>
    </row>
    <row r="8982" customFormat="false" ht="15" hidden="false" customHeight="false" outlineLevel="0" collapsed="false">
      <c r="V8982" s="23" t="str">
        <f aca="false">IF(ISNUMBER(C8982),YEAR(C8982),"")</f>
        <v/>
      </c>
      <c r="W8982" s="23" t="str">
        <f aca="false">IF(ISNUMBER(C8982),MONTH(C8982),"")</f>
        <v/>
      </c>
      <c r="X8982" s="23" t="str">
        <f aca="false">IF(T8982="","",IF(T8982=0,"No discount",IF(T8982&lt;=0.2,"Low (1-20%)",IF(T8982&lt;=0.4,"Medium (21-40%)","High (&gt;40%)"))))</f>
        <v/>
      </c>
      <c r="Y8982" s="23" t="str">
        <f aca="false">IF(AND(ISNUMBER(C8982),ISNUMBER(D8982)),D8982-C8982,"")</f>
        <v/>
      </c>
      <c r="Z8982" s="23" t="str">
        <f aca="false">IF(B8982="","",IF(MATCH(B8982,$B$2:$B$12000,0)=ROW()-1,1,0))</f>
        <v/>
      </c>
    </row>
    <row r="8983" customFormat="false" ht="15" hidden="false" customHeight="false" outlineLevel="0" collapsed="false">
      <c r="V8983" s="23" t="str">
        <f aca="false">IF(ISNUMBER(C8983),YEAR(C8983),"")</f>
        <v/>
      </c>
      <c r="W8983" s="23" t="str">
        <f aca="false">IF(ISNUMBER(C8983),MONTH(C8983),"")</f>
        <v/>
      </c>
      <c r="X8983" s="23" t="str">
        <f aca="false">IF(T8983="","",IF(T8983=0,"No discount",IF(T8983&lt;=0.2,"Low (1-20%)",IF(T8983&lt;=0.4,"Medium (21-40%)","High (&gt;40%)"))))</f>
        <v/>
      </c>
      <c r="Y8983" s="23" t="str">
        <f aca="false">IF(AND(ISNUMBER(C8983),ISNUMBER(D8983)),D8983-C8983,"")</f>
        <v/>
      </c>
      <c r="Z8983" s="23" t="str">
        <f aca="false">IF(B8983="","",IF(MATCH(B8983,$B$2:$B$12000,0)=ROW()-1,1,0))</f>
        <v/>
      </c>
    </row>
    <row r="8984" customFormat="false" ht="15" hidden="false" customHeight="false" outlineLevel="0" collapsed="false">
      <c r="V8984" s="23" t="str">
        <f aca="false">IF(ISNUMBER(C8984),YEAR(C8984),"")</f>
        <v/>
      </c>
      <c r="W8984" s="23" t="str">
        <f aca="false">IF(ISNUMBER(C8984),MONTH(C8984),"")</f>
        <v/>
      </c>
      <c r="X8984" s="23" t="str">
        <f aca="false">IF(T8984="","",IF(T8984=0,"No discount",IF(T8984&lt;=0.2,"Low (1-20%)",IF(T8984&lt;=0.4,"Medium (21-40%)","High (&gt;40%)"))))</f>
        <v/>
      </c>
      <c r="Y8984" s="23" t="str">
        <f aca="false">IF(AND(ISNUMBER(C8984),ISNUMBER(D8984)),D8984-C8984,"")</f>
        <v/>
      </c>
      <c r="Z8984" s="23" t="str">
        <f aca="false">IF(B8984="","",IF(MATCH(B8984,$B$2:$B$12000,0)=ROW()-1,1,0))</f>
        <v/>
      </c>
    </row>
    <row r="8985" customFormat="false" ht="15" hidden="false" customHeight="false" outlineLevel="0" collapsed="false">
      <c r="V8985" s="23" t="str">
        <f aca="false">IF(ISNUMBER(C8985),YEAR(C8985),"")</f>
        <v/>
      </c>
      <c r="W8985" s="23" t="str">
        <f aca="false">IF(ISNUMBER(C8985),MONTH(C8985),"")</f>
        <v/>
      </c>
      <c r="X8985" s="23" t="str">
        <f aca="false">IF(T8985="","",IF(T8985=0,"No discount",IF(T8985&lt;=0.2,"Low (1-20%)",IF(T8985&lt;=0.4,"Medium (21-40%)","High (&gt;40%)"))))</f>
        <v/>
      </c>
      <c r="Y8985" s="23" t="str">
        <f aca="false">IF(AND(ISNUMBER(C8985),ISNUMBER(D8985)),D8985-C8985,"")</f>
        <v/>
      </c>
      <c r="Z8985" s="23" t="str">
        <f aca="false">IF(B8985="","",IF(MATCH(B8985,$B$2:$B$12000,0)=ROW()-1,1,0))</f>
        <v/>
      </c>
    </row>
    <row r="8986" customFormat="false" ht="15" hidden="false" customHeight="false" outlineLevel="0" collapsed="false">
      <c r="V8986" s="23" t="str">
        <f aca="false">IF(ISNUMBER(C8986),YEAR(C8986),"")</f>
        <v/>
      </c>
      <c r="W8986" s="23" t="str">
        <f aca="false">IF(ISNUMBER(C8986),MONTH(C8986),"")</f>
        <v/>
      </c>
      <c r="X8986" s="23" t="str">
        <f aca="false">IF(T8986="","",IF(T8986=0,"No discount",IF(T8986&lt;=0.2,"Low (1-20%)",IF(T8986&lt;=0.4,"Medium (21-40%)","High (&gt;40%)"))))</f>
        <v/>
      </c>
      <c r="Y8986" s="23" t="str">
        <f aca="false">IF(AND(ISNUMBER(C8986),ISNUMBER(D8986)),D8986-C8986,"")</f>
        <v/>
      </c>
      <c r="Z8986" s="23" t="str">
        <f aca="false">IF(B8986="","",IF(MATCH(B8986,$B$2:$B$12000,0)=ROW()-1,1,0))</f>
        <v/>
      </c>
    </row>
    <row r="8987" customFormat="false" ht="15" hidden="false" customHeight="false" outlineLevel="0" collapsed="false">
      <c r="V8987" s="23" t="str">
        <f aca="false">IF(ISNUMBER(C8987),YEAR(C8987),"")</f>
        <v/>
      </c>
      <c r="W8987" s="23" t="str">
        <f aca="false">IF(ISNUMBER(C8987),MONTH(C8987),"")</f>
        <v/>
      </c>
      <c r="X8987" s="23" t="str">
        <f aca="false">IF(T8987="","",IF(T8987=0,"No discount",IF(T8987&lt;=0.2,"Low (1-20%)",IF(T8987&lt;=0.4,"Medium (21-40%)","High (&gt;40%)"))))</f>
        <v/>
      </c>
      <c r="Y8987" s="23" t="str">
        <f aca="false">IF(AND(ISNUMBER(C8987),ISNUMBER(D8987)),D8987-C8987,"")</f>
        <v/>
      </c>
      <c r="Z8987" s="23" t="str">
        <f aca="false">IF(B8987="","",IF(MATCH(B8987,$B$2:$B$12000,0)=ROW()-1,1,0))</f>
        <v/>
      </c>
    </row>
    <row r="8988" customFormat="false" ht="15" hidden="false" customHeight="false" outlineLevel="0" collapsed="false">
      <c r="V8988" s="23" t="str">
        <f aca="false">IF(ISNUMBER(C8988),YEAR(C8988),"")</f>
        <v/>
      </c>
      <c r="W8988" s="23" t="str">
        <f aca="false">IF(ISNUMBER(C8988),MONTH(C8988),"")</f>
        <v/>
      </c>
      <c r="X8988" s="23" t="str">
        <f aca="false">IF(T8988="","",IF(T8988=0,"No discount",IF(T8988&lt;=0.2,"Low (1-20%)",IF(T8988&lt;=0.4,"Medium (21-40%)","High (&gt;40%)"))))</f>
        <v/>
      </c>
      <c r="Y8988" s="23" t="str">
        <f aca="false">IF(AND(ISNUMBER(C8988),ISNUMBER(D8988)),D8988-C8988,"")</f>
        <v/>
      </c>
      <c r="Z8988" s="23" t="str">
        <f aca="false">IF(B8988="","",IF(MATCH(B8988,$B$2:$B$12000,0)=ROW()-1,1,0))</f>
        <v/>
      </c>
    </row>
    <row r="8989" customFormat="false" ht="15" hidden="false" customHeight="false" outlineLevel="0" collapsed="false">
      <c r="V8989" s="23" t="str">
        <f aca="false">IF(ISNUMBER(C8989),YEAR(C8989),"")</f>
        <v/>
      </c>
      <c r="W8989" s="23" t="str">
        <f aca="false">IF(ISNUMBER(C8989),MONTH(C8989),"")</f>
        <v/>
      </c>
      <c r="X8989" s="23" t="str">
        <f aca="false">IF(T8989="","",IF(T8989=0,"No discount",IF(T8989&lt;=0.2,"Low (1-20%)",IF(T8989&lt;=0.4,"Medium (21-40%)","High (&gt;40%)"))))</f>
        <v/>
      </c>
      <c r="Y8989" s="23" t="str">
        <f aca="false">IF(AND(ISNUMBER(C8989),ISNUMBER(D8989)),D8989-C8989,"")</f>
        <v/>
      </c>
      <c r="Z8989" s="23" t="str">
        <f aca="false">IF(B8989="","",IF(MATCH(B8989,$B$2:$B$12000,0)=ROW()-1,1,0))</f>
        <v/>
      </c>
    </row>
    <row r="8990" customFormat="false" ht="15" hidden="false" customHeight="false" outlineLevel="0" collapsed="false">
      <c r="V8990" s="23" t="str">
        <f aca="false">IF(ISNUMBER(C8990),YEAR(C8990),"")</f>
        <v/>
      </c>
      <c r="W8990" s="23" t="str">
        <f aca="false">IF(ISNUMBER(C8990),MONTH(C8990),"")</f>
        <v/>
      </c>
      <c r="X8990" s="23" t="str">
        <f aca="false">IF(T8990="","",IF(T8990=0,"No discount",IF(T8990&lt;=0.2,"Low (1-20%)",IF(T8990&lt;=0.4,"Medium (21-40%)","High (&gt;40%)"))))</f>
        <v/>
      </c>
      <c r="Y8990" s="23" t="str">
        <f aca="false">IF(AND(ISNUMBER(C8990),ISNUMBER(D8990)),D8990-C8990,"")</f>
        <v/>
      </c>
      <c r="Z8990" s="23" t="str">
        <f aca="false">IF(B8990="","",IF(MATCH(B8990,$B$2:$B$12000,0)=ROW()-1,1,0))</f>
        <v/>
      </c>
    </row>
    <row r="8991" customFormat="false" ht="15" hidden="false" customHeight="false" outlineLevel="0" collapsed="false">
      <c r="V8991" s="23" t="str">
        <f aca="false">IF(ISNUMBER(C8991),YEAR(C8991),"")</f>
        <v/>
      </c>
      <c r="W8991" s="23" t="str">
        <f aca="false">IF(ISNUMBER(C8991),MONTH(C8991),"")</f>
        <v/>
      </c>
      <c r="X8991" s="23" t="str">
        <f aca="false">IF(T8991="","",IF(T8991=0,"No discount",IF(T8991&lt;=0.2,"Low (1-20%)",IF(T8991&lt;=0.4,"Medium (21-40%)","High (&gt;40%)"))))</f>
        <v/>
      </c>
      <c r="Y8991" s="23" t="str">
        <f aca="false">IF(AND(ISNUMBER(C8991),ISNUMBER(D8991)),D8991-C8991,"")</f>
        <v/>
      </c>
      <c r="Z8991" s="23" t="str">
        <f aca="false">IF(B8991="","",IF(MATCH(B8991,$B$2:$B$12000,0)=ROW()-1,1,0))</f>
        <v/>
      </c>
    </row>
    <row r="8992" customFormat="false" ht="15" hidden="false" customHeight="false" outlineLevel="0" collapsed="false">
      <c r="V8992" s="23" t="str">
        <f aca="false">IF(ISNUMBER(C8992),YEAR(C8992),"")</f>
        <v/>
      </c>
      <c r="W8992" s="23" t="str">
        <f aca="false">IF(ISNUMBER(C8992),MONTH(C8992),"")</f>
        <v/>
      </c>
      <c r="X8992" s="23" t="str">
        <f aca="false">IF(T8992="","",IF(T8992=0,"No discount",IF(T8992&lt;=0.2,"Low (1-20%)",IF(T8992&lt;=0.4,"Medium (21-40%)","High (&gt;40%)"))))</f>
        <v/>
      </c>
      <c r="Y8992" s="23" t="str">
        <f aca="false">IF(AND(ISNUMBER(C8992),ISNUMBER(D8992)),D8992-C8992,"")</f>
        <v/>
      </c>
      <c r="Z8992" s="23" t="str">
        <f aca="false">IF(B8992="","",IF(MATCH(B8992,$B$2:$B$12000,0)=ROW()-1,1,0))</f>
        <v/>
      </c>
    </row>
    <row r="8993" customFormat="false" ht="15" hidden="false" customHeight="false" outlineLevel="0" collapsed="false">
      <c r="V8993" s="23" t="str">
        <f aca="false">IF(ISNUMBER(C8993),YEAR(C8993),"")</f>
        <v/>
      </c>
      <c r="W8993" s="23" t="str">
        <f aca="false">IF(ISNUMBER(C8993),MONTH(C8993),"")</f>
        <v/>
      </c>
      <c r="X8993" s="23" t="str">
        <f aca="false">IF(T8993="","",IF(T8993=0,"No discount",IF(T8993&lt;=0.2,"Low (1-20%)",IF(T8993&lt;=0.4,"Medium (21-40%)","High (&gt;40%)"))))</f>
        <v/>
      </c>
      <c r="Y8993" s="23" t="str">
        <f aca="false">IF(AND(ISNUMBER(C8993),ISNUMBER(D8993)),D8993-C8993,"")</f>
        <v/>
      </c>
      <c r="Z8993" s="23" t="str">
        <f aca="false">IF(B8993="","",IF(MATCH(B8993,$B$2:$B$12000,0)=ROW()-1,1,0))</f>
        <v/>
      </c>
    </row>
    <row r="8994" customFormat="false" ht="15" hidden="false" customHeight="false" outlineLevel="0" collapsed="false">
      <c r="V8994" s="23" t="str">
        <f aca="false">IF(ISNUMBER(C8994),YEAR(C8994),"")</f>
        <v/>
      </c>
      <c r="W8994" s="23" t="str">
        <f aca="false">IF(ISNUMBER(C8994),MONTH(C8994),"")</f>
        <v/>
      </c>
      <c r="X8994" s="23" t="str">
        <f aca="false">IF(T8994="","",IF(T8994=0,"No discount",IF(T8994&lt;=0.2,"Low (1-20%)",IF(T8994&lt;=0.4,"Medium (21-40%)","High (&gt;40%)"))))</f>
        <v/>
      </c>
      <c r="Y8994" s="23" t="str">
        <f aca="false">IF(AND(ISNUMBER(C8994),ISNUMBER(D8994)),D8994-C8994,"")</f>
        <v/>
      </c>
      <c r="Z8994" s="23" t="str">
        <f aca="false">IF(B8994="","",IF(MATCH(B8994,$B$2:$B$12000,0)=ROW()-1,1,0))</f>
        <v/>
      </c>
    </row>
    <row r="8995" customFormat="false" ht="15" hidden="false" customHeight="false" outlineLevel="0" collapsed="false">
      <c r="V8995" s="23" t="str">
        <f aca="false">IF(ISNUMBER(C8995),YEAR(C8995),"")</f>
        <v/>
      </c>
      <c r="W8995" s="23" t="str">
        <f aca="false">IF(ISNUMBER(C8995),MONTH(C8995),"")</f>
        <v/>
      </c>
      <c r="X8995" s="23" t="str">
        <f aca="false">IF(T8995="","",IF(T8995=0,"No discount",IF(T8995&lt;=0.2,"Low (1-20%)",IF(T8995&lt;=0.4,"Medium (21-40%)","High (&gt;40%)"))))</f>
        <v/>
      </c>
      <c r="Y8995" s="23" t="str">
        <f aca="false">IF(AND(ISNUMBER(C8995),ISNUMBER(D8995)),D8995-C8995,"")</f>
        <v/>
      </c>
      <c r="Z8995" s="23" t="str">
        <f aca="false">IF(B8995="","",IF(MATCH(B8995,$B$2:$B$12000,0)=ROW()-1,1,0))</f>
        <v/>
      </c>
    </row>
    <row r="8996" customFormat="false" ht="15" hidden="false" customHeight="false" outlineLevel="0" collapsed="false">
      <c r="V8996" s="23" t="str">
        <f aca="false">IF(ISNUMBER(C8996),YEAR(C8996),"")</f>
        <v/>
      </c>
      <c r="W8996" s="23" t="str">
        <f aca="false">IF(ISNUMBER(C8996),MONTH(C8996),"")</f>
        <v/>
      </c>
      <c r="X8996" s="23" t="str">
        <f aca="false">IF(T8996="","",IF(T8996=0,"No discount",IF(T8996&lt;=0.2,"Low (1-20%)",IF(T8996&lt;=0.4,"Medium (21-40%)","High (&gt;40%)"))))</f>
        <v/>
      </c>
      <c r="Y8996" s="23" t="str">
        <f aca="false">IF(AND(ISNUMBER(C8996),ISNUMBER(D8996)),D8996-C8996,"")</f>
        <v/>
      </c>
      <c r="Z8996" s="23" t="str">
        <f aca="false">IF(B8996="","",IF(MATCH(B8996,$B$2:$B$12000,0)=ROW()-1,1,0))</f>
        <v/>
      </c>
    </row>
    <row r="8997" customFormat="false" ht="15" hidden="false" customHeight="false" outlineLevel="0" collapsed="false">
      <c r="V8997" s="23" t="str">
        <f aca="false">IF(ISNUMBER(C8997),YEAR(C8997),"")</f>
        <v/>
      </c>
      <c r="W8997" s="23" t="str">
        <f aca="false">IF(ISNUMBER(C8997),MONTH(C8997),"")</f>
        <v/>
      </c>
      <c r="X8997" s="23" t="str">
        <f aca="false">IF(T8997="","",IF(T8997=0,"No discount",IF(T8997&lt;=0.2,"Low (1-20%)",IF(T8997&lt;=0.4,"Medium (21-40%)","High (&gt;40%)"))))</f>
        <v/>
      </c>
      <c r="Y8997" s="23" t="str">
        <f aca="false">IF(AND(ISNUMBER(C8997),ISNUMBER(D8997)),D8997-C8997,"")</f>
        <v/>
      </c>
      <c r="Z8997" s="23" t="str">
        <f aca="false">IF(B8997="","",IF(MATCH(B8997,$B$2:$B$12000,0)=ROW()-1,1,0))</f>
        <v/>
      </c>
    </row>
    <row r="8998" customFormat="false" ht="15" hidden="false" customHeight="false" outlineLevel="0" collapsed="false">
      <c r="V8998" s="23" t="str">
        <f aca="false">IF(ISNUMBER(C8998),YEAR(C8998),"")</f>
        <v/>
      </c>
      <c r="W8998" s="23" t="str">
        <f aca="false">IF(ISNUMBER(C8998),MONTH(C8998),"")</f>
        <v/>
      </c>
      <c r="X8998" s="23" t="str">
        <f aca="false">IF(T8998="","",IF(T8998=0,"No discount",IF(T8998&lt;=0.2,"Low (1-20%)",IF(T8998&lt;=0.4,"Medium (21-40%)","High (&gt;40%)"))))</f>
        <v/>
      </c>
      <c r="Y8998" s="23" t="str">
        <f aca="false">IF(AND(ISNUMBER(C8998),ISNUMBER(D8998)),D8998-C8998,"")</f>
        <v/>
      </c>
      <c r="Z8998" s="23" t="str">
        <f aca="false">IF(B8998="","",IF(MATCH(B8998,$B$2:$B$12000,0)=ROW()-1,1,0))</f>
        <v/>
      </c>
    </row>
    <row r="8999" customFormat="false" ht="15" hidden="false" customHeight="false" outlineLevel="0" collapsed="false">
      <c r="V8999" s="23" t="str">
        <f aca="false">IF(ISNUMBER(C8999),YEAR(C8999),"")</f>
        <v/>
      </c>
      <c r="W8999" s="23" t="str">
        <f aca="false">IF(ISNUMBER(C8999),MONTH(C8999),"")</f>
        <v/>
      </c>
      <c r="X8999" s="23" t="str">
        <f aca="false">IF(T8999="","",IF(T8999=0,"No discount",IF(T8999&lt;=0.2,"Low (1-20%)",IF(T8999&lt;=0.4,"Medium (21-40%)","High (&gt;40%)"))))</f>
        <v/>
      </c>
      <c r="Y8999" s="23" t="str">
        <f aca="false">IF(AND(ISNUMBER(C8999),ISNUMBER(D8999)),D8999-C8999,"")</f>
        <v/>
      </c>
      <c r="Z8999" s="23" t="str">
        <f aca="false">IF(B8999="","",IF(MATCH(B8999,$B$2:$B$12000,0)=ROW()-1,1,0))</f>
        <v/>
      </c>
    </row>
    <row r="9000" customFormat="false" ht="15" hidden="false" customHeight="false" outlineLevel="0" collapsed="false">
      <c r="V9000" s="23" t="str">
        <f aca="false">IF(ISNUMBER(C9000),YEAR(C9000),"")</f>
        <v/>
      </c>
      <c r="W9000" s="23" t="str">
        <f aca="false">IF(ISNUMBER(C9000),MONTH(C9000),"")</f>
        <v/>
      </c>
      <c r="X9000" s="23" t="str">
        <f aca="false">IF(T9000="","",IF(T9000=0,"No discount",IF(T9000&lt;=0.2,"Low (1-20%)",IF(T9000&lt;=0.4,"Medium (21-40%)","High (&gt;40%)"))))</f>
        <v/>
      </c>
      <c r="Y9000" s="23" t="str">
        <f aca="false">IF(AND(ISNUMBER(C9000),ISNUMBER(D9000)),D9000-C9000,"")</f>
        <v/>
      </c>
      <c r="Z9000" s="23" t="str">
        <f aca="false">IF(B9000="","",IF(MATCH(B9000,$B$2:$B$12000,0)=ROW()-1,1,0))</f>
        <v/>
      </c>
    </row>
    <row r="9001" customFormat="false" ht="15" hidden="false" customHeight="false" outlineLevel="0" collapsed="false">
      <c r="V9001" s="23" t="str">
        <f aca="false">IF(ISNUMBER(C9001),YEAR(C9001),"")</f>
        <v/>
      </c>
      <c r="W9001" s="23" t="str">
        <f aca="false">IF(ISNUMBER(C9001),MONTH(C9001),"")</f>
        <v/>
      </c>
      <c r="X9001" s="23" t="str">
        <f aca="false">IF(T9001="","",IF(T9001=0,"No discount",IF(T9001&lt;=0.2,"Low (1-20%)",IF(T9001&lt;=0.4,"Medium (21-40%)","High (&gt;40%)"))))</f>
        <v/>
      </c>
      <c r="Y9001" s="23" t="str">
        <f aca="false">IF(AND(ISNUMBER(C9001),ISNUMBER(D9001)),D9001-C9001,"")</f>
        <v/>
      </c>
      <c r="Z9001" s="23" t="str">
        <f aca="false">IF(B9001="","",IF(MATCH(B9001,$B$2:$B$12000,0)=ROW()-1,1,0))</f>
        <v/>
      </c>
    </row>
    <row r="9002" customFormat="false" ht="15" hidden="false" customHeight="false" outlineLevel="0" collapsed="false">
      <c r="V9002" s="23" t="str">
        <f aca="false">IF(ISNUMBER(C9002),YEAR(C9002),"")</f>
        <v/>
      </c>
      <c r="W9002" s="23" t="str">
        <f aca="false">IF(ISNUMBER(C9002),MONTH(C9002),"")</f>
        <v/>
      </c>
      <c r="X9002" s="23" t="str">
        <f aca="false">IF(T9002="","",IF(T9002=0,"No discount",IF(T9002&lt;=0.2,"Low (1-20%)",IF(T9002&lt;=0.4,"Medium (21-40%)","High (&gt;40%)"))))</f>
        <v/>
      </c>
      <c r="Y9002" s="23" t="str">
        <f aca="false">IF(AND(ISNUMBER(C9002),ISNUMBER(D9002)),D9002-C9002,"")</f>
        <v/>
      </c>
      <c r="Z9002" s="23" t="str">
        <f aca="false">IF(B9002="","",IF(MATCH(B9002,$B$2:$B$12000,0)=ROW()-1,1,0))</f>
        <v/>
      </c>
    </row>
    <row r="9003" customFormat="false" ht="15" hidden="false" customHeight="false" outlineLevel="0" collapsed="false">
      <c r="V9003" s="23" t="str">
        <f aca="false">IF(ISNUMBER(C9003),YEAR(C9003),"")</f>
        <v/>
      </c>
      <c r="W9003" s="23" t="str">
        <f aca="false">IF(ISNUMBER(C9003),MONTH(C9003),"")</f>
        <v/>
      </c>
      <c r="X9003" s="23" t="str">
        <f aca="false">IF(T9003="","",IF(T9003=0,"No discount",IF(T9003&lt;=0.2,"Low (1-20%)",IF(T9003&lt;=0.4,"Medium (21-40%)","High (&gt;40%)"))))</f>
        <v/>
      </c>
      <c r="Y9003" s="23" t="str">
        <f aca="false">IF(AND(ISNUMBER(C9003),ISNUMBER(D9003)),D9003-C9003,"")</f>
        <v/>
      </c>
      <c r="Z9003" s="23" t="str">
        <f aca="false">IF(B9003="","",IF(MATCH(B9003,$B$2:$B$12000,0)=ROW()-1,1,0))</f>
        <v/>
      </c>
    </row>
    <row r="9004" customFormat="false" ht="15" hidden="false" customHeight="false" outlineLevel="0" collapsed="false">
      <c r="V9004" s="23" t="str">
        <f aca="false">IF(ISNUMBER(C9004),YEAR(C9004),"")</f>
        <v/>
      </c>
      <c r="W9004" s="23" t="str">
        <f aca="false">IF(ISNUMBER(C9004),MONTH(C9004),"")</f>
        <v/>
      </c>
      <c r="X9004" s="23" t="str">
        <f aca="false">IF(T9004="","",IF(T9004=0,"No discount",IF(T9004&lt;=0.2,"Low (1-20%)",IF(T9004&lt;=0.4,"Medium (21-40%)","High (&gt;40%)"))))</f>
        <v/>
      </c>
      <c r="Y9004" s="23" t="str">
        <f aca="false">IF(AND(ISNUMBER(C9004),ISNUMBER(D9004)),D9004-C9004,"")</f>
        <v/>
      </c>
      <c r="Z9004" s="23" t="str">
        <f aca="false">IF(B9004="","",IF(MATCH(B9004,$B$2:$B$12000,0)=ROW()-1,1,0))</f>
        <v/>
      </c>
    </row>
    <row r="9005" customFormat="false" ht="15" hidden="false" customHeight="false" outlineLevel="0" collapsed="false">
      <c r="V9005" s="23" t="str">
        <f aca="false">IF(ISNUMBER(C9005),YEAR(C9005),"")</f>
        <v/>
      </c>
      <c r="W9005" s="23" t="str">
        <f aca="false">IF(ISNUMBER(C9005),MONTH(C9005),"")</f>
        <v/>
      </c>
      <c r="X9005" s="23" t="str">
        <f aca="false">IF(T9005="","",IF(T9005=0,"No discount",IF(T9005&lt;=0.2,"Low (1-20%)",IF(T9005&lt;=0.4,"Medium (21-40%)","High (&gt;40%)"))))</f>
        <v/>
      </c>
      <c r="Y9005" s="23" t="str">
        <f aca="false">IF(AND(ISNUMBER(C9005),ISNUMBER(D9005)),D9005-C9005,"")</f>
        <v/>
      </c>
      <c r="Z9005" s="23" t="str">
        <f aca="false">IF(B9005="","",IF(MATCH(B9005,$B$2:$B$12000,0)=ROW()-1,1,0))</f>
        <v/>
      </c>
    </row>
    <row r="9006" customFormat="false" ht="15" hidden="false" customHeight="false" outlineLevel="0" collapsed="false">
      <c r="V9006" s="23" t="str">
        <f aca="false">IF(ISNUMBER(C9006),YEAR(C9006),"")</f>
        <v/>
      </c>
      <c r="W9006" s="23" t="str">
        <f aca="false">IF(ISNUMBER(C9006),MONTH(C9006),"")</f>
        <v/>
      </c>
      <c r="X9006" s="23" t="str">
        <f aca="false">IF(T9006="","",IF(T9006=0,"No discount",IF(T9006&lt;=0.2,"Low (1-20%)",IF(T9006&lt;=0.4,"Medium (21-40%)","High (&gt;40%)"))))</f>
        <v/>
      </c>
      <c r="Y9006" s="23" t="str">
        <f aca="false">IF(AND(ISNUMBER(C9006),ISNUMBER(D9006)),D9006-C9006,"")</f>
        <v/>
      </c>
      <c r="Z9006" s="23" t="str">
        <f aca="false">IF(B9006="","",IF(MATCH(B9006,$B$2:$B$12000,0)=ROW()-1,1,0))</f>
        <v/>
      </c>
    </row>
    <row r="9007" customFormat="false" ht="15" hidden="false" customHeight="false" outlineLevel="0" collapsed="false">
      <c r="V9007" s="23" t="str">
        <f aca="false">IF(ISNUMBER(C9007),YEAR(C9007),"")</f>
        <v/>
      </c>
      <c r="W9007" s="23" t="str">
        <f aca="false">IF(ISNUMBER(C9007),MONTH(C9007),"")</f>
        <v/>
      </c>
      <c r="X9007" s="23" t="str">
        <f aca="false">IF(T9007="","",IF(T9007=0,"No discount",IF(T9007&lt;=0.2,"Low (1-20%)",IF(T9007&lt;=0.4,"Medium (21-40%)","High (&gt;40%)"))))</f>
        <v/>
      </c>
      <c r="Y9007" s="23" t="str">
        <f aca="false">IF(AND(ISNUMBER(C9007),ISNUMBER(D9007)),D9007-C9007,"")</f>
        <v/>
      </c>
      <c r="Z9007" s="23" t="str">
        <f aca="false">IF(B9007="","",IF(MATCH(B9007,$B$2:$B$12000,0)=ROW()-1,1,0))</f>
        <v/>
      </c>
    </row>
    <row r="9008" customFormat="false" ht="15" hidden="false" customHeight="false" outlineLevel="0" collapsed="false">
      <c r="V9008" s="23" t="str">
        <f aca="false">IF(ISNUMBER(C9008),YEAR(C9008),"")</f>
        <v/>
      </c>
      <c r="W9008" s="23" t="str">
        <f aca="false">IF(ISNUMBER(C9008),MONTH(C9008),"")</f>
        <v/>
      </c>
      <c r="X9008" s="23" t="str">
        <f aca="false">IF(T9008="","",IF(T9008=0,"No discount",IF(T9008&lt;=0.2,"Low (1-20%)",IF(T9008&lt;=0.4,"Medium (21-40%)","High (&gt;40%)"))))</f>
        <v/>
      </c>
      <c r="Y9008" s="23" t="str">
        <f aca="false">IF(AND(ISNUMBER(C9008),ISNUMBER(D9008)),D9008-C9008,"")</f>
        <v/>
      </c>
      <c r="Z9008" s="23" t="str">
        <f aca="false">IF(B9008="","",IF(MATCH(B9008,$B$2:$B$12000,0)=ROW()-1,1,0))</f>
        <v/>
      </c>
    </row>
    <row r="9009" customFormat="false" ht="15" hidden="false" customHeight="false" outlineLevel="0" collapsed="false">
      <c r="V9009" s="23" t="str">
        <f aca="false">IF(ISNUMBER(C9009),YEAR(C9009),"")</f>
        <v/>
      </c>
      <c r="W9009" s="23" t="str">
        <f aca="false">IF(ISNUMBER(C9009),MONTH(C9009),"")</f>
        <v/>
      </c>
      <c r="X9009" s="23" t="str">
        <f aca="false">IF(T9009="","",IF(T9009=0,"No discount",IF(T9009&lt;=0.2,"Low (1-20%)",IF(T9009&lt;=0.4,"Medium (21-40%)","High (&gt;40%)"))))</f>
        <v/>
      </c>
      <c r="Y9009" s="23" t="str">
        <f aca="false">IF(AND(ISNUMBER(C9009),ISNUMBER(D9009)),D9009-C9009,"")</f>
        <v/>
      </c>
      <c r="Z9009" s="23" t="str">
        <f aca="false">IF(B9009="","",IF(MATCH(B9009,$B$2:$B$12000,0)=ROW()-1,1,0))</f>
        <v/>
      </c>
    </row>
    <row r="9010" customFormat="false" ht="15" hidden="false" customHeight="false" outlineLevel="0" collapsed="false">
      <c r="V9010" s="23" t="str">
        <f aca="false">IF(ISNUMBER(C9010),YEAR(C9010),"")</f>
        <v/>
      </c>
      <c r="W9010" s="23" t="str">
        <f aca="false">IF(ISNUMBER(C9010),MONTH(C9010),"")</f>
        <v/>
      </c>
      <c r="X9010" s="23" t="str">
        <f aca="false">IF(T9010="","",IF(T9010=0,"No discount",IF(T9010&lt;=0.2,"Low (1-20%)",IF(T9010&lt;=0.4,"Medium (21-40%)","High (&gt;40%)"))))</f>
        <v/>
      </c>
      <c r="Y9010" s="23" t="str">
        <f aca="false">IF(AND(ISNUMBER(C9010),ISNUMBER(D9010)),D9010-C9010,"")</f>
        <v/>
      </c>
      <c r="Z9010" s="23" t="str">
        <f aca="false">IF(B9010="","",IF(MATCH(B9010,$B$2:$B$12000,0)=ROW()-1,1,0))</f>
        <v/>
      </c>
    </row>
    <row r="9011" customFormat="false" ht="15" hidden="false" customHeight="false" outlineLevel="0" collapsed="false">
      <c r="V9011" s="23" t="str">
        <f aca="false">IF(ISNUMBER(C9011),YEAR(C9011),"")</f>
        <v/>
      </c>
      <c r="W9011" s="23" t="str">
        <f aca="false">IF(ISNUMBER(C9011),MONTH(C9011),"")</f>
        <v/>
      </c>
      <c r="X9011" s="23" t="str">
        <f aca="false">IF(T9011="","",IF(T9011=0,"No discount",IF(T9011&lt;=0.2,"Low (1-20%)",IF(T9011&lt;=0.4,"Medium (21-40%)","High (&gt;40%)"))))</f>
        <v/>
      </c>
      <c r="Y9011" s="23" t="str">
        <f aca="false">IF(AND(ISNUMBER(C9011),ISNUMBER(D9011)),D9011-C9011,"")</f>
        <v/>
      </c>
      <c r="Z9011" s="23" t="str">
        <f aca="false">IF(B9011="","",IF(MATCH(B9011,$B$2:$B$12000,0)=ROW()-1,1,0))</f>
        <v/>
      </c>
    </row>
    <row r="9012" customFormat="false" ht="15" hidden="false" customHeight="false" outlineLevel="0" collapsed="false">
      <c r="V9012" s="23" t="str">
        <f aca="false">IF(ISNUMBER(C9012),YEAR(C9012),"")</f>
        <v/>
      </c>
      <c r="W9012" s="23" t="str">
        <f aca="false">IF(ISNUMBER(C9012),MONTH(C9012),"")</f>
        <v/>
      </c>
      <c r="X9012" s="23" t="str">
        <f aca="false">IF(T9012="","",IF(T9012=0,"No discount",IF(T9012&lt;=0.2,"Low (1-20%)",IF(T9012&lt;=0.4,"Medium (21-40%)","High (&gt;40%)"))))</f>
        <v/>
      </c>
      <c r="Y9012" s="23" t="str">
        <f aca="false">IF(AND(ISNUMBER(C9012),ISNUMBER(D9012)),D9012-C9012,"")</f>
        <v/>
      </c>
      <c r="Z9012" s="23" t="str">
        <f aca="false">IF(B9012="","",IF(MATCH(B9012,$B$2:$B$12000,0)=ROW()-1,1,0))</f>
        <v/>
      </c>
    </row>
    <row r="9013" customFormat="false" ht="15" hidden="false" customHeight="false" outlineLevel="0" collapsed="false">
      <c r="V9013" s="23" t="str">
        <f aca="false">IF(ISNUMBER(C9013),YEAR(C9013),"")</f>
        <v/>
      </c>
      <c r="W9013" s="23" t="str">
        <f aca="false">IF(ISNUMBER(C9013),MONTH(C9013),"")</f>
        <v/>
      </c>
      <c r="X9013" s="23" t="str">
        <f aca="false">IF(T9013="","",IF(T9013=0,"No discount",IF(T9013&lt;=0.2,"Low (1-20%)",IF(T9013&lt;=0.4,"Medium (21-40%)","High (&gt;40%)"))))</f>
        <v/>
      </c>
      <c r="Y9013" s="23" t="str">
        <f aca="false">IF(AND(ISNUMBER(C9013),ISNUMBER(D9013)),D9013-C9013,"")</f>
        <v/>
      </c>
      <c r="Z9013" s="23" t="str">
        <f aca="false">IF(B9013="","",IF(MATCH(B9013,$B$2:$B$12000,0)=ROW()-1,1,0))</f>
        <v/>
      </c>
    </row>
    <row r="9014" customFormat="false" ht="15" hidden="false" customHeight="false" outlineLevel="0" collapsed="false">
      <c r="V9014" s="23" t="str">
        <f aca="false">IF(ISNUMBER(C9014),YEAR(C9014),"")</f>
        <v/>
      </c>
      <c r="W9014" s="23" t="str">
        <f aca="false">IF(ISNUMBER(C9014),MONTH(C9014),"")</f>
        <v/>
      </c>
      <c r="X9014" s="23" t="str">
        <f aca="false">IF(T9014="","",IF(T9014=0,"No discount",IF(T9014&lt;=0.2,"Low (1-20%)",IF(T9014&lt;=0.4,"Medium (21-40%)","High (&gt;40%)"))))</f>
        <v/>
      </c>
      <c r="Y9014" s="23" t="str">
        <f aca="false">IF(AND(ISNUMBER(C9014),ISNUMBER(D9014)),D9014-C9014,"")</f>
        <v/>
      </c>
      <c r="Z9014" s="23" t="str">
        <f aca="false">IF(B9014="","",IF(MATCH(B9014,$B$2:$B$12000,0)=ROW()-1,1,0))</f>
        <v/>
      </c>
    </row>
    <row r="9015" customFormat="false" ht="15" hidden="false" customHeight="false" outlineLevel="0" collapsed="false">
      <c r="V9015" s="23" t="str">
        <f aca="false">IF(ISNUMBER(C9015),YEAR(C9015),"")</f>
        <v/>
      </c>
      <c r="W9015" s="23" t="str">
        <f aca="false">IF(ISNUMBER(C9015),MONTH(C9015),"")</f>
        <v/>
      </c>
      <c r="X9015" s="23" t="str">
        <f aca="false">IF(T9015="","",IF(T9015=0,"No discount",IF(T9015&lt;=0.2,"Low (1-20%)",IF(T9015&lt;=0.4,"Medium (21-40%)","High (&gt;40%)"))))</f>
        <v/>
      </c>
      <c r="Y9015" s="23" t="str">
        <f aca="false">IF(AND(ISNUMBER(C9015),ISNUMBER(D9015)),D9015-C9015,"")</f>
        <v/>
      </c>
      <c r="Z9015" s="23" t="str">
        <f aca="false">IF(B9015="","",IF(MATCH(B9015,$B$2:$B$12000,0)=ROW()-1,1,0))</f>
        <v/>
      </c>
    </row>
    <row r="9016" customFormat="false" ht="15" hidden="false" customHeight="false" outlineLevel="0" collapsed="false">
      <c r="V9016" s="23" t="str">
        <f aca="false">IF(ISNUMBER(C9016),YEAR(C9016),"")</f>
        <v/>
      </c>
      <c r="W9016" s="23" t="str">
        <f aca="false">IF(ISNUMBER(C9016),MONTH(C9016),"")</f>
        <v/>
      </c>
      <c r="X9016" s="23" t="str">
        <f aca="false">IF(T9016="","",IF(T9016=0,"No discount",IF(T9016&lt;=0.2,"Low (1-20%)",IF(T9016&lt;=0.4,"Medium (21-40%)","High (&gt;40%)"))))</f>
        <v/>
      </c>
      <c r="Y9016" s="23" t="str">
        <f aca="false">IF(AND(ISNUMBER(C9016),ISNUMBER(D9016)),D9016-C9016,"")</f>
        <v/>
      </c>
      <c r="Z9016" s="23" t="str">
        <f aca="false">IF(B9016="","",IF(MATCH(B9016,$B$2:$B$12000,0)=ROW()-1,1,0))</f>
        <v/>
      </c>
    </row>
    <row r="9017" customFormat="false" ht="15" hidden="false" customHeight="false" outlineLevel="0" collapsed="false">
      <c r="V9017" s="23" t="str">
        <f aca="false">IF(ISNUMBER(C9017),YEAR(C9017),"")</f>
        <v/>
      </c>
      <c r="W9017" s="23" t="str">
        <f aca="false">IF(ISNUMBER(C9017),MONTH(C9017),"")</f>
        <v/>
      </c>
      <c r="X9017" s="23" t="str">
        <f aca="false">IF(T9017="","",IF(T9017=0,"No discount",IF(T9017&lt;=0.2,"Low (1-20%)",IF(T9017&lt;=0.4,"Medium (21-40%)","High (&gt;40%)"))))</f>
        <v/>
      </c>
      <c r="Y9017" s="23" t="str">
        <f aca="false">IF(AND(ISNUMBER(C9017),ISNUMBER(D9017)),D9017-C9017,"")</f>
        <v/>
      </c>
      <c r="Z9017" s="23" t="str">
        <f aca="false">IF(B9017="","",IF(MATCH(B9017,$B$2:$B$12000,0)=ROW()-1,1,0))</f>
        <v/>
      </c>
    </row>
    <row r="9018" customFormat="false" ht="15" hidden="false" customHeight="false" outlineLevel="0" collapsed="false">
      <c r="V9018" s="23" t="str">
        <f aca="false">IF(ISNUMBER(C9018),YEAR(C9018),"")</f>
        <v/>
      </c>
      <c r="W9018" s="23" t="str">
        <f aca="false">IF(ISNUMBER(C9018),MONTH(C9018),"")</f>
        <v/>
      </c>
      <c r="X9018" s="23" t="str">
        <f aca="false">IF(T9018="","",IF(T9018=0,"No discount",IF(T9018&lt;=0.2,"Low (1-20%)",IF(T9018&lt;=0.4,"Medium (21-40%)","High (&gt;40%)"))))</f>
        <v/>
      </c>
      <c r="Y9018" s="23" t="str">
        <f aca="false">IF(AND(ISNUMBER(C9018),ISNUMBER(D9018)),D9018-C9018,"")</f>
        <v/>
      </c>
      <c r="Z9018" s="23" t="str">
        <f aca="false">IF(B9018="","",IF(MATCH(B9018,$B$2:$B$12000,0)=ROW()-1,1,0))</f>
        <v/>
      </c>
    </row>
    <row r="9019" customFormat="false" ht="15" hidden="false" customHeight="false" outlineLevel="0" collapsed="false">
      <c r="V9019" s="23" t="str">
        <f aca="false">IF(ISNUMBER(C9019),YEAR(C9019),"")</f>
        <v/>
      </c>
      <c r="W9019" s="23" t="str">
        <f aca="false">IF(ISNUMBER(C9019),MONTH(C9019),"")</f>
        <v/>
      </c>
      <c r="X9019" s="23" t="str">
        <f aca="false">IF(T9019="","",IF(T9019=0,"No discount",IF(T9019&lt;=0.2,"Low (1-20%)",IF(T9019&lt;=0.4,"Medium (21-40%)","High (&gt;40%)"))))</f>
        <v/>
      </c>
      <c r="Y9019" s="23" t="str">
        <f aca="false">IF(AND(ISNUMBER(C9019),ISNUMBER(D9019)),D9019-C9019,"")</f>
        <v/>
      </c>
      <c r="Z9019" s="23" t="str">
        <f aca="false">IF(B9019="","",IF(MATCH(B9019,$B$2:$B$12000,0)=ROW()-1,1,0))</f>
        <v/>
      </c>
    </row>
    <row r="9020" customFormat="false" ht="15" hidden="false" customHeight="false" outlineLevel="0" collapsed="false">
      <c r="V9020" s="23" t="str">
        <f aca="false">IF(ISNUMBER(C9020),YEAR(C9020),"")</f>
        <v/>
      </c>
      <c r="W9020" s="23" t="str">
        <f aca="false">IF(ISNUMBER(C9020),MONTH(C9020),"")</f>
        <v/>
      </c>
      <c r="X9020" s="23" t="str">
        <f aca="false">IF(T9020="","",IF(T9020=0,"No discount",IF(T9020&lt;=0.2,"Low (1-20%)",IF(T9020&lt;=0.4,"Medium (21-40%)","High (&gt;40%)"))))</f>
        <v/>
      </c>
      <c r="Y9020" s="23" t="str">
        <f aca="false">IF(AND(ISNUMBER(C9020),ISNUMBER(D9020)),D9020-C9020,"")</f>
        <v/>
      </c>
      <c r="Z9020" s="23" t="str">
        <f aca="false">IF(B9020="","",IF(MATCH(B9020,$B$2:$B$12000,0)=ROW()-1,1,0))</f>
        <v/>
      </c>
    </row>
    <row r="9021" customFormat="false" ht="15" hidden="false" customHeight="false" outlineLevel="0" collapsed="false">
      <c r="V9021" s="23" t="str">
        <f aca="false">IF(ISNUMBER(C9021),YEAR(C9021),"")</f>
        <v/>
      </c>
      <c r="W9021" s="23" t="str">
        <f aca="false">IF(ISNUMBER(C9021),MONTH(C9021),"")</f>
        <v/>
      </c>
      <c r="X9021" s="23" t="str">
        <f aca="false">IF(T9021="","",IF(T9021=0,"No discount",IF(T9021&lt;=0.2,"Low (1-20%)",IF(T9021&lt;=0.4,"Medium (21-40%)","High (&gt;40%)"))))</f>
        <v/>
      </c>
      <c r="Y9021" s="23" t="str">
        <f aca="false">IF(AND(ISNUMBER(C9021),ISNUMBER(D9021)),D9021-C9021,"")</f>
        <v/>
      </c>
      <c r="Z9021" s="23" t="str">
        <f aca="false">IF(B9021="","",IF(MATCH(B9021,$B$2:$B$12000,0)=ROW()-1,1,0))</f>
        <v/>
      </c>
    </row>
    <row r="9022" customFormat="false" ht="15" hidden="false" customHeight="false" outlineLevel="0" collapsed="false">
      <c r="V9022" s="23" t="str">
        <f aca="false">IF(ISNUMBER(C9022),YEAR(C9022),"")</f>
        <v/>
      </c>
      <c r="W9022" s="23" t="str">
        <f aca="false">IF(ISNUMBER(C9022),MONTH(C9022),"")</f>
        <v/>
      </c>
      <c r="X9022" s="23" t="str">
        <f aca="false">IF(T9022="","",IF(T9022=0,"No discount",IF(T9022&lt;=0.2,"Low (1-20%)",IF(T9022&lt;=0.4,"Medium (21-40%)","High (&gt;40%)"))))</f>
        <v/>
      </c>
      <c r="Y9022" s="23" t="str">
        <f aca="false">IF(AND(ISNUMBER(C9022),ISNUMBER(D9022)),D9022-C9022,"")</f>
        <v/>
      </c>
      <c r="Z9022" s="23" t="str">
        <f aca="false">IF(B9022="","",IF(MATCH(B9022,$B$2:$B$12000,0)=ROW()-1,1,0))</f>
        <v/>
      </c>
    </row>
    <row r="9023" customFormat="false" ht="15" hidden="false" customHeight="false" outlineLevel="0" collapsed="false">
      <c r="V9023" s="23" t="str">
        <f aca="false">IF(ISNUMBER(C9023),YEAR(C9023),"")</f>
        <v/>
      </c>
      <c r="W9023" s="23" t="str">
        <f aca="false">IF(ISNUMBER(C9023),MONTH(C9023),"")</f>
        <v/>
      </c>
      <c r="X9023" s="23" t="str">
        <f aca="false">IF(T9023="","",IF(T9023=0,"No discount",IF(T9023&lt;=0.2,"Low (1-20%)",IF(T9023&lt;=0.4,"Medium (21-40%)","High (&gt;40%)"))))</f>
        <v/>
      </c>
      <c r="Y9023" s="23" t="str">
        <f aca="false">IF(AND(ISNUMBER(C9023),ISNUMBER(D9023)),D9023-C9023,"")</f>
        <v/>
      </c>
      <c r="Z9023" s="23" t="str">
        <f aca="false">IF(B9023="","",IF(MATCH(B9023,$B$2:$B$12000,0)=ROW()-1,1,0))</f>
        <v/>
      </c>
    </row>
    <row r="9024" customFormat="false" ht="15" hidden="false" customHeight="false" outlineLevel="0" collapsed="false">
      <c r="V9024" s="23" t="str">
        <f aca="false">IF(ISNUMBER(C9024),YEAR(C9024),"")</f>
        <v/>
      </c>
      <c r="W9024" s="23" t="str">
        <f aca="false">IF(ISNUMBER(C9024),MONTH(C9024),"")</f>
        <v/>
      </c>
      <c r="X9024" s="23" t="str">
        <f aca="false">IF(T9024="","",IF(T9024=0,"No discount",IF(T9024&lt;=0.2,"Low (1-20%)",IF(T9024&lt;=0.4,"Medium (21-40%)","High (&gt;40%)"))))</f>
        <v/>
      </c>
      <c r="Y9024" s="23" t="str">
        <f aca="false">IF(AND(ISNUMBER(C9024),ISNUMBER(D9024)),D9024-C9024,"")</f>
        <v/>
      </c>
      <c r="Z9024" s="23" t="str">
        <f aca="false">IF(B9024="","",IF(MATCH(B9024,$B$2:$B$12000,0)=ROW()-1,1,0))</f>
        <v/>
      </c>
    </row>
    <row r="9025" customFormat="false" ht="15" hidden="false" customHeight="false" outlineLevel="0" collapsed="false">
      <c r="V9025" s="23" t="str">
        <f aca="false">IF(ISNUMBER(C9025),YEAR(C9025),"")</f>
        <v/>
      </c>
      <c r="W9025" s="23" t="str">
        <f aca="false">IF(ISNUMBER(C9025),MONTH(C9025),"")</f>
        <v/>
      </c>
      <c r="X9025" s="23" t="str">
        <f aca="false">IF(T9025="","",IF(T9025=0,"No discount",IF(T9025&lt;=0.2,"Low (1-20%)",IF(T9025&lt;=0.4,"Medium (21-40%)","High (&gt;40%)"))))</f>
        <v/>
      </c>
      <c r="Y9025" s="23" t="str">
        <f aca="false">IF(AND(ISNUMBER(C9025),ISNUMBER(D9025)),D9025-C9025,"")</f>
        <v/>
      </c>
      <c r="Z9025" s="23" t="str">
        <f aca="false">IF(B9025="","",IF(MATCH(B9025,$B$2:$B$12000,0)=ROW()-1,1,0))</f>
        <v/>
      </c>
    </row>
    <row r="9026" customFormat="false" ht="15" hidden="false" customHeight="false" outlineLevel="0" collapsed="false">
      <c r="V9026" s="23" t="str">
        <f aca="false">IF(ISNUMBER(C9026),YEAR(C9026),"")</f>
        <v/>
      </c>
      <c r="W9026" s="23" t="str">
        <f aca="false">IF(ISNUMBER(C9026),MONTH(C9026),"")</f>
        <v/>
      </c>
      <c r="X9026" s="23" t="str">
        <f aca="false">IF(T9026="","",IF(T9026=0,"No discount",IF(T9026&lt;=0.2,"Low (1-20%)",IF(T9026&lt;=0.4,"Medium (21-40%)","High (&gt;40%)"))))</f>
        <v/>
      </c>
      <c r="Y9026" s="23" t="str">
        <f aca="false">IF(AND(ISNUMBER(C9026),ISNUMBER(D9026)),D9026-C9026,"")</f>
        <v/>
      </c>
      <c r="Z9026" s="23" t="str">
        <f aca="false">IF(B9026="","",IF(MATCH(B9026,$B$2:$B$12000,0)=ROW()-1,1,0))</f>
        <v/>
      </c>
    </row>
    <row r="9027" customFormat="false" ht="15" hidden="false" customHeight="false" outlineLevel="0" collapsed="false">
      <c r="V9027" s="23" t="str">
        <f aca="false">IF(ISNUMBER(C9027),YEAR(C9027),"")</f>
        <v/>
      </c>
      <c r="W9027" s="23" t="str">
        <f aca="false">IF(ISNUMBER(C9027),MONTH(C9027),"")</f>
        <v/>
      </c>
      <c r="X9027" s="23" t="str">
        <f aca="false">IF(T9027="","",IF(T9027=0,"No discount",IF(T9027&lt;=0.2,"Low (1-20%)",IF(T9027&lt;=0.4,"Medium (21-40%)","High (&gt;40%)"))))</f>
        <v/>
      </c>
      <c r="Y9027" s="23" t="str">
        <f aca="false">IF(AND(ISNUMBER(C9027),ISNUMBER(D9027)),D9027-C9027,"")</f>
        <v/>
      </c>
      <c r="Z9027" s="23" t="str">
        <f aca="false">IF(B9027="","",IF(MATCH(B9027,$B$2:$B$12000,0)=ROW()-1,1,0))</f>
        <v/>
      </c>
    </row>
    <row r="9028" customFormat="false" ht="15" hidden="false" customHeight="false" outlineLevel="0" collapsed="false">
      <c r="V9028" s="23" t="str">
        <f aca="false">IF(ISNUMBER(C9028),YEAR(C9028),"")</f>
        <v/>
      </c>
      <c r="W9028" s="23" t="str">
        <f aca="false">IF(ISNUMBER(C9028),MONTH(C9028),"")</f>
        <v/>
      </c>
      <c r="X9028" s="23" t="str">
        <f aca="false">IF(T9028="","",IF(T9028=0,"No discount",IF(T9028&lt;=0.2,"Low (1-20%)",IF(T9028&lt;=0.4,"Medium (21-40%)","High (&gt;40%)"))))</f>
        <v/>
      </c>
      <c r="Y9028" s="23" t="str">
        <f aca="false">IF(AND(ISNUMBER(C9028),ISNUMBER(D9028)),D9028-C9028,"")</f>
        <v/>
      </c>
      <c r="Z9028" s="23" t="str">
        <f aca="false">IF(B9028="","",IF(MATCH(B9028,$B$2:$B$12000,0)=ROW()-1,1,0))</f>
        <v/>
      </c>
    </row>
    <row r="9029" customFormat="false" ht="15" hidden="false" customHeight="false" outlineLevel="0" collapsed="false">
      <c r="V9029" s="23" t="str">
        <f aca="false">IF(ISNUMBER(C9029),YEAR(C9029),"")</f>
        <v/>
      </c>
      <c r="W9029" s="23" t="str">
        <f aca="false">IF(ISNUMBER(C9029),MONTH(C9029),"")</f>
        <v/>
      </c>
      <c r="X9029" s="23" t="str">
        <f aca="false">IF(T9029="","",IF(T9029=0,"No discount",IF(T9029&lt;=0.2,"Low (1-20%)",IF(T9029&lt;=0.4,"Medium (21-40%)","High (&gt;40%)"))))</f>
        <v/>
      </c>
      <c r="Y9029" s="23" t="str">
        <f aca="false">IF(AND(ISNUMBER(C9029),ISNUMBER(D9029)),D9029-C9029,"")</f>
        <v/>
      </c>
      <c r="Z9029" s="23" t="str">
        <f aca="false">IF(B9029="","",IF(MATCH(B9029,$B$2:$B$12000,0)=ROW()-1,1,0))</f>
        <v/>
      </c>
    </row>
    <row r="9030" customFormat="false" ht="15" hidden="false" customHeight="false" outlineLevel="0" collapsed="false">
      <c r="V9030" s="23" t="str">
        <f aca="false">IF(ISNUMBER(C9030),YEAR(C9030),"")</f>
        <v/>
      </c>
      <c r="W9030" s="23" t="str">
        <f aca="false">IF(ISNUMBER(C9030),MONTH(C9030),"")</f>
        <v/>
      </c>
      <c r="X9030" s="23" t="str">
        <f aca="false">IF(T9030="","",IF(T9030=0,"No discount",IF(T9030&lt;=0.2,"Low (1-20%)",IF(T9030&lt;=0.4,"Medium (21-40%)","High (&gt;40%)"))))</f>
        <v/>
      </c>
      <c r="Y9030" s="23" t="str">
        <f aca="false">IF(AND(ISNUMBER(C9030),ISNUMBER(D9030)),D9030-C9030,"")</f>
        <v/>
      </c>
      <c r="Z9030" s="23" t="str">
        <f aca="false">IF(B9030="","",IF(MATCH(B9030,$B$2:$B$12000,0)=ROW()-1,1,0))</f>
        <v/>
      </c>
    </row>
    <row r="9031" customFormat="false" ht="15" hidden="false" customHeight="false" outlineLevel="0" collapsed="false">
      <c r="V9031" s="23" t="str">
        <f aca="false">IF(ISNUMBER(C9031),YEAR(C9031),"")</f>
        <v/>
      </c>
      <c r="W9031" s="23" t="str">
        <f aca="false">IF(ISNUMBER(C9031),MONTH(C9031),"")</f>
        <v/>
      </c>
      <c r="X9031" s="23" t="str">
        <f aca="false">IF(T9031="","",IF(T9031=0,"No discount",IF(T9031&lt;=0.2,"Low (1-20%)",IF(T9031&lt;=0.4,"Medium (21-40%)","High (&gt;40%)"))))</f>
        <v/>
      </c>
      <c r="Y9031" s="23" t="str">
        <f aca="false">IF(AND(ISNUMBER(C9031),ISNUMBER(D9031)),D9031-C9031,"")</f>
        <v/>
      </c>
      <c r="Z9031" s="23" t="str">
        <f aca="false">IF(B9031="","",IF(MATCH(B9031,$B$2:$B$12000,0)=ROW()-1,1,0))</f>
        <v/>
      </c>
    </row>
    <row r="9032" customFormat="false" ht="15" hidden="false" customHeight="false" outlineLevel="0" collapsed="false">
      <c r="V9032" s="23" t="str">
        <f aca="false">IF(ISNUMBER(C9032),YEAR(C9032),"")</f>
        <v/>
      </c>
      <c r="W9032" s="23" t="str">
        <f aca="false">IF(ISNUMBER(C9032),MONTH(C9032),"")</f>
        <v/>
      </c>
      <c r="X9032" s="23" t="str">
        <f aca="false">IF(T9032="","",IF(T9032=0,"No discount",IF(T9032&lt;=0.2,"Low (1-20%)",IF(T9032&lt;=0.4,"Medium (21-40%)","High (&gt;40%)"))))</f>
        <v/>
      </c>
      <c r="Y9032" s="23" t="str">
        <f aca="false">IF(AND(ISNUMBER(C9032),ISNUMBER(D9032)),D9032-C9032,"")</f>
        <v/>
      </c>
      <c r="Z9032" s="23" t="str">
        <f aca="false">IF(B9032="","",IF(MATCH(B9032,$B$2:$B$12000,0)=ROW()-1,1,0))</f>
        <v/>
      </c>
    </row>
    <row r="9033" customFormat="false" ht="15" hidden="false" customHeight="false" outlineLevel="0" collapsed="false">
      <c r="V9033" s="23" t="str">
        <f aca="false">IF(ISNUMBER(C9033),YEAR(C9033),"")</f>
        <v/>
      </c>
      <c r="W9033" s="23" t="str">
        <f aca="false">IF(ISNUMBER(C9033),MONTH(C9033),"")</f>
        <v/>
      </c>
      <c r="X9033" s="23" t="str">
        <f aca="false">IF(T9033="","",IF(T9033=0,"No discount",IF(T9033&lt;=0.2,"Low (1-20%)",IF(T9033&lt;=0.4,"Medium (21-40%)","High (&gt;40%)"))))</f>
        <v/>
      </c>
      <c r="Y9033" s="23" t="str">
        <f aca="false">IF(AND(ISNUMBER(C9033),ISNUMBER(D9033)),D9033-C9033,"")</f>
        <v/>
      </c>
      <c r="Z9033" s="23" t="str">
        <f aca="false">IF(B9033="","",IF(MATCH(B9033,$B$2:$B$12000,0)=ROW()-1,1,0))</f>
        <v/>
      </c>
    </row>
    <row r="9034" customFormat="false" ht="15" hidden="false" customHeight="false" outlineLevel="0" collapsed="false">
      <c r="V9034" s="23" t="str">
        <f aca="false">IF(ISNUMBER(C9034),YEAR(C9034),"")</f>
        <v/>
      </c>
      <c r="W9034" s="23" t="str">
        <f aca="false">IF(ISNUMBER(C9034),MONTH(C9034),"")</f>
        <v/>
      </c>
      <c r="X9034" s="23" t="str">
        <f aca="false">IF(T9034="","",IF(T9034=0,"No discount",IF(T9034&lt;=0.2,"Low (1-20%)",IF(T9034&lt;=0.4,"Medium (21-40%)","High (&gt;40%)"))))</f>
        <v/>
      </c>
      <c r="Y9034" s="23" t="str">
        <f aca="false">IF(AND(ISNUMBER(C9034),ISNUMBER(D9034)),D9034-C9034,"")</f>
        <v/>
      </c>
      <c r="Z9034" s="23" t="str">
        <f aca="false">IF(B9034="","",IF(MATCH(B9034,$B$2:$B$12000,0)=ROW()-1,1,0))</f>
        <v/>
      </c>
    </row>
    <row r="9035" customFormat="false" ht="15" hidden="false" customHeight="false" outlineLevel="0" collapsed="false">
      <c r="V9035" s="23" t="str">
        <f aca="false">IF(ISNUMBER(C9035),YEAR(C9035),"")</f>
        <v/>
      </c>
      <c r="W9035" s="23" t="str">
        <f aca="false">IF(ISNUMBER(C9035),MONTH(C9035),"")</f>
        <v/>
      </c>
      <c r="X9035" s="23" t="str">
        <f aca="false">IF(T9035="","",IF(T9035=0,"No discount",IF(T9035&lt;=0.2,"Low (1-20%)",IF(T9035&lt;=0.4,"Medium (21-40%)","High (&gt;40%)"))))</f>
        <v/>
      </c>
      <c r="Y9035" s="23" t="str">
        <f aca="false">IF(AND(ISNUMBER(C9035),ISNUMBER(D9035)),D9035-C9035,"")</f>
        <v/>
      </c>
      <c r="Z9035" s="23" t="str">
        <f aca="false">IF(B9035="","",IF(MATCH(B9035,$B$2:$B$12000,0)=ROW()-1,1,0))</f>
        <v/>
      </c>
    </row>
    <row r="9036" customFormat="false" ht="15" hidden="false" customHeight="false" outlineLevel="0" collapsed="false">
      <c r="V9036" s="23" t="str">
        <f aca="false">IF(ISNUMBER(C9036),YEAR(C9036),"")</f>
        <v/>
      </c>
      <c r="W9036" s="23" t="str">
        <f aca="false">IF(ISNUMBER(C9036),MONTH(C9036),"")</f>
        <v/>
      </c>
      <c r="X9036" s="23" t="str">
        <f aca="false">IF(T9036="","",IF(T9036=0,"No discount",IF(T9036&lt;=0.2,"Low (1-20%)",IF(T9036&lt;=0.4,"Medium (21-40%)","High (&gt;40%)"))))</f>
        <v/>
      </c>
      <c r="Y9036" s="23" t="str">
        <f aca="false">IF(AND(ISNUMBER(C9036),ISNUMBER(D9036)),D9036-C9036,"")</f>
        <v/>
      </c>
      <c r="Z9036" s="23" t="str">
        <f aca="false">IF(B9036="","",IF(MATCH(B9036,$B$2:$B$12000,0)=ROW()-1,1,0))</f>
        <v/>
      </c>
    </row>
    <row r="9037" customFormat="false" ht="15" hidden="false" customHeight="false" outlineLevel="0" collapsed="false">
      <c r="V9037" s="23" t="str">
        <f aca="false">IF(ISNUMBER(C9037),YEAR(C9037),"")</f>
        <v/>
      </c>
      <c r="W9037" s="23" t="str">
        <f aca="false">IF(ISNUMBER(C9037),MONTH(C9037),"")</f>
        <v/>
      </c>
      <c r="X9037" s="23" t="str">
        <f aca="false">IF(T9037="","",IF(T9037=0,"No discount",IF(T9037&lt;=0.2,"Low (1-20%)",IF(T9037&lt;=0.4,"Medium (21-40%)","High (&gt;40%)"))))</f>
        <v/>
      </c>
      <c r="Y9037" s="23" t="str">
        <f aca="false">IF(AND(ISNUMBER(C9037),ISNUMBER(D9037)),D9037-C9037,"")</f>
        <v/>
      </c>
      <c r="Z9037" s="23" t="str">
        <f aca="false">IF(B9037="","",IF(MATCH(B9037,$B$2:$B$12000,0)=ROW()-1,1,0))</f>
        <v/>
      </c>
    </row>
    <row r="9038" customFormat="false" ht="15" hidden="false" customHeight="false" outlineLevel="0" collapsed="false">
      <c r="V9038" s="23" t="str">
        <f aca="false">IF(ISNUMBER(C9038),YEAR(C9038),"")</f>
        <v/>
      </c>
      <c r="W9038" s="23" t="str">
        <f aca="false">IF(ISNUMBER(C9038),MONTH(C9038),"")</f>
        <v/>
      </c>
      <c r="X9038" s="23" t="str">
        <f aca="false">IF(T9038="","",IF(T9038=0,"No discount",IF(T9038&lt;=0.2,"Low (1-20%)",IF(T9038&lt;=0.4,"Medium (21-40%)","High (&gt;40%)"))))</f>
        <v/>
      </c>
      <c r="Y9038" s="23" t="str">
        <f aca="false">IF(AND(ISNUMBER(C9038),ISNUMBER(D9038)),D9038-C9038,"")</f>
        <v/>
      </c>
      <c r="Z9038" s="23" t="str">
        <f aca="false">IF(B9038="","",IF(MATCH(B9038,$B$2:$B$12000,0)=ROW()-1,1,0))</f>
        <v/>
      </c>
    </row>
    <row r="9039" customFormat="false" ht="15" hidden="false" customHeight="false" outlineLevel="0" collapsed="false">
      <c r="V9039" s="23" t="str">
        <f aca="false">IF(ISNUMBER(C9039),YEAR(C9039),"")</f>
        <v/>
      </c>
      <c r="W9039" s="23" t="str">
        <f aca="false">IF(ISNUMBER(C9039),MONTH(C9039),"")</f>
        <v/>
      </c>
      <c r="X9039" s="23" t="str">
        <f aca="false">IF(T9039="","",IF(T9039=0,"No discount",IF(T9039&lt;=0.2,"Low (1-20%)",IF(T9039&lt;=0.4,"Medium (21-40%)","High (&gt;40%)"))))</f>
        <v/>
      </c>
      <c r="Y9039" s="23" t="str">
        <f aca="false">IF(AND(ISNUMBER(C9039),ISNUMBER(D9039)),D9039-C9039,"")</f>
        <v/>
      </c>
      <c r="Z9039" s="23" t="str">
        <f aca="false">IF(B9039="","",IF(MATCH(B9039,$B$2:$B$12000,0)=ROW()-1,1,0))</f>
        <v/>
      </c>
    </row>
    <row r="9040" customFormat="false" ht="15" hidden="false" customHeight="false" outlineLevel="0" collapsed="false">
      <c r="V9040" s="23" t="str">
        <f aca="false">IF(ISNUMBER(C9040),YEAR(C9040),"")</f>
        <v/>
      </c>
      <c r="W9040" s="23" t="str">
        <f aca="false">IF(ISNUMBER(C9040),MONTH(C9040),"")</f>
        <v/>
      </c>
      <c r="X9040" s="23" t="str">
        <f aca="false">IF(T9040="","",IF(T9040=0,"No discount",IF(T9040&lt;=0.2,"Low (1-20%)",IF(T9040&lt;=0.4,"Medium (21-40%)","High (&gt;40%)"))))</f>
        <v/>
      </c>
      <c r="Y9040" s="23" t="str">
        <f aca="false">IF(AND(ISNUMBER(C9040),ISNUMBER(D9040)),D9040-C9040,"")</f>
        <v/>
      </c>
      <c r="Z9040" s="23" t="str">
        <f aca="false">IF(B9040="","",IF(MATCH(B9040,$B$2:$B$12000,0)=ROW()-1,1,0))</f>
        <v/>
      </c>
    </row>
    <row r="9041" customFormat="false" ht="15" hidden="false" customHeight="false" outlineLevel="0" collapsed="false">
      <c r="V9041" s="23" t="str">
        <f aca="false">IF(ISNUMBER(C9041),YEAR(C9041),"")</f>
        <v/>
      </c>
      <c r="W9041" s="23" t="str">
        <f aca="false">IF(ISNUMBER(C9041),MONTH(C9041),"")</f>
        <v/>
      </c>
      <c r="X9041" s="23" t="str">
        <f aca="false">IF(T9041="","",IF(T9041=0,"No discount",IF(T9041&lt;=0.2,"Low (1-20%)",IF(T9041&lt;=0.4,"Medium (21-40%)","High (&gt;40%)"))))</f>
        <v/>
      </c>
      <c r="Y9041" s="23" t="str">
        <f aca="false">IF(AND(ISNUMBER(C9041),ISNUMBER(D9041)),D9041-C9041,"")</f>
        <v/>
      </c>
      <c r="Z9041" s="23" t="str">
        <f aca="false">IF(B9041="","",IF(MATCH(B9041,$B$2:$B$12000,0)=ROW()-1,1,0))</f>
        <v/>
      </c>
    </row>
    <row r="9042" customFormat="false" ht="15" hidden="false" customHeight="false" outlineLevel="0" collapsed="false">
      <c r="V9042" s="23" t="str">
        <f aca="false">IF(ISNUMBER(C9042),YEAR(C9042),"")</f>
        <v/>
      </c>
      <c r="W9042" s="23" t="str">
        <f aca="false">IF(ISNUMBER(C9042),MONTH(C9042),"")</f>
        <v/>
      </c>
      <c r="X9042" s="23" t="str">
        <f aca="false">IF(T9042="","",IF(T9042=0,"No discount",IF(T9042&lt;=0.2,"Low (1-20%)",IF(T9042&lt;=0.4,"Medium (21-40%)","High (&gt;40%)"))))</f>
        <v/>
      </c>
      <c r="Y9042" s="23" t="str">
        <f aca="false">IF(AND(ISNUMBER(C9042),ISNUMBER(D9042)),D9042-C9042,"")</f>
        <v/>
      </c>
      <c r="Z9042" s="23" t="str">
        <f aca="false">IF(B9042="","",IF(MATCH(B9042,$B$2:$B$12000,0)=ROW()-1,1,0))</f>
        <v/>
      </c>
    </row>
    <row r="9043" customFormat="false" ht="15" hidden="false" customHeight="false" outlineLevel="0" collapsed="false">
      <c r="V9043" s="23" t="str">
        <f aca="false">IF(ISNUMBER(C9043),YEAR(C9043),"")</f>
        <v/>
      </c>
      <c r="W9043" s="23" t="str">
        <f aca="false">IF(ISNUMBER(C9043),MONTH(C9043),"")</f>
        <v/>
      </c>
      <c r="X9043" s="23" t="str">
        <f aca="false">IF(T9043="","",IF(T9043=0,"No discount",IF(T9043&lt;=0.2,"Low (1-20%)",IF(T9043&lt;=0.4,"Medium (21-40%)","High (&gt;40%)"))))</f>
        <v/>
      </c>
      <c r="Y9043" s="23" t="str">
        <f aca="false">IF(AND(ISNUMBER(C9043),ISNUMBER(D9043)),D9043-C9043,"")</f>
        <v/>
      </c>
      <c r="Z9043" s="23" t="str">
        <f aca="false">IF(B9043="","",IF(MATCH(B9043,$B$2:$B$12000,0)=ROW()-1,1,0))</f>
        <v/>
      </c>
    </row>
    <row r="9044" customFormat="false" ht="15" hidden="false" customHeight="false" outlineLevel="0" collapsed="false">
      <c r="V9044" s="23" t="str">
        <f aca="false">IF(ISNUMBER(C9044),YEAR(C9044),"")</f>
        <v/>
      </c>
      <c r="W9044" s="23" t="str">
        <f aca="false">IF(ISNUMBER(C9044),MONTH(C9044),"")</f>
        <v/>
      </c>
      <c r="X9044" s="23" t="str">
        <f aca="false">IF(T9044="","",IF(T9044=0,"No discount",IF(T9044&lt;=0.2,"Low (1-20%)",IF(T9044&lt;=0.4,"Medium (21-40%)","High (&gt;40%)"))))</f>
        <v/>
      </c>
      <c r="Y9044" s="23" t="str">
        <f aca="false">IF(AND(ISNUMBER(C9044),ISNUMBER(D9044)),D9044-C9044,"")</f>
        <v/>
      </c>
      <c r="Z9044" s="23" t="str">
        <f aca="false">IF(B9044="","",IF(MATCH(B9044,$B$2:$B$12000,0)=ROW()-1,1,0))</f>
        <v/>
      </c>
    </row>
    <row r="9045" customFormat="false" ht="15" hidden="false" customHeight="false" outlineLevel="0" collapsed="false">
      <c r="V9045" s="23" t="str">
        <f aca="false">IF(ISNUMBER(C9045),YEAR(C9045),"")</f>
        <v/>
      </c>
      <c r="W9045" s="23" t="str">
        <f aca="false">IF(ISNUMBER(C9045),MONTH(C9045),"")</f>
        <v/>
      </c>
      <c r="X9045" s="23" t="str">
        <f aca="false">IF(T9045="","",IF(T9045=0,"No discount",IF(T9045&lt;=0.2,"Low (1-20%)",IF(T9045&lt;=0.4,"Medium (21-40%)","High (&gt;40%)"))))</f>
        <v/>
      </c>
      <c r="Y9045" s="23" t="str">
        <f aca="false">IF(AND(ISNUMBER(C9045),ISNUMBER(D9045)),D9045-C9045,"")</f>
        <v/>
      </c>
      <c r="Z9045" s="23" t="str">
        <f aca="false">IF(B9045="","",IF(MATCH(B9045,$B$2:$B$12000,0)=ROW()-1,1,0))</f>
        <v/>
      </c>
    </row>
    <row r="9046" customFormat="false" ht="15" hidden="false" customHeight="false" outlineLevel="0" collapsed="false">
      <c r="V9046" s="23" t="str">
        <f aca="false">IF(ISNUMBER(C9046),YEAR(C9046),"")</f>
        <v/>
      </c>
      <c r="W9046" s="23" t="str">
        <f aca="false">IF(ISNUMBER(C9046),MONTH(C9046),"")</f>
        <v/>
      </c>
      <c r="X9046" s="23" t="str">
        <f aca="false">IF(T9046="","",IF(T9046=0,"No discount",IF(T9046&lt;=0.2,"Low (1-20%)",IF(T9046&lt;=0.4,"Medium (21-40%)","High (&gt;40%)"))))</f>
        <v/>
      </c>
      <c r="Y9046" s="23" t="str">
        <f aca="false">IF(AND(ISNUMBER(C9046),ISNUMBER(D9046)),D9046-C9046,"")</f>
        <v/>
      </c>
      <c r="Z9046" s="23" t="str">
        <f aca="false">IF(B9046="","",IF(MATCH(B9046,$B$2:$B$12000,0)=ROW()-1,1,0))</f>
        <v/>
      </c>
    </row>
    <row r="9047" customFormat="false" ht="15" hidden="false" customHeight="false" outlineLevel="0" collapsed="false">
      <c r="V9047" s="23" t="str">
        <f aca="false">IF(ISNUMBER(C9047),YEAR(C9047),"")</f>
        <v/>
      </c>
      <c r="W9047" s="23" t="str">
        <f aca="false">IF(ISNUMBER(C9047),MONTH(C9047),"")</f>
        <v/>
      </c>
      <c r="X9047" s="23" t="str">
        <f aca="false">IF(T9047="","",IF(T9047=0,"No discount",IF(T9047&lt;=0.2,"Low (1-20%)",IF(T9047&lt;=0.4,"Medium (21-40%)","High (&gt;40%)"))))</f>
        <v/>
      </c>
      <c r="Y9047" s="23" t="str">
        <f aca="false">IF(AND(ISNUMBER(C9047),ISNUMBER(D9047)),D9047-C9047,"")</f>
        <v/>
      </c>
      <c r="Z9047" s="23" t="str">
        <f aca="false">IF(B9047="","",IF(MATCH(B9047,$B$2:$B$12000,0)=ROW()-1,1,0))</f>
        <v/>
      </c>
    </row>
    <row r="9048" customFormat="false" ht="15" hidden="false" customHeight="false" outlineLevel="0" collapsed="false">
      <c r="V9048" s="23" t="str">
        <f aca="false">IF(ISNUMBER(C9048),YEAR(C9048),"")</f>
        <v/>
      </c>
      <c r="W9048" s="23" t="str">
        <f aca="false">IF(ISNUMBER(C9048),MONTH(C9048),"")</f>
        <v/>
      </c>
      <c r="X9048" s="23" t="str">
        <f aca="false">IF(T9048="","",IF(T9048=0,"No discount",IF(T9048&lt;=0.2,"Low (1-20%)",IF(T9048&lt;=0.4,"Medium (21-40%)","High (&gt;40%)"))))</f>
        <v/>
      </c>
      <c r="Y9048" s="23" t="str">
        <f aca="false">IF(AND(ISNUMBER(C9048),ISNUMBER(D9048)),D9048-C9048,"")</f>
        <v/>
      </c>
      <c r="Z9048" s="23" t="str">
        <f aca="false">IF(B9048="","",IF(MATCH(B9048,$B$2:$B$12000,0)=ROW()-1,1,0))</f>
        <v/>
      </c>
    </row>
    <row r="9049" customFormat="false" ht="15" hidden="false" customHeight="false" outlineLevel="0" collapsed="false">
      <c r="V9049" s="23" t="str">
        <f aca="false">IF(ISNUMBER(C9049),YEAR(C9049),"")</f>
        <v/>
      </c>
      <c r="W9049" s="23" t="str">
        <f aca="false">IF(ISNUMBER(C9049),MONTH(C9049),"")</f>
        <v/>
      </c>
      <c r="X9049" s="23" t="str">
        <f aca="false">IF(T9049="","",IF(T9049=0,"No discount",IF(T9049&lt;=0.2,"Low (1-20%)",IF(T9049&lt;=0.4,"Medium (21-40%)","High (&gt;40%)"))))</f>
        <v/>
      </c>
      <c r="Y9049" s="23" t="str">
        <f aca="false">IF(AND(ISNUMBER(C9049),ISNUMBER(D9049)),D9049-C9049,"")</f>
        <v/>
      </c>
      <c r="Z9049" s="23" t="str">
        <f aca="false">IF(B9049="","",IF(MATCH(B9049,$B$2:$B$12000,0)=ROW()-1,1,0))</f>
        <v/>
      </c>
    </row>
    <row r="9050" customFormat="false" ht="15" hidden="false" customHeight="false" outlineLevel="0" collapsed="false">
      <c r="V9050" s="23" t="str">
        <f aca="false">IF(ISNUMBER(C9050),YEAR(C9050),"")</f>
        <v/>
      </c>
      <c r="W9050" s="23" t="str">
        <f aca="false">IF(ISNUMBER(C9050),MONTH(C9050),"")</f>
        <v/>
      </c>
      <c r="X9050" s="23" t="str">
        <f aca="false">IF(T9050="","",IF(T9050=0,"No discount",IF(T9050&lt;=0.2,"Low (1-20%)",IF(T9050&lt;=0.4,"Medium (21-40%)","High (&gt;40%)"))))</f>
        <v/>
      </c>
      <c r="Y9050" s="23" t="str">
        <f aca="false">IF(AND(ISNUMBER(C9050),ISNUMBER(D9050)),D9050-C9050,"")</f>
        <v/>
      </c>
      <c r="Z9050" s="23" t="str">
        <f aca="false">IF(B9050="","",IF(MATCH(B9050,$B$2:$B$12000,0)=ROW()-1,1,0))</f>
        <v/>
      </c>
    </row>
    <row r="9051" customFormat="false" ht="15" hidden="false" customHeight="false" outlineLevel="0" collapsed="false">
      <c r="V9051" s="23" t="str">
        <f aca="false">IF(ISNUMBER(C9051),YEAR(C9051),"")</f>
        <v/>
      </c>
      <c r="W9051" s="23" t="str">
        <f aca="false">IF(ISNUMBER(C9051),MONTH(C9051),"")</f>
        <v/>
      </c>
      <c r="X9051" s="23" t="str">
        <f aca="false">IF(T9051="","",IF(T9051=0,"No discount",IF(T9051&lt;=0.2,"Low (1-20%)",IF(T9051&lt;=0.4,"Medium (21-40%)","High (&gt;40%)"))))</f>
        <v/>
      </c>
      <c r="Y9051" s="23" t="str">
        <f aca="false">IF(AND(ISNUMBER(C9051),ISNUMBER(D9051)),D9051-C9051,"")</f>
        <v/>
      </c>
      <c r="Z9051" s="23" t="str">
        <f aca="false">IF(B9051="","",IF(MATCH(B9051,$B$2:$B$12000,0)=ROW()-1,1,0))</f>
        <v/>
      </c>
    </row>
    <row r="9052" customFormat="false" ht="15" hidden="false" customHeight="false" outlineLevel="0" collapsed="false">
      <c r="V9052" s="23" t="str">
        <f aca="false">IF(ISNUMBER(C9052),YEAR(C9052),"")</f>
        <v/>
      </c>
      <c r="W9052" s="23" t="str">
        <f aca="false">IF(ISNUMBER(C9052),MONTH(C9052),"")</f>
        <v/>
      </c>
      <c r="X9052" s="23" t="str">
        <f aca="false">IF(T9052="","",IF(T9052=0,"No discount",IF(T9052&lt;=0.2,"Low (1-20%)",IF(T9052&lt;=0.4,"Medium (21-40%)","High (&gt;40%)"))))</f>
        <v/>
      </c>
      <c r="Y9052" s="23" t="str">
        <f aca="false">IF(AND(ISNUMBER(C9052),ISNUMBER(D9052)),D9052-C9052,"")</f>
        <v/>
      </c>
      <c r="Z9052" s="23" t="str">
        <f aca="false">IF(B9052="","",IF(MATCH(B9052,$B$2:$B$12000,0)=ROW()-1,1,0))</f>
        <v/>
      </c>
    </row>
    <row r="9053" customFormat="false" ht="15" hidden="false" customHeight="false" outlineLevel="0" collapsed="false">
      <c r="V9053" s="23" t="str">
        <f aca="false">IF(ISNUMBER(C9053),YEAR(C9053),"")</f>
        <v/>
      </c>
      <c r="W9053" s="23" t="str">
        <f aca="false">IF(ISNUMBER(C9053),MONTH(C9053),"")</f>
        <v/>
      </c>
      <c r="X9053" s="23" t="str">
        <f aca="false">IF(T9053="","",IF(T9053=0,"No discount",IF(T9053&lt;=0.2,"Low (1-20%)",IF(T9053&lt;=0.4,"Medium (21-40%)","High (&gt;40%)"))))</f>
        <v/>
      </c>
      <c r="Y9053" s="23" t="str">
        <f aca="false">IF(AND(ISNUMBER(C9053),ISNUMBER(D9053)),D9053-C9053,"")</f>
        <v/>
      </c>
      <c r="Z9053" s="23" t="str">
        <f aca="false">IF(B9053="","",IF(MATCH(B9053,$B$2:$B$12000,0)=ROW()-1,1,0))</f>
        <v/>
      </c>
    </row>
    <row r="9054" customFormat="false" ht="15" hidden="false" customHeight="false" outlineLevel="0" collapsed="false">
      <c r="V9054" s="23" t="str">
        <f aca="false">IF(ISNUMBER(C9054),YEAR(C9054),"")</f>
        <v/>
      </c>
      <c r="W9054" s="23" t="str">
        <f aca="false">IF(ISNUMBER(C9054),MONTH(C9054),"")</f>
        <v/>
      </c>
      <c r="X9054" s="23" t="str">
        <f aca="false">IF(T9054="","",IF(T9054=0,"No discount",IF(T9054&lt;=0.2,"Low (1-20%)",IF(T9054&lt;=0.4,"Medium (21-40%)","High (&gt;40%)"))))</f>
        <v/>
      </c>
      <c r="Y9054" s="23" t="str">
        <f aca="false">IF(AND(ISNUMBER(C9054),ISNUMBER(D9054)),D9054-C9054,"")</f>
        <v/>
      </c>
      <c r="Z9054" s="23" t="str">
        <f aca="false">IF(B9054="","",IF(MATCH(B9054,$B$2:$B$12000,0)=ROW()-1,1,0))</f>
        <v/>
      </c>
    </row>
    <row r="9055" customFormat="false" ht="15" hidden="false" customHeight="false" outlineLevel="0" collapsed="false">
      <c r="V9055" s="23" t="str">
        <f aca="false">IF(ISNUMBER(C9055),YEAR(C9055),"")</f>
        <v/>
      </c>
      <c r="W9055" s="23" t="str">
        <f aca="false">IF(ISNUMBER(C9055),MONTH(C9055),"")</f>
        <v/>
      </c>
      <c r="X9055" s="23" t="str">
        <f aca="false">IF(T9055="","",IF(T9055=0,"No discount",IF(T9055&lt;=0.2,"Low (1-20%)",IF(T9055&lt;=0.4,"Medium (21-40%)","High (&gt;40%)"))))</f>
        <v/>
      </c>
      <c r="Y9055" s="23" t="str">
        <f aca="false">IF(AND(ISNUMBER(C9055),ISNUMBER(D9055)),D9055-C9055,"")</f>
        <v/>
      </c>
      <c r="Z9055" s="23" t="str">
        <f aca="false">IF(B9055="","",IF(MATCH(B9055,$B$2:$B$12000,0)=ROW()-1,1,0))</f>
        <v/>
      </c>
    </row>
    <row r="9056" customFormat="false" ht="15" hidden="false" customHeight="false" outlineLevel="0" collapsed="false">
      <c r="V9056" s="23" t="str">
        <f aca="false">IF(ISNUMBER(C9056),YEAR(C9056),"")</f>
        <v/>
      </c>
      <c r="W9056" s="23" t="str">
        <f aca="false">IF(ISNUMBER(C9056),MONTH(C9056),"")</f>
        <v/>
      </c>
      <c r="X9056" s="23" t="str">
        <f aca="false">IF(T9056="","",IF(T9056=0,"No discount",IF(T9056&lt;=0.2,"Low (1-20%)",IF(T9056&lt;=0.4,"Medium (21-40%)","High (&gt;40%)"))))</f>
        <v/>
      </c>
      <c r="Y9056" s="23" t="str">
        <f aca="false">IF(AND(ISNUMBER(C9056),ISNUMBER(D9056)),D9056-C9056,"")</f>
        <v/>
      </c>
      <c r="Z9056" s="23" t="str">
        <f aca="false">IF(B9056="","",IF(MATCH(B9056,$B$2:$B$12000,0)=ROW()-1,1,0))</f>
        <v/>
      </c>
    </row>
    <row r="9057" customFormat="false" ht="15" hidden="false" customHeight="false" outlineLevel="0" collapsed="false">
      <c r="V9057" s="23" t="str">
        <f aca="false">IF(ISNUMBER(C9057),YEAR(C9057),"")</f>
        <v/>
      </c>
      <c r="W9057" s="23" t="str">
        <f aca="false">IF(ISNUMBER(C9057),MONTH(C9057),"")</f>
        <v/>
      </c>
      <c r="X9057" s="23" t="str">
        <f aca="false">IF(T9057="","",IF(T9057=0,"No discount",IF(T9057&lt;=0.2,"Low (1-20%)",IF(T9057&lt;=0.4,"Medium (21-40%)","High (&gt;40%)"))))</f>
        <v/>
      </c>
      <c r="Y9057" s="23" t="str">
        <f aca="false">IF(AND(ISNUMBER(C9057),ISNUMBER(D9057)),D9057-C9057,"")</f>
        <v/>
      </c>
      <c r="Z9057" s="23" t="str">
        <f aca="false">IF(B9057="","",IF(MATCH(B9057,$B$2:$B$12000,0)=ROW()-1,1,0))</f>
        <v/>
      </c>
    </row>
    <row r="9058" customFormat="false" ht="15" hidden="false" customHeight="false" outlineLevel="0" collapsed="false">
      <c r="V9058" s="23" t="str">
        <f aca="false">IF(ISNUMBER(C9058),YEAR(C9058),"")</f>
        <v/>
      </c>
      <c r="W9058" s="23" t="str">
        <f aca="false">IF(ISNUMBER(C9058),MONTH(C9058),"")</f>
        <v/>
      </c>
      <c r="X9058" s="23" t="str">
        <f aca="false">IF(T9058="","",IF(T9058=0,"No discount",IF(T9058&lt;=0.2,"Low (1-20%)",IF(T9058&lt;=0.4,"Medium (21-40%)","High (&gt;40%)"))))</f>
        <v/>
      </c>
      <c r="Y9058" s="23" t="str">
        <f aca="false">IF(AND(ISNUMBER(C9058),ISNUMBER(D9058)),D9058-C9058,"")</f>
        <v/>
      </c>
      <c r="Z9058" s="23" t="str">
        <f aca="false">IF(B9058="","",IF(MATCH(B9058,$B$2:$B$12000,0)=ROW()-1,1,0))</f>
        <v/>
      </c>
    </row>
    <row r="9059" customFormat="false" ht="15" hidden="false" customHeight="false" outlineLevel="0" collapsed="false">
      <c r="V9059" s="23" t="str">
        <f aca="false">IF(ISNUMBER(C9059),YEAR(C9059),"")</f>
        <v/>
      </c>
      <c r="W9059" s="23" t="str">
        <f aca="false">IF(ISNUMBER(C9059),MONTH(C9059),"")</f>
        <v/>
      </c>
      <c r="X9059" s="23" t="str">
        <f aca="false">IF(T9059="","",IF(T9059=0,"No discount",IF(T9059&lt;=0.2,"Low (1-20%)",IF(T9059&lt;=0.4,"Medium (21-40%)","High (&gt;40%)"))))</f>
        <v/>
      </c>
      <c r="Y9059" s="23" t="str">
        <f aca="false">IF(AND(ISNUMBER(C9059),ISNUMBER(D9059)),D9059-C9059,"")</f>
        <v/>
      </c>
      <c r="Z9059" s="23" t="str">
        <f aca="false">IF(B9059="","",IF(MATCH(B9059,$B$2:$B$12000,0)=ROW()-1,1,0))</f>
        <v/>
      </c>
    </row>
    <row r="9060" customFormat="false" ht="15" hidden="false" customHeight="false" outlineLevel="0" collapsed="false">
      <c r="V9060" s="23" t="str">
        <f aca="false">IF(ISNUMBER(C9060),YEAR(C9060),"")</f>
        <v/>
      </c>
      <c r="W9060" s="23" t="str">
        <f aca="false">IF(ISNUMBER(C9060),MONTH(C9060),"")</f>
        <v/>
      </c>
      <c r="X9060" s="23" t="str">
        <f aca="false">IF(T9060="","",IF(T9060=0,"No discount",IF(T9060&lt;=0.2,"Low (1-20%)",IF(T9060&lt;=0.4,"Medium (21-40%)","High (&gt;40%)"))))</f>
        <v/>
      </c>
      <c r="Y9060" s="23" t="str">
        <f aca="false">IF(AND(ISNUMBER(C9060),ISNUMBER(D9060)),D9060-C9060,"")</f>
        <v/>
      </c>
      <c r="Z9060" s="23" t="str">
        <f aca="false">IF(B9060="","",IF(MATCH(B9060,$B$2:$B$12000,0)=ROW()-1,1,0))</f>
        <v/>
      </c>
    </row>
    <row r="9061" customFormat="false" ht="15" hidden="false" customHeight="false" outlineLevel="0" collapsed="false">
      <c r="V9061" s="23" t="str">
        <f aca="false">IF(ISNUMBER(C9061),YEAR(C9061),"")</f>
        <v/>
      </c>
      <c r="W9061" s="23" t="str">
        <f aca="false">IF(ISNUMBER(C9061),MONTH(C9061),"")</f>
        <v/>
      </c>
      <c r="X9061" s="23" t="str">
        <f aca="false">IF(T9061="","",IF(T9061=0,"No discount",IF(T9061&lt;=0.2,"Low (1-20%)",IF(T9061&lt;=0.4,"Medium (21-40%)","High (&gt;40%)"))))</f>
        <v/>
      </c>
      <c r="Y9061" s="23" t="str">
        <f aca="false">IF(AND(ISNUMBER(C9061),ISNUMBER(D9061)),D9061-C9061,"")</f>
        <v/>
      </c>
      <c r="Z9061" s="23" t="str">
        <f aca="false">IF(B9061="","",IF(MATCH(B9061,$B$2:$B$12000,0)=ROW()-1,1,0))</f>
        <v/>
      </c>
    </row>
    <row r="9062" customFormat="false" ht="15" hidden="false" customHeight="false" outlineLevel="0" collapsed="false">
      <c r="V9062" s="23" t="str">
        <f aca="false">IF(ISNUMBER(C9062),YEAR(C9062),"")</f>
        <v/>
      </c>
      <c r="W9062" s="23" t="str">
        <f aca="false">IF(ISNUMBER(C9062),MONTH(C9062),"")</f>
        <v/>
      </c>
      <c r="X9062" s="23" t="str">
        <f aca="false">IF(T9062="","",IF(T9062=0,"No discount",IF(T9062&lt;=0.2,"Low (1-20%)",IF(T9062&lt;=0.4,"Medium (21-40%)","High (&gt;40%)"))))</f>
        <v/>
      </c>
      <c r="Y9062" s="23" t="str">
        <f aca="false">IF(AND(ISNUMBER(C9062),ISNUMBER(D9062)),D9062-C9062,"")</f>
        <v/>
      </c>
      <c r="Z9062" s="23" t="str">
        <f aca="false">IF(B9062="","",IF(MATCH(B9062,$B$2:$B$12000,0)=ROW()-1,1,0))</f>
        <v/>
      </c>
    </row>
    <row r="9063" customFormat="false" ht="15" hidden="false" customHeight="false" outlineLevel="0" collapsed="false">
      <c r="V9063" s="23" t="str">
        <f aca="false">IF(ISNUMBER(C9063),YEAR(C9063),"")</f>
        <v/>
      </c>
      <c r="W9063" s="23" t="str">
        <f aca="false">IF(ISNUMBER(C9063),MONTH(C9063),"")</f>
        <v/>
      </c>
      <c r="X9063" s="23" t="str">
        <f aca="false">IF(T9063="","",IF(T9063=0,"No discount",IF(T9063&lt;=0.2,"Low (1-20%)",IF(T9063&lt;=0.4,"Medium (21-40%)","High (&gt;40%)"))))</f>
        <v/>
      </c>
      <c r="Y9063" s="23" t="str">
        <f aca="false">IF(AND(ISNUMBER(C9063),ISNUMBER(D9063)),D9063-C9063,"")</f>
        <v/>
      </c>
      <c r="Z9063" s="23" t="str">
        <f aca="false">IF(B9063="","",IF(MATCH(B9063,$B$2:$B$12000,0)=ROW()-1,1,0))</f>
        <v/>
      </c>
    </row>
    <row r="9064" customFormat="false" ht="15" hidden="false" customHeight="false" outlineLevel="0" collapsed="false">
      <c r="V9064" s="23" t="str">
        <f aca="false">IF(ISNUMBER(C9064),YEAR(C9064),"")</f>
        <v/>
      </c>
      <c r="W9064" s="23" t="str">
        <f aca="false">IF(ISNUMBER(C9064),MONTH(C9064),"")</f>
        <v/>
      </c>
      <c r="X9064" s="23" t="str">
        <f aca="false">IF(T9064="","",IF(T9064=0,"No discount",IF(T9064&lt;=0.2,"Low (1-20%)",IF(T9064&lt;=0.4,"Medium (21-40%)","High (&gt;40%)"))))</f>
        <v/>
      </c>
      <c r="Y9064" s="23" t="str">
        <f aca="false">IF(AND(ISNUMBER(C9064),ISNUMBER(D9064)),D9064-C9064,"")</f>
        <v/>
      </c>
      <c r="Z9064" s="23" t="str">
        <f aca="false">IF(B9064="","",IF(MATCH(B9064,$B$2:$B$12000,0)=ROW()-1,1,0))</f>
        <v/>
      </c>
    </row>
    <row r="9065" customFormat="false" ht="15" hidden="false" customHeight="false" outlineLevel="0" collapsed="false">
      <c r="V9065" s="23" t="str">
        <f aca="false">IF(ISNUMBER(C9065),YEAR(C9065),"")</f>
        <v/>
      </c>
      <c r="W9065" s="23" t="str">
        <f aca="false">IF(ISNUMBER(C9065),MONTH(C9065),"")</f>
        <v/>
      </c>
      <c r="X9065" s="23" t="str">
        <f aca="false">IF(T9065="","",IF(T9065=0,"No discount",IF(T9065&lt;=0.2,"Low (1-20%)",IF(T9065&lt;=0.4,"Medium (21-40%)","High (&gt;40%)"))))</f>
        <v/>
      </c>
      <c r="Y9065" s="23" t="str">
        <f aca="false">IF(AND(ISNUMBER(C9065),ISNUMBER(D9065)),D9065-C9065,"")</f>
        <v/>
      </c>
      <c r="Z9065" s="23" t="str">
        <f aca="false">IF(B9065="","",IF(MATCH(B9065,$B$2:$B$12000,0)=ROW()-1,1,0))</f>
        <v/>
      </c>
    </row>
    <row r="9066" customFormat="false" ht="15" hidden="false" customHeight="false" outlineLevel="0" collapsed="false">
      <c r="V9066" s="23" t="str">
        <f aca="false">IF(ISNUMBER(C9066),YEAR(C9066),"")</f>
        <v/>
      </c>
      <c r="W9066" s="23" t="str">
        <f aca="false">IF(ISNUMBER(C9066),MONTH(C9066),"")</f>
        <v/>
      </c>
      <c r="X9066" s="23" t="str">
        <f aca="false">IF(T9066="","",IF(T9066=0,"No discount",IF(T9066&lt;=0.2,"Low (1-20%)",IF(T9066&lt;=0.4,"Medium (21-40%)","High (&gt;40%)"))))</f>
        <v/>
      </c>
      <c r="Y9066" s="23" t="str">
        <f aca="false">IF(AND(ISNUMBER(C9066),ISNUMBER(D9066)),D9066-C9066,"")</f>
        <v/>
      </c>
      <c r="Z9066" s="23" t="str">
        <f aca="false">IF(B9066="","",IF(MATCH(B9066,$B$2:$B$12000,0)=ROW()-1,1,0))</f>
        <v/>
      </c>
    </row>
    <row r="9067" customFormat="false" ht="15" hidden="false" customHeight="false" outlineLevel="0" collapsed="false">
      <c r="V9067" s="23" t="str">
        <f aca="false">IF(ISNUMBER(C9067),YEAR(C9067),"")</f>
        <v/>
      </c>
      <c r="W9067" s="23" t="str">
        <f aca="false">IF(ISNUMBER(C9067),MONTH(C9067),"")</f>
        <v/>
      </c>
      <c r="X9067" s="23" t="str">
        <f aca="false">IF(T9067="","",IF(T9067=0,"No discount",IF(T9067&lt;=0.2,"Low (1-20%)",IF(T9067&lt;=0.4,"Medium (21-40%)","High (&gt;40%)"))))</f>
        <v/>
      </c>
      <c r="Y9067" s="23" t="str">
        <f aca="false">IF(AND(ISNUMBER(C9067),ISNUMBER(D9067)),D9067-C9067,"")</f>
        <v/>
      </c>
      <c r="Z9067" s="23" t="str">
        <f aca="false">IF(B9067="","",IF(MATCH(B9067,$B$2:$B$12000,0)=ROW()-1,1,0))</f>
        <v/>
      </c>
    </row>
    <row r="9068" customFormat="false" ht="15" hidden="false" customHeight="false" outlineLevel="0" collapsed="false">
      <c r="V9068" s="23" t="str">
        <f aca="false">IF(ISNUMBER(C9068),YEAR(C9068),"")</f>
        <v/>
      </c>
      <c r="W9068" s="23" t="str">
        <f aca="false">IF(ISNUMBER(C9068),MONTH(C9068),"")</f>
        <v/>
      </c>
      <c r="X9068" s="23" t="str">
        <f aca="false">IF(T9068="","",IF(T9068=0,"No discount",IF(T9068&lt;=0.2,"Low (1-20%)",IF(T9068&lt;=0.4,"Medium (21-40%)","High (&gt;40%)"))))</f>
        <v/>
      </c>
      <c r="Y9068" s="23" t="str">
        <f aca="false">IF(AND(ISNUMBER(C9068),ISNUMBER(D9068)),D9068-C9068,"")</f>
        <v/>
      </c>
      <c r="Z9068" s="23" t="str">
        <f aca="false">IF(B9068="","",IF(MATCH(B9068,$B$2:$B$12000,0)=ROW()-1,1,0))</f>
        <v/>
      </c>
    </row>
    <row r="9069" customFormat="false" ht="15" hidden="false" customHeight="false" outlineLevel="0" collapsed="false">
      <c r="V9069" s="23" t="str">
        <f aca="false">IF(ISNUMBER(C9069),YEAR(C9069),"")</f>
        <v/>
      </c>
      <c r="W9069" s="23" t="str">
        <f aca="false">IF(ISNUMBER(C9069),MONTH(C9069),"")</f>
        <v/>
      </c>
      <c r="X9069" s="23" t="str">
        <f aca="false">IF(T9069="","",IF(T9069=0,"No discount",IF(T9069&lt;=0.2,"Low (1-20%)",IF(T9069&lt;=0.4,"Medium (21-40%)","High (&gt;40%)"))))</f>
        <v/>
      </c>
      <c r="Y9069" s="23" t="str">
        <f aca="false">IF(AND(ISNUMBER(C9069),ISNUMBER(D9069)),D9069-C9069,"")</f>
        <v/>
      </c>
      <c r="Z9069" s="23" t="str">
        <f aca="false">IF(B9069="","",IF(MATCH(B9069,$B$2:$B$12000,0)=ROW()-1,1,0))</f>
        <v/>
      </c>
    </row>
    <row r="9070" customFormat="false" ht="15" hidden="false" customHeight="false" outlineLevel="0" collapsed="false">
      <c r="V9070" s="23" t="str">
        <f aca="false">IF(ISNUMBER(C9070),YEAR(C9070),"")</f>
        <v/>
      </c>
      <c r="W9070" s="23" t="str">
        <f aca="false">IF(ISNUMBER(C9070),MONTH(C9070),"")</f>
        <v/>
      </c>
      <c r="X9070" s="23" t="str">
        <f aca="false">IF(T9070="","",IF(T9070=0,"No discount",IF(T9070&lt;=0.2,"Low (1-20%)",IF(T9070&lt;=0.4,"Medium (21-40%)","High (&gt;40%)"))))</f>
        <v/>
      </c>
      <c r="Y9070" s="23" t="str">
        <f aca="false">IF(AND(ISNUMBER(C9070),ISNUMBER(D9070)),D9070-C9070,"")</f>
        <v/>
      </c>
      <c r="Z9070" s="23" t="str">
        <f aca="false">IF(B9070="","",IF(MATCH(B9070,$B$2:$B$12000,0)=ROW()-1,1,0))</f>
        <v/>
      </c>
    </row>
    <row r="9071" customFormat="false" ht="15" hidden="false" customHeight="false" outlineLevel="0" collapsed="false">
      <c r="V9071" s="23" t="str">
        <f aca="false">IF(ISNUMBER(C9071),YEAR(C9071),"")</f>
        <v/>
      </c>
      <c r="W9071" s="23" t="str">
        <f aca="false">IF(ISNUMBER(C9071),MONTH(C9071),"")</f>
        <v/>
      </c>
      <c r="X9071" s="23" t="str">
        <f aca="false">IF(T9071="","",IF(T9071=0,"No discount",IF(T9071&lt;=0.2,"Low (1-20%)",IF(T9071&lt;=0.4,"Medium (21-40%)","High (&gt;40%)"))))</f>
        <v/>
      </c>
      <c r="Y9071" s="23" t="str">
        <f aca="false">IF(AND(ISNUMBER(C9071),ISNUMBER(D9071)),D9071-C9071,"")</f>
        <v/>
      </c>
      <c r="Z9071" s="23" t="str">
        <f aca="false">IF(B9071="","",IF(MATCH(B9071,$B$2:$B$12000,0)=ROW()-1,1,0))</f>
        <v/>
      </c>
    </row>
    <row r="9072" customFormat="false" ht="15" hidden="false" customHeight="false" outlineLevel="0" collapsed="false">
      <c r="V9072" s="23" t="str">
        <f aca="false">IF(ISNUMBER(C9072),YEAR(C9072),"")</f>
        <v/>
      </c>
      <c r="W9072" s="23" t="str">
        <f aca="false">IF(ISNUMBER(C9072),MONTH(C9072),"")</f>
        <v/>
      </c>
      <c r="X9072" s="23" t="str">
        <f aca="false">IF(T9072="","",IF(T9072=0,"No discount",IF(T9072&lt;=0.2,"Low (1-20%)",IF(T9072&lt;=0.4,"Medium (21-40%)","High (&gt;40%)"))))</f>
        <v/>
      </c>
      <c r="Y9072" s="23" t="str">
        <f aca="false">IF(AND(ISNUMBER(C9072),ISNUMBER(D9072)),D9072-C9072,"")</f>
        <v/>
      </c>
      <c r="Z9072" s="23" t="str">
        <f aca="false">IF(B9072="","",IF(MATCH(B9072,$B$2:$B$12000,0)=ROW()-1,1,0))</f>
        <v/>
      </c>
    </row>
    <row r="9073" customFormat="false" ht="15" hidden="false" customHeight="false" outlineLevel="0" collapsed="false">
      <c r="V9073" s="23" t="str">
        <f aca="false">IF(ISNUMBER(C9073),YEAR(C9073),"")</f>
        <v/>
      </c>
      <c r="W9073" s="23" t="str">
        <f aca="false">IF(ISNUMBER(C9073),MONTH(C9073),"")</f>
        <v/>
      </c>
      <c r="X9073" s="23" t="str">
        <f aca="false">IF(T9073="","",IF(T9073=0,"No discount",IF(T9073&lt;=0.2,"Low (1-20%)",IF(T9073&lt;=0.4,"Medium (21-40%)","High (&gt;40%)"))))</f>
        <v/>
      </c>
      <c r="Y9073" s="23" t="str">
        <f aca="false">IF(AND(ISNUMBER(C9073),ISNUMBER(D9073)),D9073-C9073,"")</f>
        <v/>
      </c>
      <c r="Z9073" s="23" t="str">
        <f aca="false">IF(B9073="","",IF(MATCH(B9073,$B$2:$B$12000,0)=ROW()-1,1,0))</f>
        <v/>
      </c>
    </row>
    <row r="9074" customFormat="false" ht="15" hidden="false" customHeight="false" outlineLevel="0" collapsed="false">
      <c r="V9074" s="23" t="str">
        <f aca="false">IF(ISNUMBER(C9074),YEAR(C9074),"")</f>
        <v/>
      </c>
      <c r="W9074" s="23" t="str">
        <f aca="false">IF(ISNUMBER(C9074),MONTH(C9074),"")</f>
        <v/>
      </c>
      <c r="X9074" s="23" t="str">
        <f aca="false">IF(T9074="","",IF(T9074=0,"No discount",IF(T9074&lt;=0.2,"Low (1-20%)",IF(T9074&lt;=0.4,"Medium (21-40%)","High (&gt;40%)"))))</f>
        <v/>
      </c>
      <c r="Y9074" s="23" t="str">
        <f aca="false">IF(AND(ISNUMBER(C9074),ISNUMBER(D9074)),D9074-C9074,"")</f>
        <v/>
      </c>
      <c r="Z9074" s="23" t="str">
        <f aca="false">IF(B9074="","",IF(MATCH(B9074,$B$2:$B$12000,0)=ROW()-1,1,0))</f>
        <v/>
      </c>
    </row>
    <row r="9075" customFormat="false" ht="15" hidden="false" customHeight="false" outlineLevel="0" collapsed="false">
      <c r="V9075" s="23" t="str">
        <f aca="false">IF(ISNUMBER(C9075),YEAR(C9075),"")</f>
        <v/>
      </c>
      <c r="W9075" s="23" t="str">
        <f aca="false">IF(ISNUMBER(C9075),MONTH(C9075),"")</f>
        <v/>
      </c>
      <c r="X9075" s="23" t="str">
        <f aca="false">IF(T9075="","",IF(T9075=0,"No discount",IF(T9075&lt;=0.2,"Low (1-20%)",IF(T9075&lt;=0.4,"Medium (21-40%)","High (&gt;40%)"))))</f>
        <v/>
      </c>
      <c r="Y9075" s="23" t="str">
        <f aca="false">IF(AND(ISNUMBER(C9075),ISNUMBER(D9075)),D9075-C9075,"")</f>
        <v/>
      </c>
      <c r="Z9075" s="23" t="str">
        <f aca="false">IF(B9075="","",IF(MATCH(B9075,$B$2:$B$12000,0)=ROW()-1,1,0))</f>
        <v/>
      </c>
    </row>
    <row r="9076" customFormat="false" ht="15" hidden="false" customHeight="false" outlineLevel="0" collapsed="false">
      <c r="V9076" s="23" t="str">
        <f aca="false">IF(ISNUMBER(C9076),YEAR(C9076),"")</f>
        <v/>
      </c>
      <c r="W9076" s="23" t="str">
        <f aca="false">IF(ISNUMBER(C9076),MONTH(C9076),"")</f>
        <v/>
      </c>
      <c r="X9076" s="23" t="str">
        <f aca="false">IF(T9076="","",IF(T9076=0,"No discount",IF(T9076&lt;=0.2,"Low (1-20%)",IF(T9076&lt;=0.4,"Medium (21-40%)","High (&gt;40%)"))))</f>
        <v/>
      </c>
      <c r="Y9076" s="23" t="str">
        <f aca="false">IF(AND(ISNUMBER(C9076),ISNUMBER(D9076)),D9076-C9076,"")</f>
        <v/>
      </c>
      <c r="Z9076" s="23" t="str">
        <f aca="false">IF(B9076="","",IF(MATCH(B9076,$B$2:$B$12000,0)=ROW()-1,1,0))</f>
        <v/>
      </c>
    </row>
    <row r="9077" customFormat="false" ht="15" hidden="false" customHeight="false" outlineLevel="0" collapsed="false">
      <c r="V9077" s="23" t="str">
        <f aca="false">IF(ISNUMBER(C9077),YEAR(C9077),"")</f>
        <v/>
      </c>
      <c r="W9077" s="23" t="str">
        <f aca="false">IF(ISNUMBER(C9077),MONTH(C9077),"")</f>
        <v/>
      </c>
      <c r="X9077" s="23" t="str">
        <f aca="false">IF(T9077="","",IF(T9077=0,"No discount",IF(T9077&lt;=0.2,"Low (1-20%)",IF(T9077&lt;=0.4,"Medium (21-40%)","High (&gt;40%)"))))</f>
        <v/>
      </c>
      <c r="Y9077" s="23" t="str">
        <f aca="false">IF(AND(ISNUMBER(C9077),ISNUMBER(D9077)),D9077-C9077,"")</f>
        <v/>
      </c>
      <c r="Z9077" s="23" t="str">
        <f aca="false">IF(B9077="","",IF(MATCH(B9077,$B$2:$B$12000,0)=ROW()-1,1,0))</f>
        <v/>
      </c>
    </row>
    <row r="9078" customFormat="false" ht="15" hidden="false" customHeight="false" outlineLevel="0" collapsed="false">
      <c r="V9078" s="23" t="str">
        <f aca="false">IF(ISNUMBER(C9078),YEAR(C9078),"")</f>
        <v/>
      </c>
      <c r="W9078" s="23" t="str">
        <f aca="false">IF(ISNUMBER(C9078),MONTH(C9078),"")</f>
        <v/>
      </c>
      <c r="X9078" s="23" t="str">
        <f aca="false">IF(T9078="","",IF(T9078=0,"No discount",IF(T9078&lt;=0.2,"Low (1-20%)",IF(T9078&lt;=0.4,"Medium (21-40%)","High (&gt;40%)"))))</f>
        <v/>
      </c>
      <c r="Y9078" s="23" t="str">
        <f aca="false">IF(AND(ISNUMBER(C9078),ISNUMBER(D9078)),D9078-C9078,"")</f>
        <v/>
      </c>
      <c r="Z9078" s="23" t="str">
        <f aca="false">IF(B9078="","",IF(MATCH(B9078,$B$2:$B$12000,0)=ROW()-1,1,0))</f>
        <v/>
      </c>
    </row>
    <row r="9079" customFormat="false" ht="15" hidden="false" customHeight="false" outlineLevel="0" collapsed="false">
      <c r="V9079" s="23" t="str">
        <f aca="false">IF(ISNUMBER(C9079),YEAR(C9079),"")</f>
        <v/>
      </c>
      <c r="W9079" s="23" t="str">
        <f aca="false">IF(ISNUMBER(C9079),MONTH(C9079),"")</f>
        <v/>
      </c>
      <c r="X9079" s="23" t="str">
        <f aca="false">IF(T9079="","",IF(T9079=0,"No discount",IF(T9079&lt;=0.2,"Low (1-20%)",IF(T9079&lt;=0.4,"Medium (21-40%)","High (&gt;40%)"))))</f>
        <v/>
      </c>
      <c r="Y9079" s="23" t="str">
        <f aca="false">IF(AND(ISNUMBER(C9079),ISNUMBER(D9079)),D9079-C9079,"")</f>
        <v/>
      </c>
      <c r="Z9079" s="23" t="str">
        <f aca="false">IF(B9079="","",IF(MATCH(B9079,$B$2:$B$12000,0)=ROW()-1,1,0))</f>
        <v/>
      </c>
    </row>
    <row r="9080" customFormat="false" ht="15" hidden="false" customHeight="false" outlineLevel="0" collapsed="false">
      <c r="V9080" s="23" t="str">
        <f aca="false">IF(ISNUMBER(C9080),YEAR(C9080),"")</f>
        <v/>
      </c>
      <c r="W9080" s="23" t="str">
        <f aca="false">IF(ISNUMBER(C9080),MONTH(C9080),"")</f>
        <v/>
      </c>
      <c r="X9080" s="23" t="str">
        <f aca="false">IF(T9080="","",IF(T9080=0,"No discount",IF(T9080&lt;=0.2,"Low (1-20%)",IF(T9080&lt;=0.4,"Medium (21-40%)","High (&gt;40%)"))))</f>
        <v/>
      </c>
      <c r="Y9080" s="23" t="str">
        <f aca="false">IF(AND(ISNUMBER(C9080),ISNUMBER(D9080)),D9080-C9080,"")</f>
        <v/>
      </c>
      <c r="Z9080" s="23" t="str">
        <f aca="false">IF(B9080="","",IF(MATCH(B9080,$B$2:$B$12000,0)=ROW()-1,1,0))</f>
        <v/>
      </c>
    </row>
    <row r="9081" customFormat="false" ht="15" hidden="false" customHeight="false" outlineLevel="0" collapsed="false">
      <c r="V9081" s="23" t="str">
        <f aca="false">IF(ISNUMBER(C9081),YEAR(C9081),"")</f>
        <v/>
      </c>
      <c r="W9081" s="23" t="str">
        <f aca="false">IF(ISNUMBER(C9081),MONTH(C9081),"")</f>
        <v/>
      </c>
      <c r="X9081" s="23" t="str">
        <f aca="false">IF(T9081="","",IF(T9081=0,"No discount",IF(T9081&lt;=0.2,"Low (1-20%)",IF(T9081&lt;=0.4,"Medium (21-40%)","High (&gt;40%)"))))</f>
        <v/>
      </c>
      <c r="Y9081" s="23" t="str">
        <f aca="false">IF(AND(ISNUMBER(C9081),ISNUMBER(D9081)),D9081-C9081,"")</f>
        <v/>
      </c>
      <c r="Z9081" s="23" t="str">
        <f aca="false">IF(B9081="","",IF(MATCH(B9081,$B$2:$B$12000,0)=ROW()-1,1,0))</f>
        <v/>
      </c>
    </row>
    <row r="9082" customFormat="false" ht="15" hidden="false" customHeight="false" outlineLevel="0" collapsed="false">
      <c r="V9082" s="23" t="str">
        <f aca="false">IF(ISNUMBER(C9082),YEAR(C9082),"")</f>
        <v/>
      </c>
      <c r="W9082" s="23" t="str">
        <f aca="false">IF(ISNUMBER(C9082),MONTH(C9082),"")</f>
        <v/>
      </c>
      <c r="X9082" s="23" t="str">
        <f aca="false">IF(T9082="","",IF(T9082=0,"No discount",IF(T9082&lt;=0.2,"Low (1-20%)",IF(T9082&lt;=0.4,"Medium (21-40%)","High (&gt;40%)"))))</f>
        <v/>
      </c>
      <c r="Y9082" s="23" t="str">
        <f aca="false">IF(AND(ISNUMBER(C9082),ISNUMBER(D9082)),D9082-C9082,"")</f>
        <v/>
      </c>
      <c r="Z9082" s="23" t="str">
        <f aca="false">IF(B9082="","",IF(MATCH(B9082,$B$2:$B$12000,0)=ROW()-1,1,0))</f>
        <v/>
      </c>
    </row>
    <row r="9083" customFormat="false" ht="15" hidden="false" customHeight="false" outlineLevel="0" collapsed="false">
      <c r="V9083" s="23" t="str">
        <f aca="false">IF(ISNUMBER(C9083),YEAR(C9083),"")</f>
        <v/>
      </c>
      <c r="W9083" s="23" t="str">
        <f aca="false">IF(ISNUMBER(C9083),MONTH(C9083),"")</f>
        <v/>
      </c>
      <c r="X9083" s="23" t="str">
        <f aca="false">IF(T9083="","",IF(T9083=0,"No discount",IF(T9083&lt;=0.2,"Low (1-20%)",IF(T9083&lt;=0.4,"Medium (21-40%)","High (&gt;40%)"))))</f>
        <v/>
      </c>
      <c r="Y9083" s="23" t="str">
        <f aca="false">IF(AND(ISNUMBER(C9083),ISNUMBER(D9083)),D9083-C9083,"")</f>
        <v/>
      </c>
      <c r="Z9083" s="23" t="str">
        <f aca="false">IF(B9083="","",IF(MATCH(B9083,$B$2:$B$12000,0)=ROW()-1,1,0))</f>
        <v/>
      </c>
    </row>
    <row r="9084" customFormat="false" ht="15" hidden="false" customHeight="false" outlineLevel="0" collapsed="false">
      <c r="V9084" s="23" t="str">
        <f aca="false">IF(ISNUMBER(C9084),YEAR(C9084),"")</f>
        <v/>
      </c>
      <c r="W9084" s="23" t="str">
        <f aca="false">IF(ISNUMBER(C9084),MONTH(C9084),"")</f>
        <v/>
      </c>
      <c r="X9084" s="23" t="str">
        <f aca="false">IF(T9084="","",IF(T9084=0,"No discount",IF(T9084&lt;=0.2,"Low (1-20%)",IF(T9084&lt;=0.4,"Medium (21-40%)","High (&gt;40%)"))))</f>
        <v/>
      </c>
      <c r="Y9084" s="23" t="str">
        <f aca="false">IF(AND(ISNUMBER(C9084),ISNUMBER(D9084)),D9084-C9084,"")</f>
        <v/>
      </c>
      <c r="Z9084" s="23" t="str">
        <f aca="false">IF(B9084="","",IF(MATCH(B9084,$B$2:$B$12000,0)=ROW()-1,1,0))</f>
        <v/>
      </c>
    </row>
    <row r="9085" customFormat="false" ht="15" hidden="false" customHeight="false" outlineLevel="0" collapsed="false">
      <c r="V9085" s="23" t="str">
        <f aca="false">IF(ISNUMBER(C9085),YEAR(C9085),"")</f>
        <v/>
      </c>
      <c r="W9085" s="23" t="str">
        <f aca="false">IF(ISNUMBER(C9085),MONTH(C9085),"")</f>
        <v/>
      </c>
      <c r="X9085" s="23" t="str">
        <f aca="false">IF(T9085="","",IF(T9085=0,"No discount",IF(T9085&lt;=0.2,"Low (1-20%)",IF(T9085&lt;=0.4,"Medium (21-40%)","High (&gt;40%)"))))</f>
        <v/>
      </c>
      <c r="Y9085" s="23" t="str">
        <f aca="false">IF(AND(ISNUMBER(C9085),ISNUMBER(D9085)),D9085-C9085,"")</f>
        <v/>
      </c>
      <c r="Z9085" s="23" t="str">
        <f aca="false">IF(B9085="","",IF(MATCH(B9085,$B$2:$B$12000,0)=ROW()-1,1,0))</f>
        <v/>
      </c>
    </row>
    <row r="9086" customFormat="false" ht="15" hidden="false" customHeight="false" outlineLevel="0" collapsed="false">
      <c r="V9086" s="23" t="str">
        <f aca="false">IF(ISNUMBER(C9086),YEAR(C9086),"")</f>
        <v/>
      </c>
      <c r="W9086" s="23" t="str">
        <f aca="false">IF(ISNUMBER(C9086),MONTH(C9086),"")</f>
        <v/>
      </c>
      <c r="X9086" s="23" t="str">
        <f aca="false">IF(T9086="","",IF(T9086=0,"No discount",IF(T9086&lt;=0.2,"Low (1-20%)",IF(T9086&lt;=0.4,"Medium (21-40%)","High (&gt;40%)"))))</f>
        <v/>
      </c>
      <c r="Y9086" s="23" t="str">
        <f aca="false">IF(AND(ISNUMBER(C9086),ISNUMBER(D9086)),D9086-C9086,"")</f>
        <v/>
      </c>
      <c r="Z9086" s="23" t="str">
        <f aca="false">IF(B9086="","",IF(MATCH(B9086,$B$2:$B$12000,0)=ROW()-1,1,0))</f>
        <v/>
      </c>
    </row>
    <row r="9087" customFormat="false" ht="15" hidden="false" customHeight="false" outlineLevel="0" collapsed="false">
      <c r="V9087" s="23" t="str">
        <f aca="false">IF(ISNUMBER(C9087),YEAR(C9087),"")</f>
        <v/>
      </c>
      <c r="W9087" s="23" t="str">
        <f aca="false">IF(ISNUMBER(C9087),MONTH(C9087),"")</f>
        <v/>
      </c>
      <c r="X9087" s="23" t="str">
        <f aca="false">IF(T9087="","",IF(T9087=0,"No discount",IF(T9087&lt;=0.2,"Low (1-20%)",IF(T9087&lt;=0.4,"Medium (21-40%)","High (&gt;40%)"))))</f>
        <v/>
      </c>
      <c r="Y9087" s="23" t="str">
        <f aca="false">IF(AND(ISNUMBER(C9087),ISNUMBER(D9087)),D9087-C9087,"")</f>
        <v/>
      </c>
      <c r="Z9087" s="23" t="str">
        <f aca="false">IF(B9087="","",IF(MATCH(B9087,$B$2:$B$12000,0)=ROW()-1,1,0))</f>
        <v/>
      </c>
    </row>
    <row r="9088" customFormat="false" ht="15" hidden="false" customHeight="false" outlineLevel="0" collapsed="false">
      <c r="V9088" s="23" t="str">
        <f aca="false">IF(ISNUMBER(C9088),YEAR(C9088),"")</f>
        <v/>
      </c>
      <c r="W9088" s="23" t="str">
        <f aca="false">IF(ISNUMBER(C9088),MONTH(C9088),"")</f>
        <v/>
      </c>
      <c r="X9088" s="23" t="str">
        <f aca="false">IF(T9088="","",IF(T9088=0,"No discount",IF(T9088&lt;=0.2,"Low (1-20%)",IF(T9088&lt;=0.4,"Medium (21-40%)","High (&gt;40%)"))))</f>
        <v/>
      </c>
      <c r="Y9088" s="23" t="str">
        <f aca="false">IF(AND(ISNUMBER(C9088),ISNUMBER(D9088)),D9088-C9088,"")</f>
        <v/>
      </c>
      <c r="Z9088" s="23" t="str">
        <f aca="false">IF(B9088="","",IF(MATCH(B9088,$B$2:$B$12000,0)=ROW()-1,1,0))</f>
        <v/>
      </c>
    </row>
    <row r="9089" customFormat="false" ht="15" hidden="false" customHeight="false" outlineLevel="0" collapsed="false">
      <c r="V9089" s="23" t="str">
        <f aca="false">IF(ISNUMBER(C9089),YEAR(C9089),"")</f>
        <v/>
      </c>
      <c r="W9089" s="23" t="str">
        <f aca="false">IF(ISNUMBER(C9089),MONTH(C9089),"")</f>
        <v/>
      </c>
      <c r="X9089" s="23" t="str">
        <f aca="false">IF(T9089="","",IF(T9089=0,"No discount",IF(T9089&lt;=0.2,"Low (1-20%)",IF(T9089&lt;=0.4,"Medium (21-40%)","High (&gt;40%)"))))</f>
        <v/>
      </c>
      <c r="Y9089" s="23" t="str">
        <f aca="false">IF(AND(ISNUMBER(C9089),ISNUMBER(D9089)),D9089-C9089,"")</f>
        <v/>
      </c>
      <c r="Z9089" s="23" t="str">
        <f aca="false">IF(B9089="","",IF(MATCH(B9089,$B$2:$B$12000,0)=ROW()-1,1,0))</f>
        <v/>
      </c>
    </row>
    <row r="9090" customFormat="false" ht="15" hidden="false" customHeight="false" outlineLevel="0" collapsed="false">
      <c r="V9090" s="23" t="str">
        <f aca="false">IF(ISNUMBER(C9090),YEAR(C9090),"")</f>
        <v/>
      </c>
      <c r="W9090" s="23" t="str">
        <f aca="false">IF(ISNUMBER(C9090),MONTH(C9090),"")</f>
        <v/>
      </c>
      <c r="X9090" s="23" t="str">
        <f aca="false">IF(T9090="","",IF(T9090=0,"No discount",IF(T9090&lt;=0.2,"Low (1-20%)",IF(T9090&lt;=0.4,"Medium (21-40%)","High (&gt;40%)"))))</f>
        <v/>
      </c>
      <c r="Y9090" s="23" t="str">
        <f aca="false">IF(AND(ISNUMBER(C9090),ISNUMBER(D9090)),D9090-C9090,"")</f>
        <v/>
      </c>
      <c r="Z9090" s="23" t="str">
        <f aca="false">IF(B9090="","",IF(MATCH(B9090,$B$2:$B$12000,0)=ROW()-1,1,0))</f>
        <v/>
      </c>
    </row>
    <row r="9091" customFormat="false" ht="15" hidden="false" customHeight="false" outlineLevel="0" collapsed="false">
      <c r="V9091" s="23" t="str">
        <f aca="false">IF(ISNUMBER(C9091),YEAR(C9091),"")</f>
        <v/>
      </c>
      <c r="W9091" s="23" t="str">
        <f aca="false">IF(ISNUMBER(C9091),MONTH(C9091),"")</f>
        <v/>
      </c>
      <c r="X9091" s="23" t="str">
        <f aca="false">IF(T9091="","",IF(T9091=0,"No discount",IF(T9091&lt;=0.2,"Low (1-20%)",IF(T9091&lt;=0.4,"Medium (21-40%)","High (&gt;40%)"))))</f>
        <v/>
      </c>
      <c r="Y9091" s="23" t="str">
        <f aca="false">IF(AND(ISNUMBER(C9091),ISNUMBER(D9091)),D9091-C9091,"")</f>
        <v/>
      </c>
      <c r="Z9091" s="23" t="str">
        <f aca="false">IF(B9091="","",IF(MATCH(B9091,$B$2:$B$12000,0)=ROW()-1,1,0))</f>
        <v/>
      </c>
    </row>
    <row r="9092" customFormat="false" ht="15" hidden="false" customHeight="false" outlineLevel="0" collapsed="false">
      <c r="V9092" s="23" t="str">
        <f aca="false">IF(ISNUMBER(C9092),YEAR(C9092),"")</f>
        <v/>
      </c>
      <c r="W9092" s="23" t="str">
        <f aca="false">IF(ISNUMBER(C9092),MONTH(C9092),"")</f>
        <v/>
      </c>
      <c r="X9092" s="23" t="str">
        <f aca="false">IF(T9092="","",IF(T9092=0,"No discount",IF(T9092&lt;=0.2,"Low (1-20%)",IF(T9092&lt;=0.4,"Medium (21-40%)","High (&gt;40%)"))))</f>
        <v/>
      </c>
      <c r="Y9092" s="23" t="str">
        <f aca="false">IF(AND(ISNUMBER(C9092),ISNUMBER(D9092)),D9092-C9092,"")</f>
        <v/>
      </c>
      <c r="Z9092" s="23" t="str">
        <f aca="false">IF(B9092="","",IF(MATCH(B9092,$B$2:$B$12000,0)=ROW()-1,1,0))</f>
        <v/>
      </c>
    </row>
    <row r="9093" customFormat="false" ht="15" hidden="false" customHeight="false" outlineLevel="0" collapsed="false">
      <c r="V9093" s="23" t="str">
        <f aca="false">IF(ISNUMBER(C9093),YEAR(C9093),"")</f>
        <v/>
      </c>
      <c r="W9093" s="23" t="str">
        <f aca="false">IF(ISNUMBER(C9093),MONTH(C9093),"")</f>
        <v/>
      </c>
      <c r="X9093" s="23" t="str">
        <f aca="false">IF(T9093="","",IF(T9093=0,"No discount",IF(T9093&lt;=0.2,"Low (1-20%)",IF(T9093&lt;=0.4,"Medium (21-40%)","High (&gt;40%)"))))</f>
        <v/>
      </c>
      <c r="Y9093" s="23" t="str">
        <f aca="false">IF(AND(ISNUMBER(C9093),ISNUMBER(D9093)),D9093-C9093,"")</f>
        <v/>
      </c>
      <c r="Z9093" s="23" t="str">
        <f aca="false">IF(B9093="","",IF(MATCH(B9093,$B$2:$B$12000,0)=ROW()-1,1,0))</f>
        <v/>
      </c>
    </row>
    <row r="9094" customFormat="false" ht="15" hidden="false" customHeight="false" outlineLevel="0" collapsed="false">
      <c r="V9094" s="23" t="str">
        <f aca="false">IF(ISNUMBER(C9094),YEAR(C9094),"")</f>
        <v/>
      </c>
      <c r="W9094" s="23" t="str">
        <f aca="false">IF(ISNUMBER(C9094),MONTH(C9094),"")</f>
        <v/>
      </c>
      <c r="X9094" s="23" t="str">
        <f aca="false">IF(T9094="","",IF(T9094=0,"No discount",IF(T9094&lt;=0.2,"Low (1-20%)",IF(T9094&lt;=0.4,"Medium (21-40%)","High (&gt;40%)"))))</f>
        <v/>
      </c>
      <c r="Y9094" s="23" t="str">
        <f aca="false">IF(AND(ISNUMBER(C9094),ISNUMBER(D9094)),D9094-C9094,"")</f>
        <v/>
      </c>
      <c r="Z9094" s="23" t="str">
        <f aca="false">IF(B9094="","",IF(MATCH(B9094,$B$2:$B$12000,0)=ROW()-1,1,0))</f>
        <v/>
      </c>
    </row>
    <row r="9095" customFormat="false" ht="15" hidden="false" customHeight="false" outlineLevel="0" collapsed="false">
      <c r="V9095" s="23" t="str">
        <f aca="false">IF(ISNUMBER(C9095),YEAR(C9095),"")</f>
        <v/>
      </c>
      <c r="W9095" s="23" t="str">
        <f aca="false">IF(ISNUMBER(C9095),MONTH(C9095),"")</f>
        <v/>
      </c>
      <c r="X9095" s="23" t="str">
        <f aca="false">IF(T9095="","",IF(T9095=0,"No discount",IF(T9095&lt;=0.2,"Low (1-20%)",IF(T9095&lt;=0.4,"Medium (21-40%)","High (&gt;40%)"))))</f>
        <v/>
      </c>
      <c r="Y9095" s="23" t="str">
        <f aca="false">IF(AND(ISNUMBER(C9095),ISNUMBER(D9095)),D9095-C9095,"")</f>
        <v/>
      </c>
      <c r="Z9095" s="23" t="str">
        <f aca="false">IF(B9095="","",IF(MATCH(B9095,$B$2:$B$12000,0)=ROW()-1,1,0))</f>
        <v/>
      </c>
    </row>
    <row r="9096" customFormat="false" ht="15" hidden="false" customHeight="false" outlineLevel="0" collapsed="false">
      <c r="V9096" s="23" t="str">
        <f aca="false">IF(ISNUMBER(C9096),YEAR(C9096),"")</f>
        <v/>
      </c>
      <c r="W9096" s="23" t="str">
        <f aca="false">IF(ISNUMBER(C9096),MONTH(C9096),"")</f>
        <v/>
      </c>
      <c r="X9096" s="23" t="str">
        <f aca="false">IF(T9096="","",IF(T9096=0,"No discount",IF(T9096&lt;=0.2,"Low (1-20%)",IF(T9096&lt;=0.4,"Medium (21-40%)","High (&gt;40%)"))))</f>
        <v/>
      </c>
      <c r="Y9096" s="23" t="str">
        <f aca="false">IF(AND(ISNUMBER(C9096),ISNUMBER(D9096)),D9096-C9096,"")</f>
        <v/>
      </c>
      <c r="Z9096" s="23" t="str">
        <f aca="false">IF(B9096="","",IF(MATCH(B9096,$B$2:$B$12000,0)=ROW()-1,1,0))</f>
        <v/>
      </c>
    </row>
    <row r="9097" customFormat="false" ht="15" hidden="false" customHeight="false" outlineLevel="0" collapsed="false">
      <c r="V9097" s="23" t="str">
        <f aca="false">IF(ISNUMBER(C9097),YEAR(C9097),"")</f>
        <v/>
      </c>
      <c r="W9097" s="23" t="str">
        <f aca="false">IF(ISNUMBER(C9097),MONTH(C9097),"")</f>
        <v/>
      </c>
      <c r="X9097" s="23" t="str">
        <f aca="false">IF(T9097="","",IF(T9097=0,"No discount",IF(T9097&lt;=0.2,"Low (1-20%)",IF(T9097&lt;=0.4,"Medium (21-40%)","High (&gt;40%)"))))</f>
        <v/>
      </c>
      <c r="Y9097" s="23" t="str">
        <f aca="false">IF(AND(ISNUMBER(C9097),ISNUMBER(D9097)),D9097-C9097,"")</f>
        <v/>
      </c>
      <c r="Z9097" s="23" t="str">
        <f aca="false">IF(B9097="","",IF(MATCH(B9097,$B$2:$B$12000,0)=ROW()-1,1,0))</f>
        <v/>
      </c>
    </row>
    <row r="9098" customFormat="false" ht="15" hidden="false" customHeight="false" outlineLevel="0" collapsed="false">
      <c r="V9098" s="23" t="str">
        <f aca="false">IF(ISNUMBER(C9098),YEAR(C9098),"")</f>
        <v/>
      </c>
      <c r="W9098" s="23" t="str">
        <f aca="false">IF(ISNUMBER(C9098),MONTH(C9098),"")</f>
        <v/>
      </c>
      <c r="X9098" s="23" t="str">
        <f aca="false">IF(T9098="","",IF(T9098=0,"No discount",IF(T9098&lt;=0.2,"Low (1-20%)",IF(T9098&lt;=0.4,"Medium (21-40%)","High (&gt;40%)"))))</f>
        <v/>
      </c>
      <c r="Y9098" s="23" t="str">
        <f aca="false">IF(AND(ISNUMBER(C9098),ISNUMBER(D9098)),D9098-C9098,"")</f>
        <v/>
      </c>
      <c r="Z9098" s="23" t="str">
        <f aca="false">IF(B9098="","",IF(MATCH(B9098,$B$2:$B$12000,0)=ROW()-1,1,0))</f>
        <v/>
      </c>
    </row>
    <row r="9099" customFormat="false" ht="15" hidden="false" customHeight="false" outlineLevel="0" collapsed="false">
      <c r="V9099" s="23" t="str">
        <f aca="false">IF(ISNUMBER(C9099),YEAR(C9099),"")</f>
        <v/>
      </c>
      <c r="W9099" s="23" t="str">
        <f aca="false">IF(ISNUMBER(C9099),MONTH(C9099),"")</f>
        <v/>
      </c>
      <c r="X9099" s="23" t="str">
        <f aca="false">IF(T9099="","",IF(T9099=0,"No discount",IF(T9099&lt;=0.2,"Low (1-20%)",IF(T9099&lt;=0.4,"Medium (21-40%)","High (&gt;40%)"))))</f>
        <v/>
      </c>
      <c r="Y9099" s="23" t="str">
        <f aca="false">IF(AND(ISNUMBER(C9099),ISNUMBER(D9099)),D9099-C9099,"")</f>
        <v/>
      </c>
      <c r="Z9099" s="23" t="str">
        <f aca="false">IF(B9099="","",IF(MATCH(B9099,$B$2:$B$12000,0)=ROW()-1,1,0))</f>
        <v/>
      </c>
    </row>
    <row r="9100" customFormat="false" ht="15" hidden="false" customHeight="false" outlineLevel="0" collapsed="false">
      <c r="V9100" s="23" t="str">
        <f aca="false">IF(ISNUMBER(C9100),YEAR(C9100),"")</f>
        <v/>
      </c>
      <c r="W9100" s="23" t="str">
        <f aca="false">IF(ISNUMBER(C9100),MONTH(C9100),"")</f>
        <v/>
      </c>
      <c r="X9100" s="23" t="str">
        <f aca="false">IF(T9100="","",IF(T9100=0,"No discount",IF(T9100&lt;=0.2,"Low (1-20%)",IF(T9100&lt;=0.4,"Medium (21-40%)","High (&gt;40%)"))))</f>
        <v/>
      </c>
      <c r="Y9100" s="23" t="str">
        <f aca="false">IF(AND(ISNUMBER(C9100),ISNUMBER(D9100)),D9100-C9100,"")</f>
        <v/>
      </c>
      <c r="Z9100" s="23" t="str">
        <f aca="false">IF(B9100="","",IF(MATCH(B9100,$B$2:$B$12000,0)=ROW()-1,1,0))</f>
        <v/>
      </c>
    </row>
    <row r="9101" customFormat="false" ht="15" hidden="false" customHeight="false" outlineLevel="0" collapsed="false">
      <c r="V9101" s="23" t="str">
        <f aca="false">IF(ISNUMBER(C9101),YEAR(C9101),"")</f>
        <v/>
      </c>
      <c r="W9101" s="23" t="str">
        <f aca="false">IF(ISNUMBER(C9101),MONTH(C9101),"")</f>
        <v/>
      </c>
      <c r="X9101" s="23" t="str">
        <f aca="false">IF(T9101="","",IF(T9101=0,"No discount",IF(T9101&lt;=0.2,"Low (1-20%)",IF(T9101&lt;=0.4,"Medium (21-40%)","High (&gt;40%)"))))</f>
        <v/>
      </c>
      <c r="Y9101" s="23" t="str">
        <f aca="false">IF(AND(ISNUMBER(C9101),ISNUMBER(D9101)),D9101-C9101,"")</f>
        <v/>
      </c>
      <c r="Z9101" s="23" t="str">
        <f aca="false">IF(B9101="","",IF(MATCH(B9101,$B$2:$B$12000,0)=ROW()-1,1,0))</f>
        <v/>
      </c>
    </row>
    <row r="9102" customFormat="false" ht="15" hidden="false" customHeight="false" outlineLevel="0" collapsed="false">
      <c r="V9102" s="23" t="str">
        <f aca="false">IF(ISNUMBER(C9102),YEAR(C9102),"")</f>
        <v/>
      </c>
      <c r="W9102" s="23" t="str">
        <f aca="false">IF(ISNUMBER(C9102),MONTH(C9102),"")</f>
        <v/>
      </c>
      <c r="X9102" s="23" t="str">
        <f aca="false">IF(T9102="","",IF(T9102=0,"No discount",IF(T9102&lt;=0.2,"Low (1-20%)",IF(T9102&lt;=0.4,"Medium (21-40%)","High (&gt;40%)"))))</f>
        <v/>
      </c>
      <c r="Y9102" s="23" t="str">
        <f aca="false">IF(AND(ISNUMBER(C9102),ISNUMBER(D9102)),D9102-C9102,"")</f>
        <v/>
      </c>
      <c r="Z9102" s="23" t="str">
        <f aca="false">IF(B9102="","",IF(MATCH(B9102,$B$2:$B$12000,0)=ROW()-1,1,0))</f>
        <v/>
      </c>
    </row>
    <row r="9103" customFormat="false" ht="15" hidden="false" customHeight="false" outlineLevel="0" collapsed="false">
      <c r="V9103" s="23" t="str">
        <f aca="false">IF(ISNUMBER(C9103),YEAR(C9103),"")</f>
        <v/>
      </c>
      <c r="W9103" s="23" t="str">
        <f aca="false">IF(ISNUMBER(C9103),MONTH(C9103),"")</f>
        <v/>
      </c>
      <c r="X9103" s="23" t="str">
        <f aca="false">IF(T9103="","",IF(T9103=0,"No discount",IF(T9103&lt;=0.2,"Low (1-20%)",IF(T9103&lt;=0.4,"Medium (21-40%)","High (&gt;40%)"))))</f>
        <v/>
      </c>
      <c r="Y9103" s="23" t="str">
        <f aca="false">IF(AND(ISNUMBER(C9103),ISNUMBER(D9103)),D9103-C9103,"")</f>
        <v/>
      </c>
      <c r="Z9103" s="23" t="str">
        <f aca="false">IF(B9103="","",IF(MATCH(B9103,$B$2:$B$12000,0)=ROW()-1,1,0))</f>
        <v/>
      </c>
    </row>
    <row r="9104" customFormat="false" ht="15" hidden="false" customHeight="false" outlineLevel="0" collapsed="false">
      <c r="V9104" s="23" t="str">
        <f aca="false">IF(ISNUMBER(C9104),YEAR(C9104),"")</f>
        <v/>
      </c>
      <c r="W9104" s="23" t="str">
        <f aca="false">IF(ISNUMBER(C9104),MONTH(C9104),"")</f>
        <v/>
      </c>
      <c r="X9104" s="23" t="str">
        <f aca="false">IF(T9104="","",IF(T9104=0,"No discount",IF(T9104&lt;=0.2,"Low (1-20%)",IF(T9104&lt;=0.4,"Medium (21-40%)","High (&gt;40%)"))))</f>
        <v/>
      </c>
      <c r="Y9104" s="23" t="str">
        <f aca="false">IF(AND(ISNUMBER(C9104),ISNUMBER(D9104)),D9104-C9104,"")</f>
        <v/>
      </c>
      <c r="Z9104" s="23" t="str">
        <f aca="false">IF(B9104="","",IF(MATCH(B9104,$B$2:$B$12000,0)=ROW()-1,1,0))</f>
        <v/>
      </c>
    </row>
    <row r="9105" customFormat="false" ht="15" hidden="false" customHeight="false" outlineLevel="0" collapsed="false">
      <c r="V9105" s="23" t="str">
        <f aca="false">IF(ISNUMBER(C9105),YEAR(C9105),"")</f>
        <v/>
      </c>
      <c r="W9105" s="23" t="str">
        <f aca="false">IF(ISNUMBER(C9105),MONTH(C9105),"")</f>
        <v/>
      </c>
      <c r="X9105" s="23" t="str">
        <f aca="false">IF(T9105="","",IF(T9105=0,"No discount",IF(T9105&lt;=0.2,"Low (1-20%)",IF(T9105&lt;=0.4,"Medium (21-40%)","High (&gt;40%)"))))</f>
        <v/>
      </c>
      <c r="Y9105" s="23" t="str">
        <f aca="false">IF(AND(ISNUMBER(C9105),ISNUMBER(D9105)),D9105-C9105,"")</f>
        <v/>
      </c>
      <c r="Z9105" s="23" t="str">
        <f aca="false">IF(B9105="","",IF(MATCH(B9105,$B$2:$B$12000,0)=ROW()-1,1,0))</f>
        <v/>
      </c>
    </row>
    <row r="9106" customFormat="false" ht="15" hidden="false" customHeight="false" outlineLevel="0" collapsed="false">
      <c r="V9106" s="23" t="str">
        <f aca="false">IF(ISNUMBER(C9106),YEAR(C9106),"")</f>
        <v/>
      </c>
      <c r="W9106" s="23" t="str">
        <f aca="false">IF(ISNUMBER(C9106),MONTH(C9106),"")</f>
        <v/>
      </c>
      <c r="X9106" s="23" t="str">
        <f aca="false">IF(T9106="","",IF(T9106=0,"No discount",IF(T9106&lt;=0.2,"Low (1-20%)",IF(T9106&lt;=0.4,"Medium (21-40%)","High (&gt;40%)"))))</f>
        <v/>
      </c>
      <c r="Y9106" s="23" t="str">
        <f aca="false">IF(AND(ISNUMBER(C9106),ISNUMBER(D9106)),D9106-C9106,"")</f>
        <v/>
      </c>
      <c r="Z9106" s="23" t="str">
        <f aca="false">IF(B9106="","",IF(MATCH(B9106,$B$2:$B$12000,0)=ROW()-1,1,0))</f>
        <v/>
      </c>
    </row>
    <row r="9107" customFormat="false" ht="15" hidden="false" customHeight="false" outlineLevel="0" collapsed="false">
      <c r="V9107" s="23" t="str">
        <f aca="false">IF(ISNUMBER(C9107),YEAR(C9107),"")</f>
        <v/>
      </c>
      <c r="W9107" s="23" t="str">
        <f aca="false">IF(ISNUMBER(C9107),MONTH(C9107),"")</f>
        <v/>
      </c>
      <c r="X9107" s="23" t="str">
        <f aca="false">IF(T9107="","",IF(T9107=0,"No discount",IF(T9107&lt;=0.2,"Low (1-20%)",IF(T9107&lt;=0.4,"Medium (21-40%)","High (&gt;40%)"))))</f>
        <v/>
      </c>
      <c r="Y9107" s="23" t="str">
        <f aca="false">IF(AND(ISNUMBER(C9107),ISNUMBER(D9107)),D9107-C9107,"")</f>
        <v/>
      </c>
      <c r="Z9107" s="23" t="str">
        <f aca="false">IF(B9107="","",IF(MATCH(B9107,$B$2:$B$12000,0)=ROW()-1,1,0))</f>
        <v/>
      </c>
    </row>
    <row r="9108" customFormat="false" ht="15" hidden="false" customHeight="false" outlineLevel="0" collapsed="false">
      <c r="V9108" s="23" t="str">
        <f aca="false">IF(ISNUMBER(C9108),YEAR(C9108),"")</f>
        <v/>
      </c>
      <c r="W9108" s="23" t="str">
        <f aca="false">IF(ISNUMBER(C9108),MONTH(C9108),"")</f>
        <v/>
      </c>
      <c r="X9108" s="23" t="str">
        <f aca="false">IF(T9108="","",IF(T9108=0,"No discount",IF(T9108&lt;=0.2,"Low (1-20%)",IF(T9108&lt;=0.4,"Medium (21-40%)","High (&gt;40%)"))))</f>
        <v/>
      </c>
      <c r="Y9108" s="23" t="str">
        <f aca="false">IF(AND(ISNUMBER(C9108),ISNUMBER(D9108)),D9108-C9108,"")</f>
        <v/>
      </c>
      <c r="Z9108" s="23" t="str">
        <f aca="false">IF(B9108="","",IF(MATCH(B9108,$B$2:$B$12000,0)=ROW()-1,1,0))</f>
        <v/>
      </c>
    </row>
    <row r="9109" customFormat="false" ht="15" hidden="false" customHeight="false" outlineLevel="0" collapsed="false">
      <c r="V9109" s="23" t="str">
        <f aca="false">IF(ISNUMBER(C9109),YEAR(C9109),"")</f>
        <v/>
      </c>
      <c r="W9109" s="23" t="str">
        <f aca="false">IF(ISNUMBER(C9109),MONTH(C9109),"")</f>
        <v/>
      </c>
      <c r="X9109" s="23" t="str">
        <f aca="false">IF(T9109="","",IF(T9109=0,"No discount",IF(T9109&lt;=0.2,"Low (1-20%)",IF(T9109&lt;=0.4,"Medium (21-40%)","High (&gt;40%)"))))</f>
        <v/>
      </c>
      <c r="Y9109" s="23" t="str">
        <f aca="false">IF(AND(ISNUMBER(C9109),ISNUMBER(D9109)),D9109-C9109,"")</f>
        <v/>
      </c>
      <c r="Z9109" s="23" t="str">
        <f aca="false">IF(B9109="","",IF(MATCH(B9109,$B$2:$B$12000,0)=ROW()-1,1,0))</f>
        <v/>
      </c>
    </row>
    <row r="9110" customFormat="false" ht="15" hidden="false" customHeight="false" outlineLevel="0" collapsed="false">
      <c r="V9110" s="23" t="str">
        <f aca="false">IF(ISNUMBER(C9110),YEAR(C9110),"")</f>
        <v/>
      </c>
      <c r="W9110" s="23" t="str">
        <f aca="false">IF(ISNUMBER(C9110),MONTH(C9110),"")</f>
        <v/>
      </c>
      <c r="X9110" s="23" t="str">
        <f aca="false">IF(T9110="","",IF(T9110=0,"No discount",IF(T9110&lt;=0.2,"Low (1-20%)",IF(T9110&lt;=0.4,"Medium (21-40%)","High (&gt;40%)"))))</f>
        <v/>
      </c>
      <c r="Y9110" s="23" t="str">
        <f aca="false">IF(AND(ISNUMBER(C9110),ISNUMBER(D9110)),D9110-C9110,"")</f>
        <v/>
      </c>
      <c r="Z9110" s="23" t="str">
        <f aca="false">IF(B9110="","",IF(MATCH(B9110,$B$2:$B$12000,0)=ROW()-1,1,0))</f>
        <v/>
      </c>
    </row>
    <row r="9111" customFormat="false" ht="15" hidden="false" customHeight="false" outlineLevel="0" collapsed="false">
      <c r="V9111" s="23" t="str">
        <f aca="false">IF(ISNUMBER(C9111),YEAR(C9111),"")</f>
        <v/>
      </c>
      <c r="W9111" s="23" t="str">
        <f aca="false">IF(ISNUMBER(C9111),MONTH(C9111),"")</f>
        <v/>
      </c>
      <c r="X9111" s="23" t="str">
        <f aca="false">IF(T9111="","",IF(T9111=0,"No discount",IF(T9111&lt;=0.2,"Low (1-20%)",IF(T9111&lt;=0.4,"Medium (21-40%)","High (&gt;40%)"))))</f>
        <v/>
      </c>
      <c r="Y9111" s="23" t="str">
        <f aca="false">IF(AND(ISNUMBER(C9111),ISNUMBER(D9111)),D9111-C9111,"")</f>
        <v/>
      </c>
      <c r="Z9111" s="23" t="str">
        <f aca="false">IF(B9111="","",IF(MATCH(B9111,$B$2:$B$12000,0)=ROW()-1,1,0))</f>
        <v/>
      </c>
    </row>
    <row r="9112" customFormat="false" ht="15" hidden="false" customHeight="false" outlineLevel="0" collapsed="false">
      <c r="V9112" s="23" t="str">
        <f aca="false">IF(ISNUMBER(C9112),YEAR(C9112),"")</f>
        <v/>
      </c>
      <c r="W9112" s="23" t="str">
        <f aca="false">IF(ISNUMBER(C9112),MONTH(C9112),"")</f>
        <v/>
      </c>
      <c r="X9112" s="23" t="str">
        <f aca="false">IF(T9112="","",IF(T9112=0,"No discount",IF(T9112&lt;=0.2,"Low (1-20%)",IF(T9112&lt;=0.4,"Medium (21-40%)","High (&gt;40%)"))))</f>
        <v/>
      </c>
      <c r="Y9112" s="23" t="str">
        <f aca="false">IF(AND(ISNUMBER(C9112),ISNUMBER(D9112)),D9112-C9112,"")</f>
        <v/>
      </c>
      <c r="Z9112" s="23" t="str">
        <f aca="false">IF(B9112="","",IF(MATCH(B9112,$B$2:$B$12000,0)=ROW()-1,1,0))</f>
        <v/>
      </c>
    </row>
    <row r="9113" customFormat="false" ht="15" hidden="false" customHeight="false" outlineLevel="0" collapsed="false">
      <c r="V9113" s="23" t="str">
        <f aca="false">IF(ISNUMBER(C9113),YEAR(C9113),"")</f>
        <v/>
      </c>
      <c r="W9113" s="23" t="str">
        <f aca="false">IF(ISNUMBER(C9113),MONTH(C9113),"")</f>
        <v/>
      </c>
      <c r="X9113" s="23" t="str">
        <f aca="false">IF(T9113="","",IF(T9113=0,"No discount",IF(T9113&lt;=0.2,"Low (1-20%)",IF(T9113&lt;=0.4,"Medium (21-40%)","High (&gt;40%)"))))</f>
        <v/>
      </c>
      <c r="Y9113" s="23" t="str">
        <f aca="false">IF(AND(ISNUMBER(C9113),ISNUMBER(D9113)),D9113-C9113,"")</f>
        <v/>
      </c>
      <c r="Z9113" s="23" t="str">
        <f aca="false">IF(B9113="","",IF(MATCH(B9113,$B$2:$B$12000,0)=ROW()-1,1,0))</f>
        <v/>
      </c>
    </row>
    <row r="9114" customFormat="false" ht="15" hidden="false" customHeight="false" outlineLevel="0" collapsed="false">
      <c r="V9114" s="23" t="str">
        <f aca="false">IF(ISNUMBER(C9114),YEAR(C9114),"")</f>
        <v/>
      </c>
      <c r="W9114" s="23" t="str">
        <f aca="false">IF(ISNUMBER(C9114),MONTH(C9114),"")</f>
        <v/>
      </c>
      <c r="X9114" s="23" t="str">
        <f aca="false">IF(T9114="","",IF(T9114=0,"No discount",IF(T9114&lt;=0.2,"Low (1-20%)",IF(T9114&lt;=0.4,"Medium (21-40%)","High (&gt;40%)"))))</f>
        <v/>
      </c>
      <c r="Y9114" s="23" t="str">
        <f aca="false">IF(AND(ISNUMBER(C9114),ISNUMBER(D9114)),D9114-C9114,"")</f>
        <v/>
      </c>
      <c r="Z9114" s="23" t="str">
        <f aca="false">IF(B9114="","",IF(MATCH(B9114,$B$2:$B$12000,0)=ROW()-1,1,0))</f>
        <v/>
      </c>
    </row>
    <row r="9115" customFormat="false" ht="15" hidden="false" customHeight="false" outlineLevel="0" collapsed="false">
      <c r="V9115" s="23" t="str">
        <f aca="false">IF(ISNUMBER(C9115),YEAR(C9115),"")</f>
        <v/>
      </c>
      <c r="W9115" s="23" t="str">
        <f aca="false">IF(ISNUMBER(C9115),MONTH(C9115),"")</f>
        <v/>
      </c>
      <c r="X9115" s="23" t="str">
        <f aca="false">IF(T9115="","",IF(T9115=0,"No discount",IF(T9115&lt;=0.2,"Low (1-20%)",IF(T9115&lt;=0.4,"Medium (21-40%)","High (&gt;40%)"))))</f>
        <v/>
      </c>
      <c r="Y9115" s="23" t="str">
        <f aca="false">IF(AND(ISNUMBER(C9115),ISNUMBER(D9115)),D9115-C9115,"")</f>
        <v/>
      </c>
      <c r="Z9115" s="23" t="str">
        <f aca="false">IF(B9115="","",IF(MATCH(B9115,$B$2:$B$12000,0)=ROW()-1,1,0))</f>
        <v/>
      </c>
    </row>
    <row r="9116" customFormat="false" ht="15" hidden="false" customHeight="false" outlineLevel="0" collapsed="false">
      <c r="V9116" s="23" t="str">
        <f aca="false">IF(ISNUMBER(C9116),YEAR(C9116),"")</f>
        <v/>
      </c>
      <c r="W9116" s="23" t="str">
        <f aca="false">IF(ISNUMBER(C9116),MONTH(C9116),"")</f>
        <v/>
      </c>
      <c r="X9116" s="23" t="str">
        <f aca="false">IF(T9116="","",IF(T9116=0,"No discount",IF(T9116&lt;=0.2,"Low (1-20%)",IF(T9116&lt;=0.4,"Medium (21-40%)","High (&gt;40%)"))))</f>
        <v/>
      </c>
      <c r="Y9116" s="23" t="str">
        <f aca="false">IF(AND(ISNUMBER(C9116),ISNUMBER(D9116)),D9116-C9116,"")</f>
        <v/>
      </c>
      <c r="Z9116" s="23" t="str">
        <f aca="false">IF(B9116="","",IF(MATCH(B9116,$B$2:$B$12000,0)=ROW()-1,1,0))</f>
        <v/>
      </c>
    </row>
    <row r="9117" customFormat="false" ht="15" hidden="false" customHeight="false" outlineLevel="0" collapsed="false">
      <c r="V9117" s="23" t="str">
        <f aca="false">IF(ISNUMBER(C9117),YEAR(C9117),"")</f>
        <v/>
      </c>
      <c r="W9117" s="23" t="str">
        <f aca="false">IF(ISNUMBER(C9117),MONTH(C9117),"")</f>
        <v/>
      </c>
      <c r="X9117" s="23" t="str">
        <f aca="false">IF(T9117="","",IF(T9117=0,"No discount",IF(T9117&lt;=0.2,"Low (1-20%)",IF(T9117&lt;=0.4,"Medium (21-40%)","High (&gt;40%)"))))</f>
        <v/>
      </c>
      <c r="Y9117" s="23" t="str">
        <f aca="false">IF(AND(ISNUMBER(C9117),ISNUMBER(D9117)),D9117-C9117,"")</f>
        <v/>
      </c>
      <c r="Z9117" s="23" t="str">
        <f aca="false">IF(B9117="","",IF(MATCH(B9117,$B$2:$B$12000,0)=ROW()-1,1,0))</f>
        <v/>
      </c>
    </row>
    <row r="9118" customFormat="false" ht="15" hidden="false" customHeight="false" outlineLevel="0" collapsed="false">
      <c r="V9118" s="23" t="str">
        <f aca="false">IF(ISNUMBER(C9118),YEAR(C9118),"")</f>
        <v/>
      </c>
      <c r="W9118" s="23" t="str">
        <f aca="false">IF(ISNUMBER(C9118),MONTH(C9118),"")</f>
        <v/>
      </c>
      <c r="X9118" s="23" t="str">
        <f aca="false">IF(T9118="","",IF(T9118=0,"No discount",IF(T9118&lt;=0.2,"Low (1-20%)",IF(T9118&lt;=0.4,"Medium (21-40%)","High (&gt;40%)"))))</f>
        <v/>
      </c>
      <c r="Y9118" s="23" t="str">
        <f aca="false">IF(AND(ISNUMBER(C9118),ISNUMBER(D9118)),D9118-C9118,"")</f>
        <v/>
      </c>
      <c r="Z9118" s="23" t="str">
        <f aca="false">IF(B9118="","",IF(MATCH(B9118,$B$2:$B$12000,0)=ROW()-1,1,0))</f>
        <v/>
      </c>
    </row>
    <row r="9119" customFormat="false" ht="15" hidden="false" customHeight="false" outlineLevel="0" collapsed="false">
      <c r="V9119" s="23" t="str">
        <f aca="false">IF(ISNUMBER(C9119),YEAR(C9119),"")</f>
        <v/>
      </c>
      <c r="W9119" s="23" t="str">
        <f aca="false">IF(ISNUMBER(C9119),MONTH(C9119),"")</f>
        <v/>
      </c>
      <c r="X9119" s="23" t="str">
        <f aca="false">IF(T9119="","",IF(T9119=0,"No discount",IF(T9119&lt;=0.2,"Low (1-20%)",IF(T9119&lt;=0.4,"Medium (21-40%)","High (&gt;40%)"))))</f>
        <v/>
      </c>
      <c r="Y9119" s="23" t="str">
        <f aca="false">IF(AND(ISNUMBER(C9119),ISNUMBER(D9119)),D9119-C9119,"")</f>
        <v/>
      </c>
      <c r="Z9119" s="23" t="str">
        <f aca="false">IF(B9119="","",IF(MATCH(B9119,$B$2:$B$12000,0)=ROW()-1,1,0))</f>
        <v/>
      </c>
    </row>
    <row r="9120" customFormat="false" ht="15" hidden="false" customHeight="false" outlineLevel="0" collapsed="false">
      <c r="V9120" s="23" t="str">
        <f aca="false">IF(ISNUMBER(C9120),YEAR(C9120),"")</f>
        <v/>
      </c>
      <c r="W9120" s="23" t="str">
        <f aca="false">IF(ISNUMBER(C9120),MONTH(C9120),"")</f>
        <v/>
      </c>
      <c r="X9120" s="23" t="str">
        <f aca="false">IF(T9120="","",IF(T9120=0,"No discount",IF(T9120&lt;=0.2,"Low (1-20%)",IF(T9120&lt;=0.4,"Medium (21-40%)","High (&gt;40%)"))))</f>
        <v/>
      </c>
      <c r="Y9120" s="23" t="str">
        <f aca="false">IF(AND(ISNUMBER(C9120),ISNUMBER(D9120)),D9120-C9120,"")</f>
        <v/>
      </c>
      <c r="Z9120" s="23" t="str">
        <f aca="false">IF(B9120="","",IF(MATCH(B9120,$B$2:$B$12000,0)=ROW()-1,1,0))</f>
        <v/>
      </c>
    </row>
    <row r="9121" customFormat="false" ht="15" hidden="false" customHeight="false" outlineLevel="0" collapsed="false">
      <c r="V9121" s="23" t="str">
        <f aca="false">IF(ISNUMBER(C9121),YEAR(C9121),"")</f>
        <v/>
      </c>
      <c r="W9121" s="23" t="str">
        <f aca="false">IF(ISNUMBER(C9121),MONTH(C9121),"")</f>
        <v/>
      </c>
      <c r="X9121" s="23" t="str">
        <f aca="false">IF(T9121="","",IF(T9121=0,"No discount",IF(T9121&lt;=0.2,"Low (1-20%)",IF(T9121&lt;=0.4,"Medium (21-40%)","High (&gt;40%)"))))</f>
        <v/>
      </c>
      <c r="Y9121" s="23" t="str">
        <f aca="false">IF(AND(ISNUMBER(C9121),ISNUMBER(D9121)),D9121-C9121,"")</f>
        <v/>
      </c>
      <c r="Z9121" s="23" t="str">
        <f aca="false">IF(B9121="","",IF(MATCH(B9121,$B$2:$B$12000,0)=ROW()-1,1,0))</f>
        <v/>
      </c>
    </row>
    <row r="9122" customFormat="false" ht="15" hidden="false" customHeight="false" outlineLevel="0" collapsed="false">
      <c r="V9122" s="23" t="str">
        <f aca="false">IF(ISNUMBER(C9122),YEAR(C9122),"")</f>
        <v/>
      </c>
      <c r="W9122" s="23" t="str">
        <f aca="false">IF(ISNUMBER(C9122),MONTH(C9122),"")</f>
        <v/>
      </c>
      <c r="X9122" s="23" t="str">
        <f aca="false">IF(T9122="","",IF(T9122=0,"No discount",IF(T9122&lt;=0.2,"Low (1-20%)",IF(T9122&lt;=0.4,"Medium (21-40%)","High (&gt;40%)"))))</f>
        <v/>
      </c>
      <c r="Y9122" s="23" t="str">
        <f aca="false">IF(AND(ISNUMBER(C9122),ISNUMBER(D9122)),D9122-C9122,"")</f>
        <v/>
      </c>
      <c r="Z9122" s="23" t="str">
        <f aca="false">IF(B9122="","",IF(MATCH(B9122,$B$2:$B$12000,0)=ROW()-1,1,0))</f>
        <v/>
      </c>
    </row>
    <row r="9123" customFormat="false" ht="15" hidden="false" customHeight="false" outlineLevel="0" collapsed="false">
      <c r="V9123" s="23" t="str">
        <f aca="false">IF(ISNUMBER(C9123),YEAR(C9123),"")</f>
        <v/>
      </c>
      <c r="W9123" s="23" t="str">
        <f aca="false">IF(ISNUMBER(C9123),MONTH(C9123),"")</f>
        <v/>
      </c>
      <c r="X9123" s="23" t="str">
        <f aca="false">IF(T9123="","",IF(T9123=0,"No discount",IF(T9123&lt;=0.2,"Low (1-20%)",IF(T9123&lt;=0.4,"Medium (21-40%)","High (&gt;40%)"))))</f>
        <v/>
      </c>
      <c r="Y9123" s="23" t="str">
        <f aca="false">IF(AND(ISNUMBER(C9123),ISNUMBER(D9123)),D9123-C9123,"")</f>
        <v/>
      </c>
      <c r="Z9123" s="23" t="str">
        <f aca="false">IF(B9123="","",IF(MATCH(B9123,$B$2:$B$12000,0)=ROW()-1,1,0))</f>
        <v/>
      </c>
    </row>
    <row r="9124" customFormat="false" ht="15" hidden="false" customHeight="false" outlineLevel="0" collapsed="false">
      <c r="V9124" s="23" t="str">
        <f aca="false">IF(ISNUMBER(C9124),YEAR(C9124),"")</f>
        <v/>
      </c>
      <c r="W9124" s="23" t="str">
        <f aca="false">IF(ISNUMBER(C9124),MONTH(C9124),"")</f>
        <v/>
      </c>
      <c r="X9124" s="23" t="str">
        <f aca="false">IF(T9124="","",IF(T9124=0,"No discount",IF(T9124&lt;=0.2,"Low (1-20%)",IF(T9124&lt;=0.4,"Medium (21-40%)","High (&gt;40%)"))))</f>
        <v/>
      </c>
      <c r="Y9124" s="23" t="str">
        <f aca="false">IF(AND(ISNUMBER(C9124),ISNUMBER(D9124)),D9124-C9124,"")</f>
        <v/>
      </c>
      <c r="Z9124" s="23" t="str">
        <f aca="false">IF(B9124="","",IF(MATCH(B9124,$B$2:$B$12000,0)=ROW()-1,1,0))</f>
        <v/>
      </c>
    </row>
    <row r="9125" customFormat="false" ht="15" hidden="false" customHeight="false" outlineLevel="0" collapsed="false">
      <c r="V9125" s="23" t="str">
        <f aca="false">IF(ISNUMBER(C9125),YEAR(C9125),"")</f>
        <v/>
      </c>
      <c r="W9125" s="23" t="str">
        <f aca="false">IF(ISNUMBER(C9125),MONTH(C9125),"")</f>
        <v/>
      </c>
      <c r="X9125" s="23" t="str">
        <f aca="false">IF(T9125="","",IF(T9125=0,"No discount",IF(T9125&lt;=0.2,"Low (1-20%)",IF(T9125&lt;=0.4,"Medium (21-40%)","High (&gt;40%)"))))</f>
        <v/>
      </c>
      <c r="Y9125" s="23" t="str">
        <f aca="false">IF(AND(ISNUMBER(C9125),ISNUMBER(D9125)),D9125-C9125,"")</f>
        <v/>
      </c>
      <c r="Z9125" s="23" t="str">
        <f aca="false">IF(B9125="","",IF(MATCH(B9125,$B$2:$B$12000,0)=ROW()-1,1,0))</f>
        <v/>
      </c>
    </row>
    <row r="9126" customFormat="false" ht="15" hidden="false" customHeight="false" outlineLevel="0" collapsed="false">
      <c r="V9126" s="23" t="str">
        <f aca="false">IF(ISNUMBER(C9126),YEAR(C9126),"")</f>
        <v/>
      </c>
      <c r="W9126" s="23" t="str">
        <f aca="false">IF(ISNUMBER(C9126),MONTH(C9126),"")</f>
        <v/>
      </c>
      <c r="X9126" s="23" t="str">
        <f aca="false">IF(T9126="","",IF(T9126=0,"No discount",IF(T9126&lt;=0.2,"Low (1-20%)",IF(T9126&lt;=0.4,"Medium (21-40%)","High (&gt;40%)"))))</f>
        <v/>
      </c>
      <c r="Y9126" s="23" t="str">
        <f aca="false">IF(AND(ISNUMBER(C9126),ISNUMBER(D9126)),D9126-C9126,"")</f>
        <v/>
      </c>
      <c r="Z9126" s="23" t="str">
        <f aca="false">IF(B9126="","",IF(MATCH(B9126,$B$2:$B$12000,0)=ROW()-1,1,0))</f>
        <v/>
      </c>
    </row>
    <row r="9127" customFormat="false" ht="15" hidden="false" customHeight="false" outlineLevel="0" collapsed="false">
      <c r="V9127" s="23" t="str">
        <f aca="false">IF(ISNUMBER(C9127),YEAR(C9127),"")</f>
        <v/>
      </c>
      <c r="W9127" s="23" t="str">
        <f aca="false">IF(ISNUMBER(C9127),MONTH(C9127),"")</f>
        <v/>
      </c>
      <c r="X9127" s="23" t="str">
        <f aca="false">IF(T9127="","",IF(T9127=0,"No discount",IF(T9127&lt;=0.2,"Low (1-20%)",IF(T9127&lt;=0.4,"Medium (21-40%)","High (&gt;40%)"))))</f>
        <v/>
      </c>
      <c r="Y9127" s="23" t="str">
        <f aca="false">IF(AND(ISNUMBER(C9127),ISNUMBER(D9127)),D9127-C9127,"")</f>
        <v/>
      </c>
      <c r="Z9127" s="23" t="str">
        <f aca="false">IF(B9127="","",IF(MATCH(B9127,$B$2:$B$12000,0)=ROW()-1,1,0))</f>
        <v/>
      </c>
    </row>
    <row r="9128" customFormat="false" ht="15" hidden="false" customHeight="false" outlineLevel="0" collapsed="false">
      <c r="V9128" s="23" t="str">
        <f aca="false">IF(ISNUMBER(C9128),YEAR(C9128),"")</f>
        <v/>
      </c>
      <c r="W9128" s="23" t="str">
        <f aca="false">IF(ISNUMBER(C9128),MONTH(C9128),"")</f>
        <v/>
      </c>
      <c r="X9128" s="23" t="str">
        <f aca="false">IF(T9128="","",IF(T9128=0,"No discount",IF(T9128&lt;=0.2,"Low (1-20%)",IF(T9128&lt;=0.4,"Medium (21-40%)","High (&gt;40%)"))))</f>
        <v/>
      </c>
      <c r="Y9128" s="23" t="str">
        <f aca="false">IF(AND(ISNUMBER(C9128),ISNUMBER(D9128)),D9128-C9128,"")</f>
        <v/>
      </c>
      <c r="Z9128" s="23" t="str">
        <f aca="false">IF(B9128="","",IF(MATCH(B9128,$B$2:$B$12000,0)=ROW()-1,1,0))</f>
        <v/>
      </c>
    </row>
    <row r="9129" customFormat="false" ht="15" hidden="false" customHeight="false" outlineLevel="0" collapsed="false">
      <c r="V9129" s="23" t="str">
        <f aca="false">IF(ISNUMBER(C9129),YEAR(C9129),"")</f>
        <v/>
      </c>
      <c r="W9129" s="23" t="str">
        <f aca="false">IF(ISNUMBER(C9129),MONTH(C9129),"")</f>
        <v/>
      </c>
      <c r="X9129" s="23" t="str">
        <f aca="false">IF(T9129="","",IF(T9129=0,"No discount",IF(T9129&lt;=0.2,"Low (1-20%)",IF(T9129&lt;=0.4,"Medium (21-40%)","High (&gt;40%)"))))</f>
        <v/>
      </c>
      <c r="Y9129" s="23" t="str">
        <f aca="false">IF(AND(ISNUMBER(C9129),ISNUMBER(D9129)),D9129-C9129,"")</f>
        <v/>
      </c>
      <c r="Z9129" s="23" t="str">
        <f aca="false">IF(B9129="","",IF(MATCH(B9129,$B$2:$B$12000,0)=ROW()-1,1,0))</f>
        <v/>
      </c>
    </row>
    <row r="9130" customFormat="false" ht="15" hidden="false" customHeight="false" outlineLevel="0" collapsed="false">
      <c r="V9130" s="23" t="str">
        <f aca="false">IF(ISNUMBER(C9130),YEAR(C9130),"")</f>
        <v/>
      </c>
      <c r="W9130" s="23" t="str">
        <f aca="false">IF(ISNUMBER(C9130),MONTH(C9130),"")</f>
        <v/>
      </c>
      <c r="X9130" s="23" t="str">
        <f aca="false">IF(T9130="","",IF(T9130=0,"No discount",IF(T9130&lt;=0.2,"Low (1-20%)",IF(T9130&lt;=0.4,"Medium (21-40%)","High (&gt;40%)"))))</f>
        <v/>
      </c>
      <c r="Y9130" s="23" t="str">
        <f aca="false">IF(AND(ISNUMBER(C9130),ISNUMBER(D9130)),D9130-C9130,"")</f>
        <v/>
      </c>
      <c r="Z9130" s="23" t="str">
        <f aca="false">IF(B9130="","",IF(MATCH(B9130,$B$2:$B$12000,0)=ROW()-1,1,0))</f>
        <v/>
      </c>
    </row>
    <row r="9131" customFormat="false" ht="15" hidden="false" customHeight="false" outlineLevel="0" collapsed="false">
      <c r="V9131" s="23" t="str">
        <f aca="false">IF(ISNUMBER(C9131),YEAR(C9131),"")</f>
        <v/>
      </c>
      <c r="W9131" s="23" t="str">
        <f aca="false">IF(ISNUMBER(C9131),MONTH(C9131),"")</f>
        <v/>
      </c>
      <c r="X9131" s="23" t="str">
        <f aca="false">IF(T9131="","",IF(T9131=0,"No discount",IF(T9131&lt;=0.2,"Low (1-20%)",IF(T9131&lt;=0.4,"Medium (21-40%)","High (&gt;40%)"))))</f>
        <v/>
      </c>
      <c r="Y9131" s="23" t="str">
        <f aca="false">IF(AND(ISNUMBER(C9131),ISNUMBER(D9131)),D9131-C9131,"")</f>
        <v/>
      </c>
      <c r="Z9131" s="23" t="str">
        <f aca="false">IF(B9131="","",IF(MATCH(B9131,$B$2:$B$12000,0)=ROW()-1,1,0))</f>
        <v/>
      </c>
    </row>
    <row r="9132" customFormat="false" ht="15" hidden="false" customHeight="false" outlineLevel="0" collapsed="false">
      <c r="V9132" s="23" t="str">
        <f aca="false">IF(ISNUMBER(C9132),YEAR(C9132),"")</f>
        <v/>
      </c>
      <c r="W9132" s="23" t="str">
        <f aca="false">IF(ISNUMBER(C9132),MONTH(C9132),"")</f>
        <v/>
      </c>
      <c r="X9132" s="23" t="str">
        <f aca="false">IF(T9132="","",IF(T9132=0,"No discount",IF(T9132&lt;=0.2,"Low (1-20%)",IF(T9132&lt;=0.4,"Medium (21-40%)","High (&gt;40%)"))))</f>
        <v/>
      </c>
      <c r="Y9132" s="23" t="str">
        <f aca="false">IF(AND(ISNUMBER(C9132),ISNUMBER(D9132)),D9132-C9132,"")</f>
        <v/>
      </c>
      <c r="Z9132" s="23" t="str">
        <f aca="false">IF(B9132="","",IF(MATCH(B9132,$B$2:$B$12000,0)=ROW()-1,1,0))</f>
        <v/>
      </c>
    </row>
    <row r="9133" customFormat="false" ht="15" hidden="false" customHeight="false" outlineLevel="0" collapsed="false">
      <c r="V9133" s="23" t="str">
        <f aca="false">IF(ISNUMBER(C9133),YEAR(C9133),"")</f>
        <v/>
      </c>
      <c r="W9133" s="23" t="str">
        <f aca="false">IF(ISNUMBER(C9133),MONTH(C9133),"")</f>
        <v/>
      </c>
      <c r="X9133" s="23" t="str">
        <f aca="false">IF(T9133="","",IF(T9133=0,"No discount",IF(T9133&lt;=0.2,"Low (1-20%)",IF(T9133&lt;=0.4,"Medium (21-40%)","High (&gt;40%)"))))</f>
        <v/>
      </c>
      <c r="Y9133" s="23" t="str">
        <f aca="false">IF(AND(ISNUMBER(C9133),ISNUMBER(D9133)),D9133-C9133,"")</f>
        <v/>
      </c>
      <c r="Z9133" s="23" t="str">
        <f aca="false">IF(B9133="","",IF(MATCH(B9133,$B$2:$B$12000,0)=ROW()-1,1,0))</f>
        <v/>
      </c>
    </row>
    <row r="9134" customFormat="false" ht="15" hidden="false" customHeight="false" outlineLevel="0" collapsed="false">
      <c r="V9134" s="23" t="str">
        <f aca="false">IF(ISNUMBER(C9134),YEAR(C9134),"")</f>
        <v/>
      </c>
      <c r="W9134" s="23" t="str">
        <f aca="false">IF(ISNUMBER(C9134),MONTH(C9134),"")</f>
        <v/>
      </c>
      <c r="X9134" s="23" t="str">
        <f aca="false">IF(T9134="","",IF(T9134=0,"No discount",IF(T9134&lt;=0.2,"Low (1-20%)",IF(T9134&lt;=0.4,"Medium (21-40%)","High (&gt;40%)"))))</f>
        <v/>
      </c>
      <c r="Y9134" s="23" t="str">
        <f aca="false">IF(AND(ISNUMBER(C9134),ISNUMBER(D9134)),D9134-C9134,"")</f>
        <v/>
      </c>
      <c r="Z9134" s="23" t="str">
        <f aca="false">IF(B9134="","",IF(MATCH(B9134,$B$2:$B$12000,0)=ROW()-1,1,0))</f>
        <v/>
      </c>
    </row>
    <row r="9135" customFormat="false" ht="15" hidden="false" customHeight="false" outlineLevel="0" collapsed="false">
      <c r="V9135" s="23" t="str">
        <f aca="false">IF(ISNUMBER(C9135),YEAR(C9135),"")</f>
        <v/>
      </c>
      <c r="W9135" s="23" t="str">
        <f aca="false">IF(ISNUMBER(C9135),MONTH(C9135),"")</f>
        <v/>
      </c>
      <c r="X9135" s="23" t="str">
        <f aca="false">IF(T9135="","",IF(T9135=0,"No discount",IF(T9135&lt;=0.2,"Low (1-20%)",IF(T9135&lt;=0.4,"Medium (21-40%)","High (&gt;40%)"))))</f>
        <v/>
      </c>
      <c r="Y9135" s="23" t="str">
        <f aca="false">IF(AND(ISNUMBER(C9135),ISNUMBER(D9135)),D9135-C9135,"")</f>
        <v/>
      </c>
      <c r="Z9135" s="23" t="str">
        <f aca="false">IF(B9135="","",IF(MATCH(B9135,$B$2:$B$12000,0)=ROW()-1,1,0))</f>
        <v/>
      </c>
    </row>
    <row r="9136" customFormat="false" ht="15" hidden="false" customHeight="false" outlineLevel="0" collapsed="false">
      <c r="V9136" s="23" t="str">
        <f aca="false">IF(ISNUMBER(C9136),YEAR(C9136),"")</f>
        <v/>
      </c>
      <c r="W9136" s="23" t="str">
        <f aca="false">IF(ISNUMBER(C9136),MONTH(C9136),"")</f>
        <v/>
      </c>
      <c r="X9136" s="23" t="str">
        <f aca="false">IF(T9136="","",IF(T9136=0,"No discount",IF(T9136&lt;=0.2,"Low (1-20%)",IF(T9136&lt;=0.4,"Medium (21-40%)","High (&gt;40%)"))))</f>
        <v/>
      </c>
      <c r="Y9136" s="23" t="str">
        <f aca="false">IF(AND(ISNUMBER(C9136),ISNUMBER(D9136)),D9136-C9136,"")</f>
        <v/>
      </c>
      <c r="Z9136" s="23" t="str">
        <f aca="false">IF(B9136="","",IF(MATCH(B9136,$B$2:$B$12000,0)=ROW()-1,1,0))</f>
        <v/>
      </c>
    </row>
    <row r="9137" customFormat="false" ht="15" hidden="false" customHeight="false" outlineLevel="0" collapsed="false">
      <c r="V9137" s="23" t="str">
        <f aca="false">IF(ISNUMBER(C9137),YEAR(C9137),"")</f>
        <v/>
      </c>
      <c r="W9137" s="23" t="str">
        <f aca="false">IF(ISNUMBER(C9137),MONTH(C9137),"")</f>
        <v/>
      </c>
      <c r="X9137" s="23" t="str">
        <f aca="false">IF(T9137="","",IF(T9137=0,"No discount",IF(T9137&lt;=0.2,"Low (1-20%)",IF(T9137&lt;=0.4,"Medium (21-40%)","High (&gt;40%)"))))</f>
        <v/>
      </c>
      <c r="Y9137" s="23" t="str">
        <f aca="false">IF(AND(ISNUMBER(C9137),ISNUMBER(D9137)),D9137-C9137,"")</f>
        <v/>
      </c>
      <c r="Z9137" s="23" t="str">
        <f aca="false">IF(B9137="","",IF(MATCH(B9137,$B$2:$B$12000,0)=ROW()-1,1,0))</f>
        <v/>
      </c>
    </row>
    <row r="9138" customFormat="false" ht="15" hidden="false" customHeight="false" outlineLevel="0" collapsed="false">
      <c r="V9138" s="23" t="str">
        <f aca="false">IF(ISNUMBER(C9138),YEAR(C9138),"")</f>
        <v/>
      </c>
      <c r="W9138" s="23" t="str">
        <f aca="false">IF(ISNUMBER(C9138),MONTH(C9138),"")</f>
        <v/>
      </c>
      <c r="X9138" s="23" t="str">
        <f aca="false">IF(T9138="","",IF(T9138=0,"No discount",IF(T9138&lt;=0.2,"Low (1-20%)",IF(T9138&lt;=0.4,"Medium (21-40%)","High (&gt;40%)"))))</f>
        <v/>
      </c>
      <c r="Y9138" s="23" t="str">
        <f aca="false">IF(AND(ISNUMBER(C9138),ISNUMBER(D9138)),D9138-C9138,"")</f>
        <v/>
      </c>
      <c r="Z9138" s="23" t="str">
        <f aca="false">IF(B9138="","",IF(MATCH(B9138,$B$2:$B$12000,0)=ROW()-1,1,0))</f>
        <v/>
      </c>
    </row>
    <row r="9139" customFormat="false" ht="15" hidden="false" customHeight="false" outlineLevel="0" collapsed="false">
      <c r="V9139" s="23" t="str">
        <f aca="false">IF(ISNUMBER(C9139),YEAR(C9139),"")</f>
        <v/>
      </c>
      <c r="W9139" s="23" t="str">
        <f aca="false">IF(ISNUMBER(C9139),MONTH(C9139),"")</f>
        <v/>
      </c>
      <c r="X9139" s="23" t="str">
        <f aca="false">IF(T9139="","",IF(T9139=0,"No discount",IF(T9139&lt;=0.2,"Low (1-20%)",IF(T9139&lt;=0.4,"Medium (21-40%)","High (&gt;40%)"))))</f>
        <v/>
      </c>
      <c r="Y9139" s="23" t="str">
        <f aca="false">IF(AND(ISNUMBER(C9139),ISNUMBER(D9139)),D9139-C9139,"")</f>
        <v/>
      </c>
      <c r="Z9139" s="23" t="str">
        <f aca="false">IF(B9139="","",IF(MATCH(B9139,$B$2:$B$12000,0)=ROW()-1,1,0))</f>
        <v/>
      </c>
    </row>
    <row r="9140" customFormat="false" ht="15" hidden="false" customHeight="false" outlineLevel="0" collapsed="false">
      <c r="V9140" s="23" t="str">
        <f aca="false">IF(ISNUMBER(C9140),YEAR(C9140),"")</f>
        <v/>
      </c>
      <c r="W9140" s="23" t="str">
        <f aca="false">IF(ISNUMBER(C9140),MONTH(C9140),"")</f>
        <v/>
      </c>
      <c r="X9140" s="23" t="str">
        <f aca="false">IF(T9140="","",IF(T9140=0,"No discount",IF(T9140&lt;=0.2,"Low (1-20%)",IF(T9140&lt;=0.4,"Medium (21-40%)","High (&gt;40%)"))))</f>
        <v/>
      </c>
      <c r="Y9140" s="23" t="str">
        <f aca="false">IF(AND(ISNUMBER(C9140),ISNUMBER(D9140)),D9140-C9140,"")</f>
        <v/>
      </c>
      <c r="Z9140" s="23" t="str">
        <f aca="false">IF(B9140="","",IF(MATCH(B9140,$B$2:$B$12000,0)=ROW()-1,1,0))</f>
        <v/>
      </c>
    </row>
    <row r="9141" customFormat="false" ht="15" hidden="false" customHeight="false" outlineLevel="0" collapsed="false">
      <c r="V9141" s="23" t="str">
        <f aca="false">IF(ISNUMBER(C9141),YEAR(C9141),"")</f>
        <v/>
      </c>
      <c r="W9141" s="23" t="str">
        <f aca="false">IF(ISNUMBER(C9141),MONTH(C9141),"")</f>
        <v/>
      </c>
      <c r="X9141" s="23" t="str">
        <f aca="false">IF(T9141="","",IF(T9141=0,"No discount",IF(T9141&lt;=0.2,"Low (1-20%)",IF(T9141&lt;=0.4,"Medium (21-40%)","High (&gt;40%)"))))</f>
        <v/>
      </c>
      <c r="Y9141" s="23" t="str">
        <f aca="false">IF(AND(ISNUMBER(C9141),ISNUMBER(D9141)),D9141-C9141,"")</f>
        <v/>
      </c>
      <c r="Z9141" s="23" t="str">
        <f aca="false">IF(B9141="","",IF(MATCH(B9141,$B$2:$B$12000,0)=ROW()-1,1,0))</f>
        <v/>
      </c>
    </row>
    <row r="9142" customFormat="false" ht="15" hidden="false" customHeight="false" outlineLevel="0" collapsed="false">
      <c r="V9142" s="23" t="str">
        <f aca="false">IF(ISNUMBER(C9142),YEAR(C9142),"")</f>
        <v/>
      </c>
      <c r="W9142" s="23" t="str">
        <f aca="false">IF(ISNUMBER(C9142),MONTH(C9142),"")</f>
        <v/>
      </c>
      <c r="X9142" s="23" t="str">
        <f aca="false">IF(T9142="","",IF(T9142=0,"No discount",IF(T9142&lt;=0.2,"Low (1-20%)",IF(T9142&lt;=0.4,"Medium (21-40%)","High (&gt;40%)"))))</f>
        <v/>
      </c>
      <c r="Y9142" s="23" t="str">
        <f aca="false">IF(AND(ISNUMBER(C9142),ISNUMBER(D9142)),D9142-C9142,"")</f>
        <v/>
      </c>
      <c r="Z9142" s="23" t="str">
        <f aca="false">IF(B9142="","",IF(MATCH(B9142,$B$2:$B$12000,0)=ROW()-1,1,0))</f>
        <v/>
      </c>
    </row>
    <row r="9143" customFormat="false" ht="15" hidden="false" customHeight="false" outlineLevel="0" collapsed="false">
      <c r="V9143" s="23" t="str">
        <f aca="false">IF(ISNUMBER(C9143),YEAR(C9143),"")</f>
        <v/>
      </c>
      <c r="W9143" s="23" t="str">
        <f aca="false">IF(ISNUMBER(C9143),MONTH(C9143),"")</f>
        <v/>
      </c>
      <c r="X9143" s="23" t="str">
        <f aca="false">IF(T9143="","",IF(T9143=0,"No discount",IF(T9143&lt;=0.2,"Low (1-20%)",IF(T9143&lt;=0.4,"Medium (21-40%)","High (&gt;40%)"))))</f>
        <v/>
      </c>
      <c r="Y9143" s="23" t="str">
        <f aca="false">IF(AND(ISNUMBER(C9143),ISNUMBER(D9143)),D9143-C9143,"")</f>
        <v/>
      </c>
      <c r="Z9143" s="23" t="str">
        <f aca="false">IF(B9143="","",IF(MATCH(B9143,$B$2:$B$12000,0)=ROW()-1,1,0))</f>
        <v/>
      </c>
    </row>
    <row r="9144" customFormat="false" ht="15" hidden="false" customHeight="false" outlineLevel="0" collapsed="false">
      <c r="V9144" s="23" t="str">
        <f aca="false">IF(ISNUMBER(C9144),YEAR(C9144),"")</f>
        <v/>
      </c>
      <c r="W9144" s="23" t="str">
        <f aca="false">IF(ISNUMBER(C9144),MONTH(C9144),"")</f>
        <v/>
      </c>
      <c r="X9144" s="23" t="str">
        <f aca="false">IF(T9144="","",IF(T9144=0,"No discount",IF(T9144&lt;=0.2,"Low (1-20%)",IF(T9144&lt;=0.4,"Medium (21-40%)","High (&gt;40%)"))))</f>
        <v/>
      </c>
      <c r="Y9144" s="23" t="str">
        <f aca="false">IF(AND(ISNUMBER(C9144),ISNUMBER(D9144)),D9144-C9144,"")</f>
        <v/>
      </c>
      <c r="Z9144" s="23" t="str">
        <f aca="false">IF(B9144="","",IF(MATCH(B9144,$B$2:$B$12000,0)=ROW()-1,1,0))</f>
        <v/>
      </c>
    </row>
    <row r="9145" customFormat="false" ht="15" hidden="false" customHeight="false" outlineLevel="0" collapsed="false">
      <c r="V9145" s="23" t="str">
        <f aca="false">IF(ISNUMBER(C9145),YEAR(C9145),"")</f>
        <v/>
      </c>
      <c r="W9145" s="23" t="str">
        <f aca="false">IF(ISNUMBER(C9145),MONTH(C9145),"")</f>
        <v/>
      </c>
      <c r="X9145" s="23" t="str">
        <f aca="false">IF(T9145="","",IF(T9145=0,"No discount",IF(T9145&lt;=0.2,"Low (1-20%)",IF(T9145&lt;=0.4,"Medium (21-40%)","High (&gt;40%)"))))</f>
        <v/>
      </c>
      <c r="Y9145" s="23" t="str">
        <f aca="false">IF(AND(ISNUMBER(C9145),ISNUMBER(D9145)),D9145-C9145,"")</f>
        <v/>
      </c>
      <c r="Z9145" s="23" t="str">
        <f aca="false">IF(B9145="","",IF(MATCH(B9145,$B$2:$B$12000,0)=ROW()-1,1,0))</f>
        <v/>
      </c>
    </row>
    <row r="9146" customFormat="false" ht="15" hidden="false" customHeight="false" outlineLevel="0" collapsed="false">
      <c r="V9146" s="23" t="str">
        <f aca="false">IF(ISNUMBER(C9146),YEAR(C9146),"")</f>
        <v/>
      </c>
      <c r="W9146" s="23" t="str">
        <f aca="false">IF(ISNUMBER(C9146),MONTH(C9146),"")</f>
        <v/>
      </c>
      <c r="X9146" s="23" t="str">
        <f aca="false">IF(T9146="","",IF(T9146=0,"No discount",IF(T9146&lt;=0.2,"Low (1-20%)",IF(T9146&lt;=0.4,"Medium (21-40%)","High (&gt;40%)"))))</f>
        <v/>
      </c>
      <c r="Y9146" s="23" t="str">
        <f aca="false">IF(AND(ISNUMBER(C9146),ISNUMBER(D9146)),D9146-C9146,"")</f>
        <v/>
      </c>
      <c r="Z9146" s="23" t="str">
        <f aca="false">IF(B9146="","",IF(MATCH(B9146,$B$2:$B$12000,0)=ROW()-1,1,0))</f>
        <v/>
      </c>
    </row>
    <row r="9147" customFormat="false" ht="15" hidden="false" customHeight="false" outlineLevel="0" collapsed="false">
      <c r="V9147" s="23" t="str">
        <f aca="false">IF(ISNUMBER(C9147),YEAR(C9147),"")</f>
        <v/>
      </c>
      <c r="W9147" s="23" t="str">
        <f aca="false">IF(ISNUMBER(C9147),MONTH(C9147),"")</f>
        <v/>
      </c>
      <c r="X9147" s="23" t="str">
        <f aca="false">IF(T9147="","",IF(T9147=0,"No discount",IF(T9147&lt;=0.2,"Low (1-20%)",IF(T9147&lt;=0.4,"Medium (21-40%)","High (&gt;40%)"))))</f>
        <v/>
      </c>
      <c r="Y9147" s="23" t="str">
        <f aca="false">IF(AND(ISNUMBER(C9147),ISNUMBER(D9147)),D9147-C9147,"")</f>
        <v/>
      </c>
      <c r="Z9147" s="23" t="str">
        <f aca="false">IF(B9147="","",IF(MATCH(B9147,$B$2:$B$12000,0)=ROW()-1,1,0))</f>
        <v/>
      </c>
    </row>
    <row r="9148" customFormat="false" ht="15" hidden="false" customHeight="false" outlineLevel="0" collapsed="false">
      <c r="V9148" s="23" t="str">
        <f aca="false">IF(ISNUMBER(C9148),YEAR(C9148),"")</f>
        <v/>
      </c>
      <c r="W9148" s="23" t="str">
        <f aca="false">IF(ISNUMBER(C9148),MONTH(C9148),"")</f>
        <v/>
      </c>
      <c r="X9148" s="23" t="str">
        <f aca="false">IF(T9148="","",IF(T9148=0,"No discount",IF(T9148&lt;=0.2,"Low (1-20%)",IF(T9148&lt;=0.4,"Medium (21-40%)","High (&gt;40%)"))))</f>
        <v/>
      </c>
      <c r="Y9148" s="23" t="str">
        <f aca="false">IF(AND(ISNUMBER(C9148),ISNUMBER(D9148)),D9148-C9148,"")</f>
        <v/>
      </c>
      <c r="Z9148" s="23" t="str">
        <f aca="false">IF(B9148="","",IF(MATCH(B9148,$B$2:$B$12000,0)=ROW()-1,1,0))</f>
        <v/>
      </c>
    </row>
    <row r="9149" customFormat="false" ht="15" hidden="false" customHeight="false" outlineLevel="0" collapsed="false">
      <c r="V9149" s="23" t="str">
        <f aca="false">IF(ISNUMBER(C9149),YEAR(C9149),"")</f>
        <v/>
      </c>
      <c r="W9149" s="23" t="str">
        <f aca="false">IF(ISNUMBER(C9149),MONTH(C9149),"")</f>
        <v/>
      </c>
      <c r="X9149" s="23" t="str">
        <f aca="false">IF(T9149="","",IF(T9149=0,"No discount",IF(T9149&lt;=0.2,"Low (1-20%)",IF(T9149&lt;=0.4,"Medium (21-40%)","High (&gt;40%)"))))</f>
        <v/>
      </c>
      <c r="Y9149" s="23" t="str">
        <f aca="false">IF(AND(ISNUMBER(C9149),ISNUMBER(D9149)),D9149-C9149,"")</f>
        <v/>
      </c>
      <c r="Z9149" s="23" t="str">
        <f aca="false">IF(B9149="","",IF(MATCH(B9149,$B$2:$B$12000,0)=ROW()-1,1,0))</f>
        <v/>
      </c>
    </row>
    <row r="9150" customFormat="false" ht="15" hidden="false" customHeight="false" outlineLevel="0" collapsed="false">
      <c r="V9150" s="23" t="str">
        <f aca="false">IF(ISNUMBER(C9150),YEAR(C9150),"")</f>
        <v/>
      </c>
      <c r="W9150" s="23" t="str">
        <f aca="false">IF(ISNUMBER(C9150),MONTH(C9150),"")</f>
        <v/>
      </c>
      <c r="X9150" s="23" t="str">
        <f aca="false">IF(T9150="","",IF(T9150=0,"No discount",IF(T9150&lt;=0.2,"Low (1-20%)",IF(T9150&lt;=0.4,"Medium (21-40%)","High (&gt;40%)"))))</f>
        <v/>
      </c>
      <c r="Y9150" s="23" t="str">
        <f aca="false">IF(AND(ISNUMBER(C9150),ISNUMBER(D9150)),D9150-C9150,"")</f>
        <v/>
      </c>
      <c r="Z9150" s="23" t="str">
        <f aca="false">IF(B9150="","",IF(MATCH(B9150,$B$2:$B$12000,0)=ROW()-1,1,0))</f>
        <v/>
      </c>
    </row>
    <row r="9151" customFormat="false" ht="15" hidden="false" customHeight="false" outlineLevel="0" collapsed="false">
      <c r="V9151" s="23" t="str">
        <f aca="false">IF(ISNUMBER(C9151),YEAR(C9151),"")</f>
        <v/>
      </c>
      <c r="W9151" s="23" t="str">
        <f aca="false">IF(ISNUMBER(C9151),MONTH(C9151),"")</f>
        <v/>
      </c>
      <c r="X9151" s="23" t="str">
        <f aca="false">IF(T9151="","",IF(T9151=0,"No discount",IF(T9151&lt;=0.2,"Low (1-20%)",IF(T9151&lt;=0.4,"Medium (21-40%)","High (&gt;40%)"))))</f>
        <v/>
      </c>
      <c r="Y9151" s="23" t="str">
        <f aca="false">IF(AND(ISNUMBER(C9151),ISNUMBER(D9151)),D9151-C9151,"")</f>
        <v/>
      </c>
      <c r="Z9151" s="23" t="str">
        <f aca="false">IF(B9151="","",IF(MATCH(B9151,$B$2:$B$12000,0)=ROW()-1,1,0))</f>
        <v/>
      </c>
    </row>
    <row r="9152" customFormat="false" ht="15" hidden="false" customHeight="false" outlineLevel="0" collapsed="false">
      <c r="V9152" s="23" t="str">
        <f aca="false">IF(ISNUMBER(C9152),YEAR(C9152),"")</f>
        <v/>
      </c>
      <c r="W9152" s="23" t="str">
        <f aca="false">IF(ISNUMBER(C9152),MONTH(C9152),"")</f>
        <v/>
      </c>
      <c r="X9152" s="23" t="str">
        <f aca="false">IF(T9152="","",IF(T9152=0,"No discount",IF(T9152&lt;=0.2,"Low (1-20%)",IF(T9152&lt;=0.4,"Medium (21-40%)","High (&gt;40%)"))))</f>
        <v/>
      </c>
      <c r="Y9152" s="23" t="str">
        <f aca="false">IF(AND(ISNUMBER(C9152),ISNUMBER(D9152)),D9152-C9152,"")</f>
        <v/>
      </c>
      <c r="Z9152" s="23" t="str">
        <f aca="false">IF(B9152="","",IF(MATCH(B9152,$B$2:$B$12000,0)=ROW()-1,1,0))</f>
        <v/>
      </c>
    </row>
    <row r="9153" customFormat="false" ht="15" hidden="false" customHeight="false" outlineLevel="0" collapsed="false">
      <c r="V9153" s="23" t="str">
        <f aca="false">IF(ISNUMBER(C9153),YEAR(C9153),"")</f>
        <v/>
      </c>
      <c r="W9153" s="23" t="str">
        <f aca="false">IF(ISNUMBER(C9153),MONTH(C9153),"")</f>
        <v/>
      </c>
      <c r="X9153" s="23" t="str">
        <f aca="false">IF(T9153="","",IF(T9153=0,"No discount",IF(T9153&lt;=0.2,"Low (1-20%)",IF(T9153&lt;=0.4,"Medium (21-40%)","High (&gt;40%)"))))</f>
        <v/>
      </c>
      <c r="Y9153" s="23" t="str">
        <f aca="false">IF(AND(ISNUMBER(C9153),ISNUMBER(D9153)),D9153-C9153,"")</f>
        <v/>
      </c>
      <c r="Z9153" s="23" t="str">
        <f aca="false">IF(B9153="","",IF(MATCH(B9153,$B$2:$B$12000,0)=ROW()-1,1,0))</f>
        <v/>
      </c>
    </row>
    <row r="9154" customFormat="false" ht="15" hidden="false" customHeight="false" outlineLevel="0" collapsed="false">
      <c r="V9154" s="23" t="str">
        <f aca="false">IF(ISNUMBER(C9154),YEAR(C9154),"")</f>
        <v/>
      </c>
      <c r="W9154" s="23" t="str">
        <f aca="false">IF(ISNUMBER(C9154),MONTH(C9154),"")</f>
        <v/>
      </c>
      <c r="X9154" s="23" t="str">
        <f aca="false">IF(T9154="","",IF(T9154=0,"No discount",IF(T9154&lt;=0.2,"Low (1-20%)",IF(T9154&lt;=0.4,"Medium (21-40%)","High (&gt;40%)"))))</f>
        <v/>
      </c>
      <c r="Y9154" s="23" t="str">
        <f aca="false">IF(AND(ISNUMBER(C9154),ISNUMBER(D9154)),D9154-C9154,"")</f>
        <v/>
      </c>
      <c r="Z9154" s="23" t="str">
        <f aca="false">IF(B9154="","",IF(MATCH(B9154,$B$2:$B$12000,0)=ROW()-1,1,0))</f>
        <v/>
      </c>
    </row>
    <row r="9155" customFormat="false" ht="15" hidden="false" customHeight="false" outlineLevel="0" collapsed="false">
      <c r="V9155" s="23" t="str">
        <f aca="false">IF(ISNUMBER(C9155),YEAR(C9155),"")</f>
        <v/>
      </c>
      <c r="W9155" s="23" t="str">
        <f aca="false">IF(ISNUMBER(C9155),MONTH(C9155),"")</f>
        <v/>
      </c>
      <c r="X9155" s="23" t="str">
        <f aca="false">IF(T9155="","",IF(T9155=0,"No discount",IF(T9155&lt;=0.2,"Low (1-20%)",IF(T9155&lt;=0.4,"Medium (21-40%)","High (&gt;40%)"))))</f>
        <v/>
      </c>
      <c r="Y9155" s="23" t="str">
        <f aca="false">IF(AND(ISNUMBER(C9155),ISNUMBER(D9155)),D9155-C9155,"")</f>
        <v/>
      </c>
      <c r="Z9155" s="23" t="str">
        <f aca="false">IF(B9155="","",IF(MATCH(B9155,$B$2:$B$12000,0)=ROW()-1,1,0))</f>
        <v/>
      </c>
    </row>
    <row r="9156" customFormat="false" ht="15" hidden="false" customHeight="false" outlineLevel="0" collapsed="false">
      <c r="V9156" s="23" t="str">
        <f aca="false">IF(ISNUMBER(C9156),YEAR(C9156),"")</f>
        <v/>
      </c>
      <c r="W9156" s="23" t="str">
        <f aca="false">IF(ISNUMBER(C9156),MONTH(C9156),"")</f>
        <v/>
      </c>
      <c r="X9156" s="23" t="str">
        <f aca="false">IF(T9156="","",IF(T9156=0,"No discount",IF(T9156&lt;=0.2,"Low (1-20%)",IF(T9156&lt;=0.4,"Medium (21-40%)","High (&gt;40%)"))))</f>
        <v/>
      </c>
      <c r="Y9156" s="23" t="str">
        <f aca="false">IF(AND(ISNUMBER(C9156),ISNUMBER(D9156)),D9156-C9156,"")</f>
        <v/>
      </c>
      <c r="Z9156" s="23" t="str">
        <f aca="false">IF(B9156="","",IF(MATCH(B9156,$B$2:$B$12000,0)=ROW()-1,1,0))</f>
        <v/>
      </c>
    </row>
    <row r="9157" customFormat="false" ht="15" hidden="false" customHeight="false" outlineLevel="0" collapsed="false">
      <c r="V9157" s="23" t="str">
        <f aca="false">IF(ISNUMBER(C9157),YEAR(C9157),"")</f>
        <v/>
      </c>
      <c r="W9157" s="23" t="str">
        <f aca="false">IF(ISNUMBER(C9157),MONTH(C9157),"")</f>
        <v/>
      </c>
      <c r="X9157" s="23" t="str">
        <f aca="false">IF(T9157="","",IF(T9157=0,"No discount",IF(T9157&lt;=0.2,"Low (1-20%)",IF(T9157&lt;=0.4,"Medium (21-40%)","High (&gt;40%)"))))</f>
        <v/>
      </c>
      <c r="Y9157" s="23" t="str">
        <f aca="false">IF(AND(ISNUMBER(C9157),ISNUMBER(D9157)),D9157-C9157,"")</f>
        <v/>
      </c>
      <c r="Z9157" s="23" t="str">
        <f aca="false">IF(B9157="","",IF(MATCH(B9157,$B$2:$B$12000,0)=ROW()-1,1,0))</f>
        <v/>
      </c>
    </row>
    <row r="9158" customFormat="false" ht="15" hidden="false" customHeight="false" outlineLevel="0" collapsed="false">
      <c r="V9158" s="23" t="str">
        <f aca="false">IF(ISNUMBER(C9158),YEAR(C9158),"")</f>
        <v/>
      </c>
      <c r="W9158" s="23" t="str">
        <f aca="false">IF(ISNUMBER(C9158),MONTH(C9158),"")</f>
        <v/>
      </c>
      <c r="X9158" s="23" t="str">
        <f aca="false">IF(T9158="","",IF(T9158=0,"No discount",IF(T9158&lt;=0.2,"Low (1-20%)",IF(T9158&lt;=0.4,"Medium (21-40%)","High (&gt;40%)"))))</f>
        <v/>
      </c>
      <c r="Y9158" s="23" t="str">
        <f aca="false">IF(AND(ISNUMBER(C9158),ISNUMBER(D9158)),D9158-C9158,"")</f>
        <v/>
      </c>
      <c r="Z9158" s="23" t="str">
        <f aca="false">IF(B9158="","",IF(MATCH(B9158,$B$2:$B$12000,0)=ROW()-1,1,0))</f>
        <v/>
      </c>
    </row>
    <row r="9159" customFormat="false" ht="15" hidden="false" customHeight="false" outlineLevel="0" collapsed="false">
      <c r="V9159" s="23" t="str">
        <f aca="false">IF(ISNUMBER(C9159),YEAR(C9159),"")</f>
        <v/>
      </c>
      <c r="W9159" s="23" t="str">
        <f aca="false">IF(ISNUMBER(C9159),MONTH(C9159),"")</f>
        <v/>
      </c>
      <c r="X9159" s="23" t="str">
        <f aca="false">IF(T9159="","",IF(T9159=0,"No discount",IF(T9159&lt;=0.2,"Low (1-20%)",IF(T9159&lt;=0.4,"Medium (21-40%)","High (&gt;40%)"))))</f>
        <v/>
      </c>
      <c r="Y9159" s="23" t="str">
        <f aca="false">IF(AND(ISNUMBER(C9159),ISNUMBER(D9159)),D9159-C9159,"")</f>
        <v/>
      </c>
      <c r="Z9159" s="23" t="str">
        <f aca="false">IF(B9159="","",IF(MATCH(B9159,$B$2:$B$12000,0)=ROW()-1,1,0))</f>
        <v/>
      </c>
    </row>
    <row r="9160" customFormat="false" ht="15" hidden="false" customHeight="false" outlineLevel="0" collapsed="false">
      <c r="V9160" s="23" t="str">
        <f aca="false">IF(ISNUMBER(C9160),YEAR(C9160),"")</f>
        <v/>
      </c>
      <c r="W9160" s="23" t="str">
        <f aca="false">IF(ISNUMBER(C9160),MONTH(C9160),"")</f>
        <v/>
      </c>
      <c r="X9160" s="23" t="str">
        <f aca="false">IF(T9160="","",IF(T9160=0,"No discount",IF(T9160&lt;=0.2,"Low (1-20%)",IF(T9160&lt;=0.4,"Medium (21-40%)","High (&gt;40%)"))))</f>
        <v/>
      </c>
      <c r="Y9160" s="23" t="str">
        <f aca="false">IF(AND(ISNUMBER(C9160),ISNUMBER(D9160)),D9160-C9160,"")</f>
        <v/>
      </c>
      <c r="Z9160" s="23" t="str">
        <f aca="false">IF(B9160="","",IF(MATCH(B9160,$B$2:$B$12000,0)=ROW()-1,1,0))</f>
        <v/>
      </c>
    </row>
    <row r="9161" customFormat="false" ht="15" hidden="false" customHeight="false" outlineLevel="0" collapsed="false">
      <c r="V9161" s="23" t="str">
        <f aca="false">IF(ISNUMBER(C9161),YEAR(C9161),"")</f>
        <v/>
      </c>
      <c r="W9161" s="23" t="str">
        <f aca="false">IF(ISNUMBER(C9161),MONTH(C9161),"")</f>
        <v/>
      </c>
      <c r="X9161" s="23" t="str">
        <f aca="false">IF(T9161="","",IF(T9161=0,"No discount",IF(T9161&lt;=0.2,"Low (1-20%)",IF(T9161&lt;=0.4,"Medium (21-40%)","High (&gt;40%)"))))</f>
        <v/>
      </c>
      <c r="Y9161" s="23" t="str">
        <f aca="false">IF(AND(ISNUMBER(C9161),ISNUMBER(D9161)),D9161-C9161,"")</f>
        <v/>
      </c>
      <c r="Z9161" s="23" t="str">
        <f aca="false">IF(B9161="","",IF(MATCH(B9161,$B$2:$B$12000,0)=ROW()-1,1,0))</f>
        <v/>
      </c>
    </row>
    <row r="9162" customFormat="false" ht="15" hidden="false" customHeight="false" outlineLevel="0" collapsed="false">
      <c r="V9162" s="23" t="str">
        <f aca="false">IF(ISNUMBER(C9162),YEAR(C9162),"")</f>
        <v/>
      </c>
      <c r="W9162" s="23" t="str">
        <f aca="false">IF(ISNUMBER(C9162),MONTH(C9162),"")</f>
        <v/>
      </c>
      <c r="X9162" s="23" t="str">
        <f aca="false">IF(T9162="","",IF(T9162=0,"No discount",IF(T9162&lt;=0.2,"Low (1-20%)",IF(T9162&lt;=0.4,"Medium (21-40%)","High (&gt;40%)"))))</f>
        <v/>
      </c>
      <c r="Y9162" s="23" t="str">
        <f aca="false">IF(AND(ISNUMBER(C9162),ISNUMBER(D9162)),D9162-C9162,"")</f>
        <v/>
      </c>
      <c r="Z9162" s="23" t="str">
        <f aca="false">IF(B9162="","",IF(MATCH(B9162,$B$2:$B$12000,0)=ROW()-1,1,0))</f>
        <v/>
      </c>
    </row>
    <row r="9163" customFormat="false" ht="15" hidden="false" customHeight="false" outlineLevel="0" collapsed="false">
      <c r="V9163" s="23" t="str">
        <f aca="false">IF(ISNUMBER(C9163),YEAR(C9163),"")</f>
        <v/>
      </c>
      <c r="W9163" s="23" t="str">
        <f aca="false">IF(ISNUMBER(C9163),MONTH(C9163),"")</f>
        <v/>
      </c>
      <c r="X9163" s="23" t="str">
        <f aca="false">IF(T9163="","",IF(T9163=0,"No discount",IF(T9163&lt;=0.2,"Low (1-20%)",IF(T9163&lt;=0.4,"Medium (21-40%)","High (&gt;40%)"))))</f>
        <v/>
      </c>
      <c r="Y9163" s="23" t="str">
        <f aca="false">IF(AND(ISNUMBER(C9163),ISNUMBER(D9163)),D9163-C9163,"")</f>
        <v/>
      </c>
      <c r="Z9163" s="23" t="str">
        <f aca="false">IF(B9163="","",IF(MATCH(B9163,$B$2:$B$12000,0)=ROW()-1,1,0))</f>
        <v/>
      </c>
    </row>
    <row r="9164" customFormat="false" ht="15" hidden="false" customHeight="false" outlineLevel="0" collapsed="false">
      <c r="V9164" s="23" t="str">
        <f aca="false">IF(ISNUMBER(C9164),YEAR(C9164),"")</f>
        <v/>
      </c>
      <c r="W9164" s="23" t="str">
        <f aca="false">IF(ISNUMBER(C9164),MONTH(C9164),"")</f>
        <v/>
      </c>
      <c r="X9164" s="23" t="str">
        <f aca="false">IF(T9164="","",IF(T9164=0,"No discount",IF(T9164&lt;=0.2,"Low (1-20%)",IF(T9164&lt;=0.4,"Medium (21-40%)","High (&gt;40%)"))))</f>
        <v/>
      </c>
      <c r="Y9164" s="23" t="str">
        <f aca="false">IF(AND(ISNUMBER(C9164),ISNUMBER(D9164)),D9164-C9164,"")</f>
        <v/>
      </c>
      <c r="Z9164" s="23" t="str">
        <f aca="false">IF(B9164="","",IF(MATCH(B9164,$B$2:$B$12000,0)=ROW()-1,1,0))</f>
        <v/>
      </c>
    </row>
    <row r="9165" customFormat="false" ht="15" hidden="false" customHeight="false" outlineLevel="0" collapsed="false">
      <c r="V9165" s="23" t="str">
        <f aca="false">IF(ISNUMBER(C9165),YEAR(C9165),"")</f>
        <v/>
      </c>
      <c r="W9165" s="23" t="str">
        <f aca="false">IF(ISNUMBER(C9165),MONTH(C9165),"")</f>
        <v/>
      </c>
      <c r="X9165" s="23" t="str">
        <f aca="false">IF(T9165="","",IF(T9165=0,"No discount",IF(T9165&lt;=0.2,"Low (1-20%)",IF(T9165&lt;=0.4,"Medium (21-40%)","High (&gt;40%)"))))</f>
        <v/>
      </c>
      <c r="Y9165" s="23" t="str">
        <f aca="false">IF(AND(ISNUMBER(C9165),ISNUMBER(D9165)),D9165-C9165,"")</f>
        <v/>
      </c>
      <c r="Z9165" s="23" t="str">
        <f aca="false">IF(B9165="","",IF(MATCH(B9165,$B$2:$B$12000,0)=ROW()-1,1,0))</f>
        <v/>
      </c>
    </row>
    <row r="9166" customFormat="false" ht="15" hidden="false" customHeight="false" outlineLevel="0" collapsed="false">
      <c r="V9166" s="23" t="str">
        <f aca="false">IF(ISNUMBER(C9166),YEAR(C9166),"")</f>
        <v/>
      </c>
      <c r="W9166" s="23" t="str">
        <f aca="false">IF(ISNUMBER(C9166),MONTH(C9166),"")</f>
        <v/>
      </c>
      <c r="X9166" s="23" t="str">
        <f aca="false">IF(T9166="","",IF(T9166=0,"No discount",IF(T9166&lt;=0.2,"Low (1-20%)",IF(T9166&lt;=0.4,"Medium (21-40%)","High (&gt;40%)"))))</f>
        <v/>
      </c>
      <c r="Y9166" s="23" t="str">
        <f aca="false">IF(AND(ISNUMBER(C9166),ISNUMBER(D9166)),D9166-C9166,"")</f>
        <v/>
      </c>
      <c r="Z9166" s="23" t="str">
        <f aca="false">IF(B9166="","",IF(MATCH(B9166,$B$2:$B$12000,0)=ROW()-1,1,0))</f>
        <v/>
      </c>
    </row>
    <row r="9167" customFormat="false" ht="15" hidden="false" customHeight="false" outlineLevel="0" collapsed="false">
      <c r="V9167" s="23" t="str">
        <f aca="false">IF(ISNUMBER(C9167),YEAR(C9167),"")</f>
        <v/>
      </c>
      <c r="W9167" s="23" t="str">
        <f aca="false">IF(ISNUMBER(C9167),MONTH(C9167),"")</f>
        <v/>
      </c>
      <c r="X9167" s="23" t="str">
        <f aca="false">IF(T9167="","",IF(T9167=0,"No discount",IF(T9167&lt;=0.2,"Low (1-20%)",IF(T9167&lt;=0.4,"Medium (21-40%)","High (&gt;40%)"))))</f>
        <v/>
      </c>
      <c r="Y9167" s="23" t="str">
        <f aca="false">IF(AND(ISNUMBER(C9167),ISNUMBER(D9167)),D9167-C9167,"")</f>
        <v/>
      </c>
      <c r="Z9167" s="23" t="str">
        <f aca="false">IF(B9167="","",IF(MATCH(B9167,$B$2:$B$12000,0)=ROW()-1,1,0))</f>
        <v/>
      </c>
    </row>
    <row r="9168" customFormat="false" ht="15" hidden="false" customHeight="false" outlineLevel="0" collapsed="false">
      <c r="V9168" s="23" t="str">
        <f aca="false">IF(ISNUMBER(C9168),YEAR(C9168),"")</f>
        <v/>
      </c>
      <c r="W9168" s="23" t="str">
        <f aca="false">IF(ISNUMBER(C9168),MONTH(C9168),"")</f>
        <v/>
      </c>
      <c r="X9168" s="23" t="str">
        <f aca="false">IF(T9168="","",IF(T9168=0,"No discount",IF(T9168&lt;=0.2,"Low (1-20%)",IF(T9168&lt;=0.4,"Medium (21-40%)","High (&gt;40%)"))))</f>
        <v/>
      </c>
      <c r="Y9168" s="23" t="str">
        <f aca="false">IF(AND(ISNUMBER(C9168),ISNUMBER(D9168)),D9168-C9168,"")</f>
        <v/>
      </c>
      <c r="Z9168" s="23" t="str">
        <f aca="false">IF(B9168="","",IF(MATCH(B9168,$B$2:$B$12000,0)=ROW()-1,1,0))</f>
        <v/>
      </c>
    </row>
    <row r="9169" customFormat="false" ht="15" hidden="false" customHeight="false" outlineLevel="0" collapsed="false">
      <c r="V9169" s="23" t="str">
        <f aca="false">IF(ISNUMBER(C9169),YEAR(C9169),"")</f>
        <v/>
      </c>
      <c r="W9169" s="23" t="str">
        <f aca="false">IF(ISNUMBER(C9169),MONTH(C9169),"")</f>
        <v/>
      </c>
      <c r="X9169" s="23" t="str">
        <f aca="false">IF(T9169="","",IF(T9169=0,"No discount",IF(T9169&lt;=0.2,"Low (1-20%)",IF(T9169&lt;=0.4,"Medium (21-40%)","High (&gt;40%)"))))</f>
        <v/>
      </c>
      <c r="Y9169" s="23" t="str">
        <f aca="false">IF(AND(ISNUMBER(C9169),ISNUMBER(D9169)),D9169-C9169,"")</f>
        <v/>
      </c>
      <c r="Z9169" s="23" t="str">
        <f aca="false">IF(B9169="","",IF(MATCH(B9169,$B$2:$B$12000,0)=ROW()-1,1,0))</f>
        <v/>
      </c>
    </row>
    <row r="9170" customFormat="false" ht="15" hidden="false" customHeight="false" outlineLevel="0" collapsed="false">
      <c r="V9170" s="23" t="str">
        <f aca="false">IF(ISNUMBER(C9170),YEAR(C9170),"")</f>
        <v/>
      </c>
      <c r="W9170" s="23" t="str">
        <f aca="false">IF(ISNUMBER(C9170),MONTH(C9170),"")</f>
        <v/>
      </c>
      <c r="X9170" s="23" t="str">
        <f aca="false">IF(T9170="","",IF(T9170=0,"No discount",IF(T9170&lt;=0.2,"Low (1-20%)",IF(T9170&lt;=0.4,"Medium (21-40%)","High (&gt;40%)"))))</f>
        <v/>
      </c>
      <c r="Y9170" s="23" t="str">
        <f aca="false">IF(AND(ISNUMBER(C9170),ISNUMBER(D9170)),D9170-C9170,"")</f>
        <v/>
      </c>
      <c r="Z9170" s="23" t="str">
        <f aca="false">IF(B9170="","",IF(MATCH(B9170,$B$2:$B$12000,0)=ROW()-1,1,0))</f>
        <v/>
      </c>
    </row>
    <row r="9171" customFormat="false" ht="15" hidden="false" customHeight="false" outlineLevel="0" collapsed="false">
      <c r="V9171" s="23" t="str">
        <f aca="false">IF(ISNUMBER(C9171),YEAR(C9171),"")</f>
        <v/>
      </c>
      <c r="W9171" s="23" t="str">
        <f aca="false">IF(ISNUMBER(C9171),MONTH(C9171),"")</f>
        <v/>
      </c>
      <c r="X9171" s="23" t="str">
        <f aca="false">IF(T9171="","",IF(T9171=0,"No discount",IF(T9171&lt;=0.2,"Low (1-20%)",IF(T9171&lt;=0.4,"Medium (21-40%)","High (&gt;40%)"))))</f>
        <v/>
      </c>
      <c r="Y9171" s="23" t="str">
        <f aca="false">IF(AND(ISNUMBER(C9171),ISNUMBER(D9171)),D9171-C9171,"")</f>
        <v/>
      </c>
      <c r="Z9171" s="23" t="str">
        <f aca="false">IF(B9171="","",IF(MATCH(B9171,$B$2:$B$12000,0)=ROW()-1,1,0))</f>
        <v/>
      </c>
    </row>
    <row r="9172" customFormat="false" ht="15" hidden="false" customHeight="false" outlineLevel="0" collapsed="false">
      <c r="V9172" s="23" t="str">
        <f aca="false">IF(ISNUMBER(C9172),YEAR(C9172),"")</f>
        <v/>
      </c>
      <c r="W9172" s="23" t="str">
        <f aca="false">IF(ISNUMBER(C9172),MONTH(C9172),"")</f>
        <v/>
      </c>
      <c r="X9172" s="23" t="str">
        <f aca="false">IF(T9172="","",IF(T9172=0,"No discount",IF(T9172&lt;=0.2,"Low (1-20%)",IF(T9172&lt;=0.4,"Medium (21-40%)","High (&gt;40%)"))))</f>
        <v/>
      </c>
      <c r="Y9172" s="23" t="str">
        <f aca="false">IF(AND(ISNUMBER(C9172),ISNUMBER(D9172)),D9172-C9172,"")</f>
        <v/>
      </c>
      <c r="Z9172" s="23" t="str">
        <f aca="false">IF(B9172="","",IF(MATCH(B9172,$B$2:$B$12000,0)=ROW()-1,1,0))</f>
        <v/>
      </c>
    </row>
    <row r="9173" customFormat="false" ht="15" hidden="false" customHeight="false" outlineLevel="0" collapsed="false">
      <c r="V9173" s="23" t="str">
        <f aca="false">IF(ISNUMBER(C9173),YEAR(C9173),"")</f>
        <v/>
      </c>
      <c r="W9173" s="23" t="str">
        <f aca="false">IF(ISNUMBER(C9173),MONTH(C9173),"")</f>
        <v/>
      </c>
      <c r="X9173" s="23" t="str">
        <f aca="false">IF(T9173="","",IF(T9173=0,"No discount",IF(T9173&lt;=0.2,"Low (1-20%)",IF(T9173&lt;=0.4,"Medium (21-40%)","High (&gt;40%)"))))</f>
        <v/>
      </c>
      <c r="Y9173" s="23" t="str">
        <f aca="false">IF(AND(ISNUMBER(C9173),ISNUMBER(D9173)),D9173-C9173,"")</f>
        <v/>
      </c>
      <c r="Z9173" s="23" t="str">
        <f aca="false">IF(B9173="","",IF(MATCH(B9173,$B$2:$B$12000,0)=ROW()-1,1,0))</f>
        <v/>
      </c>
    </row>
    <row r="9174" customFormat="false" ht="15" hidden="false" customHeight="false" outlineLevel="0" collapsed="false">
      <c r="V9174" s="23" t="str">
        <f aca="false">IF(ISNUMBER(C9174),YEAR(C9174),"")</f>
        <v/>
      </c>
      <c r="W9174" s="23" t="str">
        <f aca="false">IF(ISNUMBER(C9174),MONTH(C9174),"")</f>
        <v/>
      </c>
      <c r="X9174" s="23" t="str">
        <f aca="false">IF(T9174="","",IF(T9174=0,"No discount",IF(T9174&lt;=0.2,"Low (1-20%)",IF(T9174&lt;=0.4,"Medium (21-40%)","High (&gt;40%)"))))</f>
        <v/>
      </c>
      <c r="Y9174" s="23" t="str">
        <f aca="false">IF(AND(ISNUMBER(C9174),ISNUMBER(D9174)),D9174-C9174,"")</f>
        <v/>
      </c>
      <c r="Z9174" s="23" t="str">
        <f aca="false">IF(B9174="","",IF(MATCH(B9174,$B$2:$B$12000,0)=ROW()-1,1,0))</f>
        <v/>
      </c>
    </row>
    <row r="9175" customFormat="false" ht="15" hidden="false" customHeight="false" outlineLevel="0" collapsed="false">
      <c r="V9175" s="23" t="str">
        <f aca="false">IF(ISNUMBER(C9175),YEAR(C9175),"")</f>
        <v/>
      </c>
      <c r="W9175" s="23" t="str">
        <f aca="false">IF(ISNUMBER(C9175),MONTH(C9175),"")</f>
        <v/>
      </c>
      <c r="X9175" s="23" t="str">
        <f aca="false">IF(T9175="","",IF(T9175=0,"No discount",IF(T9175&lt;=0.2,"Low (1-20%)",IF(T9175&lt;=0.4,"Medium (21-40%)","High (&gt;40%)"))))</f>
        <v/>
      </c>
      <c r="Y9175" s="23" t="str">
        <f aca="false">IF(AND(ISNUMBER(C9175),ISNUMBER(D9175)),D9175-C9175,"")</f>
        <v/>
      </c>
      <c r="Z9175" s="23" t="str">
        <f aca="false">IF(B9175="","",IF(MATCH(B9175,$B$2:$B$12000,0)=ROW()-1,1,0))</f>
        <v/>
      </c>
    </row>
    <row r="9176" customFormat="false" ht="15" hidden="false" customHeight="false" outlineLevel="0" collapsed="false">
      <c r="V9176" s="23" t="str">
        <f aca="false">IF(ISNUMBER(C9176),YEAR(C9176),"")</f>
        <v/>
      </c>
      <c r="W9176" s="23" t="str">
        <f aca="false">IF(ISNUMBER(C9176),MONTH(C9176),"")</f>
        <v/>
      </c>
      <c r="X9176" s="23" t="str">
        <f aca="false">IF(T9176="","",IF(T9176=0,"No discount",IF(T9176&lt;=0.2,"Low (1-20%)",IF(T9176&lt;=0.4,"Medium (21-40%)","High (&gt;40%)"))))</f>
        <v/>
      </c>
      <c r="Y9176" s="23" t="str">
        <f aca="false">IF(AND(ISNUMBER(C9176),ISNUMBER(D9176)),D9176-C9176,"")</f>
        <v/>
      </c>
      <c r="Z9176" s="23" t="str">
        <f aca="false">IF(B9176="","",IF(MATCH(B9176,$B$2:$B$12000,0)=ROW()-1,1,0))</f>
        <v/>
      </c>
    </row>
    <row r="9177" customFormat="false" ht="15" hidden="false" customHeight="false" outlineLevel="0" collapsed="false">
      <c r="V9177" s="23" t="str">
        <f aca="false">IF(ISNUMBER(C9177),YEAR(C9177),"")</f>
        <v/>
      </c>
      <c r="W9177" s="23" t="str">
        <f aca="false">IF(ISNUMBER(C9177),MONTH(C9177),"")</f>
        <v/>
      </c>
      <c r="X9177" s="23" t="str">
        <f aca="false">IF(T9177="","",IF(T9177=0,"No discount",IF(T9177&lt;=0.2,"Low (1-20%)",IF(T9177&lt;=0.4,"Medium (21-40%)","High (&gt;40%)"))))</f>
        <v/>
      </c>
      <c r="Y9177" s="23" t="str">
        <f aca="false">IF(AND(ISNUMBER(C9177),ISNUMBER(D9177)),D9177-C9177,"")</f>
        <v/>
      </c>
      <c r="Z9177" s="23" t="str">
        <f aca="false">IF(B9177="","",IF(MATCH(B9177,$B$2:$B$12000,0)=ROW()-1,1,0))</f>
        <v/>
      </c>
    </row>
    <row r="9178" customFormat="false" ht="15" hidden="false" customHeight="false" outlineLevel="0" collapsed="false">
      <c r="V9178" s="23" t="str">
        <f aca="false">IF(ISNUMBER(C9178),YEAR(C9178),"")</f>
        <v/>
      </c>
      <c r="W9178" s="23" t="str">
        <f aca="false">IF(ISNUMBER(C9178),MONTH(C9178),"")</f>
        <v/>
      </c>
      <c r="X9178" s="23" t="str">
        <f aca="false">IF(T9178="","",IF(T9178=0,"No discount",IF(T9178&lt;=0.2,"Low (1-20%)",IF(T9178&lt;=0.4,"Medium (21-40%)","High (&gt;40%)"))))</f>
        <v/>
      </c>
      <c r="Y9178" s="23" t="str">
        <f aca="false">IF(AND(ISNUMBER(C9178),ISNUMBER(D9178)),D9178-C9178,"")</f>
        <v/>
      </c>
      <c r="Z9178" s="23" t="str">
        <f aca="false">IF(B9178="","",IF(MATCH(B9178,$B$2:$B$12000,0)=ROW()-1,1,0))</f>
        <v/>
      </c>
    </row>
    <row r="9179" customFormat="false" ht="15" hidden="false" customHeight="false" outlineLevel="0" collapsed="false">
      <c r="V9179" s="23" t="str">
        <f aca="false">IF(ISNUMBER(C9179),YEAR(C9179),"")</f>
        <v/>
      </c>
      <c r="W9179" s="23" t="str">
        <f aca="false">IF(ISNUMBER(C9179),MONTH(C9179),"")</f>
        <v/>
      </c>
      <c r="X9179" s="23" t="str">
        <f aca="false">IF(T9179="","",IF(T9179=0,"No discount",IF(T9179&lt;=0.2,"Low (1-20%)",IF(T9179&lt;=0.4,"Medium (21-40%)","High (&gt;40%)"))))</f>
        <v/>
      </c>
      <c r="Y9179" s="23" t="str">
        <f aca="false">IF(AND(ISNUMBER(C9179),ISNUMBER(D9179)),D9179-C9179,"")</f>
        <v/>
      </c>
      <c r="Z9179" s="23" t="str">
        <f aca="false">IF(B9179="","",IF(MATCH(B9179,$B$2:$B$12000,0)=ROW()-1,1,0))</f>
        <v/>
      </c>
    </row>
    <row r="9180" customFormat="false" ht="15" hidden="false" customHeight="false" outlineLevel="0" collapsed="false">
      <c r="V9180" s="23" t="str">
        <f aca="false">IF(ISNUMBER(C9180),YEAR(C9180),"")</f>
        <v/>
      </c>
      <c r="W9180" s="23" t="str">
        <f aca="false">IF(ISNUMBER(C9180),MONTH(C9180),"")</f>
        <v/>
      </c>
      <c r="X9180" s="23" t="str">
        <f aca="false">IF(T9180="","",IF(T9180=0,"No discount",IF(T9180&lt;=0.2,"Low (1-20%)",IF(T9180&lt;=0.4,"Medium (21-40%)","High (&gt;40%)"))))</f>
        <v/>
      </c>
      <c r="Y9180" s="23" t="str">
        <f aca="false">IF(AND(ISNUMBER(C9180),ISNUMBER(D9180)),D9180-C9180,"")</f>
        <v/>
      </c>
      <c r="Z9180" s="23" t="str">
        <f aca="false">IF(B9180="","",IF(MATCH(B9180,$B$2:$B$12000,0)=ROW()-1,1,0))</f>
        <v/>
      </c>
    </row>
    <row r="9181" customFormat="false" ht="15" hidden="false" customHeight="false" outlineLevel="0" collapsed="false">
      <c r="V9181" s="23" t="str">
        <f aca="false">IF(ISNUMBER(C9181),YEAR(C9181),"")</f>
        <v/>
      </c>
      <c r="W9181" s="23" t="str">
        <f aca="false">IF(ISNUMBER(C9181),MONTH(C9181),"")</f>
        <v/>
      </c>
      <c r="X9181" s="23" t="str">
        <f aca="false">IF(T9181="","",IF(T9181=0,"No discount",IF(T9181&lt;=0.2,"Low (1-20%)",IF(T9181&lt;=0.4,"Medium (21-40%)","High (&gt;40%)"))))</f>
        <v/>
      </c>
      <c r="Y9181" s="23" t="str">
        <f aca="false">IF(AND(ISNUMBER(C9181),ISNUMBER(D9181)),D9181-C9181,"")</f>
        <v/>
      </c>
      <c r="Z9181" s="23" t="str">
        <f aca="false">IF(B9181="","",IF(MATCH(B9181,$B$2:$B$12000,0)=ROW()-1,1,0))</f>
        <v/>
      </c>
    </row>
    <row r="9182" customFormat="false" ht="15" hidden="false" customHeight="false" outlineLevel="0" collapsed="false">
      <c r="V9182" s="23" t="str">
        <f aca="false">IF(ISNUMBER(C9182),YEAR(C9182),"")</f>
        <v/>
      </c>
      <c r="W9182" s="23" t="str">
        <f aca="false">IF(ISNUMBER(C9182),MONTH(C9182),"")</f>
        <v/>
      </c>
      <c r="X9182" s="23" t="str">
        <f aca="false">IF(T9182="","",IF(T9182=0,"No discount",IF(T9182&lt;=0.2,"Low (1-20%)",IF(T9182&lt;=0.4,"Medium (21-40%)","High (&gt;40%)"))))</f>
        <v/>
      </c>
      <c r="Y9182" s="23" t="str">
        <f aca="false">IF(AND(ISNUMBER(C9182),ISNUMBER(D9182)),D9182-C9182,"")</f>
        <v/>
      </c>
      <c r="Z9182" s="23" t="str">
        <f aca="false">IF(B9182="","",IF(MATCH(B9182,$B$2:$B$12000,0)=ROW()-1,1,0))</f>
        <v/>
      </c>
    </row>
    <row r="9183" customFormat="false" ht="15" hidden="false" customHeight="false" outlineLevel="0" collapsed="false">
      <c r="V9183" s="23" t="str">
        <f aca="false">IF(ISNUMBER(C9183),YEAR(C9183),"")</f>
        <v/>
      </c>
      <c r="W9183" s="23" t="str">
        <f aca="false">IF(ISNUMBER(C9183),MONTH(C9183),"")</f>
        <v/>
      </c>
      <c r="X9183" s="23" t="str">
        <f aca="false">IF(T9183="","",IF(T9183=0,"No discount",IF(T9183&lt;=0.2,"Low (1-20%)",IF(T9183&lt;=0.4,"Medium (21-40%)","High (&gt;40%)"))))</f>
        <v/>
      </c>
      <c r="Y9183" s="23" t="str">
        <f aca="false">IF(AND(ISNUMBER(C9183),ISNUMBER(D9183)),D9183-C9183,"")</f>
        <v/>
      </c>
      <c r="Z9183" s="23" t="str">
        <f aca="false">IF(B9183="","",IF(MATCH(B9183,$B$2:$B$12000,0)=ROW()-1,1,0))</f>
        <v/>
      </c>
    </row>
    <row r="9184" customFormat="false" ht="15" hidden="false" customHeight="false" outlineLevel="0" collapsed="false">
      <c r="V9184" s="23" t="str">
        <f aca="false">IF(ISNUMBER(C9184),YEAR(C9184),"")</f>
        <v/>
      </c>
      <c r="W9184" s="23" t="str">
        <f aca="false">IF(ISNUMBER(C9184),MONTH(C9184),"")</f>
        <v/>
      </c>
      <c r="X9184" s="23" t="str">
        <f aca="false">IF(T9184="","",IF(T9184=0,"No discount",IF(T9184&lt;=0.2,"Low (1-20%)",IF(T9184&lt;=0.4,"Medium (21-40%)","High (&gt;40%)"))))</f>
        <v/>
      </c>
      <c r="Y9184" s="23" t="str">
        <f aca="false">IF(AND(ISNUMBER(C9184),ISNUMBER(D9184)),D9184-C9184,"")</f>
        <v/>
      </c>
      <c r="Z9184" s="23" t="str">
        <f aca="false">IF(B9184="","",IF(MATCH(B9184,$B$2:$B$12000,0)=ROW()-1,1,0))</f>
        <v/>
      </c>
    </row>
    <row r="9185" customFormat="false" ht="15" hidden="false" customHeight="false" outlineLevel="0" collapsed="false">
      <c r="V9185" s="23" t="str">
        <f aca="false">IF(ISNUMBER(C9185),YEAR(C9185),"")</f>
        <v/>
      </c>
      <c r="W9185" s="23" t="str">
        <f aca="false">IF(ISNUMBER(C9185),MONTH(C9185),"")</f>
        <v/>
      </c>
      <c r="X9185" s="23" t="str">
        <f aca="false">IF(T9185="","",IF(T9185=0,"No discount",IF(T9185&lt;=0.2,"Low (1-20%)",IF(T9185&lt;=0.4,"Medium (21-40%)","High (&gt;40%)"))))</f>
        <v/>
      </c>
      <c r="Y9185" s="23" t="str">
        <f aca="false">IF(AND(ISNUMBER(C9185),ISNUMBER(D9185)),D9185-C9185,"")</f>
        <v/>
      </c>
      <c r="Z9185" s="23" t="str">
        <f aca="false">IF(B9185="","",IF(MATCH(B9185,$B$2:$B$12000,0)=ROW()-1,1,0))</f>
        <v/>
      </c>
    </row>
    <row r="9186" customFormat="false" ht="15" hidden="false" customHeight="false" outlineLevel="0" collapsed="false">
      <c r="V9186" s="23" t="str">
        <f aca="false">IF(ISNUMBER(C9186),YEAR(C9186),"")</f>
        <v/>
      </c>
      <c r="W9186" s="23" t="str">
        <f aca="false">IF(ISNUMBER(C9186),MONTH(C9186),"")</f>
        <v/>
      </c>
      <c r="X9186" s="23" t="str">
        <f aca="false">IF(T9186="","",IF(T9186=0,"No discount",IF(T9186&lt;=0.2,"Low (1-20%)",IF(T9186&lt;=0.4,"Medium (21-40%)","High (&gt;40%)"))))</f>
        <v/>
      </c>
      <c r="Y9186" s="23" t="str">
        <f aca="false">IF(AND(ISNUMBER(C9186),ISNUMBER(D9186)),D9186-C9186,"")</f>
        <v/>
      </c>
      <c r="Z9186" s="23" t="str">
        <f aca="false">IF(B9186="","",IF(MATCH(B9186,$B$2:$B$12000,0)=ROW()-1,1,0))</f>
        <v/>
      </c>
    </row>
    <row r="9187" customFormat="false" ht="15" hidden="false" customHeight="false" outlineLevel="0" collapsed="false">
      <c r="V9187" s="23" t="str">
        <f aca="false">IF(ISNUMBER(C9187),YEAR(C9187),"")</f>
        <v/>
      </c>
      <c r="W9187" s="23" t="str">
        <f aca="false">IF(ISNUMBER(C9187),MONTH(C9187),"")</f>
        <v/>
      </c>
      <c r="X9187" s="23" t="str">
        <f aca="false">IF(T9187="","",IF(T9187=0,"No discount",IF(T9187&lt;=0.2,"Low (1-20%)",IF(T9187&lt;=0.4,"Medium (21-40%)","High (&gt;40%)"))))</f>
        <v/>
      </c>
      <c r="Y9187" s="23" t="str">
        <f aca="false">IF(AND(ISNUMBER(C9187),ISNUMBER(D9187)),D9187-C9187,"")</f>
        <v/>
      </c>
      <c r="Z9187" s="23" t="str">
        <f aca="false">IF(B9187="","",IF(MATCH(B9187,$B$2:$B$12000,0)=ROW()-1,1,0))</f>
        <v/>
      </c>
    </row>
    <row r="9188" customFormat="false" ht="15" hidden="false" customHeight="false" outlineLevel="0" collapsed="false">
      <c r="V9188" s="23" t="str">
        <f aca="false">IF(ISNUMBER(C9188),YEAR(C9188),"")</f>
        <v/>
      </c>
      <c r="W9188" s="23" t="str">
        <f aca="false">IF(ISNUMBER(C9188),MONTH(C9188),"")</f>
        <v/>
      </c>
      <c r="X9188" s="23" t="str">
        <f aca="false">IF(T9188="","",IF(T9188=0,"No discount",IF(T9188&lt;=0.2,"Low (1-20%)",IF(T9188&lt;=0.4,"Medium (21-40%)","High (&gt;40%)"))))</f>
        <v/>
      </c>
      <c r="Y9188" s="23" t="str">
        <f aca="false">IF(AND(ISNUMBER(C9188),ISNUMBER(D9188)),D9188-C9188,"")</f>
        <v/>
      </c>
      <c r="Z9188" s="23" t="str">
        <f aca="false">IF(B9188="","",IF(MATCH(B9188,$B$2:$B$12000,0)=ROW()-1,1,0))</f>
        <v/>
      </c>
    </row>
    <row r="9189" customFormat="false" ht="15" hidden="false" customHeight="false" outlineLevel="0" collapsed="false">
      <c r="V9189" s="23" t="str">
        <f aca="false">IF(ISNUMBER(C9189),YEAR(C9189),"")</f>
        <v/>
      </c>
      <c r="W9189" s="23" t="str">
        <f aca="false">IF(ISNUMBER(C9189),MONTH(C9189),"")</f>
        <v/>
      </c>
      <c r="X9189" s="23" t="str">
        <f aca="false">IF(T9189="","",IF(T9189=0,"No discount",IF(T9189&lt;=0.2,"Low (1-20%)",IF(T9189&lt;=0.4,"Medium (21-40%)","High (&gt;40%)"))))</f>
        <v/>
      </c>
      <c r="Y9189" s="23" t="str">
        <f aca="false">IF(AND(ISNUMBER(C9189),ISNUMBER(D9189)),D9189-C9189,"")</f>
        <v/>
      </c>
      <c r="Z9189" s="23" t="str">
        <f aca="false">IF(B9189="","",IF(MATCH(B9189,$B$2:$B$12000,0)=ROW()-1,1,0))</f>
        <v/>
      </c>
    </row>
    <row r="9190" customFormat="false" ht="15" hidden="false" customHeight="false" outlineLevel="0" collapsed="false">
      <c r="V9190" s="23" t="str">
        <f aca="false">IF(ISNUMBER(C9190),YEAR(C9190),"")</f>
        <v/>
      </c>
      <c r="W9190" s="23" t="str">
        <f aca="false">IF(ISNUMBER(C9190),MONTH(C9190),"")</f>
        <v/>
      </c>
      <c r="X9190" s="23" t="str">
        <f aca="false">IF(T9190="","",IF(T9190=0,"No discount",IF(T9190&lt;=0.2,"Low (1-20%)",IF(T9190&lt;=0.4,"Medium (21-40%)","High (&gt;40%)"))))</f>
        <v/>
      </c>
      <c r="Y9190" s="23" t="str">
        <f aca="false">IF(AND(ISNUMBER(C9190),ISNUMBER(D9190)),D9190-C9190,"")</f>
        <v/>
      </c>
      <c r="Z9190" s="23" t="str">
        <f aca="false">IF(B9190="","",IF(MATCH(B9190,$B$2:$B$12000,0)=ROW()-1,1,0))</f>
        <v/>
      </c>
    </row>
    <row r="9191" customFormat="false" ht="15" hidden="false" customHeight="false" outlineLevel="0" collapsed="false">
      <c r="V9191" s="23" t="str">
        <f aca="false">IF(ISNUMBER(C9191),YEAR(C9191),"")</f>
        <v/>
      </c>
      <c r="W9191" s="23" t="str">
        <f aca="false">IF(ISNUMBER(C9191),MONTH(C9191),"")</f>
        <v/>
      </c>
      <c r="X9191" s="23" t="str">
        <f aca="false">IF(T9191="","",IF(T9191=0,"No discount",IF(T9191&lt;=0.2,"Low (1-20%)",IF(T9191&lt;=0.4,"Medium (21-40%)","High (&gt;40%)"))))</f>
        <v/>
      </c>
      <c r="Y9191" s="23" t="str">
        <f aca="false">IF(AND(ISNUMBER(C9191),ISNUMBER(D9191)),D9191-C9191,"")</f>
        <v/>
      </c>
      <c r="Z9191" s="23" t="str">
        <f aca="false">IF(B9191="","",IF(MATCH(B9191,$B$2:$B$12000,0)=ROW()-1,1,0))</f>
        <v/>
      </c>
    </row>
    <row r="9192" customFormat="false" ht="15" hidden="false" customHeight="false" outlineLevel="0" collapsed="false">
      <c r="V9192" s="23" t="str">
        <f aca="false">IF(ISNUMBER(C9192),YEAR(C9192),"")</f>
        <v/>
      </c>
      <c r="W9192" s="23" t="str">
        <f aca="false">IF(ISNUMBER(C9192),MONTH(C9192),"")</f>
        <v/>
      </c>
      <c r="X9192" s="23" t="str">
        <f aca="false">IF(T9192="","",IF(T9192=0,"No discount",IF(T9192&lt;=0.2,"Low (1-20%)",IF(T9192&lt;=0.4,"Medium (21-40%)","High (&gt;40%)"))))</f>
        <v/>
      </c>
      <c r="Y9192" s="23" t="str">
        <f aca="false">IF(AND(ISNUMBER(C9192),ISNUMBER(D9192)),D9192-C9192,"")</f>
        <v/>
      </c>
      <c r="Z9192" s="23" t="str">
        <f aca="false">IF(B9192="","",IF(MATCH(B9192,$B$2:$B$12000,0)=ROW()-1,1,0))</f>
        <v/>
      </c>
    </row>
    <row r="9193" customFormat="false" ht="15" hidden="false" customHeight="false" outlineLevel="0" collapsed="false">
      <c r="V9193" s="23" t="str">
        <f aca="false">IF(ISNUMBER(C9193),YEAR(C9193),"")</f>
        <v/>
      </c>
      <c r="W9193" s="23" t="str">
        <f aca="false">IF(ISNUMBER(C9193),MONTH(C9193),"")</f>
        <v/>
      </c>
      <c r="X9193" s="23" t="str">
        <f aca="false">IF(T9193="","",IF(T9193=0,"No discount",IF(T9193&lt;=0.2,"Low (1-20%)",IF(T9193&lt;=0.4,"Medium (21-40%)","High (&gt;40%)"))))</f>
        <v/>
      </c>
      <c r="Y9193" s="23" t="str">
        <f aca="false">IF(AND(ISNUMBER(C9193),ISNUMBER(D9193)),D9193-C9193,"")</f>
        <v/>
      </c>
      <c r="Z9193" s="23" t="str">
        <f aca="false">IF(B9193="","",IF(MATCH(B9193,$B$2:$B$12000,0)=ROW()-1,1,0))</f>
        <v/>
      </c>
    </row>
    <row r="9194" customFormat="false" ht="15" hidden="false" customHeight="false" outlineLevel="0" collapsed="false">
      <c r="V9194" s="23" t="str">
        <f aca="false">IF(ISNUMBER(C9194),YEAR(C9194),"")</f>
        <v/>
      </c>
      <c r="W9194" s="23" t="str">
        <f aca="false">IF(ISNUMBER(C9194),MONTH(C9194),"")</f>
        <v/>
      </c>
      <c r="X9194" s="23" t="str">
        <f aca="false">IF(T9194="","",IF(T9194=0,"No discount",IF(T9194&lt;=0.2,"Low (1-20%)",IF(T9194&lt;=0.4,"Medium (21-40%)","High (&gt;40%)"))))</f>
        <v/>
      </c>
      <c r="Y9194" s="23" t="str">
        <f aca="false">IF(AND(ISNUMBER(C9194),ISNUMBER(D9194)),D9194-C9194,"")</f>
        <v/>
      </c>
      <c r="Z9194" s="23" t="str">
        <f aca="false">IF(B9194="","",IF(MATCH(B9194,$B$2:$B$12000,0)=ROW()-1,1,0))</f>
        <v/>
      </c>
    </row>
    <row r="9195" customFormat="false" ht="15" hidden="false" customHeight="false" outlineLevel="0" collapsed="false">
      <c r="V9195" s="23" t="str">
        <f aca="false">IF(ISNUMBER(C9195),YEAR(C9195),"")</f>
        <v/>
      </c>
      <c r="W9195" s="23" t="str">
        <f aca="false">IF(ISNUMBER(C9195),MONTH(C9195),"")</f>
        <v/>
      </c>
      <c r="X9195" s="23" t="str">
        <f aca="false">IF(T9195="","",IF(T9195=0,"No discount",IF(T9195&lt;=0.2,"Low (1-20%)",IF(T9195&lt;=0.4,"Medium (21-40%)","High (&gt;40%)"))))</f>
        <v/>
      </c>
      <c r="Y9195" s="23" t="str">
        <f aca="false">IF(AND(ISNUMBER(C9195),ISNUMBER(D9195)),D9195-C9195,"")</f>
        <v/>
      </c>
      <c r="Z9195" s="23" t="str">
        <f aca="false">IF(B9195="","",IF(MATCH(B9195,$B$2:$B$12000,0)=ROW()-1,1,0))</f>
        <v/>
      </c>
    </row>
    <row r="9196" customFormat="false" ht="15" hidden="false" customHeight="false" outlineLevel="0" collapsed="false">
      <c r="V9196" s="23" t="str">
        <f aca="false">IF(ISNUMBER(C9196),YEAR(C9196),"")</f>
        <v/>
      </c>
      <c r="W9196" s="23" t="str">
        <f aca="false">IF(ISNUMBER(C9196),MONTH(C9196),"")</f>
        <v/>
      </c>
      <c r="X9196" s="23" t="str">
        <f aca="false">IF(T9196="","",IF(T9196=0,"No discount",IF(T9196&lt;=0.2,"Low (1-20%)",IF(T9196&lt;=0.4,"Medium (21-40%)","High (&gt;40%)"))))</f>
        <v/>
      </c>
      <c r="Y9196" s="23" t="str">
        <f aca="false">IF(AND(ISNUMBER(C9196),ISNUMBER(D9196)),D9196-C9196,"")</f>
        <v/>
      </c>
      <c r="Z9196" s="23" t="str">
        <f aca="false">IF(B9196="","",IF(MATCH(B9196,$B$2:$B$12000,0)=ROW()-1,1,0))</f>
        <v/>
      </c>
    </row>
    <row r="9197" customFormat="false" ht="15" hidden="false" customHeight="false" outlineLevel="0" collapsed="false">
      <c r="V9197" s="23" t="str">
        <f aca="false">IF(ISNUMBER(C9197),YEAR(C9197),"")</f>
        <v/>
      </c>
      <c r="W9197" s="23" t="str">
        <f aca="false">IF(ISNUMBER(C9197),MONTH(C9197),"")</f>
        <v/>
      </c>
      <c r="X9197" s="23" t="str">
        <f aca="false">IF(T9197="","",IF(T9197=0,"No discount",IF(T9197&lt;=0.2,"Low (1-20%)",IF(T9197&lt;=0.4,"Medium (21-40%)","High (&gt;40%)"))))</f>
        <v/>
      </c>
      <c r="Y9197" s="23" t="str">
        <f aca="false">IF(AND(ISNUMBER(C9197),ISNUMBER(D9197)),D9197-C9197,"")</f>
        <v/>
      </c>
      <c r="Z9197" s="23" t="str">
        <f aca="false">IF(B9197="","",IF(MATCH(B9197,$B$2:$B$12000,0)=ROW()-1,1,0))</f>
        <v/>
      </c>
    </row>
    <row r="9198" customFormat="false" ht="15" hidden="false" customHeight="false" outlineLevel="0" collapsed="false">
      <c r="V9198" s="23" t="str">
        <f aca="false">IF(ISNUMBER(C9198),YEAR(C9198),"")</f>
        <v/>
      </c>
      <c r="W9198" s="23" t="str">
        <f aca="false">IF(ISNUMBER(C9198),MONTH(C9198),"")</f>
        <v/>
      </c>
      <c r="X9198" s="23" t="str">
        <f aca="false">IF(T9198="","",IF(T9198=0,"No discount",IF(T9198&lt;=0.2,"Low (1-20%)",IF(T9198&lt;=0.4,"Medium (21-40%)","High (&gt;40%)"))))</f>
        <v/>
      </c>
      <c r="Y9198" s="23" t="str">
        <f aca="false">IF(AND(ISNUMBER(C9198),ISNUMBER(D9198)),D9198-C9198,"")</f>
        <v/>
      </c>
      <c r="Z9198" s="23" t="str">
        <f aca="false">IF(B9198="","",IF(MATCH(B9198,$B$2:$B$12000,0)=ROW()-1,1,0))</f>
        <v/>
      </c>
    </row>
    <row r="9199" customFormat="false" ht="15" hidden="false" customHeight="false" outlineLevel="0" collapsed="false">
      <c r="V9199" s="23" t="str">
        <f aca="false">IF(ISNUMBER(C9199),YEAR(C9199),"")</f>
        <v/>
      </c>
      <c r="W9199" s="23" t="str">
        <f aca="false">IF(ISNUMBER(C9199),MONTH(C9199),"")</f>
        <v/>
      </c>
      <c r="X9199" s="23" t="str">
        <f aca="false">IF(T9199="","",IF(T9199=0,"No discount",IF(T9199&lt;=0.2,"Low (1-20%)",IF(T9199&lt;=0.4,"Medium (21-40%)","High (&gt;40%)"))))</f>
        <v/>
      </c>
      <c r="Y9199" s="23" t="str">
        <f aca="false">IF(AND(ISNUMBER(C9199),ISNUMBER(D9199)),D9199-C9199,"")</f>
        <v/>
      </c>
      <c r="Z9199" s="23" t="str">
        <f aca="false">IF(B9199="","",IF(MATCH(B9199,$B$2:$B$12000,0)=ROW()-1,1,0))</f>
        <v/>
      </c>
    </row>
    <row r="9200" customFormat="false" ht="15" hidden="false" customHeight="false" outlineLevel="0" collapsed="false">
      <c r="V9200" s="23" t="str">
        <f aca="false">IF(ISNUMBER(C9200),YEAR(C9200),"")</f>
        <v/>
      </c>
      <c r="W9200" s="23" t="str">
        <f aca="false">IF(ISNUMBER(C9200),MONTH(C9200),"")</f>
        <v/>
      </c>
      <c r="X9200" s="23" t="str">
        <f aca="false">IF(T9200="","",IF(T9200=0,"No discount",IF(T9200&lt;=0.2,"Low (1-20%)",IF(T9200&lt;=0.4,"Medium (21-40%)","High (&gt;40%)"))))</f>
        <v/>
      </c>
      <c r="Y9200" s="23" t="str">
        <f aca="false">IF(AND(ISNUMBER(C9200),ISNUMBER(D9200)),D9200-C9200,"")</f>
        <v/>
      </c>
      <c r="Z9200" s="23" t="str">
        <f aca="false">IF(B9200="","",IF(MATCH(B9200,$B$2:$B$12000,0)=ROW()-1,1,0))</f>
        <v/>
      </c>
    </row>
    <row r="9201" customFormat="false" ht="15" hidden="false" customHeight="false" outlineLevel="0" collapsed="false">
      <c r="V9201" s="23" t="str">
        <f aca="false">IF(ISNUMBER(C9201),YEAR(C9201),"")</f>
        <v/>
      </c>
      <c r="W9201" s="23" t="str">
        <f aca="false">IF(ISNUMBER(C9201),MONTH(C9201),"")</f>
        <v/>
      </c>
      <c r="X9201" s="23" t="str">
        <f aca="false">IF(T9201="","",IF(T9201=0,"No discount",IF(T9201&lt;=0.2,"Low (1-20%)",IF(T9201&lt;=0.4,"Medium (21-40%)","High (&gt;40%)"))))</f>
        <v/>
      </c>
      <c r="Y9201" s="23" t="str">
        <f aca="false">IF(AND(ISNUMBER(C9201),ISNUMBER(D9201)),D9201-C9201,"")</f>
        <v/>
      </c>
      <c r="Z9201" s="23" t="str">
        <f aca="false">IF(B9201="","",IF(MATCH(B9201,$B$2:$B$12000,0)=ROW()-1,1,0))</f>
        <v/>
      </c>
    </row>
    <row r="9202" customFormat="false" ht="15" hidden="false" customHeight="false" outlineLevel="0" collapsed="false">
      <c r="V9202" s="23" t="str">
        <f aca="false">IF(ISNUMBER(C9202),YEAR(C9202),"")</f>
        <v/>
      </c>
      <c r="W9202" s="23" t="str">
        <f aca="false">IF(ISNUMBER(C9202),MONTH(C9202),"")</f>
        <v/>
      </c>
      <c r="X9202" s="23" t="str">
        <f aca="false">IF(T9202="","",IF(T9202=0,"No discount",IF(T9202&lt;=0.2,"Low (1-20%)",IF(T9202&lt;=0.4,"Medium (21-40%)","High (&gt;40%)"))))</f>
        <v/>
      </c>
      <c r="Y9202" s="23" t="str">
        <f aca="false">IF(AND(ISNUMBER(C9202),ISNUMBER(D9202)),D9202-C9202,"")</f>
        <v/>
      </c>
      <c r="Z9202" s="23" t="str">
        <f aca="false">IF(B9202="","",IF(MATCH(B9202,$B$2:$B$12000,0)=ROW()-1,1,0))</f>
        <v/>
      </c>
    </row>
    <row r="9203" customFormat="false" ht="15" hidden="false" customHeight="false" outlineLevel="0" collapsed="false">
      <c r="V9203" s="23" t="str">
        <f aca="false">IF(ISNUMBER(C9203),YEAR(C9203),"")</f>
        <v/>
      </c>
      <c r="W9203" s="23" t="str">
        <f aca="false">IF(ISNUMBER(C9203),MONTH(C9203),"")</f>
        <v/>
      </c>
      <c r="X9203" s="23" t="str">
        <f aca="false">IF(T9203="","",IF(T9203=0,"No discount",IF(T9203&lt;=0.2,"Low (1-20%)",IF(T9203&lt;=0.4,"Medium (21-40%)","High (&gt;40%)"))))</f>
        <v/>
      </c>
      <c r="Y9203" s="23" t="str">
        <f aca="false">IF(AND(ISNUMBER(C9203),ISNUMBER(D9203)),D9203-C9203,"")</f>
        <v/>
      </c>
      <c r="Z9203" s="23" t="str">
        <f aca="false">IF(B9203="","",IF(MATCH(B9203,$B$2:$B$12000,0)=ROW()-1,1,0))</f>
        <v/>
      </c>
    </row>
    <row r="9204" customFormat="false" ht="15" hidden="false" customHeight="false" outlineLevel="0" collapsed="false">
      <c r="V9204" s="23" t="str">
        <f aca="false">IF(ISNUMBER(C9204),YEAR(C9204),"")</f>
        <v/>
      </c>
      <c r="W9204" s="23" t="str">
        <f aca="false">IF(ISNUMBER(C9204),MONTH(C9204),"")</f>
        <v/>
      </c>
      <c r="X9204" s="23" t="str">
        <f aca="false">IF(T9204="","",IF(T9204=0,"No discount",IF(T9204&lt;=0.2,"Low (1-20%)",IF(T9204&lt;=0.4,"Medium (21-40%)","High (&gt;40%)"))))</f>
        <v/>
      </c>
      <c r="Y9204" s="23" t="str">
        <f aca="false">IF(AND(ISNUMBER(C9204),ISNUMBER(D9204)),D9204-C9204,"")</f>
        <v/>
      </c>
      <c r="Z9204" s="23" t="str">
        <f aca="false">IF(B9204="","",IF(MATCH(B9204,$B$2:$B$12000,0)=ROW()-1,1,0))</f>
        <v/>
      </c>
    </row>
    <row r="9205" customFormat="false" ht="15" hidden="false" customHeight="false" outlineLevel="0" collapsed="false">
      <c r="V9205" s="23" t="str">
        <f aca="false">IF(ISNUMBER(C9205),YEAR(C9205),"")</f>
        <v/>
      </c>
      <c r="W9205" s="23" t="str">
        <f aca="false">IF(ISNUMBER(C9205),MONTH(C9205),"")</f>
        <v/>
      </c>
      <c r="X9205" s="23" t="str">
        <f aca="false">IF(T9205="","",IF(T9205=0,"No discount",IF(T9205&lt;=0.2,"Low (1-20%)",IF(T9205&lt;=0.4,"Medium (21-40%)","High (&gt;40%)"))))</f>
        <v/>
      </c>
      <c r="Y9205" s="23" t="str">
        <f aca="false">IF(AND(ISNUMBER(C9205),ISNUMBER(D9205)),D9205-C9205,"")</f>
        <v/>
      </c>
      <c r="Z9205" s="23" t="str">
        <f aca="false">IF(B9205="","",IF(MATCH(B9205,$B$2:$B$12000,0)=ROW()-1,1,0))</f>
        <v/>
      </c>
    </row>
    <row r="9206" customFormat="false" ht="15" hidden="false" customHeight="false" outlineLevel="0" collapsed="false">
      <c r="V9206" s="23" t="str">
        <f aca="false">IF(ISNUMBER(C9206),YEAR(C9206),"")</f>
        <v/>
      </c>
      <c r="W9206" s="23" t="str">
        <f aca="false">IF(ISNUMBER(C9206),MONTH(C9206),"")</f>
        <v/>
      </c>
      <c r="X9206" s="23" t="str">
        <f aca="false">IF(T9206="","",IF(T9206=0,"No discount",IF(T9206&lt;=0.2,"Low (1-20%)",IF(T9206&lt;=0.4,"Medium (21-40%)","High (&gt;40%)"))))</f>
        <v/>
      </c>
      <c r="Y9206" s="23" t="str">
        <f aca="false">IF(AND(ISNUMBER(C9206),ISNUMBER(D9206)),D9206-C9206,"")</f>
        <v/>
      </c>
      <c r="Z9206" s="23" t="str">
        <f aca="false">IF(B9206="","",IF(MATCH(B9206,$B$2:$B$12000,0)=ROW()-1,1,0))</f>
        <v/>
      </c>
    </row>
    <row r="9207" customFormat="false" ht="15" hidden="false" customHeight="false" outlineLevel="0" collapsed="false">
      <c r="V9207" s="23" t="str">
        <f aca="false">IF(ISNUMBER(C9207),YEAR(C9207),"")</f>
        <v/>
      </c>
      <c r="W9207" s="23" t="str">
        <f aca="false">IF(ISNUMBER(C9207),MONTH(C9207),"")</f>
        <v/>
      </c>
      <c r="X9207" s="23" t="str">
        <f aca="false">IF(T9207="","",IF(T9207=0,"No discount",IF(T9207&lt;=0.2,"Low (1-20%)",IF(T9207&lt;=0.4,"Medium (21-40%)","High (&gt;40%)"))))</f>
        <v/>
      </c>
      <c r="Y9207" s="23" t="str">
        <f aca="false">IF(AND(ISNUMBER(C9207),ISNUMBER(D9207)),D9207-C9207,"")</f>
        <v/>
      </c>
      <c r="Z9207" s="23" t="str">
        <f aca="false">IF(B9207="","",IF(MATCH(B9207,$B$2:$B$12000,0)=ROW()-1,1,0))</f>
        <v/>
      </c>
    </row>
    <row r="9208" customFormat="false" ht="15" hidden="false" customHeight="false" outlineLevel="0" collapsed="false">
      <c r="V9208" s="23" t="str">
        <f aca="false">IF(ISNUMBER(C9208),YEAR(C9208),"")</f>
        <v/>
      </c>
      <c r="W9208" s="23" t="str">
        <f aca="false">IF(ISNUMBER(C9208),MONTH(C9208),"")</f>
        <v/>
      </c>
      <c r="X9208" s="23" t="str">
        <f aca="false">IF(T9208="","",IF(T9208=0,"No discount",IF(T9208&lt;=0.2,"Low (1-20%)",IF(T9208&lt;=0.4,"Medium (21-40%)","High (&gt;40%)"))))</f>
        <v/>
      </c>
      <c r="Y9208" s="23" t="str">
        <f aca="false">IF(AND(ISNUMBER(C9208),ISNUMBER(D9208)),D9208-C9208,"")</f>
        <v/>
      </c>
      <c r="Z9208" s="23" t="str">
        <f aca="false">IF(B9208="","",IF(MATCH(B9208,$B$2:$B$12000,0)=ROW()-1,1,0))</f>
        <v/>
      </c>
    </row>
    <row r="9209" customFormat="false" ht="15" hidden="false" customHeight="false" outlineLevel="0" collapsed="false">
      <c r="V9209" s="23" t="str">
        <f aca="false">IF(ISNUMBER(C9209),YEAR(C9209),"")</f>
        <v/>
      </c>
      <c r="W9209" s="23" t="str">
        <f aca="false">IF(ISNUMBER(C9209),MONTH(C9209),"")</f>
        <v/>
      </c>
      <c r="X9209" s="23" t="str">
        <f aca="false">IF(T9209="","",IF(T9209=0,"No discount",IF(T9209&lt;=0.2,"Low (1-20%)",IF(T9209&lt;=0.4,"Medium (21-40%)","High (&gt;40%)"))))</f>
        <v/>
      </c>
      <c r="Y9209" s="23" t="str">
        <f aca="false">IF(AND(ISNUMBER(C9209),ISNUMBER(D9209)),D9209-C9209,"")</f>
        <v/>
      </c>
      <c r="Z9209" s="23" t="str">
        <f aca="false">IF(B9209="","",IF(MATCH(B9209,$B$2:$B$12000,0)=ROW()-1,1,0))</f>
        <v/>
      </c>
    </row>
    <row r="9210" customFormat="false" ht="15" hidden="false" customHeight="false" outlineLevel="0" collapsed="false">
      <c r="V9210" s="23" t="str">
        <f aca="false">IF(ISNUMBER(C9210),YEAR(C9210),"")</f>
        <v/>
      </c>
      <c r="W9210" s="23" t="str">
        <f aca="false">IF(ISNUMBER(C9210),MONTH(C9210),"")</f>
        <v/>
      </c>
      <c r="X9210" s="23" t="str">
        <f aca="false">IF(T9210="","",IF(T9210=0,"No discount",IF(T9210&lt;=0.2,"Low (1-20%)",IF(T9210&lt;=0.4,"Medium (21-40%)","High (&gt;40%)"))))</f>
        <v/>
      </c>
      <c r="Y9210" s="23" t="str">
        <f aca="false">IF(AND(ISNUMBER(C9210),ISNUMBER(D9210)),D9210-C9210,"")</f>
        <v/>
      </c>
      <c r="Z9210" s="23" t="str">
        <f aca="false">IF(B9210="","",IF(MATCH(B9210,$B$2:$B$12000,0)=ROW()-1,1,0))</f>
        <v/>
      </c>
    </row>
    <row r="9211" customFormat="false" ht="15" hidden="false" customHeight="false" outlineLevel="0" collapsed="false">
      <c r="V9211" s="23" t="str">
        <f aca="false">IF(ISNUMBER(C9211),YEAR(C9211),"")</f>
        <v/>
      </c>
      <c r="W9211" s="23" t="str">
        <f aca="false">IF(ISNUMBER(C9211),MONTH(C9211),"")</f>
        <v/>
      </c>
      <c r="X9211" s="23" t="str">
        <f aca="false">IF(T9211="","",IF(T9211=0,"No discount",IF(T9211&lt;=0.2,"Low (1-20%)",IF(T9211&lt;=0.4,"Medium (21-40%)","High (&gt;40%)"))))</f>
        <v/>
      </c>
      <c r="Y9211" s="23" t="str">
        <f aca="false">IF(AND(ISNUMBER(C9211),ISNUMBER(D9211)),D9211-C9211,"")</f>
        <v/>
      </c>
      <c r="Z9211" s="23" t="str">
        <f aca="false">IF(B9211="","",IF(MATCH(B9211,$B$2:$B$12000,0)=ROW()-1,1,0))</f>
        <v/>
      </c>
    </row>
    <row r="9212" customFormat="false" ht="15" hidden="false" customHeight="false" outlineLevel="0" collapsed="false">
      <c r="V9212" s="23" t="str">
        <f aca="false">IF(ISNUMBER(C9212),YEAR(C9212),"")</f>
        <v/>
      </c>
      <c r="W9212" s="23" t="str">
        <f aca="false">IF(ISNUMBER(C9212),MONTH(C9212),"")</f>
        <v/>
      </c>
      <c r="X9212" s="23" t="str">
        <f aca="false">IF(T9212="","",IF(T9212=0,"No discount",IF(T9212&lt;=0.2,"Low (1-20%)",IF(T9212&lt;=0.4,"Medium (21-40%)","High (&gt;40%)"))))</f>
        <v/>
      </c>
      <c r="Y9212" s="23" t="str">
        <f aca="false">IF(AND(ISNUMBER(C9212),ISNUMBER(D9212)),D9212-C9212,"")</f>
        <v/>
      </c>
      <c r="Z9212" s="23" t="str">
        <f aca="false">IF(B9212="","",IF(MATCH(B9212,$B$2:$B$12000,0)=ROW()-1,1,0))</f>
        <v/>
      </c>
    </row>
    <row r="9213" customFormat="false" ht="15" hidden="false" customHeight="false" outlineLevel="0" collapsed="false">
      <c r="V9213" s="23" t="str">
        <f aca="false">IF(ISNUMBER(C9213),YEAR(C9213),"")</f>
        <v/>
      </c>
      <c r="W9213" s="23" t="str">
        <f aca="false">IF(ISNUMBER(C9213),MONTH(C9213),"")</f>
        <v/>
      </c>
      <c r="X9213" s="23" t="str">
        <f aca="false">IF(T9213="","",IF(T9213=0,"No discount",IF(T9213&lt;=0.2,"Low (1-20%)",IF(T9213&lt;=0.4,"Medium (21-40%)","High (&gt;40%)"))))</f>
        <v/>
      </c>
      <c r="Y9213" s="23" t="str">
        <f aca="false">IF(AND(ISNUMBER(C9213),ISNUMBER(D9213)),D9213-C9213,"")</f>
        <v/>
      </c>
      <c r="Z9213" s="23" t="str">
        <f aca="false">IF(B9213="","",IF(MATCH(B9213,$B$2:$B$12000,0)=ROW()-1,1,0))</f>
        <v/>
      </c>
    </row>
    <row r="9214" customFormat="false" ht="15" hidden="false" customHeight="false" outlineLevel="0" collapsed="false">
      <c r="V9214" s="23" t="str">
        <f aca="false">IF(ISNUMBER(C9214),YEAR(C9214),"")</f>
        <v/>
      </c>
      <c r="W9214" s="23" t="str">
        <f aca="false">IF(ISNUMBER(C9214),MONTH(C9214),"")</f>
        <v/>
      </c>
      <c r="X9214" s="23" t="str">
        <f aca="false">IF(T9214="","",IF(T9214=0,"No discount",IF(T9214&lt;=0.2,"Low (1-20%)",IF(T9214&lt;=0.4,"Medium (21-40%)","High (&gt;40%)"))))</f>
        <v/>
      </c>
      <c r="Y9214" s="23" t="str">
        <f aca="false">IF(AND(ISNUMBER(C9214),ISNUMBER(D9214)),D9214-C9214,"")</f>
        <v/>
      </c>
      <c r="Z9214" s="23" t="str">
        <f aca="false">IF(B9214="","",IF(MATCH(B9214,$B$2:$B$12000,0)=ROW()-1,1,0))</f>
        <v/>
      </c>
    </row>
    <row r="9215" customFormat="false" ht="15" hidden="false" customHeight="false" outlineLevel="0" collapsed="false">
      <c r="V9215" s="23" t="str">
        <f aca="false">IF(ISNUMBER(C9215),YEAR(C9215),"")</f>
        <v/>
      </c>
      <c r="W9215" s="23" t="str">
        <f aca="false">IF(ISNUMBER(C9215),MONTH(C9215),"")</f>
        <v/>
      </c>
      <c r="X9215" s="23" t="str">
        <f aca="false">IF(T9215="","",IF(T9215=0,"No discount",IF(T9215&lt;=0.2,"Low (1-20%)",IF(T9215&lt;=0.4,"Medium (21-40%)","High (&gt;40%)"))))</f>
        <v/>
      </c>
      <c r="Y9215" s="23" t="str">
        <f aca="false">IF(AND(ISNUMBER(C9215),ISNUMBER(D9215)),D9215-C9215,"")</f>
        <v/>
      </c>
      <c r="Z9215" s="23" t="str">
        <f aca="false">IF(B9215="","",IF(MATCH(B9215,$B$2:$B$12000,0)=ROW()-1,1,0))</f>
        <v/>
      </c>
    </row>
    <row r="9216" customFormat="false" ht="15" hidden="false" customHeight="false" outlineLevel="0" collapsed="false">
      <c r="V9216" s="23" t="str">
        <f aca="false">IF(ISNUMBER(C9216),YEAR(C9216),"")</f>
        <v/>
      </c>
      <c r="W9216" s="23" t="str">
        <f aca="false">IF(ISNUMBER(C9216),MONTH(C9216),"")</f>
        <v/>
      </c>
      <c r="X9216" s="23" t="str">
        <f aca="false">IF(T9216="","",IF(T9216=0,"No discount",IF(T9216&lt;=0.2,"Low (1-20%)",IF(T9216&lt;=0.4,"Medium (21-40%)","High (&gt;40%)"))))</f>
        <v/>
      </c>
      <c r="Y9216" s="23" t="str">
        <f aca="false">IF(AND(ISNUMBER(C9216),ISNUMBER(D9216)),D9216-C9216,"")</f>
        <v/>
      </c>
      <c r="Z9216" s="23" t="str">
        <f aca="false">IF(B9216="","",IF(MATCH(B9216,$B$2:$B$12000,0)=ROW()-1,1,0))</f>
        <v/>
      </c>
    </row>
    <row r="9217" customFormat="false" ht="15" hidden="false" customHeight="false" outlineLevel="0" collapsed="false">
      <c r="V9217" s="23" t="str">
        <f aca="false">IF(ISNUMBER(C9217),YEAR(C9217),"")</f>
        <v/>
      </c>
      <c r="W9217" s="23" t="str">
        <f aca="false">IF(ISNUMBER(C9217),MONTH(C9217),"")</f>
        <v/>
      </c>
      <c r="X9217" s="23" t="str">
        <f aca="false">IF(T9217="","",IF(T9217=0,"No discount",IF(T9217&lt;=0.2,"Low (1-20%)",IF(T9217&lt;=0.4,"Medium (21-40%)","High (&gt;40%)"))))</f>
        <v/>
      </c>
      <c r="Y9217" s="23" t="str">
        <f aca="false">IF(AND(ISNUMBER(C9217),ISNUMBER(D9217)),D9217-C9217,"")</f>
        <v/>
      </c>
      <c r="Z9217" s="23" t="str">
        <f aca="false">IF(B9217="","",IF(MATCH(B9217,$B$2:$B$12000,0)=ROW()-1,1,0))</f>
        <v/>
      </c>
    </row>
    <row r="9218" customFormat="false" ht="15" hidden="false" customHeight="false" outlineLevel="0" collapsed="false">
      <c r="V9218" s="23" t="str">
        <f aca="false">IF(ISNUMBER(C9218),YEAR(C9218),"")</f>
        <v/>
      </c>
      <c r="W9218" s="23" t="str">
        <f aca="false">IF(ISNUMBER(C9218),MONTH(C9218),"")</f>
        <v/>
      </c>
      <c r="X9218" s="23" t="str">
        <f aca="false">IF(T9218="","",IF(T9218=0,"No discount",IF(T9218&lt;=0.2,"Low (1-20%)",IF(T9218&lt;=0.4,"Medium (21-40%)","High (&gt;40%)"))))</f>
        <v/>
      </c>
      <c r="Y9218" s="23" t="str">
        <f aca="false">IF(AND(ISNUMBER(C9218),ISNUMBER(D9218)),D9218-C9218,"")</f>
        <v/>
      </c>
      <c r="Z9218" s="23" t="str">
        <f aca="false">IF(B9218="","",IF(MATCH(B9218,$B$2:$B$12000,0)=ROW()-1,1,0))</f>
        <v/>
      </c>
    </row>
    <row r="9219" customFormat="false" ht="15" hidden="false" customHeight="false" outlineLevel="0" collapsed="false">
      <c r="V9219" s="23" t="str">
        <f aca="false">IF(ISNUMBER(C9219),YEAR(C9219),"")</f>
        <v/>
      </c>
      <c r="W9219" s="23" t="str">
        <f aca="false">IF(ISNUMBER(C9219),MONTH(C9219),"")</f>
        <v/>
      </c>
      <c r="X9219" s="23" t="str">
        <f aca="false">IF(T9219="","",IF(T9219=0,"No discount",IF(T9219&lt;=0.2,"Low (1-20%)",IF(T9219&lt;=0.4,"Medium (21-40%)","High (&gt;40%)"))))</f>
        <v/>
      </c>
      <c r="Y9219" s="23" t="str">
        <f aca="false">IF(AND(ISNUMBER(C9219),ISNUMBER(D9219)),D9219-C9219,"")</f>
        <v/>
      </c>
      <c r="Z9219" s="23" t="str">
        <f aca="false">IF(B9219="","",IF(MATCH(B9219,$B$2:$B$12000,0)=ROW()-1,1,0))</f>
        <v/>
      </c>
    </row>
    <row r="9220" customFormat="false" ht="15" hidden="false" customHeight="false" outlineLevel="0" collapsed="false">
      <c r="V9220" s="23" t="str">
        <f aca="false">IF(ISNUMBER(C9220),YEAR(C9220),"")</f>
        <v/>
      </c>
      <c r="W9220" s="23" t="str">
        <f aca="false">IF(ISNUMBER(C9220),MONTH(C9220),"")</f>
        <v/>
      </c>
      <c r="X9220" s="23" t="str">
        <f aca="false">IF(T9220="","",IF(T9220=0,"No discount",IF(T9220&lt;=0.2,"Low (1-20%)",IF(T9220&lt;=0.4,"Medium (21-40%)","High (&gt;40%)"))))</f>
        <v/>
      </c>
      <c r="Y9220" s="23" t="str">
        <f aca="false">IF(AND(ISNUMBER(C9220),ISNUMBER(D9220)),D9220-C9220,"")</f>
        <v/>
      </c>
      <c r="Z9220" s="23" t="str">
        <f aca="false">IF(B9220="","",IF(MATCH(B9220,$B$2:$B$12000,0)=ROW()-1,1,0))</f>
        <v/>
      </c>
    </row>
    <row r="9221" customFormat="false" ht="15" hidden="false" customHeight="false" outlineLevel="0" collapsed="false">
      <c r="V9221" s="23" t="str">
        <f aca="false">IF(ISNUMBER(C9221),YEAR(C9221),"")</f>
        <v/>
      </c>
      <c r="W9221" s="23" t="str">
        <f aca="false">IF(ISNUMBER(C9221),MONTH(C9221),"")</f>
        <v/>
      </c>
      <c r="X9221" s="23" t="str">
        <f aca="false">IF(T9221="","",IF(T9221=0,"No discount",IF(T9221&lt;=0.2,"Low (1-20%)",IF(T9221&lt;=0.4,"Medium (21-40%)","High (&gt;40%)"))))</f>
        <v/>
      </c>
      <c r="Y9221" s="23" t="str">
        <f aca="false">IF(AND(ISNUMBER(C9221),ISNUMBER(D9221)),D9221-C9221,"")</f>
        <v/>
      </c>
      <c r="Z9221" s="23" t="str">
        <f aca="false">IF(B9221="","",IF(MATCH(B9221,$B$2:$B$12000,0)=ROW()-1,1,0))</f>
        <v/>
      </c>
    </row>
    <row r="9222" customFormat="false" ht="15" hidden="false" customHeight="false" outlineLevel="0" collapsed="false">
      <c r="V9222" s="23" t="str">
        <f aca="false">IF(ISNUMBER(C9222),YEAR(C9222),"")</f>
        <v/>
      </c>
      <c r="W9222" s="23" t="str">
        <f aca="false">IF(ISNUMBER(C9222),MONTH(C9222),"")</f>
        <v/>
      </c>
      <c r="X9222" s="23" t="str">
        <f aca="false">IF(T9222="","",IF(T9222=0,"No discount",IF(T9222&lt;=0.2,"Low (1-20%)",IF(T9222&lt;=0.4,"Medium (21-40%)","High (&gt;40%)"))))</f>
        <v/>
      </c>
      <c r="Y9222" s="23" t="str">
        <f aca="false">IF(AND(ISNUMBER(C9222),ISNUMBER(D9222)),D9222-C9222,"")</f>
        <v/>
      </c>
      <c r="Z9222" s="23" t="str">
        <f aca="false">IF(B9222="","",IF(MATCH(B9222,$B$2:$B$12000,0)=ROW()-1,1,0))</f>
        <v/>
      </c>
    </row>
    <row r="9223" customFormat="false" ht="15" hidden="false" customHeight="false" outlineLevel="0" collapsed="false">
      <c r="V9223" s="23" t="str">
        <f aca="false">IF(ISNUMBER(C9223),YEAR(C9223),"")</f>
        <v/>
      </c>
      <c r="W9223" s="23" t="str">
        <f aca="false">IF(ISNUMBER(C9223),MONTH(C9223),"")</f>
        <v/>
      </c>
      <c r="X9223" s="23" t="str">
        <f aca="false">IF(T9223="","",IF(T9223=0,"No discount",IF(T9223&lt;=0.2,"Low (1-20%)",IF(T9223&lt;=0.4,"Medium (21-40%)","High (&gt;40%)"))))</f>
        <v/>
      </c>
      <c r="Y9223" s="23" t="str">
        <f aca="false">IF(AND(ISNUMBER(C9223),ISNUMBER(D9223)),D9223-C9223,"")</f>
        <v/>
      </c>
      <c r="Z9223" s="23" t="str">
        <f aca="false">IF(B9223="","",IF(MATCH(B9223,$B$2:$B$12000,0)=ROW()-1,1,0))</f>
        <v/>
      </c>
    </row>
    <row r="9224" customFormat="false" ht="15" hidden="false" customHeight="false" outlineLevel="0" collapsed="false">
      <c r="V9224" s="23" t="str">
        <f aca="false">IF(ISNUMBER(C9224),YEAR(C9224),"")</f>
        <v/>
      </c>
      <c r="W9224" s="23" t="str">
        <f aca="false">IF(ISNUMBER(C9224),MONTH(C9224),"")</f>
        <v/>
      </c>
      <c r="X9224" s="23" t="str">
        <f aca="false">IF(T9224="","",IF(T9224=0,"No discount",IF(T9224&lt;=0.2,"Low (1-20%)",IF(T9224&lt;=0.4,"Medium (21-40%)","High (&gt;40%)"))))</f>
        <v/>
      </c>
      <c r="Y9224" s="23" t="str">
        <f aca="false">IF(AND(ISNUMBER(C9224),ISNUMBER(D9224)),D9224-C9224,"")</f>
        <v/>
      </c>
      <c r="Z9224" s="23" t="str">
        <f aca="false">IF(B9224="","",IF(MATCH(B9224,$B$2:$B$12000,0)=ROW()-1,1,0))</f>
        <v/>
      </c>
    </row>
    <row r="9225" customFormat="false" ht="15" hidden="false" customHeight="false" outlineLevel="0" collapsed="false">
      <c r="V9225" s="23" t="str">
        <f aca="false">IF(ISNUMBER(C9225),YEAR(C9225),"")</f>
        <v/>
      </c>
      <c r="W9225" s="23" t="str">
        <f aca="false">IF(ISNUMBER(C9225),MONTH(C9225),"")</f>
        <v/>
      </c>
      <c r="X9225" s="23" t="str">
        <f aca="false">IF(T9225="","",IF(T9225=0,"No discount",IF(T9225&lt;=0.2,"Low (1-20%)",IF(T9225&lt;=0.4,"Medium (21-40%)","High (&gt;40%)"))))</f>
        <v/>
      </c>
      <c r="Y9225" s="23" t="str">
        <f aca="false">IF(AND(ISNUMBER(C9225),ISNUMBER(D9225)),D9225-C9225,"")</f>
        <v/>
      </c>
      <c r="Z9225" s="23" t="str">
        <f aca="false">IF(B9225="","",IF(MATCH(B9225,$B$2:$B$12000,0)=ROW()-1,1,0))</f>
        <v/>
      </c>
    </row>
    <row r="9226" customFormat="false" ht="15" hidden="false" customHeight="false" outlineLevel="0" collapsed="false">
      <c r="V9226" s="23" t="str">
        <f aca="false">IF(ISNUMBER(C9226),YEAR(C9226),"")</f>
        <v/>
      </c>
      <c r="W9226" s="23" t="str">
        <f aca="false">IF(ISNUMBER(C9226),MONTH(C9226),"")</f>
        <v/>
      </c>
      <c r="X9226" s="23" t="str">
        <f aca="false">IF(T9226="","",IF(T9226=0,"No discount",IF(T9226&lt;=0.2,"Low (1-20%)",IF(T9226&lt;=0.4,"Medium (21-40%)","High (&gt;40%)"))))</f>
        <v/>
      </c>
      <c r="Y9226" s="23" t="str">
        <f aca="false">IF(AND(ISNUMBER(C9226),ISNUMBER(D9226)),D9226-C9226,"")</f>
        <v/>
      </c>
      <c r="Z9226" s="23" t="str">
        <f aca="false">IF(B9226="","",IF(MATCH(B9226,$B$2:$B$12000,0)=ROW()-1,1,0))</f>
        <v/>
      </c>
    </row>
    <row r="9227" customFormat="false" ht="15" hidden="false" customHeight="false" outlineLevel="0" collapsed="false">
      <c r="V9227" s="23" t="str">
        <f aca="false">IF(ISNUMBER(C9227),YEAR(C9227),"")</f>
        <v/>
      </c>
      <c r="W9227" s="23" t="str">
        <f aca="false">IF(ISNUMBER(C9227),MONTH(C9227),"")</f>
        <v/>
      </c>
      <c r="X9227" s="23" t="str">
        <f aca="false">IF(T9227="","",IF(T9227=0,"No discount",IF(T9227&lt;=0.2,"Low (1-20%)",IF(T9227&lt;=0.4,"Medium (21-40%)","High (&gt;40%)"))))</f>
        <v/>
      </c>
      <c r="Y9227" s="23" t="str">
        <f aca="false">IF(AND(ISNUMBER(C9227),ISNUMBER(D9227)),D9227-C9227,"")</f>
        <v/>
      </c>
      <c r="Z9227" s="23" t="str">
        <f aca="false">IF(B9227="","",IF(MATCH(B9227,$B$2:$B$12000,0)=ROW()-1,1,0))</f>
        <v/>
      </c>
    </row>
    <row r="9228" customFormat="false" ht="15" hidden="false" customHeight="false" outlineLevel="0" collapsed="false">
      <c r="V9228" s="23" t="str">
        <f aca="false">IF(ISNUMBER(C9228),YEAR(C9228),"")</f>
        <v/>
      </c>
      <c r="W9228" s="23" t="str">
        <f aca="false">IF(ISNUMBER(C9228),MONTH(C9228),"")</f>
        <v/>
      </c>
      <c r="X9228" s="23" t="str">
        <f aca="false">IF(T9228="","",IF(T9228=0,"No discount",IF(T9228&lt;=0.2,"Low (1-20%)",IF(T9228&lt;=0.4,"Medium (21-40%)","High (&gt;40%)"))))</f>
        <v/>
      </c>
      <c r="Y9228" s="23" t="str">
        <f aca="false">IF(AND(ISNUMBER(C9228),ISNUMBER(D9228)),D9228-C9228,"")</f>
        <v/>
      </c>
      <c r="Z9228" s="23" t="str">
        <f aca="false">IF(B9228="","",IF(MATCH(B9228,$B$2:$B$12000,0)=ROW()-1,1,0))</f>
        <v/>
      </c>
    </row>
    <row r="9229" customFormat="false" ht="15" hidden="false" customHeight="false" outlineLevel="0" collapsed="false">
      <c r="V9229" s="23" t="str">
        <f aca="false">IF(ISNUMBER(C9229),YEAR(C9229),"")</f>
        <v/>
      </c>
      <c r="W9229" s="23" t="str">
        <f aca="false">IF(ISNUMBER(C9229),MONTH(C9229),"")</f>
        <v/>
      </c>
      <c r="X9229" s="23" t="str">
        <f aca="false">IF(T9229="","",IF(T9229=0,"No discount",IF(T9229&lt;=0.2,"Low (1-20%)",IF(T9229&lt;=0.4,"Medium (21-40%)","High (&gt;40%)"))))</f>
        <v/>
      </c>
      <c r="Y9229" s="23" t="str">
        <f aca="false">IF(AND(ISNUMBER(C9229),ISNUMBER(D9229)),D9229-C9229,"")</f>
        <v/>
      </c>
      <c r="Z9229" s="23" t="str">
        <f aca="false">IF(B9229="","",IF(MATCH(B9229,$B$2:$B$12000,0)=ROW()-1,1,0))</f>
        <v/>
      </c>
    </row>
    <row r="9230" customFormat="false" ht="15" hidden="false" customHeight="false" outlineLevel="0" collapsed="false">
      <c r="V9230" s="23" t="str">
        <f aca="false">IF(ISNUMBER(C9230),YEAR(C9230),"")</f>
        <v/>
      </c>
      <c r="W9230" s="23" t="str">
        <f aca="false">IF(ISNUMBER(C9230),MONTH(C9230),"")</f>
        <v/>
      </c>
      <c r="X9230" s="23" t="str">
        <f aca="false">IF(T9230="","",IF(T9230=0,"No discount",IF(T9230&lt;=0.2,"Low (1-20%)",IF(T9230&lt;=0.4,"Medium (21-40%)","High (&gt;40%)"))))</f>
        <v/>
      </c>
      <c r="Y9230" s="23" t="str">
        <f aca="false">IF(AND(ISNUMBER(C9230),ISNUMBER(D9230)),D9230-C9230,"")</f>
        <v/>
      </c>
      <c r="Z9230" s="23" t="str">
        <f aca="false">IF(B9230="","",IF(MATCH(B9230,$B$2:$B$12000,0)=ROW()-1,1,0))</f>
        <v/>
      </c>
    </row>
    <row r="9231" customFormat="false" ht="15" hidden="false" customHeight="false" outlineLevel="0" collapsed="false">
      <c r="V9231" s="23" t="str">
        <f aca="false">IF(ISNUMBER(C9231),YEAR(C9231),"")</f>
        <v/>
      </c>
      <c r="W9231" s="23" t="str">
        <f aca="false">IF(ISNUMBER(C9231),MONTH(C9231),"")</f>
        <v/>
      </c>
      <c r="X9231" s="23" t="str">
        <f aca="false">IF(T9231="","",IF(T9231=0,"No discount",IF(T9231&lt;=0.2,"Low (1-20%)",IF(T9231&lt;=0.4,"Medium (21-40%)","High (&gt;40%)"))))</f>
        <v/>
      </c>
      <c r="Y9231" s="23" t="str">
        <f aca="false">IF(AND(ISNUMBER(C9231),ISNUMBER(D9231)),D9231-C9231,"")</f>
        <v/>
      </c>
      <c r="Z9231" s="23" t="str">
        <f aca="false">IF(B9231="","",IF(MATCH(B9231,$B$2:$B$12000,0)=ROW()-1,1,0))</f>
        <v/>
      </c>
    </row>
    <row r="9232" customFormat="false" ht="15" hidden="false" customHeight="false" outlineLevel="0" collapsed="false">
      <c r="V9232" s="23" t="str">
        <f aca="false">IF(ISNUMBER(C9232),YEAR(C9232),"")</f>
        <v/>
      </c>
      <c r="W9232" s="23" t="str">
        <f aca="false">IF(ISNUMBER(C9232),MONTH(C9232),"")</f>
        <v/>
      </c>
      <c r="X9232" s="23" t="str">
        <f aca="false">IF(T9232="","",IF(T9232=0,"No discount",IF(T9232&lt;=0.2,"Low (1-20%)",IF(T9232&lt;=0.4,"Medium (21-40%)","High (&gt;40%)"))))</f>
        <v/>
      </c>
      <c r="Y9232" s="23" t="str">
        <f aca="false">IF(AND(ISNUMBER(C9232),ISNUMBER(D9232)),D9232-C9232,"")</f>
        <v/>
      </c>
      <c r="Z9232" s="23" t="str">
        <f aca="false">IF(B9232="","",IF(MATCH(B9232,$B$2:$B$12000,0)=ROW()-1,1,0))</f>
        <v/>
      </c>
    </row>
    <row r="9233" customFormat="false" ht="15" hidden="false" customHeight="false" outlineLevel="0" collapsed="false">
      <c r="V9233" s="23" t="str">
        <f aca="false">IF(ISNUMBER(C9233),YEAR(C9233),"")</f>
        <v/>
      </c>
      <c r="W9233" s="23" t="str">
        <f aca="false">IF(ISNUMBER(C9233),MONTH(C9233),"")</f>
        <v/>
      </c>
      <c r="X9233" s="23" t="str">
        <f aca="false">IF(T9233="","",IF(T9233=0,"No discount",IF(T9233&lt;=0.2,"Low (1-20%)",IF(T9233&lt;=0.4,"Medium (21-40%)","High (&gt;40%)"))))</f>
        <v/>
      </c>
      <c r="Y9233" s="23" t="str">
        <f aca="false">IF(AND(ISNUMBER(C9233),ISNUMBER(D9233)),D9233-C9233,"")</f>
        <v/>
      </c>
      <c r="Z9233" s="23" t="str">
        <f aca="false">IF(B9233="","",IF(MATCH(B9233,$B$2:$B$12000,0)=ROW()-1,1,0))</f>
        <v/>
      </c>
    </row>
    <row r="9234" customFormat="false" ht="15" hidden="false" customHeight="false" outlineLevel="0" collapsed="false">
      <c r="V9234" s="23" t="str">
        <f aca="false">IF(ISNUMBER(C9234),YEAR(C9234),"")</f>
        <v/>
      </c>
      <c r="W9234" s="23" t="str">
        <f aca="false">IF(ISNUMBER(C9234),MONTH(C9234),"")</f>
        <v/>
      </c>
      <c r="X9234" s="23" t="str">
        <f aca="false">IF(T9234="","",IF(T9234=0,"No discount",IF(T9234&lt;=0.2,"Low (1-20%)",IF(T9234&lt;=0.4,"Medium (21-40%)","High (&gt;40%)"))))</f>
        <v/>
      </c>
      <c r="Y9234" s="23" t="str">
        <f aca="false">IF(AND(ISNUMBER(C9234),ISNUMBER(D9234)),D9234-C9234,"")</f>
        <v/>
      </c>
      <c r="Z9234" s="23" t="str">
        <f aca="false">IF(B9234="","",IF(MATCH(B9234,$B$2:$B$12000,0)=ROW()-1,1,0))</f>
        <v/>
      </c>
    </row>
    <row r="9235" customFormat="false" ht="15" hidden="false" customHeight="false" outlineLevel="0" collapsed="false">
      <c r="V9235" s="23" t="str">
        <f aca="false">IF(ISNUMBER(C9235),YEAR(C9235),"")</f>
        <v/>
      </c>
      <c r="W9235" s="23" t="str">
        <f aca="false">IF(ISNUMBER(C9235),MONTH(C9235),"")</f>
        <v/>
      </c>
      <c r="X9235" s="23" t="str">
        <f aca="false">IF(T9235="","",IF(T9235=0,"No discount",IF(T9235&lt;=0.2,"Low (1-20%)",IF(T9235&lt;=0.4,"Medium (21-40%)","High (&gt;40%)"))))</f>
        <v/>
      </c>
      <c r="Y9235" s="23" t="str">
        <f aca="false">IF(AND(ISNUMBER(C9235),ISNUMBER(D9235)),D9235-C9235,"")</f>
        <v/>
      </c>
      <c r="Z9235" s="23" t="str">
        <f aca="false">IF(B9235="","",IF(MATCH(B9235,$B$2:$B$12000,0)=ROW()-1,1,0))</f>
        <v/>
      </c>
    </row>
    <row r="9236" customFormat="false" ht="15" hidden="false" customHeight="false" outlineLevel="0" collapsed="false">
      <c r="V9236" s="23" t="str">
        <f aca="false">IF(ISNUMBER(C9236),YEAR(C9236),"")</f>
        <v/>
      </c>
      <c r="W9236" s="23" t="str">
        <f aca="false">IF(ISNUMBER(C9236),MONTH(C9236),"")</f>
        <v/>
      </c>
      <c r="X9236" s="23" t="str">
        <f aca="false">IF(T9236="","",IF(T9236=0,"No discount",IF(T9236&lt;=0.2,"Low (1-20%)",IF(T9236&lt;=0.4,"Medium (21-40%)","High (&gt;40%)"))))</f>
        <v/>
      </c>
      <c r="Y9236" s="23" t="str">
        <f aca="false">IF(AND(ISNUMBER(C9236),ISNUMBER(D9236)),D9236-C9236,"")</f>
        <v/>
      </c>
      <c r="Z9236" s="23" t="str">
        <f aca="false">IF(B9236="","",IF(MATCH(B9236,$B$2:$B$12000,0)=ROW()-1,1,0))</f>
        <v/>
      </c>
    </row>
    <row r="9237" customFormat="false" ht="15" hidden="false" customHeight="false" outlineLevel="0" collapsed="false">
      <c r="V9237" s="23" t="str">
        <f aca="false">IF(ISNUMBER(C9237),YEAR(C9237),"")</f>
        <v/>
      </c>
      <c r="W9237" s="23" t="str">
        <f aca="false">IF(ISNUMBER(C9237),MONTH(C9237),"")</f>
        <v/>
      </c>
      <c r="X9237" s="23" t="str">
        <f aca="false">IF(T9237="","",IF(T9237=0,"No discount",IF(T9237&lt;=0.2,"Low (1-20%)",IF(T9237&lt;=0.4,"Medium (21-40%)","High (&gt;40%)"))))</f>
        <v/>
      </c>
      <c r="Y9237" s="23" t="str">
        <f aca="false">IF(AND(ISNUMBER(C9237),ISNUMBER(D9237)),D9237-C9237,"")</f>
        <v/>
      </c>
      <c r="Z9237" s="23" t="str">
        <f aca="false">IF(B9237="","",IF(MATCH(B9237,$B$2:$B$12000,0)=ROW()-1,1,0))</f>
        <v/>
      </c>
    </row>
    <row r="9238" customFormat="false" ht="15" hidden="false" customHeight="false" outlineLevel="0" collapsed="false">
      <c r="V9238" s="23" t="str">
        <f aca="false">IF(ISNUMBER(C9238),YEAR(C9238),"")</f>
        <v/>
      </c>
      <c r="W9238" s="23" t="str">
        <f aca="false">IF(ISNUMBER(C9238),MONTH(C9238),"")</f>
        <v/>
      </c>
      <c r="X9238" s="23" t="str">
        <f aca="false">IF(T9238="","",IF(T9238=0,"No discount",IF(T9238&lt;=0.2,"Low (1-20%)",IF(T9238&lt;=0.4,"Medium (21-40%)","High (&gt;40%)"))))</f>
        <v/>
      </c>
      <c r="Y9238" s="23" t="str">
        <f aca="false">IF(AND(ISNUMBER(C9238),ISNUMBER(D9238)),D9238-C9238,"")</f>
        <v/>
      </c>
      <c r="Z9238" s="23" t="str">
        <f aca="false">IF(B9238="","",IF(MATCH(B9238,$B$2:$B$12000,0)=ROW()-1,1,0))</f>
        <v/>
      </c>
    </row>
    <row r="9239" customFormat="false" ht="15" hidden="false" customHeight="false" outlineLevel="0" collapsed="false">
      <c r="V9239" s="23" t="str">
        <f aca="false">IF(ISNUMBER(C9239),YEAR(C9239),"")</f>
        <v/>
      </c>
      <c r="W9239" s="23" t="str">
        <f aca="false">IF(ISNUMBER(C9239),MONTH(C9239),"")</f>
        <v/>
      </c>
      <c r="X9239" s="23" t="str">
        <f aca="false">IF(T9239="","",IF(T9239=0,"No discount",IF(T9239&lt;=0.2,"Low (1-20%)",IF(T9239&lt;=0.4,"Medium (21-40%)","High (&gt;40%)"))))</f>
        <v/>
      </c>
      <c r="Y9239" s="23" t="str">
        <f aca="false">IF(AND(ISNUMBER(C9239),ISNUMBER(D9239)),D9239-C9239,"")</f>
        <v/>
      </c>
      <c r="Z9239" s="23" t="str">
        <f aca="false">IF(B9239="","",IF(MATCH(B9239,$B$2:$B$12000,0)=ROW()-1,1,0))</f>
        <v/>
      </c>
    </row>
    <row r="9240" customFormat="false" ht="15" hidden="false" customHeight="false" outlineLevel="0" collapsed="false">
      <c r="V9240" s="23" t="str">
        <f aca="false">IF(ISNUMBER(C9240),YEAR(C9240),"")</f>
        <v/>
      </c>
      <c r="W9240" s="23" t="str">
        <f aca="false">IF(ISNUMBER(C9240),MONTH(C9240),"")</f>
        <v/>
      </c>
      <c r="X9240" s="23" t="str">
        <f aca="false">IF(T9240="","",IF(T9240=0,"No discount",IF(T9240&lt;=0.2,"Low (1-20%)",IF(T9240&lt;=0.4,"Medium (21-40%)","High (&gt;40%)"))))</f>
        <v/>
      </c>
      <c r="Y9240" s="23" t="str">
        <f aca="false">IF(AND(ISNUMBER(C9240),ISNUMBER(D9240)),D9240-C9240,"")</f>
        <v/>
      </c>
      <c r="Z9240" s="23" t="str">
        <f aca="false">IF(B9240="","",IF(MATCH(B9240,$B$2:$B$12000,0)=ROW()-1,1,0))</f>
        <v/>
      </c>
    </row>
    <row r="9241" customFormat="false" ht="15" hidden="false" customHeight="false" outlineLevel="0" collapsed="false">
      <c r="V9241" s="23" t="str">
        <f aca="false">IF(ISNUMBER(C9241),YEAR(C9241),"")</f>
        <v/>
      </c>
      <c r="W9241" s="23" t="str">
        <f aca="false">IF(ISNUMBER(C9241),MONTH(C9241),"")</f>
        <v/>
      </c>
      <c r="X9241" s="23" t="str">
        <f aca="false">IF(T9241="","",IF(T9241=0,"No discount",IF(T9241&lt;=0.2,"Low (1-20%)",IF(T9241&lt;=0.4,"Medium (21-40%)","High (&gt;40%)"))))</f>
        <v/>
      </c>
      <c r="Y9241" s="23" t="str">
        <f aca="false">IF(AND(ISNUMBER(C9241),ISNUMBER(D9241)),D9241-C9241,"")</f>
        <v/>
      </c>
      <c r="Z9241" s="23" t="str">
        <f aca="false">IF(B9241="","",IF(MATCH(B9241,$B$2:$B$12000,0)=ROW()-1,1,0))</f>
        <v/>
      </c>
    </row>
    <row r="9242" customFormat="false" ht="15" hidden="false" customHeight="false" outlineLevel="0" collapsed="false">
      <c r="V9242" s="23" t="str">
        <f aca="false">IF(ISNUMBER(C9242),YEAR(C9242),"")</f>
        <v/>
      </c>
      <c r="W9242" s="23" t="str">
        <f aca="false">IF(ISNUMBER(C9242),MONTH(C9242),"")</f>
        <v/>
      </c>
      <c r="X9242" s="23" t="str">
        <f aca="false">IF(T9242="","",IF(T9242=0,"No discount",IF(T9242&lt;=0.2,"Low (1-20%)",IF(T9242&lt;=0.4,"Medium (21-40%)","High (&gt;40%)"))))</f>
        <v/>
      </c>
      <c r="Y9242" s="23" t="str">
        <f aca="false">IF(AND(ISNUMBER(C9242),ISNUMBER(D9242)),D9242-C9242,"")</f>
        <v/>
      </c>
      <c r="Z9242" s="23" t="str">
        <f aca="false">IF(B9242="","",IF(MATCH(B9242,$B$2:$B$12000,0)=ROW()-1,1,0))</f>
        <v/>
      </c>
    </row>
    <row r="9243" customFormat="false" ht="15" hidden="false" customHeight="false" outlineLevel="0" collapsed="false">
      <c r="V9243" s="23" t="str">
        <f aca="false">IF(ISNUMBER(C9243),YEAR(C9243),"")</f>
        <v/>
      </c>
      <c r="W9243" s="23" t="str">
        <f aca="false">IF(ISNUMBER(C9243),MONTH(C9243),"")</f>
        <v/>
      </c>
      <c r="X9243" s="23" t="str">
        <f aca="false">IF(T9243="","",IF(T9243=0,"No discount",IF(T9243&lt;=0.2,"Low (1-20%)",IF(T9243&lt;=0.4,"Medium (21-40%)","High (&gt;40%)"))))</f>
        <v/>
      </c>
      <c r="Y9243" s="23" t="str">
        <f aca="false">IF(AND(ISNUMBER(C9243),ISNUMBER(D9243)),D9243-C9243,"")</f>
        <v/>
      </c>
      <c r="Z9243" s="23" t="str">
        <f aca="false">IF(B9243="","",IF(MATCH(B9243,$B$2:$B$12000,0)=ROW()-1,1,0))</f>
        <v/>
      </c>
    </row>
    <row r="9244" customFormat="false" ht="15" hidden="false" customHeight="false" outlineLevel="0" collapsed="false">
      <c r="V9244" s="23" t="str">
        <f aca="false">IF(ISNUMBER(C9244),YEAR(C9244),"")</f>
        <v/>
      </c>
      <c r="W9244" s="23" t="str">
        <f aca="false">IF(ISNUMBER(C9244),MONTH(C9244),"")</f>
        <v/>
      </c>
      <c r="X9244" s="23" t="str">
        <f aca="false">IF(T9244="","",IF(T9244=0,"No discount",IF(T9244&lt;=0.2,"Low (1-20%)",IF(T9244&lt;=0.4,"Medium (21-40%)","High (&gt;40%)"))))</f>
        <v/>
      </c>
      <c r="Y9244" s="23" t="str">
        <f aca="false">IF(AND(ISNUMBER(C9244),ISNUMBER(D9244)),D9244-C9244,"")</f>
        <v/>
      </c>
      <c r="Z9244" s="23" t="str">
        <f aca="false">IF(B9244="","",IF(MATCH(B9244,$B$2:$B$12000,0)=ROW()-1,1,0))</f>
        <v/>
      </c>
    </row>
    <row r="9245" customFormat="false" ht="15" hidden="false" customHeight="false" outlineLevel="0" collapsed="false">
      <c r="V9245" s="23" t="str">
        <f aca="false">IF(ISNUMBER(C9245),YEAR(C9245),"")</f>
        <v/>
      </c>
      <c r="W9245" s="23" t="str">
        <f aca="false">IF(ISNUMBER(C9245),MONTH(C9245),"")</f>
        <v/>
      </c>
      <c r="X9245" s="23" t="str">
        <f aca="false">IF(T9245="","",IF(T9245=0,"No discount",IF(T9245&lt;=0.2,"Low (1-20%)",IF(T9245&lt;=0.4,"Medium (21-40%)","High (&gt;40%)"))))</f>
        <v/>
      </c>
      <c r="Y9245" s="23" t="str">
        <f aca="false">IF(AND(ISNUMBER(C9245),ISNUMBER(D9245)),D9245-C9245,"")</f>
        <v/>
      </c>
      <c r="Z9245" s="23" t="str">
        <f aca="false">IF(B9245="","",IF(MATCH(B9245,$B$2:$B$12000,0)=ROW()-1,1,0))</f>
        <v/>
      </c>
    </row>
    <row r="9246" customFormat="false" ht="15" hidden="false" customHeight="false" outlineLevel="0" collapsed="false">
      <c r="V9246" s="23" t="str">
        <f aca="false">IF(ISNUMBER(C9246),YEAR(C9246),"")</f>
        <v/>
      </c>
      <c r="W9246" s="23" t="str">
        <f aca="false">IF(ISNUMBER(C9246),MONTH(C9246),"")</f>
        <v/>
      </c>
      <c r="X9246" s="23" t="str">
        <f aca="false">IF(T9246="","",IF(T9246=0,"No discount",IF(T9246&lt;=0.2,"Low (1-20%)",IF(T9246&lt;=0.4,"Medium (21-40%)","High (&gt;40%)"))))</f>
        <v/>
      </c>
      <c r="Y9246" s="23" t="str">
        <f aca="false">IF(AND(ISNUMBER(C9246),ISNUMBER(D9246)),D9246-C9246,"")</f>
        <v/>
      </c>
      <c r="Z9246" s="23" t="str">
        <f aca="false">IF(B9246="","",IF(MATCH(B9246,$B$2:$B$12000,0)=ROW()-1,1,0))</f>
        <v/>
      </c>
    </row>
    <row r="9247" customFormat="false" ht="15" hidden="false" customHeight="false" outlineLevel="0" collapsed="false">
      <c r="V9247" s="23" t="str">
        <f aca="false">IF(ISNUMBER(C9247),YEAR(C9247),"")</f>
        <v/>
      </c>
      <c r="W9247" s="23" t="str">
        <f aca="false">IF(ISNUMBER(C9247),MONTH(C9247),"")</f>
        <v/>
      </c>
      <c r="X9247" s="23" t="str">
        <f aca="false">IF(T9247="","",IF(T9247=0,"No discount",IF(T9247&lt;=0.2,"Low (1-20%)",IF(T9247&lt;=0.4,"Medium (21-40%)","High (&gt;40%)"))))</f>
        <v/>
      </c>
      <c r="Y9247" s="23" t="str">
        <f aca="false">IF(AND(ISNUMBER(C9247),ISNUMBER(D9247)),D9247-C9247,"")</f>
        <v/>
      </c>
      <c r="Z9247" s="23" t="str">
        <f aca="false">IF(B9247="","",IF(MATCH(B9247,$B$2:$B$12000,0)=ROW()-1,1,0))</f>
        <v/>
      </c>
    </row>
    <row r="9248" customFormat="false" ht="15" hidden="false" customHeight="false" outlineLevel="0" collapsed="false">
      <c r="V9248" s="23" t="str">
        <f aca="false">IF(ISNUMBER(C9248),YEAR(C9248),"")</f>
        <v/>
      </c>
      <c r="W9248" s="23" t="str">
        <f aca="false">IF(ISNUMBER(C9248),MONTH(C9248),"")</f>
        <v/>
      </c>
      <c r="X9248" s="23" t="str">
        <f aca="false">IF(T9248="","",IF(T9248=0,"No discount",IF(T9248&lt;=0.2,"Low (1-20%)",IF(T9248&lt;=0.4,"Medium (21-40%)","High (&gt;40%)"))))</f>
        <v/>
      </c>
      <c r="Y9248" s="23" t="str">
        <f aca="false">IF(AND(ISNUMBER(C9248),ISNUMBER(D9248)),D9248-C9248,"")</f>
        <v/>
      </c>
      <c r="Z9248" s="23" t="str">
        <f aca="false">IF(B9248="","",IF(MATCH(B9248,$B$2:$B$12000,0)=ROW()-1,1,0))</f>
        <v/>
      </c>
    </row>
    <row r="9249" customFormat="false" ht="15" hidden="false" customHeight="false" outlineLevel="0" collapsed="false">
      <c r="V9249" s="23" t="str">
        <f aca="false">IF(ISNUMBER(C9249),YEAR(C9249),"")</f>
        <v/>
      </c>
      <c r="W9249" s="23" t="str">
        <f aca="false">IF(ISNUMBER(C9249),MONTH(C9249),"")</f>
        <v/>
      </c>
      <c r="X9249" s="23" t="str">
        <f aca="false">IF(T9249="","",IF(T9249=0,"No discount",IF(T9249&lt;=0.2,"Low (1-20%)",IF(T9249&lt;=0.4,"Medium (21-40%)","High (&gt;40%)"))))</f>
        <v/>
      </c>
      <c r="Y9249" s="23" t="str">
        <f aca="false">IF(AND(ISNUMBER(C9249),ISNUMBER(D9249)),D9249-C9249,"")</f>
        <v/>
      </c>
      <c r="Z9249" s="23" t="str">
        <f aca="false">IF(B9249="","",IF(MATCH(B9249,$B$2:$B$12000,0)=ROW()-1,1,0))</f>
        <v/>
      </c>
    </row>
    <row r="9250" customFormat="false" ht="15" hidden="false" customHeight="false" outlineLevel="0" collapsed="false">
      <c r="V9250" s="23" t="str">
        <f aca="false">IF(ISNUMBER(C9250),YEAR(C9250),"")</f>
        <v/>
      </c>
      <c r="W9250" s="23" t="str">
        <f aca="false">IF(ISNUMBER(C9250),MONTH(C9250),"")</f>
        <v/>
      </c>
      <c r="X9250" s="23" t="str">
        <f aca="false">IF(T9250="","",IF(T9250=0,"No discount",IF(T9250&lt;=0.2,"Low (1-20%)",IF(T9250&lt;=0.4,"Medium (21-40%)","High (&gt;40%)"))))</f>
        <v/>
      </c>
      <c r="Y9250" s="23" t="str">
        <f aca="false">IF(AND(ISNUMBER(C9250),ISNUMBER(D9250)),D9250-C9250,"")</f>
        <v/>
      </c>
      <c r="Z9250" s="23" t="str">
        <f aca="false">IF(B9250="","",IF(MATCH(B9250,$B$2:$B$12000,0)=ROW()-1,1,0))</f>
        <v/>
      </c>
    </row>
    <row r="9251" customFormat="false" ht="15" hidden="false" customHeight="false" outlineLevel="0" collapsed="false">
      <c r="V9251" s="23" t="str">
        <f aca="false">IF(ISNUMBER(C9251),YEAR(C9251),"")</f>
        <v/>
      </c>
      <c r="W9251" s="23" t="str">
        <f aca="false">IF(ISNUMBER(C9251),MONTH(C9251),"")</f>
        <v/>
      </c>
      <c r="X9251" s="23" t="str">
        <f aca="false">IF(T9251="","",IF(T9251=0,"No discount",IF(T9251&lt;=0.2,"Low (1-20%)",IF(T9251&lt;=0.4,"Medium (21-40%)","High (&gt;40%)"))))</f>
        <v/>
      </c>
      <c r="Y9251" s="23" t="str">
        <f aca="false">IF(AND(ISNUMBER(C9251),ISNUMBER(D9251)),D9251-C9251,"")</f>
        <v/>
      </c>
      <c r="Z9251" s="23" t="str">
        <f aca="false">IF(B9251="","",IF(MATCH(B9251,$B$2:$B$12000,0)=ROW()-1,1,0))</f>
        <v/>
      </c>
    </row>
    <row r="9252" customFormat="false" ht="15" hidden="false" customHeight="false" outlineLevel="0" collapsed="false">
      <c r="V9252" s="23" t="str">
        <f aca="false">IF(ISNUMBER(C9252),YEAR(C9252),"")</f>
        <v/>
      </c>
      <c r="W9252" s="23" t="str">
        <f aca="false">IF(ISNUMBER(C9252),MONTH(C9252),"")</f>
        <v/>
      </c>
      <c r="X9252" s="23" t="str">
        <f aca="false">IF(T9252="","",IF(T9252=0,"No discount",IF(T9252&lt;=0.2,"Low (1-20%)",IF(T9252&lt;=0.4,"Medium (21-40%)","High (&gt;40%)"))))</f>
        <v/>
      </c>
      <c r="Y9252" s="23" t="str">
        <f aca="false">IF(AND(ISNUMBER(C9252),ISNUMBER(D9252)),D9252-C9252,"")</f>
        <v/>
      </c>
      <c r="Z9252" s="23" t="str">
        <f aca="false">IF(B9252="","",IF(MATCH(B9252,$B$2:$B$12000,0)=ROW()-1,1,0))</f>
        <v/>
      </c>
    </row>
    <row r="9253" customFormat="false" ht="15" hidden="false" customHeight="false" outlineLevel="0" collapsed="false">
      <c r="V9253" s="23" t="str">
        <f aca="false">IF(ISNUMBER(C9253),YEAR(C9253),"")</f>
        <v/>
      </c>
      <c r="W9253" s="23" t="str">
        <f aca="false">IF(ISNUMBER(C9253),MONTH(C9253),"")</f>
        <v/>
      </c>
      <c r="X9253" s="23" t="str">
        <f aca="false">IF(T9253="","",IF(T9253=0,"No discount",IF(T9253&lt;=0.2,"Low (1-20%)",IF(T9253&lt;=0.4,"Medium (21-40%)","High (&gt;40%)"))))</f>
        <v/>
      </c>
      <c r="Y9253" s="23" t="str">
        <f aca="false">IF(AND(ISNUMBER(C9253),ISNUMBER(D9253)),D9253-C9253,"")</f>
        <v/>
      </c>
      <c r="Z9253" s="23" t="str">
        <f aca="false">IF(B9253="","",IF(MATCH(B9253,$B$2:$B$12000,0)=ROW()-1,1,0))</f>
        <v/>
      </c>
    </row>
    <row r="9254" customFormat="false" ht="15" hidden="false" customHeight="false" outlineLevel="0" collapsed="false">
      <c r="V9254" s="23" t="str">
        <f aca="false">IF(ISNUMBER(C9254),YEAR(C9254),"")</f>
        <v/>
      </c>
      <c r="W9254" s="23" t="str">
        <f aca="false">IF(ISNUMBER(C9254),MONTH(C9254),"")</f>
        <v/>
      </c>
      <c r="X9254" s="23" t="str">
        <f aca="false">IF(T9254="","",IF(T9254=0,"No discount",IF(T9254&lt;=0.2,"Low (1-20%)",IF(T9254&lt;=0.4,"Medium (21-40%)","High (&gt;40%)"))))</f>
        <v/>
      </c>
      <c r="Y9254" s="23" t="str">
        <f aca="false">IF(AND(ISNUMBER(C9254),ISNUMBER(D9254)),D9254-C9254,"")</f>
        <v/>
      </c>
      <c r="Z9254" s="23" t="str">
        <f aca="false">IF(B9254="","",IF(MATCH(B9254,$B$2:$B$12000,0)=ROW()-1,1,0))</f>
        <v/>
      </c>
    </row>
    <row r="9255" customFormat="false" ht="15" hidden="false" customHeight="false" outlineLevel="0" collapsed="false">
      <c r="V9255" s="23" t="str">
        <f aca="false">IF(ISNUMBER(C9255),YEAR(C9255),"")</f>
        <v/>
      </c>
      <c r="W9255" s="23" t="str">
        <f aca="false">IF(ISNUMBER(C9255),MONTH(C9255),"")</f>
        <v/>
      </c>
      <c r="X9255" s="23" t="str">
        <f aca="false">IF(T9255="","",IF(T9255=0,"No discount",IF(T9255&lt;=0.2,"Low (1-20%)",IF(T9255&lt;=0.4,"Medium (21-40%)","High (&gt;40%)"))))</f>
        <v/>
      </c>
      <c r="Y9255" s="23" t="str">
        <f aca="false">IF(AND(ISNUMBER(C9255),ISNUMBER(D9255)),D9255-C9255,"")</f>
        <v/>
      </c>
      <c r="Z9255" s="23" t="str">
        <f aca="false">IF(B9255="","",IF(MATCH(B9255,$B$2:$B$12000,0)=ROW()-1,1,0))</f>
        <v/>
      </c>
    </row>
    <row r="9256" customFormat="false" ht="15" hidden="false" customHeight="false" outlineLevel="0" collapsed="false">
      <c r="V9256" s="23" t="str">
        <f aca="false">IF(ISNUMBER(C9256),YEAR(C9256),"")</f>
        <v/>
      </c>
      <c r="W9256" s="23" t="str">
        <f aca="false">IF(ISNUMBER(C9256),MONTH(C9256),"")</f>
        <v/>
      </c>
      <c r="X9256" s="23" t="str">
        <f aca="false">IF(T9256="","",IF(T9256=0,"No discount",IF(T9256&lt;=0.2,"Low (1-20%)",IF(T9256&lt;=0.4,"Medium (21-40%)","High (&gt;40%)"))))</f>
        <v/>
      </c>
      <c r="Y9256" s="23" t="str">
        <f aca="false">IF(AND(ISNUMBER(C9256),ISNUMBER(D9256)),D9256-C9256,"")</f>
        <v/>
      </c>
      <c r="Z9256" s="23" t="str">
        <f aca="false">IF(B9256="","",IF(MATCH(B9256,$B$2:$B$12000,0)=ROW()-1,1,0))</f>
        <v/>
      </c>
    </row>
    <row r="9257" customFormat="false" ht="15" hidden="false" customHeight="false" outlineLevel="0" collapsed="false">
      <c r="V9257" s="23" t="str">
        <f aca="false">IF(ISNUMBER(C9257),YEAR(C9257),"")</f>
        <v/>
      </c>
      <c r="W9257" s="23" t="str">
        <f aca="false">IF(ISNUMBER(C9257),MONTH(C9257),"")</f>
        <v/>
      </c>
      <c r="X9257" s="23" t="str">
        <f aca="false">IF(T9257="","",IF(T9257=0,"No discount",IF(T9257&lt;=0.2,"Low (1-20%)",IF(T9257&lt;=0.4,"Medium (21-40%)","High (&gt;40%)"))))</f>
        <v/>
      </c>
      <c r="Y9257" s="23" t="str">
        <f aca="false">IF(AND(ISNUMBER(C9257),ISNUMBER(D9257)),D9257-C9257,"")</f>
        <v/>
      </c>
      <c r="Z9257" s="23" t="str">
        <f aca="false">IF(B9257="","",IF(MATCH(B9257,$B$2:$B$12000,0)=ROW()-1,1,0))</f>
        <v/>
      </c>
    </row>
    <row r="9258" customFormat="false" ht="15" hidden="false" customHeight="false" outlineLevel="0" collapsed="false">
      <c r="V9258" s="23" t="str">
        <f aca="false">IF(ISNUMBER(C9258),YEAR(C9258),"")</f>
        <v/>
      </c>
      <c r="W9258" s="23" t="str">
        <f aca="false">IF(ISNUMBER(C9258),MONTH(C9258),"")</f>
        <v/>
      </c>
      <c r="X9258" s="23" t="str">
        <f aca="false">IF(T9258="","",IF(T9258=0,"No discount",IF(T9258&lt;=0.2,"Low (1-20%)",IF(T9258&lt;=0.4,"Medium (21-40%)","High (&gt;40%)"))))</f>
        <v/>
      </c>
      <c r="Y9258" s="23" t="str">
        <f aca="false">IF(AND(ISNUMBER(C9258),ISNUMBER(D9258)),D9258-C9258,"")</f>
        <v/>
      </c>
      <c r="Z9258" s="23" t="str">
        <f aca="false">IF(B9258="","",IF(MATCH(B9258,$B$2:$B$12000,0)=ROW()-1,1,0))</f>
        <v/>
      </c>
    </row>
    <row r="9259" customFormat="false" ht="15" hidden="false" customHeight="false" outlineLevel="0" collapsed="false">
      <c r="V9259" s="23" t="str">
        <f aca="false">IF(ISNUMBER(C9259),YEAR(C9259),"")</f>
        <v/>
      </c>
      <c r="W9259" s="23" t="str">
        <f aca="false">IF(ISNUMBER(C9259),MONTH(C9259),"")</f>
        <v/>
      </c>
      <c r="X9259" s="23" t="str">
        <f aca="false">IF(T9259="","",IF(T9259=0,"No discount",IF(T9259&lt;=0.2,"Low (1-20%)",IF(T9259&lt;=0.4,"Medium (21-40%)","High (&gt;40%)"))))</f>
        <v/>
      </c>
      <c r="Y9259" s="23" t="str">
        <f aca="false">IF(AND(ISNUMBER(C9259),ISNUMBER(D9259)),D9259-C9259,"")</f>
        <v/>
      </c>
      <c r="Z9259" s="23" t="str">
        <f aca="false">IF(B9259="","",IF(MATCH(B9259,$B$2:$B$12000,0)=ROW()-1,1,0))</f>
        <v/>
      </c>
    </row>
    <row r="9260" customFormat="false" ht="15" hidden="false" customHeight="false" outlineLevel="0" collapsed="false">
      <c r="V9260" s="23" t="str">
        <f aca="false">IF(ISNUMBER(C9260),YEAR(C9260),"")</f>
        <v/>
      </c>
      <c r="W9260" s="23" t="str">
        <f aca="false">IF(ISNUMBER(C9260),MONTH(C9260),"")</f>
        <v/>
      </c>
      <c r="X9260" s="23" t="str">
        <f aca="false">IF(T9260="","",IF(T9260=0,"No discount",IF(T9260&lt;=0.2,"Low (1-20%)",IF(T9260&lt;=0.4,"Medium (21-40%)","High (&gt;40%)"))))</f>
        <v/>
      </c>
      <c r="Y9260" s="23" t="str">
        <f aca="false">IF(AND(ISNUMBER(C9260),ISNUMBER(D9260)),D9260-C9260,"")</f>
        <v/>
      </c>
      <c r="Z9260" s="23" t="str">
        <f aca="false">IF(B9260="","",IF(MATCH(B9260,$B$2:$B$12000,0)=ROW()-1,1,0))</f>
        <v/>
      </c>
    </row>
    <row r="9261" customFormat="false" ht="15" hidden="false" customHeight="false" outlineLevel="0" collapsed="false">
      <c r="V9261" s="23" t="str">
        <f aca="false">IF(ISNUMBER(C9261),YEAR(C9261),"")</f>
        <v/>
      </c>
      <c r="W9261" s="23" t="str">
        <f aca="false">IF(ISNUMBER(C9261),MONTH(C9261),"")</f>
        <v/>
      </c>
      <c r="X9261" s="23" t="str">
        <f aca="false">IF(T9261="","",IF(T9261=0,"No discount",IF(T9261&lt;=0.2,"Low (1-20%)",IF(T9261&lt;=0.4,"Medium (21-40%)","High (&gt;40%)"))))</f>
        <v/>
      </c>
      <c r="Y9261" s="23" t="str">
        <f aca="false">IF(AND(ISNUMBER(C9261),ISNUMBER(D9261)),D9261-C9261,"")</f>
        <v/>
      </c>
      <c r="Z9261" s="23" t="str">
        <f aca="false">IF(B9261="","",IF(MATCH(B9261,$B$2:$B$12000,0)=ROW()-1,1,0))</f>
        <v/>
      </c>
    </row>
    <row r="9262" customFormat="false" ht="15" hidden="false" customHeight="false" outlineLevel="0" collapsed="false">
      <c r="V9262" s="23" t="str">
        <f aca="false">IF(ISNUMBER(C9262),YEAR(C9262),"")</f>
        <v/>
      </c>
      <c r="W9262" s="23" t="str">
        <f aca="false">IF(ISNUMBER(C9262),MONTH(C9262),"")</f>
        <v/>
      </c>
      <c r="X9262" s="23" t="str">
        <f aca="false">IF(T9262="","",IF(T9262=0,"No discount",IF(T9262&lt;=0.2,"Low (1-20%)",IF(T9262&lt;=0.4,"Medium (21-40%)","High (&gt;40%)"))))</f>
        <v/>
      </c>
      <c r="Y9262" s="23" t="str">
        <f aca="false">IF(AND(ISNUMBER(C9262),ISNUMBER(D9262)),D9262-C9262,"")</f>
        <v/>
      </c>
      <c r="Z9262" s="23" t="str">
        <f aca="false">IF(B9262="","",IF(MATCH(B9262,$B$2:$B$12000,0)=ROW()-1,1,0))</f>
        <v/>
      </c>
    </row>
    <row r="9263" customFormat="false" ht="15" hidden="false" customHeight="false" outlineLevel="0" collapsed="false">
      <c r="V9263" s="23" t="str">
        <f aca="false">IF(ISNUMBER(C9263),YEAR(C9263),"")</f>
        <v/>
      </c>
      <c r="W9263" s="23" t="str">
        <f aca="false">IF(ISNUMBER(C9263),MONTH(C9263),"")</f>
        <v/>
      </c>
      <c r="X9263" s="23" t="str">
        <f aca="false">IF(T9263="","",IF(T9263=0,"No discount",IF(T9263&lt;=0.2,"Low (1-20%)",IF(T9263&lt;=0.4,"Medium (21-40%)","High (&gt;40%)"))))</f>
        <v/>
      </c>
      <c r="Y9263" s="23" t="str">
        <f aca="false">IF(AND(ISNUMBER(C9263),ISNUMBER(D9263)),D9263-C9263,"")</f>
        <v/>
      </c>
      <c r="Z9263" s="23" t="str">
        <f aca="false">IF(B9263="","",IF(MATCH(B9263,$B$2:$B$12000,0)=ROW()-1,1,0))</f>
        <v/>
      </c>
    </row>
    <row r="9264" customFormat="false" ht="15" hidden="false" customHeight="false" outlineLevel="0" collapsed="false">
      <c r="V9264" s="23" t="str">
        <f aca="false">IF(ISNUMBER(C9264),YEAR(C9264),"")</f>
        <v/>
      </c>
      <c r="W9264" s="23" t="str">
        <f aca="false">IF(ISNUMBER(C9264),MONTH(C9264),"")</f>
        <v/>
      </c>
      <c r="X9264" s="23" t="str">
        <f aca="false">IF(T9264="","",IF(T9264=0,"No discount",IF(T9264&lt;=0.2,"Low (1-20%)",IF(T9264&lt;=0.4,"Medium (21-40%)","High (&gt;40%)"))))</f>
        <v/>
      </c>
      <c r="Y9264" s="23" t="str">
        <f aca="false">IF(AND(ISNUMBER(C9264),ISNUMBER(D9264)),D9264-C9264,"")</f>
        <v/>
      </c>
      <c r="Z9264" s="23" t="str">
        <f aca="false">IF(B9264="","",IF(MATCH(B9264,$B$2:$B$12000,0)=ROW()-1,1,0))</f>
        <v/>
      </c>
    </row>
    <row r="9265" customFormat="false" ht="15" hidden="false" customHeight="false" outlineLevel="0" collapsed="false">
      <c r="V9265" s="23" t="str">
        <f aca="false">IF(ISNUMBER(C9265),YEAR(C9265),"")</f>
        <v/>
      </c>
      <c r="W9265" s="23" t="str">
        <f aca="false">IF(ISNUMBER(C9265),MONTH(C9265),"")</f>
        <v/>
      </c>
      <c r="X9265" s="23" t="str">
        <f aca="false">IF(T9265="","",IF(T9265=0,"No discount",IF(T9265&lt;=0.2,"Low (1-20%)",IF(T9265&lt;=0.4,"Medium (21-40%)","High (&gt;40%)"))))</f>
        <v/>
      </c>
      <c r="Y9265" s="23" t="str">
        <f aca="false">IF(AND(ISNUMBER(C9265),ISNUMBER(D9265)),D9265-C9265,"")</f>
        <v/>
      </c>
      <c r="Z9265" s="23" t="str">
        <f aca="false">IF(B9265="","",IF(MATCH(B9265,$B$2:$B$12000,0)=ROW()-1,1,0))</f>
        <v/>
      </c>
    </row>
    <row r="9266" customFormat="false" ht="15" hidden="false" customHeight="false" outlineLevel="0" collapsed="false">
      <c r="V9266" s="23" t="str">
        <f aca="false">IF(ISNUMBER(C9266),YEAR(C9266),"")</f>
        <v/>
      </c>
      <c r="W9266" s="23" t="str">
        <f aca="false">IF(ISNUMBER(C9266),MONTH(C9266),"")</f>
        <v/>
      </c>
      <c r="X9266" s="23" t="str">
        <f aca="false">IF(T9266="","",IF(T9266=0,"No discount",IF(T9266&lt;=0.2,"Low (1-20%)",IF(T9266&lt;=0.4,"Medium (21-40%)","High (&gt;40%)"))))</f>
        <v/>
      </c>
      <c r="Y9266" s="23" t="str">
        <f aca="false">IF(AND(ISNUMBER(C9266),ISNUMBER(D9266)),D9266-C9266,"")</f>
        <v/>
      </c>
      <c r="Z9266" s="23" t="str">
        <f aca="false">IF(B9266="","",IF(MATCH(B9266,$B$2:$B$12000,0)=ROW()-1,1,0))</f>
        <v/>
      </c>
    </row>
    <row r="9267" customFormat="false" ht="15" hidden="false" customHeight="false" outlineLevel="0" collapsed="false">
      <c r="V9267" s="23" t="str">
        <f aca="false">IF(ISNUMBER(C9267),YEAR(C9267),"")</f>
        <v/>
      </c>
      <c r="W9267" s="23" t="str">
        <f aca="false">IF(ISNUMBER(C9267),MONTH(C9267),"")</f>
        <v/>
      </c>
      <c r="X9267" s="23" t="str">
        <f aca="false">IF(T9267="","",IF(T9267=0,"No discount",IF(T9267&lt;=0.2,"Low (1-20%)",IF(T9267&lt;=0.4,"Medium (21-40%)","High (&gt;40%)"))))</f>
        <v/>
      </c>
      <c r="Y9267" s="23" t="str">
        <f aca="false">IF(AND(ISNUMBER(C9267),ISNUMBER(D9267)),D9267-C9267,"")</f>
        <v/>
      </c>
      <c r="Z9267" s="23" t="str">
        <f aca="false">IF(B9267="","",IF(MATCH(B9267,$B$2:$B$12000,0)=ROW()-1,1,0))</f>
        <v/>
      </c>
    </row>
    <row r="9268" customFormat="false" ht="15" hidden="false" customHeight="false" outlineLevel="0" collapsed="false">
      <c r="V9268" s="23" t="str">
        <f aca="false">IF(ISNUMBER(C9268),YEAR(C9268),"")</f>
        <v/>
      </c>
      <c r="W9268" s="23" t="str">
        <f aca="false">IF(ISNUMBER(C9268),MONTH(C9268),"")</f>
        <v/>
      </c>
      <c r="X9268" s="23" t="str">
        <f aca="false">IF(T9268="","",IF(T9268=0,"No discount",IF(T9268&lt;=0.2,"Low (1-20%)",IF(T9268&lt;=0.4,"Medium (21-40%)","High (&gt;40%)"))))</f>
        <v/>
      </c>
      <c r="Y9268" s="23" t="str">
        <f aca="false">IF(AND(ISNUMBER(C9268),ISNUMBER(D9268)),D9268-C9268,"")</f>
        <v/>
      </c>
      <c r="Z9268" s="23" t="str">
        <f aca="false">IF(B9268="","",IF(MATCH(B9268,$B$2:$B$12000,0)=ROW()-1,1,0))</f>
        <v/>
      </c>
    </row>
    <row r="9269" customFormat="false" ht="15" hidden="false" customHeight="false" outlineLevel="0" collapsed="false">
      <c r="V9269" s="23" t="str">
        <f aca="false">IF(ISNUMBER(C9269),YEAR(C9269),"")</f>
        <v/>
      </c>
      <c r="W9269" s="23" t="str">
        <f aca="false">IF(ISNUMBER(C9269),MONTH(C9269),"")</f>
        <v/>
      </c>
      <c r="X9269" s="23" t="str">
        <f aca="false">IF(T9269="","",IF(T9269=0,"No discount",IF(T9269&lt;=0.2,"Low (1-20%)",IF(T9269&lt;=0.4,"Medium (21-40%)","High (&gt;40%)"))))</f>
        <v/>
      </c>
      <c r="Y9269" s="23" t="str">
        <f aca="false">IF(AND(ISNUMBER(C9269),ISNUMBER(D9269)),D9269-C9269,"")</f>
        <v/>
      </c>
      <c r="Z9269" s="23" t="str">
        <f aca="false">IF(B9269="","",IF(MATCH(B9269,$B$2:$B$12000,0)=ROW()-1,1,0))</f>
        <v/>
      </c>
    </row>
    <row r="9270" customFormat="false" ht="15" hidden="false" customHeight="false" outlineLevel="0" collapsed="false">
      <c r="V9270" s="23" t="str">
        <f aca="false">IF(ISNUMBER(C9270),YEAR(C9270),"")</f>
        <v/>
      </c>
      <c r="W9270" s="23" t="str">
        <f aca="false">IF(ISNUMBER(C9270),MONTH(C9270),"")</f>
        <v/>
      </c>
      <c r="X9270" s="23" t="str">
        <f aca="false">IF(T9270="","",IF(T9270=0,"No discount",IF(T9270&lt;=0.2,"Low (1-20%)",IF(T9270&lt;=0.4,"Medium (21-40%)","High (&gt;40%)"))))</f>
        <v/>
      </c>
      <c r="Y9270" s="23" t="str">
        <f aca="false">IF(AND(ISNUMBER(C9270),ISNUMBER(D9270)),D9270-C9270,"")</f>
        <v/>
      </c>
      <c r="Z9270" s="23" t="str">
        <f aca="false">IF(B9270="","",IF(MATCH(B9270,$B$2:$B$12000,0)=ROW()-1,1,0))</f>
        <v/>
      </c>
    </row>
    <row r="9271" customFormat="false" ht="15" hidden="false" customHeight="false" outlineLevel="0" collapsed="false">
      <c r="V9271" s="23" t="str">
        <f aca="false">IF(ISNUMBER(C9271),YEAR(C9271),"")</f>
        <v/>
      </c>
      <c r="W9271" s="23" t="str">
        <f aca="false">IF(ISNUMBER(C9271),MONTH(C9271),"")</f>
        <v/>
      </c>
      <c r="X9271" s="23" t="str">
        <f aca="false">IF(T9271="","",IF(T9271=0,"No discount",IF(T9271&lt;=0.2,"Low (1-20%)",IF(T9271&lt;=0.4,"Medium (21-40%)","High (&gt;40%)"))))</f>
        <v/>
      </c>
      <c r="Y9271" s="23" t="str">
        <f aca="false">IF(AND(ISNUMBER(C9271),ISNUMBER(D9271)),D9271-C9271,"")</f>
        <v/>
      </c>
      <c r="Z9271" s="23" t="str">
        <f aca="false">IF(B9271="","",IF(MATCH(B9271,$B$2:$B$12000,0)=ROW()-1,1,0))</f>
        <v/>
      </c>
    </row>
    <row r="9272" customFormat="false" ht="15" hidden="false" customHeight="false" outlineLevel="0" collapsed="false">
      <c r="V9272" s="23" t="str">
        <f aca="false">IF(ISNUMBER(C9272),YEAR(C9272),"")</f>
        <v/>
      </c>
      <c r="W9272" s="23" t="str">
        <f aca="false">IF(ISNUMBER(C9272),MONTH(C9272),"")</f>
        <v/>
      </c>
      <c r="X9272" s="23" t="str">
        <f aca="false">IF(T9272="","",IF(T9272=0,"No discount",IF(T9272&lt;=0.2,"Low (1-20%)",IF(T9272&lt;=0.4,"Medium (21-40%)","High (&gt;40%)"))))</f>
        <v/>
      </c>
      <c r="Y9272" s="23" t="str">
        <f aca="false">IF(AND(ISNUMBER(C9272),ISNUMBER(D9272)),D9272-C9272,"")</f>
        <v/>
      </c>
      <c r="Z9272" s="23" t="str">
        <f aca="false">IF(B9272="","",IF(MATCH(B9272,$B$2:$B$12000,0)=ROW()-1,1,0))</f>
        <v/>
      </c>
    </row>
    <row r="9273" customFormat="false" ht="15" hidden="false" customHeight="false" outlineLevel="0" collapsed="false">
      <c r="V9273" s="23" t="str">
        <f aca="false">IF(ISNUMBER(C9273),YEAR(C9273),"")</f>
        <v/>
      </c>
      <c r="W9273" s="23" t="str">
        <f aca="false">IF(ISNUMBER(C9273),MONTH(C9273),"")</f>
        <v/>
      </c>
      <c r="X9273" s="23" t="str">
        <f aca="false">IF(T9273="","",IF(T9273=0,"No discount",IF(T9273&lt;=0.2,"Low (1-20%)",IF(T9273&lt;=0.4,"Medium (21-40%)","High (&gt;40%)"))))</f>
        <v/>
      </c>
      <c r="Y9273" s="23" t="str">
        <f aca="false">IF(AND(ISNUMBER(C9273),ISNUMBER(D9273)),D9273-C9273,"")</f>
        <v/>
      </c>
      <c r="Z9273" s="23" t="str">
        <f aca="false">IF(B9273="","",IF(MATCH(B9273,$B$2:$B$12000,0)=ROW()-1,1,0))</f>
        <v/>
      </c>
    </row>
    <row r="9274" customFormat="false" ht="15" hidden="false" customHeight="false" outlineLevel="0" collapsed="false">
      <c r="V9274" s="23" t="str">
        <f aca="false">IF(ISNUMBER(C9274),YEAR(C9274),"")</f>
        <v/>
      </c>
      <c r="W9274" s="23" t="str">
        <f aca="false">IF(ISNUMBER(C9274),MONTH(C9274),"")</f>
        <v/>
      </c>
      <c r="X9274" s="23" t="str">
        <f aca="false">IF(T9274="","",IF(T9274=0,"No discount",IF(T9274&lt;=0.2,"Low (1-20%)",IF(T9274&lt;=0.4,"Medium (21-40%)","High (&gt;40%)"))))</f>
        <v/>
      </c>
      <c r="Y9274" s="23" t="str">
        <f aca="false">IF(AND(ISNUMBER(C9274),ISNUMBER(D9274)),D9274-C9274,"")</f>
        <v/>
      </c>
      <c r="Z9274" s="23" t="str">
        <f aca="false">IF(B9274="","",IF(MATCH(B9274,$B$2:$B$12000,0)=ROW()-1,1,0))</f>
        <v/>
      </c>
    </row>
    <row r="9275" customFormat="false" ht="15" hidden="false" customHeight="false" outlineLevel="0" collapsed="false">
      <c r="V9275" s="23" t="str">
        <f aca="false">IF(ISNUMBER(C9275),YEAR(C9275),"")</f>
        <v/>
      </c>
      <c r="W9275" s="23" t="str">
        <f aca="false">IF(ISNUMBER(C9275),MONTH(C9275),"")</f>
        <v/>
      </c>
      <c r="X9275" s="23" t="str">
        <f aca="false">IF(T9275="","",IF(T9275=0,"No discount",IF(T9275&lt;=0.2,"Low (1-20%)",IF(T9275&lt;=0.4,"Medium (21-40%)","High (&gt;40%)"))))</f>
        <v/>
      </c>
      <c r="Y9275" s="23" t="str">
        <f aca="false">IF(AND(ISNUMBER(C9275),ISNUMBER(D9275)),D9275-C9275,"")</f>
        <v/>
      </c>
      <c r="Z9275" s="23" t="str">
        <f aca="false">IF(B9275="","",IF(MATCH(B9275,$B$2:$B$12000,0)=ROW()-1,1,0))</f>
        <v/>
      </c>
    </row>
    <row r="9276" customFormat="false" ht="15" hidden="false" customHeight="false" outlineLevel="0" collapsed="false">
      <c r="V9276" s="23" t="str">
        <f aca="false">IF(ISNUMBER(C9276),YEAR(C9276),"")</f>
        <v/>
      </c>
      <c r="W9276" s="23" t="str">
        <f aca="false">IF(ISNUMBER(C9276),MONTH(C9276),"")</f>
        <v/>
      </c>
      <c r="X9276" s="23" t="str">
        <f aca="false">IF(T9276="","",IF(T9276=0,"No discount",IF(T9276&lt;=0.2,"Low (1-20%)",IF(T9276&lt;=0.4,"Medium (21-40%)","High (&gt;40%)"))))</f>
        <v/>
      </c>
      <c r="Y9276" s="23" t="str">
        <f aca="false">IF(AND(ISNUMBER(C9276),ISNUMBER(D9276)),D9276-C9276,"")</f>
        <v/>
      </c>
      <c r="Z9276" s="23" t="str">
        <f aca="false">IF(B9276="","",IF(MATCH(B9276,$B$2:$B$12000,0)=ROW()-1,1,0))</f>
        <v/>
      </c>
    </row>
    <row r="9277" customFormat="false" ht="15" hidden="false" customHeight="false" outlineLevel="0" collapsed="false">
      <c r="V9277" s="23" t="str">
        <f aca="false">IF(ISNUMBER(C9277),YEAR(C9277),"")</f>
        <v/>
      </c>
      <c r="W9277" s="23" t="str">
        <f aca="false">IF(ISNUMBER(C9277),MONTH(C9277),"")</f>
        <v/>
      </c>
      <c r="X9277" s="23" t="str">
        <f aca="false">IF(T9277="","",IF(T9277=0,"No discount",IF(T9277&lt;=0.2,"Low (1-20%)",IF(T9277&lt;=0.4,"Medium (21-40%)","High (&gt;40%)"))))</f>
        <v/>
      </c>
      <c r="Y9277" s="23" t="str">
        <f aca="false">IF(AND(ISNUMBER(C9277),ISNUMBER(D9277)),D9277-C9277,"")</f>
        <v/>
      </c>
      <c r="Z9277" s="23" t="str">
        <f aca="false">IF(B9277="","",IF(MATCH(B9277,$B$2:$B$12000,0)=ROW()-1,1,0))</f>
        <v/>
      </c>
    </row>
    <row r="9278" customFormat="false" ht="15" hidden="false" customHeight="false" outlineLevel="0" collapsed="false">
      <c r="V9278" s="23" t="str">
        <f aca="false">IF(ISNUMBER(C9278),YEAR(C9278),"")</f>
        <v/>
      </c>
      <c r="W9278" s="23" t="str">
        <f aca="false">IF(ISNUMBER(C9278),MONTH(C9278),"")</f>
        <v/>
      </c>
      <c r="X9278" s="23" t="str">
        <f aca="false">IF(T9278="","",IF(T9278=0,"No discount",IF(T9278&lt;=0.2,"Low (1-20%)",IF(T9278&lt;=0.4,"Medium (21-40%)","High (&gt;40%)"))))</f>
        <v/>
      </c>
      <c r="Y9278" s="23" t="str">
        <f aca="false">IF(AND(ISNUMBER(C9278),ISNUMBER(D9278)),D9278-C9278,"")</f>
        <v/>
      </c>
      <c r="Z9278" s="23" t="str">
        <f aca="false">IF(B9278="","",IF(MATCH(B9278,$B$2:$B$12000,0)=ROW()-1,1,0))</f>
        <v/>
      </c>
    </row>
    <row r="9279" customFormat="false" ht="15" hidden="false" customHeight="false" outlineLevel="0" collapsed="false">
      <c r="V9279" s="23" t="str">
        <f aca="false">IF(ISNUMBER(C9279),YEAR(C9279),"")</f>
        <v/>
      </c>
      <c r="W9279" s="23" t="str">
        <f aca="false">IF(ISNUMBER(C9279),MONTH(C9279),"")</f>
        <v/>
      </c>
      <c r="X9279" s="23" t="str">
        <f aca="false">IF(T9279="","",IF(T9279=0,"No discount",IF(T9279&lt;=0.2,"Low (1-20%)",IF(T9279&lt;=0.4,"Medium (21-40%)","High (&gt;40%)"))))</f>
        <v/>
      </c>
      <c r="Y9279" s="23" t="str">
        <f aca="false">IF(AND(ISNUMBER(C9279),ISNUMBER(D9279)),D9279-C9279,"")</f>
        <v/>
      </c>
      <c r="Z9279" s="23" t="str">
        <f aca="false">IF(B9279="","",IF(MATCH(B9279,$B$2:$B$12000,0)=ROW()-1,1,0))</f>
        <v/>
      </c>
    </row>
    <row r="9280" customFormat="false" ht="15" hidden="false" customHeight="false" outlineLevel="0" collapsed="false">
      <c r="V9280" s="23" t="str">
        <f aca="false">IF(ISNUMBER(C9280),YEAR(C9280),"")</f>
        <v/>
      </c>
      <c r="W9280" s="23" t="str">
        <f aca="false">IF(ISNUMBER(C9280),MONTH(C9280),"")</f>
        <v/>
      </c>
      <c r="X9280" s="23" t="str">
        <f aca="false">IF(T9280="","",IF(T9280=0,"No discount",IF(T9280&lt;=0.2,"Low (1-20%)",IF(T9280&lt;=0.4,"Medium (21-40%)","High (&gt;40%)"))))</f>
        <v/>
      </c>
      <c r="Y9280" s="23" t="str">
        <f aca="false">IF(AND(ISNUMBER(C9280),ISNUMBER(D9280)),D9280-C9280,"")</f>
        <v/>
      </c>
      <c r="Z9280" s="23" t="str">
        <f aca="false">IF(B9280="","",IF(MATCH(B9280,$B$2:$B$12000,0)=ROW()-1,1,0))</f>
        <v/>
      </c>
    </row>
    <row r="9281" customFormat="false" ht="15" hidden="false" customHeight="false" outlineLevel="0" collapsed="false">
      <c r="V9281" s="23" t="str">
        <f aca="false">IF(ISNUMBER(C9281),YEAR(C9281),"")</f>
        <v/>
      </c>
      <c r="W9281" s="23" t="str">
        <f aca="false">IF(ISNUMBER(C9281),MONTH(C9281),"")</f>
        <v/>
      </c>
      <c r="X9281" s="23" t="str">
        <f aca="false">IF(T9281="","",IF(T9281=0,"No discount",IF(T9281&lt;=0.2,"Low (1-20%)",IF(T9281&lt;=0.4,"Medium (21-40%)","High (&gt;40%)"))))</f>
        <v/>
      </c>
      <c r="Y9281" s="23" t="str">
        <f aca="false">IF(AND(ISNUMBER(C9281),ISNUMBER(D9281)),D9281-C9281,"")</f>
        <v/>
      </c>
      <c r="Z9281" s="23" t="str">
        <f aca="false">IF(B9281="","",IF(MATCH(B9281,$B$2:$B$12000,0)=ROW()-1,1,0))</f>
        <v/>
      </c>
    </row>
    <row r="9282" customFormat="false" ht="15" hidden="false" customHeight="false" outlineLevel="0" collapsed="false">
      <c r="V9282" s="23" t="str">
        <f aca="false">IF(ISNUMBER(C9282),YEAR(C9282),"")</f>
        <v/>
      </c>
      <c r="W9282" s="23" t="str">
        <f aca="false">IF(ISNUMBER(C9282),MONTH(C9282),"")</f>
        <v/>
      </c>
      <c r="X9282" s="23" t="str">
        <f aca="false">IF(T9282="","",IF(T9282=0,"No discount",IF(T9282&lt;=0.2,"Low (1-20%)",IF(T9282&lt;=0.4,"Medium (21-40%)","High (&gt;40%)"))))</f>
        <v/>
      </c>
      <c r="Y9282" s="23" t="str">
        <f aca="false">IF(AND(ISNUMBER(C9282),ISNUMBER(D9282)),D9282-C9282,"")</f>
        <v/>
      </c>
      <c r="Z9282" s="23" t="str">
        <f aca="false">IF(B9282="","",IF(MATCH(B9282,$B$2:$B$12000,0)=ROW()-1,1,0))</f>
        <v/>
      </c>
    </row>
    <row r="9283" customFormat="false" ht="15" hidden="false" customHeight="false" outlineLevel="0" collapsed="false">
      <c r="V9283" s="23" t="str">
        <f aca="false">IF(ISNUMBER(C9283),YEAR(C9283),"")</f>
        <v/>
      </c>
      <c r="W9283" s="23" t="str">
        <f aca="false">IF(ISNUMBER(C9283),MONTH(C9283),"")</f>
        <v/>
      </c>
      <c r="X9283" s="23" t="str">
        <f aca="false">IF(T9283="","",IF(T9283=0,"No discount",IF(T9283&lt;=0.2,"Low (1-20%)",IF(T9283&lt;=0.4,"Medium (21-40%)","High (&gt;40%)"))))</f>
        <v/>
      </c>
      <c r="Y9283" s="23" t="str">
        <f aca="false">IF(AND(ISNUMBER(C9283),ISNUMBER(D9283)),D9283-C9283,"")</f>
        <v/>
      </c>
      <c r="Z9283" s="23" t="str">
        <f aca="false">IF(B9283="","",IF(MATCH(B9283,$B$2:$B$12000,0)=ROW()-1,1,0))</f>
        <v/>
      </c>
    </row>
    <row r="9284" customFormat="false" ht="15" hidden="false" customHeight="false" outlineLevel="0" collapsed="false">
      <c r="V9284" s="23" t="str">
        <f aca="false">IF(ISNUMBER(C9284),YEAR(C9284),"")</f>
        <v/>
      </c>
      <c r="W9284" s="23" t="str">
        <f aca="false">IF(ISNUMBER(C9284),MONTH(C9284),"")</f>
        <v/>
      </c>
      <c r="X9284" s="23" t="str">
        <f aca="false">IF(T9284="","",IF(T9284=0,"No discount",IF(T9284&lt;=0.2,"Low (1-20%)",IF(T9284&lt;=0.4,"Medium (21-40%)","High (&gt;40%)"))))</f>
        <v/>
      </c>
      <c r="Y9284" s="23" t="str">
        <f aca="false">IF(AND(ISNUMBER(C9284),ISNUMBER(D9284)),D9284-C9284,"")</f>
        <v/>
      </c>
      <c r="Z9284" s="23" t="str">
        <f aca="false">IF(B9284="","",IF(MATCH(B9284,$B$2:$B$12000,0)=ROW()-1,1,0))</f>
        <v/>
      </c>
    </row>
    <row r="9285" customFormat="false" ht="15" hidden="false" customHeight="false" outlineLevel="0" collapsed="false">
      <c r="V9285" s="23" t="str">
        <f aca="false">IF(ISNUMBER(C9285),YEAR(C9285),"")</f>
        <v/>
      </c>
      <c r="W9285" s="23" t="str">
        <f aca="false">IF(ISNUMBER(C9285),MONTH(C9285),"")</f>
        <v/>
      </c>
      <c r="X9285" s="23" t="str">
        <f aca="false">IF(T9285="","",IF(T9285=0,"No discount",IF(T9285&lt;=0.2,"Low (1-20%)",IF(T9285&lt;=0.4,"Medium (21-40%)","High (&gt;40%)"))))</f>
        <v/>
      </c>
      <c r="Y9285" s="23" t="str">
        <f aca="false">IF(AND(ISNUMBER(C9285),ISNUMBER(D9285)),D9285-C9285,"")</f>
        <v/>
      </c>
      <c r="Z9285" s="23" t="str">
        <f aca="false">IF(B9285="","",IF(MATCH(B9285,$B$2:$B$12000,0)=ROW()-1,1,0))</f>
        <v/>
      </c>
    </row>
    <row r="9286" customFormat="false" ht="15" hidden="false" customHeight="false" outlineLevel="0" collapsed="false">
      <c r="V9286" s="23" t="str">
        <f aca="false">IF(ISNUMBER(C9286),YEAR(C9286),"")</f>
        <v/>
      </c>
      <c r="W9286" s="23" t="str">
        <f aca="false">IF(ISNUMBER(C9286),MONTH(C9286),"")</f>
        <v/>
      </c>
      <c r="X9286" s="23" t="str">
        <f aca="false">IF(T9286="","",IF(T9286=0,"No discount",IF(T9286&lt;=0.2,"Low (1-20%)",IF(T9286&lt;=0.4,"Medium (21-40%)","High (&gt;40%)"))))</f>
        <v/>
      </c>
      <c r="Y9286" s="23" t="str">
        <f aca="false">IF(AND(ISNUMBER(C9286),ISNUMBER(D9286)),D9286-C9286,"")</f>
        <v/>
      </c>
      <c r="Z9286" s="23" t="str">
        <f aca="false">IF(B9286="","",IF(MATCH(B9286,$B$2:$B$12000,0)=ROW()-1,1,0))</f>
        <v/>
      </c>
    </row>
    <row r="9287" customFormat="false" ht="15" hidden="false" customHeight="false" outlineLevel="0" collapsed="false">
      <c r="V9287" s="23" t="str">
        <f aca="false">IF(ISNUMBER(C9287),YEAR(C9287),"")</f>
        <v/>
      </c>
      <c r="W9287" s="23" t="str">
        <f aca="false">IF(ISNUMBER(C9287),MONTH(C9287),"")</f>
        <v/>
      </c>
      <c r="X9287" s="23" t="str">
        <f aca="false">IF(T9287="","",IF(T9287=0,"No discount",IF(T9287&lt;=0.2,"Low (1-20%)",IF(T9287&lt;=0.4,"Medium (21-40%)","High (&gt;40%)"))))</f>
        <v/>
      </c>
      <c r="Y9287" s="23" t="str">
        <f aca="false">IF(AND(ISNUMBER(C9287),ISNUMBER(D9287)),D9287-C9287,"")</f>
        <v/>
      </c>
      <c r="Z9287" s="23" t="str">
        <f aca="false">IF(B9287="","",IF(MATCH(B9287,$B$2:$B$12000,0)=ROW()-1,1,0))</f>
        <v/>
      </c>
    </row>
    <row r="9288" customFormat="false" ht="15" hidden="false" customHeight="false" outlineLevel="0" collapsed="false">
      <c r="V9288" s="23" t="str">
        <f aca="false">IF(ISNUMBER(C9288),YEAR(C9288),"")</f>
        <v/>
      </c>
      <c r="W9288" s="23" t="str">
        <f aca="false">IF(ISNUMBER(C9288),MONTH(C9288),"")</f>
        <v/>
      </c>
      <c r="X9288" s="23" t="str">
        <f aca="false">IF(T9288="","",IF(T9288=0,"No discount",IF(T9288&lt;=0.2,"Low (1-20%)",IF(T9288&lt;=0.4,"Medium (21-40%)","High (&gt;40%)"))))</f>
        <v/>
      </c>
      <c r="Y9288" s="23" t="str">
        <f aca="false">IF(AND(ISNUMBER(C9288),ISNUMBER(D9288)),D9288-C9288,"")</f>
        <v/>
      </c>
      <c r="Z9288" s="23" t="str">
        <f aca="false">IF(B9288="","",IF(MATCH(B9288,$B$2:$B$12000,0)=ROW()-1,1,0))</f>
        <v/>
      </c>
    </row>
    <row r="9289" customFormat="false" ht="15" hidden="false" customHeight="false" outlineLevel="0" collapsed="false">
      <c r="V9289" s="23" t="str">
        <f aca="false">IF(ISNUMBER(C9289),YEAR(C9289),"")</f>
        <v/>
      </c>
      <c r="W9289" s="23" t="str">
        <f aca="false">IF(ISNUMBER(C9289),MONTH(C9289),"")</f>
        <v/>
      </c>
      <c r="X9289" s="23" t="str">
        <f aca="false">IF(T9289="","",IF(T9289=0,"No discount",IF(T9289&lt;=0.2,"Low (1-20%)",IF(T9289&lt;=0.4,"Medium (21-40%)","High (&gt;40%)"))))</f>
        <v/>
      </c>
      <c r="Y9289" s="23" t="str">
        <f aca="false">IF(AND(ISNUMBER(C9289),ISNUMBER(D9289)),D9289-C9289,"")</f>
        <v/>
      </c>
      <c r="Z9289" s="23" t="str">
        <f aca="false">IF(B9289="","",IF(MATCH(B9289,$B$2:$B$12000,0)=ROW()-1,1,0))</f>
        <v/>
      </c>
    </row>
    <row r="9290" customFormat="false" ht="15" hidden="false" customHeight="false" outlineLevel="0" collapsed="false">
      <c r="V9290" s="23" t="str">
        <f aca="false">IF(ISNUMBER(C9290),YEAR(C9290),"")</f>
        <v/>
      </c>
      <c r="W9290" s="23" t="str">
        <f aca="false">IF(ISNUMBER(C9290),MONTH(C9290),"")</f>
        <v/>
      </c>
      <c r="X9290" s="23" t="str">
        <f aca="false">IF(T9290="","",IF(T9290=0,"No discount",IF(T9290&lt;=0.2,"Low (1-20%)",IF(T9290&lt;=0.4,"Medium (21-40%)","High (&gt;40%)"))))</f>
        <v/>
      </c>
      <c r="Y9290" s="23" t="str">
        <f aca="false">IF(AND(ISNUMBER(C9290),ISNUMBER(D9290)),D9290-C9290,"")</f>
        <v/>
      </c>
      <c r="Z9290" s="23" t="str">
        <f aca="false">IF(B9290="","",IF(MATCH(B9290,$B$2:$B$12000,0)=ROW()-1,1,0))</f>
        <v/>
      </c>
    </row>
    <row r="9291" customFormat="false" ht="15" hidden="false" customHeight="false" outlineLevel="0" collapsed="false">
      <c r="V9291" s="23" t="str">
        <f aca="false">IF(ISNUMBER(C9291),YEAR(C9291),"")</f>
        <v/>
      </c>
      <c r="W9291" s="23" t="str">
        <f aca="false">IF(ISNUMBER(C9291),MONTH(C9291),"")</f>
        <v/>
      </c>
      <c r="X9291" s="23" t="str">
        <f aca="false">IF(T9291="","",IF(T9291=0,"No discount",IF(T9291&lt;=0.2,"Low (1-20%)",IF(T9291&lt;=0.4,"Medium (21-40%)","High (&gt;40%)"))))</f>
        <v/>
      </c>
      <c r="Y9291" s="23" t="str">
        <f aca="false">IF(AND(ISNUMBER(C9291),ISNUMBER(D9291)),D9291-C9291,"")</f>
        <v/>
      </c>
      <c r="Z9291" s="23" t="str">
        <f aca="false">IF(B9291="","",IF(MATCH(B9291,$B$2:$B$12000,0)=ROW()-1,1,0))</f>
        <v/>
      </c>
    </row>
    <row r="9292" customFormat="false" ht="15" hidden="false" customHeight="false" outlineLevel="0" collapsed="false">
      <c r="V9292" s="23" t="str">
        <f aca="false">IF(ISNUMBER(C9292),YEAR(C9292),"")</f>
        <v/>
      </c>
      <c r="W9292" s="23" t="str">
        <f aca="false">IF(ISNUMBER(C9292),MONTH(C9292),"")</f>
        <v/>
      </c>
      <c r="X9292" s="23" t="str">
        <f aca="false">IF(T9292="","",IF(T9292=0,"No discount",IF(T9292&lt;=0.2,"Low (1-20%)",IF(T9292&lt;=0.4,"Medium (21-40%)","High (&gt;40%)"))))</f>
        <v/>
      </c>
      <c r="Y9292" s="23" t="str">
        <f aca="false">IF(AND(ISNUMBER(C9292),ISNUMBER(D9292)),D9292-C9292,"")</f>
        <v/>
      </c>
      <c r="Z9292" s="23" t="str">
        <f aca="false">IF(B9292="","",IF(MATCH(B9292,$B$2:$B$12000,0)=ROW()-1,1,0))</f>
        <v/>
      </c>
    </row>
    <row r="9293" customFormat="false" ht="15" hidden="false" customHeight="false" outlineLevel="0" collapsed="false">
      <c r="V9293" s="23" t="str">
        <f aca="false">IF(ISNUMBER(C9293),YEAR(C9293),"")</f>
        <v/>
      </c>
      <c r="W9293" s="23" t="str">
        <f aca="false">IF(ISNUMBER(C9293),MONTH(C9293),"")</f>
        <v/>
      </c>
      <c r="X9293" s="23" t="str">
        <f aca="false">IF(T9293="","",IF(T9293=0,"No discount",IF(T9293&lt;=0.2,"Low (1-20%)",IF(T9293&lt;=0.4,"Medium (21-40%)","High (&gt;40%)"))))</f>
        <v/>
      </c>
      <c r="Y9293" s="23" t="str">
        <f aca="false">IF(AND(ISNUMBER(C9293),ISNUMBER(D9293)),D9293-C9293,"")</f>
        <v/>
      </c>
      <c r="Z9293" s="23" t="str">
        <f aca="false">IF(B9293="","",IF(MATCH(B9293,$B$2:$B$12000,0)=ROW()-1,1,0))</f>
        <v/>
      </c>
    </row>
    <row r="9294" customFormat="false" ht="15" hidden="false" customHeight="false" outlineLevel="0" collapsed="false">
      <c r="V9294" s="23" t="str">
        <f aca="false">IF(ISNUMBER(C9294),YEAR(C9294),"")</f>
        <v/>
      </c>
      <c r="W9294" s="23" t="str">
        <f aca="false">IF(ISNUMBER(C9294),MONTH(C9294),"")</f>
        <v/>
      </c>
      <c r="X9294" s="23" t="str">
        <f aca="false">IF(T9294="","",IF(T9294=0,"No discount",IF(T9294&lt;=0.2,"Low (1-20%)",IF(T9294&lt;=0.4,"Medium (21-40%)","High (&gt;40%)"))))</f>
        <v/>
      </c>
      <c r="Y9294" s="23" t="str">
        <f aca="false">IF(AND(ISNUMBER(C9294),ISNUMBER(D9294)),D9294-C9294,"")</f>
        <v/>
      </c>
      <c r="Z9294" s="23" t="str">
        <f aca="false">IF(B9294="","",IF(MATCH(B9294,$B$2:$B$12000,0)=ROW()-1,1,0))</f>
        <v/>
      </c>
    </row>
    <row r="9295" customFormat="false" ht="15" hidden="false" customHeight="false" outlineLevel="0" collapsed="false">
      <c r="V9295" s="23" t="str">
        <f aca="false">IF(ISNUMBER(C9295),YEAR(C9295),"")</f>
        <v/>
      </c>
      <c r="W9295" s="23" t="str">
        <f aca="false">IF(ISNUMBER(C9295),MONTH(C9295),"")</f>
        <v/>
      </c>
      <c r="X9295" s="23" t="str">
        <f aca="false">IF(T9295="","",IF(T9295=0,"No discount",IF(T9295&lt;=0.2,"Low (1-20%)",IF(T9295&lt;=0.4,"Medium (21-40%)","High (&gt;40%)"))))</f>
        <v/>
      </c>
      <c r="Y9295" s="23" t="str">
        <f aca="false">IF(AND(ISNUMBER(C9295),ISNUMBER(D9295)),D9295-C9295,"")</f>
        <v/>
      </c>
      <c r="Z9295" s="23" t="str">
        <f aca="false">IF(B9295="","",IF(MATCH(B9295,$B$2:$B$12000,0)=ROW()-1,1,0))</f>
        <v/>
      </c>
    </row>
    <row r="9296" customFormat="false" ht="15" hidden="false" customHeight="false" outlineLevel="0" collapsed="false">
      <c r="V9296" s="23" t="str">
        <f aca="false">IF(ISNUMBER(C9296),YEAR(C9296),"")</f>
        <v/>
      </c>
      <c r="W9296" s="23" t="str">
        <f aca="false">IF(ISNUMBER(C9296),MONTH(C9296),"")</f>
        <v/>
      </c>
      <c r="X9296" s="23" t="str">
        <f aca="false">IF(T9296="","",IF(T9296=0,"No discount",IF(T9296&lt;=0.2,"Low (1-20%)",IF(T9296&lt;=0.4,"Medium (21-40%)","High (&gt;40%)"))))</f>
        <v/>
      </c>
      <c r="Y9296" s="23" t="str">
        <f aca="false">IF(AND(ISNUMBER(C9296),ISNUMBER(D9296)),D9296-C9296,"")</f>
        <v/>
      </c>
      <c r="Z9296" s="23" t="str">
        <f aca="false">IF(B9296="","",IF(MATCH(B9296,$B$2:$B$12000,0)=ROW()-1,1,0))</f>
        <v/>
      </c>
    </row>
    <row r="9297" customFormat="false" ht="15" hidden="false" customHeight="false" outlineLevel="0" collapsed="false">
      <c r="V9297" s="23" t="str">
        <f aca="false">IF(ISNUMBER(C9297),YEAR(C9297),"")</f>
        <v/>
      </c>
      <c r="W9297" s="23" t="str">
        <f aca="false">IF(ISNUMBER(C9297),MONTH(C9297),"")</f>
        <v/>
      </c>
      <c r="X9297" s="23" t="str">
        <f aca="false">IF(T9297="","",IF(T9297=0,"No discount",IF(T9297&lt;=0.2,"Low (1-20%)",IF(T9297&lt;=0.4,"Medium (21-40%)","High (&gt;40%)"))))</f>
        <v/>
      </c>
      <c r="Y9297" s="23" t="str">
        <f aca="false">IF(AND(ISNUMBER(C9297),ISNUMBER(D9297)),D9297-C9297,"")</f>
        <v/>
      </c>
      <c r="Z9297" s="23" t="str">
        <f aca="false">IF(B9297="","",IF(MATCH(B9297,$B$2:$B$12000,0)=ROW()-1,1,0))</f>
        <v/>
      </c>
    </row>
    <row r="9298" customFormat="false" ht="15" hidden="false" customHeight="false" outlineLevel="0" collapsed="false">
      <c r="V9298" s="23" t="str">
        <f aca="false">IF(ISNUMBER(C9298),YEAR(C9298),"")</f>
        <v/>
      </c>
      <c r="W9298" s="23" t="str">
        <f aca="false">IF(ISNUMBER(C9298),MONTH(C9298),"")</f>
        <v/>
      </c>
      <c r="X9298" s="23" t="str">
        <f aca="false">IF(T9298="","",IF(T9298=0,"No discount",IF(T9298&lt;=0.2,"Low (1-20%)",IF(T9298&lt;=0.4,"Medium (21-40%)","High (&gt;40%)"))))</f>
        <v/>
      </c>
      <c r="Y9298" s="23" t="str">
        <f aca="false">IF(AND(ISNUMBER(C9298),ISNUMBER(D9298)),D9298-C9298,"")</f>
        <v/>
      </c>
      <c r="Z9298" s="23" t="str">
        <f aca="false">IF(B9298="","",IF(MATCH(B9298,$B$2:$B$12000,0)=ROW()-1,1,0))</f>
        <v/>
      </c>
    </row>
    <row r="9299" customFormat="false" ht="15" hidden="false" customHeight="false" outlineLevel="0" collapsed="false">
      <c r="V9299" s="23" t="str">
        <f aca="false">IF(ISNUMBER(C9299),YEAR(C9299),"")</f>
        <v/>
      </c>
      <c r="W9299" s="23" t="str">
        <f aca="false">IF(ISNUMBER(C9299),MONTH(C9299),"")</f>
        <v/>
      </c>
      <c r="X9299" s="23" t="str">
        <f aca="false">IF(T9299="","",IF(T9299=0,"No discount",IF(T9299&lt;=0.2,"Low (1-20%)",IF(T9299&lt;=0.4,"Medium (21-40%)","High (&gt;40%)"))))</f>
        <v/>
      </c>
      <c r="Y9299" s="23" t="str">
        <f aca="false">IF(AND(ISNUMBER(C9299),ISNUMBER(D9299)),D9299-C9299,"")</f>
        <v/>
      </c>
      <c r="Z9299" s="23" t="str">
        <f aca="false">IF(B9299="","",IF(MATCH(B9299,$B$2:$B$12000,0)=ROW()-1,1,0))</f>
        <v/>
      </c>
    </row>
    <row r="9300" customFormat="false" ht="15" hidden="false" customHeight="false" outlineLevel="0" collapsed="false">
      <c r="V9300" s="23" t="str">
        <f aca="false">IF(ISNUMBER(C9300),YEAR(C9300),"")</f>
        <v/>
      </c>
      <c r="W9300" s="23" t="str">
        <f aca="false">IF(ISNUMBER(C9300),MONTH(C9300),"")</f>
        <v/>
      </c>
      <c r="X9300" s="23" t="str">
        <f aca="false">IF(T9300="","",IF(T9300=0,"No discount",IF(T9300&lt;=0.2,"Low (1-20%)",IF(T9300&lt;=0.4,"Medium (21-40%)","High (&gt;40%)"))))</f>
        <v/>
      </c>
      <c r="Y9300" s="23" t="str">
        <f aca="false">IF(AND(ISNUMBER(C9300),ISNUMBER(D9300)),D9300-C9300,"")</f>
        <v/>
      </c>
      <c r="Z9300" s="23" t="str">
        <f aca="false">IF(B9300="","",IF(MATCH(B9300,$B$2:$B$12000,0)=ROW()-1,1,0))</f>
        <v/>
      </c>
    </row>
    <row r="9301" customFormat="false" ht="15" hidden="false" customHeight="false" outlineLevel="0" collapsed="false">
      <c r="V9301" s="23" t="str">
        <f aca="false">IF(ISNUMBER(C9301),YEAR(C9301),"")</f>
        <v/>
      </c>
      <c r="W9301" s="23" t="str">
        <f aca="false">IF(ISNUMBER(C9301),MONTH(C9301),"")</f>
        <v/>
      </c>
      <c r="X9301" s="23" t="str">
        <f aca="false">IF(T9301="","",IF(T9301=0,"No discount",IF(T9301&lt;=0.2,"Low (1-20%)",IF(T9301&lt;=0.4,"Medium (21-40%)","High (&gt;40%)"))))</f>
        <v/>
      </c>
      <c r="Y9301" s="23" t="str">
        <f aca="false">IF(AND(ISNUMBER(C9301),ISNUMBER(D9301)),D9301-C9301,"")</f>
        <v/>
      </c>
      <c r="Z9301" s="23" t="str">
        <f aca="false">IF(B9301="","",IF(MATCH(B9301,$B$2:$B$12000,0)=ROW()-1,1,0))</f>
        <v/>
      </c>
    </row>
    <row r="9302" customFormat="false" ht="15" hidden="false" customHeight="false" outlineLevel="0" collapsed="false">
      <c r="V9302" s="23" t="str">
        <f aca="false">IF(ISNUMBER(C9302),YEAR(C9302),"")</f>
        <v/>
      </c>
      <c r="W9302" s="23" t="str">
        <f aca="false">IF(ISNUMBER(C9302),MONTH(C9302),"")</f>
        <v/>
      </c>
      <c r="X9302" s="23" t="str">
        <f aca="false">IF(T9302="","",IF(T9302=0,"No discount",IF(T9302&lt;=0.2,"Low (1-20%)",IF(T9302&lt;=0.4,"Medium (21-40%)","High (&gt;40%)"))))</f>
        <v/>
      </c>
      <c r="Y9302" s="23" t="str">
        <f aca="false">IF(AND(ISNUMBER(C9302),ISNUMBER(D9302)),D9302-C9302,"")</f>
        <v/>
      </c>
      <c r="Z9302" s="23" t="str">
        <f aca="false">IF(B9302="","",IF(MATCH(B9302,$B$2:$B$12000,0)=ROW()-1,1,0))</f>
        <v/>
      </c>
    </row>
    <row r="9303" customFormat="false" ht="15" hidden="false" customHeight="false" outlineLevel="0" collapsed="false">
      <c r="V9303" s="23" t="str">
        <f aca="false">IF(ISNUMBER(C9303),YEAR(C9303),"")</f>
        <v/>
      </c>
      <c r="W9303" s="23" t="str">
        <f aca="false">IF(ISNUMBER(C9303),MONTH(C9303),"")</f>
        <v/>
      </c>
      <c r="X9303" s="23" t="str">
        <f aca="false">IF(T9303="","",IF(T9303=0,"No discount",IF(T9303&lt;=0.2,"Low (1-20%)",IF(T9303&lt;=0.4,"Medium (21-40%)","High (&gt;40%)"))))</f>
        <v/>
      </c>
      <c r="Y9303" s="23" t="str">
        <f aca="false">IF(AND(ISNUMBER(C9303),ISNUMBER(D9303)),D9303-C9303,"")</f>
        <v/>
      </c>
      <c r="Z9303" s="23" t="str">
        <f aca="false">IF(B9303="","",IF(MATCH(B9303,$B$2:$B$12000,0)=ROW()-1,1,0))</f>
        <v/>
      </c>
    </row>
    <row r="9304" customFormat="false" ht="15" hidden="false" customHeight="false" outlineLevel="0" collapsed="false">
      <c r="V9304" s="23" t="str">
        <f aca="false">IF(ISNUMBER(C9304),YEAR(C9304),"")</f>
        <v/>
      </c>
      <c r="W9304" s="23" t="str">
        <f aca="false">IF(ISNUMBER(C9304),MONTH(C9304),"")</f>
        <v/>
      </c>
      <c r="X9304" s="23" t="str">
        <f aca="false">IF(T9304="","",IF(T9304=0,"No discount",IF(T9304&lt;=0.2,"Low (1-20%)",IF(T9304&lt;=0.4,"Medium (21-40%)","High (&gt;40%)"))))</f>
        <v/>
      </c>
      <c r="Y9304" s="23" t="str">
        <f aca="false">IF(AND(ISNUMBER(C9304),ISNUMBER(D9304)),D9304-C9304,"")</f>
        <v/>
      </c>
      <c r="Z9304" s="23" t="str">
        <f aca="false">IF(B9304="","",IF(MATCH(B9304,$B$2:$B$12000,0)=ROW()-1,1,0))</f>
        <v/>
      </c>
    </row>
    <row r="9305" customFormat="false" ht="15" hidden="false" customHeight="false" outlineLevel="0" collapsed="false">
      <c r="V9305" s="23" t="str">
        <f aca="false">IF(ISNUMBER(C9305),YEAR(C9305),"")</f>
        <v/>
      </c>
      <c r="W9305" s="23" t="str">
        <f aca="false">IF(ISNUMBER(C9305),MONTH(C9305),"")</f>
        <v/>
      </c>
      <c r="X9305" s="23" t="str">
        <f aca="false">IF(T9305="","",IF(T9305=0,"No discount",IF(T9305&lt;=0.2,"Low (1-20%)",IF(T9305&lt;=0.4,"Medium (21-40%)","High (&gt;40%)"))))</f>
        <v/>
      </c>
      <c r="Y9305" s="23" t="str">
        <f aca="false">IF(AND(ISNUMBER(C9305),ISNUMBER(D9305)),D9305-C9305,"")</f>
        <v/>
      </c>
      <c r="Z9305" s="23" t="str">
        <f aca="false">IF(B9305="","",IF(MATCH(B9305,$B$2:$B$12000,0)=ROW()-1,1,0))</f>
        <v/>
      </c>
    </row>
    <row r="9306" customFormat="false" ht="15" hidden="false" customHeight="false" outlineLevel="0" collapsed="false">
      <c r="V9306" s="23" t="str">
        <f aca="false">IF(ISNUMBER(C9306),YEAR(C9306),"")</f>
        <v/>
      </c>
      <c r="W9306" s="23" t="str">
        <f aca="false">IF(ISNUMBER(C9306),MONTH(C9306),"")</f>
        <v/>
      </c>
      <c r="X9306" s="23" t="str">
        <f aca="false">IF(T9306="","",IF(T9306=0,"No discount",IF(T9306&lt;=0.2,"Low (1-20%)",IF(T9306&lt;=0.4,"Medium (21-40%)","High (&gt;40%)"))))</f>
        <v/>
      </c>
      <c r="Y9306" s="23" t="str">
        <f aca="false">IF(AND(ISNUMBER(C9306),ISNUMBER(D9306)),D9306-C9306,"")</f>
        <v/>
      </c>
      <c r="Z9306" s="23" t="str">
        <f aca="false">IF(B9306="","",IF(MATCH(B9306,$B$2:$B$12000,0)=ROW()-1,1,0))</f>
        <v/>
      </c>
    </row>
    <row r="9307" customFormat="false" ht="15" hidden="false" customHeight="false" outlineLevel="0" collapsed="false">
      <c r="V9307" s="23" t="str">
        <f aca="false">IF(ISNUMBER(C9307),YEAR(C9307),"")</f>
        <v/>
      </c>
      <c r="W9307" s="23" t="str">
        <f aca="false">IF(ISNUMBER(C9307),MONTH(C9307),"")</f>
        <v/>
      </c>
      <c r="X9307" s="23" t="str">
        <f aca="false">IF(T9307="","",IF(T9307=0,"No discount",IF(T9307&lt;=0.2,"Low (1-20%)",IF(T9307&lt;=0.4,"Medium (21-40%)","High (&gt;40%)"))))</f>
        <v/>
      </c>
      <c r="Y9307" s="23" t="str">
        <f aca="false">IF(AND(ISNUMBER(C9307),ISNUMBER(D9307)),D9307-C9307,"")</f>
        <v/>
      </c>
      <c r="Z9307" s="23" t="str">
        <f aca="false">IF(B9307="","",IF(MATCH(B9307,$B$2:$B$12000,0)=ROW()-1,1,0))</f>
        <v/>
      </c>
    </row>
    <row r="9308" customFormat="false" ht="15" hidden="false" customHeight="false" outlineLevel="0" collapsed="false">
      <c r="V9308" s="23" t="str">
        <f aca="false">IF(ISNUMBER(C9308),YEAR(C9308),"")</f>
        <v/>
      </c>
      <c r="W9308" s="23" t="str">
        <f aca="false">IF(ISNUMBER(C9308),MONTH(C9308),"")</f>
        <v/>
      </c>
      <c r="X9308" s="23" t="str">
        <f aca="false">IF(T9308="","",IF(T9308=0,"No discount",IF(T9308&lt;=0.2,"Low (1-20%)",IF(T9308&lt;=0.4,"Medium (21-40%)","High (&gt;40%)"))))</f>
        <v/>
      </c>
      <c r="Y9308" s="23" t="str">
        <f aca="false">IF(AND(ISNUMBER(C9308),ISNUMBER(D9308)),D9308-C9308,"")</f>
        <v/>
      </c>
      <c r="Z9308" s="23" t="str">
        <f aca="false">IF(B9308="","",IF(MATCH(B9308,$B$2:$B$12000,0)=ROW()-1,1,0))</f>
        <v/>
      </c>
    </row>
    <row r="9309" customFormat="false" ht="15" hidden="false" customHeight="false" outlineLevel="0" collapsed="false">
      <c r="V9309" s="23" t="str">
        <f aca="false">IF(ISNUMBER(C9309),YEAR(C9309),"")</f>
        <v/>
      </c>
      <c r="W9309" s="23" t="str">
        <f aca="false">IF(ISNUMBER(C9309),MONTH(C9309),"")</f>
        <v/>
      </c>
      <c r="X9309" s="23" t="str">
        <f aca="false">IF(T9309="","",IF(T9309=0,"No discount",IF(T9309&lt;=0.2,"Low (1-20%)",IF(T9309&lt;=0.4,"Medium (21-40%)","High (&gt;40%)"))))</f>
        <v/>
      </c>
      <c r="Y9309" s="23" t="str">
        <f aca="false">IF(AND(ISNUMBER(C9309),ISNUMBER(D9309)),D9309-C9309,"")</f>
        <v/>
      </c>
      <c r="Z9309" s="23" t="str">
        <f aca="false">IF(B9309="","",IF(MATCH(B9309,$B$2:$B$12000,0)=ROW()-1,1,0))</f>
        <v/>
      </c>
    </row>
    <row r="9310" customFormat="false" ht="15" hidden="false" customHeight="false" outlineLevel="0" collapsed="false">
      <c r="V9310" s="23" t="str">
        <f aca="false">IF(ISNUMBER(C9310),YEAR(C9310),"")</f>
        <v/>
      </c>
      <c r="W9310" s="23" t="str">
        <f aca="false">IF(ISNUMBER(C9310),MONTH(C9310),"")</f>
        <v/>
      </c>
      <c r="X9310" s="23" t="str">
        <f aca="false">IF(T9310="","",IF(T9310=0,"No discount",IF(T9310&lt;=0.2,"Low (1-20%)",IF(T9310&lt;=0.4,"Medium (21-40%)","High (&gt;40%)"))))</f>
        <v/>
      </c>
      <c r="Y9310" s="23" t="str">
        <f aca="false">IF(AND(ISNUMBER(C9310),ISNUMBER(D9310)),D9310-C9310,"")</f>
        <v/>
      </c>
      <c r="Z9310" s="23" t="str">
        <f aca="false">IF(B9310="","",IF(MATCH(B9310,$B$2:$B$12000,0)=ROW()-1,1,0))</f>
        <v/>
      </c>
    </row>
    <row r="9311" customFormat="false" ht="15" hidden="false" customHeight="false" outlineLevel="0" collapsed="false">
      <c r="V9311" s="23" t="str">
        <f aca="false">IF(ISNUMBER(C9311),YEAR(C9311),"")</f>
        <v/>
      </c>
      <c r="W9311" s="23" t="str">
        <f aca="false">IF(ISNUMBER(C9311),MONTH(C9311),"")</f>
        <v/>
      </c>
      <c r="X9311" s="23" t="str">
        <f aca="false">IF(T9311="","",IF(T9311=0,"No discount",IF(T9311&lt;=0.2,"Low (1-20%)",IF(T9311&lt;=0.4,"Medium (21-40%)","High (&gt;40%)"))))</f>
        <v/>
      </c>
      <c r="Y9311" s="23" t="str">
        <f aca="false">IF(AND(ISNUMBER(C9311),ISNUMBER(D9311)),D9311-C9311,"")</f>
        <v/>
      </c>
      <c r="Z9311" s="23" t="str">
        <f aca="false">IF(B9311="","",IF(MATCH(B9311,$B$2:$B$12000,0)=ROW()-1,1,0))</f>
        <v/>
      </c>
    </row>
    <row r="9312" customFormat="false" ht="15" hidden="false" customHeight="false" outlineLevel="0" collapsed="false">
      <c r="V9312" s="23" t="str">
        <f aca="false">IF(ISNUMBER(C9312),YEAR(C9312),"")</f>
        <v/>
      </c>
      <c r="W9312" s="23" t="str">
        <f aca="false">IF(ISNUMBER(C9312),MONTH(C9312),"")</f>
        <v/>
      </c>
      <c r="X9312" s="23" t="str">
        <f aca="false">IF(T9312="","",IF(T9312=0,"No discount",IF(T9312&lt;=0.2,"Low (1-20%)",IF(T9312&lt;=0.4,"Medium (21-40%)","High (&gt;40%)"))))</f>
        <v/>
      </c>
      <c r="Y9312" s="23" t="str">
        <f aca="false">IF(AND(ISNUMBER(C9312),ISNUMBER(D9312)),D9312-C9312,"")</f>
        <v/>
      </c>
      <c r="Z9312" s="23" t="str">
        <f aca="false">IF(B9312="","",IF(MATCH(B9312,$B$2:$B$12000,0)=ROW()-1,1,0))</f>
        <v/>
      </c>
    </row>
    <row r="9313" customFormat="false" ht="15" hidden="false" customHeight="false" outlineLevel="0" collapsed="false">
      <c r="V9313" s="23" t="str">
        <f aca="false">IF(ISNUMBER(C9313),YEAR(C9313),"")</f>
        <v/>
      </c>
      <c r="W9313" s="23" t="str">
        <f aca="false">IF(ISNUMBER(C9313),MONTH(C9313),"")</f>
        <v/>
      </c>
      <c r="X9313" s="23" t="str">
        <f aca="false">IF(T9313="","",IF(T9313=0,"No discount",IF(T9313&lt;=0.2,"Low (1-20%)",IF(T9313&lt;=0.4,"Medium (21-40%)","High (&gt;40%)"))))</f>
        <v/>
      </c>
      <c r="Y9313" s="23" t="str">
        <f aca="false">IF(AND(ISNUMBER(C9313),ISNUMBER(D9313)),D9313-C9313,"")</f>
        <v/>
      </c>
      <c r="Z9313" s="23" t="str">
        <f aca="false">IF(B9313="","",IF(MATCH(B9313,$B$2:$B$12000,0)=ROW()-1,1,0))</f>
        <v/>
      </c>
    </row>
    <row r="9314" customFormat="false" ht="15" hidden="false" customHeight="false" outlineLevel="0" collapsed="false">
      <c r="V9314" s="23" t="str">
        <f aca="false">IF(ISNUMBER(C9314),YEAR(C9314),"")</f>
        <v/>
      </c>
      <c r="W9314" s="23" t="str">
        <f aca="false">IF(ISNUMBER(C9314),MONTH(C9314),"")</f>
        <v/>
      </c>
      <c r="X9314" s="23" t="str">
        <f aca="false">IF(T9314="","",IF(T9314=0,"No discount",IF(T9314&lt;=0.2,"Low (1-20%)",IF(T9314&lt;=0.4,"Medium (21-40%)","High (&gt;40%)"))))</f>
        <v/>
      </c>
      <c r="Y9314" s="23" t="str">
        <f aca="false">IF(AND(ISNUMBER(C9314),ISNUMBER(D9314)),D9314-C9314,"")</f>
        <v/>
      </c>
      <c r="Z9314" s="23" t="str">
        <f aca="false">IF(B9314="","",IF(MATCH(B9314,$B$2:$B$12000,0)=ROW()-1,1,0))</f>
        <v/>
      </c>
    </row>
    <row r="9315" customFormat="false" ht="15" hidden="false" customHeight="false" outlineLevel="0" collapsed="false">
      <c r="V9315" s="23" t="str">
        <f aca="false">IF(ISNUMBER(C9315),YEAR(C9315),"")</f>
        <v/>
      </c>
      <c r="W9315" s="23" t="str">
        <f aca="false">IF(ISNUMBER(C9315),MONTH(C9315),"")</f>
        <v/>
      </c>
      <c r="X9315" s="23" t="str">
        <f aca="false">IF(T9315="","",IF(T9315=0,"No discount",IF(T9315&lt;=0.2,"Low (1-20%)",IF(T9315&lt;=0.4,"Medium (21-40%)","High (&gt;40%)"))))</f>
        <v/>
      </c>
      <c r="Y9315" s="23" t="str">
        <f aca="false">IF(AND(ISNUMBER(C9315),ISNUMBER(D9315)),D9315-C9315,"")</f>
        <v/>
      </c>
      <c r="Z9315" s="23" t="str">
        <f aca="false">IF(B9315="","",IF(MATCH(B9315,$B$2:$B$12000,0)=ROW()-1,1,0))</f>
        <v/>
      </c>
    </row>
    <row r="9316" customFormat="false" ht="15" hidden="false" customHeight="false" outlineLevel="0" collapsed="false">
      <c r="V9316" s="23" t="str">
        <f aca="false">IF(ISNUMBER(C9316),YEAR(C9316),"")</f>
        <v/>
      </c>
      <c r="W9316" s="23" t="str">
        <f aca="false">IF(ISNUMBER(C9316),MONTH(C9316),"")</f>
        <v/>
      </c>
      <c r="X9316" s="23" t="str">
        <f aca="false">IF(T9316="","",IF(T9316=0,"No discount",IF(T9316&lt;=0.2,"Low (1-20%)",IF(T9316&lt;=0.4,"Medium (21-40%)","High (&gt;40%)"))))</f>
        <v/>
      </c>
      <c r="Y9316" s="23" t="str">
        <f aca="false">IF(AND(ISNUMBER(C9316),ISNUMBER(D9316)),D9316-C9316,"")</f>
        <v/>
      </c>
      <c r="Z9316" s="23" t="str">
        <f aca="false">IF(B9316="","",IF(MATCH(B9316,$B$2:$B$12000,0)=ROW()-1,1,0))</f>
        <v/>
      </c>
    </row>
    <row r="9317" customFormat="false" ht="15" hidden="false" customHeight="false" outlineLevel="0" collapsed="false">
      <c r="V9317" s="23" t="str">
        <f aca="false">IF(ISNUMBER(C9317),YEAR(C9317),"")</f>
        <v/>
      </c>
      <c r="W9317" s="23" t="str">
        <f aca="false">IF(ISNUMBER(C9317),MONTH(C9317),"")</f>
        <v/>
      </c>
      <c r="X9317" s="23" t="str">
        <f aca="false">IF(T9317="","",IF(T9317=0,"No discount",IF(T9317&lt;=0.2,"Low (1-20%)",IF(T9317&lt;=0.4,"Medium (21-40%)","High (&gt;40%)"))))</f>
        <v/>
      </c>
      <c r="Y9317" s="23" t="str">
        <f aca="false">IF(AND(ISNUMBER(C9317),ISNUMBER(D9317)),D9317-C9317,"")</f>
        <v/>
      </c>
      <c r="Z9317" s="23" t="str">
        <f aca="false">IF(B9317="","",IF(MATCH(B9317,$B$2:$B$12000,0)=ROW()-1,1,0))</f>
        <v/>
      </c>
    </row>
    <row r="9318" customFormat="false" ht="15" hidden="false" customHeight="false" outlineLevel="0" collapsed="false">
      <c r="V9318" s="23" t="str">
        <f aca="false">IF(ISNUMBER(C9318),YEAR(C9318),"")</f>
        <v/>
      </c>
      <c r="W9318" s="23" t="str">
        <f aca="false">IF(ISNUMBER(C9318),MONTH(C9318),"")</f>
        <v/>
      </c>
      <c r="X9318" s="23" t="str">
        <f aca="false">IF(T9318="","",IF(T9318=0,"No discount",IF(T9318&lt;=0.2,"Low (1-20%)",IF(T9318&lt;=0.4,"Medium (21-40%)","High (&gt;40%)"))))</f>
        <v/>
      </c>
      <c r="Y9318" s="23" t="str">
        <f aca="false">IF(AND(ISNUMBER(C9318),ISNUMBER(D9318)),D9318-C9318,"")</f>
        <v/>
      </c>
      <c r="Z9318" s="23" t="str">
        <f aca="false">IF(B9318="","",IF(MATCH(B9318,$B$2:$B$12000,0)=ROW()-1,1,0))</f>
        <v/>
      </c>
    </row>
    <row r="9319" customFormat="false" ht="15" hidden="false" customHeight="false" outlineLevel="0" collapsed="false">
      <c r="V9319" s="23" t="str">
        <f aca="false">IF(ISNUMBER(C9319),YEAR(C9319),"")</f>
        <v/>
      </c>
      <c r="W9319" s="23" t="str">
        <f aca="false">IF(ISNUMBER(C9319),MONTH(C9319),"")</f>
        <v/>
      </c>
      <c r="X9319" s="23" t="str">
        <f aca="false">IF(T9319="","",IF(T9319=0,"No discount",IF(T9319&lt;=0.2,"Low (1-20%)",IF(T9319&lt;=0.4,"Medium (21-40%)","High (&gt;40%)"))))</f>
        <v/>
      </c>
      <c r="Y9319" s="23" t="str">
        <f aca="false">IF(AND(ISNUMBER(C9319),ISNUMBER(D9319)),D9319-C9319,"")</f>
        <v/>
      </c>
      <c r="Z9319" s="23" t="str">
        <f aca="false">IF(B9319="","",IF(MATCH(B9319,$B$2:$B$12000,0)=ROW()-1,1,0))</f>
        <v/>
      </c>
    </row>
    <row r="9320" customFormat="false" ht="15" hidden="false" customHeight="false" outlineLevel="0" collapsed="false">
      <c r="V9320" s="23" t="str">
        <f aca="false">IF(ISNUMBER(C9320),YEAR(C9320),"")</f>
        <v/>
      </c>
      <c r="W9320" s="23" t="str">
        <f aca="false">IF(ISNUMBER(C9320),MONTH(C9320),"")</f>
        <v/>
      </c>
      <c r="X9320" s="23" t="str">
        <f aca="false">IF(T9320="","",IF(T9320=0,"No discount",IF(T9320&lt;=0.2,"Low (1-20%)",IF(T9320&lt;=0.4,"Medium (21-40%)","High (&gt;40%)"))))</f>
        <v/>
      </c>
      <c r="Y9320" s="23" t="str">
        <f aca="false">IF(AND(ISNUMBER(C9320),ISNUMBER(D9320)),D9320-C9320,"")</f>
        <v/>
      </c>
      <c r="Z9320" s="23" t="str">
        <f aca="false">IF(B9320="","",IF(MATCH(B9320,$B$2:$B$12000,0)=ROW()-1,1,0))</f>
        <v/>
      </c>
    </row>
    <row r="9321" customFormat="false" ht="15" hidden="false" customHeight="false" outlineLevel="0" collapsed="false">
      <c r="V9321" s="23" t="str">
        <f aca="false">IF(ISNUMBER(C9321),YEAR(C9321),"")</f>
        <v/>
      </c>
      <c r="W9321" s="23" t="str">
        <f aca="false">IF(ISNUMBER(C9321),MONTH(C9321),"")</f>
        <v/>
      </c>
      <c r="X9321" s="23" t="str">
        <f aca="false">IF(T9321="","",IF(T9321=0,"No discount",IF(T9321&lt;=0.2,"Low (1-20%)",IF(T9321&lt;=0.4,"Medium (21-40%)","High (&gt;40%)"))))</f>
        <v/>
      </c>
      <c r="Y9321" s="23" t="str">
        <f aca="false">IF(AND(ISNUMBER(C9321),ISNUMBER(D9321)),D9321-C9321,"")</f>
        <v/>
      </c>
      <c r="Z9321" s="23" t="str">
        <f aca="false">IF(B9321="","",IF(MATCH(B9321,$B$2:$B$12000,0)=ROW()-1,1,0))</f>
        <v/>
      </c>
    </row>
    <row r="9322" customFormat="false" ht="15" hidden="false" customHeight="false" outlineLevel="0" collapsed="false">
      <c r="V9322" s="23" t="str">
        <f aca="false">IF(ISNUMBER(C9322),YEAR(C9322),"")</f>
        <v/>
      </c>
      <c r="W9322" s="23" t="str">
        <f aca="false">IF(ISNUMBER(C9322),MONTH(C9322),"")</f>
        <v/>
      </c>
      <c r="X9322" s="23" t="str">
        <f aca="false">IF(T9322="","",IF(T9322=0,"No discount",IF(T9322&lt;=0.2,"Low (1-20%)",IF(T9322&lt;=0.4,"Medium (21-40%)","High (&gt;40%)"))))</f>
        <v/>
      </c>
      <c r="Y9322" s="23" t="str">
        <f aca="false">IF(AND(ISNUMBER(C9322),ISNUMBER(D9322)),D9322-C9322,"")</f>
        <v/>
      </c>
      <c r="Z9322" s="23" t="str">
        <f aca="false">IF(B9322="","",IF(MATCH(B9322,$B$2:$B$12000,0)=ROW()-1,1,0))</f>
        <v/>
      </c>
    </row>
    <row r="9323" customFormat="false" ht="15" hidden="false" customHeight="false" outlineLevel="0" collapsed="false">
      <c r="V9323" s="23" t="str">
        <f aca="false">IF(ISNUMBER(C9323),YEAR(C9323),"")</f>
        <v/>
      </c>
      <c r="W9323" s="23" t="str">
        <f aca="false">IF(ISNUMBER(C9323),MONTH(C9323),"")</f>
        <v/>
      </c>
      <c r="X9323" s="23" t="str">
        <f aca="false">IF(T9323="","",IF(T9323=0,"No discount",IF(T9323&lt;=0.2,"Low (1-20%)",IF(T9323&lt;=0.4,"Medium (21-40%)","High (&gt;40%)"))))</f>
        <v/>
      </c>
      <c r="Y9323" s="23" t="str">
        <f aca="false">IF(AND(ISNUMBER(C9323),ISNUMBER(D9323)),D9323-C9323,"")</f>
        <v/>
      </c>
      <c r="Z9323" s="23" t="str">
        <f aca="false">IF(B9323="","",IF(MATCH(B9323,$B$2:$B$12000,0)=ROW()-1,1,0))</f>
        <v/>
      </c>
    </row>
    <row r="9324" customFormat="false" ht="15" hidden="false" customHeight="false" outlineLevel="0" collapsed="false">
      <c r="V9324" s="23" t="str">
        <f aca="false">IF(ISNUMBER(C9324),YEAR(C9324),"")</f>
        <v/>
      </c>
      <c r="W9324" s="23" t="str">
        <f aca="false">IF(ISNUMBER(C9324),MONTH(C9324),"")</f>
        <v/>
      </c>
      <c r="X9324" s="23" t="str">
        <f aca="false">IF(T9324="","",IF(T9324=0,"No discount",IF(T9324&lt;=0.2,"Low (1-20%)",IF(T9324&lt;=0.4,"Medium (21-40%)","High (&gt;40%)"))))</f>
        <v/>
      </c>
      <c r="Y9324" s="23" t="str">
        <f aca="false">IF(AND(ISNUMBER(C9324),ISNUMBER(D9324)),D9324-C9324,"")</f>
        <v/>
      </c>
      <c r="Z9324" s="23" t="str">
        <f aca="false">IF(B9324="","",IF(MATCH(B9324,$B$2:$B$12000,0)=ROW()-1,1,0))</f>
        <v/>
      </c>
    </row>
    <row r="9325" customFormat="false" ht="15" hidden="false" customHeight="false" outlineLevel="0" collapsed="false">
      <c r="V9325" s="23" t="str">
        <f aca="false">IF(ISNUMBER(C9325),YEAR(C9325),"")</f>
        <v/>
      </c>
      <c r="W9325" s="23" t="str">
        <f aca="false">IF(ISNUMBER(C9325),MONTH(C9325),"")</f>
        <v/>
      </c>
      <c r="X9325" s="23" t="str">
        <f aca="false">IF(T9325="","",IF(T9325=0,"No discount",IF(T9325&lt;=0.2,"Low (1-20%)",IF(T9325&lt;=0.4,"Medium (21-40%)","High (&gt;40%)"))))</f>
        <v/>
      </c>
      <c r="Y9325" s="23" t="str">
        <f aca="false">IF(AND(ISNUMBER(C9325),ISNUMBER(D9325)),D9325-C9325,"")</f>
        <v/>
      </c>
      <c r="Z9325" s="23" t="str">
        <f aca="false">IF(B9325="","",IF(MATCH(B9325,$B$2:$B$12000,0)=ROW()-1,1,0))</f>
        <v/>
      </c>
    </row>
    <row r="9326" customFormat="false" ht="15" hidden="false" customHeight="false" outlineLevel="0" collapsed="false">
      <c r="V9326" s="23" t="str">
        <f aca="false">IF(ISNUMBER(C9326),YEAR(C9326),"")</f>
        <v/>
      </c>
      <c r="W9326" s="23" t="str">
        <f aca="false">IF(ISNUMBER(C9326),MONTH(C9326),"")</f>
        <v/>
      </c>
      <c r="X9326" s="23" t="str">
        <f aca="false">IF(T9326="","",IF(T9326=0,"No discount",IF(T9326&lt;=0.2,"Low (1-20%)",IF(T9326&lt;=0.4,"Medium (21-40%)","High (&gt;40%)"))))</f>
        <v/>
      </c>
      <c r="Y9326" s="23" t="str">
        <f aca="false">IF(AND(ISNUMBER(C9326),ISNUMBER(D9326)),D9326-C9326,"")</f>
        <v/>
      </c>
      <c r="Z9326" s="23" t="str">
        <f aca="false">IF(B9326="","",IF(MATCH(B9326,$B$2:$B$12000,0)=ROW()-1,1,0))</f>
        <v/>
      </c>
    </row>
    <row r="9327" customFormat="false" ht="15" hidden="false" customHeight="false" outlineLevel="0" collapsed="false">
      <c r="V9327" s="23" t="str">
        <f aca="false">IF(ISNUMBER(C9327),YEAR(C9327),"")</f>
        <v/>
      </c>
      <c r="W9327" s="23" t="str">
        <f aca="false">IF(ISNUMBER(C9327),MONTH(C9327),"")</f>
        <v/>
      </c>
      <c r="X9327" s="23" t="str">
        <f aca="false">IF(T9327="","",IF(T9327=0,"No discount",IF(T9327&lt;=0.2,"Low (1-20%)",IF(T9327&lt;=0.4,"Medium (21-40%)","High (&gt;40%)"))))</f>
        <v/>
      </c>
      <c r="Y9327" s="23" t="str">
        <f aca="false">IF(AND(ISNUMBER(C9327),ISNUMBER(D9327)),D9327-C9327,"")</f>
        <v/>
      </c>
      <c r="Z9327" s="23" t="str">
        <f aca="false">IF(B9327="","",IF(MATCH(B9327,$B$2:$B$12000,0)=ROW()-1,1,0))</f>
        <v/>
      </c>
    </row>
    <row r="9328" customFormat="false" ht="15" hidden="false" customHeight="false" outlineLevel="0" collapsed="false">
      <c r="V9328" s="23" t="str">
        <f aca="false">IF(ISNUMBER(C9328),YEAR(C9328),"")</f>
        <v/>
      </c>
      <c r="W9328" s="23" t="str">
        <f aca="false">IF(ISNUMBER(C9328),MONTH(C9328),"")</f>
        <v/>
      </c>
      <c r="X9328" s="23" t="str">
        <f aca="false">IF(T9328="","",IF(T9328=0,"No discount",IF(T9328&lt;=0.2,"Low (1-20%)",IF(T9328&lt;=0.4,"Medium (21-40%)","High (&gt;40%)"))))</f>
        <v/>
      </c>
      <c r="Y9328" s="23" t="str">
        <f aca="false">IF(AND(ISNUMBER(C9328),ISNUMBER(D9328)),D9328-C9328,"")</f>
        <v/>
      </c>
      <c r="Z9328" s="23" t="str">
        <f aca="false">IF(B9328="","",IF(MATCH(B9328,$B$2:$B$12000,0)=ROW()-1,1,0))</f>
        <v/>
      </c>
    </row>
    <row r="9329" customFormat="false" ht="15" hidden="false" customHeight="false" outlineLevel="0" collapsed="false">
      <c r="V9329" s="23" t="str">
        <f aca="false">IF(ISNUMBER(C9329),YEAR(C9329),"")</f>
        <v/>
      </c>
      <c r="W9329" s="23" t="str">
        <f aca="false">IF(ISNUMBER(C9329),MONTH(C9329),"")</f>
        <v/>
      </c>
      <c r="X9329" s="23" t="str">
        <f aca="false">IF(T9329="","",IF(T9329=0,"No discount",IF(T9329&lt;=0.2,"Low (1-20%)",IF(T9329&lt;=0.4,"Medium (21-40%)","High (&gt;40%)"))))</f>
        <v/>
      </c>
      <c r="Y9329" s="23" t="str">
        <f aca="false">IF(AND(ISNUMBER(C9329),ISNUMBER(D9329)),D9329-C9329,"")</f>
        <v/>
      </c>
      <c r="Z9329" s="23" t="str">
        <f aca="false">IF(B9329="","",IF(MATCH(B9329,$B$2:$B$12000,0)=ROW()-1,1,0))</f>
        <v/>
      </c>
    </row>
    <row r="9330" customFormat="false" ht="15" hidden="false" customHeight="false" outlineLevel="0" collapsed="false">
      <c r="V9330" s="23" t="str">
        <f aca="false">IF(ISNUMBER(C9330),YEAR(C9330),"")</f>
        <v/>
      </c>
      <c r="W9330" s="23" t="str">
        <f aca="false">IF(ISNUMBER(C9330),MONTH(C9330),"")</f>
        <v/>
      </c>
      <c r="X9330" s="23" t="str">
        <f aca="false">IF(T9330="","",IF(T9330=0,"No discount",IF(T9330&lt;=0.2,"Low (1-20%)",IF(T9330&lt;=0.4,"Medium (21-40%)","High (&gt;40%)"))))</f>
        <v/>
      </c>
      <c r="Y9330" s="23" t="str">
        <f aca="false">IF(AND(ISNUMBER(C9330),ISNUMBER(D9330)),D9330-C9330,"")</f>
        <v/>
      </c>
      <c r="Z9330" s="23" t="str">
        <f aca="false">IF(B9330="","",IF(MATCH(B9330,$B$2:$B$12000,0)=ROW()-1,1,0))</f>
        <v/>
      </c>
    </row>
    <row r="9331" customFormat="false" ht="15" hidden="false" customHeight="false" outlineLevel="0" collapsed="false">
      <c r="V9331" s="23" t="str">
        <f aca="false">IF(ISNUMBER(C9331),YEAR(C9331),"")</f>
        <v/>
      </c>
      <c r="W9331" s="23" t="str">
        <f aca="false">IF(ISNUMBER(C9331),MONTH(C9331),"")</f>
        <v/>
      </c>
      <c r="X9331" s="23" t="str">
        <f aca="false">IF(T9331="","",IF(T9331=0,"No discount",IF(T9331&lt;=0.2,"Low (1-20%)",IF(T9331&lt;=0.4,"Medium (21-40%)","High (&gt;40%)"))))</f>
        <v/>
      </c>
      <c r="Y9331" s="23" t="str">
        <f aca="false">IF(AND(ISNUMBER(C9331),ISNUMBER(D9331)),D9331-C9331,"")</f>
        <v/>
      </c>
      <c r="Z9331" s="23" t="str">
        <f aca="false">IF(B9331="","",IF(MATCH(B9331,$B$2:$B$12000,0)=ROW()-1,1,0))</f>
        <v/>
      </c>
    </row>
    <row r="9332" customFormat="false" ht="15" hidden="false" customHeight="false" outlineLevel="0" collapsed="false">
      <c r="V9332" s="23" t="str">
        <f aca="false">IF(ISNUMBER(C9332),YEAR(C9332),"")</f>
        <v/>
      </c>
      <c r="W9332" s="23" t="str">
        <f aca="false">IF(ISNUMBER(C9332),MONTH(C9332),"")</f>
        <v/>
      </c>
      <c r="X9332" s="23" t="str">
        <f aca="false">IF(T9332="","",IF(T9332=0,"No discount",IF(T9332&lt;=0.2,"Low (1-20%)",IF(T9332&lt;=0.4,"Medium (21-40%)","High (&gt;40%)"))))</f>
        <v/>
      </c>
      <c r="Y9332" s="23" t="str">
        <f aca="false">IF(AND(ISNUMBER(C9332),ISNUMBER(D9332)),D9332-C9332,"")</f>
        <v/>
      </c>
      <c r="Z9332" s="23" t="str">
        <f aca="false">IF(B9332="","",IF(MATCH(B9332,$B$2:$B$12000,0)=ROW()-1,1,0))</f>
        <v/>
      </c>
    </row>
    <row r="9333" customFormat="false" ht="15" hidden="false" customHeight="false" outlineLevel="0" collapsed="false">
      <c r="V9333" s="23" t="str">
        <f aca="false">IF(ISNUMBER(C9333),YEAR(C9333),"")</f>
        <v/>
      </c>
      <c r="W9333" s="23" t="str">
        <f aca="false">IF(ISNUMBER(C9333),MONTH(C9333),"")</f>
        <v/>
      </c>
      <c r="X9333" s="23" t="str">
        <f aca="false">IF(T9333="","",IF(T9333=0,"No discount",IF(T9333&lt;=0.2,"Low (1-20%)",IF(T9333&lt;=0.4,"Medium (21-40%)","High (&gt;40%)"))))</f>
        <v/>
      </c>
      <c r="Y9333" s="23" t="str">
        <f aca="false">IF(AND(ISNUMBER(C9333),ISNUMBER(D9333)),D9333-C9333,"")</f>
        <v/>
      </c>
      <c r="Z9333" s="23" t="str">
        <f aca="false">IF(B9333="","",IF(MATCH(B9333,$B$2:$B$12000,0)=ROW()-1,1,0))</f>
        <v/>
      </c>
    </row>
    <row r="9334" customFormat="false" ht="15" hidden="false" customHeight="false" outlineLevel="0" collapsed="false">
      <c r="V9334" s="23" t="str">
        <f aca="false">IF(ISNUMBER(C9334),YEAR(C9334),"")</f>
        <v/>
      </c>
      <c r="W9334" s="23" t="str">
        <f aca="false">IF(ISNUMBER(C9334),MONTH(C9334),"")</f>
        <v/>
      </c>
      <c r="X9334" s="23" t="str">
        <f aca="false">IF(T9334="","",IF(T9334=0,"No discount",IF(T9334&lt;=0.2,"Low (1-20%)",IF(T9334&lt;=0.4,"Medium (21-40%)","High (&gt;40%)"))))</f>
        <v/>
      </c>
      <c r="Y9334" s="23" t="str">
        <f aca="false">IF(AND(ISNUMBER(C9334),ISNUMBER(D9334)),D9334-C9334,"")</f>
        <v/>
      </c>
      <c r="Z9334" s="23" t="str">
        <f aca="false">IF(B9334="","",IF(MATCH(B9334,$B$2:$B$12000,0)=ROW()-1,1,0))</f>
        <v/>
      </c>
    </row>
    <row r="9335" customFormat="false" ht="15" hidden="false" customHeight="false" outlineLevel="0" collapsed="false">
      <c r="V9335" s="23" t="str">
        <f aca="false">IF(ISNUMBER(C9335),YEAR(C9335),"")</f>
        <v/>
      </c>
      <c r="W9335" s="23" t="str">
        <f aca="false">IF(ISNUMBER(C9335),MONTH(C9335),"")</f>
        <v/>
      </c>
      <c r="X9335" s="23" t="str">
        <f aca="false">IF(T9335="","",IF(T9335=0,"No discount",IF(T9335&lt;=0.2,"Low (1-20%)",IF(T9335&lt;=0.4,"Medium (21-40%)","High (&gt;40%)"))))</f>
        <v/>
      </c>
      <c r="Y9335" s="23" t="str">
        <f aca="false">IF(AND(ISNUMBER(C9335),ISNUMBER(D9335)),D9335-C9335,"")</f>
        <v/>
      </c>
      <c r="Z9335" s="23" t="str">
        <f aca="false">IF(B9335="","",IF(MATCH(B9335,$B$2:$B$12000,0)=ROW()-1,1,0))</f>
        <v/>
      </c>
    </row>
    <row r="9336" customFormat="false" ht="15" hidden="false" customHeight="false" outlineLevel="0" collapsed="false">
      <c r="V9336" s="23" t="str">
        <f aca="false">IF(ISNUMBER(C9336),YEAR(C9336),"")</f>
        <v/>
      </c>
      <c r="W9336" s="23" t="str">
        <f aca="false">IF(ISNUMBER(C9336),MONTH(C9336),"")</f>
        <v/>
      </c>
      <c r="X9336" s="23" t="str">
        <f aca="false">IF(T9336="","",IF(T9336=0,"No discount",IF(T9336&lt;=0.2,"Low (1-20%)",IF(T9336&lt;=0.4,"Medium (21-40%)","High (&gt;40%)"))))</f>
        <v/>
      </c>
      <c r="Y9336" s="23" t="str">
        <f aca="false">IF(AND(ISNUMBER(C9336),ISNUMBER(D9336)),D9336-C9336,"")</f>
        <v/>
      </c>
      <c r="Z9336" s="23" t="str">
        <f aca="false">IF(B9336="","",IF(MATCH(B9336,$B$2:$B$12000,0)=ROW()-1,1,0))</f>
        <v/>
      </c>
    </row>
    <row r="9337" customFormat="false" ht="15" hidden="false" customHeight="false" outlineLevel="0" collapsed="false">
      <c r="V9337" s="23" t="str">
        <f aca="false">IF(ISNUMBER(C9337),YEAR(C9337),"")</f>
        <v/>
      </c>
      <c r="W9337" s="23" t="str">
        <f aca="false">IF(ISNUMBER(C9337),MONTH(C9337),"")</f>
        <v/>
      </c>
      <c r="X9337" s="23" t="str">
        <f aca="false">IF(T9337="","",IF(T9337=0,"No discount",IF(T9337&lt;=0.2,"Low (1-20%)",IF(T9337&lt;=0.4,"Medium (21-40%)","High (&gt;40%)"))))</f>
        <v/>
      </c>
      <c r="Y9337" s="23" t="str">
        <f aca="false">IF(AND(ISNUMBER(C9337),ISNUMBER(D9337)),D9337-C9337,"")</f>
        <v/>
      </c>
      <c r="Z9337" s="23" t="str">
        <f aca="false">IF(B9337="","",IF(MATCH(B9337,$B$2:$B$12000,0)=ROW()-1,1,0))</f>
        <v/>
      </c>
    </row>
    <row r="9338" customFormat="false" ht="15" hidden="false" customHeight="false" outlineLevel="0" collapsed="false">
      <c r="V9338" s="23" t="str">
        <f aca="false">IF(ISNUMBER(C9338),YEAR(C9338),"")</f>
        <v/>
      </c>
      <c r="W9338" s="23" t="str">
        <f aca="false">IF(ISNUMBER(C9338),MONTH(C9338),"")</f>
        <v/>
      </c>
      <c r="X9338" s="23" t="str">
        <f aca="false">IF(T9338="","",IF(T9338=0,"No discount",IF(T9338&lt;=0.2,"Low (1-20%)",IF(T9338&lt;=0.4,"Medium (21-40%)","High (&gt;40%)"))))</f>
        <v/>
      </c>
      <c r="Y9338" s="23" t="str">
        <f aca="false">IF(AND(ISNUMBER(C9338),ISNUMBER(D9338)),D9338-C9338,"")</f>
        <v/>
      </c>
      <c r="Z9338" s="23" t="str">
        <f aca="false">IF(B9338="","",IF(MATCH(B9338,$B$2:$B$12000,0)=ROW()-1,1,0))</f>
        <v/>
      </c>
    </row>
    <row r="9339" customFormat="false" ht="15" hidden="false" customHeight="false" outlineLevel="0" collapsed="false">
      <c r="V9339" s="23" t="str">
        <f aca="false">IF(ISNUMBER(C9339),YEAR(C9339),"")</f>
        <v/>
      </c>
      <c r="W9339" s="23" t="str">
        <f aca="false">IF(ISNUMBER(C9339),MONTH(C9339),"")</f>
        <v/>
      </c>
      <c r="X9339" s="23" t="str">
        <f aca="false">IF(T9339="","",IF(T9339=0,"No discount",IF(T9339&lt;=0.2,"Low (1-20%)",IF(T9339&lt;=0.4,"Medium (21-40%)","High (&gt;40%)"))))</f>
        <v/>
      </c>
      <c r="Y9339" s="23" t="str">
        <f aca="false">IF(AND(ISNUMBER(C9339),ISNUMBER(D9339)),D9339-C9339,"")</f>
        <v/>
      </c>
      <c r="Z9339" s="23" t="str">
        <f aca="false">IF(B9339="","",IF(MATCH(B9339,$B$2:$B$12000,0)=ROW()-1,1,0))</f>
        <v/>
      </c>
    </row>
    <row r="9340" customFormat="false" ht="15" hidden="false" customHeight="false" outlineLevel="0" collapsed="false">
      <c r="V9340" s="23" t="str">
        <f aca="false">IF(ISNUMBER(C9340),YEAR(C9340),"")</f>
        <v/>
      </c>
      <c r="W9340" s="23" t="str">
        <f aca="false">IF(ISNUMBER(C9340),MONTH(C9340),"")</f>
        <v/>
      </c>
      <c r="X9340" s="23" t="str">
        <f aca="false">IF(T9340="","",IF(T9340=0,"No discount",IF(T9340&lt;=0.2,"Low (1-20%)",IF(T9340&lt;=0.4,"Medium (21-40%)","High (&gt;40%)"))))</f>
        <v/>
      </c>
      <c r="Y9340" s="23" t="str">
        <f aca="false">IF(AND(ISNUMBER(C9340),ISNUMBER(D9340)),D9340-C9340,"")</f>
        <v/>
      </c>
      <c r="Z9340" s="23" t="str">
        <f aca="false">IF(B9340="","",IF(MATCH(B9340,$B$2:$B$12000,0)=ROW()-1,1,0))</f>
        <v/>
      </c>
    </row>
    <row r="9341" customFormat="false" ht="15" hidden="false" customHeight="false" outlineLevel="0" collapsed="false">
      <c r="V9341" s="23" t="str">
        <f aca="false">IF(ISNUMBER(C9341),YEAR(C9341),"")</f>
        <v/>
      </c>
      <c r="W9341" s="23" t="str">
        <f aca="false">IF(ISNUMBER(C9341),MONTH(C9341),"")</f>
        <v/>
      </c>
      <c r="X9341" s="23" t="str">
        <f aca="false">IF(T9341="","",IF(T9341=0,"No discount",IF(T9341&lt;=0.2,"Low (1-20%)",IF(T9341&lt;=0.4,"Medium (21-40%)","High (&gt;40%)"))))</f>
        <v/>
      </c>
      <c r="Y9341" s="23" t="str">
        <f aca="false">IF(AND(ISNUMBER(C9341),ISNUMBER(D9341)),D9341-C9341,"")</f>
        <v/>
      </c>
      <c r="Z9341" s="23" t="str">
        <f aca="false">IF(B9341="","",IF(MATCH(B9341,$B$2:$B$12000,0)=ROW()-1,1,0))</f>
        <v/>
      </c>
    </row>
    <row r="9342" customFormat="false" ht="15" hidden="false" customHeight="false" outlineLevel="0" collapsed="false">
      <c r="V9342" s="23" t="str">
        <f aca="false">IF(ISNUMBER(C9342),YEAR(C9342),"")</f>
        <v/>
      </c>
      <c r="W9342" s="23" t="str">
        <f aca="false">IF(ISNUMBER(C9342),MONTH(C9342),"")</f>
        <v/>
      </c>
      <c r="X9342" s="23" t="str">
        <f aca="false">IF(T9342="","",IF(T9342=0,"No discount",IF(T9342&lt;=0.2,"Low (1-20%)",IF(T9342&lt;=0.4,"Medium (21-40%)","High (&gt;40%)"))))</f>
        <v/>
      </c>
      <c r="Y9342" s="23" t="str">
        <f aca="false">IF(AND(ISNUMBER(C9342),ISNUMBER(D9342)),D9342-C9342,"")</f>
        <v/>
      </c>
      <c r="Z9342" s="23" t="str">
        <f aca="false">IF(B9342="","",IF(MATCH(B9342,$B$2:$B$12000,0)=ROW()-1,1,0))</f>
        <v/>
      </c>
    </row>
    <row r="9343" customFormat="false" ht="15" hidden="false" customHeight="false" outlineLevel="0" collapsed="false">
      <c r="V9343" s="23" t="str">
        <f aca="false">IF(ISNUMBER(C9343),YEAR(C9343),"")</f>
        <v/>
      </c>
      <c r="W9343" s="23" t="str">
        <f aca="false">IF(ISNUMBER(C9343),MONTH(C9343),"")</f>
        <v/>
      </c>
      <c r="X9343" s="23" t="str">
        <f aca="false">IF(T9343="","",IF(T9343=0,"No discount",IF(T9343&lt;=0.2,"Low (1-20%)",IF(T9343&lt;=0.4,"Medium (21-40%)","High (&gt;40%)"))))</f>
        <v/>
      </c>
      <c r="Y9343" s="23" t="str">
        <f aca="false">IF(AND(ISNUMBER(C9343),ISNUMBER(D9343)),D9343-C9343,"")</f>
        <v/>
      </c>
      <c r="Z9343" s="23" t="str">
        <f aca="false">IF(B9343="","",IF(MATCH(B9343,$B$2:$B$12000,0)=ROW()-1,1,0))</f>
        <v/>
      </c>
    </row>
    <row r="9344" customFormat="false" ht="15" hidden="false" customHeight="false" outlineLevel="0" collapsed="false">
      <c r="V9344" s="23" t="str">
        <f aca="false">IF(ISNUMBER(C9344),YEAR(C9344),"")</f>
        <v/>
      </c>
      <c r="W9344" s="23" t="str">
        <f aca="false">IF(ISNUMBER(C9344),MONTH(C9344),"")</f>
        <v/>
      </c>
      <c r="X9344" s="23" t="str">
        <f aca="false">IF(T9344="","",IF(T9344=0,"No discount",IF(T9344&lt;=0.2,"Low (1-20%)",IF(T9344&lt;=0.4,"Medium (21-40%)","High (&gt;40%)"))))</f>
        <v/>
      </c>
      <c r="Y9344" s="23" t="str">
        <f aca="false">IF(AND(ISNUMBER(C9344),ISNUMBER(D9344)),D9344-C9344,"")</f>
        <v/>
      </c>
      <c r="Z9344" s="23" t="str">
        <f aca="false">IF(B9344="","",IF(MATCH(B9344,$B$2:$B$12000,0)=ROW()-1,1,0))</f>
        <v/>
      </c>
    </row>
    <row r="9345" customFormat="false" ht="15" hidden="false" customHeight="false" outlineLevel="0" collapsed="false">
      <c r="V9345" s="23" t="str">
        <f aca="false">IF(ISNUMBER(C9345),YEAR(C9345),"")</f>
        <v/>
      </c>
      <c r="W9345" s="23" t="str">
        <f aca="false">IF(ISNUMBER(C9345),MONTH(C9345),"")</f>
        <v/>
      </c>
      <c r="X9345" s="23" t="str">
        <f aca="false">IF(T9345="","",IF(T9345=0,"No discount",IF(T9345&lt;=0.2,"Low (1-20%)",IF(T9345&lt;=0.4,"Medium (21-40%)","High (&gt;40%)"))))</f>
        <v/>
      </c>
      <c r="Y9345" s="23" t="str">
        <f aca="false">IF(AND(ISNUMBER(C9345),ISNUMBER(D9345)),D9345-C9345,"")</f>
        <v/>
      </c>
      <c r="Z9345" s="23" t="str">
        <f aca="false">IF(B9345="","",IF(MATCH(B9345,$B$2:$B$12000,0)=ROW()-1,1,0))</f>
        <v/>
      </c>
    </row>
    <row r="9346" customFormat="false" ht="15" hidden="false" customHeight="false" outlineLevel="0" collapsed="false">
      <c r="V9346" s="23" t="str">
        <f aca="false">IF(ISNUMBER(C9346),YEAR(C9346),"")</f>
        <v/>
      </c>
      <c r="W9346" s="23" t="str">
        <f aca="false">IF(ISNUMBER(C9346),MONTH(C9346),"")</f>
        <v/>
      </c>
      <c r="X9346" s="23" t="str">
        <f aca="false">IF(T9346="","",IF(T9346=0,"No discount",IF(T9346&lt;=0.2,"Low (1-20%)",IF(T9346&lt;=0.4,"Medium (21-40%)","High (&gt;40%)"))))</f>
        <v/>
      </c>
      <c r="Y9346" s="23" t="str">
        <f aca="false">IF(AND(ISNUMBER(C9346),ISNUMBER(D9346)),D9346-C9346,"")</f>
        <v/>
      </c>
      <c r="Z9346" s="23" t="str">
        <f aca="false">IF(B9346="","",IF(MATCH(B9346,$B$2:$B$12000,0)=ROW()-1,1,0))</f>
        <v/>
      </c>
    </row>
    <row r="9347" customFormat="false" ht="15" hidden="false" customHeight="false" outlineLevel="0" collapsed="false">
      <c r="V9347" s="23" t="str">
        <f aca="false">IF(ISNUMBER(C9347),YEAR(C9347),"")</f>
        <v/>
      </c>
      <c r="W9347" s="23" t="str">
        <f aca="false">IF(ISNUMBER(C9347),MONTH(C9347),"")</f>
        <v/>
      </c>
      <c r="X9347" s="23" t="str">
        <f aca="false">IF(T9347="","",IF(T9347=0,"No discount",IF(T9347&lt;=0.2,"Low (1-20%)",IF(T9347&lt;=0.4,"Medium (21-40%)","High (&gt;40%)"))))</f>
        <v/>
      </c>
      <c r="Y9347" s="23" t="str">
        <f aca="false">IF(AND(ISNUMBER(C9347),ISNUMBER(D9347)),D9347-C9347,"")</f>
        <v/>
      </c>
      <c r="Z9347" s="23" t="str">
        <f aca="false">IF(B9347="","",IF(MATCH(B9347,$B$2:$B$12000,0)=ROW()-1,1,0))</f>
        <v/>
      </c>
    </row>
    <row r="9348" customFormat="false" ht="15" hidden="false" customHeight="false" outlineLevel="0" collapsed="false">
      <c r="V9348" s="23" t="str">
        <f aca="false">IF(ISNUMBER(C9348),YEAR(C9348),"")</f>
        <v/>
      </c>
      <c r="W9348" s="23" t="str">
        <f aca="false">IF(ISNUMBER(C9348),MONTH(C9348),"")</f>
        <v/>
      </c>
      <c r="X9348" s="23" t="str">
        <f aca="false">IF(T9348="","",IF(T9348=0,"No discount",IF(T9348&lt;=0.2,"Low (1-20%)",IF(T9348&lt;=0.4,"Medium (21-40%)","High (&gt;40%)"))))</f>
        <v/>
      </c>
      <c r="Y9348" s="23" t="str">
        <f aca="false">IF(AND(ISNUMBER(C9348),ISNUMBER(D9348)),D9348-C9348,"")</f>
        <v/>
      </c>
      <c r="Z9348" s="23" t="str">
        <f aca="false">IF(B9348="","",IF(MATCH(B9348,$B$2:$B$12000,0)=ROW()-1,1,0))</f>
        <v/>
      </c>
    </row>
    <row r="9349" customFormat="false" ht="15" hidden="false" customHeight="false" outlineLevel="0" collapsed="false">
      <c r="V9349" s="23" t="str">
        <f aca="false">IF(ISNUMBER(C9349),YEAR(C9349),"")</f>
        <v/>
      </c>
      <c r="W9349" s="23" t="str">
        <f aca="false">IF(ISNUMBER(C9349),MONTH(C9349),"")</f>
        <v/>
      </c>
      <c r="X9349" s="23" t="str">
        <f aca="false">IF(T9349="","",IF(T9349=0,"No discount",IF(T9349&lt;=0.2,"Low (1-20%)",IF(T9349&lt;=0.4,"Medium (21-40%)","High (&gt;40%)"))))</f>
        <v/>
      </c>
      <c r="Y9349" s="23" t="str">
        <f aca="false">IF(AND(ISNUMBER(C9349),ISNUMBER(D9349)),D9349-C9349,"")</f>
        <v/>
      </c>
      <c r="Z9349" s="23" t="str">
        <f aca="false">IF(B9349="","",IF(MATCH(B9349,$B$2:$B$12000,0)=ROW()-1,1,0))</f>
        <v/>
      </c>
    </row>
    <row r="9350" customFormat="false" ht="15" hidden="false" customHeight="false" outlineLevel="0" collapsed="false">
      <c r="V9350" s="23" t="str">
        <f aca="false">IF(ISNUMBER(C9350),YEAR(C9350),"")</f>
        <v/>
      </c>
      <c r="W9350" s="23" t="str">
        <f aca="false">IF(ISNUMBER(C9350),MONTH(C9350),"")</f>
        <v/>
      </c>
      <c r="X9350" s="23" t="str">
        <f aca="false">IF(T9350="","",IF(T9350=0,"No discount",IF(T9350&lt;=0.2,"Low (1-20%)",IF(T9350&lt;=0.4,"Medium (21-40%)","High (&gt;40%)"))))</f>
        <v/>
      </c>
      <c r="Y9350" s="23" t="str">
        <f aca="false">IF(AND(ISNUMBER(C9350),ISNUMBER(D9350)),D9350-C9350,"")</f>
        <v/>
      </c>
      <c r="Z9350" s="23" t="str">
        <f aca="false">IF(B9350="","",IF(MATCH(B9350,$B$2:$B$12000,0)=ROW()-1,1,0))</f>
        <v/>
      </c>
    </row>
    <row r="9351" customFormat="false" ht="15" hidden="false" customHeight="false" outlineLevel="0" collapsed="false">
      <c r="V9351" s="23" t="str">
        <f aca="false">IF(ISNUMBER(C9351),YEAR(C9351),"")</f>
        <v/>
      </c>
      <c r="W9351" s="23" t="str">
        <f aca="false">IF(ISNUMBER(C9351),MONTH(C9351),"")</f>
        <v/>
      </c>
      <c r="X9351" s="23" t="str">
        <f aca="false">IF(T9351="","",IF(T9351=0,"No discount",IF(T9351&lt;=0.2,"Low (1-20%)",IF(T9351&lt;=0.4,"Medium (21-40%)","High (&gt;40%)"))))</f>
        <v/>
      </c>
      <c r="Y9351" s="23" t="str">
        <f aca="false">IF(AND(ISNUMBER(C9351),ISNUMBER(D9351)),D9351-C9351,"")</f>
        <v/>
      </c>
      <c r="Z9351" s="23" t="str">
        <f aca="false">IF(B9351="","",IF(MATCH(B9351,$B$2:$B$12000,0)=ROW()-1,1,0))</f>
        <v/>
      </c>
    </row>
    <row r="9352" customFormat="false" ht="15" hidden="false" customHeight="false" outlineLevel="0" collapsed="false">
      <c r="V9352" s="23" t="str">
        <f aca="false">IF(ISNUMBER(C9352),YEAR(C9352),"")</f>
        <v/>
      </c>
      <c r="W9352" s="23" t="str">
        <f aca="false">IF(ISNUMBER(C9352),MONTH(C9352),"")</f>
        <v/>
      </c>
      <c r="X9352" s="23" t="str">
        <f aca="false">IF(T9352="","",IF(T9352=0,"No discount",IF(T9352&lt;=0.2,"Low (1-20%)",IF(T9352&lt;=0.4,"Medium (21-40%)","High (&gt;40%)"))))</f>
        <v/>
      </c>
      <c r="Y9352" s="23" t="str">
        <f aca="false">IF(AND(ISNUMBER(C9352),ISNUMBER(D9352)),D9352-C9352,"")</f>
        <v/>
      </c>
      <c r="Z9352" s="23" t="str">
        <f aca="false">IF(B9352="","",IF(MATCH(B9352,$B$2:$B$12000,0)=ROW()-1,1,0))</f>
        <v/>
      </c>
    </row>
    <row r="9353" customFormat="false" ht="15" hidden="false" customHeight="false" outlineLevel="0" collapsed="false">
      <c r="V9353" s="23" t="str">
        <f aca="false">IF(ISNUMBER(C9353),YEAR(C9353),"")</f>
        <v/>
      </c>
      <c r="W9353" s="23" t="str">
        <f aca="false">IF(ISNUMBER(C9353),MONTH(C9353),"")</f>
        <v/>
      </c>
      <c r="X9353" s="23" t="str">
        <f aca="false">IF(T9353="","",IF(T9353=0,"No discount",IF(T9353&lt;=0.2,"Low (1-20%)",IF(T9353&lt;=0.4,"Medium (21-40%)","High (&gt;40%)"))))</f>
        <v/>
      </c>
      <c r="Y9353" s="23" t="str">
        <f aca="false">IF(AND(ISNUMBER(C9353),ISNUMBER(D9353)),D9353-C9353,"")</f>
        <v/>
      </c>
      <c r="Z9353" s="23" t="str">
        <f aca="false">IF(B9353="","",IF(MATCH(B9353,$B$2:$B$12000,0)=ROW()-1,1,0))</f>
        <v/>
      </c>
    </row>
    <row r="9354" customFormat="false" ht="15" hidden="false" customHeight="false" outlineLevel="0" collapsed="false">
      <c r="V9354" s="23" t="str">
        <f aca="false">IF(ISNUMBER(C9354),YEAR(C9354),"")</f>
        <v/>
      </c>
      <c r="W9354" s="23" t="str">
        <f aca="false">IF(ISNUMBER(C9354),MONTH(C9354),"")</f>
        <v/>
      </c>
      <c r="X9354" s="23" t="str">
        <f aca="false">IF(T9354="","",IF(T9354=0,"No discount",IF(T9354&lt;=0.2,"Low (1-20%)",IF(T9354&lt;=0.4,"Medium (21-40%)","High (&gt;40%)"))))</f>
        <v/>
      </c>
      <c r="Y9354" s="23" t="str">
        <f aca="false">IF(AND(ISNUMBER(C9354),ISNUMBER(D9354)),D9354-C9354,"")</f>
        <v/>
      </c>
      <c r="Z9354" s="23" t="str">
        <f aca="false">IF(B9354="","",IF(MATCH(B9354,$B$2:$B$12000,0)=ROW()-1,1,0))</f>
        <v/>
      </c>
    </row>
    <row r="9355" customFormat="false" ht="15" hidden="false" customHeight="false" outlineLevel="0" collapsed="false">
      <c r="V9355" s="23" t="str">
        <f aca="false">IF(ISNUMBER(C9355),YEAR(C9355),"")</f>
        <v/>
      </c>
      <c r="W9355" s="23" t="str">
        <f aca="false">IF(ISNUMBER(C9355),MONTH(C9355),"")</f>
        <v/>
      </c>
      <c r="X9355" s="23" t="str">
        <f aca="false">IF(T9355="","",IF(T9355=0,"No discount",IF(T9355&lt;=0.2,"Low (1-20%)",IF(T9355&lt;=0.4,"Medium (21-40%)","High (&gt;40%)"))))</f>
        <v/>
      </c>
      <c r="Y9355" s="23" t="str">
        <f aca="false">IF(AND(ISNUMBER(C9355),ISNUMBER(D9355)),D9355-C9355,"")</f>
        <v/>
      </c>
      <c r="Z9355" s="23" t="str">
        <f aca="false">IF(B9355="","",IF(MATCH(B9355,$B$2:$B$12000,0)=ROW()-1,1,0))</f>
        <v/>
      </c>
    </row>
    <row r="9356" customFormat="false" ht="15" hidden="false" customHeight="false" outlineLevel="0" collapsed="false">
      <c r="V9356" s="23" t="str">
        <f aca="false">IF(ISNUMBER(C9356),YEAR(C9356),"")</f>
        <v/>
      </c>
      <c r="W9356" s="23" t="str">
        <f aca="false">IF(ISNUMBER(C9356),MONTH(C9356),"")</f>
        <v/>
      </c>
      <c r="X9356" s="23" t="str">
        <f aca="false">IF(T9356="","",IF(T9356=0,"No discount",IF(T9356&lt;=0.2,"Low (1-20%)",IF(T9356&lt;=0.4,"Medium (21-40%)","High (&gt;40%)"))))</f>
        <v/>
      </c>
      <c r="Y9356" s="23" t="str">
        <f aca="false">IF(AND(ISNUMBER(C9356),ISNUMBER(D9356)),D9356-C9356,"")</f>
        <v/>
      </c>
      <c r="Z9356" s="23" t="str">
        <f aca="false">IF(B9356="","",IF(MATCH(B9356,$B$2:$B$12000,0)=ROW()-1,1,0))</f>
        <v/>
      </c>
    </row>
    <row r="9357" customFormat="false" ht="15" hidden="false" customHeight="false" outlineLevel="0" collapsed="false">
      <c r="V9357" s="23" t="str">
        <f aca="false">IF(ISNUMBER(C9357),YEAR(C9357),"")</f>
        <v/>
      </c>
      <c r="W9357" s="23" t="str">
        <f aca="false">IF(ISNUMBER(C9357),MONTH(C9357),"")</f>
        <v/>
      </c>
      <c r="X9357" s="23" t="str">
        <f aca="false">IF(T9357="","",IF(T9357=0,"No discount",IF(T9357&lt;=0.2,"Low (1-20%)",IF(T9357&lt;=0.4,"Medium (21-40%)","High (&gt;40%)"))))</f>
        <v/>
      </c>
      <c r="Y9357" s="23" t="str">
        <f aca="false">IF(AND(ISNUMBER(C9357),ISNUMBER(D9357)),D9357-C9357,"")</f>
        <v/>
      </c>
      <c r="Z9357" s="23" t="str">
        <f aca="false">IF(B9357="","",IF(MATCH(B9357,$B$2:$B$12000,0)=ROW()-1,1,0))</f>
        <v/>
      </c>
    </row>
    <row r="9358" customFormat="false" ht="15" hidden="false" customHeight="false" outlineLevel="0" collapsed="false">
      <c r="V9358" s="23" t="str">
        <f aca="false">IF(ISNUMBER(C9358),YEAR(C9358),"")</f>
        <v/>
      </c>
      <c r="W9358" s="23" t="str">
        <f aca="false">IF(ISNUMBER(C9358),MONTH(C9358),"")</f>
        <v/>
      </c>
      <c r="X9358" s="23" t="str">
        <f aca="false">IF(T9358="","",IF(T9358=0,"No discount",IF(T9358&lt;=0.2,"Low (1-20%)",IF(T9358&lt;=0.4,"Medium (21-40%)","High (&gt;40%)"))))</f>
        <v/>
      </c>
      <c r="Y9358" s="23" t="str">
        <f aca="false">IF(AND(ISNUMBER(C9358),ISNUMBER(D9358)),D9358-C9358,"")</f>
        <v/>
      </c>
      <c r="Z9358" s="23" t="str">
        <f aca="false">IF(B9358="","",IF(MATCH(B9358,$B$2:$B$12000,0)=ROW()-1,1,0))</f>
        <v/>
      </c>
    </row>
    <row r="9359" customFormat="false" ht="15" hidden="false" customHeight="false" outlineLevel="0" collapsed="false">
      <c r="V9359" s="23" t="str">
        <f aca="false">IF(ISNUMBER(C9359),YEAR(C9359),"")</f>
        <v/>
      </c>
      <c r="W9359" s="23" t="str">
        <f aca="false">IF(ISNUMBER(C9359),MONTH(C9359),"")</f>
        <v/>
      </c>
      <c r="X9359" s="23" t="str">
        <f aca="false">IF(T9359="","",IF(T9359=0,"No discount",IF(T9359&lt;=0.2,"Low (1-20%)",IF(T9359&lt;=0.4,"Medium (21-40%)","High (&gt;40%)"))))</f>
        <v/>
      </c>
      <c r="Y9359" s="23" t="str">
        <f aca="false">IF(AND(ISNUMBER(C9359),ISNUMBER(D9359)),D9359-C9359,"")</f>
        <v/>
      </c>
      <c r="Z9359" s="23" t="str">
        <f aca="false">IF(B9359="","",IF(MATCH(B9359,$B$2:$B$12000,0)=ROW()-1,1,0))</f>
        <v/>
      </c>
    </row>
    <row r="9360" customFormat="false" ht="15" hidden="false" customHeight="false" outlineLevel="0" collapsed="false">
      <c r="V9360" s="23" t="str">
        <f aca="false">IF(ISNUMBER(C9360),YEAR(C9360),"")</f>
        <v/>
      </c>
      <c r="W9360" s="23" t="str">
        <f aca="false">IF(ISNUMBER(C9360),MONTH(C9360),"")</f>
        <v/>
      </c>
      <c r="X9360" s="23" t="str">
        <f aca="false">IF(T9360="","",IF(T9360=0,"No discount",IF(T9360&lt;=0.2,"Low (1-20%)",IF(T9360&lt;=0.4,"Medium (21-40%)","High (&gt;40%)"))))</f>
        <v/>
      </c>
      <c r="Y9360" s="23" t="str">
        <f aca="false">IF(AND(ISNUMBER(C9360),ISNUMBER(D9360)),D9360-C9360,"")</f>
        <v/>
      </c>
      <c r="Z9360" s="23" t="str">
        <f aca="false">IF(B9360="","",IF(MATCH(B9360,$B$2:$B$12000,0)=ROW()-1,1,0))</f>
        <v/>
      </c>
    </row>
    <row r="9361" customFormat="false" ht="15" hidden="false" customHeight="false" outlineLevel="0" collapsed="false">
      <c r="V9361" s="23" t="str">
        <f aca="false">IF(ISNUMBER(C9361),YEAR(C9361),"")</f>
        <v/>
      </c>
      <c r="W9361" s="23" t="str">
        <f aca="false">IF(ISNUMBER(C9361),MONTH(C9361),"")</f>
        <v/>
      </c>
      <c r="X9361" s="23" t="str">
        <f aca="false">IF(T9361="","",IF(T9361=0,"No discount",IF(T9361&lt;=0.2,"Low (1-20%)",IF(T9361&lt;=0.4,"Medium (21-40%)","High (&gt;40%)"))))</f>
        <v/>
      </c>
      <c r="Y9361" s="23" t="str">
        <f aca="false">IF(AND(ISNUMBER(C9361),ISNUMBER(D9361)),D9361-C9361,"")</f>
        <v/>
      </c>
      <c r="Z9361" s="23" t="str">
        <f aca="false">IF(B9361="","",IF(MATCH(B9361,$B$2:$B$12000,0)=ROW()-1,1,0))</f>
        <v/>
      </c>
    </row>
    <row r="9362" customFormat="false" ht="15" hidden="false" customHeight="false" outlineLevel="0" collapsed="false">
      <c r="V9362" s="23" t="str">
        <f aca="false">IF(ISNUMBER(C9362),YEAR(C9362),"")</f>
        <v/>
      </c>
      <c r="W9362" s="23" t="str">
        <f aca="false">IF(ISNUMBER(C9362),MONTH(C9362),"")</f>
        <v/>
      </c>
      <c r="X9362" s="23" t="str">
        <f aca="false">IF(T9362="","",IF(T9362=0,"No discount",IF(T9362&lt;=0.2,"Low (1-20%)",IF(T9362&lt;=0.4,"Medium (21-40%)","High (&gt;40%)"))))</f>
        <v/>
      </c>
      <c r="Y9362" s="23" t="str">
        <f aca="false">IF(AND(ISNUMBER(C9362),ISNUMBER(D9362)),D9362-C9362,"")</f>
        <v/>
      </c>
      <c r="Z9362" s="23" t="str">
        <f aca="false">IF(B9362="","",IF(MATCH(B9362,$B$2:$B$12000,0)=ROW()-1,1,0))</f>
        <v/>
      </c>
    </row>
    <row r="9363" customFormat="false" ht="15" hidden="false" customHeight="false" outlineLevel="0" collapsed="false">
      <c r="V9363" s="23" t="str">
        <f aca="false">IF(ISNUMBER(C9363),YEAR(C9363),"")</f>
        <v/>
      </c>
      <c r="W9363" s="23" t="str">
        <f aca="false">IF(ISNUMBER(C9363),MONTH(C9363),"")</f>
        <v/>
      </c>
      <c r="X9363" s="23" t="str">
        <f aca="false">IF(T9363="","",IF(T9363=0,"No discount",IF(T9363&lt;=0.2,"Low (1-20%)",IF(T9363&lt;=0.4,"Medium (21-40%)","High (&gt;40%)"))))</f>
        <v/>
      </c>
      <c r="Y9363" s="23" t="str">
        <f aca="false">IF(AND(ISNUMBER(C9363),ISNUMBER(D9363)),D9363-C9363,"")</f>
        <v/>
      </c>
      <c r="Z9363" s="23" t="str">
        <f aca="false">IF(B9363="","",IF(MATCH(B9363,$B$2:$B$12000,0)=ROW()-1,1,0))</f>
        <v/>
      </c>
    </row>
    <row r="9364" customFormat="false" ht="15" hidden="false" customHeight="false" outlineLevel="0" collapsed="false">
      <c r="V9364" s="23" t="str">
        <f aca="false">IF(ISNUMBER(C9364),YEAR(C9364),"")</f>
        <v/>
      </c>
      <c r="W9364" s="23" t="str">
        <f aca="false">IF(ISNUMBER(C9364),MONTH(C9364),"")</f>
        <v/>
      </c>
      <c r="X9364" s="23" t="str">
        <f aca="false">IF(T9364="","",IF(T9364=0,"No discount",IF(T9364&lt;=0.2,"Low (1-20%)",IF(T9364&lt;=0.4,"Medium (21-40%)","High (&gt;40%)"))))</f>
        <v/>
      </c>
      <c r="Y9364" s="23" t="str">
        <f aca="false">IF(AND(ISNUMBER(C9364),ISNUMBER(D9364)),D9364-C9364,"")</f>
        <v/>
      </c>
      <c r="Z9364" s="23" t="str">
        <f aca="false">IF(B9364="","",IF(MATCH(B9364,$B$2:$B$12000,0)=ROW()-1,1,0))</f>
        <v/>
      </c>
    </row>
    <row r="9365" customFormat="false" ht="15" hidden="false" customHeight="false" outlineLevel="0" collapsed="false">
      <c r="V9365" s="23" t="str">
        <f aca="false">IF(ISNUMBER(C9365),YEAR(C9365),"")</f>
        <v/>
      </c>
      <c r="W9365" s="23" t="str">
        <f aca="false">IF(ISNUMBER(C9365),MONTH(C9365),"")</f>
        <v/>
      </c>
      <c r="X9365" s="23" t="str">
        <f aca="false">IF(T9365="","",IF(T9365=0,"No discount",IF(T9365&lt;=0.2,"Low (1-20%)",IF(T9365&lt;=0.4,"Medium (21-40%)","High (&gt;40%)"))))</f>
        <v/>
      </c>
      <c r="Y9365" s="23" t="str">
        <f aca="false">IF(AND(ISNUMBER(C9365),ISNUMBER(D9365)),D9365-C9365,"")</f>
        <v/>
      </c>
      <c r="Z9365" s="23" t="str">
        <f aca="false">IF(B9365="","",IF(MATCH(B9365,$B$2:$B$12000,0)=ROW()-1,1,0))</f>
        <v/>
      </c>
    </row>
    <row r="9366" customFormat="false" ht="15" hidden="false" customHeight="false" outlineLevel="0" collapsed="false">
      <c r="V9366" s="23" t="str">
        <f aca="false">IF(ISNUMBER(C9366),YEAR(C9366),"")</f>
        <v/>
      </c>
      <c r="W9366" s="23" t="str">
        <f aca="false">IF(ISNUMBER(C9366),MONTH(C9366),"")</f>
        <v/>
      </c>
      <c r="X9366" s="23" t="str">
        <f aca="false">IF(T9366="","",IF(T9366=0,"No discount",IF(T9366&lt;=0.2,"Low (1-20%)",IF(T9366&lt;=0.4,"Medium (21-40%)","High (&gt;40%)"))))</f>
        <v/>
      </c>
      <c r="Y9366" s="23" t="str">
        <f aca="false">IF(AND(ISNUMBER(C9366),ISNUMBER(D9366)),D9366-C9366,"")</f>
        <v/>
      </c>
      <c r="Z9366" s="23" t="str">
        <f aca="false">IF(B9366="","",IF(MATCH(B9366,$B$2:$B$12000,0)=ROW()-1,1,0))</f>
        <v/>
      </c>
    </row>
    <row r="9367" customFormat="false" ht="15" hidden="false" customHeight="false" outlineLevel="0" collapsed="false">
      <c r="V9367" s="23" t="str">
        <f aca="false">IF(ISNUMBER(C9367),YEAR(C9367),"")</f>
        <v/>
      </c>
      <c r="W9367" s="23" t="str">
        <f aca="false">IF(ISNUMBER(C9367),MONTH(C9367),"")</f>
        <v/>
      </c>
      <c r="X9367" s="23" t="str">
        <f aca="false">IF(T9367="","",IF(T9367=0,"No discount",IF(T9367&lt;=0.2,"Low (1-20%)",IF(T9367&lt;=0.4,"Medium (21-40%)","High (&gt;40%)"))))</f>
        <v/>
      </c>
      <c r="Y9367" s="23" t="str">
        <f aca="false">IF(AND(ISNUMBER(C9367),ISNUMBER(D9367)),D9367-C9367,"")</f>
        <v/>
      </c>
      <c r="Z9367" s="23" t="str">
        <f aca="false">IF(B9367="","",IF(MATCH(B9367,$B$2:$B$12000,0)=ROW()-1,1,0))</f>
        <v/>
      </c>
    </row>
    <row r="9368" customFormat="false" ht="15" hidden="false" customHeight="false" outlineLevel="0" collapsed="false">
      <c r="V9368" s="23" t="str">
        <f aca="false">IF(ISNUMBER(C9368),YEAR(C9368),"")</f>
        <v/>
      </c>
      <c r="W9368" s="23" t="str">
        <f aca="false">IF(ISNUMBER(C9368),MONTH(C9368),"")</f>
        <v/>
      </c>
      <c r="X9368" s="23" t="str">
        <f aca="false">IF(T9368="","",IF(T9368=0,"No discount",IF(T9368&lt;=0.2,"Low (1-20%)",IF(T9368&lt;=0.4,"Medium (21-40%)","High (&gt;40%)"))))</f>
        <v/>
      </c>
      <c r="Y9368" s="23" t="str">
        <f aca="false">IF(AND(ISNUMBER(C9368),ISNUMBER(D9368)),D9368-C9368,"")</f>
        <v/>
      </c>
      <c r="Z9368" s="23" t="str">
        <f aca="false">IF(B9368="","",IF(MATCH(B9368,$B$2:$B$12000,0)=ROW()-1,1,0))</f>
        <v/>
      </c>
    </row>
    <row r="9369" customFormat="false" ht="15" hidden="false" customHeight="false" outlineLevel="0" collapsed="false">
      <c r="V9369" s="23" t="str">
        <f aca="false">IF(ISNUMBER(C9369),YEAR(C9369),"")</f>
        <v/>
      </c>
      <c r="W9369" s="23" t="str">
        <f aca="false">IF(ISNUMBER(C9369),MONTH(C9369),"")</f>
        <v/>
      </c>
      <c r="X9369" s="23" t="str">
        <f aca="false">IF(T9369="","",IF(T9369=0,"No discount",IF(T9369&lt;=0.2,"Low (1-20%)",IF(T9369&lt;=0.4,"Medium (21-40%)","High (&gt;40%)"))))</f>
        <v/>
      </c>
      <c r="Y9369" s="23" t="str">
        <f aca="false">IF(AND(ISNUMBER(C9369),ISNUMBER(D9369)),D9369-C9369,"")</f>
        <v/>
      </c>
      <c r="Z9369" s="23" t="str">
        <f aca="false">IF(B9369="","",IF(MATCH(B9369,$B$2:$B$12000,0)=ROW()-1,1,0))</f>
        <v/>
      </c>
    </row>
    <row r="9370" customFormat="false" ht="15" hidden="false" customHeight="false" outlineLevel="0" collapsed="false">
      <c r="V9370" s="23" t="str">
        <f aca="false">IF(ISNUMBER(C9370),YEAR(C9370),"")</f>
        <v/>
      </c>
      <c r="W9370" s="23" t="str">
        <f aca="false">IF(ISNUMBER(C9370),MONTH(C9370),"")</f>
        <v/>
      </c>
      <c r="X9370" s="23" t="str">
        <f aca="false">IF(T9370="","",IF(T9370=0,"No discount",IF(T9370&lt;=0.2,"Low (1-20%)",IF(T9370&lt;=0.4,"Medium (21-40%)","High (&gt;40%)"))))</f>
        <v/>
      </c>
      <c r="Y9370" s="23" t="str">
        <f aca="false">IF(AND(ISNUMBER(C9370),ISNUMBER(D9370)),D9370-C9370,"")</f>
        <v/>
      </c>
      <c r="Z9370" s="23" t="str">
        <f aca="false">IF(B9370="","",IF(MATCH(B9370,$B$2:$B$12000,0)=ROW()-1,1,0))</f>
        <v/>
      </c>
    </row>
    <row r="9371" customFormat="false" ht="15" hidden="false" customHeight="false" outlineLevel="0" collapsed="false">
      <c r="V9371" s="23" t="str">
        <f aca="false">IF(ISNUMBER(C9371),YEAR(C9371),"")</f>
        <v/>
      </c>
      <c r="W9371" s="23" t="str">
        <f aca="false">IF(ISNUMBER(C9371),MONTH(C9371),"")</f>
        <v/>
      </c>
      <c r="X9371" s="23" t="str">
        <f aca="false">IF(T9371="","",IF(T9371=0,"No discount",IF(T9371&lt;=0.2,"Low (1-20%)",IF(T9371&lt;=0.4,"Medium (21-40%)","High (&gt;40%)"))))</f>
        <v/>
      </c>
      <c r="Y9371" s="23" t="str">
        <f aca="false">IF(AND(ISNUMBER(C9371),ISNUMBER(D9371)),D9371-C9371,"")</f>
        <v/>
      </c>
      <c r="Z9371" s="23" t="str">
        <f aca="false">IF(B9371="","",IF(MATCH(B9371,$B$2:$B$12000,0)=ROW()-1,1,0))</f>
        <v/>
      </c>
    </row>
    <row r="9372" customFormat="false" ht="15" hidden="false" customHeight="false" outlineLevel="0" collapsed="false">
      <c r="V9372" s="23" t="str">
        <f aca="false">IF(ISNUMBER(C9372),YEAR(C9372),"")</f>
        <v/>
      </c>
      <c r="W9372" s="23" t="str">
        <f aca="false">IF(ISNUMBER(C9372),MONTH(C9372),"")</f>
        <v/>
      </c>
      <c r="X9372" s="23" t="str">
        <f aca="false">IF(T9372="","",IF(T9372=0,"No discount",IF(T9372&lt;=0.2,"Low (1-20%)",IF(T9372&lt;=0.4,"Medium (21-40%)","High (&gt;40%)"))))</f>
        <v/>
      </c>
      <c r="Y9372" s="23" t="str">
        <f aca="false">IF(AND(ISNUMBER(C9372),ISNUMBER(D9372)),D9372-C9372,"")</f>
        <v/>
      </c>
      <c r="Z9372" s="23" t="str">
        <f aca="false">IF(B9372="","",IF(MATCH(B9372,$B$2:$B$12000,0)=ROW()-1,1,0))</f>
        <v/>
      </c>
    </row>
    <row r="9373" customFormat="false" ht="15" hidden="false" customHeight="false" outlineLevel="0" collapsed="false">
      <c r="V9373" s="23" t="str">
        <f aca="false">IF(ISNUMBER(C9373),YEAR(C9373),"")</f>
        <v/>
      </c>
      <c r="W9373" s="23" t="str">
        <f aca="false">IF(ISNUMBER(C9373),MONTH(C9373),"")</f>
        <v/>
      </c>
      <c r="X9373" s="23" t="str">
        <f aca="false">IF(T9373="","",IF(T9373=0,"No discount",IF(T9373&lt;=0.2,"Low (1-20%)",IF(T9373&lt;=0.4,"Medium (21-40%)","High (&gt;40%)"))))</f>
        <v/>
      </c>
      <c r="Y9373" s="23" t="str">
        <f aca="false">IF(AND(ISNUMBER(C9373),ISNUMBER(D9373)),D9373-C9373,"")</f>
        <v/>
      </c>
      <c r="Z9373" s="23" t="str">
        <f aca="false">IF(B9373="","",IF(MATCH(B9373,$B$2:$B$12000,0)=ROW()-1,1,0))</f>
        <v/>
      </c>
    </row>
    <row r="9374" customFormat="false" ht="15" hidden="false" customHeight="false" outlineLevel="0" collapsed="false">
      <c r="V9374" s="23" t="str">
        <f aca="false">IF(ISNUMBER(C9374),YEAR(C9374),"")</f>
        <v/>
      </c>
      <c r="W9374" s="23" t="str">
        <f aca="false">IF(ISNUMBER(C9374),MONTH(C9374),"")</f>
        <v/>
      </c>
      <c r="X9374" s="23" t="str">
        <f aca="false">IF(T9374="","",IF(T9374=0,"No discount",IF(T9374&lt;=0.2,"Low (1-20%)",IF(T9374&lt;=0.4,"Medium (21-40%)","High (&gt;40%)"))))</f>
        <v/>
      </c>
      <c r="Y9374" s="23" t="str">
        <f aca="false">IF(AND(ISNUMBER(C9374),ISNUMBER(D9374)),D9374-C9374,"")</f>
        <v/>
      </c>
      <c r="Z9374" s="23" t="str">
        <f aca="false">IF(B9374="","",IF(MATCH(B9374,$B$2:$B$12000,0)=ROW()-1,1,0))</f>
        <v/>
      </c>
    </row>
    <row r="9375" customFormat="false" ht="15" hidden="false" customHeight="false" outlineLevel="0" collapsed="false">
      <c r="V9375" s="23" t="str">
        <f aca="false">IF(ISNUMBER(C9375),YEAR(C9375),"")</f>
        <v/>
      </c>
      <c r="W9375" s="23" t="str">
        <f aca="false">IF(ISNUMBER(C9375),MONTH(C9375),"")</f>
        <v/>
      </c>
      <c r="X9375" s="23" t="str">
        <f aca="false">IF(T9375="","",IF(T9375=0,"No discount",IF(T9375&lt;=0.2,"Low (1-20%)",IF(T9375&lt;=0.4,"Medium (21-40%)","High (&gt;40%)"))))</f>
        <v/>
      </c>
      <c r="Y9375" s="23" t="str">
        <f aca="false">IF(AND(ISNUMBER(C9375),ISNUMBER(D9375)),D9375-C9375,"")</f>
        <v/>
      </c>
      <c r="Z9375" s="23" t="str">
        <f aca="false">IF(B9375="","",IF(MATCH(B9375,$B$2:$B$12000,0)=ROW()-1,1,0))</f>
        <v/>
      </c>
    </row>
    <row r="9376" customFormat="false" ht="15" hidden="false" customHeight="false" outlineLevel="0" collapsed="false">
      <c r="V9376" s="23" t="str">
        <f aca="false">IF(ISNUMBER(C9376),YEAR(C9376),"")</f>
        <v/>
      </c>
      <c r="W9376" s="23" t="str">
        <f aca="false">IF(ISNUMBER(C9376),MONTH(C9376),"")</f>
        <v/>
      </c>
      <c r="X9376" s="23" t="str">
        <f aca="false">IF(T9376="","",IF(T9376=0,"No discount",IF(T9376&lt;=0.2,"Low (1-20%)",IF(T9376&lt;=0.4,"Medium (21-40%)","High (&gt;40%)"))))</f>
        <v/>
      </c>
      <c r="Y9376" s="23" t="str">
        <f aca="false">IF(AND(ISNUMBER(C9376),ISNUMBER(D9376)),D9376-C9376,"")</f>
        <v/>
      </c>
      <c r="Z9376" s="23" t="str">
        <f aca="false">IF(B9376="","",IF(MATCH(B9376,$B$2:$B$12000,0)=ROW()-1,1,0))</f>
        <v/>
      </c>
    </row>
    <row r="9377" customFormat="false" ht="15" hidden="false" customHeight="false" outlineLevel="0" collapsed="false">
      <c r="V9377" s="23" t="str">
        <f aca="false">IF(ISNUMBER(C9377),YEAR(C9377),"")</f>
        <v/>
      </c>
      <c r="W9377" s="23" t="str">
        <f aca="false">IF(ISNUMBER(C9377),MONTH(C9377),"")</f>
        <v/>
      </c>
      <c r="X9377" s="23" t="str">
        <f aca="false">IF(T9377="","",IF(T9377=0,"No discount",IF(T9377&lt;=0.2,"Low (1-20%)",IF(T9377&lt;=0.4,"Medium (21-40%)","High (&gt;40%)"))))</f>
        <v/>
      </c>
      <c r="Y9377" s="23" t="str">
        <f aca="false">IF(AND(ISNUMBER(C9377),ISNUMBER(D9377)),D9377-C9377,"")</f>
        <v/>
      </c>
      <c r="Z9377" s="23" t="str">
        <f aca="false">IF(B9377="","",IF(MATCH(B9377,$B$2:$B$12000,0)=ROW()-1,1,0))</f>
        <v/>
      </c>
    </row>
    <row r="9378" customFormat="false" ht="15" hidden="false" customHeight="false" outlineLevel="0" collapsed="false">
      <c r="V9378" s="23" t="str">
        <f aca="false">IF(ISNUMBER(C9378),YEAR(C9378),"")</f>
        <v/>
      </c>
      <c r="W9378" s="23" t="str">
        <f aca="false">IF(ISNUMBER(C9378),MONTH(C9378),"")</f>
        <v/>
      </c>
      <c r="X9378" s="23" t="str">
        <f aca="false">IF(T9378="","",IF(T9378=0,"No discount",IF(T9378&lt;=0.2,"Low (1-20%)",IF(T9378&lt;=0.4,"Medium (21-40%)","High (&gt;40%)"))))</f>
        <v/>
      </c>
      <c r="Y9378" s="23" t="str">
        <f aca="false">IF(AND(ISNUMBER(C9378),ISNUMBER(D9378)),D9378-C9378,"")</f>
        <v/>
      </c>
      <c r="Z9378" s="23" t="str">
        <f aca="false">IF(B9378="","",IF(MATCH(B9378,$B$2:$B$12000,0)=ROW()-1,1,0))</f>
        <v/>
      </c>
    </row>
    <row r="9379" customFormat="false" ht="15" hidden="false" customHeight="false" outlineLevel="0" collapsed="false">
      <c r="V9379" s="23" t="str">
        <f aca="false">IF(ISNUMBER(C9379),YEAR(C9379),"")</f>
        <v/>
      </c>
      <c r="W9379" s="23" t="str">
        <f aca="false">IF(ISNUMBER(C9379),MONTH(C9379),"")</f>
        <v/>
      </c>
      <c r="X9379" s="23" t="str">
        <f aca="false">IF(T9379="","",IF(T9379=0,"No discount",IF(T9379&lt;=0.2,"Low (1-20%)",IF(T9379&lt;=0.4,"Medium (21-40%)","High (&gt;40%)"))))</f>
        <v/>
      </c>
      <c r="Y9379" s="23" t="str">
        <f aca="false">IF(AND(ISNUMBER(C9379),ISNUMBER(D9379)),D9379-C9379,"")</f>
        <v/>
      </c>
      <c r="Z9379" s="23" t="str">
        <f aca="false">IF(B9379="","",IF(MATCH(B9379,$B$2:$B$12000,0)=ROW()-1,1,0))</f>
        <v/>
      </c>
    </row>
    <row r="9380" customFormat="false" ht="15" hidden="false" customHeight="false" outlineLevel="0" collapsed="false">
      <c r="V9380" s="23" t="str">
        <f aca="false">IF(ISNUMBER(C9380),YEAR(C9380),"")</f>
        <v/>
      </c>
      <c r="W9380" s="23" t="str">
        <f aca="false">IF(ISNUMBER(C9380),MONTH(C9380),"")</f>
        <v/>
      </c>
      <c r="X9380" s="23" t="str">
        <f aca="false">IF(T9380="","",IF(T9380=0,"No discount",IF(T9380&lt;=0.2,"Low (1-20%)",IF(T9380&lt;=0.4,"Medium (21-40%)","High (&gt;40%)"))))</f>
        <v/>
      </c>
      <c r="Y9380" s="23" t="str">
        <f aca="false">IF(AND(ISNUMBER(C9380),ISNUMBER(D9380)),D9380-C9380,"")</f>
        <v/>
      </c>
      <c r="Z9380" s="23" t="str">
        <f aca="false">IF(B9380="","",IF(MATCH(B9380,$B$2:$B$12000,0)=ROW()-1,1,0))</f>
        <v/>
      </c>
    </row>
    <row r="9381" customFormat="false" ht="15" hidden="false" customHeight="false" outlineLevel="0" collapsed="false">
      <c r="V9381" s="23" t="str">
        <f aca="false">IF(ISNUMBER(C9381),YEAR(C9381),"")</f>
        <v/>
      </c>
      <c r="W9381" s="23" t="str">
        <f aca="false">IF(ISNUMBER(C9381),MONTH(C9381),"")</f>
        <v/>
      </c>
      <c r="X9381" s="23" t="str">
        <f aca="false">IF(T9381="","",IF(T9381=0,"No discount",IF(T9381&lt;=0.2,"Low (1-20%)",IF(T9381&lt;=0.4,"Medium (21-40%)","High (&gt;40%)"))))</f>
        <v/>
      </c>
      <c r="Y9381" s="23" t="str">
        <f aca="false">IF(AND(ISNUMBER(C9381),ISNUMBER(D9381)),D9381-C9381,"")</f>
        <v/>
      </c>
      <c r="Z9381" s="23" t="str">
        <f aca="false">IF(B9381="","",IF(MATCH(B9381,$B$2:$B$12000,0)=ROW()-1,1,0))</f>
        <v/>
      </c>
    </row>
    <row r="9382" customFormat="false" ht="15" hidden="false" customHeight="false" outlineLevel="0" collapsed="false">
      <c r="V9382" s="23" t="str">
        <f aca="false">IF(ISNUMBER(C9382),YEAR(C9382),"")</f>
        <v/>
      </c>
      <c r="W9382" s="23" t="str">
        <f aca="false">IF(ISNUMBER(C9382),MONTH(C9382),"")</f>
        <v/>
      </c>
      <c r="X9382" s="23" t="str">
        <f aca="false">IF(T9382="","",IF(T9382=0,"No discount",IF(T9382&lt;=0.2,"Low (1-20%)",IF(T9382&lt;=0.4,"Medium (21-40%)","High (&gt;40%)"))))</f>
        <v/>
      </c>
      <c r="Y9382" s="23" t="str">
        <f aca="false">IF(AND(ISNUMBER(C9382),ISNUMBER(D9382)),D9382-C9382,"")</f>
        <v/>
      </c>
      <c r="Z9382" s="23" t="str">
        <f aca="false">IF(B9382="","",IF(MATCH(B9382,$B$2:$B$12000,0)=ROW()-1,1,0))</f>
        <v/>
      </c>
    </row>
    <row r="9383" customFormat="false" ht="15" hidden="false" customHeight="false" outlineLevel="0" collapsed="false">
      <c r="V9383" s="23" t="str">
        <f aca="false">IF(ISNUMBER(C9383),YEAR(C9383),"")</f>
        <v/>
      </c>
      <c r="W9383" s="23" t="str">
        <f aca="false">IF(ISNUMBER(C9383),MONTH(C9383),"")</f>
        <v/>
      </c>
      <c r="X9383" s="23" t="str">
        <f aca="false">IF(T9383="","",IF(T9383=0,"No discount",IF(T9383&lt;=0.2,"Low (1-20%)",IF(T9383&lt;=0.4,"Medium (21-40%)","High (&gt;40%)"))))</f>
        <v/>
      </c>
      <c r="Y9383" s="23" t="str">
        <f aca="false">IF(AND(ISNUMBER(C9383),ISNUMBER(D9383)),D9383-C9383,"")</f>
        <v/>
      </c>
      <c r="Z9383" s="23" t="str">
        <f aca="false">IF(B9383="","",IF(MATCH(B9383,$B$2:$B$12000,0)=ROW()-1,1,0))</f>
        <v/>
      </c>
    </row>
    <row r="9384" customFormat="false" ht="15" hidden="false" customHeight="false" outlineLevel="0" collapsed="false">
      <c r="V9384" s="23" t="str">
        <f aca="false">IF(ISNUMBER(C9384),YEAR(C9384),"")</f>
        <v/>
      </c>
      <c r="W9384" s="23" t="str">
        <f aca="false">IF(ISNUMBER(C9384),MONTH(C9384),"")</f>
        <v/>
      </c>
      <c r="X9384" s="23" t="str">
        <f aca="false">IF(T9384="","",IF(T9384=0,"No discount",IF(T9384&lt;=0.2,"Low (1-20%)",IF(T9384&lt;=0.4,"Medium (21-40%)","High (&gt;40%)"))))</f>
        <v/>
      </c>
      <c r="Y9384" s="23" t="str">
        <f aca="false">IF(AND(ISNUMBER(C9384),ISNUMBER(D9384)),D9384-C9384,"")</f>
        <v/>
      </c>
      <c r="Z9384" s="23" t="str">
        <f aca="false">IF(B9384="","",IF(MATCH(B9384,$B$2:$B$12000,0)=ROW()-1,1,0))</f>
        <v/>
      </c>
    </row>
    <row r="9385" customFormat="false" ht="15" hidden="false" customHeight="false" outlineLevel="0" collapsed="false">
      <c r="V9385" s="23" t="str">
        <f aca="false">IF(ISNUMBER(C9385),YEAR(C9385),"")</f>
        <v/>
      </c>
      <c r="W9385" s="23" t="str">
        <f aca="false">IF(ISNUMBER(C9385),MONTH(C9385),"")</f>
        <v/>
      </c>
      <c r="X9385" s="23" t="str">
        <f aca="false">IF(T9385="","",IF(T9385=0,"No discount",IF(T9385&lt;=0.2,"Low (1-20%)",IF(T9385&lt;=0.4,"Medium (21-40%)","High (&gt;40%)"))))</f>
        <v/>
      </c>
      <c r="Y9385" s="23" t="str">
        <f aca="false">IF(AND(ISNUMBER(C9385),ISNUMBER(D9385)),D9385-C9385,"")</f>
        <v/>
      </c>
      <c r="Z9385" s="23" t="str">
        <f aca="false">IF(B9385="","",IF(MATCH(B9385,$B$2:$B$12000,0)=ROW()-1,1,0))</f>
        <v/>
      </c>
    </row>
    <row r="9386" customFormat="false" ht="15" hidden="false" customHeight="false" outlineLevel="0" collapsed="false">
      <c r="V9386" s="23" t="str">
        <f aca="false">IF(ISNUMBER(C9386),YEAR(C9386),"")</f>
        <v/>
      </c>
      <c r="W9386" s="23" t="str">
        <f aca="false">IF(ISNUMBER(C9386),MONTH(C9386),"")</f>
        <v/>
      </c>
      <c r="X9386" s="23" t="str">
        <f aca="false">IF(T9386="","",IF(T9386=0,"No discount",IF(T9386&lt;=0.2,"Low (1-20%)",IF(T9386&lt;=0.4,"Medium (21-40%)","High (&gt;40%)"))))</f>
        <v/>
      </c>
      <c r="Y9386" s="23" t="str">
        <f aca="false">IF(AND(ISNUMBER(C9386),ISNUMBER(D9386)),D9386-C9386,"")</f>
        <v/>
      </c>
      <c r="Z9386" s="23" t="str">
        <f aca="false">IF(B9386="","",IF(MATCH(B9386,$B$2:$B$12000,0)=ROW()-1,1,0))</f>
        <v/>
      </c>
    </row>
    <row r="9387" customFormat="false" ht="15" hidden="false" customHeight="false" outlineLevel="0" collapsed="false">
      <c r="V9387" s="23" t="str">
        <f aca="false">IF(ISNUMBER(C9387),YEAR(C9387),"")</f>
        <v/>
      </c>
      <c r="W9387" s="23" t="str">
        <f aca="false">IF(ISNUMBER(C9387),MONTH(C9387),"")</f>
        <v/>
      </c>
      <c r="X9387" s="23" t="str">
        <f aca="false">IF(T9387="","",IF(T9387=0,"No discount",IF(T9387&lt;=0.2,"Low (1-20%)",IF(T9387&lt;=0.4,"Medium (21-40%)","High (&gt;40%)"))))</f>
        <v/>
      </c>
      <c r="Y9387" s="23" t="str">
        <f aca="false">IF(AND(ISNUMBER(C9387),ISNUMBER(D9387)),D9387-C9387,"")</f>
        <v/>
      </c>
      <c r="Z9387" s="23" t="str">
        <f aca="false">IF(B9387="","",IF(MATCH(B9387,$B$2:$B$12000,0)=ROW()-1,1,0))</f>
        <v/>
      </c>
    </row>
    <row r="9388" customFormat="false" ht="15" hidden="false" customHeight="false" outlineLevel="0" collapsed="false">
      <c r="V9388" s="23" t="str">
        <f aca="false">IF(ISNUMBER(C9388),YEAR(C9388),"")</f>
        <v/>
      </c>
      <c r="W9388" s="23" t="str">
        <f aca="false">IF(ISNUMBER(C9388),MONTH(C9388),"")</f>
        <v/>
      </c>
      <c r="X9388" s="23" t="str">
        <f aca="false">IF(T9388="","",IF(T9388=0,"No discount",IF(T9388&lt;=0.2,"Low (1-20%)",IF(T9388&lt;=0.4,"Medium (21-40%)","High (&gt;40%)"))))</f>
        <v/>
      </c>
      <c r="Y9388" s="23" t="str">
        <f aca="false">IF(AND(ISNUMBER(C9388),ISNUMBER(D9388)),D9388-C9388,"")</f>
        <v/>
      </c>
      <c r="Z9388" s="23" t="str">
        <f aca="false">IF(B9388="","",IF(MATCH(B9388,$B$2:$B$12000,0)=ROW()-1,1,0))</f>
        <v/>
      </c>
    </row>
    <row r="9389" customFormat="false" ht="15" hidden="false" customHeight="false" outlineLevel="0" collapsed="false">
      <c r="V9389" s="23" t="str">
        <f aca="false">IF(ISNUMBER(C9389),YEAR(C9389),"")</f>
        <v/>
      </c>
      <c r="W9389" s="23" t="str">
        <f aca="false">IF(ISNUMBER(C9389),MONTH(C9389),"")</f>
        <v/>
      </c>
      <c r="X9389" s="23" t="str">
        <f aca="false">IF(T9389="","",IF(T9389=0,"No discount",IF(T9389&lt;=0.2,"Low (1-20%)",IF(T9389&lt;=0.4,"Medium (21-40%)","High (&gt;40%)"))))</f>
        <v/>
      </c>
      <c r="Y9389" s="23" t="str">
        <f aca="false">IF(AND(ISNUMBER(C9389),ISNUMBER(D9389)),D9389-C9389,"")</f>
        <v/>
      </c>
      <c r="Z9389" s="23" t="str">
        <f aca="false">IF(B9389="","",IF(MATCH(B9389,$B$2:$B$12000,0)=ROW()-1,1,0))</f>
        <v/>
      </c>
    </row>
    <row r="9390" customFormat="false" ht="15" hidden="false" customHeight="false" outlineLevel="0" collapsed="false">
      <c r="V9390" s="23" t="str">
        <f aca="false">IF(ISNUMBER(C9390),YEAR(C9390),"")</f>
        <v/>
      </c>
      <c r="W9390" s="23" t="str">
        <f aca="false">IF(ISNUMBER(C9390),MONTH(C9390),"")</f>
        <v/>
      </c>
      <c r="X9390" s="23" t="str">
        <f aca="false">IF(T9390="","",IF(T9390=0,"No discount",IF(T9390&lt;=0.2,"Low (1-20%)",IF(T9390&lt;=0.4,"Medium (21-40%)","High (&gt;40%)"))))</f>
        <v/>
      </c>
      <c r="Y9390" s="23" t="str">
        <f aca="false">IF(AND(ISNUMBER(C9390),ISNUMBER(D9390)),D9390-C9390,"")</f>
        <v/>
      </c>
      <c r="Z9390" s="23" t="str">
        <f aca="false">IF(B9390="","",IF(MATCH(B9390,$B$2:$B$12000,0)=ROW()-1,1,0))</f>
        <v/>
      </c>
    </row>
    <row r="9391" customFormat="false" ht="15" hidden="false" customHeight="false" outlineLevel="0" collapsed="false">
      <c r="V9391" s="23" t="str">
        <f aca="false">IF(ISNUMBER(C9391),YEAR(C9391),"")</f>
        <v/>
      </c>
      <c r="W9391" s="23" t="str">
        <f aca="false">IF(ISNUMBER(C9391),MONTH(C9391),"")</f>
        <v/>
      </c>
      <c r="X9391" s="23" t="str">
        <f aca="false">IF(T9391="","",IF(T9391=0,"No discount",IF(T9391&lt;=0.2,"Low (1-20%)",IF(T9391&lt;=0.4,"Medium (21-40%)","High (&gt;40%)"))))</f>
        <v/>
      </c>
      <c r="Y9391" s="23" t="str">
        <f aca="false">IF(AND(ISNUMBER(C9391),ISNUMBER(D9391)),D9391-C9391,"")</f>
        <v/>
      </c>
      <c r="Z9391" s="23" t="str">
        <f aca="false">IF(B9391="","",IF(MATCH(B9391,$B$2:$B$12000,0)=ROW()-1,1,0))</f>
        <v/>
      </c>
    </row>
    <row r="9392" customFormat="false" ht="15" hidden="false" customHeight="false" outlineLevel="0" collapsed="false">
      <c r="V9392" s="23" t="str">
        <f aca="false">IF(ISNUMBER(C9392),YEAR(C9392),"")</f>
        <v/>
      </c>
      <c r="W9392" s="23" t="str">
        <f aca="false">IF(ISNUMBER(C9392),MONTH(C9392),"")</f>
        <v/>
      </c>
      <c r="X9392" s="23" t="str">
        <f aca="false">IF(T9392="","",IF(T9392=0,"No discount",IF(T9392&lt;=0.2,"Low (1-20%)",IF(T9392&lt;=0.4,"Medium (21-40%)","High (&gt;40%)"))))</f>
        <v/>
      </c>
      <c r="Y9392" s="23" t="str">
        <f aca="false">IF(AND(ISNUMBER(C9392),ISNUMBER(D9392)),D9392-C9392,"")</f>
        <v/>
      </c>
      <c r="Z9392" s="23" t="str">
        <f aca="false">IF(B9392="","",IF(MATCH(B9392,$B$2:$B$12000,0)=ROW()-1,1,0))</f>
        <v/>
      </c>
    </row>
    <row r="9393" customFormat="false" ht="15" hidden="false" customHeight="false" outlineLevel="0" collapsed="false">
      <c r="V9393" s="23" t="str">
        <f aca="false">IF(ISNUMBER(C9393),YEAR(C9393),"")</f>
        <v/>
      </c>
      <c r="W9393" s="23" t="str">
        <f aca="false">IF(ISNUMBER(C9393),MONTH(C9393),"")</f>
        <v/>
      </c>
      <c r="X9393" s="23" t="str">
        <f aca="false">IF(T9393="","",IF(T9393=0,"No discount",IF(T9393&lt;=0.2,"Low (1-20%)",IF(T9393&lt;=0.4,"Medium (21-40%)","High (&gt;40%)"))))</f>
        <v/>
      </c>
      <c r="Y9393" s="23" t="str">
        <f aca="false">IF(AND(ISNUMBER(C9393),ISNUMBER(D9393)),D9393-C9393,"")</f>
        <v/>
      </c>
      <c r="Z9393" s="23" t="str">
        <f aca="false">IF(B9393="","",IF(MATCH(B9393,$B$2:$B$12000,0)=ROW()-1,1,0))</f>
        <v/>
      </c>
    </row>
    <row r="9394" customFormat="false" ht="15" hidden="false" customHeight="false" outlineLevel="0" collapsed="false">
      <c r="V9394" s="23" t="str">
        <f aca="false">IF(ISNUMBER(C9394),YEAR(C9394),"")</f>
        <v/>
      </c>
      <c r="W9394" s="23" t="str">
        <f aca="false">IF(ISNUMBER(C9394),MONTH(C9394),"")</f>
        <v/>
      </c>
      <c r="X9394" s="23" t="str">
        <f aca="false">IF(T9394="","",IF(T9394=0,"No discount",IF(T9394&lt;=0.2,"Low (1-20%)",IF(T9394&lt;=0.4,"Medium (21-40%)","High (&gt;40%)"))))</f>
        <v/>
      </c>
      <c r="Y9394" s="23" t="str">
        <f aca="false">IF(AND(ISNUMBER(C9394),ISNUMBER(D9394)),D9394-C9394,"")</f>
        <v/>
      </c>
      <c r="Z9394" s="23" t="str">
        <f aca="false">IF(B9394="","",IF(MATCH(B9394,$B$2:$B$12000,0)=ROW()-1,1,0))</f>
        <v/>
      </c>
    </row>
    <row r="9395" customFormat="false" ht="15" hidden="false" customHeight="false" outlineLevel="0" collapsed="false">
      <c r="V9395" s="23" t="str">
        <f aca="false">IF(ISNUMBER(C9395),YEAR(C9395),"")</f>
        <v/>
      </c>
      <c r="W9395" s="23" t="str">
        <f aca="false">IF(ISNUMBER(C9395),MONTH(C9395),"")</f>
        <v/>
      </c>
      <c r="X9395" s="23" t="str">
        <f aca="false">IF(T9395="","",IF(T9395=0,"No discount",IF(T9395&lt;=0.2,"Low (1-20%)",IF(T9395&lt;=0.4,"Medium (21-40%)","High (&gt;40%)"))))</f>
        <v/>
      </c>
      <c r="Y9395" s="23" t="str">
        <f aca="false">IF(AND(ISNUMBER(C9395),ISNUMBER(D9395)),D9395-C9395,"")</f>
        <v/>
      </c>
      <c r="Z9395" s="23" t="str">
        <f aca="false">IF(B9395="","",IF(MATCH(B9395,$B$2:$B$12000,0)=ROW()-1,1,0))</f>
        <v/>
      </c>
    </row>
    <row r="9396" customFormat="false" ht="15" hidden="false" customHeight="false" outlineLevel="0" collapsed="false">
      <c r="V9396" s="23" t="str">
        <f aca="false">IF(ISNUMBER(C9396),YEAR(C9396),"")</f>
        <v/>
      </c>
      <c r="W9396" s="23" t="str">
        <f aca="false">IF(ISNUMBER(C9396),MONTH(C9396),"")</f>
        <v/>
      </c>
      <c r="X9396" s="23" t="str">
        <f aca="false">IF(T9396="","",IF(T9396=0,"No discount",IF(T9396&lt;=0.2,"Low (1-20%)",IF(T9396&lt;=0.4,"Medium (21-40%)","High (&gt;40%)"))))</f>
        <v/>
      </c>
      <c r="Y9396" s="23" t="str">
        <f aca="false">IF(AND(ISNUMBER(C9396),ISNUMBER(D9396)),D9396-C9396,"")</f>
        <v/>
      </c>
      <c r="Z9396" s="23" t="str">
        <f aca="false">IF(B9396="","",IF(MATCH(B9396,$B$2:$B$12000,0)=ROW()-1,1,0))</f>
        <v/>
      </c>
    </row>
    <row r="9397" customFormat="false" ht="15" hidden="false" customHeight="false" outlineLevel="0" collapsed="false">
      <c r="V9397" s="23" t="str">
        <f aca="false">IF(ISNUMBER(C9397),YEAR(C9397),"")</f>
        <v/>
      </c>
      <c r="W9397" s="23" t="str">
        <f aca="false">IF(ISNUMBER(C9397),MONTH(C9397),"")</f>
        <v/>
      </c>
      <c r="X9397" s="23" t="str">
        <f aca="false">IF(T9397="","",IF(T9397=0,"No discount",IF(T9397&lt;=0.2,"Low (1-20%)",IF(T9397&lt;=0.4,"Medium (21-40%)","High (&gt;40%)"))))</f>
        <v/>
      </c>
      <c r="Y9397" s="23" t="str">
        <f aca="false">IF(AND(ISNUMBER(C9397),ISNUMBER(D9397)),D9397-C9397,"")</f>
        <v/>
      </c>
      <c r="Z9397" s="23" t="str">
        <f aca="false">IF(B9397="","",IF(MATCH(B9397,$B$2:$B$12000,0)=ROW()-1,1,0))</f>
        <v/>
      </c>
    </row>
    <row r="9398" customFormat="false" ht="15" hidden="false" customHeight="false" outlineLevel="0" collapsed="false">
      <c r="V9398" s="23" t="str">
        <f aca="false">IF(ISNUMBER(C9398),YEAR(C9398),"")</f>
        <v/>
      </c>
      <c r="W9398" s="23" t="str">
        <f aca="false">IF(ISNUMBER(C9398),MONTH(C9398),"")</f>
        <v/>
      </c>
      <c r="X9398" s="23" t="str">
        <f aca="false">IF(T9398="","",IF(T9398=0,"No discount",IF(T9398&lt;=0.2,"Low (1-20%)",IF(T9398&lt;=0.4,"Medium (21-40%)","High (&gt;40%)"))))</f>
        <v/>
      </c>
      <c r="Y9398" s="23" t="str">
        <f aca="false">IF(AND(ISNUMBER(C9398),ISNUMBER(D9398)),D9398-C9398,"")</f>
        <v/>
      </c>
      <c r="Z9398" s="23" t="str">
        <f aca="false">IF(B9398="","",IF(MATCH(B9398,$B$2:$B$12000,0)=ROW()-1,1,0))</f>
        <v/>
      </c>
    </row>
    <row r="9399" customFormat="false" ht="15" hidden="false" customHeight="false" outlineLevel="0" collapsed="false">
      <c r="V9399" s="23" t="str">
        <f aca="false">IF(ISNUMBER(C9399),YEAR(C9399),"")</f>
        <v/>
      </c>
      <c r="W9399" s="23" t="str">
        <f aca="false">IF(ISNUMBER(C9399),MONTH(C9399),"")</f>
        <v/>
      </c>
      <c r="X9399" s="23" t="str">
        <f aca="false">IF(T9399="","",IF(T9399=0,"No discount",IF(T9399&lt;=0.2,"Low (1-20%)",IF(T9399&lt;=0.4,"Medium (21-40%)","High (&gt;40%)"))))</f>
        <v/>
      </c>
      <c r="Y9399" s="23" t="str">
        <f aca="false">IF(AND(ISNUMBER(C9399),ISNUMBER(D9399)),D9399-C9399,"")</f>
        <v/>
      </c>
      <c r="Z9399" s="23" t="str">
        <f aca="false">IF(B9399="","",IF(MATCH(B9399,$B$2:$B$12000,0)=ROW()-1,1,0))</f>
        <v/>
      </c>
    </row>
    <row r="9400" customFormat="false" ht="15" hidden="false" customHeight="false" outlineLevel="0" collapsed="false">
      <c r="V9400" s="23" t="str">
        <f aca="false">IF(ISNUMBER(C9400),YEAR(C9400),"")</f>
        <v/>
      </c>
      <c r="W9400" s="23" t="str">
        <f aca="false">IF(ISNUMBER(C9400),MONTH(C9400),"")</f>
        <v/>
      </c>
      <c r="X9400" s="23" t="str">
        <f aca="false">IF(T9400="","",IF(T9400=0,"No discount",IF(T9400&lt;=0.2,"Low (1-20%)",IF(T9400&lt;=0.4,"Medium (21-40%)","High (&gt;40%)"))))</f>
        <v/>
      </c>
      <c r="Y9400" s="23" t="str">
        <f aca="false">IF(AND(ISNUMBER(C9400),ISNUMBER(D9400)),D9400-C9400,"")</f>
        <v/>
      </c>
      <c r="Z9400" s="23" t="str">
        <f aca="false">IF(B9400="","",IF(MATCH(B9400,$B$2:$B$12000,0)=ROW()-1,1,0))</f>
        <v/>
      </c>
    </row>
    <row r="9401" customFormat="false" ht="15" hidden="false" customHeight="false" outlineLevel="0" collapsed="false">
      <c r="V9401" s="23" t="str">
        <f aca="false">IF(ISNUMBER(C9401),YEAR(C9401),"")</f>
        <v/>
      </c>
      <c r="W9401" s="23" t="str">
        <f aca="false">IF(ISNUMBER(C9401),MONTH(C9401),"")</f>
        <v/>
      </c>
      <c r="X9401" s="23" t="str">
        <f aca="false">IF(T9401="","",IF(T9401=0,"No discount",IF(T9401&lt;=0.2,"Low (1-20%)",IF(T9401&lt;=0.4,"Medium (21-40%)","High (&gt;40%)"))))</f>
        <v/>
      </c>
      <c r="Y9401" s="23" t="str">
        <f aca="false">IF(AND(ISNUMBER(C9401),ISNUMBER(D9401)),D9401-C9401,"")</f>
        <v/>
      </c>
      <c r="Z9401" s="23" t="str">
        <f aca="false">IF(B9401="","",IF(MATCH(B9401,$B$2:$B$12000,0)=ROW()-1,1,0))</f>
        <v/>
      </c>
    </row>
    <row r="9402" customFormat="false" ht="15" hidden="false" customHeight="false" outlineLevel="0" collapsed="false">
      <c r="V9402" s="23" t="str">
        <f aca="false">IF(ISNUMBER(C9402),YEAR(C9402),"")</f>
        <v/>
      </c>
      <c r="W9402" s="23" t="str">
        <f aca="false">IF(ISNUMBER(C9402),MONTH(C9402),"")</f>
        <v/>
      </c>
      <c r="X9402" s="23" t="str">
        <f aca="false">IF(T9402="","",IF(T9402=0,"No discount",IF(T9402&lt;=0.2,"Low (1-20%)",IF(T9402&lt;=0.4,"Medium (21-40%)","High (&gt;40%)"))))</f>
        <v/>
      </c>
      <c r="Y9402" s="23" t="str">
        <f aca="false">IF(AND(ISNUMBER(C9402),ISNUMBER(D9402)),D9402-C9402,"")</f>
        <v/>
      </c>
      <c r="Z9402" s="23" t="str">
        <f aca="false">IF(B9402="","",IF(MATCH(B9402,$B$2:$B$12000,0)=ROW()-1,1,0))</f>
        <v/>
      </c>
    </row>
    <row r="9403" customFormat="false" ht="15" hidden="false" customHeight="false" outlineLevel="0" collapsed="false">
      <c r="V9403" s="23" t="str">
        <f aca="false">IF(ISNUMBER(C9403),YEAR(C9403),"")</f>
        <v/>
      </c>
      <c r="W9403" s="23" t="str">
        <f aca="false">IF(ISNUMBER(C9403),MONTH(C9403),"")</f>
        <v/>
      </c>
      <c r="X9403" s="23" t="str">
        <f aca="false">IF(T9403="","",IF(T9403=0,"No discount",IF(T9403&lt;=0.2,"Low (1-20%)",IF(T9403&lt;=0.4,"Medium (21-40%)","High (&gt;40%)"))))</f>
        <v/>
      </c>
      <c r="Y9403" s="23" t="str">
        <f aca="false">IF(AND(ISNUMBER(C9403),ISNUMBER(D9403)),D9403-C9403,"")</f>
        <v/>
      </c>
      <c r="Z9403" s="23" t="str">
        <f aca="false">IF(B9403="","",IF(MATCH(B9403,$B$2:$B$12000,0)=ROW()-1,1,0))</f>
        <v/>
      </c>
    </row>
    <row r="9404" customFormat="false" ht="15" hidden="false" customHeight="false" outlineLevel="0" collapsed="false">
      <c r="V9404" s="23" t="str">
        <f aca="false">IF(ISNUMBER(C9404),YEAR(C9404),"")</f>
        <v/>
      </c>
      <c r="W9404" s="23" t="str">
        <f aca="false">IF(ISNUMBER(C9404),MONTH(C9404),"")</f>
        <v/>
      </c>
      <c r="X9404" s="23" t="str">
        <f aca="false">IF(T9404="","",IF(T9404=0,"No discount",IF(T9404&lt;=0.2,"Low (1-20%)",IF(T9404&lt;=0.4,"Medium (21-40%)","High (&gt;40%)"))))</f>
        <v/>
      </c>
      <c r="Y9404" s="23" t="str">
        <f aca="false">IF(AND(ISNUMBER(C9404),ISNUMBER(D9404)),D9404-C9404,"")</f>
        <v/>
      </c>
      <c r="Z9404" s="23" t="str">
        <f aca="false">IF(B9404="","",IF(MATCH(B9404,$B$2:$B$12000,0)=ROW()-1,1,0))</f>
        <v/>
      </c>
    </row>
    <row r="9405" customFormat="false" ht="15" hidden="false" customHeight="false" outlineLevel="0" collapsed="false">
      <c r="V9405" s="23" t="str">
        <f aca="false">IF(ISNUMBER(C9405),YEAR(C9405),"")</f>
        <v/>
      </c>
      <c r="W9405" s="23" t="str">
        <f aca="false">IF(ISNUMBER(C9405),MONTH(C9405),"")</f>
        <v/>
      </c>
      <c r="X9405" s="23" t="str">
        <f aca="false">IF(T9405="","",IF(T9405=0,"No discount",IF(T9405&lt;=0.2,"Low (1-20%)",IF(T9405&lt;=0.4,"Medium (21-40%)","High (&gt;40%)"))))</f>
        <v/>
      </c>
      <c r="Y9405" s="23" t="str">
        <f aca="false">IF(AND(ISNUMBER(C9405),ISNUMBER(D9405)),D9405-C9405,"")</f>
        <v/>
      </c>
      <c r="Z9405" s="23" t="str">
        <f aca="false">IF(B9405="","",IF(MATCH(B9405,$B$2:$B$12000,0)=ROW()-1,1,0))</f>
        <v/>
      </c>
    </row>
    <row r="9406" customFormat="false" ht="15" hidden="false" customHeight="false" outlineLevel="0" collapsed="false">
      <c r="V9406" s="23" t="str">
        <f aca="false">IF(ISNUMBER(C9406),YEAR(C9406),"")</f>
        <v/>
      </c>
      <c r="W9406" s="23" t="str">
        <f aca="false">IF(ISNUMBER(C9406),MONTH(C9406),"")</f>
        <v/>
      </c>
      <c r="X9406" s="23" t="str">
        <f aca="false">IF(T9406="","",IF(T9406=0,"No discount",IF(T9406&lt;=0.2,"Low (1-20%)",IF(T9406&lt;=0.4,"Medium (21-40%)","High (&gt;40%)"))))</f>
        <v/>
      </c>
      <c r="Y9406" s="23" t="str">
        <f aca="false">IF(AND(ISNUMBER(C9406),ISNUMBER(D9406)),D9406-C9406,"")</f>
        <v/>
      </c>
      <c r="Z9406" s="23" t="str">
        <f aca="false">IF(B9406="","",IF(MATCH(B9406,$B$2:$B$12000,0)=ROW()-1,1,0))</f>
        <v/>
      </c>
    </row>
    <row r="9407" customFormat="false" ht="15" hidden="false" customHeight="false" outlineLevel="0" collapsed="false">
      <c r="V9407" s="23" t="str">
        <f aca="false">IF(ISNUMBER(C9407),YEAR(C9407),"")</f>
        <v/>
      </c>
      <c r="W9407" s="23" t="str">
        <f aca="false">IF(ISNUMBER(C9407),MONTH(C9407),"")</f>
        <v/>
      </c>
      <c r="X9407" s="23" t="str">
        <f aca="false">IF(T9407="","",IF(T9407=0,"No discount",IF(T9407&lt;=0.2,"Low (1-20%)",IF(T9407&lt;=0.4,"Medium (21-40%)","High (&gt;40%)"))))</f>
        <v/>
      </c>
      <c r="Y9407" s="23" t="str">
        <f aca="false">IF(AND(ISNUMBER(C9407),ISNUMBER(D9407)),D9407-C9407,"")</f>
        <v/>
      </c>
      <c r="Z9407" s="23" t="str">
        <f aca="false">IF(B9407="","",IF(MATCH(B9407,$B$2:$B$12000,0)=ROW()-1,1,0))</f>
        <v/>
      </c>
    </row>
    <row r="9408" customFormat="false" ht="15" hidden="false" customHeight="false" outlineLevel="0" collapsed="false">
      <c r="V9408" s="23" t="str">
        <f aca="false">IF(ISNUMBER(C9408),YEAR(C9408),"")</f>
        <v/>
      </c>
      <c r="W9408" s="23" t="str">
        <f aca="false">IF(ISNUMBER(C9408),MONTH(C9408),"")</f>
        <v/>
      </c>
      <c r="X9408" s="23" t="str">
        <f aca="false">IF(T9408="","",IF(T9408=0,"No discount",IF(T9408&lt;=0.2,"Low (1-20%)",IF(T9408&lt;=0.4,"Medium (21-40%)","High (&gt;40%)"))))</f>
        <v/>
      </c>
      <c r="Y9408" s="23" t="str">
        <f aca="false">IF(AND(ISNUMBER(C9408),ISNUMBER(D9408)),D9408-C9408,"")</f>
        <v/>
      </c>
      <c r="Z9408" s="23" t="str">
        <f aca="false">IF(B9408="","",IF(MATCH(B9408,$B$2:$B$12000,0)=ROW()-1,1,0))</f>
        <v/>
      </c>
    </row>
    <row r="9409" customFormat="false" ht="15" hidden="false" customHeight="false" outlineLevel="0" collapsed="false">
      <c r="V9409" s="23" t="str">
        <f aca="false">IF(ISNUMBER(C9409),YEAR(C9409),"")</f>
        <v/>
      </c>
      <c r="W9409" s="23" t="str">
        <f aca="false">IF(ISNUMBER(C9409),MONTH(C9409),"")</f>
        <v/>
      </c>
      <c r="X9409" s="23" t="str">
        <f aca="false">IF(T9409="","",IF(T9409=0,"No discount",IF(T9409&lt;=0.2,"Low (1-20%)",IF(T9409&lt;=0.4,"Medium (21-40%)","High (&gt;40%)"))))</f>
        <v/>
      </c>
      <c r="Y9409" s="23" t="str">
        <f aca="false">IF(AND(ISNUMBER(C9409),ISNUMBER(D9409)),D9409-C9409,"")</f>
        <v/>
      </c>
      <c r="Z9409" s="23" t="str">
        <f aca="false">IF(B9409="","",IF(MATCH(B9409,$B$2:$B$12000,0)=ROW()-1,1,0))</f>
        <v/>
      </c>
    </row>
    <row r="9410" customFormat="false" ht="15" hidden="false" customHeight="false" outlineLevel="0" collapsed="false">
      <c r="V9410" s="23" t="str">
        <f aca="false">IF(ISNUMBER(C9410),YEAR(C9410),"")</f>
        <v/>
      </c>
      <c r="W9410" s="23" t="str">
        <f aca="false">IF(ISNUMBER(C9410),MONTH(C9410),"")</f>
        <v/>
      </c>
      <c r="X9410" s="23" t="str">
        <f aca="false">IF(T9410="","",IF(T9410=0,"No discount",IF(T9410&lt;=0.2,"Low (1-20%)",IF(T9410&lt;=0.4,"Medium (21-40%)","High (&gt;40%)"))))</f>
        <v/>
      </c>
      <c r="Y9410" s="23" t="str">
        <f aca="false">IF(AND(ISNUMBER(C9410),ISNUMBER(D9410)),D9410-C9410,"")</f>
        <v/>
      </c>
      <c r="Z9410" s="23" t="str">
        <f aca="false">IF(B9410="","",IF(MATCH(B9410,$B$2:$B$12000,0)=ROW()-1,1,0))</f>
        <v/>
      </c>
    </row>
    <row r="9411" customFormat="false" ht="15" hidden="false" customHeight="false" outlineLevel="0" collapsed="false">
      <c r="V9411" s="23" t="str">
        <f aca="false">IF(ISNUMBER(C9411),YEAR(C9411),"")</f>
        <v/>
      </c>
      <c r="W9411" s="23" t="str">
        <f aca="false">IF(ISNUMBER(C9411),MONTH(C9411),"")</f>
        <v/>
      </c>
      <c r="X9411" s="23" t="str">
        <f aca="false">IF(T9411="","",IF(T9411=0,"No discount",IF(T9411&lt;=0.2,"Low (1-20%)",IF(T9411&lt;=0.4,"Medium (21-40%)","High (&gt;40%)"))))</f>
        <v/>
      </c>
      <c r="Y9411" s="23" t="str">
        <f aca="false">IF(AND(ISNUMBER(C9411),ISNUMBER(D9411)),D9411-C9411,"")</f>
        <v/>
      </c>
      <c r="Z9411" s="23" t="str">
        <f aca="false">IF(B9411="","",IF(MATCH(B9411,$B$2:$B$12000,0)=ROW()-1,1,0))</f>
        <v/>
      </c>
    </row>
    <row r="9412" customFormat="false" ht="15" hidden="false" customHeight="false" outlineLevel="0" collapsed="false">
      <c r="V9412" s="23" t="str">
        <f aca="false">IF(ISNUMBER(C9412),YEAR(C9412),"")</f>
        <v/>
      </c>
      <c r="W9412" s="23" t="str">
        <f aca="false">IF(ISNUMBER(C9412),MONTH(C9412),"")</f>
        <v/>
      </c>
      <c r="X9412" s="23" t="str">
        <f aca="false">IF(T9412="","",IF(T9412=0,"No discount",IF(T9412&lt;=0.2,"Low (1-20%)",IF(T9412&lt;=0.4,"Medium (21-40%)","High (&gt;40%)"))))</f>
        <v/>
      </c>
      <c r="Y9412" s="23" t="str">
        <f aca="false">IF(AND(ISNUMBER(C9412),ISNUMBER(D9412)),D9412-C9412,"")</f>
        <v/>
      </c>
      <c r="Z9412" s="23" t="str">
        <f aca="false">IF(B9412="","",IF(MATCH(B9412,$B$2:$B$12000,0)=ROW()-1,1,0))</f>
        <v/>
      </c>
    </row>
    <row r="9413" customFormat="false" ht="15" hidden="false" customHeight="false" outlineLevel="0" collapsed="false">
      <c r="V9413" s="23" t="str">
        <f aca="false">IF(ISNUMBER(C9413),YEAR(C9413),"")</f>
        <v/>
      </c>
      <c r="W9413" s="23" t="str">
        <f aca="false">IF(ISNUMBER(C9413),MONTH(C9413),"")</f>
        <v/>
      </c>
      <c r="X9413" s="23" t="str">
        <f aca="false">IF(T9413="","",IF(T9413=0,"No discount",IF(T9413&lt;=0.2,"Low (1-20%)",IF(T9413&lt;=0.4,"Medium (21-40%)","High (&gt;40%)"))))</f>
        <v/>
      </c>
      <c r="Y9413" s="23" t="str">
        <f aca="false">IF(AND(ISNUMBER(C9413),ISNUMBER(D9413)),D9413-C9413,"")</f>
        <v/>
      </c>
      <c r="Z9413" s="23" t="str">
        <f aca="false">IF(B9413="","",IF(MATCH(B9413,$B$2:$B$12000,0)=ROW()-1,1,0))</f>
        <v/>
      </c>
    </row>
    <row r="9414" customFormat="false" ht="15" hidden="false" customHeight="false" outlineLevel="0" collapsed="false">
      <c r="V9414" s="23" t="str">
        <f aca="false">IF(ISNUMBER(C9414),YEAR(C9414),"")</f>
        <v/>
      </c>
      <c r="W9414" s="23" t="str">
        <f aca="false">IF(ISNUMBER(C9414),MONTH(C9414),"")</f>
        <v/>
      </c>
      <c r="X9414" s="23" t="str">
        <f aca="false">IF(T9414="","",IF(T9414=0,"No discount",IF(T9414&lt;=0.2,"Low (1-20%)",IF(T9414&lt;=0.4,"Medium (21-40%)","High (&gt;40%)"))))</f>
        <v/>
      </c>
      <c r="Y9414" s="23" t="str">
        <f aca="false">IF(AND(ISNUMBER(C9414),ISNUMBER(D9414)),D9414-C9414,"")</f>
        <v/>
      </c>
      <c r="Z9414" s="23" t="str">
        <f aca="false">IF(B9414="","",IF(MATCH(B9414,$B$2:$B$12000,0)=ROW()-1,1,0))</f>
        <v/>
      </c>
    </row>
    <row r="9415" customFormat="false" ht="15" hidden="false" customHeight="false" outlineLevel="0" collapsed="false">
      <c r="V9415" s="23" t="str">
        <f aca="false">IF(ISNUMBER(C9415),YEAR(C9415),"")</f>
        <v/>
      </c>
      <c r="W9415" s="23" t="str">
        <f aca="false">IF(ISNUMBER(C9415),MONTH(C9415),"")</f>
        <v/>
      </c>
      <c r="X9415" s="23" t="str">
        <f aca="false">IF(T9415="","",IF(T9415=0,"No discount",IF(T9415&lt;=0.2,"Low (1-20%)",IF(T9415&lt;=0.4,"Medium (21-40%)","High (&gt;40%)"))))</f>
        <v/>
      </c>
      <c r="Y9415" s="23" t="str">
        <f aca="false">IF(AND(ISNUMBER(C9415),ISNUMBER(D9415)),D9415-C9415,"")</f>
        <v/>
      </c>
      <c r="Z9415" s="23" t="str">
        <f aca="false">IF(B9415="","",IF(MATCH(B9415,$B$2:$B$12000,0)=ROW()-1,1,0))</f>
        <v/>
      </c>
    </row>
    <row r="9416" customFormat="false" ht="15" hidden="false" customHeight="false" outlineLevel="0" collapsed="false">
      <c r="V9416" s="23" t="str">
        <f aca="false">IF(ISNUMBER(C9416),YEAR(C9416),"")</f>
        <v/>
      </c>
      <c r="W9416" s="23" t="str">
        <f aca="false">IF(ISNUMBER(C9416),MONTH(C9416),"")</f>
        <v/>
      </c>
      <c r="X9416" s="23" t="str">
        <f aca="false">IF(T9416="","",IF(T9416=0,"No discount",IF(T9416&lt;=0.2,"Low (1-20%)",IF(T9416&lt;=0.4,"Medium (21-40%)","High (&gt;40%)"))))</f>
        <v/>
      </c>
      <c r="Y9416" s="23" t="str">
        <f aca="false">IF(AND(ISNUMBER(C9416),ISNUMBER(D9416)),D9416-C9416,"")</f>
        <v/>
      </c>
      <c r="Z9416" s="23" t="str">
        <f aca="false">IF(B9416="","",IF(MATCH(B9416,$B$2:$B$12000,0)=ROW()-1,1,0))</f>
        <v/>
      </c>
    </row>
    <row r="9417" customFormat="false" ht="15" hidden="false" customHeight="false" outlineLevel="0" collapsed="false">
      <c r="V9417" s="23" t="str">
        <f aca="false">IF(ISNUMBER(C9417),YEAR(C9417),"")</f>
        <v/>
      </c>
      <c r="W9417" s="23" t="str">
        <f aca="false">IF(ISNUMBER(C9417),MONTH(C9417),"")</f>
        <v/>
      </c>
      <c r="X9417" s="23" t="str">
        <f aca="false">IF(T9417="","",IF(T9417=0,"No discount",IF(T9417&lt;=0.2,"Low (1-20%)",IF(T9417&lt;=0.4,"Medium (21-40%)","High (&gt;40%)"))))</f>
        <v/>
      </c>
      <c r="Y9417" s="23" t="str">
        <f aca="false">IF(AND(ISNUMBER(C9417),ISNUMBER(D9417)),D9417-C9417,"")</f>
        <v/>
      </c>
      <c r="Z9417" s="23" t="str">
        <f aca="false">IF(B9417="","",IF(MATCH(B9417,$B$2:$B$12000,0)=ROW()-1,1,0))</f>
        <v/>
      </c>
    </row>
    <row r="9418" customFormat="false" ht="15" hidden="false" customHeight="false" outlineLevel="0" collapsed="false">
      <c r="V9418" s="23" t="str">
        <f aca="false">IF(ISNUMBER(C9418),YEAR(C9418),"")</f>
        <v/>
      </c>
      <c r="W9418" s="23" t="str">
        <f aca="false">IF(ISNUMBER(C9418),MONTH(C9418),"")</f>
        <v/>
      </c>
      <c r="X9418" s="23" t="str">
        <f aca="false">IF(T9418="","",IF(T9418=0,"No discount",IF(T9418&lt;=0.2,"Low (1-20%)",IF(T9418&lt;=0.4,"Medium (21-40%)","High (&gt;40%)"))))</f>
        <v/>
      </c>
      <c r="Y9418" s="23" t="str">
        <f aca="false">IF(AND(ISNUMBER(C9418),ISNUMBER(D9418)),D9418-C9418,"")</f>
        <v/>
      </c>
      <c r="Z9418" s="23" t="str">
        <f aca="false">IF(B9418="","",IF(MATCH(B9418,$B$2:$B$12000,0)=ROW()-1,1,0))</f>
        <v/>
      </c>
    </row>
    <row r="9419" customFormat="false" ht="15" hidden="false" customHeight="false" outlineLevel="0" collapsed="false">
      <c r="V9419" s="23" t="str">
        <f aca="false">IF(ISNUMBER(C9419),YEAR(C9419),"")</f>
        <v/>
      </c>
      <c r="W9419" s="23" t="str">
        <f aca="false">IF(ISNUMBER(C9419),MONTH(C9419),"")</f>
        <v/>
      </c>
      <c r="X9419" s="23" t="str">
        <f aca="false">IF(T9419="","",IF(T9419=0,"No discount",IF(T9419&lt;=0.2,"Low (1-20%)",IF(T9419&lt;=0.4,"Medium (21-40%)","High (&gt;40%)"))))</f>
        <v/>
      </c>
      <c r="Y9419" s="23" t="str">
        <f aca="false">IF(AND(ISNUMBER(C9419),ISNUMBER(D9419)),D9419-C9419,"")</f>
        <v/>
      </c>
      <c r="Z9419" s="23" t="str">
        <f aca="false">IF(B9419="","",IF(MATCH(B9419,$B$2:$B$12000,0)=ROW()-1,1,0))</f>
        <v/>
      </c>
    </row>
    <row r="9420" customFormat="false" ht="15" hidden="false" customHeight="false" outlineLevel="0" collapsed="false">
      <c r="V9420" s="23" t="str">
        <f aca="false">IF(ISNUMBER(C9420),YEAR(C9420),"")</f>
        <v/>
      </c>
      <c r="W9420" s="23" t="str">
        <f aca="false">IF(ISNUMBER(C9420),MONTH(C9420),"")</f>
        <v/>
      </c>
      <c r="X9420" s="23" t="str">
        <f aca="false">IF(T9420="","",IF(T9420=0,"No discount",IF(T9420&lt;=0.2,"Low (1-20%)",IF(T9420&lt;=0.4,"Medium (21-40%)","High (&gt;40%)"))))</f>
        <v/>
      </c>
      <c r="Y9420" s="23" t="str">
        <f aca="false">IF(AND(ISNUMBER(C9420),ISNUMBER(D9420)),D9420-C9420,"")</f>
        <v/>
      </c>
      <c r="Z9420" s="23" t="str">
        <f aca="false">IF(B9420="","",IF(MATCH(B9420,$B$2:$B$12000,0)=ROW()-1,1,0))</f>
        <v/>
      </c>
    </row>
    <row r="9421" customFormat="false" ht="15" hidden="false" customHeight="false" outlineLevel="0" collapsed="false">
      <c r="V9421" s="23" t="str">
        <f aca="false">IF(ISNUMBER(C9421),YEAR(C9421),"")</f>
        <v/>
      </c>
      <c r="W9421" s="23" t="str">
        <f aca="false">IF(ISNUMBER(C9421),MONTH(C9421),"")</f>
        <v/>
      </c>
      <c r="X9421" s="23" t="str">
        <f aca="false">IF(T9421="","",IF(T9421=0,"No discount",IF(T9421&lt;=0.2,"Low (1-20%)",IF(T9421&lt;=0.4,"Medium (21-40%)","High (&gt;40%)"))))</f>
        <v/>
      </c>
      <c r="Y9421" s="23" t="str">
        <f aca="false">IF(AND(ISNUMBER(C9421),ISNUMBER(D9421)),D9421-C9421,"")</f>
        <v/>
      </c>
      <c r="Z9421" s="23" t="str">
        <f aca="false">IF(B9421="","",IF(MATCH(B9421,$B$2:$B$12000,0)=ROW()-1,1,0))</f>
        <v/>
      </c>
    </row>
    <row r="9422" customFormat="false" ht="15" hidden="false" customHeight="false" outlineLevel="0" collapsed="false">
      <c r="V9422" s="23" t="str">
        <f aca="false">IF(ISNUMBER(C9422),YEAR(C9422),"")</f>
        <v/>
      </c>
      <c r="W9422" s="23" t="str">
        <f aca="false">IF(ISNUMBER(C9422),MONTH(C9422),"")</f>
        <v/>
      </c>
      <c r="X9422" s="23" t="str">
        <f aca="false">IF(T9422="","",IF(T9422=0,"No discount",IF(T9422&lt;=0.2,"Low (1-20%)",IF(T9422&lt;=0.4,"Medium (21-40%)","High (&gt;40%)"))))</f>
        <v/>
      </c>
      <c r="Y9422" s="23" t="str">
        <f aca="false">IF(AND(ISNUMBER(C9422),ISNUMBER(D9422)),D9422-C9422,"")</f>
        <v/>
      </c>
      <c r="Z9422" s="23" t="str">
        <f aca="false">IF(B9422="","",IF(MATCH(B9422,$B$2:$B$12000,0)=ROW()-1,1,0))</f>
        <v/>
      </c>
    </row>
    <row r="9423" customFormat="false" ht="15" hidden="false" customHeight="false" outlineLevel="0" collapsed="false">
      <c r="V9423" s="23" t="str">
        <f aca="false">IF(ISNUMBER(C9423),YEAR(C9423),"")</f>
        <v/>
      </c>
      <c r="W9423" s="23" t="str">
        <f aca="false">IF(ISNUMBER(C9423),MONTH(C9423),"")</f>
        <v/>
      </c>
      <c r="X9423" s="23" t="str">
        <f aca="false">IF(T9423="","",IF(T9423=0,"No discount",IF(T9423&lt;=0.2,"Low (1-20%)",IF(T9423&lt;=0.4,"Medium (21-40%)","High (&gt;40%)"))))</f>
        <v/>
      </c>
      <c r="Y9423" s="23" t="str">
        <f aca="false">IF(AND(ISNUMBER(C9423),ISNUMBER(D9423)),D9423-C9423,"")</f>
        <v/>
      </c>
      <c r="Z9423" s="23" t="str">
        <f aca="false">IF(B9423="","",IF(MATCH(B9423,$B$2:$B$12000,0)=ROW()-1,1,0))</f>
        <v/>
      </c>
    </row>
    <row r="9424" customFormat="false" ht="15" hidden="false" customHeight="false" outlineLevel="0" collapsed="false">
      <c r="V9424" s="23" t="str">
        <f aca="false">IF(ISNUMBER(C9424),YEAR(C9424),"")</f>
        <v/>
      </c>
      <c r="W9424" s="23" t="str">
        <f aca="false">IF(ISNUMBER(C9424),MONTH(C9424),"")</f>
        <v/>
      </c>
      <c r="X9424" s="23" t="str">
        <f aca="false">IF(T9424="","",IF(T9424=0,"No discount",IF(T9424&lt;=0.2,"Low (1-20%)",IF(T9424&lt;=0.4,"Medium (21-40%)","High (&gt;40%)"))))</f>
        <v/>
      </c>
      <c r="Y9424" s="23" t="str">
        <f aca="false">IF(AND(ISNUMBER(C9424),ISNUMBER(D9424)),D9424-C9424,"")</f>
        <v/>
      </c>
      <c r="Z9424" s="23" t="str">
        <f aca="false">IF(B9424="","",IF(MATCH(B9424,$B$2:$B$12000,0)=ROW()-1,1,0))</f>
        <v/>
      </c>
    </row>
    <row r="9425" customFormat="false" ht="15" hidden="false" customHeight="false" outlineLevel="0" collapsed="false">
      <c r="V9425" s="23" t="str">
        <f aca="false">IF(ISNUMBER(C9425),YEAR(C9425),"")</f>
        <v/>
      </c>
      <c r="W9425" s="23" t="str">
        <f aca="false">IF(ISNUMBER(C9425),MONTH(C9425),"")</f>
        <v/>
      </c>
      <c r="X9425" s="23" t="str">
        <f aca="false">IF(T9425="","",IF(T9425=0,"No discount",IF(T9425&lt;=0.2,"Low (1-20%)",IF(T9425&lt;=0.4,"Medium (21-40%)","High (&gt;40%)"))))</f>
        <v/>
      </c>
      <c r="Y9425" s="23" t="str">
        <f aca="false">IF(AND(ISNUMBER(C9425),ISNUMBER(D9425)),D9425-C9425,"")</f>
        <v/>
      </c>
      <c r="Z9425" s="23" t="str">
        <f aca="false">IF(B9425="","",IF(MATCH(B9425,$B$2:$B$12000,0)=ROW()-1,1,0))</f>
        <v/>
      </c>
    </row>
    <row r="9426" customFormat="false" ht="15" hidden="false" customHeight="false" outlineLevel="0" collapsed="false">
      <c r="V9426" s="23" t="str">
        <f aca="false">IF(ISNUMBER(C9426),YEAR(C9426),"")</f>
        <v/>
      </c>
      <c r="W9426" s="23" t="str">
        <f aca="false">IF(ISNUMBER(C9426),MONTH(C9426),"")</f>
        <v/>
      </c>
      <c r="X9426" s="23" t="str">
        <f aca="false">IF(T9426="","",IF(T9426=0,"No discount",IF(T9426&lt;=0.2,"Low (1-20%)",IF(T9426&lt;=0.4,"Medium (21-40%)","High (&gt;40%)"))))</f>
        <v/>
      </c>
      <c r="Y9426" s="23" t="str">
        <f aca="false">IF(AND(ISNUMBER(C9426),ISNUMBER(D9426)),D9426-C9426,"")</f>
        <v/>
      </c>
      <c r="Z9426" s="23" t="str">
        <f aca="false">IF(B9426="","",IF(MATCH(B9426,$B$2:$B$12000,0)=ROW()-1,1,0))</f>
        <v/>
      </c>
    </row>
    <row r="9427" customFormat="false" ht="15" hidden="false" customHeight="false" outlineLevel="0" collapsed="false">
      <c r="V9427" s="23" t="str">
        <f aca="false">IF(ISNUMBER(C9427),YEAR(C9427),"")</f>
        <v/>
      </c>
      <c r="W9427" s="23" t="str">
        <f aca="false">IF(ISNUMBER(C9427),MONTH(C9427),"")</f>
        <v/>
      </c>
      <c r="X9427" s="23" t="str">
        <f aca="false">IF(T9427="","",IF(T9427=0,"No discount",IF(T9427&lt;=0.2,"Low (1-20%)",IF(T9427&lt;=0.4,"Medium (21-40%)","High (&gt;40%)"))))</f>
        <v/>
      </c>
      <c r="Y9427" s="23" t="str">
        <f aca="false">IF(AND(ISNUMBER(C9427),ISNUMBER(D9427)),D9427-C9427,"")</f>
        <v/>
      </c>
      <c r="Z9427" s="23" t="str">
        <f aca="false">IF(B9427="","",IF(MATCH(B9427,$B$2:$B$12000,0)=ROW()-1,1,0))</f>
        <v/>
      </c>
    </row>
    <row r="9428" customFormat="false" ht="15" hidden="false" customHeight="false" outlineLevel="0" collapsed="false">
      <c r="V9428" s="23" t="str">
        <f aca="false">IF(ISNUMBER(C9428),YEAR(C9428),"")</f>
        <v/>
      </c>
      <c r="W9428" s="23" t="str">
        <f aca="false">IF(ISNUMBER(C9428),MONTH(C9428),"")</f>
        <v/>
      </c>
      <c r="X9428" s="23" t="str">
        <f aca="false">IF(T9428="","",IF(T9428=0,"No discount",IF(T9428&lt;=0.2,"Low (1-20%)",IF(T9428&lt;=0.4,"Medium (21-40%)","High (&gt;40%)"))))</f>
        <v/>
      </c>
      <c r="Y9428" s="23" t="str">
        <f aca="false">IF(AND(ISNUMBER(C9428),ISNUMBER(D9428)),D9428-C9428,"")</f>
        <v/>
      </c>
      <c r="Z9428" s="23" t="str">
        <f aca="false">IF(B9428="","",IF(MATCH(B9428,$B$2:$B$12000,0)=ROW()-1,1,0))</f>
        <v/>
      </c>
    </row>
    <row r="9429" customFormat="false" ht="15" hidden="false" customHeight="false" outlineLevel="0" collapsed="false">
      <c r="V9429" s="23" t="str">
        <f aca="false">IF(ISNUMBER(C9429),YEAR(C9429),"")</f>
        <v/>
      </c>
      <c r="W9429" s="23" t="str">
        <f aca="false">IF(ISNUMBER(C9429),MONTH(C9429),"")</f>
        <v/>
      </c>
      <c r="X9429" s="23" t="str">
        <f aca="false">IF(T9429="","",IF(T9429=0,"No discount",IF(T9429&lt;=0.2,"Low (1-20%)",IF(T9429&lt;=0.4,"Medium (21-40%)","High (&gt;40%)"))))</f>
        <v/>
      </c>
      <c r="Y9429" s="23" t="str">
        <f aca="false">IF(AND(ISNUMBER(C9429),ISNUMBER(D9429)),D9429-C9429,"")</f>
        <v/>
      </c>
      <c r="Z9429" s="23" t="str">
        <f aca="false">IF(B9429="","",IF(MATCH(B9429,$B$2:$B$12000,0)=ROW()-1,1,0))</f>
        <v/>
      </c>
    </row>
    <row r="9430" customFormat="false" ht="15" hidden="false" customHeight="false" outlineLevel="0" collapsed="false">
      <c r="V9430" s="23" t="str">
        <f aca="false">IF(ISNUMBER(C9430),YEAR(C9430),"")</f>
        <v/>
      </c>
      <c r="W9430" s="23" t="str">
        <f aca="false">IF(ISNUMBER(C9430),MONTH(C9430),"")</f>
        <v/>
      </c>
      <c r="X9430" s="23" t="str">
        <f aca="false">IF(T9430="","",IF(T9430=0,"No discount",IF(T9430&lt;=0.2,"Low (1-20%)",IF(T9430&lt;=0.4,"Medium (21-40%)","High (&gt;40%)"))))</f>
        <v/>
      </c>
      <c r="Y9430" s="23" t="str">
        <f aca="false">IF(AND(ISNUMBER(C9430),ISNUMBER(D9430)),D9430-C9430,"")</f>
        <v/>
      </c>
      <c r="Z9430" s="23" t="str">
        <f aca="false">IF(B9430="","",IF(MATCH(B9430,$B$2:$B$12000,0)=ROW()-1,1,0))</f>
        <v/>
      </c>
    </row>
    <row r="9431" customFormat="false" ht="15" hidden="false" customHeight="false" outlineLevel="0" collapsed="false">
      <c r="V9431" s="23" t="str">
        <f aca="false">IF(ISNUMBER(C9431),YEAR(C9431),"")</f>
        <v/>
      </c>
      <c r="W9431" s="23" t="str">
        <f aca="false">IF(ISNUMBER(C9431),MONTH(C9431),"")</f>
        <v/>
      </c>
      <c r="X9431" s="23" t="str">
        <f aca="false">IF(T9431="","",IF(T9431=0,"No discount",IF(T9431&lt;=0.2,"Low (1-20%)",IF(T9431&lt;=0.4,"Medium (21-40%)","High (&gt;40%)"))))</f>
        <v/>
      </c>
      <c r="Y9431" s="23" t="str">
        <f aca="false">IF(AND(ISNUMBER(C9431),ISNUMBER(D9431)),D9431-C9431,"")</f>
        <v/>
      </c>
      <c r="Z9431" s="23" t="str">
        <f aca="false">IF(B9431="","",IF(MATCH(B9431,$B$2:$B$12000,0)=ROW()-1,1,0))</f>
        <v/>
      </c>
    </row>
    <row r="9432" customFormat="false" ht="15" hidden="false" customHeight="false" outlineLevel="0" collapsed="false">
      <c r="V9432" s="23" t="str">
        <f aca="false">IF(ISNUMBER(C9432),YEAR(C9432),"")</f>
        <v/>
      </c>
      <c r="W9432" s="23" t="str">
        <f aca="false">IF(ISNUMBER(C9432),MONTH(C9432),"")</f>
        <v/>
      </c>
      <c r="X9432" s="23" t="str">
        <f aca="false">IF(T9432="","",IF(T9432=0,"No discount",IF(T9432&lt;=0.2,"Low (1-20%)",IF(T9432&lt;=0.4,"Medium (21-40%)","High (&gt;40%)"))))</f>
        <v/>
      </c>
      <c r="Y9432" s="23" t="str">
        <f aca="false">IF(AND(ISNUMBER(C9432),ISNUMBER(D9432)),D9432-C9432,"")</f>
        <v/>
      </c>
      <c r="Z9432" s="23" t="str">
        <f aca="false">IF(B9432="","",IF(MATCH(B9432,$B$2:$B$12000,0)=ROW()-1,1,0))</f>
        <v/>
      </c>
    </row>
    <row r="9433" customFormat="false" ht="15" hidden="false" customHeight="false" outlineLevel="0" collapsed="false">
      <c r="V9433" s="23" t="str">
        <f aca="false">IF(ISNUMBER(C9433),YEAR(C9433),"")</f>
        <v/>
      </c>
      <c r="W9433" s="23" t="str">
        <f aca="false">IF(ISNUMBER(C9433),MONTH(C9433),"")</f>
        <v/>
      </c>
      <c r="X9433" s="23" t="str">
        <f aca="false">IF(T9433="","",IF(T9433=0,"No discount",IF(T9433&lt;=0.2,"Low (1-20%)",IF(T9433&lt;=0.4,"Medium (21-40%)","High (&gt;40%)"))))</f>
        <v/>
      </c>
      <c r="Y9433" s="23" t="str">
        <f aca="false">IF(AND(ISNUMBER(C9433),ISNUMBER(D9433)),D9433-C9433,"")</f>
        <v/>
      </c>
      <c r="Z9433" s="23" t="str">
        <f aca="false">IF(B9433="","",IF(MATCH(B9433,$B$2:$B$12000,0)=ROW()-1,1,0))</f>
        <v/>
      </c>
    </row>
    <row r="9434" customFormat="false" ht="15" hidden="false" customHeight="false" outlineLevel="0" collapsed="false">
      <c r="V9434" s="23" t="str">
        <f aca="false">IF(ISNUMBER(C9434),YEAR(C9434),"")</f>
        <v/>
      </c>
      <c r="W9434" s="23" t="str">
        <f aca="false">IF(ISNUMBER(C9434),MONTH(C9434),"")</f>
        <v/>
      </c>
      <c r="X9434" s="23" t="str">
        <f aca="false">IF(T9434="","",IF(T9434=0,"No discount",IF(T9434&lt;=0.2,"Low (1-20%)",IF(T9434&lt;=0.4,"Medium (21-40%)","High (&gt;40%)"))))</f>
        <v/>
      </c>
      <c r="Y9434" s="23" t="str">
        <f aca="false">IF(AND(ISNUMBER(C9434),ISNUMBER(D9434)),D9434-C9434,"")</f>
        <v/>
      </c>
      <c r="Z9434" s="23" t="str">
        <f aca="false">IF(B9434="","",IF(MATCH(B9434,$B$2:$B$12000,0)=ROW()-1,1,0))</f>
        <v/>
      </c>
    </row>
    <row r="9435" customFormat="false" ht="15" hidden="false" customHeight="false" outlineLevel="0" collapsed="false">
      <c r="V9435" s="23" t="str">
        <f aca="false">IF(ISNUMBER(C9435),YEAR(C9435),"")</f>
        <v/>
      </c>
      <c r="W9435" s="23" t="str">
        <f aca="false">IF(ISNUMBER(C9435),MONTH(C9435),"")</f>
        <v/>
      </c>
      <c r="X9435" s="23" t="str">
        <f aca="false">IF(T9435="","",IF(T9435=0,"No discount",IF(T9435&lt;=0.2,"Low (1-20%)",IF(T9435&lt;=0.4,"Medium (21-40%)","High (&gt;40%)"))))</f>
        <v/>
      </c>
      <c r="Y9435" s="23" t="str">
        <f aca="false">IF(AND(ISNUMBER(C9435),ISNUMBER(D9435)),D9435-C9435,"")</f>
        <v/>
      </c>
      <c r="Z9435" s="23" t="str">
        <f aca="false">IF(B9435="","",IF(MATCH(B9435,$B$2:$B$12000,0)=ROW()-1,1,0))</f>
        <v/>
      </c>
    </row>
    <row r="9436" customFormat="false" ht="15" hidden="false" customHeight="false" outlineLevel="0" collapsed="false">
      <c r="V9436" s="23" t="str">
        <f aca="false">IF(ISNUMBER(C9436),YEAR(C9436),"")</f>
        <v/>
      </c>
      <c r="W9436" s="23" t="str">
        <f aca="false">IF(ISNUMBER(C9436),MONTH(C9436),"")</f>
        <v/>
      </c>
      <c r="X9436" s="23" t="str">
        <f aca="false">IF(T9436="","",IF(T9436=0,"No discount",IF(T9436&lt;=0.2,"Low (1-20%)",IF(T9436&lt;=0.4,"Medium (21-40%)","High (&gt;40%)"))))</f>
        <v/>
      </c>
      <c r="Y9436" s="23" t="str">
        <f aca="false">IF(AND(ISNUMBER(C9436),ISNUMBER(D9436)),D9436-C9436,"")</f>
        <v/>
      </c>
      <c r="Z9436" s="23" t="str">
        <f aca="false">IF(B9436="","",IF(MATCH(B9436,$B$2:$B$12000,0)=ROW()-1,1,0))</f>
        <v/>
      </c>
    </row>
    <row r="9437" customFormat="false" ht="15" hidden="false" customHeight="false" outlineLevel="0" collapsed="false">
      <c r="V9437" s="23" t="str">
        <f aca="false">IF(ISNUMBER(C9437),YEAR(C9437),"")</f>
        <v/>
      </c>
      <c r="W9437" s="23" t="str">
        <f aca="false">IF(ISNUMBER(C9437),MONTH(C9437),"")</f>
        <v/>
      </c>
      <c r="X9437" s="23" t="str">
        <f aca="false">IF(T9437="","",IF(T9437=0,"No discount",IF(T9437&lt;=0.2,"Low (1-20%)",IF(T9437&lt;=0.4,"Medium (21-40%)","High (&gt;40%)"))))</f>
        <v/>
      </c>
      <c r="Y9437" s="23" t="str">
        <f aca="false">IF(AND(ISNUMBER(C9437),ISNUMBER(D9437)),D9437-C9437,"")</f>
        <v/>
      </c>
      <c r="Z9437" s="23" t="str">
        <f aca="false">IF(B9437="","",IF(MATCH(B9437,$B$2:$B$12000,0)=ROW()-1,1,0))</f>
        <v/>
      </c>
    </row>
    <row r="9438" customFormat="false" ht="15" hidden="false" customHeight="false" outlineLevel="0" collapsed="false">
      <c r="V9438" s="23" t="str">
        <f aca="false">IF(ISNUMBER(C9438),YEAR(C9438),"")</f>
        <v/>
      </c>
      <c r="W9438" s="23" t="str">
        <f aca="false">IF(ISNUMBER(C9438),MONTH(C9438),"")</f>
        <v/>
      </c>
      <c r="X9438" s="23" t="str">
        <f aca="false">IF(T9438="","",IF(T9438=0,"No discount",IF(T9438&lt;=0.2,"Low (1-20%)",IF(T9438&lt;=0.4,"Medium (21-40%)","High (&gt;40%)"))))</f>
        <v/>
      </c>
      <c r="Y9438" s="23" t="str">
        <f aca="false">IF(AND(ISNUMBER(C9438),ISNUMBER(D9438)),D9438-C9438,"")</f>
        <v/>
      </c>
      <c r="Z9438" s="23" t="str">
        <f aca="false">IF(B9438="","",IF(MATCH(B9438,$B$2:$B$12000,0)=ROW()-1,1,0))</f>
        <v/>
      </c>
    </row>
    <row r="9439" customFormat="false" ht="15" hidden="false" customHeight="false" outlineLevel="0" collapsed="false">
      <c r="V9439" s="23" t="str">
        <f aca="false">IF(ISNUMBER(C9439),YEAR(C9439),"")</f>
        <v/>
      </c>
      <c r="W9439" s="23" t="str">
        <f aca="false">IF(ISNUMBER(C9439),MONTH(C9439),"")</f>
        <v/>
      </c>
      <c r="X9439" s="23" t="str">
        <f aca="false">IF(T9439="","",IF(T9439=0,"No discount",IF(T9439&lt;=0.2,"Low (1-20%)",IF(T9439&lt;=0.4,"Medium (21-40%)","High (&gt;40%)"))))</f>
        <v/>
      </c>
      <c r="Y9439" s="23" t="str">
        <f aca="false">IF(AND(ISNUMBER(C9439),ISNUMBER(D9439)),D9439-C9439,"")</f>
        <v/>
      </c>
      <c r="Z9439" s="23" t="str">
        <f aca="false">IF(B9439="","",IF(MATCH(B9439,$B$2:$B$12000,0)=ROW()-1,1,0))</f>
        <v/>
      </c>
    </row>
    <row r="9440" customFormat="false" ht="15" hidden="false" customHeight="false" outlineLevel="0" collapsed="false">
      <c r="V9440" s="23" t="str">
        <f aca="false">IF(ISNUMBER(C9440),YEAR(C9440),"")</f>
        <v/>
      </c>
      <c r="W9440" s="23" t="str">
        <f aca="false">IF(ISNUMBER(C9440),MONTH(C9440),"")</f>
        <v/>
      </c>
      <c r="X9440" s="23" t="str">
        <f aca="false">IF(T9440="","",IF(T9440=0,"No discount",IF(T9440&lt;=0.2,"Low (1-20%)",IF(T9440&lt;=0.4,"Medium (21-40%)","High (&gt;40%)"))))</f>
        <v/>
      </c>
      <c r="Y9440" s="23" t="str">
        <f aca="false">IF(AND(ISNUMBER(C9440),ISNUMBER(D9440)),D9440-C9440,"")</f>
        <v/>
      </c>
      <c r="Z9440" s="23" t="str">
        <f aca="false">IF(B9440="","",IF(MATCH(B9440,$B$2:$B$12000,0)=ROW()-1,1,0))</f>
        <v/>
      </c>
    </row>
    <row r="9441" customFormat="false" ht="15" hidden="false" customHeight="false" outlineLevel="0" collapsed="false">
      <c r="V9441" s="23" t="str">
        <f aca="false">IF(ISNUMBER(C9441),YEAR(C9441),"")</f>
        <v/>
      </c>
      <c r="W9441" s="23" t="str">
        <f aca="false">IF(ISNUMBER(C9441),MONTH(C9441),"")</f>
        <v/>
      </c>
      <c r="X9441" s="23" t="str">
        <f aca="false">IF(T9441="","",IF(T9441=0,"No discount",IF(T9441&lt;=0.2,"Low (1-20%)",IF(T9441&lt;=0.4,"Medium (21-40%)","High (&gt;40%)"))))</f>
        <v/>
      </c>
      <c r="Y9441" s="23" t="str">
        <f aca="false">IF(AND(ISNUMBER(C9441),ISNUMBER(D9441)),D9441-C9441,"")</f>
        <v/>
      </c>
      <c r="Z9441" s="23" t="str">
        <f aca="false">IF(B9441="","",IF(MATCH(B9441,$B$2:$B$12000,0)=ROW()-1,1,0))</f>
        <v/>
      </c>
    </row>
    <row r="9442" customFormat="false" ht="15" hidden="false" customHeight="false" outlineLevel="0" collapsed="false">
      <c r="V9442" s="23" t="str">
        <f aca="false">IF(ISNUMBER(C9442),YEAR(C9442),"")</f>
        <v/>
      </c>
      <c r="W9442" s="23" t="str">
        <f aca="false">IF(ISNUMBER(C9442),MONTH(C9442),"")</f>
        <v/>
      </c>
      <c r="X9442" s="23" t="str">
        <f aca="false">IF(T9442="","",IF(T9442=0,"No discount",IF(T9442&lt;=0.2,"Low (1-20%)",IF(T9442&lt;=0.4,"Medium (21-40%)","High (&gt;40%)"))))</f>
        <v/>
      </c>
      <c r="Y9442" s="23" t="str">
        <f aca="false">IF(AND(ISNUMBER(C9442),ISNUMBER(D9442)),D9442-C9442,"")</f>
        <v/>
      </c>
      <c r="Z9442" s="23" t="str">
        <f aca="false">IF(B9442="","",IF(MATCH(B9442,$B$2:$B$12000,0)=ROW()-1,1,0))</f>
        <v/>
      </c>
    </row>
    <row r="9443" customFormat="false" ht="15" hidden="false" customHeight="false" outlineLevel="0" collapsed="false">
      <c r="V9443" s="23" t="str">
        <f aca="false">IF(ISNUMBER(C9443),YEAR(C9443),"")</f>
        <v/>
      </c>
      <c r="W9443" s="23" t="str">
        <f aca="false">IF(ISNUMBER(C9443),MONTH(C9443),"")</f>
        <v/>
      </c>
      <c r="X9443" s="23" t="str">
        <f aca="false">IF(T9443="","",IF(T9443=0,"No discount",IF(T9443&lt;=0.2,"Low (1-20%)",IF(T9443&lt;=0.4,"Medium (21-40%)","High (&gt;40%)"))))</f>
        <v/>
      </c>
      <c r="Y9443" s="23" t="str">
        <f aca="false">IF(AND(ISNUMBER(C9443),ISNUMBER(D9443)),D9443-C9443,"")</f>
        <v/>
      </c>
      <c r="Z9443" s="23" t="str">
        <f aca="false">IF(B9443="","",IF(MATCH(B9443,$B$2:$B$12000,0)=ROW()-1,1,0))</f>
        <v/>
      </c>
    </row>
    <row r="9444" customFormat="false" ht="15" hidden="false" customHeight="false" outlineLevel="0" collapsed="false">
      <c r="V9444" s="23" t="str">
        <f aca="false">IF(ISNUMBER(C9444),YEAR(C9444),"")</f>
        <v/>
      </c>
      <c r="W9444" s="23" t="str">
        <f aca="false">IF(ISNUMBER(C9444),MONTH(C9444),"")</f>
        <v/>
      </c>
      <c r="X9444" s="23" t="str">
        <f aca="false">IF(T9444="","",IF(T9444=0,"No discount",IF(T9444&lt;=0.2,"Low (1-20%)",IF(T9444&lt;=0.4,"Medium (21-40%)","High (&gt;40%)"))))</f>
        <v/>
      </c>
      <c r="Y9444" s="23" t="str">
        <f aca="false">IF(AND(ISNUMBER(C9444),ISNUMBER(D9444)),D9444-C9444,"")</f>
        <v/>
      </c>
      <c r="Z9444" s="23" t="str">
        <f aca="false">IF(B9444="","",IF(MATCH(B9444,$B$2:$B$12000,0)=ROW()-1,1,0))</f>
        <v/>
      </c>
    </row>
    <row r="9445" customFormat="false" ht="15" hidden="false" customHeight="false" outlineLevel="0" collapsed="false">
      <c r="V9445" s="23" t="str">
        <f aca="false">IF(ISNUMBER(C9445),YEAR(C9445),"")</f>
        <v/>
      </c>
      <c r="W9445" s="23" t="str">
        <f aca="false">IF(ISNUMBER(C9445),MONTH(C9445),"")</f>
        <v/>
      </c>
      <c r="X9445" s="23" t="str">
        <f aca="false">IF(T9445="","",IF(T9445=0,"No discount",IF(T9445&lt;=0.2,"Low (1-20%)",IF(T9445&lt;=0.4,"Medium (21-40%)","High (&gt;40%)"))))</f>
        <v/>
      </c>
      <c r="Y9445" s="23" t="str">
        <f aca="false">IF(AND(ISNUMBER(C9445),ISNUMBER(D9445)),D9445-C9445,"")</f>
        <v/>
      </c>
      <c r="Z9445" s="23" t="str">
        <f aca="false">IF(B9445="","",IF(MATCH(B9445,$B$2:$B$12000,0)=ROW()-1,1,0))</f>
        <v/>
      </c>
    </row>
    <row r="9446" customFormat="false" ht="15" hidden="false" customHeight="false" outlineLevel="0" collapsed="false">
      <c r="V9446" s="23" t="str">
        <f aca="false">IF(ISNUMBER(C9446),YEAR(C9446),"")</f>
        <v/>
      </c>
      <c r="W9446" s="23" t="str">
        <f aca="false">IF(ISNUMBER(C9446),MONTH(C9446),"")</f>
        <v/>
      </c>
      <c r="X9446" s="23" t="str">
        <f aca="false">IF(T9446="","",IF(T9446=0,"No discount",IF(T9446&lt;=0.2,"Low (1-20%)",IF(T9446&lt;=0.4,"Medium (21-40%)","High (&gt;40%)"))))</f>
        <v/>
      </c>
      <c r="Y9446" s="23" t="str">
        <f aca="false">IF(AND(ISNUMBER(C9446),ISNUMBER(D9446)),D9446-C9446,"")</f>
        <v/>
      </c>
      <c r="Z9446" s="23" t="str">
        <f aca="false">IF(B9446="","",IF(MATCH(B9446,$B$2:$B$12000,0)=ROW()-1,1,0))</f>
        <v/>
      </c>
    </row>
    <row r="9447" customFormat="false" ht="15" hidden="false" customHeight="false" outlineLevel="0" collapsed="false">
      <c r="V9447" s="23" t="str">
        <f aca="false">IF(ISNUMBER(C9447),YEAR(C9447),"")</f>
        <v/>
      </c>
      <c r="W9447" s="23" t="str">
        <f aca="false">IF(ISNUMBER(C9447),MONTH(C9447),"")</f>
        <v/>
      </c>
      <c r="X9447" s="23" t="str">
        <f aca="false">IF(T9447="","",IF(T9447=0,"No discount",IF(T9447&lt;=0.2,"Low (1-20%)",IF(T9447&lt;=0.4,"Medium (21-40%)","High (&gt;40%)"))))</f>
        <v/>
      </c>
      <c r="Y9447" s="23" t="str">
        <f aca="false">IF(AND(ISNUMBER(C9447),ISNUMBER(D9447)),D9447-C9447,"")</f>
        <v/>
      </c>
      <c r="Z9447" s="23" t="str">
        <f aca="false">IF(B9447="","",IF(MATCH(B9447,$B$2:$B$12000,0)=ROW()-1,1,0))</f>
        <v/>
      </c>
    </row>
    <row r="9448" customFormat="false" ht="15" hidden="false" customHeight="false" outlineLevel="0" collapsed="false">
      <c r="V9448" s="23" t="str">
        <f aca="false">IF(ISNUMBER(C9448),YEAR(C9448),"")</f>
        <v/>
      </c>
      <c r="W9448" s="23" t="str">
        <f aca="false">IF(ISNUMBER(C9448),MONTH(C9448),"")</f>
        <v/>
      </c>
      <c r="X9448" s="23" t="str">
        <f aca="false">IF(T9448="","",IF(T9448=0,"No discount",IF(T9448&lt;=0.2,"Low (1-20%)",IF(T9448&lt;=0.4,"Medium (21-40%)","High (&gt;40%)"))))</f>
        <v/>
      </c>
      <c r="Y9448" s="23" t="str">
        <f aca="false">IF(AND(ISNUMBER(C9448),ISNUMBER(D9448)),D9448-C9448,"")</f>
        <v/>
      </c>
      <c r="Z9448" s="23" t="str">
        <f aca="false">IF(B9448="","",IF(MATCH(B9448,$B$2:$B$12000,0)=ROW()-1,1,0))</f>
        <v/>
      </c>
    </row>
    <row r="9449" customFormat="false" ht="15" hidden="false" customHeight="false" outlineLevel="0" collapsed="false">
      <c r="V9449" s="23" t="str">
        <f aca="false">IF(ISNUMBER(C9449),YEAR(C9449),"")</f>
        <v/>
      </c>
      <c r="W9449" s="23" t="str">
        <f aca="false">IF(ISNUMBER(C9449),MONTH(C9449),"")</f>
        <v/>
      </c>
      <c r="X9449" s="23" t="str">
        <f aca="false">IF(T9449="","",IF(T9449=0,"No discount",IF(T9449&lt;=0.2,"Low (1-20%)",IF(T9449&lt;=0.4,"Medium (21-40%)","High (&gt;40%)"))))</f>
        <v/>
      </c>
      <c r="Y9449" s="23" t="str">
        <f aca="false">IF(AND(ISNUMBER(C9449),ISNUMBER(D9449)),D9449-C9449,"")</f>
        <v/>
      </c>
      <c r="Z9449" s="23" t="str">
        <f aca="false">IF(B9449="","",IF(MATCH(B9449,$B$2:$B$12000,0)=ROW()-1,1,0))</f>
        <v/>
      </c>
    </row>
    <row r="9450" customFormat="false" ht="15" hidden="false" customHeight="false" outlineLevel="0" collapsed="false">
      <c r="V9450" s="23" t="str">
        <f aca="false">IF(ISNUMBER(C9450),YEAR(C9450),"")</f>
        <v/>
      </c>
      <c r="W9450" s="23" t="str">
        <f aca="false">IF(ISNUMBER(C9450),MONTH(C9450),"")</f>
        <v/>
      </c>
      <c r="X9450" s="23" t="str">
        <f aca="false">IF(T9450="","",IF(T9450=0,"No discount",IF(T9450&lt;=0.2,"Low (1-20%)",IF(T9450&lt;=0.4,"Medium (21-40%)","High (&gt;40%)"))))</f>
        <v/>
      </c>
      <c r="Y9450" s="23" t="str">
        <f aca="false">IF(AND(ISNUMBER(C9450),ISNUMBER(D9450)),D9450-C9450,"")</f>
        <v/>
      </c>
      <c r="Z9450" s="23" t="str">
        <f aca="false">IF(B9450="","",IF(MATCH(B9450,$B$2:$B$12000,0)=ROW()-1,1,0))</f>
        <v/>
      </c>
    </row>
    <row r="9451" customFormat="false" ht="15" hidden="false" customHeight="false" outlineLevel="0" collapsed="false">
      <c r="V9451" s="23" t="str">
        <f aca="false">IF(ISNUMBER(C9451),YEAR(C9451),"")</f>
        <v/>
      </c>
      <c r="W9451" s="23" t="str">
        <f aca="false">IF(ISNUMBER(C9451),MONTH(C9451),"")</f>
        <v/>
      </c>
      <c r="X9451" s="23" t="str">
        <f aca="false">IF(T9451="","",IF(T9451=0,"No discount",IF(T9451&lt;=0.2,"Low (1-20%)",IF(T9451&lt;=0.4,"Medium (21-40%)","High (&gt;40%)"))))</f>
        <v/>
      </c>
      <c r="Y9451" s="23" t="str">
        <f aca="false">IF(AND(ISNUMBER(C9451),ISNUMBER(D9451)),D9451-C9451,"")</f>
        <v/>
      </c>
      <c r="Z9451" s="23" t="str">
        <f aca="false">IF(B9451="","",IF(MATCH(B9451,$B$2:$B$12000,0)=ROW()-1,1,0))</f>
        <v/>
      </c>
    </row>
    <row r="9452" customFormat="false" ht="15" hidden="false" customHeight="false" outlineLevel="0" collapsed="false">
      <c r="V9452" s="23" t="str">
        <f aca="false">IF(ISNUMBER(C9452),YEAR(C9452),"")</f>
        <v/>
      </c>
      <c r="W9452" s="23" t="str">
        <f aca="false">IF(ISNUMBER(C9452),MONTH(C9452),"")</f>
        <v/>
      </c>
      <c r="X9452" s="23" t="str">
        <f aca="false">IF(T9452="","",IF(T9452=0,"No discount",IF(T9452&lt;=0.2,"Low (1-20%)",IF(T9452&lt;=0.4,"Medium (21-40%)","High (&gt;40%)"))))</f>
        <v/>
      </c>
      <c r="Y9452" s="23" t="str">
        <f aca="false">IF(AND(ISNUMBER(C9452),ISNUMBER(D9452)),D9452-C9452,"")</f>
        <v/>
      </c>
      <c r="Z9452" s="23" t="str">
        <f aca="false">IF(B9452="","",IF(MATCH(B9452,$B$2:$B$12000,0)=ROW()-1,1,0))</f>
        <v/>
      </c>
    </row>
    <row r="9453" customFormat="false" ht="15" hidden="false" customHeight="false" outlineLevel="0" collapsed="false">
      <c r="V9453" s="23" t="str">
        <f aca="false">IF(ISNUMBER(C9453),YEAR(C9453),"")</f>
        <v/>
      </c>
      <c r="W9453" s="23" t="str">
        <f aca="false">IF(ISNUMBER(C9453),MONTH(C9453),"")</f>
        <v/>
      </c>
      <c r="X9453" s="23" t="str">
        <f aca="false">IF(T9453="","",IF(T9453=0,"No discount",IF(T9453&lt;=0.2,"Low (1-20%)",IF(T9453&lt;=0.4,"Medium (21-40%)","High (&gt;40%)"))))</f>
        <v/>
      </c>
      <c r="Y9453" s="23" t="str">
        <f aca="false">IF(AND(ISNUMBER(C9453),ISNUMBER(D9453)),D9453-C9453,"")</f>
        <v/>
      </c>
      <c r="Z9453" s="23" t="str">
        <f aca="false">IF(B9453="","",IF(MATCH(B9453,$B$2:$B$12000,0)=ROW()-1,1,0))</f>
        <v/>
      </c>
    </row>
    <row r="9454" customFormat="false" ht="15" hidden="false" customHeight="false" outlineLevel="0" collapsed="false">
      <c r="V9454" s="23" t="str">
        <f aca="false">IF(ISNUMBER(C9454),YEAR(C9454),"")</f>
        <v/>
      </c>
      <c r="W9454" s="23" t="str">
        <f aca="false">IF(ISNUMBER(C9454),MONTH(C9454),"")</f>
        <v/>
      </c>
      <c r="X9454" s="23" t="str">
        <f aca="false">IF(T9454="","",IF(T9454=0,"No discount",IF(T9454&lt;=0.2,"Low (1-20%)",IF(T9454&lt;=0.4,"Medium (21-40%)","High (&gt;40%)"))))</f>
        <v/>
      </c>
      <c r="Y9454" s="23" t="str">
        <f aca="false">IF(AND(ISNUMBER(C9454),ISNUMBER(D9454)),D9454-C9454,"")</f>
        <v/>
      </c>
      <c r="Z9454" s="23" t="str">
        <f aca="false">IF(B9454="","",IF(MATCH(B9454,$B$2:$B$12000,0)=ROW()-1,1,0))</f>
        <v/>
      </c>
    </row>
    <row r="9455" customFormat="false" ht="15" hidden="false" customHeight="false" outlineLevel="0" collapsed="false">
      <c r="V9455" s="23" t="str">
        <f aca="false">IF(ISNUMBER(C9455),YEAR(C9455),"")</f>
        <v/>
      </c>
      <c r="W9455" s="23" t="str">
        <f aca="false">IF(ISNUMBER(C9455),MONTH(C9455),"")</f>
        <v/>
      </c>
      <c r="X9455" s="23" t="str">
        <f aca="false">IF(T9455="","",IF(T9455=0,"No discount",IF(T9455&lt;=0.2,"Low (1-20%)",IF(T9455&lt;=0.4,"Medium (21-40%)","High (&gt;40%)"))))</f>
        <v/>
      </c>
      <c r="Y9455" s="23" t="str">
        <f aca="false">IF(AND(ISNUMBER(C9455),ISNUMBER(D9455)),D9455-C9455,"")</f>
        <v/>
      </c>
      <c r="Z9455" s="23" t="str">
        <f aca="false">IF(B9455="","",IF(MATCH(B9455,$B$2:$B$12000,0)=ROW()-1,1,0))</f>
        <v/>
      </c>
    </row>
    <row r="9456" customFormat="false" ht="15" hidden="false" customHeight="false" outlineLevel="0" collapsed="false">
      <c r="V9456" s="23" t="str">
        <f aca="false">IF(ISNUMBER(C9456),YEAR(C9456),"")</f>
        <v/>
      </c>
      <c r="W9456" s="23" t="str">
        <f aca="false">IF(ISNUMBER(C9456),MONTH(C9456),"")</f>
        <v/>
      </c>
      <c r="X9456" s="23" t="str">
        <f aca="false">IF(T9456="","",IF(T9456=0,"No discount",IF(T9456&lt;=0.2,"Low (1-20%)",IF(T9456&lt;=0.4,"Medium (21-40%)","High (&gt;40%)"))))</f>
        <v/>
      </c>
      <c r="Y9456" s="23" t="str">
        <f aca="false">IF(AND(ISNUMBER(C9456),ISNUMBER(D9456)),D9456-C9456,"")</f>
        <v/>
      </c>
      <c r="Z9456" s="23" t="str">
        <f aca="false">IF(B9456="","",IF(MATCH(B9456,$B$2:$B$12000,0)=ROW()-1,1,0))</f>
        <v/>
      </c>
    </row>
    <row r="9457" customFormat="false" ht="15" hidden="false" customHeight="false" outlineLevel="0" collapsed="false">
      <c r="V9457" s="23" t="str">
        <f aca="false">IF(ISNUMBER(C9457),YEAR(C9457),"")</f>
        <v/>
      </c>
      <c r="W9457" s="23" t="str">
        <f aca="false">IF(ISNUMBER(C9457),MONTH(C9457),"")</f>
        <v/>
      </c>
      <c r="X9457" s="23" t="str">
        <f aca="false">IF(T9457="","",IF(T9457=0,"No discount",IF(T9457&lt;=0.2,"Low (1-20%)",IF(T9457&lt;=0.4,"Medium (21-40%)","High (&gt;40%)"))))</f>
        <v/>
      </c>
      <c r="Y9457" s="23" t="str">
        <f aca="false">IF(AND(ISNUMBER(C9457),ISNUMBER(D9457)),D9457-C9457,"")</f>
        <v/>
      </c>
      <c r="Z9457" s="23" t="str">
        <f aca="false">IF(B9457="","",IF(MATCH(B9457,$B$2:$B$12000,0)=ROW()-1,1,0))</f>
        <v/>
      </c>
    </row>
    <row r="9458" customFormat="false" ht="15" hidden="false" customHeight="false" outlineLevel="0" collapsed="false">
      <c r="V9458" s="23" t="str">
        <f aca="false">IF(ISNUMBER(C9458),YEAR(C9458),"")</f>
        <v/>
      </c>
      <c r="W9458" s="23" t="str">
        <f aca="false">IF(ISNUMBER(C9458),MONTH(C9458),"")</f>
        <v/>
      </c>
      <c r="X9458" s="23" t="str">
        <f aca="false">IF(T9458="","",IF(T9458=0,"No discount",IF(T9458&lt;=0.2,"Low (1-20%)",IF(T9458&lt;=0.4,"Medium (21-40%)","High (&gt;40%)"))))</f>
        <v/>
      </c>
      <c r="Y9458" s="23" t="str">
        <f aca="false">IF(AND(ISNUMBER(C9458),ISNUMBER(D9458)),D9458-C9458,"")</f>
        <v/>
      </c>
      <c r="Z9458" s="23" t="str">
        <f aca="false">IF(B9458="","",IF(MATCH(B9458,$B$2:$B$12000,0)=ROW()-1,1,0))</f>
        <v/>
      </c>
    </row>
    <row r="9459" customFormat="false" ht="15" hidden="false" customHeight="false" outlineLevel="0" collapsed="false">
      <c r="V9459" s="23" t="str">
        <f aca="false">IF(ISNUMBER(C9459),YEAR(C9459),"")</f>
        <v/>
      </c>
      <c r="W9459" s="23" t="str">
        <f aca="false">IF(ISNUMBER(C9459),MONTH(C9459),"")</f>
        <v/>
      </c>
      <c r="X9459" s="23" t="str">
        <f aca="false">IF(T9459="","",IF(T9459=0,"No discount",IF(T9459&lt;=0.2,"Low (1-20%)",IF(T9459&lt;=0.4,"Medium (21-40%)","High (&gt;40%)"))))</f>
        <v/>
      </c>
      <c r="Y9459" s="23" t="str">
        <f aca="false">IF(AND(ISNUMBER(C9459),ISNUMBER(D9459)),D9459-C9459,"")</f>
        <v/>
      </c>
      <c r="Z9459" s="23" t="str">
        <f aca="false">IF(B9459="","",IF(MATCH(B9459,$B$2:$B$12000,0)=ROW()-1,1,0))</f>
        <v/>
      </c>
    </row>
    <row r="9460" customFormat="false" ht="15" hidden="false" customHeight="false" outlineLevel="0" collapsed="false">
      <c r="V9460" s="23" t="str">
        <f aca="false">IF(ISNUMBER(C9460),YEAR(C9460),"")</f>
        <v/>
      </c>
      <c r="W9460" s="23" t="str">
        <f aca="false">IF(ISNUMBER(C9460),MONTH(C9460),"")</f>
        <v/>
      </c>
      <c r="X9460" s="23" t="str">
        <f aca="false">IF(T9460="","",IF(T9460=0,"No discount",IF(T9460&lt;=0.2,"Low (1-20%)",IF(T9460&lt;=0.4,"Medium (21-40%)","High (&gt;40%)"))))</f>
        <v/>
      </c>
      <c r="Y9460" s="23" t="str">
        <f aca="false">IF(AND(ISNUMBER(C9460),ISNUMBER(D9460)),D9460-C9460,"")</f>
        <v/>
      </c>
      <c r="Z9460" s="23" t="str">
        <f aca="false">IF(B9460="","",IF(MATCH(B9460,$B$2:$B$12000,0)=ROW()-1,1,0))</f>
        <v/>
      </c>
    </row>
    <row r="9461" customFormat="false" ht="15" hidden="false" customHeight="false" outlineLevel="0" collapsed="false">
      <c r="V9461" s="23" t="str">
        <f aca="false">IF(ISNUMBER(C9461),YEAR(C9461),"")</f>
        <v/>
      </c>
      <c r="W9461" s="23" t="str">
        <f aca="false">IF(ISNUMBER(C9461),MONTH(C9461),"")</f>
        <v/>
      </c>
      <c r="X9461" s="23" t="str">
        <f aca="false">IF(T9461="","",IF(T9461=0,"No discount",IF(T9461&lt;=0.2,"Low (1-20%)",IF(T9461&lt;=0.4,"Medium (21-40%)","High (&gt;40%)"))))</f>
        <v/>
      </c>
      <c r="Y9461" s="23" t="str">
        <f aca="false">IF(AND(ISNUMBER(C9461),ISNUMBER(D9461)),D9461-C9461,"")</f>
        <v/>
      </c>
      <c r="Z9461" s="23" t="str">
        <f aca="false">IF(B9461="","",IF(MATCH(B9461,$B$2:$B$12000,0)=ROW()-1,1,0))</f>
        <v/>
      </c>
    </row>
    <row r="9462" customFormat="false" ht="15" hidden="false" customHeight="false" outlineLevel="0" collapsed="false">
      <c r="V9462" s="23" t="str">
        <f aca="false">IF(ISNUMBER(C9462),YEAR(C9462),"")</f>
        <v/>
      </c>
      <c r="W9462" s="23" t="str">
        <f aca="false">IF(ISNUMBER(C9462),MONTH(C9462),"")</f>
        <v/>
      </c>
      <c r="X9462" s="23" t="str">
        <f aca="false">IF(T9462="","",IF(T9462=0,"No discount",IF(T9462&lt;=0.2,"Low (1-20%)",IF(T9462&lt;=0.4,"Medium (21-40%)","High (&gt;40%)"))))</f>
        <v/>
      </c>
      <c r="Y9462" s="23" t="str">
        <f aca="false">IF(AND(ISNUMBER(C9462),ISNUMBER(D9462)),D9462-C9462,"")</f>
        <v/>
      </c>
      <c r="Z9462" s="23" t="str">
        <f aca="false">IF(B9462="","",IF(MATCH(B9462,$B$2:$B$12000,0)=ROW()-1,1,0))</f>
        <v/>
      </c>
    </row>
    <row r="9463" customFormat="false" ht="15" hidden="false" customHeight="false" outlineLevel="0" collapsed="false">
      <c r="V9463" s="23" t="str">
        <f aca="false">IF(ISNUMBER(C9463),YEAR(C9463),"")</f>
        <v/>
      </c>
      <c r="W9463" s="23" t="str">
        <f aca="false">IF(ISNUMBER(C9463),MONTH(C9463),"")</f>
        <v/>
      </c>
      <c r="X9463" s="23" t="str">
        <f aca="false">IF(T9463="","",IF(T9463=0,"No discount",IF(T9463&lt;=0.2,"Low (1-20%)",IF(T9463&lt;=0.4,"Medium (21-40%)","High (&gt;40%)"))))</f>
        <v/>
      </c>
      <c r="Y9463" s="23" t="str">
        <f aca="false">IF(AND(ISNUMBER(C9463),ISNUMBER(D9463)),D9463-C9463,"")</f>
        <v/>
      </c>
      <c r="Z9463" s="23" t="str">
        <f aca="false">IF(B9463="","",IF(MATCH(B9463,$B$2:$B$12000,0)=ROW()-1,1,0))</f>
        <v/>
      </c>
    </row>
    <row r="9464" customFormat="false" ht="15" hidden="false" customHeight="false" outlineLevel="0" collapsed="false">
      <c r="V9464" s="23" t="str">
        <f aca="false">IF(ISNUMBER(C9464),YEAR(C9464),"")</f>
        <v/>
      </c>
      <c r="W9464" s="23" t="str">
        <f aca="false">IF(ISNUMBER(C9464),MONTH(C9464),"")</f>
        <v/>
      </c>
      <c r="X9464" s="23" t="str">
        <f aca="false">IF(T9464="","",IF(T9464=0,"No discount",IF(T9464&lt;=0.2,"Low (1-20%)",IF(T9464&lt;=0.4,"Medium (21-40%)","High (&gt;40%)"))))</f>
        <v/>
      </c>
      <c r="Y9464" s="23" t="str">
        <f aca="false">IF(AND(ISNUMBER(C9464),ISNUMBER(D9464)),D9464-C9464,"")</f>
        <v/>
      </c>
      <c r="Z9464" s="23" t="str">
        <f aca="false">IF(B9464="","",IF(MATCH(B9464,$B$2:$B$12000,0)=ROW()-1,1,0))</f>
        <v/>
      </c>
    </row>
    <row r="9465" customFormat="false" ht="15" hidden="false" customHeight="false" outlineLevel="0" collapsed="false">
      <c r="V9465" s="23" t="str">
        <f aca="false">IF(ISNUMBER(C9465),YEAR(C9465),"")</f>
        <v/>
      </c>
      <c r="W9465" s="23" t="str">
        <f aca="false">IF(ISNUMBER(C9465),MONTH(C9465),"")</f>
        <v/>
      </c>
      <c r="X9465" s="23" t="str">
        <f aca="false">IF(T9465="","",IF(T9465=0,"No discount",IF(T9465&lt;=0.2,"Low (1-20%)",IF(T9465&lt;=0.4,"Medium (21-40%)","High (&gt;40%)"))))</f>
        <v/>
      </c>
      <c r="Y9465" s="23" t="str">
        <f aca="false">IF(AND(ISNUMBER(C9465),ISNUMBER(D9465)),D9465-C9465,"")</f>
        <v/>
      </c>
      <c r="Z9465" s="23" t="str">
        <f aca="false">IF(B9465="","",IF(MATCH(B9465,$B$2:$B$12000,0)=ROW()-1,1,0))</f>
        <v/>
      </c>
    </row>
    <row r="9466" customFormat="false" ht="15" hidden="false" customHeight="false" outlineLevel="0" collapsed="false">
      <c r="V9466" s="23" t="str">
        <f aca="false">IF(ISNUMBER(C9466),YEAR(C9466),"")</f>
        <v/>
      </c>
      <c r="W9466" s="23" t="str">
        <f aca="false">IF(ISNUMBER(C9466),MONTH(C9466),"")</f>
        <v/>
      </c>
      <c r="X9466" s="23" t="str">
        <f aca="false">IF(T9466="","",IF(T9466=0,"No discount",IF(T9466&lt;=0.2,"Low (1-20%)",IF(T9466&lt;=0.4,"Medium (21-40%)","High (&gt;40%)"))))</f>
        <v/>
      </c>
      <c r="Y9466" s="23" t="str">
        <f aca="false">IF(AND(ISNUMBER(C9466),ISNUMBER(D9466)),D9466-C9466,"")</f>
        <v/>
      </c>
      <c r="Z9466" s="23" t="str">
        <f aca="false">IF(B9466="","",IF(MATCH(B9466,$B$2:$B$12000,0)=ROW()-1,1,0))</f>
        <v/>
      </c>
    </row>
    <row r="9467" customFormat="false" ht="15" hidden="false" customHeight="false" outlineLevel="0" collapsed="false">
      <c r="V9467" s="23" t="str">
        <f aca="false">IF(ISNUMBER(C9467),YEAR(C9467),"")</f>
        <v/>
      </c>
      <c r="W9467" s="23" t="str">
        <f aca="false">IF(ISNUMBER(C9467),MONTH(C9467),"")</f>
        <v/>
      </c>
      <c r="X9467" s="23" t="str">
        <f aca="false">IF(T9467="","",IF(T9467=0,"No discount",IF(T9467&lt;=0.2,"Low (1-20%)",IF(T9467&lt;=0.4,"Medium (21-40%)","High (&gt;40%)"))))</f>
        <v/>
      </c>
      <c r="Y9467" s="23" t="str">
        <f aca="false">IF(AND(ISNUMBER(C9467),ISNUMBER(D9467)),D9467-C9467,"")</f>
        <v/>
      </c>
      <c r="Z9467" s="23" t="str">
        <f aca="false">IF(B9467="","",IF(MATCH(B9467,$B$2:$B$12000,0)=ROW()-1,1,0))</f>
        <v/>
      </c>
    </row>
    <row r="9468" customFormat="false" ht="15" hidden="false" customHeight="false" outlineLevel="0" collapsed="false">
      <c r="V9468" s="23" t="str">
        <f aca="false">IF(ISNUMBER(C9468),YEAR(C9468),"")</f>
        <v/>
      </c>
      <c r="W9468" s="23" t="str">
        <f aca="false">IF(ISNUMBER(C9468),MONTH(C9468),"")</f>
        <v/>
      </c>
      <c r="X9468" s="23" t="str">
        <f aca="false">IF(T9468="","",IF(T9468=0,"No discount",IF(T9468&lt;=0.2,"Low (1-20%)",IF(T9468&lt;=0.4,"Medium (21-40%)","High (&gt;40%)"))))</f>
        <v/>
      </c>
      <c r="Y9468" s="23" t="str">
        <f aca="false">IF(AND(ISNUMBER(C9468),ISNUMBER(D9468)),D9468-C9468,"")</f>
        <v/>
      </c>
      <c r="Z9468" s="23" t="str">
        <f aca="false">IF(B9468="","",IF(MATCH(B9468,$B$2:$B$12000,0)=ROW()-1,1,0))</f>
        <v/>
      </c>
    </row>
    <row r="9469" customFormat="false" ht="15" hidden="false" customHeight="false" outlineLevel="0" collapsed="false">
      <c r="V9469" s="23" t="str">
        <f aca="false">IF(ISNUMBER(C9469),YEAR(C9469),"")</f>
        <v/>
      </c>
      <c r="W9469" s="23" t="str">
        <f aca="false">IF(ISNUMBER(C9469),MONTH(C9469),"")</f>
        <v/>
      </c>
      <c r="X9469" s="23" t="str">
        <f aca="false">IF(T9469="","",IF(T9469=0,"No discount",IF(T9469&lt;=0.2,"Low (1-20%)",IF(T9469&lt;=0.4,"Medium (21-40%)","High (&gt;40%)"))))</f>
        <v/>
      </c>
      <c r="Y9469" s="23" t="str">
        <f aca="false">IF(AND(ISNUMBER(C9469),ISNUMBER(D9469)),D9469-C9469,"")</f>
        <v/>
      </c>
      <c r="Z9469" s="23" t="str">
        <f aca="false">IF(B9469="","",IF(MATCH(B9469,$B$2:$B$12000,0)=ROW()-1,1,0))</f>
        <v/>
      </c>
    </row>
    <row r="9470" customFormat="false" ht="15" hidden="false" customHeight="false" outlineLevel="0" collapsed="false">
      <c r="V9470" s="23" t="str">
        <f aca="false">IF(ISNUMBER(C9470),YEAR(C9470),"")</f>
        <v/>
      </c>
      <c r="W9470" s="23" t="str">
        <f aca="false">IF(ISNUMBER(C9470),MONTH(C9470),"")</f>
        <v/>
      </c>
      <c r="X9470" s="23" t="str">
        <f aca="false">IF(T9470="","",IF(T9470=0,"No discount",IF(T9470&lt;=0.2,"Low (1-20%)",IF(T9470&lt;=0.4,"Medium (21-40%)","High (&gt;40%)"))))</f>
        <v/>
      </c>
      <c r="Y9470" s="23" t="str">
        <f aca="false">IF(AND(ISNUMBER(C9470),ISNUMBER(D9470)),D9470-C9470,"")</f>
        <v/>
      </c>
      <c r="Z9470" s="23" t="str">
        <f aca="false">IF(B9470="","",IF(MATCH(B9470,$B$2:$B$12000,0)=ROW()-1,1,0))</f>
        <v/>
      </c>
    </row>
    <row r="9471" customFormat="false" ht="15" hidden="false" customHeight="false" outlineLevel="0" collapsed="false">
      <c r="V9471" s="23" t="str">
        <f aca="false">IF(ISNUMBER(C9471),YEAR(C9471),"")</f>
        <v/>
      </c>
      <c r="W9471" s="23" t="str">
        <f aca="false">IF(ISNUMBER(C9471),MONTH(C9471),"")</f>
        <v/>
      </c>
      <c r="X9471" s="23" t="str">
        <f aca="false">IF(T9471="","",IF(T9471=0,"No discount",IF(T9471&lt;=0.2,"Low (1-20%)",IF(T9471&lt;=0.4,"Medium (21-40%)","High (&gt;40%)"))))</f>
        <v/>
      </c>
      <c r="Y9471" s="23" t="str">
        <f aca="false">IF(AND(ISNUMBER(C9471),ISNUMBER(D9471)),D9471-C9471,"")</f>
        <v/>
      </c>
      <c r="Z9471" s="23" t="str">
        <f aca="false">IF(B9471="","",IF(MATCH(B9471,$B$2:$B$12000,0)=ROW()-1,1,0))</f>
        <v/>
      </c>
    </row>
    <row r="9472" customFormat="false" ht="15" hidden="false" customHeight="false" outlineLevel="0" collapsed="false">
      <c r="V9472" s="23" t="str">
        <f aca="false">IF(ISNUMBER(C9472),YEAR(C9472),"")</f>
        <v/>
      </c>
      <c r="W9472" s="23" t="str">
        <f aca="false">IF(ISNUMBER(C9472),MONTH(C9472),"")</f>
        <v/>
      </c>
      <c r="X9472" s="23" t="str">
        <f aca="false">IF(T9472="","",IF(T9472=0,"No discount",IF(T9472&lt;=0.2,"Low (1-20%)",IF(T9472&lt;=0.4,"Medium (21-40%)","High (&gt;40%)"))))</f>
        <v/>
      </c>
      <c r="Y9472" s="23" t="str">
        <f aca="false">IF(AND(ISNUMBER(C9472),ISNUMBER(D9472)),D9472-C9472,"")</f>
        <v/>
      </c>
      <c r="Z9472" s="23" t="str">
        <f aca="false">IF(B9472="","",IF(MATCH(B9472,$B$2:$B$12000,0)=ROW()-1,1,0))</f>
        <v/>
      </c>
    </row>
    <row r="9473" customFormat="false" ht="15" hidden="false" customHeight="false" outlineLevel="0" collapsed="false">
      <c r="V9473" s="23" t="str">
        <f aca="false">IF(ISNUMBER(C9473),YEAR(C9473),"")</f>
        <v/>
      </c>
      <c r="W9473" s="23" t="str">
        <f aca="false">IF(ISNUMBER(C9473),MONTH(C9473),"")</f>
        <v/>
      </c>
      <c r="X9473" s="23" t="str">
        <f aca="false">IF(T9473="","",IF(T9473=0,"No discount",IF(T9473&lt;=0.2,"Low (1-20%)",IF(T9473&lt;=0.4,"Medium (21-40%)","High (&gt;40%)"))))</f>
        <v/>
      </c>
      <c r="Y9473" s="23" t="str">
        <f aca="false">IF(AND(ISNUMBER(C9473),ISNUMBER(D9473)),D9473-C9473,"")</f>
        <v/>
      </c>
      <c r="Z9473" s="23" t="str">
        <f aca="false">IF(B9473="","",IF(MATCH(B9473,$B$2:$B$12000,0)=ROW()-1,1,0))</f>
        <v/>
      </c>
    </row>
    <row r="9474" customFormat="false" ht="15" hidden="false" customHeight="false" outlineLevel="0" collapsed="false">
      <c r="V9474" s="23" t="str">
        <f aca="false">IF(ISNUMBER(C9474),YEAR(C9474),"")</f>
        <v/>
      </c>
      <c r="W9474" s="23" t="str">
        <f aca="false">IF(ISNUMBER(C9474),MONTH(C9474),"")</f>
        <v/>
      </c>
      <c r="X9474" s="23" t="str">
        <f aca="false">IF(T9474="","",IF(T9474=0,"No discount",IF(T9474&lt;=0.2,"Low (1-20%)",IF(T9474&lt;=0.4,"Medium (21-40%)","High (&gt;40%)"))))</f>
        <v/>
      </c>
      <c r="Y9474" s="23" t="str">
        <f aca="false">IF(AND(ISNUMBER(C9474),ISNUMBER(D9474)),D9474-C9474,"")</f>
        <v/>
      </c>
      <c r="Z9474" s="23" t="str">
        <f aca="false">IF(B9474="","",IF(MATCH(B9474,$B$2:$B$12000,0)=ROW()-1,1,0))</f>
        <v/>
      </c>
    </row>
    <row r="9475" customFormat="false" ht="15" hidden="false" customHeight="false" outlineLevel="0" collapsed="false">
      <c r="V9475" s="23" t="str">
        <f aca="false">IF(ISNUMBER(C9475),YEAR(C9475),"")</f>
        <v/>
      </c>
      <c r="W9475" s="23" t="str">
        <f aca="false">IF(ISNUMBER(C9475),MONTH(C9475),"")</f>
        <v/>
      </c>
      <c r="X9475" s="23" t="str">
        <f aca="false">IF(T9475="","",IF(T9475=0,"No discount",IF(T9475&lt;=0.2,"Low (1-20%)",IF(T9475&lt;=0.4,"Medium (21-40%)","High (&gt;40%)"))))</f>
        <v/>
      </c>
      <c r="Y9475" s="23" t="str">
        <f aca="false">IF(AND(ISNUMBER(C9475),ISNUMBER(D9475)),D9475-C9475,"")</f>
        <v/>
      </c>
      <c r="Z9475" s="23" t="str">
        <f aca="false">IF(B9475="","",IF(MATCH(B9475,$B$2:$B$12000,0)=ROW()-1,1,0))</f>
        <v/>
      </c>
    </row>
    <row r="9476" customFormat="false" ht="15" hidden="false" customHeight="false" outlineLevel="0" collapsed="false">
      <c r="V9476" s="23" t="str">
        <f aca="false">IF(ISNUMBER(C9476),YEAR(C9476),"")</f>
        <v/>
      </c>
      <c r="W9476" s="23" t="str">
        <f aca="false">IF(ISNUMBER(C9476),MONTH(C9476),"")</f>
        <v/>
      </c>
      <c r="X9476" s="23" t="str">
        <f aca="false">IF(T9476="","",IF(T9476=0,"No discount",IF(T9476&lt;=0.2,"Low (1-20%)",IF(T9476&lt;=0.4,"Medium (21-40%)","High (&gt;40%)"))))</f>
        <v/>
      </c>
      <c r="Y9476" s="23" t="str">
        <f aca="false">IF(AND(ISNUMBER(C9476),ISNUMBER(D9476)),D9476-C9476,"")</f>
        <v/>
      </c>
      <c r="Z9476" s="23" t="str">
        <f aca="false">IF(B9476="","",IF(MATCH(B9476,$B$2:$B$12000,0)=ROW()-1,1,0))</f>
        <v/>
      </c>
    </row>
    <row r="9477" customFormat="false" ht="15" hidden="false" customHeight="false" outlineLevel="0" collapsed="false">
      <c r="V9477" s="23" t="str">
        <f aca="false">IF(ISNUMBER(C9477),YEAR(C9477),"")</f>
        <v/>
      </c>
      <c r="W9477" s="23" t="str">
        <f aca="false">IF(ISNUMBER(C9477),MONTH(C9477),"")</f>
        <v/>
      </c>
      <c r="X9477" s="23" t="str">
        <f aca="false">IF(T9477="","",IF(T9477=0,"No discount",IF(T9477&lt;=0.2,"Low (1-20%)",IF(T9477&lt;=0.4,"Medium (21-40%)","High (&gt;40%)"))))</f>
        <v/>
      </c>
      <c r="Y9477" s="23" t="str">
        <f aca="false">IF(AND(ISNUMBER(C9477),ISNUMBER(D9477)),D9477-C9477,"")</f>
        <v/>
      </c>
      <c r="Z9477" s="23" t="str">
        <f aca="false">IF(B9477="","",IF(MATCH(B9477,$B$2:$B$12000,0)=ROW()-1,1,0))</f>
        <v/>
      </c>
    </row>
    <row r="9478" customFormat="false" ht="15" hidden="false" customHeight="false" outlineLevel="0" collapsed="false">
      <c r="V9478" s="23" t="str">
        <f aca="false">IF(ISNUMBER(C9478),YEAR(C9478),"")</f>
        <v/>
      </c>
      <c r="W9478" s="23" t="str">
        <f aca="false">IF(ISNUMBER(C9478),MONTH(C9478),"")</f>
        <v/>
      </c>
      <c r="X9478" s="23" t="str">
        <f aca="false">IF(T9478="","",IF(T9478=0,"No discount",IF(T9478&lt;=0.2,"Low (1-20%)",IF(T9478&lt;=0.4,"Medium (21-40%)","High (&gt;40%)"))))</f>
        <v/>
      </c>
      <c r="Y9478" s="23" t="str">
        <f aca="false">IF(AND(ISNUMBER(C9478),ISNUMBER(D9478)),D9478-C9478,"")</f>
        <v/>
      </c>
      <c r="Z9478" s="23" t="str">
        <f aca="false">IF(B9478="","",IF(MATCH(B9478,$B$2:$B$12000,0)=ROW()-1,1,0))</f>
        <v/>
      </c>
    </row>
    <row r="9479" customFormat="false" ht="15" hidden="false" customHeight="false" outlineLevel="0" collapsed="false">
      <c r="V9479" s="23" t="str">
        <f aca="false">IF(ISNUMBER(C9479),YEAR(C9479),"")</f>
        <v/>
      </c>
      <c r="W9479" s="23" t="str">
        <f aca="false">IF(ISNUMBER(C9479),MONTH(C9479),"")</f>
        <v/>
      </c>
      <c r="X9479" s="23" t="str">
        <f aca="false">IF(T9479="","",IF(T9479=0,"No discount",IF(T9479&lt;=0.2,"Low (1-20%)",IF(T9479&lt;=0.4,"Medium (21-40%)","High (&gt;40%)"))))</f>
        <v/>
      </c>
      <c r="Y9479" s="23" t="str">
        <f aca="false">IF(AND(ISNUMBER(C9479),ISNUMBER(D9479)),D9479-C9479,"")</f>
        <v/>
      </c>
      <c r="Z9479" s="23" t="str">
        <f aca="false">IF(B9479="","",IF(MATCH(B9479,$B$2:$B$12000,0)=ROW()-1,1,0))</f>
        <v/>
      </c>
    </row>
    <row r="9480" customFormat="false" ht="15" hidden="false" customHeight="false" outlineLevel="0" collapsed="false">
      <c r="V9480" s="23" t="str">
        <f aca="false">IF(ISNUMBER(C9480),YEAR(C9480),"")</f>
        <v/>
      </c>
      <c r="W9480" s="23" t="str">
        <f aca="false">IF(ISNUMBER(C9480),MONTH(C9480),"")</f>
        <v/>
      </c>
      <c r="X9480" s="23" t="str">
        <f aca="false">IF(T9480="","",IF(T9480=0,"No discount",IF(T9480&lt;=0.2,"Low (1-20%)",IF(T9480&lt;=0.4,"Medium (21-40%)","High (&gt;40%)"))))</f>
        <v/>
      </c>
      <c r="Y9480" s="23" t="str">
        <f aca="false">IF(AND(ISNUMBER(C9480),ISNUMBER(D9480)),D9480-C9480,"")</f>
        <v/>
      </c>
      <c r="Z9480" s="23" t="str">
        <f aca="false">IF(B9480="","",IF(MATCH(B9480,$B$2:$B$12000,0)=ROW()-1,1,0))</f>
        <v/>
      </c>
    </row>
    <row r="9481" customFormat="false" ht="15" hidden="false" customHeight="false" outlineLevel="0" collapsed="false">
      <c r="V9481" s="23" t="str">
        <f aca="false">IF(ISNUMBER(C9481),YEAR(C9481),"")</f>
        <v/>
      </c>
      <c r="W9481" s="23" t="str">
        <f aca="false">IF(ISNUMBER(C9481),MONTH(C9481),"")</f>
        <v/>
      </c>
      <c r="X9481" s="23" t="str">
        <f aca="false">IF(T9481="","",IF(T9481=0,"No discount",IF(T9481&lt;=0.2,"Low (1-20%)",IF(T9481&lt;=0.4,"Medium (21-40%)","High (&gt;40%)"))))</f>
        <v/>
      </c>
      <c r="Y9481" s="23" t="str">
        <f aca="false">IF(AND(ISNUMBER(C9481),ISNUMBER(D9481)),D9481-C9481,"")</f>
        <v/>
      </c>
      <c r="Z9481" s="23" t="str">
        <f aca="false">IF(B9481="","",IF(MATCH(B9481,$B$2:$B$12000,0)=ROW()-1,1,0))</f>
        <v/>
      </c>
    </row>
    <row r="9482" customFormat="false" ht="15" hidden="false" customHeight="false" outlineLevel="0" collapsed="false">
      <c r="V9482" s="23" t="str">
        <f aca="false">IF(ISNUMBER(C9482),YEAR(C9482),"")</f>
        <v/>
      </c>
      <c r="W9482" s="23" t="str">
        <f aca="false">IF(ISNUMBER(C9482),MONTH(C9482),"")</f>
        <v/>
      </c>
      <c r="X9482" s="23" t="str">
        <f aca="false">IF(T9482="","",IF(T9482=0,"No discount",IF(T9482&lt;=0.2,"Low (1-20%)",IF(T9482&lt;=0.4,"Medium (21-40%)","High (&gt;40%)"))))</f>
        <v/>
      </c>
      <c r="Y9482" s="23" t="str">
        <f aca="false">IF(AND(ISNUMBER(C9482),ISNUMBER(D9482)),D9482-C9482,"")</f>
        <v/>
      </c>
      <c r="Z9482" s="23" t="str">
        <f aca="false">IF(B9482="","",IF(MATCH(B9482,$B$2:$B$12000,0)=ROW()-1,1,0))</f>
        <v/>
      </c>
    </row>
    <row r="9483" customFormat="false" ht="15" hidden="false" customHeight="false" outlineLevel="0" collapsed="false">
      <c r="V9483" s="23" t="str">
        <f aca="false">IF(ISNUMBER(C9483),YEAR(C9483),"")</f>
        <v/>
      </c>
      <c r="W9483" s="23" t="str">
        <f aca="false">IF(ISNUMBER(C9483),MONTH(C9483),"")</f>
        <v/>
      </c>
      <c r="X9483" s="23" t="str">
        <f aca="false">IF(T9483="","",IF(T9483=0,"No discount",IF(T9483&lt;=0.2,"Low (1-20%)",IF(T9483&lt;=0.4,"Medium (21-40%)","High (&gt;40%)"))))</f>
        <v/>
      </c>
      <c r="Y9483" s="23" t="str">
        <f aca="false">IF(AND(ISNUMBER(C9483),ISNUMBER(D9483)),D9483-C9483,"")</f>
        <v/>
      </c>
      <c r="Z9483" s="23" t="str">
        <f aca="false">IF(B9483="","",IF(MATCH(B9483,$B$2:$B$12000,0)=ROW()-1,1,0))</f>
        <v/>
      </c>
    </row>
    <row r="9484" customFormat="false" ht="15" hidden="false" customHeight="false" outlineLevel="0" collapsed="false">
      <c r="V9484" s="23" t="str">
        <f aca="false">IF(ISNUMBER(C9484),YEAR(C9484),"")</f>
        <v/>
      </c>
      <c r="W9484" s="23" t="str">
        <f aca="false">IF(ISNUMBER(C9484),MONTH(C9484),"")</f>
        <v/>
      </c>
      <c r="X9484" s="23" t="str">
        <f aca="false">IF(T9484="","",IF(T9484=0,"No discount",IF(T9484&lt;=0.2,"Low (1-20%)",IF(T9484&lt;=0.4,"Medium (21-40%)","High (&gt;40%)"))))</f>
        <v/>
      </c>
      <c r="Y9484" s="23" t="str">
        <f aca="false">IF(AND(ISNUMBER(C9484),ISNUMBER(D9484)),D9484-C9484,"")</f>
        <v/>
      </c>
      <c r="Z9484" s="23" t="str">
        <f aca="false">IF(B9484="","",IF(MATCH(B9484,$B$2:$B$12000,0)=ROW()-1,1,0))</f>
        <v/>
      </c>
    </row>
    <row r="9485" customFormat="false" ht="15" hidden="false" customHeight="false" outlineLevel="0" collapsed="false">
      <c r="V9485" s="23" t="str">
        <f aca="false">IF(ISNUMBER(C9485),YEAR(C9485),"")</f>
        <v/>
      </c>
      <c r="W9485" s="23" t="str">
        <f aca="false">IF(ISNUMBER(C9485),MONTH(C9485),"")</f>
        <v/>
      </c>
      <c r="X9485" s="23" t="str">
        <f aca="false">IF(T9485="","",IF(T9485=0,"No discount",IF(T9485&lt;=0.2,"Low (1-20%)",IF(T9485&lt;=0.4,"Medium (21-40%)","High (&gt;40%)"))))</f>
        <v/>
      </c>
      <c r="Y9485" s="23" t="str">
        <f aca="false">IF(AND(ISNUMBER(C9485),ISNUMBER(D9485)),D9485-C9485,"")</f>
        <v/>
      </c>
      <c r="Z9485" s="23" t="str">
        <f aca="false">IF(B9485="","",IF(MATCH(B9485,$B$2:$B$12000,0)=ROW()-1,1,0))</f>
        <v/>
      </c>
    </row>
    <row r="9486" customFormat="false" ht="15" hidden="false" customHeight="false" outlineLevel="0" collapsed="false">
      <c r="V9486" s="23" t="str">
        <f aca="false">IF(ISNUMBER(C9486),YEAR(C9486),"")</f>
        <v/>
      </c>
      <c r="W9486" s="23" t="str">
        <f aca="false">IF(ISNUMBER(C9486),MONTH(C9486),"")</f>
        <v/>
      </c>
      <c r="X9486" s="23" t="str">
        <f aca="false">IF(T9486="","",IF(T9486=0,"No discount",IF(T9486&lt;=0.2,"Low (1-20%)",IF(T9486&lt;=0.4,"Medium (21-40%)","High (&gt;40%)"))))</f>
        <v/>
      </c>
      <c r="Y9486" s="23" t="str">
        <f aca="false">IF(AND(ISNUMBER(C9486),ISNUMBER(D9486)),D9486-C9486,"")</f>
        <v/>
      </c>
      <c r="Z9486" s="23" t="str">
        <f aca="false">IF(B9486="","",IF(MATCH(B9486,$B$2:$B$12000,0)=ROW()-1,1,0))</f>
        <v/>
      </c>
    </row>
    <row r="9487" customFormat="false" ht="15" hidden="false" customHeight="false" outlineLevel="0" collapsed="false">
      <c r="V9487" s="23" t="str">
        <f aca="false">IF(ISNUMBER(C9487),YEAR(C9487),"")</f>
        <v/>
      </c>
      <c r="W9487" s="23" t="str">
        <f aca="false">IF(ISNUMBER(C9487),MONTH(C9487),"")</f>
        <v/>
      </c>
      <c r="X9487" s="23" t="str">
        <f aca="false">IF(T9487="","",IF(T9487=0,"No discount",IF(T9487&lt;=0.2,"Low (1-20%)",IF(T9487&lt;=0.4,"Medium (21-40%)","High (&gt;40%)"))))</f>
        <v/>
      </c>
      <c r="Y9487" s="23" t="str">
        <f aca="false">IF(AND(ISNUMBER(C9487),ISNUMBER(D9487)),D9487-C9487,"")</f>
        <v/>
      </c>
      <c r="Z9487" s="23" t="str">
        <f aca="false">IF(B9487="","",IF(MATCH(B9487,$B$2:$B$12000,0)=ROW()-1,1,0))</f>
        <v/>
      </c>
    </row>
    <row r="9488" customFormat="false" ht="15" hidden="false" customHeight="false" outlineLevel="0" collapsed="false">
      <c r="V9488" s="23" t="str">
        <f aca="false">IF(ISNUMBER(C9488),YEAR(C9488),"")</f>
        <v/>
      </c>
      <c r="W9488" s="23" t="str">
        <f aca="false">IF(ISNUMBER(C9488),MONTH(C9488),"")</f>
        <v/>
      </c>
      <c r="X9488" s="23" t="str">
        <f aca="false">IF(T9488="","",IF(T9488=0,"No discount",IF(T9488&lt;=0.2,"Low (1-20%)",IF(T9488&lt;=0.4,"Medium (21-40%)","High (&gt;40%)"))))</f>
        <v/>
      </c>
      <c r="Y9488" s="23" t="str">
        <f aca="false">IF(AND(ISNUMBER(C9488),ISNUMBER(D9488)),D9488-C9488,"")</f>
        <v/>
      </c>
      <c r="Z9488" s="23" t="str">
        <f aca="false">IF(B9488="","",IF(MATCH(B9488,$B$2:$B$12000,0)=ROW()-1,1,0))</f>
        <v/>
      </c>
    </row>
    <row r="9489" customFormat="false" ht="15" hidden="false" customHeight="false" outlineLevel="0" collapsed="false">
      <c r="V9489" s="23" t="str">
        <f aca="false">IF(ISNUMBER(C9489),YEAR(C9489),"")</f>
        <v/>
      </c>
      <c r="W9489" s="23" t="str">
        <f aca="false">IF(ISNUMBER(C9489),MONTH(C9489),"")</f>
        <v/>
      </c>
      <c r="X9489" s="23" t="str">
        <f aca="false">IF(T9489="","",IF(T9489=0,"No discount",IF(T9489&lt;=0.2,"Low (1-20%)",IF(T9489&lt;=0.4,"Medium (21-40%)","High (&gt;40%)"))))</f>
        <v/>
      </c>
      <c r="Y9489" s="23" t="str">
        <f aca="false">IF(AND(ISNUMBER(C9489),ISNUMBER(D9489)),D9489-C9489,"")</f>
        <v/>
      </c>
      <c r="Z9489" s="23" t="str">
        <f aca="false">IF(B9489="","",IF(MATCH(B9489,$B$2:$B$12000,0)=ROW()-1,1,0))</f>
        <v/>
      </c>
    </row>
    <row r="9490" customFormat="false" ht="15" hidden="false" customHeight="false" outlineLevel="0" collapsed="false">
      <c r="V9490" s="23" t="str">
        <f aca="false">IF(ISNUMBER(C9490),YEAR(C9490),"")</f>
        <v/>
      </c>
      <c r="W9490" s="23" t="str">
        <f aca="false">IF(ISNUMBER(C9490),MONTH(C9490),"")</f>
        <v/>
      </c>
      <c r="X9490" s="23" t="str">
        <f aca="false">IF(T9490="","",IF(T9490=0,"No discount",IF(T9490&lt;=0.2,"Low (1-20%)",IF(T9490&lt;=0.4,"Medium (21-40%)","High (&gt;40%)"))))</f>
        <v/>
      </c>
      <c r="Y9490" s="23" t="str">
        <f aca="false">IF(AND(ISNUMBER(C9490),ISNUMBER(D9490)),D9490-C9490,"")</f>
        <v/>
      </c>
      <c r="Z9490" s="23" t="str">
        <f aca="false">IF(B9490="","",IF(MATCH(B9490,$B$2:$B$12000,0)=ROW()-1,1,0))</f>
        <v/>
      </c>
    </row>
    <row r="9491" customFormat="false" ht="15" hidden="false" customHeight="false" outlineLevel="0" collapsed="false">
      <c r="V9491" s="23" t="str">
        <f aca="false">IF(ISNUMBER(C9491),YEAR(C9491),"")</f>
        <v/>
      </c>
      <c r="W9491" s="23" t="str">
        <f aca="false">IF(ISNUMBER(C9491),MONTH(C9491),"")</f>
        <v/>
      </c>
      <c r="X9491" s="23" t="str">
        <f aca="false">IF(T9491="","",IF(T9491=0,"No discount",IF(T9491&lt;=0.2,"Low (1-20%)",IF(T9491&lt;=0.4,"Medium (21-40%)","High (&gt;40%)"))))</f>
        <v/>
      </c>
      <c r="Y9491" s="23" t="str">
        <f aca="false">IF(AND(ISNUMBER(C9491),ISNUMBER(D9491)),D9491-C9491,"")</f>
        <v/>
      </c>
      <c r="Z9491" s="23" t="str">
        <f aca="false">IF(B9491="","",IF(MATCH(B9491,$B$2:$B$12000,0)=ROW()-1,1,0))</f>
        <v/>
      </c>
    </row>
    <row r="9492" customFormat="false" ht="15" hidden="false" customHeight="false" outlineLevel="0" collapsed="false">
      <c r="V9492" s="23" t="str">
        <f aca="false">IF(ISNUMBER(C9492),YEAR(C9492),"")</f>
        <v/>
      </c>
      <c r="W9492" s="23" t="str">
        <f aca="false">IF(ISNUMBER(C9492),MONTH(C9492),"")</f>
        <v/>
      </c>
      <c r="X9492" s="23" t="str">
        <f aca="false">IF(T9492="","",IF(T9492=0,"No discount",IF(T9492&lt;=0.2,"Low (1-20%)",IF(T9492&lt;=0.4,"Medium (21-40%)","High (&gt;40%)"))))</f>
        <v/>
      </c>
      <c r="Y9492" s="23" t="str">
        <f aca="false">IF(AND(ISNUMBER(C9492),ISNUMBER(D9492)),D9492-C9492,"")</f>
        <v/>
      </c>
      <c r="Z9492" s="23" t="str">
        <f aca="false">IF(B9492="","",IF(MATCH(B9492,$B$2:$B$12000,0)=ROW()-1,1,0))</f>
        <v/>
      </c>
    </row>
    <row r="9493" customFormat="false" ht="15" hidden="false" customHeight="false" outlineLevel="0" collapsed="false">
      <c r="V9493" s="23" t="str">
        <f aca="false">IF(ISNUMBER(C9493),YEAR(C9493),"")</f>
        <v/>
      </c>
      <c r="W9493" s="23" t="str">
        <f aca="false">IF(ISNUMBER(C9493),MONTH(C9493),"")</f>
        <v/>
      </c>
      <c r="X9493" s="23" t="str">
        <f aca="false">IF(T9493="","",IF(T9493=0,"No discount",IF(T9493&lt;=0.2,"Low (1-20%)",IF(T9493&lt;=0.4,"Medium (21-40%)","High (&gt;40%)"))))</f>
        <v/>
      </c>
      <c r="Y9493" s="23" t="str">
        <f aca="false">IF(AND(ISNUMBER(C9493),ISNUMBER(D9493)),D9493-C9493,"")</f>
        <v/>
      </c>
      <c r="Z9493" s="23" t="str">
        <f aca="false">IF(B9493="","",IF(MATCH(B9493,$B$2:$B$12000,0)=ROW()-1,1,0))</f>
        <v/>
      </c>
    </row>
    <row r="9494" customFormat="false" ht="15" hidden="false" customHeight="false" outlineLevel="0" collapsed="false">
      <c r="V9494" s="23" t="str">
        <f aca="false">IF(ISNUMBER(C9494),YEAR(C9494),"")</f>
        <v/>
      </c>
      <c r="W9494" s="23" t="str">
        <f aca="false">IF(ISNUMBER(C9494),MONTH(C9494),"")</f>
        <v/>
      </c>
      <c r="X9494" s="23" t="str">
        <f aca="false">IF(T9494="","",IF(T9494=0,"No discount",IF(T9494&lt;=0.2,"Low (1-20%)",IF(T9494&lt;=0.4,"Medium (21-40%)","High (&gt;40%)"))))</f>
        <v/>
      </c>
      <c r="Y9494" s="23" t="str">
        <f aca="false">IF(AND(ISNUMBER(C9494),ISNUMBER(D9494)),D9494-C9494,"")</f>
        <v/>
      </c>
      <c r="Z9494" s="23" t="str">
        <f aca="false">IF(B9494="","",IF(MATCH(B9494,$B$2:$B$12000,0)=ROW()-1,1,0))</f>
        <v/>
      </c>
    </row>
    <row r="9495" customFormat="false" ht="15" hidden="false" customHeight="false" outlineLevel="0" collapsed="false">
      <c r="V9495" s="23" t="str">
        <f aca="false">IF(ISNUMBER(C9495),YEAR(C9495),"")</f>
        <v/>
      </c>
      <c r="W9495" s="23" t="str">
        <f aca="false">IF(ISNUMBER(C9495),MONTH(C9495),"")</f>
        <v/>
      </c>
      <c r="X9495" s="23" t="str">
        <f aca="false">IF(T9495="","",IF(T9495=0,"No discount",IF(T9495&lt;=0.2,"Low (1-20%)",IF(T9495&lt;=0.4,"Medium (21-40%)","High (&gt;40%)"))))</f>
        <v/>
      </c>
      <c r="Y9495" s="23" t="str">
        <f aca="false">IF(AND(ISNUMBER(C9495),ISNUMBER(D9495)),D9495-C9495,"")</f>
        <v/>
      </c>
      <c r="Z9495" s="23" t="str">
        <f aca="false">IF(B9495="","",IF(MATCH(B9495,$B$2:$B$12000,0)=ROW()-1,1,0))</f>
        <v/>
      </c>
    </row>
    <row r="9496" customFormat="false" ht="15" hidden="false" customHeight="false" outlineLevel="0" collapsed="false">
      <c r="V9496" s="23" t="str">
        <f aca="false">IF(ISNUMBER(C9496),YEAR(C9496),"")</f>
        <v/>
      </c>
      <c r="W9496" s="23" t="str">
        <f aca="false">IF(ISNUMBER(C9496),MONTH(C9496),"")</f>
        <v/>
      </c>
      <c r="X9496" s="23" t="str">
        <f aca="false">IF(T9496="","",IF(T9496=0,"No discount",IF(T9496&lt;=0.2,"Low (1-20%)",IF(T9496&lt;=0.4,"Medium (21-40%)","High (&gt;40%)"))))</f>
        <v/>
      </c>
      <c r="Y9496" s="23" t="str">
        <f aca="false">IF(AND(ISNUMBER(C9496),ISNUMBER(D9496)),D9496-C9496,"")</f>
        <v/>
      </c>
      <c r="Z9496" s="23" t="str">
        <f aca="false">IF(B9496="","",IF(MATCH(B9496,$B$2:$B$12000,0)=ROW()-1,1,0))</f>
        <v/>
      </c>
    </row>
    <row r="9497" customFormat="false" ht="15" hidden="false" customHeight="false" outlineLevel="0" collapsed="false">
      <c r="V9497" s="23" t="str">
        <f aca="false">IF(ISNUMBER(C9497),YEAR(C9497),"")</f>
        <v/>
      </c>
      <c r="W9497" s="23" t="str">
        <f aca="false">IF(ISNUMBER(C9497),MONTH(C9497),"")</f>
        <v/>
      </c>
      <c r="X9497" s="23" t="str">
        <f aca="false">IF(T9497="","",IF(T9497=0,"No discount",IF(T9497&lt;=0.2,"Low (1-20%)",IF(T9497&lt;=0.4,"Medium (21-40%)","High (&gt;40%)"))))</f>
        <v/>
      </c>
      <c r="Y9497" s="23" t="str">
        <f aca="false">IF(AND(ISNUMBER(C9497),ISNUMBER(D9497)),D9497-C9497,"")</f>
        <v/>
      </c>
      <c r="Z9497" s="23" t="str">
        <f aca="false">IF(B9497="","",IF(MATCH(B9497,$B$2:$B$12000,0)=ROW()-1,1,0))</f>
        <v/>
      </c>
    </row>
    <row r="9498" customFormat="false" ht="15" hidden="false" customHeight="false" outlineLevel="0" collapsed="false">
      <c r="V9498" s="23" t="str">
        <f aca="false">IF(ISNUMBER(C9498),YEAR(C9498),"")</f>
        <v/>
      </c>
      <c r="W9498" s="23" t="str">
        <f aca="false">IF(ISNUMBER(C9498),MONTH(C9498),"")</f>
        <v/>
      </c>
      <c r="X9498" s="23" t="str">
        <f aca="false">IF(T9498="","",IF(T9498=0,"No discount",IF(T9498&lt;=0.2,"Low (1-20%)",IF(T9498&lt;=0.4,"Medium (21-40%)","High (&gt;40%)"))))</f>
        <v/>
      </c>
      <c r="Y9498" s="23" t="str">
        <f aca="false">IF(AND(ISNUMBER(C9498),ISNUMBER(D9498)),D9498-C9498,"")</f>
        <v/>
      </c>
      <c r="Z9498" s="23" t="str">
        <f aca="false">IF(B9498="","",IF(MATCH(B9498,$B$2:$B$12000,0)=ROW()-1,1,0))</f>
        <v/>
      </c>
    </row>
    <row r="9499" customFormat="false" ht="15" hidden="false" customHeight="false" outlineLevel="0" collapsed="false">
      <c r="V9499" s="23" t="str">
        <f aca="false">IF(ISNUMBER(C9499),YEAR(C9499),"")</f>
        <v/>
      </c>
      <c r="W9499" s="23" t="str">
        <f aca="false">IF(ISNUMBER(C9499),MONTH(C9499),"")</f>
        <v/>
      </c>
      <c r="X9499" s="23" t="str">
        <f aca="false">IF(T9499="","",IF(T9499=0,"No discount",IF(T9499&lt;=0.2,"Low (1-20%)",IF(T9499&lt;=0.4,"Medium (21-40%)","High (&gt;40%)"))))</f>
        <v/>
      </c>
      <c r="Y9499" s="23" t="str">
        <f aca="false">IF(AND(ISNUMBER(C9499),ISNUMBER(D9499)),D9499-C9499,"")</f>
        <v/>
      </c>
      <c r="Z9499" s="23" t="str">
        <f aca="false">IF(B9499="","",IF(MATCH(B9499,$B$2:$B$12000,0)=ROW()-1,1,0))</f>
        <v/>
      </c>
    </row>
    <row r="9500" customFormat="false" ht="15" hidden="false" customHeight="false" outlineLevel="0" collapsed="false">
      <c r="V9500" s="23" t="str">
        <f aca="false">IF(ISNUMBER(C9500),YEAR(C9500),"")</f>
        <v/>
      </c>
      <c r="W9500" s="23" t="str">
        <f aca="false">IF(ISNUMBER(C9500),MONTH(C9500),"")</f>
        <v/>
      </c>
      <c r="X9500" s="23" t="str">
        <f aca="false">IF(T9500="","",IF(T9500=0,"No discount",IF(T9500&lt;=0.2,"Low (1-20%)",IF(T9500&lt;=0.4,"Medium (21-40%)","High (&gt;40%)"))))</f>
        <v/>
      </c>
      <c r="Y9500" s="23" t="str">
        <f aca="false">IF(AND(ISNUMBER(C9500),ISNUMBER(D9500)),D9500-C9500,"")</f>
        <v/>
      </c>
      <c r="Z9500" s="23" t="str">
        <f aca="false">IF(B9500="","",IF(MATCH(B9500,$B$2:$B$12000,0)=ROW()-1,1,0))</f>
        <v/>
      </c>
    </row>
    <row r="9501" customFormat="false" ht="15" hidden="false" customHeight="false" outlineLevel="0" collapsed="false">
      <c r="V9501" s="23" t="str">
        <f aca="false">IF(ISNUMBER(C9501),YEAR(C9501),"")</f>
        <v/>
      </c>
      <c r="W9501" s="23" t="str">
        <f aca="false">IF(ISNUMBER(C9501),MONTH(C9501),"")</f>
        <v/>
      </c>
      <c r="X9501" s="23" t="str">
        <f aca="false">IF(T9501="","",IF(T9501=0,"No discount",IF(T9501&lt;=0.2,"Low (1-20%)",IF(T9501&lt;=0.4,"Medium (21-40%)","High (&gt;40%)"))))</f>
        <v/>
      </c>
      <c r="Y9501" s="23" t="str">
        <f aca="false">IF(AND(ISNUMBER(C9501),ISNUMBER(D9501)),D9501-C9501,"")</f>
        <v/>
      </c>
      <c r="Z9501" s="23" t="str">
        <f aca="false">IF(B9501="","",IF(MATCH(B9501,$B$2:$B$12000,0)=ROW()-1,1,0))</f>
        <v/>
      </c>
    </row>
    <row r="9502" customFormat="false" ht="15" hidden="false" customHeight="false" outlineLevel="0" collapsed="false">
      <c r="V9502" s="23" t="str">
        <f aca="false">IF(ISNUMBER(C9502),YEAR(C9502),"")</f>
        <v/>
      </c>
      <c r="W9502" s="23" t="str">
        <f aca="false">IF(ISNUMBER(C9502),MONTH(C9502),"")</f>
        <v/>
      </c>
      <c r="X9502" s="23" t="str">
        <f aca="false">IF(T9502="","",IF(T9502=0,"No discount",IF(T9502&lt;=0.2,"Low (1-20%)",IF(T9502&lt;=0.4,"Medium (21-40%)","High (&gt;40%)"))))</f>
        <v/>
      </c>
      <c r="Y9502" s="23" t="str">
        <f aca="false">IF(AND(ISNUMBER(C9502),ISNUMBER(D9502)),D9502-C9502,"")</f>
        <v/>
      </c>
      <c r="Z9502" s="23" t="str">
        <f aca="false">IF(B9502="","",IF(MATCH(B9502,$B$2:$B$12000,0)=ROW()-1,1,0))</f>
        <v/>
      </c>
    </row>
    <row r="9503" customFormat="false" ht="15" hidden="false" customHeight="false" outlineLevel="0" collapsed="false">
      <c r="V9503" s="23" t="str">
        <f aca="false">IF(ISNUMBER(C9503),YEAR(C9503),"")</f>
        <v/>
      </c>
      <c r="W9503" s="23" t="str">
        <f aca="false">IF(ISNUMBER(C9503),MONTH(C9503),"")</f>
        <v/>
      </c>
      <c r="X9503" s="23" t="str">
        <f aca="false">IF(T9503="","",IF(T9503=0,"No discount",IF(T9503&lt;=0.2,"Low (1-20%)",IF(T9503&lt;=0.4,"Medium (21-40%)","High (&gt;40%)"))))</f>
        <v/>
      </c>
      <c r="Y9503" s="23" t="str">
        <f aca="false">IF(AND(ISNUMBER(C9503),ISNUMBER(D9503)),D9503-C9503,"")</f>
        <v/>
      </c>
      <c r="Z9503" s="23" t="str">
        <f aca="false">IF(B9503="","",IF(MATCH(B9503,$B$2:$B$12000,0)=ROW()-1,1,0))</f>
        <v/>
      </c>
    </row>
    <row r="9504" customFormat="false" ht="15" hidden="false" customHeight="false" outlineLevel="0" collapsed="false">
      <c r="V9504" s="23" t="str">
        <f aca="false">IF(ISNUMBER(C9504),YEAR(C9504),"")</f>
        <v/>
      </c>
      <c r="W9504" s="23" t="str">
        <f aca="false">IF(ISNUMBER(C9504),MONTH(C9504),"")</f>
        <v/>
      </c>
      <c r="X9504" s="23" t="str">
        <f aca="false">IF(T9504="","",IF(T9504=0,"No discount",IF(T9504&lt;=0.2,"Low (1-20%)",IF(T9504&lt;=0.4,"Medium (21-40%)","High (&gt;40%)"))))</f>
        <v/>
      </c>
      <c r="Y9504" s="23" t="str">
        <f aca="false">IF(AND(ISNUMBER(C9504),ISNUMBER(D9504)),D9504-C9504,"")</f>
        <v/>
      </c>
      <c r="Z9504" s="23" t="str">
        <f aca="false">IF(B9504="","",IF(MATCH(B9504,$B$2:$B$12000,0)=ROW()-1,1,0))</f>
        <v/>
      </c>
    </row>
    <row r="9505" customFormat="false" ht="15" hidden="false" customHeight="false" outlineLevel="0" collapsed="false">
      <c r="V9505" s="23" t="str">
        <f aca="false">IF(ISNUMBER(C9505),YEAR(C9505),"")</f>
        <v/>
      </c>
      <c r="W9505" s="23" t="str">
        <f aca="false">IF(ISNUMBER(C9505),MONTH(C9505),"")</f>
        <v/>
      </c>
      <c r="X9505" s="23" t="str">
        <f aca="false">IF(T9505="","",IF(T9505=0,"No discount",IF(T9505&lt;=0.2,"Low (1-20%)",IF(T9505&lt;=0.4,"Medium (21-40%)","High (&gt;40%)"))))</f>
        <v/>
      </c>
      <c r="Y9505" s="23" t="str">
        <f aca="false">IF(AND(ISNUMBER(C9505),ISNUMBER(D9505)),D9505-C9505,"")</f>
        <v/>
      </c>
      <c r="Z9505" s="23" t="str">
        <f aca="false">IF(B9505="","",IF(MATCH(B9505,$B$2:$B$12000,0)=ROW()-1,1,0))</f>
        <v/>
      </c>
    </row>
    <row r="9506" customFormat="false" ht="15" hidden="false" customHeight="false" outlineLevel="0" collapsed="false">
      <c r="V9506" s="23" t="str">
        <f aca="false">IF(ISNUMBER(C9506),YEAR(C9506),"")</f>
        <v/>
      </c>
      <c r="W9506" s="23" t="str">
        <f aca="false">IF(ISNUMBER(C9506),MONTH(C9506),"")</f>
        <v/>
      </c>
      <c r="X9506" s="23" t="str">
        <f aca="false">IF(T9506="","",IF(T9506=0,"No discount",IF(T9506&lt;=0.2,"Low (1-20%)",IF(T9506&lt;=0.4,"Medium (21-40%)","High (&gt;40%)"))))</f>
        <v/>
      </c>
      <c r="Y9506" s="23" t="str">
        <f aca="false">IF(AND(ISNUMBER(C9506),ISNUMBER(D9506)),D9506-C9506,"")</f>
        <v/>
      </c>
      <c r="Z9506" s="23" t="str">
        <f aca="false">IF(B9506="","",IF(MATCH(B9506,$B$2:$B$12000,0)=ROW()-1,1,0))</f>
        <v/>
      </c>
    </row>
    <row r="9507" customFormat="false" ht="15" hidden="false" customHeight="false" outlineLevel="0" collapsed="false">
      <c r="V9507" s="23" t="str">
        <f aca="false">IF(ISNUMBER(C9507),YEAR(C9507),"")</f>
        <v/>
      </c>
      <c r="W9507" s="23" t="str">
        <f aca="false">IF(ISNUMBER(C9507),MONTH(C9507),"")</f>
        <v/>
      </c>
      <c r="X9507" s="23" t="str">
        <f aca="false">IF(T9507="","",IF(T9507=0,"No discount",IF(T9507&lt;=0.2,"Low (1-20%)",IF(T9507&lt;=0.4,"Medium (21-40%)","High (&gt;40%)"))))</f>
        <v/>
      </c>
      <c r="Y9507" s="23" t="str">
        <f aca="false">IF(AND(ISNUMBER(C9507),ISNUMBER(D9507)),D9507-C9507,"")</f>
        <v/>
      </c>
      <c r="Z9507" s="23" t="str">
        <f aca="false">IF(B9507="","",IF(MATCH(B9507,$B$2:$B$12000,0)=ROW()-1,1,0))</f>
        <v/>
      </c>
    </row>
    <row r="9508" customFormat="false" ht="15" hidden="false" customHeight="false" outlineLevel="0" collapsed="false">
      <c r="V9508" s="23" t="str">
        <f aca="false">IF(ISNUMBER(C9508),YEAR(C9508),"")</f>
        <v/>
      </c>
      <c r="W9508" s="23" t="str">
        <f aca="false">IF(ISNUMBER(C9508),MONTH(C9508),"")</f>
        <v/>
      </c>
      <c r="X9508" s="23" t="str">
        <f aca="false">IF(T9508="","",IF(T9508=0,"No discount",IF(T9508&lt;=0.2,"Low (1-20%)",IF(T9508&lt;=0.4,"Medium (21-40%)","High (&gt;40%)"))))</f>
        <v/>
      </c>
      <c r="Y9508" s="23" t="str">
        <f aca="false">IF(AND(ISNUMBER(C9508),ISNUMBER(D9508)),D9508-C9508,"")</f>
        <v/>
      </c>
      <c r="Z9508" s="23" t="str">
        <f aca="false">IF(B9508="","",IF(MATCH(B9508,$B$2:$B$12000,0)=ROW()-1,1,0))</f>
        <v/>
      </c>
    </row>
    <row r="9509" customFormat="false" ht="15" hidden="false" customHeight="false" outlineLevel="0" collapsed="false">
      <c r="V9509" s="23" t="str">
        <f aca="false">IF(ISNUMBER(C9509),YEAR(C9509),"")</f>
        <v/>
      </c>
      <c r="W9509" s="23" t="str">
        <f aca="false">IF(ISNUMBER(C9509),MONTH(C9509),"")</f>
        <v/>
      </c>
      <c r="X9509" s="23" t="str">
        <f aca="false">IF(T9509="","",IF(T9509=0,"No discount",IF(T9509&lt;=0.2,"Low (1-20%)",IF(T9509&lt;=0.4,"Medium (21-40%)","High (&gt;40%)"))))</f>
        <v/>
      </c>
      <c r="Y9509" s="23" t="str">
        <f aca="false">IF(AND(ISNUMBER(C9509),ISNUMBER(D9509)),D9509-C9509,"")</f>
        <v/>
      </c>
      <c r="Z9509" s="23" t="str">
        <f aca="false">IF(B9509="","",IF(MATCH(B9509,$B$2:$B$12000,0)=ROW()-1,1,0))</f>
        <v/>
      </c>
    </row>
    <row r="9510" customFormat="false" ht="15" hidden="false" customHeight="false" outlineLevel="0" collapsed="false">
      <c r="V9510" s="23" t="str">
        <f aca="false">IF(ISNUMBER(C9510),YEAR(C9510),"")</f>
        <v/>
      </c>
      <c r="W9510" s="23" t="str">
        <f aca="false">IF(ISNUMBER(C9510),MONTH(C9510),"")</f>
        <v/>
      </c>
      <c r="X9510" s="23" t="str">
        <f aca="false">IF(T9510="","",IF(T9510=0,"No discount",IF(T9510&lt;=0.2,"Low (1-20%)",IF(T9510&lt;=0.4,"Medium (21-40%)","High (&gt;40%)"))))</f>
        <v/>
      </c>
      <c r="Y9510" s="23" t="str">
        <f aca="false">IF(AND(ISNUMBER(C9510),ISNUMBER(D9510)),D9510-C9510,"")</f>
        <v/>
      </c>
      <c r="Z9510" s="23" t="str">
        <f aca="false">IF(B9510="","",IF(MATCH(B9510,$B$2:$B$12000,0)=ROW()-1,1,0))</f>
        <v/>
      </c>
    </row>
    <row r="9511" customFormat="false" ht="15" hidden="false" customHeight="false" outlineLevel="0" collapsed="false">
      <c r="V9511" s="23" t="str">
        <f aca="false">IF(ISNUMBER(C9511),YEAR(C9511),"")</f>
        <v/>
      </c>
      <c r="W9511" s="23" t="str">
        <f aca="false">IF(ISNUMBER(C9511),MONTH(C9511),"")</f>
        <v/>
      </c>
      <c r="X9511" s="23" t="str">
        <f aca="false">IF(T9511="","",IF(T9511=0,"No discount",IF(T9511&lt;=0.2,"Low (1-20%)",IF(T9511&lt;=0.4,"Medium (21-40%)","High (&gt;40%)"))))</f>
        <v/>
      </c>
      <c r="Y9511" s="23" t="str">
        <f aca="false">IF(AND(ISNUMBER(C9511),ISNUMBER(D9511)),D9511-C9511,"")</f>
        <v/>
      </c>
      <c r="Z9511" s="23" t="str">
        <f aca="false">IF(B9511="","",IF(MATCH(B9511,$B$2:$B$12000,0)=ROW()-1,1,0))</f>
        <v/>
      </c>
    </row>
    <row r="9512" customFormat="false" ht="15" hidden="false" customHeight="false" outlineLevel="0" collapsed="false">
      <c r="V9512" s="23" t="str">
        <f aca="false">IF(ISNUMBER(C9512),YEAR(C9512),"")</f>
        <v/>
      </c>
      <c r="W9512" s="23" t="str">
        <f aca="false">IF(ISNUMBER(C9512),MONTH(C9512),"")</f>
        <v/>
      </c>
      <c r="X9512" s="23" t="str">
        <f aca="false">IF(T9512="","",IF(T9512=0,"No discount",IF(T9512&lt;=0.2,"Low (1-20%)",IF(T9512&lt;=0.4,"Medium (21-40%)","High (&gt;40%)"))))</f>
        <v/>
      </c>
      <c r="Y9512" s="23" t="str">
        <f aca="false">IF(AND(ISNUMBER(C9512),ISNUMBER(D9512)),D9512-C9512,"")</f>
        <v/>
      </c>
      <c r="Z9512" s="23" t="str">
        <f aca="false">IF(B9512="","",IF(MATCH(B9512,$B$2:$B$12000,0)=ROW()-1,1,0))</f>
        <v/>
      </c>
    </row>
    <row r="9513" customFormat="false" ht="15" hidden="false" customHeight="false" outlineLevel="0" collapsed="false">
      <c r="V9513" s="23" t="str">
        <f aca="false">IF(ISNUMBER(C9513),YEAR(C9513),"")</f>
        <v/>
      </c>
      <c r="W9513" s="23" t="str">
        <f aca="false">IF(ISNUMBER(C9513),MONTH(C9513),"")</f>
        <v/>
      </c>
      <c r="X9513" s="23" t="str">
        <f aca="false">IF(T9513="","",IF(T9513=0,"No discount",IF(T9513&lt;=0.2,"Low (1-20%)",IF(T9513&lt;=0.4,"Medium (21-40%)","High (&gt;40%)"))))</f>
        <v/>
      </c>
      <c r="Y9513" s="23" t="str">
        <f aca="false">IF(AND(ISNUMBER(C9513),ISNUMBER(D9513)),D9513-C9513,"")</f>
        <v/>
      </c>
      <c r="Z9513" s="23" t="str">
        <f aca="false">IF(B9513="","",IF(MATCH(B9513,$B$2:$B$12000,0)=ROW()-1,1,0))</f>
        <v/>
      </c>
    </row>
    <row r="9514" customFormat="false" ht="15" hidden="false" customHeight="false" outlineLevel="0" collapsed="false">
      <c r="V9514" s="23" t="str">
        <f aca="false">IF(ISNUMBER(C9514),YEAR(C9514),"")</f>
        <v/>
      </c>
      <c r="W9514" s="23" t="str">
        <f aca="false">IF(ISNUMBER(C9514),MONTH(C9514),"")</f>
        <v/>
      </c>
      <c r="X9514" s="23" t="str">
        <f aca="false">IF(T9514="","",IF(T9514=0,"No discount",IF(T9514&lt;=0.2,"Low (1-20%)",IF(T9514&lt;=0.4,"Medium (21-40%)","High (&gt;40%)"))))</f>
        <v/>
      </c>
      <c r="Y9514" s="23" t="str">
        <f aca="false">IF(AND(ISNUMBER(C9514),ISNUMBER(D9514)),D9514-C9514,"")</f>
        <v/>
      </c>
      <c r="Z9514" s="23" t="str">
        <f aca="false">IF(B9514="","",IF(MATCH(B9514,$B$2:$B$12000,0)=ROW()-1,1,0))</f>
        <v/>
      </c>
    </row>
    <row r="9515" customFormat="false" ht="15" hidden="false" customHeight="false" outlineLevel="0" collapsed="false">
      <c r="V9515" s="23" t="str">
        <f aca="false">IF(ISNUMBER(C9515),YEAR(C9515),"")</f>
        <v/>
      </c>
      <c r="W9515" s="23" t="str">
        <f aca="false">IF(ISNUMBER(C9515),MONTH(C9515),"")</f>
        <v/>
      </c>
      <c r="X9515" s="23" t="str">
        <f aca="false">IF(T9515="","",IF(T9515=0,"No discount",IF(T9515&lt;=0.2,"Low (1-20%)",IF(T9515&lt;=0.4,"Medium (21-40%)","High (&gt;40%)"))))</f>
        <v/>
      </c>
      <c r="Y9515" s="23" t="str">
        <f aca="false">IF(AND(ISNUMBER(C9515),ISNUMBER(D9515)),D9515-C9515,"")</f>
        <v/>
      </c>
      <c r="Z9515" s="23" t="str">
        <f aca="false">IF(B9515="","",IF(MATCH(B9515,$B$2:$B$12000,0)=ROW()-1,1,0))</f>
        <v/>
      </c>
    </row>
    <row r="9516" customFormat="false" ht="15" hidden="false" customHeight="false" outlineLevel="0" collapsed="false">
      <c r="V9516" s="23" t="str">
        <f aca="false">IF(ISNUMBER(C9516),YEAR(C9516),"")</f>
        <v/>
      </c>
      <c r="W9516" s="23" t="str">
        <f aca="false">IF(ISNUMBER(C9516),MONTH(C9516),"")</f>
        <v/>
      </c>
      <c r="X9516" s="23" t="str">
        <f aca="false">IF(T9516="","",IF(T9516=0,"No discount",IF(T9516&lt;=0.2,"Low (1-20%)",IF(T9516&lt;=0.4,"Medium (21-40%)","High (&gt;40%)"))))</f>
        <v/>
      </c>
      <c r="Y9516" s="23" t="str">
        <f aca="false">IF(AND(ISNUMBER(C9516),ISNUMBER(D9516)),D9516-C9516,"")</f>
        <v/>
      </c>
      <c r="Z9516" s="23" t="str">
        <f aca="false">IF(B9516="","",IF(MATCH(B9516,$B$2:$B$12000,0)=ROW()-1,1,0))</f>
        <v/>
      </c>
    </row>
    <row r="9517" customFormat="false" ht="15" hidden="false" customHeight="false" outlineLevel="0" collapsed="false">
      <c r="V9517" s="23" t="str">
        <f aca="false">IF(ISNUMBER(C9517),YEAR(C9517),"")</f>
        <v/>
      </c>
      <c r="W9517" s="23" t="str">
        <f aca="false">IF(ISNUMBER(C9517),MONTH(C9517),"")</f>
        <v/>
      </c>
      <c r="X9517" s="23" t="str">
        <f aca="false">IF(T9517="","",IF(T9517=0,"No discount",IF(T9517&lt;=0.2,"Low (1-20%)",IF(T9517&lt;=0.4,"Medium (21-40%)","High (&gt;40%)"))))</f>
        <v/>
      </c>
      <c r="Y9517" s="23" t="str">
        <f aca="false">IF(AND(ISNUMBER(C9517),ISNUMBER(D9517)),D9517-C9517,"")</f>
        <v/>
      </c>
      <c r="Z9517" s="23" t="str">
        <f aca="false">IF(B9517="","",IF(MATCH(B9517,$B$2:$B$12000,0)=ROW()-1,1,0))</f>
        <v/>
      </c>
    </row>
    <row r="9518" customFormat="false" ht="15" hidden="false" customHeight="false" outlineLevel="0" collapsed="false">
      <c r="V9518" s="23" t="str">
        <f aca="false">IF(ISNUMBER(C9518),YEAR(C9518),"")</f>
        <v/>
      </c>
      <c r="W9518" s="23" t="str">
        <f aca="false">IF(ISNUMBER(C9518),MONTH(C9518),"")</f>
        <v/>
      </c>
      <c r="X9518" s="23" t="str">
        <f aca="false">IF(T9518="","",IF(T9518=0,"No discount",IF(T9518&lt;=0.2,"Low (1-20%)",IF(T9518&lt;=0.4,"Medium (21-40%)","High (&gt;40%)"))))</f>
        <v/>
      </c>
      <c r="Y9518" s="23" t="str">
        <f aca="false">IF(AND(ISNUMBER(C9518),ISNUMBER(D9518)),D9518-C9518,"")</f>
        <v/>
      </c>
      <c r="Z9518" s="23" t="str">
        <f aca="false">IF(B9518="","",IF(MATCH(B9518,$B$2:$B$12000,0)=ROW()-1,1,0))</f>
        <v/>
      </c>
    </row>
    <row r="9519" customFormat="false" ht="15" hidden="false" customHeight="false" outlineLevel="0" collapsed="false">
      <c r="V9519" s="23" t="str">
        <f aca="false">IF(ISNUMBER(C9519),YEAR(C9519),"")</f>
        <v/>
      </c>
      <c r="W9519" s="23" t="str">
        <f aca="false">IF(ISNUMBER(C9519),MONTH(C9519),"")</f>
        <v/>
      </c>
      <c r="X9519" s="23" t="str">
        <f aca="false">IF(T9519="","",IF(T9519=0,"No discount",IF(T9519&lt;=0.2,"Low (1-20%)",IF(T9519&lt;=0.4,"Medium (21-40%)","High (&gt;40%)"))))</f>
        <v/>
      </c>
      <c r="Y9519" s="23" t="str">
        <f aca="false">IF(AND(ISNUMBER(C9519),ISNUMBER(D9519)),D9519-C9519,"")</f>
        <v/>
      </c>
      <c r="Z9519" s="23" t="str">
        <f aca="false">IF(B9519="","",IF(MATCH(B9519,$B$2:$B$12000,0)=ROW()-1,1,0))</f>
        <v/>
      </c>
    </row>
    <row r="9520" customFormat="false" ht="15" hidden="false" customHeight="false" outlineLevel="0" collapsed="false">
      <c r="V9520" s="23" t="str">
        <f aca="false">IF(ISNUMBER(C9520),YEAR(C9520),"")</f>
        <v/>
      </c>
      <c r="W9520" s="23" t="str">
        <f aca="false">IF(ISNUMBER(C9520),MONTH(C9520),"")</f>
        <v/>
      </c>
      <c r="X9520" s="23" t="str">
        <f aca="false">IF(T9520="","",IF(T9520=0,"No discount",IF(T9520&lt;=0.2,"Low (1-20%)",IF(T9520&lt;=0.4,"Medium (21-40%)","High (&gt;40%)"))))</f>
        <v/>
      </c>
      <c r="Y9520" s="23" t="str">
        <f aca="false">IF(AND(ISNUMBER(C9520),ISNUMBER(D9520)),D9520-C9520,"")</f>
        <v/>
      </c>
      <c r="Z9520" s="23" t="str">
        <f aca="false">IF(B9520="","",IF(MATCH(B9520,$B$2:$B$12000,0)=ROW()-1,1,0))</f>
        <v/>
      </c>
    </row>
    <row r="9521" customFormat="false" ht="15" hidden="false" customHeight="false" outlineLevel="0" collapsed="false">
      <c r="V9521" s="23" t="str">
        <f aca="false">IF(ISNUMBER(C9521),YEAR(C9521),"")</f>
        <v/>
      </c>
      <c r="W9521" s="23" t="str">
        <f aca="false">IF(ISNUMBER(C9521),MONTH(C9521),"")</f>
        <v/>
      </c>
      <c r="X9521" s="23" t="str">
        <f aca="false">IF(T9521="","",IF(T9521=0,"No discount",IF(T9521&lt;=0.2,"Low (1-20%)",IF(T9521&lt;=0.4,"Medium (21-40%)","High (&gt;40%)"))))</f>
        <v/>
      </c>
      <c r="Y9521" s="23" t="str">
        <f aca="false">IF(AND(ISNUMBER(C9521),ISNUMBER(D9521)),D9521-C9521,"")</f>
        <v/>
      </c>
      <c r="Z9521" s="23" t="str">
        <f aca="false">IF(B9521="","",IF(MATCH(B9521,$B$2:$B$12000,0)=ROW()-1,1,0))</f>
        <v/>
      </c>
    </row>
    <row r="9522" customFormat="false" ht="15" hidden="false" customHeight="false" outlineLevel="0" collapsed="false">
      <c r="V9522" s="23" t="str">
        <f aca="false">IF(ISNUMBER(C9522),YEAR(C9522),"")</f>
        <v/>
      </c>
      <c r="W9522" s="23" t="str">
        <f aca="false">IF(ISNUMBER(C9522),MONTH(C9522),"")</f>
        <v/>
      </c>
      <c r="X9522" s="23" t="str">
        <f aca="false">IF(T9522="","",IF(T9522=0,"No discount",IF(T9522&lt;=0.2,"Low (1-20%)",IF(T9522&lt;=0.4,"Medium (21-40%)","High (&gt;40%)"))))</f>
        <v/>
      </c>
      <c r="Y9522" s="23" t="str">
        <f aca="false">IF(AND(ISNUMBER(C9522),ISNUMBER(D9522)),D9522-C9522,"")</f>
        <v/>
      </c>
      <c r="Z9522" s="23" t="str">
        <f aca="false">IF(B9522="","",IF(MATCH(B9522,$B$2:$B$12000,0)=ROW()-1,1,0))</f>
        <v/>
      </c>
    </row>
    <row r="9523" customFormat="false" ht="15" hidden="false" customHeight="false" outlineLevel="0" collapsed="false">
      <c r="V9523" s="23" t="str">
        <f aca="false">IF(ISNUMBER(C9523),YEAR(C9523),"")</f>
        <v/>
      </c>
      <c r="W9523" s="23" t="str">
        <f aca="false">IF(ISNUMBER(C9523),MONTH(C9523),"")</f>
        <v/>
      </c>
      <c r="X9523" s="23" t="str">
        <f aca="false">IF(T9523="","",IF(T9523=0,"No discount",IF(T9523&lt;=0.2,"Low (1-20%)",IF(T9523&lt;=0.4,"Medium (21-40%)","High (&gt;40%)"))))</f>
        <v/>
      </c>
      <c r="Y9523" s="23" t="str">
        <f aca="false">IF(AND(ISNUMBER(C9523),ISNUMBER(D9523)),D9523-C9523,"")</f>
        <v/>
      </c>
      <c r="Z9523" s="23" t="str">
        <f aca="false">IF(B9523="","",IF(MATCH(B9523,$B$2:$B$12000,0)=ROW()-1,1,0))</f>
        <v/>
      </c>
    </row>
    <row r="9524" customFormat="false" ht="15" hidden="false" customHeight="false" outlineLevel="0" collapsed="false">
      <c r="V9524" s="23" t="str">
        <f aca="false">IF(ISNUMBER(C9524),YEAR(C9524),"")</f>
        <v/>
      </c>
      <c r="W9524" s="23" t="str">
        <f aca="false">IF(ISNUMBER(C9524),MONTH(C9524),"")</f>
        <v/>
      </c>
      <c r="X9524" s="23" t="str">
        <f aca="false">IF(T9524="","",IF(T9524=0,"No discount",IF(T9524&lt;=0.2,"Low (1-20%)",IF(T9524&lt;=0.4,"Medium (21-40%)","High (&gt;40%)"))))</f>
        <v/>
      </c>
      <c r="Y9524" s="23" t="str">
        <f aca="false">IF(AND(ISNUMBER(C9524),ISNUMBER(D9524)),D9524-C9524,"")</f>
        <v/>
      </c>
      <c r="Z9524" s="23" t="str">
        <f aca="false">IF(B9524="","",IF(MATCH(B9524,$B$2:$B$12000,0)=ROW()-1,1,0))</f>
        <v/>
      </c>
    </row>
    <row r="9525" customFormat="false" ht="15" hidden="false" customHeight="false" outlineLevel="0" collapsed="false">
      <c r="V9525" s="23" t="str">
        <f aca="false">IF(ISNUMBER(C9525),YEAR(C9525),"")</f>
        <v/>
      </c>
      <c r="W9525" s="23" t="str">
        <f aca="false">IF(ISNUMBER(C9525),MONTH(C9525),"")</f>
        <v/>
      </c>
      <c r="X9525" s="23" t="str">
        <f aca="false">IF(T9525="","",IF(T9525=0,"No discount",IF(T9525&lt;=0.2,"Low (1-20%)",IF(T9525&lt;=0.4,"Medium (21-40%)","High (&gt;40%)"))))</f>
        <v/>
      </c>
      <c r="Y9525" s="23" t="str">
        <f aca="false">IF(AND(ISNUMBER(C9525),ISNUMBER(D9525)),D9525-C9525,"")</f>
        <v/>
      </c>
      <c r="Z9525" s="23" t="str">
        <f aca="false">IF(B9525="","",IF(MATCH(B9525,$B$2:$B$12000,0)=ROW()-1,1,0))</f>
        <v/>
      </c>
    </row>
    <row r="9526" customFormat="false" ht="15" hidden="false" customHeight="false" outlineLevel="0" collapsed="false">
      <c r="V9526" s="23" t="str">
        <f aca="false">IF(ISNUMBER(C9526),YEAR(C9526),"")</f>
        <v/>
      </c>
      <c r="W9526" s="23" t="str">
        <f aca="false">IF(ISNUMBER(C9526),MONTH(C9526),"")</f>
        <v/>
      </c>
      <c r="X9526" s="23" t="str">
        <f aca="false">IF(T9526="","",IF(T9526=0,"No discount",IF(T9526&lt;=0.2,"Low (1-20%)",IF(T9526&lt;=0.4,"Medium (21-40%)","High (&gt;40%)"))))</f>
        <v/>
      </c>
      <c r="Y9526" s="23" t="str">
        <f aca="false">IF(AND(ISNUMBER(C9526),ISNUMBER(D9526)),D9526-C9526,"")</f>
        <v/>
      </c>
      <c r="Z9526" s="23" t="str">
        <f aca="false">IF(B9526="","",IF(MATCH(B9526,$B$2:$B$12000,0)=ROW()-1,1,0))</f>
        <v/>
      </c>
    </row>
    <row r="9527" customFormat="false" ht="15" hidden="false" customHeight="false" outlineLevel="0" collapsed="false">
      <c r="V9527" s="23" t="str">
        <f aca="false">IF(ISNUMBER(C9527),YEAR(C9527),"")</f>
        <v/>
      </c>
      <c r="W9527" s="23" t="str">
        <f aca="false">IF(ISNUMBER(C9527),MONTH(C9527),"")</f>
        <v/>
      </c>
      <c r="X9527" s="23" t="str">
        <f aca="false">IF(T9527="","",IF(T9527=0,"No discount",IF(T9527&lt;=0.2,"Low (1-20%)",IF(T9527&lt;=0.4,"Medium (21-40%)","High (&gt;40%)"))))</f>
        <v/>
      </c>
      <c r="Y9527" s="23" t="str">
        <f aca="false">IF(AND(ISNUMBER(C9527),ISNUMBER(D9527)),D9527-C9527,"")</f>
        <v/>
      </c>
      <c r="Z9527" s="23" t="str">
        <f aca="false">IF(B9527="","",IF(MATCH(B9527,$B$2:$B$12000,0)=ROW()-1,1,0))</f>
        <v/>
      </c>
    </row>
    <row r="9528" customFormat="false" ht="15" hidden="false" customHeight="false" outlineLevel="0" collapsed="false">
      <c r="V9528" s="23" t="str">
        <f aca="false">IF(ISNUMBER(C9528),YEAR(C9528),"")</f>
        <v/>
      </c>
      <c r="W9528" s="23" t="str">
        <f aca="false">IF(ISNUMBER(C9528),MONTH(C9528),"")</f>
        <v/>
      </c>
      <c r="X9528" s="23" t="str">
        <f aca="false">IF(T9528="","",IF(T9528=0,"No discount",IF(T9528&lt;=0.2,"Low (1-20%)",IF(T9528&lt;=0.4,"Medium (21-40%)","High (&gt;40%)"))))</f>
        <v/>
      </c>
      <c r="Y9528" s="23" t="str">
        <f aca="false">IF(AND(ISNUMBER(C9528),ISNUMBER(D9528)),D9528-C9528,"")</f>
        <v/>
      </c>
      <c r="Z9528" s="23" t="str">
        <f aca="false">IF(B9528="","",IF(MATCH(B9528,$B$2:$B$12000,0)=ROW()-1,1,0))</f>
        <v/>
      </c>
    </row>
    <row r="9529" customFormat="false" ht="15" hidden="false" customHeight="false" outlineLevel="0" collapsed="false">
      <c r="V9529" s="23" t="str">
        <f aca="false">IF(ISNUMBER(C9529),YEAR(C9529),"")</f>
        <v/>
      </c>
      <c r="W9529" s="23" t="str">
        <f aca="false">IF(ISNUMBER(C9529),MONTH(C9529),"")</f>
        <v/>
      </c>
      <c r="X9529" s="23" t="str">
        <f aca="false">IF(T9529="","",IF(T9529=0,"No discount",IF(T9529&lt;=0.2,"Low (1-20%)",IF(T9529&lt;=0.4,"Medium (21-40%)","High (&gt;40%)"))))</f>
        <v/>
      </c>
      <c r="Y9529" s="23" t="str">
        <f aca="false">IF(AND(ISNUMBER(C9529),ISNUMBER(D9529)),D9529-C9529,"")</f>
        <v/>
      </c>
      <c r="Z9529" s="23" t="str">
        <f aca="false">IF(B9529="","",IF(MATCH(B9529,$B$2:$B$12000,0)=ROW()-1,1,0))</f>
        <v/>
      </c>
    </row>
    <row r="9530" customFormat="false" ht="15" hidden="false" customHeight="false" outlineLevel="0" collapsed="false">
      <c r="V9530" s="23" t="str">
        <f aca="false">IF(ISNUMBER(C9530),YEAR(C9530),"")</f>
        <v/>
      </c>
      <c r="W9530" s="23" t="str">
        <f aca="false">IF(ISNUMBER(C9530),MONTH(C9530),"")</f>
        <v/>
      </c>
      <c r="X9530" s="23" t="str">
        <f aca="false">IF(T9530="","",IF(T9530=0,"No discount",IF(T9530&lt;=0.2,"Low (1-20%)",IF(T9530&lt;=0.4,"Medium (21-40%)","High (&gt;40%)"))))</f>
        <v/>
      </c>
      <c r="Y9530" s="23" t="str">
        <f aca="false">IF(AND(ISNUMBER(C9530),ISNUMBER(D9530)),D9530-C9530,"")</f>
        <v/>
      </c>
      <c r="Z9530" s="23" t="str">
        <f aca="false">IF(B9530="","",IF(MATCH(B9530,$B$2:$B$12000,0)=ROW()-1,1,0))</f>
        <v/>
      </c>
    </row>
    <row r="9531" customFormat="false" ht="15" hidden="false" customHeight="false" outlineLevel="0" collapsed="false">
      <c r="V9531" s="23" t="str">
        <f aca="false">IF(ISNUMBER(C9531),YEAR(C9531),"")</f>
        <v/>
      </c>
      <c r="W9531" s="23" t="str">
        <f aca="false">IF(ISNUMBER(C9531),MONTH(C9531),"")</f>
        <v/>
      </c>
      <c r="X9531" s="23" t="str">
        <f aca="false">IF(T9531="","",IF(T9531=0,"No discount",IF(T9531&lt;=0.2,"Low (1-20%)",IF(T9531&lt;=0.4,"Medium (21-40%)","High (&gt;40%)"))))</f>
        <v/>
      </c>
      <c r="Y9531" s="23" t="str">
        <f aca="false">IF(AND(ISNUMBER(C9531),ISNUMBER(D9531)),D9531-C9531,"")</f>
        <v/>
      </c>
      <c r="Z9531" s="23" t="str">
        <f aca="false">IF(B9531="","",IF(MATCH(B9531,$B$2:$B$12000,0)=ROW()-1,1,0))</f>
        <v/>
      </c>
    </row>
    <row r="9532" customFormat="false" ht="15" hidden="false" customHeight="false" outlineLevel="0" collapsed="false">
      <c r="V9532" s="23" t="str">
        <f aca="false">IF(ISNUMBER(C9532),YEAR(C9532),"")</f>
        <v/>
      </c>
      <c r="W9532" s="23" t="str">
        <f aca="false">IF(ISNUMBER(C9532),MONTH(C9532),"")</f>
        <v/>
      </c>
      <c r="X9532" s="23" t="str">
        <f aca="false">IF(T9532="","",IF(T9532=0,"No discount",IF(T9532&lt;=0.2,"Low (1-20%)",IF(T9532&lt;=0.4,"Medium (21-40%)","High (&gt;40%)"))))</f>
        <v/>
      </c>
      <c r="Y9532" s="23" t="str">
        <f aca="false">IF(AND(ISNUMBER(C9532),ISNUMBER(D9532)),D9532-C9532,"")</f>
        <v/>
      </c>
      <c r="Z9532" s="23" t="str">
        <f aca="false">IF(B9532="","",IF(MATCH(B9532,$B$2:$B$12000,0)=ROW()-1,1,0))</f>
        <v/>
      </c>
    </row>
    <row r="9533" customFormat="false" ht="15" hidden="false" customHeight="false" outlineLevel="0" collapsed="false">
      <c r="V9533" s="23" t="str">
        <f aca="false">IF(ISNUMBER(C9533),YEAR(C9533),"")</f>
        <v/>
      </c>
      <c r="W9533" s="23" t="str">
        <f aca="false">IF(ISNUMBER(C9533),MONTH(C9533),"")</f>
        <v/>
      </c>
      <c r="X9533" s="23" t="str">
        <f aca="false">IF(T9533="","",IF(T9533=0,"No discount",IF(T9533&lt;=0.2,"Low (1-20%)",IF(T9533&lt;=0.4,"Medium (21-40%)","High (&gt;40%)"))))</f>
        <v/>
      </c>
      <c r="Y9533" s="23" t="str">
        <f aca="false">IF(AND(ISNUMBER(C9533),ISNUMBER(D9533)),D9533-C9533,"")</f>
        <v/>
      </c>
      <c r="Z9533" s="23" t="str">
        <f aca="false">IF(B9533="","",IF(MATCH(B9533,$B$2:$B$12000,0)=ROW()-1,1,0))</f>
        <v/>
      </c>
    </row>
    <row r="9534" customFormat="false" ht="15" hidden="false" customHeight="false" outlineLevel="0" collapsed="false">
      <c r="V9534" s="23" t="str">
        <f aca="false">IF(ISNUMBER(C9534),YEAR(C9534),"")</f>
        <v/>
      </c>
      <c r="W9534" s="23" t="str">
        <f aca="false">IF(ISNUMBER(C9534),MONTH(C9534),"")</f>
        <v/>
      </c>
      <c r="X9534" s="23" t="str">
        <f aca="false">IF(T9534="","",IF(T9534=0,"No discount",IF(T9534&lt;=0.2,"Low (1-20%)",IF(T9534&lt;=0.4,"Medium (21-40%)","High (&gt;40%)"))))</f>
        <v/>
      </c>
      <c r="Y9534" s="23" t="str">
        <f aca="false">IF(AND(ISNUMBER(C9534),ISNUMBER(D9534)),D9534-C9534,"")</f>
        <v/>
      </c>
      <c r="Z9534" s="23" t="str">
        <f aca="false">IF(B9534="","",IF(MATCH(B9534,$B$2:$B$12000,0)=ROW()-1,1,0))</f>
        <v/>
      </c>
    </row>
    <row r="9535" customFormat="false" ht="15" hidden="false" customHeight="false" outlineLevel="0" collapsed="false">
      <c r="V9535" s="23" t="str">
        <f aca="false">IF(ISNUMBER(C9535),YEAR(C9535),"")</f>
        <v/>
      </c>
      <c r="W9535" s="23" t="str">
        <f aca="false">IF(ISNUMBER(C9535),MONTH(C9535),"")</f>
        <v/>
      </c>
      <c r="X9535" s="23" t="str">
        <f aca="false">IF(T9535="","",IF(T9535=0,"No discount",IF(T9535&lt;=0.2,"Low (1-20%)",IF(T9535&lt;=0.4,"Medium (21-40%)","High (&gt;40%)"))))</f>
        <v/>
      </c>
      <c r="Y9535" s="23" t="str">
        <f aca="false">IF(AND(ISNUMBER(C9535),ISNUMBER(D9535)),D9535-C9535,"")</f>
        <v/>
      </c>
      <c r="Z9535" s="23" t="str">
        <f aca="false">IF(B9535="","",IF(MATCH(B9535,$B$2:$B$12000,0)=ROW()-1,1,0))</f>
        <v/>
      </c>
    </row>
    <row r="9536" customFormat="false" ht="15" hidden="false" customHeight="false" outlineLevel="0" collapsed="false">
      <c r="V9536" s="23" t="str">
        <f aca="false">IF(ISNUMBER(C9536),YEAR(C9536),"")</f>
        <v/>
      </c>
      <c r="W9536" s="23" t="str">
        <f aca="false">IF(ISNUMBER(C9536),MONTH(C9536),"")</f>
        <v/>
      </c>
      <c r="X9536" s="23" t="str">
        <f aca="false">IF(T9536="","",IF(T9536=0,"No discount",IF(T9536&lt;=0.2,"Low (1-20%)",IF(T9536&lt;=0.4,"Medium (21-40%)","High (&gt;40%)"))))</f>
        <v/>
      </c>
      <c r="Y9536" s="23" t="str">
        <f aca="false">IF(AND(ISNUMBER(C9536),ISNUMBER(D9536)),D9536-C9536,"")</f>
        <v/>
      </c>
      <c r="Z9536" s="23" t="str">
        <f aca="false">IF(B9536="","",IF(MATCH(B9536,$B$2:$B$12000,0)=ROW()-1,1,0))</f>
        <v/>
      </c>
    </row>
    <row r="9537" customFormat="false" ht="15" hidden="false" customHeight="false" outlineLevel="0" collapsed="false">
      <c r="V9537" s="23" t="str">
        <f aca="false">IF(ISNUMBER(C9537),YEAR(C9537),"")</f>
        <v/>
      </c>
      <c r="W9537" s="23" t="str">
        <f aca="false">IF(ISNUMBER(C9537),MONTH(C9537),"")</f>
        <v/>
      </c>
      <c r="X9537" s="23" t="str">
        <f aca="false">IF(T9537="","",IF(T9537=0,"No discount",IF(T9537&lt;=0.2,"Low (1-20%)",IF(T9537&lt;=0.4,"Medium (21-40%)","High (&gt;40%)"))))</f>
        <v/>
      </c>
      <c r="Y9537" s="23" t="str">
        <f aca="false">IF(AND(ISNUMBER(C9537),ISNUMBER(D9537)),D9537-C9537,"")</f>
        <v/>
      </c>
      <c r="Z9537" s="23" t="str">
        <f aca="false">IF(B9537="","",IF(MATCH(B9537,$B$2:$B$12000,0)=ROW()-1,1,0))</f>
        <v/>
      </c>
    </row>
    <row r="9538" customFormat="false" ht="15" hidden="false" customHeight="false" outlineLevel="0" collapsed="false">
      <c r="V9538" s="23" t="str">
        <f aca="false">IF(ISNUMBER(C9538),YEAR(C9538),"")</f>
        <v/>
      </c>
      <c r="W9538" s="23" t="str">
        <f aca="false">IF(ISNUMBER(C9538),MONTH(C9538),"")</f>
        <v/>
      </c>
      <c r="X9538" s="23" t="str">
        <f aca="false">IF(T9538="","",IF(T9538=0,"No discount",IF(T9538&lt;=0.2,"Low (1-20%)",IF(T9538&lt;=0.4,"Medium (21-40%)","High (&gt;40%)"))))</f>
        <v/>
      </c>
      <c r="Y9538" s="23" t="str">
        <f aca="false">IF(AND(ISNUMBER(C9538),ISNUMBER(D9538)),D9538-C9538,"")</f>
        <v/>
      </c>
      <c r="Z9538" s="23" t="str">
        <f aca="false">IF(B9538="","",IF(MATCH(B9538,$B$2:$B$12000,0)=ROW()-1,1,0))</f>
        <v/>
      </c>
    </row>
    <row r="9539" customFormat="false" ht="15" hidden="false" customHeight="false" outlineLevel="0" collapsed="false">
      <c r="V9539" s="23" t="str">
        <f aca="false">IF(ISNUMBER(C9539),YEAR(C9539),"")</f>
        <v/>
      </c>
      <c r="W9539" s="23" t="str">
        <f aca="false">IF(ISNUMBER(C9539),MONTH(C9539),"")</f>
        <v/>
      </c>
      <c r="X9539" s="23" t="str">
        <f aca="false">IF(T9539="","",IF(T9539=0,"No discount",IF(T9539&lt;=0.2,"Low (1-20%)",IF(T9539&lt;=0.4,"Medium (21-40%)","High (&gt;40%)"))))</f>
        <v/>
      </c>
      <c r="Y9539" s="23" t="str">
        <f aca="false">IF(AND(ISNUMBER(C9539),ISNUMBER(D9539)),D9539-C9539,"")</f>
        <v/>
      </c>
      <c r="Z9539" s="23" t="str">
        <f aca="false">IF(B9539="","",IF(MATCH(B9539,$B$2:$B$12000,0)=ROW()-1,1,0))</f>
        <v/>
      </c>
    </row>
    <row r="9540" customFormat="false" ht="15" hidden="false" customHeight="false" outlineLevel="0" collapsed="false">
      <c r="V9540" s="23" t="str">
        <f aca="false">IF(ISNUMBER(C9540),YEAR(C9540),"")</f>
        <v/>
      </c>
      <c r="W9540" s="23" t="str">
        <f aca="false">IF(ISNUMBER(C9540),MONTH(C9540),"")</f>
        <v/>
      </c>
      <c r="X9540" s="23" t="str">
        <f aca="false">IF(T9540="","",IF(T9540=0,"No discount",IF(T9540&lt;=0.2,"Low (1-20%)",IF(T9540&lt;=0.4,"Medium (21-40%)","High (&gt;40%)"))))</f>
        <v/>
      </c>
      <c r="Y9540" s="23" t="str">
        <f aca="false">IF(AND(ISNUMBER(C9540),ISNUMBER(D9540)),D9540-C9540,"")</f>
        <v/>
      </c>
      <c r="Z9540" s="23" t="str">
        <f aca="false">IF(B9540="","",IF(MATCH(B9540,$B$2:$B$12000,0)=ROW()-1,1,0))</f>
        <v/>
      </c>
    </row>
    <row r="9541" customFormat="false" ht="15" hidden="false" customHeight="false" outlineLevel="0" collapsed="false">
      <c r="V9541" s="23" t="str">
        <f aca="false">IF(ISNUMBER(C9541),YEAR(C9541),"")</f>
        <v/>
      </c>
      <c r="W9541" s="23" t="str">
        <f aca="false">IF(ISNUMBER(C9541),MONTH(C9541),"")</f>
        <v/>
      </c>
      <c r="X9541" s="23" t="str">
        <f aca="false">IF(T9541="","",IF(T9541=0,"No discount",IF(T9541&lt;=0.2,"Low (1-20%)",IF(T9541&lt;=0.4,"Medium (21-40%)","High (&gt;40%)"))))</f>
        <v/>
      </c>
      <c r="Y9541" s="23" t="str">
        <f aca="false">IF(AND(ISNUMBER(C9541),ISNUMBER(D9541)),D9541-C9541,"")</f>
        <v/>
      </c>
      <c r="Z9541" s="23" t="str">
        <f aca="false">IF(B9541="","",IF(MATCH(B9541,$B$2:$B$12000,0)=ROW()-1,1,0))</f>
        <v/>
      </c>
    </row>
    <row r="9542" customFormat="false" ht="15" hidden="false" customHeight="false" outlineLevel="0" collapsed="false">
      <c r="V9542" s="23" t="str">
        <f aca="false">IF(ISNUMBER(C9542),YEAR(C9542),"")</f>
        <v/>
      </c>
      <c r="W9542" s="23" t="str">
        <f aca="false">IF(ISNUMBER(C9542),MONTH(C9542),"")</f>
        <v/>
      </c>
      <c r="X9542" s="23" t="str">
        <f aca="false">IF(T9542="","",IF(T9542=0,"No discount",IF(T9542&lt;=0.2,"Low (1-20%)",IF(T9542&lt;=0.4,"Medium (21-40%)","High (&gt;40%)"))))</f>
        <v/>
      </c>
      <c r="Y9542" s="23" t="str">
        <f aca="false">IF(AND(ISNUMBER(C9542),ISNUMBER(D9542)),D9542-C9542,"")</f>
        <v/>
      </c>
      <c r="Z9542" s="23" t="str">
        <f aca="false">IF(B9542="","",IF(MATCH(B9542,$B$2:$B$12000,0)=ROW()-1,1,0))</f>
        <v/>
      </c>
    </row>
    <row r="9543" customFormat="false" ht="15" hidden="false" customHeight="false" outlineLevel="0" collapsed="false">
      <c r="V9543" s="23" t="str">
        <f aca="false">IF(ISNUMBER(C9543),YEAR(C9543),"")</f>
        <v/>
      </c>
      <c r="W9543" s="23" t="str">
        <f aca="false">IF(ISNUMBER(C9543),MONTH(C9543),"")</f>
        <v/>
      </c>
      <c r="X9543" s="23" t="str">
        <f aca="false">IF(T9543="","",IF(T9543=0,"No discount",IF(T9543&lt;=0.2,"Low (1-20%)",IF(T9543&lt;=0.4,"Medium (21-40%)","High (&gt;40%)"))))</f>
        <v/>
      </c>
      <c r="Y9543" s="23" t="str">
        <f aca="false">IF(AND(ISNUMBER(C9543),ISNUMBER(D9543)),D9543-C9543,"")</f>
        <v/>
      </c>
      <c r="Z9543" s="23" t="str">
        <f aca="false">IF(B9543="","",IF(MATCH(B9543,$B$2:$B$12000,0)=ROW()-1,1,0))</f>
        <v/>
      </c>
    </row>
    <row r="9544" customFormat="false" ht="15" hidden="false" customHeight="false" outlineLevel="0" collapsed="false">
      <c r="V9544" s="23" t="str">
        <f aca="false">IF(ISNUMBER(C9544),YEAR(C9544),"")</f>
        <v/>
      </c>
      <c r="W9544" s="23" t="str">
        <f aca="false">IF(ISNUMBER(C9544),MONTH(C9544),"")</f>
        <v/>
      </c>
      <c r="X9544" s="23" t="str">
        <f aca="false">IF(T9544="","",IF(T9544=0,"No discount",IF(T9544&lt;=0.2,"Low (1-20%)",IF(T9544&lt;=0.4,"Medium (21-40%)","High (&gt;40%)"))))</f>
        <v/>
      </c>
      <c r="Y9544" s="23" t="str">
        <f aca="false">IF(AND(ISNUMBER(C9544),ISNUMBER(D9544)),D9544-C9544,"")</f>
        <v/>
      </c>
      <c r="Z9544" s="23" t="str">
        <f aca="false">IF(B9544="","",IF(MATCH(B9544,$B$2:$B$12000,0)=ROW()-1,1,0))</f>
        <v/>
      </c>
    </row>
    <row r="9545" customFormat="false" ht="15" hidden="false" customHeight="false" outlineLevel="0" collapsed="false">
      <c r="V9545" s="23" t="str">
        <f aca="false">IF(ISNUMBER(C9545),YEAR(C9545),"")</f>
        <v/>
      </c>
      <c r="W9545" s="23" t="str">
        <f aca="false">IF(ISNUMBER(C9545),MONTH(C9545),"")</f>
        <v/>
      </c>
      <c r="X9545" s="23" t="str">
        <f aca="false">IF(T9545="","",IF(T9545=0,"No discount",IF(T9545&lt;=0.2,"Low (1-20%)",IF(T9545&lt;=0.4,"Medium (21-40%)","High (&gt;40%)"))))</f>
        <v/>
      </c>
      <c r="Y9545" s="23" t="str">
        <f aca="false">IF(AND(ISNUMBER(C9545),ISNUMBER(D9545)),D9545-C9545,"")</f>
        <v/>
      </c>
      <c r="Z9545" s="23" t="str">
        <f aca="false">IF(B9545="","",IF(MATCH(B9545,$B$2:$B$12000,0)=ROW()-1,1,0))</f>
        <v/>
      </c>
    </row>
    <row r="9546" customFormat="false" ht="15" hidden="false" customHeight="false" outlineLevel="0" collapsed="false">
      <c r="V9546" s="23" t="str">
        <f aca="false">IF(ISNUMBER(C9546),YEAR(C9546),"")</f>
        <v/>
      </c>
      <c r="W9546" s="23" t="str">
        <f aca="false">IF(ISNUMBER(C9546),MONTH(C9546),"")</f>
        <v/>
      </c>
      <c r="X9546" s="23" t="str">
        <f aca="false">IF(T9546="","",IF(T9546=0,"No discount",IF(T9546&lt;=0.2,"Low (1-20%)",IF(T9546&lt;=0.4,"Medium (21-40%)","High (&gt;40%)"))))</f>
        <v/>
      </c>
      <c r="Y9546" s="23" t="str">
        <f aca="false">IF(AND(ISNUMBER(C9546),ISNUMBER(D9546)),D9546-C9546,"")</f>
        <v/>
      </c>
      <c r="Z9546" s="23" t="str">
        <f aca="false">IF(B9546="","",IF(MATCH(B9546,$B$2:$B$12000,0)=ROW()-1,1,0))</f>
        <v/>
      </c>
    </row>
    <row r="9547" customFormat="false" ht="15" hidden="false" customHeight="false" outlineLevel="0" collapsed="false">
      <c r="V9547" s="23" t="str">
        <f aca="false">IF(ISNUMBER(C9547),YEAR(C9547),"")</f>
        <v/>
      </c>
      <c r="W9547" s="23" t="str">
        <f aca="false">IF(ISNUMBER(C9547),MONTH(C9547),"")</f>
        <v/>
      </c>
      <c r="X9547" s="23" t="str">
        <f aca="false">IF(T9547="","",IF(T9547=0,"No discount",IF(T9547&lt;=0.2,"Low (1-20%)",IF(T9547&lt;=0.4,"Medium (21-40%)","High (&gt;40%)"))))</f>
        <v/>
      </c>
      <c r="Y9547" s="23" t="str">
        <f aca="false">IF(AND(ISNUMBER(C9547),ISNUMBER(D9547)),D9547-C9547,"")</f>
        <v/>
      </c>
      <c r="Z9547" s="23" t="str">
        <f aca="false">IF(B9547="","",IF(MATCH(B9547,$B$2:$B$12000,0)=ROW()-1,1,0))</f>
        <v/>
      </c>
    </row>
    <row r="9548" customFormat="false" ht="15" hidden="false" customHeight="false" outlineLevel="0" collapsed="false">
      <c r="V9548" s="23" t="str">
        <f aca="false">IF(ISNUMBER(C9548),YEAR(C9548),"")</f>
        <v/>
      </c>
      <c r="W9548" s="23" t="str">
        <f aca="false">IF(ISNUMBER(C9548),MONTH(C9548),"")</f>
        <v/>
      </c>
      <c r="X9548" s="23" t="str">
        <f aca="false">IF(T9548="","",IF(T9548=0,"No discount",IF(T9548&lt;=0.2,"Low (1-20%)",IF(T9548&lt;=0.4,"Medium (21-40%)","High (&gt;40%)"))))</f>
        <v/>
      </c>
      <c r="Y9548" s="23" t="str">
        <f aca="false">IF(AND(ISNUMBER(C9548),ISNUMBER(D9548)),D9548-C9548,"")</f>
        <v/>
      </c>
      <c r="Z9548" s="23" t="str">
        <f aca="false">IF(B9548="","",IF(MATCH(B9548,$B$2:$B$12000,0)=ROW()-1,1,0))</f>
        <v/>
      </c>
    </row>
    <row r="9549" customFormat="false" ht="15" hidden="false" customHeight="false" outlineLevel="0" collapsed="false">
      <c r="V9549" s="23" t="str">
        <f aca="false">IF(ISNUMBER(C9549),YEAR(C9549),"")</f>
        <v/>
      </c>
      <c r="W9549" s="23" t="str">
        <f aca="false">IF(ISNUMBER(C9549),MONTH(C9549),"")</f>
        <v/>
      </c>
      <c r="X9549" s="23" t="str">
        <f aca="false">IF(T9549="","",IF(T9549=0,"No discount",IF(T9549&lt;=0.2,"Low (1-20%)",IF(T9549&lt;=0.4,"Medium (21-40%)","High (&gt;40%)"))))</f>
        <v/>
      </c>
      <c r="Y9549" s="23" t="str">
        <f aca="false">IF(AND(ISNUMBER(C9549),ISNUMBER(D9549)),D9549-C9549,"")</f>
        <v/>
      </c>
      <c r="Z9549" s="23" t="str">
        <f aca="false">IF(B9549="","",IF(MATCH(B9549,$B$2:$B$12000,0)=ROW()-1,1,0))</f>
        <v/>
      </c>
    </row>
    <row r="9550" customFormat="false" ht="15" hidden="false" customHeight="false" outlineLevel="0" collapsed="false">
      <c r="V9550" s="23" t="str">
        <f aca="false">IF(ISNUMBER(C9550),YEAR(C9550),"")</f>
        <v/>
      </c>
      <c r="W9550" s="23" t="str">
        <f aca="false">IF(ISNUMBER(C9550),MONTH(C9550),"")</f>
        <v/>
      </c>
      <c r="X9550" s="23" t="str">
        <f aca="false">IF(T9550="","",IF(T9550=0,"No discount",IF(T9550&lt;=0.2,"Low (1-20%)",IF(T9550&lt;=0.4,"Medium (21-40%)","High (&gt;40%)"))))</f>
        <v/>
      </c>
      <c r="Y9550" s="23" t="str">
        <f aca="false">IF(AND(ISNUMBER(C9550),ISNUMBER(D9550)),D9550-C9550,"")</f>
        <v/>
      </c>
      <c r="Z9550" s="23" t="str">
        <f aca="false">IF(B9550="","",IF(MATCH(B9550,$B$2:$B$12000,0)=ROW()-1,1,0))</f>
        <v/>
      </c>
    </row>
    <row r="9551" customFormat="false" ht="15" hidden="false" customHeight="false" outlineLevel="0" collapsed="false">
      <c r="V9551" s="23" t="str">
        <f aca="false">IF(ISNUMBER(C9551),YEAR(C9551),"")</f>
        <v/>
      </c>
      <c r="W9551" s="23" t="str">
        <f aca="false">IF(ISNUMBER(C9551),MONTH(C9551),"")</f>
        <v/>
      </c>
      <c r="X9551" s="23" t="str">
        <f aca="false">IF(T9551="","",IF(T9551=0,"No discount",IF(T9551&lt;=0.2,"Low (1-20%)",IF(T9551&lt;=0.4,"Medium (21-40%)","High (&gt;40%)"))))</f>
        <v/>
      </c>
      <c r="Y9551" s="23" t="str">
        <f aca="false">IF(AND(ISNUMBER(C9551),ISNUMBER(D9551)),D9551-C9551,"")</f>
        <v/>
      </c>
      <c r="Z9551" s="23" t="str">
        <f aca="false">IF(B9551="","",IF(MATCH(B9551,$B$2:$B$12000,0)=ROW()-1,1,0))</f>
        <v/>
      </c>
    </row>
    <row r="9552" customFormat="false" ht="15" hidden="false" customHeight="false" outlineLevel="0" collapsed="false">
      <c r="V9552" s="23" t="str">
        <f aca="false">IF(ISNUMBER(C9552),YEAR(C9552),"")</f>
        <v/>
      </c>
      <c r="W9552" s="23" t="str">
        <f aca="false">IF(ISNUMBER(C9552),MONTH(C9552),"")</f>
        <v/>
      </c>
      <c r="X9552" s="23" t="str">
        <f aca="false">IF(T9552="","",IF(T9552=0,"No discount",IF(T9552&lt;=0.2,"Low (1-20%)",IF(T9552&lt;=0.4,"Medium (21-40%)","High (&gt;40%)"))))</f>
        <v/>
      </c>
      <c r="Y9552" s="23" t="str">
        <f aca="false">IF(AND(ISNUMBER(C9552),ISNUMBER(D9552)),D9552-C9552,"")</f>
        <v/>
      </c>
      <c r="Z9552" s="23" t="str">
        <f aca="false">IF(B9552="","",IF(MATCH(B9552,$B$2:$B$12000,0)=ROW()-1,1,0))</f>
        <v/>
      </c>
    </row>
    <row r="9553" customFormat="false" ht="15" hidden="false" customHeight="false" outlineLevel="0" collapsed="false">
      <c r="V9553" s="23" t="str">
        <f aca="false">IF(ISNUMBER(C9553),YEAR(C9553),"")</f>
        <v/>
      </c>
      <c r="W9553" s="23" t="str">
        <f aca="false">IF(ISNUMBER(C9553),MONTH(C9553),"")</f>
        <v/>
      </c>
      <c r="X9553" s="23" t="str">
        <f aca="false">IF(T9553="","",IF(T9553=0,"No discount",IF(T9553&lt;=0.2,"Low (1-20%)",IF(T9553&lt;=0.4,"Medium (21-40%)","High (&gt;40%)"))))</f>
        <v/>
      </c>
      <c r="Y9553" s="23" t="str">
        <f aca="false">IF(AND(ISNUMBER(C9553),ISNUMBER(D9553)),D9553-C9553,"")</f>
        <v/>
      </c>
      <c r="Z9553" s="23" t="str">
        <f aca="false">IF(B9553="","",IF(MATCH(B9553,$B$2:$B$12000,0)=ROW()-1,1,0))</f>
        <v/>
      </c>
    </row>
    <row r="9554" customFormat="false" ht="15" hidden="false" customHeight="false" outlineLevel="0" collapsed="false">
      <c r="V9554" s="23" t="str">
        <f aca="false">IF(ISNUMBER(C9554),YEAR(C9554),"")</f>
        <v/>
      </c>
      <c r="W9554" s="23" t="str">
        <f aca="false">IF(ISNUMBER(C9554),MONTH(C9554),"")</f>
        <v/>
      </c>
      <c r="X9554" s="23" t="str">
        <f aca="false">IF(T9554="","",IF(T9554=0,"No discount",IF(T9554&lt;=0.2,"Low (1-20%)",IF(T9554&lt;=0.4,"Medium (21-40%)","High (&gt;40%)"))))</f>
        <v/>
      </c>
      <c r="Y9554" s="23" t="str">
        <f aca="false">IF(AND(ISNUMBER(C9554),ISNUMBER(D9554)),D9554-C9554,"")</f>
        <v/>
      </c>
      <c r="Z9554" s="23" t="str">
        <f aca="false">IF(B9554="","",IF(MATCH(B9554,$B$2:$B$12000,0)=ROW()-1,1,0))</f>
        <v/>
      </c>
    </row>
    <row r="9555" customFormat="false" ht="15" hidden="false" customHeight="false" outlineLevel="0" collapsed="false">
      <c r="V9555" s="23" t="str">
        <f aca="false">IF(ISNUMBER(C9555),YEAR(C9555),"")</f>
        <v/>
      </c>
      <c r="W9555" s="23" t="str">
        <f aca="false">IF(ISNUMBER(C9555),MONTH(C9555),"")</f>
        <v/>
      </c>
      <c r="X9555" s="23" t="str">
        <f aca="false">IF(T9555="","",IF(T9555=0,"No discount",IF(T9555&lt;=0.2,"Low (1-20%)",IF(T9555&lt;=0.4,"Medium (21-40%)","High (&gt;40%)"))))</f>
        <v/>
      </c>
      <c r="Y9555" s="23" t="str">
        <f aca="false">IF(AND(ISNUMBER(C9555),ISNUMBER(D9555)),D9555-C9555,"")</f>
        <v/>
      </c>
      <c r="Z9555" s="23" t="str">
        <f aca="false">IF(B9555="","",IF(MATCH(B9555,$B$2:$B$12000,0)=ROW()-1,1,0))</f>
        <v/>
      </c>
    </row>
    <row r="9556" customFormat="false" ht="15" hidden="false" customHeight="false" outlineLevel="0" collapsed="false">
      <c r="V9556" s="23" t="str">
        <f aca="false">IF(ISNUMBER(C9556),YEAR(C9556),"")</f>
        <v/>
      </c>
      <c r="W9556" s="23" t="str">
        <f aca="false">IF(ISNUMBER(C9556),MONTH(C9556),"")</f>
        <v/>
      </c>
      <c r="X9556" s="23" t="str">
        <f aca="false">IF(T9556="","",IF(T9556=0,"No discount",IF(T9556&lt;=0.2,"Low (1-20%)",IF(T9556&lt;=0.4,"Medium (21-40%)","High (&gt;40%)"))))</f>
        <v/>
      </c>
      <c r="Y9556" s="23" t="str">
        <f aca="false">IF(AND(ISNUMBER(C9556),ISNUMBER(D9556)),D9556-C9556,"")</f>
        <v/>
      </c>
      <c r="Z9556" s="23" t="str">
        <f aca="false">IF(B9556="","",IF(MATCH(B9556,$B$2:$B$12000,0)=ROW()-1,1,0))</f>
        <v/>
      </c>
    </row>
    <row r="9557" customFormat="false" ht="15" hidden="false" customHeight="false" outlineLevel="0" collapsed="false">
      <c r="V9557" s="23" t="str">
        <f aca="false">IF(ISNUMBER(C9557),YEAR(C9557),"")</f>
        <v/>
      </c>
      <c r="W9557" s="23" t="str">
        <f aca="false">IF(ISNUMBER(C9557),MONTH(C9557),"")</f>
        <v/>
      </c>
      <c r="X9557" s="23" t="str">
        <f aca="false">IF(T9557="","",IF(T9557=0,"No discount",IF(T9557&lt;=0.2,"Low (1-20%)",IF(T9557&lt;=0.4,"Medium (21-40%)","High (&gt;40%)"))))</f>
        <v/>
      </c>
      <c r="Y9557" s="23" t="str">
        <f aca="false">IF(AND(ISNUMBER(C9557),ISNUMBER(D9557)),D9557-C9557,"")</f>
        <v/>
      </c>
      <c r="Z9557" s="23" t="str">
        <f aca="false">IF(B9557="","",IF(MATCH(B9557,$B$2:$B$12000,0)=ROW()-1,1,0))</f>
        <v/>
      </c>
    </row>
    <row r="9558" customFormat="false" ht="15" hidden="false" customHeight="false" outlineLevel="0" collapsed="false">
      <c r="V9558" s="23" t="str">
        <f aca="false">IF(ISNUMBER(C9558),YEAR(C9558),"")</f>
        <v/>
      </c>
      <c r="W9558" s="23" t="str">
        <f aca="false">IF(ISNUMBER(C9558),MONTH(C9558),"")</f>
        <v/>
      </c>
      <c r="X9558" s="23" t="str">
        <f aca="false">IF(T9558="","",IF(T9558=0,"No discount",IF(T9558&lt;=0.2,"Low (1-20%)",IF(T9558&lt;=0.4,"Medium (21-40%)","High (&gt;40%)"))))</f>
        <v/>
      </c>
      <c r="Y9558" s="23" t="str">
        <f aca="false">IF(AND(ISNUMBER(C9558),ISNUMBER(D9558)),D9558-C9558,"")</f>
        <v/>
      </c>
      <c r="Z9558" s="23" t="str">
        <f aca="false">IF(B9558="","",IF(MATCH(B9558,$B$2:$B$12000,0)=ROW()-1,1,0))</f>
        <v/>
      </c>
    </row>
    <row r="9559" customFormat="false" ht="15" hidden="false" customHeight="false" outlineLevel="0" collapsed="false">
      <c r="V9559" s="23" t="str">
        <f aca="false">IF(ISNUMBER(C9559),YEAR(C9559),"")</f>
        <v/>
      </c>
      <c r="W9559" s="23" t="str">
        <f aca="false">IF(ISNUMBER(C9559),MONTH(C9559),"")</f>
        <v/>
      </c>
      <c r="X9559" s="23" t="str">
        <f aca="false">IF(T9559="","",IF(T9559=0,"No discount",IF(T9559&lt;=0.2,"Low (1-20%)",IF(T9559&lt;=0.4,"Medium (21-40%)","High (&gt;40%)"))))</f>
        <v/>
      </c>
      <c r="Y9559" s="23" t="str">
        <f aca="false">IF(AND(ISNUMBER(C9559),ISNUMBER(D9559)),D9559-C9559,"")</f>
        <v/>
      </c>
      <c r="Z9559" s="23" t="str">
        <f aca="false">IF(B9559="","",IF(MATCH(B9559,$B$2:$B$12000,0)=ROW()-1,1,0))</f>
        <v/>
      </c>
    </row>
    <row r="9560" customFormat="false" ht="15" hidden="false" customHeight="false" outlineLevel="0" collapsed="false">
      <c r="V9560" s="23" t="str">
        <f aca="false">IF(ISNUMBER(C9560),YEAR(C9560),"")</f>
        <v/>
      </c>
      <c r="W9560" s="23" t="str">
        <f aca="false">IF(ISNUMBER(C9560),MONTH(C9560),"")</f>
        <v/>
      </c>
      <c r="X9560" s="23" t="str">
        <f aca="false">IF(T9560="","",IF(T9560=0,"No discount",IF(T9560&lt;=0.2,"Low (1-20%)",IF(T9560&lt;=0.4,"Medium (21-40%)","High (&gt;40%)"))))</f>
        <v/>
      </c>
      <c r="Y9560" s="23" t="str">
        <f aca="false">IF(AND(ISNUMBER(C9560),ISNUMBER(D9560)),D9560-C9560,"")</f>
        <v/>
      </c>
      <c r="Z9560" s="23" t="str">
        <f aca="false">IF(B9560="","",IF(MATCH(B9560,$B$2:$B$12000,0)=ROW()-1,1,0))</f>
        <v/>
      </c>
    </row>
    <row r="9561" customFormat="false" ht="15" hidden="false" customHeight="false" outlineLevel="0" collapsed="false">
      <c r="V9561" s="23" t="str">
        <f aca="false">IF(ISNUMBER(C9561),YEAR(C9561),"")</f>
        <v/>
      </c>
      <c r="W9561" s="23" t="str">
        <f aca="false">IF(ISNUMBER(C9561),MONTH(C9561),"")</f>
        <v/>
      </c>
      <c r="X9561" s="23" t="str">
        <f aca="false">IF(T9561="","",IF(T9561=0,"No discount",IF(T9561&lt;=0.2,"Low (1-20%)",IF(T9561&lt;=0.4,"Medium (21-40%)","High (&gt;40%)"))))</f>
        <v/>
      </c>
      <c r="Y9561" s="23" t="str">
        <f aca="false">IF(AND(ISNUMBER(C9561),ISNUMBER(D9561)),D9561-C9561,"")</f>
        <v/>
      </c>
      <c r="Z9561" s="23" t="str">
        <f aca="false">IF(B9561="","",IF(MATCH(B9561,$B$2:$B$12000,0)=ROW()-1,1,0))</f>
        <v/>
      </c>
    </row>
    <row r="9562" customFormat="false" ht="15" hidden="false" customHeight="false" outlineLevel="0" collapsed="false">
      <c r="V9562" s="23" t="str">
        <f aca="false">IF(ISNUMBER(C9562),YEAR(C9562),"")</f>
        <v/>
      </c>
      <c r="W9562" s="23" t="str">
        <f aca="false">IF(ISNUMBER(C9562),MONTH(C9562),"")</f>
        <v/>
      </c>
      <c r="X9562" s="23" t="str">
        <f aca="false">IF(T9562="","",IF(T9562=0,"No discount",IF(T9562&lt;=0.2,"Low (1-20%)",IF(T9562&lt;=0.4,"Medium (21-40%)","High (&gt;40%)"))))</f>
        <v/>
      </c>
      <c r="Y9562" s="23" t="str">
        <f aca="false">IF(AND(ISNUMBER(C9562),ISNUMBER(D9562)),D9562-C9562,"")</f>
        <v/>
      </c>
      <c r="Z9562" s="23" t="str">
        <f aca="false">IF(B9562="","",IF(MATCH(B9562,$B$2:$B$12000,0)=ROW()-1,1,0))</f>
        <v/>
      </c>
    </row>
    <row r="9563" customFormat="false" ht="15" hidden="false" customHeight="false" outlineLevel="0" collapsed="false">
      <c r="V9563" s="23" t="str">
        <f aca="false">IF(ISNUMBER(C9563),YEAR(C9563),"")</f>
        <v/>
      </c>
      <c r="W9563" s="23" t="str">
        <f aca="false">IF(ISNUMBER(C9563),MONTH(C9563),"")</f>
        <v/>
      </c>
      <c r="X9563" s="23" t="str">
        <f aca="false">IF(T9563="","",IF(T9563=0,"No discount",IF(T9563&lt;=0.2,"Low (1-20%)",IF(T9563&lt;=0.4,"Medium (21-40%)","High (&gt;40%)"))))</f>
        <v/>
      </c>
      <c r="Y9563" s="23" t="str">
        <f aca="false">IF(AND(ISNUMBER(C9563),ISNUMBER(D9563)),D9563-C9563,"")</f>
        <v/>
      </c>
      <c r="Z9563" s="23" t="str">
        <f aca="false">IF(B9563="","",IF(MATCH(B9563,$B$2:$B$12000,0)=ROW()-1,1,0))</f>
        <v/>
      </c>
    </row>
    <row r="9564" customFormat="false" ht="15" hidden="false" customHeight="false" outlineLevel="0" collapsed="false">
      <c r="V9564" s="23" t="str">
        <f aca="false">IF(ISNUMBER(C9564),YEAR(C9564),"")</f>
        <v/>
      </c>
      <c r="W9564" s="23" t="str">
        <f aca="false">IF(ISNUMBER(C9564),MONTH(C9564),"")</f>
        <v/>
      </c>
      <c r="X9564" s="23" t="str">
        <f aca="false">IF(T9564="","",IF(T9564=0,"No discount",IF(T9564&lt;=0.2,"Low (1-20%)",IF(T9564&lt;=0.4,"Medium (21-40%)","High (&gt;40%)"))))</f>
        <v/>
      </c>
      <c r="Y9564" s="23" t="str">
        <f aca="false">IF(AND(ISNUMBER(C9564),ISNUMBER(D9564)),D9564-C9564,"")</f>
        <v/>
      </c>
      <c r="Z9564" s="23" t="str">
        <f aca="false">IF(B9564="","",IF(MATCH(B9564,$B$2:$B$12000,0)=ROW()-1,1,0))</f>
        <v/>
      </c>
    </row>
    <row r="9565" customFormat="false" ht="15" hidden="false" customHeight="false" outlineLevel="0" collapsed="false">
      <c r="V9565" s="23" t="str">
        <f aca="false">IF(ISNUMBER(C9565),YEAR(C9565),"")</f>
        <v/>
      </c>
      <c r="W9565" s="23" t="str">
        <f aca="false">IF(ISNUMBER(C9565),MONTH(C9565),"")</f>
        <v/>
      </c>
      <c r="X9565" s="23" t="str">
        <f aca="false">IF(T9565="","",IF(T9565=0,"No discount",IF(T9565&lt;=0.2,"Low (1-20%)",IF(T9565&lt;=0.4,"Medium (21-40%)","High (&gt;40%)"))))</f>
        <v/>
      </c>
      <c r="Y9565" s="23" t="str">
        <f aca="false">IF(AND(ISNUMBER(C9565),ISNUMBER(D9565)),D9565-C9565,"")</f>
        <v/>
      </c>
      <c r="Z9565" s="23" t="str">
        <f aca="false">IF(B9565="","",IF(MATCH(B9565,$B$2:$B$12000,0)=ROW()-1,1,0))</f>
        <v/>
      </c>
    </row>
    <row r="9566" customFormat="false" ht="15" hidden="false" customHeight="false" outlineLevel="0" collapsed="false">
      <c r="V9566" s="23" t="str">
        <f aca="false">IF(ISNUMBER(C9566),YEAR(C9566),"")</f>
        <v/>
      </c>
      <c r="W9566" s="23" t="str">
        <f aca="false">IF(ISNUMBER(C9566),MONTH(C9566),"")</f>
        <v/>
      </c>
      <c r="X9566" s="23" t="str">
        <f aca="false">IF(T9566="","",IF(T9566=0,"No discount",IF(T9566&lt;=0.2,"Low (1-20%)",IF(T9566&lt;=0.4,"Medium (21-40%)","High (&gt;40%)"))))</f>
        <v/>
      </c>
      <c r="Y9566" s="23" t="str">
        <f aca="false">IF(AND(ISNUMBER(C9566),ISNUMBER(D9566)),D9566-C9566,"")</f>
        <v/>
      </c>
      <c r="Z9566" s="23" t="str">
        <f aca="false">IF(B9566="","",IF(MATCH(B9566,$B$2:$B$12000,0)=ROW()-1,1,0))</f>
        <v/>
      </c>
    </row>
    <row r="9567" customFormat="false" ht="15" hidden="false" customHeight="false" outlineLevel="0" collapsed="false">
      <c r="V9567" s="23" t="str">
        <f aca="false">IF(ISNUMBER(C9567),YEAR(C9567),"")</f>
        <v/>
      </c>
      <c r="W9567" s="23" t="str">
        <f aca="false">IF(ISNUMBER(C9567),MONTH(C9567),"")</f>
        <v/>
      </c>
      <c r="X9567" s="23" t="str">
        <f aca="false">IF(T9567="","",IF(T9567=0,"No discount",IF(T9567&lt;=0.2,"Low (1-20%)",IF(T9567&lt;=0.4,"Medium (21-40%)","High (&gt;40%)"))))</f>
        <v/>
      </c>
      <c r="Y9567" s="23" t="str">
        <f aca="false">IF(AND(ISNUMBER(C9567),ISNUMBER(D9567)),D9567-C9567,"")</f>
        <v/>
      </c>
      <c r="Z9567" s="23" t="str">
        <f aca="false">IF(B9567="","",IF(MATCH(B9567,$B$2:$B$12000,0)=ROW()-1,1,0))</f>
        <v/>
      </c>
    </row>
    <row r="9568" customFormat="false" ht="15" hidden="false" customHeight="false" outlineLevel="0" collapsed="false">
      <c r="V9568" s="23" t="str">
        <f aca="false">IF(ISNUMBER(C9568),YEAR(C9568),"")</f>
        <v/>
      </c>
      <c r="W9568" s="23" t="str">
        <f aca="false">IF(ISNUMBER(C9568),MONTH(C9568),"")</f>
        <v/>
      </c>
      <c r="X9568" s="23" t="str">
        <f aca="false">IF(T9568="","",IF(T9568=0,"No discount",IF(T9568&lt;=0.2,"Low (1-20%)",IF(T9568&lt;=0.4,"Medium (21-40%)","High (&gt;40%)"))))</f>
        <v/>
      </c>
      <c r="Y9568" s="23" t="str">
        <f aca="false">IF(AND(ISNUMBER(C9568),ISNUMBER(D9568)),D9568-C9568,"")</f>
        <v/>
      </c>
      <c r="Z9568" s="23" t="str">
        <f aca="false">IF(B9568="","",IF(MATCH(B9568,$B$2:$B$12000,0)=ROW()-1,1,0))</f>
        <v/>
      </c>
    </row>
    <row r="9569" customFormat="false" ht="15" hidden="false" customHeight="false" outlineLevel="0" collapsed="false">
      <c r="V9569" s="23" t="str">
        <f aca="false">IF(ISNUMBER(C9569),YEAR(C9569),"")</f>
        <v/>
      </c>
      <c r="W9569" s="23" t="str">
        <f aca="false">IF(ISNUMBER(C9569),MONTH(C9569),"")</f>
        <v/>
      </c>
      <c r="X9569" s="23" t="str">
        <f aca="false">IF(T9569="","",IF(T9569=0,"No discount",IF(T9569&lt;=0.2,"Low (1-20%)",IF(T9569&lt;=0.4,"Medium (21-40%)","High (&gt;40%)"))))</f>
        <v/>
      </c>
      <c r="Y9569" s="23" t="str">
        <f aca="false">IF(AND(ISNUMBER(C9569),ISNUMBER(D9569)),D9569-C9569,"")</f>
        <v/>
      </c>
      <c r="Z9569" s="23" t="str">
        <f aca="false">IF(B9569="","",IF(MATCH(B9569,$B$2:$B$12000,0)=ROW()-1,1,0))</f>
        <v/>
      </c>
    </row>
    <row r="9570" customFormat="false" ht="15" hidden="false" customHeight="false" outlineLevel="0" collapsed="false">
      <c r="V9570" s="23" t="str">
        <f aca="false">IF(ISNUMBER(C9570),YEAR(C9570),"")</f>
        <v/>
      </c>
      <c r="W9570" s="23" t="str">
        <f aca="false">IF(ISNUMBER(C9570),MONTH(C9570),"")</f>
        <v/>
      </c>
      <c r="X9570" s="23" t="str">
        <f aca="false">IF(T9570="","",IF(T9570=0,"No discount",IF(T9570&lt;=0.2,"Low (1-20%)",IF(T9570&lt;=0.4,"Medium (21-40%)","High (&gt;40%)"))))</f>
        <v/>
      </c>
      <c r="Y9570" s="23" t="str">
        <f aca="false">IF(AND(ISNUMBER(C9570),ISNUMBER(D9570)),D9570-C9570,"")</f>
        <v/>
      </c>
      <c r="Z9570" s="23" t="str">
        <f aca="false">IF(B9570="","",IF(MATCH(B9570,$B$2:$B$12000,0)=ROW()-1,1,0))</f>
        <v/>
      </c>
    </row>
    <row r="9571" customFormat="false" ht="15" hidden="false" customHeight="false" outlineLevel="0" collapsed="false">
      <c r="V9571" s="23" t="str">
        <f aca="false">IF(ISNUMBER(C9571),YEAR(C9571),"")</f>
        <v/>
      </c>
      <c r="W9571" s="23" t="str">
        <f aca="false">IF(ISNUMBER(C9571),MONTH(C9571),"")</f>
        <v/>
      </c>
      <c r="X9571" s="23" t="str">
        <f aca="false">IF(T9571="","",IF(T9571=0,"No discount",IF(T9571&lt;=0.2,"Low (1-20%)",IF(T9571&lt;=0.4,"Medium (21-40%)","High (&gt;40%)"))))</f>
        <v/>
      </c>
      <c r="Y9571" s="23" t="str">
        <f aca="false">IF(AND(ISNUMBER(C9571),ISNUMBER(D9571)),D9571-C9571,"")</f>
        <v/>
      </c>
      <c r="Z9571" s="23" t="str">
        <f aca="false">IF(B9571="","",IF(MATCH(B9571,$B$2:$B$12000,0)=ROW()-1,1,0))</f>
        <v/>
      </c>
    </row>
    <row r="9572" customFormat="false" ht="15" hidden="false" customHeight="false" outlineLevel="0" collapsed="false">
      <c r="V9572" s="23" t="str">
        <f aca="false">IF(ISNUMBER(C9572),YEAR(C9572),"")</f>
        <v/>
      </c>
      <c r="W9572" s="23" t="str">
        <f aca="false">IF(ISNUMBER(C9572),MONTH(C9572),"")</f>
        <v/>
      </c>
      <c r="X9572" s="23" t="str">
        <f aca="false">IF(T9572="","",IF(T9572=0,"No discount",IF(T9572&lt;=0.2,"Low (1-20%)",IF(T9572&lt;=0.4,"Medium (21-40%)","High (&gt;40%)"))))</f>
        <v/>
      </c>
      <c r="Y9572" s="23" t="str">
        <f aca="false">IF(AND(ISNUMBER(C9572),ISNUMBER(D9572)),D9572-C9572,"")</f>
        <v/>
      </c>
      <c r="Z9572" s="23" t="str">
        <f aca="false">IF(B9572="","",IF(MATCH(B9572,$B$2:$B$12000,0)=ROW()-1,1,0))</f>
        <v/>
      </c>
    </row>
    <row r="9573" customFormat="false" ht="15" hidden="false" customHeight="false" outlineLevel="0" collapsed="false">
      <c r="V9573" s="23" t="str">
        <f aca="false">IF(ISNUMBER(C9573),YEAR(C9573),"")</f>
        <v/>
      </c>
      <c r="W9573" s="23" t="str">
        <f aca="false">IF(ISNUMBER(C9573),MONTH(C9573),"")</f>
        <v/>
      </c>
      <c r="X9573" s="23" t="str">
        <f aca="false">IF(T9573="","",IF(T9573=0,"No discount",IF(T9573&lt;=0.2,"Low (1-20%)",IF(T9573&lt;=0.4,"Medium (21-40%)","High (&gt;40%)"))))</f>
        <v/>
      </c>
      <c r="Y9573" s="23" t="str">
        <f aca="false">IF(AND(ISNUMBER(C9573),ISNUMBER(D9573)),D9573-C9573,"")</f>
        <v/>
      </c>
      <c r="Z9573" s="23" t="str">
        <f aca="false">IF(B9573="","",IF(MATCH(B9573,$B$2:$B$12000,0)=ROW()-1,1,0))</f>
        <v/>
      </c>
    </row>
    <row r="9574" customFormat="false" ht="15" hidden="false" customHeight="false" outlineLevel="0" collapsed="false">
      <c r="V9574" s="23" t="str">
        <f aca="false">IF(ISNUMBER(C9574),YEAR(C9574),"")</f>
        <v/>
      </c>
      <c r="W9574" s="23" t="str">
        <f aca="false">IF(ISNUMBER(C9574),MONTH(C9574),"")</f>
        <v/>
      </c>
      <c r="X9574" s="23" t="str">
        <f aca="false">IF(T9574="","",IF(T9574=0,"No discount",IF(T9574&lt;=0.2,"Low (1-20%)",IF(T9574&lt;=0.4,"Medium (21-40%)","High (&gt;40%)"))))</f>
        <v/>
      </c>
      <c r="Y9574" s="23" t="str">
        <f aca="false">IF(AND(ISNUMBER(C9574),ISNUMBER(D9574)),D9574-C9574,"")</f>
        <v/>
      </c>
      <c r="Z9574" s="23" t="str">
        <f aca="false">IF(B9574="","",IF(MATCH(B9574,$B$2:$B$12000,0)=ROW()-1,1,0))</f>
        <v/>
      </c>
    </row>
    <row r="9575" customFormat="false" ht="15" hidden="false" customHeight="false" outlineLevel="0" collapsed="false">
      <c r="V9575" s="23" t="str">
        <f aca="false">IF(ISNUMBER(C9575),YEAR(C9575),"")</f>
        <v/>
      </c>
      <c r="W9575" s="23" t="str">
        <f aca="false">IF(ISNUMBER(C9575),MONTH(C9575),"")</f>
        <v/>
      </c>
      <c r="X9575" s="23" t="str">
        <f aca="false">IF(T9575="","",IF(T9575=0,"No discount",IF(T9575&lt;=0.2,"Low (1-20%)",IF(T9575&lt;=0.4,"Medium (21-40%)","High (&gt;40%)"))))</f>
        <v/>
      </c>
      <c r="Y9575" s="23" t="str">
        <f aca="false">IF(AND(ISNUMBER(C9575),ISNUMBER(D9575)),D9575-C9575,"")</f>
        <v/>
      </c>
      <c r="Z9575" s="23" t="str">
        <f aca="false">IF(B9575="","",IF(MATCH(B9575,$B$2:$B$12000,0)=ROW()-1,1,0))</f>
        <v/>
      </c>
    </row>
    <row r="9576" customFormat="false" ht="15" hidden="false" customHeight="false" outlineLevel="0" collapsed="false">
      <c r="V9576" s="23" t="str">
        <f aca="false">IF(ISNUMBER(C9576),YEAR(C9576),"")</f>
        <v/>
      </c>
      <c r="W9576" s="23" t="str">
        <f aca="false">IF(ISNUMBER(C9576),MONTH(C9576),"")</f>
        <v/>
      </c>
      <c r="X9576" s="23" t="str">
        <f aca="false">IF(T9576="","",IF(T9576=0,"No discount",IF(T9576&lt;=0.2,"Low (1-20%)",IF(T9576&lt;=0.4,"Medium (21-40%)","High (&gt;40%)"))))</f>
        <v/>
      </c>
      <c r="Y9576" s="23" t="str">
        <f aca="false">IF(AND(ISNUMBER(C9576),ISNUMBER(D9576)),D9576-C9576,"")</f>
        <v/>
      </c>
      <c r="Z9576" s="23" t="str">
        <f aca="false">IF(B9576="","",IF(MATCH(B9576,$B$2:$B$12000,0)=ROW()-1,1,0))</f>
        <v/>
      </c>
    </row>
    <row r="9577" customFormat="false" ht="15" hidden="false" customHeight="false" outlineLevel="0" collapsed="false">
      <c r="V9577" s="23" t="str">
        <f aca="false">IF(ISNUMBER(C9577),YEAR(C9577),"")</f>
        <v/>
      </c>
      <c r="W9577" s="23" t="str">
        <f aca="false">IF(ISNUMBER(C9577),MONTH(C9577),"")</f>
        <v/>
      </c>
      <c r="X9577" s="23" t="str">
        <f aca="false">IF(T9577="","",IF(T9577=0,"No discount",IF(T9577&lt;=0.2,"Low (1-20%)",IF(T9577&lt;=0.4,"Medium (21-40%)","High (&gt;40%)"))))</f>
        <v/>
      </c>
      <c r="Y9577" s="23" t="str">
        <f aca="false">IF(AND(ISNUMBER(C9577),ISNUMBER(D9577)),D9577-C9577,"")</f>
        <v/>
      </c>
      <c r="Z9577" s="23" t="str">
        <f aca="false">IF(B9577="","",IF(MATCH(B9577,$B$2:$B$12000,0)=ROW()-1,1,0))</f>
        <v/>
      </c>
    </row>
    <row r="9578" customFormat="false" ht="15" hidden="false" customHeight="false" outlineLevel="0" collapsed="false">
      <c r="V9578" s="23" t="str">
        <f aca="false">IF(ISNUMBER(C9578),YEAR(C9578),"")</f>
        <v/>
      </c>
      <c r="W9578" s="23" t="str">
        <f aca="false">IF(ISNUMBER(C9578),MONTH(C9578),"")</f>
        <v/>
      </c>
      <c r="X9578" s="23" t="str">
        <f aca="false">IF(T9578="","",IF(T9578=0,"No discount",IF(T9578&lt;=0.2,"Low (1-20%)",IF(T9578&lt;=0.4,"Medium (21-40%)","High (&gt;40%)"))))</f>
        <v/>
      </c>
      <c r="Y9578" s="23" t="str">
        <f aca="false">IF(AND(ISNUMBER(C9578),ISNUMBER(D9578)),D9578-C9578,"")</f>
        <v/>
      </c>
      <c r="Z9578" s="23" t="str">
        <f aca="false">IF(B9578="","",IF(MATCH(B9578,$B$2:$B$12000,0)=ROW()-1,1,0))</f>
        <v/>
      </c>
    </row>
    <row r="9579" customFormat="false" ht="15" hidden="false" customHeight="false" outlineLevel="0" collapsed="false">
      <c r="V9579" s="23" t="str">
        <f aca="false">IF(ISNUMBER(C9579),YEAR(C9579),"")</f>
        <v/>
      </c>
      <c r="W9579" s="23" t="str">
        <f aca="false">IF(ISNUMBER(C9579),MONTH(C9579),"")</f>
        <v/>
      </c>
      <c r="X9579" s="23" t="str">
        <f aca="false">IF(T9579="","",IF(T9579=0,"No discount",IF(T9579&lt;=0.2,"Low (1-20%)",IF(T9579&lt;=0.4,"Medium (21-40%)","High (&gt;40%)"))))</f>
        <v/>
      </c>
      <c r="Y9579" s="23" t="str">
        <f aca="false">IF(AND(ISNUMBER(C9579),ISNUMBER(D9579)),D9579-C9579,"")</f>
        <v/>
      </c>
      <c r="Z9579" s="23" t="str">
        <f aca="false">IF(B9579="","",IF(MATCH(B9579,$B$2:$B$12000,0)=ROW()-1,1,0))</f>
        <v/>
      </c>
    </row>
    <row r="9580" customFormat="false" ht="15" hidden="false" customHeight="false" outlineLevel="0" collapsed="false">
      <c r="V9580" s="23" t="str">
        <f aca="false">IF(ISNUMBER(C9580),YEAR(C9580),"")</f>
        <v/>
      </c>
      <c r="W9580" s="23" t="str">
        <f aca="false">IF(ISNUMBER(C9580),MONTH(C9580),"")</f>
        <v/>
      </c>
      <c r="X9580" s="23" t="str">
        <f aca="false">IF(T9580="","",IF(T9580=0,"No discount",IF(T9580&lt;=0.2,"Low (1-20%)",IF(T9580&lt;=0.4,"Medium (21-40%)","High (&gt;40%)"))))</f>
        <v/>
      </c>
      <c r="Y9580" s="23" t="str">
        <f aca="false">IF(AND(ISNUMBER(C9580),ISNUMBER(D9580)),D9580-C9580,"")</f>
        <v/>
      </c>
      <c r="Z9580" s="23" t="str">
        <f aca="false">IF(B9580="","",IF(MATCH(B9580,$B$2:$B$12000,0)=ROW()-1,1,0))</f>
        <v/>
      </c>
    </row>
    <row r="9581" customFormat="false" ht="15" hidden="false" customHeight="false" outlineLevel="0" collapsed="false">
      <c r="V9581" s="23" t="str">
        <f aca="false">IF(ISNUMBER(C9581),YEAR(C9581),"")</f>
        <v/>
      </c>
      <c r="W9581" s="23" t="str">
        <f aca="false">IF(ISNUMBER(C9581),MONTH(C9581),"")</f>
        <v/>
      </c>
      <c r="X9581" s="23" t="str">
        <f aca="false">IF(T9581="","",IF(T9581=0,"No discount",IF(T9581&lt;=0.2,"Low (1-20%)",IF(T9581&lt;=0.4,"Medium (21-40%)","High (&gt;40%)"))))</f>
        <v/>
      </c>
      <c r="Y9581" s="23" t="str">
        <f aca="false">IF(AND(ISNUMBER(C9581),ISNUMBER(D9581)),D9581-C9581,"")</f>
        <v/>
      </c>
      <c r="Z9581" s="23" t="str">
        <f aca="false">IF(B9581="","",IF(MATCH(B9581,$B$2:$B$12000,0)=ROW()-1,1,0))</f>
        <v/>
      </c>
    </row>
    <row r="9582" customFormat="false" ht="15" hidden="false" customHeight="false" outlineLevel="0" collapsed="false">
      <c r="V9582" s="23" t="str">
        <f aca="false">IF(ISNUMBER(C9582),YEAR(C9582),"")</f>
        <v/>
      </c>
      <c r="W9582" s="23" t="str">
        <f aca="false">IF(ISNUMBER(C9582),MONTH(C9582),"")</f>
        <v/>
      </c>
      <c r="X9582" s="23" t="str">
        <f aca="false">IF(T9582="","",IF(T9582=0,"No discount",IF(T9582&lt;=0.2,"Low (1-20%)",IF(T9582&lt;=0.4,"Medium (21-40%)","High (&gt;40%)"))))</f>
        <v/>
      </c>
      <c r="Y9582" s="23" t="str">
        <f aca="false">IF(AND(ISNUMBER(C9582),ISNUMBER(D9582)),D9582-C9582,"")</f>
        <v/>
      </c>
      <c r="Z9582" s="23" t="str">
        <f aca="false">IF(B9582="","",IF(MATCH(B9582,$B$2:$B$12000,0)=ROW()-1,1,0))</f>
        <v/>
      </c>
    </row>
    <row r="9583" customFormat="false" ht="15" hidden="false" customHeight="false" outlineLevel="0" collapsed="false">
      <c r="V9583" s="23" t="str">
        <f aca="false">IF(ISNUMBER(C9583),YEAR(C9583),"")</f>
        <v/>
      </c>
      <c r="W9583" s="23" t="str">
        <f aca="false">IF(ISNUMBER(C9583),MONTH(C9583),"")</f>
        <v/>
      </c>
      <c r="X9583" s="23" t="str">
        <f aca="false">IF(T9583="","",IF(T9583=0,"No discount",IF(T9583&lt;=0.2,"Low (1-20%)",IF(T9583&lt;=0.4,"Medium (21-40%)","High (&gt;40%)"))))</f>
        <v/>
      </c>
      <c r="Y9583" s="23" t="str">
        <f aca="false">IF(AND(ISNUMBER(C9583),ISNUMBER(D9583)),D9583-C9583,"")</f>
        <v/>
      </c>
      <c r="Z9583" s="23" t="str">
        <f aca="false">IF(B9583="","",IF(MATCH(B9583,$B$2:$B$12000,0)=ROW()-1,1,0))</f>
        <v/>
      </c>
    </row>
    <row r="9584" customFormat="false" ht="15" hidden="false" customHeight="false" outlineLevel="0" collapsed="false">
      <c r="V9584" s="23" t="str">
        <f aca="false">IF(ISNUMBER(C9584),YEAR(C9584),"")</f>
        <v/>
      </c>
      <c r="W9584" s="23" t="str">
        <f aca="false">IF(ISNUMBER(C9584),MONTH(C9584),"")</f>
        <v/>
      </c>
      <c r="X9584" s="23" t="str">
        <f aca="false">IF(T9584="","",IF(T9584=0,"No discount",IF(T9584&lt;=0.2,"Low (1-20%)",IF(T9584&lt;=0.4,"Medium (21-40%)","High (&gt;40%)"))))</f>
        <v/>
      </c>
      <c r="Y9584" s="23" t="str">
        <f aca="false">IF(AND(ISNUMBER(C9584),ISNUMBER(D9584)),D9584-C9584,"")</f>
        <v/>
      </c>
      <c r="Z9584" s="23" t="str">
        <f aca="false">IF(B9584="","",IF(MATCH(B9584,$B$2:$B$12000,0)=ROW()-1,1,0))</f>
        <v/>
      </c>
    </row>
    <row r="9585" customFormat="false" ht="15" hidden="false" customHeight="false" outlineLevel="0" collapsed="false">
      <c r="V9585" s="23" t="str">
        <f aca="false">IF(ISNUMBER(C9585),YEAR(C9585),"")</f>
        <v/>
      </c>
      <c r="W9585" s="23" t="str">
        <f aca="false">IF(ISNUMBER(C9585),MONTH(C9585),"")</f>
        <v/>
      </c>
      <c r="X9585" s="23" t="str">
        <f aca="false">IF(T9585="","",IF(T9585=0,"No discount",IF(T9585&lt;=0.2,"Low (1-20%)",IF(T9585&lt;=0.4,"Medium (21-40%)","High (&gt;40%)"))))</f>
        <v/>
      </c>
      <c r="Y9585" s="23" t="str">
        <f aca="false">IF(AND(ISNUMBER(C9585),ISNUMBER(D9585)),D9585-C9585,"")</f>
        <v/>
      </c>
      <c r="Z9585" s="23" t="str">
        <f aca="false">IF(B9585="","",IF(MATCH(B9585,$B$2:$B$12000,0)=ROW()-1,1,0))</f>
        <v/>
      </c>
    </row>
    <row r="9586" customFormat="false" ht="15" hidden="false" customHeight="false" outlineLevel="0" collapsed="false">
      <c r="V9586" s="23" t="str">
        <f aca="false">IF(ISNUMBER(C9586),YEAR(C9586),"")</f>
        <v/>
      </c>
      <c r="W9586" s="23" t="str">
        <f aca="false">IF(ISNUMBER(C9586),MONTH(C9586),"")</f>
        <v/>
      </c>
      <c r="X9586" s="23" t="str">
        <f aca="false">IF(T9586="","",IF(T9586=0,"No discount",IF(T9586&lt;=0.2,"Low (1-20%)",IF(T9586&lt;=0.4,"Medium (21-40%)","High (&gt;40%)"))))</f>
        <v/>
      </c>
      <c r="Y9586" s="23" t="str">
        <f aca="false">IF(AND(ISNUMBER(C9586),ISNUMBER(D9586)),D9586-C9586,"")</f>
        <v/>
      </c>
      <c r="Z9586" s="23" t="str">
        <f aca="false">IF(B9586="","",IF(MATCH(B9586,$B$2:$B$12000,0)=ROW()-1,1,0))</f>
        <v/>
      </c>
    </row>
    <row r="9587" customFormat="false" ht="15" hidden="false" customHeight="false" outlineLevel="0" collapsed="false">
      <c r="V9587" s="23" t="str">
        <f aca="false">IF(ISNUMBER(C9587),YEAR(C9587),"")</f>
        <v/>
      </c>
      <c r="W9587" s="23" t="str">
        <f aca="false">IF(ISNUMBER(C9587),MONTH(C9587),"")</f>
        <v/>
      </c>
      <c r="X9587" s="23" t="str">
        <f aca="false">IF(T9587="","",IF(T9587=0,"No discount",IF(T9587&lt;=0.2,"Low (1-20%)",IF(T9587&lt;=0.4,"Medium (21-40%)","High (&gt;40%)"))))</f>
        <v/>
      </c>
      <c r="Y9587" s="23" t="str">
        <f aca="false">IF(AND(ISNUMBER(C9587),ISNUMBER(D9587)),D9587-C9587,"")</f>
        <v/>
      </c>
      <c r="Z9587" s="23" t="str">
        <f aca="false">IF(B9587="","",IF(MATCH(B9587,$B$2:$B$12000,0)=ROW()-1,1,0))</f>
        <v/>
      </c>
    </row>
    <row r="9588" customFormat="false" ht="15" hidden="false" customHeight="false" outlineLevel="0" collapsed="false">
      <c r="V9588" s="23" t="str">
        <f aca="false">IF(ISNUMBER(C9588),YEAR(C9588),"")</f>
        <v/>
      </c>
      <c r="W9588" s="23" t="str">
        <f aca="false">IF(ISNUMBER(C9588),MONTH(C9588),"")</f>
        <v/>
      </c>
      <c r="X9588" s="23" t="str">
        <f aca="false">IF(T9588="","",IF(T9588=0,"No discount",IF(T9588&lt;=0.2,"Low (1-20%)",IF(T9588&lt;=0.4,"Medium (21-40%)","High (&gt;40%)"))))</f>
        <v/>
      </c>
      <c r="Y9588" s="23" t="str">
        <f aca="false">IF(AND(ISNUMBER(C9588),ISNUMBER(D9588)),D9588-C9588,"")</f>
        <v/>
      </c>
      <c r="Z9588" s="23" t="str">
        <f aca="false">IF(B9588="","",IF(MATCH(B9588,$B$2:$B$12000,0)=ROW()-1,1,0))</f>
        <v/>
      </c>
    </row>
    <row r="9589" customFormat="false" ht="15" hidden="false" customHeight="false" outlineLevel="0" collapsed="false">
      <c r="V9589" s="23" t="str">
        <f aca="false">IF(ISNUMBER(C9589),YEAR(C9589),"")</f>
        <v/>
      </c>
      <c r="W9589" s="23" t="str">
        <f aca="false">IF(ISNUMBER(C9589),MONTH(C9589),"")</f>
        <v/>
      </c>
      <c r="X9589" s="23" t="str">
        <f aca="false">IF(T9589="","",IF(T9589=0,"No discount",IF(T9589&lt;=0.2,"Low (1-20%)",IF(T9589&lt;=0.4,"Medium (21-40%)","High (&gt;40%)"))))</f>
        <v/>
      </c>
      <c r="Y9589" s="23" t="str">
        <f aca="false">IF(AND(ISNUMBER(C9589),ISNUMBER(D9589)),D9589-C9589,"")</f>
        <v/>
      </c>
      <c r="Z9589" s="23" t="str">
        <f aca="false">IF(B9589="","",IF(MATCH(B9589,$B$2:$B$12000,0)=ROW()-1,1,0))</f>
        <v/>
      </c>
    </row>
    <row r="9590" customFormat="false" ht="15" hidden="false" customHeight="false" outlineLevel="0" collapsed="false">
      <c r="V9590" s="23" t="str">
        <f aca="false">IF(ISNUMBER(C9590),YEAR(C9590),"")</f>
        <v/>
      </c>
      <c r="W9590" s="23" t="str">
        <f aca="false">IF(ISNUMBER(C9590),MONTH(C9590),"")</f>
        <v/>
      </c>
      <c r="X9590" s="23" t="str">
        <f aca="false">IF(T9590="","",IF(T9590=0,"No discount",IF(T9590&lt;=0.2,"Low (1-20%)",IF(T9590&lt;=0.4,"Medium (21-40%)","High (&gt;40%)"))))</f>
        <v/>
      </c>
      <c r="Y9590" s="23" t="str">
        <f aca="false">IF(AND(ISNUMBER(C9590),ISNUMBER(D9590)),D9590-C9590,"")</f>
        <v/>
      </c>
      <c r="Z9590" s="23" t="str">
        <f aca="false">IF(B9590="","",IF(MATCH(B9590,$B$2:$B$12000,0)=ROW()-1,1,0))</f>
        <v/>
      </c>
    </row>
    <row r="9591" customFormat="false" ht="15" hidden="false" customHeight="false" outlineLevel="0" collapsed="false">
      <c r="V9591" s="23" t="str">
        <f aca="false">IF(ISNUMBER(C9591),YEAR(C9591),"")</f>
        <v/>
      </c>
      <c r="W9591" s="23" t="str">
        <f aca="false">IF(ISNUMBER(C9591),MONTH(C9591),"")</f>
        <v/>
      </c>
      <c r="X9591" s="23" t="str">
        <f aca="false">IF(T9591="","",IF(T9591=0,"No discount",IF(T9591&lt;=0.2,"Low (1-20%)",IF(T9591&lt;=0.4,"Medium (21-40%)","High (&gt;40%)"))))</f>
        <v/>
      </c>
      <c r="Y9591" s="23" t="str">
        <f aca="false">IF(AND(ISNUMBER(C9591),ISNUMBER(D9591)),D9591-C9591,"")</f>
        <v/>
      </c>
      <c r="Z9591" s="23" t="str">
        <f aca="false">IF(B9591="","",IF(MATCH(B9591,$B$2:$B$12000,0)=ROW()-1,1,0))</f>
        <v/>
      </c>
    </row>
    <row r="9592" customFormat="false" ht="15" hidden="false" customHeight="false" outlineLevel="0" collapsed="false">
      <c r="V9592" s="23" t="str">
        <f aca="false">IF(ISNUMBER(C9592),YEAR(C9592),"")</f>
        <v/>
      </c>
      <c r="W9592" s="23" t="str">
        <f aca="false">IF(ISNUMBER(C9592),MONTH(C9592),"")</f>
        <v/>
      </c>
      <c r="X9592" s="23" t="str">
        <f aca="false">IF(T9592="","",IF(T9592=0,"No discount",IF(T9592&lt;=0.2,"Low (1-20%)",IF(T9592&lt;=0.4,"Medium (21-40%)","High (&gt;40%)"))))</f>
        <v/>
      </c>
      <c r="Y9592" s="23" t="str">
        <f aca="false">IF(AND(ISNUMBER(C9592),ISNUMBER(D9592)),D9592-C9592,"")</f>
        <v/>
      </c>
      <c r="Z9592" s="23" t="str">
        <f aca="false">IF(B9592="","",IF(MATCH(B9592,$B$2:$B$12000,0)=ROW()-1,1,0))</f>
        <v/>
      </c>
    </row>
    <row r="9593" customFormat="false" ht="15" hidden="false" customHeight="false" outlineLevel="0" collapsed="false">
      <c r="V9593" s="23" t="str">
        <f aca="false">IF(ISNUMBER(C9593),YEAR(C9593),"")</f>
        <v/>
      </c>
      <c r="W9593" s="23" t="str">
        <f aca="false">IF(ISNUMBER(C9593),MONTH(C9593),"")</f>
        <v/>
      </c>
      <c r="X9593" s="23" t="str">
        <f aca="false">IF(T9593="","",IF(T9593=0,"No discount",IF(T9593&lt;=0.2,"Low (1-20%)",IF(T9593&lt;=0.4,"Medium (21-40%)","High (&gt;40%)"))))</f>
        <v/>
      </c>
      <c r="Y9593" s="23" t="str">
        <f aca="false">IF(AND(ISNUMBER(C9593),ISNUMBER(D9593)),D9593-C9593,"")</f>
        <v/>
      </c>
      <c r="Z9593" s="23" t="str">
        <f aca="false">IF(B9593="","",IF(MATCH(B9593,$B$2:$B$12000,0)=ROW()-1,1,0))</f>
        <v/>
      </c>
    </row>
    <row r="9594" customFormat="false" ht="15" hidden="false" customHeight="false" outlineLevel="0" collapsed="false">
      <c r="V9594" s="23" t="str">
        <f aca="false">IF(ISNUMBER(C9594),YEAR(C9594),"")</f>
        <v/>
      </c>
      <c r="W9594" s="23" t="str">
        <f aca="false">IF(ISNUMBER(C9594),MONTH(C9594),"")</f>
        <v/>
      </c>
      <c r="X9594" s="23" t="str">
        <f aca="false">IF(T9594="","",IF(T9594=0,"No discount",IF(T9594&lt;=0.2,"Low (1-20%)",IF(T9594&lt;=0.4,"Medium (21-40%)","High (&gt;40%)"))))</f>
        <v/>
      </c>
      <c r="Y9594" s="23" t="str">
        <f aca="false">IF(AND(ISNUMBER(C9594),ISNUMBER(D9594)),D9594-C9594,"")</f>
        <v/>
      </c>
      <c r="Z9594" s="23" t="str">
        <f aca="false">IF(B9594="","",IF(MATCH(B9594,$B$2:$B$12000,0)=ROW()-1,1,0))</f>
        <v/>
      </c>
    </row>
    <row r="9595" customFormat="false" ht="15" hidden="false" customHeight="false" outlineLevel="0" collapsed="false">
      <c r="V9595" s="23" t="str">
        <f aca="false">IF(ISNUMBER(C9595),YEAR(C9595),"")</f>
        <v/>
      </c>
      <c r="W9595" s="23" t="str">
        <f aca="false">IF(ISNUMBER(C9595),MONTH(C9595),"")</f>
        <v/>
      </c>
      <c r="X9595" s="23" t="str">
        <f aca="false">IF(T9595="","",IF(T9595=0,"No discount",IF(T9595&lt;=0.2,"Low (1-20%)",IF(T9595&lt;=0.4,"Medium (21-40%)","High (&gt;40%)"))))</f>
        <v/>
      </c>
      <c r="Y9595" s="23" t="str">
        <f aca="false">IF(AND(ISNUMBER(C9595),ISNUMBER(D9595)),D9595-C9595,"")</f>
        <v/>
      </c>
      <c r="Z9595" s="23" t="str">
        <f aca="false">IF(B9595="","",IF(MATCH(B9595,$B$2:$B$12000,0)=ROW()-1,1,0))</f>
        <v/>
      </c>
    </row>
    <row r="9596" customFormat="false" ht="15" hidden="false" customHeight="false" outlineLevel="0" collapsed="false">
      <c r="V9596" s="23" t="str">
        <f aca="false">IF(ISNUMBER(C9596),YEAR(C9596),"")</f>
        <v/>
      </c>
      <c r="W9596" s="23" t="str">
        <f aca="false">IF(ISNUMBER(C9596),MONTH(C9596),"")</f>
        <v/>
      </c>
      <c r="X9596" s="23" t="str">
        <f aca="false">IF(T9596="","",IF(T9596=0,"No discount",IF(T9596&lt;=0.2,"Low (1-20%)",IF(T9596&lt;=0.4,"Medium (21-40%)","High (&gt;40%)"))))</f>
        <v/>
      </c>
      <c r="Y9596" s="23" t="str">
        <f aca="false">IF(AND(ISNUMBER(C9596),ISNUMBER(D9596)),D9596-C9596,"")</f>
        <v/>
      </c>
      <c r="Z9596" s="23" t="str">
        <f aca="false">IF(B9596="","",IF(MATCH(B9596,$B$2:$B$12000,0)=ROW()-1,1,0))</f>
        <v/>
      </c>
    </row>
    <row r="9597" customFormat="false" ht="15" hidden="false" customHeight="false" outlineLevel="0" collapsed="false">
      <c r="V9597" s="23" t="str">
        <f aca="false">IF(ISNUMBER(C9597),YEAR(C9597),"")</f>
        <v/>
      </c>
      <c r="W9597" s="23" t="str">
        <f aca="false">IF(ISNUMBER(C9597),MONTH(C9597),"")</f>
        <v/>
      </c>
      <c r="X9597" s="23" t="str">
        <f aca="false">IF(T9597="","",IF(T9597=0,"No discount",IF(T9597&lt;=0.2,"Low (1-20%)",IF(T9597&lt;=0.4,"Medium (21-40%)","High (&gt;40%)"))))</f>
        <v/>
      </c>
      <c r="Y9597" s="23" t="str">
        <f aca="false">IF(AND(ISNUMBER(C9597),ISNUMBER(D9597)),D9597-C9597,"")</f>
        <v/>
      </c>
      <c r="Z9597" s="23" t="str">
        <f aca="false">IF(B9597="","",IF(MATCH(B9597,$B$2:$B$12000,0)=ROW()-1,1,0))</f>
        <v/>
      </c>
    </row>
    <row r="9598" customFormat="false" ht="15" hidden="false" customHeight="false" outlineLevel="0" collapsed="false">
      <c r="V9598" s="23" t="str">
        <f aca="false">IF(ISNUMBER(C9598),YEAR(C9598),"")</f>
        <v/>
      </c>
      <c r="W9598" s="23" t="str">
        <f aca="false">IF(ISNUMBER(C9598),MONTH(C9598),"")</f>
        <v/>
      </c>
      <c r="X9598" s="23" t="str">
        <f aca="false">IF(T9598="","",IF(T9598=0,"No discount",IF(T9598&lt;=0.2,"Low (1-20%)",IF(T9598&lt;=0.4,"Medium (21-40%)","High (&gt;40%)"))))</f>
        <v/>
      </c>
      <c r="Y9598" s="23" t="str">
        <f aca="false">IF(AND(ISNUMBER(C9598),ISNUMBER(D9598)),D9598-C9598,"")</f>
        <v/>
      </c>
      <c r="Z9598" s="23" t="str">
        <f aca="false">IF(B9598="","",IF(MATCH(B9598,$B$2:$B$12000,0)=ROW()-1,1,0))</f>
        <v/>
      </c>
    </row>
    <row r="9599" customFormat="false" ht="15" hidden="false" customHeight="false" outlineLevel="0" collapsed="false">
      <c r="V9599" s="23" t="str">
        <f aca="false">IF(ISNUMBER(C9599),YEAR(C9599),"")</f>
        <v/>
      </c>
      <c r="W9599" s="23" t="str">
        <f aca="false">IF(ISNUMBER(C9599),MONTH(C9599),"")</f>
        <v/>
      </c>
      <c r="X9599" s="23" t="str">
        <f aca="false">IF(T9599="","",IF(T9599=0,"No discount",IF(T9599&lt;=0.2,"Low (1-20%)",IF(T9599&lt;=0.4,"Medium (21-40%)","High (&gt;40%)"))))</f>
        <v/>
      </c>
      <c r="Y9599" s="23" t="str">
        <f aca="false">IF(AND(ISNUMBER(C9599),ISNUMBER(D9599)),D9599-C9599,"")</f>
        <v/>
      </c>
      <c r="Z9599" s="23" t="str">
        <f aca="false">IF(B9599="","",IF(MATCH(B9599,$B$2:$B$12000,0)=ROW()-1,1,0))</f>
        <v/>
      </c>
    </row>
    <row r="9600" customFormat="false" ht="15" hidden="false" customHeight="false" outlineLevel="0" collapsed="false">
      <c r="V9600" s="23" t="str">
        <f aca="false">IF(ISNUMBER(C9600),YEAR(C9600),"")</f>
        <v/>
      </c>
      <c r="W9600" s="23" t="str">
        <f aca="false">IF(ISNUMBER(C9600),MONTH(C9600),"")</f>
        <v/>
      </c>
      <c r="X9600" s="23" t="str">
        <f aca="false">IF(T9600="","",IF(T9600=0,"No discount",IF(T9600&lt;=0.2,"Low (1-20%)",IF(T9600&lt;=0.4,"Medium (21-40%)","High (&gt;40%)"))))</f>
        <v/>
      </c>
      <c r="Y9600" s="23" t="str">
        <f aca="false">IF(AND(ISNUMBER(C9600),ISNUMBER(D9600)),D9600-C9600,"")</f>
        <v/>
      </c>
      <c r="Z9600" s="23" t="str">
        <f aca="false">IF(B9600="","",IF(MATCH(B9600,$B$2:$B$12000,0)=ROW()-1,1,0))</f>
        <v/>
      </c>
    </row>
    <row r="9601" customFormat="false" ht="15" hidden="false" customHeight="false" outlineLevel="0" collapsed="false">
      <c r="V9601" s="23" t="str">
        <f aca="false">IF(ISNUMBER(C9601),YEAR(C9601),"")</f>
        <v/>
      </c>
      <c r="W9601" s="23" t="str">
        <f aca="false">IF(ISNUMBER(C9601),MONTH(C9601),"")</f>
        <v/>
      </c>
      <c r="X9601" s="23" t="str">
        <f aca="false">IF(T9601="","",IF(T9601=0,"No discount",IF(T9601&lt;=0.2,"Low (1-20%)",IF(T9601&lt;=0.4,"Medium (21-40%)","High (&gt;40%)"))))</f>
        <v/>
      </c>
      <c r="Y9601" s="23" t="str">
        <f aca="false">IF(AND(ISNUMBER(C9601),ISNUMBER(D9601)),D9601-C9601,"")</f>
        <v/>
      </c>
      <c r="Z9601" s="23" t="str">
        <f aca="false">IF(B9601="","",IF(MATCH(B9601,$B$2:$B$12000,0)=ROW()-1,1,0))</f>
        <v/>
      </c>
    </row>
    <row r="9602" customFormat="false" ht="15" hidden="false" customHeight="false" outlineLevel="0" collapsed="false">
      <c r="V9602" s="23" t="str">
        <f aca="false">IF(ISNUMBER(C9602),YEAR(C9602),"")</f>
        <v/>
      </c>
      <c r="W9602" s="23" t="str">
        <f aca="false">IF(ISNUMBER(C9602),MONTH(C9602),"")</f>
        <v/>
      </c>
      <c r="X9602" s="23" t="str">
        <f aca="false">IF(T9602="","",IF(T9602=0,"No discount",IF(T9602&lt;=0.2,"Low (1-20%)",IF(T9602&lt;=0.4,"Medium (21-40%)","High (&gt;40%)"))))</f>
        <v/>
      </c>
      <c r="Y9602" s="23" t="str">
        <f aca="false">IF(AND(ISNUMBER(C9602),ISNUMBER(D9602)),D9602-C9602,"")</f>
        <v/>
      </c>
      <c r="Z9602" s="23" t="str">
        <f aca="false">IF(B9602="","",IF(MATCH(B9602,$B$2:$B$12000,0)=ROW()-1,1,0))</f>
        <v/>
      </c>
    </row>
    <row r="9603" customFormat="false" ht="15" hidden="false" customHeight="false" outlineLevel="0" collapsed="false">
      <c r="V9603" s="23" t="str">
        <f aca="false">IF(ISNUMBER(C9603),YEAR(C9603),"")</f>
        <v/>
      </c>
      <c r="W9603" s="23" t="str">
        <f aca="false">IF(ISNUMBER(C9603),MONTH(C9603),"")</f>
        <v/>
      </c>
      <c r="X9603" s="23" t="str">
        <f aca="false">IF(T9603="","",IF(T9603=0,"No discount",IF(T9603&lt;=0.2,"Low (1-20%)",IF(T9603&lt;=0.4,"Medium (21-40%)","High (&gt;40%)"))))</f>
        <v/>
      </c>
      <c r="Y9603" s="23" t="str">
        <f aca="false">IF(AND(ISNUMBER(C9603),ISNUMBER(D9603)),D9603-C9603,"")</f>
        <v/>
      </c>
      <c r="Z9603" s="23" t="str">
        <f aca="false">IF(B9603="","",IF(MATCH(B9603,$B$2:$B$12000,0)=ROW()-1,1,0))</f>
        <v/>
      </c>
    </row>
    <row r="9604" customFormat="false" ht="15" hidden="false" customHeight="false" outlineLevel="0" collapsed="false">
      <c r="V9604" s="23" t="str">
        <f aca="false">IF(ISNUMBER(C9604),YEAR(C9604),"")</f>
        <v/>
      </c>
      <c r="W9604" s="23" t="str">
        <f aca="false">IF(ISNUMBER(C9604),MONTH(C9604),"")</f>
        <v/>
      </c>
      <c r="X9604" s="23" t="str">
        <f aca="false">IF(T9604="","",IF(T9604=0,"No discount",IF(T9604&lt;=0.2,"Low (1-20%)",IF(T9604&lt;=0.4,"Medium (21-40%)","High (&gt;40%)"))))</f>
        <v/>
      </c>
      <c r="Y9604" s="23" t="str">
        <f aca="false">IF(AND(ISNUMBER(C9604),ISNUMBER(D9604)),D9604-C9604,"")</f>
        <v/>
      </c>
      <c r="Z9604" s="23" t="str">
        <f aca="false">IF(B9604="","",IF(MATCH(B9604,$B$2:$B$12000,0)=ROW()-1,1,0))</f>
        <v/>
      </c>
    </row>
    <row r="9605" customFormat="false" ht="15" hidden="false" customHeight="false" outlineLevel="0" collapsed="false">
      <c r="V9605" s="23" t="str">
        <f aca="false">IF(ISNUMBER(C9605),YEAR(C9605),"")</f>
        <v/>
      </c>
      <c r="W9605" s="23" t="str">
        <f aca="false">IF(ISNUMBER(C9605),MONTH(C9605),"")</f>
        <v/>
      </c>
      <c r="X9605" s="23" t="str">
        <f aca="false">IF(T9605="","",IF(T9605=0,"No discount",IF(T9605&lt;=0.2,"Low (1-20%)",IF(T9605&lt;=0.4,"Medium (21-40%)","High (&gt;40%)"))))</f>
        <v/>
      </c>
      <c r="Y9605" s="23" t="str">
        <f aca="false">IF(AND(ISNUMBER(C9605),ISNUMBER(D9605)),D9605-C9605,"")</f>
        <v/>
      </c>
      <c r="Z9605" s="23" t="str">
        <f aca="false">IF(B9605="","",IF(MATCH(B9605,$B$2:$B$12000,0)=ROW()-1,1,0))</f>
        <v/>
      </c>
    </row>
    <row r="9606" customFormat="false" ht="15" hidden="false" customHeight="false" outlineLevel="0" collapsed="false">
      <c r="V9606" s="23" t="str">
        <f aca="false">IF(ISNUMBER(C9606),YEAR(C9606),"")</f>
        <v/>
      </c>
      <c r="W9606" s="23" t="str">
        <f aca="false">IF(ISNUMBER(C9606),MONTH(C9606),"")</f>
        <v/>
      </c>
      <c r="X9606" s="23" t="str">
        <f aca="false">IF(T9606="","",IF(T9606=0,"No discount",IF(T9606&lt;=0.2,"Low (1-20%)",IF(T9606&lt;=0.4,"Medium (21-40%)","High (&gt;40%)"))))</f>
        <v/>
      </c>
      <c r="Y9606" s="23" t="str">
        <f aca="false">IF(AND(ISNUMBER(C9606),ISNUMBER(D9606)),D9606-C9606,"")</f>
        <v/>
      </c>
      <c r="Z9606" s="23" t="str">
        <f aca="false">IF(B9606="","",IF(MATCH(B9606,$B$2:$B$12000,0)=ROW()-1,1,0))</f>
        <v/>
      </c>
    </row>
    <row r="9607" customFormat="false" ht="15" hidden="false" customHeight="false" outlineLevel="0" collapsed="false">
      <c r="V9607" s="23" t="str">
        <f aca="false">IF(ISNUMBER(C9607),YEAR(C9607),"")</f>
        <v/>
      </c>
      <c r="W9607" s="23" t="str">
        <f aca="false">IF(ISNUMBER(C9607),MONTH(C9607),"")</f>
        <v/>
      </c>
      <c r="X9607" s="23" t="str">
        <f aca="false">IF(T9607="","",IF(T9607=0,"No discount",IF(T9607&lt;=0.2,"Low (1-20%)",IF(T9607&lt;=0.4,"Medium (21-40%)","High (&gt;40%)"))))</f>
        <v/>
      </c>
      <c r="Y9607" s="23" t="str">
        <f aca="false">IF(AND(ISNUMBER(C9607),ISNUMBER(D9607)),D9607-C9607,"")</f>
        <v/>
      </c>
      <c r="Z9607" s="23" t="str">
        <f aca="false">IF(B9607="","",IF(MATCH(B9607,$B$2:$B$12000,0)=ROW()-1,1,0))</f>
        <v/>
      </c>
    </row>
    <row r="9608" customFormat="false" ht="15" hidden="false" customHeight="false" outlineLevel="0" collapsed="false">
      <c r="V9608" s="23" t="str">
        <f aca="false">IF(ISNUMBER(C9608),YEAR(C9608),"")</f>
        <v/>
      </c>
      <c r="W9608" s="23" t="str">
        <f aca="false">IF(ISNUMBER(C9608),MONTH(C9608),"")</f>
        <v/>
      </c>
      <c r="X9608" s="23" t="str">
        <f aca="false">IF(T9608="","",IF(T9608=0,"No discount",IF(T9608&lt;=0.2,"Low (1-20%)",IF(T9608&lt;=0.4,"Medium (21-40%)","High (&gt;40%)"))))</f>
        <v/>
      </c>
      <c r="Y9608" s="23" t="str">
        <f aca="false">IF(AND(ISNUMBER(C9608),ISNUMBER(D9608)),D9608-C9608,"")</f>
        <v/>
      </c>
      <c r="Z9608" s="23" t="str">
        <f aca="false">IF(B9608="","",IF(MATCH(B9608,$B$2:$B$12000,0)=ROW()-1,1,0))</f>
        <v/>
      </c>
    </row>
    <row r="9609" customFormat="false" ht="15" hidden="false" customHeight="false" outlineLevel="0" collapsed="false">
      <c r="V9609" s="23" t="str">
        <f aca="false">IF(ISNUMBER(C9609),YEAR(C9609),"")</f>
        <v/>
      </c>
      <c r="W9609" s="23" t="str">
        <f aca="false">IF(ISNUMBER(C9609),MONTH(C9609),"")</f>
        <v/>
      </c>
      <c r="X9609" s="23" t="str">
        <f aca="false">IF(T9609="","",IF(T9609=0,"No discount",IF(T9609&lt;=0.2,"Low (1-20%)",IF(T9609&lt;=0.4,"Medium (21-40%)","High (&gt;40%)"))))</f>
        <v/>
      </c>
      <c r="Y9609" s="23" t="str">
        <f aca="false">IF(AND(ISNUMBER(C9609),ISNUMBER(D9609)),D9609-C9609,"")</f>
        <v/>
      </c>
      <c r="Z9609" s="23" t="str">
        <f aca="false">IF(B9609="","",IF(MATCH(B9609,$B$2:$B$12000,0)=ROW()-1,1,0))</f>
        <v/>
      </c>
    </row>
    <row r="9610" customFormat="false" ht="15" hidden="false" customHeight="false" outlineLevel="0" collapsed="false">
      <c r="V9610" s="23" t="str">
        <f aca="false">IF(ISNUMBER(C9610),YEAR(C9610),"")</f>
        <v/>
      </c>
      <c r="W9610" s="23" t="str">
        <f aca="false">IF(ISNUMBER(C9610),MONTH(C9610),"")</f>
        <v/>
      </c>
      <c r="X9610" s="23" t="str">
        <f aca="false">IF(T9610="","",IF(T9610=0,"No discount",IF(T9610&lt;=0.2,"Low (1-20%)",IF(T9610&lt;=0.4,"Medium (21-40%)","High (&gt;40%)"))))</f>
        <v/>
      </c>
      <c r="Y9610" s="23" t="str">
        <f aca="false">IF(AND(ISNUMBER(C9610),ISNUMBER(D9610)),D9610-C9610,"")</f>
        <v/>
      </c>
      <c r="Z9610" s="23" t="str">
        <f aca="false">IF(B9610="","",IF(MATCH(B9610,$B$2:$B$12000,0)=ROW()-1,1,0))</f>
        <v/>
      </c>
    </row>
    <row r="9611" customFormat="false" ht="15" hidden="false" customHeight="false" outlineLevel="0" collapsed="false">
      <c r="V9611" s="23" t="str">
        <f aca="false">IF(ISNUMBER(C9611),YEAR(C9611),"")</f>
        <v/>
      </c>
      <c r="W9611" s="23" t="str">
        <f aca="false">IF(ISNUMBER(C9611),MONTH(C9611),"")</f>
        <v/>
      </c>
      <c r="X9611" s="23" t="str">
        <f aca="false">IF(T9611="","",IF(T9611=0,"No discount",IF(T9611&lt;=0.2,"Low (1-20%)",IF(T9611&lt;=0.4,"Medium (21-40%)","High (&gt;40%)"))))</f>
        <v/>
      </c>
      <c r="Y9611" s="23" t="str">
        <f aca="false">IF(AND(ISNUMBER(C9611),ISNUMBER(D9611)),D9611-C9611,"")</f>
        <v/>
      </c>
      <c r="Z9611" s="23" t="str">
        <f aca="false">IF(B9611="","",IF(MATCH(B9611,$B$2:$B$12000,0)=ROW()-1,1,0))</f>
        <v/>
      </c>
    </row>
    <row r="9612" customFormat="false" ht="15" hidden="false" customHeight="false" outlineLevel="0" collapsed="false">
      <c r="V9612" s="23" t="str">
        <f aca="false">IF(ISNUMBER(C9612),YEAR(C9612),"")</f>
        <v/>
      </c>
      <c r="W9612" s="23" t="str">
        <f aca="false">IF(ISNUMBER(C9612),MONTH(C9612),"")</f>
        <v/>
      </c>
      <c r="X9612" s="23" t="str">
        <f aca="false">IF(T9612="","",IF(T9612=0,"No discount",IF(T9612&lt;=0.2,"Low (1-20%)",IF(T9612&lt;=0.4,"Medium (21-40%)","High (&gt;40%)"))))</f>
        <v/>
      </c>
      <c r="Y9612" s="23" t="str">
        <f aca="false">IF(AND(ISNUMBER(C9612),ISNUMBER(D9612)),D9612-C9612,"")</f>
        <v/>
      </c>
      <c r="Z9612" s="23" t="str">
        <f aca="false">IF(B9612="","",IF(MATCH(B9612,$B$2:$B$12000,0)=ROW()-1,1,0))</f>
        <v/>
      </c>
    </row>
    <row r="9613" customFormat="false" ht="15" hidden="false" customHeight="false" outlineLevel="0" collapsed="false">
      <c r="V9613" s="23" t="str">
        <f aca="false">IF(ISNUMBER(C9613),YEAR(C9613),"")</f>
        <v/>
      </c>
      <c r="W9613" s="23" t="str">
        <f aca="false">IF(ISNUMBER(C9613),MONTH(C9613),"")</f>
        <v/>
      </c>
      <c r="X9613" s="23" t="str">
        <f aca="false">IF(T9613="","",IF(T9613=0,"No discount",IF(T9613&lt;=0.2,"Low (1-20%)",IF(T9613&lt;=0.4,"Medium (21-40%)","High (&gt;40%)"))))</f>
        <v/>
      </c>
      <c r="Y9613" s="23" t="str">
        <f aca="false">IF(AND(ISNUMBER(C9613),ISNUMBER(D9613)),D9613-C9613,"")</f>
        <v/>
      </c>
      <c r="Z9613" s="23" t="str">
        <f aca="false">IF(B9613="","",IF(MATCH(B9613,$B$2:$B$12000,0)=ROW()-1,1,0))</f>
        <v/>
      </c>
    </row>
    <row r="9614" customFormat="false" ht="15" hidden="false" customHeight="false" outlineLevel="0" collapsed="false">
      <c r="V9614" s="23" t="str">
        <f aca="false">IF(ISNUMBER(C9614),YEAR(C9614),"")</f>
        <v/>
      </c>
      <c r="W9614" s="23" t="str">
        <f aca="false">IF(ISNUMBER(C9614),MONTH(C9614),"")</f>
        <v/>
      </c>
      <c r="X9614" s="23" t="str">
        <f aca="false">IF(T9614="","",IF(T9614=0,"No discount",IF(T9614&lt;=0.2,"Low (1-20%)",IF(T9614&lt;=0.4,"Medium (21-40%)","High (&gt;40%)"))))</f>
        <v/>
      </c>
      <c r="Y9614" s="23" t="str">
        <f aca="false">IF(AND(ISNUMBER(C9614),ISNUMBER(D9614)),D9614-C9614,"")</f>
        <v/>
      </c>
      <c r="Z9614" s="23" t="str">
        <f aca="false">IF(B9614="","",IF(MATCH(B9614,$B$2:$B$12000,0)=ROW()-1,1,0))</f>
        <v/>
      </c>
    </row>
    <row r="9615" customFormat="false" ht="15" hidden="false" customHeight="false" outlineLevel="0" collapsed="false">
      <c r="V9615" s="23" t="str">
        <f aca="false">IF(ISNUMBER(C9615),YEAR(C9615),"")</f>
        <v/>
      </c>
      <c r="W9615" s="23" t="str">
        <f aca="false">IF(ISNUMBER(C9615),MONTH(C9615),"")</f>
        <v/>
      </c>
      <c r="X9615" s="23" t="str">
        <f aca="false">IF(T9615="","",IF(T9615=0,"No discount",IF(T9615&lt;=0.2,"Low (1-20%)",IF(T9615&lt;=0.4,"Medium (21-40%)","High (&gt;40%)"))))</f>
        <v/>
      </c>
      <c r="Y9615" s="23" t="str">
        <f aca="false">IF(AND(ISNUMBER(C9615),ISNUMBER(D9615)),D9615-C9615,"")</f>
        <v/>
      </c>
      <c r="Z9615" s="23" t="str">
        <f aca="false">IF(B9615="","",IF(MATCH(B9615,$B$2:$B$12000,0)=ROW()-1,1,0))</f>
        <v/>
      </c>
    </row>
    <row r="9616" customFormat="false" ht="15" hidden="false" customHeight="false" outlineLevel="0" collapsed="false">
      <c r="V9616" s="23" t="str">
        <f aca="false">IF(ISNUMBER(C9616),YEAR(C9616),"")</f>
        <v/>
      </c>
      <c r="W9616" s="23" t="str">
        <f aca="false">IF(ISNUMBER(C9616),MONTH(C9616),"")</f>
        <v/>
      </c>
      <c r="X9616" s="23" t="str">
        <f aca="false">IF(T9616="","",IF(T9616=0,"No discount",IF(T9616&lt;=0.2,"Low (1-20%)",IF(T9616&lt;=0.4,"Medium (21-40%)","High (&gt;40%)"))))</f>
        <v/>
      </c>
      <c r="Y9616" s="23" t="str">
        <f aca="false">IF(AND(ISNUMBER(C9616),ISNUMBER(D9616)),D9616-C9616,"")</f>
        <v/>
      </c>
      <c r="Z9616" s="23" t="str">
        <f aca="false">IF(B9616="","",IF(MATCH(B9616,$B$2:$B$12000,0)=ROW()-1,1,0))</f>
        <v/>
      </c>
    </row>
    <row r="9617" customFormat="false" ht="15" hidden="false" customHeight="false" outlineLevel="0" collapsed="false">
      <c r="V9617" s="23" t="str">
        <f aca="false">IF(ISNUMBER(C9617),YEAR(C9617),"")</f>
        <v/>
      </c>
      <c r="W9617" s="23" t="str">
        <f aca="false">IF(ISNUMBER(C9617),MONTH(C9617),"")</f>
        <v/>
      </c>
      <c r="X9617" s="23" t="str">
        <f aca="false">IF(T9617="","",IF(T9617=0,"No discount",IF(T9617&lt;=0.2,"Low (1-20%)",IF(T9617&lt;=0.4,"Medium (21-40%)","High (&gt;40%)"))))</f>
        <v/>
      </c>
      <c r="Y9617" s="23" t="str">
        <f aca="false">IF(AND(ISNUMBER(C9617),ISNUMBER(D9617)),D9617-C9617,"")</f>
        <v/>
      </c>
      <c r="Z9617" s="23" t="str">
        <f aca="false">IF(B9617="","",IF(MATCH(B9617,$B$2:$B$12000,0)=ROW()-1,1,0))</f>
        <v/>
      </c>
    </row>
    <row r="9618" customFormat="false" ht="15" hidden="false" customHeight="false" outlineLevel="0" collapsed="false">
      <c r="V9618" s="23" t="str">
        <f aca="false">IF(ISNUMBER(C9618),YEAR(C9618),"")</f>
        <v/>
      </c>
      <c r="W9618" s="23" t="str">
        <f aca="false">IF(ISNUMBER(C9618),MONTH(C9618),"")</f>
        <v/>
      </c>
      <c r="X9618" s="23" t="str">
        <f aca="false">IF(T9618="","",IF(T9618=0,"No discount",IF(T9618&lt;=0.2,"Low (1-20%)",IF(T9618&lt;=0.4,"Medium (21-40%)","High (&gt;40%)"))))</f>
        <v/>
      </c>
      <c r="Y9618" s="23" t="str">
        <f aca="false">IF(AND(ISNUMBER(C9618),ISNUMBER(D9618)),D9618-C9618,"")</f>
        <v/>
      </c>
      <c r="Z9618" s="23" t="str">
        <f aca="false">IF(B9618="","",IF(MATCH(B9618,$B$2:$B$12000,0)=ROW()-1,1,0))</f>
        <v/>
      </c>
    </row>
    <row r="9619" customFormat="false" ht="15" hidden="false" customHeight="false" outlineLevel="0" collapsed="false">
      <c r="V9619" s="23" t="str">
        <f aca="false">IF(ISNUMBER(C9619),YEAR(C9619),"")</f>
        <v/>
      </c>
      <c r="W9619" s="23" t="str">
        <f aca="false">IF(ISNUMBER(C9619),MONTH(C9619),"")</f>
        <v/>
      </c>
      <c r="X9619" s="23" t="str">
        <f aca="false">IF(T9619="","",IF(T9619=0,"No discount",IF(T9619&lt;=0.2,"Low (1-20%)",IF(T9619&lt;=0.4,"Medium (21-40%)","High (&gt;40%)"))))</f>
        <v/>
      </c>
      <c r="Y9619" s="23" t="str">
        <f aca="false">IF(AND(ISNUMBER(C9619),ISNUMBER(D9619)),D9619-C9619,"")</f>
        <v/>
      </c>
      <c r="Z9619" s="23" t="str">
        <f aca="false">IF(B9619="","",IF(MATCH(B9619,$B$2:$B$12000,0)=ROW()-1,1,0))</f>
        <v/>
      </c>
    </row>
    <row r="9620" customFormat="false" ht="15" hidden="false" customHeight="false" outlineLevel="0" collapsed="false">
      <c r="V9620" s="23" t="str">
        <f aca="false">IF(ISNUMBER(C9620),YEAR(C9620),"")</f>
        <v/>
      </c>
      <c r="W9620" s="23" t="str">
        <f aca="false">IF(ISNUMBER(C9620),MONTH(C9620),"")</f>
        <v/>
      </c>
      <c r="X9620" s="23" t="str">
        <f aca="false">IF(T9620="","",IF(T9620=0,"No discount",IF(T9620&lt;=0.2,"Low (1-20%)",IF(T9620&lt;=0.4,"Medium (21-40%)","High (&gt;40%)"))))</f>
        <v/>
      </c>
      <c r="Y9620" s="23" t="str">
        <f aca="false">IF(AND(ISNUMBER(C9620),ISNUMBER(D9620)),D9620-C9620,"")</f>
        <v/>
      </c>
      <c r="Z9620" s="23" t="str">
        <f aca="false">IF(B9620="","",IF(MATCH(B9620,$B$2:$B$12000,0)=ROW()-1,1,0))</f>
        <v/>
      </c>
    </row>
    <row r="9621" customFormat="false" ht="15" hidden="false" customHeight="false" outlineLevel="0" collapsed="false">
      <c r="V9621" s="23" t="str">
        <f aca="false">IF(ISNUMBER(C9621),YEAR(C9621),"")</f>
        <v/>
      </c>
      <c r="W9621" s="23" t="str">
        <f aca="false">IF(ISNUMBER(C9621),MONTH(C9621),"")</f>
        <v/>
      </c>
      <c r="X9621" s="23" t="str">
        <f aca="false">IF(T9621="","",IF(T9621=0,"No discount",IF(T9621&lt;=0.2,"Low (1-20%)",IF(T9621&lt;=0.4,"Medium (21-40%)","High (&gt;40%)"))))</f>
        <v/>
      </c>
      <c r="Y9621" s="23" t="str">
        <f aca="false">IF(AND(ISNUMBER(C9621),ISNUMBER(D9621)),D9621-C9621,"")</f>
        <v/>
      </c>
      <c r="Z9621" s="23" t="str">
        <f aca="false">IF(B9621="","",IF(MATCH(B9621,$B$2:$B$12000,0)=ROW()-1,1,0))</f>
        <v/>
      </c>
    </row>
    <row r="9622" customFormat="false" ht="15" hidden="false" customHeight="false" outlineLevel="0" collapsed="false">
      <c r="V9622" s="23" t="str">
        <f aca="false">IF(ISNUMBER(C9622),YEAR(C9622),"")</f>
        <v/>
      </c>
      <c r="W9622" s="23" t="str">
        <f aca="false">IF(ISNUMBER(C9622),MONTH(C9622),"")</f>
        <v/>
      </c>
      <c r="X9622" s="23" t="str">
        <f aca="false">IF(T9622="","",IF(T9622=0,"No discount",IF(T9622&lt;=0.2,"Low (1-20%)",IF(T9622&lt;=0.4,"Medium (21-40%)","High (&gt;40%)"))))</f>
        <v/>
      </c>
      <c r="Y9622" s="23" t="str">
        <f aca="false">IF(AND(ISNUMBER(C9622),ISNUMBER(D9622)),D9622-C9622,"")</f>
        <v/>
      </c>
      <c r="Z9622" s="23" t="str">
        <f aca="false">IF(B9622="","",IF(MATCH(B9622,$B$2:$B$12000,0)=ROW()-1,1,0))</f>
        <v/>
      </c>
    </row>
    <row r="9623" customFormat="false" ht="15" hidden="false" customHeight="false" outlineLevel="0" collapsed="false">
      <c r="V9623" s="23" t="str">
        <f aca="false">IF(ISNUMBER(C9623),YEAR(C9623),"")</f>
        <v/>
      </c>
      <c r="W9623" s="23" t="str">
        <f aca="false">IF(ISNUMBER(C9623),MONTH(C9623),"")</f>
        <v/>
      </c>
      <c r="X9623" s="23" t="str">
        <f aca="false">IF(T9623="","",IF(T9623=0,"No discount",IF(T9623&lt;=0.2,"Low (1-20%)",IF(T9623&lt;=0.4,"Medium (21-40%)","High (&gt;40%)"))))</f>
        <v/>
      </c>
      <c r="Y9623" s="23" t="str">
        <f aca="false">IF(AND(ISNUMBER(C9623),ISNUMBER(D9623)),D9623-C9623,"")</f>
        <v/>
      </c>
      <c r="Z9623" s="23" t="str">
        <f aca="false">IF(B9623="","",IF(MATCH(B9623,$B$2:$B$12000,0)=ROW()-1,1,0))</f>
        <v/>
      </c>
    </row>
    <row r="9624" customFormat="false" ht="15" hidden="false" customHeight="false" outlineLevel="0" collapsed="false">
      <c r="V9624" s="23" t="str">
        <f aca="false">IF(ISNUMBER(C9624),YEAR(C9624),"")</f>
        <v/>
      </c>
      <c r="W9624" s="23" t="str">
        <f aca="false">IF(ISNUMBER(C9624),MONTH(C9624),"")</f>
        <v/>
      </c>
      <c r="X9624" s="23" t="str">
        <f aca="false">IF(T9624="","",IF(T9624=0,"No discount",IF(T9624&lt;=0.2,"Low (1-20%)",IF(T9624&lt;=0.4,"Medium (21-40%)","High (&gt;40%)"))))</f>
        <v/>
      </c>
      <c r="Y9624" s="23" t="str">
        <f aca="false">IF(AND(ISNUMBER(C9624),ISNUMBER(D9624)),D9624-C9624,"")</f>
        <v/>
      </c>
      <c r="Z9624" s="23" t="str">
        <f aca="false">IF(B9624="","",IF(MATCH(B9624,$B$2:$B$12000,0)=ROW()-1,1,0))</f>
        <v/>
      </c>
    </row>
    <row r="9625" customFormat="false" ht="15" hidden="false" customHeight="false" outlineLevel="0" collapsed="false">
      <c r="V9625" s="23" t="str">
        <f aca="false">IF(ISNUMBER(C9625),YEAR(C9625),"")</f>
        <v/>
      </c>
      <c r="W9625" s="23" t="str">
        <f aca="false">IF(ISNUMBER(C9625),MONTH(C9625),"")</f>
        <v/>
      </c>
      <c r="X9625" s="23" t="str">
        <f aca="false">IF(T9625="","",IF(T9625=0,"No discount",IF(T9625&lt;=0.2,"Low (1-20%)",IF(T9625&lt;=0.4,"Medium (21-40%)","High (&gt;40%)"))))</f>
        <v/>
      </c>
      <c r="Y9625" s="23" t="str">
        <f aca="false">IF(AND(ISNUMBER(C9625),ISNUMBER(D9625)),D9625-C9625,"")</f>
        <v/>
      </c>
      <c r="Z9625" s="23" t="str">
        <f aca="false">IF(B9625="","",IF(MATCH(B9625,$B$2:$B$12000,0)=ROW()-1,1,0))</f>
        <v/>
      </c>
    </row>
    <row r="9626" customFormat="false" ht="15" hidden="false" customHeight="false" outlineLevel="0" collapsed="false">
      <c r="V9626" s="23" t="str">
        <f aca="false">IF(ISNUMBER(C9626),YEAR(C9626),"")</f>
        <v/>
      </c>
      <c r="W9626" s="23" t="str">
        <f aca="false">IF(ISNUMBER(C9626),MONTH(C9626),"")</f>
        <v/>
      </c>
      <c r="X9626" s="23" t="str">
        <f aca="false">IF(T9626="","",IF(T9626=0,"No discount",IF(T9626&lt;=0.2,"Low (1-20%)",IF(T9626&lt;=0.4,"Medium (21-40%)","High (&gt;40%)"))))</f>
        <v/>
      </c>
      <c r="Y9626" s="23" t="str">
        <f aca="false">IF(AND(ISNUMBER(C9626),ISNUMBER(D9626)),D9626-C9626,"")</f>
        <v/>
      </c>
      <c r="Z9626" s="23" t="str">
        <f aca="false">IF(B9626="","",IF(MATCH(B9626,$B$2:$B$12000,0)=ROW()-1,1,0))</f>
        <v/>
      </c>
    </row>
    <row r="9627" customFormat="false" ht="15" hidden="false" customHeight="false" outlineLevel="0" collapsed="false">
      <c r="V9627" s="23" t="str">
        <f aca="false">IF(ISNUMBER(C9627),YEAR(C9627),"")</f>
        <v/>
      </c>
      <c r="W9627" s="23" t="str">
        <f aca="false">IF(ISNUMBER(C9627),MONTH(C9627),"")</f>
        <v/>
      </c>
      <c r="X9627" s="23" t="str">
        <f aca="false">IF(T9627="","",IF(T9627=0,"No discount",IF(T9627&lt;=0.2,"Low (1-20%)",IF(T9627&lt;=0.4,"Medium (21-40%)","High (&gt;40%)"))))</f>
        <v/>
      </c>
      <c r="Y9627" s="23" t="str">
        <f aca="false">IF(AND(ISNUMBER(C9627),ISNUMBER(D9627)),D9627-C9627,"")</f>
        <v/>
      </c>
      <c r="Z9627" s="23" t="str">
        <f aca="false">IF(B9627="","",IF(MATCH(B9627,$B$2:$B$12000,0)=ROW()-1,1,0))</f>
        <v/>
      </c>
    </row>
    <row r="9628" customFormat="false" ht="15" hidden="false" customHeight="false" outlineLevel="0" collapsed="false">
      <c r="V9628" s="23" t="str">
        <f aca="false">IF(ISNUMBER(C9628),YEAR(C9628),"")</f>
        <v/>
      </c>
      <c r="W9628" s="23" t="str">
        <f aca="false">IF(ISNUMBER(C9628),MONTH(C9628),"")</f>
        <v/>
      </c>
      <c r="X9628" s="23" t="str">
        <f aca="false">IF(T9628="","",IF(T9628=0,"No discount",IF(T9628&lt;=0.2,"Low (1-20%)",IF(T9628&lt;=0.4,"Medium (21-40%)","High (&gt;40%)"))))</f>
        <v/>
      </c>
      <c r="Y9628" s="23" t="str">
        <f aca="false">IF(AND(ISNUMBER(C9628),ISNUMBER(D9628)),D9628-C9628,"")</f>
        <v/>
      </c>
      <c r="Z9628" s="23" t="str">
        <f aca="false">IF(B9628="","",IF(MATCH(B9628,$B$2:$B$12000,0)=ROW()-1,1,0))</f>
        <v/>
      </c>
    </row>
    <row r="9629" customFormat="false" ht="15" hidden="false" customHeight="false" outlineLevel="0" collapsed="false">
      <c r="V9629" s="23" t="str">
        <f aca="false">IF(ISNUMBER(C9629),YEAR(C9629),"")</f>
        <v/>
      </c>
      <c r="W9629" s="23" t="str">
        <f aca="false">IF(ISNUMBER(C9629),MONTH(C9629),"")</f>
        <v/>
      </c>
      <c r="X9629" s="23" t="str">
        <f aca="false">IF(T9629="","",IF(T9629=0,"No discount",IF(T9629&lt;=0.2,"Low (1-20%)",IF(T9629&lt;=0.4,"Medium (21-40%)","High (&gt;40%)"))))</f>
        <v/>
      </c>
      <c r="Y9629" s="23" t="str">
        <f aca="false">IF(AND(ISNUMBER(C9629),ISNUMBER(D9629)),D9629-C9629,"")</f>
        <v/>
      </c>
      <c r="Z9629" s="23" t="str">
        <f aca="false">IF(B9629="","",IF(MATCH(B9629,$B$2:$B$12000,0)=ROW()-1,1,0))</f>
        <v/>
      </c>
    </row>
    <row r="9630" customFormat="false" ht="15" hidden="false" customHeight="false" outlineLevel="0" collapsed="false">
      <c r="V9630" s="23" t="str">
        <f aca="false">IF(ISNUMBER(C9630),YEAR(C9630),"")</f>
        <v/>
      </c>
      <c r="W9630" s="23" t="str">
        <f aca="false">IF(ISNUMBER(C9630),MONTH(C9630),"")</f>
        <v/>
      </c>
      <c r="X9630" s="23" t="str">
        <f aca="false">IF(T9630="","",IF(T9630=0,"No discount",IF(T9630&lt;=0.2,"Low (1-20%)",IF(T9630&lt;=0.4,"Medium (21-40%)","High (&gt;40%)"))))</f>
        <v/>
      </c>
      <c r="Y9630" s="23" t="str">
        <f aca="false">IF(AND(ISNUMBER(C9630),ISNUMBER(D9630)),D9630-C9630,"")</f>
        <v/>
      </c>
      <c r="Z9630" s="23" t="str">
        <f aca="false">IF(B9630="","",IF(MATCH(B9630,$B$2:$B$12000,0)=ROW()-1,1,0))</f>
        <v/>
      </c>
    </row>
    <row r="9631" customFormat="false" ht="15" hidden="false" customHeight="false" outlineLevel="0" collapsed="false">
      <c r="V9631" s="23" t="str">
        <f aca="false">IF(ISNUMBER(C9631),YEAR(C9631),"")</f>
        <v/>
      </c>
      <c r="W9631" s="23" t="str">
        <f aca="false">IF(ISNUMBER(C9631),MONTH(C9631),"")</f>
        <v/>
      </c>
      <c r="X9631" s="23" t="str">
        <f aca="false">IF(T9631="","",IF(T9631=0,"No discount",IF(T9631&lt;=0.2,"Low (1-20%)",IF(T9631&lt;=0.4,"Medium (21-40%)","High (&gt;40%)"))))</f>
        <v/>
      </c>
      <c r="Y9631" s="23" t="str">
        <f aca="false">IF(AND(ISNUMBER(C9631),ISNUMBER(D9631)),D9631-C9631,"")</f>
        <v/>
      </c>
      <c r="Z9631" s="23" t="str">
        <f aca="false">IF(B9631="","",IF(MATCH(B9631,$B$2:$B$12000,0)=ROW()-1,1,0))</f>
        <v/>
      </c>
    </row>
    <row r="9632" customFormat="false" ht="15" hidden="false" customHeight="false" outlineLevel="0" collapsed="false">
      <c r="V9632" s="23" t="str">
        <f aca="false">IF(ISNUMBER(C9632),YEAR(C9632),"")</f>
        <v/>
      </c>
      <c r="W9632" s="23" t="str">
        <f aca="false">IF(ISNUMBER(C9632),MONTH(C9632),"")</f>
        <v/>
      </c>
      <c r="X9632" s="23" t="str">
        <f aca="false">IF(T9632="","",IF(T9632=0,"No discount",IF(T9632&lt;=0.2,"Low (1-20%)",IF(T9632&lt;=0.4,"Medium (21-40%)","High (&gt;40%)"))))</f>
        <v/>
      </c>
      <c r="Y9632" s="23" t="str">
        <f aca="false">IF(AND(ISNUMBER(C9632),ISNUMBER(D9632)),D9632-C9632,"")</f>
        <v/>
      </c>
      <c r="Z9632" s="23" t="str">
        <f aca="false">IF(B9632="","",IF(MATCH(B9632,$B$2:$B$12000,0)=ROW()-1,1,0))</f>
        <v/>
      </c>
    </row>
    <row r="9633" customFormat="false" ht="15" hidden="false" customHeight="false" outlineLevel="0" collapsed="false">
      <c r="V9633" s="23" t="str">
        <f aca="false">IF(ISNUMBER(C9633),YEAR(C9633),"")</f>
        <v/>
      </c>
      <c r="W9633" s="23" t="str">
        <f aca="false">IF(ISNUMBER(C9633),MONTH(C9633),"")</f>
        <v/>
      </c>
      <c r="X9633" s="23" t="str">
        <f aca="false">IF(T9633="","",IF(T9633=0,"No discount",IF(T9633&lt;=0.2,"Low (1-20%)",IF(T9633&lt;=0.4,"Medium (21-40%)","High (&gt;40%)"))))</f>
        <v/>
      </c>
      <c r="Y9633" s="23" t="str">
        <f aca="false">IF(AND(ISNUMBER(C9633),ISNUMBER(D9633)),D9633-C9633,"")</f>
        <v/>
      </c>
      <c r="Z9633" s="23" t="str">
        <f aca="false">IF(B9633="","",IF(MATCH(B9633,$B$2:$B$12000,0)=ROW()-1,1,0))</f>
        <v/>
      </c>
    </row>
    <row r="9634" customFormat="false" ht="15" hidden="false" customHeight="false" outlineLevel="0" collapsed="false">
      <c r="V9634" s="23" t="str">
        <f aca="false">IF(ISNUMBER(C9634),YEAR(C9634),"")</f>
        <v/>
      </c>
      <c r="W9634" s="23" t="str">
        <f aca="false">IF(ISNUMBER(C9634),MONTH(C9634),"")</f>
        <v/>
      </c>
      <c r="X9634" s="23" t="str">
        <f aca="false">IF(T9634="","",IF(T9634=0,"No discount",IF(T9634&lt;=0.2,"Low (1-20%)",IF(T9634&lt;=0.4,"Medium (21-40%)","High (&gt;40%)"))))</f>
        <v/>
      </c>
      <c r="Y9634" s="23" t="str">
        <f aca="false">IF(AND(ISNUMBER(C9634),ISNUMBER(D9634)),D9634-C9634,"")</f>
        <v/>
      </c>
      <c r="Z9634" s="23" t="str">
        <f aca="false">IF(B9634="","",IF(MATCH(B9634,$B$2:$B$12000,0)=ROW()-1,1,0))</f>
        <v/>
      </c>
    </row>
    <row r="9635" customFormat="false" ht="15" hidden="false" customHeight="false" outlineLevel="0" collapsed="false">
      <c r="V9635" s="23" t="str">
        <f aca="false">IF(ISNUMBER(C9635),YEAR(C9635),"")</f>
        <v/>
      </c>
      <c r="W9635" s="23" t="str">
        <f aca="false">IF(ISNUMBER(C9635),MONTH(C9635),"")</f>
        <v/>
      </c>
      <c r="X9635" s="23" t="str">
        <f aca="false">IF(T9635="","",IF(T9635=0,"No discount",IF(T9635&lt;=0.2,"Low (1-20%)",IF(T9635&lt;=0.4,"Medium (21-40%)","High (&gt;40%)"))))</f>
        <v/>
      </c>
      <c r="Y9635" s="23" t="str">
        <f aca="false">IF(AND(ISNUMBER(C9635),ISNUMBER(D9635)),D9635-C9635,"")</f>
        <v/>
      </c>
      <c r="Z9635" s="23" t="str">
        <f aca="false">IF(B9635="","",IF(MATCH(B9635,$B$2:$B$12000,0)=ROW()-1,1,0))</f>
        <v/>
      </c>
    </row>
    <row r="9636" customFormat="false" ht="15" hidden="false" customHeight="false" outlineLevel="0" collapsed="false">
      <c r="V9636" s="23" t="str">
        <f aca="false">IF(ISNUMBER(C9636),YEAR(C9636),"")</f>
        <v/>
      </c>
      <c r="W9636" s="23" t="str">
        <f aca="false">IF(ISNUMBER(C9636),MONTH(C9636),"")</f>
        <v/>
      </c>
      <c r="X9636" s="23" t="str">
        <f aca="false">IF(T9636="","",IF(T9636=0,"No discount",IF(T9636&lt;=0.2,"Low (1-20%)",IF(T9636&lt;=0.4,"Medium (21-40%)","High (&gt;40%)"))))</f>
        <v/>
      </c>
      <c r="Y9636" s="23" t="str">
        <f aca="false">IF(AND(ISNUMBER(C9636),ISNUMBER(D9636)),D9636-C9636,"")</f>
        <v/>
      </c>
      <c r="Z9636" s="23" t="str">
        <f aca="false">IF(B9636="","",IF(MATCH(B9636,$B$2:$B$12000,0)=ROW()-1,1,0))</f>
        <v/>
      </c>
    </row>
    <row r="9637" customFormat="false" ht="15" hidden="false" customHeight="false" outlineLevel="0" collapsed="false">
      <c r="V9637" s="23" t="str">
        <f aca="false">IF(ISNUMBER(C9637),YEAR(C9637),"")</f>
        <v/>
      </c>
      <c r="W9637" s="23" t="str">
        <f aca="false">IF(ISNUMBER(C9637),MONTH(C9637),"")</f>
        <v/>
      </c>
      <c r="X9637" s="23" t="str">
        <f aca="false">IF(T9637="","",IF(T9637=0,"No discount",IF(T9637&lt;=0.2,"Low (1-20%)",IF(T9637&lt;=0.4,"Medium (21-40%)","High (&gt;40%)"))))</f>
        <v/>
      </c>
      <c r="Y9637" s="23" t="str">
        <f aca="false">IF(AND(ISNUMBER(C9637),ISNUMBER(D9637)),D9637-C9637,"")</f>
        <v/>
      </c>
      <c r="Z9637" s="23" t="str">
        <f aca="false">IF(B9637="","",IF(MATCH(B9637,$B$2:$B$12000,0)=ROW()-1,1,0))</f>
        <v/>
      </c>
    </row>
    <row r="9638" customFormat="false" ht="15" hidden="false" customHeight="false" outlineLevel="0" collapsed="false">
      <c r="V9638" s="23" t="str">
        <f aca="false">IF(ISNUMBER(C9638),YEAR(C9638),"")</f>
        <v/>
      </c>
      <c r="W9638" s="23" t="str">
        <f aca="false">IF(ISNUMBER(C9638),MONTH(C9638),"")</f>
        <v/>
      </c>
      <c r="X9638" s="23" t="str">
        <f aca="false">IF(T9638="","",IF(T9638=0,"No discount",IF(T9638&lt;=0.2,"Low (1-20%)",IF(T9638&lt;=0.4,"Medium (21-40%)","High (&gt;40%)"))))</f>
        <v/>
      </c>
      <c r="Y9638" s="23" t="str">
        <f aca="false">IF(AND(ISNUMBER(C9638),ISNUMBER(D9638)),D9638-C9638,"")</f>
        <v/>
      </c>
      <c r="Z9638" s="23" t="str">
        <f aca="false">IF(B9638="","",IF(MATCH(B9638,$B$2:$B$12000,0)=ROW()-1,1,0))</f>
        <v/>
      </c>
    </row>
    <row r="9639" customFormat="false" ht="15" hidden="false" customHeight="false" outlineLevel="0" collapsed="false">
      <c r="V9639" s="23" t="str">
        <f aca="false">IF(ISNUMBER(C9639),YEAR(C9639),"")</f>
        <v/>
      </c>
      <c r="W9639" s="23" t="str">
        <f aca="false">IF(ISNUMBER(C9639),MONTH(C9639),"")</f>
        <v/>
      </c>
      <c r="X9639" s="23" t="str">
        <f aca="false">IF(T9639="","",IF(T9639=0,"No discount",IF(T9639&lt;=0.2,"Low (1-20%)",IF(T9639&lt;=0.4,"Medium (21-40%)","High (&gt;40%)"))))</f>
        <v/>
      </c>
      <c r="Y9639" s="23" t="str">
        <f aca="false">IF(AND(ISNUMBER(C9639),ISNUMBER(D9639)),D9639-C9639,"")</f>
        <v/>
      </c>
      <c r="Z9639" s="23" t="str">
        <f aca="false">IF(B9639="","",IF(MATCH(B9639,$B$2:$B$12000,0)=ROW()-1,1,0))</f>
        <v/>
      </c>
    </row>
    <row r="9640" customFormat="false" ht="15" hidden="false" customHeight="false" outlineLevel="0" collapsed="false">
      <c r="V9640" s="23" t="str">
        <f aca="false">IF(ISNUMBER(C9640),YEAR(C9640),"")</f>
        <v/>
      </c>
      <c r="W9640" s="23" t="str">
        <f aca="false">IF(ISNUMBER(C9640),MONTH(C9640),"")</f>
        <v/>
      </c>
      <c r="X9640" s="23" t="str">
        <f aca="false">IF(T9640="","",IF(T9640=0,"No discount",IF(T9640&lt;=0.2,"Low (1-20%)",IF(T9640&lt;=0.4,"Medium (21-40%)","High (&gt;40%)"))))</f>
        <v/>
      </c>
      <c r="Y9640" s="23" t="str">
        <f aca="false">IF(AND(ISNUMBER(C9640),ISNUMBER(D9640)),D9640-C9640,"")</f>
        <v/>
      </c>
      <c r="Z9640" s="23" t="str">
        <f aca="false">IF(B9640="","",IF(MATCH(B9640,$B$2:$B$12000,0)=ROW()-1,1,0))</f>
        <v/>
      </c>
    </row>
    <row r="9641" customFormat="false" ht="15" hidden="false" customHeight="false" outlineLevel="0" collapsed="false">
      <c r="V9641" s="23" t="str">
        <f aca="false">IF(ISNUMBER(C9641),YEAR(C9641),"")</f>
        <v/>
      </c>
      <c r="W9641" s="23" t="str">
        <f aca="false">IF(ISNUMBER(C9641),MONTH(C9641),"")</f>
        <v/>
      </c>
      <c r="X9641" s="23" t="str">
        <f aca="false">IF(T9641="","",IF(T9641=0,"No discount",IF(T9641&lt;=0.2,"Low (1-20%)",IF(T9641&lt;=0.4,"Medium (21-40%)","High (&gt;40%)"))))</f>
        <v/>
      </c>
      <c r="Y9641" s="23" t="str">
        <f aca="false">IF(AND(ISNUMBER(C9641),ISNUMBER(D9641)),D9641-C9641,"")</f>
        <v/>
      </c>
      <c r="Z9641" s="23" t="str">
        <f aca="false">IF(B9641="","",IF(MATCH(B9641,$B$2:$B$12000,0)=ROW()-1,1,0))</f>
        <v/>
      </c>
    </row>
    <row r="9642" customFormat="false" ht="15" hidden="false" customHeight="false" outlineLevel="0" collapsed="false">
      <c r="V9642" s="23" t="str">
        <f aca="false">IF(ISNUMBER(C9642),YEAR(C9642),"")</f>
        <v/>
      </c>
      <c r="W9642" s="23" t="str">
        <f aca="false">IF(ISNUMBER(C9642),MONTH(C9642),"")</f>
        <v/>
      </c>
      <c r="X9642" s="23" t="str">
        <f aca="false">IF(T9642="","",IF(T9642=0,"No discount",IF(T9642&lt;=0.2,"Low (1-20%)",IF(T9642&lt;=0.4,"Medium (21-40%)","High (&gt;40%)"))))</f>
        <v/>
      </c>
      <c r="Y9642" s="23" t="str">
        <f aca="false">IF(AND(ISNUMBER(C9642),ISNUMBER(D9642)),D9642-C9642,"")</f>
        <v/>
      </c>
      <c r="Z9642" s="23" t="str">
        <f aca="false">IF(B9642="","",IF(MATCH(B9642,$B$2:$B$12000,0)=ROW()-1,1,0))</f>
        <v/>
      </c>
    </row>
    <row r="9643" customFormat="false" ht="15" hidden="false" customHeight="false" outlineLevel="0" collapsed="false">
      <c r="V9643" s="23" t="str">
        <f aca="false">IF(ISNUMBER(C9643),YEAR(C9643),"")</f>
        <v/>
      </c>
      <c r="W9643" s="23" t="str">
        <f aca="false">IF(ISNUMBER(C9643),MONTH(C9643),"")</f>
        <v/>
      </c>
      <c r="X9643" s="23" t="str">
        <f aca="false">IF(T9643="","",IF(T9643=0,"No discount",IF(T9643&lt;=0.2,"Low (1-20%)",IF(T9643&lt;=0.4,"Medium (21-40%)","High (&gt;40%)"))))</f>
        <v/>
      </c>
      <c r="Y9643" s="23" t="str">
        <f aca="false">IF(AND(ISNUMBER(C9643),ISNUMBER(D9643)),D9643-C9643,"")</f>
        <v/>
      </c>
      <c r="Z9643" s="23" t="str">
        <f aca="false">IF(B9643="","",IF(MATCH(B9643,$B$2:$B$12000,0)=ROW()-1,1,0))</f>
        <v/>
      </c>
    </row>
    <row r="9644" customFormat="false" ht="15" hidden="false" customHeight="false" outlineLevel="0" collapsed="false">
      <c r="V9644" s="23" t="str">
        <f aca="false">IF(ISNUMBER(C9644),YEAR(C9644),"")</f>
        <v/>
      </c>
      <c r="W9644" s="23" t="str">
        <f aca="false">IF(ISNUMBER(C9644),MONTH(C9644),"")</f>
        <v/>
      </c>
      <c r="X9644" s="23" t="str">
        <f aca="false">IF(T9644="","",IF(T9644=0,"No discount",IF(T9644&lt;=0.2,"Low (1-20%)",IF(T9644&lt;=0.4,"Medium (21-40%)","High (&gt;40%)"))))</f>
        <v/>
      </c>
      <c r="Y9644" s="23" t="str">
        <f aca="false">IF(AND(ISNUMBER(C9644),ISNUMBER(D9644)),D9644-C9644,"")</f>
        <v/>
      </c>
      <c r="Z9644" s="23" t="str">
        <f aca="false">IF(B9644="","",IF(MATCH(B9644,$B$2:$B$12000,0)=ROW()-1,1,0))</f>
        <v/>
      </c>
    </row>
    <row r="9645" customFormat="false" ht="15" hidden="false" customHeight="false" outlineLevel="0" collapsed="false">
      <c r="V9645" s="23" t="str">
        <f aca="false">IF(ISNUMBER(C9645),YEAR(C9645),"")</f>
        <v/>
      </c>
      <c r="W9645" s="23" t="str">
        <f aca="false">IF(ISNUMBER(C9645),MONTH(C9645),"")</f>
        <v/>
      </c>
      <c r="X9645" s="23" t="str">
        <f aca="false">IF(T9645="","",IF(T9645=0,"No discount",IF(T9645&lt;=0.2,"Low (1-20%)",IF(T9645&lt;=0.4,"Medium (21-40%)","High (&gt;40%)"))))</f>
        <v/>
      </c>
      <c r="Y9645" s="23" t="str">
        <f aca="false">IF(AND(ISNUMBER(C9645),ISNUMBER(D9645)),D9645-C9645,"")</f>
        <v/>
      </c>
      <c r="Z9645" s="23" t="str">
        <f aca="false">IF(B9645="","",IF(MATCH(B9645,$B$2:$B$12000,0)=ROW()-1,1,0))</f>
        <v/>
      </c>
    </row>
    <row r="9646" customFormat="false" ht="15" hidden="false" customHeight="false" outlineLevel="0" collapsed="false">
      <c r="V9646" s="23" t="str">
        <f aca="false">IF(ISNUMBER(C9646),YEAR(C9646),"")</f>
        <v/>
      </c>
      <c r="W9646" s="23" t="str">
        <f aca="false">IF(ISNUMBER(C9646),MONTH(C9646),"")</f>
        <v/>
      </c>
      <c r="X9646" s="23" t="str">
        <f aca="false">IF(T9646="","",IF(T9646=0,"No discount",IF(T9646&lt;=0.2,"Low (1-20%)",IF(T9646&lt;=0.4,"Medium (21-40%)","High (&gt;40%)"))))</f>
        <v/>
      </c>
      <c r="Y9646" s="23" t="str">
        <f aca="false">IF(AND(ISNUMBER(C9646),ISNUMBER(D9646)),D9646-C9646,"")</f>
        <v/>
      </c>
      <c r="Z9646" s="23" t="str">
        <f aca="false">IF(B9646="","",IF(MATCH(B9646,$B$2:$B$12000,0)=ROW()-1,1,0))</f>
        <v/>
      </c>
    </row>
    <row r="9647" customFormat="false" ht="15" hidden="false" customHeight="false" outlineLevel="0" collapsed="false">
      <c r="V9647" s="23" t="str">
        <f aca="false">IF(ISNUMBER(C9647),YEAR(C9647),"")</f>
        <v/>
      </c>
      <c r="W9647" s="23" t="str">
        <f aca="false">IF(ISNUMBER(C9647),MONTH(C9647),"")</f>
        <v/>
      </c>
      <c r="X9647" s="23" t="str">
        <f aca="false">IF(T9647="","",IF(T9647=0,"No discount",IF(T9647&lt;=0.2,"Low (1-20%)",IF(T9647&lt;=0.4,"Medium (21-40%)","High (&gt;40%)"))))</f>
        <v/>
      </c>
      <c r="Y9647" s="23" t="str">
        <f aca="false">IF(AND(ISNUMBER(C9647),ISNUMBER(D9647)),D9647-C9647,"")</f>
        <v/>
      </c>
      <c r="Z9647" s="23" t="str">
        <f aca="false">IF(B9647="","",IF(MATCH(B9647,$B$2:$B$12000,0)=ROW()-1,1,0))</f>
        <v/>
      </c>
    </row>
    <row r="9648" customFormat="false" ht="15" hidden="false" customHeight="false" outlineLevel="0" collapsed="false">
      <c r="V9648" s="23" t="str">
        <f aca="false">IF(ISNUMBER(C9648),YEAR(C9648),"")</f>
        <v/>
      </c>
      <c r="W9648" s="23" t="str">
        <f aca="false">IF(ISNUMBER(C9648),MONTH(C9648),"")</f>
        <v/>
      </c>
      <c r="X9648" s="23" t="str">
        <f aca="false">IF(T9648="","",IF(T9648=0,"No discount",IF(T9648&lt;=0.2,"Low (1-20%)",IF(T9648&lt;=0.4,"Medium (21-40%)","High (&gt;40%)"))))</f>
        <v/>
      </c>
      <c r="Y9648" s="23" t="str">
        <f aca="false">IF(AND(ISNUMBER(C9648),ISNUMBER(D9648)),D9648-C9648,"")</f>
        <v/>
      </c>
      <c r="Z9648" s="23" t="str">
        <f aca="false">IF(B9648="","",IF(MATCH(B9648,$B$2:$B$12000,0)=ROW()-1,1,0))</f>
        <v/>
      </c>
    </row>
    <row r="9649" customFormat="false" ht="15" hidden="false" customHeight="false" outlineLevel="0" collapsed="false">
      <c r="V9649" s="23" t="str">
        <f aca="false">IF(ISNUMBER(C9649),YEAR(C9649),"")</f>
        <v/>
      </c>
      <c r="W9649" s="23" t="str">
        <f aca="false">IF(ISNUMBER(C9649),MONTH(C9649),"")</f>
        <v/>
      </c>
      <c r="X9649" s="23" t="str">
        <f aca="false">IF(T9649="","",IF(T9649=0,"No discount",IF(T9649&lt;=0.2,"Low (1-20%)",IF(T9649&lt;=0.4,"Medium (21-40%)","High (&gt;40%)"))))</f>
        <v/>
      </c>
      <c r="Y9649" s="23" t="str">
        <f aca="false">IF(AND(ISNUMBER(C9649),ISNUMBER(D9649)),D9649-C9649,"")</f>
        <v/>
      </c>
      <c r="Z9649" s="23" t="str">
        <f aca="false">IF(B9649="","",IF(MATCH(B9649,$B$2:$B$12000,0)=ROW()-1,1,0))</f>
        <v/>
      </c>
    </row>
    <row r="9650" customFormat="false" ht="15" hidden="false" customHeight="false" outlineLevel="0" collapsed="false">
      <c r="V9650" s="23" t="str">
        <f aca="false">IF(ISNUMBER(C9650),YEAR(C9650),"")</f>
        <v/>
      </c>
      <c r="W9650" s="23" t="str">
        <f aca="false">IF(ISNUMBER(C9650),MONTH(C9650),"")</f>
        <v/>
      </c>
      <c r="X9650" s="23" t="str">
        <f aca="false">IF(T9650="","",IF(T9650=0,"No discount",IF(T9650&lt;=0.2,"Low (1-20%)",IF(T9650&lt;=0.4,"Medium (21-40%)","High (&gt;40%)"))))</f>
        <v/>
      </c>
      <c r="Y9650" s="23" t="str">
        <f aca="false">IF(AND(ISNUMBER(C9650),ISNUMBER(D9650)),D9650-C9650,"")</f>
        <v/>
      </c>
      <c r="Z9650" s="23" t="str">
        <f aca="false">IF(B9650="","",IF(MATCH(B9650,$B$2:$B$12000,0)=ROW()-1,1,0))</f>
        <v/>
      </c>
    </row>
    <row r="9651" customFormat="false" ht="15" hidden="false" customHeight="false" outlineLevel="0" collapsed="false">
      <c r="V9651" s="23" t="str">
        <f aca="false">IF(ISNUMBER(C9651),YEAR(C9651),"")</f>
        <v/>
      </c>
      <c r="W9651" s="23" t="str">
        <f aca="false">IF(ISNUMBER(C9651),MONTH(C9651),"")</f>
        <v/>
      </c>
      <c r="X9651" s="23" t="str">
        <f aca="false">IF(T9651="","",IF(T9651=0,"No discount",IF(T9651&lt;=0.2,"Low (1-20%)",IF(T9651&lt;=0.4,"Medium (21-40%)","High (&gt;40%)"))))</f>
        <v/>
      </c>
      <c r="Y9651" s="23" t="str">
        <f aca="false">IF(AND(ISNUMBER(C9651),ISNUMBER(D9651)),D9651-C9651,"")</f>
        <v/>
      </c>
      <c r="Z9651" s="23" t="str">
        <f aca="false">IF(B9651="","",IF(MATCH(B9651,$B$2:$B$12000,0)=ROW()-1,1,0))</f>
        <v/>
      </c>
    </row>
    <row r="9652" customFormat="false" ht="15" hidden="false" customHeight="false" outlineLevel="0" collapsed="false">
      <c r="V9652" s="23" t="str">
        <f aca="false">IF(ISNUMBER(C9652),YEAR(C9652),"")</f>
        <v/>
      </c>
      <c r="W9652" s="23" t="str">
        <f aca="false">IF(ISNUMBER(C9652),MONTH(C9652),"")</f>
        <v/>
      </c>
      <c r="X9652" s="23" t="str">
        <f aca="false">IF(T9652="","",IF(T9652=0,"No discount",IF(T9652&lt;=0.2,"Low (1-20%)",IF(T9652&lt;=0.4,"Medium (21-40%)","High (&gt;40%)"))))</f>
        <v/>
      </c>
      <c r="Y9652" s="23" t="str">
        <f aca="false">IF(AND(ISNUMBER(C9652),ISNUMBER(D9652)),D9652-C9652,"")</f>
        <v/>
      </c>
      <c r="Z9652" s="23" t="str">
        <f aca="false">IF(B9652="","",IF(MATCH(B9652,$B$2:$B$12000,0)=ROW()-1,1,0))</f>
        <v/>
      </c>
    </row>
    <row r="9653" customFormat="false" ht="15" hidden="false" customHeight="false" outlineLevel="0" collapsed="false">
      <c r="V9653" s="23" t="str">
        <f aca="false">IF(ISNUMBER(C9653),YEAR(C9653),"")</f>
        <v/>
      </c>
      <c r="W9653" s="23" t="str">
        <f aca="false">IF(ISNUMBER(C9653),MONTH(C9653),"")</f>
        <v/>
      </c>
      <c r="X9653" s="23" t="str">
        <f aca="false">IF(T9653="","",IF(T9653=0,"No discount",IF(T9653&lt;=0.2,"Low (1-20%)",IF(T9653&lt;=0.4,"Medium (21-40%)","High (&gt;40%)"))))</f>
        <v/>
      </c>
      <c r="Y9653" s="23" t="str">
        <f aca="false">IF(AND(ISNUMBER(C9653),ISNUMBER(D9653)),D9653-C9653,"")</f>
        <v/>
      </c>
      <c r="Z9653" s="23" t="str">
        <f aca="false">IF(B9653="","",IF(MATCH(B9653,$B$2:$B$12000,0)=ROW()-1,1,0))</f>
        <v/>
      </c>
    </row>
    <row r="9654" customFormat="false" ht="15" hidden="false" customHeight="false" outlineLevel="0" collapsed="false">
      <c r="V9654" s="23" t="str">
        <f aca="false">IF(ISNUMBER(C9654),YEAR(C9654),"")</f>
        <v/>
      </c>
      <c r="W9654" s="23" t="str">
        <f aca="false">IF(ISNUMBER(C9654),MONTH(C9654),"")</f>
        <v/>
      </c>
      <c r="X9654" s="23" t="str">
        <f aca="false">IF(T9654="","",IF(T9654=0,"No discount",IF(T9654&lt;=0.2,"Low (1-20%)",IF(T9654&lt;=0.4,"Medium (21-40%)","High (&gt;40%)"))))</f>
        <v/>
      </c>
      <c r="Y9654" s="23" t="str">
        <f aca="false">IF(AND(ISNUMBER(C9654),ISNUMBER(D9654)),D9654-C9654,"")</f>
        <v/>
      </c>
      <c r="Z9654" s="23" t="str">
        <f aca="false">IF(B9654="","",IF(MATCH(B9654,$B$2:$B$12000,0)=ROW()-1,1,0))</f>
        <v/>
      </c>
    </row>
    <row r="9655" customFormat="false" ht="15" hidden="false" customHeight="false" outlineLevel="0" collapsed="false">
      <c r="V9655" s="23" t="str">
        <f aca="false">IF(ISNUMBER(C9655),YEAR(C9655),"")</f>
        <v/>
      </c>
      <c r="W9655" s="23" t="str">
        <f aca="false">IF(ISNUMBER(C9655),MONTH(C9655),"")</f>
        <v/>
      </c>
      <c r="X9655" s="23" t="str">
        <f aca="false">IF(T9655="","",IF(T9655=0,"No discount",IF(T9655&lt;=0.2,"Low (1-20%)",IF(T9655&lt;=0.4,"Medium (21-40%)","High (&gt;40%)"))))</f>
        <v/>
      </c>
      <c r="Y9655" s="23" t="str">
        <f aca="false">IF(AND(ISNUMBER(C9655),ISNUMBER(D9655)),D9655-C9655,"")</f>
        <v/>
      </c>
      <c r="Z9655" s="23" t="str">
        <f aca="false">IF(B9655="","",IF(MATCH(B9655,$B$2:$B$12000,0)=ROW()-1,1,0))</f>
        <v/>
      </c>
    </row>
    <row r="9656" customFormat="false" ht="15" hidden="false" customHeight="false" outlineLevel="0" collapsed="false">
      <c r="V9656" s="23" t="str">
        <f aca="false">IF(ISNUMBER(C9656),YEAR(C9656),"")</f>
        <v/>
      </c>
      <c r="W9656" s="23" t="str">
        <f aca="false">IF(ISNUMBER(C9656),MONTH(C9656),"")</f>
        <v/>
      </c>
      <c r="X9656" s="23" t="str">
        <f aca="false">IF(T9656="","",IF(T9656=0,"No discount",IF(T9656&lt;=0.2,"Low (1-20%)",IF(T9656&lt;=0.4,"Medium (21-40%)","High (&gt;40%)"))))</f>
        <v/>
      </c>
      <c r="Y9656" s="23" t="str">
        <f aca="false">IF(AND(ISNUMBER(C9656),ISNUMBER(D9656)),D9656-C9656,"")</f>
        <v/>
      </c>
      <c r="Z9656" s="23" t="str">
        <f aca="false">IF(B9656="","",IF(MATCH(B9656,$B$2:$B$12000,0)=ROW()-1,1,0))</f>
        <v/>
      </c>
    </row>
    <row r="9657" customFormat="false" ht="15" hidden="false" customHeight="false" outlineLevel="0" collapsed="false">
      <c r="V9657" s="23" t="str">
        <f aca="false">IF(ISNUMBER(C9657),YEAR(C9657),"")</f>
        <v/>
      </c>
      <c r="W9657" s="23" t="str">
        <f aca="false">IF(ISNUMBER(C9657),MONTH(C9657),"")</f>
        <v/>
      </c>
      <c r="X9657" s="23" t="str">
        <f aca="false">IF(T9657="","",IF(T9657=0,"No discount",IF(T9657&lt;=0.2,"Low (1-20%)",IF(T9657&lt;=0.4,"Medium (21-40%)","High (&gt;40%)"))))</f>
        <v/>
      </c>
      <c r="Y9657" s="23" t="str">
        <f aca="false">IF(AND(ISNUMBER(C9657),ISNUMBER(D9657)),D9657-C9657,"")</f>
        <v/>
      </c>
      <c r="Z9657" s="23" t="str">
        <f aca="false">IF(B9657="","",IF(MATCH(B9657,$B$2:$B$12000,0)=ROW()-1,1,0))</f>
        <v/>
      </c>
    </row>
    <row r="9658" customFormat="false" ht="15" hidden="false" customHeight="false" outlineLevel="0" collapsed="false">
      <c r="V9658" s="23" t="str">
        <f aca="false">IF(ISNUMBER(C9658),YEAR(C9658),"")</f>
        <v/>
      </c>
      <c r="W9658" s="23" t="str">
        <f aca="false">IF(ISNUMBER(C9658),MONTH(C9658),"")</f>
        <v/>
      </c>
      <c r="X9658" s="23" t="str">
        <f aca="false">IF(T9658="","",IF(T9658=0,"No discount",IF(T9658&lt;=0.2,"Low (1-20%)",IF(T9658&lt;=0.4,"Medium (21-40%)","High (&gt;40%)"))))</f>
        <v/>
      </c>
      <c r="Y9658" s="23" t="str">
        <f aca="false">IF(AND(ISNUMBER(C9658),ISNUMBER(D9658)),D9658-C9658,"")</f>
        <v/>
      </c>
      <c r="Z9658" s="23" t="str">
        <f aca="false">IF(B9658="","",IF(MATCH(B9658,$B$2:$B$12000,0)=ROW()-1,1,0))</f>
        <v/>
      </c>
    </row>
    <row r="9659" customFormat="false" ht="15" hidden="false" customHeight="false" outlineLevel="0" collapsed="false">
      <c r="V9659" s="23" t="str">
        <f aca="false">IF(ISNUMBER(C9659),YEAR(C9659),"")</f>
        <v/>
      </c>
      <c r="W9659" s="23" t="str">
        <f aca="false">IF(ISNUMBER(C9659),MONTH(C9659),"")</f>
        <v/>
      </c>
      <c r="X9659" s="23" t="str">
        <f aca="false">IF(T9659="","",IF(T9659=0,"No discount",IF(T9659&lt;=0.2,"Low (1-20%)",IF(T9659&lt;=0.4,"Medium (21-40%)","High (&gt;40%)"))))</f>
        <v/>
      </c>
      <c r="Y9659" s="23" t="str">
        <f aca="false">IF(AND(ISNUMBER(C9659),ISNUMBER(D9659)),D9659-C9659,"")</f>
        <v/>
      </c>
      <c r="Z9659" s="23" t="str">
        <f aca="false">IF(B9659="","",IF(MATCH(B9659,$B$2:$B$12000,0)=ROW()-1,1,0))</f>
        <v/>
      </c>
    </row>
    <row r="9660" customFormat="false" ht="15" hidden="false" customHeight="false" outlineLevel="0" collapsed="false">
      <c r="V9660" s="23" t="str">
        <f aca="false">IF(ISNUMBER(C9660),YEAR(C9660),"")</f>
        <v/>
      </c>
      <c r="W9660" s="23" t="str">
        <f aca="false">IF(ISNUMBER(C9660),MONTH(C9660),"")</f>
        <v/>
      </c>
      <c r="X9660" s="23" t="str">
        <f aca="false">IF(T9660="","",IF(T9660=0,"No discount",IF(T9660&lt;=0.2,"Low (1-20%)",IF(T9660&lt;=0.4,"Medium (21-40%)","High (&gt;40%)"))))</f>
        <v/>
      </c>
      <c r="Y9660" s="23" t="str">
        <f aca="false">IF(AND(ISNUMBER(C9660),ISNUMBER(D9660)),D9660-C9660,"")</f>
        <v/>
      </c>
      <c r="Z9660" s="23" t="str">
        <f aca="false">IF(B9660="","",IF(MATCH(B9660,$B$2:$B$12000,0)=ROW()-1,1,0))</f>
        <v/>
      </c>
    </row>
    <row r="9661" customFormat="false" ht="15" hidden="false" customHeight="false" outlineLevel="0" collapsed="false">
      <c r="V9661" s="23" t="str">
        <f aca="false">IF(ISNUMBER(C9661),YEAR(C9661),"")</f>
        <v/>
      </c>
      <c r="W9661" s="23" t="str">
        <f aca="false">IF(ISNUMBER(C9661),MONTH(C9661),"")</f>
        <v/>
      </c>
      <c r="X9661" s="23" t="str">
        <f aca="false">IF(T9661="","",IF(T9661=0,"No discount",IF(T9661&lt;=0.2,"Low (1-20%)",IF(T9661&lt;=0.4,"Medium (21-40%)","High (&gt;40%)"))))</f>
        <v/>
      </c>
      <c r="Y9661" s="23" t="str">
        <f aca="false">IF(AND(ISNUMBER(C9661),ISNUMBER(D9661)),D9661-C9661,"")</f>
        <v/>
      </c>
      <c r="Z9661" s="23" t="str">
        <f aca="false">IF(B9661="","",IF(MATCH(B9661,$B$2:$B$12000,0)=ROW()-1,1,0))</f>
        <v/>
      </c>
    </row>
    <row r="9662" customFormat="false" ht="15" hidden="false" customHeight="false" outlineLevel="0" collapsed="false">
      <c r="V9662" s="23" t="str">
        <f aca="false">IF(ISNUMBER(C9662),YEAR(C9662),"")</f>
        <v/>
      </c>
      <c r="W9662" s="23" t="str">
        <f aca="false">IF(ISNUMBER(C9662),MONTH(C9662),"")</f>
        <v/>
      </c>
      <c r="X9662" s="23" t="str">
        <f aca="false">IF(T9662="","",IF(T9662=0,"No discount",IF(T9662&lt;=0.2,"Low (1-20%)",IF(T9662&lt;=0.4,"Medium (21-40%)","High (&gt;40%)"))))</f>
        <v/>
      </c>
      <c r="Y9662" s="23" t="str">
        <f aca="false">IF(AND(ISNUMBER(C9662),ISNUMBER(D9662)),D9662-C9662,"")</f>
        <v/>
      </c>
      <c r="Z9662" s="23" t="str">
        <f aca="false">IF(B9662="","",IF(MATCH(B9662,$B$2:$B$12000,0)=ROW()-1,1,0))</f>
        <v/>
      </c>
    </row>
    <row r="9663" customFormat="false" ht="15" hidden="false" customHeight="false" outlineLevel="0" collapsed="false">
      <c r="V9663" s="23" t="str">
        <f aca="false">IF(ISNUMBER(C9663),YEAR(C9663),"")</f>
        <v/>
      </c>
      <c r="W9663" s="23" t="str">
        <f aca="false">IF(ISNUMBER(C9663),MONTH(C9663),"")</f>
        <v/>
      </c>
      <c r="X9663" s="23" t="str">
        <f aca="false">IF(T9663="","",IF(T9663=0,"No discount",IF(T9663&lt;=0.2,"Low (1-20%)",IF(T9663&lt;=0.4,"Medium (21-40%)","High (&gt;40%)"))))</f>
        <v/>
      </c>
      <c r="Y9663" s="23" t="str">
        <f aca="false">IF(AND(ISNUMBER(C9663),ISNUMBER(D9663)),D9663-C9663,"")</f>
        <v/>
      </c>
      <c r="Z9663" s="23" t="str">
        <f aca="false">IF(B9663="","",IF(MATCH(B9663,$B$2:$B$12000,0)=ROW()-1,1,0))</f>
        <v/>
      </c>
    </row>
    <row r="9664" customFormat="false" ht="15" hidden="false" customHeight="false" outlineLevel="0" collapsed="false">
      <c r="V9664" s="23" t="str">
        <f aca="false">IF(ISNUMBER(C9664),YEAR(C9664),"")</f>
        <v/>
      </c>
      <c r="W9664" s="23" t="str">
        <f aca="false">IF(ISNUMBER(C9664),MONTH(C9664),"")</f>
        <v/>
      </c>
      <c r="X9664" s="23" t="str">
        <f aca="false">IF(T9664="","",IF(T9664=0,"No discount",IF(T9664&lt;=0.2,"Low (1-20%)",IF(T9664&lt;=0.4,"Medium (21-40%)","High (&gt;40%)"))))</f>
        <v/>
      </c>
      <c r="Y9664" s="23" t="str">
        <f aca="false">IF(AND(ISNUMBER(C9664),ISNUMBER(D9664)),D9664-C9664,"")</f>
        <v/>
      </c>
      <c r="Z9664" s="23" t="str">
        <f aca="false">IF(B9664="","",IF(MATCH(B9664,$B$2:$B$12000,0)=ROW()-1,1,0))</f>
        <v/>
      </c>
    </row>
    <row r="9665" customFormat="false" ht="15" hidden="false" customHeight="false" outlineLevel="0" collapsed="false">
      <c r="V9665" s="23" t="str">
        <f aca="false">IF(ISNUMBER(C9665),YEAR(C9665),"")</f>
        <v/>
      </c>
      <c r="W9665" s="23" t="str">
        <f aca="false">IF(ISNUMBER(C9665),MONTH(C9665),"")</f>
        <v/>
      </c>
      <c r="X9665" s="23" t="str">
        <f aca="false">IF(T9665="","",IF(T9665=0,"No discount",IF(T9665&lt;=0.2,"Low (1-20%)",IF(T9665&lt;=0.4,"Medium (21-40%)","High (&gt;40%)"))))</f>
        <v/>
      </c>
      <c r="Y9665" s="23" t="str">
        <f aca="false">IF(AND(ISNUMBER(C9665),ISNUMBER(D9665)),D9665-C9665,"")</f>
        <v/>
      </c>
      <c r="Z9665" s="23" t="str">
        <f aca="false">IF(B9665="","",IF(MATCH(B9665,$B$2:$B$12000,0)=ROW()-1,1,0))</f>
        <v/>
      </c>
    </row>
    <row r="9666" customFormat="false" ht="15" hidden="false" customHeight="false" outlineLevel="0" collapsed="false">
      <c r="V9666" s="23" t="str">
        <f aca="false">IF(ISNUMBER(C9666),YEAR(C9666),"")</f>
        <v/>
      </c>
      <c r="W9666" s="23" t="str">
        <f aca="false">IF(ISNUMBER(C9666),MONTH(C9666),"")</f>
        <v/>
      </c>
      <c r="X9666" s="23" t="str">
        <f aca="false">IF(T9666="","",IF(T9666=0,"No discount",IF(T9666&lt;=0.2,"Low (1-20%)",IF(T9666&lt;=0.4,"Medium (21-40%)","High (&gt;40%)"))))</f>
        <v/>
      </c>
      <c r="Y9666" s="23" t="str">
        <f aca="false">IF(AND(ISNUMBER(C9666),ISNUMBER(D9666)),D9666-C9666,"")</f>
        <v/>
      </c>
      <c r="Z9666" s="23" t="str">
        <f aca="false">IF(B9666="","",IF(MATCH(B9666,$B$2:$B$12000,0)=ROW()-1,1,0))</f>
        <v/>
      </c>
    </row>
    <row r="9667" customFormat="false" ht="15" hidden="false" customHeight="false" outlineLevel="0" collapsed="false">
      <c r="V9667" s="23" t="str">
        <f aca="false">IF(ISNUMBER(C9667),YEAR(C9667),"")</f>
        <v/>
      </c>
      <c r="W9667" s="23" t="str">
        <f aca="false">IF(ISNUMBER(C9667),MONTH(C9667),"")</f>
        <v/>
      </c>
      <c r="X9667" s="23" t="str">
        <f aca="false">IF(T9667="","",IF(T9667=0,"No discount",IF(T9667&lt;=0.2,"Low (1-20%)",IF(T9667&lt;=0.4,"Medium (21-40%)","High (&gt;40%)"))))</f>
        <v/>
      </c>
      <c r="Y9667" s="23" t="str">
        <f aca="false">IF(AND(ISNUMBER(C9667),ISNUMBER(D9667)),D9667-C9667,"")</f>
        <v/>
      </c>
      <c r="Z9667" s="23" t="str">
        <f aca="false">IF(B9667="","",IF(MATCH(B9667,$B$2:$B$12000,0)=ROW()-1,1,0))</f>
        <v/>
      </c>
    </row>
    <row r="9668" customFormat="false" ht="15" hidden="false" customHeight="false" outlineLevel="0" collapsed="false">
      <c r="V9668" s="23" t="str">
        <f aca="false">IF(ISNUMBER(C9668),YEAR(C9668),"")</f>
        <v/>
      </c>
      <c r="W9668" s="23" t="str">
        <f aca="false">IF(ISNUMBER(C9668),MONTH(C9668),"")</f>
        <v/>
      </c>
      <c r="X9668" s="23" t="str">
        <f aca="false">IF(T9668="","",IF(T9668=0,"No discount",IF(T9668&lt;=0.2,"Low (1-20%)",IF(T9668&lt;=0.4,"Medium (21-40%)","High (&gt;40%)"))))</f>
        <v/>
      </c>
      <c r="Y9668" s="23" t="str">
        <f aca="false">IF(AND(ISNUMBER(C9668),ISNUMBER(D9668)),D9668-C9668,"")</f>
        <v/>
      </c>
      <c r="Z9668" s="23" t="str">
        <f aca="false">IF(B9668="","",IF(MATCH(B9668,$B$2:$B$12000,0)=ROW()-1,1,0))</f>
        <v/>
      </c>
    </row>
    <row r="9669" customFormat="false" ht="15" hidden="false" customHeight="false" outlineLevel="0" collapsed="false">
      <c r="V9669" s="23" t="str">
        <f aca="false">IF(ISNUMBER(C9669),YEAR(C9669),"")</f>
        <v/>
      </c>
      <c r="W9669" s="23" t="str">
        <f aca="false">IF(ISNUMBER(C9669),MONTH(C9669),"")</f>
        <v/>
      </c>
      <c r="X9669" s="23" t="str">
        <f aca="false">IF(T9669="","",IF(T9669=0,"No discount",IF(T9669&lt;=0.2,"Low (1-20%)",IF(T9669&lt;=0.4,"Medium (21-40%)","High (&gt;40%)"))))</f>
        <v/>
      </c>
      <c r="Y9669" s="23" t="str">
        <f aca="false">IF(AND(ISNUMBER(C9669),ISNUMBER(D9669)),D9669-C9669,"")</f>
        <v/>
      </c>
      <c r="Z9669" s="23" t="str">
        <f aca="false">IF(B9669="","",IF(MATCH(B9669,$B$2:$B$12000,0)=ROW()-1,1,0))</f>
        <v/>
      </c>
    </row>
    <row r="9670" customFormat="false" ht="15" hidden="false" customHeight="false" outlineLevel="0" collapsed="false">
      <c r="V9670" s="23" t="str">
        <f aca="false">IF(ISNUMBER(C9670),YEAR(C9670),"")</f>
        <v/>
      </c>
      <c r="W9670" s="23" t="str">
        <f aca="false">IF(ISNUMBER(C9670),MONTH(C9670),"")</f>
        <v/>
      </c>
      <c r="X9670" s="23" t="str">
        <f aca="false">IF(T9670="","",IF(T9670=0,"No discount",IF(T9670&lt;=0.2,"Low (1-20%)",IF(T9670&lt;=0.4,"Medium (21-40%)","High (&gt;40%)"))))</f>
        <v/>
      </c>
      <c r="Y9670" s="23" t="str">
        <f aca="false">IF(AND(ISNUMBER(C9670),ISNUMBER(D9670)),D9670-C9670,"")</f>
        <v/>
      </c>
      <c r="Z9670" s="23" t="str">
        <f aca="false">IF(B9670="","",IF(MATCH(B9670,$B$2:$B$12000,0)=ROW()-1,1,0))</f>
        <v/>
      </c>
    </row>
    <row r="9671" customFormat="false" ht="15" hidden="false" customHeight="false" outlineLevel="0" collapsed="false">
      <c r="V9671" s="23" t="str">
        <f aca="false">IF(ISNUMBER(C9671),YEAR(C9671),"")</f>
        <v/>
      </c>
      <c r="W9671" s="23" t="str">
        <f aca="false">IF(ISNUMBER(C9671),MONTH(C9671),"")</f>
        <v/>
      </c>
      <c r="X9671" s="23" t="str">
        <f aca="false">IF(T9671="","",IF(T9671=0,"No discount",IF(T9671&lt;=0.2,"Low (1-20%)",IF(T9671&lt;=0.4,"Medium (21-40%)","High (&gt;40%)"))))</f>
        <v/>
      </c>
      <c r="Y9671" s="23" t="str">
        <f aca="false">IF(AND(ISNUMBER(C9671),ISNUMBER(D9671)),D9671-C9671,"")</f>
        <v/>
      </c>
      <c r="Z9671" s="23" t="str">
        <f aca="false">IF(B9671="","",IF(MATCH(B9671,$B$2:$B$12000,0)=ROW()-1,1,0))</f>
        <v/>
      </c>
    </row>
    <row r="9672" customFormat="false" ht="15" hidden="false" customHeight="false" outlineLevel="0" collapsed="false">
      <c r="V9672" s="23" t="str">
        <f aca="false">IF(ISNUMBER(C9672),YEAR(C9672),"")</f>
        <v/>
      </c>
      <c r="W9672" s="23" t="str">
        <f aca="false">IF(ISNUMBER(C9672),MONTH(C9672),"")</f>
        <v/>
      </c>
      <c r="X9672" s="23" t="str">
        <f aca="false">IF(T9672="","",IF(T9672=0,"No discount",IF(T9672&lt;=0.2,"Low (1-20%)",IF(T9672&lt;=0.4,"Medium (21-40%)","High (&gt;40%)"))))</f>
        <v/>
      </c>
      <c r="Y9672" s="23" t="str">
        <f aca="false">IF(AND(ISNUMBER(C9672),ISNUMBER(D9672)),D9672-C9672,"")</f>
        <v/>
      </c>
      <c r="Z9672" s="23" t="str">
        <f aca="false">IF(B9672="","",IF(MATCH(B9672,$B$2:$B$12000,0)=ROW()-1,1,0))</f>
        <v/>
      </c>
    </row>
    <row r="9673" customFormat="false" ht="15" hidden="false" customHeight="false" outlineLevel="0" collapsed="false">
      <c r="V9673" s="23" t="str">
        <f aca="false">IF(ISNUMBER(C9673),YEAR(C9673),"")</f>
        <v/>
      </c>
      <c r="W9673" s="23" t="str">
        <f aca="false">IF(ISNUMBER(C9673),MONTH(C9673),"")</f>
        <v/>
      </c>
      <c r="X9673" s="23" t="str">
        <f aca="false">IF(T9673="","",IF(T9673=0,"No discount",IF(T9673&lt;=0.2,"Low (1-20%)",IF(T9673&lt;=0.4,"Medium (21-40%)","High (&gt;40%)"))))</f>
        <v/>
      </c>
      <c r="Y9673" s="23" t="str">
        <f aca="false">IF(AND(ISNUMBER(C9673),ISNUMBER(D9673)),D9673-C9673,"")</f>
        <v/>
      </c>
      <c r="Z9673" s="23" t="str">
        <f aca="false">IF(B9673="","",IF(MATCH(B9673,$B$2:$B$12000,0)=ROW()-1,1,0))</f>
        <v/>
      </c>
    </row>
    <row r="9674" customFormat="false" ht="15" hidden="false" customHeight="false" outlineLevel="0" collapsed="false">
      <c r="V9674" s="23" t="str">
        <f aca="false">IF(ISNUMBER(C9674),YEAR(C9674),"")</f>
        <v/>
      </c>
      <c r="W9674" s="23" t="str">
        <f aca="false">IF(ISNUMBER(C9674),MONTH(C9674),"")</f>
        <v/>
      </c>
      <c r="X9674" s="23" t="str">
        <f aca="false">IF(T9674="","",IF(T9674=0,"No discount",IF(T9674&lt;=0.2,"Low (1-20%)",IF(T9674&lt;=0.4,"Medium (21-40%)","High (&gt;40%)"))))</f>
        <v/>
      </c>
      <c r="Y9674" s="23" t="str">
        <f aca="false">IF(AND(ISNUMBER(C9674),ISNUMBER(D9674)),D9674-C9674,"")</f>
        <v/>
      </c>
      <c r="Z9674" s="23" t="str">
        <f aca="false">IF(B9674="","",IF(MATCH(B9674,$B$2:$B$12000,0)=ROW()-1,1,0))</f>
        <v/>
      </c>
    </row>
    <row r="9675" customFormat="false" ht="15" hidden="false" customHeight="false" outlineLevel="0" collapsed="false">
      <c r="V9675" s="23" t="str">
        <f aca="false">IF(ISNUMBER(C9675),YEAR(C9675),"")</f>
        <v/>
      </c>
      <c r="W9675" s="23" t="str">
        <f aca="false">IF(ISNUMBER(C9675),MONTH(C9675),"")</f>
        <v/>
      </c>
      <c r="X9675" s="23" t="str">
        <f aca="false">IF(T9675="","",IF(T9675=0,"No discount",IF(T9675&lt;=0.2,"Low (1-20%)",IF(T9675&lt;=0.4,"Medium (21-40%)","High (&gt;40%)"))))</f>
        <v/>
      </c>
      <c r="Y9675" s="23" t="str">
        <f aca="false">IF(AND(ISNUMBER(C9675),ISNUMBER(D9675)),D9675-C9675,"")</f>
        <v/>
      </c>
      <c r="Z9675" s="23" t="str">
        <f aca="false">IF(B9675="","",IF(MATCH(B9675,$B$2:$B$12000,0)=ROW()-1,1,0))</f>
        <v/>
      </c>
    </row>
    <row r="9676" customFormat="false" ht="15" hidden="false" customHeight="false" outlineLevel="0" collapsed="false">
      <c r="V9676" s="23" t="str">
        <f aca="false">IF(ISNUMBER(C9676),YEAR(C9676),"")</f>
        <v/>
      </c>
      <c r="W9676" s="23" t="str">
        <f aca="false">IF(ISNUMBER(C9676),MONTH(C9676),"")</f>
        <v/>
      </c>
      <c r="X9676" s="23" t="str">
        <f aca="false">IF(T9676="","",IF(T9676=0,"No discount",IF(T9676&lt;=0.2,"Low (1-20%)",IF(T9676&lt;=0.4,"Medium (21-40%)","High (&gt;40%)"))))</f>
        <v/>
      </c>
      <c r="Y9676" s="23" t="str">
        <f aca="false">IF(AND(ISNUMBER(C9676),ISNUMBER(D9676)),D9676-C9676,"")</f>
        <v/>
      </c>
      <c r="Z9676" s="23" t="str">
        <f aca="false">IF(B9676="","",IF(MATCH(B9676,$B$2:$B$12000,0)=ROW()-1,1,0))</f>
        <v/>
      </c>
    </row>
    <row r="9677" customFormat="false" ht="15" hidden="false" customHeight="false" outlineLevel="0" collapsed="false">
      <c r="V9677" s="23" t="str">
        <f aca="false">IF(ISNUMBER(C9677),YEAR(C9677),"")</f>
        <v/>
      </c>
      <c r="W9677" s="23" t="str">
        <f aca="false">IF(ISNUMBER(C9677),MONTH(C9677),"")</f>
        <v/>
      </c>
      <c r="X9677" s="23" t="str">
        <f aca="false">IF(T9677="","",IF(T9677=0,"No discount",IF(T9677&lt;=0.2,"Low (1-20%)",IF(T9677&lt;=0.4,"Medium (21-40%)","High (&gt;40%)"))))</f>
        <v/>
      </c>
      <c r="Y9677" s="23" t="str">
        <f aca="false">IF(AND(ISNUMBER(C9677),ISNUMBER(D9677)),D9677-C9677,"")</f>
        <v/>
      </c>
      <c r="Z9677" s="23" t="str">
        <f aca="false">IF(B9677="","",IF(MATCH(B9677,$B$2:$B$12000,0)=ROW()-1,1,0))</f>
        <v/>
      </c>
    </row>
    <row r="9678" customFormat="false" ht="15" hidden="false" customHeight="false" outlineLevel="0" collapsed="false">
      <c r="V9678" s="23" t="str">
        <f aca="false">IF(ISNUMBER(C9678),YEAR(C9678),"")</f>
        <v/>
      </c>
      <c r="W9678" s="23" t="str">
        <f aca="false">IF(ISNUMBER(C9678),MONTH(C9678),"")</f>
        <v/>
      </c>
      <c r="X9678" s="23" t="str">
        <f aca="false">IF(T9678="","",IF(T9678=0,"No discount",IF(T9678&lt;=0.2,"Low (1-20%)",IF(T9678&lt;=0.4,"Medium (21-40%)","High (&gt;40%)"))))</f>
        <v/>
      </c>
      <c r="Y9678" s="23" t="str">
        <f aca="false">IF(AND(ISNUMBER(C9678),ISNUMBER(D9678)),D9678-C9678,"")</f>
        <v/>
      </c>
      <c r="Z9678" s="23" t="str">
        <f aca="false">IF(B9678="","",IF(MATCH(B9678,$B$2:$B$12000,0)=ROW()-1,1,0))</f>
        <v/>
      </c>
    </row>
    <row r="9679" customFormat="false" ht="15" hidden="false" customHeight="false" outlineLevel="0" collapsed="false">
      <c r="V9679" s="23" t="str">
        <f aca="false">IF(ISNUMBER(C9679),YEAR(C9679),"")</f>
        <v/>
      </c>
      <c r="W9679" s="23" t="str">
        <f aca="false">IF(ISNUMBER(C9679),MONTH(C9679),"")</f>
        <v/>
      </c>
      <c r="X9679" s="23" t="str">
        <f aca="false">IF(T9679="","",IF(T9679=0,"No discount",IF(T9679&lt;=0.2,"Low (1-20%)",IF(T9679&lt;=0.4,"Medium (21-40%)","High (&gt;40%)"))))</f>
        <v/>
      </c>
      <c r="Y9679" s="23" t="str">
        <f aca="false">IF(AND(ISNUMBER(C9679),ISNUMBER(D9679)),D9679-C9679,"")</f>
        <v/>
      </c>
      <c r="Z9679" s="23" t="str">
        <f aca="false">IF(B9679="","",IF(MATCH(B9679,$B$2:$B$12000,0)=ROW()-1,1,0))</f>
        <v/>
      </c>
    </row>
    <row r="9680" customFormat="false" ht="15" hidden="false" customHeight="false" outlineLevel="0" collapsed="false">
      <c r="V9680" s="23" t="str">
        <f aca="false">IF(ISNUMBER(C9680),YEAR(C9680),"")</f>
        <v/>
      </c>
      <c r="W9680" s="23" t="str">
        <f aca="false">IF(ISNUMBER(C9680),MONTH(C9680),"")</f>
        <v/>
      </c>
      <c r="X9680" s="23" t="str">
        <f aca="false">IF(T9680="","",IF(T9680=0,"No discount",IF(T9680&lt;=0.2,"Low (1-20%)",IF(T9680&lt;=0.4,"Medium (21-40%)","High (&gt;40%)"))))</f>
        <v/>
      </c>
      <c r="Y9680" s="23" t="str">
        <f aca="false">IF(AND(ISNUMBER(C9680),ISNUMBER(D9680)),D9680-C9680,"")</f>
        <v/>
      </c>
      <c r="Z9680" s="23" t="str">
        <f aca="false">IF(B9680="","",IF(MATCH(B9680,$B$2:$B$12000,0)=ROW()-1,1,0))</f>
        <v/>
      </c>
    </row>
    <row r="9681" customFormat="false" ht="15" hidden="false" customHeight="false" outlineLevel="0" collapsed="false">
      <c r="V9681" s="23" t="str">
        <f aca="false">IF(ISNUMBER(C9681),YEAR(C9681),"")</f>
        <v/>
      </c>
      <c r="W9681" s="23" t="str">
        <f aca="false">IF(ISNUMBER(C9681),MONTH(C9681),"")</f>
        <v/>
      </c>
      <c r="X9681" s="23" t="str">
        <f aca="false">IF(T9681="","",IF(T9681=0,"No discount",IF(T9681&lt;=0.2,"Low (1-20%)",IF(T9681&lt;=0.4,"Medium (21-40%)","High (&gt;40%)"))))</f>
        <v/>
      </c>
      <c r="Y9681" s="23" t="str">
        <f aca="false">IF(AND(ISNUMBER(C9681),ISNUMBER(D9681)),D9681-C9681,"")</f>
        <v/>
      </c>
      <c r="Z9681" s="23" t="str">
        <f aca="false">IF(B9681="","",IF(MATCH(B9681,$B$2:$B$12000,0)=ROW()-1,1,0))</f>
        <v/>
      </c>
    </row>
    <row r="9682" customFormat="false" ht="15" hidden="false" customHeight="false" outlineLevel="0" collapsed="false">
      <c r="V9682" s="23" t="str">
        <f aca="false">IF(ISNUMBER(C9682),YEAR(C9682),"")</f>
        <v/>
      </c>
      <c r="W9682" s="23" t="str">
        <f aca="false">IF(ISNUMBER(C9682),MONTH(C9682),"")</f>
        <v/>
      </c>
      <c r="X9682" s="23" t="str">
        <f aca="false">IF(T9682="","",IF(T9682=0,"No discount",IF(T9682&lt;=0.2,"Low (1-20%)",IF(T9682&lt;=0.4,"Medium (21-40%)","High (&gt;40%)"))))</f>
        <v/>
      </c>
      <c r="Y9682" s="23" t="str">
        <f aca="false">IF(AND(ISNUMBER(C9682),ISNUMBER(D9682)),D9682-C9682,"")</f>
        <v/>
      </c>
      <c r="Z9682" s="23" t="str">
        <f aca="false">IF(B9682="","",IF(MATCH(B9682,$B$2:$B$12000,0)=ROW()-1,1,0))</f>
        <v/>
      </c>
    </row>
    <row r="9683" customFormat="false" ht="15" hidden="false" customHeight="false" outlineLevel="0" collapsed="false">
      <c r="V9683" s="23" t="str">
        <f aca="false">IF(ISNUMBER(C9683),YEAR(C9683),"")</f>
        <v/>
      </c>
      <c r="W9683" s="23" t="str">
        <f aca="false">IF(ISNUMBER(C9683),MONTH(C9683),"")</f>
        <v/>
      </c>
      <c r="X9683" s="23" t="str">
        <f aca="false">IF(T9683="","",IF(T9683=0,"No discount",IF(T9683&lt;=0.2,"Low (1-20%)",IF(T9683&lt;=0.4,"Medium (21-40%)","High (&gt;40%)"))))</f>
        <v/>
      </c>
      <c r="Y9683" s="23" t="str">
        <f aca="false">IF(AND(ISNUMBER(C9683),ISNUMBER(D9683)),D9683-C9683,"")</f>
        <v/>
      </c>
      <c r="Z9683" s="23" t="str">
        <f aca="false">IF(B9683="","",IF(MATCH(B9683,$B$2:$B$12000,0)=ROW()-1,1,0))</f>
        <v/>
      </c>
    </row>
    <row r="9684" customFormat="false" ht="15" hidden="false" customHeight="false" outlineLevel="0" collapsed="false">
      <c r="V9684" s="23" t="str">
        <f aca="false">IF(ISNUMBER(C9684),YEAR(C9684),"")</f>
        <v/>
      </c>
      <c r="W9684" s="23" t="str">
        <f aca="false">IF(ISNUMBER(C9684),MONTH(C9684),"")</f>
        <v/>
      </c>
      <c r="X9684" s="23" t="str">
        <f aca="false">IF(T9684="","",IF(T9684=0,"No discount",IF(T9684&lt;=0.2,"Low (1-20%)",IF(T9684&lt;=0.4,"Medium (21-40%)","High (&gt;40%)"))))</f>
        <v/>
      </c>
      <c r="Y9684" s="23" t="str">
        <f aca="false">IF(AND(ISNUMBER(C9684),ISNUMBER(D9684)),D9684-C9684,"")</f>
        <v/>
      </c>
      <c r="Z9684" s="23" t="str">
        <f aca="false">IF(B9684="","",IF(MATCH(B9684,$B$2:$B$12000,0)=ROW()-1,1,0))</f>
        <v/>
      </c>
    </row>
    <row r="9685" customFormat="false" ht="15" hidden="false" customHeight="false" outlineLevel="0" collapsed="false">
      <c r="V9685" s="23" t="str">
        <f aca="false">IF(ISNUMBER(C9685),YEAR(C9685),"")</f>
        <v/>
      </c>
      <c r="W9685" s="23" t="str">
        <f aca="false">IF(ISNUMBER(C9685),MONTH(C9685),"")</f>
        <v/>
      </c>
      <c r="X9685" s="23" t="str">
        <f aca="false">IF(T9685="","",IF(T9685=0,"No discount",IF(T9685&lt;=0.2,"Low (1-20%)",IF(T9685&lt;=0.4,"Medium (21-40%)","High (&gt;40%)"))))</f>
        <v/>
      </c>
      <c r="Y9685" s="23" t="str">
        <f aca="false">IF(AND(ISNUMBER(C9685),ISNUMBER(D9685)),D9685-C9685,"")</f>
        <v/>
      </c>
      <c r="Z9685" s="23" t="str">
        <f aca="false">IF(B9685="","",IF(MATCH(B9685,$B$2:$B$12000,0)=ROW()-1,1,0))</f>
        <v/>
      </c>
    </row>
    <row r="9686" customFormat="false" ht="15" hidden="false" customHeight="false" outlineLevel="0" collapsed="false">
      <c r="V9686" s="23" t="str">
        <f aca="false">IF(ISNUMBER(C9686),YEAR(C9686),"")</f>
        <v/>
      </c>
      <c r="W9686" s="23" t="str">
        <f aca="false">IF(ISNUMBER(C9686),MONTH(C9686),"")</f>
        <v/>
      </c>
      <c r="X9686" s="23" t="str">
        <f aca="false">IF(T9686="","",IF(T9686=0,"No discount",IF(T9686&lt;=0.2,"Low (1-20%)",IF(T9686&lt;=0.4,"Medium (21-40%)","High (&gt;40%)"))))</f>
        <v/>
      </c>
      <c r="Y9686" s="23" t="str">
        <f aca="false">IF(AND(ISNUMBER(C9686),ISNUMBER(D9686)),D9686-C9686,"")</f>
        <v/>
      </c>
      <c r="Z9686" s="23" t="str">
        <f aca="false">IF(B9686="","",IF(MATCH(B9686,$B$2:$B$12000,0)=ROW()-1,1,0))</f>
        <v/>
      </c>
    </row>
    <row r="9687" customFormat="false" ht="15" hidden="false" customHeight="false" outlineLevel="0" collapsed="false">
      <c r="V9687" s="23" t="str">
        <f aca="false">IF(ISNUMBER(C9687),YEAR(C9687),"")</f>
        <v/>
      </c>
      <c r="W9687" s="23" t="str">
        <f aca="false">IF(ISNUMBER(C9687),MONTH(C9687),"")</f>
        <v/>
      </c>
      <c r="X9687" s="23" t="str">
        <f aca="false">IF(T9687="","",IF(T9687=0,"No discount",IF(T9687&lt;=0.2,"Low (1-20%)",IF(T9687&lt;=0.4,"Medium (21-40%)","High (&gt;40%)"))))</f>
        <v/>
      </c>
      <c r="Y9687" s="23" t="str">
        <f aca="false">IF(AND(ISNUMBER(C9687),ISNUMBER(D9687)),D9687-C9687,"")</f>
        <v/>
      </c>
      <c r="Z9687" s="23" t="str">
        <f aca="false">IF(B9687="","",IF(MATCH(B9687,$B$2:$B$12000,0)=ROW()-1,1,0))</f>
        <v/>
      </c>
    </row>
    <row r="9688" customFormat="false" ht="15" hidden="false" customHeight="false" outlineLevel="0" collapsed="false">
      <c r="V9688" s="23" t="str">
        <f aca="false">IF(ISNUMBER(C9688),YEAR(C9688),"")</f>
        <v/>
      </c>
      <c r="W9688" s="23" t="str">
        <f aca="false">IF(ISNUMBER(C9688),MONTH(C9688),"")</f>
        <v/>
      </c>
      <c r="X9688" s="23" t="str">
        <f aca="false">IF(T9688="","",IF(T9688=0,"No discount",IF(T9688&lt;=0.2,"Low (1-20%)",IF(T9688&lt;=0.4,"Medium (21-40%)","High (&gt;40%)"))))</f>
        <v/>
      </c>
      <c r="Y9688" s="23" t="str">
        <f aca="false">IF(AND(ISNUMBER(C9688),ISNUMBER(D9688)),D9688-C9688,"")</f>
        <v/>
      </c>
      <c r="Z9688" s="23" t="str">
        <f aca="false">IF(B9688="","",IF(MATCH(B9688,$B$2:$B$12000,0)=ROW()-1,1,0))</f>
        <v/>
      </c>
    </row>
    <row r="9689" customFormat="false" ht="15" hidden="false" customHeight="false" outlineLevel="0" collapsed="false">
      <c r="V9689" s="23" t="str">
        <f aca="false">IF(ISNUMBER(C9689),YEAR(C9689),"")</f>
        <v/>
      </c>
      <c r="W9689" s="23" t="str">
        <f aca="false">IF(ISNUMBER(C9689),MONTH(C9689),"")</f>
        <v/>
      </c>
      <c r="X9689" s="23" t="str">
        <f aca="false">IF(T9689="","",IF(T9689=0,"No discount",IF(T9689&lt;=0.2,"Low (1-20%)",IF(T9689&lt;=0.4,"Medium (21-40%)","High (&gt;40%)"))))</f>
        <v/>
      </c>
      <c r="Y9689" s="23" t="str">
        <f aca="false">IF(AND(ISNUMBER(C9689),ISNUMBER(D9689)),D9689-C9689,"")</f>
        <v/>
      </c>
      <c r="Z9689" s="23" t="str">
        <f aca="false">IF(B9689="","",IF(MATCH(B9689,$B$2:$B$12000,0)=ROW()-1,1,0))</f>
        <v/>
      </c>
    </row>
    <row r="9690" customFormat="false" ht="15" hidden="false" customHeight="false" outlineLevel="0" collapsed="false">
      <c r="V9690" s="23" t="str">
        <f aca="false">IF(ISNUMBER(C9690),YEAR(C9690),"")</f>
        <v/>
      </c>
      <c r="W9690" s="23" t="str">
        <f aca="false">IF(ISNUMBER(C9690),MONTH(C9690),"")</f>
        <v/>
      </c>
      <c r="X9690" s="23" t="str">
        <f aca="false">IF(T9690="","",IF(T9690=0,"No discount",IF(T9690&lt;=0.2,"Low (1-20%)",IF(T9690&lt;=0.4,"Medium (21-40%)","High (&gt;40%)"))))</f>
        <v/>
      </c>
      <c r="Y9690" s="23" t="str">
        <f aca="false">IF(AND(ISNUMBER(C9690),ISNUMBER(D9690)),D9690-C9690,"")</f>
        <v/>
      </c>
      <c r="Z9690" s="23" t="str">
        <f aca="false">IF(B9690="","",IF(MATCH(B9690,$B$2:$B$12000,0)=ROW()-1,1,0))</f>
        <v/>
      </c>
    </row>
    <row r="9691" customFormat="false" ht="15" hidden="false" customHeight="false" outlineLevel="0" collapsed="false">
      <c r="V9691" s="23" t="str">
        <f aca="false">IF(ISNUMBER(C9691),YEAR(C9691),"")</f>
        <v/>
      </c>
      <c r="W9691" s="23" t="str">
        <f aca="false">IF(ISNUMBER(C9691),MONTH(C9691),"")</f>
        <v/>
      </c>
      <c r="X9691" s="23" t="str">
        <f aca="false">IF(T9691="","",IF(T9691=0,"No discount",IF(T9691&lt;=0.2,"Low (1-20%)",IF(T9691&lt;=0.4,"Medium (21-40%)","High (&gt;40%)"))))</f>
        <v/>
      </c>
      <c r="Y9691" s="23" t="str">
        <f aca="false">IF(AND(ISNUMBER(C9691),ISNUMBER(D9691)),D9691-C9691,"")</f>
        <v/>
      </c>
      <c r="Z9691" s="23" t="str">
        <f aca="false">IF(B9691="","",IF(MATCH(B9691,$B$2:$B$12000,0)=ROW()-1,1,0))</f>
        <v/>
      </c>
    </row>
    <row r="9692" customFormat="false" ht="15" hidden="false" customHeight="false" outlineLevel="0" collapsed="false">
      <c r="V9692" s="23" t="str">
        <f aca="false">IF(ISNUMBER(C9692),YEAR(C9692),"")</f>
        <v/>
      </c>
      <c r="W9692" s="23" t="str">
        <f aca="false">IF(ISNUMBER(C9692),MONTH(C9692),"")</f>
        <v/>
      </c>
      <c r="X9692" s="23" t="str">
        <f aca="false">IF(T9692="","",IF(T9692=0,"No discount",IF(T9692&lt;=0.2,"Low (1-20%)",IF(T9692&lt;=0.4,"Medium (21-40%)","High (&gt;40%)"))))</f>
        <v/>
      </c>
      <c r="Y9692" s="23" t="str">
        <f aca="false">IF(AND(ISNUMBER(C9692),ISNUMBER(D9692)),D9692-C9692,"")</f>
        <v/>
      </c>
      <c r="Z9692" s="23" t="str">
        <f aca="false">IF(B9692="","",IF(MATCH(B9692,$B$2:$B$12000,0)=ROW()-1,1,0))</f>
        <v/>
      </c>
    </row>
    <row r="9693" customFormat="false" ht="15" hidden="false" customHeight="false" outlineLevel="0" collapsed="false">
      <c r="V9693" s="23" t="str">
        <f aca="false">IF(ISNUMBER(C9693),YEAR(C9693),"")</f>
        <v/>
      </c>
      <c r="W9693" s="23" t="str">
        <f aca="false">IF(ISNUMBER(C9693),MONTH(C9693),"")</f>
        <v/>
      </c>
      <c r="X9693" s="23" t="str">
        <f aca="false">IF(T9693="","",IF(T9693=0,"No discount",IF(T9693&lt;=0.2,"Low (1-20%)",IF(T9693&lt;=0.4,"Medium (21-40%)","High (&gt;40%)"))))</f>
        <v/>
      </c>
      <c r="Y9693" s="23" t="str">
        <f aca="false">IF(AND(ISNUMBER(C9693),ISNUMBER(D9693)),D9693-C9693,"")</f>
        <v/>
      </c>
      <c r="Z9693" s="23" t="str">
        <f aca="false">IF(B9693="","",IF(MATCH(B9693,$B$2:$B$12000,0)=ROW()-1,1,0))</f>
        <v/>
      </c>
    </row>
    <row r="9694" customFormat="false" ht="15" hidden="false" customHeight="false" outlineLevel="0" collapsed="false">
      <c r="V9694" s="23" t="str">
        <f aca="false">IF(ISNUMBER(C9694),YEAR(C9694),"")</f>
        <v/>
      </c>
      <c r="W9694" s="23" t="str">
        <f aca="false">IF(ISNUMBER(C9694),MONTH(C9694),"")</f>
        <v/>
      </c>
      <c r="X9694" s="23" t="str">
        <f aca="false">IF(T9694="","",IF(T9694=0,"No discount",IF(T9694&lt;=0.2,"Low (1-20%)",IF(T9694&lt;=0.4,"Medium (21-40%)","High (&gt;40%)"))))</f>
        <v/>
      </c>
      <c r="Y9694" s="23" t="str">
        <f aca="false">IF(AND(ISNUMBER(C9694),ISNUMBER(D9694)),D9694-C9694,"")</f>
        <v/>
      </c>
      <c r="Z9694" s="23" t="str">
        <f aca="false">IF(B9694="","",IF(MATCH(B9694,$B$2:$B$12000,0)=ROW()-1,1,0))</f>
        <v/>
      </c>
    </row>
    <row r="9695" customFormat="false" ht="15" hidden="false" customHeight="false" outlineLevel="0" collapsed="false">
      <c r="V9695" s="23" t="str">
        <f aca="false">IF(ISNUMBER(C9695),YEAR(C9695),"")</f>
        <v/>
      </c>
      <c r="W9695" s="23" t="str">
        <f aca="false">IF(ISNUMBER(C9695),MONTH(C9695),"")</f>
        <v/>
      </c>
      <c r="X9695" s="23" t="str">
        <f aca="false">IF(T9695="","",IF(T9695=0,"No discount",IF(T9695&lt;=0.2,"Low (1-20%)",IF(T9695&lt;=0.4,"Medium (21-40%)","High (&gt;40%)"))))</f>
        <v/>
      </c>
      <c r="Y9695" s="23" t="str">
        <f aca="false">IF(AND(ISNUMBER(C9695),ISNUMBER(D9695)),D9695-C9695,"")</f>
        <v/>
      </c>
      <c r="Z9695" s="23" t="str">
        <f aca="false">IF(B9695="","",IF(MATCH(B9695,$B$2:$B$12000,0)=ROW()-1,1,0))</f>
        <v/>
      </c>
    </row>
    <row r="9696" customFormat="false" ht="15" hidden="false" customHeight="false" outlineLevel="0" collapsed="false">
      <c r="V9696" s="23" t="str">
        <f aca="false">IF(ISNUMBER(C9696),YEAR(C9696),"")</f>
        <v/>
      </c>
      <c r="W9696" s="23" t="str">
        <f aca="false">IF(ISNUMBER(C9696),MONTH(C9696),"")</f>
        <v/>
      </c>
      <c r="X9696" s="23" t="str">
        <f aca="false">IF(T9696="","",IF(T9696=0,"No discount",IF(T9696&lt;=0.2,"Low (1-20%)",IF(T9696&lt;=0.4,"Medium (21-40%)","High (&gt;40%)"))))</f>
        <v/>
      </c>
      <c r="Y9696" s="23" t="str">
        <f aca="false">IF(AND(ISNUMBER(C9696),ISNUMBER(D9696)),D9696-C9696,"")</f>
        <v/>
      </c>
      <c r="Z9696" s="23" t="str">
        <f aca="false">IF(B9696="","",IF(MATCH(B9696,$B$2:$B$12000,0)=ROW()-1,1,0))</f>
        <v/>
      </c>
    </row>
    <row r="9697" customFormat="false" ht="15" hidden="false" customHeight="false" outlineLevel="0" collapsed="false">
      <c r="V9697" s="23" t="str">
        <f aca="false">IF(ISNUMBER(C9697),YEAR(C9697),"")</f>
        <v/>
      </c>
      <c r="W9697" s="23" t="str">
        <f aca="false">IF(ISNUMBER(C9697),MONTH(C9697),"")</f>
        <v/>
      </c>
      <c r="X9697" s="23" t="str">
        <f aca="false">IF(T9697="","",IF(T9697=0,"No discount",IF(T9697&lt;=0.2,"Low (1-20%)",IF(T9697&lt;=0.4,"Medium (21-40%)","High (&gt;40%)"))))</f>
        <v/>
      </c>
      <c r="Y9697" s="23" t="str">
        <f aca="false">IF(AND(ISNUMBER(C9697),ISNUMBER(D9697)),D9697-C9697,"")</f>
        <v/>
      </c>
      <c r="Z9697" s="23" t="str">
        <f aca="false">IF(B9697="","",IF(MATCH(B9697,$B$2:$B$12000,0)=ROW()-1,1,0))</f>
        <v/>
      </c>
    </row>
    <row r="9698" customFormat="false" ht="15" hidden="false" customHeight="false" outlineLevel="0" collapsed="false">
      <c r="V9698" s="23" t="str">
        <f aca="false">IF(ISNUMBER(C9698),YEAR(C9698),"")</f>
        <v/>
      </c>
      <c r="W9698" s="23" t="str">
        <f aca="false">IF(ISNUMBER(C9698),MONTH(C9698),"")</f>
        <v/>
      </c>
      <c r="X9698" s="23" t="str">
        <f aca="false">IF(T9698="","",IF(T9698=0,"No discount",IF(T9698&lt;=0.2,"Low (1-20%)",IF(T9698&lt;=0.4,"Medium (21-40%)","High (&gt;40%)"))))</f>
        <v/>
      </c>
      <c r="Y9698" s="23" t="str">
        <f aca="false">IF(AND(ISNUMBER(C9698),ISNUMBER(D9698)),D9698-C9698,"")</f>
        <v/>
      </c>
      <c r="Z9698" s="23" t="str">
        <f aca="false">IF(B9698="","",IF(MATCH(B9698,$B$2:$B$12000,0)=ROW()-1,1,0))</f>
        <v/>
      </c>
    </row>
    <row r="9699" customFormat="false" ht="15" hidden="false" customHeight="false" outlineLevel="0" collapsed="false">
      <c r="V9699" s="23" t="str">
        <f aca="false">IF(ISNUMBER(C9699),YEAR(C9699),"")</f>
        <v/>
      </c>
      <c r="W9699" s="23" t="str">
        <f aca="false">IF(ISNUMBER(C9699),MONTH(C9699),"")</f>
        <v/>
      </c>
      <c r="X9699" s="23" t="str">
        <f aca="false">IF(T9699="","",IF(T9699=0,"No discount",IF(T9699&lt;=0.2,"Low (1-20%)",IF(T9699&lt;=0.4,"Medium (21-40%)","High (&gt;40%)"))))</f>
        <v/>
      </c>
      <c r="Y9699" s="23" t="str">
        <f aca="false">IF(AND(ISNUMBER(C9699),ISNUMBER(D9699)),D9699-C9699,"")</f>
        <v/>
      </c>
      <c r="Z9699" s="23" t="str">
        <f aca="false">IF(B9699="","",IF(MATCH(B9699,$B$2:$B$12000,0)=ROW()-1,1,0))</f>
        <v/>
      </c>
    </row>
    <row r="9700" customFormat="false" ht="15" hidden="false" customHeight="false" outlineLevel="0" collapsed="false">
      <c r="V9700" s="23" t="str">
        <f aca="false">IF(ISNUMBER(C9700),YEAR(C9700),"")</f>
        <v/>
      </c>
      <c r="W9700" s="23" t="str">
        <f aca="false">IF(ISNUMBER(C9700),MONTH(C9700),"")</f>
        <v/>
      </c>
      <c r="X9700" s="23" t="str">
        <f aca="false">IF(T9700="","",IF(T9700=0,"No discount",IF(T9700&lt;=0.2,"Low (1-20%)",IF(T9700&lt;=0.4,"Medium (21-40%)","High (&gt;40%)"))))</f>
        <v/>
      </c>
      <c r="Y9700" s="23" t="str">
        <f aca="false">IF(AND(ISNUMBER(C9700),ISNUMBER(D9700)),D9700-C9700,"")</f>
        <v/>
      </c>
      <c r="Z9700" s="23" t="str">
        <f aca="false">IF(B9700="","",IF(MATCH(B9700,$B$2:$B$12000,0)=ROW()-1,1,0))</f>
        <v/>
      </c>
    </row>
    <row r="9701" customFormat="false" ht="15" hidden="false" customHeight="false" outlineLevel="0" collapsed="false">
      <c r="V9701" s="23" t="str">
        <f aca="false">IF(ISNUMBER(C9701),YEAR(C9701),"")</f>
        <v/>
      </c>
      <c r="W9701" s="23" t="str">
        <f aca="false">IF(ISNUMBER(C9701),MONTH(C9701),"")</f>
        <v/>
      </c>
      <c r="X9701" s="23" t="str">
        <f aca="false">IF(T9701="","",IF(T9701=0,"No discount",IF(T9701&lt;=0.2,"Low (1-20%)",IF(T9701&lt;=0.4,"Medium (21-40%)","High (&gt;40%)"))))</f>
        <v/>
      </c>
      <c r="Y9701" s="23" t="str">
        <f aca="false">IF(AND(ISNUMBER(C9701),ISNUMBER(D9701)),D9701-C9701,"")</f>
        <v/>
      </c>
      <c r="Z9701" s="23" t="str">
        <f aca="false">IF(B9701="","",IF(MATCH(B9701,$B$2:$B$12000,0)=ROW()-1,1,0))</f>
        <v/>
      </c>
    </row>
    <row r="9702" customFormat="false" ht="15" hidden="false" customHeight="false" outlineLevel="0" collapsed="false">
      <c r="V9702" s="23" t="str">
        <f aca="false">IF(ISNUMBER(C9702),YEAR(C9702),"")</f>
        <v/>
      </c>
      <c r="W9702" s="23" t="str">
        <f aca="false">IF(ISNUMBER(C9702),MONTH(C9702),"")</f>
        <v/>
      </c>
      <c r="X9702" s="23" t="str">
        <f aca="false">IF(T9702="","",IF(T9702=0,"No discount",IF(T9702&lt;=0.2,"Low (1-20%)",IF(T9702&lt;=0.4,"Medium (21-40%)","High (&gt;40%)"))))</f>
        <v/>
      </c>
      <c r="Y9702" s="23" t="str">
        <f aca="false">IF(AND(ISNUMBER(C9702),ISNUMBER(D9702)),D9702-C9702,"")</f>
        <v/>
      </c>
      <c r="Z9702" s="23" t="str">
        <f aca="false">IF(B9702="","",IF(MATCH(B9702,$B$2:$B$12000,0)=ROW()-1,1,0))</f>
        <v/>
      </c>
    </row>
    <row r="9703" customFormat="false" ht="15" hidden="false" customHeight="false" outlineLevel="0" collapsed="false">
      <c r="V9703" s="23" t="str">
        <f aca="false">IF(ISNUMBER(C9703),YEAR(C9703),"")</f>
        <v/>
      </c>
      <c r="W9703" s="23" t="str">
        <f aca="false">IF(ISNUMBER(C9703),MONTH(C9703),"")</f>
        <v/>
      </c>
      <c r="X9703" s="23" t="str">
        <f aca="false">IF(T9703="","",IF(T9703=0,"No discount",IF(T9703&lt;=0.2,"Low (1-20%)",IF(T9703&lt;=0.4,"Medium (21-40%)","High (&gt;40%)"))))</f>
        <v/>
      </c>
      <c r="Y9703" s="23" t="str">
        <f aca="false">IF(AND(ISNUMBER(C9703),ISNUMBER(D9703)),D9703-C9703,"")</f>
        <v/>
      </c>
      <c r="Z9703" s="23" t="str">
        <f aca="false">IF(B9703="","",IF(MATCH(B9703,$B$2:$B$12000,0)=ROW()-1,1,0))</f>
        <v/>
      </c>
    </row>
    <row r="9704" customFormat="false" ht="15" hidden="false" customHeight="false" outlineLevel="0" collapsed="false">
      <c r="V9704" s="23" t="str">
        <f aca="false">IF(ISNUMBER(C9704),YEAR(C9704),"")</f>
        <v/>
      </c>
      <c r="W9704" s="23" t="str">
        <f aca="false">IF(ISNUMBER(C9704),MONTH(C9704),"")</f>
        <v/>
      </c>
      <c r="X9704" s="23" t="str">
        <f aca="false">IF(T9704="","",IF(T9704=0,"No discount",IF(T9704&lt;=0.2,"Low (1-20%)",IF(T9704&lt;=0.4,"Medium (21-40%)","High (&gt;40%)"))))</f>
        <v/>
      </c>
      <c r="Y9704" s="23" t="str">
        <f aca="false">IF(AND(ISNUMBER(C9704),ISNUMBER(D9704)),D9704-C9704,"")</f>
        <v/>
      </c>
      <c r="Z9704" s="23" t="str">
        <f aca="false">IF(B9704="","",IF(MATCH(B9704,$B$2:$B$12000,0)=ROW()-1,1,0))</f>
        <v/>
      </c>
    </row>
    <row r="9705" customFormat="false" ht="15" hidden="false" customHeight="false" outlineLevel="0" collapsed="false">
      <c r="V9705" s="23" t="str">
        <f aca="false">IF(ISNUMBER(C9705),YEAR(C9705),"")</f>
        <v/>
      </c>
      <c r="W9705" s="23" t="str">
        <f aca="false">IF(ISNUMBER(C9705),MONTH(C9705),"")</f>
        <v/>
      </c>
      <c r="X9705" s="23" t="str">
        <f aca="false">IF(T9705="","",IF(T9705=0,"No discount",IF(T9705&lt;=0.2,"Low (1-20%)",IF(T9705&lt;=0.4,"Medium (21-40%)","High (&gt;40%)"))))</f>
        <v/>
      </c>
      <c r="Y9705" s="23" t="str">
        <f aca="false">IF(AND(ISNUMBER(C9705),ISNUMBER(D9705)),D9705-C9705,"")</f>
        <v/>
      </c>
      <c r="Z9705" s="23" t="str">
        <f aca="false">IF(B9705="","",IF(MATCH(B9705,$B$2:$B$12000,0)=ROW()-1,1,0))</f>
        <v/>
      </c>
    </row>
    <row r="9706" customFormat="false" ht="15" hidden="false" customHeight="false" outlineLevel="0" collapsed="false">
      <c r="V9706" s="23" t="str">
        <f aca="false">IF(ISNUMBER(C9706),YEAR(C9706),"")</f>
        <v/>
      </c>
      <c r="W9706" s="23" t="str">
        <f aca="false">IF(ISNUMBER(C9706),MONTH(C9706),"")</f>
        <v/>
      </c>
      <c r="X9706" s="23" t="str">
        <f aca="false">IF(T9706="","",IF(T9706=0,"No discount",IF(T9706&lt;=0.2,"Low (1-20%)",IF(T9706&lt;=0.4,"Medium (21-40%)","High (&gt;40%)"))))</f>
        <v/>
      </c>
      <c r="Y9706" s="23" t="str">
        <f aca="false">IF(AND(ISNUMBER(C9706),ISNUMBER(D9706)),D9706-C9706,"")</f>
        <v/>
      </c>
      <c r="Z9706" s="23" t="str">
        <f aca="false">IF(B9706="","",IF(MATCH(B9706,$B$2:$B$12000,0)=ROW()-1,1,0))</f>
        <v/>
      </c>
    </row>
    <row r="9707" customFormat="false" ht="15" hidden="false" customHeight="false" outlineLevel="0" collapsed="false">
      <c r="V9707" s="23" t="str">
        <f aca="false">IF(ISNUMBER(C9707),YEAR(C9707),"")</f>
        <v/>
      </c>
      <c r="W9707" s="23" t="str">
        <f aca="false">IF(ISNUMBER(C9707),MONTH(C9707),"")</f>
        <v/>
      </c>
      <c r="X9707" s="23" t="str">
        <f aca="false">IF(T9707="","",IF(T9707=0,"No discount",IF(T9707&lt;=0.2,"Low (1-20%)",IF(T9707&lt;=0.4,"Medium (21-40%)","High (&gt;40%)"))))</f>
        <v/>
      </c>
      <c r="Y9707" s="23" t="str">
        <f aca="false">IF(AND(ISNUMBER(C9707),ISNUMBER(D9707)),D9707-C9707,"")</f>
        <v/>
      </c>
      <c r="Z9707" s="23" t="str">
        <f aca="false">IF(B9707="","",IF(MATCH(B9707,$B$2:$B$12000,0)=ROW()-1,1,0))</f>
        <v/>
      </c>
    </row>
    <row r="9708" customFormat="false" ht="15" hidden="false" customHeight="false" outlineLevel="0" collapsed="false">
      <c r="V9708" s="23" t="str">
        <f aca="false">IF(ISNUMBER(C9708),YEAR(C9708),"")</f>
        <v/>
      </c>
      <c r="W9708" s="23" t="str">
        <f aca="false">IF(ISNUMBER(C9708),MONTH(C9708),"")</f>
        <v/>
      </c>
      <c r="X9708" s="23" t="str">
        <f aca="false">IF(T9708="","",IF(T9708=0,"No discount",IF(T9708&lt;=0.2,"Low (1-20%)",IF(T9708&lt;=0.4,"Medium (21-40%)","High (&gt;40%)"))))</f>
        <v/>
      </c>
      <c r="Y9708" s="23" t="str">
        <f aca="false">IF(AND(ISNUMBER(C9708),ISNUMBER(D9708)),D9708-C9708,"")</f>
        <v/>
      </c>
      <c r="Z9708" s="23" t="str">
        <f aca="false">IF(B9708="","",IF(MATCH(B9708,$B$2:$B$12000,0)=ROW()-1,1,0))</f>
        <v/>
      </c>
    </row>
    <row r="9709" customFormat="false" ht="15" hidden="false" customHeight="false" outlineLevel="0" collapsed="false">
      <c r="V9709" s="23" t="str">
        <f aca="false">IF(ISNUMBER(C9709),YEAR(C9709),"")</f>
        <v/>
      </c>
      <c r="W9709" s="23" t="str">
        <f aca="false">IF(ISNUMBER(C9709),MONTH(C9709),"")</f>
        <v/>
      </c>
      <c r="X9709" s="23" t="str">
        <f aca="false">IF(T9709="","",IF(T9709=0,"No discount",IF(T9709&lt;=0.2,"Low (1-20%)",IF(T9709&lt;=0.4,"Medium (21-40%)","High (&gt;40%)"))))</f>
        <v/>
      </c>
      <c r="Y9709" s="23" t="str">
        <f aca="false">IF(AND(ISNUMBER(C9709),ISNUMBER(D9709)),D9709-C9709,"")</f>
        <v/>
      </c>
      <c r="Z9709" s="23" t="str">
        <f aca="false">IF(B9709="","",IF(MATCH(B9709,$B$2:$B$12000,0)=ROW()-1,1,0))</f>
        <v/>
      </c>
    </row>
    <row r="9710" customFormat="false" ht="15" hidden="false" customHeight="false" outlineLevel="0" collapsed="false">
      <c r="V9710" s="23" t="str">
        <f aca="false">IF(ISNUMBER(C9710),YEAR(C9710),"")</f>
        <v/>
      </c>
      <c r="W9710" s="23" t="str">
        <f aca="false">IF(ISNUMBER(C9710),MONTH(C9710),"")</f>
        <v/>
      </c>
      <c r="X9710" s="23" t="str">
        <f aca="false">IF(T9710="","",IF(T9710=0,"No discount",IF(T9710&lt;=0.2,"Low (1-20%)",IF(T9710&lt;=0.4,"Medium (21-40%)","High (&gt;40%)"))))</f>
        <v/>
      </c>
      <c r="Y9710" s="23" t="str">
        <f aca="false">IF(AND(ISNUMBER(C9710),ISNUMBER(D9710)),D9710-C9710,"")</f>
        <v/>
      </c>
      <c r="Z9710" s="23" t="str">
        <f aca="false">IF(B9710="","",IF(MATCH(B9710,$B$2:$B$12000,0)=ROW()-1,1,0))</f>
        <v/>
      </c>
    </row>
    <row r="9711" customFormat="false" ht="15" hidden="false" customHeight="false" outlineLevel="0" collapsed="false">
      <c r="V9711" s="23" t="str">
        <f aca="false">IF(ISNUMBER(C9711),YEAR(C9711),"")</f>
        <v/>
      </c>
      <c r="W9711" s="23" t="str">
        <f aca="false">IF(ISNUMBER(C9711),MONTH(C9711),"")</f>
        <v/>
      </c>
      <c r="X9711" s="23" t="str">
        <f aca="false">IF(T9711="","",IF(T9711=0,"No discount",IF(T9711&lt;=0.2,"Low (1-20%)",IF(T9711&lt;=0.4,"Medium (21-40%)","High (&gt;40%)"))))</f>
        <v/>
      </c>
      <c r="Y9711" s="23" t="str">
        <f aca="false">IF(AND(ISNUMBER(C9711),ISNUMBER(D9711)),D9711-C9711,"")</f>
        <v/>
      </c>
      <c r="Z9711" s="23" t="str">
        <f aca="false">IF(B9711="","",IF(MATCH(B9711,$B$2:$B$12000,0)=ROW()-1,1,0))</f>
        <v/>
      </c>
    </row>
    <row r="9712" customFormat="false" ht="15" hidden="false" customHeight="false" outlineLevel="0" collapsed="false">
      <c r="V9712" s="23" t="str">
        <f aca="false">IF(ISNUMBER(C9712),YEAR(C9712),"")</f>
        <v/>
      </c>
      <c r="W9712" s="23" t="str">
        <f aca="false">IF(ISNUMBER(C9712),MONTH(C9712),"")</f>
        <v/>
      </c>
      <c r="X9712" s="23" t="str">
        <f aca="false">IF(T9712="","",IF(T9712=0,"No discount",IF(T9712&lt;=0.2,"Low (1-20%)",IF(T9712&lt;=0.4,"Medium (21-40%)","High (&gt;40%)"))))</f>
        <v/>
      </c>
      <c r="Y9712" s="23" t="str">
        <f aca="false">IF(AND(ISNUMBER(C9712),ISNUMBER(D9712)),D9712-C9712,"")</f>
        <v/>
      </c>
      <c r="Z9712" s="23" t="str">
        <f aca="false">IF(B9712="","",IF(MATCH(B9712,$B$2:$B$12000,0)=ROW()-1,1,0))</f>
        <v/>
      </c>
    </row>
    <row r="9713" customFormat="false" ht="15" hidden="false" customHeight="false" outlineLevel="0" collapsed="false">
      <c r="V9713" s="23" t="str">
        <f aca="false">IF(ISNUMBER(C9713),YEAR(C9713),"")</f>
        <v/>
      </c>
      <c r="W9713" s="23" t="str">
        <f aca="false">IF(ISNUMBER(C9713),MONTH(C9713),"")</f>
        <v/>
      </c>
      <c r="X9713" s="23" t="str">
        <f aca="false">IF(T9713="","",IF(T9713=0,"No discount",IF(T9713&lt;=0.2,"Low (1-20%)",IF(T9713&lt;=0.4,"Medium (21-40%)","High (&gt;40%)"))))</f>
        <v/>
      </c>
      <c r="Y9713" s="23" t="str">
        <f aca="false">IF(AND(ISNUMBER(C9713),ISNUMBER(D9713)),D9713-C9713,"")</f>
        <v/>
      </c>
      <c r="Z9713" s="23" t="str">
        <f aca="false">IF(B9713="","",IF(MATCH(B9713,$B$2:$B$12000,0)=ROW()-1,1,0))</f>
        <v/>
      </c>
    </row>
    <row r="9714" customFormat="false" ht="15" hidden="false" customHeight="false" outlineLevel="0" collapsed="false">
      <c r="V9714" s="23" t="str">
        <f aca="false">IF(ISNUMBER(C9714),YEAR(C9714),"")</f>
        <v/>
      </c>
      <c r="W9714" s="23" t="str">
        <f aca="false">IF(ISNUMBER(C9714),MONTH(C9714),"")</f>
        <v/>
      </c>
      <c r="X9714" s="23" t="str">
        <f aca="false">IF(T9714="","",IF(T9714=0,"No discount",IF(T9714&lt;=0.2,"Low (1-20%)",IF(T9714&lt;=0.4,"Medium (21-40%)","High (&gt;40%)"))))</f>
        <v/>
      </c>
      <c r="Y9714" s="23" t="str">
        <f aca="false">IF(AND(ISNUMBER(C9714),ISNUMBER(D9714)),D9714-C9714,"")</f>
        <v/>
      </c>
      <c r="Z9714" s="23" t="str">
        <f aca="false">IF(B9714="","",IF(MATCH(B9714,$B$2:$B$12000,0)=ROW()-1,1,0))</f>
        <v/>
      </c>
    </row>
    <row r="9715" customFormat="false" ht="15" hidden="false" customHeight="false" outlineLevel="0" collapsed="false">
      <c r="V9715" s="23" t="str">
        <f aca="false">IF(ISNUMBER(C9715),YEAR(C9715),"")</f>
        <v/>
      </c>
      <c r="W9715" s="23" t="str">
        <f aca="false">IF(ISNUMBER(C9715),MONTH(C9715),"")</f>
        <v/>
      </c>
      <c r="X9715" s="23" t="str">
        <f aca="false">IF(T9715="","",IF(T9715=0,"No discount",IF(T9715&lt;=0.2,"Low (1-20%)",IF(T9715&lt;=0.4,"Medium (21-40%)","High (&gt;40%)"))))</f>
        <v/>
      </c>
      <c r="Y9715" s="23" t="str">
        <f aca="false">IF(AND(ISNUMBER(C9715),ISNUMBER(D9715)),D9715-C9715,"")</f>
        <v/>
      </c>
      <c r="Z9715" s="23" t="str">
        <f aca="false">IF(B9715="","",IF(MATCH(B9715,$B$2:$B$12000,0)=ROW()-1,1,0))</f>
        <v/>
      </c>
    </row>
    <row r="9716" customFormat="false" ht="15" hidden="false" customHeight="false" outlineLevel="0" collapsed="false">
      <c r="V9716" s="23" t="str">
        <f aca="false">IF(ISNUMBER(C9716),YEAR(C9716),"")</f>
        <v/>
      </c>
      <c r="W9716" s="23" t="str">
        <f aca="false">IF(ISNUMBER(C9716),MONTH(C9716),"")</f>
        <v/>
      </c>
      <c r="X9716" s="23" t="str">
        <f aca="false">IF(T9716="","",IF(T9716=0,"No discount",IF(T9716&lt;=0.2,"Low (1-20%)",IF(T9716&lt;=0.4,"Medium (21-40%)","High (&gt;40%)"))))</f>
        <v/>
      </c>
      <c r="Y9716" s="23" t="str">
        <f aca="false">IF(AND(ISNUMBER(C9716),ISNUMBER(D9716)),D9716-C9716,"")</f>
        <v/>
      </c>
      <c r="Z9716" s="23" t="str">
        <f aca="false">IF(B9716="","",IF(MATCH(B9716,$B$2:$B$12000,0)=ROW()-1,1,0))</f>
        <v/>
      </c>
    </row>
    <row r="9717" customFormat="false" ht="15" hidden="false" customHeight="false" outlineLevel="0" collapsed="false">
      <c r="V9717" s="23" t="str">
        <f aca="false">IF(ISNUMBER(C9717),YEAR(C9717),"")</f>
        <v/>
      </c>
      <c r="W9717" s="23" t="str">
        <f aca="false">IF(ISNUMBER(C9717),MONTH(C9717),"")</f>
        <v/>
      </c>
      <c r="X9717" s="23" t="str">
        <f aca="false">IF(T9717="","",IF(T9717=0,"No discount",IF(T9717&lt;=0.2,"Low (1-20%)",IF(T9717&lt;=0.4,"Medium (21-40%)","High (&gt;40%)"))))</f>
        <v/>
      </c>
      <c r="Y9717" s="23" t="str">
        <f aca="false">IF(AND(ISNUMBER(C9717),ISNUMBER(D9717)),D9717-C9717,"")</f>
        <v/>
      </c>
      <c r="Z9717" s="23" t="str">
        <f aca="false">IF(B9717="","",IF(MATCH(B9717,$B$2:$B$12000,0)=ROW()-1,1,0))</f>
        <v/>
      </c>
    </row>
    <row r="9718" customFormat="false" ht="15" hidden="false" customHeight="false" outlineLevel="0" collapsed="false">
      <c r="V9718" s="23" t="str">
        <f aca="false">IF(ISNUMBER(C9718),YEAR(C9718),"")</f>
        <v/>
      </c>
      <c r="W9718" s="23" t="str">
        <f aca="false">IF(ISNUMBER(C9718),MONTH(C9718),"")</f>
        <v/>
      </c>
      <c r="X9718" s="23" t="str">
        <f aca="false">IF(T9718="","",IF(T9718=0,"No discount",IF(T9718&lt;=0.2,"Low (1-20%)",IF(T9718&lt;=0.4,"Medium (21-40%)","High (&gt;40%)"))))</f>
        <v/>
      </c>
      <c r="Y9718" s="23" t="str">
        <f aca="false">IF(AND(ISNUMBER(C9718),ISNUMBER(D9718)),D9718-C9718,"")</f>
        <v/>
      </c>
      <c r="Z9718" s="23" t="str">
        <f aca="false">IF(B9718="","",IF(MATCH(B9718,$B$2:$B$12000,0)=ROW()-1,1,0))</f>
        <v/>
      </c>
    </row>
    <row r="9719" customFormat="false" ht="15" hidden="false" customHeight="false" outlineLevel="0" collapsed="false">
      <c r="V9719" s="23" t="str">
        <f aca="false">IF(ISNUMBER(C9719),YEAR(C9719),"")</f>
        <v/>
      </c>
      <c r="W9719" s="23" t="str">
        <f aca="false">IF(ISNUMBER(C9719),MONTH(C9719),"")</f>
        <v/>
      </c>
      <c r="X9719" s="23" t="str">
        <f aca="false">IF(T9719="","",IF(T9719=0,"No discount",IF(T9719&lt;=0.2,"Low (1-20%)",IF(T9719&lt;=0.4,"Medium (21-40%)","High (&gt;40%)"))))</f>
        <v/>
      </c>
      <c r="Y9719" s="23" t="str">
        <f aca="false">IF(AND(ISNUMBER(C9719),ISNUMBER(D9719)),D9719-C9719,"")</f>
        <v/>
      </c>
      <c r="Z9719" s="23" t="str">
        <f aca="false">IF(B9719="","",IF(MATCH(B9719,$B$2:$B$12000,0)=ROW()-1,1,0))</f>
        <v/>
      </c>
    </row>
    <row r="9720" customFormat="false" ht="15" hidden="false" customHeight="false" outlineLevel="0" collapsed="false">
      <c r="V9720" s="23" t="str">
        <f aca="false">IF(ISNUMBER(C9720),YEAR(C9720),"")</f>
        <v/>
      </c>
      <c r="W9720" s="23" t="str">
        <f aca="false">IF(ISNUMBER(C9720),MONTH(C9720),"")</f>
        <v/>
      </c>
      <c r="X9720" s="23" t="str">
        <f aca="false">IF(T9720="","",IF(T9720=0,"No discount",IF(T9720&lt;=0.2,"Low (1-20%)",IF(T9720&lt;=0.4,"Medium (21-40%)","High (&gt;40%)"))))</f>
        <v/>
      </c>
      <c r="Y9720" s="23" t="str">
        <f aca="false">IF(AND(ISNUMBER(C9720),ISNUMBER(D9720)),D9720-C9720,"")</f>
        <v/>
      </c>
      <c r="Z9720" s="23" t="str">
        <f aca="false">IF(B9720="","",IF(MATCH(B9720,$B$2:$B$12000,0)=ROW()-1,1,0))</f>
        <v/>
      </c>
    </row>
    <row r="9721" customFormat="false" ht="15" hidden="false" customHeight="false" outlineLevel="0" collapsed="false">
      <c r="V9721" s="23" t="str">
        <f aca="false">IF(ISNUMBER(C9721),YEAR(C9721),"")</f>
        <v/>
      </c>
      <c r="W9721" s="23" t="str">
        <f aca="false">IF(ISNUMBER(C9721),MONTH(C9721),"")</f>
        <v/>
      </c>
      <c r="X9721" s="23" t="str">
        <f aca="false">IF(T9721="","",IF(T9721=0,"No discount",IF(T9721&lt;=0.2,"Low (1-20%)",IF(T9721&lt;=0.4,"Medium (21-40%)","High (&gt;40%)"))))</f>
        <v/>
      </c>
      <c r="Y9721" s="23" t="str">
        <f aca="false">IF(AND(ISNUMBER(C9721),ISNUMBER(D9721)),D9721-C9721,"")</f>
        <v/>
      </c>
      <c r="Z9721" s="23" t="str">
        <f aca="false">IF(B9721="","",IF(MATCH(B9721,$B$2:$B$12000,0)=ROW()-1,1,0))</f>
        <v/>
      </c>
    </row>
    <row r="9722" customFormat="false" ht="15" hidden="false" customHeight="false" outlineLevel="0" collapsed="false">
      <c r="V9722" s="23" t="str">
        <f aca="false">IF(ISNUMBER(C9722),YEAR(C9722),"")</f>
        <v/>
      </c>
      <c r="W9722" s="23" t="str">
        <f aca="false">IF(ISNUMBER(C9722),MONTH(C9722),"")</f>
        <v/>
      </c>
      <c r="X9722" s="23" t="str">
        <f aca="false">IF(T9722="","",IF(T9722=0,"No discount",IF(T9722&lt;=0.2,"Low (1-20%)",IF(T9722&lt;=0.4,"Medium (21-40%)","High (&gt;40%)"))))</f>
        <v/>
      </c>
      <c r="Y9722" s="23" t="str">
        <f aca="false">IF(AND(ISNUMBER(C9722),ISNUMBER(D9722)),D9722-C9722,"")</f>
        <v/>
      </c>
      <c r="Z9722" s="23" t="str">
        <f aca="false">IF(B9722="","",IF(MATCH(B9722,$B$2:$B$12000,0)=ROW()-1,1,0))</f>
        <v/>
      </c>
    </row>
    <row r="9723" customFormat="false" ht="15" hidden="false" customHeight="false" outlineLevel="0" collapsed="false">
      <c r="V9723" s="23" t="str">
        <f aca="false">IF(ISNUMBER(C9723),YEAR(C9723),"")</f>
        <v/>
      </c>
      <c r="W9723" s="23" t="str">
        <f aca="false">IF(ISNUMBER(C9723),MONTH(C9723),"")</f>
        <v/>
      </c>
      <c r="X9723" s="23" t="str">
        <f aca="false">IF(T9723="","",IF(T9723=0,"No discount",IF(T9723&lt;=0.2,"Low (1-20%)",IF(T9723&lt;=0.4,"Medium (21-40%)","High (&gt;40%)"))))</f>
        <v/>
      </c>
      <c r="Y9723" s="23" t="str">
        <f aca="false">IF(AND(ISNUMBER(C9723),ISNUMBER(D9723)),D9723-C9723,"")</f>
        <v/>
      </c>
      <c r="Z9723" s="23" t="str">
        <f aca="false">IF(B9723="","",IF(MATCH(B9723,$B$2:$B$12000,0)=ROW()-1,1,0))</f>
        <v/>
      </c>
    </row>
    <row r="9724" customFormat="false" ht="15" hidden="false" customHeight="false" outlineLevel="0" collapsed="false">
      <c r="V9724" s="23" t="str">
        <f aca="false">IF(ISNUMBER(C9724),YEAR(C9724),"")</f>
        <v/>
      </c>
      <c r="W9724" s="23" t="str">
        <f aca="false">IF(ISNUMBER(C9724),MONTH(C9724),"")</f>
        <v/>
      </c>
      <c r="X9724" s="23" t="str">
        <f aca="false">IF(T9724="","",IF(T9724=0,"No discount",IF(T9724&lt;=0.2,"Low (1-20%)",IF(T9724&lt;=0.4,"Medium (21-40%)","High (&gt;40%)"))))</f>
        <v/>
      </c>
      <c r="Y9724" s="23" t="str">
        <f aca="false">IF(AND(ISNUMBER(C9724),ISNUMBER(D9724)),D9724-C9724,"")</f>
        <v/>
      </c>
      <c r="Z9724" s="23" t="str">
        <f aca="false">IF(B9724="","",IF(MATCH(B9724,$B$2:$B$12000,0)=ROW()-1,1,0))</f>
        <v/>
      </c>
    </row>
    <row r="9725" customFormat="false" ht="15" hidden="false" customHeight="false" outlineLevel="0" collapsed="false">
      <c r="V9725" s="23" t="str">
        <f aca="false">IF(ISNUMBER(C9725),YEAR(C9725),"")</f>
        <v/>
      </c>
      <c r="W9725" s="23" t="str">
        <f aca="false">IF(ISNUMBER(C9725),MONTH(C9725),"")</f>
        <v/>
      </c>
      <c r="X9725" s="23" t="str">
        <f aca="false">IF(T9725="","",IF(T9725=0,"No discount",IF(T9725&lt;=0.2,"Low (1-20%)",IF(T9725&lt;=0.4,"Medium (21-40%)","High (&gt;40%)"))))</f>
        <v/>
      </c>
      <c r="Y9725" s="23" t="str">
        <f aca="false">IF(AND(ISNUMBER(C9725),ISNUMBER(D9725)),D9725-C9725,"")</f>
        <v/>
      </c>
      <c r="Z9725" s="23" t="str">
        <f aca="false">IF(B9725="","",IF(MATCH(B9725,$B$2:$B$12000,0)=ROW()-1,1,0))</f>
        <v/>
      </c>
    </row>
    <row r="9726" customFormat="false" ht="15" hidden="false" customHeight="false" outlineLevel="0" collapsed="false">
      <c r="V9726" s="23" t="str">
        <f aca="false">IF(ISNUMBER(C9726),YEAR(C9726),"")</f>
        <v/>
      </c>
      <c r="W9726" s="23" t="str">
        <f aca="false">IF(ISNUMBER(C9726),MONTH(C9726),"")</f>
        <v/>
      </c>
      <c r="X9726" s="23" t="str">
        <f aca="false">IF(T9726="","",IF(T9726=0,"No discount",IF(T9726&lt;=0.2,"Low (1-20%)",IF(T9726&lt;=0.4,"Medium (21-40%)","High (&gt;40%)"))))</f>
        <v/>
      </c>
      <c r="Y9726" s="23" t="str">
        <f aca="false">IF(AND(ISNUMBER(C9726),ISNUMBER(D9726)),D9726-C9726,"")</f>
        <v/>
      </c>
      <c r="Z9726" s="23" t="str">
        <f aca="false">IF(B9726="","",IF(MATCH(B9726,$B$2:$B$12000,0)=ROW()-1,1,0))</f>
        <v/>
      </c>
    </row>
    <row r="9727" customFormat="false" ht="15" hidden="false" customHeight="false" outlineLevel="0" collapsed="false">
      <c r="V9727" s="23" t="str">
        <f aca="false">IF(ISNUMBER(C9727),YEAR(C9727),"")</f>
        <v/>
      </c>
      <c r="W9727" s="23" t="str">
        <f aca="false">IF(ISNUMBER(C9727),MONTH(C9727),"")</f>
        <v/>
      </c>
      <c r="X9727" s="23" t="str">
        <f aca="false">IF(T9727="","",IF(T9727=0,"No discount",IF(T9727&lt;=0.2,"Low (1-20%)",IF(T9727&lt;=0.4,"Medium (21-40%)","High (&gt;40%)"))))</f>
        <v/>
      </c>
      <c r="Y9727" s="23" t="str">
        <f aca="false">IF(AND(ISNUMBER(C9727),ISNUMBER(D9727)),D9727-C9727,"")</f>
        <v/>
      </c>
      <c r="Z9727" s="23" t="str">
        <f aca="false">IF(B9727="","",IF(MATCH(B9727,$B$2:$B$12000,0)=ROW()-1,1,0))</f>
        <v/>
      </c>
    </row>
    <row r="9728" customFormat="false" ht="15" hidden="false" customHeight="false" outlineLevel="0" collapsed="false">
      <c r="V9728" s="23" t="str">
        <f aca="false">IF(ISNUMBER(C9728),YEAR(C9728),"")</f>
        <v/>
      </c>
      <c r="W9728" s="23" t="str">
        <f aca="false">IF(ISNUMBER(C9728),MONTH(C9728),"")</f>
        <v/>
      </c>
      <c r="X9728" s="23" t="str">
        <f aca="false">IF(T9728="","",IF(T9728=0,"No discount",IF(T9728&lt;=0.2,"Low (1-20%)",IF(T9728&lt;=0.4,"Medium (21-40%)","High (&gt;40%)"))))</f>
        <v/>
      </c>
      <c r="Y9728" s="23" t="str">
        <f aca="false">IF(AND(ISNUMBER(C9728),ISNUMBER(D9728)),D9728-C9728,"")</f>
        <v/>
      </c>
      <c r="Z9728" s="23" t="str">
        <f aca="false">IF(B9728="","",IF(MATCH(B9728,$B$2:$B$12000,0)=ROW()-1,1,0))</f>
        <v/>
      </c>
    </row>
    <row r="9729" customFormat="false" ht="15" hidden="false" customHeight="false" outlineLevel="0" collapsed="false">
      <c r="V9729" s="23" t="str">
        <f aca="false">IF(ISNUMBER(C9729),YEAR(C9729),"")</f>
        <v/>
      </c>
      <c r="W9729" s="23" t="str">
        <f aca="false">IF(ISNUMBER(C9729),MONTH(C9729),"")</f>
        <v/>
      </c>
      <c r="X9729" s="23" t="str">
        <f aca="false">IF(T9729="","",IF(T9729=0,"No discount",IF(T9729&lt;=0.2,"Low (1-20%)",IF(T9729&lt;=0.4,"Medium (21-40%)","High (&gt;40%)"))))</f>
        <v/>
      </c>
      <c r="Y9729" s="23" t="str">
        <f aca="false">IF(AND(ISNUMBER(C9729),ISNUMBER(D9729)),D9729-C9729,"")</f>
        <v/>
      </c>
      <c r="Z9729" s="23" t="str">
        <f aca="false">IF(B9729="","",IF(MATCH(B9729,$B$2:$B$12000,0)=ROW()-1,1,0))</f>
        <v/>
      </c>
    </row>
    <row r="9730" customFormat="false" ht="15" hidden="false" customHeight="false" outlineLevel="0" collapsed="false">
      <c r="V9730" s="23" t="str">
        <f aca="false">IF(ISNUMBER(C9730),YEAR(C9730),"")</f>
        <v/>
      </c>
      <c r="W9730" s="23" t="str">
        <f aca="false">IF(ISNUMBER(C9730),MONTH(C9730),"")</f>
        <v/>
      </c>
      <c r="X9730" s="23" t="str">
        <f aca="false">IF(T9730="","",IF(T9730=0,"No discount",IF(T9730&lt;=0.2,"Low (1-20%)",IF(T9730&lt;=0.4,"Medium (21-40%)","High (&gt;40%)"))))</f>
        <v/>
      </c>
      <c r="Y9730" s="23" t="str">
        <f aca="false">IF(AND(ISNUMBER(C9730),ISNUMBER(D9730)),D9730-C9730,"")</f>
        <v/>
      </c>
      <c r="Z9730" s="23" t="str">
        <f aca="false">IF(B9730="","",IF(MATCH(B9730,$B$2:$B$12000,0)=ROW()-1,1,0))</f>
        <v/>
      </c>
    </row>
    <row r="9731" customFormat="false" ht="15" hidden="false" customHeight="false" outlineLevel="0" collapsed="false">
      <c r="V9731" s="23" t="str">
        <f aca="false">IF(ISNUMBER(C9731),YEAR(C9731),"")</f>
        <v/>
      </c>
      <c r="W9731" s="23" t="str">
        <f aca="false">IF(ISNUMBER(C9731),MONTH(C9731),"")</f>
        <v/>
      </c>
      <c r="X9731" s="23" t="str">
        <f aca="false">IF(T9731="","",IF(T9731=0,"No discount",IF(T9731&lt;=0.2,"Low (1-20%)",IF(T9731&lt;=0.4,"Medium (21-40%)","High (&gt;40%)"))))</f>
        <v/>
      </c>
      <c r="Y9731" s="23" t="str">
        <f aca="false">IF(AND(ISNUMBER(C9731),ISNUMBER(D9731)),D9731-C9731,"")</f>
        <v/>
      </c>
      <c r="Z9731" s="23" t="str">
        <f aca="false">IF(B9731="","",IF(MATCH(B9731,$B$2:$B$12000,0)=ROW()-1,1,0))</f>
        <v/>
      </c>
    </row>
    <row r="9732" customFormat="false" ht="15" hidden="false" customHeight="false" outlineLevel="0" collapsed="false">
      <c r="V9732" s="23" t="str">
        <f aca="false">IF(ISNUMBER(C9732),YEAR(C9732),"")</f>
        <v/>
      </c>
      <c r="W9732" s="23" t="str">
        <f aca="false">IF(ISNUMBER(C9732),MONTH(C9732),"")</f>
        <v/>
      </c>
      <c r="X9732" s="23" t="str">
        <f aca="false">IF(T9732="","",IF(T9732=0,"No discount",IF(T9732&lt;=0.2,"Low (1-20%)",IF(T9732&lt;=0.4,"Medium (21-40%)","High (&gt;40%)"))))</f>
        <v/>
      </c>
      <c r="Y9732" s="23" t="str">
        <f aca="false">IF(AND(ISNUMBER(C9732),ISNUMBER(D9732)),D9732-C9732,"")</f>
        <v/>
      </c>
      <c r="Z9732" s="23" t="str">
        <f aca="false">IF(B9732="","",IF(MATCH(B9732,$B$2:$B$12000,0)=ROW()-1,1,0))</f>
        <v/>
      </c>
    </row>
    <row r="9733" customFormat="false" ht="15" hidden="false" customHeight="false" outlineLevel="0" collapsed="false">
      <c r="V9733" s="23" t="str">
        <f aca="false">IF(ISNUMBER(C9733),YEAR(C9733),"")</f>
        <v/>
      </c>
      <c r="W9733" s="23" t="str">
        <f aca="false">IF(ISNUMBER(C9733),MONTH(C9733),"")</f>
        <v/>
      </c>
      <c r="X9733" s="23" t="str">
        <f aca="false">IF(T9733="","",IF(T9733=0,"No discount",IF(T9733&lt;=0.2,"Low (1-20%)",IF(T9733&lt;=0.4,"Medium (21-40%)","High (&gt;40%)"))))</f>
        <v/>
      </c>
      <c r="Y9733" s="23" t="str">
        <f aca="false">IF(AND(ISNUMBER(C9733),ISNUMBER(D9733)),D9733-C9733,"")</f>
        <v/>
      </c>
      <c r="Z9733" s="23" t="str">
        <f aca="false">IF(B9733="","",IF(MATCH(B9733,$B$2:$B$12000,0)=ROW()-1,1,0))</f>
        <v/>
      </c>
    </row>
    <row r="9734" customFormat="false" ht="15" hidden="false" customHeight="false" outlineLevel="0" collapsed="false">
      <c r="V9734" s="23" t="str">
        <f aca="false">IF(ISNUMBER(C9734),YEAR(C9734),"")</f>
        <v/>
      </c>
      <c r="W9734" s="23" t="str">
        <f aca="false">IF(ISNUMBER(C9734),MONTH(C9734),"")</f>
        <v/>
      </c>
      <c r="X9734" s="23" t="str">
        <f aca="false">IF(T9734="","",IF(T9734=0,"No discount",IF(T9734&lt;=0.2,"Low (1-20%)",IF(T9734&lt;=0.4,"Medium (21-40%)","High (&gt;40%)"))))</f>
        <v/>
      </c>
      <c r="Y9734" s="23" t="str">
        <f aca="false">IF(AND(ISNUMBER(C9734),ISNUMBER(D9734)),D9734-C9734,"")</f>
        <v/>
      </c>
      <c r="Z9734" s="23" t="str">
        <f aca="false">IF(B9734="","",IF(MATCH(B9734,$B$2:$B$12000,0)=ROW()-1,1,0))</f>
        <v/>
      </c>
    </row>
    <row r="9735" customFormat="false" ht="15" hidden="false" customHeight="false" outlineLevel="0" collapsed="false">
      <c r="V9735" s="23" t="str">
        <f aca="false">IF(ISNUMBER(C9735),YEAR(C9735),"")</f>
        <v/>
      </c>
      <c r="W9735" s="23" t="str">
        <f aca="false">IF(ISNUMBER(C9735),MONTH(C9735),"")</f>
        <v/>
      </c>
      <c r="X9735" s="23" t="str">
        <f aca="false">IF(T9735="","",IF(T9735=0,"No discount",IF(T9735&lt;=0.2,"Low (1-20%)",IF(T9735&lt;=0.4,"Medium (21-40%)","High (&gt;40%)"))))</f>
        <v/>
      </c>
      <c r="Y9735" s="23" t="str">
        <f aca="false">IF(AND(ISNUMBER(C9735),ISNUMBER(D9735)),D9735-C9735,"")</f>
        <v/>
      </c>
      <c r="Z9735" s="23" t="str">
        <f aca="false">IF(B9735="","",IF(MATCH(B9735,$B$2:$B$12000,0)=ROW()-1,1,0))</f>
        <v/>
      </c>
    </row>
    <row r="9736" customFormat="false" ht="15" hidden="false" customHeight="false" outlineLevel="0" collapsed="false">
      <c r="V9736" s="23" t="str">
        <f aca="false">IF(ISNUMBER(C9736),YEAR(C9736),"")</f>
        <v/>
      </c>
      <c r="W9736" s="23" t="str">
        <f aca="false">IF(ISNUMBER(C9736),MONTH(C9736),"")</f>
        <v/>
      </c>
      <c r="X9736" s="23" t="str">
        <f aca="false">IF(T9736="","",IF(T9736=0,"No discount",IF(T9736&lt;=0.2,"Low (1-20%)",IF(T9736&lt;=0.4,"Medium (21-40%)","High (&gt;40%)"))))</f>
        <v/>
      </c>
      <c r="Y9736" s="23" t="str">
        <f aca="false">IF(AND(ISNUMBER(C9736),ISNUMBER(D9736)),D9736-C9736,"")</f>
        <v/>
      </c>
      <c r="Z9736" s="23" t="str">
        <f aca="false">IF(B9736="","",IF(MATCH(B9736,$B$2:$B$12000,0)=ROW()-1,1,0))</f>
        <v/>
      </c>
    </row>
    <row r="9737" customFormat="false" ht="15" hidden="false" customHeight="false" outlineLevel="0" collapsed="false">
      <c r="V9737" s="23" t="str">
        <f aca="false">IF(ISNUMBER(C9737),YEAR(C9737),"")</f>
        <v/>
      </c>
      <c r="W9737" s="23" t="str">
        <f aca="false">IF(ISNUMBER(C9737),MONTH(C9737),"")</f>
        <v/>
      </c>
      <c r="X9737" s="23" t="str">
        <f aca="false">IF(T9737="","",IF(T9737=0,"No discount",IF(T9737&lt;=0.2,"Low (1-20%)",IF(T9737&lt;=0.4,"Medium (21-40%)","High (&gt;40%)"))))</f>
        <v/>
      </c>
      <c r="Y9737" s="23" t="str">
        <f aca="false">IF(AND(ISNUMBER(C9737),ISNUMBER(D9737)),D9737-C9737,"")</f>
        <v/>
      </c>
      <c r="Z9737" s="23" t="str">
        <f aca="false">IF(B9737="","",IF(MATCH(B9737,$B$2:$B$12000,0)=ROW()-1,1,0))</f>
        <v/>
      </c>
    </row>
    <row r="9738" customFormat="false" ht="15" hidden="false" customHeight="false" outlineLevel="0" collapsed="false">
      <c r="V9738" s="23" t="str">
        <f aca="false">IF(ISNUMBER(C9738),YEAR(C9738),"")</f>
        <v/>
      </c>
      <c r="W9738" s="23" t="str">
        <f aca="false">IF(ISNUMBER(C9738),MONTH(C9738),"")</f>
        <v/>
      </c>
      <c r="X9738" s="23" t="str">
        <f aca="false">IF(T9738="","",IF(T9738=0,"No discount",IF(T9738&lt;=0.2,"Low (1-20%)",IF(T9738&lt;=0.4,"Medium (21-40%)","High (&gt;40%)"))))</f>
        <v/>
      </c>
      <c r="Y9738" s="23" t="str">
        <f aca="false">IF(AND(ISNUMBER(C9738),ISNUMBER(D9738)),D9738-C9738,"")</f>
        <v/>
      </c>
      <c r="Z9738" s="23" t="str">
        <f aca="false">IF(B9738="","",IF(MATCH(B9738,$B$2:$B$12000,0)=ROW()-1,1,0))</f>
        <v/>
      </c>
    </row>
    <row r="9739" customFormat="false" ht="15" hidden="false" customHeight="false" outlineLevel="0" collapsed="false">
      <c r="V9739" s="23" t="str">
        <f aca="false">IF(ISNUMBER(C9739),YEAR(C9739),"")</f>
        <v/>
      </c>
      <c r="W9739" s="23" t="str">
        <f aca="false">IF(ISNUMBER(C9739),MONTH(C9739),"")</f>
        <v/>
      </c>
      <c r="X9739" s="23" t="str">
        <f aca="false">IF(T9739="","",IF(T9739=0,"No discount",IF(T9739&lt;=0.2,"Low (1-20%)",IF(T9739&lt;=0.4,"Medium (21-40%)","High (&gt;40%)"))))</f>
        <v/>
      </c>
      <c r="Y9739" s="23" t="str">
        <f aca="false">IF(AND(ISNUMBER(C9739),ISNUMBER(D9739)),D9739-C9739,"")</f>
        <v/>
      </c>
      <c r="Z9739" s="23" t="str">
        <f aca="false">IF(B9739="","",IF(MATCH(B9739,$B$2:$B$12000,0)=ROW()-1,1,0))</f>
        <v/>
      </c>
    </row>
    <row r="9740" customFormat="false" ht="15" hidden="false" customHeight="false" outlineLevel="0" collapsed="false">
      <c r="V9740" s="23" t="str">
        <f aca="false">IF(ISNUMBER(C9740),YEAR(C9740),"")</f>
        <v/>
      </c>
      <c r="W9740" s="23" t="str">
        <f aca="false">IF(ISNUMBER(C9740),MONTH(C9740),"")</f>
        <v/>
      </c>
      <c r="X9740" s="23" t="str">
        <f aca="false">IF(T9740="","",IF(T9740=0,"No discount",IF(T9740&lt;=0.2,"Low (1-20%)",IF(T9740&lt;=0.4,"Medium (21-40%)","High (&gt;40%)"))))</f>
        <v/>
      </c>
      <c r="Y9740" s="23" t="str">
        <f aca="false">IF(AND(ISNUMBER(C9740),ISNUMBER(D9740)),D9740-C9740,"")</f>
        <v/>
      </c>
      <c r="Z9740" s="23" t="str">
        <f aca="false">IF(B9740="","",IF(MATCH(B9740,$B$2:$B$12000,0)=ROW()-1,1,0))</f>
        <v/>
      </c>
    </row>
    <row r="9741" customFormat="false" ht="15" hidden="false" customHeight="false" outlineLevel="0" collapsed="false">
      <c r="V9741" s="23" t="str">
        <f aca="false">IF(ISNUMBER(C9741),YEAR(C9741),"")</f>
        <v/>
      </c>
      <c r="W9741" s="23" t="str">
        <f aca="false">IF(ISNUMBER(C9741),MONTH(C9741),"")</f>
        <v/>
      </c>
      <c r="X9741" s="23" t="str">
        <f aca="false">IF(T9741="","",IF(T9741=0,"No discount",IF(T9741&lt;=0.2,"Low (1-20%)",IF(T9741&lt;=0.4,"Medium (21-40%)","High (&gt;40%)"))))</f>
        <v/>
      </c>
      <c r="Y9741" s="23" t="str">
        <f aca="false">IF(AND(ISNUMBER(C9741),ISNUMBER(D9741)),D9741-C9741,"")</f>
        <v/>
      </c>
      <c r="Z9741" s="23" t="str">
        <f aca="false">IF(B9741="","",IF(MATCH(B9741,$B$2:$B$12000,0)=ROW()-1,1,0))</f>
        <v/>
      </c>
    </row>
    <row r="9742" customFormat="false" ht="15" hidden="false" customHeight="false" outlineLevel="0" collapsed="false">
      <c r="V9742" s="23" t="str">
        <f aca="false">IF(ISNUMBER(C9742),YEAR(C9742),"")</f>
        <v/>
      </c>
      <c r="W9742" s="23" t="str">
        <f aca="false">IF(ISNUMBER(C9742),MONTH(C9742),"")</f>
        <v/>
      </c>
      <c r="X9742" s="23" t="str">
        <f aca="false">IF(T9742="","",IF(T9742=0,"No discount",IF(T9742&lt;=0.2,"Low (1-20%)",IF(T9742&lt;=0.4,"Medium (21-40%)","High (&gt;40%)"))))</f>
        <v/>
      </c>
      <c r="Y9742" s="23" t="str">
        <f aca="false">IF(AND(ISNUMBER(C9742),ISNUMBER(D9742)),D9742-C9742,"")</f>
        <v/>
      </c>
      <c r="Z9742" s="23" t="str">
        <f aca="false">IF(B9742="","",IF(MATCH(B9742,$B$2:$B$12000,0)=ROW()-1,1,0))</f>
        <v/>
      </c>
    </row>
    <row r="9743" customFormat="false" ht="15" hidden="false" customHeight="false" outlineLevel="0" collapsed="false">
      <c r="V9743" s="23" t="str">
        <f aca="false">IF(ISNUMBER(C9743),YEAR(C9743),"")</f>
        <v/>
      </c>
      <c r="W9743" s="23" t="str">
        <f aca="false">IF(ISNUMBER(C9743),MONTH(C9743),"")</f>
        <v/>
      </c>
      <c r="X9743" s="23" t="str">
        <f aca="false">IF(T9743="","",IF(T9743=0,"No discount",IF(T9743&lt;=0.2,"Low (1-20%)",IF(T9743&lt;=0.4,"Medium (21-40%)","High (&gt;40%)"))))</f>
        <v/>
      </c>
      <c r="Y9743" s="23" t="str">
        <f aca="false">IF(AND(ISNUMBER(C9743),ISNUMBER(D9743)),D9743-C9743,"")</f>
        <v/>
      </c>
      <c r="Z9743" s="23" t="str">
        <f aca="false">IF(B9743="","",IF(MATCH(B9743,$B$2:$B$12000,0)=ROW()-1,1,0))</f>
        <v/>
      </c>
    </row>
    <row r="9744" customFormat="false" ht="15" hidden="false" customHeight="false" outlineLevel="0" collapsed="false">
      <c r="V9744" s="23" t="str">
        <f aca="false">IF(ISNUMBER(C9744),YEAR(C9744),"")</f>
        <v/>
      </c>
      <c r="W9744" s="23" t="str">
        <f aca="false">IF(ISNUMBER(C9744),MONTH(C9744),"")</f>
        <v/>
      </c>
      <c r="X9744" s="23" t="str">
        <f aca="false">IF(T9744="","",IF(T9744=0,"No discount",IF(T9744&lt;=0.2,"Low (1-20%)",IF(T9744&lt;=0.4,"Medium (21-40%)","High (&gt;40%)"))))</f>
        <v/>
      </c>
      <c r="Y9744" s="23" t="str">
        <f aca="false">IF(AND(ISNUMBER(C9744),ISNUMBER(D9744)),D9744-C9744,"")</f>
        <v/>
      </c>
      <c r="Z9744" s="23" t="str">
        <f aca="false">IF(B9744="","",IF(MATCH(B9744,$B$2:$B$12000,0)=ROW()-1,1,0))</f>
        <v/>
      </c>
    </row>
    <row r="9745" customFormat="false" ht="15" hidden="false" customHeight="false" outlineLevel="0" collapsed="false">
      <c r="V9745" s="23" t="str">
        <f aca="false">IF(ISNUMBER(C9745),YEAR(C9745),"")</f>
        <v/>
      </c>
      <c r="W9745" s="23" t="str">
        <f aca="false">IF(ISNUMBER(C9745),MONTH(C9745),"")</f>
        <v/>
      </c>
      <c r="X9745" s="23" t="str">
        <f aca="false">IF(T9745="","",IF(T9745=0,"No discount",IF(T9745&lt;=0.2,"Low (1-20%)",IF(T9745&lt;=0.4,"Medium (21-40%)","High (&gt;40%)"))))</f>
        <v/>
      </c>
      <c r="Y9745" s="23" t="str">
        <f aca="false">IF(AND(ISNUMBER(C9745),ISNUMBER(D9745)),D9745-C9745,"")</f>
        <v/>
      </c>
      <c r="Z9745" s="23" t="str">
        <f aca="false">IF(B9745="","",IF(MATCH(B9745,$B$2:$B$12000,0)=ROW()-1,1,0))</f>
        <v/>
      </c>
    </row>
    <row r="9746" customFormat="false" ht="15" hidden="false" customHeight="false" outlineLevel="0" collapsed="false">
      <c r="V9746" s="23" t="str">
        <f aca="false">IF(ISNUMBER(C9746),YEAR(C9746),"")</f>
        <v/>
      </c>
      <c r="W9746" s="23" t="str">
        <f aca="false">IF(ISNUMBER(C9746),MONTH(C9746),"")</f>
        <v/>
      </c>
      <c r="X9746" s="23" t="str">
        <f aca="false">IF(T9746="","",IF(T9746=0,"No discount",IF(T9746&lt;=0.2,"Low (1-20%)",IF(T9746&lt;=0.4,"Medium (21-40%)","High (&gt;40%)"))))</f>
        <v/>
      </c>
      <c r="Y9746" s="23" t="str">
        <f aca="false">IF(AND(ISNUMBER(C9746),ISNUMBER(D9746)),D9746-C9746,"")</f>
        <v/>
      </c>
      <c r="Z9746" s="23" t="str">
        <f aca="false">IF(B9746="","",IF(MATCH(B9746,$B$2:$B$12000,0)=ROW()-1,1,0))</f>
        <v/>
      </c>
    </row>
    <row r="9747" customFormat="false" ht="15" hidden="false" customHeight="false" outlineLevel="0" collapsed="false">
      <c r="V9747" s="23" t="str">
        <f aca="false">IF(ISNUMBER(C9747),YEAR(C9747),"")</f>
        <v/>
      </c>
      <c r="W9747" s="23" t="str">
        <f aca="false">IF(ISNUMBER(C9747),MONTH(C9747),"")</f>
        <v/>
      </c>
      <c r="X9747" s="23" t="str">
        <f aca="false">IF(T9747="","",IF(T9747=0,"No discount",IF(T9747&lt;=0.2,"Low (1-20%)",IF(T9747&lt;=0.4,"Medium (21-40%)","High (&gt;40%)"))))</f>
        <v/>
      </c>
      <c r="Y9747" s="23" t="str">
        <f aca="false">IF(AND(ISNUMBER(C9747),ISNUMBER(D9747)),D9747-C9747,"")</f>
        <v/>
      </c>
      <c r="Z9747" s="23" t="str">
        <f aca="false">IF(B9747="","",IF(MATCH(B9747,$B$2:$B$12000,0)=ROW()-1,1,0))</f>
        <v/>
      </c>
    </row>
    <row r="9748" customFormat="false" ht="15" hidden="false" customHeight="false" outlineLevel="0" collapsed="false">
      <c r="V9748" s="23" t="str">
        <f aca="false">IF(ISNUMBER(C9748),YEAR(C9748),"")</f>
        <v/>
      </c>
      <c r="W9748" s="23" t="str">
        <f aca="false">IF(ISNUMBER(C9748),MONTH(C9748),"")</f>
        <v/>
      </c>
      <c r="X9748" s="23" t="str">
        <f aca="false">IF(T9748="","",IF(T9748=0,"No discount",IF(T9748&lt;=0.2,"Low (1-20%)",IF(T9748&lt;=0.4,"Medium (21-40%)","High (&gt;40%)"))))</f>
        <v/>
      </c>
      <c r="Y9748" s="23" t="str">
        <f aca="false">IF(AND(ISNUMBER(C9748),ISNUMBER(D9748)),D9748-C9748,"")</f>
        <v/>
      </c>
      <c r="Z9748" s="23" t="str">
        <f aca="false">IF(B9748="","",IF(MATCH(B9748,$B$2:$B$12000,0)=ROW()-1,1,0))</f>
        <v/>
      </c>
    </row>
    <row r="9749" customFormat="false" ht="15" hidden="false" customHeight="false" outlineLevel="0" collapsed="false">
      <c r="V9749" s="23" t="str">
        <f aca="false">IF(ISNUMBER(C9749),YEAR(C9749),"")</f>
        <v/>
      </c>
      <c r="W9749" s="23" t="str">
        <f aca="false">IF(ISNUMBER(C9749),MONTH(C9749),"")</f>
        <v/>
      </c>
      <c r="X9749" s="23" t="str">
        <f aca="false">IF(T9749="","",IF(T9749=0,"No discount",IF(T9749&lt;=0.2,"Low (1-20%)",IF(T9749&lt;=0.4,"Medium (21-40%)","High (&gt;40%)"))))</f>
        <v/>
      </c>
      <c r="Y9749" s="23" t="str">
        <f aca="false">IF(AND(ISNUMBER(C9749),ISNUMBER(D9749)),D9749-C9749,"")</f>
        <v/>
      </c>
      <c r="Z9749" s="23" t="str">
        <f aca="false">IF(B9749="","",IF(MATCH(B9749,$B$2:$B$12000,0)=ROW()-1,1,0))</f>
        <v/>
      </c>
    </row>
    <row r="9750" customFormat="false" ht="15" hidden="false" customHeight="false" outlineLevel="0" collapsed="false">
      <c r="V9750" s="23" t="str">
        <f aca="false">IF(ISNUMBER(C9750),YEAR(C9750),"")</f>
        <v/>
      </c>
      <c r="W9750" s="23" t="str">
        <f aca="false">IF(ISNUMBER(C9750),MONTH(C9750),"")</f>
        <v/>
      </c>
      <c r="X9750" s="23" t="str">
        <f aca="false">IF(T9750="","",IF(T9750=0,"No discount",IF(T9750&lt;=0.2,"Low (1-20%)",IF(T9750&lt;=0.4,"Medium (21-40%)","High (&gt;40%)"))))</f>
        <v/>
      </c>
      <c r="Y9750" s="23" t="str">
        <f aca="false">IF(AND(ISNUMBER(C9750),ISNUMBER(D9750)),D9750-C9750,"")</f>
        <v/>
      </c>
      <c r="Z9750" s="23" t="str">
        <f aca="false">IF(B9750="","",IF(MATCH(B9750,$B$2:$B$12000,0)=ROW()-1,1,0))</f>
        <v/>
      </c>
    </row>
    <row r="9751" customFormat="false" ht="15" hidden="false" customHeight="false" outlineLevel="0" collapsed="false">
      <c r="V9751" s="23" t="str">
        <f aca="false">IF(ISNUMBER(C9751),YEAR(C9751),"")</f>
        <v/>
      </c>
      <c r="W9751" s="23" t="str">
        <f aca="false">IF(ISNUMBER(C9751),MONTH(C9751),"")</f>
        <v/>
      </c>
      <c r="X9751" s="23" t="str">
        <f aca="false">IF(T9751="","",IF(T9751=0,"No discount",IF(T9751&lt;=0.2,"Low (1-20%)",IF(T9751&lt;=0.4,"Medium (21-40%)","High (&gt;40%)"))))</f>
        <v/>
      </c>
      <c r="Y9751" s="23" t="str">
        <f aca="false">IF(AND(ISNUMBER(C9751),ISNUMBER(D9751)),D9751-C9751,"")</f>
        <v/>
      </c>
      <c r="Z9751" s="23" t="str">
        <f aca="false">IF(B9751="","",IF(MATCH(B9751,$B$2:$B$12000,0)=ROW()-1,1,0))</f>
        <v/>
      </c>
    </row>
    <row r="9752" customFormat="false" ht="15" hidden="false" customHeight="false" outlineLevel="0" collapsed="false">
      <c r="V9752" s="23" t="str">
        <f aca="false">IF(ISNUMBER(C9752),YEAR(C9752),"")</f>
        <v/>
      </c>
      <c r="W9752" s="23" t="str">
        <f aca="false">IF(ISNUMBER(C9752),MONTH(C9752),"")</f>
        <v/>
      </c>
      <c r="X9752" s="23" t="str">
        <f aca="false">IF(T9752="","",IF(T9752=0,"No discount",IF(T9752&lt;=0.2,"Low (1-20%)",IF(T9752&lt;=0.4,"Medium (21-40%)","High (&gt;40%)"))))</f>
        <v/>
      </c>
      <c r="Y9752" s="23" t="str">
        <f aca="false">IF(AND(ISNUMBER(C9752),ISNUMBER(D9752)),D9752-C9752,"")</f>
        <v/>
      </c>
      <c r="Z9752" s="23" t="str">
        <f aca="false">IF(B9752="","",IF(MATCH(B9752,$B$2:$B$12000,0)=ROW()-1,1,0))</f>
        <v/>
      </c>
    </row>
    <row r="9753" customFormat="false" ht="15" hidden="false" customHeight="false" outlineLevel="0" collapsed="false">
      <c r="V9753" s="23" t="str">
        <f aca="false">IF(ISNUMBER(C9753),YEAR(C9753),"")</f>
        <v/>
      </c>
      <c r="W9753" s="23" t="str">
        <f aca="false">IF(ISNUMBER(C9753),MONTH(C9753),"")</f>
        <v/>
      </c>
      <c r="X9753" s="23" t="str">
        <f aca="false">IF(T9753="","",IF(T9753=0,"No discount",IF(T9753&lt;=0.2,"Low (1-20%)",IF(T9753&lt;=0.4,"Medium (21-40%)","High (&gt;40%)"))))</f>
        <v/>
      </c>
      <c r="Y9753" s="23" t="str">
        <f aca="false">IF(AND(ISNUMBER(C9753),ISNUMBER(D9753)),D9753-C9753,"")</f>
        <v/>
      </c>
      <c r="Z9753" s="23" t="str">
        <f aca="false">IF(B9753="","",IF(MATCH(B9753,$B$2:$B$12000,0)=ROW()-1,1,0))</f>
        <v/>
      </c>
    </row>
    <row r="9754" customFormat="false" ht="15" hidden="false" customHeight="false" outlineLevel="0" collapsed="false">
      <c r="V9754" s="23" t="str">
        <f aca="false">IF(ISNUMBER(C9754),YEAR(C9754),"")</f>
        <v/>
      </c>
      <c r="W9754" s="23" t="str">
        <f aca="false">IF(ISNUMBER(C9754),MONTH(C9754),"")</f>
        <v/>
      </c>
      <c r="X9754" s="23" t="str">
        <f aca="false">IF(T9754="","",IF(T9754=0,"No discount",IF(T9754&lt;=0.2,"Low (1-20%)",IF(T9754&lt;=0.4,"Medium (21-40%)","High (&gt;40%)"))))</f>
        <v/>
      </c>
      <c r="Y9754" s="23" t="str">
        <f aca="false">IF(AND(ISNUMBER(C9754),ISNUMBER(D9754)),D9754-C9754,"")</f>
        <v/>
      </c>
      <c r="Z9754" s="23" t="str">
        <f aca="false">IF(B9754="","",IF(MATCH(B9754,$B$2:$B$12000,0)=ROW()-1,1,0))</f>
        <v/>
      </c>
    </row>
    <row r="9755" customFormat="false" ht="15" hidden="false" customHeight="false" outlineLevel="0" collapsed="false">
      <c r="V9755" s="23" t="str">
        <f aca="false">IF(ISNUMBER(C9755),YEAR(C9755),"")</f>
        <v/>
      </c>
      <c r="W9755" s="23" t="str">
        <f aca="false">IF(ISNUMBER(C9755),MONTH(C9755),"")</f>
        <v/>
      </c>
      <c r="X9755" s="23" t="str">
        <f aca="false">IF(T9755="","",IF(T9755=0,"No discount",IF(T9755&lt;=0.2,"Low (1-20%)",IF(T9755&lt;=0.4,"Medium (21-40%)","High (&gt;40%)"))))</f>
        <v/>
      </c>
      <c r="Y9755" s="23" t="str">
        <f aca="false">IF(AND(ISNUMBER(C9755),ISNUMBER(D9755)),D9755-C9755,"")</f>
        <v/>
      </c>
      <c r="Z9755" s="23" t="str">
        <f aca="false">IF(B9755="","",IF(MATCH(B9755,$B$2:$B$12000,0)=ROW()-1,1,0))</f>
        <v/>
      </c>
    </row>
    <row r="9756" customFormat="false" ht="15" hidden="false" customHeight="false" outlineLevel="0" collapsed="false">
      <c r="V9756" s="23" t="str">
        <f aca="false">IF(ISNUMBER(C9756),YEAR(C9756),"")</f>
        <v/>
      </c>
      <c r="W9756" s="23" t="str">
        <f aca="false">IF(ISNUMBER(C9756),MONTH(C9756),"")</f>
        <v/>
      </c>
      <c r="X9756" s="23" t="str">
        <f aca="false">IF(T9756="","",IF(T9756=0,"No discount",IF(T9756&lt;=0.2,"Low (1-20%)",IF(T9756&lt;=0.4,"Medium (21-40%)","High (&gt;40%)"))))</f>
        <v/>
      </c>
      <c r="Y9756" s="23" t="str">
        <f aca="false">IF(AND(ISNUMBER(C9756),ISNUMBER(D9756)),D9756-C9756,"")</f>
        <v/>
      </c>
      <c r="Z9756" s="23" t="str">
        <f aca="false">IF(B9756="","",IF(MATCH(B9756,$B$2:$B$12000,0)=ROW()-1,1,0))</f>
        <v/>
      </c>
    </row>
    <row r="9757" customFormat="false" ht="15" hidden="false" customHeight="false" outlineLevel="0" collapsed="false">
      <c r="V9757" s="23" t="str">
        <f aca="false">IF(ISNUMBER(C9757),YEAR(C9757),"")</f>
        <v/>
      </c>
      <c r="W9757" s="23" t="str">
        <f aca="false">IF(ISNUMBER(C9757),MONTH(C9757),"")</f>
        <v/>
      </c>
      <c r="X9757" s="23" t="str">
        <f aca="false">IF(T9757="","",IF(T9757=0,"No discount",IF(T9757&lt;=0.2,"Low (1-20%)",IF(T9757&lt;=0.4,"Medium (21-40%)","High (&gt;40%)"))))</f>
        <v/>
      </c>
      <c r="Y9757" s="23" t="str">
        <f aca="false">IF(AND(ISNUMBER(C9757),ISNUMBER(D9757)),D9757-C9757,"")</f>
        <v/>
      </c>
      <c r="Z9757" s="23" t="str">
        <f aca="false">IF(B9757="","",IF(MATCH(B9757,$B$2:$B$12000,0)=ROW()-1,1,0))</f>
        <v/>
      </c>
    </row>
    <row r="9758" customFormat="false" ht="15" hidden="false" customHeight="false" outlineLevel="0" collapsed="false">
      <c r="V9758" s="23" t="str">
        <f aca="false">IF(ISNUMBER(C9758),YEAR(C9758),"")</f>
        <v/>
      </c>
      <c r="W9758" s="23" t="str">
        <f aca="false">IF(ISNUMBER(C9758),MONTH(C9758),"")</f>
        <v/>
      </c>
      <c r="X9758" s="23" t="str">
        <f aca="false">IF(T9758="","",IF(T9758=0,"No discount",IF(T9758&lt;=0.2,"Low (1-20%)",IF(T9758&lt;=0.4,"Medium (21-40%)","High (&gt;40%)"))))</f>
        <v/>
      </c>
      <c r="Y9758" s="23" t="str">
        <f aca="false">IF(AND(ISNUMBER(C9758),ISNUMBER(D9758)),D9758-C9758,"")</f>
        <v/>
      </c>
      <c r="Z9758" s="23" t="str">
        <f aca="false">IF(B9758="","",IF(MATCH(B9758,$B$2:$B$12000,0)=ROW()-1,1,0))</f>
        <v/>
      </c>
    </row>
    <row r="9759" customFormat="false" ht="15" hidden="false" customHeight="false" outlineLevel="0" collapsed="false">
      <c r="V9759" s="23" t="str">
        <f aca="false">IF(ISNUMBER(C9759),YEAR(C9759),"")</f>
        <v/>
      </c>
      <c r="W9759" s="23" t="str">
        <f aca="false">IF(ISNUMBER(C9759),MONTH(C9759),"")</f>
        <v/>
      </c>
      <c r="X9759" s="23" t="str">
        <f aca="false">IF(T9759="","",IF(T9759=0,"No discount",IF(T9759&lt;=0.2,"Low (1-20%)",IF(T9759&lt;=0.4,"Medium (21-40%)","High (&gt;40%)"))))</f>
        <v/>
      </c>
      <c r="Y9759" s="23" t="str">
        <f aca="false">IF(AND(ISNUMBER(C9759),ISNUMBER(D9759)),D9759-C9759,"")</f>
        <v/>
      </c>
      <c r="Z9759" s="23" t="str">
        <f aca="false">IF(B9759="","",IF(MATCH(B9759,$B$2:$B$12000,0)=ROW()-1,1,0))</f>
        <v/>
      </c>
    </row>
    <row r="9760" customFormat="false" ht="15" hidden="false" customHeight="false" outlineLevel="0" collapsed="false">
      <c r="V9760" s="23" t="str">
        <f aca="false">IF(ISNUMBER(C9760),YEAR(C9760),"")</f>
        <v/>
      </c>
      <c r="W9760" s="23" t="str">
        <f aca="false">IF(ISNUMBER(C9760),MONTH(C9760),"")</f>
        <v/>
      </c>
      <c r="X9760" s="23" t="str">
        <f aca="false">IF(T9760="","",IF(T9760=0,"No discount",IF(T9760&lt;=0.2,"Low (1-20%)",IF(T9760&lt;=0.4,"Medium (21-40%)","High (&gt;40%)"))))</f>
        <v/>
      </c>
      <c r="Y9760" s="23" t="str">
        <f aca="false">IF(AND(ISNUMBER(C9760),ISNUMBER(D9760)),D9760-C9760,"")</f>
        <v/>
      </c>
      <c r="Z9760" s="23" t="str">
        <f aca="false">IF(B9760="","",IF(MATCH(B9760,$B$2:$B$12000,0)=ROW()-1,1,0))</f>
        <v/>
      </c>
    </row>
    <row r="9761" customFormat="false" ht="15" hidden="false" customHeight="false" outlineLevel="0" collapsed="false">
      <c r="V9761" s="23" t="str">
        <f aca="false">IF(ISNUMBER(C9761),YEAR(C9761),"")</f>
        <v/>
      </c>
      <c r="W9761" s="23" t="str">
        <f aca="false">IF(ISNUMBER(C9761),MONTH(C9761),"")</f>
        <v/>
      </c>
      <c r="X9761" s="23" t="str">
        <f aca="false">IF(T9761="","",IF(T9761=0,"No discount",IF(T9761&lt;=0.2,"Low (1-20%)",IF(T9761&lt;=0.4,"Medium (21-40%)","High (&gt;40%)"))))</f>
        <v/>
      </c>
      <c r="Y9761" s="23" t="str">
        <f aca="false">IF(AND(ISNUMBER(C9761),ISNUMBER(D9761)),D9761-C9761,"")</f>
        <v/>
      </c>
      <c r="Z9761" s="23" t="str">
        <f aca="false">IF(B9761="","",IF(MATCH(B9761,$B$2:$B$12000,0)=ROW()-1,1,0))</f>
        <v/>
      </c>
    </row>
    <row r="9762" customFormat="false" ht="15" hidden="false" customHeight="false" outlineLevel="0" collapsed="false">
      <c r="V9762" s="23" t="str">
        <f aca="false">IF(ISNUMBER(C9762),YEAR(C9762),"")</f>
        <v/>
      </c>
      <c r="W9762" s="23" t="str">
        <f aca="false">IF(ISNUMBER(C9762),MONTH(C9762),"")</f>
        <v/>
      </c>
      <c r="X9762" s="23" t="str">
        <f aca="false">IF(T9762="","",IF(T9762=0,"No discount",IF(T9762&lt;=0.2,"Low (1-20%)",IF(T9762&lt;=0.4,"Medium (21-40%)","High (&gt;40%)"))))</f>
        <v/>
      </c>
      <c r="Y9762" s="23" t="str">
        <f aca="false">IF(AND(ISNUMBER(C9762),ISNUMBER(D9762)),D9762-C9762,"")</f>
        <v/>
      </c>
      <c r="Z9762" s="23" t="str">
        <f aca="false">IF(B9762="","",IF(MATCH(B9762,$B$2:$B$12000,0)=ROW()-1,1,0))</f>
        <v/>
      </c>
    </row>
    <row r="9763" customFormat="false" ht="15" hidden="false" customHeight="false" outlineLevel="0" collapsed="false">
      <c r="V9763" s="23" t="str">
        <f aca="false">IF(ISNUMBER(C9763),YEAR(C9763),"")</f>
        <v/>
      </c>
      <c r="W9763" s="23" t="str">
        <f aca="false">IF(ISNUMBER(C9763),MONTH(C9763),"")</f>
        <v/>
      </c>
      <c r="X9763" s="23" t="str">
        <f aca="false">IF(T9763="","",IF(T9763=0,"No discount",IF(T9763&lt;=0.2,"Low (1-20%)",IF(T9763&lt;=0.4,"Medium (21-40%)","High (&gt;40%)"))))</f>
        <v/>
      </c>
      <c r="Y9763" s="23" t="str">
        <f aca="false">IF(AND(ISNUMBER(C9763),ISNUMBER(D9763)),D9763-C9763,"")</f>
        <v/>
      </c>
      <c r="Z9763" s="23" t="str">
        <f aca="false">IF(B9763="","",IF(MATCH(B9763,$B$2:$B$12000,0)=ROW()-1,1,0))</f>
        <v/>
      </c>
    </row>
    <row r="9764" customFormat="false" ht="15" hidden="false" customHeight="false" outlineLevel="0" collapsed="false">
      <c r="V9764" s="23" t="str">
        <f aca="false">IF(ISNUMBER(C9764),YEAR(C9764),"")</f>
        <v/>
      </c>
      <c r="W9764" s="23" t="str">
        <f aca="false">IF(ISNUMBER(C9764),MONTH(C9764),"")</f>
        <v/>
      </c>
      <c r="X9764" s="23" t="str">
        <f aca="false">IF(T9764="","",IF(T9764=0,"No discount",IF(T9764&lt;=0.2,"Low (1-20%)",IF(T9764&lt;=0.4,"Medium (21-40%)","High (&gt;40%)"))))</f>
        <v/>
      </c>
      <c r="Y9764" s="23" t="str">
        <f aca="false">IF(AND(ISNUMBER(C9764),ISNUMBER(D9764)),D9764-C9764,"")</f>
        <v/>
      </c>
      <c r="Z9764" s="23" t="str">
        <f aca="false">IF(B9764="","",IF(MATCH(B9764,$B$2:$B$12000,0)=ROW()-1,1,0))</f>
        <v/>
      </c>
    </row>
    <row r="9765" customFormat="false" ht="15" hidden="false" customHeight="false" outlineLevel="0" collapsed="false">
      <c r="V9765" s="23" t="str">
        <f aca="false">IF(ISNUMBER(C9765),YEAR(C9765),"")</f>
        <v/>
      </c>
      <c r="W9765" s="23" t="str">
        <f aca="false">IF(ISNUMBER(C9765),MONTH(C9765),"")</f>
        <v/>
      </c>
      <c r="X9765" s="23" t="str">
        <f aca="false">IF(T9765="","",IF(T9765=0,"No discount",IF(T9765&lt;=0.2,"Low (1-20%)",IF(T9765&lt;=0.4,"Medium (21-40%)","High (&gt;40%)"))))</f>
        <v/>
      </c>
      <c r="Y9765" s="23" t="str">
        <f aca="false">IF(AND(ISNUMBER(C9765),ISNUMBER(D9765)),D9765-C9765,"")</f>
        <v/>
      </c>
      <c r="Z9765" s="23" t="str">
        <f aca="false">IF(B9765="","",IF(MATCH(B9765,$B$2:$B$12000,0)=ROW()-1,1,0))</f>
        <v/>
      </c>
    </row>
    <row r="9766" customFormat="false" ht="15" hidden="false" customHeight="false" outlineLevel="0" collapsed="false">
      <c r="V9766" s="23" t="str">
        <f aca="false">IF(ISNUMBER(C9766),YEAR(C9766),"")</f>
        <v/>
      </c>
      <c r="W9766" s="23" t="str">
        <f aca="false">IF(ISNUMBER(C9766),MONTH(C9766),"")</f>
        <v/>
      </c>
      <c r="X9766" s="23" t="str">
        <f aca="false">IF(T9766="","",IF(T9766=0,"No discount",IF(T9766&lt;=0.2,"Low (1-20%)",IF(T9766&lt;=0.4,"Medium (21-40%)","High (&gt;40%)"))))</f>
        <v/>
      </c>
      <c r="Y9766" s="23" t="str">
        <f aca="false">IF(AND(ISNUMBER(C9766),ISNUMBER(D9766)),D9766-C9766,"")</f>
        <v/>
      </c>
      <c r="Z9766" s="23" t="str">
        <f aca="false">IF(B9766="","",IF(MATCH(B9766,$B$2:$B$12000,0)=ROW()-1,1,0))</f>
        <v/>
      </c>
    </row>
    <row r="9767" customFormat="false" ht="15" hidden="false" customHeight="false" outlineLevel="0" collapsed="false">
      <c r="V9767" s="23" t="str">
        <f aca="false">IF(ISNUMBER(C9767),YEAR(C9767),"")</f>
        <v/>
      </c>
      <c r="W9767" s="23" t="str">
        <f aca="false">IF(ISNUMBER(C9767),MONTH(C9767),"")</f>
        <v/>
      </c>
      <c r="X9767" s="23" t="str">
        <f aca="false">IF(T9767="","",IF(T9767=0,"No discount",IF(T9767&lt;=0.2,"Low (1-20%)",IF(T9767&lt;=0.4,"Medium (21-40%)","High (&gt;40%)"))))</f>
        <v/>
      </c>
      <c r="Y9767" s="23" t="str">
        <f aca="false">IF(AND(ISNUMBER(C9767),ISNUMBER(D9767)),D9767-C9767,"")</f>
        <v/>
      </c>
      <c r="Z9767" s="23" t="str">
        <f aca="false">IF(B9767="","",IF(MATCH(B9767,$B$2:$B$12000,0)=ROW()-1,1,0))</f>
        <v/>
      </c>
    </row>
    <row r="9768" customFormat="false" ht="15" hidden="false" customHeight="false" outlineLevel="0" collapsed="false">
      <c r="V9768" s="23" t="str">
        <f aca="false">IF(ISNUMBER(C9768),YEAR(C9768),"")</f>
        <v/>
      </c>
      <c r="W9768" s="23" t="str">
        <f aca="false">IF(ISNUMBER(C9768),MONTH(C9768),"")</f>
        <v/>
      </c>
      <c r="X9768" s="23" t="str">
        <f aca="false">IF(T9768="","",IF(T9768=0,"No discount",IF(T9768&lt;=0.2,"Low (1-20%)",IF(T9768&lt;=0.4,"Medium (21-40%)","High (&gt;40%)"))))</f>
        <v/>
      </c>
      <c r="Y9768" s="23" t="str">
        <f aca="false">IF(AND(ISNUMBER(C9768),ISNUMBER(D9768)),D9768-C9768,"")</f>
        <v/>
      </c>
      <c r="Z9768" s="23" t="str">
        <f aca="false">IF(B9768="","",IF(MATCH(B9768,$B$2:$B$12000,0)=ROW()-1,1,0))</f>
        <v/>
      </c>
    </row>
    <row r="9769" customFormat="false" ht="15" hidden="false" customHeight="false" outlineLevel="0" collapsed="false">
      <c r="V9769" s="23" t="str">
        <f aca="false">IF(ISNUMBER(C9769),YEAR(C9769),"")</f>
        <v/>
      </c>
      <c r="W9769" s="23" t="str">
        <f aca="false">IF(ISNUMBER(C9769),MONTH(C9769),"")</f>
        <v/>
      </c>
      <c r="X9769" s="23" t="str">
        <f aca="false">IF(T9769="","",IF(T9769=0,"No discount",IF(T9769&lt;=0.2,"Low (1-20%)",IF(T9769&lt;=0.4,"Medium (21-40%)","High (&gt;40%)"))))</f>
        <v/>
      </c>
      <c r="Y9769" s="23" t="str">
        <f aca="false">IF(AND(ISNUMBER(C9769),ISNUMBER(D9769)),D9769-C9769,"")</f>
        <v/>
      </c>
      <c r="Z9769" s="23" t="str">
        <f aca="false">IF(B9769="","",IF(MATCH(B9769,$B$2:$B$12000,0)=ROW()-1,1,0))</f>
        <v/>
      </c>
    </row>
    <row r="9770" customFormat="false" ht="15" hidden="false" customHeight="false" outlineLevel="0" collapsed="false">
      <c r="V9770" s="23" t="str">
        <f aca="false">IF(ISNUMBER(C9770),YEAR(C9770),"")</f>
        <v/>
      </c>
      <c r="W9770" s="23" t="str">
        <f aca="false">IF(ISNUMBER(C9770),MONTH(C9770),"")</f>
        <v/>
      </c>
      <c r="X9770" s="23" t="str">
        <f aca="false">IF(T9770="","",IF(T9770=0,"No discount",IF(T9770&lt;=0.2,"Low (1-20%)",IF(T9770&lt;=0.4,"Medium (21-40%)","High (&gt;40%)"))))</f>
        <v/>
      </c>
      <c r="Y9770" s="23" t="str">
        <f aca="false">IF(AND(ISNUMBER(C9770),ISNUMBER(D9770)),D9770-C9770,"")</f>
        <v/>
      </c>
      <c r="Z9770" s="23" t="str">
        <f aca="false">IF(B9770="","",IF(MATCH(B9770,$B$2:$B$12000,0)=ROW()-1,1,0))</f>
        <v/>
      </c>
    </row>
    <row r="9771" customFormat="false" ht="15" hidden="false" customHeight="false" outlineLevel="0" collapsed="false">
      <c r="V9771" s="23" t="str">
        <f aca="false">IF(ISNUMBER(C9771),YEAR(C9771),"")</f>
        <v/>
      </c>
      <c r="W9771" s="23" t="str">
        <f aca="false">IF(ISNUMBER(C9771),MONTH(C9771),"")</f>
        <v/>
      </c>
      <c r="X9771" s="23" t="str">
        <f aca="false">IF(T9771="","",IF(T9771=0,"No discount",IF(T9771&lt;=0.2,"Low (1-20%)",IF(T9771&lt;=0.4,"Medium (21-40%)","High (&gt;40%)"))))</f>
        <v/>
      </c>
      <c r="Y9771" s="23" t="str">
        <f aca="false">IF(AND(ISNUMBER(C9771),ISNUMBER(D9771)),D9771-C9771,"")</f>
        <v/>
      </c>
      <c r="Z9771" s="23" t="str">
        <f aca="false">IF(B9771="","",IF(MATCH(B9771,$B$2:$B$12000,0)=ROW()-1,1,0))</f>
        <v/>
      </c>
    </row>
    <row r="9772" customFormat="false" ht="15" hidden="false" customHeight="false" outlineLevel="0" collapsed="false">
      <c r="V9772" s="23" t="str">
        <f aca="false">IF(ISNUMBER(C9772),YEAR(C9772),"")</f>
        <v/>
      </c>
      <c r="W9772" s="23" t="str">
        <f aca="false">IF(ISNUMBER(C9772),MONTH(C9772),"")</f>
        <v/>
      </c>
      <c r="X9772" s="23" t="str">
        <f aca="false">IF(T9772="","",IF(T9772=0,"No discount",IF(T9772&lt;=0.2,"Low (1-20%)",IF(T9772&lt;=0.4,"Medium (21-40%)","High (&gt;40%)"))))</f>
        <v/>
      </c>
      <c r="Y9772" s="23" t="str">
        <f aca="false">IF(AND(ISNUMBER(C9772),ISNUMBER(D9772)),D9772-C9772,"")</f>
        <v/>
      </c>
      <c r="Z9772" s="23" t="str">
        <f aca="false">IF(B9772="","",IF(MATCH(B9772,$B$2:$B$12000,0)=ROW()-1,1,0))</f>
        <v/>
      </c>
    </row>
    <row r="9773" customFormat="false" ht="15" hidden="false" customHeight="false" outlineLevel="0" collapsed="false">
      <c r="V9773" s="23" t="str">
        <f aca="false">IF(ISNUMBER(C9773),YEAR(C9773),"")</f>
        <v/>
      </c>
      <c r="W9773" s="23" t="str">
        <f aca="false">IF(ISNUMBER(C9773),MONTH(C9773),"")</f>
        <v/>
      </c>
      <c r="X9773" s="23" t="str">
        <f aca="false">IF(T9773="","",IF(T9773=0,"No discount",IF(T9773&lt;=0.2,"Low (1-20%)",IF(T9773&lt;=0.4,"Medium (21-40%)","High (&gt;40%)"))))</f>
        <v/>
      </c>
      <c r="Y9773" s="23" t="str">
        <f aca="false">IF(AND(ISNUMBER(C9773),ISNUMBER(D9773)),D9773-C9773,"")</f>
        <v/>
      </c>
      <c r="Z9773" s="23" t="str">
        <f aca="false">IF(B9773="","",IF(MATCH(B9773,$B$2:$B$12000,0)=ROW()-1,1,0))</f>
        <v/>
      </c>
    </row>
    <row r="9774" customFormat="false" ht="15" hidden="false" customHeight="false" outlineLevel="0" collapsed="false">
      <c r="V9774" s="23" t="str">
        <f aca="false">IF(ISNUMBER(C9774),YEAR(C9774),"")</f>
        <v/>
      </c>
      <c r="W9774" s="23" t="str">
        <f aca="false">IF(ISNUMBER(C9774),MONTH(C9774),"")</f>
        <v/>
      </c>
      <c r="X9774" s="23" t="str">
        <f aca="false">IF(T9774="","",IF(T9774=0,"No discount",IF(T9774&lt;=0.2,"Low (1-20%)",IF(T9774&lt;=0.4,"Medium (21-40%)","High (&gt;40%)"))))</f>
        <v/>
      </c>
      <c r="Y9774" s="23" t="str">
        <f aca="false">IF(AND(ISNUMBER(C9774),ISNUMBER(D9774)),D9774-C9774,"")</f>
        <v/>
      </c>
      <c r="Z9774" s="23" t="str">
        <f aca="false">IF(B9774="","",IF(MATCH(B9774,$B$2:$B$12000,0)=ROW()-1,1,0))</f>
        <v/>
      </c>
    </row>
    <row r="9775" customFormat="false" ht="15" hidden="false" customHeight="false" outlineLevel="0" collapsed="false">
      <c r="V9775" s="23" t="str">
        <f aca="false">IF(ISNUMBER(C9775),YEAR(C9775),"")</f>
        <v/>
      </c>
      <c r="W9775" s="23" t="str">
        <f aca="false">IF(ISNUMBER(C9775),MONTH(C9775),"")</f>
        <v/>
      </c>
      <c r="X9775" s="23" t="str">
        <f aca="false">IF(T9775="","",IF(T9775=0,"No discount",IF(T9775&lt;=0.2,"Low (1-20%)",IF(T9775&lt;=0.4,"Medium (21-40%)","High (&gt;40%)"))))</f>
        <v/>
      </c>
      <c r="Y9775" s="23" t="str">
        <f aca="false">IF(AND(ISNUMBER(C9775),ISNUMBER(D9775)),D9775-C9775,"")</f>
        <v/>
      </c>
      <c r="Z9775" s="23" t="str">
        <f aca="false">IF(B9775="","",IF(MATCH(B9775,$B$2:$B$12000,0)=ROW()-1,1,0))</f>
        <v/>
      </c>
    </row>
    <row r="9776" customFormat="false" ht="15" hidden="false" customHeight="false" outlineLevel="0" collapsed="false">
      <c r="V9776" s="23" t="str">
        <f aca="false">IF(ISNUMBER(C9776),YEAR(C9776),"")</f>
        <v/>
      </c>
      <c r="W9776" s="23" t="str">
        <f aca="false">IF(ISNUMBER(C9776),MONTH(C9776),"")</f>
        <v/>
      </c>
      <c r="X9776" s="23" t="str">
        <f aca="false">IF(T9776="","",IF(T9776=0,"No discount",IF(T9776&lt;=0.2,"Low (1-20%)",IF(T9776&lt;=0.4,"Medium (21-40%)","High (&gt;40%)"))))</f>
        <v/>
      </c>
      <c r="Y9776" s="23" t="str">
        <f aca="false">IF(AND(ISNUMBER(C9776),ISNUMBER(D9776)),D9776-C9776,"")</f>
        <v/>
      </c>
      <c r="Z9776" s="23" t="str">
        <f aca="false">IF(B9776="","",IF(MATCH(B9776,$B$2:$B$12000,0)=ROW()-1,1,0))</f>
        <v/>
      </c>
    </row>
    <row r="9777" customFormat="false" ht="15" hidden="false" customHeight="false" outlineLevel="0" collapsed="false">
      <c r="V9777" s="23" t="str">
        <f aca="false">IF(ISNUMBER(C9777),YEAR(C9777),"")</f>
        <v/>
      </c>
      <c r="W9777" s="23" t="str">
        <f aca="false">IF(ISNUMBER(C9777),MONTH(C9777),"")</f>
        <v/>
      </c>
      <c r="X9777" s="23" t="str">
        <f aca="false">IF(T9777="","",IF(T9777=0,"No discount",IF(T9777&lt;=0.2,"Low (1-20%)",IF(T9777&lt;=0.4,"Medium (21-40%)","High (&gt;40%)"))))</f>
        <v/>
      </c>
      <c r="Y9777" s="23" t="str">
        <f aca="false">IF(AND(ISNUMBER(C9777),ISNUMBER(D9777)),D9777-C9777,"")</f>
        <v/>
      </c>
      <c r="Z9777" s="23" t="str">
        <f aca="false">IF(B9777="","",IF(MATCH(B9777,$B$2:$B$12000,0)=ROW()-1,1,0))</f>
        <v/>
      </c>
    </row>
    <row r="9778" customFormat="false" ht="15" hidden="false" customHeight="false" outlineLevel="0" collapsed="false">
      <c r="V9778" s="23" t="str">
        <f aca="false">IF(ISNUMBER(C9778),YEAR(C9778),"")</f>
        <v/>
      </c>
      <c r="W9778" s="23" t="str">
        <f aca="false">IF(ISNUMBER(C9778),MONTH(C9778),"")</f>
        <v/>
      </c>
      <c r="X9778" s="23" t="str">
        <f aca="false">IF(T9778="","",IF(T9778=0,"No discount",IF(T9778&lt;=0.2,"Low (1-20%)",IF(T9778&lt;=0.4,"Medium (21-40%)","High (&gt;40%)"))))</f>
        <v/>
      </c>
      <c r="Y9778" s="23" t="str">
        <f aca="false">IF(AND(ISNUMBER(C9778),ISNUMBER(D9778)),D9778-C9778,"")</f>
        <v/>
      </c>
      <c r="Z9778" s="23" t="str">
        <f aca="false">IF(B9778="","",IF(MATCH(B9778,$B$2:$B$12000,0)=ROW()-1,1,0))</f>
        <v/>
      </c>
    </row>
    <row r="9779" customFormat="false" ht="15" hidden="false" customHeight="false" outlineLevel="0" collapsed="false">
      <c r="V9779" s="23" t="str">
        <f aca="false">IF(ISNUMBER(C9779),YEAR(C9779),"")</f>
        <v/>
      </c>
      <c r="W9779" s="23" t="str">
        <f aca="false">IF(ISNUMBER(C9779),MONTH(C9779),"")</f>
        <v/>
      </c>
      <c r="X9779" s="23" t="str">
        <f aca="false">IF(T9779="","",IF(T9779=0,"No discount",IF(T9779&lt;=0.2,"Low (1-20%)",IF(T9779&lt;=0.4,"Medium (21-40%)","High (&gt;40%)"))))</f>
        <v/>
      </c>
      <c r="Y9779" s="23" t="str">
        <f aca="false">IF(AND(ISNUMBER(C9779),ISNUMBER(D9779)),D9779-C9779,"")</f>
        <v/>
      </c>
      <c r="Z9779" s="23" t="str">
        <f aca="false">IF(B9779="","",IF(MATCH(B9779,$B$2:$B$12000,0)=ROW()-1,1,0))</f>
        <v/>
      </c>
    </row>
    <row r="9780" customFormat="false" ht="15" hidden="false" customHeight="false" outlineLevel="0" collapsed="false">
      <c r="V9780" s="23" t="str">
        <f aca="false">IF(ISNUMBER(C9780),YEAR(C9780),"")</f>
        <v/>
      </c>
      <c r="W9780" s="23" t="str">
        <f aca="false">IF(ISNUMBER(C9780),MONTH(C9780),"")</f>
        <v/>
      </c>
      <c r="X9780" s="23" t="str">
        <f aca="false">IF(T9780="","",IF(T9780=0,"No discount",IF(T9780&lt;=0.2,"Low (1-20%)",IF(T9780&lt;=0.4,"Medium (21-40%)","High (&gt;40%)"))))</f>
        <v/>
      </c>
      <c r="Y9780" s="23" t="str">
        <f aca="false">IF(AND(ISNUMBER(C9780),ISNUMBER(D9780)),D9780-C9780,"")</f>
        <v/>
      </c>
      <c r="Z9780" s="23" t="str">
        <f aca="false">IF(B9780="","",IF(MATCH(B9780,$B$2:$B$12000,0)=ROW()-1,1,0))</f>
        <v/>
      </c>
    </row>
    <row r="9781" customFormat="false" ht="15" hidden="false" customHeight="false" outlineLevel="0" collapsed="false">
      <c r="V9781" s="23" t="str">
        <f aca="false">IF(ISNUMBER(C9781),YEAR(C9781),"")</f>
        <v/>
      </c>
      <c r="W9781" s="23" t="str">
        <f aca="false">IF(ISNUMBER(C9781),MONTH(C9781),"")</f>
        <v/>
      </c>
      <c r="X9781" s="23" t="str">
        <f aca="false">IF(T9781="","",IF(T9781=0,"No discount",IF(T9781&lt;=0.2,"Low (1-20%)",IF(T9781&lt;=0.4,"Medium (21-40%)","High (&gt;40%)"))))</f>
        <v/>
      </c>
      <c r="Y9781" s="23" t="str">
        <f aca="false">IF(AND(ISNUMBER(C9781),ISNUMBER(D9781)),D9781-C9781,"")</f>
        <v/>
      </c>
      <c r="Z9781" s="23" t="str">
        <f aca="false">IF(B9781="","",IF(MATCH(B9781,$B$2:$B$12000,0)=ROW()-1,1,0))</f>
        <v/>
      </c>
    </row>
    <row r="9782" customFormat="false" ht="15" hidden="false" customHeight="false" outlineLevel="0" collapsed="false">
      <c r="V9782" s="23" t="str">
        <f aca="false">IF(ISNUMBER(C9782),YEAR(C9782),"")</f>
        <v/>
      </c>
      <c r="W9782" s="23" t="str">
        <f aca="false">IF(ISNUMBER(C9782),MONTH(C9782),"")</f>
        <v/>
      </c>
      <c r="X9782" s="23" t="str">
        <f aca="false">IF(T9782="","",IF(T9782=0,"No discount",IF(T9782&lt;=0.2,"Low (1-20%)",IF(T9782&lt;=0.4,"Medium (21-40%)","High (&gt;40%)"))))</f>
        <v/>
      </c>
      <c r="Y9782" s="23" t="str">
        <f aca="false">IF(AND(ISNUMBER(C9782),ISNUMBER(D9782)),D9782-C9782,"")</f>
        <v/>
      </c>
      <c r="Z9782" s="23" t="str">
        <f aca="false">IF(B9782="","",IF(MATCH(B9782,$B$2:$B$12000,0)=ROW()-1,1,0))</f>
        <v/>
      </c>
    </row>
    <row r="9783" customFormat="false" ht="15" hidden="false" customHeight="false" outlineLevel="0" collapsed="false">
      <c r="V9783" s="23" t="str">
        <f aca="false">IF(ISNUMBER(C9783),YEAR(C9783),"")</f>
        <v/>
      </c>
      <c r="W9783" s="23" t="str">
        <f aca="false">IF(ISNUMBER(C9783),MONTH(C9783),"")</f>
        <v/>
      </c>
      <c r="X9783" s="23" t="str">
        <f aca="false">IF(T9783="","",IF(T9783=0,"No discount",IF(T9783&lt;=0.2,"Low (1-20%)",IF(T9783&lt;=0.4,"Medium (21-40%)","High (&gt;40%)"))))</f>
        <v/>
      </c>
      <c r="Y9783" s="23" t="str">
        <f aca="false">IF(AND(ISNUMBER(C9783),ISNUMBER(D9783)),D9783-C9783,"")</f>
        <v/>
      </c>
      <c r="Z9783" s="23" t="str">
        <f aca="false">IF(B9783="","",IF(MATCH(B9783,$B$2:$B$12000,0)=ROW()-1,1,0))</f>
        <v/>
      </c>
    </row>
    <row r="9784" customFormat="false" ht="15" hidden="false" customHeight="false" outlineLevel="0" collapsed="false">
      <c r="V9784" s="23" t="str">
        <f aca="false">IF(ISNUMBER(C9784),YEAR(C9784),"")</f>
        <v/>
      </c>
      <c r="W9784" s="23" t="str">
        <f aca="false">IF(ISNUMBER(C9784),MONTH(C9784),"")</f>
        <v/>
      </c>
      <c r="X9784" s="23" t="str">
        <f aca="false">IF(T9784="","",IF(T9784=0,"No discount",IF(T9784&lt;=0.2,"Low (1-20%)",IF(T9784&lt;=0.4,"Medium (21-40%)","High (&gt;40%)"))))</f>
        <v/>
      </c>
      <c r="Y9784" s="23" t="str">
        <f aca="false">IF(AND(ISNUMBER(C9784),ISNUMBER(D9784)),D9784-C9784,"")</f>
        <v/>
      </c>
      <c r="Z9784" s="23" t="str">
        <f aca="false">IF(B9784="","",IF(MATCH(B9784,$B$2:$B$12000,0)=ROW()-1,1,0))</f>
        <v/>
      </c>
    </row>
    <row r="9785" customFormat="false" ht="15" hidden="false" customHeight="false" outlineLevel="0" collapsed="false">
      <c r="V9785" s="23" t="str">
        <f aca="false">IF(ISNUMBER(C9785),YEAR(C9785),"")</f>
        <v/>
      </c>
      <c r="W9785" s="23" t="str">
        <f aca="false">IF(ISNUMBER(C9785),MONTH(C9785),"")</f>
        <v/>
      </c>
      <c r="X9785" s="23" t="str">
        <f aca="false">IF(T9785="","",IF(T9785=0,"No discount",IF(T9785&lt;=0.2,"Low (1-20%)",IF(T9785&lt;=0.4,"Medium (21-40%)","High (&gt;40%)"))))</f>
        <v/>
      </c>
      <c r="Y9785" s="23" t="str">
        <f aca="false">IF(AND(ISNUMBER(C9785),ISNUMBER(D9785)),D9785-C9785,"")</f>
        <v/>
      </c>
      <c r="Z9785" s="23" t="str">
        <f aca="false">IF(B9785="","",IF(MATCH(B9785,$B$2:$B$12000,0)=ROW()-1,1,0))</f>
        <v/>
      </c>
    </row>
    <row r="9786" customFormat="false" ht="15" hidden="false" customHeight="false" outlineLevel="0" collapsed="false">
      <c r="V9786" s="23" t="str">
        <f aca="false">IF(ISNUMBER(C9786),YEAR(C9786),"")</f>
        <v/>
      </c>
      <c r="W9786" s="23" t="str">
        <f aca="false">IF(ISNUMBER(C9786),MONTH(C9786),"")</f>
        <v/>
      </c>
      <c r="X9786" s="23" t="str">
        <f aca="false">IF(T9786="","",IF(T9786=0,"No discount",IF(T9786&lt;=0.2,"Low (1-20%)",IF(T9786&lt;=0.4,"Medium (21-40%)","High (&gt;40%)"))))</f>
        <v/>
      </c>
      <c r="Y9786" s="23" t="str">
        <f aca="false">IF(AND(ISNUMBER(C9786),ISNUMBER(D9786)),D9786-C9786,"")</f>
        <v/>
      </c>
      <c r="Z9786" s="23" t="str">
        <f aca="false">IF(B9786="","",IF(MATCH(B9786,$B$2:$B$12000,0)=ROW()-1,1,0))</f>
        <v/>
      </c>
    </row>
    <row r="9787" customFormat="false" ht="15" hidden="false" customHeight="false" outlineLevel="0" collapsed="false">
      <c r="V9787" s="23" t="str">
        <f aca="false">IF(ISNUMBER(C9787),YEAR(C9787),"")</f>
        <v/>
      </c>
      <c r="W9787" s="23" t="str">
        <f aca="false">IF(ISNUMBER(C9787),MONTH(C9787),"")</f>
        <v/>
      </c>
      <c r="X9787" s="23" t="str">
        <f aca="false">IF(T9787="","",IF(T9787=0,"No discount",IF(T9787&lt;=0.2,"Low (1-20%)",IF(T9787&lt;=0.4,"Medium (21-40%)","High (&gt;40%)"))))</f>
        <v/>
      </c>
      <c r="Y9787" s="23" t="str">
        <f aca="false">IF(AND(ISNUMBER(C9787),ISNUMBER(D9787)),D9787-C9787,"")</f>
        <v/>
      </c>
      <c r="Z9787" s="23" t="str">
        <f aca="false">IF(B9787="","",IF(MATCH(B9787,$B$2:$B$12000,0)=ROW()-1,1,0))</f>
        <v/>
      </c>
    </row>
    <row r="9788" customFormat="false" ht="15" hidden="false" customHeight="false" outlineLevel="0" collapsed="false">
      <c r="V9788" s="23" t="str">
        <f aca="false">IF(ISNUMBER(C9788),YEAR(C9788),"")</f>
        <v/>
      </c>
      <c r="W9788" s="23" t="str">
        <f aca="false">IF(ISNUMBER(C9788),MONTH(C9788),"")</f>
        <v/>
      </c>
      <c r="X9788" s="23" t="str">
        <f aca="false">IF(T9788="","",IF(T9788=0,"No discount",IF(T9788&lt;=0.2,"Low (1-20%)",IF(T9788&lt;=0.4,"Medium (21-40%)","High (&gt;40%)"))))</f>
        <v/>
      </c>
      <c r="Y9788" s="23" t="str">
        <f aca="false">IF(AND(ISNUMBER(C9788),ISNUMBER(D9788)),D9788-C9788,"")</f>
        <v/>
      </c>
      <c r="Z9788" s="23" t="str">
        <f aca="false">IF(B9788="","",IF(MATCH(B9788,$B$2:$B$12000,0)=ROW()-1,1,0))</f>
        <v/>
      </c>
    </row>
    <row r="9789" customFormat="false" ht="15" hidden="false" customHeight="false" outlineLevel="0" collapsed="false">
      <c r="V9789" s="23" t="str">
        <f aca="false">IF(ISNUMBER(C9789),YEAR(C9789),"")</f>
        <v/>
      </c>
      <c r="W9789" s="23" t="str">
        <f aca="false">IF(ISNUMBER(C9789),MONTH(C9789),"")</f>
        <v/>
      </c>
      <c r="X9789" s="23" t="str">
        <f aca="false">IF(T9789="","",IF(T9789=0,"No discount",IF(T9789&lt;=0.2,"Low (1-20%)",IF(T9789&lt;=0.4,"Medium (21-40%)","High (&gt;40%)"))))</f>
        <v/>
      </c>
      <c r="Y9789" s="23" t="str">
        <f aca="false">IF(AND(ISNUMBER(C9789),ISNUMBER(D9789)),D9789-C9789,"")</f>
        <v/>
      </c>
      <c r="Z9789" s="23" t="str">
        <f aca="false">IF(B9789="","",IF(MATCH(B9789,$B$2:$B$12000,0)=ROW()-1,1,0))</f>
        <v/>
      </c>
    </row>
    <row r="9790" customFormat="false" ht="15" hidden="false" customHeight="false" outlineLevel="0" collapsed="false">
      <c r="V9790" s="23" t="str">
        <f aca="false">IF(ISNUMBER(C9790),YEAR(C9790),"")</f>
        <v/>
      </c>
      <c r="W9790" s="23" t="str">
        <f aca="false">IF(ISNUMBER(C9790),MONTH(C9790),"")</f>
        <v/>
      </c>
      <c r="X9790" s="23" t="str">
        <f aca="false">IF(T9790="","",IF(T9790=0,"No discount",IF(T9790&lt;=0.2,"Low (1-20%)",IF(T9790&lt;=0.4,"Medium (21-40%)","High (&gt;40%)"))))</f>
        <v/>
      </c>
      <c r="Y9790" s="23" t="str">
        <f aca="false">IF(AND(ISNUMBER(C9790),ISNUMBER(D9790)),D9790-C9790,"")</f>
        <v/>
      </c>
      <c r="Z9790" s="23" t="str">
        <f aca="false">IF(B9790="","",IF(MATCH(B9790,$B$2:$B$12000,0)=ROW()-1,1,0))</f>
        <v/>
      </c>
    </row>
    <row r="9791" customFormat="false" ht="15" hidden="false" customHeight="false" outlineLevel="0" collapsed="false">
      <c r="V9791" s="23" t="str">
        <f aca="false">IF(ISNUMBER(C9791),YEAR(C9791),"")</f>
        <v/>
      </c>
      <c r="W9791" s="23" t="str">
        <f aca="false">IF(ISNUMBER(C9791),MONTH(C9791),"")</f>
        <v/>
      </c>
      <c r="X9791" s="23" t="str">
        <f aca="false">IF(T9791="","",IF(T9791=0,"No discount",IF(T9791&lt;=0.2,"Low (1-20%)",IF(T9791&lt;=0.4,"Medium (21-40%)","High (&gt;40%)"))))</f>
        <v/>
      </c>
      <c r="Y9791" s="23" t="str">
        <f aca="false">IF(AND(ISNUMBER(C9791),ISNUMBER(D9791)),D9791-C9791,"")</f>
        <v/>
      </c>
      <c r="Z9791" s="23" t="str">
        <f aca="false">IF(B9791="","",IF(MATCH(B9791,$B$2:$B$12000,0)=ROW()-1,1,0))</f>
        <v/>
      </c>
    </row>
    <row r="9792" customFormat="false" ht="15" hidden="false" customHeight="false" outlineLevel="0" collapsed="false">
      <c r="V9792" s="23" t="str">
        <f aca="false">IF(ISNUMBER(C9792),YEAR(C9792),"")</f>
        <v/>
      </c>
      <c r="W9792" s="23" t="str">
        <f aca="false">IF(ISNUMBER(C9792),MONTH(C9792),"")</f>
        <v/>
      </c>
      <c r="X9792" s="23" t="str">
        <f aca="false">IF(T9792="","",IF(T9792=0,"No discount",IF(T9792&lt;=0.2,"Low (1-20%)",IF(T9792&lt;=0.4,"Medium (21-40%)","High (&gt;40%)"))))</f>
        <v/>
      </c>
      <c r="Y9792" s="23" t="str">
        <f aca="false">IF(AND(ISNUMBER(C9792),ISNUMBER(D9792)),D9792-C9792,"")</f>
        <v/>
      </c>
      <c r="Z9792" s="23" t="str">
        <f aca="false">IF(B9792="","",IF(MATCH(B9792,$B$2:$B$12000,0)=ROW()-1,1,0))</f>
        <v/>
      </c>
    </row>
    <row r="9793" customFormat="false" ht="15" hidden="false" customHeight="false" outlineLevel="0" collapsed="false">
      <c r="V9793" s="23" t="str">
        <f aca="false">IF(ISNUMBER(C9793),YEAR(C9793),"")</f>
        <v/>
      </c>
      <c r="W9793" s="23" t="str">
        <f aca="false">IF(ISNUMBER(C9793),MONTH(C9793),"")</f>
        <v/>
      </c>
      <c r="X9793" s="23" t="str">
        <f aca="false">IF(T9793="","",IF(T9793=0,"No discount",IF(T9793&lt;=0.2,"Low (1-20%)",IF(T9793&lt;=0.4,"Medium (21-40%)","High (&gt;40%)"))))</f>
        <v/>
      </c>
      <c r="Y9793" s="23" t="str">
        <f aca="false">IF(AND(ISNUMBER(C9793),ISNUMBER(D9793)),D9793-C9793,"")</f>
        <v/>
      </c>
      <c r="Z9793" s="23" t="str">
        <f aca="false">IF(B9793="","",IF(MATCH(B9793,$B$2:$B$12000,0)=ROW()-1,1,0))</f>
        <v/>
      </c>
    </row>
    <row r="9794" customFormat="false" ht="15" hidden="false" customHeight="false" outlineLevel="0" collapsed="false">
      <c r="V9794" s="23" t="str">
        <f aca="false">IF(ISNUMBER(C9794),YEAR(C9794),"")</f>
        <v/>
      </c>
      <c r="W9794" s="23" t="str">
        <f aca="false">IF(ISNUMBER(C9794),MONTH(C9794),"")</f>
        <v/>
      </c>
      <c r="X9794" s="23" t="str">
        <f aca="false">IF(T9794="","",IF(T9794=0,"No discount",IF(T9794&lt;=0.2,"Low (1-20%)",IF(T9794&lt;=0.4,"Medium (21-40%)","High (&gt;40%)"))))</f>
        <v/>
      </c>
      <c r="Y9794" s="23" t="str">
        <f aca="false">IF(AND(ISNUMBER(C9794),ISNUMBER(D9794)),D9794-C9794,"")</f>
        <v/>
      </c>
      <c r="Z9794" s="23" t="str">
        <f aca="false">IF(B9794="","",IF(MATCH(B9794,$B$2:$B$12000,0)=ROW()-1,1,0))</f>
        <v/>
      </c>
    </row>
    <row r="9795" customFormat="false" ht="15" hidden="false" customHeight="false" outlineLevel="0" collapsed="false">
      <c r="V9795" s="23" t="str">
        <f aca="false">IF(ISNUMBER(C9795),YEAR(C9795),"")</f>
        <v/>
      </c>
      <c r="W9795" s="23" t="str">
        <f aca="false">IF(ISNUMBER(C9795),MONTH(C9795),"")</f>
        <v/>
      </c>
      <c r="X9795" s="23" t="str">
        <f aca="false">IF(T9795="","",IF(T9795=0,"No discount",IF(T9795&lt;=0.2,"Low (1-20%)",IF(T9795&lt;=0.4,"Medium (21-40%)","High (&gt;40%)"))))</f>
        <v/>
      </c>
      <c r="Y9795" s="23" t="str">
        <f aca="false">IF(AND(ISNUMBER(C9795),ISNUMBER(D9795)),D9795-C9795,"")</f>
        <v/>
      </c>
      <c r="Z9795" s="23" t="str">
        <f aca="false">IF(B9795="","",IF(MATCH(B9795,$B$2:$B$12000,0)=ROW()-1,1,0))</f>
        <v/>
      </c>
    </row>
    <row r="9796" customFormat="false" ht="15" hidden="false" customHeight="false" outlineLevel="0" collapsed="false">
      <c r="V9796" s="23" t="str">
        <f aca="false">IF(ISNUMBER(C9796),YEAR(C9796),"")</f>
        <v/>
      </c>
      <c r="W9796" s="23" t="str">
        <f aca="false">IF(ISNUMBER(C9796),MONTH(C9796),"")</f>
        <v/>
      </c>
      <c r="X9796" s="23" t="str">
        <f aca="false">IF(T9796="","",IF(T9796=0,"No discount",IF(T9796&lt;=0.2,"Low (1-20%)",IF(T9796&lt;=0.4,"Medium (21-40%)","High (&gt;40%)"))))</f>
        <v/>
      </c>
      <c r="Y9796" s="23" t="str">
        <f aca="false">IF(AND(ISNUMBER(C9796),ISNUMBER(D9796)),D9796-C9796,"")</f>
        <v/>
      </c>
      <c r="Z9796" s="23" t="str">
        <f aca="false">IF(B9796="","",IF(MATCH(B9796,$B$2:$B$12000,0)=ROW()-1,1,0))</f>
        <v/>
      </c>
    </row>
    <row r="9797" customFormat="false" ht="15" hidden="false" customHeight="false" outlineLevel="0" collapsed="false">
      <c r="V9797" s="23" t="str">
        <f aca="false">IF(ISNUMBER(C9797),YEAR(C9797),"")</f>
        <v/>
      </c>
      <c r="W9797" s="23" t="str">
        <f aca="false">IF(ISNUMBER(C9797),MONTH(C9797),"")</f>
        <v/>
      </c>
      <c r="X9797" s="23" t="str">
        <f aca="false">IF(T9797="","",IF(T9797=0,"No discount",IF(T9797&lt;=0.2,"Low (1-20%)",IF(T9797&lt;=0.4,"Medium (21-40%)","High (&gt;40%)"))))</f>
        <v/>
      </c>
      <c r="Y9797" s="23" t="str">
        <f aca="false">IF(AND(ISNUMBER(C9797),ISNUMBER(D9797)),D9797-C9797,"")</f>
        <v/>
      </c>
      <c r="Z9797" s="23" t="str">
        <f aca="false">IF(B9797="","",IF(MATCH(B9797,$B$2:$B$12000,0)=ROW()-1,1,0))</f>
        <v/>
      </c>
    </row>
    <row r="9798" customFormat="false" ht="15" hidden="false" customHeight="false" outlineLevel="0" collapsed="false">
      <c r="V9798" s="23" t="str">
        <f aca="false">IF(ISNUMBER(C9798),YEAR(C9798),"")</f>
        <v/>
      </c>
      <c r="W9798" s="23" t="str">
        <f aca="false">IF(ISNUMBER(C9798),MONTH(C9798),"")</f>
        <v/>
      </c>
      <c r="X9798" s="23" t="str">
        <f aca="false">IF(T9798="","",IF(T9798=0,"No discount",IF(T9798&lt;=0.2,"Low (1-20%)",IF(T9798&lt;=0.4,"Medium (21-40%)","High (&gt;40%)"))))</f>
        <v/>
      </c>
      <c r="Y9798" s="23" t="str">
        <f aca="false">IF(AND(ISNUMBER(C9798),ISNUMBER(D9798)),D9798-C9798,"")</f>
        <v/>
      </c>
      <c r="Z9798" s="23" t="str">
        <f aca="false">IF(B9798="","",IF(MATCH(B9798,$B$2:$B$12000,0)=ROW()-1,1,0))</f>
        <v/>
      </c>
    </row>
    <row r="9799" customFormat="false" ht="15" hidden="false" customHeight="false" outlineLevel="0" collapsed="false">
      <c r="V9799" s="23" t="str">
        <f aca="false">IF(ISNUMBER(C9799),YEAR(C9799),"")</f>
        <v/>
      </c>
      <c r="W9799" s="23" t="str">
        <f aca="false">IF(ISNUMBER(C9799),MONTH(C9799),"")</f>
        <v/>
      </c>
      <c r="X9799" s="23" t="str">
        <f aca="false">IF(T9799="","",IF(T9799=0,"No discount",IF(T9799&lt;=0.2,"Low (1-20%)",IF(T9799&lt;=0.4,"Medium (21-40%)","High (&gt;40%)"))))</f>
        <v/>
      </c>
      <c r="Y9799" s="23" t="str">
        <f aca="false">IF(AND(ISNUMBER(C9799),ISNUMBER(D9799)),D9799-C9799,"")</f>
        <v/>
      </c>
      <c r="Z9799" s="23" t="str">
        <f aca="false">IF(B9799="","",IF(MATCH(B9799,$B$2:$B$12000,0)=ROW()-1,1,0))</f>
        <v/>
      </c>
    </row>
    <row r="9800" customFormat="false" ht="15" hidden="false" customHeight="false" outlineLevel="0" collapsed="false">
      <c r="V9800" s="23" t="str">
        <f aca="false">IF(ISNUMBER(C9800),YEAR(C9800),"")</f>
        <v/>
      </c>
      <c r="W9800" s="23" t="str">
        <f aca="false">IF(ISNUMBER(C9800),MONTH(C9800),"")</f>
        <v/>
      </c>
      <c r="X9800" s="23" t="str">
        <f aca="false">IF(T9800="","",IF(T9800=0,"No discount",IF(T9800&lt;=0.2,"Low (1-20%)",IF(T9800&lt;=0.4,"Medium (21-40%)","High (&gt;40%)"))))</f>
        <v/>
      </c>
      <c r="Y9800" s="23" t="str">
        <f aca="false">IF(AND(ISNUMBER(C9800),ISNUMBER(D9800)),D9800-C9800,"")</f>
        <v/>
      </c>
      <c r="Z9800" s="23" t="str">
        <f aca="false">IF(B9800="","",IF(MATCH(B9800,$B$2:$B$12000,0)=ROW()-1,1,0))</f>
        <v/>
      </c>
    </row>
    <row r="9801" customFormat="false" ht="15" hidden="false" customHeight="false" outlineLevel="0" collapsed="false">
      <c r="V9801" s="23" t="str">
        <f aca="false">IF(ISNUMBER(C9801),YEAR(C9801),"")</f>
        <v/>
      </c>
      <c r="W9801" s="23" t="str">
        <f aca="false">IF(ISNUMBER(C9801),MONTH(C9801),"")</f>
        <v/>
      </c>
      <c r="X9801" s="23" t="str">
        <f aca="false">IF(T9801="","",IF(T9801=0,"No discount",IF(T9801&lt;=0.2,"Low (1-20%)",IF(T9801&lt;=0.4,"Medium (21-40%)","High (&gt;40%)"))))</f>
        <v/>
      </c>
      <c r="Y9801" s="23" t="str">
        <f aca="false">IF(AND(ISNUMBER(C9801),ISNUMBER(D9801)),D9801-C9801,"")</f>
        <v/>
      </c>
      <c r="Z9801" s="23" t="str">
        <f aca="false">IF(B9801="","",IF(MATCH(B9801,$B$2:$B$12000,0)=ROW()-1,1,0))</f>
        <v/>
      </c>
    </row>
    <row r="9802" customFormat="false" ht="15" hidden="false" customHeight="false" outlineLevel="0" collapsed="false">
      <c r="V9802" s="23" t="str">
        <f aca="false">IF(ISNUMBER(C9802),YEAR(C9802),"")</f>
        <v/>
      </c>
      <c r="W9802" s="23" t="str">
        <f aca="false">IF(ISNUMBER(C9802),MONTH(C9802),"")</f>
        <v/>
      </c>
      <c r="X9802" s="23" t="str">
        <f aca="false">IF(T9802="","",IF(T9802=0,"No discount",IF(T9802&lt;=0.2,"Low (1-20%)",IF(T9802&lt;=0.4,"Medium (21-40%)","High (&gt;40%)"))))</f>
        <v/>
      </c>
      <c r="Y9802" s="23" t="str">
        <f aca="false">IF(AND(ISNUMBER(C9802),ISNUMBER(D9802)),D9802-C9802,"")</f>
        <v/>
      </c>
      <c r="Z9802" s="23" t="str">
        <f aca="false">IF(B9802="","",IF(MATCH(B9802,$B$2:$B$12000,0)=ROW()-1,1,0))</f>
        <v/>
      </c>
    </row>
    <row r="9803" customFormat="false" ht="15" hidden="false" customHeight="false" outlineLevel="0" collapsed="false">
      <c r="V9803" s="23" t="str">
        <f aca="false">IF(ISNUMBER(C9803),YEAR(C9803),"")</f>
        <v/>
      </c>
      <c r="W9803" s="23" t="str">
        <f aca="false">IF(ISNUMBER(C9803),MONTH(C9803),"")</f>
        <v/>
      </c>
      <c r="X9803" s="23" t="str">
        <f aca="false">IF(T9803="","",IF(T9803=0,"No discount",IF(T9803&lt;=0.2,"Low (1-20%)",IF(T9803&lt;=0.4,"Medium (21-40%)","High (&gt;40%)"))))</f>
        <v/>
      </c>
      <c r="Y9803" s="23" t="str">
        <f aca="false">IF(AND(ISNUMBER(C9803),ISNUMBER(D9803)),D9803-C9803,"")</f>
        <v/>
      </c>
      <c r="Z9803" s="23" t="str">
        <f aca="false">IF(B9803="","",IF(MATCH(B9803,$B$2:$B$12000,0)=ROW()-1,1,0))</f>
        <v/>
      </c>
    </row>
    <row r="9804" customFormat="false" ht="15" hidden="false" customHeight="false" outlineLevel="0" collapsed="false">
      <c r="V9804" s="23" t="str">
        <f aca="false">IF(ISNUMBER(C9804),YEAR(C9804),"")</f>
        <v/>
      </c>
      <c r="W9804" s="23" t="str">
        <f aca="false">IF(ISNUMBER(C9804),MONTH(C9804),"")</f>
        <v/>
      </c>
      <c r="X9804" s="23" t="str">
        <f aca="false">IF(T9804="","",IF(T9804=0,"No discount",IF(T9804&lt;=0.2,"Low (1-20%)",IF(T9804&lt;=0.4,"Medium (21-40%)","High (&gt;40%)"))))</f>
        <v/>
      </c>
      <c r="Y9804" s="23" t="str">
        <f aca="false">IF(AND(ISNUMBER(C9804),ISNUMBER(D9804)),D9804-C9804,"")</f>
        <v/>
      </c>
      <c r="Z9804" s="23" t="str">
        <f aca="false">IF(B9804="","",IF(MATCH(B9804,$B$2:$B$12000,0)=ROW()-1,1,0))</f>
        <v/>
      </c>
    </row>
    <row r="9805" customFormat="false" ht="15" hidden="false" customHeight="false" outlineLevel="0" collapsed="false">
      <c r="V9805" s="23" t="str">
        <f aca="false">IF(ISNUMBER(C9805),YEAR(C9805),"")</f>
        <v/>
      </c>
      <c r="W9805" s="23" t="str">
        <f aca="false">IF(ISNUMBER(C9805),MONTH(C9805),"")</f>
        <v/>
      </c>
      <c r="X9805" s="23" t="str">
        <f aca="false">IF(T9805="","",IF(T9805=0,"No discount",IF(T9805&lt;=0.2,"Low (1-20%)",IF(T9805&lt;=0.4,"Medium (21-40%)","High (&gt;40%)"))))</f>
        <v/>
      </c>
      <c r="Y9805" s="23" t="str">
        <f aca="false">IF(AND(ISNUMBER(C9805),ISNUMBER(D9805)),D9805-C9805,"")</f>
        <v/>
      </c>
      <c r="Z9805" s="23" t="str">
        <f aca="false">IF(B9805="","",IF(MATCH(B9805,$B$2:$B$12000,0)=ROW()-1,1,0))</f>
        <v/>
      </c>
    </row>
    <row r="9806" customFormat="false" ht="15" hidden="false" customHeight="false" outlineLevel="0" collapsed="false">
      <c r="V9806" s="23" t="str">
        <f aca="false">IF(ISNUMBER(C9806),YEAR(C9806),"")</f>
        <v/>
      </c>
      <c r="W9806" s="23" t="str">
        <f aca="false">IF(ISNUMBER(C9806),MONTH(C9806),"")</f>
        <v/>
      </c>
      <c r="X9806" s="23" t="str">
        <f aca="false">IF(T9806="","",IF(T9806=0,"No discount",IF(T9806&lt;=0.2,"Low (1-20%)",IF(T9806&lt;=0.4,"Medium (21-40%)","High (&gt;40%)"))))</f>
        <v/>
      </c>
      <c r="Y9806" s="23" t="str">
        <f aca="false">IF(AND(ISNUMBER(C9806),ISNUMBER(D9806)),D9806-C9806,"")</f>
        <v/>
      </c>
      <c r="Z9806" s="23" t="str">
        <f aca="false">IF(B9806="","",IF(MATCH(B9806,$B$2:$B$12000,0)=ROW()-1,1,0))</f>
        <v/>
      </c>
    </row>
    <row r="9807" customFormat="false" ht="15" hidden="false" customHeight="false" outlineLevel="0" collapsed="false">
      <c r="V9807" s="23" t="str">
        <f aca="false">IF(ISNUMBER(C9807),YEAR(C9807),"")</f>
        <v/>
      </c>
      <c r="W9807" s="23" t="str">
        <f aca="false">IF(ISNUMBER(C9807),MONTH(C9807),"")</f>
        <v/>
      </c>
      <c r="X9807" s="23" t="str">
        <f aca="false">IF(T9807="","",IF(T9807=0,"No discount",IF(T9807&lt;=0.2,"Low (1-20%)",IF(T9807&lt;=0.4,"Medium (21-40%)","High (&gt;40%)"))))</f>
        <v/>
      </c>
      <c r="Y9807" s="23" t="str">
        <f aca="false">IF(AND(ISNUMBER(C9807),ISNUMBER(D9807)),D9807-C9807,"")</f>
        <v/>
      </c>
      <c r="Z9807" s="23" t="str">
        <f aca="false">IF(B9807="","",IF(MATCH(B9807,$B$2:$B$12000,0)=ROW()-1,1,0))</f>
        <v/>
      </c>
    </row>
    <row r="9808" customFormat="false" ht="15" hidden="false" customHeight="false" outlineLevel="0" collapsed="false">
      <c r="V9808" s="23" t="str">
        <f aca="false">IF(ISNUMBER(C9808),YEAR(C9808),"")</f>
        <v/>
      </c>
      <c r="W9808" s="23" t="str">
        <f aca="false">IF(ISNUMBER(C9808),MONTH(C9808),"")</f>
        <v/>
      </c>
      <c r="X9808" s="23" t="str">
        <f aca="false">IF(T9808="","",IF(T9808=0,"No discount",IF(T9808&lt;=0.2,"Low (1-20%)",IF(T9808&lt;=0.4,"Medium (21-40%)","High (&gt;40%)"))))</f>
        <v/>
      </c>
      <c r="Y9808" s="23" t="str">
        <f aca="false">IF(AND(ISNUMBER(C9808),ISNUMBER(D9808)),D9808-C9808,"")</f>
        <v/>
      </c>
      <c r="Z9808" s="23" t="str">
        <f aca="false">IF(B9808="","",IF(MATCH(B9808,$B$2:$B$12000,0)=ROW()-1,1,0))</f>
        <v/>
      </c>
    </row>
    <row r="9809" customFormat="false" ht="15" hidden="false" customHeight="false" outlineLevel="0" collapsed="false">
      <c r="V9809" s="23" t="str">
        <f aca="false">IF(ISNUMBER(C9809),YEAR(C9809),"")</f>
        <v/>
      </c>
      <c r="W9809" s="23" t="str">
        <f aca="false">IF(ISNUMBER(C9809),MONTH(C9809),"")</f>
        <v/>
      </c>
      <c r="X9809" s="23" t="str">
        <f aca="false">IF(T9809="","",IF(T9809=0,"No discount",IF(T9809&lt;=0.2,"Low (1-20%)",IF(T9809&lt;=0.4,"Medium (21-40%)","High (&gt;40%)"))))</f>
        <v/>
      </c>
      <c r="Y9809" s="23" t="str">
        <f aca="false">IF(AND(ISNUMBER(C9809),ISNUMBER(D9809)),D9809-C9809,"")</f>
        <v/>
      </c>
      <c r="Z9809" s="23" t="str">
        <f aca="false">IF(B9809="","",IF(MATCH(B9809,$B$2:$B$12000,0)=ROW()-1,1,0))</f>
        <v/>
      </c>
    </row>
    <row r="9810" customFormat="false" ht="15" hidden="false" customHeight="false" outlineLevel="0" collapsed="false">
      <c r="V9810" s="23" t="str">
        <f aca="false">IF(ISNUMBER(C9810),YEAR(C9810),"")</f>
        <v/>
      </c>
      <c r="W9810" s="23" t="str">
        <f aca="false">IF(ISNUMBER(C9810),MONTH(C9810),"")</f>
        <v/>
      </c>
      <c r="X9810" s="23" t="str">
        <f aca="false">IF(T9810="","",IF(T9810=0,"No discount",IF(T9810&lt;=0.2,"Low (1-20%)",IF(T9810&lt;=0.4,"Medium (21-40%)","High (&gt;40%)"))))</f>
        <v/>
      </c>
      <c r="Y9810" s="23" t="str">
        <f aca="false">IF(AND(ISNUMBER(C9810),ISNUMBER(D9810)),D9810-C9810,"")</f>
        <v/>
      </c>
      <c r="Z9810" s="23" t="str">
        <f aca="false">IF(B9810="","",IF(MATCH(B9810,$B$2:$B$12000,0)=ROW()-1,1,0))</f>
        <v/>
      </c>
    </row>
    <row r="9811" customFormat="false" ht="15" hidden="false" customHeight="false" outlineLevel="0" collapsed="false">
      <c r="V9811" s="23" t="str">
        <f aca="false">IF(ISNUMBER(C9811),YEAR(C9811),"")</f>
        <v/>
      </c>
      <c r="W9811" s="23" t="str">
        <f aca="false">IF(ISNUMBER(C9811),MONTH(C9811),"")</f>
        <v/>
      </c>
      <c r="X9811" s="23" t="str">
        <f aca="false">IF(T9811="","",IF(T9811=0,"No discount",IF(T9811&lt;=0.2,"Low (1-20%)",IF(T9811&lt;=0.4,"Medium (21-40%)","High (&gt;40%)"))))</f>
        <v/>
      </c>
      <c r="Y9811" s="23" t="str">
        <f aca="false">IF(AND(ISNUMBER(C9811),ISNUMBER(D9811)),D9811-C9811,"")</f>
        <v/>
      </c>
      <c r="Z9811" s="23" t="str">
        <f aca="false">IF(B9811="","",IF(MATCH(B9811,$B$2:$B$12000,0)=ROW()-1,1,0))</f>
        <v/>
      </c>
    </row>
    <row r="9812" customFormat="false" ht="15" hidden="false" customHeight="false" outlineLevel="0" collapsed="false">
      <c r="V9812" s="23" t="str">
        <f aca="false">IF(ISNUMBER(C9812),YEAR(C9812),"")</f>
        <v/>
      </c>
      <c r="W9812" s="23" t="str">
        <f aca="false">IF(ISNUMBER(C9812),MONTH(C9812),"")</f>
        <v/>
      </c>
      <c r="X9812" s="23" t="str">
        <f aca="false">IF(T9812="","",IF(T9812=0,"No discount",IF(T9812&lt;=0.2,"Low (1-20%)",IF(T9812&lt;=0.4,"Medium (21-40%)","High (&gt;40%)"))))</f>
        <v/>
      </c>
      <c r="Y9812" s="23" t="str">
        <f aca="false">IF(AND(ISNUMBER(C9812),ISNUMBER(D9812)),D9812-C9812,"")</f>
        <v/>
      </c>
      <c r="Z9812" s="23" t="str">
        <f aca="false">IF(B9812="","",IF(MATCH(B9812,$B$2:$B$12000,0)=ROW()-1,1,0))</f>
        <v/>
      </c>
    </row>
    <row r="9813" customFormat="false" ht="15" hidden="false" customHeight="false" outlineLevel="0" collapsed="false">
      <c r="V9813" s="23" t="str">
        <f aca="false">IF(ISNUMBER(C9813),YEAR(C9813),"")</f>
        <v/>
      </c>
      <c r="W9813" s="23" t="str">
        <f aca="false">IF(ISNUMBER(C9813),MONTH(C9813),"")</f>
        <v/>
      </c>
      <c r="X9813" s="23" t="str">
        <f aca="false">IF(T9813="","",IF(T9813=0,"No discount",IF(T9813&lt;=0.2,"Low (1-20%)",IF(T9813&lt;=0.4,"Medium (21-40%)","High (&gt;40%)"))))</f>
        <v/>
      </c>
      <c r="Y9813" s="23" t="str">
        <f aca="false">IF(AND(ISNUMBER(C9813),ISNUMBER(D9813)),D9813-C9813,"")</f>
        <v/>
      </c>
      <c r="Z9813" s="23" t="str">
        <f aca="false">IF(B9813="","",IF(MATCH(B9813,$B$2:$B$12000,0)=ROW()-1,1,0))</f>
        <v/>
      </c>
    </row>
    <row r="9814" customFormat="false" ht="15" hidden="false" customHeight="false" outlineLevel="0" collapsed="false">
      <c r="V9814" s="23" t="str">
        <f aca="false">IF(ISNUMBER(C9814),YEAR(C9814),"")</f>
        <v/>
      </c>
      <c r="W9814" s="23" t="str">
        <f aca="false">IF(ISNUMBER(C9814),MONTH(C9814),"")</f>
        <v/>
      </c>
      <c r="X9814" s="23" t="str">
        <f aca="false">IF(T9814="","",IF(T9814=0,"No discount",IF(T9814&lt;=0.2,"Low (1-20%)",IF(T9814&lt;=0.4,"Medium (21-40%)","High (&gt;40%)"))))</f>
        <v/>
      </c>
      <c r="Y9814" s="23" t="str">
        <f aca="false">IF(AND(ISNUMBER(C9814),ISNUMBER(D9814)),D9814-C9814,"")</f>
        <v/>
      </c>
      <c r="Z9814" s="23" t="str">
        <f aca="false">IF(B9814="","",IF(MATCH(B9814,$B$2:$B$12000,0)=ROW()-1,1,0))</f>
        <v/>
      </c>
    </row>
    <row r="9815" customFormat="false" ht="15" hidden="false" customHeight="false" outlineLevel="0" collapsed="false">
      <c r="V9815" s="23" t="str">
        <f aca="false">IF(ISNUMBER(C9815),YEAR(C9815),"")</f>
        <v/>
      </c>
      <c r="W9815" s="23" t="str">
        <f aca="false">IF(ISNUMBER(C9815),MONTH(C9815),"")</f>
        <v/>
      </c>
      <c r="X9815" s="23" t="str">
        <f aca="false">IF(T9815="","",IF(T9815=0,"No discount",IF(T9815&lt;=0.2,"Low (1-20%)",IF(T9815&lt;=0.4,"Medium (21-40%)","High (&gt;40%)"))))</f>
        <v/>
      </c>
      <c r="Y9815" s="23" t="str">
        <f aca="false">IF(AND(ISNUMBER(C9815),ISNUMBER(D9815)),D9815-C9815,"")</f>
        <v/>
      </c>
      <c r="Z9815" s="23" t="str">
        <f aca="false">IF(B9815="","",IF(MATCH(B9815,$B$2:$B$12000,0)=ROW()-1,1,0))</f>
        <v/>
      </c>
    </row>
    <row r="9816" customFormat="false" ht="15" hidden="false" customHeight="false" outlineLevel="0" collapsed="false">
      <c r="V9816" s="23" t="str">
        <f aca="false">IF(ISNUMBER(C9816),YEAR(C9816),"")</f>
        <v/>
      </c>
      <c r="W9816" s="23" t="str">
        <f aca="false">IF(ISNUMBER(C9816),MONTH(C9816),"")</f>
        <v/>
      </c>
      <c r="X9816" s="23" t="str">
        <f aca="false">IF(T9816="","",IF(T9816=0,"No discount",IF(T9816&lt;=0.2,"Low (1-20%)",IF(T9816&lt;=0.4,"Medium (21-40%)","High (&gt;40%)"))))</f>
        <v/>
      </c>
      <c r="Y9816" s="23" t="str">
        <f aca="false">IF(AND(ISNUMBER(C9816),ISNUMBER(D9816)),D9816-C9816,"")</f>
        <v/>
      </c>
      <c r="Z9816" s="23" t="str">
        <f aca="false">IF(B9816="","",IF(MATCH(B9816,$B$2:$B$12000,0)=ROW()-1,1,0))</f>
        <v/>
      </c>
    </row>
    <row r="9817" customFormat="false" ht="15" hidden="false" customHeight="false" outlineLevel="0" collapsed="false">
      <c r="V9817" s="23" t="str">
        <f aca="false">IF(ISNUMBER(C9817),YEAR(C9817),"")</f>
        <v/>
      </c>
      <c r="W9817" s="23" t="str">
        <f aca="false">IF(ISNUMBER(C9817),MONTH(C9817),"")</f>
        <v/>
      </c>
      <c r="X9817" s="23" t="str">
        <f aca="false">IF(T9817="","",IF(T9817=0,"No discount",IF(T9817&lt;=0.2,"Low (1-20%)",IF(T9817&lt;=0.4,"Medium (21-40%)","High (&gt;40%)"))))</f>
        <v/>
      </c>
      <c r="Y9817" s="23" t="str">
        <f aca="false">IF(AND(ISNUMBER(C9817),ISNUMBER(D9817)),D9817-C9817,"")</f>
        <v/>
      </c>
      <c r="Z9817" s="23" t="str">
        <f aca="false">IF(B9817="","",IF(MATCH(B9817,$B$2:$B$12000,0)=ROW()-1,1,0))</f>
        <v/>
      </c>
    </row>
    <row r="9818" customFormat="false" ht="15" hidden="false" customHeight="false" outlineLevel="0" collapsed="false">
      <c r="V9818" s="23" t="str">
        <f aca="false">IF(ISNUMBER(C9818),YEAR(C9818),"")</f>
        <v/>
      </c>
      <c r="W9818" s="23" t="str">
        <f aca="false">IF(ISNUMBER(C9818),MONTH(C9818),"")</f>
        <v/>
      </c>
      <c r="X9818" s="23" t="str">
        <f aca="false">IF(T9818="","",IF(T9818=0,"No discount",IF(T9818&lt;=0.2,"Low (1-20%)",IF(T9818&lt;=0.4,"Medium (21-40%)","High (&gt;40%)"))))</f>
        <v/>
      </c>
      <c r="Y9818" s="23" t="str">
        <f aca="false">IF(AND(ISNUMBER(C9818),ISNUMBER(D9818)),D9818-C9818,"")</f>
        <v/>
      </c>
      <c r="Z9818" s="23" t="str">
        <f aca="false">IF(B9818="","",IF(MATCH(B9818,$B$2:$B$12000,0)=ROW()-1,1,0))</f>
        <v/>
      </c>
    </row>
    <row r="9819" customFormat="false" ht="15" hidden="false" customHeight="false" outlineLevel="0" collapsed="false">
      <c r="V9819" s="23" t="str">
        <f aca="false">IF(ISNUMBER(C9819),YEAR(C9819),"")</f>
        <v/>
      </c>
      <c r="W9819" s="23" t="str">
        <f aca="false">IF(ISNUMBER(C9819),MONTH(C9819),"")</f>
        <v/>
      </c>
      <c r="X9819" s="23" t="str">
        <f aca="false">IF(T9819="","",IF(T9819=0,"No discount",IF(T9819&lt;=0.2,"Low (1-20%)",IF(T9819&lt;=0.4,"Medium (21-40%)","High (&gt;40%)"))))</f>
        <v/>
      </c>
      <c r="Y9819" s="23" t="str">
        <f aca="false">IF(AND(ISNUMBER(C9819),ISNUMBER(D9819)),D9819-C9819,"")</f>
        <v/>
      </c>
      <c r="Z9819" s="23" t="str">
        <f aca="false">IF(B9819="","",IF(MATCH(B9819,$B$2:$B$12000,0)=ROW()-1,1,0))</f>
        <v/>
      </c>
    </row>
    <row r="9820" customFormat="false" ht="15" hidden="false" customHeight="false" outlineLevel="0" collapsed="false">
      <c r="V9820" s="23" t="str">
        <f aca="false">IF(ISNUMBER(C9820),YEAR(C9820),"")</f>
        <v/>
      </c>
      <c r="W9820" s="23" t="str">
        <f aca="false">IF(ISNUMBER(C9820),MONTH(C9820),"")</f>
        <v/>
      </c>
      <c r="X9820" s="23" t="str">
        <f aca="false">IF(T9820="","",IF(T9820=0,"No discount",IF(T9820&lt;=0.2,"Low (1-20%)",IF(T9820&lt;=0.4,"Medium (21-40%)","High (&gt;40%)"))))</f>
        <v/>
      </c>
      <c r="Y9820" s="23" t="str">
        <f aca="false">IF(AND(ISNUMBER(C9820),ISNUMBER(D9820)),D9820-C9820,"")</f>
        <v/>
      </c>
      <c r="Z9820" s="23" t="str">
        <f aca="false">IF(B9820="","",IF(MATCH(B9820,$B$2:$B$12000,0)=ROW()-1,1,0))</f>
        <v/>
      </c>
    </row>
    <row r="9821" customFormat="false" ht="15" hidden="false" customHeight="false" outlineLevel="0" collapsed="false">
      <c r="V9821" s="23" t="str">
        <f aca="false">IF(ISNUMBER(C9821),YEAR(C9821),"")</f>
        <v/>
      </c>
      <c r="W9821" s="23" t="str">
        <f aca="false">IF(ISNUMBER(C9821),MONTH(C9821),"")</f>
        <v/>
      </c>
      <c r="X9821" s="23" t="str">
        <f aca="false">IF(T9821="","",IF(T9821=0,"No discount",IF(T9821&lt;=0.2,"Low (1-20%)",IF(T9821&lt;=0.4,"Medium (21-40%)","High (&gt;40%)"))))</f>
        <v/>
      </c>
      <c r="Y9821" s="23" t="str">
        <f aca="false">IF(AND(ISNUMBER(C9821),ISNUMBER(D9821)),D9821-C9821,"")</f>
        <v/>
      </c>
      <c r="Z9821" s="23" t="str">
        <f aca="false">IF(B9821="","",IF(MATCH(B9821,$B$2:$B$12000,0)=ROW()-1,1,0))</f>
        <v/>
      </c>
    </row>
    <row r="9822" customFormat="false" ht="15" hidden="false" customHeight="false" outlineLevel="0" collapsed="false">
      <c r="V9822" s="23" t="str">
        <f aca="false">IF(ISNUMBER(C9822),YEAR(C9822),"")</f>
        <v/>
      </c>
      <c r="W9822" s="23" t="str">
        <f aca="false">IF(ISNUMBER(C9822),MONTH(C9822),"")</f>
        <v/>
      </c>
      <c r="X9822" s="23" t="str">
        <f aca="false">IF(T9822="","",IF(T9822=0,"No discount",IF(T9822&lt;=0.2,"Low (1-20%)",IF(T9822&lt;=0.4,"Medium (21-40%)","High (&gt;40%)"))))</f>
        <v/>
      </c>
      <c r="Y9822" s="23" t="str">
        <f aca="false">IF(AND(ISNUMBER(C9822),ISNUMBER(D9822)),D9822-C9822,"")</f>
        <v/>
      </c>
      <c r="Z9822" s="23" t="str">
        <f aca="false">IF(B9822="","",IF(MATCH(B9822,$B$2:$B$12000,0)=ROW()-1,1,0))</f>
        <v/>
      </c>
    </row>
    <row r="9823" customFormat="false" ht="15" hidden="false" customHeight="false" outlineLevel="0" collapsed="false">
      <c r="V9823" s="23" t="str">
        <f aca="false">IF(ISNUMBER(C9823),YEAR(C9823),"")</f>
        <v/>
      </c>
      <c r="W9823" s="23" t="str">
        <f aca="false">IF(ISNUMBER(C9823),MONTH(C9823),"")</f>
        <v/>
      </c>
      <c r="X9823" s="23" t="str">
        <f aca="false">IF(T9823="","",IF(T9823=0,"No discount",IF(T9823&lt;=0.2,"Low (1-20%)",IF(T9823&lt;=0.4,"Medium (21-40%)","High (&gt;40%)"))))</f>
        <v/>
      </c>
      <c r="Y9823" s="23" t="str">
        <f aca="false">IF(AND(ISNUMBER(C9823),ISNUMBER(D9823)),D9823-C9823,"")</f>
        <v/>
      </c>
      <c r="Z9823" s="23" t="str">
        <f aca="false">IF(B9823="","",IF(MATCH(B9823,$B$2:$B$12000,0)=ROW()-1,1,0))</f>
        <v/>
      </c>
    </row>
    <row r="9824" customFormat="false" ht="15" hidden="false" customHeight="false" outlineLevel="0" collapsed="false">
      <c r="V9824" s="23" t="str">
        <f aca="false">IF(ISNUMBER(C9824),YEAR(C9824),"")</f>
        <v/>
      </c>
      <c r="W9824" s="23" t="str">
        <f aca="false">IF(ISNUMBER(C9824),MONTH(C9824),"")</f>
        <v/>
      </c>
      <c r="X9824" s="23" t="str">
        <f aca="false">IF(T9824="","",IF(T9824=0,"No discount",IF(T9824&lt;=0.2,"Low (1-20%)",IF(T9824&lt;=0.4,"Medium (21-40%)","High (&gt;40%)"))))</f>
        <v/>
      </c>
      <c r="Y9824" s="23" t="str">
        <f aca="false">IF(AND(ISNUMBER(C9824),ISNUMBER(D9824)),D9824-C9824,"")</f>
        <v/>
      </c>
      <c r="Z9824" s="23" t="str">
        <f aca="false">IF(B9824="","",IF(MATCH(B9824,$B$2:$B$12000,0)=ROW()-1,1,0))</f>
        <v/>
      </c>
    </row>
    <row r="9825" customFormat="false" ht="15" hidden="false" customHeight="false" outlineLevel="0" collapsed="false">
      <c r="V9825" s="23" t="str">
        <f aca="false">IF(ISNUMBER(C9825),YEAR(C9825),"")</f>
        <v/>
      </c>
      <c r="W9825" s="23" t="str">
        <f aca="false">IF(ISNUMBER(C9825),MONTH(C9825),"")</f>
        <v/>
      </c>
      <c r="X9825" s="23" t="str">
        <f aca="false">IF(T9825="","",IF(T9825=0,"No discount",IF(T9825&lt;=0.2,"Low (1-20%)",IF(T9825&lt;=0.4,"Medium (21-40%)","High (&gt;40%)"))))</f>
        <v/>
      </c>
      <c r="Y9825" s="23" t="str">
        <f aca="false">IF(AND(ISNUMBER(C9825),ISNUMBER(D9825)),D9825-C9825,"")</f>
        <v/>
      </c>
      <c r="Z9825" s="23" t="str">
        <f aca="false">IF(B9825="","",IF(MATCH(B9825,$B$2:$B$12000,0)=ROW()-1,1,0))</f>
        <v/>
      </c>
    </row>
    <row r="9826" customFormat="false" ht="15" hidden="false" customHeight="false" outlineLevel="0" collapsed="false">
      <c r="V9826" s="23" t="str">
        <f aca="false">IF(ISNUMBER(C9826),YEAR(C9826),"")</f>
        <v/>
      </c>
      <c r="W9826" s="23" t="str">
        <f aca="false">IF(ISNUMBER(C9826),MONTH(C9826),"")</f>
        <v/>
      </c>
      <c r="X9826" s="23" t="str">
        <f aca="false">IF(T9826="","",IF(T9826=0,"No discount",IF(T9826&lt;=0.2,"Low (1-20%)",IF(T9826&lt;=0.4,"Medium (21-40%)","High (&gt;40%)"))))</f>
        <v/>
      </c>
      <c r="Y9826" s="23" t="str">
        <f aca="false">IF(AND(ISNUMBER(C9826),ISNUMBER(D9826)),D9826-C9826,"")</f>
        <v/>
      </c>
      <c r="Z9826" s="23" t="str">
        <f aca="false">IF(B9826="","",IF(MATCH(B9826,$B$2:$B$12000,0)=ROW()-1,1,0))</f>
        <v/>
      </c>
    </row>
    <row r="9827" customFormat="false" ht="15" hidden="false" customHeight="false" outlineLevel="0" collapsed="false">
      <c r="V9827" s="23" t="str">
        <f aca="false">IF(ISNUMBER(C9827),YEAR(C9827),"")</f>
        <v/>
      </c>
      <c r="W9827" s="23" t="str">
        <f aca="false">IF(ISNUMBER(C9827),MONTH(C9827),"")</f>
        <v/>
      </c>
      <c r="X9827" s="23" t="str">
        <f aca="false">IF(T9827="","",IF(T9827=0,"No discount",IF(T9827&lt;=0.2,"Low (1-20%)",IF(T9827&lt;=0.4,"Medium (21-40%)","High (&gt;40%)"))))</f>
        <v/>
      </c>
      <c r="Y9827" s="23" t="str">
        <f aca="false">IF(AND(ISNUMBER(C9827),ISNUMBER(D9827)),D9827-C9827,"")</f>
        <v/>
      </c>
      <c r="Z9827" s="23" t="str">
        <f aca="false">IF(B9827="","",IF(MATCH(B9827,$B$2:$B$12000,0)=ROW()-1,1,0))</f>
        <v/>
      </c>
    </row>
    <row r="9828" customFormat="false" ht="15" hidden="false" customHeight="false" outlineLevel="0" collapsed="false">
      <c r="V9828" s="23" t="str">
        <f aca="false">IF(ISNUMBER(C9828),YEAR(C9828),"")</f>
        <v/>
      </c>
      <c r="W9828" s="23" t="str">
        <f aca="false">IF(ISNUMBER(C9828),MONTH(C9828),"")</f>
        <v/>
      </c>
      <c r="X9828" s="23" t="str">
        <f aca="false">IF(T9828="","",IF(T9828=0,"No discount",IF(T9828&lt;=0.2,"Low (1-20%)",IF(T9828&lt;=0.4,"Medium (21-40%)","High (&gt;40%)"))))</f>
        <v/>
      </c>
      <c r="Y9828" s="23" t="str">
        <f aca="false">IF(AND(ISNUMBER(C9828),ISNUMBER(D9828)),D9828-C9828,"")</f>
        <v/>
      </c>
      <c r="Z9828" s="23" t="str">
        <f aca="false">IF(B9828="","",IF(MATCH(B9828,$B$2:$B$12000,0)=ROW()-1,1,0))</f>
        <v/>
      </c>
    </row>
    <row r="9829" customFormat="false" ht="15" hidden="false" customHeight="false" outlineLevel="0" collapsed="false">
      <c r="V9829" s="23" t="str">
        <f aca="false">IF(ISNUMBER(C9829),YEAR(C9829),"")</f>
        <v/>
      </c>
      <c r="W9829" s="23" t="str">
        <f aca="false">IF(ISNUMBER(C9829),MONTH(C9829),"")</f>
        <v/>
      </c>
      <c r="X9829" s="23" t="str">
        <f aca="false">IF(T9829="","",IF(T9829=0,"No discount",IF(T9829&lt;=0.2,"Low (1-20%)",IF(T9829&lt;=0.4,"Medium (21-40%)","High (&gt;40%)"))))</f>
        <v/>
      </c>
      <c r="Y9829" s="23" t="str">
        <f aca="false">IF(AND(ISNUMBER(C9829),ISNUMBER(D9829)),D9829-C9829,"")</f>
        <v/>
      </c>
      <c r="Z9829" s="23" t="str">
        <f aca="false">IF(B9829="","",IF(MATCH(B9829,$B$2:$B$12000,0)=ROW()-1,1,0))</f>
        <v/>
      </c>
    </row>
    <row r="9830" customFormat="false" ht="15" hidden="false" customHeight="false" outlineLevel="0" collapsed="false">
      <c r="V9830" s="23" t="str">
        <f aca="false">IF(ISNUMBER(C9830),YEAR(C9830),"")</f>
        <v/>
      </c>
      <c r="W9830" s="23" t="str">
        <f aca="false">IF(ISNUMBER(C9830),MONTH(C9830),"")</f>
        <v/>
      </c>
      <c r="X9830" s="23" t="str">
        <f aca="false">IF(T9830="","",IF(T9830=0,"No discount",IF(T9830&lt;=0.2,"Low (1-20%)",IF(T9830&lt;=0.4,"Medium (21-40%)","High (&gt;40%)"))))</f>
        <v/>
      </c>
      <c r="Y9830" s="23" t="str">
        <f aca="false">IF(AND(ISNUMBER(C9830),ISNUMBER(D9830)),D9830-C9830,"")</f>
        <v/>
      </c>
      <c r="Z9830" s="23" t="str">
        <f aca="false">IF(B9830="","",IF(MATCH(B9830,$B$2:$B$12000,0)=ROW()-1,1,0))</f>
        <v/>
      </c>
    </row>
    <row r="9831" customFormat="false" ht="15" hidden="false" customHeight="false" outlineLevel="0" collapsed="false">
      <c r="V9831" s="23" t="str">
        <f aca="false">IF(ISNUMBER(C9831),YEAR(C9831),"")</f>
        <v/>
      </c>
      <c r="W9831" s="23" t="str">
        <f aca="false">IF(ISNUMBER(C9831),MONTH(C9831),"")</f>
        <v/>
      </c>
      <c r="X9831" s="23" t="str">
        <f aca="false">IF(T9831="","",IF(T9831=0,"No discount",IF(T9831&lt;=0.2,"Low (1-20%)",IF(T9831&lt;=0.4,"Medium (21-40%)","High (&gt;40%)"))))</f>
        <v/>
      </c>
      <c r="Y9831" s="23" t="str">
        <f aca="false">IF(AND(ISNUMBER(C9831),ISNUMBER(D9831)),D9831-C9831,"")</f>
        <v/>
      </c>
      <c r="Z9831" s="23" t="str">
        <f aca="false">IF(B9831="","",IF(MATCH(B9831,$B$2:$B$12000,0)=ROW()-1,1,0))</f>
        <v/>
      </c>
    </row>
    <row r="9832" customFormat="false" ht="15" hidden="false" customHeight="false" outlineLevel="0" collapsed="false">
      <c r="V9832" s="23" t="str">
        <f aca="false">IF(ISNUMBER(C9832),YEAR(C9832),"")</f>
        <v/>
      </c>
      <c r="W9832" s="23" t="str">
        <f aca="false">IF(ISNUMBER(C9832),MONTH(C9832),"")</f>
        <v/>
      </c>
      <c r="X9832" s="23" t="str">
        <f aca="false">IF(T9832="","",IF(T9832=0,"No discount",IF(T9832&lt;=0.2,"Low (1-20%)",IF(T9832&lt;=0.4,"Medium (21-40%)","High (&gt;40%)"))))</f>
        <v/>
      </c>
      <c r="Y9832" s="23" t="str">
        <f aca="false">IF(AND(ISNUMBER(C9832),ISNUMBER(D9832)),D9832-C9832,"")</f>
        <v/>
      </c>
      <c r="Z9832" s="23" t="str">
        <f aca="false">IF(B9832="","",IF(MATCH(B9832,$B$2:$B$12000,0)=ROW()-1,1,0))</f>
        <v/>
      </c>
    </row>
    <row r="9833" customFormat="false" ht="15" hidden="false" customHeight="false" outlineLevel="0" collapsed="false">
      <c r="V9833" s="23" t="str">
        <f aca="false">IF(ISNUMBER(C9833),YEAR(C9833),"")</f>
        <v/>
      </c>
      <c r="W9833" s="23" t="str">
        <f aca="false">IF(ISNUMBER(C9833),MONTH(C9833),"")</f>
        <v/>
      </c>
      <c r="X9833" s="23" t="str">
        <f aca="false">IF(T9833="","",IF(T9833=0,"No discount",IF(T9833&lt;=0.2,"Low (1-20%)",IF(T9833&lt;=0.4,"Medium (21-40%)","High (&gt;40%)"))))</f>
        <v/>
      </c>
      <c r="Y9833" s="23" t="str">
        <f aca="false">IF(AND(ISNUMBER(C9833),ISNUMBER(D9833)),D9833-C9833,"")</f>
        <v/>
      </c>
      <c r="Z9833" s="23" t="str">
        <f aca="false">IF(B9833="","",IF(MATCH(B9833,$B$2:$B$12000,0)=ROW()-1,1,0))</f>
        <v/>
      </c>
    </row>
    <row r="9834" customFormat="false" ht="15" hidden="false" customHeight="false" outlineLevel="0" collapsed="false">
      <c r="V9834" s="23" t="str">
        <f aca="false">IF(ISNUMBER(C9834),YEAR(C9834),"")</f>
        <v/>
      </c>
      <c r="W9834" s="23" t="str">
        <f aca="false">IF(ISNUMBER(C9834),MONTH(C9834),"")</f>
        <v/>
      </c>
      <c r="X9834" s="23" t="str">
        <f aca="false">IF(T9834="","",IF(T9834=0,"No discount",IF(T9834&lt;=0.2,"Low (1-20%)",IF(T9834&lt;=0.4,"Medium (21-40%)","High (&gt;40%)"))))</f>
        <v/>
      </c>
      <c r="Y9834" s="23" t="str">
        <f aca="false">IF(AND(ISNUMBER(C9834),ISNUMBER(D9834)),D9834-C9834,"")</f>
        <v/>
      </c>
      <c r="Z9834" s="23" t="str">
        <f aca="false">IF(B9834="","",IF(MATCH(B9834,$B$2:$B$12000,0)=ROW()-1,1,0))</f>
        <v/>
      </c>
    </row>
    <row r="9835" customFormat="false" ht="15" hidden="false" customHeight="false" outlineLevel="0" collapsed="false">
      <c r="V9835" s="23" t="str">
        <f aca="false">IF(ISNUMBER(C9835),YEAR(C9835),"")</f>
        <v/>
      </c>
      <c r="W9835" s="23" t="str">
        <f aca="false">IF(ISNUMBER(C9835),MONTH(C9835),"")</f>
        <v/>
      </c>
      <c r="X9835" s="23" t="str">
        <f aca="false">IF(T9835="","",IF(T9835=0,"No discount",IF(T9835&lt;=0.2,"Low (1-20%)",IF(T9835&lt;=0.4,"Medium (21-40%)","High (&gt;40%)"))))</f>
        <v/>
      </c>
      <c r="Y9835" s="23" t="str">
        <f aca="false">IF(AND(ISNUMBER(C9835),ISNUMBER(D9835)),D9835-C9835,"")</f>
        <v/>
      </c>
      <c r="Z9835" s="23" t="str">
        <f aca="false">IF(B9835="","",IF(MATCH(B9835,$B$2:$B$12000,0)=ROW()-1,1,0))</f>
        <v/>
      </c>
    </row>
    <row r="9836" customFormat="false" ht="15" hidden="false" customHeight="false" outlineLevel="0" collapsed="false">
      <c r="V9836" s="23" t="str">
        <f aca="false">IF(ISNUMBER(C9836),YEAR(C9836),"")</f>
        <v/>
      </c>
      <c r="W9836" s="23" t="str">
        <f aca="false">IF(ISNUMBER(C9836),MONTH(C9836),"")</f>
        <v/>
      </c>
      <c r="X9836" s="23" t="str">
        <f aca="false">IF(T9836="","",IF(T9836=0,"No discount",IF(T9836&lt;=0.2,"Low (1-20%)",IF(T9836&lt;=0.4,"Medium (21-40%)","High (&gt;40%)"))))</f>
        <v/>
      </c>
      <c r="Y9836" s="23" t="str">
        <f aca="false">IF(AND(ISNUMBER(C9836),ISNUMBER(D9836)),D9836-C9836,"")</f>
        <v/>
      </c>
      <c r="Z9836" s="23" t="str">
        <f aca="false">IF(B9836="","",IF(MATCH(B9836,$B$2:$B$12000,0)=ROW()-1,1,0))</f>
        <v/>
      </c>
    </row>
    <row r="9837" customFormat="false" ht="15" hidden="false" customHeight="false" outlineLevel="0" collapsed="false">
      <c r="V9837" s="23" t="str">
        <f aca="false">IF(ISNUMBER(C9837),YEAR(C9837),"")</f>
        <v/>
      </c>
      <c r="W9837" s="23" t="str">
        <f aca="false">IF(ISNUMBER(C9837),MONTH(C9837),"")</f>
        <v/>
      </c>
      <c r="X9837" s="23" t="str">
        <f aca="false">IF(T9837="","",IF(T9837=0,"No discount",IF(T9837&lt;=0.2,"Low (1-20%)",IF(T9837&lt;=0.4,"Medium (21-40%)","High (&gt;40%)"))))</f>
        <v/>
      </c>
      <c r="Y9837" s="23" t="str">
        <f aca="false">IF(AND(ISNUMBER(C9837),ISNUMBER(D9837)),D9837-C9837,"")</f>
        <v/>
      </c>
      <c r="Z9837" s="23" t="str">
        <f aca="false">IF(B9837="","",IF(MATCH(B9837,$B$2:$B$12000,0)=ROW()-1,1,0))</f>
        <v/>
      </c>
    </row>
    <row r="9838" customFormat="false" ht="15" hidden="false" customHeight="false" outlineLevel="0" collapsed="false">
      <c r="V9838" s="23" t="str">
        <f aca="false">IF(ISNUMBER(C9838),YEAR(C9838),"")</f>
        <v/>
      </c>
      <c r="W9838" s="23" t="str">
        <f aca="false">IF(ISNUMBER(C9838),MONTH(C9838),"")</f>
        <v/>
      </c>
      <c r="X9838" s="23" t="str">
        <f aca="false">IF(T9838="","",IF(T9838=0,"No discount",IF(T9838&lt;=0.2,"Low (1-20%)",IF(T9838&lt;=0.4,"Medium (21-40%)","High (&gt;40%)"))))</f>
        <v/>
      </c>
      <c r="Y9838" s="23" t="str">
        <f aca="false">IF(AND(ISNUMBER(C9838),ISNUMBER(D9838)),D9838-C9838,"")</f>
        <v/>
      </c>
      <c r="Z9838" s="23" t="str">
        <f aca="false">IF(B9838="","",IF(MATCH(B9838,$B$2:$B$12000,0)=ROW()-1,1,0))</f>
        <v/>
      </c>
    </row>
    <row r="9839" customFormat="false" ht="15" hidden="false" customHeight="false" outlineLevel="0" collapsed="false">
      <c r="V9839" s="23" t="str">
        <f aca="false">IF(ISNUMBER(C9839),YEAR(C9839),"")</f>
        <v/>
      </c>
      <c r="W9839" s="23" t="str">
        <f aca="false">IF(ISNUMBER(C9839),MONTH(C9839),"")</f>
        <v/>
      </c>
      <c r="X9839" s="23" t="str">
        <f aca="false">IF(T9839="","",IF(T9839=0,"No discount",IF(T9839&lt;=0.2,"Low (1-20%)",IF(T9839&lt;=0.4,"Medium (21-40%)","High (&gt;40%)"))))</f>
        <v/>
      </c>
      <c r="Y9839" s="23" t="str">
        <f aca="false">IF(AND(ISNUMBER(C9839),ISNUMBER(D9839)),D9839-C9839,"")</f>
        <v/>
      </c>
      <c r="Z9839" s="23" t="str">
        <f aca="false">IF(B9839="","",IF(MATCH(B9839,$B$2:$B$12000,0)=ROW()-1,1,0))</f>
        <v/>
      </c>
    </row>
    <row r="9840" customFormat="false" ht="15" hidden="false" customHeight="false" outlineLevel="0" collapsed="false">
      <c r="V9840" s="23" t="str">
        <f aca="false">IF(ISNUMBER(C9840),YEAR(C9840),"")</f>
        <v/>
      </c>
      <c r="W9840" s="23" t="str">
        <f aca="false">IF(ISNUMBER(C9840),MONTH(C9840),"")</f>
        <v/>
      </c>
      <c r="X9840" s="23" t="str">
        <f aca="false">IF(T9840="","",IF(T9840=0,"No discount",IF(T9840&lt;=0.2,"Low (1-20%)",IF(T9840&lt;=0.4,"Medium (21-40%)","High (&gt;40%)"))))</f>
        <v/>
      </c>
      <c r="Y9840" s="23" t="str">
        <f aca="false">IF(AND(ISNUMBER(C9840),ISNUMBER(D9840)),D9840-C9840,"")</f>
        <v/>
      </c>
      <c r="Z9840" s="23" t="str">
        <f aca="false">IF(B9840="","",IF(MATCH(B9840,$B$2:$B$12000,0)=ROW()-1,1,0))</f>
        <v/>
      </c>
    </row>
    <row r="9841" customFormat="false" ht="15" hidden="false" customHeight="false" outlineLevel="0" collapsed="false">
      <c r="V9841" s="23" t="str">
        <f aca="false">IF(ISNUMBER(C9841),YEAR(C9841),"")</f>
        <v/>
      </c>
      <c r="W9841" s="23" t="str">
        <f aca="false">IF(ISNUMBER(C9841),MONTH(C9841),"")</f>
        <v/>
      </c>
      <c r="X9841" s="23" t="str">
        <f aca="false">IF(T9841="","",IF(T9841=0,"No discount",IF(T9841&lt;=0.2,"Low (1-20%)",IF(T9841&lt;=0.4,"Medium (21-40%)","High (&gt;40%)"))))</f>
        <v/>
      </c>
      <c r="Y9841" s="23" t="str">
        <f aca="false">IF(AND(ISNUMBER(C9841),ISNUMBER(D9841)),D9841-C9841,"")</f>
        <v/>
      </c>
      <c r="Z9841" s="23" t="str">
        <f aca="false">IF(B9841="","",IF(MATCH(B9841,$B$2:$B$12000,0)=ROW()-1,1,0))</f>
        <v/>
      </c>
    </row>
    <row r="9842" customFormat="false" ht="15" hidden="false" customHeight="false" outlineLevel="0" collapsed="false">
      <c r="V9842" s="23" t="str">
        <f aca="false">IF(ISNUMBER(C9842),YEAR(C9842),"")</f>
        <v/>
      </c>
      <c r="W9842" s="23" t="str">
        <f aca="false">IF(ISNUMBER(C9842),MONTH(C9842),"")</f>
        <v/>
      </c>
      <c r="X9842" s="23" t="str">
        <f aca="false">IF(T9842="","",IF(T9842=0,"No discount",IF(T9842&lt;=0.2,"Low (1-20%)",IF(T9842&lt;=0.4,"Medium (21-40%)","High (&gt;40%)"))))</f>
        <v/>
      </c>
      <c r="Y9842" s="23" t="str">
        <f aca="false">IF(AND(ISNUMBER(C9842),ISNUMBER(D9842)),D9842-C9842,"")</f>
        <v/>
      </c>
      <c r="Z9842" s="23" t="str">
        <f aca="false">IF(B9842="","",IF(MATCH(B9842,$B$2:$B$12000,0)=ROW()-1,1,0))</f>
        <v/>
      </c>
    </row>
    <row r="9843" customFormat="false" ht="15" hidden="false" customHeight="false" outlineLevel="0" collapsed="false">
      <c r="V9843" s="23" t="str">
        <f aca="false">IF(ISNUMBER(C9843),YEAR(C9843),"")</f>
        <v/>
      </c>
      <c r="W9843" s="23" t="str">
        <f aca="false">IF(ISNUMBER(C9843),MONTH(C9843),"")</f>
        <v/>
      </c>
      <c r="X9843" s="23" t="str">
        <f aca="false">IF(T9843="","",IF(T9843=0,"No discount",IF(T9843&lt;=0.2,"Low (1-20%)",IF(T9843&lt;=0.4,"Medium (21-40%)","High (&gt;40%)"))))</f>
        <v/>
      </c>
      <c r="Y9843" s="23" t="str">
        <f aca="false">IF(AND(ISNUMBER(C9843),ISNUMBER(D9843)),D9843-C9843,"")</f>
        <v/>
      </c>
      <c r="Z9843" s="23" t="str">
        <f aca="false">IF(B9843="","",IF(MATCH(B9843,$B$2:$B$12000,0)=ROW()-1,1,0))</f>
        <v/>
      </c>
    </row>
    <row r="9844" customFormat="false" ht="15" hidden="false" customHeight="false" outlineLevel="0" collapsed="false">
      <c r="V9844" s="23" t="str">
        <f aca="false">IF(ISNUMBER(C9844),YEAR(C9844),"")</f>
        <v/>
      </c>
      <c r="W9844" s="23" t="str">
        <f aca="false">IF(ISNUMBER(C9844),MONTH(C9844),"")</f>
        <v/>
      </c>
      <c r="X9844" s="23" t="str">
        <f aca="false">IF(T9844="","",IF(T9844=0,"No discount",IF(T9844&lt;=0.2,"Low (1-20%)",IF(T9844&lt;=0.4,"Medium (21-40%)","High (&gt;40%)"))))</f>
        <v/>
      </c>
      <c r="Y9844" s="23" t="str">
        <f aca="false">IF(AND(ISNUMBER(C9844),ISNUMBER(D9844)),D9844-C9844,"")</f>
        <v/>
      </c>
      <c r="Z9844" s="23" t="str">
        <f aca="false">IF(B9844="","",IF(MATCH(B9844,$B$2:$B$12000,0)=ROW()-1,1,0))</f>
        <v/>
      </c>
    </row>
    <row r="9845" customFormat="false" ht="15" hidden="false" customHeight="false" outlineLevel="0" collapsed="false">
      <c r="V9845" s="23" t="str">
        <f aca="false">IF(ISNUMBER(C9845),YEAR(C9845),"")</f>
        <v/>
      </c>
      <c r="W9845" s="23" t="str">
        <f aca="false">IF(ISNUMBER(C9845),MONTH(C9845),"")</f>
        <v/>
      </c>
      <c r="X9845" s="23" t="str">
        <f aca="false">IF(T9845="","",IF(T9845=0,"No discount",IF(T9845&lt;=0.2,"Low (1-20%)",IF(T9845&lt;=0.4,"Medium (21-40%)","High (&gt;40%)"))))</f>
        <v/>
      </c>
      <c r="Y9845" s="23" t="str">
        <f aca="false">IF(AND(ISNUMBER(C9845),ISNUMBER(D9845)),D9845-C9845,"")</f>
        <v/>
      </c>
      <c r="Z9845" s="23" t="str">
        <f aca="false">IF(B9845="","",IF(MATCH(B9845,$B$2:$B$12000,0)=ROW()-1,1,0))</f>
        <v/>
      </c>
    </row>
    <row r="9846" customFormat="false" ht="15" hidden="false" customHeight="false" outlineLevel="0" collapsed="false">
      <c r="V9846" s="23" t="str">
        <f aca="false">IF(ISNUMBER(C9846),YEAR(C9846),"")</f>
        <v/>
      </c>
      <c r="W9846" s="23" t="str">
        <f aca="false">IF(ISNUMBER(C9846),MONTH(C9846),"")</f>
        <v/>
      </c>
      <c r="X9846" s="23" t="str">
        <f aca="false">IF(T9846="","",IF(T9846=0,"No discount",IF(T9846&lt;=0.2,"Low (1-20%)",IF(T9846&lt;=0.4,"Medium (21-40%)","High (&gt;40%)"))))</f>
        <v/>
      </c>
      <c r="Y9846" s="23" t="str">
        <f aca="false">IF(AND(ISNUMBER(C9846),ISNUMBER(D9846)),D9846-C9846,"")</f>
        <v/>
      </c>
      <c r="Z9846" s="23" t="str">
        <f aca="false">IF(B9846="","",IF(MATCH(B9846,$B$2:$B$12000,0)=ROW()-1,1,0))</f>
        <v/>
      </c>
    </row>
    <row r="9847" customFormat="false" ht="15" hidden="false" customHeight="false" outlineLevel="0" collapsed="false">
      <c r="V9847" s="23" t="str">
        <f aca="false">IF(ISNUMBER(C9847),YEAR(C9847),"")</f>
        <v/>
      </c>
      <c r="W9847" s="23" t="str">
        <f aca="false">IF(ISNUMBER(C9847),MONTH(C9847),"")</f>
        <v/>
      </c>
      <c r="X9847" s="23" t="str">
        <f aca="false">IF(T9847="","",IF(T9847=0,"No discount",IF(T9847&lt;=0.2,"Low (1-20%)",IF(T9847&lt;=0.4,"Medium (21-40%)","High (&gt;40%)"))))</f>
        <v/>
      </c>
      <c r="Y9847" s="23" t="str">
        <f aca="false">IF(AND(ISNUMBER(C9847),ISNUMBER(D9847)),D9847-C9847,"")</f>
        <v/>
      </c>
      <c r="Z9847" s="23" t="str">
        <f aca="false">IF(B9847="","",IF(MATCH(B9847,$B$2:$B$12000,0)=ROW()-1,1,0))</f>
        <v/>
      </c>
    </row>
    <row r="9848" customFormat="false" ht="15" hidden="false" customHeight="false" outlineLevel="0" collapsed="false">
      <c r="V9848" s="23" t="str">
        <f aca="false">IF(ISNUMBER(C9848),YEAR(C9848),"")</f>
        <v/>
      </c>
      <c r="W9848" s="23" t="str">
        <f aca="false">IF(ISNUMBER(C9848),MONTH(C9848),"")</f>
        <v/>
      </c>
      <c r="X9848" s="23" t="str">
        <f aca="false">IF(T9848="","",IF(T9848=0,"No discount",IF(T9848&lt;=0.2,"Low (1-20%)",IF(T9848&lt;=0.4,"Medium (21-40%)","High (&gt;40%)"))))</f>
        <v/>
      </c>
      <c r="Y9848" s="23" t="str">
        <f aca="false">IF(AND(ISNUMBER(C9848),ISNUMBER(D9848)),D9848-C9848,"")</f>
        <v/>
      </c>
      <c r="Z9848" s="23" t="str">
        <f aca="false">IF(B9848="","",IF(MATCH(B9848,$B$2:$B$12000,0)=ROW()-1,1,0))</f>
        <v/>
      </c>
    </row>
    <row r="9849" customFormat="false" ht="15" hidden="false" customHeight="false" outlineLevel="0" collapsed="false">
      <c r="V9849" s="23" t="str">
        <f aca="false">IF(ISNUMBER(C9849),YEAR(C9849),"")</f>
        <v/>
      </c>
      <c r="W9849" s="23" t="str">
        <f aca="false">IF(ISNUMBER(C9849),MONTH(C9849),"")</f>
        <v/>
      </c>
      <c r="X9849" s="23" t="str">
        <f aca="false">IF(T9849="","",IF(T9849=0,"No discount",IF(T9849&lt;=0.2,"Low (1-20%)",IF(T9849&lt;=0.4,"Medium (21-40%)","High (&gt;40%)"))))</f>
        <v/>
      </c>
      <c r="Y9849" s="23" t="str">
        <f aca="false">IF(AND(ISNUMBER(C9849),ISNUMBER(D9849)),D9849-C9849,"")</f>
        <v/>
      </c>
      <c r="Z9849" s="23" t="str">
        <f aca="false">IF(B9849="","",IF(MATCH(B9849,$B$2:$B$12000,0)=ROW()-1,1,0))</f>
        <v/>
      </c>
    </row>
    <row r="9850" customFormat="false" ht="15" hidden="false" customHeight="false" outlineLevel="0" collapsed="false">
      <c r="V9850" s="23" t="str">
        <f aca="false">IF(ISNUMBER(C9850),YEAR(C9850),"")</f>
        <v/>
      </c>
      <c r="W9850" s="23" t="str">
        <f aca="false">IF(ISNUMBER(C9850),MONTH(C9850),"")</f>
        <v/>
      </c>
      <c r="X9850" s="23" t="str">
        <f aca="false">IF(T9850="","",IF(T9850=0,"No discount",IF(T9850&lt;=0.2,"Low (1-20%)",IF(T9850&lt;=0.4,"Medium (21-40%)","High (&gt;40%)"))))</f>
        <v/>
      </c>
      <c r="Y9850" s="23" t="str">
        <f aca="false">IF(AND(ISNUMBER(C9850),ISNUMBER(D9850)),D9850-C9850,"")</f>
        <v/>
      </c>
      <c r="Z9850" s="23" t="str">
        <f aca="false">IF(B9850="","",IF(MATCH(B9850,$B$2:$B$12000,0)=ROW()-1,1,0))</f>
        <v/>
      </c>
    </row>
    <row r="9851" customFormat="false" ht="15" hidden="false" customHeight="false" outlineLevel="0" collapsed="false">
      <c r="V9851" s="23" t="str">
        <f aca="false">IF(ISNUMBER(C9851),YEAR(C9851),"")</f>
        <v/>
      </c>
      <c r="W9851" s="23" t="str">
        <f aca="false">IF(ISNUMBER(C9851),MONTH(C9851),"")</f>
        <v/>
      </c>
      <c r="X9851" s="23" t="str">
        <f aca="false">IF(T9851="","",IF(T9851=0,"No discount",IF(T9851&lt;=0.2,"Low (1-20%)",IF(T9851&lt;=0.4,"Medium (21-40%)","High (&gt;40%)"))))</f>
        <v/>
      </c>
      <c r="Y9851" s="23" t="str">
        <f aca="false">IF(AND(ISNUMBER(C9851),ISNUMBER(D9851)),D9851-C9851,"")</f>
        <v/>
      </c>
      <c r="Z9851" s="23" t="str">
        <f aca="false">IF(B9851="","",IF(MATCH(B9851,$B$2:$B$12000,0)=ROW()-1,1,0))</f>
        <v/>
      </c>
    </row>
    <row r="9852" customFormat="false" ht="15" hidden="false" customHeight="false" outlineLevel="0" collapsed="false">
      <c r="V9852" s="23" t="str">
        <f aca="false">IF(ISNUMBER(C9852),YEAR(C9852),"")</f>
        <v/>
      </c>
      <c r="W9852" s="23" t="str">
        <f aca="false">IF(ISNUMBER(C9852),MONTH(C9852),"")</f>
        <v/>
      </c>
      <c r="X9852" s="23" t="str">
        <f aca="false">IF(T9852="","",IF(T9852=0,"No discount",IF(T9852&lt;=0.2,"Low (1-20%)",IF(T9852&lt;=0.4,"Medium (21-40%)","High (&gt;40%)"))))</f>
        <v/>
      </c>
      <c r="Y9852" s="23" t="str">
        <f aca="false">IF(AND(ISNUMBER(C9852),ISNUMBER(D9852)),D9852-C9852,"")</f>
        <v/>
      </c>
      <c r="Z9852" s="23" t="str">
        <f aca="false">IF(B9852="","",IF(MATCH(B9852,$B$2:$B$12000,0)=ROW()-1,1,0))</f>
        <v/>
      </c>
    </row>
    <row r="9853" customFormat="false" ht="15" hidden="false" customHeight="false" outlineLevel="0" collapsed="false">
      <c r="V9853" s="23" t="str">
        <f aca="false">IF(ISNUMBER(C9853),YEAR(C9853),"")</f>
        <v/>
      </c>
      <c r="W9853" s="23" t="str">
        <f aca="false">IF(ISNUMBER(C9853),MONTH(C9853),"")</f>
        <v/>
      </c>
      <c r="X9853" s="23" t="str">
        <f aca="false">IF(T9853="","",IF(T9853=0,"No discount",IF(T9853&lt;=0.2,"Low (1-20%)",IF(T9853&lt;=0.4,"Medium (21-40%)","High (&gt;40%)"))))</f>
        <v/>
      </c>
      <c r="Y9853" s="23" t="str">
        <f aca="false">IF(AND(ISNUMBER(C9853),ISNUMBER(D9853)),D9853-C9853,"")</f>
        <v/>
      </c>
      <c r="Z9853" s="23" t="str">
        <f aca="false">IF(B9853="","",IF(MATCH(B9853,$B$2:$B$12000,0)=ROW()-1,1,0))</f>
        <v/>
      </c>
    </row>
    <row r="9854" customFormat="false" ht="15" hidden="false" customHeight="false" outlineLevel="0" collapsed="false">
      <c r="V9854" s="23" t="str">
        <f aca="false">IF(ISNUMBER(C9854),YEAR(C9854),"")</f>
        <v/>
      </c>
      <c r="W9854" s="23" t="str">
        <f aca="false">IF(ISNUMBER(C9854),MONTH(C9854),"")</f>
        <v/>
      </c>
      <c r="X9854" s="23" t="str">
        <f aca="false">IF(T9854="","",IF(T9854=0,"No discount",IF(T9854&lt;=0.2,"Low (1-20%)",IF(T9854&lt;=0.4,"Medium (21-40%)","High (&gt;40%)"))))</f>
        <v/>
      </c>
      <c r="Y9854" s="23" t="str">
        <f aca="false">IF(AND(ISNUMBER(C9854),ISNUMBER(D9854)),D9854-C9854,"")</f>
        <v/>
      </c>
      <c r="Z9854" s="23" t="str">
        <f aca="false">IF(B9854="","",IF(MATCH(B9854,$B$2:$B$12000,0)=ROW()-1,1,0))</f>
        <v/>
      </c>
    </row>
    <row r="9855" customFormat="false" ht="15" hidden="false" customHeight="false" outlineLevel="0" collapsed="false">
      <c r="V9855" s="23" t="str">
        <f aca="false">IF(ISNUMBER(C9855),YEAR(C9855),"")</f>
        <v/>
      </c>
      <c r="W9855" s="23" t="str">
        <f aca="false">IF(ISNUMBER(C9855),MONTH(C9855),"")</f>
        <v/>
      </c>
      <c r="X9855" s="23" t="str">
        <f aca="false">IF(T9855="","",IF(T9855=0,"No discount",IF(T9855&lt;=0.2,"Low (1-20%)",IF(T9855&lt;=0.4,"Medium (21-40%)","High (&gt;40%)"))))</f>
        <v/>
      </c>
      <c r="Y9855" s="23" t="str">
        <f aca="false">IF(AND(ISNUMBER(C9855),ISNUMBER(D9855)),D9855-C9855,"")</f>
        <v/>
      </c>
      <c r="Z9855" s="23" t="str">
        <f aca="false">IF(B9855="","",IF(MATCH(B9855,$B$2:$B$12000,0)=ROW()-1,1,0))</f>
        <v/>
      </c>
    </row>
    <row r="9856" customFormat="false" ht="15" hidden="false" customHeight="false" outlineLevel="0" collapsed="false">
      <c r="V9856" s="23" t="str">
        <f aca="false">IF(ISNUMBER(C9856),YEAR(C9856),"")</f>
        <v/>
      </c>
      <c r="W9856" s="23" t="str">
        <f aca="false">IF(ISNUMBER(C9856),MONTH(C9856),"")</f>
        <v/>
      </c>
      <c r="X9856" s="23" t="str">
        <f aca="false">IF(T9856="","",IF(T9856=0,"No discount",IF(T9856&lt;=0.2,"Low (1-20%)",IF(T9856&lt;=0.4,"Medium (21-40%)","High (&gt;40%)"))))</f>
        <v/>
      </c>
      <c r="Y9856" s="23" t="str">
        <f aca="false">IF(AND(ISNUMBER(C9856),ISNUMBER(D9856)),D9856-C9856,"")</f>
        <v/>
      </c>
      <c r="Z9856" s="23" t="str">
        <f aca="false">IF(B9856="","",IF(MATCH(B9856,$B$2:$B$12000,0)=ROW()-1,1,0))</f>
        <v/>
      </c>
    </row>
    <row r="9857" customFormat="false" ht="15" hidden="false" customHeight="false" outlineLevel="0" collapsed="false">
      <c r="V9857" s="23" t="str">
        <f aca="false">IF(ISNUMBER(C9857),YEAR(C9857),"")</f>
        <v/>
      </c>
      <c r="W9857" s="23" t="str">
        <f aca="false">IF(ISNUMBER(C9857),MONTH(C9857),"")</f>
        <v/>
      </c>
      <c r="X9857" s="23" t="str">
        <f aca="false">IF(T9857="","",IF(T9857=0,"No discount",IF(T9857&lt;=0.2,"Low (1-20%)",IF(T9857&lt;=0.4,"Medium (21-40%)","High (&gt;40%)"))))</f>
        <v/>
      </c>
      <c r="Y9857" s="23" t="str">
        <f aca="false">IF(AND(ISNUMBER(C9857),ISNUMBER(D9857)),D9857-C9857,"")</f>
        <v/>
      </c>
      <c r="Z9857" s="23" t="str">
        <f aca="false">IF(B9857="","",IF(MATCH(B9857,$B$2:$B$12000,0)=ROW()-1,1,0))</f>
        <v/>
      </c>
    </row>
    <row r="9858" customFormat="false" ht="15" hidden="false" customHeight="false" outlineLevel="0" collapsed="false">
      <c r="V9858" s="23" t="str">
        <f aca="false">IF(ISNUMBER(C9858),YEAR(C9858),"")</f>
        <v/>
      </c>
      <c r="W9858" s="23" t="str">
        <f aca="false">IF(ISNUMBER(C9858),MONTH(C9858),"")</f>
        <v/>
      </c>
      <c r="X9858" s="23" t="str">
        <f aca="false">IF(T9858="","",IF(T9858=0,"No discount",IF(T9858&lt;=0.2,"Low (1-20%)",IF(T9858&lt;=0.4,"Medium (21-40%)","High (&gt;40%)"))))</f>
        <v/>
      </c>
      <c r="Y9858" s="23" t="str">
        <f aca="false">IF(AND(ISNUMBER(C9858),ISNUMBER(D9858)),D9858-C9858,"")</f>
        <v/>
      </c>
      <c r="Z9858" s="23" t="str">
        <f aca="false">IF(B9858="","",IF(MATCH(B9858,$B$2:$B$12000,0)=ROW()-1,1,0))</f>
        <v/>
      </c>
    </row>
    <row r="9859" customFormat="false" ht="15" hidden="false" customHeight="false" outlineLevel="0" collapsed="false">
      <c r="V9859" s="23" t="str">
        <f aca="false">IF(ISNUMBER(C9859),YEAR(C9859),"")</f>
        <v/>
      </c>
      <c r="W9859" s="23" t="str">
        <f aca="false">IF(ISNUMBER(C9859),MONTH(C9859),"")</f>
        <v/>
      </c>
      <c r="X9859" s="23" t="str">
        <f aca="false">IF(T9859="","",IF(T9859=0,"No discount",IF(T9859&lt;=0.2,"Low (1-20%)",IF(T9859&lt;=0.4,"Medium (21-40%)","High (&gt;40%)"))))</f>
        <v/>
      </c>
      <c r="Y9859" s="23" t="str">
        <f aca="false">IF(AND(ISNUMBER(C9859),ISNUMBER(D9859)),D9859-C9859,"")</f>
        <v/>
      </c>
      <c r="Z9859" s="23" t="str">
        <f aca="false">IF(B9859="","",IF(MATCH(B9859,$B$2:$B$12000,0)=ROW()-1,1,0))</f>
        <v/>
      </c>
    </row>
    <row r="9860" customFormat="false" ht="15" hidden="false" customHeight="false" outlineLevel="0" collapsed="false">
      <c r="V9860" s="23" t="str">
        <f aca="false">IF(ISNUMBER(C9860),YEAR(C9860),"")</f>
        <v/>
      </c>
      <c r="W9860" s="23" t="str">
        <f aca="false">IF(ISNUMBER(C9860),MONTH(C9860),"")</f>
        <v/>
      </c>
      <c r="X9860" s="23" t="str">
        <f aca="false">IF(T9860="","",IF(T9860=0,"No discount",IF(T9860&lt;=0.2,"Low (1-20%)",IF(T9860&lt;=0.4,"Medium (21-40%)","High (&gt;40%)"))))</f>
        <v/>
      </c>
      <c r="Y9860" s="23" t="str">
        <f aca="false">IF(AND(ISNUMBER(C9860),ISNUMBER(D9860)),D9860-C9860,"")</f>
        <v/>
      </c>
      <c r="Z9860" s="23" t="str">
        <f aca="false">IF(B9860="","",IF(MATCH(B9860,$B$2:$B$12000,0)=ROW()-1,1,0))</f>
        <v/>
      </c>
    </row>
    <row r="9861" customFormat="false" ht="15" hidden="false" customHeight="false" outlineLevel="0" collapsed="false">
      <c r="V9861" s="23" t="str">
        <f aca="false">IF(ISNUMBER(C9861),YEAR(C9861),"")</f>
        <v/>
      </c>
      <c r="W9861" s="23" t="str">
        <f aca="false">IF(ISNUMBER(C9861),MONTH(C9861),"")</f>
        <v/>
      </c>
      <c r="X9861" s="23" t="str">
        <f aca="false">IF(T9861="","",IF(T9861=0,"No discount",IF(T9861&lt;=0.2,"Low (1-20%)",IF(T9861&lt;=0.4,"Medium (21-40%)","High (&gt;40%)"))))</f>
        <v/>
      </c>
      <c r="Y9861" s="23" t="str">
        <f aca="false">IF(AND(ISNUMBER(C9861),ISNUMBER(D9861)),D9861-C9861,"")</f>
        <v/>
      </c>
      <c r="Z9861" s="23" t="str">
        <f aca="false">IF(B9861="","",IF(MATCH(B9861,$B$2:$B$12000,0)=ROW()-1,1,0))</f>
        <v/>
      </c>
    </row>
    <row r="9862" customFormat="false" ht="15" hidden="false" customHeight="false" outlineLevel="0" collapsed="false">
      <c r="V9862" s="23" t="str">
        <f aca="false">IF(ISNUMBER(C9862),YEAR(C9862),"")</f>
        <v/>
      </c>
      <c r="W9862" s="23" t="str">
        <f aca="false">IF(ISNUMBER(C9862),MONTH(C9862),"")</f>
        <v/>
      </c>
      <c r="X9862" s="23" t="str">
        <f aca="false">IF(T9862="","",IF(T9862=0,"No discount",IF(T9862&lt;=0.2,"Low (1-20%)",IF(T9862&lt;=0.4,"Medium (21-40%)","High (&gt;40%)"))))</f>
        <v/>
      </c>
      <c r="Y9862" s="23" t="str">
        <f aca="false">IF(AND(ISNUMBER(C9862),ISNUMBER(D9862)),D9862-C9862,"")</f>
        <v/>
      </c>
      <c r="Z9862" s="23" t="str">
        <f aca="false">IF(B9862="","",IF(MATCH(B9862,$B$2:$B$12000,0)=ROW()-1,1,0))</f>
        <v/>
      </c>
    </row>
    <row r="9863" customFormat="false" ht="15" hidden="false" customHeight="false" outlineLevel="0" collapsed="false">
      <c r="V9863" s="23" t="str">
        <f aca="false">IF(ISNUMBER(C9863),YEAR(C9863),"")</f>
        <v/>
      </c>
      <c r="W9863" s="23" t="str">
        <f aca="false">IF(ISNUMBER(C9863),MONTH(C9863),"")</f>
        <v/>
      </c>
      <c r="X9863" s="23" t="str">
        <f aca="false">IF(T9863="","",IF(T9863=0,"No discount",IF(T9863&lt;=0.2,"Low (1-20%)",IF(T9863&lt;=0.4,"Medium (21-40%)","High (&gt;40%)"))))</f>
        <v/>
      </c>
      <c r="Y9863" s="23" t="str">
        <f aca="false">IF(AND(ISNUMBER(C9863),ISNUMBER(D9863)),D9863-C9863,"")</f>
        <v/>
      </c>
      <c r="Z9863" s="23" t="str">
        <f aca="false">IF(B9863="","",IF(MATCH(B9863,$B$2:$B$12000,0)=ROW()-1,1,0))</f>
        <v/>
      </c>
    </row>
    <row r="9864" customFormat="false" ht="15" hidden="false" customHeight="false" outlineLevel="0" collapsed="false">
      <c r="V9864" s="23" t="str">
        <f aca="false">IF(ISNUMBER(C9864),YEAR(C9864),"")</f>
        <v/>
      </c>
      <c r="W9864" s="23" t="str">
        <f aca="false">IF(ISNUMBER(C9864),MONTH(C9864),"")</f>
        <v/>
      </c>
      <c r="X9864" s="23" t="str">
        <f aca="false">IF(T9864="","",IF(T9864=0,"No discount",IF(T9864&lt;=0.2,"Low (1-20%)",IF(T9864&lt;=0.4,"Medium (21-40%)","High (&gt;40%)"))))</f>
        <v/>
      </c>
      <c r="Y9864" s="23" t="str">
        <f aca="false">IF(AND(ISNUMBER(C9864),ISNUMBER(D9864)),D9864-C9864,"")</f>
        <v/>
      </c>
      <c r="Z9864" s="23" t="str">
        <f aca="false">IF(B9864="","",IF(MATCH(B9864,$B$2:$B$12000,0)=ROW()-1,1,0))</f>
        <v/>
      </c>
    </row>
    <row r="9865" customFormat="false" ht="15" hidden="false" customHeight="false" outlineLevel="0" collapsed="false">
      <c r="V9865" s="23" t="str">
        <f aca="false">IF(ISNUMBER(C9865),YEAR(C9865),"")</f>
        <v/>
      </c>
      <c r="W9865" s="23" t="str">
        <f aca="false">IF(ISNUMBER(C9865),MONTH(C9865),"")</f>
        <v/>
      </c>
      <c r="X9865" s="23" t="str">
        <f aca="false">IF(T9865="","",IF(T9865=0,"No discount",IF(T9865&lt;=0.2,"Low (1-20%)",IF(T9865&lt;=0.4,"Medium (21-40%)","High (&gt;40%)"))))</f>
        <v/>
      </c>
      <c r="Y9865" s="23" t="str">
        <f aca="false">IF(AND(ISNUMBER(C9865),ISNUMBER(D9865)),D9865-C9865,"")</f>
        <v/>
      </c>
      <c r="Z9865" s="23" t="str">
        <f aca="false">IF(B9865="","",IF(MATCH(B9865,$B$2:$B$12000,0)=ROW()-1,1,0))</f>
        <v/>
      </c>
    </row>
    <row r="9866" customFormat="false" ht="15" hidden="false" customHeight="false" outlineLevel="0" collapsed="false">
      <c r="V9866" s="23" t="str">
        <f aca="false">IF(ISNUMBER(C9866),YEAR(C9866),"")</f>
        <v/>
      </c>
      <c r="W9866" s="23" t="str">
        <f aca="false">IF(ISNUMBER(C9866),MONTH(C9866),"")</f>
        <v/>
      </c>
      <c r="X9866" s="23" t="str">
        <f aca="false">IF(T9866="","",IF(T9866=0,"No discount",IF(T9866&lt;=0.2,"Low (1-20%)",IF(T9866&lt;=0.4,"Medium (21-40%)","High (&gt;40%)"))))</f>
        <v/>
      </c>
      <c r="Y9866" s="23" t="str">
        <f aca="false">IF(AND(ISNUMBER(C9866),ISNUMBER(D9866)),D9866-C9866,"")</f>
        <v/>
      </c>
      <c r="Z9866" s="23" t="str">
        <f aca="false">IF(B9866="","",IF(MATCH(B9866,$B$2:$B$12000,0)=ROW()-1,1,0))</f>
        <v/>
      </c>
    </row>
    <row r="9867" customFormat="false" ht="15" hidden="false" customHeight="false" outlineLevel="0" collapsed="false">
      <c r="V9867" s="23" t="str">
        <f aca="false">IF(ISNUMBER(C9867),YEAR(C9867),"")</f>
        <v/>
      </c>
      <c r="W9867" s="23" t="str">
        <f aca="false">IF(ISNUMBER(C9867),MONTH(C9867),"")</f>
        <v/>
      </c>
      <c r="X9867" s="23" t="str">
        <f aca="false">IF(T9867="","",IF(T9867=0,"No discount",IF(T9867&lt;=0.2,"Low (1-20%)",IF(T9867&lt;=0.4,"Medium (21-40%)","High (&gt;40%)"))))</f>
        <v/>
      </c>
      <c r="Y9867" s="23" t="str">
        <f aca="false">IF(AND(ISNUMBER(C9867),ISNUMBER(D9867)),D9867-C9867,"")</f>
        <v/>
      </c>
      <c r="Z9867" s="23" t="str">
        <f aca="false">IF(B9867="","",IF(MATCH(B9867,$B$2:$B$12000,0)=ROW()-1,1,0))</f>
        <v/>
      </c>
    </row>
    <row r="9868" customFormat="false" ht="15" hidden="false" customHeight="false" outlineLevel="0" collapsed="false">
      <c r="V9868" s="23" t="str">
        <f aca="false">IF(ISNUMBER(C9868),YEAR(C9868),"")</f>
        <v/>
      </c>
      <c r="W9868" s="23" t="str">
        <f aca="false">IF(ISNUMBER(C9868),MONTH(C9868),"")</f>
        <v/>
      </c>
      <c r="X9868" s="23" t="str">
        <f aca="false">IF(T9868="","",IF(T9868=0,"No discount",IF(T9868&lt;=0.2,"Low (1-20%)",IF(T9868&lt;=0.4,"Medium (21-40%)","High (&gt;40%)"))))</f>
        <v/>
      </c>
      <c r="Y9868" s="23" t="str">
        <f aca="false">IF(AND(ISNUMBER(C9868),ISNUMBER(D9868)),D9868-C9868,"")</f>
        <v/>
      </c>
      <c r="Z9868" s="23" t="str">
        <f aca="false">IF(B9868="","",IF(MATCH(B9868,$B$2:$B$12000,0)=ROW()-1,1,0))</f>
        <v/>
      </c>
    </row>
    <row r="9869" customFormat="false" ht="15" hidden="false" customHeight="false" outlineLevel="0" collapsed="false">
      <c r="V9869" s="23" t="str">
        <f aca="false">IF(ISNUMBER(C9869),YEAR(C9869),"")</f>
        <v/>
      </c>
      <c r="W9869" s="23" t="str">
        <f aca="false">IF(ISNUMBER(C9869),MONTH(C9869),"")</f>
        <v/>
      </c>
      <c r="X9869" s="23" t="str">
        <f aca="false">IF(T9869="","",IF(T9869=0,"No discount",IF(T9869&lt;=0.2,"Low (1-20%)",IF(T9869&lt;=0.4,"Medium (21-40%)","High (&gt;40%)"))))</f>
        <v/>
      </c>
      <c r="Y9869" s="23" t="str">
        <f aca="false">IF(AND(ISNUMBER(C9869),ISNUMBER(D9869)),D9869-C9869,"")</f>
        <v/>
      </c>
      <c r="Z9869" s="23" t="str">
        <f aca="false">IF(B9869="","",IF(MATCH(B9869,$B$2:$B$12000,0)=ROW()-1,1,0))</f>
        <v/>
      </c>
    </row>
    <row r="9870" customFormat="false" ht="15" hidden="false" customHeight="false" outlineLevel="0" collapsed="false">
      <c r="V9870" s="23" t="str">
        <f aca="false">IF(ISNUMBER(C9870),YEAR(C9870),"")</f>
        <v/>
      </c>
      <c r="W9870" s="23" t="str">
        <f aca="false">IF(ISNUMBER(C9870),MONTH(C9870),"")</f>
        <v/>
      </c>
      <c r="X9870" s="23" t="str">
        <f aca="false">IF(T9870="","",IF(T9870=0,"No discount",IF(T9870&lt;=0.2,"Low (1-20%)",IF(T9870&lt;=0.4,"Medium (21-40%)","High (&gt;40%)"))))</f>
        <v/>
      </c>
      <c r="Y9870" s="23" t="str">
        <f aca="false">IF(AND(ISNUMBER(C9870),ISNUMBER(D9870)),D9870-C9870,"")</f>
        <v/>
      </c>
      <c r="Z9870" s="23" t="str">
        <f aca="false">IF(B9870="","",IF(MATCH(B9870,$B$2:$B$12000,0)=ROW()-1,1,0))</f>
        <v/>
      </c>
    </row>
    <row r="9871" customFormat="false" ht="15" hidden="false" customHeight="false" outlineLevel="0" collapsed="false">
      <c r="V9871" s="23" t="str">
        <f aca="false">IF(ISNUMBER(C9871),YEAR(C9871),"")</f>
        <v/>
      </c>
      <c r="W9871" s="23" t="str">
        <f aca="false">IF(ISNUMBER(C9871),MONTH(C9871),"")</f>
        <v/>
      </c>
      <c r="X9871" s="23" t="str">
        <f aca="false">IF(T9871="","",IF(T9871=0,"No discount",IF(T9871&lt;=0.2,"Low (1-20%)",IF(T9871&lt;=0.4,"Medium (21-40%)","High (&gt;40%)"))))</f>
        <v/>
      </c>
      <c r="Y9871" s="23" t="str">
        <f aca="false">IF(AND(ISNUMBER(C9871),ISNUMBER(D9871)),D9871-C9871,"")</f>
        <v/>
      </c>
      <c r="Z9871" s="23" t="str">
        <f aca="false">IF(B9871="","",IF(MATCH(B9871,$B$2:$B$12000,0)=ROW()-1,1,0))</f>
        <v/>
      </c>
    </row>
    <row r="9872" customFormat="false" ht="15" hidden="false" customHeight="false" outlineLevel="0" collapsed="false">
      <c r="V9872" s="23" t="str">
        <f aca="false">IF(ISNUMBER(C9872),YEAR(C9872),"")</f>
        <v/>
      </c>
      <c r="W9872" s="23" t="str">
        <f aca="false">IF(ISNUMBER(C9872),MONTH(C9872),"")</f>
        <v/>
      </c>
      <c r="X9872" s="23" t="str">
        <f aca="false">IF(T9872="","",IF(T9872=0,"No discount",IF(T9872&lt;=0.2,"Low (1-20%)",IF(T9872&lt;=0.4,"Medium (21-40%)","High (&gt;40%)"))))</f>
        <v/>
      </c>
      <c r="Y9872" s="23" t="str">
        <f aca="false">IF(AND(ISNUMBER(C9872),ISNUMBER(D9872)),D9872-C9872,"")</f>
        <v/>
      </c>
      <c r="Z9872" s="23" t="str">
        <f aca="false">IF(B9872="","",IF(MATCH(B9872,$B$2:$B$12000,0)=ROW()-1,1,0))</f>
        <v/>
      </c>
    </row>
    <row r="9873" customFormat="false" ht="15" hidden="false" customHeight="false" outlineLevel="0" collapsed="false">
      <c r="V9873" s="23" t="str">
        <f aca="false">IF(ISNUMBER(C9873),YEAR(C9873),"")</f>
        <v/>
      </c>
      <c r="W9873" s="23" t="str">
        <f aca="false">IF(ISNUMBER(C9873),MONTH(C9873),"")</f>
        <v/>
      </c>
      <c r="X9873" s="23" t="str">
        <f aca="false">IF(T9873="","",IF(T9873=0,"No discount",IF(T9873&lt;=0.2,"Low (1-20%)",IF(T9873&lt;=0.4,"Medium (21-40%)","High (&gt;40%)"))))</f>
        <v/>
      </c>
      <c r="Y9873" s="23" t="str">
        <f aca="false">IF(AND(ISNUMBER(C9873),ISNUMBER(D9873)),D9873-C9873,"")</f>
        <v/>
      </c>
      <c r="Z9873" s="23" t="str">
        <f aca="false">IF(B9873="","",IF(MATCH(B9873,$B$2:$B$12000,0)=ROW()-1,1,0))</f>
        <v/>
      </c>
    </row>
    <row r="9874" customFormat="false" ht="15" hidden="false" customHeight="false" outlineLevel="0" collapsed="false">
      <c r="V9874" s="23" t="str">
        <f aca="false">IF(ISNUMBER(C9874),YEAR(C9874),"")</f>
        <v/>
      </c>
      <c r="W9874" s="23" t="str">
        <f aca="false">IF(ISNUMBER(C9874),MONTH(C9874),"")</f>
        <v/>
      </c>
      <c r="X9874" s="23" t="str">
        <f aca="false">IF(T9874="","",IF(T9874=0,"No discount",IF(T9874&lt;=0.2,"Low (1-20%)",IF(T9874&lt;=0.4,"Medium (21-40%)","High (&gt;40%)"))))</f>
        <v/>
      </c>
      <c r="Y9874" s="23" t="str">
        <f aca="false">IF(AND(ISNUMBER(C9874),ISNUMBER(D9874)),D9874-C9874,"")</f>
        <v/>
      </c>
      <c r="Z9874" s="23" t="str">
        <f aca="false">IF(B9874="","",IF(MATCH(B9874,$B$2:$B$12000,0)=ROW()-1,1,0))</f>
        <v/>
      </c>
    </row>
    <row r="9875" customFormat="false" ht="15" hidden="false" customHeight="false" outlineLevel="0" collapsed="false">
      <c r="V9875" s="23" t="str">
        <f aca="false">IF(ISNUMBER(C9875),YEAR(C9875),"")</f>
        <v/>
      </c>
      <c r="W9875" s="23" t="str">
        <f aca="false">IF(ISNUMBER(C9875),MONTH(C9875),"")</f>
        <v/>
      </c>
      <c r="X9875" s="23" t="str">
        <f aca="false">IF(T9875="","",IF(T9875=0,"No discount",IF(T9875&lt;=0.2,"Low (1-20%)",IF(T9875&lt;=0.4,"Medium (21-40%)","High (&gt;40%)"))))</f>
        <v/>
      </c>
      <c r="Y9875" s="23" t="str">
        <f aca="false">IF(AND(ISNUMBER(C9875),ISNUMBER(D9875)),D9875-C9875,"")</f>
        <v/>
      </c>
      <c r="Z9875" s="23" t="str">
        <f aca="false">IF(B9875="","",IF(MATCH(B9875,$B$2:$B$12000,0)=ROW()-1,1,0))</f>
        <v/>
      </c>
    </row>
    <row r="9876" customFormat="false" ht="15" hidden="false" customHeight="false" outlineLevel="0" collapsed="false">
      <c r="V9876" s="23" t="str">
        <f aca="false">IF(ISNUMBER(C9876),YEAR(C9876),"")</f>
        <v/>
      </c>
      <c r="W9876" s="23" t="str">
        <f aca="false">IF(ISNUMBER(C9876),MONTH(C9876),"")</f>
        <v/>
      </c>
      <c r="X9876" s="23" t="str">
        <f aca="false">IF(T9876="","",IF(T9876=0,"No discount",IF(T9876&lt;=0.2,"Low (1-20%)",IF(T9876&lt;=0.4,"Medium (21-40%)","High (&gt;40%)"))))</f>
        <v/>
      </c>
      <c r="Y9876" s="23" t="str">
        <f aca="false">IF(AND(ISNUMBER(C9876),ISNUMBER(D9876)),D9876-C9876,"")</f>
        <v/>
      </c>
      <c r="Z9876" s="23" t="str">
        <f aca="false">IF(B9876="","",IF(MATCH(B9876,$B$2:$B$12000,0)=ROW()-1,1,0))</f>
        <v/>
      </c>
    </row>
    <row r="9877" customFormat="false" ht="15" hidden="false" customHeight="false" outlineLevel="0" collapsed="false">
      <c r="V9877" s="23" t="str">
        <f aca="false">IF(ISNUMBER(C9877),YEAR(C9877),"")</f>
        <v/>
      </c>
      <c r="W9877" s="23" t="str">
        <f aca="false">IF(ISNUMBER(C9877),MONTH(C9877),"")</f>
        <v/>
      </c>
      <c r="X9877" s="23" t="str">
        <f aca="false">IF(T9877="","",IF(T9877=0,"No discount",IF(T9877&lt;=0.2,"Low (1-20%)",IF(T9877&lt;=0.4,"Medium (21-40%)","High (&gt;40%)"))))</f>
        <v/>
      </c>
      <c r="Y9877" s="23" t="str">
        <f aca="false">IF(AND(ISNUMBER(C9877),ISNUMBER(D9877)),D9877-C9877,"")</f>
        <v/>
      </c>
      <c r="Z9877" s="23" t="str">
        <f aca="false">IF(B9877="","",IF(MATCH(B9877,$B$2:$B$12000,0)=ROW()-1,1,0))</f>
        <v/>
      </c>
    </row>
    <row r="9878" customFormat="false" ht="15" hidden="false" customHeight="false" outlineLevel="0" collapsed="false">
      <c r="V9878" s="23" t="str">
        <f aca="false">IF(ISNUMBER(C9878),YEAR(C9878),"")</f>
        <v/>
      </c>
      <c r="W9878" s="23" t="str">
        <f aca="false">IF(ISNUMBER(C9878),MONTH(C9878),"")</f>
        <v/>
      </c>
      <c r="X9878" s="23" t="str">
        <f aca="false">IF(T9878="","",IF(T9878=0,"No discount",IF(T9878&lt;=0.2,"Low (1-20%)",IF(T9878&lt;=0.4,"Medium (21-40%)","High (&gt;40%)"))))</f>
        <v/>
      </c>
      <c r="Y9878" s="23" t="str">
        <f aca="false">IF(AND(ISNUMBER(C9878),ISNUMBER(D9878)),D9878-C9878,"")</f>
        <v/>
      </c>
      <c r="Z9878" s="23" t="str">
        <f aca="false">IF(B9878="","",IF(MATCH(B9878,$B$2:$B$12000,0)=ROW()-1,1,0))</f>
        <v/>
      </c>
    </row>
    <row r="9879" customFormat="false" ht="15" hidden="false" customHeight="false" outlineLevel="0" collapsed="false">
      <c r="V9879" s="23" t="str">
        <f aca="false">IF(ISNUMBER(C9879),YEAR(C9879),"")</f>
        <v/>
      </c>
      <c r="W9879" s="23" t="str">
        <f aca="false">IF(ISNUMBER(C9879),MONTH(C9879),"")</f>
        <v/>
      </c>
      <c r="X9879" s="23" t="str">
        <f aca="false">IF(T9879="","",IF(T9879=0,"No discount",IF(T9879&lt;=0.2,"Low (1-20%)",IF(T9879&lt;=0.4,"Medium (21-40%)","High (&gt;40%)"))))</f>
        <v/>
      </c>
      <c r="Y9879" s="23" t="str">
        <f aca="false">IF(AND(ISNUMBER(C9879),ISNUMBER(D9879)),D9879-C9879,"")</f>
        <v/>
      </c>
      <c r="Z9879" s="23" t="str">
        <f aca="false">IF(B9879="","",IF(MATCH(B9879,$B$2:$B$12000,0)=ROW()-1,1,0))</f>
        <v/>
      </c>
    </row>
    <row r="9880" customFormat="false" ht="15" hidden="false" customHeight="false" outlineLevel="0" collapsed="false">
      <c r="V9880" s="23" t="str">
        <f aca="false">IF(ISNUMBER(C9880),YEAR(C9880),"")</f>
        <v/>
      </c>
      <c r="W9880" s="23" t="str">
        <f aca="false">IF(ISNUMBER(C9880),MONTH(C9880),"")</f>
        <v/>
      </c>
      <c r="X9880" s="23" t="str">
        <f aca="false">IF(T9880="","",IF(T9880=0,"No discount",IF(T9880&lt;=0.2,"Low (1-20%)",IF(T9880&lt;=0.4,"Medium (21-40%)","High (&gt;40%)"))))</f>
        <v/>
      </c>
      <c r="Y9880" s="23" t="str">
        <f aca="false">IF(AND(ISNUMBER(C9880),ISNUMBER(D9880)),D9880-C9880,"")</f>
        <v/>
      </c>
      <c r="Z9880" s="23" t="str">
        <f aca="false">IF(B9880="","",IF(MATCH(B9880,$B$2:$B$12000,0)=ROW()-1,1,0))</f>
        <v/>
      </c>
    </row>
    <row r="9881" customFormat="false" ht="15" hidden="false" customHeight="false" outlineLevel="0" collapsed="false">
      <c r="V9881" s="23" t="str">
        <f aca="false">IF(ISNUMBER(C9881),YEAR(C9881),"")</f>
        <v/>
      </c>
      <c r="W9881" s="23" t="str">
        <f aca="false">IF(ISNUMBER(C9881),MONTH(C9881),"")</f>
        <v/>
      </c>
      <c r="X9881" s="23" t="str">
        <f aca="false">IF(T9881="","",IF(T9881=0,"No discount",IF(T9881&lt;=0.2,"Low (1-20%)",IF(T9881&lt;=0.4,"Medium (21-40%)","High (&gt;40%)"))))</f>
        <v/>
      </c>
      <c r="Y9881" s="23" t="str">
        <f aca="false">IF(AND(ISNUMBER(C9881),ISNUMBER(D9881)),D9881-C9881,"")</f>
        <v/>
      </c>
      <c r="Z9881" s="23" t="str">
        <f aca="false">IF(B9881="","",IF(MATCH(B9881,$B$2:$B$12000,0)=ROW()-1,1,0))</f>
        <v/>
      </c>
    </row>
    <row r="9882" customFormat="false" ht="15" hidden="false" customHeight="false" outlineLevel="0" collapsed="false">
      <c r="V9882" s="23" t="str">
        <f aca="false">IF(ISNUMBER(C9882),YEAR(C9882),"")</f>
        <v/>
      </c>
      <c r="W9882" s="23" t="str">
        <f aca="false">IF(ISNUMBER(C9882),MONTH(C9882),"")</f>
        <v/>
      </c>
      <c r="X9882" s="23" t="str">
        <f aca="false">IF(T9882="","",IF(T9882=0,"No discount",IF(T9882&lt;=0.2,"Low (1-20%)",IF(T9882&lt;=0.4,"Medium (21-40%)","High (&gt;40%)"))))</f>
        <v/>
      </c>
      <c r="Y9882" s="23" t="str">
        <f aca="false">IF(AND(ISNUMBER(C9882),ISNUMBER(D9882)),D9882-C9882,"")</f>
        <v/>
      </c>
      <c r="Z9882" s="23" t="str">
        <f aca="false">IF(B9882="","",IF(MATCH(B9882,$B$2:$B$12000,0)=ROW()-1,1,0))</f>
        <v/>
      </c>
    </row>
    <row r="9883" customFormat="false" ht="15" hidden="false" customHeight="false" outlineLevel="0" collapsed="false">
      <c r="V9883" s="23" t="str">
        <f aca="false">IF(ISNUMBER(C9883),YEAR(C9883),"")</f>
        <v/>
      </c>
      <c r="W9883" s="23" t="str">
        <f aca="false">IF(ISNUMBER(C9883),MONTH(C9883),"")</f>
        <v/>
      </c>
      <c r="X9883" s="23" t="str">
        <f aca="false">IF(T9883="","",IF(T9883=0,"No discount",IF(T9883&lt;=0.2,"Low (1-20%)",IF(T9883&lt;=0.4,"Medium (21-40%)","High (&gt;40%)"))))</f>
        <v/>
      </c>
      <c r="Y9883" s="23" t="str">
        <f aca="false">IF(AND(ISNUMBER(C9883),ISNUMBER(D9883)),D9883-C9883,"")</f>
        <v/>
      </c>
      <c r="Z9883" s="23" t="str">
        <f aca="false">IF(B9883="","",IF(MATCH(B9883,$B$2:$B$12000,0)=ROW()-1,1,0))</f>
        <v/>
      </c>
    </row>
    <row r="9884" customFormat="false" ht="15" hidden="false" customHeight="false" outlineLevel="0" collapsed="false">
      <c r="V9884" s="23" t="str">
        <f aca="false">IF(ISNUMBER(C9884),YEAR(C9884),"")</f>
        <v/>
      </c>
      <c r="W9884" s="23" t="str">
        <f aca="false">IF(ISNUMBER(C9884),MONTH(C9884),"")</f>
        <v/>
      </c>
      <c r="X9884" s="23" t="str">
        <f aca="false">IF(T9884="","",IF(T9884=0,"No discount",IF(T9884&lt;=0.2,"Low (1-20%)",IF(T9884&lt;=0.4,"Medium (21-40%)","High (&gt;40%)"))))</f>
        <v/>
      </c>
      <c r="Y9884" s="23" t="str">
        <f aca="false">IF(AND(ISNUMBER(C9884),ISNUMBER(D9884)),D9884-C9884,"")</f>
        <v/>
      </c>
      <c r="Z9884" s="23" t="str">
        <f aca="false">IF(B9884="","",IF(MATCH(B9884,$B$2:$B$12000,0)=ROW()-1,1,0))</f>
        <v/>
      </c>
    </row>
    <row r="9885" customFormat="false" ht="15" hidden="false" customHeight="false" outlineLevel="0" collapsed="false">
      <c r="V9885" s="23" t="str">
        <f aca="false">IF(ISNUMBER(C9885),YEAR(C9885),"")</f>
        <v/>
      </c>
      <c r="W9885" s="23" t="str">
        <f aca="false">IF(ISNUMBER(C9885),MONTH(C9885),"")</f>
        <v/>
      </c>
      <c r="X9885" s="23" t="str">
        <f aca="false">IF(T9885="","",IF(T9885=0,"No discount",IF(T9885&lt;=0.2,"Low (1-20%)",IF(T9885&lt;=0.4,"Medium (21-40%)","High (&gt;40%)"))))</f>
        <v/>
      </c>
      <c r="Y9885" s="23" t="str">
        <f aca="false">IF(AND(ISNUMBER(C9885),ISNUMBER(D9885)),D9885-C9885,"")</f>
        <v/>
      </c>
      <c r="Z9885" s="23" t="str">
        <f aca="false">IF(B9885="","",IF(MATCH(B9885,$B$2:$B$12000,0)=ROW()-1,1,0))</f>
        <v/>
      </c>
    </row>
    <row r="9886" customFormat="false" ht="15" hidden="false" customHeight="false" outlineLevel="0" collapsed="false">
      <c r="V9886" s="23" t="str">
        <f aca="false">IF(ISNUMBER(C9886),YEAR(C9886),"")</f>
        <v/>
      </c>
      <c r="W9886" s="23" t="str">
        <f aca="false">IF(ISNUMBER(C9886),MONTH(C9886),"")</f>
        <v/>
      </c>
      <c r="X9886" s="23" t="str">
        <f aca="false">IF(T9886="","",IF(T9886=0,"No discount",IF(T9886&lt;=0.2,"Low (1-20%)",IF(T9886&lt;=0.4,"Medium (21-40%)","High (&gt;40%)"))))</f>
        <v/>
      </c>
      <c r="Y9886" s="23" t="str">
        <f aca="false">IF(AND(ISNUMBER(C9886),ISNUMBER(D9886)),D9886-C9886,"")</f>
        <v/>
      </c>
      <c r="Z9886" s="23" t="str">
        <f aca="false">IF(B9886="","",IF(MATCH(B9886,$B$2:$B$12000,0)=ROW()-1,1,0))</f>
        <v/>
      </c>
    </row>
    <row r="9887" customFormat="false" ht="15" hidden="false" customHeight="false" outlineLevel="0" collapsed="false">
      <c r="V9887" s="23" t="str">
        <f aca="false">IF(ISNUMBER(C9887),YEAR(C9887),"")</f>
        <v/>
      </c>
      <c r="W9887" s="23" t="str">
        <f aca="false">IF(ISNUMBER(C9887),MONTH(C9887),"")</f>
        <v/>
      </c>
      <c r="X9887" s="23" t="str">
        <f aca="false">IF(T9887="","",IF(T9887=0,"No discount",IF(T9887&lt;=0.2,"Low (1-20%)",IF(T9887&lt;=0.4,"Medium (21-40%)","High (&gt;40%)"))))</f>
        <v/>
      </c>
      <c r="Y9887" s="23" t="str">
        <f aca="false">IF(AND(ISNUMBER(C9887),ISNUMBER(D9887)),D9887-C9887,"")</f>
        <v/>
      </c>
      <c r="Z9887" s="23" t="str">
        <f aca="false">IF(B9887="","",IF(MATCH(B9887,$B$2:$B$12000,0)=ROW()-1,1,0))</f>
        <v/>
      </c>
    </row>
    <row r="9888" customFormat="false" ht="15" hidden="false" customHeight="false" outlineLevel="0" collapsed="false">
      <c r="V9888" s="23" t="str">
        <f aca="false">IF(ISNUMBER(C9888),YEAR(C9888),"")</f>
        <v/>
      </c>
      <c r="W9888" s="23" t="str">
        <f aca="false">IF(ISNUMBER(C9888),MONTH(C9888),"")</f>
        <v/>
      </c>
      <c r="X9888" s="23" t="str">
        <f aca="false">IF(T9888="","",IF(T9888=0,"No discount",IF(T9888&lt;=0.2,"Low (1-20%)",IF(T9888&lt;=0.4,"Medium (21-40%)","High (&gt;40%)"))))</f>
        <v/>
      </c>
      <c r="Y9888" s="23" t="str">
        <f aca="false">IF(AND(ISNUMBER(C9888),ISNUMBER(D9888)),D9888-C9888,"")</f>
        <v/>
      </c>
      <c r="Z9888" s="23" t="str">
        <f aca="false">IF(B9888="","",IF(MATCH(B9888,$B$2:$B$12000,0)=ROW()-1,1,0))</f>
        <v/>
      </c>
    </row>
    <row r="9889" customFormat="false" ht="15" hidden="false" customHeight="false" outlineLevel="0" collapsed="false">
      <c r="V9889" s="23" t="str">
        <f aca="false">IF(ISNUMBER(C9889),YEAR(C9889),"")</f>
        <v/>
      </c>
      <c r="W9889" s="23" t="str">
        <f aca="false">IF(ISNUMBER(C9889),MONTH(C9889),"")</f>
        <v/>
      </c>
      <c r="X9889" s="23" t="str">
        <f aca="false">IF(T9889="","",IF(T9889=0,"No discount",IF(T9889&lt;=0.2,"Low (1-20%)",IF(T9889&lt;=0.4,"Medium (21-40%)","High (&gt;40%)"))))</f>
        <v/>
      </c>
      <c r="Y9889" s="23" t="str">
        <f aca="false">IF(AND(ISNUMBER(C9889),ISNUMBER(D9889)),D9889-C9889,"")</f>
        <v/>
      </c>
      <c r="Z9889" s="23" t="str">
        <f aca="false">IF(B9889="","",IF(MATCH(B9889,$B$2:$B$12000,0)=ROW()-1,1,0))</f>
        <v/>
      </c>
    </row>
    <row r="9890" customFormat="false" ht="15" hidden="false" customHeight="false" outlineLevel="0" collapsed="false">
      <c r="V9890" s="23" t="str">
        <f aca="false">IF(ISNUMBER(C9890),YEAR(C9890),"")</f>
        <v/>
      </c>
      <c r="W9890" s="23" t="str">
        <f aca="false">IF(ISNUMBER(C9890),MONTH(C9890),"")</f>
        <v/>
      </c>
      <c r="X9890" s="23" t="str">
        <f aca="false">IF(T9890="","",IF(T9890=0,"No discount",IF(T9890&lt;=0.2,"Low (1-20%)",IF(T9890&lt;=0.4,"Medium (21-40%)","High (&gt;40%)"))))</f>
        <v/>
      </c>
      <c r="Y9890" s="23" t="str">
        <f aca="false">IF(AND(ISNUMBER(C9890),ISNUMBER(D9890)),D9890-C9890,"")</f>
        <v/>
      </c>
      <c r="Z9890" s="23" t="str">
        <f aca="false">IF(B9890="","",IF(MATCH(B9890,$B$2:$B$12000,0)=ROW()-1,1,0))</f>
        <v/>
      </c>
    </row>
    <row r="9891" customFormat="false" ht="15" hidden="false" customHeight="false" outlineLevel="0" collapsed="false">
      <c r="V9891" s="23" t="str">
        <f aca="false">IF(ISNUMBER(C9891),YEAR(C9891),"")</f>
        <v/>
      </c>
      <c r="W9891" s="23" t="str">
        <f aca="false">IF(ISNUMBER(C9891),MONTH(C9891),"")</f>
        <v/>
      </c>
      <c r="X9891" s="23" t="str">
        <f aca="false">IF(T9891="","",IF(T9891=0,"No discount",IF(T9891&lt;=0.2,"Low (1-20%)",IF(T9891&lt;=0.4,"Medium (21-40%)","High (&gt;40%)"))))</f>
        <v/>
      </c>
      <c r="Y9891" s="23" t="str">
        <f aca="false">IF(AND(ISNUMBER(C9891),ISNUMBER(D9891)),D9891-C9891,"")</f>
        <v/>
      </c>
      <c r="Z9891" s="23" t="str">
        <f aca="false">IF(B9891="","",IF(MATCH(B9891,$B$2:$B$12000,0)=ROW()-1,1,0))</f>
        <v/>
      </c>
    </row>
    <row r="9892" customFormat="false" ht="15" hidden="false" customHeight="false" outlineLevel="0" collapsed="false">
      <c r="V9892" s="23" t="str">
        <f aca="false">IF(ISNUMBER(C9892),YEAR(C9892),"")</f>
        <v/>
      </c>
      <c r="W9892" s="23" t="str">
        <f aca="false">IF(ISNUMBER(C9892),MONTH(C9892),"")</f>
        <v/>
      </c>
      <c r="X9892" s="23" t="str">
        <f aca="false">IF(T9892="","",IF(T9892=0,"No discount",IF(T9892&lt;=0.2,"Low (1-20%)",IF(T9892&lt;=0.4,"Medium (21-40%)","High (&gt;40%)"))))</f>
        <v/>
      </c>
      <c r="Y9892" s="23" t="str">
        <f aca="false">IF(AND(ISNUMBER(C9892),ISNUMBER(D9892)),D9892-C9892,"")</f>
        <v/>
      </c>
      <c r="Z9892" s="23" t="str">
        <f aca="false">IF(B9892="","",IF(MATCH(B9892,$B$2:$B$12000,0)=ROW()-1,1,0))</f>
        <v/>
      </c>
    </row>
    <row r="9893" customFormat="false" ht="15" hidden="false" customHeight="false" outlineLevel="0" collapsed="false">
      <c r="V9893" s="23" t="str">
        <f aca="false">IF(ISNUMBER(C9893),YEAR(C9893),"")</f>
        <v/>
      </c>
      <c r="W9893" s="23" t="str">
        <f aca="false">IF(ISNUMBER(C9893),MONTH(C9893),"")</f>
        <v/>
      </c>
      <c r="X9893" s="23" t="str">
        <f aca="false">IF(T9893="","",IF(T9893=0,"No discount",IF(T9893&lt;=0.2,"Low (1-20%)",IF(T9893&lt;=0.4,"Medium (21-40%)","High (&gt;40%)"))))</f>
        <v/>
      </c>
      <c r="Y9893" s="23" t="str">
        <f aca="false">IF(AND(ISNUMBER(C9893),ISNUMBER(D9893)),D9893-C9893,"")</f>
        <v/>
      </c>
      <c r="Z9893" s="23" t="str">
        <f aca="false">IF(B9893="","",IF(MATCH(B9893,$B$2:$B$12000,0)=ROW()-1,1,0))</f>
        <v/>
      </c>
    </row>
    <row r="9894" customFormat="false" ht="15" hidden="false" customHeight="false" outlineLevel="0" collapsed="false">
      <c r="V9894" s="23" t="str">
        <f aca="false">IF(ISNUMBER(C9894),YEAR(C9894),"")</f>
        <v/>
      </c>
      <c r="W9894" s="23" t="str">
        <f aca="false">IF(ISNUMBER(C9894),MONTH(C9894),"")</f>
        <v/>
      </c>
      <c r="X9894" s="23" t="str">
        <f aca="false">IF(T9894="","",IF(T9894=0,"No discount",IF(T9894&lt;=0.2,"Low (1-20%)",IF(T9894&lt;=0.4,"Medium (21-40%)","High (&gt;40%)"))))</f>
        <v/>
      </c>
      <c r="Y9894" s="23" t="str">
        <f aca="false">IF(AND(ISNUMBER(C9894),ISNUMBER(D9894)),D9894-C9894,"")</f>
        <v/>
      </c>
      <c r="Z9894" s="23" t="str">
        <f aca="false">IF(B9894="","",IF(MATCH(B9894,$B$2:$B$12000,0)=ROW()-1,1,0))</f>
        <v/>
      </c>
    </row>
    <row r="9895" customFormat="false" ht="15" hidden="false" customHeight="false" outlineLevel="0" collapsed="false">
      <c r="V9895" s="23" t="str">
        <f aca="false">IF(ISNUMBER(C9895),YEAR(C9895),"")</f>
        <v/>
      </c>
      <c r="W9895" s="23" t="str">
        <f aca="false">IF(ISNUMBER(C9895),MONTH(C9895),"")</f>
        <v/>
      </c>
      <c r="X9895" s="23" t="str">
        <f aca="false">IF(T9895="","",IF(T9895=0,"No discount",IF(T9895&lt;=0.2,"Low (1-20%)",IF(T9895&lt;=0.4,"Medium (21-40%)","High (&gt;40%)"))))</f>
        <v/>
      </c>
      <c r="Y9895" s="23" t="str">
        <f aca="false">IF(AND(ISNUMBER(C9895),ISNUMBER(D9895)),D9895-C9895,"")</f>
        <v/>
      </c>
      <c r="Z9895" s="23" t="str">
        <f aca="false">IF(B9895="","",IF(MATCH(B9895,$B$2:$B$12000,0)=ROW()-1,1,0))</f>
        <v/>
      </c>
    </row>
    <row r="9896" customFormat="false" ht="15" hidden="false" customHeight="false" outlineLevel="0" collapsed="false">
      <c r="V9896" s="23" t="str">
        <f aca="false">IF(ISNUMBER(C9896),YEAR(C9896),"")</f>
        <v/>
      </c>
      <c r="W9896" s="23" t="str">
        <f aca="false">IF(ISNUMBER(C9896),MONTH(C9896),"")</f>
        <v/>
      </c>
      <c r="X9896" s="23" t="str">
        <f aca="false">IF(T9896="","",IF(T9896=0,"No discount",IF(T9896&lt;=0.2,"Low (1-20%)",IF(T9896&lt;=0.4,"Medium (21-40%)","High (&gt;40%)"))))</f>
        <v/>
      </c>
      <c r="Y9896" s="23" t="str">
        <f aca="false">IF(AND(ISNUMBER(C9896),ISNUMBER(D9896)),D9896-C9896,"")</f>
        <v/>
      </c>
      <c r="Z9896" s="23" t="str">
        <f aca="false">IF(B9896="","",IF(MATCH(B9896,$B$2:$B$12000,0)=ROW()-1,1,0))</f>
        <v/>
      </c>
    </row>
    <row r="9897" customFormat="false" ht="15" hidden="false" customHeight="false" outlineLevel="0" collapsed="false">
      <c r="V9897" s="23" t="str">
        <f aca="false">IF(ISNUMBER(C9897),YEAR(C9897),"")</f>
        <v/>
      </c>
      <c r="W9897" s="23" t="str">
        <f aca="false">IF(ISNUMBER(C9897),MONTH(C9897),"")</f>
        <v/>
      </c>
      <c r="X9897" s="23" t="str">
        <f aca="false">IF(T9897="","",IF(T9897=0,"No discount",IF(T9897&lt;=0.2,"Low (1-20%)",IF(T9897&lt;=0.4,"Medium (21-40%)","High (&gt;40%)"))))</f>
        <v/>
      </c>
      <c r="Y9897" s="23" t="str">
        <f aca="false">IF(AND(ISNUMBER(C9897),ISNUMBER(D9897)),D9897-C9897,"")</f>
        <v/>
      </c>
      <c r="Z9897" s="23" t="str">
        <f aca="false">IF(B9897="","",IF(MATCH(B9897,$B$2:$B$12000,0)=ROW()-1,1,0))</f>
        <v/>
      </c>
    </row>
    <row r="9898" customFormat="false" ht="15" hidden="false" customHeight="false" outlineLevel="0" collapsed="false">
      <c r="V9898" s="23" t="str">
        <f aca="false">IF(ISNUMBER(C9898),YEAR(C9898),"")</f>
        <v/>
      </c>
      <c r="W9898" s="23" t="str">
        <f aca="false">IF(ISNUMBER(C9898),MONTH(C9898),"")</f>
        <v/>
      </c>
      <c r="X9898" s="23" t="str">
        <f aca="false">IF(T9898="","",IF(T9898=0,"No discount",IF(T9898&lt;=0.2,"Low (1-20%)",IF(T9898&lt;=0.4,"Medium (21-40%)","High (&gt;40%)"))))</f>
        <v/>
      </c>
      <c r="Y9898" s="23" t="str">
        <f aca="false">IF(AND(ISNUMBER(C9898),ISNUMBER(D9898)),D9898-C9898,"")</f>
        <v/>
      </c>
      <c r="Z9898" s="23" t="str">
        <f aca="false">IF(B9898="","",IF(MATCH(B9898,$B$2:$B$12000,0)=ROW()-1,1,0))</f>
        <v/>
      </c>
    </row>
    <row r="9899" customFormat="false" ht="15" hidden="false" customHeight="false" outlineLevel="0" collapsed="false">
      <c r="V9899" s="23" t="str">
        <f aca="false">IF(ISNUMBER(C9899),YEAR(C9899),"")</f>
        <v/>
      </c>
      <c r="W9899" s="23" t="str">
        <f aca="false">IF(ISNUMBER(C9899),MONTH(C9899),"")</f>
        <v/>
      </c>
      <c r="X9899" s="23" t="str">
        <f aca="false">IF(T9899="","",IF(T9899=0,"No discount",IF(T9899&lt;=0.2,"Low (1-20%)",IF(T9899&lt;=0.4,"Medium (21-40%)","High (&gt;40%)"))))</f>
        <v/>
      </c>
      <c r="Y9899" s="23" t="str">
        <f aca="false">IF(AND(ISNUMBER(C9899),ISNUMBER(D9899)),D9899-C9899,"")</f>
        <v/>
      </c>
      <c r="Z9899" s="23" t="str">
        <f aca="false">IF(B9899="","",IF(MATCH(B9899,$B$2:$B$12000,0)=ROW()-1,1,0))</f>
        <v/>
      </c>
    </row>
    <row r="9900" customFormat="false" ht="15" hidden="false" customHeight="false" outlineLevel="0" collapsed="false">
      <c r="V9900" s="23" t="str">
        <f aca="false">IF(ISNUMBER(C9900),YEAR(C9900),"")</f>
        <v/>
      </c>
      <c r="W9900" s="23" t="str">
        <f aca="false">IF(ISNUMBER(C9900),MONTH(C9900),"")</f>
        <v/>
      </c>
      <c r="X9900" s="23" t="str">
        <f aca="false">IF(T9900="","",IF(T9900=0,"No discount",IF(T9900&lt;=0.2,"Low (1-20%)",IF(T9900&lt;=0.4,"Medium (21-40%)","High (&gt;40%)"))))</f>
        <v/>
      </c>
      <c r="Y9900" s="23" t="str">
        <f aca="false">IF(AND(ISNUMBER(C9900),ISNUMBER(D9900)),D9900-C9900,"")</f>
        <v/>
      </c>
      <c r="Z9900" s="23" t="str">
        <f aca="false">IF(B9900="","",IF(MATCH(B9900,$B$2:$B$12000,0)=ROW()-1,1,0))</f>
        <v/>
      </c>
    </row>
    <row r="9901" customFormat="false" ht="15" hidden="false" customHeight="false" outlineLevel="0" collapsed="false">
      <c r="V9901" s="23" t="str">
        <f aca="false">IF(ISNUMBER(C9901),YEAR(C9901),"")</f>
        <v/>
      </c>
      <c r="W9901" s="23" t="str">
        <f aca="false">IF(ISNUMBER(C9901),MONTH(C9901),"")</f>
        <v/>
      </c>
      <c r="X9901" s="23" t="str">
        <f aca="false">IF(T9901="","",IF(T9901=0,"No discount",IF(T9901&lt;=0.2,"Low (1-20%)",IF(T9901&lt;=0.4,"Medium (21-40%)","High (&gt;40%)"))))</f>
        <v/>
      </c>
      <c r="Y9901" s="23" t="str">
        <f aca="false">IF(AND(ISNUMBER(C9901),ISNUMBER(D9901)),D9901-C9901,"")</f>
        <v/>
      </c>
      <c r="Z9901" s="23" t="str">
        <f aca="false">IF(B9901="","",IF(MATCH(B9901,$B$2:$B$12000,0)=ROW()-1,1,0))</f>
        <v/>
      </c>
    </row>
    <row r="9902" customFormat="false" ht="15" hidden="false" customHeight="false" outlineLevel="0" collapsed="false">
      <c r="V9902" s="23" t="str">
        <f aca="false">IF(ISNUMBER(C9902),YEAR(C9902),"")</f>
        <v/>
      </c>
      <c r="W9902" s="23" t="str">
        <f aca="false">IF(ISNUMBER(C9902),MONTH(C9902),"")</f>
        <v/>
      </c>
      <c r="X9902" s="23" t="str">
        <f aca="false">IF(T9902="","",IF(T9902=0,"No discount",IF(T9902&lt;=0.2,"Low (1-20%)",IF(T9902&lt;=0.4,"Medium (21-40%)","High (&gt;40%)"))))</f>
        <v/>
      </c>
      <c r="Y9902" s="23" t="str">
        <f aca="false">IF(AND(ISNUMBER(C9902),ISNUMBER(D9902)),D9902-C9902,"")</f>
        <v/>
      </c>
      <c r="Z9902" s="23" t="str">
        <f aca="false">IF(B9902="","",IF(MATCH(B9902,$B$2:$B$12000,0)=ROW()-1,1,0))</f>
        <v/>
      </c>
    </row>
    <row r="9903" customFormat="false" ht="15" hidden="false" customHeight="false" outlineLevel="0" collapsed="false">
      <c r="V9903" s="23" t="str">
        <f aca="false">IF(ISNUMBER(C9903),YEAR(C9903),"")</f>
        <v/>
      </c>
      <c r="W9903" s="23" t="str">
        <f aca="false">IF(ISNUMBER(C9903),MONTH(C9903),"")</f>
        <v/>
      </c>
      <c r="X9903" s="23" t="str">
        <f aca="false">IF(T9903="","",IF(T9903=0,"No discount",IF(T9903&lt;=0.2,"Low (1-20%)",IF(T9903&lt;=0.4,"Medium (21-40%)","High (&gt;40%)"))))</f>
        <v/>
      </c>
      <c r="Y9903" s="23" t="str">
        <f aca="false">IF(AND(ISNUMBER(C9903),ISNUMBER(D9903)),D9903-C9903,"")</f>
        <v/>
      </c>
      <c r="Z9903" s="23" t="str">
        <f aca="false">IF(B9903="","",IF(MATCH(B9903,$B$2:$B$12000,0)=ROW()-1,1,0))</f>
        <v/>
      </c>
    </row>
    <row r="9904" customFormat="false" ht="15" hidden="false" customHeight="false" outlineLevel="0" collapsed="false">
      <c r="V9904" s="23" t="str">
        <f aca="false">IF(ISNUMBER(C9904),YEAR(C9904),"")</f>
        <v/>
      </c>
      <c r="W9904" s="23" t="str">
        <f aca="false">IF(ISNUMBER(C9904),MONTH(C9904),"")</f>
        <v/>
      </c>
      <c r="X9904" s="23" t="str">
        <f aca="false">IF(T9904="","",IF(T9904=0,"No discount",IF(T9904&lt;=0.2,"Low (1-20%)",IF(T9904&lt;=0.4,"Medium (21-40%)","High (&gt;40%)"))))</f>
        <v/>
      </c>
      <c r="Y9904" s="23" t="str">
        <f aca="false">IF(AND(ISNUMBER(C9904),ISNUMBER(D9904)),D9904-C9904,"")</f>
        <v/>
      </c>
      <c r="Z9904" s="23" t="str">
        <f aca="false">IF(B9904="","",IF(MATCH(B9904,$B$2:$B$12000,0)=ROW()-1,1,0))</f>
        <v/>
      </c>
    </row>
    <row r="9905" customFormat="false" ht="15" hidden="false" customHeight="false" outlineLevel="0" collapsed="false">
      <c r="V9905" s="23" t="str">
        <f aca="false">IF(ISNUMBER(C9905),YEAR(C9905),"")</f>
        <v/>
      </c>
      <c r="W9905" s="23" t="str">
        <f aca="false">IF(ISNUMBER(C9905),MONTH(C9905),"")</f>
        <v/>
      </c>
      <c r="X9905" s="23" t="str">
        <f aca="false">IF(T9905="","",IF(T9905=0,"No discount",IF(T9905&lt;=0.2,"Low (1-20%)",IF(T9905&lt;=0.4,"Medium (21-40%)","High (&gt;40%)"))))</f>
        <v/>
      </c>
      <c r="Y9905" s="23" t="str">
        <f aca="false">IF(AND(ISNUMBER(C9905),ISNUMBER(D9905)),D9905-C9905,"")</f>
        <v/>
      </c>
      <c r="Z9905" s="23" t="str">
        <f aca="false">IF(B9905="","",IF(MATCH(B9905,$B$2:$B$12000,0)=ROW()-1,1,0))</f>
        <v/>
      </c>
    </row>
    <row r="9906" customFormat="false" ht="15" hidden="false" customHeight="false" outlineLevel="0" collapsed="false">
      <c r="V9906" s="23" t="str">
        <f aca="false">IF(ISNUMBER(C9906),YEAR(C9906),"")</f>
        <v/>
      </c>
      <c r="W9906" s="23" t="str">
        <f aca="false">IF(ISNUMBER(C9906),MONTH(C9906),"")</f>
        <v/>
      </c>
      <c r="X9906" s="23" t="str">
        <f aca="false">IF(T9906="","",IF(T9906=0,"No discount",IF(T9906&lt;=0.2,"Low (1-20%)",IF(T9906&lt;=0.4,"Medium (21-40%)","High (&gt;40%)"))))</f>
        <v/>
      </c>
      <c r="Y9906" s="23" t="str">
        <f aca="false">IF(AND(ISNUMBER(C9906),ISNUMBER(D9906)),D9906-C9906,"")</f>
        <v/>
      </c>
      <c r="Z9906" s="23" t="str">
        <f aca="false">IF(B9906="","",IF(MATCH(B9906,$B$2:$B$12000,0)=ROW()-1,1,0))</f>
        <v/>
      </c>
    </row>
    <row r="9907" customFormat="false" ht="15" hidden="false" customHeight="false" outlineLevel="0" collapsed="false">
      <c r="V9907" s="23" t="str">
        <f aca="false">IF(ISNUMBER(C9907),YEAR(C9907),"")</f>
        <v/>
      </c>
      <c r="W9907" s="23" t="str">
        <f aca="false">IF(ISNUMBER(C9907),MONTH(C9907),"")</f>
        <v/>
      </c>
      <c r="X9907" s="23" t="str">
        <f aca="false">IF(T9907="","",IF(T9907=0,"No discount",IF(T9907&lt;=0.2,"Low (1-20%)",IF(T9907&lt;=0.4,"Medium (21-40%)","High (&gt;40%)"))))</f>
        <v/>
      </c>
      <c r="Y9907" s="23" t="str">
        <f aca="false">IF(AND(ISNUMBER(C9907),ISNUMBER(D9907)),D9907-C9907,"")</f>
        <v/>
      </c>
      <c r="Z9907" s="23" t="str">
        <f aca="false">IF(B9907="","",IF(MATCH(B9907,$B$2:$B$12000,0)=ROW()-1,1,0))</f>
        <v/>
      </c>
    </row>
    <row r="9908" customFormat="false" ht="15" hidden="false" customHeight="false" outlineLevel="0" collapsed="false">
      <c r="V9908" s="23" t="str">
        <f aca="false">IF(ISNUMBER(C9908),YEAR(C9908),"")</f>
        <v/>
      </c>
      <c r="W9908" s="23" t="str">
        <f aca="false">IF(ISNUMBER(C9908),MONTH(C9908),"")</f>
        <v/>
      </c>
      <c r="X9908" s="23" t="str">
        <f aca="false">IF(T9908="","",IF(T9908=0,"No discount",IF(T9908&lt;=0.2,"Low (1-20%)",IF(T9908&lt;=0.4,"Medium (21-40%)","High (&gt;40%)"))))</f>
        <v/>
      </c>
      <c r="Y9908" s="23" t="str">
        <f aca="false">IF(AND(ISNUMBER(C9908),ISNUMBER(D9908)),D9908-C9908,"")</f>
        <v/>
      </c>
      <c r="Z9908" s="23" t="str">
        <f aca="false">IF(B9908="","",IF(MATCH(B9908,$B$2:$B$12000,0)=ROW()-1,1,0))</f>
        <v/>
      </c>
    </row>
    <row r="9909" customFormat="false" ht="15" hidden="false" customHeight="false" outlineLevel="0" collapsed="false">
      <c r="V9909" s="23" t="str">
        <f aca="false">IF(ISNUMBER(C9909),YEAR(C9909),"")</f>
        <v/>
      </c>
      <c r="W9909" s="23" t="str">
        <f aca="false">IF(ISNUMBER(C9909),MONTH(C9909),"")</f>
        <v/>
      </c>
      <c r="X9909" s="23" t="str">
        <f aca="false">IF(T9909="","",IF(T9909=0,"No discount",IF(T9909&lt;=0.2,"Low (1-20%)",IF(T9909&lt;=0.4,"Medium (21-40%)","High (&gt;40%)"))))</f>
        <v/>
      </c>
      <c r="Y9909" s="23" t="str">
        <f aca="false">IF(AND(ISNUMBER(C9909),ISNUMBER(D9909)),D9909-C9909,"")</f>
        <v/>
      </c>
      <c r="Z9909" s="23" t="str">
        <f aca="false">IF(B9909="","",IF(MATCH(B9909,$B$2:$B$12000,0)=ROW()-1,1,0))</f>
        <v/>
      </c>
    </row>
    <row r="9910" customFormat="false" ht="15" hidden="false" customHeight="false" outlineLevel="0" collapsed="false">
      <c r="V9910" s="23" t="str">
        <f aca="false">IF(ISNUMBER(C9910),YEAR(C9910),"")</f>
        <v/>
      </c>
      <c r="W9910" s="23" t="str">
        <f aca="false">IF(ISNUMBER(C9910),MONTH(C9910),"")</f>
        <v/>
      </c>
      <c r="X9910" s="23" t="str">
        <f aca="false">IF(T9910="","",IF(T9910=0,"No discount",IF(T9910&lt;=0.2,"Low (1-20%)",IF(T9910&lt;=0.4,"Medium (21-40%)","High (&gt;40%)"))))</f>
        <v/>
      </c>
      <c r="Y9910" s="23" t="str">
        <f aca="false">IF(AND(ISNUMBER(C9910),ISNUMBER(D9910)),D9910-C9910,"")</f>
        <v/>
      </c>
      <c r="Z9910" s="23" t="str">
        <f aca="false">IF(B9910="","",IF(MATCH(B9910,$B$2:$B$12000,0)=ROW()-1,1,0))</f>
        <v/>
      </c>
    </row>
    <row r="9911" customFormat="false" ht="15" hidden="false" customHeight="false" outlineLevel="0" collapsed="false">
      <c r="V9911" s="23" t="str">
        <f aca="false">IF(ISNUMBER(C9911),YEAR(C9911),"")</f>
        <v/>
      </c>
      <c r="W9911" s="23" t="str">
        <f aca="false">IF(ISNUMBER(C9911),MONTH(C9911),"")</f>
        <v/>
      </c>
      <c r="X9911" s="23" t="str">
        <f aca="false">IF(T9911="","",IF(T9911=0,"No discount",IF(T9911&lt;=0.2,"Low (1-20%)",IF(T9911&lt;=0.4,"Medium (21-40%)","High (&gt;40%)"))))</f>
        <v/>
      </c>
      <c r="Y9911" s="23" t="str">
        <f aca="false">IF(AND(ISNUMBER(C9911),ISNUMBER(D9911)),D9911-C9911,"")</f>
        <v/>
      </c>
      <c r="Z9911" s="23" t="str">
        <f aca="false">IF(B9911="","",IF(MATCH(B9911,$B$2:$B$12000,0)=ROW()-1,1,0))</f>
        <v/>
      </c>
    </row>
    <row r="9912" customFormat="false" ht="15" hidden="false" customHeight="false" outlineLevel="0" collapsed="false">
      <c r="V9912" s="23" t="str">
        <f aca="false">IF(ISNUMBER(C9912),YEAR(C9912),"")</f>
        <v/>
      </c>
      <c r="W9912" s="23" t="str">
        <f aca="false">IF(ISNUMBER(C9912),MONTH(C9912),"")</f>
        <v/>
      </c>
      <c r="X9912" s="23" t="str">
        <f aca="false">IF(T9912="","",IF(T9912=0,"No discount",IF(T9912&lt;=0.2,"Low (1-20%)",IF(T9912&lt;=0.4,"Medium (21-40%)","High (&gt;40%)"))))</f>
        <v/>
      </c>
      <c r="Y9912" s="23" t="str">
        <f aca="false">IF(AND(ISNUMBER(C9912),ISNUMBER(D9912)),D9912-C9912,"")</f>
        <v/>
      </c>
      <c r="Z9912" s="23" t="str">
        <f aca="false">IF(B9912="","",IF(MATCH(B9912,$B$2:$B$12000,0)=ROW()-1,1,0))</f>
        <v/>
      </c>
    </row>
    <row r="9913" customFormat="false" ht="15" hidden="false" customHeight="false" outlineLevel="0" collapsed="false">
      <c r="V9913" s="23" t="str">
        <f aca="false">IF(ISNUMBER(C9913),YEAR(C9913),"")</f>
        <v/>
      </c>
      <c r="W9913" s="23" t="str">
        <f aca="false">IF(ISNUMBER(C9913),MONTH(C9913),"")</f>
        <v/>
      </c>
      <c r="X9913" s="23" t="str">
        <f aca="false">IF(T9913="","",IF(T9913=0,"No discount",IF(T9913&lt;=0.2,"Low (1-20%)",IF(T9913&lt;=0.4,"Medium (21-40%)","High (&gt;40%)"))))</f>
        <v/>
      </c>
      <c r="Y9913" s="23" t="str">
        <f aca="false">IF(AND(ISNUMBER(C9913),ISNUMBER(D9913)),D9913-C9913,"")</f>
        <v/>
      </c>
      <c r="Z9913" s="23" t="str">
        <f aca="false">IF(B9913="","",IF(MATCH(B9913,$B$2:$B$12000,0)=ROW()-1,1,0))</f>
        <v/>
      </c>
    </row>
    <row r="9914" customFormat="false" ht="15" hidden="false" customHeight="false" outlineLevel="0" collapsed="false">
      <c r="V9914" s="23" t="str">
        <f aca="false">IF(ISNUMBER(C9914),YEAR(C9914),"")</f>
        <v/>
      </c>
      <c r="W9914" s="23" t="str">
        <f aca="false">IF(ISNUMBER(C9914),MONTH(C9914),"")</f>
        <v/>
      </c>
      <c r="X9914" s="23" t="str">
        <f aca="false">IF(T9914="","",IF(T9914=0,"No discount",IF(T9914&lt;=0.2,"Low (1-20%)",IF(T9914&lt;=0.4,"Medium (21-40%)","High (&gt;40%)"))))</f>
        <v/>
      </c>
      <c r="Y9914" s="23" t="str">
        <f aca="false">IF(AND(ISNUMBER(C9914),ISNUMBER(D9914)),D9914-C9914,"")</f>
        <v/>
      </c>
      <c r="Z9914" s="23" t="str">
        <f aca="false">IF(B9914="","",IF(MATCH(B9914,$B$2:$B$12000,0)=ROW()-1,1,0))</f>
        <v/>
      </c>
    </row>
    <row r="9915" customFormat="false" ht="15" hidden="false" customHeight="false" outlineLevel="0" collapsed="false">
      <c r="V9915" s="23" t="str">
        <f aca="false">IF(ISNUMBER(C9915),YEAR(C9915),"")</f>
        <v/>
      </c>
      <c r="W9915" s="23" t="str">
        <f aca="false">IF(ISNUMBER(C9915),MONTH(C9915),"")</f>
        <v/>
      </c>
      <c r="X9915" s="23" t="str">
        <f aca="false">IF(T9915="","",IF(T9915=0,"No discount",IF(T9915&lt;=0.2,"Low (1-20%)",IF(T9915&lt;=0.4,"Medium (21-40%)","High (&gt;40%)"))))</f>
        <v/>
      </c>
      <c r="Y9915" s="23" t="str">
        <f aca="false">IF(AND(ISNUMBER(C9915),ISNUMBER(D9915)),D9915-C9915,"")</f>
        <v/>
      </c>
      <c r="Z9915" s="23" t="str">
        <f aca="false">IF(B9915="","",IF(MATCH(B9915,$B$2:$B$12000,0)=ROW()-1,1,0))</f>
        <v/>
      </c>
    </row>
    <row r="9916" customFormat="false" ht="15" hidden="false" customHeight="false" outlineLevel="0" collapsed="false">
      <c r="V9916" s="23" t="str">
        <f aca="false">IF(ISNUMBER(C9916),YEAR(C9916),"")</f>
        <v/>
      </c>
      <c r="W9916" s="23" t="str">
        <f aca="false">IF(ISNUMBER(C9916),MONTH(C9916),"")</f>
        <v/>
      </c>
      <c r="X9916" s="23" t="str">
        <f aca="false">IF(T9916="","",IF(T9916=0,"No discount",IF(T9916&lt;=0.2,"Low (1-20%)",IF(T9916&lt;=0.4,"Medium (21-40%)","High (&gt;40%)"))))</f>
        <v/>
      </c>
      <c r="Y9916" s="23" t="str">
        <f aca="false">IF(AND(ISNUMBER(C9916),ISNUMBER(D9916)),D9916-C9916,"")</f>
        <v/>
      </c>
      <c r="Z9916" s="23" t="str">
        <f aca="false">IF(B9916="","",IF(MATCH(B9916,$B$2:$B$12000,0)=ROW()-1,1,0))</f>
        <v/>
      </c>
    </row>
    <row r="9917" customFormat="false" ht="15" hidden="false" customHeight="false" outlineLevel="0" collapsed="false">
      <c r="V9917" s="23" t="str">
        <f aca="false">IF(ISNUMBER(C9917),YEAR(C9917),"")</f>
        <v/>
      </c>
      <c r="W9917" s="23" t="str">
        <f aca="false">IF(ISNUMBER(C9917),MONTH(C9917),"")</f>
        <v/>
      </c>
      <c r="X9917" s="23" t="str">
        <f aca="false">IF(T9917="","",IF(T9917=0,"No discount",IF(T9917&lt;=0.2,"Low (1-20%)",IF(T9917&lt;=0.4,"Medium (21-40%)","High (&gt;40%)"))))</f>
        <v/>
      </c>
      <c r="Y9917" s="23" t="str">
        <f aca="false">IF(AND(ISNUMBER(C9917),ISNUMBER(D9917)),D9917-C9917,"")</f>
        <v/>
      </c>
      <c r="Z9917" s="23" t="str">
        <f aca="false">IF(B9917="","",IF(MATCH(B9917,$B$2:$B$12000,0)=ROW()-1,1,0))</f>
        <v/>
      </c>
    </row>
    <row r="9918" customFormat="false" ht="15" hidden="false" customHeight="false" outlineLevel="0" collapsed="false">
      <c r="V9918" s="23" t="str">
        <f aca="false">IF(ISNUMBER(C9918),YEAR(C9918),"")</f>
        <v/>
      </c>
      <c r="W9918" s="23" t="str">
        <f aca="false">IF(ISNUMBER(C9918),MONTH(C9918),"")</f>
        <v/>
      </c>
      <c r="X9918" s="23" t="str">
        <f aca="false">IF(T9918="","",IF(T9918=0,"No discount",IF(T9918&lt;=0.2,"Low (1-20%)",IF(T9918&lt;=0.4,"Medium (21-40%)","High (&gt;40%)"))))</f>
        <v/>
      </c>
      <c r="Y9918" s="23" t="str">
        <f aca="false">IF(AND(ISNUMBER(C9918),ISNUMBER(D9918)),D9918-C9918,"")</f>
        <v/>
      </c>
      <c r="Z9918" s="23" t="str">
        <f aca="false">IF(B9918="","",IF(MATCH(B9918,$B$2:$B$12000,0)=ROW()-1,1,0))</f>
        <v/>
      </c>
    </row>
    <row r="9919" customFormat="false" ht="15" hidden="false" customHeight="false" outlineLevel="0" collapsed="false">
      <c r="V9919" s="23" t="str">
        <f aca="false">IF(ISNUMBER(C9919),YEAR(C9919),"")</f>
        <v/>
      </c>
      <c r="W9919" s="23" t="str">
        <f aca="false">IF(ISNUMBER(C9919),MONTH(C9919),"")</f>
        <v/>
      </c>
      <c r="X9919" s="23" t="str">
        <f aca="false">IF(T9919="","",IF(T9919=0,"No discount",IF(T9919&lt;=0.2,"Low (1-20%)",IF(T9919&lt;=0.4,"Medium (21-40%)","High (&gt;40%)"))))</f>
        <v/>
      </c>
      <c r="Y9919" s="23" t="str">
        <f aca="false">IF(AND(ISNUMBER(C9919),ISNUMBER(D9919)),D9919-C9919,"")</f>
        <v/>
      </c>
      <c r="Z9919" s="23" t="str">
        <f aca="false">IF(B9919="","",IF(MATCH(B9919,$B$2:$B$12000,0)=ROW()-1,1,0))</f>
        <v/>
      </c>
    </row>
    <row r="9920" customFormat="false" ht="15" hidden="false" customHeight="false" outlineLevel="0" collapsed="false">
      <c r="V9920" s="23" t="str">
        <f aca="false">IF(ISNUMBER(C9920),YEAR(C9920),"")</f>
        <v/>
      </c>
      <c r="W9920" s="23" t="str">
        <f aca="false">IF(ISNUMBER(C9920),MONTH(C9920),"")</f>
        <v/>
      </c>
      <c r="X9920" s="23" t="str">
        <f aca="false">IF(T9920="","",IF(T9920=0,"No discount",IF(T9920&lt;=0.2,"Low (1-20%)",IF(T9920&lt;=0.4,"Medium (21-40%)","High (&gt;40%)"))))</f>
        <v/>
      </c>
      <c r="Y9920" s="23" t="str">
        <f aca="false">IF(AND(ISNUMBER(C9920),ISNUMBER(D9920)),D9920-C9920,"")</f>
        <v/>
      </c>
      <c r="Z9920" s="23" t="str">
        <f aca="false">IF(B9920="","",IF(MATCH(B9920,$B$2:$B$12000,0)=ROW()-1,1,0))</f>
        <v/>
      </c>
    </row>
    <row r="9921" customFormat="false" ht="15" hidden="false" customHeight="false" outlineLevel="0" collapsed="false">
      <c r="V9921" s="23" t="str">
        <f aca="false">IF(ISNUMBER(C9921),YEAR(C9921),"")</f>
        <v/>
      </c>
      <c r="W9921" s="23" t="str">
        <f aca="false">IF(ISNUMBER(C9921),MONTH(C9921),"")</f>
        <v/>
      </c>
      <c r="X9921" s="23" t="str">
        <f aca="false">IF(T9921="","",IF(T9921=0,"No discount",IF(T9921&lt;=0.2,"Low (1-20%)",IF(T9921&lt;=0.4,"Medium (21-40%)","High (&gt;40%)"))))</f>
        <v/>
      </c>
      <c r="Y9921" s="23" t="str">
        <f aca="false">IF(AND(ISNUMBER(C9921),ISNUMBER(D9921)),D9921-C9921,"")</f>
        <v/>
      </c>
      <c r="Z9921" s="23" t="str">
        <f aca="false">IF(B9921="","",IF(MATCH(B9921,$B$2:$B$12000,0)=ROW()-1,1,0))</f>
        <v/>
      </c>
    </row>
    <row r="9922" customFormat="false" ht="15" hidden="false" customHeight="false" outlineLevel="0" collapsed="false">
      <c r="V9922" s="23" t="str">
        <f aca="false">IF(ISNUMBER(C9922),YEAR(C9922),"")</f>
        <v/>
      </c>
      <c r="W9922" s="23" t="str">
        <f aca="false">IF(ISNUMBER(C9922),MONTH(C9922),"")</f>
        <v/>
      </c>
      <c r="X9922" s="23" t="str">
        <f aca="false">IF(T9922="","",IF(T9922=0,"No discount",IF(T9922&lt;=0.2,"Low (1-20%)",IF(T9922&lt;=0.4,"Medium (21-40%)","High (&gt;40%)"))))</f>
        <v/>
      </c>
      <c r="Y9922" s="23" t="str">
        <f aca="false">IF(AND(ISNUMBER(C9922),ISNUMBER(D9922)),D9922-C9922,"")</f>
        <v/>
      </c>
      <c r="Z9922" s="23" t="str">
        <f aca="false">IF(B9922="","",IF(MATCH(B9922,$B$2:$B$12000,0)=ROW()-1,1,0))</f>
        <v/>
      </c>
    </row>
    <row r="9923" customFormat="false" ht="15" hidden="false" customHeight="false" outlineLevel="0" collapsed="false">
      <c r="V9923" s="23" t="str">
        <f aca="false">IF(ISNUMBER(C9923),YEAR(C9923),"")</f>
        <v/>
      </c>
      <c r="W9923" s="23" t="str">
        <f aca="false">IF(ISNUMBER(C9923),MONTH(C9923),"")</f>
        <v/>
      </c>
      <c r="X9923" s="23" t="str">
        <f aca="false">IF(T9923="","",IF(T9923=0,"No discount",IF(T9923&lt;=0.2,"Low (1-20%)",IF(T9923&lt;=0.4,"Medium (21-40%)","High (&gt;40%)"))))</f>
        <v/>
      </c>
      <c r="Y9923" s="23" t="str">
        <f aca="false">IF(AND(ISNUMBER(C9923),ISNUMBER(D9923)),D9923-C9923,"")</f>
        <v/>
      </c>
      <c r="Z9923" s="23" t="str">
        <f aca="false">IF(B9923="","",IF(MATCH(B9923,$B$2:$B$12000,0)=ROW()-1,1,0))</f>
        <v/>
      </c>
    </row>
    <row r="9924" customFormat="false" ht="15" hidden="false" customHeight="false" outlineLevel="0" collapsed="false">
      <c r="V9924" s="23" t="str">
        <f aca="false">IF(ISNUMBER(C9924),YEAR(C9924),"")</f>
        <v/>
      </c>
      <c r="W9924" s="23" t="str">
        <f aca="false">IF(ISNUMBER(C9924),MONTH(C9924),"")</f>
        <v/>
      </c>
      <c r="X9924" s="23" t="str">
        <f aca="false">IF(T9924="","",IF(T9924=0,"No discount",IF(T9924&lt;=0.2,"Low (1-20%)",IF(T9924&lt;=0.4,"Medium (21-40%)","High (&gt;40%)"))))</f>
        <v/>
      </c>
      <c r="Y9924" s="23" t="str">
        <f aca="false">IF(AND(ISNUMBER(C9924),ISNUMBER(D9924)),D9924-C9924,"")</f>
        <v/>
      </c>
      <c r="Z9924" s="23" t="str">
        <f aca="false">IF(B9924="","",IF(MATCH(B9924,$B$2:$B$12000,0)=ROW()-1,1,0))</f>
        <v/>
      </c>
    </row>
    <row r="9925" customFormat="false" ht="15" hidden="false" customHeight="false" outlineLevel="0" collapsed="false">
      <c r="V9925" s="23" t="str">
        <f aca="false">IF(ISNUMBER(C9925),YEAR(C9925),"")</f>
        <v/>
      </c>
      <c r="W9925" s="23" t="str">
        <f aca="false">IF(ISNUMBER(C9925),MONTH(C9925),"")</f>
        <v/>
      </c>
      <c r="X9925" s="23" t="str">
        <f aca="false">IF(T9925="","",IF(T9925=0,"No discount",IF(T9925&lt;=0.2,"Low (1-20%)",IF(T9925&lt;=0.4,"Medium (21-40%)","High (&gt;40%)"))))</f>
        <v/>
      </c>
      <c r="Y9925" s="23" t="str">
        <f aca="false">IF(AND(ISNUMBER(C9925),ISNUMBER(D9925)),D9925-C9925,"")</f>
        <v/>
      </c>
      <c r="Z9925" s="23" t="str">
        <f aca="false">IF(B9925="","",IF(MATCH(B9925,$B$2:$B$12000,0)=ROW()-1,1,0))</f>
        <v/>
      </c>
    </row>
    <row r="9926" customFormat="false" ht="15" hidden="false" customHeight="false" outlineLevel="0" collapsed="false">
      <c r="V9926" s="23" t="str">
        <f aca="false">IF(ISNUMBER(C9926),YEAR(C9926),"")</f>
        <v/>
      </c>
      <c r="W9926" s="23" t="str">
        <f aca="false">IF(ISNUMBER(C9926),MONTH(C9926),"")</f>
        <v/>
      </c>
      <c r="X9926" s="23" t="str">
        <f aca="false">IF(T9926="","",IF(T9926=0,"No discount",IF(T9926&lt;=0.2,"Low (1-20%)",IF(T9926&lt;=0.4,"Medium (21-40%)","High (&gt;40%)"))))</f>
        <v/>
      </c>
      <c r="Y9926" s="23" t="str">
        <f aca="false">IF(AND(ISNUMBER(C9926),ISNUMBER(D9926)),D9926-C9926,"")</f>
        <v/>
      </c>
      <c r="Z9926" s="23" t="str">
        <f aca="false">IF(B9926="","",IF(MATCH(B9926,$B$2:$B$12000,0)=ROW()-1,1,0))</f>
        <v/>
      </c>
    </row>
    <row r="9927" customFormat="false" ht="15" hidden="false" customHeight="false" outlineLevel="0" collapsed="false">
      <c r="V9927" s="23" t="str">
        <f aca="false">IF(ISNUMBER(C9927),YEAR(C9927),"")</f>
        <v/>
      </c>
      <c r="W9927" s="23" t="str">
        <f aca="false">IF(ISNUMBER(C9927),MONTH(C9927),"")</f>
        <v/>
      </c>
      <c r="X9927" s="23" t="str">
        <f aca="false">IF(T9927="","",IF(T9927=0,"No discount",IF(T9927&lt;=0.2,"Low (1-20%)",IF(T9927&lt;=0.4,"Medium (21-40%)","High (&gt;40%)"))))</f>
        <v/>
      </c>
      <c r="Y9927" s="23" t="str">
        <f aca="false">IF(AND(ISNUMBER(C9927),ISNUMBER(D9927)),D9927-C9927,"")</f>
        <v/>
      </c>
      <c r="Z9927" s="23" t="str">
        <f aca="false">IF(B9927="","",IF(MATCH(B9927,$B$2:$B$12000,0)=ROW()-1,1,0))</f>
        <v/>
      </c>
    </row>
    <row r="9928" customFormat="false" ht="15" hidden="false" customHeight="false" outlineLevel="0" collapsed="false">
      <c r="V9928" s="23" t="str">
        <f aca="false">IF(ISNUMBER(C9928),YEAR(C9928),"")</f>
        <v/>
      </c>
      <c r="W9928" s="23" t="str">
        <f aca="false">IF(ISNUMBER(C9928),MONTH(C9928),"")</f>
        <v/>
      </c>
      <c r="X9928" s="23" t="str">
        <f aca="false">IF(T9928="","",IF(T9928=0,"No discount",IF(T9928&lt;=0.2,"Low (1-20%)",IF(T9928&lt;=0.4,"Medium (21-40%)","High (&gt;40%)"))))</f>
        <v/>
      </c>
      <c r="Y9928" s="23" t="str">
        <f aca="false">IF(AND(ISNUMBER(C9928),ISNUMBER(D9928)),D9928-C9928,"")</f>
        <v/>
      </c>
      <c r="Z9928" s="23" t="str">
        <f aca="false">IF(B9928="","",IF(MATCH(B9928,$B$2:$B$12000,0)=ROW()-1,1,0))</f>
        <v/>
      </c>
    </row>
    <row r="9929" customFormat="false" ht="15" hidden="false" customHeight="false" outlineLevel="0" collapsed="false">
      <c r="V9929" s="23" t="str">
        <f aca="false">IF(ISNUMBER(C9929),YEAR(C9929),"")</f>
        <v/>
      </c>
      <c r="W9929" s="23" t="str">
        <f aca="false">IF(ISNUMBER(C9929),MONTH(C9929),"")</f>
        <v/>
      </c>
      <c r="X9929" s="23" t="str">
        <f aca="false">IF(T9929="","",IF(T9929=0,"No discount",IF(T9929&lt;=0.2,"Low (1-20%)",IF(T9929&lt;=0.4,"Medium (21-40%)","High (&gt;40%)"))))</f>
        <v/>
      </c>
      <c r="Y9929" s="23" t="str">
        <f aca="false">IF(AND(ISNUMBER(C9929),ISNUMBER(D9929)),D9929-C9929,"")</f>
        <v/>
      </c>
      <c r="Z9929" s="23" t="str">
        <f aca="false">IF(B9929="","",IF(MATCH(B9929,$B$2:$B$12000,0)=ROW()-1,1,0))</f>
        <v/>
      </c>
    </row>
    <row r="9930" customFormat="false" ht="15" hidden="false" customHeight="false" outlineLevel="0" collapsed="false">
      <c r="V9930" s="23" t="str">
        <f aca="false">IF(ISNUMBER(C9930),YEAR(C9930),"")</f>
        <v/>
      </c>
      <c r="W9930" s="23" t="str">
        <f aca="false">IF(ISNUMBER(C9930),MONTH(C9930),"")</f>
        <v/>
      </c>
      <c r="X9930" s="23" t="str">
        <f aca="false">IF(T9930="","",IF(T9930=0,"No discount",IF(T9930&lt;=0.2,"Low (1-20%)",IF(T9930&lt;=0.4,"Medium (21-40%)","High (&gt;40%)"))))</f>
        <v/>
      </c>
      <c r="Y9930" s="23" t="str">
        <f aca="false">IF(AND(ISNUMBER(C9930),ISNUMBER(D9930)),D9930-C9930,"")</f>
        <v/>
      </c>
      <c r="Z9930" s="23" t="str">
        <f aca="false">IF(B9930="","",IF(MATCH(B9930,$B$2:$B$12000,0)=ROW()-1,1,0))</f>
        <v/>
      </c>
    </row>
    <row r="9931" customFormat="false" ht="15" hidden="false" customHeight="false" outlineLevel="0" collapsed="false">
      <c r="V9931" s="23" t="str">
        <f aca="false">IF(ISNUMBER(C9931),YEAR(C9931),"")</f>
        <v/>
      </c>
      <c r="W9931" s="23" t="str">
        <f aca="false">IF(ISNUMBER(C9931),MONTH(C9931),"")</f>
        <v/>
      </c>
      <c r="X9931" s="23" t="str">
        <f aca="false">IF(T9931="","",IF(T9931=0,"No discount",IF(T9931&lt;=0.2,"Low (1-20%)",IF(T9931&lt;=0.4,"Medium (21-40%)","High (&gt;40%)"))))</f>
        <v/>
      </c>
      <c r="Y9931" s="23" t="str">
        <f aca="false">IF(AND(ISNUMBER(C9931),ISNUMBER(D9931)),D9931-C9931,"")</f>
        <v/>
      </c>
      <c r="Z9931" s="23" t="str">
        <f aca="false">IF(B9931="","",IF(MATCH(B9931,$B$2:$B$12000,0)=ROW()-1,1,0))</f>
        <v/>
      </c>
    </row>
    <row r="9932" customFormat="false" ht="15" hidden="false" customHeight="false" outlineLevel="0" collapsed="false">
      <c r="V9932" s="23" t="str">
        <f aca="false">IF(ISNUMBER(C9932),YEAR(C9932),"")</f>
        <v/>
      </c>
      <c r="W9932" s="23" t="str">
        <f aca="false">IF(ISNUMBER(C9932),MONTH(C9932),"")</f>
        <v/>
      </c>
      <c r="X9932" s="23" t="str">
        <f aca="false">IF(T9932="","",IF(T9932=0,"No discount",IF(T9932&lt;=0.2,"Low (1-20%)",IF(T9932&lt;=0.4,"Medium (21-40%)","High (&gt;40%)"))))</f>
        <v/>
      </c>
      <c r="Y9932" s="23" t="str">
        <f aca="false">IF(AND(ISNUMBER(C9932),ISNUMBER(D9932)),D9932-C9932,"")</f>
        <v/>
      </c>
      <c r="Z9932" s="23" t="str">
        <f aca="false">IF(B9932="","",IF(MATCH(B9932,$B$2:$B$12000,0)=ROW()-1,1,0))</f>
        <v/>
      </c>
    </row>
    <row r="9933" customFormat="false" ht="15" hidden="false" customHeight="false" outlineLevel="0" collapsed="false">
      <c r="V9933" s="23" t="str">
        <f aca="false">IF(ISNUMBER(C9933),YEAR(C9933),"")</f>
        <v/>
      </c>
      <c r="W9933" s="23" t="str">
        <f aca="false">IF(ISNUMBER(C9933),MONTH(C9933),"")</f>
        <v/>
      </c>
      <c r="X9933" s="23" t="str">
        <f aca="false">IF(T9933="","",IF(T9933=0,"No discount",IF(T9933&lt;=0.2,"Low (1-20%)",IF(T9933&lt;=0.4,"Medium (21-40%)","High (&gt;40%)"))))</f>
        <v/>
      </c>
      <c r="Y9933" s="23" t="str">
        <f aca="false">IF(AND(ISNUMBER(C9933),ISNUMBER(D9933)),D9933-C9933,"")</f>
        <v/>
      </c>
      <c r="Z9933" s="23" t="str">
        <f aca="false">IF(B9933="","",IF(MATCH(B9933,$B$2:$B$12000,0)=ROW()-1,1,0))</f>
        <v/>
      </c>
    </row>
    <row r="9934" customFormat="false" ht="15" hidden="false" customHeight="false" outlineLevel="0" collapsed="false">
      <c r="V9934" s="23" t="str">
        <f aca="false">IF(ISNUMBER(C9934),YEAR(C9934),"")</f>
        <v/>
      </c>
      <c r="W9934" s="23" t="str">
        <f aca="false">IF(ISNUMBER(C9934),MONTH(C9934),"")</f>
        <v/>
      </c>
      <c r="X9934" s="23" t="str">
        <f aca="false">IF(T9934="","",IF(T9934=0,"No discount",IF(T9934&lt;=0.2,"Low (1-20%)",IF(T9934&lt;=0.4,"Medium (21-40%)","High (&gt;40%)"))))</f>
        <v/>
      </c>
      <c r="Y9934" s="23" t="str">
        <f aca="false">IF(AND(ISNUMBER(C9934),ISNUMBER(D9934)),D9934-C9934,"")</f>
        <v/>
      </c>
      <c r="Z9934" s="23" t="str">
        <f aca="false">IF(B9934="","",IF(MATCH(B9934,$B$2:$B$12000,0)=ROW()-1,1,0))</f>
        <v/>
      </c>
    </row>
    <row r="9935" customFormat="false" ht="15" hidden="false" customHeight="false" outlineLevel="0" collapsed="false">
      <c r="V9935" s="23" t="str">
        <f aca="false">IF(ISNUMBER(C9935),YEAR(C9935),"")</f>
        <v/>
      </c>
      <c r="W9935" s="23" t="str">
        <f aca="false">IF(ISNUMBER(C9935),MONTH(C9935),"")</f>
        <v/>
      </c>
      <c r="X9935" s="23" t="str">
        <f aca="false">IF(T9935="","",IF(T9935=0,"No discount",IF(T9935&lt;=0.2,"Low (1-20%)",IF(T9935&lt;=0.4,"Medium (21-40%)","High (&gt;40%)"))))</f>
        <v/>
      </c>
      <c r="Y9935" s="23" t="str">
        <f aca="false">IF(AND(ISNUMBER(C9935),ISNUMBER(D9935)),D9935-C9935,"")</f>
        <v/>
      </c>
      <c r="Z9935" s="23" t="str">
        <f aca="false">IF(B9935="","",IF(MATCH(B9935,$B$2:$B$12000,0)=ROW()-1,1,0))</f>
        <v/>
      </c>
    </row>
    <row r="9936" customFormat="false" ht="15" hidden="false" customHeight="false" outlineLevel="0" collapsed="false">
      <c r="V9936" s="23" t="str">
        <f aca="false">IF(ISNUMBER(C9936),YEAR(C9936),"")</f>
        <v/>
      </c>
      <c r="W9936" s="23" t="str">
        <f aca="false">IF(ISNUMBER(C9936),MONTH(C9936),"")</f>
        <v/>
      </c>
      <c r="X9936" s="23" t="str">
        <f aca="false">IF(T9936="","",IF(T9936=0,"No discount",IF(T9936&lt;=0.2,"Low (1-20%)",IF(T9936&lt;=0.4,"Medium (21-40%)","High (&gt;40%)"))))</f>
        <v/>
      </c>
      <c r="Y9936" s="23" t="str">
        <f aca="false">IF(AND(ISNUMBER(C9936),ISNUMBER(D9936)),D9936-C9936,"")</f>
        <v/>
      </c>
      <c r="Z9936" s="23" t="str">
        <f aca="false">IF(B9936="","",IF(MATCH(B9936,$B$2:$B$12000,0)=ROW()-1,1,0))</f>
        <v/>
      </c>
    </row>
    <row r="9937" customFormat="false" ht="15" hidden="false" customHeight="false" outlineLevel="0" collapsed="false">
      <c r="V9937" s="23" t="str">
        <f aca="false">IF(ISNUMBER(C9937),YEAR(C9937),"")</f>
        <v/>
      </c>
      <c r="W9937" s="23" t="str">
        <f aca="false">IF(ISNUMBER(C9937),MONTH(C9937),"")</f>
        <v/>
      </c>
      <c r="X9937" s="23" t="str">
        <f aca="false">IF(T9937="","",IF(T9937=0,"No discount",IF(T9937&lt;=0.2,"Low (1-20%)",IF(T9937&lt;=0.4,"Medium (21-40%)","High (&gt;40%)"))))</f>
        <v/>
      </c>
      <c r="Y9937" s="23" t="str">
        <f aca="false">IF(AND(ISNUMBER(C9937),ISNUMBER(D9937)),D9937-C9937,"")</f>
        <v/>
      </c>
      <c r="Z9937" s="23" t="str">
        <f aca="false">IF(B9937="","",IF(MATCH(B9937,$B$2:$B$12000,0)=ROW()-1,1,0))</f>
        <v/>
      </c>
    </row>
    <row r="9938" customFormat="false" ht="15" hidden="false" customHeight="false" outlineLevel="0" collapsed="false">
      <c r="V9938" s="23" t="str">
        <f aca="false">IF(ISNUMBER(C9938),YEAR(C9938),"")</f>
        <v/>
      </c>
      <c r="W9938" s="23" t="str">
        <f aca="false">IF(ISNUMBER(C9938),MONTH(C9938),"")</f>
        <v/>
      </c>
      <c r="X9938" s="23" t="str">
        <f aca="false">IF(T9938="","",IF(T9938=0,"No discount",IF(T9938&lt;=0.2,"Low (1-20%)",IF(T9938&lt;=0.4,"Medium (21-40%)","High (&gt;40%)"))))</f>
        <v/>
      </c>
      <c r="Y9938" s="23" t="str">
        <f aca="false">IF(AND(ISNUMBER(C9938),ISNUMBER(D9938)),D9938-C9938,"")</f>
        <v/>
      </c>
      <c r="Z9938" s="23" t="str">
        <f aca="false">IF(B9938="","",IF(MATCH(B9938,$B$2:$B$12000,0)=ROW()-1,1,0))</f>
        <v/>
      </c>
    </row>
    <row r="9939" customFormat="false" ht="15" hidden="false" customHeight="false" outlineLevel="0" collapsed="false">
      <c r="V9939" s="23" t="str">
        <f aca="false">IF(ISNUMBER(C9939),YEAR(C9939),"")</f>
        <v/>
      </c>
      <c r="W9939" s="23" t="str">
        <f aca="false">IF(ISNUMBER(C9939),MONTH(C9939),"")</f>
        <v/>
      </c>
      <c r="X9939" s="23" t="str">
        <f aca="false">IF(T9939="","",IF(T9939=0,"No discount",IF(T9939&lt;=0.2,"Low (1-20%)",IF(T9939&lt;=0.4,"Medium (21-40%)","High (&gt;40%)"))))</f>
        <v/>
      </c>
      <c r="Y9939" s="23" t="str">
        <f aca="false">IF(AND(ISNUMBER(C9939),ISNUMBER(D9939)),D9939-C9939,"")</f>
        <v/>
      </c>
      <c r="Z9939" s="23" t="str">
        <f aca="false">IF(B9939="","",IF(MATCH(B9939,$B$2:$B$12000,0)=ROW()-1,1,0))</f>
        <v/>
      </c>
    </row>
    <row r="9940" customFormat="false" ht="15" hidden="false" customHeight="false" outlineLevel="0" collapsed="false">
      <c r="V9940" s="23" t="str">
        <f aca="false">IF(ISNUMBER(C9940),YEAR(C9940),"")</f>
        <v/>
      </c>
      <c r="W9940" s="23" t="str">
        <f aca="false">IF(ISNUMBER(C9940),MONTH(C9940),"")</f>
        <v/>
      </c>
      <c r="X9940" s="23" t="str">
        <f aca="false">IF(T9940="","",IF(T9940=0,"No discount",IF(T9940&lt;=0.2,"Low (1-20%)",IF(T9940&lt;=0.4,"Medium (21-40%)","High (&gt;40%)"))))</f>
        <v/>
      </c>
      <c r="Y9940" s="23" t="str">
        <f aca="false">IF(AND(ISNUMBER(C9940),ISNUMBER(D9940)),D9940-C9940,"")</f>
        <v/>
      </c>
      <c r="Z9940" s="23" t="str">
        <f aca="false">IF(B9940="","",IF(MATCH(B9940,$B$2:$B$12000,0)=ROW()-1,1,0))</f>
        <v/>
      </c>
    </row>
    <row r="9941" customFormat="false" ht="15" hidden="false" customHeight="false" outlineLevel="0" collapsed="false">
      <c r="V9941" s="23" t="str">
        <f aca="false">IF(ISNUMBER(C9941),YEAR(C9941),"")</f>
        <v/>
      </c>
      <c r="W9941" s="23" t="str">
        <f aca="false">IF(ISNUMBER(C9941),MONTH(C9941),"")</f>
        <v/>
      </c>
      <c r="X9941" s="23" t="str">
        <f aca="false">IF(T9941="","",IF(T9941=0,"No discount",IF(T9941&lt;=0.2,"Low (1-20%)",IF(T9941&lt;=0.4,"Medium (21-40%)","High (&gt;40%)"))))</f>
        <v/>
      </c>
      <c r="Y9941" s="23" t="str">
        <f aca="false">IF(AND(ISNUMBER(C9941),ISNUMBER(D9941)),D9941-C9941,"")</f>
        <v/>
      </c>
      <c r="Z9941" s="23" t="str">
        <f aca="false">IF(B9941="","",IF(MATCH(B9941,$B$2:$B$12000,0)=ROW()-1,1,0))</f>
        <v/>
      </c>
    </row>
    <row r="9942" customFormat="false" ht="15" hidden="false" customHeight="false" outlineLevel="0" collapsed="false">
      <c r="V9942" s="23" t="str">
        <f aca="false">IF(ISNUMBER(C9942),YEAR(C9942),"")</f>
        <v/>
      </c>
      <c r="W9942" s="23" t="str">
        <f aca="false">IF(ISNUMBER(C9942),MONTH(C9942),"")</f>
        <v/>
      </c>
      <c r="X9942" s="23" t="str">
        <f aca="false">IF(T9942="","",IF(T9942=0,"No discount",IF(T9942&lt;=0.2,"Low (1-20%)",IF(T9942&lt;=0.4,"Medium (21-40%)","High (&gt;40%)"))))</f>
        <v/>
      </c>
      <c r="Y9942" s="23" t="str">
        <f aca="false">IF(AND(ISNUMBER(C9942),ISNUMBER(D9942)),D9942-C9942,"")</f>
        <v/>
      </c>
      <c r="Z9942" s="23" t="str">
        <f aca="false">IF(B9942="","",IF(MATCH(B9942,$B$2:$B$12000,0)=ROW()-1,1,0))</f>
        <v/>
      </c>
    </row>
    <row r="9943" customFormat="false" ht="15" hidden="false" customHeight="false" outlineLevel="0" collapsed="false">
      <c r="V9943" s="23" t="str">
        <f aca="false">IF(ISNUMBER(C9943),YEAR(C9943),"")</f>
        <v/>
      </c>
      <c r="W9943" s="23" t="str">
        <f aca="false">IF(ISNUMBER(C9943),MONTH(C9943),"")</f>
        <v/>
      </c>
      <c r="X9943" s="23" t="str">
        <f aca="false">IF(T9943="","",IF(T9943=0,"No discount",IF(T9943&lt;=0.2,"Low (1-20%)",IF(T9943&lt;=0.4,"Medium (21-40%)","High (&gt;40%)"))))</f>
        <v/>
      </c>
      <c r="Y9943" s="23" t="str">
        <f aca="false">IF(AND(ISNUMBER(C9943),ISNUMBER(D9943)),D9943-C9943,"")</f>
        <v/>
      </c>
      <c r="Z9943" s="23" t="str">
        <f aca="false">IF(B9943="","",IF(MATCH(B9943,$B$2:$B$12000,0)=ROW()-1,1,0))</f>
        <v/>
      </c>
    </row>
    <row r="9944" customFormat="false" ht="15" hidden="false" customHeight="false" outlineLevel="0" collapsed="false">
      <c r="V9944" s="23" t="str">
        <f aca="false">IF(ISNUMBER(C9944),YEAR(C9944),"")</f>
        <v/>
      </c>
      <c r="W9944" s="23" t="str">
        <f aca="false">IF(ISNUMBER(C9944),MONTH(C9944),"")</f>
        <v/>
      </c>
      <c r="X9944" s="23" t="str">
        <f aca="false">IF(T9944="","",IF(T9944=0,"No discount",IF(T9944&lt;=0.2,"Low (1-20%)",IF(T9944&lt;=0.4,"Medium (21-40%)","High (&gt;40%)"))))</f>
        <v/>
      </c>
      <c r="Y9944" s="23" t="str">
        <f aca="false">IF(AND(ISNUMBER(C9944),ISNUMBER(D9944)),D9944-C9944,"")</f>
        <v/>
      </c>
      <c r="Z9944" s="23" t="str">
        <f aca="false">IF(B9944="","",IF(MATCH(B9944,$B$2:$B$12000,0)=ROW()-1,1,0))</f>
        <v/>
      </c>
    </row>
    <row r="9945" customFormat="false" ht="15" hidden="false" customHeight="false" outlineLevel="0" collapsed="false">
      <c r="V9945" s="23" t="str">
        <f aca="false">IF(ISNUMBER(C9945),YEAR(C9945),"")</f>
        <v/>
      </c>
      <c r="W9945" s="23" t="str">
        <f aca="false">IF(ISNUMBER(C9945),MONTH(C9945),"")</f>
        <v/>
      </c>
      <c r="X9945" s="23" t="str">
        <f aca="false">IF(T9945="","",IF(T9945=0,"No discount",IF(T9945&lt;=0.2,"Low (1-20%)",IF(T9945&lt;=0.4,"Medium (21-40%)","High (&gt;40%)"))))</f>
        <v/>
      </c>
      <c r="Y9945" s="23" t="str">
        <f aca="false">IF(AND(ISNUMBER(C9945),ISNUMBER(D9945)),D9945-C9945,"")</f>
        <v/>
      </c>
      <c r="Z9945" s="23" t="str">
        <f aca="false">IF(B9945="","",IF(MATCH(B9945,$B$2:$B$12000,0)=ROW()-1,1,0))</f>
        <v/>
      </c>
    </row>
    <row r="9946" customFormat="false" ht="15" hidden="false" customHeight="false" outlineLevel="0" collapsed="false">
      <c r="V9946" s="23" t="str">
        <f aca="false">IF(ISNUMBER(C9946),YEAR(C9946),"")</f>
        <v/>
      </c>
      <c r="W9946" s="23" t="str">
        <f aca="false">IF(ISNUMBER(C9946),MONTH(C9946),"")</f>
        <v/>
      </c>
      <c r="X9946" s="23" t="str">
        <f aca="false">IF(T9946="","",IF(T9946=0,"No discount",IF(T9946&lt;=0.2,"Low (1-20%)",IF(T9946&lt;=0.4,"Medium (21-40%)","High (&gt;40%)"))))</f>
        <v/>
      </c>
      <c r="Y9946" s="23" t="str">
        <f aca="false">IF(AND(ISNUMBER(C9946),ISNUMBER(D9946)),D9946-C9946,"")</f>
        <v/>
      </c>
      <c r="Z9946" s="23" t="str">
        <f aca="false">IF(B9946="","",IF(MATCH(B9946,$B$2:$B$12000,0)=ROW()-1,1,0))</f>
        <v/>
      </c>
    </row>
    <row r="9947" customFormat="false" ht="15" hidden="false" customHeight="false" outlineLevel="0" collapsed="false">
      <c r="V9947" s="23" t="str">
        <f aca="false">IF(ISNUMBER(C9947),YEAR(C9947),"")</f>
        <v/>
      </c>
      <c r="W9947" s="23" t="str">
        <f aca="false">IF(ISNUMBER(C9947),MONTH(C9947),"")</f>
        <v/>
      </c>
      <c r="X9947" s="23" t="str">
        <f aca="false">IF(T9947="","",IF(T9947=0,"No discount",IF(T9947&lt;=0.2,"Low (1-20%)",IF(T9947&lt;=0.4,"Medium (21-40%)","High (&gt;40%)"))))</f>
        <v/>
      </c>
      <c r="Y9947" s="23" t="str">
        <f aca="false">IF(AND(ISNUMBER(C9947),ISNUMBER(D9947)),D9947-C9947,"")</f>
        <v/>
      </c>
      <c r="Z9947" s="23" t="str">
        <f aca="false">IF(B9947="","",IF(MATCH(B9947,$B$2:$B$12000,0)=ROW()-1,1,0))</f>
        <v/>
      </c>
    </row>
    <row r="9948" customFormat="false" ht="15" hidden="false" customHeight="false" outlineLevel="0" collapsed="false">
      <c r="V9948" s="23" t="str">
        <f aca="false">IF(ISNUMBER(C9948),YEAR(C9948),"")</f>
        <v/>
      </c>
      <c r="W9948" s="23" t="str">
        <f aca="false">IF(ISNUMBER(C9948),MONTH(C9948),"")</f>
        <v/>
      </c>
      <c r="X9948" s="23" t="str">
        <f aca="false">IF(T9948="","",IF(T9948=0,"No discount",IF(T9948&lt;=0.2,"Low (1-20%)",IF(T9948&lt;=0.4,"Medium (21-40%)","High (&gt;40%)"))))</f>
        <v/>
      </c>
      <c r="Y9948" s="23" t="str">
        <f aca="false">IF(AND(ISNUMBER(C9948),ISNUMBER(D9948)),D9948-C9948,"")</f>
        <v/>
      </c>
      <c r="Z9948" s="23" t="str">
        <f aca="false">IF(B9948="","",IF(MATCH(B9948,$B$2:$B$12000,0)=ROW()-1,1,0))</f>
        <v/>
      </c>
    </row>
    <row r="9949" customFormat="false" ht="15" hidden="false" customHeight="false" outlineLevel="0" collapsed="false">
      <c r="V9949" s="23" t="str">
        <f aca="false">IF(ISNUMBER(C9949),YEAR(C9949),"")</f>
        <v/>
      </c>
      <c r="W9949" s="23" t="str">
        <f aca="false">IF(ISNUMBER(C9949),MONTH(C9949),"")</f>
        <v/>
      </c>
      <c r="X9949" s="23" t="str">
        <f aca="false">IF(T9949="","",IF(T9949=0,"No discount",IF(T9949&lt;=0.2,"Low (1-20%)",IF(T9949&lt;=0.4,"Medium (21-40%)","High (&gt;40%)"))))</f>
        <v/>
      </c>
      <c r="Y9949" s="23" t="str">
        <f aca="false">IF(AND(ISNUMBER(C9949),ISNUMBER(D9949)),D9949-C9949,"")</f>
        <v/>
      </c>
      <c r="Z9949" s="23" t="str">
        <f aca="false">IF(B9949="","",IF(MATCH(B9949,$B$2:$B$12000,0)=ROW()-1,1,0))</f>
        <v/>
      </c>
    </row>
    <row r="9950" customFormat="false" ht="15" hidden="false" customHeight="false" outlineLevel="0" collapsed="false">
      <c r="V9950" s="23" t="str">
        <f aca="false">IF(ISNUMBER(C9950),YEAR(C9950),"")</f>
        <v/>
      </c>
      <c r="W9950" s="23" t="str">
        <f aca="false">IF(ISNUMBER(C9950),MONTH(C9950),"")</f>
        <v/>
      </c>
      <c r="X9950" s="23" t="str">
        <f aca="false">IF(T9950="","",IF(T9950=0,"No discount",IF(T9950&lt;=0.2,"Low (1-20%)",IF(T9950&lt;=0.4,"Medium (21-40%)","High (&gt;40%)"))))</f>
        <v/>
      </c>
      <c r="Y9950" s="23" t="str">
        <f aca="false">IF(AND(ISNUMBER(C9950),ISNUMBER(D9950)),D9950-C9950,"")</f>
        <v/>
      </c>
      <c r="Z9950" s="23" t="str">
        <f aca="false">IF(B9950="","",IF(MATCH(B9950,$B$2:$B$12000,0)=ROW()-1,1,0))</f>
        <v/>
      </c>
    </row>
    <row r="9951" customFormat="false" ht="15" hidden="false" customHeight="false" outlineLevel="0" collapsed="false">
      <c r="V9951" s="23" t="str">
        <f aca="false">IF(ISNUMBER(C9951),YEAR(C9951),"")</f>
        <v/>
      </c>
      <c r="W9951" s="23" t="str">
        <f aca="false">IF(ISNUMBER(C9951),MONTH(C9951),"")</f>
        <v/>
      </c>
      <c r="X9951" s="23" t="str">
        <f aca="false">IF(T9951="","",IF(T9951=0,"No discount",IF(T9951&lt;=0.2,"Low (1-20%)",IF(T9951&lt;=0.4,"Medium (21-40%)","High (&gt;40%)"))))</f>
        <v/>
      </c>
      <c r="Y9951" s="23" t="str">
        <f aca="false">IF(AND(ISNUMBER(C9951),ISNUMBER(D9951)),D9951-C9951,"")</f>
        <v/>
      </c>
      <c r="Z9951" s="23" t="str">
        <f aca="false">IF(B9951="","",IF(MATCH(B9951,$B$2:$B$12000,0)=ROW()-1,1,0))</f>
        <v/>
      </c>
    </row>
    <row r="9952" customFormat="false" ht="15" hidden="false" customHeight="false" outlineLevel="0" collapsed="false">
      <c r="V9952" s="23" t="str">
        <f aca="false">IF(ISNUMBER(C9952),YEAR(C9952),"")</f>
        <v/>
      </c>
      <c r="W9952" s="23" t="str">
        <f aca="false">IF(ISNUMBER(C9952),MONTH(C9952),"")</f>
        <v/>
      </c>
      <c r="X9952" s="23" t="str">
        <f aca="false">IF(T9952="","",IF(T9952=0,"No discount",IF(T9952&lt;=0.2,"Low (1-20%)",IF(T9952&lt;=0.4,"Medium (21-40%)","High (&gt;40%)"))))</f>
        <v/>
      </c>
      <c r="Y9952" s="23" t="str">
        <f aca="false">IF(AND(ISNUMBER(C9952),ISNUMBER(D9952)),D9952-C9952,"")</f>
        <v/>
      </c>
      <c r="Z9952" s="23" t="str">
        <f aca="false">IF(B9952="","",IF(MATCH(B9952,$B$2:$B$12000,0)=ROW()-1,1,0))</f>
        <v/>
      </c>
    </row>
    <row r="9953" customFormat="false" ht="15" hidden="false" customHeight="false" outlineLevel="0" collapsed="false">
      <c r="V9953" s="23" t="str">
        <f aca="false">IF(ISNUMBER(C9953),YEAR(C9953),"")</f>
        <v/>
      </c>
      <c r="W9953" s="23" t="str">
        <f aca="false">IF(ISNUMBER(C9953),MONTH(C9953),"")</f>
        <v/>
      </c>
      <c r="X9953" s="23" t="str">
        <f aca="false">IF(T9953="","",IF(T9953=0,"No discount",IF(T9953&lt;=0.2,"Low (1-20%)",IF(T9953&lt;=0.4,"Medium (21-40%)","High (&gt;40%)"))))</f>
        <v/>
      </c>
      <c r="Y9953" s="23" t="str">
        <f aca="false">IF(AND(ISNUMBER(C9953),ISNUMBER(D9953)),D9953-C9953,"")</f>
        <v/>
      </c>
      <c r="Z9953" s="23" t="str">
        <f aca="false">IF(B9953="","",IF(MATCH(B9953,$B$2:$B$12000,0)=ROW()-1,1,0))</f>
        <v/>
      </c>
    </row>
    <row r="9954" customFormat="false" ht="15" hidden="false" customHeight="false" outlineLevel="0" collapsed="false">
      <c r="V9954" s="23" t="str">
        <f aca="false">IF(ISNUMBER(C9954),YEAR(C9954),"")</f>
        <v/>
      </c>
      <c r="W9954" s="23" t="str">
        <f aca="false">IF(ISNUMBER(C9954),MONTH(C9954),"")</f>
        <v/>
      </c>
      <c r="X9954" s="23" t="str">
        <f aca="false">IF(T9954="","",IF(T9954=0,"No discount",IF(T9954&lt;=0.2,"Low (1-20%)",IF(T9954&lt;=0.4,"Medium (21-40%)","High (&gt;40%)"))))</f>
        <v/>
      </c>
      <c r="Y9954" s="23" t="str">
        <f aca="false">IF(AND(ISNUMBER(C9954),ISNUMBER(D9954)),D9954-C9954,"")</f>
        <v/>
      </c>
      <c r="Z9954" s="23" t="str">
        <f aca="false">IF(B9954="","",IF(MATCH(B9954,$B$2:$B$12000,0)=ROW()-1,1,0))</f>
        <v/>
      </c>
    </row>
    <row r="9955" customFormat="false" ht="15" hidden="false" customHeight="false" outlineLevel="0" collapsed="false">
      <c r="V9955" s="23" t="str">
        <f aca="false">IF(ISNUMBER(C9955),YEAR(C9955),"")</f>
        <v/>
      </c>
      <c r="W9955" s="23" t="str">
        <f aca="false">IF(ISNUMBER(C9955),MONTH(C9955),"")</f>
        <v/>
      </c>
      <c r="X9955" s="23" t="str">
        <f aca="false">IF(T9955="","",IF(T9955=0,"No discount",IF(T9955&lt;=0.2,"Low (1-20%)",IF(T9955&lt;=0.4,"Medium (21-40%)","High (&gt;40%)"))))</f>
        <v/>
      </c>
      <c r="Y9955" s="23" t="str">
        <f aca="false">IF(AND(ISNUMBER(C9955),ISNUMBER(D9955)),D9955-C9955,"")</f>
        <v/>
      </c>
      <c r="Z9955" s="23" t="str">
        <f aca="false">IF(B9955="","",IF(MATCH(B9955,$B$2:$B$12000,0)=ROW()-1,1,0))</f>
        <v/>
      </c>
    </row>
    <row r="9956" customFormat="false" ht="15" hidden="false" customHeight="false" outlineLevel="0" collapsed="false">
      <c r="V9956" s="23" t="str">
        <f aca="false">IF(ISNUMBER(C9956),YEAR(C9956),"")</f>
        <v/>
      </c>
      <c r="W9956" s="23" t="str">
        <f aca="false">IF(ISNUMBER(C9956),MONTH(C9956),"")</f>
        <v/>
      </c>
      <c r="X9956" s="23" t="str">
        <f aca="false">IF(T9956="","",IF(T9956=0,"No discount",IF(T9956&lt;=0.2,"Low (1-20%)",IF(T9956&lt;=0.4,"Medium (21-40%)","High (&gt;40%)"))))</f>
        <v/>
      </c>
      <c r="Y9956" s="23" t="str">
        <f aca="false">IF(AND(ISNUMBER(C9956),ISNUMBER(D9956)),D9956-C9956,"")</f>
        <v/>
      </c>
      <c r="Z9956" s="23" t="str">
        <f aca="false">IF(B9956="","",IF(MATCH(B9956,$B$2:$B$12000,0)=ROW()-1,1,0))</f>
        <v/>
      </c>
    </row>
    <row r="9957" customFormat="false" ht="15" hidden="false" customHeight="false" outlineLevel="0" collapsed="false">
      <c r="V9957" s="23" t="str">
        <f aca="false">IF(ISNUMBER(C9957),YEAR(C9957),"")</f>
        <v/>
      </c>
      <c r="W9957" s="23" t="str">
        <f aca="false">IF(ISNUMBER(C9957),MONTH(C9957),"")</f>
        <v/>
      </c>
      <c r="X9957" s="23" t="str">
        <f aca="false">IF(T9957="","",IF(T9957=0,"No discount",IF(T9957&lt;=0.2,"Low (1-20%)",IF(T9957&lt;=0.4,"Medium (21-40%)","High (&gt;40%)"))))</f>
        <v/>
      </c>
      <c r="Y9957" s="23" t="str">
        <f aca="false">IF(AND(ISNUMBER(C9957),ISNUMBER(D9957)),D9957-C9957,"")</f>
        <v/>
      </c>
      <c r="Z9957" s="23" t="str">
        <f aca="false">IF(B9957="","",IF(MATCH(B9957,$B$2:$B$12000,0)=ROW()-1,1,0))</f>
        <v/>
      </c>
    </row>
    <row r="9958" customFormat="false" ht="15" hidden="false" customHeight="false" outlineLevel="0" collapsed="false">
      <c r="V9958" s="23" t="str">
        <f aca="false">IF(ISNUMBER(C9958),YEAR(C9958),"")</f>
        <v/>
      </c>
      <c r="W9958" s="23" t="str">
        <f aca="false">IF(ISNUMBER(C9958),MONTH(C9958),"")</f>
        <v/>
      </c>
      <c r="X9958" s="23" t="str">
        <f aca="false">IF(T9958="","",IF(T9958=0,"No discount",IF(T9958&lt;=0.2,"Low (1-20%)",IF(T9958&lt;=0.4,"Medium (21-40%)","High (&gt;40%)"))))</f>
        <v/>
      </c>
      <c r="Y9958" s="23" t="str">
        <f aca="false">IF(AND(ISNUMBER(C9958),ISNUMBER(D9958)),D9958-C9958,"")</f>
        <v/>
      </c>
      <c r="Z9958" s="23" t="str">
        <f aca="false">IF(B9958="","",IF(MATCH(B9958,$B$2:$B$12000,0)=ROW()-1,1,0))</f>
        <v/>
      </c>
    </row>
    <row r="9959" customFormat="false" ht="15" hidden="false" customHeight="false" outlineLevel="0" collapsed="false">
      <c r="V9959" s="23" t="str">
        <f aca="false">IF(ISNUMBER(C9959),YEAR(C9959),"")</f>
        <v/>
      </c>
      <c r="W9959" s="23" t="str">
        <f aca="false">IF(ISNUMBER(C9959),MONTH(C9959),"")</f>
        <v/>
      </c>
      <c r="X9959" s="23" t="str">
        <f aca="false">IF(T9959="","",IF(T9959=0,"No discount",IF(T9959&lt;=0.2,"Low (1-20%)",IF(T9959&lt;=0.4,"Medium (21-40%)","High (&gt;40%)"))))</f>
        <v/>
      </c>
      <c r="Y9959" s="23" t="str">
        <f aca="false">IF(AND(ISNUMBER(C9959),ISNUMBER(D9959)),D9959-C9959,"")</f>
        <v/>
      </c>
      <c r="Z9959" s="23" t="str">
        <f aca="false">IF(B9959="","",IF(MATCH(B9959,$B$2:$B$12000,0)=ROW()-1,1,0))</f>
        <v/>
      </c>
    </row>
    <row r="9960" customFormat="false" ht="15" hidden="false" customHeight="false" outlineLevel="0" collapsed="false">
      <c r="V9960" s="23" t="str">
        <f aca="false">IF(ISNUMBER(C9960),YEAR(C9960),"")</f>
        <v/>
      </c>
      <c r="W9960" s="23" t="str">
        <f aca="false">IF(ISNUMBER(C9960),MONTH(C9960),"")</f>
        <v/>
      </c>
      <c r="X9960" s="23" t="str">
        <f aca="false">IF(T9960="","",IF(T9960=0,"No discount",IF(T9960&lt;=0.2,"Low (1-20%)",IF(T9960&lt;=0.4,"Medium (21-40%)","High (&gt;40%)"))))</f>
        <v/>
      </c>
      <c r="Y9960" s="23" t="str">
        <f aca="false">IF(AND(ISNUMBER(C9960),ISNUMBER(D9960)),D9960-C9960,"")</f>
        <v/>
      </c>
      <c r="Z9960" s="23" t="str">
        <f aca="false">IF(B9960="","",IF(MATCH(B9960,$B$2:$B$12000,0)=ROW()-1,1,0))</f>
        <v/>
      </c>
    </row>
    <row r="9961" customFormat="false" ht="15" hidden="false" customHeight="false" outlineLevel="0" collapsed="false">
      <c r="V9961" s="23" t="str">
        <f aca="false">IF(ISNUMBER(C9961),YEAR(C9961),"")</f>
        <v/>
      </c>
      <c r="W9961" s="23" t="str">
        <f aca="false">IF(ISNUMBER(C9961),MONTH(C9961),"")</f>
        <v/>
      </c>
      <c r="X9961" s="23" t="str">
        <f aca="false">IF(T9961="","",IF(T9961=0,"No discount",IF(T9961&lt;=0.2,"Low (1-20%)",IF(T9961&lt;=0.4,"Medium (21-40%)","High (&gt;40%)"))))</f>
        <v/>
      </c>
      <c r="Y9961" s="23" t="str">
        <f aca="false">IF(AND(ISNUMBER(C9961),ISNUMBER(D9961)),D9961-C9961,"")</f>
        <v/>
      </c>
      <c r="Z9961" s="23" t="str">
        <f aca="false">IF(B9961="","",IF(MATCH(B9961,$B$2:$B$12000,0)=ROW()-1,1,0))</f>
        <v/>
      </c>
    </row>
    <row r="9962" customFormat="false" ht="15" hidden="false" customHeight="false" outlineLevel="0" collapsed="false">
      <c r="V9962" s="23" t="str">
        <f aca="false">IF(ISNUMBER(C9962),YEAR(C9962),"")</f>
        <v/>
      </c>
      <c r="W9962" s="23" t="str">
        <f aca="false">IF(ISNUMBER(C9962),MONTH(C9962),"")</f>
        <v/>
      </c>
      <c r="X9962" s="23" t="str">
        <f aca="false">IF(T9962="","",IF(T9962=0,"No discount",IF(T9962&lt;=0.2,"Low (1-20%)",IF(T9962&lt;=0.4,"Medium (21-40%)","High (&gt;40%)"))))</f>
        <v/>
      </c>
      <c r="Y9962" s="23" t="str">
        <f aca="false">IF(AND(ISNUMBER(C9962),ISNUMBER(D9962)),D9962-C9962,"")</f>
        <v/>
      </c>
      <c r="Z9962" s="23" t="str">
        <f aca="false">IF(B9962="","",IF(MATCH(B9962,$B$2:$B$12000,0)=ROW()-1,1,0))</f>
        <v/>
      </c>
    </row>
    <row r="9963" customFormat="false" ht="15" hidden="false" customHeight="false" outlineLevel="0" collapsed="false">
      <c r="V9963" s="23" t="str">
        <f aca="false">IF(ISNUMBER(C9963),YEAR(C9963),"")</f>
        <v/>
      </c>
      <c r="W9963" s="23" t="str">
        <f aca="false">IF(ISNUMBER(C9963),MONTH(C9963),"")</f>
        <v/>
      </c>
      <c r="X9963" s="23" t="str">
        <f aca="false">IF(T9963="","",IF(T9963=0,"No discount",IF(T9963&lt;=0.2,"Low (1-20%)",IF(T9963&lt;=0.4,"Medium (21-40%)","High (&gt;40%)"))))</f>
        <v/>
      </c>
      <c r="Y9963" s="23" t="str">
        <f aca="false">IF(AND(ISNUMBER(C9963),ISNUMBER(D9963)),D9963-C9963,"")</f>
        <v/>
      </c>
      <c r="Z9963" s="23" t="str">
        <f aca="false">IF(B9963="","",IF(MATCH(B9963,$B$2:$B$12000,0)=ROW()-1,1,0))</f>
        <v/>
      </c>
    </row>
    <row r="9964" customFormat="false" ht="15" hidden="false" customHeight="false" outlineLevel="0" collapsed="false">
      <c r="V9964" s="23" t="str">
        <f aca="false">IF(ISNUMBER(C9964),YEAR(C9964),"")</f>
        <v/>
      </c>
      <c r="W9964" s="23" t="str">
        <f aca="false">IF(ISNUMBER(C9964),MONTH(C9964),"")</f>
        <v/>
      </c>
      <c r="X9964" s="23" t="str">
        <f aca="false">IF(T9964="","",IF(T9964=0,"No discount",IF(T9964&lt;=0.2,"Low (1-20%)",IF(T9964&lt;=0.4,"Medium (21-40%)","High (&gt;40%)"))))</f>
        <v/>
      </c>
      <c r="Y9964" s="23" t="str">
        <f aca="false">IF(AND(ISNUMBER(C9964),ISNUMBER(D9964)),D9964-C9964,"")</f>
        <v/>
      </c>
      <c r="Z9964" s="23" t="str">
        <f aca="false">IF(B9964="","",IF(MATCH(B9964,$B$2:$B$12000,0)=ROW()-1,1,0))</f>
        <v/>
      </c>
    </row>
    <row r="9965" customFormat="false" ht="15" hidden="false" customHeight="false" outlineLevel="0" collapsed="false">
      <c r="V9965" s="23" t="str">
        <f aca="false">IF(ISNUMBER(C9965),YEAR(C9965),"")</f>
        <v/>
      </c>
      <c r="W9965" s="23" t="str">
        <f aca="false">IF(ISNUMBER(C9965),MONTH(C9965),"")</f>
        <v/>
      </c>
      <c r="X9965" s="23" t="str">
        <f aca="false">IF(T9965="","",IF(T9965=0,"No discount",IF(T9965&lt;=0.2,"Low (1-20%)",IF(T9965&lt;=0.4,"Medium (21-40%)","High (&gt;40%)"))))</f>
        <v/>
      </c>
      <c r="Y9965" s="23" t="str">
        <f aca="false">IF(AND(ISNUMBER(C9965),ISNUMBER(D9965)),D9965-C9965,"")</f>
        <v/>
      </c>
      <c r="Z9965" s="23" t="str">
        <f aca="false">IF(B9965="","",IF(MATCH(B9965,$B$2:$B$12000,0)=ROW()-1,1,0))</f>
        <v/>
      </c>
    </row>
    <row r="9966" customFormat="false" ht="15" hidden="false" customHeight="false" outlineLevel="0" collapsed="false">
      <c r="V9966" s="23" t="str">
        <f aca="false">IF(ISNUMBER(C9966),YEAR(C9966),"")</f>
        <v/>
      </c>
      <c r="W9966" s="23" t="str">
        <f aca="false">IF(ISNUMBER(C9966),MONTH(C9966),"")</f>
        <v/>
      </c>
      <c r="X9966" s="23" t="str">
        <f aca="false">IF(T9966="","",IF(T9966=0,"No discount",IF(T9966&lt;=0.2,"Low (1-20%)",IF(T9966&lt;=0.4,"Medium (21-40%)","High (&gt;40%)"))))</f>
        <v/>
      </c>
      <c r="Y9966" s="23" t="str">
        <f aca="false">IF(AND(ISNUMBER(C9966),ISNUMBER(D9966)),D9966-C9966,"")</f>
        <v/>
      </c>
      <c r="Z9966" s="23" t="str">
        <f aca="false">IF(B9966="","",IF(MATCH(B9966,$B$2:$B$12000,0)=ROW()-1,1,0))</f>
        <v/>
      </c>
    </row>
    <row r="9967" customFormat="false" ht="15" hidden="false" customHeight="false" outlineLevel="0" collapsed="false">
      <c r="V9967" s="23" t="str">
        <f aca="false">IF(ISNUMBER(C9967),YEAR(C9967),"")</f>
        <v/>
      </c>
      <c r="W9967" s="23" t="str">
        <f aca="false">IF(ISNUMBER(C9967),MONTH(C9967),"")</f>
        <v/>
      </c>
      <c r="X9967" s="23" t="str">
        <f aca="false">IF(T9967="","",IF(T9967=0,"No discount",IF(T9967&lt;=0.2,"Low (1-20%)",IF(T9967&lt;=0.4,"Medium (21-40%)","High (&gt;40%)"))))</f>
        <v/>
      </c>
      <c r="Y9967" s="23" t="str">
        <f aca="false">IF(AND(ISNUMBER(C9967),ISNUMBER(D9967)),D9967-C9967,"")</f>
        <v/>
      </c>
      <c r="Z9967" s="23" t="str">
        <f aca="false">IF(B9967="","",IF(MATCH(B9967,$B$2:$B$12000,0)=ROW()-1,1,0))</f>
        <v/>
      </c>
    </row>
    <row r="9968" customFormat="false" ht="15" hidden="false" customHeight="false" outlineLevel="0" collapsed="false">
      <c r="V9968" s="23" t="str">
        <f aca="false">IF(ISNUMBER(C9968),YEAR(C9968),"")</f>
        <v/>
      </c>
      <c r="W9968" s="23" t="str">
        <f aca="false">IF(ISNUMBER(C9968),MONTH(C9968),"")</f>
        <v/>
      </c>
      <c r="X9968" s="23" t="str">
        <f aca="false">IF(T9968="","",IF(T9968=0,"No discount",IF(T9968&lt;=0.2,"Low (1-20%)",IF(T9968&lt;=0.4,"Medium (21-40%)","High (&gt;40%)"))))</f>
        <v/>
      </c>
      <c r="Y9968" s="23" t="str">
        <f aca="false">IF(AND(ISNUMBER(C9968),ISNUMBER(D9968)),D9968-C9968,"")</f>
        <v/>
      </c>
      <c r="Z9968" s="23" t="str">
        <f aca="false">IF(B9968="","",IF(MATCH(B9968,$B$2:$B$12000,0)=ROW()-1,1,0))</f>
        <v/>
      </c>
    </row>
    <row r="9969" customFormat="false" ht="15" hidden="false" customHeight="false" outlineLevel="0" collapsed="false">
      <c r="V9969" s="23" t="str">
        <f aca="false">IF(ISNUMBER(C9969),YEAR(C9969),"")</f>
        <v/>
      </c>
      <c r="W9969" s="23" t="str">
        <f aca="false">IF(ISNUMBER(C9969),MONTH(C9969),"")</f>
        <v/>
      </c>
      <c r="X9969" s="23" t="str">
        <f aca="false">IF(T9969="","",IF(T9969=0,"No discount",IF(T9969&lt;=0.2,"Low (1-20%)",IF(T9969&lt;=0.4,"Medium (21-40%)","High (&gt;40%)"))))</f>
        <v/>
      </c>
      <c r="Y9969" s="23" t="str">
        <f aca="false">IF(AND(ISNUMBER(C9969),ISNUMBER(D9969)),D9969-C9969,"")</f>
        <v/>
      </c>
      <c r="Z9969" s="23" t="str">
        <f aca="false">IF(B9969="","",IF(MATCH(B9969,$B$2:$B$12000,0)=ROW()-1,1,0))</f>
        <v/>
      </c>
    </row>
    <row r="9970" customFormat="false" ht="15" hidden="false" customHeight="false" outlineLevel="0" collapsed="false">
      <c r="V9970" s="23" t="str">
        <f aca="false">IF(ISNUMBER(C9970),YEAR(C9970),"")</f>
        <v/>
      </c>
      <c r="W9970" s="23" t="str">
        <f aca="false">IF(ISNUMBER(C9970),MONTH(C9970),"")</f>
        <v/>
      </c>
      <c r="X9970" s="23" t="str">
        <f aca="false">IF(T9970="","",IF(T9970=0,"No discount",IF(T9970&lt;=0.2,"Low (1-20%)",IF(T9970&lt;=0.4,"Medium (21-40%)","High (&gt;40%)"))))</f>
        <v/>
      </c>
      <c r="Y9970" s="23" t="str">
        <f aca="false">IF(AND(ISNUMBER(C9970),ISNUMBER(D9970)),D9970-C9970,"")</f>
        <v/>
      </c>
      <c r="Z9970" s="23" t="str">
        <f aca="false">IF(B9970="","",IF(MATCH(B9970,$B$2:$B$12000,0)=ROW()-1,1,0))</f>
        <v/>
      </c>
    </row>
    <row r="9971" customFormat="false" ht="15" hidden="false" customHeight="false" outlineLevel="0" collapsed="false">
      <c r="V9971" s="23" t="str">
        <f aca="false">IF(ISNUMBER(C9971),YEAR(C9971),"")</f>
        <v/>
      </c>
      <c r="W9971" s="23" t="str">
        <f aca="false">IF(ISNUMBER(C9971),MONTH(C9971),"")</f>
        <v/>
      </c>
      <c r="X9971" s="23" t="str">
        <f aca="false">IF(T9971="","",IF(T9971=0,"No discount",IF(T9971&lt;=0.2,"Low (1-20%)",IF(T9971&lt;=0.4,"Medium (21-40%)","High (&gt;40%)"))))</f>
        <v/>
      </c>
      <c r="Y9971" s="23" t="str">
        <f aca="false">IF(AND(ISNUMBER(C9971),ISNUMBER(D9971)),D9971-C9971,"")</f>
        <v/>
      </c>
      <c r="Z9971" s="23" t="str">
        <f aca="false">IF(B9971="","",IF(MATCH(B9971,$B$2:$B$12000,0)=ROW()-1,1,0))</f>
        <v/>
      </c>
    </row>
    <row r="9972" customFormat="false" ht="15" hidden="false" customHeight="false" outlineLevel="0" collapsed="false">
      <c r="V9972" s="23" t="str">
        <f aca="false">IF(ISNUMBER(C9972),YEAR(C9972),"")</f>
        <v/>
      </c>
      <c r="W9972" s="23" t="str">
        <f aca="false">IF(ISNUMBER(C9972),MONTH(C9972),"")</f>
        <v/>
      </c>
      <c r="X9972" s="23" t="str">
        <f aca="false">IF(T9972="","",IF(T9972=0,"No discount",IF(T9972&lt;=0.2,"Low (1-20%)",IF(T9972&lt;=0.4,"Medium (21-40%)","High (&gt;40%)"))))</f>
        <v/>
      </c>
      <c r="Y9972" s="23" t="str">
        <f aca="false">IF(AND(ISNUMBER(C9972),ISNUMBER(D9972)),D9972-C9972,"")</f>
        <v/>
      </c>
      <c r="Z9972" s="23" t="str">
        <f aca="false">IF(B9972="","",IF(MATCH(B9972,$B$2:$B$12000,0)=ROW()-1,1,0))</f>
        <v/>
      </c>
    </row>
    <row r="9973" customFormat="false" ht="15" hidden="false" customHeight="false" outlineLevel="0" collapsed="false">
      <c r="V9973" s="23" t="str">
        <f aca="false">IF(ISNUMBER(C9973),YEAR(C9973),"")</f>
        <v/>
      </c>
      <c r="W9973" s="23" t="str">
        <f aca="false">IF(ISNUMBER(C9973),MONTH(C9973),"")</f>
        <v/>
      </c>
      <c r="X9973" s="23" t="str">
        <f aca="false">IF(T9973="","",IF(T9973=0,"No discount",IF(T9973&lt;=0.2,"Low (1-20%)",IF(T9973&lt;=0.4,"Medium (21-40%)","High (&gt;40%)"))))</f>
        <v/>
      </c>
      <c r="Y9973" s="23" t="str">
        <f aca="false">IF(AND(ISNUMBER(C9973),ISNUMBER(D9973)),D9973-C9973,"")</f>
        <v/>
      </c>
      <c r="Z9973" s="23" t="str">
        <f aca="false">IF(B9973="","",IF(MATCH(B9973,$B$2:$B$12000,0)=ROW()-1,1,0))</f>
        <v/>
      </c>
    </row>
    <row r="9974" customFormat="false" ht="15" hidden="false" customHeight="false" outlineLevel="0" collapsed="false">
      <c r="V9974" s="23" t="str">
        <f aca="false">IF(ISNUMBER(C9974),YEAR(C9974),"")</f>
        <v/>
      </c>
      <c r="W9974" s="23" t="str">
        <f aca="false">IF(ISNUMBER(C9974),MONTH(C9974),"")</f>
        <v/>
      </c>
      <c r="X9974" s="23" t="str">
        <f aca="false">IF(T9974="","",IF(T9974=0,"No discount",IF(T9974&lt;=0.2,"Low (1-20%)",IF(T9974&lt;=0.4,"Medium (21-40%)","High (&gt;40%)"))))</f>
        <v/>
      </c>
      <c r="Y9974" s="23" t="str">
        <f aca="false">IF(AND(ISNUMBER(C9974),ISNUMBER(D9974)),D9974-C9974,"")</f>
        <v/>
      </c>
      <c r="Z9974" s="23" t="str">
        <f aca="false">IF(B9974="","",IF(MATCH(B9974,$B$2:$B$12000,0)=ROW()-1,1,0))</f>
        <v/>
      </c>
    </row>
    <row r="9975" customFormat="false" ht="15" hidden="false" customHeight="false" outlineLevel="0" collapsed="false">
      <c r="V9975" s="23" t="str">
        <f aca="false">IF(ISNUMBER(C9975),YEAR(C9975),"")</f>
        <v/>
      </c>
      <c r="W9975" s="23" t="str">
        <f aca="false">IF(ISNUMBER(C9975),MONTH(C9975),"")</f>
        <v/>
      </c>
      <c r="X9975" s="23" t="str">
        <f aca="false">IF(T9975="","",IF(T9975=0,"No discount",IF(T9975&lt;=0.2,"Low (1-20%)",IF(T9975&lt;=0.4,"Medium (21-40%)","High (&gt;40%)"))))</f>
        <v/>
      </c>
      <c r="Y9975" s="23" t="str">
        <f aca="false">IF(AND(ISNUMBER(C9975),ISNUMBER(D9975)),D9975-C9975,"")</f>
        <v/>
      </c>
      <c r="Z9975" s="23" t="str">
        <f aca="false">IF(B9975="","",IF(MATCH(B9975,$B$2:$B$12000,0)=ROW()-1,1,0))</f>
        <v/>
      </c>
    </row>
    <row r="9976" customFormat="false" ht="15" hidden="false" customHeight="false" outlineLevel="0" collapsed="false">
      <c r="V9976" s="23" t="str">
        <f aca="false">IF(ISNUMBER(C9976),YEAR(C9976),"")</f>
        <v/>
      </c>
      <c r="W9976" s="23" t="str">
        <f aca="false">IF(ISNUMBER(C9976),MONTH(C9976),"")</f>
        <v/>
      </c>
      <c r="X9976" s="23" t="str">
        <f aca="false">IF(T9976="","",IF(T9976=0,"No discount",IF(T9976&lt;=0.2,"Low (1-20%)",IF(T9976&lt;=0.4,"Medium (21-40%)","High (&gt;40%)"))))</f>
        <v/>
      </c>
      <c r="Y9976" s="23" t="str">
        <f aca="false">IF(AND(ISNUMBER(C9976),ISNUMBER(D9976)),D9976-C9976,"")</f>
        <v/>
      </c>
      <c r="Z9976" s="23" t="str">
        <f aca="false">IF(B9976="","",IF(MATCH(B9976,$B$2:$B$12000,0)=ROW()-1,1,0))</f>
        <v/>
      </c>
    </row>
    <row r="9977" customFormat="false" ht="15" hidden="false" customHeight="false" outlineLevel="0" collapsed="false">
      <c r="V9977" s="23" t="str">
        <f aca="false">IF(ISNUMBER(C9977),YEAR(C9977),"")</f>
        <v/>
      </c>
      <c r="W9977" s="23" t="str">
        <f aca="false">IF(ISNUMBER(C9977),MONTH(C9977),"")</f>
        <v/>
      </c>
      <c r="X9977" s="23" t="str">
        <f aca="false">IF(T9977="","",IF(T9977=0,"No discount",IF(T9977&lt;=0.2,"Low (1-20%)",IF(T9977&lt;=0.4,"Medium (21-40%)","High (&gt;40%)"))))</f>
        <v/>
      </c>
      <c r="Y9977" s="23" t="str">
        <f aca="false">IF(AND(ISNUMBER(C9977),ISNUMBER(D9977)),D9977-C9977,"")</f>
        <v/>
      </c>
      <c r="Z9977" s="23" t="str">
        <f aca="false">IF(B9977="","",IF(MATCH(B9977,$B$2:$B$12000,0)=ROW()-1,1,0))</f>
        <v/>
      </c>
    </row>
    <row r="9978" customFormat="false" ht="15" hidden="false" customHeight="false" outlineLevel="0" collapsed="false">
      <c r="V9978" s="23" t="str">
        <f aca="false">IF(ISNUMBER(C9978),YEAR(C9978),"")</f>
        <v/>
      </c>
      <c r="W9978" s="23" t="str">
        <f aca="false">IF(ISNUMBER(C9978),MONTH(C9978),"")</f>
        <v/>
      </c>
      <c r="X9978" s="23" t="str">
        <f aca="false">IF(T9978="","",IF(T9978=0,"No discount",IF(T9978&lt;=0.2,"Low (1-20%)",IF(T9978&lt;=0.4,"Medium (21-40%)","High (&gt;40%)"))))</f>
        <v/>
      </c>
      <c r="Y9978" s="23" t="str">
        <f aca="false">IF(AND(ISNUMBER(C9978),ISNUMBER(D9978)),D9978-C9978,"")</f>
        <v/>
      </c>
      <c r="Z9978" s="23" t="str">
        <f aca="false">IF(B9978="","",IF(MATCH(B9978,$B$2:$B$12000,0)=ROW()-1,1,0))</f>
        <v/>
      </c>
    </row>
    <row r="9979" customFormat="false" ht="15" hidden="false" customHeight="false" outlineLevel="0" collapsed="false">
      <c r="V9979" s="23" t="str">
        <f aca="false">IF(ISNUMBER(C9979),YEAR(C9979),"")</f>
        <v/>
      </c>
      <c r="W9979" s="23" t="str">
        <f aca="false">IF(ISNUMBER(C9979),MONTH(C9979),"")</f>
        <v/>
      </c>
      <c r="X9979" s="23" t="str">
        <f aca="false">IF(T9979="","",IF(T9979=0,"No discount",IF(T9979&lt;=0.2,"Low (1-20%)",IF(T9979&lt;=0.4,"Medium (21-40%)","High (&gt;40%)"))))</f>
        <v/>
      </c>
      <c r="Y9979" s="23" t="str">
        <f aca="false">IF(AND(ISNUMBER(C9979),ISNUMBER(D9979)),D9979-C9979,"")</f>
        <v/>
      </c>
      <c r="Z9979" s="23" t="str">
        <f aca="false">IF(B9979="","",IF(MATCH(B9979,$B$2:$B$12000,0)=ROW()-1,1,0))</f>
        <v/>
      </c>
    </row>
    <row r="9980" customFormat="false" ht="15" hidden="false" customHeight="false" outlineLevel="0" collapsed="false">
      <c r="V9980" s="23" t="str">
        <f aca="false">IF(ISNUMBER(C9980),YEAR(C9980),"")</f>
        <v/>
      </c>
      <c r="W9980" s="23" t="str">
        <f aca="false">IF(ISNUMBER(C9980),MONTH(C9980),"")</f>
        <v/>
      </c>
      <c r="X9980" s="23" t="str">
        <f aca="false">IF(T9980="","",IF(T9980=0,"No discount",IF(T9980&lt;=0.2,"Low (1-20%)",IF(T9980&lt;=0.4,"Medium (21-40%)","High (&gt;40%)"))))</f>
        <v/>
      </c>
      <c r="Y9980" s="23" t="str">
        <f aca="false">IF(AND(ISNUMBER(C9980),ISNUMBER(D9980)),D9980-C9980,"")</f>
        <v/>
      </c>
      <c r="Z9980" s="23" t="str">
        <f aca="false">IF(B9980="","",IF(MATCH(B9980,$B$2:$B$12000,0)=ROW()-1,1,0))</f>
        <v/>
      </c>
    </row>
    <row r="9981" customFormat="false" ht="15" hidden="false" customHeight="false" outlineLevel="0" collapsed="false">
      <c r="V9981" s="23" t="str">
        <f aca="false">IF(ISNUMBER(C9981),YEAR(C9981),"")</f>
        <v/>
      </c>
      <c r="W9981" s="23" t="str">
        <f aca="false">IF(ISNUMBER(C9981),MONTH(C9981),"")</f>
        <v/>
      </c>
      <c r="X9981" s="23" t="str">
        <f aca="false">IF(T9981="","",IF(T9981=0,"No discount",IF(T9981&lt;=0.2,"Low (1-20%)",IF(T9981&lt;=0.4,"Medium (21-40%)","High (&gt;40%)"))))</f>
        <v/>
      </c>
      <c r="Y9981" s="23" t="str">
        <f aca="false">IF(AND(ISNUMBER(C9981),ISNUMBER(D9981)),D9981-C9981,"")</f>
        <v/>
      </c>
      <c r="Z9981" s="23" t="str">
        <f aca="false">IF(B9981="","",IF(MATCH(B9981,$B$2:$B$12000,0)=ROW()-1,1,0))</f>
        <v/>
      </c>
    </row>
    <row r="9982" customFormat="false" ht="15" hidden="false" customHeight="false" outlineLevel="0" collapsed="false">
      <c r="V9982" s="23" t="str">
        <f aca="false">IF(ISNUMBER(C9982),YEAR(C9982),"")</f>
        <v/>
      </c>
      <c r="W9982" s="23" t="str">
        <f aca="false">IF(ISNUMBER(C9982),MONTH(C9982),"")</f>
        <v/>
      </c>
      <c r="X9982" s="23" t="str">
        <f aca="false">IF(T9982="","",IF(T9982=0,"No discount",IF(T9982&lt;=0.2,"Low (1-20%)",IF(T9982&lt;=0.4,"Medium (21-40%)","High (&gt;40%)"))))</f>
        <v/>
      </c>
      <c r="Y9982" s="23" t="str">
        <f aca="false">IF(AND(ISNUMBER(C9982),ISNUMBER(D9982)),D9982-C9982,"")</f>
        <v/>
      </c>
      <c r="Z9982" s="23" t="str">
        <f aca="false">IF(B9982="","",IF(MATCH(B9982,$B$2:$B$12000,0)=ROW()-1,1,0))</f>
        <v/>
      </c>
    </row>
    <row r="9983" customFormat="false" ht="15" hidden="false" customHeight="false" outlineLevel="0" collapsed="false">
      <c r="V9983" s="23" t="str">
        <f aca="false">IF(ISNUMBER(C9983),YEAR(C9983),"")</f>
        <v/>
      </c>
      <c r="W9983" s="23" t="str">
        <f aca="false">IF(ISNUMBER(C9983),MONTH(C9983),"")</f>
        <v/>
      </c>
      <c r="X9983" s="23" t="str">
        <f aca="false">IF(T9983="","",IF(T9983=0,"No discount",IF(T9983&lt;=0.2,"Low (1-20%)",IF(T9983&lt;=0.4,"Medium (21-40%)","High (&gt;40%)"))))</f>
        <v/>
      </c>
      <c r="Y9983" s="23" t="str">
        <f aca="false">IF(AND(ISNUMBER(C9983),ISNUMBER(D9983)),D9983-C9983,"")</f>
        <v/>
      </c>
      <c r="Z9983" s="23" t="str">
        <f aca="false">IF(B9983="","",IF(MATCH(B9983,$B$2:$B$12000,0)=ROW()-1,1,0))</f>
        <v/>
      </c>
    </row>
    <row r="9984" customFormat="false" ht="15" hidden="false" customHeight="false" outlineLevel="0" collapsed="false">
      <c r="V9984" s="23" t="str">
        <f aca="false">IF(ISNUMBER(C9984),YEAR(C9984),"")</f>
        <v/>
      </c>
      <c r="W9984" s="23" t="str">
        <f aca="false">IF(ISNUMBER(C9984),MONTH(C9984),"")</f>
        <v/>
      </c>
      <c r="X9984" s="23" t="str">
        <f aca="false">IF(T9984="","",IF(T9984=0,"No discount",IF(T9984&lt;=0.2,"Low (1-20%)",IF(T9984&lt;=0.4,"Medium (21-40%)","High (&gt;40%)"))))</f>
        <v/>
      </c>
      <c r="Y9984" s="23" t="str">
        <f aca="false">IF(AND(ISNUMBER(C9984),ISNUMBER(D9984)),D9984-C9984,"")</f>
        <v/>
      </c>
      <c r="Z9984" s="23" t="str">
        <f aca="false">IF(B9984="","",IF(MATCH(B9984,$B$2:$B$12000,0)=ROW()-1,1,0))</f>
        <v/>
      </c>
    </row>
    <row r="9985" customFormat="false" ht="15" hidden="false" customHeight="false" outlineLevel="0" collapsed="false">
      <c r="V9985" s="23" t="str">
        <f aca="false">IF(ISNUMBER(C9985),YEAR(C9985),"")</f>
        <v/>
      </c>
      <c r="W9985" s="23" t="str">
        <f aca="false">IF(ISNUMBER(C9985),MONTH(C9985),"")</f>
        <v/>
      </c>
      <c r="X9985" s="23" t="str">
        <f aca="false">IF(T9985="","",IF(T9985=0,"No discount",IF(T9985&lt;=0.2,"Low (1-20%)",IF(T9985&lt;=0.4,"Medium (21-40%)","High (&gt;40%)"))))</f>
        <v/>
      </c>
      <c r="Y9985" s="23" t="str">
        <f aca="false">IF(AND(ISNUMBER(C9985),ISNUMBER(D9985)),D9985-C9985,"")</f>
        <v/>
      </c>
      <c r="Z9985" s="23" t="str">
        <f aca="false">IF(B9985="","",IF(MATCH(B9985,$B$2:$B$12000,0)=ROW()-1,1,0))</f>
        <v/>
      </c>
    </row>
    <row r="9986" customFormat="false" ht="15" hidden="false" customHeight="false" outlineLevel="0" collapsed="false">
      <c r="V9986" s="23" t="str">
        <f aca="false">IF(ISNUMBER(C9986),YEAR(C9986),"")</f>
        <v/>
      </c>
      <c r="W9986" s="23" t="str">
        <f aca="false">IF(ISNUMBER(C9986),MONTH(C9986),"")</f>
        <v/>
      </c>
      <c r="X9986" s="23" t="str">
        <f aca="false">IF(T9986="","",IF(T9986=0,"No discount",IF(T9986&lt;=0.2,"Low (1-20%)",IF(T9986&lt;=0.4,"Medium (21-40%)","High (&gt;40%)"))))</f>
        <v/>
      </c>
      <c r="Y9986" s="23" t="str">
        <f aca="false">IF(AND(ISNUMBER(C9986),ISNUMBER(D9986)),D9986-C9986,"")</f>
        <v/>
      </c>
      <c r="Z9986" s="23" t="str">
        <f aca="false">IF(B9986="","",IF(MATCH(B9986,$B$2:$B$12000,0)=ROW()-1,1,0))</f>
        <v/>
      </c>
    </row>
    <row r="9987" customFormat="false" ht="15" hidden="false" customHeight="false" outlineLevel="0" collapsed="false">
      <c r="V9987" s="23" t="str">
        <f aca="false">IF(ISNUMBER(C9987),YEAR(C9987),"")</f>
        <v/>
      </c>
      <c r="W9987" s="23" t="str">
        <f aca="false">IF(ISNUMBER(C9987),MONTH(C9987),"")</f>
        <v/>
      </c>
      <c r="X9987" s="23" t="str">
        <f aca="false">IF(T9987="","",IF(T9987=0,"No discount",IF(T9987&lt;=0.2,"Low (1-20%)",IF(T9987&lt;=0.4,"Medium (21-40%)","High (&gt;40%)"))))</f>
        <v/>
      </c>
      <c r="Y9987" s="23" t="str">
        <f aca="false">IF(AND(ISNUMBER(C9987),ISNUMBER(D9987)),D9987-C9987,"")</f>
        <v/>
      </c>
      <c r="Z9987" s="23" t="str">
        <f aca="false">IF(B9987="","",IF(MATCH(B9987,$B$2:$B$12000,0)=ROW()-1,1,0))</f>
        <v/>
      </c>
    </row>
    <row r="9988" customFormat="false" ht="15" hidden="false" customHeight="false" outlineLevel="0" collapsed="false">
      <c r="V9988" s="23" t="str">
        <f aca="false">IF(ISNUMBER(C9988),YEAR(C9988),"")</f>
        <v/>
      </c>
      <c r="W9988" s="23" t="str">
        <f aca="false">IF(ISNUMBER(C9988),MONTH(C9988),"")</f>
        <v/>
      </c>
      <c r="X9988" s="23" t="str">
        <f aca="false">IF(T9988="","",IF(T9988=0,"No discount",IF(T9988&lt;=0.2,"Low (1-20%)",IF(T9988&lt;=0.4,"Medium (21-40%)","High (&gt;40%)"))))</f>
        <v/>
      </c>
      <c r="Y9988" s="23" t="str">
        <f aca="false">IF(AND(ISNUMBER(C9988),ISNUMBER(D9988)),D9988-C9988,"")</f>
        <v/>
      </c>
      <c r="Z9988" s="23" t="str">
        <f aca="false">IF(B9988="","",IF(MATCH(B9988,$B$2:$B$12000,0)=ROW()-1,1,0))</f>
        <v/>
      </c>
    </row>
    <row r="9989" customFormat="false" ht="15" hidden="false" customHeight="false" outlineLevel="0" collapsed="false">
      <c r="V9989" s="23" t="str">
        <f aca="false">IF(ISNUMBER(C9989),YEAR(C9989),"")</f>
        <v/>
      </c>
      <c r="W9989" s="23" t="str">
        <f aca="false">IF(ISNUMBER(C9989),MONTH(C9989),"")</f>
        <v/>
      </c>
      <c r="X9989" s="23" t="str">
        <f aca="false">IF(T9989="","",IF(T9989=0,"No discount",IF(T9989&lt;=0.2,"Low (1-20%)",IF(T9989&lt;=0.4,"Medium (21-40%)","High (&gt;40%)"))))</f>
        <v/>
      </c>
      <c r="Y9989" s="23" t="str">
        <f aca="false">IF(AND(ISNUMBER(C9989),ISNUMBER(D9989)),D9989-C9989,"")</f>
        <v/>
      </c>
      <c r="Z9989" s="23" t="str">
        <f aca="false">IF(B9989="","",IF(MATCH(B9989,$B$2:$B$12000,0)=ROW()-1,1,0))</f>
        <v/>
      </c>
    </row>
    <row r="9990" customFormat="false" ht="15" hidden="false" customHeight="false" outlineLevel="0" collapsed="false">
      <c r="V9990" s="23" t="str">
        <f aca="false">IF(ISNUMBER(C9990),YEAR(C9990),"")</f>
        <v/>
      </c>
      <c r="W9990" s="23" t="str">
        <f aca="false">IF(ISNUMBER(C9990),MONTH(C9990),"")</f>
        <v/>
      </c>
      <c r="X9990" s="23" t="str">
        <f aca="false">IF(T9990="","",IF(T9990=0,"No discount",IF(T9990&lt;=0.2,"Low (1-20%)",IF(T9990&lt;=0.4,"Medium (21-40%)","High (&gt;40%)"))))</f>
        <v/>
      </c>
      <c r="Y9990" s="23" t="str">
        <f aca="false">IF(AND(ISNUMBER(C9990),ISNUMBER(D9990)),D9990-C9990,"")</f>
        <v/>
      </c>
      <c r="Z9990" s="23" t="str">
        <f aca="false">IF(B9990="","",IF(MATCH(B9990,$B$2:$B$12000,0)=ROW()-1,1,0))</f>
        <v/>
      </c>
    </row>
    <row r="9991" customFormat="false" ht="15" hidden="false" customHeight="false" outlineLevel="0" collapsed="false">
      <c r="V9991" s="23" t="str">
        <f aca="false">IF(ISNUMBER(C9991),YEAR(C9991),"")</f>
        <v/>
      </c>
      <c r="W9991" s="23" t="str">
        <f aca="false">IF(ISNUMBER(C9991),MONTH(C9991),"")</f>
        <v/>
      </c>
      <c r="X9991" s="23" t="str">
        <f aca="false">IF(T9991="","",IF(T9991=0,"No discount",IF(T9991&lt;=0.2,"Low (1-20%)",IF(T9991&lt;=0.4,"Medium (21-40%)","High (&gt;40%)"))))</f>
        <v/>
      </c>
      <c r="Y9991" s="23" t="str">
        <f aca="false">IF(AND(ISNUMBER(C9991),ISNUMBER(D9991)),D9991-C9991,"")</f>
        <v/>
      </c>
      <c r="Z9991" s="23" t="str">
        <f aca="false">IF(B9991="","",IF(MATCH(B9991,$B$2:$B$12000,0)=ROW()-1,1,0))</f>
        <v/>
      </c>
    </row>
    <row r="9992" customFormat="false" ht="15" hidden="false" customHeight="false" outlineLevel="0" collapsed="false">
      <c r="V9992" s="23" t="str">
        <f aca="false">IF(ISNUMBER(C9992),YEAR(C9992),"")</f>
        <v/>
      </c>
      <c r="W9992" s="23" t="str">
        <f aca="false">IF(ISNUMBER(C9992),MONTH(C9992),"")</f>
        <v/>
      </c>
      <c r="X9992" s="23" t="str">
        <f aca="false">IF(T9992="","",IF(T9992=0,"No discount",IF(T9992&lt;=0.2,"Low (1-20%)",IF(T9992&lt;=0.4,"Medium (21-40%)","High (&gt;40%)"))))</f>
        <v/>
      </c>
      <c r="Y9992" s="23" t="str">
        <f aca="false">IF(AND(ISNUMBER(C9992),ISNUMBER(D9992)),D9992-C9992,"")</f>
        <v/>
      </c>
      <c r="Z9992" s="23" t="str">
        <f aca="false">IF(B9992="","",IF(MATCH(B9992,$B$2:$B$12000,0)=ROW()-1,1,0))</f>
        <v/>
      </c>
    </row>
    <row r="9993" customFormat="false" ht="15" hidden="false" customHeight="false" outlineLevel="0" collapsed="false">
      <c r="V9993" s="23" t="str">
        <f aca="false">IF(ISNUMBER(C9993),YEAR(C9993),"")</f>
        <v/>
      </c>
      <c r="W9993" s="23" t="str">
        <f aca="false">IF(ISNUMBER(C9993),MONTH(C9993),"")</f>
        <v/>
      </c>
      <c r="X9993" s="23" t="str">
        <f aca="false">IF(T9993="","",IF(T9993=0,"No discount",IF(T9993&lt;=0.2,"Low (1-20%)",IF(T9993&lt;=0.4,"Medium (21-40%)","High (&gt;40%)"))))</f>
        <v/>
      </c>
      <c r="Y9993" s="23" t="str">
        <f aca="false">IF(AND(ISNUMBER(C9993),ISNUMBER(D9993)),D9993-C9993,"")</f>
        <v/>
      </c>
      <c r="Z9993" s="23" t="str">
        <f aca="false">IF(B9993="","",IF(MATCH(B9993,$B$2:$B$12000,0)=ROW()-1,1,0))</f>
        <v/>
      </c>
    </row>
    <row r="9994" customFormat="false" ht="15" hidden="false" customHeight="false" outlineLevel="0" collapsed="false">
      <c r="V9994" s="23" t="str">
        <f aca="false">IF(ISNUMBER(C9994),YEAR(C9994),"")</f>
        <v/>
      </c>
      <c r="W9994" s="23" t="str">
        <f aca="false">IF(ISNUMBER(C9994),MONTH(C9994),"")</f>
        <v/>
      </c>
      <c r="X9994" s="23" t="str">
        <f aca="false">IF(T9994="","",IF(T9994=0,"No discount",IF(T9994&lt;=0.2,"Low (1-20%)",IF(T9994&lt;=0.4,"Medium (21-40%)","High (&gt;40%)"))))</f>
        <v/>
      </c>
      <c r="Y9994" s="23" t="str">
        <f aca="false">IF(AND(ISNUMBER(C9994),ISNUMBER(D9994)),D9994-C9994,"")</f>
        <v/>
      </c>
      <c r="Z9994" s="23" t="str">
        <f aca="false">IF(B9994="","",IF(MATCH(B9994,$B$2:$B$12000,0)=ROW()-1,1,0))</f>
        <v/>
      </c>
    </row>
    <row r="9995" customFormat="false" ht="15" hidden="false" customHeight="false" outlineLevel="0" collapsed="false">
      <c r="V9995" s="23" t="str">
        <f aca="false">IF(ISNUMBER(C9995),YEAR(C9995),"")</f>
        <v/>
      </c>
      <c r="W9995" s="23" t="str">
        <f aca="false">IF(ISNUMBER(C9995),MONTH(C9995),"")</f>
        <v/>
      </c>
      <c r="X9995" s="23" t="str">
        <f aca="false">IF(T9995="","",IF(T9995=0,"No discount",IF(T9995&lt;=0.2,"Low (1-20%)",IF(T9995&lt;=0.4,"Medium (21-40%)","High (&gt;40%)"))))</f>
        <v/>
      </c>
      <c r="Y9995" s="23" t="str">
        <f aca="false">IF(AND(ISNUMBER(C9995),ISNUMBER(D9995)),D9995-C9995,"")</f>
        <v/>
      </c>
      <c r="Z9995" s="23" t="str">
        <f aca="false">IF(B9995="","",IF(MATCH(B9995,$B$2:$B$12000,0)=ROW()-1,1,0))</f>
        <v/>
      </c>
    </row>
    <row r="9996" customFormat="false" ht="15" hidden="false" customHeight="false" outlineLevel="0" collapsed="false">
      <c r="V9996" s="23" t="str">
        <f aca="false">IF(ISNUMBER(C9996),YEAR(C9996),"")</f>
        <v/>
      </c>
      <c r="W9996" s="23" t="str">
        <f aca="false">IF(ISNUMBER(C9996),MONTH(C9996),"")</f>
        <v/>
      </c>
      <c r="X9996" s="23" t="str">
        <f aca="false">IF(T9996="","",IF(T9996=0,"No discount",IF(T9996&lt;=0.2,"Low (1-20%)",IF(T9996&lt;=0.4,"Medium (21-40%)","High (&gt;40%)"))))</f>
        <v/>
      </c>
      <c r="Y9996" s="23" t="str">
        <f aca="false">IF(AND(ISNUMBER(C9996),ISNUMBER(D9996)),D9996-C9996,"")</f>
        <v/>
      </c>
      <c r="Z9996" s="23" t="str">
        <f aca="false">IF(B9996="","",IF(MATCH(B9996,$B$2:$B$12000,0)=ROW()-1,1,0))</f>
        <v/>
      </c>
    </row>
    <row r="9997" customFormat="false" ht="15" hidden="false" customHeight="false" outlineLevel="0" collapsed="false">
      <c r="V9997" s="23" t="str">
        <f aca="false">IF(ISNUMBER(C9997),YEAR(C9997),"")</f>
        <v/>
      </c>
      <c r="W9997" s="23" t="str">
        <f aca="false">IF(ISNUMBER(C9997),MONTH(C9997),"")</f>
        <v/>
      </c>
      <c r="X9997" s="23" t="str">
        <f aca="false">IF(T9997="","",IF(T9997=0,"No discount",IF(T9997&lt;=0.2,"Low (1-20%)",IF(T9997&lt;=0.4,"Medium (21-40%)","High (&gt;40%)"))))</f>
        <v/>
      </c>
      <c r="Y9997" s="23" t="str">
        <f aca="false">IF(AND(ISNUMBER(C9997),ISNUMBER(D9997)),D9997-C9997,"")</f>
        <v/>
      </c>
      <c r="Z9997" s="23" t="str">
        <f aca="false">IF(B9997="","",IF(MATCH(B9997,$B$2:$B$12000,0)=ROW()-1,1,0))</f>
        <v/>
      </c>
    </row>
    <row r="9998" customFormat="false" ht="15" hidden="false" customHeight="false" outlineLevel="0" collapsed="false">
      <c r="V9998" s="23" t="str">
        <f aca="false">IF(ISNUMBER(C9998),YEAR(C9998),"")</f>
        <v/>
      </c>
      <c r="W9998" s="23" t="str">
        <f aca="false">IF(ISNUMBER(C9998),MONTH(C9998),"")</f>
        <v/>
      </c>
      <c r="X9998" s="23" t="str">
        <f aca="false">IF(T9998="","",IF(T9998=0,"No discount",IF(T9998&lt;=0.2,"Low (1-20%)",IF(T9998&lt;=0.4,"Medium (21-40%)","High (&gt;40%)"))))</f>
        <v/>
      </c>
      <c r="Y9998" s="23" t="str">
        <f aca="false">IF(AND(ISNUMBER(C9998),ISNUMBER(D9998)),D9998-C9998,"")</f>
        <v/>
      </c>
      <c r="Z9998" s="23" t="str">
        <f aca="false">IF(B9998="","",IF(MATCH(B9998,$B$2:$B$12000,0)=ROW()-1,1,0))</f>
        <v/>
      </c>
    </row>
    <row r="9999" customFormat="false" ht="15" hidden="false" customHeight="false" outlineLevel="0" collapsed="false">
      <c r="V9999" s="23" t="str">
        <f aca="false">IF(ISNUMBER(C9999),YEAR(C9999),"")</f>
        <v/>
      </c>
      <c r="W9999" s="23" t="str">
        <f aca="false">IF(ISNUMBER(C9999),MONTH(C9999),"")</f>
        <v/>
      </c>
      <c r="X9999" s="23" t="str">
        <f aca="false">IF(T9999="","",IF(T9999=0,"No discount",IF(T9999&lt;=0.2,"Low (1-20%)",IF(T9999&lt;=0.4,"Medium (21-40%)","High (&gt;40%)"))))</f>
        <v/>
      </c>
      <c r="Y9999" s="23" t="str">
        <f aca="false">IF(AND(ISNUMBER(C9999),ISNUMBER(D9999)),D9999-C9999,"")</f>
        <v/>
      </c>
      <c r="Z9999" s="23" t="str">
        <f aca="false">IF(B9999="","",IF(MATCH(B9999,$B$2:$B$12000,0)=ROW()-1,1,0))</f>
        <v/>
      </c>
    </row>
    <row r="10000" customFormat="false" ht="15" hidden="false" customHeight="false" outlineLevel="0" collapsed="false">
      <c r="V10000" s="23" t="str">
        <f aca="false">IF(ISNUMBER(C10000),YEAR(C10000),"")</f>
        <v/>
      </c>
      <c r="W10000" s="23" t="str">
        <f aca="false">IF(ISNUMBER(C10000),MONTH(C10000),"")</f>
        <v/>
      </c>
      <c r="X10000" s="23" t="str">
        <f aca="false">IF(T10000="","",IF(T10000=0,"No discount",IF(T10000&lt;=0.2,"Low (1-20%)",IF(T10000&lt;=0.4,"Medium (21-40%)","High (&gt;40%)"))))</f>
        <v/>
      </c>
      <c r="Y10000" s="23" t="str">
        <f aca="false">IF(AND(ISNUMBER(C10000),ISNUMBER(D10000)),D10000-C10000,"")</f>
        <v/>
      </c>
      <c r="Z10000" s="23" t="str">
        <f aca="false">IF(B10000="","",IF(MATCH(B10000,$B$2:$B$12000,0)=ROW()-1,1,0))</f>
        <v/>
      </c>
    </row>
    <row r="10001" customFormat="false" ht="15" hidden="false" customHeight="false" outlineLevel="0" collapsed="false">
      <c r="V10001" s="23" t="str">
        <f aca="false">IF(ISNUMBER(C10001),YEAR(C10001),"")</f>
        <v/>
      </c>
      <c r="W10001" s="23" t="str">
        <f aca="false">IF(ISNUMBER(C10001),MONTH(C10001),"")</f>
        <v/>
      </c>
      <c r="X10001" s="23" t="str">
        <f aca="false">IF(T10001="","",IF(T10001=0,"No discount",IF(T10001&lt;=0.2,"Low (1-20%)",IF(T10001&lt;=0.4,"Medium (21-40%)","High (&gt;40%)"))))</f>
        <v/>
      </c>
      <c r="Y10001" s="23" t="str">
        <f aca="false">IF(AND(ISNUMBER(C10001),ISNUMBER(D10001)),D10001-C10001,"")</f>
        <v/>
      </c>
      <c r="Z10001" s="23" t="str">
        <f aca="false">IF(B10001="","",IF(MATCH(B10001,$B$2:$B$12000,0)=ROW()-1,1,0))</f>
        <v/>
      </c>
    </row>
    <row r="10002" customFormat="false" ht="15" hidden="false" customHeight="false" outlineLevel="0" collapsed="false">
      <c r="V10002" s="23" t="str">
        <f aca="false">IF(ISNUMBER(C10002),YEAR(C10002),"")</f>
        <v/>
      </c>
      <c r="W10002" s="23" t="str">
        <f aca="false">IF(ISNUMBER(C10002),MONTH(C10002),"")</f>
        <v/>
      </c>
      <c r="X10002" s="23" t="str">
        <f aca="false">IF(T10002="","",IF(T10002=0,"No discount",IF(T10002&lt;=0.2,"Low (1-20%)",IF(T10002&lt;=0.4,"Medium (21-40%)","High (&gt;40%)"))))</f>
        <v/>
      </c>
      <c r="Y10002" s="23" t="str">
        <f aca="false">IF(AND(ISNUMBER(C10002),ISNUMBER(D10002)),D10002-C10002,"")</f>
        <v/>
      </c>
      <c r="Z10002" s="23" t="str">
        <f aca="false">IF(B10002="","",IF(MATCH(B10002,$B$2:$B$12000,0)=ROW()-1,1,0))</f>
        <v/>
      </c>
    </row>
    <row r="10003" customFormat="false" ht="15" hidden="false" customHeight="false" outlineLevel="0" collapsed="false">
      <c r="V10003" s="23" t="str">
        <f aca="false">IF(ISNUMBER(C10003),YEAR(C10003),"")</f>
        <v/>
      </c>
      <c r="W10003" s="23" t="str">
        <f aca="false">IF(ISNUMBER(C10003),MONTH(C10003),"")</f>
        <v/>
      </c>
      <c r="X10003" s="23" t="str">
        <f aca="false">IF(T10003="","",IF(T10003=0,"No discount",IF(T10003&lt;=0.2,"Low (1-20%)",IF(T10003&lt;=0.4,"Medium (21-40%)","High (&gt;40%)"))))</f>
        <v/>
      </c>
      <c r="Y10003" s="23" t="str">
        <f aca="false">IF(AND(ISNUMBER(C10003),ISNUMBER(D10003)),D10003-C10003,"")</f>
        <v/>
      </c>
      <c r="Z10003" s="23" t="str">
        <f aca="false">IF(B10003="","",IF(MATCH(B10003,$B$2:$B$12000,0)=ROW()-1,1,0))</f>
        <v/>
      </c>
    </row>
    <row r="10004" customFormat="false" ht="15" hidden="false" customHeight="false" outlineLevel="0" collapsed="false">
      <c r="V10004" s="23" t="str">
        <f aca="false">IF(ISNUMBER(C10004),YEAR(C10004),"")</f>
        <v/>
      </c>
      <c r="W10004" s="23" t="str">
        <f aca="false">IF(ISNUMBER(C10004),MONTH(C10004),"")</f>
        <v/>
      </c>
      <c r="X10004" s="23" t="str">
        <f aca="false">IF(T10004="","",IF(T10004=0,"No discount",IF(T10004&lt;=0.2,"Low (1-20%)",IF(T10004&lt;=0.4,"Medium (21-40%)","High (&gt;40%)"))))</f>
        <v/>
      </c>
      <c r="Y10004" s="23" t="str">
        <f aca="false">IF(AND(ISNUMBER(C10004),ISNUMBER(D10004)),D10004-C10004,"")</f>
        <v/>
      </c>
      <c r="Z10004" s="23" t="str">
        <f aca="false">IF(B10004="","",IF(MATCH(B10004,$B$2:$B$12000,0)=ROW()-1,1,0))</f>
        <v/>
      </c>
    </row>
    <row r="10005" customFormat="false" ht="15" hidden="false" customHeight="false" outlineLevel="0" collapsed="false">
      <c r="V10005" s="23" t="str">
        <f aca="false">IF(ISNUMBER(C10005),YEAR(C10005),"")</f>
        <v/>
      </c>
      <c r="W10005" s="23" t="str">
        <f aca="false">IF(ISNUMBER(C10005),MONTH(C10005),"")</f>
        <v/>
      </c>
      <c r="X10005" s="23" t="str">
        <f aca="false">IF(T10005="","",IF(T10005=0,"No discount",IF(T10005&lt;=0.2,"Low (1-20%)",IF(T10005&lt;=0.4,"Medium (21-40%)","High (&gt;40%)"))))</f>
        <v/>
      </c>
      <c r="Y10005" s="23" t="str">
        <f aca="false">IF(AND(ISNUMBER(C10005),ISNUMBER(D10005)),D10005-C10005,"")</f>
        <v/>
      </c>
      <c r="Z10005" s="23" t="str">
        <f aca="false">IF(B10005="","",IF(MATCH(B10005,$B$2:$B$12000,0)=ROW()-1,1,0))</f>
        <v/>
      </c>
    </row>
    <row r="10006" customFormat="false" ht="15" hidden="false" customHeight="false" outlineLevel="0" collapsed="false">
      <c r="V10006" s="23" t="str">
        <f aca="false">IF(ISNUMBER(C10006),YEAR(C10006),"")</f>
        <v/>
      </c>
      <c r="W10006" s="23" t="str">
        <f aca="false">IF(ISNUMBER(C10006),MONTH(C10006),"")</f>
        <v/>
      </c>
      <c r="X10006" s="23" t="str">
        <f aca="false">IF(T10006="","",IF(T10006=0,"No discount",IF(T10006&lt;=0.2,"Low (1-20%)",IF(T10006&lt;=0.4,"Medium (21-40%)","High (&gt;40%)"))))</f>
        <v/>
      </c>
      <c r="Y10006" s="23" t="str">
        <f aca="false">IF(AND(ISNUMBER(C10006),ISNUMBER(D10006)),D10006-C10006,"")</f>
        <v/>
      </c>
      <c r="Z10006" s="23" t="str">
        <f aca="false">IF(B10006="","",IF(MATCH(B10006,$B$2:$B$12000,0)=ROW()-1,1,0))</f>
        <v/>
      </c>
    </row>
    <row r="10007" customFormat="false" ht="15" hidden="false" customHeight="false" outlineLevel="0" collapsed="false">
      <c r="V10007" s="23" t="str">
        <f aca="false">IF(ISNUMBER(C10007),YEAR(C10007),"")</f>
        <v/>
      </c>
      <c r="W10007" s="23" t="str">
        <f aca="false">IF(ISNUMBER(C10007),MONTH(C10007),"")</f>
        <v/>
      </c>
      <c r="X10007" s="23" t="str">
        <f aca="false">IF(T10007="","",IF(T10007=0,"No discount",IF(T10007&lt;=0.2,"Low (1-20%)",IF(T10007&lt;=0.4,"Medium (21-40%)","High (&gt;40%)"))))</f>
        <v/>
      </c>
      <c r="Y10007" s="23" t="str">
        <f aca="false">IF(AND(ISNUMBER(C10007),ISNUMBER(D10007)),D10007-C10007,"")</f>
        <v/>
      </c>
      <c r="Z10007" s="23" t="str">
        <f aca="false">IF(B10007="","",IF(MATCH(B10007,$B$2:$B$12000,0)=ROW()-1,1,0))</f>
        <v/>
      </c>
    </row>
    <row r="10008" customFormat="false" ht="15" hidden="false" customHeight="false" outlineLevel="0" collapsed="false">
      <c r="V10008" s="23" t="str">
        <f aca="false">IF(ISNUMBER(C10008),YEAR(C10008),"")</f>
        <v/>
      </c>
      <c r="W10008" s="23" t="str">
        <f aca="false">IF(ISNUMBER(C10008),MONTH(C10008),"")</f>
        <v/>
      </c>
      <c r="X10008" s="23" t="str">
        <f aca="false">IF(T10008="","",IF(T10008=0,"No discount",IF(T10008&lt;=0.2,"Low (1-20%)",IF(T10008&lt;=0.4,"Medium (21-40%)","High (&gt;40%)"))))</f>
        <v/>
      </c>
      <c r="Y10008" s="23" t="str">
        <f aca="false">IF(AND(ISNUMBER(C10008),ISNUMBER(D10008)),D10008-C10008,"")</f>
        <v/>
      </c>
      <c r="Z10008" s="23" t="str">
        <f aca="false">IF(B10008="","",IF(MATCH(B10008,$B$2:$B$12000,0)=ROW()-1,1,0))</f>
        <v/>
      </c>
    </row>
    <row r="10009" customFormat="false" ht="15" hidden="false" customHeight="false" outlineLevel="0" collapsed="false">
      <c r="V10009" s="23" t="str">
        <f aca="false">IF(ISNUMBER(C10009),YEAR(C10009),"")</f>
        <v/>
      </c>
      <c r="W10009" s="23" t="str">
        <f aca="false">IF(ISNUMBER(C10009),MONTH(C10009),"")</f>
        <v/>
      </c>
      <c r="X10009" s="23" t="str">
        <f aca="false">IF(T10009="","",IF(T10009=0,"No discount",IF(T10009&lt;=0.2,"Low (1-20%)",IF(T10009&lt;=0.4,"Medium (21-40%)","High (&gt;40%)"))))</f>
        <v/>
      </c>
      <c r="Y10009" s="23" t="str">
        <f aca="false">IF(AND(ISNUMBER(C10009),ISNUMBER(D10009)),D10009-C10009,"")</f>
        <v/>
      </c>
      <c r="Z10009" s="23" t="str">
        <f aca="false">IF(B10009="","",IF(MATCH(B10009,$B$2:$B$12000,0)=ROW()-1,1,0))</f>
        <v/>
      </c>
    </row>
    <row r="10010" customFormat="false" ht="15" hidden="false" customHeight="false" outlineLevel="0" collapsed="false">
      <c r="V10010" s="23" t="str">
        <f aca="false">IF(ISNUMBER(C10010),YEAR(C10010),"")</f>
        <v/>
      </c>
      <c r="W10010" s="23" t="str">
        <f aca="false">IF(ISNUMBER(C10010),MONTH(C10010),"")</f>
        <v/>
      </c>
      <c r="X10010" s="23" t="str">
        <f aca="false">IF(T10010="","",IF(T10010=0,"No discount",IF(T10010&lt;=0.2,"Low (1-20%)",IF(T10010&lt;=0.4,"Medium (21-40%)","High (&gt;40%)"))))</f>
        <v/>
      </c>
      <c r="Y10010" s="23" t="str">
        <f aca="false">IF(AND(ISNUMBER(C10010),ISNUMBER(D10010)),D10010-C10010,"")</f>
        <v/>
      </c>
      <c r="Z10010" s="23" t="str">
        <f aca="false">IF(B10010="","",IF(MATCH(B10010,$B$2:$B$12000,0)=ROW()-1,1,0))</f>
        <v/>
      </c>
    </row>
    <row r="10011" customFormat="false" ht="15" hidden="false" customHeight="false" outlineLevel="0" collapsed="false">
      <c r="V10011" s="23" t="str">
        <f aca="false">IF(ISNUMBER(C10011),YEAR(C10011),"")</f>
        <v/>
      </c>
      <c r="W10011" s="23" t="str">
        <f aca="false">IF(ISNUMBER(C10011),MONTH(C10011),"")</f>
        <v/>
      </c>
      <c r="X10011" s="23" t="str">
        <f aca="false">IF(T10011="","",IF(T10011=0,"No discount",IF(T10011&lt;=0.2,"Low (1-20%)",IF(T10011&lt;=0.4,"Medium (21-40%)","High (&gt;40%)"))))</f>
        <v/>
      </c>
      <c r="Y10011" s="23" t="str">
        <f aca="false">IF(AND(ISNUMBER(C10011),ISNUMBER(D10011)),D10011-C10011,"")</f>
        <v/>
      </c>
      <c r="Z10011" s="23" t="str">
        <f aca="false">IF(B10011="","",IF(MATCH(B10011,$B$2:$B$12000,0)=ROW()-1,1,0))</f>
        <v/>
      </c>
    </row>
    <row r="10012" customFormat="false" ht="15" hidden="false" customHeight="false" outlineLevel="0" collapsed="false">
      <c r="V10012" s="23" t="str">
        <f aca="false">IF(ISNUMBER(C10012),YEAR(C10012),"")</f>
        <v/>
      </c>
      <c r="W10012" s="23" t="str">
        <f aca="false">IF(ISNUMBER(C10012),MONTH(C10012),"")</f>
        <v/>
      </c>
      <c r="X10012" s="23" t="str">
        <f aca="false">IF(T10012="","",IF(T10012=0,"No discount",IF(T10012&lt;=0.2,"Low (1-20%)",IF(T10012&lt;=0.4,"Medium (21-40%)","High (&gt;40%)"))))</f>
        <v/>
      </c>
      <c r="Y10012" s="23" t="str">
        <f aca="false">IF(AND(ISNUMBER(C10012),ISNUMBER(D10012)),D10012-C10012,"")</f>
        <v/>
      </c>
      <c r="Z10012" s="23" t="str">
        <f aca="false">IF(B10012="","",IF(MATCH(B10012,$B$2:$B$12000,0)=ROW()-1,1,0))</f>
        <v/>
      </c>
    </row>
    <row r="10013" customFormat="false" ht="15" hidden="false" customHeight="false" outlineLevel="0" collapsed="false">
      <c r="V10013" s="23" t="str">
        <f aca="false">IF(ISNUMBER(C10013),YEAR(C10013),"")</f>
        <v/>
      </c>
      <c r="W10013" s="23" t="str">
        <f aca="false">IF(ISNUMBER(C10013),MONTH(C10013),"")</f>
        <v/>
      </c>
      <c r="X10013" s="23" t="str">
        <f aca="false">IF(T10013="","",IF(T10013=0,"No discount",IF(T10013&lt;=0.2,"Low (1-20%)",IF(T10013&lt;=0.4,"Medium (21-40%)","High (&gt;40%)"))))</f>
        <v/>
      </c>
      <c r="Y10013" s="23" t="str">
        <f aca="false">IF(AND(ISNUMBER(C10013),ISNUMBER(D10013)),D10013-C10013,"")</f>
        <v/>
      </c>
      <c r="Z10013" s="23" t="str">
        <f aca="false">IF(B10013="","",IF(MATCH(B10013,$B$2:$B$12000,0)=ROW()-1,1,0))</f>
        <v/>
      </c>
    </row>
    <row r="10014" customFormat="false" ht="15" hidden="false" customHeight="false" outlineLevel="0" collapsed="false">
      <c r="V10014" s="23" t="str">
        <f aca="false">IF(ISNUMBER(C10014),YEAR(C10014),"")</f>
        <v/>
      </c>
      <c r="W10014" s="23" t="str">
        <f aca="false">IF(ISNUMBER(C10014),MONTH(C10014),"")</f>
        <v/>
      </c>
      <c r="X10014" s="23" t="str">
        <f aca="false">IF(T10014="","",IF(T10014=0,"No discount",IF(T10014&lt;=0.2,"Low (1-20%)",IF(T10014&lt;=0.4,"Medium (21-40%)","High (&gt;40%)"))))</f>
        <v/>
      </c>
      <c r="Y10014" s="23" t="str">
        <f aca="false">IF(AND(ISNUMBER(C10014),ISNUMBER(D10014)),D10014-C10014,"")</f>
        <v/>
      </c>
      <c r="Z10014" s="23" t="str">
        <f aca="false">IF(B10014="","",IF(MATCH(B10014,$B$2:$B$12000,0)=ROW()-1,1,0))</f>
        <v/>
      </c>
    </row>
    <row r="10015" customFormat="false" ht="15" hidden="false" customHeight="false" outlineLevel="0" collapsed="false">
      <c r="V10015" s="23" t="str">
        <f aca="false">IF(ISNUMBER(C10015),YEAR(C10015),"")</f>
        <v/>
      </c>
      <c r="W10015" s="23" t="str">
        <f aca="false">IF(ISNUMBER(C10015),MONTH(C10015),"")</f>
        <v/>
      </c>
      <c r="X10015" s="23" t="str">
        <f aca="false">IF(T10015="","",IF(T10015=0,"No discount",IF(T10015&lt;=0.2,"Low (1-20%)",IF(T10015&lt;=0.4,"Medium (21-40%)","High (&gt;40%)"))))</f>
        <v/>
      </c>
      <c r="Y10015" s="23" t="str">
        <f aca="false">IF(AND(ISNUMBER(C10015),ISNUMBER(D10015)),D10015-C10015,"")</f>
        <v/>
      </c>
      <c r="Z10015" s="23" t="str">
        <f aca="false">IF(B10015="","",IF(MATCH(B10015,$B$2:$B$12000,0)=ROW()-1,1,0))</f>
        <v/>
      </c>
    </row>
    <row r="10016" customFormat="false" ht="15" hidden="false" customHeight="false" outlineLevel="0" collapsed="false">
      <c r="V10016" s="23" t="str">
        <f aca="false">IF(ISNUMBER(C10016),YEAR(C10016),"")</f>
        <v/>
      </c>
      <c r="W10016" s="23" t="str">
        <f aca="false">IF(ISNUMBER(C10016),MONTH(C10016),"")</f>
        <v/>
      </c>
      <c r="X10016" s="23" t="str">
        <f aca="false">IF(T10016="","",IF(T10016=0,"No discount",IF(T10016&lt;=0.2,"Low (1-20%)",IF(T10016&lt;=0.4,"Medium (21-40%)","High (&gt;40%)"))))</f>
        <v/>
      </c>
      <c r="Y10016" s="23" t="str">
        <f aca="false">IF(AND(ISNUMBER(C10016),ISNUMBER(D10016)),D10016-C10016,"")</f>
        <v/>
      </c>
      <c r="Z10016" s="23" t="str">
        <f aca="false">IF(B10016="","",IF(MATCH(B10016,$B$2:$B$12000,0)=ROW()-1,1,0))</f>
        <v/>
      </c>
    </row>
    <row r="10017" customFormat="false" ht="15" hidden="false" customHeight="false" outlineLevel="0" collapsed="false">
      <c r="V10017" s="23" t="str">
        <f aca="false">IF(ISNUMBER(C10017),YEAR(C10017),"")</f>
        <v/>
      </c>
      <c r="W10017" s="23" t="str">
        <f aca="false">IF(ISNUMBER(C10017),MONTH(C10017),"")</f>
        <v/>
      </c>
      <c r="X10017" s="23" t="str">
        <f aca="false">IF(T10017="","",IF(T10017=0,"No discount",IF(T10017&lt;=0.2,"Low (1-20%)",IF(T10017&lt;=0.4,"Medium (21-40%)","High (&gt;40%)"))))</f>
        <v/>
      </c>
      <c r="Y10017" s="23" t="str">
        <f aca="false">IF(AND(ISNUMBER(C10017),ISNUMBER(D10017)),D10017-C10017,"")</f>
        <v/>
      </c>
      <c r="Z10017" s="23" t="str">
        <f aca="false">IF(B10017="","",IF(MATCH(B10017,$B$2:$B$12000,0)=ROW()-1,1,0))</f>
        <v/>
      </c>
    </row>
    <row r="10018" customFormat="false" ht="15" hidden="false" customHeight="false" outlineLevel="0" collapsed="false">
      <c r="V10018" s="23" t="str">
        <f aca="false">IF(ISNUMBER(C10018),YEAR(C10018),"")</f>
        <v/>
      </c>
      <c r="W10018" s="23" t="str">
        <f aca="false">IF(ISNUMBER(C10018),MONTH(C10018),"")</f>
        <v/>
      </c>
      <c r="X10018" s="23" t="str">
        <f aca="false">IF(T10018="","",IF(T10018=0,"No discount",IF(T10018&lt;=0.2,"Low (1-20%)",IF(T10018&lt;=0.4,"Medium (21-40%)","High (&gt;40%)"))))</f>
        <v/>
      </c>
      <c r="Y10018" s="23" t="str">
        <f aca="false">IF(AND(ISNUMBER(C10018),ISNUMBER(D10018)),D10018-C10018,"")</f>
        <v/>
      </c>
      <c r="Z10018" s="23" t="str">
        <f aca="false">IF(B10018="","",IF(MATCH(B10018,$B$2:$B$12000,0)=ROW()-1,1,0))</f>
        <v/>
      </c>
    </row>
    <row r="10019" customFormat="false" ht="15" hidden="false" customHeight="false" outlineLevel="0" collapsed="false">
      <c r="V10019" s="23" t="str">
        <f aca="false">IF(ISNUMBER(C10019),YEAR(C10019),"")</f>
        <v/>
      </c>
      <c r="W10019" s="23" t="str">
        <f aca="false">IF(ISNUMBER(C10019),MONTH(C10019),"")</f>
        <v/>
      </c>
      <c r="X10019" s="23" t="str">
        <f aca="false">IF(T10019="","",IF(T10019=0,"No discount",IF(T10019&lt;=0.2,"Low (1-20%)",IF(T10019&lt;=0.4,"Medium (21-40%)","High (&gt;40%)"))))</f>
        <v/>
      </c>
      <c r="Y10019" s="23" t="str">
        <f aca="false">IF(AND(ISNUMBER(C10019),ISNUMBER(D10019)),D10019-C10019,"")</f>
        <v/>
      </c>
      <c r="Z10019" s="23" t="str">
        <f aca="false">IF(B10019="","",IF(MATCH(B10019,$B$2:$B$12000,0)=ROW()-1,1,0))</f>
        <v/>
      </c>
    </row>
    <row r="10020" customFormat="false" ht="15" hidden="false" customHeight="false" outlineLevel="0" collapsed="false">
      <c r="V10020" s="23" t="str">
        <f aca="false">IF(ISNUMBER(C10020),YEAR(C10020),"")</f>
        <v/>
      </c>
      <c r="W10020" s="23" t="str">
        <f aca="false">IF(ISNUMBER(C10020),MONTH(C10020),"")</f>
        <v/>
      </c>
      <c r="X10020" s="23" t="str">
        <f aca="false">IF(T10020="","",IF(T10020=0,"No discount",IF(T10020&lt;=0.2,"Low (1-20%)",IF(T10020&lt;=0.4,"Medium (21-40%)","High (&gt;40%)"))))</f>
        <v/>
      </c>
      <c r="Y10020" s="23" t="str">
        <f aca="false">IF(AND(ISNUMBER(C10020),ISNUMBER(D10020)),D10020-C10020,"")</f>
        <v/>
      </c>
      <c r="Z10020" s="23" t="str">
        <f aca="false">IF(B10020="","",IF(MATCH(B10020,$B$2:$B$12000,0)=ROW()-1,1,0))</f>
        <v/>
      </c>
    </row>
    <row r="10021" customFormat="false" ht="15" hidden="false" customHeight="false" outlineLevel="0" collapsed="false">
      <c r="V10021" s="23" t="str">
        <f aca="false">IF(ISNUMBER(C10021),YEAR(C10021),"")</f>
        <v/>
      </c>
      <c r="W10021" s="23" t="str">
        <f aca="false">IF(ISNUMBER(C10021),MONTH(C10021),"")</f>
        <v/>
      </c>
      <c r="X10021" s="23" t="str">
        <f aca="false">IF(T10021="","",IF(T10021=0,"No discount",IF(T10021&lt;=0.2,"Low (1-20%)",IF(T10021&lt;=0.4,"Medium (21-40%)","High (&gt;40%)"))))</f>
        <v/>
      </c>
      <c r="Y10021" s="23" t="str">
        <f aca="false">IF(AND(ISNUMBER(C10021),ISNUMBER(D10021)),D10021-C10021,"")</f>
        <v/>
      </c>
      <c r="Z10021" s="23" t="str">
        <f aca="false">IF(B10021="","",IF(MATCH(B10021,$B$2:$B$12000,0)=ROW()-1,1,0))</f>
        <v/>
      </c>
    </row>
    <row r="10022" customFormat="false" ht="15" hidden="false" customHeight="false" outlineLevel="0" collapsed="false">
      <c r="V10022" s="23" t="str">
        <f aca="false">IF(ISNUMBER(C10022),YEAR(C10022),"")</f>
        <v/>
      </c>
      <c r="W10022" s="23" t="str">
        <f aca="false">IF(ISNUMBER(C10022),MONTH(C10022),"")</f>
        <v/>
      </c>
      <c r="X10022" s="23" t="str">
        <f aca="false">IF(T10022="","",IF(T10022=0,"No discount",IF(T10022&lt;=0.2,"Low (1-20%)",IF(T10022&lt;=0.4,"Medium (21-40%)","High (&gt;40%)"))))</f>
        <v/>
      </c>
      <c r="Y10022" s="23" t="str">
        <f aca="false">IF(AND(ISNUMBER(C10022),ISNUMBER(D10022)),D10022-C10022,"")</f>
        <v/>
      </c>
      <c r="Z10022" s="23" t="str">
        <f aca="false">IF(B10022="","",IF(MATCH(B10022,$B$2:$B$12000,0)=ROW()-1,1,0))</f>
        <v/>
      </c>
    </row>
    <row r="10023" customFormat="false" ht="15" hidden="false" customHeight="false" outlineLevel="0" collapsed="false">
      <c r="V10023" s="23" t="str">
        <f aca="false">IF(ISNUMBER(C10023),YEAR(C10023),"")</f>
        <v/>
      </c>
      <c r="W10023" s="23" t="str">
        <f aca="false">IF(ISNUMBER(C10023),MONTH(C10023),"")</f>
        <v/>
      </c>
      <c r="X10023" s="23" t="str">
        <f aca="false">IF(T10023="","",IF(T10023=0,"No discount",IF(T10023&lt;=0.2,"Low (1-20%)",IF(T10023&lt;=0.4,"Medium (21-40%)","High (&gt;40%)"))))</f>
        <v/>
      </c>
      <c r="Y10023" s="23" t="str">
        <f aca="false">IF(AND(ISNUMBER(C10023),ISNUMBER(D10023)),D10023-C10023,"")</f>
        <v/>
      </c>
      <c r="Z10023" s="23" t="str">
        <f aca="false">IF(B10023="","",IF(MATCH(B10023,$B$2:$B$12000,0)=ROW()-1,1,0))</f>
        <v/>
      </c>
    </row>
    <row r="10024" customFormat="false" ht="15" hidden="false" customHeight="false" outlineLevel="0" collapsed="false">
      <c r="V10024" s="23" t="str">
        <f aca="false">IF(ISNUMBER(C10024),YEAR(C10024),"")</f>
        <v/>
      </c>
      <c r="W10024" s="23" t="str">
        <f aca="false">IF(ISNUMBER(C10024),MONTH(C10024),"")</f>
        <v/>
      </c>
      <c r="X10024" s="23" t="str">
        <f aca="false">IF(T10024="","",IF(T10024=0,"No discount",IF(T10024&lt;=0.2,"Low (1-20%)",IF(T10024&lt;=0.4,"Medium (21-40%)","High (&gt;40%)"))))</f>
        <v/>
      </c>
      <c r="Y10024" s="23" t="str">
        <f aca="false">IF(AND(ISNUMBER(C10024),ISNUMBER(D10024)),D10024-C10024,"")</f>
        <v/>
      </c>
      <c r="Z10024" s="23" t="str">
        <f aca="false">IF(B10024="","",IF(MATCH(B10024,$B$2:$B$12000,0)=ROW()-1,1,0))</f>
        <v/>
      </c>
    </row>
    <row r="10025" customFormat="false" ht="15" hidden="false" customHeight="false" outlineLevel="0" collapsed="false">
      <c r="V10025" s="23" t="str">
        <f aca="false">IF(ISNUMBER(C10025),YEAR(C10025),"")</f>
        <v/>
      </c>
      <c r="W10025" s="23" t="str">
        <f aca="false">IF(ISNUMBER(C10025),MONTH(C10025),"")</f>
        <v/>
      </c>
      <c r="X10025" s="23" t="str">
        <f aca="false">IF(T10025="","",IF(T10025=0,"No discount",IF(T10025&lt;=0.2,"Low (1-20%)",IF(T10025&lt;=0.4,"Medium (21-40%)","High (&gt;40%)"))))</f>
        <v/>
      </c>
      <c r="Y10025" s="23" t="str">
        <f aca="false">IF(AND(ISNUMBER(C10025),ISNUMBER(D10025)),D10025-C10025,"")</f>
        <v/>
      </c>
      <c r="Z10025" s="23" t="str">
        <f aca="false">IF(B10025="","",IF(MATCH(B10025,$B$2:$B$12000,0)=ROW()-1,1,0))</f>
        <v/>
      </c>
    </row>
    <row r="10026" customFormat="false" ht="15" hidden="false" customHeight="false" outlineLevel="0" collapsed="false">
      <c r="V10026" s="23" t="str">
        <f aca="false">IF(ISNUMBER(C10026),YEAR(C10026),"")</f>
        <v/>
      </c>
      <c r="W10026" s="23" t="str">
        <f aca="false">IF(ISNUMBER(C10026),MONTH(C10026),"")</f>
        <v/>
      </c>
      <c r="X10026" s="23" t="str">
        <f aca="false">IF(T10026="","",IF(T10026=0,"No discount",IF(T10026&lt;=0.2,"Low (1-20%)",IF(T10026&lt;=0.4,"Medium (21-40%)","High (&gt;40%)"))))</f>
        <v/>
      </c>
      <c r="Y10026" s="23" t="str">
        <f aca="false">IF(AND(ISNUMBER(C10026),ISNUMBER(D10026)),D10026-C10026,"")</f>
        <v/>
      </c>
      <c r="Z10026" s="23" t="str">
        <f aca="false">IF(B10026="","",IF(MATCH(B10026,$B$2:$B$12000,0)=ROW()-1,1,0))</f>
        <v/>
      </c>
    </row>
    <row r="10027" customFormat="false" ht="15" hidden="false" customHeight="false" outlineLevel="0" collapsed="false">
      <c r="V10027" s="23" t="str">
        <f aca="false">IF(ISNUMBER(C10027),YEAR(C10027),"")</f>
        <v/>
      </c>
      <c r="W10027" s="23" t="str">
        <f aca="false">IF(ISNUMBER(C10027),MONTH(C10027),"")</f>
        <v/>
      </c>
      <c r="X10027" s="23" t="str">
        <f aca="false">IF(T10027="","",IF(T10027=0,"No discount",IF(T10027&lt;=0.2,"Low (1-20%)",IF(T10027&lt;=0.4,"Medium (21-40%)","High (&gt;40%)"))))</f>
        <v/>
      </c>
      <c r="Y10027" s="23" t="str">
        <f aca="false">IF(AND(ISNUMBER(C10027),ISNUMBER(D10027)),D10027-C10027,"")</f>
        <v/>
      </c>
      <c r="Z10027" s="23" t="str">
        <f aca="false">IF(B10027="","",IF(MATCH(B10027,$B$2:$B$12000,0)=ROW()-1,1,0))</f>
        <v/>
      </c>
    </row>
    <row r="10028" customFormat="false" ht="15" hidden="false" customHeight="false" outlineLevel="0" collapsed="false">
      <c r="V10028" s="23" t="str">
        <f aca="false">IF(ISNUMBER(C10028),YEAR(C10028),"")</f>
        <v/>
      </c>
      <c r="W10028" s="23" t="str">
        <f aca="false">IF(ISNUMBER(C10028),MONTH(C10028),"")</f>
        <v/>
      </c>
      <c r="X10028" s="23" t="str">
        <f aca="false">IF(T10028="","",IF(T10028=0,"No discount",IF(T10028&lt;=0.2,"Low (1-20%)",IF(T10028&lt;=0.4,"Medium (21-40%)","High (&gt;40%)"))))</f>
        <v/>
      </c>
      <c r="Y10028" s="23" t="str">
        <f aca="false">IF(AND(ISNUMBER(C10028),ISNUMBER(D10028)),D10028-C10028,"")</f>
        <v/>
      </c>
      <c r="Z10028" s="23" t="str">
        <f aca="false">IF(B10028="","",IF(MATCH(B10028,$B$2:$B$12000,0)=ROW()-1,1,0))</f>
        <v/>
      </c>
    </row>
    <row r="10029" customFormat="false" ht="15" hidden="false" customHeight="false" outlineLevel="0" collapsed="false">
      <c r="V10029" s="23" t="str">
        <f aca="false">IF(ISNUMBER(C10029),YEAR(C10029),"")</f>
        <v/>
      </c>
      <c r="W10029" s="23" t="str">
        <f aca="false">IF(ISNUMBER(C10029),MONTH(C10029),"")</f>
        <v/>
      </c>
      <c r="X10029" s="23" t="str">
        <f aca="false">IF(T10029="","",IF(T10029=0,"No discount",IF(T10029&lt;=0.2,"Low (1-20%)",IF(T10029&lt;=0.4,"Medium (21-40%)","High (&gt;40%)"))))</f>
        <v/>
      </c>
      <c r="Y10029" s="23" t="str">
        <f aca="false">IF(AND(ISNUMBER(C10029),ISNUMBER(D10029)),D10029-C10029,"")</f>
        <v/>
      </c>
      <c r="Z10029" s="23" t="str">
        <f aca="false">IF(B10029="","",IF(MATCH(B10029,$B$2:$B$12000,0)=ROW()-1,1,0))</f>
        <v/>
      </c>
    </row>
    <row r="10030" customFormat="false" ht="15" hidden="false" customHeight="false" outlineLevel="0" collapsed="false">
      <c r="V10030" s="23" t="str">
        <f aca="false">IF(ISNUMBER(C10030),YEAR(C10030),"")</f>
        <v/>
      </c>
      <c r="W10030" s="23" t="str">
        <f aca="false">IF(ISNUMBER(C10030),MONTH(C10030),"")</f>
        <v/>
      </c>
      <c r="X10030" s="23" t="str">
        <f aca="false">IF(T10030="","",IF(T10030=0,"No discount",IF(T10030&lt;=0.2,"Low (1-20%)",IF(T10030&lt;=0.4,"Medium (21-40%)","High (&gt;40%)"))))</f>
        <v/>
      </c>
      <c r="Y10030" s="23" t="str">
        <f aca="false">IF(AND(ISNUMBER(C10030),ISNUMBER(D10030)),D10030-C10030,"")</f>
        <v/>
      </c>
      <c r="Z10030" s="23" t="str">
        <f aca="false">IF(B10030="","",IF(MATCH(B10030,$B$2:$B$12000,0)=ROW()-1,1,0))</f>
        <v/>
      </c>
    </row>
    <row r="10031" customFormat="false" ht="15" hidden="false" customHeight="false" outlineLevel="0" collapsed="false">
      <c r="V10031" s="23" t="str">
        <f aca="false">IF(ISNUMBER(C10031),YEAR(C10031),"")</f>
        <v/>
      </c>
      <c r="W10031" s="23" t="str">
        <f aca="false">IF(ISNUMBER(C10031),MONTH(C10031),"")</f>
        <v/>
      </c>
      <c r="X10031" s="23" t="str">
        <f aca="false">IF(T10031="","",IF(T10031=0,"No discount",IF(T10031&lt;=0.2,"Low (1-20%)",IF(T10031&lt;=0.4,"Medium (21-40%)","High (&gt;40%)"))))</f>
        <v/>
      </c>
      <c r="Y10031" s="23" t="str">
        <f aca="false">IF(AND(ISNUMBER(C10031),ISNUMBER(D10031)),D10031-C10031,"")</f>
        <v/>
      </c>
      <c r="Z10031" s="23" t="str">
        <f aca="false">IF(B10031="","",IF(MATCH(B10031,$B$2:$B$12000,0)=ROW()-1,1,0))</f>
        <v/>
      </c>
    </row>
    <row r="10032" customFormat="false" ht="15" hidden="false" customHeight="false" outlineLevel="0" collapsed="false">
      <c r="V10032" s="23" t="str">
        <f aca="false">IF(ISNUMBER(C10032),YEAR(C10032),"")</f>
        <v/>
      </c>
      <c r="W10032" s="23" t="str">
        <f aca="false">IF(ISNUMBER(C10032),MONTH(C10032),"")</f>
        <v/>
      </c>
      <c r="X10032" s="23" t="str">
        <f aca="false">IF(T10032="","",IF(T10032=0,"No discount",IF(T10032&lt;=0.2,"Low (1-20%)",IF(T10032&lt;=0.4,"Medium (21-40%)","High (&gt;40%)"))))</f>
        <v/>
      </c>
      <c r="Y10032" s="23" t="str">
        <f aca="false">IF(AND(ISNUMBER(C10032),ISNUMBER(D10032)),D10032-C10032,"")</f>
        <v/>
      </c>
      <c r="Z10032" s="23" t="str">
        <f aca="false">IF(B10032="","",IF(MATCH(B10032,$B$2:$B$12000,0)=ROW()-1,1,0))</f>
        <v/>
      </c>
    </row>
    <row r="10033" customFormat="false" ht="15" hidden="false" customHeight="false" outlineLevel="0" collapsed="false">
      <c r="V10033" s="23" t="str">
        <f aca="false">IF(ISNUMBER(C10033),YEAR(C10033),"")</f>
        <v/>
      </c>
      <c r="W10033" s="23" t="str">
        <f aca="false">IF(ISNUMBER(C10033),MONTH(C10033),"")</f>
        <v/>
      </c>
      <c r="X10033" s="23" t="str">
        <f aca="false">IF(T10033="","",IF(T10033=0,"No discount",IF(T10033&lt;=0.2,"Low (1-20%)",IF(T10033&lt;=0.4,"Medium (21-40%)","High (&gt;40%)"))))</f>
        <v/>
      </c>
      <c r="Y10033" s="23" t="str">
        <f aca="false">IF(AND(ISNUMBER(C10033),ISNUMBER(D10033)),D10033-C10033,"")</f>
        <v/>
      </c>
      <c r="Z10033" s="23" t="str">
        <f aca="false">IF(B10033="","",IF(MATCH(B10033,$B$2:$B$12000,0)=ROW()-1,1,0))</f>
        <v/>
      </c>
    </row>
    <row r="10034" customFormat="false" ht="15" hidden="false" customHeight="false" outlineLevel="0" collapsed="false">
      <c r="V10034" s="23" t="str">
        <f aca="false">IF(ISNUMBER(C10034),YEAR(C10034),"")</f>
        <v/>
      </c>
      <c r="W10034" s="23" t="str">
        <f aca="false">IF(ISNUMBER(C10034),MONTH(C10034),"")</f>
        <v/>
      </c>
      <c r="X10034" s="23" t="str">
        <f aca="false">IF(T10034="","",IF(T10034=0,"No discount",IF(T10034&lt;=0.2,"Low (1-20%)",IF(T10034&lt;=0.4,"Medium (21-40%)","High (&gt;40%)"))))</f>
        <v/>
      </c>
      <c r="Y10034" s="23" t="str">
        <f aca="false">IF(AND(ISNUMBER(C10034),ISNUMBER(D10034)),D10034-C10034,"")</f>
        <v/>
      </c>
      <c r="Z10034" s="23" t="str">
        <f aca="false">IF(B10034="","",IF(MATCH(B10034,$B$2:$B$12000,0)=ROW()-1,1,0))</f>
        <v/>
      </c>
    </row>
    <row r="10035" customFormat="false" ht="15" hidden="false" customHeight="false" outlineLevel="0" collapsed="false">
      <c r="V10035" s="23" t="str">
        <f aca="false">IF(ISNUMBER(C10035),YEAR(C10035),"")</f>
        <v/>
      </c>
      <c r="W10035" s="23" t="str">
        <f aca="false">IF(ISNUMBER(C10035),MONTH(C10035),"")</f>
        <v/>
      </c>
      <c r="X10035" s="23" t="str">
        <f aca="false">IF(T10035="","",IF(T10035=0,"No discount",IF(T10035&lt;=0.2,"Low (1-20%)",IF(T10035&lt;=0.4,"Medium (21-40%)","High (&gt;40%)"))))</f>
        <v/>
      </c>
      <c r="Y10035" s="23" t="str">
        <f aca="false">IF(AND(ISNUMBER(C10035),ISNUMBER(D10035)),D10035-C10035,"")</f>
        <v/>
      </c>
      <c r="Z10035" s="23" t="str">
        <f aca="false">IF(B10035="","",IF(MATCH(B10035,$B$2:$B$12000,0)=ROW()-1,1,0))</f>
        <v/>
      </c>
    </row>
    <row r="10036" customFormat="false" ht="15" hidden="false" customHeight="false" outlineLevel="0" collapsed="false">
      <c r="V10036" s="23" t="str">
        <f aca="false">IF(ISNUMBER(C10036),YEAR(C10036),"")</f>
        <v/>
      </c>
      <c r="W10036" s="23" t="str">
        <f aca="false">IF(ISNUMBER(C10036),MONTH(C10036),"")</f>
        <v/>
      </c>
      <c r="X10036" s="23" t="str">
        <f aca="false">IF(T10036="","",IF(T10036=0,"No discount",IF(T10036&lt;=0.2,"Low (1-20%)",IF(T10036&lt;=0.4,"Medium (21-40%)","High (&gt;40%)"))))</f>
        <v/>
      </c>
      <c r="Y10036" s="23" t="str">
        <f aca="false">IF(AND(ISNUMBER(C10036),ISNUMBER(D10036)),D10036-C10036,"")</f>
        <v/>
      </c>
      <c r="Z10036" s="23" t="str">
        <f aca="false">IF(B10036="","",IF(MATCH(B10036,$B$2:$B$12000,0)=ROW()-1,1,0))</f>
        <v/>
      </c>
    </row>
    <row r="10037" customFormat="false" ht="15" hidden="false" customHeight="false" outlineLevel="0" collapsed="false">
      <c r="V10037" s="23" t="str">
        <f aca="false">IF(ISNUMBER(C10037),YEAR(C10037),"")</f>
        <v/>
      </c>
      <c r="W10037" s="23" t="str">
        <f aca="false">IF(ISNUMBER(C10037),MONTH(C10037),"")</f>
        <v/>
      </c>
      <c r="X10037" s="23" t="str">
        <f aca="false">IF(T10037="","",IF(T10037=0,"No discount",IF(T10037&lt;=0.2,"Low (1-20%)",IF(T10037&lt;=0.4,"Medium (21-40%)","High (&gt;40%)"))))</f>
        <v/>
      </c>
      <c r="Y10037" s="23" t="str">
        <f aca="false">IF(AND(ISNUMBER(C10037),ISNUMBER(D10037)),D10037-C10037,"")</f>
        <v/>
      </c>
      <c r="Z10037" s="23" t="str">
        <f aca="false">IF(B10037="","",IF(MATCH(B10037,$B$2:$B$12000,0)=ROW()-1,1,0))</f>
        <v/>
      </c>
    </row>
    <row r="10038" customFormat="false" ht="15" hidden="false" customHeight="false" outlineLevel="0" collapsed="false">
      <c r="V10038" s="23" t="str">
        <f aca="false">IF(ISNUMBER(C10038),YEAR(C10038),"")</f>
        <v/>
      </c>
      <c r="W10038" s="23" t="str">
        <f aca="false">IF(ISNUMBER(C10038),MONTH(C10038),"")</f>
        <v/>
      </c>
      <c r="X10038" s="23" t="str">
        <f aca="false">IF(T10038="","",IF(T10038=0,"No discount",IF(T10038&lt;=0.2,"Low (1-20%)",IF(T10038&lt;=0.4,"Medium (21-40%)","High (&gt;40%)"))))</f>
        <v/>
      </c>
      <c r="Y10038" s="23" t="str">
        <f aca="false">IF(AND(ISNUMBER(C10038),ISNUMBER(D10038)),D10038-C10038,"")</f>
        <v/>
      </c>
      <c r="Z10038" s="23" t="str">
        <f aca="false">IF(B10038="","",IF(MATCH(B10038,$B$2:$B$12000,0)=ROW()-1,1,0))</f>
        <v/>
      </c>
    </row>
    <row r="10039" customFormat="false" ht="15" hidden="false" customHeight="false" outlineLevel="0" collapsed="false">
      <c r="V10039" s="23" t="str">
        <f aca="false">IF(ISNUMBER(C10039),YEAR(C10039),"")</f>
        <v/>
      </c>
      <c r="W10039" s="23" t="str">
        <f aca="false">IF(ISNUMBER(C10039),MONTH(C10039),"")</f>
        <v/>
      </c>
      <c r="X10039" s="23" t="str">
        <f aca="false">IF(T10039="","",IF(T10039=0,"No discount",IF(T10039&lt;=0.2,"Low (1-20%)",IF(T10039&lt;=0.4,"Medium (21-40%)","High (&gt;40%)"))))</f>
        <v/>
      </c>
      <c r="Y10039" s="23" t="str">
        <f aca="false">IF(AND(ISNUMBER(C10039),ISNUMBER(D10039)),D10039-C10039,"")</f>
        <v/>
      </c>
      <c r="Z10039" s="23" t="str">
        <f aca="false">IF(B10039="","",IF(MATCH(B10039,$B$2:$B$12000,0)=ROW()-1,1,0))</f>
        <v/>
      </c>
    </row>
    <row r="10040" customFormat="false" ht="15" hidden="false" customHeight="false" outlineLevel="0" collapsed="false">
      <c r="V10040" s="23" t="str">
        <f aca="false">IF(ISNUMBER(C10040),YEAR(C10040),"")</f>
        <v/>
      </c>
      <c r="W10040" s="23" t="str">
        <f aca="false">IF(ISNUMBER(C10040),MONTH(C10040),"")</f>
        <v/>
      </c>
      <c r="X10040" s="23" t="str">
        <f aca="false">IF(T10040="","",IF(T10040=0,"No discount",IF(T10040&lt;=0.2,"Low (1-20%)",IF(T10040&lt;=0.4,"Medium (21-40%)","High (&gt;40%)"))))</f>
        <v/>
      </c>
      <c r="Y10040" s="23" t="str">
        <f aca="false">IF(AND(ISNUMBER(C10040),ISNUMBER(D10040)),D10040-C10040,"")</f>
        <v/>
      </c>
      <c r="Z10040" s="23" t="str">
        <f aca="false">IF(B10040="","",IF(MATCH(B10040,$B$2:$B$12000,0)=ROW()-1,1,0))</f>
        <v/>
      </c>
    </row>
    <row r="10041" customFormat="false" ht="15" hidden="false" customHeight="false" outlineLevel="0" collapsed="false">
      <c r="V10041" s="23" t="str">
        <f aca="false">IF(ISNUMBER(C10041),YEAR(C10041),"")</f>
        <v/>
      </c>
      <c r="W10041" s="23" t="str">
        <f aca="false">IF(ISNUMBER(C10041),MONTH(C10041),"")</f>
        <v/>
      </c>
      <c r="X10041" s="23" t="str">
        <f aca="false">IF(T10041="","",IF(T10041=0,"No discount",IF(T10041&lt;=0.2,"Low (1-20%)",IF(T10041&lt;=0.4,"Medium (21-40%)","High (&gt;40%)"))))</f>
        <v/>
      </c>
      <c r="Y10041" s="23" t="str">
        <f aca="false">IF(AND(ISNUMBER(C10041),ISNUMBER(D10041)),D10041-C10041,"")</f>
        <v/>
      </c>
      <c r="Z10041" s="23" t="str">
        <f aca="false">IF(B10041="","",IF(MATCH(B10041,$B$2:$B$12000,0)=ROW()-1,1,0))</f>
        <v/>
      </c>
    </row>
    <row r="10042" customFormat="false" ht="15" hidden="false" customHeight="false" outlineLevel="0" collapsed="false">
      <c r="V10042" s="23" t="str">
        <f aca="false">IF(ISNUMBER(C10042),YEAR(C10042),"")</f>
        <v/>
      </c>
      <c r="W10042" s="23" t="str">
        <f aca="false">IF(ISNUMBER(C10042),MONTH(C10042),"")</f>
        <v/>
      </c>
      <c r="X10042" s="23" t="str">
        <f aca="false">IF(T10042="","",IF(T10042=0,"No discount",IF(T10042&lt;=0.2,"Low (1-20%)",IF(T10042&lt;=0.4,"Medium (21-40%)","High (&gt;40%)"))))</f>
        <v/>
      </c>
      <c r="Y10042" s="23" t="str">
        <f aca="false">IF(AND(ISNUMBER(C10042),ISNUMBER(D10042)),D10042-C10042,"")</f>
        <v/>
      </c>
      <c r="Z10042" s="23" t="str">
        <f aca="false">IF(B10042="","",IF(MATCH(B10042,$B$2:$B$12000,0)=ROW()-1,1,0))</f>
        <v/>
      </c>
    </row>
    <row r="10043" customFormat="false" ht="15" hidden="false" customHeight="false" outlineLevel="0" collapsed="false">
      <c r="V10043" s="23" t="str">
        <f aca="false">IF(ISNUMBER(C10043),YEAR(C10043),"")</f>
        <v/>
      </c>
      <c r="W10043" s="23" t="str">
        <f aca="false">IF(ISNUMBER(C10043),MONTH(C10043),"")</f>
        <v/>
      </c>
      <c r="X10043" s="23" t="str">
        <f aca="false">IF(T10043="","",IF(T10043=0,"No discount",IF(T10043&lt;=0.2,"Low (1-20%)",IF(T10043&lt;=0.4,"Medium (21-40%)","High (&gt;40%)"))))</f>
        <v/>
      </c>
      <c r="Y10043" s="23" t="str">
        <f aca="false">IF(AND(ISNUMBER(C10043),ISNUMBER(D10043)),D10043-C10043,"")</f>
        <v/>
      </c>
      <c r="Z10043" s="23" t="str">
        <f aca="false">IF(B10043="","",IF(MATCH(B10043,$B$2:$B$12000,0)=ROW()-1,1,0))</f>
        <v/>
      </c>
    </row>
    <row r="10044" customFormat="false" ht="15" hidden="false" customHeight="false" outlineLevel="0" collapsed="false">
      <c r="V10044" s="23" t="str">
        <f aca="false">IF(ISNUMBER(C10044),YEAR(C10044),"")</f>
        <v/>
      </c>
      <c r="W10044" s="23" t="str">
        <f aca="false">IF(ISNUMBER(C10044),MONTH(C10044),"")</f>
        <v/>
      </c>
      <c r="X10044" s="23" t="str">
        <f aca="false">IF(T10044="","",IF(T10044=0,"No discount",IF(T10044&lt;=0.2,"Low (1-20%)",IF(T10044&lt;=0.4,"Medium (21-40%)","High (&gt;40%)"))))</f>
        <v/>
      </c>
      <c r="Y10044" s="23" t="str">
        <f aca="false">IF(AND(ISNUMBER(C10044),ISNUMBER(D10044)),D10044-C10044,"")</f>
        <v/>
      </c>
      <c r="Z10044" s="23" t="str">
        <f aca="false">IF(B10044="","",IF(MATCH(B10044,$B$2:$B$12000,0)=ROW()-1,1,0))</f>
        <v/>
      </c>
    </row>
    <row r="10045" customFormat="false" ht="15" hidden="false" customHeight="false" outlineLevel="0" collapsed="false">
      <c r="V10045" s="23" t="str">
        <f aca="false">IF(ISNUMBER(C10045),YEAR(C10045),"")</f>
        <v/>
      </c>
      <c r="W10045" s="23" t="str">
        <f aca="false">IF(ISNUMBER(C10045),MONTH(C10045),"")</f>
        <v/>
      </c>
      <c r="X10045" s="23" t="str">
        <f aca="false">IF(T10045="","",IF(T10045=0,"No discount",IF(T10045&lt;=0.2,"Low (1-20%)",IF(T10045&lt;=0.4,"Medium (21-40%)","High (&gt;40%)"))))</f>
        <v/>
      </c>
      <c r="Y10045" s="23" t="str">
        <f aca="false">IF(AND(ISNUMBER(C10045),ISNUMBER(D10045)),D10045-C10045,"")</f>
        <v/>
      </c>
      <c r="Z10045" s="23" t="str">
        <f aca="false">IF(B10045="","",IF(MATCH(B10045,$B$2:$B$12000,0)=ROW()-1,1,0))</f>
        <v/>
      </c>
    </row>
    <row r="10046" customFormat="false" ht="15" hidden="false" customHeight="false" outlineLevel="0" collapsed="false">
      <c r="V10046" s="23" t="str">
        <f aca="false">IF(ISNUMBER(C10046),YEAR(C10046),"")</f>
        <v/>
      </c>
      <c r="W10046" s="23" t="str">
        <f aca="false">IF(ISNUMBER(C10046),MONTH(C10046),"")</f>
        <v/>
      </c>
      <c r="X10046" s="23" t="str">
        <f aca="false">IF(T10046="","",IF(T10046=0,"No discount",IF(T10046&lt;=0.2,"Low (1-20%)",IF(T10046&lt;=0.4,"Medium (21-40%)","High (&gt;40%)"))))</f>
        <v/>
      </c>
      <c r="Y10046" s="23" t="str">
        <f aca="false">IF(AND(ISNUMBER(C10046),ISNUMBER(D10046)),D10046-C10046,"")</f>
        <v/>
      </c>
      <c r="Z10046" s="23" t="str">
        <f aca="false">IF(B10046="","",IF(MATCH(B10046,$B$2:$B$12000,0)=ROW()-1,1,0))</f>
        <v/>
      </c>
    </row>
    <row r="10047" customFormat="false" ht="15" hidden="false" customHeight="false" outlineLevel="0" collapsed="false">
      <c r="V10047" s="23" t="str">
        <f aca="false">IF(ISNUMBER(C10047),YEAR(C10047),"")</f>
        <v/>
      </c>
      <c r="W10047" s="23" t="str">
        <f aca="false">IF(ISNUMBER(C10047),MONTH(C10047),"")</f>
        <v/>
      </c>
      <c r="X10047" s="23" t="str">
        <f aca="false">IF(T10047="","",IF(T10047=0,"No discount",IF(T10047&lt;=0.2,"Low (1-20%)",IF(T10047&lt;=0.4,"Medium (21-40%)","High (&gt;40%)"))))</f>
        <v/>
      </c>
      <c r="Y10047" s="23" t="str">
        <f aca="false">IF(AND(ISNUMBER(C10047),ISNUMBER(D10047)),D10047-C10047,"")</f>
        <v/>
      </c>
      <c r="Z10047" s="23" t="str">
        <f aca="false">IF(B10047="","",IF(MATCH(B10047,$B$2:$B$12000,0)=ROW()-1,1,0))</f>
        <v/>
      </c>
    </row>
    <row r="10048" customFormat="false" ht="15" hidden="false" customHeight="false" outlineLevel="0" collapsed="false">
      <c r="V10048" s="23" t="str">
        <f aca="false">IF(ISNUMBER(C10048),YEAR(C10048),"")</f>
        <v/>
      </c>
      <c r="W10048" s="23" t="str">
        <f aca="false">IF(ISNUMBER(C10048),MONTH(C10048),"")</f>
        <v/>
      </c>
      <c r="X10048" s="23" t="str">
        <f aca="false">IF(T10048="","",IF(T10048=0,"No discount",IF(T10048&lt;=0.2,"Low (1-20%)",IF(T10048&lt;=0.4,"Medium (21-40%)","High (&gt;40%)"))))</f>
        <v/>
      </c>
      <c r="Y10048" s="23" t="str">
        <f aca="false">IF(AND(ISNUMBER(C10048),ISNUMBER(D10048)),D10048-C10048,"")</f>
        <v/>
      </c>
      <c r="Z10048" s="23" t="str">
        <f aca="false">IF(B10048="","",IF(MATCH(B10048,$B$2:$B$12000,0)=ROW()-1,1,0))</f>
        <v/>
      </c>
    </row>
    <row r="10049" customFormat="false" ht="15" hidden="false" customHeight="false" outlineLevel="0" collapsed="false">
      <c r="V10049" s="23" t="str">
        <f aca="false">IF(ISNUMBER(C10049),YEAR(C10049),"")</f>
        <v/>
      </c>
      <c r="W10049" s="23" t="str">
        <f aca="false">IF(ISNUMBER(C10049),MONTH(C10049),"")</f>
        <v/>
      </c>
      <c r="X10049" s="23" t="str">
        <f aca="false">IF(T10049="","",IF(T10049=0,"No discount",IF(T10049&lt;=0.2,"Low (1-20%)",IF(T10049&lt;=0.4,"Medium (21-40%)","High (&gt;40%)"))))</f>
        <v/>
      </c>
      <c r="Y10049" s="23" t="str">
        <f aca="false">IF(AND(ISNUMBER(C10049),ISNUMBER(D10049)),D10049-C10049,"")</f>
        <v/>
      </c>
      <c r="Z10049" s="23" t="str">
        <f aca="false">IF(B10049="","",IF(MATCH(B10049,$B$2:$B$12000,0)=ROW()-1,1,0))</f>
        <v/>
      </c>
    </row>
    <row r="10050" customFormat="false" ht="15" hidden="false" customHeight="false" outlineLevel="0" collapsed="false">
      <c r="V10050" s="23" t="str">
        <f aca="false">IF(ISNUMBER(C10050),YEAR(C10050),"")</f>
        <v/>
      </c>
      <c r="W10050" s="23" t="str">
        <f aca="false">IF(ISNUMBER(C10050),MONTH(C10050),"")</f>
        <v/>
      </c>
      <c r="X10050" s="23" t="str">
        <f aca="false">IF(T10050="","",IF(T10050=0,"No discount",IF(T10050&lt;=0.2,"Low (1-20%)",IF(T10050&lt;=0.4,"Medium (21-40%)","High (&gt;40%)"))))</f>
        <v/>
      </c>
      <c r="Y10050" s="23" t="str">
        <f aca="false">IF(AND(ISNUMBER(C10050),ISNUMBER(D10050)),D10050-C10050,"")</f>
        <v/>
      </c>
      <c r="Z10050" s="23" t="str">
        <f aca="false">IF(B10050="","",IF(MATCH(B10050,$B$2:$B$12000,0)=ROW()-1,1,0))</f>
        <v/>
      </c>
    </row>
    <row r="10051" customFormat="false" ht="15" hidden="false" customHeight="false" outlineLevel="0" collapsed="false">
      <c r="V10051" s="23" t="str">
        <f aca="false">IF(ISNUMBER(C10051),YEAR(C10051),"")</f>
        <v/>
      </c>
      <c r="W10051" s="23" t="str">
        <f aca="false">IF(ISNUMBER(C10051),MONTH(C10051),"")</f>
        <v/>
      </c>
      <c r="X10051" s="23" t="str">
        <f aca="false">IF(T10051="","",IF(T10051=0,"No discount",IF(T10051&lt;=0.2,"Low (1-20%)",IF(T10051&lt;=0.4,"Medium (21-40%)","High (&gt;40%)"))))</f>
        <v/>
      </c>
      <c r="Y10051" s="23" t="str">
        <f aca="false">IF(AND(ISNUMBER(C10051),ISNUMBER(D10051)),D10051-C10051,"")</f>
        <v/>
      </c>
      <c r="Z10051" s="23" t="str">
        <f aca="false">IF(B10051="","",IF(MATCH(B10051,$B$2:$B$12000,0)=ROW()-1,1,0))</f>
        <v/>
      </c>
    </row>
    <row r="10052" customFormat="false" ht="15" hidden="false" customHeight="false" outlineLevel="0" collapsed="false">
      <c r="V10052" s="23" t="str">
        <f aca="false">IF(ISNUMBER(C10052),YEAR(C10052),"")</f>
        <v/>
      </c>
      <c r="W10052" s="23" t="str">
        <f aca="false">IF(ISNUMBER(C10052),MONTH(C10052),"")</f>
        <v/>
      </c>
      <c r="X10052" s="23" t="str">
        <f aca="false">IF(T10052="","",IF(T10052=0,"No discount",IF(T10052&lt;=0.2,"Low (1-20%)",IF(T10052&lt;=0.4,"Medium (21-40%)","High (&gt;40%)"))))</f>
        <v/>
      </c>
      <c r="Y10052" s="23" t="str">
        <f aca="false">IF(AND(ISNUMBER(C10052),ISNUMBER(D10052)),D10052-C10052,"")</f>
        <v/>
      </c>
      <c r="Z10052" s="23" t="str">
        <f aca="false">IF(B10052="","",IF(MATCH(B10052,$B$2:$B$12000,0)=ROW()-1,1,0))</f>
        <v/>
      </c>
    </row>
    <row r="10053" customFormat="false" ht="15" hidden="false" customHeight="false" outlineLevel="0" collapsed="false">
      <c r="V10053" s="23" t="str">
        <f aca="false">IF(ISNUMBER(C10053),YEAR(C10053),"")</f>
        <v/>
      </c>
      <c r="W10053" s="23" t="str">
        <f aca="false">IF(ISNUMBER(C10053),MONTH(C10053),"")</f>
        <v/>
      </c>
      <c r="X10053" s="23" t="str">
        <f aca="false">IF(T10053="","",IF(T10053=0,"No discount",IF(T10053&lt;=0.2,"Low (1-20%)",IF(T10053&lt;=0.4,"Medium (21-40%)","High (&gt;40%)"))))</f>
        <v/>
      </c>
      <c r="Y10053" s="23" t="str">
        <f aca="false">IF(AND(ISNUMBER(C10053),ISNUMBER(D10053)),D10053-C10053,"")</f>
        <v/>
      </c>
      <c r="Z10053" s="23" t="str">
        <f aca="false">IF(B10053="","",IF(MATCH(B10053,$B$2:$B$12000,0)=ROW()-1,1,0))</f>
        <v/>
      </c>
    </row>
    <row r="10054" customFormat="false" ht="15" hidden="false" customHeight="false" outlineLevel="0" collapsed="false">
      <c r="V10054" s="23" t="str">
        <f aca="false">IF(ISNUMBER(C10054),YEAR(C10054),"")</f>
        <v/>
      </c>
      <c r="W10054" s="23" t="str">
        <f aca="false">IF(ISNUMBER(C10054),MONTH(C10054),"")</f>
        <v/>
      </c>
      <c r="X10054" s="23" t="str">
        <f aca="false">IF(T10054="","",IF(T10054=0,"No discount",IF(T10054&lt;=0.2,"Low (1-20%)",IF(T10054&lt;=0.4,"Medium (21-40%)","High (&gt;40%)"))))</f>
        <v/>
      </c>
      <c r="Y10054" s="23" t="str">
        <f aca="false">IF(AND(ISNUMBER(C10054),ISNUMBER(D10054)),D10054-C10054,"")</f>
        <v/>
      </c>
      <c r="Z10054" s="23" t="str">
        <f aca="false">IF(B10054="","",IF(MATCH(B10054,$B$2:$B$12000,0)=ROW()-1,1,0))</f>
        <v/>
      </c>
    </row>
    <row r="10055" customFormat="false" ht="15" hidden="false" customHeight="false" outlineLevel="0" collapsed="false">
      <c r="V10055" s="23" t="str">
        <f aca="false">IF(ISNUMBER(C10055),YEAR(C10055),"")</f>
        <v/>
      </c>
      <c r="W10055" s="23" t="str">
        <f aca="false">IF(ISNUMBER(C10055),MONTH(C10055),"")</f>
        <v/>
      </c>
      <c r="X10055" s="23" t="str">
        <f aca="false">IF(T10055="","",IF(T10055=0,"No discount",IF(T10055&lt;=0.2,"Low (1-20%)",IF(T10055&lt;=0.4,"Medium (21-40%)","High (&gt;40%)"))))</f>
        <v/>
      </c>
      <c r="Y10055" s="23" t="str">
        <f aca="false">IF(AND(ISNUMBER(C10055),ISNUMBER(D10055)),D10055-C10055,"")</f>
        <v/>
      </c>
      <c r="Z10055" s="23" t="str">
        <f aca="false">IF(B10055="","",IF(MATCH(B10055,$B$2:$B$12000,0)=ROW()-1,1,0))</f>
        <v/>
      </c>
    </row>
    <row r="10056" customFormat="false" ht="15" hidden="false" customHeight="false" outlineLevel="0" collapsed="false">
      <c r="V10056" s="23" t="str">
        <f aca="false">IF(ISNUMBER(C10056),YEAR(C10056),"")</f>
        <v/>
      </c>
      <c r="W10056" s="23" t="str">
        <f aca="false">IF(ISNUMBER(C10056),MONTH(C10056),"")</f>
        <v/>
      </c>
      <c r="X10056" s="23" t="str">
        <f aca="false">IF(T10056="","",IF(T10056=0,"No discount",IF(T10056&lt;=0.2,"Low (1-20%)",IF(T10056&lt;=0.4,"Medium (21-40%)","High (&gt;40%)"))))</f>
        <v/>
      </c>
      <c r="Y10056" s="23" t="str">
        <f aca="false">IF(AND(ISNUMBER(C10056),ISNUMBER(D10056)),D10056-C10056,"")</f>
        <v/>
      </c>
      <c r="Z10056" s="23" t="str">
        <f aca="false">IF(B10056="","",IF(MATCH(B10056,$B$2:$B$12000,0)=ROW()-1,1,0))</f>
        <v/>
      </c>
    </row>
    <row r="10057" customFormat="false" ht="15" hidden="false" customHeight="false" outlineLevel="0" collapsed="false">
      <c r="V10057" s="23" t="str">
        <f aca="false">IF(ISNUMBER(C10057),YEAR(C10057),"")</f>
        <v/>
      </c>
      <c r="W10057" s="23" t="str">
        <f aca="false">IF(ISNUMBER(C10057),MONTH(C10057),"")</f>
        <v/>
      </c>
      <c r="X10057" s="23" t="str">
        <f aca="false">IF(T10057="","",IF(T10057=0,"No discount",IF(T10057&lt;=0.2,"Low (1-20%)",IF(T10057&lt;=0.4,"Medium (21-40%)","High (&gt;40%)"))))</f>
        <v/>
      </c>
      <c r="Y10057" s="23" t="str">
        <f aca="false">IF(AND(ISNUMBER(C10057),ISNUMBER(D10057)),D10057-C10057,"")</f>
        <v/>
      </c>
      <c r="Z10057" s="23" t="str">
        <f aca="false">IF(B10057="","",IF(MATCH(B10057,$B$2:$B$12000,0)=ROW()-1,1,0))</f>
        <v/>
      </c>
    </row>
    <row r="10058" customFormat="false" ht="15" hidden="false" customHeight="false" outlineLevel="0" collapsed="false">
      <c r="V10058" s="23" t="str">
        <f aca="false">IF(ISNUMBER(C10058),YEAR(C10058),"")</f>
        <v/>
      </c>
      <c r="W10058" s="23" t="str">
        <f aca="false">IF(ISNUMBER(C10058),MONTH(C10058),"")</f>
        <v/>
      </c>
      <c r="X10058" s="23" t="str">
        <f aca="false">IF(T10058="","",IF(T10058=0,"No discount",IF(T10058&lt;=0.2,"Low (1-20%)",IF(T10058&lt;=0.4,"Medium (21-40%)","High (&gt;40%)"))))</f>
        <v/>
      </c>
      <c r="Y10058" s="23" t="str">
        <f aca="false">IF(AND(ISNUMBER(C10058),ISNUMBER(D10058)),D10058-C10058,"")</f>
        <v/>
      </c>
      <c r="Z10058" s="23" t="str">
        <f aca="false">IF(B10058="","",IF(MATCH(B10058,$B$2:$B$12000,0)=ROW()-1,1,0))</f>
        <v/>
      </c>
    </row>
    <row r="10059" customFormat="false" ht="15" hidden="false" customHeight="false" outlineLevel="0" collapsed="false">
      <c r="V10059" s="23" t="str">
        <f aca="false">IF(ISNUMBER(C10059),YEAR(C10059),"")</f>
        <v/>
      </c>
      <c r="W10059" s="23" t="str">
        <f aca="false">IF(ISNUMBER(C10059),MONTH(C10059),"")</f>
        <v/>
      </c>
      <c r="X10059" s="23" t="str">
        <f aca="false">IF(T10059="","",IF(T10059=0,"No discount",IF(T10059&lt;=0.2,"Low (1-20%)",IF(T10059&lt;=0.4,"Medium (21-40%)","High (&gt;40%)"))))</f>
        <v/>
      </c>
      <c r="Y10059" s="23" t="str">
        <f aca="false">IF(AND(ISNUMBER(C10059),ISNUMBER(D10059)),D10059-C10059,"")</f>
        <v/>
      </c>
      <c r="Z10059" s="23" t="str">
        <f aca="false">IF(B10059="","",IF(MATCH(B10059,$B$2:$B$12000,0)=ROW()-1,1,0))</f>
        <v/>
      </c>
    </row>
    <row r="10060" customFormat="false" ht="15" hidden="false" customHeight="false" outlineLevel="0" collapsed="false">
      <c r="V10060" s="23" t="str">
        <f aca="false">IF(ISNUMBER(C10060),YEAR(C10060),"")</f>
        <v/>
      </c>
      <c r="W10060" s="23" t="str">
        <f aca="false">IF(ISNUMBER(C10060),MONTH(C10060),"")</f>
        <v/>
      </c>
      <c r="X10060" s="23" t="str">
        <f aca="false">IF(T10060="","",IF(T10060=0,"No discount",IF(T10060&lt;=0.2,"Low (1-20%)",IF(T10060&lt;=0.4,"Medium (21-40%)","High (&gt;40%)"))))</f>
        <v/>
      </c>
      <c r="Y10060" s="23" t="str">
        <f aca="false">IF(AND(ISNUMBER(C10060),ISNUMBER(D10060)),D10060-C10060,"")</f>
        <v/>
      </c>
      <c r="Z10060" s="23" t="str">
        <f aca="false">IF(B10060="","",IF(MATCH(B10060,$B$2:$B$12000,0)=ROW()-1,1,0))</f>
        <v/>
      </c>
    </row>
    <row r="10061" customFormat="false" ht="15" hidden="false" customHeight="false" outlineLevel="0" collapsed="false">
      <c r="V10061" s="23" t="str">
        <f aca="false">IF(ISNUMBER(C10061),YEAR(C10061),"")</f>
        <v/>
      </c>
      <c r="W10061" s="23" t="str">
        <f aca="false">IF(ISNUMBER(C10061),MONTH(C10061),"")</f>
        <v/>
      </c>
      <c r="X10061" s="23" t="str">
        <f aca="false">IF(T10061="","",IF(T10061=0,"No discount",IF(T10061&lt;=0.2,"Low (1-20%)",IF(T10061&lt;=0.4,"Medium (21-40%)","High (&gt;40%)"))))</f>
        <v/>
      </c>
      <c r="Y10061" s="23" t="str">
        <f aca="false">IF(AND(ISNUMBER(C10061),ISNUMBER(D10061)),D10061-C10061,"")</f>
        <v/>
      </c>
      <c r="Z10061" s="23" t="str">
        <f aca="false">IF(B10061="","",IF(MATCH(B10061,$B$2:$B$12000,0)=ROW()-1,1,0))</f>
        <v/>
      </c>
    </row>
    <row r="10062" customFormat="false" ht="15" hidden="false" customHeight="false" outlineLevel="0" collapsed="false">
      <c r="V10062" s="23" t="str">
        <f aca="false">IF(ISNUMBER(C10062),YEAR(C10062),"")</f>
        <v/>
      </c>
      <c r="W10062" s="23" t="str">
        <f aca="false">IF(ISNUMBER(C10062),MONTH(C10062),"")</f>
        <v/>
      </c>
      <c r="X10062" s="23" t="str">
        <f aca="false">IF(T10062="","",IF(T10062=0,"No discount",IF(T10062&lt;=0.2,"Low (1-20%)",IF(T10062&lt;=0.4,"Medium (21-40%)","High (&gt;40%)"))))</f>
        <v/>
      </c>
      <c r="Y10062" s="23" t="str">
        <f aca="false">IF(AND(ISNUMBER(C10062),ISNUMBER(D10062)),D10062-C10062,"")</f>
        <v/>
      </c>
      <c r="Z10062" s="23" t="str">
        <f aca="false">IF(B10062="","",IF(MATCH(B10062,$B$2:$B$12000,0)=ROW()-1,1,0))</f>
        <v/>
      </c>
    </row>
    <row r="10063" customFormat="false" ht="15" hidden="false" customHeight="false" outlineLevel="0" collapsed="false">
      <c r="V10063" s="23" t="str">
        <f aca="false">IF(ISNUMBER(C10063),YEAR(C10063),"")</f>
        <v/>
      </c>
      <c r="W10063" s="23" t="str">
        <f aca="false">IF(ISNUMBER(C10063),MONTH(C10063),"")</f>
        <v/>
      </c>
      <c r="X10063" s="23" t="str">
        <f aca="false">IF(T10063="","",IF(T10063=0,"No discount",IF(T10063&lt;=0.2,"Low (1-20%)",IF(T10063&lt;=0.4,"Medium (21-40%)","High (&gt;40%)"))))</f>
        <v/>
      </c>
      <c r="Y10063" s="23" t="str">
        <f aca="false">IF(AND(ISNUMBER(C10063),ISNUMBER(D10063)),D10063-C10063,"")</f>
        <v/>
      </c>
      <c r="Z10063" s="23" t="str">
        <f aca="false">IF(B10063="","",IF(MATCH(B10063,$B$2:$B$12000,0)=ROW()-1,1,0))</f>
        <v/>
      </c>
    </row>
    <row r="10064" customFormat="false" ht="15" hidden="false" customHeight="false" outlineLevel="0" collapsed="false">
      <c r="V10064" s="23" t="str">
        <f aca="false">IF(ISNUMBER(C10064),YEAR(C10064),"")</f>
        <v/>
      </c>
      <c r="W10064" s="23" t="str">
        <f aca="false">IF(ISNUMBER(C10064),MONTH(C10064),"")</f>
        <v/>
      </c>
      <c r="X10064" s="23" t="str">
        <f aca="false">IF(T10064="","",IF(T10064=0,"No discount",IF(T10064&lt;=0.2,"Low (1-20%)",IF(T10064&lt;=0.4,"Medium (21-40%)","High (&gt;40%)"))))</f>
        <v/>
      </c>
      <c r="Y10064" s="23" t="str">
        <f aca="false">IF(AND(ISNUMBER(C10064),ISNUMBER(D10064)),D10064-C10064,"")</f>
        <v/>
      </c>
      <c r="Z10064" s="23" t="str">
        <f aca="false">IF(B10064="","",IF(MATCH(B10064,$B$2:$B$12000,0)=ROW()-1,1,0))</f>
        <v/>
      </c>
    </row>
    <row r="10065" customFormat="false" ht="15" hidden="false" customHeight="false" outlineLevel="0" collapsed="false">
      <c r="V10065" s="23" t="str">
        <f aca="false">IF(ISNUMBER(C10065),YEAR(C10065),"")</f>
        <v/>
      </c>
      <c r="W10065" s="23" t="str">
        <f aca="false">IF(ISNUMBER(C10065),MONTH(C10065),"")</f>
        <v/>
      </c>
      <c r="X10065" s="23" t="str">
        <f aca="false">IF(T10065="","",IF(T10065=0,"No discount",IF(T10065&lt;=0.2,"Low (1-20%)",IF(T10065&lt;=0.4,"Medium (21-40%)","High (&gt;40%)"))))</f>
        <v/>
      </c>
      <c r="Y10065" s="23" t="str">
        <f aca="false">IF(AND(ISNUMBER(C10065),ISNUMBER(D10065)),D10065-C10065,"")</f>
        <v/>
      </c>
      <c r="Z10065" s="23" t="str">
        <f aca="false">IF(B10065="","",IF(MATCH(B10065,$B$2:$B$12000,0)=ROW()-1,1,0))</f>
        <v/>
      </c>
    </row>
    <row r="10066" customFormat="false" ht="15" hidden="false" customHeight="false" outlineLevel="0" collapsed="false">
      <c r="V10066" s="23" t="str">
        <f aca="false">IF(ISNUMBER(C10066),YEAR(C10066),"")</f>
        <v/>
      </c>
      <c r="W10066" s="23" t="str">
        <f aca="false">IF(ISNUMBER(C10066),MONTH(C10066),"")</f>
        <v/>
      </c>
      <c r="X10066" s="23" t="str">
        <f aca="false">IF(T10066="","",IF(T10066=0,"No discount",IF(T10066&lt;=0.2,"Low (1-20%)",IF(T10066&lt;=0.4,"Medium (21-40%)","High (&gt;40%)"))))</f>
        <v/>
      </c>
      <c r="Y10066" s="23" t="str">
        <f aca="false">IF(AND(ISNUMBER(C10066),ISNUMBER(D10066)),D10066-C10066,"")</f>
        <v/>
      </c>
      <c r="Z10066" s="23" t="str">
        <f aca="false">IF(B10066="","",IF(MATCH(B10066,$B$2:$B$12000,0)=ROW()-1,1,0))</f>
        <v/>
      </c>
    </row>
    <row r="10067" customFormat="false" ht="15" hidden="false" customHeight="false" outlineLevel="0" collapsed="false">
      <c r="V10067" s="23" t="str">
        <f aca="false">IF(ISNUMBER(C10067),YEAR(C10067),"")</f>
        <v/>
      </c>
      <c r="W10067" s="23" t="str">
        <f aca="false">IF(ISNUMBER(C10067),MONTH(C10067),"")</f>
        <v/>
      </c>
      <c r="X10067" s="23" t="str">
        <f aca="false">IF(T10067="","",IF(T10067=0,"No discount",IF(T10067&lt;=0.2,"Low (1-20%)",IF(T10067&lt;=0.4,"Medium (21-40%)","High (&gt;40%)"))))</f>
        <v/>
      </c>
      <c r="Y10067" s="23" t="str">
        <f aca="false">IF(AND(ISNUMBER(C10067),ISNUMBER(D10067)),D10067-C10067,"")</f>
        <v/>
      </c>
      <c r="Z10067" s="23" t="str">
        <f aca="false">IF(B10067="","",IF(MATCH(B10067,$B$2:$B$12000,0)=ROW()-1,1,0))</f>
        <v/>
      </c>
    </row>
    <row r="10068" customFormat="false" ht="15" hidden="false" customHeight="false" outlineLevel="0" collapsed="false">
      <c r="V10068" s="23" t="str">
        <f aca="false">IF(ISNUMBER(C10068),YEAR(C10068),"")</f>
        <v/>
      </c>
      <c r="W10068" s="23" t="str">
        <f aca="false">IF(ISNUMBER(C10068),MONTH(C10068),"")</f>
        <v/>
      </c>
      <c r="X10068" s="23" t="str">
        <f aca="false">IF(T10068="","",IF(T10068=0,"No discount",IF(T10068&lt;=0.2,"Low (1-20%)",IF(T10068&lt;=0.4,"Medium (21-40%)","High (&gt;40%)"))))</f>
        <v/>
      </c>
      <c r="Y10068" s="23" t="str">
        <f aca="false">IF(AND(ISNUMBER(C10068),ISNUMBER(D10068)),D10068-C10068,"")</f>
        <v/>
      </c>
      <c r="Z10068" s="23" t="str">
        <f aca="false">IF(B10068="","",IF(MATCH(B10068,$B$2:$B$12000,0)=ROW()-1,1,0))</f>
        <v/>
      </c>
    </row>
    <row r="10069" customFormat="false" ht="15" hidden="false" customHeight="false" outlineLevel="0" collapsed="false">
      <c r="V10069" s="23" t="str">
        <f aca="false">IF(ISNUMBER(C10069),YEAR(C10069),"")</f>
        <v/>
      </c>
      <c r="W10069" s="23" t="str">
        <f aca="false">IF(ISNUMBER(C10069),MONTH(C10069),"")</f>
        <v/>
      </c>
      <c r="X10069" s="23" t="str">
        <f aca="false">IF(T10069="","",IF(T10069=0,"No discount",IF(T10069&lt;=0.2,"Low (1-20%)",IF(T10069&lt;=0.4,"Medium (21-40%)","High (&gt;40%)"))))</f>
        <v/>
      </c>
      <c r="Y10069" s="23" t="str">
        <f aca="false">IF(AND(ISNUMBER(C10069),ISNUMBER(D10069)),D10069-C10069,"")</f>
        <v/>
      </c>
      <c r="Z10069" s="23" t="str">
        <f aca="false">IF(B10069="","",IF(MATCH(B10069,$B$2:$B$12000,0)=ROW()-1,1,0))</f>
        <v/>
      </c>
    </row>
    <row r="10070" customFormat="false" ht="15" hidden="false" customHeight="false" outlineLevel="0" collapsed="false">
      <c r="V10070" s="23" t="str">
        <f aca="false">IF(ISNUMBER(C10070),YEAR(C10070),"")</f>
        <v/>
      </c>
      <c r="W10070" s="23" t="str">
        <f aca="false">IF(ISNUMBER(C10070),MONTH(C10070),"")</f>
        <v/>
      </c>
      <c r="X10070" s="23" t="str">
        <f aca="false">IF(T10070="","",IF(T10070=0,"No discount",IF(T10070&lt;=0.2,"Low (1-20%)",IF(T10070&lt;=0.4,"Medium (21-40%)","High (&gt;40%)"))))</f>
        <v/>
      </c>
      <c r="Y10070" s="23" t="str">
        <f aca="false">IF(AND(ISNUMBER(C10070),ISNUMBER(D10070)),D10070-C10070,"")</f>
        <v/>
      </c>
      <c r="Z10070" s="23" t="str">
        <f aca="false">IF(B10070="","",IF(MATCH(B10070,$B$2:$B$12000,0)=ROW()-1,1,0))</f>
        <v/>
      </c>
    </row>
    <row r="10071" customFormat="false" ht="15" hidden="false" customHeight="false" outlineLevel="0" collapsed="false">
      <c r="V10071" s="23" t="str">
        <f aca="false">IF(ISNUMBER(C10071),YEAR(C10071),"")</f>
        <v/>
      </c>
      <c r="W10071" s="23" t="str">
        <f aca="false">IF(ISNUMBER(C10071),MONTH(C10071),"")</f>
        <v/>
      </c>
      <c r="X10071" s="23" t="str">
        <f aca="false">IF(T10071="","",IF(T10071=0,"No discount",IF(T10071&lt;=0.2,"Low (1-20%)",IF(T10071&lt;=0.4,"Medium (21-40%)","High (&gt;40%)"))))</f>
        <v/>
      </c>
      <c r="Y10071" s="23" t="str">
        <f aca="false">IF(AND(ISNUMBER(C10071),ISNUMBER(D10071)),D10071-C10071,"")</f>
        <v/>
      </c>
      <c r="Z10071" s="23" t="str">
        <f aca="false">IF(B10071="","",IF(MATCH(B10071,$B$2:$B$12000,0)=ROW()-1,1,0))</f>
        <v/>
      </c>
    </row>
    <row r="10072" customFormat="false" ht="15" hidden="false" customHeight="false" outlineLevel="0" collapsed="false">
      <c r="V10072" s="23" t="str">
        <f aca="false">IF(ISNUMBER(C10072),YEAR(C10072),"")</f>
        <v/>
      </c>
      <c r="W10072" s="23" t="str">
        <f aca="false">IF(ISNUMBER(C10072),MONTH(C10072),"")</f>
        <v/>
      </c>
      <c r="X10072" s="23" t="str">
        <f aca="false">IF(T10072="","",IF(T10072=0,"No discount",IF(T10072&lt;=0.2,"Low (1-20%)",IF(T10072&lt;=0.4,"Medium (21-40%)","High (&gt;40%)"))))</f>
        <v/>
      </c>
      <c r="Y10072" s="23" t="str">
        <f aca="false">IF(AND(ISNUMBER(C10072),ISNUMBER(D10072)),D10072-C10072,"")</f>
        <v/>
      </c>
      <c r="Z10072" s="23" t="str">
        <f aca="false">IF(B10072="","",IF(MATCH(B10072,$B$2:$B$12000,0)=ROW()-1,1,0))</f>
        <v/>
      </c>
    </row>
    <row r="10073" customFormat="false" ht="15" hidden="false" customHeight="false" outlineLevel="0" collapsed="false">
      <c r="V10073" s="23" t="str">
        <f aca="false">IF(ISNUMBER(C10073),YEAR(C10073),"")</f>
        <v/>
      </c>
      <c r="W10073" s="23" t="str">
        <f aca="false">IF(ISNUMBER(C10073),MONTH(C10073),"")</f>
        <v/>
      </c>
      <c r="X10073" s="23" t="str">
        <f aca="false">IF(T10073="","",IF(T10073=0,"No discount",IF(T10073&lt;=0.2,"Low (1-20%)",IF(T10073&lt;=0.4,"Medium (21-40%)","High (&gt;40%)"))))</f>
        <v/>
      </c>
      <c r="Y10073" s="23" t="str">
        <f aca="false">IF(AND(ISNUMBER(C10073),ISNUMBER(D10073)),D10073-C10073,"")</f>
        <v/>
      </c>
      <c r="Z10073" s="23" t="str">
        <f aca="false">IF(B10073="","",IF(MATCH(B10073,$B$2:$B$12000,0)=ROW()-1,1,0))</f>
        <v/>
      </c>
    </row>
    <row r="10074" customFormat="false" ht="15" hidden="false" customHeight="false" outlineLevel="0" collapsed="false">
      <c r="V10074" s="23" t="str">
        <f aca="false">IF(ISNUMBER(C10074),YEAR(C10074),"")</f>
        <v/>
      </c>
      <c r="W10074" s="23" t="str">
        <f aca="false">IF(ISNUMBER(C10074),MONTH(C10074),"")</f>
        <v/>
      </c>
      <c r="X10074" s="23" t="str">
        <f aca="false">IF(T10074="","",IF(T10074=0,"No discount",IF(T10074&lt;=0.2,"Low (1-20%)",IF(T10074&lt;=0.4,"Medium (21-40%)","High (&gt;40%)"))))</f>
        <v/>
      </c>
      <c r="Y10074" s="23" t="str">
        <f aca="false">IF(AND(ISNUMBER(C10074),ISNUMBER(D10074)),D10074-C10074,"")</f>
        <v/>
      </c>
      <c r="Z10074" s="23" t="str">
        <f aca="false">IF(B10074="","",IF(MATCH(B10074,$B$2:$B$12000,0)=ROW()-1,1,0))</f>
        <v/>
      </c>
    </row>
    <row r="10075" customFormat="false" ht="15" hidden="false" customHeight="false" outlineLevel="0" collapsed="false">
      <c r="V10075" s="23" t="str">
        <f aca="false">IF(ISNUMBER(C10075),YEAR(C10075),"")</f>
        <v/>
      </c>
      <c r="W10075" s="23" t="str">
        <f aca="false">IF(ISNUMBER(C10075),MONTH(C10075),"")</f>
        <v/>
      </c>
      <c r="X10075" s="23" t="str">
        <f aca="false">IF(T10075="","",IF(T10075=0,"No discount",IF(T10075&lt;=0.2,"Low (1-20%)",IF(T10075&lt;=0.4,"Medium (21-40%)","High (&gt;40%)"))))</f>
        <v/>
      </c>
      <c r="Y10075" s="23" t="str">
        <f aca="false">IF(AND(ISNUMBER(C10075),ISNUMBER(D10075)),D10075-C10075,"")</f>
        <v/>
      </c>
      <c r="Z10075" s="23" t="str">
        <f aca="false">IF(B10075="","",IF(MATCH(B10075,$B$2:$B$12000,0)=ROW()-1,1,0))</f>
        <v/>
      </c>
    </row>
    <row r="10076" customFormat="false" ht="15" hidden="false" customHeight="false" outlineLevel="0" collapsed="false">
      <c r="V10076" s="23" t="str">
        <f aca="false">IF(ISNUMBER(C10076),YEAR(C10076),"")</f>
        <v/>
      </c>
      <c r="W10076" s="23" t="str">
        <f aca="false">IF(ISNUMBER(C10076),MONTH(C10076),"")</f>
        <v/>
      </c>
      <c r="X10076" s="23" t="str">
        <f aca="false">IF(T10076="","",IF(T10076=0,"No discount",IF(T10076&lt;=0.2,"Low (1-20%)",IF(T10076&lt;=0.4,"Medium (21-40%)","High (&gt;40%)"))))</f>
        <v/>
      </c>
      <c r="Y10076" s="23" t="str">
        <f aca="false">IF(AND(ISNUMBER(C10076),ISNUMBER(D10076)),D10076-C10076,"")</f>
        <v/>
      </c>
      <c r="Z10076" s="23" t="str">
        <f aca="false">IF(B10076="","",IF(MATCH(B10076,$B$2:$B$12000,0)=ROW()-1,1,0))</f>
        <v/>
      </c>
    </row>
    <row r="10077" customFormat="false" ht="15" hidden="false" customHeight="false" outlineLevel="0" collapsed="false">
      <c r="V10077" s="23" t="str">
        <f aca="false">IF(ISNUMBER(C10077),YEAR(C10077),"")</f>
        <v/>
      </c>
      <c r="W10077" s="23" t="str">
        <f aca="false">IF(ISNUMBER(C10077),MONTH(C10077),"")</f>
        <v/>
      </c>
      <c r="X10077" s="23" t="str">
        <f aca="false">IF(T10077="","",IF(T10077=0,"No discount",IF(T10077&lt;=0.2,"Low (1-20%)",IF(T10077&lt;=0.4,"Medium (21-40%)","High (&gt;40%)"))))</f>
        <v/>
      </c>
      <c r="Y10077" s="23" t="str">
        <f aca="false">IF(AND(ISNUMBER(C10077),ISNUMBER(D10077)),D10077-C10077,"")</f>
        <v/>
      </c>
      <c r="Z10077" s="23" t="str">
        <f aca="false">IF(B10077="","",IF(MATCH(B10077,$B$2:$B$12000,0)=ROW()-1,1,0))</f>
        <v/>
      </c>
    </row>
    <row r="10078" customFormat="false" ht="15" hidden="false" customHeight="false" outlineLevel="0" collapsed="false">
      <c r="V10078" s="23" t="str">
        <f aca="false">IF(ISNUMBER(C10078),YEAR(C10078),"")</f>
        <v/>
      </c>
      <c r="W10078" s="23" t="str">
        <f aca="false">IF(ISNUMBER(C10078),MONTH(C10078),"")</f>
        <v/>
      </c>
      <c r="X10078" s="23" t="str">
        <f aca="false">IF(T10078="","",IF(T10078=0,"No discount",IF(T10078&lt;=0.2,"Low (1-20%)",IF(T10078&lt;=0.4,"Medium (21-40%)","High (&gt;40%)"))))</f>
        <v/>
      </c>
      <c r="Y10078" s="23" t="str">
        <f aca="false">IF(AND(ISNUMBER(C10078),ISNUMBER(D10078)),D10078-C10078,"")</f>
        <v/>
      </c>
      <c r="Z10078" s="23" t="str">
        <f aca="false">IF(B10078="","",IF(MATCH(B10078,$B$2:$B$12000,0)=ROW()-1,1,0))</f>
        <v/>
      </c>
    </row>
    <row r="10079" customFormat="false" ht="15" hidden="false" customHeight="false" outlineLevel="0" collapsed="false">
      <c r="V10079" s="23" t="str">
        <f aca="false">IF(ISNUMBER(C10079),YEAR(C10079),"")</f>
        <v/>
      </c>
      <c r="W10079" s="23" t="str">
        <f aca="false">IF(ISNUMBER(C10079),MONTH(C10079),"")</f>
        <v/>
      </c>
      <c r="X10079" s="23" t="str">
        <f aca="false">IF(T10079="","",IF(T10079=0,"No discount",IF(T10079&lt;=0.2,"Low (1-20%)",IF(T10079&lt;=0.4,"Medium (21-40%)","High (&gt;40%)"))))</f>
        <v/>
      </c>
      <c r="Y10079" s="23" t="str">
        <f aca="false">IF(AND(ISNUMBER(C10079),ISNUMBER(D10079)),D10079-C10079,"")</f>
        <v/>
      </c>
      <c r="Z10079" s="23" t="str">
        <f aca="false">IF(B10079="","",IF(MATCH(B10079,$B$2:$B$12000,0)=ROW()-1,1,0))</f>
        <v/>
      </c>
    </row>
    <row r="10080" customFormat="false" ht="15" hidden="false" customHeight="false" outlineLevel="0" collapsed="false">
      <c r="V10080" s="23" t="str">
        <f aca="false">IF(ISNUMBER(C10080),YEAR(C10080),"")</f>
        <v/>
      </c>
      <c r="W10080" s="23" t="str">
        <f aca="false">IF(ISNUMBER(C10080),MONTH(C10080),"")</f>
        <v/>
      </c>
      <c r="X10080" s="23" t="str">
        <f aca="false">IF(T10080="","",IF(T10080=0,"No discount",IF(T10080&lt;=0.2,"Low (1-20%)",IF(T10080&lt;=0.4,"Medium (21-40%)","High (&gt;40%)"))))</f>
        <v/>
      </c>
      <c r="Y10080" s="23" t="str">
        <f aca="false">IF(AND(ISNUMBER(C10080),ISNUMBER(D10080)),D10080-C10080,"")</f>
        <v/>
      </c>
      <c r="Z10080" s="23" t="str">
        <f aca="false">IF(B10080="","",IF(MATCH(B10080,$B$2:$B$12000,0)=ROW()-1,1,0))</f>
        <v/>
      </c>
    </row>
    <row r="10081" customFormat="false" ht="15" hidden="false" customHeight="false" outlineLevel="0" collapsed="false">
      <c r="V10081" s="23" t="str">
        <f aca="false">IF(ISNUMBER(C10081),YEAR(C10081),"")</f>
        <v/>
      </c>
      <c r="W10081" s="23" t="str">
        <f aca="false">IF(ISNUMBER(C10081),MONTH(C10081),"")</f>
        <v/>
      </c>
      <c r="X10081" s="23" t="str">
        <f aca="false">IF(T10081="","",IF(T10081=0,"No discount",IF(T10081&lt;=0.2,"Low (1-20%)",IF(T10081&lt;=0.4,"Medium (21-40%)","High (&gt;40%)"))))</f>
        <v/>
      </c>
      <c r="Y10081" s="23" t="str">
        <f aca="false">IF(AND(ISNUMBER(C10081),ISNUMBER(D10081)),D10081-C10081,"")</f>
        <v/>
      </c>
      <c r="Z10081" s="23" t="str">
        <f aca="false">IF(B10081="","",IF(MATCH(B10081,$B$2:$B$12000,0)=ROW()-1,1,0))</f>
        <v/>
      </c>
    </row>
    <row r="10082" customFormat="false" ht="15" hidden="false" customHeight="false" outlineLevel="0" collapsed="false">
      <c r="V10082" s="23" t="str">
        <f aca="false">IF(ISNUMBER(C10082),YEAR(C10082),"")</f>
        <v/>
      </c>
      <c r="W10082" s="23" t="str">
        <f aca="false">IF(ISNUMBER(C10082),MONTH(C10082),"")</f>
        <v/>
      </c>
      <c r="X10082" s="23" t="str">
        <f aca="false">IF(T10082="","",IF(T10082=0,"No discount",IF(T10082&lt;=0.2,"Low (1-20%)",IF(T10082&lt;=0.4,"Medium (21-40%)","High (&gt;40%)"))))</f>
        <v/>
      </c>
      <c r="Y10082" s="23" t="str">
        <f aca="false">IF(AND(ISNUMBER(C10082),ISNUMBER(D10082)),D10082-C10082,"")</f>
        <v/>
      </c>
      <c r="Z10082" s="23" t="str">
        <f aca="false">IF(B10082="","",IF(MATCH(B10082,$B$2:$B$12000,0)=ROW()-1,1,0))</f>
        <v/>
      </c>
    </row>
    <row r="10083" customFormat="false" ht="15" hidden="false" customHeight="false" outlineLevel="0" collapsed="false">
      <c r="V10083" s="23" t="str">
        <f aca="false">IF(ISNUMBER(C10083),YEAR(C10083),"")</f>
        <v/>
      </c>
      <c r="W10083" s="23" t="str">
        <f aca="false">IF(ISNUMBER(C10083),MONTH(C10083),"")</f>
        <v/>
      </c>
      <c r="X10083" s="23" t="str">
        <f aca="false">IF(T10083="","",IF(T10083=0,"No discount",IF(T10083&lt;=0.2,"Low (1-20%)",IF(T10083&lt;=0.4,"Medium (21-40%)","High (&gt;40%)"))))</f>
        <v/>
      </c>
      <c r="Y10083" s="23" t="str">
        <f aca="false">IF(AND(ISNUMBER(C10083),ISNUMBER(D10083)),D10083-C10083,"")</f>
        <v/>
      </c>
      <c r="Z10083" s="23" t="str">
        <f aca="false">IF(B10083="","",IF(MATCH(B10083,$B$2:$B$12000,0)=ROW()-1,1,0))</f>
        <v/>
      </c>
    </row>
    <row r="10084" customFormat="false" ht="15" hidden="false" customHeight="false" outlineLevel="0" collapsed="false">
      <c r="V10084" s="23" t="str">
        <f aca="false">IF(ISNUMBER(C10084),YEAR(C10084),"")</f>
        <v/>
      </c>
      <c r="W10084" s="23" t="str">
        <f aca="false">IF(ISNUMBER(C10084),MONTH(C10084),"")</f>
        <v/>
      </c>
      <c r="X10084" s="23" t="str">
        <f aca="false">IF(T10084="","",IF(T10084=0,"No discount",IF(T10084&lt;=0.2,"Low (1-20%)",IF(T10084&lt;=0.4,"Medium (21-40%)","High (&gt;40%)"))))</f>
        <v/>
      </c>
      <c r="Y10084" s="23" t="str">
        <f aca="false">IF(AND(ISNUMBER(C10084),ISNUMBER(D10084)),D10084-C10084,"")</f>
        <v/>
      </c>
      <c r="Z10084" s="23" t="str">
        <f aca="false">IF(B10084="","",IF(MATCH(B10084,$B$2:$B$12000,0)=ROW()-1,1,0))</f>
        <v/>
      </c>
    </row>
    <row r="10085" customFormat="false" ht="15" hidden="false" customHeight="false" outlineLevel="0" collapsed="false">
      <c r="V10085" s="23" t="str">
        <f aca="false">IF(ISNUMBER(C10085),YEAR(C10085),"")</f>
        <v/>
      </c>
      <c r="W10085" s="23" t="str">
        <f aca="false">IF(ISNUMBER(C10085),MONTH(C10085),"")</f>
        <v/>
      </c>
      <c r="X10085" s="23" t="str">
        <f aca="false">IF(T10085="","",IF(T10085=0,"No discount",IF(T10085&lt;=0.2,"Low (1-20%)",IF(T10085&lt;=0.4,"Medium (21-40%)","High (&gt;40%)"))))</f>
        <v/>
      </c>
      <c r="Y10085" s="23" t="str">
        <f aca="false">IF(AND(ISNUMBER(C10085),ISNUMBER(D10085)),D10085-C10085,"")</f>
        <v/>
      </c>
      <c r="Z10085" s="23" t="str">
        <f aca="false">IF(B10085="","",IF(MATCH(B10085,$B$2:$B$12000,0)=ROW()-1,1,0))</f>
        <v/>
      </c>
    </row>
    <row r="10086" customFormat="false" ht="15" hidden="false" customHeight="false" outlineLevel="0" collapsed="false">
      <c r="V10086" s="23" t="str">
        <f aca="false">IF(ISNUMBER(C10086),YEAR(C10086),"")</f>
        <v/>
      </c>
      <c r="W10086" s="23" t="str">
        <f aca="false">IF(ISNUMBER(C10086),MONTH(C10086),"")</f>
        <v/>
      </c>
      <c r="X10086" s="23" t="str">
        <f aca="false">IF(T10086="","",IF(T10086=0,"No discount",IF(T10086&lt;=0.2,"Low (1-20%)",IF(T10086&lt;=0.4,"Medium (21-40%)","High (&gt;40%)"))))</f>
        <v/>
      </c>
      <c r="Y10086" s="23" t="str">
        <f aca="false">IF(AND(ISNUMBER(C10086),ISNUMBER(D10086)),D10086-C10086,"")</f>
        <v/>
      </c>
      <c r="Z10086" s="23" t="str">
        <f aca="false">IF(B10086="","",IF(MATCH(B10086,$B$2:$B$12000,0)=ROW()-1,1,0))</f>
        <v/>
      </c>
    </row>
    <row r="10087" customFormat="false" ht="15" hidden="false" customHeight="false" outlineLevel="0" collapsed="false">
      <c r="V10087" s="23" t="str">
        <f aca="false">IF(ISNUMBER(C10087),YEAR(C10087),"")</f>
        <v/>
      </c>
      <c r="W10087" s="23" t="str">
        <f aca="false">IF(ISNUMBER(C10087),MONTH(C10087),"")</f>
        <v/>
      </c>
      <c r="X10087" s="23" t="str">
        <f aca="false">IF(T10087="","",IF(T10087=0,"No discount",IF(T10087&lt;=0.2,"Low (1-20%)",IF(T10087&lt;=0.4,"Medium (21-40%)","High (&gt;40%)"))))</f>
        <v/>
      </c>
      <c r="Y10087" s="23" t="str">
        <f aca="false">IF(AND(ISNUMBER(C10087),ISNUMBER(D10087)),D10087-C10087,"")</f>
        <v/>
      </c>
      <c r="Z10087" s="23" t="str">
        <f aca="false">IF(B10087="","",IF(MATCH(B10087,$B$2:$B$12000,0)=ROW()-1,1,0))</f>
        <v/>
      </c>
    </row>
    <row r="10088" customFormat="false" ht="15" hidden="false" customHeight="false" outlineLevel="0" collapsed="false">
      <c r="V10088" s="23" t="str">
        <f aca="false">IF(ISNUMBER(C10088),YEAR(C10088),"")</f>
        <v/>
      </c>
      <c r="W10088" s="23" t="str">
        <f aca="false">IF(ISNUMBER(C10088),MONTH(C10088),"")</f>
        <v/>
      </c>
      <c r="X10088" s="23" t="str">
        <f aca="false">IF(T10088="","",IF(T10088=0,"No discount",IF(T10088&lt;=0.2,"Low (1-20%)",IF(T10088&lt;=0.4,"Medium (21-40%)","High (&gt;40%)"))))</f>
        <v/>
      </c>
      <c r="Y10088" s="23" t="str">
        <f aca="false">IF(AND(ISNUMBER(C10088),ISNUMBER(D10088)),D10088-C10088,"")</f>
        <v/>
      </c>
      <c r="Z10088" s="23" t="str">
        <f aca="false">IF(B10088="","",IF(MATCH(B10088,$B$2:$B$12000,0)=ROW()-1,1,0))</f>
        <v/>
      </c>
    </row>
    <row r="10089" customFormat="false" ht="15" hidden="false" customHeight="false" outlineLevel="0" collapsed="false">
      <c r="V10089" s="23" t="str">
        <f aca="false">IF(ISNUMBER(C10089),YEAR(C10089),"")</f>
        <v/>
      </c>
      <c r="W10089" s="23" t="str">
        <f aca="false">IF(ISNUMBER(C10089),MONTH(C10089),"")</f>
        <v/>
      </c>
      <c r="X10089" s="23" t="str">
        <f aca="false">IF(T10089="","",IF(T10089=0,"No discount",IF(T10089&lt;=0.2,"Low (1-20%)",IF(T10089&lt;=0.4,"Medium (21-40%)","High (&gt;40%)"))))</f>
        <v/>
      </c>
      <c r="Y10089" s="23" t="str">
        <f aca="false">IF(AND(ISNUMBER(C10089),ISNUMBER(D10089)),D10089-C10089,"")</f>
        <v/>
      </c>
      <c r="Z10089" s="23" t="str">
        <f aca="false">IF(B10089="","",IF(MATCH(B10089,$B$2:$B$12000,0)=ROW()-1,1,0))</f>
        <v/>
      </c>
    </row>
    <row r="10090" customFormat="false" ht="15" hidden="false" customHeight="false" outlineLevel="0" collapsed="false">
      <c r="V10090" s="23" t="str">
        <f aca="false">IF(ISNUMBER(C10090),YEAR(C10090),"")</f>
        <v/>
      </c>
      <c r="W10090" s="23" t="str">
        <f aca="false">IF(ISNUMBER(C10090),MONTH(C10090),"")</f>
        <v/>
      </c>
      <c r="X10090" s="23" t="str">
        <f aca="false">IF(T10090="","",IF(T10090=0,"No discount",IF(T10090&lt;=0.2,"Low (1-20%)",IF(T10090&lt;=0.4,"Medium (21-40%)","High (&gt;40%)"))))</f>
        <v/>
      </c>
      <c r="Y10090" s="23" t="str">
        <f aca="false">IF(AND(ISNUMBER(C10090),ISNUMBER(D10090)),D10090-C10090,"")</f>
        <v/>
      </c>
      <c r="Z10090" s="23" t="str">
        <f aca="false">IF(B10090="","",IF(MATCH(B10090,$B$2:$B$12000,0)=ROW()-1,1,0))</f>
        <v/>
      </c>
    </row>
    <row r="10091" customFormat="false" ht="15" hidden="false" customHeight="false" outlineLevel="0" collapsed="false">
      <c r="V10091" s="23" t="str">
        <f aca="false">IF(ISNUMBER(C10091),YEAR(C10091),"")</f>
        <v/>
      </c>
      <c r="W10091" s="23" t="str">
        <f aca="false">IF(ISNUMBER(C10091),MONTH(C10091),"")</f>
        <v/>
      </c>
      <c r="X10091" s="23" t="str">
        <f aca="false">IF(T10091="","",IF(T10091=0,"No discount",IF(T10091&lt;=0.2,"Low (1-20%)",IF(T10091&lt;=0.4,"Medium (21-40%)","High (&gt;40%)"))))</f>
        <v/>
      </c>
      <c r="Y10091" s="23" t="str">
        <f aca="false">IF(AND(ISNUMBER(C10091),ISNUMBER(D10091)),D10091-C10091,"")</f>
        <v/>
      </c>
      <c r="Z10091" s="23" t="str">
        <f aca="false">IF(B10091="","",IF(MATCH(B10091,$B$2:$B$12000,0)=ROW()-1,1,0))</f>
        <v/>
      </c>
    </row>
    <row r="10092" customFormat="false" ht="15" hidden="false" customHeight="false" outlineLevel="0" collapsed="false">
      <c r="V10092" s="23" t="str">
        <f aca="false">IF(ISNUMBER(C10092),YEAR(C10092),"")</f>
        <v/>
      </c>
      <c r="W10092" s="23" t="str">
        <f aca="false">IF(ISNUMBER(C10092),MONTH(C10092),"")</f>
        <v/>
      </c>
      <c r="X10092" s="23" t="str">
        <f aca="false">IF(T10092="","",IF(T10092=0,"No discount",IF(T10092&lt;=0.2,"Low (1-20%)",IF(T10092&lt;=0.4,"Medium (21-40%)","High (&gt;40%)"))))</f>
        <v/>
      </c>
      <c r="Y10092" s="23" t="str">
        <f aca="false">IF(AND(ISNUMBER(C10092),ISNUMBER(D10092)),D10092-C10092,"")</f>
        <v/>
      </c>
      <c r="Z10092" s="23" t="str">
        <f aca="false">IF(B10092="","",IF(MATCH(B10092,$B$2:$B$12000,0)=ROW()-1,1,0))</f>
        <v/>
      </c>
    </row>
    <row r="10093" customFormat="false" ht="15" hidden="false" customHeight="false" outlineLevel="0" collapsed="false">
      <c r="V10093" s="23" t="str">
        <f aca="false">IF(ISNUMBER(C10093),YEAR(C10093),"")</f>
        <v/>
      </c>
      <c r="W10093" s="23" t="str">
        <f aca="false">IF(ISNUMBER(C10093),MONTH(C10093),"")</f>
        <v/>
      </c>
      <c r="X10093" s="23" t="str">
        <f aca="false">IF(T10093="","",IF(T10093=0,"No discount",IF(T10093&lt;=0.2,"Low (1-20%)",IF(T10093&lt;=0.4,"Medium (21-40%)","High (&gt;40%)"))))</f>
        <v/>
      </c>
      <c r="Y10093" s="23" t="str">
        <f aca="false">IF(AND(ISNUMBER(C10093),ISNUMBER(D10093)),D10093-C10093,"")</f>
        <v/>
      </c>
      <c r="Z10093" s="23" t="str">
        <f aca="false">IF(B10093="","",IF(MATCH(B10093,$B$2:$B$12000,0)=ROW()-1,1,0))</f>
        <v/>
      </c>
    </row>
    <row r="10094" customFormat="false" ht="15" hidden="false" customHeight="false" outlineLevel="0" collapsed="false">
      <c r="V10094" s="23" t="str">
        <f aca="false">IF(ISNUMBER(C10094),YEAR(C10094),"")</f>
        <v/>
      </c>
      <c r="W10094" s="23" t="str">
        <f aca="false">IF(ISNUMBER(C10094),MONTH(C10094),"")</f>
        <v/>
      </c>
      <c r="X10094" s="23" t="str">
        <f aca="false">IF(T10094="","",IF(T10094=0,"No discount",IF(T10094&lt;=0.2,"Low (1-20%)",IF(T10094&lt;=0.4,"Medium (21-40%)","High (&gt;40%)"))))</f>
        <v/>
      </c>
      <c r="Y10094" s="23" t="str">
        <f aca="false">IF(AND(ISNUMBER(C10094),ISNUMBER(D10094)),D10094-C10094,"")</f>
        <v/>
      </c>
      <c r="Z10094" s="23" t="str">
        <f aca="false">IF(B10094="","",IF(MATCH(B10094,$B$2:$B$12000,0)=ROW()-1,1,0))</f>
        <v/>
      </c>
    </row>
    <row r="10095" customFormat="false" ht="15" hidden="false" customHeight="false" outlineLevel="0" collapsed="false">
      <c r="V10095" s="23" t="str">
        <f aca="false">IF(ISNUMBER(C10095),YEAR(C10095),"")</f>
        <v/>
      </c>
      <c r="W10095" s="23" t="str">
        <f aca="false">IF(ISNUMBER(C10095),MONTH(C10095),"")</f>
        <v/>
      </c>
      <c r="X10095" s="23" t="str">
        <f aca="false">IF(T10095="","",IF(T10095=0,"No discount",IF(T10095&lt;=0.2,"Low (1-20%)",IF(T10095&lt;=0.4,"Medium (21-40%)","High (&gt;40%)"))))</f>
        <v/>
      </c>
      <c r="Y10095" s="23" t="str">
        <f aca="false">IF(AND(ISNUMBER(C10095),ISNUMBER(D10095)),D10095-C10095,"")</f>
        <v/>
      </c>
      <c r="Z10095" s="23" t="str">
        <f aca="false">IF(B10095="","",IF(MATCH(B10095,$B$2:$B$12000,0)=ROW()-1,1,0))</f>
        <v/>
      </c>
    </row>
    <row r="10096" customFormat="false" ht="15" hidden="false" customHeight="false" outlineLevel="0" collapsed="false">
      <c r="V10096" s="23" t="str">
        <f aca="false">IF(ISNUMBER(C10096),YEAR(C10096),"")</f>
        <v/>
      </c>
      <c r="W10096" s="23" t="str">
        <f aca="false">IF(ISNUMBER(C10096),MONTH(C10096),"")</f>
        <v/>
      </c>
      <c r="X10096" s="23" t="str">
        <f aca="false">IF(T10096="","",IF(T10096=0,"No discount",IF(T10096&lt;=0.2,"Low (1-20%)",IF(T10096&lt;=0.4,"Medium (21-40%)","High (&gt;40%)"))))</f>
        <v/>
      </c>
      <c r="Y10096" s="23" t="str">
        <f aca="false">IF(AND(ISNUMBER(C10096),ISNUMBER(D10096)),D10096-C10096,"")</f>
        <v/>
      </c>
      <c r="Z10096" s="23" t="str">
        <f aca="false">IF(B10096="","",IF(MATCH(B10096,$B$2:$B$12000,0)=ROW()-1,1,0))</f>
        <v/>
      </c>
    </row>
    <row r="10097" customFormat="false" ht="15" hidden="false" customHeight="false" outlineLevel="0" collapsed="false">
      <c r="V10097" s="23" t="str">
        <f aca="false">IF(ISNUMBER(C10097),YEAR(C10097),"")</f>
        <v/>
      </c>
      <c r="W10097" s="23" t="str">
        <f aca="false">IF(ISNUMBER(C10097),MONTH(C10097),"")</f>
        <v/>
      </c>
      <c r="X10097" s="23" t="str">
        <f aca="false">IF(T10097="","",IF(T10097=0,"No discount",IF(T10097&lt;=0.2,"Low (1-20%)",IF(T10097&lt;=0.4,"Medium (21-40%)","High (&gt;40%)"))))</f>
        <v/>
      </c>
      <c r="Y10097" s="23" t="str">
        <f aca="false">IF(AND(ISNUMBER(C10097),ISNUMBER(D10097)),D10097-C10097,"")</f>
        <v/>
      </c>
      <c r="Z10097" s="23" t="str">
        <f aca="false">IF(B10097="","",IF(MATCH(B10097,$B$2:$B$12000,0)=ROW()-1,1,0))</f>
        <v/>
      </c>
    </row>
    <row r="10098" customFormat="false" ht="15" hidden="false" customHeight="false" outlineLevel="0" collapsed="false">
      <c r="V10098" s="23" t="str">
        <f aca="false">IF(ISNUMBER(C10098),YEAR(C10098),"")</f>
        <v/>
      </c>
      <c r="W10098" s="23" t="str">
        <f aca="false">IF(ISNUMBER(C10098),MONTH(C10098),"")</f>
        <v/>
      </c>
      <c r="X10098" s="23" t="str">
        <f aca="false">IF(T10098="","",IF(T10098=0,"No discount",IF(T10098&lt;=0.2,"Low (1-20%)",IF(T10098&lt;=0.4,"Medium (21-40%)","High (&gt;40%)"))))</f>
        <v/>
      </c>
      <c r="Y10098" s="23" t="str">
        <f aca="false">IF(AND(ISNUMBER(C10098),ISNUMBER(D10098)),D10098-C10098,"")</f>
        <v/>
      </c>
      <c r="Z10098" s="23" t="str">
        <f aca="false">IF(B10098="","",IF(MATCH(B10098,$B$2:$B$12000,0)=ROW()-1,1,0))</f>
        <v/>
      </c>
    </row>
    <row r="10099" customFormat="false" ht="15" hidden="false" customHeight="false" outlineLevel="0" collapsed="false">
      <c r="V10099" s="23" t="str">
        <f aca="false">IF(ISNUMBER(C10099),YEAR(C10099),"")</f>
        <v/>
      </c>
      <c r="W10099" s="23" t="str">
        <f aca="false">IF(ISNUMBER(C10099),MONTH(C10099),"")</f>
        <v/>
      </c>
      <c r="X10099" s="23" t="str">
        <f aca="false">IF(T10099="","",IF(T10099=0,"No discount",IF(T10099&lt;=0.2,"Low (1-20%)",IF(T10099&lt;=0.4,"Medium (21-40%)","High (&gt;40%)"))))</f>
        <v/>
      </c>
      <c r="Y10099" s="23" t="str">
        <f aca="false">IF(AND(ISNUMBER(C10099),ISNUMBER(D10099)),D10099-C10099,"")</f>
        <v/>
      </c>
      <c r="Z10099" s="23" t="str">
        <f aca="false">IF(B10099="","",IF(MATCH(B10099,$B$2:$B$12000,0)=ROW()-1,1,0))</f>
        <v/>
      </c>
    </row>
    <row r="10100" customFormat="false" ht="15" hidden="false" customHeight="false" outlineLevel="0" collapsed="false">
      <c r="V10100" s="23" t="str">
        <f aca="false">IF(ISNUMBER(C10100),YEAR(C10100),"")</f>
        <v/>
      </c>
      <c r="W10100" s="23" t="str">
        <f aca="false">IF(ISNUMBER(C10100),MONTH(C10100),"")</f>
        <v/>
      </c>
      <c r="X10100" s="23" t="str">
        <f aca="false">IF(T10100="","",IF(T10100=0,"No discount",IF(T10100&lt;=0.2,"Low (1-20%)",IF(T10100&lt;=0.4,"Medium (21-40%)","High (&gt;40%)"))))</f>
        <v/>
      </c>
      <c r="Y10100" s="23" t="str">
        <f aca="false">IF(AND(ISNUMBER(C10100),ISNUMBER(D10100)),D10100-C10100,"")</f>
        <v/>
      </c>
      <c r="Z10100" s="23" t="str">
        <f aca="false">IF(B10100="","",IF(MATCH(B10100,$B$2:$B$12000,0)=ROW()-1,1,0))</f>
        <v/>
      </c>
    </row>
    <row r="10101" customFormat="false" ht="15" hidden="false" customHeight="false" outlineLevel="0" collapsed="false">
      <c r="V10101" s="23" t="str">
        <f aca="false">IF(ISNUMBER(C10101),YEAR(C10101),"")</f>
        <v/>
      </c>
      <c r="W10101" s="23" t="str">
        <f aca="false">IF(ISNUMBER(C10101),MONTH(C10101),"")</f>
        <v/>
      </c>
      <c r="X10101" s="23" t="str">
        <f aca="false">IF(T10101="","",IF(T10101=0,"No discount",IF(T10101&lt;=0.2,"Low (1-20%)",IF(T10101&lt;=0.4,"Medium (21-40%)","High (&gt;40%)"))))</f>
        <v/>
      </c>
      <c r="Y10101" s="23" t="str">
        <f aca="false">IF(AND(ISNUMBER(C10101),ISNUMBER(D10101)),D10101-C10101,"")</f>
        <v/>
      </c>
      <c r="Z10101" s="23" t="str">
        <f aca="false">IF(B10101="","",IF(MATCH(B10101,$B$2:$B$12000,0)=ROW()-1,1,0))</f>
        <v/>
      </c>
    </row>
    <row r="10102" customFormat="false" ht="15" hidden="false" customHeight="false" outlineLevel="0" collapsed="false">
      <c r="V10102" s="23" t="str">
        <f aca="false">IF(ISNUMBER(C10102),YEAR(C10102),"")</f>
        <v/>
      </c>
      <c r="W10102" s="23" t="str">
        <f aca="false">IF(ISNUMBER(C10102),MONTH(C10102),"")</f>
        <v/>
      </c>
      <c r="X10102" s="23" t="str">
        <f aca="false">IF(T10102="","",IF(T10102=0,"No discount",IF(T10102&lt;=0.2,"Low (1-20%)",IF(T10102&lt;=0.4,"Medium (21-40%)","High (&gt;40%)"))))</f>
        <v/>
      </c>
      <c r="Y10102" s="23" t="str">
        <f aca="false">IF(AND(ISNUMBER(C10102),ISNUMBER(D10102)),D10102-C10102,"")</f>
        <v/>
      </c>
      <c r="Z10102" s="23" t="str">
        <f aca="false">IF(B10102="","",IF(MATCH(B10102,$B$2:$B$12000,0)=ROW()-1,1,0))</f>
        <v/>
      </c>
    </row>
    <row r="10103" customFormat="false" ht="15" hidden="false" customHeight="false" outlineLevel="0" collapsed="false">
      <c r="V10103" s="23" t="str">
        <f aca="false">IF(ISNUMBER(C10103),YEAR(C10103),"")</f>
        <v/>
      </c>
      <c r="W10103" s="23" t="str">
        <f aca="false">IF(ISNUMBER(C10103),MONTH(C10103),"")</f>
        <v/>
      </c>
      <c r="X10103" s="23" t="str">
        <f aca="false">IF(T10103="","",IF(T10103=0,"No discount",IF(T10103&lt;=0.2,"Low (1-20%)",IF(T10103&lt;=0.4,"Medium (21-40%)","High (&gt;40%)"))))</f>
        <v/>
      </c>
      <c r="Y10103" s="23" t="str">
        <f aca="false">IF(AND(ISNUMBER(C10103),ISNUMBER(D10103)),D10103-C10103,"")</f>
        <v/>
      </c>
      <c r="Z10103" s="23" t="str">
        <f aca="false">IF(B10103="","",IF(MATCH(B10103,$B$2:$B$12000,0)=ROW()-1,1,0))</f>
        <v/>
      </c>
    </row>
    <row r="10104" customFormat="false" ht="15" hidden="false" customHeight="false" outlineLevel="0" collapsed="false">
      <c r="V10104" s="23" t="str">
        <f aca="false">IF(ISNUMBER(C10104),YEAR(C10104),"")</f>
        <v/>
      </c>
      <c r="W10104" s="23" t="str">
        <f aca="false">IF(ISNUMBER(C10104),MONTH(C10104),"")</f>
        <v/>
      </c>
      <c r="X10104" s="23" t="str">
        <f aca="false">IF(T10104="","",IF(T10104=0,"No discount",IF(T10104&lt;=0.2,"Low (1-20%)",IF(T10104&lt;=0.4,"Medium (21-40%)","High (&gt;40%)"))))</f>
        <v/>
      </c>
      <c r="Y10104" s="23" t="str">
        <f aca="false">IF(AND(ISNUMBER(C10104),ISNUMBER(D10104)),D10104-C10104,"")</f>
        <v/>
      </c>
      <c r="Z10104" s="23" t="str">
        <f aca="false">IF(B10104="","",IF(MATCH(B10104,$B$2:$B$12000,0)=ROW()-1,1,0))</f>
        <v/>
      </c>
    </row>
    <row r="10105" customFormat="false" ht="15" hidden="false" customHeight="false" outlineLevel="0" collapsed="false">
      <c r="V10105" s="23" t="str">
        <f aca="false">IF(ISNUMBER(C10105),YEAR(C10105),"")</f>
        <v/>
      </c>
      <c r="W10105" s="23" t="str">
        <f aca="false">IF(ISNUMBER(C10105),MONTH(C10105),"")</f>
        <v/>
      </c>
      <c r="X10105" s="23" t="str">
        <f aca="false">IF(T10105="","",IF(T10105=0,"No discount",IF(T10105&lt;=0.2,"Low (1-20%)",IF(T10105&lt;=0.4,"Medium (21-40%)","High (&gt;40%)"))))</f>
        <v/>
      </c>
      <c r="Y10105" s="23" t="str">
        <f aca="false">IF(AND(ISNUMBER(C10105),ISNUMBER(D10105)),D10105-C10105,"")</f>
        <v/>
      </c>
      <c r="Z10105" s="23" t="str">
        <f aca="false">IF(B10105="","",IF(MATCH(B10105,$B$2:$B$12000,0)=ROW()-1,1,0))</f>
        <v/>
      </c>
    </row>
    <row r="10106" customFormat="false" ht="15" hidden="false" customHeight="false" outlineLevel="0" collapsed="false">
      <c r="V10106" s="23" t="str">
        <f aca="false">IF(ISNUMBER(C10106),YEAR(C10106),"")</f>
        <v/>
      </c>
      <c r="W10106" s="23" t="str">
        <f aca="false">IF(ISNUMBER(C10106),MONTH(C10106),"")</f>
        <v/>
      </c>
      <c r="X10106" s="23" t="str">
        <f aca="false">IF(T10106="","",IF(T10106=0,"No discount",IF(T10106&lt;=0.2,"Low (1-20%)",IF(T10106&lt;=0.4,"Medium (21-40%)","High (&gt;40%)"))))</f>
        <v/>
      </c>
      <c r="Y10106" s="23" t="str">
        <f aca="false">IF(AND(ISNUMBER(C10106),ISNUMBER(D10106)),D10106-C10106,"")</f>
        <v/>
      </c>
      <c r="Z10106" s="23" t="str">
        <f aca="false">IF(B10106="","",IF(MATCH(B10106,$B$2:$B$12000,0)=ROW()-1,1,0))</f>
        <v/>
      </c>
    </row>
    <row r="10107" customFormat="false" ht="15" hidden="false" customHeight="false" outlineLevel="0" collapsed="false">
      <c r="V10107" s="23" t="str">
        <f aca="false">IF(ISNUMBER(C10107),YEAR(C10107),"")</f>
        <v/>
      </c>
      <c r="W10107" s="23" t="str">
        <f aca="false">IF(ISNUMBER(C10107),MONTH(C10107),"")</f>
        <v/>
      </c>
      <c r="X10107" s="23" t="str">
        <f aca="false">IF(T10107="","",IF(T10107=0,"No discount",IF(T10107&lt;=0.2,"Low (1-20%)",IF(T10107&lt;=0.4,"Medium (21-40%)","High (&gt;40%)"))))</f>
        <v/>
      </c>
      <c r="Y10107" s="23" t="str">
        <f aca="false">IF(AND(ISNUMBER(C10107),ISNUMBER(D10107)),D10107-C10107,"")</f>
        <v/>
      </c>
      <c r="Z10107" s="23" t="str">
        <f aca="false">IF(B10107="","",IF(MATCH(B10107,$B$2:$B$12000,0)=ROW()-1,1,0))</f>
        <v/>
      </c>
    </row>
    <row r="10108" customFormat="false" ht="15" hidden="false" customHeight="false" outlineLevel="0" collapsed="false">
      <c r="V10108" s="23" t="str">
        <f aca="false">IF(ISNUMBER(C10108),YEAR(C10108),"")</f>
        <v/>
      </c>
      <c r="W10108" s="23" t="str">
        <f aca="false">IF(ISNUMBER(C10108),MONTH(C10108),"")</f>
        <v/>
      </c>
      <c r="X10108" s="23" t="str">
        <f aca="false">IF(T10108="","",IF(T10108=0,"No discount",IF(T10108&lt;=0.2,"Low (1-20%)",IF(T10108&lt;=0.4,"Medium (21-40%)","High (&gt;40%)"))))</f>
        <v/>
      </c>
      <c r="Y10108" s="23" t="str">
        <f aca="false">IF(AND(ISNUMBER(C10108),ISNUMBER(D10108)),D10108-C10108,"")</f>
        <v/>
      </c>
      <c r="Z10108" s="23" t="str">
        <f aca="false">IF(B10108="","",IF(MATCH(B10108,$B$2:$B$12000,0)=ROW()-1,1,0))</f>
        <v/>
      </c>
    </row>
    <row r="10109" customFormat="false" ht="15" hidden="false" customHeight="false" outlineLevel="0" collapsed="false">
      <c r="V10109" s="23" t="str">
        <f aca="false">IF(ISNUMBER(C10109),YEAR(C10109),"")</f>
        <v/>
      </c>
      <c r="W10109" s="23" t="str">
        <f aca="false">IF(ISNUMBER(C10109),MONTH(C10109),"")</f>
        <v/>
      </c>
      <c r="X10109" s="23" t="str">
        <f aca="false">IF(T10109="","",IF(T10109=0,"No discount",IF(T10109&lt;=0.2,"Low (1-20%)",IF(T10109&lt;=0.4,"Medium (21-40%)","High (&gt;40%)"))))</f>
        <v/>
      </c>
      <c r="Y10109" s="23" t="str">
        <f aca="false">IF(AND(ISNUMBER(C10109),ISNUMBER(D10109)),D10109-C10109,"")</f>
        <v/>
      </c>
      <c r="Z10109" s="23" t="str">
        <f aca="false">IF(B10109="","",IF(MATCH(B10109,$B$2:$B$12000,0)=ROW()-1,1,0))</f>
        <v/>
      </c>
    </row>
    <row r="10110" customFormat="false" ht="15" hidden="false" customHeight="false" outlineLevel="0" collapsed="false">
      <c r="V10110" s="23" t="str">
        <f aca="false">IF(ISNUMBER(C10110),YEAR(C10110),"")</f>
        <v/>
      </c>
      <c r="W10110" s="23" t="str">
        <f aca="false">IF(ISNUMBER(C10110),MONTH(C10110),"")</f>
        <v/>
      </c>
      <c r="X10110" s="23" t="str">
        <f aca="false">IF(T10110="","",IF(T10110=0,"No discount",IF(T10110&lt;=0.2,"Low (1-20%)",IF(T10110&lt;=0.4,"Medium (21-40%)","High (&gt;40%)"))))</f>
        <v/>
      </c>
      <c r="Y10110" s="23" t="str">
        <f aca="false">IF(AND(ISNUMBER(C10110),ISNUMBER(D10110)),D10110-C10110,"")</f>
        <v/>
      </c>
      <c r="Z10110" s="23" t="str">
        <f aca="false">IF(B10110="","",IF(MATCH(B10110,$B$2:$B$12000,0)=ROW()-1,1,0))</f>
        <v/>
      </c>
    </row>
    <row r="10111" customFormat="false" ht="15" hidden="false" customHeight="false" outlineLevel="0" collapsed="false">
      <c r="V10111" s="23" t="str">
        <f aca="false">IF(ISNUMBER(C10111),YEAR(C10111),"")</f>
        <v/>
      </c>
      <c r="W10111" s="23" t="str">
        <f aca="false">IF(ISNUMBER(C10111),MONTH(C10111),"")</f>
        <v/>
      </c>
      <c r="X10111" s="23" t="str">
        <f aca="false">IF(T10111="","",IF(T10111=0,"No discount",IF(T10111&lt;=0.2,"Low (1-20%)",IF(T10111&lt;=0.4,"Medium (21-40%)","High (&gt;40%)"))))</f>
        <v/>
      </c>
      <c r="Y10111" s="23" t="str">
        <f aca="false">IF(AND(ISNUMBER(C10111),ISNUMBER(D10111)),D10111-C10111,"")</f>
        <v/>
      </c>
      <c r="Z10111" s="23" t="str">
        <f aca="false">IF(B10111="","",IF(MATCH(B10111,$B$2:$B$12000,0)=ROW()-1,1,0))</f>
        <v/>
      </c>
    </row>
    <row r="10112" customFormat="false" ht="15" hidden="false" customHeight="false" outlineLevel="0" collapsed="false">
      <c r="V10112" s="23" t="str">
        <f aca="false">IF(ISNUMBER(C10112),YEAR(C10112),"")</f>
        <v/>
      </c>
      <c r="W10112" s="23" t="str">
        <f aca="false">IF(ISNUMBER(C10112),MONTH(C10112),"")</f>
        <v/>
      </c>
      <c r="X10112" s="23" t="str">
        <f aca="false">IF(T10112="","",IF(T10112=0,"No discount",IF(T10112&lt;=0.2,"Low (1-20%)",IF(T10112&lt;=0.4,"Medium (21-40%)","High (&gt;40%)"))))</f>
        <v/>
      </c>
      <c r="Y10112" s="23" t="str">
        <f aca="false">IF(AND(ISNUMBER(C10112),ISNUMBER(D10112)),D10112-C10112,"")</f>
        <v/>
      </c>
      <c r="Z10112" s="23" t="str">
        <f aca="false">IF(B10112="","",IF(MATCH(B10112,$B$2:$B$12000,0)=ROW()-1,1,0))</f>
        <v/>
      </c>
    </row>
    <row r="10113" customFormat="false" ht="15" hidden="false" customHeight="false" outlineLevel="0" collapsed="false">
      <c r="V10113" s="23" t="str">
        <f aca="false">IF(ISNUMBER(C10113),YEAR(C10113),"")</f>
        <v/>
      </c>
      <c r="W10113" s="23" t="str">
        <f aca="false">IF(ISNUMBER(C10113),MONTH(C10113),"")</f>
        <v/>
      </c>
      <c r="X10113" s="23" t="str">
        <f aca="false">IF(T10113="","",IF(T10113=0,"No discount",IF(T10113&lt;=0.2,"Low (1-20%)",IF(T10113&lt;=0.4,"Medium (21-40%)","High (&gt;40%)"))))</f>
        <v/>
      </c>
      <c r="Y10113" s="23" t="str">
        <f aca="false">IF(AND(ISNUMBER(C10113),ISNUMBER(D10113)),D10113-C10113,"")</f>
        <v/>
      </c>
      <c r="Z10113" s="23" t="str">
        <f aca="false">IF(B10113="","",IF(MATCH(B10113,$B$2:$B$12000,0)=ROW()-1,1,0))</f>
        <v/>
      </c>
    </row>
    <row r="10114" customFormat="false" ht="15" hidden="false" customHeight="false" outlineLevel="0" collapsed="false">
      <c r="V10114" s="23" t="str">
        <f aca="false">IF(ISNUMBER(C10114),YEAR(C10114),"")</f>
        <v/>
      </c>
      <c r="W10114" s="23" t="str">
        <f aca="false">IF(ISNUMBER(C10114),MONTH(C10114),"")</f>
        <v/>
      </c>
      <c r="X10114" s="23" t="str">
        <f aca="false">IF(T10114="","",IF(T10114=0,"No discount",IF(T10114&lt;=0.2,"Low (1-20%)",IF(T10114&lt;=0.4,"Medium (21-40%)","High (&gt;40%)"))))</f>
        <v/>
      </c>
      <c r="Y10114" s="23" t="str">
        <f aca="false">IF(AND(ISNUMBER(C10114),ISNUMBER(D10114)),D10114-C10114,"")</f>
        <v/>
      </c>
      <c r="Z10114" s="23" t="str">
        <f aca="false">IF(B10114="","",IF(MATCH(B10114,$B$2:$B$12000,0)=ROW()-1,1,0))</f>
        <v/>
      </c>
    </row>
    <row r="10115" customFormat="false" ht="15" hidden="false" customHeight="false" outlineLevel="0" collapsed="false">
      <c r="V10115" s="23" t="str">
        <f aca="false">IF(ISNUMBER(C10115),YEAR(C10115),"")</f>
        <v/>
      </c>
      <c r="W10115" s="23" t="str">
        <f aca="false">IF(ISNUMBER(C10115),MONTH(C10115),"")</f>
        <v/>
      </c>
      <c r="X10115" s="23" t="str">
        <f aca="false">IF(T10115="","",IF(T10115=0,"No discount",IF(T10115&lt;=0.2,"Low (1-20%)",IF(T10115&lt;=0.4,"Medium (21-40%)","High (&gt;40%)"))))</f>
        <v/>
      </c>
      <c r="Y10115" s="23" t="str">
        <f aca="false">IF(AND(ISNUMBER(C10115),ISNUMBER(D10115)),D10115-C10115,"")</f>
        <v/>
      </c>
      <c r="Z10115" s="23" t="str">
        <f aca="false">IF(B10115="","",IF(MATCH(B10115,$B$2:$B$12000,0)=ROW()-1,1,0))</f>
        <v/>
      </c>
    </row>
    <row r="10116" customFormat="false" ht="15" hidden="false" customHeight="false" outlineLevel="0" collapsed="false">
      <c r="V10116" s="23" t="str">
        <f aca="false">IF(ISNUMBER(C10116),YEAR(C10116),"")</f>
        <v/>
      </c>
      <c r="W10116" s="23" t="str">
        <f aca="false">IF(ISNUMBER(C10116),MONTH(C10116),"")</f>
        <v/>
      </c>
      <c r="X10116" s="23" t="str">
        <f aca="false">IF(T10116="","",IF(T10116=0,"No discount",IF(T10116&lt;=0.2,"Low (1-20%)",IF(T10116&lt;=0.4,"Medium (21-40%)","High (&gt;40%)"))))</f>
        <v/>
      </c>
      <c r="Y10116" s="23" t="str">
        <f aca="false">IF(AND(ISNUMBER(C10116),ISNUMBER(D10116)),D10116-C10116,"")</f>
        <v/>
      </c>
      <c r="Z10116" s="23" t="str">
        <f aca="false">IF(B10116="","",IF(MATCH(B10116,$B$2:$B$12000,0)=ROW()-1,1,0))</f>
        <v/>
      </c>
    </row>
    <row r="10117" customFormat="false" ht="15" hidden="false" customHeight="false" outlineLevel="0" collapsed="false">
      <c r="V10117" s="23" t="str">
        <f aca="false">IF(ISNUMBER(C10117),YEAR(C10117),"")</f>
        <v/>
      </c>
      <c r="W10117" s="23" t="str">
        <f aca="false">IF(ISNUMBER(C10117),MONTH(C10117),"")</f>
        <v/>
      </c>
      <c r="X10117" s="23" t="str">
        <f aca="false">IF(T10117="","",IF(T10117=0,"No discount",IF(T10117&lt;=0.2,"Low (1-20%)",IF(T10117&lt;=0.4,"Medium (21-40%)","High (&gt;40%)"))))</f>
        <v/>
      </c>
      <c r="Y10117" s="23" t="str">
        <f aca="false">IF(AND(ISNUMBER(C10117),ISNUMBER(D10117)),D10117-C10117,"")</f>
        <v/>
      </c>
      <c r="Z10117" s="23" t="str">
        <f aca="false">IF(B10117="","",IF(MATCH(B10117,$B$2:$B$12000,0)=ROW()-1,1,0))</f>
        <v/>
      </c>
    </row>
    <row r="10118" customFormat="false" ht="15" hidden="false" customHeight="false" outlineLevel="0" collapsed="false">
      <c r="V10118" s="23" t="str">
        <f aca="false">IF(ISNUMBER(C10118),YEAR(C10118),"")</f>
        <v/>
      </c>
      <c r="W10118" s="23" t="str">
        <f aca="false">IF(ISNUMBER(C10118),MONTH(C10118),"")</f>
        <v/>
      </c>
      <c r="X10118" s="23" t="str">
        <f aca="false">IF(T10118="","",IF(T10118=0,"No discount",IF(T10118&lt;=0.2,"Low (1-20%)",IF(T10118&lt;=0.4,"Medium (21-40%)","High (&gt;40%)"))))</f>
        <v/>
      </c>
      <c r="Y10118" s="23" t="str">
        <f aca="false">IF(AND(ISNUMBER(C10118),ISNUMBER(D10118)),D10118-C10118,"")</f>
        <v/>
      </c>
      <c r="Z10118" s="23" t="str">
        <f aca="false">IF(B10118="","",IF(MATCH(B10118,$B$2:$B$12000,0)=ROW()-1,1,0))</f>
        <v/>
      </c>
    </row>
    <row r="10119" customFormat="false" ht="15" hidden="false" customHeight="false" outlineLevel="0" collapsed="false">
      <c r="V10119" s="23" t="str">
        <f aca="false">IF(ISNUMBER(C10119),YEAR(C10119),"")</f>
        <v/>
      </c>
      <c r="W10119" s="23" t="str">
        <f aca="false">IF(ISNUMBER(C10119),MONTH(C10119),"")</f>
        <v/>
      </c>
      <c r="X10119" s="23" t="str">
        <f aca="false">IF(T10119="","",IF(T10119=0,"No discount",IF(T10119&lt;=0.2,"Low (1-20%)",IF(T10119&lt;=0.4,"Medium (21-40%)","High (&gt;40%)"))))</f>
        <v/>
      </c>
      <c r="Y10119" s="23" t="str">
        <f aca="false">IF(AND(ISNUMBER(C10119),ISNUMBER(D10119)),D10119-C10119,"")</f>
        <v/>
      </c>
      <c r="Z10119" s="23" t="str">
        <f aca="false">IF(B10119="","",IF(MATCH(B10119,$B$2:$B$12000,0)=ROW()-1,1,0))</f>
        <v/>
      </c>
    </row>
    <row r="10120" customFormat="false" ht="15" hidden="false" customHeight="false" outlineLevel="0" collapsed="false">
      <c r="V10120" s="23" t="str">
        <f aca="false">IF(ISNUMBER(C10120),YEAR(C10120),"")</f>
        <v/>
      </c>
      <c r="W10120" s="23" t="str">
        <f aca="false">IF(ISNUMBER(C10120),MONTH(C10120),"")</f>
        <v/>
      </c>
      <c r="X10120" s="23" t="str">
        <f aca="false">IF(T10120="","",IF(T10120=0,"No discount",IF(T10120&lt;=0.2,"Low (1-20%)",IF(T10120&lt;=0.4,"Medium (21-40%)","High (&gt;40%)"))))</f>
        <v/>
      </c>
      <c r="Y10120" s="23" t="str">
        <f aca="false">IF(AND(ISNUMBER(C10120),ISNUMBER(D10120)),D10120-C10120,"")</f>
        <v/>
      </c>
      <c r="Z10120" s="23" t="str">
        <f aca="false">IF(B10120="","",IF(MATCH(B10120,$B$2:$B$12000,0)=ROW()-1,1,0))</f>
        <v/>
      </c>
    </row>
    <row r="10121" customFormat="false" ht="15" hidden="false" customHeight="false" outlineLevel="0" collapsed="false">
      <c r="V10121" s="23" t="str">
        <f aca="false">IF(ISNUMBER(C10121),YEAR(C10121),"")</f>
        <v/>
      </c>
      <c r="W10121" s="23" t="str">
        <f aca="false">IF(ISNUMBER(C10121),MONTH(C10121),"")</f>
        <v/>
      </c>
      <c r="X10121" s="23" t="str">
        <f aca="false">IF(T10121="","",IF(T10121=0,"No discount",IF(T10121&lt;=0.2,"Low (1-20%)",IF(T10121&lt;=0.4,"Medium (21-40%)","High (&gt;40%)"))))</f>
        <v/>
      </c>
      <c r="Y10121" s="23" t="str">
        <f aca="false">IF(AND(ISNUMBER(C10121),ISNUMBER(D10121)),D10121-C10121,"")</f>
        <v/>
      </c>
      <c r="Z10121" s="23" t="str">
        <f aca="false">IF(B10121="","",IF(MATCH(B10121,$B$2:$B$12000,0)=ROW()-1,1,0))</f>
        <v/>
      </c>
    </row>
    <row r="10122" customFormat="false" ht="15" hidden="false" customHeight="false" outlineLevel="0" collapsed="false">
      <c r="V10122" s="23" t="str">
        <f aca="false">IF(ISNUMBER(C10122),YEAR(C10122),"")</f>
        <v/>
      </c>
      <c r="W10122" s="23" t="str">
        <f aca="false">IF(ISNUMBER(C10122),MONTH(C10122),"")</f>
        <v/>
      </c>
      <c r="X10122" s="23" t="str">
        <f aca="false">IF(T10122="","",IF(T10122=0,"No discount",IF(T10122&lt;=0.2,"Low (1-20%)",IF(T10122&lt;=0.4,"Medium (21-40%)","High (&gt;40%)"))))</f>
        <v/>
      </c>
      <c r="Y10122" s="23" t="str">
        <f aca="false">IF(AND(ISNUMBER(C10122),ISNUMBER(D10122)),D10122-C10122,"")</f>
        <v/>
      </c>
      <c r="Z10122" s="23" t="str">
        <f aca="false">IF(B10122="","",IF(MATCH(B10122,$B$2:$B$12000,0)=ROW()-1,1,0))</f>
        <v/>
      </c>
    </row>
    <row r="10123" customFormat="false" ht="15" hidden="false" customHeight="false" outlineLevel="0" collapsed="false">
      <c r="V10123" s="23" t="str">
        <f aca="false">IF(ISNUMBER(C10123),YEAR(C10123),"")</f>
        <v/>
      </c>
      <c r="W10123" s="23" t="str">
        <f aca="false">IF(ISNUMBER(C10123),MONTH(C10123),"")</f>
        <v/>
      </c>
      <c r="X10123" s="23" t="str">
        <f aca="false">IF(T10123="","",IF(T10123=0,"No discount",IF(T10123&lt;=0.2,"Low (1-20%)",IF(T10123&lt;=0.4,"Medium (21-40%)","High (&gt;40%)"))))</f>
        <v/>
      </c>
      <c r="Y10123" s="23" t="str">
        <f aca="false">IF(AND(ISNUMBER(C10123),ISNUMBER(D10123)),D10123-C10123,"")</f>
        <v/>
      </c>
      <c r="Z10123" s="23" t="str">
        <f aca="false">IF(B10123="","",IF(MATCH(B10123,$B$2:$B$12000,0)=ROW()-1,1,0))</f>
        <v/>
      </c>
    </row>
    <row r="10124" customFormat="false" ht="15" hidden="false" customHeight="false" outlineLevel="0" collapsed="false">
      <c r="V10124" s="23" t="str">
        <f aca="false">IF(ISNUMBER(C10124),YEAR(C10124),"")</f>
        <v/>
      </c>
      <c r="W10124" s="23" t="str">
        <f aca="false">IF(ISNUMBER(C10124),MONTH(C10124),"")</f>
        <v/>
      </c>
      <c r="X10124" s="23" t="str">
        <f aca="false">IF(T10124="","",IF(T10124=0,"No discount",IF(T10124&lt;=0.2,"Low (1-20%)",IF(T10124&lt;=0.4,"Medium (21-40%)","High (&gt;40%)"))))</f>
        <v/>
      </c>
      <c r="Y10124" s="23" t="str">
        <f aca="false">IF(AND(ISNUMBER(C10124),ISNUMBER(D10124)),D10124-C10124,"")</f>
        <v/>
      </c>
      <c r="Z10124" s="23" t="str">
        <f aca="false">IF(B10124="","",IF(MATCH(B10124,$B$2:$B$12000,0)=ROW()-1,1,0))</f>
        <v/>
      </c>
    </row>
    <row r="10125" customFormat="false" ht="15" hidden="false" customHeight="false" outlineLevel="0" collapsed="false">
      <c r="V10125" s="23" t="str">
        <f aca="false">IF(ISNUMBER(C10125),YEAR(C10125),"")</f>
        <v/>
      </c>
      <c r="W10125" s="23" t="str">
        <f aca="false">IF(ISNUMBER(C10125),MONTH(C10125),"")</f>
        <v/>
      </c>
      <c r="X10125" s="23" t="str">
        <f aca="false">IF(T10125="","",IF(T10125=0,"No discount",IF(T10125&lt;=0.2,"Low (1-20%)",IF(T10125&lt;=0.4,"Medium (21-40%)","High (&gt;40%)"))))</f>
        <v/>
      </c>
      <c r="Y10125" s="23" t="str">
        <f aca="false">IF(AND(ISNUMBER(C10125),ISNUMBER(D10125)),D10125-C10125,"")</f>
        <v/>
      </c>
      <c r="Z10125" s="23" t="str">
        <f aca="false">IF(B10125="","",IF(MATCH(B10125,$B$2:$B$12000,0)=ROW()-1,1,0))</f>
        <v/>
      </c>
    </row>
    <row r="10126" customFormat="false" ht="15" hidden="false" customHeight="false" outlineLevel="0" collapsed="false">
      <c r="V10126" s="23" t="str">
        <f aca="false">IF(ISNUMBER(C10126),YEAR(C10126),"")</f>
        <v/>
      </c>
      <c r="W10126" s="23" t="str">
        <f aca="false">IF(ISNUMBER(C10126),MONTH(C10126),"")</f>
        <v/>
      </c>
      <c r="X10126" s="23" t="str">
        <f aca="false">IF(T10126="","",IF(T10126=0,"No discount",IF(T10126&lt;=0.2,"Low (1-20%)",IF(T10126&lt;=0.4,"Medium (21-40%)","High (&gt;40%)"))))</f>
        <v/>
      </c>
      <c r="Y10126" s="23" t="str">
        <f aca="false">IF(AND(ISNUMBER(C10126),ISNUMBER(D10126)),D10126-C10126,"")</f>
        <v/>
      </c>
      <c r="Z10126" s="23" t="str">
        <f aca="false">IF(B10126="","",IF(MATCH(B10126,$B$2:$B$12000,0)=ROW()-1,1,0))</f>
        <v/>
      </c>
    </row>
    <row r="10127" customFormat="false" ht="15" hidden="false" customHeight="false" outlineLevel="0" collapsed="false">
      <c r="V10127" s="23" t="str">
        <f aca="false">IF(ISNUMBER(C10127),YEAR(C10127),"")</f>
        <v/>
      </c>
      <c r="W10127" s="23" t="str">
        <f aca="false">IF(ISNUMBER(C10127),MONTH(C10127),"")</f>
        <v/>
      </c>
      <c r="X10127" s="23" t="str">
        <f aca="false">IF(T10127="","",IF(T10127=0,"No discount",IF(T10127&lt;=0.2,"Low (1-20%)",IF(T10127&lt;=0.4,"Medium (21-40%)","High (&gt;40%)"))))</f>
        <v/>
      </c>
      <c r="Y10127" s="23" t="str">
        <f aca="false">IF(AND(ISNUMBER(C10127),ISNUMBER(D10127)),D10127-C10127,"")</f>
        <v/>
      </c>
      <c r="Z10127" s="23" t="str">
        <f aca="false">IF(B10127="","",IF(MATCH(B10127,$B$2:$B$12000,0)=ROW()-1,1,0))</f>
        <v/>
      </c>
    </row>
    <row r="10128" customFormat="false" ht="15" hidden="false" customHeight="false" outlineLevel="0" collapsed="false">
      <c r="V10128" s="23" t="str">
        <f aca="false">IF(ISNUMBER(C10128),YEAR(C10128),"")</f>
        <v/>
      </c>
      <c r="W10128" s="23" t="str">
        <f aca="false">IF(ISNUMBER(C10128),MONTH(C10128),"")</f>
        <v/>
      </c>
      <c r="X10128" s="23" t="str">
        <f aca="false">IF(T10128="","",IF(T10128=0,"No discount",IF(T10128&lt;=0.2,"Low (1-20%)",IF(T10128&lt;=0.4,"Medium (21-40%)","High (&gt;40%)"))))</f>
        <v/>
      </c>
      <c r="Y10128" s="23" t="str">
        <f aca="false">IF(AND(ISNUMBER(C10128),ISNUMBER(D10128)),D10128-C10128,"")</f>
        <v/>
      </c>
      <c r="Z10128" s="23" t="str">
        <f aca="false">IF(B10128="","",IF(MATCH(B10128,$B$2:$B$12000,0)=ROW()-1,1,0))</f>
        <v/>
      </c>
    </row>
    <row r="10129" customFormat="false" ht="15" hidden="false" customHeight="false" outlineLevel="0" collapsed="false">
      <c r="V10129" s="23" t="str">
        <f aca="false">IF(ISNUMBER(C10129),YEAR(C10129),"")</f>
        <v/>
      </c>
      <c r="W10129" s="23" t="str">
        <f aca="false">IF(ISNUMBER(C10129),MONTH(C10129),"")</f>
        <v/>
      </c>
      <c r="X10129" s="23" t="str">
        <f aca="false">IF(T10129="","",IF(T10129=0,"No discount",IF(T10129&lt;=0.2,"Low (1-20%)",IF(T10129&lt;=0.4,"Medium (21-40%)","High (&gt;40%)"))))</f>
        <v/>
      </c>
      <c r="Y10129" s="23" t="str">
        <f aca="false">IF(AND(ISNUMBER(C10129),ISNUMBER(D10129)),D10129-C10129,"")</f>
        <v/>
      </c>
      <c r="Z10129" s="23" t="str">
        <f aca="false">IF(B10129="","",IF(MATCH(B10129,$B$2:$B$12000,0)=ROW()-1,1,0))</f>
        <v/>
      </c>
    </row>
    <row r="10130" customFormat="false" ht="15" hidden="false" customHeight="false" outlineLevel="0" collapsed="false">
      <c r="V10130" s="23" t="str">
        <f aca="false">IF(ISNUMBER(C10130),YEAR(C10130),"")</f>
        <v/>
      </c>
      <c r="W10130" s="23" t="str">
        <f aca="false">IF(ISNUMBER(C10130),MONTH(C10130),"")</f>
        <v/>
      </c>
      <c r="X10130" s="23" t="str">
        <f aca="false">IF(T10130="","",IF(T10130=0,"No discount",IF(T10130&lt;=0.2,"Low (1-20%)",IF(T10130&lt;=0.4,"Medium (21-40%)","High (&gt;40%)"))))</f>
        <v/>
      </c>
      <c r="Y10130" s="23" t="str">
        <f aca="false">IF(AND(ISNUMBER(C10130),ISNUMBER(D10130)),D10130-C10130,"")</f>
        <v/>
      </c>
      <c r="Z10130" s="23" t="str">
        <f aca="false">IF(B10130="","",IF(MATCH(B10130,$B$2:$B$12000,0)=ROW()-1,1,0))</f>
        <v/>
      </c>
    </row>
    <row r="10131" customFormat="false" ht="15" hidden="false" customHeight="false" outlineLevel="0" collapsed="false">
      <c r="V10131" s="23" t="str">
        <f aca="false">IF(ISNUMBER(C10131),YEAR(C10131),"")</f>
        <v/>
      </c>
      <c r="W10131" s="23" t="str">
        <f aca="false">IF(ISNUMBER(C10131),MONTH(C10131),"")</f>
        <v/>
      </c>
      <c r="X10131" s="23" t="str">
        <f aca="false">IF(T10131="","",IF(T10131=0,"No discount",IF(T10131&lt;=0.2,"Low (1-20%)",IF(T10131&lt;=0.4,"Medium (21-40%)","High (&gt;40%)"))))</f>
        <v/>
      </c>
      <c r="Y10131" s="23" t="str">
        <f aca="false">IF(AND(ISNUMBER(C10131),ISNUMBER(D10131)),D10131-C10131,"")</f>
        <v/>
      </c>
      <c r="Z10131" s="23" t="str">
        <f aca="false">IF(B10131="","",IF(MATCH(B10131,$B$2:$B$12000,0)=ROW()-1,1,0))</f>
        <v/>
      </c>
    </row>
    <row r="10132" customFormat="false" ht="15" hidden="false" customHeight="false" outlineLevel="0" collapsed="false">
      <c r="V10132" s="23" t="str">
        <f aca="false">IF(ISNUMBER(C10132),YEAR(C10132),"")</f>
        <v/>
      </c>
      <c r="W10132" s="23" t="str">
        <f aca="false">IF(ISNUMBER(C10132),MONTH(C10132),"")</f>
        <v/>
      </c>
      <c r="X10132" s="23" t="str">
        <f aca="false">IF(T10132="","",IF(T10132=0,"No discount",IF(T10132&lt;=0.2,"Low (1-20%)",IF(T10132&lt;=0.4,"Medium (21-40%)","High (&gt;40%)"))))</f>
        <v/>
      </c>
      <c r="Y10132" s="23" t="str">
        <f aca="false">IF(AND(ISNUMBER(C10132),ISNUMBER(D10132)),D10132-C10132,"")</f>
        <v/>
      </c>
      <c r="Z10132" s="23" t="str">
        <f aca="false">IF(B10132="","",IF(MATCH(B10132,$B$2:$B$12000,0)=ROW()-1,1,0))</f>
        <v/>
      </c>
    </row>
    <row r="10133" customFormat="false" ht="15" hidden="false" customHeight="false" outlineLevel="0" collapsed="false">
      <c r="V10133" s="23" t="str">
        <f aca="false">IF(ISNUMBER(C10133),YEAR(C10133),"")</f>
        <v/>
      </c>
      <c r="W10133" s="23" t="str">
        <f aca="false">IF(ISNUMBER(C10133),MONTH(C10133),"")</f>
        <v/>
      </c>
      <c r="X10133" s="23" t="str">
        <f aca="false">IF(T10133="","",IF(T10133=0,"No discount",IF(T10133&lt;=0.2,"Low (1-20%)",IF(T10133&lt;=0.4,"Medium (21-40%)","High (&gt;40%)"))))</f>
        <v/>
      </c>
      <c r="Y10133" s="23" t="str">
        <f aca="false">IF(AND(ISNUMBER(C10133),ISNUMBER(D10133)),D10133-C10133,"")</f>
        <v/>
      </c>
      <c r="Z10133" s="23" t="str">
        <f aca="false">IF(B10133="","",IF(MATCH(B10133,$B$2:$B$12000,0)=ROW()-1,1,0))</f>
        <v/>
      </c>
    </row>
    <row r="10134" customFormat="false" ht="15" hidden="false" customHeight="false" outlineLevel="0" collapsed="false">
      <c r="V10134" s="23" t="str">
        <f aca="false">IF(ISNUMBER(C10134),YEAR(C10134),"")</f>
        <v/>
      </c>
      <c r="W10134" s="23" t="str">
        <f aca="false">IF(ISNUMBER(C10134),MONTH(C10134),"")</f>
        <v/>
      </c>
      <c r="X10134" s="23" t="str">
        <f aca="false">IF(T10134="","",IF(T10134=0,"No discount",IF(T10134&lt;=0.2,"Low (1-20%)",IF(T10134&lt;=0.4,"Medium (21-40%)","High (&gt;40%)"))))</f>
        <v/>
      </c>
      <c r="Y10134" s="23" t="str">
        <f aca="false">IF(AND(ISNUMBER(C10134),ISNUMBER(D10134)),D10134-C10134,"")</f>
        <v/>
      </c>
      <c r="Z10134" s="23" t="str">
        <f aca="false">IF(B10134="","",IF(MATCH(B10134,$B$2:$B$12000,0)=ROW()-1,1,0))</f>
        <v/>
      </c>
    </row>
    <row r="10135" customFormat="false" ht="15" hidden="false" customHeight="false" outlineLevel="0" collapsed="false">
      <c r="V10135" s="23" t="str">
        <f aca="false">IF(ISNUMBER(C10135),YEAR(C10135),"")</f>
        <v/>
      </c>
      <c r="W10135" s="23" t="str">
        <f aca="false">IF(ISNUMBER(C10135),MONTH(C10135),"")</f>
        <v/>
      </c>
      <c r="X10135" s="23" t="str">
        <f aca="false">IF(T10135="","",IF(T10135=0,"No discount",IF(T10135&lt;=0.2,"Low (1-20%)",IF(T10135&lt;=0.4,"Medium (21-40%)","High (&gt;40%)"))))</f>
        <v/>
      </c>
      <c r="Y10135" s="23" t="str">
        <f aca="false">IF(AND(ISNUMBER(C10135),ISNUMBER(D10135)),D10135-C10135,"")</f>
        <v/>
      </c>
      <c r="Z10135" s="23" t="str">
        <f aca="false">IF(B10135="","",IF(MATCH(B10135,$B$2:$B$12000,0)=ROW()-1,1,0))</f>
        <v/>
      </c>
    </row>
    <row r="10136" customFormat="false" ht="15" hidden="false" customHeight="false" outlineLevel="0" collapsed="false">
      <c r="V10136" s="23" t="str">
        <f aca="false">IF(ISNUMBER(C10136),YEAR(C10136),"")</f>
        <v/>
      </c>
      <c r="W10136" s="23" t="str">
        <f aca="false">IF(ISNUMBER(C10136),MONTH(C10136),"")</f>
        <v/>
      </c>
      <c r="X10136" s="23" t="str">
        <f aca="false">IF(T10136="","",IF(T10136=0,"No discount",IF(T10136&lt;=0.2,"Low (1-20%)",IF(T10136&lt;=0.4,"Medium (21-40%)","High (&gt;40%)"))))</f>
        <v/>
      </c>
      <c r="Y10136" s="23" t="str">
        <f aca="false">IF(AND(ISNUMBER(C10136),ISNUMBER(D10136)),D10136-C10136,"")</f>
        <v/>
      </c>
      <c r="Z10136" s="23" t="str">
        <f aca="false">IF(B10136="","",IF(MATCH(B10136,$B$2:$B$12000,0)=ROW()-1,1,0))</f>
        <v/>
      </c>
    </row>
    <row r="10137" customFormat="false" ht="15" hidden="false" customHeight="false" outlineLevel="0" collapsed="false">
      <c r="V10137" s="23" t="str">
        <f aca="false">IF(ISNUMBER(C10137),YEAR(C10137),"")</f>
        <v/>
      </c>
      <c r="W10137" s="23" t="str">
        <f aca="false">IF(ISNUMBER(C10137),MONTH(C10137),"")</f>
        <v/>
      </c>
      <c r="X10137" s="23" t="str">
        <f aca="false">IF(T10137="","",IF(T10137=0,"No discount",IF(T10137&lt;=0.2,"Low (1-20%)",IF(T10137&lt;=0.4,"Medium (21-40%)","High (&gt;40%)"))))</f>
        <v/>
      </c>
      <c r="Y10137" s="23" t="str">
        <f aca="false">IF(AND(ISNUMBER(C10137),ISNUMBER(D10137)),D10137-C10137,"")</f>
        <v/>
      </c>
      <c r="Z10137" s="23" t="str">
        <f aca="false">IF(B10137="","",IF(MATCH(B10137,$B$2:$B$12000,0)=ROW()-1,1,0))</f>
        <v/>
      </c>
    </row>
    <row r="10138" customFormat="false" ht="15" hidden="false" customHeight="false" outlineLevel="0" collapsed="false">
      <c r="V10138" s="23" t="str">
        <f aca="false">IF(ISNUMBER(C10138),YEAR(C10138),"")</f>
        <v/>
      </c>
      <c r="W10138" s="23" t="str">
        <f aca="false">IF(ISNUMBER(C10138),MONTH(C10138),"")</f>
        <v/>
      </c>
      <c r="X10138" s="23" t="str">
        <f aca="false">IF(T10138="","",IF(T10138=0,"No discount",IF(T10138&lt;=0.2,"Low (1-20%)",IF(T10138&lt;=0.4,"Medium (21-40%)","High (&gt;40%)"))))</f>
        <v/>
      </c>
      <c r="Y10138" s="23" t="str">
        <f aca="false">IF(AND(ISNUMBER(C10138),ISNUMBER(D10138)),D10138-C10138,"")</f>
        <v/>
      </c>
      <c r="Z10138" s="23" t="str">
        <f aca="false">IF(B10138="","",IF(MATCH(B10138,$B$2:$B$12000,0)=ROW()-1,1,0))</f>
        <v/>
      </c>
    </row>
    <row r="10139" customFormat="false" ht="15" hidden="false" customHeight="false" outlineLevel="0" collapsed="false">
      <c r="V10139" s="23" t="str">
        <f aca="false">IF(ISNUMBER(C10139),YEAR(C10139),"")</f>
        <v/>
      </c>
      <c r="W10139" s="23" t="str">
        <f aca="false">IF(ISNUMBER(C10139),MONTH(C10139),"")</f>
        <v/>
      </c>
      <c r="X10139" s="23" t="str">
        <f aca="false">IF(T10139="","",IF(T10139=0,"No discount",IF(T10139&lt;=0.2,"Low (1-20%)",IF(T10139&lt;=0.4,"Medium (21-40%)","High (&gt;40%)"))))</f>
        <v/>
      </c>
      <c r="Y10139" s="23" t="str">
        <f aca="false">IF(AND(ISNUMBER(C10139),ISNUMBER(D10139)),D10139-C10139,"")</f>
        <v/>
      </c>
      <c r="Z10139" s="23" t="str">
        <f aca="false">IF(B10139="","",IF(MATCH(B10139,$B$2:$B$12000,0)=ROW()-1,1,0))</f>
        <v/>
      </c>
    </row>
    <row r="10140" customFormat="false" ht="15" hidden="false" customHeight="false" outlineLevel="0" collapsed="false">
      <c r="V10140" s="23" t="str">
        <f aca="false">IF(ISNUMBER(C10140),YEAR(C10140),"")</f>
        <v/>
      </c>
      <c r="W10140" s="23" t="str">
        <f aca="false">IF(ISNUMBER(C10140),MONTH(C10140),"")</f>
        <v/>
      </c>
      <c r="X10140" s="23" t="str">
        <f aca="false">IF(T10140="","",IF(T10140=0,"No discount",IF(T10140&lt;=0.2,"Low (1-20%)",IF(T10140&lt;=0.4,"Medium (21-40%)","High (&gt;40%)"))))</f>
        <v/>
      </c>
      <c r="Y10140" s="23" t="str">
        <f aca="false">IF(AND(ISNUMBER(C10140),ISNUMBER(D10140)),D10140-C10140,"")</f>
        <v/>
      </c>
      <c r="Z10140" s="23" t="str">
        <f aca="false">IF(B10140="","",IF(MATCH(B10140,$B$2:$B$12000,0)=ROW()-1,1,0))</f>
        <v/>
      </c>
    </row>
    <row r="10141" customFormat="false" ht="15" hidden="false" customHeight="false" outlineLevel="0" collapsed="false">
      <c r="V10141" s="23" t="str">
        <f aca="false">IF(ISNUMBER(C10141),YEAR(C10141),"")</f>
        <v/>
      </c>
      <c r="W10141" s="23" t="str">
        <f aca="false">IF(ISNUMBER(C10141),MONTH(C10141),"")</f>
        <v/>
      </c>
      <c r="X10141" s="23" t="str">
        <f aca="false">IF(T10141="","",IF(T10141=0,"No discount",IF(T10141&lt;=0.2,"Low (1-20%)",IF(T10141&lt;=0.4,"Medium (21-40%)","High (&gt;40%)"))))</f>
        <v/>
      </c>
      <c r="Y10141" s="23" t="str">
        <f aca="false">IF(AND(ISNUMBER(C10141),ISNUMBER(D10141)),D10141-C10141,"")</f>
        <v/>
      </c>
      <c r="Z10141" s="23" t="str">
        <f aca="false">IF(B10141="","",IF(MATCH(B10141,$B$2:$B$12000,0)=ROW()-1,1,0))</f>
        <v/>
      </c>
    </row>
    <row r="10142" customFormat="false" ht="15" hidden="false" customHeight="false" outlineLevel="0" collapsed="false">
      <c r="V10142" s="23" t="str">
        <f aca="false">IF(ISNUMBER(C10142),YEAR(C10142),"")</f>
        <v/>
      </c>
      <c r="W10142" s="23" t="str">
        <f aca="false">IF(ISNUMBER(C10142),MONTH(C10142),"")</f>
        <v/>
      </c>
      <c r="X10142" s="23" t="str">
        <f aca="false">IF(T10142="","",IF(T10142=0,"No discount",IF(T10142&lt;=0.2,"Low (1-20%)",IF(T10142&lt;=0.4,"Medium (21-40%)","High (&gt;40%)"))))</f>
        <v/>
      </c>
      <c r="Y10142" s="23" t="str">
        <f aca="false">IF(AND(ISNUMBER(C10142),ISNUMBER(D10142)),D10142-C10142,"")</f>
        <v/>
      </c>
      <c r="Z10142" s="23" t="str">
        <f aca="false">IF(B10142="","",IF(MATCH(B10142,$B$2:$B$12000,0)=ROW()-1,1,0))</f>
        <v/>
      </c>
    </row>
    <row r="10143" customFormat="false" ht="15" hidden="false" customHeight="false" outlineLevel="0" collapsed="false">
      <c r="V10143" s="23" t="str">
        <f aca="false">IF(ISNUMBER(C10143),YEAR(C10143),"")</f>
        <v/>
      </c>
      <c r="W10143" s="23" t="str">
        <f aca="false">IF(ISNUMBER(C10143),MONTH(C10143),"")</f>
        <v/>
      </c>
      <c r="X10143" s="23" t="str">
        <f aca="false">IF(T10143="","",IF(T10143=0,"No discount",IF(T10143&lt;=0.2,"Low (1-20%)",IF(T10143&lt;=0.4,"Medium (21-40%)","High (&gt;40%)"))))</f>
        <v/>
      </c>
      <c r="Y10143" s="23" t="str">
        <f aca="false">IF(AND(ISNUMBER(C10143),ISNUMBER(D10143)),D10143-C10143,"")</f>
        <v/>
      </c>
      <c r="Z10143" s="23" t="str">
        <f aca="false">IF(B10143="","",IF(MATCH(B10143,$B$2:$B$12000,0)=ROW()-1,1,0))</f>
        <v/>
      </c>
    </row>
    <row r="10144" customFormat="false" ht="15" hidden="false" customHeight="false" outlineLevel="0" collapsed="false">
      <c r="V10144" s="23" t="str">
        <f aca="false">IF(ISNUMBER(C10144),YEAR(C10144),"")</f>
        <v/>
      </c>
      <c r="W10144" s="23" t="str">
        <f aca="false">IF(ISNUMBER(C10144),MONTH(C10144),"")</f>
        <v/>
      </c>
      <c r="X10144" s="23" t="str">
        <f aca="false">IF(T10144="","",IF(T10144=0,"No discount",IF(T10144&lt;=0.2,"Low (1-20%)",IF(T10144&lt;=0.4,"Medium (21-40%)","High (&gt;40%)"))))</f>
        <v/>
      </c>
      <c r="Y10144" s="23" t="str">
        <f aca="false">IF(AND(ISNUMBER(C10144),ISNUMBER(D10144)),D10144-C10144,"")</f>
        <v/>
      </c>
      <c r="Z10144" s="23" t="str">
        <f aca="false">IF(B10144="","",IF(MATCH(B10144,$B$2:$B$12000,0)=ROW()-1,1,0))</f>
        <v/>
      </c>
    </row>
    <row r="10145" customFormat="false" ht="15" hidden="false" customHeight="false" outlineLevel="0" collapsed="false">
      <c r="V10145" s="23" t="str">
        <f aca="false">IF(ISNUMBER(C10145),YEAR(C10145),"")</f>
        <v/>
      </c>
      <c r="W10145" s="23" t="str">
        <f aca="false">IF(ISNUMBER(C10145),MONTH(C10145),"")</f>
        <v/>
      </c>
      <c r="X10145" s="23" t="str">
        <f aca="false">IF(T10145="","",IF(T10145=0,"No discount",IF(T10145&lt;=0.2,"Low (1-20%)",IF(T10145&lt;=0.4,"Medium (21-40%)","High (&gt;40%)"))))</f>
        <v/>
      </c>
      <c r="Y10145" s="23" t="str">
        <f aca="false">IF(AND(ISNUMBER(C10145),ISNUMBER(D10145)),D10145-C10145,"")</f>
        <v/>
      </c>
      <c r="Z10145" s="23" t="str">
        <f aca="false">IF(B10145="","",IF(MATCH(B10145,$B$2:$B$12000,0)=ROW()-1,1,0))</f>
        <v/>
      </c>
    </row>
    <row r="10146" customFormat="false" ht="15" hidden="false" customHeight="false" outlineLevel="0" collapsed="false">
      <c r="V10146" s="23" t="str">
        <f aca="false">IF(ISNUMBER(C10146),YEAR(C10146),"")</f>
        <v/>
      </c>
      <c r="W10146" s="23" t="str">
        <f aca="false">IF(ISNUMBER(C10146),MONTH(C10146),"")</f>
        <v/>
      </c>
      <c r="X10146" s="23" t="str">
        <f aca="false">IF(T10146="","",IF(T10146=0,"No discount",IF(T10146&lt;=0.2,"Low (1-20%)",IF(T10146&lt;=0.4,"Medium (21-40%)","High (&gt;40%)"))))</f>
        <v/>
      </c>
      <c r="Y10146" s="23" t="str">
        <f aca="false">IF(AND(ISNUMBER(C10146),ISNUMBER(D10146)),D10146-C10146,"")</f>
        <v/>
      </c>
      <c r="Z10146" s="23" t="str">
        <f aca="false">IF(B10146="","",IF(MATCH(B10146,$B$2:$B$12000,0)=ROW()-1,1,0))</f>
        <v/>
      </c>
    </row>
    <row r="10147" customFormat="false" ht="15" hidden="false" customHeight="false" outlineLevel="0" collapsed="false">
      <c r="V10147" s="23" t="str">
        <f aca="false">IF(ISNUMBER(C10147),YEAR(C10147),"")</f>
        <v/>
      </c>
      <c r="W10147" s="23" t="str">
        <f aca="false">IF(ISNUMBER(C10147),MONTH(C10147),"")</f>
        <v/>
      </c>
      <c r="X10147" s="23" t="str">
        <f aca="false">IF(T10147="","",IF(T10147=0,"No discount",IF(T10147&lt;=0.2,"Low (1-20%)",IF(T10147&lt;=0.4,"Medium (21-40%)","High (&gt;40%)"))))</f>
        <v/>
      </c>
      <c r="Y10147" s="23" t="str">
        <f aca="false">IF(AND(ISNUMBER(C10147),ISNUMBER(D10147)),D10147-C10147,"")</f>
        <v/>
      </c>
      <c r="Z10147" s="23" t="str">
        <f aca="false">IF(B10147="","",IF(MATCH(B10147,$B$2:$B$12000,0)=ROW()-1,1,0))</f>
        <v/>
      </c>
    </row>
    <row r="10148" customFormat="false" ht="15" hidden="false" customHeight="false" outlineLevel="0" collapsed="false">
      <c r="V10148" s="23" t="str">
        <f aca="false">IF(ISNUMBER(C10148),YEAR(C10148),"")</f>
        <v/>
      </c>
      <c r="W10148" s="23" t="str">
        <f aca="false">IF(ISNUMBER(C10148),MONTH(C10148),"")</f>
        <v/>
      </c>
      <c r="X10148" s="23" t="str">
        <f aca="false">IF(T10148="","",IF(T10148=0,"No discount",IF(T10148&lt;=0.2,"Low (1-20%)",IF(T10148&lt;=0.4,"Medium (21-40%)","High (&gt;40%)"))))</f>
        <v/>
      </c>
      <c r="Y10148" s="23" t="str">
        <f aca="false">IF(AND(ISNUMBER(C10148),ISNUMBER(D10148)),D10148-C10148,"")</f>
        <v/>
      </c>
      <c r="Z10148" s="23" t="str">
        <f aca="false">IF(B10148="","",IF(MATCH(B10148,$B$2:$B$12000,0)=ROW()-1,1,0))</f>
        <v/>
      </c>
    </row>
    <row r="10149" customFormat="false" ht="15" hidden="false" customHeight="false" outlineLevel="0" collapsed="false">
      <c r="V10149" s="23" t="str">
        <f aca="false">IF(ISNUMBER(C10149),YEAR(C10149),"")</f>
        <v/>
      </c>
      <c r="W10149" s="23" t="str">
        <f aca="false">IF(ISNUMBER(C10149),MONTH(C10149),"")</f>
        <v/>
      </c>
      <c r="X10149" s="23" t="str">
        <f aca="false">IF(T10149="","",IF(T10149=0,"No discount",IF(T10149&lt;=0.2,"Low (1-20%)",IF(T10149&lt;=0.4,"Medium (21-40%)","High (&gt;40%)"))))</f>
        <v/>
      </c>
      <c r="Y10149" s="23" t="str">
        <f aca="false">IF(AND(ISNUMBER(C10149),ISNUMBER(D10149)),D10149-C10149,"")</f>
        <v/>
      </c>
      <c r="Z10149" s="23" t="str">
        <f aca="false">IF(B10149="","",IF(MATCH(B10149,$B$2:$B$12000,0)=ROW()-1,1,0))</f>
        <v/>
      </c>
    </row>
    <row r="10150" customFormat="false" ht="15" hidden="false" customHeight="false" outlineLevel="0" collapsed="false">
      <c r="V10150" s="23" t="str">
        <f aca="false">IF(ISNUMBER(C10150),YEAR(C10150),"")</f>
        <v/>
      </c>
      <c r="W10150" s="23" t="str">
        <f aca="false">IF(ISNUMBER(C10150),MONTH(C10150),"")</f>
        <v/>
      </c>
      <c r="X10150" s="23" t="str">
        <f aca="false">IF(T10150="","",IF(T10150=0,"No discount",IF(T10150&lt;=0.2,"Low (1-20%)",IF(T10150&lt;=0.4,"Medium (21-40%)","High (&gt;40%)"))))</f>
        <v/>
      </c>
      <c r="Y10150" s="23" t="str">
        <f aca="false">IF(AND(ISNUMBER(C10150),ISNUMBER(D10150)),D10150-C10150,"")</f>
        <v/>
      </c>
      <c r="Z10150" s="23" t="str">
        <f aca="false">IF(B10150="","",IF(MATCH(B10150,$B$2:$B$12000,0)=ROW()-1,1,0))</f>
        <v/>
      </c>
    </row>
    <row r="10151" customFormat="false" ht="15" hidden="false" customHeight="false" outlineLevel="0" collapsed="false">
      <c r="V10151" s="23" t="str">
        <f aca="false">IF(ISNUMBER(C10151),YEAR(C10151),"")</f>
        <v/>
      </c>
      <c r="W10151" s="23" t="str">
        <f aca="false">IF(ISNUMBER(C10151),MONTH(C10151),"")</f>
        <v/>
      </c>
      <c r="X10151" s="23" t="str">
        <f aca="false">IF(T10151="","",IF(T10151=0,"No discount",IF(T10151&lt;=0.2,"Low (1-20%)",IF(T10151&lt;=0.4,"Medium (21-40%)","High (&gt;40%)"))))</f>
        <v/>
      </c>
      <c r="Y10151" s="23" t="str">
        <f aca="false">IF(AND(ISNUMBER(C10151),ISNUMBER(D10151)),D10151-C10151,"")</f>
        <v/>
      </c>
      <c r="Z10151" s="23" t="str">
        <f aca="false">IF(B10151="","",IF(MATCH(B10151,$B$2:$B$12000,0)=ROW()-1,1,0))</f>
        <v/>
      </c>
    </row>
    <row r="10152" customFormat="false" ht="15" hidden="false" customHeight="false" outlineLevel="0" collapsed="false">
      <c r="V10152" s="23" t="str">
        <f aca="false">IF(ISNUMBER(C10152),YEAR(C10152),"")</f>
        <v/>
      </c>
      <c r="W10152" s="23" t="str">
        <f aca="false">IF(ISNUMBER(C10152),MONTH(C10152),"")</f>
        <v/>
      </c>
      <c r="X10152" s="23" t="str">
        <f aca="false">IF(T10152="","",IF(T10152=0,"No discount",IF(T10152&lt;=0.2,"Low (1-20%)",IF(T10152&lt;=0.4,"Medium (21-40%)","High (&gt;40%)"))))</f>
        <v/>
      </c>
      <c r="Y10152" s="23" t="str">
        <f aca="false">IF(AND(ISNUMBER(C10152),ISNUMBER(D10152)),D10152-C10152,"")</f>
        <v/>
      </c>
      <c r="Z10152" s="23" t="str">
        <f aca="false">IF(B10152="","",IF(MATCH(B10152,$B$2:$B$12000,0)=ROW()-1,1,0))</f>
        <v/>
      </c>
    </row>
    <row r="10153" customFormat="false" ht="15" hidden="false" customHeight="false" outlineLevel="0" collapsed="false">
      <c r="V10153" s="23" t="str">
        <f aca="false">IF(ISNUMBER(C10153),YEAR(C10153),"")</f>
        <v/>
      </c>
      <c r="W10153" s="23" t="str">
        <f aca="false">IF(ISNUMBER(C10153),MONTH(C10153),"")</f>
        <v/>
      </c>
      <c r="X10153" s="23" t="str">
        <f aca="false">IF(T10153="","",IF(T10153=0,"No discount",IF(T10153&lt;=0.2,"Low (1-20%)",IF(T10153&lt;=0.4,"Medium (21-40%)","High (&gt;40%)"))))</f>
        <v/>
      </c>
      <c r="Y10153" s="23" t="str">
        <f aca="false">IF(AND(ISNUMBER(C10153),ISNUMBER(D10153)),D10153-C10153,"")</f>
        <v/>
      </c>
      <c r="Z10153" s="23" t="str">
        <f aca="false">IF(B10153="","",IF(MATCH(B10153,$B$2:$B$12000,0)=ROW()-1,1,0))</f>
        <v/>
      </c>
    </row>
    <row r="10154" customFormat="false" ht="15" hidden="false" customHeight="false" outlineLevel="0" collapsed="false">
      <c r="V10154" s="23" t="str">
        <f aca="false">IF(ISNUMBER(C10154),YEAR(C10154),"")</f>
        <v/>
      </c>
      <c r="W10154" s="23" t="str">
        <f aca="false">IF(ISNUMBER(C10154),MONTH(C10154),"")</f>
        <v/>
      </c>
      <c r="X10154" s="23" t="str">
        <f aca="false">IF(T10154="","",IF(T10154=0,"No discount",IF(T10154&lt;=0.2,"Low (1-20%)",IF(T10154&lt;=0.4,"Medium (21-40%)","High (&gt;40%)"))))</f>
        <v/>
      </c>
      <c r="Y10154" s="23" t="str">
        <f aca="false">IF(AND(ISNUMBER(C10154),ISNUMBER(D10154)),D10154-C10154,"")</f>
        <v/>
      </c>
      <c r="Z10154" s="23" t="str">
        <f aca="false">IF(B10154="","",IF(MATCH(B10154,$B$2:$B$12000,0)=ROW()-1,1,0))</f>
        <v/>
      </c>
    </row>
    <row r="10155" customFormat="false" ht="15" hidden="false" customHeight="false" outlineLevel="0" collapsed="false">
      <c r="V10155" s="23" t="str">
        <f aca="false">IF(ISNUMBER(C10155),YEAR(C10155),"")</f>
        <v/>
      </c>
      <c r="W10155" s="23" t="str">
        <f aca="false">IF(ISNUMBER(C10155),MONTH(C10155),"")</f>
        <v/>
      </c>
      <c r="X10155" s="23" t="str">
        <f aca="false">IF(T10155="","",IF(T10155=0,"No discount",IF(T10155&lt;=0.2,"Low (1-20%)",IF(T10155&lt;=0.4,"Medium (21-40%)","High (&gt;40%)"))))</f>
        <v/>
      </c>
      <c r="Y10155" s="23" t="str">
        <f aca="false">IF(AND(ISNUMBER(C10155),ISNUMBER(D10155)),D10155-C10155,"")</f>
        <v/>
      </c>
      <c r="Z10155" s="23" t="str">
        <f aca="false">IF(B10155="","",IF(MATCH(B10155,$B$2:$B$12000,0)=ROW()-1,1,0))</f>
        <v/>
      </c>
    </row>
    <row r="10156" customFormat="false" ht="15" hidden="false" customHeight="false" outlineLevel="0" collapsed="false">
      <c r="V10156" s="23" t="str">
        <f aca="false">IF(ISNUMBER(C10156),YEAR(C10156),"")</f>
        <v/>
      </c>
      <c r="W10156" s="23" t="str">
        <f aca="false">IF(ISNUMBER(C10156),MONTH(C10156),"")</f>
        <v/>
      </c>
      <c r="X10156" s="23" t="str">
        <f aca="false">IF(T10156="","",IF(T10156=0,"No discount",IF(T10156&lt;=0.2,"Low (1-20%)",IF(T10156&lt;=0.4,"Medium (21-40%)","High (&gt;40%)"))))</f>
        <v/>
      </c>
      <c r="Y10156" s="23" t="str">
        <f aca="false">IF(AND(ISNUMBER(C10156),ISNUMBER(D10156)),D10156-C10156,"")</f>
        <v/>
      </c>
      <c r="Z10156" s="23" t="str">
        <f aca="false">IF(B10156="","",IF(MATCH(B10156,$B$2:$B$12000,0)=ROW()-1,1,0))</f>
        <v/>
      </c>
    </row>
    <row r="10157" customFormat="false" ht="15" hidden="false" customHeight="false" outlineLevel="0" collapsed="false">
      <c r="V10157" s="23" t="str">
        <f aca="false">IF(ISNUMBER(C10157),YEAR(C10157),"")</f>
        <v/>
      </c>
      <c r="W10157" s="23" t="str">
        <f aca="false">IF(ISNUMBER(C10157),MONTH(C10157),"")</f>
        <v/>
      </c>
      <c r="X10157" s="23" t="str">
        <f aca="false">IF(T10157="","",IF(T10157=0,"No discount",IF(T10157&lt;=0.2,"Low (1-20%)",IF(T10157&lt;=0.4,"Medium (21-40%)","High (&gt;40%)"))))</f>
        <v/>
      </c>
      <c r="Y10157" s="23" t="str">
        <f aca="false">IF(AND(ISNUMBER(C10157),ISNUMBER(D10157)),D10157-C10157,"")</f>
        <v/>
      </c>
      <c r="Z10157" s="23" t="str">
        <f aca="false">IF(B10157="","",IF(MATCH(B10157,$B$2:$B$12000,0)=ROW()-1,1,0))</f>
        <v/>
      </c>
    </row>
    <row r="10158" customFormat="false" ht="15" hidden="false" customHeight="false" outlineLevel="0" collapsed="false">
      <c r="V10158" s="23" t="str">
        <f aca="false">IF(ISNUMBER(C10158),YEAR(C10158),"")</f>
        <v/>
      </c>
      <c r="W10158" s="23" t="str">
        <f aca="false">IF(ISNUMBER(C10158),MONTH(C10158),"")</f>
        <v/>
      </c>
      <c r="X10158" s="23" t="str">
        <f aca="false">IF(T10158="","",IF(T10158=0,"No discount",IF(T10158&lt;=0.2,"Low (1-20%)",IF(T10158&lt;=0.4,"Medium (21-40%)","High (&gt;40%)"))))</f>
        <v/>
      </c>
      <c r="Y10158" s="23" t="str">
        <f aca="false">IF(AND(ISNUMBER(C10158),ISNUMBER(D10158)),D10158-C10158,"")</f>
        <v/>
      </c>
      <c r="Z10158" s="23" t="str">
        <f aca="false">IF(B10158="","",IF(MATCH(B10158,$B$2:$B$12000,0)=ROW()-1,1,0))</f>
        <v/>
      </c>
    </row>
    <row r="10159" customFormat="false" ht="15" hidden="false" customHeight="false" outlineLevel="0" collapsed="false">
      <c r="V10159" s="23" t="str">
        <f aca="false">IF(ISNUMBER(C10159),YEAR(C10159),"")</f>
        <v/>
      </c>
      <c r="W10159" s="23" t="str">
        <f aca="false">IF(ISNUMBER(C10159),MONTH(C10159),"")</f>
        <v/>
      </c>
      <c r="X10159" s="23" t="str">
        <f aca="false">IF(T10159="","",IF(T10159=0,"No discount",IF(T10159&lt;=0.2,"Low (1-20%)",IF(T10159&lt;=0.4,"Medium (21-40%)","High (&gt;40%)"))))</f>
        <v/>
      </c>
      <c r="Y10159" s="23" t="str">
        <f aca="false">IF(AND(ISNUMBER(C10159),ISNUMBER(D10159)),D10159-C10159,"")</f>
        <v/>
      </c>
      <c r="Z10159" s="23" t="str">
        <f aca="false">IF(B10159="","",IF(MATCH(B10159,$B$2:$B$12000,0)=ROW()-1,1,0))</f>
        <v/>
      </c>
    </row>
    <row r="10160" customFormat="false" ht="15" hidden="false" customHeight="false" outlineLevel="0" collapsed="false">
      <c r="V10160" s="23" t="str">
        <f aca="false">IF(ISNUMBER(C10160),YEAR(C10160),"")</f>
        <v/>
      </c>
      <c r="W10160" s="23" t="str">
        <f aca="false">IF(ISNUMBER(C10160),MONTH(C10160),"")</f>
        <v/>
      </c>
      <c r="X10160" s="23" t="str">
        <f aca="false">IF(T10160="","",IF(T10160=0,"No discount",IF(T10160&lt;=0.2,"Low (1-20%)",IF(T10160&lt;=0.4,"Medium (21-40%)","High (&gt;40%)"))))</f>
        <v/>
      </c>
      <c r="Y10160" s="23" t="str">
        <f aca="false">IF(AND(ISNUMBER(C10160),ISNUMBER(D10160)),D10160-C10160,"")</f>
        <v/>
      </c>
      <c r="Z10160" s="23" t="str">
        <f aca="false">IF(B10160="","",IF(MATCH(B10160,$B$2:$B$12000,0)=ROW()-1,1,0))</f>
        <v/>
      </c>
    </row>
    <row r="10161" customFormat="false" ht="15" hidden="false" customHeight="false" outlineLevel="0" collapsed="false">
      <c r="V10161" s="23" t="str">
        <f aca="false">IF(ISNUMBER(C10161),YEAR(C10161),"")</f>
        <v/>
      </c>
      <c r="W10161" s="23" t="str">
        <f aca="false">IF(ISNUMBER(C10161),MONTH(C10161),"")</f>
        <v/>
      </c>
      <c r="X10161" s="23" t="str">
        <f aca="false">IF(T10161="","",IF(T10161=0,"No discount",IF(T10161&lt;=0.2,"Low (1-20%)",IF(T10161&lt;=0.4,"Medium (21-40%)","High (&gt;40%)"))))</f>
        <v/>
      </c>
      <c r="Y10161" s="23" t="str">
        <f aca="false">IF(AND(ISNUMBER(C10161),ISNUMBER(D10161)),D10161-C10161,"")</f>
        <v/>
      </c>
      <c r="Z10161" s="23" t="str">
        <f aca="false">IF(B10161="","",IF(MATCH(B10161,$B$2:$B$12000,0)=ROW()-1,1,0))</f>
        <v/>
      </c>
    </row>
    <row r="10162" customFormat="false" ht="15" hidden="false" customHeight="false" outlineLevel="0" collapsed="false">
      <c r="V10162" s="23" t="str">
        <f aca="false">IF(ISNUMBER(C10162),YEAR(C10162),"")</f>
        <v/>
      </c>
      <c r="W10162" s="23" t="str">
        <f aca="false">IF(ISNUMBER(C10162),MONTH(C10162),"")</f>
        <v/>
      </c>
      <c r="X10162" s="23" t="str">
        <f aca="false">IF(T10162="","",IF(T10162=0,"No discount",IF(T10162&lt;=0.2,"Low (1-20%)",IF(T10162&lt;=0.4,"Medium (21-40%)","High (&gt;40%)"))))</f>
        <v/>
      </c>
      <c r="Y10162" s="23" t="str">
        <f aca="false">IF(AND(ISNUMBER(C10162),ISNUMBER(D10162)),D10162-C10162,"")</f>
        <v/>
      </c>
      <c r="Z10162" s="23" t="str">
        <f aca="false">IF(B10162="","",IF(MATCH(B10162,$B$2:$B$12000,0)=ROW()-1,1,0))</f>
        <v/>
      </c>
    </row>
    <row r="10163" customFormat="false" ht="15" hidden="false" customHeight="false" outlineLevel="0" collapsed="false">
      <c r="V10163" s="23" t="str">
        <f aca="false">IF(ISNUMBER(C10163),YEAR(C10163),"")</f>
        <v/>
      </c>
      <c r="W10163" s="23" t="str">
        <f aca="false">IF(ISNUMBER(C10163),MONTH(C10163),"")</f>
        <v/>
      </c>
      <c r="X10163" s="23" t="str">
        <f aca="false">IF(T10163="","",IF(T10163=0,"No discount",IF(T10163&lt;=0.2,"Low (1-20%)",IF(T10163&lt;=0.4,"Medium (21-40%)","High (&gt;40%)"))))</f>
        <v/>
      </c>
      <c r="Y10163" s="23" t="str">
        <f aca="false">IF(AND(ISNUMBER(C10163),ISNUMBER(D10163)),D10163-C10163,"")</f>
        <v/>
      </c>
      <c r="Z10163" s="23" t="str">
        <f aca="false">IF(B10163="","",IF(MATCH(B10163,$B$2:$B$12000,0)=ROW()-1,1,0))</f>
        <v/>
      </c>
    </row>
    <row r="10164" customFormat="false" ht="15" hidden="false" customHeight="false" outlineLevel="0" collapsed="false">
      <c r="V10164" s="23" t="str">
        <f aca="false">IF(ISNUMBER(C10164),YEAR(C10164),"")</f>
        <v/>
      </c>
      <c r="W10164" s="23" t="str">
        <f aca="false">IF(ISNUMBER(C10164),MONTH(C10164),"")</f>
        <v/>
      </c>
      <c r="X10164" s="23" t="str">
        <f aca="false">IF(T10164="","",IF(T10164=0,"No discount",IF(T10164&lt;=0.2,"Low (1-20%)",IF(T10164&lt;=0.4,"Medium (21-40%)","High (&gt;40%)"))))</f>
        <v/>
      </c>
      <c r="Y10164" s="23" t="str">
        <f aca="false">IF(AND(ISNUMBER(C10164),ISNUMBER(D10164)),D10164-C10164,"")</f>
        <v/>
      </c>
      <c r="Z10164" s="23" t="str">
        <f aca="false">IF(B10164="","",IF(MATCH(B10164,$B$2:$B$12000,0)=ROW()-1,1,0))</f>
        <v/>
      </c>
    </row>
    <row r="10165" customFormat="false" ht="15" hidden="false" customHeight="false" outlineLevel="0" collapsed="false">
      <c r="V10165" s="23" t="str">
        <f aca="false">IF(ISNUMBER(C10165),YEAR(C10165),"")</f>
        <v/>
      </c>
      <c r="W10165" s="23" t="str">
        <f aca="false">IF(ISNUMBER(C10165),MONTH(C10165),"")</f>
        <v/>
      </c>
      <c r="X10165" s="23" t="str">
        <f aca="false">IF(T10165="","",IF(T10165=0,"No discount",IF(T10165&lt;=0.2,"Low (1-20%)",IF(T10165&lt;=0.4,"Medium (21-40%)","High (&gt;40%)"))))</f>
        <v/>
      </c>
      <c r="Y10165" s="23" t="str">
        <f aca="false">IF(AND(ISNUMBER(C10165),ISNUMBER(D10165)),D10165-C10165,"")</f>
        <v/>
      </c>
      <c r="Z10165" s="23" t="str">
        <f aca="false">IF(B10165="","",IF(MATCH(B10165,$B$2:$B$12000,0)=ROW()-1,1,0))</f>
        <v/>
      </c>
    </row>
    <row r="10166" customFormat="false" ht="15" hidden="false" customHeight="false" outlineLevel="0" collapsed="false">
      <c r="V10166" s="23" t="str">
        <f aca="false">IF(ISNUMBER(C10166),YEAR(C10166),"")</f>
        <v/>
      </c>
      <c r="W10166" s="23" t="str">
        <f aca="false">IF(ISNUMBER(C10166),MONTH(C10166),"")</f>
        <v/>
      </c>
      <c r="X10166" s="23" t="str">
        <f aca="false">IF(T10166="","",IF(T10166=0,"No discount",IF(T10166&lt;=0.2,"Low (1-20%)",IF(T10166&lt;=0.4,"Medium (21-40%)","High (&gt;40%)"))))</f>
        <v/>
      </c>
      <c r="Y10166" s="23" t="str">
        <f aca="false">IF(AND(ISNUMBER(C10166),ISNUMBER(D10166)),D10166-C10166,"")</f>
        <v/>
      </c>
      <c r="Z10166" s="23" t="str">
        <f aca="false">IF(B10166="","",IF(MATCH(B10166,$B$2:$B$12000,0)=ROW()-1,1,0))</f>
        <v/>
      </c>
    </row>
    <row r="10167" customFormat="false" ht="15" hidden="false" customHeight="false" outlineLevel="0" collapsed="false">
      <c r="V10167" s="23" t="str">
        <f aca="false">IF(ISNUMBER(C10167),YEAR(C10167),"")</f>
        <v/>
      </c>
      <c r="W10167" s="23" t="str">
        <f aca="false">IF(ISNUMBER(C10167),MONTH(C10167),"")</f>
        <v/>
      </c>
      <c r="X10167" s="23" t="str">
        <f aca="false">IF(T10167="","",IF(T10167=0,"No discount",IF(T10167&lt;=0.2,"Low (1-20%)",IF(T10167&lt;=0.4,"Medium (21-40%)","High (&gt;40%)"))))</f>
        <v/>
      </c>
      <c r="Y10167" s="23" t="str">
        <f aca="false">IF(AND(ISNUMBER(C10167),ISNUMBER(D10167)),D10167-C10167,"")</f>
        <v/>
      </c>
      <c r="Z10167" s="23" t="str">
        <f aca="false">IF(B10167="","",IF(MATCH(B10167,$B$2:$B$12000,0)=ROW()-1,1,0))</f>
        <v/>
      </c>
    </row>
    <row r="10168" customFormat="false" ht="15" hidden="false" customHeight="false" outlineLevel="0" collapsed="false">
      <c r="V10168" s="23" t="str">
        <f aca="false">IF(ISNUMBER(C10168),YEAR(C10168),"")</f>
        <v/>
      </c>
      <c r="W10168" s="23" t="str">
        <f aca="false">IF(ISNUMBER(C10168),MONTH(C10168),"")</f>
        <v/>
      </c>
      <c r="X10168" s="23" t="str">
        <f aca="false">IF(T10168="","",IF(T10168=0,"No discount",IF(T10168&lt;=0.2,"Low (1-20%)",IF(T10168&lt;=0.4,"Medium (21-40%)","High (&gt;40%)"))))</f>
        <v/>
      </c>
      <c r="Y10168" s="23" t="str">
        <f aca="false">IF(AND(ISNUMBER(C10168),ISNUMBER(D10168)),D10168-C10168,"")</f>
        <v/>
      </c>
      <c r="Z10168" s="23" t="str">
        <f aca="false">IF(B10168="","",IF(MATCH(B10168,$B$2:$B$12000,0)=ROW()-1,1,0))</f>
        <v/>
      </c>
    </row>
    <row r="10169" customFormat="false" ht="15" hidden="false" customHeight="false" outlineLevel="0" collapsed="false">
      <c r="V10169" s="23" t="str">
        <f aca="false">IF(ISNUMBER(C10169),YEAR(C10169),"")</f>
        <v/>
      </c>
      <c r="W10169" s="23" t="str">
        <f aca="false">IF(ISNUMBER(C10169),MONTH(C10169),"")</f>
        <v/>
      </c>
      <c r="X10169" s="23" t="str">
        <f aca="false">IF(T10169="","",IF(T10169=0,"No discount",IF(T10169&lt;=0.2,"Low (1-20%)",IF(T10169&lt;=0.4,"Medium (21-40%)","High (&gt;40%)"))))</f>
        <v/>
      </c>
      <c r="Y10169" s="23" t="str">
        <f aca="false">IF(AND(ISNUMBER(C10169),ISNUMBER(D10169)),D10169-C10169,"")</f>
        <v/>
      </c>
      <c r="Z10169" s="23" t="str">
        <f aca="false">IF(B10169="","",IF(MATCH(B10169,$B$2:$B$12000,0)=ROW()-1,1,0))</f>
        <v/>
      </c>
    </row>
    <row r="10170" customFormat="false" ht="15" hidden="false" customHeight="false" outlineLevel="0" collapsed="false">
      <c r="V10170" s="23" t="str">
        <f aca="false">IF(ISNUMBER(C10170),YEAR(C10170),"")</f>
        <v/>
      </c>
      <c r="W10170" s="23" t="str">
        <f aca="false">IF(ISNUMBER(C10170),MONTH(C10170),"")</f>
        <v/>
      </c>
      <c r="X10170" s="23" t="str">
        <f aca="false">IF(T10170="","",IF(T10170=0,"No discount",IF(T10170&lt;=0.2,"Low (1-20%)",IF(T10170&lt;=0.4,"Medium (21-40%)","High (&gt;40%)"))))</f>
        <v/>
      </c>
      <c r="Y10170" s="23" t="str">
        <f aca="false">IF(AND(ISNUMBER(C10170),ISNUMBER(D10170)),D10170-C10170,"")</f>
        <v/>
      </c>
      <c r="Z10170" s="23" t="str">
        <f aca="false">IF(B10170="","",IF(MATCH(B10170,$B$2:$B$12000,0)=ROW()-1,1,0))</f>
        <v/>
      </c>
    </row>
    <row r="10171" customFormat="false" ht="15" hidden="false" customHeight="false" outlineLevel="0" collapsed="false">
      <c r="V10171" s="23" t="str">
        <f aca="false">IF(ISNUMBER(C10171),YEAR(C10171),"")</f>
        <v/>
      </c>
      <c r="W10171" s="23" t="str">
        <f aca="false">IF(ISNUMBER(C10171),MONTH(C10171),"")</f>
        <v/>
      </c>
      <c r="X10171" s="23" t="str">
        <f aca="false">IF(T10171="","",IF(T10171=0,"No discount",IF(T10171&lt;=0.2,"Low (1-20%)",IF(T10171&lt;=0.4,"Medium (21-40%)","High (&gt;40%)"))))</f>
        <v/>
      </c>
      <c r="Y10171" s="23" t="str">
        <f aca="false">IF(AND(ISNUMBER(C10171),ISNUMBER(D10171)),D10171-C10171,"")</f>
        <v/>
      </c>
      <c r="Z10171" s="23" t="str">
        <f aca="false">IF(B10171="","",IF(MATCH(B10171,$B$2:$B$12000,0)=ROW()-1,1,0))</f>
        <v/>
      </c>
    </row>
    <row r="10172" customFormat="false" ht="15" hidden="false" customHeight="false" outlineLevel="0" collapsed="false">
      <c r="V10172" s="23" t="str">
        <f aca="false">IF(ISNUMBER(C10172),YEAR(C10172),"")</f>
        <v/>
      </c>
      <c r="W10172" s="23" t="str">
        <f aca="false">IF(ISNUMBER(C10172),MONTH(C10172),"")</f>
        <v/>
      </c>
      <c r="X10172" s="23" t="str">
        <f aca="false">IF(T10172="","",IF(T10172=0,"No discount",IF(T10172&lt;=0.2,"Low (1-20%)",IF(T10172&lt;=0.4,"Medium (21-40%)","High (&gt;40%)"))))</f>
        <v/>
      </c>
      <c r="Y10172" s="23" t="str">
        <f aca="false">IF(AND(ISNUMBER(C10172),ISNUMBER(D10172)),D10172-C10172,"")</f>
        <v/>
      </c>
      <c r="Z10172" s="23" t="str">
        <f aca="false">IF(B10172="","",IF(MATCH(B10172,$B$2:$B$12000,0)=ROW()-1,1,0))</f>
        <v/>
      </c>
    </row>
    <row r="10173" customFormat="false" ht="15" hidden="false" customHeight="false" outlineLevel="0" collapsed="false">
      <c r="V10173" s="23" t="str">
        <f aca="false">IF(ISNUMBER(C10173),YEAR(C10173),"")</f>
        <v/>
      </c>
      <c r="W10173" s="23" t="str">
        <f aca="false">IF(ISNUMBER(C10173),MONTH(C10173),"")</f>
        <v/>
      </c>
      <c r="X10173" s="23" t="str">
        <f aca="false">IF(T10173="","",IF(T10173=0,"No discount",IF(T10173&lt;=0.2,"Low (1-20%)",IF(T10173&lt;=0.4,"Medium (21-40%)","High (&gt;40%)"))))</f>
        <v/>
      </c>
      <c r="Y10173" s="23" t="str">
        <f aca="false">IF(AND(ISNUMBER(C10173),ISNUMBER(D10173)),D10173-C10173,"")</f>
        <v/>
      </c>
      <c r="Z10173" s="23" t="str">
        <f aca="false">IF(B10173="","",IF(MATCH(B10173,$B$2:$B$12000,0)=ROW()-1,1,0))</f>
        <v/>
      </c>
    </row>
    <row r="10174" customFormat="false" ht="15" hidden="false" customHeight="false" outlineLevel="0" collapsed="false">
      <c r="V10174" s="23" t="str">
        <f aca="false">IF(ISNUMBER(C10174),YEAR(C10174),"")</f>
        <v/>
      </c>
      <c r="W10174" s="23" t="str">
        <f aca="false">IF(ISNUMBER(C10174),MONTH(C10174),"")</f>
        <v/>
      </c>
      <c r="X10174" s="23" t="str">
        <f aca="false">IF(T10174="","",IF(T10174=0,"No discount",IF(T10174&lt;=0.2,"Low (1-20%)",IF(T10174&lt;=0.4,"Medium (21-40%)","High (&gt;40%)"))))</f>
        <v/>
      </c>
      <c r="Y10174" s="23" t="str">
        <f aca="false">IF(AND(ISNUMBER(C10174),ISNUMBER(D10174)),D10174-C10174,"")</f>
        <v/>
      </c>
      <c r="Z10174" s="23" t="str">
        <f aca="false">IF(B10174="","",IF(MATCH(B10174,$B$2:$B$12000,0)=ROW()-1,1,0))</f>
        <v/>
      </c>
    </row>
    <row r="10175" customFormat="false" ht="15" hidden="false" customHeight="false" outlineLevel="0" collapsed="false">
      <c r="V10175" s="23" t="str">
        <f aca="false">IF(ISNUMBER(C10175),YEAR(C10175),"")</f>
        <v/>
      </c>
      <c r="W10175" s="23" t="str">
        <f aca="false">IF(ISNUMBER(C10175),MONTH(C10175),"")</f>
        <v/>
      </c>
      <c r="X10175" s="23" t="str">
        <f aca="false">IF(T10175="","",IF(T10175=0,"No discount",IF(T10175&lt;=0.2,"Low (1-20%)",IF(T10175&lt;=0.4,"Medium (21-40%)","High (&gt;40%)"))))</f>
        <v/>
      </c>
      <c r="Y10175" s="23" t="str">
        <f aca="false">IF(AND(ISNUMBER(C10175),ISNUMBER(D10175)),D10175-C10175,"")</f>
        <v/>
      </c>
      <c r="Z10175" s="23" t="str">
        <f aca="false">IF(B10175="","",IF(MATCH(B10175,$B$2:$B$12000,0)=ROW()-1,1,0))</f>
        <v/>
      </c>
    </row>
    <row r="10176" customFormat="false" ht="15" hidden="false" customHeight="false" outlineLevel="0" collapsed="false">
      <c r="V10176" s="23" t="str">
        <f aca="false">IF(ISNUMBER(C10176),YEAR(C10176),"")</f>
        <v/>
      </c>
      <c r="W10176" s="23" t="str">
        <f aca="false">IF(ISNUMBER(C10176),MONTH(C10176),"")</f>
        <v/>
      </c>
      <c r="X10176" s="23" t="str">
        <f aca="false">IF(T10176="","",IF(T10176=0,"No discount",IF(T10176&lt;=0.2,"Low (1-20%)",IF(T10176&lt;=0.4,"Medium (21-40%)","High (&gt;40%)"))))</f>
        <v/>
      </c>
      <c r="Y10176" s="23" t="str">
        <f aca="false">IF(AND(ISNUMBER(C10176),ISNUMBER(D10176)),D10176-C10176,"")</f>
        <v/>
      </c>
      <c r="Z10176" s="23" t="str">
        <f aca="false">IF(B10176="","",IF(MATCH(B10176,$B$2:$B$12000,0)=ROW()-1,1,0))</f>
        <v/>
      </c>
    </row>
    <row r="10177" customFormat="false" ht="15" hidden="false" customHeight="false" outlineLevel="0" collapsed="false">
      <c r="V10177" s="23" t="str">
        <f aca="false">IF(ISNUMBER(C10177),YEAR(C10177),"")</f>
        <v/>
      </c>
      <c r="W10177" s="23" t="str">
        <f aca="false">IF(ISNUMBER(C10177),MONTH(C10177),"")</f>
        <v/>
      </c>
      <c r="X10177" s="23" t="str">
        <f aca="false">IF(T10177="","",IF(T10177=0,"No discount",IF(T10177&lt;=0.2,"Low (1-20%)",IF(T10177&lt;=0.4,"Medium (21-40%)","High (&gt;40%)"))))</f>
        <v/>
      </c>
      <c r="Y10177" s="23" t="str">
        <f aca="false">IF(AND(ISNUMBER(C10177),ISNUMBER(D10177)),D10177-C10177,"")</f>
        <v/>
      </c>
      <c r="Z10177" s="23" t="str">
        <f aca="false">IF(B10177="","",IF(MATCH(B10177,$B$2:$B$12000,0)=ROW()-1,1,0))</f>
        <v/>
      </c>
    </row>
    <row r="10178" customFormat="false" ht="15" hidden="false" customHeight="false" outlineLevel="0" collapsed="false">
      <c r="V10178" s="23" t="str">
        <f aca="false">IF(ISNUMBER(C10178),YEAR(C10178),"")</f>
        <v/>
      </c>
      <c r="W10178" s="23" t="str">
        <f aca="false">IF(ISNUMBER(C10178),MONTH(C10178),"")</f>
        <v/>
      </c>
      <c r="X10178" s="23" t="str">
        <f aca="false">IF(T10178="","",IF(T10178=0,"No discount",IF(T10178&lt;=0.2,"Low (1-20%)",IF(T10178&lt;=0.4,"Medium (21-40%)","High (&gt;40%)"))))</f>
        <v/>
      </c>
      <c r="Y10178" s="23" t="str">
        <f aca="false">IF(AND(ISNUMBER(C10178),ISNUMBER(D10178)),D10178-C10178,"")</f>
        <v/>
      </c>
      <c r="Z10178" s="23" t="str">
        <f aca="false">IF(B10178="","",IF(MATCH(B10178,$B$2:$B$12000,0)=ROW()-1,1,0))</f>
        <v/>
      </c>
    </row>
    <row r="10179" customFormat="false" ht="15" hidden="false" customHeight="false" outlineLevel="0" collapsed="false">
      <c r="V10179" s="23" t="str">
        <f aca="false">IF(ISNUMBER(C10179),YEAR(C10179),"")</f>
        <v/>
      </c>
      <c r="W10179" s="23" t="str">
        <f aca="false">IF(ISNUMBER(C10179),MONTH(C10179),"")</f>
        <v/>
      </c>
      <c r="X10179" s="23" t="str">
        <f aca="false">IF(T10179="","",IF(T10179=0,"No discount",IF(T10179&lt;=0.2,"Low (1-20%)",IF(T10179&lt;=0.4,"Medium (21-40%)","High (&gt;40%)"))))</f>
        <v/>
      </c>
      <c r="Y10179" s="23" t="str">
        <f aca="false">IF(AND(ISNUMBER(C10179),ISNUMBER(D10179)),D10179-C10179,"")</f>
        <v/>
      </c>
      <c r="Z10179" s="23" t="str">
        <f aca="false">IF(B10179="","",IF(MATCH(B10179,$B$2:$B$12000,0)=ROW()-1,1,0))</f>
        <v/>
      </c>
    </row>
    <row r="10180" customFormat="false" ht="15" hidden="false" customHeight="false" outlineLevel="0" collapsed="false">
      <c r="V10180" s="23" t="str">
        <f aca="false">IF(ISNUMBER(C10180),YEAR(C10180),"")</f>
        <v/>
      </c>
      <c r="W10180" s="23" t="str">
        <f aca="false">IF(ISNUMBER(C10180),MONTH(C10180),"")</f>
        <v/>
      </c>
      <c r="X10180" s="23" t="str">
        <f aca="false">IF(T10180="","",IF(T10180=0,"No discount",IF(T10180&lt;=0.2,"Low (1-20%)",IF(T10180&lt;=0.4,"Medium (21-40%)","High (&gt;40%)"))))</f>
        <v/>
      </c>
      <c r="Y10180" s="23" t="str">
        <f aca="false">IF(AND(ISNUMBER(C10180),ISNUMBER(D10180)),D10180-C10180,"")</f>
        <v/>
      </c>
      <c r="Z10180" s="23" t="str">
        <f aca="false">IF(B10180="","",IF(MATCH(B10180,$B$2:$B$12000,0)=ROW()-1,1,0))</f>
        <v/>
      </c>
    </row>
    <row r="10181" customFormat="false" ht="15" hidden="false" customHeight="false" outlineLevel="0" collapsed="false">
      <c r="V10181" s="23" t="str">
        <f aca="false">IF(ISNUMBER(C10181),YEAR(C10181),"")</f>
        <v/>
      </c>
      <c r="W10181" s="23" t="str">
        <f aca="false">IF(ISNUMBER(C10181),MONTH(C10181),"")</f>
        <v/>
      </c>
      <c r="X10181" s="23" t="str">
        <f aca="false">IF(T10181="","",IF(T10181=0,"No discount",IF(T10181&lt;=0.2,"Low (1-20%)",IF(T10181&lt;=0.4,"Medium (21-40%)","High (&gt;40%)"))))</f>
        <v/>
      </c>
      <c r="Y10181" s="23" t="str">
        <f aca="false">IF(AND(ISNUMBER(C10181),ISNUMBER(D10181)),D10181-C10181,"")</f>
        <v/>
      </c>
      <c r="Z10181" s="23" t="str">
        <f aca="false">IF(B10181="","",IF(MATCH(B10181,$B$2:$B$12000,0)=ROW()-1,1,0))</f>
        <v/>
      </c>
    </row>
    <row r="10182" customFormat="false" ht="15" hidden="false" customHeight="false" outlineLevel="0" collapsed="false">
      <c r="V10182" s="23" t="str">
        <f aca="false">IF(ISNUMBER(C10182),YEAR(C10182),"")</f>
        <v/>
      </c>
      <c r="W10182" s="23" t="str">
        <f aca="false">IF(ISNUMBER(C10182),MONTH(C10182),"")</f>
        <v/>
      </c>
      <c r="X10182" s="23" t="str">
        <f aca="false">IF(T10182="","",IF(T10182=0,"No discount",IF(T10182&lt;=0.2,"Low (1-20%)",IF(T10182&lt;=0.4,"Medium (21-40%)","High (&gt;40%)"))))</f>
        <v/>
      </c>
      <c r="Y10182" s="23" t="str">
        <f aca="false">IF(AND(ISNUMBER(C10182),ISNUMBER(D10182)),D10182-C10182,"")</f>
        <v/>
      </c>
      <c r="Z10182" s="23" t="str">
        <f aca="false">IF(B10182="","",IF(MATCH(B10182,$B$2:$B$12000,0)=ROW()-1,1,0))</f>
        <v/>
      </c>
    </row>
    <row r="10183" customFormat="false" ht="15" hidden="false" customHeight="false" outlineLevel="0" collapsed="false">
      <c r="V10183" s="23" t="str">
        <f aca="false">IF(ISNUMBER(C10183),YEAR(C10183),"")</f>
        <v/>
      </c>
      <c r="W10183" s="23" t="str">
        <f aca="false">IF(ISNUMBER(C10183),MONTH(C10183),"")</f>
        <v/>
      </c>
      <c r="X10183" s="23" t="str">
        <f aca="false">IF(T10183="","",IF(T10183=0,"No discount",IF(T10183&lt;=0.2,"Low (1-20%)",IF(T10183&lt;=0.4,"Medium (21-40%)","High (&gt;40%)"))))</f>
        <v/>
      </c>
      <c r="Y10183" s="23" t="str">
        <f aca="false">IF(AND(ISNUMBER(C10183),ISNUMBER(D10183)),D10183-C10183,"")</f>
        <v/>
      </c>
      <c r="Z10183" s="23" t="str">
        <f aca="false">IF(B10183="","",IF(MATCH(B10183,$B$2:$B$12000,0)=ROW()-1,1,0))</f>
        <v/>
      </c>
    </row>
    <row r="10184" customFormat="false" ht="15" hidden="false" customHeight="false" outlineLevel="0" collapsed="false">
      <c r="V10184" s="23" t="str">
        <f aca="false">IF(ISNUMBER(C10184),YEAR(C10184),"")</f>
        <v/>
      </c>
      <c r="W10184" s="23" t="str">
        <f aca="false">IF(ISNUMBER(C10184),MONTH(C10184),"")</f>
        <v/>
      </c>
      <c r="X10184" s="23" t="str">
        <f aca="false">IF(T10184="","",IF(T10184=0,"No discount",IF(T10184&lt;=0.2,"Low (1-20%)",IF(T10184&lt;=0.4,"Medium (21-40%)","High (&gt;40%)"))))</f>
        <v/>
      </c>
      <c r="Y10184" s="23" t="str">
        <f aca="false">IF(AND(ISNUMBER(C10184),ISNUMBER(D10184)),D10184-C10184,"")</f>
        <v/>
      </c>
      <c r="Z10184" s="23" t="str">
        <f aca="false">IF(B10184="","",IF(MATCH(B10184,$B$2:$B$12000,0)=ROW()-1,1,0))</f>
        <v/>
      </c>
    </row>
    <row r="10185" customFormat="false" ht="15" hidden="false" customHeight="false" outlineLevel="0" collapsed="false">
      <c r="V10185" s="23" t="str">
        <f aca="false">IF(ISNUMBER(C10185),YEAR(C10185),"")</f>
        <v/>
      </c>
      <c r="W10185" s="23" t="str">
        <f aca="false">IF(ISNUMBER(C10185),MONTH(C10185),"")</f>
        <v/>
      </c>
      <c r="X10185" s="23" t="str">
        <f aca="false">IF(T10185="","",IF(T10185=0,"No discount",IF(T10185&lt;=0.2,"Low (1-20%)",IF(T10185&lt;=0.4,"Medium (21-40%)","High (&gt;40%)"))))</f>
        <v/>
      </c>
      <c r="Y10185" s="23" t="str">
        <f aca="false">IF(AND(ISNUMBER(C10185),ISNUMBER(D10185)),D10185-C10185,"")</f>
        <v/>
      </c>
      <c r="Z10185" s="23" t="str">
        <f aca="false">IF(B10185="","",IF(MATCH(B10185,$B$2:$B$12000,0)=ROW()-1,1,0))</f>
        <v/>
      </c>
    </row>
    <row r="10186" customFormat="false" ht="15" hidden="false" customHeight="false" outlineLevel="0" collapsed="false">
      <c r="V10186" s="23" t="str">
        <f aca="false">IF(ISNUMBER(C10186),YEAR(C10186),"")</f>
        <v/>
      </c>
      <c r="W10186" s="23" t="str">
        <f aca="false">IF(ISNUMBER(C10186),MONTH(C10186),"")</f>
        <v/>
      </c>
      <c r="X10186" s="23" t="str">
        <f aca="false">IF(T10186="","",IF(T10186=0,"No discount",IF(T10186&lt;=0.2,"Low (1-20%)",IF(T10186&lt;=0.4,"Medium (21-40%)","High (&gt;40%)"))))</f>
        <v/>
      </c>
      <c r="Y10186" s="23" t="str">
        <f aca="false">IF(AND(ISNUMBER(C10186),ISNUMBER(D10186)),D10186-C10186,"")</f>
        <v/>
      </c>
      <c r="Z10186" s="23" t="str">
        <f aca="false">IF(B10186="","",IF(MATCH(B10186,$B$2:$B$12000,0)=ROW()-1,1,0))</f>
        <v/>
      </c>
    </row>
    <row r="10187" customFormat="false" ht="15" hidden="false" customHeight="false" outlineLevel="0" collapsed="false">
      <c r="V10187" s="23" t="str">
        <f aca="false">IF(ISNUMBER(C10187),YEAR(C10187),"")</f>
        <v/>
      </c>
      <c r="W10187" s="23" t="str">
        <f aca="false">IF(ISNUMBER(C10187),MONTH(C10187),"")</f>
        <v/>
      </c>
      <c r="X10187" s="23" t="str">
        <f aca="false">IF(T10187="","",IF(T10187=0,"No discount",IF(T10187&lt;=0.2,"Low (1-20%)",IF(T10187&lt;=0.4,"Medium (21-40%)","High (&gt;40%)"))))</f>
        <v/>
      </c>
      <c r="Y10187" s="23" t="str">
        <f aca="false">IF(AND(ISNUMBER(C10187),ISNUMBER(D10187)),D10187-C10187,"")</f>
        <v/>
      </c>
      <c r="Z10187" s="23" t="str">
        <f aca="false">IF(B10187="","",IF(MATCH(B10187,$B$2:$B$12000,0)=ROW()-1,1,0))</f>
        <v/>
      </c>
    </row>
    <row r="10188" customFormat="false" ht="15" hidden="false" customHeight="false" outlineLevel="0" collapsed="false">
      <c r="V10188" s="23" t="str">
        <f aca="false">IF(ISNUMBER(C10188),YEAR(C10188),"")</f>
        <v/>
      </c>
      <c r="W10188" s="23" t="str">
        <f aca="false">IF(ISNUMBER(C10188),MONTH(C10188),"")</f>
        <v/>
      </c>
      <c r="X10188" s="23" t="str">
        <f aca="false">IF(T10188="","",IF(T10188=0,"No discount",IF(T10188&lt;=0.2,"Low (1-20%)",IF(T10188&lt;=0.4,"Medium (21-40%)","High (&gt;40%)"))))</f>
        <v/>
      </c>
      <c r="Y10188" s="23" t="str">
        <f aca="false">IF(AND(ISNUMBER(C10188),ISNUMBER(D10188)),D10188-C10188,"")</f>
        <v/>
      </c>
      <c r="Z10188" s="23" t="str">
        <f aca="false">IF(B10188="","",IF(MATCH(B10188,$B$2:$B$12000,0)=ROW()-1,1,0))</f>
        <v/>
      </c>
    </row>
    <row r="10189" customFormat="false" ht="15" hidden="false" customHeight="false" outlineLevel="0" collapsed="false">
      <c r="V10189" s="23" t="str">
        <f aca="false">IF(ISNUMBER(C10189),YEAR(C10189),"")</f>
        <v/>
      </c>
      <c r="W10189" s="23" t="str">
        <f aca="false">IF(ISNUMBER(C10189),MONTH(C10189),"")</f>
        <v/>
      </c>
      <c r="X10189" s="23" t="str">
        <f aca="false">IF(T10189="","",IF(T10189=0,"No discount",IF(T10189&lt;=0.2,"Low (1-20%)",IF(T10189&lt;=0.4,"Medium (21-40%)","High (&gt;40%)"))))</f>
        <v/>
      </c>
      <c r="Y10189" s="23" t="str">
        <f aca="false">IF(AND(ISNUMBER(C10189),ISNUMBER(D10189)),D10189-C10189,"")</f>
        <v/>
      </c>
      <c r="Z10189" s="23" t="str">
        <f aca="false">IF(B10189="","",IF(MATCH(B10189,$B$2:$B$12000,0)=ROW()-1,1,0))</f>
        <v/>
      </c>
    </row>
    <row r="10190" customFormat="false" ht="15" hidden="false" customHeight="false" outlineLevel="0" collapsed="false">
      <c r="V10190" s="23" t="str">
        <f aca="false">IF(ISNUMBER(C10190),YEAR(C10190),"")</f>
        <v/>
      </c>
      <c r="W10190" s="23" t="str">
        <f aca="false">IF(ISNUMBER(C10190),MONTH(C10190),"")</f>
        <v/>
      </c>
      <c r="X10190" s="23" t="str">
        <f aca="false">IF(T10190="","",IF(T10190=0,"No discount",IF(T10190&lt;=0.2,"Low (1-20%)",IF(T10190&lt;=0.4,"Medium (21-40%)","High (&gt;40%)"))))</f>
        <v/>
      </c>
      <c r="Y10190" s="23" t="str">
        <f aca="false">IF(AND(ISNUMBER(C10190),ISNUMBER(D10190)),D10190-C10190,"")</f>
        <v/>
      </c>
      <c r="Z10190" s="23" t="str">
        <f aca="false">IF(B10190="","",IF(MATCH(B10190,$B$2:$B$12000,0)=ROW()-1,1,0))</f>
        <v/>
      </c>
    </row>
    <row r="10191" customFormat="false" ht="15" hidden="false" customHeight="false" outlineLevel="0" collapsed="false">
      <c r="V10191" s="23" t="str">
        <f aca="false">IF(ISNUMBER(C10191),YEAR(C10191),"")</f>
        <v/>
      </c>
      <c r="W10191" s="23" t="str">
        <f aca="false">IF(ISNUMBER(C10191),MONTH(C10191),"")</f>
        <v/>
      </c>
      <c r="X10191" s="23" t="str">
        <f aca="false">IF(T10191="","",IF(T10191=0,"No discount",IF(T10191&lt;=0.2,"Low (1-20%)",IF(T10191&lt;=0.4,"Medium (21-40%)","High (&gt;40%)"))))</f>
        <v/>
      </c>
      <c r="Y10191" s="23" t="str">
        <f aca="false">IF(AND(ISNUMBER(C10191),ISNUMBER(D10191)),D10191-C10191,"")</f>
        <v/>
      </c>
      <c r="Z10191" s="23" t="str">
        <f aca="false">IF(B10191="","",IF(MATCH(B10191,$B$2:$B$12000,0)=ROW()-1,1,0))</f>
        <v/>
      </c>
    </row>
    <row r="10192" customFormat="false" ht="15" hidden="false" customHeight="false" outlineLevel="0" collapsed="false">
      <c r="V10192" s="23" t="str">
        <f aca="false">IF(ISNUMBER(C10192),YEAR(C10192),"")</f>
        <v/>
      </c>
      <c r="W10192" s="23" t="str">
        <f aca="false">IF(ISNUMBER(C10192),MONTH(C10192),"")</f>
        <v/>
      </c>
      <c r="X10192" s="23" t="str">
        <f aca="false">IF(T10192="","",IF(T10192=0,"No discount",IF(T10192&lt;=0.2,"Low (1-20%)",IF(T10192&lt;=0.4,"Medium (21-40%)","High (&gt;40%)"))))</f>
        <v/>
      </c>
      <c r="Y10192" s="23" t="str">
        <f aca="false">IF(AND(ISNUMBER(C10192),ISNUMBER(D10192)),D10192-C10192,"")</f>
        <v/>
      </c>
      <c r="Z10192" s="23" t="str">
        <f aca="false">IF(B10192="","",IF(MATCH(B10192,$B$2:$B$12000,0)=ROW()-1,1,0))</f>
        <v/>
      </c>
    </row>
    <row r="10193" customFormat="false" ht="15" hidden="false" customHeight="false" outlineLevel="0" collapsed="false">
      <c r="V10193" s="23" t="str">
        <f aca="false">IF(ISNUMBER(C10193),YEAR(C10193),"")</f>
        <v/>
      </c>
      <c r="W10193" s="23" t="str">
        <f aca="false">IF(ISNUMBER(C10193),MONTH(C10193),"")</f>
        <v/>
      </c>
      <c r="X10193" s="23" t="str">
        <f aca="false">IF(T10193="","",IF(T10193=0,"No discount",IF(T10193&lt;=0.2,"Low (1-20%)",IF(T10193&lt;=0.4,"Medium (21-40%)","High (&gt;40%)"))))</f>
        <v/>
      </c>
      <c r="Y10193" s="23" t="str">
        <f aca="false">IF(AND(ISNUMBER(C10193),ISNUMBER(D10193)),D10193-C10193,"")</f>
        <v/>
      </c>
      <c r="Z10193" s="23" t="str">
        <f aca="false">IF(B10193="","",IF(MATCH(B10193,$B$2:$B$12000,0)=ROW()-1,1,0))</f>
        <v/>
      </c>
    </row>
    <row r="10194" customFormat="false" ht="15" hidden="false" customHeight="false" outlineLevel="0" collapsed="false">
      <c r="V10194" s="23" t="str">
        <f aca="false">IF(ISNUMBER(C10194),YEAR(C10194),"")</f>
        <v/>
      </c>
      <c r="W10194" s="23" t="str">
        <f aca="false">IF(ISNUMBER(C10194),MONTH(C10194),"")</f>
        <v/>
      </c>
      <c r="X10194" s="23" t="str">
        <f aca="false">IF(T10194="","",IF(T10194=0,"No discount",IF(T10194&lt;=0.2,"Low (1-20%)",IF(T10194&lt;=0.4,"Medium (21-40%)","High (&gt;40%)"))))</f>
        <v/>
      </c>
      <c r="Y10194" s="23" t="str">
        <f aca="false">IF(AND(ISNUMBER(C10194),ISNUMBER(D10194)),D10194-C10194,"")</f>
        <v/>
      </c>
      <c r="Z10194" s="23" t="str">
        <f aca="false">IF(B10194="","",IF(MATCH(B10194,$B$2:$B$12000,0)=ROW()-1,1,0))</f>
        <v/>
      </c>
    </row>
    <row r="10195" customFormat="false" ht="15" hidden="false" customHeight="false" outlineLevel="0" collapsed="false">
      <c r="V10195" s="23" t="str">
        <f aca="false">IF(ISNUMBER(C10195),YEAR(C10195),"")</f>
        <v/>
      </c>
      <c r="W10195" s="23" t="str">
        <f aca="false">IF(ISNUMBER(C10195),MONTH(C10195),"")</f>
        <v/>
      </c>
      <c r="X10195" s="23" t="str">
        <f aca="false">IF(T10195="","",IF(T10195=0,"No discount",IF(T10195&lt;=0.2,"Low (1-20%)",IF(T10195&lt;=0.4,"Medium (21-40%)","High (&gt;40%)"))))</f>
        <v/>
      </c>
      <c r="Y10195" s="23" t="str">
        <f aca="false">IF(AND(ISNUMBER(C10195),ISNUMBER(D10195)),D10195-C10195,"")</f>
        <v/>
      </c>
      <c r="Z10195" s="23" t="str">
        <f aca="false">IF(B10195="","",IF(MATCH(B10195,$B$2:$B$12000,0)=ROW()-1,1,0))</f>
        <v/>
      </c>
    </row>
    <row r="10196" customFormat="false" ht="15" hidden="false" customHeight="false" outlineLevel="0" collapsed="false">
      <c r="V10196" s="23" t="str">
        <f aca="false">IF(ISNUMBER(C10196),YEAR(C10196),"")</f>
        <v/>
      </c>
      <c r="W10196" s="23" t="str">
        <f aca="false">IF(ISNUMBER(C10196),MONTH(C10196),"")</f>
        <v/>
      </c>
      <c r="X10196" s="23" t="str">
        <f aca="false">IF(T10196="","",IF(T10196=0,"No discount",IF(T10196&lt;=0.2,"Low (1-20%)",IF(T10196&lt;=0.4,"Medium (21-40%)","High (&gt;40%)"))))</f>
        <v/>
      </c>
      <c r="Y10196" s="23" t="str">
        <f aca="false">IF(AND(ISNUMBER(C10196),ISNUMBER(D10196)),D10196-C10196,"")</f>
        <v/>
      </c>
      <c r="Z10196" s="23" t="str">
        <f aca="false">IF(B10196="","",IF(MATCH(B10196,$B$2:$B$12000,0)=ROW()-1,1,0))</f>
        <v/>
      </c>
    </row>
    <row r="10197" customFormat="false" ht="15" hidden="false" customHeight="false" outlineLevel="0" collapsed="false">
      <c r="V10197" s="23" t="str">
        <f aca="false">IF(ISNUMBER(C10197),YEAR(C10197),"")</f>
        <v/>
      </c>
      <c r="W10197" s="23" t="str">
        <f aca="false">IF(ISNUMBER(C10197),MONTH(C10197),"")</f>
        <v/>
      </c>
      <c r="X10197" s="23" t="str">
        <f aca="false">IF(T10197="","",IF(T10197=0,"No discount",IF(T10197&lt;=0.2,"Low (1-20%)",IF(T10197&lt;=0.4,"Medium (21-40%)","High (&gt;40%)"))))</f>
        <v/>
      </c>
      <c r="Y10197" s="23" t="str">
        <f aca="false">IF(AND(ISNUMBER(C10197),ISNUMBER(D10197)),D10197-C10197,"")</f>
        <v/>
      </c>
      <c r="Z10197" s="23" t="str">
        <f aca="false">IF(B10197="","",IF(MATCH(B10197,$B$2:$B$12000,0)=ROW()-1,1,0))</f>
        <v/>
      </c>
    </row>
    <row r="10198" customFormat="false" ht="15" hidden="false" customHeight="false" outlineLevel="0" collapsed="false">
      <c r="V10198" s="23" t="str">
        <f aca="false">IF(ISNUMBER(C10198),YEAR(C10198),"")</f>
        <v/>
      </c>
      <c r="W10198" s="23" t="str">
        <f aca="false">IF(ISNUMBER(C10198),MONTH(C10198),"")</f>
        <v/>
      </c>
      <c r="X10198" s="23" t="str">
        <f aca="false">IF(T10198="","",IF(T10198=0,"No discount",IF(T10198&lt;=0.2,"Low (1-20%)",IF(T10198&lt;=0.4,"Medium (21-40%)","High (&gt;40%)"))))</f>
        <v/>
      </c>
      <c r="Y10198" s="23" t="str">
        <f aca="false">IF(AND(ISNUMBER(C10198),ISNUMBER(D10198)),D10198-C10198,"")</f>
        <v/>
      </c>
      <c r="Z10198" s="23" t="str">
        <f aca="false">IF(B10198="","",IF(MATCH(B10198,$B$2:$B$12000,0)=ROW()-1,1,0))</f>
        <v/>
      </c>
    </row>
    <row r="10199" customFormat="false" ht="15" hidden="false" customHeight="false" outlineLevel="0" collapsed="false">
      <c r="V10199" s="23" t="str">
        <f aca="false">IF(ISNUMBER(C10199),YEAR(C10199),"")</f>
        <v/>
      </c>
      <c r="W10199" s="23" t="str">
        <f aca="false">IF(ISNUMBER(C10199),MONTH(C10199),"")</f>
        <v/>
      </c>
      <c r="X10199" s="23" t="str">
        <f aca="false">IF(T10199="","",IF(T10199=0,"No discount",IF(T10199&lt;=0.2,"Low (1-20%)",IF(T10199&lt;=0.4,"Medium (21-40%)","High (&gt;40%)"))))</f>
        <v/>
      </c>
      <c r="Y10199" s="23" t="str">
        <f aca="false">IF(AND(ISNUMBER(C10199),ISNUMBER(D10199)),D10199-C10199,"")</f>
        <v/>
      </c>
      <c r="Z10199" s="23" t="str">
        <f aca="false">IF(B10199="","",IF(MATCH(B10199,$B$2:$B$12000,0)=ROW()-1,1,0))</f>
        <v/>
      </c>
    </row>
    <row r="10200" customFormat="false" ht="15" hidden="false" customHeight="false" outlineLevel="0" collapsed="false">
      <c r="V10200" s="23" t="str">
        <f aca="false">IF(ISNUMBER(C10200),YEAR(C10200),"")</f>
        <v/>
      </c>
      <c r="W10200" s="23" t="str">
        <f aca="false">IF(ISNUMBER(C10200),MONTH(C10200),"")</f>
        <v/>
      </c>
      <c r="X10200" s="23" t="str">
        <f aca="false">IF(T10200="","",IF(T10200=0,"No discount",IF(T10200&lt;=0.2,"Low (1-20%)",IF(T10200&lt;=0.4,"Medium (21-40%)","High (&gt;40%)"))))</f>
        <v/>
      </c>
      <c r="Y10200" s="23" t="str">
        <f aca="false">IF(AND(ISNUMBER(C10200),ISNUMBER(D10200)),D10200-C10200,"")</f>
        <v/>
      </c>
      <c r="Z10200" s="23" t="str">
        <f aca="false">IF(B10200="","",IF(MATCH(B10200,$B$2:$B$12000,0)=ROW()-1,1,0))</f>
        <v/>
      </c>
    </row>
    <row r="10201" customFormat="false" ht="15" hidden="false" customHeight="false" outlineLevel="0" collapsed="false">
      <c r="V10201" s="23" t="str">
        <f aca="false">IF(ISNUMBER(C10201),YEAR(C10201),"")</f>
        <v/>
      </c>
      <c r="W10201" s="23" t="str">
        <f aca="false">IF(ISNUMBER(C10201),MONTH(C10201),"")</f>
        <v/>
      </c>
      <c r="X10201" s="23" t="str">
        <f aca="false">IF(T10201="","",IF(T10201=0,"No discount",IF(T10201&lt;=0.2,"Low (1-20%)",IF(T10201&lt;=0.4,"Medium (21-40%)","High (&gt;40%)"))))</f>
        <v/>
      </c>
      <c r="Y10201" s="23" t="str">
        <f aca="false">IF(AND(ISNUMBER(C10201),ISNUMBER(D10201)),D10201-C10201,"")</f>
        <v/>
      </c>
      <c r="Z10201" s="23" t="str">
        <f aca="false">IF(B10201="","",IF(MATCH(B10201,$B$2:$B$12000,0)=ROW()-1,1,0))</f>
        <v/>
      </c>
    </row>
    <row r="10202" customFormat="false" ht="15" hidden="false" customHeight="false" outlineLevel="0" collapsed="false">
      <c r="V10202" s="23" t="str">
        <f aca="false">IF(ISNUMBER(C10202),YEAR(C10202),"")</f>
        <v/>
      </c>
      <c r="W10202" s="23" t="str">
        <f aca="false">IF(ISNUMBER(C10202),MONTH(C10202),"")</f>
        <v/>
      </c>
      <c r="X10202" s="23" t="str">
        <f aca="false">IF(T10202="","",IF(T10202=0,"No discount",IF(T10202&lt;=0.2,"Low (1-20%)",IF(T10202&lt;=0.4,"Medium (21-40%)","High (&gt;40%)"))))</f>
        <v/>
      </c>
      <c r="Y10202" s="23" t="str">
        <f aca="false">IF(AND(ISNUMBER(C10202),ISNUMBER(D10202)),D10202-C10202,"")</f>
        <v/>
      </c>
      <c r="Z10202" s="23" t="str">
        <f aca="false">IF(B10202="","",IF(MATCH(B10202,$B$2:$B$12000,0)=ROW()-1,1,0))</f>
        <v/>
      </c>
    </row>
    <row r="10203" customFormat="false" ht="15" hidden="false" customHeight="false" outlineLevel="0" collapsed="false">
      <c r="V10203" s="23" t="str">
        <f aca="false">IF(ISNUMBER(C10203),YEAR(C10203),"")</f>
        <v/>
      </c>
      <c r="W10203" s="23" t="str">
        <f aca="false">IF(ISNUMBER(C10203),MONTH(C10203),"")</f>
        <v/>
      </c>
      <c r="X10203" s="23" t="str">
        <f aca="false">IF(T10203="","",IF(T10203=0,"No discount",IF(T10203&lt;=0.2,"Low (1-20%)",IF(T10203&lt;=0.4,"Medium (21-40%)","High (&gt;40%)"))))</f>
        <v/>
      </c>
      <c r="Y10203" s="23" t="str">
        <f aca="false">IF(AND(ISNUMBER(C10203),ISNUMBER(D10203)),D10203-C10203,"")</f>
        <v/>
      </c>
      <c r="Z10203" s="23" t="str">
        <f aca="false">IF(B10203="","",IF(MATCH(B10203,$B$2:$B$12000,0)=ROW()-1,1,0))</f>
        <v/>
      </c>
    </row>
    <row r="10204" customFormat="false" ht="15" hidden="false" customHeight="false" outlineLevel="0" collapsed="false">
      <c r="V10204" s="23" t="str">
        <f aca="false">IF(ISNUMBER(C10204),YEAR(C10204),"")</f>
        <v/>
      </c>
      <c r="W10204" s="23" t="str">
        <f aca="false">IF(ISNUMBER(C10204),MONTH(C10204),"")</f>
        <v/>
      </c>
      <c r="X10204" s="23" t="str">
        <f aca="false">IF(T10204="","",IF(T10204=0,"No discount",IF(T10204&lt;=0.2,"Low (1-20%)",IF(T10204&lt;=0.4,"Medium (21-40%)","High (&gt;40%)"))))</f>
        <v/>
      </c>
      <c r="Y10204" s="23" t="str">
        <f aca="false">IF(AND(ISNUMBER(C10204),ISNUMBER(D10204)),D10204-C10204,"")</f>
        <v/>
      </c>
      <c r="Z10204" s="23" t="str">
        <f aca="false">IF(B10204="","",IF(MATCH(B10204,$B$2:$B$12000,0)=ROW()-1,1,0))</f>
        <v/>
      </c>
    </row>
    <row r="10205" customFormat="false" ht="15" hidden="false" customHeight="false" outlineLevel="0" collapsed="false">
      <c r="V10205" s="23" t="str">
        <f aca="false">IF(ISNUMBER(C10205),YEAR(C10205),"")</f>
        <v/>
      </c>
      <c r="W10205" s="23" t="str">
        <f aca="false">IF(ISNUMBER(C10205),MONTH(C10205),"")</f>
        <v/>
      </c>
      <c r="X10205" s="23" t="str">
        <f aca="false">IF(T10205="","",IF(T10205=0,"No discount",IF(T10205&lt;=0.2,"Low (1-20%)",IF(T10205&lt;=0.4,"Medium (21-40%)","High (&gt;40%)"))))</f>
        <v/>
      </c>
      <c r="Y10205" s="23" t="str">
        <f aca="false">IF(AND(ISNUMBER(C10205),ISNUMBER(D10205)),D10205-C10205,"")</f>
        <v/>
      </c>
      <c r="Z10205" s="23" t="str">
        <f aca="false">IF(B10205="","",IF(MATCH(B10205,$B$2:$B$12000,0)=ROW()-1,1,0))</f>
        <v/>
      </c>
    </row>
    <row r="10206" customFormat="false" ht="15" hidden="false" customHeight="false" outlineLevel="0" collapsed="false">
      <c r="V10206" s="23" t="str">
        <f aca="false">IF(ISNUMBER(C10206),YEAR(C10206),"")</f>
        <v/>
      </c>
      <c r="W10206" s="23" t="str">
        <f aca="false">IF(ISNUMBER(C10206),MONTH(C10206),"")</f>
        <v/>
      </c>
      <c r="X10206" s="23" t="str">
        <f aca="false">IF(T10206="","",IF(T10206=0,"No discount",IF(T10206&lt;=0.2,"Low (1-20%)",IF(T10206&lt;=0.4,"Medium (21-40%)","High (&gt;40%)"))))</f>
        <v/>
      </c>
      <c r="Y10206" s="23" t="str">
        <f aca="false">IF(AND(ISNUMBER(C10206),ISNUMBER(D10206)),D10206-C10206,"")</f>
        <v/>
      </c>
      <c r="Z10206" s="23" t="str">
        <f aca="false">IF(B10206="","",IF(MATCH(B10206,$B$2:$B$12000,0)=ROW()-1,1,0))</f>
        <v/>
      </c>
    </row>
    <row r="10207" customFormat="false" ht="15" hidden="false" customHeight="false" outlineLevel="0" collapsed="false">
      <c r="V10207" s="23" t="str">
        <f aca="false">IF(ISNUMBER(C10207),YEAR(C10207),"")</f>
        <v/>
      </c>
      <c r="W10207" s="23" t="str">
        <f aca="false">IF(ISNUMBER(C10207),MONTH(C10207),"")</f>
        <v/>
      </c>
      <c r="X10207" s="23" t="str">
        <f aca="false">IF(T10207="","",IF(T10207=0,"No discount",IF(T10207&lt;=0.2,"Low (1-20%)",IF(T10207&lt;=0.4,"Medium (21-40%)","High (&gt;40%)"))))</f>
        <v/>
      </c>
      <c r="Y10207" s="23" t="str">
        <f aca="false">IF(AND(ISNUMBER(C10207),ISNUMBER(D10207)),D10207-C10207,"")</f>
        <v/>
      </c>
      <c r="Z10207" s="23" t="str">
        <f aca="false">IF(B10207="","",IF(MATCH(B10207,$B$2:$B$12000,0)=ROW()-1,1,0))</f>
        <v/>
      </c>
    </row>
    <row r="10208" customFormat="false" ht="15" hidden="false" customHeight="false" outlineLevel="0" collapsed="false">
      <c r="V10208" s="23" t="str">
        <f aca="false">IF(ISNUMBER(C10208),YEAR(C10208),"")</f>
        <v/>
      </c>
      <c r="W10208" s="23" t="str">
        <f aca="false">IF(ISNUMBER(C10208),MONTH(C10208),"")</f>
        <v/>
      </c>
      <c r="X10208" s="23" t="str">
        <f aca="false">IF(T10208="","",IF(T10208=0,"No discount",IF(T10208&lt;=0.2,"Low (1-20%)",IF(T10208&lt;=0.4,"Medium (21-40%)","High (&gt;40%)"))))</f>
        <v/>
      </c>
      <c r="Y10208" s="23" t="str">
        <f aca="false">IF(AND(ISNUMBER(C10208),ISNUMBER(D10208)),D10208-C10208,"")</f>
        <v/>
      </c>
      <c r="Z10208" s="23" t="str">
        <f aca="false">IF(B10208="","",IF(MATCH(B10208,$B$2:$B$12000,0)=ROW()-1,1,0))</f>
        <v/>
      </c>
    </row>
    <row r="10209" customFormat="false" ht="15" hidden="false" customHeight="false" outlineLevel="0" collapsed="false">
      <c r="V10209" s="23" t="str">
        <f aca="false">IF(ISNUMBER(C10209),YEAR(C10209),"")</f>
        <v/>
      </c>
      <c r="W10209" s="23" t="str">
        <f aca="false">IF(ISNUMBER(C10209),MONTH(C10209),"")</f>
        <v/>
      </c>
      <c r="X10209" s="23" t="str">
        <f aca="false">IF(T10209="","",IF(T10209=0,"No discount",IF(T10209&lt;=0.2,"Low (1-20%)",IF(T10209&lt;=0.4,"Medium (21-40%)","High (&gt;40%)"))))</f>
        <v/>
      </c>
      <c r="Y10209" s="23" t="str">
        <f aca="false">IF(AND(ISNUMBER(C10209),ISNUMBER(D10209)),D10209-C10209,"")</f>
        <v/>
      </c>
      <c r="Z10209" s="23" t="str">
        <f aca="false">IF(B10209="","",IF(MATCH(B10209,$B$2:$B$12000,0)=ROW()-1,1,0))</f>
        <v/>
      </c>
    </row>
    <row r="10210" customFormat="false" ht="15" hidden="false" customHeight="false" outlineLevel="0" collapsed="false">
      <c r="V10210" s="23" t="str">
        <f aca="false">IF(ISNUMBER(C10210),YEAR(C10210),"")</f>
        <v/>
      </c>
      <c r="W10210" s="23" t="str">
        <f aca="false">IF(ISNUMBER(C10210),MONTH(C10210),"")</f>
        <v/>
      </c>
      <c r="X10210" s="23" t="str">
        <f aca="false">IF(T10210="","",IF(T10210=0,"No discount",IF(T10210&lt;=0.2,"Low (1-20%)",IF(T10210&lt;=0.4,"Medium (21-40%)","High (&gt;40%)"))))</f>
        <v/>
      </c>
      <c r="Y10210" s="23" t="str">
        <f aca="false">IF(AND(ISNUMBER(C10210),ISNUMBER(D10210)),D10210-C10210,"")</f>
        <v/>
      </c>
      <c r="Z10210" s="23" t="str">
        <f aca="false">IF(B10210="","",IF(MATCH(B10210,$B$2:$B$12000,0)=ROW()-1,1,0))</f>
        <v/>
      </c>
    </row>
    <row r="10211" customFormat="false" ht="15" hidden="false" customHeight="false" outlineLevel="0" collapsed="false">
      <c r="V10211" s="23" t="str">
        <f aca="false">IF(ISNUMBER(C10211),YEAR(C10211),"")</f>
        <v/>
      </c>
      <c r="W10211" s="23" t="str">
        <f aca="false">IF(ISNUMBER(C10211),MONTH(C10211),"")</f>
        <v/>
      </c>
      <c r="X10211" s="23" t="str">
        <f aca="false">IF(T10211="","",IF(T10211=0,"No discount",IF(T10211&lt;=0.2,"Low (1-20%)",IF(T10211&lt;=0.4,"Medium (21-40%)","High (&gt;40%)"))))</f>
        <v/>
      </c>
      <c r="Y10211" s="23" t="str">
        <f aca="false">IF(AND(ISNUMBER(C10211),ISNUMBER(D10211)),D10211-C10211,"")</f>
        <v/>
      </c>
      <c r="Z10211" s="23" t="str">
        <f aca="false">IF(B10211="","",IF(MATCH(B10211,$B$2:$B$12000,0)=ROW()-1,1,0))</f>
        <v/>
      </c>
    </row>
    <row r="10212" customFormat="false" ht="15" hidden="false" customHeight="false" outlineLevel="0" collapsed="false">
      <c r="V10212" s="23" t="str">
        <f aca="false">IF(ISNUMBER(C10212),YEAR(C10212),"")</f>
        <v/>
      </c>
      <c r="W10212" s="23" t="str">
        <f aca="false">IF(ISNUMBER(C10212),MONTH(C10212),"")</f>
        <v/>
      </c>
      <c r="X10212" s="23" t="str">
        <f aca="false">IF(T10212="","",IF(T10212=0,"No discount",IF(T10212&lt;=0.2,"Low (1-20%)",IF(T10212&lt;=0.4,"Medium (21-40%)","High (&gt;40%)"))))</f>
        <v/>
      </c>
      <c r="Y10212" s="23" t="str">
        <f aca="false">IF(AND(ISNUMBER(C10212),ISNUMBER(D10212)),D10212-C10212,"")</f>
        <v/>
      </c>
      <c r="Z10212" s="23" t="str">
        <f aca="false">IF(B10212="","",IF(MATCH(B10212,$B$2:$B$12000,0)=ROW()-1,1,0))</f>
        <v/>
      </c>
    </row>
    <row r="10213" customFormat="false" ht="15" hidden="false" customHeight="false" outlineLevel="0" collapsed="false">
      <c r="V10213" s="23" t="str">
        <f aca="false">IF(ISNUMBER(C10213),YEAR(C10213),"")</f>
        <v/>
      </c>
      <c r="W10213" s="23" t="str">
        <f aca="false">IF(ISNUMBER(C10213),MONTH(C10213),"")</f>
        <v/>
      </c>
      <c r="X10213" s="23" t="str">
        <f aca="false">IF(T10213="","",IF(T10213=0,"No discount",IF(T10213&lt;=0.2,"Low (1-20%)",IF(T10213&lt;=0.4,"Medium (21-40%)","High (&gt;40%)"))))</f>
        <v/>
      </c>
      <c r="Y10213" s="23" t="str">
        <f aca="false">IF(AND(ISNUMBER(C10213),ISNUMBER(D10213)),D10213-C10213,"")</f>
        <v/>
      </c>
      <c r="Z10213" s="23" t="str">
        <f aca="false">IF(B10213="","",IF(MATCH(B10213,$B$2:$B$12000,0)=ROW()-1,1,0))</f>
        <v/>
      </c>
    </row>
    <row r="10214" customFormat="false" ht="15" hidden="false" customHeight="false" outlineLevel="0" collapsed="false">
      <c r="V10214" s="23" t="str">
        <f aca="false">IF(ISNUMBER(C10214),YEAR(C10214),"")</f>
        <v/>
      </c>
      <c r="W10214" s="23" t="str">
        <f aca="false">IF(ISNUMBER(C10214),MONTH(C10214),"")</f>
        <v/>
      </c>
      <c r="X10214" s="23" t="str">
        <f aca="false">IF(T10214="","",IF(T10214=0,"No discount",IF(T10214&lt;=0.2,"Low (1-20%)",IF(T10214&lt;=0.4,"Medium (21-40%)","High (&gt;40%)"))))</f>
        <v/>
      </c>
      <c r="Y10214" s="23" t="str">
        <f aca="false">IF(AND(ISNUMBER(C10214),ISNUMBER(D10214)),D10214-C10214,"")</f>
        <v/>
      </c>
      <c r="Z10214" s="23" t="str">
        <f aca="false">IF(B10214="","",IF(MATCH(B10214,$B$2:$B$12000,0)=ROW()-1,1,0))</f>
        <v/>
      </c>
    </row>
    <row r="10215" customFormat="false" ht="15" hidden="false" customHeight="false" outlineLevel="0" collapsed="false">
      <c r="V10215" s="23" t="str">
        <f aca="false">IF(ISNUMBER(C10215),YEAR(C10215),"")</f>
        <v/>
      </c>
      <c r="W10215" s="23" t="str">
        <f aca="false">IF(ISNUMBER(C10215),MONTH(C10215),"")</f>
        <v/>
      </c>
      <c r="X10215" s="23" t="str">
        <f aca="false">IF(T10215="","",IF(T10215=0,"No discount",IF(T10215&lt;=0.2,"Low (1-20%)",IF(T10215&lt;=0.4,"Medium (21-40%)","High (&gt;40%)"))))</f>
        <v/>
      </c>
      <c r="Y10215" s="23" t="str">
        <f aca="false">IF(AND(ISNUMBER(C10215),ISNUMBER(D10215)),D10215-C10215,"")</f>
        <v/>
      </c>
      <c r="Z10215" s="23" t="str">
        <f aca="false">IF(B10215="","",IF(MATCH(B10215,$B$2:$B$12000,0)=ROW()-1,1,0))</f>
        <v/>
      </c>
    </row>
    <row r="10216" customFormat="false" ht="15" hidden="false" customHeight="false" outlineLevel="0" collapsed="false">
      <c r="V10216" s="23" t="str">
        <f aca="false">IF(ISNUMBER(C10216),YEAR(C10216),"")</f>
        <v/>
      </c>
      <c r="W10216" s="23" t="str">
        <f aca="false">IF(ISNUMBER(C10216),MONTH(C10216),"")</f>
        <v/>
      </c>
      <c r="X10216" s="23" t="str">
        <f aca="false">IF(T10216="","",IF(T10216=0,"No discount",IF(T10216&lt;=0.2,"Low (1-20%)",IF(T10216&lt;=0.4,"Medium (21-40%)","High (&gt;40%)"))))</f>
        <v/>
      </c>
      <c r="Y10216" s="23" t="str">
        <f aca="false">IF(AND(ISNUMBER(C10216),ISNUMBER(D10216)),D10216-C10216,"")</f>
        <v/>
      </c>
      <c r="Z10216" s="23" t="str">
        <f aca="false">IF(B10216="","",IF(MATCH(B10216,$B$2:$B$12000,0)=ROW()-1,1,0))</f>
        <v/>
      </c>
    </row>
    <row r="10217" customFormat="false" ht="15" hidden="false" customHeight="false" outlineLevel="0" collapsed="false">
      <c r="V10217" s="23" t="str">
        <f aca="false">IF(ISNUMBER(C10217),YEAR(C10217),"")</f>
        <v/>
      </c>
      <c r="W10217" s="23" t="str">
        <f aca="false">IF(ISNUMBER(C10217),MONTH(C10217),"")</f>
        <v/>
      </c>
      <c r="X10217" s="23" t="str">
        <f aca="false">IF(T10217="","",IF(T10217=0,"No discount",IF(T10217&lt;=0.2,"Low (1-20%)",IF(T10217&lt;=0.4,"Medium (21-40%)","High (&gt;40%)"))))</f>
        <v/>
      </c>
      <c r="Y10217" s="23" t="str">
        <f aca="false">IF(AND(ISNUMBER(C10217),ISNUMBER(D10217)),D10217-C10217,"")</f>
        <v/>
      </c>
      <c r="Z10217" s="23" t="str">
        <f aca="false">IF(B10217="","",IF(MATCH(B10217,$B$2:$B$12000,0)=ROW()-1,1,0))</f>
        <v/>
      </c>
    </row>
    <row r="10218" customFormat="false" ht="15" hidden="false" customHeight="false" outlineLevel="0" collapsed="false">
      <c r="V10218" s="23" t="str">
        <f aca="false">IF(ISNUMBER(C10218),YEAR(C10218),"")</f>
        <v/>
      </c>
      <c r="W10218" s="23" t="str">
        <f aca="false">IF(ISNUMBER(C10218),MONTH(C10218),"")</f>
        <v/>
      </c>
      <c r="X10218" s="23" t="str">
        <f aca="false">IF(T10218="","",IF(T10218=0,"No discount",IF(T10218&lt;=0.2,"Low (1-20%)",IF(T10218&lt;=0.4,"Medium (21-40%)","High (&gt;40%)"))))</f>
        <v/>
      </c>
      <c r="Y10218" s="23" t="str">
        <f aca="false">IF(AND(ISNUMBER(C10218),ISNUMBER(D10218)),D10218-C10218,"")</f>
        <v/>
      </c>
      <c r="Z10218" s="23" t="str">
        <f aca="false">IF(B10218="","",IF(MATCH(B10218,$B$2:$B$12000,0)=ROW()-1,1,0))</f>
        <v/>
      </c>
    </row>
    <row r="10219" customFormat="false" ht="15" hidden="false" customHeight="false" outlineLevel="0" collapsed="false">
      <c r="V10219" s="23" t="str">
        <f aca="false">IF(ISNUMBER(C10219),YEAR(C10219),"")</f>
        <v/>
      </c>
      <c r="W10219" s="23" t="str">
        <f aca="false">IF(ISNUMBER(C10219),MONTH(C10219),"")</f>
        <v/>
      </c>
      <c r="X10219" s="23" t="str">
        <f aca="false">IF(T10219="","",IF(T10219=0,"No discount",IF(T10219&lt;=0.2,"Low (1-20%)",IF(T10219&lt;=0.4,"Medium (21-40%)","High (&gt;40%)"))))</f>
        <v/>
      </c>
      <c r="Y10219" s="23" t="str">
        <f aca="false">IF(AND(ISNUMBER(C10219),ISNUMBER(D10219)),D10219-C10219,"")</f>
        <v/>
      </c>
      <c r="Z10219" s="23" t="str">
        <f aca="false">IF(B10219="","",IF(MATCH(B10219,$B$2:$B$12000,0)=ROW()-1,1,0))</f>
        <v/>
      </c>
    </row>
    <row r="10220" customFormat="false" ht="15" hidden="false" customHeight="false" outlineLevel="0" collapsed="false">
      <c r="V10220" s="23" t="str">
        <f aca="false">IF(ISNUMBER(C10220),YEAR(C10220),"")</f>
        <v/>
      </c>
      <c r="W10220" s="23" t="str">
        <f aca="false">IF(ISNUMBER(C10220),MONTH(C10220),"")</f>
        <v/>
      </c>
      <c r="X10220" s="23" t="str">
        <f aca="false">IF(T10220="","",IF(T10220=0,"No discount",IF(T10220&lt;=0.2,"Low (1-20%)",IF(T10220&lt;=0.4,"Medium (21-40%)","High (&gt;40%)"))))</f>
        <v/>
      </c>
      <c r="Y10220" s="23" t="str">
        <f aca="false">IF(AND(ISNUMBER(C10220),ISNUMBER(D10220)),D10220-C10220,"")</f>
        <v/>
      </c>
      <c r="Z10220" s="23" t="str">
        <f aca="false">IF(B10220="","",IF(MATCH(B10220,$B$2:$B$12000,0)=ROW()-1,1,0))</f>
        <v/>
      </c>
    </row>
    <row r="10221" customFormat="false" ht="15" hidden="false" customHeight="false" outlineLevel="0" collapsed="false">
      <c r="V10221" s="23" t="str">
        <f aca="false">IF(ISNUMBER(C10221),YEAR(C10221),"")</f>
        <v/>
      </c>
      <c r="W10221" s="23" t="str">
        <f aca="false">IF(ISNUMBER(C10221),MONTH(C10221),"")</f>
        <v/>
      </c>
      <c r="X10221" s="23" t="str">
        <f aca="false">IF(T10221="","",IF(T10221=0,"No discount",IF(T10221&lt;=0.2,"Low (1-20%)",IF(T10221&lt;=0.4,"Medium (21-40%)","High (&gt;40%)"))))</f>
        <v/>
      </c>
      <c r="Y10221" s="23" t="str">
        <f aca="false">IF(AND(ISNUMBER(C10221),ISNUMBER(D10221)),D10221-C10221,"")</f>
        <v/>
      </c>
      <c r="Z10221" s="23" t="str">
        <f aca="false">IF(B10221="","",IF(MATCH(B10221,$B$2:$B$12000,0)=ROW()-1,1,0))</f>
        <v/>
      </c>
    </row>
    <row r="10222" customFormat="false" ht="15" hidden="false" customHeight="false" outlineLevel="0" collapsed="false">
      <c r="V10222" s="23" t="str">
        <f aca="false">IF(ISNUMBER(C10222),YEAR(C10222),"")</f>
        <v/>
      </c>
      <c r="W10222" s="23" t="str">
        <f aca="false">IF(ISNUMBER(C10222),MONTH(C10222),"")</f>
        <v/>
      </c>
      <c r="X10222" s="23" t="str">
        <f aca="false">IF(T10222="","",IF(T10222=0,"No discount",IF(T10222&lt;=0.2,"Low (1-20%)",IF(T10222&lt;=0.4,"Medium (21-40%)","High (&gt;40%)"))))</f>
        <v/>
      </c>
      <c r="Y10222" s="23" t="str">
        <f aca="false">IF(AND(ISNUMBER(C10222),ISNUMBER(D10222)),D10222-C10222,"")</f>
        <v/>
      </c>
      <c r="Z10222" s="23" t="str">
        <f aca="false">IF(B10222="","",IF(MATCH(B10222,$B$2:$B$12000,0)=ROW()-1,1,0))</f>
        <v/>
      </c>
    </row>
    <row r="10223" customFormat="false" ht="15" hidden="false" customHeight="false" outlineLevel="0" collapsed="false">
      <c r="V10223" s="23" t="str">
        <f aca="false">IF(ISNUMBER(C10223),YEAR(C10223),"")</f>
        <v/>
      </c>
      <c r="W10223" s="23" t="str">
        <f aca="false">IF(ISNUMBER(C10223),MONTH(C10223),"")</f>
        <v/>
      </c>
      <c r="X10223" s="23" t="str">
        <f aca="false">IF(T10223="","",IF(T10223=0,"No discount",IF(T10223&lt;=0.2,"Low (1-20%)",IF(T10223&lt;=0.4,"Medium (21-40%)","High (&gt;40%)"))))</f>
        <v/>
      </c>
      <c r="Y10223" s="23" t="str">
        <f aca="false">IF(AND(ISNUMBER(C10223),ISNUMBER(D10223)),D10223-C10223,"")</f>
        <v/>
      </c>
      <c r="Z10223" s="23" t="str">
        <f aca="false">IF(B10223="","",IF(MATCH(B10223,$B$2:$B$12000,0)=ROW()-1,1,0))</f>
        <v/>
      </c>
    </row>
    <row r="10224" customFormat="false" ht="15" hidden="false" customHeight="false" outlineLevel="0" collapsed="false">
      <c r="V10224" s="23" t="str">
        <f aca="false">IF(ISNUMBER(C10224),YEAR(C10224),"")</f>
        <v/>
      </c>
      <c r="W10224" s="23" t="str">
        <f aca="false">IF(ISNUMBER(C10224),MONTH(C10224),"")</f>
        <v/>
      </c>
      <c r="X10224" s="23" t="str">
        <f aca="false">IF(T10224="","",IF(T10224=0,"No discount",IF(T10224&lt;=0.2,"Low (1-20%)",IF(T10224&lt;=0.4,"Medium (21-40%)","High (&gt;40%)"))))</f>
        <v/>
      </c>
      <c r="Y10224" s="23" t="str">
        <f aca="false">IF(AND(ISNUMBER(C10224),ISNUMBER(D10224)),D10224-C10224,"")</f>
        <v/>
      </c>
      <c r="Z10224" s="23" t="str">
        <f aca="false">IF(B10224="","",IF(MATCH(B10224,$B$2:$B$12000,0)=ROW()-1,1,0))</f>
        <v/>
      </c>
    </row>
    <row r="10225" customFormat="false" ht="15" hidden="false" customHeight="false" outlineLevel="0" collapsed="false">
      <c r="V10225" s="23" t="str">
        <f aca="false">IF(ISNUMBER(C10225),YEAR(C10225),"")</f>
        <v/>
      </c>
      <c r="W10225" s="23" t="str">
        <f aca="false">IF(ISNUMBER(C10225),MONTH(C10225),"")</f>
        <v/>
      </c>
      <c r="X10225" s="23" t="str">
        <f aca="false">IF(T10225="","",IF(T10225=0,"No discount",IF(T10225&lt;=0.2,"Low (1-20%)",IF(T10225&lt;=0.4,"Medium (21-40%)","High (&gt;40%)"))))</f>
        <v/>
      </c>
      <c r="Y10225" s="23" t="str">
        <f aca="false">IF(AND(ISNUMBER(C10225),ISNUMBER(D10225)),D10225-C10225,"")</f>
        <v/>
      </c>
      <c r="Z10225" s="23" t="str">
        <f aca="false">IF(B10225="","",IF(MATCH(B10225,$B$2:$B$12000,0)=ROW()-1,1,0))</f>
        <v/>
      </c>
    </row>
    <row r="10226" customFormat="false" ht="15" hidden="false" customHeight="false" outlineLevel="0" collapsed="false">
      <c r="V10226" s="23" t="str">
        <f aca="false">IF(ISNUMBER(C10226),YEAR(C10226),"")</f>
        <v/>
      </c>
      <c r="W10226" s="23" t="str">
        <f aca="false">IF(ISNUMBER(C10226),MONTH(C10226),"")</f>
        <v/>
      </c>
      <c r="X10226" s="23" t="str">
        <f aca="false">IF(T10226="","",IF(T10226=0,"No discount",IF(T10226&lt;=0.2,"Low (1-20%)",IF(T10226&lt;=0.4,"Medium (21-40%)","High (&gt;40%)"))))</f>
        <v/>
      </c>
      <c r="Y10226" s="23" t="str">
        <f aca="false">IF(AND(ISNUMBER(C10226),ISNUMBER(D10226)),D10226-C10226,"")</f>
        <v/>
      </c>
      <c r="Z10226" s="23" t="str">
        <f aca="false">IF(B10226="","",IF(MATCH(B10226,$B$2:$B$12000,0)=ROW()-1,1,0))</f>
        <v/>
      </c>
    </row>
    <row r="10227" customFormat="false" ht="15" hidden="false" customHeight="false" outlineLevel="0" collapsed="false">
      <c r="V10227" s="23" t="str">
        <f aca="false">IF(ISNUMBER(C10227),YEAR(C10227),"")</f>
        <v/>
      </c>
      <c r="W10227" s="23" t="str">
        <f aca="false">IF(ISNUMBER(C10227),MONTH(C10227),"")</f>
        <v/>
      </c>
      <c r="X10227" s="23" t="str">
        <f aca="false">IF(T10227="","",IF(T10227=0,"No discount",IF(T10227&lt;=0.2,"Low (1-20%)",IF(T10227&lt;=0.4,"Medium (21-40%)","High (&gt;40%)"))))</f>
        <v/>
      </c>
      <c r="Y10227" s="23" t="str">
        <f aca="false">IF(AND(ISNUMBER(C10227),ISNUMBER(D10227)),D10227-C10227,"")</f>
        <v/>
      </c>
      <c r="Z10227" s="23" t="str">
        <f aca="false">IF(B10227="","",IF(MATCH(B10227,$B$2:$B$12000,0)=ROW()-1,1,0))</f>
        <v/>
      </c>
    </row>
    <row r="10228" customFormat="false" ht="15" hidden="false" customHeight="false" outlineLevel="0" collapsed="false">
      <c r="V10228" s="23" t="str">
        <f aca="false">IF(ISNUMBER(C10228),YEAR(C10228),"")</f>
        <v/>
      </c>
      <c r="W10228" s="23" t="str">
        <f aca="false">IF(ISNUMBER(C10228),MONTH(C10228),"")</f>
        <v/>
      </c>
      <c r="X10228" s="23" t="str">
        <f aca="false">IF(T10228="","",IF(T10228=0,"No discount",IF(T10228&lt;=0.2,"Low (1-20%)",IF(T10228&lt;=0.4,"Medium (21-40%)","High (&gt;40%)"))))</f>
        <v/>
      </c>
      <c r="Y10228" s="23" t="str">
        <f aca="false">IF(AND(ISNUMBER(C10228),ISNUMBER(D10228)),D10228-C10228,"")</f>
        <v/>
      </c>
      <c r="Z10228" s="23" t="str">
        <f aca="false">IF(B10228="","",IF(MATCH(B10228,$B$2:$B$12000,0)=ROW()-1,1,0))</f>
        <v/>
      </c>
    </row>
    <row r="10229" customFormat="false" ht="15" hidden="false" customHeight="false" outlineLevel="0" collapsed="false">
      <c r="V10229" s="23" t="str">
        <f aca="false">IF(ISNUMBER(C10229),YEAR(C10229),"")</f>
        <v/>
      </c>
      <c r="W10229" s="23" t="str">
        <f aca="false">IF(ISNUMBER(C10229),MONTH(C10229),"")</f>
        <v/>
      </c>
      <c r="X10229" s="23" t="str">
        <f aca="false">IF(T10229="","",IF(T10229=0,"No discount",IF(T10229&lt;=0.2,"Low (1-20%)",IF(T10229&lt;=0.4,"Medium (21-40%)","High (&gt;40%)"))))</f>
        <v/>
      </c>
      <c r="Y10229" s="23" t="str">
        <f aca="false">IF(AND(ISNUMBER(C10229),ISNUMBER(D10229)),D10229-C10229,"")</f>
        <v/>
      </c>
      <c r="Z10229" s="23" t="str">
        <f aca="false">IF(B10229="","",IF(MATCH(B10229,$B$2:$B$12000,0)=ROW()-1,1,0))</f>
        <v/>
      </c>
    </row>
    <row r="10230" customFormat="false" ht="15" hidden="false" customHeight="false" outlineLevel="0" collapsed="false">
      <c r="V10230" s="23" t="str">
        <f aca="false">IF(ISNUMBER(C10230),YEAR(C10230),"")</f>
        <v/>
      </c>
      <c r="W10230" s="23" t="str">
        <f aca="false">IF(ISNUMBER(C10230),MONTH(C10230),"")</f>
        <v/>
      </c>
      <c r="X10230" s="23" t="str">
        <f aca="false">IF(T10230="","",IF(T10230=0,"No discount",IF(T10230&lt;=0.2,"Low (1-20%)",IF(T10230&lt;=0.4,"Medium (21-40%)","High (&gt;40%)"))))</f>
        <v/>
      </c>
      <c r="Y10230" s="23" t="str">
        <f aca="false">IF(AND(ISNUMBER(C10230),ISNUMBER(D10230)),D10230-C10230,"")</f>
        <v/>
      </c>
      <c r="Z10230" s="23" t="str">
        <f aca="false">IF(B10230="","",IF(MATCH(B10230,$B$2:$B$12000,0)=ROW()-1,1,0))</f>
        <v/>
      </c>
    </row>
    <row r="10231" customFormat="false" ht="15" hidden="false" customHeight="false" outlineLevel="0" collapsed="false">
      <c r="V10231" s="23" t="str">
        <f aca="false">IF(ISNUMBER(C10231),YEAR(C10231),"")</f>
        <v/>
      </c>
      <c r="W10231" s="23" t="str">
        <f aca="false">IF(ISNUMBER(C10231),MONTH(C10231),"")</f>
        <v/>
      </c>
      <c r="X10231" s="23" t="str">
        <f aca="false">IF(T10231="","",IF(T10231=0,"No discount",IF(T10231&lt;=0.2,"Low (1-20%)",IF(T10231&lt;=0.4,"Medium (21-40%)","High (&gt;40%)"))))</f>
        <v/>
      </c>
      <c r="Y10231" s="23" t="str">
        <f aca="false">IF(AND(ISNUMBER(C10231),ISNUMBER(D10231)),D10231-C10231,"")</f>
        <v/>
      </c>
      <c r="Z10231" s="23" t="str">
        <f aca="false">IF(B10231="","",IF(MATCH(B10231,$B$2:$B$12000,0)=ROW()-1,1,0))</f>
        <v/>
      </c>
    </row>
    <row r="10232" customFormat="false" ht="15" hidden="false" customHeight="false" outlineLevel="0" collapsed="false">
      <c r="V10232" s="23" t="str">
        <f aca="false">IF(ISNUMBER(C10232),YEAR(C10232),"")</f>
        <v/>
      </c>
      <c r="W10232" s="23" t="str">
        <f aca="false">IF(ISNUMBER(C10232),MONTH(C10232),"")</f>
        <v/>
      </c>
      <c r="X10232" s="23" t="str">
        <f aca="false">IF(T10232="","",IF(T10232=0,"No discount",IF(T10232&lt;=0.2,"Low (1-20%)",IF(T10232&lt;=0.4,"Medium (21-40%)","High (&gt;40%)"))))</f>
        <v/>
      </c>
      <c r="Y10232" s="23" t="str">
        <f aca="false">IF(AND(ISNUMBER(C10232),ISNUMBER(D10232)),D10232-C10232,"")</f>
        <v/>
      </c>
      <c r="Z10232" s="23" t="str">
        <f aca="false">IF(B10232="","",IF(MATCH(B10232,$B$2:$B$12000,0)=ROW()-1,1,0))</f>
        <v/>
      </c>
    </row>
    <row r="10233" customFormat="false" ht="15" hidden="false" customHeight="false" outlineLevel="0" collapsed="false">
      <c r="V10233" s="23" t="str">
        <f aca="false">IF(ISNUMBER(C10233),YEAR(C10233),"")</f>
        <v/>
      </c>
      <c r="W10233" s="23" t="str">
        <f aca="false">IF(ISNUMBER(C10233),MONTH(C10233),"")</f>
        <v/>
      </c>
      <c r="X10233" s="23" t="str">
        <f aca="false">IF(T10233="","",IF(T10233=0,"No discount",IF(T10233&lt;=0.2,"Low (1-20%)",IF(T10233&lt;=0.4,"Medium (21-40%)","High (&gt;40%)"))))</f>
        <v/>
      </c>
      <c r="Y10233" s="23" t="str">
        <f aca="false">IF(AND(ISNUMBER(C10233),ISNUMBER(D10233)),D10233-C10233,"")</f>
        <v/>
      </c>
      <c r="Z10233" s="23" t="str">
        <f aca="false">IF(B10233="","",IF(MATCH(B10233,$B$2:$B$12000,0)=ROW()-1,1,0))</f>
        <v/>
      </c>
    </row>
    <row r="10234" customFormat="false" ht="15" hidden="false" customHeight="false" outlineLevel="0" collapsed="false">
      <c r="V10234" s="23" t="str">
        <f aca="false">IF(ISNUMBER(C10234),YEAR(C10234),"")</f>
        <v/>
      </c>
      <c r="W10234" s="23" t="str">
        <f aca="false">IF(ISNUMBER(C10234),MONTH(C10234),"")</f>
        <v/>
      </c>
      <c r="X10234" s="23" t="str">
        <f aca="false">IF(T10234="","",IF(T10234=0,"No discount",IF(T10234&lt;=0.2,"Low (1-20%)",IF(T10234&lt;=0.4,"Medium (21-40%)","High (&gt;40%)"))))</f>
        <v/>
      </c>
      <c r="Y10234" s="23" t="str">
        <f aca="false">IF(AND(ISNUMBER(C10234),ISNUMBER(D10234)),D10234-C10234,"")</f>
        <v/>
      </c>
      <c r="Z10234" s="23" t="str">
        <f aca="false">IF(B10234="","",IF(MATCH(B10234,$B$2:$B$12000,0)=ROW()-1,1,0))</f>
        <v/>
      </c>
    </row>
    <row r="10235" customFormat="false" ht="15" hidden="false" customHeight="false" outlineLevel="0" collapsed="false">
      <c r="V10235" s="23" t="str">
        <f aca="false">IF(ISNUMBER(C10235),YEAR(C10235),"")</f>
        <v/>
      </c>
      <c r="W10235" s="23" t="str">
        <f aca="false">IF(ISNUMBER(C10235),MONTH(C10235),"")</f>
        <v/>
      </c>
      <c r="X10235" s="23" t="str">
        <f aca="false">IF(T10235="","",IF(T10235=0,"No discount",IF(T10235&lt;=0.2,"Low (1-20%)",IF(T10235&lt;=0.4,"Medium (21-40%)","High (&gt;40%)"))))</f>
        <v/>
      </c>
      <c r="Y10235" s="23" t="str">
        <f aca="false">IF(AND(ISNUMBER(C10235),ISNUMBER(D10235)),D10235-C10235,"")</f>
        <v/>
      </c>
      <c r="Z10235" s="23" t="str">
        <f aca="false">IF(B10235="","",IF(MATCH(B10235,$B$2:$B$12000,0)=ROW()-1,1,0))</f>
        <v/>
      </c>
    </row>
    <row r="10236" customFormat="false" ht="15" hidden="false" customHeight="false" outlineLevel="0" collapsed="false">
      <c r="V10236" s="23" t="str">
        <f aca="false">IF(ISNUMBER(C10236),YEAR(C10236),"")</f>
        <v/>
      </c>
      <c r="W10236" s="23" t="str">
        <f aca="false">IF(ISNUMBER(C10236),MONTH(C10236),"")</f>
        <v/>
      </c>
      <c r="X10236" s="23" t="str">
        <f aca="false">IF(T10236="","",IF(T10236=0,"No discount",IF(T10236&lt;=0.2,"Low (1-20%)",IF(T10236&lt;=0.4,"Medium (21-40%)","High (&gt;40%)"))))</f>
        <v/>
      </c>
      <c r="Y10236" s="23" t="str">
        <f aca="false">IF(AND(ISNUMBER(C10236),ISNUMBER(D10236)),D10236-C10236,"")</f>
        <v/>
      </c>
      <c r="Z10236" s="23" t="str">
        <f aca="false">IF(B10236="","",IF(MATCH(B10236,$B$2:$B$12000,0)=ROW()-1,1,0))</f>
        <v/>
      </c>
    </row>
    <row r="10237" customFormat="false" ht="15" hidden="false" customHeight="false" outlineLevel="0" collapsed="false">
      <c r="V10237" s="23" t="str">
        <f aca="false">IF(ISNUMBER(C10237),YEAR(C10237),"")</f>
        <v/>
      </c>
      <c r="W10237" s="23" t="str">
        <f aca="false">IF(ISNUMBER(C10237),MONTH(C10237),"")</f>
        <v/>
      </c>
      <c r="X10237" s="23" t="str">
        <f aca="false">IF(T10237="","",IF(T10237=0,"No discount",IF(T10237&lt;=0.2,"Low (1-20%)",IF(T10237&lt;=0.4,"Medium (21-40%)","High (&gt;40%)"))))</f>
        <v/>
      </c>
      <c r="Y10237" s="23" t="str">
        <f aca="false">IF(AND(ISNUMBER(C10237),ISNUMBER(D10237)),D10237-C10237,"")</f>
        <v/>
      </c>
      <c r="Z10237" s="23" t="str">
        <f aca="false">IF(B10237="","",IF(MATCH(B10237,$B$2:$B$12000,0)=ROW()-1,1,0))</f>
        <v/>
      </c>
    </row>
    <row r="10238" customFormat="false" ht="15" hidden="false" customHeight="false" outlineLevel="0" collapsed="false">
      <c r="V10238" s="23" t="str">
        <f aca="false">IF(ISNUMBER(C10238),YEAR(C10238),"")</f>
        <v/>
      </c>
      <c r="W10238" s="23" t="str">
        <f aca="false">IF(ISNUMBER(C10238),MONTH(C10238),"")</f>
        <v/>
      </c>
      <c r="X10238" s="23" t="str">
        <f aca="false">IF(T10238="","",IF(T10238=0,"No discount",IF(T10238&lt;=0.2,"Low (1-20%)",IF(T10238&lt;=0.4,"Medium (21-40%)","High (&gt;40%)"))))</f>
        <v/>
      </c>
      <c r="Y10238" s="23" t="str">
        <f aca="false">IF(AND(ISNUMBER(C10238),ISNUMBER(D10238)),D10238-C10238,"")</f>
        <v/>
      </c>
      <c r="Z10238" s="23" t="str">
        <f aca="false">IF(B10238="","",IF(MATCH(B10238,$B$2:$B$12000,0)=ROW()-1,1,0))</f>
        <v/>
      </c>
    </row>
    <row r="10239" customFormat="false" ht="15" hidden="false" customHeight="false" outlineLevel="0" collapsed="false">
      <c r="V10239" s="23" t="str">
        <f aca="false">IF(ISNUMBER(C10239),YEAR(C10239),"")</f>
        <v/>
      </c>
      <c r="W10239" s="23" t="str">
        <f aca="false">IF(ISNUMBER(C10239),MONTH(C10239),"")</f>
        <v/>
      </c>
      <c r="X10239" s="23" t="str">
        <f aca="false">IF(T10239="","",IF(T10239=0,"No discount",IF(T10239&lt;=0.2,"Low (1-20%)",IF(T10239&lt;=0.4,"Medium (21-40%)","High (&gt;40%)"))))</f>
        <v/>
      </c>
      <c r="Y10239" s="23" t="str">
        <f aca="false">IF(AND(ISNUMBER(C10239),ISNUMBER(D10239)),D10239-C10239,"")</f>
        <v/>
      </c>
      <c r="Z10239" s="23" t="str">
        <f aca="false">IF(B10239="","",IF(MATCH(B10239,$B$2:$B$12000,0)=ROW()-1,1,0))</f>
        <v/>
      </c>
    </row>
    <row r="10240" customFormat="false" ht="15" hidden="false" customHeight="false" outlineLevel="0" collapsed="false">
      <c r="V10240" s="23" t="str">
        <f aca="false">IF(ISNUMBER(C10240),YEAR(C10240),"")</f>
        <v/>
      </c>
      <c r="W10240" s="23" t="str">
        <f aca="false">IF(ISNUMBER(C10240),MONTH(C10240),"")</f>
        <v/>
      </c>
      <c r="X10240" s="23" t="str">
        <f aca="false">IF(T10240="","",IF(T10240=0,"No discount",IF(T10240&lt;=0.2,"Low (1-20%)",IF(T10240&lt;=0.4,"Medium (21-40%)","High (&gt;40%)"))))</f>
        <v/>
      </c>
      <c r="Y10240" s="23" t="str">
        <f aca="false">IF(AND(ISNUMBER(C10240),ISNUMBER(D10240)),D10240-C10240,"")</f>
        <v/>
      </c>
      <c r="Z10240" s="23" t="str">
        <f aca="false">IF(B10240="","",IF(MATCH(B10240,$B$2:$B$12000,0)=ROW()-1,1,0))</f>
        <v/>
      </c>
    </row>
    <row r="10241" customFormat="false" ht="15" hidden="false" customHeight="false" outlineLevel="0" collapsed="false">
      <c r="V10241" s="23" t="str">
        <f aca="false">IF(ISNUMBER(C10241),YEAR(C10241),"")</f>
        <v/>
      </c>
      <c r="W10241" s="23" t="str">
        <f aca="false">IF(ISNUMBER(C10241),MONTH(C10241),"")</f>
        <v/>
      </c>
      <c r="X10241" s="23" t="str">
        <f aca="false">IF(T10241="","",IF(T10241=0,"No discount",IF(T10241&lt;=0.2,"Low (1-20%)",IF(T10241&lt;=0.4,"Medium (21-40%)","High (&gt;40%)"))))</f>
        <v/>
      </c>
      <c r="Y10241" s="23" t="str">
        <f aca="false">IF(AND(ISNUMBER(C10241),ISNUMBER(D10241)),D10241-C10241,"")</f>
        <v/>
      </c>
      <c r="Z10241" s="23" t="str">
        <f aca="false">IF(B10241="","",IF(MATCH(B10241,$B$2:$B$12000,0)=ROW()-1,1,0))</f>
        <v/>
      </c>
    </row>
    <row r="10242" customFormat="false" ht="15" hidden="false" customHeight="false" outlineLevel="0" collapsed="false">
      <c r="V10242" s="23" t="str">
        <f aca="false">IF(ISNUMBER(C10242),YEAR(C10242),"")</f>
        <v/>
      </c>
      <c r="W10242" s="23" t="str">
        <f aca="false">IF(ISNUMBER(C10242),MONTH(C10242),"")</f>
        <v/>
      </c>
      <c r="X10242" s="23" t="str">
        <f aca="false">IF(T10242="","",IF(T10242=0,"No discount",IF(T10242&lt;=0.2,"Low (1-20%)",IF(T10242&lt;=0.4,"Medium (21-40%)","High (&gt;40%)"))))</f>
        <v/>
      </c>
      <c r="Y10242" s="23" t="str">
        <f aca="false">IF(AND(ISNUMBER(C10242),ISNUMBER(D10242)),D10242-C10242,"")</f>
        <v/>
      </c>
      <c r="Z10242" s="23" t="str">
        <f aca="false">IF(B10242="","",IF(MATCH(B10242,$B$2:$B$12000,0)=ROW()-1,1,0))</f>
        <v/>
      </c>
    </row>
    <row r="10243" customFormat="false" ht="15" hidden="false" customHeight="false" outlineLevel="0" collapsed="false">
      <c r="V10243" s="23" t="str">
        <f aca="false">IF(ISNUMBER(C10243),YEAR(C10243),"")</f>
        <v/>
      </c>
      <c r="W10243" s="23" t="str">
        <f aca="false">IF(ISNUMBER(C10243),MONTH(C10243),"")</f>
        <v/>
      </c>
      <c r="X10243" s="23" t="str">
        <f aca="false">IF(T10243="","",IF(T10243=0,"No discount",IF(T10243&lt;=0.2,"Low (1-20%)",IF(T10243&lt;=0.4,"Medium (21-40%)","High (&gt;40%)"))))</f>
        <v/>
      </c>
      <c r="Y10243" s="23" t="str">
        <f aca="false">IF(AND(ISNUMBER(C10243),ISNUMBER(D10243)),D10243-C10243,"")</f>
        <v/>
      </c>
      <c r="Z10243" s="23" t="str">
        <f aca="false">IF(B10243="","",IF(MATCH(B10243,$B$2:$B$12000,0)=ROW()-1,1,0))</f>
        <v/>
      </c>
    </row>
    <row r="10244" customFormat="false" ht="15" hidden="false" customHeight="false" outlineLevel="0" collapsed="false">
      <c r="V10244" s="23" t="str">
        <f aca="false">IF(ISNUMBER(C10244),YEAR(C10244),"")</f>
        <v/>
      </c>
      <c r="W10244" s="23" t="str">
        <f aca="false">IF(ISNUMBER(C10244),MONTH(C10244),"")</f>
        <v/>
      </c>
      <c r="X10244" s="23" t="str">
        <f aca="false">IF(T10244="","",IF(T10244=0,"No discount",IF(T10244&lt;=0.2,"Low (1-20%)",IF(T10244&lt;=0.4,"Medium (21-40%)","High (&gt;40%)"))))</f>
        <v/>
      </c>
      <c r="Y10244" s="23" t="str">
        <f aca="false">IF(AND(ISNUMBER(C10244),ISNUMBER(D10244)),D10244-C10244,"")</f>
        <v/>
      </c>
      <c r="Z10244" s="23" t="str">
        <f aca="false">IF(B10244="","",IF(MATCH(B10244,$B$2:$B$12000,0)=ROW()-1,1,0))</f>
        <v/>
      </c>
    </row>
    <row r="10245" customFormat="false" ht="15" hidden="false" customHeight="false" outlineLevel="0" collapsed="false">
      <c r="V10245" s="23" t="str">
        <f aca="false">IF(ISNUMBER(C10245),YEAR(C10245),"")</f>
        <v/>
      </c>
      <c r="W10245" s="23" t="str">
        <f aca="false">IF(ISNUMBER(C10245),MONTH(C10245),"")</f>
        <v/>
      </c>
      <c r="X10245" s="23" t="str">
        <f aca="false">IF(T10245="","",IF(T10245=0,"No discount",IF(T10245&lt;=0.2,"Low (1-20%)",IF(T10245&lt;=0.4,"Medium (21-40%)","High (&gt;40%)"))))</f>
        <v/>
      </c>
      <c r="Y10245" s="23" t="str">
        <f aca="false">IF(AND(ISNUMBER(C10245),ISNUMBER(D10245)),D10245-C10245,"")</f>
        <v/>
      </c>
      <c r="Z10245" s="23" t="str">
        <f aca="false">IF(B10245="","",IF(MATCH(B10245,$B$2:$B$12000,0)=ROW()-1,1,0))</f>
        <v/>
      </c>
    </row>
    <row r="10246" customFormat="false" ht="15" hidden="false" customHeight="false" outlineLevel="0" collapsed="false">
      <c r="V10246" s="23" t="str">
        <f aca="false">IF(ISNUMBER(C10246),YEAR(C10246),"")</f>
        <v/>
      </c>
      <c r="W10246" s="23" t="str">
        <f aca="false">IF(ISNUMBER(C10246),MONTH(C10246),"")</f>
        <v/>
      </c>
      <c r="X10246" s="23" t="str">
        <f aca="false">IF(T10246="","",IF(T10246=0,"No discount",IF(T10246&lt;=0.2,"Low (1-20%)",IF(T10246&lt;=0.4,"Medium (21-40%)","High (&gt;40%)"))))</f>
        <v/>
      </c>
      <c r="Y10246" s="23" t="str">
        <f aca="false">IF(AND(ISNUMBER(C10246),ISNUMBER(D10246)),D10246-C10246,"")</f>
        <v/>
      </c>
      <c r="Z10246" s="23" t="str">
        <f aca="false">IF(B10246="","",IF(MATCH(B10246,$B$2:$B$12000,0)=ROW()-1,1,0))</f>
        <v/>
      </c>
    </row>
    <row r="10247" customFormat="false" ht="15" hidden="false" customHeight="false" outlineLevel="0" collapsed="false">
      <c r="V10247" s="23" t="str">
        <f aca="false">IF(ISNUMBER(C10247),YEAR(C10247),"")</f>
        <v/>
      </c>
      <c r="W10247" s="23" t="str">
        <f aca="false">IF(ISNUMBER(C10247),MONTH(C10247),"")</f>
        <v/>
      </c>
      <c r="X10247" s="23" t="str">
        <f aca="false">IF(T10247="","",IF(T10247=0,"No discount",IF(T10247&lt;=0.2,"Low (1-20%)",IF(T10247&lt;=0.4,"Medium (21-40%)","High (&gt;40%)"))))</f>
        <v/>
      </c>
      <c r="Y10247" s="23" t="str">
        <f aca="false">IF(AND(ISNUMBER(C10247),ISNUMBER(D10247)),D10247-C10247,"")</f>
        <v/>
      </c>
      <c r="Z10247" s="23" t="str">
        <f aca="false">IF(B10247="","",IF(MATCH(B10247,$B$2:$B$12000,0)=ROW()-1,1,0))</f>
        <v/>
      </c>
    </row>
    <row r="10248" customFormat="false" ht="15" hidden="false" customHeight="false" outlineLevel="0" collapsed="false">
      <c r="V10248" s="23" t="str">
        <f aca="false">IF(ISNUMBER(C10248),YEAR(C10248),"")</f>
        <v/>
      </c>
      <c r="W10248" s="23" t="str">
        <f aca="false">IF(ISNUMBER(C10248),MONTH(C10248),"")</f>
        <v/>
      </c>
      <c r="X10248" s="23" t="str">
        <f aca="false">IF(T10248="","",IF(T10248=0,"No discount",IF(T10248&lt;=0.2,"Low (1-20%)",IF(T10248&lt;=0.4,"Medium (21-40%)","High (&gt;40%)"))))</f>
        <v/>
      </c>
      <c r="Y10248" s="23" t="str">
        <f aca="false">IF(AND(ISNUMBER(C10248),ISNUMBER(D10248)),D10248-C10248,"")</f>
        <v/>
      </c>
      <c r="Z10248" s="23" t="str">
        <f aca="false">IF(B10248="","",IF(MATCH(B10248,$B$2:$B$12000,0)=ROW()-1,1,0))</f>
        <v/>
      </c>
    </row>
    <row r="10249" customFormat="false" ht="15" hidden="false" customHeight="false" outlineLevel="0" collapsed="false">
      <c r="V10249" s="23" t="str">
        <f aca="false">IF(ISNUMBER(C10249),YEAR(C10249),"")</f>
        <v/>
      </c>
      <c r="W10249" s="23" t="str">
        <f aca="false">IF(ISNUMBER(C10249),MONTH(C10249),"")</f>
        <v/>
      </c>
      <c r="X10249" s="23" t="str">
        <f aca="false">IF(T10249="","",IF(T10249=0,"No discount",IF(T10249&lt;=0.2,"Low (1-20%)",IF(T10249&lt;=0.4,"Medium (21-40%)","High (&gt;40%)"))))</f>
        <v/>
      </c>
      <c r="Y10249" s="23" t="str">
        <f aca="false">IF(AND(ISNUMBER(C10249),ISNUMBER(D10249)),D10249-C10249,"")</f>
        <v/>
      </c>
      <c r="Z10249" s="23" t="str">
        <f aca="false">IF(B10249="","",IF(MATCH(B10249,$B$2:$B$12000,0)=ROW()-1,1,0))</f>
        <v/>
      </c>
    </row>
    <row r="10250" customFormat="false" ht="15" hidden="false" customHeight="false" outlineLevel="0" collapsed="false">
      <c r="V10250" s="23" t="str">
        <f aca="false">IF(ISNUMBER(C10250),YEAR(C10250),"")</f>
        <v/>
      </c>
      <c r="W10250" s="23" t="str">
        <f aca="false">IF(ISNUMBER(C10250),MONTH(C10250),"")</f>
        <v/>
      </c>
      <c r="X10250" s="23" t="str">
        <f aca="false">IF(T10250="","",IF(T10250=0,"No discount",IF(T10250&lt;=0.2,"Low (1-20%)",IF(T10250&lt;=0.4,"Medium (21-40%)","High (&gt;40%)"))))</f>
        <v/>
      </c>
      <c r="Y10250" s="23" t="str">
        <f aca="false">IF(AND(ISNUMBER(C10250),ISNUMBER(D10250)),D10250-C10250,"")</f>
        <v/>
      </c>
      <c r="Z10250" s="23" t="str">
        <f aca="false">IF(B10250="","",IF(MATCH(B10250,$B$2:$B$12000,0)=ROW()-1,1,0))</f>
        <v/>
      </c>
    </row>
    <row r="10251" customFormat="false" ht="15" hidden="false" customHeight="false" outlineLevel="0" collapsed="false">
      <c r="V10251" s="23" t="str">
        <f aca="false">IF(ISNUMBER(C10251),YEAR(C10251),"")</f>
        <v/>
      </c>
      <c r="W10251" s="23" t="str">
        <f aca="false">IF(ISNUMBER(C10251),MONTH(C10251),"")</f>
        <v/>
      </c>
      <c r="X10251" s="23" t="str">
        <f aca="false">IF(T10251="","",IF(T10251=0,"No discount",IF(T10251&lt;=0.2,"Low (1-20%)",IF(T10251&lt;=0.4,"Medium (21-40%)","High (&gt;40%)"))))</f>
        <v/>
      </c>
      <c r="Y10251" s="23" t="str">
        <f aca="false">IF(AND(ISNUMBER(C10251),ISNUMBER(D10251)),D10251-C10251,"")</f>
        <v/>
      </c>
      <c r="Z10251" s="23" t="str">
        <f aca="false">IF(B10251="","",IF(MATCH(B10251,$B$2:$B$12000,0)=ROW()-1,1,0))</f>
        <v/>
      </c>
    </row>
    <row r="10252" customFormat="false" ht="15" hidden="false" customHeight="false" outlineLevel="0" collapsed="false">
      <c r="V10252" s="23" t="str">
        <f aca="false">IF(ISNUMBER(C10252),YEAR(C10252),"")</f>
        <v/>
      </c>
      <c r="W10252" s="23" t="str">
        <f aca="false">IF(ISNUMBER(C10252),MONTH(C10252),"")</f>
        <v/>
      </c>
      <c r="X10252" s="23" t="str">
        <f aca="false">IF(T10252="","",IF(T10252=0,"No discount",IF(T10252&lt;=0.2,"Low (1-20%)",IF(T10252&lt;=0.4,"Medium (21-40%)","High (&gt;40%)"))))</f>
        <v/>
      </c>
      <c r="Y10252" s="23" t="str">
        <f aca="false">IF(AND(ISNUMBER(C10252),ISNUMBER(D10252)),D10252-C10252,"")</f>
        <v/>
      </c>
      <c r="Z10252" s="23" t="str">
        <f aca="false">IF(B10252="","",IF(MATCH(B10252,$B$2:$B$12000,0)=ROW()-1,1,0))</f>
        <v/>
      </c>
    </row>
    <row r="10253" customFormat="false" ht="15" hidden="false" customHeight="false" outlineLevel="0" collapsed="false">
      <c r="V10253" s="23" t="str">
        <f aca="false">IF(ISNUMBER(C10253),YEAR(C10253),"")</f>
        <v/>
      </c>
      <c r="W10253" s="23" t="str">
        <f aca="false">IF(ISNUMBER(C10253),MONTH(C10253),"")</f>
        <v/>
      </c>
      <c r="X10253" s="23" t="str">
        <f aca="false">IF(T10253="","",IF(T10253=0,"No discount",IF(T10253&lt;=0.2,"Low (1-20%)",IF(T10253&lt;=0.4,"Medium (21-40%)","High (&gt;40%)"))))</f>
        <v/>
      </c>
      <c r="Y10253" s="23" t="str">
        <f aca="false">IF(AND(ISNUMBER(C10253),ISNUMBER(D10253)),D10253-C10253,"")</f>
        <v/>
      </c>
      <c r="Z10253" s="23" t="str">
        <f aca="false">IF(B10253="","",IF(MATCH(B10253,$B$2:$B$12000,0)=ROW()-1,1,0))</f>
        <v/>
      </c>
    </row>
    <row r="10254" customFormat="false" ht="15" hidden="false" customHeight="false" outlineLevel="0" collapsed="false">
      <c r="V10254" s="23" t="str">
        <f aca="false">IF(ISNUMBER(C10254),YEAR(C10254),"")</f>
        <v/>
      </c>
      <c r="W10254" s="23" t="str">
        <f aca="false">IF(ISNUMBER(C10254),MONTH(C10254),"")</f>
        <v/>
      </c>
      <c r="X10254" s="23" t="str">
        <f aca="false">IF(T10254="","",IF(T10254=0,"No discount",IF(T10254&lt;=0.2,"Low (1-20%)",IF(T10254&lt;=0.4,"Medium (21-40%)","High (&gt;40%)"))))</f>
        <v/>
      </c>
      <c r="Y10254" s="23" t="str">
        <f aca="false">IF(AND(ISNUMBER(C10254),ISNUMBER(D10254)),D10254-C10254,"")</f>
        <v/>
      </c>
      <c r="Z10254" s="23" t="str">
        <f aca="false">IF(B10254="","",IF(MATCH(B10254,$B$2:$B$12000,0)=ROW()-1,1,0))</f>
        <v/>
      </c>
    </row>
    <row r="10255" customFormat="false" ht="15" hidden="false" customHeight="false" outlineLevel="0" collapsed="false">
      <c r="V10255" s="23" t="str">
        <f aca="false">IF(ISNUMBER(C10255),YEAR(C10255),"")</f>
        <v/>
      </c>
      <c r="W10255" s="23" t="str">
        <f aca="false">IF(ISNUMBER(C10255),MONTH(C10255),"")</f>
        <v/>
      </c>
      <c r="X10255" s="23" t="str">
        <f aca="false">IF(T10255="","",IF(T10255=0,"No discount",IF(T10255&lt;=0.2,"Low (1-20%)",IF(T10255&lt;=0.4,"Medium (21-40%)","High (&gt;40%)"))))</f>
        <v/>
      </c>
      <c r="Y10255" s="23" t="str">
        <f aca="false">IF(AND(ISNUMBER(C10255),ISNUMBER(D10255)),D10255-C10255,"")</f>
        <v/>
      </c>
      <c r="Z10255" s="23" t="str">
        <f aca="false">IF(B10255="","",IF(MATCH(B10255,$B$2:$B$12000,0)=ROW()-1,1,0))</f>
        <v/>
      </c>
    </row>
    <row r="10256" customFormat="false" ht="15" hidden="false" customHeight="false" outlineLevel="0" collapsed="false">
      <c r="V10256" s="23" t="str">
        <f aca="false">IF(ISNUMBER(C10256),YEAR(C10256),"")</f>
        <v/>
      </c>
      <c r="W10256" s="23" t="str">
        <f aca="false">IF(ISNUMBER(C10256),MONTH(C10256),"")</f>
        <v/>
      </c>
      <c r="X10256" s="23" t="str">
        <f aca="false">IF(T10256="","",IF(T10256=0,"No discount",IF(T10256&lt;=0.2,"Low (1-20%)",IF(T10256&lt;=0.4,"Medium (21-40%)","High (&gt;40%)"))))</f>
        <v/>
      </c>
      <c r="Y10256" s="23" t="str">
        <f aca="false">IF(AND(ISNUMBER(C10256),ISNUMBER(D10256)),D10256-C10256,"")</f>
        <v/>
      </c>
      <c r="Z10256" s="23" t="str">
        <f aca="false">IF(B10256="","",IF(MATCH(B10256,$B$2:$B$12000,0)=ROW()-1,1,0))</f>
        <v/>
      </c>
    </row>
    <row r="10257" customFormat="false" ht="15" hidden="false" customHeight="false" outlineLevel="0" collapsed="false">
      <c r="V10257" s="23" t="str">
        <f aca="false">IF(ISNUMBER(C10257),YEAR(C10257),"")</f>
        <v/>
      </c>
      <c r="W10257" s="23" t="str">
        <f aca="false">IF(ISNUMBER(C10257),MONTH(C10257),"")</f>
        <v/>
      </c>
      <c r="X10257" s="23" t="str">
        <f aca="false">IF(T10257="","",IF(T10257=0,"No discount",IF(T10257&lt;=0.2,"Low (1-20%)",IF(T10257&lt;=0.4,"Medium (21-40%)","High (&gt;40%)"))))</f>
        <v/>
      </c>
      <c r="Y10257" s="23" t="str">
        <f aca="false">IF(AND(ISNUMBER(C10257),ISNUMBER(D10257)),D10257-C10257,"")</f>
        <v/>
      </c>
      <c r="Z10257" s="23" t="str">
        <f aca="false">IF(B10257="","",IF(MATCH(B10257,$B$2:$B$12000,0)=ROW()-1,1,0))</f>
        <v/>
      </c>
    </row>
    <row r="10258" customFormat="false" ht="15" hidden="false" customHeight="false" outlineLevel="0" collapsed="false">
      <c r="V10258" s="23" t="str">
        <f aca="false">IF(ISNUMBER(C10258),YEAR(C10258),"")</f>
        <v/>
      </c>
      <c r="W10258" s="23" t="str">
        <f aca="false">IF(ISNUMBER(C10258),MONTH(C10258),"")</f>
        <v/>
      </c>
      <c r="X10258" s="23" t="str">
        <f aca="false">IF(T10258="","",IF(T10258=0,"No discount",IF(T10258&lt;=0.2,"Low (1-20%)",IF(T10258&lt;=0.4,"Medium (21-40%)","High (&gt;40%)"))))</f>
        <v/>
      </c>
      <c r="Y10258" s="23" t="str">
        <f aca="false">IF(AND(ISNUMBER(C10258),ISNUMBER(D10258)),D10258-C10258,"")</f>
        <v/>
      </c>
      <c r="Z10258" s="23" t="str">
        <f aca="false">IF(B10258="","",IF(MATCH(B10258,$B$2:$B$12000,0)=ROW()-1,1,0))</f>
        <v/>
      </c>
    </row>
    <row r="10259" customFormat="false" ht="15" hidden="false" customHeight="false" outlineLevel="0" collapsed="false">
      <c r="V10259" s="23" t="str">
        <f aca="false">IF(ISNUMBER(C10259),YEAR(C10259),"")</f>
        <v/>
      </c>
      <c r="W10259" s="23" t="str">
        <f aca="false">IF(ISNUMBER(C10259),MONTH(C10259),"")</f>
        <v/>
      </c>
      <c r="X10259" s="23" t="str">
        <f aca="false">IF(T10259="","",IF(T10259=0,"No discount",IF(T10259&lt;=0.2,"Low (1-20%)",IF(T10259&lt;=0.4,"Medium (21-40%)","High (&gt;40%)"))))</f>
        <v/>
      </c>
      <c r="Y10259" s="23" t="str">
        <f aca="false">IF(AND(ISNUMBER(C10259),ISNUMBER(D10259)),D10259-C10259,"")</f>
        <v/>
      </c>
      <c r="Z10259" s="23" t="str">
        <f aca="false">IF(B10259="","",IF(MATCH(B10259,$B$2:$B$12000,0)=ROW()-1,1,0))</f>
        <v/>
      </c>
    </row>
    <row r="10260" customFormat="false" ht="15" hidden="false" customHeight="false" outlineLevel="0" collapsed="false">
      <c r="V10260" s="23" t="str">
        <f aca="false">IF(ISNUMBER(C10260),YEAR(C10260),"")</f>
        <v/>
      </c>
      <c r="W10260" s="23" t="str">
        <f aca="false">IF(ISNUMBER(C10260),MONTH(C10260),"")</f>
        <v/>
      </c>
      <c r="X10260" s="23" t="str">
        <f aca="false">IF(T10260="","",IF(T10260=0,"No discount",IF(T10260&lt;=0.2,"Low (1-20%)",IF(T10260&lt;=0.4,"Medium (21-40%)","High (&gt;40%)"))))</f>
        <v/>
      </c>
      <c r="Y10260" s="23" t="str">
        <f aca="false">IF(AND(ISNUMBER(C10260),ISNUMBER(D10260)),D10260-C10260,"")</f>
        <v/>
      </c>
      <c r="Z10260" s="23" t="str">
        <f aca="false">IF(B10260="","",IF(MATCH(B10260,$B$2:$B$12000,0)=ROW()-1,1,0))</f>
        <v/>
      </c>
    </row>
    <row r="10261" customFormat="false" ht="15" hidden="false" customHeight="false" outlineLevel="0" collapsed="false">
      <c r="V10261" s="23" t="str">
        <f aca="false">IF(ISNUMBER(C10261),YEAR(C10261),"")</f>
        <v/>
      </c>
      <c r="W10261" s="23" t="str">
        <f aca="false">IF(ISNUMBER(C10261),MONTH(C10261),"")</f>
        <v/>
      </c>
      <c r="X10261" s="23" t="str">
        <f aca="false">IF(T10261="","",IF(T10261=0,"No discount",IF(T10261&lt;=0.2,"Low (1-20%)",IF(T10261&lt;=0.4,"Medium (21-40%)","High (&gt;40%)"))))</f>
        <v/>
      </c>
      <c r="Y10261" s="23" t="str">
        <f aca="false">IF(AND(ISNUMBER(C10261),ISNUMBER(D10261)),D10261-C10261,"")</f>
        <v/>
      </c>
      <c r="Z10261" s="23" t="str">
        <f aca="false">IF(B10261="","",IF(MATCH(B10261,$B$2:$B$12000,0)=ROW()-1,1,0))</f>
        <v/>
      </c>
    </row>
    <row r="10262" customFormat="false" ht="15" hidden="false" customHeight="false" outlineLevel="0" collapsed="false">
      <c r="V10262" s="23" t="str">
        <f aca="false">IF(ISNUMBER(C10262),YEAR(C10262),"")</f>
        <v/>
      </c>
      <c r="W10262" s="23" t="str">
        <f aca="false">IF(ISNUMBER(C10262),MONTH(C10262),"")</f>
        <v/>
      </c>
      <c r="X10262" s="23" t="str">
        <f aca="false">IF(T10262="","",IF(T10262=0,"No discount",IF(T10262&lt;=0.2,"Low (1-20%)",IF(T10262&lt;=0.4,"Medium (21-40%)","High (&gt;40%)"))))</f>
        <v/>
      </c>
      <c r="Y10262" s="23" t="str">
        <f aca="false">IF(AND(ISNUMBER(C10262),ISNUMBER(D10262)),D10262-C10262,"")</f>
        <v/>
      </c>
      <c r="Z10262" s="23" t="str">
        <f aca="false">IF(B10262="","",IF(MATCH(B10262,$B$2:$B$12000,0)=ROW()-1,1,0))</f>
        <v/>
      </c>
    </row>
    <row r="10263" customFormat="false" ht="15" hidden="false" customHeight="false" outlineLevel="0" collapsed="false">
      <c r="V10263" s="23" t="str">
        <f aca="false">IF(ISNUMBER(C10263),YEAR(C10263),"")</f>
        <v/>
      </c>
      <c r="W10263" s="23" t="str">
        <f aca="false">IF(ISNUMBER(C10263),MONTH(C10263),"")</f>
        <v/>
      </c>
      <c r="X10263" s="23" t="str">
        <f aca="false">IF(T10263="","",IF(T10263=0,"No discount",IF(T10263&lt;=0.2,"Low (1-20%)",IF(T10263&lt;=0.4,"Medium (21-40%)","High (&gt;40%)"))))</f>
        <v/>
      </c>
      <c r="Y10263" s="23" t="str">
        <f aca="false">IF(AND(ISNUMBER(C10263),ISNUMBER(D10263)),D10263-C10263,"")</f>
        <v/>
      </c>
      <c r="Z10263" s="23" t="str">
        <f aca="false">IF(B10263="","",IF(MATCH(B10263,$B$2:$B$12000,0)=ROW()-1,1,0))</f>
        <v/>
      </c>
    </row>
    <row r="10264" customFormat="false" ht="15" hidden="false" customHeight="false" outlineLevel="0" collapsed="false">
      <c r="V10264" s="23" t="str">
        <f aca="false">IF(ISNUMBER(C10264),YEAR(C10264),"")</f>
        <v/>
      </c>
      <c r="W10264" s="23" t="str">
        <f aca="false">IF(ISNUMBER(C10264),MONTH(C10264),"")</f>
        <v/>
      </c>
      <c r="X10264" s="23" t="str">
        <f aca="false">IF(T10264="","",IF(T10264=0,"No discount",IF(T10264&lt;=0.2,"Low (1-20%)",IF(T10264&lt;=0.4,"Medium (21-40%)","High (&gt;40%)"))))</f>
        <v/>
      </c>
      <c r="Y10264" s="23" t="str">
        <f aca="false">IF(AND(ISNUMBER(C10264),ISNUMBER(D10264)),D10264-C10264,"")</f>
        <v/>
      </c>
      <c r="Z10264" s="23" t="str">
        <f aca="false">IF(B10264="","",IF(MATCH(B10264,$B$2:$B$12000,0)=ROW()-1,1,0))</f>
        <v/>
      </c>
    </row>
    <row r="10265" customFormat="false" ht="15" hidden="false" customHeight="false" outlineLevel="0" collapsed="false">
      <c r="V10265" s="23" t="str">
        <f aca="false">IF(ISNUMBER(C10265),YEAR(C10265),"")</f>
        <v/>
      </c>
      <c r="W10265" s="23" t="str">
        <f aca="false">IF(ISNUMBER(C10265),MONTH(C10265),"")</f>
        <v/>
      </c>
      <c r="X10265" s="23" t="str">
        <f aca="false">IF(T10265="","",IF(T10265=0,"No discount",IF(T10265&lt;=0.2,"Low (1-20%)",IF(T10265&lt;=0.4,"Medium (21-40%)","High (&gt;40%)"))))</f>
        <v/>
      </c>
      <c r="Y10265" s="23" t="str">
        <f aca="false">IF(AND(ISNUMBER(C10265),ISNUMBER(D10265)),D10265-C10265,"")</f>
        <v/>
      </c>
      <c r="Z10265" s="23" t="str">
        <f aca="false">IF(B10265="","",IF(MATCH(B10265,$B$2:$B$12000,0)=ROW()-1,1,0))</f>
        <v/>
      </c>
    </row>
    <row r="10266" customFormat="false" ht="15" hidden="false" customHeight="false" outlineLevel="0" collapsed="false">
      <c r="V10266" s="23" t="str">
        <f aca="false">IF(ISNUMBER(C10266),YEAR(C10266),"")</f>
        <v/>
      </c>
      <c r="W10266" s="23" t="str">
        <f aca="false">IF(ISNUMBER(C10266),MONTH(C10266),"")</f>
        <v/>
      </c>
      <c r="X10266" s="23" t="str">
        <f aca="false">IF(T10266="","",IF(T10266=0,"No discount",IF(T10266&lt;=0.2,"Low (1-20%)",IF(T10266&lt;=0.4,"Medium (21-40%)","High (&gt;40%)"))))</f>
        <v/>
      </c>
      <c r="Y10266" s="23" t="str">
        <f aca="false">IF(AND(ISNUMBER(C10266),ISNUMBER(D10266)),D10266-C10266,"")</f>
        <v/>
      </c>
      <c r="Z10266" s="23" t="str">
        <f aca="false">IF(B10266="","",IF(MATCH(B10266,$B$2:$B$12000,0)=ROW()-1,1,0))</f>
        <v/>
      </c>
    </row>
    <row r="10267" customFormat="false" ht="15" hidden="false" customHeight="false" outlineLevel="0" collapsed="false">
      <c r="V10267" s="23" t="str">
        <f aca="false">IF(ISNUMBER(C10267),YEAR(C10267),"")</f>
        <v/>
      </c>
      <c r="W10267" s="23" t="str">
        <f aca="false">IF(ISNUMBER(C10267),MONTH(C10267),"")</f>
        <v/>
      </c>
      <c r="X10267" s="23" t="str">
        <f aca="false">IF(T10267="","",IF(T10267=0,"No discount",IF(T10267&lt;=0.2,"Low (1-20%)",IF(T10267&lt;=0.4,"Medium (21-40%)","High (&gt;40%)"))))</f>
        <v/>
      </c>
      <c r="Y10267" s="23" t="str">
        <f aca="false">IF(AND(ISNUMBER(C10267),ISNUMBER(D10267)),D10267-C10267,"")</f>
        <v/>
      </c>
      <c r="Z10267" s="23" t="str">
        <f aca="false">IF(B10267="","",IF(MATCH(B10267,$B$2:$B$12000,0)=ROW()-1,1,0))</f>
        <v/>
      </c>
    </row>
    <row r="10268" customFormat="false" ht="15" hidden="false" customHeight="false" outlineLevel="0" collapsed="false">
      <c r="V10268" s="23" t="str">
        <f aca="false">IF(ISNUMBER(C10268),YEAR(C10268),"")</f>
        <v/>
      </c>
      <c r="W10268" s="23" t="str">
        <f aca="false">IF(ISNUMBER(C10268),MONTH(C10268),"")</f>
        <v/>
      </c>
      <c r="X10268" s="23" t="str">
        <f aca="false">IF(T10268="","",IF(T10268=0,"No discount",IF(T10268&lt;=0.2,"Low (1-20%)",IF(T10268&lt;=0.4,"Medium (21-40%)","High (&gt;40%)"))))</f>
        <v/>
      </c>
      <c r="Y10268" s="23" t="str">
        <f aca="false">IF(AND(ISNUMBER(C10268),ISNUMBER(D10268)),D10268-C10268,"")</f>
        <v/>
      </c>
      <c r="Z10268" s="23" t="str">
        <f aca="false">IF(B10268="","",IF(MATCH(B10268,$B$2:$B$12000,0)=ROW()-1,1,0))</f>
        <v/>
      </c>
    </row>
    <row r="10269" customFormat="false" ht="15" hidden="false" customHeight="false" outlineLevel="0" collapsed="false">
      <c r="V10269" s="23" t="str">
        <f aca="false">IF(ISNUMBER(C10269),YEAR(C10269),"")</f>
        <v/>
      </c>
      <c r="W10269" s="23" t="str">
        <f aca="false">IF(ISNUMBER(C10269),MONTH(C10269),"")</f>
        <v/>
      </c>
      <c r="X10269" s="23" t="str">
        <f aca="false">IF(T10269="","",IF(T10269=0,"No discount",IF(T10269&lt;=0.2,"Low (1-20%)",IF(T10269&lt;=0.4,"Medium (21-40%)","High (&gt;40%)"))))</f>
        <v/>
      </c>
      <c r="Y10269" s="23" t="str">
        <f aca="false">IF(AND(ISNUMBER(C10269),ISNUMBER(D10269)),D10269-C10269,"")</f>
        <v/>
      </c>
      <c r="Z10269" s="23" t="str">
        <f aca="false">IF(B10269="","",IF(MATCH(B10269,$B$2:$B$12000,0)=ROW()-1,1,0))</f>
        <v/>
      </c>
    </row>
    <row r="10270" customFormat="false" ht="15" hidden="false" customHeight="false" outlineLevel="0" collapsed="false">
      <c r="V10270" s="23" t="str">
        <f aca="false">IF(ISNUMBER(C10270),YEAR(C10270),"")</f>
        <v/>
      </c>
      <c r="W10270" s="23" t="str">
        <f aca="false">IF(ISNUMBER(C10270),MONTH(C10270),"")</f>
        <v/>
      </c>
      <c r="X10270" s="23" t="str">
        <f aca="false">IF(T10270="","",IF(T10270=0,"No discount",IF(T10270&lt;=0.2,"Low (1-20%)",IF(T10270&lt;=0.4,"Medium (21-40%)","High (&gt;40%)"))))</f>
        <v/>
      </c>
      <c r="Y10270" s="23" t="str">
        <f aca="false">IF(AND(ISNUMBER(C10270),ISNUMBER(D10270)),D10270-C10270,"")</f>
        <v/>
      </c>
      <c r="Z10270" s="23" t="str">
        <f aca="false">IF(B10270="","",IF(MATCH(B10270,$B$2:$B$12000,0)=ROW()-1,1,0))</f>
        <v/>
      </c>
    </row>
    <row r="10271" customFormat="false" ht="15" hidden="false" customHeight="false" outlineLevel="0" collapsed="false">
      <c r="V10271" s="23" t="str">
        <f aca="false">IF(ISNUMBER(C10271),YEAR(C10271),"")</f>
        <v/>
      </c>
      <c r="W10271" s="23" t="str">
        <f aca="false">IF(ISNUMBER(C10271),MONTH(C10271),"")</f>
        <v/>
      </c>
      <c r="X10271" s="23" t="str">
        <f aca="false">IF(T10271="","",IF(T10271=0,"No discount",IF(T10271&lt;=0.2,"Low (1-20%)",IF(T10271&lt;=0.4,"Medium (21-40%)","High (&gt;40%)"))))</f>
        <v/>
      </c>
      <c r="Y10271" s="23" t="str">
        <f aca="false">IF(AND(ISNUMBER(C10271),ISNUMBER(D10271)),D10271-C10271,"")</f>
        <v/>
      </c>
      <c r="Z10271" s="23" t="str">
        <f aca="false">IF(B10271="","",IF(MATCH(B10271,$B$2:$B$12000,0)=ROW()-1,1,0))</f>
        <v/>
      </c>
    </row>
    <row r="10272" customFormat="false" ht="15" hidden="false" customHeight="false" outlineLevel="0" collapsed="false">
      <c r="V10272" s="23" t="str">
        <f aca="false">IF(ISNUMBER(C10272),YEAR(C10272),"")</f>
        <v/>
      </c>
      <c r="W10272" s="23" t="str">
        <f aca="false">IF(ISNUMBER(C10272),MONTH(C10272),"")</f>
        <v/>
      </c>
      <c r="X10272" s="23" t="str">
        <f aca="false">IF(T10272="","",IF(T10272=0,"No discount",IF(T10272&lt;=0.2,"Low (1-20%)",IF(T10272&lt;=0.4,"Medium (21-40%)","High (&gt;40%)"))))</f>
        <v/>
      </c>
      <c r="Y10272" s="23" t="str">
        <f aca="false">IF(AND(ISNUMBER(C10272),ISNUMBER(D10272)),D10272-C10272,"")</f>
        <v/>
      </c>
      <c r="Z10272" s="23" t="str">
        <f aca="false">IF(B10272="","",IF(MATCH(B10272,$B$2:$B$12000,0)=ROW()-1,1,0))</f>
        <v/>
      </c>
    </row>
    <row r="10273" customFormat="false" ht="15" hidden="false" customHeight="false" outlineLevel="0" collapsed="false">
      <c r="V10273" s="23" t="str">
        <f aca="false">IF(ISNUMBER(C10273),YEAR(C10273),"")</f>
        <v/>
      </c>
      <c r="W10273" s="23" t="str">
        <f aca="false">IF(ISNUMBER(C10273),MONTH(C10273),"")</f>
        <v/>
      </c>
      <c r="X10273" s="23" t="str">
        <f aca="false">IF(T10273="","",IF(T10273=0,"No discount",IF(T10273&lt;=0.2,"Low (1-20%)",IF(T10273&lt;=0.4,"Medium (21-40%)","High (&gt;40%)"))))</f>
        <v/>
      </c>
      <c r="Y10273" s="23" t="str">
        <f aca="false">IF(AND(ISNUMBER(C10273),ISNUMBER(D10273)),D10273-C10273,"")</f>
        <v/>
      </c>
      <c r="Z10273" s="23" t="str">
        <f aca="false">IF(B10273="","",IF(MATCH(B10273,$B$2:$B$12000,0)=ROW()-1,1,0))</f>
        <v/>
      </c>
    </row>
    <row r="10274" customFormat="false" ht="15" hidden="false" customHeight="false" outlineLevel="0" collapsed="false">
      <c r="V10274" s="23" t="str">
        <f aca="false">IF(ISNUMBER(C10274),YEAR(C10274),"")</f>
        <v/>
      </c>
      <c r="W10274" s="23" t="str">
        <f aca="false">IF(ISNUMBER(C10274),MONTH(C10274),"")</f>
        <v/>
      </c>
      <c r="X10274" s="23" t="str">
        <f aca="false">IF(T10274="","",IF(T10274=0,"No discount",IF(T10274&lt;=0.2,"Low (1-20%)",IF(T10274&lt;=0.4,"Medium (21-40%)","High (&gt;40%)"))))</f>
        <v/>
      </c>
      <c r="Y10274" s="23" t="str">
        <f aca="false">IF(AND(ISNUMBER(C10274),ISNUMBER(D10274)),D10274-C10274,"")</f>
        <v/>
      </c>
      <c r="Z10274" s="23" t="str">
        <f aca="false">IF(B10274="","",IF(MATCH(B10274,$B$2:$B$12000,0)=ROW()-1,1,0))</f>
        <v/>
      </c>
    </row>
    <row r="10275" customFormat="false" ht="15" hidden="false" customHeight="false" outlineLevel="0" collapsed="false">
      <c r="V10275" s="23" t="str">
        <f aca="false">IF(ISNUMBER(C10275),YEAR(C10275),"")</f>
        <v/>
      </c>
      <c r="W10275" s="23" t="str">
        <f aca="false">IF(ISNUMBER(C10275),MONTH(C10275),"")</f>
        <v/>
      </c>
      <c r="X10275" s="23" t="str">
        <f aca="false">IF(T10275="","",IF(T10275=0,"No discount",IF(T10275&lt;=0.2,"Low (1-20%)",IF(T10275&lt;=0.4,"Medium (21-40%)","High (&gt;40%)"))))</f>
        <v/>
      </c>
      <c r="Y10275" s="23" t="str">
        <f aca="false">IF(AND(ISNUMBER(C10275),ISNUMBER(D10275)),D10275-C10275,"")</f>
        <v/>
      </c>
      <c r="Z10275" s="23" t="str">
        <f aca="false">IF(B10275="","",IF(MATCH(B10275,$B$2:$B$12000,0)=ROW()-1,1,0))</f>
        <v/>
      </c>
    </row>
    <row r="10276" customFormat="false" ht="15" hidden="false" customHeight="false" outlineLevel="0" collapsed="false">
      <c r="V10276" s="23" t="str">
        <f aca="false">IF(ISNUMBER(C10276),YEAR(C10276),"")</f>
        <v/>
      </c>
      <c r="W10276" s="23" t="str">
        <f aca="false">IF(ISNUMBER(C10276),MONTH(C10276),"")</f>
        <v/>
      </c>
      <c r="X10276" s="23" t="str">
        <f aca="false">IF(T10276="","",IF(T10276=0,"No discount",IF(T10276&lt;=0.2,"Low (1-20%)",IF(T10276&lt;=0.4,"Medium (21-40%)","High (&gt;40%)"))))</f>
        <v/>
      </c>
      <c r="Y10276" s="23" t="str">
        <f aca="false">IF(AND(ISNUMBER(C10276),ISNUMBER(D10276)),D10276-C10276,"")</f>
        <v/>
      </c>
      <c r="Z10276" s="23" t="str">
        <f aca="false">IF(B10276="","",IF(MATCH(B10276,$B$2:$B$12000,0)=ROW()-1,1,0))</f>
        <v/>
      </c>
    </row>
    <row r="10277" customFormat="false" ht="15" hidden="false" customHeight="false" outlineLevel="0" collapsed="false">
      <c r="V10277" s="23" t="str">
        <f aca="false">IF(ISNUMBER(C10277),YEAR(C10277),"")</f>
        <v/>
      </c>
      <c r="W10277" s="23" t="str">
        <f aca="false">IF(ISNUMBER(C10277),MONTH(C10277),"")</f>
        <v/>
      </c>
      <c r="X10277" s="23" t="str">
        <f aca="false">IF(T10277="","",IF(T10277=0,"No discount",IF(T10277&lt;=0.2,"Low (1-20%)",IF(T10277&lt;=0.4,"Medium (21-40%)","High (&gt;40%)"))))</f>
        <v/>
      </c>
      <c r="Y10277" s="23" t="str">
        <f aca="false">IF(AND(ISNUMBER(C10277),ISNUMBER(D10277)),D10277-C10277,"")</f>
        <v/>
      </c>
      <c r="Z10277" s="23" t="str">
        <f aca="false">IF(B10277="","",IF(MATCH(B10277,$B$2:$B$12000,0)=ROW()-1,1,0))</f>
        <v/>
      </c>
    </row>
    <row r="10278" customFormat="false" ht="15" hidden="false" customHeight="false" outlineLevel="0" collapsed="false">
      <c r="V10278" s="23" t="str">
        <f aca="false">IF(ISNUMBER(C10278),YEAR(C10278),"")</f>
        <v/>
      </c>
      <c r="W10278" s="23" t="str">
        <f aca="false">IF(ISNUMBER(C10278),MONTH(C10278),"")</f>
        <v/>
      </c>
      <c r="X10278" s="23" t="str">
        <f aca="false">IF(T10278="","",IF(T10278=0,"No discount",IF(T10278&lt;=0.2,"Low (1-20%)",IF(T10278&lt;=0.4,"Medium (21-40%)","High (&gt;40%)"))))</f>
        <v/>
      </c>
      <c r="Y10278" s="23" t="str">
        <f aca="false">IF(AND(ISNUMBER(C10278),ISNUMBER(D10278)),D10278-C10278,"")</f>
        <v/>
      </c>
      <c r="Z10278" s="23" t="str">
        <f aca="false">IF(B10278="","",IF(MATCH(B10278,$B$2:$B$12000,0)=ROW()-1,1,0))</f>
        <v/>
      </c>
    </row>
    <row r="10279" customFormat="false" ht="15" hidden="false" customHeight="false" outlineLevel="0" collapsed="false">
      <c r="V10279" s="23" t="str">
        <f aca="false">IF(ISNUMBER(C10279),YEAR(C10279),"")</f>
        <v/>
      </c>
      <c r="W10279" s="23" t="str">
        <f aca="false">IF(ISNUMBER(C10279),MONTH(C10279),"")</f>
        <v/>
      </c>
      <c r="X10279" s="23" t="str">
        <f aca="false">IF(T10279="","",IF(T10279=0,"No discount",IF(T10279&lt;=0.2,"Low (1-20%)",IF(T10279&lt;=0.4,"Medium (21-40%)","High (&gt;40%)"))))</f>
        <v/>
      </c>
      <c r="Y10279" s="23" t="str">
        <f aca="false">IF(AND(ISNUMBER(C10279),ISNUMBER(D10279)),D10279-C10279,"")</f>
        <v/>
      </c>
      <c r="Z10279" s="23" t="str">
        <f aca="false">IF(B10279="","",IF(MATCH(B10279,$B$2:$B$12000,0)=ROW()-1,1,0))</f>
        <v/>
      </c>
    </row>
    <row r="10280" customFormat="false" ht="15" hidden="false" customHeight="false" outlineLevel="0" collapsed="false">
      <c r="V10280" s="23" t="str">
        <f aca="false">IF(ISNUMBER(C10280),YEAR(C10280),"")</f>
        <v/>
      </c>
      <c r="W10280" s="23" t="str">
        <f aca="false">IF(ISNUMBER(C10280),MONTH(C10280),"")</f>
        <v/>
      </c>
      <c r="X10280" s="23" t="str">
        <f aca="false">IF(T10280="","",IF(T10280=0,"No discount",IF(T10280&lt;=0.2,"Low (1-20%)",IF(T10280&lt;=0.4,"Medium (21-40%)","High (&gt;40%)"))))</f>
        <v/>
      </c>
      <c r="Y10280" s="23" t="str">
        <f aca="false">IF(AND(ISNUMBER(C10280),ISNUMBER(D10280)),D10280-C10280,"")</f>
        <v/>
      </c>
      <c r="Z10280" s="23" t="str">
        <f aca="false">IF(B10280="","",IF(MATCH(B10280,$B$2:$B$12000,0)=ROW()-1,1,0))</f>
        <v/>
      </c>
    </row>
    <row r="10281" customFormat="false" ht="15" hidden="false" customHeight="false" outlineLevel="0" collapsed="false">
      <c r="V10281" s="23" t="str">
        <f aca="false">IF(ISNUMBER(C10281),YEAR(C10281),"")</f>
        <v/>
      </c>
      <c r="W10281" s="23" t="str">
        <f aca="false">IF(ISNUMBER(C10281),MONTH(C10281),"")</f>
        <v/>
      </c>
      <c r="X10281" s="23" t="str">
        <f aca="false">IF(T10281="","",IF(T10281=0,"No discount",IF(T10281&lt;=0.2,"Low (1-20%)",IF(T10281&lt;=0.4,"Medium (21-40%)","High (&gt;40%)"))))</f>
        <v/>
      </c>
      <c r="Y10281" s="23" t="str">
        <f aca="false">IF(AND(ISNUMBER(C10281),ISNUMBER(D10281)),D10281-C10281,"")</f>
        <v/>
      </c>
      <c r="Z10281" s="23" t="str">
        <f aca="false">IF(B10281="","",IF(MATCH(B10281,$B$2:$B$12000,0)=ROW()-1,1,0))</f>
        <v/>
      </c>
    </row>
    <row r="10282" customFormat="false" ht="15" hidden="false" customHeight="false" outlineLevel="0" collapsed="false">
      <c r="V10282" s="23" t="str">
        <f aca="false">IF(ISNUMBER(C10282),YEAR(C10282),"")</f>
        <v/>
      </c>
      <c r="W10282" s="23" t="str">
        <f aca="false">IF(ISNUMBER(C10282),MONTH(C10282),"")</f>
        <v/>
      </c>
      <c r="X10282" s="23" t="str">
        <f aca="false">IF(T10282="","",IF(T10282=0,"No discount",IF(T10282&lt;=0.2,"Low (1-20%)",IF(T10282&lt;=0.4,"Medium (21-40%)","High (&gt;40%)"))))</f>
        <v/>
      </c>
      <c r="Y10282" s="23" t="str">
        <f aca="false">IF(AND(ISNUMBER(C10282),ISNUMBER(D10282)),D10282-C10282,"")</f>
        <v/>
      </c>
      <c r="Z10282" s="23" t="str">
        <f aca="false">IF(B10282="","",IF(MATCH(B10282,$B$2:$B$12000,0)=ROW()-1,1,0))</f>
        <v/>
      </c>
    </row>
    <row r="10283" customFormat="false" ht="15" hidden="false" customHeight="false" outlineLevel="0" collapsed="false">
      <c r="V10283" s="23" t="str">
        <f aca="false">IF(ISNUMBER(C10283),YEAR(C10283),"")</f>
        <v/>
      </c>
      <c r="W10283" s="23" t="str">
        <f aca="false">IF(ISNUMBER(C10283),MONTH(C10283),"")</f>
        <v/>
      </c>
      <c r="X10283" s="23" t="str">
        <f aca="false">IF(T10283="","",IF(T10283=0,"No discount",IF(T10283&lt;=0.2,"Low (1-20%)",IF(T10283&lt;=0.4,"Medium (21-40%)","High (&gt;40%)"))))</f>
        <v/>
      </c>
      <c r="Y10283" s="23" t="str">
        <f aca="false">IF(AND(ISNUMBER(C10283),ISNUMBER(D10283)),D10283-C10283,"")</f>
        <v/>
      </c>
      <c r="Z10283" s="23" t="str">
        <f aca="false">IF(B10283="","",IF(MATCH(B10283,$B$2:$B$12000,0)=ROW()-1,1,0))</f>
        <v/>
      </c>
    </row>
    <row r="10284" customFormat="false" ht="15" hidden="false" customHeight="false" outlineLevel="0" collapsed="false">
      <c r="V10284" s="23" t="str">
        <f aca="false">IF(ISNUMBER(C10284),YEAR(C10284),"")</f>
        <v/>
      </c>
      <c r="W10284" s="23" t="str">
        <f aca="false">IF(ISNUMBER(C10284),MONTH(C10284),"")</f>
        <v/>
      </c>
      <c r="X10284" s="23" t="str">
        <f aca="false">IF(T10284="","",IF(T10284=0,"No discount",IF(T10284&lt;=0.2,"Low (1-20%)",IF(T10284&lt;=0.4,"Medium (21-40%)","High (&gt;40%)"))))</f>
        <v/>
      </c>
      <c r="Y10284" s="23" t="str">
        <f aca="false">IF(AND(ISNUMBER(C10284),ISNUMBER(D10284)),D10284-C10284,"")</f>
        <v/>
      </c>
      <c r="Z10284" s="23" t="str">
        <f aca="false">IF(B10284="","",IF(MATCH(B10284,$B$2:$B$12000,0)=ROW()-1,1,0))</f>
        <v/>
      </c>
    </row>
    <row r="10285" customFormat="false" ht="15" hidden="false" customHeight="false" outlineLevel="0" collapsed="false">
      <c r="V10285" s="23" t="str">
        <f aca="false">IF(ISNUMBER(C10285),YEAR(C10285),"")</f>
        <v/>
      </c>
      <c r="W10285" s="23" t="str">
        <f aca="false">IF(ISNUMBER(C10285),MONTH(C10285),"")</f>
        <v/>
      </c>
      <c r="X10285" s="23" t="str">
        <f aca="false">IF(T10285="","",IF(T10285=0,"No discount",IF(T10285&lt;=0.2,"Low (1-20%)",IF(T10285&lt;=0.4,"Medium (21-40%)","High (&gt;40%)"))))</f>
        <v/>
      </c>
      <c r="Y10285" s="23" t="str">
        <f aca="false">IF(AND(ISNUMBER(C10285),ISNUMBER(D10285)),D10285-C10285,"")</f>
        <v/>
      </c>
      <c r="Z10285" s="23" t="str">
        <f aca="false">IF(B10285="","",IF(MATCH(B10285,$B$2:$B$12000,0)=ROW()-1,1,0))</f>
        <v/>
      </c>
    </row>
    <row r="10286" customFormat="false" ht="15" hidden="false" customHeight="false" outlineLevel="0" collapsed="false">
      <c r="V10286" s="23" t="str">
        <f aca="false">IF(ISNUMBER(C10286),YEAR(C10286),"")</f>
        <v/>
      </c>
      <c r="W10286" s="23" t="str">
        <f aca="false">IF(ISNUMBER(C10286),MONTH(C10286),"")</f>
        <v/>
      </c>
      <c r="X10286" s="23" t="str">
        <f aca="false">IF(T10286="","",IF(T10286=0,"No discount",IF(T10286&lt;=0.2,"Low (1-20%)",IF(T10286&lt;=0.4,"Medium (21-40%)","High (&gt;40%)"))))</f>
        <v/>
      </c>
      <c r="Y10286" s="23" t="str">
        <f aca="false">IF(AND(ISNUMBER(C10286),ISNUMBER(D10286)),D10286-C10286,"")</f>
        <v/>
      </c>
      <c r="Z10286" s="23" t="str">
        <f aca="false">IF(B10286="","",IF(MATCH(B10286,$B$2:$B$12000,0)=ROW()-1,1,0))</f>
        <v/>
      </c>
    </row>
    <row r="10287" customFormat="false" ht="15" hidden="false" customHeight="false" outlineLevel="0" collapsed="false">
      <c r="V10287" s="23" t="str">
        <f aca="false">IF(ISNUMBER(C10287),YEAR(C10287),"")</f>
        <v/>
      </c>
      <c r="W10287" s="23" t="str">
        <f aca="false">IF(ISNUMBER(C10287),MONTH(C10287),"")</f>
        <v/>
      </c>
      <c r="X10287" s="23" t="str">
        <f aca="false">IF(T10287="","",IF(T10287=0,"No discount",IF(T10287&lt;=0.2,"Low (1-20%)",IF(T10287&lt;=0.4,"Medium (21-40%)","High (&gt;40%)"))))</f>
        <v/>
      </c>
      <c r="Y10287" s="23" t="str">
        <f aca="false">IF(AND(ISNUMBER(C10287),ISNUMBER(D10287)),D10287-C10287,"")</f>
        <v/>
      </c>
      <c r="Z10287" s="23" t="str">
        <f aca="false">IF(B10287="","",IF(MATCH(B10287,$B$2:$B$12000,0)=ROW()-1,1,0))</f>
        <v/>
      </c>
    </row>
    <row r="10288" customFormat="false" ht="15" hidden="false" customHeight="false" outlineLevel="0" collapsed="false">
      <c r="V10288" s="23" t="str">
        <f aca="false">IF(ISNUMBER(C10288),YEAR(C10288),"")</f>
        <v/>
      </c>
      <c r="W10288" s="23" t="str">
        <f aca="false">IF(ISNUMBER(C10288),MONTH(C10288),"")</f>
        <v/>
      </c>
      <c r="X10288" s="23" t="str">
        <f aca="false">IF(T10288="","",IF(T10288=0,"No discount",IF(T10288&lt;=0.2,"Low (1-20%)",IF(T10288&lt;=0.4,"Medium (21-40%)","High (&gt;40%)"))))</f>
        <v/>
      </c>
      <c r="Y10288" s="23" t="str">
        <f aca="false">IF(AND(ISNUMBER(C10288),ISNUMBER(D10288)),D10288-C10288,"")</f>
        <v/>
      </c>
      <c r="Z10288" s="23" t="str">
        <f aca="false">IF(B10288="","",IF(MATCH(B10288,$B$2:$B$12000,0)=ROW()-1,1,0))</f>
        <v/>
      </c>
    </row>
    <row r="10289" customFormat="false" ht="15" hidden="false" customHeight="false" outlineLevel="0" collapsed="false">
      <c r="V10289" s="23" t="str">
        <f aca="false">IF(ISNUMBER(C10289),YEAR(C10289),"")</f>
        <v/>
      </c>
      <c r="W10289" s="23" t="str">
        <f aca="false">IF(ISNUMBER(C10289),MONTH(C10289),"")</f>
        <v/>
      </c>
      <c r="X10289" s="23" t="str">
        <f aca="false">IF(T10289="","",IF(T10289=0,"No discount",IF(T10289&lt;=0.2,"Low (1-20%)",IF(T10289&lt;=0.4,"Medium (21-40%)","High (&gt;40%)"))))</f>
        <v/>
      </c>
      <c r="Y10289" s="23" t="str">
        <f aca="false">IF(AND(ISNUMBER(C10289),ISNUMBER(D10289)),D10289-C10289,"")</f>
        <v/>
      </c>
      <c r="Z10289" s="23" t="str">
        <f aca="false">IF(B10289="","",IF(MATCH(B10289,$B$2:$B$12000,0)=ROW()-1,1,0))</f>
        <v/>
      </c>
    </row>
    <row r="10290" customFormat="false" ht="15" hidden="false" customHeight="false" outlineLevel="0" collapsed="false">
      <c r="V10290" s="23" t="str">
        <f aca="false">IF(ISNUMBER(C10290),YEAR(C10290),"")</f>
        <v/>
      </c>
      <c r="W10290" s="23" t="str">
        <f aca="false">IF(ISNUMBER(C10290),MONTH(C10290),"")</f>
        <v/>
      </c>
      <c r="X10290" s="23" t="str">
        <f aca="false">IF(T10290="","",IF(T10290=0,"No discount",IF(T10290&lt;=0.2,"Low (1-20%)",IF(T10290&lt;=0.4,"Medium (21-40%)","High (&gt;40%)"))))</f>
        <v/>
      </c>
      <c r="Y10290" s="23" t="str">
        <f aca="false">IF(AND(ISNUMBER(C10290),ISNUMBER(D10290)),D10290-C10290,"")</f>
        <v/>
      </c>
      <c r="Z10290" s="23" t="str">
        <f aca="false">IF(B10290="","",IF(MATCH(B10290,$B$2:$B$12000,0)=ROW()-1,1,0))</f>
        <v/>
      </c>
    </row>
    <row r="10291" customFormat="false" ht="15" hidden="false" customHeight="false" outlineLevel="0" collapsed="false">
      <c r="V10291" s="23" t="str">
        <f aca="false">IF(ISNUMBER(C10291),YEAR(C10291),"")</f>
        <v/>
      </c>
      <c r="W10291" s="23" t="str">
        <f aca="false">IF(ISNUMBER(C10291),MONTH(C10291),"")</f>
        <v/>
      </c>
      <c r="X10291" s="23" t="str">
        <f aca="false">IF(T10291="","",IF(T10291=0,"No discount",IF(T10291&lt;=0.2,"Low (1-20%)",IF(T10291&lt;=0.4,"Medium (21-40%)","High (&gt;40%)"))))</f>
        <v/>
      </c>
      <c r="Y10291" s="23" t="str">
        <f aca="false">IF(AND(ISNUMBER(C10291),ISNUMBER(D10291)),D10291-C10291,"")</f>
        <v/>
      </c>
      <c r="Z10291" s="23" t="str">
        <f aca="false">IF(B10291="","",IF(MATCH(B10291,$B$2:$B$12000,0)=ROW()-1,1,0))</f>
        <v/>
      </c>
    </row>
    <row r="10292" customFormat="false" ht="15" hidden="false" customHeight="false" outlineLevel="0" collapsed="false">
      <c r="V10292" s="23" t="str">
        <f aca="false">IF(ISNUMBER(C10292),YEAR(C10292),"")</f>
        <v/>
      </c>
      <c r="W10292" s="23" t="str">
        <f aca="false">IF(ISNUMBER(C10292),MONTH(C10292),"")</f>
        <v/>
      </c>
      <c r="X10292" s="23" t="str">
        <f aca="false">IF(T10292="","",IF(T10292=0,"No discount",IF(T10292&lt;=0.2,"Low (1-20%)",IF(T10292&lt;=0.4,"Medium (21-40%)","High (&gt;40%)"))))</f>
        <v/>
      </c>
      <c r="Y10292" s="23" t="str">
        <f aca="false">IF(AND(ISNUMBER(C10292),ISNUMBER(D10292)),D10292-C10292,"")</f>
        <v/>
      </c>
      <c r="Z10292" s="23" t="str">
        <f aca="false">IF(B10292="","",IF(MATCH(B10292,$B$2:$B$12000,0)=ROW()-1,1,0))</f>
        <v/>
      </c>
    </row>
    <row r="10293" customFormat="false" ht="15" hidden="false" customHeight="false" outlineLevel="0" collapsed="false">
      <c r="V10293" s="23" t="str">
        <f aca="false">IF(ISNUMBER(C10293),YEAR(C10293),"")</f>
        <v/>
      </c>
      <c r="W10293" s="23" t="str">
        <f aca="false">IF(ISNUMBER(C10293),MONTH(C10293),"")</f>
        <v/>
      </c>
      <c r="X10293" s="23" t="str">
        <f aca="false">IF(T10293="","",IF(T10293=0,"No discount",IF(T10293&lt;=0.2,"Low (1-20%)",IF(T10293&lt;=0.4,"Medium (21-40%)","High (&gt;40%)"))))</f>
        <v/>
      </c>
      <c r="Y10293" s="23" t="str">
        <f aca="false">IF(AND(ISNUMBER(C10293),ISNUMBER(D10293)),D10293-C10293,"")</f>
        <v/>
      </c>
      <c r="Z10293" s="23" t="str">
        <f aca="false">IF(B10293="","",IF(MATCH(B10293,$B$2:$B$12000,0)=ROW()-1,1,0))</f>
        <v/>
      </c>
    </row>
    <row r="10294" customFormat="false" ht="15" hidden="false" customHeight="false" outlineLevel="0" collapsed="false">
      <c r="V10294" s="23" t="str">
        <f aca="false">IF(ISNUMBER(C10294),YEAR(C10294),"")</f>
        <v/>
      </c>
      <c r="W10294" s="23" t="str">
        <f aca="false">IF(ISNUMBER(C10294),MONTH(C10294),"")</f>
        <v/>
      </c>
      <c r="X10294" s="23" t="str">
        <f aca="false">IF(T10294="","",IF(T10294=0,"No discount",IF(T10294&lt;=0.2,"Low (1-20%)",IF(T10294&lt;=0.4,"Medium (21-40%)","High (&gt;40%)"))))</f>
        <v/>
      </c>
      <c r="Y10294" s="23" t="str">
        <f aca="false">IF(AND(ISNUMBER(C10294),ISNUMBER(D10294)),D10294-C10294,"")</f>
        <v/>
      </c>
      <c r="Z10294" s="23" t="str">
        <f aca="false">IF(B10294="","",IF(MATCH(B10294,$B$2:$B$12000,0)=ROW()-1,1,0))</f>
        <v/>
      </c>
    </row>
    <row r="10295" customFormat="false" ht="15" hidden="false" customHeight="false" outlineLevel="0" collapsed="false">
      <c r="V10295" s="23" t="str">
        <f aca="false">IF(ISNUMBER(C10295),YEAR(C10295),"")</f>
        <v/>
      </c>
      <c r="W10295" s="23" t="str">
        <f aca="false">IF(ISNUMBER(C10295),MONTH(C10295),"")</f>
        <v/>
      </c>
      <c r="X10295" s="23" t="str">
        <f aca="false">IF(T10295="","",IF(T10295=0,"No discount",IF(T10295&lt;=0.2,"Low (1-20%)",IF(T10295&lt;=0.4,"Medium (21-40%)","High (&gt;40%)"))))</f>
        <v/>
      </c>
      <c r="Y10295" s="23" t="str">
        <f aca="false">IF(AND(ISNUMBER(C10295),ISNUMBER(D10295)),D10295-C10295,"")</f>
        <v/>
      </c>
      <c r="Z10295" s="23" t="str">
        <f aca="false">IF(B10295="","",IF(MATCH(B10295,$B$2:$B$12000,0)=ROW()-1,1,0))</f>
        <v/>
      </c>
    </row>
    <row r="10296" customFormat="false" ht="15" hidden="false" customHeight="false" outlineLevel="0" collapsed="false">
      <c r="V10296" s="23" t="str">
        <f aca="false">IF(ISNUMBER(C10296),YEAR(C10296),"")</f>
        <v/>
      </c>
      <c r="W10296" s="23" t="str">
        <f aca="false">IF(ISNUMBER(C10296),MONTH(C10296),"")</f>
        <v/>
      </c>
      <c r="X10296" s="23" t="str">
        <f aca="false">IF(T10296="","",IF(T10296=0,"No discount",IF(T10296&lt;=0.2,"Low (1-20%)",IF(T10296&lt;=0.4,"Medium (21-40%)","High (&gt;40%)"))))</f>
        <v/>
      </c>
      <c r="Y10296" s="23" t="str">
        <f aca="false">IF(AND(ISNUMBER(C10296),ISNUMBER(D10296)),D10296-C10296,"")</f>
        <v/>
      </c>
      <c r="Z10296" s="23" t="str">
        <f aca="false">IF(B10296="","",IF(MATCH(B10296,$B$2:$B$12000,0)=ROW()-1,1,0))</f>
        <v/>
      </c>
    </row>
    <row r="10297" customFormat="false" ht="15" hidden="false" customHeight="false" outlineLevel="0" collapsed="false">
      <c r="V10297" s="23" t="str">
        <f aca="false">IF(ISNUMBER(C10297),YEAR(C10297),"")</f>
        <v/>
      </c>
      <c r="W10297" s="23" t="str">
        <f aca="false">IF(ISNUMBER(C10297),MONTH(C10297),"")</f>
        <v/>
      </c>
      <c r="X10297" s="23" t="str">
        <f aca="false">IF(T10297="","",IF(T10297=0,"No discount",IF(T10297&lt;=0.2,"Low (1-20%)",IF(T10297&lt;=0.4,"Medium (21-40%)","High (&gt;40%)"))))</f>
        <v/>
      </c>
      <c r="Y10297" s="23" t="str">
        <f aca="false">IF(AND(ISNUMBER(C10297),ISNUMBER(D10297)),D10297-C10297,"")</f>
        <v/>
      </c>
      <c r="Z10297" s="23" t="str">
        <f aca="false">IF(B10297="","",IF(MATCH(B10297,$B$2:$B$12000,0)=ROW()-1,1,0))</f>
        <v/>
      </c>
    </row>
    <row r="10298" customFormat="false" ht="15" hidden="false" customHeight="false" outlineLevel="0" collapsed="false">
      <c r="V10298" s="23" t="str">
        <f aca="false">IF(ISNUMBER(C10298),YEAR(C10298),"")</f>
        <v/>
      </c>
      <c r="W10298" s="23" t="str">
        <f aca="false">IF(ISNUMBER(C10298),MONTH(C10298),"")</f>
        <v/>
      </c>
      <c r="X10298" s="23" t="str">
        <f aca="false">IF(T10298="","",IF(T10298=0,"No discount",IF(T10298&lt;=0.2,"Low (1-20%)",IF(T10298&lt;=0.4,"Medium (21-40%)","High (&gt;40%)"))))</f>
        <v/>
      </c>
      <c r="Y10298" s="23" t="str">
        <f aca="false">IF(AND(ISNUMBER(C10298),ISNUMBER(D10298)),D10298-C10298,"")</f>
        <v/>
      </c>
      <c r="Z10298" s="23" t="str">
        <f aca="false">IF(B10298="","",IF(MATCH(B10298,$B$2:$B$12000,0)=ROW()-1,1,0))</f>
        <v/>
      </c>
    </row>
    <row r="10299" customFormat="false" ht="15" hidden="false" customHeight="false" outlineLevel="0" collapsed="false">
      <c r="V10299" s="23" t="str">
        <f aca="false">IF(ISNUMBER(C10299),YEAR(C10299),"")</f>
        <v/>
      </c>
      <c r="W10299" s="23" t="str">
        <f aca="false">IF(ISNUMBER(C10299),MONTH(C10299),"")</f>
        <v/>
      </c>
      <c r="X10299" s="23" t="str">
        <f aca="false">IF(T10299="","",IF(T10299=0,"No discount",IF(T10299&lt;=0.2,"Low (1-20%)",IF(T10299&lt;=0.4,"Medium (21-40%)","High (&gt;40%)"))))</f>
        <v/>
      </c>
      <c r="Y10299" s="23" t="str">
        <f aca="false">IF(AND(ISNUMBER(C10299),ISNUMBER(D10299)),D10299-C10299,"")</f>
        <v/>
      </c>
      <c r="Z10299" s="23" t="str">
        <f aca="false">IF(B10299="","",IF(MATCH(B10299,$B$2:$B$12000,0)=ROW()-1,1,0))</f>
        <v/>
      </c>
    </row>
    <row r="10300" customFormat="false" ht="15" hidden="false" customHeight="false" outlineLevel="0" collapsed="false">
      <c r="V10300" s="23" t="str">
        <f aca="false">IF(ISNUMBER(C10300),YEAR(C10300),"")</f>
        <v/>
      </c>
      <c r="W10300" s="23" t="str">
        <f aca="false">IF(ISNUMBER(C10300),MONTH(C10300),"")</f>
        <v/>
      </c>
      <c r="X10300" s="23" t="str">
        <f aca="false">IF(T10300="","",IF(T10300=0,"No discount",IF(T10300&lt;=0.2,"Low (1-20%)",IF(T10300&lt;=0.4,"Medium (21-40%)","High (&gt;40%)"))))</f>
        <v/>
      </c>
      <c r="Y10300" s="23" t="str">
        <f aca="false">IF(AND(ISNUMBER(C10300),ISNUMBER(D10300)),D10300-C10300,"")</f>
        <v/>
      </c>
      <c r="Z10300" s="23" t="str">
        <f aca="false">IF(B10300="","",IF(MATCH(B10300,$B$2:$B$12000,0)=ROW()-1,1,0))</f>
        <v/>
      </c>
    </row>
    <row r="10301" customFormat="false" ht="15" hidden="false" customHeight="false" outlineLevel="0" collapsed="false">
      <c r="V10301" s="23" t="str">
        <f aca="false">IF(ISNUMBER(C10301),YEAR(C10301),"")</f>
        <v/>
      </c>
      <c r="W10301" s="23" t="str">
        <f aca="false">IF(ISNUMBER(C10301),MONTH(C10301),"")</f>
        <v/>
      </c>
      <c r="X10301" s="23" t="str">
        <f aca="false">IF(T10301="","",IF(T10301=0,"No discount",IF(T10301&lt;=0.2,"Low (1-20%)",IF(T10301&lt;=0.4,"Medium (21-40%)","High (&gt;40%)"))))</f>
        <v/>
      </c>
      <c r="Y10301" s="23" t="str">
        <f aca="false">IF(AND(ISNUMBER(C10301),ISNUMBER(D10301)),D10301-C10301,"")</f>
        <v/>
      </c>
      <c r="Z10301" s="23" t="str">
        <f aca="false">IF(B10301="","",IF(MATCH(B10301,$B$2:$B$12000,0)=ROW()-1,1,0))</f>
        <v/>
      </c>
    </row>
    <row r="10302" customFormat="false" ht="15" hidden="false" customHeight="false" outlineLevel="0" collapsed="false">
      <c r="V10302" s="23" t="str">
        <f aca="false">IF(ISNUMBER(C10302),YEAR(C10302),"")</f>
        <v/>
      </c>
      <c r="W10302" s="23" t="str">
        <f aca="false">IF(ISNUMBER(C10302),MONTH(C10302),"")</f>
        <v/>
      </c>
      <c r="X10302" s="23" t="str">
        <f aca="false">IF(T10302="","",IF(T10302=0,"No discount",IF(T10302&lt;=0.2,"Low (1-20%)",IF(T10302&lt;=0.4,"Medium (21-40%)","High (&gt;40%)"))))</f>
        <v/>
      </c>
      <c r="Y10302" s="23" t="str">
        <f aca="false">IF(AND(ISNUMBER(C10302),ISNUMBER(D10302)),D10302-C10302,"")</f>
        <v/>
      </c>
      <c r="Z10302" s="23" t="str">
        <f aca="false">IF(B10302="","",IF(MATCH(B10302,$B$2:$B$12000,0)=ROW()-1,1,0))</f>
        <v/>
      </c>
    </row>
    <row r="10303" customFormat="false" ht="15" hidden="false" customHeight="false" outlineLevel="0" collapsed="false">
      <c r="V10303" s="23" t="str">
        <f aca="false">IF(ISNUMBER(C10303),YEAR(C10303),"")</f>
        <v/>
      </c>
      <c r="W10303" s="23" t="str">
        <f aca="false">IF(ISNUMBER(C10303),MONTH(C10303),"")</f>
        <v/>
      </c>
      <c r="X10303" s="23" t="str">
        <f aca="false">IF(T10303="","",IF(T10303=0,"No discount",IF(T10303&lt;=0.2,"Low (1-20%)",IF(T10303&lt;=0.4,"Medium (21-40%)","High (&gt;40%)"))))</f>
        <v/>
      </c>
      <c r="Y10303" s="23" t="str">
        <f aca="false">IF(AND(ISNUMBER(C10303),ISNUMBER(D10303)),D10303-C10303,"")</f>
        <v/>
      </c>
      <c r="Z10303" s="23" t="str">
        <f aca="false">IF(B10303="","",IF(MATCH(B10303,$B$2:$B$12000,0)=ROW()-1,1,0))</f>
        <v/>
      </c>
    </row>
    <row r="10304" customFormat="false" ht="15" hidden="false" customHeight="false" outlineLevel="0" collapsed="false">
      <c r="V10304" s="23" t="str">
        <f aca="false">IF(ISNUMBER(C10304),YEAR(C10304),"")</f>
        <v/>
      </c>
      <c r="W10304" s="23" t="str">
        <f aca="false">IF(ISNUMBER(C10304),MONTH(C10304),"")</f>
        <v/>
      </c>
      <c r="X10304" s="23" t="str">
        <f aca="false">IF(T10304="","",IF(T10304=0,"No discount",IF(T10304&lt;=0.2,"Low (1-20%)",IF(T10304&lt;=0.4,"Medium (21-40%)","High (&gt;40%)"))))</f>
        <v/>
      </c>
      <c r="Y10304" s="23" t="str">
        <f aca="false">IF(AND(ISNUMBER(C10304),ISNUMBER(D10304)),D10304-C10304,"")</f>
        <v/>
      </c>
      <c r="Z10304" s="23" t="str">
        <f aca="false">IF(B10304="","",IF(MATCH(B10304,$B$2:$B$12000,0)=ROW()-1,1,0))</f>
        <v/>
      </c>
    </row>
    <row r="10305" customFormat="false" ht="15" hidden="false" customHeight="false" outlineLevel="0" collapsed="false">
      <c r="V10305" s="23" t="str">
        <f aca="false">IF(ISNUMBER(C10305),YEAR(C10305),"")</f>
        <v/>
      </c>
      <c r="W10305" s="23" t="str">
        <f aca="false">IF(ISNUMBER(C10305),MONTH(C10305),"")</f>
        <v/>
      </c>
      <c r="X10305" s="23" t="str">
        <f aca="false">IF(T10305="","",IF(T10305=0,"No discount",IF(T10305&lt;=0.2,"Low (1-20%)",IF(T10305&lt;=0.4,"Medium (21-40%)","High (&gt;40%)"))))</f>
        <v/>
      </c>
      <c r="Y10305" s="23" t="str">
        <f aca="false">IF(AND(ISNUMBER(C10305),ISNUMBER(D10305)),D10305-C10305,"")</f>
        <v/>
      </c>
      <c r="Z10305" s="23" t="str">
        <f aca="false">IF(B10305="","",IF(MATCH(B10305,$B$2:$B$12000,0)=ROW()-1,1,0))</f>
        <v/>
      </c>
    </row>
    <row r="10306" customFormat="false" ht="15" hidden="false" customHeight="false" outlineLevel="0" collapsed="false">
      <c r="V10306" s="23" t="str">
        <f aca="false">IF(ISNUMBER(C10306),YEAR(C10306),"")</f>
        <v/>
      </c>
      <c r="W10306" s="23" t="str">
        <f aca="false">IF(ISNUMBER(C10306),MONTH(C10306),"")</f>
        <v/>
      </c>
      <c r="X10306" s="23" t="str">
        <f aca="false">IF(T10306="","",IF(T10306=0,"No discount",IF(T10306&lt;=0.2,"Low (1-20%)",IF(T10306&lt;=0.4,"Medium (21-40%)","High (&gt;40%)"))))</f>
        <v/>
      </c>
      <c r="Y10306" s="23" t="str">
        <f aca="false">IF(AND(ISNUMBER(C10306),ISNUMBER(D10306)),D10306-C10306,"")</f>
        <v/>
      </c>
      <c r="Z10306" s="23" t="str">
        <f aca="false">IF(B10306="","",IF(MATCH(B10306,$B$2:$B$12000,0)=ROW()-1,1,0))</f>
        <v/>
      </c>
    </row>
    <row r="10307" customFormat="false" ht="15" hidden="false" customHeight="false" outlineLevel="0" collapsed="false">
      <c r="V10307" s="23" t="str">
        <f aca="false">IF(ISNUMBER(C10307),YEAR(C10307),"")</f>
        <v/>
      </c>
      <c r="W10307" s="23" t="str">
        <f aca="false">IF(ISNUMBER(C10307),MONTH(C10307),"")</f>
        <v/>
      </c>
      <c r="X10307" s="23" t="str">
        <f aca="false">IF(T10307="","",IF(T10307=0,"No discount",IF(T10307&lt;=0.2,"Low (1-20%)",IF(T10307&lt;=0.4,"Medium (21-40%)","High (&gt;40%)"))))</f>
        <v/>
      </c>
      <c r="Y10307" s="23" t="str">
        <f aca="false">IF(AND(ISNUMBER(C10307),ISNUMBER(D10307)),D10307-C10307,"")</f>
        <v/>
      </c>
      <c r="Z10307" s="23" t="str">
        <f aca="false">IF(B10307="","",IF(MATCH(B10307,$B$2:$B$12000,0)=ROW()-1,1,0))</f>
        <v/>
      </c>
    </row>
    <row r="10308" customFormat="false" ht="15" hidden="false" customHeight="false" outlineLevel="0" collapsed="false">
      <c r="V10308" s="23" t="str">
        <f aca="false">IF(ISNUMBER(C10308),YEAR(C10308),"")</f>
        <v/>
      </c>
      <c r="W10308" s="23" t="str">
        <f aca="false">IF(ISNUMBER(C10308),MONTH(C10308),"")</f>
        <v/>
      </c>
      <c r="X10308" s="23" t="str">
        <f aca="false">IF(T10308="","",IF(T10308=0,"No discount",IF(T10308&lt;=0.2,"Low (1-20%)",IF(T10308&lt;=0.4,"Medium (21-40%)","High (&gt;40%)"))))</f>
        <v/>
      </c>
      <c r="Y10308" s="23" t="str">
        <f aca="false">IF(AND(ISNUMBER(C10308),ISNUMBER(D10308)),D10308-C10308,"")</f>
        <v/>
      </c>
      <c r="Z10308" s="23" t="str">
        <f aca="false">IF(B10308="","",IF(MATCH(B10308,$B$2:$B$12000,0)=ROW()-1,1,0))</f>
        <v/>
      </c>
    </row>
    <row r="10309" customFormat="false" ht="15" hidden="false" customHeight="false" outlineLevel="0" collapsed="false">
      <c r="V10309" s="23" t="str">
        <f aca="false">IF(ISNUMBER(C10309),YEAR(C10309),"")</f>
        <v/>
      </c>
      <c r="W10309" s="23" t="str">
        <f aca="false">IF(ISNUMBER(C10309),MONTH(C10309),"")</f>
        <v/>
      </c>
      <c r="X10309" s="23" t="str">
        <f aca="false">IF(T10309="","",IF(T10309=0,"No discount",IF(T10309&lt;=0.2,"Low (1-20%)",IF(T10309&lt;=0.4,"Medium (21-40%)","High (&gt;40%)"))))</f>
        <v/>
      </c>
      <c r="Y10309" s="23" t="str">
        <f aca="false">IF(AND(ISNUMBER(C10309),ISNUMBER(D10309)),D10309-C10309,"")</f>
        <v/>
      </c>
      <c r="Z10309" s="23" t="str">
        <f aca="false">IF(B10309="","",IF(MATCH(B10309,$B$2:$B$12000,0)=ROW()-1,1,0))</f>
        <v/>
      </c>
    </row>
    <row r="10310" customFormat="false" ht="15" hidden="false" customHeight="false" outlineLevel="0" collapsed="false">
      <c r="V10310" s="23" t="str">
        <f aca="false">IF(ISNUMBER(C10310),YEAR(C10310),"")</f>
        <v/>
      </c>
      <c r="W10310" s="23" t="str">
        <f aca="false">IF(ISNUMBER(C10310),MONTH(C10310),"")</f>
        <v/>
      </c>
      <c r="X10310" s="23" t="str">
        <f aca="false">IF(T10310="","",IF(T10310=0,"No discount",IF(T10310&lt;=0.2,"Low (1-20%)",IF(T10310&lt;=0.4,"Medium (21-40%)","High (&gt;40%)"))))</f>
        <v/>
      </c>
      <c r="Y10310" s="23" t="str">
        <f aca="false">IF(AND(ISNUMBER(C10310),ISNUMBER(D10310)),D10310-C10310,"")</f>
        <v/>
      </c>
      <c r="Z10310" s="23" t="str">
        <f aca="false">IF(B10310="","",IF(MATCH(B10310,$B$2:$B$12000,0)=ROW()-1,1,0))</f>
        <v/>
      </c>
    </row>
    <row r="10311" customFormat="false" ht="15" hidden="false" customHeight="false" outlineLevel="0" collapsed="false">
      <c r="V10311" s="23" t="str">
        <f aca="false">IF(ISNUMBER(C10311),YEAR(C10311),"")</f>
        <v/>
      </c>
      <c r="W10311" s="23" t="str">
        <f aca="false">IF(ISNUMBER(C10311),MONTH(C10311),"")</f>
        <v/>
      </c>
      <c r="X10311" s="23" t="str">
        <f aca="false">IF(T10311="","",IF(T10311=0,"No discount",IF(T10311&lt;=0.2,"Low (1-20%)",IF(T10311&lt;=0.4,"Medium (21-40%)","High (&gt;40%)"))))</f>
        <v/>
      </c>
      <c r="Y10311" s="23" t="str">
        <f aca="false">IF(AND(ISNUMBER(C10311),ISNUMBER(D10311)),D10311-C10311,"")</f>
        <v/>
      </c>
      <c r="Z10311" s="23" t="str">
        <f aca="false">IF(B10311="","",IF(MATCH(B10311,$B$2:$B$12000,0)=ROW()-1,1,0))</f>
        <v/>
      </c>
    </row>
    <row r="10312" customFormat="false" ht="15" hidden="false" customHeight="false" outlineLevel="0" collapsed="false">
      <c r="V10312" s="23" t="str">
        <f aca="false">IF(ISNUMBER(C10312),YEAR(C10312),"")</f>
        <v/>
      </c>
      <c r="W10312" s="23" t="str">
        <f aca="false">IF(ISNUMBER(C10312),MONTH(C10312),"")</f>
        <v/>
      </c>
      <c r="X10312" s="23" t="str">
        <f aca="false">IF(T10312="","",IF(T10312=0,"No discount",IF(T10312&lt;=0.2,"Low (1-20%)",IF(T10312&lt;=0.4,"Medium (21-40%)","High (&gt;40%)"))))</f>
        <v/>
      </c>
      <c r="Y10312" s="23" t="str">
        <f aca="false">IF(AND(ISNUMBER(C10312),ISNUMBER(D10312)),D10312-C10312,"")</f>
        <v/>
      </c>
      <c r="Z10312" s="23" t="str">
        <f aca="false">IF(B10312="","",IF(MATCH(B10312,$B$2:$B$12000,0)=ROW()-1,1,0))</f>
        <v/>
      </c>
    </row>
    <row r="10313" customFormat="false" ht="15" hidden="false" customHeight="false" outlineLevel="0" collapsed="false">
      <c r="V10313" s="23" t="str">
        <f aca="false">IF(ISNUMBER(C10313),YEAR(C10313),"")</f>
        <v/>
      </c>
      <c r="W10313" s="23" t="str">
        <f aca="false">IF(ISNUMBER(C10313),MONTH(C10313),"")</f>
        <v/>
      </c>
      <c r="X10313" s="23" t="str">
        <f aca="false">IF(T10313="","",IF(T10313=0,"No discount",IF(T10313&lt;=0.2,"Low (1-20%)",IF(T10313&lt;=0.4,"Medium (21-40%)","High (&gt;40%)"))))</f>
        <v/>
      </c>
      <c r="Y10313" s="23" t="str">
        <f aca="false">IF(AND(ISNUMBER(C10313),ISNUMBER(D10313)),D10313-C10313,"")</f>
        <v/>
      </c>
      <c r="Z10313" s="23" t="str">
        <f aca="false">IF(B10313="","",IF(MATCH(B10313,$B$2:$B$12000,0)=ROW()-1,1,0))</f>
        <v/>
      </c>
    </row>
    <row r="10314" customFormat="false" ht="15" hidden="false" customHeight="false" outlineLevel="0" collapsed="false">
      <c r="V10314" s="23" t="str">
        <f aca="false">IF(ISNUMBER(C10314),YEAR(C10314),"")</f>
        <v/>
      </c>
      <c r="W10314" s="23" t="str">
        <f aca="false">IF(ISNUMBER(C10314),MONTH(C10314),"")</f>
        <v/>
      </c>
      <c r="X10314" s="23" t="str">
        <f aca="false">IF(T10314="","",IF(T10314=0,"No discount",IF(T10314&lt;=0.2,"Low (1-20%)",IF(T10314&lt;=0.4,"Medium (21-40%)","High (&gt;40%)"))))</f>
        <v/>
      </c>
      <c r="Y10314" s="23" t="str">
        <f aca="false">IF(AND(ISNUMBER(C10314),ISNUMBER(D10314)),D10314-C10314,"")</f>
        <v/>
      </c>
      <c r="Z10314" s="23" t="str">
        <f aca="false">IF(B10314="","",IF(MATCH(B10314,$B$2:$B$12000,0)=ROW()-1,1,0))</f>
        <v/>
      </c>
    </row>
    <row r="10315" customFormat="false" ht="15" hidden="false" customHeight="false" outlineLevel="0" collapsed="false">
      <c r="V10315" s="23" t="str">
        <f aca="false">IF(ISNUMBER(C10315),YEAR(C10315),"")</f>
        <v/>
      </c>
      <c r="W10315" s="23" t="str">
        <f aca="false">IF(ISNUMBER(C10315),MONTH(C10315),"")</f>
        <v/>
      </c>
      <c r="X10315" s="23" t="str">
        <f aca="false">IF(T10315="","",IF(T10315=0,"No discount",IF(T10315&lt;=0.2,"Low (1-20%)",IF(T10315&lt;=0.4,"Medium (21-40%)","High (&gt;40%)"))))</f>
        <v/>
      </c>
      <c r="Y10315" s="23" t="str">
        <f aca="false">IF(AND(ISNUMBER(C10315),ISNUMBER(D10315)),D10315-C10315,"")</f>
        <v/>
      </c>
      <c r="Z10315" s="23" t="str">
        <f aca="false">IF(B10315="","",IF(MATCH(B10315,$B$2:$B$12000,0)=ROW()-1,1,0))</f>
        <v/>
      </c>
    </row>
    <row r="10316" customFormat="false" ht="15" hidden="false" customHeight="false" outlineLevel="0" collapsed="false">
      <c r="V10316" s="23" t="str">
        <f aca="false">IF(ISNUMBER(C10316),YEAR(C10316),"")</f>
        <v/>
      </c>
      <c r="W10316" s="23" t="str">
        <f aca="false">IF(ISNUMBER(C10316),MONTH(C10316),"")</f>
        <v/>
      </c>
      <c r="X10316" s="23" t="str">
        <f aca="false">IF(T10316="","",IF(T10316=0,"No discount",IF(T10316&lt;=0.2,"Low (1-20%)",IF(T10316&lt;=0.4,"Medium (21-40%)","High (&gt;40%)"))))</f>
        <v/>
      </c>
      <c r="Y10316" s="23" t="str">
        <f aca="false">IF(AND(ISNUMBER(C10316),ISNUMBER(D10316)),D10316-C10316,"")</f>
        <v/>
      </c>
      <c r="Z10316" s="23" t="str">
        <f aca="false">IF(B10316="","",IF(MATCH(B10316,$B$2:$B$12000,0)=ROW()-1,1,0))</f>
        <v/>
      </c>
    </row>
    <row r="10317" customFormat="false" ht="15" hidden="false" customHeight="false" outlineLevel="0" collapsed="false">
      <c r="V10317" s="23" t="str">
        <f aca="false">IF(ISNUMBER(C10317),YEAR(C10317),"")</f>
        <v/>
      </c>
      <c r="W10317" s="23" t="str">
        <f aca="false">IF(ISNUMBER(C10317),MONTH(C10317),"")</f>
        <v/>
      </c>
      <c r="X10317" s="23" t="str">
        <f aca="false">IF(T10317="","",IF(T10317=0,"No discount",IF(T10317&lt;=0.2,"Low (1-20%)",IF(T10317&lt;=0.4,"Medium (21-40%)","High (&gt;40%)"))))</f>
        <v/>
      </c>
      <c r="Y10317" s="23" t="str">
        <f aca="false">IF(AND(ISNUMBER(C10317),ISNUMBER(D10317)),D10317-C10317,"")</f>
        <v/>
      </c>
      <c r="Z10317" s="23" t="str">
        <f aca="false">IF(B10317="","",IF(MATCH(B10317,$B$2:$B$12000,0)=ROW()-1,1,0))</f>
        <v/>
      </c>
    </row>
    <row r="10318" customFormat="false" ht="15" hidden="false" customHeight="false" outlineLevel="0" collapsed="false">
      <c r="V10318" s="23" t="str">
        <f aca="false">IF(ISNUMBER(C10318),YEAR(C10318),"")</f>
        <v/>
      </c>
      <c r="W10318" s="23" t="str">
        <f aca="false">IF(ISNUMBER(C10318),MONTH(C10318),"")</f>
        <v/>
      </c>
      <c r="X10318" s="23" t="str">
        <f aca="false">IF(T10318="","",IF(T10318=0,"No discount",IF(T10318&lt;=0.2,"Low (1-20%)",IF(T10318&lt;=0.4,"Medium (21-40%)","High (&gt;40%)"))))</f>
        <v/>
      </c>
      <c r="Y10318" s="23" t="str">
        <f aca="false">IF(AND(ISNUMBER(C10318),ISNUMBER(D10318)),D10318-C10318,"")</f>
        <v/>
      </c>
      <c r="Z10318" s="23" t="str">
        <f aca="false">IF(B10318="","",IF(MATCH(B10318,$B$2:$B$12000,0)=ROW()-1,1,0))</f>
        <v/>
      </c>
    </row>
    <row r="10319" customFormat="false" ht="15" hidden="false" customHeight="false" outlineLevel="0" collapsed="false">
      <c r="V10319" s="23" t="str">
        <f aca="false">IF(ISNUMBER(C10319),YEAR(C10319),"")</f>
        <v/>
      </c>
      <c r="W10319" s="23" t="str">
        <f aca="false">IF(ISNUMBER(C10319),MONTH(C10319),"")</f>
        <v/>
      </c>
      <c r="X10319" s="23" t="str">
        <f aca="false">IF(T10319="","",IF(T10319=0,"No discount",IF(T10319&lt;=0.2,"Low (1-20%)",IF(T10319&lt;=0.4,"Medium (21-40%)","High (&gt;40%)"))))</f>
        <v/>
      </c>
      <c r="Y10319" s="23" t="str">
        <f aca="false">IF(AND(ISNUMBER(C10319),ISNUMBER(D10319)),D10319-C10319,"")</f>
        <v/>
      </c>
      <c r="Z10319" s="23" t="str">
        <f aca="false">IF(B10319="","",IF(MATCH(B10319,$B$2:$B$12000,0)=ROW()-1,1,0))</f>
        <v/>
      </c>
    </row>
    <row r="10320" customFormat="false" ht="15" hidden="false" customHeight="false" outlineLevel="0" collapsed="false">
      <c r="V10320" s="23" t="str">
        <f aca="false">IF(ISNUMBER(C10320),YEAR(C10320),"")</f>
        <v/>
      </c>
      <c r="W10320" s="23" t="str">
        <f aca="false">IF(ISNUMBER(C10320),MONTH(C10320),"")</f>
        <v/>
      </c>
      <c r="X10320" s="23" t="str">
        <f aca="false">IF(T10320="","",IF(T10320=0,"No discount",IF(T10320&lt;=0.2,"Low (1-20%)",IF(T10320&lt;=0.4,"Medium (21-40%)","High (&gt;40%)"))))</f>
        <v/>
      </c>
      <c r="Y10320" s="23" t="str">
        <f aca="false">IF(AND(ISNUMBER(C10320),ISNUMBER(D10320)),D10320-C10320,"")</f>
        <v/>
      </c>
      <c r="Z10320" s="23" t="str">
        <f aca="false">IF(B10320="","",IF(MATCH(B10320,$B$2:$B$12000,0)=ROW()-1,1,0))</f>
        <v/>
      </c>
    </row>
    <row r="10321" customFormat="false" ht="15" hidden="false" customHeight="false" outlineLevel="0" collapsed="false">
      <c r="V10321" s="23" t="str">
        <f aca="false">IF(ISNUMBER(C10321),YEAR(C10321),"")</f>
        <v/>
      </c>
      <c r="W10321" s="23" t="str">
        <f aca="false">IF(ISNUMBER(C10321),MONTH(C10321),"")</f>
        <v/>
      </c>
      <c r="X10321" s="23" t="str">
        <f aca="false">IF(T10321="","",IF(T10321=0,"No discount",IF(T10321&lt;=0.2,"Low (1-20%)",IF(T10321&lt;=0.4,"Medium (21-40%)","High (&gt;40%)"))))</f>
        <v/>
      </c>
      <c r="Y10321" s="23" t="str">
        <f aca="false">IF(AND(ISNUMBER(C10321),ISNUMBER(D10321)),D10321-C10321,"")</f>
        <v/>
      </c>
      <c r="Z10321" s="23" t="str">
        <f aca="false">IF(B10321="","",IF(MATCH(B10321,$B$2:$B$12000,0)=ROW()-1,1,0))</f>
        <v/>
      </c>
    </row>
    <row r="10322" customFormat="false" ht="15" hidden="false" customHeight="false" outlineLevel="0" collapsed="false">
      <c r="V10322" s="23" t="str">
        <f aca="false">IF(ISNUMBER(C10322),YEAR(C10322),"")</f>
        <v/>
      </c>
      <c r="W10322" s="23" t="str">
        <f aca="false">IF(ISNUMBER(C10322),MONTH(C10322),"")</f>
        <v/>
      </c>
      <c r="X10322" s="23" t="str">
        <f aca="false">IF(T10322="","",IF(T10322=0,"No discount",IF(T10322&lt;=0.2,"Low (1-20%)",IF(T10322&lt;=0.4,"Medium (21-40%)","High (&gt;40%)"))))</f>
        <v/>
      </c>
      <c r="Y10322" s="23" t="str">
        <f aca="false">IF(AND(ISNUMBER(C10322),ISNUMBER(D10322)),D10322-C10322,"")</f>
        <v/>
      </c>
      <c r="Z10322" s="23" t="str">
        <f aca="false">IF(B10322="","",IF(MATCH(B10322,$B$2:$B$12000,0)=ROW()-1,1,0))</f>
        <v/>
      </c>
    </row>
    <row r="10323" customFormat="false" ht="15" hidden="false" customHeight="false" outlineLevel="0" collapsed="false">
      <c r="V10323" s="23" t="str">
        <f aca="false">IF(ISNUMBER(C10323),YEAR(C10323),"")</f>
        <v/>
      </c>
      <c r="W10323" s="23" t="str">
        <f aca="false">IF(ISNUMBER(C10323),MONTH(C10323),"")</f>
        <v/>
      </c>
      <c r="X10323" s="23" t="str">
        <f aca="false">IF(T10323="","",IF(T10323=0,"No discount",IF(T10323&lt;=0.2,"Low (1-20%)",IF(T10323&lt;=0.4,"Medium (21-40%)","High (&gt;40%)"))))</f>
        <v/>
      </c>
      <c r="Y10323" s="23" t="str">
        <f aca="false">IF(AND(ISNUMBER(C10323),ISNUMBER(D10323)),D10323-C10323,"")</f>
        <v/>
      </c>
      <c r="Z10323" s="23" t="str">
        <f aca="false">IF(B10323="","",IF(MATCH(B10323,$B$2:$B$12000,0)=ROW()-1,1,0))</f>
        <v/>
      </c>
    </row>
    <row r="10324" customFormat="false" ht="15" hidden="false" customHeight="false" outlineLevel="0" collapsed="false">
      <c r="V10324" s="23" t="str">
        <f aca="false">IF(ISNUMBER(C10324),YEAR(C10324),"")</f>
        <v/>
      </c>
      <c r="W10324" s="23" t="str">
        <f aca="false">IF(ISNUMBER(C10324),MONTH(C10324),"")</f>
        <v/>
      </c>
      <c r="X10324" s="23" t="str">
        <f aca="false">IF(T10324="","",IF(T10324=0,"No discount",IF(T10324&lt;=0.2,"Low (1-20%)",IF(T10324&lt;=0.4,"Medium (21-40%)","High (&gt;40%)"))))</f>
        <v/>
      </c>
      <c r="Y10324" s="23" t="str">
        <f aca="false">IF(AND(ISNUMBER(C10324),ISNUMBER(D10324)),D10324-C10324,"")</f>
        <v/>
      </c>
      <c r="Z10324" s="23" t="str">
        <f aca="false">IF(B10324="","",IF(MATCH(B10324,$B$2:$B$12000,0)=ROW()-1,1,0))</f>
        <v/>
      </c>
    </row>
    <row r="10325" customFormat="false" ht="15" hidden="false" customHeight="false" outlineLevel="0" collapsed="false">
      <c r="V10325" s="23" t="str">
        <f aca="false">IF(ISNUMBER(C10325),YEAR(C10325),"")</f>
        <v/>
      </c>
      <c r="W10325" s="23" t="str">
        <f aca="false">IF(ISNUMBER(C10325),MONTH(C10325),"")</f>
        <v/>
      </c>
      <c r="X10325" s="23" t="str">
        <f aca="false">IF(T10325="","",IF(T10325=0,"No discount",IF(T10325&lt;=0.2,"Low (1-20%)",IF(T10325&lt;=0.4,"Medium (21-40%)","High (&gt;40%)"))))</f>
        <v/>
      </c>
      <c r="Y10325" s="23" t="str">
        <f aca="false">IF(AND(ISNUMBER(C10325),ISNUMBER(D10325)),D10325-C10325,"")</f>
        <v/>
      </c>
      <c r="Z10325" s="23" t="str">
        <f aca="false">IF(B10325="","",IF(MATCH(B10325,$B$2:$B$12000,0)=ROW()-1,1,0))</f>
        <v/>
      </c>
    </row>
    <row r="10326" customFormat="false" ht="15" hidden="false" customHeight="false" outlineLevel="0" collapsed="false">
      <c r="V10326" s="23" t="str">
        <f aca="false">IF(ISNUMBER(C10326),YEAR(C10326),"")</f>
        <v/>
      </c>
      <c r="W10326" s="23" t="str">
        <f aca="false">IF(ISNUMBER(C10326),MONTH(C10326),"")</f>
        <v/>
      </c>
      <c r="X10326" s="23" t="str">
        <f aca="false">IF(T10326="","",IF(T10326=0,"No discount",IF(T10326&lt;=0.2,"Low (1-20%)",IF(T10326&lt;=0.4,"Medium (21-40%)","High (&gt;40%)"))))</f>
        <v/>
      </c>
      <c r="Y10326" s="23" t="str">
        <f aca="false">IF(AND(ISNUMBER(C10326),ISNUMBER(D10326)),D10326-C10326,"")</f>
        <v/>
      </c>
      <c r="Z10326" s="23" t="str">
        <f aca="false">IF(B10326="","",IF(MATCH(B10326,$B$2:$B$12000,0)=ROW()-1,1,0))</f>
        <v/>
      </c>
    </row>
    <row r="10327" customFormat="false" ht="15" hidden="false" customHeight="false" outlineLevel="0" collapsed="false">
      <c r="V10327" s="23" t="str">
        <f aca="false">IF(ISNUMBER(C10327),YEAR(C10327),"")</f>
        <v/>
      </c>
      <c r="W10327" s="23" t="str">
        <f aca="false">IF(ISNUMBER(C10327),MONTH(C10327),"")</f>
        <v/>
      </c>
      <c r="X10327" s="23" t="str">
        <f aca="false">IF(T10327="","",IF(T10327=0,"No discount",IF(T10327&lt;=0.2,"Low (1-20%)",IF(T10327&lt;=0.4,"Medium (21-40%)","High (&gt;40%)"))))</f>
        <v/>
      </c>
      <c r="Y10327" s="23" t="str">
        <f aca="false">IF(AND(ISNUMBER(C10327),ISNUMBER(D10327)),D10327-C10327,"")</f>
        <v/>
      </c>
      <c r="Z10327" s="23" t="str">
        <f aca="false">IF(B10327="","",IF(MATCH(B10327,$B$2:$B$12000,0)=ROW()-1,1,0))</f>
        <v/>
      </c>
    </row>
    <row r="10328" customFormat="false" ht="15" hidden="false" customHeight="false" outlineLevel="0" collapsed="false">
      <c r="V10328" s="23" t="str">
        <f aca="false">IF(ISNUMBER(C10328),YEAR(C10328),"")</f>
        <v/>
      </c>
      <c r="W10328" s="23" t="str">
        <f aca="false">IF(ISNUMBER(C10328),MONTH(C10328),"")</f>
        <v/>
      </c>
      <c r="X10328" s="23" t="str">
        <f aca="false">IF(T10328="","",IF(T10328=0,"No discount",IF(T10328&lt;=0.2,"Low (1-20%)",IF(T10328&lt;=0.4,"Medium (21-40%)","High (&gt;40%)"))))</f>
        <v/>
      </c>
      <c r="Y10328" s="23" t="str">
        <f aca="false">IF(AND(ISNUMBER(C10328),ISNUMBER(D10328)),D10328-C10328,"")</f>
        <v/>
      </c>
      <c r="Z10328" s="23" t="str">
        <f aca="false">IF(B10328="","",IF(MATCH(B10328,$B$2:$B$12000,0)=ROW()-1,1,0))</f>
        <v/>
      </c>
    </row>
    <row r="10329" customFormat="false" ht="15" hidden="false" customHeight="false" outlineLevel="0" collapsed="false">
      <c r="V10329" s="23" t="str">
        <f aca="false">IF(ISNUMBER(C10329),YEAR(C10329),"")</f>
        <v/>
      </c>
      <c r="W10329" s="23" t="str">
        <f aca="false">IF(ISNUMBER(C10329),MONTH(C10329),"")</f>
        <v/>
      </c>
      <c r="X10329" s="23" t="str">
        <f aca="false">IF(T10329="","",IF(T10329=0,"No discount",IF(T10329&lt;=0.2,"Low (1-20%)",IF(T10329&lt;=0.4,"Medium (21-40%)","High (&gt;40%)"))))</f>
        <v/>
      </c>
      <c r="Y10329" s="23" t="str">
        <f aca="false">IF(AND(ISNUMBER(C10329),ISNUMBER(D10329)),D10329-C10329,"")</f>
        <v/>
      </c>
      <c r="Z10329" s="23" t="str">
        <f aca="false">IF(B10329="","",IF(MATCH(B10329,$B$2:$B$12000,0)=ROW()-1,1,0))</f>
        <v/>
      </c>
    </row>
    <row r="10330" customFormat="false" ht="15" hidden="false" customHeight="false" outlineLevel="0" collapsed="false">
      <c r="V10330" s="23" t="str">
        <f aca="false">IF(ISNUMBER(C10330),YEAR(C10330),"")</f>
        <v/>
      </c>
      <c r="W10330" s="23" t="str">
        <f aca="false">IF(ISNUMBER(C10330),MONTH(C10330),"")</f>
        <v/>
      </c>
      <c r="X10330" s="23" t="str">
        <f aca="false">IF(T10330="","",IF(T10330=0,"No discount",IF(T10330&lt;=0.2,"Low (1-20%)",IF(T10330&lt;=0.4,"Medium (21-40%)","High (&gt;40%)"))))</f>
        <v/>
      </c>
      <c r="Y10330" s="23" t="str">
        <f aca="false">IF(AND(ISNUMBER(C10330),ISNUMBER(D10330)),D10330-C10330,"")</f>
        <v/>
      </c>
      <c r="Z10330" s="23" t="str">
        <f aca="false">IF(B10330="","",IF(MATCH(B10330,$B$2:$B$12000,0)=ROW()-1,1,0))</f>
        <v/>
      </c>
    </row>
    <row r="10331" customFormat="false" ht="15" hidden="false" customHeight="false" outlineLevel="0" collapsed="false">
      <c r="V10331" s="23" t="str">
        <f aca="false">IF(ISNUMBER(C10331),YEAR(C10331),"")</f>
        <v/>
      </c>
      <c r="W10331" s="23" t="str">
        <f aca="false">IF(ISNUMBER(C10331),MONTH(C10331),"")</f>
        <v/>
      </c>
      <c r="X10331" s="23" t="str">
        <f aca="false">IF(T10331="","",IF(T10331=0,"No discount",IF(T10331&lt;=0.2,"Low (1-20%)",IF(T10331&lt;=0.4,"Medium (21-40%)","High (&gt;40%)"))))</f>
        <v/>
      </c>
      <c r="Y10331" s="23" t="str">
        <f aca="false">IF(AND(ISNUMBER(C10331),ISNUMBER(D10331)),D10331-C10331,"")</f>
        <v/>
      </c>
      <c r="Z10331" s="23" t="str">
        <f aca="false">IF(B10331="","",IF(MATCH(B10331,$B$2:$B$12000,0)=ROW()-1,1,0))</f>
        <v/>
      </c>
    </row>
    <row r="10332" customFormat="false" ht="15" hidden="false" customHeight="false" outlineLevel="0" collapsed="false">
      <c r="V10332" s="23" t="str">
        <f aca="false">IF(ISNUMBER(C10332),YEAR(C10332),"")</f>
        <v/>
      </c>
      <c r="W10332" s="23" t="str">
        <f aca="false">IF(ISNUMBER(C10332),MONTH(C10332),"")</f>
        <v/>
      </c>
      <c r="X10332" s="23" t="str">
        <f aca="false">IF(T10332="","",IF(T10332=0,"No discount",IF(T10332&lt;=0.2,"Low (1-20%)",IF(T10332&lt;=0.4,"Medium (21-40%)","High (&gt;40%)"))))</f>
        <v/>
      </c>
      <c r="Y10332" s="23" t="str">
        <f aca="false">IF(AND(ISNUMBER(C10332),ISNUMBER(D10332)),D10332-C10332,"")</f>
        <v/>
      </c>
      <c r="Z10332" s="23" t="str">
        <f aca="false">IF(B10332="","",IF(MATCH(B10332,$B$2:$B$12000,0)=ROW()-1,1,0))</f>
        <v/>
      </c>
    </row>
    <row r="10333" customFormat="false" ht="15" hidden="false" customHeight="false" outlineLevel="0" collapsed="false">
      <c r="V10333" s="23" t="str">
        <f aca="false">IF(ISNUMBER(C10333),YEAR(C10333),"")</f>
        <v/>
      </c>
      <c r="W10333" s="23" t="str">
        <f aca="false">IF(ISNUMBER(C10333),MONTH(C10333),"")</f>
        <v/>
      </c>
      <c r="X10333" s="23" t="str">
        <f aca="false">IF(T10333="","",IF(T10333=0,"No discount",IF(T10333&lt;=0.2,"Low (1-20%)",IF(T10333&lt;=0.4,"Medium (21-40%)","High (&gt;40%)"))))</f>
        <v/>
      </c>
      <c r="Y10333" s="23" t="str">
        <f aca="false">IF(AND(ISNUMBER(C10333),ISNUMBER(D10333)),D10333-C10333,"")</f>
        <v/>
      </c>
      <c r="Z10333" s="23" t="str">
        <f aca="false">IF(B10333="","",IF(MATCH(B10333,$B$2:$B$12000,0)=ROW()-1,1,0))</f>
        <v/>
      </c>
    </row>
    <row r="10334" customFormat="false" ht="15" hidden="false" customHeight="false" outlineLevel="0" collapsed="false">
      <c r="V10334" s="23" t="str">
        <f aca="false">IF(ISNUMBER(C10334),YEAR(C10334),"")</f>
        <v/>
      </c>
      <c r="W10334" s="23" t="str">
        <f aca="false">IF(ISNUMBER(C10334),MONTH(C10334),"")</f>
        <v/>
      </c>
      <c r="X10334" s="23" t="str">
        <f aca="false">IF(T10334="","",IF(T10334=0,"No discount",IF(T10334&lt;=0.2,"Low (1-20%)",IF(T10334&lt;=0.4,"Medium (21-40%)","High (&gt;40%)"))))</f>
        <v/>
      </c>
      <c r="Y10334" s="23" t="str">
        <f aca="false">IF(AND(ISNUMBER(C10334),ISNUMBER(D10334)),D10334-C10334,"")</f>
        <v/>
      </c>
      <c r="Z10334" s="23" t="str">
        <f aca="false">IF(B10334="","",IF(MATCH(B10334,$B$2:$B$12000,0)=ROW()-1,1,0))</f>
        <v/>
      </c>
    </row>
    <row r="10335" customFormat="false" ht="15" hidden="false" customHeight="false" outlineLevel="0" collapsed="false">
      <c r="V10335" s="23" t="str">
        <f aca="false">IF(ISNUMBER(C10335),YEAR(C10335),"")</f>
        <v/>
      </c>
      <c r="W10335" s="23" t="str">
        <f aca="false">IF(ISNUMBER(C10335),MONTH(C10335),"")</f>
        <v/>
      </c>
      <c r="X10335" s="23" t="str">
        <f aca="false">IF(T10335="","",IF(T10335=0,"No discount",IF(T10335&lt;=0.2,"Low (1-20%)",IF(T10335&lt;=0.4,"Medium (21-40%)","High (&gt;40%)"))))</f>
        <v/>
      </c>
      <c r="Y10335" s="23" t="str">
        <f aca="false">IF(AND(ISNUMBER(C10335),ISNUMBER(D10335)),D10335-C10335,"")</f>
        <v/>
      </c>
      <c r="Z10335" s="23" t="str">
        <f aca="false">IF(B10335="","",IF(MATCH(B10335,$B$2:$B$12000,0)=ROW()-1,1,0))</f>
        <v/>
      </c>
    </row>
    <row r="10336" customFormat="false" ht="15" hidden="false" customHeight="false" outlineLevel="0" collapsed="false">
      <c r="V10336" s="23" t="str">
        <f aca="false">IF(ISNUMBER(C10336),YEAR(C10336),"")</f>
        <v/>
      </c>
      <c r="W10336" s="23" t="str">
        <f aca="false">IF(ISNUMBER(C10336),MONTH(C10336),"")</f>
        <v/>
      </c>
      <c r="X10336" s="23" t="str">
        <f aca="false">IF(T10336="","",IF(T10336=0,"No discount",IF(T10336&lt;=0.2,"Low (1-20%)",IF(T10336&lt;=0.4,"Medium (21-40%)","High (&gt;40%)"))))</f>
        <v/>
      </c>
      <c r="Y10336" s="23" t="str">
        <f aca="false">IF(AND(ISNUMBER(C10336),ISNUMBER(D10336)),D10336-C10336,"")</f>
        <v/>
      </c>
      <c r="Z10336" s="23" t="str">
        <f aca="false">IF(B10336="","",IF(MATCH(B10336,$B$2:$B$12000,0)=ROW()-1,1,0))</f>
        <v/>
      </c>
    </row>
    <row r="10337" customFormat="false" ht="15" hidden="false" customHeight="false" outlineLevel="0" collapsed="false">
      <c r="V10337" s="23" t="str">
        <f aca="false">IF(ISNUMBER(C10337),YEAR(C10337),"")</f>
        <v/>
      </c>
      <c r="W10337" s="23" t="str">
        <f aca="false">IF(ISNUMBER(C10337),MONTH(C10337),"")</f>
        <v/>
      </c>
      <c r="X10337" s="23" t="str">
        <f aca="false">IF(T10337="","",IF(T10337=0,"No discount",IF(T10337&lt;=0.2,"Low (1-20%)",IF(T10337&lt;=0.4,"Medium (21-40%)","High (&gt;40%)"))))</f>
        <v/>
      </c>
      <c r="Y10337" s="23" t="str">
        <f aca="false">IF(AND(ISNUMBER(C10337),ISNUMBER(D10337)),D10337-C10337,"")</f>
        <v/>
      </c>
      <c r="Z10337" s="23" t="str">
        <f aca="false">IF(B10337="","",IF(MATCH(B10337,$B$2:$B$12000,0)=ROW()-1,1,0))</f>
        <v/>
      </c>
    </row>
    <row r="10338" customFormat="false" ht="15" hidden="false" customHeight="false" outlineLevel="0" collapsed="false">
      <c r="V10338" s="23" t="str">
        <f aca="false">IF(ISNUMBER(C10338),YEAR(C10338),"")</f>
        <v/>
      </c>
      <c r="W10338" s="23" t="str">
        <f aca="false">IF(ISNUMBER(C10338),MONTH(C10338),"")</f>
        <v/>
      </c>
      <c r="X10338" s="23" t="str">
        <f aca="false">IF(T10338="","",IF(T10338=0,"No discount",IF(T10338&lt;=0.2,"Low (1-20%)",IF(T10338&lt;=0.4,"Medium (21-40%)","High (&gt;40%)"))))</f>
        <v/>
      </c>
      <c r="Y10338" s="23" t="str">
        <f aca="false">IF(AND(ISNUMBER(C10338),ISNUMBER(D10338)),D10338-C10338,"")</f>
        <v/>
      </c>
      <c r="Z10338" s="23" t="str">
        <f aca="false">IF(B10338="","",IF(MATCH(B10338,$B$2:$B$12000,0)=ROW()-1,1,0))</f>
        <v/>
      </c>
    </row>
    <row r="10339" customFormat="false" ht="15" hidden="false" customHeight="false" outlineLevel="0" collapsed="false">
      <c r="V10339" s="23" t="str">
        <f aca="false">IF(ISNUMBER(C10339),YEAR(C10339),"")</f>
        <v/>
      </c>
      <c r="W10339" s="23" t="str">
        <f aca="false">IF(ISNUMBER(C10339),MONTH(C10339),"")</f>
        <v/>
      </c>
      <c r="X10339" s="23" t="str">
        <f aca="false">IF(T10339="","",IF(T10339=0,"No discount",IF(T10339&lt;=0.2,"Low (1-20%)",IF(T10339&lt;=0.4,"Medium (21-40%)","High (&gt;40%)"))))</f>
        <v/>
      </c>
      <c r="Y10339" s="23" t="str">
        <f aca="false">IF(AND(ISNUMBER(C10339),ISNUMBER(D10339)),D10339-C10339,"")</f>
        <v/>
      </c>
      <c r="Z10339" s="23" t="str">
        <f aca="false">IF(B10339="","",IF(MATCH(B10339,$B$2:$B$12000,0)=ROW()-1,1,0))</f>
        <v/>
      </c>
    </row>
    <row r="10340" customFormat="false" ht="15" hidden="false" customHeight="false" outlineLevel="0" collapsed="false">
      <c r="V10340" s="23" t="str">
        <f aca="false">IF(ISNUMBER(C10340),YEAR(C10340),"")</f>
        <v/>
      </c>
      <c r="W10340" s="23" t="str">
        <f aca="false">IF(ISNUMBER(C10340),MONTH(C10340),"")</f>
        <v/>
      </c>
      <c r="X10340" s="23" t="str">
        <f aca="false">IF(T10340="","",IF(T10340=0,"No discount",IF(T10340&lt;=0.2,"Low (1-20%)",IF(T10340&lt;=0.4,"Medium (21-40%)","High (&gt;40%)"))))</f>
        <v/>
      </c>
      <c r="Y10340" s="23" t="str">
        <f aca="false">IF(AND(ISNUMBER(C10340),ISNUMBER(D10340)),D10340-C10340,"")</f>
        <v/>
      </c>
      <c r="Z10340" s="23" t="str">
        <f aca="false">IF(B10340="","",IF(MATCH(B10340,$B$2:$B$12000,0)=ROW()-1,1,0))</f>
        <v/>
      </c>
    </row>
    <row r="10341" customFormat="false" ht="15" hidden="false" customHeight="false" outlineLevel="0" collapsed="false">
      <c r="V10341" s="23" t="str">
        <f aca="false">IF(ISNUMBER(C10341),YEAR(C10341),"")</f>
        <v/>
      </c>
      <c r="W10341" s="23" t="str">
        <f aca="false">IF(ISNUMBER(C10341),MONTH(C10341),"")</f>
        <v/>
      </c>
      <c r="X10341" s="23" t="str">
        <f aca="false">IF(T10341="","",IF(T10341=0,"No discount",IF(T10341&lt;=0.2,"Low (1-20%)",IF(T10341&lt;=0.4,"Medium (21-40%)","High (&gt;40%)"))))</f>
        <v/>
      </c>
      <c r="Y10341" s="23" t="str">
        <f aca="false">IF(AND(ISNUMBER(C10341),ISNUMBER(D10341)),D10341-C10341,"")</f>
        <v/>
      </c>
      <c r="Z10341" s="23" t="str">
        <f aca="false">IF(B10341="","",IF(MATCH(B10341,$B$2:$B$12000,0)=ROW()-1,1,0))</f>
        <v/>
      </c>
    </row>
    <row r="10342" customFormat="false" ht="15" hidden="false" customHeight="false" outlineLevel="0" collapsed="false">
      <c r="V10342" s="23" t="str">
        <f aca="false">IF(ISNUMBER(C10342),YEAR(C10342),"")</f>
        <v/>
      </c>
      <c r="W10342" s="23" t="str">
        <f aca="false">IF(ISNUMBER(C10342),MONTH(C10342),"")</f>
        <v/>
      </c>
      <c r="X10342" s="23" t="str">
        <f aca="false">IF(T10342="","",IF(T10342=0,"No discount",IF(T10342&lt;=0.2,"Low (1-20%)",IF(T10342&lt;=0.4,"Medium (21-40%)","High (&gt;40%)"))))</f>
        <v/>
      </c>
      <c r="Y10342" s="23" t="str">
        <f aca="false">IF(AND(ISNUMBER(C10342),ISNUMBER(D10342)),D10342-C10342,"")</f>
        <v/>
      </c>
      <c r="Z10342" s="23" t="str">
        <f aca="false">IF(B10342="","",IF(MATCH(B10342,$B$2:$B$12000,0)=ROW()-1,1,0))</f>
        <v/>
      </c>
    </row>
    <row r="10343" customFormat="false" ht="15" hidden="false" customHeight="false" outlineLevel="0" collapsed="false">
      <c r="V10343" s="23" t="str">
        <f aca="false">IF(ISNUMBER(C10343),YEAR(C10343),"")</f>
        <v/>
      </c>
      <c r="W10343" s="23" t="str">
        <f aca="false">IF(ISNUMBER(C10343),MONTH(C10343),"")</f>
        <v/>
      </c>
      <c r="X10343" s="23" t="str">
        <f aca="false">IF(T10343="","",IF(T10343=0,"No discount",IF(T10343&lt;=0.2,"Low (1-20%)",IF(T10343&lt;=0.4,"Medium (21-40%)","High (&gt;40%)"))))</f>
        <v/>
      </c>
      <c r="Y10343" s="23" t="str">
        <f aca="false">IF(AND(ISNUMBER(C10343),ISNUMBER(D10343)),D10343-C10343,"")</f>
        <v/>
      </c>
      <c r="Z10343" s="23" t="str">
        <f aca="false">IF(B10343="","",IF(MATCH(B10343,$B$2:$B$12000,0)=ROW()-1,1,0))</f>
        <v/>
      </c>
    </row>
    <row r="10344" customFormat="false" ht="15" hidden="false" customHeight="false" outlineLevel="0" collapsed="false">
      <c r="V10344" s="23" t="str">
        <f aca="false">IF(ISNUMBER(C10344),YEAR(C10344),"")</f>
        <v/>
      </c>
      <c r="W10344" s="23" t="str">
        <f aca="false">IF(ISNUMBER(C10344),MONTH(C10344),"")</f>
        <v/>
      </c>
      <c r="X10344" s="23" t="str">
        <f aca="false">IF(T10344="","",IF(T10344=0,"No discount",IF(T10344&lt;=0.2,"Low (1-20%)",IF(T10344&lt;=0.4,"Medium (21-40%)","High (&gt;40%)"))))</f>
        <v/>
      </c>
      <c r="Y10344" s="23" t="str">
        <f aca="false">IF(AND(ISNUMBER(C10344),ISNUMBER(D10344)),D10344-C10344,"")</f>
        <v/>
      </c>
      <c r="Z10344" s="23" t="str">
        <f aca="false">IF(B10344="","",IF(MATCH(B10344,$B$2:$B$12000,0)=ROW()-1,1,0))</f>
        <v/>
      </c>
    </row>
    <row r="10345" customFormat="false" ht="15" hidden="false" customHeight="false" outlineLevel="0" collapsed="false">
      <c r="V10345" s="23" t="str">
        <f aca="false">IF(ISNUMBER(C10345),YEAR(C10345),"")</f>
        <v/>
      </c>
      <c r="W10345" s="23" t="str">
        <f aca="false">IF(ISNUMBER(C10345),MONTH(C10345),"")</f>
        <v/>
      </c>
      <c r="X10345" s="23" t="str">
        <f aca="false">IF(T10345="","",IF(T10345=0,"No discount",IF(T10345&lt;=0.2,"Low (1-20%)",IF(T10345&lt;=0.4,"Medium (21-40%)","High (&gt;40%)"))))</f>
        <v/>
      </c>
      <c r="Y10345" s="23" t="str">
        <f aca="false">IF(AND(ISNUMBER(C10345),ISNUMBER(D10345)),D10345-C10345,"")</f>
        <v/>
      </c>
      <c r="Z10345" s="23" t="str">
        <f aca="false">IF(B10345="","",IF(MATCH(B10345,$B$2:$B$12000,0)=ROW()-1,1,0))</f>
        <v/>
      </c>
    </row>
    <row r="10346" customFormat="false" ht="15" hidden="false" customHeight="false" outlineLevel="0" collapsed="false">
      <c r="V10346" s="23" t="str">
        <f aca="false">IF(ISNUMBER(C10346),YEAR(C10346),"")</f>
        <v/>
      </c>
      <c r="W10346" s="23" t="str">
        <f aca="false">IF(ISNUMBER(C10346),MONTH(C10346),"")</f>
        <v/>
      </c>
      <c r="X10346" s="23" t="str">
        <f aca="false">IF(T10346="","",IF(T10346=0,"No discount",IF(T10346&lt;=0.2,"Low (1-20%)",IF(T10346&lt;=0.4,"Medium (21-40%)","High (&gt;40%)"))))</f>
        <v/>
      </c>
      <c r="Y10346" s="23" t="str">
        <f aca="false">IF(AND(ISNUMBER(C10346),ISNUMBER(D10346)),D10346-C10346,"")</f>
        <v/>
      </c>
      <c r="Z10346" s="23" t="str">
        <f aca="false">IF(B10346="","",IF(MATCH(B10346,$B$2:$B$12000,0)=ROW()-1,1,0))</f>
        <v/>
      </c>
    </row>
    <row r="10347" customFormat="false" ht="15" hidden="false" customHeight="false" outlineLevel="0" collapsed="false">
      <c r="V10347" s="23" t="str">
        <f aca="false">IF(ISNUMBER(C10347),YEAR(C10347),"")</f>
        <v/>
      </c>
      <c r="W10347" s="23" t="str">
        <f aca="false">IF(ISNUMBER(C10347),MONTH(C10347),"")</f>
        <v/>
      </c>
      <c r="X10347" s="23" t="str">
        <f aca="false">IF(T10347="","",IF(T10347=0,"No discount",IF(T10347&lt;=0.2,"Low (1-20%)",IF(T10347&lt;=0.4,"Medium (21-40%)","High (&gt;40%)"))))</f>
        <v/>
      </c>
      <c r="Y10347" s="23" t="str">
        <f aca="false">IF(AND(ISNUMBER(C10347),ISNUMBER(D10347)),D10347-C10347,"")</f>
        <v/>
      </c>
      <c r="Z10347" s="23" t="str">
        <f aca="false">IF(B10347="","",IF(MATCH(B10347,$B$2:$B$12000,0)=ROW()-1,1,0))</f>
        <v/>
      </c>
    </row>
    <row r="10348" customFormat="false" ht="15" hidden="false" customHeight="false" outlineLevel="0" collapsed="false">
      <c r="V10348" s="23" t="str">
        <f aca="false">IF(ISNUMBER(C10348),YEAR(C10348),"")</f>
        <v/>
      </c>
      <c r="W10348" s="23" t="str">
        <f aca="false">IF(ISNUMBER(C10348),MONTH(C10348),"")</f>
        <v/>
      </c>
      <c r="X10348" s="23" t="str">
        <f aca="false">IF(T10348="","",IF(T10348=0,"No discount",IF(T10348&lt;=0.2,"Low (1-20%)",IF(T10348&lt;=0.4,"Medium (21-40%)","High (&gt;40%)"))))</f>
        <v/>
      </c>
      <c r="Y10348" s="23" t="str">
        <f aca="false">IF(AND(ISNUMBER(C10348),ISNUMBER(D10348)),D10348-C10348,"")</f>
        <v/>
      </c>
      <c r="Z10348" s="23" t="str">
        <f aca="false">IF(B10348="","",IF(MATCH(B10348,$B$2:$B$12000,0)=ROW()-1,1,0))</f>
        <v/>
      </c>
    </row>
    <row r="10349" customFormat="false" ht="15" hidden="false" customHeight="false" outlineLevel="0" collapsed="false">
      <c r="V10349" s="23" t="str">
        <f aca="false">IF(ISNUMBER(C10349),YEAR(C10349),"")</f>
        <v/>
      </c>
      <c r="W10349" s="23" t="str">
        <f aca="false">IF(ISNUMBER(C10349),MONTH(C10349),"")</f>
        <v/>
      </c>
      <c r="X10349" s="23" t="str">
        <f aca="false">IF(T10349="","",IF(T10349=0,"No discount",IF(T10349&lt;=0.2,"Low (1-20%)",IF(T10349&lt;=0.4,"Medium (21-40%)","High (&gt;40%)"))))</f>
        <v/>
      </c>
      <c r="Y10349" s="23" t="str">
        <f aca="false">IF(AND(ISNUMBER(C10349),ISNUMBER(D10349)),D10349-C10349,"")</f>
        <v/>
      </c>
      <c r="Z10349" s="23" t="str">
        <f aca="false">IF(B10349="","",IF(MATCH(B10349,$B$2:$B$12000,0)=ROW()-1,1,0))</f>
        <v/>
      </c>
    </row>
    <row r="10350" customFormat="false" ht="15" hidden="false" customHeight="false" outlineLevel="0" collapsed="false">
      <c r="V10350" s="23" t="str">
        <f aca="false">IF(ISNUMBER(C10350),YEAR(C10350),"")</f>
        <v/>
      </c>
      <c r="W10350" s="23" t="str">
        <f aca="false">IF(ISNUMBER(C10350),MONTH(C10350),"")</f>
        <v/>
      </c>
      <c r="X10350" s="23" t="str">
        <f aca="false">IF(T10350="","",IF(T10350=0,"No discount",IF(T10350&lt;=0.2,"Low (1-20%)",IF(T10350&lt;=0.4,"Medium (21-40%)","High (&gt;40%)"))))</f>
        <v/>
      </c>
      <c r="Y10350" s="23" t="str">
        <f aca="false">IF(AND(ISNUMBER(C10350),ISNUMBER(D10350)),D10350-C10350,"")</f>
        <v/>
      </c>
      <c r="Z10350" s="23" t="str">
        <f aca="false">IF(B10350="","",IF(MATCH(B10350,$B$2:$B$12000,0)=ROW()-1,1,0))</f>
        <v/>
      </c>
    </row>
    <row r="10351" customFormat="false" ht="15" hidden="false" customHeight="false" outlineLevel="0" collapsed="false">
      <c r="V10351" s="23" t="str">
        <f aca="false">IF(ISNUMBER(C10351),YEAR(C10351),"")</f>
        <v/>
      </c>
      <c r="W10351" s="23" t="str">
        <f aca="false">IF(ISNUMBER(C10351),MONTH(C10351),"")</f>
        <v/>
      </c>
      <c r="X10351" s="23" t="str">
        <f aca="false">IF(T10351="","",IF(T10351=0,"No discount",IF(T10351&lt;=0.2,"Low (1-20%)",IF(T10351&lt;=0.4,"Medium (21-40%)","High (&gt;40%)"))))</f>
        <v/>
      </c>
      <c r="Y10351" s="23" t="str">
        <f aca="false">IF(AND(ISNUMBER(C10351),ISNUMBER(D10351)),D10351-C10351,"")</f>
        <v/>
      </c>
      <c r="Z10351" s="23" t="str">
        <f aca="false">IF(B10351="","",IF(MATCH(B10351,$B$2:$B$12000,0)=ROW()-1,1,0))</f>
        <v/>
      </c>
    </row>
    <row r="10352" customFormat="false" ht="15" hidden="false" customHeight="false" outlineLevel="0" collapsed="false">
      <c r="V10352" s="23" t="str">
        <f aca="false">IF(ISNUMBER(C10352),YEAR(C10352),"")</f>
        <v/>
      </c>
      <c r="W10352" s="23" t="str">
        <f aca="false">IF(ISNUMBER(C10352),MONTH(C10352),"")</f>
        <v/>
      </c>
      <c r="X10352" s="23" t="str">
        <f aca="false">IF(T10352="","",IF(T10352=0,"No discount",IF(T10352&lt;=0.2,"Low (1-20%)",IF(T10352&lt;=0.4,"Medium (21-40%)","High (&gt;40%)"))))</f>
        <v/>
      </c>
      <c r="Y10352" s="23" t="str">
        <f aca="false">IF(AND(ISNUMBER(C10352),ISNUMBER(D10352)),D10352-C10352,"")</f>
        <v/>
      </c>
      <c r="Z10352" s="23" t="str">
        <f aca="false">IF(B10352="","",IF(MATCH(B10352,$B$2:$B$12000,0)=ROW()-1,1,0))</f>
        <v/>
      </c>
    </row>
    <row r="10353" customFormat="false" ht="15" hidden="false" customHeight="false" outlineLevel="0" collapsed="false">
      <c r="V10353" s="23" t="str">
        <f aca="false">IF(ISNUMBER(C10353),YEAR(C10353),"")</f>
        <v/>
      </c>
      <c r="W10353" s="23" t="str">
        <f aca="false">IF(ISNUMBER(C10353),MONTH(C10353),"")</f>
        <v/>
      </c>
      <c r="X10353" s="23" t="str">
        <f aca="false">IF(T10353="","",IF(T10353=0,"No discount",IF(T10353&lt;=0.2,"Low (1-20%)",IF(T10353&lt;=0.4,"Medium (21-40%)","High (&gt;40%)"))))</f>
        <v/>
      </c>
      <c r="Y10353" s="23" t="str">
        <f aca="false">IF(AND(ISNUMBER(C10353),ISNUMBER(D10353)),D10353-C10353,"")</f>
        <v/>
      </c>
      <c r="Z10353" s="23" t="str">
        <f aca="false">IF(B10353="","",IF(MATCH(B10353,$B$2:$B$12000,0)=ROW()-1,1,0))</f>
        <v/>
      </c>
    </row>
    <row r="10354" customFormat="false" ht="15" hidden="false" customHeight="false" outlineLevel="0" collapsed="false">
      <c r="V10354" s="23" t="str">
        <f aca="false">IF(ISNUMBER(C10354),YEAR(C10354),"")</f>
        <v/>
      </c>
      <c r="W10354" s="23" t="str">
        <f aca="false">IF(ISNUMBER(C10354),MONTH(C10354),"")</f>
        <v/>
      </c>
      <c r="X10354" s="23" t="str">
        <f aca="false">IF(T10354="","",IF(T10354=0,"No discount",IF(T10354&lt;=0.2,"Low (1-20%)",IF(T10354&lt;=0.4,"Medium (21-40%)","High (&gt;40%)"))))</f>
        <v/>
      </c>
      <c r="Y10354" s="23" t="str">
        <f aca="false">IF(AND(ISNUMBER(C10354),ISNUMBER(D10354)),D10354-C10354,"")</f>
        <v/>
      </c>
      <c r="Z10354" s="23" t="str">
        <f aca="false">IF(B10354="","",IF(MATCH(B10354,$B$2:$B$12000,0)=ROW()-1,1,0))</f>
        <v/>
      </c>
    </row>
    <row r="10355" customFormat="false" ht="15" hidden="false" customHeight="false" outlineLevel="0" collapsed="false">
      <c r="V10355" s="23" t="str">
        <f aca="false">IF(ISNUMBER(C10355),YEAR(C10355),"")</f>
        <v/>
      </c>
      <c r="W10355" s="23" t="str">
        <f aca="false">IF(ISNUMBER(C10355),MONTH(C10355),"")</f>
        <v/>
      </c>
      <c r="X10355" s="23" t="str">
        <f aca="false">IF(T10355="","",IF(T10355=0,"No discount",IF(T10355&lt;=0.2,"Low (1-20%)",IF(T10355&lt;=0.4,"Medium (21-40%)","High (&gt;40%)"))))</f>
        <v/>
      </c>
      <c r="Y10355" s="23" t="str">
        <f aca="false">IF(AND(ISNUMBER(C10355),ISNUMBER(D10355)),D10355-C10355,"")</f>
        <v/>
      </c>
      <c r="Z10355" s="23" t="str">
        <f aca="false">IF(B10355="","",IF(MATCH(B10355,$B$2:$B$12000,0)=ROW()-1,1,0))</f>
        <v/>
      </c>
    </row>
    <row r="10356" customFormat="false" ht="15" hidden="false" customHeight="false" outlineLevel="0" collapsed="false">
      <c r="V10356" s="23" t="str">
        <f aca="false">IF(ISNUMBER(C10356),YEAR(C10356),"")</f>
        <v/>
      </c>
      <c r="W10356" s="23" t="str">
        <f aca="false">IF(ISNUMBER(C10356),MONTH(C10356),"")</f>
        <v/>
      </c>
      <c r="X10356" s="23" t="str">
        <f aca="false">IF(T10356="","",IF(T10356=0,"No discount",IF(T10356&lt;=0.2,"Low (1-20%)",IF(T10356&lt;=0.4,"Medium (21-40%)","High (&gt;40%)"))))</f>
        <v/>
      </c>
      <c r="Y10356" s="23" t="str">
        <f aca="false">IF(AND(ISNUMBER(C10356),ISNUMBER(D10356)),D10356-C10356,"")</f>
        <v/>
      </c>
      <c r="Z10356" s="23" t="str">
        <f aca="false">IF(B10356="","",IF(MATCH(B10356,$B$2:$B$12000,0)=ROW()-1,1,0))</f>
        <v/>
      </c>
    </row>
    <row r="10357" customFormat="false" ht="15" hidden="false" customHeight="false" outlineLevel="0" collapsed="false">
      <c r="V10357" s="23" t="str">
        <f aca="false">IF(ISNUMBER(C10357),YEAR(C10357),"")</f>
        <v/>
      </c>
      <c r="W10357" s="23" t="str">
        <f aca="false">IF(ISNUMBER(C10357),MONTH(C10357),"")</f>
        <v/>
      </c>
      <c r="X10357" s="23" t="str">
        <f aca="false">IF(T10357="","",IF(T10357=0,"No discount",IF(T10357&lt;=0.2,"Low (1-20%)",IF(T10357&lt;=0.4,"Medium (21-40%)","High (&gt;40%)"))))</f>
        <v/>
      </c>
      <c r="Y10357" s="23" t="str">
        <f aca="false">IF(AND(ISNUMBER(C10357),ISNUMBER(D10357)),D10357-C10357,"")</f>
        <v/>
      </c>
      <c r="Z10357" s="23" t="str">
        <f aca="false">IF(B10357="","",IF(MATCH(B10357,$B$2:$B$12000,0)=ROW()-1,1,0))</f>
        <v/>
      </c>
    </row>
    <row r="10358" customFormat="false" ht="15" hidden="false" customHeight="false" outlineLevel="0" collapsed="false">
      <c r="V10358" s="23" t="str">
        <f aca="false">IF(ISNUMBER(C10358),YEAR(C10358),"")</f>
        <v/>
      </c>
      <c r="W10358" s="23" t="str">
        <f aca="false">IF(ISNUMBER(C10358),MONTH(C10358),"")</f>
        <v/>
      </c>
      <c r="X10358" s="23" t="str">
        <f aca="false">IF(T10358="","",IF(T10358=0,"No discount",IF(T10358&lt;=0.2,"Low (1-20%)",IF(T10358&lt;=0.4,"Medium (21-40%)","High (&gt;40%)"))))</f>
        <v/>
      </c>
      <c r="Y10358" s="23" t="str">
        <f aca="false">IF(AND(ISNUMBER(C10358),ISNUMBER(D10358)),D10358-C10358,"")</f>
        <v/>
      </c>
      <c r="Z10358" s="23" t="str">
        <f aca="false">IF(B10358="","",IF(MATCH(B10358,$B$2:$B$12000,0)=ROW()-1,1,0))</f>
        <v/>
      </c>
    </row>
    <row r="10359" customFormat="false" ht="15" hidden="false" customHeight="false" outlineLevel="0" collapsed="false">
      <c r="V10359" s="23" t="str">
        <f aca="false">IF(ISNUMBER(C10359),YEAR(C10359),"")</f>
        <v/>
      </c>
      <c r="W10359" s="23" t="str">
        <f aca="false">IF(ISNUMBER(C10359),MONTH(C10359),"")</f>
        <v/>
      </c>
      <c r="X10359" s="23" t="str">
        <f aca="false">IF(T10359="","",IF(T10359=0,"No discount",IF(T10359&lt;=0.2,"Low (1-20%)",IF(T10359&lt;=0.4,"Medium (21-40%)","High (&gt;40%)"))))</f>
        <v/>
      </c>
      <c r="Y10359" s="23" t="str">
        <f aca="false">IF(AND(ISNUMBER(C10359),ISNUMBER(D10359)),D10359-C10359,"")</f>
        <v/>
      </c>
      <c r="Z10359" s="23" t="str">
        <f aca="false">IF(B10359="","",IF(MATCH(B10359,$B$2:$B$12000,0)=ROW()-1,1,0))</f>
        <v/>
      </c>
    </row>
    <row r="10360" customFormat="false" ht="15" hidden="false" customHeight="false" outlineLevel="0" collapsed="false">
      <c r="V10360" s="23" t="str">
        <f aca="false">IF(ISNUMBER(C10360),YEAR(C10360),"")</f>
        <v/>
      </c>
      <c r="W10360" s="23" t="str">
        <f aca="false">IF(ISNUMBER(C10360),MONTH(C10360),"")</f>
        <v/>
      </c>
      <c r="X10360" s="23" t="str">
        <f aca="false">IF(T10360="","",IF(T10360=0,"No discount",IF(T10360&lt;=0.2,"Low (1-20%)",IF(T10360&lt;=0.4,"Medium (21-40%)","High (&gt;40%)"))))</f>
        <v/>
      </c>
      <c r="Y10360" s="23" t="str">
        <f aca="false">IF(AND(ISNUMBER(C10360),ISNUMBER(D10360)),D10360-C10360,"")</f>
        <v/>
      </c>
      <c r="Z10360" s="23" t="str">
        <f aca="false">IF(B10360="","",IF(MATCH(B10360,$B$2:$B$12000,0)=ROW()-1,1,0))</f>
        <v/>
      </c>
    </row>
    <row r="10361" customFormat="false" ht="15" hidden="false" customHeight="false" outlineLevel="0" collapsed="false">
      <c r="V10361" s="23" t="str">
        <f aca="false">IF(ISNUMBER(C10361),YEAR(C10361),"")</f>
        <v/>
      </c>
      <c r="W10361" s="23" t="str">
        <f aca="false">IF(ISNUMBER(C10361),MONTH(C10361),"")</f>
        <v/>
      </c>
      <c r="X10361" s="23" t="str">
        <f aca="false">IF(T10361="","",IF(T10361=0,"No discount",IF(T10361&lt;=0.2,"Low (1-20%)",IF(T10361&lt;=0.4,"Medium (21-40%)","High (&gt;40%)"))))</f>
        <v/>
      </c>
      <c r="Y10361" s="23" t="str">
        <f aca="false">IF(AND(ISNUMBER(C10361),ISNUMBER(D10361)),D10361-C10361,"")</f>
        <v/>
      </c>
      <c r="Z10361" s="23" t="str">
        <f aca="false">IF(B10361="","",IF(MATCH(B10361,$B$2:$B$12000,0)=ROW()-1,1,0))</f>
        <v/>
      </c>
    </row>
    <row r="10362" customFormat="false" ht="15" hidden="false" customHeight="false" outlineLevel="0" collapsed="false">
      <c r="V10362" s="23" t="str">
        <f aca="false">IF(ISNUMBER(C10362),YEAR(C10362),"")</f>
        <v/>
      </c>
      <c r="W10362" s="23" t="str">
        <f aca="false">IF(ISNUMBER(C10362),MONTH(C10362),"")</f>
        <v/>
      </c>
      <c r="X10362" s="23" t="str">
        <f aca="false">IF(T10362="","",IF(T10362=0,"No discount",IF(T10362&lt;=0.2,"Low (1-20%)",IF(T10362&lt;=0.4,"Medium (21-40%)","High (&gt;40%)"))))</f>
        <v/>
      </c>
      <c r="Y10362" s="23" t="str">
        <f aca="false">IF(AND(ISNUMBER(C10362),ISNUMBER(D10362)),D10362-C10362,"")</f>
        <v/>
      </c>
      <c r="Z10362" s="23" t="str">
        <f aca="false">IF(B10362="","",IF(MATCH(B10362,$B$2:$B$12000,0)=ROW()-1,1,0))</f>
        <v/>
      </c>
    </row>
    <row r="10363" customFormat="false" ht="15" hidden="false" customHeight="false" outlineLevel="0" collapsed="false">
      <c r="V10363" s="23" t="str">
        <f aca="false">IF(ISNUMBER(C10363),YEAR(C10363),"")</f>
        <v/>
      </c>
      <c r="W10363" s="23" t="str">
        <f aca="false">IF(ISNUMBER(C10363),MONTH(C10363),"")</f>
        <v/>
      </c>
      <c r="X10363" s="23" t="str">
        <f aca="false">IF(T10363="","",IF(T10363=0,"No discount",IF(T10363&lt;=0.2,"Low (1-20%)",IF(T10363&lt;=0.4,"Medium (21-40%)","High (&gt;40%)"))))</f>
        <v/>
      </c>
      <c r="Y10363" s="23" t="str">
        <f aca="false">IF(AND(ISNUMBER(C10363),ISNUMBER(D10363)),D10363-C10363,"")</f>
        <v/>
      </c>
      <c r="Z10363" s="23" t="str">
        <f aca="false">IF(B10363="","",IF(MATCH(B10363,$B$2:$B$12000,0)=ROW()-1,1,0))</f>
        <v/>
      </c>
    </row>
    <row r="10364" customFormat="false" ht="15" hidden="false" customHeight="false" outlineLevel="0" collapsed="false">
      <c r="V10364" s="23" t="str">
        <f aca="false">IF(ISNUMBER(C10364),YEAR(C10364),"")</f>
        <v/>
      </c>
      <c r="W10364" s="23" t="str">
        <f aca="false">IF(ISNUMBER(C10364),MONTH(C10364),"")</f>
        <v/>
      </c>
      <c r="X10364" s="23" t="str">
        <f aca="false">IF(T10364="","",IF(T10364=0,"No discount",IF(T10364&lt;=0.2,"Low (1-20%)",IF(T10364&lt;=0.4,"Medium (21-40%)","High (&gt;40%)"))))</f>
        <v/>
      </c>
      <c r="Y10364" s="23" t="str">
        <f aca="false">IF(AND(ISNUMBER(C10364),ISNUMBER(D10364)),D10364-C10364,"")</f>
        <v/>
      </c>
      <c r="Z10364" s="23" t="str">
        <f aca="false">IF(B10364="","",IF(MATCH(B10364,$B$2:$B$12000,0)=ROW()-1,1,0))</f>
        <v/>
      </c>
    </row>
    <row r="10365" customFormat="false" ht="15" hidden="false" customHeight="false" outlineLevel="0" collapsed="false">
      <c r="V10365" s="23" t="str">
        <f aca="false">IF(ISNUMBER(C10365),YEAR(C10365),"")</f>
        <v/>
      </c>
      <c r="W10365" s="23" t="str">
        <f aca="false">IF(ISNUMBER(C10365),MONTH(C10365),"")</f>
        <v/>
      </c>
      <c r="X10365" s="23" t="str">
        <f aca="false">IF(T10365="","",IF(T10365=0,"No discount",IF(T10365&lt;=0.2,"Low (1-20%)",IF(T10365&lt;=0.4,"Medium (21-40%)","High (&gt;40%)"))))</f>
        <v/>
      </c>
      <c r="Y10365" s="23" t="str">
        <f aca="false">IF(AND(ISNUMBER(C10365),ISNUMBER(D10365)),D10365-C10365,"")</f>
        <v/>
      </c>
      <c r="Z10365" s="23" t="str">
        <f aca="false">IF(B10365="","",IF(MATCH(B10365,$B$2:$B$12000,0)=ROW()-1,1,0))</f>
        <v/>
      </c>
    </row>
    <row r="10366" customFormat="false" ht="15" hidden="false" customHeight="false" outlineLevel="0" collapsed="false">
      <c r="V10366" s="23" t="str">
        <f aca="false">IF(ISNUMBER(C10366),YEAR(C10366),"")</f>
        <v/>
      </c>
      <c r="W10366" s="23" t="str">
        <f aca="false">IF(ISNUMBER(C10366),MONTH(C10366),"")</f>
        <v/>
      </c>
      <c r="X10366" s="23" t="str">
        <f aca="false">IF(T10366="","",IF(T10366=0,"No discount",IF(T10366&lt;=0.2,"Low (1-20%)",IF(T10366&lt;=0.4,"Medium (21-40%)","High (&gt;40%)"))))</f>
        <v/>
      </c>
      <c r="Y10366" s="23" t="str">
        <f aca="false">IF(AND(ISNUMBER(C10366),ISNUMBER(D10366)),D10366-C10366,"")</f>
        <v/>
      </c>
      <c r="Z10366" s="23" t="str">
        <f aca="false">IF(B10366="","",IF(MATCH(B10366,$B$2:$B$12000,0)=ROW()-1,1,0))</f>
        <v/>
      </c>
    </row>
    <row r="10367" customFormat="false" ht="15" hidden="false" customHeight="false" outlineLevel="0" collapsed="false">
      <c r="V10367" s="23" t="str">
        <f aca="false">IF(ISNUMBER(C10367),YEAR(C10367),"")</f>
        <v/>
      </c>
      <c r="W10367" s="23" t="str">
        <f aca="false">IF(ISNUMBER(C10367),MONTH(C10367),"")</f>
        <v/>
      </c>
      <c r="X10367" s="23" t="str">
        <f aca="false">IF(T10367="","",IF(T10367=0,"No discount",IF(T10367&lt;=0.2,"Low (1-20%)",IF(T10367&lt;=0.4,"Medium (21-40%)","High (&gt;40%)"))))</f>
        <v/>
      </c>
      <c r="Y10367" s="23" t="str">
        <f aca="false">IF(AND(ISNUMBER(C10367),ISNUMBER(D10367)),D10367-C10367,"")</f>
        <v/>
      </c>
      <c r="Z10367" s="23" t="str">
        <f aca="false">IF(B10367="","",IF(MATCH(B10367,$B$2:$B$12000,0)=ROW()-1,1,0))</f>
        <v/>
      </c>
    </row>
    <row r="10368" customFormat="false" ht="15" hidden="false" customHeight="false" outlineLevel="0" collapsed="false">
      <c r="V10368" s="23" t="str">
        <f aca="false">IF(ISNUMBER(C10368),YEAR(C10368),"")</f>
        <v/>
      </c>
      <c r="W10368" s="23" t="str">
        <f aca="false">IF(ISNUMBER(C10368),MONTH(C10368),"")</f>
        <v/>
      </c>
      <c r="X10368" s="23" t="str">
        <f aca="false">IF(T10368="","",IF(T10368=0,"No discount",IF(T10368&lt;=0.2,"Low (1-20%)",IF(T10368&lt;=0.4,"Medium (21-40%)","High (&gt;40%)"))))</f>
        <v/>
      </c>
      <c r="Y10368" s="23" t="str">
        <f aca="false">IF(AND(ISNUMBER(C10368),ISNUMBER(D10368)),D10368-C10368,"")</f>
        <v/>
      </c>
      <c r="Z10368" s="23" t="str">
        <f aca="false">IF(B10368="","",IF(MATCH(B10368,$B$2:$B$12000,0)=ROW()-1,1,0))</f>
        <v/>
      </c>
    </row>
    <row r="10369" customFormat="false" ht="15" hidden="false" customHeight="false" outlineLevel="0" collapsed="false">
      <c r="V10369" s="23" t="str">
        <f aca="false">IF(ISNUMBER(C10369),YEAR(C10369),"")</f>
        <v/>
      </c>
      <c r="W10369" s="23" t="str">
        <f aca="false">IF(ISNUMBER(C10369),MONTH(C10369),"")</f>
        <v/>
      </c>
      <c r="X10369" s="23" t="str">
        <f aca="false">IF(T10369="","",IF(T10369=0,"No discount",IF(T10369&lt;=0.2,"Low (1-20%)",IF(T10369&lt;=0.4,"Medium (21-40%)","High (&gt;40%)"))))</f>
        <v/>
      </c>
      <c r="Y10369" s="23" t="str">
        <f aca="false">IF(AND(ISNUMBER(C10369),ISNUMBER(D10369)),D10369-C10369,"")</f>
        <v/>
      </c>
      <c r="Z10369" s="23" t="str">
        <f aca="false">IF(B10369="","",IF(MATCH(B10369,$B$2:$B$12000,0)=ROW()-1,1,0))</f>
        <v/>
      </c>
    </row>
    <row r="10370" customFormat="false" ht="15" hidden="false" customHeight="false" outlineLevel="0" collapsed="false">
      <c r="V10370" s="23" t="str">
        <f aca="false">IF(ISNUMBER(C10370),YEAR(C10370),"")</f>
        <v/>
      </c>
      <c r="W10370" s="23" t="str">
        <f aca="false">IF(ISNUMBER(C10370),MONTH(C10370),"")</f>
        <v/>
      </c>
      <c r="X10370" s="23" t="str">
        <f aca="false">IF(T10370="","",IF(T10370=0,"No discount",IF(T10370&lt;=0.2,"Low (1-20%)",IF(T10370&lt;=0.4,"Medium (21-40%)","High (&gt;40%)"))))</f>
        <v/>
      </c>
      <c r="Y10370" s="23" t="str">
        <f aca="false">IF(AND(ISNUMBER(C10370),ISNUMBER(D10370)),D10370-C10370,"")</f>
        <v/>
      </c>
      <c r="Z10370" s="23" t="str">
        <f aca="false">IF(B10370="","",IF(MATCH(B10370,$B$2:$B$12000,0)=ROW()-1,1,0))</f>
        <v/>
      </c>
    </row>
    <row r="10371" customFormat="false" ht="15" hidden="false" customHeight="false" outlineLevel="0" collapsed="false">
      <c r="V10371" s="23" t="str">
        <f aca="false">IF(ISNUMBER(C10371),YEAR(C10371),"")</f>
        <v/>
      </c>
      <c r="W10371" s="23" t="str">
        <f aca="false">IF(ISNUMBER(C10371),MONTH(C10371),"")</f>
        <v/>
      </c>
      <c r="X10371" s="23" t="str">
        <f aca="false">IF(T10371="","",IF(T10371=0,"No discount",IF(T10371&lt;=0.2,"Low (1-20%)",IF(T10371&lt;=0.4,"Medium (21-40%)","High (&gt;40%)"))))</f>
        <v/>
      </c>
      <c r="Y10371" s="23" t="str">
        <f aca="false">IF(AND(ISNUMBER(C10371),ISNUMBER(D10371)),D10371-C10371,"")</f>
        <v/>
      </c>
      <c r="Z10371" s="23" t="str">
        <f aca="false">IF(B10371="","",IF(MATCH(B10371,$B$2:$B$12000,0)=ROW()-1,1,0))</f>
        <v/>
      </c>
    </row>
    <row r="10372" customFormat="false" ht="15" hidden="false" customHeight="false" outlineLevel="0" collapsed="false">
      <c r="V10372" s="23" t="str">
        <f aca="false">IF(ISNUMBER(C10372),YEAR(C10372),"")</f>
        <v/>
      </c>
      <c r="W10372" s="23" t="str">
        <f aca="false">IF(ISNUMBER(C10372),MONTH(C10372),"")</f>
        <v/>
      </c>
      <c r="X10372" s="23" t="str">
        <f aca="false">IF(T10372="","",IF(T10372=0,"No discount",IF(T10372&lt;=0.2,"Low (1-20%)",IF(T10372&lt;=0.4,"Medium (21-40%)","High (&gt;40%)"))))</f>
        <v/>
      </c>
      <c r="Y10372" s="23" t="str">
        <f aca="false">IF(AND(ISNUMBER(C10372),ISNUMBER(D10372)),D10372-C10372,"")</f>
        <v/>
      </c>
      <c r="Z10372" s="23" t="str">
        <f aca="false">IF(B10372="","",IF(MATCH(B10372,$B$2:$B$12000,0)=ROW()-1,1,0))</f>
        <v/>
      </c>
    </row>
    <row r="10373" customFormat="false" ht="15" hidden="false" customHeight="false" outlineLevel="0" collapsed="false">
      <c r="V10373" s="23" t="str">
        <f aca="false">IF(ISNUMBER(C10373),YEAR(C10373),"")</f>
        <v/>
      </c>
      <c r="W10373" s="23" t="str">
        <f aca="false">IF(ISNUMBER(C10373),MONTH(C10373),"")</f>
        <v/>
      </c>
      <c r="X10373" s="23" t="str">
        <f aca="false">IF(T10373="","",IF(T10373=0,"No discount",IF(T10373&lt;=0.2,"Low (1-20%)",IF(T10373&lt;=0.4,"Medium (21-40%)","High (&gt;40%)"))))</f>
        <v/>
      </c>
      <c r="Y10373" s="23" t="str">
        <f aca="false">IF(AND(ISNUMBER(C10373),ISNUMBER(D10373)),D10373-C10373,"")</f>
        <v/>
      </c>
      <c r="Z10373" s="23" t="str">
        <f aca="false">IF(B10373="","",IF(MATCH(B10373,$B$2:$B$12000,0)=ROW()-1,1,0))</f>
        <v/>
      </c>
    </row>
    <row r="10374" customFormat="false" ht="15" hidden="false" customHeight="false" outlineLevel="0" collapsed="false">
      <c r="V10374" s="23" t="str">
        <f aca="false">IF(ISNUMBER(C10374),YEAR(C10374),"")</f>
        <v/>
      </c>
      <c r="W10374" s="23" t="str">
        <f aca="false">IF(ISNUMBER(C10374),MONTH(C10374),"")</f>
        <v/>
      </c>
      <c r="X10374" s="23" t="str">
        <f aca="false">IF(T10374="","",IF(T10374=0,"No discount",IF(T10374&lt;=0.2,"Low (1-20%)",IF(T10374&lt;=0.4,"Medium (21-40%)","High (&gt;40%)"))))</f>
        <v/>
      </c>
      <c r="Y10374" s="23" t="str">
        <f aca="false">IF(AND(ISNUMBER(C10374),ISNUMBER(D10374)),D10374-C10374,"")</f>
        <v/>
      </c>
      <c r="Z10374" s="23" t="str">
        <f aca="false">IF(B10374="","",IF(MATCH(B10374,$B$2:$B$12000,0)=ROW()-1,1,0))</f>
        <v/>
      </c>
    </row>
    <row r="10375" customFormat="false" ht="15" hidden="false" customHeight="false" outlineLevel="0" collapsed="false">
      <c r="V10375" s="23" t="str">
        <f aca="false">IF(ISNUMBER(C10375),YEAR(C10375),"")</f>
        <v/>
      </c>
      <c r="W10375" s="23" t="str">
        <f aca="false">IF(ISNUMBER(C10375),MONTH(C10375),"")</f>
        <v/>
      </c>
      <c r="X10375" s="23" t="str">
        <f aca="false">IF(T10375="","",IF(T10375=0,"No discount",IF(T10375&lt;=0.2,"Low (1-20%)",IF(T10375&lt;=0.4,"Medium (21-40%)","High (&gt;40%)"))))</f>
        <v/>
      </c>
      <c r="Y10375" s="23" t="str">
        <f aca="false">IF(AND(ISNUMBER(C10375),ISNUMBER(D10375)),D10375-C10375,"")</f>
        <v/>
      </c>
      <c r="Z10375" s="23" t="str">
        <f aca="false">IF(B10375="","",IF(MATCH(B10375,$B$2:$B$12000,0)=ROW()-1,1,0))</f>
        <v/>
      </c>
    </row>
    <row r="10376" customFormat="false" ht="15" hidden="false" customHeight="false" outlineLevel="0" collapsed="false">
      <c r="V10376" s="23" t="str">
        <f aca="false">IF(ISNUMBER(C10376),YEAR(C10376),"")</f>
        <v/>
      </c>
      <c r="W10376" s="23" t="str">
        <f aca="false">IF(ISNUMBER(C10376),MONTH(C10376),"")</f>
        <v/>
      </c>
      <c r="X10376" s="23" t="str">
        <f aca="false">IF(T10376="","",IF(T10376=0,"No discount",IF(T10376&lt;=0.2,"Low (1-20%)",IF(T10376&lt;=0.4,"Medium (21-40%)","High (&gt;40%)"))))</f>
        <v/>
      </c>
      <c r="Y10376" s="23" t="str">
        <f aca="false">IF(AND(ISNUMBER(C10376),ISNUMBER(D10376)),D10376-C10376,"")</f>
        <v/>
      </c>
      <c r="Z10376" s="23" t="str">
        <f aca="false">IF(B10376="","",IF(MATCH(B10376,$B$2:$B$12000,0)=ROW()-1,1,0))</f>
        <v/>
      </c>
    </row>
    <row r="10377" customFormat="false" ht="15" hidden="false" customHeight="false" outlineLevel="0" collapsed="false">
      <c r="V10377" s="23" t="str">
        <f aca="false">IF(ISNUMBER(C10377),YEAR(C10377),"")</f>
        <v/>
      </c>
      <c r="W10377" s="23" t="str">
        <f aca="false">IF(ISNUMBER(C10377),MONTH(C10377),"")</f>
        <v/>
      </c>
      <c r="X10377" s="23" t="str">
        <f aca="false">IF(T10377="","",IF(T10377=0,"No discount",IF(T10377&lt;=0.2,"Low (1-20%)",IF(T10377&lt;=0.4,"Medium (21-40%)","High (&gt;40%)"))))</f>
        <v/>
      </c>
      <c r="Y10377" s="23" t="str">
        <f aca="false">IF(AND(ISNUMBER(C10377),ISNUMBER(D10377)),D10377-C10377,"")</f>
        <v/>
      </c>
      <c r="Z10377" s="23" t="str">
        <f aca="false">IF(B10377="","",IF(MATCH(B10377,$B$2:$B$12000,0)=ROW()-1,1,0))</f>
        <v/>
      </c>
    </row>
    <row r="10378" customFormat="false" ht="15" hidden="false" customHeight="false" outlineLevel="0" collapsed="false">
      <c r="V10378" s="23" t="str">
        <f aca="false">IF(ISNUMBER(C10378),YEAR(C10378),"")</f>
        <v/>
      </c>
      <c r="W10378" s="23" t="str">
        <f aca="false">IF(ISNUMBER(C10378),MONTH(C10378),"")</f>
        <v/>
      </c>
      <c r="X10378" s="23" t="str">
        <f aca="false">IF(T10378="","",IF(T10378=0,"No discount",IF(T10378&lt;=0.2,"Low (1-20%)",IF(T10378&lt;=0.4,"Medium (21-40%)","High (&gt;40%)"))))</f>
        <v/>
      </c>
      <c r="Y10378" s="23" t="str">
        <f aca="false">IF(AND(ISNUMBER(C10378),ISNUMBER(D10378)),D10378-C10378,"")</f>
        <v/>
      </c>
      <c r="Z10378" s="23" t="str">
        <f aca="false">IF(B10378="","",IF(MATCH(B10378,$B$2:$B$12000,0)=ROW()-1,1,0))</f>
        <v/>
      </c>
    </row>
    <row r="10379" customFormat="false" ht="15" hidden="false" customHeight="false" outlineLevel="0" collapsed="false">
      <c r="V10379" s="23" t="str">
        <f aca="false">IF(ISNUMBER(C10379),YEAR(C10379),"")</f>
        <v/>
      </c>
      <c r="W10379" s="23" t="str">
        <f aca="false">IF(ISNUMBER(C10379),MONTH(C10379),"")</f>
        <v/>
      </c>
      <c r="X10379" s="23" t="str">
        <f aca="false">IF(T10379="","",IF(T10379=0,"No discount",IF(T10379&lt;=0.2,"Low (1-20%)",IF(T10379&lt;=0.4,"Medium (21-40%)","High (&gt;40%)"))))</f>
        <v/>
      </c>
      <c r="Y10379" s="23" t="str">
        <f aca="false">IF(AND(ISNUMBER(C10379),ISNUMBER(D10379)),D10379-C10379,"")</f>
        <v/>
      </c>
      <c r="Z10379" s="23" t="str">
        <f aca="false">IF(B10379="","",IF(MATCH(B10379,$B$2:$B$12000,0)=ROW()-1,1,0))</f>
        <v/>
      </c>
    </row>
    <row r="10380" customFormat="false" ht="15" hidden="false" customHeight="false" outlineLevel="0" collapsed="false">
      <c r="V10380" s="23" t="str">
        <f aca="false">IF(ISNUMBER(C10380),YEAR(C10380),"")</f>
        <v/>
      </c>
      <c r="W10380" s="23" t="str">
        <f aca="false">IF(ISNUMBER(C10380),MONTH(C10380),"")</f>
        <v/>
      </c>
      <c r="X10380" s="23" t="str">
        <f aca="false">IF(T10380="","",IF(T10380=0,"No discount",IF(T10380&lt;=0.2,"Low (1-20%)",IF(T10380&lt;=0.4,"Medium (21-40%)","High (&gt;40%)"))))</f>
        <v/>
      </c>
      <c r="Y10380" s="23" t="str">
        <f aca="false">IF(AND(ISNUMBER(C10380),ISNUMBER(D10380)),D10380-C10380,"")</f>
        <v/>
      </c>
      <c r="Z10380" s="23" t="str">
        <f aca="false">IF(B10380="","",IF(MATCH(B10380,$B$2:$B$12000,0)=ROW()-1,1,0))</f>
        <v/>
      </c>
    </row>
    <row r="10381" customFormat="false" ht="15" hidden="false" customHeight="false" outlineLevel="0" collapsed="false">
      <c r="V10381" s="23" t="str">
        <f aca="false">IF(ISNUMBER(C10381),YEAR(C10381),"")</f>
        <v/>
      </c>
      <c r="W10381" s="23" t="str">
        <f aca="false">IF(ISNUMBER(C10381),MONTH(C10381),"")</f>
        <v/>
      </c>
      <c r="X10381" s="23" t="str">
        <f aca="false">IF(T10381="","",IF(T10381=0,"No discount",IF(T10381&lt;=0.2,"Low (1-20%)",IF(T10381&lt;=0.4,"Medium (21-40%)","High (&gt;40%)"))))</f>
        <v/>
      </c>
      <c r="Y10381" s="23" t="str">
        <f aca="false">IF(AND(ISNUMBER(C10381),ISNUMBER(D10381)),D10381-C10381,"")</f>
        <v/>
      </c>
      <c r="Z10381" s="23" t="str">
        <f aca="false">IF(B10381="","",IF(MATCH(B10381,$B$2:$B$12000,0)=ROW()-1,1,0))</f>
        <v/>
      </c>
    </row>
    <row r="10382" customFormat="false" ht="15" hidden="false" customHeight="false" outlineLevel="0" collapsed="false">
      <c r="V10382" s="23" t="str">
        <f aca="false">IF(ISNUMBER(C10382),YEAR(C10382),"")</f>
        <v/>
      </c>
      <c r="W10382" s="23" t="str">
        <f aca="false">IF(ISNUMBER(C10382),MONTH(C10382),"")</f>
        <v/>
      </c>
      <c r="X10382" s="23" t="str">
        <f aca="false">IF(T10382="","",IF(T10382=0,"No discount",IF(T10382&lt;=0.2,"Low (1-20%)",IF(T10382&lt;=0.4,"Medium (21-40%)","High (&gt;40%)"))))</f>
        <v/>
      </c>
      <c r="Y10382" s="23" t="str">
        <f aca="false">IF(AND(ISNUMBER(C10382),ISNUMBER(D10382)),D10382-C10382,"")</f>
        <v/>
      </c>
      <c r="Z10382" s="23" t="str">
        <f aca="false">IF(B10382="","",IF(MATCH(B10382,$B$2:$B$12000,0)=ROW()-1,1,0))</f>
        <v/>
      </c>
    </row>
    <row r="10383" customFormat="false" ht="15" hidden="false" customHeight="false" outlineLevel="0" collapsed="false">
      <c r="V10383" s="23" t="str">
        <f aca="false">IF(ISNUMBER(C10383),YEAR(C10383),"")</f>
        <v/>
      </c>
      <c r="W10383" s="23" t="str">
        <f aca="false">IF(ISNUMBER(C10383),MONTH(C10383),"")</f>
        <v/>
      </c>
      <c r="X10383" s="23" t="str">
        <f aca="false">IF(T10383="","",IF(T10383=0,"No discount",IF(T10383&lt;=0.2,"Low (1-20%)",IF(T10383&lt;=0.4,"Medium (21-40%)","High (&gt;40%)"))))</f>
        <v/>
      </c>
      <c r="Y10383" s="23" t="str">
        <f aca="false">IF(AND(ISNUMBER(C10383),ISNUMBER(D10383)),D10383-C10383,"")</f>
        <v/>
      </c>
      <c r="Z10383" s="23" t="str">
        <f aca="false">IF(B10383="","",IF(MATCH(B10383,$B$2:$B$12000,0)=ROW()-1,1,0))</f>
        <v/>
      </c>
    </row>
    <row r="10384" customFormat="false" ht="15" hidden="false" customHeight="false" outlineLevel="0" collapsed="false">
      <c r="V10384" s="23" t="str">
        <f aca="false">IF(ISNUMBER(C10384),YEAR(C10384),"")</f>
        <v/>
      </c>
      <c r="W10384" s="23" t="str">
        <f aca="false">IF(ISNUMBER(C10384),MONTH(C10384),"")</f>
        <v/>
      </c>
      <c r="X10384" s="23" t="str">
        <f aca="false">IF(T10384="","",IF(T10384=0,"No discount",IF(T10384&lt;=0.2,"Low (1-20%)",IF(T10384&lt;=0.4,"Medium (21-40%)","High (&gt;40%)"))))</f>
        <v/>
      </c>
      <c r="Y10384" s="23" t="str">
        <f aca="false">IF(AND(ISNUMBER(C10384),ISNUMBER(D10384)),D10384-C10384,"")</f>
        <v/>
      </c>
      <c r="Z10384" s="23" t="str">
        <f aca="false">IF(B10384="","",IF(MATCH(B10384,$B$2:$B$12000,0)=ROW()-1,1,0))</f>
        <v/>
      </c>
    </row>
    <row r="10385" customFormat="false" ht="15" hidden="false" customHeight="false" outlineLevel="0" collapsed="false">
      <c r="V10385" s="23" t="str">
        <f aca="false">IF(ISNUMBER(C10385),YEAR(C10385),"")</f>
        <v/>
      </c>
      <c r="W10385" s="23" t="str">
        <f aca="false">IF(ISNUMBER(C10385),MONTH(C10385),"")</f>
        <v/>
      </c>
      <c r="X10385" s="23" t="str">
        <f aca="false">IF(T10385="","",IF(T10385=0,"No discount",IF(T10385&lt;=0.2,"Low (1-20%)",IF(T10385&lt;=0.4,"Medium (21-40%)","High (&gt;40%)"))))</f>
        <v/>
      </c>
      <c r="Y10385" s="23" t="str">
        <f aca="false">IF(AND(ISNUMBER(C10385),ISNUMBER(D10385)),D10385-C10385,"")</f>
        <v/>
      </c>
      <c r="Z10385" s="23" t="str">
        <f aca="false">IF(B10385="","",IF(MATCH(B10385,$B$2:$B$12000,0)=ROW()-1,1,0))</f>
        <v/>
      </c>
    </row>
    <row r="10386" customFormat="false" ht="15" hidden="false" customHeight="false" outlineLevel="0" collapsed="false">
      <c r="V10386" s="23" t="str">
        <f aca="false">IF(ISNUMBER(C10386),YEAR(C10386),"")</f>
        <v/>
      </c>
      <c r="W10386" s="23" t="str">
        <f aca="false">IF(ISNUMBER(C10386),MONTH(C10386),"")</f>
        <v/>
      </c>
      <c r="X10386" s="23" t="str">
        <f aca="false">IF(T10386="","",IF(T10386=0,"No discount",IF(T10386&lt;=0.2,"Low (1-20%)",IF(T10386&lt;=0.4,"Medium (21-40%)","High (&gt;40%)"))))</f>
        <v/>
      </c>
      <c r="Y10386" s="23" t="str">
        <f aca="false">IF(AND(ISNUMBER(C10386),ISNUMBER(D10386)),D10386-C10386,"")</f>
        <v/>
      </c>
      <c r="Z10386" s="23" t="str">
        <f aca="false">IF(B10386="","",IF(MATCH(B10386,$B$2:$B$12000,0)=ROW()-1,1,0))</f>
        <v/>
      </c>
    </row>
    <row r="10387" customFormat="false" ht="15" hidden="false" customHeight="false" outlineLevel="0" collapsed="false">
      <c r="V10387" s="23" t="str">
        <f aca="false">IF(ISNUMBER(C10387),YEAR(C10387),"")</f>
        <v/>
      </c>
      <c r="W10387" s="23" t="str">
        <f aca="false">IF(ISNUMBER(C10387),MONTH(C10387),"")</f>
        <v/>
      </c>
      <c r="X10387" s="23" t="str">
        <f aca="false">IF(T10387="","",IF(T10387=0,"No discount",IF(T10387&lt;=0.2,"Low (1-20%)",IF(T10387&lt;=0.4,"Medium (21-40%)","High (&gt;40%)"))))</f>
        <v/>
      </c>
      <c r="Y10387" s="23" t="str">
        <f aca="false">IF(AND(ISNUMBER(C10387),ISNUMBER(D10387)),D10387-C10387,"")</f>
        <v/>
      </c>
      <c r="Z10387" s="23" t="str">
        <f aca="false">IF(B10387="","",IF(MATCH(B10387,$B$2:$B$12000,0)=ROW()-1,1,0))</f>
        <v/>
      </c>
    </row>
    <row r="10388" customFormat="false" ht="15" hidden="false" customHeight="false" outlineLevel="0" collapsed="false">
      <c r="V10388" s="23" t="str">
        <f aca="false">IF(ISNUMBER(C10388),YEAR(C10388),"")</f>
        <v/>
      </c>
      <c r="W10388" s="23" t="str">
        <f aca="false">IF(ISNUMBER(C10388),MONTH(C10388),"")</f>
        <v/>
      </c>
      <c r="X10388" s="23" t="str">
        <f aca="false">IF(T10388="","",IF(T10388=0,"No discount",IF(T10388&lt;=0.2,"Low (1-20%)",IF(T10388&lt;=0.4,"Medium (21-40%)","High (&gt;40%)"))))</f>
        <v/>
      </c>
      <c r="Y10388" s="23" t="str">
        <f aca="false">IF(AND(ISNUMBER(C10388),ISNUMBER(D10388)),D10388-C10388,"")</f>
        <v/>
      </c>
      <c r="Z10388" s="23" t="str">
        <f aca="false">IF(B10388="","",IF(MATCH(B10388,$B$2:$B$12000,0)=ROW()-1,1,0))</f>
        <v/>
      </c>
    </row>
    <row r="10389" customFormat="false" ht="15" hidden="false" customHeight="false" outlineLevel="0" collapsed="false">
      <c r="V10389" s="23" t="str">
        <f aca="false">IF(ISNUMBER(C10389),YEAR(C10389),"")</f>
        <v/>
      </c>
      <c r="W10389" s="23" t="str">
        <f aca="false">IF(ISNUMBER(C10389),MONTH(C10389),"")</f>
        <v/>
      </c>
      <c r="X10389" s="23" t="str">
        <f aca="false">IF(T10389="","",IF(T10389=0,"No discount",IF(T10389&lt;=0.2,"Low (1-20%)",IF(T10389&lt;=0.4,"Medium (21-40%)","High (&gt;40%)"))))</f>
        <v/>
      </c>
      <c r="Y10389" s="23" t="str">
        <f aca="false">IF(AND(ISNUMBER(C10389),ISNUMBER(D10389)),D10389-C10389,"")</f>
        <v/>
      </c>
      <c r="Z10389" s="23" t="str">
        <f aca="false">IF(B10389="","",IF(MATCH(B10389,$B$2:$B$12000,0)=ROW()-1,1,0))</f>
        <v/>
      </c>
    </row>
    <row r="10390" customFormat="false" ht="15" hidden="false" customHeight="false" outlineLevel="0" collapsed="false">
      <c r="V10390" s="23" t="str">
        <f aca="false">IF(ISNUMBER(C10390),YEAR(C10390),"")</f>
        <v/>
      </c>
      <c r="W10390" s="23" t="str">
        <f aca="false">IF(ISNUMBER(C10390),MONTH(C10390),"")</f>
        <v/>
      </c>
      <c r="X10390" s="23" t="str">
        <f aca="false">IF(T10390="","",IF(T10390=0,"No discount",IF(T10390&lt;=0.2,"Low (1-20%)",IF(T10390&lt;=0.4,"Medium (21-40%)","High (&gt;40%)"))))</f>
        <v/>
      </c>
      <c r="Y10390" s="23" t="str">
        <f aca="false">IF(AND(ISNUMBER(C10390),ISNUMBER(D10390)),D10390-C10390,"")</f>
        <v/>
      </c>
      <c r="Z10390" s="23" t="str">
        <f aca="false">IF(B10390="","",IF(MATCH(B10390,$B$2:$B$12000,0)=ROW()-1,1,0))</f>
        <v/>
      </c>
    </row>
    <row r="10391" customFormat="false" ht="15" hidden="false" customHeight="false" outlineLevel="0" collapsed="false">
      <c r="V10391" s="23" t="str">
        <f aca="false">IF(ISNUMBER(C10391),YEAR(C10391),"")</f>
        <v/>
      </c>
      <c r="W10391" s="23" t="str">
        <f aca="false">IF(ISNUMBER(C10391),MONTH(C10391),"")</f>
        <v/>
      </c>
      <c r="X10391" s="23" t="str">
        <f aca="false">IF(T10391="","",IF(T10391=0,"No discount",IF(T10391&lt;=0.2,"Low (1-20%)",IF(T10391&lt;=0.4,"Medium (21-40%)","High (&gt;40%)"))))</f>
        <v/>
      </c>
      <c r="Y10391" s="23" t="str">
        <f aca="false">IF(AND(ISNUMBER(C10391),ISNUMBER(D10391)),D10391-C10391,"")</f>
        <v/>
      </c>
      <c r="Z10391" s="23" t="str">
        <f aca="false">IF(B10391="","",IF(MATCH(B10391,$B$2:$B$12000,0)=ROW()-1,1,0))</f>
        <v/>
      </c>
    </row>
    <row r="10392" customFormat="false" ht="15" hidden="false" customHeight="false" outlineLevel="0" collapsed="false">
      <c r="V10392" s="23" t="str">
        <f aca="false">IF(ISNUMBER(C10392),YEAR(C10392),"")</f>
        <v/>
      </c>
      <c r="W10392" s="23" t="str">
        <f aca="false">IF(ISNUMBER(C10392),MONTH(C10392),"")</f>
        <v/>
      </c>
      <c r="X10392" s="23" t="str">
        <f aca="false">IF(T10392="","",IF(T10392=0,"No discount",IF(T10392&lt;=0.2,"Low (1-20%)",IF(T10392&lt;=0.4,"Medium (21-40%)","High (&gt;40%)"))))</f>
        <v/>
      </c>
      <c r="Y10392" s="23" t="str">
        <f aca="false">IF(AND(ISNUMBER(C10392),ISNUMBER(D10392)),D10392-C10392,"")</f>
        <v/>
      </c>
      <c r="Z10392" s="23" t="str">
        <f aca="false">IF(B10392="","",IF(MATCH(B10392,$B$2:$B$12000,0)=ROW()-1,1,0))</f>
        <v/>
      </c>
    </row>
    <row r="10393" customFormat="false" ht="15" hidden="false" customHeight="false" outlineLevel="0" collapsed="false">
      <c r="V10393" s="23" t="str">
        <f aca="false">IF(ISNUMBER(C10393),YEAR(C10393),"")</f>
        <v/>
      </c>
      <c r="W10393" s="23" t="str">
        <f aca="false">IF(ISNUMBER(C10393),MONTH(C10393),"")</f>
        <v/>
      </c>
      <c r="X10393" s="23" t="str">
        <f aca="false">IF(T10393="","",IF(T10393=0,"No discount",IF(T10393&lt;=0.2,"Low (1-20%)",IF(T10393&lt;=0.4,"Medium (21-40%)","High (&gt;40%)"))))</f>
        <v/>
      </c>
      <c r="Y10393" s="23" t="str">
        <f aca="false">IF(AND(ISNUMBER(C10393),ISNUMBER(D10393)),D10393-C10393,"")</f>
        <v/>
      </c>
      <c r="Z10393" s="23" t="str">
        <f aca="false">IF(B10393="","",IF(MATCH(B10393,$B$2:$B$12000,0)=ROW()-1,1,0))</f>
        <v/>
      </c>
    </row>
    <row r="10394" customFormat="false" ht="15" hidden="false" customHeight="false" outlineLevel="0" collapsed="false">
      <c r="V10394" s="23" t="str">
        <f aca="false">IF(ISNUMBER(C10394),YEAR(C10394),"")</f>
        <v/>
      </c>
      <c r="W10394" s="23" t="str">
        <f aca="false">IF(ISNUMBER(C10394),MONTH(C10394),"")</f>
        <v/>
      </c>
      <c r="X10394" s="23" t="str">
        <f aca="false">IF(T10394="","",IF(T10394=0,"No discount",IF(T10394&lt;=0.2,"Low (1-20%)",IF(T10394&lt;=0.4,"Medium (21-40%)","High (&gt;40%)"))))</f>
        <v/>
      </c>
      <c r="Y10394" s="23" t="str">
        <f aca="false">IF(AND(ISNUMBER(C10394),ISNUMBER(D10394)),D10394-C10394,"")</f>
        <v/>
      </c>
      <c r="Z10394" s="23" t="str">
        <f aca="false">IF(B10394="","",IF(MATCH(B10394,$B$2:$B$12000,0)=ROW()-1,1,0))</f>
        <v/>
      </c>
    </row>
    <row r="10395" customFormat="false" ht="15" hidden="false" customHeight="false" outlineLevel="0" collapsed="false">
      <c r="V10395" s="23" t="str">
        <f aca="false">IF(ISNUMBER(C10395),YEAR(C10395),"")</f>
        <v/>
      </c>
      <c r="W10395" s="23" t="str">
        <f aca="false">IF(ISNUMBER(C10395),MONTH(C10395),"")</f>
        <v/>
      </c>
      <c r="X10395" s="23" t="str">
        <f aca="false">IF(T10395="","",IF(T10395=0,"No discount",IF(T10395&lt;=0.2,"Low (1-20%)",IF(T10395&lt;=0.4,"Medium (21-40%)","High (&gt;40%)"))))</f>
        <v/>
      </c>
      <c r="Y10395" s="23" t="str">
        <f aca="false">IF(AND(ISNUMBER(C10395),ISNUMBER(D10395)),D10395-C10395,"")</f>
        <v/>
      </c>
      <c r="Z10395" s="23" t="str">
        <f aca="false">IF(B10395="","",IF(MATCH(B10395,$B$2:$B$12000,0)=ROW()-1,1,0))</f>
        <v/>
      </c>
    </row>
    <row r="10396" customFormat="false" ht="15" hidden="false" customHeight="false" outlineLevel="0" collapsed="false">
      <c r="V10396" s="23" t="str">
        <f aca="false">IF(ISNUMBER(C10396),YEAR(C10396),"")</f>
        <v/>
      </c>
      <c r="W10396" s="23" t="str">
        <f aca="false">IF(ISNUMBER(C10396),MONTH(C10396),"")</f>
        <v/>
      </c>
      <c r="X10396" s="23" t="str">
        <f aca="false">IF(T10396="","",IF(T10396=0,"No discount",IF(T10396&lt;=0.2,"Low (1-20%)",IF(T10396&lt;=0.4,"Medium (21-40%)","High (&gt;40%)"))))</f>
        <v/>
      </c>
      <c r="Y10396" s="23" t="str">
        <f aca="false">IF(AND(ISNUMBER(C10396),ISNUMBER(D10396)),D10396-C10396,"")</f>
        <v/>
      </c>
      <c r="Z10396" s="23" t="str">
        <f aca="false">IF(B10396="","",IF(MATCH(B10396,$B$2:$B$12000,0)=ROW()-1,1,0))</f>
        <v/>
      </c>
    </row>
    <row r="10397" customFormat="false" ht="15" hidden="false" customHeight="false" outlineLevel="0" collapsed="false">
      <c r="V10397" s="23" t="str">
        <f aca="false">IF(ISNUMBER(C10397),YEAR(C10397),"")</f>
        <v/>
      </c>
      <c r="W10397" s="23" t="str">
        <f aca="false">IF(ISNUMBER(C10397),MONTH(C10397),"")</f>
        <v/>
      </c>
      <c r="X10397" s="23" t="str">
        <f aca="false">IF(T10397="","",IF(T10397=0,"No discount",IF(T10397&lt;=0.2,"Low (1-20%)",IF(T10397&lt;=0.4,"Medium (21-40%)","High (&gt;40%)"))))</f>
        <v/>
      </c>
      <c r="Y10397" s="23" t="str">
        <f aca="false">IF(AND(ISNUMBER(C10397),ISNUMBER(D10397)),D10397-C10397,"")</f>
        <v/>
      </c>
      <c r="Z10397" s="23" t="str">
        <f aca="false">IF(B10397="","",IF(MATCH(B10397,$B$2:$B$12000,0)=ROW()-1,1,0))</f>
        <v/>
      </c>
    </row>
    <row r="10398" customFormat="false" ht="15" hidden="false" customHeight="false" outlineLevel="0" collapsed="false">
      <c r="V10398" s="23" t="str">
        <f aca="false">IF(ISNUMBER(C10398),YEAR(C10398),"")</f>
        <v/>
      </c>
      <c r="W10398" s="23" t="str">
        <f aca="false">IF(ISNUMBER(C10398),MONTH(C10398),"")</f>
        <v/>
      </c>
      <c r="X10398" s="23" t="str">
        <f aca="false">IF(T10398="","",IF(T10398=0,"No discount",IF(T10398&lt;=0.2,"Low (1-20%)",IF(T10398&lt;=0.4,"Medium (21-40%)","High (&gt;40%)"))))</f>
        <v/>
      </c>
      <c r="Y10398" s="23" t="str">
        <f aca="false">IF(AND(ISNUMBER(C10398),ISNUMBER(D10398)),D10398-C10398,"")</f>
        <v/>
      </c>
      <c r="Z10398" s="23" t="str">
        <f aca="false">IF(B10398="","",IF(MATCH(B10398,$B$2:$B$12000,0)=ROW()-1,1,0))</f>
        <v/>
      </c>
    </row>
    <row r="10399" customFormat="false" ht="15" hidden="false" customHeight="false" outlineLevel="0" collapsed="false">
      <c r="V10399" s="23" t="str">
        <f aca="false">IF(ISNUMBER(C10399),YEAR(C10399),"")</f>
        <v/>
      </c>
      <c r="W10399" s="23" t="str">
        <f aca="false">IF(ISNUMBER(C10399),MONTH(C10399),"")</f>
        <v/>
      </c>
      <c r="X10399" s="23" t="str">
        <f aca="false">IF(T10399="","",IF(T10399=0,"No discount",IF(T10399&lt;=0.2,"Low (1-20%)",IF(T10399&lt;=0.4,"Medium (21-40%)","High (&gt;40%)"))))</f>
        <v/>
      </c>
      <c r="Y10399" s="23" t="str">
        <f aca="false">IF(AND(ISNUMBER(C10399),ISNUMBER(D10399)),D10399-C10399,"")</f>
        <v/>
      </c>
      <c r="Z10399" s="23" t="str">
        <f aca="false">IF(B10399="","",IF(MATCH(B10399,$B$2:$B$12000,0)=ROW()-1,1,0))</f>
        <v/>
      </c>
    </row>
    <row r="10400" customFormat="false" ht="15" hidden="false" customHeight="false" outlineLevel="0" collapsed="false">
      <c r="V10400" s="23" t="str">
        <f aca="false">IF(ISNUMBER(C10400),YEAR(C10400),"")</f>
        <v/>
      </c>
      <c r="W10400" s="23" t="str">
        <f aca="false">IF(ISNUMBER(C10400),MONTH(C10400),"")</f>
        <v/>
      </c>
      <c r="X10400" s="23" t="str">
        <f aca="false">IF(T10400="","",IF(T10400=0,"No discount",IF(T10400&lt;=0.2,"Low (1-20%)",IF(T10400&lt;=0.4,"Medium (21-40%)","High (&gt;40%)"))))</f>
        <v/>
      </c>
      <c r="Y10400" s="23" t="str">
        <f aca="false">IF(AND(ISNUMBER(C10400),ISNUMBER(D10400)),D10400-C10400,"")</f>
        <v/>
      </c>
      <c r="Z10400" s="23" t="str">
        <f aca="false">IF(B10400="","",IF(MATCH(B10400,$B$2:$B$12000,0)=ROW()-1,1,0))</f>
        <v/>
      </c>
    </row>
    <row r="10401" customFormat="false" ht="15" hidden="false" customHeight="false" outlineLevel="0" collapsed="false">
      <c r="V10401" s="23" t="str">
        <f aca="false">IF(ISNUMBER(C10401),YEAR(C10401),"")</f>
        <v/>
      </c>
      <c r="W10401" s="23" t="str">
        <f aca="false">IF(ISNUMBER(C10401),MONTH(C10401),"")</f>
        <v/>
      </c>
      <c r="X10401" s="23" t="str">
        <f aca="false">IF(T10401="","",IF(T10401=0,"No discount",IF(T10401&lt;=0.2,"Low (1-20%)",IF(T10401&lt;=0.4,"Medium (21-40%)","High (&gt;40%)"))))</f>
        <v/>
      </c>
      <c r="Y10401" s="23" t="str">
        <f aca="false">IF(AND(ISNUMBER(C10401),ISNUMBER(D10401)),D10401-C10401,"")</f>
        <v/>
      </c>
      <c r="Z10401" s="23" t="str">
        <f aca="false">IF(B10401="","",IF(MATCH(B10401,$B$2:$B$12000,0)=ROW()-1,1,0))</f>
        <v/>
      </c>
    </row>
    <row r="10402" customFormat="false" ht="15" hidden="false" customHeight="false" outlineLevel="0" collapsed="false">
      <c r="V10402" s="23" t="str">
        <f aca="false">IF(ISNUMBER(C10402),YEAR(C10402),"")</f>
        <v/>
      </c>
      <c r="W10402" s="23" t="str">
        <f aca="false">IF(ISNUMBER(C10402),MONTH(C10402),"")</f>
        <v/>
      </c>
      <c r="X10402" s="23" t="str">
        <f aca="false">IF(T10402="","",IF(T10402=0,"No discount",IF(T10402&lt;=0.2,"Low (1-20%)",IF(T10402&lt;=0.4,"Medium (21-40%)","High (&gt;40%)"))))</f>
        <v/>
      </c>
      <c r="Y10402" s="23" t="str">
        <f aca="false">IF(AND(ISNUMBER(C10402),ISNUMBER(D10402)),D10402-C10402,"")</f>
        <v/>
      </c>
      <c r="Z10402" s="23" t="str">
        <f aca="false">IF(B10402="","",IF(MATCH(B10402,$B$2:$B$12000,0)=ROW()-1,1,0))</f>
        <v/>
      </c>
    </row>
    <row r="10403" customFormat="false" ht="15" hidden="false" customHeight="false" outlineLevel="0" collapsed="false">
      <c r="V10403" s="23" t="str">
        <f aca="false">IF(ISNUMBER(C10403),YEAR(C10403),"")</f>
        <v/>
      </c>
      <c r="W10403" s="23" t="str">
        <f aca="false">IF(ISNUMBER(C10403),MONTH(C10403),"")</f>
        <v/>
      </c>
      <c r="X10403" s="23" t="str">
        <f aca="false">IF(T10403="","",IF(T10403=0,"No discount",IF(T10403&lt;=0.2,"Low (1-20%)",IF(T10403&lt;=0.4,"Medium (21-40%)","High (&gt;40%)"))))</f>
        <v/>
      </c>
      <c r="Y10403" s="23" t="str">
        <f aca="false">IF(AND(ISNUMBER(C10403),ISNUMBER(D10403)),D10403-C10403,"")</f>
        <v/>
      </c>
      <c r="Z10403" s="23" t="str">
        <f aca="false">IF(B10403="","",IF(MATCH(B10403,$B$2:$B$12000,0)=ROW()-1,1,0))</f>
        <v/>
      </c>
    </row>
    <row r="10404" customFormat="false" ht="15" hidden="false" customHeight="false" outlineLevel="0" collapsed="false">
      <c r="V10404" s="23" t="str">
        <f aca="false">IF(ISNUMBER(C10404),YEAR(C10404),"")</f>
        <v/>
      </c>
      <c r="W10404" s="23" t="str">
        <f aca="false">IF(ISNUMBER(C10404),MONTH(C10404),"")</f>
        <v/>
      </c>
      <c r="X10404" s="23" t="str">
        <f aca="false">IF(T10404="","",IF(T10404=0,"No discount",IF(T10404&lt;=0.2,"Low (1-20%)",IF(T10404&lt;=0.4,"Medium (21-40%)","High (&gt;40%)"))))</f>
        <v/>
      </c>
      <c r="Y10404" s="23" t="str">
        <f aca="false">IF(AND(ISNUMBER(C10404),ISNUMBER(D10404)),D10404-C10404,"")</f>
        <v/>
      </c>
      <c r="Z10404" s="23" t="str">
        <f aca="false">IF(B10404="","",IF(MATCH(B10404,$B$2:$B$12000,0)=ROW()-1,1,0))</f>
        <v/>
      </c>
    </row>
    <row r="10405" customFormat="false" ht="15" hidden="false" customHeight="false" outlineLevel="0" collapsed="false">
      <c r="V10405" s="23" t="str">
        <f aca="false">IF(ISNUMBER(C10405),YEAR(C10405),"")</f>
        <v/>
      </c>
      <c r="W10405" s="23" t="str">
        <f aca="false">IF(ISNUMBER(C10405),MONTH(C10405),"")</f>
        <v/>
      </c>
      <c r="X10405" s="23" t="str">
        <f aca="false">IF(T10405="","",IF(T10405=0,"No discount",IF(T10405&lt;=0.2,"Low (1-20%)",IF(T10405&lt;=0.4,"Medium (21-40%)","High (&gt;40%)"))))</f>
        <v/>
      </c>
      <c r="Y10405" s="23" t="str">
        <f aca="false">IF(AND(ISNUMBER(C10405),ISNUMBER(D10405)),D10405-C10405,"")</f>
        <v/>
      </c>
      <c r="Z10405" s="23" t="str">
        <f aca="false">IF(B10405="","",IF(MATCH(B10405,$B$2:$B$12000,0)=ROW()-1,1,0))</f>
        <v/>
      </c>
    </row>
    <row r="10406" customFormat="false" ht="15" hidden="false" customHeight="false" outlineLevel="0" collapsed="false">
      <c r="V10406" s="23" t="str">
        <f aca="false">IF(ISNUMBER(C10406),YEAR(C10406),"")</f>
        <v/>
      </c>
      <c r="W10406" s="23" t="str">
        <f aca="false">IF(ISNUMBER(C10406),MONTH(C10406),"")</f>
        <v/>
      </c>
      <c r="X10406" s="23" t="str">
        <f aca="false">IF(T10406="","",IF(T10406=0,"No discount",IF(T10406&lt;=0.2,"Low (1-20%)",IF(T10406&lt;=0.4,"Medium (21-40%)","High (&gt;40%)"))))</f>
        <v/>
      </c>
      <c r="Y10406" s="23" t="str">
        <f aca="false">IF(AND(ISNUMBER(C10406),ISNUMBER(D10406)),D10406-C10406,"")</f>
        <v/>
      </c>
      <c r="Z10406" s="23" t="str">
        <f aca="false">IF(B10406="","",IF(MATCH(B10406,$B$2:$B$12000,0)=ROW()-1,1,0))</f>
        <v/>
      </c>
    </row>
    <row r="10407" customFormat="false" ht="15" hidden="false" customHeight="false" outlineLevel="0" collapsed="false">
      <c r="V10407" s="23" t="str">
        <f aca="false">IF(ISNUMBER(C10407),YEAR(C10407),"")</f>
        <v/>
      </c>
      <c r="W10407" s="23" t="str">
        <f aca="false">IF(ISNUMBER(C10407),MONTH(C10407),"")</f>
        <v/>
      </c>
      <c r="X10407" s="23" t="str">
        <f aca="false">IF(T10407="","",IF(T10407=0,"No discount",IF(T10407&lt;=0.2,"Low (1-20%)",IF(T10407&lt;=0.4,"Medium (21-40%)","High (&gt;40%)"))))</f>
        <v/>
      </c>
      <c r="Y10407" s="23" t="str">
        <f aca="false">IF(AND(ISNUMBER(C10407),ISNUMBER(D10407)),D10407-C10407,"")</f>
        <v/>
      </c>
      <c r="Z10407" s="23" t="str">
        <f aca="false">IF(B10407="","",IF(MATCH(B10407,$B$2:$B$12000,0)=ROW()-1,1,0))</f>
        <v/>
      </c>
    </row>
    <row r="10408" customFormat="false" ht="15" hidden="false" customHeight="false" outlineLevel="0" collapsed="false">
      <c r="V10408" s="23" t="str">
        <f aca="false">IF(ISNUMBER(C10408),YEAR(C10408),"")</f>
        <v/>
      </c>
      <c r="W10408" s="23" t="str">
        <f aca="false">IF(ISNUMBER(C10408),MONTH(C10408),"")</f>
        <v/>
      </c>
      <c r="X10408" s="23" t="str">
        <f aca="false">IF(T10408="","",IF(T10408=0,"No discount",IF(T10408&lt;=0.2,"Low (1-20%)",IF(T10408&lt;=0.4,"Medium (21-40%)","High (&gt;40%)"))))</f>
        <v/>
      </c>
      <c r="Y10408" s="23" t="str">
        <f aca="false">IF(AND(ISNUMBER(C10408),ISNUMBER(D10408)),D10408-C10408,"")</f>
        <v/>
      </c>
      <c r="Z10408" s="23" t="str">
        <f aca="false">IF(B10408="","",IF(MATCH(B10408,$B$2:$B$12000,0)=ROW()-1,1,0))</f>
        <v/>
      </c>
    </row>
    <row r="10409" customFormat="false" ht="15" hidden="false" customHeight="false" outlineLevel="0" collapsed="false">
      <c r="V10409" s="23" t="str">
        <f aca="false">IF(ISNUMBER(C10409),YEAR(C10409),"")</f>
        <v/>
      </c>
      <c r="W10409" s="23" t="str">
        <f aca="false">IF(ISNUMBER(C10409),MONTH(C10409),"")</f>
        <v/>
      </c>
      <c r="X10409" s="23" t="str">
        <f aca="false">IF(T10409="","",IF(T10409=0,"No discount",IF(T10409&lt;=0.2,"Low (1-20%)",IF(T10409&lt;=0.4,"Medium (21-40%)","High (&gt;40%)"))))</f>
        <v/>
      </c>
      <c r="Y10409" s="23" t="str">
        <f aca="false">IF(AND(ISNUMBER(C10409),ISNUMBER(D10409)),D10409-C10409,"")</f>
        <v/>
      </c>
      <c r="Z10409" s="23" t="str">
        <f aca="false">IF(B10409="","",IF(MATCH(B10409,$B$2:$B$12000,0)=ROW()-1,1,0))</f>
        <v/>
      </c>
    </row>
    <row r="10410" customFormat="false" ht="15" hidden="false" customHeight="false" outlineLevel="0" collapsed="false">
      <c r="V10410" s="23" t="str">
        <f aca="false">IF(ISNUMBER(C10410),YEAR(C10410),"")</f>
        <v/>
      </c>
      <c r="W10410" s="23" t="str">
        <f aca="false">IF(ISNUMBER(C10410),MONTH(C10410),"")</f>
        <v/>
      </c>
      <c r="X10410" s="23" t="str">
        <f aca="false">IF(T10410="","",IF(T10410=0,"No discount",IF(T10410&lt;=0.2,"Low (1-20%)",IF(T10410&lt;=0.4,"Medium (21-40%)","High (&gt;40%)"))))</f>
        <v/>
      </c>
      <c r="Y10410" s="23" t="str">
        <f aca="false">IF(AND(ISNUMBER(C10410),ISNUMBER(D10410)),D10410-C10410,"")</f>
        <v/>
      </c>
      <c r="Z10410" s="23" t="str">
        <f aca="false">IF(B10410="","",IF(MATCH(B10410,$B$2:$B$12000,0)=ROW()-1,1,0))</f>
        <v/>
      </c>
    </row>
    <row r="10411" customFormat="false" ht="15" hidden="false" customHeight="false" outlineLevel="0" collapsed="false">
      <c r="V10411" s="23" t="str">
        <f aca="false">IF(ISNUMBER(C10411),YEAR(C10411),"")</f>
        <v/>
      </c>
      <c r="W10411" s="23" t="str">
        <f aca="false">IF(ISNUMBER(C10411),MONTH(C10411),"")</f>
        <v/>
      </c>
      <c r="X10411" s="23" t="str">
        <f aca="false">IF(T10411="","",IF(T10411=0,"No discount",IF(T10411&lt;=0.2,"Low (1-20%)",IF(T10411&lt;=0.4,"Medium (21-40%)","High (&gt;40%)"))))</f>
        <v/>
      </c>
      <c r="Y10411" s="23" t="str">
        <f aca="false">IF(AND(ISNUMBER(C10411),ISNUMBER(D10411)),D10411-C10411,"")</f>
        <v/>
      </c>
      <c r="Z10411" s="23" t="str">
        <f aca="false">IF(B10411="","",IF(MATCH(B10411,$B$2:$B$12000,0)=ROW()-1,1,0))</f>
        <v/>
      </c>
    </row>
    <row r="10412" customFormat="false" ht="15" hidden="false" customHeight="false" outlineLevel="0" collapsed="false">
      <c r="V10412" s="23" t="str">
        <f aca="false">IF(ISNUMBER(C10412),YEAR(C10412),"")</f>
        <v/>
      </c>
      <c r="W10412" s="23" t="str">
        <f aca="false">IF(ISNUMBER(C10412),MONTH(C10412),"")</f>
        <v/>
      </c>
      <c r="X10412" s="23" t="str">
        <f aca="false">IF(T10412="","",IF(T10412=0,"No discount",IF(T10412&lt;=0.2,"Low (1-20%)",IF(T10412&lt;=0.4,"Medium (21-40%)","High (&gt;40%)"))))</f>
        <v/>
      </c>
      <c r="Y10412" s="23" t="str">
        <f aca="false">IF(AND(ISNUMBER(C10412),ISNUMBER(D10412)),D10412-C10412,"")</f>
        <v/>
      </c>
      <c r="Z10412" s="23" t="str">
        <f aca="false">IF(B10412="","",IF(MATCH(B10412,$B$2:$B$12000,0)=ROW()-1,1,0))</f>
        <v/>
      </c>
    </row>
    <row r="10413" customFormat="false" ht="15" hidden="false" customHeight="false" outlineLevel="0" collapsed="false">
      <c r="V10413" s="23" t="str">
        <f aca="false">IF(ISNUMBER(C10413),YEAR(C10413),"")</f>
        <v/>
      </c>
      <c r="W10413" s="23" t="str">
        <f aca="false">IF(ISNUMBER(C10413),MONTH(C10413),"")</f>
        <v/>
      </c>
      <c r="X10413" s="23" t="str">
        <f aca="false">IF(T10413="","",IF(T10413=0,"No discount",IF(T10413&lt;=0.2,"Low (1-20%)",IF(T10413&lt;=0.4,"Medium (21-40%)","High (&gt;40%)"))))</f>
        <v/>
      </c>
      <c r="Y10413" s="23" t="str">
        <f aca="false">IF(AND(ISNUMBER(C10413),ISNUMBER(D10413)),D10413-C10413,"")</f>
        <v/>
      </c>
      <c r="Z10413" s="23" t="str">
        <f aca="false">IF(B10413="","",IF(MATCH(B10413,$B$2:$B$12000,0)=ROW()-1,1,0))</f>
        <v/>
      </c>
    </row>
    <row r="10414" customFormat="false" ht="15" hidden="false" customHeight="false" outlineLevel="0" collapsed="false">
      <c r="V10414" s="23" t="str">
        <f aca="false">IF(ISNUMBER(C10414),YEAR(C10414),"")</f>
        <v/>
      </c>
      <c r="W10414" s="23" t="str">
        <f aca="false">IF(ISNUMBER(C10414),MONTH(C10414),"")</f>
        <v/>
      </c>
      <c r="X10414" s="23" t="str">
        <f aca="false">IF(T10414="","",IF(T10414=0,"No discount",IF(T10414&lt;=0.2,"Low (1-20%)",IF(T10414&lt;=0.4,"Medium (21-40%)","High (&gt;40%)"))))</f>
        <v/>
      </c>
      <c r="Y10414" s="23" t="str">
        <f aca="false">IF(AND(ISNUMBER(C10414),ISNUMBER(D10414)),D10414-C10414,"")</f>
        <v/>
      </c>
      <c r="Z10414" s="23" t="str">
        <f aca="false">IF(B10414="","",IF(MATCH(B10414,$B$2:$B$12000,0)=ROW()-1,1,0))</f>
        <v/>
      </c>
    </row>
    <row r="10415" customFormat="false" ht="15" hidden="false" customHeight="false" outlineLevel="0" collapsed="false">
      <c r="V10415" s="23" t="str">
        <f aca="false">IF(ISNUMBER(C10415),YEAR(C10415),"")</f>
        <v/>
      </c>
      <c r="W10415" s="23" t="str">
        <f aca="false">IF(ISNUMBER(C10415),MONTH(C10415),"")</f>
        <v/>
      </c>
      <c r="X10415" s="23" t="str">
        <f aca="false">IF(T10415="","",IF(T10415=0,"No discount",IF(T10415&lt;=0.2,"Low (1-20%)",IF(T10415&lt;=0.4,"Medium (21-40%)","High (&gt;40%)"))))</f>
        <v/>
      </c>
      <c r="Y10415" s="23" t="str">
        <f aca="false">IF(AND(ISNUMBER(C10415),ISNUMBER(D10415)),D10415-C10415,"")</f>
        <v/>
      </c>
      <c r="Z10415" s="23" t="str">
        <f aca="false">IF(B10415="","",IF(MATCH(B10415,$B$2:$B$12000,0)=ROW()-1,1,0))</f>
        <v/>
      </c>
    </row>
    <row r="10416" customFormat="false" ht="15" hidden="false" customHeight="false" outlineLevel="0" collapsed="false">
      <c r="V10416" s="23" t="str">
        <f aca="false">IF(ISNUMBER(C10416),YEAR(C10416),"")</f>
        <v/>
      </c>
      <c r="W10416" s="23" t="str">
        <f aca="false">IF(ISNUMBER(C10416),MONTH(C10416),"")</f>
        <v/>
      </c>
      <c r="X10416" s="23" t="str">
        <f aca="false">IF(T10416="","",IF(T10416=0,"No discount",IF(T10416&lt;=0.2,"Low (1-20%)",IF(T10416&lt;=0.4,"Medium (21-40%)","High (&gt;40%)"))))</f>
        <v/>
      </c>
      <c r="Y10416" s="23" t="str">
        <f aca="false">IF(AND(ISNUMBER(C10416),ISNUMBER(D10416)),D10416-C10416,"")</f>
        <v/>
      </c>
      <c r="Z10416" s="23" t="str">
        <f aca="false">IF(B10416="","",IF(MATCH(B10416,$B$2:$B$12000,0)=ROW()-1,1,0))</f>
        <v/>
      </c>
    </row>
    <row r="10417" customFormat="false" ht="15" hidden="false" customHeight="false" outlineLevel="0" collapsed="false">
      <c r="V10417" s="23" t="str">
        <f aca="false">IF(ISNUMBER(C10417),YEAR(C10417),"")</f>
        <v/>
      </c>
      <c r="W10417" s="23" t="str">
        <f aca="false">IF(ISNUMBER(C10417),MONTH(C10417),"")</f>
        <v/>
      </c>
      <c r="X10417" s="23" t="str">
        <f aca="false">IF(T10417="","",IF(T10417=0,"No discount",IF(T10417&lt;=0.2,"Low (1-20%)",IF(T10417&lt;=0.4,"Medium (21-40%)","High (&gt;40%)"))))</f>
        <v/>
      </c>
      <c r="Y10417" s="23" t="str">
        <f aca="false">IF(AND(ISNUMBER(C10417),ISNUMBER(D10417)),D10417-C10417,"")</f>
        <v/>
      </c>
      <c r="Z10417" s="23" t="str">
        <f aca="false">IF(B10417="","",IF(MATCH(B10417,$B$2:$B$12000,0)=ROW()-1,1,0))</f>
        <v/>
      </c>
    </row>
    <row r="10418" customFormat="false" ht="15" hidden="false" customHeight="false" outlineLevel="0" collapsed="false">
      <c r="V10418" s="23" t="str">
        <f aca="false">IF(ISNUMBER(C10418),YEAR(C10418),"")</f>
        <v/>
      </c>
      <c r="W10418" s="23" t="str">
        <f aca="false">IF(ISNUMBER(C10418),MONTH(C10418),"")</f>
        <v/>
      </c>
      <c r="X10418" s="23" t="str">
        <f aca="false">IF(T10418="","",IF(T10418=0,"No discount",IF(T10418&lt;=0.2,"Low (1-20%)",IF(T10418&lt;=0.4,"Medium (21-40%)","High (&gt;40%)"))))</f>
        <v/>
      </c>
      <c r="Y10418" s="23" t="str">
        <f aca="false">IF(AND(ISNUMBER(C10418),ISNUMBER(D10418)),D10418-C10418,"")</f>
        <v/>
      </c>
      <c r="Z10418" s="23" t="str">
        <f aca="false">IF(B10418="","",IF(MATCH(B10418,$B$2:$B$12000,0)=ROW()-1,1,0))</f>
        <v/>
      </c>
    </row>
    <row r="10419" customFormat="false" ht="15" hidden="false" customHeight="false" outlineLevel="0" collapsed="false">
      <c r="V10419" s="23" t="str">
        <f aca="false">IF(ISNUMBER(C10419),YEAR(C10419),"")</f>
        <v/>
      </c>
      <c r="W10419" s="23" t="str">
        <f aca="false">IF(ISNUMBER(C10419),MONTH(C10419),"")</f>
        <v/>
      </c>
      <c r="X10419" s="23" t="str">
        <f aca="false">IF(T10419="","",IF(T10419=0,"No discount",IF(T10419&lt;=0.2,"Low (1-20%)",IF(T10419&lt;=0.4,"Medium (21-40%)","High (&gt;40%)"))))</f>
        <v/>
      </c>
      <c r="Y10419" s="23" t="str">
        <f aca="false">IF(AND(ISNUMBER(C10419),ISNUMBER(D10419)),D10419-C10419,"")</f>
        <v/>
      </c>
      <c r="Z10419" s="23" t="str">
        <f aca="false">IF(B10419="","",IF(MATCH(B10419,$B$2:$B$12000,0)=ROW()-1,1,0))</f>
        <v/>
      </c>
    </row>
    <row r="10420" customFormat="false" ht="15" hidden="false" customHeight="false" outlineLevel="0" collapsed="false">
      <c r="V10420" s="23" t="str">
        <f aca="false">IF(ISNUMBER(C10420),YEAR(C10420),"")</f>
        <v/>
      </c>
      <c r="W10420" s="23" t="str">
        <f aca="false">IF(ISNUMBER(C10420),MONTH(C10420),"")</f>
        <v/>
      </c>
      <c r="X10420" s="23" t="str">
        <f aca="false">IF(T10420="","",IF(T10420=0,"No discount",IF(T10420&lt;=0.2,"Low (1-20%)",IF(T10420&lt;=0.4,"Medium (21-40%)","High (&gt;40%)"))))</f>
        <v/>
      </c>
      <c r="Y10420" s="23" t="str">
        <f aca="false">IF(AND(ISNUMBER(C10420),ISNUMBER(D10420)),D10420-C10420,"")</f>
        <v/>
      </c>
      <c r="Z10420" s="23" t="str">
        <f aca="false">IF(B10420="","",IF(MATCH(B10420,$B$2:$B$12000,0)=ROW()-1,1,0))</f>
        <v/>
      </c>
    </row>
    <row r="10421" customFormat="false" ht="15" hidden="false" customHeight="false" outlineLevel="0" collapsed="false">
      <c r="V10421" s="23" t="str">
        <f aca="false">IF(ISNUMBER(C10421),YEAR(C10421),"")</f>
        <v/>
      </c>
      <c r="W10421" s="23" t="str">
        <f aca="false">IF(ISNUMBER(C10421),MONTH(C10421),"")</f>
        <v/>
      </c>
      <c r="X10421" s="23" t="str">
        <f aca="false">IF(T10421="","",IF(T10421=0,"No discount",IF(T10421&lt;=0.2,"Low (1-20%)",IF(T10421&lt;=0.4,"Medium (21-40%)","High (&gt;40%)"))))</f>
        <v/>
      </c>
      <c r="Y10421" s="23" t="str">
        <f aca="false">IF(AND(ISNUMBER(C10421),ISNUMBER(D10421)),D10421-C10421,"")</f>
        <v/>
      </c>
      <c r="Z10421" s="23" t="str">
        <f aca="false">IF(B10421="","",IF(MATCH(B10421,$B$2:$B$12000,0)=ROW()-1,1,0))</f>
        <v/>
      </c>
    </row>
    <row r="10422" customFormat="false" ht="15" hidden="false" customHeight="false" outlineLevel="0" collapsed="false">
      <c r="V10422" s="23" t="str">
        <f aca="false">IF(ISNUMBER(C10422),YEAR(C10422),"")</f>
        <v/>
      </c>
      <c r="W10422" s="23" t="str">
        <f aca="false">IF(ISNUMBER(C10422),MONTH(C10422),"")</f>
        <v/>
      </c>
      <c r="X10422" s="23" t="str">
        <f aca="false">IF(T10422="","",IF(T10422=0,"No discount",IF(T10422&lt;=0.2,"Low (1-20%)",IF(T10422&lt;=0.4,"Medium (21-40%)","High (&gt;40%)"))))</f>
        <v/>
      </c>
      <c r="Y10422" s="23" t="str">
        <f aca="false">IF(AND(ISNUMBER(C10422),ISNUMBER(D10422)),D10422-C10422,"")</f>
        <v/>
      </c>
      <c r="Z10422" s="23" t="str">
        <f aca="false">IF(B10422="","",IF(MATCH(B10422,$B$2:$B$12000,0)=ROW()-1,1,0))</f>
        <v/>
      </c>
    </row>
    <row r="10423" customFormat="false" ht="15" hidden="false" customHeight="false" outlineLevel="0" collapsed="false">
      <c r="V10423" s="23" t="str">
        <f aca="false">IF(ISNUMBER(C10423),YEAR(C10423),"")</f>
        <v/>
      </c>
      <c r="W10423" s="23" t="str">
        <f aca="false">IF(ISNUMBER(C10423),MONTH(C10423),"")</f>
        <v/>
      </c>
      <c r="X10423" s="23" t="str">
        <f aca="false">IF(T10423="","",IF(T10423=0,"No discount",IF(T10423&lt;=0.2,"Low (1-20%)",IF(T10423&lt;=0.4,"Medium (21-40%)","High (&gt;40%)"))))</f>
        <v/>
      </c>
      <c r="Y10423" s="23" t="str">
        <f aca="false">IF(AND(ISNUMBER(C10423),ISNUMBER(D10423)),D10423-C10423,"")</f>
        <v/>
      </c>
      <c r="Z10423" s="23" t="str">
        <f aca="false">IF(B10423="","",IF(MATCH(B10423,$B$2:$B$12000,0)=ROW()-1,1,0))</f>
        <v/>
      </c>
    </row>
    <row r="10424" customFormat="false" ht="15" hidden="false" customHeight="false" outlineLevel="0" collapsed="false">
      <c r="V10424" s="23" t="str">
        <f aca="false">IF(ISNUMBER(C10424),YEAR(C10424),"")</f>
        <v/>
      </c>
      <c r="W10424" s="23" t="str">
        <f aca="false">IF(ISNUMBER(C10424),MONTH(C10424),"")</f>
        <v/>
      </c>
      <c r="X10424" s="23" t="str">
        <f aca="false">IF(T10424="","",IF(T10424=0,"No discount",IF(T10424&lt;=0.2,"Low (1-20%)",IF(T10424&lt;=0.4,"Medium (21-40%)","High (&gt;40%)"))))</f>
        <v/>
      </c>
      <c r="Y10424" s="23" t="str">
        <f aca="false">IF(AND(ISNUMBER(C10424),ISNUMBER(D10424)),D10424-C10424,"")</f>
        <v/>
      </c>
      <c r="Z10424" s="23" t="str">
        <f aca="false">IF(B10424="","",IF(MATCH(B10424,$B$2:$B$12000,0)=ROW()-1,1,0))</f>
        <v/>
      </c>
    </row>
    <row r="10425" customFormat="false" ht="15" hidden="false" customHeight="false" outlineLevel="0" collapsed="false">
      <c r="V10425" s="23" t="str">
        <f aca="false">IF(ISNUMBER(C10425),YEAR(C10425),"")</f>
        <v/>
      </c>
      <c r="W10425" s="23" t="str">
        <f aca="false">IF(ISNUMBER(C10425),MONTH(C10425),"")</f>
        <v/>
      </c>
      <c r="X10425" s="23" t="str">
        <f aca="false">IF(T10425="","",IF(T10425=0,"No discount",IF(T10425&lt;=0.2,"Low (1-20%)",IF(T10425&lt;=0.4,"Medium (21-40%)","High (&gt;40%)"))))</f>
        <v/>
      </c>
      <c r="Y10425" s="23" t="str">
        <f aca="false">IF(AND(ISNUMBER(C10425),ISNUMBER(D10425)),D10425-C10425,"")</f>
        <v/>
      </c>
      <c r="Z10425" s="23" t="str">
        <f aca="false">IF(B10425="","",IF(MATCH(B10425,$B$2:$B$12000,0)=ROW()-1,1,0))</f>
        <v/>
      </c>
    </row>
    <row r="10426" customFormat="false" ht="15" hidden="false" customHeight="false" outlineLevel="0" collapsed="false">
      <c r="V10426" s="23" t="str">
        <f aca="false">IF(ISNUMBER(C10426),YEAR(C10426),"")</f>
        <v/>
      </c>
      <c r="W10426" s="23" t="str">
        <f aca="false">IF(ISNUMBER(C10426),MONTH(C10426),"")</f>
        <v/>
      </c>
      <c r="X10426" s="23" t="str">
        <f aca="false">IF(T10426="","",IF(T10426=0,"No discount",IF(T10426&lt;=0.2,"Low (1-20%)",IF(T10426&lt;=0.4,"Medium (21-40%)","High (&gt;40%)"))))</f>
        <v/>
      </c>
      <c r="Y10426" s="23" t="str">
        <f aca="false">IF(AND(ISNUMBER(C10426),ISNUMBER(D10426)),D10426-C10426,"")</f>
        <v/>
      </c>
      <c r="Z10426" s="23" t="str">
        <f aca="false">IF(B10426="","",IF(MATCH(B10426,$B$2:$B$12000,0)=ROW()-1,1,0))</f>
        <v/>
      </c>
    </row>
    <row r="10427" customFormat="false" ht="15" hidden="false" customHeight="false" outlineLevel="0" collapsed="false">
      <c r="V10427" s="23" t="str">
        <f aca="false">IF(ISNUMBER(C10427),YEAR(C10427),"")</f>
        <v/>
      </c>
      <c r="W10427" s="23" t="str">
        <f aca="false">IF(ISNUMBER(C10427),MONTH(C10427),"")</f>
        <v/>
      </c>
      <c r="X10427" s="23" t="str">
        <f aca="false">IF(T10427="","",IF(T10427=0,"No discount",IF(T10427&lt;=0.2,"Low (1-20%)",IF(T10427&lt;=0.4,"Medium (21-40%)","High (&gt;40%)"))))</f>
        <v/>
      </c>
      <c r="Y10427" s="23" t="str">
        <f aca="false">IF(AND(ISNUMBER(C10427),ISNUMBER(D10427)),D10427-C10427,"")</f>
        <v/>
      </c>
      <c r="Z10427" s="23" t="str">
        <f aca="false">IF(B10427="","",IF(MATCH(B10427,$B$2:$B$12000,0)=ROW()-1,1,0))</f>
        <v/>
      </c>
    </row>
    <row r="10428" customFormat="false" ht="15" hidden="false" customHeight="false" outlineLevel="0" collapsed="false">
      <c r="V10428" s="23" t="str">
        <f aca="false">IF(ISNUMBER(C10428),YEAR(C10428),"")</f>
        <v/>
      </c>
      <c r="W10428" s="23" t="str">
        <f aca="false">IF(ISNUMBER(C10428),MONTH(C10428),"")</f>
        <v/>
      </c>
      <c r="X10428" s="23" t="str">
        <f aca="false">IF(T10428="","",IF(T10428=0,"No discount",IF(T10428&lt;=0.2,"Low (1-20%)",IF(T10428&lt;=0.4,"Medium (21-40%)","High (&gt;40%)"))))</f>
        <v/>
      </c>
      <c r="Y10428" s="23" t="str">
        <f aca="false">IF(AND(ISNUMBER(C10428),ISNUMBER(D10428)),D10428-C10428,"")</f>
        <v/>
      </c>
      <c r="Z10428" s="23" t="str">
        <f aca="false">IF(B10428="","",IF(MATCH(B10428,$B$2:$B$12000,0)=ROW()-1,1,0))</f>
        <v/>
      </c>
    </row>
    <row r="10429" customFormat="false" ht="15" hidden="false" customHeight="false" outlineLevel="0" collapsed="false">
      <c r="V10429" s="23" t="str">
        <f aca="false">IF(ISNUMBER(C10429),YEAR(C10429),"")</f>
        <v/>
      </c>
      <c r="W10429" s="23" t="str">
        <f aca="false">IF(ISNUMBER(C10429),MONTH(C10429),"")</f>
        <v/>
      </c>
      <c r="X10429" s="23" t="str">
        <f aca="false">IF(T10429="","",IF(T10429=0,"No discount",IF(T10429&lt;=0.2,"Low (1-20%)",IF(T10429&lt;=0.4,"Medium (21-40%)","High (&gt;40%)"))))</f>
        <v/>
      </c>
      <c r="Y10429" s="23" t="str">
        <f aca="false">IF(AND(ISNUMBER(C10429),ISNUMBER(D10429)),D10429-C10429,"")</f>
        <v/>
      </c>
      <c r="Z10429" s="23" t="str">
        <f aca="false">IF(B10429="","",IF(MATCH(B10429,$B$2:$B$12000,0)=ROW()-1,1,0))</f>
        <v/>
      </c>
    </row>
    <row r="10430" customFormat="false" ht="15" hidden="false" customHeight="false" outlineLevel="0" collapsed="false">
      <c r="V10430" s="23" t="str">
        <f aca="false">IF(ISNUMBER(C10430),YEAR(C10430),"")</f>
        <v/>
      </c>
      <c r="W10430" s="23" t="str">
        <f aca="false">IF(ISNUMBER(C10430),MONTH(C10430),"")</f>
        <v/>
      </c>
      <c r="X10430" s="23" t="str">
        <f aca="false">IF(T10430="","",IF(T10430=0,"No discount",IF(T10430&lt;=0.2,"Low (1-20%)",IF(T10430&lt;=0.4,"Medium (21-40%)","High (&gt;40%)"))))</f>
        <v/>
      </c>
      <c r="Y10430" s="23" t="str">
        <f aca="false">IF(AND(ISNUMBER(C10430),ISNUMBER(D10430)),D10430-C10430,"")</f>
        <v/>
      </c>
      <c r="Z10430" s="23" t="str">
        <f aca="false">IF(B10430="","",IF(MATCH(B10430,$B$2:$B$12000,0)=ROW()-1,1,0))</f>
        <v/>
      </c>
    </row>
    <row r="10431" customFormat="false" ht="15" hidden="false" customHeight="false" outlineLevel="0" collapsed="false">
      <c r="V10431" s="23" t="str">
        <f aca="false">IF(ISNUMBER(C10431),YEAR(C10431),"")</f>
        <v/>
      </c>
      <c r="W10431" s="23" t="str">
        <f aca="false">IF(ISNUMBER(C10431),MONTH(C10431),"")</f>
        <v/>
      </c>
      <c r="X10431" s="23" t="str">
        <f aca="false">IF(T10431="","",IF(T10431=0,"No discount",IF(T10431&lt;=0.2,"Low (1-20%)",IF(T10431&lt;=0.4,"Medium (21-40%)","High (&gt;40%)"))))</f>
        <v/>
      </c>
      <c r="Y10431" s="23" t="str">
        <f aca="false">IF(AND(ISNUMBER(C10431),ISNUMBER(D10431)),D10431-C10431,"")</f>
        <v/>
      </c>
      <c r="Z10431" s="23" t="str">
        <f aca="false">IF(B10431="","",IF(MATCH(B10431,$B$2:$B$12000,0)=ROW()-1,1,0))</f>
        <v/>
      </c>
    </row>
    <row r="10432" customFormat="false" ht="15" hidden="false" customHeight="false" outlineLevel="0" collapsed="false">
      <c r="V10432" s="23" t="str">
        <f aca="false">IF(ISNUMBER(C10432),YEAR(C10432),"")</f>
        <v/>
      </c>
      <c r="W10432" s="23" t="str">
        <f aca="false">IF(ISNUMBER(C10432),MONTH(C10432),"")</f>
        <v/>
      </c>
      <c r="X10432" s="23" t="str">
        <f aca="false">IF(T10432="","",IF(T10432=0,"No discount",IF(T10432&lt;=0.2,"Low (1-20%)",IF(T10432&lt;=0.4,"Medium (21-40%)","High (&gt;40%)"))))</f>
        <v/>
      </c>
      <c r="Y10432" s="23" t="str">
        <f aca="false">IF(AND(ISNUMBER(C10432),ISNUMBER(D10432)),D10432-C10432,"")</f>
        <v/>
      </c>
      <c r="Z10432" s="23" t="str">
        <f aca="false">IF(B10432="","",IF(MATCH(B10432,$B$2:$B$12000,0)=ROW()-1,1,0))</f>
        <v/>
      </c>
    </row>
    <row r="10433" customFormat="false" ht="15" hidden="false" customHeight="false" outlineLevel="0" collapsed="false">
      <c r="V10433" s="23" t="str">
        <f aca="false">IF(ISNUMBER(C10433),YEAR(C10433),"")</f>
        <v/>
      </c>
      <c r="W10433" s="23" t="str">
        <f aca="false">IF(ISNUMBER(C10433),MONTH(C10433),"")</f>
        <v/>
      </c>
      <c r="X10433" s="23" t="str">
        <f aca="false">IF(T10433="","",IF(T10433=0,"No discount",IF(T10433&lt;=0.2,"Low (1-20%)",IF(T10433&lt;=0.4,"Medium (21-40%)","High (&gt;40%)"))))</f>
        <v/>
      </c>
      <c r="Y10433" s="23" t="str">
        <f aca="false">IF(AND(ISNUMBER(C10433),ISNUMBER(D10433)),D10433-C10433,"")</f>
        <v/>
      </c>
      <c r="Z10433" s="23" t="str">
        <f aca="false">IF(B10433="","",IF(MATCH(B10433,$B$2:$B$12000,0)=ROW()-1,1,0))</f>
        <v/>
      </c>
    </row>
    <row r="10434" customFormat="false" ht="15" hidden="false" customHeight="false" outlineLevel="0" collapsed="false">
      <c r="V10434" s="23" t="str">
        <f aca="false">IF(ISNUMBER(C10434),YEAR(C10434),"")</f>
        <v/>
      </c>
      <c r="W10434" s="23" t="str">
        <f aca="false">IF(ISNUMBER(C10434),MONTH(C10434),"")</f>
        <v/>
      </c>
      <c r="X10434" s="23" t="str">
        <f aca="false">IF(T10434="","",IF(T10434=0,"No discount",IF(T10434&lt;=0.2,"Low (1-20%)",IF(T10434&lt;=0.4,"Medium (21-40%)","High (&gt;40%)"))))</f>
        <v/>
      </c>
      <c r="Y10434" s="23" t="str">
        <f aca="false">IF(AND(ISNUMBER(C10434),ISNUMBER(D10434)),D10434-C10434,"")</f>
        <v/>
      </c>
      <c r="Z10434" s="23" t="str">
        <f aca="false">IF(B10434="","",IF(MATCH(B10434,$B$2:$B$12000,0)=ROW()-1,1,0))</f>
        <v/>
      </c>
    </row>
    <row r="10435" customFormat="false" ht="15" hidden="false" customHeight="false" outlineLevel="0" collapsed="false">
      <c r="V10435" s="23" t="str">
        <f aca="false">IF(ISNUMBER(C10435),YEAR(C10435),"")</f>
        <v/>
      </c>
      <c r="W10435" s="23" t="str">
        <f aca="false">IF(ISNUMBER(C10435),MONTH(C10435),"")</f>
        <v/>
      </c>
      <c r="X10435" s="23" t="str">
        <f aca="false">IF(T10435="","",IF(T10435=0,"No discount",IF(T10435&lt;=0.2,"Low (1-20%)",IF(T10435&lt;=0.4,"Medium (21-40%)","High (&gt;40%)"))))</f>
        <v/>
      </c>
      <c r="Y10435" s="23" t="str">
        <f aca="false">IF(AND(ISNUMBER(C10435),ISNUMBER(D10435)),D10435-C10435,"")</f>
        <v/>
      </c>
      <c r="Z10435" s="23" t="str">
        <f aca="false">IF(B10435="","",IF(MATCH(B10435,$B$2:$B$12000,0)=ROW()-1,1,0))</f>
        <v/>
      </c>
    </row>
    <row r="10436" customFormat="false" ht="15" hidden="false" customHeight="false" outlineLevel="0" collapsed="false">
      <c r="V10436" s="23" t="str">
        <f aca="false">IF(ISNUMBER(C10436),YEAR(C10436),"")</f>
        <v/>
      </c>
      <c r="W10436" s="23" t="str">
        <f aca="false">IF(ISNUMBER(C10436),MONTH(C10436),"")</f>
        <v/>
      </c>
      <c r="X10436" s="23" t="str">
        <f aca="false">IF(T10436="","",IF(T10436=0,"No discount",IF(T10436&lt;=0.2,"Low (1-20%)",IF(T10436&lt;=0.4,"Medium (21-40%)","High (&gt;40%)"))))</f>
        <v/>
      </c>
      <c r="Y10436" s="23" t="str">
        <f aca="false">IF(AND(ISNUMBER(C10436),ISNUMBER(D10436)),D10436-C10436,"")</f>
        <v/>
      </c>
      <c r="Z10436" s="23" t="str">
        <f aca="false">IF(B10436="","",IF(MATCH(B10436,$B$2:$B$12000,0)=ROW()-1,1,0))</f>
        <v/>
      </c>
    </row>
    <row r="10437" customFormat="false" ht="15" hidden="false" customHeight="false" outlineLevel="0" collapsed="false">
      <c r="V10437" s="23" t="str">
        <f aca="false">IF(ISNUMBER(C10437),YEAR(C10437),"")</f>
        <v/>
      </c>
      <c r="W10437" s="23" t="str">
        <f aca="false">IF(ISNUMBER(C10437),MONTH(C10437),"")</f>
        <v/>
      </c>
      <c r="X10437" s="23" t="str">
        <f aca="false">IF(T10437="","",IF(T10437=0,"No discount",IF(T10437&lt;=0.2,"Low (1-20%)",IF(T10437&lt;=0.4,"Medium (21-40%)","High (&gt;40%)"))))</f>
        <v/>
      </c>
      <c r="Y10437" s="23" t="str">
        <f aca="false">IF(AND(ISNUMBER(C10437),ISNUMBER(D10437)),D10437-C10437,"")</f>
        <v/>
      </c>
      <c r="Z10437" s="23" t="str">
        <f aca="false">IF(B10437="","",IF(MATCH(B10437,$B$2:$B$12000,0)=ROW()-1,1,0))</f>
        <v/>
      </c>
    </row>
    <row r="10438" customFormat="false" ht="15" hidden="false" customHeight="false" outlineLevel="0" collapsed="false">
      <c r="V10438" s="23" t="str">
        <f aca="false">IF(ISNUMBER(C10438),YEAR(C10438),"")</f>
        <v/>
      </c>
      <c r="W10438" s="23" t="str">
        <f aca="false">IF(ISNUMBER(C10438),MONTH(C10438),"")</f>
        <v/>
      </c>
      <c r="X10438" s="23" t="str">
        <f aca="false">IF(T10438="","",IF(T10438=0,"No discount",IF(T10438&lt;=0.2,"Low (1-20%)",IF(T10438&lt;=0.4,"Medium (21-40%)","High (&gt;40%)"))))</f>
        <v/>
      </c>
      <c r="Y10438" s="23" t="str">
        <f aca="false">IF(AND(ISNUMBER(C10438),ISNUMBER(D10438)),D10438-C10438,"")</f>
        <v/>
      </c>
      <c r="Z10438" s="23" t="str">
        <f aca="false">IF(B10438="","",IF(MATCH(B10438,$B$2:$B$12000,0)=ROW()-1,1,0))</f>
        <v/>
      </c>
    </row>
    <row r="10439" customFormat="false" ht="15" hidden="false" customHeight="false" outlineLevel="0" collapsed="false">
      <c r="V10439" s="23" t="str">
        <f aca="false">IF(ISNUMBER(C10439),YEAR(C10439),"")</f>
        <v/>
      </c>
      <c r="W10439" s="23" t="str">
        <f aca="false">IF(ISNUMBER(C10439),MONTH(C10439),"")</f>
        <v/>
      </c>
      <c r="X10439" s="23" t="str">
        <f aca="false">IF(T10439="","",IF(T10439=0,"No discount",IF(T10439&lt;=0.2,"Low (1-20%)",IF(T10439&lt;=0.4,"Medium (21-40%)","High (&gt;40%)"))))</f>
        <v/>
      </c>
      <c r="Y10439" s="23" t="str">
        <f aca="false">IF(AND(ISNUMBER(C10439),ISNUMBER(D10439)),D10439-C10439,"")</f>
        <v/>
      </c>
      <c r="Z10439" s="23" t="str">
        <f aca="false">IF(B10439="","",IF(MATCH(B10439,$B$2:$B$12000,0)=ROW()-1,1,0))</f>
        <v/>
      </c>
    </row>
    <row r="10440" customFormat="false" ht="15" hidden="false" customHeight="false" outlineLevel="0" collapsed="false">
      <c r="V10440" s="23" t="str">
        <f aca="false">IF(ISNUMBER(C10440),YEAR(C10440),"")</f>
        <v/>
      </c>
      <c r="W10440" s="23" t="str">
        <f aca="false">IF(ISNUMBER(C10440),MONTH(C10440),"")</f>
        <v/>
      </c>
      <c r="X10440" s="23" t="str">
        <f aca="false">IF(T10440="","",IF(T10440=0,"No discount",IF(T10440&lt;=0.2,"Low (1-20%)",IF(T10440&lt;=0.4,"Medium (21-40%)","High (&gt;40%)"))))</f>
        <v/>
      </c>
      <c r="Y10440" s="23" t="str">
        <f aca="false">IF(AND(ISNUMBER(C10440),ISNUMBER(D10440)),D10440-C10440,"")</f>
        <v/>
      </c>
      <c r="Z10440" s="23" t="str">
        <f aca="false">IF(B10440="","",IF(MATCH(B10440,$B$2:$B$12000,0)=ROW()-1,1,0))</f>
        <v/>
      </c>
    </row>
    <row r="10441" customFormat="false" ht="15" hidden="false" customHeight="false" outlineLevel="0" collapsed="false">
      <c r="V10441" s="23" t="str">
        <f aca="false">IF(ISNUMBER(C10441),YEAR(C10441),"")</f>
        <v/>
      </c>
      <c r="W10441" s="23" t="str">
        <f aca="false">IF(ISNUMBER(C10441),MONTH(C10441),"")</f>
        <v/>
      </c>
      <c r="X10441" s="23" t="str">
        <f aca="false">IF(T10441="","",IF(T10441=0,"No discount",IF(T10441&lt;=0.2,"Low (1-20%)",IF(T10441&lt;=0.4,"Medium (21-40%)","High (&gt;40%)"))))</f>
        <v/>
      </c>
      <c r="Y10441" s="23" t="str">
        <f aca="false">IF(AND(ISNUMBER(C10441),ISNUMBER(D10441)),D10441-C10441,"")</f>
        <v/>
      </c>
      <c r="Z10441" s="23" t="str">
        <f aca="false">IF(B10441="","",IF(MATCH(B10441,$B$2:$B$12000,0)=ROW()-1,1,0))</f>
        <v/>
      </c>
    </row>
    <row r="10442" customFormat="false" ht="15" hidden="false" customHeight="false" outlineLevel="0" collapsed="false">
      <c r="V10442" s="23" t="str">
        <f aca="false">IF(ISNUMBER(C10442),YEAR(C10442),"")</f>
        <v/>
      </c>
      <c r="W10442" s="23" t="str">
        <f aca="false">IF(ISNUMBER(C10442),MONTH(C10442),"")</f>
        <v/>
      </c>
      <c r="X10442" s="23" t="str">
        <f aca="false">IF(T10442="","",IF(T10442=0,"No discount",IF(T10442&lt;=0.2,"Low (1-20%)",IF(T10442&lt;=0.4,"Medium (21-40%)","High (&gt;40%)"))))</f>
        <v/>
      </c>
      <c r="Y10442" s="23" t="str">
        <f aca="false">IF(AND(ISNUMBER(C10442),ISNUMBER(D10442)),D10442-C10442,"")</f>
        <v/>
      </c>
      <c r="Z10442" s="23" t="str">
        <f aca="false">IF(B10442="","",IF(MATCH(B10442,$B$2:$B$12000,0)=ROW()-1,1,0))</f>
        <v/>
      </c>
    </row>
    <row r="10443" customFormat="false" ht="15" hidden="false" customHeight="false" outlineLevel="0" collapsed="false">
      <c r="V10443" s="23" t="str">
        <f aca="false">IF(ISNUMBER(C10443),YEAR(C10443),"")</f>
        <v/>
      </c>
      <c r="W10443" s="23" t="str">
        <f aca="false">IF(ISNUMBER(C10443),MONTH(C10443),"")</f>
        <v/>
      </c>
      <c r="X10443" s="23" t="str">
        <f aca="false">IF(T10443="","",IF(T10443=0,"No discount",IF(T10443&lt;=0.2,"Low (1-20%)",IF(T10443&lt;=0.4,"Medium (21-40%)","High (&gt;40%)"))))</f>
        <v/>
      </c>
      <c r="Y10443" s="23" t="str">
        <f aca="false">IF(AND(ISNUMBER(C10443),ISNUMBER(D10443)),D10443-C10443,"")</f>
        <v/>
      </c>
      <c r="Z10443" s="23" t="str">
        <f aca="false">IF(B10443="","",IF(MATCH(B10443,$B$2:$B$12000,0)=ROW()-1,1,0))</f>
        <v/>
      </c>
    </row>
    <row r="10444" customFormat="false" ht="15" hidden="false" customHeight="false" outlineLevel="0" collapsed="false">
      <c r="V10444" s="23" t="str">
        <f aca="false">IF(ISNUMBER(C10444),YEAR(C10444),"")</f>
        <v/>
      </c>
      <c r="W10444" s="23" t="str">
        <f aca="false">IF(ISNUMBER(C10444),MONTH(C10444),"")</f>
        <v/>
      </c>
      <c r="X10444" s="23" t="str">
        <f aca="false">IF(T10444="","",IF(T10444=0,"No discount",IF(T10444&lt;=0.2,"Low (1-20%)",IF(T10444&lt;=0.4,"Medium (21-40%)","High (&gt;40%)"))))</f>
        <v/>
      </c>
      <c r="Y10444" s="23" t="str">
        <f aca="false">IF(AND(ISNUMBER(C10444),ISNUMBER(D10444)),D10444-C10444,"")</f>
        <v/>
      </c>
      <c r="Z10444" s="23" t="str">
        <f aca="false">IF(B10444="","",IF(MATCH(B10444,$B$2:$B$12000,0)=ROW()-1,1,0))</f>
        <v/>
      </c>
    </row>
    <row r="10445" customFormat="false" ht="15" hidden="false" customHeight="false" outlineLevel="0" collapsed="false">
      <c r="V10445" s="23" t="str">
        <f aca="false">IF(ISNUMBER(C10445),YEAR(C10445),"")</f>
        <v/>
      </c>
      <c r="W10445" s="23" t="str">
        <f aca="false">IF(ISNUMBER(C10445),MONTH(C10445),"")</f>
        <v/>
      </c>
      <c r="X10445" s="23" t="str">
        <f aca="false">IF(T10445="","",IF(T10445=0,"No discount",IF(T10445&lt;=0.2,"Low (1-20%)",IF(T10445&lt;=0.4,"Medium (21-40%)","High (&gt;40%)"))))</f>
        <v/>
      </c>
      <c r="Y10445" s="23" t="str">
        <f aca="false">IF(AND(ISNUMBER(C10445),ISNUMBER(D10445)),D10445-C10445,"")</f>
        <v/>
      </c>
      <c r="Z10445" s="23" t="str">
        <f aca="false">IF(B10445="","",IF(MATCH(B10445,$B$2:$B$12000,0)=ROW()-1,1,0))</f>
        <v/>
      </c>
    </row>
    <row r="10446" customFormat="false" ht="15" hidden="false" customHeight="false" outlineLevel="0" collapsed="false">
      <c r="V10446" s="23" t="str">
        <f aca="false">IF(ISNUMBER(C10446),YEAR(C10446),"")</f>
        <v/>
      </c>
      <c r="W10446" s="23" t="str">
        <f aca="false">IF(ISNUMBER(C10446),MONTH(C10446),"")</f>
        <v/>
      </c>
      <c r="X10446" s="23" t="str">
        <f aca="false">IF(T10446="","",IF(T10446=0,"No discount",IF(T10446&lt;=0.2,"Low (1-20%)",IF(T10446&lt;=0.4,"Medium (21-40%)","High (&gt;40%)"))))</f>
        <v/>
      </c>
      <c r="Y10446" s="23" t="str">
        <f aca="false">IF(AND(ISNUMBER(C10446),ISNUMBER(D10446)),D10446-C10446,"")</f>
        <v/>
      </c>
      <c r="Z10446" s="23" t="str">
        <f aca="false">IF(B10446="","",IF(MATCH(B10446,$B$2:$B$12000,0)=ROW()-1,1,0))</f>
        <v/>
      </c>
    </row>
    <row r="10447" customFormat="false" ht="15" hidden="false" customHeight="false" outlineLevel="0" collapsed="false">
      <c r="V10447" s="23" t="str">
        <f aca="false">IF(ISNUMBER(C10447),YEAR(C10447),"")</f>
        <v/>
      </c>
      <c r="W10447" s="23" t="str">
        <f aca="false">IF(ISNUMBER(C10447),MONTH(C10447),"")</f>
        <v/>
      </c>
      <c r="X10447" s="23" t="str">
        <f aca="false">IF(T10447="","",IF(T10447=0,"No discount",IF(T10447&lt;=0.2,"Low (1-20%)",IF(T10447&lt;=0.4,"Medium (21-40%)","High (&gt;40%)"))))</f>
        <v/>
      </c>
      <c r="Y10447" s="23" t="str">
        <f aca="false">IF(AND(ISNUMBER(C10447),ISNUMBER(D10447)),D10447-C10447,"")</f>
        <v/>
      </c>
      <c r="Z10447" s="23" t="str">
        <f aca="false">IF(B10447="","",IF(MATCH(B10447,$B$2:$B$12000,0)=ROW()-1,1,0))</f>
        <v/>
      </c>
    </row>
    <row r="10448" customFormat="false" ht="15" hidden="false" customHeight="false" outlineLevel="0" collapsed="false">
      <c r="V10448" s="23" t="str">
        <f aca="false">IF(ISNUMBER(C10448),YEAR(C10448),"")</f>
        <v/>
      </c>
      <c r="W10448" s="23" t="str">
        <f aca="false">IF(ISNUMBER(C10448),MONTH(C10448),"")</f>
        <v/>
      </c>
      <c r="X10448" s="23" t="str">
        <f aca="false">IF(T10448="","",IF(T10448=0,"No discount",IF(T10448&lt;=0.2,"Low (1-20%)",IF(T10448&lt;=0.4,"Medium (21-40%)","High (&gt;40%)"))))</f>
        <v/>
      </c>
      <c r="Y10448" s="23" t="str">
        <f aca="false">IF(AND(ISNUMBER(C10448),ISNUMBER(D10448)),D10448-C10448,"")</f>
        <v/>
      </c>
      <c r="Z10448" s="23" t="str">
        <f aca="false">IF(B10448="","",IF(MATCH(B10448,$B$2:$B$12000,0)=ROW()-1,1,0))</f>
        <v/>
      </c>
    </row>
    <row r="10449" customFormat="false" ht="15" hidden="false" customHeight="false" outlineLevel="0" collapsed="false">
      <c r="V10449" s="23" t="str">
        <f aca="false">IF(ISNUMBER(C10449),YEAR(C10449),"")</f>
        <v/>
      </c>
      <c r="W10449" s="23" t="str">
        <f aca="false">IF(ISNUMBER(C10449),MONTH(C10449),"")</f>
        <v/>
      </c>
      <c r="X10449" s="23" t="str">
        <f aca="false">IF(T10449="","",IF(T10449=0,"No discount",IF(T10449&lt;=0.2,"Low (1-20%)",IF(T10449&lt;=0.4,"Medium (21-40%)","High (&gt;40%)"))))</f>
        <v/>
      </c>
      <c r="Y10449" s="23" t="str">
        <f aca="false">IF(AND(ISNUMBER(C10449),ISNUMBER(D10449)),D10449-C10449,"")</f>
        <v/>
      </c>
      <c r="Z10449" s="23" t="str">
        <f aca="false">IF(B10449="","",IF(MATCH(B10449,$B$2:$B$12000,0)=ROW()-1,1,0))</f>
        <v/>
      </c>
    </row>
    <row r="10450" customFormat="false" ht="15" hidden="false" customHeight="false" outlineLevel="0" collapsed="false">
      <c r="V10450" s="23" t="str">
        <f aca="false">IF(ISNUMBER(C10450),YEAR(C10450),"")</f>
        <v/>
      </c>
      <c r="W10450" s="23" t="str">
        <f aca="false">IF(ISNUMBER(C10450),MONTH(C10450),"")</f>
        <v/>
      </c>
      <c r="X10450" s="23" t="str">
        <f aca="false">IF(T10450="","",IF(T10450=0,"No discount",IF(T10450&lt;=0.2,"Low (1-20%)",IF(T10450&lt;=0.4,"Medium (21-40%)","High (&gt;40%)"))))</f>
        <v/>
      </c>
      <c r="Y10450" s="23" t="str">
        <f aca="false">IF(AND(ISNUMBER(C10450),ISNUMBER(D10450)),D10450-C10450,"")</f>
        <v/>
      </c>
      <c r="Z10450" s="23" t="str">
        <f aca="false">IF(B10450="","",IF(MATCH(B10450,$B$2:$B$12000,0)=ROW()-1,1,0))</f>
        <v/>
      </c>
    </row>
    <row r="10451" customFormat="false" ht="15" hidden="false" customHeight="false" outlineLevel="0" collapsed="false">
      <c r="V10451" s="23" t="str">
        <f aca="false">IF(ISNUMBER(C10451),YEAR(C10451),"")</f>
        <v/>
      </c>
      <c r="W10451" s="23" t="str">
        <f aca="false">IF(ISNUMBER(C10451),MONTH(C10451),"")</f>
        <v/>
      </c>
      <c r="X10451" s="23" t="str">
        <f aca="false">IF(T10451="","",IF(T10451=0,"No discount",IF(T10451&lt;=0.2,"Low (1-20%)",IF(T10451&lt;=0.4,"Medium (21-40%)","High (&gt;40%)"))))</f>
        <v/>
      </c>
      <c r="Y10451" s="23" t="str">
        <f aca="false">IF(AND(ISNUMBER(C10451),ISNUMBER(D10451)),D10451-C10451,"")</f>
        <v/>
      </c>
      <c r="Z10451" s="23" t="str">
        <f aca="false">IF(B10451="","",IF(MATCH(B10451,$B$2:$B$12000,0)=ROW()-1,1,0))</f>
        <v/>
      </c>
    </row>
    <row r="10452" customFormat="false" ht="15" hidden="false" customHeight="false" outlineLevel="0" collapsed="false">
      <c r="V10452" s="23" t="str">
        <f aca="false">IF(ISNUMBER(C10452),YEAR(C10452),"")</f>
        <v/>
      </c>
      <c r="W10452" s="23" t="str">
        <f aca="false">IF(ISNUMBER(C10452),MONTH(C10452),"")</f>
        <v/>
      </c>
      <c r="X10452" s="23" t="str">
        <f aca="false">IF(T10452="","",IF(T10452=0,"No discount",IF(T10452&lt;=0.2,"Low (1-20%)",IF(T10452&lt;=0.4,"Medium (21-40%)","High (&gt;40%)"))))</f>
        <v/>
      </c>
      <c r="Y10452" s="23" t="str">
        <f aca="false">IF(AND(ISNUMBER(C10452),ISNUMBER(D10452)),D10452-C10452,"")</f>
        <v/>
      </c>
      <c r="Z10452" s="23" t="str">
        <f aca="false">IF(B10452="","",IF(MATCH(B10452,$B$2:$B$12000,0)=ROW()-1,1,0))</f>
        <v/>
      </c>
    </row>
    <row r="10453" customFormat="false" ht="15" hidden="false" customHeight="false" outlineLevel="0" collapsed="false">
      <c r="V10453" s="23" t="str">
        <f aca="false">IF(ISNUMBER(C10453),YEAR(C10453),"")</f>
        <v/>
      </c>
      <c r="W10453" s="23" t="str">
        <f aca="false">IF(ISNUMBER(C10453),MONTH(C10453),"")</f>
        <v/>
      </c>
      <c r="X10453" s="23" t="str">
        <f aca="false">IF(T10453="","",IF(T10453=0,"No discount",IF(T10453&lt;=0.2,"Low (1-20%)",IF(T10453&lt;=0.4,"Medium (21-40%)","High (&gt;40%)"))))</f>
        <v/>
      </c>
      <c r="Y10453" s="23" t="str">
        <f aca="false">IF(AND(ISNUMBER(C10453),ISNUMBER(D10453)),D10453-C10453,"")</f>
        <v/>
      </c>
      <c r="Z10453" s="23" t="str">
        <f aca="false">IF(B10453="","",IF(MATCH(B10453,$B$2:$B$12000,0)=ROW()-1,1,0))</f>
        <v/>
      </c>
    </row>
    <row r="10454" customFormat="false" ht="15" hidden="false" customHeight="false" outlineLevel="0" collapsed="false">
      <c r="V10454" s="23" t="str">
        <f aca="false">IF(ISNUMBER(C10454),YEAR(C10454),"")</f>
        <v/>
      </c>
      <c r="W10454" s="23" t="str">
        <f aca="false">IF(ISNUMBER(C10454),MONTH(C10454),"")</f>
        <v/>
      </c>
      <c r="X10454" s="23" t="str">
        <f aca="false">IF(T10454="","",IF(T10454=0,"No discount",IF(T10454&lt;=0.2,"Low (1-20%)",IF(T10454&lt;=0.4,"Medium (21-40%)","High (&gt;40%)"))))</f>
        <v/>
      </c>
      <c r="Y10454" s="23" t="str">
        <f aca="false">IF(AND(ISNUMBER(C10454),ISNUMBER(D10454)),D10454-C10454,"")</f>
        <v/>
      </c>
      <c r="Z10454" s="23" t="str">
        <f aca="false">IF(B10454="","",IF(MATCH(B10454,$B$2:$B$12000,0)=ROW()-1,1,0))</f>
        <v/>
      </c>
    </row>
    <row r="10455" customFormat="false" ht="15" hidden="false" customHeight="false" outlineLevel="0" collapsed="false">
      <c r="V10455" s="23" t="str">
        <f aca="false">IF(ISNUMBER(C10455),YEAR(C10455),"")</f>
        <v/>
      </c>
      <c r="W10455" s="23" t="str">
        <f aca="false">IF(ISNUMBER(C10455),MONTH(C10455),"")</f>
        <v/>
      </c>
      <c r="X10455" s="23" t="str">
        <f aca="false">IF(T10455="","",IF(T10455=0,"No discount",IF(T10455&lt;=0.2,"Low (1-20%)",IF(T10455&lt;=0.4,"Medium (21-40%)","High (&gt;40%)"))))</f>
        <v/>
      </c>
      <c r="Y10455" s="23" t="str">
        <f aca="false">IF(AND(ISNUMBER(C10455),ISNUMBER(D10455)),D10455-C10455,"")</f>
        <v/>
      </c>
      <c r="Z10455" s="23" t="str">
        <f aca="false">IF(B10455="","",IF(MATCH(B10455,$B$2:$B$12000,0)=ROW()-1,1,0))</f>
        <v/>
      </c>
    </row>
    <row r="10456" customFormat="false" ht="15" hidden="false" customHeight="false" outlineLevel="0" collapsed="false">
      <c r="V10456" s="23" t="str">
        <f aca="false">IF(ISNUMBER(C10456),YEAR(C10456),"")</f>
        <v/>
      </c>
      <c r="W10456" s="23" t="str">
        <f aca="false">IF(ISNUMBER(C10456),MONTH(C10456),"")</f>
        <v/>
      </c>
      <c r="X10456" s="23" t="str">
        <f aca="false">IF(T10456="","",IF(T10456=0,"No discount",IF(T10456&lt;=0.2,"Low (1-20%)",IF(T10456&lt;=0.4,"Medium (21-40%)","High (&gt;40%)"))))</f>
        <v/>
      </c>
      <c r="Y10456" s="23" t="str">
        <f aca="false">IF(AND(ISNUMBER(C10456),ISNUMBER(D10456)),D10456-C10456,"")</f>
        <v/>
      </c>
      <c r="Z10456" s="23" t="str">
        <f aca="false">IF(B10456="","",IF(MATCH(B10456,$B$2:$B$12000,0)=ROW()-1,1,0))</f>
        <v/>
      </c>
    </row>
    <row r="10457" customFormat="false" ht="15" hidden="false" customHeight="false" outlineLevel="0" collapsed="false">
      <c r="V10457" s="23" t="str">
        <f aca="false">IF(ISNUMBER(C10457),YEAR(C10457),"")</f>
        <v/>
      </c>
      <c r="W10457" s="23" t="str">
        <f aca="false">IF(ISNUMBER(C10457),MONTH(C10457),"")</f>
        <v/>
      </c>
      <c r="X10457" s="23" t="str">
        <f aca="false">IF(T10457="","",IF(T10457=0,"No discount",IF(T10457&lt;=0.2,"Low (1-20%)",IF(T10457&lt;=0.4,"Medium (21-40%)","High (&gt;40%)"))))</f>
        <v/>
      </c>
      <c r="Y10457" s="23" t="str">
        <f aca="false">IF(AND(ISNUMBER(C10457),ISNUMBER(D10457)),D10457-C10457,"")</f>
        <v/>
      </c>
      <c r="Z10457" s="23" t="str">
        <f aca="false">IF(B10457="","",IF(MATCH(B10457,$B$2:$B$12000,0)=ROW()-1,1,0))</f>
        <v/>
      </c>
    </row>
    <row r="10458" customFormat="false" ht="15" hidden="false" customHeight="false" outlineLevel="0" collapsed="false">
      <c r="V10458" s="23" t="str">
        <f aca="false">IF(ISNUMBER(C10458),YEAR(C10458),"")</f>
        <v/>
      </c>
      <c r="W10458" s="23" t="str">
        <f aca="false">IF(ISNUMBER(C10458),MONTH(C10458),"")</f>
        <v/>
      </c>
      <c r="X10458" s="23" t="str">
        <f aca="false">IF(T10458="","",IF(T10458=0,"No discount",IF(T10458&lt;=0.2,"Low (1-20%)",IF(T10458&lt;=0.4,"Medium (21-40%)","High (&gt;40%)"))))</f>
        <v/>
      </c>
      <c r="Y10458" s="23" t="str">
        <f aca="false">IF(AND(ISNUMBER(C10458),ISNUMBER(D10458)),D10458-C10458,"")</f>
        <v/>
      </c>
      <c r="Z10458" s="23" t="str">
        <f aca="false">IF(B10458="","",IF(MATCH(B10458,$B$2:$B$12000,0)=ROW()-1,1,0))</f>
        <v/>
      </c>
    </row>
    <row r="10459" customFormat="false" ht="15" hidden="false" customHeight="false" outlineLevel="0" collapsed="false">
      <c r="V10459" s="23" t="str">
        <f aca="false">IF(ISNUMBER(C10459),YEAR(C10459),"")</f>
        <v/>
      </c>
      <c r="W10459" s="23" t="str">
        <f aca="false">IF(ISNUMBER(C10459),MONTH(C10459),"")</f>
        <v/>
      </c>
      <c r="X10459" s="23" t="str">
        <f aca="false">IF(T10459="","",IF(T10459=0,"No discount",IF(T10459&lt;=0.2,"Low (1-20%)",IF(T10459&lt;=0.4,"Medium (21-40%)","High (&gt;40%)"))))</f>
        <v/>
      </c>
      <c r="Y10459" s="23" t="str">
        <f aca="false">IF(AND(ISNUMBER(C10459),ISNUMBER(D10459)),D10459-C10459,"")</f>
        <v/>
      </c>
      <c r="Z10459" s="23" t="str">
        <f aca="false">IF(B10459="","",IF(MATCH(B10459,$B$2:$B$12000,0)=ROW()-1,1,0))</f>
        <v/>
      </c>
    </row>
    <row r="10460" customFormat="false" ht="15" hidden="false" customHeight="false" outlineLevel="0" collapsed="false">
      <c r="V10460" s="23" t="str">
        <f aca="false">IF(ISNUMBER(C10460),YEAR(C10460),"")</f>
        <v/>
      </c>
      <c r="W10460" s="23" t="str">
        <f aca="false">IF(ISNUMBER(C10460),MONTH(C10460),"")</f>
        <v/>
      </c>
      <c r="X10460" s="23" t="str">
        <f aca="false">IF(T10460="","",IF(T10460=0,"No discount",IF(T10460&lt;=0.2,"Low (1-20%)",IF(T10460&lt;=0.4,"Medium (21-40%)","High (&gt;40%)"))))</f>
        <v/>
      </c>
      <c r="Y10460" s="23" t="str">
        <f aca="false">IF(AND(ISNUMBER(C10460),ISNUMBER(D10460)),D10460-C10460,"")</f>
        <v/>
      </c>
      <c r="Z10460" s="23" t="str">
        <f aca="false">IF(B10460="","",IF(MATCH(B10460,$B$2:$B$12000,0)=ROW()-1,1,0))</f>
        <v/>
      </c>
    </row>
    <row r="10461" customFormat="false" ht="15" hidden="false" customHeight="false" outlineLevel="0" collapsed="false">
      <c r="V10461" s="23" t="str">
        <f aca="false">IF(ISNUMBER(C10461),YEAR(C10461),"")</f>
        <v/>
      </c>
      <c r="W10461" s="23" t="str">
        <f aca="false">IF(ISNUMBER(C10461),MONTH(C10461),"")</f>
        <v/>
      </c>
      <c r="X10461" s="23" t="str">
        <f aca="false">IF(T10461="","",IF(T10461=0,"No discount",IF(T10461&lt;=0.2,"Low (1-20%)",IF(T10461&lt;=0.4,"Medium (21-40%)","High (&gt;40%)"))))</f>
        <v/>
      </c>
      <c r="Y10461" s="23" t="str">
        <f aca="false">IF(AND(ISNUMBER(C10461),ISNUMBER(D10461)),D10461-C10461,"")</f>
        <v/>
      </c>
      <c r="Z10461" s="23" t="str">
        <f aca="false">IF(B10461="","",IF(MATCH(B10461,$B$2:$B$12000,0)=ROW()-1,1,0))</f>
        <v/>
      </c>
    </row>
    <row r="10462" customFormat="false" ht="15" hidden="false" customHeight="false" outlineLevel="0" collapsed="false">
      <c r="V10462" s="23" t="str">
        <f aca="false">IF(ISNUMBER(C10462),YEAR(C10462),"")</f>
        <v/>
      </c>
      <c r="W10462" s="23" t="str">
        <f aca="false">IF(ISNUMBER(C10462),MONTH(C10462),"")</f>
        <v/>
      </c>
      <c r="X10462" s="23" t="str">
        <f aca="false">IF(T10462="","",IF(T10462=0,"No discount",IF(T10462&lt;=0.2,"Low (1-20%)",IF(T10462&lt;=0.4,"Medium (21-40%)","High (&gt;40%)"))))</f>
        <v/>
      </c>
      <c r="Y10462" s="23" t="str">
        <f aca="false">IF(AND(ISNUMBER(C10462),ISNUMBER(D10462)),D10462-C10462,"")</f>
        <v/>
      </c>
      <c r="Z10462" s="23" t="str">
        <f aca="false">IF(B10462="","",IF(MATCH(B10462,$B$2:$B$12000,0)=ROW()-1,1,0))</f>
        <v/>
      </c>
    </row>
    <row r="10463" customFormat="false" ht="15" hidden="false" customHeight="false" outlineLevel="0" collapsed="false">
      <c r="V10463" s="23" t="str">
        <f aca="false">IF(ISNUMBER(C10463),YEAR(C10463),"")</f>
        <v/>
      </c>
      <c r="W10463" s="23" t="str">
        <f aca="false">IF(ISNUMBER(C10463),MONTH(C10463),"")</f>
        <v/>
      </c>
      <c r="X10463" s="23" t="str">
        <f aca="false">IF(T10463="","",IF(T10463=0,"No discount",IF(T10463&lt;=0.2,"Low (1-20%)",IF(T10463&lt;=0.4,"Medium (21-40%)","High (&gt;40%)"))))</f>
        <v/>
      </c>
      <c r="Y10463" s="23" t="str">
        <f aca="false">IF(AND(ISNUMBER(C10463),ISNUMBER(D10463)),D10463-C10463,"")</f>
        <v/>
      </c>
      <c r="Z10463" s="23" t="str">
        <f aca="false">IF(B10463="","",IF(MATCH(B10463,$B$2:$B$12000,0)=ROW()-1,1,0))</f>
        <v/>
      </c>
    </row>
    <row r="10464" customFormat="false" ht="15" hidden="false" customHeight="false" outlineLevel="0" collapsed="false">
      <c r="V10464" s="23" t="str">
        <f aca="false">IF(ISNUMBER(C10464),YEAR(C10464),"")</f>
        <v/>
      </c>
      <c r="W10464" s="23" t="str">
        <f aca="false">IF(ISNUMBER(C10464),MONTH(C10464),"")</f>
        <v/>
      </c>
      <c r="X10464" s="23" t="str">
        <f aca="false">IF(T10464="","",IF(T10464=0,"No discount",IF(T10464&lt;=0.2,"Low (1-20%)",IF(T10464&lt;=0.4,"Medium (21-40%)","High (&gt;40%)"))))</f>
        <v/>
      </c>
      <c r="Y10464" s="23" t="str">
        <f aca="false">IF(AND(ISNUMBER(C10464),ISNUMBER(D10464)),D10464-C10464,"")</f>
        <v/>
      </c>
      <c r="Z10464" s="23" t="str">
        <f aca="false">IF(B10464="","",IF(MATCH(B10464,$B$2:$B$12000,0)=ROW()-1,1,0))</f>
        <v/>
      </c>
    </row>
    <row r="10465" customFormat="false" ht="15" hidden="false" customHeight="false" outlineLevel="0" collapsed="false">
      <c r="V10465" s="23" t="str">
        <f aca="false">IF(ISNUMBER(C10465),YEAR(C10465),"")</f>
        <v/>
      </c>
      <c r="W10465" s="23" t="str">
        <f aca="false">IF(ISNUMBER(C10465),MONTH(C10465),"")</f>
        <v/>
      </c>
      <c r="X10465" s="23" t="str">
        <f aca="false">IF(T10465="","",IF(T10465=0,"No discount",IF(T10465&lt;=0.2,"Low (1-20%)",IF(T10465&lt;=0.4,"Medium (21-40%)","High (&gt;40%)"))))</f>
        <v/>
      </c>
      <c r="Y10465" s="23" t="str">
        <f aca="false">IF(AND(ISNUMBER(C10465),ISNUMBER(D10465)),D10465-C10465,"")</f>
        <v/>
      </c>
      <c r="Z10465" s="23" t="str">
        <f aca="false">IF(B10465="","",IF(MATCH(B10465,$B$2:$B$12000,0)=ROW()-1,1,0))</f>
        <v/>
      </c>
    </row>
    <row r="10466" customFormat="false" ht="15" hidden="false" customHeight="false" outlineLevel="0" collapsed="false">
      <c r="V10466" s="23" t="str">
        <f aca="false">IF(ISNUMBER(C10466),YEAR(C10466),"")</f>
        <v/>
      </c>
      <c r="W10466" s="23" t="str">
        <f aca="false">IF(ISNUMBER(C10466),MONTH(C10466),"")</f>
        <v/>
      </c>
      <c r="X10466" s="23" t="str">
        <f aca="false">IF(T10466="","",IF(T10466=0,"No discount",IF(T10466&lt;=0.2,"Low (1-20%)",IF(T10466&lt;=0.4,"Medium (21-40%)","High (&gt;40%)"))))</f>
        <v/>
      </c>
      <c r="Y10466" s="23" t="str">
        <f aca="false">IF(AND(ISNUMBER(C10466),ISNUMBER(D10466)),D10466-C10466,"")</f>
        <v/>
      </c>
      <c r="Z10466" s="23" t="str">
        <f aca="false">IF(B10466="","",IF(MATCH(B10466,$B$2:$B$12000,0)=ROW()-1,1,0))</f>
        <v/>
      </c>
    </row>
    <row r="10467" customFormat="false" ht="15" hidden="false" customHeight="false" outlineLevel="0" collapsed="false">
      <c r="V10467" s="23" t="str">
        <f aca="false">IF(ISNUMBER(C10467),YEAR(C10467),"")</f>
        <v/>
      </c>
      <c r="W10467" s="23" t="str">
        <f aca="false">IF(ISNUMBER(C10467),MONTH(C10467),"")</f>
        <v/>
      </c>
      <c r="X10467" s="23" t="str">
        <f aca="false">IF(T10467="","",IF(T10467=0,"No discount",IF(T10467&lt;=0.2,"Low (1-20%)",IF(T10467&lt;=0.4,"Medium (21-40%)","High (&gt;40%)"))))</f>
        <v/>
      </c>
      <c r="Y10467" s="23" t="str">
        <f aca="false">IF(AND(ISNUMBER(C10467),ISNUMBER(D10467)),D10467-C10467,"")</f>
        <v/>
      </c>
      <c r="Z10467" s="23" t="str">
        <f aca="false">IF(B10467="","",IF(MATCH(B10467,$B$2:$B$12000,0)=ROW()-1,1,0))</f>
        <v/>
      </c>
    </row>
    <row r="10468" customFormat="false" ht="15" hidden="false" customHeight="false" outlineLevel="0" collapsed="false">
      <c r="V10468" s="23" t="str">
        <f aca="false">IF(ISNUMBER(C10468),YEAR(C10468),"")</f>
        <v/>
      </c>
      <c r="W10468" s="23" t="str">
        <f aca="false">IF(ISNUMBER(C10468),MONTH(C10468),"")</f>
        <v/>
      </c>
      <c r="X10468" s="23" t="str">
        <f aca="false">IF(T10468="","",IF(T10468=0,"No discount",IF(T10468&lt;=0.2,"Low (1-20%)",IF(T10468&lt;=0.4,"Medium (21-40%)","High (&gt;40%)"))))</f>
        <v/>
      </c>
      <c r="Y10468" s="23" t="str">
        <f aca="false">IF(AND(ISNUMBER(C10468),ISNUMBER(D10468)),D10468-C10468,"")</f>
        <v/>
      </c>
      <c r="Z10468" s="23" t="str">
        <f aca="false">IF(B10468="","",IF(MATCH(B10468,$B$2:$B$12000,0)=ROW()-1,1,0))</f>
        <v/>
      </c>
    </row>
    <row r="10469" customFormat="false" ht="15" hidden="false" customHeight="false" outlineLevel="0" collapsed="false">
      <c r="V10469" s="23" t="str">
        <f aca="false">IF(ISNUMBER(C10469),YEAR(C10469),"")</f>
        <v/>
      </c>
      <c r="W10469" s="23" t="str">
        <f aca="false">IF(ISNUMBER(C10469),MONTH(C10469),"")</f>
        <v/>
      </c>
      <c r="X10469" s="23" t="str">
        <f aca="false">IF(T10469="","",IF(T10469=0,"No discount",IF(T10469&lt;=0.2,"Low (1-20%)",IF(T10469&lt;=0.4,"Medium (21-40%)","High (&gt;40%)"))))</f>
        <v/>
      </c>
      <c r="Y10469" s="23" t="str">
        <f aca="false">IF(AND(ISNUMBER(C10469),ISNUMBER(D10469)),D10469-C10469,"")</f>
        <v/>
      </c>
      <c r="Z10469" s="23" t="str">
        <f aca="false">IF(B10469="","",IF(MATCH(B10469,$B$2:$B$12000,0)=ROW()-1,1,0))</f>
        <v/>
      </c>
    </row>
    <row r="10470" customFormat="false" ht="15" hidden="false" customHeight="false" outlineLevel="0" collapsed="false">
      <c r="V10470" s="23" t="str">
        <f aca="false">IF(ISNUMBER(C10470),YEAR(C10470),"")</f>
        <v/>
      </c>
      <c r="W10470" s="23" t="str">
        <f aca="false">IF(ISNUMBER(C10470),MONTH(C10470),"")</f>
        <v/>
      </c>
      <c r="X10470" s="23" t="str">
        <f aca="false">IF(T10470="","",IF(T10470=0,"No discount",IF(T10470&lt;=0.2,"Low (1-20%)",IF(T10470&lt;=0.4,"Medium (21-40%)","High (&gt;40%)"))))</f>
        <v/>
      </c>
      <c r="Y10470" s="23" t="str">
        <f aca="false">IF(AND(ISNUMBER(C10470),ISNUMBER(D10470)),D10470-C10470,"")</f>
        <v/>
      </c>
      <c r="Z10470" s="23" t="str">
        <f aca="false">IF(B10470="","",IF(MATCH(B10470,$B$2:$B$12000,0)=ROW()-1,1,0))</f>
        <v/>
      </c>
    </row>
    <row r="10471" customFormat="false" ht="15" hidden="false" customHeight="false" outlineLevel="0" collapsed="false">
      <c r="V10471" s="23" t="str">
        <f aca="false">IF(ISNUMBER(C10471),YEAR(C10471),"")</f>
        <v/>
      </c>
      <c r="W10471" s="23" t="str">
        <f aca="false">IF(ISNUMBER(C10471),MONTH(C10471),"")</f>
        <v/>
      </c>
      <c r="X10471" s="23" t="str">
        <f aca="false">IF(T10471="","",IF(T10471=0,"No discount",IF(T10471&lt;=0.2,"Low (1-20%)",IF(T10471&lt;=0.4,"Medium (21-40%)","High (&gt;40%)"))))</f>
        <v/>
      </c>
      <c r="Y10471" s="23" t="str">
        <f aca="false">IF(AND(ISNUMBER(C10471),ISNUMBER(D10471)),D10471-C10471,"")</f>
        <v/>
      </c>
      <c r="Z10471" s="23" t="str">
        <f aca="false">IF(B10471="","",IF(MATCH(B10471,$B$2:$B$12000,0)=ROW()-1,1,0))</f>
        <v/>
      </c>
    </row>
    <row r="10472" customFormat="false" ht="15" hidden="false" customHeight="false" outlineLevel="0" collapsed="false">
      <c r="V10472" s="23" t="str">
        <f aca="false">IF(ISNUMBER(C10472),YEAR(C10472),"")</f>
        <v/>
      </c>
      <c r="W10472" s="23" t="str">
        <f aca="false">IF(ISNUMBER(C10472),MONTH(C10472),"")</f>
        <v/>
      </c>
      <c r="X10472" s="23" t="str">
        <f aca="false">IF(T10472="","",IF(T10472=0,"No discount",IF(T10472&lt;=0.2,"Low (1-20%)",IF(T10472&lt;=0.4,"Medium (21-40%)","High (&gt;40%)"))))</f>
        <v/>
      </c>
      <c r="Y10472" s="23" t="str">
        <f aca="false">IF(AND(ISNUMBER(C10472),ISNUMBER(D10472)),D10472-C10472,"")</f>
        <v/>
      </c>
      <c r="Z10472" s="23" t="str">
        <f aca="false">IF(B10472="","",IF(MATCH(B10472,$B$2:$B$12000,0)=ROW()-1,1,0))</f>
        <v/>
      </c>
    </row>
    <row r="10473" customFormat="false" ht="15" hidden="false" customHeight="false" outlineLevel="0" collapsed="false">
      <c r="V10473" s="23" t="str">
        <f aca="false">IF(ISNUMBER(C10473),YEAR(C10473),"")</f>
        <v/>
      </c>
      <c r="W10473" s="23" t="str">
        <f aca="false">IF(ISNUMBER(C10473),MONTH(C10473),"")</f>
        <v/>
      </c>
      <c r="X10473" s="23" t="str">
        <f aca="false">IF(T10473="","",IF(T10473=0,"No discount",IF(T10473&lt;=0.2,"Low (1-20%)",IF(T10473&lt;=0.4,"Medium (21-40%)","High (&gt;40%)"))))</f>
        <v/>
      </c>
      <c r="Y10473" s="23" t="str">
        <f aca="false">IF(AND(ISNUMBER(C10473),ISNUMBER(D10473)),D10473-C10473,"")</f>
        <v/>
      </c>
      <c r="Z10473" s="23" t="str">
        <f aca="false">IF(B10473="","",IF(MATCH(B10473,$B$2:$B$12000,0)=ROW()-1,1,0))</f>
        <v/>
      </c>
    </row>
    <row r="10474" customFormat="false" ht="15" hidden="false" customHeight="false" outlineLevel="0" collapsed="false">
      <c r="V10474" s="23" t="str">
        <f aca="false">IF(ISNUMBER(C10474),YEAR(C10474),"")</f>
        <v/>
      </c>
      <c r="W10474" s="23" t="str">
        <f aca="false">IF(ISNUMBER(C10474),MONTH(C10474),"")</f>
        <v/>
      </c>
      <c r="X10474" s="23" t="str">
        <f aca="false">IF(T10474="","",IF(T10474=0,"No discount",IF(T10474&lt;=0.2,"Low (1-20%)",IF(T10474&lt;=0.4,"Medium (21-40%)","High (&gt;40%)"))))</f>
        <v/>
      </c>
      <c r="Y10474" s="23" t="str">
        <f aca="false">IF(AND(ISNUMBER(C10474),ISNUMBER(D10474)),D10474-C10474,"")</f>
        <v/>
      </c>
      <c r="Z10474" s="23" t="str">
        <f aca="false">IF(B10474="","",IF(MATCH(B10474,$B$2:$B$12000,0)=ROW()-1,1,0))</f>
        <v/>
      </c>
    </row>
    <row r="10475" customFormat="false" ht="15" hidden="false" customHeight="false" outlineLevel="0" collapsed="false">
      <c r="V10475" s="23" t="str">
        <f aca="false">IF(ISNUMBER(C10475),YEAR(C10475),"")</f>
        <v/>
      </c>
      <c r="W10475" s="23" t="str">
        <f aca="false">IF(ISNUMBER(C10475),MONTH(C10475),"")</f>
        <v/>
      </c>
      <c r="X10475" s="23" t="str">
        <f aca="false">IF(T10475="","",IF(T10475=0,"No discount",IF(T10475&lt;=0.2,"Low (1-20%)",IF(T10475&lt;=0.4,"Medium (21-40%)","High (&gt;40%)"))))</f>
        <v/>
      </c>
      <c r="Y10475" s="23" t="str">
        <f aca="false">IF(AND(ISNUMBER(C10475),ISNUMBER(D10475)),D10475-C10475,"")</f>
        <v/>
      </c>
      <c r="Z10475" s="23" t="str">
        <f aca="false">IF(B10475="","",IF(MATCH(B10475,$B$2:$B$12000,0)=ROW()-1,1,0))</f>
        <v/>
      </c>
    </row>
    <row r="10476" customFormat="false" ht="15" hidden="false" customHeight="false" outlineLevel="0" collapsed="false">
      <c r="V10476" s="23" t="str">
        <f aca="false">IF(ISNUMBER(C10476),YEAR(C10476),"")</f>
        <v/>
      </c>
      <c r="W10476" s="23" t="str">
        <f aca="false">IF(ISNUMBER(C10476),MONTH(C10476),"")</f>
        <v/>
      </c>
      <c r="X10476" s="23" t="str">
        <f aca="false">IF(T10476="","",IF(T10476=0,"No discount",IF(T10476&lt;=0.2,"Low (1-20%)",IF(T10476&lt;=0.4,"Medium (21-40%)","High (&gt;40%)"))))</f>
        <v/>
      </c>
      <c r="Y10476" s="23" t="str">
        <f aca="false">IF(AND(ISNUMBER(C10476),ISNUMBER(D10476)),D10476-C10476,"")</f>
        <v/>
      </c>
      <c r="Z10476" s="23" t="str">
        <f aca="false">IF(B10476="","",IF(MATCH(B10476,$B$2:$B$12000,0)=ROW()-1,1,0))</f>
        <v/>
      </c>
    </row>
    <row r="10477" customFormat="false" ht="15" hidden="false" customHeight="false" outlineLevel="0" collapsed="false">
      <c r="V10477" s="23" t="str">
        <f aca="false">IF(ISNUMBER(C10477),YEAR(C10477),"")</f>
        <v/>
      </c>
      <c r="W10477" s="23" t="str">
        <f aca="false">IF(ISNUMBER(C10477),MONTH(C10477),"")</f>
        <v/>
      </c>
      <c r="X10477" s="23" t="str">
        <f aca="false">IF(T10477="","",IF(T10477=0,"No discount",IF(T10477&lt;=0.2,"Low (1-20%)",IF(T10477&lt;=0.4,"Medium (21-40%)","High (&gt;40%)"))))</f>
        <v/>
      </c>
      <c r="Y10477" s="23" t="str">
        <f aca="false">IF(AND(ISNUMBER(C10477),ISNUMBER(D10477)),D10477-C10477,"")</f>
        <v/>
      </c>
      <c r="Z10477" s="23" t="str">
        <f aca="false">IF(B10477="","",IF(MATCH(B10477,$B$2:$B$12000,0)=ROW()-1,1,0))</f>
        <v/>
      </c>
    </row>
    <row r="10478" customFormat="false" ht="15" hidden="false" customHeight="false" outlineLevel="0" collapsed="false">
      <c r="V10478" s="23" t="str">
        <f aca="false">IF(ISNUMBER(C10478),YEAR(C10478),"")</f>
        <v/>
      </c>
      <c r="W10478" s="23" t="str">
        <f aca="false">IF(ISNUMBER(C10478),MONTH(C10478),"")</f>
        <v/>
      </c>
      <c r="X10478" s="23" t="str">
        <f aca="false">IF(T10478="","",IF(T10478=0,"No discount",IF(T10478&lt;=0.2,"Low (1-20%)",IF(T10478&lt;=0.4,"Medium (21-40%)","High (&gt;40%)"))))</f>
        <v/>
      </c>
      <c r="Y10478" s="23" t="str">
        <f aca="false">IF(AND(ISNUMBER(C10478),ISNUMBER(D10478)),D10478-C10478,"")</f>
        <v/>
      </c>
      <c r="Z10478" s="23" t="str">
        <f aca="false">IF(B10478="","",IF(MATCH(B10478,$B$2:$B$12000,0)=ROW()-1,1,0))</f>
        <v/>
      </c>
    </row>
    <row r="10479" customFormat="false" ht="15" hidden="false" customHeight="false" outlineLevel="0" collapsed="false">
      <c r="V10479" s="23" t="str">
        <f aca="false">IF(ISNUMBER(C10479),YEAR(C10479),"")</f>
        <v/>
      </c>
      <c r="W10479" s="23" t="str">
        <f aca="false">IF(ISNUMBER(C10479),MONTH(C10479),"")</f>
        <v/>
      </c>
      <c r="X10479" s="23" t="str">
        <f aca="false">IF(T10479="","",IF(T10479=0,"No discount",IF(T10479&lt;=0.2,"Low (1-20%)",IF(T10479&lt;=0.4,"Medium (21-40%)","High (&gt;40%)"))))</f>
        <v/>
      </c>
      <c r="Y10479" s="23" t="str">
        <f aca="false">IF(AND(ISNUMBER(C10479),ISNUMBER(D10479)),D10479-C10479,"")</f>
        <v/>
      </c>
      <c r="Z10479" s="23" t="str">
        <f aca="false">IF(B10479="","",IF(MATCH(B10479,$B$2:$B$12000,0)=ROW()-1,1,0))</f>
        <v/>
      </c>
    </row>
    <row r="10480" customFormat="false" ht="15" hidden="false" customHeight="false" outlineLevel="0" collapsed="false">
      <c r="V10480" s="23" t="str">
        <f aca="false">IF(ISNUMBER(C10480),YEAR(C10480),"")</f>
        <v/>
      </c>
      <c r="W10480" s="23" t="str">
        <f aca="false">IF(ISNUMBER(C10480),MONTH(C10480),"")</f>
        <v/>
      </c>
      <c r="X10480" s="23" t="str">
        <f aca="false">IF(T10480="","",IF(T10480=0,"No discount",IF(T10480&lt;=0.2,"Low (1-20%)",IF(T10480&lt;=0.4,"Medium (21-40%)","High (&gt;40%)"))))</f>
        <v/>
      </c>
      <c r="Y10480" s="23" t="str">
        <f aca="false">IF(AND(ISNUMBER(C10480),ISNUMBER(D10480)),D10480-C10480,"")</f>
        <v/>
      </c>
      <c r="Z10480" s="23" t="str">
        <f aca="false">IF(B10480="","",IF(MATCH(B10480,$B$2:$B$12000,0)=ROW()-1,1,0))</f>
        <v/>
      </c>
    </row>
    <row r="10481" customFormat="false" ht="15" hidden="false" customHeight="false" outlineLevel="0" collapsed="false">
      <c r="V10481" s="23" t="str">
        <f aca="false">IF(ISNUMBER(C10481),YEAR(C10481),"")</f>
        <v/>
      </c>
      <c r="W10481" s="23" t="str">
        <f aca="false">IF(ISNUMBER(C10481),MONTH(C10481),"")</f>
        <v/>
      </c>
      <c r="X10481" s="23" t="str">
        <f aca="false">IF(T10481="","",IF(T10481=0,"No discount",IF(T10481&lt;=0.2,"Low (1-20%)",IF(T10481&lt;=0.4,"Medium (21-40%)","High (&gt;40%)"))))</f>
        <v/>
      </c>
      <c r="Y10481" s="23" t="str">
        <f aca="false">IF(AND(ISNUMBER(C10481),ISNUMBER(D10481)),D10481-C10481,"")</f>
        <v/>
      </c>
      <c r="Z10481" s="23" t="str">
        <f aca="false">IF(B10481="","",IF(MATCH(B10481,$B$2:$B$12000,0)=ROW()-1,1,0))</f>
        <v/>
      </c>
    </row>
    <row r="10482" customFormat="false" ht="15" hidden="false" customHeight="false" outlineLevel="0" collapsed="false">
      <c r="V10482" s="23" t="str">
        <f aca="false">IF(ISNUMBER(C10482),YEAR(C10482),"")</f>
        <v/>
      </c>
      <c r="W10482" s="23" t="str">
        <f aca="false">IF(ISNUMBER(C10482),MONTH(C10482),"")</f>
        <v/>
      </c>
      <c r="X10482" s="23" t="str">
        <f aca="false">IF(T10482="","",IF(T10482=0,"No discount",IF(T10482&lt;=0.2,"Low (1-20%)",IF(T10482&lt;=0.4,"Medium (21-40%)","High (&gt;40%)"))))</f>
        <v/>
      </c>
      <c r="Y10482" s="23" t="str">
        <f aca="false">IF(AND(ISNUMBER(C10482),ISNUMBER(D10482)),D10482-C10482,"")</f>
        <v/>
      </c>
      <c r="Z10482" s="23" t="str">
        <f aca="false">IF(B10482="","",IF(MATCH(B10482,$B$2:$B$12000,0)=ROW()-1,1,0))</f>
        <v/>
      </c>
    </row>
    <row r="10483" customFormat="false" ht="15" hidden="false" customHeight="false" outlineLevel="0" collapsed="false">
      <c r="V10483" s="23" t="str">
        <f aca="false">IF(ISNUMBER(C10483),YEAR(C10483),"")</f>
        <v/>
      </c>
      <c r="W10483" s="23" t="str">
        <f aca="false">IF(ISNUMBER(C10483),MONTH(C10483),"")</f>
        <v/>
      </c>
      <c r="X10483" s="23" t="str">
        <f aca="false">IF(T10483="","",IF(T10483=0,"No discount",IF(T10483&lt;=0.2,"Low (1-20%)",IF(T10483&lt;=0.4,"Medium (21-40%)","High (&gt;40%)"))))</f>
        <v/>
      </c>
      <c r="Y10483" s="23" t="str">
        <f aca="false">IF(AND(ISNUMBER(C10483),ISNUMBER(D10483)),D10483-C10483,"")</f>
        <v/>
      </c>
      <c r="Z10483" s="23" t="str">
        <f aca="false">IF(B10483="","",IF(MATCH(B10483,$B$2:$B$12000,0)=ROW()-1,1,0))</f>
        <v/>
      </c>
    </row>
    <row r="10484" customFormat="false" ht="15" hidden="false" customHeight="false" outlineLevel="0" collapsed="false">
      <c r="V10484" s="23" t="str">
        <f aca="false">IF(ISNUMBER(C10484),YEAR(C10484),"")</f>
        <v/>
      </c>
      <c r="W10484" s="23" t="str">
        <f aca="false">IF(ISNUMBER(C10484),MONTH(C10484),"")</f>
        <v/>
      </c>
      <c r="X10484" s="23" t="str">
        <f aca="false">IF(T10484="","",IF(T10484=0,"No discount",IF(T10484&lt;=0.2,"Low (1-20%)",IF(T10484&lt;=0.4,"Medium (21-40%)","High (&gt;40%)"))))</f>
        <v/>
      </c>
      <c r="Y10484" s="23" t="str">
        <f aca="false">IF(AND(ISNUMBER(C10484),ISNUMBER(D10484)),D10484-C10484,"")</f>
        <v/>
      </c>
      <c r="Z10484" s="23" t="str">
        <f aca="false">IF(B10484="","",IF(MATCH(B10484,$B$2:$B$12000,0)=ROW()-1,1,0))</f>
        <v/>
      </c>
    </row>
    <row r="10485" customFormat="false" ht="15" hidden="false" customHeight="false" outlineLevel="0" collapsed="false">
      <c r="V10485" s="23" t="str">
        <f aca="false">IF(ISNUMBER(C10485),YEAR(C10485),"")</f>
        <v/>
      </c>
      <c r="W10485" s="23" t="str">
        <f aca="false">IF(ISNUMBER(C10485),MONTH(C10485),"")</f>
        <v/>
      </c>
      <c r="X10485" s="23" t="str">
        <f aca="false">IF(T10485="","",IF(T10485=0,"No discount",IF(T10485&lt;=0.2,"Low (1-20%)",IF(T10485&lt;=0.4,"Medium (21-40%)","High (&gt;40%)"))))</f>
        <v/>
      </c>
      <c r="Y10485" s="23" t="str">
        <f aca="false">IF(AND(ISNUMBER(C10485),ISNUMBER(D10485)),D10485-C10485,"")</f>
        <v/>
      </c>
      <c r="Z10485" s="23" t="str">
        <f aca="false">IF(B10485="","",IF(MATCH(B10485,$B$2:$B$12000,0)=ROW()-1,1,0))</f>
        <v/>
      </c>
    </row>
    <row r="10486" customFormat="false" ht="15" hidden="false" customHeight="false" outlineLevel="0" collapsed="false">
      <c r="V10486" s="23" t="str">
        <f aca="false">IF(ISNUMBER(C10486),YEAR(C10486),"")</f>
        <v/>
      </c>
      <c r="W10486" s="23" t="str">
        <f aca="false">IF(ISNUMBER(C10486),MONTH(C10486),"")</f>
        <v/>
      </c>
      <c r="X10486" s="23" t="str">
        <f aca="false">IF(T10486="","",IF(T10486=0,"No discount",IF(T10486&lt;=0.2,"Low (1-20%)",IF(T10486&lt;=0.4,"Medium (21-40%)","High (&gt;40%)"))))</f>
        <v/>
      </c>
      <c r="Y10486" s="23" t="str">
        <f aca="false">IF(AND(ISNUMBER(C10486),ISNUMBER(D10486)),D10486-C10486,"")</f>
        <v/>
      </c>
      <c r="Z10486" s="23" t="str">
        <f aca="false">IF(B10486="","",IF(MATCH(B10486,$B$2:$B$12000,0)=ROW()-1,1,0))</f>
        <v/>
      </c>
    </row>
    <row r="10487" customFormat="false" ht="15" hidden="false" customHeight="false" outlineLevel="0" collapsed="false">
      <c r="V10487" s="23" t="str">
        <f aca="false">IF(ISNUMBER(C10487),YEAR(C10487),"")</f>
        <v/>
      </c>
      <c r="W10487" s="23" t="str">
        <f aca="false">IF(ISNUMBER(C10487),MONTH(C10487),"")</f>
        <v/>
      </c>
      <c r="X10487" s="23" t="str">
        <f aca="false">IF(T10487="","",IF(T10487=0,"No discount",IF(T10487&lt;=0.2,"Low (1-20%)",IF(T10487&lt;=0.4,"Medium (21-40%)","High (&gt;40%)"))))</f>
        <v/>
      </c>
      <c r="Y10487" s="23" t="str">
        <f aca="false">IF(AND(ISNUMBER(C10487),ISNUMBER(D10487)),D10487-C10487,"")</f>
        <v/>
      </c>
      <c r="Z10487" s="23" t="str">
        <f aca="false">IF(B10487="","",IF(MATCH(B10487,$B$2:$B$12000,0)=ROW()-1,1,0))</f>
        <v/>
      </c>
    </row>
    <row r="10488" customFormat="false" ht="15" hidden="false" customHeight="false" outlineLevel="0" collapsed="false">
      <c r="V10488" s="23" t="str">
        <f aca="false">IF(ISNUMBER(C10488),YEAR(C10488),"")</f>
        <v/>
      </c>
      <c r="W10488" s="23" t="str">
        <f aca="false">IF(ISNUMBER(C10488),MONTH(C10488),"")</f>
        <v/>
      </c>
      <c r="X10488" s="23" t="str">
        <f aca="false">IF(T10488="","",IF(T10488=0,"No discount",IF(T10488&lt;=0.2,"Low (1-20%)",IF(T10488&lt;=0.4,"Medium (21-40%)","High (&gt;40%)"))))</f>
        <v/>
      </c>
      <c r="Y10488" s="23" t="str">
        <f aca="false">IF(AND(ISNUMBER(C10488),ISNUMBER(D10488)),D10488-C10488,"")</f>
        <v/>
      </c>
      <c r="Z10488" s="23" t="str">
        <f aca="false">IF(B10488="","",IF(MATCH(B10488,$B$2:$B$12000,0)=ROW()-1,1,0))</f>
        <v/>
      </c>
    </row>
    <row r="10489" customFormat="false" ht="15" hidden="false" customHeight="false" outlineLevel="0" collapsed="false">
      <c r="V10489" s="23" t="str">
        <f aca="false">IF(ISNUMBER(C10489),YEAR(C10489),"")</f>
        <v/>
      </c>
      <c r="W10489" s="23" t="str">
        <f aca="false">IF(ISNUMBER(C10489),MONTH(C10489),"")</f>
        <v/>
      </c>
      <c r="X10489" s="23" t="str">
        <f aca="false">IF(T10489="","",IF(T10489=0,"No discount",IF(T10489&lt;=0.2,"Low (1-20%)",IF(T10489&lt;=0.4,"Medium (21-40%)","High (&gt;40%)"))))</f>
        <v/>
      </c>
      <c r="Y10489" s="23" t="str">
        <f aca="false">IF(AND(ISNUMBER(C10489),ISNUMBER(D10489)),D10489-C10489,"")</f>
        <v/>
      </c>
      <c r="Z10489" s="23" t="str">
        <f aca="false">IF(B10489="","",IF(MATCH(B10489,$B$2:$B$12000,0)=ROW()-1,1,0))</f>
        <v/>
      </c>
    </row>
    <row r="10490" customFormat="false" ht="15" hidden="false" customHeight="false" outlineLevel="0" collapsed="false">
      <c r="V10490" s="23" t="str">
        <f aca="false">IF(ISNUMBER(C10490),YEAR(C10490),"")</f>
        <v/>
      </c>
      <c r="W10490" s="23" t="str">
        <f aca="false">IF(ISNUMBER(C10490),MONTH(C10490),"")</f>
        <v/>
      </c>
      <c r="X10490" s="23" t="str">
        <f aca="false">IF(T10490="","",IF(T10490=0,"No discount",IF(T10490&lt;=0.2,"Low (1-20%)",IF(T10490&lt;=0.4,"Medium (21-40%)","High (&gt;40%)"))))</f>
        <v/>
      </c>
      <c r="Y10490" s="23" t="str">
        <f aca="false">IF(AND(ISNUMBER(C10490),ISNUMBER(D10490)),D10490-C10490,"")</f>
        <v/>
      </c>
      <c r="Z10490" s="23" t="str">
        <f aca="false">IF(B10490="","",IF(MATCH(B10490,$B$2:$B$12000,0)=ROW()-1,1,0))</f>
        <v/>
      </c>
    </row>
    <row r="10491" customFormat="false" ht="15" hidden="false" customHeight="false" outlineLevel="0" collapsed="false">
      <c r="V10491" s="23" t="str">
        <f aca="false">IF(ISNUMBER(C10491),YEAR(C10491),"")</f>
        <v/>
      </c>
      <c r="W10491" s="23" t="str">
        <f aca="false">IF(ISNUMBER(C10491),MONTH(C10491),"")</f>
        <v/>
      </c>
      <c r="X10491" s="23" t="str">
        <f aca="false">IF(T10491="","",IF(T10491=0,"No discount",IF(T10491&lt;=0.2,"Low (1-20%)",IF(T10491&lt;=0.4,"Medium (21-40%)","High (&gt;40%)"))))</f>
        <v/>
      </c>
      <c r="Y10491" s="23" t="str">
        <f aca="false">IF(AND(ISNUMBER(C10491),ISNUMBER(D10491)),D10491-C10491,"")</f>
        <v/>
      </c>
      <c r="Z10491" s="23" t="str">
        <f aca="false">IF(B10491="","",IF(MATCH(B10491,$B$2:$B$12000,0)=ROW()-1,1,0))</f>
        <v/>
      </c>
    </row>
    <row r="10492" customFormat="false" ht="15" hidden="false" customHeight="false" outlineLevel="0" collapsed="false">
      <c r="V10492" s="23" t="str">
        <f aca="false">IF(ISNUMBER(C10492),YEAR(C10492),"")</f>
        <v/>
      </c>
      <c r="W10492" s="23" t="str">
        <f aca="false">IF(ISNUMBER(C10492),MONTH(C10492),"")</f>
        <v/>
      </c>
      <c r="X10492" s="23" t="str">
        <f aca="false">IF(T10492="","",IF(T10492=0,"No discount",IF(T10492&lt;=0.2,"Low (1-20%)",IF(T10492&lt;=0.4,"Medium (21-40%)","High (&gt;40%)"))))</f>
        <v/>
      </c>
      <c r="Y10492" s="23" t="str">
        <f aca="false">IF(AND(ISNUMBER(C10492),ISNUMBER(D10492)),D10492-C10492,"")</f>
        <v/>
      </c>
      <c r="Z10492" s="23" t="str">
        <f aca="false">IF(B10492="","",IF(MATCH(B10492,$B$2:$B$12000,0)=ROW()-1,1,0))</f>
        <v/>
      </c>
    </row>
    <row r="10493" customFormat="false" ht="15" hidden="false" customHeight="false" outlineLevel="0" collapsed="false">
      <c r="V10493" s="23" t="str">
        <f aca="false">IF(ISNUMBER(C10493),YEAR(C10493),"")</f>
        <v/>
      </c>
      <c r="W10493" s="23" t="str">
        <f aca="false">IF(ISNUMBER(C10493),MONTH(C10493),"")</f>
        <v/>
      </c>
      <c r="X10493" s="23" t="str">
        <f aca="false">IF(T10493="","",IF(T10493=0,"No discount",IF(T10493&lt;=0.2,"Low (1-20%)",IF(T10493&lt;=0.4,"Medium (21-40%)","High (&gt;40%)"))))</f>
        <v/>
      </c>
      <c r="Y10493" s="23" t="str">
        <f aca="false">IF(AND(ISNUMBER(C10493),ISNUMBER(D10493)),D10493-C10493,"")</f>
        <v/>
      </c>
      <c r="Z10493" s="23" t="str">
        <f aca="false">IF(B10493="","",IF(MATCH(B10493,$B$2:$B$12000,0)=ROW()-1,1,0))</f>
        <v/>
      </c>
    </row>
    <row r="10494" customFormat="false" ht="15" hidden="false" customHeight="false" outlineLevel="0" collapsed="false">
      <c r="V10494" s="23" t="str">
        <f aca="false">IF(ISNUMBER(C10494),YEAR(C10494),"")</f>
        <v/>
      </c>
      <c r="W10494" s="23" t="str">
        <f aca="false">IF(ISNUMBER(C10494),MONTH(C10494),"")</f>
        <v/>
      </c>
      <c r="X10494" s="23" t="str">
        <f aca="false">IF(T10494="","",IF(T10494=0,"No discount",IF(T10494&lt;=0.2,"Low (1-20%)",IF(T10494&lt;=0.4,"Medium (21-40%)","High (&gt;40%)"))))</f>
        <v/>
      </c>
      <c r="Y10494" s="23" t="str">
        <f aca="false">IF(AND(ISNUMBER(C10494),ISNUMBER(D10494)),D10494-C10494,"")</f>
        <v/>
      </c>
      <c r="Z10494" s="23" t="str">
        <f aca="false">IF(B10494="","",IF(MATCH(B10494,$B$2:$B$12000,0)=ROW()-1,1,0))</f>
        <v/>
      </c>
    </row>
    <row r="10495" customFormat="false" ht="15" hidden="false" customHeight="false" outlineLevel="0" collapsed="false">
      <c r="V10495" s="23" t="str">
        <f aca="false">IF(ISNUMBER(C10495),YEAR(C10495),"")</f>
        <v/>
      </c>
      <c r="W10495" s="23" t="str">
        <f aca="false">IF(ISNUMBER(C10495),MONTH(C10495),"")</f>
        <v/>
      </c>
      <c r="X10495" s="23" t="str">
        <f aca="false">IF(T10495="","",IF(T10495=0,"No discount",IF(T10495&lt;=0.2,"Low (1-20%)",IF(T10495&lt;=0.4,"Medium (21-40%)","High (&gt;40%)"))))</f>
        <v/>
      </c>
      <c r="Y10495" s="23" t="str">
        <f aca="false">IF(AND(ISNUMBER(C10495),ISNUMBER(D10495)),D10495-C10495,"")</f>
        <v/>
      </c>
      <c r="Z10495" s="23" t="str">
        <f aca="false">IF(B10495="","",IF(MATCH(B10495,$B$2:$B$12000,0)=ROW()-1,1,0))</f>
        <v/>
      </c>
    </row>
    <row r="10496" customFormat="false" ht="15" hidden="false" customHeight="false" outlineLevel="0" collapsed="false">
      <c r="V10496" s="23" t="str">
        <f aca="false">IF(ISNUMBER(C10496),YEAR(C10496),"")</f>
        <v/>
      </c>
      <c r="W10496" s="23" t="str">
        <f aca="false">IF(ISNUMBER(C10496),MONTH(C10496),"")</f>
        <v/>
      </c>
      <c r="X10496" s="23" t="str">
        <f aca="false">IF(T10496="","",IF(T10496=0,"No discount",IF(T10496&lt;=0.2,"Low (1-20%)",IF(T10496&lt;=0.4,"Medium (21-40%)","High (&gt;40%)"))))</f>
        <v/>
      </c>
      <c r="Y10496" s="23" t="str">
        <f aca="false">IF(AND(ISNUMBER(C10496),ISNUMBER(D10496)),D10496-C10496,"")</f>
        <v/>
      </c>
      <c r="Z10496" s="23" t="str">
        <f aca="false">IF(B10496="","",IF(MATCH(B10496,$B$2:$B$12000,0)=ROW()-1,1,0))</f>
        <v/>
      </c>
    </row>
    <row r="10497" customFormat="false" ht="15" hidden="false" customHeight="false" outlineLevel="0" collapsed="false">
      <c r="V10497" s="23" t="str">
        <f aca="false">IF(ISNUMBER(C10497),YEAR(C10497),"")</f>
        <v/>
      </c>
      <c r="W10497" s="23" t="str">
        <f aca="false">IF(ISNUMBER(C10497),MONTH(C10497),"")</f>
        <v/>
      </c>
      <c r="X10497" s="23" t="str">
        <f aca="false">IF(T10497="","",IF(T10497=0,"No discount",IF(T10497&lt;=0.2,"Low (1-20%)",IF(T10497&lt;=0.4,"Medium (21-40%)","High (&gt;40%)"))))</f>
        <v/>
      </c>
      <c r="Y10497" s="23" t="str">
        <f aca="false">IF(AND(ISNUMBER(C10497),ISNUMBER(D10497)),D10497-C10497,"")</f>
        <v/>
      </c>
      <c r="Z10497" s="23" t="str">
        <f aca="false">IF(B10497="","",IF(MATCH(B10497,$B$2:$B$12000,0)=ROW()-1,1,0))</f>
        <v/>
      </c>
    </row>
    <row r="10498" customFormat="false" ht="15" hidden="false" customHeight="false" outlineLevel="0" collapsed="false">
      <c r="V10498" s="23" t="str">
        <f aca="false">IF(ISNUMBER(C10498),YEAR(C10498),"")</f>
        <v/>
      </c>
      <c r="W10498" s="23" t="str">
        <f aca="false">IF(ISNUMBER(C10498),MONTH(C10498),"")</f>
        <v/>
      </c>
      <c r="X10498" s="23" t="str">
        <f aca="false">IF(T10498="","",IF(T10498=0,"No discount",IF(T10498&lt;=0.2,"Low (1-20%)",IF(T10498&lt;=0.4,"Medium (21-40%)","High (&gt;40%)"))))</f>
        <v/>
      </c>
      <c r="Y10498" s="23" t="str">
        <f aca="false">IF(AND(ISNUMBER(C10498),ISNUMBER(D10498)),D10498-C10498,"")</f>
        <v/>
      </c>
      <c r="Z10498" s="23" t="str">
        <f aca="false">IF(B10498="","",IF(MATCH(B10498,$B$2:$B$12000,0)=ROW()-1,1,0))</f>
        <v/>
      </c>
    </row>
    <row r="10499" customFormat="false" ht="15" hidden="false" customHeight="false" outlineLevel="0" collapsed="false">
      <c r="V10499" s="23" t="str">
        <f aca="false">IF(ISNUMBER(C10499),YEAR(C10499),"")</f>
        <v/>
      </c>
      <c r="W10499" s="23" t="str">
        <f aca="false">IF(ISNUMBER(C10499),MONTH(C10499),"")</f>
        <v/>
      </c>
      <c r="X10499" s="23" t="str">
        <f aca="false">IF(T10499="","",IF(T10499=0,"No discount",IF(T10499&lt;=0.2,"Low (1-20%)",IF(T10499&lt;=0.4,"Medium (21-40%)","High (&gt;40%)"))))</f>
        <v/>
      </c>
      <c r="Y10499" s="23" t="str">
        <f aca="false">IF(AND(ISNUMBER(C10499),ISNUMBER(D10499)),D10499-C10499,"")</f>
        <v/>
      </c>
      <c r="Z10499" s="23" t="str">
        <f aca="false">IF(B10499="","",IF(MATCH(B10499,$B$2:$B$12000,0)=ROW()-1,1,0))</f>
        <v/>
      </c>
    </row>
    <row r="10500" customFormat="false" ht="15" hidden="false" customHeight="false" outlineLevel="0" collapsed="false">
      <c r="V10500" s="23" t="str">
        <f aca="false">IF(ISNUMBER(C10500),YEAR(C10500),"")</f>
        <v/>
      </c>
      <c r="W10500" s="23" t="str">
        <f aca="false">IF(ISNUMBER(C10500),MONTH(C10500),"")</f>
        <v/>
      </c>
      <c r="X10500" s="23" t="str">
        <f aca="false">IF(T10500="","",IF(T10500=0,"No discount",IF(T10500&lt;=0.2,"Low (1-20%)",IF(T10500&lt;=0.4,"Medium (21-40%)","High (&gt;40%)"))))</f>
        <v/>
      </c>
      <c r="Y10500" s="23" t="str">
        <f aca="false">IF(AND(ISNUMBER(C10500),ISNUMBER(D10500)),D10500-C10500,"")</f>
        <v/>
      </c>
      <c r="Z10500" s="23" t="str">
        <f aca="false">IF(B10500="","",IF(MATCH(B10500,$B$2:$B$12000,0)=ROW()-1,1,0))</f>
        <v/>
      </c>
    </row>
    <row r="10501" customFormat="false" ht="15" hidden="false" customHeight="false" outlineLevel="0" collapsed="false">
      <c r="V10501" s="23" t="str">
        <f aca="false">IF(ISNUMBER(C10501),YEAR(C10501),"")</f>
        <v/>
      </c>
      <c r="W10501" s="23" t="str">
        <f aca="false">IF(ISNUMBER(C10501),MONTH(C10501),"")</f>
        <v/>
      </c>
      <c r="X10501" s="23" t="str">
        <f aca="false">IF(T10501="","",IF(T10501=0,"No discount",IF(T10501&lt;=0.2,"Low (1-20%)",IF(T10501&lt;=0.4,"Medium (21-40%)","High (&gt;40%)"))))</f>
        <v/>
      </c>
      <c r="Y10501" s="23" t="str">
        <f aca="false">IF(AND(ISNUMBER(C10501),ISNUMBER(D10501)),D10501-C10501,"")</f>
        <v/>
      </c>
      <c r="Z10501" s="23" t="str">
        <f aca="false">IF(B10501="","",IF(MATCH(B10501,$B$2:$B$12000,0)=ROW()-1,1,0))</f>
        <v/>
      </c>
    </row>
    <row r="10502" customFormat="false" ht="15" hidden="false" customHeight="false" outlineLevel="0" collapsed="false">
      <c r="V10502" s="23" t="str">
        <f aca="false">IF(ISNUMBER(C10502),YEAR(C10502),"")</f>
        <v/>
      </c>
      <c r="W10502" s="23" t="str">
        <f aca="false">IF(ISNUMBER(C10502),MONTH(C10502),"")</f>
        <v/>
      </c>
      <c r="X10502" s="23" t="str">
        <f aca="false">IF(T10502="","",IF(T10502=0,"No discount",IF(T10502&lt;=0.2,"Low (1-20%)",IF(T10502&lt;=0.4,"Medium (21-40%)","High (&gt;40%)"))))</f>
        <v/>
      </c>
      <c r="Y10502" s="23" t="str">
        <f aca="false">IF(AND(ISNUMBER(C10502),ISNUMBER(D10502)),D10502-C10502,"")</f>
        <v/>
      </c>
      <c r="Z10502" s="23" t="str">
        <f aca="false">IF(B10502="","",IF(MATCH(B10502,$B$2:$B$12000,0)=ROW()-1,1,0))</f>
        <v/>
      </c>
    </row>
    <row r="10503" customFormat="false" ht="15" hidden="false" customHeight="false" outlineLevel="0" collapsed="false">
      <c r="V10503" s="23" t="str">
        <f aca="false">IF(ISNUMBER(C10503),YEAR(C10503),"")</f>
        <v/>
      </c>
      <c r="W10503" s="23" t="str">
        <f aca="false">IF(ISNUMBER(C10503),MONTH(C10503),"")</f>
        <v/>
      </c>
      <c r="X10503" s="23" t="str">
        <f aca="false">IF(T10503="","",IF(T10503=0,"No discount",IF(T10503&lt;=0.2,"Low (1-20%)",IF(T10503&lt;=0.4,"Medium (21-40%)","High (&gt;40%)"))))</f>
        <v/>
      </c>
      <c r="Y10503" s="23" t="str">
        <f aca="false">IF(AND(ISNUMBER(C10503),ISNUMBER(D10503)),D10503-C10503,"")</f>
        <v/>
      </c>
      <c r="Z10503" s="23" t="str">
        <f aca="false">IF(B10503="","",IF(MATCH(B10503,$B$2:$B$12000,0)=ROW()-1,1,0))</f>
        <v/>
      </c>
    </row>
    <row r="10504" customFormat="false" ht="15" hidden="false" customHeight="false" outlineLevel="0" collapsed="false">
      <c r="V10504" s="23" t="str">
        <f aca="false">IF(ISNUMBER(C10504),YEAR(C10504),"")</f>
        <v/>
      </c>
      <c r="W10504" s="23" t="str">
        <f aca="false">IF(ISNUMBER(C10504),MONTH(C10504),"")</f>
        <v/>
      </c>
      <c r="X10504" s="23" t="str">
        <f aca="false">IF(T10504="","",IF(T10504=0,"No discount",IF(T10504&lt;=0.2,"Low (1-20%)",IF(T10504&lt;=0.4,"Medium (21-40%)","High (&gt;40%)"))))</f>
        <v/>
      </c>
      <c r="Y10504" s="23" t="str">
        <f aca="false">IF(AND(ISNUMBER(C10504),ISNUMBER(D10504)),D10504-C10504,"")</f>
        <v/>
      </c>
      <c r="Z10504" s="23" t="str">
        <f aca="false">IF(B10504="","",IF(MATCH(B10504,$B$2:$B$12000,0)=ROW()-1,1,0))</f>
        <v/>
      </c>
    </row>
    <row r="10505" customFormat="false" ht="15" hidden="false" customHeight="false" outlineLevel="0" collapsed="false">
      <c r="V10505" s="23" t="str">
        <f aca="false">IF(ISNUMBER(C10505),YEAR(C10505),"")</f>
        <v/>
      </c>
      <c r="W10505" s="23" t="str">
        <f aca="false">IF(ISNUMBER(C10505),MONTH(C10505),"")</f>
        <v/>
      </c>
      <c r="X10505" s="23" t="str">
        <f aca="false">IF(T10505="","",IF(T10505=0,"No discount",IF(T10505&lt;=0.2,"Low (1-20%)",IF(T10505&lt;=0.4,"Medium (21-40%)","High (&gt;40%)"))))</f>
        <v/>
      </c>
      <c r="Y10505" s="23" t="str">
        <f aca="false">IF(AND(ISNUMBER(C10505),ISNUMBER(D10505)),D10505-C10505,"")</f>
        <v/>
      </c>
      <c r="Z10505" s="23" t="str">
        <f aca="false">IF(B10505="","",IF(MATCH(B10505,$B$2:$B$12000,0)=ROW()-1,1,0))</f>
        <v/>
      </c>
    </row>
    <row r="10506" customFormat="false" ht="15" hidden="false" customHeight="false" outlineLevel="0" collapsed="false">
      <c r="V10506" s="23" t="str">
        <f aca="false">IF(ISNUMBER(C10506),YEAR(C10506),"")</f>
        <v/>
      </c>
      <c r="W10506" s="23" t="str">
        <f aca="false">IF(ISNUMBER(C10506),MONTH(C10506),"")</f>
        <v/>
      </c>
      <c r="X10506" s="23" t="str">
        <f aca="false">IF(T10506="","",IF(T10506=0,"No discount",IF(T10506&lt;=0.2,"Low (1-20%)",IF(T10506&lt;=0.4,"Medium (21-40%)","High (&gt;40%)"))))</f>
        <v/>
      </c>
      <c r="Y10506" s="23" t="str">
        <f aca="false">IF(AND(ISNUMBER(C10506),ISNUMBER(D10506)),D10506-C10506,"")</f>
        <v/>
      </c>
      <c r="Z10506" s="23" t="str">
        <f aca="false">IF(B10506="","",IF(MATCH(B10506,$B$2:$B$12000,0)=ROW()-1,1,0))</f>
        <v/>
      </c>
    </row>
    <row r="10507" customFormat="false" ht="15" hidden="false" customHeight="false" outlineLevel="0" collapsed="false">
      <c r="V10507" s="23" t="str">
        <f aca="false">IF(ISNUMBER(C10507),YEAR(C10507),"")</f>
        <v/>
      </c>
      <c r="W10507" s="23" t="str">
        <f aca="false">IF(ISNUMBER(C10507),MONTH(C10507),"")</f>
        <v/>
      </c>
      <c r="X10507" s="23" t="str">
        <f aca="false">IF(T10507="","",IF(T10507=0,"No discount",IF(T10507&lt;=0.2,"Low (1-20%)",IF(T10507&lt;=0.4,"Medium (21-40%)","High (&gt;40%)"))))</f>
        <v/>
      </c>
      <c r="Y10507" s="23" t="str">
        <f aca="false">IF(AND(ISNUMBER(C10507),ISNUMBER(D10507)),D10507-C10507,"")</f>
        <v/>
      </c>
      <c r="Z10507" s="23" t="str">
        <f aca="false">IF(B10507="","",IF(MATCH(B10507,$B$2:$B$12000,0)=ROW()-1,1,0))</f>
        <v/>
      </c>
    </row>
    <row r="10508" customFormat="false" ht="15" hidden="false" customHeight="false" outlineLevel="0" collapsed="false">
      <c r="V10508" s="23" t="str">
        <f aca="false">IF(ISNUMBER(C10508),YEAR(C10508),"")</f>
        <v/>
      </c>
      <c r="W10508" s="23" t="str">
        <f aca="false">IF(ISNUMBER(C10508),MONTH(C10508),"")</f>
        <v/>
      </c>
      <c r="X10508" s="23" t="str">
        <f aca="false">IF(T10508="","",IF(T10508=0,"No discount",IF(T10508&lt;=0.2,"Low (1-20%)",IF(T10508&lt;=0.4,"Medium (21-40%)","High (&gt;40%)"))))</f>
        <v/>
      </c>
      <c r="Y10508" s="23" t="str">
        <f aca="false">IF(AND(ISNUMBER(C10508),ISNUMBER(D10508)),D10508-C10508,"")</f>
        <v/>
      </c>
      <c r="Z10508" s="23" t="str">
        <f aca="false">IF(B10508="","",IF(MATCH(B10508,$B$2:$B$12000,0)=ROW()-1,1,0))</f>
        <v/>
      </c>
    </row>
    <row r="10509" customFormat="false" ht="15" hidden="false" customHeight="false" outlineLevel="0" collapsed="false">
      <c r="V10509" s="23" t="str">
        <f aca="false">IF(ISNUMBER(C10509),YEAR(C10509),"")</f>
        <v/>
      </c>
      <c r="W10509" s="23" t="str">
        <f aca="false">IF(ISNUMBER(C10509),MONTH(C10509),"")</f>
        <v/>
      </c>
      <c r="X10509" s="23" t="str">
        <f aca="false">IF(T10509="","",IF(T10509=0,"No discount",IF(T10509&lt;=0.2,"Low (1-20%)",IF(T10509&lt;=0.4,"Medium (21-40%)","High (&gt;40%)"))))</f>
        <v/>
      </c>
      <c r="Y10509" s="23" t="str">
        <f aca="false">IF(AND(ISNUMBER(C10509),ISNUMBER(D10509)),D10509-C10509,"")</f>
        <v/>
      </c>
      <c r="Z10509" s="23" t="str">
        <f aca="false">IF(B10509="","",IF(MATCH(B10509,$B$2:$B$12000,0)=ROW()-1,1,0))</f>
        <v/>
      </c>
    </row>
    <row r="10510" customFormat="false" ht="15" hidden="false" customHeight="false" outlineLevel="0" collapsed="false">
      <c r="V10510" s="23" t="str">
        <f aca="false">IF(ISNUMBER(C10510),YEAR(C10510),"")</f>
        <v/>
      </c>
      <c r="W10510" s="23" t="str">
        <f aca="false">IF(ISNUMBER(C10510),MONTH(C10510),"")</f>
        <v/>
      </c>
      <c r="X10510" s="23" t="str">
        <f aca="false">IF(T10510="","",IF(T10510=0,"No discount",IF(T10510&lt;=0.2,"Low (1-20%)",IF(T10510&lt;=0.4,"Medium (21-40%)","High (&gt;40%)"))))</f>
        <v/>
      </c>
      <c r="Y10510" s="23" t="str">
        <f aca="false">IF(AND(ISNUMBER(C10510),ISNUMBER(D10510)),D10510-C10510,"")</f>
        <v/>
      </c>
      <c r="Z10510" s="23" t="str">
        <f aca="false">IF(B10510="","",IF(MATCH(B10510,$B$2:$B$12000,0)=ROW()-1,1,0))</f>
        <v/>
      </c>
    </row>
    <row r="10511" customFormat="false" ht="15" hidden="false" customHeight="false" outlineLevel="0" collapsed="false">
      <c r="V10511" s="23" t="str">
        <f aca="false">IF(ISNUMBER(C10511),YEAR(C10511),"")</f>
        <v/>
      </c>
      <c r="W10511" s="23" t="str">
        <f aca="false">IF(ISNUMBER(C10511),MONTH(C10511),"")</f>
        <v/>
      </c>
      <c r="X10511" s="23" t="str">
        <f aca="false">IF(T10511="","",IF(T10511=0,"No discount",IF(T10511&lt;=0.2,"Low (1-20%)",IF(T10511&lt;=0.4,"Medium (21-40%)","High (&gt;40%)"))))</f>
        <v/>
      </c>
      <c r="Y10511" s="23" t="str">
        <f aca="false">IF(AND(ISNUMBER(C10511),ISNUMBER(D10511)),D10511-C10511,"")</f>
        <v/>
      </c>
      <c r="Z10511" s="23" t="str">
        <f aca="false">IF(B10511="","",IF(MATCH(B10511,$B$2:$B$12000,0)=ROW()-1,1,0))</f>
        <v/>
      </c>
    </row>
    <row r="10512" customFormat="false" ht="15" hidden="false" customHeight="false" outlineLevel="0" collapsed="false">
      <c r="V10512" s="23" t="str">
        <f aca="false">IF(ISNUMBER(C10512),YEAR(C10512),"")</f>
        <v/>
      </c>
      <c r="W10512" s="23" t="str">
        <f aca="false">IF(ISNUMBER(C10512),MONTH(C10512),"")</f>
        <v/>
      </c>
      <c r="X10512" s="23" t="str">
        <f aca="false">IF(T10512="","",IF(T10512=0,"No discount",IF(T10512&lt;=0.2,"Low (1-20%)",IF(T10512&lt;=0.4,"Medium (21-40%)","High (&gt;40%)"))))</f>
        <v/>
      </c>
      <c r="Y10512" s="23" t="str">
        <f aca="false">IF(AND(ISNUMBER(C10512),ISNUMBER(D10512)),D10512-C10512,"")</f>
        <v/>
      </c>
      <c r="Z10512" s="23" t="str">
        <f aca="false">IF(B10512="","",IF(MATCH(B10512,$B$2:$B$12000,0)=ROW()-1,1,0))</f>
        <v/>
      </c>
    </row>
    <row r="10513" customFormat="false" ht="15" hidden="false" customHeight="false" outlineLevel="0" collapsed="false">
      <c r="V10513" s="23" t="str">
        <f aca="false">IF(ISNUMBER(C10513),YEAR(C10513),"")</f>
        <v/>
      </c>
      <c r="W10513" s="23" t="str">
        <f aca="false">IF(ISNUMBER(C10513),MONTH(C10513),"")</f>
        <v/>
      </c>
      <c r="X10513" s="23" t="str">
        <f aca="false">IF(T10513="","",IF(T10513=0,"No discount",IF(T10513&lt;=0.2,"Low (1-20%)",IF(T10513&lt;=0.4,"Medium (21-40%)","High (&gt;40%)"))))</f>
        <v/>
      </c>
      <c r="Y10513" s="23" t="str">
        <f aca="false">IF(AND(ISNUMBER(C10513),ISNUMBER(D10513)),D10513-C10513,"")</f>
        <v/>
      </c>
      <c r="Z10513" s="23" t="str">
        <f aca="false">IF(B10513="","",IF(MATCH(B10513,$B$2:$B$12000,0)=ROW()-1,1,0))</f>
        <v/>
      </c>
    </row>
    <row r="10514" customFormat="false" ht="15" hidden="false" customHeight="false" outlineLevel="0" collapsed="false">
      <c r="V10514" s="23" t="str">
        <f aca="false">IF(ISNUMBER(C10514),YEAR(C10514),"")</f>
        <v/>
      </c>
      <c r="W10514" s="23" t="str">
        <f aca="false">IF(ISNUMBER(C10514),MONTH(C10514),"")</f>
        <v/>
      </c>
      <c r="X10514" s="23" t="str">
        <f aca="false">IF(T10514="","",IF(T10514=0,"No discount",IF(T10514&lt;=0.2,"Low (1-20%)",IF(T10514&lt;=0.4,"Medium (21-40%)","High (&gt;40%)"))))</f>
        <v/>
      </c>
      <c r="Y10514" s="23" t="str">
        <f aca="false">IF(AND(ISNUMBER(C10514),ISNUMBER(D10514)),D10514-C10514,"")</f>
        <v/>
      </c>
      <c r="Z10514" s="23" t="str">
        <f aca="false">IF(B10514="","",IF(MATCH(B10514,$B$2:$B$12000,0)=ROW()-1,1,0))</f>
        <v/>
      </c>
    </row>
    <row r="10515" customFormat="false" ht="15" hidden="false" customHeight="false" outlineLevel="0" collapsed="false">
      <c r="V10515" s="23" t="str">
        <f aca="false">IF(ISNUMBER(C10515),YEAR(C10515),"")</f>
        <v/>
      </c>
      <c r="W10515" s="23" t="str">
        <f aca="false">IF(ISNUMBER(C10515),MONTH(C10515),"")</f>
        <v/>
      </c>
      <c r="X10515" s="23" t="str">
        <f aca="false">IF(T10515="","",IF(T10515=0,"No discount",IF(T10515&lt;=0.2,"Low (1-20%)",IF(T10515&lt;=0.4,"Medium (21-40%)","High (&gt;40%)"))))</f>
        <v/>
      </c>
      <c r="Y10515" s="23" t="str">
        <f aca="false">IF(AND(ISNUMBER(C10515),ISNUMBER(D10515)),D10515-C10515,"")</f>
        <v/>
      </c>
      <c r="Z10515" s="23" t="str">
        <f aca="false">IF(B10515="","",IF(MATCH(B10515,$B$2:$B$12000,0)=ROW()-1,1,0))</f>
        <v/>
      </c>
    </row>
    <row r="10516" customFormat="false" ht="15" hidden="false" customHeight="false" outlineLevel="0" collapsed="false">
      <c r="V10516" s="23" t="str">
        <f aca="false">IF(ISNUMBER(C10516),YEAR(C10516),"")</f>
        <v/>
      </c>
      <c r="W10516" s="23" t="str">
        <f aca="false">IF(ISNUMBER(C10516),MONTH(C10516),"")</f>
        <v/>
      </c>
      <c r="X10516" s="23" t="str">
        <f aca="false">IF(T10516="","",IF(T10516=0,"No discount",IF(T10516&lt;=0.2,"Low (1-20%)",IF(T10516&lt;=0.4,"Medium (21-40%)","High (&gt;40%)"))))</f>
        <v/>
      </c>
      <c r="Y10516" s="23" t="str">
        <f aca="false">IF(AND(ISNUMBER(C10516),ISNUMBER(D10516)),D10516-C10516,"")</f>
        <v/>
      </c>
      <c r="Z10516" s="23" t="str">
        <f aca="false">IF(B10516="","",IF(MATCH(B10516,$B$2:$B$12000,0)=ROW()-1,1,0))</f>
        <v/>
      </c>
    </row>
    <row r="10517" customFormat="false" ht="15" hidden="false" customHeight="false" outlineLevel="0" collapsed="false">
      <c r="V10517" s="23" t="str">
        <f aca="false">IF(ISNUMBER(C10517),YEAR(C10517),"")</f>
        <v/>
      </c>
      <c r="W10517" s="23" t="str">
        <f aca="false">IF(ISNUMBER(C10517),MONTH(C10517),"")</f>
        <v/>
      </c>
      <c r="X10517" s="23" t="str">
        <f aca="false">IF(T10517="","",IF(T10517=0,"No discount",IF(T10517&lt;=0.2,"Low (1-20%)",IF(T10517&lt;=0.4,"Medium (21-40%)","High (&gt;40%)"))))</f>
        <v/>
      </c>
      <c r="Y10517" s="23" t="str">
        <f aca="false">IF(AND(ISNUMBER(C10517),ISNUMBER(D10517)),D10517-C10517,"")</f>
        <v/>
      </c>
      <c r="Z10517" s="23" t="str">
        <f aca="false">IF(B10517="","",IF(MATCH(B10517,$B$2:$B$12000,0)=ROW()-1,1,0))</f>
        <v/>
      </c>
    </row>
    <row r="10518" customFormat="false" ht="15" hidden="false" customHeight="false" outlineLevel="0" collapsed="false">
      <c r="V10518" s="23" t="str">
        <f aca="false">IF(ISNUMBER(C10518),YEAR(C10518),"")</f>
        <v/>
      </c>
      <c r="W10518" s="23" t="str">
        <f aca="false">IF(ISNUMBER(C10518),MONTH(C10518),"")</f>
        <v/>
      </c>
      <c r="X10518" s="23" t="str">
        <f aca="false">IF(T10518="","",IF(T10518=0,"No discount",IF(T10518&lt;=0.2,"Low (1-20%)",IF(T10518&lt;=0.4,"Medium (21-40%)","High (&gt;40%)"))))</f>
        <v/>
      </c>
      <c r="Y10518" s="23" t="str">
        <f aca="false">IF(AND(ISNUMBER(C10518),ISNUMBER(D10518)),D10518-C10518,"")</f>
        <v/>
      </c>
      <c r="Z10518" s="23" t="str">
        <f aca="false">IF(B10518="","",IF(MATCH(B10518,$B$2:$B$12000,0)=ROW()-1,1,0))</f>
        <v/>
      </c>
    </row>
    <row r="10519" customFormat="false" ht="15" hidden="false" customHeight="false" outlineLevel="0" collapsed="false">
      <c r="V10519" s="23" t="str">
        <f aca="false">IF(ISNUMBER(C10519),YEAR(C10519),"")</f>
        <v/>
      </c>
      <c r="W10519" s="23" t="str">
        <f aca="false">IF(ISNUMBER(C10519),MONTH(C10519),"")</f>
        <v/>
      </c>
      <c r="X10519" s="23" t="str">
        <f aca="false">IF(T10519="","",IF(T10519=0,"No discount",IF(T10519&lt;=0.2,"Low (1-20%)",IF(T10519&lt;=0.4,"Medium (21-40%)","High (&gt;40%)"))))</f>
        <v/>
      </c>
      <c r="Y10519" s="23" t="str">
        <f aca="false">IF(AND(ISNUMBER(C10519),ISNUMBER(D10519)),D10519-C10519,"")</f>
        <v/>
      </c>
      <c r="Z10519" s="23" t="str">
        <f aca="false">IF(B10519="","",IF(MATCH(B10519,$B$2:$B$12000,0)=ROW()-1,1,0))</f>
        <v/>
      </c>
    </row>
    <row r="10520" customFormat="false" ht="15" hidden="false" customHeight="false" outlineLevel="0" collapsed="false">
      <c r="V10520" s="23" t="str">
        <f aca="false">IF(ISNUMBER(C10520),YEAR(C10520),"")</f>
        <v/>
      </c>
      <c r="W10520" s="23" t="str">
        <f aca="false">IF(ISNUMBER(C10520),MONTH(C10520),"")</f>
        <v/>
      </c>
      <c r="X10520" s="23" t="str">
        <f aca="false">IF(T10520="","",IF(T10520=0,"No discount",IF(T10520&lt;=0.2,"Low (1-20%)",IF(T10520&lt;=0.4,"Medium (21-40%)","High (&gt;40%)"))))</f>
        <v/>
      </c>
      <c r="Y10520" s="23" t="str">
        <f aca="false">IF(AND(ISNUMBER(C10520),ISNUMBER(D10520)),D10520-C10520,"")</f>
        <v/>
      </c>
      <c r="Z10520" s="23" t="str">
        <f aca="false">IF(B10520="","",IF(MATCH(B10520,$B$2:$B$12000,0)=ROW()-1,1,0))</f>
        <v/>
      </c>
    </row>
    <row r="10521" customFormat="false" ht="15" hidden="false" customHeight="false" outlineLevel="0" collapsed="false">
      <c r="V10521" s="23" t="str">
        <f aca="false">IF(ISNUMBER(C10521),YEAR(C10521),"")</f>
        <v/>
      </c>
      <c r="W10521" s="23" t="str">
        <f aca="false">IF(ISNUMBER(C10521),MONTH(C10521),"")</f>
        <v/>
      </c>
      <c r="X10521" s="23" t="str">
        <f aca="false">IF(T10521="","",IF(T10521=0,"No discount",IF(T10521&lt;=0.2,"Low (1-20%)",IF(T10521&lt;=0.4,"Medium (21-40%)","High (&gt;40%)"))))</f>
        <v/>
      </c>
      <c r="Y10521" s="23" t="str">
        <f aca="false">IF(AND(ISNUMBER(C10521),ISNUMBER(D10521)),D10521-C10521,"")</f>
        <v/>
      </c>
      <c r="Z10521" s="23" t="str">
        <f aca="false">IF(B10521="","",IF(MATCH(B10521,$B$2:$B$12000,0)=ROW()-1,1,0))</f>
        <v/>
      </c>
    </row>
    <row r="10522" customFormat="false" ht="15" hidden="false" customHeight="false" outlineLevel="0" collapsed="false">
      <c r="V10522" s="23" t="str">
        <f aca="false">IF(ISNUMBER(C10522),YEAR(C10522),"")</f>
        <v/>
      </c>
      <c r="W10522" s="23" t="str">
        <f aca="false">IF(ISNUMBER(C10522),MONTH(C10522),"")</f>
        <v/>
      </c>
      <c r="X10522" s="23" t="str">
        <f aca="false">IF(T10522="","",IF(T10522=0,"No discount",IF(T10522&lt;=0.2,"Low (1-20%)",IF(T10522&lt;=0.4,"Medium (21-40%)","High (&gt;40%)"))))</f>
        <v/>
      </c>
      <c r="Y10522" s="23" t="str">
        <f aca="false">IF(AND(ISNUMBER(C10522),ISNUMBER(D10522)),D10522-C10522,"")</f>
        <v/>
      </c>
      <c r="Z10522" s="23" t="str">
        <f aca="false">IF(B10522="","",IF(MATCH(B10522,$B$2:$B$12000,0)=ROW()-1,1,0))</f>
        <v/>
      </c>
    </row>
    <row r="10523" customFormat="false" ht="15" hidden="false" customHeight="false" outlineLevel="0" collapsed="false">
      <c r="V10523" s="23" t="str">
        <f aca="false">IF(ISNUMBER(C10523),YEAR(C10523),"")</f>
        <v/>
      </c>
      <c r="W10523" s="23" t="str">
        <f aca="false">IF(ISNUMBER(C10523),MONTH(C10523),"")</f>
        <v/>
      </c>
      <c r="X10523" s="23" t="str">
        <f aca="false">IF(T10523="","",IF(T10523=0,"No discount",IF(T10523&lt;=0.2,"Low (1-20%)",IF(T10523&lt;=0.4,"Medium (21-40%)","High (&gt;40%)"))))</f>
        <v/>
      </c>
      <c r="Y10523" s="23" t="str">
        <f aca="false">IF(AND(ISNUMBER(C10523),ISNUMBER(D10523)),D10523-C10523,"")</f>
        <v/>
      </c>
      <c r="Z10523" s="23" t="str">
        <f aca="false">IF(B10523="","",IF(MATCH(B10523,$B$2:$B$12000,0)=ROW()-1,1,0))</f>
        <v/>
      </c>
    </row>
    <row r="10524" customFormat="false" ht="15" hidden="false" customHeight="false" outlineLevel="0" collapsed="false">
      <c r="V10524" s="23" t="str">
        <f aca="false">IF(ISNUMBER(C10524),YEAR(C10524),"")</f>
        <v/>
      </c>
      <c r="W10524" s="23" t="str">
        <f aca="false">IF(ISNUMBER(C10524),MONTH(C10524),"")</f>
        <v/>
      </c>
      <c r="X10524" s="23" t="str">
        <f aca="false">IF(T10524="","",IF(T10524=0,"No discount",IF(T10524&lt;=0.2,"Low (1-20%)",IF(T10524&lt;=0.4,"Medium (21-40%)","High (&gt;40%)"))))</f>
        <v/>
      </c>
      <c r="Y10524" s="23" t="str">
        <f aca="false">IF(AND(ISNUMBER(C10524),ISNUMBER(D10524)),D10524-C10524,"")</f>
        <v/>
      </c>
      <c r="Z10524" s="23" t="str">
        <f aca="false">IF(B10524="","",IF(MATCH(B10524,$B$2:$B$12000,0)=ROW()-1,1,0))</f>
        <v/>
      </c>
    </row>
    <row r="10525" customFormat="false" ht="15" hidden="false" customHeight="false" outlineLevel="0" collapsed="false">
      <c r="V10525" s="23" t="str">
        <f aca="false">IF(ISNUMBER(C10525),YEAR(C10525),"")</f>
        <v/>
      </c>
      <c r="W10525" s="23" t="str">
        <f aca="false">IF(ISNUMBER(C10525),MONTH(C10525),"")</f>
        <v/>
      </c>
      <c r="X10525" s="23" t="str">
        <f aca="false">IF(T10525="","",IF(T10525=0,"No discount",IF(T10525&lt;=0.2,"Low (1-20%)",IF(T10525&lt;=0.4,"Medium (21-40%)","High (&gt;40%)"))))</f>
        <v/>
      </c>
      <c r="Y10525" s="23" t="str">
        <f aca="false">IF(AND(ISNUMBER(C10525),ISNUMBER(D10525)),D10525-C10525,"")</f>
        <v/>
      </c>
      <c r="Z10525" s="23" t="str">
        <f aca="false">IF(B10525="","",IF(MATCH(B10525,$B$2:$B$12000,0)=ROW()-1,1,0))</f>
        <v/>
      </c>
    </row>
    <row r="10526" customFormat="false" ht="15" hidden="false" customHeight="false" outlineLevel="0" collapsed="false">
      <c r="V10526" s="23" t="str">
        <f aca="false">IF(ISNUMBER(C10526),YEAR(C10526),"")</f>
        <v/>
      </c>
      <c r="W10526" s="23" t="str">
        <f aca="false">IF(ISNUMBER(C10526),MONTH(C10526),"")</f>
        <v/>
      </c>
      <c r="X10526" s="23" t="str">
        <f aca="false">IF(T10526="","",IF(T10526=0,"No discount",IF(T10526&lt;=0.2,"Low (1-20%)",IF(T10526&lt;=0.4,"Medium (21-40%)","High (&gt;40%)"))))</f>
        <v/>
      </c>
      <c r="Y10526" s="23" t="str">
        <f aca="false">IF(AND(ISNUMBER(C10526),ISNUMBER(D10526)),D10526-C10526,"")</f>
        <v/>
      </c>
      <c r="Z10526" s="23" t="str">
        <f aca="false">IF(B10526="","",IF(MATCH(B10526,$B$2:$B$12000,0)=ROW()-1,1,0))</f>
        <v/>
      </c>
    </row>
    <row r="10527" customFormat="false" ht="15" hidden="false" customHeight="false" outlineLevel="0" collapsed="false">
      <c r="V10527" s="23" t="str">
        <f aca="false">IF(ISNUMBER(C10527),YEAR(C10527),"")</f>
        <v/>
      </c>
      <c r="W10527" s="23" t="str">
        <f aca="false">IF(ISNUMBER(C10527),MONTH(C10527),"")</f>
        <v/>
      </c>
      <c r="X10527" s="23" t="str">
        <f aca="false">IF(T10527="","",IF(T10527=0,"No discount",IF(T10527&lt;=0.2,"Low (1-20%)",IF(T10527&lt;=0.4,"Medium (21-40%)","High (&gt;40%)"))))</f>
        <v/>
      </c>
      <c r="Y10527" s="23" t="str">
        <f aca="false">IF(AND(ISNUMBER(C10527),ISNUMBER(D10527)),D10527-C10527,"")</f>
        <v/>
      </c>
      <c r="Z10527" s="23" t="str">
        <f aca="false">IF(B10527="","",IF(MATCH(B10527,$B$2:$B$12000,0)=ROW()-1,1,0))</f>
        <v/>
      </c>
    </row>
    <row r="10528" customFormat="false" ht="15" hidden="false" customHeight="false" outlineLevel="0" collapsed="false">
      <c r="V10528" s="23" t="str">
        <f aca="false">IF(ISNUMBER(C10528),YEAR(C10528),"")</f>
        <v/>
      </c>
      <c r="W10528" s="23" t="str">
        <f aca="false">IF(ISNUMBER(C10528),MONTH(C10528),"")</f>
        <v/>
      </c>
      <c r="X10528" s="23" t="str">
        <f aca="false">IF(T10528="","",IF(T10528=0,"No discount",IF(T10528&lt;=0.2,"Low (1-20%)",IF(T10528&lt;=0.4,"Medium (21-40%)","High (&gt;40%)"))))</f>
        <v/>
      </c>
      <c r="Y10528" s="23" t="str">
        <f aca="false">IF(AND(ISNUMBER(C10528),ISNUMBER(D10528)),D10528-C10528,"")</f>
        <v/>
      </c>
      <c r="Z10528" s="23" t="str">
        <f aca="false">IF(B10528="","",IF(MATCH(B10528,$B$2:$B$12000,0)=ROW()-1,1,0))</f>
        <v/>
      </c>
    </row>
    <row r="10529" customFormat="false" ht="15" hidden="false" customHeight="false" outlineLevel="0" collapsed="false">
      <c r="V10529" s="23" t="str">
        <f aca="false">IF(ISNUMBER(C10529),YEAR(C10529),"")</f>
        <v/>
      </c>
      <c r="W10529" s="23" t="str">
        <f aca="false">IF(ISNUMBER(C10529),MONTH(C10529),"")</f>
        <v/>
      </c>
      <c r="X10529" s="23" t="str">
        <f aca="false">IF(T10529="","",IF(T10529=0,"No discount",IF(T10529&lt;=0.2,"Low (1-20%)",IF(T10529&lt;=0.4,"Medium (21-40%)","High (&gt;40%)"))))</f>
        <v/>
      </c>
      <c r="Y10529" s="23" t="str">
        <f aca="false">IF(AND(ISNUMBER(C10529),ISNUMBER(D10529)),D10529-C10529,"")</f>
        <v/>
      </c>
      <c r="Z10529" s="23" t="str">
        <f aca="false">IF(B10529="","",IF(MATCH(B10529,$B$2:$B$12000,0)=ROW()-1,1,0))</f>
        <v/>
      </c>
    </row>
    <row r="10530" customFormat="false" ht="15" hidden="false" customHeight="false" outlineLevel="0" collapsed="false">
      <c r="V10530" s="23" t="str">
        <f aca="false">IF(ISNUMBER(C10530),YEAR(C10530),"")</f>
        <v/>
      </c>
      <c r="W10530" s="23" t="str">
        <f aca="false">IF(ISNUMBER(C10530),MONTH(C10530),"")</f>
        <v/>
      </c>
      <c r="X10530" s="23" t="str">
        <f aca="false">IF(T10530="","",IF(T10530=0,"No discount",IF(T10530&lt;=0.2,"Low (1-20%)",IF(T10530&lt;=0.4,"Medium (21-40%)","High (&gt;40%)"))))</f>
        <v/>
      </c>
      <c r="Y10530" s="23" t="str">
        <f aca="false">IF(AND(ISNUMBER(C10530),ISNUMBER(D10530)),D10530-C10530,"")</f>
        <v/>
      </c>
      <c r="Z10530" s="23" t="str">
        <f aca="false">IF(B10530="","",IF(MATCH(B10530,$B$2:$B$12000,0)=ROW()-1,1,0))</f>
        <v/>
      </c>
    </row>
    <row r="10531" customFormat="false" ht="15" hidden="false" customHeight="false" outlineLevel="0" collapsed="false">
      <c r="V10531" s="23" t="str">
        <f aca="false">IF(ISNUMBER(C10531),YEAR(C10531),"")</f>
        <v/>
      </c>
      <c r="W10531" s="23" t="str">
        <f aca="false">IF(ISNUMBER(C10531),MONTH(C10531),"")</f>
        <v/>
      </c>
      <c r="X10531" s="23" t="str">
        <f aca="false">IF(T10531="","",IF(T10531=0,"No discount",IF(T10531&lt;=0.2,"Low (1-20%)",IF(T10531&lt;=0.4,"Medium (21-40%)","High (&gt;40%)"))))</f>
        <v/>
      </c>
      <c r="Y10531" s="23" t="str">
        <f aca="false">IF(AND(ISNUMBER(C10531),ISNUMBER(D10531)),D10531-C10531,"")</f>
        <v/>
      </c>
      <c r="Z10531" s="23" t="str">
        <f aca="false">IF(B10531="","",IF(MATCH(B10531,$B$2:$B$12000,0)=ROW()-1,1,0))</f>
        <v/>
      </c>
    </row>
    <row r="10532" customFormat="false" ht="15" hidden="false" customHeight="false" outlineLevel="0" collapsed="false">
      <c r="V10532" s="23" t="str">
        <f aca="false">IF(ISNUMBER(C10532),YEAR(C10532),"")</f>
        <v/>
      </c>
      <c r="W10532" s="23" t="str">
        <f aca="false">IF(ISNUMBER(C10532),MONTH(C10532),"")</f>
        <v/>
      </c>
      <c r="X10532" s="23" t="str">
        <f aca="false">IF(T10532="","",IF(T10532=0,"No discount",IF(T10532&lt;=0.2,"Low (1-20%)",IF(T10532&lt;=0.4,"Medium (21-40%)","High (&gt;40%)"))))</f>
        <v/>
      </c>
      <c r="Y10532" s="23" t="str">
        <f aca="false">IF(AND(ISNUMBER(C10532),ISNUMBER(D10532)),D10532-C10532,"")</f>
        <v/>
      </c>
      <c r="Z10532" s="23" t="str">
        <f aca="false">IF(B10532="","",IF(MATCH(B10532,$B$2:$B$12000,0)=ROW()-1,1,0))</f>
        <v/>
      </c>
    </row>
    <row r="10533" customFormat="false" ht="15" hidden="false" customHeight="false" outlineLevel="0" collapsed="false">
      <c r="V10533" s="23" t="str">
        <f aca="false">IF(ISNUMBER(C10533),YEAR(C10533),"")</f>
        <v/>
      </c>
      <c r="W10533" s="23" t="str">
        <f aca="false">IF(ISNUMBER(C10533),MONTH(C10533),"")</f>
        <v/>
      </c>
      <c r="X10533" s="23" t="str">
        <f aca="false">IF(T10533="","",IF(T10533=0,"No discount",IF(T10533&lt;=0.2,"Low (1-20%)",IF(T10533&lt;=0.4,"Medium (21-40%)","High (&gt;40%)"))))</f>
        <v/>
      </c>
      <c r="Y10533" s="23" t="str">
        <f aca="false">IF(AND(ISNUMBER(C10533),ISNUMBER(D10533)),D10533-C10533,"")</f>
        <v/>
      </c>
      <c r="Z10533" s="23" t="str">
        <f aca="false">IF(B10533="","",IF(MATCH(B10533,$B$2:$B$12000,0)=ROW()-1,1,0))</f>
        <v/>
      </c>
    </row>
    <row r="10534" customFormat="false" ht="15" hidden="false" customHeight="false" outlineLevel="0" collapsed="false">
      <c r="V10534" s="23" t="str">
        <f aca="false">IF(ISNUMBER(C10534),YEAR(C10534),"")</f>
        <v/>
      </c>
      <c r="W10534" s="23" t="str">
        <f aca="false">IF(ISNUMBER(C10534),MONTH(C10534),"")</f>
        <v/>
      </c>
      <c r="X10534" s="23" t="str">
        <f aca="false">IF(T10534="","",IF(T10534=0,"No discount",IF(T10534&lt;=0.2,"Low (1-20%)",IF(T10534&lt;=0.4,"Medium (21-40%)","High (&gt;40%)"))))</f>
        <v/>
      </c>
      <c r="Y10534" s="23" t="str">
        <f aca="false">IF(AND(ISNUMBER(C10534),ISNUMBER(D10534)),D10534-C10534,"")</f>
        <v/>
      </c>
      <c r="Z10534" s="23" t="str">
        <f aca="false">IF(B10534="","",IF(MATCH(B10534,$B$2:$B$12000,0)=ROW()-1,1,0))</f>
        <v/>
      </c>
    </row>
    <row r="10535" customFormat="false" ht="15" hidden="false" customHeight="false" outlineLevel="0" collapsed="false">
      <c r="V10535" s="23" t="str">
        <f aca="false">IF(ISNUMBER(C10535),YEAR(C10535),"")</f>
        <v/>
      </c>
      <c r="W10535" s="23" t="str">
        <f aca="false">IF(ISNUMBER(C10535),MONTH(C10535),"")</f>
        <v/>
      </c>
      <c r="X10535" s="23" t="str">
        <f aca="false">IF(T10535="","",IF(T10535=0,"No discount",IF(T10535&lt;=0.2,"Low (1-20%)",IF(T10535&lt;=0.4,"Medium (21-40%)","High (&gt;40%)"))))</f>
        <v/>
      </c>
      <c r="Y10535" s="23" t="str">
        <f aca="false">IF(AND(ISNUMBER(C10535),ISNUMBER(D10535)),D10535-C10535,"")</f>
        <v/>
      </c>
      <c r="Z10535" s="23" t="str">
        <f aca="false">IF(B10535="","",IF(MATCH(B10535,$B$2:$B$12000,0)=ROW()-1,1,0))</f>
        <v/>
      </c>
    </row>
    <row r="10536" customFormat="false" ht="15" hidden="false" customHeight="false" outlineLevel="0" collapsed="false">
      <c r="V10536" s="23" t="str">
        <f aca="false">IF(ISNUMBER(C10536),YEAR(C10536),"")</f>
        <v/>
      </c>
      <c r="W10536" s="23" t="str">
        <f aca="false">IF(ISNUMBER(C10536),MONTH(C10536),"")</f>
        <v/>
      </c>
      <c r="X10536" s="23" t="str">
        <f aca="false">IF(T10536="","",IF(T10536=0,"No discount",IF(T10536&lt;=0.2,"Low (1-20%)",IF(T10536&lt;=0.4,"Medium (21-40%)","High (&gt;40%)"))))</f>
        <v/>
      </c>
      <c r="Y10536" s="23" t="str">
        <f aca="false">IF(AND(ISNUMBER(C10536),ISNUMBER(D10536)),D10536-C10536,"")</f>
        <v/>
      </c>
      <c r="Z10536" s="23" t="str">
        <f aca="false">IF(B10536="","",IF(MATCH(B10536,$B$2:$B$12000,0)=ROW()-1,1,0))</f>
        <v/>
      </c>
    </row>
    <row r="10537" customFormat="false" ht="15" hidden="false" customHeight="false" outlineLevel="0" collapsed="false">
      <c r="V10537" s="23" t="str">
        <f aca="false">IF(ISNUMBER(C10537),YEAR(C10537),"")</f>
        <v/>
      </c>
      <c r="W10537" s="23" t="str">
        <f aca="false">IF(ISNUMBER(C10537),MONTH(C10537),"")</f>
        <v/>
      </c>
      <c r="X10537" s="23" t="str">
        <f aca="false">IF(T10537="","",IF(T10537=0,"No discount",IF(T10537&lt;=0.2,"Low (1-20%)",IF(T10537&lt;=0.4,"Medium (21-40%)","High (&gt;40%)"))))</f>
        <v/>
      </c>
      <c r="Y10537" s="23" t="str">
        <f aca="false">IF(AND(ISNUMBER(C10537),ISNUMBER(D10537)),D10537-C10537,"")</f>
        <v/>
      </c>
      <c r="Z10537" s="23" t="str">
        <f aca="false">IF(B10537="","",IF(MATCH(B10537,$B$2:$B$12000,0)=ROW()-1,1,0))</f>
        <v/>
      </c>
    </row>
    <row r="10538" customFormat="false" ht="15" hidden="false" customHeight="false" outlineLevel="0" collapsed="false">
      <c r="V10538" s="23" t="str">
        <f aca="false">IF(ISNUMBER(C10538),YEAR(C10538),"")</f>
        <v/>
      </c>
      <c r="W10538" s="23" t="str">
        <f aca="false">IF(ISNUMBER(C10538),MONTH(C10538),"")</f>
        <v/>
      </c>
      <c r="X10538" s="23" t="str">
        <f aca="false">IF(T10538="","",IF(T10538=0,"No discount",IF(T10538&lt;=0.2,"Low (1-20%)",IF(T10538&lt;=0.4,"Medium (21-40%)","High (&gt;40%)"))))</f>
        <v/>
      </c>
      <c r="Y10538" s="23" t="str">
        <f aca="false">IF(AND(ISNUMBER(C10538),ISNUMBER(D10538)),D10538-C10538,"")</f>
        <v/>
      </c>
      <c r="Z10538" s="23" t="str">
        <f aca="false">IF(B10538="","",IF(MATCH(B10538,$B$2:$B$12000,0)=ROW()-1,1,0))</f>
        <v/>
      </c>
    </row>
    <row r="10539" customFormat="false" ht="15" hidden="false" customHeight="false" outlineLevel="0" collapsed="false">
      <c r="V10539" s="23" t="str">
        <f aca="false">IF(ISNUMBER(C10539),YEAR(C10539),"")</f>
        <v/>
      </c>
      <c r="W10539" s="23" t="str">
        <f aca="false">IF(ISNUMBER(C10539),MONTH(C10539),"")</f>
        <v/>
      </c>
      <c r="X10539" s="23" t="str">
        <f aca="false">IF(T10539="","",IF(T10539=0,"No discount",IF(T10539&lt;=0.2,"Low (1-20%)",IF(T10539&lt;=0.4,"Medium (21-40%)","High (&gt;40%)"))))</f>
        <v/>
      </c>
      <c r="Y10539" s="23" t="str">
        <f aca="false">IF(AND(ISNUMBER(C10539),ISNUMBER(D10539)),D10539-C10539,"")</f>
        <v/>
      </c>
      <c r="Z10539" s="23" t="str">
        <f aca="false">IF(B10539="","",IF(MATCH(B10539,$B$2:$B$12000,0)=ROW()-1,1,0))</f>
        <v/>
      </c>
    </row>
    <row r="10540" customFormat="false" ht="15" hidden="false" customHeight="false" outlineLevel="0" collapsed="false">
      <c r="V10540" s="23" t="str">
        <f aca="false">IF(ISNUMBER(C10540),YEAR(C10540),"")</f>
        <v/>
      </c>
      <c r="W10540" s="23" t="str">
        <f aca="false">IF(ISNUMBER(C10540),MONTH(C10540),"")</f>
        <v/>
      </c>
      <c r="X10540" s="23" t="str">
        <f aca="false">IF(T10540="","",IF(T10540=0,"No discount",IF(T10540&lt;=0.2,"Low (1-20%)",IF(T10540&lt;=0.4,"Medium (21-40%)","High (&gt;40%)"))))</f>
        <v/>
      </c>
      <c r="Y10540" s="23" t="str">
        <f aca="false">IF(AND(ISNUMBER(C10540),ISNUMBER(D10540)),D10540-C10540,"")</f>
        <v/>
      </c>
      <c r="Z10540" s="23" t="str">
        <f aca="false">IF(B10540="","",IF(MATCH(B10540,$B$2:$B$12000,0)=ROW()-1,1,0))</f>
        <v/>
      </c>
    </row>
    <row r="10541" customFormat="false" ht="15" hidden="false" customHeight="false" outlineLevel="0" collapsed="false">
      <c r="V10541" s="23" t="str">
        <f aca="false">IF(ISNUMBER(C10541),YEAR(C10541),"")</f>
        <v/>
      </c>
      <c r="W10541" s="23" t="str">
        <f aca="false">IF(ISNUMBER(C10541),MONTH(C10541),"")</f>
        <v/>
      </c>
      <c r="X10541" s="23" t="str">
        <f aca="false">IF(T10541="","",IF(T10541=0,"No discount",IF(T10541&lt;=0.2,"Low (1-20%)",IF(T10541&lt;=0.4,"Medium (21-40%)","High (&gt;40%)"))))</f>
        <v/>
      </c>
      <c r="Y10541" s="23" t="str">
        <f aca="false">IF(AND(ISNUMBER(C10541),ISNUMBER(D10541)),D10541-C10541,"")</f>
        <v/>
      </c>
      <c r="Z10541" s="23" t="str">
        <f aca="false">IF(B10541="","",IF(MATCH(B10541,$B$2:$B$12000,0)=ROW()-1,1,0))</f>
        <v/>
      </c>
    </row>
    <row r="10542" customFormat="false" ht="15" hidden="false" customHeight="false" outlineLevel="0" collapsed="false">
      <c r="V10542" s="23" t="str">
        <f aca="false">IF(ISNUMBER(C10542),YEAR(C10542),"")</f>
        <v/>
      </c>
      <c r="W10542" s="23" t="str">
        <f aca="false">IF(ISNUMBER(C10542),MONTH(C10542),"")</f>
        <v/>
      </c>
      <c r="X10542" s="23" t="str">
        <f aca="false">IF(T10542="","",IF(T10542=0,"No discount",IF(T10542&lt;=0.2,"Low (1-20%)",IF(T10542&lt;=0.4,"Medium (21-40%)","High (&gt;40%)"))))</f>
        <v/>
      </c>
      <c r="Y10542" s="23" t="str">
        <f aca="false">IF(AND(ISNUMBER(C10542),ISNUMBER(D10542)),D10542-C10542,"")</f>
        <v/>
      </c>
      <c r="Z10542" s="23" t="str">
        <f aca="false">IF(B10542="","",IF(MATCH(B10542,$B$2:$B$12000,0)=ROW()-1,1,0))</f>
        <v/>
      </c>
    </row>
    <row r="10543" customFormat="false" ht="15" hidden="false" customHeight="false" outlineLevel="0" collapsed="false">
      <c r="V10543" s="23" t="str">
        <f aca="false">IF(ISNUMBER(C10543),YEAR(C10543),"")</f>
        <v/>
      </c>
      <c r="W10543" s="23" t="str">
        <f aca="false">IF(ISNUMBER(C10543),MONTH(C10543),"")</f>
        <v/>
      </c>
      <c r="X10543" s="23" t="str">
        <f aca="false">IF(T10543="","",IF(T10543=0,"No discount",IF(T10543&lt;=0.2,"Low (1-20%)",IF(T10543&lt;=0.4,"Medium (21-40%)","High (&gt;40%)"))))</f>
        <v/>
      </c>
      <c r="Y10543" s="23" t="str">
        <f aca="false">IF(AND(ISNUMBER(C10543),ISNUMBER(D10543)),D10543-C10543,"")</f>
        <v/>
      </c>
      <c r="Z10543" s="23" t="str">
        <f aca="false">IF(B10543="","",IF(MATCH(B10543,$B$2:$B$12000,0)=ROW()-1,1,0))</f>
        <v/>
      </c>
    </row>
    <row r="10544" customFormat="false" ht="15" hidden="false" customHeight="false" outlineLevel="0" collapsed="false">
      <c r="V10544" s="23" t="str">
        <f aca="false">IF(ISNUMBER(C10544),YEAR(C10544),"")</f>
        <v/>
      </c>
      <c r="W10544" s="23" t="str">
        <f aca="false">IF(ISNUMBER(C10544),MONTH(C10544),"")</f>
        <v/>
      </c>
      <c r="X10544" s="23" t="str">
        <f aca="false">IF(T10544="","",IF(T10544=0,"No discount",IF(T10544&lt;=0.2,"Low (1-20%)",IF(T10544&lt;=0.4,"Medium (21-40%)","High (&gt;40%)"))))</f>
        <v/>
      </c>
      <c r="Y10544" s="23" t="str">
        <f aca="false">IF(AND(ISNUMBER(C10544),ISNUMBER(D10544)),D10544-C10544,"")</f>
        <v/>
      </c>
      <c r="Z10544" s="23" t="str">
        <f aca="false">IF(B10544="","",IF(MATCH(B10544,$B$2:$B$12000,0)=ROW()-1,1,0))</f>
        <v/>
      </c>
    </row>
    <row r="10545" customFormat="false" ht="15" hidden="false" customHeight="false" outlineLevel="0" collapsed="false">
      <c r="V10545" s="23" t="str">
        <f aca="false">IF(ISNUMBER(C10545),YEAR(C10545),"")</f>
        <v/>
      </c>
      <c r="W10545" s="23" t="str">
        <f aca="false">IF(ISNUMBER(C10545),MONTH(C10545),"")</f>
        <v/>
      </c>
      <c r="X10545" s="23" t="str">
        <f aca="false">IF(T10545="","",IF(T10545=0,"No discount",IF(T10545&lt;=0.2,"Low (1-20%)",IF(T10545&lt;=0.4,"Medium (21-40%)","High (&gt;40%)"))))</f>
        <v/>
      </c>
      <c r="Y10545" s="23" t="str">
        <f aca="false">IF(AND(ISNUMBER(C10545),ISNUMBER(D10545)),D10545-C10545,"")</f>
        <v/>
      </c>
      <c r="Z10545" s="23" t="str">
        <f aca="false">IF(B10545="","",IF(MATCH(B10545,$B$2:$B$12000,0)=ROW()-1,1,0))</f>
        <v/>
      </c>
    </row>
    <row r="10546" customFormat="false" ht="15" hidden="false" customHeight="false" outlineLevel="0" collapsed="false">
      <c r="V10546" s="23" t="str">
        <f aca="false">IF(ISNUMBER(C10546),YEAR(C10546),"")</f>
        <v/>
      </c>
      <c r="W10546" s="23" t="str">
        <f aca="false">IF(ISNUMBER(C10546),MONTH(C10546),"")</f>
        <v/>
      </c>
      <c r="X10546" s="23" t="str">
        <f aca="false">IF(T10546="","",IF(T10546=0,"No discount",IF(T10546&lt;=0.2,"Low (1-20%)",IF(T10546&lt;=0.4,"Medium (21-40%)","High (&gt;40%)"))))</f>
        <v/>
      </c>
      <c r="Y10546" s="23" t="str">
        <f aca="false">IF(AND(ISNUMBER(C10546),ISNUMBER(D10546)),D10546-C10546,"")</f>
        <v/>
      </c>
      <c r="Z10546" s="23" t="str">
        <f aca="false">IF(B10546="","",IF(MATCH(B10546,$B$2:$B$12000,0)=ROW()-1,1,0))</f>
        <v/>
      </c>
    </row>
    <row r="10547" customFormat="false" ht="15" hidden="false" customHeight="false" outlineLevel="0" collapsed="false">
      <c r="V10547" s="23" t="str">
        <f aca="false">IF(ISNUMBER(C10547),YEAR(C10547),"")</f>
        <v/>
      </c>
      <c r="W10547" s="23" t="str">
        <f aca="false">IF(ISNUMBER(C10547),MONTH(C10547),"")</f>
        <v/>
      </c>
      <c r="X10547" s="23" t="str">
        <f aca="false">IF(T10547="","",IF(T10547=0,"No discount",IF(T10547&lt;=0.2,"Low (1-20%)",IF(T10547&lt;=0.4,"Medium (21-40%)","High (&gt;40%)"))))</f>
        <v/>
      </c>
      <c r="Y10547" s="23" t="str">
        <f aca="false">IF(AND(ISNUMBER(C10547),ISNUMBER(D10547)),D10547-C10547,"")</f>
        <v/>
      </c>
      <c r="Z10547" s="23" t="str">
        <f aca="false">IF(B10547="","",IF(MATCH(B10547,$B$2:$B$12000,0)=ROW()-1,1,0))</f>
        <v/>
      </c>
    </row>
    <row r="10548" customFormat="false" ht="15" hidden="false" customHeight="false" outlineLevel="0" collapsed="false">
      <c r="V10548" s="23" t="str">
        <f aca="false">IF(ISNUMBER(C10548),YEAR(C10548),"")</f>
        <v/>
      </c>
      <c r="W10548" s="23" t="str">
        <f aca="false">IF(ISNUMBER(C10548),MONTH(C10548),"")</f>
        <v/>
      </c>
      <c r="X10548" s="23" t="str">
        <f aca="false">IF(T10548="","",IF(T10548=0,"No discount",IF(T10548&lt;=0.2,"Low (1-20%)",IF(T10548&lt;=0.4,"Medium (21-40%)","High (&gt;40%)"))))</f>
        <v/>
      </c>
      <c r="Y10548" s="23" t="str">
        <f aca="false">IF(AND(ISNUMBER(C10548),ISNUMBER(D10548)),D10548-C10548,"")</f>
        <v/>
      </c>
      <c r="Z10548" s="23" t="str">
        <f aca="false">IF(B10548="","",IF(MATCH(B10548,$B$2:$B$12000,0)=ROW()-1,1,0))</f>
        <v/>
      </c>
    </row>
    <row r="10549" customFormat="false" ht="15" hidden="false" customHeight="false" outlineLevel="0" collapsed="false">
      <c r="V10549" s="23" t="str">
        <f aca="false">IF(ISNUMBER(C10549),YEAR(C10549),"")</f>
        <v/>
      </c>
      <c r="W10549" s="23" t="str">
        <f aca="false">IF(ISNUMBER(C10549),MONTH(C10549),"")</f>
        <v/>
      </c>
      <c r="X10549" s="23" t="str">
        <f aca="false">IF(T10549="","",IF(T10549=0,"No discount",IF(T10549&lt;=0.2,"Low (1-20%)",IF(T10549&lt;=0.4,"Medium (21-40%)","High (&gt;40%)"))))</f>
        <v/>
      </c>
      <c r="Y10549" s="23" t="str">
        <f aca="false">IF(AND(ISNUMBER(C10549),ISNUMBER(D10549)),D10549-C10549,"")</f>
        <v/>
      </c>
      <c r="Z10549" s="23" t="str">
        <f aca="false">IF(B10549="","",IF(MATCH(B10549,$B$2:$B$12000,0)=ROW()-1,1,0))</f>
        <v/>
      </c>
    </row>
    <row r="10550" customFormat="false" ht="15" hidden="false" customHeight="false" outlineLevel="0" collapsed="false">
      <c r="V10550" s="23" t="str">
        <f aca="false">IF(ISNUMBER(C10550),YEAR(C10550),"")</f>
        <v/>
      </c>
      <c r="W10550" s="23" t="str">
        <f aca="false">IF(ISNUMBER(C10550),MONTH(C10550),"")</f>
        <v/>
      </c>
      <c r="X10550" s="23" t="str">
        <f aca="false">IF(T10550="","",IF(T10550=0,"No discount",IF(T10550&lt;=0.2,"Low (1-20%)",IF(T10550&lt;=0.4,"Medium (21-40%)","High (&gt;40%)"))))</f>
        <v/>
      </c>
      <c r="Y10550" s="23" t="str">
        <f aca="false">IF(AND(ISNUMBER(C10550),ISNUMBER(D10550)),D10550-C10550,"")</f>
        <v/>
      </c>
      <c r="Z10550" s="23" t="str">
        <f aca="false">IF(B10550="","",IF(MATCH(B10550,$B$2:$B$12000,0)=ROW()-1,1,0))</f>
        <v/>
      </c>
    </row>
    <row r="10551" customFormat="false" ht="15" hidden="false" customHeight="false" outlineLevel="0" collapsed="false">
      <c r="V10551" s="23" t="str">
        <f aca="false">IF(ISNUMBER(C10551),YEAR(C10551),"")</f>
        <v/>
      </c>
      <c r="W10551" s="23" t="str">
        <f aca="false">IF(ISNUMBER(C10551),MONTH(C10551),"")</f>
        <v/>
      </c>
      <c r="X10551" s="23" t="str">
        <f aca="false">IF(T10551="","",IF(T10551=0,"No discount",IF(T10551&lt;=0.2,"Low (1-20%)",IF(T10551&lt;=0.4,"Medium (21-40%)","High (&gt;40%)"))))</f>
        <v/>
      </c>
      <c r="Y10551" s="23" t="str">
        <f aca="false">IF(AND(ISNUMBER(C10551),ISNUMBER(D10551)),D10551-C10551,"")</f>
        <v/>
      </c>
      <c r="Z10551" s="23" t="str">
        <f aca="false">IF(B10551="","",IF(MATCH(B10551,$B$2:$B$12000,0)=ROW()-1,1,0))</f>
        <v/>
      </c>
    </row>
    <row r="10552" customFormat="false" ht="15" hidden="false" customHeight="false" outlineLevel="0" collapsed="false">
      <c r="V10552" s="23" t="str">
        <f aca="false">IF(ISNUMBER(C10552),YEAR(C10552),"")</f>
        <v/>
      </c>
      <c r="W10552" s="23" t="str">
        <f aca="false">IF(ISNUMBER(C10552),MONTH(C10552),"")</f>
        <v/>
      </c>
      <c r="X10552" s="23" t="str">
        <f aca="false">IF(T10552="","",IF(T10552=0,"No discount",IF(T10552&lt;=0.2,"Low (1-20%)",IF(T10552&lt;=0.4,"Medium (21-40%)","High (&gt;40%)"))))</f>
        <v/>
      </c>
      <c r="Y10552" s="23" t="str">
        <f aca="false">IF(AND(ISNUMBER(C10552),ISNUMBER(D10552)),D10552-C10552,"")</f>
        <v/>
      </c>
      <c r="Z10552" s="23" t="str">
        <f aca="false">IF(B10552="","",IF(MATCH(B10552,$B$2:$B$12000,0)=ROW()-1,1,0))</f>
        <v/>
      </c>
    </row>
    <row r="10553" customFormat="false" ht="15" hidden="false" customHeight="false" outlineLevel="0" collapsed="false">
      <c r="V10553" s="23" t="str">
        <f aca="false">IF(ISNUMBER(C10553),YEAR(C10553),"")</f>
        <v/>
      </c>
      <c r="W10553" s="23" t="str">
        <f aca="false">IF(ISNUMBER(C10553),MONTH(C10553),"")</f>
        <v/>
      </c>
      <c r="X10553" s="23" t="str">
        <f aca="false">IF(T10553="","",IF(T10553=0,"No discount",IF(T10553&lt;=0.2,"Low (1-20%)",IF(T10553&lt;=0.4,"Medium (21-40%)","High (&gt;40%)"))))</f>
        <v/>
      </c>
      <c r="Y10553" s="23" t="str">
        <f aca="false">IF(AND(ISNUMBER(C10553),ISNUMBER(D10553)),D10553-C10553,"")</f>
        <v/>
      </c>
      <c r="Z10553" s="23" t="str">
        <f aca="false">IF(B10553="","",IF(MATCH(B10553,$B$2:$B$12000,0)=ROW()-1,1,0))</f>
        <v/>
      </c>
    </row>
    <row r="10554" customFormat="false" ht="15" hidden="false" customHeight="false" outlineLevel="0" collapsed="false">
      <c r="V10554" s="23" t="str">
        <f aca="false">IF(ISNUMBER(C10554),YEAR(C10554),"")</f>
        <v/>
      </c>
      <c r="W10554" s="23" t="str">
        <f aca="false">IF(ISNUMBER(C10554),MONTH(C10554),"")</f>
        <v/>
      </c>
      <c r="X10554" s="23" t="str">
        <f aca="false">IF(T10554="","",IF(T10554=0,"No discount",IF(T10554&lt;=0.2,"Low (1-20%)",IF(T10554&lt;=0.4,"Medium (21-40%)","High (&gt;40%)"))))</f>
        <v/>
      </c>
      <c r="Y10554" s="23" t="str">
        <f aca="false">IF(AND(ISNUMBER(C10554),ISNUMBER(D10554)),D10554-C10554,"")</f>
        <v/>
      </c>
      <c r="Z10554" s="23" t="str">
        <f aca="false">IF(B10554="","",IF(MATCH(B10554,$B$2:$B$12000,0)=ROW()-1,1,0))</f>
        <v/>
      </c>
    </row>
    <row r="10555" customFormat="false" ht="15" hidden="false" customHeight="false" outlineLevel="0" collapsed="false">
      <c r="V10555" s="23" t="str">
        <f aca="false">IF(ISNUMBER(C10555),YEAR(C10555),"")</f>
        <v/>
      </c>
      <c r="W10555" s="23" t="str">
        <f aca="false">IF(ISNUMBER(C10555),MONTH(C10555),"")</f>
        <v/>
      </c>
      <c r="X10555" s="23" t="str">
        <f aca="false">IF(T10555="","",IF(T10555=0,"No discount",IF(T10555&lt;=0.2,"Low (1-20%)",IF(T10555&lt;=0.4,"Medium (21-40%)","High (&gt;40%)"))))</f>
        <v/>
      </c>
      <c r="Y10555" s="23" t="str">
        <f aca="false">IF(AND(ISNUMBER(C10555),ISNUMBER(D10555)),D10555-C10555,"")</f>
        <v/>
      </c>
      <c r="Z10555" s="23" t="str">
        <f aca="false">IF(B10555="","",IF(MATCH(B10555,$B$2:$B$12000,0)=ROW()-1,1,0))</f>
        <v/>
      </c>
    </row>
    <row r="10556" customFormat="false" ht="15" hidden="false" customHeight="false" outlineLevel="0" collapsed="false">
      <c r="V10556" s="23" t="str">
        <f aca="false">IF(ISNUMBER(C10556),YEAR(C10556),"")</f>
        <v/>
      </c>
      <c r="W10556" s="23" t="str">
        <f aca="false">IF(ISNUMBER(C10556),MONTH(C10556),"")</f>
        <v/>
      </c>
      <c r="X10556" s="23" t="str">
        <f aca="false">IF(T10556="","",IF(T10556=0,"No discount",IF(T10556&lt;=0.2,"Low (1-20%)",IF(T10556&lt;=0.4,"Medium (21-40%)","High (&gt;40%)"))))</f>
        <v/>
      </c>
      <c r="Y10556" s="23" t="str">
        <f aca="false">IF(AND(ISNUMBER(C10556),ISNUMBER(D10556)),D10556-C10556,"")</f>
        <v/>
      </c>
      <c r="Z10556" s="23" t="str">
        <f aca="false">IF(B10556="","",IF(MATCH(B10556,$B$2:$B$12000,0)=ROW()-1,1,0))</f>
        <v/>
      </c>
    </row>
    <row r="10557" customFormat="false" ht="15" hidden="false" customHeight="false" outlineLevel="0" collapsed="false">
      <c r="V10557" s="23" t="str">
        <f aca="false">IF(ISNUMBER(C10557),YEAR(C10557),"")</f>
        <v/>
      </c>
      <c r="W10557" s="23" t="str">
        <f aca="false">IF(ISNUMBER(C10557),MONTH(C10557),"")</f>
        <v/>
      </c>
      <c r="X10557" s="23" t="str">
        <f aca="false">IF(T10557="","",IF(T10557=0,"No discount",IF(T10557&lt;=0.2,"Low (1-20%)",IF(T10557&lt;=0.4,"Medium (21-40%)","High (&gt;40%)"))))</f>
        <v/>
      </c>
      <c r="Y10557" s="23" t="str">
        <f aca="false">IF(AND(ISNUMBER(C10557),ISNUMBER(D10557)),D10557-C10557,"")</f>
        <v/>
      </c>
      <c r="Z10557" s="23" t="str">
        <f aca="false">IF(B10557="","",IF(MATCH(B10557,$B$2:$B$12000,0)=ROW()-1,1,0))</f>
        <v/>
      </c>
    </row>
    <row r="10558" customFormat="false" ht="15" hidden="false" customHeight="false" outlineLevel="0" collapsed="false">
      <c r="V10558" s="23" t="str">
        <f aca="false">IF(ISNUMBER(C10558),YEAR(C10558),"")</f>
        <v/>
      </c>
      <c r="W10558" s="23" t="str">
        <f aca="false">IF(ISNUMBER(C10558),MONTH(C10558),"")</f>
        <v/>
      </c>
      <c r="X10558" s="23" t="str">
        <f aca="false">IF(T10558="","",IF(T10558=0,"No discount",IF(T10558&lt;=0.2,"Low (1-20%)",IF(T10558&lt;=0.4,"Medium (21-40%)","High (&gt;40%)"))))</f>
        <v/>
      </c>
      <c r="Y10558" s="23" t="str">
        <f aca="false">IF(AND(ISNUMBER(C10558),ISNUMBER(D10558)),D10558-C10558,"")</f>
        <v/>
      </c>
      <c r="Z10558" s="23" t="str">
        <f aca="false">IF(B10558="","",IF(MATCH(B10558,$B$2:$B$12000,0)=ROW()-1,1,0))</f>
        <v/>
      </c>
    </row>
    <row r="10559" customFormat="false" ht="15" hidden="false" customHeight="false" outlineLevel="0" collapsed="false">
      <c r="V10559" s="23" t="str">
        <f aca="false">IF(ISNUMBER(C10559),YEAR(C10559),"")</f>
        <v/>
      </c>
      <c r="W10559" s="23" t="str">
        <f aca="false">IF(ISNUMBER(C10559),MONTH(C10559),"")</f>
        <v/>
      </c>
      <c r="X10559" s="23" t="str">
        <f aca="false">IF(T10559="","",IF(T10559=0,"No discount",IF(T10559&lt;=0.2,"Low (1-20%)",IF(T10559&lt;=0.4,"Medium (21-40%)","High (&gt;40%)"))))</f>
        <v/>
      </c>
      <c r="Y10559" s="23" t="str">
        <f aca="false">IF(AND(ISNUMBER(C10559),ISNUMBER(D10559)),D10559-C10559,"")</f>
        <v/>
      </c>
      <c r="Z10559" s="23" t="str">
        <f aca="false">IF(B10559="","",IF(MATCH(B10559,$B$2:$B$12000,0)=ROW()-1,1,0))</f>
        <v/>
      </c>
    </row>
    <row r="10560" customFormat="false" ht="15" hidden="false" customHeight="false" outlineLevel="0" collapsed="false">
      <c r="V10560" s="23" t="str">
        <f aca="false">IF(ISNUMBER(C10560),YEAR(C10560),"")</f>
        <v/>
      </c>
      <c r="W10560" s="23" t="str">
        <f aca="false">IF(ISNUMBER(C10560),MONTH(C10560),"")</f>
        <v/>
      </c>
      <c r="X10560" s="23" t="str">
        <f aca="false">IF(T10560="","",IF(T10560=0,"No discount",IF(T10560&lt;=0.2,"Low (1-20%)",IF(T10560&lt;=0.4,"Medium (21-40%)","High (&gt;40%)"))))</f>
        <v/>
      </c>
      <c r="Y10560" s="23" t="str">
        <f aca="false">IF(AND(ISNUMBER(C10560),ISNUMBER(D10560)),D10560-C10560,"")</f>
        <v/>
      </c>
      <c r="Z10560" s="23" t="str">
        <f aca="false">IF(B10560="","",IF(MATCH(B10560,$B$2:$B$12000,0)=ROW()-1,1,0))</f>
        <v/>
      </c>
    </row>
    <row r="10561" customFormat="false" ht="15" hidden="false" customHeight="false" outlineLevel="0" collapsed="false">
      <c r="V10561" s="23" t="str">
        <f aca="false">IF(ISNUMBER(C10561),YEAR(C10561),"")</f>
        <v/>
      </c>
      <c r="W10561" s="23" t="str">
        <f aca="false">IF(ISNUMBER(C10561),MONTH(C10561),"")</f>
        <v/>
      </c>
      <c r="X10561" s="23" t="str">
        <f aca="false">IF(T10561="","",IF(T10561=0,"No discount",IF(T10561&lt;=0.2,"Low (1-20%)",IF(T10561&lt;=0.4,"Medium (21-40%)","High (&gt;40%)"))))</f>
        <v/>
      </c>
      <c r="Y10561" s="23" t="str">
        <f aca="false">IF(AND(ISNUMBER(C10561),ISNUMBER(D10561)),D10561-C10561,"")</f>
        <v/>
      </c>
      <c r="Z10561" s="23" t="str">
        <f aca="false">IF(B10561="","",IF(MATCH(B10561,$B$2:$B$12000,0)=ROW()-1,1,0))</f>
        <v/>
      </c>
    </row>
    <row r="10562" customFormat="false" ht="15" hidden="false" customHeight="false" outlineLevel="0" collapsed="false">
      <c r="V10562" s="23" t="str">
        <f aca="false">IF(ISNUMBER(C10562),YEAR(C10562),"")</f>
        <v/>
      </c>
      <c r="W10562" s="23" t="str">
        <f aca="false">IF(ISNUMBER(C10562),MONTH(C10562),"")</f>
        <v/>
      </c>
      <c r="X10562" s="23" t="str">
        <f aca="false">IF(T10562="","",IF(T10562=0,"No discount",IF(T10562&lt;=0.2,"Low (1-20%)",IF(T10562&lt;=0.4,"Medium (21-40%)","High (&gt;40%)"))))</f>
        <v/>
      </c>
      <c r="Y10562" s="23" t="str">
        <f aca="false">IF(AND(ISNUMBER(C10562),ISNUMBER(D10562)),D10562-C10562,"")</f>
        <v/>
      </c>
      <c r="Z10562" s="23" t="str">
        <f aca="false">IF(B10562="","",IF(MATCH(B10562,$B$2:$B$12000,0)=ROW()-1,1,0))</f>
        <v/>
      </c>
    </row>
    <row r="10563" customFormat="false" ht="15" hidden="false" customHeight="false" outlineLevel="0" collapsed="false">
      <c r="V10563" s="23" t="str">
        <f aca="false">IF(ISNUMBER(C10563),YEAR(C10563),"")</f>
        <v/>
      </c>
      <c r="W10563" s="23" t="str">
        <f aca="false">IF(ISNUMBER(C10563),MONTH(C10563),"")</f>
        <v/>
      </c>
      <c r="X10563" s="23" t="str">
        <f aca="false">IF(T10563="","",IF(T10563=0,"No discount",IF(T10563&lt;=0.2,"Low (1-20%)",IF(T10563&lt;=0.4,"Medium (21-40%)","High (&gt;40%)"))))</f>
        <v/>
      </c>
      <c r="Y10563" s="23" t="str">
        <f aca="false">IF(AND(ISNUMBER(C10563),ISNUMBER(D10563)),D10563-C10563,"")</f>
        <v/>
      </c>
      <c r="Z10563" s="23" t="str">
        <f aca="false">IF(B10563="","",IF(MATCH(B10563,$B$2:$B$12000,0)=ROW()-1,1,0))</f>
        <v/>
      </c>
    </row>
    <row r="10564" customFormat="false" ht="15" hidden="false" customHeight="false" outlineLevel="0" collapsed="false">
      <c r="V10564" s="23" t="str">
        <f aca="false">IF(ISNUMBER(C10564),YEAR(C10564),"")</f>
        <v/>
      </c>
      <c r="W10564" s="23" t="str">
        <f aca="false">IF(ISNUMBER(C10564),MONTH(C10564),"")</f>
        <v/>
      </c>
      <c r="X10564" s="23" t="str">
        <f aca="false">IF(T10564="","",IF(T10564=0,"No discount",IF(T10564&lt;=0.2,"Low (1-20%)",IF(T10564&lt;=0.4,"Medium (21-40%)","High (&gt;40%)"))))</f>
        <v/>
      </c>
      <c r="Y10564" s="23" t="str">
        <f aca="false">IF(AND(ISNUMBER(C10564),ISNUMBER(D10564)),D10564-C10564,"")</f>
        <v/>
      </c>
      <c r="Z10564" s="23" t="str">
        <f aca="false">IF(B10564="","",IF(MATCH(B10564,$B$2:$B$12000,0)=ROW()-1,1,0))</f>
        <v/>
      </c>
    </row>
    <row r="10565" customFormat="false" ht="15" hidden="false" customHeight="false" outlineLevel="0" collapsed="false">
      <c r="V10565" s="23" t="str">
        <f aca="false">IF(ISNUMBER(C10565),YEAR(C10565),"")</f>
        <v/>
      </c>
      <c r="W10565" s="23" t="str">
        <f aca="false">IF(ISNUMBER(C10565),MONTH(C10565),"")</f>
        <v/>
      </c>
      <c r="X10565" s="23" t="str">
        <f aca="false">IF(T10565="","",IF(T10565=0,"No discount",IF(T10565&lt;=0.2,"Low (1-20%)",IF(T10565&lt;=0.4,"Medium (21-40%)","High (&gt;40%)"))))</f>
        <v/>
      </c>
      <c r="Y10565" s="23" t="str">
        <f aca="false">IF(AND(ISNUMBER(C10565),ISNUMBER(D10565)),D10565-C10565,"")</f>
        <v/>
      </c>
      <c r="Z10565" s="23" t="str">
        <f aca="false">IF(B10565="","",IF(MATCH(B10565,$B$2:$B$12000,0)=ROW()-1,1,0))</f>
        <v/>
      </c>
    </row>
    <row r="10566" customFormat="false" ht="15" hidden="false" customHeight="false" outlineLevel="0" collapsed="false">
      <c r="V10566" s="23" t="str">
        <f aca="false">IF(ISNUMBER(C10566),YEAR(C10566),"")</f>
        <v/>
      </c>
      <c r="W10566" s="23" t="str">
        <f aca="false">IF(ISNUMBER(C10566),MONTH(C10566),"")</f>
        <v/>
      </c>
      <c r="X10566" s="23" t="str">
        <f aca="false">IF(T10566="","",IF(T10566=0,"No discount",IF(T10566&lt;=0.2,"Low (1-20%)",IF(T10566&lt;=0.4,"Medium (21-40%)","High (&gt;40%)"))))</f>
        <v/>
      </c>
      <c r="Y10566" s="23" t="str">
        <f aca="false">IF(AND(ISNUMBER(C10566),ISNUMBER(D10566)),D10566-C10566,"")</f>
        <v/>
      </c>
      <c r="Z10566" s="23" t="str">
        <f aca="false">IF(B10566="","",IF(MATCH(B10566,$B$2:$B$12000,0)=ROW()-1,1,0))</f>
        <v/>
      </c>
    </row>
    <row r="10567" customFormat="false" ht="15" hidden="false" customHeight="false" outlineLevel="0" collapsed="false">
      <c r="V10567" s="23" t="str">
        <f aca="false">IF(ISNUMBER(C10567),YEAR(C10567),"")</f>
        <v/>
      </c>
      <c r="W10567" s="23" t="str">
        <f aca="false">IF(ISNUMBER(C10567),MONTH(C10567),"")</f>
        <v/>
      </c>
      <c r="X10567" s="23" t="str">
        <f aca="false">IF(T10567="","",IF(T10567=0,"No discount",IF(T10567&lt;=0.2,"Low (1-20%)",IF(T10567&lt;=0.4,"Medium (21-40%)","High (&gt;40%)"))))</f>
        <v/>
      </c>
      <c r="Y10567" s="23" t="str">
        <f aca="false">IF(AND(ISNUMBER(C10567),ISNUMBER(D10567)),D10567-C10567,"")</f>
        <v/>
      </c>
      <c r="Z10567" s="23" t="str">
        <f aca="false">IF(B10567="","",IF(MATCH(B10567,$B$2:$B$12000,0)=ROW()-1,1,0))</f>
        <v/>
      </c>
    </row>
    <row r="10568" customFormat="false" ht="15" hidden="false" customHeight="false" outlineLevel="0" collapsed="false">
      <c r="V10568" s="23" t="str">
        <f aca="false">IF(ISNUMBER(C10568),YEAR(C10568),"")</f>
        <v/>
      </c>
      <c r="W10568" s="23" t="str">
        <f aca="false">IF(ISNUMBER(C10568),MONTH(C10568),"")</f>
        <v/>
      </c>
      <c r="X10568" s="23" t="str">
        <f aca="false">IF(T10568="","",IF(T10568=0,"No discount",IF(T10568&lt;=0.2,"Low (1-20%)",IF(T10568&lt;=0.4,"Medium (21-40%)","High (&gt;40%)"))))</f>
        <v/>
      </c>
      <c r="Y10568" s="23" t="str">
        <f aca="false">IF(AND(ISNUMBER(C10568),ISNUMBER(D10568)),D10568-C10568,"")</f>
        <v/>
      </c>
      <c r="Z10568" s="23" t="str">
        <f aca="false">IF(B10568="","",IF(MATCH(B10568,$B$2:$B$12000,0)=ROW()-1,1,0))</f>
        <v/>
      </c>
    </row>
    <row r="10569" customFormat="false" ht="15" hidden="false" customHeight="false" outlineLevel="0" collapsed="false">
      <c r="V10569" s="23" t="str">
        <f aca="false">IF(ISNUMBER(C10569),YEAR(C10569),"")</f>
        <v/>
      </c>
      <c r="W10569" s="23" t="str">
        <f aca="false">IF(ISNUMBER(C10569),MONTH(C10569),"")</f>
        <v/>
      </c>
      <c r="X10569" s="23" t="str">
        <f aca="false">IF(T10569="","",IF(T10569=0,"No discount",IF(T10569&lt;=0.2,"Low (1-20%)",IF(T10569&lt;=0.4,"Medium (21-40%)","High (&gt;40%)"))))</f>
        <v/>
      </c>
      <c r="Y10569" s="23" t="str">
        <f aca="false">IF(AND(ISNUMBER(C10569),ISNUMBER(D10569)),D10569-C10569,"")</f>
        <v/>
      </c>
      <c r="Z10569" s="23" t="str">
        <f aca="false">IF(B10569="","",IF(MATCH(B10569,$B$2:$B$12000,0)=ROW()-1,1,0))</f>
        <v/>
      </c>
    </row>
    <row r="10570" customFormat="false" ht="15" hidden="false" customHeight="false" outlineLevel="0" collapsed="false">
      <c r="V10570" s="23" t="str">
        <f aca="false">IF(ISNUMBER(C10570),YEAR(C10570),"")</f>
        <v/>
      </c>
      <c r="W10570" s="23" t="str">
        <f aca="false">IF(ISNUMBER(C10570),MONTH(C10570),"")</f>
        <v/>
      </c>
      <c r="X10570" s="23" t="str">
        <f aca="false">IF(T10570="","",IF(T10570=0,"No discount",IF(T10570&lt;=0.2,"Low (1-20%)",IF(T10570&lt;=0.4,"Medium (21-40%)","High (&gt;40%)"))))</f>
        <v/>
      </c>
      <c r="Y10570" s="23" t="str">
        <f aca="false">IF(AND(ISNUMBER(C10570),ISNUMBER(D10570)),D10570-C10570,"")</f>
        <v/>
      </c>
      <c r="Z10570" s="23" t="str">
        <f aca="false">IF(B10570="","",IF(MATCH(B10570,$B$2:$B$12000,0)=ROW()-1,1,0))</f>
        <v/>
      </c>
    </row>
    <row r="10571" customFormat="false" ht="15" hidden="false" customHeight="false" outlineLevel="0" collapsed="false">
      <c r="V10571" s="23" t="str">
        <f aca="false">IF(ISNUMBER(C10571),YEAR(C10571),"")</f>
        <v/>
      </c>
      <c r="W10571" s="23" t="str">
        <f aca="false">IF(ISNUMBER(C10571),MONTH(C10571),"")</f>
        <v/>
      </c>
      <c r="X10571" s="23" t="str">
        <f aca="false">IF(T10571="","",IF(T10571=0,"No discount",IF(T10571&lt;=0.2,"Low (1-20%)",IF(T10571&lt;=0.4,"Medium (21-40%)","High (&gt;40%)"))))</f>
        <v/>
      </c>
      <c r="Y10571" s="23" t="str">
        <f aca="false">IF(AND(ISNUMBER(C10571),ISNUMBER(D10571)),D10571-C10571,"")</f>
        <v/>
      </c>
      <c r="Z10571" s="23" t="str">
        <f aca="false">IF(B10571="","",IF(MATCH(B10571,$B$2:$B$12000,0)=ROW()-1,1,0))</f>
        <v/>
      </c>
    </row>
    <row r="10572" customFormat="false" ht="15" hidden="false" customHeight="false" outlineLevel="0" collapsed="false">
      <c r="V10572" s="23" t="str">
        <f aca="false">IF(ISNUMBER(C10572),YEAR(C10572),"")</f>
        <v/>
      </c>
      <c r="W10572" s="23" t="str">
        <f aca="false">IF(ISNUMBER(C10572),MONTH(C10572),"")</f>
        <v/>
      </c>
      <c r="X10572" s="23" t="str">
        <f aca="false">IF(T10572="","",IF(T10572=0,"No discount",IF(T10572&lt;=0.2,"Low (1-20%)",IF(T10572&lt;=0.4,"Medium (21-40%)","High (&gt;40%)"))))</f>
        <v/>
      </c>
      <c r="Y10572" s="23" t="str">
        <f aca="false">IF(AND(ISNUMBER(C10572),ISNUMBER(D10572)),D10572-C10572,"")</f>
        <v/>
      </c>
      <c r="Z10572" s="23" t="str">
        <f aca="false">IF(B10572="","",IF(MATCH(B10572,$B$2:$B$12000,0)=ROW()-1,1,0))</f>
        <v/>
      </c>
    </row>
    <row r="10573" customFormat="false" ht="15" hidden="false" customHeight="false" outlineLevel="0" collapsed="false">
      <c r="V10573" s="23" t="str">
        <f aca="false">IF(ISNUMBER(C10573),YEAR(C10573),"")</f>
        <v/>
      </c>
      <c r="W10573" s="23" t="str">
        <f aca="false">IF(ISNUMBER(C10573),MONTH(C10573),"")</f>
        <v/>
      </c>
      <c r="X10573" s="23" t="str">
        <f aca="false">IF(T10573="","",IF(T10573=0,"No discount",IF(T10573&lt;=0.2,"Low (1-20%)",IF(T10573&lt;=0.4,"Medium (21-40%)","High (&gt;40%)"))))</f>
        <v/>
      </c>
      <c r="Y10573" s="23" t="str">
        <f aca="false">IF(AND(ISNUMBER(C10573),ISNUMBER(D10573)),D10573-C10573,"")</f>
        <v/>
      </c>
      <c r="Z10573" s="23" t="str">
        <f aca="false">IF(B10573="","",IF(MATCH(B10573,$B$2:$B$12000,0)=ROW()-1,1,0))</f>
        <v/>
      </c>
    </row>
    <row r="10574" customFormat="false" ht="15" hidden="false" customHeight="false" outlineLevel="0" collapsed="false">
      <c r="V10574" s="23" t="str">
        <f aca="false">IF(ISNUMBER(C10574),YEAR(C10574),"")</f>
        <v/>
      </c>
      <c r="W10574" s="23" t="str">
        <f aca="false">IF(ISNUMBER(C10574),MONTH(C10574),"")</f>
        <v/>
      </c>
      <c r="X10574" s="23" t="str">
        <f aca="false">IF(T10574="","",IF(T10574=0,"No discount",IF(T10574&lt;=0.2,"Low (1-20%)",IF(T10574&lt;=0.4,"Medium (21-40%)","High (&gt;40%)"))))</f>
        <v/>
      </c>
      <c r="Y10574" s="23" t="str">
        <f aca="false">IF(AND(ISNUMBER(C10574),ISNUMBER(D10574)),D10574-C10574,"")</f>
        <v/>
      </c>
      <c r="Z10574" s="23" t="str">
        <f aca="false">IF(B10574="","",IF(MATCH(B10574,$B$2:$B$12000,0)=ROW()-1,1,0))</f>
        <v/>
      </c>
    </row>
    <row r="10575" customFormat="false" ht="15" hidden="false" customHeight="false" outlineLevel="0" collapsed="false">
      <c r="V10575" s="23" t="str">
        <f aca="false">IF(ISNUMBER(C10575),YEAR(C10575),"")</f>
        <v/>
      </c>
      <c r="W10575" s="23" t="str">
        <f aca="false">IF(ISNUMBER(C10575),MONTH(C10575),"")</f>
        <v/>
      </c>
      <c r="X10575" s="23" t="str">
        <f aca="false">IF(T10575="","",IF(T10575=0,"No discount",IF(T10575&lt;=0.2,"Low (1-20%)",IF(T10575&lt;=0.4,"Medium (21-40%)","High (&gt;40%)"))))</f>
        <v/>
      </c>
      <c r="Y10575" s="23" t="str">
        <f aca="false">IF(AND(ISNUMBER(C10575),ISNUMBER(D10575)),D10575-C10575,"")</f>
        <v/>
      </c>
      <c r="Z10575" s="23" t="str">
        <f aca="false">IF(B10575="","",IF(MATCH(B10575,$B$2:$B$12000,0)=ROW()-1,1,0))</f>
        <v/>
      </c>
    </row>
    <row r="10576" customFormat="false" ht="15" hidden="false" customHeight="false" outlineLevel="0" collapsed="false">
      <c r="V10576" s="23" t="str">
        <f aca="false">IF(ISNUMBER(C10576),YEAR(C10576),"")</f>
        <v/>
      </c>
      <c r="W10576" s="23" t="str">
        <f aca="false">IF(ISNUMBER(C10576),MONTH(C10576),"")</f>
        <v/>
      </c>
      <c r="X10576" s="23" t="str">
        <f aca="false">IF(T10576="","",IF(T10576=0,"No discount",IF(T10576&lt;=0.2,"Low (1-20%)",IF(T10576&lt;=0.4,"Medium (21-40%)","High (&gt;40%)"))))</f>
        <v/>
      </c>
      <c r="Y10576" s="23" t="str">
        <f aca="false">IF(AND(ISNUMBER(C10576),ISNUMBER(D10576)),D10576-C10576,"")</f>
        <v/>
      </c>
      <c r="Z10576" s="23" t="str">
        <f aca="false">IF(B10576="","",IF(MATCH(B10576,$B$2:$B$12000,0)=ROW()-1,1,0))</f>
        <v/>
      </c>
    </row>
    <row r="10577" customFormat="false" ht="15" hidden="false" customHeight="false" outlineLevel="0" collapsed="false">
      <c r="V10577" s="23" t="str">
        <f aca="false">IF(ISNUMBER(C10577),YEAR(C10577),"")</f>
        <v/>
      </c>
      <c r="W10577" s="23" t="str">
        <f aca="false">IF(ISNUMBER(C10577),MONTH(C10577),"")</f>
        <v/>
      </c>
      <c r="X10577" s="23" t="str">
        <f aca="false">IF(T10577="","",IF(T10577=0,"No discount",IF(T10577&lt;=0.2,"Low (1-20%)",IF(T10577&lt;=0.4,"Medium (21-40%)","High (&gt;40%)"))))</f>
        <v/>
      </c>
      <c r="Y10577" s="23" t="str">
        <f aca="false">IF(AND(ISNUMBER(C10577),ISNUMBER(D10577)),D10577-C10577,"")</f>
        <v/>
      </c>
      <c r="Z10577" s="23" t="str">
        <f aca="false">IF(B10577="","",IF(MATCH(B10577,$B$2:$B$12000,0)=ROW()-1,1,0))</f>
        <v/>
      </c>
    </row>
    <row r="10578" customFormat="false" ht="15" hidden="false" customHeight="false" outlineLevel="0" collapsed="false">
      <c r="V10578" s="23" t="str">
        <f aca="false">IF(ISNUMBER(C10578),YEAR(C10578),"")</f>
        <v/>
      </c>
      <c r="W10578" s="23" t="str">
        <f aca="false">IF(ISNUMBER(C10578),MONTH(C10578),"")</f>
        <v/>
      </c>
      <c r="X10578" s="23" t="str">
        <f aca="false">IF(T10578="","",IF(T10578=0,"No discount",IF(T10578&lt;=0.2,"Low (1-20%)",IF(T10578&lt;=0.4,"Medium (21-40%)","High (&gt;40%)"))))</f>
        <v/>
      </c>
      <c r="Y10578" s="23" t="str">
        <f aca="false">IF(AND(ISNUMBER(C10578),ISNUMBER(D10578)),D10578-C10578,"")</f>
        <v/>
      </c>
      <c r="Z10578" s="23" t="str">
        <f aca="false">IF(B10578="","",IF(MATCH(B10578,$B$2:$B$12000,0)=ROW()-1,1,0))</f>
        <v/>
      </c>
    </row>
    <row r="10579" customFormat="false" ht="15" hidden="false" customHeight="false" outlineLevel="0" collapsed="false">
      <c r="V10579" s="23" t="str">
        <f aca="false">IF(ISNUMBER(C10579),YEAR(C10579),"")</f>
        <v/>
      </c>
      <c r="W10579" s="23" t="str">
        <f aca="false">IF(ISNUMBER(C10579),MONTH(C10579),"")</f>
        <v/>
      </c>
      <c r="X10579" s="23" t="str">
        <f aca="false">IF(T10579="","",IF(T10579=0,"No discount",IF(T10579&lt;=0.2,"Low (1-20%)",IF(T10579&lt;=0.4,"Medium (21-40%)","High (&gt;40%)"))))</f>
        <v/>
      </c>
      <c r="Y10579" s="23" t="str">
        <f aca="false">IF(AND(ISNUMBER(C10579),ISNUMBER(D10579)),D10579-C10579,"")</f>
        <v/>
      </c>
      <c r="Z10579" s="23" t="str">
        <f aca="false">IF(B10579="","",IF(MATCH(B10579,$B$2:$B$12000,0)=ROW()-1,1,0))</f>
        <v/>
      </c>
    </row>
    <row r="10580" customFormat="false" ht="15" hidden="false" customHeight="false" outlineLevel="0" collapsed="false">
      <c r="V10580" s="23" t="str">
        <f aca="false">IF(ISNUMBER(C10580),YEAR(C10580),"")</f>
        <v/>
      </c>
      <c r="W10580" s="23" t="str">
        <f aca="false">IF(ISNUMBER(C10580),MONTH(C10580),"")</f>
        <v/>
      </c>
      <c r="X10580" s="23" t="str">
        <f aca="false">IF(T10580="","",IF(T10580=0,"No discount",IF(T10580&lt;=0.2,"Low (1-20%)",IF(T10580&lt;=0.4,"Medium (21-40%)","High (&gt;40%)"))))</f>
        <v/>
      </c>
      <c r="Y10580" s="23" t="str">
        <f aca="false">IF(AND(ISNUMBER(C10580),ISNUMBER(D10580)),D10580-C10580,"")</f>
        <v/>
      </c>
      <c r="Z10580" s="23" t="str">
        <f aca="false">IF(B10580="","",IF(MATCH(B10580,$B$2:$B$12000,0)=ROW()-1,1,0))</f>
        <v/>
      </c>
    </row>
    <row r="10581" customFormat="false" ht="15" hidden="false" customHeight="false" outlineLevel="0" collapsed="false">
      <c r="V10581" s="23" t="str">
        <f aca="false">IF(ISNUMBER(C10581),YEAR(C10581),"")</f>
        <v/>
      </c>
      <c r="W10581" s="23" t="str">
        <f aca="false">IF(ISNUMBER(C10581),MONTH(C10581),"")</f>
        <v/>
      </c>
      <c r="X10581" s="23" t="str">
        <f aca="false">IF(T10581="","",IF(T10581=0,"No discount",IF(T10581&lt;=0.2,"Low (1-20%)",IF(T10581&lt;=0.4,"Medium (21-40%)","High (&gt;40%)"))))</f>
        <v/>
      </c>
      <c r="Y10581" s="23" t="str">
        <f aca="false">IF(AND(ISNUMBER(C10581),ISNUMBER(D10581)),D10581-C10581,"")</f>
        <v/>
      </c>
      <c r="Z10581" s="23" t="str">
        <f aca="false">IF(B10581="","",IF(MATCH(B10581,$B$2:$B$12000,0)=ROW()-1,1,0))</f>
        <v/>
      </c>
    </row>
    <row r="10582" customFormat="false" ht="15" hidden="false" customHeight="false" outlineLevel="0" collapsed="false">
      <c r="V10582" s="23" t="str">
        <f aca="false">IF(ISNUMBER(C10582),YEAR(C10582),"")</f>
        <v/>
      </c>
      <c r="W10582" s="23" t="str">
        <f aca="false">IF(ISNUMBER(C10582),MONTH(C10582),"")</f>
        <v/>
      </c>
      <c r="X10582" s="23" t="str">
        <f aca="false">IF(T10582="","",IF(T10582=0,"No discount",IF(T10582&lt;=0.2,"Low (1-20%)",IF(T10582&lt;=0.4,"Medium (21-40%)","High (&gt;40%)"))))</f>
        <v/>
      </c>
      <c r="Y10582" s="23" t="str">
        <f aca="false">IF(AND(ISNUMBER(C10582),ISNUMBER(D10582)),D10582-C10582,"")</f>
        <v/>
      </c>
      <c r="Z10582" s="23" t="str">
        <f aca="false">IF(B10582="","",IF(MATCH(B10582,$B$2:$B$12000,0)=ROW()-1,1,0))</f>
        <v/>
      </c>
    </row>
    <row r="10583" customFormat="false" ht="15" hidden="false" customHeight="false" outlineLevel="0" collapsed="false">
      <c r="V10583" s="23" t="str">
        <f aca="false">IF(ISNUMBER(C10583),YEAR(C10583),"")</f>
        <v/>
      </c>
      <c r="W10583" s="23" t="str">
        <f aca="false">IF(ISNUMBER(C10583),MONTH(C10583),"")</f>
        <v/>
      </c>
      <c r="X10583" s="23" t="str">
        <f aca="false">IF(T10583="","",IF(T10583=0,"No discount",IF(T10583&lt;=0.2,"Low (1-20%)",IF(T10583&lt;=0.4,"Medium (21-40%)","High (&gt;40%)"))))</f>
        <v/>
      </c>
      <c r="Y10583" s="23" t="str">
        <f aca="false">IF(AND(ISNUMBER(C10583),ISNUMBER(D10583)),D10583-C10583,"")</f>
        <v/>
      </c>
      <c r="Z10583" s="23" t="str">
        <f aca="false">IF(B10583="","",IF(MATCH(B10583,$B$2:$B$12000,0)=ROW()-1,1,0))</f>
        <v/>
      </c>
    </row>
    <row r="10584" customFormat="false" ht="15" hidden="false" customHeight="false" outlineLevel="0" collapsed="false">
      <c r="V10584" s="23" t="str">
        <f aca="false">IF(ISNUMBER(C10584),YEAR(C10584),"")</f>
        <v/>
      </c>
      <c r="W10584" s="23" t="str">
        <f aca="false">IF(ISNUMBER(C10584),MONTH(C10584),"")</f>
        <v/>
      </c>
      <c r="X10584" s="23" t="str">
        <f aca="false">IF(T10584="","",IF(T10584=0,"No discount",IF(T10584&lt;=0.2,"Low (1-20%)",IF(T10584&lt;=0.4,"Medium (21-40%)","High (&gt;40%)"))))</f>
        <v/>
      </c>
      <c r="Y10584" s="23" t="str">
        <f aca="false">IF(AND(ISNUMBER(C10584),ISNUMBER(D10584)),D10584-C10584,"")</f>
        <v/>
      </c>
      <c r="Z10584" s="23" t="str">
        <f aca="false">IF(B10584="","",IF(MATCH(B10584,$B$2:$B$12000,0)=ROW()-1,1,0))</f>
        <v/>
      </c>
    </row>
    <row r="10585" customFormat="false" ht="15" hidden="false" customHeight="false" outlineLevel="0" collapsed="false">
      <c r="V10585" s="23" t="str">
        <f aca="false">IF(ISNUMBER(C10585),YEAR(C10585),"")</f>
        <v/>
      </c>
      <c r="W10585" s="23" t="str">
        <f aca="false">IF(ISNUMBER(C10585),MONTH(C10585),"")</f>
        <v/>
      </c>
      <c r="X10585" s="23" t="str">
        <f aca="false">IF(T10585="","",IF(T10585=0,"No discount",IF(T10585&lt;=0.2,"Low (1-20%)",IF(T10585&lt;=0.4,"Medium (21-40%)","High (&gt;40%)"))))</f>
        <v/>
      </c>
      <c r="Y10585" s="23" t="str">
        <f aca="false">IF(AND(ISNUMBER(C10585),ISNUMBER(D10585)),D10585-C10585,"")</f>
        <v/>
      </c>
      <c r="Z10585" s="23" t="str">
        <f aca="false">IF(B10585="","",IF(MATCH(B10585,$B$2:$B$12000,0)=ROW()-1,1,0))</f>
        <v/>
      </c>
    </row>
    <row r="10586" customFormat="false" ht="15" hidden="false" customHeight="false" outlineLevel="0" collapsed="false">
      <c r="V10586" s="23" t="str">
        <f aca="false">IF(ISNUMBER(C10586),YEAR(C10586),"")</f>
        <v/>
      </c>
      <c r="W10586" s="23" t="str">
        <f aca="false">IF(ISNUMBER(C10586),MONTH(C10586),"")</f>
        <v/>
      </c>
      <c r="X10586" s="23" t="str">
        <f aca="false">IF(T10586="","",IF(T10586=0,"No discount",IF(T10586&lt;=0.2,"Low (1-20%)",IF(T10586&lt;=0.4,"Medium (21-40%)","High (&gt;40%)"))))</f>
        <v/>
      </c>
      <c r="Y10586" s="23" t="str">
        <f aca="false">IF(AND(ISNUMBER(C10586),ISNUMBER(D10586)),D10586-C10586,"")</f>
        <v/>
      </c>
      <c r="Z10586" s="23" t="str">
        <f aca="false">IF(B10586="","",IF(MATCH(B10586,$B$2:$B$12000,0)=ROW()-1,1,0))</f>
        <v/>
      </c>
    </row>
    <row r="10587" customFormat="false" ht="15" hidden="false" customHeight="false" outlineLevel="0" collapsed="false">
      <c r="V10587" s="23" t="str">
        <f aca="false">IF(ISNUMBER(C10587),YEAR(C10587),"")</f>
        <v/>
      </c>
      <c r="W10587" s="23" t="str">
        <f aca="false">IF(ISNUMBER(C10587),MONTH(C10587),"")</f>
        <v/>
      </c>
      <c r="X10587" s="23" t="str">
        <f aca="false">IF(T10587="","",IF(T10587=0,"No discount",IF(T10587&lt;=0.2,"Low (1-20%)",IF(T10587&lt;=0.4,"Medium (21-40%)","High (&gt;40%)"))))</f>
        <v/>
      </c>
      <c r="Y10587" s="23" t="str">
        <f aca="false">IF(AND(ISNUMBER(C10587),ISNUMBER(D10587)),D10587-C10587,"")</f>
        <v/>
      </c>
      <c r="Z10587" s="23" t="str">
        <f aca="false">IF(B10587="","",IF(MATCH(B10587,$B$2:$B$12000,0)=ROW()-1,1,0))</f>
        <v/>
      </c>
    </row>
    <row r="10588" customFormat="false" ht="15" hidden="false" customHeight="false" outlineLevel="0" collapsed="false">
      <c r="V10588" s="23" t="str">
        <f aca="false">IF(ISNUMBER(C10588),YEAR(C10588),"")</f>
        <v/>
      </c>
      <c r="W10588" s="23" t="str">
        <f aca="false">IF(ISNUMBER(C10588),MONTH(C10588),"")</f>
        <v/>
      </c>
      <c r="X10588" s="23" t="str">
        <f aca="false">IF(T10588="","",IF(T10588=0,"No discount",IF(T10588&lt;=0.2,"Low (1-20%)",IF(T10588&lt;=0.4,"Medium (21-40%)","High (&gt;40%)"))))</f>
        <v/>
      </c>
      <c r="Y10588" s="23" t="str">
        <f aca="false">IF(AND(ISNUMBER(C10588),ISNUMBER(D10588)),D10588-C10588,"")</f>
        <v/>
      </c>
      <c r="Z10588" s="23" t="str">
        <f aca="false">IF(B10588="","",IF(MATCH(B10588,$B$2:$B$12000,0)=ROW()-1,1,0))</f>
        <v/>
      </c>
    </row>
    <row r="10589" customFormat="false" ht="15" hidden="false" customHeight="false" outlineLevel="0" collapsed="false">
      <c r="V10589" s="23" t="str">
        <f aca="false">IF(ISNUMBER(C10589),YEAR(C10589),"")</f>
        <v/>
      </c>
      <c r="W10589" s="23" t="str">
        <f aca="false">IF(ISNUMBER(C10589),MONTH(C10589),"")</f>
        <v/>
      </c>
      <c r="X10589" s="23" t="str">
        <f aca="false">IF(T10589="","",IF(T10589=0,"No discount",IF(T10589&lt;=0.2,"Low (1-20%)",IF(T10589&lt;=0.4,"Medium (21-40%)","High (&gt;40%)"))))</f>
        <v/>
      </c>
      <c r="Y10589" s="23" t="str">
        <f aca="false">IF(AND(ISNUMBER(C10589),ISNUMBER(D10589)),D10589-C10589,"")</f>
        <v/>
      </c>
      <c r="Z10589" s="23" t="str">
        <f aca="false">IF(B10589="","",IF(MATCH(B10589,$B$2:$B$12000,0)=ROW()-1,1,0))</f>
        <v/>
      </c>
    </row>
    <row r="10590" customFormat="false" ht="15" hidden="false" customHeight="false" outlineLevel="0" collapsed="false">
      <c r="V10590" s="23" t="str">
        <f aca="false">IF(ISNUMBER(C10590),YEAR(C10590),"")</f>
        <v/>
      </c>
      <c r="W10590" s="23" t="str">
        <f aca="false">IF(ISNUMBER(C10590),MONTH(C10590),"")</f>
        <v/>
      </c>
      <c r="X10590" s="23" t="str">
        <f aca="false">IF(T10590="","",IF(T10590=0,"No discount",IF(T10590&lt;=0.2,"Low (1-20%)",IF(T10590&lt;=0.4,"Medium (21-40%)","High (&gt;40%)"))))</f>
        <v/>
      </c>
      <c r="Y10590" s="23" t="str">
        <f aca="false">IF(AND(ISNUMBER(C10590),ISNUMBER(D10590)),D10590-C10590,"")</f>
        <v/>
      </c>
      <c r="Z10590" s="23" t="str">
        <f aca="false">IF(B10590="","",IF(MATCH(B10590,$B$2:$B$12000,0)=ROW()-1,1,0))</f>
        <v/>
      </c>
    </row>
    <row r="10591" customFormat="false" ht="15" hidden="false" customHeight="false" outlineLevel="0" collapsed="false">
      <c r="V10591" s="23" t="str">
        <f aca="false">IF(ISNUMBER(C10591),YEAR(C10591),"")</f>
        <v/>
      </c>
      <c r="W10591" s="23" t="str">
        <f aca="false">IF(ISNUMBER(C10591),MONTH(C10591),"")</f>
        <v/>
      </c>
      <c r="X10591" s="23" t="str">
        <f aca="false">IF(T10591="","",IF(T10591=0,"No discount",IF(T10591&lt;=0.2,"Low (1-20%)",IF(T10591&lt;=0.4,"Medium (21-40%)","High (&gt;40%)"))))</f>
        <v/>
      </c>
      <c r="Y10591" s="23" t="str">
        <f aca="false">IF(AND(ISNUMBER(C10591),ISNUMBER(D10591)),D10591-C10591,"")</f>
        <v/>
      </c>
      <c r="Z10591" s="23" t="str">
        <f aca="false">IF(B10591="","",IF(MATCH(B10591,$B$2:$B$12000,0)=ROW()-1,1,0))</f>
        <v/>
      </c>
    </row>
    <row r="10592" customFormat="false" ht="15" hidden="false" customHeight="false" outlineLevel="0" collapsed="false">
      <c r="V10592" s="23" t="str">
        <f aca="false">IF(ISNUMBER(C10592),YEAR(C10592),"")</f>
        <v/>
      </c>
      <c r="W10592" s="23" t="str">
        <f aca="false">IF(ISNUMBER(C10592),MONTH(C10592),"")</f>
        <v/>
      </c>
      <c r="X10592" s="23" t="str">
        <f aca="false">IF(T10592="","",IF(T10592=0,"No discount",IF(T10592&lt;=0.2,"Low (1-20%)",IF(T10592&lt;=0.4,"Medium (21-40%)","High (&gt;40%)"))))</f>
        <v/>
      </c>
      <c r="Y10592" s="23" t="str">
        <f aca="false">IF(AND(ISNUMBER(C10592),ISNUMBER(D10592)),D10592-C10592,"")</f>
        <v/>
      </c>
      <c r="Z10592" s="23" t="str">
        <f aca="false">IF(B10592="","",IF(MATCH(B10592,$B$2:$B$12000,0)=ROW()-1,1,0))</f>
        <v/>
      </c>
    </row>
    <row r="10593" customFormat="false" ht="15" hidden="false" customHeight="false" outlineLevel="0" collapsed="false">
      <c r="V10593" s="23" t="str">
        <f aca="false">IF(ISNUMBER(C10593),YEAR(C10593),"")</f>
        <v/>
      </c>
      <c r="W10593" s="23" t="str">
        <f aca="false">IF(ISNUMBER(C10593),MONTH(C10593),"")</f>
        <v/>
      </c>
      <c r="X10593" s="23" t="str">
        <f aca="false">IF(T10593="","",IF(T10593=0,"No discount",IF(T10593&lt;=0.2,"Low (1-20%)",IF(T10593&lt;=0.4,"Medium (21-40%)","High (&gt;40%)"))))</f>
        <v/>
      </c>
      <c r="Y10593" s="23" t="str">
        <f aca="false">IF(AND(ISNUMBER(C10593),ISNUMBER(D10593)),D10593-C10593,"")</f>
        <v/>
      </c>
      <c r="Z10593" s="23" t="str">
        <f aca="false">IF(B10593="","",IF(MATCH(B10593,$B$2:$B$12000,0)=ROW()-1,1,0))</f>
        <v/>
      </c>
    </row>
    <row r="10594" customFormat="false" ht="15" hidden="false" customHeight="false" outlineLevel="0" collapsed="false">
      <c r="V10594" s="23" t="str">
        <f aca="false">IF(ISNUMBER(C10594),YEAR(C10594),"")</f>
        <v/>
      </c>
      <c r="W10594" s="23" t="str">
        <f aca="false">IF(ISNUMBER(C10594),MONTH(C10594),"")</f>
        <v/>
      </c>
      <c r="X10594" s="23" t="str">
        <f aca="false">IF(T10594="","",IF(T10594=0,"No discount",IF(T10594&lt;=0.2,"Low (1-20%)",IF(T10594&lt;=0.4,"Medium (21-40%)","High (&gt;40%)"))))</f>
        <v/>
      </c>
      <c r="Y10594" s="23" t="str">
        <f aca="false">IF(AND(ISNUMBER(C10594),ISNUMBER(D10594)),D10594-C10594,"")</f>
        <v/>
      </c>
      <c r="Z10594" s="23" t="str">
        <f aca="false">IF(B10594="","",IF(MATCH(B10594,$B$2:$B$12000,0)=ROW()-1,1,0))</f>
        <v/>
      </c>
    </row>
    <row r="10595" customFormat="false" ht="15" hidden="false" customHeight="false" outlineLevel="0" collapsed="false">
      <c r="V10595" s="23" t="str">
        <f aca="false">IF(ISNUMBER(C10595),YEAR(C10595),"")</f>
        <v/>
      </c>
      <c r="W10595" s="23" t="str">
        <f aca="false">IF(ISNUMBER(C10595),MONTH(C10595),"")</f>
        <v/>
      </c>
      <c r="X10595" s="23" t="str">
        <f aca="false">IF(T10595="","",IF(T10595=0,"No discount",IF(T10595&lt;=0.2,"Low (1-20%)",IF(T10595&lt;=0.4,"Medium (21-40%)","High (&gt;40%)"))))</f>
        <v/>
      </c>
      <c r="Y10595" s="23" t="str">
        <f aca="false">IF(AND(ISNUMBER(C10595),ISNUMBER(D10595)),D10595-C10595,"")</f>
        <v/>
      </c>
      <c r="Z10595" s="23" t="str">
        <f aca="false">IF(B10595="","",IF(MATCH(B10595,$B$2:$B$12000,0)=ROW()-1,1,0))</f>
        <v/>
      </c>
    </row>
    <row r="10596" customFormat="false" ht="15" hidden="false" customHeight="false" outlineLevel="0" collapsed="false">
      <c r="V10596" s="23" t="str">
        <f aca="false">IF(ISNUMBER(C10596),YEAR(C10596),"")</f>
        <v/>
      </c>
      <c r="W10596" s="23" t="str">
        <f aca="false">IF(ISNUMBER(C10596),MONTH(C10596),"")</f>
        <v/>
      </c>
      <c r="X10596" s="23" t="str">
        <f aca="false">IF(T10596="","",IF(T10596=0,"No discount",IF(T10596&lt;=0.2,"Low (1-20%)",IF(T10596&lt;=0.4,"Medium (21-40%)","High (&gt;40%)"))))</f>
        <v/>
      </c>
      <c r="Y10596" s="23" t="str">
        <f aca="false">IF(AND(ISNUMBER(C10596),ISNUMBER(D10596)),D10596-C10596,"")</f>
        <v/>
      </c>
      <c r="Z10596" s="23" t="str">
        <f aca="false">IF(B10596="","",IF(MATCH(B10596,$B$2:$B$12000,0)=ROW()-1,1,0))</f>
        <v/>
      </c>
    </row>
    <row r="10597" customFormat="false" ht="15" hidden="false" customHeight="false" outlineLevel="0" collapsed="false">
      <c r="V10597" s="23" t="str">
        <f aca="false">IF(ISNUMBER(C10597),YEAR(C10597),"")</f>
        <v/>
      </c>
      <c r="W10597" s="23" t="str">
        <f aca="false">IF(ISNUMBER(C10597),MONTH(C10597),"")</f>
        <v/>
      </c>
      <c r="X10597" s="23" t="str">
        <f aca="false">IF(T10597="","",IF(T10597=0,"No discount",IF(T10597&lt;=0.2,"Low (1-20%)",IF(T10597&lt;=0.4,"Medium (21-40%)","High (&gt;40%)"))))</f>
        <v/>
      </c>
      <c r="Y10597" s="23" t="str">
        <f aca="false">IF(AND(ISNUMBER(C10597),ISNUMBER(D10597)),D10597-C10597,"")</f>
        <v/>
      </c>
      <c r="Z10597" s="23" t="str">
        <f aca="false">IF(B10597="","",IF(MATCH(B10597,$B$2:$B$12000,0)=ROW()-1,1,0))</f>
        <v/>
      </c>
    </row>
    <row r="10598" customFormat="false" ht="15" hidden="false" customHeight="false" outlineLevel="0" collapsed="false">
      <c r="V10598" s="23" t="str">
        <f aca="false">IF(ISNUMBER(C10598),YEAR(C10598),"")</f>
        <v/>
      </c>
      <c r="W10598" s="23" t="str">
        <f aca="false">IF(ISNUMBER(C10598),MONTH(C10598),"")</f>
        <v/>
      </c>
      <c r="X10598" s="23" t="str">
        <f aca="false">IF(T10598="","",IF(T10598=0,"No discount",IF(T10598&lt;=0.2,"Low (1-20%)",IF(T10598&lt;=0.4,"Medium (21-40%)","High (&gt;40%)"))))</f>
        <v/>
      </c>
      <c r="Y10598" s="23" t="str">
        <f aca="false">IF(AND(ISNUMBER(C10598),ISNUMBER(D10598)),D10598-C10598,"")</f>
        <v/>
      </c>
      <c r="Z10598" s="23" t="str">
        <f aca="false">IF(B10598="","",IF(MATCH(B10598,$B$2:$B$12000,0)=ROW()-1,1,0))</f>
        <v/>
      </c>
    </row>
    <row r="10599" customFormat="false" ht="15" hidden="false" customHeight="false" outlineLevel="0" collapsed="false">
      <c r="V10599" s="23" t="str">
        <f aca="false">IF(ISNUMBER(C10599),YEAR(C10599),"")</f>
        <v/>
      </c>
      <c r="W10599" s="23" t="str">
        <f aca="false">IF(ISNUMBER(C10599),MONTH(C10599),"")</f>
        <v/>
      </c>
      <c r="X10599" s="23" t="str">
        <f aca="false">IF(T10599="","",IF(T10599=0,"No discount",IF(T10599&lt;=0.2,"Low (1-20%)",IF(T10599&lt;=0.4,"Medium (21-40%)","High (&gt;40%)"))))</f>
        <v/>
      </c>
      <c r="Y10599" s="23" t="str">
        <f aca="false">IF(AND(ISNUMBER(C10599),ISNUMBER(D10599)),D10599-C10599,"")</f>
        <v/>
      </c>
      <c r="Z10599" s="23" t="str">
        <f aca="false">IF(B10599="","",IF(MATCH(B10599,$B$2:$B$12000,0)=ROW()-1,1,0))</f>
        <v/>
      </c>
    </row>
    <row r="10600" customFormat="false" ht="15" hidden="false" customHeight="false" outlineLevel="0" collapsed="false">
      <c r="V10600" s="23" t="str">
        <f aca="false">IF(ISNUMBER(C10600),YEAR(C10600),"")</f>
        <v/>
      </c>
      <c r="W10600" s="23" t="str">
        <f aca="false">IF(ISNUMBER(C10600),MONTH(C10600),"")</f>
        <v/>
      </c>
      <c r="X10600" s="23" t="str">
        <f aca="false">IF(T10600="","",IF(T10600=0,"No discount",IF(T10600&lt;=0.2,"Low (1-20%)",IF(T10600&lt;=0.4,"Medium (21-40%)","High (&gt;40%)"))))</f>
        <v/>
      </c>
      <c r="Y10600" s="23" t="str">
        <f aca="false">IF(AND(ISNUMBER(C10600),ISNUMBER(D10600)),D10600-C10600,"")</f>
        <v/>
      </c>
      <c r="Z10600" s="23" t="str">
        <f aca="false">IF(B10600="","",IF(MATCH(B10600,$B$2:$B$12000,0)=ROW()-1,1,0))</f>
        <v/>
      </c>
    </row>
    <row r="10601" customFormat="false" ht="15" hidden="false" customHeight="false" outlineLevel="0" collapsed="false">
      <c r="V10601" s="23" t="str">
        <f aca="false">IF(ISNUMBER(C10601),YEAR(C10601),"")</f>
        <v/>
      </c>
      <c r="W10601" s="23" t="str">
        <f aca="false">IF(ISNUMBER(C10601),MONTH(C10601),"")</f>
        <v/>
      </c>
      <c r="X10601" s="23" t="str">
        <f aca="false">IF(T10601="","",IF(T10601=0,"No discount",IF(T10601&lt;=0.2,"Low (1-20%)",IF(T10601&lt;=0.4,"Medium (21-40%)","High (&gt;40%)"))))</f>
        <v/>
      </c>
      <c r="Y10601" s="23" t="str">
        <f aca="false">IF(AND(ISNUMBER(C10601),ISNUMBER(D10601)),D10601-C10601,"")</f>
        <v/>
      </c>
      <c r="Z10601" s="23" t="str">
        <f aca="false">IF(B10601="","",IF(MATCH(B10601,$B$2:$B$12000,0)=ROW()-1,1,0))</f>
        <v/>
      </c>
    </row>
    <row r="10602" customFormat="false" ht="15" hidden="false" customHeight="false" outlineLevel="0" collapsed="false">
      <c r="V10602" s="23" t="str">
        <f aca="false">IF(ISNUMBER(C10602),YEAR(C10602),"")</f>
        <v/>
      </c>
      <c r="W10602" s="23" t="str">
        <f aca="false">IF(ISNUMBER(C10602),MONTH(C10602),"")</f>
        <v/>
      </c>
      <c r="X10602" s="23" t="str">
        <f aca="false">IF(T10602="","",IF(T10602=0,"No discount",IF(T10602&lt;=0.2,"Low (1-20%)",IF(T10602&lt;=0.4,"Medium (21-40%)","High (&gt;40%)"))))</f>
        <v/>
      </c>
      <c r="Y10602" s="23" t="str">
        <f aca="false">IF(AND(ISNUMBER(C10602),ISNUMBER(D10602)),D10602-C10602,"")</f>
        <v/>
      </c>
      <c r="Z10602" s="23" t="str">
        <f aca="false">IF(B10602="","",IF(MATCH(B10602,$B$2:$B$12000,0)=ROW()-1,1,0))</f>
        <v/>
      </c>
    </row>
    <row r="10603" customFormat="false" ht="15" hidden="false" customHeight="false" outlineLevel="0" collapsed="false">
      <c r="V10603" s="23" t="str">
        <f aca="false">IF(ISNUMBER(C10603),YEAR(C10603),"")</f>
        <v/>
      </c>
      <c r="W10603" s="23" t="str">
        <f aca="false">IF(ISNUMBER(C10603),MONTH(C10603),"")</f>
        <v/>
      </c>
      <c r="X10603" s="23" t="str">
        <f aca="false">IF(T10603="","",IF(T10603=0,"No discount",IF(T10603&lt;=0.2,"Low (1-20%)",IF(T10603&lt;=0.4,"Medium (21-40%)","High (&gt;40%)"))))</f>
        <v/>
      </c>
      <c r="Y10603" s="23" t="str">
        <f aca="false">IF(AND(ISNUMBER(C10603),ISNUMBER(D10603)),D10603-C10603,"")</f>
        <v/>
      </c>
      <c r="Z10603" s="23" t="str">
        <f aca="false">IF(B10603="","",IF(MATCH(B10603,$B$2:$B$12000,0)=ROW()-1,1,0))</f>
        <v/>
      </c>
    </row>
    <row r="10604" customFormat="false" ht="15" hidden="false" customHeight="false" outlineLevel="0" collapsed="false">
      <c r="V10604" s="23" t="str">
        <f aca="false">IF(ISNUMBER(C10604),YEAR(C10604),"")</f>
        <v/>
      </c>
      <c r="W10604" s="23" t="str">
        <f aca="false">IF(ISNUMBER(C10604),MONTH(C10604),"")</f>
        <v/>
      </c>
      <c r="X10604" s="23" t="str">
        <f aca="false">IF(T10604="","",IF(T10604=0,"No discount",IF(T10604&lt;=0.2,"Low (1-20%)",IF(T10604&lt;=0.4,"Medium (21-40%)","High (&gt;40%)"))))</f>
        <v/>
      </c>
      <c r="Y10604" s="23" t="str">
        <f aca="false">IF(AND(ISNUMBER(C10604),ISNUMBER(D10604)),D10604-C10604,"")</f>
        <v/>
      </c>
      <c r="Z10604" s="23" t="str">
        <f aca="false">IF(B10604="","",IF(MATCH(B10604,$B$2:$B$12000,0)=ROW()-1,1,0))</f>
        <v/>
      </c>
    </row>
    <row r="10605" customFormat="false" ht="15" hidden="false" customHeight="false" outlineLevel="0" collapsed="false">
      <c r="V10605" s="23" t="str">
        <f aca="false">IF(ISNUMBER(C10605),YEAR(C10605),"")</f>
        <v/>
      </c>
      <c r="W10605" s="23" t="str">
        <f aca="false">IF(ISNUMBER(C10605),MONTH(C10605),"")</f>
        <v/>
      </c>
      <c r="X10605" s="23" t="str">
        <f aca="false">IF(T10605="","",IF(T10605=0,"No discount",IF(T10605&lt;=0.2,"Low (1-20%)",IF(T10605&lt;=0.4,"Medium (21-40%)","High (&gt;40%)"))))</f>
        <v/>
      </c>
      <c r="Y10605" s="23" t="str">
        <f aca="false">IF(AND(ISNUMBER(C10605),ISNUMBER(D10605)),D10605-C10605,"")</f>
        <v/>
      </c>
      <c r="Z10605" s="23" t="str">
        <f aca="false">IF(B10605="","",IF(MATCH(B10605,$B$2:$B$12000,0)=ROW()-1,1,0))</f>
        <v/>
      </c>
    </row>
    <row r="10606" customFormat="false" ht="15" hidden="false" customHeight="false" outlineLevel="0" collapsed="false">
      <c r="V10606" s="23" t="str">
        <f aca="false">IF(ISNUMBER(C10606),YEAR(C10606),"")</f>
        <v/>
      </c>
      <c r="W10606" s="23" t="str">
        <f aca="false">IF(ISNUMBER(C10606),MONTH(C10606),"")</f>
        <v/>
      </c>
      <c r="X10606" s="23" t="str">
        <f aca="false">IF(T10606="","",IF(T10606=0,"No discount",IF(T10606&lt;=0.2,"Low (1-20%)",IF(T10606&lt;=0.4,"Medium (21-40%)","High (&gt;40%)"))))</f>
        <v/>
      </c>
      <c r="Y10606" s="23" t="str">
        <f aca="false">IF(AND(ISNUMBER(C10606),ISNUMBER(D10606)),D10606-C10606,"")</f>
        <v/>
      </c>
      <c r="Z10606" s="23" t="str">
        <f aca="false">IF(B10606="","",IF(MATCH(B10606,$B$2:$B$12000,0)=ROW()-1,1,0))</f>
        <v/>
      </c>
    </row>
    <row r="10607" customFormat="false" ht="15" hidden="false" customHeight="false" outlineLevel="0" collapsed="false">
      <c r="V10607" s="23" t="str">
        <f aca="false">IF(ISNUMBER(C10607),YEAR(C10607),"")</f>
        <v/>
      </c>
      <c r="W10607" s="23" t="str">
        <f aca="false">IF(ISNUMBER(C10607),MONTH(C10607),"")</f>
        <v/>
      </c>
      <c r="X10607" s="23" t="str">
        <f aca="false">IF(T10607="","",IF(T10607=0,"No discount",IF(T10607&lt;=0.2,"Low (1-20%)",IF(T10607&lt;=0.4,"Medium (21-40%)","High (&gt;40%)"))))</f>
        <v/>
      </c>
      <c r="Y10607" s="23" t="str">
        <f aca="false">IF(AND(ISNUMBER(C10607),ISNUMBER(D10607)),D10607-C10607,"")</f>
        <v/>
      </c>
      <c r="Z10607" s="23" t="str">
        <f aca="false">IF(B10607="","",IF(MATCH(B10607,$B$2:$B$12000,0)=ROW()-1,1,0))</f>
        <v/>
      </c>
    </row>
    <row r="10608" customFormat="false" ht="15" hidden="false" customHeight="false" outlineLevel="0" collapsed="false">
      <c r="V10608" s="23" t="str">
        <f aca="false">IF(ISNUMBER(C10608),YEAR(C10608),"")</f>
        <v/>
      </c>
      <c r="W10608" s="23" t="str">
        <f aca="false">IF(ISNUMBER(C10608),MONTH(C10608),"")</f>
        <v/>
      </c>
      <c r="X10608" s="23" t="str">
        <f aca="false">IF(T10608="","",IF(T10608=0,"No discount",IF(T10608&lt;=0.2,"Low (1-20%)",IF(T10608&lt;=0.4,"Medium (21-40%)","High (&gt;40%)"))))</f>
        <v/>
      </c>
      <c r="Y10608" s="23" t="str">
        <f aca="false">IF(AND(ISNUMBER(C10608),ISNUMBER(D10608)),D10608-C10608,"")</f>
        <v/>
      </c>
      <c r="Z10608" s="23" t="str">
        <f aca="false">IF(B10608="","",IF(MATCH(B10608,$B$2:$B$12000,0)=ROW()-1,1,0))</f>
        <v/>
      </c>
    </row>
    <row r="10609" customFormat="false" ht="15" hidden="false" customHeight="false" outlineLevel="0" collapsed="false">
      <c r="V10609" s="23" t="str">
        <f aca="false">IF(ISNUMBER(C10609),YEAR(C10609),"")</f>
        <v/>
      </c>
      <c r="W10609" s="23" t="str">
        <f aca="false">IF(ISNUMBER(C10609),MONTH(C10609),"")</f>
        <v/>
      </c>
      <c r="X10609" s="23" t="str">
        <f aca="false">IF(T10609="","",IF(T10609=0,"No discount",IF(T10609&lt;=0.2,"Low (1-20%)",IF(T10609&lt;=0.4,"Medium (21-40%)","High (&gt;40%)"))))</f>
        <v/>
      </c>
      <c r="Y10609" s="23" t="str">
        <f aca="false">IF(AND(ISNUMBER(C10609),ISNUMBER(D10609)),D10609-C10609,"")</f>
        <v/>
      </c>
      <c r="Z10609" s="23" t="str">
        <f aca="false">IF(B10609="","",IF(MATCH(B10609,$B$2:$B$12000,0)=ROW()-1,1,0))</f>
        <v/>
      </c>
    </row>
    <row r="10610" customFormat="false" ht="15" hidden="false" customHeight="false" outlineLevel="0" collapsed="false">
      <c r="V10610" s="23" t="str">
        <f aca="false">IF(ISNUMBER(C10610),YEAR(C10610),"")</f>
        <v/>
      </c>
      <c r="W10610" s="23" t="str">
        <f aca="false">IF(ISNUMBER(C10610),MONTH(C10610),"")</f>
        <v/>
      </c>
      <c r="X10610" s="23" t="str">
        <f aca="false">IF(T10610="","",IF(T10610=0,"No discount",IF(T10610&lt;=0.2,"Low (1-20%)",IF(T10610&lt;=0.4,"Medium (21-40%)","High (&gt;40%)"))))</f>
        <v/>
      </c>
      <c r="Y10610" s="23" t="str">
        <f aca="false">IF(AND(ISNUMBER(C10610),ISNUMBER(D10610)),D10610-C10610,"")</f>
        <v/>
      </c>
      <c r="Z10610" s="23" t="str">
        <f aca="false">IF(B10610="","",IF(MATCH(B10610,$B$2:$B$12000,0)=ROW()-1,1,0))</f>
        <v/>
      </c>
    </row>
    <row r="10611" customFormat="false" ht="15" hidden="false" customHeight="false" outlineLevel="0" collapsed="false">
      <c r="V10611" s="23" t="str">
        <f aca="false">IF(ISNUMBER(C10611),YEAR(C10611),"")</f>
        <v/>
      </c>
      <c r="W10611" s="23" t="str">
        <f aca="false">IF(ISNUMBER(C10611),MONTH(C10611),"")</f>
        <v/>
      </c>
      <c r="X10611" s="23" t="str">
        <f aca="false">IF(T10611="","",IF(T10611=0,"No discount",IF(T10611&lt;=0.2,"Low (1-20%)",IF(T10611&lt;=0.4,"Medium (21-40%)","High (&gt;40%)"))))</f>
        <v/>
      </c>
      <c r="Y10611" s="23" t="str">
        <f aca="false">IF(AND(ISNUMBER(C10611),ISNUMBER(D10611)),D10611-C10611,"")</f>
        <v/>
      </c>
      <c r="Z10611" s="23" t="str">
        <f aca="false">IF(B10611="","",IF(MATCH(B10611,$B$2:$B$12000,0)=ROW()-1,1,0))</f>
        <v/>
      </c>
    </row>
    <row r="10612" customFormat="false" ht="15" hidden="false" customHeight="false" outlineLevel="0" collapsed="false">
      <c r="V10612" s="23" t="str">
        <f aca="false">IF(ISNUMBER(C10612),YEAR(C10612),"")</f>
        <v/>
      </c>
      <c r="W10612" s="23" t="str">
        <f aca="false">IF(ISNUMBER(C10612),MONTH(C10612),"")</f>
        <v/>
      </c>
      <c r="X10612" s="23" t="str">
        <f aca="false">IF(T10612="","",IF(T10612=0,"No discount",IF(T10612&lt;=0.2,"Low (1-20%)",IF(T10612&lt;=0.4,"Medium (21-40%)","High (&gt;40%)"))))</f>
        <v/>
      </c>
      <c r="Y10612" s="23" t="str">
        <f aca="false">IF(AND(ISNUMBER(C10612),ISNUMBER(D10612)),D10612-C10612,"")</f>
        <v/>
      </c>
      <c r="Z10612" s="23" t="str">
        <f aca="false">IF(B10612="","",IF(MATCH(B10612,$B$2:$B$12000,0)=ROW()-1,1,0))</f>
        <v/>
      </c>
    </row>
    <row r="10613" customFormat="false" ht="15" hidden="false" customHeight="false" outlineLevel="0" collapsed="false">
      <c r="V10613" s="23" t="str">
        <f aca="false">IF(ISNUMBER(C10613),YEAR(C10613),"")</f>
        <v/>
      </c>
      <c r="W10613" s="23" t="str">
        <f aca="false">IF(ISNUMBER(C10613),MONTH(C10613),"")</f>
        <v/>
      </c>
      <c r="X10613" s="23" t="str">
        <f aca="false">IF(T10613="","",IF(T10613=0,"No discount",IF(T10613&lt;=0.2,"Low (1-20%)",IF(T10613&lt;=0.4,"Medium (21-40%)","High (&gt;40%)"))))</f>
        <v/>
      </c>
      <c r="Y10613" s="23" t="str">
        <f aca="false">IF(AND(ISNUMBER(C10613),ISNUMBER(D10613)),D10613-C10613,"")</f>
        <v/>
      </c>
      <c r="Z10613" s="23" t="str">
        <f aca="false">IF(B10613="","",IF(MATCH(B10613,$B$2:$B$12000,0)=ROW()-1,1,0))</f>
        <v/>
      </c>
    </row>
    <row r="10614" customFormat="false" ht="15" hidden="false" customHeight="false" outlineLevel="0" collapsed="false">
      <c r="V10614" s="23" t="str">
        <f aca="false">IF(ISNUMBER(C10614),YEAR(C10614),"")</f>
        <v/>
      </c>
      <c r="W10614" s="23" t="str">
        <f aca="false">IF(ISNUMBER(C10614),MONTH(C10614),"")</f>
        <v/>
      </c>
      <c r="X10614" s="23" t="str">
        <f aca="false">IF(T10614="","",IF(T10614=0,"No discount",IF(T10614&lt;=0.2,"Low (1-20%)",IF(T10614&lt;=0.4,"Medium (21-40%)","High (&gt;40%)"))))</f>
        <v/>
      </c>
      <c r="Y10614" s="23" t="str">
        <f aca="false">IF(AND(ISNUMBER(C10614),ISNUMBER(D10614)),D10614-C10614,"")</f>
        <v/>
      </c>
      <c r="Z10614" s="23" t="str">
        <f aca="false">IF(B10614="","",IF(MATCH(B10614,$B$2:$B$12000,0)=ROW()-1,1,0))</f>
        <v/>
      </c>
    </row>
    <row r="10615" customFormat="false" ht="15" hidden="false" customHeight="false" outlineLevel="0" collapsed="false">
      <c r="V10615" s="23" t="str">
        <f aca="false">IF(ISNUMBER(C10615),YEAR(C10615),"")</f>
        <v/>
      </c>
      <c r="W10615" s="23" t="str">
        <f aca="false">IF(ISNUMBER(C10615),MONTH(C10615),"")</f>
        <v/>
      </c>
      <c r="X10615" s="23" t="str">
        <f aca="false">IF(T10615="","",IF(T10615=0,"No discount",IF(T10615&lt;=0.2,"Low (1-20%)",IF(T10615&lt;=0.4,"Medium (21-40%)","High (&gt;40%)"))))</f>
        <v/>
      </c>
      <c r="Y10615" s="23" t="str">
        <f aca="false">IF(AND(ISNUMBER(C10615),ISNUMBER(D10615)),D10615-C10615,"")</f>
        <v/>
      </c>
      <c r="Z10615" s="23" t="str">
        <f aca="false">IF(B10615="","",IF(MATCH(B10615,$B$2:$B$12000,0)=ROW()-1,1,0))</f>
        <v/>
      </c>
    </row>
    <row r="10616" customFormat="false" ht="15" hidden="false" customHeight="false" outlineLevel="0" collapsed="false">
      <c r="V10616" s="23" t="str">
        <f aca="false">IF(ISNUMBER(C10616),YEAR(C10616),"")</f>
        <v/>
      </c>
      <c r="W10616" s="23" t="str">
        <f aca="false">IF(ISNUMBER(C10616),MONTH(C10616),"")</f>
        <v/>
      </c>
      <c r="X10616" s="23" t="str">
        <f aca="false">IF(T10616="","",IF(T10616=0,"No discount",IF(T10616&lt;=0.2,"Low (1-20%)",IF(T10616&lt;=0.4,"Medium (21-40%)","High (&gt;40%)"))))</f>
        <v/>
      </c>
      <c r="Y10616" s="23" t="str">
        <f aca="false">IF(AND(ISNUMBER(C10616),ISNUMBER(D10616)),D10616-C10616,"")</f>
        <v/>
      </c>
      <c r="Z10616" s="23" t="str">
        <f aca="false">IF(B10616="","",IF(MATCH(B10616,$B$2:$B$12000,0)=ROW()-1,1,0))</f>
        <v/>
      </c>
    </row>
    <row r="10617" customFormat="false" ht="15" hidden="false" customHeight="false" outlineLevel="0" collapsed="false">
      <c r="V10617" s="23" t="str">
        <f aca="false">IF(ISNUMBER(C10617),YEAR(C10617),"")</f>
        <v/>
      </c>
      <c r="W10617" s="23" t="str">
        <f aca="false">IF(ISNUMBER(C10617),MONTH(C10617),"")</f>
        <v/>
      </c>
      <c r="X10617" s="23" t="str">
        <f aca="false">IF(T10617="","",IF(T10617=0,"No discount",IF(T10617&lt;=0.2,"Low (1-20%)",IF(T10617&lt;=0.4,"Medium (21-40%)","High (&gt;40%)"))))</f>
        <v/>
      </c>
      <c r="Y10617" s="23" t="str">
        <f aca="false">IF(AND(ISNUMBER(C10617),ISNUMBER(D10617)),D10617-C10617,"")</f>
        <v/>
      </c>
      <c r="Z10617" s="23" t="str">
        <f aca="false">IF(B10617="","",IF(MATCH(B10617,$B$2:$B$12000,0)=ROW()-1,1,0))</f>
        <v/>
      </c>
    </row>
    <row r="10618" customFormat="false" ht="15" hidden="false" customHeight="false" outlineLevel="0" collapsed="false">
      <c r="V10618" s="23" t="str">
        <f aca="false">IF(ISNUMBER(C10618),YEAR(C10618),"")</f>
        <v/>
      </c>
      <c r="W10618" s="23" t="str">
        <f aca="false">IF(ISNUMBER(C10618),MONTH(C10618),"")</f>
        <v/>
      </c>
      <c r="X10618" s="23" t="str">
        <f aca="false">IF(T10618="","",IF(T10618=0,"No discount",IF(T10618&lt;=0.2,"Low (1-20%)",IF(T10618&lt;=0.4,"Medium (21-40%)","High (&gt;40%)"))))</f>
        <v/>
      </c>
      <c r="Y10618" s="23" t="str">
        <f aca="false">IF(AND(ISNUMBER(C10618),ISNUMBER(D10618)),D10618-C10618,"")</f>
        <v/>
      </c>
      <c r="Z10618" s="23" t="str">
        <f aca="false">IF(B10618="","",IF(MATCH(B10618,$B$2:$B$12000,0)=ROW()-1,1,0))</f>
        <v/>
      </c>
    </row>
    <row r="10619" customFormat="false" ht="15" hidden="false" customHeight="false" outlineLevel="0" collapsed="false">
      <c r="V10619" s="23" t="str">
        <f aca="false">IF(ISNUMBER(C10619),YEAR(C10619),"")</f>
        <v/>
      </c>
      <c r="W10619" s="23" t="str">
        <f aca="false">IF(ISNUMBER(C10619),MONTH(C10619),"")</f>
        <v/>
      </c>
      <c r="X10619" s="23" t="str">
        <f aca="false">IF(T10619="","",IF(T10619=0,"No discount",IF(T10619&lt;=0.2,"Low (1-20%)",IF(T10619&lt;=0.4,"Medium (21-40%)","High (&gt;40%)"))))</f>
        <v/>
      </c>
      <c r="Y10619" s="23" t="str">
        <f aca="false">IF(AND(ISNUMBER(C10619),ISNUMBER(D10619)),D10619-C10619,"")</f>
        <v/>
      </c>
      <c r="Z10619" s="23" t="str">
        <f aca="false">IF(B10619="","",IF(MATCH(B10619,$B$2:$B$12000,0)=ROW()-1,1,0))</f>
        <v/>
      </c>
    </row>
    <row r="10620" customFormat="false" ht="15" hidden="false" customHeight="false" outlineLevel="0" collapsed="false">
      <c r="V10620" s="23" t="str">
        <f aca="false">IF(ISNUMBER(C10620),YEAR(C10620),"")</f>
        <v/>
      </c>
      <c r="W10620" s="23" t="str">
        <f aca="false">IF(ISNUMBER(C10620),MONTH(C10620),"")</f>
        <v/>
      </c>
      <c r="X10620" s="23" t="str">
        <f aca="false">IF(T10620="","",IF(T10620=0,"No discount",IF(T10620&lt;=0.2,"Low (1-20%)",IF(T10620&lt;=0.4,"Medium (21-40%)","High (&gt;40%)"))))</f>
        <v/>
      </c>
      <c r="Y10620" s="23" t="str">
        <f aca="false">IF(AND(ISNUMBER(C10620),ISNUMBER(D10620)),D10620-C10620,"")</f>
        <v/>
      </c>
      <c r="Z10620" s="23" t="str">
        <f aca="false">IF(B10620="","",IF(MATCH(B10620,$B$2:$B$12000,0)=ROW()-1,1,0))</f>
        <v/>
      </c>
    </row>
    <row r="10621" customFormat="false" ht="15" hidden="false" customHeight="false" outlineLevel="0" collapsed="false">
      <c r="V10621" s="23" t="str">
        <f aca="false">IF(ISNUMBER(C10621),YEAR(C10621),"")</f>
        <v/>
      </c>
      <c r="W10621" s="23" t="str">
        <f aca="false">IF(ISNUMBER(C10621),MONTH(C10621),"")</f>
        <v/>
      </c>
      <c r="X10621" s="23" t="str">
        <f aca="false">IF(T10621="","",IF(T10621=0,"No discount",IF(T10621&lt;=0.2,"Low (1-20%)",IF(T10621&lt;=0.4,"Medium (21-40%)","High (&gt;40%)"))))</f>
        <v/>
      </c>
      <c r="Y10621" s="23" t="str">
        <f aca="false">IF(AND(ISNUMBER(C10621),ISNUMBER(D10621)),D10621-C10621,"")</f>
        <v/>
      </c>
      <c r="Z10621" s="23" t="str">
        <f aca="false">IF(B10621="","",IF(MATCH(B10621,$B$2:$B$12000,0)=ROW()-1,1,0))</f>
        <v/>
      </c>
    </row>
    <row r="10622" customFormat="false" ht="15" hidden="false" customHeight="false" outlineLevel="0" collapsed="false">
      <c r="V10622" s="23" t="str">
        <f aca="false">IF(ISNUMBER(C10622),YEAR(C10622),"")</f>
        <v/>
      </c>
      <c r="W10622" s="23" t="str">
        <f aca="false">IF(ISNUMBER(C10622),MONTH(C10622),"")</f>
        <v/>
      </c>
      <c r="X10622" s="23" t="str">
        <f aca="false">IF(T10622="","",IF(T10622=0,"No discount",IF(T10622&lt;=0.2,"Low (1-20%)",IF(T10622&lt;=0.4,"Medium (21-40%)","High (&gt;40%)"))))</f>
        <v/>
      </c>
      <c r="Y10622" s="23" t="str">
        <f aca="false">IF(AND(ISNUMBER(C10622),ISNUMBER(D10622)),D10622-C10622,"")</f>
        <v/>
      </c>
      <c r="Z10622" s="23" t="str">
        <f aca="false">IF(B10622="","",IF(MATCH(B10622,$B$2:$B$12000,0)=ROW()-1,1,0))</f>
        <v/>
      </c>
    </row>
    <row r="10623" customFormat="false" ht="15" hidden="false" customHeight="false" outlineLevel="0" collapsed="false">
      <c r="V10623" s="23" t="str">
        <f aca="false">IF(ISNUMBER(C10623),YEAR(C10623),"")</f>
        <v/>
      </c>
      <c r="W10623" s="23" t="str">
        <f aca="false">IF(ISNUMBER(C10623),MONTH(C10623),"")</f>
        <v/>
      </c>
      <c r="X10623" s="23" t="str">
        <f aca="false">IF(T10623="","",IF(T10623=0,"No discount",IF(T10623&lt;=0.2,"Low (1-20%)",IF(T10623&lt;=0.4,"Medium (21-40%)","High (&gt;40%)"))))</f>
        <v/>
      </c>
      <c r="Y10623" s="23" t="str">
        <f aca="false">IF(AND(ISNUMBER(C10623),ISNUMBER(D10623)),D10623-C10623,"")</f>
        <v/>
      </c>
      <c r="Z10623" s="23" t="str">
        <f aca="false">IF(B10623="","",IF(MATCH(B10623,$B$2:$B$12000,0)=ROW()-1,1,0))</f>
        <v/>
      </c>
    </row>
    <row r="10624" customFormat="false" ht="15" hidden="false" customHeight="false" outlineLevel="0" collapsed="false">
      <c r="V10624" s="23" t="str">
        <f aca="false">IF(ISNUMBER(C10624),YEAR(C10624),"")</f>
        <v/>
      </c>
      <c r="W10624" s="23" t="str">
        <f aca="false">IF(ISNUMBER(C10624),MONTH(C10624),"")</f>
        <v/>
      </c>
      <c r="X10624" s="23" t="str">
        <f aca="false">IF(T10624="","",IF(T10624=0,"No discount",IF(T10624&lt;=0.2,"Low (1-20%)",IF(T10624&lt;=0.4,"Medium (21-40%)","High (&gt;40%)"))))</f>
        <v/>
      </c>
      <c r="Y10624" s="23" t="str">
        <f aca="false">IF(AND(ISNUMBER(C10624),ISNUMBER(D10624)),D10624-C10624,"")</f>
        <v/>
      </c>
      <c r="Z10624" s="23" t="str">
        <f aca="false">IF(B10624="","",IF(MATCH(B10624,$B$2:$B$12000,0)=ROW()-1,1,0))</f>
        <v/>
      </c>
    </row>
    <row r="10625" customFormat="false" ht="15" hidden="false" customHeight="false" outlineLevel="0" collapsed="false">
      <c r="V10625" s="23" t="str">
        <f aca="false">IF(ISNUMBER(C10625),YEAR(C10625),"")</f>
        <v/>
      </c>
      <c r="W10625" s="23" t="str">
        <f aca="false">IF(ISNUMBER(C10625),MONTH(C10625),"")</f>
        <v/>
      </c>
      <c r="X10625" s="23" t="str">
        <f aca="false">IF(T10625="","",IF(T10625=0,"No discount",IF(T10625&lt;=0.2,"Low (1-20%)",IF(T10625&lt;=0.4,"Medium (21-40%)","High (&gt;40%)"))))</f>
        <v/>
      </c>
      <c r="Y10625" s="23" t="str">
        <f aca="false">IF(AND(ISNUMBER(C10625),ISNUMBER(D10625)),D10625-C10625,"")</f>
        <v/>
      </c>
      <c r="Z10625" s="23" t="str">
        <f aca="false">IF(B10625="","",IF(MATCH(B10625,$B$2:$B$12000,0)=ROW()-1,1,0))</f>
        <v/>
      </c>
    </row>
    <row r="10626" customFormat="false" ht="15" hidden="false" customHeight="false" outlineLevel="0" collapsed="false">
      <c r="V10626" s="23" t="str">
        <f aca="false">IF(ISNUMBER(C10626),YEAR(C10626),"")</f>
        <v/>
      </c>
      <c r="W10626" s="23" t="str">
        <f aca="false">IF(ISNUMBER(C10626),MONTH(C10626),"")</f>
        <v/>
      </c>
      <c r="X10626" s="23" t="str">
        <f aca="false">IF(T10626="","",IF(T10626=0,"No discount",IF(T10626&lt;=0.2,"Low (1-20%)",IF(T10626&lt;=0.4,"Medium (21-40%)","High (&gt;40%)"))))</f>
        <v/>
      </c>
      <c r="Y10626" s="23" t="str">
        <f aca="false">IF(AND(ISNUMBER(C10626),ISNUMBER(D10626)),D10626-C10626,"")</f>
        <v/>
      </c>
      <c r="Z10626" s="23" t="str">
        <f aca="false">IF(B10626="","",IF(MATCH(B10626,$B$2:$B$12000,0)=ROW()-1,1,0))</f>
        <v/>
      </c>
    </row>
    <row r="10627" customFormat="false" ht="15" hidden="false" customHeight="false" outlineLevel="0" collapsed="false">
      <c r="V10627" s="23" t="str">
        <f aca="false">IF(ISNUMBER(C10627),YEAR(C10627),"")</f>
        <v/>
      </c>
      <c r="W10627" s="23" t="str">
        <f aca="false">IF(ISNUMBER(C10627),MONTH(C10627),"")</f>
        <v/>
      </c>
      <c r="X10627" s="23" t="str">
        <f aca="false">IF(T10627="","",IF(T10627=0,"No discount",IF(T10627&lt;=0.2,"Low (1-20%)",IF(T10627&lt;=0.4,"Medium (21-40%)","High (&gt;40%)"))))</f>
        <v/>
      </c>
      <c r="Y10627" s="23" t="str">
        <f aca="false">IF(AND(ISNUMBER(C10627),ISNUMBER(D10627)),D10627-C10627,"")</f>
        <v/>
      </c>
      <c r="Z10627" s="23" t="str">
        <f aca="false">IF(B10627="","",IF(MATCH(B10627,$B$2:$B$12000,0)=ROW()-1,1,0))</f>
        <v/>
      </c>
    </row>
    <row r="10628" customFormat="false" ht="15" hidden="false" customHeight="false" outlineLevel="0" collapsed="false">
      <c r="V10628" s="23" t="str">
        <f aca="false">IF(ISNUMBER(C10628),YEAR(C10628),"")</f>
        <v/>
      </c>
      <c r="W10628" s="23" t="str">
        <f aca="false">IF(ISNUMBER(C10628),MONTH(C10628),"")</f>
        <v/>
      </c>
      <c r="X10628" s="23" t="str">
        <f aca="false">IF(T10628="","",IF(T10628=0,"No discount",IF(T10628&lt;=0.2,"Low (1-20%)",IF(T10628&lt;=0.4,"Medium (21-40%)","High (&gt;40%)"))))</f>
        <v/>
      </c>
      <c r="Y10628" s="23" t="str">
        <f aca="false">IF(AND(ISNUMBER(C10628),ISNUMBER(D10628)),D10628-C10628,"")</f>
        <v/>
      </c>
      <c r="Z10628" s="23" t="str">
        <f aca="false">IF(B10628="","",IF(MATCH(B10628,$B$2:$B$12000,0)=ROW()-1,1,0))</f>
        <v/>
      </c>
    </row>
    <row r="10629" customFormat="false" ht="15" hidden="false" customHeight="false" outlineLevel="0" collapsed="false">
      <c r="V10629" s="23" t="str">
        <f aca="false">IF(ISNUMBER(C10629),YEAR(C10629),"")</f>
        <v/>
      </c>
      <c r="W10629" s="23" t="str">
        <f aca="false">IF(ISNUMBER(C10629),MONTH(C10629),"")</f>
        <v/>
      </c>
      <c r="X10629" s="23" t="str">
        <f aca="false">IF(T10629="","",IF(T10629=0,"No discount",IF(T10629&lt;=0.2,"Low (1-20%)",IF(T10629&lt;=0.4,"Medium (21-40%)","High (&gt;40%)"))))</f>
        <v/>
      </c>
      <c r="Y10629" s="23" t="str">
        <f aca="false">IF(AND(ISNUMBER(C10629),ISNUMBER(D10629)),D10629-C10629,"")</f>
        <v/>
      </c>
      <c r="Z10629" s="23" t="str">
        <f aca="false">IF(B10629="","",IF(MATCH(B10629,$B$2:$B$12000,0)=ROW()-1,1,0))</f>
        <v/>
      </c>
    </row>
    <row r="10630" customFormat="false" ht="15" hidden="false" customHeight="false" outlineLevel="0" collapsed="false">
      <c r="V10630" s="23" t="str">
        <f aca="false">IF(ISNUMBER(C10630),YEAR(C10630),"")</f>
        <v/>
      </c>
      <c r="W10630" s="23" t="str">
        <f aca="false">IF(ISNUMBER(C10630),MONTH(C10630),"")</f>
        <v/>
      </c>
      <c r="X10630" s="23" t="str">
        <f aca="false">IF(T10630="","",IF(T10630=0,"No discount",IF(T10630&lt;=0.2,"Low (1-20%)",IF(T10630&lt;=0.4,"Medium (21-40%)","High (&gt;40%)"))))</f>
        <v/>
      </c>
      <c r="Y10630" s="23" t="str">
        <f aca="false">IF(AND(ISNUMBER(C10630),ISNUMBER(D10630)),D10630-C10630,"")</f>
        <v/>
      </c>
      <c r="Z10630" s="23" t="str">
        <f aca="false">IF(B10630="","",IF(MATCH(B10630,$B$2:$B$12000,0)=ROW()-1,1,0))</f>
        <v/>
      </c>
    </row>
    <row r="10631" customFormat="false" ht="15" hidden="false" customHeight="false" outlineLevel="0" collapsed="false">
      <c r="V10631" s="23" t="str">
        <f aca="false">IF(ISNUMBER(C10631),YEAR(C10631),"")</f>
        <v/>
      </c>
      <c r="W10631" s="23" t="str">
        <f aca="false">IF(ISNUMBER(C10631),MONTH(C10631),"")</f>
        <v/>
      </c>
      <c r="X10631" s="23" t="str">
        <f aca="false">IF(T10631="","",IF(T10631=0,"No discount",IF(T10631&lt;=0.2,"Low (1-20%)",IF(T10631&lt;=0.4,"Medium (21-40%)","High (&gt;40%)"))))</f>
        <v/>
      </c>
      <c r="Y10631" s="23" t="str">
        <f aca="false">IF(AND(ISNUMBER(C10631),ISNUMBER(D10631)),D10631-C10631,"")</f>
        <v/>
      </c>
      <c r="Z10631" s="23" t="str">
        <f aca="false">IF(B10631="","",IF(MATCH(B10631,$B$2:$B$12000,0)=ROW()-1,1,0))</f>
        <v/>
      </c>
    </row>
    <row r="10632" customFormat="false" ht="15" hidden="false" customHeight="false" outlineLevel="0" collapsed="false">
      <c r="V10632" s="23" t="str">
        <f aca="false">IF(ISNUMBER(C10632),YEAR(C10632),"")</f>
        <v/>
      </c>
      <c r="W10632" s="23" t="str">
        <f aca="false">IF(ISNUMBER(C10632),MONTH(C10632),"")</f>
        <v/>
      </c>
      <c r="X10632" s="23" t="str">
        <f aca="false">IF(T10632="","",IF(T10632=0,"No discount",IF(T10632&lt;=0.2,"Low (1-20%)",IF(T10632&lt;=0.4,"Medium (21-40%)","High (&gt;40%)"))))</f>
        <v/>
      </c>
      <c r="Y10632" s="23" t="str">
        <f aca="false">IF(AND(ISNUMBER(C10632),ISNUMBER(D10632)),D10632-C10632,"")</f>
        <v/>
      </c>
      <c r="Z10632" s="23" t="str">
        <f aca="false">IF(B10632="","",IF(MATCH(B10632,$B$2:$B$12000,0)=ROW()-1,1,0))</f>
        <v/>
      </c>
    </row>
    <row r="10633" customFormat="false" ht="15" hidden="false" customHeight="false" outlineLevel="0" collapsed="false">
      <c r="V10633" s="23" t="str">
        <f aca="false">IF(ISNUMBER(C10633),YEAR(C10633),"")</f>
        <v/>
      </c>
      <c r="W10633" s="23" t="str">
        <f aca="false">IF(ISNUMBER(C10633),MONTH(C10633),"")</f>
        <v/>
      </c>
      <c r="X10633" s="23" t="str">
        <f aca="false">IF(T10633="","",IF(T10633=0,"No discount",IF(T10633&lt;=0.2,"Low (1-20%)",IF(T10633&lt;=0.4,"Medium (21-40%)","High (&gt;40%)"))))</f>
        <v/>
      </c>
      <c r="Y10633" s="23" t="str">
        <f aca="false">IF(AND(ISNUMBER(C10633),ISNUMBER(D10633)),D10633-C10633,"")</f>
        <v/>
      </c>
      <c r="Z10633" s="23" t="str">
        <f aca="false">IF(B10633="","",IF(MATCH(B10633,$B$2:$B$12000,0)=ROW()-1,1,0))</f>
        <v/>
      </c>
    </row>
    <row r="10634" customFormat="false" ht="15" hidden="false" customHeight="false" outlineLevel="0" collapsed="false">
      <c r="V10634" s="23" t="str">
        <f aca="false">IF(ISNUMBER(C10634),YEAR(C10634),"")</f>
        <v/>
      </c>
      <c r="W10634" s="23" t="str">
        <f aca="false">IF(ISNUMBER(C10634),MONTH(C10634),"")</f>
        <v/>
      </c>
      <c r="X10634" s="23" t="str">
        <f aca="false">IF(T10634="","",IF(T10634=0,"No discount",IF(T10634&lt;=0.2,"Low (1-20%)",IF(T10634&lt;=0.4,"Medium (21-40%)","High (&gt;40%)"))))</f>
        <v/>
      </c>
      <c r="Y10634" s="23" t="str">
        <f aca="false">IF(AND(ISNUMBER(C10634),ISNUMBER(D10634)),D10634-C10634,"")</f>
        <v/>
      </c>
      <c r="Z10634" s="23" t="str">
        <f aca="false">IF(B10634="","",IF(MATCH(B10634,$B$2:$B$12000,0)=ROW()-1,1,0))</f>
        <v/>
      </c>
    </row>
    <row r="10635" customFormat="false" ht="15" hidden="false" customHeight="false" outlineLevel="0" collapsed="false">
      <c r="V10635" s="23" t="str">
        <f aca="false">IF(ISNUMBER(C10635),YEAR(C10635),"")</f>
        <v/>
      </c>
      <c r="W10635" s="23" t="str">
        <f aca="false">IF(ISNUMBER(C10635),MONTH(C10635),"")</f>
        <v/>
      </c>
      <c r="X10635" s="23" t="str">
        <f aca="false">IF(T10635="","",IF(T10635=0,"No discount",IF(T10635&lt;=0.2,"Low (1-20%)",IF(T10635&lt;=0.4,"Medium (21-40%)","High (&gt;40%)"))))</f>
        <v/>
      </c>
      <c r="Y10635" s="23" t="str">
        <f aca="false">IF(AND(ISNUMBER(C10635),ISNUMBER(D10635)),D10635-C10635,"")</f>
        <v/>
      </c>
      <c r="Z10635" s="23" t="str">
        <f aca="false">IF(B10635="","",IF(MATCH(B10635,$B$2:$B$12000,0)=ROW()-1,1,0))</f>
        <v/>
      </c>
    </row>
    <row r="10636" customFormat="false" ht="15" hidden="false" customHeight="false" outlineLevel="0" collapsed="false">
      <c r="V10636" s="23" t="str">
        <f aca="false">IF(ISNUMBER(C10636),YEAR(C10636),"")</f>
        <v/>
      </c>
      <c r="W10636" s="23" t="str">
        <f aca="false">IF(ISNUMBER(C10636),MONTH(C10636),"")</f>
        <v/>
      </c>
      <c r="X10636" s="23" t="str">
        <f aca="false">IF(T10636="","",IF(T10636=0,"No discount",IF(T10636&lt;=0.2,"Low (1-20%)",IF(T10636&lt;=0.4,"Medium (21-40%)","High (&gt;40%)"))))</f>
        <v/>
      </c>
      <c r="Y10636" s="23" t="str">
        <f aca="false">IF(AND(ISNUMBER(C10636),ISNUMBER(D10636)),D10636-C10636,"")</f>
        <v/>
      </c>
      <c r="Z10636" s="23" t="str">
        <f aca="false">IF(B10636="","",IF(MATCH(B10636,$B$2:$B$12000,0)=ROW()-1,1,0))</f>
        <v/>
      </c>
    </row>
    <row r="10637" customFormat="false" ht="15" hidden="false" customHeight="false" outlineLevel="0" collapsed="false">
      <c r="V10637" s="23" t="str">
        <f aca="false">IF(ISNUMBER(C10637),YEAR(C10637),"")</f>
        <v/>
      </c>
      <c r="W10637" s="23" t="str">
        <f aca="false">IF(ISNUMBER(C10637),MONTH(C10637),"")</f>
        <v/>
      </c>
      <c r="X10637" s="23" t="str">
        <f aca="false">IF(T10637="","",IF(T10637=0,"No discount",IF(T10637&lt;=0.2,"Low (1-20%)",IF(T10637&lt;=0.4,"Medium (21-40%)","High (&gt;40%)"))))</f>
        <v/>
      </c>
      <c r="Y10637" s="23" t="str">
        <f aca="false">IF(AND(ISNUMBER(C10637),ISNUMBER(D10637)),D10637-C10637,"")</f>
        <v/>
      </c>
      <c r="Z10637" s="23" t="str">
        <f aca="false">IF(B10637="","",IF(MATCH(B10637,$B$2:$B$12000,0)=ROW()-1,1,0))</f>
        <v/>
      </c>
    </row>
    <row r="10638" customFormat="false" ht="15" hidden="false" customHeight="false" outlineLevel="0" collapsed="false">
      <c r="V10638" s="23" t="str">
        <f aca="false">IF(ISNUMBER(C10638),YEAR(C10638),"")</f>
        <v/>
      </c>
      <c r="W10638" s="23" t="str">
        <f aca="false">IF(ISNUMBER(C10638),MONTH(C10638),"")</f>
        <v/>
      </c>
      <c r="X10638" s="23" t="str">
        <f aca="false">IF(T10638="","",IF(T10638=0,"No discount",IF(T10638&lt;=0.2,"Low (1-20%)",IF(T10638&lt;=0.4,"Medium (21-40%)","High (&gt;40%)"))))</f>
        <v/>
      </c>
      <c r="Y10638" s="23" t="str">
        <f aca="false">IF(AND(ISNUMBER(C10638),ISNUMBER(D10638)),D10638-C10638,"")</f>
        <v/>
      </c>
      <c r="Z10638" s="23" t="str">
        <f aca="false">IF(B10638="","",IF(MATCH(B10638,$B$2:$B$12000,0)=ROW()-1,1,0))</f>
        <v/>
      </c>
    </row>
    <row r="10639" customFormat="false" ht="15" hidden="false" customHeight="false" outlineLevel="0" collapsed="false">
      <c r="V10639" s="23" t="str">
        <f aca="false">IF(ISNUMBER(C10639),YEAR(C10639),"")</f>
        <v/>
      </c>
      <c r="W10639" s="23" t="str">
        <f aca="false">IF(ISNUMBER(C10639),MONTH(C10639),"")</f>
        <v/>
      </c>
      <c r="X10639" s="23" t="str">
        <f aca="false">IF(T10639="","",IF(T10639=0,"No discount",IF(T10639&lt;=0.2,"Low (1-20%)",IF(T10639&lt;=0.4,"Medium (21-40%)","High (&gt;40%)"))))</f>
        <v/>
      </c>
      <c r="Y10639" s="23" t="str">
        <f aca="false">IF(AND(ISNUMBER(C10639),ISNUMBER(D10639)),D10639-C10639,"")</f>
        <v/>
      </c>
      <c r="Z10639" s="23" t="str">
        <f aca="false">IF(B10639="","",IF(MATCH(B10639,$B$2:$B$12000,0)=ROW()-1,1,0))</f>
        <v/>
      </c>
    </row>
    <row r="10640" customFormat="false" ht="15" hidden="false" customHeight="false" outlineLevel="0" collapsed="false">
      <c r="V10640" s="23" t="str">
        <f aca="false">IF(ISNUMBER(C10640),YEAR(C10640),"")</f>
        <v/>
      </c>
      <c r="W10640" s="23" t="str">
        <f aca="false">IF(ISNUMBER(C10640),MONTH(C10640),"")</f>
        <v/>
      </c>
      <c r="X10640" s="23" t="str">
        <f aca="false">IF(T10640="","",IF(T10640=0,"No discount",IF(T10640&lt;=0.2,"Low (1-20%)",IF(T10640&lt;=0.4,"Medium (21-40%)","High (&gt;40%)"))))</f>
        <v/>
      </c>
      <c r="Y10640" s="23" t="str">
        <f aca="false">IF(AND(ISNUMBER(C10640),ISNUMBER(D10640)),D10640-C10640,"")</f>
        <v/>
      </c>
      <c r="Z10640" s="23" t="str">
        <f aca="false">IF(B10640="","",IF(MATCH(B10640,$B$2:$B$12000,0)=ROW()-1,1,0))</f>
        <v/>
      </c>
    </row>
    <row r="10641" customFormat="false" ht="15" hidden="false" customHeight="false" outlineLevel="0" collapsed="false">
      <c r="V10641" s="23" t="str">
        <f aca="false">IF(ISNUMBER(C10641),YEAR(C10641),"")</f>
        <v/>
      </c>
      <c r="W10641" s="23" t="str">
        <f aca="false">IF(ISNUMBER(C10641),MONTH(C10641),"")</f>
        <v/>
      </c>
      <c r="X10641" s="23" t="str">
        <f aca="false">IF(T10641="","",IF(T10641=0,"No discount",IF(T10641&lt;=0.2,"Low (1-20%)",IF(T10641&lt;=0.4,"Medium (21-40%)","High (&gt;40%)"))))</f>
        <v/>
      </c>
      <c r="Y10641" s="23" t="str">
        <f aca="false">IF(AND(ISNUMBER(C10641),ISNUMBER(D10641)),D10641-C10641,"")</f>
        <v/>
      </c>
      <c r="Z10641" s="23" t="str">
        <f aca="false">IF(B10641="","",IF(MATCH(B10641,$B$2:$B$12000,0)=ROW()-1,1,0))</f>
        <v/>
      </c>
    </row>
    <row r="10642" customFormat="false" ht="15" hidden="false" customHeight="false" outlineLevel="0" collapsed="false">
      <c r="V10642" s="23" t="str">
        <f aca="false">IF(ISNUMBER(C10642),YEAR(C10642),"")</f>
        <v/>
      </c>
      <c r="W10642" s="23" t="str">
        <f aca="false">IF(ISNUMBER(C10642),MONTH(C10642),"")</f>
        <v/>
      </c>
      <c r="X10642" s="23" t="str">
        <f aca="false">IF(T10642="","",IF(T10642=0,"No discount",IF(T10642&lt;=0.2,"Low (1-20%)",IF(T10642&lt;=0.4,"Medium (21-40%)","High (&gt;40%)"))))</f>
        <v/>
      </c>
      <c r="Y10642" s="23" t="str">
        <f aca="false">IF(AND(ISNUMBER(C10642),ISNUMBER(D10642)),D10642-C10642,"")</f>
        <v/>
      </c>
      <c r="Z10642" s="23" t="str">
        <f aca="false">IF(B10642="","",IF(MATCH(B10642,$B$2:$B$12000,0)=ROW()-1,1,0))</f>
        <v/>
      </c>
    </row>
    <row r="10643" customFormat="false" ht="15" hidden="false" customHeight="false" outlineLevel="0" collapsed="false">
      <c r="V10643" s="23" t="str">
        <f aca="false">IF(ISNUMBER(C10643),YEAR(C10643),"")</f>
        <v/>
      </c>
      <c r="W10643" s="23" t="str">
        <f aca="false">IF(ISNUMBER(C10643),MONTH(C10643),"")</f>
        <v/>
      </c>
      <c r="X10643" s="23" t="str">
        <f aca="false">IF(T10643="","",IF(T10643=0,"No discount",IF(T10643&lt;=0.2,"Low (1-20%)",IF(T10643&lt;=0.4,"Medium (21-40%)","High (&gt;40%)"))))</f>
        <v/>
      </c>
      <c r="Y10643" s="23" t="str">
        <f aca="false">IF(AND(ISNUMBER(C10643),ISNUMBER(D10643)),D10643-C10643,"")</f>
        <v/>
      </c>
      <c r="Z10643" s="23" t="str">
        <f aca="false">IF(B10643="","",IF(MATCH(B10643,$B$2:$B$12000,0)=ROW()-1,1,0))</f>
        <v/>
      </c>
    </row>
    <row r="10644" customFormat="false" ht="15" hidden="false" customHeight="false" outlineLevel="0" collapsed="false">
      <c r="V10644" s="23" t="str">
        <f aca="false">IF(ISNUMBER(C10644),YEAR(C10644),"")</f>
        <v/>
      </c>
      <c r="W10644" s="23" t="str">
        <f aca="false">IF(ISNUMBER(C10644),MONTH(C10644),"")</f>
        <v/>
      </c>
      <c r="X10644" s="23" t="str">
        <f aca="false">IF(T10644="","",IF(T10644=0,"No discount",IF(T10644&lt;=0.2,"Low (1-20%)",IF(T10644&lt;=0.4,"Medium (21-40%)","High (&gt;40%)"))))</f>
        <v/>
      </c>
      <c r="Y10644" s="23" t="str">
        <f aca="false">IF(AND(ISNUMBER(C10644),ISNUMBER(D10644)),D10644-C10644,"")</f>
        <v/>
      </c>
      <c r="Z10644" s="23" t="str">
        <f aca="false">IF(B10644="","",IF(MATCH(B10644,$B$2:$B$12000,0)=ROW()-1,1,0))</f>
        <v/>
      </c>
    </row>
    <row r="10645" customFormat="false" ht="15" hidden="false" customHeight="false" outlineLevel="0" collapsed="false">
      <c r="V10645" s="23" t="str">
        <f aca="false">IF(ISNUMBER(C10645),YEAR(C10645),"")</f>
        <v/>
      </c>
      <c r="W10645" s="23" t="str">
        <f aca="false">IF(ISNUMBER(C10645),MONTH(C10645),"")</f>
        <v/>
      </c>
      <c r="X10645" s="23" t="str">
        <f aca="false">IF(T10645="","",IF(T10645=0,"No discount",IF(T10645&lt;=0.2,"Low (1-20%)",IF(T10645&lt;=0.4,"Medium (21-40%)","High (&gt;40%)"))))</f>
        <v/>
      </c>
      <c r="Y10645" s="23" t="str">
        <f aca="false">IF(AND(ISNUMBER(C10645),ISNUMBER(D10645)),D10645-C10645,"")</f>
        <v/>
      </c>
      <c r="Z10645" s="23" t="str">
        <f aca="false">IF(B10645="","",IF(MATCH(B10645,$B$2:$B$12000,0)=ROW()-1,1,0))</f>
        <v/>
      </c>
    </row>
    <row r="10646" customFormat="false" ht="15" hidden="false" customHeight="false" outlineLevel="0" collapsed="false">
      <c r="V10646" s="23" t="str">
        <f aca="false">IF(ISNUMBER(C10646),YEAR(C10646),"")</f>
        <v/>
      </c>
      <c r="W10646" s="23" t="str">
        <f aca="false">IF(ISNUMBER(C10646),MONTH(C10646),"")</f>
        <v/>
      </c>
      <c r="X10646" s="23" t="str">
        <f aca="false">IF(T10646="","",IF(T10646=0,"No discount",IF(T10646&lt;=0.2,"Low (1-20%)",IF(T10646&lt;=0.4,"Medium (21-40%)","High (&gt;40%)"))))</f>
        <v/>
      </c>
      <c r="Y10646" s="23" t="str">
        <f aca="false">IF(AND(ISNUMBER(C10646),ISNUMBER(D10646)),D10646-C10646,"")</f>
        <v/>
      </c>
      <c r="Z10646" s="23" t="str">
        <f aca="false">IF(B10646="","",IF(MATCH(B10646,$B$2:$B$12000,0)=ROW()-1,1,0))</f>
        <v/>
      </c>
    </row>
    <row r="10647" customFormat="false" ht="15" hidden="false" customHeight="false" outlineLevel="0" collapsed="false">
      <c r="V10647" s="23" t="str">
        <f aca="false">IF(ISNUMBER(C10647),YEAR(C10647),"")</f>
        <v/>
      </c>
      <c r="W10647" s="23" t="str">
        <f aca="false">IF(ISNUMBER(C10647),MONTH(C10647),"")</f>
        <v/>
      </c>
      <c r="X10647" s="23" t="str">
        <f aca="false">IF(T10647="","",IF(T10647=0,"No discount",IF(T10647&lt;=0.2,"Low (1-20%)",IF(T10647&lt;=0.4,"Medium (21-40%)","High (&gt;40%)"))))</f>
        <v/>
      </c>
      <c r="Y10647" s="23" t="str">
        <f aca="false">IF(AND(ISNUMBER(C10647),ISNUMBER(D10647)),D10647-C10647,"")</f>
        <v/>
      </c>
      <c r="Z10647" s="23" t="str">
        <f aca="false">IF(B10647="","",IF(MATCH(B10647,$B$2:$B$12000,0)=ROW()-1,1,0))</f>
        <v/>
      </c>
    </row>
    <row r="10648" customFormat="false" ht="15" hidden="false" customHeight="false" outlineLevel="0" collapsed="false">
      <c r="V10648" s="23" t="str">
        <f aca="false">IF(ISNUMBER(C10648),YEAR(C10648),"")</f>
        <v/>
      </c>
      <c r="W10648" s="23" t="str">
        <f aca="false">IF(ISNUMBER(C10648),MONTH(C10648),"")</f>
        <v/>
      </c>
      <c r="X10648" s="23" t="str">
        <f aca="false">IF(T10648="","",IF(T10648=0,"No discount",IF(T10648&lt;=0.2,"Low (1-20%)",IF(T10648&lt;=0.4,"Medium (21-40%)","High (&gt;40%)"))))</f>
        <v/>
      </c>
      <c r="Y10648" s="23" t="str">
        <f aca="false">IF(AND(ISNUMBER(C10648),ISNUMBER(D10648)),D10648-C10648,"")</f>
        <v/>
      </c>
      <c r="Z10648" s="23" t="str">
        <f aca="false">IF(B10648="","",IF(MATCH(B10648,$B$2:$B$12000,0)=ROW()-1,1,0))</f>
        <v/>
      </c>
    </row>
    <row r="10649" customFormat="false" ht="15" hidden="false" customHeight="false" outlineLevel="0" collapsed="false">
      <c r="V10649" s="23" t="str">
        <f aca="false">IF(ISNUMBER(C10649),YEAR(C10649),"")</f>
        <v/>
      </c>
      <c r="W10649" s="23" t="str">
        <f aca="false">IF(ISNUMBER(C10649),MONTH(C10649),"")</f>
        <v/>
      </c>
      <c r="X10649" s="23" t="str">
        <f aca="false">IF(T10649="","",IF(T10649=0,"No discount",IF(T10649&lt;=0.2,"Low (1-20%)",IF(T10649&lt;=0.4,"Medium (21-40%)","High (&gt;40%)"))))</f>
        <v/>
      </c>
      <c r="Y10649" s="23" t="str">
        <f aca="false">IF(AND(ISNUMBER(C10649),ISNUMBER(D10649)),D10649-C10649,"")</f>
        <v/>
      </c>
      <c r="Z10649" s="23" t="str">
        <f aca="false">IF(B10649="","",IF(MATCH(B10649,$B$2:$B$12000,0)=ROW()-1,1,0))</f>
        <v/>
      </c>
    </row>
    <row r="10650" customFormat="false" ht="15" hidden="false" customHeight="false" outlineLevel="0" collapsed="false">
      <c r="V10650" s="23" t="str">
        <f aca="false">IF(ISNUMBER(C10650),YEAR(C10650),"")</f>
        <v/>
      </c>
      <c r="W10650" s="23" t="str">
        <f aca="false">IF(ISNUMBER(C10650),MONTH(C10650),"")</f>
        <v/>
      </c>
      <c r="X10650" s="23" t="str">
        <f aca="false">IF(T10650="","",IF(T10650=0,"No discount",IF(T10650&lt;=0.2,"Low (1-20%)",IF(T10650&lt;=0.4,"Medium (21-40%)","High (&gt;40%)"))))</f>
        <v/>
      </c>
      <c r="Y10650" s="23" t="str">
        <f aca="false">IF(AND(ISNUMBER(C10650),ISNUMBER(D10650)),D10650-C10650,"")</f>
        <v/>
      </c>
      <c r="Z10650" s="23" t="str">
        <f aca="false">IF(B10650="","",IF(MATCH(B10650,$B$2:$B$12000,0)=ROW()-1,1,0))</f>
        <v/>
      </c>
    </row>
    <row r="10651" customFormat="false" ht="15" hidden="false" customHeight="false" outlineLevel="0" collapsed="false">
      <c r="V10651" s="23" t="str">
        <f aca="false">IF(ISNUMBER(C10651),YEAR(C10651),"")</f>
        <v/>
      </c>
      <c r="W10651" s="23" t="str">
        <f aca="false">IF(ISNUMBER(C10651),MONTH(C10651),"")</f>
        <v/>
      </c>
      <c r="X10651" s="23" t="str">
        <f aca="false">IF(T10651="","",IF(T10651=0,"No discount",IF(T10651&lt;=0.2,"Low (1-20%)",IF(T10651&lt;=0.4,"Medium (21-40%)","High (&gt;40%)"))))</f>
        <v/>
      </c>
      <c r="Y10651" s="23" t="str">
        <f aca="false">IF(AND(ISNUMBER(C10651),ISNUMBER(D10651)),D10651-C10651,"")</f>
        <v/>
      </c>
      <c r="Z10651" s="23" t="str">
        <f aca="false">IF(B10651="","",IF(MATCH(B10651,$B$2:$B$12000,0)=ROW()-1,1,0))</f>
        <v/>
      </c>
    </row>
    <row r="10652" customFormat="false" ht="15" hidden="false" customHeight="false" outlineLevel="0" collapsed="false">
      <c r="V10652" s="23" t="str">
        <f aca="false">IF(ISNUMBER(C10652),YEAR(C10652),"")</f>
        <v/>
      </c>
      <c r="W10652" s="23" t="str">
        <f aca="false">IF(ISNUMBER(C10652),MONTH(C10652),"")</f>
        <v/>
      </c>
      <c r="X10652" s="23" t="str">
        <f aca="false">IF(T10652="","",IF(T10652=0,"No discount",IF(T10652&lt;=0.2,"Low (1-20%)",IF(T10652&lt;=0.4,"Medium (21-40%)","High (&gt;40%)"))))</f>
        <v/>
      </c>
      <c r="Y10652" s="23" t="str">
        <f aca="false">IF(AND(ISNUMBER(C10652),ISNUMBER(D10652)),D10652-C10652,"")</f>
        <v/>
      </c>
      <c r="Z10652" s="23" t="str">
        <f aca="false">IF(B10652="","",IF(MATCH(B10652,$B$2:$B$12000,0)=ROW()-1,1,0))</f>
        <v/>
      </c>
    </row>
    <row r="10653" customFormat="false" ht="15" hidden="false" customHeight="false" outlineLevel="0" collapsed="false">
      <c r="V10653" s="23" t="str">
        <f aca="false">IF(ISNUMBER(C10653),YEAR(C10653),"")</f>
        <v/>
      </c>
      <c r="W10653" s="23" t="str">
        <f aca="false">IF(ISNUMBER(C10653),MONTH(C10653),"")</f>
        <v/>
      </c>
      <c r="X10653" s="23" t="str">
        <f aca="false">IF(T10653="","",IF(T10653=0,"No discount",IF(T10653&lt;=0.2,"Low (1-20%)",IF(T10653&lt;=0.4,"Medium (21-40%)","High (&gt;40%)"))))</f>
        <v/>
      </c>
      <c r="Y10653" s="23" t="str">
        <f aca="false">IF(AND(ISNUMBER(C10653),ISNUMBER(D10653)),D10653-C10653,"")</f>
        <v/>
      </c>
      <c r="Z10653" s="23" t="str">
        <f aca="false">IF(B10653="","",IF(MATCH(B10653,$B$2:$B$12000,0)=ROW()-1,1,0))</f>
        <v/>
      </c>
    </row>
    <row r="10654" customFormat="false" ht="15" hidden="false" customHeight="false" outlineLevel="0" collapsed="false">
      <c r="V10654" s="23" t="str">
        <f aca="false">IF(ISNUMBER(C10654),YEAR(C10654),"")</f>
        <v/>
      </c>
      <c r="W10654" s="23" t="str">
        <f aca="false">IF(ISNUMBER(C10654),MONTH(C10654),"")</f>
        <v/>
      </c>
      <c r="X10654" s="23" t="str">
        <f aca="false">IF(T10654="","",IF(T10654=0,"No discount",IF(T10654&lt;=0.2,"Low (1-20%)",IF(T10654&lt;=0.4,"Medium (21-40%)","High (&gt;40%)"))))</f>
        <v/>
      </c>
      <c r="Y10654" s="23" t="str">
        <f aca="false">IF(AND(ISNUMBER(C10654),ISNUMBER(D10654)),D10654-C10654,"")</f>
        <v/>
      </c>
      <c r="Z10654" s="23" t="str">
        <f aca="false">IF(B10654="","",IF(MATCH(B10654,$B$2:$B$12000,0)=ROW()-1,1,0))</f>
        <v/>
      </c>
    </row>
    <row r="10655" customFormat="false" ht="15" hidden="false" customHeight="false" outlineLevel="0" collapsed="false">
      <c r="V10655" s="23" t="str">
        <f aca="false">IF(ISNUMBER(C10655),YEAR(C10655),"")</f>
        <v/>
      </c>
      <c r="W10655" s="23" t="str">
        <f aca="false">IF(ISNUMBER(C10655),MONTH(C10655),"")</f>
        <v/>
      </c>
      <c r="X10655" s="23" t="str">
        <f aca="false">IF(T10655="","",IF(T10655=0,"No discount",IF(T10655&lt;=0.2,"Low (1-20%)",IF(T10655&lt;=0.4,"Medium (21-40%)","High (&gt;40%)"))))</f>
        <v/>
      </c>
      <c r="Y10655" s="23" t="str">
        <f aca="false">IF(AND(ISNUMBER(C10655),ISNUMBER(D10655)),D10655-C10655,"")</f>
        <v/>
      </c>
      <c r="Z10655" s="23" t="str">
        <f aca="false">IF(B10655="","",IF(MATCH(B10655,$B$2:$B$12000,0)=ROW()-1,1,0))</f>
        <v/>
      </c>
    </row>
    <row r="10656" customFormat="false" ht="15" hidden="false" customHeight="false" outlineLevel="0" collapsed="false">
      <c r="V10656" s="23" t="str">
        <f aca="false">IF(ISNUMBER(C10656),YEAR(C10656),"")</f>
        <v/>
      </c>
      <c r="W10656" s="23" t="str">
        <f aca="false">IF(ISNUMBER(C10656),MONTH(C10656),"")</f>
        <v/>
      </c>
      <c r="X10656" s="23" t="str">
        <f aca="false">IF(T10656="","",IF(T10656=0,"No discount",IF(T10656&lt;=0.2,"Low (1-20%)",IF(T10656&lt;=0.4,"Medium (21-40%)","High (&gt;40%)"))))</f>
        <v/>
      </c>
      <c r="Y10656" s="23" t="str">
        <f aca="false">IF(AND(ISNUMBER(C10656),ISNUMBER(D10656)),D10656-C10656,"")</f>
        <v/>
      </c>
      <c r="Z10656" s="23" t="str">
        <f aca="false">IF(B10656="","",IF(MATCH(B10656,$B$2:$B$12000,0)=ROW()-1,1,0))</f>
        <v/>
      </c>
    </row>
    <row r="10657" customFormat="false" ht="15" hidden="false" customHeight="false" outlineLevel="0" collapsed="false">
      <c r="V10657" s="23" t="str">
        <f aca="false">IF(ISNUMBER(C10657),YEAR(C10657),"")</f>
        <v/>
      </c>
      <c r="W10657" s="23" t="str">
        <f aca="false">IF(ISNUMBER(C10657),MONTH(C10657),"")</f>
        <v/>
      </c>
      <c r="X10657" s="23" t="str">
        <f aca="false">IF(T10657="","",IF(T10657=0,"No discount",IF(T10657&lt;=0.2,"Low (1-20%)",IF(T10657&lt;=0.4,"Medium (21-40%)","High (&gt;40%)"))))</f>
        <v/>
      </c>
      <c r="Y10657" s="23" t="str">
        <f aca="false">IF(AND(ISNUMBER(C10657),ISNUMBER(D10657)),D10657-C10657,"")</f>
        <v/>
      </c>
      <c r="Z10657" s="23" t="str">
        <f aca="false">IF(B10657="","",IF(MATCH(B10657,$B$2:$B$12000,0)=ROW()-1,1,0))</f>
        <v/>
      </c>
    </row>
    <row r="10658" customFormat="false" ht="15" hidden="false" customHeight="false" outlineLevel="0" collapsed="false">
      <c r="V10658" s="23" t="str">
        <f aca="false">IF(ISNUMBER(C10658),YEAR(C10658),"")</f>
        <v/>
      </c>
      <c r="W10658" s="23" t="str">
        <f aca="false">IF(ISNUMBER(C10658),MONTH(C10658),"")</f>
        <v/>
      </c>
      <c r="X10658" s="23" t="str">
        <f aca="false">IF(T10658="","",IF(T10658=0,"No discount",IF(T10658&lt;=0.2,"Low (1-20%)",IF(T10658&lt;=0.4,"Medium (21-40%)","High (&gt;40%)"))))</f>
        <v/>
      </c>
      <c r="Y10658" s="23" t="str">
        <f aca="false">IF(AND(ISNUMBER(C10658),ISNUMBER(D10658)),D10658-C10658,"")</f>
        <v/>
      </c>
      <c r="Z10658" s="23" t="str">
        <f aca="false">IF(B10658="","",IF(MATCH(B10658,$B$2:$B$12000,0)=ROW()-1,1,0))</f>
        <v/>
      </c>
    </row>
    <row r="10659" customFormat="false" ht="15" hidden="false" customHeight="false" outlineLevel="0" collapsed="false">
      <c r="V10659" s="23" t="str">
        <f aca="false">IF(ISNUMBER(C10659),YEAR(C10659),"")</f>
        <v/>
      </c>
      <c r="W10659" s="23" t="str">
        <f aca="false">IF(ISNUMBER(C10659),MONTH(C10659),"")</f>
        <v/>
      </c>
      <c r="X10659" s="23" t="str">
        <f aca="false">IF(T10659="","",IF(T10659=0,"No discount",IF(T10659&lt;=0.2,"Low (1-20%)",IF(T10659&lt;=0.4,"Medium (21-40%)","High (&gt;40%)"))))</f>
        <v/>
      </c>
      <c r="Y10659" s="23" t="str">
        <f aca="false">IF(AND(ISNUMBER(C10659),ISNUMBER(D10659)),D10659-C10659,"")</f>
        <v/>
      </c>
      <c r="Z10659" s="23" t="str">
        <f aca="false">IF(B10659="","",IF(MATCH(B10659,$B$2:$B$12000,0)=ROW()-1,1,0))</f>
        <v/>
      </c>
    </row>
    <row r="10660" customFormat="false" ht="15" hidden="false" customHeight="false" outlineLevel="0" collapsed="false">
      <c r="V10660" s="23" t="str">
        <f aca="false">IF(ISNUMBER(C10660),YEAR(C10660),"")</f>
        <v/>
      </c>
      <c r="W10660" s="23" t="str">
        <f aca="false">IF(ISNUMBER(C10660),MONTH(C10660),"")</f>
        <v/>
      </c>
      <c r="X10660" s="23" t="str">
        <f aca="false">IF(T10660="","",IF(T10660=0,"No discount",IF(T10660&lt;=0.2,"Low (1-20%)",IF(T10660&lt;=0.4,"Medium (21-40%)","High (&gt;40%)"))))</f>
        <v/>
      </c>
      <c r="Y10660" s="23" t="str">
        <f aca="false">IF(AND(ISNUMBER(C10660),ISNUMBER(D10660)),D10660-C10660,"")</f>
        <v/>
      </c>
      <c r="Z10660" s="23" t="str">
        <f aca="false">IF(B10660="","",IF(MATCH(B10660,$B$2:$B$12000,0)=ROW()-1,1,0))</f>
        <v/>
      </c>
    </row>
    <row r="10661" customFormat="false" ht="15" hidden="false" customHeight="false" outlineLevel="0" collapsed="false">
      <c r="V10661" s="23" t="str">
        <f aca="false">IF(ISNUMBER(C10661),YEAR(C10661),"")</f>
        <v/>
      </c>
      <c r="W10661" s="23" t="str">
        <f aca="false">IF(ISNUMBER(C10661),MONTH(C10661),"")</f>
        <v/>
      </c>
      <c r="X10661" s="23" t="str">
        <f aca="false">IF(T10661="","",IF(T10661=0,"No discount",IF(T10661&lt;=0.2,"Low (1-20%)",IF(T10661&lt;=0.4,"Medium (21-40%)","High (&gt;40%)"))))</f>
        <v/>
      </c>
      <c r="Y10661" s="23" t="str">
        <f aca="false">IF(AND(ISNUMBER(C10661),ISNUMBER(D10661)),D10661-C10661,"")</f>
        <v/>
      </c>
      <c r="Z10661" s="23" t="str">
        <f aca="false">IF(B10661="","",IF(MATCH(B10661,$B$2:$B$12000,0)=ROW()-1,1,0))</f>
        <v/>
      </c>
    </row>
    <row r="10662" customFormat="false" ht="15" hidden="false" customHeight="false" outlineLevel="0" collapsed="false">
      <c r="V10662" s="23" t="str">
        <f aca="false">IF(ISNUMBER(C10662),YEAR(C10662),"")</f>
        <v/>
      </c>
      <c r="W10662" s="23" t="str">
        <f aca="false">IF(ISNUMBER(C10662),MONTH(C10662),"")</f>
        <v/>
      </c>
      <c r="X10662" s="23" t="str">
        <f aca="false">IF(T10662="","",IF(T10662=0,"No discount",IF(T10662&lt;=0.2,"Low (1-20%)",IF(T10662&lt;=0.4,"Medium (21-40%)","High (&gt;40%)"))))</f>
        <v/>
      </c>
      <c r="Y10662" s="23" t="str">
        <f aca="false">IF(AND(ISNUMBER(C10662),ISNUMBER(D10662)),D10662-C10662,"")</f>
        <v/>
      </c>
      <c r="Z10662" s="23" t="str">
        <f aca="false">IF(B10662="","",IF(MATCH(B10662,$B$2:$B$12000,0)=ROW()-1,1,0))</f>
        <v/>
      </c>
    </row>
    <row r="10663" customFormat="false" ht="15" hidden="false" customHeight="false" outlineLevel="0" collapsed="false">
      <c r="V10663" s="23" t="str">
        <f aca="false">IF(ISNUMBER(C10663),YEAR(C10663),"")</f>
        <v/>
      </c>
      <c r="W10663" s="23" t="str">
        <f aca="false">IF(ISNUMBER(C10663),MONTH(C10663),"")</f>
        <v/>
      </c>
      <c r="X10663" s="23" t="str">
        <f aca="false">IF(T10663="","",IF(T10663=0,"No discount",IF(T10663&lt;=0.2,"Low (1-20%)",IF(T10663&lt;=0.4,"Medium (21-40%)","High (&gt;40%)"))))</f>
        <v/>
      </c>
      <c r="Y10663" s="23" t="str">
        <f aca="false">IF(AND(ISNUMBER(C10663),ISNUMBER(D10663)),D10663-C10663,"")</f>
        <v/>
      </c>
      <c r="Z10663" s="23" t="str">
        <f aca="false">IF(B10663="","",IF(MATCH(B10663,$B$2:$B$12000,0)=ROW()-1,1,0))</f>
        <v/>
      </c>
    </row>
    <row r="10664" customFormat="false" ht="15" hidden="false" customHeight="false" outlineLevel="0" collapsed="false">
      <c r="V10664" s="23" t="str">
        <f aca="false">IF(ISNUMBER(C10664),YEAR(C10664),"")</f>
        <v/>
      </c>
      <c r="W10664" s="23" t="str">
        <f aca="false">IF(ISNUMBER(C10664),MONTH(C10664),"")</f>
        <v/>
      </c>
      <c r="X10664" s="23" t="str">
        <f aca="false">IF(T10664="","",IF(T10664=0,"No discount",IF(T10664&lt;=0.2,"Low (1-20%)",IF(T10664&lt;=0.4,"Medium (21-40%)","High (&gt;40%)"))))</f>
        <v/>
      </c>
      <c r="Y10664" s="23" t="str">
        <f aca="false">IF(AND(ISNUMBER(C10664),ISNUMBER(D10664)),D10664-C10664,"")</f>
        <v/>
      </c>
      <c r="Z10664" s="23" t="str">
        <f aca="false">IF(B10664="","",IF(MATCH(B10664,$B$2:$B$12000,0)=ROW()-1,1,0))</f>
        <v/>
      </c>
    </row>
    <row r="10665" customFormat="false" ht="15" hidden="false" customHeight="false" outlineLevel="0" collapsed="false">
      <c r="V10665" s="23" t="str">
        <f aca="false">IF(ISNUMBER(C10665),YEAR(C10665),"")</f>
        <v/>
      </c>
      <c r="W10665" s="23" t="str">
        <f aca="false">IF(ISNUMBER(C10665),MONTH(C10665),"")</f>
        <v/>
      </c>
      <c r="X10665" s="23" t="str">
        <f aca="false">IF(T10665="","",IF(T10665=0,"No discount",IF(T10665&lt;=0.2,"Low (1-20%)",IF(T10665&lt;=0.4,"Medium (21-40%)","High (&gt;40%)"))))</f>
        <v/>
      </c>
      <c r="Y10665" s="23" t="str">
        <f aca="false">IF(AND(ISNUMBER(C10665),ISNUMBER(D10665)),D10665-C10665,"")</f>
        <v/>
      </c>
      <c r="Z10665" s="23" t="str">
        <f aca="false">IF(B10665="","",IF(MATCH(B10665,$B$2:$B$12000,0)=ROW()-1,1,0))</f>
        <v/>
      </c>
    </row>
    <row r="10666" customFormat="false" ht="15" hidden="false" customHeight="false" outlineLevel="0" collapsed="false">
      <c r="V10666" s="23" t="str">
        <f aca="false">IF(ISNUMBER(C10666),YEAR(C10666),"")</f>
        <v/>
      </c>
      <c r="W10666" s="23" t="str">
        <f aca="false">IF(ISNUMBER(C10666),MONTH(C10666),"")</f>
        <v/>
      </c>
      <c r="X10666" s="23" t="str">
        <f aca="false">IF(T10666="","",IF(T10666=0,"No discount",IF(T10666&lt;=0.2,"Low (1-20%)",IF(T10666&lt;=0.4,"Medium (21-40%)","High (&gt;40%)"))))</f>
        <v/>
      </c>
      <c r="Y10666" s="23" t="str">
        <f aca="false">IF(AND(ISNUMBER(C10666),ISNUMBER(D10666)),D10666-C10666,"")</f>
        <v/>
      </c>
      <c r="Z10666" s="23" t="str">
        <f aca="false">IF(B10666="","",IF(MATCH(B10666,$B$2:$B$12000,0)=ROW()-1,1,0))</f>
        <v/>
      </c>
    </row>
    <row r="10667" customFormat="false" ht="15" hidden="false" customHeight="false" outlineLevel="0" collapsed="false">
      <c r="V10667" s="23" t="str">
        <f aca="false">IF(ISNUMBER(C10667),YEAR(C10667),"")</f>
        <v/>
      </c>
      <c r="W10667" s="23" t="str">
        <f aca="false">IF(ISNUMBER(C10667),MONTH(C10667),"")</f>
        <v/>
      </c>
      <c r="X10667" s="23" t="str">
        <f aca="false">IF(T10667="","",IF(T10667=0,"No discount",IF(T10667&lt;=0.2,"Low (1-20%)",IF(T10667&lt;=0.4,"Medium (21-40%)","High (&gt;40%)"))))</f>
        <v/>
      </c>
      <c r="Y10667" s="23" t="str">
        <f aca="false">IF(AND(ISNUMBER(C10667),ISNUMBER(D10667)),D10667-C10667,"")</f>
        <v/>
      </c>
      <c r="Z10667" s="23" t="str">
        <f aca="false">IF(B10667="","",IF(MATCH(B10667,$B$2:$B$12000,0)=ROW()-1,1,0))</f>
        <v/>
      </c>
    </row>
    <row r="10668" customFormat="false" ht="15" hidden="false" customHeight="false" outlineLevel="0" collapsed="false">
      <c r="V10668" s="23" t="str">
        <f aca="false">IF(ISNUMBER(C10668),YEAR(C10668),"")</f>
        <v/>
      </c>
      <c r="W10668" s="23" t="str">
        <f aca="false">IF(ISNUMBER(C10668),MONTH(C10668),"")</f>
        <v/>
      </c>
      <c r="X10668" s="23" t="str">
        <f aca="false">IF(T10668="","",IF(T10668=0,"No discount",IF(T10668&lt;=0.2,"Low (1-20%)",IF(T10668&lt;=0.4,"Medium (21-40%)","High (&gt;40%)"))))</f>
        <v/>
      </c>
      <c r="Y10668" s="23" t="str">
        <f aca="false">IF(AND(ISNUMBER(C10668),ISNUMBER(D10668)),D10668-C10668,"")</f>
        <v/>
      </c>
      <c r="Z10668" s="23" t="str">
        <f aca="false">IF(B10668="","",IF(MATCH(B10668,$B$2:$B$12000,0)=ROW()-1,1,0))</f>
        <v/>
      </c>
    </row>
    <row r="10669" customFormat="false" ht="15" hidden="false" customHeight="false" outlineLevel="0" collapsed="false">
      <c r="V10669" s="23" t="str">
        <f aca="false">IF(ISNUMBER(C10669),YEAR(C10669),"")</f>
        <v/>
      </c>
      <c r="W10669" s="23" t="str">
        <f aca="false">IF(ISNUMBER(C10669),MONTH(C10669),"")</f>
        <v/>
      </c>
      <c r="X10669" s="23" t="str">
        <f aca="false">IF(T10669="","",IF(T10669=0,"No discount",IF(T10669&lt;=0.2,"Low (1-20%)",IF(T10669&lt;=0.4,"Medium (21-40%)","High (&gt;40%)"))))</f>
        <v/>
      </c>
      <c r="Y10669" s="23" t="str">
        <f aca="false">IF(AND(ISNUMBER(C10669),ISNUMBER(D10669)),D10669-C10669,"")</f>
        <v/>
      </c>
      <c r="Z10669" s="23" t="str">
        <f aca="false">IF(B10669="","",IF(MATCH(B10669,$B$2:$B$12000,0)=ROW()-1,1,0))</f>
        <v/>
      </c>
    </row>
    <row r="10670" customFormat="false" ht="15" hidden="false" customHeight="false" outlineLevel="0" collapsed="false">
      <c r="V10670" s="23" t="str">
        <f aca="false">IF(ISNUMBER(C10670),YEAR(C10670),"")</f>
        <v/>
      </c>
      <c r="W10670" s="23" t="str">
        <f aca="false">IF(ISNUMBER(C10670),MONTH(C10670),"")</f>
        <v/>
      </c>
      <c r="X10670" s="23" t="str">
        <f aca="false">IF(T10670="","",IF(T10670=0,"No discount",IF(T10670&lt;=0.2,"Low (1-20%)",IF(T10670&lt;=0.4,"Medium (21-40%)","High (&gt;40%)"))))</f>
        <v/>
      </c>
      <c r="Y10670" s="23" t="str">
        <f aca="false">IF(AND(ISNUMBER(C10670),ISNUMBER(D10670)),D10670-C10670,"")</f>
        <v/>
      </c>
      <c r="Z10670" s="23" t="str">
        <f aca="false">IF(B10670="","",IF(MATCH(B10670,$B$2:$B$12000,0)=ROW()-1,1,0))</f>
        <v/>
      </c>
    </row>
    <row r="10671" customFormat="false" ht="15" hidden="false" customHeight="false" outlineLevel="0" collapsed="false">
      <c r="V10671" s="23" t="str">
        <f aca="false">IF(ISNUMBER(C10671),YEAR(C10671),"")</f>
        <v/>
      </c>
      <c r="W10671" s="23" t="str">
        <f aca="false">IF(ISNUMBER(C10671),MONTH(C10671),"")</f>
        <v/>
      </c>
      <c r="X10671" s="23" t="str">
        <f aca="false">IF(T10671="","",IF(T10671=0,"No discount",IF(T10671&lt;=0.2,"Low (1-20%)",IF(T10671&lt;=0.4,"Medium (21-40%)","High (&gt;40%)"))))</f>
        <v/>
      </c>
      <c r="Y10671" s="23" t="str">
        <f aca="false">IF(AND(ISNUMBER(C10671),ISNUMBER(D10671)),D10671-C10671,"")</f>
        <v/>
      </c>
      <c r="Z10671" s="23" t="str">
        <f aca="false">IF(B10671="","",IF(MATCH(B10671,$B$2:$B$12000,0)=ROW()-1,1,0))</f>
        <v/>
      </c>
    </row>
    <row r="10672" customFormat="false" ht="15" hidden="false" customHeight="false" outlineLevel="0" collapsed="false">
      <c r="V10672" s="23" t="str">
        <f aca="false">IF(ISNUMBER(C10672),YEAR(C10672),"")</f>
        <v/>
      </c>
      <c r="W10672" s="23" t="str">
        <f aca="false">IF(ISNUMBER(C10672),MONTH(C10672),"")</f>
        <v/>
      </c>
      <c r="X10672" s="23" t="str">
        <f aca="false">IF(T10672="","",IF(T10672=0,"No discount",IF(T10672&lt;=0.2,"Low (1-20%)",IF(T10672&lt;=0.4,"Medium (21-40%)","High (&gt;40%)"))))</f>
        <v/>
      </c>
      <c r="Y10672" s="23" t="str">
        <f aca="false">IF(AND(ISNUMBER(C10672),ISNUMBER(D10672)),D10672-C10672,"")</f>
        <v/>
      </c>
      <c r="Z10672" s="23" t="str">
        <f aca="false">IF(B10672="","",IF(MATCH(B10672,$B$2:$B$12000,0)=ROW()-1,1,0))</f>
        <v/>
      </c>
    </row>
    <row r="10673" customFormat="false" ht="15" hidden="false" customHeight="false" outlineLevel="0" collapsed="false">
      <c r="V10673" s="23" t="str">
        <f aca="false">IF(ISNUMBER(C10673),YEAR(C10673),"")</f>
        <v/>
      </c>
      <c r="W10673" s="23" t="str">
        <f aca="false">IF(ISNUMBER(C10673),MONTH(C10673),"")</f>
        <v/>
      </c>
      <c r="X10673" s="23" t="str">
        <f aca="false">IF(T10673="","",IF(T10673=0,"No discount",IF(T10673&lt;=0.2,"Low (1-20%)",IF(T10673&lt;=0.4,"Medium (21-40%)","High (&gt;40%)"))))</f>
        <v/>
      </c>
      <c r="Y10673" s="23" t="str">
        <f aca="false">IF(AND(ISNUMBER(C10673),ISNUMBER(D10673)),D10673-C10673,"")</f>
        <v/>
      </c>
      <c r="Z10673" s="23" t="str">
        <f aca="false">IF(B10673="","",IF(MATCH(B10673,$B$2:$B$12000,0)=ROW()-1,1,0))</f>
        <v/>
      </c>
    </row>
    <row r="10674" customFormat="false" ht="15" hidden="false" customHeight="false" outlineLevel="0" collapsed="false">
      <c r="V10674" s="23" t="str">
        <f aca="false">IF(ISNUMBER(C10674),YEAR(C10674),"")</f>
        <v/>
      </c>
      <c r="W10674" s="23" t="str">
        <f aca="false">IF(ISNUMBER(C10674),MONTH(C10674),"")</f>
        <v/>
      </c>
      <c r="X10674" s="23" t="str">
        <f aca="false">IF(T10674="","",IF(T10674=0,"No discount",IF(T10674&lt;=0.2,"Low (1-20%)",IF(T10674&lt;=0.4,"Medium (21-40%)","High (&gt;40%)"))))</f>
        <v/>
      </c>
      <c r="Y10674" s="23" t="str">
        <f aca="false">IF(AND(ISNUMBER(C10674),ISNUMBER(D10674)),D10674-C10674,"")</f>
        <v/>
      </c>
      <c r="Z10674" s="23" t="str">
        <f aca="false">IF(B10674="","",IF(MATCH(B10674,$B$2:$B$12000,0)=ROW()-1,1,0))</f>
        <v/>
      </c>
    </row>
    <row r="10675" customFormat="false" ht="15" hidden="false" customHeight="false" outlineLevel="0" collapsed="false">
      <c r="V10675" s="23" t="str">
        <f aca="false">IF(ISNUMBER(C10675),YEAR(C10675),"")</f>
        <v/>
      </c>
      <c r="W10675" s="23" t="str">
        <f aca="false">IF(ISNUMBER(C10675),MONTH(C10675),"")</f>
        <v/>
      </c>
      <c r="X10675" s="23" t="str">
        <f aca="false">IF(T10675="","",IF(T10675=0,"No discount",IF(T10675&lt;=0.2,"Low (1-20%)",IF(T10675&lt;=0.4,"Medium (21-40%)","High (&gt;40%)"))))</f>
        <v/>
      </c>
      <c r="Y10675" s="23" t="str">
        <f aca="false">IF(AND(ISNUMBER(C10675),ISNUMBER(D10675)),D10675-C10675,"")</f>
        <v/>
      </c>
      <c r="Z10675" s="23" t="str">
        <f aca="false">IF(B10675="","",IF(MATCH(B10675,$B$2:$B$12000,0)=ROW()-1,1,0))</f>
        <v/>
      </c>
    </row>
    <row r="10676" customFormat="false" ht="15" hidden="false" customHeight="false" outlineLevel="0" collapsed="false">
      <c r="V10676" s="23" t="str">
        <f aca="false">IF(ISNUMBER(C10676),YEAR(C10676),"")</f>
        <v/>
      </c>
      <c r="W10676" s="23" t="str">
        <f aca="false">IF(ISNUMBER(C10676),MONTH(C10676),"")</f>
        <v/>
      </c>
      <c r="X10676" s="23" t="str">
        <f aca="false">IF(T10676="","",IF(T10676=0,"No discount",IF(T10676&lt;=0.2,"Low (1-20%)",IF(T10676&lt;=0.4,"Medium (21-40%)","High (&gt;40%)"))))</f>
        <v/>
      </c>
      <c r="Y10676" s="23" t="str">
        <f aca="false">IF(AND(ISNUMBER(C10676),ISNUMBER(D10676)),D10676-C10676,"")</f>
        <v/>
      </c>
      <c r="Z10676" s="23" t="str">
        <f aca="false">IF(B10676="","",IF(MATCH(B10676,$B$2:$B$12000,0)=ROW()-1,1,0))</f>
        <v/>
      </c>
    </row>
    <row r="10677" customFormat="false" ht="15" hidden="false" customHeight="false" outlineLevel="0" collapsed="false">
      <c r="V10677" s="23" t="str">
        <f aca="false">IF(ISNUMBER(C10677),YEAR(C10677),"")</f>
        <v/>
      </c>
      <c r="W10677" s="23" t="str">
        <f aca="false">IF(ISNUMBER(C10677),MONTH(C10677),"")</f>
        <v/>
      </c>
      <c r="X10677" s="23" t="str">
        <f aca="false">IF(T10677="","",IF(T10677=0,"No discount",IF(T10677&lt;=0.2,"Low (1-20%)",IF(T10677&lt;=0.4,"Medium (21-40%)","High (&gt;40%)"))))</f>
        <v/>
      </c>
      <c r="Y10677" s="23" t="str">
        <f aca="false">IF(AND(ISNUMBER(C10677),ISNUMBER(D10677)),D10677-C10677,"")</f>
        <v/>
      </c>
      <c r="Z10677" s="23" t="str">
        <f aca="false">IF(B10677="","",IF(MATCH(B10677,$B$2:$B$12000,0)=ROW()-1,1,0))</f>
        <v/>
      </c>
    </row>
    <row r="10678" customFormat="false" ht="15" hidden="false" customHeight="false" outlineLevel="0" collapsed="false">
      <c r="V10678" s="23" t="str">
        <f aca="false">IF(ISNUMBER(C10678),YEAR(C10678),"")</f>
        <v/>
      </c>
      <c r="W10678" s="23" t="str">
        <f aca="false">IF(ISNUMBER(C10678),MONTH(C10678),"")</f>
        <v/>
      </c>
      <c r="X10678" s="23" t="str">
        <f aca="false">IF(T10678="","",IF(T10678=0,"No discount",IF(T10678&lt;=0.2,"Low (1-20%)",IF(T10678&lt;=0.4,"Medium (21-40%)","High (&gt;40%)"))))</f>
        <v/>
      </c>
      <c r="Y10678" s="23" t="str">
        <f aca="false">IF(AND(ISNUMBER(C10678),ISNUMBER(D10678)),D10678-C10678,"")</f>
        <v/>
      </c>
      <c r="Z10678" s="23" t="str">
        <f aca="false">IF(B10678="","",IF(MATCH(B10678,$B$2:$B$12000,0)=ROW()-1,1,0))</f>
        <v/>
      </c>
    </row>
    <row r="10679" customFormat="false" ht="15" hidden="false" customHeight="false" outlineLevel="0" collapsed="false">
      <c r="V10679" s="23" t="str">
        <f aca="false">IF(ISNUMBER(C10679),YEAR(C10679),"")</f>
        <v/>
      </c>
      <c r="W10679" s="23" t="str">
        <f aca="false">IF(ISNUMBER(C10679),MONTH(C10679),"")</f>
        <v/>
      </c>
      <c r="X10679" s="23" t="str">
        <f aca="false">IF(T10679="","",IF(T10679=0,"No discount",IF(T10679&lt;=0.2,"Low (1-20%)",IF(T10679&lt;=0.4,"Medium (21-40%)","High (&gt;40%)"))))</f>
        <v/>
      </c>
      <c r="Y10679" s="23" t="str">
        <f aca="false">IF(AND(ISNUMBER(C10679),ISNUMBER(D10679)),D10679-C10679,"")</f>
        <v/>
      </c>
      <c r="Z10679" s="23" t="str">
        <f aca="false">IF(B10679="","",IF(MATCH(B10679,$B$2:$B$12000,0)=ROW()-1,1,0))</f>
        <v/>
      </c>
    </row>
    <row r="10680" customFormat="false" ht="15" hidden="false" customHeight="false" outlineLevel="0" collapsed="false">
      <c r="V10680" s="23" t="str">
        <f aca="false">IF(ISNUMBER(C10680),YEAR(C10680),"")</f>
        <v/>
      </c>
      <c r="W10680" s="23" t="str">
        <f aca="false">IF(ISNUMBER(C10680),MONTH(C10680),"")</f>
        <v/>
      </c>
      <c r="X10680" s="23" t="str">
        <f aca="false">IF(T10680="","",IF(T10680=0,"No discount",IF(T10680&lt;=0.2,"Low (1-20%)",IF(T10680&lt;=0.4,"Medium (21-40%)","High (&gt;40%)"))))</f>
        <v/>
      </c>
      <c r="Y10680" s="23" t="str">
        <f aca="false">IF(AND(ISNUMBER(C10680),ISNUMBER(D10680)),D10680-C10680,"")</f>
        <v/>
      </c>
      <c r="Z10680" s="23" t="str">
        <f aca="false">IF(B10680="","",IF(MATCH(B10680,$B$2:$B$12000,0)=ROW()-1,1,0))</f>
        <v/>
      </c>
    </row>
    <row r="10681" customFormat="false" ht="15" hidden="false" customHeight="false" outlineLevel="0" collapsed="false">
      <c r="V10681" s="23" t="str">
        <f aca="false">IF(ISNUMBER(C10681),YEAR(C10681),"")</f>
        <v/>
      </c>
      <c r="W10681" s="23" t="str">
        <f aca="false">IF(ISNUMBER(C10681),MONTH(C10681),"")</f>
        <v/>
      </c>
      <c r="X10681" s="23" t="str">
        <f aca="false">IF(T10681="","",IF(T10681=0,"No discount",IF(T10681&lt;=0.2,"Low (1-20%)",IF(T10681&lt;=0.4,"Medium (21-40%)","High (&gt;40%)"))))</f>
        <v/>
      </c>
      <c r="Y10681" s="23" t="str">
        <f aca="false">IF(AND(ISNUMBER(C10681),ISNUMBER(D10681)),D10681-C10681,"")</f>
        <v/>
      </c>
      <c r="Z10681" s="23" t="str">
        <f aca="false">IF(B10681="","",IF(MATCH(B10681,$B$2:$B$12000,0)=ROW()-1,1,0))</f>
        <v/>
      </c>
    </row>
    <row r="10682" customFormat="false" ht="15" hidden="false" customHeight="false" outlineLevel="0" collapsed="false">
      <c r="V10682" s="23" t="str">
        <f aca="false">IF(ISNUMBER(C10682),YEAR(C10682),"")</f>
        <v/>
      </c>
      <c r="W10682" s="23" t="str">
        <f aca="false">IF(ISNUMBER(C10682),MONTH(C10682),"")</f>
        <v/>
      </c>
      <c r="X10682" s="23" t="str">
        <f aca="false">IF(T10682="","",IF(T10682=0,"No discount",IF(T10682&lt;=0.2,"Low (1-20%)",IF(T10682&lt;=0.4,"Medium (21-40%)","High (&gt;40%)"))))</f>
        <v/>
      </c>
      <c r="Y10682" s="23" t="str">
        <f aca="false">IF(AND(ISNUMBER(C10682),ISNUMBER(D10682)),D10682-C10682,"")</f>
        <v/>
      </c>
      <c r="Z10682" s="23" t="str">
        <f aca="false">IF(B10682="","",IF(MATCH(B10682,$B$2:$B$12000,0)=ROW()-1,1,0))</f>
        <v/>
      </c>
    </row>
    <row r="10683" customFormat="false" ht="15" hidden="false" customHeight="false" outlineLevel="0" collapsed="false">
      <c r="V10683" s="23" t="str">
        <f aca="false">IF(ISNUMBER(C10683),YEAR(C10683),"")</f>
        <v/>
      </c>
      <c r="W10683" s="23" t="str">
        <f aca="false">IF(ISNUMBER(C10683),MONTH(C10683),"")</f>
        <v/>
      </c>
      <c r="X10683" s="23" t="str">
        <f aca="false">IF(T10683="","",IF(T10683=0,"No discount",IF(T10683&lt;=0.2,"Low (1-20%)",IF(T10683&lt;=0.4,"Medium (21-40%)","High (&gt;40%)"))))</f>
        <v/>
      </c>
      <c r="Y10683" s="23" t="str">
        <f aca="false">IF(AND(ISNUMBER(C10683),ISNUMBER(D10683)),D10683-C10683,"")</f>
        <v/>
      </c>
      <c r="Z10683" s="23" t="str">
        <f aca="false">IF(B10683="","",IF(MATCH(B10683,$B$2:$B$12000,0)=ROW()-1,1,0))</f>
        <v/>
      </c>
    </row>
    <row r="10684" customFormat="false" ht="15" hidden="false" customHeight="false" outlineLevel="0" collapsed="false">
      <c r="V10684" s="23" t="str">
        <f aca="false">IF(ISNUMBER(C10684),YEAR(C10684),"")</f>
        <v/>
      </c>
      <c r="W10684" s="23" t="str">
        <f aca="false">IF(ISNUMBER(C10684),MONTH(C10684),"")</f>
        <v/>
      </c>
      <c r="X10684" s="23" t="str">
        <f aca="false">IF(T10684="","",IF(T10684=0,"No discount",IF(T10684&lt;=0.2,"Low (1-20%)",IF(T10684&lt;=0.4,"Medium (21-40%)","High (&gt;40%)"))))</f>
        <v/>
      </c>
      <c r="Y10684" s="23" t="str">
        <f aca="false">IF(AND(ISNUMBER(C10684),ISNUMBER(D10684)),D10684-C10684,"")</f>
        <v/>
      </c>
      <c r="Z10684" s="23" t="str">
        <f aca="false">IF(B10684="","",IF(MATCH(B10684,$B$2:$B$12000,0)=ROW()-1,1,0))</f>
        <v/>
      </c>
    </row>
    <row r="10685" customFormat="false" ht="15" hidden="false" customHeight="false" outlineLevel="0" collapsed="false">
      <c r="V10685" s="23" t="str">
        <f aca="false">IF(ISNUMBER(C10685),YEAR(C10685),"")</f>
        <v/>
      </c>
      <c r="W10685" s="23" t="str">
        <f aca="false">IF(ISNUMBER(C10685),MONTH(C10685),"")</f>
        <v/>
      </c>
      <c r="X10685" s="23" t="str">
        <f aca="false">IF(T10685="","",IF(T10685=0,"No discount",IF(T10685&lt;=0.2,"Low (1-20%)",IF(T10685&lt;=0.4,"Medium (21-40%)","High (&gt;40%)"))))</f>
        <v/>
      </c>
      <c r="Y10685" s="23" t="str">
        <f aca="false">IF(AND(ISNUMBER(C10685),ISNUMBER(D10685)),D10685-C10685,"")</f>
        <v/>
      </c>
      <c r="Z10685" s="23" t="str">
        <f aca="false">IF(B10685="","",IF(MATCH(B10685,$B$2:$B$12000,0)=ROW()-1,1,0))</f>
        <v/>
      </c>
    </row>
    <row r="10686" customFormat="false" ht="15" hidden="false" customHeight="false" outlineLevel="0" collapsed="false">
      <c r="V10686" s="23" t="str">
        <f aca="false">IF(ISNUMBER(C10686),YEAR(C10686),"")</f>
        <v/>
      </c>
      <c r="W10686" s="23" t="str">
        <f aca="false">IF(ISNUMBER(C10686),MONTH(C10686),"")</f>
        <v/>
      </c>
      <c r="X10686" s="23" t="str">
        <f aca="false">IF(T10686="","",IF(T10686=0,"No discount",IF(T10686&lt;=0.2,"Low (1-20%)",IF(T10686&lt;=0.4,"Medium (21-40%)","High (&gt;40%)"))))</f>
        <v/>
      </c>
      <c r="Y10686" s="23" t="str">
        <f aca="false">IF(AND(ISNUMBER(C10686),ISNUMBER(D10686)),D10686-C10686,"")</f>
        <v/>
      </c>
      <c r="Z10686" s="23" t="str">
        <f aca="false">IF(B10686="","",IF(MATCH(B10686,$B$2:$B$12000,0)=ROW()-1,1,0))</f>
        <v/>
      </c>
    </row>
    <row r="10687" customFormat="false" ht="15" hidden="false" customHeight="false" outlineLevel="0" collapsed="false">
      <c r="V10687" s="23" t="str">
        <f aca="false">IF(ISNUMBER(C10687),YEAR(C10687),"")</f>
        <v/>
      </c>
      <c r="W10687" s="23" t="str">
        <f aca="false">IF(ISNUMBER(C10687),MONTH(C10687),"")</f>
        <v/>
      </c>
      <c r="X10687" s="23" t="str">
        <f aca="false">IF(T10687="","",IF(T10687=0,"No discount",IF(T10687&lt;=0.2,"Low (1-20%)",IF(T10687&lt;=0.4,"Medium (21-40%)","High (&gt;40%)"))))</f>
        <v/>
      </c>
      <c r="Y10687" s="23" t="str">
        <f aca="false">IF(AND(ISNUMBER(C10687),ISNUMBER(D10687)),D10687-C10687,"")</f>
        <v/>
      </c>
      <c r="Z10687" s="23" t="str">
        <f aca="false">IF(B10687="","",IF(MATCH(B10687,$B$2:$B$12000,0)=ROW()-1,1,0))</f>
        <v/>
      </c>
    </row>
    <row r="10688" customFormat="false" ht="15" hidden="false" customHeight="false" outlineLevel="0" collapsed="false">
      <c r="V10688" s="23" t="str">
        <f aca="false">IF(ISNUMBER(C10688),YEAR(C10688),"")</f>
        <v/>
      </c>
      <c r="W10688" s="23" t="str">
        <f aca="false">IF(ISNUMBER(C10688),MONTH(C10688),"")</f>
        <v/>
      </c>
      <c r="X10688" s="23" t="str">
        <f aca="false">IF(T10688="","",IF(T10688=0,"No discount",IF(T10688&lt;=0.2,"Low (1-20%)",IF(T10688&lt;=0.4,"Medium (21-40%)","High (&gt;40%)"))))</f>
        <v/>
      </c>
      <c r="Y10688" s="23" t="str">
        <f aca="false">IF(AND(ISNUMBER(C10688),ISNUMBER(D10688)),D10688-C10688,"")</f>
        <v/>
      </c>
      <c r="Z10688" s="23" t="str">
        <f aca="false">IF(B10688="","",IF(MATCH(B10688,$B$2:$B$12000,0)=ROW()-1,1,0))</f>
        <v/>
      </c>
    </row>
    <row r="10689" customFormat="false" ht="15" hidden="false" customHeight="false" outlineLevel="0" collapsed="false">
      <c r="V10689" s="23" t="str">
        <f aca="false">IF(ISNUMBER(C10689),YEAR(C10689),"")</f>
        <v/>
      </c>
      <c r="W10689" s="23" t="str">
        <f aca="false">IF(ISNUMBER(C10689),MONTH(C10689),"")</f>
        <v/>
      </c>
      <c r="X10689" s="23" t="str">
        <f aca="false">IF(T10689="","",IF(T10689=0,"No discount",IF(T10689&lt;=0.2,"Low (1-20%)",IF(T10689&lt;=0.4,"Medium (21-40%)","High (&gt;40%)"))))</f>
        <v/>
      </c>
      <c r="Y10689" s="23" t="str">
        <f aca="false">IF(AND(ISNUMBER(C10689),ISNUMBER(D10689)),D10689-C10689,"")</f>
        <v/>
      </c>
      <c r="Z10689" s="23" t="str">
        <f aca="false">IF(B10689="","",IF(MATCH(B10689,$B$2:$B$12000,0)=ROW()-1,1,0))</f>
        <v/>
      </c>
    </row>
    <row r="10690" customFormat="false" ht="15" hidden="false" customHeight="false" outlineLevel="0" collapsed="false">
      <c r="V10690" s="23" t="str">
        <f aca="false">IF(ISNUMBER(C10690),YEAR(C10690),"")</f>
        <v/>
      </c>
      <c r="W10690" s="23" t="str">
        <f aca="false">IF(ISNUMBER(C10690),MONTH(C10690),"")</f>
        <v/>
      </c>
      <c r="X10690" s="23" t="str">
        <f aca="false">IF(T10690="","",IF(T10690=0,"No discount",IF(T10690&lt;=0.2,"Low (1-20%)",IF(T10690&lt;=0.4,"Medium (21-40%)","High (&gt;40%)"))))</f>
        <v/>
      </c>
      <c r="Y10690" s="23" t="str">
        <f aca="false">IF(AND(ISNUMBER(C10690),ISNUMBER(D10690)),D10690-C10690,"")</f>
        <v/>
      </c>
      <c r="Z10690" s="23" t="str">
        <f aca="false">IF(B10690="","",IF(MATCH(B10690,$B$2:$B$12000,0)=ROW()-1,1,0))</f>
        <v/>
      </c>
    </row>
    <row r="10691" customFormat="false" ht="15" hidden="false" customHeight="false" outlineLevel="0" collapsed="false">
      <c r="V10691" s="23" t="str">
        <f aca="false">IF(ISNUMBER(C10691),YEAR(C10691),"")</f>
        <v/>
      </c>
      <c r="W10691" s="23" t="str">
        <f aca="false">IF(ISNUMBER(C10691),MONTH(C10691),"")</f>
        <v/>
      </c>
      <c r="X10691" s="23" t="str">
        <f aca="false">IF(T10691="","",IF(T10691=0,"No discount",IF(T10691&lt;=0.2,"Low (1-20%)",IF(T10691&lt;=0.4,"Medium (21-40%)","High (&gt;40%)"))))</f>
        <v/>
      </c>
      <c r="Y10691" s="23" t="str">
        <f aca="false">IF(AND(ISNUMBER(C10691),ISNUMBER(D10691)),D10691-C10691,"")</f>
        <v/>
      </c>
      <c r="Z10691" s="23" t="str">
        <f aca="false">IF(B10691="","",IF(MATCH(B10691,$B$2:$B$12000,0)=ROW()-1,1,0))</f>
        <v/>
      </c>
    </row>
    <row r="10692" customFormat="false" ht="15" hidden="false" customHeight="false" outlineLevel="0" collapsed="false">
      <c r="V10692" s="23" t="str">
        <f aca="false">IF(ISNUMBER(C10692),YEAR(C10692),"")</f>
        <v/>
      </c>
      <c r="W10692" s="23" t="str">
        <f aca="false">IF(ISNUMBER(C10692),MONTH(C10692),"")</f>
        <v/>
      </c>
      <c r="X10692" s="23" t="str">
        <f aca="false">IF(T10692="","",IF(T10692=0,"No discount",IF(T10692&lt;=0.2,"Low (1-20%)",IF(T10692&lt;=0.4,"Medium (21-40%)","High (&gt;40%)"))))</f>
        <v/>
      </c>
      <c r="Y10692" s="23" t="str">
        <f aca="false">IF(AND(ISNUMBER(C10692),ISNUMBER(D10692)),D10692-C10692,"")</f>
        <v/>
      </c>
      <c r="Z10692" s="23" t="str">
        <f aca="false">IF(B10692="","",IF(MATCH(B10692,$B$2:$B$12000,0)=ROW()-1,1,0))</f>
        <v/>
      </c>
    </row>
    <row r="10693" customFormat="false" ht="15" hidden="false" customHeight="false" outlineLevel="0" collapsed="false">
      <c r="V10693" s="23" t="str">
        <f aca="false">IF(ISNUMBER(C10693),YEAR(C10693),"")</f>
        <v/>
      </c>
      <c r="W10693" s="23" t="str">
        <f aca="false">IF(ISNUMBER(C10693),MONTH(C10693),"")</f>
        <v/>
      </c>
      <c r="X10693" s="23" t="str">
        <f aca="false">IF(T10693="","",IF(T10693=0,"No discount",IF(T10693&lt;=0.2,"Low (1-20%)",IF(T10693&lt;=0.4,"Medium (21-40%)","High (&gt;40%)"))))</f>
        <v/>
      </c>
      <c r="Y10693" s="23" t="str">
        <f aca="false">IF(AND(ISNUMBER(C10693),ISNUMBER(D10693)),D10693-C10693,"")</f>
        <v/>
      </c>
      <c r="Z10693" s="23" t="str">
        <f aca="false">IF(B10693="","",IF(MATCH(B10693,$B$2:$B$12000,0)=ROW()-1,1,0))</f>
        <v/>
      </c>
    </row>
    <row r="10694" customFormat="false" ht="15" hidden="false" customHeight="false" outlineLevel="0" collapsed="false">
      <c r="V10694" s="23" t="str">
        <f aca="false">IF(ISNUMBER(C10694),YEAR(C10694),"")</f>
        <v/>
      </c>
      <c r="W10694" s="23" t="str">
        <f aca="false">IF(ISNUMBER(C10694),MONTH(C10694),"")</f>
        <v/>
      </c>
      <c r="X10694" s="23" t="str">
        <f aca="false">IF(T10694="","",IF(T10694=0,"No discount",IF(T10694&lt;=0.2,"Low (1-20%)",IF(T10694&lt;=0.4,"Medium (21-40%)","High (&gt;40%)"))))</f>
        <v/>
      </c>
      <c r="Y10694" s="23" t="str">
        <f aca="false">IF(AND(ISNUMBER(C10694),ISNUMBER(D10694)),D10694-C10694,"")</f>
        <v/>
      </c>
      <c r="Z10694" s="23" t="str">
        <f aca="false">IF(B10694="","",IF(MATCH(B10694,$B$2:$B$12000,0)=ROW()-1,1,0))</f>
        <v/>
      </c>
    </row>
    <row r="10695" customFormat="false" ht="15" hidden="false" customHeight="false" outlineLevel="0" collapsed="false">
      <c r="V10695" s="23" t="str">
        <f aca="false">IF(ISNUMBER(C10695),YEAR(C10695),"")</f>
        <v/>
      </c>
      <c r="W10695" s="23" t="str">
        <f aca="false">IF(ISNUMBER(C10695),MONTH(C10695),"")</f>
        <v/>
      </c>
      <c r="X10695" s="23" t="str">
        <f aca="false">IF(T10695="","",IF(T10695=0,"No discount",IF(T10695&lt;=0.2,"Low (1-20%)",IF(T10695&lt;=0.4,"Medium (21-40%)","High (&gt;40%)"))))</f>
        <v/>
      </c>
      <c r="Y10695" s="23" t="str">
        <f aca="false">IF(AND(ISNUMBER(C10695),ISNUMBER(D10695)),D10695-C10695,"")</f>
        <v/>
      </c>
      <c r="Z10695" s="23" t="str">
        <f aca="false">IF(B10695="","",IF(MATCH(B10695,$B$2:$B$12000,0)=ROW()-1,1,0))</f>
        <v/>
      </c>
    </row>
    <row r="10696" customFormat="false" ht="15" hidden="false" customHeight="false" outlineLevel="0" collapsed="false">
      <c r="V10696" s="23" t="str">
        <f aca="false">IF(ISNUMBER(C10696),YEAR(C10696),"")</f>
        <v/>
      </c>
      <c r="W10696" s="23" t="str">
        <f aca="false">IF(ISNUMBER(C10696),MONTH(C10696),"")</f>
        <v/>
      </c>
      <c r="X10696" s="23" t="str">
        <f aca="false">IF(T10696="","",IF(T10696=0,"No discount",IF(T10696&lt;=0.2,"Low (1-20%)",IF(T10696&lt;=0.4,"Medium (21-40%)","High (&gt;40%)"))))</f>
        <v/>
      </c>
      <c r="Y10696" s="23" t="str">
        <f aca="false">IF(AND(ISNUMBER(C10696),ISNUMBER(D10696)),D10696-C10696,"")</f>
        <v/>
      </c>
      <c r="Z10696" s="23" t="str">
        <f aca="false">IF(B10696="","",IF(MATCH(B10696,$B$2:$B$12000,0)=ROW()-1,1,0))</f>
        <v/>
      </c>
    </row>
    <row r="10697" customFormat="false" ht="15" hidden="false" customHeight="false" outlineLevel="0" collapsed="false">
      <c r="V10697" s="23" t="str">
        <f aca="false">IF(ISNUMBER(C10697),YEAR(C10697),"")</f>
        <v/>
      </c>
      <c r="W10697" s="23" t="str">
        <f aca="false">IF(ISNUMBER(C10697),MONTH(C10697),"")</f>
        <v/>
      </c>
      <c r="X10697" s="23" t="str">
        <f aca="false">IF(T10697="","",IF(T10697=0,"No discount",IF(T10697&lt;=0.2,"Low (1-20%)",IF(T10697&lt;=0.4,"Medium (21-40%)","High (&gt;40%)"))))</f>
        <v/>
      </c>
      <c r="Y10697" s="23" t="str">
        <f aca="false">IF(AND(ISNUMBER(C10697),ISNUMBER(D10697)),D10697-C10697,"")</f>
        <v/>
      </c>
      <c r="Z10697" s="23" t="str">
        <f aca="false">IF(B10697="","",IF(MATCH(B10697,$B$2:$B$12000,0)=ROW()-1,1,0))</f>
        <v/>
      </c>
    </row>
    <row r="10698" customFormat="false" ht="15" hidden="false" customHeight="false" outlineLevel="0" collapsed="false">
      <c r="V10698" s="23" t="str">
        <f aca="false">IF(ISNUMBER(C10698),YEAR(C10698),"")</f>
        <v/>
      </c>
      <c r="W10698" s="23" t="str">
        <f aca="false">IF(ISNUMBER(C10698),MONTH(C10698),"")</f>
        <v/>
      </c>
      <c r="X10698" s="23" t="str">
        <f aca="false">IF(T10698="","",IF(T10698=0,"No discount",IF(T10698&lt;=0.2,"Low (1-20%)",IF(T10698&lt;=0.4,"Medium (21-40%)","High (&gt;40%)"))))</f>
        <v/>
      </c>
      <c r="Y10698" s="23" t="str">
        <f aca="false">IF(AND(ISNUMBER(C10698),ISNUMBER(D10698)),D10698-C10698,"")</f>
        <v/>
      </c>
      <c r="Z10698" s="23" t="str">
        <f aca="false">IF(B10698="","",IF(MATCH(B10698,$B$2:$B$12000,0)=ROW()-1,1,0))</f>
        <v/>
      </c>
    </row>
    <row r="10699" customFormat="false" ht="15" hidden="false" customHeight="false" outlineLevel="0" collapsed="false">
      <c r="V10699" s="23" t="str">
        <f aca="false">IF(ISNUMBER(C10699),YEAR(C10699),"")</f>
        <v/>
      </c>
      <c r="W10699" s="23" t="str">
        <f aca="false">IF(ISNUMBER(C10699),MONTH(C10699),"")</f>
        <v/>
      </c>
      <c r="X10699" s="23" t="str">
        <f aca="false">IF(T10699="","",IF(T10699=0,"No discount",IF(T10699&lt;=0.2,"Low (1-20%)",IF(T10699&lt;=0.4,"Medium (21-40%)","High (&gt;40%)"))))</f>
        <v/>
      </c>
      <c r="Y10699" s="23" t="str">
        <f aca="false">IF(AND(ISNUMBER(C10699),ISNUMBER(D10699)),D10699-C10699,"")</f>
        <v/>
      </c>
      <c r="Z10699" s="23" t="str">
        <f aca="false">IF(B10699="","",IF(MATCH(B10699,$B$2:$B$12000,0)=ROW()-1,1,0))</f>
        <v/>
      </c>
    </row>
    <row r="10700" customFormat="false" ht="15" hidden="false" customHeight="false" outlineLevel="0" collapsed="false">
      <c r="V10700" s="23" t="str">
        <f aca="false">IF(ISNUMBER(C10700),YEAR(C10700),"")</f>
        <v/>
      </c>
      <c r="W10700" s="23" t="str">
        <f aca="false">IF(ISNUMBER(C10700),MONTH(C10700),"")</f>
        <v/>
      </c>
      <c r="X10700" s="23" t="str">
        <f aca="false">IF(T10700="","",IF(T10700=0,"No discount",IF(T10700&lt;=0.2,"Low (1-20%)",IF(T10700&lt;=0.4,"Medium (21-40%)","High (&gt;40%)"))))</f>
        <v/>
      </c>
      <c r="Y10700" s="23" t="str">
        <f aca="false">IF(AND(ISNUMBER(C10700),ISNUMBER(D10700)),D10700-C10700,"")</f>
        <v/>
      </c>
      <c r="Z10700" s="23" t="str">
        <f aca="false">IF(B10700="","",IF(MATCH(B10700,$B$2:$B$12000,0)=ROW()-1,1,0))</f>
        <v/>
      </c>
    </row>
    <row r="10701" customFormat="false" ht="15" hidden="false" customHeight="false" outlineLevel="0" collapsed="false">
      <c r="V10701" s="23" t="str">
        <f aca="false">IF(ISNUMBER(C10701),YEAR(C10701),"")</f>
        <v/>
      </c>
      <c r="W10701" s="23" t="str">
        <f aca="false">IF(ISNUMBER(C10701),MONTH(C10701),"")</f>
        <v/>
      </c>
      <c r="X10701" s="23" t="str">
        <f aca="false">IF(T10701="","",IF(T10701=0,"No discount",IF(T10701&lt;=0.2,"Low (1-20%)",IF(T10701&lt;=0.4,"Medium (21-40%)","High (&gt;40%)"))))</f>
        <v/>
      </c>
      <c r="Y10701" s="23" t="str">
        <f aca="false">IF(AND(ISNUMBER(C10701),ISNUMBER(D10701)),D10701-C10701,"")</f>
        <v/>
      </c>
      <c r="Z10701" s="23" t="str">
        <f aca="false">IF(B10701="","",IF(MATCH(B10701,$B$2:$B$12000,0)=ROW()-1,1,0))</f>
        <v/>
      </c>
    </row>
    <row r="10702" customFormat="false" ht="15" hidden="false" customHeight="false" outlineLevel="0" collapsed="false">
      <c r="V10702" s="23" t="str">
        <f aca="false">IF(ISNUMBER(C10702),YEAR(C10702),"")</f>
        <v/>
      </c>
      <c r="W10702" s="23" t="str">
        <f aca="false">IF(ISNUMBER(C10702),MONTH(C10702),"")</f>
        <v/>
      </c>
      <c r="X10702" s="23" t="str">
        <f aca="false">IF(T10702="","",IF(T10702=0,"No discount",IF(T10702&lt;=0.2,"Low (1-20%)",IF(T10702&lt;=0.4,"Medium (21-40%)","High (&gt;40%)"))))</f>
        <v/>
      </c>
      <c r="Y10702" s="23" t="str">
        <f aca="false">IF(AND(ISNUMBER(C10702),ISNUMBER(D10702)),D10702-C10702,"")</f>
        <v/>
      </c>
      <c r="Z10702" s="23" t="str">
        <f aca="false">IF(B10702="","",IF(MATCH(B10702,$B$2:$B$12000,0)=ROW()-1,1,0))</f>
        <v/>
      </c>
    </row>
    <row r="10703" customFormat="false" ht="15" hidden="false" customHeight="false" outlineLevel="0" collapsed="false">
      <c r="V10703" s="23" t="str">
        <f aca="false">IF(ISNUMBER(C10703),YEAR(C10703),"")</f>
        <v/>
      </c>
      <c r="W10703" s="23" t="str">
        <f aca="false">IF(ISNUMBER(C10703),MONTH(C10703),"")</f>
        <v/>
      </c>
      <c r="X10703" s="23" t="str">
        <f aca="false">IF(T10703="","",IF(T10703=0,"No discount",IF(T10703&lt;=0.2,"Low (1-20%)",IF(T10703&lt;=0.4,"Medium (21-40%)","High (&gt;40%)"))))</f>
        <v/>
      </c>
      <c r="Y10703" s="23" t="str">
        <f aca="false">IF(AND(ISNUMBER(C10703),ISNUMBER(D10703)),D10703-C10703,"")</f>
        <v/>
      </c>
      <c r="Z10703" s="23" t="str">
        <f aca="false">IF(B10703="","",IF(MATCH(B10703,$B$2:$B$12000,0)=ROW()-1,1,0))</f>
        <v/>
      </c>
    </row>
    <row r="10704" customFormat="false" ht="15" hidden="false" customHeight="false" outlineLevel="0" collapsed="false">
      <c r="V10704" s="23" t="str">
        <f aca="false">IF(ISNUMBER(C10704),YEAR(C10704),"")</f>
        <v/>
      </c>
      <c r="W10704" s="23" t="str">
        <f aca="false">IF(ISNUMBER(C10704),MONTH(C10704),"")</f>
        <v/>
      </c>
      <c r="X10704" s="23" t="str">
        <f aca="false">IF(T10704="","",IF(T10704=0,"No discount",IF(T10704&lt;=0.2,"Low (1-20%)",IF(T10704&lt;=0.4,"Medium (21-40%)","High (&gt;40%)"))))</f>
        <v/>
      </c>
      <c r="Y10704" s="23" t="str">
        <f aca="false">IF(AND(ISNUMBER(C10704),ISNUMBER(D10704)),D10704-C10704,"")</f>
        <v/>
      </c>
      <c r="Z10704" s="23" t="str">
        <f aca="false">IF(B10704="","",IF(MATCH(B10704,$B$2:$B$12000,0)=ROW()-1,1,0))</f>
        <v/>
      </c>
    </row>
    <row r="10705" customFormat="false" ht="15" hidden="false" customHeight="false" outlineLevel="0" collapsed="false">
      <c r="V10705" s="23" t="str">
        <f aca="false">IF(ISNUMBER(C10705),YEAR(C10705),"")</f>
        <v/>
      </c>
      <c r="W10705" s="23" t="str">
        <f aca="false">IF(ISNUMBER(C10705),MONTH(C10705),"")</f>
        <v/>
      </c>
      <c r="X10705" s="23" t="str">
        <f aca="false">IF(T10705="","",IF(T10705=0,"No discount",IF(T10705&lt;=0.2,"Low (1-20%)",IF(T10705&lt;=0.4,"Medium (21-40%)","High (&gt;40%)"))))</f>
        <v/>
      </c>
      <c r="Y10705" s="23" t="str">
        <f aca="false">IF(AND(ISNUMBER(C10705),ISNUMBER(D10705)),D10705-C10705,"")</f>
        <v/>
      </c>
      <c r="Z10705" s="23" t="str">
        <f aca="false">IF(B10705="","",IF(MATCH(B10705,$B$2:$B$12000,0)=ROW()-1,1,0))</f>
        <v/>
      </c>
    </row>
    <row r="10706" customFormat="false" ht="15" hidden="false" customHeight="false" outlineLevel="0" collapsed="false">
      <c r="V10706" s="23" t="str">
        <f aca="false">IF(ISNUMBER(C10706),YEAR(C10706),"")</f>
        <v/>
      </c>
      <c r="W10706" s="23" t="str">
        <f aca="false">IF(ISNUMBER(C10706),MONTH(C10706),"")</f>
        <v/>
      </c>
      <c r="X10706" s="23" t="str">
        <f aca="false">IF(T10706="","",IF(T10706=0,"No discount",IF(T10706&lt;=0.2,"Low (1-20%)",IF(T10706&lt;=0.4,"Medium (21-40%)","High (&gt;40%)"))))</f>
        <v/>
      </c>
      <c r="Y10706" s="23" t="str">
        <f aca="false">IF(AND(ISNUMBER(C10706),ISNUMBER(D10706)),D10706-C10706,"")</f>
        <v/>
      </c>
      <c r="Z10706" s="23" t="str">
        <f aca="false">IF(B10706="","",IF(MATCH(B10706,$B$2:$B$12000,0)=ROW()-1,1,0))</f>
        <v/>
      </c>
    </row>
    <row r="10707" customFormat="false" ht="15" hidden="false" customHeight="false" outlineLevel="0" collapsed="false">
      <c r="V10707" s="23" t="str">
        <f aca="false">IF(ISNUMBER(C10707),YEAR(C10707),"")</f>
        <v/>
      </c>
      <c r="W10707" s="23" t="str">
        <f aca="false">IF(ISNUMBER(C10707),MONTH(C10707),"")</f>
        <v/>
      </c>
      <c r="X10707" s="23" t="str">
        <f aca="false">IF(T10707="","",IF(T10707=0,"No discount",IF(T10707&lt;=0.2,"Low (1-20%)",IF(T10707&lt;=0.4,"Medium (21-40%)","High (&gt;40%)"))))</f>
        <v/>
      </c>
      <c r="Y10707" s="23" t="str">
        <f aca="false">IF(AND(ISNUMBER(C10707),ISNUMBER(D10707)),D10707-C10707,"")</f>
        <v/>
      </c>
      <c r="Z10707" s="23" t="str">
        <f aca="false">IF(B10707="","",IF(MATCH(B10707,$B$2:$B$12000,0)=ROW()-1,1,0))</f>
        <v/>
      </c>
    </row>
    <row r="10708" customFormat="false" ht="15" hidden="false" customHeight="false" outlineLevel="0" collapsed="false">
      <c r="V10708" s="23" t="str">
        <f aca="false">IF(ISNUMBER(C10708),YEAR(C10708),"")</f>
        <v/>
      </c>
      <c r="W10708" s="23" t="str">
        <f aca="false">IF(ISNUMBER(C10708),MONTH(C10708),"")</f>
        <v/>
      </c>
      <c r="X10708" s="23" t="str">
        <f aca="false">IF(T10708="","",IF(T10708=0,"No discount",IF(T10708&lt;=0.2,"Low (1-20%)",IF(T10708&lt;=0.4,"Medium (21-40%)","High (&gt;40%)"))))</f>
        <v/>
      </c>
      <c r="Y10708" s="23" t="str">
        <f aca="false">IF(AND(ISNUMBER(C10708),ISNUMBER(D10708)),D10708-C10708,"")</f>
        <v/>
      </c>
      <c r="Z10708" s="23" t="str">
        <f aca="false">IF(B10708="","",IF(MATCH(B10708,$B$2:$B$12000,0)=ROW()-1,1,0))</f>
        <v/>
      </c>
    </row>
    <row r="10709" customFormat="false" ht="15" hidden="false" customHeight="false" outlineLevel="0" collapsed="false">
      <c r="V10709" s="23" t="str">
        <f aca="false">IF(ISNUMBER(C10709),YEAR(C10709),"")</f>
        <v/>
      </c>
      <c r="W10709" s="23" t="str">
        <f aca="false">IF(ISNUMBER(C10709),MONTH(C10709),"")</f>
        <v/>
      </c>
      <c r="X10709" s="23" t="str">
        <f aca="false">IF(T10709="","",IF(T10709=0,"No discount",IF(T10709&lt;=0.2,"Low (1-20%)",IF(T10709&lt;=0.4,"Medium (21-40%)","High (&gt;40%)"))))</f>
        <v/>
      </c>
      <c r="Y10709" s="23" t="str">
        <f aca="false">IF(AND(ISNUMBER(C10709),ISNUMBER(D10709)),D10709-C10709,"")</f>
        <v/>
      </c>
      <c r="Z10709" s="23" t="str">
        <f aca="false">IF(B10709="","",IF(MATCH(B10709,$B$2:$B$12000,0)=ROW()-1,1,0))</f>
        <v/>
      </c>
    </row>
    <row r="10710" customFormat="false" ht="15" hidden="false" customHeight="false" outlineLevel="0" collapsed="false">
      <c r="V10710" s="23" t="str">
        <f aca="false">IF(ISNUMBER(C10710),YEAR(C10710),"")</f>
        <v/>
      </c>
      <c r="W10710" s="23" t="str">
        <f aca="false">IF(ISNUMBER(C10710),MONTH(C10710),"")</f>
        <v/>
      </c>
      <c r="X10710" s="23" t="str">
        <f aca="false">IF(T10710="","",IF(T10710=0,"No discount",IF(T10710&lt;=0.2,"Low (1-20%)",IF(T10710&lt;=0.4,"Medium (21-40%)","High (&gt;40%)"))))</f>
        <v/>
      </c>
      <c r="Y10710" s="23" t="str">
        <f aca="false">IF(AND(ISNUMBER(C10710),ISNUMBER(D10710)),D10710-C10710,"")</f>
        <v/>
      </c>
      <c r="Z10710" s="23" t="str">
        <f aca="false">IF(B10710="","",IF(MATCH(B10710,$B$2:$B$12000,0)=ROW()-1,1,0))</f>
        <v/>
      </c>
    </row>
    <row r="10711" customFormat="false" ht="15" hidden="false" customHeight="false" outlineLevel="0" collapsed="false">
      <c r="V10711" s="23" t="str">
        <f aca="false">IF(ISNUMBER(C10711),YEAR(C10711),"")</f>
        <v/>
      </c>
      <c r="W10711" s="23" t="str">
        <f aca="false">IF(ISNUMBER(C10711),MONTH(C10711),"")</f>
        <v/>
      </c>
      <c r="X10711" s="23" t="str">
        <f aca="false">IF(T10711="","",IF(T10711=0,"No discount",IF(T10711&lt;=0.2,"Low (1-20%)",IF(T10711&lt;=0.4,"Medium (21-40%)","High (&gt;40%)"))))</f>
        <v/>
      </c>
      <c r="Y10711" s="23" t="str">
        <f aca="false">IF(AND(ISNUMBER(C10711),ISNUMBER(D10711)),D10711-C10711,"")</f>
        <v/>
      </c>
      <c r="Z10711" s="23" t="str">
        <f aca="false">IF(B10711="","",IF(MATCH(B10711,$B$2:$B$12000,0)=ROW()-1,1,0))</f>
        <v/>
      </c>
    </row>
    <row r="10712" customFormat="false" ht="15" hidden="false" customHeight="false" outlineLevel="0" collapsed="false">
      <c r="V10712" s="23" t="str">
        <f aca="false">IF(ISNUMBER(C10712),YEAR(C10712),"")</f>
        <v/>
      </c>
      <c r="W10712" s="23" t="str">
        <f aca="false">IF(ISNUMBER(C10712),MONTH(C10712),"")</f>
        <v/>
      </c>
      <c r="X10712" s="23" t="str">
        <f aca="false">IF(T10712="","",IF(T10712=0,"No discount",IF(T10712&lt;=0.2,"Low (1-20%)",IF(T10712&lt;=0.4,"Medium (21-40%)","High (&gt;40%)"))))</f>
        <v/>
      </c>
      <c r="Y10712" s="23" t="str">
        <f aca="false">IF(AND(ISNUMBER(C10712),ISNUMBER(D10712)),D10712-C10712,"")</f>
        <v/>
      </c>
      <c r="Z10712" s="23" t="str">
        <f aca="false">IF(B10712="","",IF(MATCH(B10712,$B$2:$B$12000,0)=ROW()-1,1,0))</f>
        <v/>
      </c>
    </row>
    <row r="10713" customFormat="false" ht="15" hidden="false" customHeight="false" outlineLevel="0" collapsed="false">
      <c r="V10713" s="23" t="str">
        <f aca="false">IF(ISNUMBER(C10713),YEAR(C10713),"")</f>
        <v/>
      </c>
      <c r="W10713" s="23" t="str">
        <f aca="false">IF(ISNUMBER(C10713),MONTH(C10713),"")</f>
        <v/>
      </c>
      <c r="X10713" s="23" t="str">
        <f aca="false">IF(T10713="","",IF(T10713=0,"No discount",IF(T10713&lt;=0.2,"Low (1-20%)",IF(T10713&lt;=0.4,"Medium (21-40%)","High (&gt;40%)"))))</f>
        <v/>
      </c>
      <c r="Y10713" s="23" t="str">
        <f aca="false">IF(AND(ISNUMBER(C10713),ISNUMBER(D10713)),D10713-C10713,"")</f>
        <v/>
      </c>
      <c r="Z10713" s="23" t="str">
        <f aca="false">IF(B10713="","",IF(MATCH(B10713,$B$2:$B$12000,0)=ROW()-1,1,0))</f>
        <v/>
      </c>
    </row>
    <row r="10714" customFormat="false" ht="15" hidden="false" customHeight="false" outlineLevel="0" collapsed="false">
      <c r="V10714" s="23" t="str">
        <f aca="false">IF(ISNUMBER(C10714),YEAR(C10714),"")</f>
        <v/>
      </c>
      <c r="W10714" s="23" t="str">
        <f aca="false">IF(ISNUMBER(C10714),MONTH(C10714),"")</f>
        <v/>
      </c>
      <c r="X10714" s="23" t="str">
        <f aca="false">IF(T10714="","",IF(T10714=0,"No discount",IF(T10714&lt;=0.2,"Low (1-20%)",IF(T10714&lt;=0.4,"Medium (21-40%)","High (&gt;40%)"))))</f>
        <v/>
      </c>
      <c r="Y10714" s="23" t="str">
        <f aca="false">IF(AND(ISNUMBER(C10714),ISNUMBER(D10714)),D10714-C10714,"")</f>
        <v/>
      </c>
      <c r="Z10714" s="23" t="str">
        <f aca="false">IF(B10714="","",IF(MATCH(B10714,$B$2:$B$12000,0)=ROW()-1,1,0))</f>
        <v/>
      </c>
    </row>
    <row r="10715" customFormat="false" ht="15" hidden="false" customHeight="false" outlineLevel="0" collapsed="false">
      <c r="V10715" s="23" t="str">
        <f aca="false">IF(ISNUMBER(C10715),YEAR(C10715),"")</f>
        <v/>
      </c>
      <c r="W10715" s="23" t="str">
        <f aca="false">IF(ISNUMBER(C10715),MONTH(C10715),"")</f>
        <v/>
      </c>
      <c r="X10715" s="23" t="str">
        <f aca="false">IF(T10715="","",IF(T10715=0,"No discount",IF(T10715&lt;=0.2,"Low (1-20%)",IF(T10715&lt;=0.4,"Medium (21-40%)","High (&gt;40%)"))))</f>
        <v/>
      </c>
      <c r="Y10715" s="23" t="str">
        <f aca="false">IF(AND(ISNUMBER(C10715),ISNUMBER(D10715)),D10715-C10715,"")</f>
        <v/>
      </c>
      <c r="Z10715" s="23" t="str">
        <f aca="false">IF(B10715="","",IF(MATCH(B10715,$B$2:$B$12000,0)=ROW()-1,1,0))</f>
        <v/>
      </c>
    </row>
    <row r="10716" customFormat="false" ht="15" hidden="false" customHeight="false" outlineLevel="0" collapsed="false">
      <c r="V10716" s="23" t="str">
        <f aca="false">IF(ISNUMBER(C10716),YEAR(C10716),"")</f>
        <v/>
      </c>
      <c r="W10716" s="23" t="str">
        <f aca="false">IF(ISNUMBER(C10716),MONTH(C10716),"")</f>
        <v/>
      </c>
      <c r="X10716" s="23" t="str">
        <f aca="false">IF(T10716="","",IF(T10716=0,"No discount",IF(T10716&lt;=0.2,"Low (1-20%)",IF(T10716&lt;=0.4,"Medium (21-40%)","High (&gt;40%)"))))</f>
        <v/>
      </c>
      <c r="Y10716" s="23" t="str">
        <f aca="false">IF(AND(ISNUMBER(C10716),ISNUMBER(D10716)),D10716-C10716,"")</f>
        <v/>
      </c>
      <c r="Z10716" s="23" t="str">
        <f aca="false">IF(B10716="","",IF(MATCH(B10716,$B$2:$B$12000,0)=ROW()-1,1,0))</f>
        <v/>
      </c>
    </row>
    <row r="10717" customFormat="false" ht="15" hidden="false" customHeight="false" outlineLevel="0" collapsed="false">
      <c r="V10717" s="23" t="str">
        <f aca="false">IF(ISNUMBER(C10717),YEAR(C10717),"")</f>
        <v/>
      </c>
      <c r="W10717" s="23" t="str">
        <f aca="false">IF(ISNUMBER(C10717),MONTH(C10717),"")</f>
        <v/>
      </c>
      <c r="X10717" s="23" t="str">
        <f aca="false">IF(T10717="","",IF(T10717=0,"No discount",IF(T10717&lt;=0.2,"Low (1-20%)",IF(T10717&lt;=0.4,"Medium (21-40%)","High (&gt;40%)"))))</f>
        <v/>
      </c>
      <c r="Y10717" s="23" t="str">
        <f aca="false">IF(AND(ISNUMBER(C10717),ISNUMBER(D10717)),D10717-C10717,"")</f>
        <v/>
      </c>
      <c r="Z10717" s="23" t="str">
        <f aca="false">IF(B10717="","",IF(MATCH(B10717,$B$2:$B$12000,0)=ROW()-1,1,0))</f>
        <v/>
      </c>
    </row>
    <row r="10718" customFormat="false" ht="15" hidden="false" customHeight="false" outlineLevel="0" collapsed="false">
      <c r="V10718" s="23" t="str">
        <f aca="false">IF(ISNUMBER(C10718),YEAR(C10718),"")</f>
        <v/>
      </c>
      <c r="W10718" s="23" t="str">
        <f aca="false">IF(ISNUMBER(C10718),MONTH(C10718),"")</f>
        <v/>
      </c>
      <c r="X10718" s="23" t="str">
        <f aca="false">IF(T10718="","",IF(T10718=0,"No discount",IF(T10718&lt;=0.2,"Low (1-20%)",IF(T10718&lt;=0.4,"Medium (21-40%)","High (&gt;40%)"))))</f>
        <v/>
      </c>
      <c r="Y10718" s="23" t="str">
        <f aca="false">IF(AND(ISNUMBER(C10718),ISNUMBER(D10718)),D10718-C10718,"")</f>
        <v/>
      </c>
      <c r="Z10718" s="23" t="str">
        <f aca="false">IF(B10718="","",IF(MATCH(B10718,$B$2:$B$12000,0)=ROW()-1,1,0))</f>
        <v/>
      </c>
    </row>
    <row r="10719" customFormat="false" ht="15" hidden="false" customHeight="false" outlineLevel="0" collapsed="false">
      <c r="V10719" s="23" t="str">
        <f aca="false">IF(ISNUMBER(C10719),YEAR(C10719),"")</f>
        <v/>
      </c>
      <c r="W10719" s="23" t="str">
        <f aca="false">IF(ISNUMBER(C10719),MONTH(C10719),"")</f>
        <v/>
      </c>
      <c r="X10719" s="23" t="str">
        <f aca="false">IF(T10719="","",IF(T10719=0,"No discount",IF(T10719&lt;=0.2,"Low (1-20%)",IF(T10719&lt;=0.4,"Medium (21-40%)","High (&gt;40%)"))))</f>
        <v/>
      </c>
      <c r="Y10719" s="23" t="str">
        <f aca="false">IF(AND(ISNUMBER(C10719),ISNUMBER(D10719)),D10719-C10719,"")</f>
        <v/>
      </c>
      <c r="Z10719" s="23" t="str">
        <f aca="false">IF(B10719="","",IF(MATCH(B10719,$B$2:$B$12000,0)=ROW()-1,1,0))</f>
        <v/>
      </c>
    </row>
    <row r="10720" customFormat="false" ht="15" hidden="false" customHeight="false" outlineLevel="0" collapsed="false">
      <c r="V10720" s="23" t="str">
        <f aca="false">IF(ISNUMBER(C10720),YEAR(C10720),"")</f>
        <v/>
      </c>
      <c r="W10720" s="23" t="str">
        <f aca="false">IF(ISNUMBER(C10720),MONTH(C10720),"")</f>
        <v/>
      </c>
      <c r="X10720" s="23" t="str">
        <f aca="false">IF(T10720="","",IF(T10720=0,"No discount",IF(T10720&lt;=0.2,"Low (1-20%)",IF(T10720&lt;=0.4,"Medium (21-40%)","High (&gt;40%)"))))</f>
        <v/>
      </c>
      <c r="Y10720" s="23" t="str">
        <f aca="false">IF(AND(ISNUMBER(C10720),ISNUMBER(D10720)),D10720-C10720,"")</f>
        <v/>
      </c>
      <c r="Z10720" s="23" t="str">
        <f aca="false">IF(B10720="","",IF(MATCH(B10720,$B$2:$B$12000,0)=ROW()-1,1,0))</f>
        <v/>
      </c>
    </row>
    <row r="10721" customFormat="false" ht="15" hidden="false" customHeight="false" outlineLevel="0" collapsed="false">
      <c r="V10721" s="23" t="str">
        <f aca="false">IF(ISNUMBER(C10721),YEAR(C10721),"")</f>
        <v/>
      </c>
      <c r="W10721" s="23" t="str">
        <f aca="false">IF(ISNUMBER(C10721),MONTH(C10721),"")</f>
        <v/>
      </c>
      <c r="X10721" s="23" t="str">
        <f aca="false">IF(T10721="","",IF(T10721=0,"No discount",IF(T10721&lt;=0.2,"Low (1-20%)",IF(T10721&lt;=0.4,"Medium (21-40%)","High (&gt;40%)"))))</f>
        <v/>
      </c>
      <c r="Y10721" s="23" t="str">
        <f aca="false">IF(AND(ISNUMBER(C10721),ISNUMBER(D10721)),D10721-C10721,"")</f>
        <v/>
      </c>
      <c r="Z10721" s="23" t="str">
        <f aca="false">IF(B10721="","",IF(MATCH(B10721,$B$2:$B$12000,0)=ROW()-1,1,0))</f>
        <v/>
      </c>
    </row>
    <row r="10722" customFormat="false" ht="15" hidden="false" customHeight="false" outlineLevel="0" collapsed="false">
      <c r="V10722" s="23" t="str">
        <f aca="false">IF(ISNUMBER(C10722),YEAR(C10722),"")</f>
        <v/>
      </c>
      <c r="W10722" s="23" t="str">
        <f aca="false">IF(ISNUMBER(C10722),MONTH(C10722),"")</f>
        <v/>
      </c>
      <c r="X10722" s="23" t="str">
        <f aca="false">IF(T10722="","",IF(T10722=0,"No discount",IF(T10722&lt;=0.2,"Low (1-20%)",IF(T10722&lt;=0.4,"Medium (21-40%)","High (&gt;40%)"))))</f>
        <v/>
      </c>
      <c r="Y10722" s="23" t="str">
        <f aca="false">IF(AND(ISNUMBER(C10722),ISNUMBER(D10722)),D10722-C10722,"")</f>
        <v/>
      </c>
      <c r="Z10722" s="23" t="str">
        <f aca="false">IF(B10722="","",IF(MATCH(B10722,$B$2:$B$12000,0)=ROW()-1,1,0))</f>
        <v/>
      </c>
    </row>
    <row r="10723" customFormat="false" ht="15" hidden="false" customHeight="false" outlineLevel="0" collapsed="false">
      <c r="V10723" s="23" t="str">
        <f aca="false">IF(ISNUMBER(C10723),YEAR(C10723),"")</f>
        <v/>
      </c>
      <c r="W10723" s="23" t="str">
        <f aca="false">IF(ISNUMBER(C10723),MONTH(C10723),"")</f>
        <v/>
      </c>
      <c r="X10723" s="23" t="str">
        <f aca="false">IF(T10723="","",IF(T10723=0,"No discount",IF(T10723&lt;=0.2,"Low (1-20%)",IF(T10723&lt;=0.4,"Medium (21-40%)","High (&gt;40%)"))))</f>
        <v/>
      </c>
      <c r="Y10723" s="23" t="str">
        <f aca="false">IF(AND(ISNUMBER(C10723),ISNUMBER(D10723)),D10723-C10723,"")</f>
        <v/>
      </c>
      <c r="Z10723" s="23" t="str">
        <f aca="false">IF(B10723="","",IF(MATCH(B10723,$B$2:$B$12000,0)=ROW()-1,1,0))</f>
        <v/>
      </c>
    </row>
    <row r="10724" customFormat="false" ht="15" hidden="false" customHeight="false" outlineLevel="0" collapsed="false">
      <c r="V10724" s="23" t="str">
        <f aca="false">IF(ISNUMBER(C10724),YEAR(C10724),"")</f>
        <v/>
      </c>
      <c r="W10724" s="23" t="str">
        <f aca="false">IF(ISNUMBER(C10724),MONTH(C10724),"")</f>
        <v/>
      </c>
      <c r="X10724" s="23" t="str">
        <f aca="false">IF(T10724="","",IF(T10724=0,"No discount",IF(T10724&lt;=0.2,"Low (1-20%)",IF(T10724&lt;=0.4,"Medium (21-40%)","High (&gt;40%)"))))</f>
        <v/>
      </c>
      <c r="Y10724" s="23" t="str">
        <f aca="false">IF(AND(ISNUMBER(C10724),ISNUMBER(D10724)),D10724-C10724,"")</f>
        <v/>
      </c>
      <c r="Z10724" s="23" t="str">
        <f aca="false">IF(B10724="","",IF(MATCH(B10724,$B$2:$B$12000,0)=ROW()-1,1,0))</f>
        <v/>
      </c>
    </row>
    <row r="10725" customFormat="false" ht="15" hidden="false" customHeight="false" outlineLevel="0" collapsed="false">
      <c r="V10725" s="23" t="str">
        <f aca="false">IF(ISNUMBER(C10725),YEAR(C10725),"")</f>
        <v/>
      </c>
      <c r="W10725" s="23" t="str">
        <f aca="false">IF(ISNUMBER(C10725),MONTH(C10725),"")</f>
        <v/>
      </c>
      <c r="X10725" s="23" t="str">
        <f aca="false">IF(T10725="","",IF(T10725=0,"No discount",IF(T10725&lt;=0.2,"Low (1-20%)",IF(T10725&lt;=0.4,"Medium (21-40%)","High (&gt;40%)"))))</f>
        <v/>
      </c>
      <c r="Y10725" s="23" t="str">
        <f aca="false">IF(AND(ISNUMBER(C10725),ISNUMBER(D10725)),D10725-C10725,"")</f>
        <v/>
      </c>
      <c r="Z10725" s="23" t="str">
        <f aca="false">IF(B10725="","",IF(MATCH(B10725,$B$2:$B$12000,0)=ROW()-1,1,0))</f>
        <v/>
      </c>
    </row>
    <row r="10726" customFormat="false" ht="15" hidden="false" customHeight="false" outlineLevel="0" collapsed="false">
      <c r="V10726" s="23" t="str">
        <f aca="false">IF(ISNUMBER(C10726),YEAR(C10726),"")</f>
        <v/>
      </c>
      <c r="W10726" s="23" t="str">
        <f aca="false">IF(ISNUMBER(C10726),MONTH(C10726),"")</f>
        <v/>
      </c>
      <c r="X10726" s="23" t="str">
        <f aca="false">IF(T10726="","",IF(T10726=0,"No discount",IF(T10726&lt;=0.2,"Low (1-20%)",IF(T10726&lt;=0.4,"Medium (21-40%)","High (&gt;40%)"))))</f>
        <v/>
      </c>
      <c r="Y10726" s="23" t="str">
        <f aca="false">IF(AND(ISNUMBER(C10726),ISNUMBER(D10726)),D10726-C10726,"")</f>
        <v/>
      </c>
      <c r="Z10726" s="23" t="str">
        <f aca="false">IF(B10726="","",IF(MATCH(B10726,$B$2:$B$12000,0)=ROW()-1,1,0))</f>
        <v/>
      </c>
    </row>
    <row r="10727" customFormat="false" ht="15" hidden="false" customHeight="false" outlineLevel="0" collapsed="false">
      <c r="V10727" s="23" t="str">
        <f aca="false">IF(ISNUMBER(C10727),YEAR(C10727),"")</f>
        <v/>
      </c>
      <c r="W10727" s="23" t="str">
        <f aca="false">IF(ISNUMBER(C10727),MONTH(C10727),"")</f>
        <v/>
      </c>
      <c r="X10727" s="23" t="str">
        <f aca="false">IF(T10727="","",IF(T10727=0,"No discount",IF(T10727&lt;=0.2,"Low (1-20%)",IF(T10727&lt;=0.4,"Medium (21-40%)","High (&gt;40%)"))))</f>
        <v/>
      </c>
      <c r="Y10727" s="23" t="str">
        <f aca="false">IF(AND(ISNUMBER(C10727),ISNUMBER(D10727)),D10727-C10727,"")</f>
        <v/>
      </c>
      <c r="Z10727" s="23" t="str">
        <f aca="false">IF(B10727="","",IF(MATCH(B10727,$B$2:$B$12000,0)=ROW()-1,1,0))</f>
        <v/>
      </c>
    </row>
    <row r="10728" customFormat="false" ht="15" hidden="false" customHeight="false" outlineLevel="0" collapsed="false">
      <c r="V10728" s="23" t="str">
        <f aca="false">IF(ISNUMBER(C10728),YEAR(C10728),"")</f>
        <v/>
      </c>
      <c r="W10728" s="23" t="str">
        <f aca="false">IF(ISNUMBER(C10728),MONTH(C10728),"")</f>
        <v/>
      </c>
      <c r="X10728" s="23" t="str">
        <f aca="false">IF(T10728="","",IF(T10728=0,"No discount",IF(T10728&lt;=0.2,"Low (1-20%)",IF(T10728&lt;=0.4,"Medium (21-40%)","High (&gt;40%)"))))</f>
        <v/>
      </c>
      <c r="Y10728" s="23" t="str">
        <f aca="false">IF(AND(ISNUMBER(C10728),ISNUMBER(D10728)),D10728-C10728,"")</f>
        <v/>
      </c>
      <c r="Z10728" s="23" t="str">
        <f aca="false">IF(B10728="","",IF(MATCH(B10728,$B$2:$B$12000,0)=ROW()-1,1,0))</f>
        <v/>
      </c>
    </row>
    <row r="10729" customFormat="false" ht="15" hidden="false" customHeight="false" outlineLevel="0" collapsed="false">
      <c r="V10729" s="23" t="str">
        <f aca="false">IF(ISNUMBER(C10729),YEAR(C10729),"")</f>
        <v/>
      </c>
      <c r="W10729" s="23" t="str">
        <f aca="false">IF(ISNUMBER(C10729),MONTH(C10729),"")</f>
        <v/>
      </c>
      <c r="X10729" s="23" t="str">
        <f aca="false">IF(T10729="","",IF(T10729=0,"No discount",IF(T10729&lt;=0.2,"Low (1-20%)",IF(T10729&lt;=0.4,"Medium (21-40%)","High (&gt;40%)"))))</f>
        <v/>
      </c>
      <c r="Y10729" s="23" t="str">
        <f aca="false">IF(AND(ISNUMBER(C10729),ISNUMBER(D10729)),D10729-C10729,"")</f>
        <v/>
      </c>
      <c r="Z10729" s="23" t="str">
        <f aca="false">IF(B10729="","",IF(MATCH(B10729,$B$2:$B$12000,0)=ROW()-1,1,0))</f>
        <v/>
      </c>
    </row>
    <row r="10730" customFormat="false" ht="15" hidden="false" customHeight="false" outlineLevel="0" collapsed="false">
      <c r="V10730" s="23" t="str">
        <f aca="false">IF(ISNUMBER(C10730),YEAR(C10730),"")</f>
        <v/>
      </c>
      <c r="W10730" s="23" t="str">
        <f aca="false">IF(ISNUMBER(C10730),MONTH(C10730),"")</f>
        <v/>
      </c>
      <c r="X10730" s="23" t="str">
        <f aca="false">IF(T10730="","",IF(T10730=0,"No discount",IF(T10730&lt;=0.2,"Low (1-20%)",IF(T10730&lt;=0.4,"Medium (21-40%)","High (&gt;40%)"))))</f>
        <v/>
      </c>
      <c r="Y10730" s="23" t="str">
        <f aca="false">IF(AND(ISNUMBER(C10730),ISNUMBER(D10730)),D10730-C10730,"")</f>
        <v/>
      </c>
      <c r="Z10730" s="23" t="str">
        <f aca="false">IF(B10730="","",IF(MATCH(B10730,$B$2:$B$12000,0)=ROW()-1,1,0))</f>
        <v/>
      </c>
    </row>
    <row r="10731" customFormat="false" ht="15" hidden="false" customHeight="false" outlineLevel="0" collapsed="false">
      <c r="V10731" s="23" t="str">
        <f aca="false">IF(ISNUMBER(C10731),YEAR(C10731),"")</f>
        <v/>
      </c>
      <c r="W10731" s="23" t="str">
        <f aca="false">IF(ISNUMBER(C10731),MONTH(C10731),"")</f>
        <v/>
      </c>
      <c r="X10731" s="23" t="str">
        <f aca="false">IF(T10731="","",IF(T10731=0,"No discount",IF(T10731&lt;=0.2,"Low (1-20%)",IF(T10731&lt;=0.4,"Medium (21-40%)","High (&gt;40%)"))))</f>
        <v/>
      </c>
      <c r="Y10731" s="23" t="str">
        <f aca="false">IF(AND(ISNUMBER(C10731),ISNUMBER(D10731)),D10731-C10731,"")</f>
        <v/>
      </c>
      <c r="Z10731" s="23" t="str">
        <f aca="false">IF(B10731="","",IF(MATCH(B10731,$B$2:$B$12000,0)=ROW()-1,1,0))</f>
        <v/>
      </c>
    </row>
    <row r="10732" customFormat="false" ht="15" hidden="false" customHeight="false" outlineLevel="0" collapsed="false">
      <c r="V10732" s="23" t="str">
        <f aca="false">IF(ISNUMBER(C10732),YEAR(C10732),"")</f>
        <v/>
      </c>
      <c r="W10732" s="23" t="str">
        <f aca="false">IF(ISNUMBER(C10732),MONTH(C10732),"")</f>
        <v/>
      </c>
      <c r="X10732" s="23" t="str">
        <f aca="false">IF(T10732="","",IF(T10732=0,"No discount",IF(T10732&lt;=0.2,"Low (1-20%)",IF(T10732&lt;=0.4,"Medium (21-40%)","High (&gt;40%)"))))</f>
        <v/>
      </c>
      <c r="Y10732" s="23" t="str">
        <f aca="false">IF(AND(ISNUMBER(C10732),ISNUMBER(D10732)),D10732-C10732,"")</f>
        <v/>
      </c>
      <c r="Z10732" s="23" t="str">
        <f aca="false">IF(B10732="","",IF(MATCH(B10732,$B$2:$B$12000,0)=ROW()-1,1,0))</f>
        <v/>
      </c>
    </row>
    <row r="10733" customFormat="false" ht="15" hidden="false" customHeight="false" outlineLevel="0" collapsed="false">
      <c r="V10733" s="23" t="str">
        <f aca="false">IF(ISNUMBER(C10733),YEAR(C10733),"")</f>
        <v/>
      </c>
      <c r="W10733" s="23" t="str">
        <f aca="false">IF(ISNUMBER(C10733),MONTH(C10733),"")</f>
        <v/>
      </c>
      <c r="X10733" s="23" t="str">
        <f aca="false">IF(T10733="","",IF(T10733=0,"No discount",IF(T10733&lt;=0.2,"Low (1-20%)",IF(T10733&lt;=0.4,"Medium (21-40%)","High (&gt;40%)"))))</f>
        <v/>
      </c>
      <c r="Y10733" s="23" t="str">
        <f aca="false">IF(AND(ISNUMBER(C10733),ISNUMBER(D10733)),D10733-C10733,"")</f>
        <v/>
      </c>
      <c r="Z10733" s="23" t="str">
        <f aca="false">IF(B10733="","",IF(MATCH(B10733,$B$2:$B$12000,0)=ROW()-1,1,0))</f>
        <v/>
      </c>
    </row>
    <row r="10734" customFormat="false" ht="15" hidden="false" customHeight="false" outlineLevel="0" collapsed="false">
      <c r="V10734" s="23" t="str">
        <f aca="false">IF(ISNUMBER(C10734),YEAR(C10734),"")</f>
        <v/>
      </c>
      <c r="W10734" s="23" t="str">
        <f aca="false">IF(ISNUMBER(C10734),MONTH(C10734),"")</f>
        <v/>
      </c>
      <c r="X10734" s="23" t="str">
        <f aca="false">IF(T10734="","",IF(T10734=0,"No discount",IF(T10734&lt;=0.2,"Low (1-20%)",IF(T10734&lt;=0.4,"Medium (21-40%)","High (&gt;40%)"))))</f>
        <v/>
      </c>
      <c r="Y10734" s="23" t="str">
        <f aca="false">IF(AND(ISNUMBER(C10734),ISNUMBER(D10734)),D10734-C10734,"")</f>
        <v/>
      </c>
      <c r="Z10734" s="23" t="str">
        <f aca="false">IF(B10734="","",IF(MATCH(B10734,$B$2:$B$12000,0)=ROW()-1,1,0))</f>
        <v/>
      </c>
    </row>
    <row r="10735" customFormat="false" ht="15" hidden="false" customHeight="false" outlineLevel="0" collapsed="false">
      <c r="V10735" s="23" t="str">
        <f aca="false">IF(ISNUMBER(C10735),YEAR(C10735),"")</f>
        <v/>
      </c>
      <c r="W10735" s="23" t="str">
        <f aca="false">IF(ISNUMBER(C10735),MONTH(C10735),"")</f>
        <v/>
      </c>
      <c r="X10735" s="23" t="str">
        <f aca="false">IF(T10735="","",IF(T10735=0,"No discount",IF(T10735&lt;=0.2,"Low (1-20%)",IF(T10735&lt;=0.4,"Medium (21-40%)","High (&gt;40%)"))))</f>
        <v/>
      </c>
      <c r="Y10735" s="23" t="str">
        <f aca="false">IF(AND(ISNUMBER(C10735),ISNUMBER(D10735)),D10735-C10735,"")</f>
        <v/>
      </c>
      <c r="Z10735" s="23" t="str">
        <f aca="false">IF(B10735="","",IF(MATCH(B10735,$B$2:$B$12000,0)=ROW()-1,1,0))</f>
        <v/>
      </c>
    </row>
    <row r="10736" customFormat="false" ht="15" hidden="false" customHeight="false" outlineLevel="0" collapsed="false">
      <c r="V10736" s="23" t="str">
        <f aca="false">IF(ISNUMBER(C10736),YEAR(C10736),"")</f>
        <v/>
      </c>
      <c r="W10736" s="23" t="str">
        <f aca="false">IF(ISNUMBER(C10736),MONTH(C10736),"")</f>
        <v/>
      </c>
      <c r="X10736" s="23" t="str">
        <f aca="false">IF(T10736="","",IF(T10736=0,"No discount",IF(T10736&lt;=0.2,"Low (1-20%)",IF(T10736&lt;=0.4,"Medium (21-40%)","High (&gt;40%)"))))</f>
        <v/>
      </c>
      <c r="Y10736" s="23" t="str">
        <f aca="false">IF(AND(ISNUMBER(C10736),ISNUMBER(D10736)),D10736-C10736,"")</f>
        <v/>
      </c>
      <c r="Z10736" s="23" t="str">
        <f aca="false">IF(B10736="","",IF(MATCH(B10736,$B$2:$B$12000,0)=ROW()-1,1,0))</f>
        <v/>
      </c>
    </row>
    <row r="10737" customFormat="false" ht="15" hidden="false" customHeight="false" outlineLevel="0" collapsed="false">
      <c r="V10737" s="23" t="str">
        <f aca="false">IF(ISNUMBER(C10737),YEAR(C10737),"")</f>
        <v/>
      </c>
      <c r="W10737" s="23" t="str">
        <f aca="false">IF(ISNUMBER(C10737),MONTH(C10737),"")</f>
        <v/>
      </c>
      <c r="X10737" s="23" t="str">
        <f aca="false">IF(T10737="","",IF(T10737=0,"No discount",IF(T10737&lt;=0.2,"Low (1-20%)",IF(T10737&lt;=0.4,"Medium (21-40%)","High (&gt;40%)"))))</f>
        <v/>
      </c>
      <c r="Y10737" s="23" t="str">
        <f aca="false">IF(AND(ISNUMBER(C10737),ISNUMBER(D10737)),D10737-C10737,"")</f>
        <v/>
      </c>
      <c r="Z10737" s="23" t="str">
        <f aca="false">IF(B10737="","",IF(MATCH(B10737,$B$2:$B$12000,0)=ROW()-1,1,0))</f>
        <v/>
      </c>
    </row>
    <row r="10738" customFormat="false" ht="15" hidden="false" customHeight="false" outlineLevel="0" collapsed="false">
      <c r="V10738" s="23" t="str">
        <f aca="false">IF(ISNUMBER(C10738),YEAR(C10738),"")</f>
        <v/>
      </c>
      <c r="W10738" s="23" t="str">
        <f aca="false">IF(ISNUMBER(C10738),MONTH(C10738),"")</f>
        <v/>
      </c>
      <c r="X10738" s="23" t="str">
        <f aca="false">IF(T10738="","",IF(T10738=0,"No discount",IF(T10738&lt;=0.2,"Low (1-20%)",IF(T10738&lt;=0.4,"Medium (21-40%)","High (&gt;40%)"))))</f>
        <v/>
      </c>
      <c r="Y10738" s="23" t="str">
        <f aca="false">IF(AND(ISNUMBER(C10738),ISNUMBER(D10738)),D10738-C10738,"")</f>
        <v/>
      </c>
      <c r="Z10738" s="23" t="str">
        <f aca="false">IF(B10738="","",IF(MATCH(B10738,$B$2:$B$12000,0)=ROW()-1,1,0))</f>
        <v/>
      </c>
    </row>
    <row r="10739" customFormat="false" ht="15" hidden="false" customHeight="false" outlineLevel="0" collapsed="false">
      <c r="V10739" s="23" t="str">
        <f aca="false">IF(ISNUMBER(C10739),YEAR(C10739),"")</f>
        <v/>
      </c>
      <c r="W10739" s="23" t="str">
        <f aca="false">IF(ISNUMBER(C10739),MONTH(C10739),"")</f>
        <v/>
      </c>
      <c r="X10739" s="23" t="str">
        <f aca="false">IF(T10739="","",IF(T10739=0,"No discount",IF(T10739&lt;=0.2,"Low (1-20%)",IF(T10739&lt;=0.4,"Medium (21-40%)","High (&gt;40%)"))))</f>
        <v/>
      </c>
      <c r="Y10739" s="23" t="str">
        <f aca="false">IF(AND(ISNUMBER(C10739),ISNUMBER(D10739)),D10739-C10739,"")</f>
        <v/>
      </c>
      <c r="Z10739" s="23" t="str">
        <f aca="false">IF(B10739="","",IF(MATCH(B10739,$B$2:$B$12000,0)=ROW()-1,1,0))</f>
        <v/>
      </c>
    </row>
    <row r="10740" customFormat="false" ht="15" hidden="false" customHeight="false" outlineLevel="0" collapsed="false">
      <c r="V10740" s="23" t="str">
        <f aca="false">IF(ISNUMBER(C10740),YEAR(C10740),"")</f>
        <v/>
      </c>
      <c r="W10740" s="23" t="str">
        <f aca="false">IF(ISNUMBER(C10740),MONTH(C10740),"")</f>
        <v/>
      </c>
      <c r="X10740" s="23" t="str">
        <f aca="false">IF(T10740="","",IF(T10740=0,"No discount",IF(T10740&lt;=0.2,"Low (1-20%)",IF(T10740&lt;=0.4,"Medium (21-40%)","High (&gt;40%)"))))</f>
        <v/>
      </c>
      <c r="Y10740" s="23" t="str">
        <f aca="false">IF(AND(ISNUMBER(C10740),ISNUMBER(D10740)),D10740-C10740,"")</f>
        <v/>
      </c>
      <c r="Z10740" s="23" t="str">
        <f aca="false">IF(B10740="","",IF(MATCH(B10740,$B$2:$B$12000,0)=ROW()-1,1,0))</f>
        <v/>
      </c>
    </row>
    <row r="10741" customFormat="false" ht="15" hidden="false" customHeight="false" outlineLevel="0" collapsed="false">
      <c r="V10741" s="23" t="str">
        <f aca="false">IF(ISNUMBER(C10741),YEAR(C10741),"")</f>
        <v/>
      </c>
      <c r="W10741" s="23" t="str">
        <f aca="false">IF(ISNUMBER(C10741),MONTH(C10741),"")</f>
        <v/>
      </c>
      <c r="X10741" s="23" t="str">
        <f aca="false">IF(T10741="","",IF(T10741=0,"No discount",IF(T10741&lt;=0.2,"Low (1-20%)",IF(T10741&lt;=0.4,"Medium (21-40%)","High (&gt;40%)"))))</f>
        <v/>
      </c>
      <c r="Y10741" s="23" t="str">
        <f aca="false">IF(AND(ISNUMBER(C10741),ISNUMBER(D10741)),D10741-C10741,"")</f>
        <v/>
      </c>
      <c r="Z10741" s="23" t="str">
        <f aca="false">IF(B10741="","",IF(MATCH(B10741,$B$2:$B$12000,0)=ROW()-1,1,0))</f>
        <v/>
      </c>
    </row>
    <row r="10742" customFormat="false" ht="15" hidden="false" customHeight="false" outlineLevel="0" collapsed="false">
      <c r="V10742" s="23" t="str">
        <f aca="false">IF(ISNUMBER(C10742),YEAR(C10742),"")</f>
        <v/>
      </c>
      <c r="W10742" s="23" t="str">
        <f aca="false">IF(ISNUMBER(C10742),MONTH(C10742),"")</f>
        <v/>
      </c>
      <c r="X10742" s="23" t="str">
        <f aca="false">IF(T10742="","",IF(T10742=0,"No discount",IF(T10742&lt;=0.2,"Low (1-20%)",IF(T10742&lt;=0.4,"Medium (21-40%)","High (&gt;40%)"))))</f>
        <v/>
      </c>
      <c r="Y10742" s="23" t="str">
        <f aca="false">IF(AND(ISNUMBER(C10742),ISNUMBER(D10742)),D10742-C10742,"")</f>
        <v/>
      </c>
      <c r="Z10742" s="23" t="str">
        <f aca="false">IF(B10742="","",IF(MATCH(B10742,$B$2:$B$12000,0)=ROW()-1,1,0))</f>
        <v/>
      </c>
    </row>
    <row r="10743" customFormat="false" ht="15" hidden="false" customHeight="false" outlineLevel="0" collapsed="false">
      <c r="V10743" s="23" t="str">
        <f aca="false">IF(ISNUMBER(C10743),YEAR(C10743),"")</f>
        <v/>
      </c>
      <c r="W10743" s="23" t="str">
        <f aca="false">IF(ISNUMBER(C10743),MONTH(C10743),"")</f>
        <v/>
      </c>
      <c r="X10743" s="23" t="str">
        <f aca="false">IF(T10743="","",IF(T10743=0,"No discount",IF(T10743&lt;=0.2,"Low (1-20%)",IF(T10743&lt;=0.4,"Medium (21-40%)","High (&gt;40%)"))))</f>
        <v/>
      </c>
      <c r="Y10743" s="23" t="str">
        <f aca="false">IF(AND(ISNUMBER(C10743),ISNUMBER(D10743)),D10743-C10743,"")</f>
        <v/>
      </c>
      <c r="Z10743" s="23" t="str">
        <f aca="false">IF(B10743="","",IF(MATCH(B10743,$B$2:$B$12000,0)=ROW()-1,1,0))</f>
        <v/>
      </c>
    </row>
    <row r="10744" customFormat="false" ht="15" hidden="false" customHeight="false" outlineLevel="0" collapsed="false">
      <c r="V10744" s="23" t="str">
        <f aca="false">IF(ISNUMBER(C10744),YEAR(C10744),"")</f>
        <v/>
      </c>
      <c r="W10744" s="23" t="str">
        <f aca="false">IF(ISNUMBER(C10744),MONTH(C10744),"")</f>
        <v/>
      </c>
      <c r="X10744" s="23" t="str">
        <f aca="false">IF(T10744="","",IF(T10744=0,"No discount",IF(T10744&lt;=0.2,"Low (1-20%)",IF(T10744&lt;=0.4,"Medium (21-40%)","High (&gt;40%)"))))</f>
        <v/>
      </c>
      <c r="Y10744" s="23" t="str">
        <f aca="false">IF(AND(ISNUMBER(C10744),ISNUMBER(D10744)),D10744-C10744,"")</f>
        <v/>
      </c>
      <c r="Z10744" s="23" t="str">
        <f aca="false">IF(B10744="","",IF(MATCH(B10744,$B$2:$B$12000,0)=ROW()-1,1,0))</f>
        <v/>
      </c>
    </row>
    <row r="10745" customFormat="false" ht="15" hidden="false" customHeight="false" outlineLevel="0" collapsed="false">
      <c r="V10745" s="23" t="str">
        <f aca="false">IF(ISNUMBER(C10745),YEAR(C10745),"")</f>
        <v/>
      </c>
      <c r="W10745" s="23" t="str">
        <f aca="false">IF(ISNUMBER(C10745),MONTH(C10745),"")</f>
        <v/>
      </c>
      <c r="X10745" s="23" t="str">
        <f aca="false">IF(T10745="","",IF(T10745=0,"No discount",IF(T10745&lt;=0.2,"Low (1-20%)",IF(T10745&lt;=0.4,"Medium (21-40%)","High (&gt;40%)"))))</f>
        <v/>
      </c>
      <c r="Y10745" s="23" t="str">
        <f aca="false">IF(AND(ISNUMBER(C10745),ISNUMBER(D10745)),D10745-C10745,"")</f>
        <v/>
      </c>
      <c r="Z10745" s="23" t="str">
        <f aca="false">IF(B10745="","",IF(MATCH(B10745,$B$2:$B$12000,0)=ROW()-1,1,0))</f>
        <v/>
      </c>
    </row>
    <row r="10746" customFormat="false" ht="15" hidden="false" customHeight="false" outlineLevel="0" collapsed="false">
      <c r="V10746" s="23" t="str">
        <f aca="false">IF(ISNUMBER(C10746),YEAR(C10746),"")</f>
        <v/>
      </c>
      <c r="W10746" s="23" t="str">
        <f aca="false">IF(ISNUMBER(C10746),MONTH(C10746),"")</f>
        <v/>
      </c>
      <c r="X10746" s="23" t="str">
        <f aca="false">IF(T10746="","",IF(T10746=0,"No discount",IF(T10746&lt;=0.2,"Low (1-20%)",IF(T10746&lt;=0.4,"Medium (21-40%)","High (&gt;40%)"))))</f>
        <v/>
      </c>
      <c r="Y10746" s="23" t="str">
        <f aca="false">IF(AND(ISNUMBER(C10746),ISNUMBER(D10746)),D10746-C10746,"")</f>
        <v/>
      </c>
      <c r="Z10746" s="23" t="str">
        <f aca="false">IF(B10746="","",IF(MATCH(B10746,$B$2:$B$12000,0)=ROW()-1,1,0))</f>
        <v/>
      </c>
    </row>
    <row r="10747" customFormat="false" ht="15" hidden="false" customHeight="false" outlineLevel="0" collapsed="false">
      <c r="V10747" s="23" t="str">
        <f aca="false">IF(ISNUMBER(C10747),YEAR(C10747),"")</f>
        <v/>
      </c>
      <c r="W10747" s="23" t="str">
        <f aca="false">IF(ISNUMBER(C10747),MONTH(C10747),"")</f>
        <v/>
      </c>
      <c r="X10747" s="23" t="str">
        <f aca="false">IF(T10747="","",IF(T10747=0,"No discount",IF(T10747&lt;=0.2,"Low (1-20%)",IF(T10747&lt;=0.4,"Medium (21-40%)","High (&gt;40%)"))))</f>
        <v/>
      </c>
      <c r="Y10747" s="23" t="str">
        <f aca="false">IF(AND(ISNUMBER(C10747),ISNUMBER(D10747)),D10747-C10747,"")</f>
        <v/>
      </c>
      <c r="Z10747" s="23" t="str">
        <f aca="false">IF(B10747="","",IF(MATCH(B10747,$B$2:$B$12000,0)=ROW()-1,1,0))</f>
        <v/>
      </c>
    </row>
    <row r="10748" customFormat="false" ht="15" hidden="false" customHeight="false" outlineLevel="0" collapsed="false">
      <c r="V10748" s="23" t="str">
        <f aca="false">IF(ISNUMBER(C10748),YEAR(C10748),"")</f>
        <v/>
      </c>
      <c r="W10748" s="23" t="str">
        <f aca="false">IF(ISNUMBER(C10748),MONTH(C10748),"")</f>
        <v/>
      </c>
      <c r="X10748" s="23" t="str">
        <f aca="false">IF(T10748="","",IF(T10748=0,"No discount",IF(T10748&lt;=0.2,"Low (1-20%)",IF(T10748&lt;=0.4,"Medium (21-40%)","High (&gt;40%)"))))</f>
        <v/>
      </c>
      <c r="Y10748" s="23" t="str">
        <f aca="false">IF(AND(ISNUMBER(C10748),ISNUMBER(D10748)),D10748-C10748,"")</f>
        <v/>
      </c>
      <c r="Z10748" s="23" t="str">
        <f aca="false">IF(B10748="","",IF(MATCH(B10748,$B$2:$B$12000,0)=ROW()-1,1,0))</f>
        <v/>
      </c>
    </row>
    <row r="10749" customFormat="false" ht="15" hidden="false" customHeight="false" outlineLevel="0" collapsed="false">
      <c r="V10749" s="23" t="str">
        <f aca="false">IF(ISNUMBER(C10749),YEAR(C10749),"")</f>
        <v/>
      </c>
      <c r="W10749" s="23" t="str">
        <f aca="false">IF(ISNUMBER(C10749),MONTH(C10749),"")</f>
        <v/>
      </c>
      <c r="X10749" s="23" t="str">
        <f aca="false">IF(T10749="","",IF(T10749=0,"No discount",IF(T10749&lt;=0.2,"Low (1-20%)",IF(T10749&lt;=0.4,"Medium (21-40%)","High (&gt;40%)"))))</f>
        <v/>
      </c>
      <c r="Y10749" s="23" t="str">
        <f aca="false">IF(AND(ISNUMBER(C10749),ISNUMBER(D10749)),D10749-C10749,"")</f>
        <v/>
      </c>
      <c r="Z10749" s="23" t="str">
        <f aca="false">IF(B10749="","",IF(MATCH(B10749,$B$2:$B$12000,0)=ROW()-1,1,0))</f>
        <v/>
      </c>
    </row>
    <row r="10750" customFormat="false" ht="15" hidden="false" customHeight="false" outlineLevel="0" collapsed="false">
      <c r="V10750" s="23" t="str">
        <f aca="false">IF(ISNUMBER(C10750),YEAR(C10750),"")</f>
        <v/>
      </c>
      <c r="W10750" s="23" t="str">
        <f aca="false">IF(ISNUMBER(C10750),MONTH(C10750),"")</f>
        <v/>
      </c>
      <c r="X10750" s="23" t="str">
        <f aca="false">IF(T10750="","",IF(T10750=0,"No discount",IF(T10750&lt;=0.2,"Low (1-20%)",IF(T10750&lt;=0.4,"Medium (21-40%)","High (&gt;40%)"))))</f>
        <v/>
      </c>
      <c r="Y10750" s="23" t="str">
        <f aca="false">IF(AND(ISNUMBER(C10750),ISNUMBER(D10750)),D10750-C10750,"")</f>
        <v/>
      </c>
      <c r="Z10750" s="23" t="str">
        <f aca="false">IF(B10750="","",IF(MATCH(B10750,$B$2:$B$12000,0)=ROW()-1,1,0))</f>
        <v/>
      </c>
    </row>
    <row r="10751" customFormat="false" ht="15" hidden="false" customHeight="false" outlineLevel="0" collapsed="false">
      <c r="V10751" s="23" t="str">
        <f aca="false">IF(ISNUMBER(C10751),YEAR(C10751),"")</f>
        <v/>
      </c>
      <c r="W10751" s="23" t="str">
        <f aca="false">IF(ISNUMBER(C10751),MONTH(C10751),"")</f>
        <v/>
      </c>
      <c r="X10751" s="23" t="str">
        <f aca="false">IF(T10751="","",IF(T10751=0,"No discount",IF(T10751&lt;=0.2,"Low (1-20%)",IF(T10751&lt;=0.4,"Medium (21-40%)","High (&gt;40%)"))))</f>
        <v/>
      </c>
      <c r="Y10751" s="23" t="str">
        <f aca="false">IF(AND(ISNUMBER(C10751),ISNUMBER(D10751)),D10751-C10751,"")</f>
        <v/>
      </c>
      <c r="Z10751" s="23" t="str">
        <f aca="false">IF(B10751="","",IF(MATCH(B10751,$B$2:$B$12000,0)=ROW()-1,1,0))</f>
        <v/>
      </c>
    </row>
    <row r="10752" customFormat="false" ht="15" hidden="false" customHeight="false" outlineLevel="0" collapsed="false">
      <c r="V10752" s="23" t="str">
        <f aca="false">IF(ISNUMBER(C10752),YEAR(C10752),"")</f>
        <v/>
      </c>
      <c r="W10752" s="23" t="str">
        <f aca="false">IF(ISNUMBER(C10752),MONTH(C10752),"")</f>
        <v/>
      </c>
      <c r="X10752" s="23" t="str">
        <f aca="false">IF(T10752="","",IF(T10752=0,"No discount",IF(T10752&lt;=0.2,"Low (1-20%)",IF(T10752&lt;=0.4,"Medium (21-40%)","High (&gt;40%)"))))</f>
        <v/>
      </c>
      <c r="Y10752" s="23" t="str">
        <f aca="false">IF(AND(ISNUMBER(C10752),ISNUMBER(D10752)),D10752-C10752,"")</f>
        <v/>
      </c>
      <c r="Z10752" s="23" t="str">
        <f aca="false">IF(B10752="","",IF(MATCH(B10752,$B$2:$B$12000,0)=ROW()-1,1,0))</f>
        <v/>
      </c>
    </row>
    <row r="10753" customFormat="false" ht="15" hidden="false" customHeight="false" outlineLevel="0" collapsed="false">
      <c r="V10753" s="23" t="str">
        <f aca="false">IF(ISNUMBER(C10753),YEAR(C10753),"")</f>
        <v/>
      </c>
      <c r="W10753" s="23" t="str">
        <f aca="false">IF(ISNUMBER(C10753),MONTH(C10753),"")</f>
        <v/>
      </c>
      <c r="X10753" s="23" t="str">
        <f aca="false">IF(T10753="","",IF(T10753=0,"No discount",IF(T10753&lt;=0.2,"Low (1-20%)",IF(T10753&lt;=0.4,"Medium (21-40%)","High (&gt;40%)"))))</f>
        <v/>
      </c>
      <c r="Y10753" s="23" t="str">
        <f aca="false">IF(AND(ISNUMBER(C10753),ISNUMBER(D10753)),D10753-C10753,"")</f>
        <v/>
      </c>
      <c r="Z10753" s="23" t="str">
        <f aca="false">IF(B10753="","",IF(MATCH(B10753,$B$2:$B$12000,0)=ROW()-1,1,0))</f>
        <v/>
      </c>
    </row>
    <row r="10754" customFormat="false" ht="15" hidden="false" customHeight="false" outlineLevel="0" collapsed="false">
      <c r="V10754" s="23" t="str">
        <f aca="false">IF(ISNUMBER(C10754),YEAR(C10754),"")</f>
        <v/>
      </c>
      <c r="W10754" s="23" t="str">
        <f aca="false">IF(ISNUMBER(C10754),MONTH(C10754),"")</f>
        <v/>
      </c>
      <c r="X10754" s="23" t="str">
        <f aca="false">IF(T10754="","",IF(T10754=0,"No discount",IF(T10754&lt;=0.2,"Low (1-20%)",IF(T10754&lt;=0.4,"Medium (21-40%)","High (&gt;40%)"))))</f>
        <v/>
      </c>
      <c r="Y10754" s="23" t="str">
        <f aca="false">IF(AND(ISNUMBER(C10754),ISNUMBER(D10754)),D10754-C10754,"")</f>
        <v/>
      </c>
      <c r="Z10754" s="23" t="str">
        <f aca="false">IF(B10754="","",IF(MATCH(B10754,$B$2:$B$12000,0)=ROW()-1,1,0))</f>
        <v/>
      </c>
    </row>
    <row r="10755" customFormat="false" ht="15" hidden="false" customHeight="false" outlineLevel="0" collapsed="false">
      <c r="V10755" s="23" t="str">
        <f aca="false">IF(ISNUMBER(C10755),YEAR(C10755),"")</f>
        <v/>
      </c>
      <c r="W10755" s="23" t="str">
        <f aca="false">IF(ISNUMBER(C10755),MONTH(C10755),"")</f>
        <v/>
      </c>
      <c r="X10755" s="23" t="str">
        <f aca="false">IF(T10755="","",IF(T10755=0,"No discount",IF(T10755&lt;=0.2,"Low (1-20%)",IF(T10755&lt;=0.4,"Medium (21-40%)","High (&gt;40%)"))))</f>
        <v/>
      </c>
      <c r="Y10755" s="23" t="str">
        <f aca="false">IF(AND(ISNUMBER(C10755),ISNUMBER(D10755)),D10755-C10755,"")</f>
        <v/>
      </c>
      <c r="Z10755" s="23" t="str">
        <f aca="false">IF(B10755="","",IF(MATCH(B10755,$B$2:$B$12000,0)=ROW()-1,1,0))</f>
        <v/>
      </c>
    </row>
    <row r="10756" customFormat="false" ht="15" hidden="false" customHeight="false" outlineLevel="0" collapsed="false">
      <c r="V10756" s="23" t="str">
        <f aca="false">IF(ISNUMBER(C10756),YEAR(C10756),"")</f>
        <v/>
      </c>
      <c r="W10756" s="23" t="str">
        <f aca="false">IF(ISNUMBER(C10756),MONTH(C10756),"")</f>
        <v/>
      </c>
      <c r="X10756" s="23" t="str">
        <f aca="false">IF(T10756="","",IF(T10756=0,"No discount",IF(T10756&lt;=0.2,"Low (1-20%)",IF(T10756&lt;=0.4,"Medium (21-40%)","High (&gt;40%)"))))</f>
        <v/>
      </c>
      <c r="Y10756" s="23" t="str">
        <f aca="false">IF(AND(ISNUMBER(C10756),ISNUMBER(D10756)),D10756-C10756,"")</f>
        <v/>
      </c>
      <c r="Z10756" s="23" t="str">
        <f aca="false">IF(B10756="","",IF(MATCH(B10756,$B$2:$B$12000,0)=ROW()-1,1,0))</f>
        <v/>
      </c>
    </row>
    <row r="10757" customFormat="false" ht="15" hidden="false" customHeight="false" outlineLevel="0" collapsed="false">
      <c r="V10757" s="23" t="str">
        <f aca="false">IF(ISNUMBER(C10757),YEAR(C10757),"")</f>
        <v/>
      </c>
      <c r="W10757" s="23" t="str">
        <f aca="false">IF(ISNUMBER(C10757),MONTH(C10757),"")</f>
        <v/>
      </c>
      <c r="X10757" s="23" t="str">
        <f aca="false">IF(T10757="","",IF(T10757=0,"No discount",IF(T10757&lt;=0.2,"Low (1-20%)",IF(T10757&lt;=0.4,"Medium (21-40%)","High (&gt;40%)"))))</f>
        <v/>
      </c>
      <c r="Y10757" s="23" t="str">
        <f aca="false">IF(AND(ISNUMBER(C10757),ISNUMBER(D10757)),D10757-C10757,"")</f>
        <v/>
      </c>
      <c r="Z10757" s="23" t="str">
        <f aca="false">IF(B10757="","",IF(MATCH(B10757,$B$2:$B$12000,0)=ROW()-1,1,0))</f>
        <v/>
      </c>
    </row>
    <row r="10758" customFormat="false" ht="15" hidden="false" customHeight="false" outlineLevel="0" collapsed="false">
      <c r="V10758" s="23" t="str">
        <f aca="false">IF(ISNUMBER(C10758),YEAR(C10758),"")</f>
        <v/>
      </c>
      <c r="W10758" s="23" t="str">
        <f aca="false">IF(ISNUMBER(C10758),MONTH(C10758),"")</f>
        <v/>
      </c>
      <c r="X10758" s="23" t="str">
        <f aca="false">IF(T10758="","",IF(T10758=0,"No discount",IF(T10758&lt;=0.2,"Low (1-20%)",IF(T10758&lt;=0.4,"Medium (21-40%)","High (&gt;40%)"))))</f>
        <v/>
      </c>
      <c r="Y10758" s="23" t="str">
        <f aca="false">IF(AND(ISNUMBER(C10758),ISNUMBER(D10758)),D10758-C10758,"")</f>
        <v/>
      </c>
      <c r="Z10758" s="23" t="str">
        <f aca="false">IF(B10758="","",IF(MATCH(B10758,$B$2:$B$12000,0)=ROW()-1,1,0))</f>
        <v/>
      </c>
    </row>
    <row r="10759" customFormat="false" ht="15" hidden="false" customHeight="false" outlineLevel="0" collapsed="false">
      <c r="V10759" s="23" t="str">
        <f aca="false">IF(ISNUMBER(C10759),YEAR(C10759),"")</f>
        <v/>
      </c>
      <c r="W10759" s="23" t="str">
        <f aca="false">IF(ISNUMBER(C10759),MONTH(C10759),"")</f>
        <v/>
      </c>
      <c r="X10759" s="23" t="str">
        <f aca="false">IF(T10759="","",IF(T10759=0,"No discount",IF(T10759&lt;=0.2,"Low (1-20%)",IF(T10759&lt;=0.4,"Medium (21-40%)","High (&gt;40%)"))))</f>
        <v/>
      </c>
      <c r="Y10759" s="23" t="str">
        <f aca="false">IF(AND(ISNUMBER(C10759),ISNUMBER(D10759)),D10759-C10759,"")</f>
        <v/>
      </c>
      <c r="Z10759" s="23" t="str">
        <f aca="false">IF(B10759="","",IF(MATCH(B10759,$B$2:$B$12000,0)=ROW()-1,1,0))</f>
        <v/>
      </c>
    </row>
    <row r="10760" customFormat="false" ht="15" hidden="false" customHeight="false" outlineLevel="0" collapsed="false">
      <c r="V10760" s="23" t="str">
        <f aca="false">IF(ISNUMBER(C10760),YEAR(C10760),"")</f>
        <v/>
      </c>
      <c r="W10760" s="23" t="str">
        <f aca="false">IF(ISNUMBER(C10760),MONTH(C10760),"")</f>
        <v/>
      </c>
      <c r="X10760" s="23" t="str">
        <f aca="false">IF(T10760="","",IF(T10760=0,"No discount",IF(T10760&lt;=0.2,"Low (1-20%)",IF(T10760&lt;=0.4,"Medium (21-40%)","High (&gt;40%)"))))</f>
        <v/>
      </c>
      <c r="Y10760" s="23" t="str">
        <f aca="false">IF(AND(ISNUMBER(C10760),ISNUMBER(D10760)),D10760-C10760,"")</f>
        <v/>
      </c>
      <c r="Z10760" s="23" t="str">
        <f aca="false">IF(B10760="","",IF(MATCH(B10760,$B$2:$B$12000,0)=ROW()-1,1,0))</f>
        <v/>
      </c>
    </row>
    <row r="10761" customFormat="false" ht="15" hidden="false" customHeight="false" outlineLevel="0" collapsed="false">
      <c r="V10761" s="23" t="str">
        <f aca="false">IF(ISNUMBER(C10761),YEAR(C10761),"")</f>
        <v/>
      </c>
      <c r="W10761" s="23" t="str">
        <f aca="false">IF(ISNUMBER(C10761),MONTH(C10761),"")</f>
        <v/>
      </c>
      <c r="X10761" s="23" t="str">
        <f aca="false">IF(T10761="","",IF(T10761=0,"No discount",IF(T10761&lt;=0.2,"Low (1-20%)",IF(T10761&lt;=0.4,"Medium (21-40%)","High (&gt;40%)"))))</f>
        <v/>
      </c>
      <c r="Y10761" s="23" t="str">
        <f aca="false">IF(AND(ISNUMBER(C10761),ISNUMBER(D10761)),D10761-C10761,"")</f>
        <v/>
      </c>
      <c r="Z10761" s="23" t="str">
        <f aca="false">IF(B10761="","",IF(MATCH(B10761,$B$2:$B$12000,0)=ROW()-1,1,0))</f>
        <v/>
      </c>
    </row>
    <row r="10762" customFormat="false" ht="15" hidden="false" customHeight="false" outlineLevel="0" collapsed="false">
      <c r="V10762" s="23" t="str">
        <f aca="false">IF(ISNUMBER(C10762),YEAR(C10762),"")</f>
        <v/>
      </c>
      <c r="W10762" s="23" t="str">
        <f aca="false">IF(ISNUMBER(C10762),MONTH(C10762),"")</f>
        <v/>
      </c>
      <c r="X10762" s="23" t="str">
        <f aca="false">IF(T10762="","",IF(T10762=0,"No discount",IF(T10762&lt;=0.2,"Low (1-20%)",IF(T10762&lt;=0.4,"Medium (21-40%)","High (&gt;40%)"))))</f>
        <v/>
      </c>
      <c r="Y10762" s="23" t="str">
        <f aca="false">IF(AND(ISNUMBER(C10762),ISNUMBER(D10762)),D10762-C10762,"")</f>
        <v/>
      </c>
      <c r="Z10762" s="23" t="str">
        <f aca="false">IF(B10762="","",IF(MATCH(B10762,$B$2:$B$12000,0)=ROW()-1,1,0))</f>
        <v/>
      </c>
    </row>
    <row r="10763" customFormat="false" ht="15" hidden="false" customHeight="false" outlineLevel="0" collapsed="false">
      <c r="V10763" s="23" t="str">
        <f aca="false">IF(ISNUMBER(C10763),YEAR(C10763),"")</f>
        <v/>
      </c>
      <c r="W10763" s="23" t="str">
        <f aca="false">IF(ISNUMBER(C10763),MONTH(C10763),"")</f>
        <v/>
      </c>
      <c r="X10763" s="23" t="str">
        <f aca="false">IF(T10763="","",IF(T10763=0,"No discount",IF(T10763&lt;=0.2,"Low (1-20%)",IF(T10763&lt;=0.4,"Medium (21-40%)","High (&gt;40%)"))))</f>
        <v/>
      </c>
      <c r="Y10763" s="23" t="str">
        <f aca="false">IF(AND(ISNUMBER(C10763),ISNUMBER(D10763)),D10763-C10763,"")</f>
        <v/>
      </c>
      <c r="Z10763" s="23" t="str">
        <f aca="false">IF(B10763="","",IF(MATCH(B10763,$B$2:$B$12000,0)=ROW()-1,1,0))</f>
        <v/>
      </c>
    </row>
    <row r="10764" customFormat="false" ht="15" hidden="false" customHeight="false" outlineLevel="0" collapsed="false">
      <c r="V10764" s="23" t="str">
        <f aca="false">IF(ISNUMBER(C10764),YEAR(C10764),"")</f>
        <v/>
      </c>
      <c r="W10764" s="23" t="str">
        <f aca="false">IF(ISNUMBER(C10764),MONTH(C10764),"")</f>
        <v/>
      </c>
      <c r="X10764" s="23" t="str">
        <f aca="false">IF(T10764="","",IF(T10764=0,"No discount",IF(T10764&lt;=0.2,"Low (1-20%)",IF(T10764&lt;=0.4,"Medium (21-40%)","High (&gt;40%)"))))</f>
        <v/>
      </c>
      <c r="Y10764" s="23" t="str">
        <f aca="false">IF(AND(ISNUMBER(C10764),ISNUMBER(D10764)),D10764-C10764,"")</f>
        <v/>
      </c>
      <c r="Z10764" s="23" t="str">
        <f aca="false">IF(B10764="","",IF(MATCH(B10764,$B$2:$B$12000,0)=ROW()-1,1,0))</f>
        <v/>
      </c>
    </row>
    <row r="10765" customFormat="false" ht="15" hidden="false" customHeight="false" outlineLevel="0" collapsed="false">
      <c r="V10765" s="23" t="str">
        <f aca="false">IF(ISNUMBER(C10765),YEAR(C10765),"")</f>
        <v/>
      </c>
      <c r="W10765" s="23" t="str">
        <f aca="false">IF(ISNUMBER(C10765),MONTH(C10765),"")</f>
        <v/>
      </c>
      <c r="X10765" s="23" t="str">
        <f aca="false">IF(T10765="","",IF(T10765=0,"No discount",IF(T10765&lt;=0.2,"Low (1-20%)",IF(T10765&lt;=0.4,"Medium (21-40%)","High (&gt;40%)"))))</f>
        <v/>
      </c>
      <c r="Y10765" s="23" t="str">
        <f aca="false">IF(AND(ISNUMBER(C10765),ISNUMBER(D10765)),D10765-C10765,"")</f>
        <v/>
      </c>
      <c r="Z10765" s="23" t="str">
        <f aca="false">IF(B10765="","",IF(MATCH(B10765,$B$2:$B$12000,0)=ROW()-1,1,0))</f>
        <v/>
      </c>
    </row>
    <row r="10766" customFormat="false" ht="15" hidden="false" customHeight="false" outlineLevel="0" collapsed="false">
      <c r="V10766" s="23" t="str">
        <f aca="false">IF(ISNUMBER(C10766),YEAR(C10766),"")</f>
        <v/>
      </c>
      <c r="W10766" s="23" t="str">
        <f aca="false">IF(ISNUMBER(C10766),MONTH(C10766),"")</f>
        <v/>
      </c>
      <c r="X10766" s="23" t="str">
        <f aca="false">IF(T10766="","",IF(T10766=0,"No discount",IF(T10766&lt;=0.2,"Low (1-20%)",IF(T10766&lt;=0.4,"Medium (21-40%)","High (&gt;40%)"))))</f>
        <v/>
      </c>
      <c r="Y10766" s="23" t="str">
        <f aca="false">IF(AND(ISNUMBER(C10766),ISNUMBER(D10766)),D10766-C10766,"")</f>
        <v/>
      </c>
      <c r="Z10766" s="23" t="str">
        <f aca="false">IF(B10766="","",IF(MATCH(B10766,$B$2:$B$12000,0)=ROW()-1,1,0))</f>
        <v/>
      </c>
    </row>
    <row r="10767" customFormat="false" ht="15" hidden="false" customHeight="false" outlineLevel="0" collapsed="false">
      <c r="V10767" s="23" t="str">
        <f aca="false">IF(ISNUMBER(C10767),YEAR(C10767),"")</f>
        <v/>
      </c>
      <c r="W10767" s="23" t="str">
        <f aca="false">IF(ISNUMBER(C10767),MONTH(C10767),"")</f>
        <v/>
      </c>
      <c r="X10767" s="23" t="str">
        <f aca="false">IF(T10767="","",IF(T10767=0,"No discount",IF(T10767&lt;=0.2,"Low (1-20%)",IF(T10767&lt;=0.4,"Medium (21-40%)","High (&gt;40%)"))))</f>
        <v/>
      </c>
      <c r="Y10767" s="23" t="str">
        <f aca="false">IF(AND(ISNUMBER(C10767),ISNUMBER(D10767)),D10767-C10767,"")</f>
        <v/>
      </c>
      <c r="Z10767" s="23" t="str">
        <f aca="false">IF(B10767="","",IF(MATCH(B10767,$B$2:$B$12000,0)=ROW()-1,1,0))</f>
        <v/>
      </c>
    </row>
    <row r="10768" customFormat="false" ht="15" hidden="false" customHeight="false" outlineLevel="0" collapsed="false">
      <c r="V10768" s="23" t="str">
        <f aca="false">IF(ISNUMBER(C10768),YEAR(C10768),"")</f>
        <v/>
      </c>
      <c r="W10768" s="23" t="str">
        <f aca="false">IF(ISNUMBER(C10768),MONTH(C10768),"")</f>
        <v/>
      </c>
      <c r="X10768" s="23" t="str">
        <f aca="false">IF(T10768="","",IF(T10768=0,"No discount",IF(T10768&lt;=0.2,"Low (1-20%)",IF(T10768&lt;=0.4,"Medium (21-40%)","High (&gt;40%)"))))</f>
        <v/>
      </c>
      <c r="Y10768" s="23" t="str">
        <f aca="false">IF(AND(ISNUMBER(C10768),ISNUMBER(D10768)),D10768-C10768,"")</f>
        <v/>
      </c>
      <c r="Z10768" s="23" t="str">
        <f aca="false">IF(B10768="","",IF(MATCH(B10768,$B$2:$B$12000,0)=ROW()-1,1,0))</f>
        <v/>
      </c>
    </row>
    <row r="10769" customFormat="false" ht="15" hidden="false" customHeight="false" outlineLevel="0" collapsed="false">
      <c r="V10769" s="23" t="str">
        <f aca="false">IF(ISNUMBER(C10769),YEAR(C10769),"")</f>
        <v/>
      </c>
      <c r="W10769" s="23" t="str">
        <f aca="false">IF(ISNUMBER(C10769),MONTH(C10769),"")</f>
        <v/>
      </c>
      <c r="X10769" s="23" t="str">
        <f aca="false">IF(T10769="","",IF(T10769=0,"No discount",IF(T10769&lt;=0.2,"Low (1-20%)",IF(T10769&lt;=0.4,"Medium (21-40%)","High (&gt;40%)"))))</f>
        <v/>
      </c>
      <c r="Y10769" s="23" t="str">
        <f aca="false">IF(AND(ISNUMBER(C10769),ISNUMBER(D10769)),D10769-C10769,"")</f>
        <v/>
      </c>
      <c r="Z10769" s="23" t="str">
        <f aca="false">IF(B10769="","",IF(MATCH(B10769,$B$2:$B$12000,0)=ROW()-1,1,0))</f>
        <v/>
      </c>
    </row>
    <row r="10770" customFormat="false" ht="15" hidden="false" customHeight="false" outlineLevel="0" collapsed="false">
      <c r="V10770" s="23" t="str">
        <f aca="false">IF(ISNUMBER(C10770),YEAR(C10770),"")</f>
        <v/>
      </c>
      <c r="W10770" s="23" t="str">
        <f aca="false">IF(ISNUMBER(C10770),MONTH(C10770),"")</f>
        <v/>
      </c>
      <c r="X10770" s="23" t="str">
        <f aca="false">IF(T10770="","",IF(T10770=0,"No discount",IF(T10770&lt;=0.2,"Low (1-20%)",IF(T10770&lt;=0.4,"Medium (21-40%)","High (&gt;40%)"))))</f>
        <v/>
      </c>
      <c r="Y10770" s="23" t="str">
        <f aca="false">IF(AND(ISNUMBER(C10770),ISNUMBER(D10770)),D10770-C10770,"")</f>
        <v/>
      </c>
      <c r="Z10770" s="23" t="str">
        <f aca="false">IF(B10770="","",IF(MATCH(B10770,$B$2:$B$12000,0)=ROW()-1,1,0))</f>
        <v/>
      </c>
    </row>
    <row r="10771" customFormat="false" ht="15" hidden="false" customHeight="false" outlineLevel="0" collapsed="false">
      <c r="V10771" s="23" t="str">
        <f aca="false">IF(ISNUMBER(C10771),YEAR(C10771),"")</f>
        <v/>
      </c>
      <c r="W10771" s="23" t="str">
        <f aca="false">IF(ISNUMBER(C10771),MONTH(C10771),"")</f>
        <v/>
      </c>
      <c r="X10771" s="23" t="str">
        <f aca="false">IF(T10771="","",IF(T10771=0,"No discount",IF(T10771&lt;=0.2,"Low (1-20%)",IF(T10771&lt;=0.4,"Medium (21-40%)","High (&gt;40%)"))))</f>
        <v/>
      </c>
      <c r="Y10771" s="23" t="str">
        <f aca="false">IF(AND(ISNUMBER(C10771),ISNUMBER(D10771)),D10771-C10771,"")</f>
        <v/>
      </c>
      <c r="Z10771" s="23" t="str">
        <f aca="false">IF(B10771="","",IF(MATCH(B10771,$B$2:$B$12000,0)=ROW()-1,1,0))</f>
        <v/>
      </c>
    </row>
    <row r="10772" customFormat="false" ht="15" hidden="false" customHeight="false" outlineLevel="0" collapsed="false">
      <c r="V10772" s="23" t="str">
        <f aca="false">IF(ISNUMBER(C10772),YEAR(C10772),"")</f>
        <v/>
      </c>
      <c r="W10772" s="23" t="str">
        <f aca="false">IF(ISNUMBER(C10772),MONTH(C10772),"")</f>
        <v/>
      </c>
      <c r="X10772" s="23" t="str">
        <f aca="false">IF(T10772="","",IF(T10772=0,"No discount",IF(T10772&lt;=0.2,"Low (1-20%)",IF(T10772&lt;=0.4,"Medium (21-40%)","High (&gt;40%)"))))</f>
        <v/>
      </c>
      <c r="Y10772" s="23" t="str">
        <f aca="false">IF(AND(ISNUMBER(C10772),ISNUMBER(D10772)),D10772-C10772,"")</f>
        <v/>
      </c>
      <c r="Z10772" s="23" t="str">
        <f aca="false">IF(B10772="","",IF(MATCH(B10772,$B$2:$B$12000,0)=ROW()-1,1,0))</f>
        <v/>
      </c>
    </row>
    <row r="10773" customFormat="false" ht="15" hidden="false" customHeight="false" outlineLevel="0" collapsed="false">
      <c r="V10773" s="23" t="str">
        <f aca="false">IF(ISNUMBER(C10773),YEAR(C10773),"")</f>
        <v/>
      </c>
      <c r="W10773" s="23" t="str">
        <f aca="false">IF(ISNUMBER(C10773),MONTH(C10773),"")</f>
        <v/>
      </c>
      <c r="X10773" s="23" t="str">
        <f aca="false">IF(T10773="","",IF(T10773=0,"No discount",IF(T10773&lt;=0.2,"Low (1-20%)",IF(T10773&lt;=0.4,"Medium (21-40%)","High (&gt;40%)"))))</f>
        <v/>
      </c>
      <c r="Y10773" s="23" t="str">
        <f aca="false">IF(AND(ISNUMBER(C10773),ISNUMBER(D10773)),D10773-C10773,"")</f>
        <v/>
      </c>
      <c r="Z10773" s="23" t="str">
        <f aca="false">IF(B10773="","",IF(MATCH(B10773,$B$2:$B$12000,0)=ROW()-1,1,0))</f>
        <v/>
      </c>
    </row>
    <row r="10774" customFormat="false" ht="15" hidden="false" customHeight="false" outlineLevel="0" collapsed="false">
      <c r="V10774" s="23" t="str">
        <f aca="false">IF(ISNUMBER(C10774),YEAR(C10774),"")</f>
        <v/>
      </c>
      <c r="W10774" s="23" t="str">
        <f aca="false">IF(ISNUMBER(C10774),MONTH(C10774),"")</f>
        <v/>
      </c>
      <c r="X10774" s="23" t="str">
        <f aca="false">IF(T10774="","",IF(T10774=0,"No discount",IF(T10774&lt;=0.2,"Low (1-20%)",IF(T10774&lt;=0.4,"Medium (21-40%)","High (&gt;40%)"))))</f>
        <v/>
      </c>
      <c r="Y10774" s="23" t="str">
        <f aca="false">IF(AND(ISNUMBER(C10774),ISNUMBER(D10774)),D10774-C10774,"")</f>
        <v/>
      </c>
      <c r="Z10774" s="23" t="str">
        <f aca="false">IF(B10774="","",IF(MATCH(B10774,$B$2:$B$12000,0)=ROW()-1,1,0))</f>
        <v/>
      </c>
    </row>
    <row r="10775" customFormat="false" ht="15" hidden="false" customHeight="false" outlineLevel="0" collapsed="false">
      <c r="V10775" s="23" t="str">
        <f aca="false">IF(ISNUMBER(C10775),YEAR(C10775),"")</f>
        <v/>
      </c>
      <c r="W10775" s="23" t="str">
        <f aca="false">IF(ISNUMBER(C10775),MONTH(C10775),"")</f>
        <v/>
      </c>
      <c r="X10775" s="23" t="str">
        <f aca="false">IF(T10775="","",IF(T10775=0,"No discount",IF(T10775&lt;=0.2,"Low (1-20%)",IF(T10775&lt;=0.4,"Medium (21-40%)","High (&gt;40%)"))))</f>
        <v/>
      </c>
      <c r="Y10775" s="23" t="str">
        <f aca="false">IF(AND(ISNUMBER(C10775),ISNUMBER(D10775)),D10775-C10775,"")</f>
        <v/>
      </c>
      <c r="Z10775" s="23" t="str">
        <f aca="false">IF(B10775="","",IF(MATCH(B10775,$B$2:$B$12000,0)=ROW()-1,1,0))</f>
        <v/>
      </c>
    </row>
    <row r="10776" customFormat="false" ht="15" hidden="false" customHeight="false" outlineLevel="0" collapsed="false">
      <c r="V10776" s="23" t="str">
        <f aca="false">IF(ISNUMBER(C10776),YEAR(C10776),"")</f>
        <v/>
      </c>
      <c r="W10776" s="23" t="str">
        <f aca="false">IF(ISNUMBER(C10776),MONTH(C10776),"")</f>
        <v/>
      </c>
      <c r="X10776" s="23" t="str">
        <f aca="false">IF(T10776="","",IF(T10776=0,"No discount",IF(T10776&lt;=0.2,"Low (1-20%)",IF(T10776&lt;=0.4,"Medium (21-40%)","High (&gt;40%)"))))</f>
        <v/>
      </c>
      <c r="Y10776" s="23" t="str">
        <f aca="false">IF(AND(ISNUMBER(C10776),ISNUMBER(D10776)),D10776-C10776,"")</f>
        <v/>
      </c>
      <c r="Z10776" s="23" t="str">
        <f aca="false">IF(B10776="","",IF(MATCH(B10776,$B$2:$B$12000,0)=ROW()-1,1,0))</f>
        <v/>
      </c>
    </row>
    <row r="10777" customFormat="false" ht="15" hidden="false" customHeight="false" outlineLevel="0" collapsed="false">
      <c r="V10777" s="23" t="str">
        <f aca="false">IF(ISNUMBER(C10777),YEAR(C10777),"")</f>
        <v/>
      </c>
      <c r="W10777" s="23" t="str">
        <f aca="false">IF(ISNUMBER(C10777),MONTH(C10777),"")</f>
        <v/>
      </c>
      <c r="X10777" s="23" t="str">
        <f aca="false">IF(T10777="","",IF(T10777=0,"No discount",IF(T10777&lt;=0.2,"Low (1-20%)",IF(T10777&lt;=0.4,"Medium (21-40%)","High (&gt;40%)"))))</f>
        <v/>
      </c>
      <c r="Y10777" s="23" t="str">
        <f aca="false">IF(AND(ISNUMBER(C10777),ISNUMBER(D10777)),D10777-C10777,"")</f>
        <v/>
      </c>
      <c r="Z10777" s="23" t="str">
        <f aca="false">IF(B10777="","",IF(MATCH(B10777,$B$2:$B$12000,0)=ROW()-1,1,0))</f>
        <v/>
      </c>
    </row>
    <row r="10778" customFormat="false" ht="15" hidden="false" customHeight="false" outlineLevel="0" collapsed="false">
      <c r="V10778" s="23" t="str">
        <f aca="false">IF(ISNUMBER(C10778),YEAR(C10778),"")</f>
        <v/>
      </c>
      <c r="W10778" s="23" t="str">
        <f aca="false">IF(ISNUMBER(C10778),MONTH(C10778),"")</f>
        <v/>
      </c>
      <c r="X10778" s="23" t="str">
        <f aca="false">IF(T10778="","",IF(T10778=0,"No discount",IF(T10778&lt;=0.2,"Low (1-20%)",IF(T10778&lt;=0.4,"Medium (21-40%)","High (&gt;40%)"))))</f>
        <v/>
      </c>
      <c r="Y10778" s="23" t="str">
        <f aca="false">IF(AND(ISNUMBER(C10778),ISNUMBER(D10778)),D10778-C10778,"")</f>
        <v/>
      </c>
      <c r="Z10778" s="23" t="str">
        <f aca="false">IF(B10778="","",IF(MATCH(B10778,$B$2:$B$12000,0)=ROW()-1,1,0))</f>
        <v/>
      </c>
    </row>
    <row r="10779" customFormat="false" ht="15" hidden="false" customHeight="false" outlineLevel="0" collapsed="false">
      <c r="V10779" s="23" t="str">
        <f aca="false">IF(ISNUMBER(C10779),YEAR(C10779),"")</f>
        <v/>
      </c>
      <c r="W10779" s="23" t="str">
        <f aca="false">IF(ISNUMBER(C10779),MONTH(C10779),"")</f>
        <v/>
      </c>
      <c r="X10779" s="23" t="str">
        <f aca="false">IF(T10779="","",IF(T10779=0,"No discount",IF(T10779&lt;=0.2,"Low (1-20%)",IF(T10779&lt;=0.4,"Medium (21-40%)","High (&gt;40%)"))))</f>
        <v/>
      </c>
      <c r="Y10779" s="23" t="str">
        <f aca="false">IF(AND(ISNUMBER(C10779),ISNUMBER(D10779)),D10779-C10779,"")</f>
        <v/>
      </c>
      <c r="Z10779" s="23" t="str">
        <f aca="false">IF(B10779="","",IF(MATCH(B10779,$B$2:$B$12000,0)=ROW()-1,1,0))</f>
        <v/>
      </c>
    </row>
    <row r="10780" customFormat="false" ht="15" hidden="false" customHeight="false" outlineLevel="0" collapsed="false">
      <c r="V10780" s="23" t="str">
        <f aca="false">IF(ISNUMBER(C10780),YEAR(C10780),"")</f>
        <v/>
      </c>
      <c r="W10780" s="23" t="str">
        <f aca="false">IF(ISNUMBER(C10780),MONTH(C10780),"")</f>
        <v/>
      </c>
      <c r="X10780" s="23" t="str">
        <f aca="false">IF(T10780="","",IF(T10780=0,"No discount",IF(T10780&lt;=0.2,"Low (1-20%)",IF(T10780&lt;=0.4,"Medium (21-40%)","High (&gt;40%)"))))</f>
        <v/>
      </c>
      <c r="Y10780" s="23" t="str">
        <f aca="false">IF(AND(ISNUMBER(C10780),ISNUMBER(D10780)),D10780-C10780,"")</f>
        <v/>
      </c>
      <c r="Z10780" s="23" t="str">
        <f aca="false">IF(B10780="","",IF(MATCH(B10780,$B$2:$B$12000,0)=ROW()-1,1,0))</f>
        <v/>
      </c>
    </row>
    <row r="10781" customFormat="false" ht="15" hidden="false" customHeight="false" outlineLevel="0" collapsed="false">
      <c r="V10781" s="23" t="str">
        <f aca="false">IF(ISNUMBER(C10781),YEAR(C10781),"")</f>
        <v/>
      </c>
      <c r="W10781" s="23" t="str">
        <f aca="false">IF(ISNUMBER(C10781),MONTH(C10781),"")</f>
        <v/>
      </c>
      <c r="X10781" s="23" t="str">
        <f aca="false">IF(T10781="","",IF(T10781=0,"No discount",IF(T10781&lt;=0.2,"Low (1-20%)",IF(T10781&lt;=0.4,"Medium (21-40%)","High (&gt;40%)"))))</f>
        <v/>
      </c>
      <c r="Y10781" s="23" t="str">
        <f aca="false">IF(AND(ISNUMBER(C10781),ISNUMBER(D10781)),D10781-C10781,"")</f>
        <v/>
      </c>
      <c r="Z10781" s="23" t="str">
        <f aca="false">IF(B10781="","",IF(MATCH(B10781,$B$2:$B$12000,0)=ROW()-1,1,0))</f>
        <v/>
      </c>
    </row>
    <row r="10782" customFormat="false" ht="15" hidden="false" customHeight="false" outlineLevel="0" collapsed="false">
      <c r="V10782" s="23" t="str">
        <f aca="false">IF(ISNUMBER(C10782),YEAR(C10782),"")</f>
        <v/>
      </c>
      <c r="W10782" s="23" t="str">
        <f aca="false">IF(ISNUMBER(C10782),MONTH(C10782),"")</f>
        <v/>
      </c>
      <c r="X10782" s="23" t="str">
        <f aca="false">IF(T10782="","",IF(T10782=0,"No discount",IF(T10782&lt;=0.2,"Low (1-20%)",IF(T10782&lt;=0.4,"Medium (21-40%)","High (&gt;40%)"))))</f>
        <v/>
      </c>
      <c r="Y10782" s="23" t="str">
        <f aca="false">IF(AND(ISNUMBER(C10782),ISNUMBER(D10782)),D10782-C10782,"")</f>
        <v/>
      </c>
      <c r="Z10782" s="23" t="str">
        <f aca="false">IF(B10782="","",IF(MATCH(B10782,$B$2:$B$12000,0)=ROW()-1,1,0))</f>
        <v/>
      </c>
    </row>
    <row r="10783" customFormat="false" ht="15" hidden="false" customHeight="false" outlineLevel="0" collapsed="false">
      <c r="V10783" s="23" t="str">
        <f aca="false">IF(ISNUMBER(C10783),YEAR(C10783),"")</f>
        <v/>
      </c>
      <c r="W10783" s="23" t="str">
        <f aca="false">IF(ISNUMBER(C10783),MONTH(C10783),"")</f>
        <v/>
      </c>
      <c r="X10783" s="23" t="str">
        <f aca="false">IF(T10783="","",IF(T10783=0,"No discount",IF(T10783&lt;=0.2,"Low (1-20%)",IF(T10783&lt;=0.4,"Medium (21-40%)","High (&gt;40%)"))))</f>
        <v/>
      </c>
      <c r="Y10783" s="23" t="str">
        <f aca="false">IF(AND(ISNUMBER(C10783),ISNUMBER(D10783)),D10783-C10783,"")</f>
        <v/>
      </c>
      <c r="Z10783" s="23" t="str">
        <f aca="false">IF(B10783="","",IF(MATCH(B10783,$B$2:$B$12000,0)=ROW()-1,1,0))</f>
        <v/>
      </c>
    </row>
    <row r="10784" customFormat="false" ht="15" hidden="false" customHeight="false" outlineLevel="0" collapsed="false">
      <c r="V10784" s="23" t="str">
        <f aca="false">IF(ISNUMBER(C10784),YEAR(C10784),"")</f>
        <v/>
      </c>
      <c r="W10784" s="23" t="str">
        <f aca="false">IF(ISNUMBER(C10784),MONTH(C10784),"")</f>
        <v/>
      </c>
      <c r="X10784" s="23" t="str">
        <f aca="false">IF(T10784="","",IF(T10784=0,"No discount",IF(T10784&lt;=0.2,"Low (1-20%)",IF(T10784&lt;=0.4,"Medium (21-40%)","High (&gt;40%)"))))</f>
        <v/>
      </c>
      <c r="Y10784" s="23" t="str">
        <f aca="false">IF(AND(ISNUMBER(C10784),ISNUMBER(D10784)),D10784-C10784,"")</f>
        <v/>
      </c>
      <c r="Z10784" s="23" t="str">
        <f aca="false">IF(B10784="","",IF(MATCH(B10784,$B$2:$B$12000,0)=ROW()-1,1,0))</f>
        <v/>
      </c>
    </row>
    <row r="10785" customFormat="false" ht="15" hidden="false" customHeight="false" outlineLevel="0" collapsed="false">
      <c r="V10785" s="23" t="str">
        <f aca="false">IF(ISNUMBER(C10785),YEAR(C10785),"")</f>
        <v/>
      </c>
      <c r="W10785" s="23" t="str">
        <f aca="false">IF(ISNUMBER(C10785),MONTH(C10785),"")</f>
        <v/>
      </c>
      <c r="X10785" s="23" t="str">
        <f aca="false">IF(T10785="","",IF(T10785=0,"No discount",IF(T10785&lt;=0.2,"Low (1-20%)",IF(T10785&lt;=0.4,"Medium (21-40%)","High (&gt;40%)"))))</f>
        <v/>
      </c>
      <c r="Y10785" s="23" t="str">
        <f aca="false">IF(AND(ISNUMBER(C10785),ISNUMBER(D10785)),D10785-C10785,"")</f>
        <v/>
      </c>
      <c r="Z10785" s="23" t="str">
        <f aca="false">IF(B10785="","",IF(MATCH(B10785,$B$2:$B$12000,0)=ROW()-1,1,0))</f>
        <v/>
      </c>
    </row>
    <row r="10786" customFormat="false" ht="15" hidden="false" customHeight="false" outlineLevel="0" collapsed="false">
      <c r="V10786" s="23" t="str">
        <f aca="false">IF(ISNUMBER(C10786),YEAR(C10786),"")</f>
        <v/>
      </c>
      <c r="W10786" s="23" t="str">
        <f aca="false">IF(ISNUMBER(C10786),MONTH(C10786),"")</f>
        <v/>
      </c>
      <c r="X10786" s="23" t="str">
        <f aca="false">IF(T10786="","",IF(T10786=0,"No discount",IF(T10786&lt;=0.2,"Low (1-20%)",IF(T10786&lt;=0.4,"Medium (21-40%)","High (&gt;40%)"))))</f>
        <v/>
      </c>
      <c r="Y10786" s="23" t="str">
        <f aca="false">IF(AND(ISNUMBER(C10786),ISNUMBER(D10786)),D10786-C10786,"")</f>
        <v/>
      </c>
      <c r="Z10786" s="23" t="str">
        <f aca="false">IF(B10786="","",IF(MATCH(B10786,$B$2:$B$12000,0)=ROW()-1,1,0))</f>
        <v/>
      </c>
    </row>
    <row r="10787" customFormat="false" ht="15" hidden="false" customHeight="false" outlineLevel="0" collapsed="false">
      <c r="V10787" s="23" t="str">
        <f aca="false">IF(ISNUMBER(C10787),YEAR(C10787),"")</f>
        <v/>
      </c>
      <c r="W10787" s="23" t="str">
        <f aca="false">IF(ISNUMBER(C10787),MONTH(C10787),"")</f>
        <v/>
      </c>
      <c r="X10787" s="23" t="str">
        <f aca="false">IF(T10787="","",IF(T10787=0,"No discount",IF(T10787&lt;=0.2,"Low (1-20%)",IF(T10787&lt;=0.4,"Medium (21-40%)","High (&gt;40%)"))))</f>
        <v/>
      </c>
      <c r="Y10787" s="23" t="str">
        <f aca="false">IF(AND(ISNUMBER(C10787),ISNUMBER(D10787)),D10787-C10787,"")</f>
        <v/>
      </c>
      <c r="Z10787" s="23" t="str">
        <f aca="false">IF(B10787="","",IF(MATCH(B10787,$B$2:$B$12000,0)=ROW()-1,1,0))</f>
        <v/>
      </c>
    </row>
    <row r="10788" customFormat="false" ht="15" hidden="false" customHeight="false" outlineLevel="0" collapsed="false">
      <c r="V10788" s="23" t="str">
        <f aca="false">IF(ISNUMBER(C10788),YEAR(C10788),"")</f>
        <v/>
      </c>
      <c r="W10788" s="23" t="str">
        <f aca="false">IF(ISNUMBER(C10788),MONTH(C10788),"")</f>
        <v/>
      </c>
      <c r="X10788" s="23" t="str">
        <f aca="false">IF(T10788="","",IF(T10788=0,"No discount",IF(T10788&lt;=0.2,"Low (1-20%)",IF(T10788&lt;=0.4,"Medium (21-40%)","High (&gt;40%)"))))</f>
        <v/>
      </c>
      <c r="Y10788" s="23" t="str">
        <f aca="false">IF(AND(ISNUMBER(C10788),ISNUMBER(D10788)),D10788-C10788,"")</f>
        <v/>
      </c>
      <c r="Z10788" s="23" t="str">
        <f aca="false">IF(B10788="","",IF(MATCH(B10788,$B$2:$B$12000,0)=ROW()-1,1,0))</f>
        <v/>
      </c>
    </row>
    <row r="10789" customFormat="false" ht="15" hidden="false" customHeight="false" outlineLevel="0" collapsed="false">
      <c r="V10789" s="23" t="str">
        <f aca="false">IF(ISNUMBER(C10789),YEAR(C10789),"")</f>
        <v/>
      </c>
      <c r="W10789" s="23" t="str">
        <f aca="false">IF(ISNUMBER(C10789),MONTH(C10789),"")</f>
        <v/>
      </c>
      <c r="X10789" s="23" t="str">
        <f aca="false">IF(T10789="","",IF(T10789=0,"No discount",IF(T10789&lt;=0.2,"Low (1-20%)",IF(T10789&lt;=0.4,"Medium (21-40%)","High (&gt;40%)"))))</f>
        <v/>
      </c>
      <c r="Y10789" s="23" t="str">
        <f aca="false">IF(AND(ISNUMBER(C10789),ISNUMBER(D10789)),D10789-C10789,"")</f>
        <v/>
      </c>
      <c r="Z10789" s="23" t="str">
        <f aca="false">IF(B10789="","",IF(MATCH(B10789,$B$2:$B$12000,0)=ROW()-1,1,0))</f>
        <v/>
      </c>
    </row>
    <row r="10790" customFormat="false" ht="15" hidden="false" customHeight="false" outlineLevel="0" collapsed="false">
      <c r="V10790" s="23" t="str">
        <f aca="false">IF(ISNUMBER(C10790),YEAR(C10790),"")</f>
        <v/>
      </c>
      <c r="W10790" s="23" t="str">
        <f aca="false">IF(ISNUMBER(C10790),MONTH(C10790),"")</f>
        <v/>
      </c>
      <c r="X10790" s="23" t="str">
        <f aca="false">IF(T10790="","",IF(T10790=0,"No discount",IF(T10790&lt;=0.2,"Low (1-20%)",IF(T10790&lt;=0.4,"Medium (21-40%)","High (&gt;40%)"))))</f>
        <v/>
      </c>
      <c r="Y10790" s="23" t="str">
        <f aca="false">IF(AND(ISNUMBER(C10790),ISNUMBER(D10790)),D10790-C10790,"")</f>
        <v/>
      </c>
      <c r="Z10790" s="23" t="str">
        <f aca="false">IF(B10790="","",IF(MATCH(B10790,$B$2:$B$12000,0)=ROW()-1,1,0))</f>
        <v/>
      </c>
    </row>
    <row r="10791" customFormat="false" ht="15" hidden="false" customHeight="false" outlineLevel="0" collapsed="false">
      <c r="V10791" s="23" t="str">
        <f aca="false">IF(ISNUMBER(C10791),YEAR(C10791),"")</f>
        <v/>
      </c>
      <c r="W10791" s="23" t="str">
        <f aca="false">IF(ISNUMBER(C10791),MONTH(C10791),"")</f>
        <v/>
      </c>
      <c r="X10791" s="23" t="str">
        <f aca="false">IF(T10791="","",IF(T10791=0,"No discount",IF(T10791&lt;=0.2,"Low (1-20%)",IF(T10791&lt;=0.4,"Medium (21-40%)","High (&gt;40%)"))))</f>
        <v/>
      </c>
      <c r="Y10791" s="23" t="str">
        <f aca="false">IF(AND(ISNUMBER(C10791),ISNUMBER(D10791)),D10791-C10791,"")</f>
        <v/>
      </c>
      <c r="Z10791" s="23" t="str">
        <f aca="false">IF(B10791="","",IF(MATCH(B10791,$B$2:$B$12000,0)=ROW()-1,1,0))</f>
        <v/>
      </c>
    </row>
    <row r="10792" customFormat="false" ht="15" hidden="false" customHeight="false" outlineLevel="0" collapsed="false">
      <c r="V10792" s="23" t="str">
        <f aca="false">IF(ISNUMBER(C10792),YEAR(C10792),"")</f>
        <v/>
      </c>
      <c r="W10792" s="23" t="str">
        <f aca="false">IF(ISNUMBER(C10792),MONTH(C10792),"")</f>
        <v/>
      </c>
      <c r="X10792" s="23" t="str">
        <f aca="false">IF(T10792="","",IF(T10792=0,"No discount",IF(T10792&lt;=0.2,"Low (1-20%)",IF(T10792&lt;=0.4,"Medium (21-40%)","High (&gt;40%)"))))</f>
        <v/>
      </c>
      <c r="Y10792" s="23" t="str">
        <f aca="false">IF(AND(ISNUMBER(C10792),ISNUMBER(D10792)),D10792-C10792,"")</f>
        <v/>
      </c>
      <c r="Z10792" s="23" t="str">
        <f aca="false">IF(B10792="","",IF(MATCH(B10792,$B$2:$B$12000,0)=ROW()-1,1,0))</f>
        <v/>
      </c>
    </row>
    <row r="10793" customFormat="false" ht="15" hidden="false" customHeight="false" outlineLevel="0" collapsed="false">
      <c r="V10793" s="23" t="str">
        <f aca="false">IF(ISNUMBER(C10793),YEAR(C10793),"")</f>
        <v/>
      </c>
      <c r="W10793" s="23" t="str">
        <f aca="false">IF(ISNUMBER(C10793),MONTH(C10793),"")</f>
        <v/>
      </c>
      <c r="X10793" s="23" t="str">
        <f aca="false">IF(T10793="","",IF(T10793=0,"No discount",IF(T10793&lt;=0.2,"Low (1-20%)",IF(T10793&lt;=0.4,"Medium (21-40%)","High (&gt;40%)"))))</f>
        <v/>
      </c>
      <c r="Y10793" s="23" t="str">
        <f aca="false">IF(AND(ISNUMBER(C10793),ISNUMBER(D10793)),D10793-C10793,"")</f>
        <v/>
      </c>
      <c r="Z10793" s="23" t="str">
        <f aca="false">IF(B10793="","",IF(MATCH(B10793,$B$2:$B$12000,0)=ROW()-1,1,0))</f>
        <v/>
      </c>
    </row>
    <row r="10794" customFormat="false" ht="15" hidden="false" customHeight="false" outlineLevel="0" collapsed="false">
      <c r="V10794" s="23" t="str">
        <f aca="false">IF(ISNUMBER(C10794),YEAR(C10794),"")</f>
        <v/>
      </c>
      <c r="W10794" s="23" t="str">
        <f aca="false">IF(ISNUMBER(C10794),MONTH(C10794),"")</f>
        <v/>
      </c>
      <c r="X10794" s="23" t="str">
        <f aca="false">IF(T10794="","",IF(T10794=0,"No discount",IF(T10794&lt;=0.2,"Low (1-20%)",IF(T10794&lt;=0.4,"Medium (21-40%)","High (&gt;40%)"))))</f>
        <v/>
      </c>
      <c r="Y10794" s="23" t="str">
        <f aca="false">IF(AND(ISNUMBER(C10794),ISNUMBER(D10794)),D10794-C10794,"")</f>
        <v/>
      </c>
      <c r="Z10794" s="23" t="str">
        <f aca="false">IF(B10794="","",IF(MATCH(B10794,$B$2:$B$12000,0)=ROW()-1,1,0))</f>
        <v/>
      </c>
    </row>
    <row r="10795" customFormat="false" ht="15" hidden="false" customHeight="false" outlineLevel="0" collapsed="false">
      <c r="V10795" s="23" t="str">
        <f aca="false">IF(ISNUMBER(C10795),YEAR(C10795),"")</f>
        <v/>
      </c>
      <c r="W10795" s="23" t="str">
        <f aca="false">IF(ISNUMBER(C10795),MONTH(C10795),"")</f>
        <v/>
      </c>
      <c r="X10795" s="23" t="str">
        <f aca="false">IF(T10795="","",IF(T10795=0,"No discount",IF(T10795&lt;=0.2,"Low (1-20%)",IF(T10795&lt;=0.4,"Medium (21-40%)","High (&gt;40%)"))))</f>
        <v/>
      </c>
      <c r="Y10795" s="23" t="str">
        <f aca="false">IF(AND(ISNUMBER(C10795),ISNUMBER(D10795)),D10795-C10795,"")</f>
        <v/>
      </c>
      <c r="Z10795" s="23" t="str">
        <f aca="false">IF(B10795="","",IF(MATCH(B10795,$B$2:$B$12000,0)=ROW()-1,1,0))</f>
        <v/>
      </c>
    </row>
    <row r="10796" customFormat="false" ht="15" hidden="false" customHeight="false" outlineLevel="0" collapsed="false">
      <c r="V10796" s="23" t="str">
        <f aca="false">IF(ISNUMBER(C10796),YEAR(C10796),"")</f>
        <v/>
      </c>
      <c r="W10796" s="23" t="str">
        <f aca="false">IF(ISNUMBER(C10796),MONTH(C10796),"")</f>
        <v/>
      </c>
      <c r="X10796" s="23" t="str">
        <f aca="false">IF(T10796="","",IF(T10796=0,"No discount",IF(T10796&lt;=0.2,"Low (1-20%)",IF(T10796&lt;=0.4,"Medium (21-40%)","High (&gt;40%)"))))</f>
        <v/>
      </c>
      <c r="Y10796" s="23" t="str">
        <f aca="false">IF(AND(ISNUMBER(C10796),ISNUMBER(D10796)),D10796-C10796,"")</f>
        <v/>
      </c>
      <c r="Z10796" s="23" t="str">
        <f aca="false">IF(B10796="","",IF(MATCH(B10796,$B$2:$B$12000,0)=ROW()-1,1,0))</f>
        <v/>
      </c>
    </row>
    <row r="10797" customFormat="false" ht="15" hidden="false" customHeight="false" outlineLevel="0" collapsed="false">
      <c r="V10797" s="23" t="str">
        <f aca="false">IF(ISNUMBER(C10797),YEAR(C10797),"")</f>
        <v/>
      </c>
      <c r="W10797" s="23" t="str">
        <f aca="false">IF(ISNUMBER(C10797),MONTH(C10797),"")</f>
        <v/>
      </c>
      <c r="X10797" s="23" t="str">
        <f aca="false">IF(T10797="","",IF(T10797=0,"No discount",IF(T10797&lt;=0.2,"Low (1-20%)",IF(T10797&lt;=0.4,"Medium (21-40%)","High (&gt;40%)"))))</f>
        <v/>
      </c>
      <c r="Y10797" s="23" t="str">
        <f aca="false">IF(AND(ISNUMBER(C10797),ISNUMBER(D10797)),D10797-C10797,"")</f>
        <v/>
      </c>
      <c r="Z10797" s="23" t="str">
        <f aca="false">IF(B10797="","",IF(MATCH(B10797,$B$2:$B$12000,0)=ROW()-1,1,0))</f>
        <v/>
      </c>
    </row>
    <row r="10798" customFormat="false" ht="15" hidden="false" customHeight="false" outlineLevel="0" collapsed="false">
      <c r="V10798" s="23" t="str">
        <f aca="false">IF(ISNUMBER(C10798),YEAR(C10798),"")</f>
        <v/>
      </c>
      <c r="W10798" s="23" t="str">
        <f aca="false">IF(ISNUMBER(C10798),MONTH(C10798),"")</f>
        <v/>
      </c>
      <c r="X10798" s="23" t="str">
        <f aca="false">IF(T10798="","",IF(T10798=0,"No discount",IF(T10798&lt;=0.2,"Low (1-20%)",IF(T10798&lt;=0.4,"Medium (21-40%)","High (&gt;40%)"))))</f>
        <v/>
      </c>
      <c r="Y10798" s="23" t="str">
        <f aca="false">IF(AND(ISNUMBER(C10798),ISNUMBER(D10798)),D10798-C10798,"")</f>
        <v/>
      </c>
      <c r="Z10798" s="23" t="str">
        <f aca="false">IF(B10798="","",IF(MATCH(B10798,$B$2:$B$12000,0)=ROW()-1,1,0))</f>
        <v/>
      </c>
    </row>
    <row r="10799" customFormat="false" ht="15" hidden="false" customHeight="false" outlineLevel="0" collapsed="false">
      <c r="V10799" s="23" t="str">
        <f aca="false">IF(ISNUMBER(C10799),YEAR(C10799),"")</f>
        <v/>
      </c>
      <c r="W10799" s="23" t="str">
        <f aca="false">IF(ISNUMBER(C10799),MONTH(C10799),"")</f>
        <v/>
      </c>
      <c r="X10799" s="23" t="str">
        <f aca="false">IF(T10799="","",IF(T10799=0,"No discount",IF(T10799&lt;=0.2,"Low (1-20%)",IF(T10799&lt;=0.4,"Medium (21-40%)","High (&gt;40%)"))))</f>
        <v/>
      </c>
      <c r="Y10799" s="23" t="str">
        <f aca="false">IF(AND(ISNUMBER(C10799),ISNUMBER(D10799)),D10799-C10799,"")</f>
        <v/>
      </c>
      <c r="Z10799" s="23" t="str">
        <f aca="false">IF(B10799="","",IF(MATCH(B10799,$B$2:$B$12000,0)=ROW()-1,1,0))</f>
        <v/>
      </c>
    </row>
    <row r="10800" customFormat="false" ht="15" hidden="false" customHeight="false" outlineLevel="0" collapsed="false">
      <c r="V10800" s="23" t="str">
        <f aca="false">IF(ISNUMBER(C10800),YEAR(C10800),"")</f>
        <v/>
      </c>
      <c r="W10800" s="23" t="str">
        <f aca="false">IF(ISNUMBER(C10800),MONTH(C10800),"")</f>
        <v/>
      </c>
      <c r="X10800" s="23" t="str">
        <f aca="false">IF(T10800="","",IF(T10800=0,"No discount",IF(T10800&lt;=0.2,"Low (1-20%)",IF(T10800&lt;=0.4,"Medium (21-40%)","High (&gt;40%)"))))</f>
        <v/>
      </c>
      <c r="Y10800" s="23" t="str">
        <f aca="false">IF(AND(ISNUMBER(C10800),ISNUMBER(D10800)),D10800-C10800,"")</f>
        <v/>
      </c>
      <c r="Z10800" s="23" t="str">
        <f aca="false">IF(B10800="","",IF(MATCH(B10800,$B$2:$B$12000,0)=ROW()-1,1,0))</f>
        <v/>
      </c>
    </row>
    <row r="10801" customFormat="false" ht="15" hidden="false" customHeight="false" outlineLevel="0" collapsed="false">
      <c r="V10801" s="23" t="str">
        <f aca="false">IF(ISNUMBER(C10801),YEAR(C10801),"")</f>
        <v/>
      </c>
      <c r="W10801" s="23" t="str">
        <f aca="false">IF(ISNUMBER(C10801),MONTH(C10801),"")</f>
        <v/>
      </c>
      <c r="X10801" s="23" t="str">
        <f aca="false">IF(T10801="","",IF(T10801=0,"No discount",IF(T10801&lt;=0.2,"Low (1-20%)",IF(T10801&lt;=0.4,"Medium (21-40%)","High (&gt;40%)"))))</f>
        <v/>
      </c>
      <c r="Y10801" s="23" t="str">
        <f aca="false">IF(AND(ISNUMBER(C10801),ISNUMBER(D10801)),D10801-C10801,"")</f>
        <v/>
      </c>
      <c r="Z10801" s="23" t="str">
        <f aca="false">IF(B10801="","",IF(MATCH(B10801,$B$2:$B$12000,0)=ROW()-1,1,0))</f>
        <v/>
      </c>
    </row>
    <row r="10802" customFormat="false" ht="15" hidden="false" customHeight="false" outlineLevel="0" collapsed="false">
      <c r="V10802" s="23" t="str">
        <f aca="false">IF(ISNUMBER(C10802),YEAR(C10802),"")</f>
        <v/>
      </c>
      <c r="W10802" s="23" t="str">
        <f aca="false">IF(ISNUMBER(C10802),MONTH(C10802),"")</f>
        <v/>
      </c>
      <c r="X10802" s="23" t="str">
        <f aca="false">IF(T10802="","",IF(T10802=0,"No discount",IF(T10802&lt;=0.2,"Low (1-20%)",IF(T10802&lt;=0.4,"Medium (21-40%)","High (&gt;40%)"))))</f>
        <v/>
      </c>
      <c r="Y10802" s="23" t="str">
        <f aca="false">IF(AND(ISNUMBER(C10802),ISNUMBER(D10802)),D10802-C10802,"")</f>
        <v/>
      </c>
      <c r="Z10802" s="23" t="str">
        <f aca="false">IF(B10802="","",IF(MATCH(B10802,$B$2:$B$12000,0)=ROW()-1,1,0))</f>
        <v/>
      </c>
    </row>
    <row r="10803" customFormat="false" ht="15" hidden="false" customHeight="false" outlineLevel="0" collapsed="false">
      <c r="V10803" s="23" t="str">
        <f aca="false">IF(ISNUMBER(C10803),YEAR(C10803),"")</f>
        <v/>
      </c>
      <c r="W10803" s="23" t="str">
        <f aca="false">IF(ISNUMBER(C10803),MONTH(C10803),"")</f>
        <v/>
      </c>
      <c r="X10803" s="23" t="str">
        <f aca="false">IF(T10803="","",IF(T10803=0,"No discount",IF(T10803&lt;=0.2,"Low (1-20%)",IF(T10803&lt;=0.4,"Medium (21-40%)","High (&gt;40%)"))))</f>
        <v/>
      </c>
      <c r="Y10803" s="23" t="str">
        <f aca="false">IF(AND(ISNUMBER(C10803),ISNUMBER(D10803)),D10803-C10803,"")</f>
        <v/>
      </c>
      <c r="Z10803" s="23" t="str">
        <f aca="false">IF(B10803="","",IF(MATCH(B10803,$B$2:$B$12000,0)=ROW()-1,1,0))</f>
        <v/>
      </c>
    </row>
    <row r="10804" customFormat="false" ht="15" hidden="false" customHeight="false" outlineLevel="0" collapsed="false">
      <c r="V10804" s="23" t="str">
        <f aca="false">IF(ISNUMBER(C10804),YEAR(C10804),"")</f>
        <v/>
      </c>
      <c r="W10804" s="23" t="str">
        <f aca="false">IF(ISNUMBER(C10804),MONTH(C10804),"")</f>
        <v/>
      </c>
      <c r="X10804" s="23" t="str">
        <f aca="false">IF(T10804="","",IF(T10804=0,"No discount",IF(T10804&lt;=0.2,"Low (1-20%)",IF(T10804&lt;=0.4,"Medium (21-40%)","High (&gt;40%)"))))</f>
        <v/>
      </c>
      <c r="Y10804" s="23" t="str">
        <f aca="false">IF(AND(ISNUMBER(C10804),ISNUMBER(D10804)),D10804-C10804,"")</f>
        <v/>
      </c>
      <c r="Z10804" s="23" t="str">
        <f aca="false">IF(B10804="","",IF(MATCH(B10804,$B$2:$B$12000,0)=ROW()-1,1,0))</f>
        <v/>
      </c>
    </row>
    <row r="10805" customFormat="false" ht="15" hidden="false" customHeight="false" outlineLevel="0" collapsed="false">
      <c r="V10805" s="23" t="str">
        <f aca="false">IF(ISNUMBER(C10805),YEAR(C10805),"")</f>
        <v/>
      </c>
      <c r="W10805" s="23" t="str">
        <f aca="false">IF(ISNUMBER(C10805),MONTH(C10805),"")</f>
        <v/>
      </c>
      <c r="X10805" s="23" t="str">
        <f aca="false">IF(T10805="","",IF(T10805=0,"No discount",IF(T10805&lt;=0.2,"Low (1-20%)",IF(T10805&lt;=0.4,"Medium (21-40%)","High (&gt;40%)"))))</f>
        <v/>
      </c>
      <c r="Y10805" s="23" t="str">
        <f aca="false">IF(AND(ISNUMBER(C10805),ISNUMBER(D10805)),D10805-C10805,"")</f>
        <v/>
      </c>
      <c r="Z10805" s="23" t="str">
        <f aca="false">IF(B10805="","",IF(MATCH(B10805,$B$2:$B$12000,0)=ROW()-1,1,0))</f>
        <v/>
      </c>
    </row>
    <row r="10806" customFormat="false" ht="15" hidden="false" customHeight="false" outlineLevel="0" collapsed="false">
      <c r="V10806" s="23" t="str">
        <f aca="false">IF(ISNUMBER(C10806),YEAR(C10806),"")</f>
        <v/>
      </c>
      <c r="W10806" s="23" t="str">
        <f aca="false">IF(ISNUMBER(C10806),MONTH(C10806),"")</f>
        <v/>
      </c>
      <c r="X10806" s="23" t="str">
        <f aca="false">IF(T10806="","",IF(T10806=0,"No discount",IF(T10806&lt;=0.2,"Low (1-20%)",IF(T10806&lt;=0.4,"Medium (21-40%)","High (&gt;40%)"))))</f>
        <v/>
      </c>
      <c r="Y10806" s="23" t="str">
        <f aca="false">IF(AND(ISNUMBER(C10806),ISNUMBER(D10806)),D10806-C10806,"")</f>
        <v/>
      </c>
      <c r="Z10806" s="23" t="str">
        <f aca="false">IF(B10806="","",IF(MATCH(B10806,$B$2:$B$12000,0)=ROW()-1,1,0))</f>
        <v/>
      </c>
    </row>
    <row r="10807" customFormat="false" ht="15" hidden="false" customHeight="false" outlineLevel="0" collapsed="false">
      <c r="V10807" s="23" t="str">
        <f aca="false">IF(ISNUMBER(C10807),YEAR(C10807),"")</f>
        <v/>
      </c>
      <c r="W10807" s="23" t="str">
        <f aca="false">IF(ISNUMBER(C10807),MONTH(C10807),"")</f>
        <v/>
      </c>
      <c r="X10807" s="23" t="str">
        <f aca="false">IF(T10807="","",IF(T10807=0,"No discount",IF(T10807&lt;=0.2,"Low (1-20%)",IF(T10807&lt;=0.4,"Medium (21-40%)","High (&gt;40%)"))))</f>
        <v/>
      </c>
      <c r="Y10807" s="23" t="str">
        <f aca="false">IF(AND(ISNUMBER(C10807),ISNUMBER(D10807)),D10807-C10807,"")</f>
        <v/>
      </c>
      <c r="Z10807" s="23" t="str">
        <f aca="false">IF(B10807="","",IF(MATCH(B10807,$B$2:$B$12000,0)=ROW()-1,1,0))</f>
        <v/>
      </c>
    </row>
    <row r="10808" customFormat="false" ht="15" hidden="false" customHeight="false" outlineLevel="0" collapsed="false">
      <c r="V10808" s="23" t="str">
        <f aca="false">IF(ISNUMBER(C10808),YEAR(C10808),"")</f>
        <v/>
      </c>
      <c r="W10808" s="23" t="str">
        <f aca="false">IF(ISNUMBER(C10808),MONTH(C10808),"")</f>
        <v/>
      </c>
      <c r="X10808" s="23" t="str">
        <f aca="false">IF(T10808="","",IF(T10808=0,"No discount",IF(T10808&lt;=0.2,"Low (1-20%)",IF(T10808&lt;=0.4,"Medium (21-40%)","High (&gt;40%)"))))</f>
        <v/>
      </c>
      <c r="Y10808" s="23" t="str">
        <f aca="false">IF(AND(ISNUMBER(C10808),ISNUMBER(D10808)),D10808-C10808,"")</f>
        <v/>
      </c>
      <c r="Z10808" s="23" t="str">
        <f aca="false">IF(B10808="","",IF(MATCH(B10808,$B$2:$B$12000,0)=ROW()-1,1,0))</f>
        <v/>
      </c>
    </row>
    <row r="10809" customFormat="false" ht="15" hidden="false" customHeight="false" outlineLevel="0" collapsed="false">
      <c r="V10809" s="23" t="str">
        <f aca="false">IF(ISNUMBER(C10809),YEAR(C10809),"")</f>
        <v/>
      </c>
      <c r="W10809" s="23" t="str">
        <f aca="false">IF(ISNUMBER(C10809),MONTH(C10809),"")</f>
        <v/>
      </c>
      <c r="X10809" s="23" t="str">
        <f aca="false">IF(T10809="","",IF(T10809=0,"No discount",IF(T10809&lt;=0.2,"Low (1-20%)",IF(T10809&lt;=0.4,"Medium (21-40%)","High (&gt;40%)"))))</f>
        <v/>
      </c>
      <c r="Y10809" s="23" t="str">
        <f aca="false">IF(AND(ISNUMBER(C10809),ISNUMBER(D10809)),D10809-C10809,"")</f>
        <v/>
      </c>
      <c r="Z10809" s="23" t="str">
        <f aca="false">IF(B10809="","",IF(MATCH(B10809,$B$2:$B$12000,0)=ROW()-1,1,0))</f>
        <v/>
      </c>
    </row>
    <row r="10810" customFormat="false" ht="15" hidden="false" customHeight="false" outlineLevel="0" collapsed="false">
      <c r="V10810" s="23" t="str">
        <f aca="false">IF(ISNUMBER(C10810),YEAR(C10810),"")</f>
        <v/>
      </c>
      <c r="W10810" s="23" t="str">
        <f aca="false">IF(ISNUMBER(C10810),MONTH(C10810),"")</f>
        <v/>
      </c>
      <c r="X10810" s="23" t="str">
        <f aca="false">IF(T10810="","",IF(T10810=0,"No discount",IF(T10810&lt;=0.2,"Low (1-20%)",IF(T10810&lt;=0.4,"Medium (21-40%)","High (&gt;40%)"))))</f>
        <v/>
      </c>
      <c r="Y10810" s="23" t="str">
        <f aca="false">IF(AND(ISNUMBER(C10810),ISNUMBER(D10810)),D10810-C10810,"")</f>
        <v/>
      </c>
      <c r="Z10810" s="23" t="str">
        <f aca="false">IF(B10810="","",IF(MATCH(B10810,$B$2:$B$12000,0)=ROW()-1,1,0))</f>
        <v/>
      </c>
    </row>
    <row r="10811" customFormat="false" ht="15" hidden="false" customHeight="false" outlineLevel="0" collapsed="false">
      <c r="V10811" s="23" t="str">
        <f aca="false">IF(ISNUMBER(C10811),YEAR(C10811),"")</f>
        <v/>
      </c>
      <c r="W10811" s="23" t="str">
        <f aca="false">IF(ISNUMBER(C10811),MONTH(C10811),"")</f>
        <v/>
      </c>
      <c r="X10811" s="23" t="str">
        <f aca="false">IF(T10811="","",IF(T10811=0,"No discount",IF(T10811&lt;=0.2,"Low (1-20%)",IF(T10811&lt;=0.4,"Medium (21-40%)","High (&gt;40%)"))))</f>
        <v/>
      </c>
      <c r="Y10811" s="23" t="str">
        <f aca="false">IF(AND(ISNUMBER(C10811),ISNUMBER(D10811)),D10811-C10811,"")</f>
        <v/>
      </c>
      <c r="Z10811" s="23" t="str">
        <f aca="false">IF(B10811="","",IF(MATCH(B10811,$B$2:$B$12000,0)=ROW()-1,1,0))</f>
        <v/>
      </c>
    </row>
    <row r="10812" customFormat="false" ht="15" hidden="false" customHeight="false" outlineLevel="0" collapsed="false">
      <c r="V10812" s="23" t="str">
        <f aca="false">IF(ISNUMBER(C10812),YEAR(C10812),"")</f>
        <v/>
      </c>
      <c r="W10812" s="23" t="str">
        <f aca="false">IF(ISNUMBER(C10812),MONTH(C10812),"")</f>
        <v/>
      </c>
      <c r="X10812" s="23" t="str">
        <f aca="false">IF(T10812="","",IF(T10812=0,"No discount",IF(T10812&lt;=0.2,"Low (1-20%)",IF(T10812&lt;=0.4,"Medium (21-40%)","High (&gt;40%)"))))</f>
        <v/>
      </c>
      <c r="Y10812" s="23" t="str">
        <f aca="false">IF(AND(ISNUMBER(C10812),ISNUMBER(D10812)),D10812-C10812,"")</f>
        <v/>
      </c>
      <c r="Z10812" s="23" t="str">
        <f aca="false">IF(B10812="","",IF(MATCH(B10812,$B$2:$B$12000,0)=ROW()-1,1,0))</f>
        <v/>
      </c>
    </row>
    <row r="10813" customFormat="false" ht="15" hidden="false" customHeight="false" outlineLevel="0" collapsed="false">
      <c r="V10813" s="23" t="str">
        <f aca="false">IF(ISNUMBER(C10813),YEAR(C10813),"")</f>
        <v/>
      </c>
      <c r="W10813" s="23" t="str">
        <f aca="false">IF(ISNUMBER(C10813),MONTH(C10813),"")</f>
        <v/>
      </c>
      <c r="X10813" s="23" t="str">
        <f aca="false">IF(T10813="","",IF(T10813=0,"No discount",IF(T10813&lt;=0.2,"Low (1-20%)",IF(T10813&lt;=0.4,"Medium (21-40%)","High (&gt;40%)"))))</f>
        <v/>
      </c>
      <c r="Y10813" s="23" t="str">
        <f aca="false">IF(AND(ISNUMBER(C10813),ISNUMBER(D10813)),D10813-C10813,"")</f>
        <v/>
      </c>
      <c r="Z10813" s="23" t="str">
        <f aca="false">IF(B10813="","",IF(MATCH(B10813,$B$2:$B$12000,0)=ROW()-1,1,0))</f>
        <v/>
      </c>
    </row>
    <row r="10814" customFormat="false" ht="15" hidden="false" customHeight="false" outlineLevel="0" collapsed="false">
      <c r="V10814" s="23" t="str">
        <f aca="false">IF(ISNUMBER(C10814),YEAR(C10814),"")</f>
        <v/>
      </c>
      <c r="W10814" s="23" t="str">
        <f aca="false">IF(ISNUMBER(C10814),MONTH(C10814),"")</f>
        <v/>
      </c>
      <c r="X10814" s="23" t="str">
        <f aca="false">IF(T10814="","",IF(T10814=0,"No discount",IF(T10814&lt;=0.2,"Low (1-20%)",IF(T10814&lt;=0.4,"Medium (21-40%)","High (&gt;40%)"))))</f>
        <v/>
      </c>
      <c r="Y10814" s="23" t="str">
        <f aca="false">IF(AND(ISNUMBER(C10814),ISNUMBER(D10814)),D10814-C10814,"")</f>
        <v/>
      </c>
      <c r="Z10814" s="23" t="str">
        <f aca="false">IF(B10814="","",IF(MATCH(B10814,$B$2:$B$12000,0)=ROW()-1,1,0))</f>
        <v/>
      </c>
    </row>
    <row r="10815" customFormat="false" ht="15" hidden="false" customHeight="false" outlineLevel="0" collapsed="false">
      <c r="V10815" s="23" t="str">
        <f aca="false">IF(ISNUMBER(C10815),YEAR(C10815),"")</f>
        <v/>
      </c>
      <c r="W10815" s="23" t="str">
        <f aca="false">IF(ISNUMBER(C10815),MONTH(C10815),"")</f>
        <v/>
      </c>
      <c r="X10815" s="23" t="str">
        <f aca="false">IF(T10815="","",IF(T10815=0,"No discount",IF(T10815&lt;=0.2,"Low (1-20%)",IF(T10815&lt;=0.4,"Medium (21-40%)","High (&gt;40%)"))))</f>
        <v/>
      </c>
      <c r="Y10815" s="23" t="str">
        <f aca="false">IF(AND(ISNUMBER(C10815),ISNUMBER(D10815)),D10815-C10815,"")</f>
        <v/>
      </c>
      <c r="Z10815" s="23" t="str">
        <f aca="false">IF(B10815="","",IF(MATCH(B10815,$B$2:$B$12000,0)=ROW()-1,1,0))</f>
        <v/>
      </c>
    </row>
    <row r="10816" customFormat="false" ht="15" hidden="false" customHeight="false" outlineLevel="0" collapsed="false">
      <c r="V10816" s="23" t="str">
        <f aca="false">IF(ISNUMBER(C10816),YEAR(C10816),"")</f>
        <v/>
      </c>
      <c r="W10816" s="23" t="str">
        <f aca="false">IF(ISNUMBER(C10816),MONTH(C10816),"")</f>
        <v/>
      </c>
      <c r="X10816" s="23" t="str">
        <f aca="false">IF(T10816="","",IF(T10816=0,"No discount",IF(T10816&lt;=0.2,"Low (1-20%)",IF(T10816&lt;=0.4,"Medium (21-40%)","High (&gt;40%)"))))</f>
        <v/>
      </c>
      <c r="Y10816" s="23" t="str">
        <f aca="false">IF(AND(ISNUMBER(C10816),ISNUMBER(D10816)),D10816-C10816,"")</f>
        <v/>
      </c>
      <c r="Z10816" s="23" t="str">
        <f aca="false">IF(B10816="","",IF(MATCH(B10816,$B$2:$B$12000,0)=ROW()-1,1,0))</f>
        <v/>
      </c>
    </row>
    <row r="10817" customFormat="false" ht="15" hidden="false" customHeight="false" outlineLevel="0" collapsed="false">
      <c r="V10817" s="23" t="str">
        <f aca="false">IF(ISNUMBER(C10817),YEAR(C10817),"")</f>
        <v/>
      </c>
      <c r="W10817" s="23" t="str">
        <f aca="false">IF(ISNUMBER(C10817),MONTH(C10817),"")</f>
        <v/>
      </c>
      <c r="X10817" s="23" t="str">
        <f aca="false">IF(T10817="","",IF(T10817=0,"No discount",IF(T10817&lt;=0.2,"Low (1-20%)",IF(T10817&lt;=0.4,"Medium (21-40%)","High (&gt;40%)"))))</f>
        <v/>
      </c>
      <c r="Y10817" s="23" t="str">
        <f aca="false">IF(AND(ISNUMBER(C10817),ISNUMBER(D10817)),D10817-C10817,"")</f>
        <v/>
      </c>
      <c r="Z10817" s="23" t="str">
        <f aca="false">IF(B10817="","",IF(MATCH(B10817,$B$2:$B$12000,0)=ROW()-1,1,0))</f>
        <v/>
      </c>
    </row>
    <row r="10818" customFormat="false" ht="15" hidden="false" customHeight="false" outlineLevel="0" collapsed="false">
      <c r="V10818" s="23" t="str">
        <f aca="false">IF(ISNUMBER(C10818),YEAR(C10818),"")</f>
        <v/>
      </c>
      <c r="W10818" s="23" t="str">
        <f aca="false">IF(ISNUMBER(C10818),MONTH(C10818),"")</f>
        <v/>
      </c>
      <c r="X10818" s="23" t="str">
        <f aca="false">IF(T10818="","",IF(T10818=0,"No discount",IF(T10818&lt;=0.2,"Low (1-20%)",IF(T10818&lt;=0.4,"Medium (21-40%)","High (&gt;40%)"))))</f>
        <v/>
      </c>
      <c r="Y10818" s="23" t="str">
        <f aca="false">IF(AND(ISNUMBER(C10818),ISNUMBER(D10818)),D10818-C10818,"")</f>
        <v/>
      </c>
      <c r="Z10818" s="23" t="str">
        <f aca="false">IF(B10818="","",IF(MATCH(B10818,$B$2:$B$12000,0)=ROW()-1,1,0))</f>
        <v/>
      </c>
    </row>
    <row r="10819" customFormat="false" ht="15" hidden="false" customHeight="false" outlineLevel="0" collapsed="false">
      <c r="V10819" s="23" t="str">
        <f aca="false">IF(ISNUMBER(C10819),YEAR(C10819),"")</f>
        <v/>
      </c>
      <c r="W10819" s="23" t="str">
        <f aca="false">IF(ISNUMBER(C10819),MONTH(C10819),"")</f>
        <v/>
      </c>
      <c r="X10819" s="23" t="str">
        <f aca="false">IF(T10819="","",IF(T10819=0,"No discount",IF(T10819&lt;=0.2,"Low (1-20%)",IF(T10819&lt;=0.4,"Medium (21-40%)","High (&gt;40%)"))))</f>
        <v/>
      </c>
      <c r="Y10819" s="23" t="str">
        <f aca="false">IF(AND(ISNUMBER(C10819),ISNUMBER(D10819)),D10819-C10819,"")</f>
        <v/>
      </c>
      <c r="Z10819" s="23" t="str">
        <f aca="false">IF(B10819="","",IF(MATCH(B10819,$B$2:$B$12000,0)=ROW()-1,1,0))</f>
        <v/>
      </c>
    </row>
    <row r="10820" customFormat="false" ht="15" hidden="false" customHeight="false" outlineLevel="0" collapsed="false">
      <c r="V10820" s="23" t="str">
        <f aca="false">IF(ISNUMBER(C10820),YEAR(C10820),"")</f>
        <v/>
      </c>
      <c r="W10820" s="23" t="str">
        <f aca="false">IF(ISNUMBER(C10820),MONTH(C10820),"")</f>
        <v/>
      </c>
      <c r="X10820" s="23" t="str">
        <f aca="false">IF(T10820="","",IF(T10820=0,"No discount",IF(T10820&lt;=0.2,"Low (1-20%)",IF(T10820&lt;=0.4,"Medium (21-40%)","High (&gt;40%)"))))</f>
        <v/>
      </c>
      <c r="Y10820" s="23" t="str">
        <f aca="false">IF(AND(ISNUMBER(C10820),ISNUMBER(D10820)),D10820-C10820,"")</f>
        <v/>
      </c>
      <c r="Z10820" s="23" t="str">
        <f aca="false">IF(B10820="","",IF(MATCH(B10820,$B$2:$B$12000,0)=ROW()-1,1,0))</f>
        <v/>
      </c>
    </row>
    <row r="10821" customFormat="false" ht="15" hidden="false" customHeight="false" outlineLevel="0" collapsed="false">
      <c r="V10821" s="23" t="str">
        <f aca="false">IF(ISNUMBER(C10821),YEAR(C10821),"")</f>
        <v/>
      </c>
      <c r="W10821" s="23" t="str">
        <f aca="false">IF(ISNUMBER(C10821),MONTH(C10821),"")</f>
        <v/>
      </c>
      <c r="X10821" s="23" t="str">
        <f aca="false">IF(T10821="","",IF(T10821=0,"No discount",IF(T10821&lt;=0.2,"Low (1-20%)",IF(T10821&lt;=0.4,"Medium (21-40%)","High (&gt;40%)"))))</f>
        <v/>
      </c>
      <c r="Y10821" s="23" t="str">
        <f aca="false">IF(AND(ISNUMBER(C10821),ISNUMBER(D10821)),D10821-C10821,"")</f>
        <v/>
      </c>
      <c r="Z10821" s="23" t="str">
        <f aca="false">IF(B10821="","",IF(MATCH(B10821,$B$2:$B$12000,0)=ROW()-1,1,0))</f>
        <v/>
      </c>
    </row>
    <row r="10822" customFormat="false" ht="15" hidden="false" customHeight="false" outlineLevel="0" collapsed="false">
      <c r="V10822" s="23" t="str">
        <f aca="false">IF(ISNUMBER(C10822),YEAR(C10822),"")</f>
        <v/>
      </c>
      <c r="W10822" s="23" t="str">
        <f aca="false">IF(ISNUMBER(C10822),MONTH(C10822),"")</f>
        <v/>
      </c>
      <c r="X10822" s="23" t="str">
        <f aca="false">IF(T10822="","",IF(T10822=0,"No discount",IF(T10822&lt;=0.2,"Low (1-20%)",IF(T10822&lt;=0.4,"Medium (21-40%)","High (&gt;40%)"))))</f>
        <v/>
      </c>
      <c r="Y10822" s="23" t="str">
        <f aca="false">IF(AND(ISNUMBER(C10822),ISNUMBER(D10822)),D10822-C10822,"")</f>
        <v/>
      </c>
      <c r="Z10822" s="23" t="str">
        <f aca="false">IF(B10822="","",IF(MATCH(B10822,$B$2:$B$12000,0)=ROW()-1,1,0))</f>
        <v/>
      </c>
    </row>
    <row r="10823" customFormat="false" ht="15" hidden="false" customHeight="false" outlineLevel="0" collapsed="false">
      <c r="V10823" s="23" t="str">
        <f aca="false">IF(ISNUMBER(C10823),YEAR(C10823),"")</f>
        <v/>
      </c>
      <c r="W10823" s="23" t="str">
        <f aca="false">IF(ISNUMBER(C10823),MONTH(C10823),"")</f>
        <v/>
      </c>
      <c r="X10823" s="23" t="str">
        <f aca="false">IF(T10823="","",IF(T10823=0,"No discount",IF(T10823&lt;=0.2,"Low (1-20%)",IF(T10823&lt;=0.4,"Medium (21-40%)","High (&gt;40%)"))))</f>
        <v/>
      </c>
      <c r="Y10823" s="23" t="str">
        <f aca="false">IF(AND(ISNUMBER(C10823),ISNUMBER(D10823)),D10823-C10823,"")</f>
        <v/>
      </c>
      <c r="Z10823" s="23" t="str">
        <f aca="false">IF(B10823="","",IF(MATCH(B10823,$B$2:$B$12000,0)=ROW()-1,1,0))</f>
        <v/>
      </c>
    </row>
    <row r="10824" customFormat="false" ht="15" hidden="false" customHeight="false" outlineLevel="0" collapsed="false">
      <c r="V10824" s="23" t="str">
        <f aca="false">IF(ISNUMBER(C10824),YEAR(C10824),"")</f>
        <v/>
      </c>
      <c r="W10824" s="23" t="str">
        <f aca="false">IF(ISNUMBER(C10824),MONTH(C10824),"")</f>
        <v/>
      </c>
      <c r="X10824" s="23" t="str">
        <f aca="false">IF(T10824="","",IF(T10824=0,"No discount",IF(T10824&lt;=0.2,"Low (1-20%)",IF(T10824&lt;=0.4,"Medium (21-40%)","High (&gt;40%)"))))</f>
        <v/>
      </c>
      <c r="Y10824" s="23" t="str">
        <f aca="false">IF(AND(ISNUMBER(C10824),ISNUMBER(D10824)),D10824-C10824,"")</f>
        <v/>
      </c>
      <c r="Z10824" s="23" t="str">
        <f aca="false">IF(B10824="","",IF(MATCH(B10824,$B$2:$B$12000,0)=ROW()-1,1,0))</f>
        <v/>
      </c>
    </row>
    <row r="10825" customFormat="false" ht="15" hidden="false" customHeight="false" outlineLevel="0" collapsed="false">
      <c r="V10825" s="23" t="str">
        <f aca="false">IF(ISNUMBER(C10825),YEAR(C10825),"")</f>
        <v/>
      </c>
      <c r="W10825" s="23" t="str">
        <f aca="false">IF(ISNUMBER(C10825),MONTH(C10825),"")</f>
        <v/>
      </c>
      <c r="X10825" s="23" t="str">
        <f aca="false">IF(T10825="","",IF(T10825=0,"No discount",IF(T10825&lt;=0.2,"Low (1-20%)",IF(T10825&lt;=0.4,"Medium (21-40%)","High (&gt;40%)"))))</f>
        <v/>
      </c>
      <c r="Y10825" s="23" t="str">
        <f aca="false">IF(AND(ISNUMBER(C10825),ISNUMBER(D10825)),D10825-C10825,"")</f>
        <v/>
      </c>
      <c r="Z10825" s="23" t="str">
        <f aca="false">IF(B10825="","",IF(MATCH(B10825,$B$2:$B$12000,0)=ROW()-1,1,0))</f>
        <v/>
      </c>
    </row>
    <row r="10826" customFormat="false" ht="15" hidden="false" customHeight="false" outlineLevel="0" collapsed="false">
      <c r="V10826" s="23" t="str">
        <f aca="false">IF(ISNUMBER(C10826),YEAR(C10826),"")</f>
        <v/>
      </c>
      <c r="W10826" s="23" t="str">
        <f aca="false">IF(ISNUMBER(C10826),MONTH(C10826),"")</f>
        <v/>
      </c>
      <c r="X10826" s="23" t="str">
        <f aca="false">IF(T10826="","",IF(T10826=0,"No discount",IF(T10826&lt;=0.2,"Low (1-20%)",IF(T10826&lt;=0.4,"Medium (21-40%)","High (&gt;40%)"))))</f>
        <v/>
      </c>
      <c r="Y10826" s="23" t="str">
        <f aca="false">IF(AND(ISNUMBER(C10826),ISNUMBER(D10826)),D10826-C10826,"")</f>
        <v/>
      </c>
      <c r="Z10826" s="23" t="str">
        <f aca="false">IF(B10826="","",IF(MATCH(B10826,$B$2:$B$12000,0)=ROW()-1,1,0))</f>
        <v/>
      </c>
    </row>
    <row r="10827" customFormat="false" ht="15" hidden="false" customHeight="false" outlineLevel="0" collapsed="false">
      <c r="V10827" s="23" t="str">
        <f aca="false">IF(ISNUMBER(C10827),YEAR(C10827),"")</f>
        <v/>
      </c>
      <c r="W10827" s="23" t="str">
        <f aca="false">IF(ISNUMBER(C10827),MONTH(C10827),"")</f>
        <v/>
      </c>
      <c r="X10827" s="23" t="str">
        <f aca="false">IF(T10827="","",IF(T10827=0,"No discount",IF(T10827&lt;=0.2,"Low (1-20%)",IF(T10827&lt;=0.4,"Medium (21-40%)","High (&gt;40%)"))))</f>
        <v/>
      </c>
      <c r="Y10827" s="23" t="str">
        <f aca="false">IF(AND(ISNUMBER(C10827),ISNUMBER(D10827)),D10827-C10827,"")</f>
        <v/>
      </c>
      <c r="Z10827" s="23" t="str">
        <f aca="false">IF(B10827="","",IF(MATCH(B10827,$B$2:$B$12000,0)=ROW()-1,1,0))</f>
        <v/>
      </c>
    </row>
    <row r="10828" customFormat="false" ht="15" hidden="false" customHeight="false" outlineLevel="0" collapsed="false">
      <c r="V10828" s="23" t="str">
        <f aca="false">IF(ISNUMBER(C10828),YEAR(C10828),"")</f>
        <v/>
      </c>
      <c r="W10828" s="23" t="str">
        <f aca="false">IF(ISNUMBER(C10828),MONTH(C10828),"")</f>
        <v/>
      </c>
      <c r="X10828" s="23" t="str">
        <f aca="false">IF(T10828="","",IF(T10828=0,"No discount",IF(T10828&lt;=0.2,"Low (1-20%)",IF(T10828&lt;=0.4,"Medium (21-40%)","High (&gt;40%)"))))</f>
        <v/>
      </c>
      <c r="Y10828" s="23" t="str">
        <f aca="false">IF(AND(ISNUMBER(C10828),ISNUMBER(D10828)),D10828-C10828,"")</f>
        <v/>
      </c>
      <c r="Z10828" s="23" t="str">
        <f aca="false">IF(B10828="","",IF(MATCH(B10828,$B$2:$B$12000,0)=ROW()-1,1,0))</f>
        <v/>
      </c>
    </row>
    <row r="10829" customFormat="false" ht="15" hidden="false" customHeight="false" outlineLevel="0" collapsed="false">
      <c r="V10829" s="23" t="str">
        <f aca="false">IF(ISNUMBER(C10829),YEAR(C10829),"")</f>
        <v/>
      </c>
      <c r="W10829" s="23" t="str">
        <f aca="false">IF(ISNUMBER(C10829),MONTH(C10829),"")</f>
        <v/>
      </c>
      <c r="X10829" s="23" t="str">
        <f aca="false">IF(T10829="","",IF(T10829=0,"No discount",IF(T10829&lt;=0.2,"Low (1-20%)",IF(T10829&lt;=0.4,"Medium (21-40%)","High (&gt;40%)"))))</f>
        <v/>
      </c>
      <c r="Y10829" s="23" t="str">
        <f aca="false">IF(AND(ISNUMBER(C10829),ISNUMBER(D10829)),D10829-C10829,"")</f>
        <v/>
      </c>
      <c r="Z10829" s="23" t="str">
        <f aca="false">IF(B10829="","",IF(MATCH(B10829,$B$2:$B$12000,0)=ROW()-1,1,0))</f>
        <v/>
      </c>
    </row>
    <row r="10830" customFormat="false" ht="15" hidden="false" customHeight="false" outlineLevel="0" collapsed="false">
      <c r="V10830" s="23" t="str">
        <f aca="false">IF(ISNUMBER(C10830),YEAR(C10830),"")</f>
        <v/>
      </c>
      <c r="W10830" s="23" t="str">
        <f aca="false">IF(ISNUMBER(C10830),MONTH(C10830),"")</f>
        <v/>
      </c>
      <c r="X10830" s="23" t="str">
        <f aca="false">IF(T10830="","",IF(T10830=0,"No discount",IF(T10830&lt;=0.2,"Low (1-20%)",IF(T10830&lt;=0.4,"Medium (21-40%)","High (&gt;40%)"))))</f>
        <v/>
      </c>
      <c r="Y10830" s="23" t="str">
        <f aca="false">IF(AND(ISNUMBER(C10830),ISNUMBER(D10830)),D10830-C10830,"")</f>
        <v/>
      </c>
      <c r="Z10830" s="23" t="str">
        <f aca="false">IF(B10830="","",IF(MATCH(B10830,$B$2:$B$12000,0)=ROW()-1,1,0))</f>
        <v/>
      </c>
    </row>
    <row r="10831" customFormat="false" ht="15" hidden="false" customHeight="false" outlineLevel="0" collapsed="false">
      <c r="V10831" s="23" t="str">
        <f aca="false">IF(ISNUMBER(C10831),YEAR(C10831),"")</f>
        <v/>
      </c>
      <c r="W10831" s="23" t="str">
        <f aca="false">IF(ISNUMBER(C10831),MONTH(C10831),"")</f>
        <v/>
      </c>
      <c r="X10831" s="23" t="str">
        <f aca="false">IF(T10831="","",IF(T10831=0,"No discount",IF(T10831&lt;=0.2,"Low (1-20%)",IF(T10831&lt;=0.4,"Medium (21-40%)","High (&gt;40%)"))))</f>
        <v/>
      </c>
      <c r="Y10831" s="23" t="str">
        <f aca="false">IF(AND(ISNUMBER(C10831),ISNUMBER(D10831)),D10831-C10831,"")</f>
        <v/>
      </c>
      <c r="Z10831" s="23" t="str">
        <f aca="false">IF(B10831="","",IF(MATCH(B10831,$B$2:$B$12000,0)=ROW()-1,1,0))</f>
        <v/>
      </c>
    </row>
    <row r="10832" customFormat="false" ht="15" hidden="false" customHeight="false" outlineLevel="0" collapsed="false">
      <c r="V10832" s="23" t="str">
        <f aca="false">IF(ISNUMBER(C10832),YEAR(C10832),"")</f>
        <v/>
      </c>
      <c r="W10832" s="23" t="str">
        <f aca="false">IF(ISNUMBER(C10832),MONTH(C10832),"")</f>
        <v/>
      </c>
      <c r="X10832" s="23" t="str">
        <f aca="false">IF(T10832="","",IF(T10832=0,"No discount",IF(T10832&lt;=0.2,"Low (1-20%)",IF(T10832&lt;=0.4,"Medium (21-40%)","High (&gt;40%)"))))</f>
        <v/>
      </c>
      <c r="Y10832" s="23" t="str">
        <f aca="false">IF(AND(ISNUMBER(C10832),ISNUMBER(D10832)),D10832-C10832,"")</f>
        <v/>
      </c>
      <c r="Z10832" s="23" t="str">
        <f aca="false">IF(B10832="","",IF(MATCH(B10832,$B$2:$B$12000,0)=ROW()-1,1,0))</f>
        <v/>
      </c>
    </row>
    <row r="10833" customFormat="false" ht="15" hidden="false" customHeight="false" outlineLevel="0" collapsed="false">
      <c r="V10833" s="23" t="str">
        <f aca="false">IF(ISNUMBER(C10833),YEAR(C10833),"")</f>
        <v/>
      </c>
      <c r="W10833" s="23" t="str">
        <f aca="false">IF(ISNUMBER(C10833),MONTH(C10833),"")</f>
        <v/>
      </c>
      <c r="X10833" s="23" t="str">
        <f aca="false">IF(T10833="","",IF(T10833=0,"No discount",IF(T10833&lt;=0.2,"Low (1-20%)",IF(T10833&lt;=0.4,"Medium (21-40%)","High (&gt;40%)"))))</f>
        <v/>
      </c>
      <c r="Y10833" s="23" t="str">
        <f aca="false">IF(AND(ISNUMBER(C10833),ISNUMBER(D10833)),D10833-C10833,"")</f>
        <v/>
      </c>
      <c r="Z10833" s="23" t="str">
        <f aca="false">IF(B10833="","",IF(MATCH(B10833,$B$2:$B$12000,0)=ROW()-1,1,0))</f>
        <v/>
      </c>
    </row>
    <row r="10834" customFormat="false" ht="15" hidden="false" customHeight="false" outlineLevel="0" collapsed="false">
      <c r="V10834" s="23" t="str">
        <f aca="false">IF(ISNUMBER(C10834),YEAR(C10834),"")</f>
        <v/>
      </c>
      <c r="W10834" s="23" t="str">
        <f aca="false">IF(ISNUMBER(C10834),MONTH(C10834),"")</f>
        <v/>
      </c>
      <c r="X10834" s="23" t="str">
        <f aca="false">IF(T10834="","",IF(T10834=0,"No discount",IF(T10834&lt;=0.2,"Low (1-20%)",IF(T10834&lt;=0.4,"Medium (21-40%)","High (&gt;40%)"))))</f>
        <v/>
      </c>
      <c r="Y10834" s="23" t="str">
        <f aca="false">IF(AND(ISNUMBER(C10834),ISNUMBER(D10834)),D10834-C10834,"")</f>
        <v/>
      </c>
      <c r="Z10834" s="23" t="str">
        <f aca="false">IF(B10834="","",IF(MATCH(B10834,$B$2:$B$12000,0)=ROW()-1,1,0))</f>
        <v/>
      </c>
    </row>
    <row r="10835" customFormat="false" ht="15" hidden="false" customHeight="false" outlineLevel="0" collapsed="false">
      <c r="V10835" s="23" t="str">
        <f aca="false">IF(ISNUMBER(C10835),YEAR(C10835),"")</f>
        <v/>
      </c>
      <c r="W10835" s="23" t="str">
        <f aca="false">IF(ISNUMBER(C10835),MONTH(C10835),"")</f>
        <v/>
      </c>
      <c r="X10835" s="23" t="str">
        <f aca="false">IF(T10835="","",IF(T10835=0,"No discount",IF(T10835&lt;=0.2,"Low (1-20%)",IF(T10835&lt;=0.4,"Medium (21-40%)","High (&gt;40%)"))))</f>
        <v/>
      </c>
      <c r="Y10835" s="23" t="str">
        <f aca="false">IF(AND(ISNUMBER(C10835),ISNUMBER(D10835)),D10835-C10835,"")</f>
        <v/>
      </c>
      <c r="Z10835" s="23" t="str">
        <f aca="false">IF(B10835="","",IF(MATCH(B10835,$B$2:$B$12000,0)=ROW()-1,1,0))</f>
        <v/>
      </c>
    </row>
    <row r="10836" customFormat="false" ht="15" hidden="false" customHeight="false" outlineLevel="0" collapsed="false">
      <c r="V10836" s="23" t="str">
        <f aca="false">IF(ISNUMBER(C10836),YEAR(C10836),"")</f>
        <v/>
      </c>
      <c r="W10836" s="23" t="str">
        <f aca="false">IF(ISNUMBER(C10836),MONTH(C10836),"")</f>
        <v/>
      </c>
      <c r="X10836" s="23" t="str">
        <f aca="false">IF(T10836="","",IF(T10836=0,"No discount",IF(T10836&lt;=0.2,"Low (1-20%)",IF(T10836&lt;=0.4,"Medium (21-40%)","High (&gt;40%)"))))</f>
        <v/>
      </c>
      <c r="Y10836" s="23" t="str">
        <f aca="false">IF(AND(ISNUMBER(C10836),ISNUMBER(D10836)),D10836-C10836,"")</f>
        <v/>
      </c>
      <c r="Z10836" s="23" t="str">
        <f aca="false">IF(B10836="","",IF(MATCH(B10836,$B$2:$B$12000,0)=ROW()-1,1,0))</f>
        <v/>
      </c>
    </row>
    <row r="10837" customFormat="false" ht="15" hidden="false" customHeight="false" outlineLevel="0" collapsed="false">
      <c r="V10837" s="23" t="str">
        <f aca="false">IF(ISNUMBER(C10837),YEAR(C10837),"")</f>
        <v/>
      </c>
      <c r="W10837" s="23" t="str">
        <f aca="false">IF(ISNUMBER(C10837),MONTH(C10837),"")</f>
        <v/>
      </c>
      <c r="X10837" s="23" t="str">
        <f aca="false">IF(T10837="","",IF(T10837=0,"No discount",IF(T10837&lt;=0.2,"Low (1-20%)",IF(T10837&lt;=0.4,"Medium (21-40%)","High (&gt;40%)"))))</f>
        <v/>
      </c>
      <c r="Y10837" s="23" t="str">
        <f aca="false">IF(AND(ISNUMBER(C10837),ISNUMBER(D10837)),D10837-C10837,"")</f>
        <v/>
      </c>
      <c r="Z10837" s="23" t="str">
        <f aca="false">IF(B10837="","",IF(MATCH(B10837,$B$2:$B$12000,0)=ROW()-1,1,0))</f>
        <v/>
      </c>
    </row>
    <row r="10838" customFormat="false" ht="15" hidden="false" customHeight="false" outlineLevel="0" collapsed="false">
      <c r="V10838" s="23" t="str">
        <f aca="false">IF(ISNUMBER(C10838),YEAR(C10838),"")</f>
        <v/>
      </c>
      <c r="W10838" s="23" t="str">
        <f aca="false">IF(ISNUMBER(C10838),MONTH(C10838),"")</f>
        <v/>
      </c>
      <c r="X10838" s="23" t="str">
        <f aca="false">IF(T10838="","",IF(T10838=0,"No discount",IF(T10838&lt;=0.2,"Low (1-20%)",IF(T10838&lt;=0.4,"Medium (21-40%)","High (&gt;40%)"))))</f>
        <v/>
      </c>
      <c r="Y10838" s="23" t="str">
        <f aca="false">IF(AND(ISNUMBER(C10838),ISNUMBER(D10838)),D10838-C10838,"")</f>
        <v/>
      </c>
      <c r="Z10838" s="23" t="str">
        <f aca="false">IF(B10838="","",IF(MATCH(B10838,$B$2:$B$12000,0)=ROW()-1,1,0))</f>
        <v/>
      </c>
    </row>
    <row r="10839" customFormat="false" ht="15" hidden="false" customHeight="false" outlineLevel="0" collapsed="false">
      <c r="V10839" s="23" t="str">
        <f aca="false">IF(ISNUMBER(C10839),YEAR(C10839),"")</f>
        <v/>
      </c>
      <c r="W10839" s="23" t="str">
        <f aca="false">IF(ISNUMBER(C10839),MONTH(C10839),"")</f>
        <v/>
      </c>
      <c r="X10839" s="23" t="str">
        <f aca="false">IF(T10839="","",IF(T10839=0,"No discount",IF(T10839&lt;=0.2,"Low (1-20%)",IF(T10839&lt;=0.4,"Medium (21-40%)","High (&gt;40%)"))))</f>
        <v/>
      </c>
      <c r="Y10839" s="23" t="str">
        <f aca="false">IF(AND(ISNUMBER(C10839),ISNUMBER(D10839)),D10839-C10839,"")</f>
        <v/>
      </c>
      <c r="Z10839" s="23" t="str">
        <f aca="false">IF(B10839="","",IF(MATCH(B10839,$B$2:$B$12000,0)=ROW()-1,1,0))</f>
        <v/>
      </c>
    </row>
    <row r="10840" customFormat="false" ht="15" hidden="false" customHeight="false" outlineLevel="0" collapsed="false">
      <c r="V10840" s="23" t="str">
        <f aca="false">IF(ISNUMBER(C10840),YEAR(C10840),"")</f>
        <v/>
      </c>
      <c r="W10840" s="23" t="str">
        <f aca="false">IF(ISNUMBER(C10840),MONTH(C10840),"")</f>
        <v/>
      </c>
      <c r="X10840" s="23" t="str">
        <f aca="false">IF(T10840="","",IF(T10840=0,"No discount",IF(T10840&lt;=0.2,"Low (1-20%)",IF(T10840&lt;=0.4,"Medium (21-40%)","High (&gt;40%)"))))</f>
        <v/>
      </c>
      <c r="Y10840" s="23" t="str">
        <f aca="false">IF(AND(ISNUMBER(C10840),ISNUMBER(D10840)),D10840-C10840,"")</f>
        <v/>
      </c>
      <c r="Z10840" s="23" t="str">
        <f aca="false">IF(B10840="","",IF(MATCH(B10840,$B$2:$B$12000,0)=ROW()-1,1,0))</f>
        <v/>
      </c>
    </row>
    <row r="10841" customFormat="false" ht="15" hidden="false" customHeight="false" outlineLevel="0" collapsed="false">
      <c r="V10841" s="23" t="str">
        <f aca="false">IF(ISNUMBER(C10841),YEAR(C10841),"")</f>
        <v/>
      </c>
      <c r="W10841" s="23" t="str">
        <f aca="false">IF(ISNUMBER(C10841),MONTH(C10841),"")</f>
        <v/>
      </c>
      <c r="X10841" s="23" t="str">
        <f aca="false">IF(T10841="","",IF(T10841=0,"No discount",IF(T10841&lt;=0.2,"Low (1-20%)",IF(T10841&lt;=0.4,"Medium (21-40%)","High (&gt;40%)"))))</f>
        <v/>
      </c>
      <c r="Y10841" s="23" t="str">
        <f aca="false">IF(AND(ISNUMBER(C10841),ISNUMBER(D10841)),D10841-C10841,"")</f>
        <v/>
      </c>
      <c r="Z10841" s="23" t="str">
        <f aca="false">IF(B10841="","",IF(MATCH(B10841,$B$2:$B$12000,0)=ROW()-1,1,0))</f>
        <v/>
      </c>
    </row>
    <row r="10842" customFormat="false" ht="15" hidden="false" customHeight="false" outlineLevel="0" collapsed="false">
      <c r="V10842" s="23" t="str">
        <f aca="false">IF(ISNUMBER(C10842),YEAR(C10842),"")</f>
        <v/>
      </c>
      <c r="W10842" s="23" t="str">
        <f aca="false">IF(ISNUMBER(C10842),MONTH(C10842),"")</f>
        <v/>
      </c>
      <c r="X10842" s="23" t="str">
        <f aca="false">IF(T10842="","",IF(T10842=0,"No discount",IF(T10842&lt;=0.2,"Low (1-20%)",IF(T10842&lt;=0.4,"Medium (21-40%)","High (&gt;40%)"))))</f>
        <v/>
      </c>
      <c r="Y10842" s="23" t="str">
        <f aca="false">IF(AND(ISNUMBER(C10842),ISNUMBER(D10842)),D10842-C10842,"")</f>
        <v/>
      </c>
      <c r="Z10842" s="23" t="str">
        <f aca="false">IF(B10842="","",IF(MATCH(B10842,$B$2:$B$12000,0)=ROW()-1,1,0))</f>
        <v/>
      </c>
    </row>
    <row r="10843" customFormat="false" ht="15" hidden="false" customHeight="false" outlineLevel="0" collapsed="false">
      <c r="V10843" s="23" t="str">
        <f aca="false">IF(ISNUMBER(C10843),YEAR(C10843),"")</f>
        <v/>
      </c>
      <c r="W10843" s="23" t="str">
        <f aca="false">IF(ISNUMBER(C10843),MONTH(C10843),"")</f>
        <v/>
      </c>
      <c r="X10843" s="23" t="str">
        <f aca="false">IF(T10843="","",IF(T10843=0,"No discount",IF(T10843&lt;=0.2,"Low (1-20%)",IF(T10843&lt;=0.4,"Medium (21-40%)","High (&gt;40%)"))))</f>
        <v/>
      </c>
      <c r="Y10843" s="23" t="str">
        <f aca="false">IF(AND(ISNUMBER(C10843),ISNUMBER(D10843)),D10843-C10843,"")</f>
        <v/>
      </c>
      <c r="Z10843" s="23" t="str">
        <f aca="false">IF(B10843="","",IF(MATCH(B10843,$B$2:$B$12000,0)=ROW()-1,1,0))</f>
        <v/>
      </c>
    </row>
    <row r="10844" customFormat="false" ht="15" hidden="false" customHeight="false" outlineLevel="0" collapsed="false">
      <c r="V10844" s="23" t="str">
        <f aca="false">IF(ISNUMBER(C10844),YEAR(C10844),"")</f>
        <v/>
      </c>
      <c r="W10844" s="23" t="str">
        <f aca="false">IF(ISNUMBER(C10844),MONTH(C10844),"")</f>
        <v/>
      </c>
      <c r="X10844" s="23" t="str">
        <f aca="false">IF(T10844="","",IF(T10844=0,"No discount",IF(T10844&lt;=0.2,"Low (1-20%)",IF(T10844&lt;=0.4,"Medium (21-40%)","High (&gt;40%)"))))</f>
        <v/>
      </c>
      <c r="Y10844" s="23" t="str">
        <f aca="false">IF(AND(ISNUMBER(C10844),ISNUMBER(D10844)),D10844-C10844,"")</f>
        <v/>
      </c>
      <c r="Z10844" s="23" t="str">
        <f aca="false">IF(B10844="","",IF(MATCH(B10844,$B$2:$B$12000,0)=ROW()-1,1,0))</f>
        <v/>
      </c>
    </row>
    <row r="10845" customFormat="false" ht="15" hidden="false" customHeight="false" outlineLevel="0" collapsed="false">
      <c r="V10845" s="23" t="str">
        <f aca="false">IF(ISNUMBER(C10845),YEAR(C10845),"")</f>
        <v/>
      </c>
      <c r="W10845" s="23" t="str">
        <f aca="false">IF(ISNUMBER(C10845),MONTH(C10845),"")</f>
        <v/>
      </c>
      <c r="X10845" s="23" t="str">
        <f aca="false">IF(T10845="","",IF(T10845=0,"No discount",IF(T10845&lt;=0.2,"Low (1-20%)",IF(T10845&lt;=0.4,"Medium (21-40%)","High (&gt;40%)"))))</f>
        <v/>
      </c>
      <c r="Y10845" s="23" t="str">
        <f aca="false">IF(AND(ISNUMBER(C10845),ISNUMBER(D10845)),D10845-C10845,"")</f>
        <v/>
      </c>
      <c r="Z10845" s="23" t="str">
        <f aca="false">IF(B10845="","",IF(MATCH(B10845,$B$2:$B$12000,0)=ROW()-1,1,0))</f>
        <v/>
      </c>
    </row>
    <row r="10846" customFormat="false" ht="15" hidden="false" customHeight="false" outlineLevel="0" collapsed="false">
      <c r="V10846" s="23" t="str">
        <f aca="false">IF(ISNUMBER(C10846),YEAR(C10846),"")</f>
        <v/>
      </c>
      <c r="W10846" s="23" t="str">
        <f aca="false">IF(ISNUMBER(C10846),MONTH(C10846),"")</f>
        <v/>
      </c>
      <c r="X10846" s="23" t="str">
        <f aca="false">IF(T10846="","",IF(T10846=0,"No discount",IF(T10846&lt;=0.2,"Low (1-20%)",IF(T10846&lt;=0.4,"Medium (21-40%)","High (&gt;40%)"))))</f>
        <v/>
      </c>
      <c r="Y10846" s="23" t="str">
        <f aca="false">IF(AND(ISNUMBER(C10846),ISNUMBER(D10846)),D10846-C10846,"")</f>
        <v/>
      </c>
      <c r="Z10846" s="23" t="str">
        <f aca="false">IF(B10846="","",IF(MATCH(B10846,$B$2:$B$12000,0)=ROW()-1,1,0))</f>
        <v/>
      </c>
    </row>
    <row r="10847" customFormat="false" ht="15" hidden="false" customHeight="false" outlineLevel="0" collapsed="false">
      <c r="V10847" s="23" t="str">
        <f aca="false">IF(ISNUMBER(C10847),YEAR(C10847),"")</f>
        <v/>
      </c>
      <c r="W10847" s="23" t="str">
        <f aca="false">IF(ISNUMBER(C10847),MONTH(C10847),"")</f>
        <v/>
      </c>
      <c r="X10847" s="23" t="str">
        <f aca="false">IF(T10847="","",IF(T10847=0,"No discount",IF(T10847&lt;=0.2,"Low (1-20%)",IF(T10847&lt;=0.4,"Medium (21-40%)","High (&gt;40%)"))))</f>
        <v/>
      </c>
      <c r="Y10847" s="23" t="str">
        <f aca="false">IF(AND(ISNUMBER(C10847),ISNUMBER(D10847)),D10847-C10847,"")</f>
        <v/>
      </c>
      <c r="Z10847" s="23" t="str">
        <f aca="false">IF(B10847="","",IF(MATCH(B10847,$B$2:$B$12000,0)=ROW()-1,1,0))</f>
        <v/>
      </c>
    </row>
    <row r="10848" customFormat="false" ht="15" hidden="false" customHeight="false" outlineLevel="0" collapsed="false">
      <c r="V10848" s="23" t="str">
        <f aca="false">IF(ISNUMBER(C10848),YEAR(C10848),"")</f>
        <v/>
      </c>
      <c r="W10848" s="23" t="str">
        <f aca="false">IF(ISNUMBER(C10848),MONTH(C10848),"")</f>
        <v/>
      </c>
      <c r="X10848" s="23" t="str">
        <f aca="false">IF(T10848="","",IF(T10848=0,"No discount",IF(T10848&lt;=0.2,"Low (1-20%)",IF(T10848&lt;=0.4,"Medium (21-40%)","High (&gt;40%)"))))</f>
        <v/>
      </c>
      <c r="Y10848" s="23" t="str">
        <f aca="false">IF(AND(ISNUMBER(C10848),ISNUMBER(D10848)),D10848-C10848,"")</f>
        <v/>
      </c>
      <c r="Z10848" s="23" t="str">
        <f aca="false">IF(B10848="","",IF(MATCH(B10848,$B$2:$B$12000,0)=ROW()-1,1,0))</f>
        <v/>
      </c>
    </row>
    <row r="10849" customFormat="false" ht="15" hidden="false" customHeight="false" outlineLevel="0" collapsed="false">
      <c r="V10849" s="23" t="str">
        <f aca="false">IF(ISNUMBER(C10849),YEAR(C10849),"")</f>
        <v/>
      </c>
      <c r="W10849" s="23" t="str">
        <f aca="false">IF(ISNUMBER(C10849),MONTH(C10849),"")</f>
        <v/>
      </c>
      <c r="X10849" s="23" t="str">
        <f aca="false">IF(T10849="","",IF(T10849=0,"No discount",IF(T10849&lt;=0.2,"Low (1-20%)",IF(T10849&lt;=0.4,"Medium (21-40%)","High (&gt;40%)"))))</f>
        <v/>
      </c>
      <c r="Y10849" s="23" t="str">
        <f aca="false">IF(AND(ISNUMBER(C10849),ISNUMBER(D10849)),D10849-C10849,"")</f>
        <v/>
      </c>
      <c r="Z10849" s="23" t="str">
        <f aca="false">IF(B10849="","",IF(MATCH(B10849,$B$2:$B$12000,0)=ROW()-1,1,0))</f>
        <v/>
      </c>
    </row>
    <row r="10850" customFormat="false" ht="15" hidden="false" customHeight="false" outlineLevel="0" collapsed="false">
      <c r="V10850" s="23" t="str">
        <f aca="false">IF(ISNUMBER(C10850),YEAR(C10850),"")</f>
        <v/>
      </c>
      <c r="W10850" s="23" t="str">
        <f aca="false">IF(ISNUMBER(C10850),MONTH(C10850),"")</f>
        <v/>
      </c>
      <c r="X10850" s="23" t="str">
        <f aca="false">IF(T10850="","",IF(T10850=0,"No discount",IF(T10850&lt;=0.2,"Low (1-20%)",IF(T10850&lt;=0.4,"Medium (21-40%)","High (&gt;40%)"))))</f>
        <v/>
      </c>
      <c r="Y10850" s="23" t="str">
        <f aca="false">IF(AND(ISNUMBER(C10850),ISNUMBER(D10850)),D10850-C10850,"")</f>
        <v/>
      </c>
      <c r="Z10850" s="23" t="str">
        <f aca="false">IF(B10850="","",IF(MATCH(B10850,$B$2:$B$12000,0)=ROW()-1,1,0))</f>
        <v/>
      </c>
    </row>
    <row r="10851" customFormat="false" ht="15" hidden="false" customHeight="false" outlineLevel="0" collapsed="false">
      <c r="V10851" s="23" t="str">
        <f aca="false">IF(ISNUMBER(C10851),YEAR(C10851),"")</f>
        <v/>
      </c>
      <c r="W10851" s="23" t="str">
        <f aca="false">IF(ISNUMBER(C10851),MONTH(C10851),"")</f>
        <v/>
      </c>
      <c r="X10851" s="23" t="str">
        <f aca="false">IF(T10851="","",IF(T10851=0,"No discount",IF(T10851&lt;=0.2,"Low (1-20%)",IF(T10851&lt;=0.4,"Medium (21-40%)","High (&gt;40%)"))))</f>
        <v/>
      </c>
      <c r="Y10851" s="23" t="str">
        <f aca="false">IF(AND(ISNUMBER(C10851),ISNUMBER(D10851)),D10851-C10851,"")</f>
        <v/>
      </c>
      <c r="Z10851" s="23" t="str">
        <f aca="false">IF(B10851="","",IF(MATCH(B10851,$B$2:$B$12000,0)=ROW()-1,1,0))</f>
        <v/>
      </c>
    </row>
    <row r="10852" customFormat="false" ht="15" hidden="false" customHeight="false" outlineLevel="0" collapsed="false">
      <c r="V10852" s="23" t="str">
        <f aca="false">IF(ISNUMBER(C10852),YEAR(C10852),"")</f>
        <v/>
      </c>
      <c r="W10852" s="23" t="str">
        <f aca="false">IF(ISNUMBER(C10852),MONTH(C10852),"")</f>
        <v/>
      </c>
      <c r="X10852" s="23" t="str">
        <f aca="false">IF(T10852="","",IF(T10852=0,"No discount",IF(T10852&lt;=0.2,"Low (1-20%)",IF(T10852&lt;=0.4,"Medium (21-40%)","High (&gt;40%)"))))</f>
        <v/>
      </c>
      <c r="Y10852" s="23" t="str">
        <f aca="false">IF(AND(ISNUMBER(C10852),ISNUMBER(D10852)),D10852-C10852,"")</f>
        <v/>
      </c>
      <c r="Z10852" s="23" t="str">
        <f aca="false">IF(B10852="","",IF(MATCH(B10852,$B$2:$B$12000,0)=ROW()-1,1,0))</f>
        <v/>
      </c>
    </row>
    <row r="10853" customFormat="false" ht="15" hidden="false" customHeight="false" outlineLevel="0" collapsed="false">
      <c r="V10853" s="23" t="str">
        <f aca="false">IF(ISNUMBER(C10853),YEAR(C10853),"")</f>
        <v/>
      </c>
      <c r="W10853" s="23" t="str">
        <f aca="false">IF(ISNUMBER(C10853),MONTH(C10853),"")</f>
        <v/>
      </c>
      <c r="X10853" s="23" t="str">
        <f aca="false">IF(T10853="","",IF(T10853=0,"No discount",IF(T10853&lt;=0.2,"Low (1-20%)",IF(T10853&lt;=0.4,"Medium (21-40%)","High (&gt;40%)"))))</f>
        <v/>
      </c>
      <c r="Y10853" s="23" t="str">
        <f aca="false">IF(AND(ISNUMBER(C10853),ISNUMBER(D10853)),D10853-C10853,"")</f>
        <v/>
      </c>
      <c r="Z10853" s="23" t="str">
        <f aca="false">IF(B10853="","",IF(MATCH(B10853,$B$2:$B$12000,0)=ROW()-1,1,0))</f>
        <v/>
      </c>
    </row>
    <row r="10854" customFormat="false" ht="15" hidden="false" customHeight="false" outlineLevel="0" collapsed="false">
      <c r="V10854" s="23" t="str">
        <f aca="false">IF(ISNUMBER(C10854),YEAR(C10854),"")</f>
        <v/>
      </c>
      <c r="W10854" s="23" t="str">
        <f aca="false">IF(ISNUMBER(C10854),MONTH(C10854),"")</f>
        <v/>
      </c>
      <c r="X10854" s="23" t="str">
        <f aca="false">IF(T10854="","",IF(T10854=0,"No discount",IF(T10854&lt;=0.2,"Low (1-20%)",IF(T10854&lt;=0.4,"Medium (21-40%)","High (&gt;40%)"))))</f>
        <v/>
      </c>
      <c r="Y10854" s="23" t="str">
        <f aca="false">IF(AND(ISNUMBER(C10854),ISNUMBER(D10854)),D10854-C10854,"")</f>
        <v/>
      </c>
      <c r="Z10854" s="23" t="str">
        <f aca="false">IF(B10854="","",IF(MATCH(B10854,$B$2:$B$12000,0)=ROW()-1,1,0))</f>
        <v/>
      </c>
    </row>
    <row r="10855" customFormat="false" ht="15" hidden="false" customHeight="false" outlineLevel="0" collapsed="false">
      <c r="V10855" s="23" t="str">
        <f aca="false">IF(ISNUMBER(C10855),YEAR(C10855),"")</f>
        <v/>
      </c>
      <c r="W10855" s="23" t="str">
        <f aca="false">IF(ISNUMBER(C10855),MONTH(C10855),"")</f>
        <v/>
      </c>
      <c r="X10855" s="23" t="str">
        <f aca="false">IF(T10855="","",IF(T10855=0,"No discount",IF(T10855&lt;=0.2,"Low (1-20%)",IF(T10855&lt;=0.4,"Medium (21-40%)","High (&gt;40%)"))))</f>
        <v/>
      </c>
      <c r="Y10855" s="23" t="str">
        <f aca="false">IF(AND(ISNUMBER(C10855),ISNUMBER(D10855)),D10855-C10855,"")</f>
        <v/>
      </c>
      <c r="Z10855" s="23" t="str">
        <f aca="false">IF(B10855="","",IF(MATCH(B10855,$B$2:$B$12000,0)=ROW()-1,1,0))</f>
        <v/>
      </c>
    </row>
    <row r="10856" customFormat="false" ht="15" hidden="false" customHeight="false" outlineLevel="0" collapsed="false">
      <c r="V10856" s="23" t="str">
        <f aca="false">IF(ISNUMBER(C10856),YEAR(C10856),"")</f>
        <v/>
      </c>
      <c r="W10856" s="23" t="str">
        <f aca="false">IF(ISNUMBER(C10856),MONTH(C10856),"")</f>
        <v/>
      </c>
      <c r="X10856" s="23" t="str">
        <f aca="false">IF(T10856="","",IF(T10856=0,"No discount",IF(T10856&lt;=0.2,"Low (1-20%)",IF(T10856&lt;=0.4,"Medium (21-40%)","High (&gt;40%)"))))</f>
        <v/>
      </c>
      <c r="Y10856" s="23" t="str">
        <f aca="false">IF(AND(ISNUMBER(C10856),ISNUMBER(D10856)),D10856-C10856,"")</f>
        <v/>
      </c>
      <c r="Z10856" s="23" t="str">
        <f aca="false">IF(B10856="","",IF(MATCH(B10856,$B$2:$B$12000,0)=ROW()-1,1,0))</f>
        <v/>
      </c>
    </row>
    <row r="10857" customFormat="false" ht="15" hidden="false" customHeight="false" outlineLevel="0" collapsed="false">
      <c r="V10857" s="23" t="str">
        <f aca="false">IF(ISNUMBER(C10857),YEAR(C10857),"")</f>
        <v/>
      </c>
      <c r="W10857" s="23" t="str">
        <f aca="false">IF(ISNUMBER(C10857),MONTH(C10857),"")</f>
        <v/>
      </c>
      <c r="X10857" s="23" t="str">
        <f aca="false">IF(T10857="","",IF(T10857=0,"No discount",IF(T10857&lt;=0.2,"Low (1-20%)",IF(T10857&lt;=0.4,"Medium (21-40%)","High (&gt;40%)"))))</f>
        <v/>
      </c>
      <c r="Y10857" s="23" t="str">
        <f aca="false">IF(AND(ISNUMBER(C10857),ISNUMBER(D10857)),D10857-C10857,"")</f>
        <v/>
      </c>
      <c r="Z10857" s="23" t="str">
        <f aca="false">IF(B10857="","",IF(MATCH(B10857,$B$2:$B$12000,0)=ROW()-1,1,0))</f>
        <v/>
      </c>
    </row>
    <row r="10858" customFormat="false" ht="15" hidden="false" customHeight="false" outlineLevel="0" collapsed="false">
      <c r="V10858" s="23" t="str">
        <f aca="false">IF(ISNUMBER(C10858),YEAR(C10858),"")</f>
        <v/>
      </c>
      <c r="W10858" s="23" t="str">
        <f aca="false">IF(ISNUMBER(C10858),MONTH(C10858),"")</f>
        <v/>
      </c>
      <c r="X10858" s="23" t="str">
        <f aca="false">IF(T10858="","",IF(T10858=0,"No discount",IF(T10858&lt;=0.2,"Low (1-20%)",IF(T10858&lt;=0.4,"Medium (21-40%)","High (&gt;40%)"))))</f>
        <v/>
      </c>
      <c r="Y10858" s="23" t="str">
        <f aca="false">IF(AND(ISNUMBER(C10858),ISNUMBER(D10858)),D10858-C10858,"")</f>
        <v/>
      </c>
      <c r="Z10858" s="23" t="str">
        <f aca="false">IF(B10858="","",IF(MATCH(B10858,$B$2:$B$12000,0)=ROW()-1,1,0))</f>
        <v/>
      </c>
    </row>
    <row r="10859" customFormat="false" ht="15" hidden="false" customHeight="false" outlineLevel="0" collapsed="false">
      <c r="V10859" s="23" t="str">
        <f aca="false">IF(ISNUMBER(C10859),YEAR(C10859),"")</f>
        <v/>
      </c>
      <c r="W10859" s="23" t="str">
        <f aca="false">IF(ISNUMBER(C10859),MONTH(C10859),"")</f>
        <v/>
      </c>
      <c r="X10859" s="23" t="str">
        <f aca="false">IF(T10859="","",IF(T10859=0,"No discount",IF(T10859&lt;=0.2,"Low (1-20%)",IF(T10859&lt;=0.4,"Medium (21-40%)","High (&gt;40%)"))))</f>
        <v/>
      </c>
      <c r="Y10859" s="23" t="str">
        <f aca="false">IF(AND(ISNUMBER(C10859),ISNUMBER(D10859)),D10859-C10859,"")</f>
        <v/>
      </c>
      <c r="Z10859" s="23" t="str">
        <f aca="false">IF(B10859="","",IF(MATCH(B10859,$B$2:$B$12000,0)=ROW()-1,1,0))</f>
        <v/>
      </c>
    </row>
    <row r="10860" customFormat="false" ht="15" hidden="false" customHeight="false" outlineLevel="0" collapsed="false">
      <c r="V10860" s="23" t="str">
        <f aca="false">IF(ISNUMBER(C10860),YEAR(C10860),"")</f>
        <v/>
      </c>
      <c r="W10860" s="23" t="str">
        <f aca="false">IF(ISNUMBER(C10860),MONTH(C10860),"")</f>
        <v/>
      </c>
      <c r="X10860" s="23" t="str">
        <f aca="false">IF(T10860="","",IF(T10860=0,"No discount",IF(T10860&lt;=0.2,"Low (1-20%)",IF(T10860&lt;=0.4,"Medium (21-40%)","High (&gt;40%)"))))</f>
        <v/>
      </c>
      <c r="Y10860" s="23" t="str">
        <f aca="false">IF(AND(ISNUMBER(C10860),ISNUMBER(D10860)),D10860-C10860,"")</f>
        <v/>
      </c>
      <c r="Z10860" s="23" t="str">
        <f aca="false">IF(B10860="","",IF(MATCH(B10860,$B$2:$B$12000,0)=ROW()-1,1,0))</f>
        <v/>
      </c>
    </row>
    <row r="10861" customFormat="false" ht="15" hidden="false" customHeight="false" outlineLevel="0" collapsed="false">
      <c r="V10861" s="23" t="str">
        <f aca="false">IF(ISNUMBER(C10861),YEAR(C10861),"")</f>
        <v/>
      </c>
      <c r="W10861" s="23" t="str">
        <f aca="false">IF(ISNUMBER(C10861),MONTH(C10861),"")</f>
        <v/>
      </c>
      <c r="X10861" s="23" t="str">
        <f aca="false">IF(T10861="","",IF(T10861=0,"No discount",IF(T10861&lt;=0.2,"Low (1-20%)",IF(T10861&lt;=0.4,"Medium (21-40%)","High (&gt;40%)"))))</f>
        <v/>
      </c>
      <c r="Y10861" s="23" t="str">
        <f aca="false">IF(AND(ISNUMBER(C10861),ISNUMBER(D10861)),D10861-C10861,"")</f>
        <v/>
      </c>
      <c r="Z10861" s="23" t="str">
        <f aca="false">IF(B10861="","",IF(MATCH(B10861,$B$2:$B$12000,0)=ROW()-1,1,0))</f>
        <v/>
      </c>
    </row>
    <row r="10862" customFormat="false" ht="15" hidden="false" customHeight="false" outlineLevel="0" collapsed="false">
      <c r="V10862" s="23" t="str">
        <f aca="false">IF(ISNUMBER(C10862),YEAR(C10862),"")</f>
        <v/>
      </c>
      <c r="W10862" s="23" t="str">
        <f aca="false">IF(ISNUMBER(C10862),MONTH(C10862),"")</f>
        <v/>
      </c>
      <c r="X10862" s="23" t="str">
        <f aca="false">IF(T10862="","",IF(T10862=0,"No discount",IF(T10862&lt;=0.2,"Low (1-20%)",IF(T10862&lt;=0.4,"Medium (21-40%)","High (&gt;40%)"))))</f>
        <v/>
      </c>
      <c r="Y10862" s="23" t="str">
        <f aca="false">IF(AND(ISNUMBER(C10862),ISNUMBER(D10862)),D10862-C10862,"")</f>
        <v/>
      </c>
      <c r="Z10862" s="23" t="str">
        <f aca="false">IF(B10862="","",IF(MATCH(B10862,$B$2:$B$12000,0)=ROW()-1,1,0))</f>
        <v/>
      </c>
    </row>
    <row r="10863" customFormat="false" ht="15" hidden="false" customHeight="false" outlineLevel="0" collapsed="false">
      <c r="V10863" s="23" t="str">
        <f aca="false">IF(ISNUMBER(C10863),YEAR(C10863),"")</f>
        <v/>
      </c>
      <c r="W10863" s="23" t="str">
        <f aca="false">IF(ISNUMBER(C10863),MONTH(C10863),"")</f>
        <v/>
      </c>
      <c r="X10863" s="23" t="str">
        <f aca="false">IF(T10863="","",IF(T10863=0,"No discount",IF(T10863&lt;=0.2,"Low (1-20%)",IF(T10863&lt;=0.4,"Medium (21-40%)","High (&gt;40%)"))))</f>
        <v/>
      </c>
      <c r="Y10863" s="23" t="str">
        <f aca="false">IF(AND(ISNUMBER(C10863),ISNUMBER(D10863)),D10863-C10863,"")</f>
        <v/>
      </c>
      <c r="Z10863" s="23" t="str">
        <f aca="false">IF(B10863="","",IF(MATCH(B10863,$B$2:$B$12000,0)=ROW()-1,1,0))</f>
        <v/>
      </c>
    </row>
    <row r="10864" customFormat="false" ht="15" hidden="false" customHeight="false" outlineLevel="0" collapsed="false">
      <c r="V10864" s="23" t="str">
        <f aca="false">IF(ISNUMBER(C10864),YEAR(C10864),"")</f>
        <v/>
      </c>
      <c r="W10864" s="23" t="str">
        <f aca="false">IF(ISNUMBER(C10864),MONTH(C10864),"")</f>
        <v/>
      </c>
      <c r="X10864" s="23" t="str">
        <f aca="false">IF(T10864="","",IF(T10864=0,"No discount",IF(T10864&lt;=0.2,"Low (1-20%)",IF(T10864&lt;=0.4,"Medium (21-40%)","High (&gt;40%)"))))</f>
        <v/>
      </c>
      <c r="Y10864" s="23" t="str">
        <f aca="false">IF(AND(ISNUMBER(C10864),ISNUMBER(D10864)),D10864-C10864,"")</f>
        <v/>
      </c>
      <c r="Z10864" s="23" t="str">
        <f aca="false">IF(B10864="","",IF(MATCH(B10864,$B$2:$B$12000,0)=ROW()-1,1,0))</f>
        <v/>
      </c>
    </row>
    <row r="10865" customFormat="false" ht="15" hidden="false" customHeight="false" outlineLevel="0" collapsed="false">
      <c r="V10865" s="23" t="str">
        <f aca="false">IF(ISNUMBER(C10865),YEAR(C10865),"")</f>
        <v/>
      </c>
      <c r="W10865" s="23" t="str">
        <f aca="false">IF(ISNUMBER(C10865),MONTH(C10865),"")</f>
        <v/>
      </c>
      <c r="X10865" s="23" t="str">
        <f aca="false">IF(T10865="","",IF(T10865=0,"No discount",IF(T10865&lt;=0.2,"Low (1-20%)",IF(T10865&lt;=0.4,"Medium (21-40%)","High (&gt;40%)"))))</f>
        <v/>
      </c>
      <c r="Y10865" s="23" t="str">
        <f aca="false">IF(AND(ISNUMBER(C10865),ISNUMBER(D10865)),D10865-C10865,"")</f>
        <v/>
      </c>
      <c r="Z10865" s="23" t="str">
        <f aca="false">IF(B10865="","",IF(MATCH(B10865,$B$2:$B$12000,0)=ROW()-1,1,0))</f>
        <v/>
      </c>
    </row>
    <row r="10866" customFormat="false" ht="15" hidden="false" customHeight="false" outlineLevel="0" collapsed="false">
      <c r="V10866" s="23" t="str">
        <f aca="false">IF(ISNUMBER(C10866),YEAR(C10866),"")</f>
        <v/>
      </c>
      <c r="W10866" s="23" t="str">
        <f aca="false">IF(ISNUMBER(C10866),MONTH(C10866),"")</f>
        <v/>
      </c>
      <c r="X10866" s="23" t="str">
        <f aca="false">IF(T10866="","",IF(T10866=0,"No discount",IF(T10866&lt;=0.2,"Low (1-20%)",IF(T10866&lt;=0.4,"Medium (21-40%)","High (&gt;40%)"))))</f>
        <v/>
      </c>
      <c r="Y10866" s="23" t="str">
        <f aca="false">IF(AND(ISNUMBER(C10866),ISNUMBER(D10866)),D10866-C10866,"")</f>
        <v/>
      </c>
      <c r="Z10866" s="23" t="str">
        <f aca="false">IF(B10866="","",IF(MATCH(B10866,$B$2:$B$12000,0)=ROW()-1,1,0))</f>
        <v/>
      </c>
    </row>
    <row r="10867" customFormat="false" ht="15" hidden="false" customHeight="false" outlineLevel="0" collapsed="false">
      <c r="V10867" s="23" t="str">
        <f aca="false">IF(ISNUMBER(C10867),YEAR(C10867),"")</f>
        <v/>
      </c>
      <c r="W10867" s="23" t="str">
        <f aca="false">IF(ISNUMBER(C10867),MONTH(C10867),"")</f>
        <v/>
      </c>
      <c r="X10867" s="23" t="str">
        <f aca="false">IF(T10867="","",IF(T10867=0,"No discount",IF(T10867&lt;=0.2,"Low (1-20%)",IF(T10867&lt;=0.4,"Medium (21-40%)","High (&gt;40%)"))))</f>
        <v/>
      </c>
      <c r="Y10867" s="23" t="str">
        <f aca="false">IF(AND(ISNUMBER(C10867),ISNUMBER(D10867)),D10867-C10867,"")</f>
        <v/>
      </c>
      <c r="Z10867" s="23" t="str">
        <f aca="false">IF(B10867="","",IF(MATCH(B10867,$B$2:$B$12000,0)=ROW()-1,1,0))</f>
        <v/>
      </c>
    </row>
    <row r="10868" customFormat="false" ht="15" hidden="false" customHeight="false" outlineLevel="0" collapsed="false">
      <c r="V10868" s="23" t="str">
        <f aca="false">IF(ISNUMBER(C10868),YEAR(C10868),"")</f>
        <v/>
      </c>
      <c r="W10868" s="23" t="str">
        <f aca="false">IF(ISNUMBER(C10868),MONTH(C10868),"")</f>
        <v/>
      </c>
      <c r="X10868" s="23" t="str">
        <f aca="false">IF(T10868="","",IF(T10868=0,"No discount",IF(T10868&lt;=0.2,"Low (1-20%)",IF(T10868&lt;=0.4,"Medium (21-40%)","High (&gt;40%)"))))</f>
        <v/>
      </c>
      <c r="Y10868" s="23" t="str">
        <f aca="false">IF(AND(ISNUMBER(C10868),ISNUMBER(D10868)),D10868-C10868,"")</f>
        <v/>
      </c>
      <c r="Z10868" s="23" t="str">
        <f aca="false">IF(B10868="","",IF(MATCH(B10868,$B$2:$B$12000,0)=ROW()-1,1,0))</f>
        <v/>
      </c>
    </row>
    <row r="10869" customFormat="false" ht="15" hidden="false" customHeight="false" outlineLevel="0" collapsed="false">
      <c r="V10869" s="23" t="str">
        <f aca="false">IF(ISNUMBER(C10869),YEAR(C10869),"")</f>
        <v/>
      </c>
      <c r="W10869" s="23" t="str">
        <f aca="false">IF(ISNUMBER(C10869),MONTH(C10869),"")</f>
        <v/>
      </c>
      <c r="X10869" s="23" t="str">
        <f aca="false">IF(T10869="","",IF(T10869=0,"No discount",IF(T10869&lt;=0.2,"Low (1-20%)",IF(T10869&lt;=0.4,"Medium (21-40%)","High (&gt;40%)"))))</f>
        <v/>
      </c>
      <c r="Y10869" s="23" t="str">
        <f aca="false">IF(AND(ISNUMBER(C10869),ISNUMBER(D10869)),D10869-C10869,"")</f>
        <v/>
      </c>
      <c r="Z10869" s="23" t="str">
        <f aca="false">IF(B10869="","",IF(MATCH(B10869,$B$2:$B$12000,0)=ROW()-1,1,0))</f>
        <v/>
      </c>
    </row>
    <row r="10870" customFormat="false" ht="15" hidden="false" customHeight="false" outlineLevel="0" collapsed="false">
      <c r="V10870" s="23" t="str">
        <f aca="false">IF(ISNUMBER(C10870),YEAR(C10870),"")</f>
        <v/>
      </c>
      <c r="W10870" s="23" t="str">
        <f aca="false">IF(ISNUMBER(C10870),MONTH(C10870),"")</f>
        <v/>
      </c>
      <c r="X10870" s="23" t="str">
        <f aca="false">IF(T10870="","",IF(T10870=0,"No discount",IF(T10870&lt;=0.2,"Low (1-20%)",IF(T10870&lt;=0.4,"Medium (21-40%)","High (&gt;40%)"))))</f>
        <v/>
      </c>
      <c r="Y10870" s="23" t="str">
        <f aca="false">IF(AND(ISNUMBER(C10870),ISNUMBER(D10870)),D10870-C10870,"")</f>
        <v/>
      </c>
      <c r="Z10870" s="23" t="str">
        <f aca="false">IF(B10870="","",IF(MATCH(B10870,$B$2:$B$12000,0)=ROW()-1,1,0))</f>
        <v/>
      </c>
    </row>
    <row r="10871" customFormat="false" ht="15" hidden="false" customHeight="false" outlineLevel="0" collapsed="false">
      <c r="V10871" s="23" t="str">
        <f aca="false">IF(ISNUMBER(C10871),YEAR(C10871),"")</f>
        <v/>
      </c>
      <c r="W10871" s="23" t="str">
        <f aca="false">IF(ISNUMBER(C10871),MONTH(C10871),"")</f>
        <v/>
      </c>
      <c r="X10871" s="23" t="str">
        <f aca="false">IF(T10871="","",IF(T10871=0,"No discount",IF(T10871&lt;=0.2,"Low (1-20%)",IF(T10871&lt;=0.4,"Medium (21-40%)","High (&gt;40%)"))))</f>
        <v/>
      </c>
      <c r="Y10871" s="23" t="str">
        <f aca="false">IF(AND(ISNUMBER(C10871),ISNUMBER(D10871)),D10871-C10871,"")</f>
        <v/>
      </c>
      <c r="Z10871" s="23" t="str">
        <f aca="false">IF(B10871="","",IF(MATCH(B10871,$B$2:$B$12000,0)=ROW()-1,1,0))</f>
        <v/>
      </c>
    </row>
    <row r="10872" customFormat="false" ht="15" hidden="false" customHeight="false" outlineLevel="0" collapsed="false">
      <c r="V10872" s="23" t="str">
        <f aca="false">IF(ISNUMBER(C10872),YEAR(C10872),"")</f>
        <v/>
      </c>
      <c r="W10872" s="23" t="str">
        <f aca="false">IF(ISNUMBER(C10872),MONTH(C10872),"")</f>
        <v/>
      </c>
      <c r="X10872" s="23" t="str">
        <f aca="false">IF(T10872="","",IF(T10872=0,"No discount",IF(T10872&lt;=0.2,"Low (1-20%)",IF(T10872&lt;=0.4,"Medium (21-40%)","High (&gt;40%)"))))</f>
        <v/>
      </c>
      <c r="Y10872" s="23" t="str">
        <f aca="false">IF(AND(ISNUMBER(C10872),ISNUMBER(D10872)),D10872-C10872,"")</f>
        <v/>
      </c>
      <c r="Z10872" s="23" t="str">
        <f aca="false">IF(B10872="","",IF(MATCH(B10872,$B$2:$B$12000,0)=ROW()-1,1,0))</f>
        <v/>
      </c>
    </row>
    <row r="10873" customFormat="false" ht="15" hidden="false" customHeight="false" outlineLevel="0" collapsed="false">
      <c r="V10873" s="23" t="str">
        <f aca="false">IF(ISNUMBER(C10873),YEAR(C10873),"")</f>
        <v/>
      </c>
      <c r="W10873" s="23" t="str">
        <f aca="false">IF(ISNUMBER(C10873),MONTH(C10873),"")</f>
        <v/>
      </c>
      <c r="X10873" s="23" t="str">
        <f aca="false">IF(T10873="","",IF(T10873=0,"No discount",IF(T10873&lt;=0.2,"Low (1-20%)",IF(T10873&lt;=0.4,"Medium (21-40%)","High (&gt;40%)"))))</f>
        <v/>
      </c>
      <c r="Y10873" s="23" t="str">
        <f aca="false">IF(AND(ISNUMBER(C10873),ISNUMBER(D10873)),D10873-C10873,"")</f>
        <v/>
      </c>
      <c r="Z10873" s="23" t="str">
        <f aca="false">IF(B10873="","",IF(MATCH(B10873,$B$2:$B$12000,0)=ROW()-1,1,0))</f>
        <v/>
      </c>
    </row>
    <row r="10874" customFormat="false" ht="15" hidden="false" customHeight="false" outlineLevel="0" collapsed="false">
      <c r="V10874" s="23" t="str">
        <f aca="false">IF(ISNUMBER(C10874),YEAR(C10874),"")</f>
        <v/>
      </c>
      <c r="W10874" s="23" t="str">
        <f aca="false">IF(ISNUMBER(C10874),MONTH(C10874),"")</f>
        <v/>
      </c>
      <c r="X10874" s="23" t="str">
        <f aca="false">IF(T10874="","",IF(T10874=0,"No discount",IF(T10874&lt;=0.2,"Low (1-20%)",IF(T10874&lt;=0.4,"Medium (21-40%)","High (&gt;40%)"))))</f>
        <v/>
      </c>
      <c r="Y10874" s="23" t="str">
        <f aca="false">IF(AND(ISNUMBER(C10874),ISNUMBER(D10874)),D10874-C10874,"")</f>
        <v/>
      </c>
      <c r="Z10874" s="23" t="str">
        <f aca="false">IF(B10874="","",IF(MATCH(B10874,$B$2:$B$12000,0)=ROW()-1,1,0))</f>
        <v/>
      </c>
    </row>
    <row r="10875" customFormat="false" ht="15" hidden="false" customHeight="false" outlineLevel="0" collapsed="false">
      <c r="V10875" s="23" t="str">
        <f aca="false">IF(ISNUMBER(C10875),YEAR(C10875),"")</f>
        <v/>
      </c>
      <c r="W10875" s="23" t="str">
        <f aca="false">IF(ISNUMBER(C10875),MONTH(C10875),"")</f>
        <v/>
      </c>
      <c r="X10875" s="23" t="str">
        <f aca="false">IF(T10875="","",IF(T10875=0,"No discount",IF(T10875&lt;=0.2,"Low (1-20%)",IF(T10875&lt;=0.4,"Medium (21-40%)","High (&gt;40%)"))))</f>
        <v/>
      </c>
      <c r="Y10875" s="23" t="str">
        <f aca="false">IF(AND(ISNUMBER(C10875),ISNUMBER(D10875)),D10875-C10875,"")</f>
        <v/>
      </c>
      <c r="Z10875" s="23" t="str">
        <f aca="false">IF(B10875="","",IF(MATCH(B10875,$B$2:$B$12000,0)=ROW()-1,1,0))</f>
        <v/>
      </c>
    </row>
    <row r="10876" customFormat="false" ht="15" hidden="false" customHeight="false" outlineLevel="0" collapsed="false">
      <c r="V10876" s="23" t="str">
        <f aca="false">IF(ISNUMBER(C10876),YEAR(C10876),"")</f>
        <v/>
      </c>
      <c r="W10876" s="23" t="str">
        <f aca="false">IF(ISNUMBER(C10876),MONTH(C10876),"")</f>
        <v/>
      </c>
      <c r="X10876" s="23" t="str">
        <f aca="false">IF(T10876="","",IF(T10876=0,"No discount",IF(T10876&lt;=0.2,"Low (1-20%)",IF(T10876&lt;=0.4,"Medium (21-40%)","High (&gt;40%)"))))</f>
        <v/>
      </c>
      <c r="Y10876" s="23" t="str">
        <f aca="false">IF(AND(ISNUMBER(C10876),ISNUMBER(D10876)),D10876-C10876,"")</f>
        <v/>
      </c>
      <c r="Z10876" s="23" t="str">
        <f aca="false">IF(B10876="","",IF(MATCH(B10876,$B$2:$B$12000,0)=ROW()-1,1,0))</f>
        <v/>
      </c>
    </row>
    <row r="10877" customFormat="false" ht="15" hidden="false" customHeight="false" outlineLevel="0" collapsed="false">
      <c r="V10877" s="23" t="str">
        <f aca="false">IF(ISNUMBER(C10877),YEAR(C10877),"")</f>
        <v/>
      </c>
      <c r="W10877" s="23" t="str">
        <f aca="false">IF(ISNUMBER(C10877),MONTH(C10877),"")</f>
        <v/>
      </c>
      <c r="X10877" s="23" t="str">
        <f aca="false">IF(T10877="","",IF(T10877=0,"No discount",IF(T10877&lt;=0.2,"Low (1-20%)",IF(T10877&lt;=0.4,"Medium (21-40%)","High (&gt;40%)"))))</f>
        <v/>
      </c>
      <c r="Y10877" s="23" t="str">
        <f aca="false">IF(AND(ISNUMBER(C10877),ISNUMBER(D10877)),D10877-C10877,"")</f>
        <v/>
      </c>
      <c r="Z10877" s="23" t="str">
        <f aca="false">IF(B10877="","",IF(MATCH(B10877,$B$2:$B$12000,0)=ROW()-1,1,0))</f>
        <v/>
      </c>
    </row>
    <row r="10878" customFormat="false" ht="15" hidden="false" customHeight="false" outlineLevel="0" collapsed="false">
      <c r="V10878" s="23" t="str">
        <f aca="false">IF(ISNUMBER(C10878),YEAR(C10878),"")</f>
        <v/>
      </c>
      <c r="W10878" s="23" t="str">
        <f aca="false">IF(ISNUMBER(C10878),MONTH(C10878),"")</f>
        <v/>
      </c>
      <c r="X10878" s="23" t="str">
        <f aca="false">IF(T10878="","",IF(T10878=0,"No discount",IF(T10878&lt;=0.2,"Low (1-20%)",IF(T10878&lt;=0.4,"Medium (21-40%)","High (&gt;40%)"))))</f>
        <v/>
      </c>
      <c r="Y10878" s="23" t="str">
        <f aca="false">IF(AND(ISNUMBER(C10878),ISNUMBER(D10878)),D10878-C10878,"")</f>
        <v/>
      </c>
      <c r="Z10878" s="23" t="str">
        <f aca="false">IF(B10878="","",IF(MATCH(B10878,$B$2:$B$12000,0)=ROW()-1,1,0))</f>
        <v/>
      </c>
    </row>
    <row r="10879" customFormat="false" ht="15" hidden="false" customHeight="false" outlineLevel="0" collapsed="false">
      <c r="V10879" s="23" t="str">
        <f aca="false">IF(ISNUMBER(C10879),YEAR(C10879),"")</f>
        <v/>
      </c>
      <c r="W10879" s="23" t="str">
        <f aca="false">IF(ISNUMBER(C10879),MONTH(C10879),"")</f>
        <v/>
      </c>
      <c r="X10879" s="23" t="str">
        <f aca="false">IF(T10879="","",IF(T10879=0,"No discount",IF(T10879&lt;=0.2,"Low (1-20%)",IF(T10879&lt;=0.4,"Medium (21-40%)","High (&gt;40%)"))))</f>
        <v/>
      </c>
      <c r="Y10879" s="23" t="str">
        <f aca="false">IF(AND(ISNUMBER(C10879),ISNUMBER(D10879)),D10879-C10879,"")</f>
        <v/>
      </c>
      <c r="Z10879" s="23" t="str">
        <f aca="false">IF(B10879="","",IF(MATCH(B10879,$B$2:$B$12000,0)=ROW()-1,1,0))</f>
        <v/>
      </c>
    </row>
    <row r="10880" customFormat="false" ht="15" hidden="false" customHeight="false" outlineLevel="0" collapsed="false">
      <c r="V10880" s="23" t="str">
        <f aca="false">IF(ISNUMBER(C10880),YEAR(C10880),"")</f>
        <v/>
      </c>
      <c r="W10880" s="23" t="str">
        <f aca="false">IF(ISNUMBER(C10880),MONTH(C10880),"")</f>
        <v/>
      </c>
      <c r="X10880" s="23" t="str">
        <f aca="false">IF(T10880="","",IF(T10880=0,"No discount",IF(T10880&lt;=0.2,"Low (1-20%)",IF(T10880&lt;=0.4,"Medium (21-40%)","High (&gt;40%)"))))</f>
        <v/>
      </c>
      <c r="Y10880" s="23" t="str">
        <f aca="false">IF(AND(ISNUMBER(C10880),ISNUMBER(D10880)),D10880-C10880,"")</f>
        <v/>
      </c>
      <c r="Z10880" s="23" t="str">
        <f aca="false">IF(B10880="","",IF(MATCH(B10880,$B$2:$B$12000,0)=ROW()-1,1,0))</f>
        <v/>
      </c>
    </row>
    <row r="10881" customFormat="false" ht="15" hidden="false" customHeight="false" outlineLevel="0" collapsed="false">
      <c r="V10881" s="23" t="str">
        <f aca="false">IF(ISNUMBER(C10881),YEAR(C10881),"")</f>
        <v/>
      </c>
      <c r="W10881" s="23" t="str">
        <f aca="false">IF(ISNUMBER(C10881),MONTH(C10881),"")</f>
        <v/>
      </c>
      <c r="X10881" s="23" t="str">
        <f aca="false">IF(T10881="","",IF(T10881=0,"No discount",IF(T10881&lt;=0.2,"Low (1-20%)",IF(T10881&lt;=0.4,"Medium (21-40%)","High (&gt;40%)"))))</f>
        <v/>
      </c>
      <c r="Y10881" s="23" t="str">
        <f aca="false">IF(AND(ISNUMBER(C10881),ISNUMBER(D10881)),D10881-C10881,"")</f>
        <v/>
      </c>
      <c r="Z10881" s="23" t="str">
        <f aca="false">IF(B10881="","",IF(MATCH(B10881,$B$2:$B$12000,0)=ROW()-1,1,0))</f>
        <v/>
      </c>
    </row>
    <row r="10882" customFormat="false" ht="15" hidden="false" customHeight="false" outlineLevel="0" collapsed="false">
      <c r="V10882" s="23" t="str">
        <f aca="false">IF(ISNUMBER(C10882),YEAR(C10882),"")</f>
        <v/>
      </c>
      <c r="W10882" s="23" t="str">
        <f aca="false">IF(ISNUMBER(C10882),MONTH(C10882),"")</f>
        <v/>
      </c>
      <c r="X10882" s="23" t="str">
        <f aca="false">IF(T10882="","",IF(T10882=0,"No discount",IF(T10882&lt;=0.2,"Low (1-20%)",IF(T10882&lt;=0.4,"Medium (21-40%)","High (&gt;40%)"))))</f>
        <v/>
      </c>
      <c r="Y10882" s="23" t="str">
        <f aca="false">IF(AND(ISNUMBER(C10882),ISNUMBER(D10882)),D10882-C10882,"")</f>
        <v/>
      </c>
      <c r="Z10882" s="23" t="str">
        <f aca="false">IF(B10882="","",IF(MATCH(B10882,$B$2:$B$12000,0)=ROW()-1,1,0))</f>
        <v/>
      </c>
    </row>
    <row r="10883" customFormat="false" ht="15" hidden="false" customHeight="false" outlineLevel="0" collapsed="false">
      <c r="V10883" s="23" t="str">
        <f aca="false">IF(ISNUMBER(C10883),YEAR(C10883),"")</f>
        <v/>
      </c>
      <c r="W10883" s="23" t="str">
        <f aca="false">IF(ISNUMBER(C10883),MONTH(C10883),"")</f>
        <v/>
      </c>
      <c r="X10883" s="23" t="str">
        <f aca="false">IF(T10883="","",IF(T10883=0,"No discount",IF(T10883&lt;=0.2,"Low (1-20%)",IF(T10883&lt;=0.4,"Medium (21-40%)","High (&gt;40%)"))))</f>
        <v/>
      </c>
      <c r="Y10883" s="23" t="str">
        <f aca="false">IF(AND(ISNUMBER(C10883),ISNUMBER(D10883)),D10883-C10883,"")</f>
        <v/>
      </c>
      <c r="Z10883" s="23" t="str">
        <f aca="false">IF(B10883="","",IF(MATCH(B10883,$B$2:$B$12000,0)=ROW()-1,1,0))</f>
        <v/>
      </c>
    </row>
    <row r="10884" customFormat="false" ht="15" hidden="false" customHeight="false" outlineLevel="0" collapsed="false">
      <c r="V10884" s="23" t="str">
        <f aca="false">IF(ISNUMBER(C10884),YEAR(C10884),"")</f>
        <v/>
      </c>
      <c r="W10884" s="23" t="str">
        <f aca="false">IF(ISNUMBER(C10884),MONTH(C10884),"")</f>
        <v/>
      </c>
      <c r="X10884" s="23" t="str">
        <f aca="false">IF(T10884="","",IF(T10884=0,"No discount",IF(T10884&lt;=0.2,"Low (1-20%)",IF(T10884&lt;=0.4,"Medium (21-40%)","High (&gt;40%)"))))</f>
        <v/>
      </c>
      <c r="Y10884" s="23" t="str">
        <f aca="false">IF(AND(ISNUMBER(C10884),ISNUMBER(D10884)),D10884-C10884,"")</f>
        <v/>
      </c>
      <c r="Z10884" s="23" t="str">
        <f aca="false">IF(B10884="","",IF(MATCH(B10884,$B$2:$B$12000,0)=ROW()-1,1,0))</f>
        <v/>
      </c>
    </row>
    <row r="10885" customFormat="false" ht="15" hidden="false" customHeight="false" outlineLevel="0" collapsed="false">
      <c r="V10885" s="23" t="str">
        <f aca="false">IF(ISNUMBER(C10885),YEAR(C10885),"")</f>
        <v/>
      </c>
      <c r="W10885" s="23" t="str">
        <f aca="false">IF(ISNUMBER(C10885),MONTH(C10885),"")</f>
        <v/>
      </c>
      <c r="X10885" s="23" t="str">
        <f aca="false">IF(T10885="","",IF(T10885=0,"No discount",IF(T10885&lt;=0.2,"Low (1-20%)",IF(T10885&lt;=0.4,"Medium (21-40%)","High (&gt;40%)"))))</f>
        <v/>
      </c>
      <c r="Y10885" s="23" t="str">
        <f aca="false">IF(AND(ISNUMBER(C10885),ISNUMBER(D10885)),D10885-C10885,"")</f>
        <v/>
      </c>
      <c r="Z10885" s="23" t="str">
        <f aca="false">IF(B10885="","",IF(MATCH(B10885,$B$2:$B$12000,0)=ROW()-1,1,0))</f>
        <v/>
      </c>
    </row>
    <row r="10886" customFormat="false" ht="15" hidden="false" customHeight="false" outlineLevel="0" collapsed="false">
      <c r="V10886" s="23" t="str">
        <f aca="false">IF(ISNUMBER(C10886),YEAR(C10886),"")</f>
        <v/>
      </c>
      <c r="W10886" s="23" t="str">
        <f aca="false">IF(ISNUMBER(C10886),MONTH(C10886),"")</f>
        <v/>
      </c>
      <c r="X10886" s="23" t="str">
        <f aca="false">IF(T10886="","",IF(T10886=0,"No discount",IF(T10886&lt;=0.2,"Low (1-20%)",IF(T10886&lt;=0.4,"Medium (21-40%)","High (&gt;40%)"))))</f>
        <v/>
      </c>
      <c r="Y10886" s="23" t="str">
        <f aca="false">IF(AND(ISNUMBER(C10886),ISNUMBER(D10886)),D10886-C10886,"")</f>
        <v/>
      </c>
      <c r="Z10886" s="23" t="str">
        <f aca="false">IF(B10886="","",IF(MATCH(B10886,$B$2:$B$12000,0)=ROW()-1,1,0))</f>
        <v/>
      </c>
    </row>
    <row r="10887" customFormat="false" ht="15" hidden="false" customHeight="false" outlineLevel="0" collapsed="false">
      <c r="V10887" s="23" t="str">
        <f aca="false">IF(ISNUMBER(C10887),YEAR(C10887),"")</f>
        <v/>
      </c>
      <c r="W10887" s="23" t="str">
        <f aca="false">IF(ISNUMBER(C10887),MONTH(C10887),"")</f>
        <v/>
      </c>
      <c r="X10887" s="23" t="str">
        <f aca="false">IF(T10887="","",IF(T10887=0,"No discount",IF(T10887&lt;=0.2,"Low (1-20%)",IF(T10887&lt;=0.4,"Medium (21-40%)","High (&gt;40%)"))))</f>
        <v/>
      </c>
      <c r="Y10887" s="23" t="str">
        <f aca="false">IF(AND(ISNUMBER(C10887),ISNUMBER(D10887)),D10887-C10887,"")</f>
        <v/>
      </c>
      <c r="Z10887" s="23" t="str">
        <f aca="false">IF(B10887="","",IF(MATCH(B10887,$B$2:$B$12000,0)=ROW()-1,1,0))</f>
        <v/>
      </c>
    </row>
    <row r="10888" customFormat="false" ht="15" hidden="false" customHeight="false" outlineLevel="0" collapsed="false">
      <c r="V10888" s="23" t="str">
        <f aca="false">IF(ISNUMBER(C10888),YEAR(C10888),"")</f>
        <v/>
      </c>
      <c r="W10888" s="23" t="str">
        <f aca="false">IF(ISNUMBER(C10888),MONTH(C10888),"")</f>
        <v/>
      </c>
      <c r="X10888" s="23" t="str">
        <f aca="false">IF(T10888="","",IF(T10888=0,"No discount",IF(T10888&lt;=0.2,"Low (1-20%)",IF(T10888&lt;=0.4,"Medium (21-40%)","High (&gt;40%)"))))</f>
        <v/>
      </c>
      <c r="Y10888" s="23" t="str">
        <f aca="false">IF(AND(ISNUMBER(C10888),ISNUMBER(D10888)),D10888-C10888,"")</f>
        <v/>
      </c>
      <c r="Z10888" s="23" t="str">
        <f aca="false">IF(B10888="","",IF(MATCH(B10888,$B$2:$B$12000,0)=ROW()-1,1,0))</f>
        <v/>
      </c>
    </row>
    <row r="10889" customFormat="false" ht="15" hidden="false" customHeight="false" outlineLevel="0" collapsed="false">
      <c r="V10889" s="23" t="str">
        <f aca="false">IF(ISNUMBER(C10889),YEAR(C10889),"")</f>
        <v/>
      </c>
      <c r="W10889" s="23" t="str">
        <f aca="false">IF(ISNUMBER(C10889),MONTH(C10889),"")</f>
        <v/>
      </c>
      <c r="X10889" s="23" t="str">
        <f aca="false">IF(T10889="","",IF(T10889=0,"No discount",IF(T10889&lt;=0.2,"Low (1-20%)",IF(T10889&lt;=0.4,"Medium (21-40%)","High (&gt;40%)"))))</f>
        <v/>
      </c>
      <c r="Y10889" s="23" t="str">
        <f aca="false">IF(AND(ISNUMBER(C10889),ISNUMBER(D10889)),D10889-C10889,"")</f>
        <v/>
      </c>
      <c r="Z10889" s="23" t="str">
        <f aca="false">IF(B10889="","",IF(MATCH(B10889,$B$2:$B$12000,0)=ROW()-1,1,0))</f>
        <v/>
      </c>
    </row>
    <row r="10890" customFormat="false" ht="15" hidden="false" customHeight="false" outlineLevel="0" collapsed="false">
      <c r="V10890" s="23" t="str">
        <f aca="false">IF(ISNUMBER(C10890),YEAR(C10890),"")</f>
        <v/>
      </c>
      <c r="W10890" s="23" t="str">
        <f aca="false">IF(ISNUMBER(C10890),MONTH(C10890),"")</f>
        <v/>
      </c>
      <c r="X10890" s="23" t="str">
        <f aca="false">IF(T10890="","",IF(T10890=0,"No discount",IF(T10890&lt;=0.2,"Low (1-20%)",IF(T10890&lt;=0.4,"Medium (21-40%)","High (&gt;40%)"))))</f>
        <v/>
      </c>
      <c r="Y10890" s="23" t="str">
        <f aca="false">IF(AND(ISNUMBER(C10890),ISNUMBER(D10890)),D10890-C10890,"")</f>
        <v/>
      </c>
      <c r="Z10890" s="23" t="str">
        <f aca="false">IF(B10890="","",IF(MATCH(B10890,$B$2:$B$12000,0)=ROW()-1,1,0))</f>
        <v/>
      </c>
    </row>
    <row r="10891" customFormat="false" ht="15" hidden="false" customHeight="false" outlineLevel="0" collapsed="false">
      <c r="V10891" s="23" t="str">
        <f aca="false">IF(ISNUMBER(C10891),YEAR(C10891),"")</f>
        <v/>
      </c>
      <c r="W10891" s="23" t="str">
        <f aca="false">IF(ISNUMBER(C10891),MONTH(C10891),"")</f>
        <v/>
      </c>
      <c r="X10891" s="23" t="str">
        <f aca="false">IF(T10891="","",IF(T10891=0,"No discount",IF(T10891&lt;=0.2,"Low (1-20%)",IF(T10891&lt;=0.4,"Medium (21-40%)","High (&gt;40%)"))))</f>
        <v/>
      </c>
      <c r="Y10891" s="23" t="str">
        <f aca="false">IF(AND(ISNUMBER(C10891),ISNUMBER(D10891)),D10891-C10891,"")</f>
        <v/>
      </c>
      <c r="Z10891" s="23" t="str">
        <f aca="false">IF(B10891="","",IF(MATCH(B10891,$B$2:$B$12000,0)=ROW()-1,1,0))</f>
        <v/>
      </c>
    </row>
    <row r="10892" customFormat="false" ht="15" hidden="false" customHeight="false" outlineLevel="0" collapsed="false">
      <c r="V10892" s="23" t="str">
        <f aca="false">IF(ISNUMBER(C10892),YEAR(C10892),"")</f>
        <v/>
      </c>
      <c r="W10892" s="23" t="str">
        <f aca="false">IF(ISNUMBER(C10892),MONTH(C10892),"")</f>
        <v/>
      </c>
      <c r="X10892" s="23" t="str">
        <f aca="false">IF(T10892="","",IF(T10892=0,"No discount",IF(T10892&lt;=0.2,"Low (1-20%)",IF(T10892&lt;=0.4,"Medium (21-40%)","High (&gt;40%)"))))</f>
        <v/>
      </c>
      <c r="Y10892" s="23" t="str">
        <f aca="false">IF(AND(ISNUMBER(C10892),ISNUMBER(D10892)),D10892-C10892,"")</f>
        <v/>
      </c>
      <c r="Z10892" s="23" t="str">
        <f aca="false">IF(B10892="","",IF(MATCH(B10892,$B$2:$B$12000,0)=ROW()-1,1,0))</f>
        <v/>
      </c>
    </row>
    <row r="10893" customFormat="false" ht="15" hidden="false" customHeight="false" outlineLevel="0" collapsed="false">
      <c r="V10893" s="23" t="str">
        <f aca="false">IF(ISNUMBER(C10893),YEAR(C10893),"")</f>
        <v/>
      </c>
      <c r="W10893" s="23" t="str">
        <f aca="false">IF(ISNUMBER(C10893),MONTH(C10893),"")</f>
        <v/>
      </c>
      <c r="X10893" s="23" t="str">
        <f aca="false">IF(T10893="","",IF(T10893=0,"No discount",IF(T10893&lt;=0.2,"Low (1-20%)",IF(T10893&lt;=0.4,"Medium (21-40%)","High (&gt;40%)"))))</f>
        <v/>
      </c>
      <c r="Y10893" s="23" t="str">
        <f aca="false">IF(AND(ISNUMBER(C10893),ISNUMBER(D10893)),D10893-C10893,"")</f>
        <v/>
      </c>
      <c r="Z10893" s="23" t="str">
        <f aca="false">IF(B10893="","",IF(MATCH(B10893,$B$2:$B$12000,0)=ROW()-1,1,0))</f>
        <v/>
      </c>
    </row>
    <row r="10894" customFormat="false" ht="15" hidden="false" customHeight="false" outlineLevel="0" collapsed="false">
      <c r="V10894" s="23" t="str">
        <f aca="false">IF(ISNUMBER(C10894),YEAR(C10894),"")</f>
        <v/>
      </c>
      <c r="W10894" s="23" t="str">
        <f aca="false">IF(ISNUMBER(C10894),MONTH(C10894),"")</f>
        <v/>
      </c>
      <c r="X10894" s="23" t="str">
        <f aca="false">IF(T10894="","",IF(T10894=0,"No discount",IF(T10894&lt;=0.2,"Low (1-20%)",IF(T10894&lt;=0.4,"Medium (21-40%)","High (&gt;40%)"))))</f>
        <v/>
      </c>
      <c r="Y10894" s="23" t="str">
        <f aca="false">IF(AND(ISNUMBER(C10894),ISNUMBER(D10894)),D10894-C10894,"")</f>
        <v/>
      </c>
      <c r="Z10894" s="23" t="str">
        <f aca="false">IF(B10894="","",IF(MATCH(B10894,$B$2:$B$12000,0)=ROW()-1,1,0))</f>
        <v/>
      </c>
    </row>
    <row r="10895" customFormat="false" ht="15" hidden="false" customHeight="false" outlineLevel="0" collapsed="false">
      <c r="V10895" s="23" t="str">
        <f aca="false">IF(ISNUMBER(C10895),YEAR(C10895),"")</f>
        <v/>
      </c>
      <c r="W10895" s="23" t="str">
        <f aca="false">IF(ISNUMBER(C10895),MONTH(C10895),"")</f>
        <v/>
      </c>
      <c r="X10895" s="23" t="str">
        <f aca="false">IF(T10895="","",IF(T10895=0,"No discount",IF(T10895&lt;=0.2,"Low (1-20%)",IF(T10895&lt;=0.4,"Medium (21-40%)","High (&gt;40%)"))))</f>
        <v/>
      </c>
      <c r="Y10895" s="23" t="str">
        <f aca="false">IF(AND(ISNUMBER(C10895),ISNUMBER(D10895)),D10895-C10895,"")</f>
        <v/>
      </c>
      <c r="Z10895" s="23" t="str">
        <f aca="false">IF(B10895="","",IF(MATCH(B10895,$B$2:$B$12000,0)=ROW()-1,1,0))</f>
        <v/>
      </c>
    </row>
    <row r="10896" customFormat="false" ht="15" hidden="false" customHeight="false" outlineLevel="0" collapsed="false">
      <c r="V10896" s="23" t="str">
        <f aca="false">IF(ISNUMBER(C10896),YEAR(C10896),"")</f>
        <v/>
      </c>
      <c r="W10896" s="23" t="str">
        <f aca="false">IF(ISNUMBER(C10896),MONTH(C10896),"")</f>
        <v/>
      </c>
      <c r="X10896" s="23" t="str">
        <f aca="false">IF(T10896="","",IF(T10896=0,"No discount",IF(T10896&lt;=0.2,"Low (1-20%)",IF(T10896&lt;=0.4,"Medium (21-40%)","High (&gt;40%)"))))</f>
        <v/>
      </c>
      <c r="Y10896" s="23" t="str">
        <f aca="false">IF(AND(ISNUMBER(C10896),ISNUMBER(D10896)),D10896-C10896,"")</f>
        <v/>
      </c>
      <c r="Z10896" s="23" t="str">
        <f aca="false">IF(B10896="","",IF(MATCH(B10896,$B$2:$B$12000,0)=ROW()-1,1,0))</f>
        <v/>
      </c>
    </row>
    <row r="10897" customFormat="false" ht="15" hidden="false" customHeight="false" outlineLevel="0" collapsed="false">
      <c r="V10897" s="23" t="str">
        <f aca="false">IF(ISNUMBER(C10897),YEAR(C10897),"")</f>
        <v/>
      </c>
      <c r="W10897" s="23" t="str">
        <f aca="false">IF(ISNUMBER(C10897),MONTH(C10897),"")</f>
        <v/>
      </c>
      <c r="X10897" s="23" t="str">
        <f aca="false">IF(T10897="","",IF(T10897=0,"No discount",IF(T10897&lt;=0.2,"Low (1-20%)",IF(T10897&lt;=0.4,"Medium (21-40%)","High (&gt;40%)"))))</f>
        <v/>
      </c>
      <c r="Y10897" s="23" t="str">
        <f aca="false">IF(AND(ISNUMBER(C10897),ISNUMBER(D10897)),D10897-C10897,"")</f>
        <v/>
      </c>
      <c r="Z10897" s="23" t="str">
        <f aca="false">IF(B10897="","",IF(MATCH(B10897,$B$2:$B$12000,0)=ROW()-1,1,0))</f>
        <v/>
      </c>
    </row>
    <row r="10898" customFormat="false" ht="15" hidden="false" customHeight="false" outlineLevel="0" collapsed="false">
      <c r="V10898" s="23" t="str">
        <f aca="false">IF(ISNUMBER(C10898),YEAR(C10898),"")</f>
        <v/>
      </c>
      <c r="W10898" s="23" t="str">
        <f aca="false">IF(ISNUMBER(C10898),MONTH(C10898),"")</f>
        <v/>
      </c>
      <c r="X10898" s="23" t="str">
        <f aca="false">IF(T10898="","",IF(T10898=0,"No discount",IF(T10898&lt;=0.2,"Low (1-20%)",IF(T10898&lt;=0.4,"Medium (21-40%)","High (&gt;40%)"))))</f>
        <v/>
      </c>
      <c r="Y10898" s="23" t="str">
        <f aca="false">IF(AND(ISNUMBER(C10898),ISNUMBER(D10898)),D10898-C10898,"")</f>
        <v/>
      </c>
      <c r="Z10898" s="23" t="str">
        <f aca="false">IF(B10898="","",IF(MATCH(B10898,$B$2:$B$12000,0)=ROW()-1,1,0))</f>
        <v/>
      </c>
    </row>
    <row r="10899" customFormat="false" ht="15" hidden="false" customHeight="false" outlineLevel="0" collapsed="false">
      <c r="V10899" s="23" t="str">
        <f aca="false">IF(ISNUMBER(C10899),YEAR(C10899),"")</f>
        <v/>
      </c>
      <c r="W10899" s="23" t="str">
        <f aca="false">IF(ISNUMBER(C10899),MONTH(C10899),"")</f>
        <v/>
      </c>
      <c r="X10899" s="23" t="str">
        <f aca="false">IF(T10899="","",IF(T10899=0,"No discount",IF(T10899&lt;=0.2,"Low (1-20%)",IF(T10899&lt;=0.4,"Medium (21-40%)","High (&gt;40%)"))))</f>
        <v/>
      </c>
      <c r="Y10899" s="23" t="str">
        <f aca="false">IF(AND(ISNUMBER(C10899),ISNUMBER(D10899)),D10899-C10899,"")</f>
        <v/>
      </c>
      <c r="Z10899" s="23" t="str">
        <f aca="false">IF(B10899="","",IF(MATCH(B10899,$B$2:$B$12000,0)=ROW()-1,1,0))</f>
        <v/>
      </c>
    </row>
    <row r="10900" customFormat="false" ht="15" hidden="false" customHeight="false" outlineLevel="0" collapsed="false">
      <c r="V10900" s="23" t="str">
        <f aca="false">IF(ISNUMBER(C10900),YEAR(C10900),"")</f>
        <v/>
      </c>
      <c r="W10900" s="23" t="str">
        <f aca="false">IF(ISNUMBER(C10900),MONTH(C10900),"")</f>
        <v/>
      </c>
      <c r="X10900" s="23" t="str">
        <f aca="false">IF(T10900="","",IF(T10900=0,"No discount",IF(T10900&lt;=0.2,"Low (1-20%)",IF(T10900&lt;=0.4,"Medium (21-40%)","High (&gt;40%)"))))</f>
        <v/>
      </c>
      <c r="Y10900" s="23" t="str">
        <f aca="false">IF(AND(ISNUMBER(C10900),ISNUMBER(D10900)),D10900-C10900,"")</f>
        <v/>
      </c>
      <c r="Z10900" s="23" t="str">
        <f aca="false">IF(B10900="","",IF(MATCH(B10900,$B$2:$B$12000,0)=ROW()-1,1,0))</f>
        <v/>
      </c>
    </row>
    <row r="10901" customFormat="false" ht="15" hidden="false" customHeight="false" outlineLevel="0" collapsed="false">
      <c r="V10901" s="23" t="str">
        <f aca="false">IF(ISNUMBER(C10901),YEAR(C10901),"")</f>
        <v/>
      </c>
      <c r="W10901" s="23" t="str">
        <f aca="false">IF(ISNUMBER(C10901),MONTH(C10901),"")</f>
        <v/>
      </c>
      <c r="X10901" s="23" t="str">
        <f aca="false">IF(T10901="","",IF(T10901=0,"No discount",IF(T10901&lt;=0.2,"Low (1-20%)",IF(T10901&lt;=0.4,"Medium (21-40%)","High (&gt;40%)"))))</f>
        <v/>
      </c>
      <c r="Y10901" s="23" t="str">
        <f aca="false">IF(AND(ISNUMBER(C10901),ISNUMBER(D10901)),D10901-C10901,"")</f>
        <v/>
      </c>
      <c r="Z10901" s="23" t="str">
        <f aca="false">IF(B10901="","",IF(MATCH(B10901,$B$2:$B$12000,0)=ROW()-1,1,0))</f>
        <v/>
      </c>
    </row>
    <row r="10902" customFormat="false" ht="15" hidden="false" customHeight="false" outlineLevel="0" collapsed="false">
      <c r="V10902" s="23" t="str">
        <f aca="false">IF(ISNUMBER(C10902),YEAR(C10902),"")</f>
        <v/>
      </c>
      <c r="W10902" s="23" t="str">
        <f aca="false">IF(ISNUMBER(C10902),MONTH(C10902),"")</f>
        <v/>
      </c>
      <c r="X10902" s="23" t="str">
        <f aca="false">IF(T10902="","",IF(T10902=0,"No discount",IF(T10902&lt;=0.2,"Low (1-20%)",IF(T10902&lt;=0.4,"Medium (21-40%)","High (&gt;40%)"))))</f>
        <v/>
      </c>
      <c r="Y10902" s="23" t="str">
        <f aca="false">IF(AND(ISNUMBER(C10902),ISNUMBER(D10902)),D10902-C10902,"")</f>
        <v/>
      </c>
      <c r="Z10902" s="23" t="str">
        <f aca="false">IF(B10902="","",IF(MATCH(B10902,$B$2:$B$12000,0)=ROW()-1,1,0))</f>
        <v/>
      </c>
    </row>
    <row r="10903" customFormat="false" ht="15" hidden="false" customHeight="false" outlineLevel="0" collapsed="false">
      <c r="V10903" s="23" t="str">
        <f aca="false">IF(ISNUMBER(C10903),YEAR(C10903),"")</f>
        <v/>
      </c>
      <c r="W10903" s="23" t="str">
        <f aca="false">IF(ISNUMBER(C10903),MONTH(C10903),"")</f>
        <v/>
      </c>
      <c r="X10903" s="23" t="str">
        <f aca="false">IF(T10903="","",IF(T10903=0,"No discount",IF(T10903&lt;=0.2,"Low (1-20%)",IF(T10903&lt;=0.4,"Medium (21-40%)","High (&gt;40%)"))))</f>
        <v/>
      </c>
      <c r="Y10903" s="23" t="str">
        <f aca="false">IF(AND(ISNUMBER(C10903),ISNUMBER(D10903)),D10903-C10903,"")</f>
        <v/>
      </c>
      <c r="Z10903" s="23" t="str">
        <f aca="false">IF(B10903="","",IF(MATCH(B10903,$B$2:$B$12000,0)=ROW()-1,1,0))</f>
        <v/>
      </c>
    </row>
    <row r="10904" customFormat="false" ht="15" hidden="false" customHeight="false" outlineLevel="0" collapsed="false">
      <c r="V10904" s="23" t="str">
        <f aca="false">IF(ISNUMBER(C10904),YEAR(C10904),"")</f>
        <v/>
      </c>
      <c r="W10904" s="23" t="str">
        <f aca="false">IF(ISNUMBER(C10904),MONTH(C10904),"")</f>
        <v/>
      </c>
      <c r="X10904" s="23" t="str">
        <f aca="false">IF(T10904="","",IF(T10904=0,"No discount",IF(T10904&lt;=0.2,"Low (1-20%)",IF(T10904&lt;=0.4,"Medium (21-40%)","High (&gt;40%)"))))</f>
        <v/>
      </c>
      <c r="Y10904" s="23" t="str">
        <f aca="false">IF(AND(ISNUMBER(C10904),ISNUMBER(D10904)),D10904-C10904,"")</f>
        <v/>
      </c>
      <c r="Z10904" s="23" t="str">
        <f aca="false">IF(B10904="","",IF(MATCH(B10904,$B$2:$B$12000,0)=ROW()-1,1,0))</f>
        <v/>
      </c>
    </row>
    <row r="10905" customFormat="false" ht="15" hidden="false" customHeight="false" outlineLevel="0" collapsed="false">
      <c r="V10905" s="23" t="str">
        <f aca="false">IF(ISNUMBER(C10905),YEAR(C10905),"")</f>
        <v/>
      </c>
      <c r="W10905" s="23" t="str">
        <f aca="false">IF(ISNUMBER(C10905),MONTH(C10905),"")</f>
        <v/>
      </c>
      <c r="X10905" s="23" t="str">
        <f aca="false">IF(T10905="","",IF(T10905=0,"No discount",IF(T10905&lt;=0.2,"Low (1-20%)",IF(T10905&lt;=0.4,"Medium (21-40%)","High (&gt;40%)"))))</f>
        <v/>
      </c>
      <c r="Y10905" s="23" t="str">
        <f aca="false">IF(AND(ISNUMBER(C10905),ISNUMBER(D10905)),D10905-C10905,"")</f>
        <v/>
      </c>
      <c r="Z10905" s="23" t="str">
        <f aca="false">IF(B10905="","",IF(MATCH(B10905,$B$2:$B$12000,0)=ROW()-1,1,0))</f>
        <v/>
      </c>
    </row>
    <row r="10906" customFormat="false" ht="15" hidden="false" customHeight="false" outlineLevel="0" collapsed="false">
      <c r="V10906" s="23" t="str">
        <f aca="false">IF(ISNUMBER(C10906),YEAR(C10906),"")</f>
        <v/>
      </c>
      <c r="W10906" s="23" t="str">
        <f aca="false">IF(ISNUMBER(C10906),MONTH(C10906),"")</f>
        <v/>
      </c>
      <c r="X10906" s="23" t="str">
        <f aca="false">IF(T10906="","",IF(T10906=0,"No discount",IF(T10906&lt;=0.2,"Low (1-20%)",IF(T10906&lt;=0.4,"Medium (21-40%)","High (&gt;40%)"))))</f>
        <v/>
      </c>
      <c r="Y10906" s="23" t="str">
        <f aca="false">IF(AND(ISNUMBER(C10906),ISNUMBER(D10906)),D10906-C10906,"")</f>
        <v/>
      </c>
      <c r="Z10906" s="23" t="str">
        <f aca="false">IF(B10906="","",IF(MATCH(B10906,$B$2:$B$12000,0)=ROW()-1,1,0))</f>
        <v/>
      </c>
    </row>
    <row r="10907" customFormat="false" ht="15" hidden="false" customHeight="false" outlineLevel="0" collapsed="false">
      <c r="V10907" s="23" t="str">
        <f aca="false">IF(ISNUMBER(C10907),YEAR(C10907),"")</f>
        <v/>
      </c>
      <c r="W10907" s="23" t="str">
        <f aca="false">IF(ISNUMBER(C10907),MONTH(C10907),"")</f>
        <v/>
      </c>
      <c r="X10907" s="23" t="str">
        <f aca="false">IF(T10907="","",IF(T10907=0,"No discount",IF(T10907&lt;=0.2,"Low (1-20%)",IF(T10907&lt;=0.4,"Medium (21-40%)","High (&gt;40%)"))))</f>
        <v/>
      </c>
      <c r="Y10907" s="23" t="str">
        <f aca="false">IF(AND(ISNUMBER(C10907),ISNUMBER(D10907)),D10907-C10907,"")</f>
        <v/>
      </c>
      <c r="Z10907" s="23" t="str">
        <f aca="false">IF(B10907="","",IF(MATCH(B10907,$B$2:$B$12000,0)=ROW()-1,1,0))</f>
        <v/>
      </c>
    </row>
    <row r="10908" customFormat="false" ht="15" hidden="false" customHeight="false" outlineLevel="0" collapsed="false">
      <c r="V10908" s="23" t="str">
        <f aca="false">IF(ISNUMBER(C10908),YEAR(C10908),"")</f>
        <v/>
      </c>
      <c r="W10908" s="23" t="str">
        <f aca="false">IF(ISNUMBER(C10908),MONTH(C10908),"")</f>
        <v/>
      </c>
      <c r="X10908" s="23" t="str">
        <f aca="false">IF(T10908="","",IF(T10908=0,"No discount",IF(T10908&lt;=0.2,"Low (1-20%)",IF(T10908&lt;=0.4,"Medium (21-40%)","High (&gt;40%)"))))</f>
        <v/>
      </c>
      <c r="Y10908" s="23" t="str">
        <f aca="false">IF(AND(ISNUMBER(C10908),ISNUMBER(D10908)),D10908-C10908,"")</f>
        <v/>
      </c>
      <c r="Z10908" s="23" t="str">
        <f aca="false">IF(B10908="","",IF(MATCH(B10908,$B$2:$B$12000,0)=ROW()-1,1,0))</f>
        <v/>
      </c>
    </row>
    <row r="10909" customFormat="false" ht="15" hidden="false" customHeight="false" outlineLevel="0" collapsed="false">
      <c r="V10909" s="23" t="str">
        <f aca="false">IF(ISNUMBER(C10909),YEAR(C10909),"")</f>
        <v/>
      </c>
      <c r="W10909" s="23" t="str">
        <f aca="false">IF(ISNUMBER(C10909),MONTH(C10909),"")</f>
        <v/>
      </c>
      <c r="X10909" s="23" t="str">
        <f aca="false">IF(T10909="","",IF(T10909=0,"No discount",IF(T10909&lt;=0.2,"Low (1-20%)",IF(T10909&lt;=0.4,"Medium (21-40%)","High (&gt;40%)"))))</f>
        <v/>
      </c>
      <c r="Y10909" s="23" t="str">
        <f aca="false">IF(AND(ISNUMBER(C10909),ISNUMBER(D10909)),D10909-C10909,"")</f>
        <v/>
      </c>
      <c r="Z10909" s="23" t="str">
        <f aca="false">IF(B10909="","",IF(MATCH(B10909,$B$2:$B$12000,0)=ROW()-1,1,0))</f>
        <v/>
      </c>
    </row>
    <row r="10910" customFormat="false" ht="15" hidden="false" customHeight="false" outlineLevel="0" collapsed="false">
      <c r="V10910" s="23" t="str">
        <f aca="false">IF(ISNUMBER(C10910),YEAR(C10910),"")</f>
        <v/>
      </c>
      <c r="W10910" s="23" t="str">
        <f aca="false">IF(ISNUMBER(C10910),MONTH(C10910),"")</f>
        <v/>
      </c>
      <c r="X10910" s="23" t="str">
        <f aca="false">IF(T10910="","",IF(T10910=0,"No discount",IF(T10910&lt;=0.2,"Low (1-20%)",IF(T10910&lt;=0.4,"Medium (21-40%)","High (&gt;40%)"))))</f>
        <v/>
      </c>
      <c r="Y10910" s="23" t="str">
        <f aca="false">IF(AND(ISNUMBER(C10910),ISNUMBER(D10910)),D10910-C10910,"")</f>
        <v/>
      </c>
      <c r="Z10910" s="23" t="str">
        <f aca="false">IF(B10910="","",IF(MATCH(B10910,$B$2:$B$12000,0)=ROW()-1,1,0))</f>
        <v/>
      </c>
    </row>
    <row r="10911" customFormat="false" ht="15" hidden="false" customHeight="false" outlineLevel="0" collapsed="false">
      <c r="V10911" s="23" t="str">
        <f aca="false">IF(ISNUMBER(C10911),YEAR(C10911),"")</f>
        <v/>
      </c>
      <c r="W10911" s="23" t="str">
        <f aca="false">IF(ISNUMBER(C10911),MONTH(C10911),"")</f>
        <v/>
      </c>
      <c r="X10911" s="23" t="str">
        <f aca="false">IF(T10911="","",IF(T10911=0,"No discount",IF(T10911&lt;=0.2,"Low (1-20%)",IF(T10911&lt;=0.4,"Medium (21-40%)","High (&gt;40%)"))))</f>
        <v/>
      </c>
      <c r="Y10911" s="23" t="str">
        <f aca="false">IF(AND(ISNUMBER(C10911),ISNUMBER(D10911)),D10911-C10911,"")</f>
        <v/>
      </c>
      <c r="Z10911" s="23" t="str">
        <f aca="false">IF(B10911="","",IF(MATCH(B10911,$B$2:$B$12000,0)=ROW()-1,1,0))</f>
        <v/>
      </c>
    </row>
    <row r="10912" customFormat="false" ht="15" hidden="false" customHeight="false" outlineLevel="0" collapsed="false">
      <c r="V10912" s="23" t="str">
        <f aca="false">IF(ISNUMBER(C10912),YEAR(C10912),"")</f>
        <v/>
      </c>
      <c r="W10912" s="23" t="str">
        <f aca="false">IF(ISNUMBER(C10912),MONTH(C10912),"")</f>
        <v/>
      </c>
      <c r="X10912" s="23" t="str">
        <f aca="false">IF(T10912="","",IF(T10912=0,"No discount",IF(T10912&lt;=0.2,"Low (1-20%)",IF(T10912&lt;=0.4,"Medium (21-40%)","High (&gt;40%)"))))</f>
        <v/>
      </c>
      <c r="Y10912" s="23" t="str">
        <f aca="false">IF(AND(ISNUMBER(C10912),ISNUMBER(D10912)),D10912-C10912,"")</f>
        <v/>
      </c>
      <c r="Z10912" s="23" t="str">
        <f aca="false">IF(B10912="","",IF(MATCH(B10912,$B$2:$B$12000,0)=ROW()-1,1,0))</f>
        <v/>
      </c>
    </row>
    <row r="10913" customFormat="false" ht="15" hidden="false" customHeight="false" outlineLevel="0" collapsed="false">
      <c r="V10913" s="23" t="str">
        <f aca="false">IF(ISNUMBER(C10913),YEAR(C10913),"")</f>
        <v/>
      </c>
      <c r="W10913" s="23" t="str">
        <f aca="false">IF(ISNUMBER(C10913),MONTH(C10913),"")</f>
        <v/>
      </c>
      <c r="X10913" s="23" t="str">
        <f aca="false">IF(T10913="","",IF(T10913=0,"No discount",IF(T10913&lt;=0.2,"Low (1-20%)",IF(T10913&lt;=0.4,"Medium (21-40%)","High (&gt;40%)"))))</f>
        <v/>
      </c>
      <c r="Y10913" s="23" t="str">
        <f aca="false">IF(AND(ISNUMBER(C10913),ISNUMBER(D10913)),D10913-C10913,"")</f>
        <v/>
      </c>
      <c r="Z10913" s="23" t="str">
        <f aca="false">IF(B10913="","",IF(MATCH(B10913,$B$2:$B$12000,0)=ROW()-1,1,0))</f>
        <v/>
      </c>
    </row>
    <row r="10914" customFormat="false" ht="15" hidden="false" customHeight="false" outlineLevel="0" collapsed="false">
      <c r="V10914" s="23" t="str">
        <f aca="false">IF(ISNUMBER(C10914),YEAR(C10914),"")</f>
        <v/>
      </c>
      <c r="W10914" s="23" t="str">
        <f aca="false">IF(ISNUMBER(C10914),MONTH(C10914),"")</f>
        <v/>
      </c>
      <c r="X10914" s="23" t="str">
        <f aca="false">IF(T10914="","",IF(T10914=0,"No discount",IF(T10914&lt;=0.2,"Low (1-20%)",IF(T10914&lt;=0.4,"Medium (21-40%)","High (&gt;40%)"))))</f>
        <v/>
      </c>
      <c r="Y10914" s="23" t="str">
        <f aca="false">IF(AND(ISNUMBER(C10914),ISNUMBER(D10914)),D10914-C10914,"")</f>
        <v/>
      </c>
      <c r="Z10914" s="23" t="str">
        <f aca="false">IF(B10914="","",IF(MATCH(B10914,$B$2:$B$12000,0)=ROW()-1,1,0))</f>
        <v/>
      </c>
    </row>
    <row r="10915" customFormat="false" ht="15" hidden="false" customHeight="false" outlineLevel="0" collapsed="false">
      <c r="V10915" s="23" t="str">
        <f aca="false">IF(ISNUMBER(C10915),YEAR(C10915),"")</f>
        <v/>
      </c>
      <c r="W10915" s="23" t="str">
        <f aca="false">IF(ISNUMBER(C10915),MONTH(C10915),"")</f>
        <v/>
      </c>
      <c r="X10915" s="23" t="str">
        <f aca="false">IF(T10915="","",IF(T10915=0,"No discount",IF(T10915&lt;=0.2,"Low (1-20%)",IF(T10915&lt;=0.4,"Medium (21-40%)","High (&gt;40%)"))))</f>
        <v/>
      </c>
      <c r="Y10915" s="23" t="str">
        <f aca="false">IF(AND(ISNUMBER(C10915),ISNUMBER(D10915)),D10915-C10915,"")</f>
        <v/>
      </c>
      <c r="Z10915" s="23" t="str">
        <f aca="false">IF(B10915="","",IF(MATCH(B10915,$B$2:$B$12000,0)=ROW()-1,1,0))</f>
        <v/>
      </c>
    </row>
    <row r="10916" customFormat="false" ht="15" hidden="false" customHeight="false" outlineLevel="0" collapsed="false">
      <c r="V10916" s="23" t="str">
        <f aca="false">IF(ISNUMBER(C10916),YEAR(C10916),"")</f>
        <v/>
      </c>
      <c r="W10916" s="23" t="str">
        <f aca="false">IF(ISNUMBER(C10916),MONTH(C10916),"")</f>
        <v/>
      </c>
      <c r="X10916" s="23" t="str">
        <f aca="false">IF(T10916="","",IF(T10916=0,"No discount",IF(T10916&lt;=0.2,"Low (1-20%)",IF(T10916&lt;=0.4,"Medium (21-40%)","High (&gt;40%)"))))</f>
        <v/>
      </c>
      <c r="Y10916" s="23" t="str">
        <f aca="false">IF(AND(ISNUMBER(C10916),ISNUMBER(D10916)),D10916-C10916,"")</f>
        <v/>
      </c>
      <c r="Z10916" s="23" t="str">
        <f aca="false">IF(B10916="","",IF(MATCH(B10916,$B$2:$B$12000,0)=ROW()-1,1,0))</f>
        <v/>
      </c>
    </row>
    <row r="10917" customFormat="false" ht="15" hidden="false" customHeight="false" outlineLevel="0" collapsed="false">
      <c r="V10917" s="23" t="str">
        <f aca="false">IF(ISNUMBER(C10917),YEAR(C10917),"")</f>
        <v/>
      </c>
      <c r="W10917" s="23" t="str">
        <f aca="false">IF(ISNUMBER(C10917),MONTH(C10917),"")</f>
        <v/>
      </c>
      <c r="X10917" s="23" t="str">
        <f aca="false">IF(T10917="","",IF(T10917=0,"No discount",IF(T10917&lt;=0.2,"Low (1-20%)",IF(T10917&lt;=0.4,"Medium (21-40%)","High (&gt;40%)"))))</f>
        <v/>
      </c>
      <c r="Y10917" s="23" t="str">
        <f aca="false">IF(AND(ISNUMBER(C10917),ISNUMBER(D10917)),D10917-C10917,"")</f>
        <v/>
      </c>
      <c r="Z10917" s="23" t="str">
        <f aca="false">IF(B10917="","",IF(MATCH(B10917,$B$2:$B$12000,0)=ROW()-1,1,0))</f>
        <v/>
      </c>
    </row>
    <row r="10918" customFormat="false" ht="15" hidden="false" customHeight="false" outlineLevel="0" collapsed="false">
      <c r="V10918" s="23" t="str">
        <f aca="false">IF(ISNUMBER(C10918),YEAR(C10918),"")</f>
        <v/>
      </c>
      <c r="W10918" s="23" t="str">
        <f aca="false">IF(ISNUMBER(C10918),MONTH(C10918),"")</f>
        <v/>
      </c>
      <c r="X10918" s="23" t="str">
        <f aca="false">IF(T10918="","",IF(T10918=0,"No discount",IF(T10918&lt;=0.2,"Low (1-20%)",IF(T10918&lt;=0.4,"Medium (21-40%)","High (&gt;40%)"))))</f>
        <v/>
      </c>
      <c r="Y10918" s="23" t="str">
        <f aca="false">IF(AND(ISNUMBER(C10918),ISNUMBER(D10918)),D10918-C10918,"")</f>
        <v/>
      </c>
      <c r="Z10918" s="23" t="str">
        <f aca="false">IF(B10918="","",IF(MATCH(B10918,$B$2:$B$12000,0)=ROW()-1,1,0))</f>
        <v/>
      </c>
    </row>
    <row r="10919" customFormat="false" ht="15" hidden="false" customHeight="false" outlineLevel="0" collapsed="false">
      <c r="V10919" s="23" t="str">
        <f aca="false">IF(ISNUMBER(C10919),YEAR(C10919),"")</f>
        <v/>
      </c>
      <c r="W10919" s="23" t="str">
        <f aca="false">IF(ISNUMBER(C10919),MONTH(C10919),"")</f>
        <v/>
      </c>
      <c r="X10919" s="23" t="str">
        <f aca="false">IF(T10919="","",IF(T10919=0,"No discount",IF(T10919&lt;=0.2,"Low (1-20%)",IF(T10919&lt;=0.4,"Medium (21-40%)","High (&gt;40%)"))))</f>
        <v/>
      </c>
      <c r="Y10919" s="23" t="str">
        <f aca="false">IF(AND(ISNUMBER(C10919),ISNUMBER(D10919)),D10919-C10919,"")</f>
        <v/>
      </c>
      <c r="Z10919" s="23" t="str">
        <f aca="false">IF(B10919="","",IF(MATCH(B10919,$B$2:$B$12000,0)=ROW()-1,1,0))</f>
        <v/>
      </c>
    </row>
    <row r="10920" customFormat="false" ht="15" hidden="false" customHeight="false" outlineLevel="0" collapsed="false">
      <c r="V10920" s="23" t="str">
        <f aca="false">IF(ISNUMBER(C10920),YEAR(C10920),"")</f>
        <v/>
      </c>
      <c r="W10920" s="23" t="str">
        <f aca="false">IF(ISNUMBER(C10920),MONTH(C10920),"")</f>
        <v/>
      </c>
      <c r="X10920" s="23" t="str">
        <f aca="false">IF(T10920="","",IF(T10920=0,"No discount",IF(T10920&lt;=0.2,"Low (1-20%)",IF(T10920&lt;=0.4,"Medium (21-40%)","High (&gt;40%)"))))</f>
        <v/>
      </c>
      <c r="Y10920" s="23" t="str">
        <f aca="false">IF(AND(ISNUMBER(C10920),ISNUMBER(D10920)),D10920-C10920,"")</f>
        <v/>
      </c>
      <c r="Z10920" s="23" t="str">
        <f aca="false">IF(B10920="","",IF(MATCH(B10920,$B$2:$B$12000,0)=ROW()-1,1,0))</f>
        <v/>
      </c>
    </row>
    <row r="10921" customFormat="false" ht="15" hidden="false" customHeight="false" outlineLevel="0" collapsed="false">
      <c r="V10921" s="23" t="str">
        <f aca="false">IF(ISNUMBER(C10921),YEAR(C10921),"")</f>
        <v/>
      </c>
      <c r="W10921" s="23" t="str">
        <f aca="false">IF(ISNUMBER(C10921),MONTH(C10921),"")</f>
        <v/>
      </c>
      <c r="X10921" s="23" t="str">
        <f aca="false">IF(T10921="","",IF(T10921=0,"No discount",IF(T10921&lt;=0.2,"Low (1-20%)",IF(T10921&lt;=0.4,"Medium (21-40%)","High (&gt;40%)"))))</f>
        <v/>
      </c>
      <c r="Y10921" s="23" t="str">
        <f aca="false">IF(AND(ISNUMBER(C10921),ISNUMBER(D10921)),D10921-C10921,"")</f>
        <v/>
      </c>
      <c r="Z10921" s="23" t="str">
        <f aca="false">IF(B10921="","",IF(MATCH(B10921,$B$2:$B$12000,0)=ROW()-1,1,0))</f>
        <v/>
      </c>
    </row>
    <row r="10922" customFormat="false" ht="15" hidden="false" customHeight="false" outlineLevel="0" collapsed="false">
      <c r="V10922" s="23" t="str">
        <f aca="false">IF(ISNUMBER(C10922),YEAR(C10922),"")</f>
        <v/>
      </c>
      <c r="W10922" s="23" t="str">
        <f aca="false">IF(ISNUMBER(C10922),MONTH(C10922),"")</f>
        <v/>
      </c>
      <c r="X10922" s="23" t="str">
        <f aca="false">IF(T10922="","",IF(T10922=0,"No discount",IF(T10922&lt;=0.2,"Low (1-20%)",IF(T10922&lt;=0.4,"Medium (21-40%)","High (&gt;40%)"))))</f>
        <v/>
      </c>
      <c r="Y10922" s="23" t="str">
        <f aca="false">IF(AND(ISNUMBER(C10922),ISNUMBER(D10922)),D10922-C10922,"")</f>
        <v/>
      </c>
      <c r="Z10922" s="23" t="str">
        <f aca="false">IF(B10922="","",IF(MATCH(B10922,$B$2:$B$12000,0)=ROW()-1,1,0))</f>
        <v/>
      </c>
    </row>
    <row r="10923" customFormat="false" ht="15" hidden="false" customHeight="false" outlineLevel="0" collapsed="false">
      <c r="V10923" s="23" t="str">
        <f aca="false">IF(ISNUMBER(C10923),YEAR(C10923),"")</f>
        <v/>
      </c>
      <c r="W10923" s="23" t="str">
        <f aca="false">IF(ISNUMBER(C10923),MONTH(C10923),"")</f>
        <v/>
      </c>
      <c r="X10923" s="23" t="str">
        <f aca="false">IF(T10923="","",IF(T10923=0,"No discount",IF(T10923&lt;=0.2,"Low (1-20%)",IF(T10923&lt;=0.4,"Medium (21-40%)","High (&gt;40%)"))))</f>
        <v/>
      </c>
      <c r="Y10923" s="23" t="str">
        <f aca="false">IF(AND(ISNUMBER(C10923),ISNUMBER(D10923)),D10923-C10923,"")</f>
        <v/>
      </c>
      <c r="Z10923" s="23" t="str">
        <f aca="false">IF(B10923="","",IF(MATCH(B10923,$B$2:$B$12000,0)=ROW()-1,1,0))</f>
        <v/>
      </c>
    </row>
    <row r="10924" customFormat="false" ht="15" hidden="false" customHeight="false" outlineLevel="0" collapsed="false">
      <c r="V10924" s="23" t="str">
        <f aca="false">IF(ISNUMBER(C10924),YEAR(C10924),"")</f>
        <v/>
      </c>
      <c r="W10924" s="23" t="str">
        <f aca="false">IF(ISNUMBER(C10924),MONTH(C10924),"")</f>
        <v/>
      </c>
      <c r="X10924" s="23" t="str">
        <f aca="false">IF(T10924="","",IF(T10924=0,"No discount",IF(T10924&lt;=0.2,"Low (1-20%)",IF(T10924&lt;=0.4,"Medium (21-40%)","High (&gt;40%)"))))</f>
        <v/>
      </c>
      <c r="Y10924" s="23" t="str">
        <f aca="false">IF(AND(ISNUMBER(C10924),ISNUMBER(D10924)),D10924-C10924,"")</f>
        <v/>
      </c>
      <c r="Z10924" s="23" t="str">
        <f aca="false">IF(B10924="","",IF(MATCH(B10924,$B$2:$B$12000,0)=ROW()-1,1,0))</f>
        <v/>
      </c>
    </row>
    <row r="10925" customFormat="false" ht="15" hidden="false" customHeight="false" outlineLevel="0" collapsed="false">
      <c r="V10925" s="23" t="str">
        <f aca="false">IF(ISNUMBER(C10925),YEAR(C10925),"")</f>
        <v/>
      </c>
      <c r="W10925" s="23" t="str">
        <f aca="false">IF(ISNUMBER(C10925),MONTH(C10925),"")</f>
        <v/>
      </c>
      <c r="X10925" s="23" t="str">
        <f aca="false">IF(T10925="","",IF(T10925=0,"No discount",IF(T10925&lt;=0.2,"Low (1-20%)",IF(T10925&lt;=0.4,"Medium (21-40%)","High (&gt;40%)"))))</f>
        <v/>
      </c>
      <c r="Y10925" s="23" t="str">
        <f aca="false">IF(AND(ISNUMBER(C10925),ISNUMBER(D10925)),D10925-C10925,"")</f>
        <v/>
      </c>
      <c r="Z10925" s="23" t="str">
        <f aca="false">IF(B10925="","",IF(MATCH(B10925,$B$2:$B$12000,0)=ROW()-1,1,0))</f>
        <v/>
      </c>
    </row>
    <row r="10926" customFormat="false" ht="15" hidden="false" customHeight="false" outlineLevel="0" collapsed="false">
      <c r="V10926" s="23" t="str">
        <f aca="false">IF(ISNUMBER(C10926),YEAR(C10926),"")</f>
        <v/>
      </c>
      <c r="W10926" s="23" t="str">
        <f aca="false">IF(ISNUMBER(C10926),MONTH(C10926),"")</f>
        <v/>
      </c>
      <c r="X10926" s="23" t="str">
        <f aca="false">IF(T10926="","",IF(T10926=0,"No discount",IF(T10926&lt;=0.2,"Low (1-20%)",IF(T10926&lt;=0.4,"Medium (21-40%)","High (&gt;40%)"))))</f>
        <v/>
      </c>
      <c r="Y10926" s="23" t="str">
        <f aca="false">IF(AND(ISNUMBER(C10926),ISNUMBER(D10926)),D10926-C10926,"")</f>
        <v/>
      </c>
      <c r="Z10926" s="23" t="str">
        <f aca="false">IF(B10926="","",IF(MATCH(B10926,$B$2:$B$12000,0)=ROW()-1,1,0))</f>
        <v/>
      </c>
    </row>
    <row r="10927" customFormat="false" ht="15" hidden="false" customHeight="false" outlineLevel="0" collapsed="false">
      <c r="V10927" s="23" t="str">
        <f aca="false">IF(ISNUMBER(C10927),YEAR(C10927),"")</f>
        <v/>
      </c>
      <c r="W10927" s="23" t="str">
        <f aca="false">IF(ISNUMBER(C10927),MONTH(C10927),"")</f>
        <v/>
      </c>
      <c r="X10927" s="23" t="str">
        <f aca="false">IF(T10927="","",IF(T10927=0,"No discount",IF(T10927&lt;=0.2,"Low (1-20%)",IF(T10927&lt;=0.4,"Medium (21-40%)","High (&gt;40%)"))))</f>
        <v/>
      </c>
      <c r="Y10927" s="23" t="str">
        <f aca="false">IF(AND(ISNUMBER(C10927),ISNUMBER(D10927)),D10927-C10927,"")</f>
        <v/>
      </c>
      <c r="Z10927" s="23" t="str">
        <f aca="false">IF(B10927="","",IF(MATCH(B10927,$B$2:$B$12000,0)=ROW()-1,1,0))</f>
        <v/>
      </c>
    </row>
    <row r="10928" customFormat="false" ht="15" hidden="false" customHeight="false" outlineLevel="0" collapsed="false">
      <c r="V10928" s="23" t="str">
        <f aca="false">IF(ISNUMBER(C10928),YEAR(C10928),"")</f>
        <v/>
      </c>
      <c r="W10928" s="23" t="str">
        <f aca="false">IF(ISNUMBER(C10928),MONTH(C10928),"")</f>
        <v/>
      </c>
      <c r="X10928" s="23" t="str">
        <f aca="false">IF(T10928="","",IF(T10928=0,"No discount",IF(T10928&lt;=0.2,"Low (1-20%)",IF(T10928&lt;=0.4,"Medium (21-40%)","High (&gt;40%)"))))</f>
        <v/>
      </c>
      <c r="Y10928" s="23" t="str">
        <f aca="false">IF(AND(ISNUMBER(C10928),ISNUMBER(D10928)),D10928-C10928,"")</f>
        <v/>
      </c>
      <c r="Z10928" s="23" t="str">
        <f aca="false">IF(B10928="","",IF(MATCH(B10928,$B$2:$B$12000,0)=ROW()-1,1,0))</f>
        <v/>
      </c>
    </row>
    <row r="10929" customFormat="false" ht="15" hidden="false" customHeight="false" outlineLevel="0" collapsed="false">
      <c r="V10929" s="23" t="str">
        <f aca="false">IF(ISNUMBER(C10929),YEAR(C10929),"")</f>
        <v/>
      </c>
      <c r="W10929" s="23" t="str">
        <f aca="false">IF(ISNUMBER(C10929),MONTH(C10929),"")</f>
        <v/>
      </c>
      <c r="X10929" s="23" t="str">
        <f aca="false">IF(T10929="","",IF(T10929=0,"No discount",IF(T10929&lt;=0.2,"Low (1-20%)",IF(T10929&lt;=0.4,"Medium (21-40%)","High (&gt;40%)"))))</f>
        <v/>
      </c>
      <c r="Y10929" s="23" t="str">
        <f aca="false">IF(AND(ISNUMBER(C10929),ISNUMBER(D10929)),D10929-C10929,"")</f>
        <v/>
      </c>
      <c r="Z10929" s="23" t="str">
        <f aca="false">IF(B10929="","",IF(MATCH(B10929,$B$2:$B$12000,0)=ROW()-1,1,0))</f>
        <v/>
      </c>
    </row>
    <row r="10930" customFormat="false" ht="15" hidden="false" customHeight="false" outlineLevel="0" collapsed="false">
      <c r="V10930" s="23" t="str">
        <f aca="false">IF(ISNUMBER(C10930),YEAR(C10930),"")</f>
        <v/>
      </c>
      <c r="W10930" s="23" t="str">
        <f aca="false">IF(ISNUMBER(C10930),MONTH(C10930),"")</f>
        <v/>
      </c>
      <c r="X10930" s="23" t="str">
        <f aca="false">IF(T10930="","",IF(T10930=0,"No discount",IF(T10930&lt;=0.2,"Low (1-20%)",IF(T10930&lt;=0.4,"Medium (21-40%)","High (&gt;40%)"))))</f>
        <v/>
      </c>
      <c r="Y10930" s="23" t="str">
        <f aca="false">IF(AND(ISNUMBER(C10930),ISNUMBER(D10930)),D10930-C10930,"")</f>
        <v/>
      </c>
      <c r="Z10930" s="23" t="str">
        <f aca="false">IF(B10930="","",IF(MATCH(B10930,$B$2:$B$12000,0)=ROW()-1,1,0))</f>
        <v/>
      </c>
    </row>
    <row r="10931" customFormat="false" ht="15" hidden="false" customHeight="false" outlineLevel="0" collapsed="false">
      <c r="V10931" s="23" t="str">
        <f aca="false">IF(ISNUMBER(C10931),YEAR(C10931),"")</f>
        <v/>
      </c>
      <c r="W10931" s="23" t="str">
        <f aca="false">IF(ISNUMBER(C10931),MONTH(C10931),"")</f>
        <v/>
      </c>
      <c r="X10931" s="23" t="str">
        <f aca="false">IF(T10931="","",IF(T10931=0,"No discount",IF(T10931&lt;=0.2,"Low (1-20%)",IF(T10931&lt;=0.4,"Medium (21-40%)","High (&gt;40%)"))))</f>
        <v/>
      </c>
      <c r="Y10931" s="23" t="str">
        <f aca="false">IF(AND(ISNUMBER(C10931),ISNUMBER(D10931)),D10931-C10931,"")</f>
        <v/>
      </c>
      <c r="Z10931" s="23" t="str">
        <f aca="false">IF(B10931="","",IF(MATCH(B10931,$B$2:$B$12000,0)=ROW()-1,1,0))</f>
        <v/>
      </c>
    </row>
    <row r="10932" customFormat="false" ht="15" hidden="false" customHeight="false" outlineLevel="0" collapsed="false">
      <c r="V10932" s="23" t="str">
        <f aca="false">IF(ISNUMBER(C10932),YEAR(C10932),"")</f>
        <v/>
      </c>
      <c r="W10932" s="23" t="str">
        <f aca="false">IF(ISNUMBER(C10932),MONTH(C10932),"")</f>
        <v/>
      </c>
      <c r="X10932" s="23" t="str">
        <f aca="false">IF(T10932="","",IF(T10932=0,"No discount",IF(T10932&lt;=0.2,"Low (1-20%)",IF(T10932&lt;=0.4,"Medium (21-40%)","High (&gt;40%)"))))</f>
        <v/>
      </c>
      <c r="Y10932" s="23" t="str">
        <f aca="false">IF(AND(ISNUMBER(C10932),ISNUMBER(D10932)),D10932-C10932,"")</f>
        <v/>
      </c>
      <c r="Z10932" s="23" t="str">
        <f aca="false">IF(B10932="","",IF(MATCH(B10932,$B$2:$B$12000,0)=ROW()-1,1,0))</f>
        <v/>
      </c>
    </row>
    <row r="10933" customFormat="false" ht="15" hidden="false" customHeight="false" outlineLevel="0" collapsed="false">
      <c r="V10933" s="23" t="str">
        <f aca="false">IF(ISNUMBER(C10933),YEAR(C10933),"")</f>
        <v/>
      </c>
      <c r="W10933" s="23" t="str">
        <f aca="false">IF(ISNUMBER(C10933),MONTH(C10933),"")</f>
        <v/>
      </c>
      <c r="X10933" s="23" t="str">
        <f aca="false">IF(T10933="","",IF(T10933=0,"No discount",IF(T10933&lt;=0.2,"Low (1-20%)",IF(T10933&lt;=0.4,"Medium (21-40%)","High (&gt;40%)"))))</f>
        <v/>
      </c>
      <c r="Y10933" s="23" t="str">
        <f aca="false">IF(AND(ISNUMBER(C10933),ISNUMBER(D10933)),D10933-C10933,"")</f>
        <v/>
      </c>
      <c r="Z10933" s="23" t="str">
        <f aca="false">IF(B10933="","",IF(MATCH(B10933,$B$2:$B$12000,0)=ROW()-1,1,0))</f>
        <v/>
      </c>
    </row>
    <row r="10934" customFormat="false" ht="15" hidden="false" customHeight="false" outlineLevel="0" collapsed="false">
      <c r="V10934" s="23" t="str">
        <f aca="false">IF(ISNUMBER(C10934),YEAR(C10934),"")</f>
        <v/>
      </c>
      <c r="W10934" s="23" t="str">
        <f aca="false">IF(ISNUMBER(C10934),MONTH(C10934),"")</f>
        <v/>
      </c>
      <c r="X10934" s="23" t="str">
        <f aca="false">IF(T10934="","",IF(T10934=0,"No discount",IF(T10934&lt;=0.2,"Low (1-20%)",IF(T10934&lt;=0.4,"Medium (21-40%)","High (&gt;40%)"))))</f>
        <v/>
      </c>
      <c r="Y10934" s="23" t="str">
        <f aca="false">IF(AND(ISNUMBER(C10934),ISNUMBER(D10934)),D10934-C10934,"")</f>
        <v/>
      </c>
      <c r="Z10934" s="23" t="str">
        <f aca="false">IF(B10934="","",IF(MATCH(B10934,$B$2:$B$12000,0)=ROW()-1,1,0))</f>
        <v/>
      </c>
    </row>
    <row r="10935" customFormat="false" ht="15" hidden="false" customHeight="false" outlineLevel="0" collapsed="false">
      <c r="V10935" s="23" t="str">
        <f aca="false">IF(ISNUMBER(C10935),YEAR(C10935),"")</f>
        <v/>
      </c>
      <c r="W10935" s="23" t="str">
        <f aca="false">IF(ISNUMBER(C10935),MONTH(C10935),"")</f>
        <v/>
      </c>
      <c r="X10935" s="23" t="str">
        <f aca="false">IF(T10935="","",IF(T10935=0,"No discount",IF(T10935&lt;=0.2,"Low (1-20%)",IF(T10935&lt;=0.4,"Medium (21-40%)","High (&gt;40%)"))))</f>
        <v/>
      </c>
      <c r="Y10935" s="23" t="str">
        <f aca="false">IF(AND(ISNUMBER(C10935),ISNUMBER(D10935)),D10935-C10935,"")</f>
        <v/>
      </c>
      <c r="Z10935" s="23" t="str">
        <f aca="false">IF(B10935="","",IF(MATCH(B10935,$B$2:$B$12000,0)=ROW()-1,1,0))</f>
        <v/>
      </c>
    </row>
    <row r="10936" customFormat="false" ht="15" hidden="false" customHeight="false" outlineLevel="0" collapsed="false">
      <c r="V10936" s="23" t="str">
        <f aca="false">IF(ISNUMBER(C10936),YEAR(C10936),"")</f>
        <v/>
      </c>
      <c r="W10936" s="23" t="str">
        <f aca="false">IF(ISNUMBER(C10936),MONTH(C10936),"")</f>
        <v/>
      </c>
      <c r="X10936" s="23" t="str">
        <f aca="false">IF(T10936="","",IF(T10936=0,"No discount",IF(T10936&lt;=0.2,"Low (1-20%)",IF(T10936&lt;=0.4,"Medium (21-40%)","High (&gt;40%)"))))</f>
        <v/>
      </c>
      <c r="Y10936" s="23" t="str">
        <f aca="false">IF(AND(ISNUMBER(C10936),ISNUMBER(D10936)),D10936-C10936,"")</f>
        <v/>
      </c>
      <c r="Z10936" s="23" t="str">
        <f aca="false">IF(B10936="","",IF(MATCH(B10936,$B$2:$B$12000,0)=ROW()-1,1,0))</f>
        <v/>
      </c>
    </row>
    <row r="10937" customFormat="false" ht="15" hidden="false" customHeight="false" outlineLevel="0" collapsed="false">
      <c r="V10937" s="23" t="str">
        <f aca="false">IF(ISNUMBER(C10937),YEAR(C10937),"")</f>
        <v/>
      </c>
      <c r="W10937" s="23" t="str">
        <f aca="false">IF(ISNUMBER(C10937),MONTH(C10937),"")</f>
        <v/>
      </c>
      <c r="X10937" s="23" t="str">
        <f aca="false">IF(T10937="","",IF(T10937=0,"No discount",IF(T10937&lt;=0.2,"Low (1-20%)",IF(T10937&lt;=0.4,"Medium (21-40%)","High (&gt;40%)"))))</f>
        <v/>
      </c>
      <c r="Y10937" s="23" t="str">
        <f aca="false">IF(AND(ISNUMBER(C10937),ISNUMBER(D10937)),D10937-C10937,"")</f>
        <v/>
      </c>
      <c r="Z10937" s="23" t="str">
        <f aca="false">IF(B10937="","",IF(MATCH(B10937,$B$2:$B$12000,0)=ROW()-1,1,0))</f>
        <v/>
      </c>
    </row>
    <row r="10938" customFormat="false" ht="15" hidden="false" customHeight="false" outlineLevel="0" collapsed="false">
      <c r="V10938" s="23" t="str">
        <f aca="false">IF(ISNUMBER(C10938),YEAR(C10938),"")</f>
        <v/>
      </c>
      <c r="W10938" s="23" t="str">
        <f aca="false">IF(ISNUMBER(C10938),MONTH(C10938),"")</f>
        <v/>
      </c>
      <c r="X10938" s="23" t="str">
        <f aca="false">IF(T10938="","",IF(T10938=0,"No discount",IF(T10938&lt;=0.2,"Low (1-20%)",IF(T10938&lt;=0.4,"Medium (21-40%)","High (&gt;40%)"))))</f>
        <v/>
      </c>
      <c r="Y10938" s="23" t="str">
        <f aca="false">IF(AND(ISNUMBER(C10938),ISNUMBER(D10938)),D10938-C10938,"")</f>
        <v/>
      </c>
      <c r="Z10938" s="23" t="str">
        <f aca="false">IF(B10938="","",IF(MATCH(B10938,$B$2:$B$12000,0)=ROW()-1,1,0))</f>
        <v/>
      </c>
    </row>
    <row r="10939" customFormat="false" ht="15" hidden="false" customHeight="false" outlineLevel="0" collapsed="false">
      <c r="V10939" s="23" t="str">
        <f aca="false">IF(ISNUMBER(C10939),YEAR(C10939),"")</f>
        <v/>
      </c>
      <c r="W10939" s="23" t="str">
        <f aca="false">IF(ISNUMBER(C10939),MONTH(C10939),"")</f>
        <v/>
      </c>
      <c r="X10939" s="23" t="str">
        <f aca="false">IF(T10939="","",IF(T10939=0,"No discount",IF(T10939&lt;=0.2,"Low (1-20%)",IF(T10939&lt;=0.4,"Medium (21-40%)","High (&gt;40%)"))))</f>
        <v/>
      </c>
      <c r="Y10939" s="23" t="str">
        <f aca="false">IF(AND(ISNUMBER(C10939),ISNUMBER(D10939)),D10939-C10939,"")</f>
        <v/>
      </c>
      <c r="Z10939" s="23" t="str">
        <f aca="false">IF(B10939="","",IF(MATCH(B10939,$B$2:$B$12000,0)=ROW()-1,1,0))</f>
        <v/>
      </c>
    </row>
    <row r="10940" customFormat="false" ht="15" hidden="false" customHeight="false" outlineLevel="0" collapsed="false">
      <c r="V10940" s="23" t="str">
        <f aca="false">IF(ISNUMBER(C10940),YEAR(C10940),"")</f>
        <v/>
      </c>
      <c r="W10940" s="23" t="str">
        <f aca="false">IF(ISNUMBER(C10940),MONTH(C10940),"")</f>
        <v/>
      </c>
      <c r="X10940" s="23" t="str">
        <f aca="false">IF(T10940="","",IF(T10940=0,"No discount",IF(T10940&lt;=0.2,"Low (1-20%)",IF(T10940&lt;=0.4,"Medium (21-40%)","High (&gt;40%)"))))</f>
        <v/>
      </c>
      <c r="Y10940" s="23" t="str">
        <f aca="false">IF(AND(ISNUMBER(C10940),ISNUMBER(D10940)),D10940-C10940,"")</f>
        <v/>
      </c>
      <c r="Z10940" s="23" t="str">
        <f aca="false">IF(B10940="","",IF(MATCH(B10940,$B$2:$B$12000,0)=ROW()-1,1,0))</f>
        <v/>
      </c>
    </row>
    <row r="10941" customFormat="false" ht="15" hidden="false" customHeight="false" outlineLevel="0" collapsed="false">
      <c r="V10941" s="23" t="str">
        <f aca="false">IF(ISNUMBER(C10941),YEAR(C10941),"")</f>
        <v/>
      </c>
      <c r="W10941" s="23" t="str">
        <f aca="false">IF(ISNUMBER(C10941),MONTH(C10941),"")</f>
        <v/>
      </c>
      <c r="X10941" s="23" t="str">
        <f aca="false">IF(T10941="","",IF(T10941=0,"No discount",IF(T10941&lt;=0.2,"Low (1-20%)",IF(T10941&lt;=0.4,"Medium (21-40%)","High (&gt;40%)"))))</f>
        <v/>
      </c>
      <c r="Y10941" s="23" t="str">
        <f aca="false">IF(AND(ISNUMBER(C10941),ISNUMBER(D10941)),D10941-C10941,"")</f>
        <v/>
      </c>
      <c r="Z10941" s="23" t="str">
        <f aca="false">IF(B10941="","",IF(MATCH(B10941,$B$2:$B$12000,0)=ROW()-1,1,0))</f>
        <v/>
      </c>
    </row>
    <row r="10942" customFormat="false" ht="15" hidden="false" customHeight="false" outlineLevel="0" collapsed="false">
      <c r="V10942" s="23" t="str">
        <f aca="false">IF(ISNUMBER(C10942),YEAR(C10942),"")</f>
        <v/>
      </c>
      <c r="W10942" s="23" t="str">
        <f aca="false">IF(ISNUMBER(C10942),MONTH(C10942),"")</f>
        <v/>
      </c>
      <c r="X10942" s="23" t="str">
        <f aca="false">IF(T10942="","",IF(T10942=0,"No discount",IF(T10942&lt;=0.2,"Low (1-20%)",IF(T10942&lt;=0.4,"Medium (21-40%)","High (&gt;40%)"))))</f>
        <v/>
      </c>
      <c r="Y10942" s="23" t="str">
        <f aca="false">IF(AND(ISNUMBER(C10942),ISNUMBER(D10942)),D10942-C10942,"")</f>
        <v/>
      </c>
      <c r="Z10942" s="23" t="str">
        <f aca="false">IF(B10942="","",IF(MATCH(B10942,$B$2:$B$12000,0)=ROW()-1,1,0))</f>
        <v/>
      </c>
    </row>
    <row r="10943" customFormat="false" ht="15" hidden="false" customHeight="false" outlineLevel="0" collapsed="false">
      <c r="V10943" s="23" t="str">
        <f aca="false">IF(ISNUMBER(C10943),YEAR(C10943),"")</f>
        <v/>
      </c>
      <c r="W10943" s="23" t="str">
        <f aca="false">IF(ISNUMBER(C10943),MONTH(C10943),"")</f>
        <v/>
      </c>
      <c r="X10943" s="23" t="str">
        <f aca="false">IF(T10943="","",IF(T10943=0,"No discount",IF(T10943&lt;=0.2,"Low (1-20%)",IF(T10943&lt;=0.4,"Medium (21-40%)","High (&gt;40%)"))))</f>
        <v/>
      </c>
      <c r="Y10943" s="23" t="str">
        <f aca="false">IF(AND(ISNUMBER(C10943),ISNUMBER(D10943)),D10943-C10943,"")</f>
        <v/>
      </c>
      <c r="Z10943" s="23" t="str">
        <f aca="false">IF(B10943="","",IF(MATCH(B10943,$B$2:$B$12000,0)=ROW()-1,1,0))</f>
        <v/>
      </c>
    </row>
    <row r="10944" customFormat="false" ht="15" hidden="false" customHeight="false" outlineLevel="0" collapsed="false">
      <c r="V10944" s="23" t="str">
        <f aca="false">IF(ISNUMBER(C10944),YEAR(C10944),"")</f>
        <v/>
      </c>
      <c r="W10944" s="23" t="str">
        <f aca="false">IF(ISNUMBER(C10944),MONTH(C10944),"")</f>
        <v/>
      </c>
      <c r="X10944" s="23" t="str">
        <f aca="false">IF(T10944="","",IF(T10944=0,"No discount",IF(T10944&lt;=0.2,"Low (1-20%)",IF(T10944&lt;=0.4,"Medium (21-40%)","High (&gt;40%)"))))</f>
        <v/>
      </c>
      <c r="Y10944" s="23" t="str">
        <f aca="false">IF(AND(ISNUMBER(C10944),ISNUMBER(D10944)),D10944-C10944,"")</f>
        <v/>
      </c>
      <c r="Z10944" s="23" t="str">
        <f aca="false">IF(B10944="","",IF(MATCH(B10944,$B$2:$B$12000,0)=ROW()-1,1,0))</f>
        <v/>
      </c>
    </row>
    <row r="10945" customFormat="false" ht="15" hidden="false" customHeight="false" outlineLevel="0" collapsed="false">
      <c r="V10945" s="23" t="str">
        <f aca="false">IF(ISNUMBER(C10945),YEAR(C10945),"")</f>
        <v/>
      </c>
      <c r="W10945" s="23" t="str">
        <f aca="false">IF(ISNUMBER(C10945),MONTH(C10945),"")</f>
        <v/>
      </c>
      <c r="X10945" s="23" t="str">
        <f aca="false">IF(T10945="","",IF(T10945=0,"No discount",IF(T10945&lt;=0.2,"Low (1-20%)",IF(T10945&lt;=0.4,"Medium (21-40%)","High (&gt;40%)"))))</f>
        <v/>
      </c>
      <c r="Y10945" s="23" t="str">
        <f aca="false">IF(AND(ISNUMBER(C10945),ISNUMBER(D10945)),D10945-C10945,"")</f>
        <v/>
      </c>
      <c r="Z10945" s="23" t="str">
        <f aca="false">IF(B10945="","",IF(MATCH(B10945,$B$2:$B$12000,0)=ROW()-1,1,0))</f>
        <v/>
      </c>
    </row>
    <row r="10946" customFormat="false" ht="15" hidden="false" customHeight="false" outlineLevel="0" collapsed="false">
      <c r="V10946" s="23" t="str">
        <f aca="false">IF(ISNUMBER(C10946),YEAR(C10946),"")</f>
        <v/>
      </c>
      <c r="W10946" s="23" t="str">
        <f aca="false">IF(ISNUMBER(C10946),MONTH(C10946),"")</f>
        <v/>
      </c>
      <c r="X10946" s="23" t="str">
        <f aca="false">IF(T10946="","",IF(T10946=0,"No discount",IF(T10946&lt;=0.2,"Low (1-20%)",IF(T10946&lt;=0.4,"Medium (21-40%)","High (&gt;40%)"))))</f>
        <v/>
      </c>
      <c r="Y10946" s="23" t="str">
        <f aca="false">IF(AND(ISNUMBER(C10946),ISNUMBER(D10946)),D10946-C10946,"")</f>
        <v/>
      </c>
      <c r="Z10946" s="23" t="str">
        <f aca="false">IF(B10946="","",IF(MATCH(B10946,$B$2:$B$12000,0)=ROW()-1,1,0))</f>
        <v/>
      </c>
    </row>
    <row r="10947" customFormat="false" ht="15" hidden="false" customHeight="false" outlineLevel="0" collapsed="false">
      <c r="V10947" s="23" t="str">
        <f aca="false">IF(ISNUMBER(C10947),YEAR(C10947),"")</f>
        <v/>
      </c>
      <c r="W10947" s="23" t="str">
        <f aca="false">IF(ISNUMBER(C10947),MONTH(C10947),"")</f>
        <v/>
      </c>
      <c r="X10947" s="23" t="str">
        <f aca="false">IF(T10947="","",IF(T10947=0,"No discount",IF(T10947&lt;=0.2,"Low (1-20%)",IF(T10947&lt;=0.4,"Medium (21-40%)","High (&gt;40%)"))))</f>
        <v/>
      </c>
      <c r="Y10947" s="23" t="str">
        <f aca="false">IF(AND(ISNUMBER(C10947),ISNUMBER(D10947)),D10947-C10947,"")</f>
        <v/>
      </c>
      <c r="Z10947" s="23" t="str">
        <f aca="false">IF(B10947="","",IF(MATCH(B10947,$B$2:$B$12000,0)=ROW()-1,1,0))</f>
        <v/>
      </c>
    </row>
    <row r="10948" customFormat="false" ht="15" hidden="false" customHeight="false" outlineLevel="0" collapsed="false">
      <c r="V10948" s="23" t="str">
        <f aca="false">IF(ISNUMBER(C10948),YEAR(C10948),"")</f>
        <v/>
      </c>
      <c r="W10948" s="23" t="str">
        <f aca="false">IF(ISNUMBER(C10948),MONTH(C10948),"")</f>
        <v/>
      </c>
      <c r="X10948" s="23" t="str">
        <f aca="false">IF(T10948="","",IF(T10948=0,"No discount",IF(T10948&lt;=0.2,"Low (1-20%)",IF(T10948&lt;=0.4,"Medium (21-40%)","High (&gt;40%)"))))</f>
        <v/>
      </c>
      <c r="Y10948" s="23" t="str">
        <f aca="false">IF(AND(ISNUMBER(C10948),ISNUMBER(D10948)),D10948-C10948,"")</f>
        <v/>
      </c>
      <c r="Z10948" s="23" t="str">
        <f aca="false">IF(B10948="","",IF(MATCH(B10948,$B$2:$B$12000,0)=ROW()-1,1,0))</f>
        <v/>
      </c>
    </row>
    <row r="10949" customFormat="false" ht="15" hidden="false" customHeight="false" outlineLevel="0" collapsed="false">
      <c r="V10949" s="23" t="str">
        <f aca="false">IF(ISNUMBER(C10949),YEAR(C10949),"")</f>
        <v/>
      </c>
      <c r="W10949" s="23" t="str">
        <f aca="false">IF(ISNUMBER(C10949),MONTH(C10949),"")</f>
        <v/>
      </c>
      <c r="X10949" s="23" t="str">
        <f aca="false">IF(T10949="","",IF(T10949=0,"No discount",IF(T10949&lt;=0.2,"Low (1-20%)",IF(T10949&lt;=0.4,"Medium (21-40%)","High (&gt;40%)"))))</f>
        <v/>
      </c>
      <c r="Y10949" s="23" t="str">
        <f aca="false">IF(AND(ISNUMBER(C10949),ISNUMBER(D10949)),D10949-C10949,"")</f>
        <v/>
      </c>
      <c r="Z10949" s="23" t="str">
        <f aca="false">IF(B10949="","",IF(MATCH(B10949,$B$2:$B$12000,0)=ROW()-1,1,0))</f>
        <v/>
      </c>
    </row>
    <row r="10950" customFormat="false" ht="15" hidden="false" customHeight="false" outlineLevel="0" collapsed="false">
      <c r="V10950" s="23" t="str">
        <f aca="false">IF(ISNUMBER(C10950),YEAR(C10950),"")</f>
        <v/>
      </c>
      <c r="W10950" s="23" t="str">
        <f aca="false">IF(ISNUMBER(C10950),MONTH(C10950),"")</f>
        <v/>
      </c>
      <c r="X10950" s="23" t="str">
        <f aca="false">IF(T10950="","",IF(T10950=0,"No discount",IF(T10950&lt;=0.2,"Low (1-20%)",IF(T10950&lt;=0.4,"Medium (21-40%)","High (&gt;40%)"))))</f>
        <v/>
      </c>
      <c r="Y10950" s="23" t="str">
        <f aca="false">IF(AND(ISNUMBER(C10950),ISNUMBER(D10950)),D10950-C10950,"")</f>
        <v/>
      </c>
      <c r="Z10950" s="23" t="str">
        <f aca="false">IF(B10950="","",IF(MATCH(B10950,$B$2:$B$12000,0)=ROW()-1,1,0))</f>
        <v/>
      </c>
    </row>
    <row r="10951" customFormat="false" ht="15" hidden="false" customHeight="false" outlineLevel="0" collapsed="false">
      <c r="V10951" s="23" t="str">
        <f aca="false">IF(ISNUMBER(C10951),YEAR(C10951),"")</f>
        <v/>
      </c>
      <c r="W10951" s="23" t="str">
        <f aca="false">IF(ISNUMBER(C10951),MONTH(C10951),"")</f>
        <v/>
      </c>
      <c r="X10951" s="23" t="str">
        <f aca="false">IF(T10951="","",IF(T10951=0,"No discount",IF(T10951&lt;=0.2,"Low (1-20%)",IF(T10951&lt;=0.4,"Medium (21-40%)","High (&gt;40%)"))))</f>
        <v/>
      </c>
      <c r="Y10951" s="23" t="str">
        <f aca="false">IF(AND(ISNUMBER(C10951),ISNUMBER(D10951)),D10951-C10951,"")</f>
        <v/>
      </c>
      <c r="Z10951" s="23" t="str">
        <f aca="false">IF(B10951="","",IF(MATCH(B10951,$B$2:$B$12000,0)=ROW()-1,1,0))</f>
        <v/>
      </c>
    </row>
    <row r="10952" customFormat="false" ht="15" hidden="false" customHeight="false" outlineLevel="0" collapsed="false">
      <c r="V10952" s="23" t="str">
        <f aca="false">IF(ISNUMBER(C10952),YEAR(C10952),"")</f>
        <v/>
      </c>
      <c r="W10952" s="23" t="str">
        <f aca="false">IF(ISNUMBER(C10952),MONTH(C10952),"")</f>
        <v/>
      </c>
      <c r="X10952" s="23" t="str">
        <f aca="false">IF(T10952="","",IF(T10952=0,"No discount",IF(T10952&lt;=0.2,"Low (1-20%)",IF(T10952&lt;=0.4,"Medium (21-40%)","High (&gt;40%)"))))</f>
        <v/>
      </c>
      <c r="Y10952" s="23" t="str">
        <f aca="false">IF(AND(ISNUMBER(C10952),ISNUMBER(D10952)),D10952-C10952,"")</f>
        <v/>
      </c>
      <c r="Z10952" s="23" t="str">
        <f aca="false">IF(B10952="","",IF(MATCH(B10952,$B$2:$B$12000,0)=ROW()-1,1,0))</f>
        <v/>
      </c>
    </row>
    <row r="10953" customFormat="false" ht="15" hidden="false" customHeight="false" outlineLevel="0" collapsed="false">
      <c r="V10953" s="23" t="str">
        <f aca="false">IF(ISNUMBER(C10953),YEAR(C10953),"")</f>
        <v/>
      </c>
      <c r="W10953" s="23" t="str">
        <f aca="false">IF(ISNUMBER(C10953),MONTH(C10953),"")</f>
        <v/>
      </c>
      <c r="X10953" s="23" t="str">
        <f aca="false">IF(T10953="","",IF(T10953=0,"No discount",IF(T10953&lt;=0.2,"Low (1-20%)",IF(T10953&lt;=0.4,"Medium (21-40%)","High (&gt;40%)"))))</f>
        <v/>
      </c>
      <c r="Y10953" s="23" t="str">
        <f aca="false">IF(AND(ISNUMBER(C10953),ISNUMBER(D10953)),D10953-C10953,"")</f>
        <v/>
      </c>
      <c r="Z10953" s="23" t="str">
        <f aca="false">IF(B10953="","",IF(MATCH(B10953,$B$2:$B$12000,0)=ROW()-1,1,0))</f>
        <v/>
      </c>
    </row>
    <row r="10954" customFormat="false" ht="15" hidden="false" customHeight="false" outlineLevel="0" collapsed="false">
      <c r="V10954" s="23" t="str">
        <f aca="false">IF(ISNUMBER(C10954),YEAR(C10954),"")</f>
        <v/>
      </c>
      <c r="W10954" s="23" t="str">
        <f aca="false">IF(ISNUMBER(C10954),MONTH(C10954),"")</f>
        <v/>
      </c>
      <c r="X10954" s="23" t="str">
        <f aca="false">IF(T10954="","",IF(T10954=0,"No discount",IF(T10954&lt;=0.2,"Low (1-20%)",IF(T10954&lt;=0.4,"Medium (21-40%)","High (&gt;40%)"))))</f>
        <v/>
      </c>
      <c r="Y10954" s="23" t="str">
        <f aca="false">IF(AND(ISNUMBER(C10954),ISNUMBER(D10954)),D10954-C10954,"")</f>
        <v/>
      </c>
      <c r="Z10954" s="23" t="str">
        <f aca="false">IF(B10954="","",IF(MATCH(B10954,$B$2:$B$12000,0)=ROW()-1,1,0))</f>
        <v/>
      </c>
    </row>
    <row r="10955" customFormat="false" ht="15" hidden="false" customHeight="false" outlineLevel="0" collapsed="false">
      <c r="V10955" s="23" t="str">
        <f aca="false">IF(ISNUMBER(C10955),YEAR(C10955),"")</f>
        <v/>
      </c>
      <c r="W10955" s="23" t="str">
        <f aca="false">IF(ISNUMBER(C10955),MONTH(C10955),"")</f>
        <v/>
      </c>
      <c r="X10955" s="23" t="str">
        <f aca="false">IF(T10955="","",IF(T10955=0,"No discount",IF(T10955&lt;=0.2,"Low (1-20%)",IF(T10955&lt;=0.4,"Medium (21-40%)","High (&gt;40%)"))))</f>
        <v/>
      </c>
      <c r="Y10955" s="23" t="str">
        <f aca="false">IF(AND(ISNUMBER(C10955),ISNUMBER(D10955)),D10955-C10955,"")</f>
        <v/>
      </c>
      <c r="Z10955" s="23" t="str">
        <f aca="false">IF(B10955="","",IF(MATCH(B10955,$B$2:$B$12000,0)=ROW()-1,1,0))</f>
        <v/>
      </c>
    </row>
    <row r="10956" customFormat="false" ht="15" hidden="false" customHeight="false" outlineLevel="0" collapsed="false">
      <c r="V10956" s="23" t="str">
        <f aca="false">IF(ISNUMBER(C10956),YEAR(C10956),"")</f>
        <v/>
      </c>
      <c r="W10956" s="23" t="str">
        <f aca="false">IF(ISNUMBER(C10956),MONTH(C10956),"")</f>
        <v/>
      </c>
      <c r="X10956" s="23" t="str">
        <f aca="false">IF(T10956="","",IF(T10956=0,"No discount",IF(T10956&lt;=0.2,"Low (1-20%)",IF(T10956&lt;=0.4,"Medium (21-40%)","High (&gt;40%)"))))</f>
        <v/>
      </c>
      <c r="Y10956" s="23" t="str">
        <f aca="false">IF(AND(ISNUMBER(C10956),ISNUMBER(D10956)),D10956-C10956,"")</f>
        <v/>
      </c>
      <c r="Z10956" s="23" t="str">
        <f aca="false">IF(B10956="","",IF(MATCH(B10956,$B$2:$B$12000,0)=ROW()-1,1,0))</f>
        <v/>
      </c>
    </row>
    <row r="10957" customFormat="false" ht="15" hidden="false" customHeight="false" outlineLevel="0" collapsed="false">
      <c r="V10957" s="23" t="str">
        <f aca="false">IF(ISNUMBER(C10957),YEAR(C10957),"")</f>
        <v/>
      </c>
      <c r="W10957" s="23" t="str">
        <f aca="false">IF(ISNUMBER(C10957),MONTH(C10957),"")</f>
        <v/>
      </c>
      <c r="X10957" s="23" t="str">
        <f aca="false">IF(T10957="","",IF(T10957=0,"No discount",IF(T10957&lt;=0.2,"Low (1-20%)",IF(T10957&lt;=0.4,"Medium (21-40%)","High (&gt;40%)"))))</f>
        <v/>
      </c>
      <c r="Y10957" s="23" t="str">
        <f aca="false">IF(AND(ISNUMBER(C10957),ISNUMBER(D10957)),D10957-C10957,"")</f>
        <v/>
      </c>
      <c r="Z10957" s="23" t="str">
        <f aca="false">IF(B10957="","",IF(MATCH(B10957,$B$2:$B$12000,0)=ROW()-1,1,0))</f>
        <v/>
      </c>
    </row>
    <row r="10958" customFormat="false" ht="15" hidden="false" customHeight="false" outlineLevel="0" collapsed="false">
      <c r="V10958" s="23" t="str">
        <f aca="false">IF(ISNUMBER(C10958),YEAR(C10958),"")</f>
        <v/>
      </c>
      <c r="W10958" s="23" t="str">
        <f aca="false">IF(ISNUMBER(C10958),MONTH(C10958),"")</f>
        <v/>
      </c>
      <c r="X10958" s="23" t="str">
        <f aca="false">IF(T10958="","",IF(T10958=0,"No discount",IF(T10958&lt;=0.2,"Low (1-20%)",IF(T10958&lt;=0.4,"Medium (21-40%)","High (&gt;40%)"))))</f>
        <v/>
      </c>
      <c r="Y10958" s="23" t="str">
        <f aca="false">IF(AND(ISNUMBER(C10958),ISNUMBER(D10958)),D10958-C10958,"")</f>
        <v/>
      </c>
      <c r="Z10958" s="23" t="str">
        <f aca="false">IF(B10958="","",IF(MATCH(B10958,$B$2:$B$12000,0)=ROW()-1,1,0))</f>
        <v/>
      </c>
    </row>
    <row r="10959" customFormat="false" ht="15" hidden="false" customHeight="false" outlineLevel="0" collapsed="false">
      <c r="V10959" s="23" t="str">
        <f aca="false">IF(ISNUMBER(C10959),YEAR(C10959),"")</f>
        <v/>
      </c>
      <c r="W10959" s="23" t="str">
        <f aca="false">IF(ISNUMBER(C10959),MONTH(C10959),"")</f>
        <v/>
      </c>
      <c r="X10959" s="23" t="str">
        <f aca="false">IF(T10959="","",IF(T10959=0,"No discount",IF(T10959&lt;=0.2,"Low (1-20%)",IF(T10959&lt;=0.4,"Medium (21-40%)","High (&gt;40%)"))))</f>
        <v/>
      </c>
      <c r="Y10959" s="23" t="str">
        <f aca="false">IF(AND(ISNUMBER(C10959),ISNUMBER(D10959)),D10959-C10959,"")</f>
        <v/>
      </c>
      <c r="Z10959" s="23" t="str">
        <f aca="false">IF(B10959="","",IF(MATCH(B10959,$B$2:$B$12000,0)=ROW()-1,1,0))</f>
        <v/>
      </c>
    </row>
    <row r="10960" customFormat="false" ht="15" hidden="false" customHeight="false" outlineLevel="0" collapsed="false">
      <c r="V10960" s="23" t="str">
        <f aca="false">IF(ISNUMBER(C10960),YEAR(C10960),"")</f>
        <v/>
      </c>
      <c r="W10960" s="23" t="str">
        <f aca="false">IF(ISNUMBER(C10960),MONTH(C10960),"")</f>
        <v/>
      </c>
      <c r="X10960" s="23" t="str">
        <f aca="false">IF(T10960="","",IF(T10960=0,"No discount",IF(T10960&lt;=0.2,"Low (1-20%)",IF(T10960&lt;=0.4,"Medium (21-40%)","High (&gt;40%)"))))</f>
        <v/>
      </c>
      <c r="Y10960" s="23" t="str">
        <f aca="false">IF(AND(ISNUMBER(C10960),ISNUMBER(D10960)),D10960-C10960,"")</f>
        <v/>
      </c>
      <c r="Z10960" s="23" t="str">
        <f aca="false">IF(B10960="","",IF(MATCH(B10960,$B$2:$B$12000,0)=ROW()-1,1,0))</f>
        <v/>
      </c>
    </row>
    <row r="10961" customFormat="false" ht="15" hidden="false" customHeight="false" outlineLevel="0" collapsed="false">
      <c r="V10961" s="23" t="str">
        <f aca="false">IF(ISNUMBER(C10961),YEAR(C10961),"")</f>
        <v/>
      </c>
      <c r="W10961" s="23" t="str">
        <f aca="false">IF(ISNUMBER(C10961),MONTH(C10961),"")</f>
        <v/>
      </c>
      <c r="X10961" s="23" t="str">
        <f aca="false">IF(T10961="","",IF(T10961=0,"No discount",IF(T10961&lt;=0.2,"Low (1-20%)",IF(T10961&lt;=0.4,"Medium (21-40%)","High (&gt;40%)"))))</f>
        <v/>
      </c>
      <c r="Y10961" s="23" t="str">
        <f aca="false">IF(AND(ISNUMBER(C10961),ISNUMBER(D10961)),D10961-C10961,"")</f>
        <v/>
      </c>
      <c r="Z10961" s="23" t="str">
        <f aca="false">IF(B10961="","",IF(MATCH(B10961,$B$2:$B$12000,0)=ROW()-1,1,0))</f>
        <v/>
      </c>
    </row>
    <row r="10962" customFormat="false" ht="15" hidden="false" customHeight="false" outlineLevel="0" collapsed="false">
      <c r="V10962" s="23" t="str">
        <f aca="false">IF(ISNUMBER(C10962),YEAR(C10962),"")</f>
        <v/>
      </c>
      <c r="W10962" s="23" t="str">
        <f aca="false">IF(ISNUMBER(C10962),MONTH(C10962),"")</f>
        <v/>
      </c>
      <c r="X10962" s="23" t="str">
        <f aca="false">IF(T10962="","",IF(T10962=0,"No discount",IF(T10962&lt;=0.2,"Low (1-20%)",IF(T10962&lt;=0.4,"Medium (21-40%)","High (&gt;40%)"))))</f>
        <v/>
      </c>
      <c r="Y10962" s="23" t="str">
        <f aca="false">IF(AND(ISNUMBER(C10962),ISNUMBER(D10962)),D10962-C10962,"")</f>
        <v/>
      </c>
      <c r="Z10962" s="23" t="str">
        <f aca="false">IF(B10962="","",IF(MATCH(B10962,$B$2:$B$12000,0)=ROW()-1,1,0))</f>
        <v/>
      </c>
    </row>
    <row r="10963" customFormat="false" ht="15" hidden="false" customHeight="false" outlineLevel="0" collapsed="false">
      <c r="V10963" s="23" t="str">
        <f aca="false">IF(ISNUMBER(C10963),YEAR(C10963),"")</f>
        <v/>
      </c>
      <c r="W10963" s="23" t="str">
        <f aca="false">IF(ISNUMBER(C10963),MONTH(C10963),"")</f>
        <v/>
      </c>
      <c r="X10963" s="23" t="str">
        <f aca="false">IF(T10963="","",IF(T10963=0,"No discount",IF(T10963&lt;=0.2,"Low (1-20%)",IF(T10963&lt;=0.4,"Medium (21-40%)","High (&gt;40%)"))))</f>
        <v/>
      </c>
      <c r="Y10963" s="23" t="str">
        <f aca="false">IF(AND(ISNUMBER(C10963),ISNUMBER(D10963)),D10963-C10963,"")</f>
        <v/>
      </c>
      <c r="Z10963" s="23" t="str">
        <f aca="false">IF(B10963="","",IF(MATCH(B10963,$B$2:$B$12000,0)=ROW()-1,1,0))</f>
        <v/>
      </c>
    </row>
    <row r="10964" customFormat="false" ht="15" hidden="false" customHeight="false" outlineLevel="0" collapsed="false">
      <c r="V10964" s="23" t="str">
        <f aca="false">IF(ISNUMBER(C10964),YEAR(C10964),"")</f>
        <v/>
      </c>
      <c r="W10964" s="23" t="str">
        <f aca="false">IF(ISNUMBER(C10964),MONTH(C10964),"")</f>
        <v/>
      </c>
      <c r="X10964" s="23" t="str">
        <f aca="false">IF(T10964="","",IF(T10964=0,"No discount",IF(T10964&lt;=0.2,"Low (1-20%)",IF(T10964&lt;=0.4,"Medium (21-40%)","High (&gt;40%)"))))</f>
        <v/>
      </c>
      <c r="Y10964" s="23" t="str">
        <f aca="false">IF(AND(ISNUMBER(C10964),ISNUMBER(D10964)),D10964-C10964,"")</f>
        <v/>
      </c>
      <c r="Z10964" s="23" t="str">
        <f aca="false">IF(B10964="","",IF(MATCH(B10964,$B$2:$B$12000,0)=ROW()-1,1,0))</f>
        <v/>
      </c>
    </row>
    <row r="10965" customFormat="false" ht="15" hidden="false" customHeight="false" outlineLevel="0" collapsed="false">
      <c r="V10965" s="23" t="str">
        <f aca="false">IF(ISNUMBER(C10965),YEAR(C10965),"")</f>
        <v/>
      </c>
      <c r="W10965" s="23" t="str">
        <f aca="false">IF(ISNUMBER(C10965),MONTH(C10965),"")</f>
        <v/>
      </c>
      <c r="X10965" s="23" t="str">
        <f aca="false">IF(T10965="","",IF(T10965=0,"No discount",IF(T10965&lt;=0.2,"Low (1-20%)",IF(T10965&lt;=0.4,"Medium (21-40%)","High (&gt;40%)"))))</f>
        <v/>
      </c>
      <c r="Y10965" s="23" t="str">
        <f aca="false">IF(AND(ISNUMBER(C10965),ISNUMBER(D10965)),D10965-C10965,"")</f>
        <v/>
      </c>
      <c r="Z10965" s="23" t="str">
        <f aca="false">IF(B10965="","",IF(MATCH(B10965,$B$2:$B$12000,0)=ROW()-1,1,0))</f>
        <v/>
      </c>
    </row>
    <row r="10966" customFormat="false" ht="15" hidden="false" customHeight="false" outlineLevel="0" collapsed="false">
      <c r="V10966" s="23" t="str">
        <f aca="false">IF(ISNUMBER(C10966),YEAR(C10966),"")</f>
        <v/>
      </c>
      <c r="W10966" s="23" t="str">
        <f aca="false">IF(ISNUMBER(C10966),MONTH(C10966),"")</f>
        <v/>
      </c>
      <c r="X10966" s="23" t="str">
        <f aca="false">IF(T10966="","",IF(T10966=0,"No discount",IF(T10966&lt;=0.2,"Low (1-20%)",IF(T10966&lt;=0.4,"Medium (21-40%)","High (&gt;40%)"))))</f>
        <v/>
      </c>
      <c r="Y10966" s="23" t="str">
        <f aca="false">IF(AND(ISNUMBER(C10966),ISNUMBER(D10966)),D10966-C10966,"")</f>
        <v/>
      </c>
      <c r="Z10966" s="23" t="str">
        <f aca="false">IF(B10966="","",IF(MATCH(B10966,$B$2:$B$12000,0)=ROW()-1,1,0))</f>
        <v/>
      </c>
    </row>
    <row r="10967" customFormat="false" ht="15" hidden="false" customHeight="false" outlineLevel="0" collapsed="false">
      <c r="V10967" s="23" t="str">
        <f aca="false">IF(ISNUMBER(C10967),YEAR(C10967),"")</f>
        <v/>
      </c>
      <c r="W10967" s="23" t="str">
        <f aca="false">IF(ISNUMBER(C10967),MONTH(C10967),"")</f>
        <v/>
      </c>
      <c r="X10967" s="23" t="str">
        <f aca="false">IF(T10967="","",IF(T10967=0,"No discount",IF(T10967&lt;=0.2,"Low (1-20%)",IF(T10967&lt;=0.4,"Medium (21-40%)","High (&gt;40%)"))))</f>
        <v/>
      </c>
      <c r="Y10967" s="23" t="str">
        <f aca="false">IF(AND(ISNUMBER(C10967),ISNUMBER(D10967)),D10967-C10967,"")</f>
        <v/>
      </c>
      <c r="Z10967" s="23" t="str">
        <f aca="false">IF(B10967="","",IF(MATCH(B10967,$B$2:$B$12000,0)=ROW()-1,1,0))</f>
        <v/>
      </c>
    </row>
    <row r="10968" customFormat="false" ht="15" hidden="false" customHeight="false" outlineLevel="0" collapsed="false">
      <c r="V10968" s="23" t="str">
        <f aca="false">IF(ISNUMBER(C10968),YEAR(C10968),"")</f>
        <v/>
      </c>
      <c r="W10968" s="23" t="str">
        <f aca="false">IF(ISNUMBER(C10968),MONTH(C10968),"")</f>
        <v/>
      </c>
      <c r="X10968" s="23" t="str">
        <f aca="false">IF(T10968="","",IF(T10968=0,"No discount",IF(T10968&lt;=0.2,"Low (1-20%)",IF(T10968&lt;=0.4,"Medium (21-40%)","High (&gt;40%)"))))</f>
        <v/>
      </c>
      <c r="Y10968" s="23" t="str">
        <f aca="false">IF(AND(ISNUMBER(C10968),ISNUMBER(D10968)),D10968-C10968,"")</f>
        <v/>
      </c>
      <c r="Z10968" s="23" t="str">
        <f aca="false">IF(B10968="","",IF(MATCH(B10968,$B$2:$B$12000,0)=ROW()-1,1,0))</f>
        <v/>
      </c>
    </row>
    <row r="10969" customFormat="false" ht="15" hidden="false" customHeight="false" outlineLevel="0" collapsed="false">
      <c r="V10969" s="23" t="str">
        <f aca="false">IF(ISNUMBER(C10969),YEAR(C10969),"")</f>
        <v/>
      </c>
      <c r="W10969" s="23" t="str">
        <f aca="false">IF(ISNUMBER(C10969),MONTH(C10969),"")</f>
        <v/>
      </c>
      <c r="X10969" s="23" t="str">
        <f aca="false">IF(T10969="","",IF(T10969=0,"No discount",IF(T10969&lt;=0.2,"Low (1-20%)",IF(T10969&lt;=0.4,"Medium (21-40%)","High (&gt;40%)"))))</f>
        <v/>
      </c>
      <c r="Y10969" s="23" t="str">
        <f aca="false">IF(AND(ISNUMBER(C10969),ISNUMBER(D10969)),D10969-C10969,"")</f>
        <v/>
      </c>
      <c r="Z10969" s="23" t="str">
        <f aca="false">IF(B10969="","",IF(MATCH(B10969,$B$2:$B$12000,0)=ROW()-1,1,0))</f>
        <v/>
      </c>
    </row>
    <row r="10970" customFormat="false" ht="15" hidden="false" customHeight="false" outlineLevel="0" collapsed="false">
      <c r="V10970" s="23" t="str">
        <f aca="false">IF(ISNUMBER(C10970),YEAR(C10970),"")</f>
        <v/>
      </c>
      <c r="W10970" s="23" t="str">
        <f aca="false">IF(ISNUMBER(C10970),MONTH(C10970),"")</f>
        <v/>
      </c>
      <c r="X10970" s="23" t="str">
        <f aca="false">IF(T10970="","",IF(T10970=0,"No discount",IF(T10970&lt;=0.2,"Low (1-20%)",IF(T10970&lt;=0.4,"Medium (21-40%)","High (&gt;40%)"))))</f>
        <v/>
      </c>
      <c r="Y10970" s="23" t="str">
        <f aca="false">IF(AND(ISNUMBER(C10970),ISNUMBER(D10970)),D10970-C10970,"")</f>
        <v/>
      </c>
      <c r="Z10970" s="23" t="str">
        <f aca="false">IF(B10970="","",IF(MATCH(B10970,$B$2:$B$12000,0)=ROW()-1,1,0))</f>
        <v/>
      </c>
    </row>
    <row r="10971" customFormat="false" ht="15" hidden="false" customHeight="false" outlineLevel="0" collapsed="false">
      <c r="V10971" s="23" t="str">
        <f aca="false">IF(ISNUMBER(C10971),YEAR(C10971),"")</f>
        <v/>
      </c>
      <c r="W10971" s="23" t="str">
        <f aca="false">IF(ISNUMBER(C10971),MONTH(C10971),"")</f>
        <v/>
      </c>
      <c r="X10971" s="23" t="str">
        <f aca="false">IF(T10971="","",IF(T10971=0,"No discount",IF(T10971&lt;=0.2,"Low (1-20%)",IF(T10971&lt;=0.4,"Medium (21-40%)","High (&gt;40%)"))))</f>
        <v/>
      </c>
      <c r="Y10971" s="23" t="str">
        <f aca="false">IF(AND(ISNUMBER(C10971),ISNUMBER(D10971)),D10971-C10971,"")</f>
        <v/>
      </c>
      <c r="Z10971" s="23" t="str">
        <f aca="false">IF(B10971="","",IF(MATCH(B10971,$B$2:$B$12000,0)=ROW()-1,1,0))</f>
        <v/>
      </c>
    </row>
    <row r="10972" customFormat="false" ht="15" hidden="false" customHeight="false" outlineLevel="0" collapsed="false">
      <c r="V10972" s="23" t="str">
        <f aca="false">IF(ISNUMBER(C10972),YEAR(C10972),"")</f>
        <v/>
      </c>
      <c r="W10972" s="23" t="str">
        <f aca="false">IF(ISNUMBER(C10972),MONTH(C10972),"")</f>
        <v/>
      </c>
      <c r="X10972" s="23" t="str">
        <f aca="false">IF(T10972="","",IF(T10972=0,"No discount",IF(T10972&lt;=0.2,"Low (1-20%)",IF(T10972&lt;=0.4,"Medium (21-40%)","High (&gt;40%)"))))</f>
        <v/>
      </c>
      <c r="Y10972" s="23" t="str">
        <f aca="false">IF(AND(ISNUMBER(C10972),ISNUMBER(D10972)),D10972-C10972,"")</f>
        <v/>
      </c>
      <c r="Z10972" s="23" t="str">
        <f aca="false">IF(B10972="","",IF(MATCH(B10972,$B$2:$B$12000,0)=ROW()-1,1,0))</f>
        <v/>
      </c>
    </row>
    <row r="10973" customFormat="false" ht="15" hidden="false" customHeight="false" outlineLevel="0" collapsed="false">
      <c r="V10973" s="23" t="str">
        <f aca="false">IF(ISNUMBER(C10973),YEAR(C10973),"")</f>
        <v/>
      </c>
      <c r="W10973" s="23" t="str">
        <f aca="false">IF(ISNUMBER(C10973),MONTH(C10973),"")</f>
        <v/>
      </c>
      <c r="X10973" s="23" t="str">
        <f aca="false">IF(T10973="","",IF(T10973=0,"No discount",IF(T10973&lt;=0.2,"Low (1-20%)",IF(T10973&lt;=0.4,"Medium (21-40%)","High (&gt;40%)"))))</f>
        <v/>
      </c>
      <c r="Y10973" s="23" t="str">
        <f aca="false">IF(AND(ISNUMBER(C10973),ISNUMBER(D10973)),D10973-C10973,"")</f>
        <v/>
      </c>
      <c r="Z10973" s="23" t="str">
        <f aca="false">IF(B10973="","",IF(MATCH(B10973,$B$2:$B$12000,0)=ROW()-1,1,0))</f>
        <v/>
      </c>
    </row>
    <row r="10974" customFormat="false" ht="15" hidden="false" customHeight="false" outlineLevel="0" collapsed="false">
      <c r="V10974" s="23" t="str">
        <f aca="false">IF(ISNUMBER(C10974),YEAR(C10974),"")</f>
        <v/>
      </c>
      <c r="W10974" s="23" t="str">
        <f aca="false">IF(ISNUMBER(C10974),MONTH(C10974),"")</f>
        <v/>
      </c>
      <c r="X10974" s="23" t="str">
        <f aca="false">IF(T10974="","",IF(T10974=0,"No discount",IF(T10974&lt;=0.2,"Low (1-20%)",IF(T10974&lt;=0.4,"Medium (21-40%)","High (&gt;40%)"))))</f>
        <v/>
      </c>
      <c r="Y10974" s="23" t="str">
        <f aca="false">IF(AND(ISNUMBER(C10974),ISNUMBER(D10974)),D10974-C10974,"")</f>
        <v/>
      </c>
      <c r="Z10974" s="23" t="str">
        <f aca="false">IF(B10974="","",IF(MATCH(B10974,$B$2:$B$12000,0)=ROW()-1,1,0))</f>
        <v/>
      </c>
    </row>
    <row r="10975" customFormat="false" ht="15" hidden="false" customHeight="false" outlineLevel="0" collapsed="false">
      <c r="V10975" s="23" t="str">
        <f aca="false">IF(ISNUMBER(C10975),YEAR(C10975),"")</f>
        <v/>
      </c>
      <c r="W10975" s="23" t="str">
        <f aca="false">IF(ISNUMBER(C10975),MONTH(C10975),"")</f>
        <v/>
      </c>
      <c r="X10975" s="23" t="str">
        <f aca="false">IF(T10975="","",IF(T10975=0,"No discount",IF(T10975&lt;=0.2,"Low (1-20%)",IF(T10975&lt;=0.4,"Medium (21-40%)","High (&gt;40%)"))))</f>
        <v/>
      </c>
      <c r="Y10975" s="23" t="str">
        <f aca="false">IF(AND(ISNUMBER(C10975),ISNUMBER(D10975)),D10975-C10975,"")</f>
        <v/>
      </c>
      <c r="Z10975" s="23" t="str">
        <f aca="false">IF(B10975="","",IF(MATCH(B10975,$B$2:$B$12000,0)=ROW()-1,1,0))</f>
        <v/>
      </c>
    </row>
    <row r="10976" customFormat="false" ht="15" hidden="false" customHeight="false" outlineLevel="0" collapsed="false">
      <c r="V10976" s="23" t="str">
        <f aca="false">IF(ISNUMBER(C10976),YEAR(C10976),"")</f>
        <v/>
      </c>
      <c r="W10976" s="23" t="str">
        <f aca="false">IF(ISNUMBER(C10976),MONTH(C10976),"")</f>
        <v/>
      </c>
      <c r="X10976" s="23" t="str">
        <f aca="false">IF(T10976="","",IF(T10976=0,"No discount",IF(T10976&lt;=0.2,"Low (1-20%)",IF(T10976&lt;=0.4,"Medium (21-40%)","High (&gt;40%)"))))</f>
        <v/>
      </c>
      <c r="Y10976" s="23" t="str">
        <f aca="false">IF(AND(ISNUMBER(C10976),ISNUMBER(D10976)),D10976-C10976,"")</f>
        <v/>
      </c>
      <c r="Z10976" s="23" t="str">
        <f aca="false">IF(B10976="","",IF(MATCH(B10976,$B$2:$B$12000,0)=ROW()-1,1,0))</f>
        <v/>
      </c>
    </row>
    <row r="10977" customFormat="false" ht="15" hidden="false" customHeight="false" outlineLevel="0" collapsed="false">
      <c r="V10977" s="23" t="str">
        <f aca="false">IF(ISNUMBER(C10977),YEAR(C10977),"")</f>
        <v/>
      </c>
      <c r="W10977" s="23" t="str">
        <f aca="false">IF(ISNUMBER(C10977),MONTH(C10977),"")</f>
        <v/>
      </c>
      <c r="X10977" s="23" t="str">
        <f aca="false">IF(T10977="","",IF(T10977=0,"No discount",IF(T10977&lt;=0.2,"Low (1-20%)",IF(T10977&lt;=0.4,"Medium (21-40%)","High (&gt;40%)"))))</f>
        <v/>
      </c>
      <c r="Y10977" s="23" t="str">
        <f aca="false">IF(AND(ISNUMBER(C10977),ISNUMBER(D10977)),D10977-C10977,"")</f>
        <v/>
      </c>
      <c r="Z10977" s="23" t="str">
        <f aca="false">IF(B10977="","",IF(MATCH(B10977,$B$2:$B$12000,0)=ROW()-1,1,0))</f>
        <v/>
      </c>
    </row>
    <row r="10978" customFormat="false" ht="15" hidden="false" customHeight="false" outlineLevel="0" collapsed="false">
      <c r="V10978" s="23" t="str">
        <f aca="false">IF(ISNUMBER(C10978),YEAR(C10978),"")</f>
        <v/>
      </c>
      <c r="W10978" s="23" t="str">
        <f aca="false">IF(ISNUMBER(C10978),MONTH(C10978),"")</f>
        <v/>
      </c>
      <c r="X10978" s="23" t="str">
        <f aca="false">IF(T10978="","",IF(T10978=0,"No discount",IF(T10978&lt;=0.2,"Low (1-20%)",IF(T10978&lt;=0.4,"Medium (21-40%)","High (&gt;40%)"))))</f>
        <v/>
      </c>
      <c r="Y10978" s="23" t="str">
        <f aca="false">IF(AND(ISNUMBER(C10978),ISNUMBER(D10978)),D10978-C10978,"")</f>
        <v/>
      </c>
      <c r="Z10978" s="23" t="str">
        <f aca="false">IF(B10978="","",IF(MATCH(B10978,$B$2:$B$12000,0)=ROW()-1,1,0))</f>
        <v/>
      </c>
    </row>
    <row r="10979" customFormat="false" ht="15" hidden="false" customHeight="false" outlineLevel="0" collapsed="false">
      <c r="V10979" s="23" t="str">
        <f aca="false">IF(ISNUMBER(C10979),YEAR(C10979),"")</f>
        <v/>
      </c>
      <c r="W10979" s="23" t="str">
        <f aca="false">IF(ISNUMBER(C10979),MONTH(C10979),"")</f>
        <v/>
      </c>
      <c r="X10979" s="23" t="str">
        <f aca="false">IF(T10979="","",IF(T10979=0,"No discount",IF(T10979&lt;=0.2,"Low (1-20%)",IF(T10979&lt;=0.4,"Medium (21-40%)","High (&gt;40%)"))))</f>
        <v/>
      </c>
      <c r="Y10979" s="23" t="str">
        <f aca="false">IF(AND(ISNUMBER(C10979),ISNUMBER(D10979)),D10979-C10979,"")</f>
        <v/>
      </c>
      <c r="Z10979" s="23" t="str">
        <f aca="false">IF(B10979="","",IF(MATCH(B10979,$B$2:$B$12000,0)=ROW()-1,1,0))</f>
        <v/>
      </c>
    </row>
    <row r="10980" customFormat="false" ht="15" hidden="false" customHeight="false" outlineLevel="0" collapsed="false">
      <c r="V10980" s="23" t="str">
        <f aca="false">IF(ISNUMBER(C10980),YEAR(C10980),"")</f>
        <v/>
      </c>
      <c r="W10980" s="23" t="str">
        <f aca="false">IF(ISNUMBER(C10980),MONTH(C10980),"")</f>
        <v/>
      </c>
      <c r="X10980" s="23" t="str">
        <f aca="false">IF(T10980="","",IF(T10980=0,"No discount",IF(T10980&lt;=0.2,"Low (1-20%)",IF(T10980&lt;=0.4,"Medium (21-40%)","High (&gt;40%)"))))</f>
        <v/>
      </c>
      <c r="Y10980" s="23" t="str">
        <f aca="false">IF(AND(ISNUMBER(C10980),ISNUMBER(D10980)),D10980-C10980,"")</f>
        <v/>
      </c>
      <c r="Z10980" s="23" t="str">
        <f aca="false">IF(B10980="","",IF(MATCH(B10980,$B$2:$B$12000,0)=ROW()-1,1,0))</f>
        <v/>
      </c>
    </row>
    <row r="10981" customFormat="false" ht="15" hidden="false" customHeight="false" outlineLevel="0" collapsed="false">
      <c r="V10981" s="23" t="str">
        <f aca="false">IF(ISNUMBER(C10981),YEAR(C10981),"")</f>
        <v/>
      </c>
      <c r="W10981" s="23" t="str">
        <f aca="false">IF(ISNUMBER(C10981),MONTH(C10981),"")</f>
        <v/>
      </c>
      <c r="X10981" s="23" t="str">
        <f aca="false">IF(T10981="","",IF(T10981=0,"No discount",IF(T10981&lt;=0.2,"Low (1-20%)",IF(T10981&lt;=0.4,"Medium (21-40%)","High (&gt;40%)"))))</f>
        <v/>
      </c>
      <c r="Y10981" s="23" t="str">
        <f aca="false">IF(AND(ISNUMBER(C10981),ISNUMBER(D10981)),D10981-C10981,"")</f>
        <v/>
      </c>
      <c r="Z10981" s="23" t="str">
        <f aca="false">IF(B10981="","",IF(MATCH(B10981,$B$2:$B$12000,0)=ROW()-1,1,0))</f>
        <v/>
      </c>
    </row>
    <row r="10982" customFormat="false" ht="15" hidden="false" customHeight="false" outlineLevel="0" collapsed="false">
      <c r="V10982" s="23" t="str">
        <f aca="false">IF(ISNUMBER(C10982),YEAR(C10982),"")</f>
        <v/>
      </c>
      <c r="W10982" s="23" t="str">
        <f aca="false">IF(ISNUMBER(C10982),MONTH(C10982),"")</f>
        <v/>
      </c>
      <c r="X10982" s="23" t="str">
        <f aca="false">IF(T10982="","",IF(T10982=0,"No discount",IF(T10982&lt;=0.2,"Low (1-20%)",IF(T10982&lt;=0.4,"Medium (21-40%)","High (&gt;40%)"))))</f>
        <v/>
      </c>
      <c r="Y10982" s="23" t="str">
        <f aca="false">IF(AND(ISNUMBER(C10982),ISNUMBER(D10982)),D10982-C10982,"")</f>
        <v/>
      </c>
      <c r="Z10982" s="23" t="str">
        <f aca="false">IF(B10982="","",IF(MATCH(B10982,$B$2:$B$12000,0)=ROW()-1,1,0))</f>
        <v/>
      </c>
    </row>
    <row r="10983" customFormat="false" ht="15" hidden="false" customHeight="false" outlineLevel="0" collapsed="false">
      <c r="V10983" s="23" t="str">
        <f aca="false">IF(ISNUMBER(C10983),YEAR(C10983),"")</f>
        <v/>
      </c>
      <c r="W10983" s="23" t="str">
        <f aca="false">IF(ISNUMBER(C10983),MONTH(C10983),"")</f>
        <v/>
      </c>
      <c r="X10983" s="23" t="str">
        <f aca="false">IF(T10983="","",IF(T10983=0,"No discount",IF(T10983&lt;=0.2,"Low (1-20%)",IF(T10983&lt;=0.4,"Medium (21-40%)","High (&gt;40%)"))))</f>
        <v/>
      </c>
      <c r="Y10983" s="23" t="str">
        <f aca="false">IF(AND(ISNUMBER(C10983),ISNUMBER(D10983)),D10983-C10983,"")</f>
        <v/>
      </c>
      <c r="Z10983" s="23" t="str">
        <f aca="false">IF(B10983="","",IF(MATCH(B10983,$B$2:$B$12000,0)=ROW()-1,1,0))</f>
        <v/>
      </c>
    </row>
    <row r="10984" customFormat="false" ht="15" hidden="false" customHeight="false" outlineLevel="0" collapsed="false">
      <c r="V10984" s="23" t="str">
        <f aca="false">IF(ISNUMBER(C10984),YEAR(C10984),"")</f>
        <v/>
      </c>
      <c r="W10984" s="23" t="str">
        <f aca="false">IF(ISNUMBER(C10984),MONTH(C10984),"")</f>
        <v/>
      </c>
      <c r="X10984" s="23" t="str">
        <f aca="false">IF(T10984="","",IF(T10984=0,"No discount",IF(T10984&lt;=0.2,"Low (1-20%)",IF(T10984&lt;=0.4,"Medium (21-40%)","High (&gt;40%)"))))</f>
        <v/>
      </c>
      <c r="Y10984" s="23" t="str">
        <f aca="false">IF(AND(ISNUMBER(C10984),ISNUMBER(D10984)),D10984-C10984,"")</f>
        <v/>
      </c>
      <c r="Z10984" s="23" t="str">
        <f aca="false">IF(B10984="","",IF(MATCH(B10984,$B$2:$B$12000,0)=ROW()-1,1,0))</f>
        <v/>
      </c>
    </row>
    <row r="10985" customFormat="false" ht="15" hidden="false" customHeight="false" outlineLevel="0" collapsed="false">
      <c r="V10985" s="23" t="str">
        <f aca="false">IF(ISNUMBER(C10985),YEAR(C10985),"")</f>
        <v/>
      </c>
      <c r="W10985" s="23" t="str">
        <f aca="false">IF(ISNUMBER(C10985),MONTH(C10985),"")</f>
        <v/>
      </c>
      <c r="X10985" s="23" t="str">
        <f aca="false">IF(T10985="","",IF(T10985=0,"No discount",IF(T10985&lt;=0.2,"Low (1-20%)",IF(T10985&lt;=0.4,"Medium (21-40%)","High (&gt;40%)"))))</f>
        <v/>
      </c>
      <c r="Y10985" s="23" t="str">
        <f aca="false">IF(AND(ISNUMBER(C10985),ISNUMBER(D10985)),D10985-C10985,"")</f>
        <v/>
      </c>
      <c r="Z10985" s="23" t="str">
        <f aca="false">IF(B10985="","",IF(MATCH(B10985,$B$2:$B$12000,0)=ROW()-1,1,0))</f>
        <v/>
      </c>
    </row>
    <row r="10986" customFormat="false" ht="15" hidden="false" customHeight="false" outlineLevel="0" collapsed="false">
      <c r="V10986" s="23" t="str">
        <f aca="false">IF(ISNUMBER(C10986),YEAR(C10986),"")</f>
        <v/>
      </c>
      <c r="W10986" s="23" t="str">
        <f aca="false">IF(ISNUMBER(C10986),MONTH(C10986),"")</f>
        <v/>
      </c>
      <c r="X10986" s="23" t="str">
        <f aca="false">IF(T10986="","",IF(T10986=0,"No discount",IF(T10986&lt;=0.2,"Low (1-20%)",IF(T10986&lt;=0.4,"Medium (21-40%)","High (&gt;40%)"))))</f>
        <v/>
      </c>
      <c r="Y10986" s="23" t="str">
        <f aca="false">IF(AND(ISNUMBER(C10986),ISNUMBER(D10986)),D10986-C10986,"")</f>
        <v/>
      </c>
      <c r="Z10986" s="23" t="str">
        <f aca="false">IF(B10986="","",IF(MATCH(B10986,$B$2:$B$12000,0)=ROW()-1,1,0))</f>
        <v/>
      </c>
    </row>
    <row r="10987" customFormat="false" ht="15" hidden="false" customHeight="false" outlineLevel="0" collapsed="false">
      <c r="V10987" s="23" t="str">
        <f aca="false">IF(ISNUMBER(C10987),YEAR(C10987),"")</f>
        <v/>
      </c>
      <c r="W10987" s="23" t="str">
        <f aca="false">IF(ISNUMBER(C10987),MONTH(C10987),"")</f>
        <v/>
      </c>
      <c r="X10987" s="23" t="str">
        <f aca="false">IF(T10987="","",IF(T10987=0,"No discount",IF(T10987&lt;=0.2,"Low (1-20%)",IF(T10987&lt;=0.4,"Medium (21-40%)","High (&gt;40%)"))))</f>
        <v/>
      </c>
      <c r="Y10987" s="23" t="str">
        <f aca="false">IF(AND(ISNUMBER(C10987),ISNUMBER(D10987)),D10987-C10987,"")</f>
        <v/>
      </c>
      <c r="Z10987" s="23" t="str">
        <f aca="false">IF(B10987="","",IF(MATCH(B10987,$B$2:$B$12000,0)=ROW()-1,1,0))</f>
        <v/>
      </c>
    </row>
    <row r="10988" customFormat="false" ht="15" hidden="false" customHeight="false" outlineLevel="0" collapsed="false">
      <c r="V10988" s="23" t="str">
        <f aca="false">IF(ISNUMBER(C10988),YEAR(C10988),"")</f>
        <v/>
      </c>
      <c r="W10988" s="23" t="str">
        <f aca="false">IF(ISNUMBER(C10988),MONTH(C10988),"")</f>
        <v/>
      </c>
      <c r="X10988" s="23" t="str">
        <f aca="false">IF(T10988="","",IF(T10988=0,"No discount",IF(T10988&lt;=0.2,"Low (1-20%)",IF(T10988&lt;=0.4,"Medium (21-40%)","High (&gt;40%)"))))</f>
        <v/>
      </c>
      <c r="Y10988" s="23" t="str">
        <f aca="false">IF(AND(ISNUMBER(C10988),ISNUMBER(D10988)),D10988-C10988,"")</f>
        <v/>
      </c>
      <c r="Z10988" s="23" t="str">
        <f aca="false">IF(B10988="","",IF(MATCH(B10988,$B$2:$B$12000,0)=ROW()-1,1,0))</f>
        <v/>
      </c>
    </row>
    <row r="10989" customFormat="false" ht="15" hidden="false" customHeight="false" outlineLevel="0" collapsed="false">
      <c r="V10989" s="23" t="str">
        <f aca="false">IF(ISNUMBER(C10989),YEAR(C10989),"")</f>
        <v/>
      </c>
      <c r="W10989" s="23" t="str">
        <f aca="false">IF(ISNUMBER(C10989),MONTH(C10989),"")</f>
        <v/>
      </c>
      <c r="X10989" s="23" t="str">
        <f aca="false">IF(T10989="","",IF(T10989=0,"No discount",IF(T10989&lt;=0.2,"Low (1-20%)",IF(T10989&lt;=0.4,"Medium (21-40%)","High (&gt;40%)"))))</f>
        <v/>
      </c>
      <c r="Y10989" s="23" t="str">
        <f aca="false">IF(AND(ISNUMBER(C10989),ISNUMBER(D10989)),D10989-C10989,"")</f>
        <v/>
      </c>
      <c r="Z10989" s="23" t="str">
        <f aca="false">IF(B10989="","",IF(MATCH(B10989,$B$2:$B$12000,0)=ROW()-1,1,0))</f>
        <v/>
      </c>
    </row>
    <row r="10990" customFormat="false" ht="15" hidden="false" customHeight="false" outlineLevel="0" collapsed="false">
      <c r="V10990" s="23" t="str">
        <f aca="false">IF(ISNUMBER(C10990),YEAR(C10990),"")</f>
        <v/>
      </c>
      <c r="W10990" s="23" t="str">
        <f aca="false">IF(ISNUMBER(C10990),MONTH(C10990),"")</f>
        <v/>
      </c>
      <c r="X10990" s="23" t="str">
        <f aca="false">IF(T10990="","",IF(T10990=0,"No discount",IF(T10990&lt;=0.2,"Low (1-20%)",IF(T10990&lt;=0.4,"Medium (21-40%)","High (&gt;40%)"))))</f>
        <v/>
      </c>
      <c r="Y10990" s="23" t="str">
        <f aca="false">IF(AND(ISNUMBER(C10990),ISNUMBER(D10990)),D10990-C10990,"")</f>
        <v/>
      </c>
      <c r="Z10990" s="23" t="str">
        <f aca="false">IF(B10990="","",IF(MATCH(B10990,$B$2:$B$12000,0)=ROW()-1,1,0))</f>
        <v/>
      </c>
    </row>
    <row r="10991" customFormat="false" ht="15" hidden="false" customHeight="false" outlineLevel="0" collapsed="false">
      <c r="V10991" s="23" t="str">
        <f aca="false">IF(ISNUMBER(C10991),YEAR(C10991),"")</f>
        <v/>
      </c>
      <c r="W10991" s="23" t="str">
        <f aca="false">IF(ISNUMBER(C10991),MONTH(C10991),"")</f>
        <v/>
      </c>
      <c r="X10991" s="23" t="str">
        <f aca="false">IF(T10991="","",IF(T10991=0,"No discount",IF(T10991&lt;=0.2,"Low (1-20%)",IF(T10991&lt;=0.4,"Medium (21-40%)","High (&gt;40%)"))))</f>
        <v/>
      </c>
      <c r="Y10991" s="23" t="str">
        <f aca="false">IF(AND(ISNUMBER(C10991),ISNUMBER(D10991)),D10991-C10991,"")</f>
        <v/>
      </c>
      <c r="Z10991" s="23" t="str">
        <f aca="false">IF(B10991="","",IF(MATCH(B10991,$B$2:$B$12000,0)=ROW()-1,1,0))</f>
        <v/>
      </c>
    </row>
    <row r="10992" customFormat="false" ht="15" hidden="false" customHeight="false" outlineLevel="0" collapsed="false">
      <c r="V10992" s="23" t="str">
        <f aca="false">IF(ISNUMBER(C10992),YEAR(C10992),"")</f>
        <v/>
      </c>
      <c r="W10992" s="23" t="str">
        <f aca="false">IF(ISNUMBER(C10992),MONTH(C10992),"")</f>
        <v/>
      </c>
      <c r="X10992" s="23" t="str">
        <f aca="false">IF(T10992="","",IF(T10992=0,"No discount",IF(T10992&lt;=0.2,"Low (1-20%)",IF(T10992&lt;=0.4,"Medium (21-40%)","High (&gt;40%)"))))</f>
        <v/>
      </c>
      <c r="Y10992" s="23" t="str">
        <f aca="false">IF(AND(ISNUMBER(C10992),ISNUMBER(D10992)),D10992-C10992,"")</f>
        <v/>
      </c>
      <c r="Z10992" s="23" t="str">
        <f aca="false">IF(B10992="","",IF(MATCH(B10992,$B$2:$B$12000,0)=ROW()-1,1,0))</f>
        <v/>
      </c>
    </row>
    <row r="10993" customFormat="false" ht="15" hidden="false" customHeight="false" outlineLevel="0" collapsed="false">
      <c r="V10993" s="23" t="str">
        <f aca="false">IF(ISNUMBER(C10993),YEAR(C10993),"")</f>
        <v/>
      </c>
      <c r="W10993" s="23" t="str">
        <f aca="false">IF(ISNUMBER(C10993),MONTH(C10993),"")</f>
        <v/>
      </c>
      <c r="X10993" s="23" t="str">
        <f aca="false">IF(T10993="","",IF(T10993=0,"No discount",IF(T10993&lt;=0.2,"Low (1-20%)",IF(T10993&lt;=0.4,"Medium (21-40%)","High (&gt;40%)"))))</f>
        <v/>
      </c>
      <c r="Y10993" s="23" t="str">
        <f aca="false">IF(AND(ISNUMBER(C10993),ISNUMBER(D10993)),D10993-C10993,"")</f>
        <v/>
      </c>
      <c r="Z10993" s="23" t="str">
        <f aca="false">IF(B10993="","",IF(MATCH(B10993,$B$2:$B$12000,0)=ROW()-1,1,0))</f>
        <v/>
      </c>
    </row>
    <row r="10994" customFormat="false" ht="15" hidden="false" customHeight="false" outlineLevel="0" collapsed="false">
      <c r="V10994" s="23" t="str">
        <f aca="false">IF(ISNUMBER(C10994),YEAR(C10994),"")</f>
        <v/>
      </c>
      <c r="W10994" s="23" t="str">
        <f aca="false">IF(ISNUMBER(C10994),MONTH(C10994),"")</f>
        <v/>
      </c>
      <c r="X10994" s="23" t="str">
        <f aca="false">IF(T10994="","",IF(T10994=0,"No discount",IF(T10994&lt;=0.2,"Low (1-20%)",IF(T10994&lt;=0.4,"Medium (21-40%)","High (&gt;40%)"))))</f>
        <v/>
      </c>
      <c r="Y10994" s="23" t="str">
        <f aca="false">IF(AND(ISNUMBER(C10994),ISNUMBER(D10994)),D10994-C10994,"")</f>
        <v/>
      </c>
      <c r="Z10994" s="23" t="str">
        <f aca="false">IF(B10994="","",IF(MATCH(B10994,$B$2:$B$12000,0)=ROW()-1,1,0))</f>
        <v/>
      </c>
    </row>
    <row r="10995" customFormat="false" ht="15" hidden="false" customHeight="false" outlineLevel="0" collapsed="false">
      <c r="V10995" s="23" t="str">
        <f aca="false">IF(ISNUMBER(C10995),YEAR(C10995),"")</f>
        <v/>
      </c>
      <c r="W10995" s="23" t="str">
        <f aca="false">IF(ISNUMBER(C10995),MONTH(C10995),"")</f>
        <v/>
      </c>
      <c r="X10995" s="23" t="str">
        <f aca="false">IF(T10995="","",IF(T10995=0,"No discount",IF(T10995&lt;=0.2,"Low (1-20%)",IF(T10995&lt;=0.4,"Medium (21-40%)","High (&gt;40%)"))))</f>
        <v/>
      </c>
      <c r="Y10995" s="23" t="str">
        <f aca="false">IF(AND(ISNUMBER(C10995),ISNUMBER(D10995)),D10995-C10995,"")</f>
        <v/>
      </c>
      <c r="Z10995" s="23" t="str">
        <f aca="false">IF(B10995="","",IF(MATCH(B10995,$B$2:$B$12000,0)=ROW()-1,1,0))</f>
        <v/>
      </c>
    </row>
    <row r="10996" customFormat="false" ht="15" hidden="false" customHeight="false" outlineLevel="0" collapsed="false">
      <c r="V10996" s="23" t="str">
        <f aca="false">IF(ISNUMBER(C10996),YEAR(C10996),"")</f>
        <v/>
      </c>
      <c r="W10996" s="23" t="str">
        <f aca="false">IF(ISNUMBER(C10996),MONTH(C10996),"")</f>
        <v/>
      </c>
      <c r="X10996" s="23" t="str">
        <f aca="false">IF(T10996="","",IF(T10996=0,"No discount",IF(T10996&lt;=0.2,"Low (1-20%)",IF(T10996&lt;=0.4,"Medium (21-40%)","High (&gt;40%)"))))</f>
        <v/>
      </c>
      <c r="Y10996" s="23" t="str">
        <f aca="false">IF(AND(ISNUMBER(C10996),ISNUMBER(D10996)),D10996-C10996,"")</f>
        <v/>
      </c>
      <c r="Z10996" s="23" t="str">
        <f aca="false">IF(B10996="","",IF(MATCH(B10996,$B$2:$B$12000,0)=ROW()-1,1,0))</f>
        <v/>
      </c>
    </row>
    <row r="10997" customFormat="false" ht="15" hidden="false" customHeight="false" outlineLevel="0" collapsed="false">
      <c r="V10997" s="23" t="str">
        <f aca="false">IF(ISNUMBER(C10997),YEAR(C10997),"")</f>
        <v/>
      </c>
      <c r="W10997" s="23" t="str">
        <f aca="false">IF(ISNUMBER(C10997),MONTH(C10997),"")</f>
        <v/>
      </c>
      <c r="X10997" s="23" t="str">
        <f aca="false">IF(T10997="","",IF(T10997=0,"No discount",IF(T10997&lt;=0.2,"Low (1-20%)",IF(T10997&lt;=0.4,"Medium (21-40%)","High (&gt;40%)"))))</f>
        <v/>
      </c>
      <c r="Y10997" s="23" t="str">
        <f aca="false">IF(AND(ISNUMBER(C10997),ISNUMBER(D10997)),D10997-C10997,"")</f>
        <v/>
      </c>
      <c r="Z10997" s="23" t="str">
        <f aca="false">IF(B10997="","",IF(MATCH(B10997,$B$2:$B$12000,0)=ROW()-1,1,0))</f>
        <v/>
      </c>
    </row>
    <row r="10998" customFormat="false" ht="15" hidden="false" customHeight="false" outlineLevel="0" collapsed="false">
      <c r="V10998" s="23" t="str">
        <f aca="false">IF(ISNUMBER(C10998),YEAR(C10998),"")</f>
        <v/>
      </c>
      <c r="W10998" s="23" t="str">
        <f aca="false">IF(ISNUMBER(C10998),MONTH(C10998),"")</f>
        <v/>
      </c>
      <c r="X10998" s="23" t="str">
        <f aca="false">IF(T10998="","",IF(T10998=0,"No discount",IF(T10998&lt;=0.2,"Low (1-20%)",IF(T10998&lt;=0.4,"Medium (21-40%)","High (&gt;40%)"))))</f>
        <v/>
      </c>
      <c r="Y10998" s="23" t="str">
        <f aca="false">IF(AND(ISNUMBER(C10998),ISNUMBER(D10998)),D10998-C10998,"")</f>
        <v/>
      </c>
      <c r="Z10998" s="23" t="str">
        <f aca="false">IF(B10998="","",IF(MATCH(B10998,$B$2:$B$12000,0)=ROW()-1,1,0))</f>
        <v/>
      </c>
    </row>
    <row r="10999" customFormat="false" ht="15" hidden="false" customHeight="false" outlineLevel="0" collapsed="false">
      <c r="V10999" s="23" t="str">
        <f aca="false">IF(ISNUMBER(C10999),YEAR(C10999),"")</f>
        <v/>
      </c>
      <c r="W10999" s="23" t="str">
        <f aca="false">IF(ISNUMBER(C10999),MONTH(C10999),"")</f>
        <v/>
      </c>
      <c r="X10999" s="23" t="str">
        <f aca="false">IF(T10999="","",IF(T10999=0,"No discount",IF(T10999&lt;=0.2,"Low (1-20%)",IF(T10999&lt;=0.4,"Medium (21-40%)","High (&gt;40%)"))))</f>
        <v/>
      </c>
      <c r="Y10999" s="23" t="str">
        <f aca="false">IF(AND(ISNUMBER(C10999),ISNUMBER(D10999)),D10999-C10999,"")</f>
        <v/>
      </c>
      <c r="Z10999" s="23" t="str">
        <f aca="false">IF(B10999="","",IF(MATCH(B10999,$B$2:$B$12000,0)=ROW()-1,1,0))</f>
        <v/>
      </c>
    </row>
    <row r="11000" customFormat="false" ht="15" hidden="false" customHeight="false" outlineLevel="0" collapsed="false">
      <c r="V11000" s="23" t="str">
        <f aca="false">IF(ISNUMBER(C11000),YEAR(C11000),"")</f>
        <v/>
      </c>
      <c r="W11000" s="23" t="str">
        <f aca="false">IF(ISNUMBER(C11000),MONTH(C11000),"")</f>
        <v/>
      </c>
      <c r="X11000" s="23" t="str">
        <f aca="false">IF(T11000="","",IF(T11000=0,"No discount",IF(T11000&lt;=0.2,"Low (1-20%)",IF(T11000&lt;=0.4,"Medium (21-40%)","High (&gt;40%)"))))</f>
        <v/>
      </c>
      <c r="Y11000" s="23" t="str">
        <f aca="false">IF(AND(ISNUMBER(C11000),ISNUMBER(D11000)),D11000-C11000,"")</f>
        <v/>
      </c>
      <c r="Z11000" s="23" t="str">
        <f aca="false">IF(B11000="","",IF(MATCH(B11000,$B$2:$B$12000,0)=ROW()-1,1,0))</f>
        <v/>
      </c>
    </row>
    <row r="11001" customFormat="false" ht="15" hidden="false" customHeight="false" outlineLevel="0" collapsed="false">
      <c r="V11001" s="23" t="str">
        <f aca="false">IF(ISNUMBER(C11001),YEAR(C11001),"")</f>
        <v/>
      </c>
      <c r="W11001" s="23" t="str">
        <f aca="false">IF(ISNUMBER(C11001),MONTH(C11001),"")</f>
        <v/>
      </c>
      <c r="X11001" s="23" t="str">
        <f aca="false">IF(T11001="","",IF(T11001=0,"No discount",IF(T11001&lt;=0.2,"Low (1-20%)",IF(T11001&lt;=0.4,"Medium (21-40%)","High (&gt;40%)"))))</f>
        <v/>
      </c>
      <c r="Y11001" s="23" t="str">
        <f aca="false">IF(AND(ISNUMBER(C11001),ISNUMBER(D11001)),D11001-C11001,"")</f>
        <v/>
      </c>
      <c r="Z11001" s="23" t="str">
        <f aca="false">IF(B11001="","",IF(MATCH(B11001,$B$2:$B$12000,0)=ROW()-1,1,0))</f>
        <v/>
      </c>
    </row>
    <row r="11002" customFormat="false" ht="15" hidden="false" customHeight="false" outlineLevel="0" collapsed="false">
      <c r="V11002" s="23" t="str">
        <f aca="false">IF(ISNUMBER(C11002),YEAR(C11002),"")</f>
        <v/>
      </c>
      <c r="W11002" s="23" t="str">
        <f aca="false">IF(ISNUMBER(C11002),MONTH(C11002),"")</f>
        <v/>
      </c>
      <c r="X11002" s="23" t="str">
        <f aca="false">IF(T11002="","",IF(T11002=0,"No discount",IF(T11002&lt;=0.2,"Low (1-20%)",IF(T11002&lt;=0.4,"Medium (21-40%)","High (&gt;40%)"))))</f>
        <v/>
      </c>
      <c r="Y11002" s="23" t="str">
        <f aca="false">IF(AND(ISNUMBER(C11002),ISNUMBER(D11002)),D11002-C11002,"")</f>
        <v/>
      </c>
      <c r="Z11002" s="23" t="str">
        <f aca="false">IF(B11002="","",IF(MATCH(B11002,$B$2:$B$12000,0)=ROW()-1,1,0))</f>
        <v/>
      </c>
    </row>
    <row r="11003" customFormat="false" ht="15" hidden="false" customHeight="false" outlineLevel="0" collapsed="false">
      <c r="V11003" s="23" t="str">
        <f aca="false">IF(ISNUMBER(C11003),YEAR(C11003),"")</f>
        <v/>
      </c>
      <c r="W11003" s="23" t="str">
        <f aca="false">IF(ISNUMBER(C11003),MONTH(C11003),"")</f>
        <v/>
      </c>
      <c r="X11003" s="23" t="str">
        <f aca="false">IF(T11003="","",IF(T11003=0,"No discount",IF(T11003&lt;=0.2,"Low (1-20%)",IF(T11003&lt;=0.4,"Medium (21-40%)","High (&gt;40%)"))))</f>
        <v/>
      </c>
      <c r="Y11003" s="23" t="str">
        <f aca="false">IF(AND(ISNUMBER(C11003),ISNUMBER(D11003)),D11003-C11003,"")</f>
        <v/>
      </c>
      <c r="Z11003" s="23" t="str">
        <f aca="false">IF(B11003="","",IF(MATCH(B11003,$B$2:$B$12000,0)=ROW()-1,1,0))</f>
        <v/>
      </c>
    </row>
    <row r="11004" customFormat="false" ht="15" hidden="false" customHeight="false" outlineLevel="0" collapsed="false">
      <c r="V11004" s="23" t="str">
        <f aca="false">IF(ISNUMBER(C11004),YEAR(C11004),"")</f>
        <v/>
      </c>
      <c r="W11004" s="23" t="str">
        <f aca="false">IF(ISNUMBER(C11004),MONTH(C11004),"")</f>
        <v/>
      </c>
      <c r="X11004" s="23" t="str">
        <f aca="false">IF(T11004="","",IF(T11004=0,"No discount",IF(T11004&lt;=0.2,"Low (1-20%)",IF(T11004&lt;=0.4,"Medium (21-40%)","High (&gt;40%)"))))</f>
        <v/>
      </c>
      <c r="Y11004" s="23" t="str">
        <f aca="false">IF(AND(ISNUMBER(C11004),ISNUMBER(D11004)),D11004-C11004,"")</f>
        <v/>
      </c>
      <c r="Z11004" s="23" t="str">
        <f aca="false">IF(B11004="","",IF(MATCH(B11004,$B$2:$B$12000,0)=ROW()-1,1,0))</f>
        <v/>
      </c>
    </row>
    <row r="11005" customFormat="false" ht="15" hidden="false" customHeight="false" outlineLevel="0" collapsed="false">
      <c r="V11005" s="23" t="str">
        <f aca="false">IF(ISNUMBER(C11005),YEAR(C11005),"")</f>
        <v/>
      </c>
      <c r="W11005" s="23" t="str">
        <f aca="false">IF(ISNUMBER(C11005),MONTH(C11005),"")</f>
        <v/>
      </c>
      <c r="X11005" s="23" t="str">
        <f aca="false">IF(T11005="","",IF(T11005=0,"No discount",IF(T11005&lt;=0.2,"Low (1-20%)",IF(T11005&lt;=0.4,"Medium (21-40%)","High (&gt;40%)"))))</f>
        <v/>
      </c>
      <c r="Y11005" s="23" t="str">
        <f aca="false">IF(AND(ISNUMBER(C11005),ISNUMBER(D11005)),D11005-C11005,"")</f>
        <v/>
      </c>
      <c r="Z11005" s="23" t="str">
        <f aca="false">IF(B11005="","",IF(MATCH(B11005,$B$2:$B$12000,0)=ROW()-1,1,0))</f>
        <v/>
      </c>
    </row>
    <row r="11006" customFormat="false" ht="15" hidden="false" customHeight="false" outlineLevel="0" collapsed="false">
      <c r="V11006" s="23" t="str">
        <f aca="false">IF(ISNUMBER(C11006),YEAR(C11006),"")</f>
        <v/>
      </c>
      <c r="W11006" s="23" t="str">
        <f aca="false">IF(ISNUMBER(C11006),MONTH(C11006),"")</f>
        <v/>
      </c>
      <c r="X11006" s="23" t="str">
        <f aca="false">IF(T11006="","",IF(T11006=0,"No discount",IF(T11006&lt;=0.2,"Low (1-20%)",IF(T11006&lt;=0.4,"Medium (21-40%)","High (&gt;40%)"))))</f>
        <v/>
      </c>
      <c r="Y11006" s="23" t="str">
        <f aca="false">IF(AND(ISNUMBER(C11006),ISNUMBER(D11006)),D11006-C11006,"")</f>
        <v/>
      </c>
      <c r="Z11006" s="23" t="str">
        <f aca="false">IF(B11006="","",IF(MATCH(B11006,$B$2:$B$12000,0)=ROW()-1,1,0))</f>
        <v/>
      </c>
    </row>
    <row r="11007" customFormat="false" ht="15" hidden="false" customHeight="false" outlineLevel="0" collapsed="false">
      <c r="V11007" s="23" t="str">
        <f aca="false">IF(ISNUMBER(C11007),YEAR(C11007),"")</f>
        <v/>
      </c>
      <c r="W11007" s="23" t="str">
        <f aca="false">IF(ISNUMBER(C11007),MONTH(C11007),"")</f>
        <v/>
      </c>
      <c r="X11007" s="23" t="str">
        <f aca="false">IF(T11007="","",IF(T11007=0,"No discount",IF(T11007&lt;=0.2,"Low (1-20%)",IF(T11007&lt;=0.4,"Medium (21-40%)","High (&gt;40%)"))))</f>
        <v/>
      </c>
      <c r="Y11007" s="23" t="str">
        <f aca="false">IF(AND(ISNUMBER(C11007),ISNUMBER(D11007)),D11007-C11007,"")</f>
        <v/>
      </c>
      <c r="Z11007" s="23" t="str">
        <f aca="false">IF(B11007="","",IF(MATCH(B11007,$B$2:$B$12000,0)=ROW()-1,1,0))</f>
        <v/>
      </c>
    </row>
    <row r="11008" customFormat="false" ht="15" hidden="false" customHeight="false" outlineLevel="0" collapsed="false">
      <c r="V11008" s="23" t="str">
        <f aca="false">IF(ISNUMBER(C11008),YEAR(C11008),"")</f>
        <v/>
      </c>
      <c r="W11008" s="23" t="str">
        <f aca="false">IF(ISNUMBER(C11008),MONTH(C11008),"")</f>
        <v/>
      </c>
      <c r="X11008" s="23" t="str">
        <f aca="false">IF(T11008="","",IF(T11008=0,"No discount",IF(T11008&lt;=0.2,"Low (1-20%)",IF(T11008&lt;=0.4,"Medium (21-40%)","High (&gt;40%)"))))</f>
        <v/>
      </c>
      <c r="Y11008" s="23" t="str">
        <f aca="false">IF(AND(ISNUMBER(C11008),ISNUMBER(D11008)),D11008-C11008,"")</f>
        <v/>
      </c>
      <c r="Z11008" s="23" t="str">
        <f aca="false">IF(B11008="","",IF(MATCH(B11008,$B$2:$B$12000,0)=ROW()-1,1,0))</f>
        <v/>
      </c>
    </row>
    <row r="11009" customFormat="false" ht="15" hidden="false" customHeight="false" outlineLevel="0" collapsed="false">
      <c r="V11009" s="23" t="str">
        <f aca="false">IF(ISNUMBER(C11009),YEAR(C11009),"")</f>
        <v/>
      </c>
      <c r="W11009" s="23" t="str">
        <f aca="false">IF(ISNUMBER(C11009),MONTH(C11009),"")</f>
        <v/>
      </c>
      <c r="X11009" s="23" t="str">
        <f aca="false">IF(T11009="","",IF(T11009=0,"No discount",IF(T11009&lt;=0.2,"Low (1-20%)",IF(T11009&lt;=0.4,"Medium (21-40%)","High (&gt;40%)"))))</f>
        <v/>
      </c>
      <c r="Y11009" s="23" t="str">
        <f aca="false">IF(AND(ISNUMBER(C11009),ISNUMBER(D11009)),D11009-C11009,"")</f>
        <v/>
      </c>
      <c r="Z11009" s="23" t="str">
        <f aca="false">IF(B11009="","",IF(MATCH(B11009,$B$2:$B$12000,0)=ROW()-1,1,0))</f>
        <v/>
      </c>
    </row>
    <row r="11010" customFormat="false" ht="15" hidden="false" customHeight="false" outlineLevel="0" collapsed="false">
      <c r="V11010" s="23" t="str">
        <f aca="false">IF(ISNUMBER(C11010),YEAR(C11010),"")</f>
        <v/>
      </c>
      <c r="W11010" s="23" t="str">
        <f aca="false">IF(ISNUMBER(C11010),MONTH(C11010),"")</f>
        <v/>
      </c>
      <c r="X11010" s="23" t="str">
        <f aca="false">IF(T11010="","",IF(T11010=0,"No discount",IF(T11010&lt;=0.2,"Low (1-20%)",IF(T11010&lt;=0.4,"Medium (21-40%)","High (&gt;40%)"))))</f>
        <v/>
      </c>
      <c r="Y11010" s="23" t="str">
        <f aca="false">IF(AND(ISNUMBER(C11010),ISNUMBER(D11010)),D11010-C11010,"")</f>
        <v/>
      </c>
      <c r="Z11010" s="23" t="str">
        <f aca="false">IF(B11010="","",IF(MATCH(B11010,$B$2:$B$12000,0)=ROW()-1,1,0))</f>
        <v/>
      </c>
    </row>
    <row r="11011" customFormat="false" ht="15" hidden="false" customHeight="false" outlineLevel="0" collapsed="false">
      <c r="V11011" s="23" t="str">
        <f aca="false">IF(ISNUMBER(C11011),YEAR(C11011),"")</f>
        <v/>
      </c>
      <c r="W11011" s="23" t="str">
        <f aca="false">IF(ISNUMBER(C11011),MONTH(C11011),"")</f>
        <v/>
      </c>
      <c r="X11011" s="23" t="str">
        <f aca="false">IF(T11011="","",IF(T11011=0,"No discount",IF(T11011&lt;=0.2,"Low (1-20%)",IF(T11011&lt;=0.4,"Medium (21-40%)","High (&gt;40%)"))))</f>
        <v/>
      </c>
      <c r="Y11011" s="23" t="str">
        <f aca="false">IF(AND(ISNUMBER(C11011),ISNUMBER(D11011)),D11011-C11011,"")</f>
        <v/>
      </c>
      <c r="Z11011" s="23" t="str">
        <f aca="false">IF(B11011="","",IF(MATCH(B11011,$B$2:$B$12000,0)=ROW()-1,1,0))</f>
        <v/>
      </c>
    </row>
    <row r="11012" customFormat="false" ht="15" hidden="false" customHeight="false" outlineLevel="0" collapsed="false">
      <c r="V11012" s="23" t="str">
        <f aca="false">IF(ISNUMBER(C11012),YEAR(C11012),"")</f>
        <v/>
      </c>
      <c r="W11012" s="23" t="str">
        <f aca="false">IF(ISNUMBER(C11012),MONTH(C11012),"")</f>
        <v/>
      </c>
      <c r="X11012" s="23" t="str">
        <f aca="false">IF(T11012="","",IF(T11012=0,"No discount",IF(T11012&lt;=0.2,"Low (1-20%)",IF(T11012&lt;=0.4,"Medium (21-40%)","High (&gt;40%)"))))</f>
        <v/>
      </c>
      <c r="Y11012" s="23" t="str">
        <f aca="false">IF(AND(ISNUMBER(C11012),ISNUMBER(D11012)),D11012-C11012,"")</f>
        <v/>
      </c>
      <c r="Z11012" s="23" t="str">
        <f aca="false">IF(B11012="","",IF(MATCH(B11012,$B$2:$B$12000,0)=ROW()-1,1,0))</f>
        <v/>
      </c>
    </row>
    <row r="11013" customFormat="false" ht="15" hidden="false" customHeight="false" outlineLevel="0" collapsed="false">
      <c r="V11013" s="23" t="str">
        <f aca="false">IF(ISNUMBER(C11013),YEAR(C11013),"")</f>
        <v/>
      </c>
      <c r="W11013" s="23" t="str">
        <f aca="false">IF(ISNUMBER(C11013),MONTH(C11013),"")</f>
        <v/>
      </c>
      <c r="X11013" s="23" t="str">
        <f aca="false">IF(T11013="","",IF(T11013=0,"No discount",IF(T11013&lt;=0.2,"Low (1-20%)",IF(T11013&lt;=0.4,"Medium (21-40%)","High (&gt;40%)"))))</f>
        <v/>
      </c>
      <c r="Y11013" s="23" t="str">
        <f aca="false">IF(AND(ISNUMBER(C11013),ISNUMBER(D11013)),D11013-C11013,"")</f>
        <v/>
      </c>
      <c r="Z11013" s="23" t="str">
        <f aca="false">IF(B11013="","",IF(MATCH(B11013,$B$2:$B$12000,0)=ROW()-1,1,0))</f>
        <v/>
      </c>
    </row>
    <row r="11014" customFormat="false" ht="15" hidden="false" customHeight="false" outlineLevel="0" collapsed="false">
      <c r="V11014" s="23" t="str">
        <f aca="false">IF(ISNUMBER(C11014),YEAR(C11014),"")</f>
        <v/>
      </c>
      <c r="W11014" s="23" t="str">
        <f aca="false">IF(ISNUMBER(C11014),MONTH(C11014),"")</f>
        <v/>
      </c>
      <c r="X11014" s="23" t="str">
        <f aca="false">IF(T11014="","",IF(T11014=0,"No discount",IF(T11014&lt;=0.2,"Low (1-20%)",IF(T11014&lt;=0.4,"Medium (21-40%)","High (&gt;40%)"))))</f>
        <v/>
      </c>
      <c r="Y11014" s="23" t="str">
        <f aca="false">IF(AND(ISNUMBER(C11014),ISNUMBER(D11014)),D11014-C11014,"")</f>
        <v/>
      </c>
      <c r="Z11014" s="23" t="str">
        <f aca="false">IF(B11014="","",IF(MATCH(B11014,$B$2:$B$12000,0)=ROW()-1,1,0))</f>
        <v/>
      </c>
    </row>
    <row r="11015" customFormat="false" ht="15" hidden="false" customHeight="false" outlineLevel="0" collapsed="false">
      <c r="V11015" s="23" t="str">
        <f aca="false">IF(ISNUMBER(C11015),YEAR(C11015),"")</f>
        <v/>
      </c>
      <c r="W11015" s="23" t="str">
        <f aca="false">IF(ISNUMBER(C11015),MONTH(C11015),"")</f>
        <v/>
      </c>
      <c r="X11015" s="23" t="str">
        <f aca="false">IF(T11015="","",IF(T11015=0,"No discount",IF(T11015&lt;=0.2,"Low (1-20%)",IF(T11015&lt;=0.4,"Medium (21-40%)","High (&gt;40%)"))))</f>
        <v/>
      </c>
      <c r="Y11015" s="23" t="str">
        <f aca="false">IF(AND(ISNUMBER(C11015),ISNUMBER(D11015)),D11015-C11015,"")</f>
        <v/>
      </c>
      <c r="Z11015" s="23" t="str">
        <f aca="false">IF(B11015="","",IF(MATCH(B11015,$B$2:$B$12000,0)=ROW()-1,1,0))</f>
        <v/>
      </c>
    </row>
    <row r="11016" customFormat="false" ht="15" hidden="false" customHeight="false" outlineLevel="0" collapsed="false">
      <c r="V11016" s="23" t="str">
        <f aca="false">IF(ISNUMBER(C11016),YEAR(C11016),"")</f>
        <v/>
      </c>
      <c r="W11016" s="23" t="str">
        <f aca="false">IF(ISNUMBER(C11016),MONTH(C11016),"")</f>
        <v/>
      </c>
      <c r="X11016" s="23" t="str">
        <f aca="false">IF(T11016="","",IF(T11016=0,"No discount",IF(T11016&lt;=0.2,"Low (1-20%)",IF(T11016&lt;=0.4,"Medium (21-40%)","High (&gt;40%)"))))</f>
        <v/>
      </c>
      <c r="Y11016" s="23" t="str">
        <f aca="false">IF(AND(ISNUMBER(C11016),ISNUMBER(D11016)),D11016-C11016,"")</f>
        <v/>
      </c>
      <c r="Z11016" s="23" t="str">
        <f aca="false">IF(B11016="","",IF(MATCH(B11016,$B$2:$B$12000,0)=ROW()-1,1,0))</f>
        <v/>
      </c>
    </row>
    <row r="11017" customFormat="false" ht="15" hidden="false" customHeight="false" outlineLevel="0" collapsed="false">
      <c r="V11017" s="23" t="str">
        <f aca="false">IF(ISNUMBER(C11017),YEAR(C11017),"")</f>
        <v/>
      </c>
      <c r="W11017" s="23" t="str">
        <f aca="false">IF(ISNUMBER(C11017),MONTH(C11017),"")</f>
        <v/>
      </c>
      <c r="X11017" s="23" t="str">
        <f aca="false">IF(T11017="","",IF(T11017=0,"No discount",IF(T11017&lt;=0.2,"Low (1-20%)",IF(T11017&lt;=0.4,"Medium (21-40%)","High (&gt;40%)"))))</f>
        <v/>
      </c>
      <c r="Y11017" s="23" t="str">
        <f aca="false">IF(AND(ISNUMBER(C11017),ISNUMBER(D11017)),D11017-C11017,"")</f>
        <v/>
      </c>
      <c r="Z11017" s="23" t="str">
        <f aca="false">IF(B11017="","",IF(MATCH(B11017,$B$2:$B$12000,0)=ROW()-1,1,0))</f>
        <v/>
      </c>
    </row>
    <row r="11018" customFormat="false" ht="15" hidden="false" customHeight="false" outlineLevel="0" collapsed="false">
      <c r="V11018" s="23" t="str">
        <f aca="false">IF(ISNUMBER(C11018),YEAR(C11018),"")</f>
        <v/>
      </c>
      <c r="W11018" s="23" t="str">
        <f aca="false">IF(ISNUMBER(C11018),MONTH(C11018),"")</f>
        <v/>
      </c>
      <c r="X11018" s="23" t="str">
        <f aca="false">IF(T11018="","",IF(T11018=0,"No discount",IF(T11018&lt;=0.2,"Low (1-20%)",IF(T11018&lt;=0.4,"Medium (21-40%)","High (&gt;40%)"))))</f>
        <v/>
      </c>
      <c r="Y11018" s="23" t="str">
        <f aca="false">IF(AND(ISNUMBER(C11018),ISNUMBER(D11018)),D11018-C11018,"")</f>
        <v/>
      </c>
      <c r="Z11018" s="23" t="str">
        <f aca="false">IF(B11018="","",IF(MATCH(B11018,$B$2:$B$12000,0)=ROW()-1,1,0))</f>
        <v/>
      </c>
    </row>
    <row r="11019" customFormat="false" ht="15" hidden="false" customHeight="false" outlineLevel="0" collapsed="false">
      <c r="V11019" s="23" t="str">
        <f aca="false">IF(ISNUMBER(C11019),YEAR(C11019),"")</f>
        <v/>
      </c>
      <c r="W11019" s="23" t="str">
        <f aca="false">IF(ISNUMBER(C11019),MONTH(C11019),"")</f>
        <v/>
      </c>
      <c r="X11019" s="23" t="str">
        <f aca="false">IF(T11019="","",IF(T11019=0,"No discount",IF(T11019&lt;=0.2,"Low (1-20%)",IF(T11019&lt;=0.4,"Medium (21-40%)","High (&gt;40%)"))))</f>
        <v/>
      </c>
      <c r="Y11019" s="23" t="str">
        <f aca="false">IF(AND(ISNUMBER(C11019),ISNUMBER(D11019)),D11019-C11019,"")</f>
        <v/>
      </c>
      <c r="Z11019" s="23" t="str">
        <f aca="false">IF(B11019="","",IF(MATCH(B11019,$B$2:$B$12000,0)=ROW()-1,1,0))</f>
        <v/>
      </c>
    </row>
    <row r="11020" customFormat="false" ht="15" hidden="false" customHeight="false" outlineLevel="0" collapsed="false">
      <c r="V11020" s="23" t="str">
        <f aca="false">IF(ISNUMBER(C11020),YEAR(C11020),"")</f>
        <v/>
      </c>
      <c r="W11020" s="23" t="str">
        <f aca="false">IF(ISNUMBER(C11020),MONTH(C11020),"")</f>
        <v/>
      </c>
      <c r="X11020" s="23" t="str">
        <f aca="false">IF(T11020="","",IF(T11020=0,"No discount",IF(T11020&lt;=0.2,"Low (1-20%)",IF(T11020&lt;=0.4,"Medium (21-40%)","High (&gt;40%)"))))</f>
        <v/>
      </c>
      <c r="Y11020" s="23" t="str">
        <f aca="false">IF(AND(ISNUMBER(C11020),ISNUMBER(D11020)),D11020-C11020,"")</f>
        <v/>
      </c>
      <c r="Z11020" s="23" t="str">
        <f aca="false">IF(B11020="","",IF(MATCH(B11020,$B$2:$B$12000,0)=ROW()-1,1,0))</f>
        <v/>
      </c>
    </row>
    <row r="11021" customFormat="false" ht="15" hidden="false" customHeight="false" outlineLevel="0" collapsed="false">
      <c r="V11021" s="23" t="str">
        <f aca="false">IF(ISNUMBER(C11021),YEAR(C11021),"")</f>
        <v/>
      </c>
      <c r="W11021" s="23" t="str">
        <f aca="false">IF(ISNUMBER(C11021),MONTH(C11021),"")</f>
        <v/>
      </c>
      <c r="X11021" s="23" t="str">
        <f aca="false">IF(T11021="","",IF(T11021=0,"No discount",IF(T11021&lt;=0.2,"Low (1-20%)",IF(T11021&lt;=0.4,"Medium (21-40%)","High (&gt;40%)"))))</f>
        <v/>
      </c>
      <c r="Y11021" s="23" t="str">
        <f aca="false">IF(AND(ISNUMBER(C11021),ISNUMBER(D11021)),D11021-C11021,"")</f>
        <v/>
      </c>
      <c r="Z11021" s="23" t="str">
        <f aca="false">IF(B11021="","",IF(MATCH(B11021,$B$2:$B$12000,0)=ROW()-1,1,0))</f>
        <v/>
      </c>
    </row>
    <row r="11022" customFormat="false" ht="15" hidden="false" customHeight="false" outlineLevel="0" collapsed="false">
      <c r="V11022" s="23" t="str">
        <f aca="false">IF(ISNUMBER(C11022),YEAR(C11022),"")</f>
        <v/>
      </c>
      <c r="W11022" s="23" t="str">
        <f aca="false">IF(ISNUMBER(C11022),MONTH(C11022),"")</f>
        <v/>
      </c>
      <c r="X11022" s="23" t="str">
        <f aca="false">IF(T11022="","",IF(T11022=0,"No discount",IF(T11022&lt;=0.2,"Low (1-20%)",IF(T11022&lt;=0.4,"Medium (21-40%)","High (&gt;40%)"))))</f>
        <v/>
      </c>
      <c r="Y11022" s="23" t="str">
        <f aca="false">IF(AND(ISNUMBER(C11022),ISNUMBER(D11022)),D11022-C11022,"")</f>
        <v/>
      </c>
      <c r="Z11022" s="23" t="str">
        <f aca="false">IF(B11022="","",IF(MATCH(B11022,$B$2:$B$12000,0)=ROW()-1,1,0))</f>
        <v/>
      </c>
    </row>
    <row r="11023" customFormat="false" ht="15" hidden="false" customHeight="false" outlineLevel="0" collapsed="false">
      <c r="V11023" s="23" t="str">
        <f aca="false">IF(ISNUMBER(C11023),YEAR(C11023),"")</f>
        <v/>
      </c>
      <c r="W11023" s="23" t="str">
        <f aca="false">IF(ISNUMBER(C11023),MONTH(C11023),"")</f>
        <v/>
      </c>
      <c r="X11023" s="23" t="str">
        <f aca="false">IF(T11023="","",IF(T11023=0,"No discount",IF(T11023&lt;=0.2,"Low (1-20%)",IF(T11023&lt;=0.4,"Medium (21-40%)","High (&gt;40%)"))))</f>
        <v/>
      </c>
      <c r="Y11023" s="23" t="str">
        <f aca="false">IF(AND(ISNUMBER(C11023),ISNUMBER(D11023)),D11023-C11023,"")</f>
        <v/>
      </c>
      <c r="Z11023" s="23" t="str">
        <f aca="false">IF(B11023="","",IF(MATCH(B11023,$B$2:$B$12000,0)=ROW()-1,1,0))</f>
        <v/>
      </c>
    </row>
    <row r="11024" customFormat="false" ht="15" hidden="false" customHeight="false" outlineLevel="0" collapsed="false">
      <c r="V11024" s="23" t="str">
        <f aca="false">IF(ISNUMBER(C11024),YEAR(C11024),"")</f>
        <v/>
      </c>
      <c r="W11024" s="23" t="str">
        <f aca="false">IF(ISNUMBER(C11024),MONTH(C11024),"")</f>
        <v/>
      </c>
      <c r="X11024" s="23" t="str">
        <f aca="false">IF(T11024="","",IF(T11024=0,"No discount",IF(T11024&lt;=0.2,"Low (1-20%)",IF(T11024&lt;=0.4,"Medium (21-40%)","High (&gt;40%)"))))</f>
        <v/>
      </c>
      <c r="Y11024" s="23" t="str">
        <f aca="false">IF(AND(ISNUMBER(C11024),ISNUMBER(D11024)),D11024-C11024,"")</f>
        <v/>
      </c>
      <c r="Z11024" s="23" t="str">
        <f aca="false">IF(B11024="","",IF(MATCH(B11024,$B$2:$B$12000,0)=ROW()-1,1,0))</f>
        <v/>
      </c>
    </row>
    <row r="11025" customFormat="false" ht="15" hidden="false" customHeight="false" outlineLevel="0" collapsed="false">
      <c r="V11025" s="23" t="str">
        <f aca="false">IF(ISNUMBER(C11025),YEAR(C11025),"")</f>
        <v/>
      </c>
      <c r="W11025" s="23" t="str">
        <f aca="false">IF(ISNUMBER(C11025),MONTH(C11025),"")</f>
        <v/>
      </c>
      <c r="X11025" s="23" t="str">
        <f aca="false">IF(T11025="","",IF(T11025=0,"No discount",IF(T11025&lt;=0.2,"Low (1-20%)",IF(T11025&lt;=0.4,"Medium (21-40%)","High (&gt;40%)"))))</f>
        <v/>
      </c>
      <c r="Y11025" s="23" t="str">
        <f aca="false">IF(AND(ISNUMBER(C11025),ISNUMBER(D11025)),D11025-C11025,"")</f>
        <v/>
      </c>
      <c r="Z11025" s="23" t="str">
        <f aca="false">IF(B11025="","",IF(MATCH(B11025,$B$2:$B$12000,0)=ROW()-1,1,0))</f>
        <v/>
      </c>
    </row>
    <row r="11026" customFormat="false" ht="15" hidden="false" customHeight="false" outlineLevel="0" collapsed="false">
      <c r="V11026" s="23" t="str">
        <f aca="false">IF(ISNUMBER(C11026),YEAR(C11026),"")</f>
        <v/>
      </c>
      <c r="W11026" s="23" t="str">
        <f aca="false">IF(ISNUMBER(C11026),MONTH(C11026),"")</f>
        <v/>
      </c>
      <c r="X11026" s="23" t="str">
        <f aca="false">IF(T11026="","",IF(T11026=0,"No discount",IF(T11026&lt;=0.2,"Low (1-20%)",IF(T11026&lt;=0.4,"Medium (21-40%)","High (&gt;40%)"))))</f>
        <v/>
      </c>
      <c r="Y11026" s="23" t="str">
        <f aca="false">IF(AND(ISNUMBER(C11026),ISNUMBER(D11026)),D11026-C11026,"")</f>
        <v/>
      </c>
      <c r="Z11026" s="23" t="str">
        <f aca="false">IF(B11026="","",IF(MATCH(B11026,$B$2:$B$12000,0)=ROW()-1,1,0))</f>
        <v/>
      </c>
    </row>
    <row r="11027" customFormat="false" ht="15" hidden="false" customHeight="false" outlineLevel="0" collapsed="false">
      <c r="V11027" s="23" t="str">
        <f aca="false">IF(ISNUMBER(C11027),YEAR(C11027),"")</f>
        <v/>
      </c>
      <c r="W11027" s="23" t="str">
        <f aca="false">IF(ISNUMBER(C11027),MONTH(C11027),"")</f>
        <v/>
      </c>
      <c r="X11027" s="23" t="str">
        <f aca="false">IF(T11027="","",IF(T11027=0,"No discount",IF(T11027&lt;=0.2,"Low (1-20%)",IF(T11027&lt;=0.4,"Medium (21-40%)","High (&gt;40%)"))))</f>
        <v/>
      </c>
      <c r="Y11027" s="23" t="str">
        <f aca="false">IF(AND(ISNUMBER(C11027),ISNUMBER(D11027)),D11027-C11027,"")</f>
        <v/>
      </c>
      <c r="Z11027" s="23" t="str">
        <f aca="false">IF(B11027="","",IF(MATCH(B11027,$B$2:$B$12000,0)=ROW()-1,1,0))</f>
        <v/>
      </c>
    </row>
    <row r="11028" customFormat="false" ht="15" hidden="false" customHeight="false" outlineLevel="0" collapsed="false">
      <c r="V11028" s="23" t="str">
        <f aca="false">IF(ISNUMBER(C11028),YEAR(C11028),"")</f>
        <v/>
      </c>
      <c r="W11028" s="23" t="str">
        <f aca="false">IF(ISNUMBER(C11028),MONTH(C11028),"")</f>
        <v/>
      </c>
      <c r="X11028" s="23" t="str">
        <f aca="false">IF(T11028="","",IF(T11028=0,"No discount",IF(T11028&lt;=0.2,"Low (1-20%)",IF(T11028&lt;=0.4,"Medium (21-40%)","High (&gt;40%)"))))</f>
        <v/>
      </c>
      <c r="Y11028" s="23" t="str">
        <f aca="false">IF(AND(ISNUMBER(C11028),ISNUMBER(D11028)),D11028-C11028,"")</f>
        <v/>
      </c>
      <c r="Z11028" s="23" t="str">
        <f aca="false">IF(B11028="","",IF(MATCH(B11028,$B$2:$B$12000,0)=ROW()-1,1,0))</f>
        <v/>
      </c>
    </row>
    <row r="11029" customFormat="false" ht="15" hidden="false" customHeight="false" outlineLevel="0" collapsed="false">
      <c r="V11029" s="23" t="str">
        <f aca="false">IF(ISNUMBER(C11029),YEAR(C11029),"")</f>
        <v/>
      </c>
      <c r="W11029" s="23" t="str">
        <f aca="false">IF(ISNUMBER(C11029),MONTH(C11029),"")</f>
        <v/>
      </c>
      <c r="X11029" s="23" t="str">
        <f aca="false">IF(T11029="","",IF(T11029=0,"No discount",IF(T11029&lt;=0.2,"Low (1-20%)",IF(T11029&lt;=0.4,"Medium (21-40%)","High (&gt;40%)"))))</f>
        <v/>
      </c>
      <c r="Y11029" s="23" t="str">
        <f aca="false">IF(AND(ISNUMBER(C11029),ISNUMBER(D11029)),D11029-C11029,"")</f>
        <v/>
      </c>
      <c r="Z11029" s="23" t="str">
        <f aca="false">IF(B11029="","",IF(MATCH(B11029,$B$2:$B$12000,0)=ROW()-1,1,0))</f>
        <v/>
      </c>
    </row>
    <row r="11030" customFormat="false" ht="15" hidden="false" customHeight="false" outlineLevel="0" collapsed="false">
      <c r="V11030" s="23" t="str">
        <f aca="false">IF(ISNUMBER(C11030),YEAR(C11030),"")</f>
        <v/>
      </c>
      <c r="W11030" s="23" t="str">
        <f aca="false">IF(ISNUMBER(C11030),MONTH(C11030),"")</f>
        <v/>
      </c>
      <c r="X11030" s="23" t="str">
        <f aca="false">IF(T11030="","",IF(T11030=0,"No discount",IF(T11030&lt;=0.2,"Low (1-20%)",IF(T11030&lt;=0.4,"Medium (21-40%)","High (&gt;40%)"))))</f>
        <v/>
      </c>
      <c r="Y11030" s="23" t="str">
        <f aca="false">IF(AND(ISNUMBER(C11030),ISNUMBER(D11030)),D11030-C11030,"")</f>
        <v/>
      </c>
      <c r="Z11030" s="23" t="str">
        <f aca="false">IF(B11030="","",IF(MATCH(B11030,$B$2:$B$12000,0)=ROW()-1,1,0))</f>
        <v/>
      </c>
    </row>
    <row r="11031" customFormat="false" ht="15" hidden="false" customHeight="false" outlineLevel="0" collapsed="false">
      <c r="V11031" s="23" t="str">
        <f aca="false">IF(ISNUMBER(C11031),YEAR(C11031),"")</f>
        <v/>
      </c>
      <c r="W11031" s="23" t="str">
        <f aca="false">IF(ISNUMBER(C11031),MONTH(C11031),"")</f>
        <v/>
      </c>
      <c r="X11031" s="23" t="str">
        <f aca="false">IF(T11031="","",IF(T11031=0,"No discount",IF(T11031&lt;=0.2,"Low (1-20%)",IF(T11031&lt;=0.4,"Medium (21-40%)","High (&gt;40%)"))))</f>
        <v/>
      </c>
      <c r="Y11031" s="23" t="str">
        <f aca="false">IF(AND(ISNUMBER(C11031),ISNUMBER(D11031)),D11031-C11031,"")</f>
        <v/>
      </c>
      <c r="Z11031" s="23" t="str">
        <f aca="false">IF(B11031="","",IF(MATCH(B11031,$B$2:$B$12000,0)=ROW()-1,1,0))</f>
        <v/>
      </c>
    </row>
    <row r="11032" customFormat="false" ht="15" hidden="false" customHeight="false" outlineLevel="0" collapsed="false">
      <c r="V11032" s="23" t="str">
        <f aca="false">IF(ISNUMBER(C11032),YEAR(C11032),"")</f>
        <v/>
      </c>
      <c r="W11032" s="23" t="str">
        <f aca="false">IF(ISNUMBER(C11032),MONTH(C11032),"")</f>
        <v/>
      </c>
      <c r="X11032" s="23" t="str">
        <f aca="false">IF(T11032="","",IF(T11032=0,"No discount",IF(T11032&lt;=0.2,"Low (1-20%)",IF(T11032&lt;=0.4,"Medium (21-40%)","High (&gt;40%)"))))</f>
        <v/>
      </c>
      <c r="Y11032" s="23" t="str">
        <f aca="false">IF(AND(ISNUMBER(C11032),ISNUMBER(D11032)),D11032-C11032,"")</f>
        <v/>
      </c>
      <c r="Z11032" s="23" t="str">
        <f aca="false">IF(B11032="","",IF(MATCH(B11032,$B$2:$B$12000,0)=ROW()-1,1,0))</f>
        <v/>
      </c>
    </row>
    <row r="11033" customFormat="false" ht="15" hidden="false" customHeight="false" outlineLevel="0" collapsed="false">
      <c r="V11033" s="23" t="str">
        <f aca="false">IF(ISNUMBER(C11033),YEAR(C11033),"")</f>
        <v/>
      </c>
      <c r="W11033" s="23" t="str">
        <f aca="false">IF(ISNUMBER(C11033),MONTH(C11033),"")</f>
        <v/>
      </c>
      <c r="X11033" s="23" t="str">
        <f aca="false">IF(T11033="","",IF(T11033=0,"No discount",IF(T11033&lt;=0.2,"Low (1-20%)",IF(T11033&lt;=0.4,"Medium (21-40%)","High (&gt;40%)"))))</f>
        <v/>
      </c>
      <c r="Y11033" s="23" t="str">
        <f aca="false">IF(AND(ISNUMBER(C11033),ISNUMBER(D11033)),D11033-C11033,"")</f>
        <v/>
      </c>
      <c r="Z11033" s="23" t="str">
        <f aca="false">IF(B11033="","",IF(MATCH(B11033,$B$2:$B$12000,0)=ROW()-1,1,0))</f>
        <v/>
      </c>
    </row>
    <row r="11034" customFormat="false" ht="15" hidden="false" customHeight="false" outlineLevel="0" collapsed="false">
      <c r="V11034" s="23" t="str">
        <f aca="false">IF(ISNUMBER(C11034),YEAR(C11034),"")</f>
        <v/>
      </c>
      <c r="W11034" s="23" t="str">
        <f aca="false">IF(ISNUMBER(C11034),MONTH(C11034),"")</f>
        <v/>
      </c>
      <c r="X11034" s="23" t="str">
        <f aca="false">IF(T11034="","",IF(T11034=0,"No discount",IF(T11034&lt;=0.2,"Low (1-20%)",IF(T11034&lt;=0.4,"Medium (21-40%)","High (&gt;40%)"))))</f>
        <v/>
      </c>
      <c r="Y11034" s="23" t="str">
        <f aca="false">IF(AND(ISNUMBER(C11034),ISNUMBER(D11034)),D11034-C11034,"")</f>
        <v/>
      </c>
      <c r="Z11034" s="23" t="str">
        <f aca="false">IF(B11034="","",IF(MATCH(B11034,$B$2:$B$12000,0)=ROW()-1,1,0))</f>
        <v/>
      </c>
    </row>
    <row r="11035" customFormat="false" ht="15" hidden="false" customHeight="false" outlineLevel="0" collapsed="false">
      <c r="V11035" s="23" t="str">
        <f aca="false">IF(ISNUMBER(C11035),YEAR(C11035),"")</f>
        <v/>
      </c>
      <c r="W11035" s="23" t="str">
        <f aca="false">IF(ISNUMBER(C11035),MONTH(C11035),"")</f>
        <v/>
      </c>
      <c r="X11035" s="23" t="str">
        <f aca="false">IF(T11035="","",IF(T11035=0,"No discount",IF(T11035&lt;=0.2,"Low (1-20%)",IF(T11035&lt;=0.4,"Medium (21-40%)","High (&gt;40%)"))))</f>
        <v/>
      </c>
      <c r="Y11035" s="23" t="str">
        <f aca="false">IF(AND(ISNUMBER(C11035),ISNUMBER(D11035)),D11035-C11035,"")</f>
        <v/>
      </c>
      <c r="Z11035" s="23" t="str">
        <f aca="false">IF(B11035="","",IF(MATCH(B11035,$B$2:$B$12000,0)=ROW()-1,1,0))</f>
        <v/>
      </c>
    </row>
    <row r="11036" customFormat="false" ht="15" hidden="false" customHeight="false" outlineLevel="0" collapsed="false">
      <c r="V11036" s="23" t="str">
        <f aca="false">IF(ISNUMBER(C11036),YEAR(C11036),"")</f>
        <v/>
      </c>
      <c r="W11036" s="23" t="str">
        <f aca="false">IF(ISNUMBER(C11036),MONTH(C11036),"")</f>
        <v/>
      </c>
      <c r="X11036" s="23" t="str">
        <f aca="false">IF(T11036="","",IF(T11036=0,"No discount",IF(T11036&lt;=0.2,"Low (1-20%)",IF(T11036&lt;=0.4,"Medium (21-40%)","High (&gt;40%)"))))</f>
        <v/>
      </c>
      <c r="Y11036" s="23" t="str">
        <f aca="false">IF(AND(ISNUMBER(C11036),ISNUMBER(D11036)),D11036-C11036,"")</f>
        <v/>
      </c>
      <c r="Z11036" s="23" t="str">
        <f aca="false">IF(B11036="","",IF(MATCH(B11036,$B$2:$B$12000,0)=ROW()-1,1,0))</f>
        <v/>
      </c>
    </row>
    <row r="11037" customFormat="false" ht="15" hidden="false" customHeight="false" outlineLevel="0" collapsed="false">
      <c r="V11037" s="23" t="str">
        <f aca="false">IF(ISNUMBER(C11037),YEAR(C11037),"")</f>
        <v/>
      </c>
      <c r="W11037" s="23" t="str">
        <f aca="false">IF(ISNUMBER(C11037),MONTH(C11037),"")</f>
        <v/>
      </c>
      <c r="X11037" s="23" t="str">
        <f aca="false">IF(T11037="","",IF(T11037=0,"No discount",IF(T11037&lt;=0.2,"Low (1-20%)",IF(T11037&lt;=0.4,"Medium (21-40%)","High (&gt;40%)"))))</f>
        <v/>
      </c>
      <c r="Y11037" s="23" t="str">
        <f aca="false">IF(AND(ISNUMBER(C11037),ISNUMBER(D11037)),D11037-C11037,"")</f>
        <v/>
      </c>
      <c r="Z11037" s="23" t="str">
        <f aca="false">IF(B11037="","",IF(MATCH(B11037,$B$2:$B$12000,0)=ROW()-1,1,0))</f>
        <v/>
      </c>
    </row>
    <row r="11038" customFormat="false" ht="15" hidden="false" customHeight="false" outlineLevel="0" collapsed="false">
      <c r="V11038" s="23" t="str">
        <f aca="false">IF(ISNUMBER(C11038),YEAR(C11038),"")</f>
        <v/>
      </c>
      <c r="W11038" s="23" t="str">
        <f aca="false">IF(ISNUMBER(C11038),MONTH(C11038),"")</f>
        <v/>
      </c>
      <c r="X11038" s="23" t="str">
        <f aca="false">IF(T11038="","",IF(T11038=0,"No discount",IF(T11038&lt;=0.2,"Low (1-20%)",IF(T11038&lt;=0.4,"Medium (21-40%)","High (&gt;40%)"))))</f>
        <v/>
      </c>
      <c r="Y11038" s="23" t="str">
        <f aca="false">IF(AND(ISNUMBER(C11038),ISNUMBER(D11038)),D11038-C11038,"")</f>
        <v/>
      </c>
      <c r="Z11038" s="23" t="str">
        <f aca="false">IF(B11038="","",IF(MATCH(B11038,$B$2:$B$12000,0)=ROW()-1,1,0))</f>
        <v/>
      </c>
    </row>
    <row r="11039" customFormat="false" ht="15" hidden="false" customHeight="false" outlineLevel="0" collapsed="false">
      <c r="V11039" s="23" t="str">
        <f aca="false">IF(ISNUMBER(C11039),YEAR(C11039),"")</f>
        <v/>
      </c>
      <c r="W11039" s="23" t="str">
        <f aca="false">IF(ISNUMBER(C11039),MONTH(C11039),"")</f>
        <v/>
      </c>
      <c r="X11039" s="23" t="str">
        <f aca="false">IF(T11039="","",IF(T11039=0,"No discount",IF(T11039&lt;=0.2,"Low (1-20%)",IF(T11039&lt;=0.4,"Medium (21-40%)","High (&gt;40%)"))))</f>
        <v/>
      </c>
      <c r="Y11039" s="23" t="str">
        <f aca="false">IF(AND(ISNUMBER(C11039),ISNUMBER(D11039)),D11039-C11039,"")</f>
        <v/>
      </c>
      <c r="Z11039" s="23" t="str">
        <f aca="false">IF(B11039="","",IF(MATCH(B11039,$B$2:$B$12000,0)=ROW()-1,1,0))</f>
        <v/>
      </c>
    </row>
    <row r="11040" customFormat="false" ht="15" hidden="false" customHeight="false" outlineLevel="0" collapsed="false">
      <c r="V11040" s="23" t="str">
        <f aca="false">IF(ISNUMBER(C11040),YEAR(C11040),"")</f>
        <v/>
      </c>
      <c r="W11040" s="23" t="str">
        <f aca="false">IF(ISNUMBER(C11040),MONTH(C11040),"")</f>
        <v/>
      </c>
      <c r="X11040" s="23" t="str">
        <f aca="false">IF(T11040="","",IF(T11040=0,"No discount",IF(T11040&lt;=0.2,"Low (1-20%)",IF(T11040&lt;=0.4,"Medium (21-40%)","High (&gt;40%)"))))</f>
        <v/>
      </c>
      <c r="Y11040" s="23" t="str">
        <f aca="false">IF(AND(ISNUMBER(C11040),ISNUMBER(D11040)),D11040-C11040,"")</f>
        <v/>
      </c>
      <c r="Z11040" s="23" t="str">
        <f aca="false">IF(B11040="","",IF(MATCH(B11040,$B$2:$B$12000,0)=ROW()-1,1,0))</f>
        <v/>
      </c>
    </row>
    <row r="11041" customFormat="false" ht="15" hidden="false" customHeight="false" outlineLevel="0" collapsed="false">
      <c r="V11041" s="23" t="str">
        <f aca="false">IF(ISNUMBER(C11041),YEAR(C11041),"")</f>
        <v/>
      </c>
      <c r="W11041" s="23" t="str">
        <f aca="false">IF(ISNUMBER(C11041),MONTH(C11041),"")</f>
        <v/>
      </c>
      <c r="X11041" s="23" t="str">
        <f aca="false">IF(T11041="","",IF(T11041=0,"No discount",IF(T11041&lt;=0.2,"Low (1-20%)",IF(T11041&lt;=0.4,"Medium (21-40%)","High (&gt;40%)"))))</f>
        <v/>
      </c>
      <c r="Y11041" s="23" t="str">
        <f aca="false">IF(AND(ISNUMBER(C11041),ISNUMBER(D11041)),D11041-C11041,"")</f>
        <v/>
      </c>
      <c r="Z11041" s="23" t="str">
        <f aca="false">IF(B11041="","",IF(MATCH(B11041,$B$2:$B$12000,0)=ROW()-1,1,0))</f>
        <v/>
      </c>
    </row>
    <row r="11042" customFormat="false" ht="15" hidden="false" customHeight="false" outlineLevel="0" collapsed="false">
      <c r="V11042" s="23" t="str">
        <f aca="false">IF(ISNUMBER(C11042),YEAR(C11042),"")</f>
        <v/>
      </c>
      <c r="W11042" s="23" t="str">
        <f aca="false">IF(ISNUMBER(C11042),MONTH(C11042),"")</f>
        <v/>
      </c>
      <c r="X11042" s="23" t="str">
        <f aca="false">IF(T11042="","",IF(T11042=0,"No discount",IF(T11042&lt;=0.2,"Low (1-20%)",IF(T11042&lt;=0.4,"Medium (21-40%)","High (&gt;40%)"))))</f>
        <v/>
      </c>
      <c r="Y11042" s="23" t="str">
        <f aca="false">IF(AND(ISNUMBER(C11042),ISNUMBER(D11042)),D11042-C11042,"")</f>
        <v/>
      </c>
      <c r="Z11042" s="23" t="str">
        <f aca="false">IF(B11042="","",IF(MATCH(B11042,$B$2:$B$12000,0)=ROW()-1,1,0))</f>
        <v/>
      </c>
    </row>
    <row r="11043" customFormat="false" ht="15" hidden="false" customHeight="false" outlineLevel="0" collapsed="false">
      <c r="V11043" s="23" t="str">
        <f aca="false">IF(ISNUMBER(C11043),YEAR(C11043),"")</f>
        <v/>
      </c>
      <c r="W11043" s="23" t="str">
        <f aca="false">IF(ISNUMBER(C11043),MONTH(C11043),"")</f>
        <v/>
      </c>
      <c r="X11043" s="23" t="str">
        <f aca="false">IF(T11043="","",IF(T11043=0,"No discount",IF(T11043&lt;=0.2,"Low (1-20%)",IF(T11043&lt;=0.4,"Medium (21-40%)","High (&gt;40%)"))))</f>
        <v/>
      </c>
      <c r="Y11043" s="23" t="str">
        <f aca="false">IF(AND(ISNUMBER(C11043),ISNUMBER(D11043)),D11043-C11043,"")</f>
        <v/>
      </c>
      <c r="Z11043" s="23" t="str">
        <f aca="false">IF(B11043="","",IF(MATCH(B11043,$B$2:$B$12000,0)=ROW()-1,1,0))</f>
        <v/>
      </c>
    </row>
    <row r="11044" customFormat="false" ht="15" hidden="false" customHeight="false" outlineLevel="0" collapsed="false">
      <c r="V11044" s="23" t="str">
        <f aca="false">IF(ISNUMBER(C11044),YEAR(C11044),"")</f>
        <v/>
      </c>
      <c r="W11044" s="23" t="str">
        <f aca="false">IF(ISNUMBER(C11044),MONTH(C11044),"")</f>
        <v/>
      </c>
      <c r="X11044" s="23" t="str">
        <f aca="false">IF(T11044="","",IF(T11044=0,"No discount",IF(T11044&lt;=0.2,"Low (1-20%)",IF(T11044&lt;=0.4,"Medium (21-40%)","High (&gt;40%)"))))</f>
        <v/>
      </c>
      <c r="Y11044" s="23" t="str">
        <f aca="false">IF(AND(ISNUMBER(C11044),ISNUMBER(D11044)),D11044-C11044,"")</f>
        <v/>
      </c>
      <c r="Z11044" s="23" t="str">
        <f aca="false">IF(B11044="","",IF(MATCH(B11044,$B$2:$B$12000,0)=ROW()-1,1,0))</f>
        <v/>
      </c>
    </row>
    <row r="11045" customFormat="false" ht="15" hidden="false" customHeight="false" outlineLevel="0" collapsed="false">
      <c r="V11045" s="23" t="str">
        <f aca="false">IF(ISNUMBER(C11045),YEAR(C11045),"")</f>
        <v/>
      </c>
      <c r="W11045" s="23" t="str">
        <f aca="false">IF(ISNUMBER(C11045),MONTH(C11045),"")</f>
        <v/>
      </c>
      <c r="X11045" s="23" t="str">
        <f aca="false">IF(T11045="","",IF(T11045=0,"No discount",IF(T11045&lt;=0.2,"Low (1-20%)",IF(T11045&lt;=0.4,"Medium (21-40%)","High (&gt;40%)"))))</f>
        <v/>
      </c>
      <c r="Y11045" s="23" t="str">
        <f aca="false">IF(AND(ISNUMBER(C11045),ISNUMBER(D11045)),D11045-C11045,"")</f>
        <v/>
      </c>
      <c r="Z11045" s="23" t="str">
        <f aca="false">IF(B11045="","",IF(MATCH(B11045,$B$2:$B$12000,0)=ROW()-1,1,0))</f>
        <v/>
      </c>
    </row>
    <row r="11046" customFormat="false" ht="15" hidden="false" customHeight="false" outlineLevel="0" collapsed="false">
      <c r="V11046" s="23" t="str">
        <f aca="false">IF(ISNUMBER(C11046),YEAR(C11046),"")</f>
        <v/>
      </c>
      <c r="W11046" s="23" t="str">
        <f aca="false">IF(ISNUMBER(C11046),MONTH(C11046),"")</f>
        <v/>
      </c>
      <c r="X11046" s="23" t="str">
        <f aca="false">IF(T11046="","",IF(T11046=0,"No discount",IF(T11046&lt;=0.2,"Low (1-20%)",IF(T11046&lt;=0.4,"Medium (21-40%)","High (&gt;40%)"))))</f>
        <v/>
      </c>
      <c r="Y11046" s="23" t="str">
        <f aca="false">IF(AND(ISNUMBER(C11046),ISNUMBER(D11046)),D11046-C11046,"")</f>
        <v/>
      </c>
      <c r="Z11046" s="23" t="str">
        <f aca="false">IF(B11046="","",IF(MATCH(B11046,$B$2:$B$12000,0)=ROW()-1,1,0))</f>
        <v/>
      </c>
    </row>
    <row r="11047" customFormat="false" ht="15" hidden="false" customHeight="false" outlineLevel="0" collapsed="false">
      <c r="V11047" s="23" t="str">
        <f aca="false">IF(ISNUMBER(C11047),YEAR(C11047),"")</f>
        <v/>
      </c>
      <c r="W11047" s="23" t="str">
        <f aca="false">IF(ISNUMBER(C11047),MONTH(C11047),"")</f>
        <v/>
      </c>
      <c r="X11047" s="23" t="str">
        <f aca="false">IF(T11047="","",IF(T11047=0,"No discount",IF(T11047&lt;=0.2,"Low (1-20%)",IF(T11047&lt;=0.4,"Medium (21-40%)","High (&gt;40%)"))))</f>
        <v/>
      </c>
      <c r="Y11047" s="23" t="str">
        <f aca="false">IF(AND(ISNUMBER(C11047),ISNUMBER(D11047)),D11047-C11047,"")</f>
        <v/>
      </c>
      <c r="Z11047" s="23" t="str">
        <f aca="false">IF(B11047="","",IF(MATCH(B11047,$B$2:$B$12000,0)=ROW()-1,1,0))</f>
        <v/>
      </c>
    </row>
    <row r="11048" customFormat="false" ht="15" hidden="false" customHeight="false" outlineLevel="0" collapsed="false">
      <c r="V11048" s="23" t="str">
        <f aca="false">IF(ISNUMBER(C11048),YEAR(C11048),"")</f>
        <v/>
      </c>
      <c r="W11048" s="23" t="str">
        <f aca="false">IF(ISNUMBER(C11048),MONTH(C11048),"")</f>
        <v/>
      </c>
      <c r="X11048" s="23" t="str">
        <f aca="false">IF(T11048="","",IF(T11048=0,"No discount",IF(T11048&lt;=0.2,"Low (1-20%)",IF(T11048&lt;=0.4,"Medium (21-40%)","High (&gt;40%)"))))</f>
        <v/>
      </c>
      <c r="Y11048" s="23" t="str">
        <f aca="false">IF(AND(ISNUMBER(C11048),ISNUMBER(D11048)),D11048-C11048,"")</f>
        <v/>
      </c>
      <c r="Z11048" s="23" t="str">
        <f aca="false">IF(B11048="","",IF(MATCH(B11048,$B$2:$B$12000,0)=ROW()-1,1,0))</f>
        <v/>
      </c>
    </row>
    <row r="11049" customFormat="false" ht="15" hidden="false" customHeight="false" outlineLevel="0" collapsed="false">
      <c r="V11049" s="23" t="str">
        <f aca="false">IF(ISNUMBER(C11049),YEAR(C11049),"")</f>
        <v/>
      </c>
      <c r="W11049" s="23" t="str">
        <f aca="false">IF(ISNUMBER(C11049),MONTH(C11049),"")</f>
        <v/>
      </c>
      <c r="X11049" s="23" t="str">
        <f aca="false">IF(T11049="","",IF(T11049=0,"No discount",IF(T11049&lt;=0.2,"Low (1-20%)",IF(T11049&lt;=0.4,"Medium (21-40%)","High (&gt;40%)"))))</f>
        <v/>
      </c>
      <c r="Y11049" s="23" t="str">
        <f aca="false">IF(AND(ISNUMBER(C11049),ISNUMBER(D11049)),D11049-C11049,"")</f>
        <v/>
      </c>
      <c r="Z11049" s="23" t="str">
        <f aca="false">IF(B11049="","",IF(MATCH(B11049,$B$2:$B$12000,0)=ROW()-1,1,0))</f>
        <v/>
      </c>
    </row>
    <row r="11050" customFormat="false" ht="15" hidden="false" customHeight="false" outlineLevel="0" collapsed="false">
      <c r="V11050" s="23" t="str">
        <f aca="false">IF(ISNUMBER(C11050),YEAR(C11050),"")</f>
        <v/>
      </c>
      <c r="W11050" s="23" t="str">
        <f aca="false">IF(ISNUMBER(C11050),MONTH(C11050),"")</f>
        <v/>
      </c>
      <c r="X11050" s="23" t="str">
        <f aca="false">IF(T11050="","",IF(T11050=0,"No discount",IF(T11050&lt;=0.2,"Low (1-20%)",IF(T11050&lt;=0.4,"Medium (21-40%)","High (&gt;40%)"))))</f>
        <v/>
      </c>
      <c r="Y11050" s="23" t="str">
        <f aca="false">IF(AND(ISNUMBER(C11050),ISNUMBER(D11050)),D11050-C11050,"")</f>
        <v/>
      </c>
      <c r="Z11050" s="23" t="str">
        <f aca="false">IF(B11050="","",IF(MATCH(B11050,$B$2:$B$12000,0)=ROW()-1,1,0))</f>
        <v/>
      </c>
    </row>
    <row r="11051" customFormat="false" ht="15" hidden="false" customHeight="false" outlineLevel="0" collapsed="false">
      <c r="V11051" s="23" t="str">
        <f aca="false">IF(ISNUMBER(C11051),YEAR(C11051),"")</f>
        <v/>
      </c>
      <c r="W11051" s="23" t="str">
        <f aca="false">IF(ISNUMBER(C11051),MONTH(C11051),"")</f>
        <v/>
      </c>
      <c r="X11051" s="23" t="str">
        <f aca="false">IF(T11051="","",IF(T11051=0,"No discount",IF(T11051&lt;=0.2,"Low (1-20%)",IF(T11051&lt;=0.4,"Medium (21-40%)","High (&gt;40%)"))))</f>
        <v/>
      </c>
      <c r="Y11051" s="23" t="str">
        <f aca="false">IF(AND(ISNUMBER(C11051),ISNUMBER(D11051)),D11051-C11051,"")</f>
        <v/>
      </c>
      <c r="Z11051" s="23" t="str">
        <f aca="false">IF(B11051="","",IF(MATCH(B11051,$B$2:$B$12000,0)=ROW()-1,1,0))</f>
        <v/>
      </c>
    </row>
    <row r="11052" customFormat="false" ht="15" hidden="false" customHeight="false" outlineLevel="0" collapsed="false">
      <c r="V11052" s="23" t="str">
        <f aca="false">IF(ISNUMBER(C11052),YEAR(C11052),"")</f>
        <v/>
      </c>
      <c r="W11052" s="23" t="str">
        <f aca="false">IF(ISNUMBER(C11052),MONTH(C11052),"")</f>
        <v/>
      </c>
      <c r="X11052" s="23" t="str">
        <f aca="false">IF(T11052="","",IF(T11052=0,"No discount",IF(T11052&lt;=0.2,"Low (1-20%)",IF(T11052&lt;=0.4,"Medium (21-40%)","High (&gt;40%)"))))</f>
        <v/>
      </c>
      <c r="Y11052" s="23" t="str">
        <f aca="false">IF(AND(ISNUMBER(C11052),ISNUMBER(D11052)),D11052-C11052,"")</f>
        <v/>
      </c>
      <c r="Z11052" s="23" t="str">
        <f aca="false">IF(B11052="","",IF(MATCH(B11052,$B$2:$B$12000,0)=ROW()-1,1,0))</f>
        <v/>
      </c>
    </row>
    <row r="11053" customFormat="false" ht="15" hidden="false" customHeight="false" outlineLevel="0" collapsed="false">
      <c r="V11053" s="23" t="str">
        <f aca="false">IF(ISNUMBER(C11053),YEAR(C11053),"")</f>
        <v/>
      </c>
      <c r="W11053" s="23" t="str">
        <f aca="false">IF(ISNUMBER(C11053),MONTH(C11053),"")</f>
        <v/>
      </c>
      <c r="X11053" s="23" t="str">
        <f aca="false">IF(T11053="","",IF(T11053=0,"No discount",IF(T11053&lt;=0.2,"Low (1-20%)",IF(T11053&lt;=0.4,"Medium (21-40%)","High (&gt;40%)"))))</f>
        <v/>
      </c>
      <c r="Y11053" s="23" t="str">
        <f aca="false">IF(AND(ISNUMBER(C11053),ISNUMBER(D11053)),D11053-C11053,"")</f>
        <v/>
      </c>
      <c r="Z11053" s="23" t="str">
        <f aca="false">IF(B11053="","",IF(MATCH(B11053,$B$2:$B$12000,0)=ROW()-1,1,0))</f>
        <v/>
      </c>
    </row>
    <row r="11054" customFormat="false" ht="15" hidden="false" customHeight="false" outlineLevel="0" collapsed="false">
      <c r="V11054" s="23" t="str">
        <f aca="false">IF(ISNUMBER(C11054),YEAR(C11054),"")</f>
        <v/>
      </c>
      <c r="W11054" s="23" t="str">
        <f aca="false">IF(ISNUMBER(C11054),MONTH(C11054),"")</f>
        <v/>
      </c>
      <c r="X11054" s="23" t="str">
        <f aca="false">IF(T11054="","",IF(T11054=0,"No discount",IF(T11054&lt;=0.2,"Low (1-20%)",IF(T11054&lt;=0.4,"Medium (21-40%)","High (&gt;40%)"))))</f>
        <v/>
      </c>
      <c r="Y11054" s="23" t="str">
        <f aca="false">IF(AND(ISNUMBER(C11054),ISNUMBER(D11054)),D11054-C11054,"")</f>
        <v/>
      </c>
      <c r="Z11054" s="23" t="str">
        <f aca="false">IF(B11054="","",IF(MATCH(B11054,$B$2:$B$12000,0)=ROW()-1,1,0))</f>
        <v/>
      </c>
    </row>
    <row r="11055" customFormat="false" ht="15" hidden="false" customHeight="false" outlineLevel="0" collapsed="false">
      <c r="V11055" s="23" t="str">
        <f aca="false">IF(ISNUMBER(C11055),YEAR(C11055),"")</f>
        <v/>
      </c>
      <c r="W11055" s="23" t="str">
        <f aca="false">IF(ISNUMBER(C11055),MONTH(C11055),"")</f>
        <v/>
      </c>
      <c r="X11055" s="23" t="str">
        <f aca="false">IF(T11055="","",IF(T11055=0,"No discount",IF(T11055&lt;=0.2,"Low (1-20%)",IF(T11055&lt;=0.4,"Medium (21-40%)","High (&gt;40%)"))))</f>
        <v/>
      </c>
      <c r="Y11055" s="23" t="str">
        <f aca="false">IF(AND(ISNUMBER(C11055),ISNUMBER(D11055)),D11055-C11055,"")</f>
        <v/>
      </c>
      <c r="Z11055" s="23" t="str">
        <f aca="false">IF(B11055="","",IF(MATCH(B11055,$B$2:$B$12000,0)=ROW()-1,1,0))</f>
        <v/>
      </c>
    </row>
    <row r="11056" customFormat="false" ht="15" hidden="false" customHeight="false" outlineLevel="0" collapsed="false">
      <c r="V11056" s="23" t="str">
        <f aca="false">IF(ISNUMBER(C11056),YEAR(C11056),"")</f>
        <v/>
      </c>
      <c r="W11056" s="23" t="str">
        <f aca="false">IF(ISNUMBER(C11056),MONTH(C11056),"")</f>
        <v/>
      </c>
      <c r="X11056" s="23" t="str">
        <f aca="false">IF(T11056="","",IF(T11056=0,"No discount",IF(T11056&lt;=0.2,"Low (1-20%)",IF(T11056&lt;=0.4,"Medium (21-40%)","High (&gt;40%)"))))</f>
        <v/>
      </c>
      <c r="Y11056" s="23" t="str">
        <f aca="false">IF(AND(ISNUMBER(C11056),ISNUMBER(D11056)),D11056-C11056,"")</f>
        <v/>
      </c>
      <c r="Z11056" s="23" t="str">
        <f aca="false">IF(B11056="","",IF(MATCH(B11056,$B$2:$B$12000,0)=ROW()-1,1,0))</f>
        <v/>
      </c>
    </row>
    <row r="11057" customFormat="false" ht="15" hidden="false" customHeight="false" outlineLevel="0" collapsed="false">
      <c r="V11057" s="23" t="str">
        <f aca="false">IF(ISNUMBER(C11057),YEAR(C11057),"")</f>
        <v/>
      </c>
      <c r="W11057" s="23" t="str">
        <f aca="false">IF(ISNUMBER(C11057),MONTH(C11057),"")</f>
        <v/>
      </c>
      <c r="X11057" s="23" t="str">
        <f aca="false">IF(T11057="","",IF(T11057=0,"No discount",IF(T11057&lt;=0.2,"Low (1-20%)",IF(T11057&lt;=0.4,"Medium (21-40%)","High (&gt;40%)"))))</f>
        <v/>
      </c>
      <c r="Y11057" s="23" t="str">
        <f aca="false">IF(AND(ISNUMBER(C11057),ISNUMBER(D11057)),D11057-C11057,"")</f>
        <v/>
      </c>
      <c r="Z11057" s="23" t="str">
        <f aca="false">IF(B11057="","",IF(MATCH(B11057,$B$2:$B$12000,0)=ROW()-1,1,0))</f>
        <v/>
      </c>
    </row>
    <row r="11058" customFormat="false" ht="15" hidden="false" customHeight="false" outlineLevel="0" collapsed="false">
      <c r="V11058" s="23" t="str">
        <f aca="false">IF(ISNUMBER(C11058),YEAR(C11058),"")</f>
        <v/>
      </c>
      <c r="W11058" s="23" t="str">
        <f aca="false">IF(ISNUMBER(C11058),MONTH(C11058),"")</f>
        <v/>
      </c>
      <c r="X11058" s="23" t="str">
        <f aca="false">IF(T11058="","",IF(T11058=0,"No discount",IF(T11058&lt;=0.2,"Low (1-20%)",IF(T11058&lt;=0.4,"Medium (21-40%)","High (&gt;40%)"))))</f>
        <v/>
      </c>
      <c r="Y11058" s="23" t="str">
        <f aca="false">IF(AND(ISNUMBER(C11058),ISNUMBER(D11058)),D11058-C11058,"")</f>
        <v/>
      </c>
      <c r="Z11058" s="23" t="str">
        <f aca="false">IF(B11058="","",IF(MATCH(B11058,$B$2:$B$12000,0)=ROW()-1,1,0))</f>
        <v/>
      </c>
    </row>
    <row r="11059" customFormat="false" ht="15" hidden="false" customHeight="false" outlineLevel="0" collapsed="false">
      <c r="V11059" s="23" t="str">
        <f aca="false">IF(ISNUMBER(C11059),YEAR(C11059),"")</f>
        <v/>
      </c>
      <c r="W11059" s="23" t="str">
        <f aca="false">IF(ISNUMBER(C11059),MONTH(C11059),"")</f>
        <v/>
      </c>
      <c r="X11059" s="23" t="str">
        <f aca="false">IF(T11059="","",IF(T11059=0,"No discount",IF(T11059&lt;=0.2,"Low (1-20%)",IF(T11059&lt;=0.4,"Medium (21-40%)","High (&gt;40%)"))))</f>
        <v/>
      </c>
      <c r="Y11059" s="23" t="str">
        <f aca="false">IF(AND(ISNUMBER(C11059),ISNUMBER(D11059)),D11059-C11059,"")</f>
        <v/>
      </c>
      <c r="Z11059" s="23" t="str">
        <f aca="false">IF(B11059="","",IF(MATCH(B11059,$B$2:$B$12000,0)=ROW()-1,1,0))</f>
        <v/>
      </c>
    </row>
    <row r="11060" customFormat="false" ht="15" hidden="false" customHeight="false" outlineLevel="0" collapsed="false">
      <c r="V11060" s="23" t="str">
        <f aca="false">IF(ISNUMBER(C11060),YEAR(C11060),"")</f>
        <v/>
      </c>
      <c r="W11060" s="23" t="str">
        <f aca="false">IF(ISNUMBER(C11060),MONTH(C11060),"")</f>
        <v/>
      </c>
      <c r="X11060" s="23" t="str">
        <f aca="false">IF(T11060="","",IF(T11060=0,"No discount",IF(T11060&lt;=0.2,"Low (1-20%)",IF(T11060&lt;=0.4,"Medium (21-40%)","High (&gt;40%)"))))</f>
        <v/>
      </c>
      <c r="Y11060" s="23" t="str">
        <f aca="false">IF(AND(ISNUMBER(C11060),ISNUMBER(D11060)),D11060-C11060,"")</f>
        <v/>
      </c>
      <c r="Z11060" s="23" t="str">
        <f aca="false">IF(B11060="","",IF(MATCH(B11060,$B$2:$B$12000,0)=ROW()-1,1,0))</f>
        <v/>
      </c>
    </row>
    <row r="11061" customFormat="false" ht="15" hidden="false" customHeight="false" outlineLevel="0" collapsed="false">
      <c r="V11061" s="23" t="str">
        <f aca="false">IF(ISNUMBER(C11061),YEAR(C11061),"")</f>
        <v/>
      </c>
      <c r="W11061" s="23" t="str">
        <f aca="false">IF(ISNUMBER(C11061),MONTH(C11061),"")</f>
        <v/>
      </c>
      <c r="X11061" s="23" t="str">
        <f aca="false">IF(T11061="","",IF(T11061=0,"No discount",IF(T11061&lt;=0.2,"Low (1-20%)",IF(T11061&lt;=0.4,"Medium (21-40%)","High (&gt;40%)"))))</f>
        <v/>
      </c>
      <c r="Y11061" s="23" t="str">
        <f aca="false">IF(AND(ISNUMBER(C11061),ISNUMBER(D11061)),D11061-C11061,"")</f>
        <v/>
      </c>
      <c r="Z11061" s="23" t="str">
        <f aca="false">IF(B11061="","",IF(MATCH(B11061,$B$2:$B$12000,0)=ROW()-1,1,0))</f>
        <v/>
      </c>
    </row>
    <row r="11062" customFormat="false" ht="15" hidden="false" customHeight="false" outlineLevel="0" collapsed="false">
      <c r="V11062" s="23" t="str">
        <f aca="false">IF(ISNUMBER(C11062),YEAR(C11062),"")</f>
        <v/>
      </c>
      <c r="W11062" s="23" t="str">
        <f aca="false">IF(ISNUMBER(C11062),MONTH(C11062),"")</f>
        <v/>
      </c>
      <c r="X11062" s="23" t="str">
        <f aca="false">IF(T11062="","",IF(T11062=0,"No discount",IF(T11062&lt;=0.2,"Low (1-20%)",IF(T11062&lt;=0.4,"Medium (21-40%)","High (&gt;40%)"))))</f>
        <v/>
      </c>
      <c r="Y11062" s="23" t="str">
        <f aca="false">IF(AND(ISNUMBER(C11062),ISNUMBER(D11062)),D11062-C11062,"")</f>
        <v/>
      </c>
      <c r="Z11062" s="23" t="str">
        <f aca="false">IF(B11062="","",IF(MATCH(B11062,$B$2:$B$12000,0)=ROW()-1,1,0))</f>
        <v/>
      </c>
    </row>
    <row r="11063" customFormat="false" ht="15" hidden="false" customHeight="false" outlineLevel="0" collapsed="false">
      <c r="V11063" s="23" t="str">
        <f aca="false">IF(ISNUMBER(C11063),YEAR(C11063),"")</f>
        <v/>
      </c>
      <c r="W11063" s="23" t="str">
        <f aca="false">IF(ISNUMBER(C11063),MONTH(C11063),"")</f>
        <v/>
      </c>
      <c r="X11063" s="23" t="str">
        <f aca="false">IF(T11063="","",IF(T11063=0,"No discount",IF(T11063&lt;=0.2,"Low (1-20%)",IF(T11063&lt;=0.4,"Medium (21-40%)","High (&gt;40%)"))))</f>
        <v/>
      </c>
      <c r="Y11063" s="23" t="str">
        <f aca="false">IF(AND(ISNUMBER(C11063),ISNUMBER(D11063)),D11063-C11063,"")</f>
        <v/>
      </c>
      <c r="Z11063" s="23" t="str">
        <f aca="false">IF(B11063="","",IF(MATCH(B11063,$B$2:$B$12000,0)=ROW()-1,1,0))</f>
        <v/>
      </c>
    </row>
    <row r="11064" customFormat="false" ht="15" hidden="false" customHeight="false" outlineLevel="0" collapsed="false">
      <c r="V11064" s="23" t="str">
        <f aca="false">IF(ISNUMBER(C11064),YEAR(C11064),"")</f>
        <v/>
      </c>
      <c r="W11064" s="23" t="str">
        <f aca="false">IF(ISNUMBER(C11064),MONTH(C11064),"")</f>
        <v/>
      </c>
      <c r="X11064" s="23" t="str">
        <f aca="false">IF(T11064="","",IF(T11064=0,"No discount",IF(T11064&lt;=0.2,"Low (1-20%)",IF(T11064&lt;=0.4,"Medium (21-40%)","High (&gt;40%)"))))</f>
        <v/>
      </c>
      <c r="Y11064" s="23" t="str">
        <f aca="false">IF(AND(ISNUMBER(C11064),ISNUMBER(D11064)),D11064-C11064,"")</f>
        <v/>
      </c>
      <c r="Z11064" s="23" t="str">
        <f aca="false">IF(B11064="","",IF(MATCH(B11064,$B$2:$B$12000,0)=ROW()-1,1,0))</f>
        <v/>
      </c>
    </row>
    <row r="11065" customFormat="false" ht="15" hidden="false" customHeight="false" outlineLevel="0" collapsed="false">
      <c r="V11065" s="23" t="str">
        <f aca="false">IF(ISNUMBER(C11065),YEAR(C11065),"")</f>
        <v/>
      </c>
      <c r="W11065" s="23" t="str">
        <f aca="false">IF(ISNUMBER(C11065),MONTH(C11065),"")</f>
        <v/>
      </c>
      <c r="X11065" s="23" t="str">
        <f aca="false">IF(T11065="","",IF(T11065=0,"No discount",IF(T11065&lt;=0.2,"Low (1-20%)",IF(T11065&lt;=0.4,"Medium (21-40%)","High (&gt;40%)"))))</f>
        <v/>
      </c>
      <c r="Y11065" s="23" t="str">
        <f aca="false">IF(AND(ISNUMBER(C11065),ISNUMBER(D11065)),D11065-C11065,"")</f>
        <v/>
      </c>
      <c r="Z11065" s="23" t="str">
        <f aca="false">IF(B11065="","",IF(MATCH(B11065,$B$2:$B$12000,0)=ROW()-1,1,0))</f>
        <v/>
      </c>
    </row>
    <row r="11066" customFormat="false" ht="15" hidden="false" customHeight="false" outlineLevel="0" collapsed="false">
      <c r="V11066" s="23" t="str">
        <f aca="false">IF(ISNUMBER(C11066),YEAR(C11066),"")</f>
        <v/>
      </c>
      <c r="W11066" s="23" t="str">
        <f aca="false">IF(ISNUMBER(C11066),MONTH(C11066),"")</f>
        <v/>
      </c>
      <c r="X11066" s="23" t="str">
        <f aca="false">IF(T11066="","",IF(T11066=0,"No discount",IF(T11066&lt;=0.2,"Low (1-20%)",IF(T11066&lt;=0.4,"Medium (21-40%)","High (&gt;40%)"))))</f>
        <v/>
      </c>
      <c r="Y11066" s="23" t="str">
        <f aca="false">IF(AND(ISNUMBER(C11066),ISNUMBER(D11066)),D11066-C11066,"")</f>
        <v/>
      </c>
      <c r="Z11066" s="23" t="str">
        <f aca="false">IF(B11066="","",IF(MATCH(B11066,$B$2:$B$12000,0)=ROW()-1,1,0))</f>
        <v/>
      </c>
    </row>
    <row r="11067" customFormat="false" ht="15" hidden="false" customHeight="false" outlineLevel="0" collapsed="false">
      <c r="V11067" s="23" t="str">
        <f aca="false">IF(ISNUMBER(C11067),YEAR(C11067),"")</f>
        <v/>
      </c>
      <c r="W11067" s="23" t="str">
        <f aca="false">IF(ISNUMBER(C11067),MONTH(C11067),"")</f>
        <v/>
      </c>
      <c r="X11067" s="23" t="str">
        <f aca="false">IF(T11067="","",IF(T11067=0,"No discount",IF(T11067&lt;=0.2,"Low (1-20%)",IF(T11067&lt;=0.4,"Medium (21-40%)","High (&gt;40%)"))))</f>
        <v/>
      </c>
      <c r="Y11067" s="23" t="str">
        <f aca="false">IF(AND(ISNUMBER(C11067),ISNUMBER(D11067)),D11067-C11067,"")</f>
        <v/>
      </c>
      <c r="Z11067" s="23" t="str">
        <f aca="false">IF(B11067="","",IF(MATCH(B11067,$B$2:$B$12000,0)=ROW()-1,1,0))</f>
        <v/>
      </c>
    </row>
    <row r="11068" customFormat="false" ht="15" hidden="false" customHeight="false" outlineLevel="0" collapsed="false">
      <c r="V11068" s="23" t="str">
        <f aca="false">IF(ISNUMBER(C11068),YEAR(C11068),"")</f>
        <v/>
      </c>
      <c r="W11068" s="23" t="str">
        <f aca="false">IF(ISNUMBER(C11068),MONTH(C11068),"")</f>
        <v/>
      </c>
      <c r="X11068" s="23" t="str">
        <f aca="false">IF(T11068="","",IF(T11068=0,"No discount",IF(T11068&lt;=0.2,"Low (1-20%)",IF(T11068&lt;=0.4,"Medium (21-40%)","High (&gt;40%)"))))</f>
        <v/>
      </c>
      <c r="Y11068" s="23" t="str">
        <f aca="false">IF(AND(ISNUMBER(C11068),ISNUMBER(D11068)),D11068-C11068,"")</f>
        <v/>
      </c>
      <c r="Z11068" s="23" t="str">
        <f aca="false">IF(B11068="","",IF(MATCH(B11068,$B$2:$B$12000,0)=ROW()-1,1,0))</f>
        <v/>
      </c>
    </row>
    <row r="11069" customFormat="false" ht="15" hidden="false" customHeight="false" outlineLevel="0" collapsed="false">
      <c r="V11069" s="23" t="str">
        <f aca="false">IF(ISNUMBER(C11069),YEAR(C11069),"")</f>
        <v/>
      </c>
      <c r="W11069" s="23" t="str">
        <f aca="false">IF(ISNUMBER(C11069),MONTH(C11069),"")</f>
        <v/>
      </c>
      <c r="X11069" s="23" t="str">
        <f aca="false">IF(T11069="","",IF(T11069=0,"No discount",IF(T11069&lt;=0.2,"Low (1-20%)",IF(T11069&lt;=0.4,"Medium (21-40%)","High (&gt;40%)"))))</f>
        <v/>
      </c>
      <c r="Y11069" s="23" t="str">
        <f aca="false">IF(AND(ISNUMBER(C11069),ISNUMBER(D11069)),D11069-C11069,"")</f>
        <v/>
      </c>
      <c r="Z11069" s="23" t="str">
        <f aca="false">IF(B11069="","",IF(MATCH(B11069,$B$2:$B$12000,0)=ROW()-1,1,0))</f>
        <v/>
      </c>
    </row>
    <row r="11070" customFormat="false" ht="15" hidden="false" customHeight="false" outlineLevel="0" collapsed="false">
      <c r="V11070" s="23" t="str">
        <f aca="false">IF(ISNUMBER(C11070),YEAR(C11070),"")</f>
        <v/>
      </c>
      <c r="W11070" s="23" t="str">
        <f aca="false">IF(ISNUMBER(C11070),MONTH(C11070),"")</f>
        <v/>
      </c>
      <c r="X11070" s="23" t="str">
        <f aca="false">IF(T11070="","",IF(T11070=0,"No discount",IF(T11070&lt;=0.2,"Low (1-20%)",IF(T11070&lt;=0.4,"Medium (21-40%)","High (&gt;40%)"))))</f>
        <v/>
      </c>
      <c r="Y11070" s="23" t="str">
        <f aca="false">IF(AND(ISNUMBER(C11070),ISNUMBER(D11070)),D11070-C11070,"")</f>
        <v/>
      </c>
      <c r="Z11070" s="23" t="str">
        <f aca="false">IF(B11070="","",IF(MATCH(B11070,$B$2:$B$12000,0)=ROW()-1,1,0))</f>
        <v/>
      </c>
    </row>
    <row r="11071" customFormat="false" ht="15" hidden="false" customHeight="false" outlineLevel="0" collapsed="false">
      <c r="V11071" s="23" t="str">
        <f aca="false">IF(ISNUMBER(C11071),YEAR(C11071),"")</f>
        <v/>
      </c>
      <c r="W11071" s="23" t="str">
        <f aca="false">IF(ISNUMBER(C11071),MONTH(C11071),"")</f>
        <v/>
      </c>
      <c r="X11071" s="23" t="str">
        <f aca="false">IF(T11071="","",IF(T11071=0,"No discount",IF(T11071&lt;=0.2,"Low (1-20%)",IF(T11071&lt;=0.4,"Medium (21-40%)","High (&gt;40%)"))))</f>
        <v/>
      </c>
      <c r="Y11071" s="23" t="str">
        <f aca="false">IF(AND(ISNUMBER(C11071),ISNUMBER(D11071)),D11071-C11071,"")</f>
        <v/>
      </c>
      <c r="Z11071" s="23" t="str">
        <f aca="false">IF(B11071="","",IF(MATCH(B11071,$B$2:$B$12000,0)=ROW()-1,1,0))</f>
        <v/>
      </c>
    </row>
    <row r="11072" customFormat="false" ht="15" hidden="false" customHeight="false" outlineLevel="0" collapsed="false">
      <c r="V11072" s="23" t="str">
        <f aca="false">IF(ISNUMBER(C11072),YEAR(C11072),"")</f>
        <v/>
      </c>
      <c r="W11072" s="23" t="str">
        <f aca="false">IF(ISNUMBER(C11072),MONTH(C11072),"")</f>
        <v/>
      </c>
      <c r="X11072" s="23" t="str">
        <f aca="false">IF(T11072="","",IF(T11072=0,"No discount",IF(T11072&lt;=0.2,"Low (1-20%)",IF(T11072&lt;=0.4,"Medium (21-40%)","High (&gt;40%)"))))</f>
        <v/>
      </c>
      <c r="Y11072" s="23" t="str">
        <f aca="false">IF(AND(ISNUMBER(C11072),ISNUMBER(D11072)),D11072-C11072,"")</f>
        <v/>
      </c>
      <c r="Z11072" s="23" t="str">
        <f aca="false">IF(B11072="","",IF(MATCH(B11072,$B$2:$B$12000,0)=ROW()-1,1,0))</f>
        <v/>
      </c>
    </row>
    <row r="11073" customFormat="false" ht="15" hidden="false" customHeight="false" outlineLevel="0" collapsed="false">
      <c r="V11073" s="23" t="str">
        <f aca="false">IF(ISNUMBER(C11073),YEAR(C11073),"")</f>
        <v/>
      </c>
      <c r="W11073" s="23" t="str">
        <f aca="false">IF(ISNUMBER(C11073),MONTH(C11073),"")</f>
        <v/>
      </c>
      <c r="X11073" s="23" t="str">
        <f aca="false">IF(T11073="","",IF(T11073=0,"No discount",IF(T11073&lt;=0.2,"Low (1-20%)",IF(T11073&lt;=0.4,"Medium (21-40%)","High (&gt;40%)"))))</f>
        <v/>
      </c>
      <c r="Y11073" s="23" t="str">
        <f aca="false">IF(AND(ISNUMBER(C11073),ISNUMBER(D11073)),D11073-C11073,"")</f>
        <v/>
      </c>
      <c r="Z11073" s="23" t="str">
        <f aca="false">IF(B11073="","",IF(MATCH(B11073,$B$2:$B$12000,0)=ROW()-1,1,0))</f>
        <v/>
      </c>
    </row>
    <row r="11074" customFormat="false" ht="15" hidden="false" customHeight="false" outlineLevel="0" collapsed="false">
      <c r="V11074" s="23" t="str">
        <f aca="false">IF(ISNUMBER(C11074),YEAR(C11074),"")</f>
        <v/>
      </c>
      <c r="W11074" s="23" t="str">
        <f aca="false">IF(ISNUMBER(C11074),MONTH(C11074),"")</f>
        <v/>
      </c>
      <c r="X11074" s="23" t="str">
        <f aca="false">IF(T11074="","",IF(T11074=0,"No discount",IF(T11074&lt;=0.2,"Low (1-20%)",IF(T11074&lt;=0.4,"Medium (21-40%)","High (&gt;40%)"))))</f>
        <v/>
      </c>
      <c r="Y11074" s="23" t="str">
        <f aca="false">IF(AND(ISNUMBER(C11074),ISNUMBER(D11074)),D11074-C11074,"")</f>
        <v/>
      </c>
      <c r="Z11074" s="23" t="str">
        <f aca="false">IF(B11074="","",IF(MATCH(B11074,$B$2:$B$12000,0)=ROW()-1,1,0))</f>
        <v/>
      </c>
    </row>
    <row r="11075" customFormat="false" ht="15" hidden="false" customHeight="false" outlineLevel="0" collapsed="false">
      <c r="V11075" s="23" t="str">
        <f aca="false">IF(ISNUMBER(C11075),YEAR(C11075),"")</f>
        <v/>
      </c>
      <c r="W11075" s="23" t="str">
        <f aca="false">IF(ISNUMBER(C11075),MONTH(C11075),"")</f>
        <v/>
      </c>
      <c r="X11075" s="23" t="str">
        <f aca="false">IF(T11075="","",IF(T11075=0,"No discount",IF(T11075&lt;=0.2,"Low (1-20%)",IF(T11075&lt;=0.4,"Medium (21-40%)","High (&gt;40%)"))))</f>
        <v/>
      </c>
      <c r="Y11075" s="23" t="str">
        <f aca="false">IF(AND(ISNUMBER(C11075),ISNUMBER(D11075)),D11075-C11075,"")</f>
        <v/>
      </c>
      <c r="Z11075" s="23" t="str">
        <f aca="false">IF(B11075="","",IF(MATCH(B11075,$B$2:$B$12000,0)=ROW()-1,1,0))</f>
        <v/>
      </c>
    </row>
    <row r="11076" customFormat="false" ht="15" hidden="false" customHeight="false" outlineLevel="0" collapsed="false">
      <c r="V11076" s="23" t="str">
        <f aca="false">IF(ISNUMBER(C11076),YEAR(C11076),"")</f>
        <v/>
      </c>
      <c r="W11076" s="23" t="str">
        <f aca="false">IF(ISNUMBER(C11076),MONTH(C11076),"")</f>
        <v/>
      </c>
      <c r="X11076" s="23" t="str">
        <f aca="false">IF(T11076="","",IF(T11076=0,"No discount",IF(T11076&lt;=0.2,"Low (1-20%)",IF(T11076&lt;=0.4,"Medium (21-40%)","High (&gt;40%)"))))</f>
        <v/>
      </c>
      <c r="Y11076" s="23" t="str">
        <f aca="false">IF(AND(ISNUMBER(C11076),ISNUMBER(D11076)),D11076-C11076,"")</f>
        <v/>
      </c>
      <c r="Z11076" s="23" t="str">
        <f aca="false">IF(B11076="","",IF(MATCH(B11076,$B$2:$B$12000,0)=ROW()-1,1,0))</f>
        <v/>
      </c>
    </row>
    <row r="11077" customFormat="false" ht="15" hidden="false" customHeight="false" outlineLevel="0" collapsed="false">
      <c r="V11077" s="23" t="str">
        <f aca="false">IF(ISNUMBER(C11077),YEAR(C11077),"")</f>
        <v/>
      </c>
      <c r="W11077" s="23" t="str">
        <f aca="false">IF(ISNUMBER(C11077),MONTH(C11077),"")</f>
        <v/>
      </c>
      <c r="X11077" s="23" t="str">
        <f aca="false">IF(T11077="","",IF(T11077=0,"No discount",IF(T11077&lt;=0.2,"Low (1-20%)",IF(T11077&lt;=0.4,"Medium (21-40%)","High (&gt;40%)"))))</f>
        <v/>
      </c>
      <c r="Y11077" s="23" t="str">
        <f aca="false">IF(AND(ISNUMBER(C11077),ISNUMBER(D11077)),D11077-C11077,"")</f>
        <v/>
      </c>
      <c r="Z11077" s="23" t="str">
        <f aca="false">IF(B11077="","",IF(MATCH(B11077,$B$2:$B$12000,0)=ROW()-1,1,0))</f>
        <v/>
      </c>
    </row>
    <row r="11078" customFormat="false" ht="15" hidden="false" customHeight="false" outlineLevel="0" collapsed="false">
      <c r="V11078" s="23" t="str">
        <f aca="false">IF(ISNUMBER(C11078),YEAR(C11078),"")</f>
        <v/>
      </c>
      <c r="W11078" s="23" t="str">
        <f aca="false">IF(ISNUMBER(C11078),MONTH(C11078),"")</f>
        <v/>
      </c>
      <c r="X11078" s="23" t="str">
        <f aca="false">IF(T11078="","",IF(T11078=0,"No discount",IF(T11078&lt;=0.2,"Low (1-20%)",IF(T11078&lt;=0.4,"Medium (21-40%)","High (&gt;40%)"))))</f>
        <v/>
      </c>
      <c r="Y11078" s="23" t="str">
        <f aca="false">IF(AND(ISNUMBER(C11078),ISNUMBER(D11078)),D11078-C11078,"")</f>
        <v/>
      </c>
      <c r="Z11078" s="23" t="str">
        <f aca="false">IF(B11078="","",IF(MATCH(B11078,$B$2:$B$12000,0)=ROW()-1,1,0))</f>
        <v/>
      </c>
    </row>
    <row r="11079" customFormat="false" ht="15" hidden="false" customHeight="false" outlineLevel="0" collapsed="false">
      <c r="V11079" s="23" t="str">
        <f aca="false">IF(ISNUMBER(C11079),YEAR(C11079),"")</f>
        <v/>
      </c>
      <c r="W11079" s="23" t="str">
        <f aca="false">IF(ISNUMBER(C11079),MONTH(C11079),"")</f>
        <v/>
      </c>
      <c r="X11079" s="23" t="str">
        <f aca="false">IF(T11079="","",IF(T11079=0,"No discount",IF(T11079&lt;=0.2,"Low (1-20%)",IF(T11079&lt;=0.4,"Medium (21-40%)","High (&gt;40%)"))))</f>
        <v/>
      </c>
      <c r="Y11079" s="23" t="str">
        <f aca="false">IF(AND(ISNUMBER(C11079),ISNUMBER(D11079)),D11079-C11079,"")</f>
        <v/>
      </c>
      <c r="Z11079" s="23" t="str">
        <f aca="false">IF(B11079="","",IF(MATCH(B11079,$B$2:$B$12000,0)=ROW()-1,1,0))</f>
        <v/>
      </c>
    </row>
    <row r="11080" customFormat="false" ht="15" hidden="false" customHeight="false" outlineLevel="0" collapsed="false">
      <c r="V11080" s="23" t="str">
        <f aca="false">IF(ISNUMBER(C11080),YEAR(C11080),"")</f>
        <v/>
      </c>
      <c r="W11080" s="23" t="str">
        <f aca="false">IF(ISNUMBER(C11080),MONTH(C11080),"")</f>
        <v/>
      </c>
      <c r="X11080" s="23" t="str">
        <f aca="false">IF(T11080="","",IF(T11080=0,"No discount",IF(T11080&lt;=0.2,"Low (1-20%)",IF(T11080&lt;=0.4,"Medium (21-40%)","High (&gt;40%)"))))</f>
        <v/>
      </c>
      <c r="Y11080" s="23" t="str">
        <f aca="false">IF(AND(ISNUMBER(C11080),ISNUMBER(D11080)),D11080-C11080,"")</f>
        <v/>
      </c>
      <c r="Z11080" s="23" t="str">
        <f aca="false">IF(B11080="","",IF(MATCH(B11080,$B$2:$B$12000,0)=ROW()-1,1,0))</f>
        <v/>
      </c>
    </row>
    <row r="11081" customFormat="false" ht="15" hidden="false" customHeight="false" outlineLevel="0" collapsed="false">
      <c r="V11081" s="23" t="str">
        <f aca="false">IF(ISNUMBER(C11081),YEAR(C11081),"")</f>
        <v/>
      </c>
      <c r="W11081" s="23" t="str">
        <f aca="false">IF(ISNUMBER(C11081),MONTH(C11081),"")</f>
        <v/>
      </c>
      <c r="X11081" s="23" t="str">
        <f aca="false">IF(T11081="","",IF(T11081=0,"No discount",IF(T11081&lt;=0.2,"Low (1-20%)",IF(T11081&lt;=0.4,"Medium (21-40%)","High (&gt;40%)"))))</f>
        <v/>
      </c>
      <c r="Y11081" s="23" t="str">
        <f aca="false">IF(AND(ISNUMBER(C11081),ISNUMBER(D11081)),D11081-C11081,"")</f>
        <v/>
      </c>
      <c r="Z11081" s="23" t="str">
        <f aca="false">IF(B11081="","",IF(MATCH(B11081,$B$2:$B$12000,0)=ROW()-1,1,0))</f>
        <v/>
      </c>
    </row>
    <row r="11082" customFormat="false" ht="15" hidden="false" customHeight="false" outlineLevel="0" collapsed="false">
      <c r="V11082" s="23" t="str">
        <f aca="false">IF(ISNUMBER(C11082),YEAR(C11082),"")</f>
        <v/>
      </c>
      <c r="W11082" s="23" t="str">
        <f aca="false">IF(ISNUMBER(C11082),MONTH(C11082),"")</f>
        <v/>
      </c>
      <c r="X11082" s="23" t="str">
        <f aca="false">IF(T11082="","",IF(T11082=0,"No discount",IF(T11082&lt;=0.2,"Low (1-20%)",IF(T11082&lt;=0.4,"Medium (21-40%)","High (&gt;40%)"))))</f>
        <v/>
      </c>
      <c r="Y11082" s="23" t="str">
        <f aca="false">IF(AND(ISNUMBER(C11082),ISNUMBER(D11082)),D11082-C11082,"")</f>
        <v/>
      </c>
      <c r="Z11082" s="23" t="str">
        <f aca="false">IF(B11082="","",IF(MATCH(B11082,$B$2:$B$12000,0)=ROW()-1,1,0))</f>
        <v/>
      </c>
    </row>
    <row r="11083" customFormat="false" ht="15" hidden="false" customHeight="false" outlineLevel="0" collapsed="false">
      <c r="V11083" s="23" t="str">
        <f aca="false">IF(ISNUMBER(C11083),YEAR(C11083),"")</f>
        <v/>
      </c>
      <c r="W11083" s="23" t="str">
        <f aca="false">IF(ISNUMBER(C11083),MONTH(C11083),"")</f>
        <v/>
      </c>
      <c r="X11083" s="23" t="str">
        <f aca="false">IF(T11083="","",IF(T11083=0,"No discount",IF(T11083&lt;=0.2,"Low (1-20%)",IF(T11083&lt;=0.4,"Medium (21-40%)","High (&gt;40%)"))))</f>
        <v/>
      </c>
      <c r="Y11083" s="23" t="str">
        <f aca="false">IF(AND(ISNUMBER(C11083),ISNUMBER(D11083)),D11083-C11083,"")</f>
        <v/>
      </c>
      <c r="Z11083" s="23" t="str">
        <f aca="false">IF(B11083="","",IF(MATCH(B11083,$B$2:$B$12000,0)=ROW()-1,1,0))</f>
        <v/>
      </c>
    </row>
    <row r="11084" customFormat="false" ht="15" hidden="false" customHeight="false" outlineLevel="0" collapsed="false">
      <c r="V11084" s="23" t="str">
        <f aca="false">IF(ISNUMBER(C11084),YEAR(C11084),"")</f>
        <v/>
      </c>
      <c r="W11084" s="23" t="str">
        <f aca="false">IF(ISNUMBER(C11084),MONTH(C11084),"")</f>
        <v/>
      </c>
      <c r="X11084" s="23" t="str">
        <f aca="false">IF(T11084="","",IF(T11084=0,"No discount",IF(T11084&lt;=0.2,"Low (1-20%)",IF(T11084&lt;=0.4,"Medium (21-40%)","High (&gt;40%)"))))</f>
        <v/>
      </c>
      <c r="Y11084" s="23" t="str">
        <f aca="false">IF(AND(ISNUMBER(C11084),ISNUMBER(D11084)),D11084-C11084,"")</f>
        <v/>
      </c>
      <c r="Z11084" s="23" t="str">
        <f aca="false">IF(B11084="","",IF(MATCH(B11084,$B$2:$B$12000,0)=ROW()-1,1,0))</f>
        <v/>
      </c>
    </row>
    <row r="11085" customFormat="false" ht="15" hidden="false" customHeight="false" outlineLevel="0" collapsed="false">
      <c r="V11085" s="23" t="str">
        <f aca="false">IF(ISNUMBER(C11085),YEAR(C11085),"")</f>
        <v/>
      </c>
      <c r="W11085" s="23" t="str">
        <f aca="false">IF(ISNUMBER(C11085),MONTH(C11085),"")</f>
        <v/>
      </c>
      <c r="X11085" s="23" t="str">
        <f aca="false">IF(T11085="","",IF(T11085=0,"No discount",IF(T11085&lt;=0.2,"Low (1-20%)",IF(T11085&lt;=0.4,"Medium (21-40%)","High (&gt;40%)"))))</f>
        <v/>
      </c>
      <c r="Y11085" s="23" t="str">
        <f aca="false">IF(AND(ISNUMBER(C11085),ISNUMBER(D11085)),D11085-C11085,"")</f>
        <v/>
      </c>
      <c r="Z11085" s="23" t="str">
        <f aca="false">IF(B11085="","",IF(MATCH(B11085,$B$2:$B$12000,0)=ROW()-1,1,0))</f>
        <v/>
      </c>
    </row>
    <row r="11086" customFormat="false" ht="15" hidden="false" customHeight="false" outlineLevel="0" collapsed="false">
      <c r="V11086" s="23" t="str">
        <f aca="false">IF(ISNUMBER(C11086),YEAR(C11086),"")</f>
        <v/>
      </c>
      <c r="W11086" s="23" t="str">
        <f aca="false">IF(ISNUMBER(C11086),MONTH(C11086),"")</f>
        <v/>
      </c>
      <c r="X11086" s="23" t="str">
        <f aca="false">IF(T11086="","",IF(T11086=0,"No discount",IF(T11086&lt;=0.2,"Low (1-20%)",IF(T11086&lt;=0.4,"Medium (21-40%)","High (&gt;40%)"))))</f>
        <v/>
      </c>
      <c r="Y11086" s="23" t="str">
        <f aca="false">IF(AND(ISNUMBER(C11086),ISNUMBER(D11086)),D11086-C11086,"")</f>
        <v/>
      </c>
      <c r="Z11086" s="23" t="str">
        <f aca="false">IF(B11086="","",IF(MATCH(B11086,$B$2:$B$12000,0)=ROW()-1,1,0))</f>
        <v/>
      </c>
    </row>
    <row r="11087" customFormat="false" ht="15" hidden="false" customHeight="false" outlineLevel="0" collapsed="false">
      <c r="V11087" s="23" t="str">
        <f aca="false">IF(ISNUMBER(C11087),YEAR(C11087),"")</f>
        <v/>
      </c>
      <c r="W11087" s="23" t="str">
        <f aca="false">IF(ISNUMBER(C11087),MONTH(C11087),"")</f>
        <v/>
      </c>
      <c r="X11087" s="23" t="str">
        <f aca="false">IF(T11087="","",IF(T11087=0,"No discount",IF(T11087&lt;=0.2,"Low (1-20%)",IF(T11087&lt;=0.4,"Medium (21-40%)","High (&gt;40%)"))))</f>
        <v/>
      </c>
      <c r="Y11087" s="23" t="str">
        <f aca="false">IF(AND(ISNUMBER(C11087),ISNUMBER(D11087)),D11087-C11087,"")</f>
        <v/>
      </c>
      <c r="Z11087" s="23" t="str">
        <f aca="false">IF(B11087="","",IF(MATCH(B11087,$B$2:$B$12000,0)=ROW()-1,1,0))</f>
        <v/>
      </c>
    </row>
    <row r="11088" customFormat="false" ht="15" hidden="false" customHeight="false" outlineLevel="0" collapsed="false">
      <c r="V11088" s="23" t="str">
        <f aca="false">IF(ISNUMBER(C11088),YEAR(C11088),"")</f>
        <v/>
      </c>
      <c r="W11088" s="23" t="str">
        <f aca="false">IF(ISNUMBER(C11088),MONTH(C11088),"")</f>
        <v/>
      </c>
      <c r="X11088" s="23" t="str">
        <f aca="false">IF(T11088="","",IF(T11088=0,"No discount",IF(T11088&lt;=0.2,"Low (1-20%)",IF(T11088&lt;=0.4,"Medium (21-40%)","High (&gt;40%)"))))</f>
        <v/>
      </c>
      <c r="Y11088" s="23" t="str">
        <f aca="false">IF(AND(ISNUMBER(C11088),ISNUMBER(D11088)),D11088-C11088,"")</f>
        <v/>
      </c>
      <c r="Z11088" s="23" t="str">
        <f aca="false">IF(B11088="","",IF(MATCH(B11088,$B$2:$B$12000,0)=ROW()-1,1,0))</f>
        <v/>
      </c>
    </row>
    <row r="11089" customFormat="false" ht="15" hidden="false" customHeight="false" outlineLevel="0" collapsed="false">
      <c r="V11089" s="23" t="str">
        <f aca="false">IF(ISNUMBER(C11089),YEAR(C11089),"")</f>
        <v/>
      </c>
      <c r="W11089" s="23" t="str">
        <f aca="false">IF(ISNUMBER(C11089),MONTH(C11089),"")</f>
        <v/>
      </c>
      <c r="X11089" s="23" t="str">
        <f aca="false">IF(T11089="","",IF(T11089=0,"No discount",IF(T11089&lt;=0.2,"Low (1-20%)",IF(T11089&lt;=0.4,"Medium (21-40%)","High (&gt;40%)"))))</f>
        <v/>
      </c>
      <c r="Y11089" s="23" t="str">
        <f aca="false">IF(AND(ISNUMBER(C11089),ISNUMBER(D11089)),D11089-C11089,"")</f>
        <v/>
      </c>
      <c r="Z11089" s="23" t="str">
        <f aca="false">IF(B11089="","",IF(MATCH(B11089,$B$2:$B$12000,0)=ROW()-1,1,0))</f>
        <v/>
      </c>
    </row>
    <row r="11090" customFormat="false" ht="15" hidden="false" customHeight="false" outlineLevel="0" collapsed="false">
      <c r="V11090" s="23" t="str">
        <f aca="false">IF(ISNUMBER(C11090),YEAR(C11090),"")</f>
        <v/>
      </c>
      <c r="W11090" s="23" t="str">
        <f aca="false">IF(ISNUMBER(C11090),MONTH(C11090),"")</f>
        <v/>
      </c>
      <c r="X11090" s="23" t="str">
        <f aca="false">IF(T11090="","",IF(T11090=0,"No discount",IF(T11090&lt;=0.2,"Low (1-20%)",IF(T11090&lt;=0.4,"Medium (21-40%)","High (&gt;40%)"))))</f>
        <v/>
      </c>
      <c r="Y11090" s="23" t="str">
        <f aca="false">IF(AND(ISNUMBER(C11090),ISNUMBER(D11090)),D11090-C11090,"")</f>
        <v/>
      </c>
      <c r="Z11090" s="23" t="str">
        <f aca="false">IF(B11090="","",IF(MATCH(B11090,$B$2:$B$12000,0)=ROW()-1,1,0))</f>
        <v/>
      </c>
    </row>
    <row r="11091" customFormat="false" ht="15" hidden="false" customHeight="false" outlineLevel="0" collapsed="false">
      <c r="V11091" s="23" t="str">
        <f aca="false">IF(ISNUMBER(C11091),YEAR(C11091),"")</f>
        <v/>
      </c>
      <c r="W11091" s="23" t="str">
        <f aca="false">IF(ISNUMBER(C11091),MONTH(C11091),"")</f>
        <v/>
      </c>
      <c r="X11091" s="23" t="str">
        <f aca="false">IF(T11091="","",IF(T11091=0,"No discount",IF(T11091&lt;=0.2,"Low (1-20%)",IF(T11091&lt;=0.4,"Medium (21-40%)","High (&gt;40%)"))))</f>
        <v/>
      </c>
      <c r="Y11091" s="23" t="str">
        <f aca="false">IF(AND(ISNUMBER(C11091),ISNUMBER(D11091)),D11091-C11091,"")</f>
        <v/>
      </c>
      <c r="Z11091" s="23" t="str">
        <f aca="false">IF(B11091="","",IF(MATCH(B11091,$B$2:$B$12000,0)=ROW()-1,1,0))</f>
        <v/>
      </c>
    </row>
    <row r="11092" customFormat="false" ht="15" hidden="false" customHeight="false" outlineLevel="0" collapsed="false">
      <c r="V11092" s="23" t="str">
        <f aca="false">IF(ISNUMBER(C11092),YEAR(C11092),"")</f>
        <v/>
      </c>
      <c r="W11092" s="23" t="str">
        <f aca="false">IF(ISNUMBER(C11092),MONTH(C11092),"")</f>
        <v/>
      </c>
      <c r="X11092" s="23" t="str">
        <f aca="false">IF(T11092="","",IF(T11092=0,"No discount",IF(T11092&lt;=0.2,"Low (1-20%)",IF(T11092&lt;=0.4,"Medium (21-40%)","High (&gt;40%)"))))</f>
        <v/>
      </c>
      <c r="Y11092" s="23" t="str">
        <f aca="false">IF(AND(ISNUMBER(C11092),ISNUMBER(D11092)),D11092-C11092,"")</f>
        <v/>
      </c>
      <c r="Z11092" s="23" t="str">
        <f aca="false">IF(B11092="","",IF(MATCH(B11092,$B$2:$B$12000,0)=ROW()-1,1,0))</f>
        <v/>
      </c>
    </row>
    <row r="11093" customFormat="false" ht="15" hidden="false" customHeight="false" outlineLevel="0" collapsed="false">
      <c r="V11093" s="23" t="str">
        <f aca="false">IF(ISNUMBER(C11093),YEAR(C11093),"")</f>
        <v/>
      </c>
      <c r="W11093" s="23" t="str">
        <f aca="false">IF(ISNUMBER(C11093),MONTH(C11093),"")</f>
        <v/>
      </c>
      <c r="X11093" s="23" t="str">
        <f aca="false">IF(T11093="","",IF(T11093=0,"No discount",IF(T11093&lt;=0.2,"Low (1-20%)",IF(T11093&lt;=0.4,"Medium (21-40%)","High (&gt;40%)"))))</f>
        <v/>
      </c>
      <c r="Y11093" s="23" t="str">
        <f aca="false">IF(AND(ISNUMBER(C11093),ISNUMBER(D11093)),D11093-C11093,"")</f>
        <v/>
      </c>
      <c r="Z11093" s="23" t="str">
        <f aca="false">IF(B11093="","",IF(MATCH(B11093,$B$2:$B$12000,0)=ROW()-1,1,0))</f>
        <v/>
      </c>
    </row>
    <row r="11094" customFormat="false" ht="15" hidden="false" customHeight="false" outlineLevel="0" collapsed="false">
      <c r="V11094" s="23" t="str">
        <f aca="false">IF(ISNUMBER(C11094),YEAR(C11094),"")</f>
        <v/>
      </c>
      <c r="W11094" s="23" t="str">
        <f aca="false">IF(ISNUMBER(C11094),MONTH(C11094),"")</f>
        <v/>
      </c>
      <c r="X11094" s="23" t="str">
        <f aca="false">IF(T11094="","",IF(T11094=0,"No discount",IF(T11094&lt;=0.2,"Low (1-20%)",IF(T11094&lt;=0.4,"Medium (21-40%)","High (&gt;40%)"))))</f>
        <v/>
      </c>
      <c r="Y11094" s="23" t="str">
        <f aca="false">IF(AND(ISNUMBER(C11094),ISNUMBER(D11094)),D11094-C11094,"")</f>
        <v/>
      </c>
      <c r="Z11094" s="23" t="str">
        <f aca="false">IF(B11094="","",IF(MATCH(B11094,$B$2:$B$12000,0)=ROW()-1,1,0))</f>
        <v/>
      </c>
    </row>
    <row r="11095" customFormat="false" ht="15" hidden="false" customHeight="false" outlineLevel="0" collapsed="false">
      <c r="V11095" s="23" t="str">
        <f aca="false">IF(ISNUMBER(C11095),YEAR(C11095),"")</f>
        <v/>
      </c>
      <c r="W11095" s="23" t="str">
        <f aca="false">IF(ISNUMBER(C11095),MONTH(C11095),"")</f>
        <v/>
      </c>
      <c r="X11095" s="23" t="str">
        <f aca="false">IF(T11095="","",IF(T11095=0,"No discount",IF(T11095&lt;=0.2,"Low (1-20%)",IF(T11095&lt;=0.4,"Medium (21-40%)","High (&gt;40%)"))))</f>
        <v/>
      </c>
      <c r="Y11095" s="23" t="str">
        <f aca="false">IF(AND(ISNUMBER(C11095),ISNUMBER(D11095)),D11095-C11095,"")</f>
        <v/>
      </c>
      <c r="Z11095" s="23" t="str">
        <f aca="false">IF(B11095="","",IF(MATCH(B11095,$B$2:$B$12000,0)=ROW()-1,1,0))</f>
        <v/>
      </c>
    </row>
    <row r="11096" customFormat="false" ht="15" hidden="false" customHeight="false" outlineLevel="0" collapsed="false">
      <c r="V11096" s="23" t="str">
        <f aca="false">IF(ISNUMBER(C11096),YEAR(C11096),"")</f>
        <v/>
      </c>
      <c r="W11096" s="23" t="str">
        <f aca="false">IF(ISNUMBER(C11096),MONTH(C11096),"")</f>
        <v/>
      </c>
      <c r="X11096" s="23" t="str">
        <f aca="false">IF(T11096="","",IF(T11096=0,"No discount",IF(T11096&lt;=0.2,"Low (1-20%)",IF(T11096&lt;=0.4,"Medium (21-40%)","High (&gt;40%)"))))</f>
        <v/>
      </c>
      <c r="Y11096" s="23" t="str">
        <f aca="false">IF(AND(ISNUMBER(C11096),ISNUMBER(D11096)),D11096-C11096,"")</f>
        <v/>
      </c>
      <c r="Z11096" s="23" t="str">
        <f aca="false">IF(B11096="","",IF(MATCH(B11096,$B$2:$B$12000,0)=ROW()-1,1,0))</f>
        <v/>
      </c>
    </row>
    <row r="11097" customFormat="false" ht="15" hidden="false" customHeight="false" outlineLevel="0" collapsed="false">
      <c r="V11097" s="23" t="str">
        <f aca="false">IF(ISNUMBER(C11097),YEAR(C11097),"")</f>
        <v/>
      </c>
      <c r="W11097" s="23" t="str">
        <f aca="false">IF(ISNUMBER(C11097),MONTH(C11097),"")</f>
        <v/>
      </c>
      <c r="X11097" s="23" t="str">
        <f aca="false">IF(T11097="","",IF(T11097=0,"No discount",IF(T11097&lt;=0.2,"Low (1-20%)",IF(T11097&lt;=0.4,"Medium (21-40%)","High (&gt;40%)"))))</f>
        <v/>
      </c>
      <c r="Y11097" s="23" t="str">
        <f aca="false">IF(AND(ISNUMBER(C11097),ISNUMBER(D11097)),D11097-C11097,"")</f>
        <v/>
      </c>
      <c r="Z11097" s="23" t="str">
        <f aca="false">IF(B11097="","",IF(MATCH(B11097,$B$2:$B$12000,0)=ROW()-1,1,0))</f>
        <v/>
      </c>
    </row>
    <row r="11098" customFormat="false" ht="15" hidden="false" customHeight="false" outlineLevel="0" collapsed="false">
      <c r="V11098" s="23" t="str">
        <f aca="false">IF(ISNUMBER(C11098),YEAR(C11098),"")</f>
        <v/>
      </c>
      <c r="W11098" s="23" t="str">
        <f aca="false">IF(ISNUMBER(C11098),MONTH(C11098),"")</f>
        <v/>
      </c>
      <c r="X11098" s="23" t="str">
        <f aca="false">IF(T11098="","",IF(T11098=0,"No discount",IF(T11098&lt;=0.2,"Low (1-20%)",IF(T11098&lt;=0.4,"Medium (21-40%)","High (&gt;40%)"))))</f>
        <v/>
      </c>
      <c r="Y11098" s="23" t="str">
        <f aca="false">IF(AND(ISNUMBER(C11098),ISNUMBER(D11098)),D11098-C11098,"")</f>
        <v/>
      </c>
      <c r="Z11098" s="23" t="str">
        <f aca="false">IF(B11098="","",IF(MATCH(B11098,$B$2:$B$12000,0)=ROW()-1,1,0))</f>
        <v/>
      </c>
    </row>
    <row r="11099" customFormat="false" ht="15" hidden="false" customHeight="false" outlineLevel="0" collapsed="false">
      <c r="V11099" s="23" t="str">
        <f aca="false">IF(ISNUMBER(C11099),YEAR(C11099),"")</f>
        <v/>
      </c>
      <c r="W11099" s="23" t="str">
        <f aca="false">IF(ISNUMBER(C11099),MONTH(C11099),"")</f>
        <v/>
      </c>
      <c r="X11099" s="23" t="str">
        <f aca="false">IF(T11099="","",IF(T11099=0,"No discount",IF(T11099&lt;=0.2,"Low (1-20%)",IF(T11099&lt;=0.4,"Medium (21-40%)","High (&gt;40%)"))))</f>
        <v/>
      </c>
      <c r="Y11099" s="23" t="str">
        <f aca="false">IF(AND(ISNUMBER(C11099),ISNUMBER(D11099)),D11099-C11099,"")</f>
        <v/>
      </c>
      <c r="Z11099" s="23" t="str">
        <f aca="false">IF(B11099="","",IF(MATCH(B11099,$B$2:$B$12000,0)=ROW()-1,1,0))</f>
        <v/>
      </c>
    </row>
    <row r="11100" customFormat="false" ht="15" hidden="false" customHeight="false" outlineLevel="0" collapsed="false">
      <c r="V11100" s="23" t="str">
        <f aca="false">IF(ISNUMBER(C11100),YEAR(C11100),"")</f>
        <v/>
      </c>
      <c r="W11100" s="23" t="str">
        <f aca="false">IF(ISNUMBER(C11100),MONTH(C11100),"")</f>
        <v/>
      </c>
      <c r="X11100" s="23" t="str">
        <f aca="false">IF(T11100="","",IF(T11100=0,"No discount",IF(T11100&lt;=0.2,"Low (1-20%)",IF(T11100&lt;=0.4,"Medium (21-40%)","High (&gt;40%)"))))</f>
        <v/>
      </c>
      <c r="Y11100" s="23" t="str">
        <f aca="false">IF(AND(ISNUMBER(C11100),ISNUMBER(D11100)),D11100-C11100,"")</f>
        <v/>
      </c>
      <c r="Z11100" s="23" t="str">
        <f aca="false">IF(B11100="","",IF(MATCH(B11100,$B$2:$B$12000,0)=ROW()-1,1,0))</f>
        <v/>
      </c>
    </row>
    <row r="11101" customFormat="false" ht="15" hidden="false" customHeight="false" outlineLevel="0" collapsed="false">
      <c r="V11101" s="23" t="str">
        <f aca="false">IF(ISNUMBER(C11101),YEAR(C11101),"")</f>
        <v/>
      </c>
      <c r="W11101" s="23" t="str">
        <f aca="false">IF(ISNUMBER(C11101),MONTH(C11101),"")</f>
        <v/>
      </c>
      <c r="X11101" s="23" t="str">
        <f aca="false">IF(T11101="","",IF(T11101=0,"No discount",IF(T11101&lt;=0.2,"Low (1-20%)",IF(T11101&lt;=0.4,"Medium (21-40%)","High (&gt;40%)"))))</f>
        <v/>
      </c>
      <c r="Y11101" s="23" t="str">
        <f aca="false">IF(AND(ISNUMBER(C11101),ISNUMBER(D11101)),D11101-C11101,"")</f>
        <v/>
      </c>
      <c r="Z11101" s="23" t="str">
        <f aca="false">IF(B11101="","",IF(MATCH(B11101,$B$2:$B$12000,0)=ROW()-1,1,0))</f>
        <v/>
      </c>
    </row>
    <row r="11102" customFormat="false" ht="15" hidden="false" customHeight="false" outlineLevel="0" collapsed="false">
      <c r="V11102" s="23" t="str">
        <f aca="false">IF(ISNUMBER(C11102),YEAR(C11102),"")</f>
        <v/>
      </c>
      <c r="W11102" s="23" t="str">
        <f aca="false">IF(ISNUMBER(C11102),MONTH(C11102),"")</f>
        <v/>
      </c>
      <c r="X11102" s="23" t="str">
        <f aca="false">IF(T11102="","",IF(T11102=0,"No discount",IF(T11102&lt;=0.2,"Low (1-20%)",IF(T11102&lt;=0.4,"Medium (21-40%)","High (&gt;40%)"))))</f>
        <v/>
      </c>
      <c r="Y11102" s="23" t="str">
        <f aca="false">IF(AND(ISNUMBER(C11102),ISNUMBER(D11102)),D11102-C11102,"")</f>
        <v/>
      </c>
      <c r="Z11102" s="23" t="str">
        <f aca="false">IF(B11102="","",IF(MATCH(B11102,$B$2:$B$12000,0)=ROW()-1,1,0))</f>
        <v/>
      </c>
    </row>
    <row r="11103" customFormat="false" ht="15" hidden="false" customHeight="false" outlineLevel="0" collapsed="false">
      <c r="V11103" s="23" t="str">
        <f aca="false">IF(ISNUMBER(C11103),YEAR(C11103),"")</f>
        <v/>
      </c>
      <c r="W11103" s="23" t="str">
        <f aca="false">IF(ISNUMBER(C11103),MONTH(C11103),"")</f>
        <v/>
      </c>
      <c r="X11103" s="23" t="str">
        <f aca="false">IF(T11103="","",IF(T11103=0,"No discount",IF(T11103&lt;=0.2,"Low (1-20%)",IF(T11103&lt;=0.4,"Medium (21-40%)","High (&gt;40%)"))))</f>
        <v/>
      </c>
      <c r="Y11103" s="23" t="str">
        <f aca="false">IF(AND(ISNUMBER(C11103),ISNUMBER(D11103)),D11103-C11103,"")</f>
        <v/>
      </c>
      <c r="Z11103" s="23" t="str">
        <f aca="false">IF(B11103="","",IF(MATCH(B11103,$B$2:$B$12000,0)=ROW()-1,1,0))</f>
        <v/>
      </c>
    </row>
    <row r="11104" customFormat="false" ht="15" hidden="false" customHeight="false" outlineLevel="0" collapsed="false">
      <c r="V11104" s="23" t="str">
        <f aca="false">IF(ISNUMBER(C11104),YEAR(C11104),"")</f>
        <v/>
      </c>
      <c r="W11104" s="23" t="str">
        <f aca="false">IF(ISNUMBER(C11104),MONTH(C11104),"")</f>
        <v/>
      </c>
      <c r="X11104" s="23" t="str">
        <f aca="false">IF(T11104="","",IF(T11104=0,"No discount",IF(T11104&lt;=0.2,"Low (1-20%)",IF(T11104&lt;=0.4,"Medium (21-40%)","High (&gt;40%)"))))</f>
        <v/>
      </c>
      <c r="Y11104" s="23" t="str">
        <f aca="false">IF(AND(ISNUMBER(C11104),ISNUMBER(D11104)),D11104-C11104,"")</f>
        <v/>
      </c>
      <c r="Z11104" s="23" t="str">
        <f aca="false">IF(B11104="","",IF(MATCH(B11104,$B$2:$B$12000,0)=ROW()-1,1,0))</f>
        <v/>
      </c>
    </row>
    <row r="11105" customFormat="false" ht="15" hidden="false" customHeight="false" outlineLevel="0" collapsed="false">
      <c r="V11105" s="23" t="str">
        <f aca="false">IF(ISNUMBER(C11105),YEAR(C11105),"")</f>
        <v/>
      </c>
      <c r="W11105" s="23" t="str">
        <f aca="false">IF(ISNUMBER(C11105),MONTH(C11105),"")</f>
        <v/>
      </c>
      <c r="X11105" s="23" t="str">
        <f aca="false">IF(T11105="","",IF(T11105=0,"No discount",IF(T11105&lt;=0.2,"Low (1-20%)",IF(T11105&lt;=0.4,"Medium (21-40%)","High (&gt;40%)"))))</f>
        <v/>
      </c>
      <c r="Y11105" s="23" t="str">
        <f aca="false">IF(AND(ISNUMBER(C11105),ISNUMBER(D11105)),D11105-C11105,"")</f>
        <v/>
      </c>
      <c r="Z11105" s="23" t="str">
        <f aca="false">IF(B11105="","",IF(MATCH(B11105,$B$2:$B$12000,0)=ROW()-1,1,0))</f>
        <v/>
      </c>
    </row>
    <row r="11106" customFormat="false" ht="15" hidden="false" customHeight="false" outlineLevel="0" collapsed="false">
      <c r="V11106" s="23" t="str">
        <f aca="false">IF(ISNUMBER(C11106),YEAR(C11106),"")</f>
        <v/>
      </c>
      <c r="W11106" s="23" t="str">
        <f aca="false">IF(ISNUMBER(C11106),MONTH(C11106),"")</f>
        <v/>
      </c>
      <c r="X11106" s="23" t="str">
        <f aca="false">IF(T11106="","",IF(T11106=0,"No discount",IF(T11106&lt;=0.2,"Low (1-20%)",IF(T11106&lt;=0.4,"Medium (21-40%)","High (&gt;40%)"))))</f>
        <v/>
      </c>
      <c r="Y11106" s="23" t="str">
        <f aca="false">IF(AND(ISNUMBER(C11106),ISNUMBER(D11106)),D11106-C11106,"")</f>
        <v/>
      </c>
      <c r="Z11106" s="23" t="str">
        <f aca="false">IF(B11106="","",IF(MATCH(B11106,$B$2:$B$12000,0)=ROW()-1,1,0))</f>
        <v/>
      </c>
    </row>
    <row r="11107" customFormat="false" ht="15" hidden="false" customHeight="false" outlineLevel="0" collapsed="false">
      <c r="V11107" s="23" t="str">
        <f aca="false">IF(ISNUMBER(C11107),YEAR(C11107),"")</f>
        <v/>
      </c>
      <c r="W11107" s="23" t="str">
        <f aca="false">IF(ISNUMBER(C11107),MONTH(C11107),"")</f>
        <v/>
      </c>
      <c r="X11107" s="23" t="str">
        <f aca="false">IF(T11107="","",IF(T11107=0,"No discount",IF(T11107&lt;=0.2,"Low (1-20%)",IF(T11107&lt;=0.4,"Medium (21-40%)","High (&gt;40%)"))))</f>
        <v/>
      </c>
      <c r="Y11107" s="23" t="str">
        <f aca="false">IF(AND(ISNUMBER(C11107),ISNUMBER(D11107)),D11107-C11107,"")</f>
        <v/>
      </c>
      <c r="Z11107" s="23" t="str">
        <f aca="false">IF(B11107="","",IF(MATCH(B11107,$B$2:$B$12000,0)=ROW()-1,1,0))</f>
        <v/>
      </c>
    </row>
    <row r="11108" customFormat="false" ht="15" hidden="false" customHeight="false" outlineLevel="0" collapsed="false">
      <c r="V11108" s="23" t="str">
        <f aca="false">IF(ISNUMBER(C11108),YEAR(C11108),"")</f>
        <v/>
      </c>
      <c r="W11108" s="23" t="str">
        <f aca="false">IF(ISNUMBER(C11108),MONTH(C11108),"")</f>
        <v/>
      </c>
      <c r="X11108" s="23" t="str">
        <f aca="false">IF(T11108="","",IF(T11108=0,"No discount",IF(T11108&lt;=0.2,"Low (1-20%)",IF(T11108&lt;=0.4,"Medium (21-40%)","High (&gt;40%)"))))</f>
        <v/>
      </c>
      <c r="Y11108" s="23" t="str">
        <f aca="false">IF(AND(ISNUMBER(C11108),ISNUMBER(D11108)),D11108-C11108,"")</f>
        <v/>
      </c>
      <c r="Z11108" s="23" t="str">
        <f aca="false">IF(B11108="","",IF(MATCH(B11108,$B$2:$B$12000,0)=ROW()-1,1,0))</f>
        <v/>
      </c>
    </row>
    <row r="11109" customFormat="false" ht="15" hidden="false" customHeight="false" outlineLevel="0" collapsed="false">
      <c r="V11109" s="23" t="str">
        <f aca="false">IF(ISNUMBER(C11109),YEAR(C11109),"")</f>
        <v/>
      </c>
      <c r="W11109" s="23" t="str">
        <f aca="false">IF(ISNUMBER(C11109),MONTH(C11109),"")</f>
        <v/>
      </c>
      <c r="X11109" s="23" t="str">
        <f aca="false">IF(T11109="","",IF(T11109=0,"No discount",IF(T11109&lt;=0.2,"Low (1-20%)",IF(T11109&lt;=0.4,"Medium (21-40%)","High (&gt;40%)"))))</f>
        <v/>
      </c>
      <c r="Y11109" s="23" t="str">
        <f aca="false">IF(AND(ISNUMBER(C11109),ISNUMBER(D11109)),D11109-C11109,"")</f>
        <v/>
      </c>
      <c r="Z11109" s="23" t="str">
        <f aca="false">IF(B11109="","",IF(MATCH(B11109,$B$2:$B$12000,0)=ROW()-1,1,0))</f>
        <v/>
      </c>
    </row>
    <row r="11110" customFormat="false" ht="15" hidden="false" customHeight="false" outlineLevel="0" collapsed="false">
      <c r="V11110" s="23" t="str">
        <f aca="false">IF(ISNUMBER(C11110),YEAR(C11110),"")</f>
        <v/>
      </c>
      <c r="W11110" s="23" t="str">
        <f aca="false">IF(ISNUMBER(C11110),MONTH(C11110),"")</f>
        <v/>
      </c>
      <c r="X11110" s="23" t="str">
        <f aca="false">IF(T11110="","",IF(T11110=0,"No discount",IF(T11110&lt;=0.2,"Low (1-20%)",IF(T11110&lt;=0.4,"Medium (21-40%)","High (&gt;40%)"))))</f>
        <v/>
      </c>
      <c r="Y11110" s="23" t="str">
        <f aca="false">IF(AND(ISNUMBER(C11110),ISNUMBER(D11110)),D11110-C11110,"")</f>
        <v/>
      </c>
      <c r="Z11110" s="23" t="str">
        <f aca="false">IF(B11110="","",IF(MATCH(B11110,$B$2:$B$12000,0)=ROW()-1,1,0))</f>
        <v/>
      </c>
    </row>
    <row r="11111" customFormat="false" ht="15" hidden="false" customHeight="false" outlineLevel="0" collapsed="false">
      <c r="V11111" s="23" t="str">
        <f aca="false">IF(ISNUMBER(C11111),YEAR(C11111),"")</f>
        <v/>
      </c>
      <c r="W11111" s="23" t="str">
        <f aca="false">IF(ISNUMBER(C11111),MONTH(C11111),"")</f>
        <v/>
      </c>
      <c r="X11111" s="23" t="str">
        <f aca="false">IF(T11111="","",IF(T11111=0,"No discount",IF(T11111&lt;=0.2,"Low (1-20%)",IF(T11111&lt;=0.4,"Medium (21-40%)","High (&gt;40%)"))))</f>
        <v/>
      </c>
      <c r="Y11111" s="23" t="str">
        <f aca="false">IF(AND(ISNUMBER(C11111),ISNUMBER(D11111)),D11111-C11111,"")</f>
        <v/>
      </c>
      <c r="Z11111" s="23" t="str">
        <f aca="false">IF(B11111="","",IF(MATCH(B11111,$B$2:$B$12000,0)=ROW()-1,1,0))</f>
        <v/>
      </c>
    </row>
    <row r="11112" customFormat="false" ht="15" hidden="false" customHeight="false" outlineLevel="0" collapsed="false">
      <c r="V11112" s="23" t="str">
        <f aca="false">IF(ISNUMBER(C11112),YEAR(C11112),"")</f>
        <v/>
      </c>
      <c r="W11112" s="23" t="str">
        <f aca="false">IF(ISNUMBER(C11112),MONTH(C11112),"")</f>
        <v/>
      </c>
      <c r="X11112" s="23" t="str">
        <f aca="false">IF(T11112="","",IF(T11112=0,"No discount",IF(T11112&lt;=0.2,"Low (1-20%)",IF(T11112&lt;=0.4,"Medium (21-40%)","High (&gt;40%)"))))</f>
        <v/>
      </c>
      <c r="Y11112" s="23" t="str">
        <f aca="false">IF(AND(ISNUMBER(C11112),ISNUMBER(D11112)),D11112-C11112,"")</f>
        <v/>
      </c>
      <c r="Z11112" s="23" t="str">
        <f aca="false">IF(B11112="","",IF(MATCH(B11112,$B$2:$B$12000,0)=ROW()-1,1,0))</f>
        <v/>
      </c>
    </row>
    <row r="11113" customFormat="false" ht="15" hidden="false" customHeight="false" outlineLevel="0" collapsed="false">
      <c r="V11113" s="23" t="str">
        <f aca="false">IF(ISNUMBER(C11113),YEAR(C11113),"")</f>
        <v/>
      </c>
      <c r="W11113" s="23" t="str">
        <f aca="false">IF(ISNUMBER(C11113),MONTH(C11113),"")</f>
        <v/>
      </c>
      <c r="X11113" s="23" t="str">
        <f aca="false">IF(T11113="","",IF(T11113=0,"No discount",IF(T11113&lt;=0.2,"Low (1-20%)",IF(T11113&lt;=0.4,"Medium (21-40%)","High (&gt;40%)"))))</f>
        <v/>
      </c>
      <c r="Y11113" s="23" t="str">
        <f aca="false">IF(AND(ISNUMBER(C11113),ISNUMBER(D11113)),D11113-C11113,"")</f>
        <v/>
      </c>
      <c r="Z11113" s="23" t="str">
        <f aca="false">IF(B11113="","",IF(MATCH(B11113,$B$2:$B$12000,0)=ROW()-1,1,0))</f>
        <v/>
      </c>
    </row>
    <row r="11114" customFormat="false" ht="15" hidden="false" customHeight="false" outlineLevel="0" collapsed="false">
      <c r="V11114" s="23" t="str">
        <f aca="false">IF(ISNUMBER(C11114),YEAR(C11114),"")</f>
        <v/>
      </c>
      <c r="W11114" s="23" t="str">
        <f aca="false">IF(ISNUMBER(C11114),MONTH(C11114),"")</f>
        <v/>
      </c>
      <c r="X11114" s="23" t="str">
        <f aca="false">IF(T11114="","",IF(T11114=0,"No discount",IF(T11114&lt;=0.2,"Low (1-20%)",IF(T11114&lt;=0.4,"Medium (21-40%)","High (&gt;40%)"))))</f>
        <v/>
      </c>
      <c r="Y11114" s="23" t="str">
        <f aca="false">IF(AND(ISNUMBER(C11114),ISNUMBER(D11114)),D11114-C11114,"")</f>
        <v/>
      </c>
      <c r="Z11114" s="23" t="str">
        <f aca="false">IF(B11114="","",IF(MATCH(B11114,$B$2:$B$12000,0)=ROW()-1,1,0))</f>
        <v/>
      </c>
    </row>
    <row r="11115" customFormat="false" ht="15" hidden="false" customHeight="false" outlineLevel="0" collapsed="false">
      <c r="V11115" s="23" t="str">
        <f aca="false">IF(ISNUMBER(C11115),YEAR(C11115),"")</f>
        <v/>
      </c>
      <c r="W11115" s="23" t="str">
        <f aca="false">IF(ISNUMBER(C11115),MONTH(C11115),"")</f>
        <v/>
      </c>
      <c r="X11115" s="23" t="str">
        <f aca="false">IF(T11115="","",IF(T11115=0,"No discount",IF(T11115&lt;=0.2,"Low (1-20%)",IF(T11115&lt;=0.4,"Medium (21-40%)","High (&gt;40%)"))))</f>
        <v/>
      </c>
      <c r="Y11115" s="23" t="str">
        <f aca="false">IF(AND(ISNUMBER(C11115),ISNUMBER(D11115)),D11115-C11115,"")</f>
        <v/>
      </c>
      <c r="Z11115" s="23" t="str">
        <f aca="false">IF(B11115="","",IF(MATCH(B11115,$B$2:$B$12000,0)=ROW()-1,1,0))</f>
        <v/>
      </c>
    </row>
    <row r="11116" customFormat="false" ht="15" hidden="false" customHeight="false" outlineLevel="0" collapsed="false">
      <c r="V11116" s="23" t="str">
        <f aca="false">IF(ISNUMBER(C11116),YEAR(C11116),"")</f>
        <v/>
      </c>
      <c r="W11116" s="23" t="str">
        <f aca="false">IF(ISNUMBER(C11116),MONTH(C11116),"")</f>
        <v/>
      </c>
      <c r="X11116" s="23" t="str">
        <f aca="false">IF(T11116="","",IF(T11116=0,"No discount",IF(T11116&lt;=0.2,"Low (1-20%)",IF(T11116&lt;=0.4,"Medium (21-40%)","High (&gt;40%)"))))</f>
        <v/>
      </c>
      <c r="Y11116" s="23" t="str">
        <f aca="false">IF(AND(ISNUMBER(C11116),ISNUMBER(D11116)),D11116-C11116,"")</f>
        <v/>
      </c>
      <c r="Z11116" s="23" t="str">
        <f aca="false">IF(B11116="","",IF(MATCH(B11116,$B$2:$B$12000,0)=ROW()-1,1,0))</f>
        <v/>
      </c>
    </row>
    <row r="11117" customFormat="false" ht="15" hidden="false" customHeight="false" outlineLevel="0" collapsed="false">
      <c r="V11117" s="23" t="str">
        <f aca="false">IF(ISNUMBER(C11117),YEAR(C11117),"")</f>
        <v/>
      </c>
      <c r="W11117" s="23" t="str">
        <f aca="false">IF(ISNUMBER(C11117),MONTH(C11117),"")</f>
        <v/>
      </c>
      <c r="X11117" s="23" t="str">
        <f aca="false">IF(T11117="","",IF(T11117=0,"No discount",IF(T11117&lt;=0.2,"Low (1-20%)",IF(T11117&lt;=0.4,"Medium (21-40%)","High (&gt;40%)"))))</f>
        <v/>
      </c>
      <c r="Y11117" s="23" t="str">
        <f aca="false">IF(AND(ISNUMBER(C11117),ISNUMBER(D11117)),D11117-C11117,"")</f>
        <v/>
      </c>
      <c r="Z11117" s="23" t="str">
        <f aca="false">IF(B11117="","",IF(MATCH(B11117,$B$2:$B$12000,0)=ROW()-1,1,0))</f>
        <v/>
      </c>
    </row>
    <row r="11118" customFormat="false" ht="15" hidden="false" customHeight="false" outlineLevel="0" collapsed="false">
      <c r="V11118" s="23" t="str">
        <f aca="false">IF(ISNUMBER(C11118),YEAR(C11118),"")</f>
        <v/>
      </c>
      <c r="W11118" s="23" t="str">
        <f aca="false">IF(ISNUMBER(C11118),MONTH(C11118),"")</f>
        <v/>
      </c>
      <c r="X11118" s="23" t="str">
        <f aca="false">IF(T11118="","",IF(T11118=0,"No discount",IF(T11118&lt;=0.2,"Low (1-20%)",IF(T11118&lt;=0.4,"Medium (21-40%)","High (&gt;40%)"))))</f>
        <v/>
      </c>
      <c r="Y11118" s="23" t="str">
        <f aca="false">IF(AND(ISNUMBER(C11118),ISNUMBER(D11118)),D11118-C11118,"")</f>
        <v/>
      </c>
      <c r="Z11118" s="23" t="str">
        <f aca="false">IF(B11118="","",IF(MATCH(B11118,$B$2:$B$12000,0)=ROW()-1,1,0))</f>
        <v/>
      </c>
    </row>
    <row r="11119" customFormat="false" ht="15" hidden="false" customHeight="false" outlineLevel="0" collapsed="false">
      <c r="V11119" s="23" t="str">
        <f aca="false">IF(ISNUMBER(C11119),YEAR(C11119),"")</f>
        <v/>
      </c>
      <c r="W11119" s="23" t="str">
        <f aca="false">IF(ISNUMBER(C11119),MONTH(C11119),"")</f>
        <v/>
      </c>
      <c r="X11119" s="23" t="str">
        <f aca="false">IF(T11119="","",IF(T11119=0,"No discount",IF(T11119&lt;=0.2,"Low (1-20%)",IF(T11119&lt;=0.4,"Medium (21-40%)","High (&gt;40%)"))))</f>
        <v/>
      </c>
      <c r="Y11119" s="23" t="str">
        <f aca="false">IF(AND(ISNUMBER(C11119),ISNUMBER(D11119)),D11119-C11119,"")</f>
        <v/>
      </c>
      <c r="Z11119" s="23" t="str">
        <f aca="false">IF(B11119="","",IF(MATCH(B11119,$B$2:$B$12000,0)=ROW()-1,1,0))</f>
        <v/>
      </c>
    </row>
    <row r="11120" customFormat="false" ht="15" hidden="false" customHeight="false" outlineLevel="0" collapsed="false">
      <c r="V11120" s="23" t="str">
        <f aca="false">IF(ISNUMBER(C11120),YEAR(C11120),"")</f>
        <v/>
      </c>
      <c r="W11120" s="23" t="str">
        <f aca="false">IF(ISNUMBER(C11120),MONTH(C11120),"")</f>
        <v/>
      </c>
      <c r="X11120" s="23" t="str">
        <f aca="false">IF(T11120="","",IF(T11120=0,"No discount",IF(T11120&lt;=0.2,"Low (1-20%)",IF(T11120&lt;=0.4,"Medium (21-40%)","High (&gt;40%)"))))</f>
        <v/>
      </c>
      <c r="Y11120" s="23" t="str">
        <f aca="false">IF(AND(ISNUMBER(C11120),ISNUMBER(D11120)),D11120-C11120,"")</f>
        <v/>
      </c>
      <c r="Z11120" s="23" t="str">
        <f aca="false">IF(B11120="","",IF(MATCH(B11120,$B$2:$B$12000,0)=ROW()-1,1,0))</f>
        <v/>
      </c>
    </row>
    <row r="11121" customFormat="false" ht="15" hidden="false" customHeight="false" outlineLevel="0" collapsed="false">
      <c r="V11121" s="23" t="str">
        <f aca="false">IF(ISNUMBER(C11121),YEAR(C11121),"")</f>
        <v/>
      </c>
      <c r="W11121" s="23" t="str">
        <f aca="false">IF(ISNUMBER(C11121),MONTH(C11121),"")</f>
        <v/>
      </c>
      <c r="X11121" s="23" t="str">
        <f aca="false">IF(T11121="","",IF(T11121=0,"No discount",IF(T11121&lt;=0.2,"Low (1-20%)",IF(T11121&lt;=0.4,"Medium (21-40%)","High (&gt;40%)"))))</f>
        <v/>
      </c>
      <c r="Y11121" s="23" t="str">
        <f aca="false">IF(AND(ISNUMBER(C11121),ISNUMBER(D11121)),D11121-C11121,"")</f>
        <v/>
      </c>
      <c r="Z11121" s="23" t="str">
        <f aca="false">IF(B11121="","",IF(MATCH(B11121,$B$2:$B$12000,0)=ROW()-1,1,0))</f>
        <v/>
      </c>
    </row>
    <row r="11122" customFormat="false" ht="15" hidden="false" customHeight="false" outlineLevel="0" collapsed="false">
      <c r="V11122" s="23" t="str">
        <f aca="false">IF(ISNUMBER(C11122),YEAR(C11122),"")</f>
        <v/>
      </c>
      <c r="W11122" s="23" t="str">
        <f aca="false">IF(ISNUMBER(C11122),MONTH(C11122),"")</f>
        <v/>
      </c>
      <c r="X11122" s="23" t="str">
        <f aca="false">IF(T11122="","",IF(T11122=0,"No discount",IF(T11122&lt;=0.2,"Low (1-20%)",IF(T11122&lt;=0.4,"Medium (21-40%)","High (&gt;40%)"))))</f>
        <v/>
      </c>
      <c r="Y11122" s="23" t="str">
        <f aca="false">IF(AND(ISNUMBER(C11122),ISNUMBER(D11122)),D11122-C11122,"")</f>
        <v/>
      </c>
      <c r="Z11122" s="23" t="str">
        <f aca="false">IF(B11122="","",IF(MATCH(B11122,$B$2:$B$12000,0)=ROW()-1,1,0))</f>
        <v/>
      </c>
    </row>
    <row r="11123" customFormat="false" ht="15" hidden="false" customHeight="false" outlineLevel="0" collapsed="false">
      <c r="V11123" s="23" t="str">
        <f aca="false">IF(ISNUMBER(C11123),YEAR(C11123),"")</f>
        <v/>
      </c>
      <c r="W11123" s="23" t="str">
        <f aca="false">IF(ISNUMBER(C11123),MONTH(C11123),"")</f>
        <v/>
      </c>
      <c r="X11123" s="23" t="str">
        <f aca="false">IF(T11123="","",IF(T11123=0,"No discount",IF(T11123&lt;=0.2,"Low (1-20%)",IF(T11123&lt;=0.4,"Medium (21-40%)","High (&gt;40%)"))))</f>
        <v/>
      </c>
      <c r="Y11123" s="23" t="str">
        <f aca="false">IF(AND(ISNUMBER(C11123),ISNUMBER(D11123)),D11123-C11123,"")</f>
        <v/>
      </c>
      <c r="Z11123" s="23" t="str">
        <f aca="false">IF(B11123="","",IF(MATCH(B11123,$B$2:$B$12000,0)=ROW()-1,1,0))</f>
        <v/>
      </c>
    </row>
    <row r="11124" customFormat="false" ht="15" hidden="false" customHeight="false" outlineLevel="0" collapsed="false">
      <c r="V11124" s="23" t="str">
        <f aca="false">IF(ISNUMBER(C11124),YEAR(C11124),"")</f>
        <v/>
      </c>
      <c r="W11124" s="23" t="str">
        <f aca="false">IF(ISNUMBER(C11124),MONTH(C11124),"")</f>
        <v/>
      </c>
      <c r="X11124" s="23" t="str">
        <f aca="false">IF(T11124="","",IF(T11124=0,"No discount",IF(T11124&lt;=0.2,"Low (1-20%)",IF(T11124&lt;=0.4,"Medium (21-40%)","High (&gt;40%)"))))</f>
        <v/>
      </c>
      <c r="Y11124" s="23" t="str">
        <f aca="false">IF(AND(ISNUMBER(C11124),ISNUMBER(D11124)),D11124-C11124,"")</f>
        <v/>
      </c>
      <c r="Z11124" s="23" t="str">
        <f aca="false">IF(B11124="","",IF(MATCH(B11124,$B$2:$B$12000,0)=ROW()-1,1,0))</f>
        <v/>
      </c>
    </row>
    <row r="11125" customFormat="false" ht="15" hidden="false" customHeight="false" outlineLevel="0" collapsed="false">
      <c r="V11125" s="23" t="str">
        <f aca="false">IF(ISNUMBER(C11125),YEAR(C11125),"")</f>
        <v/>
      </c>
      <c r="W11125" s="23" t="str">
        <f aca="false">IF(ISNUMBER(C11125),MONTH(C11125),"")</f>
        <v/>
      </c>
      <c r="X11125" s="23" t="str">
        <f aca="false">IF(T11125="","",IF(T11125=0,"No discount",IF(T11125&lt;=0.2,"Low (1-20%)",IF(T11125&lt;=0.4,"Medium (21-40%)","High (&gt;40%)"))))</f>
        <v/>
      </c>
      <c r="Y11125" s="23" t="str">
        <f aca="false">IF(AND(ISNUMBER(C11125),ISNUMBER(D11125)),D11125-C11125,"")</f>
        <v/>
      </c>
      <c r="Z11125" s="23" t="str">
        <f aca="false">IF(B11125="","",IF(MATCH(B11125,$B$2:$B$12000,0)=ROW()-1,1,0))</f>
        <v/>
      </c>
    </row>
    <row r="11126" customFormat="false" ht="15" hidden="false" customHeight="false" outlineLevel="0" collapsed="false">
      <c r="V11126" s="23" t="str">
        <f aca="false">IF(ISNUMBER(C11126),YEAR(C11126),"")</f>
        <v/>
      </c>
      <c r="W11126" s="23" t="str">
        <f aca="false">IF(ISNUMBER(C11126),MONTH(C11126),"")</f>
        <v/>
      </c>
      <c r="X11126" s="23" t="str">
        <f aca="false">IF(T11126="","",IF(T11126=0,"No discount",IF(T11126&lt;=0.2,"Low (1-20%)",IF(T11126&lt;=0.4,"Medium (21-40%)","High (&gt;40%)"))))</f>
        <v/>
      </c>
      <c r="Y11126" s="23" t="str">
        <f aca="false">IF(AND(ISNUMBER(C11126),ISNUMBER(D11126)),D11126-C11126,"")</f>
        <v/>
      </c>
      <c r="Z11126" s="23" t="str">
        <f aca="false">IF(B11126="","",IF(MATCH(B11126,$B$2:$B$12000,0)=ROW()-1,1,0))</f>
        <v/>
      </c>
    </row>
    <row r="11127" customFormat="false" ht="15" hidden="false" customHeight="false" outlineLevel="0" collapsed="false">
      <c r="V11127" s="23" t="str">
        <f aca="false">IF(ISNUMBER(C11127),YEAR(C11127),"")</f>
        <v/>
      </c>
      <c r="W11127" s="23" t="str">
        <f aca="false">IF(ISNUMBER(C11127),MONTH(C11127),"")</f>
        <v/>
      </c>
      <c r="X11127" s="23" t="str">
        <f aca="false">IF(T11127="","",IF(T11127=0,"No discount",IF(T11127&lt;=0.2,"Low (1-20%)",IF(T11127&lt;=0.4,"Medium (21-40%)","High (&gt;40%)"))))</f>
        <v/>
      </c>
      <c r="Y11127" s="23" t="str">
        <f aca="false">IF(AND(ISNUMBER(C11127),ISNUMBER(D11127)),D11127-C11127,"")</f>
        <v/>
      </c>
      <c r="Z11127" s="23" t="str">
        <f aca="false">IF(B11127="","",IF(MATCH(B11127,$B$2:$B$12000,0)=ROW()-1,1,0))</f>
        <v/>
      </c>
    </row>
    <row r="11128" customFormat="false" ht="15" hidden="false" customHeight="false" outlineLevel="0" collapsed="false">
      <c r="V11128" s="23" t="str">
        <f aca="false">IF(ISNUMBER(C11128),YEAR(C11128),"")</f>
        <v/>
      </c>
      <c r="W11128" s="23" t="str">
        <f aca="false">IF(ISNUMBER(C11128),MONTH(C11128),"")</f>
        <v/>
      </c>
      <c r="X11128" s="23" t="str">
        <f aca="false">IF(T11128="","",IF(T11128=0,"No discount",IF(T11128&lt;=0.2,"Low (1-20%)",IF(T11128&lt;=0.4,"Medium (21-40%)","High (&gt;40%)"))))</f>
        <v/>
      </c>
      <c r="Y11128" s="23" t="str">
        <f aca="false">IF(AND(ISNUMBER(C11128),ISNUMBER(D11128)),D11128-C11128,"")</f>
        <v/>
      </c>
      <c r="Z11128" s="23" t="str">
        <f aca="false">IF(B11128="","",IF(MATCH(B11128,$B$2:$B$12000,0)=ROW()-1,1,0))</f>
        <v/>
      </c>
    </row>
    <row r="11129" customFormat="false" ht="15" hidden="false" customHeight="false" outlineLevel="0" collapsed="false">
      <c r="V11129" s="23" t="str">
        <f aca="false">IF(ISNUMBER(C11129),YEAR(C11129),"")</f>
        <v/>
      </c>
      <c r="W11129" s="23" t="str">
        <f aca="false">IF(ISNUMBER(C11129),MONTH(C11129),"")</f>
        <v/>
      </c>
      <c r="X11129" s="23" t="str">
        <f aca="false">IF(T11129="","",IF(T11129=0,"No discount",IF(T11129&lt;=0.2,"Low (1-20%)",IF(T11129&lt;=0.4,"Medium (21-40%)","High (&gt;40%)"))))</f>
        <v/>
      </c>
      <c r="Y11129" s="23" t="str">
        <f aca="false">IF(AND(ISNUMBER(C11129),ISNUMBER(D11129)),D11129-C11129,"")</f>
        <v/>
      </c>
      <c r="Z11129" s="23" t="str">
        <f aca="false">IF(B11129="","",IF(MATCH(B11129,$B$2:$B$12000,0)=ROW()-1,1,0))</f>
        <v/>
      </c>
    </row>
    <row r="11130" customFormat="false" ht="15" hidden="false" customHeight="false" outlineLevel="0" collapsed="false">
      <c r="V11130" s="23" t="str">
        <f aca="false">IF(ISNUMBER(C11130),YEAR(C11130),"")</f>
        <v/>
      </c>
      <c r="W11130" s="23" t="str">
        <f aca="false">IF(ISNUMBER(C11130),MONTH(C11130),"")</f>
        <v/>
      </c>
      <c r="X11130" s="23" t="str">
        <f aca="false">IF(T11130="","",IF(T11130=0,"No discount",IF(T11130&lt;=0.2,"Low (1-20%)",IF(T11130&lt;=0.4,"Medium (21-40%)","High (&gt;40%)"))))</f>
        <v/>
      </c>
      <c r="Y11130" s="23" t="str">
        <f aca="false">IF(AND(ISNUMBER(C11130),ISNUMBER(D11130)),D11130-C11130,"")</f>
        <v/>
      </c>
      <c r="Z11130" s="23" t="str">
        <f aca="false">IF(B11130="","",IF(MATCH(B11130,$B$2:$B$12000,0)=ROW()-1,1,0))</f>
        <v/>
      </c>
    </row>
    <row r="11131" customFormat="false" ht="15" hidden="false" customHeight="false" outlineLevel="0" collapsed="false">
      <c r="V11131" s="23" t="str">
        <f aca="false">IF(ISNUMBER(C11131),YEAR(C11131),"")</f>
        <v/>
      </c>
      <c r="W11131" s="23" t="str">
        <f aca="false">IF(ISNUMBER(C11131),MONTH(C11131),"")</f>
        <v/>
      </c>
      <c r="X11131" s="23" t="str">
        <f aca="false">IF(T11131="","",IF(T11131=0,"No discount",IF(T11131&lt;=0.2,"Low (1-20%)",IF(T11131&lt;=0.4,"Medium (21-40%)","High (&gt;40%)"))))</f>
        <v/>
      </c>
      <c r="Y11131" s="23" t="str">
        <f aca="false">IF(AND(ISNUMBER(C11131),ISNUMBER(D11131)),D11131-C11131,"")</f>
        <v/>
      </c>
      <c r="Z11131" s="23" t="str">
        <f aca="false">IF(B11131="","",IF(MATCH(B11131,$B$2:$B$12000,0)=ROW()-1,1,0))</f>
        <v/>
      </c>
    </row>
    <row r="11132" customFormat="false" ht="15" hidden="false" customHeight="false" outlineLevel="0" collapsed="false">
      <c r="V11132" s="23" t="str">
        <f aca="false">IF(ISNUMBER(C11132),YEAR(C11132),"")</f>
        <v/>
      </c>
      <c r="W11132" s="23" t="str">
        <f aca="false">IF(ISNUMBER(C11132),MONTH(C11132),"")</f>
        <v/>
      </c>
      <c r="X11132" s="23" t="str">
        <f aca="false">IF(T11132="","",IF(T11132=0,"No discount",IF(T11132&lt;=0.2,"Low (1-20%)",IF(T11132&lt;=0.4,"Medium (21-40%)","High (&gt;40%)"))))</f>
        <v/>
      </c>
      <c r="Y11132" s="23" t="str">
        <f aca="false">IF(AND(ISNUMBER(C11132),ISNUMBER(D11132)),D11132-C11132,"")</f>
        <v/>
      </c>
      <c r="Z11132" s="23" t="str">
        <f aca="false">IF(B11132="","",IF(MATCH(B11132,$B$2:$B$12000,0)=ROW()-1,1,0))</f>
        <v/>
      </c>
    </row>
    <row r="11133" customFormat="false" ht="15" hidden="false" customHeight="false" outlineLevel="0" collapsed="false">
      <c r="V11133" s="23" t="str">
        <f aca="false">IF(ISNUMBER(C11133),YEAR(C11133),"")</f>
        <v/>
      </c>
      <c r="W11133" s="23" t="str">
        <f aca="false">IF(ISNUMBER(C11133),MONTH(C11133),"")</f>
        <v/>
      </c>
      <c r="X11133" s="23" t="str">
        <f aca="false">IF(T11133="","",IF(T11133=0,"No discount",IF(T11133&lt;=0.2,"Low (1-20%)",IF(T11133&lt;=0.4,"Medium (21-40%)","High (&gt;40%)"))))</f>
        <v/>
      </c>
      <c r="Y11133" s="23" t="str">
        <f aca="false">IF(AND(ISNUMBER(C11133),ISNUMBER(D11133)),D11133-C11133,"")</f>
        <v/>
      </c>
      <c r="Z11133" s="23" t="str">
        <f aca="false">IF(B11133="","",IF(MATCH(B11133,$B$2:$B$12000,0)=ROW()-1,1,0))</f>
        <v/>
      </c>
    </row>
    <row r="11134" customFormat="false" ht="15" hidden="false" customHeight="false" outlineLevel="0" collapsed="false">
      <c r="V11134" s="23" t="str">
        <f aca="false">IF(ISNUMBER(C11134),YEAR(C11134),"")</f>
        <v/>
      </c>
      <c r="W11134" s="23" t="str">
        <f aca="false">IF(ISNUMBER(C11134),MONTH(C11134),"")</f>
        <v/>
      </c>
      <c r="X11134" s="23" t="str">
        <f aca="false">IF(T11134="","",IF(T11134=0,"No discount",IF(T11134&lt;=0.2,"Low (1-20%)",IF(T11134&lt;=0.4,"Medium (21-40%)","High (&gt;40%)"))))</f>
        <v/>
      </c>
      <c r="Y11134" s="23" t="str">
        <f aca="false">IF(AND(ISNUMBER(C11134),ISNUMBER(D11134)),D11134-C11134,"")</f>
        <v/>
      </c>
      <c r="Z11134" s="23" t="str">
        <f aca="false">IF(B11134="","",IF(MATCH(B11134,$B$2:$B$12000,0)=ROW()-1,1,0))</f>
        <v/>
      </c>
    </row>
    <row r="11135" customFormat="false" ht="15" hidden="false" customHeight="false" outlineLevel="0" collapsed="false">
      <c r="V11135" s="23" t="str">
        <f aca="false">IF(ISNUMBER(C11135),YEAR(C11135),"")</f>
        <v/>
      </c>
      <c r="W11135" s="23" t="str">
        <f aca="false">IF(ISNUMBER(C11135),MONTH(C11135),"")</f>
        <v/>
      </c>
      <c r="X11135" s="23" t="str">
        <f aca="false">IF(T11135="","",IF(T11135=0,"No discount",IF(T11135&lt;=0.2,"Low (1-20%)",IF(T11135&lt;=0.4,"Medium (21-40%)","High (&gt;40%)"))))</f>
        <v/>
      </c>
      <c r="Y11135" s="23" t="str">
        <f aca="false">IF(AND(ISNUMBER(C11135),ISNUMBER(D11135)),D11135-C11135,"")</f>
        <v/>
      </c>
      <c r="Z11135" s="23" t="str">
        <f aca="false">IF(B11135="","",IF(MATCH(B11135,$B$2:$B$12000,0)=ROW()-1,1,0))</f>
        <v/>
      </c>
    </row>
    <row r="11136" customFormat="false" ht="15" hidden="false" customHeight="false" outlineLevel="0" collapsed="false">
      <c r="V11136" s="23" t="str">
        <f aca="false">IF(ISNUMBER(C11136),YEAR(C11136),"")</f>
        <v/>
      </c>
      <c r="W11136" s="23" t="str">
        <f aca="false">IF(ISNUMBER(C11136),MONTH(C11136),"")</f>
        <v/>
      </c>
      <c r="X11136" s="23" t="str">
        <f aca="false">IF(T11136="","",IF(T11136=0,"No discount",IF(T11136&lt;=0.2,"Low (1-20%)",IF(T11136&lt;=0.4,"Medium (21-40%)","High (&gt;40%)"))))</f>
        <v/>
      </c>
      <c r="Y11136" s="23" t="str">
        <f aca="false">IF(AND(ISNUMBER(C11136),ISNUMBER(D11136)),D11136-C11136,"")</f>
        <v/>
      </c>
      <c r="Z11136" s="23" t="str">
        <f aca="false">IF(B11136="","",IF(MATCH(B11136,$B$2:$B$12000,0)=ROW()-1,1,0))</f>
        <v/>
      </c>
    </row>
    <row r="11137" customFormat="false" ht="15" hidden="false" customHeight="false" outlineLevel="0" collapsed="false">
      <c r="V11137" s="23" t="str">
        <f aca="false">IF(ISNUMBER(C11137),YEAR(C11137),"")</f>
        <v/>
      </c>
      <c r="W11137" s="23" t="str">
        <f aca="false">IF(ISNUMBER(C11137),MONTH(C11137),"")</f>
        <v/>
      </c>
      <c r="X11137" s="23" t="str">
        <f aca="false">IF(T11137="","",IF(T11137=0,"No discount",IF(T11137&lt;=0.2,"Low (1-20%)",IF(T11137&lt;=0.4,"Medium (21-40%)","High (&gt;40%)"))))</f>
        <v/>
      </c>
      <c r="Y11137" s="23" t="str">
        <f aca="false">IF(AND(ISNUMBER(C11137),ISNUMBER(D11137)),D11137-C11137,"")</f>
        <v/>
      </c>
      <c r="Z11137" s="23" t="str">
        <f aca="false">IF(B11137="","",IF(MATCH(B11137,$B$2:$B$12000,0)=ROW()-1,1,0))</f>
        <v/>
      </c>
    </row>
    <row r="11138" customFormat="false" ht="15" hidden="false" customHeight="false" outlineLevel="0" collapsed="false">
      <c r="V11138" s="23" t="str">
        <f aca="false">IF(ISNUMBER(C11138),YEAR(C11138),"")</f>
        <v/>
      </c>
      <c r="W11138" s="23" t="str">
        <f aca="false">IF(ISNUMBER(C11138),MONTH(C11138),"")</f>
        <v/>
      </c>
      <c r="X11138" s="23" t="str">
        <f aca="false">IF(T11138="","",IF(T11138=0,"No discount",IF(T11138&lt;=0.2,"Low (1-20%)",IF(T11138&lt;=0.4,"Medium (21-40%)","High (&gt;40%)"))))</f>
        <v/>
      </c>
      <c r="Y11138" s="23" t="str">
        <f aca="false">IF(AND(ISNUMBER(C11138),ISNUMBER(D11138)),D11138-C11138,"")</f>
        <v/>
      </c>
      <c r="Z11138" s="23" t="str">
        <f aca="false">IF(B11138="","",IF(MATCH(B11138,$B$2:$B$12000,0)=ROW()-1,1,0))</f>
        <v/>
      </c>
    </row>
    <row r="11139" customFormat="false" ht="15" hidden="false" customHeight="false" outlineLevel="0" collapsed="false">
      <c r="V11139" s="23" t="str">
        <f aca="false">IF(ISNUMBER(C11139),YEAR(C11139),"")</f>
        <v/>
      </c>
      <c r="W11139" s="23" t="str">
        <f aca="false">IF(ISNUMBER(C11139),MONTH(C11139),"")</f>
        <v/>
      </c>
      <c r="X11139" s="23" t="str">
        <f aca="false">IF(T11139="","",IF(T11139=0,"No discount",IF(T11139&lt;=0.2,"Low (1-20%)",IF(T11139&lt;=0.4,"Medium (21-40%)","High (&gt;40%)"))))</f>
        <v/>
      </c>
      <c r="Y11139" s="23" t="str">
        <f aca="false">IF(AND(ISNUMBER(C11139),ISNUMBER(D11139)),D11139-C11139,"")</f>
        <v/>
      </c>
      <c r="Z11139" s="23" t="str">
        <f aca="false">IF(B11139="","",IF(MATCH(B11139,$B$2:$B$12000,0)=ROW()-1,1,0))</f>
        <v/>
      </c>
    </row>
    <row r="11140" customFormat="false" ht="15" hidden="false" customHeight="false" outlineLevel="0" collapsed="false">
      <c r="V11140" s="23" t="str">
        <f aca="false">IF(ISNUMBER(C11140),YEAR(C11140),"")</f>
        <v/>
      </c>
      <c r="W11140" s="23" t="str">
        <f aca="false">IF(ISNUMBER(C11140),MONTH(C11140),"")</f>
        <v/>
      </c>
      <c r="X11140" s="23" t="str">
        <f aca="false">IF(T11140="","",IF(T11140=0,"No discount",IF(T11140&lt;=0.2,"Low (1-20%)",IF(T11140&lt;=0.4,"Medium (21-40%)","High (&gt;40%)"))))</f>
        <v/>
      </c>
      <c r="Y11140" s="23" t="str">
        <f aca="false">IF(AND(ISNUMBER(C11140),ISNUMBER(D11140)),D11140-C11140,"")</f>
        <v/>
      </c>
      <c r="Z11140" s="23" t="str">
        <f aca="false">IF(B11140="","",IF(MATCH(B11140,$B$2:$B$12000,0)=ROW()-1,1,0))</f>
        <v/>
      </c>
    </row>
    <row r="11141" customFormat="false" ht="15" hidden="false" customHeight="false" outlineLevel="0" collapsed="false">
      <c r="V11141" s="23" t="str">
        <f aca="false">IF(ISNUMBER(C11141),YEAR(C11141),"")</f>
        <v/>
      </c>
      <c r="W11141" s="23" t="str">
        <f aca="false">IF(ISNUMBER(C11141),MONTH(C11141),"")</f>
        <v/>
      </c>
      <c r="X11141" s="23" t="str">
        <f aca="false">IF(T11141="","",IF(T11141=0,"No discount",IF(T11141&lt;=0.2,"Low (1-20%)",IF(T11141&lt;=0.4,"Medium (21-40%)","High (&gt;40%)"))))</f>
        <v/>
      </c>
      <c r="Y11141" s="23" t="str">
        <f aca="false">IF(AND(ISNUMBER(C11141),ISNUMBER(D11141)),D11141-C11141,"")</f>
        <v/>
      </c>
      <c r="Z11141" s="23" t="str">
        <f aca="false">IF(B11141="","",IF(MATCH(B11141,$B$2:$B$12000,0)=ROW()-1,1,0))</f>
        <v/>
      </c>
    </row>
    <row r="11142" customFormat="false" ht="15" hidden="false" customHeight="false" outlineLevel="0" collapsed="false">
      <c r="V11142" s="23" t="str">
        <f aca="false">IF(ISNUMBER(C11142),YEAR(C11142),"")</f>
        <v/>
      </c>
      <c r="W11142" s="23" t="str">
        <f aca="false">IF(ISNUMBER(C11142),MONTH(C11142),"")</f>
        <v/>
      </c>
      <c r="X11142" s="23" t="str">
        <f aca="false">IF(T11142="","",IF(T11142=0,"No discount",IF(T11142&lt;=0.2,"Low (1-20%)",IF(T11142&lt;=0.4,"Medium (21-40%)","High (&gt;40%)"))))</f>
        <v/>
      </c>
      <c r="Y11142" s="23" t="str">
        <f aca="false">IF(AND(ISNUMBER(C11142),ISNUMBER(D11142)),D11142-C11142,"")</f>
        <v/>
      </c>
      <c r="Z11142" s="23" t="str">
        <f aca="false">IF(B11142="","",IF(MATCH(B11142,$B$2:$B$12000,0)=ROW()-1,1,0))</f>
        <v/>
      </c>
    </row>
    <row r="11143" customFormat="false" ht="15" hidden="false" customHeight="false" outlineLevel="0" collapsed="false">
      <c r="V11143" s="23" t="str">
        <f aca="false">IF(ISNUMBER(C11143),YEAR(C11143),"")</f>
        <v/>
      </c>
      <c r="W11143" s="23" t="str">
        <f aca="false">IF(ISNUMBER(C11143),MONTH(C11143),"")</f>
        <v/>
      </c>
      <c r="X11143" s="23" t="str">
        <f aca="false">IF(T11143="","",IF(T11143=0,"No discount",IF(T11143&lt;=0.2,"Low (1-20%)",IF(T11143&lt;=0.4,"Medium (21-40%)","High (&gt;40%)"))))</f>
        <v/>
      </c>
      <c r="Y11143" s="23" t="str">
        <f aca="false">IF(AND(ISNUMBER(C11143),ISNUMBER(D11143)),D11143-C11143,"")</f>
        <v/>
      </c>
      <c r="Z11143" s="23" t="str">
        <f aca="false">IF(B11143="","",IF(MATCH(B11143,$B$2:$B$12000,0)=ROW()-1,1,0))</f>
        <v/>
      </c>
    </row>
    <row r="11144" customFormat="false" ht="15" hidden="false" customHeight="false" outlineLevel="0" collapsed="false">
      <c r="V11144" s="23" t="str">
        <f aca="false">IF(ISNUMBER(C11144),YEAR(C11144),"")</f>
        <v/>
      </c>
      <c r="W11144" s="23" t="str">
        <f aca="false">IF(ISNUMBER(C11144),MONTH(C11144),"")</f>
        <v/>
      </c>
      <c r="X11144" s="23" t="str">
        <f aca="false">IF(T11144="","",IF(T11144=0,"No discount",IF(T11144&lt;=0.2,"Low (1-20%)",IF(T11144&lt;=0.4,"Medium (21-40%)","High (&gt;40%)"))))</f>
        <v/>
      </c>
      <c r="Y11144" s="23" t="str">
        <f aca="false">IF(AND(ISNUMBER(C11144),ISNUMBER(D11144)),D11144-C11144,"")</f>
        <v/>
      </c>
      <c r="Z11144" s="23" t="str">
        <f aca="false">IF(B11144="","",IF(MATCH(B11144,$B$2:$B$12000,0)=ROW()-1,1,0))</f>
        <v/>
      </c>
    </row>
    <row r="11145" customFormat="false" ht="15" hidden="false" customHeight="false" outlineLevel="0" collapsed="false">
      <c r="V11145" s="23" t="str">
        <f aca="false">IF(ISNUMBER(C11145),YEAR(C11145),"")</f>
        <v/>
      </c>
      <c r="W11145" s="23" t="str">
        <f aca="false">IF(ISNUMBER(C11145),MONTH(C11145),"")</f>
        <v/>
      </c>
      <c r="X11145" s="23" t="str">
        <f aca="false">IF(T11145="","",IF(T11145=0,"No discount",IF(T11145&lt;=0.2,"Low (1-20%)",IF(T11145&lt;=0.4,"Medium (21-40%)","High (&gt;40%)"))))</f>
        <v/>
      </c>
      <c r="Y11145" s="23" t="str">
        <f aca="false">IF(AND(ISNUMBER(C11145),ISNUMBER(D11145)),D11145-C11145,"")</f>
        <v/>
      </c>
      <c r="Z11145" s="23" t="str">
        <f aca="false">IF(B11145="","",IF(MATCH(B11145,$B$2:$B$12000,0)=ROW()-1,1,0))</f>
        <v/>
      </c>
    </row>
    <row r="11146" customFormat="false" ht="15" hidden="false" customHeight="false" outlineLevel="0" collapsed="false">
      <c r="V11146" s="23" t="str">
        <f aca="false">IF(ISNUMBER(C11146),YEAR(C11146),"")</f>
        <v/>
      </c>
      <c r="W11146" s="23" t="str">
        <f aca="false">IF(ISNUMBER(C11146),MONTH(C11146),"")</f>
        <v/>
      </c>
      <c r="X11146" s="23" t="str">
        <f aca="false">IF(T11146="","",IF(T11146=0,"No discount",IF(T11146&lt;=0.2,"Low (1-20%)",IF(T11146&lt;=0.4,"Medium (21-40%)","High (&gt;40%)"))))</f>
        <v/>
      </c>
      <c r="Y11146" s="23" t="str">
        <f aca="false">IF(AND(ISNUMBER(C11146),ISNUMBER(D11146)),D11146-C11146,"")</f>
        <v/>
      </c>
      <c r="Z11146" s="23" t="str">
        <f aca="false">IF(B11146="","",IF(MATCH(B11146,$B$2:$B$12000,0)=ROW()-1,1,0))</f>
        <v/>
      </c>
    </row>
    <row r="11147" customFormat="false" ht="15" hidden="false" customHeight="false" outlineLevel="0" collapsed="false">
      <c r="V11147" s="23" t="str">
        <f aca="false">IF(ISNUMBER(C11147),YEAR(C11147),"")</f>
        <v/>
      </c>
      <c r="W11147" s="23" t="str">
        <f aca="false">IF(ISNUMBER(C11147),MONTH(C11147),"")</f>
        <v/>
      </c>
      <c r="X11147" s="23" t="str">
        <f aca="false">IF(T11147="","",IF(T11147=0,"No discount",IF(T11147&lt;=0.2,"Low (1-20%)",IF(T11147&lt;=0.4,"Medium (21-40%)","High (&gt;40%)"))))</f>
        <v/>
      </c>
      <c r="Y11147" s="23" t="str">
        <f aca="false">IF(AND(ISNUMBER(C11147),ISNUMBER(D11147)),D11147-C11147,"")</f>
        <v/>
      </c>
      <c r="Z11147" s="23" t="str">
        <f aca="false">IF(B11147="","",IF(MATCH(B11147,$B$2:$B$12000,0)=ROW()-1,1,0))</f>
        <v/>
      </c>
    </row>
    <row r="11148" customFormat="false" ht="15" hidden="false" customHeight="false" outlineLevel="0" collapsed="false">
      <c r="V11148" s="23" t="str">
        <f aca="false">IF(ISNUMBER(C11148),YEAR(C11148),"")</f>
        <v/>
      </c>
      <c r="W11148" s="23" t="str">
        <f aca="false">IF(ISNUMBER(C11148),MONTH(C11148),"")</f>
        <v/>
      </c>
      <c r="X11148" s="23" t="str">
        <f aca="false">IF(T11148="","",IF(T11148=0,"No discount",IF(T11148&lt;=0.2,"Low (1-20%)",IF(T11148&lt;=0.4,"Medium (21-40%)","High (&gt;40%)"))))</f>
        <v/>
      </c>
      <c r="Y11148" s="23" t="str">
        <f aca="false">IF(AND(ISNUMBER(C11148),ISNUMBER(D11148)),D11148-C11148,"")</f>
        <v/>
      </c>
      <c r="Z11148" s="23" t="str">
        <f aca="false">IF(B11148="","",IF(MATCH(B11148,$B$2:$B$12000,0)=ROW()-1,1,0))</f>
        <v/>
      </c>
    </row>
    <row r="11149" customFormat="false" ht="15" hidden="false" customHeight="false" outlineLevel="0" collapsed="false">
      <c r="V11149" s="23" t="str">
        <f aca="false">IF(ISNUMBER(C11149),YEAR(C11149),"")</f>
        <v/>
      </c>
      <c r="W11149" s="23" t="str">
        <f aca="false">IF(ISNUMBER(C11149),MONTH(C11149),"")</f>
        <v/>
      </c>
      <c r="X11149" s="23" t="str">
        <f aca="false">IF(T11149="","",IF(T11149=0,"No discount",IF(T11149&lt;=0.2,"Low (1-20%)",IF(T11149&lt;=0.4,"Medium (21-40%)","High (&gt;40%)"))))</f>
        <v/>
      </c>
      <c r="Y11149" s="23" t="str">
        <f aca="false">IF(AND(ISNUMBER(C11149),ISNUMBER(D11149)),D11149-C11149,"")</f>
        <v/>
      </c>
      <c r="Z11149" s="23" t="str">
        <f aca="false">IF(B11149="","",IF(MATCH(B11149,$B$2:$B$12000,0)=ROW()-1,1,0))</f>
        <v/>
      </c>
    </row>
    <row r="11150" customFormat="false" ht="15" hidden="false" customHeight="false" outlineLevel="0" collapsed="false">
      <c r="V11150" s="23" t="str">
        <f aca="false">IF(ISNUMBER(C11150),YEAR(C11150),"")</f>
        <v/>
      </c>
      <c r="W11150" s="23" t="str">
        <f aca="false">IF(ISNUMBER(C11150),MONTH(C11150),"")</f>
        <v/>
      </c>
      <c r="X11150" s="23" t="str">
        <f aca="false">IF(T11150="","",IF(T11150=0,"No discount",IF(T11150&lt;=0.2,"Low (1-20%)",IF(T11150&lt;=0.4,"Medium (21-40%)","High (&gt;40%)"))))</f>
        <v/>
      </c>
      <c r="Y11150" s="23" t="str">
        <f aca="false">IF(AND(ISNUMBER(C11150),ISNUMBER(D11150)),D11150-C11150,"")</f>
        <v/>
      </c>
      <c r="Z11150" s="23" t="str">
        <f aca="false">IF(B11150="","",IF(MATCH(B11150,$B$2:$B$12000,0)=ROW()-1,1,0))</f>
        <v/>
      </c>
    </row>
    <row r="11151" customFormat="false" ht="15" hidden="false" customHeight="false" outlineLevel="0" collapsed="false">
      <c r="V11151" s="23" t="str">
        <f aca="false">IF(ISNUMBER(C11151),YEAR(C11151),"")</f>
        <v/>
      </c>
      <c r="W11151" s="23" t="str">
        <f aca="false">IF(ISNUMBER(C11151),MONTH(C11151),"")</f>
        <v/>
      </c>
      <c r="X11151" s="23" t="str">
        <f aca="false">IF(T11151="","",IF(T11151=0,"No discount",IF(T11151&lt;=0.2,"Low (1-20%)",IF(T11151&lt;=0.4,"Medium (21-40%)","High (&gt;40%)"))))</f>
        <v/>
      </c>
      <c r="Y11151" s="23" t="str">
        <f aca="false">IF(AND(ISNUMBER(C11151),ISNUMBER(D11151)),D11151-C11151,"")</f>
        <v/>
      </c>
      <c r="Z11151" s="23" t="str">
        <f aca="false">IF(B11151="","",IF(MATCH(B11151,$B$2:$B$12000,0)=ROW()-1,1,0))</f>
        <v/>
      </c>
    </row>
    <row r="11152" customFormat="false" ht="15" hidden="false" customHeight="false" outlineLevel="0" collapsed="false">
      <c r="V11152" s="23" t="str">
        <f aca="false">IF(ISNUMBER(C11152),YEAR(C11152),"")</f>
        <v/>
      </c>
      <c r="W11152" s="23" t="str">
        <f aca="false">IF(ISNUMBER(C11152),MONTH(C11152),"")</f>
        <v/>
      </c>
      <c r="X11152" s="23" t="str">
        <f aca="false">IF(T11152="","",IF(T11152=0,"No discount",IF(T11152&lt;=0.2,"Low (1-20%)",IF(T11152&lt;=0.4,"Medium (21-40%)","High (&gt;40%)"))))</f>
        <v/>
      </c>
      <c r="Y11152" s="23" t="str">
        <f aca="false">IF(AND(ISNUMBER(C11152),ISNUMBER(D11152)),D11152-C11152,"")</f>
        <v/>
      </c>
      <c r="Z11152" s="23" t="str">
        <f aca="false">IF(B11152="","",IF(MATCH(B11152,$B$2:$B$12000,0)=ROW()-1,1,0))</f>
        <v/>
      </c>
    </row>
    <row r="11153" customFormat="false" ht="15" hidden="false" customHeight="false" outlineLevel="0" collapsed="false">
      <c r="V11153" s="23" t="str">
        <f aca="false">IF(ISNUMBER(C11153),YEAR(C11153),"")</f>
        <v/>
      </c>
      <c r="W11153" s="23" t="str">
        <f aca="false">IF(ISNUMBER(C11153),MONTH(C11153),"")</f>
        <v/>
      </c>
      <c r="X11153" s="23" t="str">
        <f aca="false">IF(T11153="","",IF(T11153=0,"No discount",IF(T11153&lt;=0.2,"Low (1-20%)",IF(T11153&lt;=0.4,"Medium (21-40%)","High (&gt;40%)"))))</f>
        <v/>
      </c>
      <c r="Y11153" s="23" t="str">
        <f aca="false">IF(AND(ISNUMBER(C11153),ISNUMBER(D11153)),D11153-C11153,"")</f>
        <v/>
      </c>
      <c r="Z11153" s="23" t="str">
        <f aca="false">IF(B11153="","",IF(MATCH(B11153,$B$2:$B$12000,0)=ROW()-1,1,0))</f>
        <v/>
      </c>
    </row>
    <row r="11154" customFormat="false" ht="15" hidden="false" customHeight="false" outlineLevel="0" collapsed="false">
      <c r="V11154" s="23" t="str">
        <f aca="false">IF(ISNUMBER(C11154),YEAR(C11154),"")</f>
        <v/>
      </c>
      <c r="W11154" s="23" t="str">
        <f aca="false">IF(ISNUMBER(C11154),MONTH(C11154),"")</f>
        <v/>
      </c>
      <c r="X11154" s="23" t="str">
        <f aca="false">IF(T11154="","",IF(T11154=0,"No discount",IF(T11154&lt;=0.2,"Low (1-20%)",IF(T11154&lt;=0.4,"Medium (21-40%)","High (&gt;40%)"))))</f>
        <v/>
      </c>
      <c r="Y11154" s="23" t="str">
        <f aca="false">IF(AND(ISNUMBER(C11154),ISNUMBER(D11154)),D11154-C11154,"")</f>
        <v/>
      </c>
      <c r="Z11154" s="23" t="str">
        <f aca="false">IF(B11154="","",IF(MATCH(B11154,$B$2:$B$12000,0)=ROW()-1,1,0))</f>
        <v/>
      </c>
    </row>
    <row r="11155" customFormat="false" ht="15" hidden="false" customHeight="false" outlineLevel="0" collapsed="false">
      <c r="V11155" s="23" t="str">
        <f aca="false">IF(ISNUMBER(C11155),YEAR(C11155),"")</f>
        <v/>
      </c>
      <c r="W11155" s="23" t="str">
        <f aca="false">IF(ISNUMBER(C11155),MONTH(C11155),"")</f>
        <v/>
      </c>
      <c r="X11155" s="23" t="str">
        <f aca="false">IF(T11155="","",IF(T11155=0,"No discount",IF(T11155&lt;=0.2,"Low (1-20%)",IF(T11155&lt;=0.4,"Medium (21-40%)","High (&gt;40%)"))))</f>
        <v/>
      </c>
      <c r="Y11155" s="23" t="str">
        <f aca="false">IF(AND(ISNUMBER(C11155),ISNUMBER(D11155)),D11155-C11155,"")</f>
        <v/>
      </c>
      <c r="Z11155" s="23" t="str">
        <f aca="false">IF(B11155="","",IF(MATCH(B11155,$B$2:$B$12000,0)=ROW()-1,1,0))</f>
        <v/>
      </c>
    </row>
    <row r="11156" customFormat="false" ht="15" hidden="false" customHeight="false" outlineLevel="0" collapsed="false">
      <c r="V11156" s="23" t="str">
        <f aca="false">IF(ISNUMBER(C11156),YEAR(C11156),"")</f>
        <v/>
      </c>
      <c r="W11156" s="23" t="str">
        <f aca="false">IF(ISNUMBER(C11156),MONTH(C11156),"")</f>
        <v/>
      </c>
      <c r="X11156" s="23" t="str">
        <f aca="false">IF(T11156="","",IF(T11156=0,"No discount",IF(T11156&lt;=0.2,"Low (1-20%)",IF(T11156&lt;=0.4,"Medium (21-40%)","High (&gt;40%)"))))</f>
        <v/>
      </c>
      <c r="Y11156" s="23" t="str">
        <f aca="false">IF(AND(ISNUMBER(C11156),ISNUMBER(D11156)),D11156-C11156,"")</f>
        <v/>
      </c>
      <c r="Z11156" s="23" t="str">
        <f aca="false">IF(B11156="","",IF(MATCH(B11156,$B$2:$B$12000,0)=ROW()-1,1,0))</f>
        <v/>
      </c>
    </row>
    <row r="11157" customFormat="false" ht="15" hidden="false" customHeight="false" outlineLevel="0" collapsed="false">
      <c r="V11157" s="23" t="str">
        <f aca="false">IF(ISNUMBER(C11157),YEAR(C11157),"")</f>
        <v/>
      </c>
      <c r="W11157" s="23" t="str">
        <f aca="false">IF(ISNUMBER(C11157),MONTH(C11157),"")</f>
        <v/>
      </c>
      <c r="X11157" s="23" t="str">
        <f aca="false">IF(T11157="","",IF(T11157=0,"No discount",IF(T11157&lt;=0.2,"Low (1-20%)",IF(T11157&lt;=0.4,"Medium (21-40%)","High (&gt;40%)"))))</f>
        <v/>
      </c>
      <c r="Y11157" s="23" t="str">
        <f aca="false">IF(AND(ISNUMBER(C11157),ISNUMBER(D11157)),D11157-C11157,"")</f>
        <v/>
      </c>
      <c r="Z11157" s="23" t="str">
        <f aca="false">IF(B11157="","",IF(MATCH(B11157,$B$2:$B$12000,0)=ROW()-1,1,0))</f>
        <v/>
      </c>
    </row>
    <row r="11158" customFormat="false" ht="15" hidden="false" customHeight="false" outlineLevel="0" collapsed="false">
      <c r="V11158" s="23" t="str">
        <f aca="false">IF(ISNUMBER(C11158),YEAR(C11158),"")</f>
        <v/>
      </c>
      <c r="W11158" s="23" t="str">
        <f aca="false">IF(ISNUMBER(C11158),MONTH(C11158),"")</f>
        <v/>
      </c>
      <c r="X11158" s="23" t="str">
        <f aca="false">IF(T11158="","",IF(T11158=0,"No discount",IF(T11158&lt;=0.2,"Low (1-20%)",IF(T11158&lt;=0.4,"Medium (21-40%)","High (&gt;40%)"))))</f>
        <v/>
      </c>
      <c r="Y11158" s="23" t="str">
        <f aca="false">IF(AND(ISNUMBER(C11158),ISNUMBER(D11158)),D11158-C11158,"")</f>
        <v/>
      </c>
      <c r="Z11158" s="23" t="str">
        <f aca="false">IF(B11158="","",IF(MATCH(B11158,$B$2:$B$12000,0)=ROW()-1,1,0))</f>
        <v/>
      </c>
    </row>
    <row r="11159" customFormat="false" ht="15" hidden="false" customHeight="false" outlineLevel="0" collapsed="false">
      <c r="V11159" s="23" t="str">
        <f aca="false">IF(ISNUMBER(C11159),YEAR(C11159),"")</f>
        <v/>
      </c>
      <c r="W11159" s="23" t="str">
        <f aca="false">IF(ISNUMBER(C11159),MONTH(C11159),"")</f>
        <v/>
      </c>
      <c r="X11159" s="23" t="str">
        <f aca="false">IF(T11159="","",IF(T11159=0,"No discount",IF(T11159&lt;=0.2,"Low (1-20%)",IF(T11159&lt;=0.4,"Medium (21-40%)","High (&gt;40%)"))))</f>
        <v/>
      </c>
      <c r="Y11159" s="23" t="str">
        <f aca="false">IF(AND(ISNUMBER(C11159),ISNUMBER(D11159)),D11159-C11159,"")</f>
        <v/>
      </c>
      <c r="Z11159" s="23" t="str">
        <f aca="false">IF(B11159="","",IF(MATCH(B11159,$B$2:$B$12000,0)=ROW()-1,1,0))</f>
        <v/>
      </c>
    </row>
    <row r="11160" customFormat="false" ht="15" hidden="false" customHeight="false" outlineLevel="0" collapsed="false">
      <c r="V11160" s="23" t="str">
        <f aca="false">IF(ISNUMBER(C11160),YEAR(C11160),"")</f>
        <v/>
      </c>
      <c r="W11160" s="23" t="str">
        <f aca="false">IF(ISNUMBER(C11160),MONTH(C11160),"")</f>
        <v/>
      </c>
      <c r="X11160" s="23" t="str">
        <f aca="false">IF(T11160="","",IF(T11160=0,"No discount",IF(T11160&lt;=0.2,"Low (1-20%)",IF(T11160&lt;=0.4,"Medium (21-40%)","High (&gt;40%)"))))</f>
        <v/>
      </c>
      <c r="Y11160" s="23" t="str">
        <f aca="false">IF(AND(ISNUMBER(C11160),ISNUMBER(D11160)),D11160-C11160,"")</f>
        <v/>
      </c>
      <c r="Z11160" s="23" t="str">
        <f aca="false">IF(B11160="","",IF(MATCH(B11160,$B$2:$B$12000,0)=ROW()-1,1,0))</f>
        <v/>
      </c>
    </row>
    <row r="11161" customFormat="false" ht="15" hidden="false" customHeight="false" outlineLevel="0" collapsed="false">
      <c r="V11161" s="23" t="str">
        <f aca="false">IF(ISNUMBER(C11161),YEAR(C11161),"")</f>
        <v/>
      </c>
      <c r="W11161" s="23" t="str">
        <f aca="false">IF(ISNUMBER(C11161),MONTH(C11161),"")</f>
        <v/>
      </c>
      <c r="X11161" s="23" t="str">
        <f aca="false">IF(T11161="","",IF(T11161=0,"No discount",IF(T11161&lt;=0.2,"Low (1-20%)",IF(T11161&lt;=0.4,"Medium (21-40%)","High (&gt;40%)"))))</f>
        <v/>
      </c>
      <c r="Y11161" s="23" t="str">
        <f aca="false">IF(AND(ISNUMBER(C11161),ISNUMBER(D11161)),D11161-C11161,"")</f>
        <v/>
      </c>
      <c r="Z11161" s="23" t="str">
        <f aca="false">IF(B11161="","",IF(MATCH(B11161,$B$2:$B$12000,0)=ROW()-1,1,0))</f>
        <v/>
      </c>
    </row>
    <row r="11162" customFormat="false" ht="15" hidden="false" customHeight="false" outlineLevel="0" collapsed="false">
      <c r="V11162" s="23" t="str">
        <f aca="false">IF(ISNUMBER(C11162),YEAR(C11162),"")</f>
        <v/>
      </c>
      <c r="W11162" s="23" t="str">
        <f aca="false">IF(ISNUMBER(C11162),MONTH(C11162),"")</f>
        <v/>
      </c>
      <c r="X11162" s="23" t="str">
        <f aca="false">IF(T11162="","",IF(T11162=0,"No discount",IF(T11162&lt;=0.2,"Low (1-20%)",IF(T11162&lt;=0.4,"Medium (21-40%)","High (&gt;40%)"))))</f>
        <v/>
      </c>
      <c r="Y11162" s="23" t="str">
        <f aca="false">IF(AND(ISNUMBER(C11162),ISNUMBER(D11162)),D11162-C11162,"")</f>
        <v/>
      </c>
      <c r="Z11162" s="23" t="str">
        <f aca="false">IF(B11162="","",IF(MATCH(B11162,$B$2:$B$12000,0)=ROW()-1,1,0))</f>
        <v/>
      </c>
    </row>
    <row r="11163" customFormat="false" ht="15" hidden="false" customHeight="false" outlineLevel="0" collapsed="false">
      <c r="V11163" s="23" t="str">
        <f aca="false">IF(ISNUMBER(C11163),YEAR(C11163),"")</f>
        <v/>
      </c>
      <c r="W11163" s="23" t="str">
        <f aca="false">IF(ISNUMBER(C11163),MONTH(C11163),"")</f>
        <v/>
      </c>
      <c r="X11163" s="23" t="str">
        <f aca="false">IF(T11163="","",IF(T11163=0,"No discount",IF(T11163&lt;=0.2,"Low (1-20%)",IF(T11163&lt;=0.4,"Medium (21-40%)","High (&gt;40%)"))))</f>
        <v/>
      </c>
      <c r="Y11163" s="23" t="str">
        <f aca="false">IF(AND(ISNUMBER(C11163),ISNUMBER(D11163)),D11163-C11163,"")</f>
        <v/>
      </c>
      <c r="Z11163" s="23" t="str">
        <f aca="false">IF(B11163="","",IF(MATCH(B11163,$B$2:$B$12000,0)=ROW()-1,1,0))</f>
        <v/>
      </c>
    </row>
    <row r="11164" customFormat="false" ht="15" hidden="false" customHeight="false" outlineLevel="0" collapsed="false">
      <c r="V11164" s="23" t="str">
        <f aca="false">IF(ISNUMBER(C11164),YEAR(C11164),"")</f>
        <v/>
      </c>
      <c r="W11164" s="23" t="str">
        <f aca="false">IF(ISNUMBER(C11164),MONTH(C11164),"")</f>
        <v/>
      </c>
      <c r="X11164" s="23" t="str">
        <f aca="false">IF(T11164="","",IF(T11164=0,"No discount",IF(T11164&lt;=0.2,"Low (1-20%)",IF(T11164&lt;=0.4,"Medium (21-40%)","High (&gt;40%)"))))</f>
        <v/>
      </c>
      <c r="Y11164" s="23" t="str">
        <f aca="false">IF(AND(ISNUMBER(C11164),ISNUMBER(D11164)),D11164-C11164,"")</f>
        <v/>
      </c>
      <c r="Z11164" s="23" t="str">
        <f aca="false">IF(B11164="","",IF(MATCH(B11164,$B$2:$B$12000,0)=ROW()-1,1,0))</f>
        <v/>
      </c>
    </row>
    <row r="11165" customFormat="false" ht="15" hidden="false" customHeight="false" outlineLevel="0" collapsed="false">
      <c r="V11165" s="23" t="str">
        <f aca="false">IF(ISNUMBER(C11165),YEAR(C11165),"")</f>
        <v/>
      </c>
      <c r="W11165" s="23" t="str">
        <f aca="false">IF(ISNUMBER(C11165),MONTH(C11165),"")</f>
        <v/>
      </c>
      <c r="X11165" s="23" t="str">
        <f aca="false">IF(T11165="","",IF(T11165=0,"No discount",IF(T11165&lt;=0.2,"Low (1-20%)",IF(T11165&lt;=0.4,"Medium (21-40%)","High (&gt;40%)"))))</f>
        <v/>
      </c>
      <c r="Y11165" s="23" t="str">
        <f aca="false">IF(AND(ISNUMBER(C11165),ISNUMBER(D11165)),D11165-C11165,"")</f>
        <v/>
      </c>
      <c r="Z11165" s="23" t="str">
        <f aca="false">IF(B11165="","",IF(MATCH(B11165,$B$2:$B$12000,0)=ROW()-1,1,0))</f>
        <v/>
      </c>
    </row>
    <row r="11166" customFormat="false" ht="15" hidden="false" customHeight="false" outlineLevel="0" collapsed="false">
      <c r="V11166" s="23" t="str">
        <f aca="false">IF(ISNUMBER(C11166),YEAR(C11166),"")</f>
        <v/>
      </c>
      <c r="W11166" s="23" t="str">
        <f aca="false">IF(ISNUMBER(C11166),MONTH(C11166),"")</f>
        <v/>
      </c>
      <c r="X11166" s="23" t="str">
        <f aca="false">IF(T11166="","",IF(T11166=0,"No discount",IF(T11166&lt;=0.2,"Low (1-20%)",IF(T11166&lt;=0.4,"Medium (21-40%)","High (&gt;40%)"))))</f>
        <v/>
      </c>
      <c r="Y11166" s="23" t="str">
        <f aca="false">IF(AND(ISNUMBER(C11166),ISNUMBER(D11166)),D11166-C11166,"")</f>
        <v/>
      </c>
      <c r="Z11166" s="23" t="str">
        <f aca="false">IF(B11166="","",IF(MATCH(B11166,$B$2:$B$12000,0)=ROW()-1,1,0))</f>
        <v/>
      </c>
    </row>
    <row r="11167" customFormat="false" ht="15" hidden="false" customHeight="false" outlineLevel="0" collapsed="false">
      <c r="V11167" s="23" t="str">
        <f aca="false">IF(ISNUMBER(C11167),YEAR(C11167),"")</f>
        <v/>
      </c>
      <c r="W11167" s="23" t="str">
        <f aca="false">IF(ISNUMBER(C11167),MONTH(C11167),"")</f>
        <v/>
      </c>
      <c r="X11167" s="23" t="str">
        <f aca="false">IF(T11167="","",IF(T11167=0,"No discount",IF(T11167&lt;=0.2,"Low (1-20%)",IF(T11167&lt;=0.4,"Medium (21-40%)","High (&gt;40%)"))))</f>
        <v/>
      </c>
      <c r="Y11167" s="23" t="str">
        <f aca="false">IF(AND(ISNUMBER(C11167),ISNUMBER(D11167)),D11167-C11167,"")</f>
        <v/>
      </c>
      <c r="Z11167" s="23" t="str">
        <f aca="false">IF(B11167="","",IF(MATCH(B11167,$B$2:$B$12000,0)=ROW()-1,1,0))</f>
        <v/>
      </c>
    </row>
    <row r="11168" customFormat="false" ht="15" hidden="false" customHeight="false" outlineLevel="0" collapsed="false">
      <c r="V11168" s="23" t="str">
        <f aca="false">IF(ISNUMBER(C11168),YEAR(C11168),"")</f>
        <v/>
      </c>
      <c r="W11168" s="23" t="str">
        <f aca="false">IF(ISNUMBER(C11168),MONTH(C11168),"")</f>
        <v/>
      </c>
      <c r="X11168" s="23" t="str">
        <f aca="false">IF(T11168="","",IF(T11168=0,"No discount",IF(T11168&lt;=0.2,"Low (1-20%)",IF(T11168&lt;=0.4,"Medium (21-40%)","High (&gt;40%)"))))</f>
        <v/>
      </c>
      <c r="Y11168" s="23" t="str">
        <f aca="false">IF(AND(ISNUMBER(C11168),ISNUMBER(D11168)),D11168-C11168,"")</f>
        <v/>
      </c>
      <c r="Z11168" s="23" t="str">
        <f aca="false">IF(B11168="","",IF(MATCH(B11168,$B$2:$B$12000,0)=ROW()-1,1,0))</f>
        <v/>
      </c>
    </row>
    <row r="11169" customFormat="false" ht="15" hidden="false" customHeight="false" outlineLevel="0" collapsed="false">
      <c r="V11169" s="23" t="str">
        <f aca="false">IF(ISNUMBER(C11169),YEAR(C11169),"")</f>
        <v/>
      </c>
      <c r="W11169" s="23" t="str">
        <f aca="false">IF(ISNUMBER(C11169),MONTH(C11169),"")</f>
        <v/>
      </c>
      <c r="X11169" s="23" t="str">
        <f aca="false">IF(T11169="","",IF(T11169=0,"No discount",IF(T11169&lt;=0.2,"Low (1-20%)",IF(T11169&lt;=0.4,"Medium (21-40%)","High (&gt;40%)"))))</f>
        <v/>
      </c>
      <c r="Y11169" s="23" t="str">
        <f aca="false">IF(AND(ISNUMBER(C11169),ISNUMBER(D11169)),D11169-C11169,"")</f>
        <v/>
      </c>
      <c r="Z11169" s="23" t="str">
        <f aca="false">IF(B11169="","",IF(MATCH(B11169,$B$2:$B$12000,0)=ROW()-1,1,0))</f>
        <v/>
      </c>
    </row>
    <row r="11170" customFormat="false" ht="15" hidden="false" customHeight="false" outlineLevel="0" collapsed="false">
      <c r="V11170" s="23" t="str">
        <f aca="false">IF(ISNUMBER(C11170),YEAR(C11170),"")</f>
        <v/>
      </c>
      <c r="W11170" s="23" t="str">
        <f aca="false">IF(ISNUMBER(C11170),MONTH(C11170),"")</f>
        <v/>
      </c>
      <c r="X11170" s="23" t="str">
        <f aca="false">IF(T11170="","",IF(T11170=0,"No discount",IF(T11170&lt;=0.2,"Low (1-20%)",IF(T11170&lt;=0.4,"Medium (21-40%)","High (&gt;40%)"))))</f>
        <v/>
      </c>
      <c r="Y11170" s="23" t="str">
        <f aca="false">IF(AND(ISNUMBER(C11170),ISNUMBER(D11170)),D11170-C11170,"")</f>
        <v/>
      </c>
      <c r="Z11170" s="23" t="str">
        <f aca="false">IF(B11170="","",IF(MATCH(B11170,$B$2:$B$12000,0)=ROW()-1,1,0))</f>
        <v/>
      </c>
    </row>
    <row r="11171" customFormat="false" ht="15" hidden="false" customHeight="false" outlineLevel="0" collapsed="false">
      <c r="V11171" s="23" t="str">
        <f aca="false">IF(ISNUMBER(C11171),YEAR(C11171),"")</f>
        <v/>
      </c>
      <c r="W11171" s="23" t="str">
        <f aca="false">IF(ISNUMBER(C11171),MONTH(C11171),"")</f>
        <v/>
      </c>
      <c r="X11171" s="23" t="str">
        <f aca="false">IF(T11171="","",IF(T11171=0,"No discount",IF(T11171&lt;=0.2,"Low (1-20%)",IF(T11171&lt;=0.4,"Medium (21-40%)","High (&gt;40%)"))))</f>
        <v/>
      </c>
      <c r="Y11171" s="23" t="str">
        <f aca="false">IF(AND(ISNUMBER(C11171),ISNUMBER(D11171)),D11171-C11171,"")</f>
        <v/>
      </c>
      <c r="Z11171" s="23" t="str">
        <f aca="false">IF(B11171="","",IF(MATCH(B11171,$B$2:$B$12000,0)=ROW()-1,1,0))</f>
        <v/>
      </c>
    </row>
    <row r="11172" customFormat="false" ht="15" hidden="false" customHeight="false" outlineLevel="0" collapsed="false">
      <c r="V11172" s="23" t="str">
        <f aca="false">IF(ISNUMBER(C11172),YEAR(C11172),"")</f>
        <v/>
      </c>
      <c r="W11172" s="23" t="str">
        <f aca="false">IF(ISNUMBER(C11172),MONTH(C11172),"")</f>
        <v/>
      </c>
      <c r="X11172" s="23" t="str">
        <f aca="false">IF(T11172="","",IF(T11172=0,"No discount",IF(T11172&lt;=0.2,"Low (1-20%)",IF(T11172&lt;=0.4,"Medium (21-40%)","High (&gt;40%)"))))</f>
        <v/>
      </c>
      <c r="Y11172" s="23" t="str">
        <f aca="false">IF(AND(ISNUMBER(C11172),ISNUMBER(D11172)),D11172-C11172,"")</f>
        <v/>
      </c>
      <c r="Z11172" s="23" t="str">
        <f aca="false">IF(B11172="","",IF(MATCH(B11172,$B$2:$B$12000,0)=ROW()-1,1,0))</f>
        <v/>
      </c>
    </row>
    <row r="11173" customFormat="false" ht="15" hidden="false" customHeight="false" outlineLevel="0" collapsed="false">
      <c r="V11173" s="23" t="str">
        <f aca="false">IF(ISNUMBER(C11173),YEAR(C11173),"")</f>
        <v/>
      </c>
      <c r="W11173" s="23" t="str">
        <f aca="false">IF(ISNUMBER(C11173),MONTH(C11173),"")</f>
        <v/>
      </c>
      <c r="X11173" s="23" t="str">
        <f aca="false">IF(T11173="","",IF(T11173=0,"No discount",IF(T11173&lt;=0.2,"Low (1-20%)",IF(T11173&lt;=0.4,"Medium (21-40%)","High (&gt;40%)"))))</f>
        <v/>
      </c>
      <c r="Y11173" s="23" t="str">
        <f aca="false">IF(AND(ISNUMBER(C11173),ISNUMBER(D11173)),D11173-C11173,"")</f>
        <v/>
      </c>
      <c r="Z11173" s="23" t="str">
        <f aca="false">IF(B11173="","",IF(MATCH(B11173,$B$2:$B$12000,0)=ROW()-1,1,0))</f>
        <v/>
      </c>
    </row>
    <row r="11174" customFormat="false" ht="15" hidden="false" customHeight="false" outlineLevel="0" collapsed="false">
      <c r="V11174" s="23" t="str">
        <f aca="false">IF(ISNUMBER(C11174),YEAR(C11174),"")</f>
        <v/>
      </c>
      <c r="W11174" s="23" t="str">
        <f aca="false">IF(ISNUMBER(C11174),MONTH(C11174),"")</f>
        <v/>
      </c>
      <c r="X11174" s="23" t="str">
        <f aca="false">IF(T11174="","",IF(T11174=0,"No discount",IF(T11174&lt;=0.2,"Low (1-20%)",IF(T11174&lt;=0.4,"Medium (21-40%)","High (&gt;40%)"))))</f>
        <v/>
      </c>
      <c r="Y11174" s="23" t="str">
        <f aca="false">IF(AND(ISNUMBER(C11174),ISNUMBER(D11174)),D11174-C11174,"")</f>
        <v/>
      </c>
      <c r="Z11174" s="23" t="str">
        <f aca="false">IF(B11174="","",IF(MATCH(B11174,$B$2:$B$12000,0)=ROW()-1,1,0))</f>
        <v/>
      </c>
    </row>
    <row r="11175" customFormat="false" ht="15" hidden="false" customHeight="false" outlineLevel="0" collapsed="false">
      <c r="V11175" s="23" t="str">
        <f aca="false">IF(ISNUMBER(C11175),YEAR(C11175),"")</f>
        <v/>
      </c>
      <c r="W11175" s="23" t="str">
        <f aca="false">IF(ISNUMBER(C11175),MONTH(C11175),"")</f>
        <v/>
      </c>
      <c r="X11175" s="23" t="str">
        <f aca="false">IF(T11175="","",IF(T11175=0,"No discount",IF(T11175&lt;=0.2,"Low (1-20%)",IF(T11175&lt;=0.4,"Medium (21-40%)","High (&gt;40%)"))))</f>
        <v/>
      </c>
      <c r="Y11175" s="23" t="str">
        <f aca="false">IF(AND(ISNUMBER(C11175),ISNUMBER(D11175)),D11175-C11175,"")</f>
        <v/>
      </c>
      <c r="Z11175" s="23" t="str">
        <f aca="false">IF(B11175="","",IF(MATCH(B11175,$B$2:$B$12000,0)=ROW()-1,1,0))</f>
        <v/>
      </c>
    </row>
    <row r="11176" customFormat="false" ht="15" hidden="false" customHeight="false" outlineLevel="0" collapsed="false">
      <c r="V11176" s="23" t="str">
        <f aca="false">IF(ISNUMBER(C11176),YEAR(C11176),"")</f>
        <v/>
      </c>
      <c r="W11176" s="23" t="str">
        <f aca="false">IF(ISNUMBER(C11176),MONTH(C11176),"")</f>
        <v/>
      </c>
      <c r="X11176" s="23" t="str">
        <f aca="false">IF(T11176="","",IF(T11176=0,"No discount",IF(T11176&lt;=0.2,"Low (1-20%)",IF(T11176&lt;=0.4,"Medium (21-40%)","High (&gt;40%)"))))</f>
        <v/>
      </c>
      <c r="Y11176" s="23" t="str">
        <f aca="false">IF(AND(ISNUMBER(C11176),ISNUMBER(D11176)),D11176-C11176,"")</f>
        <v/>
      </c>
      <c r="Z11176" s="23" t="str">
        <f aca="false">IF(B11176="","",IF(MATCH(B11176,$B$2:$B$12000,0)=ROW()-1,1,0))</f>
        <v/>
      </c>
    </row>
    <row r="11177" customFormat="false" ht="15" hidden="false" customHeight="false" outlineLevel="0" collapsed="false">
      <c r="V11177" s="23" t="str">
        <f aca="false">IF(ISNUMBER(C11177),YEAR(C11177),"")</f>
        <v/>
      </c>
      <c r="W11177" s="23" t="str">
        <f aca="false">IF(ISNUMBER(C11177),MONTH(C11177),"")</f>
        <v/>
      </c>
      <c r="X11177" s="23" t="str">
        <f aca="false">IF(T11177="","",IF(T11177=0,"No discount",IF(T11177&lt;=0.2,"Low (1-20%)",IF(T11177&lt;=0.4,"Medium (21-40%)","High (&gt;40%)"))))</f>
        <v/>
      </c>
      <c r="Y11177" s="23" t="str">
        <f aca="false">IF(AND(ISNUMBER(C11177),ISNUMBER(D11177)),D11177-C11177,"")</f>
        <v/>
      </c>
      <c r="Z11177" s="23" t="str">
        <f aca="false">IF(B11177="","",IF(MATCH(B11177,$B$2:$B$12000,0)=ROW()-1,1,0))</f>
        <v/>
      </c>
    </row>
    <row r="11178" customFormat="false" ht="15" hidden="false" customHeight="false" outlineLevel="0" collapsed="false">
      <c r="V11178" s="23" t="str">
        <f aca="false">IF(ISNUMBER(C11178),YEAR(C11178),"")</f>
        <v/>
      </c>
      <c r="W11178" s="23" t="str">
        <f aca="false">IF(ISNUMBER(C11178),MONTH(C11178),"")</f>
        <v/>
      </c>
      <c r="X11178" s="23" t="str">
        <f aca="false">IF(T11178="","",IF(T11178=0,"No discount",IF(T11178&lt;=0.2,"Low (1-20%)",IF(T11178&lt;=0.4,"Medium (21-40%)","High (&gt;40%)"))))</f>
        <v/>
      </c>
      <c r="Y11178" s="23" t="str">
        <f aca="false">IF(AND(ISNUMBER(C11178),ISNUMBER(D11178)),D11178-C11178,"")</f>
        <v/>
      </c>
      <c r="Z11178" s="23" t="str">
        <f aca="false">IF(B11178="","",IF(MATCH(B11178,$B$2:$B$12000,0)=ROW()-1,1,0))</f>
        <v/>
      </c>
    </row>
    <row r="11179" customFormat="false" ht="15" hidden="false" customHeight="false" outlineLevel="0" collapsed="false">
      <c r="V11179" s="23" t="str">
        <f aca="false">IF(ISNUMBER(C11179),YEAR(C11179),"")</f>
        <v/>
      </c>
      <c r="W11179" s="23" t="str">
        <f aca="false">IF(ISNUMBER(C11179),MONTH(C11179),"")</f>
        <v/>
      </c>
      <c r="X11179" s="23" t="str">
        <f aca="false">IF(T11179="","",IF(T11179=0,"No discount",IF(T11179&lt;=0.2,"Low (1-20%)",IF(T11179&lt;=0.4,"Medium (21-40%)","High (&gt;40%)"))))</f>
        <v/>
      </c>
      <c r="Y11179" s="23" t="str">
        <f aca="false">IF(AND(ISNUMBER(C11179),ISNUMBER(D11179)),D11179-C11179,"")</f>
        <v/>
      </c>
      <c r="Z11179" s="23" t="str">
        <f aca="false">IF(B11179="","",IF(MATCH(B11179,$B$2:$B$12000,0)=ROW()-1,1,0))</f>
        <v/>
      </c>
    </row>
    <row r="11180" customFormat="false" ht="15" hidden="false" customHeight="false" outlineLevel="0" collapsed="false">
      <c r="V11180" s="23" t="str">
        <f aca="false">IF(ISNUMBER(C11180),YEAR(C11180),"")</f>
        <v/>
      </c>
      <c r="W11180" s="23" t="str">
        <f aca="false">IF(ISNUMBER(C11180),MONTH(C11180),"")</f>
        <v/>
      </c>
      <c r="X11180" s="23" t="str">
        <f aca="false">IF(T11180="","",IF(T11180=0,"No discount",IF(T11180&lt;=0.2,"Low (1-20%)",IF(T11180&lt;=0.4,"Medium (21-40%)","High (&gt;40%)"))))</f>
        <v/>
      </c>
      <c r="Y11180" s="23" t="str">
        <f aca="false">IF(AND(ISNUMBER(C11180),ISNUMBER(D11180)),D11180-C11180,"")</f>
        <v/>
      </c>
      <c r="Z11180" s="23" t="str">
        <f aca="false">IF(B11180="","",IF(MATCH(B11180,$B$2:$B$12000,0)=ROW()-1,1,0))</f>
        <v/>
      </c>
    </row>
    <row r="11181" customFormat="false" ht="15" hidden="false" customHeight="false" outlineLevel="0" collapsed="false">
      <c r="V11181" s="23" t="str">
        <f aca="false">IF(ISNUMBER(C11181),YEAR(C11181),"")</f>
        <v/>
      </c>
      <c r="W11181" s="23" t="str">
        <f aca="false">IF(ISNUMBER(C11181),MONTH(C11181),"")</f>
        <v/>
      </c>
      <c r="X11181" s="23" t="str">
        <f aca="false">IF(T11181="","",IF(T11181=0,"No discount",IF(T11181&lt;=0.2,"Low (1-20%)",IF(T11181&lt;=0.4,"Medium (21-40%)","High (&gt;40%)"))))</f>
        <v/>
      </c>
      <c r="Y11181" s="23" t="str">
        <f aca="false">IF(AND(ISNUMBER(C11181),ISNUMBER(D11181)),D11181-C11181,"")</f>
        <v/>
      </c>
      <c r="Z11181" s="23" t="str">
        <f aca="false">IF(B11181="","",IF(MATCH(B11181,$B$2:$B$12000,0)=ROW()-1,1,0))</f>
        <v/>
      </c>
    </row>
    <row r="11182" customFormat="false" ht="15" hidden="false" customHeight="false" outlineLevel="0" collapsed="false">
      <c r="V11182" s="23" t="str">
        <f aca="false">IF(ISNUMBER(C11182),YEAR(C11182),"")</f>
        <v/>
      </c>
      <c r="W11182" s="23" t="str">
        <f aca="false">IF(ISNUMBER(C11182),MONTH(C11182),"")</f>
        <v/>
      </c>
      <c r="X11182" s="23" t="str">
        <f aca="false">IF(T11182="","",IF(T11182=0,"No discount",IF(T11182&lt;=0.2,"Low (1-20%)",IF(T11182&lt;=0.4,"Medium (21-40%)","High (&gt;40%)"))))</f>
        <v/>
      </c>
      <c r="Y11182" s="23" t="str">
        <f aca="false">IF(AND(ISNUMBER(C11182),ISNUMBER(D11182)),D11182-C11182,"")</f>
        <v/>
      </c>
      <c r="Z11182" s="23" t="str">
        <f aca="false">IF(B11182="","",IF(MATCH(B11182,$B$2:$B$12000,0)=ROW()-1,1,0))</f>
        <v/>
      </c>
    </row>
    <row r="11183" customFormat="false" ht="15" hidden="false" customHeight="false" outlineLevel="0" collapsed="false">
      <c r="V11183" s="23" t="str">
        <f aca="false">IF(ISNUMBER(C11183),YEAR(C11183),"")</f>
        <v/>
      </c>
      <c r="W11183" s="23" t="str">
        <f aca="false">IF(ISNUMBER(C11183),MONTH(C11183),"")</f>
        <v/>
      </c>
      <c r="X11183" s="23" t="str">
        <f aca="false">IF(T11183="","",IF(T11183=0,"No discount",IF(T11183&lt;=0.2,"Low (1-20%)",IF(T11183&lt;=0.4,"Medium (21-40%)","High (&gt;40%)"))))</f>
        <v/>
      </c>
      <c r="Y11183" s="23" t="str">
        <f aca="false">IF(AND(ISNUMBER(C11183),ISNUMBER(D11183)),D11183-C11183,"")</f>
        <v/>
      </c>
      <c r="Z11183" s="23" t="str">
        <f aca="false">IF(B11183="","",IF(MATCH(B11183,$B$2:$B$12000,0)=ROW()-1,1,0))</f>
        <v/>
      </c>
    </row>
    <row r="11184" customFormat="false" ht="15" hidden="false" customHeight="false" outlineLevel="0" collapsed="false">
      <c r="V11184" s="23" t="str">
        <f aca="false">IF(ISNUMBER(C11184),YEAR(C11184),"")</f>
        <v/>
      </c>
      <c r="W11184" s="23" t="str">
        <f aca="false">IF(ISNUMBER(C11184),MONTH(C11184),"")</f>
        <v/>
      </c>
      <c r="X11184" s="23" t="str">
        <f aca="false">IF(T11184="","",IF(T11184=0,"No discount",IF(T11184&lt;=0.2,"Low (1-20%)",IF(T11184&lt;=0.4,"Medium (21-40%)","High (&gt;40%)"))))</f>
        <v/>
      </c>
      <c r="Y11184" s="23" t="str">
        <f aca="false">IF(AND(ISNUMBER(C11184),ISNUMBER(D11184)),D11184-C11184,"")</f>
        <v/>
      </c>
      <c r="Z11184" s="23" t="str">
        <f aca="false">IF(B11184="","",IF(MATCH(B11184,$B$2:$B$12000,0)=ROW()-1,1,0))</f>
        <v/>
      </c>
    </row>
    <row r="11185" customFormat="false" ht="15" hidden="false" customHeight="false" outlineLevel="0" collapsed="false">
      <c r="V11185" s="23" t="str">
        <f aca="false">IF(ISNUMBER(C11185),YEAR(C11185),"")</f>
        <v/>
      </c>
      <c r="W11185" s="23" t="str">
        <f aca="false">IF(ISNUMBER(C11185),MONTH(C11185),"")</f>
        <v/>
      </c>
      <c r="X11185" s="23" t="str">
        <f aca="false">IF(T11185="","",IF(T11185=0,"No discount",IF(T11185&lt;=0.2,"Low (1-20%)",IF(T11185&lt;=0.4,"Medium (21-40%)","High (&gt;40%)"))))</f>
        <v/>
      </c>
      <c r="Y11185" s="23" t="str">
        <f aca="false">IF(AND(ISNUMBER(C11185),ISNUMBER(D11185)),D11185-C11185,"")</f>
        <v/>
      </c>
      <c r="Z11185" s="23" t="str">
        <f aca="false">IF(B11185="","",IF(MATCH(B11185,$B$2:$B$12000,0)=ROW()-1,1,0))</f>
        <v/>
      </c>
    </row>
    <row r="11186" customFormat="false" ht="15" hidden="false" customHeight="false" outlineLevel="0" collapsed="false">
      <c r="V11186" s="23" t="str">
        <f aca="false">IF(ISNUMBER(C11186),YEAR(C11186),"")</f>
        <v/>
      </c>
      <c r="W11186" s="23" t="str">
        <f aca="false">IF(ISNUMBER(C11186),MONTH(C11186),"")</f>
        <v/>
      </c>
      <c r="X11186" s="23" t="str">
        <f aca="false">IF(T11186="","",IF(T11186=0,"No discount",IF(T11186&lt;=0.2,"Low (1-20%)",IF(T11186&lt;=0.4,"Medium (21-40%)","High (&gt;40%)"))))</f>
        <v/>
      </c>
      <c r="Y11186" s="23" t="str">
        <f aca="false">IF(AND(ISNUMBER(C11186),ISNUMBER(D11186)),D11186-C11186,"")</f>
        <v/>
      </c>
      <c r="Z11186" s="23" t="str">
        <f aca="false">IF(B11186="","",IF(MATCH(B11186,$B$2:$B$12000,0)=ROW()-1,1,0))</f>
        <v/>
      </c>
    </row>
    <row r="11187" customFormat="false" ht="15" hidden="false" customHeight="false" outlineLevel="0" collapsed="false">
      <c r="V11187" s="23" t="str">
        <f aca="false">IF(ISNUMBER(C11187),YEAR(C11187),"")</f>
        <v/>
      </c>
      <c r="W11187" s="23" t="str">
        <f aca="false">IF(ISNUMBER(C11187),MONTH(C11187),"")</f>
        <v/>
      </c>
      <c r="X11187" s="23" t="str">
        <f aca="false">IF(T11187="","",IF(T11187=0,"No discount",IF(T11187&lt;=0.2,"Low (1-20%)",IF(T11187&lt;=0.4,"Medium (21-40%)","High (&gt;40%)"))))</f>
        <v/>
      </c>
      <c r="Y11187" s="23" t="str">
        <f aca="false">IF(AND(ISNUMBER(C11187),ISNUMBER(D11187)),D11187-C11187,"")</f>
        <v/>
      </c>
      <c r="Z11187" s="23" t="str">
        <f aca="false">IF(B11187="","",IF(MATCH(B11187,$B$2:$B$12000,0)=ROW()-1,1,0))</f>
        <v/>
      </c>
    </row>
    <row r="11188" customFormat="false" ht="15" hidden="false" customHeight="false" outlineLevel="0" collapsed="false">
      <c r="V11188" s="23" t="str">
        <f aca="false">IF(ISNUMBER(C11188),YEAR(C11188),"")</f>
        <v/>
      </c>
      <c r="W11188" s="23" t="str">
        <f aca="false">IF(ISNUMBER(C11188),MONTH(C11188),"")</f>
        <v/>
      </c>
      <c r="X11188" s="23" t="str">
        <f aca="false">IF(T11188="","",IF(T11188=0,"No discount",IF(T11188&lt;=0.2,"Low (1-20%)",IF(T11188&lt;=0.4,"Medium (21-40%)","High (&gt;40%)"))))</f>
        <v/>
      </c>
      <c r="Y11188" s="23" t="str">
        <f aca="false">IF(AND(ISNUMBER(C11188),ISNUMBER(D11188)),D11188-C11188,"")</f>
        <v/>
      </c>
      <c r="Z11188" s="23" t="str">
        <f aca="false">IF(B11188="","",IF(MATCH(B11188,$B$2:$B$12000,0)=ROW()-1,1,0))</f>
        <v/>
      </c>
    </row>
    <row r="11189" customFormat="false" ht="15" hidden="false" customHeight="false" outlineLevel="0" collapsed="false">
      <c r="V11189" s="23" t="str">
        <f aca="false">IF(ISNUMBER(C11189),YEAR(C11189),"")</f>
        <v/>
      </c>
      <c r="W11189" s="23" t="str">
        <f aca="false">IF(ISNUMBER(C11189),MONTH(C11189),"")</f>
        <v/>
      </c>
      <c r="X11189" s="23" t="str">
        <f aca="false">IF(T11189="","",IF(T11189=0,"No discount",IF(T11189&lt;=0.2,"Low (1-20%)",IF(T11189&lt;=0.4,"Medium (21-40%)","High (&gt;40%)"))))</f>
        <v/>
      </c>
      <c r="Y11189" s="23" t="str">
        <f aca="false">IF(AND(ISNUMBER(C11189),ISNUMBER(D11189)),D11189-C11189,"")</f>
        <v/>
      </c>
      <c r="Z11189" s="23" t="str">
        <f aca="false">IF(B11189="","",IF(MATCH(B11189,$B$2:$B$12000,0)=ROW()-1,1,0))</f>
        <v/>
      </c>
    </row>
    <row r="11190" customFormat="false" ht="15" hidden="false" customHeight="false" outlineLevel="0" collapsed="false">
      <c r="V11190" s="23" t="str">
        <f aca="false">IF(ISNUMBER(C11190),YEAR(C11190),"")</f>
        <v/>
      </c>
      <c r="W11190" s="23" t="str">
        <f aca="false">IF(ISNUMBER(C11190),MONTH(C11190),"")</f>
        <v/>
      </c>
      <c r="X11190" s="23" t="str">
        <f aca="false">IF(T11190="","",IF(T11190=0,"No discount",IF(T11190&lt;=0.2,"Low (1-20%)",IF(T11190&lt;=0.4,"Medium (21-40%)","High (&gt;40%)"))))</f>
        <v/>
      </c>
      <c r="Y11190" s="23" t="str">
        <f aca="false">IF(AND(ISNUMBER(C11190),ISNUMBER(D11190)),D11190-C11190,"")</f>
        <v/>
      </c>
      <c r="Z11190" s="23" t="str">
        <f aca="false">IF(B11190="","",IF(MATCH(B11190,$B$2:$B$12000,0)=ROW()-1,1,0))</f>
        <v/>
      </c>
    </row>
    <row r="11191" customFormat="false" ht="15" hidden="false" customHeight="false" outlineLevel="0" collapsed="false">
      <c r="V11191" s="23" t="str">
        <f aca="false">IF(ISNUMBER(C11191),YEAR(C11191),"")</f>
        <v/>
      </c>
      <c r="W11191" s="23" t="str">
        <f aca="false">IF(ISNUMBER(C11191),MONTH(C11191),"")</f>
        <v/>
      </c>
      <c r="X11191" s="23" t="str">
        <f aca="false">IF(T11191="","",IF(T11191=0,"No discount",IF(T11191&lt;=0.2,"Low (1-20%)",IF(T11191&lt;=0.4,"Medium (21-40%)","High (&gt;40%)"))))</f>
        <v/>
      </c>
      <c r="Y11191" s="23" t="str">
        <f aca="false">IF(AND(ISNUMBER(C11191),ISNUMBER(D11191)),D11191-C11191,"")</f>
        <v/>
      </c>
      <c r="Z11191" s="23" t="str">
        <f aca="false">IF(B11191="","",IF(MATCH(B11191,$B$2:$B$12000,0)=ROW()-1,1,0))</f>
        <v/>
      </c>
    </row>
    <row r="11192" customFormat="false" ht="15" hidden="false" customHeight="false" outlineLevel="0" collapsed="false">
      <c r="V11192" s="23" t="str">
        <f aca="false">IF(ISNUMBER(C11192),YEAR(C11192),"")</f>
        <v/>
      </c>
      <c r="W11192" s="23" t="str">
        <f aca="false">IF(ISNUMBER(C11192),MONTH(C11192),"")</f>
        <v/>
      </c>
      <c r="X11192" s="23" t="str">
        <f aca="false">IF(T11192="","",IF(T11192=0,"No discount",IF(T11192&lt;=0.2,"Low (1-20%)",IF(T11192&lt;=0.4,"Medium (21-40%)","High (&gt;40%)"))))</f>
        <v/>
      </c>
      <c r="Y11192" s="23" t="str">
        <f aca="false">IF(AND(ISNUMBER(C11192),ISNUMBER(D11192)),D11192-C11192,"")</f>
        <v/>
      </c>
      <c r="Z11192" s="23" t="str">
        <f aca="false">IF(B11192="","",IF(MATCH(B11192,$B$2:$B$12000,0)=ROW()-1,1,0))</f>
        <v/>
      </c>
    </row>
    <row r="11193" customFormat="false" ht="15" hidden="false" customHeight="false" outlineLevel="0" collapsed="false">
      <c r="V11193" s="23" t="str">
        <f aca="false">IF(ISNUMBER(C11193),YEAR(C11193),"")</f>
        <v/>
      </c>
      <c r="W11193" s="23" t="str">
        <f aca="false">IF(ISNUMBER(C11193),MONTH(C11193),"")</f>
        <v/>
      </c>
      <c r="X11193" s="23" t="str">
        <f aca="false">IF(T11193="","",IF(T11193=0,"No discount",IF(T11193&lt;=0.2,"Low (1-20%)",IF(T11193&lt;=0.4,"Medium (21-40%)","High (&gt;40%)"))))</f>
        <v/>
      </c>
      <c r="Y11193" s="23" t="str">
        <f aca="false">IF(AND(ISNUMBER(C11193),ISNUMBER(D11193)),D11193-C11193,"")</f>
        <v/>
      </c>
      <c r="Z11193" s="23" t="str">
        <f aca="false">IF(B11193="","",IF(MATCH(B11193,$B$2:$B$12000,0)=ROW()-1,1,0))</f>
        <v/>
      </c>
    </row>
    <row r="11194" customFormat="false" ht="15" hidden="false" customHeight="false" outlineLevel="0" collapsed="false">
      <c r="V11194" s="23" t="str">
        <f aca="false">IF(ISNUMBER(C11194),YEAR(C11194),"")</f>
        <v/>
      </c>
      <c r="W11194" s="23" t="str">
        <f aca="false">IF(ISNUMBER(C11194),MONTH(C11194),"")</f>
        <v/>
      </c>
      <c r="X11194" s="23" t="str">
        <f aca="false">IF(T11194="","",IF(T11194=0,"No discount",IF(T11194&lt;=0.2,"Low (1-20%)",IF(T11194&lt;=0.4,"Medium (21-40%)","High (&gt;40%)"))))</f>
        <v/>
      </c>
      <c r="Y11194" s="23" t="str">
        <f aca="false">IF(AND(ISNUMBER(C11194),ISNUMBER(D11194)),D11194-C11194,"")</f>
        <v/>
      </c>
      <c r="Z11194" s="23" t="str">
        <f aca="false">IF(B11194="","",IF(MATCH(B11194,$B$2:$B$12000,0)=ROW()-1,1,0))</f>
        <v/>
      </c>
    </row>
    <row r="11195" customFormat="false" ht="15" hidden="false" customHeight="false" outlineLevel="0" collapsed="false">
      <c r="V11195" s="23" t="str">
        <f aca="false">IF(ISNUMBER(C11195),YEAR(C11195),"")</f>
        <v/>
      </c>
      <c r="W11195" s="23" t="str">
        <f aca="false">IF(ISNUMBER(C11195),MONTH(C11195),"")</f>
        <v/>
      </c>
      <c r="X11195" s="23" t="str">
        <f aca="false">IF(T11195="","",IF(T11195=0,"No discount",IF(T11195&lt;=0.2,"Low (1-20%)",IF(T11195&lt;=0.4,"Medium (21-40%)","High (&gt;40%)"))))</f>
        <v/>
      </c>
      <c r="Y11195" s="23" t="str">
        <f aca="false">IF(AND(ISNUMBER(C11195),ISNUMBER(D11195)),D11195-C11195,"")</f>
        <v/>
      </c>
      <c r="Z11195" s="23" t="str">
        <f aca="false">IF(B11195="","",IF(MATCH(B11195,$B$2:$B$12000,0)=ROW()-1,1,0))</f>
        <v/>
      </c>
    </row>
    <row r="11196" customFormat="false" ht="15" hidden="false" customHeight="false" outlineLevel="0" collapsed="false">
      <c r="V11196" s="23" t="str">
        <f aca="false">IF(ISNUMBER(C11196),YEAR(C11196),"")</f>
        <v/>
      </c>
      <c r="W11196" s="23" t="str">
        <f aca="false">IF(ISNUMBER(C11196),MONTH(C11196),"")</f>
        <v/>
      </c>
      <c r="X11196" s="23" t="str">
        <f aca="false">IF(T11196="","",IF(T11196=0,"No discount",IF(T11196&lt;=0.2,"Low (1-20%)",IF(T11196&lt;=0.4,"Medium (21-40%)","High (&gt;40%)"))))</f>
        <v/>
      </c>
      <c r="Y11196" s="23" t="str">
        <f aca="false">IF(AND(ISNUMBER(C11196),ISNUMBER(D11196)),D11196-C11196,"")</f>
        <v/>
      </c>
      <c r="Z11196" s="23" t="str">
        <f aca="false">IF(B11196="","",IF(MATCH(B11196,$B$2:$B$12000,0)=ROW()-1,1,0))</f>
        <v/>
      </c>
    </row>
    <row r="11197" customFormat="false" ht="15" hidden="false" customHeight="false" outlineLevel="0" collapsed="false">
      <c r="V11197" s="23" t="str">
        <f aca="false">IF(ISNUMBER(C11197),YEAR(C11197),"")</f>
        <v/>
      </c>
      <c r="W11197" s="23" t="str">
        <f aca="false">IF(ISNUMBER(C11197),MONTH(C11197),"")</f>
        <v/>
      </c>
      <c r="X11197" s="23" t="str">
        <f aca="false">IF(T11197="","",IF(T11197=0,"No discount",IF(T11197&lt;=0.2,"Low (1-20%)",IF(T11197&lt;=0.4,"Medium (21-40%)","High (&gt;40%)"))))</f>
        <v/>
      </c>
      <c r="Y11197" s="23" t="str">
        <f aca="false">IF(AND(ISNUMBER(C11197),ISNUMBER(D11197)),D11197-C11197,"")</f>
        <v/>
      </c>
      <c r="Z11197" s="23" t="str">
        <f aca="false">IF(B11197="","",IF(MATCH(B11197,$B$2:$B$12000,0)=ROW()-1,1,0))</f>
        <v/>
      </c>
    </row>
    <row r="11198" customFormat="false" ht="15" hidden="false" customHeight="false" outlineLevel="0" collapsed="false">
      <c r="V11198" s="23" t="str">
        <f aca="false">IF(ISNUMBER(C11198),YEAR(C11198),"")</f>
        <v/>
      </c>
      <c r="W11198" s="23" t="str">
        <f aca="false">IF(ISNUMBER(C11198),MONTH(C11198),"")</f>
        <v/>
      </c>
      <c r="X11198" s="23" t="str">
        <f aca="false">IF(T11198="","",IF(T11198=0,"No discount",IF(T11198&lt;=0.2,"Low (1-20%)",IF(T11198&lt;=0.4,"Medium (21-40%)","High (&gt;40%)"))))</f>
        <v/>
      </c>
      <c r="Y11198" s="23" t="str">
        <f aca="false">IF(AND(ISNUMBER(C11198),ISNUMBER(D11198)),D11198-C11198,"")</f>
        <v/>
      </c>
      <c r="Z11198" s="23" t="str">
        <f aca="false">IF(B11198="","",IF(MATCH(B11198,$B$2:$B$12000,0)=ROW()-1,1,0))</f>
        <v/>
      </c>
    </row>
    <row r="11199" customFormat="false" ht="15" hidden="false" customHeight="false" outlineLevel="0" collapsed="false">
      <c r="V11199" s="23" t="str">
        <f aca="false">IF(ISNUMBER(C11199),YEAR(C11199),"")</f>
        <v/>
      </c>
      <c r="W11199" s="23" t="str">
        <f aca="false">IF(ISNUMBER(C11199),MONTH(C11199),"")</f>
        <v/>
      </c>
      <c r="X11199" s="23" t="str">
        <f aca="false">IF(T11199="","",IF(T11199=0,"No discount",IF(T11199&lt;=0.2,"Low (1-20%)",IF(T11199&lt;=0.4,"Medium (21-40%)","High (&gt;40%)"))))</f>
        <v/>
      </c>
      <c r="Y11199" s="23" t="str">
        <f aca="false">IF(AND(ISNUMBER(C11199),ISNUMBER(D11199)),D11199-C11199,"")</f>
        <v/>
      </c>
      <c r="Z11199" s="23" t="str">
        <f aca="false">IF(B11199="","",IF(MATCH(B11199,$B$2:$B$12000,0)=ROW()-1,1,0))</f>
        <v/>
      </c>
    </row>
    <row r="11200" customFormat="false" ht="15" hidden="false" customHeight="false" outlineLevel="0" collapsed="false">
      <c r="V11200" s="23" t="str">
        <f aca="false">IF(ISNUMBER(C11200),YEAR(C11200),"")</f>
        <v/>
      </c>
      <c r="W11200" s="23" t="str">
        <f aca="false">IF(ISNUMBER(C11200),MONTH(C11200),"")</f>
        <v/>
      </c>
      <c r="X11200" s="23" t="str">
        <f aca="false">IF(T11200="","",IF(T11200=0,"No discount",IF(T11200&lt;=0.2,"Low (1-20%)",IF(T11200&lt;=0.4,"Medium (21-40%)","High (&gt;40%)"))))</f>
        <v/>
      </c>
      <c r="Y11200" s="23" t="str">
        <f aca="false">IF(AND(ISNUMBER(C11200),ISNUMBER(D11200)),D11200-C11200,"")</f>
        <v/>
      </c>
      <c r="Z11200" s="23" t="str">
        <f aca="false">IF(B11200="","",IF(MATCH(B11200,$B$2:$B$12000,0)=ROW()-1,1,0))</f>
        <v/>
      </c>
    </row>
    <row r="11201" customFormat="false" ht="15" hidden="false" customHeight="false" outlineLevel="0" collapsed="false">
      <c r="V11201" s="23" t="str">
        <f aca="false">IF(ISNUMBER(C11201),YEAR(C11201),"")</f>
        <v/>
      </c>
      <c r="W11201" s="23" t="str">
        <f aca="false">IF(ISNUMBER(C11201),MONTH(C11201),"")</f>
        <v/>
      </c>
      <c r="X11201" s="23" t="str">
        <f aca="false">IF(T11201="","",IF(T11201=0,"No discount",IF(T11201&lt;=0.2,"Low (1-20%)",IF(T11201&lt;=0.4,"Medium (21-40%)","High (&gt;40%)"))))</f>
        <v/>
      </c>
      <c r="Y11201" s="23" t="str">
        <f aca="false">IF(AND(ISNUMBER(C11201),ISNUMBER(D11201)),D11201-C11201,"")</f>
        <v/>
      </c>
      <c r="Z11201" s="23" t="str">
        <f aca="false">IF(B11201="","",IF(MATCH(B11201,$B$2:$B$12000,0)=ROW()-1,1,0))</f>
        <v/>
      </c>
    </row>
    <row r="11202" customFormat="false" ht="15" hidden="false" customHeight="false" outlineLevel="0" collapsed="false">
      <c r="V11202" s="23" t="str">
        <f aca="false">IF(ISNUMBER(C11202),YEAR(C11202),"")</f>
        <v/>
      </c>
      <c r="W11202" s="23" t="str">
        <f aca="false">IF(ISNUMBER(C11202),MONTH(C11202),"")</f>
        <v/>
      </c>
      <c r="X11202" s="23" t="str">
        <f aca="false">IF(T11202="","",IF(T11202=0,"No discount",IF(T11202&lt;=0.2,"Low (1-20%)",IF(T11202&lt;=0.4,"Medium (21-40%)","High (&gt;40%)"))))</f>
        <v/>
      </c>
      <c r="Y11202" s="23" t="str">
        <f aca="false">IF(AND(ISNUMBER(C11202),ISNUMBER(D11202)),D11202-C11202,"")</f>
        <v/>
      </c>
      <c r="Z11202" s="23" t="str">
        <f aca="false">IF(B11202="","",IF(MATCH(B11202,$B$2:$B$12000,0)=ROW()-1,1,0))</f>
        <v/>
      </c>
    </row>
    <row r="11203" customFormat="false" ht="15" hidden="false" customHeight="false" outlineLevel="0" collapsed="false">
      <c r="V11203" s="23" t="str">
        <f aca="false">IF(ISNUMBER(C11203),YEAR(C11203),"")</f>
        <v/>
      </c>
      <c r="W11203" s="23" t="str">
        <f aca="false">IF(ISNUMBER(C11203),MONTH(C11203),"")</f>
        <v/>
      </c>
      <c r="X11203" s="23" t="str">
        <f aca="false">IF(T11203="","",IF(T11203=0,"No discount",IF(T11203&lt;=0.2,"Low (1-20%)",IF(T11203&lt;=0.4,"Medium (21-40%)","High (&gt;40%)"))))</f>
        <v/>
      </c>
      <c r="Y11203" s="23" t="str">
        <f aca="false">IF(AND(ISNUMBER(C11203),ISNUMBER(D11203)),D11203-C11203,"")</f>
        <v/>
      </c>
      <c r="Z11203" s="23" t="str">
        <f aca="false">IF(B11203="","",IF(MATCH(B11203,$B$2:$B$12000,0)=ROW()-1,1,0))</f>
        <v/>
      </c>
    </row>
    <row r="11204" customFormat="false" ht="15" hidden="false" customHeight="false" outlineLevel="0" collapsed="false">
      <c r="V11204" s="23" t="str">
        <f aca="false">IF(ISNUMBER(C11204),YEAR(C11204),"")</f>
        <v/>
      </c>
      <c r="W11204" s="23" t="str">
        <f aca="false">IF(ISNUMBER(C11204),MONTH(C11204),"")</f>
        <v/>
      </c>
      <c r="X11204" s="23" t="str">
        <f aca="false">IF(T11204="","",IF(T11204=0,"No discount",IF(T11204&lt;=0.2,"Low (1-20%)",IF(T11204&lt;=0.4,"Medium (21-40%)","High (&gt;40%)"))))</f>
        <v/>
      </c>
      <c r="Y11204" s="23" t="str">
        <f aca="false">IF(AND(ISNUMBER(C11204),ISNUMBER(D11204)),D11204-C11204,"")</f>
        <v/>
      </c>
      <c r="Z11204" s="23" t="str">
        <f aca="false">IF(B11204="","",IF(MATCH(B11204,$B$2:$B$12000,0)=ROW()-1,1,0))</f>
        <v/>
      </c>
    </row>
    <row r="11205" customFormat="false" ht="15" hidden="false" customHeight="false" outlineLevel="0" collapsed="false">
      <c r="V11205" s="23" t="str">
        <f aca="false">IF(ISNUMBER(C11205),YEAR(C11205),"")</f>
        <v/>
      </c>
      <c r="W11205" s="23" t="str">
        <f aca="false">IF(ISNUMBER(C11205),MONTH(C11205),"")</f>
        <v/>
      </c>
      <c r="X11205" s="23" t="str">
        <f aca="false">IF(T11205="","",IF(T11205=0,"No discount",IF(T11205&lt;=0.2,"Low (1-20%)",IF(T11205&lt;=0.4,"Medium (21-40%)","High (&gt;40%)"))))</f>
        <v/>
      </c>
      <c r="Y11205" s="23" t="str">
        <f aca="false">IF(AND(ISNUMBER(C11205),ISNUMBER(D11205)),D11205-C11205,"")</f>
        <v/>
      </c>
      <c r="Z11205" s="23" t="str">
        <f aca="false">IF(B11205="","",IF(MATCH(B11205,$B$2:$B$12000,0)=ROW()-1,1,0))</f>
        <v/>
      </c>
    </row>
    <row r="11206" customFormat="false" ht="15" hidden="false" customHeight="false" outlineLevel="0" collapsed="false">
      <c r="V11206" s="23" t="str">
        <f aca="false">IF(ISNUMBER(C11206),YEAR(C11206),"")</f>
        <v/>
      </c>
      <c r="W11206" s="23" t="str">
        <f aca="false">IF(ISNUMBER(C11206),MONTH(C11206),"")</f>
        <v/>
      </c>
      <c r="X11206" s="23" t="str">
        <f aca="false">IF(T11206="","",IF(T11206=0,"No discount",IF(T11206&lt;=0.2,"Low (1-20%)",IF(T11206&lt;=0.4,"Medium (21-40%)","High (&gt;40%)"))))</f>
        <v/>
      </c>
      <c r="Y11206" s="23" t="str">
        <f aca="false">IF(AND(ISNUMBER(C11206),ISNUMBER(D11206)),D11206-C11206,"")</f>
        <v/>
      </c>
      <c r="Z11206" s="23" t="str">
        <f aca="false">IF(B11206="","",IF(MATCH(B11206,$B$2:$B$12000,0)=ROW()-1,1,0))</f>
        <v/>
      </c>
    </row>
    <row r="11207" customFormat="false" ht="15" hidden="false" customHeight="false" outlineLevel="0" collapsed="false">
      <c r="V11207" s="23" t="str">
        <f aca="false">IF(ISNUMBER(C11207),YEAR(C11207),"")</f>
        <v/>
      </c>
      <c r="W11207" s="23" t="str">
        <f aca="false">IF(ISNUMBER(C11207),MONTH(C11207),"")</f>
        <v/>
      </c>
      <c r="X11207" s="23" t="str">
        <f aca="false">IF(T11207="","",IF(T11207=0,"No discount",IF(T11207&lt;=0.2,"Low (1-20%)",IF(T11207&lt;=0.4,"Medium (21-40%)","High (&gt;40%)"))))</f>
        <v/>
      </c>
      <c r="Y11207" s="23" t="str">
        <f aca="false">IF(AND(ISNUMBER(C11207),ISNUMBER(D11207)),D11207-C11207,"")</f>
        <v/>
      </c>
      <c r="Z11207" s="23" t="str">
        <f aca="false">IF(B11207="","",IF(MATCH(B11207,$B$2:$B$12000,0)=ROW()-1,1,0))</f>
        <v/>
      </c>
    </row>
    <row r="11208" customFormat="false" ht="15" hidden="false" customHeight="false" outlineLevel="0" collapsed="false">
      <c r="V11208" s="23" t="str">
        <f aca="false">IF(ISNUMBER(C11208),YEAR(C11208),"")</f>
        <v/>
      </c>
      <c r="W11208" s="23" t="str">
        <f aca="false">IF(ISNUMBER(C11208),MONTH(C11208),"")</f>
        <v/>
      </c>
      <c r="X11208" s="23" t="str">
        <f aca="false">IF(T11208="","",IF(T11208=0,"No discount",IF(T11208&lt;=0.2,"Low (1-20%)",IF(T11208&lt;=0.4,"Medium (21-40%)","High (&gt;40%)"))))</f>
        <v/>
      </c>
      <c r="Y11208" s="23" t="str">
        <f aca="false">IF(AND(ISNUMBER(C11208),ISNUMBER(D11208)),D11208-C11208,"")</f>
        <v/>
      </c>
      <c r="Z11208" s="23" t="str">
        <f aca="false">IF(B11208="","",IF(MATCH(B11208,$B$2:$B$12000,0)=ROW()-1,1,0))</f>
        <v/>
      </c>
    </row>
    <row r="11209" customFormat="false" ht="15" hidden="false" customHeight="false" outlineLevel="0" collapsed="false">
      <c r="V11209" s="23" t="str">
        <f aca="false">IF(ISNUMBER(C11209),YEAR(C11209),"")</f>
        <v/>
      </c>
      <c r="W11209" s="23" t="str">
        <f aca="false">IF(ISNUMBER(C11209),MONTH(C11209),"")</f>
        <v/>
      </c>
      <c r="X11209" s="23" t="str">
        <f aca="false">IF(T11209="","",IF(T11209=0,"No discount",IF(T11209&lt;=0.2,"Low (1-20%)",IF(T11209&lt;=0.4,"Medium (21-40%)","High (&gt;40%)"))))</f>
        <v/>
      </c>
      <c r="Y11209" s="23" t="str">
        <f aca="false">IF(AND(ISNUMBER(C11209),ISNUMBER(D11209)),D11209-C11209,"")</f>
        <v/>
      </c>
      <c r="Z11209" s="23" t="str">
        <f aca="false">IF(B11209="","",IF(MATCH(B11209,$B$2:$B$12000,0)=ROW()-1,1,0))</f>
        <v/>
      </c>
    </row>
    <row r="11210" customFormat="false" ht="15" hidden="false" customHeight="false" outlineLevel="0" collapsed="false">
      <c r="V11210" s="23" t="str">
        <f aca="false">IF(ISNUMBER(C11210),YEAR(C11210),"")</f>
        <v/>
      </c>
      <c r="W11210" s="23" t="str">
        <f aca="false">IF(ISNUMBER(C11210),MONTH(C11210),"")</f>
        <v/>
      </c>
      <c r="X11210" s="23" t="str">
        <f aca="false">IF(T11210="","",IF(T11210=0,"No discount",IF(T11210&lt;=0.2,"Low (1-20%)",IF(T11210&lt;=0.4,"Medium (21-40%)","High (&gt;40%)"))))</f>
        <v/>
      </c>
      <c r="Y11210" s="23" t="str">
        <f aca="false">IF(AND(ISNUMBER(C11210),ISNUMBER(D11210)),D11210-C11210,"")</f>
        <v/>
      </c>
      <c r="Z11210" s="23" t="str">
        <f aca="false">IF(B11210="","",IF(MATCH(B11210,$B$2:$B$12000,0)=ROW()-1,1,0))</f>
        <v/>
      </c>
    </row>
    <row r="11211" customFormat="false" ht="15" hidden="false" customHeight="false" outlineLevel="0" collapsed="false">
      <c r="V11211" s="23" t="str">
        <f aca="false">IF(ISNUMBER(C11211),YEAR(C11211),"")</f>
        <v/>
      </c>
      <c r="W11211" s="23" t="str">
        <f aca="false">IF(ISNUMBER(C11211),MONTH(C11211),"")</f>
        <v/>
      </c>
      <c r="X11211" s="23" t="str">
        <f aca="false">IF(T11211="","",IF(T11211=0,"No discount",IF(T11211&lt;=0.2,"Low (1-20%)",IF(T11211&lt;=0.4,"Medium (21-40%)","High (&gt;40%)"))))</f>
        <v/>
      </c>
      <c r="Y11211" s="23" t="str">
        <f aca="false">IF(AND(ISNUMBER(C11211),ISNUMBER(D11211)),D11211-C11211,"")</f>
        <v/>
      </c>
      <c r="Z11211" s="23" t="str">
        <f aca="false">IF(B11211="","",IF(MATCH(B11211,$B$2:$B$12000,0)=ROW()-1,1,0))</f>
        <v/>
      </c>
    </row>
    <row r="11212" customFormat="false" ht="15" hidden="false" customHeight="false" outlineLevel="0" collapsed="false">
      <c r="V11212" s="23" t="str">
        <f aca="false">IF(ISNUMBER(C11212),YEAR(C11212),"")</f>
        <v/>
      </c>
      <c r="W11212" s="23" t="str">
        <f aca="false">IF(ISNUMBER(C11212),MONTH(C11212),"")</f>
        <v/>
      </c>
      <c r="X11212" s="23" t="str">
        <f aca="false">IF(T11212="","",IF(T11212=0,"No discount",IF(T11212&lt;=0.2,"Low (1-20%)",IF(T11212&lt;=0.4,"Medium (21-40%)","High (&gt;40%)"))))</f>
        <v/>
      </c>
      <c r="Y11212" s="23" t="str">
        <f aca="false">IF(AND(ISNUMBER(C11212),ISNUMBER(D11212)),D11212-C11212,"")</f>
        <v/>
      </c>
      <c r="Z11212" s="23" t="str">
        <f aca="false">IF(B11212="","",IF(MATCH(B11212,$B$2:$B$12000,0)=ROW()-1,1,0))</f>
        <v/>
      </c>
    </row>
    <row r="11213" customFormat="false" ht="15" hidden="false" customHeight="false" outlineLevel="0" collapsed="false">
      <c r="V11213" s="23" t="str">
        <f aca="false">IF(ISNUMBER(C11213),YEAR(C11213),"")</f>
        <v/>
      </c>
      <c r="W11213" s="23" t="str">
        <f aca="false">IF(ISNUMBER(C11213),MONTH(C11213),"")</f>
        <v/>
      </c>
      <c r="X11213" s="23" t="str">
        <f aca="false">IF(T11213="","",IF(T11213=0,"No discount",IF(T11213&lt;=0.2,"Low (1-20%)",IF(T11213&lt;=0.4,"Medium (21-40%)","High (&gt;40%)"))))</f>
        <v/>
      </c>
      <c r="Y11213" s="23" t="str">
        <f aca="false">IF(AND(ISNUMBER(C11213),ISNUMBER(D11213)),D11213-C11213,"")</f>
        <v/>
      </c>
      <c r="Z11213" s="23" t="str">
        <f aca="false">IF(B11213="","",IF(MATCH(B11213,$B$2:$B$12000,0)=ROW()-1,1,0))</f>
        <v/>
      </c>
    </row>
    <row r="11214" customFormat="false" ht="15" hidden="false" customHeight="false" outlineLevel="0" collapsed="false">
      <c r="V11214" s="23" t="str">
        <f aca="false">IF(ISNUMBER(C11214),YEAR(C11214),"")</f>
        <v/>
      </c>
      <c r="W11214" s="23" t="str">
        <f aca="false">IF(ISNUMBER(C11214),MONTH(C11214),"")</f>
        <v/>
      </c>
      <c r="X11214" s="23" t="str">
        <f aca="false">IF(T11214="","",IF(T11214=0,"No discount",IF(T11214&lt;=0.2,"Low (1-20%)",IF(T11214&lt;=0.4,"Medium (21-40%)","High (&gt;40%)"))))</f>
        <v/>
      </c>
      <c r="Y11214" s="23" t="str">
        <f aca="false">IF(AND(ISNUMBER(C11214),ISNUMBER(D11214)),D11214-C11214,"")</f>
        <v/>
      </c>
      <c r="Z11214" s="23" t="str">
        <f aca="false">IF(B11214="","",IF(MATCH(B11214,$B$2:$B$12000,0)=ROW()-1,1,0))</f>
        <v/>
      </c>
    </row>
    <row r="11215" customFormat="false" ht="15" hidden="false" customHeight="false" outlineLevel="0" collapsed="false">
      <c r="V11215" s="23" t="str">
        <f aca="false">IF(ISNUMBER(C11215),YEAR(C11215),"")</f>
        <v/>
      </c>
      <c r="W11215" s="23" t="str">
        <f aca="false">IF(ISNUMBER(C11215),MONTH(C11215),"")</f>
        <v/>
      </c>
      <c r="X11215" s="23" t="str">
        <f aca="false">IF(T11215="","",IF(T11215=0,"No discount",IF(T11215&lt;=0.2,"Low (1-20%)",IF(T11215&lt;=0.4,"Medium (21-40%)","High (&gt;40%)"))))</f>
        <v/>
      </c>
      <c r="Y11215" s="23" t="str">
        <f aca="false">IF(AND(ISNUMBER(C11215),ISNUMBER(D11215)),D11215-C11215,"")</f>
        <v/>
      </c>
      <c r="Z11215" s="23" t="str">
        <f aca="false">IF(B11215="","",IF(MATCH(B11215,$B$2:$B$12000,0)=ROW()-1,1,0))</f>
        <v/>
      </c>
    </row>
    <row r="11216" customFormat="false" ht="15" hidden="false" customHeight="false" outlineLevel="0" collapsed="false">
      <c r="V11216" s="23" t="str">
        <f aca="false">IF(ISNUMBER(C11216),YEAR(C11216),"")</f>
        <v/>
      </c>
      <c r="W11216" s="23" t="str">
        <f aca="false">IF(ISNUMBER(C11216),MONTH(C11216),"")</f>
        <v/>
      </c>
      <c r="X11216" s="23" t="str">
        <f aca="false">IF(T11216="","",IF(T11216=0,"No discount",IF(T11216&lt;=0.2,"Low (1-20%)",IF(T11216&lt;=0.4,"Medium (21-40%)","High (&gt;40%)"))))</f>
        <v/>
      </c>
      <c r="Y11216" s="23" t="str">
        <f aca="false">IF(AND(ISNUMBER(C11216),ISNUMBER(D11216)),D11216-C11216,"")</f>
        <v/>
      </c>
      <c r="Z11216" s="23" t="str">
        <f aca="false">IF(B11216="","",IF(MATCH(B11216,$B$2:$B$12000,0)=ROW()-1,1,0))</f>
        <v/>
      </c>
    </row>
    <row r="11217" customFormat="false" ht="15" hidden="false" customHeight="false" outlineLevel="0" collapsed="false">
      <c r="V11217" s="23" t="str">
        <f aca="false">IF(ISNUMBER(C11217),YEAR(C11217),"")</f>
        <v/>
      </c>
      <c r="W11217" s="23" t="str">
        <f aca="false">IF(ISNUMBER(C11217),MONTH(C11217),"")</f>
        <v/>
      </c>
      <c r="X11217" s="23" t="str">
        <f aca="false">IF(T11217="","",IF(T11217=0,"No discount",IF(T11217&lt;=0.2,"Low (1-20%)",IF(T11217&lt;=0.4,"Medium (21-40%)","High (&gt;40%)"))))</f>
        <v/>
      </c>
      <c r="Y11217" s="23" t="str">
        <f aca="false">IF(AND(ISNUMBER(C11217),ISNUMBER(D11217)),D11217-C11217,"")</f>
        <v/>
      </c>
      <c r="Z11217" s="23" t="str">
        <f aca="false">IF(B11217="","",IF(MATCH(B11217,$B$2:$B$12000,0)=ROW()-1,1,0))</f>
        <v/>
      </c>
    </row>
    <row r="11218" customFormat="false" ht="15" hidden="false" customHeight="false" outlineLevel="0" collapsed="false">
      <c r="V11218" s="23" t="str">
        <f aca="false">IF(ISNUMBER(C11218),YEAR(C11218),"")</f>
        <v/>
      </c>
      <c r="W11218" s="23" t="str">
        <f aca="false">IF(ISNUMBER(C11218),MONTH(C11218),"")</f>
        <v/>
      </c>
      <c r="X11218" s="23" t="str">
        <f aca="false">IF(T11218="","",IF(T11218=0,"No discount",IF(T11218&lt;=0.2,"Low (1-20%)",IF(T11218&lt;=0.4,"Medium (21-40%)","High (&gt;40%)"))))</f>
        <v/>
      </c>
      <c r="Y11218" s="23" t="str">
        <f aca="false">IF(AND(ISNUMBER(C11218),ISNUMBER(D11218)),D11218-C11218,"")</f>
        <v/>
      </c>
      <c r="Z11218" s="23" t="str">
        <f aca="false">IF(B11218="","",IF(MATCH(B11218,$B$2:$B$12000,0)=ROW()-1,1,0))</f>
        <v/>
      </c>
    </row>
    <row r="11219" customFormat="false" ht="15" hidden="false" customHeight="false" outlineLevel="0" collapsed="false">
      <c r="V11219" s="23" t="str">
        <f aca="false">IF(ISNUMBER(C11219),YEAR(C11219),"")</f>
        <v/>
      </c>
      <c r="W11219" s="23" t="str">
        <f aca="false">IF(ISNUMBER(C11219),MONTH(C11219),"")</f>
        <v/>
      </c>
      <c r="X11219" s="23" t="str">
        <f aca="false">IF(T11219="","",IF(T11219=0,"No discount",IF(T11219&lt;=0.2,"Low (1-20%)",IF(T11219&lt;=0.4,"Medium (21-40%)","High (&gt;40%)"))))</f>
        <v/>
      </c>
      <c r="Y11219" s="23" t="str">
        <f aca="false">IF(AND(ISNUMBER(C11219),ISNUMBER(D11219)),D11219-C11219,"")</f>
        <v/>
      </c>
      <c r="Z11219" s="23" t="str">
        <f aca="false">IF(B11219="","",IF(MATCH(B11219,$B$2:$B$12000,0)=ROW()-1,1,0))</f>
        <v/>
      </c>
    </row>
    <row r="11220" customFormat="false" ht="15" hidden="false" customHeight="false" outlineLevel="0" collapsed="false">
      <c r="V11220" s="23" t="str">
        <f aca="false">IF(ISNUMBER(C11220),YEAR(C11220),"")</f>
        <v/>
      </c>
      <c r="W11220" s="23" t="str">
        <f aca="false">IF(ISNUMBER(C11220),MONTH(C11220),"")</f>
        <v/>
      </c>
      <c r="X11220" s="23" t="str">
        <f aca="false">IF(T11220="","",IF(T11220=0,"No discount",IF(T11220&lt;=0.2,"Low (1-20%)",IF(T11220&lt;=0.4,"Medium (21-40%)","High (&gt;40%)"))))</f>
        <v/>
      </c>
      <c r="Y11220" s="23" t="str">
        <f aca="false">IF(AND(ISNUMBER(C11220),ISNUMBER(D11220)),D11220-C11220,"")</f>
        <v/>
      </c>
      <c r="Z11220" s="23" t="str">
        <f aca="false">IF(B11220="","",IF(MATCH(B11220,$B$2:$B$12000,0)=ROW()-1,1,0))</f>
        <v/>
      </c>
    </row>
    <row r="11221" customFormat="false" ht="15" hidden="false" customHeight="false" outlineLevel="0" collapsed="false">
      <c r="V11221" s="23" t="str">
        <f aca="false">IF(ISNUMBER(C11221),YEAR(C11221),"")</f>
        <v/>
      </c>
      <c r="W11221" s="23" t="str">
        <f aca="false">IF(ISNUMBER(C11221),MONTH(C11221),"")</f>
        <v/>
      </c>
      <c r="X11221" s="23" t="str">
        <f aca="false">IF(T11221="","",IF(T11221=0,"No discount",IF(T11221&lt;=0.2,"Low (1-20%)",IF(T11221&lt;=0.4,"Medium (21-40%)","High (&gt;40%)"))))</f>
        <v/>
      </c>
      <c r="Y11221" s="23" t="str">
        <f aca="false">IF(AND(ISNUMBER(C11221),ISNUMBER(D11221)),D11221-C11221,"")</f>
        <v/>
      </c>
      <c r="Z11221" s="23" t="str">
        <f aca="false">IF(B11221="","",IF(MATCH(B11221,$B$2:$B$12000,0)=ROW()-1,1,0))</f>
        <v/>
      </c>
    </row>
    <row r="11222" customFormat="false" ht="15" hidden="false" customHeight="false" outlineLevel="0" collapsed="false">
      <c r="V11222" s="23" t="str">
        <f aca="false">IF(ISNUMBER(C11222),YEAR(C11222),"")</f>
        <v/>
      </c>
      <c r="W11222" s="23" t="str">
        <f aca="false">IF(ISNUMBER(C11222),MONTH(C11222),"")</f>
        <v/>
      </c>
      <c r="X11222" s="23" t="str">
        <f aca="false">IF(T11222="","",IF(T11222=0,"No discount",IF(T11222&lt;=0.2,"Low (1-20%)",IF(T11222&lt;=0.4,"Medium (21-40%)","High (&gt;40%)"))))</f>
        <v/>
      </c>
      <c r="Y11222" s="23" t="str">
        <f aca="false">IF(AND(ISNUMBER(C11222),ISNUMBER(D11222)),D11222-C11222,"")</f>
        <v/>
      </c>
      <c r="Z11222" s="23" t="str">
        <f aca="false">IF(B11222="","",IF(MATCH(B11222,$B$2:$B$12000,0)=ROW()-1,1,0))</f>
        <v/>
      </c>
    </row>
    <row r="11223" customFormat="false" ht="15" hidden="false" customHeight="false" outlineLevel="0" collapsed="false">
      <c r="V11223" s="23" t="str">
        <f aca="false">IF(ISNUMBER(C11223),YEAR(C11223),"")</f>
        <v/>
      </c>
      <c r="W11223" s="23" t="str">
        <f aca="false">IF(ISNUMBER(C11223),MONTH(C11223),"")</f>
        <v/>
      </c>
      <c r="X11223" s="23" t="str">
        <f aca="false">IF(T11223="","",IF(T11223=0,"No discount",IF(T11223&lt;=0.2,"Low (1-20%)",IF(T11223&lt;=0.4,"Medium (21-40%)","High (&gt;40%)"))))</f>
        <v/>
      </c>
      <c r="Y11223" s="23" t="str">
        <f aca="false">IF(AND(ISNUMBER(C11223),ISNUMBER(D11223)),D11223-C11223,"")</f>
        <v/>
      </c>
      <c r="Z11223" s="23" t="str">
        <f aca="false">IF(B11223="","",IF(MATCH(B11223,$B$2:$B$12000,0)=ROW()-1,1,0))</f>
        <v/>
      </c>
    </row>
    <row r="11224" customFormat="false" ht="15" hidden="false" customHeight="false" outlineLevel="0" collapsed="false">
      <c r="V11224" s="23" t="str">
        <f aca="false">IF(ISNUMBER(C11224),YEAR(C11224),"")</f>
        <v/>
      </c>
      <c r="W11224" s="23" t="str">
        <f aca="false">IF(ISNUMBER(C11224),MONTH(C11224),"")</f>
        <v/>
      </c>
      <c r="X11224" s="23" t="str">
        <f aca="false">IF(T11224="","",IF(T11224=0,"No discount",IF(T11224&lt;=0.2,"Low (1-20%)",IF(T11224&lt;=0.4,"Medium (21-40%)","High (&gt;40%)"))))</f>
        <v/>
      </c>
      <c r="Y11224" s="23" t="str">
        <f aca="false">IF(AND(ISNUMBER(C11224),ISNUMBER(D11224)),D11224-C11224,"")</f>
        <v/>
      </c>
      <c r="Z11224" s="23" t="str">
        <f aca="false">IF(B11224="","",IF(MATCH(B11224,$B$2:$B$12000,0)=ROW()-1,1,0))</f>
        <v/>
      </c>
    </row>
    <row r="11225" customFormat="false" ht="15" hidden="false" customHeight="false" outlineLevel="0" collapsed="false">
      <c r="V11225" s="23" t="str">
        <f aca="false">IF(ISNUMBER(C11225),YEAR(C11225),"")</f>
        <v/>
      </c>
      <c r="W11225" s="23" t="str">
        <f aca="false">IF(ISNUMBER(C11225),MONTH(C11225),"")</f>
        <v/>
      </c>
      <c r="X11225" s="23" t="str">
        <f aca="false">IF(T11225="","",IF(T11225=0,"No discount",IF(T11225&lt;=0.2,"Low (1-20%)",IF(T11225&lt;=0.4,"Medium (21-40%)","High (&gt;40%)"))))</f>
        <v/>
      </c>
      <c r="Y11225" s="23" t="str">
        <f aca="false">IF(AND(ISNUMBER(C11225),ISNUMBER(D11225)),D11225-C11225,"")</f>
        <v/>
      </c>
      <c r="Z11225" s="23" t="str">
        <f aca="false">IF(B11225="","",IF(MATCH(B11225,$B$2:$B$12000,0)=ROW()-1,1,0))</f>
        <v/>
      </c>
    </row>
    <row r="11226" customFormat="false" ht="15" hidden="false" customHeight="false" outlineLevel="0" collapsed="false">
      <c r="V11226" s="23" t="str">
        <f aca="false">IF(ISNUMBER(C11226),YEAR(C11226),"")</f>
        <v/>
      </c>
      <c r="W11226" s="23" t="str">
        <f aca="false">IF(ISNUMBER(C11226),MONTH(C11226),"")</f>
        <v/>
      </c>
      <c r="X11226" s="23" t="str">
        <f aca="false">IF(T11226="","",IF(T11226=0,"No discount",IF(T11226&lt;=0.2,"Low (1-20%)",IF(T11226&lt;=0.4,"Medium (21-40%)","High (&gt;40%)"))))</f>
        <v/>
      </c>
      <c r="Y11226" s="23" t="str">
        <f aca="false">IF(AND(ISNUMBER(C11226),ISNUMBER(D11226)),D11226-C11226,"")</f>
        <v/>
      </c>
      <c r="Z11226" s="23" t="str">
        <f aca="false">IF(B11226="","",IF(MATCH(B11226,$B$2:$B$12000,0)=ROW()-1,1,0))</f>
        <v/>
      </c>
    </row>
    <row r="11227" customFormat="false" ht="15" hidden="false" customHeight="false" outlineLevel="0" collapsed="false">
      <c r="V11227" s="23" t="str">
        <f aca="false">IF(ISNUMBER(C11227),YEAR(C11227),"")</f>
        <v/>
      </c>
      <c r="W11227" s="23" t="str">
        <f aca="false">IF(ISNUMBER(C11227),MONTH(C11227),"")</f>
        <v/>
      </c>
      <c r="X11227" s="23" t="str">
        <f aca="false">IF(T11227="","",IF(T11227=0,"No discount",IF(T11227&lt;=0.2,"Low (1-20%)",IF(T11227&lt;=0.4,"Medium (21-40%)","High (&gt;40%)"))))</f>
        <v/>
      </c>
      <c r="Y11227" s="23" t="str">
        <f aca="false">IF(AND(ISNUMBER(C11227),ISNUMBER(D11227)),D11227-C11227,"")</f>
        <v/>
      </c>
      <c r="Z11227" s="23" t="str">
        <f aca="false">IF(B11227="","",IF(MATCH(B11227,$B$2:$B$12000,0)=ROW()-1,1,0))</f>
        <v/>
      </c>
    </row>
    <row r="11228" customFormat="false" ht="15" hidden="false" customHeight="false" outlineLevel="0" collapsed="false">
      <c r="V11228" s="23" t="str">
        <f aca="false">IF(ISNUMBER(C11228),YEAR(C11228),"")</f>
        <v/>
      </c>
      <c r="W11228" s="23" t="str">
        <f aca="false">IF(ISNUMBER(C11228),MONTH(C11228),"")</f>
        <v/>
      </c>
      <c r="X11228" s="23" t="str">
        <f aca="false">IF(T11228="","",IF(T11228=0,"No discount",IF(T11228&lt;=0.2,"Low (1-20%)",IF(T11228&lt;=0.4,"Medium (21-40%)","High (&gt;40%)"))))</f>
        <v/>
      </c>
      <c r="Y11228" s="23" t="str">
        <f aca="false">IF(AND(ISNUMBER(C11228),ISNUMBER(D11228)),D11228-C11228,"")</f>
        <v/>
      </c>
      <c r="Z11228" s="23" t="str">
        <f aca="false">IF(B11228="","",IF(MATCH(B11228,$B$2:$B$12000,0)=ROW()-1,1,0))</f>
        <v/>
      </c>
    </row>
    <row r="11229" customFormat="false" ht="15" hidden="false" customHeight="false" outlineLevel="0" collapsed="false">
      <c r="V11229" s="23" t="str">
        <f aca="false">IF(ISNUMBER(C11229),YEAR(C11229),"")</f>
        <v/>
      </c>
      <c r="W11229" s="23" t="str">
        <f aca="false">IF(ISNUMBER(C11229),MONTH(C11229),"")</f>
        <v/>
      </c>
      <c r="X11229" s="23" t="str">
        <f aca="false">IF(T11229="","",IF(T11229=0,"No discount",IF(T11229&lt;=0.2,"Low (1-20%)",IF(T11229&lt;=0.4,"Medium (21-40%)","High (&gt;40%)"))))</f>
        <v/>
      </c>
      <c r="Y11229" s="23" t="str">
        <f aca="false">IF(AND(ISNUMBER(C11229),ISNUMBER(D11229)),D11229-C11229,"")</f>
        <v/>
      </c>
      <c r="Z11229" s="23" t="str">
        <f aca="false">IF(B11229="","",IF(MATCH(B11229,$B$2:$B$12000,0)=ROW()-1,1,0))</f>
        <v/>
      </c>
    </row>
    <row r="11230" customFormat="false" ht="15" hidden="false" customHeight="false" outlineLevel="0" collapsed="false">
      <c r="V11230" s="23" t="str">
        <f aca="false">IF(ISNUMBER(C11230),YEAR(C11230),"")</f>
        <v/>
      </c>
      <c r="W11230" s="23" t="str">
        <f aca="false">IF(ISNUMBER(C11230),MONTH(C11230),"")</f>
        <v/>
      </c>
      <c r="X11230" s="23" t="str">
        <f aca="false">IF(T11230="","",IF(T11230=0,"No discount",IF(T11230&lt;=0.2,"Low (1-20%)",IF(T11230&lt;=0.4,"Medium (21-40%)","High (&gt;40%)"))))</f>
        <v/>
      </c>
      <c r="Y11230" s="23" t="str">
        <f aca="false">IF(AND(ISNUMBER(C11230),ISNUMBER(D11230)),D11230-C11230,"")</f>
        <v/>
      </c>
      <c r="Z11230" s="23" t="str">
        <f aca="false">IF(B11230="","",IF(MATCH(B11230,$B$2:$B$12000,0)=ROW()-1,1,0))</f>
        <v/>
      </c>
    </row>
    <row r="11231" customFormat="false" ht="15" hidden="false" customHeight="false" outlineLevel="0" collapsed="false">
      <c r="V11231" s="23" t="str">
        <f aca="false">IF(ISNUMBER(C11231),YEAR(C11231),"")</f>
        <v/>
      </c>
      <c r="W11231" s="23" t="str">
        <f aca="false">IF(ISNUMBER(C11231),MONTH(C11231),"")</f>
        <v/>
      </c>
      <c r="X11231" s="23" t="str">
        <f aca="false">IF(T11231="","",IF(T11231=0,"No discount",IF(T11231&lt;=0.2,"Low (1-20%)",IF(T11231&lt;=0.4,"Medium (21-40%)","High (&gt;40%)"))))</f>
        <v/>
      </c>
      <c r="Y11231" s="23" t="str">
        <f aca="false">IF(AND(ISNUMBER(C11231),ISNUMBER(D11231)),D11231-C11231,"")</f>
        <v/>
      </c>
      <c r="Z11231" s="23" t="str">
        <f aca="false">IF(B11231="","",IF(MATCH(B11231,$B$2:$B$12000,0)=ROW()-1,1,0))</f>
        <v/>
      </c>
    </row>
    <row r="11232" customFormat="false" ht="15" hidden="false" customHeight="false" outlineLevel="0" collapsed="false">
      <c r="V11232" s="23" t="str">
        <f aca="false">IF(ISNUMBER(C11232),YEAR(C11232),"")</f>
        <v/>
      </c>
      <c r="W11232" s="23" t="str">
        <f aca="false">IF(ISNUMBER(C11232),MONTH(C11232),"")</f>
        <v/>
      </c>
      <c r="X11232" s="23" t="str">
        <f aca="false">IF(T11232="","",IF(T11232=0,"No discount",IF(T11232&lt;=0.2,"Low (1-20%)",IF(T11232&lt;=0.4,"Medium (21-40%)","High (&gt;40%)"))))</f>
        <v/>
      </c>
      <c r="Y11232" s="23" t="str">
        <f aca="false">IF(AND(ISNUMBER(C11232),ISNUMBER(D11232)),D11232-C11232,"")</f>
        <v/>
      </c>
      <c r="Z11232" s="23" t="str">
        <f aca="false">IF(B11232="","",IF(MATCH(B11232,$B$2:$B$12000,0)=ROW()-1,1,0))</f>
        <v/>
      </c>
    </row>
    <row r="11233" customFormat="false" ht="15" hidden="false" customHeight="false" outlineLevel="0" collapsed="false">
      <c r="V11233" s="23" t="str">
        <f aca="false">IF(ISNUMBER(C11233),YEAR(C11233),"")</f>
        <v/>
      </c>
      <c r="W11233" s="23" t="str">
        <f aca="false">IF(ISNUMBER(C11233),MONTH(C11233),"")</f>
        <v/>
      </c>
      <c r="X11233" s="23" t="str">
        <f aca="false">IF(T11233="","",IF(T11233=0,"No discount",IF(T11233&lt;=0.2,"Low (1-20%)",IF(T11233&lt;=0.4,"Medium (21-40%)","High (&gt;40%)"))))</f>
        <v/>
      </c>
      <c r="Y11233" s="23" t="str">
        <f aca="false">IF(AND(ISNUMBER(C11233),ISNUMBER(D11233)),D11233-C11233,"")</f>
        <v/>
      </c>
      <c r="Z11233" s="23" t="str">
        <f aca="false">IF(B11233="","",IF(MATCH(B11233,$B$2:$B$12000,0)=ROW()-1,1,0))</f>
        <v/>
      </c>
    </row>
    <row r="11234" customFormat="false" ht="15" hidden="false" customHeight="false" outlineLevel="0" collapsed="false">
      <c r="V11234" s="23" t="str">
        <f aca="false">IF(ISNUMBER(C11234),YEAR(C11234),"")</f>
        <v/>
      </c>
      <c r="W11234" s="23" t="str">
        <f aca="false">IF(ISNUMBER(C11234),MONTH(C11234),"")</f>
        <v/>
      </c>
      <c r="X11234" s="23" t="str">
        <f aca="false">IF(T11234="","",IF(T11234=0,"No discount",IF(T11234&lt;=0.2,"Low (1-20%)",IF(T11234&lt;=0.4,"Medium (21-40%)","High (&gt;40%)"))))</f>
        <v/>
      </c>
      <c r="Y11234" s="23" t="str">
        <f aca="false">IF(AND(ISNUMBER(C11234),ISNUMBER(D11234)),D11234-C11234,"")</f>
        <v/>
      </c>
      <c r="Z11234" s="23" t="str">
        <f aca="false">IF(B11234="","",IF(MATCH(B11234,$B$2:$B$12000,0)=ROW()-1,1,0))</f>
        <v/>
      </c>
    </row>
    <row r="11235" customFormat="false" ht="15" hidden="false" customHeight="false" outlineLevel="0" collapsed="false">
      <c r="V11235" s="23" t="str">
        <f aca="false">IF(ISNUMBER(C11235),YEAR(C11235),"")</f>
        <v/>
      </c>
      <c r="W11235" s="23" t="str">
        <f aca="false">IF(ISNUMBER(C11235),MONTH(C11235),"")</f>
        <v/>
      </c>
      <c r="X11235" s="23" t="str">
        <f aca="false">IF(T11235="","",IF(T11235=0,"No discount",IF(T11235&lt;=0.2,"Low (1-20%)",IF(T11235&lt;=0.4,"Medium (21-40%)","High (&gt;40%)"))))</f>
        <v/>
      </c>
      <c r="Y11235" s="23" t="str">
        <f aca="false">IF(AND(ISNUMBER(C11235),ISNUMBER(D11235)),D11235-C11235,"")</f>
        <v/>
      </c>
      <c r="Z11235" s="23" t="str">
        <f aca="false">IF(B11235="","",IF(MATCH(B11235,$B$2:$B$12000,0)=ROW()-1,1,0))</f>
        <v/>
      </c>
    </row>
    <row r="11236" customFormat="false" ht="15" hidden="false" customHeight="false" outlineLevel="0" collapsed="false">
      <c r="V11236" s="23" t="str">
        <f aca="false">IF(ISNUMBER(C11236),YEAR(C11236),"")</f>
        <v/>
      </c>
      <c r="W11236" s="23" t="str">
        <f aca="false">IF(ISNUMBER(C11236),MONTH(C11236),"")</f>
        <v/>
      </c>
      <c r="X11236" s="23" t="str">
        <f aca="false">IF(T11236="","",IF(T11236=0,"No discount",IF(T11236&lt;=0.2,"Low (1-20%)",IF(T11236&lt;=0.4,"Medium (21-40%)","High (&gt;40%)"))))</f>
        <v/>
      </c>
      <c r="Y11236" s="23" t="str">
        <f aca="false">IF(AND(ISNUMBER(C11236),ISNUMBER(D11236)),D11236-C11236,"")</f>
        <v/>
      </c>
      <c r="Z11236" s="23" t="str">
        <f aca="false">IF(B11236="","",IF(MATCH(B11236,$B$2:$B$12000,0)=ROW()-1,1,0))</f>
        <v/>
      </c>
    </row>
    <row r="11237" customFormat="false" ht="15" hidden="false" customHeight="false" outlineLevel="0" collapsed="false">
      <c r="V11237" s="23" t="str">
        <f aca="false">IF(ISNUMBER(C11237),YEAR(C11237),"")</f>
        <v/>
      </c>
      <c r="W11237" s="23" t="str">
        <f aca="false">IF(ISNUMBER(C11237),MONTH(C11237),"")</f>
        <v/>
      </c>
      <c r="X11237" s="23" t="str">
        <f aca="false">IF(T11237="","",IF(T11237=0,"No discount",IF(T11237&lt;=0.2,"Low (1-20%)",IF(T11237&lt;=0.4,"Medium (21-40%)","High (&gt;40%)"))))</f>
        <v/>
      </c>
      <c r="Y11237" s="23" t="str">
        <f aca="false">IF(AND(ISNUMBER(C11237),ISNUMBER(D11237)),D11237-C11237,"")</f>
        <v/>
      </c>
      <c r="Z11237" s="23" t="str">
        <f aca="false">IF(B11237="","",IF(MATCH(B11237,$B$2:$B$12000,0)=ROW()-1,1,0))</f>
        <v/>
      </c>
    </row>
    <row r="11238" customFormat="false" ht="15" hidden="false" customHeight="false" outlineLevel="0" collapsed="false">
      <c r="V11238" s="23" t="str">
        <f aca="false">IF(ISNUMBER(C11238),YEAR(C11238),"")</f>
        <v/>
      </c>
      <c r="W11238" s="23" t="str">
        <f aca="false">IF(ISNUMBER(C11238),MONTH(C11238),"")</f>
        <v/>
      </c>
      <c r="X11238" s="23" t="str">
        <f aca="false">IF(T11238="","",IF(T11238=0,"No discount",IF(T11238&lt;=0.2,"Low (1-20%)",IF(T11238&lt;=0.4,"Medium (21-40%)","High (&gt;40%)"))))</f>
        <v/>
      </c>
      <c r="Y11238" s="23" t="str">
        <f aca="false">IF(AND(ISNUMBER(C11238),ISNUMBER(D11238)),D11238-C11238,"")</f>
        <v/>
      </c>
      <c r="Z11238" s="23" t="str">
        <f aca="false">IF(B11238="","",IF(MATCH(B11238,$B$2:$B$12000,0)=ROW()-1,1,0))</f>
        <v/>
      </c>
    </row>
    <row r="11239" customFormat="false" ht="15" hidden="false" customHeight="false" outlineLevel="0" collapsed="false">
      <c r="V11239" s="23" t="str">
        <f aca="false">IF(ISNUMBER(C11239),YEAR(C11239),"")</f>
        <v/>
      </c>
      <c r="W11239" s="23" t="str">
        <f aca="false">IF(ISNUMBER(C11239),MONTH(C11239),"")</f>
        <v/>
      </c>
      <c r="X11239" s="23" t="str">
        <f aca="false">IF(T11239="","",IF(T11239=0,"No discount",IF(T11239&lt;=0.2,"Low (1-20%)",IF(T11239&lt;=0.4,"Medium (21-40%)","High (&gt;40%)"))))</f>
        <v/>
      </c>
      <c r="Y11239" s="23" t="str">
        <f aca="false">IF(AND(ISNUMBER(C11239),ISNUMBER(D11239)),D11239-C11239,"")</f>
        <v/>
      </c>
      <c r="Z11239" s="23" t="str">
        <f aca="false">IF(B11239="","",IF(MATCH(B11239,$B$2:$B$12000,0)=ROW()-1,1,0))</f>
        <v/>
      </c>
    </row>
    <row r="11240" customFormat="false" ht="15" hidden="false" customHeight="false" outlineLevel="0" collapsed="false">
      <c r="V11240" s="23" t="str">
        <f aca="false">IF(ISNUMBER(C11240),YEAR(C11240),"")</f>
        <v/>
      </c>
      <c r="W11240" s="23" t="str">
        <f aca="false">IF(ISNUMBER(C11240),MONTH(C11240),"")</f>
        <v/>
      </c>
      <c r="X11240" s="23" t="str">
        <f aca="false">IF(T11240="","",IF(T11240=0,"No discount",IF(T11240&lt;=0.2,"Low (1-20%)",IF(T11240&lt;=0.4,"Medium (21-40%)","High (&gt;40%)"))))</f>
        <v/>
      </c>
      <c r="Y11240" s="23" t="str">
        <f aca="false">IF(AND(ISNUMBER(C11240),ISNUMBER(D11240)),D11240-C11240,"")</f>
        <v/>
      </c>
      <c r="Z11240" s="23" t="str">
        <f aca="false">IF(B11240="","",IF(MATCH(B11240,$B$2:$B$12000,0)=ROW()-1,1,0))</f>
        <v/>
      </c>
    </row>
    <row r="11241" customFormat="false" ht="15" hidden="false" customHeight="false" outlineLevel="0" collapsed="false">
      <c r="V11241" s="23" t="str">
        <f aca="false">IF(ISNUMBER(C11241),YEAR(C11241),"")</f>
        <v/>
      </c>
      <c r="W11241" s="23" t="str">
        <f aca="false">IF(ISNUMBER(C11241),MONTH(C11241),"")</f>
        <v/>
      </c>
      <c r="X11241" s="23" t="str">
        <f aca="false">IF(T11241="","",IF(T11241=0,"No discount",IF(T11241&lt;=0.2,"Low (1-20%)",IF(T11241&lt;=0.4,"Medium (21-40%)","High (&gt;40%)"))))</f>
        <v/>
      </c>
      <c r="Y11241" s="23" t="str">
        <f aca="false">IF(AND(ISNUMBER(C11241),ISNUMBER(D11241)),D11241-C11241,"")</f>
        <v/>
      </c>
      <c r="Z11241" s="23" t="str">
        <f aca="false">IF(B11241="","",IF(MATCH(B11241,$B$2:$B$12000,0)=ROW()-1,1,0))</f>
        <v/>
      </c>
    </row>
    <row r="11242" customFormat="false" ht="15" hidden="false" customHeight="false" outlineLevel="0" collapsed="false">
      <c r="V11242" s="23" t="str">
        <f aca="false">IF(ISNUMBER(C11242),YEAR(C11242),"")</f>
        <v/>
      </c>
      <c r="W11242" s="23" t="str">
        <f aca="false">IF(ISNUMBER(C11242),MONTH(C11242),"")</f>
        <v/>
      </c>
      <c r="X11242" s="23" t="str">
        <f aca="false">IF(T11242="","",IF(T11242=0,"No discount",IF(T11242&lt;=0.2,"Low (1-20%)",IF(T11242&lt;=0.4,"Medium (21-40%)","High (&gt;40%)"))))</f>
        <v/>
      </c>
      <c r="Y11242" s="23" t="str">
        <f aca="false">IF(AND(ISNUMBER(C11242),ISNUMBER(D11242)),D11242-C11242,"")</f>
        <v/>
      </c>
      <c r="Z11242" s="23" t="str">
        <f aca="false">IF(B11242="","",IF(MATCH(B11242,$B$2:$B$12000,0)=ROW()-1,1,0))</f>
        <v/>
      </c>
    </row>
    <row r="11243" customFormat="false" ht="15" hidden="false" customHeight="false" outlineLevel="0" collapsed="false">
      <c r="V11243" s="23" t="str">
        <f aca="false">IF(ISNUMBER(C11243),YEAR(C11243),"")</f>
        <v/>
      </c>
      <c r="W11243" s="23" t="str">
        <f aca="false">IF(ISNUMBER(C11243),MONTH(C11243),"")</f>
        <v/>
      </c>
      <c r="X11243" s="23" t="str">
        <f aca="false">IF(T11243="","",IF(T11243=0,"No discount",IF(T11243&lt;=0.2,"Low (1-20%)",IF(T11243&lt;=0.4,"Medium (21-40%)","High (&gt;40%)"))))</f>
        <v/>
      </c>
      <c r="Y11243" s="23" t="str">
        <f aca="false">IF(AND(ISNUMBER(C11243),ISNUMBER(D11243)),D11243-C11243,"")</f>
        <v/>
      </c>
      <c r="Z11243" s="23" t="str">
        <f aca="false">IF(B11243="","",IF(MATCH(B11243,$B$2:$B$12000,0)=ROW()-1,1,0))</f>
        <v/>
      </c>
    </row>
    <row r="11244" customFormat="false" ht="15" hidden="false" customHeight="false" outlineLevel="0" collapsed="false">
      <c r="V11244" s="23" t="str">
        <f aca="false">IF(ISNUMBER(C11244),YEAR(C11244),"")</f>
        <v/>
      </c>
      <c r="W11244" s="23" t="str">
        <f aca="false">IF(ISNUMBER(C11244),MONTH(C11244),"")</f>
        <v/>
      </c>
      <c r="X11244" s="23" t="str">
        <f aca="false">IF(T11244="","",IF(T11244=0,"No discount",IF(T11244&lt;=0.2,"Low (1-20%)",IF(T11244&lt;=0.4,"Medium (21-40%)","High (&gt;40%)"))))</f>
        <v/>
      </c>
      <c r="Y11244" s="23" t="str">
        <f aca="false">IF(AND(ISNUMBER(C11244),ISNUMBER(D11244)),D11244-C11244,"")</f>
        <v/>
      </c>
      <c r="Z11244" s="23" t="str">
        <f aca="false">IF(B11244="","",IF(MATCH(B11244,$B$2:$B$12000,0)=ROW()-1,1,0))</f>
        <v/>
      </c>
    </row>
    <row r="11245" customFormat="false" ht="15" hidden="false" customHeight="false" outlineLevel="0" collapsed="false">
      <c r="V11245" s="23" t="str">
        <f aca="false">IF(ISNUMBER(C11245),YEAR(C11245),"")</f>
        <v/>
      </c>
      <c r="W11245" s="23" t="str">
        <f aca="false">IF(ISNUMBER(C11245),MONTH(C11245),"")</f>
        <v/>
      </c>
      <c r="X11245" s="23" t="str">
        <f aca="false">IF(T11245="","",IF(T11245=0,"No discount",IF(T11245&lt;=0.2,"Low (1-20%)",IF(T11245&lt;=0.4,"Medium (21-40%)","High (&gt;40%)"))))</f>
        <v/>
      </c>
      <c r="Y11245" s="23" t="str">
        <f aca="false">IF(AND(ISNUMBER(C11245),ISNUMBER(D11245)),D11245-C11245,"")</f>
        <v/>
      </c>
      <c r="Z11245" s="23" t="str">
        <f aca="false">IF(B11245="","",IF(MATCH(B11245,$B$2:$B$12000,0)=ROW()-1,1,0))</f>
        <v/>
      </c>
    </row>
    <row r="11246" customFormat="false" ht="15" hidden="false" customHeight="false" outlineLevel="0" collapsed="false">
      <c r="V11246" s="23" t="str">
        <f aca="false">IF(ISNUMBER(C11246),YEAR(C11246),"")</f>
        <v/>
      </c>
      <c r="W11246" s="23" t="str">
        <f aca="false">IF(ISNUMBER(C11246),MONTH(C11246),"")</f>
        <v/>
      </c>
      <c r="X11246" s="23" t="str">
        <f aca="false">IF(T11246="","",IF(T11246=0,"No discount",IF(T11246&lt;=0.2,"Low (1-20%)",IF(T11246&lt;=0.4,"Medium (21-40%)","High (&gt;40%)"))))</f>
        <v/>
      </c>
      <c r="Y11246" s="23" t="str">
        <f aca="false">IF(AND(ISNUMBER(C11246),ISNUMBER(D11246)),D11246-C11246,"")</f>
        <v/>
      </c>
      <c r="Z11246" s="23" t="str">
        <f aca="false">IF(B11246="","",IF(MATCH(B11246,$B$2:$B$12000,0)=ROW()-1,1,0))</f>
        <v/>
      </c>
    </row>
    <row r="11247" customFormat="false" ht="15" hidden="false" customHeight="false" outlineLevel="0" collapsed="false">
      <c r="V11247" s="23" t="str">
        <f aca="false">IF(ISNUMBER(C11247),YEAR(C11247),"")</f>
        <v/>
      </c>
      <c r="W11247" s="23" t="str">
        <f aca="false">IF(ISNUMBER(C11247),MONTH(C11247),"")</f>
        <v/>
      </c>
      <c r="X11247" s="23" t="str">
        <f aca="false">IF(T11247="","",IF(T11247=0,"No discount",IF(T11247&lt;=0.2,"Low (1-20%)",IF(T11247&lt;=0.4,"Medium (21-40%)","High (&gt;40%)"))))</f>
        <v/>
      </c>
      <c r="Y11247" s="23" t="str">
        <f aca="false">IF(AND(ISNUMBER(C11247),ISNUMBER(D11247)),D11247-C11247,"")</f>
        <v/>
      </c>
      <c r="Z11247" s="23" t="str">
        <f aca="false">IF(B11247="","",IF(MATCH(B11247,$B$2:$B$12000,0)=ROW()-1,1,0))</f>
        <v/>
      </c>
    </row>
    <row r="11248" customFormat="false" ht="15" hidden="false" customHeight="false" outlineLevel="0" collapsed="false">
      <c r="V11248" s="23" t="str">
        <f aca="false">IF(ISNUMBER(C11248),YEAR(C11248),"")</f>
        <v/>
      </c>
      <c r="W11248" s="23" t="str">
        <f aca="false">IF(ISNUMBER(C11248),MONTH(C11248),"")</f>
        <v/>
      </c>
      <c r="X11248" s="23" t="str">
        <f aca="false">IF(T11248="","",IF(T11248=0,"No discount",IF(T11248&lt;=0.2,"Low (1-20%)",IF(T11248&lt;=0.4,"Medium (21-40%)","High (&gt;40%)"))))</f>
        <v/>
      </c>
      <c r="Y11248" s="23" t="str">
        <f aca="false">IF(AND(ISNUMBER(C11248),ISNUMBER(D11248)),D11248-C11248,"")</f>
        <v/>
      </c>
      <c r="Z11248" s="23" t="str">
        <f aca="false">IF(B11248="","",IF(MATCH(B11248,$B$2:$B$12000,0)=ROW()-1,1,0))</f>
        <v/>
      </c>
    </row>
    <row r="11249" customFormat="false" ht="15" hidden="false" customHeight="false" outlineLevel="0" collapsed="false">
      <c r="V11249" s="23" t="str">
        <f aca="false">IF(ISNUMBER(C11249),YEAR(C11249),"")</f>
        <v/>
      </c>
      <c r="W11249" s="23" t="str">
        <f aca="false">IF(ISNUMBER(C11249),MONTH(C11249),"")</f>
        <v/>
      </c>
      <c r="X11249" s="23" t="str">
        <f aca="false">IF(T11249="","",IF(T11249=0,"No discount",IF(T11249&lt;=0.2,"Low (1-20%)",IF(T11249&lt;=0.4,"Medium (21-40%)","High (&gt;40%)"))))</f>
        <v/>
      </c>
      <c r="Y11249" s="23" t="str">
        <f aca="false">IF(AND(ISNUMBER(C11249),ISNUMBER(D11249)),D11249-C11249,"")</f>
        <v/>
      </c>
      <c r="Z11249" s="23" t="str">
        <f aca="false">IF(B11249="","",IF(MATCH(B11249,$B$2:$B$12000,0)=ROW()-1,1,0))</f>
        <v/>
      </c>
    </row>
    <row r="11250" customFormat="false" ht="15" hidden="false" customHeight="false" outlineLevel="0" collapsed="false">
      <c r="V11250" s="23" t="str">
        <f aca="false">IF(ISNUMBER(C11250),YEAR(C11250),"")</f>
        <v/>
      </c>
      <c r="W11250" s="23" t="str">
        <f aca="false">IF(ISNUMBER(C11250),MONTH(C11250),"")</f>
        <v/>
      </c>
      <c r="X11250" s="23" t="str">
        <f aca="false">IF(T11250="","",IF(T11250=0,"No discount",IF(T11250&lt;=0.2,"Low (1-20%)",IF(T11250&lt;=0.4,"Medium (21-40%)","High (&gt;40%)"))))</f>
        <v/>
      </c>
      <c r="Y11250" s="23" t="str">
        <f aca="false">IF(AND(ISNUMBER(C11250),ISNUMBER(D11250)),D11250-C11250,"")</f>
        <v/>
      </c>
      <c r="Z11250" s="23" t="str">
        <f aca="false">IF(B11250="","",IF(MATCH(B11250,$B$2:$B$12000,0)=ROW()-1,1,0))</f>
        <v/>
      </c>
    </row>
    <row r="11251" customFormat="false" ht="15" hidden="false" customHeight="false" outlineLevel="0" collapsed="false">
      <c r="V11251" s="23" t="str">
        <f aca="false">IF(ISNUMBER(C11251),YEAR(C11251),"")</f>
        <v/>
      </c>
      <c r="W11251" s="23" t="str">
        <f aca="false">IF(ISNUMBER(C11251),MONTH(C11251),"")</f>
        <v/>
      </c>
      <c r="X11251" s="23" t="str">
        <f aca="false">IF(T11251="","",IF(T11251=0,"No discount",IF(T11251&lt;=0.2,"Low (1-20%)",IF(T11251&lt;=0.4,"Medium (21-40%)","High (&gt;40%)"))))</f>
        <v/>
      </c>
      <c r="Y11251" s="23" t="str">
        <f aca="false">IF(AND(ISNUMBER(C11251),ISNUMBER(D11251)),D11251-C11251,"")</f>
        <v/>
      </c>
      <c r="Z11251" s="23" t="str">
        <f aca="false">IF(B11251="","",IF(MATCH(B11251,$B$2:$B$12000,0)=ROW()-1,1,0))</f>
        <v/>
      </c>
    </row>
    <row r="11252" customFormat="false" ht="15" hidden="false" customHeight="false" outlineLevel="0" collapsed="false">
      <c r="V11252" s="23" t="str">
        <f aca="false">IF(ISNUMBER(C11252),YEAR(C11252),"")</f>
        <v/>
      </c>
      <c r="W11252" s="23" t="str">
        <f aca="false">IF(ISNUMBER(C11252),MONTH(C11252),"")</f>
        <v/>
      </c>
      <c r="X11252" s="23" t="str">
        <f aca="false">IF(T11252="","",IF(T11252=0,"No discount",IF(T11252&lt;=0.2,"Low (1-20%)",IF(T11252&lt;=0.4,"Medium (21-40%)","High (&gt;40%)"))))</f>
        <v/>
      </c>
      <c r="Y11252" s="23" t="str">
        <f aca="false">IF(AND(ISNUMBER(C11252),ISNUMBER(D11252)),D11252-C11252,"")</f>
        <v/>
      </c>
      <c r="Z11252" s="23" t="str">
        <f aca="false">IF(B11252="","",IF(MATCH(B11252,$B$2:$B$12000,0)=ROW()-1,1,0))</f>
        <v/>
      </c>
    </row>
    <row r="11253" customFormat="false" ht="15" hidden="false" customHeight="false" outlineLevel="0" collapsed="false">
      <c r="V11253" s="23" t="str">
        <f aca="false">IF(ISNUMBER(C11253),YEAR(C11253),"")</f>
        <v/>
      </c>
      <c r="W11253" s="23" t="str">
        <f aca="false">IF(ISNUMBER(C11253),MONTH(C11253),"")</f>
        <v/>
      </c>
      <c r="X11253" s="23" t="str">
        <f aca="false">IF(T11253="","",IF(T11253=0,"No discount",IF(T11253&lt;=0.2,"Low (1-20%)",IF(T11253&lt;=0.4,"Medium (21-40%)","High (&gt;40%)"))))</f>
        <v/>
      </c>
      <c r="Y11253" s="23" t="str">
        <f aca="false">IF(AND(ISNUMBER(C11253),ISNUMBER(D11253)),D11253-C11253,"")</f>
        <v/>
      </c>
      <c r="Z11253" s="23" t="str">
        <f aca="false">IF(B11253="","",IF(MATCH(B11253,$B$2:$B$12000,0)=ROW()-1,1,0))</f>
        <v/>
      </c>
    </row>
    <row r="11254" customFormat="false" ht="15" hidden="false" customHeight="false" outlineLevel="0" collapsed="false">
      <c r="V11254" s="23" t="str">
        <f aca="false">IF(ISNUMBER(C11254),YEAR(C11254),"")</f>
        <v/>
      </c>
      <c r="W11254" s="23" t="str">
        <f aca="false">IF(ISNUMBER(C11254),MONTH(C11254),"")</f>
        <v/>
      </c>
      <c r="X11254" s="23" t="str">
        <f aca="false">IF(T11254="","",IF(T11254=0,"No discount",IF(T11254&lt;=0.2,"Low (1-20%)",IF(T11254&lt;=0.4,"Medium (21-40%)","High (&gt;40%)"))))</f>
        <v/>
      </c>
      <c r="Y11254" s="23" t="str">
        <f aca="false">IF(AND(ISNUMBER(C11254),ISNUMBER(D11254)),D11254-C11254,"")</f>
        <v/>
      </c>
      <c r="Z11254" s="23" t="str">
        <f aca="false">IF(B11254="","",IF(MATCH(B11254,$B$2:$B$12000,0)=ROW()-1,1,0))</f>
        <v/>
      </c>
    </row>
    <row r="11255" customFormat="false" ht="15" hidden="false" customHeight="false" outlineLevel="0" collapsed="false">
      <c r="V11255" s="23" t="str">
        <f aca="false">IF(ISNUMBER(C11255),YEAR(C11255),"")</f>
        <v/>
      </c>
      <c r="W11255" s="23" t="str">
        <f aca="false">IF(ISNUMBER(C11255),MONTH(C11255),"")</f>
        <v/>
      </c>
      <c r="X11255" s="23" t="str">
        <f aca="false">IF(T11255="","",IF(T11255=0,"No discount",IF(T11255&lt;=0.2,"Low (1-20%)",IF(T11255&lt;=0.4,"Medium (21-40%)","High (&gt;40%)"))))</f>
        <v/>
      </c>
      <c r="Y11255" s="23" t="str">
        <f aca="false">IF(AND(ISNUMBER(C11255),ISNUMBER(D11255)),D11255-C11255,"")</f>
        <v/>
      </c>
      <c r="Z11255" s="23" t="str">
        <f aca="false">IF(B11255="","",IF(MATCH(B11255,$B$2:$B$12000,0)=ROW()-1,1,0))</f>
        <v/>
      </c>
    </row>
    <row r="11256" customFormat="false" ht="15" hidden="false" customHeight="false" outlineLevel="0" collapsed="false">
      <c r="V11256" s="23" t="str">
        <f aca="false">IF(ISNUMBER(C11256),YEAR(C11256),"")</f>
        <v/>
      </c>
      <c r="W11256" s="23" t="str">
        <f aca="false">IF(ISNUMBER(C11256),MONTH(C11256),"")</f>
        <v/>
      </c>
      <c r="X11256" s="23" t="str">
        <f aca="false">IF(T11256="","",IF(T11256=0,"No discount",IF(T11256&lt;=0.2,"Low (1-20%)",IF(T11256&lt;=0.4,"Medium (21-40%)","High (&gt;40%)"))))</f>
        <v/>
      </c>
      <c r="Y11256" s="23" t="str">
        <f aca="false">IF(AND(ISNUMBER(C11256),ISNUMBER(D11256)),D11256-C11256,"")</f>
        <v/>
      </c>
      <c r="Z11256" s="23" t="str">
        <f aca="false">IF(B11256="","",IF(MATCH(B11256,$B$2:$B$12000,0)=ROW()-1,1,0))</f>
        <v/>
      </c>
    </row>
    <row r="11257" customFormat="false" ht="15" hidden="false" customHeight="false" outlineLevel="0" collapsed="false">
      <c r="V11257" s="23" t="str">
        <f aca="false">IF(ISNUMBER(C11257),YEAR(C11257),"")</f>
        <v/>
      </c>
      <c r="W11257" s="23" t="str">
        <f aca="false">IF(ISNUMBER(C11257),MONTH(C11257),"")</f>
        <v/>
      </c>
      <c r="X11257" s="23" t="str">
        <f aca="false">IF(T11257="","",IF(T11257=0,"No discount",IF(T11257&lt;=0.2,"Low (1-20%)",IF(T11257&lt;=0.4,"Medium (21-40%)","High (&gt;40%)"))))</f>
        <v/>
      </c>
      <c r="Y11257" s="23" t="str">
        <f aca="false">IF(AND(ISNUMBER(C11257),ISNUMBER(D11257)),D11257-C11257,"")</f>
        <v/>
      </c>
      <c r="Z11257" s="23" t="str">
        <f aca="false">IF(B11257="","",IF(MATCH(B11257,$B$2:$B$12000,0)=ROW()-1,1,0))</f>
        <v/>
      </c>
    </row>
    <row r="11258" customFormat="false" ht="15" hidden="false" customHeight="false" outlineLevel="0" collapsed="false">
      <c r="V11258" s="23" t="str">
        <f aca="false">IF(ISNUMBER(C11258),YEAR(C11258),"")</f>
        <v/>
      </c>
      <c r="W11258" s="23" t="str">
        <f aca="false">IF(ISNUMBER(C11258),MONTH(C11258),"")</f>
        <v/>
      </c>
      <c r="X11258" s="23" t="str">
        <f aca="false">IF(T11258="","",IF(T11258=0,"No discount",IF(T11258&lt;=0.2,"Low (1-20%)",IF(T11258&lt;=0.4,"Medium (21-40%)","High (&gt;40%)"))))</f>
        <v/>
      </c>
      <c r="Y11258" s="23" t="str">
        <f aca="false">IF(AND(ISNUMBER(C11258),ISNUMBER(D11258)),D11258-C11258,"")</f>
        <v/>
      </c>
      <c r="Z11258" s="23" t="str">
        <f aca="false">IF(B11258="","",IF(MATCH(B11258,$B$2:$B$12000,0)=ROW()-1,1,0))</f>
        <v/>
      </c>
    </row>
    <row r="11259" customFormat="false" ht="15" hidden="false" customHeight="false" outlineLevel="0" collapsed="false">
      <c r="V11259" s="23" t="str">
        <f aca="false">IF(ISNUMBER(C11259),YEAR(C11259),"")</f>
        <v/>
      </c>
      <c r="W11259" s="23" t="str">
        <f aca="false">IF(ISNUMBER(C11259),MONTH(C11259),"")</f>
        <v/>
      </c>
      <c r="X11259" s="23" t="str">
        <f aca="false">IF(T11259="","",IF(T11259=0,"No discount",IF(T11259&lt;=0.2,"Low (1-20%)",IF(T11259&lt;=0.4,"Medium (21-40%)","High (&gt;40%)"))))</f>
        <v/>
      </c>
      <c r="Y11259" s="23" t="str">
        <f aca="false">IF(AND(ISNUMBER(C11259),ISNUMBER(D11259)),D11259-C11259,"")</f>
        <v/>
      </c>
      <c r="Z11259" s="23" t="str">
        <f aca="false">IF(B11259="","",IF(MATCH(B11259,$B$2:$B$12000,0)=ROW()-1,1,0))</f>
        <v/>
      </c>
    </row>
    <row r="11260" customFormat="false" ht="15" hidden="false" customHeight="false" outlineLevel="0" collapsed="false">
      <c r="V11260" s="23" t="str">
        <f aca="false">IF(ISNUMBER(C11260),YEAR(C11260),"")</f>
        <v/>
      </c>
      <c r="W11260" s="23" t="str">
        <f aca="false">IF(ISNUMBER(C11260),MONTH(C11260),"")</f>
        <v/>
      </c>
      <c r="X11260" s="23" t="str">
        <f aca="false">IF(T11260="","",IF(T11260=0,"No discount",IF(T11260&lt;=0.2,"Low (1-20%)",IF(T11260&lt;=0.4,"Medium (21-40%)","High (&gt;40%)"))))</f>
        <v/>
      </c>
      <c r="Y11260" s="23" t="str">
        <f aca="false">IF(AND(ISNUMBER(C11260),ISNUMBER(D11260)),D11260-C11260,"")</f>
        <v/>
      </c>
      <c r="Z11260" s="23" t="str">
        <f aca="false">IF(B11260="","",IF(MATCH(B11260,$B$2:$B$12000,0)=ROW()-1,1,0))</f>
        <v/>
      </c>
    </row>
    <row r="11261" customFormat="false" ht="15" hidden="false" customHeight="false" outlineLevel="0" collapsed="false">
      <c r="V11261" s="23" t="str">
        <f aca="false">IF(ISNUMBER(C11261),YEAR(C11261),"")</f>
        <v/>
      </c>
      <c r="W11261" s="23" t="str">
        <f aca="false">IF(ISNUMBER(C11261),MONTH(C11261),"")</f>
        <v/>
      </c>
      <c r="X11261" s="23" t="str">
        <f aca="false">IF(T11261="","",IF(T11261=0,"No discount",IF(T11261&lt;=0.2,"Low (1-20%)",IF(T11261&lt;=0.4,"Medium (21-40%)","High (&gt;40%)"))))</f>
        <v/>
      </c>
      <c r="Y11261" s="23" t="str">
        <f aca="false">IF(AND(ISNUMBER(C11261),ISNUMBER(D11261)),D11261-C11261,"")</f>
        <v/>
      </c>
      <c r="Z11261" s="23" t="str">
        <f aca="false">IF(B11261="","",IF(MATCH(B11261,$B$2:$B$12000,0)=ROW()-1,1,0))</f>
        <v/>
      </c>
    </row>
    <row r="11262" customFormat="false" ht="15" hidden="false" customHeight="false" outlineLevel="0" collapsed="false">
      <c r="V11262" s="23" t="str">
        <f aca="false">IF(ISNUMBER(C11262),YEAR(C11262),"")</f>
        <v/>
      </c>
      <c r="W11262" s="23" t="str">
        <f aca="false">IF(ISNUMBER(C11262),MONTH(C11262),"")</f>
        <v/>
      </c>
      <c r="X11262" s="23" t="str">
        <f aca="false">IF(T11262="","",IF(T11262=0,"No discount",IF(T11262&lt;=0.2,"Low (1-20%)",IF(T11262&lt;=0.4,"Medium (21-40%)","High (&gt;40%)"))))</f>
        <v/>
      </c>
      <c r="Y11262" s="23" t="str">
        <f aca="false">IF(AND(ISNUMBER(C11262),ISNUMBER(D11262)),D11262-C11262,"")</f>
        <v/>
      </c>
      <c r="Z11262" s="23" t="str">
        <f aca="false">IF(B11262="","",IF(MATCH(B11262,$B$2:$B$12000,0)=ROW()-1,1,0))</f>
        <v/>
      </c>
    </row>
    <row r="11263" customFormat="false" ht="15" hidden="false" customHeight="false" outlineLevel="0" collapsed="false">
      <c r="V11263" s="23" t="str">
        <f aca="false">IF(ISNUMBER(C11263),YEAR(C11263),"")</f>
        <v/>
      </c>
      <c r="W11263" s="23" t="str">
        <f aca="false">IF(ISNUMBER(C11263),MONTH(C11263),"")</f>
        <v/>
      </c>
      <c r="X11263" s="23" t="str">
        <f aca="false">IF(T11263="","",IF(T11263=0,"No discount",IF(T11263&lt;=0.2,"Low (1-20%)",IF(T11263&lt;=0.4,"Medium (21-40%)","High (&gt;40%)"))))</f>
        <v/>
      </c>
      <c r="Y11263" s="23" t="str">
        <f aca="false">IF(AND(ISNUMBER(C11263),ISNUMBER(D11263)),D11263-C11263,"")</f>
        <v/>
      </c>
      <c r="Z11263" s="23" t="str">
        <f aca="false">IF(B11263="","",IF(MATCH(B11263,$B$2:$B$12000,0)=ROW()-1,1,0))</f>
        <v/>
      </c>
    </row>
    <row r="11264" customFormat="false" ht="15" hidden="false" customHeight="false" outlineLevel="0" collapsed="false">
      <c r="V11264" s="23" t="str">
        <f aca="false">IF(ISNUMBER(C11264),YEAR(C11264),"")</f>
        <v/>
      </c>
      <c r="W11264" s="23" t="str">
        <f aca="false">IF(ISNUMBER(C11264),MONTH(C11264),"")</f>
        <v/>
      </c>
      <c r="X11264" s="23" t="str">
        <f aca="false">IF(T11264="","",IF(T11264=0,"No discount",IF(T11264&lt;=0.2,"Low (1-20%)",IF(T11264&lt;=0.4,"Medium (21-40%)","High (&gt;40%)"))))</f>
        <v/>
      </c>
      <c r="Y11264" s="23" t="str">
        <f aca="false">IF(AND(ISNUMBER(C11264),ISNUMBER(D11264)),D11264-C11264,"")</f>
        <v/>
      </c>
      <c r="Z11264" s="23" t="str">
        <f aca="false">IF(B11264="","",IF(MATCH(B11264,$B$2:$B$12000,0)=ROW()-1,1,0))</f>
        <v/>
      </c>
    </row>
    <row r="11265" customFormat="false" ht="15" hidden="false" customHeight="false" outlineLevel="0" collapsed="false">
      <c r="V11265" s="23" t="str">
        <f aca="false">IF(ISNUMBER(C11265),YEAR(C11265),"")</f>
        <v/>
      </c>
      <c r="W11265" s="23" t="str">
        <f aca="false">IF(ISNUMBER(C11265),MONTH(C11265),"")</f>
        <v/>
      </c>
      <c r="X11265" s="23" t="str">
        <f aca="false">IF(T11265="","",IF(T11265=0,"No discount",IF(T11265&lt;=0.2,"Low (1-20%)",IF(T11265&lt;=0.4,"Medium (21-40%)","High (&gt;40%)"))))</f>
        <v/>
      </c>
      <c r="Y11265" s="23" t="str">
        <f aca="false">IF(AND(ISNUMBER(C11265),ISNUMBER(D11265)),D11265-C11265,"")</f>
        <v/>
      </c>
      <c r="Z11265" s="23" t="str">
        <f aca="false">IF(B11265="","",IF(MATCH(B11265,$B$2:$B$12000,0)=ROW()-1,1,0))</f>
        <v/>
      </c>
    </row>
    <row r="11266" customFormat="false" ht="15" hidden="false" customHeight="false" outlineLevel="0" collapsed="false">
      <c r="V11266" s="23" t="str">
        <f aca="false">IF(ISNUMBER(C11266),YEAR(C11266),"")</f>
        <v/>
      </c>
      <c r="W11266" s="23" t="str">
        <f aca="false">IF(ISNUMBER(C11266),MONTH(C11266),"")</f>
        <v/>
      </c>
      <c r="X11266" s="23" t="str">
        <f aca="false">IF(T11266="","",IF(T11266=0,"No discount",IF(T11266&lt;=0.2,"Low (1-20%)",IF(T11266&lt;=0.4,"Medium (21-40%)","High (&gt;40%)"))))</f>
        <v/>
      </c>
      <c r="Y11266" s="23" t="str">
        <f aca="false">IF(AND(ISNUMBER(C11266),ISNUMBER(D11266)),D11266-C11266,"")</f>
        <v/>
      </c>
      <c r="Z11266" s="23" t="str">
        <f aca="false">IF(B11266="","",IF(MATCH(B11266,$B$2:$B$12000,0)=ROW()-1,1,0))</f>
        <v/>
      </c>
    </row>
    <row r="11267" customFormat="false" ht="15" hidden="false" customHeight="false" outlineLevel="0" collapsed="false">
      <c r="V11267" s="23" t="str">
        <f aca="false">IF(ISNUMBER(C11267),YEAR(C11267),"")</f>
        <v/>
      </c>
      <c r="W11267" s="23" t="str">
        <f aca="false">IF(ISNUMBER(C11267),MONTH(C11267),"")</f>
        <v/>
      </c>
      <c r="X11267" s="23" t="str">
        <f aca="false">IF(T11267="","",IF(T11267=0,"No discount",IF(T11267&lt;=0.2,"Low (1-20%)",IF(T11267&lt;=0.4,"Medium (21-40%)","High (&gt;40%)"))))</f>
        <v/>
      </c>
      <c r="Y11267" s="23" t="str">
        <f aca="false">IF(AND(ISNUMBER(C11267),ISNUMBER(D11267)),D11267-C11267,"")</f>
        <v/>
      </c>
      <c r="Z11267" s="23" t="str">
        <f aca="false">IF(B11267="","",IF(MATCH(B11267,$B$2:$B$12000,0)=ROW()-1,1,0))</f>
        <v/>
      </c>
    </row>
    <row r="11268" customFormat="false" ht="15" hidden="false" customHeight="false" outlineLevel="0" collapsed="false">
      <c r="V11268" s="23" t="str">
        <f aca="false">IF(ISNUMBER(C11268),YEAR(C11268),"")</f>
        <v/>
      </c>
      <c r="W11268" s="23" t="str">
        <f aca="false">IF(ISNUMBER(C11268),MONTH(C11268),"")</f>
        <v/>
      </c>
      <c r="X11268" s="23" t="str">
        <f aca="false">IF(T11268="","",IF(T11268=0,"No discount",IF(T11268&lt;=0.2,"Low (1-20%)",IF(T11268&lt;=0.4,"Medium (21-40%)","High (&gt;40%)"))))</f>
        <v/>
      </c>
      <c r="Y11268" s="23" t="str">
        <f aca="false">IF(AND(ISNUMBER(C11268),ISNUMBER(D11268)),D11268-C11268,"")</f>
        <v/>
      </c>
      <c r="Z11268" s="23" t="str">
        <f aca="false">IF(B11268="","",IF(MATCH(B11268,$B$2:$B$12000,0)=ROW()-1,1,0))</f>
        <v/>
      </c>
    </row>
    <row r="11269" customFormat="false" ht="15" hidden="false" customHeight="false" outlineLevel="0" collapsed="false">
      <c r="V11269" s="23" t="str">
        <f aca="false">IF(ISNUMBER(C11269),YEAR(C11269),"")</f>
        <v/>
      </c>
      <c r="W11269" s="23" t="str">
        <f aca="false">IF(ISNUMBER(C11269),MONTH(C11269),"")</f>
        <v/>
      </c>
      <c r="X11269" s="23" t="str">
        <f aca="false">IF(T11269="","",IF(T11269=0,"No discount",IF(T11269&lt;=0.2,"Low (1-20%)",IF(T11269&lt;=0.4,"Medium (21-40%)","High (&gt;40%)"))))</f>
        <v/>
      </c>
      <c r="Y11269" s="23" t="str">
        <f aca="false">IF(AND(ISNUMBER(C11269),ISNUMBER(D11269)),D11269-C11269,"")</f>
        <v/>
      </c>
      <c r="Z11269" s="23" t="str">
        <f aca="false">IF(B11269="","",IF(MATCH(B11269,$B$2:$B$12000,0)=ROW()-1,1,0))</f>
        <v/>
      </c>
    </row>
    <row r="11270" customFormat="false" ht="15" hidden="false" customHeight="false" outlineLevel="0" collapsed="false">
      <c r="V11270" s="23" t="str">
        <f aca="false">IF(ISNUMBER(C11270),YEAR(C11270),"")</f>
        <v/>
      </c>
      <c r="W11270" s="23" t="str">
        <f aca="false">IF(ISNUMBER(C11270),MONTH(C11270),"")</f>
        <v/>
      </c>
      <c r="X11270" s="23" t="str">
        <f aca="false">IF(T11270="","",IF(T11270=0,"No discount",IF(T11270&lt;=0.2,"Low (1-20%)",IF(T11270&lt;=0.4,"Medium (21-40%)","High (&gt;40%)"))))</f>
        <v/>
      </c>
      <c r="Y11270" s="23" t="str">
        <f aca="false">IF(AND(ISNUMBER(C11270),ISNUMBER(D11270)),D11270-C11270,"")</f>
        <v/>
      </c>
      <c r="Z11270" s="23" t="str">
        <f aca="false">IF(B11270="","",IF(MATCH(B11270,$B$2:$B$12000,0)=ROW()-1,1,0))</f>
        <v/>
      </c>
    </row>
    <row r="11271" customFormat="false" ht="15" hidden="false" customHeight="false" outlineLevel="0" collapsed="false">
      <c r="V11271" s="23" t="str">
        <f aca="false">IF(ISNUMBER(C11271),YEAR(C11271),"")</f>
        <v/>
      </c>
      <c r="W11271" s="23" t="str">
        <f aca="false">IF(ISNUMBER(C11271),MONTH(C11271),"")</f>
        <v/>
      </c>
      <c r="X11271" s="23" t="str">
        <f aca="false">IF(T11271="","",IF(T11271=0,"No discount",IF(T11271&lt;=0.2,"Low (1-20%)",IF(T11271&lt;=0.4,"Medium (21-40%)","High (&gt;40%)"))))</f>
        <v/>
      </c>
      <c r="Y11271" s="23" t="str">
        <f aca="false">IF(AND(ISNUMBER(C11271),ISNUMBER(D11271)),D11271-C11271,"")</f>
        <v/>
      </c>
      <c r="Z11271" s="23" t="str">
        <f aca="false">IF(B11271="","",IF(MATCH(B11271,$B$2:$B$12000,0)=ROW()-1,1,0))</f>
        <v/>
      </c>
    </row>
    <row r="11272" customFormat="false" ht="15" hidden="false" customHeight="false" outlineLevel="0" collapsed="false">
      <c r="V11272" s="23" t="str">
        <f aca="false">IF(ISNUMBER(C11272),YEAR(C11272),"")</f>
        <v/>
      </c>
      <c r="W11272" s="23" t="str">
        <f aca="false">IF(ISNUMBER(C11272),MONTH(C11272),"")</f>
        <v/>
      </c>
      <c r="X11272" s="23" t="str">
        <f aca="false">IF(T11272="","",IF(T11272=0,"No discount",IF(T11272&lt;=0.2,"Low (1-20%)",IF(T11272&lt;=0.4,"Medium (21-40%)","High (&gt;40%)"))))</f>
        <v/>
      </c>
      <c r="Y11272" s="23" t="str">
        <f aca="false">IF(AND(ISNUMBER(C11272),ISNUMBER(D11272)),D11272-C11272,"")</f>
        <v/>
      </c>
      <c r="Z11272" s="23" t="str">
        <f aca="false">IF(B11272="","",IF(MATCH(B11272,$B$2:$B$12000,0)=ROW()-1,1,0))</f>
        <v/>
      </c>
    </row>
    <row r="11273" customFormat="false" ht="15" hidden="false" customHeight="false" outlineLevel="0" collapsed="false">
      <c r="V11273" s="23" t="str">
        <f aca="false">IF(ISNUMBER(C11273),YEAR(C11273),"")</f>
        <v/>
      </c>
      <c r="W11273" s="23" t="str">
        <f aca="false">IF(ISNUMBER(C11273),MONTH(C11273),"")</f>
        <v/>
      </c>
      <c r="X11273" s="23" t="str">
        <f aca="false">IF(T11273="","",IF(T11273=0,"No discount",IF(T11273&lt;=0.2,"Low (1-20%)",IF(T11273&lt;=0.4,"Medium (21-40%)","High (&gt;40%)"))))</f>
        <v/>
      </c>
      <c r="Y11273" s="23" t="str">
        <f aca="false">IF(AND(ISNUMBER(C11273),ISNUMBER(D11273)),D11273-C11273,"")</f>
        <v/>
      </c>
      <c r="Z11273" s="23" t="str">
        <f aca="false">IF(B11273="","",IF(MATCH(B11273,$B$2:$B$12000,0)=ROW()-1,1,0))</f>
        <v/>
      </c>
    </row>
    <row r="11274" customFormat="false" ht="15" hidden="false" customHeight="false" outlineLevel="0" collapsed="false">
      <c r="V11274" s="23" t="str">
        <f aca="false">IF(ISNUMBER(C11274),YEAR(C11274),"")</f>
        <v/>
      </c>
      <c r="W11274" s="23" t="str">
        <f aca="false">IF(ISNUMBER(C11274),MONTH(C11274),"")</f>
        <v/>
      </c>
      <c r="X11274" s="23" t="str">
        <f aca="false">IF(T11274="","",IF(T11274=0,"No discount",IF(T11274&lt;=0.2,"Low (1-20%)",IF(T11274&lt;=0.4,"Medium (21-40%)","High (&gt;40%)"))))</f>
        <v/>
      </c>
      <c r="Y11274" s="23" t="str">
        <f aca="false">IF(AND(ISNUMBER(C11274),ISNUMBER(D11274)),D11274-C11274,"")</f>
        <v/>
      </c>
      <c r="Z11274" s="23" t="str">
        <f aca="false">IF(B11274="","",IF(MATCH(B11274,$B$2:$B$12000,0)=ROW()-1,1,0))</f>
        <v/>
      </c>
    </row>
    <row r="11275" customFormat="false" ht="15" hidden="false" customHeight="false" outlineLevel="0" collapsed="false">
      <c r="V11275" s="23" t="str">
        <f aca="false">IF(ISNUMBER(C11275),YEAR(C11275),"")</f>
        <v/>
      </c>
      <c r="W11275" s="23" t="str">
        <f aca="false">IF(ISNUMBER(C11275),MONTH(C11275),"")</f>
        <v/>
      </c>
      <c r="X11275" s="23" t="str">
        <f aca="false">IF(T11275="","",IF(T11275=0,"No discount",IF(T11275&lt;=0.2,"Low (1-20%)",IF(T11275&lt;=0.4,"Medium (21-40%)","High (&gt;40%)"))))</f>
        <v/>
      </c>
      <c r="Y11275" s="23" t="str">
        <f aca="false">IF(AND(ISNUMBER(C11275),ISNUMBER(D11275)),D11275-C11275,"")</f>
        <v/>
      </c>
      <c r="Z11275" s="23" t="str">
        <f aca="false">IF(B11275="","",IF(MATCH(B11275,$B$2:$B$12000,0)=ROW()-1,1,0))</f>
        <v/>
      </c>
    </row>
    <row r="11276" customFormat="false" ht="15" hidden="false" customHeight="false" outlineLevel="0" collapsed="false">
      <c r="V11276" s="23" t="str">
        <f aca="false">IF(ISNUMBER(C11276),YEAR(C11276),"")</f>
        <v/>
      </c>
      <c r="W11276" s="23" t="str">
        <f aca="false">IF(ISNUMBER(C11276),MONTH(C11276),"")</f>
        <v/>
      </c>
      <c r="X11276" s="23" t="str">
        <f aca="false">IF(T11276="","",IF(T11276=0,"No discount",IF(T11276&lt;=0.2,"Low (1-20%)",IF(T11276&lt;=0.4,"Medium (21-40%)","High (&gt;40%)"))))</f>
        <v/>
      </c>
      <c r="Y11276" s="23" t="str">
        <f aca="false">IF(AND(ISNUMBER(C11276),ISNUMBER(D11276)),D11276-C11276,"")</f>
        <v/>
      </c>
      <c r="Z11276" s="23" t="str">
        <f aca="false">IF(B11276="","",IF(MATCH(B11276,$B$2:$B$12000,0)=ROW()-1,1,0))</f>
        <v/>
      </c>
    </row>
    <row r="11277" customFormat="false" ht="15" hidden="false" customHeight="false" outlineLevel="0" collapsed="false">
      <c r="V11277" s="23" t="str">
        <f aca="false">IF(ISNUMBER(C11277),YEAR(C11277),"")</f>
        <v/>
      </c>
      <c r="W11277" s="23" t="str">
        <f aca="false">IF(ISNUMBER(C11277),MONTH(C11277),"")</f>
        <v/>
      </c>
      <c r="X11277" s="23" t="str">
        <f aca="false">IF(T11277="","",IF(T11277=0,"No discount",IF(T11277&lt;=0.2,"Low (1-20%)",IF(T11277&lt;=0.4,"Medium (21-40%)","High (&gt;40%)"))))</f>
        <v/>
      </c>
      <c r="Y11277" s="23" t="str">
        <f aca="false">IF(AND(ISNUMBER(C11277),ISNUMBER(D11277)),D11277-C11277,"")</f>
        <v/>
      </c>
      <c r="Z11277" s="23" t="str">
        <f aca="false">IF(B11277="","",IF(MATCH(B11277,$B$2:$B$12000,0)=ROW()-1,1,0))</f>
        <v/>
      </c>
    </row>
    <row r="11278" customFormat="false" ht="15" hidden="false" customHeight="false" outlineLevel="0" collapsed="false">
      <c r="V11278" s="23" t="str">
        <f aca="false">IF(ISNUMBER(C11278),YEAR(C11278),"")</f>
        <v/>
      </c>
      <c r="W11278" s="23" t="str">
        <f aca="false">IF(ISNUMBER(C11278),MONTH(C11278),"")</f>
        <v/>
      </c>
      <c r="X11278" s="23" t="str">
        <f aca="false">IF(T11278="","",IF(T11278=0,"No discount",IF(T11278&lt;=0.2,"Low (1-20%)",IF(T11278&lt;=0.4,"Medium (21-40%)","High (&gt;40%)"))))</f>
        <v/>
      </c>
      <c r="Y11278" s="23" t="str">
        <f aca="false">IF(AND(ISNUMBER(C11278),ISNUMBER(D11278)),D11278-C11278,"")</f>
        <v/>
      </c>
      <c r="Z11278" s="23" t="str">
        <f aca="false">IF(B11278="","",IF(MATCH(B11278,$B$2:$B$12000,0)=ROW()-1,1,0))</f>
        <v/>
      </c>
    </row>
    <row r="11279" customFormat="false" ht="15" hidden="false" customHeight="false" outlineLevel="0" collapsed="false">
      <c r="V11279" s="23" t="str">
        <f aca="false">IF(ISNUMBER(C11279),YEAR(C11279),"")</f>
        <v/>
      </c>
      <c r="W11279" s="23" t="str">
        <f aca="false">IF(ISNUMBER(C11279),MONTH(C11279),"")</f>
        <v/>
      </c>
      <c r="X11279" s="23" t="str">
        <f aca="false">IF(T11279="","",IF(T11279=0,"No discount",IF(T11279&lt;=0.2,"Low (1-20%)",IF(T11279&lt;=0.4,"Medium (21-40%)","High (&gt;40%)"))))</f>
        <v/>
      </c>
      <c r="Y11279" s="23" t="str">
        <f aca="false">IF(AND(ISNUMBER(C11279),ISNUMBER(D11279)),D11279-C11279,"")</f>
        <v/>
      </c>
      <c r="Z11279" s="23" t="str">
        <f aca="false">IF(B11279="","",IF(MATCH(B11279,$B$2:$B$12000,0)=ROW()-1,1,0))</f>
        <v/>
      </c>
    </row>
    <row r="11280" customFormat="false" ht="15" hidden="false" customHeight="false" outlineLevel="0" collapsed="false">
      <c r="V11280" s="23" t="str">
        <f aca="false">IF(ISNUMBER(C11280),YEAR(C11280),"")</f>
        <v/>
      </c>
      <c r="W11280" s="23" t="str">
        <f aca="false">IF(ISNUMBER(C11280),MONTH(C11280),"")</f>
        <v/>
      </c>
      <c r="X11280" s="23" t="str">
        <f aca="false">IF(T11280="","",IF(T11280=0,"No discount",IF(T11280&lt;=0.2,"Low (1-20%)",IF(T11280&lt;=0.4,"Medium (21-40%)","High (&gt;40%)"))))</f>
        <v/>
      </c>
      <c r="Y11280" s="23" t="str">
        <f aca="false">IF(AND(ISNUMBER(C11280),ISNUMBER(D11280)),D11280-C11280,"")</f>
        <v/>
      </c>
      <c r="Z11280" s="23" t="str">
        <f aca="false">IF(B11280="","",IF(MATCH(B11280,$B$2:$B$12000,0)=ROW()-1,1,0))</f>
        <v/>
      </c>
    </row>
    <row r="11281" customFormat="false" ht="15" hidden="false" customHeight="false" outlineLevel="0" collapsed="false">
      <c r="V11281" s="23" t="str">
        <f aca="false">IF(ISNUMBER(C11281),YEAR(C11281),"")</f>
        <v/>
      </c>
      <c r="W11281" s="23" t="str">
        <f aca="false">IF(ISNUMBER(C11281),MONTH(C11281),"")</f>
        <v/>
      </c>
      <c r="X11281" s="23" t="str">
        <f aca="false">IF(T11281="","",IF(T11281=0,"No discount",IF(T11281&lt;=0.2,"Low (1-20%)",IF(T11281&lt;=0.4,"Medium (21-40%)","High (&gt;40%)"))))</f>
        <v/>
      </c>
      <c r="Y11281" s="23" t="str">
        <f aca="false">IF(AND(ISNUMBER(C11281),ISNUMBER(D11281)),D11281-C11281,"")</f>
        <v/>
      </c>
      <c r="Z11281" s="23" t="str">
        <f aca="false">IF(B11281="","",IF(MATCH(B11281,$B$2:$B$12000,0)=ROW()-1,1,0))</f>
        <v/>
      </c>
    </row>
    <row r="11282" customFormat="false" ht="15" hidden="false" customHeight="false" outlineLevel="0" collapsed="false">
      <c r="V11282" s="23" t="str">
        <f aca="false">IF(ISNUMBER(C11282),YEAR(C11282),"")</f>
        <v/>
      </c>
      <c r="W11282" s="23" t="str">
        <f aca="false">IF(ISNUMBER(C11282),MONTH(C11282),"")</f>
        <v/>
      </c>
      <c r="X11282" s="23" t="str">
        <f aca="false">IF(T11282="","",IF(T11282=0,"No discount",IF(T11282&lt;=0.2,"Low (1-20%)",IF(T11282&lt;=0.4,"Medium (21-40%)","High (&gt;40%)"))))</f>
        <v/>
      </c>
      <c r="Y11282" s="23" t="str">
        <f aca="false">IF(AND(ISNUMBER(C11282),ISNUMBER(D11282)),D11282-C11282,"")</f>
        <v/>
      </c>
      <c r="Z11282" s="23" t="str">
        <f aca="false">IF(B11282="","",IF(MATCH(B11282,$B$2:$B$12000,0)=ROW()-1,1,0))</f>
        <v/>
      </c>
    </row>
    <row r="11283" customFormat="false" ht="15" hidden="false" customHeight="false" outlineLevel="0" collapsed="false">
      <c r="V11283" s="23" t="str">
        <f aca="false">IF(ISNUMBER(C11283),YEAR(C11283),"")</f>
        <v/>
      </c>
      <c r="W11283" s="23" t="str">
        <f aca="false">IF(ISNUMBER(C11283),MONTH(C11283),"")</f>
        <v/>
      </c>
      <c r="X11283" s="23" t="str">
        <f aca="false">IF(T11283="","",IF(T11283=0,"No discount",IF(T11283&lt;=0.2,"Low (1-20%)",IF(T11283&lt;=0.4,"Medium (21-40%)","High (&gt;40%)"))))</f>
        <v/>
      </c>
      <c r="Y11283" s="23" t="str">
        <f aca="false">IF(AND(ISNUMBER(C11283),ISNUMBER(D11283)),D11283-C11283,"")</f>
        <v/>
      </c>
      <c r="Z11283" s="23" t="str">
        <f aca="false">IF(B11283="","",IF(MATCH(B11283,$B$2:$B$12000,0)=ROW()-1,1,0))</f>
        <v/>
      </c>
    </row>
    <row r="11284" customFormat="false" ht="15" hidden="false" customHeight="false" outlineLevel="0" collapsed="false">
      <c r="V11284" s="23" t="str">
        <f aca="false">IF(ISNUMBER(C11284),YEAR(C11284),"")</f>
        <v/>
      </c>
      <c r="W11284" s="23" t="str">
        <f aca="false">IF(ISNUMBER(C11284),MONTH(C11284),"")</f>
        <v/>
      </c>
      <c r="X11284" s="23" t="str">
        <f aca="false">IF(T11284="","",IF(T11284=0,"No discount",IF(T11284&lt;=0.2,"Low (1-20%)",IF(T11284&lt;=0.4,"Medium (21-40%)","High (&gt;40%)"))))</f>
        <v/>
      </c>
      <c r="Y11284" s="23" t="str">
        <f aca="false">IF(AND(ISNUMBER(C11284),ISNUMBER(D11284)),D11284-C11284,"")</f>
        <v/>
      </c>
      <c r="Z11284" s="23" t="str">
        <f aca="false">IF(B11284="","",IF(MATCH(B11284,$B$2:$B$12000,0)=ROW()-1,1,0))</f>
        <v/>
      </c>
    </row>
    <row r="11285" customFormat="false" ht="15" hidden="false" customHeight="false" outlineLevel="0" collapsed="false">
      <c r="V11285" s="23" t="str">
        <f aca="false">IF(ISNUMBER(C11285),YEAR(C11285),"")</f>
        <v/>
      </c>
      <c r="W11285" s="23" t="str">
        <f aca="false">IF(ISNUMBER(C11285),MONTH(C11285),"")</f>
        <v/>
      </c>
      <c r="X11285" s="23" t="str">
        <f aca="false">IF(T11285="","",IF(T11285=0,"No discount",IF(T11285&lt;=0.2,"Low (1-20%)",IF(T11285&lt;=0.4,"Medium (21-40%)","High (&gt;40%)"))))</f>
        <v/>
      </c>
      <c r="Y11285" s="23" t="str">
        <f aca="false">IF(AND(ISNUMBER(C11285),ISNUMBER(D11285)),D11285-C11285,"")</f>
        <v/>
      </c>
      <c r="Z11285" s="23" t="str">
        <f aca="false">IF(B11285="","",IF(MATCH(B11285,$B$2:$B$12000,0)=ROW()-1,1,0))</f>
        <v/>
      </c>
    </row>
    <row r="11286" customFormat="false" ht="15" hidden="false" customHeight="false" outlineLevel="0" collapsed="false">
      <c r="V11286" s="23" t="str">
        <f aca="false">IF(ISNUMBER(C11286),YEAR(C11286),"")</f>
        <v/>
      </c>
      <c r="W11286" s="23" t="str">
        <f aca="false">IF(ISNUMBER(C11286),MONTH(C11286),"")</f>
        <v/>
      </c>
      <c r="X11286" s="23" t="str">
        <f aca="false">IF(T11286="","",IF(T11286=0,"No discount",IF(T11286&lt;=0.2,"Low (1-20%)",IF(T11286&lt;=0.4,"Medium (21-40%)","High (&gt;40%)"))))</f>
        <v/>
      </c>
      <c r="Y11286" s="23" t="str">
        <f aca="false">IF(AND(ISNUMBER(C11286),ISNUMBER(D11286)),D11286-C11286,"")</f>
        <v/>
      </c>
      <c r="Z11286" s="23" t="str">
        <f aca="false">IF(B11286="","",IF(MATCH(B11286,$B$2:$B$12000,0)=ROW()-1,1,0))</f>
        <v/>
      </c>
    </row>
    <row r="11287" customFormat="false" ht="15" hidden="false" customHeight="false" outlineLevel="0" collapsed="false">
      <c r="V11287" s="23" t="str">
        <f aca="false">IF(ISNUMBER(C11287),YEAR(C11287),"")</f>
        <v/>
      </c>
      <c r="W11287" s="23" t="str">
        <f aca="false">IF(ISNUMBER(C11287),MONTH(C11287),"")</f>
        <v/>
      </c>
      <c r="X11287" s="23" t="str">
        <f aca="false">IF(T11287="","",IF(T11287=0,"No discount",IF(T11287&lt;=0.2,"Low (1-20%)",IF(T11287&lt;=0.4,"Medium (21-40%)","High (&gt;40%)"))))</f>
        <v/>
      </c>
      <c r="Y11287" s="23" t="str">
        <f aca="false">IF(AND(ISNUMBER(C11287),ISNUMBER(D11287)),D11287-C11287,"")</f>
        <v/>
      </c>
      <c r="Z11287" s="23" t="str">
        <f aca="false">IF(B11287="","",IF(MATCH(B11287,$B$2:$B$12000,0)=ROW()-1,1,0))</f>
        <v/>
      </c>
    </row>
    <row r="11288" customFormat="false" ht="15" hidden="false" customHeight="false" outlineLevel="0" collapsed="false">
      <c r="V11288" s="23" t="str">
        <f aca="false">IF(ISNUMBER(C11288),YEAR(C11288),"")</f>
        <v/>
      </c>
      <c r="W11288" s="23" t="str">
        <f aca="false">IF(ISNUMBER(C11288),MONTH(C11288),"")</f>
        <v/>
      </c>
      <c r="X11288" s="23" t="str">
        <f aca="false">IF(T11288="","",IF(T11288=0,"No discount",IF(T11288&lt;=0.2,"Low (1-20%)",IF(T11288&lt;=0.4,"Medium (21-40%)","High (&gt;40%)"))))</f>
        <v/>
      </c>
      <c r="Y11288" s="23" t="str">
        <f aca="false">IF(AND(ISNUMBER(C11288),ISNUMBER(D11288)),D11288-C11288,"")</f>
        <v/>
      </c>
      <c r="Z11288" s="23" t="str">
        <f aca="false">IF(B11288="","",IF(MATCH(B11288,$B$2:$B$12000,0)=ROW()-1,1,0))</f>
        <v/>
      </c>
    </row>
    <row r="11289" customFormat="false" ht="15" hidden="false" customHeight="false" outlineLevel="0" collapsed="false">
      <c r="V11289" s="23" t="str">
        <f aca="false">IF(ISNUMBER(C11289),YEAR(C11289),"")</f>
        <v/>
      </c>
      <c r="W11289" s="23" t="str">
        <f aca="false">IF(ISNUMBER(C11289),MONTH(C11289),"")</f>
        <v/>
      </c>
      <c r="X11289" s="23" t="str">
        <f aca="false">IF(T11289="","",IF(T11289=0,"No discount",IF(T11289&lt;=0.2,"Low (1-20%)",IF(T11289&lt;=0.4,"Medium (21-40%)","High (&gt;40%)"))))</f>
        <v/>
      </c>
      <c r="Y11289" s="23" t="str">
        <f aca="false">IF(AND(ISNUMBER(C11289),ISNUMBER(D11289)),D11289-C11289,"")</f>
        <v/>
      </c>
      <c r="Z11289" s="23" t="str">
        <f aca="false">IF(B11289="","",IF(MATCH(B11289,$B$2:$B$12000,0)=ROW()-1,1,0))</f>
        <v/>
      </c>
    </row>
    <row r="11290" customFormat="false" ht="15" hidden="false" customHeight="false" outlineLevel="0" collapsed="false">
      <c r="V11290" s="23" t="str">
        <f aca="false">IF(ISNUMBER(C11290),YEAR(C11290),"")</f>
        <v/>
      </c>
      <c r="W11290" s="23" t="str">
        <f aca="false">IF(ISNUMBER(C11290),MONTH(C11290),"")</f>
        <v/>
      </c>
      <c r="X11290" s="23" t="str">
        <f aca="false">IF(T11290="","",IF(T11290=0,"No discount",IF(T11290&lt;=0.2,"Low (1-20%)",IF(T11290&lt;=0.4,"Medium (21-40%)","High (&gt;40%)"))))</f>
        <v/>
      </c>
      <c r="Y11290" s="23" t="str">
        <f aca="false">IF(AND(ISNUMBER(C11290),ISNUMBER(D11290)),D11290-C11290,"")</f>
        <v/>
      </c>
      <c r="Z11290" s="23" t="str">
        <f aca="false">IF(B11290="","",IF(MATCH(B11290,$B$2:$B$12000,0)=ROW()-1,1,0))</f>
        <v/>
      </c>
    </row>
    <row r="11291" customFormat="false" ht="15" hidden="false" customHeight="false" outlineLevel="0" collapsed="false">
      <c r="V11291" s="23" t="str">
        <f aca="false">IF(ISNUMBER(C11291),YEAR(C11291),"")</f>
        <v/>
      </c>
      <c r="W11291" s="23" t="str">
        <f aca="false">IF(ISNUMBER(C11291),MONTH(C11291),"")</f>
        <v/>
      </c>
      <c r="X11291" s="23" t="str">
        <f aca="false">IF(T11291="","",IF(T11291=0,"No discount",IF(T11291&lt;=0.2,"Low (1-20%)",IF(T11291&lt;=0.4,"Medium (21-40%)","High (&gt;40%)"))))</f>
        <v/>
      </c>
      <c r="Y11291" s="23" t="str">
        <f aca="false">IF(AND(ISNUMBER(C11291),ISNUMBER(D11291)),D11291-C11291,"")</f>
        <v/>
      </c>
      <c r="Z11291" s="23" t="str">
        <f aca="false">IF(B11291="","",IF(MATCH(B11291,$B$2:$B$12000,0)=ROW()-1,1,0))</f>
        <v/>
      </c>
    </row>
    <row r="11292" customFormat="false" ht="15" hidden="false" customHeight="false" outlineLevel="0" collapsed="false">
      <c r="V11292" s="23" t="str">
        <f aca="false">IF(ISNUMBER(C11292),YEAR(C11292),"")</f>
        <v/>
      </c>
      <c r="W11292" s="23" t="str">
        <f aca="false">IF(ISNUMBER(C11292),MONTH(C11292),"")</f>
        <v/>
      </c>
      <c r="X11292" s="23" t="str">
        <f aca="false">IF(T11292="","",IF(T11292=0,"No discount",IF(T11292&lt;=0.2,"Low (1-20%)",IF(T11292&lt;=0.4,"Medium (21-40%)","High (&gt;40%)"))))</f>
        <v/>
      </c>
      <c r="Y11292" s="23" t="str">
        <f aca="false">IF(AND(ISNUMBER(C11292),ISNUMBER(D11292)),D11292-C11292,"")</f>
        <v/>
      </c>
      <c r="Z11292" s="23" t="str">
        <f aca="false">IF(B11292="","",IF(MATCH(B11292,$B$2:$B$12000,0)=ROW()-1,1,0))</f>
        <v/>
      </c>
    </row>
    <row r="11293" customFormat="false" ht="15" hidden="false" customHeight="false" outlineLevel="0" collapsed="false">
      <c r="V11293" s="23" t="str">
        <f aca="false">IF(ISNUMBER(C11293),YEAR(C11293),"")</f>
        <v/>
      </c>
      <c r="W11293" s="23" t="str">
        <f aca="false">IF(ISNUMBER(C11293),MONTH(C11293),"")</f>
        <v/>
      </c>
      <c r="X11293" s="23" t="str">
        <f aca="false">IF(T11293="","",IF(T11293=0,"No discount",IF(T11293&lt;=0.2,"Low (1-20%)",IF(T11293&lt;=0.4,"Medium (21-40%)","High (&gt;40%)"))))</f>
        <v/>
      </c>
      <c r="Y11293" s="23" t="str">
        <f aca="false">IF(AND(ISNUMBER(C11293),ISNUMBER(D11293)),D11293-C11293,"")</f>
        <v/>
      </c>
      <c r="Z11293" s="23" t="str">
        <f aca="false">IF(B11293="","",IF(MATCH(B11293,$B$2:$B$12000,0)=ROW()-1,1,0))</f>
        <v/>
      </c>
    </row>
    <row r="11294" customFormat="false" ht="15" hidden="false" customHeight="false" outlineLevel="0" collapsed="false">
      <c r="V11294" s="23" t="str">
        <f aca="false">IF(ISNUMBER(C11294),YEAR(C11294),"")</f>
        <v/>
      </c>
      <c r="W11294" s="23" t="str">
        <f aca="false">IF(ISNUMBER(C11294),MONTH(C11294),"")</f>
        <v/>
      </c>
      <c r="X11294" s="23" t="str">
        <f aca="false">IF(T11294="","",IF(T11294=0,"No discount",IF(T11294&lt;=0.2,"Low (1-20%)",IF(T11294&lt;=0.4,"Medium (21-40%)","High (&gt;40%)"))))</f>
        <v/>
      </c>
      <c r="Y11294" s="23" t="str">
        <f aca="false">IF(AND(ISNUMBER(C11294),ISNUMBER(D11294)),D11294-C11294,"")</f>
        <v/>
      </c>
      <c r="Z11294" s="23" t="str">
        <f aca="false">IF(B11294="","",IF(MATCH(B11294,$B$2:$B$12000,0)=ROW()-1,1,0))</f>
        <v/>
      </c>
    </row>
    <row r="11295" customFormat="false" ht="15" hidden="false" customHeight="false" outlineLevel="0" collapsed="false">
      <c r="V11295" s="23" t="str">
        <f aca="false">IF(ISNUMBER(C11295),YEAR(C11295),"")</f>
        <v/>
      </c>
      <c r="W11295" s="23" t="str">
        <f aca="false">IF(ISNUMBER(C11295),MONTH(C11295),"")</f>
        <v/>
      </c>
      <c r="X11295" s="23" t="str">
        <f aca="false">IF(T11295="","",IF(T11295=0,"No discount",IF(T11295&lt;=0.2,"Low (1-20%)",IF(T11295&lt;=0.4,"Medium (21-40%)","High (&gt;40%)"))))</f>
        <v/>
      </c>
      <c r="Y11295" s="23" t="str">
        <f aca="false">IF(AND(ISNUMBER(C11295),ISNUMBER(D11295)),D11295-C11295,"")</f>
        <v/>
      </c>
      <c r="Z11295" s="23" t="str">
        <f aca="false">IF(B11295="","",IF(MATCH(B11295,$B$2:$B$12000,0)=ROW()-1,1,0))</f>
        <v/>
      </c>
    </row>
    <row r="11296" customFormat="false" ht="15" hidden="false" customHeight="false" outlineLevel="0" collapsed="false">
      <c r="V11296" s="23" t="str">
        <f aca="false">IF(ISNUMBER(C11296),YEAR(C11296),"")</f>
        <v/>
      </c>
      <c r="W11296" s="23" t="str">
        <f aca="false">IF(ISNUMBER(C11296),MONTH(C11296),"")</f>
        <v/>
      </c>
      <c r="X11296" s="23" t="str">
        <f aca="false">IF(T11296="","",IF(T11296=0,"No discount",IF(T11296&lt;=0.2,"Low (1-20%)",IF(T11296&lt;=0.4,"Medium (21-40%)","High (&gt;40%)"))))</f>
        <v/>
      </c>
      <c r="Y11296" s="23" t="str">
        <f aca="false">IF(AND(ISNUMBER(C11296),ISNUMBER(D11296)),D11296-C11296,"")</f>
        <v/>
      </c>
      <c r="Z11296" s="23" t="str">
        <f aca="false">IF(B11296="","",IF(MATCH(B11296,$B$2:$B$12000,0)=ROW()-1,1,0))</f>
        <v/>
      </c>
    </row>
    <row r="11297" customFormat="false" ht="15" hidden="false" customHeight="false" outlineLevel="0" collapsed="false">
      <c r="V11297" s="23" t="str">
        <f aca="false">IF(ISNUMBER(C11297),YEAR(C11297),"")</f>
        <v/>
      </c>
      <c r="W11297" s="23" t="str">
        <f aca="false">IF(ISNUMBER(C11297),MONTH(C11297),"")</f>
        <v/>
      </c>
      <c r="X11297" s="23" t="str">
        <f aca="false">IF(T11297="","",IF(T11297=0,"No discount",IF(T11297&lt;=0.2,"Low (1-20%)",IF(T11297&lt;=0.4,"Medium (21-40%)","High (&gt;40%)"))))</f>
        <v/>
      </c>
      <c r="Y11297" s="23" t="str">
        <f aca="false">IF(AND(ISNUMBER(C11297),ISNUMBER(D11297)),D11297-C11297,"")</f>
        <v/>
      </c>
      <c r="Z11297" s="23" t="str">
        <f aca="false">IF(B11297="","",IF(MATCH(B11297,$B$2:$B$12000,0)=ROW()-1,1,0))</f>
        <v/>
      </c>
    </row>
    <row r="11298" customFormat="false" ht="15" hidden="false" customHeight="false" outlineLevel="0" collapsed="false">
      <c r="V11298" s="23" t="str">
        <f aca="false">IF(ISNUMBER(C11298),YEAR(C11298),"")</f>
        <v/>
      </c>
      <c r="W11298" s="23" t="str">
        <f aca="false">IF(ISNUMBER(C11298),MONTH(C11298),"")</f>
        <v/>
      </c>
      <c r="X11298" s="23" t="str">
        <f aca="false">IF(T11298="","",IF(T11298=0,"No discount",IF(T11298&lt;=0.2,"Low (1-20%)",IF(T11298&lt;=0.4,"Medium (21-40%)","High (&gt;40%)"))))</f>
        <v/>
      </c>
      <c r="Y11298" s="23" t="str">
        <f aca="false">IF(AND(ISNUMBER(C11298),ISNUMBER(D11298)),D11298-C11298,"")</f>
        <v/>
      </c>
      <c r="Z11298" s="23" t="str">
        <f aca="false">IF(B11298="","",IF(MATCH(B11298,$B$2:$B$12000,0)=ROW()-1,1,0))</f>
        <v/>
      </c>
    </row>
    <row r="11299" customFormat="false" ht="15" hidden="false" customHeight="false" outlineLevel="0" collapsed="false">
      <c r="V11299" s="23" t="str">
        <f aca="false">IF(ISNUMBER(C11299),YEAR(C11299),"")</f>
        <v/>
      </c>
      <c r="W11299" s="23" t="str">
        <f aca="false">IF(ISNUMBER(C11299),MONTH(C11299),"")</f>
        <v/>
      </c>
      <c r="X11299" s="23" t="str">
        <f aca="false">IF(T11299="","",IF(T11299=0,"No discount",IF(T11299&lt;=0.2,"Low (1-20%)",IF(T11299&lt;=0.4,"Medium (21-40%)","High (&gt;40%)"))))</f>
        <v/>
      </c>
      <c r="Y11299" s="23" t="str">
        <f aca="false">IF(AND(ISNUMBER(C11299),ISNUMBER(D11299)),D11299-C11299,"")</f>
        <v/>
      </c>
      <c r="Z11299" s="23" t="str">
        <f aca="false">IF(B11299="","",IF(MATCH(B11299,$B$2:$B$12000,0)=ROW()-1,1,0))</f>
        <v/>
      </c>
    </row>
    <row r="11300" customFormat="false" ht="15" hidden="false" customHeight="false" outlineLevel="0" collapsed="false">
      <c r="V11300" s="23" t="str">
        <f aca="false">IF(ISNUMBER(C11300),YEAR(C11300),"")</f>
        <v/>
      </c>
      <c r="W11300" s="23" t="str">
        <f aca="false">IF(ISNUMBER(C11300),MONTH(C11300),"")</f>
        <v/>
      </c>
      <c r="X11300" s="23" t="str">
        <f aca="false">IF(T11300="","",IF(T11300=0,"No discount",IF(T11300&lt;=0.2,"Low (1-20%)",IF(T11300&lt;=0.4,"Medium (21-40%)","High (&gt;40%)"))))</f>
        <v/>
      </c>
      <c r="Y11300" s="23" t="str">
        <f aca="false">IF(AND(ISNUMBER(C11300),ISNUMBER(D11300)),D11300-C11300,"")</f>
        <v/>
      </c>
      <c r="Z11300" s="23" t="str">
        <f aca="false">IF(B11300="","",IF(MATCH(B11300,$B$2:$B$12000,0)=ROW()-1,1,0))</f>
        <v/>
      </c>
    </row>
    <row r="11301" customFormat="false" ht="15" hidden="false" customHeight="false" outlineLevel="0" collapsed="false">
      <c r="V11301" s="23" t="str">
        <f aca="false">IF(ISNUMBER(C11301),YEAR(C11301),"")</f>
        <v/>
      </c>
      <c r="W11301" s="23" t="str">
        <f aca="false">IF(ISNUMBER(C11301),MONTH(C11301),"")</f>
        <v/>
      </c>
      <c r="X11301" s="23" t="str">
        <f aca="false">IF(T11301="","",IF(T11301=0,"No discount",IF(T11301&lt;=0.2,"Low (1-20%)",IF(T11301&lt;=0.4,"Medium (21-40%)","High (&gt;40%)"))))</f>
        <v/>
      </c>
      <c r="Y11301" s="23" t="str">
        <f aca="false">IF(AND(ISNUMBER(C11301),ISNUMBER(D11301)),D11301-C11301,"")</f>
        <v/>
      </c>
      <c r="Z11301" s="23" t="str">
        <f aca="false">IF(B11301="","",IF(MATCH(B11301,$B$2:$B$12000,0)=ROW()-1,1,0))</f>
        <v/>
      </c>
    </row>
    <row r="11302" customFormat="false" ht="15" hidden="false" customHeight="false" outlineLevel="0" collapsed="false">
      <c r="V11302" s="23" t="str">
        <f aca="false">IF(ISNUMBER(C11302),YEAR(C11302),"")</f>
        <v/>
      </c>
      <c r="W11302" s="23" t="str">
        <f aca="false">IF(ISNUMBER(C11302),MONTH(C11302),"")</f>
        <v/>
      </c>
      <c r="X11302" s="23" t="str">
        <f aca="false">IF(T11302="","",IF(T11302=0,"No discount",IF(T11302&lt;=0.2,"Low (1-20%)",IF(T11302&lt;=0.4,"Medium (21-40%)","High (&gt;40%)"))))</f>
        <v/>
      </c>
      <c r="Y11302" s="23" t="str">
        <f aca="false">IF(AND(ISNUMBER(C11302),ISNUMBER(D11302)),D11302-C11302,"")</f>
        <v/>
      </c>
      <c r="Z11302" s="23" t="str">
        <f aca="false">IF(B11302="","",IF(MATCH(B11302,$B$2:$B$12000,0)=ROW()-1,1,0))</f>
        <v/>
      </c>
    </row>
    <row r="11303" customFormat="false" ht="15" hidden="false" customHeight="false" outlineLevel="0" collapsed="false">
      <c r="V11303" s="23" t="str">
        <f aca="false">IF(ISNUMBER(C11303),YEAR(C11303),"")</f>
        <v/>
      </c>
      <c r="W11303" s="23" t="str">
        <f aca="false">IF(ISNUMBER(C11303),MONTH(C11303),"")</f>
        <v/>
      </c>
      <c r="X11303" s="23" t="str">
        <f aca="false">IF(T11303="","",IF(T11303=0,"No discount",IF(T11303&lt;=0.2,"Low (1-20%)",IF(T11303&lt;=0.4,"Medium (21-40%)","High (&gt;40%)"))))</f>
        <v/>
      </c>
      <c r="Y11303" s="23" t="str">
        <f aca="false">IF(AND(ISNUMBER(C11303),ISNUMBER(D11303)),D11303-C11303,"")</f>
        <v/>
      </c>
      <c r="Z11303" s="23" t="str">
        <f aca="false">IF(B11303="","",IF(MATCH(B11303,$B$2:$B$12000,0)=ROW()-1,1,0))</f>
        <v/>
      </c>
    </row>
    <row r="11304" customFormat="false" ht="15" hidden="false" customHeight="false" outlineLevel="0" collapsed="false">
      <c r="V11304" s="23" t="str">
        <f aca="false">IF(ISNUMBER(C11304),YEAR(C11304),"")</f>
        <v/>
      </c>
      <c r="W11304" s="23" t="str">
        <f aca="false">IF(ISNUMBER(C11304),MONTH(C11304),"")</f>
        <v/>
      </c>
      <c r="X11304" s="23" t="str">
        <f aca="false">IF(T11304="","",IF(T11304=0,"No discount",IF(T11304&lt;=0.2,"Low (1-20%)",IF(T11304&lt;=0.4,"Medium (21-40%)","High (&gt;40%)"))))</f>
        <v/>
      </c>
      <c r="Y11304" s="23" t="str">
        <f aca="false">IF(AND(ISNUMBER(C11304),ISNUMBER(D11304)),D11304-C11304,"")</f>
        <v/>
      </c>
      <c r="Z11304" s="23" t="str">
        <f aca="false">IF(B11304="","",IF(MATCH(B11304,$B$2:$B$12000,0)=ROW()-1,1,0))</f>
        <v/>
      </c>
    </row>
    <row r="11305" customFormat="false" ht="15" hidden="false" customHeight="false" outlineLevel="0" collapsed="false">
      <c r="V11305" s="23" t="str">
        <f aca="false">IF(ISNUMBER(C11305),YEAR(C11305),"")</f>
        <v/>
      </c>
      <c r="W11305" s="23" t="str">
        <f aca="false">IF(ISNUMBER(C11305),MONTH(C11305),"")</f>
        <v/>
      </c>
      <c r="X11305" s="23" t="str">
        <f aca="false">IF(T11305="","",IF(T11305=0,"No discount",IF(T11305&lt;=0.2,"Low (1-20%)",IF(T11305&lt;=0.4,"Medium (21-40%)","High (&gt;40%)"))))</f>
        <v/>
      </c>
      <c r="Y11305" s="23" t="str">
        <f aca="false">IF(AND(ISNUMBER(C11305),ISNUMBER(D11305)),D11305-C11305,"")</f>
        <v/>
      </c>
      <c r="Z11305" s="23" t="str">
        <f aca="false">IF(B11305="","",IF(MATCH(B11305,$B$2:$B$12000,0)=ROW()-1,1,0))</f>
        <v/>
      </c>
    </row>
    <row r="11306" customFormat="false" ht="15" hidden="false" customHeight="false" outlineLevel="0" collapsed="false">
      <c r="V11306" s="23" t="str">
        <f aca="false">IF(ISNUMBER(C11306),YEAR(C11306),"")</f>
        <v/>
      </c>
      <c r="W11306" s="23" t="str">
        <f aca="false">IF(ISNUMBER(C11306),MONTH(C11306),"")</f>
        <v/>
      </c>
      <c r="X11306" s="23" t="str">
        <f aca="false">IF(T11306="","",IF(T11306=0,"No discount",IF(T11306&lt;=0.2,"Low (1-20%)",IF(T11306&lt;=0.4,"Medium (21-40%)","High (&gt;40%)"))))</f>
        <v/>
      </c>
      <c r="Y11306" s="23" t="str">
        <f aca="false">IF(AND(ISNUMBER(C11306),ISNUMBER(D11306)),D11306-C11306,"")</f>
        <v/>
      </c>
      <c r="Z11306" s="23" t="str">
        <f aca="false">IF(B11306="","",IF(MATCH(B11306,$B$2:$B$12000,0)=ROW()-1,1,0))</f>
        <v/>
      </c>
    </row>
    <row r="11307" customFormat="false" ht="15" hidden="false" customHeight="false" outlineLevel="0" collapsed="false">
      <c r="V11307" s="23" t="str">
        <f aca="false">IF(ISNUMBER(C11307),YEAR(C11307),"")</f>
        <v/>
      </c>
      <c r="W11307" s="23" t="str">
        <f aca="false">IF(ISNUMBER(C11307),MONTH(C11307),"")</f>
        <v/>
      </c>
      <c r="X11307" s="23" t="str">
        <f aca="false">IF(T11307="","",IF(T11307=0,"No discount",IF(T11307&lt;=0.2,"Low (1-20%)",IF(T11307&lt;=0.4,"Medium (21-40%)","High (&gt;40%)"))))</f>
        <v/>
      </c>
      <c r="Y11307" s="23" t="str">
        <f aca="false">IF(AND(ISNUMBER(C11307),ISNUMBER(D11307)),D11307-C11307,"")</f>
        <v/>
      </c>
      <c r="Z11307" s="23" t="str">
        <f aca="false">IF(B11307="","",IF(MATCH(B11307,$B$2:$B$12000,0)=ROW()-1,1,0))</f>
        <v/>
      </c>
    </row>
    <row r="11308" customFormat="false" ht="15" hidden="false" customHeight="false" outlineLevel="0" collapsed="false">
      <c r="V11308" s="23" t="str">
        <f aca="false">IF(ISNUMBER(C11308),YEAR(C11308),"")</f>
        <v/>
      </c>
      <c r="W11308" s="23" t="str">
        <f aca="false">IF(ISNUMBER(C11308),MONTH(C11308),"")</f>
        <v/>
      </c>
      <c r="X11308" s="23" t="str">
        <f aca="false">IF(T11308="","",IF(T11308=0,"No discount",IF(T11308&lt;=0.2,"Low (1-20%)",IF(T11308&lt;=0.4,"Medium (21-40%)","High (&gt;40%)"))))</f>
        <v/>
      </c>
      <c r="Y11308" s="23" t="str">
        <f aca="false">IF(AND(ISNUMBER(C11308),ISNUMBER(D11308)),D11308-C11308,"")</f>
        <v/>
      </c>
      <c r="Z11308" s="23" t="str">
        <f aca="false">IF(B11308="","",IF(MATCH(B11308,$B$2:$B$12000,0)=ROW()-1,1,0))</f>
        <v/>
      </c>
    </row>
    <row r="11309" customFormat="false" ht="15" hidden="false" customHeight="false" outlineLevel="0" collapsed="false">
      <c r="V11309" s="23" t="str">
        <f aca="false">IF(ISNUMBER(C11309),YEAR(C11309),"")</f>
        <v/>
      </c>
      <c r="W11309" s="23" t="str">
        <f aca="false">IF(ISNUMBER(C11309),MONTH(C11309),"")</f>
        <v/>
      </c>
      <c r="X11309" s="23" t="str">
        <f aca="false">IF(T11309="","",IF(T11309=0,"No discount",IF(T11309&lt;=0.2,"Low (1-20%)",IF(T11309&lt;=0.4,"Medium (21-40%)","High (&gt;40%)"))))</f>
        <v/>
      </c>
      <c r="Y11309" s="23" t="str">
        <f aca="false">IF(AND(ISNUMBER(C11309),ISNUMBER(D11309)),D11309-C11309,"")</f>
        <v/>
      </c>
      <c r="Z11309" s="23" t="str">
        <f aca="false">IF(B11309="","",IF(MATCH(B11309,$B$2:$B$12000,0)=ROW()-1,1,0))</f>
        <v/>
      </c>
    </row>
    <row r="11310" customFormat="false" ht="15" hidden="false" customHeight="false" outlineLevel="0" collapsed="false">
      <c r="V11310" s="23" t="str">
        <f aca="false">IF(ISNUMBER(C11310),YEAR(C11310),"")</f>
        <v/>
      </c>
      <c r="W11310" s="23" t="str">
        <f aca="false">IF(ISNUMBER(C11310),MONTH(C11310),"")</f>
        <v/>
      </c>
      <c r="X11310" s="23" t="str">
        <f aca="false">IF(T11310="","",IF(T11310=0,"No discount",IF(T11310&lt;=0.2,"Low (1-20%)",IF(T11310&lt;=0.4,"Medium (21-40%)","High (&gt;40%)"))))</f>
        <v/>
      </c>
      <c r="Y11310" s="23" t="str">
        <f aca="false">IF(AND(ISNUMBER(C11310),ISNUMBER(D11310)),D11310-C11310,"")</f>
        <v/>
      </c>
      <c r="Z11310" s="23" t="str">
        <f aca="false">IF(B11310="","",IF(MATCH(B11310,$B$2:$B$12000,0)=ROW()-1,1,0))</f>
        <v/>
      </c>
    </row>
    <row r="11311" customFormat="false" ht="15" hidden="false" customHeight="false" outlineLevel="0" collapsed="false">
      <c r="V11311" s="23" t="str">
        <f aca="false">IF(ISNUMBER(C11311),YEAR(C11311),"")</f>
        <v/>
      </c>
      <c r="W11311" s="23" t="str">
        <f aca="false">IF(ISNUMBER(C11311),MONTH(C11311),"")</f>
        <v/>
      </c>
      <c r="X11311" s="23" t="str">
        <f aca="false">IF(T11311="","",IF(T11311=0,"No discount",IF(T11311&lt;=0.2,"Low (1-20%)",IF(T11311&lt;=0.4,"Medium (21-40%)","High (&gt;40%)"))))</f>
        <v/>
      </c>
      <c r="Y11311" s="23" t="str">
        <f aca="false">IF(AND(ISNUMBER(C11311),ISNUMBER(D11311)),D11311-C11311,"")</f>
        <v/>
      </c>
      <c r="Z11311" s="23" t="str">
        <f aca="false">IF(B11311="","",IF(MATCH(B11311,$B$2:$B$12000,0)=ROW()-1,1,0))</f>
        <v/>
      </c>
    </row>
    <row r="11312" customFormat="false" ht="15" hidden="false" customHeight="false" outlineLevel="0" collapsed="false">
      <c r="V11312" s="23" t="str">
        <f aca="false">IF(ISNUMBER(C11312),YEAR(C11312),"")</f>
        <v/>
      </c>
      <c r="W11312" s="23" t="str">
        <f aca="false">IF(ISNUMBER(C11312),MONTH(C11312),"")</f>
        <v/>
      </c>
      <c r="X11312" s="23" t="str">
        <f aca="false">IF(T11312="","",IF(T11312=0,"No discount",IF(T11312&lt;=0.2,"Low (1-20%)",IF(T11312&lt;=0.4,"Medium (21-40%)","High (&gt;40%)"))))</f>
        <v/>
      </c>
      <c r="Y11312" s="23" t="str">
        <f aca="false">IF(AND(ISNUMBER(C11312),ISNUMBER(D11312)),D11312-C11312,"")</f>
        <v/>
      </c>
      <c r="Z11312" s="23" t="str">
        <f aca="false">IF(B11312="","",IF(MATCH(B11312,$B$2:$B$12000,0)=ROW()-1,1,0))</f>
        <v/>
      </c>
    </row>
    <row r="11313" customFormat="false" ht="15" hidden="false" customHeight="false" outlineLevel="0" collapsed="false">
      <c r="V11313" s="23" t="str">
        <f aca="false">IF(ISNUMBER(C11313),YEAR(C11313),"")</f>
        <v/>
      </c>
      <c r="W11313" s="23" t="str">
        <f aca="false">IF(ISNUMBER(C11313),MONTH(C11313),"")</f>
        <v/>
      </c>
      <c r="X11313" s="23" t="str">
        <f aca="false">IF(T11313="","",IF(T11313=0,"No discount",IF(T11313&lt;=0.2,"Low (1-20%)",IF(T11313&lt;=0.4,"Medium (21-40%)","High (&gt;40%)"))))</f>
        <v/>
      </c>
      <c r="Y11313" s="23" t="str">
        <f aca="false">IF(AND(ISNUMBER(C11313),ISNUMBER(D11313)),D11313-C11313,"")</f>
        <v/>
      </c>
      <c r="Z11313" s="23" t="str">
        <f aca="false">IF(B11313="","",IF(MATCH(B11313,$B$2:$B$12000,0)=ROW()-1,1,0))</f>
        <v/>
      </c>
    </row>
    <row r="11314" customFormat="false" ht="15" hidden="false" customHeight="false" outlineLevel="0" collapsed="false">
      <c r="V11314" s="23" t="str">
        <f aca="false">IF(ISNUMBER(C11314),YEAR(C11314),"")</f>
        <v/>
      </c>
      <c r="W11314" s="23" t="str">
        <f aca="false">IF(ISNUMBER(C11314),MONTH(C11314),"")</f>
        <v/>
      </c>
      <c r="X11314" s="23" t="str">
        <f aca="false">IF(T11314="","",IF(T11314=0,"No discount",IF(T11314&lt;=0.2,"Low (1-20%)",IF(T11314&lt;=0.4,"Medium (21-40%)","High (&gt;40%)"))))</f>
        <v/>
      </c>
      <c r="Y11314" s="23" t="str">
        <f aca="false">IF(AND(ISNUMBER(C11314),ISNUMBER(D11314)),D11314-C11314,"")</f>
        <v/>
      </c>
      <c r="Z11314" s="23" t="str">
        <f aca="false">IF(B11314="","",IF(MATCH(B11314,$B$2:$B$12000,0)=ROW()-1,1,0))</f>
        <v/>
      </c>
    </row>
    <row r="11315" customFormat="false" ht="15" hidden="false" customHeight="false" outlineLevel="0" collapsed="false">
      <c r="V11315" s="23" t="str">
        <f aca="false">IF(ISNUMBER(C11315),YEAR(C11315),"")</f>
        <v/>
      </c>
      <c r="W11315" s="23" t="str">
        <f aca="false">IF(ISNUMBER(C11315),MONTH(C11315),"")</f>
        <v/>
      </c>
      <c r="X11315" s="23" t="str">
        <f aca="false">IF(T11315="","",IF(T11315=0,"No discount",IF(T11315&lt;=0.2,"Low (1-20%)",IF(T11315&lt;=0.4,"Medium (21-40%)","High (&gt;40%)"))))</f>
        <v/>
      </c>
      <c r="Y11315" s="23" t="str">
        <f aca="false">IF(AND(ISNUMBER(C11315),ISNUMBER(D11315)),D11315-C11315,"")</f>
        <v/>
      </c>
      <c r="Z11315" s="23" t="str">
        <f aca="false">IF(B11315="","",IF(MATCH(B11315,$B$2:$B$12000,0)=ROW()-1,1,0))</f>
        <v/>
      </c>
    </row>
    <row r="11316" customFormat="false" ht="15" hidden="false" customHeight="false" outlineLevel="0" collapsed="false">
      <c r="V11316" s="23" t="str">
        <f aca="false">IF(ISNUMBER(C11316),YEAR(C11316),"")</f>
        <v/>
      </c>
      <c r="W11316" s="23" t="str">
        <f aca="false">IF(ISNUMBER(C11316),MONTH(C11316),"")</f>
        <v/>
      </c>
      <c r="X11316" s="23" t="str">
        <f aca="false">IF(T11316="","",IF(T11316=0,"No discount",IF(T11316&lt;=0.2,"Low (1-20%)",IF(T11316&lt;=0.4,"Medium (21-40%)","High (&gt;40%)"))))</f>
        <v/>
      </c>
      <c r="Y11316" s="23" t="str">
        <f aca="false">IF(AND(ISNUMBER(C11316),ISNUMBER(D11316)),D11316-C11316,"")</f>
        <v/>
      </c>
      <c r="Z11316" s="23" t="str">
        <f aca="false">IF(B11316="","",IF(MATCH(B11316,$B$2:$B$12000,0)=ROW()-1,1,0))</f>
        <v/>
      </c>
    </row>
    <row r="11317" customFormat="false" ht="15" hidden="false" customHeight="false" outlineLevel="0" collapsed="false">
      <c r="V11317" s="23" t="str">
        <f aca="false">IF(ISNUMBER(C11317),YEAR(C11317),"")</f>
        <v/>
      </c>
      <c r="W11317" s="23" t="str">
        <f aca="false">IF(ISNUMBER(C11317),MONTH(C11317),"")</f>
        <v/>
      </c>
      <c r="X11317" s="23" t="str">
        <f aca="false">IF(T11317="","",IF(T11317=0,"No discount",IF(T11317&lt;=0.2,"Low (1-20%)",IF(T11317&lt;=0.4,"Medium (21-40%)","High (&gt;40%)"))))</f>
        <v/>
      </c>
      <c r="Y11317" s="23" t="str">
        <f aca="false">IF(AND(ISNUMBER(C11317),ISNUMBER(D11317)),D11317-C11317,"")</f>
        <v/>
      </c>
      <c r="Z11317" s="23" t="str">
        <f aca="false">IF(B11317="","",IF(MATCH(B11317,$B$2:$B$12000,0)=ROW()-1,1,0))</f>
        <v/>
      </c>
    </row>
    <row r="11318" customFormat="false" ht="15" hidden="false" customHeight="false" outlineLevel="0" collapsed="false">
      <c r="V11318" s="23" t="str">
        <f aca="false">IF(ISNUMBER(C11318),YEAR(C11318),"")</f>
        <v/>
      </c>
      <c r="W11318" s="23" t="str">
        <f aca="false">IF(ISNUMBER(C11318),MONTH(C11318),"")</f>
        <v/>
      </c>
      <c r="X11318" s="23" t="str">
        <f aca="false">IF(T11318="","",IF(T11318=0,"No discount",IF(T11318&lt;=0.2,"Low (1-20%)",IF(T11318&lt;=0.4,"Medium (21-40%)","High (&gt;40%)"))))</f>
        <v/>
      </c>
      <c r="Y11318" s="23" t="str">
        <f aca="false">IF(AND(ISNUMBER(C11318),ISNUMBER(D11318)),D11318-C11318,"")</f>
        <v/>
      </c>
      <c r="Z11318" s="23" t="str">
        <f aca="false">IF(B11318="","",IF(MATCH(B11318,$B$2:$B$12000,0)=ROW()-1,1,0))</f>
        <v/>
      </c>
    </row>
    <row r="11319" customFormat="false" ht="15" hidden="false" customHeight="false" outlineLevel="0" collapsed="false">
      <c r="V11319" s="23" t="str">
        <f aca="false">IF(ISNUMBER(C11319),YEAR(C11319),"")</f>
        <v/>
      </c>
      <c r="W11319" s="23" t="str">
        <f aca="false">IF(ISNUMBER(C11319),MONTH(C11319),"")</f>
        <v/>
      </c>
      <c r="X11319" s="23" t="str">
        <f aca="false">IF(T11319="","",IF(T11319=0,"No discount",IF(T11319&lt;=0.2,"Low (1-20%)",IF(T11319&lt;=0.4,"Medium (21-40%)","High (&gt;40%)"))))</f>
        <v/>
      </c>
      <c r="Y11319" s="23" t="str">
        <f aca="false">IF(AND(ISNUMBER(C11319),ISNUMBER(D11319)),D11319-C11319,"")</f>
        <v/>
      </c>
      <c r="Z11319" s="23" t="str">
        <f aca="false">IF(B11319="","",IF(MATCH(B11319,$B$2:$B$12000,0)=ROW()-1,1,0))</f>
        <v/>
      </c>
    </row>
    <row r="11320" customFormat="false" ht="15" hidden="false" customHeight="false" outlineLevel="0" collapsed="false">
      <c r="V11320" s="23" t="str">
        <f aca="false">IF(ISNUMBER(C11320),YEAR(C11320),"")</f>
        <v/>
      </c>
      <c r="W11320" s="23" t="str">
        <f aca="false">IF(ISNUMBER(C11320),MONTH(C11320),"")</f>
        <v/>
      </c>
      <c r="X11320" s="23" t="str">
        <f aca="false">IF(T11320="","",IF(T11320=0,"No discount",IF(T11320&lt;=0.2,"Low (1-20%)",IF(T11320&lt;=0.4,"Medium (21-40%)","High (&gt;40%)"))))</f>
        <v/>
      </c>
      <c r="Y11320" s="23" t="str">
        <f aca="false">IF(AND(ISNUMBER(C11320),ISNUMBER(D11320)),D11320-C11320,"")</f>
        <v/>
      </c>
      <c r="Z11320" s="23" t="str">
        <f aca="false">IF(B11320="","",IF(MATCH(B11320,$B$2:$B$12000,0)=ROW()-1,1,0))</f>
        <v/>
      </c>
    </row>
    <row r="11321" customFormat="false" ht="15" hidden="false" customHeight="false" outlineLevel="0" collapsed="false">
      <c r="V11321" s="23" t="str">
        <f aca="false">IF(ISNUMBER(C11321),YEAR(C11321),"")</f>
        <v/>
      </c>
      <c r="W11321" s="23" t="str">
        <f aca="false">IF(ISNUMBER(C11321),MONTH(C11321),"")</f>
        <v/>
      </c>
      <c r="X11321" s="23" t="str">
        <f aca="false">IF(T11321="","",IF(T11321=0,"No discount",IF(T11321&lt;=0.2,"Low (1-20%)",IF(T11321&lt;=0.4,"Medium (21-40%)","High (&gt;40%)"))))</f>
        <v/>
      </c>
      <c r="Y11321" s="23" t="str">
        <f aca="false">IF(AND(ISNUMBER(C11321),ISNUMBER(D11321)),D11321-C11321,"")</f>
        <v/>
      </c>
      <c r="Z11321" s="23" t="str">
        <f aca="false">IF(B11321="","",IF(MATCH(B11321,$B$2:$B$12000,0)=ROW()-1,1,0))</f>
        <v/>
      </c>
    </row>
    <row r="11322" customFormat="false" ht="15" hidden="false" customHeight="false" outlineLevel="0" collapsed="false">
      <c r="V11322" s="23" t="str">
        <f aca="false">IF(ISNUMBER(C11322),YEAR(C11322),"")</f>
        <v/>
      </c>
      <c r="W11322" s="23" t="str">
        <f aca="false">IF(ISNUMBER(C11322),MONTH(C11322),"")</f>
        <v/>
      </c>
      <c r="X11322" s="23" t="str">
        <f aca="false">IF(T11322="","",IF(T11322=0,"No discount",IF(T11322&lt;=0.2,"Low (1-20%)",IF(T11322&lt;=0.4,"Medium (21-40%)","High (&gt;40%)"))))</f>
        <v/>
      </c>
      <c r="Y11322" s="23" t="str">
        <f aca="false">IF(AND(ISNUMBER(C11322),ISNUMBER(D11322)),D11322-C11322,"")</f>
        <v/>
      </c>
      <c r="Z11322" s="23" t="str">
        <f aca="false">IF(B11322="","",IF(MATCH(B11322,$B$2:$B$12000,0)=ROW()-1,1,0))</f>
        <v/>
      </c>
    </row>
    <row r="11323" customFormat="false" ht="15" hidden="false" customHeight="false" outlineLevel="0" collapsed="false">
      <c r="V11323" s="23" t="str">
        <f aca="false">IF(ISNUMBER(C11323),YEAR(C11323),"")</f>
        <v/>
      </c>
      <c r="W11323" s="23" t="str">
        <f aca="false">IF(ISNUMBER(C11323),MONTH(C11323),"")</f>
        <v/>
      </c>
      <c r="X11323" s="23" t="str">
        <f aca="false">IF(T11323="","",IF(T11323=0,"No discount",IF(T11323&lt;=0.2,"Low (1-20%)",IF(T11323&lt;=0.4,"Medium (21-40%)","High (&gt;40%)"))))</f>
        <v/>
      </c>
      <c r="Y11323" s="23" t="str">
        <f aca="false">IF(AND(ISNUMBER(C11323),ISNUMBER(D11323)),D11323-C11323,"")</f>
        <v/>
      </c>
      <c r="Z11323" s="23" t="str">
        <f aca="false">IF(B11323="","",IF(MATCH(B11323,$B$2:$B$12000,0)=ROW()-1,1,0))</f>
        <v/>
      </c>
    </row>
    <row r="11324" customFormat="false" ht="15" hidden="false" customHeight="false" outlineLevel="0" collapsed="false">
      <c r="V11324" s="23" t="str">
        <f aca="false">IF(ISNUMBER(C11324),YEAR(C11324),"")</f>
        <v/>
      </c>
      <c r="W11324" s="23" t="str">
        <f aca="false">IF(ISNUMBER(C11324),MONTH(C11324),"")</f>
        <v/>
      </c>
      <c r="X11324" s="23" t="str">
        <f aca="false">IF(T11324="","",IF(T11324=0,"No discount",IF(T11324&lt;=0.2,"Low (1-20%)",IF(T11324&lt;=0.4,"Medium (21-40%)","High (&gt;40%)"))))</f>
        <v/>
      </c>
      <c r="Y11324" s="23" t="str">
        <f aca="false">IF(AND(ISNUMBER(C11324),ISNUMBER(D11324)),D11324-C11324,"")</f>
        <v/>
      </c>
      <c r="Z11324" s="23" t="str">
        <f aca="false">IF(B11324="","",IF(MATCH(B11324,$B$2:$B$12000,0)=ROW()-1,1,0))</f>
        <v/>
      </c>
    </row>
    <row r="11325" customFormat="false" ht="15" hidden="false" customHeight="false" outlineLevel="0" collapsed="false">
      <c r="V11325" s="23" t="str">
        <f aca="false">IF(ISNUMBER(C11325),YEAR(C11325),"")</f>
        <v/>
      </c>
      <c r="W11325" s="23" t="str">
        <f aca="false">IF(ISNUMBER(C11325),MONTH(C11325),"")</f>
        <v/>
      </c>
      <c r="X11325" s="23" t="str">
        <f aca="false">IF(T11325="","",IF(T11325=0,"No discount",IF(T11325&lt;=0.2,"Low (1-20%)",IF(T11325&lt;=0.4,"Medium (21-40%)","High (&gt;40%)"))))</f>
        <v/>
      </c>
      <c r="Y11325" s="23" t="str">
        <f aca="false">IF(AND(ISNUMBER(C11325),ISNUMBER(D11325)),D11325-C11325,"")</f>
        <v/>
      </c>
      <c r="Z11325" s="23" t="str">
        <f aca="false">IF(B11325="","",IF(MATCH(B11325,$B$2:$B$12000,0)=ROW()-1,1,0))</f>
        <v/>
      </c>
    </row>
    <row r="11326" customFormat="false" ht="15" hidden="false" customHeight="false" outlineLevel="0" collapsed="false">
      <c r="V11326" s="23" t="str">
        <f aca="false">IF(ISNUMBER(C11326),YEAR(C11326),"")</f>
        <v/>
      </c>
      <c r="W11326" s="23" t="str">
        <f aca="false">IF(ISNUMBER(C11326),MONTH(C11326),"")</f>
        <v/>
      </c>
      <c r="X11326" s="23" t="str">
        <f aca="false">IF(T11326="","",IF(T11326=0,"No discount",IF(T11326&lt;=0.2,"Low (1-20%)",IF(T11326&lt;=0.4,"Medium (21-40%)","High (&gt;40%)"))))</f>
        <v/>
      </c>
      <c r="Y11326" s="23" t="str">
        <f aca="false">IF(AND(ISNUMBER(C11326),ISNUMBER(D11326)),D11326-C11326,"")</f>
        <v/>
      </c>
      <c r="Z11326" s="23" t="str">
        <f aca="false">IF(B11326="","",IF(MATCH(B11326,$B$2:$B$12000,0)=ROW()-1,1,0))</f>
        <v/>
      </c>
    </row>
    <row r="11327" customFormat="false" ht="15" hidden="false" customHeight="false" outlineLevel="0" collapsed="false">
      <c r="V11327" s="23" t="str">
        <f aca="false">IF(ISNUMBER(C11327),YEAR(C11327),"")</f>
        <v/>
      </c>
      <c r="W11327" s="23" t="str">
        <f aca="false">IF(ISNUMBER(C11327),MONTH(C11327),"")</f>
        <v/>
      </c>
      <c r="X11327" s="23" t="str">
        <f aca="false">IF(T11327="","",IF(T11327=0,"No discount",IF(T11327&lt;=0.2,"Low (1-20%)",IF(T11327&lt;=0.4,"Medium (21-40%)","High (&gt;40%)"))))</f>
        <v/>
      </c>
      <c r="Y11327" s="23" t="str">
        <f aca="false">IF(AND(ISNUMBER(C11327),ISNUMBER(D11327)),D11327-C11327,"")</f>
        <v/>
      </c>
      <c r="Z11327" s="23" t="str">
        <f aca="false">IF(B11327="","",IF(MATCH(B11327,$B$2:$B$12000,0)=ROW()-1,1,0))</f>
        <v/>
      </c>
    </row>
    <row r="11328" customFormat="false" ht="15" hidden="false" customHeight="false" outlineLevel="0" collapsed="false">
      <c r="V11328" s="23" t="str">
        <f aca="false">IF(ISNUMBER(C11328),YEAR(C11328),"")</f>
        <v/>
      </c>
      <c r="W11328" s="23" t="str">
        <f aca="false">IF(ISNUMBER(C11328),MONTH(C11328),"")</f>
        <v/>
      </c>
      <c r="X11328" s="23" t="str">
        <f aca="false">IF(T11328="","",IF(T11328=0,"No discount",IF(T11328&lt;=0.2,"Low (1-20%)",IF(T11328&lt;=0.4,"Medium (21-40%)","High (&gt;40%)"))))</f>
        <v/>
      </c>
      <c r="Y11328" s="23" t="str">
        <f aca="false">IF(AND(ISNUMBER(C11328),ISNUMBER(D11328)),D11328-C11328,"")</f>
        <v/>
      </c>
      <c r="Z11328" s="23" t="str">
        <f aca="false">IF(B11328="","",IF(MATCH(B11328,$B$2:$B$12000,0)=ROW()-1,1,0))</f>
        <v/>
      </c>
    </row>
    <row r="11329" customFormat="false" ht="15" hidden="false" customHeight="false" outlineLevel="0" collapsed="false">
      <c r="V11329" s="23" t="str">
        <f aca="false">IF(ISNUMBER(C11329),YEAR(C11329),"")</f>
        <v/>
      </c>
      <c r="W11329" s="23" t="str">
        <f aca="false">IF(ISNUMBER(C11329),MONTH(C11329),"")</f>
        <v/>
      </c>
      <c r="X11329" s="23" t="str">
        <f aca="false">IF(T11329="","",IF(T11329=0,"No discount",IF(T11329&lt;=0.2,"Low (1-20%)",IF(T11329&lt;=0.4,"Medium (21-40%)","High (&gt;40%)"))))</f>
        <v/>
      </c>
      <c r="Y11329" s="23" t="str">
        <f aca="false">IF(AND(ISNUMBER(C11329),ISNUMBER(D11329)),D11329-C11329,"")</f>
        <v/>
      </c>
      <c r="Z11329" s="23" t="str">
        <f aca="false">IF(B11329="","",IF(MATCH(B11329,$B$2:$B$12000,0)=ROW()-1,1,0))</f>
        <v/>
      </c>
    </row>
    <row r="11330" customFormat="false" ht="15" hidden="false" customHeight="false" outlineLevel="0" collapsed="false">
      <c r="V11330" s="23" t="str">
        <f aca="false">IF(ISNUMBER(C11330),YEAR(C11330),"")</f>
        <v/>
      </c>
      <c r="W11330" s="23" t="str">
        <f aca="false">IF(ISNUMBER(C11330),MONTH(C11330),"")</f>
        <v/>
      </c>
      <c r="X11330" s="23" t="str">
        <f aca="false">IF(T11330="","",IF(T11330=0,"No discount",IF(T11330&lt;=0.2,"Low (1-20%)",IF(T11330&lt;=0.4,"Medium (21-40%)","High (&gt;40%)"))))</f>
        <v/>
      </c>
      <c r="Y11330" s="23" t="str">
        <f aca="false">IF(AND(ISNUMBER(C11330),ISNUMBER(D11330)),D11330-C11330,"")</f>
        <v/>
      </c>
      <c r="Z11330" s="23" t="str">
        <f aca="false">IF(B11330="","",IF(MATCH(B11330,$B$2:$B$12000,0)=ROW()-1,1,0))</f>
        <v/>
      </c>
    </row>
    <row r="11331" customFormat="false" ht="15" hidden="false" customHeight="false" outlineLevel="0" collapsed="false">
      <c r="V11331" s="23" t="str">
        <f aca="false">IF(ISNUMBER(C11331),YEAR(C11331),"")</f>
        <v/>
      </c>
      <c r="W11331" s="23" t="str">
        <f aca="false">IF(ISNUMBER(C11331),MONTH(C11331),"")</f>
        <v/>
      </c>
      <c r="X11331" s="23" t="str">
        <f aca="false">IF(T11331="","",IF(T11331=0,"No discount",IF(T11331&lt;=0.2,"Low (1-20%)",IF(T11331&lt;=0.4,"Medium (21-40%)","High (&gt;40%)"))))</f>
        <v/>
      </c>
      <c r="Y11331" s="23" t="str">
        <f aca="false">IF(AND(ISNUMBER(C11331),ISNUMBER(D11331)),D11331-C11331,"")</f>
        <v/>
      </c>
      <c r="Z11331" s="23" t="str">
        <f aca="false">IF(B11331="","",IF(MATCH(B11331,$B$2:$B$12000,0)=ROW()-1,1,0))</f>
        <v/>
      </c>
    </row>
    <row r="11332" customFormat="false" ht="15" hidden="false" customHeight="false" outlineLevel="0" collapsed="false">
      <c r="V11332" s="23" t="str">
        <f aca="false">IF(ISNUMBER(C11332),YEAR(C11332),"")</f>
        <v/>
      </c>
      <c r="W11332" s="23" t="str">
        <f aca="false">IF(ISNUMBER(C11332),MONTH(C11332),"")</f>
        <v/>
      </c>
      <c r="X11332" s="23" t="str">
        <f aca="false">IF(T11332="","",IF(T11332=0,"No discount",IF(T11332&lt;=0.2,"Low (1-20%)",IF(T11332&lt;=0.4,"Medium (21-40%)","High (&gt;40%)"))))</f>
        <v/>
      </c>
      <c r="Y11332" s="23" t="str">
        <f aca="false">IF(AND(ISNUMBER(C11332),ISNUMBER(D11332)),D11332-C11332,"")</f>
        <v/>
      </c>
      <c r="Z11332" s="23" t="str">
        <f aca="false">IF(B11332="","",IF(MATCH(B11332,$B$2:$B$12000,0)=ROW()-1,1,0))</f>
        <v/>
      </c>
    </row>
    <row r="11333" customFormat="false" ht="15" hidden="false" customHeight="false" outlineLevel="0" collapsed="false">
      <c r="V11333" s="23" t="str">
        <f aca="false">IF(ISNUMBER(C11333),YEAR(C11333),"")</f>
        <v/>
      </c>
      <c r="W11333" s="23" t="str">
        <f aca="false">IF(ISNUMBER(C11333),MONTH(C11333),"")</f>
        <v/>
      </c>
      <c r="X11333" s="23" t="str">
        <f aca="false">IF(T11333="","",IF(T11333=0,"No discount",IF(T11333&lt;=0.2,"Low (1-20%)",IF(T11333&lt;=0.4,"Medium (21-40%)","High (&gt;40%)"))))</f>
        <v/>
      </c>
      <c r="Y11333" s="23" t="str">
        <f aca="false">IF(AND(ISNUMBER(C11333),ISNUMBER(D11333)),D11333-C11333,"")</f>
        <v/>
      </c>
      <c r="Z11333" s="23" t="str">
        <f aca="false">IF(B11333="","",IF(MATCH(B11333,$B$2:$B$12000,0)=ROW()-1,1,0))</f>
        <v/>
      </c>
    </row>
    <row r="11334" customFormat="false" ht="15" hidden="false" customHeight="false" outlineLevel="0" collapsed="false">
      <c r="V11334" s="23" t="str">
        <f aca="false">IF(ISNUMBER(C11334),YEAR(C11334),"")</f>
        <v/>
      </c>
      <c r="W11334" s="23" t="str">
        <f aca="false">IF(ISNUMBER(C11334),MONTH(C11334),"")</f>
        <v/>
      </c>
      <c r="X11334" s="23" t="str">
        <f aca="false">IF(T11334="","",IF(T11334=0,"No discount",IF(T11334&lt;=0.2,"Low (1-20%)",IF(T11334&lt;=0.4,"Medium (21-40%)","High (&gt;40%)"))))</f>
        <v/>
      </c>
      <c r="Y11334" s="23" t="str">
        <f aca="false">IF(AND(ISNUMBER(C11334),ISNUMBER(D11334)),D11334-C11334,"")</f>
        <v/>
      </c>
      <c r="Z11334" s="23" t="str">
        <f aca="false">IF(B11334="","",IF(MATCH(B11334,$B$2:$B$12000,0)=ROW()-1,1,0))</f>
        <v/>
      </c>
    </row>
    <row r="11335" customFormat="false" ht="15" hidden="false" customHeight="false" outlineLevel="0" collapsed="false">
      <c r="V11335" s="23" t="str">
        <f aca="false">IF(ISNUMBER(C11335),YEAR(C11335),"")</f>
        <v/>
      </c>
      <c r="W11335" s="23" t="str">
        <f aca="false">IF(ISNUMBER(C11335),MONTH(C11335),"")</f>
        <v/>
      </c>
      <c r="X11335" s="23" t="str">
        <f aca="false">IF(T11335="","",IF(T11335=0,"No discount",IF(T11335&lt;=0.2,"Low (1-20%)",IF(T11335&lt;=0.4,"Medium (21-40%)","High (&gt;40%)"))))</f>
        <v/>
      </c>
      <c r="Y11335" s="23" t="str">
        <f aca="false">IF(AND(ISNUMBER(C11335),ISNUMBER(D11335)),D11335-C11335,"")</f>
        <v/>
      </c>
      <c r="Z11335" s="23" t="str">
        <f aca="false">IF(B11335="","",IF(MATCH(B11335,$B$2:$B$12000,0)=ROW()-1,1,0))</f>
        <v/>
      </c>
    </row>
    <row r="11336" customFormat="false" ht="15" hidden="false" customHeight="false" outlineLevel="0" collapsed="false">
      <c r="V11336" s="23" t="str">
        <f aca="false">IF(ISNUMBER(C11336),YEAR(C11336),"")</f>
        <v/>
      </c>
      <c r="W11336" s="23" t="str">
        <f aca="false">IF(ISNUMBER(C11336),MONTH(C11336),"")</f>
        <v/>
      </c>
      <c r="X11336" s="23" t="str">
        <f aca="false">IF(T11336="","",IF(T11336=0,"No discount",IF(T11336&lt;=0.2,"Low (1-20%)",IF(T11336&lt;=0.4,"Medium (21-40%)","High (&gt;40%)"))))</f>
        <v/>
      </c>
      <c r="Y11336" s="23" t="str">
        <f aca="false">IF(AND(ISNUMBER(C11336),ISNUMBER(D11336)),D11336-C11336,"")</f>
        <v/>
      </c>
      <c r="Z11336" s="23" t="str">
        <f aca="false">IF(B11336="","",IF(MATCH(B11336,$B$2:$B$12000,0)=ROW()-1,1,0))</f>
        <v/>
      </c>
    </row>
    <row r="11337" customFormat="false" ht="15" hidden="false" customHeight="false" outlineLevel="0" collapsed="false">
      <c r="V11337" s="23" t="str">
        <f aca="false">IF(ISNUMBER(C11337),YEAR(C11337),"")</f>
        <v/>
      </c>
      <c r="W11337" s="23" t="str">
        <f aca="false">IF(ISNUMBER(C11337),MONTH(C11337),"")</f>
        <v/>
      </c>
      <c r="X11337" s="23" t="str">
        <f aca="false">IF(T11337="","",IF(T11337=0,"No discount",IF(T11337&lt;=0.2,"Low (1-20%)",IF(T11337&lt;=0.4,"Medium (21-40%)","High (&gt;40%)"))))</f>
        <v/>
      </c>
      <c r="Y11337" s="23" t="str">
        <f aca="false">IF(AND(ISNUMBER(C11337),ISNUMBER(D11337)),D11337-C11337,"")</f>
        <v/>
      </c>
      <c r="Z11337" s="23" t="str">
        <f aca="false">IF(B11337="","",IF(MATCH(B11337,$B$2:$B$12000,0)=ROW()-1,1,0))</f>
        <v/>
      </c>
    </row>
    <row r="11338" customFormat="false" ht="15" hidden="false" customHeight="false" outlineLevel="0" collapsed="false">
      <c r="V11338" s="23" t="str">
        <f aca="false">IF(ISNUMBER(C11338),YEAR(C11338),"")</f>
        <v/>
      </c>
      <c r="W11338" s="23" t="str">
        <f aca="false">IF(ISNUMBER(C11338),MONTH(C11338),"")</f>
        <v/>
      </c>
      <c r="X11338" s="23" t="str">
        <f aca="false">IF(T11338="","",IF(T11338=0,"No discount",IF(T11338&lt;=0.2,"Low (1-20%)",IF(T11338&lt;=0.4,"Medium (21-40%)","High (&gt;40%)"))))</f>
        <v/>
      </c>
      <c r="Y11338" s="23" t="str">
        <f aca="false">IF(AND(ISNUMBER(C11338),ISNUMBER(D11338)),D11338-C11338,"")</f>
        <v/>
      </c>
      <c r="Z11338" s="23" t="str">
        <f aca="false">IF(B11338="","",IF(MATCH(B11338,$B$2:$B$12000,0)=ROW()-1,1,0))</f>
        <v/>
      </c>
    </row>
    <row r="11339" customFormat="false" ht="15" hidden="false" customHeight="false" outlineLevel="0" collapsed="false">
      <c r="V11339" s="23" t="str">
        <f aca="false">IF(ISNUMBER(C11339),YEAR(C11339),"")</f>
        <v/>
      </c>
      <c r="W11339" s="23" t="str">
        <f aca="false">IF(ISNUMBER(C11339),MONTH(C11339),"")</f>
        <v/>
      </c>
      <c r="X11339" s="23" t="str">
        <f aca="false">IF(T11339="","",IF(T11339=0,"No discount",IF(T11339&lt;=0.2,"Low (1-20%)",IF(T11339&lt;=0.4,"Medium (21-40%)","High (&gt;40%)"))))</f>
        <v/>
      </c>
      <c r="Y11339" s="23" t="str">
        <f aca="false">IF(AND(ISNUMBER(C11339),ISNUMBER(D11339)),D11339-C11339,"")</f>
        <v/>
      </c>
      <c r="Z11339" s="23" t="str">
        <f aca="false">IF(B11339="","",IF(MATCH(B11339,$B$2:$B$12000,0)=ROW()-1,1,0))</f>
        <v/>
      </c>
    </row>
    <row r="11340" customFormat="false" ht="15" hidden="false" customHeight="false" outlineLevel="0" collapsed="false">
      <c r="V11340" s="23" t="str">
        <f aca="false">IF(ISNUMBER(C11340),YEAR(C11340),"")</f>
        <v/>
      </c>
      <c r="W11340" s="23" t="str">
        <f aca="false">IF(ISNUMBER(C11340),MONTH(C11340),"")</f>
        <v/>
      </c>
      <c r="X11340" s="23" t="str">
        <f aca="false">IF(T11340="","",IF(T11340=0,"No discount",IF(T11340&lt;=0.2,"Low (1-20%)",IF(T11340&lt;=0.4,"Medium (21-40%)","High (&gt;40%)"))))</f>
        <v/>
      </c>
      <c r="Y11340" s="23" t="str">
        <f aca="false">IF(AND(ISNUMBER(C11340),ISNUMBER(D11340)),D11340-C11340,"")</f>
        <v/>
      </c>
      <c r="Z11340" s="23" t="str">
        <f aca="false">IF(B11340="","",IF(MATCH(B11340,$B$2:$B$12000,0)=ROW()-1,1,0))</f>
        <v/>
      </c>
    </row>
    <row r="11341" customFormat="false" ht="15" hidden="false" customHeight="false" outlineLevel="0" collapsed="false">
      <c r="V11341" s="23" t="str">
        <f aca="false">IF(ISNUMBER(C11341),YEAR(C11341),"")</f>
        <v/>
      </c>
      <c r="W11341" s="23" t="str">
        <f aca="false">IF(ISNUMBER(C11341),MONTH(C11341),"")</f>
        <v/>
      </c>
      <c r="X11341" s="23" t="str">
        <f aca="false">IF(T11341="","",IF(T11341=0,"No discount",IF(T11341&lt;=0.2,"Low (1-20%)",IF(T11341&lt;=0.4,"Medium (21-40%)","High (&gt;40%)"))))</f>
        <v/>
      </c>
      <c r="Y11341" s="23" t="str">
        <f aca="false">IF(AND(ISNUMBER(C11341),ISNUMBER(D11341)),D11341-C11341,"")</f>
        <v/>
      </c>
      <c r="Z11341" s="23" t="str">
        <f aca="false">IF(B11341="","",IF(MATCH(B11341,$B$2:$B$12000,0)=ROW()-1,1,0))</f>
        <v/>
      </c>
    </row>
    <row r="11342" customFormat="false" ht="15" hidden="false" customHeight="false" outlineLevel="0" collapsed="false">
      <c r="V11342" s="23" t="str">
        <f aca="false">IF(ISNUMBER(C11342),YEAR(C11342),"")</f>
        <v/>
      </c>
      <c r="W11342" s="23" t="str">
        <f aca="false">IF(ISNUMBER(C11342),MONTH(C11342),"")</f>
        <v/>
      </c>
      <c r="X11342" s="23" t="str">
        <f aca="false">IF(T11342="","",IF(T11342=0,"No discount",IF(T11342&lt;=0.2,"Low (1-20%)",IF(T11342&lt;=0.4,"Medium (21-40%)","High (&gt;40%)"))))</f>
        <v/>
      </c>
      <c r="Y11342" s="23" t="str">
        <f aca="false">IF(AND(ISNUMBER(C11342),ISNUMBER(D11342)),D11342-C11342,"")</f>
        <v/>
      </c>
      <c r="Z11342" s="23" t="str">
        <f aca="false">IF(B11342="","",IF(MATCH(B11342,$B$2:$B$12000,0)=ROW()-1,1,0))</f>
        <v/>
      </c>
    </row>
    <row r="11343" customFormat="false" ht="15" hidden="false" customHeight="false" outlineLevel="0" collapsed="false">
      <c r="V11343" s="23" t="str">
        <f aca="false">IF(ISNUMBER(C11343),YEAR(C11343),"")</f>
        <v/>
      </c>
      <c r="W11343" s="23" t="str">
        <f aca="false">IF(ISNUMBER(C11343),MONTH(C11343),"")</f>
        <v/>
      </c>
      <c r="X11343" s="23" t="str">
        <f aca="false">IF(T11343="","",IF(T11343=0,"No discount",IF(T11343&lt;=0.2,"Low (1-20%)",IF(T11343&lt;=0.4,"Medium (21-40%)","High (&gt;40%)"))))</f>
        <v/>
      </c>
      <c r="Y11343" s="23" t="str">
        <f aca="false">IF(AND(ISNUMBER(C11343),ISNUMBER(D11343)),D11343-C11343,"")</f>
        <v/>
      </c>
      <c r="Z11343" s="23" t="str">
        <f aca="false">IF(B11343="","",IF(MATCH(B11343,$B$2:$B$12000,0)=ROW()-1,1,0))</f>
        <v/>
      </c>
    </row>
    <row r="11344" customFormat="false" ht="15" hidden="false" customHeight="false" outlineLevel="0" collapsed="false">
      <c r="V11344" s="23" t="str">
        <f aca="false">IF(ISNUMBER(C11344),YEAR(C11344),"")</f>
        <v/>
      </c>
      <c r="W11344" s="23" t="str">
        <f aca="false">IF(ISNUMBER(C11344),MONTH(C11344),"")</f>
        <v/>
      </c>
      <c r="X11344" s="23" t="str">
        <f aca="false">IF(T11344="","",IF(T11344=0,"No discount",IF(T11344&lt;=0.2,"Low (1-20%)",IF(T11344&lt;=0.4,"Medium (21-40%)","High (&gt;40%)"))))</f>
        <v/>
      </c>
      <c r="Y11344" s="23" t="str">
        <f aca="false">IF(AND(ISNUMBER(C11344),ISNUMBER(D11344)),D11344-C11344,"")</f>
        <v/>
      </c>
      <c r="Z11344" s="23" t="str">
        <f aca="false">IF(B11344="","",IF(MATCH(B11344,$B$2:$B$12000,0)=ROW()-1,1,0))</f>
        <v/>
      </c>
    </row>
    <row r="11345" customFormat="false" ht="15" hidden="false" customHeight="false" outlineLevel="0" collapsed="false">
      <c r="V11345" s="23" t="str">
        <f aca="false">IF(ISNUMBER(C11345),YEAR(C11345),"")</f>
        <v/>
      </c>
      <c r="W11345" s="23" t="str">
        <f aca="false">IF(ISNUMBER(C11345),MONTH(C11345),"")</f>
        <v/>
      </c>
      <c r="X11345" s="23" t="str">
        <f aca="false">IF(T11345="","",IF(T11345=0,"No discount",IF(T11345&lt;=0.2,"Low (1-20%)",IF(T11345&lt;=0.4,"Medium (21-40%)","High (&gt;40%)"))))</f>
        <v/>
      </c>
      <c r="Y11345" s="23" t="str">
        <f aca="false">IF(AND(ISNUMBER(C11345),ISNUMBER(D11345)),D11345-C11345,"")</f>
        <v/>
      </c>
      <c r="Z11345" s="23" t="str">
        <f aca="false">IF(B11345="","",IF(MATCH(B11345,$B$2:$B$12000,0)=ROW()-1,1,0))</f>
        <v/>
      </c>
    </row>
    <row r="11346" customFormat="false" ht="15" hidden="false" customHeight="false" outlineLevel="0" collapsed="false">
      <c r="V11346" s="23" t="str">
        <f aca="false">IF(ISNUMBER(C11346),YEAR(C11346),"")</f>
        <v/>
      </c>
      <c r="W11346" s="23" t="str">
        <f aca="false">IF(ISNUMBER(C11346),MONTH(C11346),"")</f>
        <v/>
      </c>
      <c r="X11346" s="23" t="str">
        <f aca="false">IF(T11346="","",IF(T11346=0,"No discount",IF(T11346&lt;=0.2,"Low (1-20%)",IF(T11346&lt;=0.4,"Medium (21-40%)","High (&gt;40%)"))))</f>
        <v/>
      </c>
      <c r="Y11346" s="23" t="str">
        <f aca="false">IF(AND(ISNUMBER(C11346),ISNUMBER(D11346)),D11346-C11346,"")</f>
        <v/>
      </c>
      <c r="Z11346" s="23" t="str">
        <f aca="false">IF(B11346="","",IF(MATCH(B11346,$B$2:$B$12000,0)=ROW()-1,1,0))</f>
        <v/>
      </c>
    </row>
    <row r="11347" customFormat="false" ht="15" hidden="false" customHeight="false" outlineLevel="0" collapsed="false">
      <c r="V11347" s="23" t="str">
        <f aca="false">IF(ISNUMBER(C11347),YEAR(C11347),"")</f>
        <v/>
      </c>
      <c r="W11347" s="23" t="str">
        <f aca="false">IF(ISNUMBER(C11347),MONTH(C11347),"")</f>
        <v/>
      </c>
      <c r="X11347" s="23" t="str">
        <f aca="false">IF(T11347="","",IF(T11347=0,"No discount",IF(T11347&lt;=0.2,"Low (1-20%)",IF(T11347&lt;=0.4,"Medium (21-40%)","High (&gt;40%)"))))</f>
        <v/>
      </c>
      <c r="Y11347" s="23" t="str">
        <f aca="false">IF(AND(ISNUMBER(C11347),ISNUMBER(D11347)),D11347-C11347,"")</f>
        <v/>
      </c>
      <c r="Z11347" s="23" t="str">
        <f aca="false">IF(B11347="","",IF(MATCH(B11347,$B$2:$B$12000,0)=ROW()-1,1,0))</f>
        <v/>
      </c>
    </row>
    <row r="11348" customFormat="false" ht="15" hidden="false" customHeight="false" outlineLevel="0" collapsed="false">
      <c r="V11348" s="23" t="str">
        <f aca="false">IF(ISNUMBER(C11348),YEAR(C11348),"")</f>
        <v/>
      </c>
      <c r="W11348" s="23" t="str">
        <f aca="false">IF(ISNUMBER(C11348),MONTH(C11348),"")</f>
        <v/>
      </c>
      <c r="X11348" s="23" t="str">
        <f aca="false">IF(T11348="","",IF(T11348=0,"No discount",IF(T11348&lt;=0.2,"Low (1-20%)",IF(T11348&lt;=0.4,"Medium (21-40%)","High (&gt;40%)"))))</f>
        <v/>
      </c>
      <c r="Y11348" s="23" t="str">
        <f aca="false">IF(AND(ISNUMBER(C11348),ISNUMBER(D11348)),D11348-C11348,"")</f>
        <v/>
      </c>
      <c r="Z11348" s="23" t="str">
        <f aca="false">IF(B11348="","",IF(MATCH(B11348,$B$2:$B$12000,0)=ROW()-1,1,0))</f>
        <v/>
      </c>
    </row>
    <row r="11349" customFormat="false" ht="15" hidden="false" customHeight="false" outlineLevel="0" collapsed="false">
      <c r="V11349" s="23" t="str">
        <f aca="false">IF(ISNUMBER(C11349),YEAR(C11349),"")</f>
        <v/>
      </c>
      <c r="W11349" s="23" t="str">
        <f aca="false">IF(ISNUMBER(C11349),MONTH(C11349),"")</f>
        <v/>
      </c>
      <c r="X11349" s="23" t="str">
        <f aca="false">IF(T11349="","",IF(T11349=0,"No discount",IF(T11349&lt;=0.2,"Low (1-20%)",IF(T11349&lt;=0.4,"Medium (21-40%)","High (&gt;40%)"))))</f>
        <v/>
      </c>
      <c r="Y11349" s="23" t="str">
        <f aca="false">IF(AND(ISNUMBER(C11349),ISNUMBER(D11349)),D11349-C11349,"")</f>
        <v/>
      </c>
      <c r="Z11349" s="23" t="str">
        <f aca="false">IF(B11349="","",IF(MATCH(B11349,$B$2:$B$12000,0)=ROW()-1,1,0))</f>
        <v/>
      </c>
    </row>
    <row r="11350" customFormat="false" ht="15" hidden="false" customHeight="false" outlineLevel="0" collapsed="false">
      <c r="V11350" s="23" t="str">
        <f aca="false">IF(ISNUMBER(C11350),YEAR(C11350),"")</f>
        <v/>
      </c>
      <c r="W11350" s="23" t="str">
        <f aca="false">IF(ISNUMBER(C11350),MONTH(C11350),"")</f>
        <v/>
      </c>
      <c r="X11350" s="23" t="str">
        <f aca="false">IF(T11350="","",IF(T11350=0,"No discount",IF(T11350&lt;=0.2,"Low (1-20%)",IF(T11350&lt;=0.4,"Medium (21-40%)","High (&gt;40%)"))))</f>
        <v/>
      </c>
      <c r="Y11350" s="23" t="str">
        <f aca="false">IF(AND(ISNUMBER(C11350),ISNUMBER(D11350)),D11350-C11350,"")</f>
        <v/>
      </c>
      <c r="Z11350" s="23" t="str">
        <f aca="false">IF(B11350="","",IF(MATCH(B11350,$B$2:$B$12000,0)=ROW()-1,1,0))</f>
        <v/>
      </c>
    </row>
    <row r="11351" customFormat="false" ht="15" hidden="false" customHeight="false" outlineLevel="0" collapsed="false">
      <c r="V11351" s="23" t="str">
        <f aca="false">IF(ISNUMBER(C11351),YEAR(C11351),"")</f>
        <v/>
      </c>
      <c r="W11351" s="23" t="str">
        <f aca="false">IF(ISNUMBER(C11351),MONTH(C11351),"")</f>
        <v/>
      </c>
      <c r="X11351" s="23" t="str">
        <f aca="false">IF(T11351="","",IF(T11351=0,"No discount",IF(T11351&lt;=0.2,"Low (1-20%)",IF(T11351&lt;=0.4,"Medium (21-40%)","High (&gt;40%)"))))</f>
        <v/>
      </c>
      <c r="Y11351" s="23" t="str">
        <f aca="false">IF(AND(ISNUMBER(C11351),ISNUMBER(D11351)),D11351-C11351,"")</f>
        <v/>
      </c>
      <c r="Z11351" s="23" t="str">
        <f aca="false">IF(B11351="","",IF(MATCH(B11351,$B$2:$B$12000,0)=ROW()-1,1,0))</f>
        <v/>
      </c>
    </row>
    <row r="11352" customFormat="false" ht="15" hidden="false" customHeight="false" outlineLevel="0" collapsed="false">
      <c r="V11352" s="23" t="str">
        <f aca="false">IF(ISNUMBER(C11352),YEAR(C11352),"")</f>
        <v/>
      </c>
      <c r="W11352" s="23" t="str">
        <f aca="false">IF(ISNUMBER(C11352),MONTH(C11352),"")</f>
        <v/>
      </c>
      <c r="X11352" s="23" t="str">
        <f aca="false">IF(T11352="","",IF(T11352=0,"No discount",IF(T11352&lt;=0.2,"Low (1-20%)",IF(T11352&lt;=0.4,"Medium (21-40%)","High (&gt;40%)"))))</f>
        <v/>
      </c>
      <c r="Y11352" s="23" t="str">
        <f aca="false">IF(AND(ISNUMBER(C11352),ISNUMBER(D11352)),D11352-C11352,"")</f>
        <v/>
      </c>
      <c r="Z11352" s="23" t="str">
        <f aca="false">IF(B11352="","",IF(MATCH(B11352,$B$2:$B$12000,0)=ROW()-1,1,0))</f>
        <v/>
      </c>
    </row>
    <row r="11353" customFormat="false" ht="15" hidden="false" customHeight="false" outlineLevel="0" collapsed="false">
      <c r="V11353" s="23" t="str">
        <f aca="false">IF(ISNUMBER(C11353),YEAR(C11353),"")</f>
        <v/>
      </c>
      <c r="W11353" s="23" t="str">
        <f aca="false">IF(ISNUMBER(C11353),MONTH(C11353),"")</f>
        <v/>
      </c>
      <c r="X11353" s="23" t="str">
        <f aca="false">IF(T11353="","",IF(T11353=0,"No discount",IF(T11353&lt;=0.2,"Low (1-20%)",IF(T11353&lt;=0.4,"Medium (21-40%)","High (&gt;40%)"))))</f>
        <v/>
      </c>
      <c r="Y11353" s="23" t="str">
        <f aca="false">IF(AND(ISNUMBER(C11353),ISNUMBER(D11353)),D11353-C11353,"")</f>
        <v/>
      </c>
      <c r="Z11353" s="23" t="str">
        <f aca="false">IF(B11353="","",IF(MATCH(B11353,$B$2:$B$12000,0)=ROW()-1,1,0))</f>
        <v/>
      </c>
    </row>
    <row r="11354" customFormat="false" ht="15" hidden="false" customHeight="false" outlineLevel="0" collapsed="false">
      <c r="V11354" s="23" t="str">
        <f aca="false">IF(ISNUMBER(C11354),YEAR(C11354),"")</f>
        <v/>
      </c>
      <c r="W11354" s="23" t="str">
        <f aca="false">IF(ISNUMBER(C11354),MONTH(C11354),"")</f>
        <v/>
      </c>
      <c r="X11354" s="23" t="str">
        <f aca="false">IF(T11354="","",IF(T11354=0,"No discount",IF(T11354&lt;=0.2,"Low (1-20%)",IF(T11354&lt;=0.4,"Medium (21-40%)","High (&gt;40%)"))))</f>
        <v/>
      </c>
      <c r="Y11354" s="23" t="str">
        <f aca="false">IF(AND(ISNUMBER(C11354),ISNUMBER(D11354)),D11354-C11354,"")</f>
        <v/>
      </c>
      <c r="Z11354" s="23" t="str">
        <f aca="false">IF(B11354="","",IF(MATCH(B11354,$B$2:$B$12000,0)=ROW()-1,1,0))</f>
        <v/>
      </c>
    </row>
    <row r="11355" customFormat="false" ht="15" hidden="false" customHeight="false" outlineLevel="0" collapsed="false">
      <c r="V11355" s="23" t="str">
        <f aca="false">IF(ISNUMBER(C11355),YEAR(C11355),"")</f>
        <v/>
      </c>
      <c r="W11355" s="23" t="str">
        <f aca="false">IF(ISNUMBER(C11355),MONTH(C11355),"")</f>
        <v/>
      </c>
      <c r="X11355" s="23" t="str">
        <f aca="false">IF(T11355="","",IF(T11355=0,"No discount",IF(T11355&lt;=0.2,"Low (1-20%)",IF(T11355&lt;=0.4,"Medium (21-40%)","High (&gt;40%)"))))</f>
        <v/>
      </c>
      <c r="Y11355" s="23" t="str">
        <f aca="false">IF(AND(ISNUMBER(C11355),ISNUMBER(D11355)),D11355-C11355,"")</f>
        <v/>
      </c>
      <c r="Z11355" s="23" t="str">
        <f aca="false">IF(B11355="","",IF(MATCH(B11355,$B$2:$B$12000,0)=ROW()-1,1,0))</f>
        <v/>
      </c>
    </row>
    <row r="11356" customFormat="false" ht="15" hidden="false" customHeight="false" outlineLevel="0" collapsed="false">
      <c r="V11356" s="23" t="str">
        <f aca="false">IF(ISNUMBER(C11356),YEAR(C11356),"")</f>
        <v/>
      </c>
      <c r="W11356" s="23" t="str">
        <f aca="false">IF(ISNUMBER(C11356),MONTH(C11356),"")</f>
        <v/>
      </c>
      <c r="X11356" s="23" t="str">
        <f aca="false">IF(T11356="","",IF(T11356=0,"No discount",IF(T11356&lt;=0.2,"Low (1-20%)",IF(T11356&lt;=0.4,"Medium (21-40%)","High (&gt;40%)"))))</f>
        <v/>
      </c>
      <c r="Y11356" s="23" t="str">
        <f aca="false">IF(AND(ISNUMBER(C11356),ISNUMBER(D11356)),D11356-C11356,"")</f>
        <v/>
      </c>
      <c r="Z11356" s="23" t="str">
        <f aca="false">IF(B11356="","",IF(MATCH(B11356,$B$2:$B$12000,0)=ROW()-1,1,0))</f>
        <v/>
      </c>
    </row>
    <row r="11357" customFormat="false" ht="15" hidden="false" customHeight="false" outlineLevel="0" collapsed="false">
      <c r="V11357" s="23" t="str">
        <f aca="false">IF(ISNUMBER(C11357),YEAR(C11357),"")</f>
        <v/>
      </c>
      <c r="W11357" s="23" t="str">
        <f aca="false">IF(ISNUMBER(C11357),MONTH(C11357),"")</f>
        <v/>
      </c>
      <c r="X11357" s="23" t="str">
        <f aca="false">IF(T11357="","",IF(T11357=0,"No discount",IF(T11357&lt;=0.2,"Low (1-20%)",IF(T11357&lt;=0.4,"Medium (21-40%)","High (&gt;40%)"))))</f>
        <v/>
      </c>
      <c r="Y11357" s="23" t="str">
        <f aca="false">IF(AND(ISNUMBER(C11357),ISNUMBER(D11357)),D11357-C11357,"")</f>
        <v/>
      </c>
      <c r="Z11357" s="23" t="str">
        <f aca="false">IF(B11357="","",IF(MATCH(B11357,$B$2:$B$12000,0)=ROW()-1,1,0))</f>
        <v/>
      </c>
    </row>
    <row r="11358" customFormat="false" ht="15" hidden="false" customHeight="false" outlineLevel="0" collapsed="false">
      <c r="V11358" s="23" t="str">
        <f aca="false">IF(ISNUMBER(C11358),YEAR(C11358),"")</f>
        <v/>
      </c>
      <c r="W11358" s="23" t="str">
        <f aca="false">IF(ISNUMBER(C11358),MONTH(C11358),"")</f>
        <v/>
      </c>
      <c r="X11358" s="23" t="str">
        <f aca="false">IF(T11358="","",IF(T11358=0,"No discount",IF(T11358&lt;=0.2,"Low (1-20%)",IF(T11358&lt;=0.4,"Medium (21-40%)","High (&gt;40%)"))))</f>
        <v/>
      </c>
      <c r="Y11358" s="23" t="str">
        <f aca="false">IF(AND(ISNUMBER(C11358),ISNUMBER(D11358)),D11358-C11358,"")</f>
        <v/>
      </c>
      <c r="Z11358" s="23" t="str">
        <f aca="false">IF(B11358="","",IF(MATCH(B11358,$B$2:$B$12000,0)=ROW()-1,1,0))</f>
        <v/>
      </c>
    </row>
    <row r="11359" customFormat="false" ht="15" hidden="false" customHeight="false" outlineLevel="0" collapsed="false">
      <c r="V11359" s="23" t="str">
        <f aca="false">IF(ISNUMBER(C11359),YEAR(C11359),"")</f>
        <v/>
      </c>
      <c r="W11359" s="23" t="str">
        <f aca="false">IF(ISNUMBER(C11359),MONTH(C11359),"")</f>
        <v/>
      </c>
      <c r="X11359" s="23" t="str">
        <f aca="false">IF(T11359="","",IF(T11359=0,"No discount",IF(T11359&lt;=0.2,"Low (1-20%)",IF(T11359&lt;=0.4,"Medium (21-40%)","High (&gt;40%)"))))</f>
        <v/>
      </c>
      <c r="Y11359" s="23" t="str">
        <f aca="false">IF(AND(ISNUMBER(C11359),ISNUMBER(D11359)),D11359-C11359,"")</f>
        <v/>
      </c>
      <c r="Z11359" s="23" t="str">
        <f aca="false">IF(B11359="","",IF(MATCH(B11359,$B$2:$B$12000,0)=ROW()-1,1,0))</f>
        <v/>
      </c>
    </row>
    <row r="11360" customFormat="false" ht="15" hidden="false" customHeight="false" outlineLevel="0" collapsed="false">
      <c r="V11360" s="23" t="str">
        <f aca="false">IF(ISNUMBER(C11360),YEAR(C11360),"")</f>
        <v/>
      </c>
      <c r="W11360" s="23" t="str">
        <f aca="false">IF(ISNUMBER(C11360),MONTH(C11360),"")</f>
        <v/>
      </c>
      <c r="X11360" s="23" t="str">
        <f aca="false">IF(T11360="","",IF(T11360=0,"No discount",IF(T11360&lt;=0.2,"Low (1-20%)",IF(T11360&lt;=0.4,"Medium (21-40%)","High (&gt;40%)"))))</f>
        <v/>
      </c>
      <c r="Y11360" s="23" t="str">
        <f aca="false">IF(AND(ISNUMBER(C11360),ISNUMBER(D11360)),D11360-C11360,"")</f>
        <v/>
      </c>
      <c r="Z11360" s="23" t="str">
        <f aca="false">IF(B11360="","",IF(MATCH(B11360,$B$2:$B$12000,0)=ROW()-1,1,0))</f>
        <v/>
      </c>
    </row>
    <row r="11361" customFormat="false" ht="15" hidden="false" customHeight="false" outlineLevel="0" collapsed="false">
      <c r="V11361" s="23" t="str">
        <f aca="false">IF(ISNUMBER(C11361),YEAR(C11361),"")</f>
        <v/>
      </c>
      <c r="W11361" s="23" t="str">
        <f aca="false">IF(ISNUMBER(C11361),MONTH(C11361),"")</f>
        <v/>
      </c>
      <c r="X11361" s="23" t="str">
        <f aca="false">IF(T11361="","",IF(T11361=0,"No discount",IF(T11361&lt;=0.2,"Low (1-20%)",IF(T11361&lt;=0.4,"Medium (21-40%)","High (&gt;40%)"))))</f>
        <v/>
      </c>
      <c r="Y11361" s="23" t="str">
        <f aca="false">IF(AND(ISNUMBER(C11361),ISNUMBER(D11361)),D11361-C11361,"")</f>
        <v/>
      </c>
      <c r="Z11361" s="23" t="str">
        <f aca="false">IF(B11361="","",IF(MATCH(B11361,$B$2:$B$12000,0)=ROW()-1,1,0))</f>
        <v/>
      </c>
    </row>
    <row r="11362" customFormat="false" ht="15" hidden="false" customHeight="false" outlineLevel="0" collapsed="false">
      <c r="V11362" s="23" t="str">
        <f aca="false">IF(ISNUMBER(C11362),YEAR(C11362),"")</f>
        <v/>
      </c>
      <c r="W11362" s="23" t="str">
        <f aca="false">IF(ISNUMBER(C11362),MONTH(C11362),"")</f>
        <v/>
      </c>
      <c r="X11362" s="23" t="str">
        <f aca="false">IF(T11362="","",IF(T11362=0,"No discount",IF(T11362&lt;=0.2,"Low (1-20%)",IF(T11362&lt;=0.4,"Medium (21-40%)","High (&gt;40%)"))))</f>
        <v/>
      </c>
      <c r="Y11362" s="23" t="str">
        <f aca="false">IF(AND(ISNUMBER(C11362),ISNUMBER(D11362)),D11362-C11362,"")</f>
        <v/>
      </c>
      <c r="Z11362" s="23" t="str">
        <f aca="false">IF(B11362="","",IF(MATCH(B11362,$B$2:$B$12000,0)=ROW()-1,1,0))</f>
        <v/>
      </c>
    </row>
    <row r="11363" customFormat="false" ht="15" hidden="false" customHeight="false" outlineLevel="0" collapsed="false">
      <c r="V11363" s="23" t="str">
        <f aca="false">IF(ISNUMBER(C11363),YEAR(C11363),"")</f>
        <v/>
      </c>
      <c r="W11363" s="23" t="str">
        <f aca="false">IF(ISNUMBER(C11363),MONTH(C11363),"")</f>
        <v/>
      </c>
      <c r="X11363" s="23" t="str">
        <f aca="false">IF(T11363="","",IF(T11363=0,"No discount",IF(T11363&lt;=0.2,"Low (1-20%)",IF(T11363&lt;=0.4,"Medium (21-40%)","High (&gt;40%)"))))</f>
        <v/>
      </c>
      <c r="Y11363" s="23" t="str">
        <f aca="false">IF(AND(ISNUMBER(C11363),ISNUMBER(D11363)),D11363-C11363,"")</f>
        <v/>
      </c>
      <c r="Z11363" s="23" t="str">
        <f aca="false">IF(B11363="","",IF(MATCH(B11363,$B$2:$B$12000,0)=ROW()-1,1,0))</f>
        <v/>
      </c>
    </row>
    <row r="11364" customFormat="false" ht="15" hidden="false" customHeight="false" outlineLevel="0" collapsed="false">
      <c r="V11364" s="23" t="str">
        <f aca="false">IF(ISNUMBER(C11364),YEAR(C11364),"")</f>
        <v/>
      </c>
      <c r="W11364" s="23" t="str">
        <f aca="false">IF(ISNUMBER(C11364),MONTH(C11364),"")</f>
        <v/>
      </c>
      <c r="X11364" s="23" t="str">
        <f aca="false">IF(T11364="","",IF(T11364=0,"No discount",IF(T11364&lt;=0.2,"Low (1-20%)",IF(T11364&lt;=0.4,"Medium (21-40%)","High (&gt;40%)"))))</f>
        <v/>
      </c>
      <c r="Y11364" s="23" t="str">
        <f aca="false">IF(AND(ISNUMBER(C11364),ISNUMBER(D11364)),D11364-C11364,"")</f>
        <v/>
      </c>
      <c r="Z11364" s="23" t="str">
        <f aca="false">IF(B11364="","",IF(MATCH(B11364,$B$2:$B$12000,0)=ROW()-1,1,0))</f>
        <v/>
      </c>
    </row>
    <row r="11365" customFormat="false" ht="15" hidden="false" customHeight="false" outlineLevel="0" collapsed="false">
      <c r="V11365" s="23" t="str">
        <f aca="false">IF(ISNUMBER(C11365),YEAR(C11365),"")</f>
        <v/>
      </c>
      <c r="W11365" s="23" t="str">
        <f aca="false">IF(ISNUMBER(C11365),MONTH(C11365),"")</f>
        <v/>
      </c>
      <c r="X11365" s="23" t="str">
        <f aca="false">IF(T11365="","",IF(T11365=0,"No discount",IF(T11365&lt;=0.2,"Low (1-20%)",IF(T11365&lt;=0.4,"Medium (21-40%)","High (&gt;40%)"))))</f>
        <v/>
      </c>
      <c r="Y11365" s="23" t="str">
        <f aca="false">IF(AND(ISNUMBER(C11365),ISNUMBER(D11365)),D11365-C11365,"")</f>
        <v/>
      </c>
      <c r="Z11365" s="23" t="str">
        <f aca="false">IF(B11365="","",IF(MATCH(B11365,$B$2:$B$12000,0)=ROW()-1,1,0))</f>
        <v/>
      </c>
    </row>
    <row r="11366" customFormat="false" ht="15" hidden="false" customHeight="false" outlineLevel="0" collapsed="false">
      <c r="V11366" s="23" t="str">
        <f aca="false">IF(ISNUMBER(C11366),YEAR(C11366),"")</f>
        <v/>
      </c>
      <c r="W11366" s="23" t="str">
        <f aca="false">IF(ISNUMBER(C11366),MONTH(C11366),"")</f>
        <v/>
      </c>
      <c r="X11366" s="23" t="str">
        <f aca="false">IF(T11366="","",IF(T11366=0,"No discount",IF(T11366&lt;=0.2,"Low (1-20%)",IF(T11366&lt;=0.4,"Medium (21-40%)","High (&gt;40%)"))))</f>
        <v/>
      </c>
      <c r="Y11366" s="23" t="str">
        <f aca="false">IF(AND(ISNUMBER(C11366),ISNUMBER(D11366)),D11366-C11366,"")</f>
        <v/>
      </c>
      <c r="Z11366" s="23" t="str">
        <f aca="false">IF(B11366="","",IF(MATCH(B11366,$B$2:$B$12000,0)=ROW()-1,1,0))</f>
        <v/>
      </c>
    </row>
    <row r="11367" customFormat="false" ht="15" hidden="false" customHeight="false" outlineLevel="0" collapsed="false">
      <c r="V11367" s="23" t="str">
        <f aca="false">IF(ISNUMBER(C11367),YEAR(C11367),"")</f>
        <v/>
      </c>
      <c r="W11367" s="23" t="str">
        <f aca="false">IF(ISNUMBER(C11367),MONTH(C11367),"")</f>
        <v/>
      </c>
      <c r="X11367" s="23" t="str">
        <f aca="false">IF(T11367="","",IF(T11367=0,"No discount",IF(T11367&lt;=0.2,"Low (1-20%)",IF(T11367&lt;=0.4,"Medium (21-40%)","High (&gt;40%)"))))</f>
        <v/>
      </c>
      <c r="Y11367" s="23" t="str">
        <f aca="false">IF(AND(ISNUMBER(C11367),ISNUMBER(D11367)),D11367-C11367,"")</f>
        <v/>
      </c>
      <c r="Z11367" s="23" t="str">
        <f aca="false">IF(B11367="","",IF(MATCH(B11367,$B$2:$B$12000,0)=ROW()-1,1,0))</f>
        <v/>
      </c>
    </row>
    <row r="11368" customFormat="false" ht="15" hidden="false" customHeight="false" outlineLevel="0" collapsed="false">
      <c r="V11368" s="23" t="str">
        <f aca="false">IF(ISNUMBER(C11368),YEAR(C11368),"")</f>
        <v/>
      </c>
      <c r="W11368" s="23" t="str">
        <f aca="false">IF(ISNUMBER(C11368),MONTH(C11368),"")</f>
        <v/>
      </c>
      <c r="X11368" s="23" t="str">
        <f aca="false">IF(T11368="","",IF(T11368=0,"No discount",IF(T11368&lt;=0.2,"Low (1-20%)",IF(T11368&lt;=0.4,"Medium (21-40%)","High (&gt;40%)"))))</f>
        <v/>
      </c>
      <c r="Y11368" s="23" t="str">
        <f aca="false">IF(AND(ISNUMBER(C11368),ISNUMBER(D11368)),D11368-C11368,"")</f>
        <v/>
      </c>
      <c r="Z11368" s="23" t="str">
        <f aca="false">IF(B11368="","",IF(MATCH(B11368,$B$2:$B$12000,0)=ROW()-1,1,0))</f>
        <v/>
      </c>
    </row>
    <row r="11369" customFormat="false" ht="15" hidden="false" customHeight="false" outlineLevel="0" collapsed="false">
      <c r="V11369" s="23" t="str">
        <f aca="false">IF(ISNUMBER(C11369),YEAR(C11369),"")</f>
        <v/>
      </c>
      <c r="W11369" s="23" t="str">
        <f aca="false">IF(ISNUMBER(C11369),MONTH(C11369),"")</f>
        <v/>
      </c>
      <c r="X11369" s="23" t="str">
        <f aca="false">IF(T11369="","",IF(T11369=0,"No discount",IF(T11369&lt;=0.2,"Low (1-20%)",IF(T11369&lt;=0.4,"Medium (21-40%)","High (&gt;40%)"))))</f>
        <v/>
      </c>
      <c r="Y11369" s="23" t="str">
        <f aca="false">IF(AND(ISNUMBER(C11369),ISNUMBER(D11369)),D11369-C11369,"")</f>
        <v/>
      </c>
      <c r="Z11369" s="23" t="str">
        <f aca="false">IF(B11369="","",IF(MATCH(B11369,$B$2:$B$12000,0)=ROW()-1,1,0))</f>
        <v/>
      </c>
    </row>
    <row r="11370" customFormat="false" ht="15" hidden="false" customHeight="false" outlineLevel="0" collapsed="false">
      <c r="V11370" s="23" t="str">
        <f aca="false">IF(ISNUMBER(C11370),YEAR(C11370),"")</f>
        <v/>
      </c>
      <c r="W11370" s="23" t="str">
        <f aca="false">IF(ISNUMBER(C11370),MONTH(C11370),"")</f>
        <v/>
      </c>
      <c r="X11370" s="23" t="str">
        <f aca="false">IF(T11370="","",IF(T11370=0,"No discount",IF(T11370&lt;=0.2,"Low (1-20%)",IF(T11370&lt;=0.4,"Medium (21-40%)","High (&gt;40%)"))))</f>
        <v/>
      </c>
      <c r="Y11370" s="23" t="str">
        <f aca="false">IF(AND(ISNUMBER(C11370),ISNUMBER(D11370)),D11370-C11370,"")</f>
        <v/>
      </c>
      <c r="Z11370" s="23" t="str">
        <f aca="false">IF(B11370="","",IF(MATCH(B11370,$B$2:$B$12000,0)=ROW()-1,1,0))</f>
        <v/>
      </c>
    </row>
    <row r="11371" customFormat="false" ht="15" hidden="false" customHeight="false" outlineLevel="0" collapsed="false">
      <c r="V11371" s="23" t="str">
        <f aca="false">IF(ISNUMBER(C11371),YEAR(C11371),"")</f>
        <v/>
      </c>
      <c r="W11371" s="23" t="str">
        <f aca="false">IF(ISNUMBER(C11371),MONTH(C11371),"")</f>
        <v/>
      </c>
      <c r="X11371" s="23" t="str">
        <f aca="false">IF(T11371="","",IF(T11371=0,"No discount",IF(T11371&lt;=0.2,"Low (1-20%)",IF(T11371&lt;=0.4,"Medium (21-40%)","High (&gt;40%)"))))</f>
        <v/>
      </c>
      <c r="Y11371" s="23" t="str">
        <f aca="false">IF(AND(ISNUMBER(C11371),ISNUMBER(D11371)),D11371-C11371,"")</f>
        <v/>
      </c>
      <c r="Z11371" s="23" t="str">
        <f aca="false">IF(B11371="","",IF(MATCH(B11371,$B$2:$B$12000,0)=ROW()-1,1,0))</f>
        <v/>
      </c>
    </row>
    <row r="11372" customFormat="false" ht="15" hidden="false" customHeight="false" outlineLevel="0" collapsed="false">
      <c r="V11372" s="23" t="str">
        <f aca="false">IF(ISNUMBER(C11372),YEAR(C11372),"")</f>
        <v/>
      </c>
      <c r="W11372" s="23" t="str">
        <f aca="false">IF(ISNUMBER(C11372),MONTH(C11372),"")</f>
        <v/>
      </c>
      <c r="X11372" s="23" t="str">
        <f aca="false">IF(T11372="","",IF(T11372=0,"No discount",IF(T11372&lt;=0.2,"Low (1-20%)",IF(T11372&lt;=0.4,"Medium (21-40%)","High (&gt;40%)"))))</f>
        <v/>
      </c>
      <c r="Y11372" s="23" t="str">
        <f aca="false">IF(AND(ISNUMBER(C11372),ISNUMBER(D11372)),D11372-C11372,"")</f>
        <v/>
      </c>
      <c r="Z11372" s="23" t="str">
        <f aca="false">IF(B11372="","",IF(MATCH(B11372,$B$2:$B$12000,0)=ROW()-1,1,0))</f>
        <v/>
      </c>
    </row>
    <row r="11373" customFormat="false" ht="15" hidden="false" customHeight="false" outlineLevel="0" collapsed="false">
      <c r="V11373" s="23" t="str">
        <f aca="false">IF(ISNUMBER(C11373),YEAR(C11373),"")</f>
        <v/>
      </c>
      <c r="W11373" s="23" t="str">
        <f aca="false">IF(ISNUMBER(C11373),MONTH(C11373),"")</f>
        <v/>
      </c>
      <c r="X11373" s="23" t="str">
        <f aca="false">IF(T11373="","",IF(T11373=0,"No discount",IF(T11373&lt;=0.2,"Low (1-20%)",IF(T11373&lt;=0.4,"Medium (21-40%)","High (&gt;40%)"))))</f>
        <v/>
      </c>
      <c r="Y11373" s="23" t="str">
        <f aca="false">IF(AND(ISNUMBER(C11373),ISNUMBER(D11373)),D11373-C11373,"")</f>
        <v/>
      </c>
      <c r="Z11373" s="23" t="str">
        <f aca="false">IF(B11373="","",IF(MATCH(B11373,$B$2:$B$12000,0)=ROW()-1,1,0))</f>
        <v/>
      </c>
    </row>
    <row r="11374" customFormat="false" ht="15" hidden="false" customHeight="false" outlineLevel="0" collapsed="false">
      <c r="V11374" s="23" t="str">
        <f aca="false">IF(ISNUMBER(C11374),YEAR(C11374),"")</f>
        <v/>
      </c>
      <c r="W11374" s="23" t="str">
        <f aca="false">IF(ISNUMBER(C11374),MONTH(C11374),"")</f>
        <v/>
      </c>
      <c r="X11374" s="23" t="str">
        <f aca="false">IF(T11374="","",IF(T11374=0,"No discount",IF(T11374&lt;=0.2,"Low (1-20%)",IF(T11374&lt;=0.4,"Medium (21-40%)","High (&gt;40%)"))))</f>
        <v/>
      </c>
      <c r="Y11374" s="23" t="str">
        <f aca="false">IF(AND(ISNUMBER(C11374),ISNUMBER(D11374)),D11374-C11374,"")</f>
        <v/>
      </c>
      <c r="Z11374" s="23" t="str">
        <f aca="false">IF(B11374="","",IF(MATCH(B11374,$B$2:$B$12000,0)=ROW()-1,1,0))</f>
        <v/>
      </c>
    </row>
    <row r="11375" customFormat="false" ht="15" hidden="false" customHeight="false" outlineLevel="0" collapsed="false">
      <c r="V11375" s="23" t="str">
        <f aca="false">IF(ISNUMBER(C11375),YEAR(C11375),"")</f>
        <v/>
      </c>
      <c r="W11375" s="23" t="str">
        <f aca="false">IF(ISNUMBER(C11375),MONTH(C11375),"")</f>
        <v/>
      </c>
      <c r="X11375" s="23" t="str">
        <f aca="false">IF(T11375="","",IF(T11375=0,"No discount",IF(T11375&lt;=0.2,"Low (1-20%)",IF(T11375&lt;=0.4,"Medium (21-40%)","High (&gt;40%)"))))</f>
        <v/>
      </c>
      <c r="Y11375" s="23" t="str">
        <f aca="false">IF(AND(ISNUMBER(C11375),ISNUMBER(D11375)),D11375-C11375,"")</f>
        <v/>
      </c>
      <c r="Z11375" s="23" t="str">
        <f aca="false">IF(B11375="","",IF(MATCH(B11375,$B$2:$B$12000,0)=ROW()-1,1,0))</f>
        <v/>
      </c>
    </row>
    <row r="11376" customFormat="false" ht="15" hidden="false" customHeight="false" outlineLevel="0" collapsed="false">
      <c r="V11376" s="23" t="str">
        <f aca="false">IF(ISNUMBER(C11376),YEAR(C11376),"")</f>
        <v/>
      </c>
      <c r="W11376" s="23" t="str">
        <f aca="false">IF(ISNUMBER(C11376),MONTH(C11376),"")</f>
        <v/>
      </c>
      <c r="X11376" s="23" t="str">
        <f aca="false">IF(T11376="","",IF(T11376=0,"No discount",IF(T11376&lt;=0.2,"Low (1-20%)",IF(T11376&lt;=0.4,"Medium (21-40%)","High (&gt;40%)"))))</f>
        <v/>
      </c>
      <c r="Y11376" s="23" t="str">
        <f aca="false">IF(AND(ISNUMBER(C11376),ISNUMBER(D11376)),D11376-C11376,"")</f>
        <v/>
      </c>
      <c r="Z11376" s="23" t="str">
        <f aca="false">IF(B11376="","",IF(MATCH(B11376,$B$2:$B$12000,0)=ROW()-1,1,0))</f>
        <v/>
      </c>
    </row>
    <row r="11377" customFormat="false" ht="15" hidden="false" customHeight="false" outlineLevel="0" collapsed="false">
      <c r="V11377" s="23" t="str">
        <f aca="false">IF(ISNUMBER(C11377),YEAR(C11377),"")</f>
        <v/>
      </c>
      <c r="W11377" s="23" t="str">
        <f aca="false">IF(ISNUMBER(C11377),MONTH(C11377),"")</f>
        <v/>
      </c>
      <c r="X11377" s="23" t="str">
        <f aca="false">IF(T11377="","",IF(T11377=0,"No discount",IF(T11377&lt;=0.2,"Low (1-20%)",IF(T11377&lt;=0.4,"Medium (21-40%)","High (&gt;40%)"))))</f>
        <v/>
      </c>
      <c r="Y11377" s="23" t="str">
        <f aca="false">IF(AND(ISNUMBER(C11377),ISNUMBER(D11377)),D11377-C11377,"")</f>
        <v/>
      </c>
      <c r="Z11377" s="23" t="str">
        <f aca="false">IF(B11377="","",IF(MATCH(B11377,$B$2:$B$12000,0)=ROW()-1,1,0))</f>
        <v/>
      </c>
    </row>
    <row r="11378" customFormat="false" ht="15" hidden="false" customHeight="false" outlineLevel="0" collapsed="false">
      <c r="V11378" s="23" t="str">
        <f aca="false">IF(ISNUMBER(C11378),YEAR(C11378),"")</f>
        <v/>
      </c>
      <c r="W11378" s="23" t="str">
        <f aca="false">IF(ISNUMBER(C11378),MONTH(C11378),"")</f>
        <v/>
      </c>
      <c r="X11378" s="23" t="str">
        <f aca="false">IF(T11378="","",IF(T11378=0,"No discount",IF(T11378&lt;=0.2,"Low (1-20%)",IF(T11378&lt;=0.4,"Medium (21-40%)","High (&gt;40%)"))))</f>
        <v/>
      </c>
      <c r="Y11378" s="23" t="str">
        <f aca="false">IF(AND(ISNUMBER(C11378),ISNUMBER(D11378)),D11378-C11378,"")</f>
        <v/>
      </c>
      <c r="Z11378" s="23" t="str">
        <f aca="false">IF(B11378="","",IF(MATCH(B11378,$B$2:$B$12000,0)=ROW()-1,1,0))</f>
        <v/>
      </c>
    </row>
    <row r="11379" customFormat="false" ht="15" hidden="false" customHeight="false" outlineLevel="0" collapsed="false">
      <c r="V11379" s="23" t="str">
        <f aca="false">IF(ISNUMBER(C11379),YEAR(C11379),"")</f>
        <v/>
      </c>
      <c r="W11379" s="23" t="str">
        <f aca="false">IF(ISNUMBER(C11379),MONTH(C11379),"")</f>
        <v/>
      </c>
      <c r="X11379" s="23" t="str">
        <f aca="false">IF(T11379="","",IF(T11379=0,"No discount",IF(T11379&lt;=0.2,"Low (1-20%)",IF(T11379&lt;=0.4,"Medium (21-40%)","High (&gt;40%)"))))</f>
        <v/>
      </c>
      <c r="Y11379" s="23" t="str">
        <f aca="false">IF(AND(ISNUMBER(C11379),ISNUMBER(D11379)),D11379-C11379,"")</f>
        <v/>
      </c>
      <c r="Z11379" s="23" t="str">
        <f aca="false">IF(B11379="","",IF(MATCH(B11379,$B$2:$B$12000,0)=ROW()-1,1,0))</f>
        <v/>
      </c>
    </row>
    <row r="11380" customFormat="false" ht="15" hidden="false" customHeight="false" outlineLevel="0" collapsed="false">
      <c r="V11380" s="23" t="str">
        <f aca="false">IF(ISNUMBER(C11380),YEAR(C11380),"")</f>
        <v/>
      </c>
      <c r="W11380" s="23" t="str">
        <f aca="false">IF(ISNUMBER(C11380),MONTH(C11380),"")</f>
        <v/>
      </c>
      <c r="X11380" s="23" t="str">
        <f aca="false">IF(T11380="","",IF(T11380=0,"No discount",IF(T11380&lt;=0.2,"Low (1-20%)",IF(T11380&lt;=0.4,"Medium (21-40%)","High (&gt;40%)"))))</f>
        <v/>
      </c>
      <c r="Y11380" s="23" t="str">
        <f aca="false">IF(AND(ISNUMBER(C11380),ISNUMBER(D11380)),D11380-C11380,"")</f>
        <v/>
      </c>
      <c r="Z11380" s="23" t="str">
        <f aca="false">IF(B11380="","",IF(MATCH(B11380,$B$2:$B$12000,0)=ROW()-1,1,0))</f>
        <v/>
      </c>
    </row>
    <row r="11381" customFormat="false" ht="15" hidden="false" customHeight="false" outlineLevel="0" collapsed="false">
      <c r="V11381" s="23" t="str">
        <f aca="false">IF(ISNUMBER(C11381),YEAR(C11381),"")</f>
        <v/>
      </c>
      <c r="W11381" s="23" t="str">
        <f aca="false">IF(ISNUMBER(C11381),MONTH(C11381),"")</f>
        <v/>
      </c>
      <c r="X11381" s="23" t="str">
        <f aca="false">IF(T11381="","",IF(T11381=0,"No discount",IF(T11381&lt;=0.2,"Low (1-20%)",IF(T11381&lt;=0.4,"Medium (21-40%)","High (&gt;40%)"))))</f>
        <v/>
      </c>
      <c r="Y11381" s="23" t="str">
        <f aca="false">IF(AND(ISNUMBER(C11381),ISNUMBER(D11381)),D11381-C11381,"")</f>
        <v/>
      </c>
      <c r="Z11381" s="23" t="str">
        <f aca="false">IF(B11381="","",IF(MATCH(B11381,$B$2:$B$12000,0)=ROW()-1,1,0))</f>
        <v/>
      </c>
    </row>
    <row r="11382" customFormat="false" ht="15" hidden="false" customHeight="false" outlineLevel="0" collapsed="false">
      <c r="V11382" s="23" t="str">
        <f aca="false">IF(ISNUMBER(C11382),YEAR(C11382),"")</f>
        <v/>
      </c>
      <c r="W11382" s="23" t="str">
        <f aca="false">IF(ISNUMBER(C11382),MONTH(C11382),"")</f>
        <v/>
      </c>
      <c r="X11382" s="23" t="str">
        <f aca="false">IF(T11382="","",IF(T11382=0,"No discount",IF(T11382&lt;=0.2,"Low (1-20%)",IF(T11382&lt;=0.4,"Medium (21-40%)","High (&gt;40%)"))))</f>
        <v/>
      </c>
      <c r="Y11382" s="23" t="str">
        <f aca="false">IF(AND(ISNUMBER(C11382),ISNUMBER(D11382)),D11382-C11382,"")</f>
        <v/>
      </c>
      <c r="Z11382" s="23" t="str">
        <f aca="false">IF(B11382="","",IF(MATCH(B11382,$B$2:$B$12000,0)=ROW()-1,1,0))</f>
        <v/>
      </c>
    </row>
    <row r="11383" customFormat="false" ht="15" hidden="false" customHeight="false" outlineLevel="0" collapsed="false">
      <c r="V11383" s="23" t="str">
        <f aca="false">IF(ISNUMBER(C11383),YEAR(C11383),"")</f>
        <v/>
      </c>
      <c r="W11383" s="23" t="str">
        <f aca="false">IF(ISNUMBER(C11383),MONTH(C11383),"")</f>
        <v/>
      </c>
      <c r="X11383" s="23" t="str">
        <f aca="false">IF(T11383="","",IF(T11383=0,"No discount",IF(T11383&lt;=0.2,"Low (1-20%)",IF(T11383&lt;=0.4,"Medium (21-40%)","High (&gt;40%)"))))</f>
        <v/>
      </c>
      <c r="Y11383" s="23" t="str">
        <f aca="false">IF(AND(ISNUMBER(C11383),ISNUMBER(D11383)),D11383-C11383,"")</f>
        <v/>
      </c>
      <c r="Z11383" s="23" t="str">
        <f aca="false">IF(B11383="","",IF(MATCH(B11383,$B$2:$B$12000,0)=ROW()-1,1,0))</f>
        <v/>
      </c>
    </row>
    <row r="11384" customFormat="false" ht="15" hidden="false" customHeight="false" outlineLevel="0" collapsed="false">
      <c r="V11384" s="23" t="str">
        <f aca="false">IF(ISNUMBER(C11384),YEAR(C11384),"")</f>
        <v/>
      </c>
      <c r="W11384" s="23" t="str">
        <f aca="false">IF(ISNUMBER(C11384),MONTH(C11384),"")</f>
        <v/>
      </c>
      <c r="X11384" s="23" t="str">
        <f aca="false">IF(T11384="","",IF(T11384=0,"No discount",IF(T11384&lt;=0.2,"Low (1-20%)",IF(T11384&lt;=0.4,"Medium (21-40%)","High (&gt;40%)"))))</f>
        <v/>
      </c>
      <c r="Y11384" s="23" t="str">
        <f aca="false">IF(AND(ISNUMBER(C11384),ISNUMBER(D11384)),D11384-C11384,"")</f>
        <v/>
      </c>
      <c r="Z11384" s="23" t="str">
        <f aca="false">IF(B11384="","",IF(MATCH(B11384,$B$2:$B$12000,0)=ROW()-1,1,0))</f>
        <v/>
      </c>
    </row>
    <row r="11385" customFormat="false" ht="15" hidden="false" customHeight="false" outlineLevel="0" collapsed="false">
      <c r="V11385" s="23" t="str">
        <f aca="false">IF(ISNUMBER(C11385),YEAR(C11385),"")</f>
        <v/>
      </c>
      <c r="W11385" s="23" t="str">
        <f aca="false">IF(ISNUMBER(C11385),MONTH(C11385),"")</f>
        <v/>
      </c>
      <c r="X11385" s="23" t="str">
        <f aca="false">IF(T11385="","",IF(T11385=0,"No discount",IF(T11385&lt;=0.2,"Low (1-20%)",IF(T11385&lt;=0.4,"Medium (21-40%)","High (&gt;40%)"))))</f>
        <v/>
      </c>
      <c r="Y11385" s="23" t="str">
        <f aca="false">IF(AND(ISNUMBER(C11385),ISNUMBER(D11385)),D11385-C11385,"")</f>
        <v/>
      </c>
      <c r="Z11385" s="23" t="str">
        <f aca="false">IF(B11385="","",IF(MATCH(B11385,$B$2:$B$12000,0)=ROW()-1,1,0))</f>
        <v/>
      </c>
    </row>
    <row r="11386" customFormat="false" ht="15" hidden="false" customHeight="false" outlineLevel="0" collapsed="false">
      <c r="V11386" s="23" t="str">
        <f aca="false">IF(ISNUMBER(C11386),YEAR(C11386),"")</f>
        <v/>
      </c>
      <c r="W11386" s="23" t="str">
        <f aca="false">IF(ISNUMBER(C11386),MONTH(C11386),"")</f>
        <v/>
      </c>
      <c r="X11386" s="23" t="str">
        <f aca="false">IF(T11386="","",IF(T11386=0,"No discount",IF(T11386&lt;=0.2,"Low (1-20%)",IF(T11386&lt;=0.4,"Medium (21-40%)","High (&gt;40%)"))))</f>
        <v/>
      </c>
      <c r="Y11386" s="23" t="str">
        <f aca="false">IF(AND(ISNUMBER(C11386),ISNUMBER(D11386)),D11386-C11386,"")</f>
        <v/>
      </c>
      <c r="Z11386" s="23" t="str">
        <f aca="false">IF(B11386="","",IF(MATCH(B11386,$B$2:$B$12000,0)=ROW()-1,1,0))</f>
        <v/>
      </c>
    </row>
    <row r="11387" customFormat="false" ht="15" hidden="false" customHeight="false" outlineLevel="0" collapsed="false">
      <c r="V11387" s="23" t="str">
        <f aca="false">IF(ISNUMBER(C11387),YEAR(C11387),"")</f>
        <v/>
      </c>
      <c r="W11387" s="23" t="str">
        <f aca="false">IF(ISNUMBER(C11387),MONTH(C11387),"")</f>
        <v/>
      </c>
      <c r="X11387" s="23" t="str">
        <f aca="false">IF(T11387="","",IF(T11387=0,"No discount",IF(T11387&lt;=0.2,"Low (1-20%)",IF(T11387&lt;=0.4,"Medium (21-40%)","High (&gt;40%)"))))</f>
        <v/>
      </c>
      <c r="Y11387" s="23" t="str">
        <f aca="false">IF(AND(ISNUMBER(C11387),ISNUMBER(D11387)),D11387-C11387,"")</f>
        <v/>
      </c>
      <c r="Z11387" s="23" t="str">
        <f aca="false">IF(B11387="","",IF(MATCH(B11387,$B$2:$B$12000,0)=ROW()-1,1,0))</f>
        <v/>
      </c>
    </row>
    <row r="11388" customFormat="false" ht="15" hidden="false" customHeight="false" outlineLevel="0" collapsed="false">
      <c r="V11388" s="23" t="str">
        <f aca="false">IF(ISNUMBER(C11388),YEAR(C11388),"")</f>
        <v/>
      </c>
      <c r="W11388" s="23" t="str">
        <f aca="false">IF(ISNUMBER(C11388),MONTH(C11388),"")</f>
        <v/>
      </c>
      <c r="X11388" s="23" t="str">
        <f aca="false">IF(T11388="","",IF(T11388=0,"No discount",IF(T11388&lt;=0.2,"Low (1-20%)",IF(T11388&lt;=0.4,"Medium (21-40%)","High (&gt;40%)"))))</f>
        <v/>
      </c>
      <c r="Y11388" s="23" t="str">
        <f aca="false">IF(AND(ISNUMBER(C11388),ISNUMBER(D11388)),D11388-C11388,"")</f>
        <v/>
      </c>
      <c r="Z11388" s="23" t="str">
        <f aca="false">IF(B11388="","",IF(MATCH(B11388,$B$2:$B$12000,0)=ROW()-1,1,0))</f>
        <v/>
      </c>
    </row>
    <row r="11389" customFormat="false" ht="15" hidden="false" customHeight="false" outlineLevel="0" collapsed="false">
      <c r="V11389" s="23" t="str">
        <f aca="false">IF(ISNUMBER(C11389),YEAR(C11389),"")</f>
        <v/>
      </c>
      <c r="W11389" s="23" t="str">
        <f aca="false">IF(ISNUMBER(C11389),MONTH(C11389),"")</f>
        <v/>
      </c>
      <c r="X11389" s="23" t="str">
        <f aca="false">IF(T11389="","",IF(T11389=0,"No discount",IF(T11389&lt;=0.2,"Low (1-20%)",IF(T11389&lt;=0.4,"Medium (21-40%)","High (&gt;40%)"))))</f>
        <v/>
      </c>
      <c r="Y11389" s="23" t="str">
        <f aca="false">IF(AND(ISNUMBER(C11389),ISNUMBER(D11389)),D11389-C11389,"")</f>
        <v/>
      </c>
      <c r="Z11389" s="23" t="str">
        <f aca="false">IF(B11389="","",IF(MATCH(B11389,$B$2:$B$12000,0)=ROW()-1,1,0))</f>
        <v/>
      </c>
    </row>
    <row r="11390" customFormat="false" ht="15" hidden="false" customHeight="false" outlineLevel="0" collapsed="false">
      <c r="V11390" s="23" t="str">
        <f aca="false">IF(ISNUMBER(C11390),YEAR(C11390),"")</f>
        <v/>
      </c>
      <c r="W11390" s="23" t="str">
        <f aca="false">IF(ISNUMBER(C11390),MONTH(C11390),"")</f>
        <v/>
      </c>
      <c r="X11390" s="23" t="str">
        <f aca="false">IF(T11390="","",IF(T11390=0,"No discount",IF(T11390&lt;=0.2,"Low (1-20%)",IF(T11390&lt;=0.4,"Medium (21-40%)","High (&gt;40%)"))))</f>
        <v/>
      </c>
      <c r="Y11390" s="23" t="str">
        <f aca="false">IF(AND(ISNUMBER(C11390),ISNUMBER(D11390)),D11390-C11390,"")</f>
        <v/>
      </c>
      <c r="Z11390" s="23" t="str">
        <f aca="false">IF(B11390="","",IF(MATCH(B11390,$B$2:$B$12000,0)=ROW()-1,1,0))</f>
        <v/>
      </c>
    </row>
    <row r="11391" customFormat="false" ht="15" hidden="false" customHeight="false" outlineLevel="0" collapsed="false">
      <c r="V11391" s="23" t="str">
        <f aca="false">IF(ISNUMBER(C11391),YEAR(C11391),"")</f>
        <v/>
      </c>
      <c r="W11391" s="23" t="str">
        <f aca="false">IF(ISNUMBER(C11391),MONTH(C11391),"")</f>
        <v/>
      </c>
      <c r="X11391" s="23" t="str">
        <f aca="false">IF(T11391="","",IF(T11391=0,"No discount",IF(T11391&lt;=0.2,"Low (1-20%)",IF(T11391&lt;=0.4,"Medium (21-40%)","High (&gt;40%)"))))</f>
        <v/>
      </c>
      <c r="Y11391" s="23" t="str">
        <f aca="false">IF(AND(ISNUMBER(C11391),ISNUMBER(D11391)),D11391-C11391,"")</f>
        <v/>
      </c>
      <c r="Z11391" s="23" t="str">
        <f aca="false">IF(B11391="","",IF(MATCH(B11391,$B$2:$B$12000,0)=ROW()-1,1,0))</f>
        <v/>
      </c>
    </row>
    <row r="11392" customFormat="false" ht="15" hidden="false" customHeight="false" outlineLevel="0" collapsed="false">
      <c r="V11392" s="23" t="str">
        <f aca="false">IF(ISNUMBER(C11392),YEAR(C11392),"")</f>
        <v/>
      </c>
      <c r="W11392" s="23" t="str">
        <f aca="false">IF(ISNUMBER(C11392),MONTH(C11392),"")</f>
        <v/>
      </c>
      <c r="X11392" s="23" t="str">
        <f aca="false">IF(T11392="","",IF(T11392=0,"No discount",IF(T11392&lt;=0.2,"Low (1-20%)",IF(T11392&lt;=0.4,"Medium (21-40%)","High (&gt;40%)"))))</f>
        <v/>
      </c>
      <c r="Y11392" s="23" t="str">
        <f aca="false">IF(AND(ISNUMBER(C11392),ISNUMBER(D11392)),D11392-C11392,"")</f>
        <v/>
      </c>
      <c r="Z11392" s="23" t="str">
        <f aca="false">IF(B11392="","",IF(MATCH(B11392,$B$2:$B$12000,0)=ROW()-1,1,0))</f>
        <v/>
      </c>
    </row>
    <row r="11393" customFormat="false" ht="15" hidden="false" customHeight="false" outlineLevel="0" collapsed="false">
      <c r="V11393" s="23" t="str">
        <f aca="false">IF(ISNUMBER(C11393),YEAR(C11393),"")</f>
        <v/>
      </c>
      <c r="W11393" s="23" t="str">
        <f aca="false">IF(ISNUMBER(C11393),MONTH(C11393),"")</f>
        <v/>
      </c>
      <c r="X11393" s="23" t="str">
        <f aca="false">IF(T11393="","",IF(T11393=0,"No discount",IF(T11393&lt;=0.2,"Low (1-20%)",IF(T11393&lt;=0.4,"Medium (21-40%)","High (&gt;40%)"))))</f>
        <v/>
      </c>
      <c r="Y11393" s="23" t="str">
        <f aca="false">IF(AND(ISNUMBER(C11393),ISNUMBER(D11393)),D11393-C11393,"")</f>
        <v/>
      </c>
      <c r="Z11393" s="23" t="str">
        <f aca="false">IF(B11393="","",IF(MATCH(B11393,$B$2:$B$12000,0)=ROW()-1,1,0))</f>
        <v/>
      </c>
    </row>
    <row r="11394" customFormat="false" ht="15" hidden="false" customHeight="false" outlineLevel="0" collapsed="false">
      <c r="V11394" s="23" t="str">
        <f aca="false">IF(ISNUMBER(C11394),YEAR(C11394),"")</f>
        <v/>
      </c>
      <c r="W11394" s="23" t="str">
        <f aca="false">IF(ISNUMBER(C11394),MONTH(C11394),"")</f>
        <v/>
      </c>
      <c r="X11394" s="23" t="str">
        <f aca="false">IF(T11394="","",IF(T11394=0,"No discount",IF(T11394&lt;=0.2,"Low (1-20%)",IF(T11394&lt;=0.4,"Medium (21-40%)","High (&gt;40%)"))))</f>
        <v/>
      </c>
      <c r="Y11394" s="23" t="str">
        <f aca="false">IF(AND(ISNUMBER(C11394),ISNUMBER(D11394)),D11394-C11394,"")</f>
        <v/>
      </c>
      <c r="Z11394" s="23" t="str">
        <f aca="false">IF(B11394="","",IF(MATCH(B11394,$B$2:$B$12000,0)=ROW()-1,1,0))</f>
        <v/>
      </c>
    </row>
    <row r="11395" customFormat="false" ht="15" hidden="false" customHeight="false" outlineLevel="0" collapsed="false">
      <c r="V11395" s="23" t="str">
        <f aca="false">IF(ISNUMBER(C11395),YEAR(C11395),"")</f>
        <v/>
      </c>
      <c r="W11395" s="23" t="str">
        <f aca="false">IF(ISNUMBER(C11395),MONTH(C11395),"")</f>
        <v/>
      </c>
      <c r="X11395" s="23" t="str">
        <f aca="false">IF(T11395="","",IF(T11395=0,"No discount",IF(T11395&lt;=0.2,"Low (1-20%)",IF(T11395&lt;=0.4,"Medium (21-40%)","High (&gt;40%)"))))</f>
        <v/>
      </c>
      <c r="Y11395" s="23" t="str">
        <f aca="false">IF(AND(ISNUMBER(C11395),ISNUMBER(D11395)),D11395-C11395,"")</f>
        <v/>
      </c>
      <c r="Z11395" s="23" t="str">
        <f aca="false">IF(B11395="","",IF(MATCH(B11395,$B$2:$B$12000,0)=ROW()-1,1,0))</f>
        <v/>
      </c>
    </row>
    <row r="11396" customFormat="false" ht="15" hidden="false" customHeight="false" outlineLevel="0" collapsed="false">
      <c r="V11396" s="23" t="str">
        <f aca="false">IF(ISNUMBER(C11396),YEAR(C11396),"")</f>
        <v/>
      </c>
      <c r="W11396" s="23" t="str">
        <f aca="false">IF(ISNUMBER(C11396),MONTH(C11396),"")</f>
        <v/>
      </c>
      <c r="X11396" s="23" t="str">
        <f aca="false">IF(T11396="","",IF(T11396=0,"No discount",IF(T11396&lt;=0.2,"Low (1-20%)",IF(T11396&lt;=0.4,"Medium (21-40%)","High (&gt;40%)"))))</f>
        <v/>
      </c>
      <c r="Y11396" s="23" t="str">
        <f aca="false">IF(AND(ISNUMBER(C11396),ISNUMBER(D11396)),D11396-C11396,"")</f>
        <v/>
      </c>
      <c r="Z11396" s="23" t="str">
        <f aca="false">IF(B11396="","",IF(MATCH(B11396,$B$2:$B$12000,0)=ROW()-1,1,0))</f>
        <v/>
      </c>
    </row>
    <row r="11397" customFormat="false" ht="15" hidden="false" customHeight="false" outlineLevel="0" collapsed="false">
      <c r="V11397" s="23" t="str">
        <f aca="false">IF(ISNUMBER(C11397),YEAR(C11397),"")</f>
        <v/>
      </c>
      <c r="W11397" s="23" t="str">
        <f aca="false">IF(ISNUMBER(C11397),MONTH(C11397),"")</f>
        <v/>
      </c>
      <c r="X11397" s="23" t="str">
        <f aca="false">IF(T11397="","",IF(T11397=0,"No discount",IF(T11397&lt;=0.2,"Low (1-20%)",IF(T11397&lt;=0.4,"Medium (21-40%)","High (&gt;40%)"))))</f>
        <v/>
      </c>
      <c r="Y11397" s="23" t="str">
        <f aca="false">IF(AND(ISNUMBER(C11397),ISNUMBER(D11397)),D11397-C11397,"")</f>
        <v/>
      </c>
      <c r="Z11397" s="23" t="str">
        <f aca="false">IF(B11397="","",IF(MATCH(B11397,$B$2:$B$12000,0)=ROW()-1,1,0))</f>
        <v/>
      </c>
    </row>
    <row r="11398" customFormat="false" ht="15" hidden="false" customHeight="false" outlineLevel="0" collapsed="false">
      <c r="V11398" s="23" t="str">
        <f aca="false">IF(ISNUMBER(C11398),YEAR(C11398),"")</f>
        <v/>
      </c>
      <c r="W11398" s="23" t="str">
        <f aca="false">IF(ISNUMBER(C11398),MONTH(C11398),"")</f>
        <v/>
      </c>
      <c r="X11398" s="23" t="str">
        <f aca="false">IF(T11398="","",IF(T11398=0,"No discount",IF(T11398&lt;=0.2,"Low (1-20%)",IF(T11398&lt;=0.4,"Medium (21-40%)","High (&gt;40%)"))))</f>
        <v/>
      </c>
      <c r="Y11398" s="23" t="str">
        <f aca="false">IF(AND(ISNUMBER(C11398),ISNUMBER(D11398)),D11398-C11398,"")</f>
        <v/>
      </c>
      <c r="Z11398" s="23" t="str">
        <f aca="false">IF(B11398="","",IF(MATCH(B11398,$B$2:$B$12000,0)=ROW()-1,1,0))</f>
        <v/>
      </c>
    </row>
    <row r="11399" customFormat="false" ht="15" hidden="false" customHeight="false" outlineLevel="0" collapsed="false">
      <c r="V11399" s="23" t="str">
        <f aca="false">IF(ISNUMBER(C11399),YEAR(C11399),"")</f>
        <v/>
      </c>
      <c r="W11399" s="23" t="str">
        <f aca="false">IF(ISNUMBER(C11399),MONTH(C11399),"")</f>
        <v/>
      </c>
      <c r="X11399" s="23" t="str">
        <f aca="false">IF(T11399="","",IF(T11399=0,"No discount",IF(T11399&lt;=0.2,"Low (1-20%)",IF(T11399&lt;=0.4,"Medium (21-40%)","High (&gt;40%)"))))</f>
        <v/>
      </c>
      <c r="Y11399" s="23" t="str">
        <f aca="false">IF(AND(ISNUMBER(C11399),ISNUMBER(D11399)),D11399-C11399,"")</f>
        <v/>
      </c>
      <c r="Z11399" s="23" t="str">
        <f aca="false">IF(B11399="","",IF(MATCH(B11399,$B$2:$B$12000,0)=ROW()-1,1,0))</f>
        <v/>
      </c>
    </row>
    <row r="11400" customFormat="false" ht="15" hidden="false" customHeight="false" outlineLevel="0" collapsed="false">
      <c r="V11400" s="23" t="str">
        <f aca="false">IF(ISNUMBER(C11400),YEAR(C11400),"")</f>
        <v/>
      </c>
      <c r="W11400" s="23" t="str">
        <f aca="false">IF(ISNUMBER(C11400),MONTH(C11400),"")</f>
        <v/>
      </c>
      <c r="X11400" s="23" t="str">
        <f aca="false">IF(T11400="","",IF(T11400=0,"No discount",IF(T11400&lt;=0.2,"Low (1-20%)",IF(T11400&lt;=0.4,"Medium (21-40%)","High (&gt;40%)"))))</f>
        <v/>
      </c>
      <c r="Y11400" s="23" t="str">
        <f aca="false">IF(AND(ISNUMBER(C11400),ISNUMBER(D11400)),D11400-C11400,"")</f>
        <v/>
      </c>
      <c r="Z11400" s="23" t="str">
        <f aca="false">IF(B11400="","",IF(MATCH(B11400,$B$2:$B$12000,0)=ROW()-1,1,0))</f>
        <v/>
      </c>
    </row>
    <row r="11401" customFormat="false" ht="15" hidden="false" customHeight="false" outlineLevel="0" collapsed="false">
      <c r="V11401" s="23" t="str">
        <f aca="false">IF(ISNUMBER(C11401),YEAR(C11401),"")</f>
        <v/>
      </c>
      <c r="W11401" s="23" t="str">
        <f aca="false">IF(ISNUMBER(C11401),MONTH(C11401),"")</f>
        <v/>
      </c>
      <c r="X11401" s="23" t="str">
        <f aca="false">IF(T11401="","",IF(T11401=0,"No discount",IF(T11401&lt;=0.2,"Low (1-20%)",IF(T11401&lt;=0.4,"Medium (21-40%)","High (&gt;40%)"))))</f>
        <v/>
      </c>
      <c r="Y11401" s="23" t="str">
        <f aca="false">IF(AND(ISNUMBER(C11401),ISNUMBER(D11401)),D11401-C11401,"")</f>
        <v/>
      </c>
      <c r="Z11401" s="23" t="str">
        <f aca="false">IF(B11401="","",IF(MATCH(B11401,$B$2:$B$12000,0)=ROW()-1,1,0))</f>
        <v/>
      </c>
    </row>
    <row r="11402" customFormat="false" ht="15" hidden="false" customHeight="false" outlineLevel="0" collapsed="false">
      <c r="V11402" s="23" t="str">
        <f aca="false">IF(ISNUMBER(C11402),YEAR(C11402),"")</f>
        <v/>
      </c>
      <c r="W11402" s="23" t="str">
        <f aca="false">IF(ISNUMBER(C11402),MONTH(C11402),"")</f>
        <v/>
      </c>
      <c r="X11402" s="23" t="str">
        <f aca="false">IF(T11402="","",IF(T11402=0,"No discount",IF(T11402&lt;=0.2,"Low (1-20%)",IF(T11402&lt;=0.4,"Medium (21-40%)","High (&gt;40%)"))))</f>
        <v/>
      </c>
      <c r="Y11402" s="23" t="str">
        <f aca="false">IF(AND(ISNUMBER(C11402),ISNUMBER(D11402)),D11402-C11402,"")</f>
        <v/>
      </c>
      <c r="Z11402" s="23" t="str">
        <f aca="false">IF(B11402="","",IF(MATCH(B11402,$B$2:$B$12000,0)=ROW()-1,1,0))</f>
        <v/>
      </c>
    </row>
    <row r="11403" customFormat="false" ht="15" hidden="false" customHeight="false" outlineLevel="0" collapsed="false">
      <c r="V11403" s="23" t="str">
        <f aca="false">IF(ISNUMBER(C11403),YEAR(C11403),"")</f>
        <v/>
      </c>
      <c r="W11403" s="23" t="str">
        <f aca="false">IF(ISNUMBER(C11403),MONTH(C11403),"")</f>
        <v/>
      </c>
      <c r="X11403" s="23" t="str">
        <f aca="false">IF(T11403="","",IF(T11403=0,"No discount",IF(T11403&lt;=0.2,"Low (1-20%)",IF(T11403&lt;=0.4,"Medium (21-40%)","High (&gt;40%)"))))</f>
        <v/>
      </c>
      <c r="Y11403" s="23" t="str">
        <f aca="false">IF(AND(ISNUMBER(C11403),ISNUMBER(D11403)),D11403-C11403,"")</f>
        <v/>
      </c>
      <c r="Z11403" s="23" t="str">
        <f aca="false">IF(B11403="","",IF(MATCH(B11403,$B$2:$B$12000,0)=ROW()-1,1,0))</f>
        <v/>
      </c>
    </row>
    <row r="11404" customFormat="false" ht="15" hidden="false" customHeight="false" outlineLevel="0" collapsed="false">
      <c r="V11404" s="23" t="str">
        <f aca="false">IF(ISNUMBER(C11404),YEAR(C11404),"")</f>
        <v/>
      </c>
      <c r="W11404" s="23" t="str">
        <f aca="false">IF(ISNUMBER(C11404),MONTH(C11404),"")</f>
        <v/>
      </c>
      <c r="X11404" s="23" t="str">
        <f aca="false">IF(T11404="","",IF(T11404=0,"No discount",IF(T11404&lt;=0.2,"Low (1-20%)",IF(T11404&lt;=0.4,"Medium (21-40%)","High (&gt;40%)"))))</f>
        <v/>
      </c>
      <c r="Y11404" s="23" t="str">
        <f aca="false">IF(AND(ISNUMBER(C11404),ISNUMBER(D11404)),D11404-C11404,"")</f>
        <v/>
      </c>
      <c r="Z11404" s="23" t="str">
        <f aca="false">IF(B11404="","",IF(MATCH(B11404,$B$2:$B$12000,0)=ROW()-1,1,0))</f>
        <v/>
      </c>
    </row>
    <row r="11405" customFormat="false" ht="15" hidden="false" customHeight="false" outlineLevel="0" collapsed="false">
      <c r="V11405" s="23" t="str">
        <f aca="false">IF(ISNUMBER(C11405),YEAR(C11405),"")</f>
        <v/>
      </c>
      <c r="W11405" s="23" t="str">
        <f aca="false">IF(ISNUMBER(C11405),MONTH(C11405),"")</f>
        <v/>
      </c>
      <c r="X11405" s="23" t="str">
        <f aca="false">IF(T11405="","",IF(T11405=0,"No discount",IF(T11405&lt;=0.2,"Low (1-20%)",IF(T11405&lt;=0.4,"Medium (21-40%)","High (&gt;40%)"))))</f>
        <v/>
      </c>
      <c r="Y11405" s="23" t="str">
        <f aca="false">IF(AND(ISNUMBER(C11405),ISNUMBER(D11405)),D11405-C11405,"")</f>
        <v/>
      </c>
      <c r="Z11405" s="23" t="str">
        <f aca="false">IF(B11405="","",IF(MATCH(B11405,$B$2:$B$12000,0)=ROW()-1,1,0))</f>
        <v/>
      </c>
    </row>
    <row r="11406" customFormat="false" ht="15" hidden="false" customHeight="false" outlineLevel="0" collapsed="false">
      <c r="V11406" s="23" t="str">
        <f aca="false">IF(ISNUMBER(C11406),YEAR(C11406),"")</f>
        <v/>
      </c>
      <c r="W11406" s="23" t="str">
        <f aca="false">IF(ISNUMBER(C11406),MONTH(C11406),"")</f>
        <v/>
      </c>
      <c r="X11406" s="23" t="str">
        <f aca="false">IF(T11406="","",IF(T11406=0,"No discount",IF(T11406&lt;=0.2,"Low (1-20%)",IF(T11406&lt;=0.4,"Medium (21-40%)","High (&gt;40%)"))))</f>
        <v/>
      </c>
      <c r="Y11406" s="23" t="str">
        <f aca="false">IF(AND(ISNUMBER(C11406),ISNUMBER(D11406)),D11406-C11406,"")</f>
        <v/>
      </c>
      <c r="Z11406" s="23" t="str">
        <f aca="false">IF(B11406="","",IF(MATCH(B11406,$B$2:$B$12000,0)=ROW()-1,1,0))</f>
        <v/>
      </c>
    </row>
    <row r="11407" customFormat="false" ht="15" hidden="false" customHeight="false" outlineLevel="0" collapsed="false">
      <c r="V11407" s="23" t="str">
        <f aca="false">IF(ISNUMBER(C11407),YEAR(C11407),"")</f>
        <v/>
      </c>
      <c r="W11407" s="23" t="str">
        <f aca="false">IF(ISNUMBER(C11407),MONTH(C11407),"")</f>
        <v/>
      </c>
      <c r="X11407" s="23" t="str">
        <f aca="false">IF(T11407="","",IF(T11407=0,"No discount",IF(T11407&lt;=0.2,"Low (1-20%)",IF(T11407&lt;=0.4,"Medium (21-40%)","High (&gt;40%)"))))</f>
        <v/>
      </c>
      <c r="Y11407" s="23" t="str">
        <f aca="false">IF(AND(ISNUMBER(C11407),ISNUMBER(D11407)),D11407-C11407,"")</f>
        <v/>
      </c>
      <c r="Z11407" s="23" t="str">
        <f aca="false">IF(B11407="","",IF(MATCH(B11407,$B$2:$B$12000,0)=ROW()-1,1,0))</f>
        <v/>
      </c>
    </row>
    <row r="11408" customFormat="false" ht="15" hidden="false" customHeight="false" outlineLevel="0" collapsed="false">
      <c r="V11408" s="23" t="str">
        <f aca="false">IF(ISNUMBER(C11408),YEAR(C11408),"")</f>
        <v/>
      </c>
      <c r="W11408" s="23" t="str">
        <f aca="false">IF(ISNUMBER(C11408),MONTH(C11408),"")</f>
        <v/>
      </c>
      <c r="X11408" s="23" t="str">
        <f aca="false">IF(T11408="","",IF(T11408=0,"No discount",IF(T11408&lt;=0.2,"Low (1-20%)",IF(T11408&lt;=0.4,"Medium (21-40%)","High (&gt;40%)"))))</f>
        <v/>
      </c>
      <c r="Y11408" s="23" t="str">
        <f aca="false">IF(AND(ISNUMBER(C11408),ISNUMBER(D11408)),D11408-C11408,"")</f>
        <v/>
      </c>
      <c r="Z11408" s="23" t="str">
        <f aca="false">IF(B11408="","",IF(MATCH(B11408,$B$2:$B$12000,0)=ROW()-1,1,0))</f>
        <v/>
      </c>
    </row>
    <row r="11409" customFormat="false" ht="15" hidden="false" customHeight="false" outlineLevel="0" collapsed="false">
      <c r="V11409" s="23" t="str">
        <f aca="false">IF(ISNUMBER(C11409),YEAR(C11409),"")</f>
        <v/>
      </c>
      <c r="W11409" s="23" t="str">
        <f aca="false">IF(ISNUMBER(C11409),MONTH(C11409),"")</f>
        <v/>
      </c>
      <c r="X11409" s="23" t="str">
        <f aca="false">IF(T11409="","",IF(T11409=0,"No discount",IF(T11409&lt;=0.2,"Low (1-20%)",IF(T11409&lt;=0.4,"Medium (21-40%)","High (&gt;40%)"))))</f>
        <v/>
      </c>
      <c r="Y11409" s="23" t="str">
        <f aca="false">IF(AND(ISNUMBER(C11409),ISNUMBER(D11409)),D11409-C11409,"")</f>
        <v/>
      </c>
      <c r="Z11409" s="23" t="str">
        <f aca="false">IF(B11409="","",IF(MATCH(B11409,$B$2:$B$12000,0)=ROW()-1,1,0))</f>
        <v/>
      </c>
    </row>
    <row r="11410" customFormat="false" ht="15" hidden="false" customHeight="false" outlineLevel="0" collapsed="false">
      <c r="V11410" s="23" t="str">
        <f aca="false">IF(ISNUMBER(C11410),YEAR(C11410),"")</f>
        <v/>
      </c>
      <c r="W11410" s="23" t="str">
        <f aca="false">IF(ISNUMBER(C11410),MONTH(C11410),"")</f>
        <v/>
      </c>
      <c r="X11410" s="23" t="str">
        <f aca="false">IF(T11410="","",IF(T11410=0,"No discount",IF(T11410&lt;=0.2,"Low (1-20%)",IF(T11410&lt;=0.4,"Medium (21-40%)","High (&gt;40%)"))))</f>
        <v/>
      </c>
      <c r="Y11410" s="23" t="str">
        <f aca="false">IF(AND(ISNUMBER(C11410),ISNUMBER(D11410)),D11410-C11410,"")</f>
        <v/>
      </c>
      <c r="Z11410" s="23" t="str">
        <f aca="false">IF(B11410="","",IF(MATCH(B11410,$B$2:$B$12000,0)=ROW()-1,1,0))</f>
        <v/>
      </c>
    </row>
    <row r="11411" customFormat="false" ht="15" hidden="false" customHeight="false" outlineLevel="0" collapsed="false">
      <c r="V11411" s="23" t="str">
        <f aca="false">IF(ISNUMBER(C11411),YEAR(C11411),"")</f>
        <v/>
      </c>
      <c r="W11411" s="23" t="str">
        <f aca="false">IF(ISNUMBER(C11411),MONTH(C11411),"")</f>
        <v/>
      </c>
      <c r="X11411" s="23" t="str">
        <f aca="false">IF(T11411="","",IF(T11411=0,"No discount",IF(T11411&lt;=0.2,"Low (1-20%)",IF(T11411&lt;=0.4,"Medium (21-40%)","High (&gt;40%)"))))</f>
        <v/>
      </c>
      <c r="Y11411" s="23" t="str">
        <f aca="false">IF(AND(ISNUMBER(C11411),ISNUMBER(D11411)),D11411-C11411,"")</f>
        <v/>
      </c>
      <c r="Z11411" s="23" t="str">
        <f aca="false">IF(B11411="","",IF(MATCH(B11411,$B$2:$B$12000,0)=ROW()-1,1,0))</f>
        <v/>
      </c>
    </row>
    <row r="11412" customFormat="false" ht="15" hidden="false" customHeight="false" outlineLevel="0" collapsed="false">
      <c r="V11412" s="23" t="str">
        <f aca="false">IF(ISNUMBER(C11412),YEAR(C11412),"")</f>
        <v/>
      </c>
      <c r="W11412" s="23" t="str">
        <f aca="false">IF(ISNUMBER(C11412),MONTH(C11412),"")</f>
        <v/>
      </c>
      <c r="X11412" s="23" t="str">
        <f aca="false">IF(T11412="","",IF(T11412=0,"No discount",IF(T11412&lt;=0.2,"Low (1-20%)",IF(T11412&lt;=0.4,"Medium (21-40%)","High (&gt;40%)"))))</f>
        <v/>
      </c>
      <c r="Y11412" s="23" t="str">
        <f aca="false">IF(AND(ISNUMBER(C11412),ISNUMBER(D11412)),D11412-C11412,"")</f>
        <v/>
      </c>
      <c r="Z11412" s="23" t="str">
        <f aca="false">IF(B11412="","",IF(MATCH(B11412,$B$2:$B$12000,0)=ROW()-1,1,0))</f>
        <v/>
      </c>
    </row>
    <row r="11413" customFormat="false" ht="15" hidden="false" customHeight="false" outlineLevel="0" collapsed="false">
      <c r="V11413" s="23" t="str">
        <f aca="false">IF(ISNUMBER(C11413),YEAR(C11413),"")</f>
        <v/>
      </c>
      <c r="W11413" s="23" t="str">
        <f aca="false">IF(ISNUMBER(C11413),MONTH(C11413),"")</f>
        <v/>
      </c>
      <c r="X11413" s="23" t="str">
        <f aca="false">IF(T11413="","",IF(T11413=0,"No discount",IF(T11413&lt;=0.2,"Low (1-20%)",IF(T11413&lt;=0.4,"Medium (21-40%)","High (&gt;40%)"))))</f>
        <v/>
      </c>
      <c r="Y11413" s="23" t="str">
        <f aca="false">IF(AND(ISNUMBER(C11413),ISNUMBER(D11413)),D11413-C11413,"")</f>
        <v/>
      </c>
      <c r="Z11413" s="23" t="str">
        <f aca="false">IF(B11413="","",IF(MATCH(B11413,$B$2:$B$12000,0)=ROW()-1,1,0))</f>
        <v/>
      </c>
    </row>
    <row r="11414" customFormat="false" ht="15" hidden="false" customHeight="false" outlineLevel="0" collapsed="false">
      <c r="V11414" s="23" t="str">
        <f aca="false">IF(ISNUMBER(C11414),YEAR(C11414),"")</f>
        <v/>
      </c>
      <c r="W11414" s="23" t="str">
        <f aca="false">IF(ISNUMBER(C11414),MONTH(C11414),"")</f>
        <v/>
      </c>
      <c r="X11414" s="23" t="str">
        <f aca="false">IF(T11414="","",IF(T11414=0,"No discount",IF(T11414&lt;=0.2,"Low (1-20%)",IF(T11414&lt;=0.4,"Medium (21-40%)","High (&gt;40%)"))))</f>
        <v/>
      </c>
      <c r="Y11414" s="23" t="str">
        <f aca="false">IF(AND(ISNUMBER(C11414),ISNUMBER(D11414)),D11414-C11414,"")</f>
        <v/>
      </c>
      <c r="Z11414" s="23" t="str">
        <f aca="false">IF(B11414="","",IF(MATCH(B11414,$B$2:$B$12000,0)=ROW()-1,1,0))</f>
        <v/>
      </c>
    </row>
    <row r="11415" customFormat="false" ht="15" hidden="false" customHeight="false" outlineLevel="0" collapsed="false">
      <c r="V11415" s="23" t="str">
        <f aca="false">IF(ISNUMBER(C11415),YEAR(C11415),"")</f>
        <v/>
      </c>
      <c r="W11415" s="23" t="str">
        <f aca="false">IF(ISNUMBER(C11415),MONTH(C11415),"")</f>
        <v/>
      </c>
      <c r="X11415" s="23" t="str">
        <f aca="false">IF(T11415="","",IF(T11415=0,"No discount",IF(T11415&lt;=0.2,"Low (1-20%)",IF(T11415&lt;=0.4,"Medium (21-40%)","High (&gt;40%)"))))</f>
        <v/>
      </c>
      <c r="Y11415" s="23" t="str">
        <f aca="false">IF(AND(ISNUMBER(C11415),ISNUMBER(D11415)),D11415-C11415,"")</f>
        <v/>
      </c>
      <c r="Z11415" s="23" t="str">
        <f aca="false">IF(B11415="","",IF(MATCH(B11415,$B$2:$B$12000,0)=ROW()-1,1,0))</f>
        <v/>
      </c>
    </row>
    <row r="11416" customFormat="false" ht="15" hidden="false" customHeight="false" outlineLevel="0" collapsed="false">
      <c r="V11416" s="23" t="str">
        <f aca="false">IF(ISNUMBER(C11416),YEAR(C11416),"")</f>
        <v/>
      </c>
      <c r="W11416" s="23" t="str">
        <f aca="false">IF(ISNUMBER(C11416),MONTH(C11416),"")</f>
        <v/>
      </c>
      <c r="X11416" s="23" t="str">
        <f aca="false">IF(T11416="","",IF(T11416=0,"No discount",IF(T11416&lt;=0.2,"Low (1-20%)",IF(T11416&lt;=0.4,"Medium (21-40%)","High (&gt;40%)"))))</f>
        <v/>
      </c>
      <c r="Y11416" s="23" t="str">
        <f aca="false">IF(AND(ISNUMBER(C11416),ISNUMBER(D11416)),D11416-C11416,"")</f>
        <v/>
      </c>
      <c r="Z11416" s="23" t="str">
        <f aca="false">IF(B11416="","",IF(MATCH(B11416,$B$2:$B$12000,0)=ROW()-1,1,0))</f>
        <v/>
      </c>
    </row>
    <row r="11417" customFormat="false" ht="15" hidden="false" customHeight="false" outlineLevel="0" collapsed="false">
      <c r="V11417" s="23" t="str">
        <f aca="false">IF(ISNUMBER(C11417),YEAR(C11417),"")</f>
        <v/>
      </c>
      <c r="W11417" s="23" t="str">
        <f aca="false">IF(ISNUMBER(C11417),MONTH(C11417),"")</f>
        <v/>
      </c>
      <c r="X11417" s="23" t="str">
        <f aca="false">IF(T11417="","",IF(T11417=0,"No discount",IF(T11417&lt;=0.2,"Low (1-20%)",IF(T11417&lt;=0.4,"Medium (21-40%)","High (&gt;40%)"))))</f>
        <v/>
      </c>
      <c r="Y11417" s="23" t="str">
        <f aca="false">IF(AND(ISNUMBER(C11417),ISNUMBER(D11417)),D11417-C11417,"")</f>
        <v/>
      </c>
      <c r="Z11417" s="23" t="str">
        <f aca="false">IF(B11417="","",IF(MATCH(B11417,$B$2:$B$12000,0)=ROW()-1,1,0))</f>
        <v/>
      </c>
    </row>
    <row r="11418" customFormat="false" ht="15" hidden="false" customHeight="false" outlineLevel="0" collapsed="false">
      <c r="V11418" s="23" t="str">
        <f aca="false">IF(ISNUMBER(C11418),YEAR(C11418),"")</f>
        <v/>
      </c>
      <c r="W11418" s="23" t="str">
        <f aca="false">IF(ISNUMBER(C11418),MONTH(C11418),"")</f>
        <v/>
      </c>
      <c r="X11418" s="23" t="str">
        <f aca="false">IF(T11418="","",IF(T11418=0,"No discount",IF(T11418&lt;=0.2,"Low (1-20%)",IF(T11418&lt;=0.4,"Medium (21-40%)","High (&gt;40%)"))))</f>
        <v/>
      </c>
      <c r="Y11418" s="23" t="str">
        <f aca="false">IF(AND(ISNUMBER(C11418),ISNUMBER(D11418)),D11418-C11418,"")</f>
        <v/>
      </c>
      <c r="Z11418" s="23" t="str">
        <f aca="false">IF(B11418="","",IF(MATCH(B11418,$B$2:$B$12000,0)=ROW()-1,1,0))</f>
        <v/>
      </c>
    </row>
    <row r="11419" customFormat="false" ht="15" hidden="false" customHeight="false" outlineLevel="0" collapsed="false">
      <c r="V11419" s="23" t="str">
        <f aca="false">IF(ISNUMBER(C11419),YEAR(C11419),"")</f>
        <v/>
      </c>
      <c r="W11419" s="23" t="str">
        <f aca="false">IF(ISNUMBER(C11419),MONTH(C11419),"")</f>
        <v/>
      </c>
      <c r="X11419" s="23" t="str">
        <f aca="false">IF(T11419="","",IF(T11419=0,"No discount",IF(T11419&lt;=0.2,"Low (1-20%)",IF(T11419&lt;=0.4,"Medium (21-40%)","High (&gt;40%)"))))</f>
        <v/>
      </c>
      <c r="Y11419" s="23" t="str">
        <f aca="false">IF(AND(ISNUMBER(C11419),ISNUMBER(D11419)),D11419-C11419,"")</f>
        <v/>
      </c>
      <c r="Z11419" s="23" t="str">
        <f aca="false">IF(B11419="","",IF(MATCH(B11419,$B$2:$B$12000,0)=ROW()-1,1,0))</f>
        <v/>
      </c>
    </row>
    <row r="11420" customFormat="false" ht="15" hidden="false" customHeight="false" outlineLevel="0" collapsed="false">
      <c r="V11420" s="23" t="str">
        <f aca="false">IF(ISNUMBER(C11420),YEAR(C11420),"")</f>
        <v/>
      </c>
      <c r="W11420" s="23" t="str">
        <f aca="false">IF(ISNUMBER(C11420),MONTH(C11420),"")</f>
        <v/>
      </c>
      <c r="X11420" s="23" t="str">
        <f aca="false">IF(T11420="","",IF(T11420=0,"No discount",IF(T11420&lt;=0.2,"Low (1-20%)",IF(T11420&lt;=0.4,"Medium (21-40%)","High (&gt;40%)"))))</f>
        <v/>
      </c>
      <c r="Y11420" s="23" t="str">
        <f aca="false">IF(AND(ISNUMBER(C11420),ISNUMBER(D11420)),D11420-C11420,"")</f>
        <v/>
      </c>
      <c r="Z11420" s="23" t="str">
        <f aca="false">IF(B11420="","",IF(MATCH(B11420,$B$2:$B$12000,0)=ROW()-1,1,0))</f>
        <v/>
      </c>
    </row>
    <row r="11421" customFormat="false" ht="15" hidden="false" customHeight="false" outlineLevel="0" collapsed="false">
      <c r="V11421" s="23" t="str">
        <f aca="false">IF(ISNUMBER(C11421),YEAR(C11421),"")</f>
        <v/>
      </c>
      <c r="W11421" s="23" t="str">
        <f aca="false">IF(ISNUMBER(C11421),MONTH(C11421),"")</f>
        <v/>
      </c>
      <c r="X11421" s="23" t="str">
        <f aca="false">IF(T11421="","",IF(T11421=0,"No discount",IF(T11421&lt;=0.2,"Low (1-20%)",IF(T11421&lt;=0.4,"Medium (21-40%)","High (&gt;40%)"))))</f>
        <v/>
      </c>
      <c r="Y11421" s="23" t="str">
        <f aca="false">IF(AND(ISNUMBER(C11421),ISNUMBER(D11421)),D11421-C11421,"")</f>
        <v/>
      </c>
      <c r="Z11421" s="23" t="str">
        <f aca="false">IF(B11421="","",IF(MATCH(B11421,$B$2:$B$12000,0)=ROW()-1,1,0))</f>
        <v/>
      </c>
    </row>
    <row r="11422" customFormat="false" ht="15" hidden="false" customHeight="false" outlineLevel="0" collapsed="false">
      <c r="V11422" s="23" t="str">
        <f aca="false">IF(ISNUMBER(C11422),YEAR(C11422),"")</f>
        <v/>
      </c>
      <c r="W11422" s="23" t="str">
        <f aca="false">IF(ISNUMBER(C11422),MONTH(C11422),"")</f>
        <v/>
      </c>
      <c r="X11422" s="23" t="str">
        <f aca="false">IF(T11422="","",IF(T11422=0,"No discount",IF(T11422&lt;=0.2,"Low (1-20%)",IF(T11422&lt;=0.4,"Medium (21-40%)","High (&gt;40%)"))))</f>
        <v/>
      </c>
      <c r="Y11422" s="23" t="str">
        <f aca="false">IF(AND(ISNUMBER(C11422),ISNUMBER(D11422)),D11422-C11422,"")</f>
        <v/>
      </c>
      <c r="Z11422" s="23" t="str">
        <f aca="false">IF(B11422="","",IF(MATCH(B11422,$B$2:$B$12000,0)=ROW()-1,1,0))</f>
        <v/>
      </c>
    </row>
    <row r="11423" customFormat="false" ht="15" hidden="false" customHeight="false" outlineLevel="0" collapsed="false">
      <c r="V11423" s="23" t="str">
        <f aca="false">IF(ISNUMBER(C11423),YEAR(C11423),"")</f>
        <v/>
      </c>
      <c r="W11423" s="23" t="str">
        <f aca="false">IF(ISNUMBER(C11423),MONTH(C11423),"")</f>
        <v/>
      </c>
      <c r="X11423" s="23" t="str">
        <f aca="false">IF(T11423="","",IF(T11423=0,"No discount",IF(T11423&lt;=0.2,"Low (1-20%)",IF(T11423&lt;=0.4,"Medium (21-40%)","High (&gt;40%)"))))</f>
        <v/>
      </c>
      <c r="Y11423" s="23" t="str">
        <f aca="false">IF(AND(ISNUMBER(C11423),ISNUMBER(D11423)),D11423-C11423,"")</f>
        <v/>
      </c>
      <c r="Z11423" s="23" t="str">
        <f aca="false">IF(B11423="","",IF(MATCH(B11423,$B$2:$B$12000,0)=ROW()-1,1,0))</f>
        <v/>
      </c>
    </row>
    <row r="11424" customFormat="false" ht="15" hidden="false" customHeight="false" outlineLevel="0" collapsed="false">
      <c r="V11424" s="23" t="str">
        <f aca="false">IF(ISNUMBER(C11424),YEAR(C11424),"")</f>
        <v/>
      </c>
      <c r="W11424" s="23" t="str">
        <f aca="false">IF(ISNUMBER(C11424),MONTH(C11424),"")</f>
        <v/>
      </c>
      <c r="X11424" s="23" t="str">
        <f aca="false">IF(T11424="","",IF(T11424=0,"No discount",IF(T11424&lt;=0.2,"Low (1-20%)",IF(T11424&lt;=0.4,"Medium (21-40%)","High (&gt;40%)"))))</f>
        <v/>
      </c>
      <c r="Y11424" s="23" t="str">
        <f aca="false">IF(AND(ISNUMBER(C11424),ISNUMBER(D11424)),D11424-C11424,"")</f>
        <v/>
      </c>
      <c r="Z11424" s="23" t="str">
        <f aca="false">IF(B11424="","",IF(MATCH(B11424,$B$2:$B$12000,0)=ROW()-1,1,0))</f>
        <v/>
      </c>
    </row>
    <row r="11425" customFormat="false" ht="15" hidden="false" customHeight="false" outlineLevel="0" collapsed="false">
      <c r="V11425" s="23" t="str">
        <f aca="false">IF(ISNUMBER(C11425),YEAR(C11425),"")</f>
        <v/>
      </c>
      <c r="W11425" s="23" t="str">
        <f aca="false">IF(ISNUMBER(C11425),MONTH(C11425),"")</f>
        <v/>
      </c>
      <c r="X11425" s="23" t="str">
        <f aca="false">IF(T11425="","",IF(T11425=0,"No discount",IF(T11425&lt;=0.2,"Low (1-20%)",IF(T11425&lt;=0.4,"Medium (21-40%)","High (&gt;40%)"))))</f>
        <v/>
      </c>
      <c r="Y11425" s="23" t="str">
        <f aca="false">IF(AND(ISNUMBER(C11425),ISNUMBER(D11425)),D11425-C11425,"")</f>
        <v/>
      </c>
      <c r="Z11425" s="23" t="str">
        <f aca="false">IF(B11425="","",IF(MATCH(B11425,$B$2:$B$12000,0)=ROW()-1,1,0))</f>
        <v/>
      </c>
    </row>
    <row r="11426" customFormat="false" ht="15" hidden="false" customHeight="false" outlineLevel="0" collapsed="false">
      <c r="V11426" s="23" t="str">
        <f aca="false">IF(ISNUMBER(C11426),YEAR(C11426),"")</f>
        <v/>
      </c>
      <c r="W11426" s="23" t="str">
        <f aca="false">IF(ISNUMBER(C11426),MONTH(C11426),"")</f>
        <v/>
      </c>
      <c r="X11426" s="23" t="str">
        <f aca="false">IF(T11426="","",IF(T11426=0,"No discount",IF(T11426&lt;=0.2,"Low (1-20%)",IF(T11426&lt;=0.4,"Medium (21-40%)","High (&gt;40%)"))))</f>
        <v/>
      </c>
      <c r="Y11426" s="23" t="str">
        <f aca="false">IF(AND(ISNUMBER(C11426),ISNUMBER(D11426)),D11426-C11426,"")</f>
        <v/>
      </c>
      <c r="Z11426" s="23" t="str">
        <f aca="false">IF(B11426="","",IF(MATCH(B11426,$B$2:$B$12000,0)=ROW()-1,1,0))</f>
        <v/>
      </c>
    </row>
    <row r="11427" customFormat="false" ht="15" hidden="false" customHeight="false" outlineLevel="0" collapsed="false">
      <c r="V11427" s="23" t="str">
        <f aca="false">IF(ISNUMBER(C11427),YEAR(C11427),"")</f>
        <v/>
      </c>
      <c r="W11427" s="23" t="str">
        <f aca="false">IF(ISNUMBER(C11427),MONTH(C11427),"")</f>
        <v/>
      </c>
      <c r="X11427" s="23" t="str">
        <f aca="false">IF(T11427="","",IF(T11427=0,"No discount",IF(T11427&lt;=0.2,"Low (1-20%)",IF(T11427&lt;=0.4,"Medium (21-40%)","High (&gt;40%)"))))</f>
        <v/>
      </c>
      <c r="Y11427" s="23" t="str">
        <f aca="false">IF(AND(ISNUMBER(C11427),ISNUMBER(D11427)),D11427-C11427,"")</f>
        <v/>
      </c>
      <c r="Z11427" s="23" t="str">
        <f aca="false">IF(B11427="","",IF(MATCH(B11427,$B$2:$B$12000,0)=ROW()-1,1,0))</f>
        <v/>
      </c>
    </row>
    <row r="11428" customFormat="false" ht="15" hidden="false" customHeight="false" outlineLevel="0" collapsed="false">
      <c r="V11428" s="23" t="str">
        <f aca="false">IF(ISNUMBER(C11428),YEAR(C11428),"")</f>
        <v/>
      </c>
      <c r="W11428" s="23" t="str">
        <f aca="false">IF(ISNUMBER(C11428),MONTH(C11428),"")</f>
        <v/>
      </c>
      <c r="X11428" s="23" t="str">
        <f aca="false">IF(T11428="","",IF(T11428=0,"No discount",IF(T11428&lt;=0.2,"Low (1-20%)",IF(T11428&lt;=0.4,"Medium (21-40%)","High (&gt;40%)"))))</f>
        <v/>
      </c>
      <c r="Y11428" s="23" t="str">
        <f aca="false">IF(AND(ISNUMBER(C11428),ISNUMBER(D11428)),D11428-C11428,"")</f>
        <v/>
      </c>
      <c r="Z11428" s="23" t="str">
        <f aca="false">IF(B11428="","",IF(MATCH(B11428,$B$2:$B$12000,0)=ROW()-1,1,0))</f>
        <v/>
      </c>
    </row>
    <row r="11429" customFormat="false" ht="15" hidden="false" customHeight="false" outlineLevel="0" collapsed="false">
      <c r="V11429" s="23" t="str">
        <f aca="false">IF(ISNUMBER(C11429),YEAR(C11429),"")</f>
        <v/>
      </c>
      <c r="W11429" s="23" t="str">
        <f aca="false">IF(ISNUMBER(C11429),MONTH(C11429),"")</f>
        <v/>
      </c>
      <c r="X11429" s="23" t="str">
        <f aca="false">IF(T11429="","",IF(T11429=0,"No discount",IF(T11429&lt;=0.2,"Low (1-20%)",IF(T11429&lt;=0.4,"Medium (21-40%)","High (&gt;40%)"))))</f>
        <v/>
      </c>
      <c r="Y11429" s="23" t="str">
        <f aca="false">IF(AND(ISNUMBER(C11429),ISNUMBER(D11429)),D11429-C11429,"")</f>
        <v/>
      </c>
      <c r="Z11429" s="23" t="str">
        <f aca="false">IF(B11429="","",IF(MATCH(B11429,$B$2:$B$12000,0)=ROW()-1,1,0))</f>
        <v/>
      </c>
    </row>
    <row r="11430" customFormat="false" ht="15" hidden="false" customHeight="false" outlineLevel="0" collapsed="false">
      <c r="V11430" s="23" t="str">
        <f aca="false">IF(ISNUMBER(C11430),YEAR(C11430),"")</f>
        <v/>
      </c>
      <c r="W11430" s="23" t="str">
        <f aca="false">IF(ISNUMBER(C11430),MONTH(C11430),"")</f>
        <v/>
      </c>
      <c r="X11430" s="23" t="str">
        <f aca="false">IF(T11430="","",IF(T11430=0,"No discount",IF(T11430&lt;=0.2,"Low (1-20%)",IF(T11430&lt;=0.4,"Medium (21-40%)","High (&gt;40%)"))))</f>
        <v/>
      </c>
      <c r="Y11430" s="23" t="str">
        <f aca="false">IF(AND(ISNUMBER(C11430),ISNUMBER(D11430)),D11430-C11430,"")</f>
        <v/>
      </c>
      <c r="Z11430" s="23" t="str">
        <f aca="false">IF(B11430="","",IF(MATCH(B11430,$B$2:$B$12000,0)=ROW()-1,1,0))</f>
        <v/>
      </c>
    </row>
    <row r="11431" customFormat="false" ht="15" hidden="false" customHeight="false" outlineLevel="0" collapsed="false">
      <c r="V11431" s="23" t="str">
        <f aca="false">IF(ISNUMBER(C11431),YEAR(C11431),"")</f>
        <v/>
      </c>
      <c r="W11431" s="23" t="str">
        <f aca="false">IF(ISNUMBER(C11431),MONTH(C11431),"")</f>
        <v/>
      </c>
      <c r="X11431" s="23" t="str">
        <f aca="false">IF(T11431="","",IF(T11431=0,"No discount",IF(T11431&lt;=0.2,"Low (1-20%)",IF(T11431&lt;=0.4,"Medium (21-40%)","High (&gt;40%)"))))</f>
        <v/>
      </c>
      <c r="Y11431" s="23" t="str">
        <f aca="false">IF(AND(ISNUMBER(C11431),ISNUMBER(D11431)),D11431-C11431,"")</f>
        <v/>
      </c>
      <c r="Z11431" s="23" t="str">
        <f aca="false">IF(B11431="","",IF(MATCH(B11431,$B$2:$B$12000,0)=ROW()-1,1,0))</f>
        <v/>
      </c>
    </row>
    <row r="11432" customFormat="false" ht="15" hidden="false" customHeight="false" outlineLevel="0" collapsed="false">
      <c r="V11432" s="23" t="str">
        <f aca="false">IF(ISNUMBER(C11432),YEAR(C11432),"")</f>
        <v/>
      </c>
      <c r="W11432" s="23" t="str">
        <f aca="false">IF(ISNUMBER(C11432),MONTH(C11432),"")</f>
        <v/>
      </c>
      <c r="X11432" s="23" t="str">
        <f aca="false">IF(T11432="","",IF(T11432=0,"No discount",IF(T11432&lt;=0.2,"Low (1-20%)",IF(T11432&lt;=0.4,"Medium (21-40%)","High (&gt;40%)"))))</f>
        <v/>
      </c>
      <c r="Y11432" s="23" t="str">
        <f aca="false">IF(AND(ISNUMBER(C11432),ISNUMBER(D11432)),D11432-C11432,"")</f>
        <v/>
      </c>
      <c r="Z11432" s="23" t="str">
        <f aca="false">IF(B11432="","",IF(MATCH(B11432,$B$2:$B$12000,0)=ROW()-1,1,0))</f>
        <v/>
      </c>
    </row>
    <row r="11433" customFormat="false" ht="15" hidden="false" customHeight="false" outlineLevel="0" collapsed="false">
      <c r="V11433" s="23" t="str">
        <f aca="false">IF(ISNUMBER(C11433),YEAR(C11433),"")</f>
        <v/>
      </c>
      <c r="W11433" s="23" t="str">
        <f aca="false">IF(ISNUMBER(C11433),MONTH(C11433),"")</f>
        <v/>
      </c>
      <c r="X11433" s="23" t="str">
        <f aca="false">IF(T11433="","",IF(T11433=0,"No discount",IF(T11433&lt;=0.2,"Low (1-20%)",IF(T11433&lt;=0.4,"Medium (21-40%)","High (&gt;40%)"))))</f>
        <v/>
      </c>
      <c r="Y11433" s="23" t="str">
        <f aca="false">IF(AND(ISNUMBER(C11433),ISNUMBER(D11433)),D11433-C11433,"")</f>
        <v/>
      </c>
      <c r="Z11433" s="23" t="str">
        <f aca="false">IF(B11433="","",IF(MATCH(B11433,$B$2:$B$12000,0)=ROW()-1,1,0))</f>
        <v/>
      </c>
    </row>
    <row r="11434" customFormat="false" ht="15" hidden="false" customHeight="false" outlineLevel="0" collapsed="false">
      <c r="V11434" s="23" t="str">
        <f aca="false">IF(ISNUMBER(C11434),YEAR(C11434),"")</f>
        <v/>
      </c>
      <c r="W11434" s="23" t="str">
        <f aca="false">IF(ISNUMBER(C11434),MONTH(C11434),"")</f>
        <v/>
      </c>
      <c r="X11434" s="23" t="str">
        <f aca="false">IF(T11434="","",IF(T11434=0,"No discount",IF(T11434&lt;=0.2,"Low (1-20%)",IF(T11434&lt;=0.4,"Medium (21-40%)","High (&gt;40%)"))))</f>
        <v/>
      </c>
      <c r="Y11434" s="23" t="str">
        <f aca="false">IF(AND(ISNUMBER(C11434),ISNUMBER(D11434)),D11434-C11434,"")</f>
        <v/>
      </c>
      <c r="Z11434" s="23" t="str">
        <f aca="false">IF(B11434="","",IF(MATCH(B11434,$B$2:$B$12000,0)=ROW()-1,1,0))</f>
        <v/>
      </c>
    </row>
    <row r="11435" customFormat="false" ht="15" hidden="false" customHeight="false" outlineLevel="0" collapsed="false">
      <c r="V11435" s="23" t="str">
        <f aca="false">IF(ISNUMBER(C11435),YEAR(C11435),"")</f>
        <v/>
      </c>
      <c r="W11435" s="23" t="str">
        <f aca="false">IF(ISNUMBER(C11435),MONTH(C11435),"")</f>
        <v/>
      </c>
      <c r="X11435" s="23" t="str">
        <f aca="false">IF(T11435="","",IF(T11435=0,"No discount",IF(T11435&lt;=0.2,"Low (1-20%)",IF(T11435&lt;=0.4,"Medium (21-40%)","High (&gt;40%)"))))</f>
        <v/>
      </c>
      <c r="Y11435" s="23" t="str">
        <f aca="false">IF(AND(ISNUMBER(C11435),ISNUMBER(D11435)),D11435-C11435,"")</f>
        <v/>
      </c>
      <c r="Z11435" s="23" t="str">
        <f aca="false">IF(B11435="","",IF(MATCH(B11435,$B$2:$B$12000,0)=ROW()-1,1,0))</f>
        <v/>
      </c>
    </row>
    <row r="11436" customFormat="false" ht="15" hidden="false" customHeight="false" outlineLevel="0" collapsed="false">
      <c r="V11436" s="23" t="str">
        <f aca="false">IF(ISNUMBER(C11436),YEAR(C11436),"")</f>
        <v/>
      </c>
      <c r="W11436" s="23" t="str">
        <f aca="false">IF(ISNUMBER(C11436),MONTH(C11436),"")</f>
        <v/>
      </c>
      <c r="X11436" s="23" t="str">
        <f aca="false">IF(T11436="","",IF(T11436=0,"No discount",IF(T11436&lt;=0.2,"Low (1-20%)",IF(T11436&lt;=0.4,"Medium (21-40%)","High (&gt;40%)"))))</f>
        <v/>
      </c>
      <c r="Y11436" s="23" t="str">
        <f aca="false">IF(AND(ISNUMBER(C11436),ISNUMBER(D11436)),D11436-C11436,"")</f>
        <v/>
      </c>
      <c r="Z11436" s="23" t="str">
        <f aca="false">IF(B11436="","",IF(MATCH(B11436,$B$2:$B$12000,0)=ROW()-1,1,0))</f>
        <v/>
      </c>
    </row>
    <row r="11437" customFormat="false" ht="15" hidden="false" customHeight="false" outlineLevel="0" collapsed="false">
      <c r="V11437" s="23" t="str">
        <f aca="false">IF(ISNUMBER(C11437),YEAR(C11437),"")</f>
        <v/>
      </c>
      <c r="W11437" s="23" t="str">
        <f aca="false">IF(ISNUMBER(C11437),MONTH(C11437),"")</f>
        <v/>
      </c>
      <c r="X11437" s="23" t="str">
        <f aca="false">IF(T11437="","",IF(T11437=0,"No discount",IF(T11437&lt;=0.2,"Low (1-20%)",IF(T11437&lt;=0.4,"Medium (21-40%)","High (&gt;40%)"))))</f>
        <v/>
      </c>
      <c r="Y11437" s="23" t="str">
        <f aca="false">IF(AND(ISNUMBER(C11437),ISNUMBER(D11437)),D11437-C11437,"")</f>
        <v/>
      </c>
      <c r="Z11437" s="23" t="str">
        <f aca="false">IF(B11437="","",IF(MATCH(B11437,$B$2:$B$12000,0)=ROW()-1,1,0))</f>
        <v/>
      </c>
    </row>
    <row r="11438" customFormat="false" ht="15" hidden="false" customHeight="false" outlineLevel="0" collapsed="false">
      <c r="V11438" s="23" t="str">
        <f aca="false">IF(ISNUMBER(C11438),YEAR(C11438),"")</f>
        <v/>
      </c>
      <c r="W11438" s="23" t="str">
        <f aca="false">IF(ISNUMBER(C11438),MONTH(C11438),"")</f>
        <v/>
      </c>
      <c r="X11438" s="23" t="str">
        <f aca="false">IF(T11438="","",IF(T11438=0,"No discount",IF(T11438&lt;=0.2,"Low (1-20%)",IF(T11438&lt;=0.4,"Medium (21-40%)","High (&gt;40%)"))))</f>
        <v/>
      </c>
      <c r="Y11438" s="23" t="str">
        <f aca="false">IF(AND(ISNUMBER(C11438),ISNUMBER(D11438)),D11438-C11438,"")</f>
        <v/>
      </c>
      <c r="Z11438" s="23" t="str">
        <f aca="false">IF(B11438="","",IF(MATCH(B11438,$B$2:$B$12000,0)=ROW()-1,1,0))</f>
        <v/>
      </c>
    </row>
    <row r="11439" customFormat="false" ht="15" hidden="false" customHeight="false" outlineLevel="0" collapsed="false">
      <c r="V11439" s="23" t="str">
        <f aca="false">IF(ISNUMBER(C11439),YEAR(C11439),"")</f>
        <v/>
      </c>
      <c r="W11439" s="23" t="str">
        <f aca="false">IF(ISNUMBER(C11439),MONTH(C11439),"")</f>
        <v/>
      </c>
      <c r="X11439" s="23" t="str">
        <f aca="false">IF(T11439="","",IF(T11439=0,"No discount",IF(T11439&lt;=0.2,"Low (1-20%)",IF(T11439&lt;=0.4,"Medium (21-40%)","High (&gt;40%)"))))</f>
        <v/>
      </c>
      <c r="Y11439" s="23" t="str">
        <f aca="false">IF(AND(ISNUMBER(C11439),ISNUMBER(D11439)),D11439-C11439,"")</f>
        <v/>
      </c>
      <c r="Z11439" s="23" t="str">
        <f aca="false">IF(B11439="","",IF(MATCH(B11439,$B$2:$B$12000,0)=ROW()-1,1,0))</f>
        <v/>
      </c>
    </row>
    <row r="11440" customFormat="false" ht="15" hidden="false" customHeight="false" outlineLevel="0" collapsed="false">
      <c r="V11440" s="23" t="str">
        <f aca="false">IF(ISNUMBER(C11440),YEAR(C11440),"")</f>
        <v/>
      </c>
      <c r="W11440" s="23" t="str">
        <f aca="false">IF(ISNUMBER(C11440),MONTH(C11440),"")</f>
        <v/>
      </c>
      <c r="X11440" s="23" t="str">
        <f aca="false">IF(T11440="","",IF(T11440=0,"No discount",IF(T11440&lt;=0.2,"Low (1-20%)",IF(T11440&lt;=0.4,"Medium (21-40%)","High (&gt;40%)"))))</f>
        <v/>
      </c>
      <c r="Y11440" s="23" t="str">
        <f aca="false">IF(AND(ISNUMBER(C11440),ISNUMBER(D11440)),D11440-C11440,"")</f>
        <v/>
      </c>
      <c r="Z11440" s="23" t="str">
        <f aca="false">IF(B11440="","",IF(MATCH(B11440,$B$2:$B$12000,0)=ROW()-1,1,0))</f>
        <v/>
      </c>
    </row>
    <row r="11441" customFormat="false" ht="15" hidden="false" customHeight="false" outlineLevel="0" collapsed="false">
      <c r="V11441" s="23" t="str">
        <f aca="false">IF(ISNUMBER(C11441),YEAR(C11441),"")</f>
        <v/>
      </c>
      <c r="W11441" s="23" t="str">
        <f aca="false">IF(ISNUMBER(C11441),MONTH(C11441),"")</f>
        <v/>
      </c>
      <c r="X11441" s="23" t="str">
        <f aca="false">IF(T11441="","",IF(T11441=0,"No discount",IF(T11441&lt;=0.2,"Low (1-20%)",IF(T11441&lt;=0.4,"Medium (21-40%)","High (&gt;40%)"))))</f>
        <v/>
      </c>
      <c r="Y11441" s="23" t="str">
        <f aca="false">IF(AND(ISNUMBER(C11441),ISNUMBER(D11441)),D11441-C11441,"")</f>
        <v/>
      </c>
      <c r="Z11441" s="23" t="str">
        <f aca="false">IF(B11441="","",IF(MATCH(B11441,$B$2:$B$12000,0)=ROW()-1,1,0))</f>
        <v/>
      </c>
    </row>
    <row r="11442" customFormat="false" ht="15" hidden="false" customHeight="false" outlineLevel="0" collapsed="false">
      <c r="V11442" s="23" t="str">
        <f aca="false">IF(ISNUMBER(C11442),YEAR(C11442),"")</f>
        <v/>
      </c>
      <c r="W11442" s="23" t="str">
        <f aca="false">IF(ISNUMBER(C11442),MONTH(C11442),"")</f>
        <v/>
      </c>
      <c r="X11442" s="23" t="str">
        <f aca="false">IF(T11442="","",IF(T11442=0,"No discount",IF(T11442&lt;=0.2,"Low (1-20%)",IF(T11442&lt;=0.4,"Medium (21-40%)","High (&gt;40%)"))))</f>
        <v/>
      </c>
      <c r="Y11442" s="23" t="str">
        <f aca="false">IF(AND(ISNUMBER(C11442),ISNUMBER(D11442)),D11442-C11442,"")</f>
        <v/>
      </c>
      <c r="Z11442" s="23" t="str">
        <f aca="false">IF(B11442="","",IF(MATCH(B11442,$B$2:$B$12000,0)=ROW()-1,1,0))</f>
        <v/>
      </c>
    </row>
    <row r="11443" customFormat="false" ht="15" hidden="false" customHeight="false" outlineLevel="0" collapsed="false">
      <c r="V11443" s="23" t="str">
        <f aca="false">IF(ISNUMBER(C11443),YEAR(C11443),"")</f>
        <v/>
      </c>
      <c r="W11443" s="23" t="str">
        <f aca="false">IF(ISNUMBER(C11443),MONTH(C11443),"")</f>
        <v/>
      </c>
      <c r="X11443" s="23" t="str">
        <f aca="false">IF(T11443="","",IF(T11443=0,"No discount",IF(T11443&lt;=0.2,"Low (1-20%)",IF(T11443&lt;=0.4,"Medium (21-40%)","High (&gt;40%)"))))</f>
        <v/>
      </c>
      <c r="Y11443" s="23" t="str">
        <f aca="false">IF(AND(ISNUMBER(C11443),ISNUMBER(D11443)),D11443-C11443,"")</f>
        <v/>
      </c>
      <c r="Z11443" s="23" t="str">
        <f aca="false">IF(B11443="","",IF(MATCH(B11443,$B$2:$B$12000,0)=ROW()-1,1,0))</f>
        <v/>
      </c>
    </row>
    <row r="11444" customFormat="false" ht="15" hidden="false" customHeight="false" outlineLevel="0" collapsed="false">
      <c r="V11444" s="23" t="str">
        <f aca="false">IF(ISNUMBER(C11444),YEAR(C11444),"")</f>
        <v/>
      </c>
      <c r="W11444" s="23" t="str">
        <f aca="false">IF(ISNUMBER(C11444),MONTH(C11444),"")</f>
        <v/>
      </c>
      <c r="X11444" s="23" t="str">
        <f aca="false">IF(T11444="","",IF(T11444=0,"No discount",IF(T11444&lt;=0.2,"Low (1-20%)",IF(T11444&lt;=0.4,"Medium (21-40%)","High (&gt;40%)"))))</f>
        <v/>
      </c>
      <c r="Y11444" s="23" t="str">
        <f aca="false">IF(AND(ISNUMBER(C11444),ISNUMBER(D11444)),D11444-C11444,"")</f>
        <v/>
      </c>
      <c r="Z11444" s="23" t="str">
        <f aca="false">IF(B11444="","",IF(MATCH(B11444,$B$2:$B$12000,0)=ROW()-1,1,0))</f>
        <v/>
      </c>
    </row>
    <row r="11445" customFormat="false" ht="15" hidden="false" customHeight="false" outlineLevel="0" collapsed="false">
      <c r="V11445" s="23" t="str">
        <f aca="false">IF(ISNUMBER(C11445),YEAR(C11445),"")</f>
        <v/>
      </c>
      <c r="W11445" s="23" t="str">
        <f aca="false">IF(ISNUMBER(C11445),MONTH(C11445),"")</f>
        <v/>
      </c>
      <c r="X11445" s="23" t="str">
        <f aca="false">IF(T11445="","",IF(T11445=0,"No discount",IF(T11445&lt;=0.2,"Low (1-20%)",IF(T11445&lt;=0.4,"Medium (21-40%)","High (&gt;40%)"))))</f>
        <v/>
      </c>
      <c r="Y11445" s="23" t="str">
        <f aca="false">IF(AND(ISNUMBER(C11445),ISNUMBER(D11445)),D11445-C11445,"")</f>
        <v/>
      </c>
      <c r="Z11445" s="23" t="str">
        <f aca="false">IF(B11445="","",IF(MATCH(B11445,$B$2:$B$12000,0)=ROW()-1,1,0))</f>
        <v/>
      </c>
    </row>
    <row r="11446" customFormat="false" ht="15" hidden="false" customHeight="false" outlineLevel="0" collapsed="false">
      <c r="V11446" s="23" t="str">
        <f aca="false">IF(ISNUMBER(C11446),YEAR(C11446),"")</f>
        <v/>
      </c>
      <c r="W11446" s="23" t="str">
        <f aca="false">IF(ISNUMBER(C11446),MONTH(C11446),"")</f>
        <v/>
      </c>
      <c r="X11446" s="23" t="str">
        <f aca="false">IF(T11446="","",IF(T11446=0,"No discount",IF(T11446&lt;=0.2,"Low (1-20%)",IF(T11446&lt;=0.4,"Medium (21-40%)","High (&gt;40%)"))))</f>
        <v/>
      </c>
      <c r="Y11446" s="23" t="str">
        <f aca="false">IF(AND(ISNUMBER(C11446),ISNUMBER(D11446)),D11446-C11446,"")</f>
        <v/>
      </c>
      <c r="Z11446" s="23" t="str">
        <f aca="false">IF(B11446="","",IF(MATCH(B11446,$B$2:$B$12000,0)=ROW()-1,1,0))</f>
        <v/>
      </c>
    </row>
    <row r="11447" customFormat="false" ht="15" hidden="false" customHeight="false" outlineLevel="0" collapsed="false">
      <c r="V11447" s="23" t="str">
        <f aca="false">IF(ISNUMBER(C11447),YEAR(C11447),"")</f>
        <v/>
      </c>
      <c r="W11447" s="23" t="str">
        <f aca="false">IF(ISNUMBER(C11447),MONTH(C11447),"")</f>
        <v/>
      </c>
      <c r="X11447" s="23" t="str">
        <f aca="false">IF(T11447="","",IF(T11447=0,"No discount",IF(T11447&lt;=0.2,"Low (1-20%)",IF(T11447&lt;=0.4,"Medium (21-40%)","High (&gt;40%)"))))</f>
        <v/>
      </c>
      <c r="Y11447" s="23" t="str">
        <f aca="false">IF(AND(ISNUMBER(C11447),ISNUMBER(D11447)),D11447-C11447,"")</f>
        <v/>
      </c>
      <c r="Z11447" s="23" t="str">
        <f aca="false">IF(B11447="","",IF(MATCH(B11447,$B$2:$B$12000,0)=ROW()-1,1,0))</f>
        <v/>
      </c>
    </row>
    <row r="11448" customFormat="false" ht="15" hidden="false" customHeight="false" outlineLevel="0" collapsed="false">
      <c r="V11448" s="23" t="str">
        <f aca="false">IF(ISNUMBER(C11448),YEAR(C11448),"")</f>
        <v/>
      </c>
      <c r="W11448" s="23" t="str">
        <f aca="false">IF(ISNUMBER(C11448),MONTH(C11448),"")</f>
        <v/>
      </c>
      <c r="X11448" s="23" t="str">
        <f aca="false">IF(T11448="","",IF(T11448=0,"No discount",IF(T11448&lt;=0.2,"Low (1-20%)",IF(T11448&lt;=0.4,"Medium (21-40%)","High (&gt;40%)"))))</f>
        <v/>
      </c>
      <c r="Y11448" s="23" t="str">
        <f aca="false">IF(AND(ISNUMBER(C11448),ISNUMBER(D11448)),D11448-C11448,"")</f>
        <v/>
      </c>
      <c r="Z11448" s="23" t="str">
        <f aca="false">IF(B11448="","",IF(MATCH(B11448,$B$2:$B$12000,0)=ROW()-1,1,0))</f>
        <v/>
      </c>
    </row>
    <row r="11449" customFormat="false" ht="15" hidden="false" customHeight="false" outlineLevel="0" collapsed="false">
      <c r="V11449" s="23" t="str">
        <f aca="false">IF(ISNUMBER(C11449),YEAR(C11449),"")</f>
        <v/>
      </c>
      <c r="W11449" s="23" t="str">
        <f aca="false">IF(ISNUMBER(C11449),MONTH(C11449),"")</f>
        <v/>
      </c>
      <c r="X11449" s="23" t="str">
        <f aca="false">IF(T11449="","",IF(T11449=0,"No discount",IF(T11449&lt;=0.2,"Low (1-20%)",IF(T11449&lt;=0.4,"Medium (21-40%)","High (&gt;40%)"))))</f>
        <v/>
      </c>
      <c r="Y11449" s="23" t="str">
        <f aca="false">IF(AND(ISNUMBER(C11449),ISNUMBER(D11449)),D11449-C11449,"")</f>
        <v/>
      </c>
      <c r="Z11449" s="23" t="str">
        <f aca="false">IF(B11449="","",IF(MATCH(B11449,$B$2:$B$12000,0)=ROW()-1,1,0))</f>
        <v/>
      </c>
    </row>
    <row r="11450" customFormat="false" ht="15" hidden="false" customHeight="false" outlineLevel="0" collapsed="false">
      <c r="V11450" s="23" t="str">
        <f aca="false">IF(ISNUMBER(C11450),YEAR(C11450),"")</f>
        <v/>
      </c>
      <c r="W11450" s="23" t="str">
        <f aca="false">IF(ISNUMBER(C11450),MONTH(C11450),"")</f>
        <v/>
      </c>
      <c r="X11450" s="23" t="str">
        <f aca="false">IF(T11450="","",IF(T11450=0,"No discount",IF(T11450&lt;=0.2,"Low (1-20%)",IF(T11450&lt;=0.4,"Medium (21-40%)","High (&gt;40%)"))))</f>
        <v/>
      </c>
      <c r="Y11450" s="23" t="str">
        <f aca="false">IF(AND(ISNUMBER(C11450),ISNUMBER(D11450)),D11450-C11450,"")</f>
        <v/>
      </c>
      <c r="Z11450" s="23" t="str">
        <f aca="false">IF(B11450="","",IF(MATCH(B11450,$B$2:$B$12000,0)=ROW()-1,1,0))</f>
        <v/>
      </c>
    </row>
    <row r="11451" customFormat="false" ht="15" hidden="false" customHeight="false" outlineLevel="0" collapsed="false">
      <c r="V11451" s="23" t="str">
        <f aca="false">IF(ISNUMBER(C11451),YEAR(C11451),"")</f>
        <v/>
      </c>
      <c r="W11451" s="23" t="str">
        <f aca="false">IF(ISNUMBER(C11451),MONTH(C11451),"")</f>
        <v/>
      </c>
      <c r="X11451" s="23" t="str">
        <f aca="false">IF(T11451="","",IF(T11451=0,"No discount",IF(T11451&lt;=0.2,"Low (1-20%)",IF(T11451&lt;=0.4,"Medium (21-40%)","High (&gt;40%)"))))</f>
        <v/>
      </c>
      <c r="Y11451" s="23" t="str">
        <f aca="false">IF(AND(ISNUMBER(C11451),ISNUMBER(D11451)),D11451-C11451,"")</f>
        <v/>
      </c>
      <c r="Z11451" s="23" t="str">
        <f aca="false">IF(B11451="","",IF(MATCH(B11451,$B$2:$B$12000,0)=ROW()-1,1,0))</f>
        <v/>
      </c>
    </row>
    <row r="11452" customFormat="false" ht="15" hidden="false" customHeight="false" outlineLevel="0" collapsed="false">
      <c r="V11452" s="23" t="str">
        <f aca="false">IF(ISNUMBER(C11452),YEAR(C11452),"")</f>
        <v/>
      </c>
      <c r="W11452" s="23" t="str">
        <f aca="false">IF(ISNUMBER(C11452),MONTH(C11452),"")</f>
        <v/>
      </c>
      <c r="X11452" s="23" t="str">
        <f aca="false">IF(T11452="","",IF(T11452=0,"No discount",IF(T11452&lt;=0.2,"Low (1-20%)",IF(T11452&lt;=0.4,"Medium (21-40%)","High (&gt;40%)"))))</f>
        <v/>
      </c>
      <c r="Y11452" s="23" t="str">
        <f aca="false">IF(AND(ISNUMBER(C11452),ISNUMBER(D11452)),D11452-C11452,"")</f>
        <v/>
      </c>
      <c r="Z11452" s="23" t="str">
        <f aca="false">IF(B11452="","",IF(MATCH(B11452,$B$2:$B$12000,0)=ROW()-1,1,0))</f>
        <v/>
      </c>
    </row>
    <row r="11453" customFormat="false" ht="15" hidden="false" customHeight="false" outlineLevel="0" collapsed="false">
      <c r="V11453" s="23" t="str">
        <f aca="false">IF(ISNUMBER(C11453),YEAR(C11453),"")</f>
        <v/>
      </c>
      <c r="W11453" s="23" t="str">
        <f aca="false">IF(ISNUMBER(C11453),MONTH(C11453),"")</f>
        <v/>
      </c>
      <c r="X11453" s="23" t="str">
        <f aca="false">IF(T11453="","",IF(T11453=0,"No discount",IF(T11453&lt;=0.2,"Low (1-20%)",IF(T11453&lt;=0.4,"Medium (21-40%)","High (&gt;40%)"))))</f>
        <v/>
      </c>
      <c r="Y11453" s="23" t="str">
        <f aca="false">IF(AND(ISNUMBER(C11453),ISNUMBER(D11453)),D11453-C11453,"")</f>
        <v/>
      </c>
      <c r="Z11453" s="23" t="str">
        <f aca="false">IF(B11453="","",IF(MATCH(B11453,$B$2:$B$12000,0)=ROW()-1,1,0))</f>
        <v/>
      </c>
    </row>
    <row r="11454" customFormat="false" ht="15" hidden="false" customHeight="false" outlineLevel="0" collapsed="false">
      <c r="V11454" s="23" t="str">
        <f aca="false">IF(ISNUMBER(C11454),YEAR(C11454),"")</f>
        <v/>
      </c>
      <c r="W11454" s="23" t="str">
        <f aca="false">IF(ISNUMBER(C11454),MONTH(C11454),"")</f>
        <v/>
      </c>
      <c r="X11454" s="23" t="str">
        <f aca="false">IF(T11454="","",IF(T11454=0,"No discount",IF(T11454&lt;=0.2,"Low (1-20%)",IF(T11454&lt;=0.4,"Medium (21-40%)","High (&gt;40%)"))))</f>
        <v/>
      </c>
      <c r="Y11454" s="23" t="str">
        <f aca="false">IF(AND(ISNUMBER(C11454),ISNUMBER(D11454)),D11454-C11454,"")</f>
        <v/>
      </c>
      <c r="Z11454" s="23" t="str">
        <f aca="false">IF(B11454="","",IF(MATCH(B11454,$B$2:$B$12000,0)=ROW()-1,1,0))</f>
        <v/>
      </c>
    </row>
    <row r="11455" customFormat="false" ht="15" hidden="false" customHeight="false" outlineLevel="0" collapsed="false">
      <c r="V11455" s="23" t="str">
        <f aca="false">IF(ISNUMBER(C11455),YEAR(C11455),"")</f>
        <v/>
      </c>
      <c r="W11455" s="23" t="str">
        <f aca="false">IF(ISNUMBER(C11455),MONTH(C11455),"")</f>
        <v/>
      </c>
      <c r="X11455" s="23" t="str">
        <f aca="false">IF(T11455="","",IF(T11455=0,"No discount",IF(T11455&lt;=0.2,"Low (1-20%)",IF(T11455&lt;=0.4,"Medium (21-40%)","High (&gt;40%)"))))</f>
        <v/>
      </c>
      <c r="Y11455" s="23" t="str">
        <f aca="false">IF(AND(ISNUMBER(C11455),ISNUMBER(D11455)),D11455-C11455,"")</f>
        <v/>
      </c>
      <c r="Z11455" s="23" t="str">
        <f aca="false">IF(B11455="","",IF(MATCH(B11455,$B$2:$B$12000,0)=ROW()-1,1,0))</f>
        <v/>
      </c>
    </row>
    <row r="11456" customFormat="false" ht="15" hidden="false" customHeight="false" outlineLevel="0" collapsed="false">
      <c r="V11456" s="23" t="str">
        <f aca="false">IF(ISNUMBER(C11456),YEAR(C11456),"")</f>
        <v/>
      </c>
      <c r="W11456" s="23" t="str">
        <f aca="false">IF(ISNUMBER(C11456),MONTH(C11456),"")</f>
        <v/>
      </c>
      <c r="X11456" s="23" t="str">
        <f aca="false">IF(T11456="","",IF(T11456=0,"No discount",IF(T11456&lt;=0.2,"Low (1-20%)",IF(T11456&lt;=0.4,"Medium (21-40%)","High (&gt;40%)"))))</f>
        <v/>
      </c>
      <c r="Y11456" s="23" t="str">
        <f aca="false">IF(AND(ISNUMBER(C11456),ISNUMBER(D11456)),D11456-C11456,"")</f>
        <v/>
      </c>
      <c r="Z11456" s="23" t="str">
        <f aca="false">IF(B11456="","",IF(MATCH(B11456,$B$2:$B$12000,0)=ROW()-1,1,0))</f>
        <v/>
      </c>
    </row>
    <row r="11457" customFormat="false" ht="15" hidden="false" customHeight="false" outlineLevel="0" collapsed="false">
      <c r="V11457" s="23" t="str">
        <f aca="false">IF(ISNUMBER(C11457),YEAR(C11457),"")</f>
        <v/>
      </c>
      <c r="W11457" s="23" t="str">
        <f aca="false">IF(ISNUMBER(C11457),MONTH(C11457),"")</f>
        <v/>
      </c>
      <c r="X11457" s="23" t="str">
        <f aca="false">IF(T11457="","",IF(T11457=0,"No discount",IF(T11457&lt;=0.2,"Low (1-20%)",IF(T11457&lt;=0.4,"Medium (21-40%)","High (&gt;40%)"))))</f>
        <v/>
      </c>
      <c r="Y11457" s="23" t="str">
        <f aca="false">IF(AND(ISNUMBER(C11457),ISNUMBER(D11457)),D11457-C11457,"")</f>
        <v/>
      </c>
      <c r="Z11457" s="23" t="str">
        <f aca="false">IF(B11457="","",IF(MATCH(B11457,$B$2:$B$12000,0)=ROW()-1,1,0))</f>
        <v/>
      </c>
    </row>
    <row r="11458" customFormat="false" ht="15" hidden="false" customHeight="false" outlineLevel="0" collapsed="false">
      <c r="V11458" s="23" t="str">
        <f aca="false">IF(ISNUMBER(C11458),YEAR(C11458),"")</f>
        <v/>
      </c>
      <c r="W11458" s="23" t="str">
        <f aca="false">IF(ISNUMBER(C11458),MONTH(C11458),"")</f>
        <v/>
      </c>
      <c r="X11458" s="23" t="str">
        <f aca="false">IF(T11458="","",IF(T11458=0,"No discount",IF(T11458&lt;=0.2,"Low (1-20%)",IF(T11458&lt;=0.4,"Medium (21-40%)","High (&gt;40%)"))))</f>
        <v/>
      </c>
      <c r="Y11458" s="23" t="str">
        <f aca="false">IF(AND(ISNUMBER(C11458),ISNUMBER(D11458)),D11458-C11458,"")</f>
        <v/>
      </c>
      <c r="Z11458" s="23" t="str">
        <f aca="false">IF(B11458="","",IF(MATCH(B11458,$B$2:$B$12000,0)=ROW()-1,1,0))</f>
        <v/>
      </c>
    </row>
    <row r="11459" customFormat="false" ht="15" hidden="false" customHeight="false" outlineLevel="0" collapsed="false">
      <c r="V11459" s="23" t="str">
        <f aca="false">IF(ISNUMBER(C11459),YEAR(C11459),"")</f>
        <v/>
      </c>
      <c r="W11459" s="23" t="str">
        <f aca="false">IF(ISNUMBER(C11459),MONTH(C11459),"")</f>
        <v/>
      </c>
      <c r="X11459" s="23" t="str">
        <f aca="false">IF(T11459="","",IF(T11459=0,"No discount",IF(T11459&lt;=0.2,"Low (1-20%)",IF(T11459&lt;=0.4,"Medium (21-40%)","High (&gt;40%)"))))</f>
        <v/>
      </c>
      <c r="Y11459" s="23" t="str">
        <f aca="false">IF(AND(ISNUMBER(C11459),ISNUMBER(D11459)),D11459-C11459,"")</f>
        <v/>
      </c>
      <c r="Z11459" s="23" t="str">
        <f aca="false">IF(B11459="","",IF(MATCH(B11459,$B$2:$B$12000,0)=ROW()-1,1,0))</f>
        <v/>
      </c>
    </row>
    <row r="11460" customFormat="false" ht="15" hidden="false" customHeight="false" outlineLevel="0" collapsed="false">
      <c r="V11460" s="23" t="str">
        <f aca="false">IF(ISNUMBER(C11460),YEAR(C11460),"")</f>
        <v/>
      </c>
      <c r="W11460" s="23" t="str">
        <f aca="false">IF(ISNUMBER(C11460),MONTH(C11460),"")</f>
        <v/>
      </c>
      <c r="X11460" s="23" t="str">
        <f aca="false">IF(T11460="","",IF(T11460=0,"No discount",IF(T11460&lt;=0.2,"Low (1-20%)",IF(T11460&lt;=0.4,"Medium (21-40%)","High (&gt;40%)"))))</f>
        <v/>
      </c>
      <c r="Y11460" s="23" t="str">
        <f aca="false">IF(AND(ISNUMBER(C11460),ISNUMBER(D11460)),D11460-C11460,"")</f>
        <v/>
      </c>
      <c r="Z11460" s="23" t="str">
        <f aca="false">IF(B11460="","",IF(MATCH(B11460,$B$2:$B$12000,0)=ROW()-1,1,0))</f>
        <v/>
      </c>
    </row>
    <row r="11461" customFormat="false" ht="15" hidden="false" customHeight="false" outlineLevel="0" collapsed="false">
      <c r="V11461" s="23" t="str">
        <f aca="false">IF(ISNUMBER(C11461),YEAR(C11461),"")</f>
        <v/>
      </c>
      <c r="W11461" s="23" t="str">
        <f aca="false">IF(ISNUMBER(C11461),MONTH(C11461),"")</f>
        <v/>
      </c>
      <c r="X11461" s="23" t="str">
        <f aca="false">IF(T11461="","",IF(T11461=0,"No discount",IF(T11461&lt;=0.2,"Low (1-20%)",IF(T11461&lt;=0.4,"Medium (21-40%)","High (&gt;40%)"))))</f>
        <v/>
      </c>
      <c r="Y11461" s="23" t="str">
        <f aca="false">IF(AND(ISNUMBER(C11461),ISNUMBER(D11461)),D11461-C11461,"")</f>
        <v/>
      </c>
      <c r="Z11461" s="23" t="str">
        <f aca="false">IF(B11461="","",IF(MATCH(B11461,$B$2:$B$12000,0)=ROW()-1,1,0))</f>
        <v/>
      </c>
    </row>
    <row r="11462" customFormat="false" ht="15" hidden="false" customHeight="false" outlineLevel="0" collapsed="false">
      <c r="V11462" s="23" t="str">
        <f aca="false">IF(ISNUMBER(C11462),YEAR(C11462),"")</f>
        <v/>
      </c>
      <c r="W11462" s="23" t="str">
        <f aca="false">IF(ISNUMBER(C11462),MONTH(C11462),"")</f>
        <v/>
      </c>
      <c r="X11462" s="23" t="str">
        <f aca="false">IF(T11462="","",IF(T11462=0,"No discount",IF(T11462&lt;=0.2,"Low (1-20%)",IF(T11462&lt;=0.4,"Medium (21-40%)","High (&gt;40%)"))))</f>
        <v/>
      </c>
      <c r="Y11462" s="23" t="str">
        <f aca="false">IF(AND(ISNUMBER(C11462),ISNUMBER(D11462)),D11462-C11462,"")</f>
        <v/>
      </c>
      <c r="Z11462" s="23" t="str">
        <f aca="false">IF(B11462="","",IF(MATCH(B11462,$B$2:$B$12000,0)=ROW()-1,1,0))</f>
        <v/>
      </c>
    </row>
    <row r="11463" customFormat="false" ht="15" hidden="false" customHeight="false" outlineLevel="0" collapsed="false">
      <c r="V11463" s="23" t="str">
        <f aca="false">IF(ISNUMBER(C11463),YEAR(C11463),"")</f>
        <v/>
      </c>
      <c r="W11463" s="23" t="str">
        <f aca="false">IF(ISNUMBER(C11463),MONTH(C11463),"")</f>
        <v/>
      </c>
      <c r="X11463" s="23" t="str">
        <f aca="false">IF(T11463="","",IF(T11463=0,"No discount",IF(T11463&lt;=0.2,"Low (1-20%)",IF(T11463&lt;=0.4,"Medium (21-40%)","High (&gt;40%)"))))</f>
        <v/>
      </c>
      <c r="Y11463" s="23" t="str">
        <f aca="false">IF(AND(ISNUMBER(C11463),ISNUMBER(D11463)),D11463-C11463,"")</f>
        <v/>
      </c>
      <c r="Z11463" s="23" t="str">
        <f aca="false">IF(B11463="","",IF(MATCH(B11463,$B$2:$B$12000,0)=ROW()-1,1,0))</f>
        <v/>
      </c>
    </row>
    <row r="11464" customFormat="false" ht="15" hidden="false" customHeight="false" outlineLevel="0" collapsed="false">
      <c r="V11464" s="23" t="str">
        <f aca="false">IF(ISNUMBER(C11464),YEAR(C11464),"")</f>
        <v/>
      </c>
      <c r="W11464" s="23" t="str">
        <f aca="false">IF(ISNUMBER(C11464),MONTH(C11464),"")</f>
        <v/>
      </c>
      <c r="X11464" s="23" t="str">
        <f aca="false">IF(T11464="","",IF(T11464=0,"No discount",IF(T11464&lt;=0.2,"Low (1-20%)",IF(T11464&lt;=0.4,"Medium (21-40%)","High (&gt;40%)"))))</f>
        <v/>
      </c>
      <c r="Y11464" s="23" t="str">
        <f aca="false">IF(AND(ISNUMBER(C11464),ISNUMBER(D11464)),D11464-C11464,"")</f>
        <v/>
      </c>
      <c r="Z11464" s="23" t="str">
        <f aca="false">IF(B11464="","",IF(MATCH(B11464,$B$2:$B$12000,0)=ROW()-1,1,0))</f>
        <v/>
      </c>
    </row>
    <row r="11465" customFormat="false" ht="15" hidden="false" customHeight="false" outlineLevel="0" collapsed="false">
      <c r="V11465" s="23" t="str">
        <f aca="false">IF(ISNUMBER(C11465),YEAR(C11465),"")</f>
        <v/>
      </c>
      <c r="W11465" s="23" t="str">
        <f aca="false">IF(ISNUMBER(C11465),MONTH(C11465),"")</f>
        <v/>
      </c>
      <c r="X11465" s="23" t="str">
        <f aca="false">IF(T11465="","",IF(T11465=0,"No discount",IF(T11465&lt;=0.2,"Low (1-20%)",IF(T11465&lt;=0.4,"Medium (21-40%)","High (&gt;40%)"))))</f>
        <v/>
      </c>
      <c r="Y11465" s="23" t="str">
        <f aca="false">IF(AND(ISNUMBER(C11465),ISNUMBER(D11465)),D11465-C11465,"")</f>
        <v/>
      </c>
      <c r="Z11465" s="23" t="str">
        <f aca="false">IF(B11465="","",IF(MATCH(B11465,$B$2:$B$12000,0)=ROW()-1,1,0))</f>
        <v/>
      </c>
    </row>
    <row r="11466" customFormat="false" ht="15" hidden="false" customHeight="false" outlineLevel="0" collapsed="false">
      <c r="V11466" s="23" t="str">
        <f aca="false">IF(ISNUMBER(C11466),YEAR(C11466),"")</f>
        <v/>
      </c>
      <c r="W11466" s="23" t="str">
        <f aca="false">IF(ISNUMBER(C11466),MONTH(C11466),"")</f>
        <v/>
      </c>
      <c r="X11466" s="23" t="str">
        <f aca="false">IF(T11466="","",IF(T11466=0,"No discount",IF(T11466&lt;=0.2,"Low (1-20%)",IF(T11466&lt;=0.4,"Medium (21-40%)","High (&gt;40%)"))))</f>
        <v/>
      </c>
      <c r="Y11466" s="23" t="str">
        <f aca="false">IF(AND(ISNUMBER(C11466),ISNUMBER(D11466)),D11466-C11466,"")</f>
        <v/>
      </c>
      <c r="Z11466" s="23" t="str">
        <f aca="false">IF(B11466="","",IF(MATCH(B11466,$B$2:$B$12000,0)=ROW()-1,1,0))</f>
        <v/>
      </c>
    </row>
    <row r="11467" customFormat="false" ht="15" hidden="false" customHeight="false" outlineLevel="0" collapsed="false">
      <c r="V11467" s="23" t="str">
        <f aca="false">IF(ISNUMBER(C11467),YEAR(C11467),"")</f>
        <v/>
      </c>
      <c r="W11467" s="23" t="str">
        <f aca="false">IF(ISNUMBER(C11467),MONTH(C11467),"")</f>
        <v/>
      </c>
      <c r="X11467" s="23" t="str">
        <f aca="false">IF(T11467="","",IF(T11467=0,"No discount",IF(T11467&lt;=0.2,"Low (1-20%)",IF(T11467&lt;=0.4,"Medium (21-40%)","High (&gt;40%)"))))</f>
        <v/>
      </c>
      <c r="Y11467" s="23" t="str">
        <f aca="false">IF(AND(ISNUMBER(C11467),ISNUMBER(D11467)),D11467-C11467,"")</f>
        <v/>
      </c>
      <c r="Z11467" s="23" t="str">
        <f aca="false">IF(B11467="","",IF(MATCH(B11467,$B$2:$B$12000,0)=ROW()-1,1,0))</f>
        <v/>
      </c>
    </row>
    <row r="11468" customFormat="false" ht="15" hidden="false" customHeight="false" outlineLevel="0" collapsed="false">
      <c r="V11468" s="23" t="str">
        <f aca="false">IF(ISNUMBER(C11468),YEAR(C11468),"")</f>
        <v/>
      </c>
      <c r="W11468" s="23" t="str">
        <f aca="false">IF(ISNUMBER(C11468),MONTH(C11468),"")</f>
        <v/>
      </c>
      <c r="X11468" s="23" t="str">
        <f aca="false">IF(T11468="","",IF(T11468=0,"No discount",IF(T11468&lt;=0.2,"Low (1-20%)",IF(T11468&lt;=0.4,"Medium (21-40%)","High (&gt;40%)"))))</f>
        <v/>
      </c>
      <c r="Y11468" s="23" t="str">
        <f aca="false">IF(AND(ISNUMBER(C11468),ISNUMBER(D11468)),D11468-C11468,"")</f>
        <v/>
      </c>
      <c r="Z11468" s="23" t="str">
        <f aca="false">IF(B11468="","",IF(MATCH(B11468,$B$2:$B$12000,0)=ROW()-1,1,0))</f>
        <v/>
      </c>
    </row>
    <row r="11469" customFormat="false" ht="15" hidden="false" customHeight="false" outlineLevel="0" collapsed="false">
      <c r="V11469" s="23" t="str">
        <f aca="false">IF(ISNUMBER(C11469),YEAR(C11469),"")</f>
        <v/>
      </c>
      <c r="W11469" s="23" t="str">
        <f aca="false">IF(ISNUMBER(C11469),MONTH(C11469),"")</f>
        <v/>
      </c>
      <c r="X11469" s="23" t="str">
        <f aca="false">IF(T11469="","",IF(T11469=0,"No discount",IF(T11469&lt;=0.2,"Low (1-20%)",IF(T11469&lt;=0.4,"Medium (21-40%)","High (&gt;40%)"))))</f>
        <v/>
      </c>
      <c r="Y11469" s="23" t="str">
        <f aca="false">IF(AND(ISNUMBER(C11469),ISNUMBER(D11469)),D11469-C11469,"")</f>
        <v/>
      </c>
      <c r="Z11469" s="23" t="str">
        <f aca="false">IF(B11469="","",IF(MATCH(B11469,$B$2:$B$12000,0)=ROW()-1,1,0))</f>
        <v/>
      </c>
    </row>
    <row r="11470" customFormat="false" ht="15" hidden="false" customHeight="false" outlineLevel="0" collapsed="false">
      <c r="V11470" s="23" t="str">
        <f aca="false">IF(ISNUMBER(C11470),YEAR(C11470),"")</f>
        <v/>
      </c>
      <c r="W11470" s="23" t="str">
        <f aca="false">IF(ISNUMBER(C11470),MONTH(C11470),"")</f>
        <v/>
      </c>
      <c r="X11470" s="23" t="str">
        <f aca="false">IF(T11470="","",IF(T11470=0,"No discount",IF(T11470&lt;=0.2,"Low (1-20%)",IF(T11470&lt;=0.4,"Medium (21-40%)","High (&gt;40%)"))))</f>
        <v/>
      </c>
      <c r="Y11470" s="23" t="str">
        <f aca="false">IF(AND(ISNUMBER(C11470),ISNUMBER(D11470)),D11470-C11470,"")</f>
        <v/>
      </c>
      <c r="Z11470" s="23" t="str">
        <f aca="false">IF(B11470="","",IF(MATCH(B11470,$B$2:$B$12000,0)=ROW()-1,1,0))</f>
        <v/>
      </c>
    </row>
    <row r="11471" customFormat="false" ht="15" hidden="false" customHeight="false" outlineLevel="0" collapsed="false">
      <c r="V11471" s="23" t="str">
        <f aca="false">IF(ISNUMBER(C11471),YEAR(C11471),"")</f>
        <v/>
      </c>
      <c r="W11471" s="23" t="str">
        <f aca="false">IF(ISNUMBER(C11471),MONTH(C11471),"")</f>
        <v/>
      </c>
      <c r="X11471" s="23" t="str">
        <f aca="false">IF(T11471="","",IF(T11471=0,"No discount",IF(T11471&lt;=0.2,"Low (1-20%)",IF(T11471&lt;=0.4,"Medium (21-40%)","High (&gt;40%)"))))</f>
        <v/>
      </c>
      <c r="Y11471" s="23" t="str">
        <f aca="false">IF(AND(ISNUMBER(C11471),ISNUMBER(D11471)),D11471-C11471,"")</f>
        <v/>
      </c>
      <c r="Z11471" s="23" t="str">
        <f aca="false">IF(B11471="","",IF(MATCH(B11471,$B$2:$B$12000,0)=ROW()-1,1,0))</f>
        <v/>
      </c>
    </row>
    <row r="11472" customFormat="false" ht="15" hidden="false" customHeight="false" outlineLevel="0" collapsed="false">
      <c r="V11472" s="23" t="str">
        <f aca="false">IF(ISNUMBER(C11472),YEAR(C11472),"")</f>
        <v/>
      </c>
      <c r="W11472" s="23" t="str">
        <f aca="false">IF(ISNUMBER(C11472),MONTH(C11472),"")</f>
        <v/>
      </c>
      <c r="X11472" s="23" t="str">
        <f aca="false">IF(T11472="","",IF(T11472=0,"No discount",IF(T11472&lt;=0.2,"Low (1-20%)",IF(T11472&lt;=0.4,"Medium (21-40%)","High (&gt;40%)"))))</f>
        <v/>
      </c>
      <c r="Y11472" s="23" t="str">
        <f aca="false">IF(AND(ISNUMBER(C11472),ISNUMBER(D11472)),D11472-C11472,"")</f>
        <v/>
      </c>
      <c r="Z11472" s="23" t="str">
        <f aca="false">IF(B11472="","",IF(MATCH(B11472,$B$2:$B$12000,0)=ROW()-1,1,0))</f>
        <v/>
      </c>
    </row>
    <row r="11473" customFormat="false" ht="15" hidden="false" customHeight="false" outlineLevel="0" collapsed="false">
      <c r="V11473" s="23" t="str">
        <f aca="false">IF(ISNUMBER(C11473),YEAR(C11473),"")</f>
        <v/>
      </c>
      <c r="W11473" s="23" t="str">
        <f aca="false">IF(ISNUMBER(C11473),MONTH(C11473),"")</f>
        <v/>
      </c>
      <c r="X11473" s="23" t="str">
        <f aca="false">IF(T11473="","",IF(T11473=0,"No discount",IF(T11473&lt;=0.2,"Low (1-20%)",IF(T11473&lt;=0.4,"Medium (21-40%)","High (&gt;40%)"))))</f>
        <v/>
      </c>
      <c r="Y11473" s="23" t="str">
        <f aca="false">IF(AND(ISNUMBER(C11473),ISNUMBER(D11473)),D11473-C11473,"")</f>
        <v/>
      </c>
      <c r="Z11473" s="23" t="str">
        <f aca="false">IF(B11473="","",IF(MATCH(B11473,$B$2:$B$12000,0)=ROW()-1,1,0))</f>
        <v/>
      </c>
    </row>
    <row r="11474" customFormat="false" ht="15" hidden="false" customHeight="false" outlineLevel="0" collapsed="false">
      <c r="V11474" s="23" t="str">
        <f aca="false">IF(ISNUMBER(C11474),YEAR(C11474),"")</f>
        <v/>
      </c>
      <c r="W11474" s="23" t="str">
        <f aca="false">IF(ISNUMBER(C11474),MONTH(C11474),"")</f>
        <v/>
      </c>
      <c r="X11474" s="23" t="str">
        <f aca="false">IF(T11474="","",IF(T11474=0,"No discount",IF(T11474&lt;=0.2,"Low (1-20%)",IF(T11474&lt;=0.4,"Medium (21-40%)","High (&gt;40%)"))))</f>
        <v/>
      </c>
      <c r="Y11474" s="23" t="str">
        <f aca="false">IF(AND(ISNUMBER(C11474),ISNUMBER(D11474)),D11474-C11474,"")</f>
        <v/>
      </c>
      <c r="Z11474" s="23" t="str">
        <f aca="false">IF(B11474="","",IF(MATCH(B11474,$B$2:$B$12000,0)=ROW()-1,1,0))</f>
        <v/>
      </c>
    </row>
    <row r="11475" customFormat="false" ht="15" hidden="false" customHeight="false" outlineLevel="0" collapsed="false">
      <c r="V11475" s="23" t="str">
        <f aca="false">IF(ISNUMBER(C11475),YEAR(C11475),"")</f>
        <v/>
      </c>
      <c r="W11475" s="23" t="str">
        <f aca="false">IF(ISNUMBER(C11475),MONTH(C11475),"")</f>
        <v/>
      </c>
      <c r="X11475" s="23" t="str">
        <f aca="false">IF(T11475="","",IF(T11475=0,"No discount",IF(T11475&lt;=0.2,"Low (1-20%)",IF(T11475&lt;=0.4,"Medium (21-40%)","High (&gt;40%)"))))</f>
        <v/>
      </c>
      <c r="Y11475" s="23" t="str">
        <f aca="false">IF(AND(ISNUMBER(C11475),ISNUMBER(D11475)),D11475-C11475,"")</f>
        <v/>
      </c>
      <c r="Z11475" s="23" t="str">
        <f aca="false">IF(B11475="","",IF(MATCH(B11475,$B$2:$B$12000,0)=ROW()-1,1,0))</f>
        <v/>
      </c>
    </row>
    <row r="11476" customFormat="false" ht="15" hidden="false" customHeight="false" outlineLevel="0" collapsed="false">
      <c r="V11476" s="23" t="str">
        <f aca="false">IF(ISNUMBER(C11476),YEAR(C11476),"")</f>
        <v/>
      </c>
      <c r="W11476" s="23" t="str">
        <f aca="false">IF(ISNUMBER(C11476),MONTH(C11476),"")</f>
        <v/>
      </c>
      <c r="X11476" s="23" t="str">
        <f aca="false">IF(T11476="","",IF(T11476=0,"No discount",IF(T11476&lt;=0.2,"Low (1-20%)",IF(T11476&lt;=0.4,"Medium (21-40%)","High (&gt;40%)"))))</f>
        <v/>
      </c>
      <c r="Y11476" s="23" t="str">
        <f aca="false">IF(AND(ISNUMBER(C11476),ISNUMBER(D11476)),D11476-C11476,"")</f>
        <v/>
      </c>
      <c r="Z11476" s="23" t="str">
        <f aca="false">IF(B11476="","",IF(MATCH(B11476,$B$2:$B$12000,0)=ROW()-1,1,0))</f>
        <v/>
      </c>
    </row>
    <row r="11477" customFormat="false" ht="15" hidden="false" customHeight="false" outlineLevel="0" collapsed="false">
      <c r="V11477" s="23" t="str">
        <f aca="false">IF(ISNUMBER(C11477),YEAR(C11477),"")</f>
        <v/>
      </c>
      <c r="W11477" s="23" t="str">
        <f aca="false">IF(ISNUMBER(C11477),MONTH(C11477),"")</f>
        <v/>
      </c>
      <c r="X11477" s="23" t="str">
        <f aca="false">IF(T11477="","",IF(T11477=0,"No discount",IF(T11477&lt;=0.2,"Low (1-20%)",IF(T11477&lt;=0.4,"Medium (21-40%)","High (&gt;40%)"))))</f>
        <v/>
      </c>
      <c r="Y11477" s="23" t="str">
        <f aca="false">IF(AND(ISNUMBER(C11477),ISNUMBER(D11477)),D11477-C11477,"")</f>
        <v/>
      </c>
      <c r="Z11477" s="23" t="str">
        <f aca="false">IF(B11477="","",IF(MATCH(B11477,$B$2:$B$12000,0)=ROW()-1,1,0))</f>
        <v/>
      </c>
    </row>
    <row r="11478" customFormat="false" ht="15" hidden="false" customHeight="false" outlineLevel="0" collapsed="false">
      <c r="V11478" s="23" t="str">
        <f aca="false">IF(ISNUMBER(C11478),YEAR(C11478),"")</f>
        <v/>
      </c>
      <c r="W11478" s="23" t="str">
        <f aca="false">IF(ISNUMBER(C11478),MONTH(C11478),"")</f>
        <v/>
      </c>
      <c r="X11478" s="23" t="str">
        <f aca="false">IF(T11478="","",IF(T11478=0,"No discount",IF(T11478&lt;=0.2,"Low (1-20%)",IF(T11478&lt;=0.4,"Medium (21-40%)","High (&gt;40%)"))))</f>
        <v/>
      </c>
      <c r="Y11478" s="23" t="str">
        <f aca="false">IF(AND(ISNUMBER(C11478),ISNUMBER(D11478)),D11478-C11478,"")</f>
        <v/>
      </c>
      <c r="Z11478" s="23" t="str">
        <f aca="false">IF(B11478="","",IF(MATCH(B11478,$B$2:$B$12000,0)=ROW()-1,1,0))</f>
        <v/>
      </c>
    </row>
    <row r="11479" customFormat="false" ht="15" hidden="false" customHeight="false" outlineLevel="0" collapsed="false">
      <c r="V11479" s="23" t="str">
        <f aca="false">IF(ISNUMBER(C11479),YEAR(C11479),"")</f>
        <v/>
      </c>
      <c r="W11479" s="23" t="str">
        <f aca="false">IF(ISNUMBER(C11479),MONTH(C11479),"")</f>
        <v/>
      </c>
      <c r="X11479" s="23" t="str">
        <f aca="false">IF(T11479="","",IF(T11479=0,"No discount",IF(T11479&lt;=0.2,"Low (1-20%)",IF(T11479&lt;=0.4,"Medium (21-40%)","High (&gt;40%)"))))</f>
        <v/>
      </c>
      <c r="Y11479" s="23" t="str">
        <f aca="false">IF(AND(ISNUMBER(C11479),ISNUMBER(D11479)),D11479-C11479,"")</f>
        <v/>
      </c>
      <c r="Z11479" s="23" t="str">
        <f aca="false">IF(B11479="","",IF(MATCH(B11479,$B$2:$B$12000,0)=ROW()-1,1,0))</f>
        <v/>
      </c>
    </row>
    <row r="11480" customFormat="false" ht="15" hidden="false" customHeight="false" outlineLevel="0" collapsed="false">
      <c r="V11480" s="23" t="str">
        <f aca="false">IF(ISNUMBER(C11480),YEAR(C11480),"")</f>
        <v/>
      </c>
      <c r="W11480" s="23" t="str">
        <f aca="false">IF(ISNUMBER(C11480),MONTH(C11480),"")</f>
        <v/>
      </c>
      <c r="X11480" s="23" t="str">
        <f aca="false">IF(T11480="","",IF(T11480=0,"No discount",IF(T11480&lt;=0.2,"Low (1-20%)",IF(T11480&lt;=0.4,"Medium (21-40%)","High (&gt;40%)"))))</f>
        <v/>
      </c>
      <c r="Y11480" s="23" t="str">
        <f aca="false">IF(AND(ISNUMBER(C11480),ISNUMBER(D11480)),D11480-C11480,"")</f>
        <v/>
      </c>
      <c r="Z11480" s="23" t="str">
        <f aca="false">IF(B11480="","",IF(MATCH(B11480,$B$2:$B$12000,0)=ROW()-1,1,0))</f>
        <v/>
      </c>
    </row>
    <row r="11481" customFormat="false" ht="15" hidden="false" customHeight="false" outlineLevel="0" collapsed="false">
      <c r="V11481" s="23" t="str">
        <f aca="false">IF(ISNUMBER(C11481),YEAR(C11481),"")</f>
        <v/>
      </c>
      <c r="W11481" s="23" t="str">
        <f aca="false">IF(ISNUMBER(C11481),MONTH(C11481),"")</f>
        <v/>
      </c>
      <c r="X11481" s="23" t="str">
        <f aca="false">IF(T11481="","",IF(T11481=0,"No discount",IF(T11481&lt;=0.2,"Low (1-20%)",IF(T11481&lt;=0.4,"Medium (21-40%)","High (&gt;40%)"))))</f>
        <v/>
      </c>
      <c r="Y11481" s="23" t="str">
        <f aca="false">IF(AND(ISNUMBER(C11481),ISNUMBER(D11481)),D11481-C11481,"")</f>
        <v/>
      </c>
      <c r="Z11481" s="23" t="str">
        <f aca="false">IF(B11481="","",IF(MATCH(B11481,$B$2:$B$12000,0)=ROW()-1,1,0))</f>
        <v/>
      </c>
    </row>
    <row r="11482" customFormat="false" ht="15" hidden="false" customHeight="false" outlineLevel="0" collapsed="false">
      <c r="V11482" s="23" t="str">
        <f aca="false">IF(ISNUMBER(C11482),YEAR(C11482),"")</f>
        <v/>
      </c>
      <c r="W11482" s="23" t="str">
        <f aca="false">IF(ISNUMBER(C11482),MONTH(C11482),"")</f>
        <v/>
      </c>
      <c r="X11482" s="23" t="str">
        <f aca="false">IF(T11482="","",IF(T11482=0,"No discount",IF(T11482&lt;=0.2,"Low (1-20%)",IF(T11482&lt;=0.4,"Medium (21-40%)","High (&gt;40%)"))))</f>
        <v/>
      </c>
      <c r="Y11482" s="23" t="str">
        <f aca="false">IF(AND(ISNUMBER(C11482),ISNUMBER(D11482)),D11482-C11482,"")</f>
        <v/>
      </c>
      <c r="Z11482" s="23" t="str">
        <f aca="false">IF(B11482="","",IF(MATCH(B11482,$B$2:$B$12000,0)=ROW()-1,1,0))</f>
        <v/>
      </c>
    </row>
    <row r="11483" customFormat="false" ht="15" hidden="false" customHeight="false" outlineLevel="0" collapsed="false">
      <c r="V11483" s="23" t="str">
        <f aca="false">IF(ISNUMBER(C11483),YEAR(C11483),"")</f>
        <v/>
      </c>
      <c r="W11483" s="23" t="str">
        <f aca="false">IF(ISNUMBER(C11483),MONTH(C11483),"")</f>
        <v/>
      </c>
      <c r="X11483" s="23" t="str">
        <f aca="false">IF(T11483="","",IF(T11483=0,"No discount",IF(T11483&lt;=0.2,"Low (1-20%)",IF(T11483&lt;=0.4,"Medium (21-40%)","High (&gt;40%)"))))</f>
        <v/>
      </c>
      <c r="Y11483" s="23" t="str">
        <f aca="false">IF(AND(ISNUMBER(C11483),ISNUMBER(D11483)),D11483-C11483,"")</f>
        <v/>
      </c>
      <c r="Z11483" s="23" t="str">
        <f aca="false">IF(B11483="","",IF(MATCH(B11483,$B$2:$B$12000,0)=ROW()-1,1,0))</f>
        <v/>
      </c>
    </row>
    <row r="11484" customFormat="false" ht="15" hidden="false" customHeight="false" outlineLevel="0" collapsed="false">
      <c r="V11484" s="23" t="str">
        <f aca="false">IF(ISNUMBER(C11484),YEAR(C11484),"")</f>
        <v/>
      </c>
      <c r="W11484" s="23" t="str">
        <f aca="false">IF(ISNUMBER(C11484),MONTH(C11484),"")</f>
        <v/>
      </c>
      <c r="X11484" s="23" t="str">
        <f aca="false">IF(T11484="","",IF(T11484=0,"No discount",IF(T11484&lt;=0.2,"Low (1-20%)",IF(T11484&lt;=0.4,"Medium (21-40%)","High (&gt;40%)"))))</f>
        <v/>
      </c>
      <c r="Y11484" s="23" t="str">
        <f aca="false">IF(AND(ISNUMBER(C11484),ISNUMBER(D11484)),D11484-C11484,"")</f>
        <v/>
      </c>
      <c r="Z11484" s="23" t="str">
        <f aca="false">IF(B11484="","",IF(MATCH(B11484,$B$2:$B$12000,0)=ROW()-1,1,0))</f>
        <v/>
      </c>
    </row>
    <row r="11485" customFormat="false" ht="15" hidden="false" customHeight="false" outlineLevel="0" collapsed="false">
      <c r="V11485" s="23" t="str">
        <f aca="false">IF(ISNUMBER(C11485),YEAR(C11485),"")</f>
        <v/>
      </c>
      <c r="W11485" s="23" t="str">
        <f aca="false">IF(ISNUMBER(C11485),MONTH(C11485),"")</f>
        <v/>
      </c>
      <c r="X11485" s="23" t="str">
        <f aca="false">IF(T11485="","",IF(T11485=0,"No discount",IF(T11485&lt;=0.2,"Low (1-20%)",IF(T11485&lt;=0.4,"Medium (21-40%)","High (&gt;40%)"))))</f>
        <v/>
      </c>
      <c r="Y11485" s="23" t="str">
        <f aca="false">IF(AND(ISNUMBER(C11485),ISNUMBER(D11485)),D11485-C11485,"")</f>
        <v/>
      </c>
      <c r="Z11485" s="23" t="str">
        <f aca="false">IF(B11485="","",IF(MATCH(B11485,$B$2:$B$12000,0)=ROW()-1,1,0))</f>
        <v/>
      </c>
    </row>
    <row r="11486" customFormat="false" ht="15" hidden="false" customHeight="false" outlineLevel="0" collapsed="false">
      <c r="V11486" s="23" t="str">
        <f aca="false">IF(ISNUMBER(C11486),YEAR(C11486),"")</f>
        <v/>
      </c>
      <c r="W11486" s="23" t="str">
        <f aca="false">IF(ISNUMBER(C11486),MONTH(C11486),"")</f>
        <v/>
      </c>
      <c r="X11486" s="23" t="str">
        <f aca="false">IF(T11486="","",IF(T11486=0,"No discount",IF(T11486&lt;=0.2,"Low (1-20%)",IF(T11486&lt;=0.4,"Medium (21-40%)","High (&gt;40%)"))))</f>
        <v/>
      </c>
      <c r="Y11486" s="23" t="str">
        <f aca="false">IF(AND(ISNUMBER(C11486),ISNUMBER(D11486)),D11486-C11486,"")</f>
        <v/>
      </c>
      <c r="Z11486" s="23" t="str">
        <f aca="false">IF(B11486="","",IF(MATCH(B11486,$B$2:$B$12000,0)=ROW()-1,1,0))</f>
        <v/>
      </c>
    </row>
    <row r="11487" customFormat="false" ht="15" hidden="false" customHeight="false" outlineLevel="0" collapsed="false">
      <c r="V11487" s="23" t="str">
        <f aca="false">IF(ISNUMBER(C11487),YEAR(C11487),"")</f>
        <v/>
      </c>
      <c r="W11487" s="23" t="str">
        <f aca="false">IF(ISNUMBER(C11487),MONTH(C11487),"")</f>
        <v/>
      </c>
      <c r="X11487" s="23" t="str">
        <f aca="false">IF(T11487="","",IF(T11487=0,"No discount",IF(T11487&lt;=0.2,"Low (1-20%)",IF(T11487&lt;=0.4,"Medium (21-40%)","High (&gt;40%)"))))</f>
        <v/>
      </c>
      <c r="Y11487" s="23" t="str">
        <f aca="false">IF(AND(ISNUMBER(C11487),ISNUMBER(D11487)),D11487-C11487,"")</f>
        <v/>
      </c>
      <c r="Z11487" s="23" t="str">
        <f aca="false">IF(B11487="","",IF(MATCH(B11487,$B$2:$B$12000,0)=ROW()-1,1,0))</f>
        <v/>
      </c>
    </row>
    <row r="11488" customFormat="false" ht="15" hidden="false" customHeight="false" outlineLevel="0" collapsed="false">
      <c r="V11488" s="23" t="str">
        <f aca="false">IF(ISNUMBER(C11488),YEAR(C11488),"")</f>
        <v/>
      </c>
      <c r="W11488" s="23" t="str">
        <f aca="false">IF(ISNUMBER(C11488),MONTH(C11488),"")</f>
        <v/>
      </c>
      <c r="X11488" s="23" t="str">
        <f aca="false">IF(T11488="","",IF(T11488=0,"No discount",IF(T11488&lt;=0.2,"Low (1-20%)",IF(T11488&lt;=0.4,"Medium (21-40%)","High (&gt;40%)"))))</f>
        <v/>
      </c>
      <c r="Y11488" s="23" t="str">
        <f aca="false">IF(AND(ISNUMBER(C11488),ISNUMBER(D11488)),D11488-C11488,"")</f>
        <v/>
      </c>
      <c r="Z11488" s="23" t="str">
        <f aca="false">IF(B11488="","",IF(MATCH(B11488,$B$2:$B$12000,0)=ROW()-1,1,0))</f>
        <v/>
      </c>
    </row>
    <row r="11489" customFormat="false" ht="15" hidden="false" customHeight="false" outlineLevel="0" collapsed="false">
      <c r="V11489" s="23" t="str">
        <f aca="false">IF(ISNUMBER(C11489),YEAR(C11489),"")</f>
        <v/>
      </c>
      <c r="W11489" s="23" t="str">
        <f aca="false">IF(ISNUMBER(C11489),MONTH(C11489),"")</f>
        <v/>
      </c>
      <c r="X11489" s="23" t="str">
        <f aca="false">IF(T11489="","",IF(T11489=0,"No discount",IF(T11489&lt;=0.2,"Low (1-20%)",IF(T11489&lt;=0.4,"Medium (21-40%)","High (&gt;40%)"))))</f>
        <v/>
      </c>
      <c r="Y11489" s="23" t="str">
        <f aca="false">IF(AND(ISNUMBER(C11489),ISNUMBER(D11489)),D11489-C11489,"")</f>
        <v/>
      </c>
      <c r="Z11489" s="23" t="str">
        <f aca="false">IF(B11489="","",IF(MATCH(B11489,$B$2:$B$12000,0)=ROW()-1,1,0))</f>
        <v/>
      </c>
    </row>
    <row r="11490" customFormat="false" ht="15" hidden="false" customHeight="false" outlineLevel="0" collapsed="false">
      <c r="V11490" s="23" t="str">
        <f aca="false">IF(ISNUMBER(C11490),YEAR(C11490),"")</f>
        <v/>
      </c>
      <c r="W11490" s="23" t="str">
        <f aca="false">IF(ISNUMBER(C11490),MONTH(C11490),"")</f>
        <v/>
      </c>
      <c r="X11490" s="23" t="str">
        <f aca="false">IF(T11490="","",IF(T11490=0,"No discount",IF(T11490&lt;=0.2,"Low (1-20%)",IF(T11490&lt;=0.4,"Medium (21-40%)","High (&gt;40%)"))))</f>
        <v/>
      </c>
      <c r="Y11490" s="23" t="str">
        <f aca="false">IF(AND(ISNUMBER(C11490),ISNUMBER(D11490)),D11490-C11490,"")</f>
        <v/>
      </c>
      <c r="Z11490" s="23" t="str">
        <f aca="false">IF(B11490="","",IF(MATCH(B11490,$B$2:$B$12000,0)=ROW()-1,1,0))</f>
        <v/>
      </c>
    </row>
    <row r="11491" customFormat="false" ht="15" hidden="false" customHeight="false" outlineLevel="0" collapsed="false">
      <c r="V11491" s="23" t="str">
        <f aca="false">IF(ISNUMBER(C11491),YEAR(C11491),"")</f>
        <v/>
      </c>
      <c r="W11491" s="23" t="str">
        <f aca="false">IF(ISNUMBER(C11491),MONTH(C11491),"")</f>
        <v/>
      </c>
      <c r="X11491" s="23" t="str">
        <f aca="false">IF(T11491="","",IF(T11491=0,"No discount",IF(T11491&lt;=0.2,"Low (1-20%)",IF(T11491&lt;=0.4,"Medium (21-40%)","High (&gt;40%)"))))</f>
        <v/>
      </c>
      <c r="Y11491" s="23" t="str">
        <f aca="false">IF(AND(ISNUMBER(C11491),ISNUMBER(D11491)),D11491-C11491,"")</f>
        <v/>
      </c>
      <c r="Z11491" s="23" t="str">
        <f aca="false">IF(B11491="","",IF(MATCH(B11491,$B$2:$B$12000,0)=ROW()-1,1,0))</f>
        <v/>
      </c>
    </row>
    <row r="11492" customFormat="false" ht="15" hidden="false" customHeight="false" outlineLevel="0" collapsed="false">
      <c r="V11492" s="23" t="str">
        <f aca="false">IF(ISNUMBER(C11492),YEAR(C11492),"")</f>
        <v/>
      </c>
      <c r="W11492" s="23" t="str">
        <f aca="false">IF(ISNUMBER(C11492),MONTH(C11492),"")</f>
        <v/>
      </c>
      <c r="X11492" s="23" t="str">
        <f aca="false">IF(T11492="","",IF(T11492=0,"No discount",IF(T11492&lt;=0.2,"Low (1-20%)",IF(T11492&lt;=0.4,"Medium (21-40%)","High (&gt;40%)"))))</f>
        <v/>
      </c>
      <c r="Y11492" s="23" t="str">
        <f aca="false">IF(AND(ISNUMBER(C11492),ISNUMBER(D11492)),D11492-C11492,"")</f>
        <v/>
      </c>
      <c r="Z11492" s="23" t="str">
        <f aca="false">IF(B11492="","",IF(MATCH(B11492,$B$2:$B$12000,0)=ROW()-1,1,0))</f>
        <v/>
      </c>
    </row>
    <row r="11493" customFormat="false" ht="15" hidden="false" customHeight="false" outlineLevel="0" collapsed="false">
      <c r="V11493" s="23" t="str">
        <f aca="false">IF(ISNUMBER(C11493),YEAR(C11493),"")</f>
        <v/>
      </c>
      <c r="W11493" s="23" t="str">
        <f aca="false">IF(ISNUMBER(C11493),MONTH(C11493),"")</f>
        <v/>
      </c>
      <c r="X11493" s="23" t="str">
        <f aca="false">IF(T11493="","",IF(T11493=0,"No discount",IF(T11493&lt;=0.2,"Low (1-20%)",IF(T11493&lt;=0.4,"Medium (21-40%)","High (&gt;40%)"))))</f>
        <v/>
      </c>
      <c r="Y11493" s="23" t="str">
        <f aca="false">IF(AND(ISNUMBER(C11493),ISNUMBER(D11493)),D11493-C11493,"")</f>
        <v/>
      </c>
      <c r="Z11493" s="23" t="str">
        <f aca="false">IF(B11493="","",IF(MATCH(B11493,$B$2:$B$12000,0)=ROW()-1,1,0))</f>
        <v/>
      </c>
    </row>
    <row r="11494" customFormat="false" ht="15" hidden="false" customHeight="false" outlineLevel="0" collapsed="false">
      <c r="V11494" s="23" t="str">
        <f aca="false">IF(ISNUMBER(C11494),YEAR(C11494),"")</f>
        <v/>
      </c>
      <c r="W11494" s="23" t="str">
        <f aca="false">IF(ISNUMBER(C11494),MONTH(C11494),"")</f>
        <v/>
      </c>
      <c r="X11494" s="23" t="str">
        <f aca="false">IF(T11494="","",IF(T11494=0,"No discount",IF(T11494&lt;=0.2,"Low (1-20%)",IF(T11494&lt;=0.4,"Medium (21-40%)","High (&gt;40%)"))))</f>
        <v/>
      </c>
      <c r="Y11494" s="23" t="str">
        <f aca="false">IF(AND(ISNUMBER(C11494),ISNUMBER(D11494)),D11494-C11494,"")</f>
        <v/>
      </c>
      <c r="Z11494" s="23" t="str">
        <f aca="false">IF(B11494="","",IF(MATCH(B11494,$B$2:$B$12000,0)=ROW()-1,1,0))</f>
        <v/>
      </c>
    </row>
    <row r="11495" customFormat="false" ht="15" hidden="false" customHeight="false" outlineLevel="0" collapsed="false">
      <c r="V11495" s="23" t="str">
        <f aca="false">IF(ISNUMBER(C11495),YEAR(C11495),"")</f>
        <v/>
      </c>
      <c r="W11495" s="23" t="str">
        <f aca="false">IF(ISNUMBER(C11495),MONTH(C11495),"")</f>
        <v/>
      </c>
      <c r="X11495" s="23" t="str">
        <f aca="false">IF(T11495="","",IF(T11495=0,"No discount",IF(T11495&lt;=0.2,"Low (1-20%)",IF(T11495&lt;=0.4,"Medium (21-40%)","High (&gt;40%)"))))</f>
        <v/>
      </c>
      <c r="Y11495" s="23" t="str">
        <f aca="false">IF(AND(ISNUMBER(C11495),ISNUMBER(D11495)),D11495-C11495,"")</f>
        <v/>
      </c>
      <c r="Z11495" s="23" t="str">
        <f aca="false">IF(B11495="","",IF(MATCH(B11495,$B$2:$B$12000,0)=ROW()-1,1,0))</f>
        <v/>
      </c>
    </row>
    <row r="11496" customFormat="false" ht="15" hidden="false" customHeight="false" outlineLevel="0" collapsed="false">
      <c r="V11496" s="23" t="str">
        <f aca="false">IF(ISNUMBER(C11496),YEAR(C11496),"")</f>
        <v/>
      </c>
      <c r="W11496" s="23" t="str">
        <f aca="false">IF(ISNUMBER(C11496),MONTH(C11496),"")</f>
        <v/>
      </c>
      <c r="X11496" s="23" t="str">
        <f aca="false">IF(T11496="","",IF(T11496=0,"No discount",IF(T11496&lt;=0.2,"Low (1-20%)",IF(T11496&lt;=0.4,"Medium (21-40%)","High (&gt;40%)"))))</f>
        <v/>
      </c>
      <c r="Y11496" s="23" t="str">
        <f aca="false">IF(AND(ISNUMBER(C11496),ISNUMBER(D11496)),D11496-C11496,"")</f>
        <v/>
      </c>
      <c r="Z11496" s="23" t="str">
        <f aca="false">IF(B11496="","",IF(MATCH(B11496,$B$2:$B$12000,0)=ROW()-1,1,0))</f>
        <v/>
      </c>
    </row>
    <row r="11497" customFormat="false" ht="15" hidden="false" customHeight="false" outlineLevel="0" collapsed="false">
      <c r="V11497" s="23" t="str">
        <f aca="false">IF(ISNUMBER(C11497),YEAR(C11497),"")</f>
        <v/>
      </c>
      <c r="W11497" s="23" t="str">
        <f aca="false">IF(ISNUMBER(C11497),MONTH(C11497),"")</f>
        <v/>
      </c>
      <c r="X11497" s="23" t="str">
        <f aca="false">IF(T11497="","",IF(T11497=0,"No discount",IF(T11497&lt;=0.2,"Low (1-20%)",IF(T11497&lt;=0.4,"Medium (21-40%)","High (&gt;40%)"))))</f>
        <v/>
      </c>
      <c r="Y11497" s="23" t="str">
        <f aca="false">IF(AND(ISNUMBER(C11497),ISNUMBER(D11497)),D11497-C11497,"")</f>
        <v/>
      </c>
      <c r="Z11497" s="23" t="str">
        <f aca="false">IF(B11497="","",IF(MATCH(B11497,$B$2:$B$12000,0)=ROW()-1,1,0))</f>
        <v/>
      </c>
    </row>
    <row r="11498" customFormat="false" ht="15" hidden="false" customHeight="false" outlineLevel="0" collapsed="false">
      <c r="V11498" s="23" t="str">
        <f aca="false">IF(ISNUMBER(C11498),YEAR(C11498),"")</f>
        <v/>
      </c>
      <c r="W11498" s="23" t="str">
        <f aca="false">IF(ISNUMBER(C11498),MONTH(C11498),"")</f>
        <v/>
      </c>
      <c r="X11498" s="23" t="str">
        <f aca="false">IF(T11498="","",IF(T11498=0,"No discount",IF(T11498&lt;=0.2,"Low (1-20%)",IF(T11498&lt;=0.4,"Medium (21-40%)","High (&gt;40%)"))))</f>
        <v/>
      </c>
      <c r="Y11498" s="23" t="str">
        <f aca="false">IF(AND(ISNUMBER(C11498),ISNUMBER(D11498)),D11498-C11498,"")</f>
        <v/>
      </c>
      <c r="Z11498" s="23" t="str">
        <f aca="false">IF(B11498="","",IF(MATCH(B11498,$B$2:$B$12000,0)=ROW()-1,1,0))</f>
        <v/>
      </c>
    </row>
    <row r="11499" customFormat="false" ht="15" hidden="false" customHeight="false" outlineLevel="0" collapsed="false">
      <c r="V11499" s="23" t="str">
        <f aca="false">IF(ISNUMBER(C11499),YEAR(C11499),"")</f>
        <v/>
      </c>
      <c r="W11499" s="23" t="str">
        <f aca="false">IF(ISNUMBER(C11499),MONTH(C11499),"")</f>
        <v/>
      </c>
      <c r="X11499" s="23" t="str">
        <f aca="false">IF(T11499="","",IF(T11499=0,"No discount",IF(T11499&lt;=0.2,"Low (1-20%)",IF(T11499&lt;=0.4,"Medium (21-40%)","High (&gt;40%)"))))</f>
        <v/>
      </c>
      <c r="Y11499" s="23" t="str">
        <f aca="false">IF(AND(ISNUMBER(C11499),ISNUMBER(D11499)),D11499-C11499,"")</f>
        <v/>
      </c>
      <c r="Z11499" s="23" t="str">
        <f aca="false">IF(B11499="","",IF(MATCH(B11499,$B$2:$B$12000,0)=ROW()-1,1,0))</f>
        <v/>
      </c>
    </row>
    <row r="11500" customFormat="false" ht="15" hidden="false" customHeight="false" outlineLevel="0" collapsed="false">
      <c r="V11500" s="23" t="str">
        <f aca="false">IF(ISNUMBER(C11500),YEAR(C11500),"")</f>
        <v/>
      </c>
      <c r="W11500" s="23" t="str">
        <f aca="false">IF(ISNUMBER(C11500),MONTH(C11500),"")</f>
        <v/>
      </c>
      <c r="X11500" s="23" t="str">
        <f aca="false">IF(T11500="","",IF(T11500=0,"No discount",IF(T11500&lt;=0.2,"Low (1-20%)",IF(T11500&lt;=0.4,"Medium (21-40%)","High (&gt;40%)"))))</f>
        <v/>
      </c>
      <c r="Y11500" s="23" t="str">
        <f aca="false">IF(AND(ISNUMBER(C11500),ISNUMBER(D11500)),D11500-C11500,"")</f>
        <v/>
      </c>
      <c r="Z11500" s="23" t="str">
        <f aca="false">IF(B11500="","",IF(MATCH(B11500,$B$2:$B$12000,0)=ROW()-1,1,0))</f>
        <v/>
      </c>
    </row>
    <row r="11501" customFormat="false" ht="15" hidden="false" customHeight="false" outlineLevel="0" collapsed="false">
      <c r="V11501" s="23" t="str">
        <f aca="false">IF(ISNUMBER(C11501),YEAR(C11501),"")</f>
        <v/>
      </c>
      <c r="W11501" s="23" t="str">
        <f aca="false">IF(ISNUMBER(C11501),MONTH(C11501),"")</f>
        <v/>
      </c>
      <c r="X11501" s="23" t="str">
        <f aca="false">IF(T11501="","",IF(T11501=0,"No discount",IF(T11501&lt;=0.2,"Low (1-20%)",IF(T11501&lt;=0.4,"Medium (21-40%)","High (&gt;40%)"))))</f>
        <v/>
      </c>
      <c r="Y11501" s="23" t="str">
        <f aca="false">IF(AND(ISNUMBER(C11501),ISNUMBER(D11501)),D11501-C11501,"")</f>
        <v/>
      </c>
      <c r="Z11501" s="23" t="str">
        <f aca="false">IF(B11501="","",IF(MATCH(B11501,$B$2:$B$12000,0)=ROW()-1,1,0))</f>
        <v/>
      </c>
    </row>
    <row r="11502" customFormat="false" ht="15" hidden="false" customHeight="false" outlineLevel="0" collapsed="false">
      <c r="V11502" s="23" t="str">
        <f aca="false">IF(ISNUMBER(C11502),YEAR(C11502),"")</f>
        <v/>
      </c>
      <c r="W11502" s="23" t="str">
        <f aca="false">IF(ISNUMBER(C11502),MONTH(C11502),"")</f>
        <v/>
      </c>
      <c r="X11502" s="23" t="str">
        <f aca="false">IF(T11502="","",IF(T11502=0,"No discount",IF(T11502&lt;=0.2,"Low (1-20%)",IF(T11502&lt;=0.4,"Medium (21-40%)","High (&gt;40%)"))))</f>
        <v/>
      </c>
      <c r="Y11502" s="23" t="str">
        <f aca="false">IF(AND(ISNUMBER(C11502),ISNUMBER(D11502)),D11502-C11502,"")</f>
        <v/>
      </c>
      <c r="Z11502" s="23" t="str">
        <f aca="false">IF(B11502="","",IF(MATCH(B11502,$B$2:$B$12000,0)=ROW()-1,1,0))</f>
        <v/>
      </c>
    </row>
    <row r="11503" customFormat="false" ht="15" hidden="false" customHeight="false" outlineLevel="0" collapsed="false">
      <c r="V11503" s="23" t="str">
        <f aca="false">IF(ISNUMBER(C11503),YEAR(C11503),"")</f>
        <v/>
      </c>
      <c r="W11503" s="23" t="str">
        <f aca="false">IF(ISNUMBER(C11503),MONTH(C11503),"")</f>
        <v/>
      </c>
      <c r="X11503" s="23" t="str">
        <f aca="false">IF(T11503="","",IF(T11503=0,"No discount",IF(T11503&lt;=0.2,"Low (1-20%)",IF(T11503&lt;=0.4,"Medium (21-40%)","High (&gt;40%)"))))</f>
        <v/>
      </c>
      <c r="Y11503" s="23" t="str">
        <f aca="false">IF(AND(ISNUMBER(C11503),ISNUMBER(D11503)),D11503-C11503,"")</f>
        <v/>
      </c>
      <c r="Z11503" s="23" t="str">
        <f aca="false">IF(B11503="","",IF(MATCH(B11503,$B$2:$B$12000,0)=ROW()-1,1,0))</f>
        <v/>
      </c>
    </row>
    <row r="11504" customFormat="false" ht="15" hidden="false" customHeight="false" outlineLevel="0" collapsed="false">
      <c r="V11504" s="23" t="str">
        <f aca="false">IF(ISNUMBER(C11504),YEAR(C11504),"")</f>
        <v/>
      </c>
      <c r="W11504" s="23" t="str">
        <f aca="false">IF(ISNUMBER(C11504),MONTH(C11504),"")</f>
        <v/>
      </c>
      <c r="X11504" s="23" t="str">
        <f aca="false">IF(T11504="","",IF(T11504=0,"No discount",IF(T11504&lt;=0.2,"Low (1-20%)",IF(T11504&lt;=0.4,"Medium (21-40%)","High (&gt;40%)"))))</f>
        <v/>
      </c>
      <c r="Y11504" s="23" t="str">
        <f aca="false">IF(AND(ISNUMBER(C11504),ISNUMBER(D11504)),D11504-C11504,"")</f>
        <v/>
      </c>
      <c r="Z11504" s="23" t="str">
        <f aca="false">IF(B11504="","",IF(MATCH(B11504,$B$2:$B$12000,0)=ROW()-1,1,0))</f>
        <v/>
      </c>
    </row>
    <row r="11505" customFormat="false" ht="15" hidden="false" customHeight="false" outlineLevel="0" collapsed="false">
      <c r="V11505" s="23" t="str">
        <f aca="false">IF(ISNUMBER(C11505),YEAR(C11505),"")</f>
        <v/>
      </c>
      <c r="W11505" s="23" t="str">
        <f aca="false">IF(ISNUMBER(C11505),MONTH(C11505),"")</f>
        <v/>
      </c>
      <c r="X11505" s="23" t="str">
        <f aca="false">IF(T11505="","",IF(T11505=0,"No discount",IF(T11505&lt;=0.2,"Low (1-20%)",IF(T11505&lt;=0.4,"Medium (21-40%)","High (&gt;40%)"))))</f>
        <v/>
      </c>
      <c r="Y11505" s="23" t="str">
        <f aca="false">IF(AND(ISNUMBER(C11505),ISNUMBER(D11505)),D11505-C11505,"")</f>
        <v/>
      </c>
      <c r="Z11505" s="23" t="str">
        <f aca="false">IF(B11505="","",IF(MATCH(B11505,$B$2:$B$12000,0)=ROW()-1,1,0))</f>
        <v/>
      </c>
    </row>
    <row r="11506" customFormat="false" ht="15" hidden="false" customHeight="false" outlineLevel="0" collapsed="false">
      <c r="V11506" s="23" t="str">
        <f aca="false">IF(ISNUMBER(C11506),YEAR(C11506),"")</f>
        <v/>
      </c>
      <c r="W11506" s="23" t="str">
        <f aca="false">IF(ISNUMBER(C11506),MONTH(C11506),"")</f>
        <v/>
      </c>
      <c r="X11506" s="23" t="str">
        <f aca="false">IF(T11506="","",IF(T11506=0,"No discount",IF(T11506&lt;=0.2,"Low (1-20%)",IF(T11506&lt;=0.4,"Medium (21-40%)","High (&gt;40%)"))))</f>
        <v/>
      </c>
      <c r="Y11506" s="23" t="str">
        <f aca="false">IF(AND(ISNUMBER(C11506),ISNUMBER(D11506)),D11506-C11506,"")</f>
        <v/>
      </c>
      <c r="Z11506" s="23" t="str">
        <f aca="false">IF(B11506="","",IF(MATCH(B11506,$B$2:$B$12000,0)=ROW()-1,1,0))</f>
        <v/>
      </c>
    </row>
    <row r="11507" customFormat="false" ht="15" hidden="false" customHeight="false" outlineLevel="0" collapsed="false">
      <c r="V11507" s="23" t="str">
        <f aca="false">IF(ISNUMBER(C11507),YEAR(C11507),"")</f>
        <v/>
      </c>
      <c r="W11507" s="23" t="str">
        <f aca="false">IF(ISNUMBER(C11507),MONTH(C11507),"")</f>
        <v/>
      </c>
      <c r="X11507" s="23" t="str">
        <f aca="false">IF(T11507="","",IF(T11507=0,"No discount",IF(T11507&lt;=0.2,"Low (1-20%)",IF(T11507&lt;=0.4,"Medium (21-40%)","High (&gt;40%)"))))</f>
        <v/>
      </c>
      <c r="Y11507" s="23" t="str">
        <f aca="false">IF(AND(ISNUMBER(C11507),ISNUMBER(D11507)),D11507-C11507,"")</f>
        <v/>
      </c>
      <c r="Z11507" s="23" t="str">
        <f aca="false">IF(B11507="","",IF(MATCH(B11507,$B$2:$B$12000,0)=ROW()-1,1,0))</f>
        <v/>
      </c>
    </row>
    <row r="11508" customFormat="false" ht="15" hidden="false" customHeight="false" outlineLevel="0" collapsed="false">
      <c r="V11508" s="23" t="str">
        <f aca="false">IF(ISNUMBER(C11508),YEAR(C11508),"")</f>
        <v/>
      </c>
      <c r="W11508" s="23" t="str">
        <f aca="false">IF(ISNUMBER(C11508),MONTH(C11508),"")</f>
        <v/>
      </c>
      <c r="X11508" s="23" t="str">
        <f aca="false">IF(T11508="","",IF(T11508=0,"No discount",IF(T11508&lt;=0.2,"Low (1-20%)",IF(T11508&lt;=0.4,"Medium (21-40%)","High (&gt;40%)"))))</f>
        <v/>
      </c>
      <c r="Y11508" s="23" t="str">
        <f aca="false">IF(AND(ISNUMBER(C11508),ISNUMBER(D11508)),D11508-C11508,"")</f>
        <v/>
      </c>
      <c r="Z11508" s="23" t="str">
        <f aca="false">IF(B11508="","",IF(MATCH(B11508,$B$2:$B$12000,0)=ROW()-1,1,0))</f>
        <v/>
      </c>
    </row>
    <row r="11509" customFormat="false" ht="15" hidden="false" customHeight="false" outlineLevel="0" collapsed="false">
      <c r="V11509" s="23" t="str">
        <f aca="false">IF(ISNUMBER(C11509),YEAR(C11509),"")</f>
        <v/>
      </c>
      <c r="W11509" s="23" t="str">
        <f aca="false">IF(ISNUMBER(C11509),MONTH(C11509),"")</f>
        <v/>
      </c>
      <c r="X11509" s="23" t="str">
        <f aca="false">IF(T11509="","",IF(T11509=0,"No discount",IF(T11509&lt;=0.2,"Low (1-20%)",IF(T11509&lt;=0.4,"Medium (21-40%)","High (&gt;40%)"))))</f>
        <v/>
      </c>
      <c r="Y11509" s="23" t="str">
        <f aca="false">IF(AND(ISNUMBER(C11509),ISNUMBER(D11509)),D11509-C11509,"")</f>
        <v/>
      </c>
      <c r="Z11509" s="23" t="str">
        <f aca="false">IF(B11509="","",IF(MATCH(B11509,$B$2:$B$12000,0)=ROW()-1,1,0))</f>
        <v/>
      </c>
    </row>
    <row r="11510" customFormat="false" ht="15" hidden="false" customHeight="false" outlineLevel="0" collapsed="false">
      <c r="V11510" s="23" t="str">
        <f aca="false">IF(ISNUMBER(C11510),YEAR(C11510),"")</f>
        <v/>
      </c>
      <c r="W11510" s="23" t="str">
        <f aca="false">IF(ISNUMBER(C11510),MONTH(C11510),"")</f>
        <v/>
      </c>
      <c r="X11510" s="23" t="str">
        <f aca="false">IF(T11510="","",IF(T11510=0,"No discount",IF(T11510&lt;=0.2,"Low (1-20%)",IF(T11510&lt;=0.4,"Medium (21-40%)","High (&gt;40%)"))))</f>
        <v/>
      </c>
      <c r="Y11510" s="23" t="str">
        <f aca="false">IF(AND(ISNUMBER(C11510),ISNUMBER(D11510)),D11510-C11510,"")</f>
        <v/>
      </c>
      <c r="Z11510" s="23" t="str">
        <f aca="false">IF(B11510="","",IF(MATCH(B11510,$B$2:$B$12000,0)=ROW()-1,1,0))</f>
        <v/>
      </c>
    </row>
    <row r="11511" customFormat="false" ht="15" hidden="false" customHeight="false" outlineLevel="0" collapsed="false">
      <c r="V11511" s="23" t="str">
        <f aca="false">IF(ISNUMBER(C11511),YEAR(C11511),"")</f>
        <v/>
      </c>
      <c r="W11511" s="23" t="str">
        <f aca="false">IF(ISNUMBER(C11511),MONTH(C11511),"")</f>
        <v/>
      </c>
      <c r="X11511" s="23" t="str">
        <f aca="false">IF(T11511="","",IF(T11511=0,"No discount",IF(T11511&lt;=0.2,"Low (1-20%)",IF(T11511&lt;=0.4,"Medium (21-40%)","High (&gt;40%)"))))</f>
        <v/>
      </c>
      <c r="Y11511" s="23" t="str">
        <f aca="false">IF(AND(ISNUMBER(C11511),ISNUMBER(D11511)),D11511-C11511,"")</f>
        <v/>
      </c>
      <c r="Z11511" s="23" t="str">
        <f aca="false">IF(B11511="","",IF(MATCH(B11511,$B$2:$B$12000,0)=ROW()-1,1,0))</f>
        <v/>
      </c>
    </row>
    <row r="11512" customFormat="false" ht="15" hidden="false" customHeight="false" outlineLevel="0" collapsed="false">
      <c r="V11512" s="23" t="str">
        <f aca="false">IF(ISNUMBER(C11512),YEAR(C11512),"")</f>
        <v/>
      </c>
      <c r="W11512" s="23" t="str">
        <f aca="false">IF(ISNUMBER(C11512),MONTH(C11512),"")</f>
        <v/>
      </c>
      <c r="X11512" s="23" t="str">
        <f aca="false">IF(T11512="","",IF(T11512=0,"No discount",IF(T11512&lt;=0.2,"Low (1-20%)",IF(T11512&lt;=0.4,"Medium (21-40%)","High (&gt;40%)"))))</f>
        <v/>
      </c>
      <c r="Y11512" s="23" t="str">
        <f aca="false">IF(AND(ISNUMBER(C11512),ISNUMBER(D11512)),D11512-C11512,"")</f>
        <v/>
      </c>
      <c r="Z11512" s="23" t="str">
        <f aca="false">IF(B11512="","",IF(MATCH(B11512,$B$2:$B$12000,0)=ROW()-1,1,0))</f>
        <v/>
      </c>
    </row>
    <row r="11513" customFormat="false" ht="15" hidden="false" customHeight="false" outlineLevel="0" collapsed="false">
      <c r="V11513" s="23" t="str">
        <f aca="false">IF(ISNUMBER(C11513),YEAR(C11513),"")</f>
        <v/>
      </c>
      <c r="W11513" s="23" t="str">
        <f aca="false">IF(ISNUMBER(C11513),MONTH(C11513),"")</f>
        <v/>
      </c>
      <c r="X11513" s="23" t="str">
        <f aca="false">IF(T11513="","",IF(T11513=0,"No discount",IF(T11513&lt;=0.2,"Low (1-20%)",IF(T11513&lt;=0.4,"Medium (21-40%)","High (&gt;40%)"))))</f>
        <v/>
      </c>
      <c r="Y11513" s="23" t="str">
        <f aca="false">IF(AND(ISNUMBER(C11513),ISNUMBER(D11513)),D11513-C11513,"")</f>
        <v/>
      </c>
      <c r="Z11513" s="23" t="str">
        <f aca="false">IF(B11513="","",IF(MATCH(B11513,$B$2:$B$12000,0)=ROW()-1,1,0))</f>
        <v/>
      </c>
    </row>
    <row r="11514" customFormat="false" ht="15" hidden="false" customHeight="false" outlineLevel="0" collapsed="false">
      <c r="V11514" s="23" t="str">
        <f aca="false">IF(ISNUMBER(C11514),YEAR(C11514),"")</f>
        <v/>
      </c>
      <c r="W11514" s="23" t="str">
        <f aca="false">IF(ISNUMBER(C11514),MONTH(C11514),"")</f>
        <v/>
      </c>
      <c r="X11514" s="23" t="str">
        <f aca="false">IF(T11514="","",IF(T11514=0,"No discount",IF(T11514&lt;=0.2,"Low (1-20%)",IF(T11514&lt;=0.4,"Medium (21-40%)","High (&gt;40%)"))))</f>
        <v/>
      </c>
      <c r="Y11514" s="23" t="str">
        <f aca="false">IF(AND(ISNUMBER(C11514),ISNUMBER(D11514)),D11514-C11514,"")</f>
        <v/>
      </c>
      <c r="Z11514" s="23" t="str">
        <f aca="false">IF(B11514="","",IF(MATCH(B11514,$B$2:$B$12000,0)=ROW()-1,1,0))</f>
        <v/>
      </c>
    </row>
    <row r="11515" customFormat="false" ht="15" hidden="false" customHeight="false" outlineLevel="0" collapsed="false">
      <c r="V11515" s="23" t="str">
        <f aca="false">IF(ISNUMBER(C11515),YEAR(C11515),"")</f>
        <v/>
      </c>
      <c r="W11515" s="23" t="str">
        <f aca="false">IF(ISNUMBER(C11515),MONTH(C11515),"")</f>
        <v/>
      </c>
      <c r="X11515" s="23" t="str">
        <f aca="false">IF(T11515="","",IF(T11515=0,"No discount",IF(T11515&lt;=0.2,"Low (1-20%)",IF(T11515&lt;=0.4,"Medium (21-40%)","High (&gt;40%)"))))</f>
        <v/>
      </c>
      <c r="Y11515" s="23" t="str">
        <f aca="false">IF(AND(ISNUMBER(C11515),ISNUMBER(D11515)),D11515-C11515,"")</f>
        <v/>
      </c>
      <c r="Z11515" s="23" t="str">
        <f aca="false">IF(B11515="","",IF(MATCH(B11515,$B$2:$B$12000,0)=ROW()-1,1,0))</f>
        <v/>
      </c>
    </row>
    <row r="11516" customFormat="false" ht="15" hidden="false" customHeight="false" outlineLevel="0" collapsed="false">
      <c r="V11516" s="23" t="str">
        <f aca="false">IF(ISNUMBER(C11516),YEAR(C11516),"")</f>
        <v/>
      </c>
      <c r="W11516" s="23" t="str">
        <f aca="false">IF(ISNUMBER(C11516),MONTH(C11516),"")</f>
        <v/>
      </c>
      <c r="X11516" s="23" t="str">
        <f aca="false">IF(T11516="","",IF(T11516=0,"No discount",IF(T11516&lt;=0.2,"Low (1-20%)",IF(T11516&lt;=0.4,"Medium (21-40%)","High (&gt;40%)"))))</f>
        <v/>
      </c>
      <c r="Y11516" s="23" t="str">
        <f aca="false">IF(AND(ISNUMBER(C11516),ISNUMBER(D11516)),D11516-C11516,"")</f>
        <v/>
      </c>
      <c r="Z11516" s="23" t="str">
        <f aca="false">IF(B11516="","",IF(MATCH(B11516,$B$2:$B$12000,0)=ROW()-1,1,0))</f>
        <v/>
      </c>
    </row>
    <row r="11517" customFormat="false" ht="15" hidden="false" customHeight="false" outlineLevel="0" collapsed="false">
      <c r="V11517" s="23" t="str">
        <f aca="false">IF(ISNUMBER(C11517),YEAR(C11517),"")</f>
        <v/>
      </c>
      <c r="W11517" s="23" t="str">
        <f aca="false">IF(ISNUMBER(C11517),MONTH(C11517),"")</f>
        <v/>
      </c>
      <c r="X11517" s="23" t="str">
        <f aca="false">IF(T11517="","",IF(T11517=0,"No discount",IF(T11517&lt;=0.2,"Low (1-20%)",IF(T11517&lt;=0.4,"Medium (21-40%)","High (&gt;40%)"))))</f>
        <v/>
      </c>
      <c r="Y11517" s="23" t="str">
        <f aca="false">IF(AND(ISNUMBER(C11517),ISNUMBER(D11517)),D11517-C11517,"")</f>
        <v/>
      </c>
      <c r="Z11517" s="23" t="str">
        <f aca="false">IF(B11517="","",IF(MATCH(B11517,$B$2:$B$12000,0)=ROW()-1,1,0))</f>
        <v/>
      </c>
    </row>
    <row r="11518" customFormat="false" ht="15" hidden="false" customHeight="false" outlineLevel="0" collapsed="false">
      <c r="V11518" s="23" t="str">
        <f aca="false">IF(ISNUMBER(C11518),YEAR(C11518),"")</f>
        <v/>
      </c>
      <c r="W11518" s="23" t="str">
        <f aca="false">IF(ISNUMBER(C11518),MONTH(C11518),"")</f>
        <v/>
      </c>
      <c r="X11518" s="23" t="str">
        <f aca="false">IF(T11518="","",IF(T11518=0,"No discount",IF(T11518&lt;=0.2,"Low (1-20%)",IF(T11518&lt;=0.4,"Medium (21-40%)","High (&gt;40%)"))))</f>
        <v/>
      </c>
      <c r="Y11518" s="23" t="str">
        <f aca="false">IF(AND(ISNUMBER(C11518),ISNUMBER(D11518)),D11518-C11518,"")</f>
        <v/>
      </c>
      <c r="Z11518" s="23" t="str">
        <f aca="false">IF(B11518="","",IF(MATCH(B11518,$B$2:$B$12000,0)=ROW()-1,1,0))</f>
        <v/>
      </c>
    </row>
    <row r="11519" customFormat="false" ht="15" hidden="false" customHeight="false" outlineLevel="0" collapsed="false">
      <c r="V11519" s="23" t="str">
        <f aca="false">IF(ISNUMBER(C11519),YEAR(C11519),"")</f>
        <v/>
      </c>
      <c r="W11519" s="23" t="str">
        <f aca="false">IF(ISNUMBER(C11519),MONTH(C11519),"")</f>
        <v/>
      </c>
      <c r="X11519" s="23" t="str">
        <f aca="false">IF(T11519="","",IF(T11519=0,"No discount",IF(T11519&lt;=0.2,"Low (1-20%)",IF(T11519&lt;=0.4,"Medium (21-40%)","High (&gt;40%)"))))</f>
        <v/>
      </c>
      <c r="Y11519" s="23" t="str">
        <f aca="false">IF(AND(ISNUMBER(C11519),ISNUMBER(D11519)),D11519-C11519,"")</f>
        <v/>
      </c>
      <c r="Z11519" s="23" t="str">
        <f aca="false">IF(B11519="","",IF(MATCH(B11519,$B$2:$B$12000,0)=ROW()-1,1,0))</f>
        <v/>
      </c>
    </row>
    <row r="11520" customFormat="false" ht="15" hidden="false" customHeight="false" outlineLevel="0" collapsed="false">
      <c r="V11520" s="23" t="str">
        <f aca="false">IF(ISNUMBER(C11520),YEAR(C11520),"")</f>
        <v/>
      </c>
      <c r="W11520" s="23" t="str">
        <f aca="false">IF(ISNUMBER(C11520),MONTH(C11520),"")</f>
        <v/>
      </c>
      <c r="X11520" s="23" t="str">
        <f aca="false">IF(T11520="","",IF(T11520=0,"No discount",IF(T11520&lt;=0.2,"Low (1-20%)",IF(T11520&lt;=0.4,"Medium (21-40%)","High (&gt;40%)"))))</f>
        <v/>
      </c>
      <c r="Y11520" s="23" t="str">
        <f aca="false">IF(AND(ISNUMBER(C11520),ISNUMBER(D11520)),D11520-C11520,"")</f>
        <v/>
      </c>
      <c r="Z11520" s="23" t="str">
        <f aca="false">IF(B11520="","",IF(MATCH(B11520,$B$2:$B$12000,0)=ROW()-1,1,0))</f>
        <v/>
      </c>
    </row>
    <row r="11521" customFormat="false" ht="15" hidden="false" customHeight="false" outlineLevel="0" collapsed="false">
      <c r="V11521" s="23" t="str">
        <f aca="false">IF(ISNUMBER(C11521),YEAR(C11521),"")</f>
        <v/>
      </c>
      <c r="W11521" s="23" t="str">
        <f aca="false">IF(ISNUMBER(C11521),MONTH(C11521),"")</f>
        <v/>
      </c>
      <c r="X11521" s="23" t="str">
        <f aca="false">IF(T11521="","",IF(T11521=0,"No discount",IF(T11521&lt;=0.2,"Low (1-20%)",IF(T11521&lt;=0.4,"Medium (21-40%)","High (&gt;40%)"))))</f>
        <v/>
      </c>
      <c r="Y11521" s="23" t="str">
        <f aca="false">IF(AND(ISNUMBER(C11521),ISNUMBER(D11521)),D11521-C11521,"")</f>
        <v/>
      </c>
      <c r="Z11521" s="23" t="str">
        <f aca="false">IF(B11521="","",IF(MATCH(B11521,$B$2:$B$12000,0)=ROW()-1,1,0))</f>
        <v/>
      </c>
    </row>
    <row r="11522" customFormat="false" ht="15" hidden="false" customHeight="false" outlineLevel="0" collapsed="false">
      <c r="V11522" s="23" t="str">
        <f aca="false">IF(ISNUMBER(C11522),YEAR(C11522),"")</f>
        <v/>
      </c>
      <c r="W11522" s="23" t="str">
        <f aca="false">IF(ISNUMBER(C11522),MONTH(C11522),"")</f>
        <v/>
      </c>
      <c r="X11522" s="23" t="str">
        <f aca="false">IF(T11522="","",IF(T11522=0,"No discount",IF(T11522&lt;=0.2,"Low (1-20%)",IF(T11522&lt;=0.4,"Medium (21-40%)","High (&gt;40%)"))))</f>
        <v/>
      </c>
      <c r="Y11522" s="23" t="str">
        <f aca="false">IF(AND(ISNUMBER(C11522),ISNUMBER(D11522)),D11522-C11522,"")</f>
        <v/>
      </c>
      <c r="Z11522" s="23" t="str">
        <f aca="false">IF(B11522="","",IF(MATCH(B11522,$B$2:$B$12000,0)=ROW()-1,1,0))</f>
        <v/>
      </c>
    </row>
    <row r="11523" customFormat="false" ht="15" hidden="false" customHeight="false" outlineLevel="0" collapsed="false">
      <c r="V11523" s="23" t="str">
        <f aca="false">IF(ISNUMBER(C11523),YEAR(C11523),"")</f>
        <v/>
      </c>
      <c r="W11523" s="23" t="str">
        <f aca="false">IF(ISNUMBER(C11523),MONTH(C11523),"")</f>
        <v/>
      </c>
      <c r="X11523" s="23" t="str">
        <f aca="false">IF(T11523="","",IF(T11523=0,"No discount",IF(T11523&lt;=0.2,"Low (1-20%)",IF(T11523&lt;=0.4,"Medium (21-40%)","High (&gt;40%)"))))</f>
        <v/>
      </c>
      <c r="Y11523" s="23" t="str">
        <f aca="false">IF(AND(ISNUMBER(C11523),ISNUMBER(D11523)),D11523-C11523,"")</f>
        <v/>
      </c>
      <c r="Z11523" s="23" t="str">
        <f aca="false">IF(B11523="","",IF(MATCH(B11523,$B$2:$B$12000,0)=ROW()-1,1,0))</f>
        <v/>
      </c>
    </row>
    <row r="11524" customFormat="false" ht="15" hidden="false" customHeight="false" outlineLevel="0" collapsed="false">
      <c r="V11524" s="23" t="str">
        <f aca="false">IF(ISNUMBER(C11524),YEAR(C11524),"")</f>
        <v/>
      </c>
      <c r="W11524" s="23" t="str">
        <f aca="false">IF(ISNUMBER(C11524),MONTH(C11524),"")</f>
        <v/>
      </c>
      <c r="X11524" s="23" t="str">
        <f aca="false">IF(T11524="","",IF(T11524=0,"No discount",IF(T11524&lt;=0.2,"Low (1-20%)",IF(T11524&lt;=0.4,"Medium (21-40%)","High (&gt;40%)"))))</f>
        <v/>
      </c>
      <c r="Y11524" s="23" t="str">
        <f aca="false">IF(AND(ISNUMBER(C11524),ISNUMBER(D11524)),D11524-C11524,"")</f>
        <v/>
      </c>
      <c r="Z11524" s="23" t="str">
        <f aca="false">IF(B11524="","",IF(MATCH(B11524,$B$2:$B$12000,0)=ROW()-1,1,0))</f>
        <v/>
      </c>
    </row>
    <row r="11525" customFormat="false" ht="15" hidden="false" customHeight="false" outlineLevel="0" collapsed="false">
      <c r="V11525" s="23" t="str">
        <f aca="false">IF(ISNUMBER(C11525),YEAR(C11525),"")</f>
        <v/>
      </c>
      <c r="W11525" s="23" t="str">
        <f aca="false">IF(ISNUMBER(C11525),MONTH(C11525),"")</f>
        <v/>
      </c>
      <c r="X11525" s="23" t="str">
        <f aca="false">IF(T11525="","",IF(T11525=0,"No discount",IF(T11525&lt;=0.2,"Low (1-20%)",IF(T11525&lt;=0.4,"Medium (21-40%)","High (&gt;40%)"))))</f>
        <v/>
      </c>
      <c r="Y11525" s="23" t="str">
        <f aca="false">IF(AND(ISNUMBER(C11525),ISNUMBER(D11525)),D11525-C11525,"")</f>
        <v/>
      </c>
      <c r="Z11525" s="23" t="str">
        <f aca="false">IF(B11525="","",IF(MATCH(B11525,$B$2:$B$12000,0)=ROW()-1,1,0))</f>
        <v/>
      </c>
    </row>
    <row r="11526" customFormat="false" ht="15" hidden="false" customHeight="false" outlineLevel="0" collapsed="false">
      <c r="V11526" s="23" t="str">
        <f aca="false">IF(ISNUMBER(C11526),YEAR(C11526),"")</f>
        <v/>
      </c>
      <c r="W11526" s="23" t="str">
        <f aca="false">IF(ISNUMBER(C11526),MONTH(C11526),"")</f>
        <v/>
      </c>
      <c r="X11526" s="23" t="str">
        <f aca="false">IF(T11526="","",IF(T11526=0,"No discount",IF(T11526&lt;=0.2,"Low (1-20%)",IF(T11526&lt;=0.4,"Medium (21-40%)","High (&gt;40%)"))))</f>
        <v/>
      </c>
      <c r="Y11526" s="23" t="str">
        <f aca="false">IF(AND(ISNUMBER(C11526),ISNUMBER(D11526)),D11526-C11526,"")</f>
        <v/>
      </c>
      <c r="Z11526" s="23" t="str">
        <f aca="false">IF(B11526="","",IF(MATCH(B11526,$B$2:$B$12000,0)=ROW()-1,1,0))</f>
        <v/>
      </c>
    </row>
    <row r="11527" customFormat="false" ht="15" hidden="false" customHeight="false" outlineLevel="0" collapsed="false">
      <c r="V11527" s="23" t="str">
        <f aca="false">IF(ISNUMBER(C11527),YEAR(C11527),"")</f>
        <v/>
      </c>
      <c r="W11527" s="23" t="str">
        <f aca="false">IF(ISNUMBER(C11527),MONTH(C11527),"")</f>
        <v/>
      </c>
      <c r="X11527" s="23" t="str">
        <f aca="false">IF(T11527="","",IF(T11527=0,"No discount",IF(T11527&lt;=0.2,"Low (1-20%)",IF(T11527&lt;=0.4,"Medium (21-40%)","High (&gt;40%)"))))</f>
        <v/>
      </c>
      <c r="Y11527" s="23" t="str">
        <f aca="false">IF(AND(ISNUMBER(C11527),ISNUMBER(D11527)),D11527-C11527,"")</f>
        <v/>
      </c>
      <c r="Z11527" s="23" t="str">
        <f aca="false">IF(B11527="","",IF(MATCH(B11527,$B$2:$B$12000,0)=ROW()-1,1,0))</f>
        <v/>
      </c>
    </row>
    <row r="11528" customFormat="false" ht="15" hidden="false" customHeight="false" outlineLevel="0" collapsed="false">
      <c r="V11528" s="23" t="str">
        <f aca="false">IF(ISNUMBER(C11528),YEAR(C11528),"")</f>
        <v/>
      </c>
      <c r="W11528" s="23" t="str">
        <f aca="false">IF(ISNUMBER(C11528),MONTH(C11528),"")</f>
        <v/>
      </c>
      <c r="X11528" s="23" t="str">
        <f aca="false">IF(T11528="","",IF(T11528=0,"No discount",IF(T11528&lt;=0.2,"Low (1-20%)",IF(T11528&lt;=0.4,"Medium (21-40%)","High (&gt;40%)"))))</f>
        <v/>
      </c>
      <c r="Y11528" s="23" t="str">
        <f aca="false">IF(AND(ISNUMBER(C11528),ISNUMBER(D11528)),D11528-C11528,"")</f>
        <v/>
      </c>
      <c r="Z11528" s="23" t="str">
        <f aca="false">IF(B11528="","",IF(MATCH(B11528,$B$2:$B$12000,0)=ROW()-1,1,0))</f>
        <v/>
      </c>
    </row>
    <row r="11529" customFormat="false" ht="15" hidden="false" customHeight="false" outlineLevel="0" collapsed="false">
      <c r="V11529" s="23" t="str">
        <f aca="false">IF(ISNUMBER(C11529),YEAR(C11529),"")</f>
        <v/>
      </c>
      <c r="W11529" s="23" t="str">
        <f aca="false">IF(ISNUMBER(C11529),MONTH(C11529),"")</f>
        <v/>
      </c>
      <c r="X11529" s="23" t="str">
        <f aca="false">IF(T11529="","",IF(T11529=0,"No discount",IF(T11529&lt;=0.2,"Low (1-20%)",IF(T11529&lt;=0.4,"Medium (21-40%)","High (&gt;40%)"))))</f>
        <v/>
      </c>
      <c r="Y11529" s="23" t="str">
        <f aca="false">IF(AND(ISNUMBER(C11529),ISNUMBER(D11529)),D11529-C11529,"")</f>
        <v/>
      </c>
      <c r="Z11529" s="23" t="str">
        <f aca="false">IF(B11529="","",IF(MATCH(B11529,$B$2:$B$12000,0)=ROW()-1,1,0))</f>
        <v/>
      </c>
    </row>
    <row r="11530" customFormat="false" ht="15" hidden="false" customHeight="false" outlineLevel="0" collapsed="false">
      <c r="V11530" s="23" t="str">
        <f aca="false">IF(ISNUMBER(C11530),YEAR(C11530),"")</f>
        <v/>
      </c>
      <c r="W11530" s="23" t="str">
        <f aca="false">IF(ISNUMBER(C11530),MONTH(C11530),"")</f>
        <v/>
      </c>
      <c r="X11530" s="23" t="str">
        <f aca="false">IF(T11530="","",IF(T11530=0,"No discount",IF(T11530&lt;=0.2,"Low (1-20%)",IF(T11530&lt;=0.4,"Medium (21-40%)","High (&gt;40%)"))))</f>
        <v/>
      </c>
      <c r="Y11530" s="23" t="str">
        <f aca="false">IF(AND(ISNUMBER(C11530),ISNUMBER(D11530)),D11530-C11530,"")</f>
        <v/>
      </c>
      <c r="Z11530" s="23" t="str">
        <f aca="false">IF(B11530="","",IF(MATCH(B11530,$B$2:$B$12000,0)=ROW()-1,1,0))</f>
        <v/>
      </c>
    </row>
    <row r="11531" customFormat="false" ht="15" hidden="false" customHeight="false" outlineLevel="0" collapsed="false">
      <c r="V11531" s="23" t="str">
        <f aca="false">IF(ISNUMBER(C11531),YEAR(C11531),"")</f>
        <v/>
      </c>
      <c r="W11531" s="23" t="str">
        <f aca="false">IF(ISNUMBER(C11531),MONTH(C11531),"")</f>
        <v/>
      </c>
      <c r="X11531" s="23" t="str">
        <f aca="false">IF(T11531="","",IF(T11531=0,"No discount",IF(T11531&lt;=0.2,"Low (1-20%)",IF(T11531&lt;=0.4,"Medium (21-40%)","High (&gt;40%)"))))</f>
        <v/>
      </c>
      <c r="Y11531" s="23" t="str">
        <f aca="false">IF(AND(ISNUMBER(C11531),ISNUMBER(D11531)),D11531-C11531,"")</f>
        <v/>
      </c>
      <c r="Z11531" s="23" t="str">
        <f aca="false">IF(B11531="","",IF(MATCH(B11531,$B$2:$B$12000,0)=ROW()-1,1,0))</f>
        <v/>
      </c>
    </row>
    <row r="11532" customFormat="false" ht="15" hidden="false" customHeight="false" outlineLevel="0" collapsed="false">
      <c r="V11532" s="23" t="str">
        <f aca="false">IF(ISNUMBER(C11532),YEAR(C11532),"")</f>
        <v/>
      </c>
      <c r="W11532" s="23" t="str">
        <f aca="false">IF(ISNUMBER(C11532),MONTH(C11532),"")</f>
        <v/>
      </c>
      <c r="X11532" s="23" t="str">
        <f aca="false">IF(T11532="","",IF(T11532=0,"No discount",IF(T11532&lt;=0.2,"Low (1-20%)",IF(T11532&lt;=0.4,"Medium (21-40%)","High (&gt;40%)"))))</f>
        <v/>
      </c>
      <c r="Y11532" s="23" t="str">
        <f aca="false">IF(AND(ISNUMBER(C11532),ISNUMBER(D11532)),D11532-C11532,"")</f>
        <v/>
      </c>
      <c r="Z11532" s="23" t="str">
        <f aca="false">IF(B11532="","",IF(MATCH(B11532,$B$2:$B$12000,0)=ROW()-1,1,0))</f>
        <v/>
      </c>
    </row>
    <row r="11533" customFormat="false" ht="15" hidden="false" customHeight="false" outlineLevel="0" collapsed="false">
      <c r="V11533" s="23" t="str">
        <f aca="false">IF(ISNUMBER(C11533),YEAR(C11533),"")</f>
        <v/>
      </c>
      <c r="W11533" s="23" t="str">
        <f aca="false">IF(ISNUMBER(C11533),MONTH(C11533),"")</f>
        <v/>
      </c>
      <c r="X11533" s="23" t="str">
        <f aca="false">IF(T11533="","",IF(T11533=0,"No discount",IF(T11533&lt;=0.2,"Low (1-20%)",IF(T11533&lt;=0.4,"Medium (21-40%)","High (&gt;40%)"))))</f>
        <v/>
      </c>
      <c r="Y11533" s="23" t="str">
        <f aca="false">IF(AND(ISNUMBER(C11533),ISNUMBER(D11533)),D11533-C11533,"")</f>
        <v/>
      </c>
      <c r="Z11533" s="23" t="str">
        <f aca="false">IF(B11533="","",IF(MATCH(B11533,$B$2:$B$12000,0)=ROW()-1,1,0))</f>
        <v/>
      </c>
    </row>
    <row r="11534" customFormat="false" ht="15" hidden="false" customHeight="false" outlineLevel="0" collapsed="false">
      <c r="V11534" s="23" t="str">
        <f aca="false">IF(ISNUMBER(C11534),YEAR(C11534),"")</f>
        <v/>
      </c>
      <c r="W11534" s="23" t="str">
        <f aca="false">IF(ISNUMBER(C11534),MONTH(C11534),"")</f>
        <v/>
      </c>
      <c r="X11534" s="23" t="str">
        <f aca="false">IF(T11534="","",IF(T11534=0,"No discount",IF(T11534&lt;=0.2,"Low (1-20%)",IF(T11534&lt;=0.4,"Medium (21-40%)","High (&gt;40%)"))))</f>
        <v/>
      </c>
      <c r="Y11534" s="23" t="str">
        <f aca="false">IF(AND(ISNUMBER(C11534),ISNUMBER(D11534)),D11534-C11534,"")</f>
        <v/>
      </c>
      <c r="Z11534" s="23" t="str">
        <f aca="false">IF(B11534="","",IF(MATCH(B11534,$B$2:$B$12000,0)=ROW()-1,1,0))</f>
        <v/>
      </c>
    </row>
    <row r="11535" customFormat="false" ht="15" hidden="false" customHeight="false" outlineLevel="0" collapsed="false">
      <c r="V11535" s="23" t="str">
        <f aca="false">IF(ISNUMBER(C11535),YEAR(C11535),"")</f>
        <v/>
      </c>
      <c r="W11535" s="23" t="str">
        <f aca="false">IF(ISNUMBER(C11535),MONTH(C11535),"")</f>
        <v/>
      </c>
      <c r="X11535" s="23" t="str">
        <f aca="false">IF(T11535="","",IF(T11535=0,"No discount",IF(T11535&lt;=0.2,"Low (1-20%)",IF(T11535&lt;=0.4,"Medium (21-40%)","High (&gt;40%)"))))</f>
        <v/>
      </c>
      <c r="Y11535" s="23" t="str">
        <f aca="false">IF(AND(ISNUMBER(C11535),ISNUMBER(D11535)),D11535-C11535,"")</f>
        <v/>
      </c>
      <c r="Z11535" s="23" t="str">
        <f aca="false">IF(B11535="","",IF(MATCH(B11535,$B$2:$B$12000,0)=ROW()-1,1,0))</f>
        <v/>
      </c>
    </row>
    <row r="11536" customFormat="false" ht="15" hidden="false" customHeight="false" outlineLevel="0" collapsed="false">
      <c r="V11536" s="23" t="str">
        <f aca="false">IF(ISNUMBER(C11536),YEAR(C11536),"")</f>
        <v/>
      </c>
      <c r="W11536" s="23" t="str">
        <f aca="false">IF(ISNUMBER(C11536),MONTH(C11536),"")</f>
        <v/>
      </c>
      <c r="X11536" s="23" t="str">
        <f aca="false">IF(T11536="","",IF(T11536=0,"No discount",IF(T11536&lt;=0.2,"Low (1-20%)",IF(T11536&lt;=0.4,"Medium (21-40%)","High (&gt;40%)"))))</f>
        <v/>
      </c>
      <c r="Y11536" s="23" t="str">
        <f aca="false">IF(AND(ISNUMBER(C11536),ISNUMBER(D11536)),D11536-C11536,"")</f>
        <v/>
      </c>
      <c r="Z11536" s="23" t="str">
        <f aca="false">IF(B11536="","",IF(MATCH(B11536,$B$2:$B$12000,0)=ROW()-1,1,0))</f>
        <v/>
      </c>
    </row>
    <row r="11537" customFormat="false" ht="15" hidden="false" customHeight="false" outlineLevel="0" collapsed="false">
      <c r="V11537" s="23" t="str">
        <f aca="false">IF(ISNUMBER(C11537),YEAR(C11537),"")</f>
        <v/>
      </c>
      <c r="W11537" s="23" t="str">
        <f aca="false">IF(ISNUMBER(C11537),MONTH(C11537),"")</f>
        <v/>
      </c>
      <c r="X11537" s="23" t="str">
        <f aca="false">IF(T11537="","",IF(T11537=0,"No discount",IF(T11537&lt;=0.2,"Low (1-20%)",IF(T11537&lt;=0.4,"Medium (21-40%)","High (&gt;40%)"))))</f>
        <v/>
      </c>
      <c r="Y11537" s="23" t="str">
        <f aca="false">IF(AND(ISNUMBER(C11537),ISNUMBER(D11537)),D11537-C11537,"")</f>
        <v/>
      </c>
      <c r="Z11537" s="23" t="str">
        <f aca="false">IF(B11537="","",IF(MATCH(B11537,$B$2:$B$12000,0)=ROW()-1,1,0))</f>
        <v/>
      </c>
    </row>
    <row r="11538" customFormat="false" ht="15" hidden="false" customHeight="false" outlineLevel="0" collapsed="false">
      <c r="V11538" s="23" t="str">
        <f aca="false">IF(ISNUMBER(C11538),YEAR(C11538),"")</f>
        <v/>
      </c>
      <c r="W11538" s="23" t="str">
        <f aca="false">IF(ISNUMBER(C11538),MONTH(C11538),"")</f>
        <v/>
      </c>
      <c r="X11538" s="23" t="str">
        <f aca="false">IF(T11538="","",IF(T11538=0,"No discount",IF(T11538&lt;=0.2,"Low (1-20%)",IF(T11538&lt;=0.4,"Medium (21-40%)","High (&gt;40%)"))))</f>
        <v/>
      </c>
      <c r="Y11538" s="23" t="str">
        <f aca="false">IF(AND(ISNUMBER(C11538),ISNUMBER(D11538)),D11538-C11538,"")</f>
        <v/>
      </c>
      <c r="Z11538" s="23" t="str">
        <f aca="false">IF(B11538="","",IF(MATCH(B11538,$B$2:$B$12000,0)=ROW()-1,1,0))</f>
        <v/>
      </c>
    </row>
    <row r="11539" customFormat="false" ht="15" hidden="false" customHeight="false" outlineLevel="0" collapsed="false">
      <c r="V11539" s="23" t="str">
        <f aca="false">IF(ISNUMBER(C11539),YEAR(C11539),"")</f>
        <v/>
      </c>
      <c r="W11539" s="23" t="str">
        <f aca="false">IF(ISNUMBER(C11539),MONTH(C11539),"")</f>
        <v/>
      </c>
      <c r="X11539" s="23" t="str">
        <f aca="false">IF(T11539="","",IF(T11539=0,"No discount",IF(T11539&lt;=0.2,"Low (1-20%)",IF(T11539&lt;=0.4,"Medium (21-40%)","High (&gt;40%)"))))</f>
        <v/>
      </c>
      <c r="Y11539" s="23" t="str">
        <f aca="false">IF(AND(ISNUMBER(C11539),ISNUMBER(D11539)),D11539-C11539,"")</f>
        <v/>
      </c>
      <c r="Z11539" s="23" t="str">
        <f aca="false">IF(B11539="","",IF(MATCH(B11539,$B$2:$B$12000,0)=ROW()-1,1,0))</f>
        <v/>
      </c>
    </row>
    <row r="11540" customFormat="false" ht="15" hidden="false" customHeight="false" outlineLevel="0" collapsed="false">
      <c r="V11540" s="23" t="str">
        <f aca="false">IF(ISNUMBER(C11540),YEAR(C11540),"")</f>
        <v/>
      </c>
      <c r="W11540" s="23" t="str">
        <f aca="false">IF(ISNUMBER(C11540),MONTH(C11540),"")</f>
        <v/>
      </c>
      <c r="X11540" s="23" t="str">
        <f aca="false">IF(T11540="","",IF(T11540=0,"No discount",IF(T11540&lt;=0.2,"Low (1-20%)",IF(T11540&lt;=0.4,"Medium (21-40%)","High (&gt;40%)"))))</f>
        <v/>
      </c>
      <c r="Y11540" s="23" t="str">
        <f aca="false">IF(AND(ISNUMBER(C11540),ISNUMBER(D11540)),D11540-C11540,"")</f>
        <v/>
      </c>
      <c r="Z11540" s="23" t="str">
        <f aca="false">IF(B11540="","",IF(MATCH(B11540,$B$2:$B$12000,0)=ROW()-1,1,0))</f>
        <v/>
      </c>
    </row>
    <row r="11541" customFormat="false" ht="15" hidden="false" customHeight="false" outlineLevel="0" collapsed="false">
      <c r="V11541" s="23" t="str">
        <f aca="false">IF(ISNUMBER(C11541),YEAR(C11541),"")</f>
        <v/>
      </c>
      <c r="W11541" s="23" t="str">
        <f aca="false">IF(ISNUMBER(C11541),MONTH(C11541),"")</f>
        <v/>
      </c>
      <c r="X11541" s="23" t="str">
        <f aca="false">IF(T11541="","",IF(T11541=0,"No discount",IF(T11541&lt;=0.2,"Low (1-20%)",IF(T11541&lt;=0.4,"Medium (21-40%)","High (&gt;40%)"))))</f>
        <v/>
      </c>
      <c r="Y11541" s="23" t="str">
        <f aca="false">IF(AND(ISNUMBER(C11541),ISNUMBER(D11541)),D11541-C11541,"")</f>
        <v/>
      </c>
      <c r="Z11541" s="23" t="str">
        <f aca="false">IF(B11541="","",IF(MATCH(B11541,$B$2:$B$12000,0)=ROW()-1,1,0))</f>
        <v/>
      </c>
    </row>
    <row r="11542" customFormat="false" ht="15" hidden="false" customHeight="false" outlineLevel="0" collapsed="false">
      <c r="V11542" s="23" t="str">
        <f aca="false">IF(ISNUMBER(C11542),YEAR(C11542),"")</f>
        <v/>
      </c>
      <c r="W11542" s="23" t="str">
        <f aca="false">IF(ISNUMBER(C11542),MONTH(C11542),"")</f>
        <v/>
      </c>
      <c r="X11542" s="23" t="str">
        <f aca="false">IF(T11542="","",IF(T11542=0,"No discount",IF(T11542&lt;=0.2,"Low (1-20%)",IF(T11542&lt;=0.4,"Medium (21-40%)","High (&gt;40%)"))))</f>
        <v/>
      </c>
      <c r="Y11542" s="23" t="str">
        <f aca="false">IF(AND(ISNUMBER(C11542),ISNUMBER(D11542)),D11542-C11542,"")</f>
        <v/>
      </c>
      <c r="Z11542" s="23" t="str">
        <f aca="false">IF(B11542="","",IF(MATCH(B11542,$B$2:$B$12000,0)=ROW()-1,1,0))</f>
        <v/>
      </c>
    </row>
    <row r="11543" customFormat="false" ht="15" hidden="false" customHeight="false" outlineLevel="0" collapsed="false">
      <c r="V11543" s="23" t="str">
        <f aca="false">IF(ISNUMBER(C11543),YEAR(C11543),"")</f>
        <v/>
      </c>
      <c r="W11543" s="23" t="str">
        <f aca="false">IF(ISNUMBER(C11543),MONTH(C11543),"")</f>
        <v/>
      </c>
      <c r="X11543" s="23" t="str">
        <f aca="false">IF(T11543="","",IF(T11543=0,"No discount",IF(T11543&lt;=0.2,"Low (1-20%)",IF(T11543&lt;=0.4,"Medium (21-40%)","High (&gt;40%)"))))</f>
        <v/>
      </c>
      <c r="Y11543" s="23" t="str">
        <f aca="false">IF(AND(ISNUMBER(C11543),ISNUMBER(D11543)),D11543-C11543,"")</f>
        <v/>
      </c>
      <c r="Z11543" s="23" t="str">
        <f aca="false">IF(B11543="","",IF(MATCH(B11543,$B$2:$B$12000,0)=ROW()-1,1,0))</f>
        <v/>
      </c>
    </row>
    <row r="11544" customFormat="false" ht="15" hidden="false" customHeight="false" outlineLevel="0" collapsed="false">
      <c r="V11544" s="23" t="str">
        <f aca="false">IF(ISNUMBER(C11544),YEAR(C11544),"")</f>
        <v/>
      </c>
      <c r="W11544" s="23" t="str">
        <f aca="false">IF(ISNUMBER(C11544),MONTH(C11544),"")</f>
        <v/>
      </c>
      <c r="X11544" s="23" t="str">
        <f aca="false">IF(T11544="","",IF(T11544=0,"No discount",IF(T11544&lt;=0.2,"Low (1-20%)",IF(T11544&lt;=0.4,"Medium (21-40%)","High (&gt;40%)"))))</f>
        <v/>
      </c>
      <c r="Y11544" s="23" t="str">
        <f aca="false">IF(AND(ISNUMBER(C11544),ISNUMBER(D11544)),D11544-C11544,"")</f>
        <v/>
      </c>
      <c r="Z11544" s="23" t="str">
        <f aca="false">IF(B11544="","",IF(MATCH(B11544,$B$2:$B$12000,0)=ROW()-1,1,0))</f>
        <v/>
      </c>
    </row>
    <row r="11545" customFormat="false" ht="15" hidden="false" customHeight="false" outlineLevel="0" collapsed="false">
      <c r="V11545" s="23" t="str">
        <f aca="false">IF(ISNUMBER(C11545),YEAR(C11545),"")</f>
        <v/>
      </c>
      <c r="W11545" s="23" t="str">
        <f aca="false">IF(ISNUMBER(C11545),MONTH(C11545),"")</f>
        <v/>
      </c>
      <c r="X11545" s="23" t="str">
        <f aca="false">IF(T11545="","",IF(T11545=0,"No discount",IF(T11545&lt;=0.2,"Low (1-20%)",IF(T11545&lt;=0.4,"Medium (21-40%)","High (&gt;40%)"))))</f>
        <v/>
      </c>
      <c r="Y11545" s="23" t="str">
        <f aca="false">IF(AND(ISNUMBER(C11545),ISNUMBER(D11545)),D11545-C11545,"")</f>
        <v/>
      </c>
      <c r="Z11545" s="23" t="str">
        <f aca="false">IF(B11545="","",IF(MATCH(B11545,$B$2:$B$12000,0)=ROW()-1,1,0))</f>
        <v/>
      </c>
    </row>
    <row r="11546" customFormat="false" ht="15" hidden="false" customHeight="false" outlineLevel="0" collapsed="false">
      <c r="V11546" s="23" t="str">
        <f aca="false">IF(ISNUMBER(C11546),YEAR(C11546),"")</f>
        <v/>
      </c>
      <c r="W11546" s="23" t="str">
        <f aca="false">IF(ISNUMBER(C11546),MONTH(C11546),"")</f>
        <v/>
      </c>
      <c r="X11546" s="23" t="str">
        <f aca="false">IF(T11546="","",IF(T11546=0,"No discount",IF(T11546&lt;=0.2,"Low (1-20%)",IF(T11546&lt;=0.4,"Medium (21-40%)","High (&gt;40%)"))))</f>
        <v/>
      </c>
      <c r="Y11546" s="23" t="str">
        <f aca="false">IF(AND(ISNUMBER(C11546),ISNUMBER(D11546)),D11546-C11546,"")</f>
        <v/>
      </c>
      <c r="Z11546" s="23" t="str">
        <f aca="false">IF(B11546="","",IF(MATCH(B11546,$B$2:$B$12000,0)=ROW()-1,1,0))</f>
        <v/>
      </c>
    </row>
    <row r="11547" customFormat="false" ht="15" hidden="false" customHeight="false" outlineLevel="0" collapsed="false">
      <c r="V11547" s="23" t="str">
        <f aca="false">IF(ISNUMBER(C11547),YEAR(C11547),"")</f>
        <v/>
      </c>
      <c r="W11547" s="23" t="str">
        <f aca="false">IF(ISNUMBER(C11547),MONTH(C11547),"")</f>
        <v/>
      </c>
      <c r="X11547" s="23" t="str">
        <f aca="false">IF(T11547="","",IF(T11547=0,"No discount",IF(T11547&lt;=0.2,"Low (1-20%)",IF(T11547&lt;=0.4,"Medium (21-40%)","High (&gt;40%)"))))</f>
        <v/>
      </c>
      <c r="Y11547" s="23" t="str">
        <f aca="false">IF(AND(ISNUMBER(C11547),ISNUMBER(D11547)),D11547-C11547,"")</f>
        <v/>
      </c>
      <c r="Z11547" s="23" t="str">
        <f aca="false">IF(B11547="","",IF(MATCH(B11547,$B$2:$B$12000,0)=ROW()-1,1,0))</f>
        <v/>
      </c>
    </row>
    <row r="11548" customFormat="false" ht="15" hidden="false" customHeight="false" outlineLevel="0" collapsed="false">
      <c r="V11548" s="23" t="str">
        <f aca="false">IF(ISNUMBER(C11548),YEAR(C11548),"")</f>
        <v/>
      </c>
      <c r="W11548" s="23" t="str">
        <f aca="false">IF(ISNUMBER(C11548),MONTH(C11548),"")</f>
        <v/>
      </c>
      <c r="X11548" s="23" t="str">
        <f aca="false">IF(T11548="","",IF(T11548=0,"No discount",IF(T11548&lt;=0.2,"Low (1-20%)",IF(T11548&lt;=0.4,"Medium (21-40%)","High (&gt;40%)"))))</f>
        <v/>
      </c>
      <c r="Y11548" s="23" t="str">
        <f aca="false">IF(AND(ISNUMBER(C11548),ISNUMBER(D11548)),D11548-C11548,"")</f>
        <v/>
      </c>
      <c r="Z11548" s="23" t="str">
        <f aca="false">IF(B11548="","",IF(MATCH(B11548,$B$2:$B$12000,0)=ROW()-1,1,0))</f>
        <v/>
      </c>
    </row>
    <row r="11549" customFormat="false" ht="15" hidden="false" customHeight="false" outlineLevel="0" collapsed="false">
      <c r="V11549" s="23" t="str">
        <f aca="false">IF(ISNUMBER(C11549),YEAR(C11549),"")</f>
        <v/>
      </c>
      <c r="W11549" s="23" t="str">
        <f aca="false">IF(ISNUMBER(C11549),MONTH(C11549),"")</f>
        <v/>
      </c>
      <c r="X11549" s="23" t="str">
        <f aca="false">IF(T11549="","",IF(T11549=0,"No discount",IF(T11549&lt;=0.2,"Low (1-20%)",IF(T11549&lt;=0.4,"Medium (21-40%)","High (&gt;40%)"))))</f>
        <v/>
      </c>
      <c r="Y11549" s="23" t="str">
        <f aca="false">IF(AND(ISNUMBER(C11549),ISNUMBER(D11549)),D11549-C11549,"")</f>
        <v/>
      </c>
      <c r="Z11549" s="23" t="str">
        <f aca="false">IF(B11549="","",IF(MATCH(B11549,$B$2:$B$12000,0)=ROW()-1,1,0))</f>
        <v/>
      </c>
    </row>
    <row r="11550" customFormat="false" ht="15" hidden="false" customHeight="false" outlineLevel="0" collapsed="false">
      <c r="V11550" s="23" t="str">
        <f aca="false">IF(ISNUMBER(C11550),YEAR(C11550),"")</f>
        <v/>
      </c>
      <c r="W11550" s="23" t="str">
        <f aca="false">IF(ISNUMBER(C11550),MONTH(C11550),"")</f>
        <v/>
      </c>
      <c r="X11550" s="23" t="str">
        <f aca="false">IF(T11550="","",IF(T11550=0,"No discount",IF(T11550&lt;=0.2,"Low (1-20%)",IF(T11550&lt;=0.4,"Medium (21-40%)","High (&gt;40%)"))))</f>
        <v/>
      </c>
      <c r="Y11550" s="23" t="str">
        <f aca="false">IF(AND(ISNUMBER(C11550),ISNUMBER(D11550)),D11550-C11550,"")</f>
        <v/>
      </c>
      <c r="Z11550" s="23" t="str">
        <f aca="false">IF(B11550="","",IF(MATCH(B11550,$B$2:$B$12000,0)=ROW()-1,1,0))</f>
        <v/>
      </c>
    </row>
    <row r="11551" customFormat="false" ht="15" hidden="false" customHeight="false" outlineLevel="0" collapsed="false">
      <c r="V11551" s="23" t="str">
        <f aca="false">IF(ISNUMBER(C11551),YEAR(C11551),"")</f>
        <v/>
      </c>
      <c r="W11551" s="23" t="str">
        <f aca="false">IF(ISNUMBER(C11551),MONTH(C11551),"")</f>
        <v/>
      </c>
      <c r="X11551" s="23" t="str">
        <f aca="false">IF(T11551="","",IF(T11551=0,"No discount",IF(T11551&lt;=0.2,"Low (1-20%)",IF(T11551&lt;=0.4,"Medium (21-40%)","High (&gt;40%)"))))</f>
        <v/>
      </c>
      <c r="Y11551" s="23" t="str">
        <f aca="false">IF(AND(ISNUMBER(C11551),ISNUMBER(D11551)),D11551-C11551,"")</f>
        <v/>
      </c>
      <c r="Z11551" s="23" t="str">
        <f aca="false">IF(B11551="","",IF(MATCH(B11551,$B$2:$B$12000,0)=ROW()-1,1,0))</f>
        <v/>
      </c>
    </row>
    <row r="11552" customFormat="false" ht="15" hidden="false" customHeight="false" outlineLevel="0" collapsed="false">
      <c r="V11552" s="23" t="str">
        <f aca="false">IF(ISNUMBER(C11552),YEAR(C11552),"")</f>
        <v/>
      </c>
      <c r="W11552" s="23" t="str">
        <f aca="false">IF(ISNUMBER(C11552),MONTH(C11552),"")</f>
        <v/>
      </c>
      <c r="X11552" s="23" t="str">
        <f aca="false">IF(T11552="","",IF(T11552=0,"No discount",IF(T11552&lt;=0.2,"Low (1-20%)",IF(T11552&lt;=0.4,"Medium (21-40%)","High (&gt;40%)"))))</f>
        <v/>
      </c>
      <c r="Y11552" s="23" t="str">
        <f aca="false">IF(AND(ISNUMBER(C11552),ISNUMBER(D11552)),D11552-C11552,"")</f>
        <v/>
      </c>
      <c r="Z11552" s="23" t="str">
        <f aca="false">IF(B11552="","",IF(MATCH(B11552,$B$2:$B$12000,0)=ROW()-1,1,0))</f>
        <v/>
      </c>
    </row>
    <row r="11553" customFormat="false" ht="15" hidden="false" customHeight="false" outlineLevel="0" collapsed="false">
      <c r="V11553" s="23" t="str">
        <f aca="false">IF(ISNUMBER(C11553),YEAR(C11553),"")</f>
        <v/>
      </c>
      <c r="W11553" s="23" t="str">
        <f aca="false">IF(ISNUMBER(C11553),MONTH(C11553),"")</f>
        <v/>
      </c>
      <c r="X11553" s="23" t="str">
        <f aca="false">IF(T11553="","",IF(T11553=0,"No discount",IF(T11553&lt;=0.2,"Low (1-20%)",IF(T11553&lt;=0.4,"Medium (21-40%)","High (&gt;40%)"))))</f>
        <v/>
      </c>
      <c r="Y11553" s="23" t="str">
        <f aca="false">IF(AND(ISNUMBER(C11553),ISNUMBER(D11553)),D11553-C11553,"")</f>
        <v/>
      </c>
      <c r="Z11553" s="23" t="str">
        <f aca="false">IF(B11553="","",IF(MATCH(B11553,$B$2:$B$12000,0)=ROW()-1,1,0))</f>
        <v/>
      </c>
    </row>
    <row r="11554" customFormat="false" ht="15" hidden="false" customHeight="false" outlineLevel="0" collapsed="false">
      <c r="V11554" s="23" t="str">
        <f aca="false">IF(ISNUMBER(C11554),YEAR(C11554),"")</f>
        <v/>
      </c>
      <c r="W11554" s="23" t="str">
        <f aca="false">IF(ISNUMBER(C11554),MONTH(C11554),"")</f>
        <v/>
      </c>
      <c r="X11554" s="23" t="str">
        <f aca="false">IF(T11554="","",IF(T11554=0,"No discount",IF(T11554&lt;=0.2,"Low (1-20%)",IF(T11554&lt;=0.4,"Medium (21-40%)","High (&gt;40%)"))))</f>
        <v/>
      </c>
      <c r="Y11554" s="23" t="str">
        <f aca="false">IF(AND(ISNUMBER(C11554),ISNUMBER(D11554)),D11554-C11554,"")</f>
        <v/>
      </c>
      <c r="Z11554" s="23" t="str">
        <f aca="false">IF(B11554="","",IF(MATCH(B11554,$B$2:$B$12000,0)=ROW()-1,1,0))</f>
        <v/>
      </c>
    </row>
    <row r="11555" customFormat="false" ht="15" hidden="false" customHeight="false" outlineLevel="0" collapsed="false">
      <c r="V11555" s="23" t="str">
        <f aca="false">IF(ISNUMBER(C11555),YEAR(C11555),"")</f>
        <v/>
      </c>
      <c r="W11555" s="23" t="str">
        <f aca="false">IF(ISNUMBER(C11555),MONTH(C11555),"")</f>
        <v/>
      </c>
      <c r="X11555" s="23" t="str">
        <f aca="false">IF(T11555="","",IF(T11555=0,"No discount",IF(T11555&lt;=0.2,"Low (1-20%)",IF(T11555&lt;=0.4,"Medium (21-40%)","High (&gt;40%)"))))</f>
        <v/>
      </c>
      <c r="Y11555" s="23" t="str">
        <f aca="false">IF(AND(ISNUMBER(C11555),ISNUMBER(D11555)),D11555-C11555,"")</f>
        <v/>
      </c>
      <c r="Z11555" s="23" t="str">
        <f aca="false">IF(B11555="","",IF(MATCH(B11555,$B$2:$B$12000,0)=ROW()-1,1,0))</f>
        <v/>
      </c>
    </row>
    <row r="11556" customFormat="false" ht="15" hidden="false" customHeight="false" outlineLevel="0" collapsed="false">
      <c r="V11556" s="23" t="str">
        <f aca="false">IF(ISNUMBER(C11556),YEAR(C11556),"")</f>
        <v/>
      </c>
      <c r="W11556" s="23" t="str">
        <f aca="false">IF(ISNUMBER(C11556),MONTH(C11556),"")</f>
        <v/>
      </c>
      <c r="X11556" s="23" t="str">
        <f aca="false">IF(T11556="","",IF(T11556=0,"No discount",IF(T11556&lt;=0.2,"Low (1-20%)",IF(T11556&lt;=0.4,"Medium (21-40%)","High (&gt;40%)"))))</f>
        <v/>
      </c>
      <c r="Y11556" s="23" t="str">
        <f aca="false">IF(AND(ISNUMBER(C11556),ISNUMBER(D11556)),D11556-C11556,"")</f>
        <v/>
      </c>
      <c r="Z11556" s="23" t="str">
        <f aca="false">IF(B11556="","",IF(MATCH(B11556,$B$2:$B$12000,0)=ROW()-1,1,0))</f>
        <v/>
      </c>
    </row>
    <row r="11557" customFormat="false" ht="15" hidden="false" customHeight="false" outlineLevel="0" collapsed="false">
      <c r="V11557" s="23" t="str">
        <f aca="false">IF(ISNUMBER(C11557),YEAR(C11557),"")</f>
        <v/>
      </c>
      <c r="W11557" s="23" t="str">
        <f aca="false">IF(ISNUMBER(C11557),MONTH(C11557),"")</f>
        <v/>
      </c>
      <c r="X11557" s="23" t="str">
        <f aca="false">IF(T11557="","",IF(T11557=0,"No discount",IF(T11557&lt;=0.2,"Low (1-20%)",IF(T11557&lt;=0.4,"Medium (21-40%)","High (&gt;40%)"))))</f>
        <v/>
      </c>
      <c r="Y11557" s="23" t="str">
        <f aca="false">IF(AND(ISNUMBER(C11557),ISNUMBER(D11557)),D11557-C11557,"")</f>
        <v/>
      </c>
      <c r="Z11557" s="23" t="str">
        <f aca="false">IF(B11557="","",IF(MATCH(B11557,$B$2:$B$12000,0)=ROW()-1,1,0))</f>
        <v/>
      </c>
    </row>
    <row r="11558" customFormat="false" ht="15" hidden="false" customHeight="false" outlineLevel="0" collapsed="false">
      <c r="V11558" s="23" t="str">
        <f aca="false">IF(ISNUMBER(C11558),YEAR(C11558),"")</f>
        <v/>
      </c>
      <c r="W11558" s="23" t="str">
        <f aca="false">IF(ISNUMBER(C11558),MONTH(C11558),"")</f>
        <v/>
      </c>
      <c r="X11558" s="23" t="str">
        <f aca="false">IF(T11558="","",IF(T11558=0,"No discount",IF(T11558&lt;=0.2,"Low (1-20%)",IF(T11558&lt;=0.4,"Medium (21-40%)","High (&gt;40%)"))))</f>
        <v/>
      </c>
      <c r="Y11558" s="23" t="str">
        <f aca="false">IF(AND(ISNUMBER(C11558),ISNUMBER(D11558)),D11558-C11558,"")</f>
        <v/>
      </c>
      <c r="Z11558" s="23" t="str">
        <f aca="false">IF(B11558="","",IF(MATCH(B11558,$B$2:$B$12000,0)=ROW()-1,1,0))</f>
        <v/>
      </c>
    </row>
    <row r="11559" customFormat="false" ht="15" hidden="false" customHeight="false" outlineLevel="0" collapsed="false">
      <c r="V11559" s="23" t="str">
        <f aca="false">IF(ISNUMBER(C11559),YEAR(C11559),"")</f>
        <v/>
      </c>
      <c r="W11559" s="23" t="str">
        <f aca="false">IF(ISNUMBER(C11559),MONTH(C11559),"")</f>
        <v/>
      </c>
      <c r="X11559" s="23" t="str">
        <f aca="false">IF(T11559="","",IF(T11559=0,"No discount",IF(T11559&lt;=0.2,"Low (1-20%)",IF(T11559&lt;=0.4,"Medium (21-40%)","High (&gt;40%)"))))</f>
        <v/>
      </c>
      <c r="Y11559" s="23" t="str">
        <f aca="false">IF(AND(ISNUMBER(C11559),ISNUMBER(D11559)),D11559-C11559,"")</f>
        <v/>
      </c>
      <c r="Z11559" s="23" t="str">
        <f aca="false">IF(B11559="","",IF(MATCH(B11559,$B$2:$B$12000,0)=ROW()-1,1,0))</f>
        <v/>
      </c>
    </row>
    <row r="11560" customFormat="false" ht="15" hidden="false" customHeight="false" outlineLevel="0" collapsed="false">
      <c r="V11560" s="23" t="str">
        <f aca="false">IF(ISNUMBER(C11560),YEAR(C11560),"")</f>
        <v/>
      </c>
      <c r="W11560" s="23" t="str">
        <f aca="false">IF(ISNUMBER(C11560),MONTH(C11560),"")</f>
        <v/>
      </c>
      <c r="X11560" s="23" t="str">
        <f aca="false">IF(T11560="","",IF(T11560=0,"No discount",IF(T11560&lt;=0.2,"Low (1-20%)",IF(T11560&lt;=0.4,"Medium (21-40%)","High (&gt;40%)"))))</f>
        <v/>
      </c>
      <c r="Y11560" s="23" t="str">
        <f aca="false">IF(AND(ISNUMBER(C11560),ISNUMBER(D11560)),D11560-C11560,"")</f>
        <v/>
      </c>
      <c r="Z11560" s="23" t="str">
        <f aca="false">IF(B11560="","",IF(MATCH(B11560,$B$2:$B$12000,0)=ROW()-1,1,0))</f>
        <v/>
      </c>
    </row>
    <row r="11561" customFormat="false" ht="15" hidden="false" customHeight="false" outlineLevel="0" collapsed="false">
      <c r="V11561" s="23" t="str">
        <f aca="false">IF(ISNUMBER(C11561),YEAR(C11561),"")</f>
        <v/>
      </c>
      <c r="W11561" s="23" t="str">
        <f aca="false">IF(ISNUMBER(C11561),MONTH(C11561),"")</f>
        <v/>
      </c>
      <c r="X11561" s="23" t="str">
        <f aca="false">IF(T11561="","",IF(T11561=0,"No discount",IF(T11561&lt;=0.2,"Low (1-20%)",IF(T11561&lt;=0.4,"Medium (21-40%)","High (&gt;40%)"))))</f>
        <v/>
      </c>
      <c r="Y11561" s="23" t="str">
        <f aca="false">IF(AND(ISNUMBER(C11561),ISNUMBER(D11561)),D11561-C11561,"")</f>
        <v/>
      </c>
      <c r="Z11561" s="23" t="str">
        <f aca="false">IF(B11561="","",IF(MATCH(B11561,$B$2:$B$12000,0)=ROW()-1,1,0))</f>
        <v/>
      </c>
    </row>
    <row r="11562" customFormat="false" ht="15" hidden="false" customHeight="false" outlineLevel="0" collapsed="false">
      <c r="V11562" s="23" t="str">
        <f aca="false">IF(ISNUMBER(C11562),YEAR(C11562),"")</f>
        <v/>
      </c>
      <c r="W11562" s="23" t="str">
        <f aca="false">IF(ISNUMBER(C11562),MONTH(C11562),"")</f>
        <v/>
      </c>
      <c r="X11562" s="23" t="str">
        <f aca="false">IF(T11562="","",IF(T11562=0,"No discount",IF(T11562&lt;=0.2,"Low (1-20%)",IF(T11562&lt;=0.4,"Medium (21-40%)","High (&gt;40%)"))))</f>
        <v/>
      </c>
      <c r="Y11562" s="23" t="str">
        <f aca="false">IF(AND(ISNUMBER(C11562),ISNUMBER(D11562)),D11562-C11562,"")</f>
        <v/>
      </c>
      <c r="Z11562" s="23" t="str">
        <f aca="false">IF(B11562="","",IF(MATCH(B11562,$B$2:$B$12000,0)=ROW()-1,1,0))</f>
        <v/>
      </c>
    </row>
    <row r="11563" customFormat="false" ht="15" hidden="false" customHeight="false" outlineLevel="0" collapsed="false">
      <c r="V11563" s="23" t="str">
        <f aca="false">IF(ISNUMBER(C11563),YEAR(C11563),"")</f>
        <v/>
      </c>
      <c r="W11563" s="23" t="str">
        <f aca="false">IF(ISNUMBER(C11563),MONTH(C11563),"")</f>
        <v/>
      </c>
      <c r="X11563" s="23" t="str">
        <f aca="false">IF(T11563="","",IF(T11563=0,"No discount",IF(T11563&lt;=0.2,"Low (1-20%)",IF(T11563&lt;=0.4,"Medium (21-40%)","High (&gt;40%)"))))</f>
        <v/>
      </c>
      <c r="Y11563" s="23" t="str">
        <f aca="false">IF(AND(ISNUMBER(C11563),ISNUMBER(D11563)),D11563-C11563,"")</f>
        <v/>
      </c>
      <c r="Z11563" s="23" t="str">
        <f aca="false">IF(B11563="","",IF(MATCH(B11563,$B$2:$B$12000,0)=ROW()-1,1,0))</f>
        <v/>
      </c>
    </row>
    <row r="11564" customFormat="false" ht="15" hidden="false" customHeight="false" outlineLevel="0" collapsed="false">
      <c r="V11564" s="23" t="str">
        <f aca="false">IF(ISNUMBER(C11564),YEAR(C11564),"")</f>
        <v/>
      </c>
      <c r="W11564" s="23" t="str">
        <f aca="false">IF(ISNUMBER(C11564),MONTH(C11564),"")</f>
        <v/>
      </c>
      <c r="X11564" s="23" t="str">
        <f aca="false">IF(T11564="","",IF(T11564=0,"No discount",IF(T11564&lt;=0.2,"Low (1-20%)",IF(T11564&lt;=0.4,"Medium (21-40%)","High (&gt;40%)"))))</f>
        <v/>
      </c>
      <c r="Y11564" s="23" t="str">
        <f aca="false">IF(AND(ISNUMBER(C11564),ISNUMBER(D11564)),D11564-C11564,"")</f>
        <v/>
      </c>
      <c r="Z11564" s="23" t="str">
        <f aca="false">IF(B11564="","",IF(MATCH(B11564,$B$2:$B$12000,0)=ROW()-1,1,0))</f>
        <v/>
      </c>
    </row>
    <row r="11565" customFormat="false" ht="15" hidden="false" customHeight="false" outlineLevel="0" collapsed="false">
      <c r="V11565" s="23" t="str">
        <f aca="false">IF(ISNUMBER(C11565),YEAR(C11565),"")</f>
        <v/>
      </c>
      <c r="W11565" s="23" t="str">
        <f aca="false">IF(ISNUMBER(C11565),MONTH(C11565),"")</f>
        <v/>
      </c>
      <c r="X11565" s="23" t="str">
        <f aca="false">IF(T11565="","",IF(T11565=0,"No discount",IF(T11565&lt;=0.2,"Low (1-20%)",IF(T11565&lt;=0.4,"Medium (21-40%)","High (&gt;40%)"))))</f>
        <v/>
      </c>
      <c r="Y11565" s="23" t="str">
        <f aca="false">IF(AND(ISNUMBER(C11565),ISNUMBER(D11565)),D11565-C11565,"")</f>
        <v/>
      </c>
      <c r="Z11565" s="23" t="str">
        <f aca="false">IF(B11565="","",IF(MATCH(B11565,$B$2:$B$12000,0)=ROW()-1,1,0))</f>
        <v/>
      </c>
    </row>
    <row r="11566" customFormat="false" ht="15" hidden="false" customHeight="false" outlineLevel="0" collapsed="false">
      <c r="V11566" s="23" t="str">
        <f aca="false">IF(ISNUMBER(C11566),YEAR(C11566),"")</f>
        <v/>
      </c>
      <c r="W11566" s="23" t="str">
        <f aca="false">IF(ISNUMBER(C11566),MONTH(C11566),"")</f>
        <v/>
      </c>
      <c r="X11566" s="23" t="str">
        <f aca="false">IF(T11566="","",IF(T11566=0,"No discount",IF(T11566&lt;=0.2,"Low (1-20%)",IF(T11566&lt;=0.4,"Medium (21-40%)","High (&gt;40%)"))))</f>
        <v/>
      </c>
      <c r="Y11566" s="23" t="str">
        <f aca="false">IF(AND(ISNUMBER(C11566),ISNUMBER(D11566)),D11566-C11566,"")</f>
        <v/>
      </c>
      <c r="Z11566" s="23" t="str">
        <f aca="false">IF(B11566="","",IF(MATCH(B11566,$B$2:$B$12000,0)=ROW()-1,1,0))</f>
        <v/>
      </c>
    </row>
    <row r="11567" customFormat="false" ht="15" hidden="false" customHeight="false" outlineLevel="0" collapsed="false">
      <c r="V11567" s="23" t="str">
        <f aca="false">IF(ISNUMBER(C11567),YEAR(C11567),"")</f>
        <v/>
      </c>
      <c r="W11567" s="23" t="str">
        <f aca="false">IF(ISNUMBER(C11567),MONTH(C11567),"")</f>
        <v/>
      </c>
      <c r="X11567" s="23" t="str">
        <f aca="false">IF(T11567="","",IF(T11567=0,"No discount",IF(T11567&lt;=0.2,"Low (1-20%)",IF(T11567&lt;=0.4,"Medium (21-40%)","High (&gt;40%)"))))</f>
        <v/>
      </c>
      <c r="Y11567" s="23" t="str">
        <f aca="false">IF(AND(ISNUMBER(C11567),ISNUMBER(D11567)),D11567-C11567,"")</f>
        <v/>
      </c>
      <c r="Z11567" s="23" t="str">
        <f aca="false">IF(B11567="","",IF(MATCH(B11567,$B$2:$B$12000,0)=ROW()-1,1,0))</f>
        <v/>
      </c>
    </row>
    <row r="11568" customFormat="false" ht="15" hidden="false" customHeight="false" outlineLevel="0" collapsed="false">
      <c r="V11568" s="23" t="str">
        <f aca="false">IF(ISNUMBER(C11568),YEAR(C11568),"")</f>
        <v/>
      </c>
      <c r="W11568" s="23" t="str">
        <f aca="false">IF(ISNUMBER(C11568),MONTH(C11568),"")</f>
        <v/>
      </c>
      <c r="X11568" s="23" t="str">
        <f aca="false">IF(T11568="","",IF(T11568=0,"No discount",IF(T11568&lt;=0.2,"Low (1-20%)",IF(T11568&lt;=0.4,"Medium (21-40%)","High (&gt;40%)"))))</f>
        <v/>
      </c>
      <c r="Y11568" s="23" t="str">
        <f aca="false">IF(AND(ISNUMBER(C11568),ISNUMBER(D11568)),D11568-C11568,"")</f>
        <v/>
      </c>
      <c r="Z11568" s="23" t="str">
        <f aca="false">IF(B11568="","",IF(MATCH(B11568,$B$2:$B$12000,0)=ROW()-1,1,0))</f>
        <v/>
      </c>
    </row>
    <row r="11569" customFormat="false" ht="15" hidden="false" customHeight="false" outlineLevel="0" collapsed="false">
      <c r="V11569" s="23" t="str">
        <f aca="false">IF(ISNUMBER(C11569),YEAR(C11569),"")</f>
        <v/>
      </c>
      <c r="W11569" s="23" t="str">
        <f aca="false">IF(ISNUMBER(C11569),MONTH(C11569),"")</f>
        <v/>
      </c>
      <c r="X11569" s="23" t="str">
        <f aca="false">IF(T11569="","",IF(T11569=0,"No discount",IF(T11569&lt;=0.2,"Low (1-20%)",IF(T11569&lt;=0.4,"Medium (21-40%)","High (&gt;40%)"))))</f>
        <v/>
      </c>
      <c r="Y11569" s="23" t="str">
        <f aca="false">IF(AND(ISNUMBER(C11569),ISNUMBER(D11569)),D11569-C11569,"")</f>
        <v/>
      </c>
      <c r="Z11569" s="23" t="str">
        <f aca="false">IF(B11569="","",IF(MATCH(B11569,$B$2:$B$12000,0)=ROW()-1,1,0))</f>
        <v/>
      </c>
    </row>
    <row r="11570" customFormat="false" ht="15" hidden="false" customHeight="false" outlineLevel="0" collapsed="false">
      <c r="V11570" s="23" t="str">
        <f aca="false">IF(ISNUMBER(C11570),YEAR(C11570),"")</f>
        <v/>
      </c>
      <c r="W11570" s="23" t="str">
        <f aca="false">IF(ISNUMBER(C11570),MONTH(C11570),"")</f>
        <v/>
      </c>
      <c r="X11570" s="23" t="str">
        <f aca="false">IF(T11570="","",IF(T11570=0,"No discount",IF(T11570&lt;=0.2,"Low (1-20%)",IF(T11570&lt;=0.4,"Medium (21-40%)","High (&gt;40%)"))))</f>
        <v/>
      </c>
      <c r="Y11570" s="23" t="str">
        <f aca="false">IF(AND(ISNUMBER(C11570),ISNUMBER(D11570)),D11570-C11570,"")</f>
        <v/>
      </c>
      <c r="Z11570" s="23" t="str">
        <f aca="false">IF(B11570="","",IF(MATCH(B11570,$B$2:$B$12000,0)=ROW()-1,1,0))</f>
        <v/>
      </c>
    </row>
    <row r="11571" customFormat="false" ht="15" hidden="false" customHeight="false" outlineLevel="0" collapsed="false">
      <c r="V11571" s="23" t="str">
        <f aca="false">IF(ISNUMBER(C11571),YEAR(C11571),"")</f>
        <v/>
      </c>
      <c r="W11571" s="23" t="str">
        <f aca="false">IF(ISNUMBER(C11571),MONTH(C11571),"")</f>
        <v/>
      </c>
      <c r="X11571" s="23" t="str">
        <f aca="false">IF(T11571="","",IF(T11571=0,"No discount",IF(T11571&lt;=0.2,"Low (1-20%)",IF(T11571&lt;=0.4,"Medium (21-40%)","High (&gt;40%)"))))</f>
        <v/>
      </c>
      <c r="Y11571" s="23" t="str">
        <f aca="false">IF(AND(ISNUMBER(C11571),ISNUMBER(D11571)),D11571-C11571,"")</f>
        <v/>
      </c>
      <c r="Z11571" s="23" t="str">
        <f aca="false">IF(B11571="","",IF(MATCH(B11571,$B$2:$B$12000,0)=ROW()-1,1,0))</f>
        <v/>
      </c>
    </row>
    <row r="11572" customFormat="false" ht="15" hidden="false" customHeight="false" outlineLevel="0" collapsed="false">
      <c r="V11572" s="23" t="str">
        <f aca="false">IF(ISNUMBER(C11572),YEAR(C11572),"")</f>
        <v/>
      </c>
      <c r="W11572" s="23" t="str">
        <f aca="false">IF(ISNUMBER(C11572),MONTH(C11572),"")</f>
        <v/>
      </c>
      <c r="X11572" s="23" t="str">
        <f aca="false">IF(T11572="","",IF(T11572=0,"No discount",IF(T11572&lt;=0.2,"Low (1-20%)",IF(T11572&lt;=0.4,"Medium (21-40%)","High (&gt;40%)"))))</f>
        <v/>
      </c>
      <c r="Y11572" s="23" t="str">
        <f aca="false">IF(AND(ISNUMBER(C11572),ISNUMBER(D11572)),D11572-C11572,"")</f>
        <v/>
      </c>
      <c r="Z11572" s="23" t="str">
        <f aca="false">IF(B11572="","",IF(MATCH(B11572,$B$2:$B$12000,0)=ROW()-1,1,0))</f>
        <v/>
      </c>
    </row>
    <row r="11573" customFormat="false" ht="15" hidden="false" customHeight="false" outlineLevel="0" collapsed="false">
      <c r="V11573" s="23" t="str">
        <f aca="false">IF(ISNUMBER(C11573),YEAR(C11573),"")</f>
        <v/>
      </c>
      <c r="W11573" s="23" t="str">
        <f aca="false">IF(ISNUMBER(C11573),MONTH(C11573),"")</f>
        <v/>
      </c>
      <c r="X11573" s="23" t="str">
        <f aca="false">IF(T11573="","",IF(T11573=0,"No discount",IF(T11573&lt;=0.2,"Low (1-20%)",IF(T11573&lt;=0.4,"Medium (21-40%)","High (&gt;40%)"))))</f>
        <v/>
      </c>
      <c r="Y11573" s="23" t="str">
        <f aca="false">IF(AND(ISNUMBER(C11573),ISNUMBER(D11573)),D11573-C11573,"")</f>
        <v/>
      </c>
      <c r="Z11573" s="23" t="str">
        <f aca="false">IF(B11573="","",IF(MATCH(B11573,$B$2:$B$12000,0)=ROW()-1,1,0))</f>
        <v/>
      </c>
    </row>
    <row r="11574" customFormat="false" ht="15" hidden="false" customHeight="false" outlineLevel="0" collapsed="false">
      <c r="V11574" s="23" t="str">
        <f aca="false">IF(ISNUMBER(C11574),YEAR(C11574),"")</f>
        <v/>
      </c>
      <c r="W11574" s="23" t="str">
        <f aca="false">IF(ISNUMBER(C11574),MONTH(C11574),"")</f>
        <v/>
      </c>
      <c r="X11574" s="23" t="str">
        <f aca="false">IF(T11574="","",IF(T11574=0,"No discount",IF(T11574&lt;=0.2,"Low (1-20%)",IF(T11574&lt;=0.4,"Medium (21-40%)","High (&gt;40%)"))))</f>
        <v/>
      </c>
      <c r="Y11574" s="23" t="str">
        <f aca="false">IF(AND(ISNUMBER(C11574),ISNUMBER(D11574)),D11574-C11574,"")</f>
        <v/>
      </c>
      <c r="Z11574" s="23" t="str">
        <f aca="false">IF(B11574="","",IF(MATCH(B11574,$B$2:$B$12000,0)=ROW()-1,1,0))</f>
        <v/>
      </c>
    </row>
    <row r="11575" customFormat="false" ht="15" hidden="false" customHeight="false" outlineLevel="0" collapsed="false">
      <c r="V11575" s="23" t="str">
        <f aca="false">IF(ISNUMBER(C11575),YEAR(C11575),"")</f>
        <v/>
      </c>
      <c r="W11575" s="23" t="str">
        <f aca="false">IF(ISNUMBER(C11575),MONTH(C11575),"")</f>
        <v/>
      </c>
      <c r="X11575" s="23" t="str">
        <f aca="false">IF(T11575="","",IF(T11575=0,"No discount",IF(T11575&lt;=0.2,"Low (1-20%)",IF(T11575&lt;=0.4,"Medium (21-40%)","High (&gt;40%)"))))</f>
        <v/>
      </c>
      <c r="Y11575" s="23" t="str">
        <f aca="false">IF(AND(ISNUMBER(C11575),ISNUMBER(D11575)),D11575-C11575,"")</f>
        <v/>
      </c>
      <c r="Z11575" s="23" t="str">
        <f aca="false">IF(B11575="","",IF(MATCH(B11575,$B$2:$B$12000,0)=ROW()-1,1,0))</f>
        <v/>
      </c>
    </row>
    <row r="11576" customFormat="false" ht="15" hidden="false" customHeight="false" outlineLevel="0" collapsed="false">
      <c r="V11576" s="23" t="str">
        <f aca="false">IF(ISNUMBER(C11576),YEAR(C11576),"")</f>
        <v/>
      </c>
      <c r="W11576" s="23" t="str">
        <f aca="false">IF(ISNUMBER(C11576),MONTH(C11576),"")</f>
        <v/>
      </c>
      <c r="X11576" s="23" t="str">
        <f aca="false">IF(T11576="","",IF(T11576=0,"No discount",IF(T11576&lt;=0.2,"Low (1-20%)",IF(T11576&lt;=0.4,"Medium (21-40%)","High (&gt;40%)"))))</f>
        <v/>
      </c>
      <c r="Y11576" s="23" t="str">
        <f aca="false">IF(AND(ISNUMBER(C11576),ISNUMBER(D11576)),D11576-C11576,"")</f>
        <v/>
      </c>
      <c r="Z11576" s="23" t="str">
        <f aca="false">IF(B11576="","",IF(MATCH(B11576,$B$2:$B$12000,0)=ROW()-1,1,0))</f>
        <v/>
      </c>
    </row>
    <row r="11577" customFormat="false" ht="15" hidden="false" customHeight="false" outlineLevel="0" collapsed="false">
      <c r="V11577" s="23" t="str">
        <f aca="false">IF(ISNUMBER(C11577),YEAR(C11577),"")</f>
        <v/>
      </c>
      <c r="W11577" s="23" t="str">
        <f aca="false">IF(ISNUMBER(C11577),MONTH(C11577),"")</f>
        <v/>
      </c>
      <c r="X11577" s="23" t="str">
        <f aca="false">IF(T11577="","",IF(T11577=0,"No discount",IF(T11577&lt;=0.2,"Low (1-20%)",IF(T11577&lt;=0.4,"Medium (21-40%)","High (&gt;40%)"))))</f>
        <v/>
      </c>
      <c r="Y11577" s="23" t="str">
        <f aca="false">IF(AND(ISNUMBER(C11577),ISNUMBER(D11577)),D11577-C11577,"")</f>
        <v/>
      </c>
      <c r="Z11577" s="23" t="str">
        <f aca="false">IF(B11577="","",IF(MATCH(B11577,$B$2:$B$12000,0)=ROW()-1,1,0))</f>
        <v/>
      </c>
    </row>
    <row r="11578" customFormat="false" ht="15" hidden="false" customHeight="false" outlineLevel="0" collapsed="false">
      <c r="V11578" s="23" t="str">
        <f aca="false">IF(ISNUMBER(C11578),YEAR(C11578),"")</f>
        <v/>
      </c>
      <c r="W11578" s="23" t="str">
        <f aca="false">IF(ISNUMBER(C11578),MONTH(C11578),"")</f>
        <v/>
      </c>
      <c r="X11578" s="23" t="str">
        <f aca="false">IF(T11578="","",IF(T11578=0,"No discount",IF(T11578&lt;=0.2,"Low (1-20%)",IF(T11578&lt;=0.4,"Medium (21-40%)","High (&gt;40%)"))))</f>
        <v/>
      </c>
      <c r="Y11578" s="23" t="str">
        <f aca="false">IF(AND(ISNUMBER(C11578),ISNUMBER(D11578)),D11578-C11578,"")</f>
        <v/>
      </c>
      <c r="Z11578" s="23" t="str">
        <f aca="false">IF(B11578="","",IF(MATCH(B11578,$B$2:$B$12000,0)=ROW()-1,1,0))</f>
        <v/>
      </c>
    </row>
    <row r="11579" customFormat="false" ht="15" hidden="false" customHeight="false" outlineLevel="0" collapsed="false">
      <c r="V11579" s="23" t="str">
        <f aca="false">IF(ISNUMBER(C11579),YEAR(C11579),"")</f>
        <v/>
      </c>
      <c r="W11579" s="23" t="str">
        <f aca="false">IF(ISNUMBER(C11579),MONTH(C11579),"")</f>
        <v/>
      </c>
      <c r="X11579" s="23" t="str">
        <f aca="false">IF(T11579="","",IF(T11579=0,"No discount",IF(T11579&lt;=0.2,"Low (1-20%)",IF(T11579&lt;=0.4,"Medium (21-40%)","High (&gt;40%)"))))</f>
        <v/>
      </c>
      <c r="Y11579" s="23" t="str">
        <f aca="false">IF(AND(ISNUMBER(C11579),ISNUMBER(D11579)),D11579-C11579,"")</f>
        <v/>
      </c>
      <c r="Z11579" s="23" t="str">
        <f aca="false">IF(B11579="","",IF(MATCH(B11579,$B$2:$B$12000,0)=ROW()-1,1,0))</f>
        <v/>
      </c>
    </row>
    <row r="11580" customFormat="false" ht="15" hidden="false" customHeight="false" outlineLevel="0" collapsed="false">
      <c r="V11580" s="23" t="str">
        <f aca="false">IF(ISNUMBER(C11580),YEAR(C11580),"")</f>
        <v/>
      </c>
      <c r="W11580" s="23" t="str">
        <f aca="false">IF(ISNUMBER(C11580),MONTH(C11580),"")</f>
        <v/>
      </c>
      <c r="X11580" s="23" t="str">
        <f aca="false">IF(T11580="","",IF(T11580=0,"No discount",IF(T11580&lt;=0.2,"Low (1-20%)",IF(T11580&lt;=0.4,"Medium (21-40%)","High (&gt;40%)"))))</f>
        <v/>
      </c>
      <c r="Y11580" s="23" t="str">
        <f aca="false">IF(AND(ISNUMBER(C11580),ISNUMBER(D11580)),D11580-C11580,"")</f>
        <v/>
      </c>
      <c r="Z11580" s="23" t="str">
        <f aca="false">IF(B11580="","",IF(MATCH(B11580,$B$2:$B$12000,0)=ROW()-1,1,0))</f>
        <v/>
      </c>
    </row>
    <row r="11581" customFormat="false" ht="15" hidden="false" customHeight="false" outlineLevel="0" collapsed="false">
      <c r="V11581" s="23" t="str">
        <f aca="false">IF(ISNUMBER(C11581),YEAR(C11581),"")</f>
        <v/>
      </c>
      <c r="W11581" s="23" t="str">
        <f aca="false">IF(ISNUMBER(C11581),MONTH(C11581),"")</f>
        <v/>
      </c>
      <c r="X11581" s="23" t="str">
        <f aca="false">IF(T11581="","",IF(T11581=0,"No discount",IF(T11581&lt;=0.2,"Low (1-20%)",IF(T11581&lt;=0.4,"Medium (21-40%)","High (&gt;40%)"))))</f>
        <v/>
      </c>
      <c r="Y11581" s="23" t="str">
        <f aca="false">IF(AND(ISNUMBER(C11581),ISNUMBER(D11581)),D11581-C11581,"")</f>
        <v/>
      </c>
      <c r="Z11581" s="23" t="str">
        <f aca="false">IF(B11581="","",IF(MATCH(B11581,$B$2:$B$12000,0)=ROW()-1,1,0))</f>
        <v/>
      </c>
    </row>
    <row r="11582" customFormat="false" ht="15" hidden="false" customHeight="false" outlineLevel="0" collapsed="false">
      <c r="V11582" s="23" t="str">
        <f aca="false">IF(ISNUMBER(C11582),YEAR(C11582),"")</f>
        <v/>
      </c>
      <c r="W11582" s="23" t="str">
        <f aca="false">IF(ISNUMBER(C11582),MONTH(C11582),"")</f>
        <v/>
      </c>
      <c r="X11582" s="23" t="str">
        <f aca="false">IF(T11582="","",IF(T11582=0,"No discount",IF(T11582&lt;=0.2,"Low (1-20%)",IF(T11582&lt;=0.4,"Medium (21-40%)","High (&gt;40%)"))))</f>
        <v/>
      </c>
      <c r="Y11582" s="23" t="str">
        <f aca="false">IF(AND(ISNUMBER(C11582),ISNUMBER(D11582)),D11582-C11582,"")</f>
        <v/>
      </c>
      <c r="Z11582" s="23" t="str">
        <f aca="false">IF(B11582="","",IF(MATCH(B11582,$B$2:$B$12000,0)=ROW()-1,1,0))</f>
        <v/>
      </c>
    </row>
    <row r="11583" customFormat="false" ht="15" hidden="false" customHeight="false" outlineLevel="0" collapsed="false">
      <c r="V11583" s="23" t="str">
        <f aca="false">IF(ISNUMBER(C11583),YEAR(C11583),"")</f>
        <v/>
      </c>
      <c r="W11583" s="23" t="str">
        <f aca="false">IF(ISNUMBER(C11583),MONTH(C11583),"")</f>
        <v/>
      </c>
      <c r="X11583" s="23" t="str">
        <f aca="false">IF(T11583="","",IF(T11583=0,"No discount",IF(T11583&lt;=0.2,"Low (1-20%)",IF(T11583&lt;=0.4,"Medium (21-40%)","High (&gt;40%)"))))</f>
        <v/>
      </c>
      <c r="Y11583" s="23" t="str">
        <f aca="false">IF(AND(ISNUMBER(C11583),ISNUMBER(D11583)),D11583-C11583,"")</f>
        <v/>
      </c>
      <c r="Z11583" s="23" t="str">
        <f aca="false">IF(B11583="","",IF(MATCH(B11583,$B$2:$B$12000,0)=ROW()-1,1,0))</f>
        <v/>
      </c>
    </row>
    <row r="11584" customFormat="false" ht="15" hidden="false" customHeight="false" outlineLevel="0" collapsed="false">
      <c r="V11584" s="23" t="str">
        <f aca="false">IF(ISNUMBER(C11584),YEAR(C11584),"")</f>
        <v/>
      </c>
      <c r="W11584" s="23" t="str">
        <f aca="false">IF(ISNUMBER(C11584),MONTH(C11584),"")</f>
        <v/>
      </c>
      <c r="X11584" s="23" t="str">
        <f aca="false">IF(T11584="","",IF(T11584=0,"No discount",IF(T11584&lt;=0.2,"Low (1-20%)",IF(T11584&lt;=0.4,"Medium (21-40%)","High (&gt;40%)"))))</f>
        <v/>
      </c>
      <c r="Y11584" s="23" t="str">
        <f aca="false">IF(AND(ISNUMBER(C11584),ISNUMBER(D11584)),D11584-C11584,"")</f>
        <v/>
      </c>
      <c r="Z11584" s="23" t="str">
        <f aca="false">IF(B11584="","",IF(MATCH(B11584,$B$2:$B$12000,0)=ROW()-1,1,0))</f>
        <v/>
      </c>
    </row>
    <row r="11585" customFormat="false" ht="15" hidden="false" customHeight="false" outlineLevel="0" collapsed="false">
      <c r="V11585" s="23" t="str">
        <f aca="false">IF(ISNUMBER(C11585),YEAR(C11585),"")</f>
        <v/>
      </c>
      <c r="W11585" s="23" t="str">
        <f aca="false">IF(ISNUMBER(C11585),MONTH(C11585),"")</f>
        <v/>
      </c>
      <c r="X11585" s="23" t="str">
        <f aca="false">IF(T11585="","",IF(T11585=0,"No discount",IF(T11585&lt;=0.2,"Low (1-20%)",IF(T11585&lt;=0.4,"Medium (21-40%)","High (&gt;40%)"))))</f>
        <v/>
      </c>
      <c r="Y11585" s="23" t="str">
        <f aca="false">IF(AND(ISNUMBER(C11585),ISNUMBER(D11585)),D11585-C11585,"")</f>
        <v/>
      </c>
      <c r="Z11585" s="23" t="str">
        <f aca="false">IF(B11585="","",IF(MATCH(B11585,$B$2:$B$12000,0)=ROW()-1,1,0))</f>
        <v/>
      </c>
    </row>
    <row r="11586" customFormat="false" ht="15" hidden="false" customHeight="false" outlineLevel="0" collapsed="false">
      <c r="V11586" s="23" t="str">
        <f aca="false">IF(ISNUMBER(C11586),YEAR(C11586),"")</f>
        <v/>
      </c>
      <c r="W11586" s="23" t="str">
        <f aca="false">IF(ISNUMBER(C11586),MONTH(C11586),"")</f>
        <v/>
      </c>
      <c r="X11586" s="23" t="str">
        <f aca="false">IF(T11586="","",IF(T11586=0,"No discount",IF(T11586&lt;=0.2,"Low (1-20%)",IF(T11586&lt;=0.4,"Medium (21-40%)","High (&gt;40%)"))))</f>
        <v/>
      </c>
      <c r="Y11586" s="23" t="str">
        <f aca="false">IF(AND(ISNUMBER(C11586),ISNUMBER(D11586)),D11586-C11586,"")</f>
        <v/>
      </c>
      <c r="Z11586" s="23" t="str">
        <f aca="false">IF(B11586="","",IF(MATCH(B11586,$B$2:$B$12000,0)=ROW()-1,1,0))</f>
        <v/>
      </c>
    </row>
    <row r="11587" customFormat="false" ht="15" hidden="false" customHeight="false" outlineLevel="0" collapsed="false">
      <c r="V11587" s="23" t="str">
        <f aca="false">IF(ISNUMBER(C11587),YEAR(C11587),"")</f>
        <v/>
      </c>
      <c r="W11587" s="23" t="str">
        <f aca="false">IF(ISNUMBER(C11587),MONTH(C11587),"")</f>
        <v/>
      </c>
      <c r="X11587" s="23" t="str">
        <f aca="false">IF(T11587="","",IF(T11587=0,"No discount",IF(T11587&lt;=0.2,"Low (1-20%)",IF(T11587&lt;=0.4,"Medium (21-40%)","High (&gt;40%)"))))</f>
        <v/>
      </c>
      <c r="Y11587" s="23" t="str">
        <f aca="false">IF(AND(ISNUMBER(C11587),ISNUMBER(D11587)),D11587-C11587,"")</f>
        <v/>
      </c>
      <c r="Z11587" s="23" t="str">
        <f aca="false">IF(B11587="","",IF(MATCH(B11587,$B$2:$B$12000,0)=ROW()-1,1,0))</f>
        <v/>
      </c>
    </row>
    <row r="11588" customFormat="false" ht="15" hidden="false" customHeight="false" outlineLevel="0" collapsed="false">
      <c r="V11588" s="23" t="str">
        <f aca="false">IF(ISNUMBER(C11588),YEAR(C11588),"")</f>
        <v/>
      </c>
      <c r="W11588" s="23" t="str">
        <f aca="false">IF(ISNUMBER(C11588),MONTH(C11588),"")</f>
        <v/>
      </c>
      <c r="X11588" s="23" t="str">
        <f aca="false">IF(T11588="","",IF(T11588=0,"No discount",IF(T11588&lt;=0.2,"Low (1-20%)",IF(T11588&lt;=0.4,"Medium (21-40%)","High (&gt;40%)"))))</f>
        <v/>
      </c>
      <c r="Y11588" s="23" t="str">
        <f aca="false">IF(AND(ISNUMBER(C11588),ISNUMBER(D11588)),D11588-C11588,"")</f>
        <v/>
      </c>
      <c r="Z11588" s="23" t="str">
        <f aca="false">IF(B11588="","",IF(MATCH(B11588,$B$2:$B$12000,0)=ROW()-1,1,0))</f>
        <v/>
      </c>
    </row>
    <row r="11589" customFormat="false" ht="15" hidden="false" customHeight="false" outlineLevel="0" collapsed="false">
      <c r="V11589" s="23" t="str">
        <f aca="false">IF(ISNUMBER(C11589),YEAR(C11589),"")</f>
        <v/>
      </c>
      <c r="W11589" s="23" t="str">
        <f aca="false">IF(ISNUMBER(C11589),MONTH(C11589),"")</f>
        <v/>
      </c>
      <c r="X11589" s="23" t="str">
        <f aca="false">IF(T11589="","",IF(T11589=0,"No discount",IF(T11589&lt;=0.2,"Low (1-20%)",IF(T11589&lt;=0.4,"Medium (21-40%)","High (&gt;40%)"))))</f>
        <v/>
      </c>
      <c r="Y11589" s="23" t="str">
        <f aca="false">IF(AND(ISNUMBER(C11589),ISNUMBER(D11589)),D11589-C11589,"")</f>
        <v/>
      </c>
      <c r="Z11589" s="23" t="str">
        <f aca="false">IF(B11589="","",IF(MATCH(B11589,$B$2:$B$12000,0)=ROW()-1,1,0))</f>
        <v/>
      </c>
    </row>
    <row r="11590" customFormat="false" ht="15" hidden="false" customHeight="false" outlineLevel="0" collapsed="false">
      <c r="V11590" s="23" t="str">
        <f aca="false">IF(ISNUMBER(C11590),YEAR(C11590),"")</f>
        <v/>
      </c>
      <c r="W11590" s="23" t="str">
        <f aca="false">IF(ISNUMBER(C11590),MONTH(C11590),"")</f>
        <v/>
      </c>
      <c r="X11590" s="23" t="str">
        <f aca="false">IF(T11590="","",IF(T11590=0,"No discount",IF(T11590&lt;=0.2,"Low (1-20%)",IF(T11590&lt;=0.4,"Medium (21-40%)","High (&gt;40%)"))))</f>
        <v/>
      </c>
      <c r="Y11590" s="23" t="str">
        <f aca="false">IF(AND(ISNUMBER(C11590),ISNUMBER(D11590)),D11590-C11590,"")</f>
        <v/>
      </c>
      <c r="Z11590" s="23" t="str">
        <f aca="false">IF(B11590="","",IF(MATCH(B11590,$B$2:$B$12000,0)=ROW()-1,1,0))</f>
        <v/>
      </c>
    </row>
    <row r="11591" customFormat="false" ht="15" hidden="false" customHeight="false" outlineLevel="0" collapsed="false">
      <c r="V11591" s="23" t="str">
        <f aca="false">IF(ISNUMBER(C11591),YEAR(C11591),"")</f>
        <v/>
      </c>
      <c r="W11591" s="23" t="str">
        <f aca="false">IF(ISNUMBER(C11591),MONTH(C11591),"")</f>
        <v/>
      </c>
      <c r="X11591" s="23" t="str">
        <f aca="false">IF(T11591="","",IF(T11591=0,"No discount",IF(T11591&lt;=0.2,"Low (1-20%)",IF(T11591&lt;=0.4,"Medium (21-40%)","High (&gt;40%)"))))</f>
        <v/>
      </c>
      <c r="Y11591" s="23" t="str">
        <f aca="false">IF(AND(ISNUMBER(C11591),ISNUMBER(D11591)),D11591-C11591,"")</f>
        <v/>
      </c>
      <c r="Z11591" s="23" t="str">
        <f aca="false">IF(B11591="","",IF(MATCH(B11591,$B$2:$B$12000,0)=ROW()-1,1,0))</f>
        <v/>
      </c>
    </row>
    <row r="11592" customFormat="false" ht="15" hidden="false" customHeight="false" outlineLevel="0" collapsed="false">
      <c r="V11592" s="23" t="str">
        <f aca="false">IF(ISNUMBER(C11592),YEAR(C11592),"")</f>
        <v/>
      </c>
      <c r="W11592" s="23" t="str">
        <f aca="false">IF(ISNUMBER(C11592),MONTH(C11592),"")</f>
        <v/>
      </c>
      <c r="X11592" s="23" t="str">
        <f aca="false">IF(T11592="","",IF(T11592=0,"No discount",IF(T11592&lt;=0.2,"Low (1-20%)",IF(T11592&lt;=0.4,"Medium (21-40%)","High (&gt;40%)"))))</f>
        <v/>
      </c>
      <c r="Y11592" s="23" t="str">
        <f aca="false">IF(AND(ISNUMBER(C11592),ISNUMBER(D11592)),D11592-C11592,"")</f>
        <v/>
      </c>
      <c r="Z11592" s="23" t="str">
        <f aca="false">IF(B11592="","",IF(MATCH(B11592,$B$2:$B$12000,0)=ROW()-1,1,0))</f>
        <v/>
      </c>
    </row>
    <row r="11593" customFormat="false" ht="15" hidden="false" customHeight="false" outlineLevel="0" collapsed="false">
      <c r="V11593" s="23" t="str">
        <f aca="false">IF(ISNUMBER(C11593),YEAR(C11593),"")</f>
        <v/>
      </c>
      <c r="W11593" s="23" t="str">
        <f aca="false">IF(ISNUMBER(C11593),MONTH(C11593),"")</f>
        <v/>
      </c>
      <c r="X11593" s="23" t="str">
        <f aca="false">IF(T11593="","",IF(T11593=0,"No discount",IF(T11593&lt;=0.2,"Low (1-20%)",IF(T11593&lt;=0.4,"Medium (21-40%)","High (&gt;40%)"))))</f>
        <v/>
      </c>
      <c r="Y11593" s="23" t="str">
        <f aca="false">IF(AND(ISNUMBER(C11593),ISNUMBER(D11593)),D11593-C11593,"")</f>
        <v/>
      </c>
      <c r="Z11593" s="23" t="str">
        <f aca="false">IF(B11593="","",IF(MATCH(B11593,$B$2:$B$12000,0)=ROW()-1,1,0))</f>
        <v/>
      </c>
    </row>
    <row r="11594" customFormat="false" ht="15" hidden="false" customHeight="false" outlineLevel="0" collapsed="false">
      <c r="V11594" s="23" t="str">
        <f aca="false">IF(ISNUMBER(C11594),YEAR(C11594),"")</f>
        <v/>
      </c>
      <c r="W11594" s="23" t="str">
        <f aca="false">IF(ISNUMBER(C11594),MONTH(C11594),"")</f>
        <v/>
      </c>
      <c r="X11594" s="23" t="str">
        <f aca="false">IF(T11594="","",IF(T11594=0,"No discount",IF(T11594&lt;=0.2,"Low (1-20%)",IF(T11594&lt;=0.4,"Medium (21-40%)","High (&gt;40%)"))))</f>
        <v/>
      </c>
      <c r="Y11594" s="23" t="str">
        <f aca="false">IF(AND(ISNUMBER(C11594),ISNUMBER(D11594)),D11594-C11594,"")</f>
        <v/>
      </c>
      <c r="Z11594" s="23" t="str">
        <f aca="false">IF(B11594="","",IF(MATCH(B11594,$B$2:$B$12000,0)=ROW()-1,1,0))</f>
        <v/>
      </c>
    </row>
    <row r="11595" customFormat="false" ht="15" hidden="false" customHeight="false" outlineLevel="0" collapsed="false">
      <c r="V11595" s="23" t="str">
        <f aca="false">IF(ISNUMBER(C11595),YEAR(C11595),"")</f>
        <v/>
      </c>
      <c r="W11595" s="23" t="str">
        <f aca="false">IF(ISNUMBER(C11595),MONTH(C11595),"")</f>
        <v/>
      </c>
      <c r="X11595" s="23" t="str">
        <f aca="false">IF(T11595="","",IF(T11595=0,"No discount",IF(T11595&lt;=0.2,"Low (1-20%)",IF(T11595&lt;=0.4,"Medium (21-40%)","High (&gt;40%)"))))</f>
        <v/>
      </c>
      <c r="Y11595" s="23" t="str">
        <f aca="false">IF(AND(ISNUMBER(C11595),ISNUMBER(D11595)),D11595-C11595,"")</f>
        <v/>
      </c>
      <c r="Z11595" s="23" t="str">
        <f aca="false">IF(B11595="","",IF(MATCH(B11595,$B$2:$B$12000,0)=ROW()-1,1,0))</f>
        <v/>
      </c>
    </row>
    <row r="11596" customFormat="false" ht="15" hidden="false" customHeight="false" outlineLevel="0" collapsed="false">
      <c r="V11596" s="23" t="str">
        <f aca="false">IF(ISNUMBER(C11596),YEAR(C11596),"")</f>
        <v/>
      </c>
      <c r="W11596" s="23" t="str">
        <f aca="false">IF(ISNUMBER(C11596),MONTH(C11596),"")</f>
        <v/>
      </c>
      <c r="X11596" s="23" t="str">
        <f aca="false">IF(T11596="","",IF(T11596=0,"No discount",IF(T11596&lt;=0.2,"Low (1-20%)",IF(T11596&lt;=0.4,"Medium (21-40%)","High (&gt;40%)"))))</f>
        <v/>
      </c>
      <c r="Y11596" s="23" t="str">
        <f aca="false">IF(AND(ISNUMBER(C11596),ISNUMBER(D11596)),D11596-C11596,"")</f>
        <v/>
      </c>
      <c r="Z11596" s="23" t="str">
        <f aca="false">IF(B11596="","",IF(MATCH(B11596,$B$2:$B$12000,0)=ROW()-1,1,0))</f>
        <v/>
      </c>
    </row>
    <row r="11597" customFormat="false" ht="15" hidden="false" customHeight="false" outlineLevel="0" collapsed="false">
      <c r="V11597" s="23" t="str">
        <f aca="false">IF(ISNUMBER(C11597),YEAR(C11597),"")</f>
        <v/>
      </c>
      <c r="W11597" s="23" t="str">
        <f aca="false">IF(ISNUMBER(C11597),MONTH(C11597),"")</f>
        <v/>
      </c>
      <c r="X11597" s="23" t="str">
        <f aca="false">IF(T11597="","",IF(T11597=0,"No discount",IF(T11597&lt;=0.2,"Low (1-20%)",IF(T11597&lt;=0.4,"Medium (21-40%)","High (&gt;40%)"))))</f>
        <v/>
      </c>
      <c r="Y11597" s="23" t="str">
        <f aca="false">IF(AND(ISNUMBER(C11597),ISNUMBER(D11597)),D11597-C11597,"")</f>
        <v/>
      </c>
      <c r="Z11597" s="23" t="str">
        <f aca="false">IF(B11597="","",IF(MATCH(B11597,$B$2:$B$12000,0)=ROW()-1,1,0))</f>
        <v/>
      </c>
    </row>
    <row r="11598" customFormat="false" ht="15" hidden="false" customHeight="false" outlineLevel="0" collapsed="false">
      <c r="V11598" s="23" t="str">
        <f aca="false">IF(ISNUMBER(C11598),YEAR(C11598),"")</f>
        <v/>
      </c>
      <c r="W11598" s="23" t="str">
        <f aca="false">IF(ISNUMBER(C11598),MONTH(C11598),"")</f>
        <v/>
      </c>
      <c r="X11598" s="23" t="str">
        <f aca="false">IF(T11598="","",IF(T11598=0,"No discount",IF(T11598&lt;=0.2,"Low (1-20%)",IF(T11598&lt;=0.4,"Medium (21-40%)","High (&gt;40%)"))))</f>
        <v/>
      </c>
      <c r="Y11598" s="23" t="str">
        <f aca="false">IF(AND(ISNUMBER(C11598),ISNUMBER(D11598)),D11598-C11598,"")</f>
        <v/>
      </c>
      <c r="Z11598" s="23" t="str">
        <f aca="false">IF(B11598="","",IF(MATCH(B11598,$B$2:$B$12000,0)=ROW()-1,1,0))</f>
        <v/>
      </c>
    </row>
    <row r="11599" customFormat="false" ht="15" hidden="false" customHeight="false" outlineLevel="0" collapsed="false">
      <c r="V11599" s="23" t="str">
        <f aca="false">IF(ISNUMBER(C11599),YEAR(C11599),"")</f>
        <v/>
      </c>
      <c r="W11599" s="23" t="str">
        <f aca="false">IF(ISNUMBER(C11599),MONTH(C11599),"")</f>
        <v/>
      </c>
      <c r="X11599" s="23" t="str">
        <f aca="false">IF(T11599="","",IF(T11599=0,"No discount",IF(T11599&lt;=0.2,"Low (1-20%)",IF(T11599&lt;=0.4,"Medium (21-40%)","High (&gt;40%)"))))</f>
        <v/>
      </c>
      <c r="Y11599" s="23" t="str">
        <f aca="false">IF(AND(ISNUMBER(C11599),ISNUMBER(D11599)),D11599-C11599,"")</f>
        <v/>
      </c>
      <c r="Z11599" s="23" t="str">
        <f aca="false">IF(B11599="","",IF(MATCH(B11599,$B$2:$B$12000,0)=ROW()-1,1,0))</f>
        <v/>
      </c>
    </row>
    <row r="11600" customFormat="false" ht="15" hidden="false" customHeight="false" outlineLevel="0" collapsed="false">
      <c r="V11600" s="23" t="str">
        <f aca="false">IF(ISNUMBER(C11600),YEAR(C11600),"")</f>
        <v/>
      </c>
      <c r="W11600" s="23" t="str">
        <f aca="false">IF(ISNUMBER(C11600),MONTH(C11600),"")</f>
        <v/>
      </c>
      <c r="X11600" s="23" t="str">
        <f aca="false">IF(T11600="","",IF(T11600=0,"No discount",IF(T11600&lt;=0.2,"Low (1-20%)",IF(T11600&lt;=0.4,"Medium (21-40%)","High (&gt;40%)"))))</f>
        <v/>
      </c>
      <c r="Y11600" s="23" t="str">
        <f aca="false">IF(AND(ISNUMBER(C11600),ISNUMBER(D11600)),D11600-C11600,"")</f>
        <v/>
      </c>
      <c r="Z11600" s="23" t="str">
        <f aca="false">IF(B11600="","",IF(MATCH(B11600,$B$2:$B$12000,0)=ROW()-1,1,0))</f>
        <v/>
      </c>
    </row>
    <row r="11601" customFormat="false" ht="15" hidden="false" customHeight="false" outlineLevel="0" collapsed="false">
      <c r="V11601" s="23" t="str">
        <f aca="false">IF(ISNUMBER(C11601),YEAR(C11601),"")</f>
        <v/>
      </c>
      <c r="W11601" s="23" t="str">
        <f aca="false">IF(ISNUMBER(C11601),MONTH(C11601),"")</f>
        <v/>
      </c>
      <c r="X11601" s="23" t="str">
        <f aca="false">IF(T11601="","",IF(T11601=0,"No discount",IF(T11601&lt;=0.2,"Low (1-20%)",IF(T11601&lt;=0.4,"Medium (21-40%)","High (&gt;40%)"))))</f>
        <v/>
      </c>
      <c r="Y11601" s="23" t="str">
        <f aca="false">IF(AND(ISNUMBER(C11601),ISNUMBER(D11601)),D11601-C11601,"")</f>
        <v/>
      </c>
      <c r="Z11601" s="23" t="str">
        <f aca="false">IF(B11601="","",IF(MATCH(B11601,$B$2:$B$12000,0)=ROW()-1,1,0))</f>
        <v/>
      </c>
    </row>
    <row r="11602" customFormat="false" ht="15" hidden="false" customHeight="false" outlineLevel="0" collapsed="false">
      <c r="V11602" s="23" t="str">
        <f aca="false">IF(ISNUMBER(C11602),YEAR(C11602),"")</f>
        <v/>
      </c>
      <c r="W11602" s="23" t="str">
        <f aca="false">IF(ISNUMBER(C11602),MONTH(C11602),"")</f>
        <v/>
      </c>
      <c r="X11602" s="23" t="str">
        <f aca="false">IF(T11602="","",IF(T11602=0,"No discount",IF(T11602&lt;=0.2,"Low (1-20%)",IF(T11602&lt;=0.4,"Medium (21-40%)","High (&gt;40%)"))))</f>
        <v/>
      </c>
      <c r="Y11602" s="23" t="str">
        <f aca="false">IF(AND(ISNUMBER(C11602),ISNUMBER(D11602)),D11602-C11602,"")</f>
        <v/>
      </c>
      <c r="Z11602" s="23" t="str">
        <f aca="false">IF(B11602="","",IF(MATCH(B11602,$B$2:$B$12000,0)=ROW()-1,1,0))</f>
        <v/>
      </c>
    </row>
    <row r="11603" customFormat="false" ht="15" hidden="false" customHeight="false" outlineLevel="0" collapsed="false">
      <c r="V11603" s="23" t="str">
        <f aca="false">IF(ISNUMBER(C11603),YEAR(C11603),"")</f>
        <v/>
      </c>
      <c r="W11603" s="23" t="str">
        <f aca="false">IF(ISNUMBER(C11603),MONTH(C11603),"")</f>
        <v/>
      </c>
      <c r="X11603" s="23" t="str">
        <f aca="false">IF(T11603="","",IF(T11603=0,"No discount",IF(T11603&lt;=0.2,"Low (1-20%)",IF(T11603&lt;=0.4,"Medium (21-40%)","High (&gt;40%)"))))</f>
        <v/>
      </c>
      <c r="Y11603" s="23" t="str">
        <f aca="false">IF(AND(ISNUMBER(C11603),ISNUMBER(D11603)),D11603-C11603,"")</f>
        <v/>
      </c>
      <c r="Z11603" s="23" t="str">
        <f aca="false">IF(B11603="","",IF(MATCH(B11603,$B$2:$B$12000,0)=ROW()-1,1,0))</f>
        <v/>
      </c>
    </row>
    <row r="11604" customFormat="false" ht="15" hidden="false" customHeight="false" outlineLevel="0" collapsed="false">
      <c r="V11604" s="23" t="str">
        <f aca="false">IF(ISNUMBER(C11604),YEAR(C11604),"")</f>
        <v/>
      </c>
      <c r="W11604" s="23" t="str">
        <f aca="false">IF(ISNUMBER(C11604),MONTH(C11604),"")</f>
        <v/>
      </c>
      <c r="X11604" s="23" t="str">
        <f aca="false">IF(T11604="","",IF(T11604=0,"No discount",IF(T11604&lt;=0.2,"Low (1-20%)",IF(T11604&lt;=0.4,"Medium (21-40%)","High (&gt;40%)"))))</f>
        <v/>
      </c>
      <c r="Y11604" s="23" t="str">
        <f aca="false">IF(AND(ISNUMBER(C11604),ISNUMBER(D11604)),D11604-C11604,"")</f>
        <v/>
      </c>
      <c r="Z11604" s="23" t="str">
        <f aca="false">IF(B11604="","",IF(MATCH(B11604,$B$2:$B$12000,0)=ROW()-1,1,0))</f>
        <v/>
      </c>
    </row>
    <row r="11605" customFormat="false" ht="15" hidden="false" customHeight="false" outlineLevel="0" collapsed="false">
      <c r="V11605" s="23" t="str">
        <f aca="false">IF(ISNUMBER(C11605),YEAR(C11605),"")</f>
        <v/>
      </c>
      <c r="W11605" s="23" t="str">
        <f aca="false">IF(ISNUMBER(C11605),MONTH(C11605),"")</f>
        <v/>
      </c>
      <c r="X11605" s="23" t="str">
        <f aca="false">IF(T11605="","",IF(T11605=0,"No discount",IF(T11605&lt;=0.2,"Low (1-20%)",IF(T11605&lt;=0.4,"Medium (21-40%)","High (&gt;40%)"))))</f>
        <v/>
      </c>
      <c r="Y11605" s="23" t="str">
        <f aca="false">IF(AND(ISNUMBER(C11605),ISNUMBER(D11605)),D11605-C11605,"")</f>
        <v/>
      </c>
      <c r="Z11605" s="23" t="str">
        <f aca="false">IF(B11605="","",IF(MATCH(B11605,$B$2:$B$12000,0)=ROW()-1,1,0))</f>
        <v/>
      </c>
    </row>
    <row r="11606" customFormat="false" ht="15" hidden="false" customHeight="false" outlineLevel="0" collapsed="false">
      <c r="V11606" s="23" t="str">
        <f aca="false">IF(ISNUMBER(C11606),YEAR(C11606),"")</f>
        <v/>
      </c>
      <c r="W11606" s="23" t="str">
        <f aca="false">IF(ISNUMBER(C11606),MONTH(C11606),"")</f>
        <v/>
      </c>
      <c r="X11606" s="23" t="str">
        <f aca="false">IF(T11606="","",IF(T11606=0,"No discount",IF(T11606&lt;=0.2,"Low (1-20%)",IF(T11606&lt;=0.4,"Medium (21-40%)","High (&gt;40%)"))))</f>
        <v/>
      </c>
      <c r="Y11606" s="23" t="str">
        <f aca="false">IF(AND(ISNUMBER(C11606),ISNUMBER(D11606)),D11606-C11606,"")</f>
        <v/>
      </c>
      <c r="Z11606" s="23" t="str">
        <f aca="false">IF(B11606="","",IF(MATCH(B11606,$B$2:$B$12000,0)=ROW()-1,1,0))</f>
        <v/>
      </c>
    </row>
    <row r="11607" customFormat="false" ht="15" hidden="false" customHeight="false" outlineLevel="0" collapsed="false">
      <c r="V11607" s="23" t="str">
        <f aca="false">IF(ISNUMBER(C11607),YEAR(C11607),"")</f>
        <v/>
      </c>
      <c r="W11607" s="23" t="str">
        <f aca="false">IF(ISNUMBER(C11607),MONTH(C11607),"")</f>
        <v/>
      </c>
      <c r="X11607" s="23" t="str">
        <f aca="false">IF(T11607="","",IF(T11607=0,"No discount",IF(T11607&lt;=0.2,"Low (1-20%)",IF(T11607&lt;=0.4,"Medium (21-40%)","High (&gt;40%)"))))</f>
        <v/>
      </c>
      <c r="Y11607" s="23" t="str">
        <f aca="false">IF(AND(ISNUMBER(C11607),ISNUMBER(D11607)),D11607-C11607,"")</f>
        <v/>
      </c>
      <c r="Z11607" s="23" t="str">
        <f aca="false">IF(B11607="","",IF(MATCH(B11607,$B$2:$B$12000,0)=ROW()-1,1,0))</f>
        <v/>
      </c>
    </row>
    <row r="11608" customFormat="false" ht="15" hidden="false" customHeight="false" outlineLevel="0" collapsed="false">
      <c r="V11608" s="23" t="str">
        <f aca="false">IF(ISNUMBER(C11608),YEAR(C11608),"")</f>
        <v/>
      </c>
      <c r="W11608" s="23" t="str">
        <f aca="false">IF(ISNUMBER(C11608),MONTH(C11608),"")</f>
        <v/>
      </c>
      <c r="X11608" s="23" t="str">
        <f aca="false">IF(T11608="","",IF(T11608=0,"No discount",IF(T11608&lt;=0.2,"Low (1-20%)",IF(T11608&lt;=0.4,"Medium (21-40%)","High (&gt;40%)"))))</f>
        <v/>
      </c>
      <c r="Y11608" s="23" t="str">
        <f aca="false">IF(AND(ISNUMBER(C11608),ISNUMBER(D11608)),D11608-C11608,"")</f>
        <v/>
      </c>
      <c r="Z11608" s="23" t="str">
        <f aca="false">IF(B11608="","",IF(MATCH(B11608,$B$2:$B$12000,0)=ROW()-1,1,0))</f>
        <v/>
      </c>
    </row>
    <row r="11609" customFormat="false" ht="15" hidden="false" customHeight="false" outlineLevel="0" collapsed="false">
      <c r="V11609" s="23" t="str">
        <f aca="false">IF(ISNUMBER(C11609),YEAR(C11609),"")</f>
        <v/>
      </c>
      <c r="W11609" s="23" t="str">
        <f aca="false">IF(ISNUMBER(C11609),MONTH(C11609),"")</f>
        <v/>
      </c>
      <c r="X11609" s="23" t="str">
        <f aca="false">IF(T11609="","",IF(T11609=0,"No discount",IF(T11609&lt;=0.2,"Low (1-20%)",IF(T11609&lt;=0.4,"Medium (21-40%)","High (&gt;40%)"))))</f>
        <v/>
      </c>
      <c r="Y11609" s="23" t="str">
        <f aca="false">IF(AND(ISNUMBER(C11609),ISNUMBER(D11609)),D11609-C11609,"")</f>
        <v/>
      </c>
      <c r="Z11609" s="23" t="str">
        <f aca="false">IF(B11609="","",IF(MATCH(B11609,$B$2:$B$12000,0)=ROW()-1,1,0))</f>
        <v/>
      </c>
    </row>
    <row r="11610" customFormat="false" ht="15" hidden="false" customHeight="false" outlineLevel="0" collapsed="false">
      <c r="V11610" s="23" t="str">
        <f aca="false">IF(ISNUMBER(C11610),YEAR(C11610),"")</f>
        <v/>
      </c>
      <c r="W11610" s="23" t="str">
        <f aca="false">IF(ISNUMBER(C11610),MONTH(C11610),"")</f>
        <v/>
      </c>
      <c r="X11610" s="23" t="str">
        <f aca="false">IF(T11610="","",IF(T11610=0,"No discount",IF(T11610&lt;=0.2,"Low (1-20%)",IF(T11610&lt;=0.4,"Medium (21-40%)","High (&gt;40%)"))))</f>
        <v/>
      </c>
      <c r="Y11610" s="23" t="str">
        <f aca="false">IF(AND(ISNUMBER(C11610),ISNUMBER(D11610)),D11610-C11610,"")</f>
        <v/>
      </c>
      <c r="Z11610" s="23" t="str">
        <f aca="false">IF(B11610="","",IF(MATCH(B11610,$B$2:$B$12000,0)=ROW()-1,1,0))</f>
        <v/>
      </c>
    </row>
    <row r="11611" customFormat="false" ht="15" hidden="false" customHeight="false" outlineLevel="0" collapsed="false">
      <c r="V11611" s="23" t="str">
        <f aca="false">IF(ISNUMBER(C11611),YEAR(C11611),"")</f>
        <v/>
      </c>
      <c r="W11611" s="23" t="str">
        <f aca="false">IF(ISNUMBER(C11611),MONTH(C11611),"")</f>
        <v/>
      </c>
      <c r="X11611" s="23" t="str">
        <f aca="false">IF(T11611="","",IF(T11611=0,"No discount",IF(T11611&lt;=0.2,"Low (1-20%)",IF(T11611&lt;=0.4,"Medium (21-40%)","High (&gt;40%)"))))</f>
        <v/>
      </c>
      <c r="Y11611" s="23" t="str">
        <f aca="false">IF(AND(ISNUMBER(C11611),ISNUMBER(D11611)),D11611-C11611,"")</f>
        <v/>
      </c>
      <c r="Z11611" s="23" t="str">
        <f aca="false">IF(B11611="","",IF(MATCH(B11611,$B$2:$B$12000,0)=ROW()-1,1,0))</f>
        <v/>
      </c>
    </row>
    <row r="11612" customFormat="false" ht="15" hidden="false" customHeight="false" outlineLevel="0" collapsed="false">
      <c r="V11612" s="23" t="str">
        <f aca="false">IF(ISNUMBER(C11612),YEAR(C11612),"")</f>
        <v/>
      </c>
      <c r="W11612" s="23" t="str">
        <f aca="false">IF(ISNUMBER(C11612),MONTH(C11612),"")</f>
        <v/>
      </c>
      <c r="X11612" s="23" t="str">
        <f aca="false">IF(T11612="","",IF(T11612=0,"No discount",IF(T11612&lt;=0.2,"Low (1-20%)",IF(T11612&lt;=0.4,"Medium (21-40%)","High (&gt;40%)"))))</f>
        <v/>
      </c>
      <c r="Y11612" s="23" t="str">
        <f aca="false">IF(AND(ISNUMBER(C11612),ISNUMBER(D11612)),D11612-C11612,"")</f>
        <v/>
      </c>
      <c r="Z11612" s="23" t="str">
        <f aca="false">IF(B11612="","",IF(MATCH(B11612,$B$2:$B$12000,0)=ROW()-1,1,0))</f>
        <v/>
      </c>
    </row>
    <row r="11613" customFormat="false" ht="15" hidden="false" customHeight="false" outlineLevel="0" collapsed="false">
      <c r="V11613" s="23" t="str">
        <f aca="false">IF(ISNUMBER(C11613),YEAR(C11613),"")</f>
        <v/>
      </c>
      <c r="W11613" s="23" t="str">
        <f aca="false">IF(ISNUMBER(C11613),MONTH(C11613),"")</f>
        <v/>
      </c>
      <c r="X11613" s="23" t="str">
        <f aca="false">IF(T11613="","",IF(T11613=0,"No discount",IF(T11613&lt;=0.2,"Low (1-20%)",IF(T11613&lt;=0.4,"Medium (21-40%)","High (&gt;40%)"))))</f>
        <v/>
      </c>
      <c r="Y11613" s="23" t="str">
        <f aca="false">IF(AND(ISNUMBER(C11613),ISNUMBER(D11613)),D11613-C11613,"")</f>
        <v/>
      </c>
      <c r="Z11613" s="23" t="str">
        <f aca="false">IF(B11613="","",IF(MATCH(B11613,$B$2:$B$12000,0)=ROW()-1,1,0))</f>
        <v/>
      </c>
    </row>
    <row r="11614" customFormat="false" ht="15" hidden="false" customHeight="false" outlineLevel="0" collapsed="false">
      <c r="V11614" s="23" t="str">
        <f aca="false">IF(ISNUMBER(C11614),YEAR(C11614),"")</f>
        <v/>
      </c>
      <c r="W11614" s="23" t="str">
        <f aca="false">IF(ISNUMBER(C11614),MONTH(C11614),"")</f>
        <v/>
      </c>
      <c r="X11614" s="23" t="str">
        <f aca="false">IF(T11614="","",IF(T11614=0,"No discount",IF(T11614&lt;=0.2,"Low (1-20%)",IF(T11614&lt;=0.4,"Medium (21-40%)","High (&gt;40%)"))))</f>
        <v/>
      </c>
      <c r="Y11614" s="23" t="str">
        <f aca="false">IF(AND(ISNUMBER(C11614),ISNUMBER(D11614)),D11614-C11614,"")</f>
        <v/>
      </c>
      <c r="Z11614" s="23" t="str">
        <f aca="false">IF(B11614="","",IF(MATCH(B11614,$B$2:$B$12000,0)=ROW()-1,1,0))</f>
        <v/>
      </c>
    </row>
    <row r="11615" customFormat="false" ht="15" hidden="false" customHeight="false" outlineLevel="0" collapsed="false">
      <c r="V11615" s="23" t="str">
        <f aca="false">IF(ISNUMBER(C11615),YEAR(C11615),"")</f>
        <v/>
      </c>
      <c r="W11615" s="23" t="str">
        <f aca="false">IF(ISNUMBER(C11615),MONTH(C11615),"")</f>
        <v/>
      </c>
      <c r="X11615" s="23" t="str">
        <f aca="false">IF(T11615="","",IF(T11615=0,"No discount",IF(T11615&lt;=0.2,"Low (1-20%)",IF(T11615&lt;=0.4,"Medium (21-40%)","High (&gt;40%)"))))</f>
        <v/>
      </c>
      <c r="Y11615" s="23" t="str">
        <f aca="false">IF(AND(ISNUMBER(C11615),ISNUMBER(D11615)),D11615-C11615,"")</f>
        <v/>
      </c>
      <c r="Z11615" s="23" t="str">
        <f aca="false">IF(B11615="","",IF(MATCH(B11615,$B$2:$B$12000,0)=ROW()-1,1,0))</f>
        <v/>
      </c>
    </row>
    <row r="11616" customFormat="false" ht="15" hidden="false" customHeight="false" outlineLevel="0" collapsed="false">
      <c r="V11616" s="23" t="str">
        <f aca="false">IF(ISNUMBER(C11616),YEAR(C11616),"")</f>
        <v/>
      </c>
      <c r="W11616" s="23" t="str">
        <f aca="false">IF(ISNUMBER(C11616),MONTH(C11616),"")</f>
        <v/>
      </c>
      <c r="X11616" s="23" t="str">
        <f aca="false">IF(T11616="","",IF(T11616=0,"No discount",IF(T11616&lt;=0.2,"Low (1-20%)",IF(T11616&lt;=0.4,"Medium (21-40%)","High (&gt;40%)"))))</f>
        <v/>
      </c>
      <c r="Y11616" s="23" t="str">
        <f aca="false">IF(AND(ISNUMBER(C11616),ISNUMBER(D11616)),D11616-C11616,"")</f>
        <v/>
      </c>
      <c r="Z11616" s="23" t="str">
        <f aca="false">IF(B11616="","",IF(MATCH(B11616,$B$2:$B$12000,0)=ROW()-1,1,0))</f>
        <v/>
      </c>
    </row>
    <row r="11617" customFormat="false" ht="15" hidden="false" customHeight="false" outlineLevel="0" collapsed="false">
      <c r="V11617" s="23" t="str">
        <f aca="false">IF(ISNUMBER(C11617),YEAR(C11617),"")</f>
        <v/>
      </c>
      <c r="W11617" s="23" t="str">
        <f aca="false">IF(ISNUMBER(C11617),MONTH(C11617),"")</f>
        <v/>
      </c>
      <c r="X11617" s="23" t="str">
        <f aca="false">IF(T11617="","",IF(T11617=0,"No discount",IF(T11617&lt;=0.2,"Low (1-20%)",IF(T11617&lt;=0.4,"Medium (21-40%)","High (&gt;40%)"))))</f>
        <v/>
      </c>
      <c r="Y11617" s="23" t="str">
        <f aca="false">IF(AND(ISNUMBER(C11617),ISNUMBER(D11617)),D11617-C11617,"")</f>
        <v/>
      </c>
      <c r="Z11617" s="23" t="str">
        <f aca="false">IF(B11617="","",IF(MATCH(B11617,$B$2:$B$12000,0)=ROW()-1,1,0))</f>
        <v/>
      </c>
    </row>
    <row r="11618" customFormat="false" ht="15" hidden="false" customHeight="false" outlineLevel="0" collapsed="false">
      <c r="V11618" s="23" t="str">
        <f aca="false">IF(ISNUMBER(C11618),YEAR(C11618),"")</f>
        <v/>
      </c>
      <c r="W11618" s="23" t="str">
        <f aca="false">IF(ISNUMBER(C11618),MONTH(C11618),"")</f>
        <v/>
      </c>
      <c r="X11618" s="23" t="str">
        <f aca="false">IF(T11618="","",IF(T11618=0,"No discount",IF(T11618&lt;=0.2,"Low (1-20%)",IF(T11618&lt;=0.4,"Medium (21-40%)","High (&gt;40%)"))))</f>
        <v/>
      </c>
      <c r="Y11618" s="23" t="str">
        <f aca="false">IF(AND(ISNUMBER(C11618),ISNUMBER(D11618)),D11618-C11618,"")</f>
        <v/>
      </c>
      <c r="Z11618" s="23" t="str">
        <f aca="false">IF(B11618="","",IF(MATCH(B11618,$B$2:$B$12000,0)=ROW()-1,1,0))</f>
        <v/>
      </c>
    </row>
    <row r="11619" customFormat="false" ht="15" hidden="false" customHeight="false" outlineLevel="0" collapsed="false">
      <c r="V11619" s="23" t="str">
        <f aca="false">IF(ISNUMBER(C11619),YEAR(C11619),"")</f>
        <v/>
      </c>
      <c r="W11619" s="23" t="str">
        <f aca="false">IF(ISNUMBER(C11619),MONTH(C11619),"")</f>
        <v/>
      </c>
      <c r="X11619" s="23" t="str">
        <f aca="false">IF(T11619="","",IF(T11619=0,"No discount",IF(T11619&lt;=0.2,"Low (1-20%)",IF(T11619&lt;=0.4,"Medium (21-40%)","High (&gt;40%)"))))</f>
        <v/>
      </c>
      <c r="Y11619" s="23" t="str">
        <f aca="false">IF(AND(ISNUMBER(C11619),ISNUMBER(D11619)),D11619-C11619,"")</f>
        <v/>
      </c>
      <c r="Z11619" s="23" t="str">
        <f aca="false">IF(B11619="","",IF(MATCH(B11619,$B$2:$B$12000,0)=ROW()-1,1,0))</f>
        <v/>
      </c>
    </row>
    <row r="11620" customFormat="false" ht="15" hidden="false" customHeight="false" outlineLevel="0" collapsed="false">
      <c r="V11620" s="23" t="str">
        <f aca="false">IF(ISNUMBER(C11620),YEAR(C11620),"")</f>
        <v/>
      </c>
      <c r="W11620" s="23" t="str">
        <f aca="false">IF(ISNUMBER(C11620),MONTH(C11620),"")</f>
        <v/>
      </c>
      <c r="X11620" s="23" t="str">
        <f aca="false">IF(T11620="","",IF(T11620=0,"No discount",IF(T11620&lt;=0.2,"Low (1-20%)",IF(T11620&lt;=0.4,"Medium (21-40%)","High (&gt;40%)"))))</f>
        <v/>
      </c>
      <c r="Y11620" s="23" t="str">
        <f aca="false">IF(AND(ISNUMBER(C11620),ISNUMBER(D11620)),D11620-C11620,"")</f>
        <v/>
      </c>
      <c r="Z11620" s="23" t="str">
        <f aca="false">IF(B11620="","",IF(MATCH(B11620,$B$2:$B$12000,0)=ROW()-1,1,0))</f>
        <v/>
      </c>
    </row>
    <row r="11621" customFormat="false" ht="15" hidden="false" customHeight="false" outlineLevel="0" collapsed="false">
      <c r="V11621" s="23" t="str">
        <f aca="false">IF(ISNUMBER(C11621),YEAR(C11621),"")</f>
        <v/>
      </c>
      <c r="W11621" s="23" t="str">
        <f aca="false">IF(ISNUMBER(C11621),MONTH(C11621),"")</f>
        <v/>
      </c>
      <c r="X11621" s="23" t="str">
        <f aca="false">IF(T11621="","",IF(T11621=0,"No discount",IF(T11621&lt;=0.2,"Low (1-20%)",IF(T11621&lt;=0.4,"Medium (21-40%)","High (&gt;40%)"))))</f>
        <v/>
      </c>
      <c r="Y11621" s="23" t="str">
        <f aca="false">IF(AND(ISNUMBER(C11621),ISNUMBER(D11621)),D11621-C11621,"")</f>
        <v/>
      </c>
      <c r="Z11621" s="23" t="str">
        <f aca="false">IF(B11621="","",IF(MATCH(B11621,$B$2:$B$12000,0)=ROW()-1,1,0))</f>
        <v/>
      </c>
    </row>
    <row r="11622" customFormat="false" ht="15" hidden="false" customHeight="false" outlineLevel="0" collapsed="false">
      <c r="V11622" s="23" t="str">
        <f aca="false">IF(ISNUMBER(C11622),YEAR(C11622),"")</f>
        <v/>
      </c>
      <c r="W11622" s="23" t="str">
        <f aca="false">IF(ISNUMBER(C11622),MONTH(C11622),"")</f>
        <v/>
      </c>
      <c r="X11622" s="23" t="str">
        <f aca="false">IF(T11622="","",IF(T11622=0,"No discount",IF(T11622&lt;=0.2,"Low (1-20%)",IF(T11622&lt;=0.4,"Medium (21-40%)","High (&gt;40%)"))))</f>
        <v/>
      </c>
      <c r="Y11622" s="23" t="str">
        <f aca="false">IF(AND(ISNUMBER(C11622),ISNUMBER(D11622)),D11622-C11622,"")</f>
        <v/>
      </c>
      <c r="Z11622" s="23" t="str">
        <f aca="false">IF(B11622="","",IF(MATCH(B11622,$B$2:$B$12000,0)=ROW()-1,1,0))</f>
        <v/>
      </c>
    </row>
    <row r="11623" customFormat="false" ht="15" hidden="false" customHeight="false" outlineLevel="0" collapsed="false">
      <c r="V11623" s="23" t="str">
        <f aca="false">IF(ISNUMBER(C11623),YEAR(C11623),"")</f>
        <v/>
      </c>
      <c r="W11623" s="23" t="str">
        <f aca="false">IF(ISNUMBER(C11623),MONTH(C11623),"")</f>
        <v/>
      </c>
      <c r="X11623" s="23" t="str">
        <f aca="false">IF(T11623="","",IF(T11623=0,"No discount",IF(T11623&lt;=0.2,"Low (1-20%)",IF(T11623&lt;=0.4,"Medium (21-40%)","High (&gt;40%)"))))</f>
        <v/>
      </c>
      <c r="Y11623" s="23" t="str">
        <f aca="false">IF(AND(ISNUMBER(C11623),ISNUMBER(D11623)),D11623-C11623,"")</f>
        <v/>
      </c>
      <c r="Z11623" s="23" t="str">
        <f aca="false">IF(B11623="","",IF(MATCH(B11623,$B$2:$B$12000,0)=ROW()-1,1,0))</f>
        <v/>
      </c>
    </row>
    <row r="11624" customFormat="false" ht="15" hidden="false" customHeight="false" outlineLevel="0" collapsed="false">
      <c r="V11624" s="23" t="str">
        <f aca="false">IF(ISNUMBER(C11624),YEAR(C11624),"")</f>
        <v/>
      </c>
      <c r="W11624" s="23" t="str">
        <f aca="false">IF(ISNUMBER(C11624),MONTH(C11624),"")</f>
        <v/>
      </c>
      <c r="X11624" s="23" t="str">
        <f aca="false">IF(T11624="","",IF(T11624=0,"No discount",IF(T11624&lt;=0.2,"Low (1-20%)",IF(T11624&lt;=0.4,"Medium (21-40%)","High (&gt;40%)"))))</f>
        <v/>
      </c>
      <c r="Y11624" s="23" t="str">
        <f aca="false">IF(AND(ISNUMBER(C11624),ISNUMBER(D11624)),D11624-C11624,"")</f>
        <v/>
      </c>
      <c r="Z11624" s="23" t="str">
        <f aca="false">IF(B11624="","",IF(MATCH(B11624,$B$2:$B$12000,0)=ROW()-1,1,0))</f>
        <v/>
      </c>
    </row>
    <row r="11625" customFormat="false" ht="15" hidden="false" customHeight="false" outlineLevel="0" collapsed="false">
      <c r="V11625" s="23" t="str">
        <f aca="false">IF(ISNUMBER(C11625),YEAR(C11625),"")</f>
        <v/>
      </c>
      <c r="W11625" s="23" t="str">
        <f aca="false">IF(ISNUMBER(C11625),MONTH(C11625),"")</f>
        <v/>
      </c>
      <c r="X11625" s="23" t="str">
        <f aca="false">IF(T11625="","",IF(T11625=0,"No discount",IF(T11625&lt;=0.2,"Low (1-20%)",IF(T11625&lt;=0.4,"Medium (21-40%)","High (&gt;40%)"))))</f>
        <v/>
      </c>
      <c r="Y11625" s="23" t="str">
        <f aca="false">IF(AND(ISNUMBER(C11625),ISNUMBER(D11625)),D11625-C11625,"")</f>
        <v/>
      </c>
      <c r="Z11625" s="23" t="str">
        <f aca="false">IF(B11625="","",IF(MATCH(B11625,$B$2:$B$12000,0)=ROW()-1,1,0))</f>
        <v/>
      </c>
    </row>
    <row r="11626" customFormat="false" ht="15" hidden="false" customHeight="false" outlineLevel="0" collapsed="false">
      <c r="V11626" s="23" t="str">
        <f aca="false">IF(ISNUMBER(C11626),YEAR(C11626),"")</f>
        <v/>
      </c>
      <c r="W11626" s="23" t="str">
        <f aca="false">IF(ISNUMBER(C11626),MONTH(C11626),"")</f>
        <v/>
      </c>
      <c r="X11626" s="23" t="str">
        <f aca="false">IF(T11626="","",IF(T11626=0,"No discount",IF(T11626&lt;=0.2,"Low (1-20%)",IF(T11626&lt;=0.4,"Medium (21-40%)","High (&gt;40%)"))))</f>
        <v/>
      </c>
      <c r="Y11626" s="23" t="str">
        <f aca="false">IF(AND(ISNUMBER(C11626),ISNUMBER(D11626)),D11626-C11626,"")</f>
        <v/>
      </c>
      <c r="Z11626" s="23" t="str">
        <f aca="false">IF(B11626="","",IF(MATCH(B11626,$B$2:$B$12000,0)=ROW()-1,1,0))</f>
        <v/>
      </c>
    </row>
    <row r="11627" customFormat="false" ht="15" hidden="false" customHeight="false" outlineLevel="0" collapsed="false">
      <c r="V11627" s="23" t="str">
        <f aca="false">IF(ISNUMBER(C11627),YEAR(C11627),"")</f>
        <v/>
      </c>
      <c r="W11627" s="23" t="str">
        <f aca="false">IF(ISNUMBER(C11627),MONTH(C11627),"")</f>
        <v/>
      </c>
      <c r="X11627" s="23" t="str">
        <f aca="false">IF(T11627="","",IF(T11627=0,"No discount",IF(T11627&lt;=0.2,"Low (1-20%)",IF(T11627&lt;=0.4,"Medium (21-40%)","High (&gt;40%)"))))</f>
        <v/>
      </c>
      <c r="Y11627" s="23" t="str">
        <f aca="false">IF(AND(ISNUMBER(C11627),ISNUMBER(D11627)),D11627-C11627,"")</f>
        <v/>
      </c>
      <c r="Z11627" s="23" t="str">
        <f aca="false">IF(B11627="","",IF(MATCH(B11627,$B$2:$B$12000,0)=ROW()-1,1,0))</f>
        <v/>
      </c>
    </row>
    <row r="11628" customFormat="false" ht="15" hidden="false" customHeight="false" outlineLevel="0" collapsed="false">
      <c r="V11628" s="23" t="str">
        <f aca="false">IF(ISNUMBER(C11628),YEAR(C11628),"")</f>
        <v/>
      </c>
      <c r="W11628" s="23" t="str">
        <f aca="false">IF(ISNUMBER(C11628),MONTH(C11628),"")</f>
        <v/>
      </c>
      <c r="X11628" s="23" t="str">
        <f aca="false">IF(T11628="","",IF(T11628=0,"No discount",IF(T11628&lt;=0.2,"Low (1-20%)",IF(T11628&lt;=0.4,"Medium (21-40%)","High (&gt;40%)"))))</f>
        <v/>
      </c>
      <c r="Y11628" s="23" t="str">
        <f aca="false">IF(AND(ISNUMBER(C11628),ISNUMBER(D11628)),D11628-C11628,"")</f>
        <v/>
      </c>
      <c r="Z11628" s="23" t="str">
        <f aca="false">IF(B11628="","",IF(MATCH(B11628,$B$2:$B$12000,0)=ROW()-1,1,0))</f>
        <v/>
      </c>
    </row>
    <row r="11629" customFormat="false" ht="15" hidden="false" customHeight="false" outlineLevel="0" collapsed="false">
      <c r="V11629" s="23" t="str">
        <f aca="false">IF(ISNUMBER(C11629),YEAR(C11629),"")</f>
        <v/>
      </c>
      <c r="W11629" s="23" t="str">
        <f aca="false">IF(ISNUMBER(C11629),MONTH(C11629),"")</f>
        <v/>
      </c>
      <c r="X11629" s="23" t="str">
        <f aca="false">IF(T11629="","",IF(T11629=0,"No discount",IF(T11629&lt;=0.2,"Low (1-20%)",IF(T11629&lt;=0.4,"Medium (21-40%)","High (&gt;40%)"))))</f>
        <v/>
      </c>
      <c r="Y11629" s="23" t="str">
        <f aca="false">IF(AND(ISNUMBER(C11629),ISNUMBER(D11629)),D11629-C11629,"")</f>
        <v/>
      </c>
      <c r="Z11629" s="23" t="str">
        <f aca="false">IF(B11629="","",IF(MATCH(B11629,$B$2:$B$12000,0)=ROW()-1,1,0))</f>
        <v/>
      </c>
    </row>
    <row r="11630" customFormat="false" ht="15" hidden="false" customHeight="false" outlineLevel="0" collapsed="false">
      <c r="V11630" s="23" t="str">
        <f aca="false">IF(ISNUMBER(C11630),YEAR(C11630),"")</f>
        <v/>
      </c>
      <c r="W11630" s="23" t="str">
        <f aca="false">IF(ISNUMBER(C11630),MONTH(C11630),"")</f>
        <v/>
      </c>
      <c r="X11630" s="23" t="str">
        <f aca="false">IF(T11630="","",IF(T11630=0,"No discount",IF(T11630&lt;=0.2,"Low (1-20%)",IF(T11630&lt;=0.4,"Medium (21-40%)","High (&gt;40%)"))))</f>
        <v/>
      </c>
      <c r="Y11630" s="23" t="str">
        <f aca="false">IF(AND(ISNUMBER(C11630),ISNUMBER(D11630)),D11630-C11630,"")</f>
        <v/>
      </c>
      <c r="Z11630" s="23" t="str">
        <f aca="false">IF(B11630="","",IF(MATCH(B11630,$B$2:$B$12000,0)=ROW()-1,1,0))</f>
        <v/>
      </c>
    </row>
    <row r="11631" customFormat="false" ht="15" hidden="false" customHeight="false" outlineLevel="0" collapsed="false">
      <c r="V11631" s="23" t="str">
        <f aca="false">IF(ISNUMBER(C11631),YEAR(C11631),"")</f>
        <v/>
      </c>
      <c r="W11631" s="23" t="str">
        <f aca="false">IF(ISNUMBER(C11631),MONTH(C11631),"")</f>
        <v/>
      </c>
      <c r="X11631" s="23" t="str">
        <f aca="false">IF(T11631="","",IF(T11631=0,"No discount",IF(T11631&lt;=0.2,"Low (1-20%)",IF(T11631&lt;=0.4,"Medium (21-40%)","High (&gt;40%)"))))</f>
        <v/>
      </c>
      <c r="Y11631" s="23" t="str">
        <f aca="false">IF(AND(ISNUMBER(C11631),ISNUMBER(D11631)),D11631-C11631,"")</f>
        <v/>
      </c>
      <c r="Z11631" s="23" t="str">
        <f aca="false">IF(B11631="","",IF(MATCH(B11631,$B$2:$B$12000,0)=ROW()-1,1,0))</f>
        <v/>
      </c>
    </row>
    <row r="11632" customFormat="false" ht="15" hidden="false" customHeight="false" outlineLevel="0" collapsed="false">
      <c r="V11632" s="23" t="str">
        <f aca="false">IF(ISNUMBER(C11632),YEAR(C11632),"")</f>
        <v/>
      </c>
      <c r="W11632" s="23" t="str">
        <f aca="false">IF(ISNUMBER(C11632),MONTH(C11632),"")</f>
        <v/>
      </c>
      <c r="X11632" s="23" t="str">
        <f aca="false">IF(T11632="","",IF(T11632=0,"No discount",IF(T11632&lt;=0.2,"Low (1-20%)",IF(T11632&lt;=0.4,"Medium (21-40%)","High (&gt;40%)"))))</f>
        <v/>
      </c>
      <c r="Y11632" s="23" t="str">
        <f aca="false">IF(AND(ISNUMBER(C11632),ISNUMBER(D11632)),D11632-C11632,"")</f>
        <v/>
      </c>
      <c r="Z11632" s="23" t="str">
        <f aca="false">IF(B11632="","",IF(MATCH(B11632,$B$2:$B$12000,0)=ROW()-1,1,0))</f>
        <v/>
      </c>
    </row>
    <row r="11633" customFormat="false" ht="15" hidden="false" customHeight="false" outlineLevel="0" collapsed="false">
      <c r="V11633" s="23" t="str">
        <f aca="false">IF(ISNUMBER(C11633),YEAR(C11633),"")</f>
        <v/>
      </c>
      <c r="W11633" s="23" t="str">
        <f aca="false">IF(ISNUMBER(C11633),MONTH(C11633),"")</f>
        <v/>
      </c>
      <c r="X11633" s="23" t="str">
        <f aca="false">IF(T11633="","",IF(T11633=0,"No discount",IF(T11633&lt;=0.2,"Low (1-20%)",IF(T11633&lt;=0.4,"Medium (21-40%)","High (&gt;40%)"))))</f>
        <v/>
      </c>
      <c r="Y11633" s="23" t="str">
        <f aca="false">IF(AND(ISNUMBER(C11633),ISNUMBER(D11633)),D11633-C11633,"")</f>
        <v/>
      </c>
      <c r="Z11633" s="23" t="str">
        <f aca="false">IF(B11633="","",IF(MATCH(B11633,$B$2:$B$12000,0)=ROW()-1,1,0))</f>
        <v/>
      </c>
    </row>
    <row r="11634" customFormat="false" ht="15" hidden="false" customHeight="false" outlineLevel="0" collapsed="false">
      <c r="V11634" s="23" t="str">
        <f aca="false">IF(ISNUMBER(C11634),YEAR(C11634),"")</f>
        <v/>
      </c>
      <c r="W11634" s="23" t="str">
        <f aca="false">IF(ISNUMBER(C11634),MONTH(C11634),"")</f>
        <v/>
      </c>
      <c r="X11634" s="23" t="str">
        <f aca="false">IF(T11634="","",IF(T11634=0,"No discount",IF(T11634&lt;=0.2,"Low (1-20%)",IF(T11634&lt;=0.4,"Medium (21-40%)","High (&gt;40%)"))))</f>
        <v/>
      </c>
      <c r="Y11634" s="23" t="str">
        <f aca="false">IF(AND(ISNUMBER(C11634),ISNUMBER(D11634)),D11634-C11634,"")</f>
        <v/>
      </c>
      <c r="Z11634" s="23" t="str">
        <f aca="false">IF(B11634="","",IF(MATCH(B11634,$B$2:$B$12000,0)=ROW()-1,1,0))</f>
        <v/>
      </c>
    </row>
    <row r="11635" customFormat="false" ht="15" hidden="false" customHeight="false" outlineLevel="0" collapsed="false">
      <c r="V11635" s="23" t="str">
        <f aca="false">IF(ISNUMBER(C11635),YEAR(C11635),"")</f>
        <v/>
      </c>
      <c r="W11635" s="23" t="str">
        <f aca="false">IF(ISNUMBER(C11635),MONTH(C11635),"")</f>
        <v/>
      </c>
      <c r="X11635" s="23" t="str">
        <f aca="false">IF(T11635="","",IF(T11635=0,"No discount",IF(T11635&lt;=0.2,"Low (1-20%)",IF(T11635&lt;=0.4,"Medium (21-40%)","High (&gt;40%)"))))</f>
        <v/>
      </c>
      <c r="Y11635" s="23" t="str">
        <f aca="false">IF(AND(ISNUMBER(C11635),ISNUMBER(D11635)),D11635-C11635,"")</f>
        <v/>
      </c>
      <c r="Z11635" s="23" t="str">
        <f aca="false">IF(B11635="","",IF(MATCH(B11635,$B$2:$B$12000,0)=ROW()-1,1,0))</f>
        <v/>
      </c>
    </row>
    <row r="11636" customFormat="false" ht="15" hidden="false" customHeight="false" outlineLevel="0" collapsed="false">
      <c r="V11636" s="23" t="str">
        <f aca="false">IF(ISNUMBER(C11636),YEAR(C11636),"")</f>
        <v/>
      </c>
      <c r="W11636" s="23" t="str">
        <f aca="false">IF(ISNUMBER(C11636),MONTH(C11636),"")</f>
        <v/>
      </c>
      <c r="X11636" s="23" t="str">
        <f aca="false">IF(T11636="","",IF(T11636=0,"No discount",IF(T11636&lt;=0.2,"Low (1-20%)",IF(T11636&lt;=0.4,"Medium (21-40%)","High (&gt;40%)"))))</f>
        <v/>
      </c>
      <c r="Y11636" s="23" t="str">
        <f aca="false">IF(AND(ISNUMBER(C11636),ISNUMBER(D11636)),D11636-C11636,"")</f>
        <v/>
      </c>
      <c r="Z11636" s="23" t="str">
        <f aca="false">IF(B11636="","",IF(MATCH(B11636,$B$2:$B$12000,0)=ROW()-1,1,0))</f>
        <v/>
      </c>
    </row>
    <row r="11637" customFormat="false" ht="15" hidden="false" customHeight="false" outlineLevel="0" collapsed="false">
      <c r="V11637" s="23" t="str">
        <f aca="false">IF(ISNUMBER(C11637),YEAR(C11637),"")</f>
        <v/>
      </c>
      <c r="W11637" s="23" t="str">
        <f aca="false">IF(ISNUMBER(C11637),MONTH(C11637),"")</f>
        <v/>
      </c>
      <c r="X11637" s="23" t="str">
        <f aca="false">IF(T11637="","",IF(T11637=0,"No discount",IF(T11637&lt;=0.2,"Low (1-20%)",IF(T11637&lt;=0.4,"Medium (21-40%)","High (&gt;40%)"))))</f>
        <v/>
      </c>
      <c r="Y11637" s="23" t="str">
        <f aca="false">IF(AND(ISNUMBER(C11637),ISNUMBER(D11637)),D11637-C11637,"")</f>
        <v/>
      </c>
      <c r="Z11637" s="23" t="str">
        <f aca="false">IF(B11637="","",IF(MATCH(B11637,$B$2:$B$12000,0)=ROW()-1,1,0))</f>
        <v/>
      </c>
    </row>
    <row r="11638" customFormat="false" ht="15" hidden="false" customHeight="false" outlineLevel="0" collapsed="false">
      <c r="V11638" s="23" t="str">
        <f aca="false">IF(ISNUMBER(C11638),YEAR(C11638),"")</f>
        <v/>
      </c>
      <c r="W11638" s="23" t="str">
        <f aca="false">IF(ISNUMBER(C11638),MONTH(C11638),"")</f>
        <v/>
      </c>
      <c r="X11638" s="23" t="str">
        <f aca="false">IF(T11638="","",IF(T11638=0,"No discount",IF(T11638&lt;=0.2,"Low (1-20%)",IF(T11638&lt;=0.4,"Medium (21-40%)","High (&gt;40%)"))))</f>
        <v/>
      </c>
      <c r="Y11638" s="23" t="str">
        <f aca="false">IF(AND(ISNUMBER(C11638),ISNUMBER(D11638)),D11638-C11638,"")</f>
        <v/>
      </c>
      <c r="Z11638" s="23" t="str">
        <f aca="false">IF(B11638="","",IF(MATCH(B11638,$B$2:$B$12000,0)=ROW()-1,1,0))</f>
        <v/>
      </c>
    </row>
    <row r="11639" customFormat="false" ht="15" hidden="false" customHeight="false" outlineLevel="0" collapsed="false">
      <c r="V11639" s="23" t="str">
        <f aca="false">IF(ISNUMBER(C11639),YEAR(C11639),"")</f>
        <v/>
      </c>
      <c r="W11639" s="23" t="str">
        <f aca="false">IF(ISNUMBER(C11639),MONTH(C11639),"")</f>
        <v/>
      </c>
      <c r="X11639" s="23" t="str">
        <f aca="false">IF(T11639="","",IF(T11639=0,"No discount",IF(T11639&lt;=0.2,"Low (1-20%)",IF(T11639&lt;=0.4,"Medium (21-40%)","High (&gt;40%)"))))</f>
        <v/>
      </c>
      <c r="Y11639" s="23" t="str">
        <f aca="false">IF(AND(ISNUMBER(C11639),ISNUMBER(D11639)),D11639-C11639,"")</f>
        <v/>
      </c>
      <c r="Z11639" s="23" t="str">
        <f aca="false">IF(B11639="","",IF(MATCH(B11639,$B$2:$B$12000,0)=ROW()-1,1,0))</f>
        <v/>
      </c>
    </row>
    <row r="11640" customFormat="false" ht="15" hidden="false" customHeight="false" outlineLevel="0" collapsed="false">
      <c r="V11640" s="23" t="str">
        <f aca="false">IF(ISNUMBER(C11640),YEAR(C11640),"")</f>
        <v/>
      </c>
      <c r="W11640" s="23" t="str">
        <f aca="false">IF(ISNUMBER(C11640),MONTH(C11640),"")</f>
        <v/>
      </c>
      <c r="X11640" s="23" t="str">
        <f aca="false">IF(T11640="","",IF(T11640=0,"No discount",IF(T11640&lt;=0.2,"Low (1-20%)",IF(T11640&lt;=0.4,"Medium (21-40%)","High (&gt;40%)"))))</f>
        <v/>
      </c>
      <c r="Y11640" s="23" t="str">
        <f aca="false">IF(AND(ISNUMBER(C11640),ISNUMBER(D11640)),D11640-C11640,"")</f>
        <v/>
      </c>
      <c r="Z11640" s="23" t="str">
        <f aca="false">IF(B11640="","",IF(MATCH(B11640,$B$2:$B$12000,0)=ROW()-1,1,0))</f>
        <v/>
      </c>
    </row>
    <row r="11641" customFormat="false" ht="15" hidden="false" customHeight="false" outlineLevel="0" collapsed="false">
      <c r="V11641" s="23" t="str">
        <f aca="false">IF(ISNUMBER(C11641),YEAR(C11641),"")</f>
        <v/>
      </c>
      <c r="W11641" s="23" t="str">
        <f aca="false">IF(ISNUMBER(C11641),MONTH(C11641),"")</f>
        <v/>
      </c>
      <c r="X11641" s="23" t="str">
        <f aca="false">IF(T11641="","",IF(T11641=0,"No discount",IF(T11641&lt;=0.2,"Low (1-20%)",IF(T11641&lt;=0.4,"Medium (21-40%)","High (&gt;40%)"))))</f>
        <v/>
      </c>
      <c r="Y11641" s="23" t="str">
        <f aca="false">IF(AND(ISNUMBER(C11641),ISNUMBER(D11641)),D11641-C11641,"")</f>
        <v/>
      </c>
      <c r="Z11641" s="23" t="str">
        <f aca="false">IF(B11641="","",IF(MATCH(B11641,$B$2:$B$12000,0)=ROW()-1,1,0))</f>
        <v/>
      </c>
    </row>
    <row r="11642" customFormat="false" ht="15" hidden="false" customHeight="false" outlineLevel="0" collapsed="false">
      <c r="V11642" s="23" t="str">
        <f aca="false">IF(ISNUMBER(C11642),YEAR(C11642),"")</f>
        <v/>
      </c>
      <c r="W11642" s="23" t="str">
        <f aca="false">IF(ISNUMBER(C11642),MONTH(C11642),"")</f>
        <v/>
      </c>
      <c r="X11642" s="23" t="str">
        <f aca="false">IF(T11642="","",IF(T11642=0,"No discount",IF(T11642&lt;=0.2,"Low (1-20%)",IF(T11642&lt;=0.4,"Medium (21-40%)","High (&gt;40%)"))))</f>
        <v/>
      </c>
      <c r="Y11642" s="23" t="str">
        <f aca="false">IF(AND(ISNUMBER(C11642),ISNUMBER(D11642)),D11642-C11642,"")</f>
        <v/>
      </c>
      <c r="Z11642" s="23" t="str">
        <f aca="false">IF(B11642="","",IF(MATCH(B11642,$B$2:$B$12000,0)=ROW()-1,1,0))</f>
        <v/>
      </c>
    </row>
    <row r="11643" customFormat="false" ht="15" hidden="false" customHeight="false" outlineLevel="0" collapsed="false">
      <c r="V11643" s="23" t="str">
        <f aca="false">IF(ISNUMBER(C11643),YEAR(C11643),"")</f>
        <v/>
      </c>
      <c r="W11643" s="23" t="str">
        <f aca="false">IF(ISNUMBER(C11643),MONTH(C11643),"")</f>
        <v/>
      </c>
      <c r="X11643" s="23" t="str">
        <f aca="false">IF(T11643="","",IF(T11643=0,"No discount",IF(T11643&lt;=0.2,"Low (1-20%)",IF(T11643&lt;=0.4,"Medium (21-40%)","High (&gt;40%)"))))</f>
        <v/>
      </c>
      <c r="Y11643" s="23" t="str">
        <f aca="false">IF(AND(ISNUMBER(C11643),ISNUMBER(D11643)),D11643-C11643,"")</f>
        <v/>
      </c>
      <c r="Z11643" s="23" t="str">
        <f aca="false">IF(B11643="","",IF(MATCH(B11643,$B$2:$B$12000,0)=ROW()-1,1,0))</f>
        <v/>
      </c>
    </row>
    <row r="11644" customFormat="false" ht="15" hidden="false" customHeight="false" outlineLevel="0" collapsed="false">
      <c r="V11644" s="23" t="str">
        <f aca="false">IF(ISNUMBER(C11644),YEAR(C11644),"")</f>
        <v/>
      </c>
      <c r="W11644" s="23" t="str">
        <f aca="false">IF(ISNUMBER(C11644),MONTH(C11644),"")</f>
        <v/>
      </c>
      <c r="X11644" s="23" t="str">
        <f aca="false">IF(T11644="","",IF(T11644=0,"No discount",IF(T11644&lt;=0.2,"Low (1-20%)",IF(T11644&lt;=0.4,"Medium (21-40%)","High (&gt;40%)"))))</f>
        <v/>
      </c>
      <c r="Y11644" s="23" t="str">
        <f aca="false">IF(AND(ISNUMBER(C11644),ISNUMBER(D11644)),D11644-C11644,"")</f>
        <v/>
      </c>
      <c r="Z11644" s="23" t="str">
        <f aca="false">IF(B11644="","",IF(MATCH(B11644,$B$2:$B$12000,0)=ROW()-1,1,0))</f>
        <v/>
      </c>
    </row>
    <row r="11645" customFormat="false" ht="15" hidden="false" customHeight="false" outlineLevel="0" collapsed="false">
      <c r="V11645" s="23" t="str">
        <f aca="false">IF(ISNUMBER(C11645),YEAR(C11645),"")</f>
        <v/>
      </c>
      <c r="W11645" s="23" t="str">
        <f aca="false">IF(ISNUMBER(C11645),MONTH(C11645),"")</f>
        <v/>
      </c>
      <c r="X11645" s="23" t="str">
        <f aca="false">IF(T11645="","",IF(T11645=0,"No discount",IF(T11645&lt;=0.2,"Low (1-20%)",IF(T11645&lt;=0.4,"Medium (21-40%)","High (&gt;40%)"))))</f>
        <v/>
      </c>
      <c r="Y11645" s="23" t="str">
        <f aca="false">IF(AND(ISNUMBER(C11645),ISNUMBER(D11645)),D11645-C11645,"")</f>
        <v/>
      </c>
      <c r="Z11645" s="23" t="str">
        <f aca="false">IF(B11645="","",IF(MATCH(B11645,$B$2:$B$12000,0)=ROW()-1,1,0))</f>
        <v/>
      </c>
    </row>
    <row r="11646" customFormat="false" ht="15" hidden="false" customHeight="false" outlineLevel="0" collapsed="false">
      <c r="V11646" s="23" t="str">
        <f aca="false">IF(ISNUMBER(C11646),YEAR(C11646),"")</f>
        <v/>
      </c>
      <c r="W11646" s="23" t="str">
        <f aca="false">IF(ISNUMBER(C11646),MONTH(C11646),"")</f>
        <v/>
      </c>
      <c r="X11646" s="23" t="str">
        <f aca="false">IF(T11646="","",IF(T11646=0,"No discount",IF(T11646&lt;=0.2,"Low (1-20%)",IF(T11646&lt;=0.4,"Medium (21-40%)","High (&gt;40%)"))))</f>
        <v/>
      </c>
      <c r="Y11646" s="23" t="str">
        <f aca="false">IF(AND(ISNUMBER(C11646),ISNUMBER(D11646)),D11646-C11646,"")</f>
        <v/>
      </c>
      <c r="Z11646" s="23" t="str">
        <f aca="false">IF(B11646="","",IF(MATCH(B11646,$B$2:$B$12000,0)=ROW()-1,1,0))</f>
        <v/>
      </c>
    </row>
    <row r="11647" customFormat="false" ht="15" hidden="false" customHeight="false" outlineLevel="0" collapsed="false">
      <c r="V11647" s="23" t="str">
        <f aca="false">IF(ISNUMBER(C11647),YEAR(C11647),"")</f>
        <v/>
      </c>
      <c r="W11647" s="23" t="str">
        <f aca="false">IF(ISNUMBER(C11647),MONTH(C11647),"")</f>
        <v/>
      </c>
      <c r="X11647" s="23" t="str">
        <f aca="false">IF(T11647="","",IF(T11647=0,"No discount",IF(T11647&lt;=0.2,"Low (1-20%)",IF(T11647&lt;=0.4,"Medium (21-40%)","High (&gt;40%)"))))</f>
        <v/>
      </c>
      <c r="Y11647" s="23" t="str">
        <f aca="false">IF(AND(ISNUMBER(C11647),ISNUMBER(D11647)),D11647-C11647,"")</f>
        <v/>
      </c>
      <c r="Z11647" s="23" t="str">
        <f aca="false">IF(B11647="","",IF(MATCH(B11647,$B$2:$B$12000,0)=ROW()-1,1,0))</f>
        <v/>
      </c>
    </row>
    <row r="11648" customFormat="false" ht="15" hidden="false" customHeight="false" outlineLevel="0" collapsed="false">
      <c r="V11648" s="23" t="str">
        <f aca="false">IF(ISNUMBER(C11648),YEAR(C11648),"")</f>
        <v/>
      </c>
      <c r="W11648" s="23" t="str">
        <f aca="false">IF(ISNUMBER(C11648),MONTH(C11648),"")</f>
        <v/>
      </c>
      <c r="X11648" s="23" t="str">
        <f aca="false">IF(T11648="","",IF(T11648=0,"No discount",IF(T11648&lt;=0.2,"Low (1-20%)",IF(T11648&lt;=0.4,"Medium (21-40%)","High (&gt;40%)"))))</f>
        <v/>
      </c>
      <c r="Y11648" s="23" t="str">
        <f aca="false">IF(AND(ISNUMBER(C11648),ISNUMBER(D11648)),D11648-C11648,"")</f>
        <v/>
      </c>
      <c r="Z11648" s="23" t="str">
        <f aca="false">IF(B11648="","",IF(MATCH(B11648,$B$2:$B$12000,0)=ROW()-1,1,0))</f>
        <v/>
      </c>
    </row>
    <row r="11649" customFormat="false" ht="15" hidden="false" customHeight="false" outlineLevel="0" collapsed="false">
      <c r="V11649" s="23" t="str">
        <f aca="false">IF(ISNUMBER(C11649),YEAR(C11649),"")</f>
        <v/>
      </c>
      <c r="W11649" s="23" t="str">
        <f aca="false">IF(ISNUMBER(C11649),MONTH(C11649),"")</f>
        <v/>
      </c>
      <c r="X11649" s="23" t="str">
        <f aca="false">IF(T11649="","",IF(T11649=0,"No discount",IF(T11649&lt;=0.2,"Low (1-20%)",IF(T11649&lt;=0.4,"Medium (21-40%)","High (&gt;40%)"))))</f>
        <v/>
      </c>
      <c r="Y11649" s="23" t="str">
        <f aca="false">IF(AND(ISNUMBER(C11649),ISNUMBER(D11649)),D11649-C11649,"")</f>
        <v/>
      </c>
      <c r="Z11649" s="23" t="str">
        <f aca="false">IF(B11649="","",IF(MATCH(B11649,$B$2:$B$12000,0)=ROW()-1,1,0))</f>
        <v/>
      </c>
    </row>
    <row r="11650" customFormat="false" ht="15" hidden="false" customHeight="false" outlineLevel="0" collapsed="false">
      <c r="V11650" s="23" t="str">
        <f aca="false">IF(ISNUMBER(C11650),YEAR(C11650),"")</f>
        <v/>
      </c>
      <c r="W11650" s="23" t="str">
        <f aca="false">IF(ISNUMBER(C11650),MONTH(C11650),"")</f>
        <v/>
      </c>
      <c r="X11650" s="23" t="str">
        <f aca="false">IF(T11650="","",IF(T11650=0,"No discount",IF(T11650&lt;=0.2,"Low (1-20%)",IF(T11650&lt;=0.4,"Medium (21-40%)","High (&gt;40%)"))))</f>
        <v/>
      </c>
      <c r="Y11650" s="23" t="str">
        <f aca="false">IF(AND(ISNUMBER(C11650),ISNUMBER(D11650)),D11650-C11650,"")</f>
        <v/>
      </c>
      <c r="Z11650" s="23" t="str">
        <f aca="false">IF(B11650="","",IF(MATCH(B11650,$B$2:$B$12000,0)=ROW()-1,1,0))</f>
        <v/>
      </c>
    </row>
    <row r="11651" customFormat="false" ht="15" hidden="false" customHeight="false" outlineLevel="0" collapsed="false">
      <c r="V11651" s="23" t="str">
        <f aca="false">IF(ISNUMBER(C11651),YEAR(C11651),"")</f>
        <v/>
      </c>
      <c r="W11651" s="23" t="str">
        <f aca="false">IF(ISNUMBER(C11651),MONTH(C11651),"")</f>
        <v/>
      </c>
      <c r="X11651" s="23" t="str">
        <f aca="false">IF(T11651="","",IF(T11651=0,"No discount",IF(T11651&lt;=0.2,"Low (1-20%)",IF(T11651&lt;=0.4,"Medium (21-40%)","High (&gt;40%)"))))</f>
        <v/>
      </c>
      <c r="Y11651" s="23" t="str">
        <f aca="false">IF(AND(ISNUMBER(C11651),ISNUMBER(D11651)),D11651-C11651,"")</f>
        <v/>
      </c>
      <c r="Z11651" s="23" t="str">
        <f aca="false">IF(B11651="","",IF(MATCH(B11651,$B$2:$B$12000,0)=ROW()-1,1,0))</f>
        <v/>
      </c>
    </row>
    <row r="11652" customFormat="false" ht="15" hidden="false" customHeight="false" outlineLevel="0" collapsed="false">
      <c r="V11652" s="23" t="str">
        <f aca="false">IF(ISNUMBER(C11652),YEAR(C11652),"")</f>
        <v/>
      </c>
      <c r="W11652" s="23" t="str">
        <f aca="false">IF(ISNUMBER(C11652),MONTH(C11652),"")</f>
        <v/>
      </c>
      <c r="X11652" s="23" t="str">
        <f aca="false">IF(T11652="","",IF(T11652=0,"No discount",IF(T11652&lt;=0.2,"Low (1-20%)",IF(T11652&lt;=0.4,"Medium (21-40%)","High (&gt;40%)"))))</f>
        <v/>
      </c>
      <c r="Y11652" s="23" t="str">
        <f aca="false">IF(AND(ISNUMBER(C11652),ISNUMBER(D11652)),D11652-C11652,"")</f>
        <v/>
      </c>
      <c r="Z11652" s="23" t="str">
        <f aca="false">IF(B11652="","",IF(MATCH(B11652,$B$2:$B$12000,0)=ROW()-1,1,0))</f>
        <v/>
      </c>
    </row>
    <row r="11653" customFormat="false" ht="15" hidden="false" customHeight="false" outlineLevel="0" collapsed="false">
      <c r="V11653" s="23" t="str">
        <f aca="false">IF(ISNUMBER(C11653),YEAR(C11653),"")</f>
        <v/>
      </c>
      <c r="W11653" s="23" t="str">
        <f aca="false">IF(ISNUMBER(C11653),MONTH(C11653),"")</f>
        <v/>
      </c>
      <c r="X11653" s="23" t="str">
        <f aca="false">IF(T11653="","",IF(T11653=0,"No discount",IF(T11653&lt;=0.2,"Low (1-20%)",IF(T11653&lt;=0.4,"Medium (21-40%)","High (&gt;40%)"))))</f>
        <v/>
      </c>
      <c r="Y11653" s="23" t="str">
        <f aca="false">IF(AND(ISNUMBER(C11653),ISNUMBER(D11653)),D11653-C11653,"")</f>
        <v/>
      </c>
      <c r="Z11653" s="23" t="str">
        <f aca="false">IF(B11653="","",IF(MATCH(B11653,$B$2:$B$12000,0)=ROW()-1,1,0))</f>
        <v/>
      </c>
    </row>
    <row r="11654" customFormat="false" ht="15" hidden="false" customHeight="false" outlineLevel="0" collapsed="false">
      <c r="V11654" s="23" t="str">
        <f aca="false">IF(ISNUMBER(C11654),YEAR(C11654),"")</f>
        <v/>
      </c>
      <c r="W11654" s="23" t="str">
        <f aca="false">IF(ISNUMBER(C11654),MONTH(C11654),"")</f>
        <v/>
      </c>
      <c r="X11654" s="23" t="str">
        <f aca="false">IF(T11654="","",IF(T11654=0,"No discount",IF(T11654&lt;=0.2,"Low (1-20%)",IF(T11654&lt;=0.4,"Medium (21-40%)","High (&gt;40%)"))))</f>
        <v/>
      </c>
      <c r="Y11654" s="23" t="str">
        <f aca="false">IF(AND(ISNUMBER(C11654),ISNUMBER(D11654)),D11654-C11654,"")</f>
        <v/>
      </c>
      <c r="Z11654" s="23" t="str">
        <f aca="false">IF(B11654="","",IF(MATCH(B11654,$B$2:$B$12000,0)=ROW()-1,1,0))</f>
        <v/>
      </c>
    </row>
    <row r="11655" customFormat="false" ht="15" hidden="false" customHeight="false" outlineLevel="0" collapsed="false">
      <c r="V11655" s="23" t="str">
        <f aca="false">IF(ISNUMBER(C11655),YEAR(C11655),"")</f>
        <v/>
      </c>
      <c r="W11655" s="23" t="str">
        <f aca="false">IF(ISNUMBER(C11655),MONTH(C11655),"")</f>
        <v/>
      </c>
      <c r="X11655" s="23" t="str">
        <f aca="false">IF(T11655="","",IF(T11655=0,"No discount",IF(T11655&lt;=0.2,"Low (1-20%)",IF(T11655&lt;=0.4,"Medium (21-40%)","High (&gt;40%)"))))</f>
        <v/>
      </c>
      <c r="Y11655" s="23" t="str">
        <f aca="false">IF(AND(ISNUMBER(C11655),ISNUMBER(D11655)),D11655-C11655,"")</f>
        <v/>
      </c>
      <c r="Z11655" s="23" t="str">
        <f aca="false">IF(B11655="","",IF(MATCH(B11655,$B$2:$B$12000,0)=ROW()-1,1,0))</f>
        <v/>
      </c>
    </row>
    <row r="11656" customFormat="false" ht="15" hidden="false" customHeight="false" outlineLevel="0" collapsed="false">
      <c r="V11656" s="23" t="str">
        <f aca="false">IF(ISNUMBER(C11656),YEAR(C11656),"")</f>
        <v/>
      </c>
      <c r="W11656" s="23" t="str">
        <f aca="false">IF(ISNUMBER(C11656),MONTH(C11656),"")</f>
        <v/>
      </c>
      <c r="X11656" s="23" t="str">
        <f aca="false">IF(T11656="","",IF(T11656=0,"No discount",IF(T11656&lt;=0.2,"Low (1-20%)",IF(T11656&lt;=0.4,"Medium (21-40%)","High (&gt;40%)"))))</f>
        <v/>
      </c>
      <c r="Y11656" s="23" t="str">
        <f aca="false">IF(AND(ISNUMBER(C11656),ISNUMBER(D11656)),D11656-C11656,"")</f>
        <v/>
      </c>
      <c r="Z11656" s="23" t="str">
        <f aca="false">IF(B11656="","",IF(MATCH(B11656,$B$2:$B$12000,0)=ROW()-1,1,0))</f>
        <v/>
      </c>
    </row>
    <row r="11657" customFormat="false" ht="15" hidden="false" customHeight="false" outlineLevel="0" collapsed="false">
      <c r="V11657" s="23" t="str">
        <f aca="false">IF(ISNUMBER(C11657),YEAR(C11657),"")</f>
        <v/>
      </c>
      <c r="W11657" s="23" t="str">
        <f aca="false">IF(ISNUMBER(C11657),MONTH(C11657),"")</f>
        <v/>
      </c>
      <c r="X11657" s="23" t="str">
        <f aca="false">IF(T11657="","",IF(T11657=0,"No discount",IF(T11657&lt;=0.2,"Low (1-20%)",IF(T11657&lt;=0.4,"Medium (21-40%)","High (&gt;40%)"))))</f>
        <v/>
      </c>
      <c r="Y11657" s="23" t="str">
        <f aca="false">IF(AND(ISNUMBER(C11657),ISNUMBER(D11657)),D11657-C11657,"")</f>
        <v/>
      </c>
      <c r="Z11657" s="23" t="str">
        <f aca="false">IF(B11657="","",IF(MATCH(B11657,$B$2:$B$12000,0)=ROW()-1,1,0))</f>
        <v/>
      </c>
    </row>
    <row r="11658" customFormat="false" ht="15" hidden="false" customHeight="false" outlineLevel="0" collapsed="false">
      <c r="V11658" s="23" t="str">
        <f aca="false">IF(ISNUMBER(C11658),YEAR(C11658),"")</f>
        <v/>
      </c>
      <c r="W11658" s="23" t="str">
        <f aca="false">IF(ISNUMBER(C11658),MONTH(C11658),"")</f>
        <v/>
      </c>
      <c r="X11658" s="23" t="str">
        <f aca="false">IF(T11658="","",IF(T11658=0,"No discount",IF(T11658&lt;=0.2,"Low (1-20%)",IF(T11658&lt;=0.4,"Medium (21-40%)","High (&gt;40%)"))))</f>
        <v/>
      </c>
      <c r="Y11658" s="23" t="str">
        <f aca="false">IF(AND(ISNUMBER(C11658),ISNUMBER(D11658)),D11658-C11658,"")</f>
        <v/>
      </c>
      <c r="Z11658" s="23" t="str">
        <f aca="false">IF(B11658="","",IF(MATCH(B11658,$B$2:$B$12000,0)=ROW()-1,1,0))</f>
        <v/>
      </c>
    </row>
    <row r="11659" customFormat="false" ht="15" hidden="false" customHeight="false" outlineLevel="0" collapsed="false">
      <c r="V11659" s="23" t="str">
        <f aca="false">IF(ISNUMBER(C11659),YEAR(C11659),"")</f>
        <v/>
      </c>
      <c r="W11659" s="23" t="str">
        <f aca="false">IF(ISNUMBER(C11659),MONTH(C11659),"")</f>
        <v/>
      </c>
      <c r="X11659" s="23" t="str">
        <f aca="false">IF(T11659="","",IF(T11659=0,"No discount",IF(T11659&lt;=0.2,"Low (1-20%)",IF(T11659&lt;=0.4,"Medium (21-40%)","High (&gt;40%)"))))</f>
        <v/>
      </c>
      <c r="Y11659" s="23" t="str">
        <f aca="false">IF(AND(ISNUMBER(C11659),ISNUMBER(D11659)),D11659-C11659,"")</f>
        <v/>
      </c>
      <c r="Z11659" s="23" t="str">
        <f aca="false">IF(B11659="","",IF(MATCH(B11659,$B$2:$B$12000,0)=ROW()-1,1,0))</f>
        <v/>
      </c>
    </row>
    <row r="11660" customFormat="false" ht="15" hidden="false" customHeight="false" outlineLevel="0" collapsed="false">
      <c r="V11660" s="23" t="str">
        <f aca="false">IF(ISNUMBER(C11660),YEAR(C11660),"")</f>
        <v/>
      </c>
      <c r="W11660" s="23" t="str">
        <f aca="false">IF(ISNUMBER(C11660),MONTH(C11660),"")</f>
        <v/>
      </c>
      <c r="X11660" s="23" t="str">
        <f aca="false">IF(T11660="","",IF(T11660=0,"No discount",IF(T11660&lt;=0.2,"Low (1-20%)",IF(T11660&lt;=0.4,"Medium (21-40%)","High (&gt;40%)"))))</f>
        <v/>
      </c>
      <c r="Y11660" s="23" t="str">
        <f aca="false">IF(AND(ISNUMBER(C11660),ISNUMBER(D11660)),D11660-C11660,"")</f>
        <v/>
      </c>
      <c r="Z11660" s="23" t="str">
        <f aca="false">IF(B11660="","",IF(MATCH(B11660,$B$2:$B$12000,0)=ROW()-1,1,0))</f>
        <v/>
      </c>
    </row>
    <row r="11661" customFormat="false" ht="15" hidden="false" customHeight="false" outlineLevel="0" collapsed="false">
      <c r="V11661" s="23" t="str">
        <f aca="false">IF(ISNUMBER(C11661),YEAR(C11661),"")</f>
        <v/>
      </c>
      <c r="W11661" s="23" t="str">
        <f aca="false">IF(ISNUMBER(C11661),MONTH(C11661),"")</f>
        <v/>
      </c>
      <c r="X11661" s="23" t="str">
        <f aca="false">IF(T11661="","",IF(T11661=0,"No discount",IF(T11661&lt;=0.2,"Low (1-20%)",IF(T11661&lt;=0.4,"Medium (21-40%)","High (&gt;40%)"))))</f>
        <v/>
      </c>
      <c r="Y11661" s="23" t="str">
        <f aca="false">IF(AND(ISNUMBER(C11661),ISNUMBER(D11661)),D11661-C11661,"")</f>
        <v/>
      </c>
      <c r="Z11661" s="23" t="str">
        <f aca="false">IF(B11661="","",IF(MATCH(B11661,$B$2:$B$12000,0)=ROW()-1,1,0))</f>
        <v/>
      </c>
    </row>
    <row r="11662" customFormat="false" ht="15" hidden="false" customHeight="false" outlineLevel="0" collapsed="false">
      <c r="V11662" s="23" t="str">
        <f aca="false">IF(ISNUMBER(C11662),YEAR(C11662),"")</f>
        <v/>
      </c>
      <c r="W11662" s="23" t="str">
        <f aca="false">IF(ISNUMBER(C11662),MONTH(C11662),"")</f>
        <v/>
      </c>
      <c r="X11662" s="23" t="str">
        <f aca="false">IF(T11662="","",IF(T11662=0,"No discount",IF(T11662&lt;=0.2,"Low (1-20%)",IF(T11662&lt;=0.4,"Medium (21-40%)","High (&gt;40%)"))))</f>
        <v/>
      </c>
      <c r="Y11662" s="23" t="str">
        <f aca="false">IF(AND(ISNUMBER(C11662),ISNUMBER(D11662)),D11662-C11662,"")</f>
        <v/>
      </c>
      <c r="Z11662" s="23" t="str">
        <f aca="false">IF(B11662="","",IF(MATCH(B11662,$B$2:$B$12000,0)=ROW()-1,1,0))</f>
        <v/>
      </c>
    </row>
    <row r="11663" customFormat="false" ht="15" hidden="false" customHeight="false" outlineLevel="0" collapsed="false">
      <c r="V11663" s="23" t="str">
        <f aca="false">IF(ISNUMBER(C11663),YEAR(C11663),"")</f>
        <v/>
      </c>
      <c r="W11663" s="23" t="str">
        <f aca="false">IF(ISNUMBER(C11663),MONTH(C11663),"")</f>
        <v/>
      </c>
      <c r="X11663" s="23" t="str">
        <f aca="false">IF(T11663="","",IF(T11663=0,"No discount",IF(T11663&lt;=0.2,"Low (1-20%)",IF(T11663&lt;=0.4,"Medium (21-40%)","High (&gt;40%)"))))</f>
        <v/>
      </c>
      <c r="Y11663" s="23" t="str">
        <f aca="false">IF(AND(ISNUMBER(C11663),ISNUMBER(D11663)),D11663-C11663,"")</f>
        <v/>
      </c>
      <c r="Z11663" s="23" t="str">
        <f aca="false">IF(B11663="","",IF(MATCH(B11663,$B$2:$B$12000,0)=ROW()-1,1,0))</f>
        <v/>
      </c>
    </row>
    <row r="11664" customFormat="false" ht="15" hidden="false" customHeight="false" outlineLevel="0" collapsed="false">
      <c r="V11664" s="23" t="str">
        <f aca="false">IF(ISNUMBER(C11664),YEAR(C11664),"")</f>
        <v/>
      </c>
      <c r="W11664" s="23" t="str">
        <f aca="false">IF(ISNUMBER(C11664),MONTH(C11664),"")</f>
        <v/>
      </c>
      <c r="X11664" s="23" t="str">
        <f aca="false">IF(T11664="","",IF(T11664=0,"No discount",IF(T11664&lt;=0.2,"Low (1-20%)",IF(T11664&lt;=0.4,"Medium (21-40%)","High (&gt;40%)"))))</f>
        <v/>
      </c>
      <c r="Y11664" s="23" t="str">
        <f aca="false">IF(AND(ISNUMBER(C11664),ISNUMBER(D11664)),D11664-C11664,"")</f>
        <v/>
      </c>
      <c r="Z11664" s="23" t="str">
        <f aca="false">IF(B11664="","",IF(MATCH(B11664,$B$2:$B$12000,0)=ROW()-1,1,0))</f>
        <v/>
      </c>
    </row>
    <row r="11665" customFormat="false" ht="15" hidden="false" customHeight="false" outlineLevel="0" collapsed="false">
      <c r="V11665" s="23" t="str">
        <f aca="false">IF(ISNUMBER(C11665),YEAR(C11665),"")</f>
        <v/>
      </c>
      <c r="W11665" s="23" t="str">
        <f aca="false">IF(ISNUMBER(C11665),MONTH(C11665),"")</f>
        <v/>
      </c>
      <c r="X11665" s="23" t="str">
        <f aca="false">IF(T11665="","",IF(T11665=0,"No discount",IF(T11665&lt;=0.2,"Low (1-20%)",IF(T11665&lt;=0.4,"Medium (21-40%)","High (&gt;40%)"))))</f>
        <v/>
      </c>
      <c r="Y11665" s="23" t="str">
        <f aca="false">IF(AND(ISNUMBER(C11665),ISNUMBER(D11665)),D11665-C11665,"")</f>
        <v/>
      </c>
      <c r="Z11665" s="23" t="str">
        <f aca="false">IF(B11665="","",IF(MATCH(B11665,$B$2:$B$12000,0)=ROW()-1,1,0))</f>
        <v/>
      </c>
    </row>
    <row r="11666" customFormat="false" ht="15" hidden="false" customHeight="false" outlineLevel="0" collapsed="false">
      <c r="V11666" s="23" t="str">
        <f aca="false">IF(ISNUMBER(C11666),YEAR(C11666),"")</f>
        <v/>
      </c>
      <c r="W11666" s="23" t="str">
        <f aca="false">IF(ISNUMBER(C11666),MONTH(C11666),"")</f>
        <v/>
      </c>
      <c r="X11666" s="23" t="str">
        <f aca="false">IF(T11666="","",IF(T11666=0,"No discount",IF(T11666&lt;=0.2,"Low (1-20%)",IF(T11666&lt;=0.4,"Medium (21-40%)","High (&gt;40%)"))))</f>
        <v/>
      </c>
      <c r="Y11666" s="23" t="str">
        <f aca="false">IF(AND(ISNUMBER(C11666),ISNUMBER(D11666)),D11666-C11666,"")</f>
        <v/>
      </c>
      <c r="Z11666" s="23" t="str">
        <f aca="false">IF(B11666="","",IF(MATCH(B11666,$B$2:$B$12000,0)=ROW()-1,1,0))</f>
        <v/>
      </c>
    </row>
    <row r="11667" customFormat="false" ht="15" hidden="false" customHeight="false" outlineLevel="0" collapsed="false">
      <c r="V11667" s="23" t="str">
        <f aca="false">IF(ISNUMBER(C11667),YEAR(C11667),"")</f>
        <v/>
      </c>
      <c r="W11667" s="23" t="str">
        <f aca="false">IF(ISNUMBER(C11667),MONTH(C11667),"")</f>
        <v/>
      </c>
      <c r="X11667" s="23" t="str">
        <f aca="false">IF(T11667="","",IF(T11667=0,"No discount",IF(T11667&lt;=0.2,"Low (1-20%)",IF(T11667&lt;=0.4,"Medium (21-40%)","High (&gt;40%)"))))</f>
        <v/>
      </c>
      <c r="Y11667" s="23" t="str">
        <f aca="false">IF(AND(ISNUMBER(C11667),ISNUMBER(D11667)),D11667-C11667,"")</f>
        <v/>
      </c>
      <c r="Z11667" s="23" t="str">
        <f aca="false">IF(B11667="","",IF(MATCH(B11667,$B$2:$B$12000,0)=ROW()-1,1,0))</f>
        <v/>
      </c>
    </row>
    <row r="11668" customFormat="false" ht="15" hidden="false" customHeight="false" outlineLevel="0" collapsed="false">
      <c r="V11668" s="23" t="str">
        <f aca="false">IF(ISNUMBER(C11668),YEAR(C11668),"")</f>
        <v/>
      </c>
      <c r="W11668" s="23" t="str">
        <f aca="false">IF(ISNUMBER(C11668),MONTH(C11668),"")</f>
        <v/>
      </c>
      <c r="X11668" s="23" t="str">
        <f aca="false">IF(T11668="","",IF(T11668=0,"No discount",IF(T11668&lt;=0.2,"Low (1-20%)",IF(T11668&lt;=0.4,"Medium (21-40%)","High (&gt;40%)"))))</f>
        <v/>
      </c>
      <c r="Y11668" s="23" t="str">
        <f aca="false">IF(AND(ISNUMBER(C11668),ISNUMBER(D11668)),D11668-C11668,"")</f>
        <v/>
      </c>
      <c r="Z11668" s="23" t="str">
        <f aca="false">IF(B11668="","",IF(MATCH(B11668,$B$2:$B$12000,0)=ROW()-1,1,0))</f>
        <v/>
      </c>
    </row>
    <row r="11669" customFormat="false" ht="15" hidden="false" customHeight="false" outlineLevel="0" collapsed="false">
      <c r="V11669" s="23" t="str">
        <f aca="false">IF(ISNUMBER(C11669),YEAR(C11669),"")</f>
        <v/>
      </c>
      <c r="W11669" s="23" t="str">
        <f aca="false">IF(ISNUMBER(C11669),MONTH(C11669),"")</f>
        <v/>
      </c>
      <c r="X11669" s="23" t="str">
        <f aca="false">IF(T11669="","",IF(T11669=0,"No discount",IF(T11669&lt;=0.2,"Low (1-20%)",IF(T11669&lt;=0.4,"Medium (21-40%)","High (&gt;40%)"))))</f>
        <v/>
      </c>
      <c r="Y11669" s="23" t="str">
        <f aca="false">IF(AND(ISNUMBER(C11669),ISNUMBER(D11669)),D11669-C11669,"")</f>
        <v/>
      </c>
      <c r="Z11669" s="23" t="str">
        <f aca="false">IF(B11669="","",IF(MATCH(B11669,$B$2:$B$12000,0)=ROW()-1,1,0))</f>
        <v/>
      </c>
    </row>
    <row r="11670" customFormat="false" ht="15" hidden="false" customHeight="false" outlineLevel="0" collapsed="false">
      <c r="V11670" s="23" t="str">
        <f aca="false">IF(ISNUMBER(C11670),YEAR(C11670),"")</f>
        <v/>
      </c>
      <c r="W11670" s="23" t="str">
        <f aca="false">IF(ISNUMBER(C11670),MONTH(C11670),"")</f>
        <v/>
      </c>
      <c r="X11670" s="23" t="str">
        <f aca="false">IF(T11670="","",IF(T11670=0,"No discount",IF(T11670&lt;=0.2,"Low (1-20%)",IF(T11670&lt;=0.4,"Medium (21-40%)","High (&gt;40%)"))))</f>
        <v/>
      </c>
      <c r="Y11670" s="23" t="str">
        <f aca="false">IF(AND(ISNUMBER(C11670),ISNUMBER(D11670)),D11670-C11670,"")</f>
        <v/>
      </c>
      <c r="Z11670" s="23" t="str">
        <f aca="false">IF(B11670="","",IF(MATCH(B11670,$B$2:$B$12000,0)=ROW()-1,1,0))</f>
        <v/>
      </c>
    </row>
    <row r="11671" customFormat="false" ht="15" hidden="false" customHeight="false" outlineLevel="0" collapsed="false">
      <c r="V11671" s="23" t="str">
        <f aca="false">IF(ISNUMBER(C11671),YEAR(C11671),"")</f>
        <v/>
      </c>
      <c r="W11671" s="23" t="str">
        <f aca="false">IF(ISNUMBER(C11671),MONTH(C11671),"")</f>
        <v/>
      </c>
      <c r="X11671" s="23" t="str">
        <f aca="false">IF(T11671="","",IF(T11671=0,"No discount",IF(T11671&lt;=0.2,"Low (1-20%)",IF(T11671&lt;=0.4,"Medium (21-40%)","High (&gt;40%)"))))</f>
        <v/>
      </c>
      <c r="Y11671" s="23" t="str">
        <f aca="false">IF(AND(ISNUMBER(C11671),ISNUMBER(D11671)),D11671-C11671,"")</f>
        <v/>
      </c>
      <c r="Z11671" s="23" t="str">
        <f aca="false">IF(B11671="","",IF(MATCH(B11671,$B$2:$B$12000,0)=ROW()-1,1,0))</f>
        <v/>
      </c>
    </row>
    <row r="11672" customFormat="false" ht="15" hidden="false" customHeight="false" outlineLevel="0" collapsed="false">
      <c r="V11672" s="23" t="str">
        <f aca="false">IF(ISNUMBER(C11672),YEAR(C11672),"")</f>
        <v/>
      </c>
      <c r="W11672" s="23" t="str">
        <f aca="false">IF(ISNUMBER(C11672),MONTH(C11672),"")</f>
        <v/>
      </c>
      <c r="X11672" s="23" t="str">
        <f aca="false">IF(T11672="","",IF(T11672=0,"No discount",IF(T11672&lt;=0.2,"Low (1-20%)",IF(T11672&lt;=0.4,"Medium (21-40%)","High (&gt;40%)"))))</f>
        <v/>
      </c>
      <c r="Y11672" s="23" t="str">
        <f aca="false">IF(AND(ISNUMBER(C11672),ISNUMBER(D11672)),D11672-C11672,"")</f>
        <v/>
      </c>
      <c r="Z11672" s="23" t="str">
        <f aca="false">IF(B11672="","",IF(MATCH(B11672,$B$2:$B$12000,0)=ROW()-1,1,0))</f>
        <v/>
      </c>
    </row>
    <row r="11673" customFormat="false" ht="15" hidden="false" customHeight="false" outlineLevel="0" collapsed="false">
      <c r="V11673" s="23" t="str">
        <f aca="false">IF(ISNUMBER(C11673),YEAR(C11673),"")</f>
        <v/>
      </c>
      <c r="W11673" s="23" t="str">
        <f aca="false">IF(ISNUMBER(C11673),MONTH(C11673),"")</f>
        <v/>
      </c>
      <c r="X11673" s="23" t="str">
        <f aca="false">IF(T11673="","",IF(T11673=0,"No discount",IF(T11673&lt;=0.2,"Low (1-20%)",IF(T11673&lt;=0.4,"Medium (21-40%)","High (&gt;40%)"))))</f>
        <v/>
      </c>
      <c r="Y11673" s="23" t="str">
        <f aca="false">IF(AND(ISNUMBER(C11673),ISNUMBER(D11673)),D11673-C11673,"")</f>
        <v/>
      </c>
      <c r="Z11673" s="23" t="str">
        <f aca="false">IF(B11673="","",IF(MATCH(B11673,$B$2:$B$12000,0)=ROW()-1,1,0))</f>
        <v/>
      </c>
    </row>
    <row r="11674" customFormat="false" ht="15" hidden="false" customHeight="false" outlineLevel="0" collapsed="false">
      <c r="V11674" s="23" t="str">
        <f aca="false">IF(ISNUMBER(C11674),YEAR(C11674),"")</f>
        <v/>
      </c>
      <c r="W11674" s="23" t="str">
        <f aca="false">IF(ISNUMBER(C11674),MONTH(C11674),"")</f>
        <v/>
      </c>
      <c r="X11674" s="23" t="str">
        <f aca="false">IF(T11674="","",IF(T11674=0,"No discount",IF(T11674&lt;=0.2,"Low (1-20%)",IF(T11674&lt;=0.4,"Medium (21-40%)","High (&gt;40%)"))))</f>
        <v/>
      </c>
      <c r="Y11674" s="23" t="str">
        <f aca="false">IF(AND(ISNUMBER(C11674),ISNUMBER(D11674)),D11674-C11674,"")</f>
        <v/>
      </c>
      <c r="Z11674" s="23" t="str">
        <f aca="false">IF(B11674="","",IF(MATCH(B11674,$B$2:$B$12000,0)=ROW()-1,1,0))</f>
        <v/>
      </c>
    </row>
    <row r="11675" customFormat="false" ht="15" hidden="false" customHeight="false" outlineLevel="0" collapsed="false">
      <c r="V11675" s="23" t="str">
        <f aca="false">IF(ISNUMBER(C11675),YEAR(C11675),"")</f>
        <v/>
      </c>
      <c r="W11675" s="23" t="str">
        <f aca="false">IF(ISNUMBER(C11675),MONTH(C11675),"")</f>
        <v/>
      </c>
      <c r="X11675" s="23" t="str">
        <f aca="false">IF(T11675="","",IF(T11675=0,"No discount",IF(T11675&lt;=0.2,"Low (1-20%)",IF(T11675&lt;=0.4,"Medium (21-40%)","High (&gt;40%)"))))</f>
        <v/>
      </c>
      <c r="Y11675" s="23" t="str">
        <f aca="false">IF(AND(ISNUMBER(C11675),ISNUMBER(D11675)),D11675-C11675,"")</f>
        <v/>
      </c>
      <c r="Z11675" s="23" t="str">
        <f aca="false">IF(B11675="","",IF(MATCH(B11675,$B$2:$B$12000,0)=ROW()-1,1,0))</f>
        <v/>
      </c>
    </row>
    <row r="11676" customFormat="false" ht="15" hidden="false" customHeight="false" outlineLevel="0" collapsed="false">
      <c r="V11676" s="23" t="str">
        <f aca="false">IF(ISNUMBER(C11676),YEAR(C11676),"")</f>
        <v/>
      </c>
      <c r="W11676" s="23" t="str">
        <f aca="false">IF(ISNUMBER(C11676),MONTH(C11676),"")</f>
        <v/>
      </c>
      <c r="X11676" s="23" t="str">
        <f aca="false">IF(T11676="","",IF(T11676=0,"No discount",IF(T11676&lt;=0.2,"Low (1-20%)",IF(T11676&lt;=0.4,"Medium (21-40%)","High (&gt;40%)"))))</f>
        <v/>
      </c>
      <c r="Y11676" s="23" t="str">
        <f aca="false">IF(AND(ISNUMBER(C11676),ISNUMBER(D11676)),D11676-C11676,"")</f>
        <v/>
      </c>
      <c r="Z11676" s="23" t="str">
        <f aca="false">IF(B11676="","",IF(MATCH(B11676,$B$2:$B$12000,0)=ROW()-1,1,0))</f>
        <v/>
      </c>
    </row>
    <row r="11677" customFormat="false" ht="15" hidden="false" customHeight="false" outlineLevel="0" collapsed="false">
      <c r="V11677" s="23" t="str">
        <f aca="false">IF(ISNUMBER(C11677),YEAR(C11677),"")</f>
        <v/>
      </c>
      <c r="W11677" s="23" t="str">
        <f aca="false">IF(ISNUMBER(C11677),MONTH(C11677),"")</f>
        <v/>
      </c>
      <c r="X11677" s="23" t="str">
        <f aca="false">IF(T11677="","",IF(T11677=0,"No discount",IF(T11677&lt;=0.2,"Low (1-20%)",IF(T11677&lt;=0.4,"Medium (21-40%)","High (&gt;40%)"))))</f>
        <v/>
      </c>
      <c r="Y11677" s="23" t="str">
        <f aca="false">IF(AND(ISNUMBER(C11677),ISNUMBER(D11677)),D11677-C11677,"")</f>
        <v/>
      </c>
      <c r="Z11677" s="23" t="str">
        <f aca="false">IF(B11677="","",IF(MATCH(B11677,$B$2:$B$12000,0)=ROW()-1,1,0))</f>
        <v/>
      </c>
    </row>
    <row r="11678" customFormat="false" ht="15" hidden="false" customHeight="false" outlineLevel="0" collapsed="false">
      <c r="V11678" s="23" t="str">
        <f aca="false">IF(ISNUMBER(C11678),YEAR(C11678),"")</f>
        <v/>
      </c>
      <c r="W11678" s="23" t="str">
        <f aca="false">IF(ISNUMBER(C11678),MONTH(C11678),"")</f>
        <v/>
      </c>
      <c r="X11678" s="23" t="str">
        <f aca="false">IF(T11678="","",IF(T11678=0,"No discount",IF(T11678&lt;=0.2,"Low (1-20%)",IF(T11678&lt;=0.4,"Medium (21-40%)","High (&gt;40%)"))))</f>
        <v/>
      </c>
      <c r="Y11678" s="23" t="str">
        <f aca="false">IF(AND(ISNUMBER(C11678),ISNUMBER(D11678)),D11678-C11678,"")</f>
        <v/>
      </c>
      <c r="Z11678" s="23" t="str">
        <f aca="false">IF(B11678="","",IF(MATCH(B11678,$B$2:$B$12000,0)=ROW()-1,1,0))</f>
        <v/>
      </c>
    </row>
    <row r="11679" customFormat="false" ht="15" hidden="false" customHeight="false" outlineLevel="0" collapsed="false">
      <c r="V11679" s="23" t="str">
        <f aca="false">IF(ISNUMBER(C11679),YEAR(C11679),"")</f>
        <v/>
      </c>
      <c r="W11679" s="23" t="str">
        <f aca="false">IF(ISNUMBER(C11679),MONTH(C11679),"")</f>
        <v/>
      </c>
      <c r="X11679" s="23" t="str">
        <f aca="false">IF(T11679="","",IF(T11679=0,"No discount",IF(T11679&lt;=0.2,"Low (1-20%)",IF(T11679&lt;=0.4,"Medium (21-40%)","High (&gt;40%)"))))</f>
        <v/>
      </c>
      <c r="Y11679" s="23" t="str">
        <f aca="false">IF(AND(ISNUMBER(C11679),ISNUMBER(D11679)),D11679-C11679,"")</f>
        <v/>
      </c>
      <c r="Z11679" s="23" t="str">
        <f aca="false">IF(B11679="","",IF(MATCH(B11679,$B$2:$B$12000,0)=ROW()-1,1,0))</f>
        <v/>
      </c>
    </row>
    <row r="11680" customFormat="false" ht="15" hidden="false" customHeight="false" outlineLevel="0" collapsed="false">
      <c r="V11680" s="23" t="str">
        <f aca="false">IF(ISNUMBER(C11680),YEAR(C11680),"")</f>
        <v/>
      </c>
      <c r="W11680" s="23" t="str">
        <f aca="false">IF(ISNUMBER(C11680),MONTH(C11680),"")</f>
        <v/>
      </c>
      <c r="X11680" s="23" t="str">
        <f aca="false">IF(T11680="","",IF(T11680=0,"No discount",IF(T11680&lt;=0.2,"Low (1-20%)",IF(T11680&lt;=0.4,"Medium (21-40%)","High (&gt;40%)"))))</f>
        <v/>
      </c>
      <c r="Y11680" s="23" t="str">
        <f aca="false">IF(AND(ISNUMBER(C11680),ISNUMBER(D11680)),D11680-C11680,"")</f>
        <v/>
      </c>
      <c r="Z11680" s="23" t="str">
        <f aca="false">IF(B11680="","",IF(MATCH(B11680,$B$2:$B$12000,0)=ROW()-1,1,0))</f>
        <v/>
      </c>
    </row>
    <row r="11681" customFormat="false" ht="15" hidden="false" customHeight="false" outlineLevel="0" collapsed="false">
      <c r="V11681" s="23" t="str">
        <f aca="false">IF(ISNUMBER(C11681),YEAR(C11681),"")</f>
        <v/>
      </c>
      <c r="W11681" s="23" t="str">
        <f aca="false">IF(ISNUMBER(C11681),MONTH(C11681),"")</f>
        <v/>
      </c>
      <c r="X11681" s="23" t="str">
        <f aca="false">IF(T11681="","",IF(T11681=0,"No discount",IF(T11681&lt;=0.2,"Low (1-20%)",IF(T11681&lt;=0.4,"Medium (21-40%)","High (&gt;40%)"))))</f>
        <v/>
      </c>
      <c r="Y11681" s="23" t="str">
        <f aca="false">IF(AND(ISNUMBER(C11681),ISNUMBER(D11681)),D11681-C11681,"")</f>
        <v/>
      </c>
      <c r="Z11681" s="23" t="str">
        <f aca="false">IF(B11681="","",IF(MATCH(B11681,$B$2:$B$12000,0)=ROW()-1,1,0))</f>
        <v/>
      </c>
    </row>
    <row r="11682" customFormat="false" ht="15" hidden="false" customHeight="false" outlineLevel="0" collapsed="false">
      <c r="V11682" s="23" t="str">
        <f aca="false">IF(ISNUMBER(C11682),YEAR(C11682),"")</f>
        <v/>
      </c>
      <c r="W11682" s="23" t="str">
        <f aca="false">IF(ISNUMBER(C11682),MONTH(C11682),"")</f>
        <v/>
      </c>
      <c r="X11682" s="23" t="str">
        <f aca="false">IF(T11682="","",IF(T11682=0,"No discount",IF(T11682&lt;=0.2,"Low (1-20%)",IF(T11682&lt;=0.4,"Medium (21-40%)","High (&gt;40%)"))))</f>
        <v/>
      </c>
      <c r="Y11682" s="23" t="str">
        <f aca="false">IF(AND(ISNUMBER(C11682),ISNUMBER(D11682)),D11682-C11682,"")</f>
        <v/>
      </c>
      <c r="Z11682" s="23" t="str">
        <f aca="false">IF(B11682="","",IF(MATCH(B11682,$B$2:$B$12000,0)=ROW()-1,1,0))</f>
        <v/>
      </c>
    </row>
    <row r="11683" customFormat="false" ht="15" hidden="false" customHeight="false" outlineLevel="0" collapsed="false">
      <c r="V11683" s="23" t="str">
        <f aca="false">IF(ISNUMBER(C11683),YEAR(C11683),"")</f>
        <v/>
      </c>
      <c r="W11683" s="23" t="str">
        <f aca="false">IF(ISNUMBER(C11683),MONTH(C11683),"")</f>
        <v/>
      </c>
      <c r="X11683" s="23" t="str">
        <f aca="false">IF(T11683="","",IF(T11683=0,"No discount",IF(T11683&lt;=0.2,"Low (1-20%)",IF(T11683&lt;=0.4,"Medium (21-40%)","High (&gt;40%)"))))</f>
        <v/>
      </c>
      <c r="Y11683" s="23" t="str">
        <f aca="false">IF(AND(ISNUMBER(C11683),ISNUMBER(D11683)),D11683-C11683,"")</f>
        <v/>
      </c>
      <c r="Z11683" s="23" t="str">
        <f aca="false">IF(B11683="","",IF(MATCH(B11683,$B$2:$B$12000,0)=ROW()-1,1,0))</f>
        <v/>
      </c>
    </row>
    <row r="11684" customFormat="false" ht="15" hidden="false" customHeight="false" outlineLevel="0" collapsed="false">
      <c r="V11684" s="23" t="str">
        <f aca="false">IF(ISNUMBER(C11684),YEAR(C11684),"")</f>
        <v/>
      </c>
      <c r="W11684" s="23" t="str">
        <f aca="false">IF(ISNUMBER(C11684),MONTH(C11684),"")</f>
        <v/>
      </c>
      <c r="X11684" s="23" t="str">
        <f aca="false">IF(T11684="","",IF(T11684=0,"No discount",IF(T11684&lt;=0.2,"Low (1-20%)",IF(T11684&lt;=0.4,"Medium (21-40%)","High (&gt;40%)"))))</f>
        <v/>
      </c>
      <c r="Y11684" s="23" t="str">
        <f aca="false">IF(AND(ISNUMBER(C11684),ISNUMBER(D11684)),D11684-C11684,"")</f>
        <v/>
      </c>
      <c r="Z11684" s="23" t="str">
        <f aca="false">IF(B11684="","",IF(MATCH(B11684,$B$2:$B$12000,0)=ROW()-1,1,0))</f>
        <v/>
      </c>
    </row>
    <row r="11685" customFormat="false" ht="15" hidden="false" customHeight="false" outlineLevel="0" collapsed="false">
      <c r="V11685" s="23" t="str">
        <f aca="false">IF(ISNUMBER(C11685),YEAR(C11685),"")</f>
        <v/>
      </c>
      <c r="W11685" s="23" t="str">
        <f aca="false">IF(ISNUMBER(C11685),MONTH(C11685),"")</f>
        <v/>
      </c>
      <c r="X11685" s="23" t="str">
        <f aca="false">IF(T11685="","",IF(T11685=0,"No discount",IF(T11685&lt;=0.2,"Low (1-20%)",IF(T11685&lt;=0.4,"Medium (21-40%)","High (&gt;40%)"))))</f>
        <v/>
      </c>
      <c r="Y11685" s="23" t="str">
        <f aca="false">IF(AND(ISNUMBER(C11685),ISNUMBER(D11685)),D11685-C11685,"")</f>
        <v/>
      </c>
      <c r="Z11685" s="23" t="str">
        <f aca="false">IF(B11685="","",IF(MATCH(B11685,$B$2:$B$12000,0)=ROW()-1,1,0))</f>
        <v/>
      </c>
    </row>
    <row r="11686" customFormat="false" ht="15" hidden="false" customHeight="false" outlineLevel="0" collapsed="false">
      <c r="V11686" s="23" t="str">
        <f aca="false">IF(ISNUMBER(C11686),YEAR(C11686),"")</f>
        <v/>
      </c>
      <c r="W11686" s="23" t="str">
        <f aca="false">IF(ISNUMBER(C11686),MONTH(C11686),"")</f>
        <v/>
      </c>
      <c r="X11686" s="23" t="str">
        <f aca="false">IF(T11686="","",IF(T11686=0,"No discount",IF(T11686&lt;=0.2,"Low (1-20%)",IF(T11686&lt;=0.4,"Medium (21-40%)","High (&gt;40%)"))))</f>
        <v/>
      </c>
      <c r="Y11686" s="23" t="str">
        <f aca="false">IF(AND(ISNUMBER(C11686),ISNUMBER(D11686)),D11686-C11686,"")</f>
        <v/>
      </c>
      <c r="Z11686" s="23" t="str">
        <f aca="false">IF(B11686="","",IF(MATCH(B11686,$B$2:$B$12000,0)=ROW()-1,1,0))</f>
        <v/>
      </c>
    </row>
    <row r="11687" customFormat="false" ht="15" hidden="false" customHeight="false" outlineLevel="0" collapsed="false">
      <c r="V11687" s="23" t="str">
        <f aca="false">IF(ISNUMBER(C11687),YEAR(C11687),"")</f>
        <v/>
      </c>
      <c r="W11687" s="23" t="str">
        <f aca="false">IF(ISNUMBER(C11687),MONTH(C11687),"")</f>
        <v/>
      </c>
      <c r="X11687" s="23" t="str">
        <f aca="false">IF(T11687="","",IF(T11687=0,"No discount",IF(T11687&lt;=0.2,"Low (1-20%)",IF(T11687&lt;=0.4,"Medium (21-40%)","High (&gt;40%)"))))</f>
        <v/>
      </c>
      <c r="Y11687" s="23" t="str">
        <f aca="false">IF(AND(ISNUMBER(C11687),ISNUMBER(D11687)),D11687-C11687,"")</f>
        <v/>
      </c>
      <c r="Z11687" s="23" t="str">
        <f aca="false">IF(B11687="","",IF(MATCH(B11687,$B$2:$B$12000,0)=ROW()-1,1,0))</f>
        <v/>
      </c>
    </row>
    <row r="11688" customFormat="false" ht="15" hidden="false" customHeight="false" outlineLevel="0" collapsed="false">
      <c r="V11688" s="23" t="str">
        <f aca="false">IF(ISNUMBER(C11688),YEAR(C11688),"")</f>
        <v/>
      </c>
      <c r="W11688" s="23" t="str">
        <f aca="false">IF(ISNUMBER(C11688),MONTH(C11688),"")</f>
        <v/>
      </c>
      <c r="X11688" s="23" t="str">
        <f aca="false">IF(T11688="","",IF(T11688=0,"No discount",IF(T11688&lt;=0.2,"Low (1-20%)",IF(T11688&lt;=0.4,"Medium (21-40%)","High (&gt;40%)"))))</f>
        <v/>
      </c>
      <c r="Y11688" s="23" t="str">
        <f aca="false">IF(AND(ISNUMBER(C11688),ISNUMBER(D11688)),D11688-C11688,"")</f>
        <v/>
      </c>
      <c r="Z11688" s="23" t="str">
        <f aca="false">IF(B11688="","",IF(MATCH(B11688,$B$2:$B$12000,0)=ROW()-1,1,0))</f>
        <v/>
      </c>
    </row>
    <row r="11689" customFormat="false" ht="15" hidden="false" customHeight="false" outlineLevel="0" collapsed="false">
      <c r="V11689" s="23" t="str">
        <f aca="false">IF(ISNUMBER(C11689),YEAR(C11689),"")</f>
        <v/>
      </c>
      <c r="W11689" s="23" t="str">
        <f aca="false">IF(ISNUMBER(C11689),MONTH(C11689),"")</f>
        <v/>
      </c>
      <c r="X11689" s="23" t="str">
        <f aca="false">IF(T11689="","",IF(T11689=0,"No discount",IF(T11689&lt;=0.2,"Low (1-20%)",IF(T11689&lt;=0.4,"Medium (21-40%)","High (&gt;40%)"))))</f>
        <v/>
      </c>
      <c r="Y11689" s="23" t="str">
        <f aca="false">IF(AND(ISNUMBER(C11689),ISNUMBER(D11689)),D11689-C11689,"")</f>
        <v/>
      </c>
      <c r="Z11689" s="23" t="str">
        <f aca="false">IF(B11689="","",IF(MATCH(B11689,$B$2:$B$12000,0)=ROW()-1,1,0))</f>
        <v/>
      </c>
    </row>
    <row r="11690" customFormat="false" ht="15" hidden="false" customHeight="false" outlineLevel="0" collapsed="false">
      <c r="V11690" s="23" t="str">
        <f aca="false">IF(ISNUMBER(C11690),YEAR(C11690),"")</f>
        <v/>
      </c>
      <c r="W11690" s="23" t="str">
        <f aca="false">IF(ISNUMBER(C11690),MONTH(C11690),"")</f>
        <v/>
      </c>
      <c r="X11690" s="23" t="str">
        <f aca="false">IF(T11690="","",IF(T11690=0,"No discount",IF(T11690&lt;=0.2,"Low (1-20%)",IF(T11690&lt;=0.4,"Medium (21-40%)","High (&gt;40%)"))))</f>
        <v/>
      </c>
      <c r="Y11690" s="23" t="str">
        <f aca="false">IF(AND(ISNUMBER(C11690),ISNUMBER(D11690)),D11690-C11690,"")</f>
        <v/>
      </c>
      <c r="Z11690" s="23" t="str">
        <f aca="false">IF(B11690="","",IF(MATCH(B11690,$B$2:$B$12000,0)=ROW()-1,1,0))</f>
        <v/>
      </c>
    </row>
    <row r="11691" customFormat="false" ht="15" hidden="false" customHeight="false" outlineLevel="0" collapsed="false">
      <c r="V11691" s="23" t="str">
        <f aca="false">IF(ISNUMBER(C11691),YEAR(C11691),"")</f>
        <v/>
      </c>
      <c r="W11691" s="23" t="str">
        <f aca="false">IF(ISNUMBER(C11691),MONTH(C11691),"")</f>
        <v/>
      </c>
      <c r="X11691" s="23" t="str">
        <f aca="false">IF(T11691="","",IF(T11691=0,"No discount",IF(T11691&lt;=0.2,"Low (1-20%)",IF(T11691&lt;=0.4,"Medium (21-40%)","High (&gt;40%)"))))</f>
        <v/>
      </c>
      <c r="Y11691" s="23" t="str">
        <f aca="false">IF(AND(ISNUMBER(C11691),ISNUMBER(D11691)),D11691-C11691,"")</f>
        <v/>
      </c>
      <c r="Z11691" s="23" t="str">
        <f aca="false">IF(B11691="","",IF(MATCH(B11691,$B$2:$B$12000,0)=ROW()-1,1,0))</f>
        <v/>
      </c>
    </row>
    <row r="11692" customFormat="false" ht="15" hidden="false" customHeight="false" outlineLevel="0" collapsed="false">
      <c r="V11692" s="23" t="str">
        <f aca="false">IF(ISNUMBER(C11692),YEAR(C11692),"")</f>
        <v/>
      </c>
      <c r="W11692" s="23" t="str">
        <f aca="false">IF(ISNUMBER(C11692),MONTH(C11692),"")</f>
        <v/>
      </c>
      <c r="X11692" s="23" t="str">
        <f aca="false">IF(T11692="","",IF(T11692=0,"No discount",IF(T11692&lt;=0.2,"Low (1-20%)",IF(T11692&lt;=0.4,"Medium (21-40%)","High (&gt;40%)"))))</f>
        <v/>
      </c>
      <c r="Y11692" s="23" t="str">
        <f aca="false">IF(AND(ISNUMBER(C11692),ISNUMBER(D11692)),D11692-C11692,"")</f>
        <v/>
      </c>
      <c r="Z11692" s="23" t="str">
        <f aca="false">IF(B11692="","",IF(MATCH(B11692,$B$2:$B$12000,0)=ROW()-1,1,0))</f>
        <v/>
      </c>
    </row>
    <row r="11693" customFormat="false" ht="15" hidden="false" customHeight="false" outlineLevel="0" collapsed="false">
      <c r="V11693" s="23" t="str">
        <f aca="false">IF(ISNUMBER(C11693),YEAR(C11693),"")</f>
        <v/>
      </c>
      <c r="W11693" s="23" t="str">
        <f aca="false">IF(ISNUMBER(C11693),MONTH(C11693),"")</f>
        <v/>
      </c>
      <c r="X11693" s="23" t="str">
        <f aca="false">IF(T11693="","",IF(T11693=0,"No discount",IF(T11693&lt;=0.2,"Low (1-20%)",IF(T11693&lt;=0.4,"Medium (21-40%)","High (&gt;40%)"))))</f>
        <v/>
      </c>
      <c r="Y11693" s="23" t="str">
        <f aca="false">IF(AND(ISNUMBER(C11693),ISNUMBER(D11693)),D11693-C11693,"")</f>
        <v/>
      </c>
      <c r="Z11693" s="23" t="str">
        <f aca="false">IF(B11693="","",IF(MATCH(B11693,$B$2:$B$12000,0)=ROW()-1,1,0))</f>
        <v/>
      </c>
    </row>
    <row r="11694" customFormat="false" ht="15" hidden="false" customHeight="false" outlineLevel="0" collapsed="false">
      <c r="V11694" s="23" t="str">
        <f aca="false">IF(ISNUMBER(C11694),YEAR(C11694),"")</f>
        <v/>
      </c>
      <c r="W11694" s="23" t="str">
        <f aca="false">IF(ISNUMBER(C11694),MONTH(C11694),"")</f>
        <v/>
      </c>
      <c r="X11694" s="23" t="str">
        <f aca="false">IF(T11694="","",IF(T11694=0,"No discount",IF(T11694&lt;=0.2,"Low (1-20%)",IF(T11694&lt;=0.4,"Medium (21-40%)","High (&gt;40%)"))))</f>
        <v/>
      </c>
      <c r="Y11694" s="23" t="str">
        <f aca="false">IF(AND(ISNUMBER(C11694),ISNUMBER(D11694)),D11694-C11694,"")</f>
        <v/>
      </c>
      <c r="Z11694" s="23" t="str">
        <f aca="false">IF(B11694="","",IF(MATCH(B11694,$B$2:$B$12000,0)=ROW()-1,1,0))</f>
        <v/>
      </c>
    </row>
    <row r="11695" customFormat="false" ht="15" hidden="false" customHeight="false" outlineLevel="0" collapsed="false">
      <c r="V11695" s="23" t="str">
        <f aca="false">IF(ISNUMBER(C11695),YEAR(C11695),"")</f>
        <v/>
      </c>
      <c r="W11695" s="23" t="str">
        <f aca="false">IF(ISNUMBER(C11695),MONTH(C11695),"")</f>
        <v/>
      </c>
      <c r="X11695" s="23" t="str">
        <f aca="false">IF(T11695="","",IF(T11695=0,"No discount",IF(T11695&lt;=0.2,"Low (1-20%)",IF(T11695&lt;=0.4,"Medium (21-40%)","High (&gt;40%)"))))</f>
        <v/>
      </c>
      <c r="Y11695" s="23" t="str">
        <f aca="false">IF(AND(ISNUMBER(C11695),ISNUMBER(D11695)),D11695-C11695,"")</f>
        <v/>
      </c>
      <c r="Z11695" s="23" t="str">
        <f aca="false">IF(B11695="","",IF(MATCH(B11695,$B$2:$B$12000,0)=ROW()-1,1,0))</f>
        <v/>
      </c>
    </row>
    <row r="11696" customFormat="false" ht="15" hidden="false" customHeight="false" outlineLevel="0" collapsed="false">
      <c r="V11696" s="23" t="str">
        <f aca="false">IF(ISNUMBER(C11696),YEAR(C11696),"")</f>
        <v/>
      </c>
      <c r="W11696" s="23" t="str">
        <f aca="false">IF(ISNUMBER(C11696),MONTH(C11696),"")</f>
        <v/>
      </c>
      <c r="X11696" s="23" t="str">
        <f aca="false">IF(T11696="","",IF(T11696=0,"No discount",IF(T11696&lt;=0.2,"Low (1-20%)",IF(T11696&lt;=0.4,"Medium (21-40%)","High (&gt;40%)"))))</f>
        <v/>
      </c>
      <c r="Y11696" s="23" t="str">
        <f aca="false">IF(AND(ISNUMBER(C11696),ISNUMBER(D11696)),D11696-C11696,"")</f>
        <v/>
      </c>
      <c r="Z11696" s="23" t="str">
        <f aca="false">IF(B11696="","",IF(MATCH(B11696,$B$2:$B$12000,0)=ROW()-1,1,0))</f>
        <v/>
      </c>
    </row>
    <row r="11697" customFormat="false" ht="15" hidden="false" customHeight="false" outlineLevel="0" collapsed="false">
      <c r="V11697" s="23" t="str">
        <f aca="false">IF(ISNUMBER(C11697),YEAR(C11697),"")</f>
        <v/>
      </c>
      <c r="W11697" s="23" t="str">
        <f aca="false">IF(ISNUMBER(C11697),MONTH(C11697),"")</f>
        <v/>
      </c>
      <c r="X11697" s="23" t="str">
        <f aca="false">IF(T11697="","",IF(T11697=0,"No discount",IF(T11697&lt;=0.2,"Low (1-20%)",IF(T11697&lt;=0.4,"Medium (21-40%)","High (&gt;40%)"))))</f>
        <v/>
      </c>
      <c r="Y11697" s="23" t="str">
        <f aca="false">IF(AND(ISNUMBER(C11697),ISNUMBER(D11697)),D11697-C11697,"")</f>
        <v/>
      </c>
      <c r="Z11697" s="23" t="str">
        <f aca="false">IF(B11697="","",IF(MATCH(B11697,$B$2:$B$12000,0)=ROW()-1,1,0))</f>
        <v/>
      </c>
    </row>
    <row r="11698" customFormat="false" ht="15" hidden="false" customHeight="false" outlineLevel="0" collapsed="false">
      <c r="V11698" s="23" t="str">
        <f aca="false">IF(ISNUMBER(C11698),YEAR(C11698),"")</f>
        <v/>
      </c>
      <c r="W11698" s="23" t="str">
        <f aca="false">IF(ISNUMBER(C11698),MONTH(C11698),"")</f>
        <v/>
      </c>
      <c r="X11698" s="23" t="str">
        <f aca="false">IF(T11698="","",IF(T11698=0,"No discount",IF(T11698&lt;=0.2,"Low (1-20%)",IF(T11698&lt;=0.4,"Medium (21-40%)","High (&gt;40%)"))))</f>
        <v/>
      </c>
      <c r="Y11698" s="23" t="str">
        <f aca="false">IF(AND(ISNUMBER(C11698),ISNUMBER(D11698)),D11698-C11698,"")</f>
        <v/>
      </c>
      <c r="Z11698" s="23" t="str">
        <f aca="false">IF(B11698="","",IF(MATCH(B11698,$B$2:$B$12000,0)=ROW()-1,1,0))</f>
        <v/>
      </c>
    </row>
    <row r="11699" customFormat="false" ht="15" hidden="false" customHeight="false" outlineLevel="0" collapsed="false">
      <c r="V11699" s="23" t="str">
        <f aca="false">IF(ISNUMBER(C11699),YEAR(C11699),"")</f>
        <v/>
      </c>
      <c r="W11699" s="23" t="str">
        <f aca="false">IF(ISNUMBER(C11699),MONTH(C11699),"")</f>
        <v/>
      </c>
      <c r="X11699" s="23" t="str">
        <f aca="false">IF(T11699="","",IF(T11699=0,"No discount",IF(T11699&lt;=0.2,"Low (1-20%)",IF(T11699&lt;=0.4,"Medium (21-40%)","High (&gt;40%)"))))</f>
        <v/>
      </c>
      <c r="Y11699" s="23" t="str">
        <f aca="false">IF(AND(ISNUMBER(C11699),ISNUMBER(D11699)),D11699-C11699,"")</f>
        <v/>
      </c>
      <c r="Z11699" s="23" t="str">
        <f aca="false">IF(B11699="","",IF(MATCH(B11699,$B$2:$B$12000,0)=ROW()-1,1,0))</f>
        <v/>
      </c>
    </row>
    <row r="11700" customFormat="false" ht="15" hidden="false" customHeight="false" outlineLevel="0" collapsed="false">
      <c r="V11700" s="23" t="str">
        <f aca="false">IF(ISNUMBER(C11700),YEAR(C11700),"")</f>
        <v/>
      </c>
      <c r="W11700" s="23" t="str">
        <f aca="false">IF(ISNUMBER(C11700),MONTH(C11700),"")</f>
        <v/>
      </c>
      <c r="X11700" s="23" t="str">
        <f aca="false">IF(T11700="","",IF(T11700=0,"No discount",IF(T11700&lt;=0.2,"Low (1-20%)",IF(T11700&lt;=0.4,"Medium (21-40%)","High (&gt;40%)"))))</f>
        <v/>
      </c>
      <c r="Y11700" s="23" t="str">
        <f aca="false">IF(AND(ISNUMBER(C11700),ISNUMBER(D11700)),D11700-C11700,"")</f>
        <v/>
      </c>
      <c r="Z11700" s="23" t="str">
        <f aca="false">IF(B11700="","",IF(MATCH(B11700,$B$2:$B$12000,0)=ROW()-1,1,0))</f>
        <v/>
      </c>
    </row>
    <row r="11701" customFormat="false" ht="15" hidden="false" customHeight="false" outlineLevel="0" collapsed="false">
      <c r="V11701" s="23" t="str">
        <f aca="false">IF(ISNUMBER(C11701),YEAR(C11701),"")</f>
        <v/>
      </c>
      <c r="W11701" s="23" t="str">
        <f aca="false">IF(ISNUMBER(C11701),MONTH(C11701),"")</f>
        <v/>
      </c>
      <c r="X11701" s="23" t="str">
        <f aca="false">IF(T11701="","",IF(T11701=0,"No discount",IF(T11701&lt;=0.2,"Low (1-20%)",IF(T11701&lt;=0.4,"Medium (21-40%)","High (&gt;40%)"))))</f>
        <v/>
      </c>
      <c r="Y11701" s="23" t="str">
        <f aca="false">IF(AND(ISNUMBER(C11701),ISNUMBER(D11701)),D11701-C11701,"")</f>
        <v/>
      </c>
      <c r="Z11701" s="23" t="str">
        <f aca="false">IF(B11701="","",IF(MATCH(B11701,$B$2:$B$12000,0)=ROW()-1,1,0))</f>
        <v/>
      </c>
    </row>
    <row r="11702" customFormat="false" ht="15" hidden="false" customHeight="false" outlineLevel="0" collapsed="false">
      <c r="V11702" s="23" t="str">
        <f aca="false">IF(ISNUMBER(C11702),YEAR(C11702),"")</f>
        <v/>
      </c>
      <c r="W11702" s="23" t="str">
        <f aca="false">IF(ISNUMBER(C11702),MONTH(C11702),"")</f>
        <v/>
      </c>
      <c r="X11702" s="23" t="str">
        <f aca="false">IF(T11702="","",IF(T11702=0,"No discount",IF(T11702&lt;=0.2,"Low (1-20%)",IF(T11702&lt;=0.4,"Medium (21-40%)","High (&gt;40%)"))))</f>
        <v/>
      </c>
      <c r="Y11702" s="23" t="str">
        <f aca="false">IF(AND(ISNUMBER(C11702),ISNUMBER(D11702)),D11702-C11702,"")</f>
        <v/>
      </c>
      <c r="Z11702" s="23" t="str">
        <f aca="false">IF(B11702="","",IF(MATCH(B11702,$B$2:$B$12000,0)=ROW()-1,1,0))</f>
        <v/>
      </c>
    </row>
    <row r="11703" customFormat="false" ht="15" hidden="false" customHeight="false" outlineLevel="0" collapsed="false">
      <c r="V11703" s="23" t="str">
        <f aca="false">IF(ISNUMBER(C11703),YEAR(C11703),"")</f>
        <v/>
      </c>
      <c r="W11703" s="23" t="str">
        <f aca="false">IF(ISNUMBER(C11703),MONTH(C11703),"")</f>
        <v/>
      </c>
      <c r="X11703" s="23" t="str">
        <f aca="false">IF(T11703="","",IF(T11703=0,"No discount",IF(T11703&lt;=0.2,"Low (1-20%)",IF(T11703&lt;=0.4,"Medium (21-40%)","High (&gt;40%)"))))</f>
        <v/>
      </c>
      <c r="Y11703" s="23" t="str">
        <f aca="false">IF(AND(ISNUMBER(C11703),ISNUMBER(D11703)),D11703-C11703,"")</f>
        <v/>
      </c>
      <c r="Z11703" s="23" t="str">
        <f aca="false">IF(B11703="","",IF(MATCH(B11703,$B$2:$B$12000,0)=ROW()-1,1,0))</f>
        <v/>
      </c>
    </row>
    <row r="11704" customFormat="false" ht="15" hidden="false" customHeight="false" outlineLevel="0" collapsed="false">
      <c r="V11704" s="23" t="str">
        <f aca="false">IF(ISNUMBER(C11704),YEAR(C11704),"")</f>
        <v/>
      </c>
      <c r="W11704" s="23" t="str">
        <f aca="false">IF(ISNUMBER(C11704),MONTH(C11704),"")</f>
        <v/>
      </c>
      <c r="X11704" s="23" t="str">
        <f aca="false">IF(T11704="","",IF(T11704=0,"No discount",IF(T11704&lt;=0.2,"Low (1-20%)",IF(T11704&lt;=0.4,"Medium (21-40%)","High (&gt;40%)"))))</f>
        <v/>
      </c>
      <c r="Y11704" s="23" t="str">
        <f aca="false">IF(AND(ISNUMBER(C11704),ISNUMBER(D11704)),D11704-C11704,"")</f>
        <v/>
      </c>
      <c r="Z11704" s="23" t="str">
        <f aca="false">IF(B11704="","",IF(MATCH(B11704,$B$2:$B$12000,0)=ROW()-1,1,0))</f>
        <v/>
      </c>
    </row>
    <row r="11705" customFormat="false" ht="15" hidden="false" customHeight="false" outlineLevel="0" collapsed="false">
      <c r="V11705" s="23" t="str">
        <f aca="false">IF(ISNUMBER(C11705),YEAR(C11705),"")</f>
        <v/>
      </c>
      <c r="W11705" s="23" t="str">
        <f aca="false">IF(ISNUMBER(C11705),MONTH(C11705),"")</f>
        <v/>
      </c>
      <c r="X11705" s="23" t="str">
        <f aca="false">IF(T11705="","",IF(T11705=0,"No discount",IF(T11705&lt;=0.2,"Low (1-20%)",IF(T11705&lt;=0.4,"Medium (21-40%)","High (&gt;40%)"))))</f>
        <v/>
      </c>
      <c r="Y11705" s="23" t="str">
        <f aca="false">IF(AND(ISNUMBER(C11705),ISNUMBER(D11705)),D11705-C11705,"")</f>
        <v/>
      </c>
      <c r="Z11705" s="23" t="str">
        <f aca="false">IF(B11705="","",IF(MATCH(B11705,$B$2:$B$12000,0)=ROW()-1,1,0))</f>
        <v/>
      </c>
    </row>
    <row r="11706" customFormat="false" ht="15" hidden="false" customHeight="false" outlineLevel="0" collapsed="false">
      <c r="V11706" s="23" t="str">
        <f aca="false">IF(ISNUMBER(C11706),YEAR(C11706),"")</f>
        <v/>
      </c>
      <c r="W11706" s="23" t="str">
        <f aca="false">IF(ISNUMBER(C11706),MONTH(C11706),"")</f>
        <v/>
      </c>
      <c r="X11706" s="23" t="str">
        <f aca="false">IF(T11706="","",IF(T11706=0,"No discount",IF(T11706&lt;=0.2,"Low (1-20%)",IF(T11706&lt;=0.4,"Medium (21-40%)","High (&gt;40%)"))))</f>
        <v/>
      </c>
      <c r="Y11706" s="23" t="str">
        <f aca="false">IF(AND(ISNUMBER(C11706),ISNUMBER(D11706)),D11706-C11706,"")</f>
        <v/>
      </c>
      <c r="Z11706" s="23" t="str">
        <f aca="false">IF(B11706="","",IF(MATCH(B11706,$B$2:$B$12000,0)=ROW()-1,1,0))</f>
        <v/>
      </c>
    </row>
    <row r="11707" customFormat="false" ht="15" hidden="false" customHeight="false" outlineLevel="0" collapsed="false">
      <c r="V11707" s="23" t="str">
        <f aca="false">IF(ISNUMBER(C11707),YEAR(C11707),"")</f>
        <v/>
      </c>
      <c r="W11707" s="23" t="str">
        <f aca="false">IF(ISNUMBER(C11707),MONTH(C11707),"")</f>
        <v/>
      </c>
      <c r="X11707" s="23" t="str">
        <f aca="false">IF(T11707="","",IF(T11707=0,"No discount",IF(T11707&lt;=0.2,"Low (1-20%)",IF(T11707&lt;=0.4,"Medium (21-40%)","High (&gt;40%)"))))</f>
        <v/>
      </c>
      <c r="Y11707" s="23" t="str">
        <f aca="false">IF(AND(ISNUMBER(C11707),ISNUMBER(D11707)),D11707-C11707,"")</f>
        <v/>
      </c>
      <c r="Z11707" s="23" t="str">
        <f aca="false">IF(B11707="","",IF(MATCH(B11707,$B$2:$B$12000,0)=ROW()-1,1,0))</f>
        <v/>
      </c>
    </row>
    <row r="11708" customFormat="false" ht="15" hidden="false" customHeight="false" outlineLevel="0" collapsed="false">
      <c r="V11708" s="23" t="str">
        <f aca="false">IF(ISNUMBER(C11708),YEAR(C11708),"")</f>
        <v/>
      </c>
      <c r="W11708" s="23" t="str">
        <f aca="false">IF(ISNUMBER(C11708),MONTH(C11708),"")</f>
        <v/>
      </c>
      <c r="X11708" s="23" t="str">
        <f aca="false">IF(T11708="","",IF(T11708=0,"No discount",IF(T11708&lt;=0.2,"Low (1-20%)",IF(T11708&lt;=0.4,"Medium (21-40%)","High (&gt;40%)"))))</f>
        <v/>
      </c>
      <c r="Y11708" s="23" t="str">
        <f aca="false">IF(AND(ISNUMBER(C11708),ISNUMBER(D11708)),D11708-C11708,"")</f>
        <v/>
      </c>
      <c r="Z11708" s="23" t="str">
        <f aca="false">IF(B11708="","",IF(MATCH(B11708,$B$2:$B$12000,0)=ROW()-1,1,0))</f>
        <v/>
      </c>
    </row>
    <row r="11709" customFormat="false" ht="15" hidden="false" customHeight="false" outlineLevel="0" collapsed="false">
      <c r="V11709" s="23" t="str">
        <f aca="false">IF(ISNUMBER(C11709),YEAR(C11709),"")</f>
        <v/>
      </c>
      <c r="W11709" s="23" t="str">
        <f aca="false">IF(ISNUMBER(C11709),MONTH(C11709),"")</f>
        <v/>
      </c>
      <c r="X11709" s="23" t="str">
        <f aca="false">IF(T11709="","",IF(T11709=0,"No discount",IF(T11709&lt;=0.2,"Low (1-20%)",IF(T11709&lt;=0.4,"Medium (21-40%)","High (&gt;40%)"))))</f>
        <v/>
      </c>
      <c r="Y11709" s="23" t="str">
        <f aca="false">IF(AND(ISNUMBER(C11709),ISNUMBER(D11709)),D11709-C11709,"")</f>
        <v/>
      </c>
      <c r="Z11709" s="23" t="str">
        <f aca="false">IF(B11709="","",IF(MATCH(B11709,$B$2:$B$12000,0)=ROW()-1,1,0))</f>
        <v/>
      </c>
    </row>
    <row r="11710" customFormat="false" ht="15" hidden="false" customHeight="false" outlineLevel="0" collapsed="false">
      <c r="V11710" s="23" t="str">
        <f aca="false">IF(ISNUMBER(C11710),YEAR(C11710),"")</f>
        <v/>
      </c>
      <c r="W11710" s="23" t="str">
        <f aca="false">IF(ISNUMBER(C11710),MONTH(C11710),"")</f>
        <v/>
      </c>
      <c r="X11710" s="23" t="str">
        <f aca="false">IF(T11710="","",IF(T11710=0,"No discount",IF(T11710&lt;=0.2,"Low (1-20%)",IF(T11710&lt;=0.4,"Medium (21-40%)","High (&gt;40%)"))))</f>
        <v/>
      </c>
      <c r="Y11710" s="23" t="str">
        <f aca="false">IF(AND(ISNUMBER(C11710),ISNUMBER(D11710)),D11710-C11710,"")</f>
        <v/>
      </c>
      <c r="Z11710" s="23" t="str">
        <f aca="false">IF(B11710="","",IF(MATCH(B11710,$B$2:$B$12000,0)=ROW()-1,1,0))</f>
        <v/>
      </c>
    </row>
    <row r="11711" customFormat="false" ht="15" hidden="false" customHeight="false" outlineLevel="0" collapsed="false">
      <c r="V11711" s="23" t="str">
        <f aca="false">IF(ISNUMBER(C11711),YEAR(C11711),"")</f>
        <v/>
      </c>
      <c r="W11711" s="23" t="str">
        <f aca="false">IF(ISNUMBER(C11711),MONTH(C11711),"")</f>
        <v/>
      </c>
      <c r="X11711" s="23" t="str">
        <f aca="false">IF(T11711="","",IF(T11711=0,"No discount",IF(T11711&lt;=0.2,"Low (1-20%)",IF(T11711&lt;=0.4,"Medium (21-40%)","High (&gt;40%)"))))</f>
        <v/>
      </c>
      <c r="Y11711" s="23" t="str">
        <f aca="false">IF(AND(ISNUMBER(C11711),ISNUMBER(D11711)),D11711-C11711,"")</f>
        <v/>
      </c>
      <c r="Z11711" s="23" t="str">
        <f aca="false">IF(B11711="","",IF(MATCH(B11711,$B$2:$B$12000,0)=ROW()-1,1,0))</f>
        <v/>
      </c>
    </row>
    <row r="11712" customFormat="false" ht="15" hidden="false" customHeight="false" outlineLevel="0" collapsed="false">
      <c r="V11712" s="23" t="str">
        <f aca="false">IF(ISNUMBER(C11712),YEAR(C11712),"")</f>
        <v/>
      </c>
      <c r="W11712" s="23" t="str">
        <f aca="false">IF(ISNUMBER(C11712),MONTH(C11712),"")</f>
        <v/>
      </c>
      <c r="X11712" s="23" t="str">
        <f aca="false">IF(T11712="","",IF(T11712=0,"No discount",IF(T11712&lt;=0.2,"Low (1-20%)",IF(T11712&lt;=0.4,"Medium (21-40%)","High (&gt;40%)"))))</f>
        <v/>
      </c>
      <c r="Y11712" s="23" t="str">
        <f aca="false">IF(AND(ISNUMBER(C11712),ISNUMBER(D11712)),D11712-C11712,"")</f>
        <v/>
      </c>
      <c r="Z11712" s="23" t="str">
        <f aca="false">IF(B11712="","",IF(MATCH(B11712,$B$2:$B$12000,0)=ROW()-1,1,0))</f>
        <v/>
      </c>
    </row>
    <row r="11713" customFormat="false" ht="15" hidden="false" customHeight="false" outlineLevel="0" collapsed="false">
      <c r="V11713" s="23" t="str">
        <f aca="false">IF(ISNUMBER(C11713),YEAR(C11713),"")</f>
        <v/>
      </c>
      <c r="W11713" s="23" t="str">
        <f aca="false">IF(ISNUMBER(C11713),MONTH(C11713),"")</f>
        <v/>
      </c>
      <c r="X11713" s="23" t="str">
        <f aca="false">IF(T11713="","",IF(T11713=0,"No discount",IF(T11713&lt;=0.2,"Low (1-20%)",IF(T11713&lt;=0.4,"Medium (21-40%)","High (&gt;40%)"))))</f>
        <v/>
      </c>
      <c r="Y11713" s="23" t="str">
        <f aca="false">IF(AND(ISNUMBER(C11713),ISNUMBER(D11713)),D11713-C11713,"")</f>
        <v/>
      </c>
      <c r="Z11713" s="23" t="str">
        <f aca="false">IF(B11713="","",IF(MATCH(B11713,$B$2:$B$12000,0)=ROW()-1,1,0))</f>
        <v/>
      </c>
    </row>
    <row r="11714" customFormat="false" ht="15" hidden="false" customHeight="false" outlineLevel="0" collapsed="false">
      <c r="V11714" s="23" t="str">
        <f aca="false">IF(ISNUMBER(C11714),YEAR(C11714),"")</f>
        <v/>
      </c>
      <c r="W11714" s="23" t="str">
        <f aca="false">IF(ISNUMBER(C11714),MONTH(C11714),"")</f>
        <v/>
      </c>
      <c r="X11714" s="23" t="str">
        <f aca="false">IF(T11714="","",IF(T11714=0,"No discount",IF(T11714&lt;=0.2,"Low (1-20%)",IF(T11714&lt;=0.4,"Medium (21-40%)","High (&gt;40%)"))))</f>
        <v/>
      </c>
      <c r="Y11714" s="23" t="str">
        <f aca="false">IF(AND(ISNUMBER(C11714),ISNUMBER(D11714)),D11714-C11714,"")</f>
        <v/>
      </c>
      <c r="Z11714" s="23" t="str">
        <f aca="false">IF(B11714="","",IF(MATCH(B11714,$B$2:$B$12000,0)=ROW()-1,1,0))</f>
        <v/>
      </c>
    </row>
    <row r="11715" customFormat="false" ht="15" hidden="false" customHeight="false" outlineLevel="0" collapsed="false">
      <c r="V11715" s="23" t="str">
        <f aca="false">IF(ISNUMBER(C11715),YEAR(C11715),"")</f>
        <v/>
      </c>
      <c r="W11715" s="23" t="str">
        <f aca="false">IF(ISNUMBER(C11715),MONTH(C11715),"")</f>
        <v/>
      </c>
      <c r="X11715" s="23" t="str">
        <f aca="false">IF(T11715="","",IF(T11715=0,"No discount",IF(T11715&lt;=0.2,"Low (1-20%)",IF(T11715&lt;=0.4,"Medium (21-40%)","High (&gt;40%)"))))</f>
        <v/>
      </c>
      <c r="Y11715" s="23" t="str">
        <f aca="false">IF(AND(ISNUMBER(C11715),ISNUMBER(D11715)),D11715-C11715,"")</f>
        <v/>
      </c>
      <c r="Z11715" s="23" t="str">
        <f aca="false">IF(B11715="","",IF(MATCH(B11715,$B$2:$B$12000,0)=ROW()-1,1,0))</f>
        <v/>
      </c>
    </row>
    <row r="11716" customFormat="false" ht="15" hidden="false" customHeight="false" outlineLevel="0" collapsed="false">
      <c r="V11716" s="23" t="str">
        <f aca="false">IF(ISNUMBER(C11716),YEAR(C11716),"")</f>
        <v/>
      </c>
      <c r="W11716" s="23" t="str">
        <f aca="false">IF(ISNUMBER(C11716),MONTH(C11716),"")</f>
        <v/>
      </c>
      <c r="X11716" s="23" t="str">
        <f aca="false">IF(T11716="","",IF(T11716=0,"No discount",IF(T11716&lt;=0.2,"Low (1-20%)",IF(T11716&lt;=0.4,"Medium (21-40%)","High (&gt;40%)"))))</f>
        <v/>
      </c>
      <c r="Y11716" s="23" t="str">
        <f aca="false">IF(AND(ISNUMBER(C11716),ISNUMBER(D11716)),D11716-C11716,"")</f>
        <v/>
      </c>
      <c r="Z11716" s="23" t="str">
        <f aca="false">IF(B11716="","",IF(MATCH(B11716,$B$2:$B$12000,0)=ROW()-1,1,0))</f>
        <v/>
      </c>
    </row>
    <row r="11717" customFormat="false" ht="15" hidden="false" customHeight="false" outlineLevel="0" collapsed="false">
      <c r="V11717" s="23" t="str">
        <f aca="false">IF(ISNUMBER(C11717),YEAR(C11717),"")</f>
        <v/>
      </c>
      <c r="W11717" s="23" t="str">
        <f aca="false">IF(ISNUMBER(C11717),MONTH(C11717),"")</f>
        <v/>
      </c>
      <c r="X11717" s="23" t="str">
        <f aca="false">IF(T11717="","",IF(T11717=0,"No discount",IF(T11717&lt;=0.2,"Low (1-20%)",IF(T11717&lt;=0.4,"Medium (21-40%)","High (&gt;40%)"))))</f>
        <v/>
      </c>
      <c r="Y11717" s="23" t="str">
        <f aca="false">IF(AND(ISNUMBER(C11717),ISNUMBER(D11717)),D11717-C11717,"")</f>
        <v/>
      </c>
      <c r="Z11717" s="23" t="str">
        <f aca="false">IF(B11717="","",IF(MATCH(B11717,$B$2:$B$12000,0)=ROW()-1,1,0))</f>
        <v/>
      </c>
    </row>
    <row r="11718" customFormat="false" ht="15" hidden="false" customHeight="false" outlineLevel="0" collapsed="false">
      <c r="V11718" s="23" t="str">
        <f aca="false">IF(ISNUMBER(C11718),YEAR(C11718),"")</f>
        <v/>
      </c>
      <c r="W11718" s="23" t="str">
        <f aca="false">IF(ISNUMBER(C11718),MONTH(C11718),"")</f>
        <v/>
      </c>
      <c r="X11718" s="23" t="str">
        <f aca="false">IF(T11718="","",IF(T11718=0,"No discount",IF(T11718&lt;=0.2,"Low (1-20%)",IF(T11718&lt;=0.4,"Medium (21-40%)","High (&gt;40%)"))))</f>
        <v/>
      </c>
      <c r="Y11718" s="23" t="str">
        <f aca="false">IF(AND(ISNUMBER(C11718),ISNUMBER(D11718)),D11718-C11718,"")</f>
        <v/>
      </c>
      <c r="Z11718" s="23" t="str">
        <f aca="false">IF(B11718="","",IF(MATCH(B11718,$B$2:$B$12000,0)=ROW()-1,1,0))</f>
        <v/>
      </c>
    </row>
    <row r="11719" customFormat="false" ht="15" hidden="false" customHeight="false" outlineLevel="0" collapsed="false">
      <c r="V11719" s="23" t="str">
        <f aca="false">IF(ISNUMBER(C11719),YEAR(C11719),"")</f>
        <v/>
      </c>
      <c r="W11719" s="23" t="str">
        <f aca="false">IF(ISNUMBER(C11719),MONTH(C11719),"")</f>
        <v/>
      </c>
      <c r="X11719" s="23" t="str">
        <f aca="false">IF(T11719="","",IF(T11719=0,"No discount",IF(T11719&lt;=0.2,"Low (1-20%)",IF(T11719&lt;=0.4,"Medium (21-40%)","High (&gt;40%)"))))</f>
        <v/>
      </c>
      <c r="Y11719" s="23" t="str">
        <f aca="false">IF(AND(ISNUMBER(C11719),ISNUMBER(D11719)),D11719-C11719,"")</f>
        <v/>
      </c>
      <c r="Z11719" s="23" t="str">
        <f aca="false">IF(B11719="","",IF(MATCH(B11719,$B$2:$B$12000,0)=ROW()-1,1,0))</f>
        <v/>
      </c>
    </row>
    <row r="11720" customFormat="false" ht="15" hidden="false" customHeight="false" outlineLevel="0" collapsed="false">
      <c r="V11720" s="23" t="str">
        <f aca="false">IF(ISNUMBER(C11720),YEAR(C11720),"")</f>
        <v/>
      </c>
      <c r="W11720" s="23" t="str">
        <f aca="false">IF(ISNUMBER(C11720),MONTH(C11720),"")</f>
        <v/>
      </c>
      <c r="X11720" s="23" t="str">
        <f aca="false">IF(T11720="","",IF(T11720=0,"No discount",IF(T11720&lt;=0.2,"Low (1-20%)",IF(T11720&lt;=0.4,"Medium (21-40%)","High (&gt;40%)"))))</f>
        <v/>
      </c>
      <c r="Y11720" s="23" t="str">
        <f aca="false">IF(AND(ISNUMBER(C11720),ISNUMBER(D11720)),D11720-C11720,"")</f>
        <v/>
      </c>
      <c r="Z11720" s="23" t="str">
        <f aca="false">IF(B11720="","",IF(MATCH(B11720,$B$2:$B$12000,0)=ROW()-1,1,0))</f>
        <v/>
      </c>
    </row>
    <row r="11721" customFormat="false" ht="15" hidden="false" customHeight="false" outlineLevel="0" collapsed="false">
      <c r="V11721" s="23" t="str">
        <f aca="false">IF(ISNUMBER(C11721),YEAR(C11721),"")</f>
        <v/>
      </c>
      <c r="W11721" s="23" t="str">
        <f aca="false">IF(ISNUMBER(C11721),MONTH(C11721),"")</f>
        <v/>
      </c>
      <c r="X11721" s="23" t="str">
        <f aca="false">IF(T11721="","",IF(T11721=0,"No discount",IF(T11721&lt;=0.2,"Low (1-20%)",IF(T11721&lt;=0.4,"Medium (21-40%)","High (&gt;40%)"))))</f>
        <v/>
      </c>
      <c r="Y11721" s="23" t="str">
        <f aca="false">IF(AND(ISNUMBER(C11721),ISNUMBER(D11721)),D11721-C11721,"")</f>
        <v/>
      </c>
      <c r="Z11721" s="23" t="str">
        <f aca="false">IF(B11721="","",IF(MATCH(B11721,$B$2:$B$12000,0)=ROW()-1,1,0))</f>
        <v/>
      </c>
    </row>
    <row r="11722" customFormat="false" ht="15" hidden="false" customHeight="false" outlineLevel="0" collapsed="false">
      <c r="V11722" s="23" t="str">
        <f aca="false">IF(ISNUMBER(C11722),YEAR(C11722),"")</f>
        <v/>
      </c>
      <c r="W11722" s="23" t="str">
        <f aca="false">IF(ISNUMBER(C11722),MONTH(C11722),"")</f>
        <v/>
      </c>
      <c r="X11722" s="23" t="str">
        <f aca="false">IF(T11722="","",IF(T11722=0,"No discount",IF(T11722&lt;=0.2,"Low (1-20%)",IF(T11722&lt;=0.4,"Medium (21-40%)","High (&gt;40%)"))))</f>
        <v/>
      </c>
      <c r="Y11722" s="23" t="str">
        <f aca="false">IF(AND(ISNUMBER(C11722),ISNUMBER(D11722)),D11722-C11722,"")</f>
        <v/>
      </c>
      <c r="Z11722" s="23" t="str">
        <f aca="false">IF(B11722="","",IF(MATCH(B11722,$B$2:$B$12000,0)=ROW()-1,1,0))</f>
        <v/>
      </c>
    </row>
    <row r="11723" customFormat="false" ht="15" hidden="false" customHeight="false" outlineLevel="0" collapsed="false">
      <c r="V11723" s="23" t="str">
        <f aca="false">IF(ISNUMBER(C11723),YEAR(C11723),"")</f>
        <v/>
      </c>
      <c r="W11723" s="23" t="str">
        <f aca="false">IF(ISNUMBER(C11723),MONTH(C11723),"")</f>
        <v/>
      </c>
      <c r="X11723" s="23" t="str">
        <f aca="false">IF(T11723="","",IF(T11723=0,"No discount",IF(T11723&lt;=0.2,"Low (1-20%)",IF(T11723&lt;=0.4,"Medium (21-40%)","High (&gt;40%)"))))</f>
        <v/>
      </c>
      <c r="Y11723" s="23" t="str">
        <f aca="false">IF(AND(ISNUMBER(C11723),ISNUMBER(D11723)),D11723-C11723,"")</f>
        <v/>
      </c>
      <c r="Z11723" s="23" t="str">
        <f aca="false">IF(B11723="","",IF(MATCH(B11723,$B$2:$B$12000,0)=ROW()-1,1,0))</f>
        <v/>
      </c>
    </row>
    <row r="11724" customFormat="false" ht="15" hidden="false" customHeight="false" outlineLevel="0" collapsed="false">
      <c r="V11724" s="23" t="str">
        <f aca="false">IF(ISNUMBER(C11724),YEAR(C11724),"")</f>
        <v/>
      </c>
      <c r="W11724" s="23" t="str">
        <f aca="false">IF(ISNUMBER(C11724),MONTH(C11724),"")</f>
        <v/>
      </c>
      <c r="X11724" s="23" t="str">
        <f aca="false">IF(T11724="","",IF(T11724=0,"No discount",IF(T11724&lt;=0.2,"Low (1-20%)",IF(T11724&lt;=0.4,"Medium (21-40%)","High (&gt;40%)"))))</f>
        <v/>
      </c>
      <c r="Y11724" s="23" t="str">
        <f aca="false">IF(AND(ISNUMBER(C11724),ISNUMBER(D11724)),D11724-C11724,"")</f>
        <v/>
      </c>
      <c r="Z11724" s="23" t="str">
        <f aca="false">IF(B11724="","",IF(MATCH(B11724,$B$2:$B$12000,0)=ROW()-1,1,0))</f>
        <v/>
      </c>
    </row>
    <row r="11725" customFormat="false" ht="15" hidden="false" customHeight="false" outlineLevel="0" collapsed="false">
      <c r="V11725" s="23" t="str">
        <f aca="false">IF(ISNUMBER(C11725),YEAR(C11725),"")</f>
        <v/>
      </c>
      <c r="W11725" s="23" t="str">
        <f aca="false">IF(ISNUMBER(C11725),MONTH(C11725),"")</f>
        <v/>
      </c>
      <c r="X11725" s="23" t="str">
        <f aca="false">IF(T11725="","",IF(T11725=0,"No discount",IF(T11725&lt;=0.2,"Low (1-20%)",IF(T11725&lt;=0.4,"Medium (21-40%)","High (&gt;40%)"))))</f>
        <v/>
      </c>
      <c r="Y11725" s="23" t="str">
        <f aca="false">IF(AND(ISNUMBER(C11725),ISNUMBER(D11725)),D11725-C11725,"")</f>
        <v/>
      </c>
      <c r="Z11725" s="23" t="str">
        <f aca="false">IF(B11725="","",IF(MATCH(B11725,$B$2:$B$12000,0)=ROW()-1,1,0))</f>
        <v/>
      </c>
    </row>
    <row r="11726" customFormat="false" ht="15" hidden="false" customHeight="false" outlineLevel="0" collapsed="false">
      <c r="V11726" s="23" t="str">
        <f aca="false">IF(ISNUMBER(C11726),YEAR(C11726),"")</f>
        <v/>
      </c>
      <c r="W11726" s="23" t="str">
        <f aca="false">IF(ISNUMBER(C11726),MONTH(C11726),"")</f>
        <v/>
      </c>
      <c r="X11726" s="23" t="str">
        <f aca="false">IF(T11726="","",IF(T11726=0,"No discount",IF(T11726&lt;=0.2,"Low (1-20%)",IF(T11726&lt;=0.4,"Medium (21-40%)","High (&gt;40%)"))))</f>
        <v/>
      </c>
      <c r="Y11726" s="23" t="str">
        <f aca="false">IF(AND(ISNUMBER(C11726),ISNUMBER(D11726)),D11726-C11726,"")</f>
        <v/>
      </c>
      <c r="Z11726" s="23" t="str">
        <f aca="false">IF(B11726="","",IF(MATCH(B11726,$B$2:$B$12000,0)=ROW()-1,1,0))</f>
        <v/>
      </c>
    </row>
    <row r="11727" customFormat="false" ht="15" hidden="false" customHeight="false" outlineLevel="0" collapsed="false">
      <c r="V11727" s="23" t="str">
        <f aca="false">IF(ISNUMBER(C11727),YEAR(C11727),"")</f>
        <v/>
      </c>
      <c r="W11727" s="23" t="str">
        <f aca="false">IF(ISNUMBER(C11727),MONTH(C11727),"")</f>
        <v/>
      </c>
      <c r="X11727" s="23" t="str">
        <f aca="false">IF(T11727="","",IF(T11727=0,"No discount",IF(T11727&lt;=0.2,"Low (1-20%)",IF(T11727&lt;=0.4,"Medium (21-40%)","High (&gt;40%)"))))</f>
        <v/>
      </c>
      <c r="Y11727" s="23" t="str">
        <f aca="false">IF(AND(ISNUMBER(C11727),ISNUMBER(D11727)),D11727-C11727,"")</f>
        <v/>
      </c>
      <c r="Z11727" s="23" t="str">
        <f aca="false">IF(B11727="","",IF(MATCH(B11727,$B$2:$B$12000,0)=ROW()-1,1,0))</f>
        <v/>
      </c>
    </row>
    <row r="11728" customFormat="false" ht="15" hidden="false" customHeight="false" outlineLevel="0" collapsed="false">
      <c r="V11728" s="23" t="str">
        <f aca="false">IF(ISNUMBER(C11728),YEAR(C11728),"")</f>
        <v/>
      </c>
      <c r="W11728" s="23" t="str">
        <f aca="false">IF(ISNUMBER(C11728),MONTH(C11728),"")</f>
        <v/>
      </c>
      <c r="X11728" s="23" t="str">
        <f aca="false">IF(T11728="","",IF(T11728=0,"No discount",IF(T11728&lt;=0.2,"Low (1-20%)",IF(T11728&lt;=0.4,"Medium (21-40%)","High (&gt;40%)"))))</f>
        <v/>
      </c>
      <c r="Y11728" s="23" t="str">
        <f aca="false">IF(AND(ISNUMBER(C11728),ISNUMBER(D11728)),D11728-C11728,"")</f>
        <v/>
      </c>
      <c r="Z11728" s="23" t="str">
        <f aca="false">IF(B11728="","",IF(MATCH(B11728,$B$2:$B$12000,0)=ROW()-1,1,0))</f>
        <v/>
      </c>
    </row>
    <row r="11729" customFormat="false" ht="15" hidden="false" customHeight="false" outlineLevel="0" collapsed="false">
      <c r="V11729" s="23" t="str">
        <f aca="false">IF(ISNUMBER(C11729),YEAR(C11729),"")</f>
        <v/>
      </c>
      <c r="W11729" s="23" t="str">
        <f aca="false">IF(ISNUMBER(C11729),MONTH(C11729),"")</f>
        <v/>
      </c>
      <c r="X11729" s="23" t="str">
        <f aca="false">IF(T11729="","",IF(T11729=0,"No discount",IF(T11729&lt;=0.2,"Low (1-20%)",IF(T11729&lt;=0.4,"Medium (21-40%)","High (&gt;40%)"))))</f>
        <v/>
      </c>
      <c r="Y11729" s="23" t="str">
        <f aca="false">IF(AND(ISNUMBER(C11729),ISNUMBER(D11729)),D11729-C11729,"")</f>
        <v/>
      </c>
      <c r="Z11729" s="23" t="str">
        <f aca="false">IF(B11729="","",IF(MATCH(B11729,$B$2:$B$12000,0)=ROW()-1,1,0))</f>
        <v/>
      </c>
    </row>
    <row r="11730" customFormat="false" ht="15" hidden="false" customHeight="false" outlineLevel="0" collapsed="false">
      <c r="V11730" s="23" t="str">
        <f aca="false">IF(ISNUMBER(C11730),YEAR(C11730),"")</f>
        <v/>
      </c>
      <c r="W11730" s="23" t="str">
        <f aca="false">IF(ISNUMBER(C11730),MONTH(C11730),"")</f>
        <v/>
      </c>
      <c r="X11730" s="23" t="str">
        <f aca="false">IF(T11730="","",IF(T11730=0,"No discount",IF(T11730&lt;=0.2,"Low (1-20%)",IF(T11730&lt;=0.4,"Medium (21-40%)","High (&gt;40%)"))))</f>
        <v/>
      </c>
      <c r="Y11730" s="23" t="str">
        <f aca="false">IF(AND(ISNUMBER(C11730),ISNUMBER(D11730)),D11730-C11730,"")</f>
        <v/>
      </c>
      <c r="Z11730" s="23" t="str">
        <f aca="false">IF(B11730="","",IF(MATCH(B11730,$B$2:$B$12000,0)=ROW()-1,1,0))</f>
        <v/>
      </c>
    </row>
    <row r="11731" customFormat="false" ht="15" hidden="false" customHeight="false" outlineLevel="0" collapsed="false">
      <c r="V11731" s="23" t="str">
        <f aca="false">IF(ISNUMBER(C11731),YEAR(C11731),"")</f>
        <v/>
      </c>
      <c r="W11731" s="23" t="str">
        <f aca="false">IF(ISNUMBER(C11731),MONTH(C11731),"")</f>
        <v/>
      </c>
      <c r="X11731" s="23" t="str">
        <f aca="false">IF(T11731="","",IF(T11731=0,"No discount",IF(T11731&lt;=0.2,"Low (1-20%)",IF(T11731&lt;=0.4,"Medium (21-40%)","High (&gt;40%)"))))</f>
        <v/>
      </c>
      <c r="Y11731" s="23" t="str">
        <f aca="false">IF(AND(ISNUMBER(C11731),ISNUMBER(D11731)),D11731-C11731,"")</f>
        <v/>
      </c>
      <c r="Z11731" s="23" t="str">
        <f aca="false">IF(B11731="","",IF(MATCH(B11731,$B$2:$B$12000,0)=ROW()-1,1,0))</f>
        <v/>
      </c>
    </row>
    <row r="11732" customFormat="false" ht="15" hidden="false" customHeight="false" outlineLevel="0" collapsed="false">
      <c r="V11732" s="23" t="str">
        <f aca="false">IF(ISNUMBER(C11732),YEAR(C11732),"")</f>
        <v/>
      </c>
      <c r="W11732" s="23" t="str">
        <f aca="false">IF(ISNUMBER(C11732),MONTH(C11732),"")</f>
        <v/>
      </c>
      <c r="X11732" s="23" t="str">
        <f aca="false">IF(T11732="","",IF(T11732=0,"No discount",IF(T11732&lt;=0.2,"Low (1-20%)",IF(T11732&lt;=0.4,"Medium (21-40%)","High (&gt;40%)"))))</f>
        <v/>
      </c>
      <c r="Y11732" s="23" t="str">
        <f aca="false">IF(AND(ISNUMBER(C11732),ISNUMBER(D11732)),D11732-C11732,"")</f>
        <v/>
      </c>
      <c r="Z11732" s="23" t="str">
        <f aca="false">IF(B11732="","",IF(MATCH(B11732,$B$2:$B$12000,0)=ROW()-1,1,0))</f>
        <v/>
      </c>
    </row>
    <row r="11733" customFormat="false" ht="15" hidden="false" customHeight="false" outlineLevel="0" collapsed="false">
      <c r="V11733" s="23" t="str">
        <f aca="false">IF(ISNUMBER(C11733),YEAR(C11733),"")</f>
        <v/>
      </c>
      <c r="W11733" s="23" t="str">
        <f aca="false">IF(ISNUMBER(C11733),MONTH(C11733),"")</f>
        <v/>
      </c>
      <c r="X11733" s="23" t="str">
        <f aca="false">IF(T11733="","",IF(T11733=0,"No discount",IF(T11733&lt;=0.2,"Low (1-20%)",IF(T11733&lt;=0.4,"Medium (21-40%)","High (&gt;40%)"))))</f>
        <v/>
      </c>
      <c r="Y11733" s="23" t="str">
        <f aca="false">IF(AND(ISNUMBER(C11733),ISNUMBER(D11733)),D11733-C11733,"")</f>
        <v/>
      </c>
      <c r="Z11733" s="23" t="str">
        <f aca="false">IF(B11733="","",IF(MATCH(B11733,$B$2:$B$12000,0)=ROW()-1,1,0))</f>
        <v/>
      </c>
    </row>
    <row r="11734" customFormat="false" ht="15" hidden="false" customHeight="false" outlineLevel="0" collapsed="false">
      <c r="V11734" s="23" t="str">
        <f aca="false">IF(ISNUMBER(C11734),YEAR(C11734),"")</f>
        <v/>
      </c>
      <c r="W11734" s="23" t="str">
        <f aca="false">IF(ISNUMBER(C11734),MONTH(C11734),"")</f>
        <v/>
      </c>
      <c r="X11734" s="23" t="str">
        <f aca="false">IF(T11734="","",IF(T11734=0,"No discount",IF(T11734&lt;=0.2,"Low (1-20%)",IF(T11734&lt;=0.4,"Medium (21-40%)","High (&gt;40%)"))))</f>
        <v/>
      </c>
      <c r="Y11734" s="23" t="str">
        <f aca="false">IF(AND(ISNUMBER(C11734),ISNUMBER(D11734)),D11734-C11734,"")</f>
        <v/>
      </c>
      <c r="Z11734" s="23" t="str">
        <f aca="false">IF(B11734="","",IF(MATCH(B11734,$B$2:$B$12000,0)=ROW()-1,1,0))</f>
        <v/>
      </c>
    </row>
    <row r="11735" customFormat="false" ht="15" hidden="false" customHeight="false" outlineLevel="0" collapsed="false">
      <c r="V11735" s="23" t="str">
        <f aca="false">IF(ISNUMBER(C11735),YEAR(C11735),"")</f>
        <v/>
      </c>
      <c r="W11735" s="23" t="str">
        <f aca="false">IF(ISNUMBER(C11735),MONTH(C11735),"")</f>
        <v/>
      </c>
      <c r="X11735" s="23" t="str">
        <f aca="false">IF(T11735="","",IF(T11735=0,"No discount",IF(T11735&lt;=0.2,"Low (1-20%)",IF(T11735&lt;=0.4,"Medium (21-40%)","High (&gt;40%)"))))</f>
        <v/>
      </c>
      <c r="Y11735" s="23" t="str">
        <f aca="false">IF(AND(ISNUMBER(C11735),ISNUMBER(D11735)),D11735-C11735,"")</f>
        <v/>
      </c>
      <c r="Z11735" s="23" t="str">
        <f aca="false">IF(B11735="","",IF(MATCH(B11735,$B$2:$B$12000,0)=ROW()-1,1,0))</f>
        <v/>
      </c>
    </row>
    <row r="11736" customFormat="false" ht="15" hidden="false" customHeight="false" outlineLevel="0" collapsed="false">
      <c r="V11736" s="23" t="str">
        <f aca="false">IF(ISNUMBER(C11736),YEAR(C11736),"")</f>
        <v/>
      </c>
      <c r="W11736" s="23" t="str">
        <f aca="false">IF(ISNUMBER(C11736),MONTH(C11736),"")</f>
        <v/>
      </c>
      <c r="X11736" s="23" t="str">
        <f aca="false">IF(T11736="","",IF(T11736=0,"No discount",IF(T11736&lt;=0.2,"Low (1-20%)",IF(T11736&lt;=0.4,"Medium (21-40%)","High (&gt;40%)"))))</f>
        <v/>
      </c>
      <c r="Y11736" s="23" t="str">
        <f aca="false">IF(AND(ISNUMBER(C11736),ISNUMBER(D11736)),D11736-C11736,"")</f>
        <v/>
      </c>
      <c r="Z11736" s="23" t="str">
        <f aca="false">IF(B11736="","",IF(MATCH(B11736,$B$2:$B$12000,0)=ROW()-1,1,0))</f>
        <v/>
      </c>
    </row>
    <row r="11737" customFormat="false" ht="15" hidden="false" customHeight="false" outlineLevel="0" collapsed="false">
      <c r="V11737" s="23" t="str">
        <f aca="false">IF(ISNUMBER(C11737),YEAR(C11737),"")</f>
        <v/>
      </c>
      <c r="W11737" s="23" t="str">
        <f aca="false">IF(ISNUMBER(C11737),MONTH(C11737),"")</f>
        <v/>
      </c>
      <c r="X11737" s="23" t="str">
        <f aca="false">IF(T11737="","",IF(T11737=0,"No discount",IF(T11737&lt;=0.2,"Low (1-20%)",IF(T11737&lt;=0.4,"Medium (21-40%)","High (&gt;40%)"))))</f>
        <v/>
      </c>
      <c r="Y11737" s="23" t="str">
        <f aca="false">IF(AND(ISNUMBER(C11737),ISNUMBER(D11737)),D11737-C11737,"")</f>
        <v/>
      </c>
      <c r="Z11737" s="23" t="str">
        <f aca="false">IF(B11737="","",IF(MATCH(B11737,$B$2:$B$12000,0)=ROW()-1,1,0))</f>
        <v/>
      </c>
    </row>
    <row r="11738" customFormat="false" ht="15" hidden="false" customHeight="false" outlineLevel="0" collapsed="false">
      <c r="V11738" s="23" t="str">
        <f aca="false">IF(ISNUMBER(C11738),YEAR(C11738),"")</f>
        <v/>
      </c>
      <c r="W11738" s="23" t="str">
        <f aca="false">IF(ISNUMBER(C11738),MONTH(C11738),"")</f>
        <v/>
      </c>
      <c r="X11738" s="23" t="str">
        <f aca="false">IF(T11738="","",IF(T11738=0,"No discount",IF(T11738&lt;=0.2,"Low (1-20%)",IF(T11738&lt;=0.4,"Medium (21-40%)","High (&gt;40%)"))))</f>
        <v/>
      </c>
      <c r="Y11738" s="23" t="str">
        <f aca="false">IF(AND(ISNUMBER(C11738),ISNUMBER(D11738)),D11738-C11738,"")</f>
        <v/>
      </c>
      <c r="Z11738" s="23" t="str">
        <f aca="false">IF(B11738="","",IF(MATCH(B11738,$B$2:$B$12000,0)=ROW()-1,1,0))</f>
        <v/>
      </c>
    </row>
    <row r="11739" customFormat="false" ht="15" hidden="false" customHeight="false" outlineLevel="0" collapsed="false">
      <c r="V11739" s="23" t="str">
        <f aca="false">IF(ISNUMBER(C11739),YEAR(C11739),"")</f>
        <v/>
      </c>
      <c r="W11739" s="23" t="str">
        <f aca="false">IF(ISNUMBER(C11739),MONTH(C11739),"")</f>
        <v/>
      </c>
      <c r="X11739" s="23" t="str">
        <f aca="false">IF(T11739="","",IF(T11739=0,"No discount",IF(T11739&lt;=0.2,"Low (1-20%)",IF(T11739&lt;=0.4,"Medium (21-40%)","High (&gt;40%)"))))</f>
        <v/>
      </c>
      <c r="Y11739" s="23" t="str">
        <f aca="false">IF(AND(ISNUMBER(C11739),ISNUMBER(D11739)),D11739-C11739,"")</f>
        <v/>
      </c>
      <c r="Z11739" s="23" t="str">
        <f aca="false">IF(B11739="","",IF(MATCH(B11739,$B$2:$B$12000,0)=ROW()-1,1,0))</f>
        <v/>
      </c>
    </row>
    <row r="11740" customFormat="false" ht="15" hidden="false" customHeight="false" outlineLevel="0" collapsed="false">
      <c r="V11740" s="23" t="str">
        <f aca="false">IF(ISNUMBER(C11740),YEAR(C11740),"")</f>
        <v/>
      </c>
      <c r="W11740" s="23" t="str">
        <f aca="false">IF(ISNUMBER(C11740),MONTH(C11740),"")</f>
        <v/>
      </c>
      <c r="X11740" s="23" t="str">
        <f aca="false">IF(T11740="","",IF(T11740=0,"No discount",IF(T11740&lt;=0.2,"Low (1-20%)",IF(T11740&lt;=0.4,"Medium (21-40%)","High (&gt;40%)"))))</f>
        <v/>
      </c>
      <c r="Y11740" s="23" t="str">
        <f aca="false">IF(AND(ISNUMBER(C11740),ISNUMBER(D11740)),D11740-C11740,"")</f>
        <v/>
      </c>
      <c r="Z11740" s="23" t="str">
        <f aca="false">IF(B11740="","",IF(MATCH(B11740,$B$2:$B$12000,0)=ROW()-1,1,0))</f>
        <v/>
      </c>
    </row>
    <row r="11741" customFormat="false" ht="15" hidden="false" customHeight="false" outlineLevel="0" collapsed="false">
      <c r="V11741" s="23" t="str">
        <f aca="false">IF(ISNUMBER(C11741),YEAR(C11741),"")</f>
        <v/>
      </c>
      <c r="W11741" s="23" t="str">
        <f aca="false">IF(ISNUMBER(C11741),MONTH(C11741),"")</f>
        <v/>
      </c>
      <c r="X11741" s="23" t="str">
        <f aca="false">IF(T11741="","",IF(T11741=0,"No discount",IF(T11741&lt;=0.2,"Low (1-20%)",IF(T11741&lt;=0.4,"Medium (21-40%)","High (&gt;40%)"))))</f>
        <v/>
      </c>
      <c r="Y11741" s="23" t="str">
        <f aca="false">IF(AND(ISNUMBER(C11741),ISNUMBER(D11741)),D11741-C11741,"")</f>
        <v/>
      </c>
      <c r="Z11741" s="23" t="str">
        <f aca="false">IF(B11741="","",IF(MATCH(B11741,$B$2:$B$12000,0)=ROW()-1,1,0))</f>
        <v/>
      </c>
    </row>
    <row r="11742" customFormat="false" ht="15" hidden="false" customHeight="false" outlineLevel="0" collapsed="false">
      <c r="V11742" s="23" t="str">
        <f aca="false">IF(ISNUMBER(C11742),YEAR(C11742),"")</f>
        <v/>
      </c>
      <c r="W11742" s="23" t="str">
        <f aca="false">IF(ISNUMBER(C11742),MONTH(C11742),"")</f>
        <v/>
      </c>
      <c r="X11742" s="23" t="str">
        <f aca="false">IF(T11742="","",IF(T11742=0,"No discount",IF(T11742&lt;=0.2,"Low (1-20%)",IF(T11742&lt;=0.4,"Medium (21-40%)","High (&gt;40%)"))))</f>
        <v/>
      </c>
      <c r="Y11742" s="23" t="str">
        <f aca="false">IF(AND(ISNUMBER(C11742),ISNUMBER(D11742)),D11742-C11742,"")</f>
        <v/>
      </c>
      <c r="Z11742" s="23" t="str">
        <f aca="false">IF(B11742="","",IF(MATCH(B11742,$B$2:$B$12000,0)=ROW()-1,1,0))</f>
        <v/>
      </c>
    </row>
    <row r="11743" customFormat="false" ht="15" hidden="false" customHeight="false" outlineLevel="0" collapsed="false">
      <c r="V11743" s="23" t="str">
        <f aca="false">IF(ISNUMBER(C11743),YEAR(C11743),"")</f>
        <v/>
      </c>
      <c r="W11743" s="23" t="str">
        <f aca="false">IF(ISNUMBER(C11743),MONTH(C11743),"")</f>
        <v/>
      </c>
      <c r="X11743" s="23" t="str">
        <f aca="false">IF(T11743="","",IF(T11743=0,"No discount",IF(T11743&lt;=0.2,"Low (1-20%)",IF(T11743&lt;=0.4,"Medium (21-40%)","High (&gt;40%)"))))</f>
        <v/>
      </c>
      <c r="Y11743" s="23" t="str">
        <f aca="false">IF(AND(ISNUMBER(C11743),ISNUMBER(D11743)),D11743-C11743,"")</f>
        <v/>
      </c>
      <c r="Z11743" s="23" t="str">
        <f aca="false">IF(B11743="","",IF(MATCH(B11743,$B$2:$B$12000,0)=ROW()-1,1,0))</f>
        <v/>
      </c>
    </row>
    <row r="11744" customFormat="false" ht="15" hidden="false" customHeight="false" outlineLevel="0" collapsed="false">
      <c r="V11744" s="23" t="str">
        <f aca="false">IF(ISNUMBER(C11744),YEAR(C11744),"")</f>
        <v/>
      </c>
      <c r="W11744" s="23" t="str">
        <f aca="false">IF(ISNUMBER(C11744),MONTH(C11744),"")</f>
        <v/>
      </c>
      <c r="X11744" s="23" t="str">
        <f aca="false">IF(T11744="","",IF(T11744=0,"No discount",IF(T11744&lt;=0.2,"Low (1-20%)",IF(T11744&lt;=0.4,"Medium (21-40%)","High (&gt;40%)"))))</f>
        <v/>
      </c>
      <c r="Y11744" s="23" t="str">
        <f aca="false">IF(AND(ISNUMBER(C11744),ISNUMBER(D11744)),D11744-C11744,"")</f>
        <v/>
      </c>
      <c r="Z11744" s="23" t="str">
        <f aca="false">IF(B11744="","",IF(MATCH(B11744,$B$2:$B$12000,0)=ROW()-1,1,0))</f>
        <v/>
      </c>
    </row>
    <row r="11745" customFormat="false" ht="15" hidden="false" customHeight="false" outlineLevel="0" collapsed="false">
      <c r="V11745" s="23" t="str">
        <f aca="false">IF(ISNUMBER(C11745),YEAR(C11745),"")</f>
        <v/>
      </c>
      <c r="W11745" s="23" t="str">
        <f aca="false">IF(ISNUMBER(C11745),MONTH(C11745),"")</f>
        <v/>
      </c>
      <c r="X11745" s="23" t="str">
        <f aca="false">IF(T11745="","",IF(T11745=0,"No discount",IF(T11745&lt;=0.2,"Low (1-20%)",IF(T11745&lt;=0.4,"Medium (21-40%)","High (&gt;40%)"))))</f>
        <v/>
      </c>
      <c r="Y11745" s="23" t="str">
        <f aca="false">IF(AND(ISNUMBER(C11745),ISNUMBER(D11745)),D11745-C11745,"")</f>
        <v/>
      </c>
      <c r="Z11745" s="23" t="str">
        <f aca="false">IF(B11745="","",IF(MATCH(B11745,$B$2:$B$12000,0)=ROW()-1,1,0))</f>
        <v/>
      </c>
    </row>
    <row r="11746" customFormat="false" ht="15" hidden="false" customHeight="false" outlineLevel="0" collapsed="false">
      <c r="V11746" s="23" t="str">
        <f aca="false">IF(ISNUMBER(C11746),YEAR(C11746),"")</f>
        <v/>
      </c>
      <c r="W11746" s="23" t="str">
        <f aca="false">IF(ISNUMBER(C11746),MONTH(C11746),"")</f>
        <v/>
      </c>
      <c r="X11746" s="23" t="str">
        <f aca="false">IF(T11746="","",IF(T11746=0,"No discount",IF(T11746&lt;=0.2,"Low (1-20%)",IF(T11746&lt;=0.4,"Medium (21-40%)","High (&gt;40%)"))))</f>
        <v/>
      </c>
      <c r="Y11746" s="23" t="str">
        <f aca="false">IF(AND(ISNUMBER(C11746),ISNUMBER(D11746)),D11746-C11746,"")</f>
        <v/>
      </c>
      <c r="Z11746" s="23" t="str">
        <f aca="false">IF(B11746="","",IF(MATCH(B11746,$B$2:$B$12000,0)=ROW()-1,1,0))</f>
        <v/>
      </c>
    </row>
    <row r="11747" customFormat="false" ht="15" hidden="false" customHeight="false" outlineLevel="0" collapsed="false">
      <c r="V11747" s="23" t="str">
        <f aca="false">IF(ISNUMBER(C11747),YEAR(C11747),"")</f>
        <v/>
      </c>
      <c r="W11747" s="23" t="str">
        <f aca="false">IF(ISNUMBER(C11747),MONTH(C11747),"")</f>
        <v/>
      </c>
      <c r="X11747" s="23" t="str">
        <f aca="false">IF(T11747="","",IF(T11747=0,"No discount",IF(T11747&lt;=0.2,"Low (1-20%)",IF(T11747&lt;=0.4,"Medium (21-40%)","High (&gt;40%)"))))</f>
        <v/>
      </c>
      <c r="Y11747" s="23" t="str">
        <f aca="false">IF(AND(ISNUMBER(C11747),ISNUMBER(D11747)),D11747-C11747,"")</f>
        <v/>
      </c>
      <c r="Z11747" s="23" t="str">
        <f aca="false">IF(B11747="","",IF(MATCH(B11747,$B$2:$B$12000,0)=ROW()-1,1,0))</f>
        <v/>
      </c>
    </row>
    <row r="11748" customFormat="false" ht="15" hidden="false" customHeight="false" outlineLevel="0" collapsed="false">
      <c r="V11748" s="23" t="str">
        <f aca="false">IF(ISNUMBER(C11748),YEAR(C11748),"")</f>
        <v/>
      </c>
      <c r="W11748" s="23" t="str">
        <f aca="false">IF(ISNUMBER(C11748),MONTH(C11748),"")</f>
        <v/>
      </c>
      <c r="X11748" s="23" t="str">
        <f aca="false">IF(T11748="","",IF(T11748=0,"No discount",IF(T11748&lt;=0.2,"Low (1-20%)",IF(T11748&lt;=0.4,"Medium (21-40%)","High (&gt;40%)"))))</f>
        <v/>
      </c>
      <c r="Y11748" s="23" t="str">
        <f aca="false">IF(AND(ISNUMBER(C11748),ISNUMBER(D11748)),D11748-C11748,"")</f>
        <v/>
      </c>
      <c r="Z11748" s="23" t="str">
        <f aca="false">IF(B11748="","",IF(MATCH(B11748,$B$2:$B$12000,0)=ROW()-1,1,0))</f>
        <v/>
      </c>
    </row>
    <row r="11749" customFormat="false" ht="15" hidden="false" customHeight="false" outlineLevel="0" collapsed="false">
      <c r="V11749" s="23" t="str">
        <f aca="false">IF(ISNUMBER(C11749),YEAR(C11749),"")</f>
        <v/>
      </c>
      <c r="W11749" s="23" t="str">
        <f aca="false">IF(ISNUMBER(C11749),MONTH(C11749),"")</f>
        <v/>
      </c>
      <c r="X11749" s="23" t="str">
        <f aca="false">IF(T11749="","",IF(T11749=0,"No discount",IF(T11749&lt;=0.2,"Low (1-20%)",IF(T11749&lt;=0.4,"Medium (21-40%)","High (&gt;40%)"))))</f>
        <v/>
      </c>
      <c r="Y11749" s="23" t="str">
        <f aca="false">IF(AND(ISNUMBER(C11749),ISNUMBER(D11749)),D11749-C11749,"")</f>
        <v/>
      </c>
      <c r="Z11749" s="23" t="str">
        <f aca="false">IF(B11749="","",IF(MATCH(B11749,$B$2:$B$12000,0)=ROW()-1,1,0))</f>
        <v/>
      </c>
    </row>
    <row r="11750" customFormat="false" ht="15" hidden="false" customHeight="false" outlineLevel="0" collapsed="false">
      <c r="V11750" s="23" t="str">
        <f aca="false">IF(ISNUMBER(C11750),YEAR(C11750),"")</f>
        <v/>
      </c>
      <c r="W11750" s="23" t="str">
        <f aca="false">IF(ISNUMBER(C11750),MONTH(C11750),"")</f>
        <v/>
      </c>
      <c r="X11750" s="23" t="str">
        <f aca="false">IF(T11750="","",IF(T11750=0,"No discount",IF(T11750&lt;=0.2,"Low (1-20%)",IF(T11750&lt;=0.4,"Medium (21-40%)","High (&gt;40%)"))))</f>
        <v/>
      </c>
      <c r="Y11750" s="23" t="str">
        <f aca="false">IF(AND(ISNUMBER(C11750),ISNUMBER(D11750)),D11750-C11750,"")</f>
        <v/>
      </c>
      <c r="Z11750" s="23" t="str">
        <f aca="false">IF(B11750="","",IF(MATCH(B11750,$B$2:$B$12000,0)=ROW()-1,1,0))</f>
        <v/>
      </c>
    </row>
    <row r="11751" customFormat="false" ht="15" hidden="false" customHeight="false" outlineLevel="0" collapsed="false">
      <c r="V11751" s="23" t="str">
        <f aca="false">IF(ISNUMBER(C11751),YEAR(C11751),"")</f>
        <v/>
      </c>
      <c r="W11751" s="23" t="str">
        <f aca="false">IF(ISNUMBER(C11751),MONTH(C11751),"")</f>
        <v/>
      </c>
      <c r="X11751" s="23" t="str">
        <f aca="false">IF(T11751="","",IF(T11751=0,"No discount",IF(T11751&lt;=0.2,"Low (1-20%)",IF(T11751&lt;=0.4,"Medium (21-40%)","High (&gt;40%)"))))</f>
        <v/>
      </c>
      <c r="Y11751" s="23" t="str">
        <f aca="false">IF(AND(ISNUMBER(C11751),ISNUMBER(D11751)),D11751-C11751,"")</f>
        <v/>
      </c>
      <c r="Z11751" s="23" t="str">
        <f aca="false">IF(B11751="","",IF(MATCH(B11751,$B$2:$B$12000,0)=ROW()-1,1,0))</f>
        <v/>
      </c>
    </row>
    <row r="11752" customFormat="false" ht="15" hidden="false" customHeight="false" outlineLevel="0" collapsed="false">
      <c r="V11752" s="23" t="str">
        <f aca="false">IF(ISNUMBER(C11752),YEAR(C11752),"")</f>
        <v/>
      </c>
      <c r="W11752" s="23" t="str">
        <f aca="false">IF(ISNUMBER(C11752),MONTH(C11752),"")</f>
        <v/>
      </c>
      <c r="X11752" s="23" t="str">
        <f aca="false">IF(T11752="","",IF(T11752=0,"No discount",IF(T11752&lt;=0.2,"Low (1-20%)",IF(T11752&lt;=0.4,"Medium (21-40%)","High (&gt;40%)"))))</f>
        <v/>
      </c>
      <c r="Y11752" s="23" t="str">
        <f aca="false">IF(AND(ISNUMBER(C11752),ISNUMBER(D11752)),D11752-C11752,"")</f>
        <v/>
      </c>
      <c r="Z11752" s="23" t="str">
        <f aca="false">IF(B11752="","",IF(MATCH(B11752,$B$2:$B$12000,0)=ROW()-1,1,0))</f>
        <v/>
      </c>
    </row>
    <row r="11753" customFormat="false" ht="15" hidden="false" customHeight="false" outlineLevel="0" collapsed="false">
      <c r="V11753" s="23" t="str">
        <f aca="false">IF(ISNUMBER(C11753),YEAR(C11753),"")</f>
        <v/>
      </c>
      <c r="W11753" s="23" t="str">
        <f aca="false">IF(ISNUMBER(C11753),MONTH(C11753),"")</f>
        <v/>
      </c>
      <c r="X11753" s="23" t="str">
        <f aca="false">IF(T11753="","",IF(T11753=0,"No discount",IF(T11753&lt;=0.2,"Low (1-20%)",IF(T11753&lt;=0.4,"Medium (21-40%)","High (&gt;40%)"))))</f>
        <v/>
      </c>
      <c r="Y11753" s="23" t="str">
        <f aca="false">IF(AND(ISNUMBER(C11753),ISNUMBER(D11753)),D11753-C11753,"")</f>
        <v/>
      </c>
      <c r="Z11753" s="23" t="str">
        <f aca="false">IF(B11753="","",IF(MATCH(B11753,$B$2:$B$12000,0)=ROW()-1,1,0))</f>
        <v/>
      </c>
    </row>
    <row r="11754" customFormat="false" ht="15" hidden="false" customHeight="false" outlineLevel="0" collapsed="false">
      <c r="V11754" s="23" t="str">
        <f aca="false">IF(ISNUMBER(C11754),YEAR(C11754),"")</f>
        <v/>
      </c>
      <c r="W11754" s="23" t="str">
        <f aca="false">IF(ISNUMBER(C11754),MONTH(C11754),"")</f>
        <v/>
      </c>
      <c r="X11754" s="23" t="str">
        <f aca="false">IF(T11754="","",IF(T11754=0,"No discount",IF(T11754&lt;=0.2,"Low (1-20%)",IF(T11754&lt;=0.4,"Medium (21-40%)","High (&gt;40%)"))))</f>
        <v/>
      </c>
      <c r="Y11754" s="23" t="str">
        <f aca="false">IF(AND(ISNUMBER(C11754),ISNUMBER(D11754)),D11754-C11754,"")</f>
        <v/>
      </c>
      <c r="Z11754" s="23" t="str">
        <f aca="false">IF(B11754="","",IF(MATCH(B11754,$B$2:$B$12000,0)=ROW()-1,1,0))</f>
        <v/>
      </c>
    </row>
    <row r="11755" customFormat="false" ht="15" hidden="false" customHeight="false" outlineLevel="0" collapsed="false">
      <c r="V11755" s="23" t="str">
        <f aca="false">IF(ISNUMBER(C11755),YEAR(C11755),"")</f>
        <v/>
      </c>
      <c r="W11755" s="23" t="str">
        <f aca="false">IF(ISNUMBER(C11755),MONTH(C11755),"")</f>
        <v/>
      </c>
      <c r="X11755" s="23" t="str">
        <f aca="false">IF(T11755="","",IF(T11755=0,"No discount",IF(T11755&lt;=0.2,"Low (1-20%)",IF(T11755&lt;=0.4,"Medium (21-40%)","High (&gt;40%)"))))</f>
        <v/>
      </c>
      <c r="Y11755" s="23" t="str">
        <f aca="false">IF(AND(ISNUMBER(C11755),ISNUMBER(D11755)),D11755-C11755,"")</f>
        <v/>
      </c>
      <c r="Z11755" s="23" t="str">
        <f aca="false">IF(B11755="","",IF(MATCH(B11755,$B$2:$B$12000,0)=ROW()-1,1,0))</f>
        <v/>
      </c>
    </row>
    <row r="11756" customFormat="false" ht="15" hidden="false" customHeight="false" outlineLevel="0" collapsed="false">
      <c r="V11756" s="23" t="str">
        <f aca="false">IF(ISNUMBER(C11756),YEAR(C11756),"")</f>
        <v/>
      </c>
      <c r="W11756" s="23" t="str">
        <f aca="false">IF(ISNUMBER(C11756),MONTH(C11756),"")</f>
        <v/>
      </c>
      <c r="X11756" s="23" t="str">
        <f aca="false">IF(T11756="","",IF(T11756=0,"No discount",IF(T11756&lt;=0.2,"Low (1-20%)",IF(T11756&lt;=0.4,"Medium (21-40%)","High (&gt;40%)"))))</f>
        <v/>
      </c>
      <c r="Y11756" s="23" t="str">
        <f aca="false">IF(AND(ISNUMBER(C11756),ISNUMBER(D11756)),D11756-C11756,"")</f>
        <v/>
      </c>
      <c r="Z11756" s="23" t="str">
        <f aca="false">IF(B11756="","",IF(MATCH(B11756,$B$2:$B$12000,0)=ROW()-1,1,0))</f>
        <v/>
      </c>
    </row>
    <row r="11757" customFormat="false" ht="15" hidden="false" customHeight="false" outlineLevel="0" collapsed="false">
      <c r="V11757" s="23" t="str">
        <f aca="false">IF(ISNUMBER(C11757),YEAR(C11757),"")</f>
        <v/>
      </c>
      <c r="W11757" s="23" t="str">
        <f aca="false">IF(ISNUMBER(C11757),MONTH(C11757),"")</f>
        <v/>
      </c>
      <c r="X11757" s="23" t="str">
        <f aca="false">IF(T11757="","",IF(T11757=0,"No discount",IF(T11757&lt;=0.2,"Low (1-20%)",IF(T11757&lt;=0.4,"Medium (21-40%)","High (&gt;40%)"))))</f>
        <v/>
      </c>
      <c r="Y11757" s="23" t="str">
        <f aca="false">IF(AND(ISNUMBER(C11757),ISNUMBER(D11757)),D11757-C11757,"")</f>
        <v/>
      </c>
      <c r="Z11757" s="23" t="str">
        <f aca="false">IF(B11757="","",IF(MATCH(B11757,$B$2:$B$12000,0)=ROW()-1,1,0))</f>
        <v/>
      </c>
    </row>
    <row r="11758" customFormat="false" ht="15" hidden="false" customHeight="false" outlineLevel="0" collapsed="false">
      <c r="V11758" s="23" t="str">
        <f aca="false">IF(ISNUMBER(C11758),YEAR(C11758),"")</f>
        <v/>
      </c>
      <c r="W11758" s="23" t="str">
        <f aca="false">IF(ISNUMBER(C11758),MONTH(C11758),"")</f>
        <v/>
      </c>
      <c r="X11758" s="23" t="str">
        <f aca="false">IF(T11758="","",IF(T11758=0,"No discount",IF(T11758&lt;=0.2,"Low (1-20%)",IF(T11758&lt;=0.4,"Medium (21-40%)","High (&gt;40%)"))))</f>
        <v/>
      </c>
      <c r="Y11758" s="23" t="str">
        <f aca="false">IF(AND(ISNUMBER(C11758),ISNUMBER(D11758)),D11758-C11758,"")</f>
        <v/>
      </c>
      <c r="Z11758" s="23" t="str">
        <f aca="false">IF(B11758="","",IF(MATCH(B11758,$B$2:$B$12000,0)=ROW()-1,1,0))</f>
        <v/>
      </c>
    </row>
    <row r="11759" customFormat="false" ht="15" hidden="false" customHeight="false" outlineLevel="0" collapsed="false">
      <c r="V11759" s="23" t="str">
        <f aca="false">IF(ISNUMBER(C11759),YEAR(C11759),"")</f>
        <v/>
      </c>
      <c r="W11759" s="23" t="str">
        <f aca="false">IF(ISNUMBER(C11759),MONTH(C11759),"")</f>
        <v/>
      </c>
      <c r="X11759" s="23" t="str">
        <f aca="false">IF(T11759="","",IF(T11759=0,"No discount",IF(T11759&lt;=0.2,"Low (1-20%)",IF(T11759&lt;=0.4,"Medium (21-40%)","High (&gt;40%)"))))</f>
        <v/>
      </c>
      <c r="Y11759" s="23" t="str">
        <f aca="false">IF(AND(ISNUMBER(C11759),ISNUMBER(D11759)),D11759-C11759,"")</f>
        <v/>
      </c>
      <c r="Z11759" s="23" t="str">
        <f aca="false">IF(B11759="","",IF(MATCH(B11759,$B$2:$B$12000,0)=ROW()-1,1,0))</f>
        <v/>
      </c>
    </row>
    <row r="11760" customFormat="false" ht="15" hidden="false" customHeight="false" outlineLevel="0" collapsed="false">
      <c r="V11760" s="23" t="str">
        <f aca="false">IF(ISNUMBER(C11760),YEAR(C11760),"")</f>
        <v/>
      </c>
      <c r="W11760" s="23" t="str">
        <f aca="false">IF(ISNUMBER(C11760),MONTH(C11760),"")</f>
        <v/>
      </c>
      <c r="X11760" s="23" t="str">
        <f aca="false">IF(T11760="","",IF(T11760=0,"No discount",IF(T11760&lt;=0.2,"Low (1-20%)",IF(T11760&lt;=0.4,"Medium (21-40%)","High (&gt;40%)"))))</f>
        <v/>
      </c>
      <c r="Y11760" s="23" t="str">
        <f aca="false">IF(AND(ISNUMBER(C11760),ISNUMBER(D11760)),D11760-C11760,"")</f>
        <v/>
      </c>
      <c r="Z11760" s="23" t="str">
        <f aca="false">IF(B11760="","",IF(MATCH(B11760,$B$2:$B$12000,0)=ROW()-1,1,0))</f>
        <v/>
      </c>
    </row>
    <row r="11761" customFormat="false" ht="15" hidden="false" customHeight="false" outlineLevel="0" collapsed="false">
      <c r="V11761" s="23" t="str">
        <f aca="false">IF(ISNUMBER(C11761),YEAR(C11761),"")</f>
        <v/>
      </c>
      <c r="W11761" s="23" t="str">
        <f aca="false">IF(ISNUMBER(C11761),MONTH(C11761),"")</f>
        <v/>
      </c>
      <c r="X11761" s="23" t="str">
        <f aca="false">IF(T11761="","",IF(T11761=0,"No discount",IF(T11761&lt;=0.2,"Low (1-20%)",IF(T11761&lt;=0.4,"Medium (21-40%)","High (&gt;40%)"))))</f>
        <v/>
      </c>
      <c r="Y11761" s="23" t="str">
        <f aca="false">IF(AND(ISNUMBER(C11761),ISNUMBER(D11761)),D11761-C11761,"")</f>
        <v/>
      </c>
      <c r="Z11761" s="23" t="str">
        <f aca="false">IF(B11761="","",IF(MATCH(B11761,$B$2:$B$12000,0)=ROW()-1,1,0))</f>
        <v/>
      </c>
    </row>
    <row r="11762" customFormat="false" ht="15" hidden="false" customHeight="false" outlineLevel="0" collapsed="false">
      <c r="V11762" s="23" t="str">
        <f aca="false">IF(ISNUMBER(C11762),YEAR(C11762),"")</f>
        <v/>
      </c>
      <c r="W11762" s="23" t="str">
        <f aca="false">IF(ISNUMBER(C11762),MONTH(C11762),"")</f>
        <v/>
      </c>
      <c r="X11762" s="23" t="str">
        <f aca="false">IF(T11762="","",IF(T11762=0,"No discount",IF(T11762&lt;=0.2,"Low (1-20%)",IF(T11762&lt;=0.4,"Medium (21-40%)","High (&gt;40%)"))))</f>
        <v/>
      </c>
      <c r="Y11762" s="23" t="str">
        <f aca="false">IF(AND(ISNUMBER(C11762),ISNUMBER(D11762)),D11762-C11762,"")</f>
        <v/>
      </c>
      <c r="Z11762" s="23" t="str">
        <f aca="false">IF(B11762="","",IF(MATCH(B11762,$B$2:$B$12000,0)=ROW()-1,1,0))</f>
        <v/>
      </c>
    </row>
    <row r="11763" customFormat="false" ht="15" hidden="false" customHeight="false" outlineLevel="0" collapsed="false">
      <c r="V11763" s="23" t="str">
        <f aca="false">IF(ISNUMBER(C11763),YEAR(C11763),"")</f>
        <v/>
      </c>
      <c r="W11763" s="23" t="str">
        <f aca="false">IF(ISNUMBER(C11763),MONTH(C11763),"")</f>
        <v/>
      </c>
      <c r="X11763" s="23" t="str">
        <f aca="false">IF(T11763="","",IF(T11763=0,"No discount",IF(T11763&lt;=0.2,"Low (1-20%)",IF(T11763&lt;=0.4,"Medium (21-40%)","High (&gt;40%)"))))</f>
        <v/>
      </c>
      <c r="Y11763" s="23" t="str">
        <f aca="false">IF(AND(ISNUMBER(C11763),ISNUMBER(D11763)),D11763-C11763,"")</f>
        <v/>
      </c>
      <c r="Z11763" s="23" t="str">
        <f aca="false">IF(B11763="","",IF(MATCH(B11763,$B$2:$B$12000,0)=ROW()-1,1,0))</f>
        <v/>
      </c>
    </row>
    <row r="11764" customFormat="false" ht="15" hidden="false" customHeight="false" outlineLevel="0" collapsed="false">
      <c r="V11764" s="23" t="str">
        <f aca="false">IF(ISNUMBER(C11764),YEAR(C11764),"")</f>
        <v/>
      </c>
      <c r="W11764" s="23" t="str">
        <f aca="false">IF(ISNUMBER(C11764),MONTH(C11764),"")</f>
        <v/>
      </c>
      <c r="X11764" s="23" t="str">
        <f aca="false">IF(T11764="","",IF(T11764=0,"No discount",IF(T11764&lt;=0.2,"Low (1-20%)",IF(T11764&lt;=0.4,"Medium (21-40%)","High (&gt;40%)"))))</f>
        <v/>
      </c>
      <c r="Y11764" s="23" t="str">
        <f aca="false">IF(AND(ISNUMBER(C11764),ISNUMBER(D11764)),D11764-C11764,"")</f>
        <v/>
      </c>
      <c r="Z11764" s="23" t="str">
        <f aca="false">IF(B11764="","",IF(MATCH(B11764,$B$2:$B$12000,0)=ROW()-1,1,0))</f>
        <v/>
      </c>
    </row>
    <row r="11765" customFormat="false" ht="15" hidden="false" customHeight="false" outlineLevel="0" collapsed="false">
      <c r="V11765" s="23" t="str">
        <f aca="false">IF(ISNUMBER(C11765),YEAR(C11765),"")</f>
        <v/>
      </c>
      <c r="W11765" s="23" t="str">
        <f aca="false">IF(ISNUMBER(C11765),MONTH(C11765),"")</f>
        <v/>
      </c>
      <c r="X11765" s="23" t="str">
        <f aca="false">IF(T11765="","",IF(T11765=0,"No discount",IF(T11765&lt;=0.2,"Low (1-20%)",IF(T11765&lt;=0.4,"Medium (21-40%)","High (&gt;40%)"))))</f>
        <v/>
      </c>
      <c r="Y11765" s="23" t="str">
        <f aca="false">IF(AND(ISNUMBER(C11765),ISNUMBER(D11765)),D11765-C11765,"")</f>
        <v/>
      </c>
      <c r="Z11765" s="23" t="str">
        <f aca="false">IF(B11765="","",IF(MATCH(B11765,$B$2:$B$12000,0)=ROW()-1,1,0))</f>
        <v/>
      </c>
    </row>
    <row r="11766" customFormat="false" ht="15" hidden="false" customHeight="false" outlineLevel="0" collapsed="false">
      <c r="V11766" s="23" t="str">
        <f aca="false">IF(ISNUMBER(C11766),YEAR(C11766),"")</f>
        <v/>
      </c>
      <c r="W11766" s="23" t="str">
        <f aca="false">IF(ISNUMBER(C11766),MONTH(C11766),"")</f>
        <v/>
      </c>
      <c r="X11766" s="23" t="str">
        <f aca="false">IF(T11766="","",IF(T11766=0,"No discount",IF(T11766&lt;=0.2,"Low (1-20%)",IF(T11766&lt;=0.4,"Medium (21-40%)","High (&gt;40%)"))))</f>
        <v/>
      </c>
      <c r="Y11766" s="23" t="str">
        <f aca="false">IF(AND(ISNUMBER(C11766),ISNUMBER(D11766)),D11766-C11766,"")</f>
        <v/>
      </c>
      <c r="Z11766" s="23" t="str">
        <f aca="false">IF(B11766="","",IF(MATCH(B11766,$B$2:$B$12000,0)=ROW()-1,1,0))</f>
        <v/>
      </c>
    </row>
    <row r="11767" customFormat="false" ht="15" hidden="false" customHeight="false" outlineLevel="0" collapsed="false">
      <c r="V11767" s="23" t="str">
        <f aca="false">IF(ISNUMBER(C11767),YEAR(C11767),"")</f>
        <v/>
      </c>
      <c r="W11767" s="23" t="str">
        <f aca="false">IF(ISNUMBER(C11767),MONTH(C11767),"")</f>
        <v/>
      </c>
      <c r="X11767" s="23" t="str">
        <f aca="false">IF(T11767="","",IF(T11767=0,"No discount",IF(T11767&lt;=0.2,"Low (1-20%)",IF(T11767&lt;=0.4,"Medium (21-40%)","High (&gt;40%)"))))</f>
        <v/>
      </c>
      <c r="Y11767" s="23" t="str">
        <f aca="false">IF(AND(ISNUMBER(C11767),ISNUMBER(D11767)),D11767-C11767,"")</f>
        <v/>
      </c>
      <c r="Z11767" s="23" t="str">
        <f aca="false">IF(B11767="","",IF(MATCH(B11767,$B$2:$B$12000,0)=ROW()-1,1,0))</f>
        <v/>
      </c>
    </row>
    <row r="11768" customFormat="false" ht="15" hidden="false" customHeight="false" outlineLevel="0" collapsed="false">
      <c r="V11768" s="23" t="str">
        <f aca="false">IF(ISNUMBER(C11768),YEAR(C11768),"")</f>
        <v/>
      </c>
      <c r="W11768" s="23" t="str">
        <f aca="false">IF(ISNUMBER(C11768),MONTH(C11768),"")</f>
        <v/>
      </c>
      <c r="X11768" s="23" t="str">
        <f aca="false">IF(T11768="","",IF(T11768=0,"No discount",IF(T11768&lt;=0.2,"Low (1-20%)",IF(T11768&lt;=0.4,"Medium (21-40%)","High (&gt;40%)"))))</f>
        <v/>
      </c>
      <c r="Y11768" s="23" t="str">
        <f aca="false">IF(AND(ISNUMBER(C11768),ISNUMBER(D11768)),D11768-C11768,"")</f>
        <v/>
      </c>
      <c r="Z11768" s="23" t="str">
        <f aca="false">IF(B11768="","",IF(MATCH(B11768,$B$2:$B$12000,0)=ROW()-1,1,0))</f>
        <v/>
      </c>
    </row>
    <row r="11769" customFormat="false" ht="15" hidden="false" customHeight="false" outlineLevel="0" collapsed="false">
      <c r="V11769" s="23" t="str">
        <f aca="false">IF(ISNUMBER(C11769),YEAR(C11769),"")</f>
        <v/>
      </c>
      <c r="W11769" s="23" t="str">
        <f aca="false">IF(ISNUMBER(C11769),MONTH(C11769),"")</f>
        <v/>
      </c>
      <c r="X11769" s="23" t="str">
        <f aca="false">IF(T11769="","",IF(T11769=0,"No discount",IF(T11769&lt;=0.2,"Low (1-20%)",IF(T11769&lt;=0.4,"Medium (21-40%)","High (&gt;40%)"))))</f>
        <v/>
      </c>
      <c r="Y11769" s="23" t="str">
        <f aca="false">IF(AND(ISNUMBER(C11769),ISNUMBER(D11769)),D11769-C11769,"")</f>
        <v/>
      </c>
      <c r="Z11769" s="23" t="str">
        <f aca="false">IF(B11769="","",IF(MATCH(B11769,$B$2:$B$12000,0)=ROW()-1,1,0))</f>
        <v/>
      </c>
    </row>
    <row r="11770" customFormat="false" ht="15" hidden="false" customHeight="false" outlineLevel="0" collapsed="false">
      <c r="V11770" s="23" t="str">
        <f aca="false">IF(ISNUMBER(C11770),YEAR(C11770),"")</f>
        <v/>
      </c>
      <c r="W11770" s="23" t="str">
        <f aca="false">IF(ISNUMBER(C11770),MONTH(C11770),"")</f>
        <v/>
      </c>
      <c r="X11770" s="23" t="str">
        <f aca="false">IF(T11770="","",IF(T11770=0,"No discount",IF(T11770&lt;=0.2,"Low (1-20%)",IF(T11770&lt;=0.4,"Medium (21-40%)","High (&gt;40%)"))))</f>
        <v/>
      </c>
      <c r="Y11770" s="23" t="str">
        <f aca="false">IF(AND(ISNUMBER(C11770),ISNUMBER(D11770)),D11770-C11770,"")</f>
        <v/>
      </c>
      <c r="Z11770" s="23" t="str">
        <f aca="false">IF(B11770="","",IF(MATCH(B11770,$B$2:$B$12000,0)=ROW()-1,1,0))</f>
        <v/>
      </c>
    </row>
    <row r="11771" customFormat="false" ht="15" hidden="false" customHeight="false" outlineLevel="0" collapsed="false">
      <c r="V11771" s="23" t="str">
        <f aca="false">IF(ISNUMBER(C11771),YEAR(C11771),"")</f>
        <v/>
      </c>
      <c r="W11771" s="23" t="str">
        <f aca="false">IF(ISNUMBER(C11771),MONTH(C11771),"")</f>
        <v/>
      </c>
      <c r="X11771" s="23" t="str">
        <f aca="false">IF(T11771="","",IF(T11771=0,"No discount",IF(T11771&lt;=0.2,"Low (1-20%)",IF(T11771&lt;=0.4,"Medium (21-40%)","High (&gt;40%)"))))</f>
        <v/>
      </c>
      <c r="Y11771" s="23" t="str">
        <f aca="false">IF(AND(ISNUMBER(C11771),ISNUMBER(D11771)),D11771-C11771,"")</f>
        <v/>
      </c>
      <c r="Z11771" s="23" t="str">
        <f aca="false">IF(B11771="","",IF(MATCH(B11771,$B$2:$B$12000,0)=ROW()-1,1,0))</f>
        <v/>
      </c>
    </row>
    <row r="11772" customFormat="false" ht="15" hidden="false" customHeight="false" outlineLevel="0" collapsed="false">
      <c r="V11772" s="23" t="str">
        <f aca="false">IF(ISNUMBER(C11772),YEAR(C11772),"")</f>
        <v/>
      </c>
      <c r="W11772" s="23" t="str">
        <f aca="false">IF(ISNUMBER(C11772),MONTH(C11772),"")</f>
        <v/>
      </c>
      <c r="X11772" s="23" t="str">
        <f aca="false">IF(T11772="","",IF(T11772=0,"No discount",IF(T11772&lt;=0.2,"Low (1-20%)",IF(T11772&lt;=0.4,"Medium (21-40%)","High (&gt;40%)"))))</f>
        <v/>
      </c>
      <c r="Y11772" s="23" t="str">
        <f aca="false">IF(AND(ISNUMBER(C11772),ISNUMBER(D11772)),D11772-C11772,"")</f>
        <v/>
      </c>
      <c r="Z11772" s="23" t="str">
        <f aca="false">IF(B11772="","",IF(MATCH(B11772,$B$2:$B$12000,0)=ROW()-1,1,0))</f>
        <v/>
      </c>
    </row>
    <row r="11773" customFormat="false" ht="15" hidden="false" customHeight="false" outlineLevel="0" collapsed="false">
      <c r="V11773" s="23" t="str">
        <f aca="false">IF(ISNUMBER(C11773),YEAR(C11773),"")</f>
        <v/>
      </c>
      <c r="W11773" s="23" t="str">
        <f aca="false">IF(ISNUMBER(C11773),MONTH(C11773),"")</f>
        <v/>
      </c>
      <c r="X11773" s="23" t="str">
        <f aca="false">IF(T11773="","",IF(T11773=0,"No discount",IF(T11773&lt;=0.2,"Low (1-20%)",IF(T11773&lt;=0.4,"Medium (21-40%)","High (&gt;40%)"))))</f>
        <v/>
      </c>
      <c r="Y11773" s="23" t="str">
        <f aca="false">IF(AND(ISNUMBER(C11773),ISNUMBER(D11773)),D11773-C11773,"")</f>
        <v/>
      </c>
      <c r="Z11773" s="23" t="str">
        <f aca="false">IF(B11773="","",IF(MATCH(B11773,$B$2:$B$12000,0)=ROW()-1,1,0))</f>
        <v/>
      </c>
    </row>
    <row r="11774" customFormat="false" ht="15" hidden="false" customHeight="false" outlineLevel="0" collapsed="false">
      <c r="V11774" s="23" t="str">
        <f aca="false">IF(ISNUMBER(C11774),YEAR(C11774),"")</f>
        <v/>
      </c>
      <c r="W11774" s="23" t="str">
        <f aca="false">IF(ISNUMBER(C11774),MONTH(C11774),"")</f>
        <v/>
      </c>
      <c r="X11774" s="23" t="str">
        <f aca="false">IF(T11774="","",IF(T11774=0,"No discount",IF(T11774&lt;=0.2,"Low (1-20%)",IF(T11774&lt;=0.4,"Medium (21-40%)","High (&gt;40%)"))))</f>
        <v/>
      </c>
      <c r="Y11774" s="23" t="str">
        <f aca="false">IF(AND(ISNUMBER(C11774),ISNUMBER(D11774)),D11774-C11774,"")</f>
        <v/>
      </c>
      <c r="Z11774" s="23" t="str">
        <f aca="false">IF(B11774="","",IF(MATCH(B11774,$B$2:$B$12000,0)=ROW()-1,1,0))</f>
        <v/>
      </c>
    </row>
    <row r="11775" customFormat="false" ht="15" hidden="false" customHeight="false" outlineLevel="0" collapsed="false">
      <c r="V11775" s="23" t="str">
        <f aca="false">IF(ISNUMBER(C11775),YEAR(C11775),"")</f>
        <v/>
      </c>
      <c r="W11775" s="23" t="str">
        <f aca="false">IF(ISNUMBER(C11775),MONTH(C11775),"")</f>
        <v/>
      </c>
      <c r="X11775" s="23" t="str">
        <f aca="false">IF(T11775="","",IF(T11775=0,"No discount",IF(T11775&lt;=0.2,"Low (1-20%)",IF(T11775&lt;=0.4,"Medium (21-40%)","High (&gt;40%)"))))</f>
        <v/>
      </c>
      <c r="Y11775" s="23" t="str">
        <f aca="false">IF(AND(ISNUMBER(C11775),ISNUMBER(D11775)),D11775-C11775,"")</f>
        <v/>
      </c>
      <c r="Z11775" s="23" t="str">
        <f aca="false">IF(B11775="","",IF(MATCH(B11775,$B$2:$B$12000,0)=ROW()-1,1,0))</f>
        <v/>
      </c>
    </row>
    <row r="11776" customFormat="false" ht="15" hidden="false" customHeight="false" outlineLevel="0" collapsed="false">
      <c r="V11776" s="23" t="str">
        <f aca="false">IF(ISNUMBER(C11776),YEAR(C11776),"")</f>
        <v/>
      </c>
      <c r="W11776" s="23" t="str">
        <f aca="false">IF(ISNUMBER(C11776),MONTH(C11776),"")</f>
        <v/>
      </c>
      <c r="X11776" s="23" t="str">
        <f aca="false">IF(T11776="","",IF(T11776=0,"No discount",IF(T11776&lt;=0.2,"Low (1-20%)",IF(T11776&lt;=0.4,"Medium (21-40%)","High (&gt;40%)"))))</f>
        <v/>
      </c>
      <c r="Y11776" s="23" t="str">
        <f aca="false">IF(AND(ISNUMBER(C11776),ISNUMBER(D11776)),D11776-C11776,"")</f>
        <v/>
      </c>
      <c r="Z11776" s="23" t="str">
        <f aca="false">IF(B11776="","",IF(MATCH(B11776,$B$2:$B$12000,0)=ROW()-1,1,0))</f>
        <v/>
      </c>
    </row>
    <row r="11777" customFormat="false" ht="15" hidden="false" customHeight="false" outlineLevel="0" collapsed="false">
      <c r="V11777" s="23" t="str">
        <f aca="false">IF(ISNUMBER(C11777),YEAR(C11777),"")</f>
        <v/>
      </c>
      <c r="W11777" s="23" t="str">
        <f aca="false">IF(ISNUMBER(C11777),MONTH(C11777),"")</f>
        <v/>
      </c>
      <c r="X11777" s="23" t="str">
        <f aca="false">IF(T11777="","",IF(T11777=0,"No discount",IF(T11777&lt;=0.2,"Low (1-20%)",IF(T11777&lt;=0.4,"Medium (21-40%)","High (&gt;40%)"))))</f>
        <v/>
      </c>
      <c r="Y11777" s="23" t="str">
        <f aca="false">IF(AND(ISNUMBER(C11777),ISNUMBER(D11777)),D11777-C11777,"")</f>
        <v/>
      </c>
      <c r="Z11777" s="23" t="str">
        <f aca="false">IF(B11777="","",IF(MATCH(B11777,$B$2:$B$12000,0)=ROW()-1,1,0))</f>
        <v/>
      </c>
    </row>
    <row r="11778" customFormat="false" ht="15" hidden="false" customHeight="false" outlineLevel="0" collapsed="false">
      <c r="V11778" s="23" t="str">
        <f aca="false">IF(ISNUMBER(C11778),YEAR(C11778),"")</f>
        <v/>
      </c>
      <c r="W11778" s="23" t="str">
        <f aca="false">IF(ISNUMBER(C11778),MONTH(C11778),"")</f>
        <v/>
      </c>
      <c r="X11778" s="23" t="str">
        <f aca="false">IF(T11778="","",IF(T11778=0,"No discount",IF(T11778&lt;=0.2,"Low (1-20%)",IF(T11778&lt;=0.4,"Medium (21-40%)","High (&gt;40%)"))))</f>
        <v/>
      </c>
      <c r="Y11778" s="23" t="str">
        <f aca="false">IF(AND(ISNUMBER(C11778),ISNUMBER(D11778)),D11778-C11778,"")</f>
        <v/>
      </c>
      <c r="Z11778" s="23" t="str">
        <f aca="false">IF(B11778="","",IF(MATCH(B11778,$B$2:$B$12000,0)=ROW()-1,1,0))</f>
        <v/>
      </c>
    </row>
    <row r="11779" customFormat="false" ht="15" hidden="false" customHeight="false" outlineLevel="0" collapsed="false">
      <c r="V11779" s="23" t="str">
        <f aca="false">IF(ISNUMBER(C11779),YEAR(C11779),"")</f>
        <v/>
      </c>
      <c r="W11779" s="23" t="str">
        <f aca="false">IF(ISNUMBER(C11779),MONTH(C11779),"")</f>
        <v/>
      </c>
      <c r="X11779" s="23" t="str">
        <f aca="false">IF(T11779="","",IF(T11779=0,"No discount",IF(T11779&lt;=0.2,"Low (1-20%)",IF(T11779&lt;=0.4,"Medium (21-40%)","High (&gt;40%)"))))</f>
        <v/>
      </c>
      <c r="Y11779" s="23" t="str">
        <f aca="false">IF(AND(ISNUMBER(C11779),ISNUMBER(D11779)),D11779-C11779,"")</f>
        <v/>
      </c>
      <c r="Z11779" s="23" t="str">
        <f aca="false">IF(B11779="","",IF(MATCH(B11779,$B$2:$B$12000,0)=ROW()-1,1,0))</f>
        <v/>
      </c>
    </row>
    <row r="11780" customFormat="false" ht="15" hidden="false" customHeight="false" outlineLevel="0" collapsed="false">
      <c r="V11780" s="23" t="str">
        <f aca="false">IF(ISNUMBER(C11780),YEAR(C11780),"")</f>
        <v/>
      </c>
      <c r="W11780" s="23" t="str">
        <f aca="false">IF(ISNUMBER(C11780),MONTH(C11780),"")</f>
        <v/>
      </c>
      <c r="X11780" s="23" t="str">
        <f aca="false">IF(T11780="","",IF(T11780=0,"No discount",IF(T11780&lt;=0.2,"Low (1-20%)",IF(T11780&lt;=0.4,"Medium (21-40%)","High (&gt;40%)"))))</f>
        <v/>
      </c>
      <c r="Y11780" s="23" t="str">
        <f aca="false">IF(AND(ISNUMBER(C11780),ISNUMBER(D11780)),D11780-C11780,"")</f>
        <v/>
      </c>
      <c r="Z11780" s="23" t="str">
        <f aca="false">IF(B11780="","",IF(MATCH(B11780,$B$2:$B$12000,0)=ROW()-1,1,0))</f>
        <v/>
      </c>
    </row>
    <row r="11781" customFormat="false" ht="15" hidden="false" customHeight="false" outlineLevel="0" collapsed="false">
      <c r="V11781" s="23" t="str">
        <f aca="false">IF(ISNUMBER(C11781),YEAR(C11781),"")</f>
        <v/>
      </c>
      <c r="W11781" s="23" t="str">
        <f aca="false">IF(ISNUMBER(C11781),MONTH(C11781),"")</f>
        <v/>
      </c>
      <c r="X11781" s="23" t="str">
        <f aca="false">IF(T11781="","",IF(T11781=0,"No discount",IF(T11781&lt;=0.2,"Low (1-20%)",IF(T11781&lt;=0.4,"Medium (21-40%)","High (&gt;40%)"))))</f>
        <v/>
      </c>
      <c r="Y11781" s="23" t="str">
        <f aca="false">IF(AND(ISNUMBER(C11781),ISNUMBER(D11781)),D11781-C11781,"")</f>
        <v/>
      </c>
      <c r="Z11781" s="23" t="str">
        <f aca="false">IF(B11781="","",IF(MATCH(B11781,$B$2:$B$12000,0)=ROW()-1,1,0))</f>
        <v/>
      </c>
    </row>
    <row r="11782" customFormat="false" ht="15" hidden="false" customHeight="false" outlineLevel="0" collapsed="false">
      <c r="V11782" s="23" t="str">
        <f aca="false">IF(ISNUMBER(C11782),YEAR(C11782),"")</f>
        <v/>
      </c>
      <c r="W11782" s="23" t="str">
        <f aca="false">IF(ISNUMBER(C11782),MONTH(C11782),"")</f>
        <v/>
      </c>
      <c r="X11782" s="23" t="str">
        <f aca="false">IF(T11782="","",IF(T11782=0,"No discount",IF(T11782&lt;=0.2,"Low (1-20%)",IF(T11782&lt;=0.4,"Medium (21-40%)","High (&gt;40%)"))))</f>
        <v/>
      </c>
      <c r="Y11782" s="23" t="str">
        <f aca="false">IF(AND(ISNUMBER(C11782),ISNUMBER(D11782)),D11782-C11782,"")</f>
        <v/>
      </c>
      <c r="Z11782" s="23" t="str">
        <f aca="false">IF(B11782="","",IF(MATCH(B11782,$B$2:$B$12000,0)=ROW()-1,1,0))</f>
        <v/>
      </c>
    </row>
    <row r="11783" customFormat="false" ht="15" hidden="false" customHeight="false" outlineLevel="0" collapsed="false">
      <c r="V11783" s="23" t="str">
        <f aca="false">IF(ISNUMBER(C11783),YEAR(C11783),"")</f>
        <v/>
      </c>
      <c r="W11783" s="23" t="str">
        <f aca="false">IF(ISNUMBER(C11783),MONTH(C11783),"")</f>
        <v/>
      </c>
      <c r="X11783" s="23" t="str">
        <f aca="false">IF(T11783="","",IF(T11783=0,"No discount",IF(T11783&lt;=0.2,"Low (1-20%)",IF(T11783&lt;=0.4,"Medium (21-40%)","High (&gt;40%)"))))</f>
        <v/>
      </c>
      <c r="Y11783" s="23" t="str">
        <f aca="false">IF(AND(ISNUMBER(C11783),ISNUMBER(D11783)),D11783-C11783,"")</f>
        <v/>
      </c>
      <c r="Z11783" s="23" t="str">
        <f aca="false">IF(B11783="","",IF(MATCH(B11783,$B$2:$B$12000,0)=ROW()-1,1,0))</f>
        <v/>
      </c>
    </row>
    <row r="11784" customFormat="false" ht="15" hidden="false" customHeight="false" outlineLevel="0" collapsed="false">
      <c r="V11784" s="23" t="str">
        <f aca="false">IF(ISNUMBER(C11784),YEAR(C11784),"")</f>
        <v/>
      </c>
      <c r="W11784" s="23" t="str">
        <f aca="false">IF(ISNUMBER(C11784),MONTH(C11784),"")</f>
        <v/>
      </c>
      <c r="X11784" s="23" t="str">
        <f aca="false">IF(T11784="","",IF(T11784=0,"No discount",IF(T11784&lt;=0.2,"Low (1-20%)",IF(T11784&lt;=0.4,"Medium (21-40%)","High (&gt;40%)"))))</f>
        <v/>
      </c>
      <c r="Y11784" s="23" t="str">
        <f aca="false">IF(AND(ISNUMBER(C11784),ISNUMBER(D11784)),D11784-C11784,"")</f>
        <v/>
      </c>
      <c r="Z11784" s="23" t="str">
        <f aca="false">IF(B11784="","",IF(MATCH(B11784,$B$2:$B$12000,0)=ROW()-1,1,0))</f>
        <v/>
      </c>
    </row>
    <row r="11785" customFormat="false" ht="15" hidden="false" customHeight="false" outlineLevel="0" collapsed="false">
      <c r="V11785" s="23" t="str">
        <f aca="false">IF(ISNUMBER(C11785),YEAR(C11785),"")</f>
        <v/>
      </c>
      <c r="W11785" s="23" t="str">
        <f aca="false">IF(ISNUMBER(C11785),MONTH(C11785),"")</f>
        <v/>
      </c>
      <c r="X11785" s="23" t="str">
        <f aca="false">IF(T11785="","",IF(T11785=0,"No discount",IF(T11785&lt;=0.2,"Low (1-20%)",IF(T11785&lt;=0.4,"Medium (21-40%)","High (&gt;40%)"))))</f>
        <v/>
      </c>
      <c r="Y11785" s="23" t="str">
        <f aca="false">IF(AND(ISNUMBER(C11785),ISNUMBER(D11785)),D11785-C11785,"")</f>
        <v/>
      </c>
      <c r="Z11785" s="23" t="str">
        <f aca="false">IF(B11785="","",IF(MATCH(B11785,$B$2:$B$12000,0)=ROW()-1,1,0))</f>
        <v/>
      </c>
    </row>
    <row r="11786" customFormat="false" ht="15" hidden="false" customHeight="false" outlineLevel="0" collapsed="false">
      <c r="V11786" s="23" t="str">
        <f aca="false">IF(ISNUMBER(C11786),YEAR(C11786),"")</f>
        <v/>
      </c>
      <c r="W11786" s="23" t="str">
        <f aca="false">IF(ISNUMBER(C11786),MONTH(C11786),"")</f>
        <v/>
      </c>
      <c r="X11786" s="23" t="str">
        <f aca="false">IF(T11786="","",IF(T11786=0,"No discount",IF(T11786&lt;=0.2,"Low (1-20%)",IF(T11786&lt;=0.4,"Medium (21-40%)","High (&gt;40%)"))))</f>
        <v/>
      </c>
      <c r="Y11786" s="23" t="str">
        <f aca="false">IF(AND(ISNUMBER(C11786),ISNUMBER(D11786)),D11786-C11786,"")</f>
        <v/>
      </c>
      <c r="Z11786" s="23" t="str">
        <f aca="false">IF(B11786="","",IF(MATCH(B11786,$B$2:$B$12000,0)=ROW()-1,1,0))</f>
        <v/>
      </c>
    </row>
    <row r="11787" customFormat="false" ht="15" hidden="false" customHeight="false" outlineLevel="0" collapsed="false">
      <c r="V11787" s="23" t="str">
        <f aca="false">IF(ISNUMBER(C11787),YEAR(C11787),"")</f>
        <v/>
      </c>
      <c r="W11787" s="23" t="str">
        <f aca="false">IF(ISNUMBER(C11787),MONTH(C11787),"")</f>
        <v/>
      </c>
      <c r="X11787" s="23" t="str">
        <f aca="false">IF(T11787="","",IF(T11787=0,"No discount",IF(T11787&lt;=0.2,"Low (1-20%)",IF(T11787&lt;=0.4,"Medium (21-40%)","High (&gt;40%)"))))</f>
        <v/>
      </c>
      <c r="Y11787" s="23" t="str">
        <f aca="false">IF(AND(ISNUMBER(C11787),ISNUMBER(D11787)),D11787-C11787,"")</f>
        <v/>
      </c>
      <c r="Z11787" s="23" t="str">
        <f aca="false">IF(B11787="","",IF(MATCH(B11787,$B$2:$B$12000,0)=ROW()-1,1,0))</f>
        <v/>
      </c>
    </row>
    <row r="11788" customFormat="false" ht="15" hidden="false" customHeight="false" outlineLevel="0" collapsed="false">
      <c r="V11788" s="23" t="str">
        <f aca="false">IF(ISNUMBER(C11788),YEAR(C11788),"")</f>
        <v/>
      </c>
      <c r="W11788" s="23" t="str">
        <f aca="false">IF(ISNUMBER(C11788),MONTH(C11788),"")</f>
        <v/>
      </c>
      <c r="X11788" s="23" t="str">
        <f aca="false">IF(T11788="","",IF(T11788=0,"No discount",IF(T11788&lt;=0.2,"Low (1-20%)",IF(T11788&lt;=0.4,"Medium (21-40%)","High (&gt;40%)"))))</f>
        <v/>
      </c>
      <c r="Y11788" s="23" t="str">
        <f aca="false">IF(AND(ISNUMBER(C11788),ISNUMBER(D11788)),D11788-C11788,"")</f>
        <v/>
      </c>
      <c r="Z11788" s="23" t="str">
        <f aca="false">IF(B11788="","",IF(MATCH(B11788,$B$2:$B$12000,0)=ROW()-1,1,0))</f>
        <v/>
      </c>
    </row>
    <row r="11789" customFormat="false" ht="15" hidden="false" customHeight="false" outlineLevel="0" collapsed="false">
      <c r="V11789" s="23" t="str">
        <f aca="false">IF(ISNUMBER(C11789),YEAR(C11789),"")</f>
        <v/>
      </c>
      <c r="W11789" s="23" t="str">
        <f aca="false">IF(ISNUMBER(C11789),MONTH(C11789),"")</f>
        <v/>
      </c>
      <c r="X11789" s="23" t="str">
        <f aca="false">IF(T11789="","",IF(T11789=0,"No discount",IF(T11789&lt;=0.2,"Low (1-20%)",IF(T11789&lt;=0.4,"Medium (21-40%)","High (&gt;40%)"))))</f>
        <v/>
      </c>
      <c r="Y11789" s="23" t="str">
        <f aca="false">IF(AND(ISNUMBER(C11789),ISNUMBER(D11789)),D11789-C11789,"")</f>
        <v/>
      </c>
      <c r="Z11789" s="23" t="str">
        <f aca="false">IF(B11789="","",IF(MATCH(B11789,$B$2:$B$12000,0)=ROW()-1,1,0))</f>
        <v/>
      </c>
    </row>
    <row r="11790" customFormat="false" ht="15" hidden="false" customHeight="false" outlineLevel="0" collapsed="false">
      <c r="V11790" s="23" t="str">
        <f aca="false">IF(ISNUMBER(C11790),YEAR(C11790),"")</f>
        <v/>
      </c>
      <c r="W11790" s="23" t="str">
        <f aca="false">IF(ISNUMBER(C11790),MONTH(C11790),"")</f>
        <v/>
      </c>
      <c r="X11790" s="23" t="str">
        <f aca="false">IF(T11790="","",IF(T11790=0,"No discount",IF(T11790&lt;=0.2,"Low (1-20%)",IF(T11790&lt;=0.4,"Medium (21-40%)","High (&gt;40%)"))))</f>
        <v/>
      </c>
      <c r="Y11790" s="23" t="str">
        <f aca="false">IF(AND(ISNUMBER(C11790),ISNUMBER(D11790)),D11790-C11790,"")</f>
        <v/>
      </c>
      <c r="Z11790" s="23" t="str">
        <f aca="false">IF(B11790="","",IF(MATCH(B11790,$B$2:$B$12000,0)=ROW()-1,1,0))</f>
        <v/>
      </c>
    </row>
    <row r="11791" customFormat="false" ht="15" hidden="false" customHeight="false" outlineLevel="0" collapsed="false">
      <c r="V11791" s="23" t="str">
        <f aca="false">IF(ISNUMBER(C11791),YEAR(C11791),"")</f>
        <v/>
      </c>
      <c r="W11791" s="23" t="str">
        <f aca="false">IF(ISNUMBER(C11791),MONTH(C11791),"")</f>
        <v/>
      </c>
      <c r="X11791" s="23" t="str">
        <f aca="false">IF(T11791="","",IF(T11791=0,"No discount",IF(T11791&lt;=0.2,"Low (1-20%)",IF(T11791&lt;=0.4,"Medium (21-40%)","High (&gt;40%)"))))</f>
        <v/>
      </c>
      <c r="Y11791" s="23" t="str">
        <f aca="false">IF(AND(ISNUMBER(C11791),ISNUMBER(D11791)),D11791-C11791,"")</f>
        <v/>
      </c>
      <c r="Z11791" s="23" t="str">
        <f aca="false">IF(B11791="","",IF(MATCH(B11791,$B$2:$B$12000,0)=ROW()-1,1,0))</f>
        <v/>
      </c>
    </row>
    <row r="11792" customFormat="false" ht="15" hidden="false" customHeight="false" outlineLevel="0" collapsed="false">
      <c r="V11792" s="23" t="str">
        <f aca="false">IF(ISNUMBER(C11792),YEAR(C11792),"")</f>
        <v/>
      </c>
      <c r="W11792" s="23" t="str">
        <f aca="false">IF(ISNUMBER(C11792),MONTH(C11792),"")</f>
        <v/>
      </c>
      <c r="X11792" s="23" t="str">
        <f aca="false">IF(T11792="","",IF(T11792=0,"No discount",IF(T11792&lt;=0.2,"Low (1-20%)",IF(T11792&lt;=0.4,"Medium (21-40%)","High (&gt;40%)"))))</f>
        <v/>
      </c>
      <c r="Y11792" s="23" t="str">
        <f aca="false">IF(AND(ISNUMBER(C11792),ISNUMBER(D11792)),D11792-C11792,"")</f>
        <v/>
      </c>
      <c r="Z11792" s="23" t="str">
        <f aca="false">IF(B11792="","",IF(MATCH(B11792,$B$2:$B$12000,0)=ROW()-1,1,0))</f>
        <v/>
      </c>
    </row>
    <row r="11793" customFormat="false" ht="15" hidden="false" customHeight="false" outlineLevel="0" collapsed="false">
      <c r="V11793" s="23" t="str">
        <f aca="false">IF(ISNUMBER(C11793),YEAR(C11793),"")</f>
        <v/>
      </c>
      <c r="W11793" s="23" t="str">
        <f aca="false">IF(ISNUMBER(C11793),MONTH(C11793),"")</f>
        <v/>
      </c>
      <c r="X11793" s="23" t="str">
        <f aca="false">IF(T11793="","",IF(T11793=0,"No discount",IF(T11793&lt;=0.2,"Low (1-20%)",IF(T11793&lt;=0.4,"Medium (21-40%)","High (&gt;40%)"))))</f>
        <v/>
      </c>
      <c r="Y11793" s="23" t="str">
        <f aca="false">IF(AND(ISNUMBER(C11793),ISNUMBER(D11793)),D11793-C11793,"")</f>
        <v/>
      </c>
      <c r="Z11793" s="23" t="str">
        <f aca="false">IF(B11793="","",IF(MATCH(B11793,$B$2:$B$12000,0)=ROW()-1,1,0))</f>
        <v/>
      </c>
    </row>
    <row r="11794" customFormat="false" ht="15" hidden="false" customHeight="false" outlineLevel="0" collapsed="false">
      <c r="V11794" s="23" t="str">
        <f aca="false">IF(ISNUMBER(C11794),YEAR(C11794),"")</f>
        <v/>
      </c>
      <c r="W11794" s="23" t="str">
        <f aca="false">IF(ISNUMBER(C11794),MONTH(C11794),"")</f>
        <v/>
      </c>
      <c r="X11794" s="23" t="str">
        <f aca="false">IF(T11794="","",IF(T11794=0,"No discount",IF(T11794&lt;=0.2,"Low (1-20%)",IF(T11794&lt;=0.4,"Medium (21-40%)","High (&gt;40%)"))))</f>
        <v/>
      </c>
      <c r="Y11794" s="23" t="str">
        <f aca="false">IF(AND(ISNUMBER(C11794),ISNUMBER(D11794)),D11794-C11794,"")</f>
        <v/>
      </c>
      <c r="Z11794" s="23" t="str">
        <f aca="false">IF(B11794="","",IF(MATCH(B11794,$B$2:$B$12000,0)=ROW()-1,1,0))</f>
        <v/>
      </c>
    </row>
    <row r="11795" customFormat="false" ht="15" hidden="false" customHeight="false" outlineLevel="0" collapsed="false">
      <c r="V11795" s="23" t="str">
        <f aca="false">IF(ISNUMBER(C11795),YEAR(C11795),"")</f>
        <v/>
      </c>
      <c r="W11795" s="23" t="str">
        <f aca="false">IF(ISNUMBER(C11795),MONTH(C11795),"")</f>
        <v/>
      </c>
      <c r="X11795" s="23" t="str">
        <f aca="false">IF(T11795="","",IF(T11795=0,"No discount",IF(T11795&lt;=0.2,"Low (1-20%)",IF(T11795&lt;=0.4,"Medium (21-40%)","High (&gt;40%)"))))</f>
        <v/>
      </c>
      <c r="Y11795" s="23" t="str">
        <f aca="false">IF(AND(ISNUMBER(C11795),ISNUMBER(D11795)),D11795-C11795,"")</f>
        <v/>
      </c>
      <c r="Z11795" s="23" t="str">
        <f aca="false">IF(B11795="","",IF(MATCH(B11795,$B$2:$B$12000,0)=ROW()-1,1,0))</f>
        <v/>
      </c>
    </row>
    <row r="11796" customFormat="false" ht="15" hidden="false" customHeight="false" outlineLevel="0" collapsed="false">
      <c r="V11796" s="23" t="str">
        <f aca="false">IF(ISNUMBER(C11796),YEAR(C11796),"")</f>
        <v/>
      </c>
      <c r="W11796" s="23" t="str">
        <f aca="false">IF(ISNUMBER(C11796),MONTH(C11796),"")</f>
        <v/>
      </c>
      <c r="X11796" s="23" t="str">
        <f aca="false">IF(T11796="","",IF(T11796=0,"No discount",IF(T11796&lt;=0.2,"Low (1-20%)",IF(T11796&lt;=0.4,"Medium (21-40%)","High (&gt;40%)"))))</f>
        <v/>
      </c>
      <c r="Y11796" s="23" t="str">
        <f aca="false">IF(AND(ISNUMBER(C11796),ISNUMBER(D11796)),D11796-C11796,"")</f>
        <v/>
      </c>
      <c r="Z11796" s="23" t="str">
        <f aca="false">IF(B11796="","",IF(MATCH(B11796,$B$2:$B$12000,0)=ROW()-1,1,0))</f>
        <v/>
      </c>
    </row>
    <row r="11797" customFormat="false" ht="15" hidden="false" customHeight="false" outlineLevel="0" collapsed="false">
      <c r="V11797" s="23" t="str">
        <f aca="false">IF(ISNUMBER(C11797),YEAR(C11797),"")</f>
        <v/>
      </c>
      <c r="W11797" s="23" t="str">
        <f aca="false">IF(ISNUMBER(C11797),MONTH(C11797),"")</f>
        <v/>
      </c>
      <c r="X11797" s="23" t="str">
        <f aca="false">IF(T11797="","",IF(T11797=0,"No discount",IF(T11797&lt;=0.2,"Low (1-20%)",IF(T11797&lt;=0.4,"Medium (21-40%)","High (&gt;40%)"))))</f>
        <v/>
      </c>
      <c r="Y11797" s="23" t="str">
        <f aca="false">IF(AND(ISNUMBER(C11797),ISNUMBER(D11797)),D11797-C11797,"")</f>
        <v/>
      </c>
      <c r="Z11797" s="23" t="str">
        <f aca="false">IF(B11797="","",IF(MATCH(B11797,$B$2:$B$12000,0)=ROW()-1,1,0))</f>
        <v/>
      </c>
    </row>
    <row r="11798" customFormat="false" ht="15" hidden="false" customHeight="false" outlineLevel="0" collapsed="false">
      <c r="V11798" s="23" t="str">
        <f aca="false">IF(ISNUMBER(C11798),YEAR(C11798),"")</f>
        <v/>
      </c>
      <c r="W11798" s="23" t="str">
        <f aca="false">IF(ISNUMBER(C11798),MONTH(C11798),"")</f>
        <v/>
      </c>
      <c r="X11798" s="23" t="str">
        <f aca="false">IF(T11798="","",IF(T11798=0,"No discount",IF(T11798&lt;=0.2,"Low (1-20%)",IF(T11798&lt;=0.4,"Medium (21-40%)","High (&gt;40%)"))))</f>
        <v/>
      </c>
      <c r="Y11798" s="23" t="str">
        <f aca="false">IF(AND(ISNUMBER(C11798),ISNUMBER(D11798)),D11798-C11798,"")</f>
        <v/>
      </c>
      <c r="Z11798" s="23" t="str">
        <f aca="false">IF(B11798="","",IF(MATCH(B11798,$B$2:$B$12000,0)=ROW()-1,1,0))</f>
        <v/>
      </c>
    </row>
    <row r="11799" customFormat="false" ht="15" hidden="false" customHeight="false" outlineLevel="0" collapsed="false">
      <c r="V11799" s="23" t="str">
        <f aca="false">IF(ISNUMBER(C11799),YEAR(C11799),"")</f>
        <v/>
      </c>
      <c r="W11799" s="23" t="str">
        <f aca="false">IF(ISNUMBER(C11799),MONTH(C11799),"")</f>
        <v/>
      </c>
      <c r="X11799" s="23" t="str">
        <f aca="false">IF(T11799="","",IF(T11799=0,"No discount",IF(T11799&lt;=0.2,"Low (1-20%)",IF(T11799&lt;=0.4,"Medium (21-40%)","High (&gt;40%)"))))</f>
        <v/>
      </c>
      <c r="Y11799" s="23" t="str">
        <f aca="false">IF(AND(ISNUMBER(C11799),ISNUMBER(D11799)),D11799-C11799,"")</f>
        <v/>
      </c>
      <c r="Z11799" s="23" t="str">
        <f aca="false">IF(B11799="","",IF(MATCH(B11799,$B$2:$B$12000,0)=ROW()-1,1,0))</f>
        <v/>
      </c>
    </row>
    <row r="11800" customFormat="false" ht="15" hidden="false" customHeight="false" outlineLevel="0" collapsed="false">
      <c r="V11800" s="23" t="str">
        <f aca="false">IF(ISNUMBER(C11800),YEAR(C11800),"")</f>
        <v/>
      </c>
      <c r="W11800" s="23" t="str">
        <f aca="false">IF(ISNUMBER(C11800),MONTH(C11800),"")</f>
        <v/>
      </c>
      <c r="X11800" s="23" t="str">
        <f aca="false">IF(T11800="","",IF(T11800=0,"No discount",IF(T11800&lt;=0.2,"Low (1-20%)",IF(T11800&lt;=0.4,"Medium (21-40%)","High (&gt;40%)"))))</f>
        <v/>
      </c>
      <c r="Y11800" s="23" t="str">
        <f aca="false">IF(AND(ISNUMBER(C11800),ISNUMBER(D11800)),D11800-C11800,"")</f>
        <v/>
      </c>
      <c r="Z11800" s="23" t="str">
        <f aca="false">IF(B11800="","",IF(MATCH(B11800,$B$2:$B$12000,0)=ROW()-1,1,0))</f>
        <v/>
      </c>
    </row>
    <row r="11801" customFormat="false" ht="15" hidden="false" customHeight="false" outlineLevel="0" collapsed="false">
      <c r="V11801" s="23" t="str">
        <f aca="false">IF(ISNUMBER(C11801),YEAR(C11801),"")</f>
        <v/>
      </c>
      <c r="W11801" s="23" t="str">
        <f aca="false">IF(ISNUMBER(C11801),MONTH(C11801),"")</f>
        <v/>
      </c>
      <c r="X11801" s="23" t="str">
        <f aca="false">IF(T11801="","",IF(T11801=0,"No discount",IF(T11801&lt;=0.2,"Low (1-20%)",IF(T11801&lt;=0.4,"Medium (21-40%)","High (&gt;40%)"))))</f>
        <v/>
      </c>
      <c r="Y11801" s="23" t="str">
        <f aca="false">IF(AND(ISNUMBER(C11801),ISNUMBER(D11801)),D11801-C11801,"")</f>
        <v/>
      </c>
      <c r="Z11801" s="23" t="str">
        <f aca="false">IF(B11801="","",IF(MATCH(B11801,$B$2:$B$12000,0)=ROW()-1,1,0))</f>
        <v/>
      </c>
    </row>
    <row r="11802" customFormat="false" ht="15" hidden="false" customHeight="false" outlineLevel="0" collapsed="false">
      <c r="V11802" s="23" t="str">
        <f aca="false">IF(ISNUMBER(C11802),YEAR(C11802),"")</f>
        <v/>
      </c>
      <c r="W11802" s="23" t="str">
        <f aca="false">IF(ISNUMBER(C11802),MONTH(C11802),"")</f>
        <v/>
      </c>
      <c r="X11802" s="23" t="str">
        <f aca="false">IF(T11802="","",IF(T11802=0,"No discount",IF(T11802&lt;=0.2,"Low (1-20%)",IF(T11802&lt;=0.4,"Medium (21-40%)","High (&gt;40%)"))))</f>
        <v/>
      </c>
      <c r="Y11802" s="23" t="str">
        <f aca="false">IF(AND(ISNUMBER(C11802),ISNUMBER(D11802)),D11802-C11802,"")</f>
        <v/>
      </c>
      <c r="Z11802" s="23" t="str">
        <f aca="false">IF(B11802="","",IF(MATCH(B11802,$B$2:$B$12000,0)=ROW()-1,1,0))</f>
        <v/>
      </c>
    </row>
    <row r="11803" customFormat="false" ht="15" hidden="false" customHeight="false" outlineLevel="0" collapsed="false">
      <c r="V11803" s="23" t="str">
        <f aca="false">IF(ISNUMBER(C11803),YEAR(C11803),"")</f>
        <v/>
      </c>
      <c r="W11803" s="23" t="str">
        <f aca="false">IF(ISNUMBER(C11803),MONTH(C11803),"")</f>
        <v/>
      </c>
      <c r="X11803" s="23" t="str">
        <f aca="false">IF(T11803="","",IF(T11803=0,"No discount",IF(T11803&lt;=0.2,"Low (1-20%)",IF(T11803&lt;=0.4,"Medium (21-40%)","High (&gt;40%)"))))</f>
        <v/>
      </c>
      <c r="Y11803" s="23" t="str">
        <f aca="false">IF(AND(ISNUMBER(C11803),ISNUMBER(D11803)),D11803-C11803,"")</f>
        <v/>
      </c>
      <c r="Z11803" s="23" t="str">
        <f aca="false">IF(B11803="","",IF(MATCH(B11803,$B$2:$B$12000,0)=ROW()-1,1,0))</f>
        <v/>
      </c>
    </row>
    <row r="11804" customFormat="false" ht="15" hidden="false" customHeight="false" outlineLevel="0" collapsed="false">
      <c r="V11804" s="23" t="str">
        <f aca="false">IF(ISNUMBER(C11804),YEAR(C11804),"")</f>
        <v/>
      </c>
      <c r="W11804" s="23" t="str">
        <f aca="false">IF(ISNUMBER(C11804),MONTH(C11804),"")</f>
        <v/>
      </c>
      <c r="X11804" s="23" t="str">
        <f aca="false">IF(T11804="","",IF(T11804=0,"No discount",IF(T11804&lt;=0.2,"Low (1-20%)",IF(T11804&lt;=0.4,"Medium (21-40%)","High (&gt;40%)"))))</f>
        <v/>
      </c>
      <c r="Y11804" s="23" t="str">
        <f aca="false">IF(AND(ISNUMBER(C11804),ISNUMBER(D11804)),D11804-C11804,"")</f>
        <v/>
      </c>
      <c r="Z11804" s="23" t="str">
        <f aca="false">IF(B11804="","",IF(MATCH(B11804,$B$2:$B$12000,0)=ROW()-1,1,0))</f>
        <v/>
      </c>
    </row>
    <row r="11805" customFormat="false" ht="15" hidden="false" customHeight="false" outlineLevel="0" collapsed="false">
      <c r="V11805" s="23" t="str">
        <f aca="false">IF(ISNUMBER(C11805),YEAR(C11805),"")</f>
        <v/>
      </c>
      <c r="W11805" s="23" t="str">
        <f aca="false">IF(ISNUMBER(C11805),MONTH(C11805),"")</f>
        <v/>
      </c>
      <c r="X11805" s="23" t="str">
        <f aca="false">IF(T11805="","",IF(T11805=0,"No discount",IF(T11805&lt;=0.2,"Low (1-20%)",IF(T11805&lt;=0.4,"Medium (21-40%)","High (&gt;40%)"))))</f>
        <v/>
      </c>
      <c r="Y11805" s="23" t="str">
        <f aca="false">IF(AND(ISNUMBER(C11805),ISNUMBER(D11805)),D11805-C11805,"")</f>
        <v/>
      </c>
      <c r="Z11805" s="23" t="str">
        <f aca="false">IF(B11805="","",IF(MATCH(B11805,$B$2:$B$12000,0)=ROW()-1,1,0))</f>
        <v/>
      </c>
    </row>
    <row r="11806" customFormat="false" ht="15" hidden="false" customHeight="false" outlineLevel="0" collapsed="false">
      <c r="V11806" s="23" t="str">
        <f aca="false">IF(ISNUMBER(C11806),YEAR(C11806),"")</f>
        <v/>
      </c>
      <c r="W11806" s="23" t="str">
        <f aca="false">IF(ISNUMBER(C11806),MONTH(C11806),"")</f>
        <v/>
      </c>
      <c r="X11806" s="23" t="str">
        <f aca="false">IF(T11806="","",IF(T11806=0,"No discount",IF(T11806&lt;=0.2,"Low (1-20%)",IF(T11806&lt;=0.4,"Medium (21-40%)","High (&gt;40%)"))))</f>
        <v/>
      </c>
      <c r="Y11806" s="23" t="str">
        <f aca="false">IF(AND(ISNUMBER(C11806),ISNUMBER(D11806)),D11806-C11806,"")</f>
        <v/>
      </c>
      <c r="Z11806" s="23" t="str">
        <f aca="false">IF(B11806="","",IF(MATCH(B11806,$B$2:$B$12000,0)=ROW()-1,1,0))</f>
        <v/>
      </c>
    </row>
    <row r="11807" customFormat="false" ht="15" hidden="false" customHeight="false" outlineLevel="0" collapsed="false">
      <c r="V11807" s="23" t="str">
        <f aca="false">IF(ISNUMBER(C11807),YEAR(C11807),"")</f>
        <v/>
      </c>
      <c r="W11807" s="23" t="str">
        <f aca="false">IF(ISNUMBER(C11807),MONTH(C11807),"")</f>
        <v/>
      </c>
      <c r="X11807" s="23" t="str">
        <f aca="false">IF(T11807="","",IF(T11807=0,"No discount",IF(T11807&lt;=0.2,"Low (1-20%)",IF(T11807&lt;=0.4,"Medium (21-40%)","High (&gt;40%)"))))</f>
        <v/>
      </c>
      <c r="Y11807" s="23" t="str">
        <f aca="false">IF(AND(ISNUMBER(C11807),ISNUMBER(D11807)),D11807-C11807,"")</f>
        <v/>
      </c>
      <c r="Z11807" s="23" t="str">
        <f aca="false">IF(B11807="","",IF(MATCH(B11807,$B$2:$B$12000,0)=ROW()-1,1,0))</f>
        <v/>
      </c>
    </row>
    <row r="11808" customFormat="false" ht="15" hidden="false" customHeight="false" outlineLevel="0" collapsed="false">
      <c r="V11808" s="23" t="str">
        <f aca="false">IF(ISNUMBER(C11808),YEAR(C11808),"")</f>
        <v/>
      </c>
      <c r="W11808" s="23" t="str">
        <f aca="false">IF(ISNUMBER(C11808),MONTH(C11808),"")</f>
        <v/>
      </c>
      <c r="X11808" s="23" t="str">
        <f aca="false">IF(T11808="","",IF(T11808=0,"No discount",IF(T11808&lt;=0.2,"Low (1-20%)",IF(T11808&lt;=0.4,"Medium (21-40%)","High (&gt;40%)"))))</f>
        <v/>
      </c>
      <c r="Y11808" s="23" t="str">
        <f aca="false">IF(AND(ISNUMBER(C11808),ISNUMBER(D11808)),D11808-C11808,"")</f>
        <v/>
      </c>
      <c r="Z11808" s="23" t="str">
        <f aca="false">IF(B11808="","",IF(MATCH(B11808,$B$2:$B$12000,0)=ROW()-1,1,0))</f>
        <v/>
      </c>
    </row>
    <row r="11809" customFormat="false" ht="15" hidden="false" customHeight="false" outlineLevel="0" collapsed="false">
      <c r="V11809" s="23" t="str">
        <f aca="false">IF(ISNUMBER(C11809),YEAR(C11809),"")</f>
        <v/>
      </c>
      <c r="W11809" s="23" t="str">
        <f aca="false">IF(ISNUMBER(C11809),MONTH(C11809),"")</f>
        <v/>
      </c>
      <c r="X11809" s="23" t="str">
        <f aca="false">IF(T11809="","",IF(T11809=0,"No discount",IF(T11809&lt;=0.2,"Low (1-20%)",IF(T11809&lt;=0.4,"Medium (21-40%)","High (&gt;40%)"))))</f>
        <v/>
      </c>
      <c r="Y11809" s="23" t="str">
        <f aca="false">IF(AND(ISNUMBER(C11809),ISNUMBER(D11809)),D11809-C11809,"")</f>
        <v/>
      </c>
      <c r="Z11809" s="23" t="str">
        <f aca="false">IF(B11809="","",IF(MATCH(B11809,$B$2:$B$12000,0)=ROW()-1,1,0))</f>
        <v/>
      </c>
    </row>
    <row r="11810" customFormat="false" ht="15" hidden="false" customHeight="false" outlineLevel="0" collapsed="false">
      <c r="V11810" s="23" t="str">
        <f aca="false">IF(ISNUMBER(C11810),YEAR(C11810),"")</f>
        <v/>
      </c>
      <c r="W11810" s="23" t="str">
        <f aca="false">IF(ISNUMBER(C11810),MONTH(C11810),"")</f>
        <v/>
      </c>
      <c r="X11810" s="23" t="str">
        <f aca="false">IF(T11810="","",IF(T11810=0,"No discount",IF(T11810&lt;=0.2,"Low (1-20%)",IF(T11810&lt;=0.4,"Medium (21-40%)","High (&gt;40%)"))))</f>
        <v/>
      </c>
      <c r="Y11810" s="23" t="str">
        <f aca="false">IF(AND(ISNUMBER(C11810),ISNUMBER(D11810)),D11810-C11810,"")</f>
        <v/>
      </c>
      <c r="Z11810" s="23" t="str">
        <f aca="false">IF(B11810="","",IF(MATCH(B11810,$B$2:$B$12000,0)=ROW()-1,1,0))</f>
        <v/>
      </c>
    </row>
    <row r="11811" customFormat="false" ht="15" hidden="false" customHeight="false" outlineLevel="0" collapsed="false">
      <c r="V11811" s="23" t="str">
        <f aca="false">IF(ISNUMBER(C11811),YEAR(C11811),"")</f>
        <v/>
      </c>
      <c r="W11811" s="23" t="str">
        <f aca="false">IF(ISNUMBER(C11811),MONTH(C11811),"")</f>
        <v/>
      </c>
      <c r="X11811" s="23" t="str">
        <f aca="false">IF(T11811="","",IF(T11811=0,"No discount",IF(T11811&lt;=0.2,"Low (1-20%)",IF(T11811&lt;=0.4,"Medium (21-40%)","High (&gt;40%)"))))</f>
        <v/>
      </c>
      <c r="Y11811" s="23" t="str">
        <f aca="false">IF(AND(ISNUMBER(C11811),ISNUMBER(D11811)),D11811-C11811,"")</f>
        <v/>
      </c>
      <c r="Z11811" s="23" t="str">
        <f aca="false">IF(B11811="","",IF(MATCH(B11811,$B$2:$B$12000,0)=ROW()-1,1,0))</f>
        <v/>
      </c>
    </row>
    <row r="11812" customFormat="false" ht="15" hidden="false" customHeight="false" outlineLevel="0" collapsed="false">
      <c r="V11812" s="23" t="str">
        <f aca="false">IF(ISNUMBER(C11812),YEAR(C11812),"")</f>
        <v/>
      </c>
      <c r="W11812" s="23" t="str">
        <f aca="false">IF(ISNUMBER(C11812),MONTH(C11812),"")</f>
        <v/>
      </c>
      <c r="X11812" s="23" t="str">
        <f aca="false">IF(T11812="","",IF(T11812=0,"No discount",IF(T11812&lt;=0.2,"Low (1-20%)",IF(T11812&lt;=0.4,"Medium (21-40%)","High (&gt;40%)"))))</f>
        <v/>
      </c>
      <c r="Y11812" s="23" t="str">
        <f aca="false">IF(AND(ISNUMBER(C11812),ISNUMBER(D11812)),D11812-C11812,"")</f>
        <v/>
      </c>
      <c r="Z11812" s="23" t="str">
        <f aca="false">IF(B11812="","",IF(MATCH(B11812,$B$2:$B$12000,0)=ROW()-1,1,0))</f>
        <v/>
      </c>
    </row>
    <row r="11813" customFormat="false" ht="15" hidden="false" customHeight="false" outlineLevel="0" collapsed="false">
      <c r="V11813" s="23" t="str">
        <f aca="false">IF(ISNUMBER(C11813),YEAR(C11813),"")</f>
        <v/>
      </c>
      <c r="W11813" s="23" t="str">
        <f aca="false">IF(ISNUMBER(C11813),MONTH(C11813),"")</f>
        <v/>
      </c>
      <c r="X11813" s="23" t="str">
        <f aca="false">IF(T11813="","",IF(T11813=0,"No discount",IF(T11813&lt;=0.2,"Low (1-20%)",IF(T11813&lt;=0.4,"Medium (21-40%)","High (&gt;40%)"))))</f>
        <v/>
      </c>
      <c r="Y11813" s="23" t="str">
        <f aca="false">IF(AND(ISNUMBER(C11813),ISNUMBER(D11813)),D11813-C11813,"")</f>
        <v/>
      </c>
      <c r="Z11813" s="23" t="str">
        <f aca="false">IF(B11813="","",IF(MATCH(B11813,$B$2:$B$12000,0)=ROW()-1,1,0))</f>
        <v/>
      </c>
    </row>
    <row r="11814" customFormat="false" ht="15" hidden="false" customHeight="false" outlineLevel="0" collapsed="false">
      <c r="V11814" s="23" t="str">
        <f aca="false">IF(ISNUMBER(C11814),YEAR(C11814),"")</f>
        <v/>
      </c>
      <c r="W11814" s="23" t="str">
        <f aca="false">IF(ISNUMBER(C11814),MONTH(C11814),"")</f>
        <v/>
      </c>
      <c r="X11814" s="23" t="str">
        <f aca="false">IF(T11814="","",IF(T11814=0,"No discount",IF(T11814&lt;=0.2,"Low (1-20%)",IF(T11814&lt;=0.4,"Medium (21-40%)","High (&gt;40%)"))))</f>
        <v/>
      </c>
      <c r="Y11814" s="23" t="str">
        <f aca="false">IF(AND(ISNUMBER(C11814),ISNUMBER(D11814)),D11814-C11814,"")</f>
        <v/>
      </c>
      <c r="Z11814" s="23" t="str">
        <f aca="false">IF(B11814="","",IF(MATCH(B11814,$B$2:$B$12000,0)=ROW()-1,1,0))</f>
        <v/>
      </c>
    </row>
    <row r="11815" customFormat="false" ht="15" hidden="false" customHeight="false" outlineLevel="0" collapsed="false">
      <c r="V11815" s="23" t="str">
        <f aca="false">IF(ISNUMBER(C11815),YEAR(C11815),"")</f>
        <v/>
      </c>
      <c r="W11815" s="23" t="str">
        <f aca="false">IF(ISNUMBER(C11815),MONTH(C11815),"")</f>
        <v/>
      </c>
      <c r="X11815" s="23" t="str">
        <f aca="false">IF(T11815="","",IF(T11815=0,"No discount",IF(T11815&lt;=0.2,"Low (1-20%)",IF(T11815&lt;=0.4,"Medium (21-40%)","High (&gt;40%)"))))</f>
        <v/>
      </c>
      <c r="Y11815" s="23" t="str">
        <f aca="false">IF(AND(ISNUMBER(C11815),ISNUMBER(D11815)),D11815-C11815,"")</f>
        <v/>
      </c>
      <c r="Z11815" s="23" t="str">
        <f aca="false">IF(B11815="","",IF(MATCH(B11815,$B$2:$B$12000,0)=ROW()-1,1,0))</f>
        <v/>
      </c>
    </row>
    <row r="11816" customFormat="false" ht="15" hidden="false" customHeight="false" outlineLevel="0" collapsed="false">
      <c r="V11816" s="23" t="str">
        <f aca="false">IF(ISNUMBER(C11816),YEAR(C11816),"")</f>
        <v/>
      </c>
      <c r="W11816" s="23" t="str">
        <f aca="false">IF(ISNUMBER(C11816),MONTH(C11816),"")</f>
        <v/>
      </c>
      <c r="X11816" s="23" t="str">
        <f aca="false">IF(T11816="","",IF(T11816=0,"No discount",IF(T11816&lt;=0.2,"Low (1-20%)",IF(T11816&lt;=0.4,"Medium (21-40%)","High (&gt;40%)"))))</f>
        <v/>
      </c>
      <c r="Y11816" s="23" t="str">
        <f aca="false">IF(AND(ISNUMBER(C11816),ISNUMBER(D11816)),D11816-C11816,"")</f>
        <v/>
      </c>
      <c r="Z11816" s="23" t="str">
        <f aca="false">IF(B11816="","",IF(MATCH(B11816,$B$2:$B$12000,0)=ROW()-1,1,0))</f>
        <v/>
      </c>
    </row>
    <row r="11817" customFormat="false" ht="15" hidden="false" customHeight="false" outlineLevel="0" collapsed="false">
      <c r="V11817" s="23" t="str">
        <f aca="false">IF(ISNUMBER(C11817),YEAR(C11817),"")</f>
        <v/>
      </c>
      <c r="W11817" s="23" t="str">
        <f aca="false">IF(ISNUMBER(C11817),MONTH(C11817),"")</f>
        <v/>
      </c>
      <c r="X11817" s="23" t="str">
        <f aca="false">IF(T11817="","",IF(T11817=0,"No discount",IF(T11817&lt;=0.2,"Low (1-20%)",IF(T11817&lt;=0.4,"Medium (21-40%)","High (&gt;40%)"))))</f>
        <v/>
      </c>
      <c r="Y11817" s="23" t="str">
        <f aca="false">IF(AND(ISNUMBER(C11817),ISNUMBER(D11817)),D11817-C11817,"")</f>
        <v/>
      </c>
      <c r="Z11817" s="23" t="str">
        <f aca="false">IF(B11817="","",IF(MATCH(B11817,$B$2:$B$12000,0)=ROW()-1,1,0))</f>
        <v/>
      </c>
    </row>
    <row r="11818" customFormat="false" ht="15" hidden="false" customHeight="false" outlineLevel="0" collapsed="false">
      <c r="V11818" s="23" t="str">
        <f aca="false">IF(ISNUMBER(C11818),YEAR(C11818),"")</f>
        <v/>
      </c>
      <c r="W11818" s="23" t="str">
        <f aca="false">IF(ISNUMBER(C11818),MONTH(C11818),"")</f>
        <v/>
      </c>
      <c r="X11818" s="23" t="str">
        <f aca="false">IF(T11818="","",IF(T11818=0,"No discount",IF(T11818&lt;=0.2,"Low (1-20%)",IF(T11818&lt;=0.4,"Medium (21-40%)","High (&gt;40%)"))))</f>
        <v/>
      </c>
      <c r="Y11818" s="23" t="str">
        <f aca="false">IF(AND(ISNUMBER(C11818),ISNUMBER(D11818)),D11818-C11818,"")</f>
        <v/>
      </c>
      <c r="Z11818" s="23" t="str">
        <f aca="false">IF(B11818="","",IF(MATCH(B11818,$B$2:$B$12000,0)=ROW()-1,1,0))</f>
        <v/>
      </c>
    </row>
    <row r="11819" customFormat="false" ht="15" hidden="false" customHeight="false" outlineLevel="0" collapsed="false">
      <c r="V11819" s="23" t="str">
        <f aca="false">IF(ISNUMBER(C11819),YEAR(C11819),"")</f>
        <v/>
      </c>
      <c r="W11819" s="23" t="str">
        <f aca="false">IF(ISNUMBER(C11819),MONTH(C11819),"")</f>
        <v/>
      </c>
      <c r="X11819" s="23" t="str">
        <f aca="false">IF(T11819="","",IF(T11819=0,"No discount",IF(T11819&lt;=0.2,"Low (1-20%)",IF(T11819&lt;=0.4,"Medium (21-40%)","High (&gt;40%)"))))</f>
        <v/>
      </c>
      <c r="Y11819" s="23" t="str">
        <f aca="false">IF(AND(ISNUMBER(C11819),ISNUMBER(D11819)),D11819-C11819,"")</f>
        <v/>
      </c>
      <c r="Z11819" s="23" t="str">
        <f aca="false">IF(B11819="","",IF(MATCH(B11819,$B$2:$B$12000,0)=ROW()-1,1,0))</f>
        <v/>
      </c>
    </row>
    <row r="11820" customFormat="false" ht="15" hidden="false" customHeight="false" outlineLevel="0" collapsed="false">
      <c r="V11820" s="23" t="str">
        <f aca="false">IF(ISNUMBER(C11820),YEAR(C11820),"")</f>
        <v/>
      </c>
      <c r="W11820" s="23" t="str">
        <f aca="false">IF(ISNUMBER(C11820),MONTH(C11820),"")</f>
        <v/>
      </c>
      <c r="X11820" s="23" t="str">
        <f aca="false">IF(T11820="","",IF(T11820=0,"No discount",IF(T11820&lt;=0.2,"Low (1-20%)",IF(T11820&lt;=0.4,"Medium (21-40%)","High (&gt;40%)"))))</f>
        <v/>
      </c>
      <c r="Y11820" s="23" t="str">
        <f aca="false">IF(AND(ISNUMBER(C11820),ISNUMBER(D11820)),D11820-C11820,"")</f>
        <v/>
      </c>
      <c r="Z11820" s="23" t="str">
        <f aca="false">IF(B11820="","",IF(MATCH(B11820,$B$2:$B$12000,0)=ROW()-1,1,0))</f>
        <v/>
      </c>
    </row>
    <row r="11821" customFormat="false" ht="15" hidden="false" customHeight="false" outlineLevel="0" collapsed="false">
      <c r="V11821" s="23" t="str">
        <f aca="false">IF(ISNUMBER(C11821),YEAR(C11821),"")</f>
        <v/>
      </c>
      <c r="W11821" s="23" t="str">
        <f aca="false">IF(ISNUMBER(C11821),MONTH(C11821),"")</f>
        <v/>
      </c>
      <c r="X11821" s="23" t="str">
        <f aca="false">IF(T11821="","",IF(T11821=0,"No discount",IF(T11821&lt;=0.2,"Low (1-20%)",IF(T11821&lt;=0.4,"Medium (21-40%)","High (&gt;40%)"))))</f>
        <v/>
      </c>
      <c r="Y11821" s="23" t="str">
        <f aca="false">IF(AND(ISNUMBER(C11821),ISNUMBER(D11821)),D11821-C11821,"")</f>
        <v/>
      </c>
      <c r="Z11821" s="23" t="str">
        <f aca="false">IF(B11821="","",IF(MATCH(B11821,$B$2:$B$12000,0)=ROW()-1,1,0))</f>
        <v/>
      </c>
    </row>
    <row r="11822" customFormat="false" ht="15" hidden="false" customHeight="false" outlineLevel="0" collapsed="false">
      <c r="V11822" s="23" t="str">
        <f aca="false">IF(ISNUMBER(C11822),YEAR(C11822),"")</f>
        <v/>
      </c>
      <c r="W11822" s="23" t="str">
        <f aca="false">IF(ISNUMBER(C11822),MONTH(C11822),"")</f>
        <v/>
      </c>
      <c r="X11822" s="23" t="str">
        <f aca="false">IF(T11822="","",IF(T11822=0,"No discount",IF(T11822&lt;=0.2,"Low (1-20%)",IF(T11822&lt;=0.4,"Medium (21-40%)","High (&gt;40%)"))))</f>
        <v/>
      </c>
      <c r="Y11822" s="23" t="str">
        <f aca="false">IF(AND(ISNUMBER(C11822),ISNUMBER(D11822)),D11822-C11822,"")</f>
        <v/>
      </c>
      <c r="Z11822" s="23" t="str">
        <f aca="false">IF(B11822="","",IF(MATCH(B11822,$B$2:$B$12000,0)=ROW()-1,1,0))</f>
        <v/>
      </c>
    </row>
    <row r="11823" customFormat="false" ht="15" hidden="false" customHeight="false" outlineLevel="0" collapsed="false">
      <c r="V11823" s="23" t="str">
        <f aca="false">IF(ISNUMBER(C11823),YEAR(C11823),"")</f>
        <v/>
      </c>
      <c r="W11823" s="23" t="str">
        <f aca="false">IF(ISNUMBER(C11823),MONTH(C11823),"")</f>
        <v/>
      </c>
      <c r="X11823" s="23" t="str">
        <f aca="false">IF(T11823="","",IF(T11823=0,"No discount",IF(T11823&lt;=0.2,"Low (1-20%)",IF(T11823&lt;=0.4,"Medium (21-40%)","High (&gt;40%)"))))</f>
        <v/>
      </c>
      <c r="Y11823" s="23" t="str">
        <f aca="false">IF(AND(ISNUMBER(C11823),ISNUMBER(D11823)),D11823-C11823,"")</f>
        <v/>
      </c>
      <c r="Z11823" s="23" t="str">
        <f aca="false">IF(B11823="","",IF(MATCH(B11823,$B$2:$B$12000,0)=ROW()-1,1,0))</f>
        <v/>
      </c>
    </row>
    <row r="11824" customFormat="false" ht="15" hidden="false" customHeight="false" outlineLevel="0" collapsed="false">
      <c r="V11824" s="23" t="str">
        <f aca="false">IF(ISNUMBER(C11824),YEAR(C11824),"")</f>
        <v/>
      </c>
      <c r="W11824" s="23" t="str">
        <f aca="false">IF(ISNUMBER(C11824),MONTH(C11824),"")</f>
        <v/>
      </c>
      <c r="X11824" s="23" t="str">
        <f aca="false">IF(T11824="","",IF(T11824=0,"No discount",IF(T11824&lt;=0.2,"Low (1-20%)",IF(T11824&lt;=0.4,"Medium (21-40%)","High (&gt;40%)"))))</f>
        <v/>
      </c>
      <c r="Y11824" s="23" t="str">
        <f aca="false">IF(AND(ISNUMBER(C11824),ISNUMBER(D11824)),D11824-C11824,"")</f>
        <v/>
      </c>
      <c r="Z11824" s="23" t="str">
        <f aca="false">IF(B11824="","",IF(MATCH(B11824,$B$2:$B$12000,0)=ROW()-1,1,0))</f>
        <v/>
      </c>
    </row>
    <row r="11825" customFormat="false" ht="15" hidden="false" customHeight="false" outlineLevel="0" collapsed="false">
      <c r="V11825" s="23" t="str">
        <f aca="false">IF(ISNUMBER(C11825),YEAR(C11825),"")</f>
        <v/>
      </c>
      <c r="W11825" s="23" t="str">
        <f aca="false">IF(ISNUMBER(C11825),MONTH(C11825),"")</f>
        <v/>
      </c>
      <c r="X11825" s="23" t="str">
        <f aca="false">IF(T11825="","",IF(T11825=0,"No discount",IF(T11825&lt;=0.2,"Low (1-20%)",IF(T11825&lt;=0.4,"Medium (21-40%)","High (&gt;40%)"))))</f>
        <v/>
      </c>
      <c r="Y11825" s="23" t="str">
        <f aca="false">IF(AND(ISNUMBER(C11825),ISNUMBER(D11825)),D11825-C11825,"")</f>
        <v/>
      </c>
      <c r="Z11825" s="23" t="str">
        <f aca="false">IF(B11825="","",IF(MATCH(B11825,$B$2:$B$12000,0)=ROW()-1,1,0))</f>
        <v/>
      </c>
    </row>
    <row r="11826" customFormat="false" ht="15" hidden="false" customHeight="false" outlineLevel="0" collapsed="false">
      <c r="V11826" s="23" t="str">
        <f aca="false">IF(ISNUMBER(C11826),YEAR(C11826),"")</f>
        <v/>
      </c>
      <c r="W11826" s="23" t="str">
        <f aca="false">IF(ISNUMBER(C11826),MONTH(C11826),"")</f>
        <v/>
      </c>
      <c r="X11826" s="23" t="str">
        <f aca="false">IF(T11826="","",IF(T11826=0,"No discount",IF(T11826&lt;=0.2,"Low (1-20%)",IF(T11826&lt;=0.4,"Medium (21-40%)","High (&gt;40%)"))))</f>
        <v/>
      </c>
      <c r="Y11826" s="23" t="str">
        <f aca="false">IF(AND(ISNUMBER(C11826),ISNUMBER(D11826)),D11826-C11826,"")</f>
        <v/>
      </c>
      <c r="Z11826" s="23" t="str">
        <f aca="false">IF(B11826="","",IF(MATCH(B11826,$B$2:$B$12000,0)=ROW()-1,1,0))</f>
        <v/>
      </c>
    </row>
    <row r="11827" customFormat="false" ht="15" hidden="false" customHeight="false" outlineLevel="0" collapsed="false">
      <c r="V11827" s="23" t="str">
        <f aca="false">IF(ISNUMBER(C11827),YEAR(C11827),"")</f>
        <v/>
      </c>
      <c r="W11827" s="23" t="str">
        <f aca="false">IF(ISNUMBER(C11827),MONTH(C11827),"")</f>
        <v/>
      </c>
      <c r="X11827" s="23" t="str">
        <f aca="false">IF(T11827="","",IF(T11827=0,"No discount",IF(T11827&lt;=0.2,"Low (1-20%)",IF(T11827&lt;=0.4,"Medium (21-40%)","High (&gt;40%)"))))</f>
        <v/>
      </c>
      <c r="Y11827" s="23" t="str">
        <f aca="false">IF(AND(ISNUMBER(C11827),ISNUMBER(D11827)),D11827-C11827,"")</f>
        <v/>
      </c>
      <c r="Z11827" s="23" t="str">
        <f aca="false">IF(B11827="","",IF(MATCH(B11827,$B$2:$B$12000,0)=ROW()-1,1,0))</f>
        <v/>
      </c>
    </row>
    <row r="11828" customFormat="false" ht="15" hidden="false" customHeight="false" outlineLevel="0" collapsed="false">
      <c r="V11828" s="23" t="str">
        <f aca="false">IF(ISNUMBER(C11828),YEAR(C11828),"")</f>
        <v/>
      </c>
      <c r="W11828" s="23" t="str">
        <f aca="false">IF(ISNUMBER(C11828),MONTH(C11828),"")</f>
        <v/>
      </c>
      <c r="X11828" s="23" t="str">
        <f aca="false">IF(T11828="","",IF(T11828=0,"No discount",IF(T11828&lt;=0.2,"Low (1-20%)",IF(T11828&lt;=0.4,"Medium (21-40%)","High (&gt;40%)"))))</f>
        <v/>
      </c>
      <c r="Y11828" s="23" t="str">
        <f aca="false">IF(AND(ISNUMBER(C11828),ISNUMBER(D11828)),D11828-C11828,"")</f>
        <v/>
      </c>
      <c r="Z11828" s="23" t="str">
        <f aca="false">IF(B11828="","",IF(MATCH(B11828,$B$2:$B$12000,0)=ROW()-1,1,0))</f>
        <v/>
      </c>
    </row>
    <row r="11829" customFormat="false" ht="15" hidden="false" customHeight="false" outlineLevel="0" collapsed="false">
      <c r="V11829" s="23" t="str">
        <f aca="false">IF(ISNUMBER(C11829),YEAR(C11829),"")</f>
        <v/>
      </c>
      <c r="W11829" s="23" t="str">
        <f aca="false">IF(ISNUMBER(C11829),MONTH(C11829),"")</f>
        <v/>
      </c>
      <c r="X11829" s="23" t="str">
        <f aca="false">IF(T11829="","",IF(T11829=0,"No discount",IF(T11829&lt;=0.2,"Low (1-20%)",IF(T11829&lt;=0.4,"Medium (21-40%)","High (&gt;40%)"))))</f>
        <v/>
      </c>
      <c r="Y11829" s="23" t="str">
        <f aca="false">IF(AND(ISNUMBER(C11829),ISNUMBER(D11829)),D11829-C11829,"")</f>
        <v/>
      </c>
      <c r="Z11829" s="23" t="str">
        <f aca="false">IF(B11829="","",IF(MATCH(B11829,$B$2:$B$12000,0)=ROW()-1,1,0))</f>
        <v/>
      </c>
    </row>
    <row r="11830" customFormat="false" ht="15" hidden="false" customHeight="false" outlineLevel="0" collapsed="false">
      <c r="V11830" s="23" t="str">
        <f aca="false">IF(ISNUMBER(C11830),YEAR(C11830),"")</f>
        <v/>
      </c>
      <c r="W11830" s="23" t="str">
        <f aca="false">IF(ISNUMBER(C11830),MONTH(C11830),"")</f>
        <v/>
      </c>
      <c r="X11830" s="23" t="str">
        <f aca="false">IF(T11830="","",IF(T11830=0,"No discount",IF(T11830&lt;=0.2,"Low (1-20%)",IF(T11830&lt;=0.4,"Medium (21-40%)","High (&gt;40%)"))))</f>
        <v/>
      </c>
      <c r="Y11830" s="23" t="str">
        <f aca="false">IF(AND(ISNUMBER(C11830),ISNUMBER(D11830)),D11830-C11830,"")</f>
        <v/>
      </c>
      <c r="Z11830" s="23" t="str">
        <f aca="false">IF(B11830="","",IF(MATCH(B11830,$B$2:$B$12000,0)=ROW()-1,1,0))</f>
        <v/>
      </c>
    </row>
    <row r="11831" customFormat="false" ht="15" hidden="false" customHeight="false" outlineLevel="0" collapsed="false">
      <c r="V11831" s="23" t="str">
        <f aca="false">IF(ISNUMBER(C11831),YEAR(C11831),"")</f>
        <v/>
      </c>
      <c r="W11831" s="23" t="str">
        <f aca="false">IF(ISNUMBER(C11831),MONTH(C11831),"")</f>
        <v/>
      </c>
      <c r="X11831" s="23" t="str">
        <f aca="false">IF(T11831="","",IF(T11831=0,"No discount",IF(T11831&lt;=0.2,"Low (1-20%)",IF(T11831&lt;=0.4,"Medium (21-40%)","High (&gt;40%)"))))</f>
        <v/>
      </c>
      <c r="Y11831" s="23" t="str">
        <f aca="false">IF(AND(ISNUMBER(C11831),ISNUMBER(D11831)),D11831-C11831,"")</f>
        <v/>
      </c>
      <c r="Z11831" s="23" t="str">
        <f aca="false">IF(B11831="","",IF(MATCH(B11831,$B$2:$B$12000,0)=ROW()-1,1,0))</f>
        <v/>
      </c>
    </row>
    <row r="11832" customFormat="false" ht="15" hidden="false" customHeight="false" outlineLevel="0" collapsed="false">
      <c r="V11832" s="23" t="str">
        <f aca="false">IF(ISNUMBER(C11832),YEAR(C11832),"")</f>
        <v/>
      </c>
      <c r="W11832" s="23" t="str">
        <f aca="false">IF(ISNUMBER(C11832),MONTH(C11832),"")</f>
        <v/>
      </c>
      <c r="X11832" s="23" t="str">
        <f aca="false">IF(T11832="","",IF(T11832=0,"No discount",IF(T11832&lt;=0.2,"Low (1-20%)",IF(T11832&lt;=0.4,"Medium (21-40%)","High (&gt;40%)"))))</f>
        <v/>
      </c>
      <c r="Y11832" s="23" t="str">
        <f aca="false">IF(AND(ISNUMBER(C11832),ISNUMBER(D11832)),D11832-C11832,"")</f>
        <v/>
      </c>
      <c r="Z11832" s="23" t="str">
        <f aca="false">IF(B11832="","",IF(MATCH(B11832,$B$2:$B$12000,0)=ROW()-1,1,0))</f>
        <v/>
      </c>
    </row>
    <row r="11833" customFormat="false" ht="15" hidden="false" customHeight="false" outlineLevel="0" collapsed="false">
      <c r="V11833" s="23" t="str">
        <f aca="false">IF(ISNUMBER(C11833),YEAR(C11833),"")</f>
        <v/>
      </c>
      <c r="W11833" s="23" t="str">
        <f aca="false">IF(ISNUMBER(C11833),MONTH(C11833),"")</f>
        <v/>
      </c>
      <c r="X11833" s="23" t="str">
        <f aca="false">IF(T11833="","",IF(T11833=0,"No discount",IF(T11833&lt;=0.2,"Low (1-20%)",IF(T11833&lt;=0.4,"Medium (21-40%)","High (&gt;40%)"))))</f>
        <v/>
      </c>
      <c r="Y11833" s="23" t="str">
        <f aca="false">IF(AND(ISNUMBER(C11833),ISNUMBER(D11833)),D11833-C11833,"")</f>
        <v/>
      </c>
      <c r="Z11833" s="23" t="str">
        <f aca="false">IF(B11833="","",IF(MATCH(B11833,$B$2:$B$12000,0)=ROW()-1,1,0))</f>
        <v/>
      </c>
    </row>
    <row r="11834" customFormat="false" ht="15" hidden="false" customHeight="false" outlineLevel="0" collapsed="false">
      <c r="V11834" s="23" t="str">
        <f aca="false">IF(ISNUMBER(C11834),YEAR(C11834),"")</f>
        <v/>
      </c>
      <c r="W11834" s="23" t="str">
        <f aca="false">IF(ISNUMBER(C11834),MONTH(C11834),"")</f>
        <v/>
      </c>
      <c r="X11834" s="23" t="str">
        <f aca="false">IF(T11834="","",IF(T11834=0,"No discount",IF(T11834&lt;=0.2,"Low (1-20%)",IF(T11834&lt;=0.4,"Medium (21-40%)","High (&gt;40%)"))))</f>
        <v/>
      </c>
      <c r="Y11834" s="23" t="str">
        <f aca="false">IF(AND(ISNUMBER(C11834),ISNUMBER(D11834)),D11834-C11834,"")</f>
        <v/>
      </c>
      <c r="Z11834" s="23" t="str">
        <f aca="false">IF(B11834="","",IF(MATCH(B11834,$B$2:$B$12000,0)=ROW()-1,1,0))</f>
        <v/>
      </c>
    </row>
    <row r="11835" customFormat="false" ht="15" hidden="false" customHeight="false" outlineLevel="0" collapsed="false">
      <c r="V11835" s="23" t="str">
        <f aca="false">IF(ISNUMBER(C11835),YEAR(C11835),"")</f>
        <v/>
      </c>
      <c r="W11835" s="23" t="str">
        <f aca="false">IF(ISNUMBER(C11835),MONTH(C11835),"")</f>
        <v/>
      </c>
      <c r="X11835" s="23" t="str">
        <f aca="false">IF(T11835="","",IF(T11835=0,"No discount",IF(T11835&lt;=0.2,"Low (1-20%)",IF(T11835&lt;=0.4,"Medium (21-40%)","High (&gt;40%)"))))</f>
        <v/>
      </c>
      <c r="Y11835" s="23" t="str">
        <f aca="false">IF(AND(ISNUMBER(C11835),ISNUMBER(D11835)),D11835-C11835,"")</f>
        <v/>
      </c>
      <c r="Z11835" s="23" t="str">
        <f aca="false">IF(B11835="","",IF(MATCH(B11835,$B$2:$B$12000,0)=ROW()-1,1,0))</f>
        <v/>
      </c>
    </row>
    <row r="11836" customFormat="false" ht="15" hidden="false" customHeight="false" outlineLevel="0" collapsed="false">
      <c r="V11836" s="23" t="str">
        <f aca="false">IF(ISNUMBER(C11836),YEAR(C11836),"")</f>
        <v/>
      </c>
      <c r="W11836" s="23" t="str">
        <f aca="false">IF(ISNUMBER(C11836),MONTH(C11836),"")</f>
        <v/>
      </c>
      <c r="X11836" s="23" t="str">
        <f aca="false">IF(T11836="","",IF(T11836=0,"No discount",IF(T11836&lt;=0.2,"Low (1-20%)",IF(T11836&lt;=0.4,"Medium (21-40%)","High (&gt;40%)"))))</f>
        <v/>
      </c>
      <c r="Y11836" s="23" t="str">
        <f aca="false">IF(AND(ISNUMBER(C11836),ISNUMBER(D11836)),D11836-C11836,"")</f>
        <v/>
      </c>
      <c r="Z11836" s="23" t="str">
        <f aca="false">IF(B11836="","",IF(MATCH(B11836,$B$2:$B$12000,0)=ROW()-1,1,0))</f>
        <v/>
      </c>
    </row>
    <row r="11837" customFormat="false" ht="15" hidden="false" customHeight="false" outlineLevel="0" collapsed="false">
      <c r="V11837" s="23" t="str">
        <f aca="false">IF(ISNUMBER(C11837),YEAR(C11837),"")</f>
        <v/>
      </c>
      <c r="W11837" s="23" t="str">
        <f aca="false">IF(ISNUMBER(C11837),MONTH(C11837),"")</f>
        <v/>
      </c>
      <c r="X11837" s="23" t="str">
        <f aca="false">IF(T11837="","",IF(T11837=0,"No discount",IF(T11837&lt;=0.2,"Low (1-20%)",IF(T11837&lt;=0.4,"Medium (21-40%)","High (&gt;40%)"))))</f>
        <v/>
      </c>
      <c r="Y11837" s="23" t="str">
        <f aca="false">IF(AND(ISNUMBER(C11837),ISNUMBER(D11837)),D11837-C11837,"")</f>
        <v/>
      </c>
      <c r="Z11837" s="23" t="str">
        <f aca="false">IF(B11837="","",IF(MATCH(B11837,$B$2:$B$12000,0)=ROW()-1,1,0))</f>
        <v/>
      </c>
    </row>
    <row r="11838" customFormat="false" ht="15" hidden="false" customHeight="false" outlineLevel="0" collapsed="false">
      <c r="V11838" s="23" t="str">
        <f aca="false">IF(ISNUMBER(C11838),YEAR(C11838),"")</f>
        <v/>
      </c>
      <c r="W11838" s="23" t="str">
        <f aca="false">IF(ISNUMBER(C11838),MONTH(C11838),"")</f>
        <v/>
      </c>
      <c r="X11838" s="23" t="str">
        <f aca="false">IF(T11838="","",IF(T11838=0,"No discount",IF(T11838&lt;=0.2,"Low (1-20%)",IF(T11838&lt;=0.4,"Medium (21-40%)","High (&gt;40%)"))))</f>
        <v/>
      </c>
      <c r="Y11838" s="23" t="str">
        <f aca="false">IF(AND(ISNUMBER(C11838),ISNUMBER(D11838)),D11838-C11838,"")</f>
        <v/>
      </c>
      <c r="Z11838" s="23" t="str">
        <f aca="false">IF(B11838="","",IF(MATCH(B11838,$B$2:$B$12000,0)=ROW()-1,1,0))</f>
        <v/>
      </c>
    </row>
    <row r="11839" customFormat="false" ht="15" hidden="false" customHeight="false" outlineLevel="0" collapsed="false">
      <c r="V11839" s="23" t="str">
        <f aca="false">IF(ISNUMBER(C11839),YEAR(C11839),"")</f>
        <v/>
      </c>
      <c r="W11839" s="23" t="str">
        <f aca="false">IF(ISNUMBER(C11839),MONTH(C11839),"")</f>
        <v/>
      </c>
      <c r="X11839" s="23" t="str">
        <f aca="false">IF(T11839="","",IF(T11839=0,"No discount",IF(T11839&lt;=0.2,"Low (1-20%)",IF(T11839&lt;=0.4,"Medium (21-40%)","High (&gt;40%)"))))</f>
        <v/>
      </c>
      <c r="Y11839" s="23" t="str">
        <f aca="false">IF(AND(ISNUMBER(C11839),ISNUMBER(D11839)),D11839-C11839,"")</f>
        <v/>
      </c>
      <c r="Z11839" s="23" t="str">
        <f aca="false">IF(B11839="","",IF(MATCH(B11839,$B$2:$B$12000,0)=ROW()-1,1,0))</f>
        <v/>
      </c>
    </row>
    <row r="11840" customFormat="false" ht="15" hidden="false" customHeight="false" outlineLevel="0" collapsed="false">
      <c r="V11840" s="23" t="str">
        <f aca="false">IF(ISNUMBER(C11840),YEAR(C11840),"")</f>
        <v/>
      </c>
      <c r="W11840" s="23" t="str">
        <f aca="false">IF(ISNUMBER(C11840),MONTH(C11840),"")</f>
        <v/>
      </c>
      <c r="X11840" s="23" t="str">
        <f aca="false">IF(T11840="","",IF(T11840=0,"No discount",IF(T11840&lt;=0.2,"Low (1-20%)",IF(T11840&lt;=0.4,"Medium (21-40%)","High (&gt;40%)"))))</f>
        <v/>
      </c>
      <c r="Y11840" s="23" t="str">
        <f aca="false">IF(AND(ISNUMBER(C11840),ISNUMBER(D11840)),D11840-C11840,"")</f>
        <v/>
      </c>
      <c r="Z11840" s="23" t="str">
        <f aca="false">IF(B11840="","",IF(MATCH(B11840,$B$2:$B$12000,0)=ROW()-1,1,0))</f>
        <v/>
      </c>
    </row>
    <row r="11841" customFormat="false" ht="15" hidden="false" customHeight="false" outlineLevel="0" collapsed="false">
      <c r="V11841" s="23" t="str">
        <f aca="false">IF(ISNUMBER(C11841),YEAR(C11841),"")</f>
        <v/>
      </c>
      <c r="W11841" s="23" t="str">
        <f aca="false">IF(ISNUMBER(C11841),MONTH(C11841),"")</f>
        <v/>
      </c>
      <c r="X11841" s="23" t="str">
        <f aca="false">IF(T11841="","",IF(T11841=0,"No discount",IF(T11841&lt;=0.2,"Low (1-20%)",IF(T11841&lt;=0.4,"Medium (21-40%)","High (&gt;40%)"))))</f>
        <v/>
      </c>
      <c r="Y11841" s="23" t="str">
        <f aca="false">IF(AND(ISNUMBER(C11841),ISNUMBER(D11841)),D11841-C11841,"")</f>
        <v/>
      </c>
      <c r="Z11841" s="23" t="str">
        <f aca="false">IF(B11841="","",IF(MATCH(B11841,$B$2:$B$12000,0)=ROW()-1,1,0))</f>
        <v/>
      </c>
    </row>
    <row r="11842" customFormat="false" ht="15" hidden="false" customHeight="false" outlineLevel="0" collapsed="false">
      <c r="V11842" s="23" t="str">
        <f aca="false">IF(ISNUMBER(C11842),YEAR(C11842),"")</f>
        <v/>
      </c>
      <c r="W11842" s="23" t="str">
        <f aca="false">IF(ISNUMBER(C11842),MONTH(C11842),"")</f>
        <v/>
      </c>
      <c r="X11842" s="23" t="str">
        <f aca="false">IF(T11842="","",IF(T11842=0,"No discount",IF(T11842&lt;=0.2,"Low (1-20%)",IF(T11842&lt;=0.4,"Medium (21-40%)","High (&gt;40%)"))))</f>
        <v/>
      </c>
      <c r="Y11842" s="23" t="str">
        <f aca="false">IF(AND(ISNUMBER(C11842),ISNUMBER(D11842)),D11842-C11842,"")</f>
        <v/>
      </c>
      <c r="Z11842" s="23" t="str">
        <f aca="false">IF(B11842="","",IF(MATCH(B11842,$B$2:$B$12000,0)=ROW()-1,1,0))</f>
        <v/>
      </c>
    </row>
    <row r="11843" customFormat="false" ht="15" hidden="false" customHeight="false" outlineLevel="0" collapsed="false">
      <c r="V11843" s="23" t="str">
        <f aca="false">IF(ISNUMBER(C11843),YEAR(C11843),"")</f>
        <v/>
      </c>
      <c r="W11843" s="23" t="str">
        <f aca="false">IF(ISNUMBER(C11843),MONTH(C11843),"")</f>
        <v/>
      </c>
      <c r="X11843" s="23" t="str">
        <f aca="false">IF(T11843="","",IF(T11843=0,"No discount",IF(T11843&lt;=0.2,"Low (1-20%)",IF(T11843&lt;=0.4,"Medium (21-40%)","High (&gt;40%)"))))</f>
        <v/>
      </c>
      <c r="Y11843" s="23" t="str">
        <f aca="false">IF(AND(ISNUMBER(C11843),ISNUMBER(D11843)),D11843-C11843,"")</f>
        <v/>
      </c>
      <c r="Z11843" s="23" t="str">
        <f aca="false">IF(B11843="","",IF(MATCH(B11843,$B$2:$B$12000,0)=ROW()-1,1,0))</f>
        <v/>
      </c>
    </row>
    <row r="11844" customFormat="false" ht="15" hidden="false" customHeight="false" outlineLevel="0" collapsed="false">
      <c r="V11844" s="23" t="str">
        <f aca="false">IF(ISNUMBER(C11844),YEAR(C11844),"")</f>
        <v/>
      </c>
      <c r="W11844" s="23" t="str">
        <f aca="false">IF(ISNUMBER(C11844),MONTH(C11844),"")</f>
        <v/>
      </c>
      <c r="X11844" s="23" t="str">
        <f aca="false">IF(T11844="","",IF(T11844=0,"No discount",IF(T11844&lt;=0.2,"Low (1-20%)",IF(T11844&lt;=0.4,"Medium (21-40%)","High (&gt;40%)"))))</f>
        <v/>
      </c>
      <c r="Y11844" s="23" t="str">
        <f aca="false">IF(AND(ISNUMBER(C11844),ISNUMBER(D11844)),D11844-C11844,"")</f>
        <v/>
      </c>
      <c r="Z11844" s="23" t="str">
        <f aca="false">IF(B11844="","",IF(MATCH(B11844,$B$2:$B$12000,0)=ROW()-1,1,0))</f>
        <v/>
      </c>
    </row>
    <row r="11845" customFormat="false" ht="15" hidden="false" customHeight="false" outlineLevel="0" collapsed="false">
      <c r="V11845" s="23" t="str">
        <f aca="false">IF(ISNUMBER(C11845),YEAR(C11845),"")</f>
        <v/>
      </c>
      <c r="W11845" s="23" t="str">
        <f aca="false">IF(ISNUMBER(C11845),MONTH(C11845),"")</f>
        <v/>
      </c>
      <c r="X11845" s="23" t="str">
        <f aca="false">IF(T11845="","",IF(T11845=0,"No discount",IF(T11845&lt;=0.2,"Low (1-20%)",IF(T11845&lt;=0.4,"Medium (21-40%)","High (&gt;40%)"))))</f>
        <v/>
      </c>
      <c r="Y11845" s="23" t="str">
        <f aca="false">IF(AND(ISNUMBER(C11845),ISNUMBER(D11845)),D11845-C11845,"")</f>
        <v/>
      </c>
      <c r="Z11845" s="23" t="str">
        <f aca="false">IF(B11845="","",IF(MATCH(B11845,$B$2:$B$12000,0)=ROW()-1,1,0))</f>
        <v/>
      </c>
    </row>
    <row r="11846" customFormat="false" ht="15" hidden="false" customHeight="false" outlineLevel="0" collapsed="false">
      <c r="V11846" s="23" t="str">
        <f aca="false">IF(ISNUMBER(C11846),YEAR(C11846),"")</f>
        <v/>
      </c>
      <c r="W11846" s="23" t="str">
        <f aca="false">IF(ISNUMBER(C11846),MONTH(C11846),"")</f>
        <v/>
      </c>
      <c r="X11846" s="23" t="str">
        <f aca="false">IF(T11846="","",IF(T11846=0,"No discount",IF(T11846&lt;=0.2,"Low (1-20%)",IF(T11846&lt;=0.4,"Medium (21-40%)","High (&gt;40%)"))))</f>
        <v/>
      </c>
      <c r="Y11846" s="23" t="str">
        <f aca="false">IF(AND(ISNUMBER(C11846),ISNUMBER(D11846)),D11846-C11846,"")</f>
        <v/>
      </c>
      <c r="Z11846" s="23" t="str">
        <f aca="false">IF(B11846="","",IF(MATCH(B11846,$B$2:$B$12000,0)=ROW()-1,1,0))</f>
        <v/>
      </c>
    </row>
    <row r="11847" customFormat="false" ht="15" hidden="false" customHeight="false" outlineLevel="0" collapsed="false">
      <c r="V11847" s="23" t="str">
        <f aca="false">IF(ISNUMBER(C11847),YEAR(C11847),"")</f>
        <v/>
      </c>
      <c r="W11847" s="23" t="str">
        <f aca="false">IF(ISNUMBER(C11847),MONTH(C11847),"")</f>
        <v/>
      </c>
      <c r="X11847" s="23" t="str">
        <f aca="false">IF(T11847="","",IF(T11847=0,"No discount",IF(T11847&lt;=0.2,"Low (1-20%)",IF(T11847&lt;=0.4,"Medium (21-40%)","High (&gt;40%)"))))</f>
        <v/>
      </c>
      <c r="Y11847" s="23" t="str">
        <f aca="false">IF(AND(ISNUMBER(C11847),ISNUMBER(D11847)),D11847-C11847,"")</f>
        <v/>
      </c>
      <c r="Z11847" s="23" t="str">
        <f aca="false">IF(B11847="","",IF(MATCH(B11847,$B$2:$B$12000,0)=ROW()-1,1,0))</f>
        <v/>
      </c>
    </row>
    <row r="11848" customFormat="false" ht="15" hidden="false" customHeight="false" outlineLevel="0" collapsed="false">
      <c r="V11848" s="23" t="str">
        <f aca="false">IF(ISNUMBER(C11848),YEAR(C11848),"")</f>
        <v/>
      </c>
      <c r="W11848" s="23" t="str">
        <f aca="false">IF(ISNUMBER(C11848),MONTH(C11848),"")</f>
        <v/>
      </c>
      <c r="X11848" s="23" t="str">
        <f aca="false">IF(T11848="","",IF(T11848=0,"No discount",IF(T11848&lt;=0.2,"Low (1-20%)",IF(T11848&lt;=0.4,"Medium (21-40%)","High (&gt;40%)"))))</f>
        <v/>
      </c>
      <c r="Y11848" s="23" t="str">
        <f aca="false">IF(AND(ISNUMBER(C11848),ISNUMBER(D11848)),D11848-C11848,"")</f>
        <v/>
      </c>
      <c r="Z11848" s="23" t="str">
        <f aca="false">IF(B11848="","",IF(MATCH(B11848,$B$2:$B$12000,0)=ROW()-1,1,0))</f>
        <v/>
      </c>
    </row>
    <row r="11849" customFormat="false" ht="15" hidden="false" customHeight="false" outlineLevel="0" collapsed="false">
      <c r="V11849" s="23" t="str">
        <f aca="false">IF(ISNUMBER(C11849),YEAR(C11849),"")</f>
        <v/>
      </c>
      <c r="W11849" s="23" t="str">
        <f aca="false">IF(ISNUMBER(C11849),MONTH(C11849),"")</f>
        <v/>
      </c>
      <c r="X11849" s="23" t="str">
        <f aca="false">IF(T11849="","",IF(T11849=0,"No discount",IF(T11849&lt;=0.2,"Low (1-20%)",IF(T11849&lt;=0.4,"Medium (21-40%)","High (&gt;40%)"))))</f>
        <v/>
      </c>
      <c r="Y11849" s="23" t="str">
        <f aca="false">IF(AND(ISNUMBER(C11849),ISNUMBER(D11849)),D11849-C11849,"")</f>
        <v/>
      </c>
      <c r="Z11849" s="23" t="str">
        <f aca="false">IF(B11849="","",IF(MATCH(B11849,$B$2:$B$12000,0)=ROW()-1,1,0))</f>
        <v/>
      </c>
    </row>
    <row r="11850" customFormat="false" ht="15" hidden="false" customHeight="false" outlineLevel="0" collapsed="false">
      <c r="V11850" s="23" t="str">
        <f aca="false">IF(ISNUMBER(C11850),YEAR(C11850),"")</f>
        <v/>
      </c>
      <c r="W11850" s="23" t="str">
        <f aca="false">IF(ISNUMBER(C11850),MONTH(C11850),"")</f>
        <v/>
      </c>
      <c r="X11850" s="23" t="str">
        <f aca="false">IF(T11850="","",IF(T11850=0,"No discount",IF(T11850&lt;=0.2,"Low (1-20%)",IF(T11850&lt;=0.4,"Medium (21-40%)","High (&gt;40%)"))))</f>
        <v/>
      </c>
      <c r="Y11850" s="23" t="str">
        <f aca="false">IF(AND(ISNUMBER(C11850),ISNUMBER(D11850)),D11850-C11850,"")</f>
        <v/>
      </c>
      <c r="Z11850" s="23" t="str">
        <f aca="false">IF(B11850="","",IF(MATCH(B11850,$B$2:$B$12000,0)=ROW()-1,1,0))</f>
        <v/>
      </c>
    </row>
    <row r="11851" customFormat="false" ht="15" hidden="false" customHeight="false" outlineLevel="0" collapsed="false">
      <c r="V11851" s="23" t="str">
        <f aca="false">IF(ISNUMBER(C11851),YEAR(C11851),"")</f>
        <v/>
      </c>
      <c r="W11851" s="23" t="str">
        <f aca="false">IF(ISNUMBER(C11851),MONTH(C11851),"")</f>
        <v/>
      </c>
      <c r="X11851" s="23" t="str">
        <f aca="false">IF(T11851="","",IF(T11851=0,"No discount",IF(T11851&lt;=0.2,"Low (1-20%)",IF(T11851&lt;=0.4,"Medium (21-40%)","High (&gt;40%)"))))</f>
        <v/>
      </c>
      <c r="Y11851" s="23" t="str">
        <f aca="false">IF(AND(ISNUMBER(C11851),ISNUMBER(D11851)),D11851-C11851,"")</f>
        <v/>
      </c>
      <c r="Z11851" s="23" t="str">
        <f aca="false">IF(B11851="","",IF(MATCH(B11851,$B$2:$B$12000,0)=ROW()-1,1,0))</f>
        <v/>
      </c>
    </row>
    <row r="11852" customFormat="false" ht="15" hidden="false" customHeight="false" outlineLevel="0" collapsed="false">
      <c r="V11852" s="23" t="str">
        <f aca="false">IF(ISNUMBER(C11852),YEAR(C11852),"")</f>
        <v/>
      </c>
      <c r="W11852" s="23" t="str">
        <f aca="false">IF(ISNUMBER(C11852),MONTH(C11852),"")</f>
        <v/>
      </c>
      <c r="X11852" s="23" t="str">
        <f aca="false">IF(T11852="","",IF(T11852=0,"No discount",IF(T11852&lt;=0.2,"Low (1-20%)",IF(T11852&lt;=0.4,"Medium (21-40%)","High (&gt;40%)"))))</f>
        <v/>
      </c>
      <c r="Y11852" s="23" t="str">
        <f aca="false">IF(AND(ISNUMBER(C11852),ISNUMBER(D11852)),D11852-C11852,"")</f>
        <v/>
      </c>
      <c r="Z11852" s="23" t="str">
        <f aca="false">IF(B11852="","",IF(MATCH(B11852,$B$2:$B$12000,0)=ROW()-1,1,0))</f>
        <v/>
      </c>
    </row>
    <row r="11853" customFormat="false" ht="15" hidden="false" customHeight="false" outlineLevel="0" collapsed="false">
      <c r="V11853" s="23" t="str">
        <f aca="false">IF(ISNUMBER(C11853),YEAR(C11853),"")</f>
        <v/>
      </c>
      <c r="W11853" s="23" t="str">
        <f aca="false">IF(ISNUMBER(C11853),MONTH(C11853),"")</f>
        <v/>
      </c>
      <c r="X11853" s="23" t="str">
        <f aca="false">IF(T11853="","",IF(T11853=0,"No discount",IF(T11853&lt;=0.2,"Low (1-20%)",IF(T11853&lt;=0.4,"Medium (21-40%)","High (&gt;40%)"))))</f>
        <v/>
      </c>
      <c r="Y11853" s="23" t="str">
        <f aca="false">IF(AND(ISNUMBER(C11853),ISNUMBER(D11853)),D11853-C11853,"")</f>
        <v/>
      </c>
      <c r="Z11853" s="23" t="str">
        <f aca="false">IF(B11853="","",IF(MATCH(B11853,$B$2:$B$12000,0)=ROW()-1,1,0))</f>
        <v/>
      </c>
    </row>
    <row r="11854" customFormat="false" ht="15" hidden="false" customHeight="false" outlineLevel="0" collapsed="false">
      <c r="V11854" s="23" t="str">
        <f aca="false">IF(ISNUMBER(C11854),YEAR(C11854),"")</f>
        <v/>
      </c>
      <c r="W11854" s="23" t="str">
        <f aca="false">IF(ISNUMBER(C11854),MONTH(C11854),"")</f>
        <v/>
      </c>
      <c r="X11854" s="23" t="str">
        <f aca="false">IF(T11854="","",IF(T11854=0,"No discount",IF(T11854&lt;=0.2,"Low (1-20%)",IF(T11854&lt;=0.4,"Medium (21-40%)","High (&gt;40%)"))))</f>
        <v/>
      </c>
      <c r="Y11854" s="23" t="str">
        <f aca="false">IF(AND(ISNUMBER(C11854),ISNUMBER(D11854)),D11854-C11854,"")</f>
        <v/>
      </c>
      <c r="Z11854" s="23" t="str">
        <f aca="false">IF(B11854="","",IF(MATCH(B11854,$B$2:$B$12000,0)=ROW()-1,1,0))</f>
        <v/>
      </c>
    </row>
    <row r="11855" customFormat="false" ht="15" hidden="false" customHeight="false" outlineLevel="0" collapsed="false">
      <c r="V11855" s="23" t="str">
        <f aca="false">IF(ISNUMBER(C11855),YEAR(C11855),"")</f>
        <v/>
      </c>
      <c r="W11855" s="23" t="str">
        <f aca="false">IF(ISNUMBER(C11855),MONTH(C11855),"")</f>
        <v/>
      </c>
      <c r="X11855" s="23" t="str">
        <f aca="false">IF(T11855="","",IF(T11855=0,"No discount",IF(T11855&lt;=0.2,"Low (1-20%)",IF(T11855&lt;=0.4,"Medium (21-40%)","High (&gt;40%)"))))</f>
        <v/>
      </c>
      <c r="Y11855" s="23" t="str">
        <f aca="false">IF(AND(ISNUMBER(C11855),ISNUMBER(D11855)),D11855-C11855,"")</f>
        <v/>
      </c>
      <c r="Z11855" s="23" t="str">
        <f aca="false">IF(B11855="","",IF(MATCH(B11855,$B$2:$B$12000,0)=ROW()-1,1,0))</f>
        <v/>
      </c>
    </row>
    <row r="11856" customFormat="false" ht="15" hidden="false" customHeight="false" outlineLevel="0" collapsed="false">
      <c r="V11856" s="23" t="str">
        <f aca="false">IF(ISNUMBER(C11856),YEAR(C11856),"")</f>
        <v/>
      </c>
      <c r="W11856" s="23" t="str">
        <f aca="false">IF(ISNUMBER(C11856),MONTH(C11856),"")</f>
        <v/>
      </c>
      <c r="X11856" s="23" t="str">
        <f aca="false">IF(T11856="","",IF(T11856=0,"No discount",IF(T11856&lt;=0.2,"Low (1-20%)",IF(T11856&lt;=0.4,"Medium (21-40%)","High (&gt;40%)"))))</f>
        <v/>
      </c>
      <c r="Y11856" s="23" t="str">
        <f aca="false">IF(AND(ISNUMBER(C11856),ISNUMBER(D11856)),D11856-C11856,"")</f>
        <v/>
      </c>
      <c r="Z11856" s="23" t="str">
        <f aca="false">IF(B11856="","",IF(MATCH(B11856,$B$2:$B$12000,0)=ROW()-1,1,0))</f>
        <v/>
      </c>
    </row>
    <row r="11857" customFormat="false" ht="15" hidden="false" customHeight="false" outlineLevel="0" collapsed="false">
      <c r="V11857" s="23" t="str">
        <f aca="false">IF(ISNUMBER(C11857),YEAR(C11857),"")</f>
        <v/>
      </c>
      <c r="W11857" s="23" t="str">
        <f aca="false">IF(ISNUMBER(C11857),MONTH(C11857),"")</f>
        <v/>
      </c>
      <c r="X11857" s="23" t="str">
        <f aca="false">IF(T11857="","",IF(T11857=0,"No discount",IF(T11857&lt;=0.2,"Low (1-20%)",IF(T11857&lt;=0.4,"Medium (21-40%)","High (&gt;40%)"))))</f>
        <v/>
      </c>
      <c r="Y11857" s="23" t="str">
        <f aca="false">IF(AND(ISNUMBER(C11857),ISNUMBER(D11857)),D11857-C11857,"")</f>
        <v/>
      </c>
      <c r="Z11857" s="23" t="str">
        <f aca="false">IF(B11857="","",IF(MATCH(B11857,$B$2:$B$12000,0)=ROW()-1,1,0))</f>
        <v/>
      </c>
    </row>
    <row r="11858" customFormat="false" ht="15" hidden="false" customHeight="false" outlineLevel="0" collapsed="false">
      <c r="V11858" s="23" t="str">
        <f aca="false">IF(ISNUMBER(C11858),YEAR(C11858),"")</f>
        <v/>
      </c>
      <c r="W11858" s="23" t="str">
        <f aca="false">IF(ISNUMBER(C11858),MONTH(C11858),"")</f>
        <v/>
      </c>
      <c r="X11858" s="23" t="str">
        <f aca="false">IF(T11858="","",IF(T11858=0,"No discount",IF(T11858&lt;=0.2,"Low (1-20%)",IF(T11858&lt;=0.4,"Medium (21-40%)","High (&gt;40%)"))))</f>
        <v/>
      </c>
      <c r="Y11858" s="23" t="str">
        <f aca="false">IF(AND(ISNUMBER(C11858),ISNUMBER(D11858)),D11858-C11858,"")</f>
        <v/>
      </c>
      <c r="Z11858" s="23" t="str">
        <f aca="false">IF(B11858="","",IF(MATCH(B11858,$B$2:$B$12000,0)=ROW()-1,1,0))</f>
        <v/>
      </c>
    </row>
    <row r="11859" customFormat="false" ht="15" hidden="false" customHeight="false" outlineLevel="0" collapsed="false">
      <c r="V11859" s="23" t="str">
        <f aca="false">IF(ISNUMBER(C11859),YEAR(C11859),"")</f>
        <v/>
      </c>
      <c r="W11859" s="23" t="str">
        <f aca="false">IF(ISNUMBER(C11859),MONTH(C11859),"")</f>
        <v/>
      </c>
      <c r="X11859" s="23" t="str">
        <f aca="false">IF(T11859="","",IF(T11859=0,"No discount",IF(T11859&lt;=0.2,"Low (1-20%)",IF(T11859&lt;=0.4,"Medium (21-40%)","High (&gt;40%)"))))</f>
        <v/>
      </c>
      <c r="Y11859" s="23" t="str">
        <f aca="false">IF(AND(ISNUMBER(C11859),ISNUMBER(D11859)),D11859-C11859,"")</f>
        <v/>
      </c>
      <c r="Z11859" s="23" t="str">
        <f aca="false">IF(B11859="","",IF(MATCH(B11859,$B$2:$B$12000,0)=ROW()-1,1,0))</f>
        <v/>
      </c>
    </row>
    <row r="11860" customFormat="false" ht="15" hidden="false" customHeight="false" outlineLevel="0" collapsed="false">
      <c r="V11860" s="23" t="str">
        <f aca="false">IF(ISNUMBER(C11860),YEAR(C11860),"")</f>
        <v/>
      </c>
      <c r="W11860" s="23" t="str">
        <f aca="false">IF(ISNUMBER(C11860),MONTH(C11860),"")</f>
        <v/>
      </c>
      <c r="X11860" s="23" t="str">
        <f aca="false">IF(T11860="","",IF(T11860=0,"No discount",IF(T11860&lt;=0.2,"Low (1-20%)",IF(T11860&lt;=0.4,"Medium (21-40%)","High (&gt;40%)"))))</f>
        <v/>
      </c>
      <c r="Y11860" s="23" t="str">
        <f aca="false">IF(AND(ISNUMBER(C11860),ISNUMBER(D11860)),D11860-C11860,"")</f>
        <v/>
      </c>
      <c r="Z11860" s="23" t="str">
        <f aca="false">IF(B11860="","",IF(MATCH(B11860,$B$2:$B$12000,0)=ROW()-1,1,0))</f>
        <v/>
      </c>
    </row>
    <row r="11861" customFormat="false" ht="15" hidden="false" customHeight="false" outlineLevel="0" collapsed="false">
      <c r="V11861" s="23" t="str">
        <f aca="false">IF(ISNUMBER(C11861),YEAR(C11861),"")</f>
        <v/>
      </c>
      <c r="W11861" s="23" t="str">
        <f aca="false">IF(ISNUMBER(C11861),MONTH(C11861),"")</f>
        <v/>
      </c>
      <c r="X11861" s="23" t="str">
        <f aca="false">IF(T11861="","",IF(T11861=0,"No discount",IF(T11861&lt;=0.2,"Low (1-20%)",IF(T11861&lt;=0.4,"Medium (21-40%)","High (&gt;40%)"))))</f>
        <v/>
      </c>
      <c r="Y11861" s="23" t="str">
        <f aca="false">IF(AND(ISNUMBER(C11861),ISNUMBER(D11861)),D11861-C11861,"")</f>
        <v/>
      </c>
      <c r="Z11861" s="23" t="str">
        <f aca="false">IF(B11861="","",IF(MATCH(B11861,$B$2:$B$12000,0)=ROW()-1,1,0))</f>
        <v/>
      </c>
    </row>
    <row r="11862" customFormat="false" ht="15" hidden="false" customHeight="false" outlineLevel="0" collapsed="false">
      <c r="V11862" s="23" t="str">
        <f aca="false">IF(ISNUMBER(C11862),YEAR(C11862),"")</f>
        <v/>
      </c>
      <c r="W11862" s="23" t="str">
        <f aca="false">IF(ISNUMBER(C11862),MONTH(C11862),"")</f>
        <v/>
      </c>
      <c r="X11862" s="23" t="str">
        <f aca="false">IF(T11862="","",IF(T11862=0,"No discount",IF(T11862&lt;=0.2,"Low (1-20%)",IF(T11862&lt;=0.4,"Medium (21-40%)","High (&gt;40%)"))))</f>
        <v/>
      </c>
      <c r="Y11862" s="23" t="str">
        <f aca="false">IF(AND(ISNUMBER(C11862),ISNUMBER(D11862)),D11862-C11862,"")</f>
        <v/>
      </c>
      <c r="Z11862" s="23" t="str">
        <f aca="false">IF(B11862="","",IF(MATCH(B11862,$B$2:$B$12000,0)=ROW()-1,1,0))</f>
        <v/>
      </c>
    </row>
    <row r="11863" customFormat="false" ht="15" hidden="false" customHeight="false" outlineLevel="0" collapsed="false">
      <c r="V11863" s="23" t="str">
        <f aca="false">IF(ISNUMBER(C11863),YEAR(C11863),"")</f>
        <v/>
      </c>
      <c r="W11863" s="23" t="str">
        <f aca="false">IF(ISNUMBER(C11863),MONTH(C11863),"")</f>
        <v/>
      </c>
      <c r="X11863" s="23" t="str">
        <f aca="false">IF(T11863="","",IF(T11863=0,"No discount",IF(T11863&lt;=0.2,"Low (1-20%)",IF(T11863&lt;=0.4,"Medium (21-40%)","High (&gt;40%)"))))</f>
        <v/>
      </c>
      <c r="Y11863" s="23" t="str">
        <f aca="false">IF(AND(ISNUMBER(C11863),ISNUMBER(D11863)),D11863-C11863,"")</f>
        <v/>
      </c>
      <c r="Z11863" s="23" t="str">
        <f aca="false">IF(B11863="","",IF(MATCH(B11863,$B$2:$B$12000,0)=ROW()-1,1,0))</f>
        <v/>
      </c>
    </row>
    <row r="11864" customFormat="false" ht="15" hidden="false" customHeight="false" outlineLevel="0" collapsed="false">
      <c r="V11864" s="23" t="str">
        <f aca="false">IF(ISNUMBER(C11864),YEAR(C11864),"")</f>
        <v/>
      </c>
      <c r="W11864" s="23" t="str">
        <f aca="false">IF(ISNUMBER(C11864),MONTH(C11864),"")</f>
        <v/>
      </c>
      <c r="X11864" s="23" t="str">
        <f aca="false">IF(T11864="","",IF(T11864=0,"No discount",IF(T11864&lt;=0.2,"Low (1-20%)",IF(T11864&lt;=0.4,"Medium (21-40%)","High (&gt;40%)"))))</f>
        <v/>
      </c>
      <c r="Y11864" s="23" t="str">
        <f aca="false">IF(AND(ISNUMBER(C11864),ISNUMBER(D11864)),D11864-C11864,"")</f>
        <v/>
      </c>
      <c r="Z11864" s="23" t="str">
        <f aca="false">IF(B11864="","",IF(MATCH(B11864,$B$2:$B$12000,0)=ROW()-1,1,0))</f>
        <v/>
      </c>
    </row>
    <row r="11865" customFormat="false" ht="15" hidden="false" customHeight="false" outlineLevel="0" collapsed="false">
      <c r="V11865" s="23" t="str">
        <f aca="false">IF(ISNUMBER(C11865),YEAR(C11865),"")</f>
        <v/>
      </c>
      <c r="W11865" s="23" t="str">
        <f aca="false">IF(ISNUMBER(C11865),MONTH(C11865),"")</f>
        <v/>
      </c>
      <c r="X11865" s="23" t="str">
        <f aca="false">IF(T11865="","",IF(T11865=0,"No discount",IF(T11865&lt;=0.2,"Low (1-20%)",IF(T11865&lt;=0.4,"Medium (21-40%)","High (&gt;40%)"))))</f>
        <v/>
      </c>
      <c r="Y11865" s="23" t="str">
        <f aca="false">IF(AND(ISNUMBER(C11865),ISNUMBER(D11865)),D11865-C11865,"")</f>
        <v/>
      </c>
      <c r="Z11865" s="23" t="str">
        <f aca="false">IF(B11865="","",IF(MATCH(B11865,$B$2:$B$12000,0)=ROW()-1,1,0))</f>
        <v/>
      </c>
    </row>
    <row r="11866" customFormat="false" ht="15" hidden="false" customHeight="false" outlineLevel="0" collapsed="false">
      <c r="V11866" s="23" t="str">
        <f aca="false">IF(ISNUMBER(C11866),YEAR(C11866),"")</f>
        <v/>
      </c>
      <c r="W11866" s="23" t="str">
        <f aca="false">IF(ISNUMBER(C11866),MONTH(C11866),"")</f>
        <v/>
      </c>
      <c r="X11866" s="23" t="str">
        <f aca="false">IF(T11866="","",IF(T11866=0,"No discount",IF(T11866&lt;=0.2,"Low (1-20%)",IF(T11866&lt;=0.4,"Medium (21-40%)","High (&gt;40%)"))))</f>
        <v/>
      </c>
      <c r="Y11866" s="23" t="str">
        <f aca="false">IF(AND(ISNUMBER(C11866),ISNUMBER(D11866)),D11866-C11866,"")</f>
        <v/>
      </c>
      <c r="Z11866" s="23" t="str">
        <f aca="false">IF(B11866="","",IF(MATCH(B11866,$B$2:$B$12000,0)=ROW()-1,1,0))</f>
        <v/>
      </c>
    </row>
    <row r="11867" customFormat="false" ht="15" hidden="false" customHeight="false" outlineLevel="0" collapsed="false">
      <c r="V11867" s="23" t="str">
        <f aca="false">IF(ISNUMBER(C11867),YEAR(C11867),"")</f>
        <v/>
      </c>
      <c r="W11867" s="23" t="str">
        <f aca="false">IF(ISNUMBER(C11867),MONTH(C11867),"")</f>
        <v/>
      </c>
      <c r="X11867" s="23" t="str">
        <f aca="false">IF(T11867="","",IF(T11867=0,"No discount",IF(T11867&lt;=0.2,"Low (1-20%)",IF(T11867&lt;=0.4,"Medium (21-40%)","High (&gt;40%)"))))</f>
        <v/>
      </c>
      <c r="Y11867" s="23" t="str">
        <f aca="false">IF(AND(ISNUMBER(C11867),ISNUMBER(D11867)),D11867-C11867,"")</f>
        <v/>
      </c>
      <c r="Z11867" s="23" t="str">
        <f aca="false">IF(B11867="","",IF(MATCH(B11867,$B$2:$B$12000,0)=ROW()-1,1,0))</f>
        <v/>
      </c>
    </row>
    <row r="11868" customFormat="false" ht="15" hidden="false" customHeight="false" outlineLevel="0" collapsed="false">
      <c r="V11868" s="23" t="str">
        <f aca="false">IF(ISNUMBER(C11868),YEAR(C11868),"")</f>
        <v/>
      </c>
      <c r="W11868" s="23" t="str">
        <f aca="false">IF(ISNUMBER(C11868),MONTH(C11868),"")</f>
        <v/>
      </c>
      <c r="X11868" s="23" t="str">
        <f aca="false">IF(T11868="","",IF(T11868=0,"No discount",IF(T11868&lt;=0.2,"Low (1-20%)",IF(T11868&lt;=0.4,"Medium (21-40%)","High (&gt;40%)"))))</f>
        <v/>
      </c>
      <c r="Y11868" s="23" t="str">
        <f aca="false">IF(AND(ISNUMBER(C11868),ISNUMBER(D11868)),D11868-C11868,"")</f>
        <v/>
      </c>
      <c r="Z11868" s="23" t="str">
        <f aca="false">IF(B11868="","",IF(MATCH(B11868,$B$2:$B$12000,0)=ROW()-1,1,0))</f>
        <v/>
      </c>
    </row>
    <row r="11869" customFormat="false" ht="15" hidden="false" customHeight="false" outlineLevel="0" collapsed="false">
      <c r="V11869" s="23" t="str">
        <f aca="false">IF(ISNUMBER(C11869),YEAR(C11869),"")</f>
        <v/>
      </c>
      <c r="W11869" s="23" t="str">
        <f aca="false">IF(ISNUMBER(C11869),MONTH(C11869),"")</f>
        <v/>
      </c>
      <c r="X11869" s="23" t="str">
        <f aca="false">IF(T11869="","",IF(T11869=0,"No discount",IF(T11869&lt;=0.2,"Low (1-20%)",IF(T11869&lt;=0.4,"Medium (21-40%)","High (&gt;40%)"))))</f>
        <v/>
      </c>
      <c r="Y11869" s="23" t="str">
        <f aca="false">IF(AND(ISNUMBER(C11869),ISNUMBER(D11869)),D11869-C11869,"")</f>
        <v/>
      </c>
      <c r="Z11869" s="23" t="str">
        <f aca="false">IF(B11869="","",IF(MATCH(B11869,$B$2:$B$12000,0)=ROW()-1,1,0))</f>
        <v/>
      </c>
    </row>
    <row r="11870" customFormat="false" ht="15" hidden="false" customHeight="false" outlineLevel="0" collapsed="false">
      <c r="V11870" s="23" t="str">
        <f aca="false">IF(ISNUMBER(C11870),YEAR(C11870),"")</f>
        <v/>
      </c>
      <c r="W11870" s="23" t="str">
        <f aca="false">IF(ISNUMBER(C11870),MONTH(C11870),"")</f>
        <v/>
      </c>
      <c r="X11870" s="23" t="str">
        <f aca="false">IF(T11870="","",IF(T11870=0,"No discount",IF(T11870&lt;=0.2,"Low (1-20%)",IF(T11870&lt;=0.4,"Medium (21-40%)","High (&gt;40%)"))))</f>
        <v/>
      </c>
      <c r="Y11870" s="23" t="str">
        <f aca="false">IF(AND(ISNUMBER(C11870),ISNUMBER(D11870)),D11870-C11870,"")</f>
        <v/>
      </c>
      <c r="Z11870" s="23" t="str">
        <f aca="false">IF(B11870="","",IF(MATCH(B11870,$B$2:$B$12000,0)=ROW()-1,1,0))</f>
        <v/>
      </c>
    </row>
    <row r="11871" customFormat="false" ht="15" hidden="false" customHeight="false" outlineLevel="0" collapsed="false">
      <c r="V11871" s="23" t="str">
        <f aca="false">IF(ISNUMBER(C11871),YEAR(C11871),"")</f>
        <v/>
      </c>
      <c r="W11871" s="23" t="str">
        <f aca="false">IF(ISNUMBER(C11871),MONTH(C11871),"")</f>
        <v/>
      </c>
      <c r="X11871" s="23" t="str">
        <f aca="false">IF(T11871="","",IF(T11871=0,"No discount",IF(T11871&lt;=0.2,"Low (1-20%)",IF(T11871&lt;=0.4,"Medium (21-40%)","High (&gt;40%)"))))</f>
        <v/>
      </c>
      <c r="Y11871" s="23" t="str">
        <f aca="false">IF(AND(ISNUMBER(C11871),ISNUMBER(D11871)),D11871-C11871,"")</f>
        <v/>
      </c>
      <c r="Z11871" s="23" t="str">
        <f aca="false">IF(B11871="","",IF(MATCH(B11871,$B$2:$B$12000,0)=ROW()-1,1,0))</f>
        <v/>
      </c>
    </row>
    <row r="11872" customFormat="false" ht="15" hidden="false" customHeight="false" outlineLevel="0" collapsed="false">
      <c r="V11872" s="23" t="str">
        <f aca="false">IF(ISNUMBER(C11872),YEAR(C11872),"")</f>
        <v/>
      </c>
      <c r="W11872" s="23" t="str">
        <f aca="false">IF(ISNUMBER(C11872),MONTH(C11872),"")</f>
        <v/>
      </c>
      <c r="X11872" s="23" t="str">
        <f aca="false">IF(T11872="","",IF(T11872=0,"No discount",IF(T11872&lt;=0.2,"Low (1-20%)",IF(T11872&lt;=0.4,"Medium (21-40%)","High (&gt;40%)"))))</f>
        <v/>
      </c>
      <c r="Y11872" s="23" t="str">
        <f aca="false">IF(AND(ISNUMBER(C11872),ISNUMBER(D11872)),D11872-C11872,"")</f>
        <v/>
      </c>
      <c r="Z11872" s="23" t="str">
        <f aca="false">IF(B11872="","",IF(MATCH(B11872,$B$2:$B$12000,0)=ROW()-1,1,0))</f>
        <v/>
      </c>
    </row>
    <row r="11873" customFormat="false" ht="15" hidden="false" customHeight="false" outlineLevel="0" collapsed="false">
      <c r="V11873" s="23" t="str">
        <f aca="false">IF(ISNUMBER(C11873),YEAR(C11873),"")</f>
        <v/>
      </c>
      <c r="W11873" s="23" t="str">
        <f aca="false">IF(ISNUMBER(C11873),MONTH(C11873),"")</f>
        <v/>
      </c>
      <c r="X11873" s="23" t="str">
        <f aca="false">IF(T11873="","",IF(T11873=0,"No discount",IF(T11873&lt;=0.2,"Low (1-20%)",IF(T11873&lt;=0.4,"Medium (21-40%)","High (&gt;40%)"))))</f>
        <v/>
      </c>
      <c r="Y11873" s="23" t="str">
        <f aca="false">IF(AND(ISNUMBER(C11873),ISNUMBER(D11873)),D11873-C11873,"")</f>
        <v/>
      </c>
      <c r="Z11873" s="23" t="str">
        <f aca="false">IF(B11873="","",IF(MATCH(B11873,$B$2:$B$12000,0)=ROW()-1,1,0))</f>
        <v/>
      </c>
    </row>
    <row r="11874" customFormat="false" ht="15" hidden="false" customHeight="false" outlineLevel="0" collapsed="false">
      <c r="V11874" s="23" t="str">
        <f aca="false">IF(ISNUMBER(C11874),YEAR(C11874),"")</f>
        <v/>
      </c>
      <c r="W11874" s="23" t="str">
        <f aca="false">IF(ISNUMBER(C11874),MONTH(C11874),"")</f>
        <v/>
      </c>
      <c r="X11874" s="23" t="str">
        <f aca="false">IF(T11874="","",IF(T11874=0,"No discount",IF(T11874&lt;=0.2,"Low (1-20%)",IF(T11874&lt;=0.4,"Medium (21-40%)","High (&gt;40%)"))))</f>
        <v/>
      </c>
      <c r="Y11874" s="23" t="str">
        <f aca="false">IF(AND(ISNUMBER(C11874),ISNUMBER(D11874)),D11874-C11874,"")</f>
        <v/>
      </c>
      <c r="Z11874" s="23" t="str">
        <f aca="false">IF(B11874="","",IF(MATCH(B11874,$B$2:$B$12000,0)=ROW()-1,1,0))</f>
        <v/>
      </c>
    </row>
    <row r="11875" customFormat="false" ht="15" hidden="false" customHeight="false" outlineLevel="0" collapsed="false">
      <c r="V11875" s="23" t="str">
        <f aca="false">IF(ISNUMBER(C11875),YEAR(C11875),"")</f>
        <v/>
      </c>
      <c r="W11875" s="23" t="str">
        <f aca="false">IF(ISNUMBER(C11875),MONTH(C11875),"")</f>
        <v/>
      </c>
      <c r="X11875" s="23" t="str">
        <f aca="false">IF(T11875="","",IF(T11875=0,"No discount",IF(T11875&lt;=0.2,"Low (1-20%)",IF(T11875&lt;=0.4,"Medium (21-40%)","High (&gt;40%)"))))</f>
        <v/>
      </c>
      <c r="Y11875" s="23" t="str">
        <f aca="false">IF(AND(ISNUMBER(C11875),ISNUMBER(D11875)),D11875-C11875,"")</f>
        <v/>
      </c>
      <c r="Z11875" s="23" t="str">
        <f aca="false">IF(B11875="","",IF(MATCH(B11875,$B$2:$B$12000,0)=ROW()-1,1,0))</f>
        <v/>
      </c>
    </row>
    <row r="11876" customFormat="false" ht="15" hidden="false" customHeight="false" outlineLevel="0" collapsed="false">
      <c r="V11876" s="23" t="str">
        <f aca="false">IF(ISNUMBER(C11876),YEAR(C11876),"")</f>
        <v/>
      </c>
      <c r="W11876" s="23" t="str">
        <f aca="false">IF(ISNUMBER(C11876),MONTH(C11876),"")</f>
        <v/>
      </c>
      <c r="X11876" s="23" t="str">
        <f aca="false">IF(T11876="","",IF(T11876=0,"No discount",IF(T11876&lt;=0.2,"Low (1-20%)",IF(T11876&lt;=0.4,"Medium (21-40%)","High (&gt;40%)"))))</f>
        <v/>
      </c>
      <c r="Y11876" s="23" t="str">
        <f aca="false">IF(AND(ISNUMBER(C11876),ISNUMBER(D11876)),D11876-C11876,"")</f>
        <v/>
      </c>
      <c r="Z11876" s="23" t="str">
        <f aca="false">IF(B11876="","",IF(MATCH(B11876,$B$2:$B$12000,0)=ROW()-1,1,0))</f>
        <v/>
      </c>
    </row>
    <row r="11877" customFormat="false" ht="15" hidden="false" customHeight="false" outlineLevel="0" collapsed="false">
      <c r="V11877" s="23" t="str">
        <f aca="false">IF(ISNUMBER(C11877),YEAR(C11877),"")</f>
        <v/>
      </c>
      <c r="W11877" s="23" t="str">
        <f aca="false">IF(ISNUMBER(C11877),MONTH(C11877),"")</f>
        <v/>
      </c>
      <c r="X11877" s="23" t="str">
        <f aca="false">IF(T11877="","",IF(T11877=0,"No discount",IF(T11877&lt;=0.2,"Low (1-20%)",IF(T11877&lt;=0.4,"Medium (21-40%)","High (&gt;40%)"))))</f>
        <v/>
      </c>
      <c r="Y11877" s="23" t="str">
        <f aca="false">IF(AND(ISNUMBER(C11877),ISNUMBER(D11877)),D11877-C11877,"")</f>
        <v/>
      </c>
      <c r="Z11877" s="23" t="str">
        <f aca="false">IF(B11877="","",IF(MATCH(B11877,$B$2:$B$12000,0)=ROW()-1,1,0))</f>
        <v/>
      </c>
    </row>
    <row r="11878" customFormat="false" ht="15" hidden="false" customHeight="false" outlineLevel="0" collapsed="false">
      <c r="V11878" s="23" t="str">
        <f aca="false">IF(ISNUMBER(C11878),YEAR(C11878),"")</f>
        <v/>
      </c>
      <c r="W11878" s="23" t="str">
        <f aca="false">IF(ISNUMBER(C11878),MONTH(C11878),"")</f>
        <v/>
      </c>
      <c r="X11878" s="23" t="str">
        <f aca="false">IF(T11878="","",IF(T11878=0,"No discount",IF(T11878&lt;=0.2,"Low (1-20%)",IF(T11878&lt;=0.4,"Medium (21-40%)","High (&gt;40%)"))))</f>
        <v/>
      </c>
      <c r="Y11878" s="23" t="str">
        <f aca="false">IF(AND(ISNUMBER(C11878),ISNUMBER(D11878)),D11878-C11878,"")</f>
        <v/>
      </c>
      <c r="Z11878" s="23" t="str">
        <f aca="false">IF(B11878="","",IF(MATCH(B11878,$B$2:$B$12000,0)=ROW()-1,1,0))</f>
        <v/>
      </c>
    </row>
    <row r="11879" customFormat="false" ht="15" hidden="false" customHeight="false" outlineLevel="0" collapsed="false">
      <c r="V11879" s="23" t="str">
        <f aca="false">IF(ISNUMBER(C11879),YEAR(C11879),"")</f>
        <v/>
      </c>
      <c r="W11879" s="23" t="str">
        <f aca="false">IF(ISNUMBER(C11879),MONTH(C11879),"")</f>
        <v/>
      </c>
      <c r="X11879" s="23" t="str">
        <f aca="false">IF(T11879="","",IF(T11879=0,"No discount",IF(T11879&lt;=0.2,"Low (1-20%)",IF(T11879&lt;=0.4,"Medium (21-40%)","High (&gt;40%)"))))</f>
        <v/>
      </c>
      <c r="Y11879" s="23" t="str">
        <f aca="false">IF(AND(ISNUMBER(C11879),ISNUMBER(D11879)),D11879-C11879,"")</f>
        <v/>
      </c>
      <c r="Z11879" s="23" t="str">
        <f aca="false">IF(B11879="","",IF(MATCH(B11879,$B$2:$B$12000,0)=ROW()-1,1,0))</f>
        <v/>
      </c>
    </row>
    <row r="11880" customFormat="false" ht="15" hidden="false" customHeight="false" outlineLevel="0" collapsed="false">
      <c r="V11880" s="23" t="str">
        <f aca="false">IF(ISNUMBER(C11880),YEAR(C11880),"")</f>
        <v/>
      </c>
      <c r="W11880" s="23" t="str">
        <f aca="false">IF(ISNUMBER(C11880),MONTH(C11880),"")</f>
        <v/>
      </c>
      <c r="X11880" s="23" t="str">
        <f aca="false">IF(T11880="","",IF(T11880=0,"No discount",IF(T11880&lt;=0.2,"Low (1-20%)",IF(T11880&lt;=0.4,"Medium (21-40%)","High (&gt;40%)"))))</f>
        <v/>
      </c>
      <c r="Y11880" s="23" t="str">
        <f aca="false">IF(AND(ISNUMBER(C11880),ISNUMBER(D11880)),D11880-C11880,"")</f>
        <v/>
      </c>
      <c r="Z11880" s="23" t="str">
        <f aca="false">IF(B11880="","",IF(MATCH(B11880,$B$2:$B$12000,0)=ROW()-1,1,0))</f>
        <v/>
      </c>
    </row>
    <row r="11881" customFormat="false" ht="15" hidden="false" customHeight="false" outlineLevel="0" collapsed="false">
      <c r="V11881" s="23" t="str">
        <f aca="false">IF(ISNUMBER(C11881),YEAR(C11881),"")</f>
        <v/>
      </c>
      <c r="W11881" s="23" t="str">
        <f aca="false">IF(ISNUMBER(C11881),MONTH(C11881),"")</f>
        <v/>
      </c>
      <c r="X11881" s="23" t="str">
        <f aca="false">IF(T11881="","",IF(T11881=0,"No discount",IF(T11881&lt;=0.2,"Low (1-20%)",IF(T11881&lt;=0.4,"Medium (21-40%)","High (&gt;40%)"))))</f>
        <v/>
      </c>
      <c r="Y11881" s="23" t="str">
        <f aca="false">IF(AND(ISNUMBER(C11881),ISNUMBER(D11881)),D11881-C11881,"")</f>
        <v/>
      </c>
      <c r="Z11881" s="23" t="str">
        <f aca="false">IF(B11881="","",IF(MATCH(B11881,$B$2:$B$12000,0)=ROW()-1,1,0))</f>
        <v/>
      </c>
    </row>
    <row r="11882" customFormat="false" ht="15" hidden="false" customHeight="false" outlineLevel="0" collapsed="false">
      <c r="V11882" s="23" t="str">
        <f aca="false">IF(ISNUMBER(C11882),YEAR(C11882),"")</f>
        <v/>
      </c>
      <c r="W11882" s="23" t="str">
        <f aca="false">IF(ISNUMBER(C11882),MONTH(C11882),"")</f>
        <v/>
      </c>
      <c r="X11882" s="23" t="str">
        <f aca="false">IF(T11882="","",IF(T11882=0,"No discount",IF(T11882&lt;=0.2,"Low (1-20%)",IF(T11882&lt;=0.4,"Medium (21-40%)","High (&gt;40%)"))))</f>
        <v/>
      </c>
      <c r="Y11882" s="23" t="str">
        <f aca="false">IF(AND(ISNUMBER(C11882),ISNUMBER(D11882)),D11882-C11882,"")</f>
        <v/>
      </c>
      <c r="Z11882" s="23" t="str">
        <f aca="false">IF(B11882="","",IF(MATCH(B11882,$B$2:$B$12000,0)=ROW()-1,1,0))</f>
        <v/>
      </c>
    </row>
    <row r="11883" customFormat="false" ht="15" hidden="false" customHeight="false" outlineLevel="0" collapsed="false">
      <c r="V11883" s="23" t="str">
        <f aca="false">IF(ISNUMBER(C11883),YEAR(C11883),"")</f>
        <v/>
      </c>
      <c r="W11883" s="23" t="str">
        <f aca="false">IF(ISNUMBER(C11883),MONTH(C11883),"")</f>
        <v/>
      </c>
      <c r="X11883" s="23" t="str">
        <f aca="false">IF(T11883="","",IF(T11883=0,"No discount",IF(T11883&lt;=0.2,"Low (1-20%)",IF(T11883&lt;=0.4,"Medium (21-40%)","High (&gt;40%)"))))</f>
        <v/>
      </c>
      <c r="Y11883" s="23" t="str">
        <f aca="false">IF(AND(ISNUMBER(C11883),ISNUMBER(D11883)),D11883-C11883,"")</f>
        <v/>
      </c>
      <c r="Z11883" s="23" t="str">
        <f aca="false">IF(B11883="","",IF(MATCH(B11883,$B$2:$B$12000,0)=ROW()-1,1,0))</f>
        <v/>
      </c>
    </row>
    <row r="11884" customFormat="false" ht="15" hidden="false" customHeight="false" outlineLevel="0" collapsed="false">
      <c r="V11884" s="23" t="str">
        <f aca="false">IF(ISNUMBER(C11884),YEAR(C11884),"")</f>
        <v/>
      </c>
      <c r="W11884" s="23" t="str">
        <f aca="false">IF(ISNUMBER(C11884),MONTH(C11884),"")</f>
        <v/>
      </c>
      <c r="X11884" s="23" t="str">
        <f aca="false">IF(T11884="","",IF(T11884=0,"No discount",IF(T11884&lt;=0.2,"Low (1-20%)",IF(T11884&lt;=0.4,"Medium (21-40%)","High (&gt;40%)"))))</f>
        <v/>
      </c>
      <c r="Y11884" s="23" t="str">
        <f aca="false">IF(AND(ISNUMBER(C11884),ISNUMBER(D11884)),D11884-C11884,"")</f>
        <v/>
      </c>
      <c r="Z11884" s="23" t="str">
        <f aca="false">IF(B11884="","",IF(MATCH(B11884,$B$2:$B$12000,0)=ROW()-1,1,0))</f>
        <v/>
      </c>
    </row>
    <row r="11885" customFormat="false" ht="15" hidden="false" customHeight="false" outlineLevel="0" collapsed="false">
      <c r="V11885" s="23" t="str">
        <f aca="false">IF(ISNUMBER(C11885),YEAR(C11885),"")</f>
        <v/>
      </c>
      <c r="W11885" s="23" t="str">
        <f aca="false">IF(ISNUMBER(C11885),MONTH(C11885),"")</f>
        <v/>
      </c>
      <c r="X11885" s="23" t="str">
        <f aca="false">IF(T11885="","",IF(T11885=0,"No discount",IF(T11885&lt;=0.2,"Low (1-20%)",IF(T11885&lt;=0.4,"Medium (21-40%)","High (&gt;40%)"))))</f>
        <v/>
      </c>
      <c r="Y11885" s="23" t="str">
        <f aca="false">IF(AND(ISNUMBER(C11885),ISNUMBER(D11885)),D11885-C11885,"")</f>
        <v/>
      </c>
      <c r="Z11885" s="23" t="str">
        <f aca="false">IF(B11885="","",IF(MATCH(B11885,$B$2:$B$12000,0)=ROW()-1,1,0))</f>
        <v/>
      </c>
    </row>
    <row r="11886" customFormat="false" ht="15" hidden="false" customHeight="false" outlineLevel="0" collapsed="false">
      <c r="V11886" s="23" t="str">
        <f aca="false">IF(ISNUMBER(C11886),YEAR(C11886),"")</f>
        <v/>
      </c>
      <c r="W11886" s="23" t="str">
        <f aca="false">IF(ISNUMBER(C11886),MONTH(C11886),"")</f>
        <v/>
      </c>
      <c r="X11886" s="23" t="str">
        <f aca="false">IF(T11886="","",IF(T11886=0,"No discount",IF(T11886&lt;=0.2,"Low (1-20%)",IF(T11886&lt;=0.4,"Medium (21-40%)","High (&gt;40%)"))))</f>
        <v/>
      </c>
      <c r="Y11886" s="23" t="str">
        <f aca="false">IF(AND(ISNUMBER(C11886),ISNUMBER(D11886)),D11886-C11886,"")</f>
        <v/>
      </c>
      <c r="Z11886" s="23" t="str">
        <f aca="false">IF(B11886="","",IF(MATCH(B11886,$B$2:$B$12000,0)=ROW()-1,1,0))</f>
        <v/>
      </c>
    </row>
    <row r="11887" customFormat="false" ht="15" hidden="false" customHeight="false" outlineLevel="0" collapsed="false">
      <c r="V11887" s="23" t="str">
        <f aca="false">IF(ISNUMBER(C11887),YEAR(C11887),"")</f>
        <v/>
      </c>
      <c r="W11887" s="23" t="str">
        <f aca="false">IF(ISNUMBER(C11887),MONTH(C11887),"")</f>
        <v/>
      </c>
      <c r="X11887" s="23" t="str">
        <f aca="false">IF(T11887="","",IF(T11887=0,"No discount",IF(T11887&lt;=0.2,"Low (1-20%)",IF(T11887&lt;=0.4,"Medium (21-40%)","High (&gt;40%)"))))</f>
        <v/>
      </c>
      <c r="Y11887" s="23" t="str">
        <f aca="false">IF(AND(ISNUMBER(C11887),ISNUMBER(D11887)),D11887-C11887,"")</f>
        <v/>
      </c>
      <c r="Z11887" s="23" t="str">
        <f aca="false">IF(B11887="","",IF(MATCH(B11887,$B$2:$B$12000,0)=ROW()-1,1,0))</f>
        <v/>
      </c>
    </row>
    <row r="11888" customFormat="false" ht="15" hidden="false" customHeight="false" outlineLevel="0" collapsed="false">
      <c r="V11888" s="23" t="str">
        <f aca="false">IF(ISNUMBER(C11888),YEAR(C11888),"")</f>
        <v/>
      </c>
      <c r="W11888" s="23" t="str">
        <f aca="false">IF(ISNUMBER(C11888),MONTH(C11888),"")</f>
        <v/>
      </c>
      <c r="X11888" s="23" t="str">
        <f aca="false">IF(T11888="","",IF(T11888=0,"No discount",IF(T11888&lt;=0.2,"Low (1-20%)",IF(T11888&lt;=0.4,"Medium (21-40%)","High (&gt;40%)"))))</f>
        <v/>
      </c>
      <c r="Y11888" s="23" t="str">
        <f aca="false">IF(AND(ISNUMBER(C11888),ISNUMBER(D11888)),D11888-C11888,"")</f>
        <v/>
      </c>
      <c r="Z11888" s="23" t="str">
        <f aca="false">IF(B11888="","",IF(MATCH(B11888,$B$2:$B$12000,0)=ROW()-1,1,0))</f>
        <v/>
      </c>
    </row>
    <row r="11889" customFormat="false" ht="15" hidden="false" customHeight="false" outlineLevel="0" collapsed="false">
      <c r="V11889" s="23" t="str">
        <f aca="false">IF(ISNUMBER(C11889),YEAR(C11889),"")</f>
        <v/>
      </c>
      <c r="W11889" s="23" t="str">
        <f aca="false">IF(ISNUMBER(C11889),MONTH(C11889),"")</f>
        <v/>
      </c>
      <c r="X11889" s="23" t="str">
        <f aca="false">IF(T11889="","",IF(T11889=0,"No discount",IF(T11889&lt;=0.2,"Low (1-20%)",IF(T11889&lt;=0.4,"Medium (21-40%)","High (&gt;40%)"))))</f>
        <v/>
      </c>
      <c r="Y11889" s="23" t="str">
        <f aca="false">IF(AND(ISNUMBER(C11889),ISNUMBER(D11889)),D11889-C11889,"")</f>
        <v/>
      </c>
      <c r="Z11889" s="23" t="str">
        <f aca="false">IF(B11889="","",IF(MATCH(B11889,$B$2:$B$12000,0)=ROW()-1,1,0))</f>
        <v/>
      </c>
    </row>
    <row r="11890" customFormat="false" ht="15" hidden="false" customHeight="false" outlineLevel="0" collapsed="false">
      <c r="V11890" s="23" t="str">
        <f aca="false">IF(ISNUMBER(C11890),YEAR(C11890),"")</f>
        <v/>
      </c>
      <c r="W11890" s="23" t="str">
        <f aca="false">IF(ISNUMBER(C11890),MONTH(C11890),"")</f>
        <v/>
      </c>
      <c r="X11890" s="23" t="str">
        <f aca="false">IF(T11890="","",IF(T11890=0,"No discount",IF(T11890&lt;=0.2,"Low (1-20%)",IF(T11890&lt;=0.4,"Medium (21-40%)","High (&gt;40%)"))))</f>
        <v/>
      </c>
      <c r="Y11890" s="23" t="str">
        <f aca="false">IF(AND(ISNUMBER(C11890),ISNUMBER(D11890)),D11890-C11890,"")</f>
        <v/>
      </c>
      <c r="Z11890" s="23" t="str">
        <f aca="false">IF(B11890="","",IF(MATCH(B11890,$B$2:$B$12000,0)=ROW()-1,1,0))</f>
        <v/>
      </c>
    </row>
    <row r="11891" customFormat="false" ht="15" hidden="false" customHeight="false" outlineLevel="0" collapsed="false">
      <c r="V11891" s="23" t="str">
        <f aca="false">IF(ISNUMBER(C11891),YEAR(C11891),"")</f>
        <v/>
      </c>
      <c r="W11891" s="23" t="str">
        <f aca="false">IF(ISNUMBER(C11891),MONTH(C11891),"")</f>
        <v/>
      </c>
      <c r="X11891" s="23" t="str">
        <f aca="false">IF(T11891="","",IF(T11891=0,"No discount",IF(T11891&lt;=0.2,"Low (1-20%)",IF(T11891&lt;=0.4,"Medium (21-40%)","High (&gt;40%)"))))</f>
        <v/>
      </c>
      <c r="Y11891" s="23" t="str">
        <f aca="false">IF(AND(ISNUMBER(C11891),ISNUMBER(D11891)),D11891-C11891,"")</f>
        <v/>
      </c>
      <c r="Z11891" s="23" t="str">
        <f aca="false">IF(B11891="","",IF(MATCH(B11891,$B$2:$B$12000,0)=ROW()-1,1,0))</f>
        <v/>
      </c>
    </row>
    <row r="11892" customFormat="false" ht="15" hidden="false" customHeight="false" outlineLevel="0" collapsed="false">
      <c r="V11892" s="23" t="str">
        <f aca="false">IF(ISNUMBER(C11892),YEAR(C11892),"")</f>
        <v/>
      </c>
      <c r="W11892" s="23" t="str">
        <f aca="false">IF(ISNUMBER(C11892),MONTH(C11892),"")</f>
        <v/>
      </c>
      <c r="X11892" s="23" t="str">
        <f aca="false">IF(T11892="","",IF(T11892=0,"No discount",IF(T11892&lt;=0.2,"Low (1-20%)",IF(T11892&lt;=0.4,"Medium (21-40%)","High (&gt;40%)"))))</f>
        <v/>
      </c>
      <c r="Y11892" s="23" t="str">
        <f aca="false">IF(AND(ISNUMBER(C11892),ISNUMBER(D11892)),D11892-C11892,"")</f>
        <v/>
      </c>
      <c r="Z11892" s="23" t="str">
        <f aca="false">IF(B11892="","",IF(MATCH(B11892,$B$2:$B$12000,0)=ROW()-1,1,0))</f>
        <v/>
      </c>
    </row>
    <row r="11893" customFormat="false" ht="15" hidden="false" customHeight="false" outlineLevel="0" collapsed="false">
      <c r="V11893" s="23" t="str">
        <f aca="false">IF(ISNUMBER(C11893),YEAR(C11893),"")</f>
        <v/>
      </c>
      <c r="W11893" s="23" t="str">
        <f aca="false">IF(ISNUMBER(C11893),MONTH(C11893),"")</f>
        <v/>
      </c>
      <c r="X11893" s="23" t="str">
        <f aca="false">IF(T11893="","",IF(T11893=0,"No discount",IF(T11893&lt;=0.2,"Low (1-20%)",IF(T11893&lt;=0.4,"Medium (21-40%)","High (&gt;40%)"))))</f>
        <v/>
      </c>
      <c r="Y11893" s="23" t="str">
        <f aca="false">IF(AND(ISNUMBER(C11893),ISNUMBER(D11893)),D11893-C11893,"")</f>
        <v/>
      </c>
      <c r="Z11893" s="23" t="str">
        <f aca="false">IF(B11893="","",IF(MATCH(B11893,$B$2:$B$12000,0)=ROW()-1,1,0))</f>
        <v/>
      </c>
    </row>
    <row r="11894" customFormat="false" ht="15" hidden="false" customHeight="false" outlineLevel="0" collapsed="false">
      <c r="V11894" s="23" t="str">
        <f aca="false">IF(ISNUMBER(C11894),YEAR(C11894),"")</f>
        <v/>
      </c>
      <c r="W11894" s="23" t="str">
        <f aca="false">IF(ISNUMBER(C11894),MONTH(C11894),"")</f>
        <v/>
      </c>
      <c r="X11894" s="23" t="str">
        <f aca="false">IF(T11894="","",IF(T11894=0,"No discount",IF(T11894&lt;=0.2,"Low (1-20%)",IF(T11894&lt;=0.4,"Medium (21-40%)","High (&gt;40%)"))))</f>
        <v/>
      </c>
      <c r="Y11894" s="23" t="str">
        <f aca="false">IF(AND(ISNUMBER(C11894),ISNUMBER(D11894)),D11894-C11894,"")</f>
        <v/>
      </c>
      <c r="Z11894" s="23" t="str">
        <f aca="false">IF(B11894="","",IF(MATCH(B11894,$B$2:$B$12000,0)=ROW()-1,1,0))</f>
        <v/>
      </c>
    </row>
    <row r="11895" customFormat="false" ht="15" hidden="false" customHeight="false" outlineLevel="0" collapsed="false">
      <c r="V11895" s="23" t="str">
        <f aca="false">IF(ISNUMBER(C11895),YEAR(C11895),"")</f>
        <v/>
      </c>
      <c r="W11895" s="23" t="str">
        <f aca="false">IF(ISNUMBER(C11895),MONTH(C11895),"")</f>
        <v/>
      </c>
      <c r="X11895" s="23" t="str">
        <f aca="false">IF(T11895="","",IF(T11895=0,"No discount",IF(T11895&lt;=0.2,"Low (1-20%)",IF(T11895&lt;=0.4,"Medium (21-40%)","High (&gt;40%)"))))</f>
        <v/>
      </c>
      <c r="Y11895" s="23" t="str">
        <f aca="false">IF(AND(ISNUMBER(C11895),ISNUMBER(D11895)),D11895-C11895,"")</f>
        <v/>
      </c>
      <c r="Z11895" s="23" t="str">
        <f aca="false">IF(B11895="","",IF(MATCH(B11895,$B$2:$B$12000,0)=ROW()-1,1,0))</f>
        <v/>
      </c>
    </row>
    <row r="11896" customFormat="false" ht="15" hidden="false" customHeight="false" outlineLevel="0" collapsed="false">
      <c r="V11896" s="23" t="str">
        <f aca="false">IF(ISNUMBER(C11896),YEAR(C11896),"")</f>
        <v/>
      </c>
      <c r="W11896" s="23" t="str">
        <f aca="false">IF(ISNUMBER(C11896),MONTH(C11896),"")</f>
        <v/>
      </c>
      <c r="X11896" s="23" t="str">
        <f aca="false">IF(T11896="","",IF(T11896=0,"No discount",IF(T11896&lt;=0.2,"Low (1-20%)",IF(T11896&lt;=0.4,"Medium (21-40%)","High (&gt;40%)"))))</f>
        <v/>
      </c>
      <c r="Y11896" s="23" t="str">
        <f aca="false">IF(AND(ISNUMBER(C11896),ISNUMBER(D11896)),D11896-C11896,"")</f>
        <v/>
      </c>
      <c r="Z11896" s="23" t="str">
        <f aca="false">IF(B11896="","",IF(MATCH(B11896,$B$2:$B$12000,0)=ROW()-1,1,0))</f>
        <v/>
      </c>
    </row>
    <row r="11897" customFormat="false" ht="15" hidden="false" customHeight="false" outlineLevel="0" collapsed="false">
      <c r="V11897" s="23" t="str">
        <f aca="false">IF(ISNUMBER(C11897),YEAR(C11897),"")</f>
        <v/>
      </c>
      <c r="W11897" s="23" t="str">
        <f aca="false">IF(ISNUMBER(C11897),MONTH(C11897),"")</f>
        <v/>
      </c>
      <c r="X11897" s="23" t="str">
        <f aca="false">IF(T11897="","",IF(T11897=0,"No discount",IF(T11897&lt;=0.2,"Low (1-20%)",IF(T11897&lt;=0.4,"Medium (21-40%)","High (&gt;40%)"))))</f>
        <v/>
      </c>
      <c r="Y11897" s="23" t="str">
        <f aca="false">IF(AND(ISNUMBER(C11897),ISNUMBER(D11897)),D11897-C11897,"")</f>
        <v/>
      </c>
      <c r="Z11897" s="23" t="str">
        <f aca="false">IF(B11897="","",IF(MATCH(B11897,$B$2:$B$12000,0)=ROW()-1,1,0))</f>
        <v/>
      </c>
    </row>
    <row r="11898" customFormat="false" ht="15" hidden="false" customHeight="false" outlineLevel="0" collapsed="false">
      <c r="V11898" s="23" t="str">
        <f aca="false">IF(ISNUMBER(C11898),YEAR(C11898),"")</f>
        <v/>
      </c>
      <c r="W11898" s="23" t="str">
        <f aca="false">IF(ISNUMBER(C11898),MONTH(C11898),"")</f>
        <v/>
      </c>
      <c r="X11898" s="23" t="str">
        <f aca="false">IF(T11898="","",IF(T11898=0,"No discount",IF(T11898&lt;=0.2,"Low (1-20%)",IF(T11898&lt;=0.4,"Medium (21-40%)","High (&gt;40%)"))))</f>
        <v/>
      </c>
      <c r="Y11898" s="23" t="str">
        <f aca="false">IF(AND(ISNUMBER(C11898),ISNUMBER(D11898)),D11898-C11898,"")</f>
        <v/>
      </c>
      <c r="Z11898" s="23" t="str">
        <f aca="false">IF(B11898="","",IF(MATCH(B11898,$B$2:$B$12000,0)=ROW()-1,1,0))</f>
        <v/>
      </c>
    </row>
    <row r="11899" customFormat="false" ht="15" hidden="false" customHeight="false" outlineLevel="0" collapsed="false">
      <c r="V11899" s="23" t="str">
        <f aca="false">IF(ISNUMBER(C11899),YEAR(C11899),"")</f>
        <v/>
      </c>
      <c r="W11899" s="23" t="str">
        <f aca="false">IF(ISNUMBER(C11899),MONTH(C11899),"")</f>
        <v/>
      </c>
      <c r="X11899" s="23" t="str">
        <f aca="false">IF(T11899="","",IF(T11899=0,"No discount",IF(T11899&lt;=0.2,"Low (1-20%)",IF(T11899&lt;=0.4,"Medium (21-40%)","High (&gt;40%)"))))</f>
        <v/>
      </c>
      <c r="Y11899" s="23" t="str">
        <f aca="false">IF(AND(ISNUMBER(C11899),ISNUMBER(D11899)),D11899-C11899,"")</f>
        <v/>
      </c>
      <c r="Z11899" s="23" t="str">
        <f aca="false">IF(B11899="","",IF(MATCH(B11899,$B$2:$B$12000,0)=ROW()-1,1,0))</f>
        <v/>
      </c>
    </row>
    <row r="11900" customFormat="false" ht="15" hidden="false" customHeight="false" outlineLevel="0" collapsed="false">
      <c r="V11900" s="23" t="str">
        <f aca="false">IF(ISNUMBER(C11900),YEAR(C11900),"")</f>
        <v/>
      </c>
      <c r="W11900" s="23" t="str">
        <f aca="false">IF(ISNUMBER(C11900),MONTH(C11900),"")</f>
        <v/>
      </c>
      <c r="X11900" s="23" t="str">
        <f aca="false">IF(T11900="","",IF(T11900=0,"No discount",IF(T11900&lt;=0.2,"Low (1-20%)",IF(T11900&lt;=0.4,"Medium (21-40%)","High (&gt;40%)"))))</f>
        <v/>
      </c>
      <c r="Y11900" s="23" t="str">
        <f aca="false">IF(AND(ISNUMBER(C11900),ISNUMBER(D11900)),D11900-C11900,"")</f>
        <v/>
      </c>
      <c r="Z11900" s="23" t="str">
        <f aca="false">IF(B11900="","",IF(MATCH(B11900,$B$2:$B$12000,0)=ROW()-1,1,0))</f>
        <v/>
      </c>
    </row>
    <row r="11901" customFormat="false" ht="15" hidden="false" customHeight="false" outlineLevel="0" collapsed="false">
      <c r="V11901" s="23" t="str">
        <f aca="false">IF(ISNUMBER(C11901),YEAR(C11901),"")</f>
        <v/>
      </c>
      <c r="W11901" s="23" t="str">
        <f aca="false">IF(ISNUMBER(C11901),MONTH(C11901),"")</f>
        <v/>
      </c>
      <c r="X11901" s="23" t="str">
        <f aca="false">IF(T11901="","",IF(T11901=0,"No discount",IF(T11901&lt;=0.2,"Low (1-20%)",IF(T11901&lt;=0.4,"Medium (21-40%)","High (&gt;40%)"))))</f>
        <v/>
      </c>
      <c r="Y11901" s="23" t="str">
        <f aca="false">IF(AND(ISNUMBER(C11901),ISNUMBER(D11901)),D11901-C11901,"")</f>
        <v/>
      </c>
      <c r="Z11901" s="23" t="str">
        <f aca="false">IF(B11901="","",IF(MATCH(B11901,$B$2:$B$12000,0)=ROW()-1,1,0))</f>
        <v/>
      </c>
    </row>
    <row r="11902" customFormat="false" ht="15" hidden="false" customHeight="false" outlineLevel="0" collapsed="false">
      <c r="V11902" s="23" t="str">
        <f aca="false">IF(ISNUMBER(C11902),YEAR(C11902),"")</f>
        <v/>
      </c>
      <c r="W11902" s="23" t="str">
        <f aca="false">IF(ISNUMBER(C11902),MONTH(C11902),"")</f>
        <v/>
      </c>
      <c r="X11902" s="23" t="str">
        <f aca="false">IF(T11902="","",IF(T11902=0,"No discount",IF(T11902&lt;=0.2,"Low (1-20%)",IF(T11902&lt;=0.4,"Medium (21-40%)","High (&gt;40%)"))))</f>
        <v/>
      </c>
      <c r="Y11902" s="23" t="str">
        <f aca="false">IF(AND(ISNUMBER(C11902),ISNUMBER(D11902)),D11902-C11902,"")</f>
        <v/>
      </c>
      <c r="Z11902" s="23" t="str">
        <f aca="false">IF(B11902="","",IF(MATCH(B11902,$B$2:$B$12000,0)=ROW()-1,1,0))</f>
        <v/>
      </c>
    </row>
    <row r="11903" customFormat="false" ht="15" hidden="false" customHeight="false" outlineLevel="0" collapsed="false">
      <c r="V11903" s="23" t="str">
        <f aca="false">IF(ISNUMBER(C11903),YEAR(C11903),"")</f>
        <v/>
      </c>
      <c r="W11903" s="23" t="str">
        <f aca="false">IF(ISNUMBER(C11903),MONTH(C11903),"")</f>
        <v/>
      </c>
      <c r="X11903" s="23" t="str">
        <f aca="false">IF(T11903="","",IF(T11903=0,"No discount",IF(T11903&lt;=0.2,"Low (1-20%)",IF(T11903&lt;=0.4,"Medium (21-40%)","High (&gt;40%)"))))</f>
        <v/>
      </c>
      <c r="Y11903" s="23" t="str">
        <f aca="false">IF(AND(ISNUMBER(C11903),ISNUMBER(D11903)),D11903-C11903,"")</f>
        <v/>
      </c>
      <c r="Z11903" s="23" t="str">
        <f aca="false">IF(B11903="","",IF(MATCH(B11903,$B$2:$B$12000,0)=ROW()-1,1,0))</f>
        <v/>
      </c>
    </row>
    <row r="11904" customFormat="false" ht="15" hidden="false" customHeight="false" outlineLevel="0" collapsed="false">
      <c r="V11904" s="23" t="str">
        <f aca="false">IF(ISNUMBER(C11904),YEAR(C11904),"")</f>
        <v/>
      </c>
      <c r="W11904" s="23" t="str">
        <f aca="false">IF(ISNUMBER(C11904),MONTH(C11904),"")</f>
        <v/>
      </c>
      <c r="X11904" s="23" t="str">
        <f aca="false">IF(T11904="","",IF(T11904=0,"No discount",IF(T11904&lt;=0.2,"Low (1-20%)",IF(T11904&lt;=0.4,"Medium (21-40%)","High (&gt;40%)"))))</f>
        <v/>
      </c>
      <c r="Y11904" s="23" t="str">
        <f aca="false">IF(AND(ISNUMBER(C11904),ISNUMBER(D11904)),D11904-C11904,"")</f>
        <v/>
      </c>
      <c r="Z11904" s="23" t="str">
        <f aca="false">IF(B11904="","",IF(MATCH(B11904,$B$2:$B$12000,0)=ROW()-1,1,0))</f>
        <v/>
      </c>
    </row>
    <row r="11905" customFormat="false" ht="15" hidden="false" customHeight="false" outlineLevel="0" collapsed="false">
      <c r="V11905" s="23" t="str">
        <f aca="false">IF(ISNUMBER(C11905),YEAR(C11905),"")</f>
        <v/>
      </c>
      <c r="W11905" s="23" t="str">
        <f aca="false">IF(ISNUMBER(C11905),MONTH(C11905),"")</f>
        <v/>
      </c>
      <c r="X11905" s="23" t="str">
        <f aca="false">IF(T11905="","",IF(T11905=0,"No discount",IF(T11905&lt;=0.2,"Low (1-20%)",IF(T11905&lt;=0.4,"Medium (21-40%)","High (&gt;40%)"))))</f>
        <v/>
      </c>
      <c r="Y11905" s="23" t="str">
        <f aca="false">IF(AND(ISNUMBER(C11905),ISNUMBER(D11905)),D11905-C11905,"")</f>
        <v/>
      </c>
      <c r="Z11905" s="23" t="str">
        <f aca="false">IF(B11905="","",IF(MATCH(B11905,$B$2:$B$12000,0)=ROW()-1,1,0))</f>
        <v/>
      </c>
    </row>
    <row r="11906" customFormat="false" ht="15" hidden="false" customHeight="false" outlineLevel="0" collapsed="false">
      <c r="V11906" s="23" t="str">
        <f aca="false">IF(ISNUMBER(C11906),YEAR(C11906),"")</f>
        <v/>
      </c>
      <c r="W11906" s="23" t="str">
        <f aca="false">IF(ISNUMBER(C11906),MONTH(C11906),"")</f>
        <v/>
      </c>
      <c r="X11906" s="23" t="str">
        <f aca="false">IF(T11906="","",IF(T11906=0,"No discount",IF(T11906&lt;=0.2,"Low (1-20%)",IF(T11906&lt;=0.4,"Medium (21-40%)","High (&gt;40%)"))))</f>
        <v/>
      </c>
      <c r="Y11906" s="23" t="str">
        <f aca="false">IF(AND(ISNUMBER(C11906),ISNUMBER(D11906)),D11906-C11906,"")</f>
        <v/>
      </c>
      <c r="Z11906" s="23" t="str">
        <f aca="false">IF(B11906="","",IF(MATCH(B11906,$B$2:$B$12000,0)=ROW()-1,1,0))</f>
        <v/>
      </c>
    </row>
    <row r="11907" customFormat="false" ht="15" hidden="false" customHeight="false" outlineLevel="0" collapsed="false">
      <c r="V11907" s="23" t="str">
        <f aca="false">IF(ISNUMBER(C11907),YEAR(C11907),"")</f>
        <v/>
      </c>
      <c r="W11907" s="23" t="str">
        <f aca="false">IF(ISNUMBER(C11907),MONTH(C11907),"")</f>
        <v/>
      </c>
      <c r="X11907" s="23" t="str">
        <f aca="false">IF(T11907="","",IF(T11907=0,"No discount",IF(T11907&lt;=0.2,"Low (1-20%)",IF(T11907&lt;=0.4,"Medium (21-40%)","High (&gt;40%)"))))</f>
        <v/>
      </c>
      <c r="Y11907" s="23" t="str">
        <f aca="false">IF(AND(ISNUMBER(C11907),ISNUMBER(D11907)),D11907-C11907,"")</f>
        <v/>
      </c>
      <c r="Z11907" s="23" t="str">
        <f aca="false">IF(B11907="","",IF(MATCH(B11907,$B$2:$B$12000,0)=ROW()-1,1,0))</f>
        <v/>
      </c>
    </row>
    <row r="11908" customFormat="false" ht="15" hidden="false" customHeight="false" outlineLevel="0" collapsed="false">
      <c r="V11908" s="23" t="str">
        <f aca="false">IF(ISNUMBER(C11908),YEAR(C11908),"")</f>
        <v/>
      </c>
      <c r="W11908" s="23" t="str">
        <f aca="false">IF(ISNUMBER(C11908),MONTH(C11908),"")</f>
        <v/>
      </c>
      <c r="X11908" s="23" t="str">
        <f aca="false">IF(T11908="","",IF(T11908=0,"No discount",IF(T11908&lt;=0.2,"Low (1-20%)",IF(T11908&lt;=0.4,"Medium (21-40%)","High (&gt;40%)"))))</f>
        <v/>
      </c>
      <c r="Y11908" s="23" t="str">
        <f aca="false">IF(AND(ISNUMBER(C11908),ISNUMBER(D11908)),D11908-C11908,"")</f>
        <v/>
      </c>
      <c r="Z11908" s="23" t="str">
        <f aca="false">IF(B11908="","",IF(MATCH(B11908,$B$2:$B$12000,0)=ROW()-1,1,0))</f>
        <v/>
      </c>
    </row>
    <row r="11909" customFormat="false" ht="15" hidden="false" customHeight="false" outlineLevel="0" collapsed="false">
      <c r="V11909" s="23" t="str">
        <f aca="false">IF(ISNUMBER(C11909),YEAR(C11909),"")</f>
        <v/>
      </c>
      <c r="W11909" s="23" t="str">
        <f aca="false">IF(ISNUMBER(C11909),MONTH(C11909),"")</f>
        <v/>
      </c>
      <c r="X11909" s="23" t="str">
        <f aca="false">IF(T11909="","",IF(T11909=0,"No discount",IF(T11909&lt;=0.2,"Low (1-20%)",IF(T11909&lt;=0.4,"Medium (21-40%)","High (&gt;40%)"))))</f>
        <v/>
      </c>
      <c r="Y11909" s="23" t="str">
        <f aca="false">IF(AND(ISNUMBER(C11909),ISNUMBER(D11909)),D11909-C11909,"")</f>
        <v/>
      </c>
      <c r="Z11909" s="23" t="str">
        <f aca="false">IF(B11909="","",IF(MATCH(B11909,$B$2:$B$12000,0)=ROW()-1,1,0))</f>
        <v/>
      </c>
    </row>
    <row r="11910" customFormat="false" ht="15" hidden="false" customHeight="false" outlineLevel="0" collapsed="false">
      <c r="V11910" s="23" t="str">
        <f aca="false">IF(ISNUMBER(C11910),YEAR(C11910),"")</f>
        <v/>
      </c>
      <c r="W11910" s="23" t="str">
        <f aca="false">IF(ISNUMBER(C11910),MONTH(C11910),"")</f>
        <v/>
      </c>
      <c r="X11910" s="23" t="str">
        <f aca="false">IF(T11910="","",IF(T11910=0,"No discount",IF(T11910&lt;=0.2,"Low (1-20%)",IF(T11910&lt;=0.4,"Medium (21-40%)","High (&gt;40%)"))))</f>
        <v/>
      </c>
      <c r="Y11910" s="23" t="str">
        <f aca="false">IF(AND(ISNUMBER(C11910),ISNUMBER(D11910)),D11910-C11910,"")</f>
        <v/>
      </c>
      <c r="Z11910" s="23" t="str">
        <f aca="false">IF(B11910="","",IF(MATCH(B11910,$B$2:$B$12000,0)=ROW()-1,1,0))</f>
        <v/>
      </c>
    </row>
    <row r="11911" customFormat="false" ht="15" hidden="false" customHeight="false" outlineLevel="0" collapsed="false">
      <c r="V11911" s="23" t="str">
        <f aca="false">IF(ISNUMBER(C11911),YEAR(C11911),"")</f>
        <v/>
      </c>
      <c r="W11911" s="23" t="str">
        <f aca="false">IF(ISNUMBER(C11911),MONTH(C11911),"")</f>
        <v/>
      </c>
      <c r="X11911" s="23" t="str">
        <f aca="false">IF(T11911="","",IF(T11911=0,"No discount",IF(T11911&lt;=0.2,"Low (1-20%)",IF(T11911&lt;=0.4,"Medium (21-40%)","High (&gt;40%)"))))</f>
        <v/>
      </c>
      <c r="Y11911" s="23" t="str">
        <f aca="false">IF(AND(ISNUMBER(C11911),ISNUMBER(D11911)),D11911-C11911,"")</f>
        <v/>
      </c>
      <c r="Z11911" s="23" t="str">
        <f aca="false">IF(B11911="","",IF(MATCH(B11911,$B$2:$B$12000,0)=ROW()-1,1,0))</f>
        <v/>
      </c>
    </row>
    <row r="11912" customFormat="false" ht="15" hidden="false" customHeight="false" outlineLevel="0" collapsed="false">
      <c r="V11912" s="23" t="str">
        <f aca="false">IF(ISNUMBER(C11912),YEAR(C11912),"")</f>
        <v/>
      </c>
      <c r="W11912" s="23" t="str">
        <f aca="false">IF(ISNUMBER(C11912),MONTH(C11912),"")</f>
        <v/>
      </c>
      <c r="X11912" s="23" t="str">
        <f aca="false">IF(T11912="","",IF(T11912=0,"No discount",IF(T11912&lt;=0.2,"Low (1-20%)",IF(T11912&lt;=0.4,"Medium (21-40%)","High (&gt;40%)"))))</f>
        <v/>
      </c>
      <c r="Y11912" s="23" t="str">
        <f aca="false">IF(AND(ISNUMBER(C11912),ISNUMBER(D11912)),D11912-C11912,"")</f>
        <v/>
      </c>
      <c r="Z11912" s="23" t="str">
        <f aca="false">IF(B11912="","",IF(MATCH(B11912,$B$2:$B$12000,0)=ROW()-1,1,0))</f>
        <v/>
      </c>
    </row>
    <row r="11913" customFormat="false" ht="15" hidden="false" customHeight="false" outlineLevel="0" collapsed="false">
      <c r="V11913" s="23" t="str">
        <f aca="false">IF(ISNUMBER(C11913),YEAR(C11913),"")</f>
        <v/>
      </c>
      <c r="W11913" s="23" t="str">
        <f aca="false">IF(ISNUMBER(C11913),MONTH(C11913),"")</f>
        <v/>
      </c>
      <c r="X11913" s="23" t="str">
        <f aca="false">IF(T11913="","",IF(T11913=0,"No discount",IF(T11913&lt;=0.2,"Low (1-20%)",IF(T11913&lt;=0.4,"Medium (21-40%)","High (&gt;40%)"))))</f>
        <v/>
      </c>
      <c r="Y11913" s="23" t="str">
        <f aca="false">IF(AND(ISNUMBER(C11913),ISNUMBER(D11913)),D11913-C11913,"")</f>
        <v/>
      </c>
      <c r="Z11913" s="23" t="str">
        <f aca="false">IF(B11913="","",IF(MATCH(B11913,$B$2:$B$12000,0)=ROW()-1,1,0))</f>
        <v/>
      </c>
    </row>
    <row r="11914" customFormat="false" ht="15" hidden="false" customHeight="false" outlineLevel="0" collapsed="false">
      <c r="V11914" s="23" t="str">
        <f aca="false">IF(ISNUMBER(C11914),YEAR(C11914),"")</f>
        <v/>
      </c>
      <c r="W11914" s="23" t="str">
        <f aca="false">IF(ISNUMBER(C11914),MONTH(C11914),"")</f>
        <v/>
      </c>
      <c r="X11914" s="23" t="str">
        <f aca="false">IF(T11914="","",IF(T11914=0,"No discount",IF(T11914&lt;=0.2,"Low (1-20%)",IF(T11914&lt;=0.4,"Medium (21-40%)","High (&gt;40%)"))))</f>
        <v/>
      </c>
      <c r="Y11914" s="23" t="str">
        <f aca="false">IF(AND(ISNUMBER(C11914),ISNUMBER(D11914)),D11914-C11914,"")</f>
        <v/>
      </c>
      <c r="Z11914" s="23" t="str">
        <f aca="false">IF(B11914="","",IF(MATCH(B11914,$B$2:$B$12000,0)=ROW()-1,1,0))</f>
        <v/>
      </c>
    </row>
    <row r="11915" customFormat="false" ht="15" hidden="false" customHeight="false" outlineLevel="0" collapsed="false">
      <c r="V11915" s="23" t="str">
        <f aca="false">IF(ISNUMBER(C11915),YEAR(C11915),"")</f>
        <v/>
      </c>
      <c r="W11915" s="23" t="str">
        <f aca="false">IF(ISNUMBER(C11915),MONTH(C11915),"")</f>
        <v/>
      </c>
      <c r="X11915" s="23" t="str">
        <f aca="false">IF(T11915="","",IF(T11915=0,"No discount",IF(T11915&lt;=0.2,"Low (1-20%)",IF(T11915&lt;=0.4,"Medium (21-40%)","High (&gt;40%)"))))</f>
        <v/>
      </c>
      <c r="Y11915" s="23" t="str">
        <f aca="false">IF(AND(ISNUMBER(C11915),ISNUMBER(D11915)),D11915-C11915,"")</f>
        <v/>
      </c>
      <c r="Z11915" s="23" t="str">
        <f aca="false">IF(B11915="","",IF(MATCH(B11915,$B$2:$B$12000,0)=ROW()-1,1,0))</f>
        <v/>
      </c>
    </row>
    <row r="11916" customFormat="false" ht="15" hidden="false" customHeight="false" outlineLevel="0" collapsed="false">
      <c r="V11916" s="23" t="str">
        <f aca="false">IF(ISNUMBER(C11916),YEAR(C11916),"")</f>
        <v/>
      </c>
      <c r="W11916" s="23" t="str">
        <f aca="false">IF(ISNUMBER(C11916),MONTH(C11916),"")</f>
        <v/>
      </c>
      <c r="X11916" s="23" t="str">
        <f aca="false">IF(T11916="","",IF(T11916=0,"No discount",IF(T11916&lt;=0.2,"Low (1-20%)",IF(T11916&lt;=0.4,"Medium (21-40%)","High (&gt;40%)"))))</f>
        <v/>
      </c>
      <c r="Y11916" s="23" t="str">
        <f aca="false">IF(AND(ISNUMBER(C11916),ISNUMBER(D11916)),D11916-C11916,"")</f>
        <v/>
      </c>
      <c r="Z11916" s="23" t="str">
        <f aca="false">IF(B11916="","",IF(MATCH(B11916,$B$2:$B$12000,0)=ROW()-1,1,0))</f>
        <v/>
      </c>
    </row>
    <row r="11917" customFormat="false" ht="15" hidden="false" customHeight="false" outlineLevel="0" collapsed="false">
      <c r="V11917" s="23" t="str">
        <f aca="false">IF(ISNUMBER(C11917),YEAR(C11917),"")</f>
        <v/>
      </c>
      <c r="W11917" s="23" t="str">
        <f aca="false">IF(ISNUMBER(C11917),MONTH(C11917),"")</f>
        <v/>
      </c>
      <c r="X11917" s="23" t="str">
        <f aca="false">IF(T11917="","",IF(T11917=0,"No discount",IF(T11917&lt;=0.2,"Low (1-20%)",IF(T11917&lt;=0.4,"Medium (21-40%)","High (&gt;40%)"))))</f>
        <v/>
      </c>
      <c r="Y11917" s="23" t="str">
        <f aca="false">IF(AND(ISNUMBER(C11917),ISNUMBER(D11917)),D11917-C11917,"")</f>
        <v/>
      </c>
      <c r="Z11917" s="23" t="str">
        <f aca="false">IF(B11917="","",IF(MATCH(B11917,$B$2:$B$12000,0)=ROW()-1,1,0))</f>
        <v/>
      </c>
    </row>
    <row r="11918" customFormat="false" ht="15" hidden="false" customHeight="false" outlineLevel="0" collapsed="false">
      <c r="V11918" s="23" t="str">
        <f aca="false">IF(ISNUMBER(C11918),YEAR(C11918),"")</f>
        <v/>
      </c>
      <c r="W11918" s="23" t="str">
        <f aca="false">IF(ISNUMBER(C11918),MONTH(C11918),"")</f>
        <v/>
      </c>
      <c r="X11918" s="23" t="str">
        <f aca="false">IF(T11918="","",IF(T11918=0,"No discount",IF(T11918&lt;=0.2,"Low (1-20%)",IF(T11918&lt;=0.4,"Medium (21-40%)","High (&gt;40%)"))))</f>
        <v/>
      </c>
      <c r="Y11918" s="23" t="str">
        <f aca="false">IF(AND(ISNUMBER(C11918),ISNUMBER(D11918)),D11918-C11918,"")</f>
        <v/>
      </c>
      <c r="Z11918" s="23" t="str">
        <f aca="false">IF(B11918="","",IF(MATCH(B11918,$B$2:$B$12000,0)=ROW()-1,1,0))</f>
        <v/>
      </c>
    </row>
    <row r="11919" customFormat="false" ht="15" hidden="false" customHeight="false" outlineLevel="0" collapsed="false">
      <c r="V11919" s="23" t="str">
        <f aca="false">IF(ISNUMBER(C11919),YEAR(C11919),"")</f>
        <v/>
      </c>
      <c r="W11919" s="23" t="str">
        <f aca="false">IF(ISNUMBER(C11919),MONTH(C11919),"")</f>
        <v/>
      </c>
      <c r="X11919" s="23" t="str">
        <f aca="false">IF(T11919="","",IF(T11919=0,"No discount",IF(T11919&lt;=0.2,"Low (1-20%)",IF(T11919&lt;=0.4,"Medium (21-40%)","High (&gt;40%)"))))</f>
        <v/>
      </c>
      <c r="Y11919" s="23" t="str">
        <f aca="false">IF(AND(ISNUMBER(C11919),ISNUMBER(D11919)),D11919-C11919,"")</f>
        <v/>
      </c>
      <c r="Z11919" s="23" t="str">
        <f aca="false">IF(B11919="","",IF(MATCH(B11919,$B$2:$B$12000,0)=ROW()-1,1,0))</f>
        <v/>
      </c>
    </row>
    <row r="11920" customFormat="false" ht="15" hidden="false" customHeight="false" outlineLevel="0" collapsed="false">
      <c r="V11920" s="23" t="str">
        <f aca="false">IF(ISNUMBER(C11920),YEAR(C11920),"")</f>
        <v/>
      </c>
      <c r="W11920" s="23" t="str">
        <f aca="false">IF(ISNUMBER(C11920),MONTH(C11920),"")</f>
        <v/>
      </c>
      <c r="X11920" s="23" t="str">
        <f aca="false">IF(T11920="","",IF(T11920=0,"No discount",IF(T11920&lt;=0.2,"Low (1-20%)",IF(T11920&lt;=0.4,"Medium (21-40%)","High (&gt;40%)"))))</f>
        <v/>
      </c>
      <c r="Y11920" s="23" t="str">
        <f aca="false">IF(AND(ISNUMBER(C11920),ISNUMBER(D11920)),D11920-C11920,"")</f>
        <v/>
      </c>
      <c r="Z11920" s="23" t="str">
        <f aca="false">IF(B11920="","",IF(MATCH(B11920,$B$2:$B$12000,0)=ROW()-1,1,0))</f>
        <v/>
      </c>
    </row>
    <row r="11921" customFormat="false" ht="15" hidden="false" customHeight="false" outlineLevel="0" collapsed="false">
      <c r="V11921" s="23" t="str">
        <f aca="false">IF(ISNUMBER(C11921),YEAR(C11921),"")</f>
        <v/>
      </c>
      <c r="W11921" s="23" t="str">
        <f aca="false">IF(ISNUMBER(C11921),MONTH(C11921),"")</f>
        <v/>
      </c>
      <c r="X11921" s="23" t="str">
        <f aca="false">IF(T11921="","",IF(T11921=0,"No discount",IF(T11921&lt;=0.2,"Low (1-20%)",IF(T11921&lt;=0.4,"Medium (21-40%)","High (&gt;40%)"))))</f>
        <v/>
      </c>
      <c r="Y11921" s="23" t="str">
        <f aca="false">IF(AND(ISNUMBER(C11921),ISNUMBER(D11921)),D11921-C11921,"")</f>
        <v/>
      </c>
      <c r="Z11921" s="23" t="str">
        <f aca="false">IF(B11921="","",IF(MATCH(B11921,$B$2:$B$12000,0)=ROW()-1,1,0))</f>
        <v/>
      </c>
    </row>
    <row r="11922" customFormat="false" ht="15" hidden="false" customHeight="false" outlineLevel="0" collapsed="false">
      <c r="V11922" s="23" t="str">
        <f aca="false">IF(ISNUMBER(C11922),YEAR(C11922),"")</f>
        <v/>
      </c>
      <c r="W11922" s="23" t="str">
        <f aca="false">IF(ISNUMBER(C11922),MONTH(C11922),"")</f>
        <v/>
      </c>
      <c r="X11922" s="23" t="str">
        <f aca="false">IF(T11922="","",IF(T11922=0,"No discount",IF(T11922&lt;=0.2,"Low (1-20%)",IF(T11922&lt;=0.4,"Medium (21-40%)","High (&gt;40%)"))))</f>
        <v/>
      </c>
      <c r="Y11922" s="23" t="str">
        <f aca="false">IF(AND(ISNUMBER(C11922),ISNUMBER(D11922)),D11922-C11922,"")</f>
        <v/>
      </c>
      <c r="Z11922" s="23" t="str">
        <f aca="false">IF(B11922="","",IF(MATCH(B11922,$B$2:$B$12000,0)=ROW()-1,1,0))</f>
        <v/>
      </c>
    </row>
    <row r="11923" customFormat="false" ht="15" hidden="false" customHeight="false" outlineLevel="0" collapsed="false">
      <c r="V11923" s="23" t="str">
        <f aca="false">IF(ISNUMBER(C11923),YEAR(C11923),"")</f>
        <v/>
      </c>
      <c r="W11923" s="23" t="str">
        <f aca="false">IF(ISNUMBER(C11923),MONTH(C11923),"")</f>
        <v/>
      </c>
      <c r="X11923" s="23" t="str">
        <f aca="false">IF(T11923="","",IF(T11923=0,"No discount",IF(T11923&lt;=0.2,"Low (1-20%)",IF(T11923&lt;=0.4,"Medium (21-40%)","High (&gt;40%)"))))</f>
        <v/>
      </c>
      <c r="Y11923" s="23" t="str">
        <f aca="false">IF(AND(ISNUMBER(C11923),ISNUMBER(D11923)),D11923-C11923,"")</f>
        <v/>
      </c>
      <c r="Z11923" s="23" t="str">
        <f aca="false">IF(B11923="","",IF(MATCH(B11923,$B$2:$B$12000,0)=ROW()-1,1,0))</f>
        <v/>
      </c>
    </row>
    <row r="11924" customFormat="false" ht="15" hidden="false" customHeight="false" outlineLevel="0" collapsed="false">
      <c r="V11924" s="23" t="str">
        <f aca="false">IF(ISNUMBER(C11924),YEAR(C11924),"")</f>
        <v/>
      </c>
      <c r="W11924" s="23" t="str">
        <f aca="false">IF(ISNUMBER(C11924),MONTH(C11924),"")</f>
        <v/>
      </c>
      <c r="X11924" s="23" t="str">
        <f aca="false">IF(T11924="","",IF(T11924=0,"No discount",IF(T11924&lt;=0.2,"Low (1-20%)",IF(T11924&lt;=0.4,"Medium (21-40%)","High (&gt;40%)"))))</f>
        <v/>
      </c>
      <c r="Y11924" s="23" t="str">
        <f aca="false">IF(AND(ISNUMBER(C11924),ISNUMBER(D11924)),D11924-C11924,"")</f>
        <v/>
      </c>
      <c r="Z11924" s="23" t="str">
        <f aca="false">IF(B11924="","",IF(MATCH(B11924,$B$2:$B$12000,0)=ROW()-1,1,0))</f>
        <v/>
      </c>
    </row>
    <row r="11925" customFormat="false" ht="15" hidden="false" customHeight="false" outlineLevel="0" collapsed="false">
      <c r="V11925" s="23" t="str">
        <f aca="false">IF(ISNUMBER(C11925),YEAR(C11925),"")</f>
        <v/>
      </c>
      <c r="W11925" s="23" t="str">
        <f aca="false">IF(ISNUMBER(C11925),MONTH(C11925),"")</f>
        <v/>
      </c>
      <c r="X11925" s="23" t="str">
        <f aca="false">IF(T11925="","",IF(T11925=0,"No discount",IF(T11925&lt;=0.2,"Low (1-20%)",IF(T11925&lt;=0.4,"Medium (21-40%)","High (&gt;40%)"))))</f>
        <v/>
      </c>
      <c r="Y11925" s="23" t="str">
        <f aca="false">IF(AND(ISNUMBER(C11925),ISNUMBER(D11925)),D11925-C11925,"")</f>
        <v/>
      </c>
      <c r="Z11925" s="23" t="str">
        <f aca="false">IF(B11925="","",IF(MATCH(B11925,$B$2:$B$12000,0)=ROW()-1,1,0))</f>
        <v/>
      </c>
    </row>
    <row r="11926" customFormat="false" ht="15" hidden="false" customHeight="false" outlineLevel="0" collapsed="false">
      <c r="V11926" s="23" t="str">
        <f aca="false">IF(ISNUMBER(C11926),YEAR(C11926),"")</f>
        <v/>
      </c>
      <c r="W11926" s="23" t="str">
        <f aca="false">IF(ISNUMBER(C11926),MONTH(C11926),"")</f>
        <v/>
      </c>
      <c r="X11926" s="23" t="str">
        <f aca="false">IF(T11926="","",IF(T11926=0,"No discount",IF(T11926&lt;=0.2,"Low (1-20%)",IF(T11926&lt;=0.4,"Medium (21-40%)","High (&gt;40%)"))))</f>
        <v/>
      </c>
      <c r="Y11926" s="23" t="str">
        <f aca="false">IF(AND(ISNUMBER(C11926),ISNUMBER(D11926)),D11926-C11926,"")</f>
        <v/>
      </c>
      <c r="Z11926" s="23" t="str">
        <f aca="false">IF(B11926="","",IF(MATCH(B11926,$B$2:$B$12000,0)=ROW()-1,1,0))</f>
        <v/>
      </c>
    </row>
    <row r="11927" customFormat="false" ht="15" hidden="false" customHeight="false" outlineLevel="0" collapsed="false">
      <c r="V11927" s="23" t="str">
        <f aca="false">IF(ISNUMBER(C11927),YEAR(C11927),"")</f>
        <v/>
      </c>
      <c r="W11927" s="23" t="str">
        <f aca="false">IF(ISNUMBER(C11927),MONTH(C11927),"")</f>
        <v/>
      </c>
      <c r="X11927" s="23" t="str">
        <f aca="false">IF(T11927="","",IF(T11927=0,"No discount",IF(T11927&lt;=0.2,"Low (1-20%)",IF(T11927&lt;=0.4,"Medium (21-40%)","High (&gt;40%)"))))</f>
        <v/>
      </c>
      <c r="Y11927" s="23" t="str">
        <f aca="false">IF(AND(ISNUMBER(C11927),ISNUMBER(D11927)),D11927-C11927,"")</f>
        <v/>
      </c>
      <c r="Z11927" s="23" t="str">
        <f aca="false">IF(B11927="","",IF(MATCH(B11927,$B$2:$B$12000,0)=ROW()-1,1,0))</f>
        <v/>
      </c>
    </row>
    <row r="11928" customFormat="false" ht="15" hidden="false" customHeight="false" outlineLevel="0" collapsed="false">
      <c r="V11928" s="23" t="str">
        <f aca="false">IF(ISNUMBER(C11928),YEAR(C11928),"")</f>
        <v/>
      </c>
      <c r="W11928" s="23" t="str">
        <f aca="false">IF(ISNUMBER(C11928),MONTH(C11928),"")</f>
        <v/>
      </c>
      <c r="X11928" s="23" t="str">
        <f aca="false">IF(T11928="","",IF(T11928=0,"No discount",IF(T11928&lt;=0.2,"Low (1-20%)",IF(T11928&lt;=0.4,"Medium (21-40%)","High (&gt;40%)"))))</f>
        <v/>
      </c>
      <c r="Y11928" s="23" t="str">
        <f aca="false">IF(AND(ISNUMBER(C11928),ISNUMBER(D11928)),D11928-C11928,"")</f>
        <v/>
      </c>
      <c r="Z11928" s="23" t="str">
        <f aca="false">IF(B11928="","",IF(MATCH(B11928,$B$2:$B$12000,0)=ROW()-1,1,0))</f>
        <v/>
      </c>
    </row>
    <row r="11929" customFormat="false" ht="15" hidden="false" customHeight="false" outlineLevel="0" collapsed="false">
      <c r="V11929" s="23" t="str">
        <f aca="false">IF(ISNUMBER(C11929),YEAR(C11929),"")</f>
        <v/>
      </c>
      <c r="W11929" s="23" t="str">
        <f aca="false">IF(ISNUMBER(C11929),MONTH(C11929),"")</f>
        <v/>
      </c>
      <c r="X11929" s="23" t="str">
        <f aca="false">IF(T11929="","",IF(T11929=0,"No discount",IF(T11929&lt;=0.2,"Low (1-20%)",IF(T11929&lt;=0.4,"Medium (21-40%)","High (&gt;40%)"))))</f>
        <v/>
      </c>
      <c r="Y11929" s="23" t="str">
        <f aca="false">IF(AND(ISNUMBER(C11929),ISNUMBER(D11929)),D11929-C11929,"")</f>
        <v/>
      </c>
      <c r="Z11929" s="23" t="str">
        <f aca="false">IF(B11929="","",IF(MATCH(B11929,$B$2:$B$12000,0)=ROW()-1,1,0))</f>
        <v/>
      </c>
    </row>
    <row r="11930" customFormat="false" ht="15" hidden="false" customHeight="false" outlineLevel="0" collapsed="false">
      <c r="V11930" s="23" t="str">
        <f aca="false">IF(ISNUMBER(C11930),YEAR(C11930),"")</f>
        <v/>
      </c>
      <c r="W11930" s="23" t="str">
        <f aca="false">IF(ISNUMBER(C11930),MONTH(C11930),"")</f>
        <v/>
      </c>
      <c r="X11930" s="23" t="str">
        <f aca="false">IF(T11930="","",IF(T11930=0,"No discount",IF(T11930&lt;=0.2,"Low (1-20%)",IF(T11930&lt;=0.4,"Medium (21-40%)","High (&gt;40%)"))))</f>
        <v/>
      </c>
      <c r="Y11930" s="23" t="str">
        <f aca="false">IF(AND(ISNUMBER(C11930),ISNUMBER(D11930)),D11930-C11930,"")</f>
        <v/>
      </c>
      <c r="Z11930" s="23" t="str">
        <f aca="false">IF(B11930="","",IF(MATCH(B11930,$B$2:$B$12000,0)=ROW()-1,1,0))</f>
        <v/>
      </c>
    </row>
    <row r="11931" customFormat="false" ht="15" hidden="false" customHeight="false" outlineLevel="0" collapsed="false">
      <c r="V11931" s="23" t="str">
        <f aca="false">IF(ISNUMBER(C11931),YEAR(C11931),"")</f>
        <v/>
      </c>
      <c r="W11931" s="23" t="str">
        <f aca="false">IF(ISNUMBER(C11931),MONTH(C11931),"")</f>
        <v/>
      </c>
      <c r="X11931" s="23" t="str">
        <f aca="false">IF(T11931="","",IF(T11931=0,"No discount",IF(T11931&lt;=0.2,"Low (1-20%)",IF(T11931&lt;=0.4,"Medium (21-40%)","High (&gt;40%)"))))</f>
        <v/>
      </c>
      <c r="Y11931" s="23" t="str">
        <f aca="false">IF(AND(ISNUMBER(C11931),ISNUMBER(D11931)),D11931-C11931,"")</f>
        <v/>
      </c>
      <c r="Z11931" s="23" t="str">
        <f aca="false">IF(B11931="","",IF(MATCH(B11931,$B$2:$B$12000,0)=ROW()-1,1,0))</f>
        <v/>
      </c>
    </row>
    <row r="11932" customFormat="false" ht="15" hidden="false" customHeight="false" outlineLevel="0" collapsed="false">
      <c r="V11932" s="23" t="str">
        <f aca="false">IF(ISNUMBER(C11932),YEAR(C11932),"")</f>
        <v/>
      </c>
      <c r="W11932" s="23" t="str">
        <f aca="false">IF(ISNUMBER(C11932),MONTH(C11932),"")</f>
        <v/>
      </c>
      <c r="X11932" s="23" t="str">
        <f aca="false">IF(T11932="","",IF(T11932=0,"No discount",IF(T11932&lt;=0.2,"Low (1-20%)",IF(T11932&lt;=0.4,"Medium (21-40%)","High (&gt;40%)"))))</f>
        <v/>
      </c>
      <c r="Y11932" s="23" t="str">
        <f aca="false">IF(AND(ISNUMBER(C11932),ISNUMBER(D11932)),D11932-C11932,"")</f>
        <v/>
      </c>
      <c r="Z11932" s="23" t="str">
        <f aca="false">IF(B11932="","",IF(MATCH(B11932,$B$2:$B$12000,0)=ROW()-1,1,0))</f>
        <v/>
      </c>
    </row>
    <row r="11933" customFormat="false" ht="15" hidden="false" customHeight="false" outlineLevel="0" collapsed="false">
      <c r="V11933" s="23" t="str">
        <f aca="false">IF(ISNUMBER(C11933),YEAR(C11933),"")</f>
        <v/>
      </c>
      <c r="W11933" s="23" t="str">
        <f aca="false">IF(ISNUMBER(C11933),MONTH(C11933),"")</f>
        <v/>
      </c>
      <c r="X11933" s="23" t="str">
        <f aca="false">IF(T11933="","",IF(T11933=0,"No discount",IF(T11933&lt;=0.2,"Low (1-20%)",IF(T11933&lt;=0.4,"Medium (21-40%)","High (&gt;40%)"))))</f>
        <v/>
      </c>
      <c r="Y11933" s="23" t="str">
        <f aca="false">IF(AND(ISNUMBER(C11933),ISNUMBER(D11933)),D11933-C11933,"")</f>
        <v/>
      </c>
      <c r="Z11933" s="23" t="str">
        <f aca="false">IF(B11933="","",IF(MATCH(B11933,$B$2:$B$12000,0)=ROW()-1,1,0))</f>
        <v/>
      </c>
    </row>
    <row r="11934" customFormat="false" ht="15" hidden="false" customHeight="false" outlineLevel="0" collapsed="false">
      <c r="V11934" s="23" t="str">
        <f aca="false">IF(ISNUMBER(C11934),YEAR(C11934),"")</f>
        <v/>
      </c>
      <c r="W11934" s="23" t="str">
        <f aca="false">IF(ISNUMBER(C11934),MONTH(C11934),"")</f>
        <v/>
      </c>
      <c r="X11934" s="23" t="str">
        <f aca="false">IF(T11934="","",IF(T11934=0,"No discount",IF(T11934&lt;=0.2,"Low (1-20%)",IF(T11934&lt;=0.4,"Medium (21-40%)","High (&gt;40%)"))))</f>
        <v/>
      </c>
      <c r="Y11934" s="23" t="str">
        <f aca="false">IF(AND(ISNUMBER(C11934),ISNUMBER(D11934)),D11934-C11934,"")</f>
        <v/>
      </c>
      <c r="Z11934" s="23" t="str">
        <f aca="false">IF(B11934="","",IF(MATCH(B11934,$B$2:$B$12000,0)=ROW()-1,1,0))</f>
        <v/>
      </c>
    </row>
    <row r="11935" customFormat="false" ht="15" hidden="false" customHeight="false" outlineLevel="0" collapsed="false">
      <c r="V11935" s="23" t="str">
        <f aca="false">IF(ISNUMBER(C11935),YEAR(C11935),"")</f>
        <v/>
      </c>
      <c r="W11935" s="23" t="str">
        <f aca="false">IF(ISNUMBER(C11935),MONTH(C11935),"")</f>
        <v/>
      </c>
      <c r="X11935" s="23" t="str">
        <f aca="false">IF(T11935="","",IF(T11935=0,"No discount",IF(T11935&lt;=0.2,"Low (1-20%)",IF(T11935&lt;=0.4,"Medium (21-40%)","High (&gt;40%)"))))</f>
        <v/>
      </c>
      <c r="Y11935" s="23" t="str">
        <f aca="false">IF(AND(ISNUMBER(C11935),ISNUMBER(D11935)),D11935-C11935,"")</f>
        <v/>
      </c>
      <c r="Z11935" s="23" t="str">
        <f aca="false">IF(B11935="","",IF(MATCH(B11935,$B$2:$B$12000,0)=ROW()-1,1,0))</f>
        <v/>
      </c>
    </row>
    <row r="11936" customFormat="false" ht="15" hidden="false" customHeight="false" outlineLevel="0" collapsed="false">
      <c r="V11936" s="23" t="str">
        <f aca="false">IF(ISNUMBER(C11936),YEAR(C11936),"")</f>
        <v/>
      </c>
      <c r="W11936" s="23" t="str">
        <f aca="false">IF(ISNUMBER(C11936),MONTH(C11936),"")</f>
        <v/>
      </c>
      <c r="X11936" s="23" t="str">
        <f aca="false">IF(T11936="","",IF(T11936=0,"No discount",IF(T11936&lt;=0.2,"Low (1-20%)",IF(T11936&lt;=0.4,"Medium (21-40%)","High (&gt;40%)"))))</f>
        <v/>
      </c>
      <c r="Y11936" s="23" t="str">
        <f aca="false">IF(AND(ISNUMBER(C11936),ISNUMBER(D11936)),D11936-C11936,"")</f>
        <v/>
      </c>
      <c r="Z11936" s="23" t="str">
        <f aca="false">IF(B11936="","",IF(MATCH(B11936,$B$2:$B$12000,0)=ROW()-1,1,0))</f>
        <v/>
      </c>
    </row>
    <row r="11937" customFormat="false" ht="15" hidden="false" customHeight="false" outlineLevel="0" collapsed="false">
      <c r="V11937" s="23" t="str">
        <f aca="false">IF(ISNUMBER(C11937),YEAR(C11937),"")</f>
        <v/>
      </c>
      <c r="W11937" s="23" t="str">
        <f aca="false">IF(ISNUMBER(C11937),MONTH(C11937),"")</f>
        <v/>
      </c>
      <c r="X11937" s="23" t="str">
        <f aca="false">IF(T11937="","",IF(T11937=0,"No discount",IF(T11937&lt;=0.2,"Low (1-20%)",IF(T11937&lt;=0.4,"Medium (21-40%)","High (&gt;40%)"))))</f>
        <v/>
      </c>
      <c r="Y11937" s="23" t="str">
        <f aca="false">IF(AND(ISNUMBER(C11937),ISNUMBER(D11937)),D11937-C11937,"")</f>
        <v/>
      </c>
      <c r="Z11937" s="23" t="str">
        <f aca="false">IF(B11937="","",IF(MATCH(B11937,$B$2:$B$12000,0)=ROW()-1,1,0))</f>
        <v/>
      </c>
    </row>
    <row r="11938" customFormat="false" ht="15" hidden="false" customHeight="false" outlineLevel="0" collapsed="false">
      <c r="V11938" s="23" t="str">
        <f aca="false">IF(ISNUMBER(C11938),YEAR(C11938),"")</f>
        <v/>
      </c>
      <c r="W11938" s="23" t="str">
        <f aca="false">IF(ISNUMBER(C11938),MONTH(C11938),"")</f>
        <v/>
      </c>
      <c r="X11938" s="23" t="str">
        <f aca="false">IF(T11938="","",IF(T11938=0,"No discount",IF(T11938&lt;=0.2,"Low (1-20%)",IF(T11938&lt;=0.4,"Medium (21-40%)","High (&gt;40%)"))))</f>
        <v/>
      </c>
      <c r="Y11938" s="23" t="str">
        <f aca="false">IF(AND(ISNUMBER(C11938),ISNUMBER(D11938)),D11938-C11938,"")</f>
        <v/>
      </c>
      <c r="Z11938" s="23" t="str">
        <f aca="false">IF(B11938="","",IF(MATCH(B11938,$B$2:$B$12000,0)=ROW()-1,1,0))</f>
        <v/>
      </c>
    </row>
    <row r="11939" customFormat="false" ht="15" hidden="false" customHeight="false" outlineLevel="0" collapsed="false">
      <c r="V11939" s="23" t="str">
        <f aca="false">IF(ISNUMBER(C11939),YEAR(C11939),"")</f>
        <v/>
      </c>
      <c r="W11939" s="23" t="str">
        <f aca="false">IF(ISNUMBER(C11939),MONTH(C11939),"")</f>
        <v/>
      </c>
      <c r="X11939" s="23" t="str">
        <f aca="false">IF(T11939="","",IF(T11939=0,"No discount",IF(T11939&lt;=0.2,"Low (1-20%)",IF(T11939&lt;=0.4,"Medium (21-40%)","High (&gt;40%)"))))</f>
        <v/>
      </c>
      <c r="Y11939" s="23" t="str">
        <f aca="false">IF(AND(ISNUMBER(C11939),ISNUMBER(D11939)),D11939-C11939,"")</f>
        <v/>
      </c>
      <c r="Z11939" s="23" t="str">
        <f aca="false">IF(B11939="","",IF(MATCH(B11939,$B$2:$B$12000,0)=ROW()-1,1,0))</f>
        <v/>
      </c>
    </row>
    <row r="11940" customFormat="false" ht="15" hidden="false" customHeight="false" outlineLevel="0" collapsed="false">
      <c r="V11940" s="23" t="str">
        <f aca="false">IF(ISNUMBER(C11940),YEAR(C11940),"")</f>
        <v/>
      </c>
      <c r="W11940" s="23" t="str">
        <f aca="false">IF(ISNUMBER(C11940),MONTH(C11940),"")</f>
        <v/>
      </c>
      <c r="X11940" s="23" t="str">
        <f aca="false">IF(T11940="","",IF(T11940=0,"No discount",IF(T11940&lt;=0.2,"Low (1-20%)",IF(T11940&lt;=0.4,"Medium (21-40%)","High (&gt;40%)"))))</f>
        <v/>
      </c>
      <c r="Y11940" s="23" t="str">
        <f aca="false">IF(AND(ISNUMBER(C11940),ISNUMBER(D11940)),D11940-C11940,"")</f>
        <v/>
      </c>
      <c r="Z11940" s="23" t="str">
        <f aca="false">IF(B11940="","",IF(MATCH(B11940,$B$2:$B$12000,0)=ROW()-1,1,0))</f>
        <v/>
      </c>
    </row>
    <row r="11941" customFormat="false" ht="15" hidden="false" customHeight="false" outlineLevel="0" collapsed="false">
      <c r="V11941" s="23" t="str">
        <f aca="false">IF(ISNUMBER(C11941),YEAR(C11941),"")</f>
        <v/>
      </c>
      <c r="W11941" s="23" t="str">
        <f aca="false">IF(ISNUMBER(C11941),MONTH(C11941),"")</f>
        <v/>
      </c>
      <c r="X11941" s="23" t="str">
        <f aca="false">IF(T11941="","",IF(T11941=0,"No discount",IF(T11941&lt;=0.2,"Low (1-20%)",IF(T11941&lt;=0.4,"Medium (21-40%)","High (&gt;40%)"))))</f>
        <v/>
      </c>
      <c r="Y11941" s="23" t="str">
        <f aca="false">IF(AND(ISNUMBER(C11941),ISNUMBER(D11941)),D11941-C11941,"")</f>
        <v/>
      </c>
      <c r="Z11941" s="23" t="str">
        <f aca="false">IF(B11941="","",IF(MATCH(B11941,$B$2:$B$12000,0)=ROW()-1,1,0))</f>
        <v/>
      </c>
    </row>
    <row r="11942" customFormat="false" ht="15" hidden="false" customHeight="false" outlineLevel="0" collapsed="false">
      <c r="V11942" s="23" t="str">
        <f aca="false">IF(ISNUMBER(C11942),YEAR(C11942),"")</f>
        <v/>
      </c>
      <c r="W11942" s="23" t="str">
        <f aca="false">IF(ISNUMBER(C11942),MONTH(C11942),"")</f>
        <v/>
      </c>
      <c r="X11942" s="23" t="str">
        <f aca="false">IF(T11942="","",IF(T11942=0,"No discount",IF(T11942&lt;=0.2,"Low (1-20%)",IF(T11942&lt;=0.4,"Medium (21-40%)","High (&gt;40%)"))))</f>
        <v/>
      </c>
      <c r="Y11942" s="23" t="str">
        <f aca="false">IF(AND(ISNUMBER(C11942),ISNUMBER(D11942)),D11942-C11942,"")</f>
        <v/>
      </c>
      <c r="Z11942" s="23" t="str">
        <f aca="false">IF(B11942="","",IF(MATCH(B11942,$B$2:$B$12000,0)=ROW()-1,1,0))</f>
        <v/>
      </c>
    </row>
    <row r="11943" customFormat="false" ht="15" hidden="false" customHeight="false" outlineLevel="0" collapsed="false">
      <c r="V11943" s="23" t="str">
        <f aca="false">IF(ISNUMBER(C11943),YEAR(C11943),"")</f>
        <v/>
      </c>
      <c r="W11943" s="23" t="str">
        <f aca="false">IF(ISNUMBER(C11943),MONTH(C11943),"")</f>
        <v/>
      </c>
      <c r="X11943" s="23" t="str">
        <f aca="false">IF(T11943="","",IF(T11943=0,"No discount",IF(T11943&lt;=0.2,"Low (1-20%)",IF(T11943&lt;=0.4,"Medium (21-40%)","High (&gt;40%)"))))</f>
        <v/>
      </c>
      <c r="Y11943" s="23" t="str">
        <f aca="false">IF(AND(ISNUMBER(C11943),ISNUMBER(D11943)),D11943-C11943,"")</f>
        <v/>
      </c>
      <c r="Z11943" s="23" t="str">
        <f aca="false">IF(B11943="","",IF(MATCH(B11943,$B$2:$B$12000,0)=ROW()-1,1,0))</f>
        <v/>
      </c>
    </row>
    <row r="11944" customFormat="false" ht="15" hidden="false" customHeight="false" outlineLevel="0" collapsed="false">
      <c r="V11944" s="23" t="str">
        <f aca="false">IF(ISNUMBER(C11944),YEAR(C11944),"")</f>
        <v/>
      </c>
      <c r="W11944" s="23" t="str">
        <f aca="false">IF(ISNUMBER(C11944),MONTH(C11944),"")</f>
        <v/>
      </c>
      <c r="X11944" s="23" t="str">
        <f aca="false">IF(T11944="","",IF(T11944=0,"No discount",IF(T11944&lt;=0.2,"Low (1-20%)",IF(T11944&lt;=0.4,"Medium (21-40%)","High (&gt;40%)"))))</f>
        <v/>
      </c>
      <c r="Y11944" s="23" t="str">
        <f aca="false">IF(AND(ISNUMBER(C11944),ISNUMBER(D11944)),D11944-C11944,"")</f>
        <v/>
      </c>
      <c r="Z11944" s="23" t="str">
        <f aca="false">IF(B11944="","",IF(MATCH(B11944,$B$2:$B$12000,0)=ROW()-1,1,0))</f>
        <v/>
      </c>
    </row>
    <row r="11945" customFormat="false" ht="15" hidden="false" customHeight="false" outlineLevel="0" collapsed="false">
      <c r="V11945" s="23" t="str">
        <f aca="false">IF(ISNUMBER(C11945),YEAR(C11945),"")</f>
        <v/>
      </c>
      <c r="W11945" s="23" t="str">
        <f aca="false">IF(ISNUMBER(C11945),MONTH(C11945),"")</f>
        <v/>
      </c>
      <c r="X11945" s="23" t="str">
        <f aca="false">IF(T11945="","",IF(T11945=0,"No discount",IF(T11945&lt;=0.2,"Low (1-20%)",IF(T11945&lt;=0.4,"Medium (21-40%)","High (&gt;40%)"))))</f>
        <v/>
      </c>
      <c r="Y11945" s="23" t="str">
        <f aca="false">IF(AND(ISNUMBER(C11945),ISNUMBER(D11945)),D11945-C11945,"")</f>
        <v/>
      </c>
      <c r="Z11945" s="23" t="str">
        <f aca="false">IF(B11945="","",IF(MATCH(B11945,$B$2:$B$12000,0)=ROW()-1,1,0))</f>
        <v/>
      </c>
    </row>
    <row r="11946" customFormat="false" ht="15" hidden="false" customHeight="false" outlineLevel="0" collapsed="false">
      <c r="V11946" s="23" t="str">
        <f aca="false">IF(ISNUMBER(C11946),YEAR(C11946),"")</f>
        <v/>
      </c>
      <c r="W11946" s="23" t="str">
        <f aca="false">IF(ISNUMBER(C11946),MONTH(C11946),"")</f>
        <v/>
      </c>
      <c r="X11946" s="23" t="str">
        <f aca="false">IF(T11946="","",IF(T11946=0,"No discount",IF(T11946&lt;=0.2,"Low (1-20%)",IF(T11946&lt;=0.4,"Medium (21-40%)","High (&gt;40%)"))))</f>
        <v/>
      </c>
      <c r="Y11946" s="23" t="str">
        <f aca="false">IF(AND(ISNUMBER(C11946),ISNUMBER(D11946)),D11946-C11946,"")</f>
        <v/>
      </c>
      <c r="Z11946" s="23" t="str">
        <f aca="false">IF(B11946="","",IF(MATCH(B11946,$B$2:$B$12000,0)=ROW()-1,1,0))</f>
        <v/>
      </c>
    </row>
    <row r="11947" customFormat="false" ht="15" hidden="false" customHeight="false" outlineLevel="0" collapsed="false">
      <c r="V11947" s="23" t="str">
        <f aca="false">IF(ISNUMBER(C11947),YEAR(C11947),"")</f>
        <v/>
      </c>
      <c r="W11947" s="23" t="str">
        <f aca="false">IF(ISNUMBER(C11947),MONTH(C11947),"")</f>
        <v/>
      </c>
      <c r="X11947" s="23" t="str">
        <f aca="false">IF(T11947="","",IF(T11947=0,"No discount",IF(T11947&lt;=0.2,"Low (1-20%)",IF(T11947&lt;=0.4,"Medium (21-40%)","High (&gt;40%)"))))</f>
        <v/>
      </c>
      <c r="Y11947" s="23" t="str">
        <f aca="false">IF(AND(ISNUMBER(C11947),ISNUMBER(D11947)),D11947-C11947,"")</f>
        <v/>
      </c>
      <c r="Z11947" s="23" t="str">
        <f aca="false">IF(B11947="","",IF(MATCH(B11947,$B$2:$B$12000,0)=ROW()-1,1,0))</f>
        <v/>
      </c>
    </row>
    <row r="11948" customFormat="false" ht="15" hidden="false" customHeight="false" outlineLevel="0" collapsed="false">
      <c r="V11948" s="23" t="str">
        <f aca="false">IF(ISNUMBER(C11948),YEAR(C11948),"")</f>
        <v/>
      </c>
      <c r="W11948" s="23" t="str">
        <f aca="false">IF(ISNUMBER(C11948),MONTH(C11948),"")</f>
        <v/>
      </c>
      <c r="X11948" s="23" t="str">
        <f aca="false">IF(T11948="","",IF(T11948=0,"No discount",IF(T11948&lt;=0.2,"Low (1-20%)",IF(T11948&lt;=0.4,"Medium (21-40%)","High (&gt;40%)"))))</f>
        <v/>
      </c>
      <c r="Y11948" s="23" t="str">
        <f aca="false">IF(AND(ISNUMBER(C11948),ISNUMBER(D11948)),D11948-C11948,"")</f>
        <v/>
      </c>
      <c r="Z11948" s="23" t="str">
        <f aca="false">IF(B11948="","",IF(MATCH(B11948,$B$2:$B$12000,0)=ROW()-1,1,0))</f>
        <v/>
      </c>
    </row>
    <row r="11949" customFormat="false" ht="15" hidden="false" customHeight="false" outlineLevel="0" collapsed="false">
      <c r="V11949" s="23" t="str">
        <f aca="false">IF(ISNUMBER(C11949),YEAR(C11949),"")</f>
        <v/>
      </c>
      <c r="W11949" s="23" t="str">
        <f aca="false">IF(ISNUMBER(C11949),MONTH(C11949),"")</f>
        <v/>
      </c>
      <c r="X11949" s="23" t="str">
        <f aca="false">IF(T11949="","",IF(T11949=0,"No discount",IF(T11949&lt;=0.2,"Low (1-20%)",IF(T11949&lt;=0.4,"Medium (21-40%)","High (&gt;40%)"))))</f>
        <v/>
      </c>
      <c r="Y11949" s="23" t="str">
        <f aca="false">IF(AND(ISNUMBER(C11949),ISNUMBER(D11949)),D11949-C11949,"")</f>
        <v/>
      </c>
      <c r="Z11949" s="23" t="str">
        <f aca="false">IF(B11949="","",IF(MATCH(B11949,$B$2:$B$12000,0)=ROW()-1,1,0))</f>
        <v/>
      </c>
    </row>
    <row r="11950" customFormat="false" ht="15" hidden="false" customHeight="false" outlineLevel="0" collapsed="false">
      <c r="V11950" s="23" t="str">
        <f aca="false">IF(ISNUMBER(C11950),YEAR(C11950),"")</f>
        <v/>
      </c>
      <c r="W11950" s="23" t="str">
        <f aca="false">IF(ISNUMBER(C11950),MONTH(C11950),"")</f>
        <v/>
      </c>
      <c r="X11950" s="23" t="str">
        <f aca="false">IF(T11950="","",IF(T11950=0,"No discount",IF(T11950&lt;=0.2,"Low (1-20%)",IF(T11950&lt;=0.4,"Medium (21-40%)","High (&gt;40%)"))))</f>
        <v/>
      </c>
      <c r="Y11950" s="23" t="str">
        <f aca="false">IF(AND(ISNUMBER(C11950),ISNUMBER(D11950)),D11950-C11950,"")</f>
        <v/>
      </c>
      <c r="Z11950" s="23" t="str">
        <f aca="false">IF(B11950="","",IF(MATCH(B11950,$B$2:$B$12000,0)=ROW()-1,1,0))</f>
        <v/>
      </c>
    </row>
    <row r="11951" customFormat="false" ht="15" hidden="false" customHeight="false" outlineLevel="0" collapsed="false">
      <c r="V11951" s="23" t="str">
        <f aca="false">IF(ISNUMBER(C11951),YEAR(C11951),"")</f>
        <v/>
      </c>
      <c r="W11951" s="23" t="str">
        <f aca="false">IF(ISNUMBER(C11951),MONTH(C11951),"")</f>
        <v/>
      </c>
      <c r="X11951" s="23" t="str">
        <f aca="false">IF(T11951="","",IF(T11951=0,"No discount",IF(T11951&lt;=0.2,"Low (1-20%)",IF(T11951&lt;=0.4,"Medium (21-40%)","High (&gt;40%)"))))</f>
        <v/>
      </c>
      <c r="Y11951" s="23" t="str">
        <f aca="false">IF(AND(ISNUMBER(C11951),ISNUMBER(D11951)),D11951-C11951,"")</f>
        <v/>
      </c>
      <c r="Z11951" s="23" t="str">
        <f aca="false">IF(B11951="","",IF(MATCH(B11951,$B$2:$B$12000,0)=ROW()-1,1,0))</f>
        <v/>
      </c>
    </row>
    <row r="11952" customFormat="false" ht="15" hidden="false" customHeight="false" outlineLevel="0" collapsed="false">
      <c r="V11952" s="23" t="str">
        <f aca="false">IF(ISNUMBER(C11952),YEAR(C11952),"")</f>
        <v/>
      </c>
      <c r="W11952" s="23" t="str">
        <f aca="false">IF(ISNUMBER(C11952),MONTH(C11952),"")</f>
        <v/>
      </c>
      <c r="X11952" s="23" t="str">
        <f aca="false">IF(T11952="","",IF(T11952=0,"No discount",IF(T11952&lt;=0.2,"Low (1-20%)",IF(T11952&lt;=0.4,"Medium (21-40%)","High (&gt;40%)"))))</f>
        <v/>
      </c>
      <c r="Y11952" s="23" t="str">
        <f aca="false">IF(AND(ISNUMBER(C11952),ISNUMBER(D11952)),D11952-C11952,"")</f>
        <v/>
      </c>
      <c r="Z11952" s="23" t="str">
        <f aca="false">IF(B11952="","",IF(MATCH(B11952,$B$2:$B$12000,0)=ROW()-1,1,0))</f>
        <v/>
      </c>
    </row>
    <row r="11953" customFormat="false" ht="15" hidden="false" customHeight="false" outlineLevel="0" collapsed="false">
      <c r="V11953" s="23" t="str">
        <f aca="false">IF(ISNUMBER(C11953),YEAR(C11953),"")</f>
        <v/>
      </c>
      <c r="W11953" s="23" t="str">
        <f aca="false">IF(ISNUMBER(C11953),MONTH(C11953),"")</f>
        <v/>
      </c>
      <c r="X11953" s="23" t="str">
        <f aca="false">IF(T11953="","",IF(T11953=0,"No discount",IF(T11953&lt;=0.2,"Low (1-20%)",IF(T11953&lt;=0.4,"Medium (21-40%)","High (&gt;40%)"))))</f>
        <v/>
      </c>
      <c r="Y11953" s="23" t="str">
        <f aca="false">IF(AND(ISNUMBER(C11953),ISNUMBER(D11953)),D11953-C11953,"")</f>
        <v/>
      </c>
      <c r="Z11953" s="23" t="str">
        <f aca="false">IF(B11953="","",IF(MATCH(B11953,$B$2:$B$12000,0)=ROW()-1,1,0))</f>
        <v/>
      </c>
    </row>
    <row r="11954" customFormat="false" ht="15" hidden="false" customHeight="false" outlineLevel="0" collapsed="false">
      <c r="V11954" s="23" t="str">
        <f aca="false">IF(ISNUMBER(C11954),YEAR(C11954),"")</f>
        <v/>
      </c>
      <c r="W11954" s="23" t="str">
        <f aca="false">IF(ISNUMBER(C11954),MONTH(C11954),"")</f>
        <v/>
      </c>
      <c r="X11954" s="23" t="str">
        <f aca="false">IF(T11954="","",IF(T11954=0,"No discount",IF(T11954&lt;=0.2,"Low (1-20%)",IF(T11954&lt;=0.4,"Medium (21-40%)","High (&gt;40%)"))))</f>
        <v/>
      </c>
      <c r="Y11954" s="23" t="str">
        <f aca="false">IF(AND(ISNUMBER(C11954),ISNUMBER(D11954)),D11954-C11954,"")</f>
        <v/>
      </c>
      <c r="Z11954" s="23" t="str">
        <f aca="false">IF(B11954="","",IF(MATCH(B11954,$B$2:$B$12000,0)=ROW()-1,1,0))</f>
        <v/>
      </c>
    </row>
    <row r="11955" customFormat="false" ht="15" hidden="false" customHeight="false" outlineLevel="0" collapsed="false">
      <c r="V11955" s="23" t="str">
        <f aca="false">IF(ISNUMBER(C11955),YEAR(C11955),"")</f>
        <v/>
      </c>
      <c r="W11955" s="23" t="str">
        <f aca="false">IF(ISNUMBER(C11955),MONTH(C11955),"")</f>
        <v/>
      </c>
      <c r="X11955" s="23" t="str">
        <f aca="false">IF(T11955="","",IF(T11955=0,"No discount",IF(T11955&lt;=0.2,"Low (1-20%)",IF(T11955&lt;=0.4,"Medium (21-40%)","High (&gt;40%)"))))</f>
        <v/>
      </c>
      <c r="Y11955" s="23" t="str">
        <f aca="false">IF(AND(ISNUMBER(C11955),ISNUMBER(D11955)),D11955-C11955,"")</f>
        <v/>
      </c>
      <c r="Z11955" s="23" t="str">
        <f aca="false">IF(B11955="","",IF(MATCH(B11955,$B$2:$B$12000,0)=ROW()-1,1,0))</f>
        <v/>
      </c>
    </row>
    <row r="11956" customFormat="false" ht="15" hidden="false" customHeight="false" outlineLevel="0" collapsed="false">
      <c r="V11956" s="23" t="str">
        <f aca="false">IF(ISNUMBER(C11956),YEAR(C11956),"")</f>
        <v/>
      </c>
      <c r="W11956" s="23" t="str">
        <f aca="false">IF(ISNUMBER(C11956),MONTH(C11956),"")</f>
        <v/>
      </c>
      <c r="X11956" s="23" t="str">
        <f aca="false">IF(T11956="","",IF(T11956=0,"No discount",IF(T11956&lt;=0.2,"Low (1-20%)",IF(T11956&lt;=0.4,"Medium (21-40%)","High (&gt;40%)"))))</f>
        <v/>
      </c>
      <c r="Y11956" s="23" t="str">
        <f aca="false">IF(AND(ISNUMBER(C11956),ISNUMBER(D11956)),D11956-C11956,"")</f>
        <v/>
      </c>
      <c r="Z11956" s="23" t="str">
        <f aca="false">IF(B11956="","",IF(MATCH(B11956,$B$2:$B$12000,0)=ROW()-1,1,0))</f>
        <v/>
      </c>
    </row>
    <row r="11957" customFormat="false" ht="15" hidden="false" customHeight="false" outlineLevel="0" collapsed="false">
      <c r="V11957" s="23" t="str">
        <f aca="false">IF(ISNUMBER(C11957),YEAR(C11957),"")</f>
        <v/>
      </c>
      <c r="W11957" s="23" t="str">
        <f aca="false">IF(ISNUMBER(C11957),MONTH(C11957),"")</f>
        <v/>
      </c>
      <c r="X11957" s="23" t="str">
        <f aca="false">IF(T11957="","",IF(T11957=0,"No discount",IF(T11957&lt;=0.2,"Low (1-20%)",IF(T11957&lt;=0.4,"Medium (21-40%)","High (&gt;40%)"))))</f>
        <v/>
      </c>
      <c r="Y11957" s="23" t="str">
        <f aca="false">IF(AND(ISNUMBER(C11957),ISNUMBER(D11957)),D11957-C11957,"")</f>
        <v/>
      </c>
      <c r="Z11957" s="23" t="str">
        <f aca="false">IF(B11957="","",IF(MATCH(B11957,$B$2:$B$12000,0)=ROW()-1,1,0))</f>
        <v/>
      </c>
    </row>
    <row r="11958" customFormat="false" ht="15" hidden="false" customHeight="false" outlineLevel="0" collapsed="false">
      <c r="V11958" s="23" t="str">
        <f aca="false">IF(ISNUMBER(C11958),YEAR(C11958),"")</f>
        <v/>
      </c>
      <c r="W11958" s="23" t="str">
        <f aca="false">IF(ISNUMBER(C11958),MONTH(C11958),"")</f>
        <v/>
      </c>
      <c r="X11958" s="23" t="str">
        <f aca="false">IF(T11958="","",IF(T11958=0,"No discount",IF(T11958&lt;=0.2,"Low (1-20%)",IF(T11958&lt;=0.4,"Medium (21-40%)","High (&gt;40%)"))))</f>
        <v/>
      </c>
      <c r="Y11958" s="23" t="str">
        <f aca="false">IF(AND(ISNUMBER(C11958),ISNUMBER(D11958)),D11958-C11958,"")</f>
        <v/>
      </c>
      <c r="Z11958" s="23" t="str">
        <f aca="false">IF(B11958="","",IF(MATCH(B11958,$B$2:$B$12000,0)=ROW()-1,1,0))</f>
        <v/>
      </c>
    </row>
    <row r="11959" customFormat="false" ht="15" hidden="false" customHeight="false" outlineLevel="0" collapsed="false">
      <c r="V11959" s="23" t="str">
        <f aca="false">IF(ISNUMBER(C11959),YEAR(C11959),"")</f>
        <v/>
      </c>
      <c r="W11959" s="23" t="str">
        <f aca="false">IF(ISNUMBER(C11959),MONTH(C11959),"")</f>
        <v/>
      </c>
      <c r="X11959" s="23" t="str">
        <f aca="false">IF(T11959="","",IF(T11959=0,"No discount",IF(T11959&lt;=0.2,"Low (1-20%)",IF(T11959&lt;=0.4,"Medium (21-40%)","High (&gt;40%)"))))</f>
        <v/>
      </c>
      <c r="Y11959" s="23" t="str">
        <f aca="false">IF(AND(ISNUMBER(C11959),ISNUMBER(D11959)),D11959-C11959,"")</f>
        <v/>
      </c>
      <c r="Z11959" s="23" t="str">
        <f aca="false">IF(B11959="","",IF(MATCH(B11959,$B$2:$B$12000,0)=ROW()-1,1,0))</f>
        <v/>
      </c>
    </row>
    <row r="11960" customFormat="false" ht="15" hidden="false" customHeight="false" outlineLevel="0" collapsed="false">
      <c r="V11960" s="23" t="str">
        <f aca="false">IF(ISNUMBER(C11960),YEAR(C11960),"")</f>
        <v/>
      </c>
      <c r="W11960" s="23" t="str">
        <f aca="false">IF(ISNUMBER(C11960),MONTH(C11960),"")</f>
        <v/>
      </c>
      <c r="X11960" s="23" t="str">
        <f aca="false">IF(T11960="","",IF(T11960=0,"No discount",IF(T11960&lt;=0.2,"Low (1-20%)",IF(T11960&lt;=0.4,"Medium (21-40%)","High (&gt;40%)"))))</f>
        <v/>
      </c>
      <c r="Y11960" s="23" t="str">
        <f aca="false">IF(AND(ISNUMBER(C11960),ISNUMBER(D11960)),D11960-C11960,"")</f>
        <v/>
      </c>
      <c r="Z11960" s="23" t="str">
        <f aca="false">IF(B11960="","",IF(MATCH(B11960,$B$2:$B$12000,0)=ROW()-1,1,0))</f>
        <v/>
      </c>
    </row>
    <row r="11961" customFormat="false" ht="15" hidden="false" customHeight="false" outlineLevel="0" collapsed="false">
      <c r="V11961" s="23" t="str">
        <f aca="false">IF(ISNUMBER(C11961),YEAR(C11961),"")</f>
        <v/>
      </c>
      <c r="W11961" s="23" t="str">
        <f aca="false">IF(ISNUMBER(C11961),MONTH(C11961),"")</f>
        <v/>
      </c>
      <c r="X11961" s="23" t="str">
        <f aca="false">IF(T11961="","",IF(T11961=0,"No discount",IF(T11961&lt;=0.2,"Low (1-20%)",IF(T11961&lt;=0.4,"Medium (21-40%)","High (&gt;40%)"))))</f>
        <v/>
      </c>
      <c r="Y11961" s="23" t="str">
        <f aca="false">IF(AND(ISNUMBER(C11961),ISNUMBER(D11961)),D11961-C11961,"")</f>
        <v/>
      </c>
      <c r="Z11961" s="23" t="str">
        <f aca="false">IF(B11961="","",IF(MATCH(B11961,$B$2:$B$12000,0)=ROW()-1,1,0))</f>
        <v/>
      </c>
    </row>
    <row r="11962" customFormat="false" ht="15" hidden="false" customHeight="false" outlineLevel="0" collapsed="false">
      <c r="V11962" s="23" t="str">
        <f aca="false">IF(ISNUMBER(C11962),YEAR(C11962),"")</f>
        <v/>
      </c>
      <c r="W11962" s="23" t="str">
        <f aca="false">IF(ISNUMBER(C11962),MONTH(C11962),"")</f>
        <v/>
      </c>
      <c r="X11962" s="23" t="str">
        <f aca="false">IF(T11962="","",IF(T11962=0,"No discount",IF(T11962&lt;=0.2,"Low (1-20%)",IF(T11962&lt;=0.4,"Medium (21-40%)","High (&gt;40%)"))))</f>
        <v/>
      </c>
      <c r="Y11962" s="23" t="str">
        <f aca="false">IF(AND(ISNUMBER(C11962),ISNUMBER(D11962)),D11962-C11962,"")</f>
        <v/>
      </c>
      <c r="Z11962" s="23" t="str">
        <f aca="false">IF(B11962="","",IF(MATCH(B11962,$B$2:$B$12000,0)=ROW()-1,1,0))</f>
        <v/>
      </c>
    </row>
    <row r="11963" customFormat="false" ht="15" hidden="false" customHeight="false" outlineLevel="0" collapsed="false">
      <c r="V11963" s="23" t="str">
        <f aca="false">IF(ISNUMBER(C11963),YEAR(C11963),"")</f>
        <v/>
      </c>
      <c r="W11963" s="23" t="str">
        <f aca="false">IF(ISNUMBER(C11963),MONTH(C11963),"")</f>
        <v/>
      </c>
      <c r="X11963" s="23" t="str">
        <f aca="false">IF(T11963="","",IF(T11963=0,"No discount",IF(T11963&lt;=0.2,"Low (1-20%)",IF(T11963&lt;=0.4,"Medium (21-40%)","High (&gt;40%)"))))</f>
        <v/>
      </c>
      <c r="Y11963" s="23" t="str">
        <f aca="false">IF(AND(ISNUMBER(C11963),ISNUMBER(D11963)),D11963-C11963,"")</f>
        <v/>
      </c>
      <c r="Z11963" s="23" t="str">
        <f aca="false">IF(B11963="","",IF(MATCH(B11963,$B$2:$B$12000,0)=ROW()-1,1,0))</f>
        <v/>
      </c>
    </row>
    <row r="11964" customFormat="false" ht="15" hidden="false" customHeight="false" outlineLevel="0" collapsed="false">
      <c r="V11964" s="23" t="str">
        <f aca="false">IF(ISNUMBER(C11964),YEAR(C11964),"")</f>
        <v/>
      </c>
      <c r="W11964" s="23" t="str">
        <f aca="false">IF(ISNUMBER(C11964),MONTH(C11964),"")</f>
        <v/>
      </c>
      <c r="X11964" s="23" t="str">
        <f aca="false">IF(T11964="","",IF(T11964=0,"No discount",IF(T11964&lt;=0.2,"Low (1-20%)",IF(T11964&lt;=0.4,"Medium (21-40%)","High (&gt;40%)"))))</f>
        <v/>
      </c>
      <c r="Y11964" s="23" t="str">
        <f aca="false">IF(AND(ISNUMBER(C11964),ISNUMBER(D11964)),D11964-C11964,"")</f>
        <v/>
      </c>
      <c r="Z11964" s="23" t="str">
        <f aca="false">IF(B11964="","",IF(MATCH(B11964,$B$2:$B$12000,0)=ROW()-1,1,0))</f>
        <v/>
      </c>
    </row>
    <row r="11965" customFormat="false" ht="15" hidden="false" customHeight="false" outlineLevel="0" collapsed="false">
      <c r="V11965" s="23" t="str">
        <f aca="false">IF(ISNUMBER(C11965),YEAR(C11965),"")</f>
        <v/>
      </c>
      <c r="W11965" s="23" t="str">
        <f aca="false">IF(ISNUMBER(C11965),MONTH(C11965),"")</f>
        <v/>
      </c>
      <c r="X11965" s="23" t="str">
        <f aca="false">IF(T11965="","",IF(T11965=0,"No discount",IF(T11965&lt;=0.2,"Low (1-20%)",IF(T11965&lt;=0.4,"Medium (21-40%)","High (&gt;40%)"))))</f>
        <v/>
      </c>
      <c r="Y11965" s="23" t="str">
        <f aca="false">IF(AND(ISNUMBER(C11965),ISNUMBER(D11965)),D11965-C11965,"")</f>
        <v/>
      </c>
      <c r="Z11965" s="23" t="str">
        <f aca="false">IF(B11965="","",IF(MATCH(B11965,$B$2:$B$12000,0)=ROW()-1,1,0))</f>
        <v/>
      </c>
    </row>
    <row r="11966" customFormat="false" ht="15" hidden="false" customHeight="false" outlineLevel="0" collapsed="false">
      <c r="V11966" s="23" t="str">
        <f aca="false">IF(ISNUMBER(C11966),YEAR(C11966),"")</f>
        <v/>
      </c>
      <c r="W11966" s="23" t="str">
        <f aca="false">IF(ISNUMBER(C11966),MONTH(C11966),"")</f>
        <v/>
      </c>
      <c r="X11966" s="23" t="str">
        <f aca="false">IF(T11966="","",IF(T11966=0,"No discount",IF(T11966&lt;=0.2,"Low (1-20%)",IF(T11966&lt;=0.4,"Medium (21-40%)","High (&gt;40%)"))))</f>
        <v/>
      </c>
      <c r="Y11966" s="23" t="str">
        <f aca="false">IF(AND(ISNUMBER(C11966),ISNUMBER(D11966)),D11966-C11966,"")</f>
        <v/>
      </c>
      <c r="Z11966" s="23" t="str">
        <f aca="false">IF(B11966="","",IF(MATCH(B11966,$B$2:$B$12000,0)=ROW()-1,1,0))</f>
        <v/>
      </c>
    </row>
    <row r="11967" customFormat="false" ht="15" hidden="false" customHeight="false" outlineLevel="0" collapsed="false">
      <c r="V11967" s="23" t="str">
        <f aca="false">IF(ISNUMBER(C11967),YEAR(C11967),"")</f>
        <v/>
      </c>
      <c r="W11967" s="23" t="str">
        <f aca="false">IF(ISNUMBER(C11967),MONTH(C11967),"")</f>
        <v/>
      </c>
      <c r="X11967" s="23" t="str">
        <f aca="false">IF(T11967="","",IF(T11967=0,"No discount",IF(T11967&lt;=0.2,"Low (1-20%)",IF(T11967&lt;=0.4,"Medium (21-40%)","High (&gt;40%)"))))</f>
        <v/>
      </c>
      <c r="Y11967" s="23" t="str">
        <f aca="false">IF(AND(ISNUMBER(C11967),ISNUMBER(D11967)),D11967-C11967,"")</f>
        <v/>
      </c>
      <c r="Z11967" s="23" t="str">
        <f aca="false">IF(B11967="","",IF(MATCH(B11967,$B$2:$B$12000,0)=ROW()-1,1,0))</f>
        <v/>
      </c>
    </row>
    <row r="11968" customFormat="false" ht="15" hidden="false" customHeight="false" outlineLevel="0" collapsed="false">
      <c r="V11968" s="23" t="str">
        <f aca="false">IF(ISNUMBER(C11968),YEAR(C11968),"")</f>
        <v/>
      </c>
      <c r="W11968" s="23" t="str">
        <f aca="false">IF(ISNUMBER(C11968),MONTH(C11968),"")</f>
        <v/>
      </c>
      <c r="X11968" s="23" t="str">
        <f aca="false">IF(T11968="","",IF(T11968=0,"No discount",IF(T11968&lt;=0.2,"Low (1-20%)",IF(T11968&lt;=0.4,"Medium (21-40%)","High (&gt;40%)"))))</f>
        <v/>
      </c>
      <c r="Y11968" s="23" t="str">
        <f aca="false">IF(AND(ISNUMBER(C11968),ISNUMBER(D11968)),D11968-C11968,"")</f>
        <v/>
      </c>
      <c r="Z11968" s="23" t="str">
        <f aca="false">IF(B11968="","",IF(MATCH(B11968,$B$2:$B$12000,0)=ROW()-1,1,0))</f>
        <v/>
      </c>
    </row>
    <row r="11969" customFormat="false" ht="15" hidden="false" customHeight="false" outlineLevel="0" collapsed="false">
      <c r="V11969" s="23" t="str">
        <f aca="false">IF(ISNUMBER(C11969),YEAR(C11969),"")</f>
        <v/>
      </c>
      <c r="W11969" s="23" t="str">
        <f aca="false">IF(ISNUMBER(C11969),MONTH(C11969),"")</f>
        <v/>
      </c>
      <c r="X11969" s="23" t="str">
        <f aca="false">IF(T11969="","",IF(T11969=0,"No discount",IF(T11969&lt;=0.2,"Low (1-20%)",IF(T11969&lt;=0.4,"Medium (21-40%)","High (&gt;40%)"))))</f>
        <v/>
      </c>
      <c r="Y11969" s="23" t="str">
        <f aca="false">IF(AND(ISNUMBER(C11969),ISNUMBER(D11969)),D11969-C11969,"")</f>
        <v/>
      </c>
      <c r="Z11969" s="23" t="str">
        <f aca="false">IF(B11969="","",IF(MATCH(B11969,$B$2:$B$12000,0)=ROW()-1,1,0))</f>
        <v/>
      </c>
    </row>
    <row r="11970" customFormat="false" ht="15" hidden="false" customHeight="false" outlineLevel="0" collapsed="false">
      <c r="V11970" s="23" t="str">
        <f aca="false">IF(ISNUMBER(C11970),YEAR(C11970),"")</f>
        <v/>
      </c>
      <c r="W11970" s="23" t="str">
        <f aca="false">IF(ISNUMBER(C11970),MONTH(C11970),"")</f>
        <v/>
      </c>
      <c r="X11970" s="23" t="str">
        <f aca="false">IF(T11970="","",IF(T11970=0,"No discount",IF(T11970&lt;=0.2,"Low (1-20%)",IF(T11970&lt;=0.4,"Medium (21-40%)","High (&gt;40%)"))))</f>
        <v/>
      </c>
      <c r="Y11970" s="23" t="str">
        <f aca="false">IF(AND(ISNUMBER(C11970),ISNUMBER(D11970)),D11970-C11970,"")</f>
        <v/>
      </c>
      <c r="Z11970" s="23" t="str">
        <f aca="false">IF(B11970="","",IF(MATCH(B11970,$B$2:$B$12000,0)=ROW()-1,1,0))</f>
        <v/>
      </c>
    </row>
    <row r="11971" customFormat="false" ht="15" hidden="false" customHeight="false" outlineLevel="0" collapsed="false">
      <c r="V11971" s="23" t="str">
        <f aca="false">IF(ISNUMBER(C11971),YEAR(C11971),"")</f>
        <v/>
      </c>
      <c r="W11971" s="23" t="str">
        <f aca="false">IF(ISNUMBER(C11971),MONTH(C11971),"")</f>
        <v/>
      </c>
      <c r="X11971" s="23" t="str">
        <f aca="false">IF(T11971="","",IF(T11971=0,"No discount",IF(T11971&lt;=0.2,"Low (1-20%)",IF(T11971&lt;=0.4,"Medium (21-40%)","High (&gt;40%)"))))</f>
        <v/>
      </c>
      <c r="Y11971" s="23" t="str">
        <f aca="false">IF(AND(ISNUMBER(C11971),ISNUMBER(D11971)),D11971-C11971,"")</f>
        <v/>
      </c>
      <c r="Z11971" s="23" t="str">
        <f aca="false">IF(B11971="","",IF(MATCH(B11971,$B$2:$B$12000,0)=ROW()-1,1,0))</f>
        <v/>
      </c>
    </row>
    <row r="11972" customFormat="false" ht="15" hidden="false" customHeight="false" outlineLevel="0" collapsed="false">
      <c r="V11972" s="23" t="str">
        <f aca="false">IF(ISNUMBER(C11972),YEAR(C11972),"")</f>
        <v/>
      </c>
      <c r="W11972" s="23" t="str">
        <f aca="false">IF(ISNUMBER(C11972),MONTH(C11972),"")</f>
        <v/>
      </c>
      <c r="X11972" s="23" t="str">
        <f aca="false">IF(T11972="","",IF(T11972=0,"No discount",IF(T11972&lt;=0.2,"Low (1-20%)",IF(T11972&lt;=0.4,"Medium (21-40%)","High (&gt;40%)"))))</f>
        <v/>
      </c>
      <c r="Y11972" s="23" t="str">
        <f aca="false">IF(AND(ISNUMBER(C11972),ISNUMBER(D11972)),D11972-C11972,"")</f>
        <v/>
      </c>
      <c r="Z11972" s="23" t="str">
        <f aca="false">IF(B11972="","",IF(MATCH(B11972,$B$2:$B$12000,0)=ROW()-1,1,0))</f>
        <v/>
      </c>
    </row>
    <row r="11973" customFormat="false" ht="15" hidden="false" customHeight="false" outlineLevel="0" collapsed="false">
      <c r="V11973" s="23" t="str">
        <f aca="false">IF(ISNUMBER(C11973),YEAR(C11973),"")</f>
        <v/>
      </c>
      <c r="W11973" s="23" t="str">
        <f aca="false">IF(ISNUMBER(C11973),MONTH(C11973),"")</f>
        <v/>
      </c>
      <c r="X11973" s="23" t="str">
        <f aca="false">IF(T11973="","",IF(T11973=0,"No discount",IF(T11973&lt;=0.2,"Low (1-20%)",IF(T11973&lt;=0.4,"Medium (21-40%)","High (&gt;40%)"))))</f>
        <v/>
      </c>
      <c r="Y11973" s="23" t="str">
        <f aca="false">IF(AND(ISNUMBER(C11973),ISNUMBER(D11973)),D11973-C11973,"")</f>
        <v/>
      </c>
      <c r="Z11973" s="23" t="str">
        <f aca="false">IF(B11973="","",IF(MATCH(B11973,$B$2:$B$12000,0)=ROW()-1,1,0))</f>
        <v/>
      </c>
    </row>
    <row r="11974" customFormat="false" ht="15" hidden="false" customHeight="false" outlineLevel="0" collapsed="false">
      <c r="V11974" s="23" t="str">
        <f aca="false">IF(ISNUMBER(C11974),YEAR(C11974),"")</f>
        <v/>
      </c>
      <c r="W11974" s="23" t="str">
        <f aca="false">IF(ISNUMBER(C11974),MONTH(C11974),"")</f>
        <v/>
      </c>
      <c r="X11974" s="23" t="str">
        <f aca="false">IF(T11974="","",IF(T11974=0,"No discount",IF(T11974&lt;=0.2,"Low (1-20%)",IF(T11974&lt;=0.4,"Medium (21-40%)","High (&gt;40%)"))))</f>
        <v/>
      </c>
      <c r="Y11974" s="23" t="str">
        <f aca="false">IF(AND(ISNUMBER(C11974),ISNUMBER(D11974)),D11974-C11974,"")</f>
        <v/>
      </c>
      <c r="Z11974" s="23" t="str">
        <f aca="false">IF(B11974="","",IF(MATCH(B11974,$B$2:$B$12000,0)=ROW()-1,1,0))</f>
        <v/>
      </c>
    </row>
    <row r="11975" customFormat="false" ht="15" hidden="false" customHeight="false" outlineLevel="0" collapsed="false">
      <c r="V11975" s="23" t="str">
        <f aca="false">IF(ISNUMBER(C11975),YEAR(C11975),"")</f>
        <v/>
      </c>
      <c r="W11975" s="23" t="str">
        <f aca="false">IF(ISNUMBER(C11975),MONTH(C11975),"")</f>
        <v/>
      </c>
      <c r="X11975" s="23" t="str">
        <f aca="false">IF(T11975="","",IF(T11975=0,"No discount",IF(T11975&lt;=0.2,"Low (1-20%)",IF(T11975&lt;=0.4,"Medium (21-40%)","High (&gt;40%)"))))</f>
        <v/>
      </c>
      <c r="Y11975" s="23" t="str">
        <f aca="false">IF(AND(ISNUMBER(C11975),ISNUMBER(D11975)),D11975-C11975,"")</f>
        <v/>
      </c>
      <c r="Z11975" s="23" t="str">
        <f aca="false">IF(B11975="","",IF(MATCH(B11975,$B$2:$B$12000,0)=ROW()-1,1,0))</f>
        <v/>
      </c>
    </row>
    <row r="11976" customFormat="false" ht="15" hidden="false" customHeight="false" outlineLevel="0" collapsed="false">
      <c r="V11976" s="23" t="str">
        <f aca="false">IF(ISNUMBER(C11976),YEAR(C11976),"")</f>
        <v/>
      </c>
      <c r="W11976" s="23" t="str">
        <f aca="false">IF(ISNUMBER(C11976),MONTH(C11976),"")</f>
        <v/>
      </c>
      <c r="X11976" s="23" t="str">
        <f aca="false">IF(T11976="","",IF(T11976=0,"No discount",IF(T11976&lt;=0.2,"Low (1-20%)",IF(T11976&lt;=0.4,"Medium (21-40%)","High (&gt;40%)"))))</f>
        <v/>
      </c>
      <c r="Y11976" s="23" t="str">
        <f aca="false">IF(AND(ISNUMBER(C11976),ISNUMBER(D11976)),D11976-C11976,"")</f>
        <v/>
      </c>
      <c r="Z11976" s="23" t="str">
        <f aca="false">IF(B11976="","",IF(MATCH(B11976,$B$2:$B$12000,0)=ROW()-1,1,0))</f>
        <v/>
      </c>
    </row>
    <row r="11977" customFormat="false" ht="15" hidden="false" customHeight="false" outlineLevel="0" collapsed="false">
      <c r="V11977" s="23" t="str">
        <f aca="false">IF(ISNUMBER(C11977),YEAR(C11977),"")</f>
        <v/>
      </c>
      <c r="W11977" s="23" t="str">
        <f aca="false">IF(ISNUMBER(C11977),MONTH(C11977),"")</f>
        <v/>
      </c>
      <c r="X11977" s="23" t="str">
        <f aca="false">IF(T11977="","",IF(T11977=0,"No discount",IF(T11977&lt;=0.2,"Low (1-20%)",IF(T11977&lt;=0.4,"Medium (21-40%)","High (&gt;40%)"))))</f>
        <v/>
      </c>
      <c r="Y11977" s="23" t="str">
        <f aca="false">IF(AND(ISNUMBER(C11977),ISNUMBER(D11977)),D11977-C11977,"")</f>
        <v/>
      </c>
      <c r="Z11977" s="23" t="str">
        <f aca="false">IF(B11977="","",IF(MATCH(B11977,$B$2:$B$12000,0)=ROW()-1,1,0))</f>
        <v/>
      </c>
    </row>
    <row r="11978" customFormat="false" ht="15" hidden="false" customHeight="false" outlineLevel="0" collapsed="false">
      <c r="V11978" s="23" t="str">
        <f aca="false">IF(ISNUMBER(C11978),YEAR(C11978),"")</f>
        <v/>
      </c>
      <c r="W11978" s="23" t="str">
        <f aca="false">IF(ISNUMBER(C11978),MONTH(C11978),"")</f>
        <v/>
      </c>
      <c r="X11978" s="23" t="str">
        <f aca="false">IF(T11978="","",IF(T11978=0,"No discount",IF(T11978&lt;=0.2,"Low (1-20%)",IF(T11978&lt;=0.4,"Medium (21-40%)","High (&gt;40%)"))))</f>
        <v/>
      </c>
      <c r="Y11978" s="23" t="str">
        <f aca="false">IF(AND(ISNUMBER(C11978),ISNUMBER(D11978)),D11978-C11978,"")</f>
        <v/>
      </c>
      <c r="Z11978" s="23" t="str">
        <f aca="false">IF(B11978="","",IF(MATCH(B11978,$B$2:$B$12000,0)=ROW()-1,1,0))</f>
        <v/>
      </c>
    </row>
    <row r="11979" customFormat="false" ht="15" hidden="false" customHeight="false" outlineLevel="0" collapsed="false">
      <c r="V11979" s="23" t="str">
        <f aca="false">IF(ISNUMBER(C11979),YEAR(C11979),"")</f>
        <v/>
      </c>
      <c r="W11979" s="23" t="str">
        <f aca="false">IF(ISNUMBER(C11979),MONTH(C11979),"")</f>
        <v/>
      </c>
      <c r="X11979" s="23" t="str">
        <f aca="false">IF(T11979="","",IF(T11979=0,"No discount",IF(T11979&lt;=0.2,"Low (1-20%)",IF(T11979&lt;=0.4,"Medium (21-40%)","High (&gt;40%)"))))</f>
        <v/>
      </c>
      <c r="Y11979" s="23" t="str">
        <f aca="false">IF(AND(ISNUMBER(C11979),ISNUMBER(D11979)),D11979-C11979,"")</f>
        <v/>
      </c>
      <c r="Z11979" s="23" t="str">
        <f aca="false">IF(B11979="","",IF(MATCH(B11979,$B$2:$B$12000,0)=ROW()-1,1,0))</f>
        <v/>
      </c>
    </row>
    <row r="11980" customFormat="false" ht="15" hidden="false" customHeight="false" outlineLevel="0" collapsed="false">
      <c r="V11980" s="23" t="str">
        <f aca="false">IF(ISNUMBER(C11980),YEAR(C11980),"")</f>
        <v/>
      </c>
      <c r="W11980" s="23" t="str">
        <f aca="false">IF(ISNUMBER(C11980),MONTH(C11980),"")</f>
        <v/>
      </c>
      <c r="X11980" s="23" t="str">
        <f aca="false">IF(T11980="","",IF(T11980=0,"No discount",IF(T11980&lt;=0.2,"Low (1-20%)",IF(T11980&lt;=0.4,"Medium (21-40%)","High (&gt;40%)"))))</f>
        <v/>
      </c>
      <c r="Y11980" s="23" t="str">
        <f aca="false">IF(AND(ISNUMBER(C11980),ISNUMBER(D11980)),D11980-C11980,"")</f>
        <v/>
      </c>
      <c r="Z11980" s="23" t="str">
        <f aca="false">IF(B11980="","",IF(MATCH(B11980,$B$2:$B$12000,0)=ROW()-1,1,0))</f>
        <v/>
      </c>
    </row>
    <row r="11981" customFormat="false" ht="15" hidden="false" customHeight="false" outlineLevel="0" collapsed="false">
      <c r="V11981" s="23" t="str">
        <f aca="false">IF(ISNUMBER(C11981),YEAR(C11981),"")</f>
        <v/>
      </c>
      <c r="W11981" s="23" t="str">
        <f aca="false">IF(ISNUMBER(C11981),MONTH(C11981),"")</f>
        <v/>
      </c>
      <c r="X11981" s="23" t="str">
        <f aca="false">IF(T11981="","",IF(T11981=0,"No discount",IF(T11981&lt;=0.2,"Low (1-20%)",IF(T11981&lt;=0.4,"Medium (21-40%)","High (&gt;40%)"))))</f>
        <v/>
      </c>
      <c r="Y11981" s="23" t="str">
        <f aca="false">IF(AND(ISNUMBER(C11981),ISNUMBER(D11981)),D11981-C11981,"")</f>
        <v/>
      </c>
      <c r="Z11981" s="23" t="str">
        <f aca="false">IF(B11981="","",IF(MATCH(B11981,$B$2:$B$12000,0)=ROW()-1,1,0))</f>
        <v/>
      </c>
    </row>
    <row r="11982" customFormat="false" ht="15" hidden="false" customHeight="false" outlineLevel="0" collapsed="false">
      <c r="V11982" s="23" t="str">
        <f aca="false">IF(ISNUMBER(C11982),YEAR(C11982),"")</f>
        <v/>
      </c>
      <c r="W11982" s="23" t="str">
        <f aca="false">IF(ISNUMBER(C11982),MONTH(C11982),"")</f>
        <v/>
      </c>
      <c r="X11982" s="23" t="str">
        <f aca="false">IF(T11982="","",IF(T11982=0,"No discount",IF(T11982&lt;=0.2,"Low (1-20%)",IF(T11982&lt;=0.4,"Medium (21-40%)","High (&gt;40%)"))))</f>
        <v/>
      </c>
      <c r="Y11982" s="23" t="str">
        <f aca="false">IF(AND(ISNUMBER(C11982),ISNUMBER(D11982)),D11982-C11982,"")</f>
        <v/>
      </c>
      <c r="Z11982" s="23" t="str">
        <f aca="false">IF(B11982="","",IF(MATCH(B11982,$B$2:$B$12000,0)=ROW()-1,1,0))</f>
        <v/>
      </c>
    </row>
    <row r="11983" customFormat="false" ht="15" hidden="false" customHeight="false" outlineLevel="0" collapsed="false">
      <c r="V11983" s="23" t="str">
        <f aca="false">IF(ISNUMBER(C11983),YEAR(C11983),"")</f>
        <v/>
      </c>
      <c r="W11983" s="23" t="str">
        <f aca="false">IF(ISNUMBER(C11983),MONTH(C11983),"")</f>
        <v/>
      </c>
      <c r="X11983" s="23" t="str">
        <f aca="false">IF(T11983="","",IF(T11983=0,"No discount",IF(T11983&lt;=0.2,"Low (1-20%)",IF(T11983&lt;=0.4,"Medium (21-40%)","High (&gt;40%)"))))</f>
        <v/>
      </c>
      <c r="Y11983" s="23" t="str">
        <f aca="false">IF(AND(ISNUMBER(C11983),ISNUMBER(D11983)),D11983-C11983,"")</f>
        <v/>
      </c>
      <c r="Z11983" s="23" t="str">
        <f aca="false">IF(B11983="","",IF(MATCH(B11983,$B$2:$B$12000,0)=ROW()-1,1,0))</f>
        <v/>
      </c>
    </row>
    <row r="11984" customFormat="false" ht="15" hidden="false" customHeight="false" outlineLevel="0" collapsed="false">
      <c r="V11984" s="23" t="str">
        <f aca="false">IF(ISNUMBER(C11984),YEAR(C11984),"")</f>
        <v/>
      </c>
      <c r="W11984" s="23" t="str">
        <f aca="false">IF(ISNUMBER(C11984),MONTH(C11984),"")</f>
        <v/>
      </c>
      <c r="X11984" s="23" t="str">
        <f aca="false">IF(T11984="","",IF(T11984=0,"No discount",IF(T11984&lt;=0.2,"Low (1-20%)",IF(T11984&lt;=0.4,"Medium (21-40%)","High (&gt;40%)"))))</f>
        <v/>
      </c>
      <c r="Y11984" s="23" t="str">
        <f aca="false">IF(AND(ISNUMBER(C11984),ISNUMBER(D11984)),D11984-C11984,"")</f>
        <v/>
      </c>
      <c r="Z11984" s="23" t="str">
        <f aca="false">IF(B11984="","",IF(MATCH(B11984,$B$2:$B$12000,0)=ROW()-1,1,0))</f>
        <v/>
      </c>
    </row>
    <row r="11985" customFormat="false" ht="15" hidden="false" customHeight="false" outlineLevel="0" collapsed="false">
      <c r="V11985" s="23" t="str">
        <f aca="false">IF(ISNUMBER(C11985),YEAR(C11985),"")</f>
        <v/>
      </c>
      <c r="W11985" s="23" t="str">
        <f aca="false">IF(ISNUMBER(C11985),MONTH(C11985),"")</f>
        <v/>
      </c>
      <c r="X11985" s="23" t="str">
        <f aca="false">IF(T11985="","",IF(T11985=0,"No discount",IF(T11985&lt;=0.2,"Low (1-20%)",IF(T11985&lt;=0.4,"Medium (21-40%)","High (&gt;40%)"))))</f>
        <v/>
      </c>
      <c r="Y11985" s="23" t="str">
        <f aca="false">IF(AND(ISNUMBER(C11985),ISNUMBER(D11985)),D11985-C11985,"")</f>
        <v/>
      </c>
      <c r="Z11985" s="23" t="str">
        <f aca="false">IF(B11985="","",IF(MATCH(B11985,$B$2:$B$12000,0)=ROW()-1,1,0))</f>
        <v/>
      </c>
    </row>
    <row r="11986" customFormat="false" ht="15" hidden="false" customHeight="false" outlineLevel="0" collapsed="false">
      <c r="V11986" s="23" t="str">
        <f aca="false">IF(ISNUMBER(C11986),YEAR(C11986),"")</f>
        <v/>
      </c>
      <c r="W11986" s="23" t="str">
        <f aca="false">IF(ISNUMBER(C11986),MONTH(C11986),"")</f>
        <v/>
      </c>
      <c r="X11986" s="23" t="str">
        <f aca="false">IF(T11986="","",IF(T11986=0,"No discount",IF(T11986&lt;=0.2,"Low (1-20%)",IF(T11986&lt;=0.4,"Medium (21-40%)","High (&gt;40%)"))))</f>
        <v/>
      </c>
      <c r="Y11986" s="23" t="str">
        <f aca="false">IF(AND(ISNUMBER(C11986),ISNUMBER(D11986)),D11986-C11986,"")</f>
        <v/>
      </c>
      <c r="Z11986" s="23" t="str">
        <f aca="false">IF(B11986="","",IF(MATCH(B11986,$B$2:$B$12000,0)=ROW()-1,1,0))</f>
        <v/>
      </c>
    </row>
    <row r="11987" customFormat="false" ht="15" hidden="false" customHeight="false" outlineLevel="0" collapsed="false">
      <c r="V11987" s="23" t="str">
        <f aca="false">IF(ISNUMBER(C11987),YEAR(C11987),"")</f>
        <v/>
      </c>
      <c r="W11987" s="23" t="str">
        <f aca="false">IF(ISNUMBER(C11987),MONTH(C11987),"")</f>
        <v/>
      </c>
      <c r="X11987" s="23" t="str">
        <f aca="false">IF(T11987="","",IF(T11987=0,"No discount",IF(T11987&lt;=0.2,"Low (1-20%)",IF(T11987&lt;=0.4,"Medium (21-40%)","High (&gt;40%)"))))</f>
        <v/>
      </c>
      <c r="Y11987" s="23" t="str">
        <f aca="false">IF(AND(ISNUMBER(C11987),ISNUMBER(D11987)),D11987-C11987,"")</f>
        <v/>
      </c>
      <c r="Z11987" s="23" t="str">
        <f aca="false">IF(B11987="","",IF(MATCH(B11987,$B$2:$B$12000,0)=ROW()-1,1,0))</f>
        <v/>
      </c>
    </row>
    <row r="11988" customFormat="false" ht="15" hidden="false" customHeight="false" outlineLevel="0" collapsed="false">
      <c r="V11988" s="23" t="str">
        <f aca="false">IF(ISNUMBER(C11988),YEAR(C11988),"")</f>
        <v/>
      </c>
      <c r="W11988" s="23" t="str">
        <f aca="false">IF(ISNUMBER(C11988),MONTH(C11988),"")</f>
        <v/>
      </c>
      <c r="X11988" s="23" t="str">
        <f aca="false">IF(T11988="","",IF(T11988=0,"No discount",IF(T11988&lt;=0.2,"Low (1-20%)",IF(T11988&lt;=0.4,"Medium (21-40%)","High (&gt;40%)"))))</f>
        <v/>
      </c>
      <c r="Y11988" s="23" t="str">
        <f aca="false">IF(AND(ISNUMBER(C11988),ISNUMBER(D11988)),D11988-C11988,"")</f>
        <v/>
      </c>
      <c r="Z11988" s="23" t="str">
        <f aca="false">IF(B11988="","",IF(MATCH(B11988,$B$2:$B$12000,0)=ROW()-1,1,0))</f>
        <v/>
      </c>
    </row>
    <row r="11989" customFormat="false" ht="15" hidden="false" customHeight="false" outlineLevel="0" collapsed="false">
      <c r="V11989" s="23" t="str">
        <f aca="false">IF(ISNUMBER(C11989),YEAR(C11989),"")</f>
        <v/>
      </c>
      <c r="W11989" s="23" t="str">
        <f aca="false">IF(ISNUMBER(C11989),MONTH(C11989),"")</f>
        <v/>
      </c>
      <c r="X11989" s="23" t="str">
        <f aca="false">IF(T11989="","",IF(T11989=0,"No discount",IF(T11989&lt;=0.2,"Low (1-20%)",IF(T11989&lt;=0.4,"Medium (21-40%)","High (&gt;40%)"))))</f>
        <v/>
      </c>
      <c r="Y11989" s="23" t="str">
        <f aca="false">IF(AND(ISNUMBER(C11989),ISNUMBER(D11989)),D11989-C11989,"")</f>
        <v/>
      </c>
      <c r="Z11989" s="23" t="str">
        <f aca="false">IF(B11989="","",IF(MATCH(B11989,$B$2:$B$12000,0)=ROW()-1,1,0))</f>
        <v/>
      </c>
    </row>
    <row r="11990" customFormat="false" ht="15" hidden="false" customHeight="false" outlineLevel="0" collapsed="false">
      <c r="V11990" s="23" t="str">
        <f aca="false">IF(ISNUMBER(C11990),YEAR(C11990),"")</f>
        <v/>
      </c>
      <c r="W11990" s="23" t="str">
        <f aca="false">IF(ISNUMBER(C11990),MONTH(C11990),"")</f>
        <v/>
      </c>
      <c r="X11990" s="23" t="str">
        <f aca="false">IF(T11990="","",IF(T11990=0,"No discount",IF(T11990&lt;=0.2,"Low (1-20%)",IF(T11990&lt;=0.4,"Medium (21-40%)","High (&gt;40%)"))))</f>
        <v/>
      </c>
      <c r="Y11990" s="23" t="str">
        <f aca="false">IF(AND(ISNUMBER(C11990),ISNUMBER(D11990)),D11990-C11990,"")</f>
        <v/>
      </c>
      <c r="Z11990" s="23" t="str">
        <f aca="false">IF(B11990="","",IF(MATCH(B11990,$B$2:$B$12000,0)=ROW()-1,1,0))</f>
        <v/>
      </c>
    </row>
    <row r="11991" customFormat="false" ht="15" hidden="false" customHeight="false" outlineLevel="0" collapsed="false">
      <c r="V11991" s="23" t="str">
        <f aca="false">IF(ISNUMBER(C11991),YEAR(C11991),"")</f>
        <v/>
      </c>
      <c r="W11991" s="23" t="str">
        <f aca="false">IF(ISNUMBER(C11991),MONTH(C11991),"")</f>
        <v/>
      </c>
      <c r="X11991" s="23" t="str">
        <f aca="false">IF(T11991="","",IF(T11991=0,"No discount",IF(T11991&lt;=0.2,"Low (1-20%)",IF(T11991&lt;=0.4,"Medium (21-40%)","High (&gt;40%)"))))</f>
        <v/>
      </c>
      <c r="Y11991" s="23" t="str">
        <f aca="false">IF(AND(ISNUMBER(C11991),ISNUMBER(D11991)),D11991-C11991,"")</f>
        <v/>
      </c>
      <c r="Z11991" s="23" t="str">
        <f aca="false">IF(B11991="","",IF(MATCH(B11991,$B$2:$B$12000,0)=ROW()-1,1,0))</f>
        <v/>
      </c>
    </row>
    <row r="11992" customFormat="false" ht="15" hidden="false" customHeight="false" outlineLevel="0" collapsed="false">
      <c r="V11992" s="23" t="str">
        <f aca="false">IF(ISNUMBER(C11992),YEAR(C11992),"")</f>
        <v/>
      </c>
      <c r="W11992" s="23" t="str">
        <f aca="false">IF(ISNUMBER(C11992),MONTH(C11992),"")</f>
        <v/>
      </c>
      <c r="X11992" s="23" t="str">
        <f aca="false">IF(T11992="","",IF(T11992=0,"No discount",IF(T11992&lt;=0.2,"Low (1-20%)",IF(T11992&lt;=0.4,"Medium (21-40%)","High (&gt;40%)"))))</f>
        <v/>
      </c>
      <c r="Y11992" s="23" t="str">
        <f aca="false">IF(AND(ISNUMBER(C11992),ISNUMBER(D11992)),D11992-C11992,"")</f>
        <v/>
      </c>
      <c r="Z11992" s="23" t="str">
        <f aca="false">IF(B11992="","",IF(MATCH(B11992,$B$2:$B$12000,0)=ROW()-1,1,0))</f>
        <v/>
      </c>
    </row>
    <row r="11993" customFormat="false" ht="15" hidden="false" customHeight="false" outlineLevel="0" collapsed="false">
      <c r="V11993" s="23" t="str">
        <f aca="false">IF(ISNUMBER(C11993),YEAR(C11993),"")</f>
        <v/>
      </c>
      <c r="W11993" s="23" t="str">
        <f aca="false">IF(ISNUMBER(C11993),MONTH(C11993),"")</f>
        <v/>
      </c>
      <c r="X11993" s="23" t="str">
        <f aca="false">IF(T11993="","",IF(T11993=0,"No discount",IF(T11993&lt;=0.2,"Low (1-20%)",IF(T11993&lt;=0.4,"Medium (21-40%)","High (&gt;40%)"))))</f>
        <v/>
      </c>
      <c r="Y11993" s="23" t="str">
        <f aca="false">IF(AND(ISNUMBER(C11993),ISNUMBER(D11993)),D11993-C11993,"")</f>
        <v/>
      </c>
      <c r="Z11993" s="23" t="str">
        <f aca="false">IF(B11993="","",IF(MATCH(B11993,$B$2:$B$12000,0)=ROW()-1,1,0))</f>
        <v/>
      </c>
    </row>
    <row r="11994" customFormat="false" ht="15" hidden="false" customHeight="false" outlineLevel="0" collapsed="false">
      <c r="V11994" s="23" t="str">
        <f aca="false">IF(ISNUMBER(C11994),YEAR(C11994),"")</f>
        <v/>
      </c>
      <c r="W11994" s="23" t="str">
        <f aca="false">IF(ISNUMBER(C11994),MONTH(C11994),"")</f>
        <v/>
      </c>
      <c r="X11994" s="23" t="str">
        <f aca="false">IF(T11994="","",IF(T11994=0,"No discount",IF(T11994&lt;=0.2,"Low (1-20%)",IF(T11994&lt;=0.4,"Medium (21-40%)","High (&gt;40%)"))))</f>
        <v/>
      </c>
      <c r="Y11994" s="23" t="str">
        <f aca="false">IF(AND(ISNUMBER(C11994),ISNUMBER(D11994)),D11994-C11994,"")</f>
        <v/>
      </c>
      <c r="Z11994" s="23" t="str">
        <f aca="false">IF(B11994="","",IF(MATCH(B11994,$B$2:$B$12000,0)=ROW()-1,1,0))</f>
        <v/>
      </c>
    </row>
    <row r="11995" customFormat="false" ht="15" hidden="false" customHeight="false" outlineLevel="0" collapsed="false">
      <c r="V11995" s="23" t="str">
        <f aca="false">IF(ISNUMBER(C11995),YEAR(C11995),"")</f>
        <v/>
      </c>
      <c r="W11995" s="23" t="str">
        <f aca="false">IF(ISNUMBER(C11995),MONTH(C11995),"")</f>
        <v/>
      </c>
      <c r="X11995" s="23" t="str">
        <f aca="false">IF(T11995="","",IF(T11995=0,"No discount",IF(T11995&lt;=0.2,"Low (1-20%)",IF(T11995&lt;=0.4,"Medium (21-40%)","High (&gt;40%)"))))</f>
        <v/>
      </c>
      <c r="Y11995" s="23" t="str">
        <f aca="false">IF(AND(ISNUMBER(C11995),ISNUMBER(D11995)),D11995-C11995,"")</f>
        <v/>
      </c>
      <c r="Z11995" s="23" t="str">
        <f aca="false">IF(B11995="","",IF(MATCH(B11995,$B$2:$B$12000,0)=ROW()-1,1,0))</f>
        <v/>
      </c>
    </row>
    <row r="11996" customFormat="false" ht="15" hidden="false" customHeight="false" outlineLevel="0" collapsed="false">
      <c r="V11996" s="23" t="str">
        <f aca="false">IF(ISNUMBER(C11996),YEAR(C11996),"")</f>
        <v/>
      </c>
      <c r="W11996" s="23" t="str">
        <f aca="false">IF(ISNUMBER(C11996),MONTH(C11996),"")</f>
        <v/>
      </c>
      <c r="X11996" s="23" t="str">
        <f aca="false">IF(T11996="","",IF(T11996=0,"No discount",IF(T11996&lt;=0.2,"Low (1-20%)",IF(T11996&lt;=0.4,"Medium (21-40%)","High (&gt;40%)"))))</f>
        <v/>
      </c>
      <c r="Y11996" s="23" t="str">
        <f aca="false">IF(AND(ISNUMBER(C11996),ISNUMBER(D11996)),D11996-C11996,"")</f>
        <v/>
      </c>
      <c r="Z11996" s="23" t="str">
        <f aca="false">IF(B11996="","",IF(MATCH(B11996,$B$2:$B$12000,0)=ROW()-1,1,0))</f>
        <v/>
      </c>
    </row>
    <row r="11997" customFormat="false" ht="15" hidden="false" customHeight="false" outlineLevel="0" collapsed="false">
      <c r="V11997" s="23" t="str">
        <f aca="false">IF(ISNUMBER(C11997),YEAR(C11997),"")</f>
        <v/>
      </c>
      <c r="W11997" s="23" t="str">
        <f aca="false">IF(ISNUMBER(C11997),MONTH(C11997),"")</f>
        <v/>
      </c>
      <c r="X11997" s="23" t="str">
        <f aca="false">IF(T11997="","",IF(T11997=0,"No discount",IF(T11997&lt;=0.2,"Low (1-20%)",IF(T11997&lt;=0.4,"Medium (21-40%)","High (&gt;40%)"))))</f>
        <v/>
      </c>
      <c r="Y11997" s="23" t="str">
        <f aca="false">IF(AND(ISNUMBER(C11997),ISNUMBER(D11997)),D11997-C11997,"")</f>
        <v/>
      </c>
      <c r="Z11997" s="23" t="str">
        <f aca="false">IF(B11997="","",IF(MATCH(B11997,$B$2:$B$12000,0)=ROW()-1,1,0))</f>
        <v/>
      </c>
    </row>
    <row r="11998" customFormat="false" ht="15" hidden="false" customHeight="false" outlineLevel="0" collapsed="false">
      <c r="V11998" s="23" t="str">
        <f aca="false">IF(ISNUMBER(C11998),YEAR(C11998),"")</f>
        <v/>
      </c>
      <c r="W11998" s="23" t="str">
        <f aca="false">IF(ISNUMBER(C11998),MONTH(C11998),"")</f>
        <v/>
      </c>
      <c r="X11998" s="23" t="str">
        <f aca="false">IF(T11998="","",IF(T11998=0,"No discount",IF(T11998&lt;=0.2,"Low (1-20%)",IF(T11998&lt;=0.4,"Medium (21-40%)","High (&gt;40%)"))))</f>
        <v/>
      </c>
      <c r="Y11998" s="23" t="str">
        <f aca="false">IF(AND(ISNUMBER(C11998),ISNUMBER(D11998)),D11998-C11998,"")</f>
        <v/>
      </c>
      <c r="Z11998" s="23" t="str">
        <f aca="false">IF(B11998="","",IF(MATCH(B11998,$B$2:$B$12000,0)=ROW()-1,1,0))</f>
        <v/>
      </c>
    </row>
    <row r="11999" customFormat="false" ht="15" hidden="false" customHeight="false" outlineLevel="0" collapsed="false">
      <c r="V11999" s="23" t="str">
        <f aca="false">IF(ISNUMBER(C11999),YEAR(C11999),"")</f>
        <v/>
      </c>
      <c r="W11999" s="23" t="str">
        <f aca="false">IF(ISNUMBER(C11999),MONTH(C11999),"")</f>
        <v/>
      </c>
      <c r="X11999" s="23" t="str">
        <f aca="false">IF(T11999="","",IF(T11999=0,"No discount",IF(T11999&lt;=0.2,"Low (1-20%)",IF(T11999&lt;=0.4,"Medium (21-40%)","High (&gt;40%)"))))</f>
        <v/>
      </c>
      <c r="Y11999" s="23" t="str">
        <f aca="false">IF(AND(ISNUMBER(C11999),ISNUMBER(D11999)),D11999-C11999,"")</f>
        <v/>
      </c>
      <c r="Z11999" s="23" t="str">
        <f aca="false">IF(B11999="","",IF(MATCH(B11999,$B$2:$B$12000,0)=ROW()-1,1,0))</f>
        <v/>
      </c>
    </row>
    <row r="12000" customFormat="false" ht="15" hidden="false" customHeight="false" outlineLevel="0" collapsed="false">
      <c r="V12000" s="23" t="str">
        <f aca="false">IF(ISNUMBER(C12000),YEAR(C12000),"")</f>
        <v/>
      </c>
      <c r="W12000" s="23" t="str">
        <f aca="false">IF(ISNUMBER(C12000),MONTH(C12000),"")</f>
        <v/>
      </c>
      <c r="X12000" s="23" t="str">
        <f aca="false">IF(T12000="","",IF(T12000=0,"No discount",IF(T12000&lt;=0.2,"Low (1-20%)",IF(T12000&lt;=0.4,"Medium (21-40%)","High (&gt;40%)"))))</f>
        <v/>
      </c>
      <c r="Y12000" s="23" t="str">
        <f aca="false">IF(AND(ISNUMBER(C12000),ISNUMBER(D12000)),D12000-C12000,"")</f>
        <v/>
      </c>
      <c r="Z12000" s="23" t="str">
        <f aca="false">IF(B12000="","",IF(MATCH(B12000,$B$2:$B$12000,0)=ROW()-1,1,0))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H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24" t="s">
        <v>2125</v>
      </c>
    </row>
    <row r="3" customFormat="false" ht="15" hidden="false" customHeight="false" outlineLevel="0" collapsed="false">
      <c r="A3" s="25" t="s">
        <v>2126</v>
      </c>
      <c r="B3" s="20" t="str">
        <f aca="false">IF(Dashboard!$C$5="All","&gt;0",Dashboard!$C$5)</f>
        <v>&gt;0</v>
      </c>
    </row>
    <row r="4" customFormat="false" ht="15" hidden="false" customHeight="false" outlineLevel="0" collapsed="false">
      <c r="A4" s="25" t="s">
        <v>2127</v>
      </c>
      <c r="B4" s="20" t="str">
        <f aca="false">IF(Dashboard!$F$5="All","*",Dashboard!$F$5)</f>
        <v>*</v>
      </c>
    </row>
    <row r="5" customFormat="false" ht="15" hidden="false" customHeight="false" outlineLevel="0" collapsed="false">
      <c r="A5" s="25" t="s">
        <v>2128</v>
      </c>
      <c r="B5" s="20" t="str">
        <f aca="false">IF(Dashboard!$I$5="All","*",Dashboard!$I$5)</f>
        <v>*</v>
      </c>
    </row>
    <row r="6" customFormat="false" ht="15" hidden="false" customHeight="false" outlineLevel="0" collapsed="false">
      <c r="A6" s="25" t="s">
        <v>2129</v>
      </c>
      <c r="B6" s="20" t="str">
        <f aca="false">IF(Dashboard!$M$5="All","*",Dashboard!$M$5)</f>
        <v>*</v>
      </c>
    </row>
    <row r="9" customFormat="false" ht="15" hidden="false" customHeight="false" outlineLevel="0" collapsed="false">
      <c r="A9" s="26" t="s">
        <v>2130</v>
      </c>
    </row>
    <row r="10" customFormat="false" ht="15" hidden="false" customHeight="false" outlineLevel="0" collapsed="false">
      <c r="A10" s="27" t="s">
        <v>53</v>
      </c>
      <c r="B10" s="27" t="s">
        <v>48</v>
      </c>
      <c r="C10" s="27" t="s">
        <v>51</v>
      </c>
      <c r="D10" s="27" t="s">
        <v>2131</v>
      </c>
      <c r="E10" s="27" t="s">
        <v>2132</v>
      </c>
    </row>
    <row r="11" customFormat="false" ht="15" hidden="false" customHeight="false" outlineLevel="0" collapsed="false">
      <c r="A11" s="20" t="s">
        <v>2133</v>
      </c>
      <c r="B11" s="28" t="n">
        <f aca="false">SUMIFS(Data!$R$2:$R$12000,Data!$W$2:$W$12000,$E11,Data!$V$2:$V$12000,Calc!$B$3,Data!$M$2:$M$12000,Calc!$B$4,Data!$O$2:$O$12000,Calc!$B$5,Data!$H$2:$H$12000,Calc!$B$6)</f>
        <v>61176.24</v>
      </c>
      <c r="C11" s="28" t="n">
        <f aca="false">SUMIFS(Data!$U$2:$U$12000,Data!$W$2:$W$12000,$E11,Data!$V$2:$V$12000,Calc!$B$3,Data!$M$2:$M$12000,Calc!$B$4,Data!$O$2:$O$12000,Calc!$B$5,Data!$H$2:$H$12000,Calc!$B$6)</f>
        <v>9798.36</v>
      </c>
      <c r="D11" s="29" t="n">
        <f aca="false">IF(B11=0,"",C11/B11)</f>
        <v>0.160166103703006</v>
      </c>
      <c r="E11" s="20" t="n">
        <v>1</v>
      </c>
    </row>
    <row r="12" customFormat="false" ht="15" hidden="false" customHeight="false" outlineLevel="0" collapsed="false">
      <c r="A12" s="20" t="s">
        <v>2134</v>
      </c>
      <c r="B12" s="28" t="n">
        <f aca="false">SUMIFS(Data!$R$2:$R$12000,Data!$W$2:$W$12000,$E12,Data!$V$2:$V$12000,Calc!$B$3,Data!$M$2:$M$12000,Calc!$B$4,Data!$O$2:$O$12000,Calc!$B$5,Data!$H$2:$H$12000,Calc!$B$6)</f>
        <v>49436.07</v>
      </c>
      <c r="C12" s="28" t="n">
        <f aca="false">SUMIFS(Data!$U$2:$U$12000,Data!$W$2:$W$12000,$E12,Data!$V$2:$V$12000,Calc!$B$3,Data!$M$2:$M$12000,Calc!$B$4,Data!$O$2:$O$12000,Calc!$B$5,Data!$H$2:$H$12000,Calc!$B$6)</f>
        <v>1779.54</v>
      </c>
      <c r="D12" s="29" t="n">
        <f aca="false">IF(B12=0,"",C12/B12)</f>
        <v>0.0359967934344296</v>
      </c>
      <c r="E12" s="20" t="n">
        <v>2</v>
      </c>
    </row>
    <row r="13" customFormat="false" ht="15" hidden="false" customHeight="false" outlineLevel="0" collapsed="false">
      <c r="A13" s="20" t="s">
        <v>2135</v>
      </c>
      <c r="B13" s="28" t="n">
        <f aca="false">SUMIFS(Data!$R$2:$R$12000,Data!$W$2:$W$12000,$E13,Data!$V$2:$V$12000,Calc!$B$3,Data!$M$2:$M$12000,Calc!$B$4,Data!$O$2:$O$12000,Calc!$B$5,Data!$H$2:$H$12000,Calc!$B$6)</f>
        <v>43504.47</v>
      </c>
      <c r="C13" s="28" t="n">
        <f aca="false">SUMIFS(Data!$U$2:$U$12000,Data!$W$2:$W$12000,$E13,Data!$V$2:$V$12000,Calc!$B$3,Data!$M$2:$M$12000,Calc!$B$4,Data!$O$2:$O$12000,Calc!$B$5,Data!$H$2:$H$12000,Calc!$B$6)</f>
        <v>1159.41</v>
      </c>
      <c r="D13" s="29" t="n">
        <f aca="false">IF(B13=0,"",C13/B13)</f>
        <v>0.0266503648935385</v>
      </c>
      <c r="E13" s="20" t="n">
        <v>3</v>
      </c>
    </row>
    <row r="14" customFormat="false" ht="15" hidden="false" customHeight="false" outlineLevel="0" collapsed="false">
      <c r="A14" s="20" t="s">
        <v>2136</v>
      </c>
      <c r="B14" s="28" t="n">
        <f aca="false">SUMIFS(Data!$R$2:$R$12000,Data!$W$2:$W$12000,$E14,Data!$V$2:$V$12000,Calc!$B$3,Data!$M$2:$M$12000,Calc!$B$4,Data!$O$2:$O$12000,Calc!$B$5,Data!$H$2:$H$12000,Calc!$B$6)</f>
        <v>56716.21</v>
      </c>
      <c r="C14" s="28" t="n">
        <f aca="false">SUMIFS(Data!$U$2:$U$12000,Data!$W$2:$W$12000,$E14,Data!$V$2:$V$12000,Calc!$B$3,Data!$M$2:$M$12000,Calc!$B$4,Data!$O$2:$O$12000,Calc!$B$5,Data!$H$2:$H$12000,Calc!$B$6)</f>
        <v>5908.59</v>
      </c>
      <c r="D14" s="29" t="n">
        <f aca="false">IF(B14=0,"",C14/B14)</f>
        <v>0.104178152947808</v>
      </c>
      <c r="E14" s="20" t="n">
        <v>4</v>
      </c>
    </row>
    <row r="15" customFormat="false" ht="15" hidden="false" customHeight="false" outlineLevel="0" collapsed="false">
      <c r="A15" s="20" t="s">
        <v>2137</v>
      </c>
      <c r="B15" s="28" t="n">
        <f aca="false">SUMIFS(Data!$R$2:$R$12000,Data!$W$2:$W$12000,$E15,Data!$V$2:$V$12000,Calc!$B$3,Data!$M$2:$M$12000,Calc!$B$4,Data!$O$2:$O$12000,Calc!$B$5,Data!$H$2:$H$12000,Calc!$B$6)</f>
        <v>84377.29</v>
      </c>
      <c r="C15" s="28" t="n">
        <f aca="false">SUMIFS(Data!$U$2:$U$12000,Data!$W$2:$W$12000,$E15,Data!$V$2:$V$12000,Calc!$B$3,Data!$M$2:$M$12000,Calc!$B$4,Data!$O$2:$O$12000,Calc!$B$5,Data!$H$2:$H$12000,Calc!$B$6)</f>
        <v>2912.71</v>
      </c>
      <c r="D15" s="29" t="n">
        <f aca="false">IF(B15=0,"",C15/B15)</f>
        <v>0.0345200705071234</v>
      </c>
      <c r="E15" s="20" t="n">
        <v>5</v>
      </c>
    </row>
    <row r="16" customFormat="false" ht="15" hidden="false" customHeight="false" outlineLevel="0" collapsed="false">
      <c r="A16" s="20" t="s">
        <v>2138</v>
      </c>
      <c r="B16" s="28" t="n">
        <f aca="false">SUMIFS(Data!$R$2:$R$12000,Data!$W$2:$W$12000,$E16,Data!$V$2:$V$12000,Calc!$B$3,Data!$M$2:$M$12000,Calc!$B$4,Data!$O$2:$O$12000,Calc!$B$5,Data!$H$2:$H$12000,Calc!$B$6)</f>
        <v>75099.47</v>
      </c>
      <c r="C16" s="28" t="n">
        <f aca="false">SUMIFS(Data!$U$2:$U$12000,Data!$W$2:$W$12000,$E16,Data!$V$2:$V$12000,Calc!$B$3,Data!$M$2:$M$12000,Calc!$B$4,Data!$O$2:$O$12000,Calc!$B$5,Data!$H$2:$H$12000,Calc!$B$6)</f>
        <v>5246.94</v>
      </c>
      <c r="D16" s="29" t="n">
        <f aca="false">IF(B16=0,"",C16/B16)</f>
        <v>0.0698665383390855</v>
      </c>
      <c r="E16" s="20" t="n">
        <v>6</v>
      </c>
    </row>
    <row r="17" customFormat="false" ht="15" hidden="false" customHeight="false" outlineLevel="0" collapsed="false">
      <c r="A17" s="20" t="s">
        <v>2139</v>
      </c>
      <c r="B17" s="28" t="n">
        <f aca="false">SUMIFS(Data!$R$2:$R$12000,Data!$W$2:$W$12000,$E17,Data!$V$2:$V$12000,Calc!$B$3,Data!$M$2:$M$12000,Calc!$B$4,Data!$O$2:$O$12000,Calc!$B$5,Data!$H$2:$H$12000,Calc!$B$6)</f>
        <v>96817.35</v>
      </c>
      <c r="C17" s="28" t="n">
        <f aca="false">SUMIFS(Data!$U$2:$U$12000,Data!$W$2:$W$12000,$E17,Data!$V$2:$V$12000,Calc!$B$3,Data!$M$2:$M$12000,Calc!$B$4,Data!$O$2:$O$12000,Calc!$B$5,Data!$H$2:$H$12000,Calc!$B$6)</f>
        <v>6119.41</v>
      </c>
      <c r="D17" s="29" t="n">
        <f aca="false">IF(B17=0,"",C17/B17)</f>
        <v>0.0632057167439514</v>
      </c>
      <c r="E17" s="20" t="n">
        <v>7</v>
      </c>
    </row>
    <row r="18" customFormat="false" ht="15" hidden="false" customHeight="false" outlineLevel="0" collapsed="false">
      <c r="A18" s="20" t="s">
        <v>2140</v>
      </c>
      <c r="B18" s="28" t="n">
        <f aca="false">SUMIFS(Data!$R$2:$R$12000,Data!$W$2:$W$12000,$E18,Data!$V$2:$V$12000,Calc!$B$3,Data!$M$2:$M$12000,Calc!$B$4,Data!$O$2:$O$12000,Calc!$B$5,Data!$H$2:$H$12000,Calc!$B$6)</f>
        <v>58955.51</v>
      </c>
      <c r="C18" s="28" t="n">
        <f aca="false">SUMIFS(Data!$U$2:$U$12000,Data!$W$2:$W$12000,$E18,Data!$V$2:$V$12000,Calc!$B$3,Data!$M$2:$M$12000,Calc!$B$4,Data!$O$2:$O$12000,Calc!$B$5,Data!$H$2:$H$12000,Calc!$B$6)</f>
        <v>3208.02</v>
      </c>
      <c r="D18" s="29" t="n">
        <f aca="false">IF(B18=0,"",C18/B18)</f>
        <v>0.0544142523743752</v>
      </c>
      <c r="E18" s="20" t="n">
        <v>8</v>
      </c>
    </row>
    <row r="19" customFormat="false" ht="15" hidden="false" customHeight="false" outlineLevel="0" collapsed="false">
      <c r="A19" s="20" t="s">
        <v>2141</v>
      </c>
      <c r="B19" s="28" t="n">
        <f aca="false">SUMIFS(Data!$R$2:$R$12000,Data!$W$2:$W$12000,$E19,Data!$V$2:$V$12000,Calc!$B$3,Data!$M$2:$M$12000,Calc!$B$4,Data!$O$2:$O$12000,Calc!$B$5,Data!$H$2:$H$12000,Calc!$B$6)</f>
        <v>57290.21</v>
      </c>
      <c r="C19" s="28" t="n">
        <f aca="false">SUMIFS(Data!$U$2:$U$12000,Data!$W$2:$W$12000,$E19,Data!$V$2:$V$12000,Calc!$B$3,Data!$M$2:$M$12000,Calc!$B$4,Data!$O$2:$O$12000,Calc!$B$5,Data!$H$2:$H$12000,Calc!$B$6)</f>
        <v>8047.15</v>
      </c>
      <c r="D19" s="29" t="n">
        <f aca="false">IF(B19=0,"",C19/B19)</f>
        <v>0.140462916788052</v>
      </c>
      <c r="E19" s="20" t="n">
        <v>9</v>
      </c>
    </row>
    <row r="20" customFormat="false" ht="15" hidden="false" customHeight="false" outlineLevel="0" collapsed="false">
      <c r="A20" s="20" t="s">
        <v>2142</v>
      </c>
      <c r="B20" s="28" t="n">
        <f aca="false">SUMIFS(Data!$R$2:$R$12000,Data!$W$2:$W$12000,$E20,Data!$V$2:$V$12000,Calc!$B$3,Data!$M$2:$M$12000,Calc!$B$4,Data!$O$2:$O$12000,Calc!$B$5,Data!$H$2:$H$12000,Calc!$B$6)</f>
        <v>42316.57</v>
      </c>
      <c r="C20" s="28" t="n">
        <f aca="false">SUMIFS(Data!$U$2:$U$12000,Data!$W$2:$W$12000,$E20,Data!$V$2:$V$12000,Calc!$B$3,Data!$M$2:$M$12000,Calc!$B$4,Data!$O$2:$O$12000,Calc!$B$5,Data!$H$2:$H$12000,Calc!$B$6)</f>
        <v>3254.64</v>
      </c>
      <c r="D20" s="29" t="n">
        <f aca="false">IF(B20=0,"",C20/B20)</f>
        <v>0.0769117156707172</v>
      </c>
      <c r="E20" s="20" t="n">
        <v>10</v>
      </c>
    </row>
    <row r="21" customFormat="false" ht="15" hidden="false" customHeight="false" outlineLevel="0" collapsed="false">
      <c r="A21" s="20" t="s">
        <v>2143</v>
      </c>
      <c r="B21" s="28" t="n">
        <f aca="false">SUMIFS(Data!$R$2:$R$12000,Data!$W$2:$W$12000,$E21,Data!$V$2:$V$12000,Calc!$B$3,Data!$M$2:$M$12000,Calc!$B$4,Data!$O$2:$O$12000,Calc!$B$5,Data!$H$2:$H$12000,Calc!$B$6)</f>
        <v>112563.77</v>
      </c>
      <c r="C21" s="28" t="n">
        <f aca="false">SUMIFS(Data!$U$2:$U$12000,Data!$W$2:$W$12000,$E21,Data!$V$2:$V$12000,Calc!$B$3,Data!$M$2:$M$12000,Calc!$B$4,Data!$O$2:$O$12000,Calc!$B$5,Data!$H$2:$H$12000,Calc!$B$6)</f>
        <v>7585.41</v>
      </c>
      <c r="D21" s="29" t="n">
        <f aca="false">IF(B21=0,"",C21/B21)</f>
        <v>0.0673876683412434</v>
      </c>
      <c r="E21" s="20" t="n">
        <v>11</v>
      </c>
    </row>
    <row r="22" customFormat="false" ht="15" hidden="false" customHeight="false" outlineLevel="0" collapsed="false">
      <c r="A22" s="20" t="s">
        <v>2144</v>
      </c>
      <c r="B22" s="28" t="n">
        <f aca="false">SUMIFS(Data!$R$2:$R$12000,Data!$W$2:$W$12000,$E22,Data!$V$2:$V$12000,Calc!$B$3,Data!$M$2:$M$12000,Calc!$B$4,Data!$O$2:$O$12000,Calc!$B$5,Data!$H$2:$H$12000,Calc!$B$6)</f>
        <v>96564.46</v>
      </c>
      <c r="C22" s="28" t="n">
        <f aca="false">SUMIFS(Data!$U$2:$U$12000,Data!$W$2:$W$12000,$E22,Data!$V$2:$V$12000,Calc!$B$3,Data!$M$2:$M$12000,Calc!$B$4,Data!$O$2:$O$12000,Calc!$B$5,Data!$H$2:$H$12000,Calc!$B$6)</f>
        <v>2190.76</v>
      </c>
      <c r="D22" s="29" t="n">
        <f aca="false">IF(B22=0,"",C22/B22)</f>
        <v>0.0226870217055012</v>
      </c>
      <c r="E22" s="20" t="n">
        <v>12</v>
      </c>
    </row>
    <row r="24" customFormat="false" ht="15" hidden="false" customHeight="false" outlineLevel="0" collapsed="false">
      <c r="A24" s="26" t="s">
        <v>2145</v>
      </c>
    </row>
    <row r="25" customFormat="false" ht="15" hidden="false" customHeight="false" outlineLevel="0" collapsed="false">
      <c r="A25" s="27" t="s">
        <v>52</v>
      </c>
      <c r="B25" s="27" t="s">
        <v>48</v>
      </c>
      <c r="C25" s="27" t="s">
        <v>51</v>
      </c>
      <c r="D25" s="27" t="s">
        <v>2131</v>
      </c>
    </row>
    <row r="26" customFormat="false" ht="15" hidden="false" customHeight="false" outlineLevel="0" collapsed="false">
      <c r="A26" s="20" t="s">
        <v>2146</v>
      </c>
      <c r="B26" s="28" t="n">
        <f aca="false">SUMIFS(Data!$R$2:$R$12000,Data!$V$2:$V$12000,$A26,Data!$M$2:$M$12000,Calc!$B$4,Data!$O$2:$O$12000,Calc!$B$5,Data!$H$2:$H$12000,Calc!$B$6)</f>
        <v>194117.95</v>
      </c>
      <c r="C26" s="28" t="n">
        <f aca="false">SUMIFS(Data!$U$2:$U$12000,Data!$V$2:$V$12000,$A26,Data!$M$2:$M$12000,Calc!$B$4,Data!$O$2:$O$12000,Calc!$B$5,Data!$H$2:$H$12000,Calc!$B$6)</f>
        <v>18956.81</v>
      </c>
      <c r="D26" s="29" t="n">
        <f aca="false">IF(B26=0,"",C26/B26)</f>
        <v>0.0976561415366276</v>
      </c>
    </row>
    <row r="27" customFormat="false" ht="15" hidden="false" customHeight="false" outlineLevel="0" collapsed="false">
      <c r="A27" s="20" t="s">
        <v>2147</v>
      </c>
      <c r="B27" s="28" t="n">
        <f aca="false">SUMIFS(Data!$R$2:$R$12000,Data!$V$2:$V$12000,$A27,Data!$M$2:$M$12000,Calc!$B$4,Data!$O$2:$O$12000,Calc!$B$5,Data!$H$2:$H$12000,Calc!$B$6)</f>
        <v>129288.59</v>
      </c>
      <c r="C27" s="28" t="n">
        <f aca="false">SUMIFS(Data!$U$2:$U$12000,Data!$V$2:$V$12000,$A27,Data!$M$2:$M$12000,Calc!$B$4,Data!$O$2:$O$12000,Calc!$B$5,Data!$H$2:$H$12000,Calc!$B$6)</f>
        <v>6079.76</v>
      </c>
      <c r="D27" s="29" t="n">
        <f aca="false">IF(B27=0,"",C27/B27)</f>
        <v>0.0470247219804934</v>
      </c>
    </row>
    <row r="28" customFormat="false" ht="15" hidden="false" customHeight="false" outlineLevel="0" collapsed="false">
      <c r="A28" s="20" t="s">
        <v>2148</v>
      </c>
      <c r="B28" s="28" t="n">
        <f aca="false">SUMIFS(Data!$R$2:$R$12000,Data!$V$2:$V$12000,$A28,Data!$M$2:$M$12000,Calc!$B$4,Data!$O$2:$O$12000,Calc!$B$5,Data!$H$2:$H$12000,Calc!$B$6)</f>
        <v>218844.37</v>
      </c>
      <c r="C28" s="28" t="n">
        <f aca="false">SUMIFS(Data!$U$2:$U$12000,Data!$V$2:$V$12000,$A28,Data!$M$2:$M$12000,Calc!$B$4,Data!$O$2:$O$12000,Calc!$B$5,Data!$H$2:$H$12000,Calc!$B$6)</f>
        <v>10682.47</v>
      </c>
      <c r="D28" s="29" t="n">
        <f aca="false">IF(B28=0,"",C28/B28)</f>
        <v>0.0488130903253303</v>
      </c>
    </row>
    <row r="29" customFormat="false" ht="15" hidden="false" customHeight="false" outlineLevel="0" collapsed="false">
      <c r="A29" s="20" t="s">
        <v>2149</v>
      </c>
      <c r="B29" s="28" t="n">
        <f aca="false">SUMIFS(Data!$R$2:$R$12000,Data!$V$2:$V$12000,$A29,Data!$M$2:$M$12000,Calc!$B$4,Data!$O$2:$O$12000,Calc!$B$5,Data!$H$2:$H$12000,Calc!$B$6)</f>
        <v>292566.71</v>
      </c>
      <c r="C29" s="28" t="n">
        <f aca="false">SUMIFS(Data!$U$2:$U$12000,Data!$V$2:$V$12000,$A29,Data!$M$2:$M$12000,Calc!$B$4,Data!$O$2:$O$12000,Calc!$B$5,Data!$H$2:$H$12000,Calc!$B$6)</f>
        <v>21491.9</v>
      </c>
      <c r="D29" s="29" t="n">
        <f aca="false">IF(B29=0,"",C29/B29)</f>
        <v>0.0734598273330551</v>
      </c>
    </row>
    <row r="31" customFormat="false" ht="15" hidden="false" customHeight="false" outlineLevel="0" collapsed="false">
      <c r="A31" s="26" t="s">
        <v>2150</v>
      </c>
    </row>
    <row r="32" customFormat="false" ht="15" hidden="false" customHeight="false" outlineLevel="0" collapsed="false">
      <c r="A32" s="27" t="s">
        <v>43</v>
      </c>
      <c r="B32" s="27" t="s">
        <v>48</v>
      </c>
      <c r="C32" s="27" t="s">
        <v>51</v>
      </c>
      <c r="D32" s="27" t="s">
        <v>2131</v>
      </c>
    </row>
    <row r="33" customFormat="false" ht="15" hidden="false" customHeight="false" outlineLevel="0" collapsed="false">
      <c r="A33" s="20" t="s">
        <v>153</v>
      </c>
      <c r="B33" s="28" t="n">
        <f aca="false">SUMIFS(Data!$R$2:$R$12000,Data!$M$2:$M$12000,$A33,Data!$V$2:$V$12000,Calc!$B$3,Data!$O$2:$O$12000,Calc!$B$5,Data!$H$2:$H$12000,Calc!$B$6)</f>
        <v>238441.91</v>
      </c>
      <c r="C33" s="28" t="n">
        <f aca="false">SUMIFS(Data!$U$2:$U$12000,Data!$M$2:$M$12000,$A33,Data!$V$2:$V$12000,Calc!$B$3,Data!$O$2:$O$12000,Calc!$B$5,Data!$H$2:$H$12000,Calc!$B$6)</f>
        <v>12957.22</v>
      </c>
      <c r="D33" s="29" t="n">
        <f aca="false">IF(B33=0,"",C33/B33)</f>
        <v>0.0543412020143606</v>
      </c>
    </row>
    <row r="34" customFormat="false" ht="15" hidden="false" customHeight="false" outlineLevel="0" collapsed="false">
      <c r="A34" s="20" t="s">
        <v>97</v>
      </c>
      <c r="B34" s="28" t="n">
        <f aca="false">SUMIFS(Data!$R$2:$R$12000,Data!$M$2:$M$12000,$A34,Data!$V$2:$V$12000,Calc!$B$3,Data!$O$2:$O$12000,Calc!$B$5,Data!$H$2:$H$12000,Calc!$B$6)</f>
        <v>208079.93</v>
      </c>
      <c r="C34" s="28" t="n">
        <f aca="false">SUMIFS(Data!$U$2:$U$12000,Data!$M$2:$M$12000,$A34,Data!$V$2:$V$12000,Calc!$B$3,Data!$O$2:$O$12000,Calc!$B$5,Data!$H$2:$H$12000,Calc!$B$6)</f>
        <v>24613.79</v>
      </c>
      <c r="D34" s="29" t="n">
        <f aca="false">IF(B34=0,"",C34/B34)</f>
        <v>0.118290072473592</v>
      </c>
    </row>
    <row r="35" customFormat="false" ht="15" hidden="false" customHeight="false" outlineLevel="0" collapsed="false">
      <c r="A35" s="20" t="s">
        <v>65</v>
      </c>
      <c r="B35" s="28" t="n">
        <f aca="false">SUMIFS(Data!$R$2:$R$12000,Data!$M$2:$M$12000,$A35,Data!$V$2:$V$12000,Calc!$B$3,Data!$O$2:$O$12000,Calc!$B$5,Data!$H$2:$H$12000,Calc!$B$6)</f>
        <v>235783.76</v>
      </c>
      <c r="C35" s="28" t="n">
        <f aca="false">SUMIFS(Data!$U$2:$U$12000,Data!$M$2:$M$12000,$A35,Data!$V$2:$V$12000,Calc!$B$3,Data!$O$2:$O$12000,Calc!$B$5,Data!$H$2:$H$12000,Calc!$B$6)</f>
        <v>19988.26</v>
      </c>
      <c r="D35" s="29" t="n">
        <f aca="false">IF(B35=0,"",C35/B35)</f>
        <v>0.0847736926410878</v>
      </c>
    </row>
    <row r="36" customFormat="false" ht="15" hidden="false" customHeight="false" outlineLevel="0" collapsed="false">
      <c r="A36" s="20" t="s">
        <v>112</v>
      </c>
      <c r="B36" s="28" t="n">
        <f aca="false">SUMIFS(Data!$R$2:$R$12000,Data!$M$2:$M$12000,$A36,Data!$V$2:$V$12000,Calc!$B$3,Data!$O$2:$O$12000,Calc!$B$5,Data!$H$2:$H$12000,Calc!$B$6)</f>
        <v>152512.02</v>
      </c>
      <c r="C36" s="28" t="n">
        <f aca="false">SUMIFS(Data!$U$2:$U$12000,Data!$M$2:$M$12000,$A36,Data!$V$2:$V$12000,Calc!$B$3,Data!$O$2:$O$12000,Calc!$B$5,Data!$H$2:$H$12000,Calc!$B$6)</f>
        <v>-348.33</v>
      </c>
      <c r="D36" s="29" t="n">
        <f aca="false">IF(B36=0,"",C36/B36)</f>
        <v>-0.00228395112726197</v>
      </c>
    </row>
    <row r="38" customFormat="false" ht="15" hidden="false" customHeight="false" outlineLevel="0" collapsed="false">
      <c r="A38" s="26" t="s">
        <v>2151</v>
      </c>
    </row>
    <row r="39" customFormat="false" ht="15" hidden="false" customHeight="false" outlineLevel="0" collapsed="false">
      <c r="A39" s="27" t="s">
        <v>45</v>
      </c>
      <c r="B39" s="27" t="s">
        <v>48</v>
      </c>
      <c r="C39" s="27" t="s">
        <v>51</v>
      </c>
      <c r="D39" s="27" t="s">
        <v>2131</v>
      </c>
    </row>
    <row r="40" customFormat="false" ht="15" hidden="false" customHeight="false" outlineLevel="0" collapsed="false">
      <c r="A40" s="20" t="s">
        <v>114</v>
      </c>
      <c r="B40" s="28" t="n">
        <f aca="false">SUMIFS(Data!$R$2:$R$12000,Data!$O$2:$O$12000,$A40,Data!$V$2:$V$12000,Calc!$B$3,Data!$M$2:$M$12000,Calc!$B$4,Data!$H$2:$H$12000,Calc!$B$6)</f>
        <v>285063.27</v>
      </c>
      <c r="C40" s="28" t="n">
        <f aca="false">SUMIFS(Data!$U$2:$U$12000,Data!$O$2:$O$12000,$A40,Data!$V$2:$V$12000,Calc!$B$3,Data!$M$2:$M$12000,Calc!$B$4,Data!$H$2:$H$12000,Calc!$B$6)</f>
        <v>-18171.32</v>
      </c>
      <c r="D40" s="29" t="n">
        <f aca="false">IF(B40=0,"",C40/B40)</f>
        <v>-0.0637448661835669</v>
      </c>
    </row>
    <row r="41" customFormat="false" ht="15" hidden="false" customHeight="false" outlineLevel="0" collapsed="false">
      <c r="A41" s="20" t="s">
        <v>76</v>
      </c>
      <c r="B41" s="28" t="n">
        <f aca="false">SUMIFS(Data!$R$2:$R$12000,Data!$O$2:$O$12000,$A41,Data!$V$2:$V$12000,Calc!$B$3,Data!$M$2:$M$12000,Calc!$B$4,Data!$H$2:$H$12000,Calc!$B$6)</f>
        <v>125637.52</v>
      </c>
      <c r="C41" s="28" t="n">
        <f aca="false">SUMIFS(Data!$U$2:$U$12000,Data!$O$2:$O$12000,$A41,Data!$V$2:$V$12000,Calc!$B$3,Data!$M$2:$M$12000,Calc!$B$4,Data!$H$2:$H$12000,Calc!$B$6)</f>
        <v>8769.54</v>
      </c>
      <c r="D41" s="29" t="n">
        <f aca="false">IF(B41=0,"",C41/B41)</f>
        <v>0.0698003271634142</v>
      </c>
    </row>
    <row r="42" customFormat="false" ht="15" hidden="false" customHeight="false" outlineLevel="0" collapsed="false">
      <c r="A42" s="20" t="s">
        <v>67</v>
      </c>
      <c r="B42" s="28" t="n">
        <f aca="false">SUMIFS(Data!$R$2:$R$12000,Data!$O$2:$O$12000,$A42,Data!$V$2:$V$12000,Calc!$B$3,Data!$M$2:$M$12000,Calc!$B$4,Data!$H$2:$H$12000,Calc!$B$6)</f>
        <v>424116.83</v>
      </c>
      <c r="C42" s="28" t="n">
        <f aca="false">SUMIFS(Data!$U$2:$U$12000,Data!$O$2:$O$12000,$A42,Data!$V$2:$V$12000,Calc!$B$3,Data!$M$2:$M$12000,Calc!$B$4,Data!$H$2:$H$12000,Calc!$B$6)</f>
        <v>66612.72</v>
      </c>
      <c r="D42" s="29" t="n">
        <f aca="false">IF(B42=0,"",C42/B42)</f>
        <v>0.157062194395822</v>
      </c>
    </row>
    <row r="44" customFormat="false" ht="15" hidden="false" customHeight="false" outlineLevel="0" collapsed="false">
      <c r="A44" s="26" t="s">
        <v>2152</v>
      </c>
    </row>
    <row r="45" customFormat="false" ht="15" hidden="false" customHeight="false" outlineLevel="0" collapsed="false">
      <c r="A45" s="27" t="s">
        <v>38</v>
      </c>
      <c r="B45" s="27" t="s">
        <v>48</v>
      </c>
      <c r="C45" s="27" t="s">
        <v>51</v>
      </c>
      <c r="D45" s="27" t="s">
        <v>2131</v>
      </c>
    </row>
    <row r="46" customFormat="false" ht="15" hidden="false" customHeight="false" outlineLevel="0" collapsed="false">
      <c r="A46" s="20" t="s">
        <v>61</v>
      </c>
      <c r="B46" s="28" t="n">
        <f aca="false">SUMIFS(Data!$R$2:$R$12000,Data!$H$2:$H$12000,$A46,Data!$V$2:$V$12000,Calc!$B$3,Data!$M$2:$M$12000,Calc!$B$4,Data!$O$2:$O$12000,Calc!$B$5)</f>
        <v>442265.17</v>
      </c>
      <c r="C46" s="28" t="n">
        <f aca="false">SUMIFS(Data!$U$2:$U$12000,Data!$H$2:$H$12000,$A46,Data!$V$2:$V$12000,Calc!$B$3,Data!$M$2:$M$12000,Calc!$B$4,Data!$O$2:$O$12000,Calc!$B$5)</f>
        <v>34558.83</v>
      </c>
      <c r="D46" s="29" t="n">
        <f aca="false">IF(B46=0,"",C46/B46)</f>
        <v>0.0781405191821911</v>
      </c>
    </row>
    <row r="47" customFormat="false" ht="15" hidden="false" customHeight="false" outlineLevel="0" collapsed="false">
      <c r="A47" s="20" t="s">
        <v>85</v>
      </c>
      <c r="B47" s="28" t="n">
        <f aca="false">SUMIFS(Data!$R$2:$R$12000,Data!$H$2:$H$12000,$A47,Data!$V$2:$V$12000,Calc!$B$3,Data!$M$2:$M$12000,Calc!$B$4,Data!$O$2:$O$12000,Calc!$B$5)</f>
        <v>296170.85</v>
      </c>
      <c r="C47" s="28" t="n">
        <f aca="false">SUMIFS(Data!$U$2:$U$12000,Data!$H$2:$H$12000,$A47,Data!$V$2:$V$12000,Calc!$B$3,Data!$M$2:$M$12000,Calc!$B$4,Data!$O$2:$O$12000,Calc!$B$5)</f>
        <v>20036.9</v>
      </c>
      <c r="D47" s="29" t="n">
        <f aca="false">IF(B47=0,"",C47/B47)</f>
        <v>0.0676531805881639</v>
      </c>
    </row>
    <row r="48" customFormat="false" ht="15" hidden="false" customHeight="false" outlineLevel="0" collapsed="false">
      <c r="A48" s="20" t="s">
        <v>162</v>
      </c>
      <c r="B48" s="28" t="n">
        <f aca="false">SUMIFS(Data!$R$2:$R$12000,Data!$H$2:$H$12000,$A48,Data!$V$2:$V$12000,Calc!$B$3,Data!$M$2:$M$12000,Calc!$B$4,Data!$O$2:$O$12000,Calc!$B$5)</f>
        <v>96381.6</v>
      </c>
      <c r="C48" s="28" t="n">
        <f aca="false">SUMIFS(Data!$U$2:$U$12000,Data!$H$2:$H$12000,$A48,Data!$V$2:$V$12000,Calc!$B$3,Data!$M$2:$M$12000,Calc!$B$4,Data!$O$2:$O$12000,Calc!$B$5)</f>
        <v>2615.21</v>
      </c>
      <c r="D48" s="29" t="n">
        <f aca="false">IF(B48=0,"",C48/B48)</f>
        <v>0.0271339135270633</v>
      </c>
    </row>
    <row r="50" customFormat="false" ht="15" hidden="false" customHeight="false" outlineLevel="0" collapsed="false">
      <c r="A50" s="26" t="s">
        <v>2153</v>
      </c>
    </row>
    <row r="51" customFormat="false" ht="15" hidden="false" customHeight="false" outlineLevel="0" collapsed="false">
      <c r="A51" s="27" t="s">
        <v>46</v>
      </c>
      <c r="B51" s="27" t="s">
        <v>48</v>
      </c>
      <c r="C51" s="27" t="s">
        <v>51</v>
      </c>
      <c r="D51" s="27" t="s">
        <v>2131</v>
      </c>
    </row>
    <row r="52" customFormat="false" ht="15" hidden="false" customHeight="false" outlineLevel="0" collapsed="false">
      <c r="A52" s="20" t="s">
        <v>157</v>
      </c>
      <c r="B52" s="28" t="n">
        <f aca="false">SUMIFS(Data!$R$2:$R$12000,Data!$P$2:$P$12000,$A52,Data!$V$2:$V$12000,Calc!$B$3,Data!$M$2:$M$12000,Calc!$B$4,Data!$O$2:$O$12000,Calc!$B$5,Data!$H$2:$H$12000,Calc!$B$6)</f>
        <v>12835.52</v>
      </c>
      <c r="C52" s="28" t="n">
        <f aca="false">SUMIFS(Data!$U$2:$U$12000,Data!$P$2:$P$12000,$A52,Data!$V$2:$V$12000,Calc!$B$3,Data!$M$2:$M$12000,Calc!$B$4,Data!$O$2:$O$12000,Calc!$B$5,Data!$H$2:$H$12000,Calc!$B$6)</f>
        <v>2185.44</v>
      </c>
      <c r="D52" s="29" t="n">
        <f aca="false">IF(B52=0,"",C52/B52)</f>
        <v>0.170265014584528</v>
      </c>
    </row>
    <row r="53" customFormat="false" ht="15" hidden="false" customHeight="false" outlineLevel="0" collapsed="false">
      <c r="A53" s="20" t="s">
        <v>88</v>
      </c>
      <c r="B53" s="28" t="n">
        <f aca="false">SUMIFS(Data!$R$2:$R$12000,Data!$P$2:$P$12000,$A53,Data!$V$2:$V$12000,Calc!$B$3,Data!$M$2:$M$12000,Calc!$B$4,Data!$O$2:$O$12000,Calc!$B$5,Data!$H$2:$H$12000,Calc!$B$6)</f>
        <v>50593.05</v>
      </c>
      <c r="C53" s="28" t="n">
        <f aca="false">SUMIFS(Data!$U$2:$U$12000,Data!$P$2:$P$12000,$A53,Data!$V$2:$V$12000,Calc!$B$3,Data!$M$2:$M$12000,Calc!$B$4,Data!$O$2:$O$12000,Calc!$B$5,Data!$H$2:$H$12000,Calc!$B$6)</f>
        <v>2632.82</v>
      </c>
      <c r="D53" s="29" t="n">
        <f aca="false">IF(B53=0,"",C53/B53)</f>
        <v>0.0520391634819407</v>
      </c>
    </row>
    <row r="54" customFormat="false" ht="15" hidden="false" customHeight="false" outlineLevel="0" collapsed="false">
      <c r="A54" s="20" t="s">
        <v>77</v>
      </c>
      <c r="B54" s="28" t="n">
        <f aca="false">SUMIFS(Data!$R$2:$R$12000,Data!$P$2:$P$12000,$A54,Data!$V$2:$V$12000,Calc!$B$3,Data!$M$2:$M$12000,Calc!$B$4,Data!$O$2:$O$12000,Calc!$B$5,Data!$H$2:$H$12000,Calc!$B$6)</f>
        <v>5053.24</v>
      </c>
      <c r="C54" s="28" t="n">
        <f aca="false">SUMIFS(Data!$U$2:$U$12000,Data!$P$2:$P$12000,$A54,Data!$V$2:$V$12000,Calc!$B$3,Data!$M$2:$M$12000,Calc!$B$4,Data!$O$2:$O$12000,Calc!$B$5,Data!$H$2:$H$12000,Calc!$B$6)</f>
        <v>720.7</v>
      </c>
      <c r="D54" s="29" t="n">
        <f aca="false">IF(B54=0,"",C54/B54)</f>
        <v>0.142621367676976</v>
      </c>
    </row>
    <row r="55" customFormat="false" ht="15" hidden="false" customHeight="false" outlineLevel="0" collapsed="false">
      <c r="A55" s="20" t="s">
        <v>80</v>
      </c>
      <c r="B55" s="28" t="n">
        <f aca="false">SUMIFS(Data!$R$2:$R$12000,Data!$P$2:$P$12000,$A55,Data!$V$2:$V$12000,Calc!$B$3,Data!$M$2:$M$12000,Calc!$B$4,Data!$O$2:$O$12000,Calc!$B$5,Data!$H$2:$H$12000,Calc!$B$6)</f>
        <v>8840.53</v>
      </c>
      <c r="C55" s="28" t="n">
        <f aca="false">SUMIFS(Data!$U$2:$U$12000,Data!$P$2:$P$12000,$A55,Data!$V$2:$V$12000,Calc!$B$3,Data!$M$2:$M$12000,Calc!$B$4,Data!$O$2:$O$12000,Calc!$B$5,Data!$H$2:$H$12000,Calc!$B$6)</f>
        <v>2075.94</v>
      </c>
      <c r="D55" s="29" t="n">
        <f aca="false">IF(B55=0,"",C55/B55)</f>
        <v>0.234820763008553</v>
      </c>
    </row>
    <row r="56" customFormat="false" ht="15" hidden="false" customHeight="false" outlineLevel="0" collapsed="false">
      <c r="A56" s="20" t="s">
        <v>139</v>
      </c>
      <c r="B56" s="28" t="n">
        <f aca="false">SUMIFS(Data!$R$2:$R$12000,Data!$P$2:$P$12000,$A56,Data!$V$2:$V$12000,Calc!$B$3,Data!$M$2:$M$12000,Calc!$B$4,Data!$O$2:$O$12000,Calc!$B$5,Data!$H$2:$H$12000,Calc!$B$6)</f>
        <v>87890.62</v>
      </c>
      <c r="C56" s="28" t="n">
        <f aca="false">SUMIFS(Data!$U$2:$U$12000,Data!$P$2:$P$12000,$A56,Data!$V$2:$V$12000,Calc!$B$3,Data!$M$2:$M$12000,Calc!$B$4,Data!$O$2:$O$12000,Calc!$B$5,Data!$H$2:$H$12000,Calc!$B$6)</f>
        <v>-4246.74</v>
      </c>
      <c r="D56" s="29" t="n">
        <f aca="false">IF(B56=0,"",C56/B56)</f>
        <v>-0.0483184667487839</v>
      </c>
    </row>
    <row r="57" customFormat="false" ht="15" hidden="false" customHeight="false" outlineLevel="0" collapsed="false">
      <c r="A57" s="20" t="s">
        <v>115</v>
      </c>
      <c r="B57" s="28" t="n">
        <f aca="false">SUMIFS(Data!$R$2:$R$12000,Data!$P$2:$P$12000,$A57,Data!$V$2:$V$12000,Calc!$B$3,Data!$M$2:$M$12000,Calc!$B$4,Data!$O$2:$O$12000,Calc!$B$5,Data!$H$2:$H$12000,Calc!$B$6)</f>
        <v>83622.56</v>
      </c>
      <c r="C57" s="28" t="n">
        <f aca="false">SUMIFS(Data!$U$2:$U$12000,Data!$P$2:$P$12000,$A57,Data!$V$2:$V$12000,Calc!$B$3,Data!$M$2:$M$12000,Calc!$B$4,Data!$O$2:$O$12000,Calc!$B$5,Data!$H$2:$H$12000,Calc!$B$6)</f>
        <v>3170.16</v>
      </c>
      <c r="D57" s="29" t="n">
        <f aca="false">IF(B57=0,"",C57/B57)</f>
        <v>0.0379103438115265</v>
      </c>
    </row>
    <row r="58" customFormat="false" ht="15" hidden="false" customHeight="false" outlineLevel="0" collapsed="false">
      <c r="A58" s="20" t="s">
        <v>68</v>
      </c>
      <c r="B58" s="28" t="n">
        <f aca="false">SUMIFS(Data!$R$2:$R$12000,Data!$P$2:$P$12000,$A58,Data!$V$2:$V$12000,Calc!$B$3,Data!$M$2:$M$12000,Calc!$B$4,Data!$O$2:$O$12000,Calc!$B$5,Data!$H$2:$H$12000,Calc!$B$6)</f>
        <v>261321.36</v>
      </c>
      <c r="C58" s="28" t="n">
        <f aca="false">SUMIFS(Data!$U$2:$U$12000,Data!$P$2:$P$12000,$A58,Data!$V$2:$V$12000,Calc!$B$3,Data!$M$2:$M$12000,Calc!$B$4,Data!$O$2:$O$12000,Calc!$B$5,Data!$H$2:$H$12000,Calc!$B$6)</f>
        <v>62472.56</v>
      </c>
      <c r="D58" s="29" t="n">
        <f aca="false">IF(B58=0,"",C58/B58)</f>
        <v>0.239064116304921</v>
      </c>
    </row>
    <row r="59" customFormat="false" ht="15" hidden="false" customHeight="false" outlineLevel="0" collapsed="false">
      <c r="A59" s="20" t="s">
        <v>122</v>
      </c>
      <c r="B59" s="28" t="n">
        <f aca="false">SUMIFS(Data!$R$2:$R$12000,Data!$P$2:$P$12000,$A59,Data!$V$2:$V$12000,Calc!$B$3,Data!$M$2:$M$12000,Calc!$B$4,Data!$O$2:$O$12000,Calc!$B$5,Data!$H$2:$H$12000,Calc!$B$6)</f>
        <v>6017.96</v>
      </c>
      <c r="C59" s="28" t="n">
        <f aca="false">SUMIFS(Data!$U$2:$U$12000,Data!$P$2:$P$12000,$A59,Data!$V$2:$V$12000,Calc!$B$3,Data!$M$2:$M$12000,Calc!$B$4,Data!$O$2:$O$12000,Calc!$B$5,Data!$H$2:$H$12000,Calc!$B$6)</f>
        <v>1656.51</v>
      </c>
      <c r="D59" s="29" t="n">
        <f aca="false">IF(B59=0,"",C59/B59)</f>
        <v>0.275261051917926</v>
      </c>
    </row>
    <row r="60" customFormat="false" ht="15" hidden="false" customHeight="false" outlineLevel="0" collapsed="false">
      <c r="A60" s="20" t="s">
        <v>185</v>
      </c>
      <c r="B60" s="28" t="n">
        <f aca="false">SUMIFS(Data!$R$2:$R$12000,Data!$P$2:$P$12000,$A60,Data!$V$2:$V$12000,Calc!$B$3,Data!$M$2:$M$12000,Calc!$B$4,Data!$O$2:$O$12000,Calc!$B$5,Data!$H$2:$H$12000,Calc!$B$6)</f>
        <v>2965.95</v>
      </c>
      <c r="C60" s="28" t="n">
        <f aca="false">SUMIFS(Data!$U$2:$U$12000,Data!$P$2:$P$12000,$A60,Data!$V$2:$V$12000,Calc!$B$3,Data!$M$2:$M$12000,Calc!$B$4,Data!$O$2:$O$12000,Calc!$B$5,Data!$H$2:$H$12000,Calc!$B$6)</f>
        <v>659.44</v>
      </c>
      <c r="D60" s="29" t="n">
        <f aca="false">IF(B60=0,"",C60/B60)</f>
        <v>0.222336856656383</v>
      </c>
    </row>
    <row r="61" customFormat="false" ht="15" hidden="false" customHeight="false" outlineLevel="0" collapsed="false">
      <c r="A61" s="20" t="s">
        <v>210</v>
      </c>
      <c r="B61" s="28" t="n">
        <f aca="false">SUMIFS(Data!$R$2:$R$12000,Data!$P$2:$P$12000,$A61,Data!$V$2:$V$12000,Calc!$B$3,Data!$M$2:$M$12000,Calc!$B$4,Data!$O$2:$O$12000,Calc!$B$5,Data!$H$2:$H$12000,Calc!$B$6)</f>
        <v>10208.69</v>
      </c>
      <c r="C61" s="28" t="n">
        <f aca="false">SUMIFS(Data!$U$2:$U$12000,Data!$P$2:$P$12000,$A61,Data!$V$2:$V$12000,Calc!$B$3,Data!$M$2:$M$12000,Calc!$B$4,Data!$O$2:$O$12000,Calc!$B$5,Data!$H$2:$H$12000,Calc!$B$6)</f>
        <v>692.98</v>
      </c>
      <c r="D61" s="29" t="n">
        <f aca="false">IF(B61=0,"",C61/B61)</f>
        <v>0.0678813834096246</v>
      </c>
    </row>
    <row r="62" customFormat="false" ht="15" hidden="false" customHeight="false" outlineLevel="0" collapsed="false">
      <c r="A62" s="20" t="s">
        <v>101</v>
      </c>
      <c r="B62" s="28" t="n">
        <f aca="false">SUMIFS(Data!$R$2:$R$12000,Data!$P$2:$P$12000,$A62,Data!$V$2:$V$12000,Calc!$B$3,Data!$M$2:$M$12000,Calc!$B$4,Data!$O$2:$O$12000,Calc!$B$5,Data!$H$2:$H$12000,Calc!$B$6)</f>
        <v>4756.77</v>
      </c>
      <c r="C62" s="28" t="n">
        <f aca="false">SUMIFS(Data!$U$2:$U$12000,Data!$P$2:$P$12000,$A62,Data!$V$2:$V$12000,Calc!$B$3,Data!$M$2:$M$12000,Calc!$B$4,Data!$O$2:$O$12000,Calc!$B$5,Data!$H$2:$H$12000,Calc!$B$6)</f>
        <v>1410.12</v>
      </c>
      <c r="D62" s="29" t="n">
        <f aca="false">IF(B62=0,"",C62/B62)</f>
        <v>0.296444856488752</v>
      </c>
    </row>
    <row r="63" customFormat="false" ht="15" hidden="false" customHeight="false" outlineLevel="0" collapsed="false">
      <c r="A63" s="20" t="s">
        <v>164</v>
      </c>
      <c r="B63" s="28" t="n">
        <f aca="false">SUMIFS(Data!$R$2:$R$12000,Data!$P$2:$P$12000,$A63,Data!$V$2:$V$12000,Calc!$B$3,Data!$M$2:$M$12000,Calc!$B$4,Data!$O$2:$O$12000,Calc!$B$5,Data!$H$2:$H$12000,Calc!$B$6)</f>
        <v>91624.1</v>
      </c>
      <c r="C63" s="28" t="n">
        <f aca="false">SUMIFS(Data!$U$2:$U$12000,Data!$P$2:$P$12000,$A63,Data!$V$2:$V$12000,Calc!$B$3,Data!$M$2:$M$12000,Calc!$B$4,Data!$O$2:$O$12000,Calc!$B$5,Data!$H$2:$H$12000,Calc!$B$6)</f>
        <v>-2262.8</v>
      </c>
      <c r="D63" s="29" t="n">
        <f aca="false">IF(B63=0,"",C63/B63)</f>
        <v>-0.024696559093077</v>
      </c>
    </row>
    <row r="64" customFormat="false" ht="15" hidden="false" customHeight="false" outlineLevel="0" collapsed="false">
      <c r="A64" s="20" t="s">
        <v>236</v>
      </c>
      <c r="B64" s="28" t="n">
        <f aca="false">SUMIFS(Data!$R$2:$R$12000,Data!$P$2:$P$12000,$A64,Data!$V$2:$V$12000,Calc!$B$3,Data!$M$2:$M$12000,Calc!$B$4,Data!$O$2:$O$12000,Calc!$B$5,Data!$H$2:$H$12000,Calc!$B$6)</f>
        <v>6836.92</v>
      </c>
      <c r="C64" s="28" t="n">
        <f aca="false">SUMIFS(Data!$U$2:$U$12000,Data!$P$2:$P$12000,$A64,Data!$V$2:$V$12000,Calc!$B$3,Data!$M$2:$M$12000,Calc!$B$4,Data!$O$2:$O$12000,Calc!$B$5,Data!$H$2:$H$12000,Calc!$B$6)</f>
        <v>1871.46</v>
      </c>
      <c r="D64" s="29" t="n">
        <f aca="false">IF(B64=0,"",C64/B64)</f>
        <v>0.273728521029937</v>
      </c>
    </row>
    <row r="65" customFormat="false" ht="15" hidden="false" customHeight="false" outlineLevel="0" collapsed="false">
      <c r="A65" s="20" t="s">
        <v>106</v>
      </c>
      <c r="B65" s="28" t="n">
        <f aca="false">SUMIFS(Data!$R$2:$R$12000,Data!$P$2:$P$12000,$A65,Data!$V$2:$V$12000,Calc!$B$3,Data!$M$2:$M$12000,Calc!$B$4,Data!$O$2:$O$12000,Calc!$B$5,Data!$H$2:$H$12000,Calc!$B$6)</f>
        <v>58335.85</v>
      </c>
      <c r="C65" s="28" t="n">
        <f aca="false">SUMIFS(Data!$U$2:$U$12000,Data!$P$2:$P$12000,$A65,Data!$V$2:$V$12000,Calc!$B$3,Data!$M$2:$M$12000,Calc!$B$4,Data!$O$2:$O$12000,Calc!$B$5,Data!$H$2:$H$12000,Calc!$B$6)</f>
        <v>4217.52</v>
      </c>
      <c r="D65" s="29" t="n">
        <f aca="false">IF(B65=0,"",C65/B65)</f>
        <v>0.0722972237483469</v>
      </c>
    </row>
    <row r="66" customFormat="false" ht="15" hidden="false" customHeight="false" outlineLevel="0" collapsed="false">
      <c r="A66" s="20" t="s">
        <v>128</v>
      </c>
      <c r="B66" s="28" t="n">
        <f aca="false">SUMIFS(Data!$R$2:$R$12000,Data!$P$2:$P$12000,$A66,Data!$V$2:$V$12000,Calc!$B$3,Data!$M$2:$M$12000,Calc!$B$4,Data!$O$2:$O$12000,Calc!$B$5,Data!$H$2:$H$12000,Calc!$B$6)</f>
        <v>20641.01</v>
      </c>
      <c r="C66" s="28" t="n">
        <f aca="false">SUMIFS(Data!$U$2:$U$12000,Data!$P$2:$P$12000,$A66,Data!$V$2:$V$12000,Calc!$B$3,Data!$M$2:$M$12000,Calc!$B$4,Data!$O$2:$O$12000,Calc!$B$5,Data!$H$2:$H$12000,Calc!$B$6)</f>
        <v>-344.17</v>
      </c>
      <c r="D66" s="29" t="n">
        <f aca="false">IF(B66=0,"",C66/B66)</f>
        <v>-0.0166740871691841</v>
      </c>
    </row>
    <row r="67" customFormat="false" ht="15" hidden="false" customHeight="false" outlineLevel="0" collapsed="false">
      <c r="A67" s="20" t="s">
        <v>178</v>
      </c>
      <c r="B67" s="28" t="n">
        <f aca="false">SUMIFS(Data!$R$2:$R$12000,Data!$P$2:$P$12000,$A67,Data!$V$2:$V$12000,Calc!$B$3,Data!$M$2:$M$12000,Calc!$B$4,Data!$O$2:$O$12000,Calc!$B$5,Data!$H$2:$H$12000,Calc!$B$6)</f>
        <v>19932.09</v>
      </c>
      <c r="C67" s="28" t="n">
        <f aca="false">SUMIFS(Data!$U$2:$U$12000,Data!$P$2:$P$12000,$A67,Data!$V$2:$V$12000,Calc!$B$3,Data!$M$2:$M$12000,Calc!$B$4,Data!$O$2:$O$12000,Calc!$B$5,Data!$H$2:$H$12000,Calc!$B$6)</f>
        <v>-1913.28</v>
      </c>
      <c r="D67" s="29" t="n">
        <f aca="false">IF(B67=0,"",C67/B67)</f>
        <v>-0.0959899338202868</v>
      </c>
    </row>
    <row r="68" customFormat="false" ht="15" hidden="false" customHeight="false" outlineLevel="0" collapsed="false">
      <c r="A68" s="20" t="s">
        <v>167</v>
      </c>
      <c r="B68" s="28" t="n">
        <f aca="false">SUMIFS(Data!$R$2:$R$12000,Data!$P$2:$P$12000,$A68,Data!$V$2:$V$12000,Calc!$B$3,Data!$M$2:$M$12000,Calc!$B$4,Data!$O$2:$O$12000,Calc!$B$5,Data!$H$2:$H$12000,Calc!$B$6)</f>
        <v>103341.4</v>
      </c>
      <c r="C68" s="28" t="n">
        <f aca="false">SUMIFS(Data!$U$2:$U$12000,Data!$P$2:$P$12000,$A68,Data!$V$2:$V$12000,Calc!$B$3,Data!$M$2:$M$12000,Calc!$B$4,Data!$O$2:$O$12000,Calc!$B$5,Data!$H$2:$H$12000,Calc!$B$6)</f>
        <v>-17787.72</v>
      </c>
      <c r="D68" s="29" t="n">
        <f aca="false">IF(B68=0,"",C68/B68)</f>
        <v>-0.172125788890029</v>
      </c>
    </row>
    <row r="70" customFormat="false" ht="15" hidden="false" customHeight="false" outlineLevel="0" collapsed="false">
      <c r="A70" s="26" t="s">
        <v>2154</v>
      </c>
    </row>
    <row r="71" customFormat="false" ht="15" hidden="false" customHeight="false" outlineLevel="0" collapsed="false">
      <c r="A71" s="27" t="s">
        <v>54</v>
      </c>
      <c r="B71" s="27" t="s">
        <v>48</v>
      </c>
      <c r="C71" s="27" t="s">
        <v>51</v>
      </c>
      <c r="D71" s="27" t="s">
        <v>2131</v>
      </c>
      <c r="E71" s="27" t="s">
        <v>2155</v>
      </c>
    </row>
    <row r="72" customFormat="false" ht="15" hidden="false" customHeight="false" outlineLevel="0" collapsed="false">
      <c r="A72" s="20" t="s">
        <v>2156</v>
      </c>
      <c r="B72" s="28" t="n">
        <f aca="false">SUMIFS(Data!$R$2:$R$12000,Data!$X$2:$X$12000,$A72,Data!$V$2:$V$12000,Calc!$B$3,Data!$M$2:$M$12000,Calc!$B$4,Data!$O$2:$O$12000,Calc!$B$5,Data!$H$2:$H$12000,Calc!$B$6)</f>
        <v>431052.01</v>
      </c>
      <c r="C72" s="28" t="n">
        <f aca="false">SUMIFS(Data!$U$2:$U$12000,Data!$X$2:$X$12000,$A72,Data!$V$2:$V$12000,Calc!$B$3,Data!$M$2:$M$12000,Calc!$B$4,Data!$O$2:$O$12000,Calc!$B$5,Data!$H$2:$H$12000,Calc!$B$6)</f>
        <v>62817.9</v>
      </c>
      <c r="D72" s="29" t="n">
        <f aca="false">IF(B72=0,"",C72/B72)</f>
        <v>0.145731602086718</v>
      </c>
      <c r="E72" s="20" t="n">
        <f aca="false">COUNTIFS(Data!$X$2:$X$12000,$A72,Data!$V$2:$V$12000,Calc!$B$3,Data!$M$2:$M$12000,Calc!$B$4,Data!$O$2:$O$12000,Calc!$B$5,Data!$H$2:$H$12000,Calc!$B$6)</f>
        <v>315</v>
      </c>
    </row>
    <row r="73" customFormat="false" ht="15" hidden="false" customHeight="false" outlineLevel="0" collapsed="false">
      <c r="A73" s="20" t="s">
        <v>2157</v>
      </c>
      <c r="B73" s="28" t="n">
        <f aca="false">SUMIFS(Data!$R$2:$R$12000,Data!$X$2:$X$12000,$A73,Data!$V$2:$V$12000,Calc!$B$3,Data!$M$2:$M$12000,Calc!$B$4,Data!$O$2:$O$12000,Calc!$B$5,Data!$H$2:$H$12000,Calc!$B$6)</f>
        <v>238783.82</v>
      </c>
      <c r="C73" s="28" t="n">
        <f aca="false">SUMIFS(Data!$U$2:$U$12000,Data!$X$2:$X$12000,$A73,Data!$V$2:$V$12000,Calc!$B$3,Data!$M$2:$M$12000,Calc!$B$4,Data!$O$2:$O$12000,Calc!$B$5,Data!$H$2:$H$12000,Calc!$B$6)</f>
        <v>12286.07</v>
      </c>
      <c r="D73" s="29" t="n">
        <f aca="false">IF(B73=0,"",C73/B73)</f>
        <v>0.0514526905549966</v>
      </c>
      <c r="E73" s="20" t="n">
        <f aca="false">COUNTIFS(Data!$X$2:$X$12000,$A73,Data!$V$2:$V$12000,Calc!$B$3,Data!$M$2:$M$12000,Calc!$B$4,Data!$O$2:$O$12000,Calc!$B$5,Data!$H$2:$H$12000,Calc!$B$6)</f>
        <v>219</v>
      </c>
    </row>
    <row r="74" customFormat="false" ht="15" hidden="false" customHeight="false" outlineLevel="0" collapsed="false">
      <c r="A74" s="20" t="s">
        <v>2158</v>
      </c>
      <c r="B74" s="28" t="n">
        <f aca="false">SUMIFS(Data!$R$2:$R$12000,Data!$X$2:$X$12000,$A74,Data!$V$2:$V$12000,Calc!$B$3,Data!$M$2:$M$12000,Calc!$B$4,Data!$O$2:$O$12000,Calc!$B$5,Data!$H$2:$H$12000,Calc!$B$6)</f>
        <v>120488.94</v>
      </c>
      <c r="C74" s="28" t="n">
        <f aca="false">SUMIFS(Data!$U$2:$U$12000,Data!$X$2:$X$12000,$A74,Data!$V$2:$V$12000,Calc!$B$3,Data!$M$2:$M$12000,Calc!$B$4,Data!$O$2:$O$12000,Calc!$B$5,Data!$H$2:$H$12000,Calc!$B$6)</f>
        <v>-6403.49</v>
      </c>
      <c r="D74" s="29" t="n">
        <f aca="false">IF(B74=0,"",C74/B74)</f>
        <v>-0.0531458738038529</v>
      </c>
      <c r="E74" s="20" t="n">
        <f aca="false">COUNTIFS(Data!$X$2:$X$12000,$A74,Data!$V$2:$V$12000,Calc!$B$3,Data!$M$2:$M$12000,Calc!$B$4,Data!$O$2:$O$12000,Calc!$B$5,Data!$H$2:$H$12000,Calc!$B$6)</f>
        <v>143</v>
      </c>
    </row>
    <row r="75" customFormat="false" ht="15" hidden="false" customHeight="false" outlineLevel="0" collapsed="false">
      <c r="A75" s="20" t="s">
        <v>2159</v>
      </c>
      <c r="B75" s="28" t="n">
        <f aca="false">SUMIFS(Data!$R$2:$R$12000,Data!$X$2:$X$12000,$A75,Data!$V$2:$V$12000,Calc!$B$3,Data!$M$2:$M$12000,Calc!$B$4,Data!$O$2:$O$12000,Calc!$B$5,Data!$H$2:$H$12000,Calc!$B$6)</f>
        <v>44492.85</v>
      </c>
      <c r="C75" s="28" t="n">
        <f aca="false">SUMIFS(Data!$U$2:$U$12000,Data!$X$2:$X$12000,$A75,Data!$V$2:$V$12000,Calc!$B$3,Data!$M$2:$M$12000,Calc!$B$4,Data!$O$2:$O$12000,Calc!$B$5,Data!$H$2:$H$12000,Calc!$B$6)</f>
        <v>-11489.54</v>
      </c>
      <c r="D75" s="29" t="n">
        <f aca="false">IF(B75=0,"",C75/B75)</f>
        <v>-0.258233401546541</v>
      </c>
      <c r="E75" s="20" t="n">
        <f aca="false">COUNTIFS(Data!$X$2:$X$12000,$A75,Data!$V$2:$V$12000,Calc!$B$3,Data!$M$2:$M$12000,Calc!$B$4,Data!$O$2:$O$12000,Calc!$B$5,Data!$H$2:$H$12000,Calc!$B$6)</f>
        <v>123</v>
      </c>
    </row>
    <row r="77" customFormat="false" ht="15" hidden="false" customHeight="false" outlineLevel="0" collapsed="false">
      <c r="A77" s="26" t="s">
        <v>2160</v>
      </c>
    </row>
    <row r="78" customFormat="false" ht="15" hidden="false" customHeight="false" outlineLevel="0" collapsed="false">
      <c r="A78" s="27" t="s">
        <v>41</v>
      </c>
      <c r="B78" s="27" t="s">
        <v>48</v>
      </c>
      <c r="C78" s="27" t="s">
        <v>2161</v>
      </c>
      <c r="F78" s="27" t="s">
        <v>2162</v>
      </c>
      <c r="G78" s="27" t="s">
        <v>2163</v>
      </c>
      <c r="H78" s="27" t="s">
        <v>48</v>
      </c>
    </row>
    <row r="79" customFormat="false" ht="15" hidden="false" customHeight="false" outlineLevel="0" collapsed="false">
      <c r="A79" s="20" t="s">
        <v>74</v>
      </c>
      <c r="B79" s="28" t="n">
        <f aca="false">SUMIFS(Data!$R$2:$R$12000,Data!$K$2:$K$12000,$A79,Data!$V$2:$V$12000,Calc!$B$3,Data!$M$2:$M$12000,Calc!$B$4,Data!$O$2:$O$12000,Calc!$B$5,Data!$H$2:$H$12000,Calc!$B$6)</f>
        <v>24707.39</v>
      </c>
      <c r="C79" s="28" t="n">
        <f aca="false">B79+ROW()*0.000000001</f>
        <v>24707.390000079</v>
      </c>
      <c r="F79" s="20" t="n">
        <v>1</v>
      </c>
      <c r="G79" s="20" t="str">
        <f aca="false">INDEX($A$79:$A$127,MATCH(LARGE($C$79:$C$127,F79),$C$79:$C$127,0))</f>
        <v>Louisiana</v>
      </c>
      <c r="H79" s="28" t="n">
        <f aca="false">INDEX($B$79:$B$127,MATCH(LARGE($C$79:$C$127,F79),$C$79:$C$127,0))</f>
        <v>53391.75</v>
      </c>
    </row>
    <row r="80" customFormat="false" ht="15" hidden="false" customHeight="false" outlineLevel="0" collapsed="false">
      <c r="A80" s="20" t="s">
        <v>183</v>
      </c>
      <c r="B80" s="28" t="n">
        <f aca="false">SUMIFS(Data!$R$2:$R$12000,Data!$K$2:$K$12000,$A80,Data!$V$2:$V$12000,Calc!$B$3,Data!$M$2:$M$12000,Calc!$B$4,Data!$O$2:$O$12000,Calc!$B$5,Data!$H$2:$H$12000,Calc!$B$6)</f>
        <v>8437.91</v>
      </c>
      <c r="C80" s="28" t="n">
        <f aca="false">B80+ROW()*0.000000001</f>
        <v>8437.91000008</v>
      </c>
      <c r="F80" s="20" t="n">
        <v>2</v>
      </c>
      <c r="G80" s="20" t="str">
        <f aca="false">INDEX($A$79:$A$127,MATCH(LARGE($C$79:$C$127,F80),$C$79:$C$127,0))</f>
        <v>South Dakota</v>
      </c>
      <c r="H80" s="28" t="n">
        <f aca="false">INDEX($B$79:$B$127,MATCH(LARGE($C$79:$C$127,F80),$C$79:$C$127,0))</f>
        <v>36386.35</v>
      </c>
    </row>
    <row r="81" customFormat="false" ht="15" hidden="false" customHeight="false" outlineLevel="0" collapsed="false">
      <c r="A81" s="20" t="s">
        <v>146</v>
      </c>
      <c r="B81" s="28" t="n">
        <f aca="false">SUMIFS(Data!$R$2:$R$12000,Data!$K$2:$K$12000,$A81,Data!$V$2:$V$12000,Calc!$B$3,Data!$M$2:$M$12000,Calc!$B$4,Data!$O$2:$O$12000,Calc!$B$5,Data!$H$2:$H$12000,Calc!$B$6)</f>
        <v>6626.87</v>
      </c>
      <c r="C81" s="28" t="n">
        <f aca="false">B81+ROW()*0.000000001</f>
        <v>6626.870000081</v>
      </c>
      <c r="F81" s="20" t="n">
        <v>3</v>
      </c>
      <c r="G81" s="20" t="str">
        <f aca="false">INDEX($A$79:$A$127,MATCH(LARGE($C$79:$C$127,F81),$C$79:$C$127,0))</f>
        <v>Minnesota</v>
      </c>
      <c r="H81" s="28" t="n">
        <f aca="false">INDEX($B$79:$B$127,MATCH(LARGE($C$79:$C$127,F81),$C$79:$C$127,0))</f>
        <v>33874.1</v>
      </c>
    </row>
    <row r="82" customFormat="false" ht="15" hidden="false" customHeight="false" outlineLevel="0" collapsed="false">
      <c r="A82" s="20" t="s">
        <v>176</v>
      </c>
      <c r="B82" s="28" t="n">
        <f aca="false">SUMIFS(Data!$R$2:$R$12000,Data!$K$2:$K$12000,$A82,Data!$V$2:$V$12000,Calc!$B$3,Data!$M$2:$M$12000,Calc!$B$4,Data!$O$2:$O$12000,Calc!$B$5,Data!$H$2:$H$12000,Calc!$B$6)</f>
        <v>8434.06</v>
      </c>
      <c r="C82" s="28" t="n">
        <f aca="false">B82+ROW()*0.000000001</f>
        <v>8434.060000082</v>
      </c>
      <c r="F82" s="20" t="n">
        <v>4</v>
      </c>
      <c r="G82" s="20" t="str">
        <f aca="false">INDEX($A$79:$A$127,MATCH(LARGE($C$79:$C$127,F82),$C$79:$C$127,0))</f>
        <v>District of Columbia</v>
      </c>
      <c r="H82" s="28" t="n">
        <f aca="false">INDEX($B$79:$B$127,MATCH(LARGE($C$79:$C$127,F82),$C$79:$C$127,0))</f>
        <v>32914.81</v>
      </c>
    </row>
    <row r="83" customFormat="false" ht="15" hidden="false" customHeight="false" outlineLevel="0" collapsed="false">
      <c r="A83" s="20" t="s">
        <v>565</v>
      </c>
      <c r="B83" s="28" t="n">
        <f aca="false">SUMIFS(Data!$R$2:$R$12000,Data!$K$2:$K$12000,$A83,Data!$V$2:$V$12000,Calc!$B$3,Data!$M$2:$M$12000,Calc!$B$4,Data!$O$2:$O$12000,Calc!$B$5,Data!$H$2:$H$12000,Calc!$B$6)</f>
        <v>13936.58</v>
      </c>
      <c r="C83" s="28" t="n">
        <f aca="false">B83+ROW()*0.000000001</f>
        <v>13936.580000083</v>
      </c>
      <c r="F83" s="20" t="n">
        <v>5</v>
      </c>
      <c r="G83" s="20" t="str">
        <f aca="false">INDEX($A$79:$A$127,MATCH(LARGE($C$79:$C$127,F83),$C$79:$C$127,0))</f>
        <v>Tennessee</v>
      </c>
      <c r="H83" s="28" t="n">
        <f aca="false">INDEX($B$79:$B$127,MATCH(LARGE($C$79:$C$127,F83),$C$79:$C$127,0))</f>
        <v>29995.93</v>
      </c>
    </row>
    <row r="84" customFormat="false" ht="15" hidden="false" customHeight="false" outlineLevel="0" collapsed="false">
      <c r="A84" s="20" t="s">
        <v>1257</v>
      </c>
      <c r="B84" s="28" t="n">
        <f aca="false">SUMIFS(Data!$R$2:$R$12000,Data!$K$2:$K$12000,$A84,Data!$V$2:$V$12000,Calc!$B$3,Data!$M$2:$M$12000,Calc!$B$4,Data!$O$2:$O$12000,Calc!$B$5,Data!$H$2:$H$12000,Calc!$B$6)</f>
        <v>9134.64</v>
      </c>
      <c r="C84" s="28" t="n">
        <f aca="false">B84+ROW()*0.000000001</f>
        <v>9134.640000084</v>
      </c>
      <c r="F84" s="20" t="n">
        <v>6</v>
      </c>
      <c r="G84" s="20" t="str">
        <f aca="false">INDEX($A$79:$A$127,MATCH(LARGE($C$79:$C$127,F84),$C$79:$C$127,0))</f>
        <v>Delaware</v>
      </c>
      <c r="H84" s="28" t="n">
        <f aca="false">INDEX($B$79:$B$127,MATCH(LARGE($C$79:$C$127,F84),$C$79:$C$127,0))</f>
        <v>29319.68</v>
      </c>
    </row>
    <row r="85" customFormat="false" ht="15" hidden="false" customHeight="false" outlineLevel="0" collapsed="false">
      <c r="A85" s="20" t="s">
        <v>525</v>
      </c>
      <c r="B85" s="28" t="n">
        <f aca="false">SUMIFS(Data!$R$2:$R$12000,Data!$K$2:$K$12000,$A85,Data!$V$2:$V$12000,Calc!$B$3,Data!$M$2:$M$12000,Calc!$B$4,Data!$O$2:$O$12000,Calc!$B$5,Data!$H$2:$H$12000,Calc!$B$6)</f>
        <v>29319.68</v>
      </c>
      <c r="C85" s="28" t="n">
        <f aca="false">B85+ROW()*0.000000001</f>
        <v>29319.680000085</v>
      </c>
      <c r="F85" s="20" t="n">
        <v>7</v>
      </c>
      <c r="G85" s="20" t="str">
        <f aca="false">INDEX($A$79:$A$127,MATCH(LARGE($C$79:$C$127,F85),$C$79:$C$127,0))</f>
        <v>South Carolina</v>
      </c>
      <c r="H85" s="28" t="n">
        <f aca="false">INDEX($B$79:$B$127,MATCH(LARGE($C$79:$C$127,F85),$C$79:$C$127,0))</f>
        <v>28403.11</v>
      </c>
    </row>
    <row r="86" customFormat="false" ht="15" hidden="false" customHeight="false" outlineLevel="0" collapsed="false">
      <c r="A86" s="20" t="s">
        <v>96</v>
      </c>
      <c r="B86" s="28" t="n">
        <f aca="false">SUMIFS(Data!$R$2:$R$12000,Data!$K$2:$K$12000,$A86,Data!$V$2:$V$12000,Calc!$B$3,Data!$M$2:$M$12000,Calc!$B$4,Data!$O$2:$O$12000,Calc!$B$5,Data!$H$2:$H$12000,Calc!$B$6)</f>
        <v>32914.81</v>
      </c>
      <c r="C86" s="28" t="n">
        <f aca="false">B86+ROW()*0.000000001</f>
        <v>32914.810000086</v>
      </c>
      <c r="F86" s="20" t="n">
        <v>8</v>
      </c>
      <c r="G86" s="20" t="str">
        <f aca="false">INDEX($A$79:$A$127,MATCH(LARGE($C$79:$C$127,F86),$C$79:$C$127,0))</f>
        <v>Missouri</v>
      </c>
      <c r="H86" s="28" t="n">
        <f aca="false">INDEX($B$79:$B$127,MATCH(LARGE($C$79:$C$127,F86),$C$79:$C$127,0))</f>
        <v>28282</v>
      </c>
    </row>
    <row r="87" customFormat="false" ht="15" hidden="false" customHeight="false" outlineLevel="0" collapsed="false">
      <c r="A87" s="20" t="s">
        <v>800</v>
      </c>
      <c r="B87" s="28" t="n">
        <f aca="false">SUMIFS(Data!$R$2:$R$12000,Data!$K$2:$K$12000,$A87,Data!$V$2:$V$12000,Calc!$B$3,Data!$M$2:$M$12000,Calc!$B$4,Data!$O$2:$O$12000,Calc!$B$5,Data!$H$2:$H$12000,Calc!$B$6)</f>
        <v>5116.31</v>
      </c>
      <c r="C87" s="28" t="n">
        <f aca="false">B87+ROW()*0.000000001</f>
        <v>5116.310000087</v>
      </c>
      <c r="F87" s="20" t="n">
        <v>9</v>
      </c>
      <c r="G87" s="20" t="str">
        <f aca="false">INDEX($A$79:$A$127,MATCH(LARGE($C$79:$C$127,F87),$C$79:$C$127,0))</f>
        <v>Wyoming</v>
      </c>
      <c r="H87" s="28" t="n">
        <f aca="false">INDEX($B$79:$B$127,MATCH(LARGE($C$79:$C$127,F87),$C$79:$C$127,0))</f>
        <v>25844.15</v>
      </c>
    </row>
    <row r="88" customFormat="false" ht="15" hidden="false" customHeight="false" outlineLevel="0" collapsed="false">
      <c r="A88" s="20" t="s">
        <v>487</v>
      </c>
      <c r="B88" s="28" t="n">
        <f aca="false">SUMIFS(Data!$R$2:$R$12000,Data!$K$2:$K$12000,$A88,Data!$V$2:$V$12000,Calc!$B$3,Data!$M$2:$M$12000,Calc!$B$4,Data!$O$2:$O$12000,Calc!$B$5,Data!$H$2:$H$12000,Calc!$B$6)</f>
        <v>25046.29</v>
      </c>
      <c r="C88" s="28" t="n">
        <f aca="false">B88+ROW()*0.000000001</f>
        <v>25046.290000088</v>
      </c>
      <c r="F88" s="20" t="n">
        <v>10</v>
      </c>
      <c r="G88" s="20" t="str">
        <f aca="false">INDEX($A$79:$A$127,MATCH(LARGE($C$79:$C$127,F88),$C$79:$C$127,0))</f>
        <v>Georgia</v>
      </c>
      <c r="H88" s="28" t="n">
        <f aca="false">INDEX($B$79:$B$127,MATCH(LARGE($C$79:$C$127,F88),$C$79:$C$127,0))</f>
        <v>25046.29</v>
      </c>
    </row>
    <row r="89" customFormat="false" ht="15" hidden="false" customHeight="false" outlineLevel="0" collapsed="false">
      <c r="A89" s="20" t="s">
        <v>254</v>
      </c>
      <c r="B89" s="28" t="n">
        <f aca="false">SUMIFS(Data!$R$2:$R$12000,Data!$K$2:$K$12000,$A89,Data!$V$2:$V$12000,Calc!$B$3,Data!$M$2:$M$12000,Calc!$B$4,Data!$O$2:$O$12000,Calc!$B$5,Data!$H$2:$H$12000,Calc!$B$6)</f>
        <v>17440.95</v>
      </c>
      <c r="C89" s="28" t="n">
        <f aca="false">B89+ROW()*0.000000001</f>
        <v>17440.950000089</v>
      </c>
    </row>
    <row r="90" customFormat="false" ht="15" hidden="false" customHeight="false" outlineLevel="0" collapsed="false">
      <c r="A90" s="20" t="s">
        <v>202</v>
      </c>
      <c r="B90" s="28" t="n">
        <f aca="false">SUMIFS(Data!$R$2:$R$12000,Data!$K$2:$K$12000,$A90,Data!$V$2:$V$12000,Calc!$B$3,Data!$M$2:$M$12000,Calc!$B$4,Data!$O$2:$O$12000,Calc!$B$5,Data!$H$2:$H$12000,Calc!$B$6)</f>
        <v>14235.49</v>
      </c>
      <c r="C90" s="28" t="n">
        <f aca="false">B90+ROW()*0.000000001</f>
        <v>14235.49000009</v>
      </c>
    </row>
    <row r="91" customFormat="false" ht="15" hidden="false" customHeight="false" outlineLevel="0" collapsed="false">
      <c r="A91" s="20" t="s">
        <v>569</v>
      </c>
      <c r="B91" s="28" t="n">
        <f aca="false">SUMIFS(Data!$R$2:$R$12000,Data!$K$2:$K$12000,$A91,Data!$V$2:$V$12000,Calc!$B$3,Data!$M$2:$M$12000,Calc!$B$4,Data!$O$2:$O$12000,Calc!$B$5,Data!$H$2:$H$12000,Calc!$B$6)</f>
        <v>8796.32</v>
      </c>
      <c r="C91" s="28" t="n">
        <f aca="false">B91+ROW()*0.000000001</f>
        <v>8796.320000091</v>
      </c>
    </row>
    <row r="92" customFormat="false" ht="15" hidden="false" customHeight="false" outlineLevel="0" collapsed="false">
      <c r="A92" s="20" t="s">
        <v>385</v>
      </c>
      <c r="B92" s="28" t="n">
        <f aca="false">SUMIFS(Data!$R$2:$R$12000,Data!$K$2:$K$12000,$A92,Data!$V$2:$V$12000,Calc!$B$3,Data!$M$2:$M$12000,Calc!$B$4,Data!$O$2:$O$12000,Calc!$B$5,Data!$H$2:$H$12000,Calc!$B$6)</f>
        <v>24776.07</v>
      </c>
      <c r="C92" s="28" t="n">
        <f aca="false">B92+ROW()*0.000000001</f>
        <v>24776.070000092</v>
      </c>
    </row>
    <row r="93" customFormat="false" ht="15" hidden="false" customHeight="false" outlineLevel="0" collapsed="false">
      <c r="A93" s="20" t="s">
        <v>445</v>
      </c>
      <c r="B93" s="28" t="n">
        <f aca="false">SUMIFS(Data!$R$2:$R$12000,Data!$K$2:$K$12000,$A93,Data!$V$2:$V$12000,Calc!$B$3,Data!$M$2:$M$12000,Calc!$B$4,Data!$O$2:$O$12000,Calc!$B$5,Data!$H$2:$H$12000,Calc!$B$6)</f>
        <v>11291.81</v>
      </c>
      <c r="C93" s="28" t="n">
        <f aca="false">B93+ROW()*0.000000001</f>
        <v>11291.810000093</v>
      </c>
    </row>
    <row r="94" customFormat="false" ht="15" hidden="false" customHeight="false" outlineLevel="0" collapsed="false">
      <c r="A94" s="20" t="s">
        <v>346</v>
      </c>
      <c r="B94" s="28" t="n">
        <f aca="false">SUMIFS(Data!$R$2:$R$12000,Data!$K$2:$K$12000,$A94,Data!$V$2:$V$12000,Calc!$B$3,Data!$M$2:$M$12000,Calc!$B$4,Data!$O$2:$O$12000,Calc!$B$5,Data!$H$2:$H$12000,Calc!$B$6)</f>
        <v>20221.44</v>
      </c>
      <c r="C94" s="28" t="n">
        <f aca="false">B94+ROW()*0.000000001</f>
        <v>20221.440000094</v>
      </c>
    </row>
    <row r="95" customFormat="false" ht="15" hidden="false" customHeight="false" outlineLevel="0" collapsed="false">
      <c r="A95" s="20" t="s">
        <v>86</v>
      </c>
      <c r="B95" s="28" t="n">
        <f aca="false">SUMIFS(Data!$R$2:$R$12000,Data!$K$2:$K$12000,$A95,Data!$V$2:$V$12000,Calc!$B$3,Data!$M$2:$M$12000,Calc!$B$4,Data!$O$2:$O$12000,Calc!$B$5,Data!$H$2:$H$12000,Calc!$B$6)</f>
        <v>53391.75</v>
      </c>
      <c r="C95" s="28" t="n">
        <f aca="false">B95+ROW()*0.000000001</f>
        <v>53391.750000095</v>
      </c>
    </row>
    <row r="96" customFormat="false" ht="15" hidden="false" customHeight="false" outlineLevel="0" collapsed="false">
      <c r="A96" s="20" t="s">
        <v>260</v>
      </c>
      <c r="B96" s="28" t="n">
        <f aca="false">SUMIFS(Data!$R$2:$R$12000,Data!$K$2:$K$12000,$A96,Data!$V$2:$V$12000,Calc!$B$3,Data!$M$2:$M$12000,Calc!$B$4,Data!$O$2:$O$12000,Calc!$B$5,Data!$H$2:$H$12000,Calc!$B$6)</f>
        <v>7586.2</v>
      </c>
      <c r="C96" s="28" t="n">
        <f aca="false">B96+ROW()*0.000000001</f>
        <v>7586.200000096</v>
      </c>
    </row>
    <row r="97" customFormat="false" ht="15" hidden="false" customHeight="false" outlineLevel="0" collapsed="false">
      <c r="A97" s="20" t="s">
        <v>271</v>
      </c>
      <c r="B97" s="28" t="n">
        <f aca="false">SUMIFS(Data!$R$2:$R$12000,Data!$K$2:$K$12000,$A97,Data!$V$2:$V$12000,Calc!$B$3,Data!$M$2:$M$12000,Calc!$B$4,Data!$O$2:$O$12000,Calc!$B$5,Data!$H$2:$H$12000,Calc!$B$6)</f>
        <v>21307.76</v>
      </c>
      <c r="C97" s="28" t="n">
        <f aca="false">B97+ROW()*0.000000001</f>
        <v>21307.760000097</v>
      </c>
    </row>
    <row r="98" customFormat="false" ht="15" hidden="false" customHeight="false" outlineLevel="0" collapsed="false">
      <c r="A98" s="20" t="s">
        <v>550</v>
      </c>
      <c r="B98" s="28" t="n">
        <f aca="false">SUMIFS(Data!$R$2:$R$12000,Data!$K$2:$K$12000,$A98,Data!$V$2:$V$12000,Calc!$B$3,Data!$M$2:$M$12000,Calc!$B$4,Data!$O$2:$O$12000,Calc!$B$5,Data!$H$2:$H$12000,Calc!$B$6)</f>
        <v>9555.9</v>
      </c>
      <c r="C98" s="28" t="n">
        <f aca="false">B98+ROW()*0.000000001</f>
        <v>9555.900000098</v>
      </c>
    </row>
    <row r="99" customFormat="false" ht="15" hidden="false" customHeight="false" outlineLevel="0" collapsed="false">
      <c r="A99" s="20" t="s">
        <v>796</v>
      </c>
      <c r="B99" s="28" t="n">
        <f aca="false">SUMIFS(Data!$R$2:$R$12000,Data!$K$2:$K$12000,$A99,Data!$V$2:$V$12000,Calc!$B$3,Data!$M$2:$M$12000,Calc!$B$4,Data!$O$2:$O$12000,Calc!$B$5,Data!$H$2:$H$12000,Calc!$B$6)</f>
        <v>10304.64</v>
      </c>
      <c r="C99" s="28" t="n">
        <f aca="false">B99+ROW()*0.000000001</f>
        <v>10304.640000099</v>
      </c>
    </row>
    <row r="100" customFormat="false" ht="15" hidden="false" customHeight="false" outlineLevel="0" collapsed="false">
      <c r="A100" s="20" t="s">
        <v>296</v>
      </c>
      <c r="B100" s="28" t="n">
        <f aca="false">SUMIFS(Data!$R$2:$R$12000,Data!$K$2:$K$12000,$A100,Data!$V$2:$V$12000,Calc!$B$3,Data!$M$2:$M$12000,Calc!$B$4,Data!$O$2:$O$12000,Calc!$B$5,Data!$H$2:$H$12000,Calc!$B$6)</f>
        <v>33874.1</v>
      </c>
      <c r="C100" s="28" t="n">
        <f aca="false">B100+ROW()*0.000000001</f>
        <v>33874.1000001</v>
      </c>
    </row>
    <row r="101" customFormat="false" ht="15" hidden="false" customHeight="false" outlineLevel="0" collapsed="false">
      <c r="A101" s="20" t="s">
        <v>377</v>
      </c>
      <c r="B101" s="28" t="n">
        <f aca="false">SUMIFS(Data!$R$2:$R$12000,Data!$K$2:$K$12000,$A101,Data!$V$2:$V$12000,Calc!$B$3,Data!$M$2:$M$12000,Calc!$B$4,Data!$O$2:$O$12000,Calc!$B$5,Data!$H$2:$H$12000,Calc!$B$6)</f>
        <v>12073.43</v>
      </c>
      <c r="C101" s="28" t="n">
        <f aca="false">B101+ROW()*0.000000001</f>
        <v>12073.430000101</v>
      </c>
    </row>
    <row r="102" customFormat="false" ht="15" hidden="false" customHeight="false" outlineLevel="0" collapsed="false">
      <c r="A102" s="20" t="s">
        <v>208</v>
      </c>
      <c r="B102" s="28" t="n">
        <f aca="false">SUMIFS(Data!$R$2:$R$12000,Data!$K$2:$K$12000,$A102,Data!$V$2:$V$12000,Calc!$B$3,Data!$M$2:$M$12000,Calc!$B$4,Data!$O$2:$O$12000,Calc!$B$5,Data!$H$2:$H$12000,Calc!$B$6)</f>
        <v>28282</v>
      </c>
      <c r="C102" s="28" t="n">
        <f aca="false">B102+ROW()*0.000000001</f>
        <v>28282.000000102</v>
      </c>
    </row>
    <row r="103" customFormat="false" ht="15" hidden="false" customHeight="false" outlineLevel="0" collapsed="false">
      <c r="A103" s="20" t="s">
        <v>360</v>
      </c>
      <c r="B103" s="28" t="n">
        <f aca="false">SUMIFS(Data!$R$2:$R$12000,Data!$K$2:$K$12000,$A103,Data!$V$2:$V$12000,Calc!$B$3,Data!$M$2:$M$12000,Calc!$B$4,Data!$O$2:$O$12000,Calc!$B$5,Data!$H$2:$H$12000,Calc!$B$6)</f>
        <v>13873.3</v>
      </c>
      <c r="C103" s="28" t="n">
        <f aca="false">B103+ROW()*0.000000001</f>
        <v>13873.300000103</v>
      </c>
    </row>
    <row r="104" customFormat="false" ht="15" hidden="false" customHeight="false" outlineLevel="0" collapsed="false">
      <c r="A104" s="20" t="s">
        <v>152</v>
      </c>
      <c r="B104" s="28" t="n">
        <f aca="false">SUMIFS(Data!$R$2:$R$12000,Data!$K$2:$K$12000,$A104,Data!$V$2:$V$12000,Calc!$B$3,Data!$M$2:$M$12000,Calc!$B$4,Data!$O$2:$O$12000,Calc!$B$5,Data!$H$2:$H$12000,Calc!$B$6)</f>
        <v>16548.35</v>
      </c>
      <c r="C104" s="28" t="n">
        <f aca="false">B104+ROW()*0.000000001</f>
        <v>16548.350000104</v>
      </c>
    </row>
    <row r="105" customFormat="false" ht="15" hidden="false" customHeight="false" outlineLevel="0" collapsed="false">
      <c r="A105" s="20" t="s">
        <v>196</v>
      </c>
      <c r="B105" s="28" t="n">
        <f aca="false">SUMIFS(Data!$R$2:$R$12000,Data!$K$2:$K$12000,$A105,Data!$V$2:$V$12000,Calc!$B$3,Data!$M$2:$M$12000,Calc!$B$4,Data!$O$2:$O$12000,Calc!$B$5,Data!$H$2:$H$12000,Calc!$B$6)</f>
        <v>10108.1</v>
      </c>
      <c r="C105" s="28" t="n">
        <f aca="false">B105+ROW()*0.000000001</f>
        <v>10108.100000105</v>
      </c>
    </row>
    <row r="106" customFormat="false" ht="15" hidden="false" customHeight="false" outlineLevel="0" collapsed="false">
      <c r="A106" s="20" t="s">
        <v>1073</v>
      </c>
      <c r="B106" s="28" t="n">
        <f aca="false">SUMIFS(Data!$R$2:$R$12000,Data!$K$2:$K$12000,$A106,Data!$V$2:$V$12000,Calc!$B$3,Data!$M$2:$M$12000,Calc!$B$4,Data!$O$2:$O$12000,Calc!$B$5,Data!$H$2:$H$12000,Calc!$B$6)</f>
        <v>19072.47</v>
      </c>
      <c r="C106" s="28" t="n">
        <f aca="false">B106+ROW()*0.000000001</f>
        <v>19072.470000106</v>
      </c>
    </row>
    <row r="107" customFormat="false" ht="15" hidden="false" customHeight="false" outlineLevel="0" collapsed="false">
      <c r="A107" s="20" t="s">
        <v>288</v>
      </c>
      <c r="B107" s="28" t="n">
        <f aca="false">SUMIFS(Data!$R$2:$R$12000,Data!$K$2:$K$12000,$A107,Data!$V$2:$V$12000,Calc!$B$3,Data!$M$2:$M$12000,Calc!$B$4,Data!$O$2:$O$12000,Calc!$B$5,Data!$H$2:$H$12000,Calc!$B$6)</f>
        <v>17479.18</v>
      </c>
      <c r="C107" s="28" t="n">
        <f aca="false">B107+ROW()*0.000000001</f>
        <v>17479.180000107</v>
      </c>
    </row>
    <row r="108" customFormat="false" ht="15" hidden="false" customHeight="false" outlineLevel="0" collapsed="false">
      <c r="A108" s="20" t="s">
        <v>246</v>
      </c>
      <c r="B108" s="28" t="n">
        <f aca="false">SUMIFS(Data!$R$2:$R$12000,Data!$K$2:$K$12000,$A108,Data!$V$2:$V$12000,Calc!$B$3,Data!$M$2:$M$12000,Calc!$B$4,Data!$O$2:$O$12000,Calc!$B$5,Data!$H$2:$H$12000,Calc!$B$6)</f>
        <v>24322.09</v>
      </c>
      <c r="C108" s="28" t="n">
        <f aca="false">B108+ROW()*0.000000001</f>
        <v>24322.090000108</v>
      </c>
    </row>
    <row r="109" customFormat="false" ht="15" hidden="false" customHeight="false" outlineLevel="0" collapsed="false">
      <c r="A109" s="20" t="s">
        <v>430</v>
      </c>
      <c r="B109" s="28" t="n">
        <f aca="false">SUMIFS(Data!$R$2:$R$12000,Data!$K$2:$K$12000,$A109,Data!$V$2:$V$12000,Calc!$B$3,Data!$M$2:$M$12000,Calc!$B$4,Data!$O$2:$O$12000,Calc!$B$5,Data!$H$2:$H$12000,Calc!$B$6)</f>
        <v>5578.23</v>
      </c>
      <c r="C109" s="28" t="n">
        <f aca="false">B109+ROW()*0.000000001</f>
        <v>5578.230000109</v>
      </c>
    </row>
    <row r="110" customFormat="false" ht="15" hidden="false" customHeight="false" outlineLevel="0" collapsed="false">
      <c r="A110" s="20" t="s">
        <v>335</v>
      </c>
      <c r="B110" s="28" t="n">
        <f aca="false">SUMIFS(Data!$R$2:$R$12000,Data!$K$2:$K$12000,$A110,Data!$V$2:$V$12000,Calc!$B$3,Data!$M$2:$M$12000,Calc!$B$4,Data!$O$2:$O$12000,Calc!$B$5,Data!$H$2:$H$12000,Calc!$B$6)</f>
        <v>14471.22</v>
      </c>
      <c r="C110" s="28" t="n">
        <f aca="false">B110+ROW()*0.000000001</f>
        <v>14471.22000011</v>
      </c>
    </row>
    <row r="111" customFormat="false" ht="15" hidden="false" customHeight="false" outlineLevel="0" collapsed="false">
      <c r="A111" s="20" t="s">
        <v>354</v>
      </c>
      <c r="B111" s="28" t="n">
        <f aca="false">SUMIFS(Data!$R$2:$R$12000,Data!$K$2:$K$12000,$A111,Data!$V$2:$V$12000,Calc!$B$3,Data!$M$2:$M$12000,Calc!$B$4,Data!$O$2:$O$12000,Calc!$B$5,Data!$H$2:$H$12000,Calc!$B$6)</f>
        <v>6478.4</v>
      </c>
      <c r="C111" s="28" t="n">
        <f aca="false">B111+ROW()*0.000000001</f>
        <v>6478.400000111</v>
      </c>
    </row>
    <row r="112" customFormat="false" ht="15" hidden="false" customHeight="false" outlineLevel="0" collapsed="false">
      <c r="A112" s="20" t="s">
        <v>909</v>
      </c>
      <c r="B112" s="28" t="n">
        <f aca="false">SUMIFS(Data!$R$2:$R$12000,Data!$K$2:$K$12000,$A112,Data!$V$2:$V$12000,Calc!$B$3,Data!$M$2:$M$12000,Calc!$B$4,Data!$O$2:$O$12000,Calc!$B$5,Data!$H$2:$H$12000,Calc!$B$6)</f>
        <v>10632.79</v>
      </c>
      <c r="C112" s="28" t="n">
        <f aca="false">B112+ROW()*0.000000001</f>
        <v>10632.790000112</v>
      </c>
    </row>
    <row r="113" customFormat="false" ht="15" hidden="false" customHeight="false" outlineLevel="0" collapsed="false">
      <c r="A113" s="20" t="s">
        <v>518</v>
      </c>
      <c r="B113" s="28" t="n">
        <f aca="false">SUMIFS(Data!$R$2:$R$12000,Data!$K$2:$K$12000,$A113,Data!$V$2:$V$12000,Calc!$B$3,Data!$M$2:$M$12000,Calc!$B$4,Data!$O$2:$O$12000,Calc!$B$5,Data!$H$2:$H$12000,Calc!$B$6)</f>
        <v>23216.48</v>
      </c>
      <c r="C113" s="28" t="n">
        <f aca="false">B113+ROW()*0.000000001</f>
        <v>23216.480000113</v>
      </c>
    </row>
    <row r="114" customFormat="false" ht="15" hidden="false" customHeight="false" outlineLevel="0" collapsed="false">
      <c r="A114" s="20" t="s">
        <v>120</v>
      </c>
      <c r="B114" s="28" t="n">
        <f aca="false">SUMIFS(Data!$R$2:$R$12000,Data!$K$2:$K$12000,$A114,Data!$V$2:$V$12000,Calc!$B$3,Data!$M$2:$M$12000,Calc!$B$4,Data!$O$2:$O$12000,Calc!$B$5,Data!$H$2:$H$12000,Calc!$B$6)</f>
        <v>7458.68</v>
      </c>
      <c r="C114" s="28" t="n">
        <f aca="false">B114+ROW()*0.000000001</f>
        <v>7458.680000114</v>
      </c>
    </row>
    <row r="115" customFormat="false" ht="15" hidden="false" customHeight="false" outlineLevel="0" collapsed="false">
      <c r="A115" s="20" t="s">
        <v>673</v>
      </c>
      <c r="B115" s="28" t="n">
        <f aca="false">SUMIFS(Data!$R$2:$R$12000,Data!$K$2:$K$12000,$A115,Data!$V$2:$V$12000,Calc!$B$3,Data!$M$2:$M$12000,Calc!$B$4,Data!$O$2:$O$12000,Calc!$B$5,Data!$H$2:$H$12000,Calc!$B$6)</f>
        <v>2035.27</v>
      </c>
      <c r="C115" s="28" t="n">
        <f aca="false">B115+ROW()*0.000000001</f>
        <v>2035.270000115</v>
      </c>
    </row>
    <row r="116" customFormat="false" ht="15" hidden="false" customHeight="false" outlineLevel="0" collapsed="false">
      <c r="A116" s="20" t="s">
        <v>133</v>
      </c>
      <c r="B116" s="28" t="n">
        <f aca="false">SUMIFS(Data!$R$2:$R$12000,Data!$K$2:$K$12000,$A116,Data!$V$2:$V$12000,Calc!$B$3,Data!$M$2:$M$12000,Calc!$B$4,Data!$O$2:$O$12000,Calc!$B$5,Data!$H$2:$H$12000,Calc!$B$6)</f>
        <v>14755.32</v>
      </c>
      <c r="C116" s="28" t="n">
        <f aca="false">B116+ROW()*0.000000001</f>
        <v>14755.320000116</v>
      </c>
    </row>
    <row r="117" customFormat="false" ht="15" hidden="false" customHeight="false" outlineLevel="0" collapsed="false">
      <c r="A117" s="20" t="s">
        <v>64</v>
      </c>
      <c r="B117" s="28" t="n">
        <f aca="false">SUMIFS(Data!$R$2:$R$12000,Data!$K$2:$K$12000,$A117,Data!$V$2:$V$12000,Calc!$B$3,Data!$M$2:$M$12000,Calc!$B$4,Data!$O$2:$O$12000,Calc!$B$5,Data!$H$2:$H$12000,Calc!$B$6)</f>
        <v>28403.11</v>
      </c>
      <c r="C117" s="28" t="n">
        <f aca="false">B117+ROW()*0.000000001</f>
        <v>28403.110000117</v>
      </c>
    </row>
    <row r="118" customFormat="false" ht="15" hidden="false" customHeight="false" outlineLevel="0" collapsed="false">
      <c r="A118" s="20" t="s">
        <v>422</v>
      </c>
      <c r="B118" s="28" t="n">
        <f aca="false">SUMIFS(Data!$R$2:$R$12000,Data!$K$2:$K$12000,$A118,Data!$V$2:$V$12000,Calc!$B$3,Data!$M$2:$M$12000,Calc!$B$4,Data!$O$2:$O$12000,Calc!$B$5,Data!$H$2:$H$12000,Calc!$B$6)</f>
        <v>36386.35</v>
      </c>
      <c r="C118" s="28" t="n">
        <f aca="false">B118+ROW()*0.000000001</f>
        <v>36386.350000118</v>
      </c>
    </row>
    <row r="119" customFormat="false" ht="15" hidden="false" customHeight="false" outlineLevel="0" collapsed="false">
      <c r="A119" s="20" t="s">
        <v>556</v>
      </c>
      <c r="B119" s="28" t="n">
        <f aca="false">SUMIFS(Data!$R$2:$R$12000,Data!$K$2:$K$12000,$A119,Data!$V$2:$V$12000,Calc!$B$3,Data!$M$2:$M$12000,Calc!$B$4,Data!$O$2:$O$12000,Calc!$B$5,Data!$H$2:$H$12000,Calc!$B$6)</f>
        <v>29995.93</v>
      </c>
      <c r="C119" s="28" t="n">
        <f aca="false">B119+ROW()*0.000000001</f>
        <v>29995.930000119</v>
      </c>
    </row>
    <row r="120" customFormat="false" ht="15" hidden="false" customHeight="false" outlineLevel="0" collapsed="false">
      <c r="A120" s="20" t="s">
        <v>508</v>
      </c>
      <c r="B120" s="28" t="n">
        <f aca="false">SUMIFS(Data!$R$2:$R$12000,Data!$K$2:$K$12000,$A120,Data!$V$2:$V$12000,Calc!$B$3,Data!$M$2:$M$12000,Calc!$B$4,Data!$O$2:$O$12000,Calc!$B$5,Data!$H$2:$H$12000,Calc!$B$6)</f>
        <v>19466.55</v>
      </c>
      <c r="C120" s="28" t="n">
        <f aca="false">B120+ROW()*0.000000001</f>
        <v>19466.55000012</v>
      </c>
    </row>
    <row r="121" customFormat="false" ht="15" hidden="false" customHeight="false" outlineLevel="0" collapsed="false">
      <c r="A121" s="20" t="s">
        <v>969</v>
      </c>
      <c r="B121" s="28" t="n">
        <f aca="false">SUMIFS(Data!$R$2:$R$12000,Data!$K$2:$K$12000,$A121,Data!$V$2:$V$12000,Calc!$B$3,Data!$M$2:$M$12000,Calc!$B$4,Data!$O$2:$O$12000,Calc!$B$5,Data!$H$2:$H$12000,Calc!$B$6)</f>
        <v>13509.91</v>
      </c>
      <c r="C121" s="28" t="n">
        <f aca="false">B121+ROW()*0.000000001</f>
        <v>13509.910000121</v>
      </c>
    </row>
    <row r="122" customFormat="false" ht="15" hidden="false" customHeight="false" outlineLevel="0" collapsed="false">
      <c r="A122" s="20" t="s">
        <v>393</v>
      </c>
      <c r="B122" s="28" t="n">
        <f aca="false">SUMIFS(Data!$R$2:$R$12000,Data!$K$2:$K$12000,$A122,Data!$V$2:$V$12000,Calc!$B$3,Data!$M$2:$M$12000,Calc!$B$4,Data!$O$2:$O$12000,Calc!$B$5,Data!$H$2:$H$12000,Calc!$B$6)</f>
        <v>4846.62</v>
      </c>
      <c r="C122" s="28" t="n">
        <f aca="false">B122+ROW()*0.000000001</f>
        <v>4846.620000122</v>
      </c>
    </row>
    <row r="123" customFormat="false" ht="15" hidden="false" customHeight="false" outlineLevel="0" collapsed="false">
      <c r="A123" s="20" t="s">
        <v>225</v>
      </c>
      <c r="B123" s="28" t="n">
        <f aca="false">SUMIFS(Data!$R$2:$R$12000,Data!$K$2:$K$12000,$A123,Data!$V$2:$V$12000,Calc!$B$3,Data!$M$2:$M$12000,Calc!$B$4,Data!$O$2:$O$12000,Calc!$B$5,Data!$H$2:$H$12000,Calc!$B$6)</f>
        <v>15730.02</v>
      </c>
      <c r="C123" s="28" t="n">
        <f aca="false">B123+ROW()*0.000000001</f>
        <v>15730.020000123</v>
      </c>
    </row>
    <row r="124" customFormat="false" ht="15" hidden="false" customHeight="false" outlineLevel="0" collapsed="false">
      <c r="A124" s="20" t="s">
        <v>215</v>
      </c>
      <c r="B124" s="28" t="n">
        <f aca="false">SUMIFS(Data!$R$2:$R$12000,Data!$K$2:$K$12000,$A124,Data!$V$2:$V$12000,Calc!$B$3,Data!$M$2:$M$12000,Calc!$B$4,Data!$O$2:$O$12000,Calc!$B$5,Data!$H$2:$H$12000,Calc!$B$6)</f>
        <v>9146.29</v>
      </c>
      <c r="C124" s="28" t="n">
        <f aca="false">B124+ROW()*0.000000001</f>
        <v>9146.290000124</v>
      </c>
    </row>
    <row r="125" customFormat="false" ht="15" hidden="false" customHeight="false" outlineLevel="0" collapsed="false">
      <c r="A125" s="20" t="s">
        <v>647</v>
      </c>
      <c r="B125" s="28" t="n">
        <f aca="false">SUMIFS(Data!$R$2:$R$12000,Data!$K$2:$K$12000,$A125,Data!$V$2:$V$12000,Calc!$B$3,Data!$M$2:$M$12000,Calc!$B$4,Data!$O$2:$O$12000,Calc!$B$5,Data!$H$2:$H$12000,Calc!$B$6)</f>
        <v>23861.06</v>
      </c>
      <c r="C125" s="28" t="n">
        <f aca="false">B125+ROW()*0.000000001</f>
        <v>23861.060000125</v>
      </c>
    </row>
    <row r="126" customFormat="false" ht="15" hidden="false" customHeight="false" outlineLevel="0" collapsed="false">
      <c r="A126" s="20" t="s">
        <v>275</v>
      </c>
      <c r="B126" s="28" t="n">
        <f aca="false">SUMIFS(Data!$R$2:$R$12000,Data!$K$2:$K$12000,$A126,Data!$V$2:$V$12000,Calc!$B$3,Data!$M$2:$M$12000,Calc!$B$4,Data!$O$2:$O$12000,Calc!$B$5,Data!$H$2:$H$12000,Calc!$B$6)</f>
        <v>4785.35</v>
      </c>
      <c r="C126" s="28" t="n">
        <f aca="false">B126+ROW()*0.000000001</f>
        <v>4785.350000126</v>
      </c>
    </row>
    <row r="127" customFormat="false" ht="15" hidden="false" customHeight="false" outlineLevel="0" collapsed="false">
      <c r="A127" s="20" t="s">
        <v>111</v>
      </c>
      <c r="B127" s="28" t="n">
        <f aca="false">SUMIFS(Data!$R$2:$R$12000,Data!$K$2:$K$12000,$A127,Data!$V$2:$V$12000,Calc!$B$3,Data!$M$2:$M$12000,Calc!$B$4,Data!$O$2:$O$12000,Calc!$B$5,Data!$H$2:$H$12000,Calc!$B$6)</f>
        <v>25844.15</v>
      </c>
      <c r="C127" s="28" t="n">
        <f aca="false">B127+ROW()*0.000000001</f>
        <v>25844.150000127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2026-10-10T17:32:29Z</dcterms:created>
  <dc:creator>openpyxl</dc:creator>
  <dc:description/>
  <dc:language>en-US</dc:language>
  <cp:lastModifiedBy/>
  <dcterms:modified xsi:type="dcterms:W3CDTF">2026-10-10T17:32:35Z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